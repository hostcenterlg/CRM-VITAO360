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Área de Trabalho\PASTA G (CENTRAL INTERNO)\"/>
    </mc:Choice>
  </mc:AlternateContent>
  <xr:revisionPtr revIDLastSave="0" documentId="8_{AB2BDBA3-FF8F-493A-9D95-B6813ED13E65}" xr6:coauthVersionLast="47" xr6:coauthVersionMax="47" xr10:uidLastSave="{00000000-0000-0000-0000-000000000000}"/>
  <bookViews>
    <workbookView xWindow="-120" yWindow="-16320" windowWidth="29040" windowHeight="15720" tabRatio="868" xr2:uid="{AF4FCABA-E2E9-474A-8520-A65BD47443CF}"/>
  </bookViews>
  <sheets>
    <sheet name="Carteira" sheetId="1" r:id="rId1"/>
    <sheet name="Historico - FAT" sheetId="13" r:id="rId2"/>
    <sheet name="Leads" sheetId="19" r:id="rId3"/>
    <sheet name="Positivação" sheetId="18" r:id="rId4"/>
    <sheet name="Faturamento" sheetId="15" r:id="rId5"/>
    <sheet name="Balizador da Meta" sheetId="3" r:id="rId6"/>
    <sheet name="Resumo" sheetId="16" r:id="rId7"/>
  </sheets>
  <definedNames>
    <definedName name="_xlnm._FilterDatabase" localSheetId="0" hidden="1">Carteira!$A$1:$L$12</definedName>
    <definedName name="_xlnm._FilterDatabase" localSheetId="4" hidden="1">Faturamento!$A$3:$AI$1523</definedName>
    <definedName name="_xlnm._FilterDatabase" localSheetId="1" hidden="1">'Historico - FAT'!$A$1:$AI$1521</definedName>
    <definedName name="_xlnm._FilterDatabase" localSheetId="2" hidden="1">Leads!$A$3:$Z$83</definedName>
    <definedName name="_xlnm._FilterDatabase" localSheetId="3" hidden="1">Positivação!$A$3:$AC$83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8" l="1"/>
  <c r="K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76" i="18"/>
  <c r="K77" i="18"/>
  <c r="K79" i="18"/>
  <c r="K80" i="18"/>
  <c r="K81" i="18"/>
  <c r="K82" i="18"/>
  <c r="K83" i="18"/>
  <c r="K78" i="18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96" i="15"/>
  <c r="M97" i="15"/>
  <c r="M98" i="15"/>
  <c r="M99" i="15"/>
  <c r="M100" i="15"/>
  <c r="M101" i="15"/>
  <c r="M102" i="15"/>
  <c r="M103" i="15"/>
  <c r="M104" i="15"/>
  <c r="M105" i="15"/>
  <c r="M106" i="15"/>
  <c r="M107" i="15"/>
  <c r="M108" i="15"/>
  <c r="M109" i="15"/>
  <c r="M110" i="15"/>
  <c r="M111" i="15"/>
  <c r="M112" i="15"/>
  <c r="M113" i="15"/>
  <c r="M114" i="15"/>
  <c r="M115" i="15"/>
  <c r="M116" i="15"/>
  <c r="M117" i="15"/>
  <c r="M118" i="15"/>
  <c r="M119" i="15"/>
  <c r="M120" i="15"/>
  <c r="M121" i="15"/>
  <c r="M122" i="15"/>
  <c r="M123" i="15"/>
  <c r="M124" i="15"/>
  <c r="M125" i="15"/>
  <c r="M126" i="15"/>
  <c r="M127" i="15"/>
  <c r="M128" i="15"/>
  <c r="M129" i="15"/>
  <c r="M130" i="15"/>
  <c r="M131" i="15"/>
  <c r="M132" i="15"/>
  <c r="M133" i="15"/>
  <c r="M134" i="15"/>
  <c r="M135" i="15"/>
  <c r="M136" i="15"/>
  <c r="M137" i="15"/>
  <c r="M138" i="15"/>
  <c r="M139" i="15"/>
  <c r="M140" i="15"/>
  <c r="M141" i="15"/>
  <c r="M142" i="15"/>
  <c r="M143" i="15"/>
  <c r="M144" i="15"/>
  <c r="M145" i="15"/>
  <c r="M146" i="15"/>
  <c r="M147" i="15"/>
  <c r="M148" i="15"/>
  <c r="M149" i="15"/>
  <c r="M150" i="15"/>
  <c r="M151" i="15"/>
  <c r="M152" i="15"/>
  <c r="M153" i="15"/>
  <c r="M154" i="15"/>
  <c r="M155" i="15"/>
  <c r="M156" i="15"/>
  <c r="M157" i="15"/>
  <c r="M158" i="15"/>
  <c r="M159" i="15"/>
  <c r="M160" i="15"/>
  <c r="M161" i="15"/>
  <c r="M162" i="15"/>
  <c r="M163" i="15"/>
  <c r="M164" i="15"/>
  <c r="M165" i="15"/>
  <c r="M166" i="15"/>
  <c r="M167" i="15"/>
  <c r="M168" i="15"/>
  <c r="M169" i="15"/>
  <c r="M170" i="15"/>
  <c r="M171" i="15"/>
  <c r="M172" i="15"/>
  <c r="M173" i="15"/>
  <c r="M174" i="15"/>
  <c r="M175" i="15"/>
  <c r="M176" i="15"/>
  <c r="M177" i="15"/>
  <c r="M178" i="15"/>
  <c r="M179" i="15"/>
  <c r="M180" i="15"/>
  <c r="M181" i="15"/>
  <c r="M182" i="15"/>
  <c r="M183" i="15"/>
  <c r="M184" i="15"/>
  <c r="M185" i="15"/>
  <c r="M186" i="15"/>
  <c r="M187" i="15"/>
  <c r="M188" i="15"/>
  <c r="M189" i="15"/>
  <c r="M190" i="15"/>
  <c r="M191" i="15"/>
  <c r="M192" i="15"/>
  <c r="M193" i="15"/>
  <c r="M194" i="15"/>
  <c r="M195" i="15"/>
  <c r="M196" i="15"/>
  <c r="M197" i="15"/>
  <c r="M198" i="15"/>
  <c r="M199" i="15"/>
  <c r="M200" i="15"/>
  <c r="M201" i="15"/>
  <c r="M202" i="15"/>
  <c r="M203" i="15"/>
  <c r="M204" i="15"/>
  <c r="M205" i="15"/>
  <c r="M206" i="15"/>
  <c r="M207" i="15"/>
  <c r="M208" i="15"/>
  <c r="M209" i="15"/>
  <c r="M210" i="15"/>
  <c r="M211" i="15"/>
  <c r="M212" i="15"/>
  <c r="M213" i="15"/>
  <c r="M214" i="15"/>
  <c r="M215" i="15"/>
  <c r="M216" i="15"/>
  <c r="M217" i="15"/>
  <c r="M218" i="15"/>
  <c r="M219" i="15"/>
  <c r="M220" i="15"/>
  <c r="M221" i="15"/>
  <c r="M222" i="15"/>
  <c r="M223" i="15"/>
  <c r="M224" i="15"/>
  <c r="M225" i="15"/>
  <c r="M226" i="15"/>
  <c r="M227" i="15"/>
  <c r="M228" i="15"/>
  <c r="M229" i="15"/>
  <c r="M230" i="15"/>
  <c r="M231" i="15"/>
  <c r="M232" i="15"/>
  <c r="M233" i="15"/>
  <c r="M234" i="15"/>
  <c r="M235" i="15"/>
  <c r="M236" i="15"/>
  <c r="M237" i="15"/>
  <c r="M238" i="15"/>
  <c r="M239" i="15"/>
  <c r="M240" i="15"/>
  <c r="M241" i="15"/>
  <c r="M242" i="15"/>
  <c r="M243" i="15"/>
  <c r="M244" i="15"/>
  <c r="M245" i="15"/>
  <c r="M246" i="15"/>
  <c r="M247" i="15"/>
  <c r="M248" i="15"/>
  <c r="M249" i="15"/>
  <c r="M250" i="15"/>
  <c r="M251" i="15"/>
  <c r="M252" i="15"/>
  <c r="M253" i="15"/>
  <c r="M254" i="15"/>
  <c r="M255" i="15"/>
  <c r="M256" i="15"/>
  <c r="M257" i="15"/>
  <c r="M258" i="15"/>
  <c r="M259" i="15"/>
  <c r="M260" i="15"/>
  <c r="M261" i="15"/>
  <c r="M262" i="15"/>
  <c r="M263" i="15"/>
  <c r="M264" i="15"/>
  <c r="M265" i="15"/>
  <c r="M266" i="15"/>
  <c r="M267" i="15"/>
  <c r="M268" i="15"/>
  <c r="M269" i="15"/>
  <c r="M270" i="15"/>
  <c r="M271" i="15"/>
  <c r="M272" i="15"/>
  <c r="M273" i="15"/>
  <c r="M274" i="15"/>
  <c r="M275" i="15"/>
  <c r="M276" i="15"/>
  <c r="M277" i="15"/>
  <c r="M278" i="15"/>
  <c r="M279" i="15"/>
  <c r="M280" i="15"/>
  <c r="M281" i="15"/>
  <c r="M282" i="15"/>
  <c r="M283" i="15"/>
  <c r="M284" i="15"/>
  <c r="M285" i="15"/>
  <c r="M286" i="15"/>
  <c r="M287" i="15"/>
  <c r="M288" i="15"/>
  <c r="M289" i="15"/>
  <c r="M290" i="15"/>
  <c r="M291" i="15"/>
  <c r="M292" i="15"/>
  <c r="M293" i="15"/>
  <c r="M294" i="15"/>
  <c r="M295" i="15"/>
  <c r="M296" i="15"/>
  <c r="M297" i="15"/>
  <c r="M298" i="15"/>
  <c r="M299" i="15"/>
  <c r="M300" i="15"/>
  <c r="M301" i="15"/>
  <c r="M302" i="15"/>
  <c r="M303" i="15"/>
  <c r="M304" i="15"/>
  <c r="M305" i="15"/>
  <c r="M306" i="15"/>
  <c r="M307" i="15"/>
  <c r="M308" i="15"/>
  <c r="M309" i="15"/>
  <c r="M310" i="15"/>
  <c r="M311" i="15"/>
  <c r="M312" i="15"/>
  <c r="M313" i="15"/>
  <c r="M314" i="15"/>
  <c r="M315" i="15"/>
  <c r="M316" i="15"/>
  <c r="M317" i="15"/>
  <c r="M318" i="15"/>
  <c r="M319" i="15"/>
  <c r="M320" i="15"/>
  <c r="M321" i="15"/>
  <c r="M322" i="15"/>
  <c r="M323" i="15"/>
  <c r="M324" i="15"/>
  <c r="M325" i="15"/>
  <c r="M326" i="15"/>
  <c r="M327" i="15"/>
  <c r="M328" i="15"/>
  <c r="M329" i="15"/>
  <c r="M330" i="15"/>
  <c r="M331" i="15"/>
  <c r="M332" i="15"/>
  <c r="M333" i="15"/>
  <c r="M334" i="15"/>
  <c r="M335" i="15"/>
  <c r="M336" i="15"/>
  <c r="M337" i="15"/>
  <c r="M338" i="15"/>
  <c r="M339" i="15"/>
  <c r="M340" i="15"/>
  <c r="M341" i="15"/>
  <c r="M342" i="15"/>
  <c r="M343" i="15"/>
  <c r="M344" i="15"/>
  <c r="M345" i="15"/>
  <c r="M346" i="15"/>
  <c r="M347" i="15"/>
  <c r="M348" i="15"/>
  <c r="M349" i="15"/>
  <c r="M350" i="15"/>
  <c r="M351" i="15"/>
  <c r="M352" i="15"/>
  <c r="M353" i="15"/>
  <c r="M354" i="15"/>
  <c r="M355" i="15"/>
  <c r="M356" i="15"/>
  <c r="M357" i="15"/>
  <c r="M358" i="15"/>
  <c r="M359" i="15"/>
  <c r="M360" i="15"/>
  <c r="M361" i="15"/>
  <c r="M362" i="15"/>
  <c r="M363" i="15"/>
  <c r="M364" i="15"/>
  <c r="M365" i="15"/>
  <c r="M366" i="15"/>
  <c r="M367" i="15"/>
  <c r="M368" i="15"/>
  <c r="M369" i="15"/>
  <c r="M370" i="15"/>
  <c r="M371" i="15"/>
  <c r="M372" i="15"/>
  <c r="M373" i="15"/>
  <c r="M374" i="15"/>
  <c r="M375" i="15"/>
  <c r="M376" i="15"/>
  <c r="M377" i="15"/>
  <c r="M378" i="15"/>
  <c r="M379" i="15"/>
  <c r="M380" i="15"/>
  <c r="M381" i="15"/>
  <c r="M382" i="15"/>
  <c r="M383" i="15"/>
  <c r="M384" i="15"/>
  <c r="M385" i="15"/>
  <c r="M386" i="15"/>
  <c r="M387" i="15"/>
  <c r="M388" i="15"/>
  <c r="M389" i="15"/>
  <c r="M390" i="15"/>
  <c r="M391" i="15"/>
  <c r="M392" i="15"/>
  <c r="M393" i="15"/>
  <c r="M394" i="15"/>
  <c r="M395" i="15"/>
  <c r="M396" i="15"/>
  <c r="M397" i="15"/>
  <c r="M398" i="15"/>
  <c r="M399" i="15"/>
  <c r="M400" i="15"/>
  <c r="M401" i="15"/>
  <c r="M402" i="15"/>
  <c r="M403" i="15"/>
  <c r="M404" i="15"/>
  <c r="M405" i="15"/>
  <c r="M406" i="15"/>
  <c r="M407" i="15"/>
  <c r="M408" i="15"/>
  <c r="M409" i="15"/>
  <c r="M410" i="15"/>
  <c r="M411" i="15"/>
  <c r="M412" i="15"/>
  <c r="M413" i="15"/>
  <c r="M414" i="15"/>
  <c r="M415" i="15"/>
  <c r="M416" i="15"/>
  <c r="M417" i="15"/>
  <c r="M418" i="15"/>
  <c r="M419" i="15"/>
  <c r="M420" i="15"/>
  <c r="M421" i="15"/>
  <c r="M422" i="15"/>
  <c r="M423" i="15"/>
  <c r="M424" i="15"/>
  <c r="M425" i="15"/>
  <c r="M426" i="15"/>
  <c r="M427" i="15"/>
  <c r="M428" i="15"/>
  <c r="M429" i="15"/>
  <c r="M430" i="15"/>
  <c r="M431" i="15"/>
  <c r="M432" i="15"/>
  <c r="M433" i="15"/>
  <c r="M434" i="15"/>
  <c r="M435" i="15"/>
  <c r="M436" i="15"/>
  <c r="M437" i="15"/>
  <c r="M438" i="15"/>
  <c r="M439" i="15"/>
  <c r="M440" i="15"/>
  <c r="M441" i="15"/>
  <c r="M442" i="15"/>
  <c r="M443" i="15"/>
  <c r="M444" i="15"/>
  <c r="M445" i="15"/>
  <c r="M446" i="15"/>
  <c r="M447" i="15"/>
  <c r="M448" i="15"/>
  <c r="M449" i="15"/>
  <c r="M450" i="15"/>
  <c r="M451" i="15"/>
  <c r="M452" i="15"/>
  <c r="M453" i="15"/>
  <c r="M454" i="15"/>
  <c r="M455" i="15"/>
  <c r="M456" i="15"/>
  <c r="M457" i="15"/>
  <c r="M458" i="15"/>
  <c r="M459" i="15"/>
  <c r="M460" i="15"/>
  <c r="M461" i="15"/>
  <c r="M462" i="15"/>
  <c r="M463" i="15"/>
  <c r="M464" i="15"/>
  <c r="M465" i="15"/>
  <c r="M466" i="15"/>
  <c r="M467" i="15"/>
  <c r="M468" i="15"/>
  <c r="M469" i="15"/>
  <c r="M470" i="15"/>
  <c r="M471" i="15"/>
  <c r="M472" i="15"/>
  <c r="M473" i="15"/>
  <c r="M474" i="15"/>
  <c r="M475" i="15"/>
  <c r="M476" i="15"/>
  <c r="M477" i="15"/>
  <c r="M478" i="15"/>
  <c r="M479" i="15"/>
  <c r="M480" i="15"/>
  <c r="M481" i="15"/>
  <c r="M482" i="15"/>
  <c r="M483" i="15"/>
  <c r="M484" i="15"/>
  <c r="M485" i="15"/>
  <c r="M486" i="15"/>
  <c r="M487" i="15"/>
  <c r="M488" i="15"/>
  <c r="M489" i="15"/>
  <c r="M490" i="15"/>
  <c r="M491" i="15"/>
  <c r="M492" i="15"/>
  <c r="M493" i="15"/>
  <c r="M494" i="15"/>
  <c r="M495" i="15"/>
  <c r="M496" i="15"/>
  <c r="M497" i="15"/>
  <c r="M498" i="15"/>
  <c r="M499" i="15"/>
  <c r="M500" i="15"/>
  <c r="M501" i="15"/>
  <c r="M502" i="15"/>
  <c r="M503" i="15"/>
  <c r="M504" i="15"/>
  <c r="M505" i="15"/>
  <c r="M506" i="15"/>
  <c r="M507" i="15"/>
  <c r="M508" i="15"/>
  <c r="M509" i="15"/>
  <c r="M510" i="15"/>
  <c r="M511" i="15"/>
  <c r="M512" i="15"/>
  <c r="M513" i="15"/>
  <c r="M514" i="15"/>
  <c r="M515" i="15"/>
  <c r="M516" i="15"/>
  <c r="M517" i="15"/>
  <c r="M518" i="15"/>
  <c r="M519" i="15"/>
  <c r="M520" i="15"/>
  <c r="M521" i="15"/>
  <c r="M522" i="15"/>
  <c r="M523" i="15"/>
  <c r="M524" i="15"/>
  <c r="M525" i="15"/>
  <c r="M526" i="15"/>
  <c r="M527" i="15"/>
  <c r="M528" i="15"/>
  <c r="M529" i="15"/>
  <c r="M530" i="15"/>
  <c r="M531" i="15"/>
  <c r="M532" i="15"/>
  <c r="M533" i="15"/>
  <c r="M534" i="15"/>
  <c r="M535" i="15"/>
  <c r="M536" i="15"/>
  <c r="M537" i="15"/>
  <c r="M538" i="15"/>
  <c r="M539" i="15"/>
  <c r="M540" i="15"/>
  <c r="M541" i="15"/>
  <c r="M542" i="15"/>
  <c r="M543" i="15"/>
  <c r="M544" i="15"/>
  <c r="M545" i="15"/>
  <c r="M546" i="15"/>
  <c r="M547" i="15"/>
  <c r="M548" i="15"/>
  <c r="M549" i="15"/>
  <c r="M550" i="15"/>
  <c r="M551" i="15"/>
  <c r="M552" i="15"/>
  <c r="M553" i="15"/>
  <c r="M554" i="15"/>
  <c r="M555" i="15"/>
  <c r="M556" i="15"/>
  <c r="M557" i="15"/>
  <c r="M558" i="15"/>
  <c r="M559" i="15"/>
  <c r="M560" i="15"/>
  <c r="M561" i="15"/>
  <c r="M562" i="15"/>
  <c r="M563" i="15"/>
  <c r="M564" i="15"/>
  <c r="M565" i="15"/>
  <c r="M566" i="15"/>
  <c r="M567" i="15"/>
  <c r="M568" i="15"/>
  <c r="M569" i="15"/>
  <c r="M570" i="15"/>
  <c r="M571" i="15"/>
  <c r="M572" i="15"/>
  <c r="M573" i="15"/>
  <c r="M574" i="15"/>
  <c r="M575" i="15"/>
  <c r="M576" i="15"/>
  <c r="M577" i="15"/>
  <c r="M578" i="15"/>
  <c r="M579" i="15"/>
  <c r="M580" i="15"/>
  <c r="M581" i="15"/>
  <c r="M582" i="15"/>
  <c r="M583" i="15"/>
  <c r="M584" i="15"/>
  <c r="M585" i="15"/>
  <c r="M586" i="15"/>
  <c r="M587" i="15"/>
  <c r="M588" i="15"/>
  <c r="M589" i="15"/>
  <c r="M590" i="15"/>
  <c r="M591" i="15"/>
  <c r="M592" i="15"/>
  <c r="M593" i="15"/>
  <c r="M594" i="15"/>
  <c r="M595" i="15"/>
  <c r="M596" i="15"/>
  <c r="M597" i="15"/>
  <c r="M598" i="15"/>
  <c r="M599" i="15"/>
  <c r="M600" i="15"/>
  <c r="M601" i="15"/>
  <c r="M602" i="15"/>
  <c r="M603" i="15"/>
  <c r="M604" i="15"/>
  <c r="M605" i="15"/>
  <c r="M606" i="15"/>
  <c r="M607" i="15"/>
  <c r="M608" i="15"/>
  <c r="M609" i="15"/>
  <c r="M610" i="15"/>
  <c r="M611" i="15"/>
  <c r="M612" i="15"/>
  <c r="M613" i="15"/>
  <c r="M614" i="15"/>
  <c r="M615" i="15"/>
  <c r="M616" i="15"/>
  <c r="M617" i="15"/>
  <c r="M618" i="15"/>
  <c r="M619" i="15"/>
  <c r="M620" i="15"/>
  <c r="M621" i="15"/>
  <c r="M622" i="15"/>
  <c r="M623" i="15"/>
  <c r="M624" i="15"/>
  <c r="M625" i="15"/>
  <c r="M626" i="15"/>
  <c r="M627" i="15"/>
  <c r="M628" i="15"/>
  <c r="M629" i="15"/>
  <c r="M630" i="15"/>
  <c r="M631" i="15"/>
  <c r="M632" i="15"/>
  <c r="M633" i="15"/>
  <c r="M634" i="15"/>
  <c r="M635" i="15"/>
  <c r="M636" i="15"/>
  <c r="M637" i="15"/>
  <c r="M638" i="15"/>
  <c r="M639" i="15"/>
  <c r="M640" i="15"/>
  <c r="M641" i="15"/>
  <c r="M642" i="15"/>
  <c r="M643" i="15"/>
  <c r="M644" i="15"/>
  <c r="M645" i="15"/>
  <c r="M646" i="15"/>
  <c r="M647" i="15"/>
  <c r="M648" i="15"/>
  <c r="M649" i="15"/>
  <c r="M650" i="15"/>
  <c r="M651" i="15"/>
  <c r="M652" i="15"/>
  <c r="M653" i="15"/>
  <c r="M654" i="15"/>
  <c r="M655" i="15"/>
  <c r="M656" i="15"/>
  <c r="M657" i="15"/>
  <c r="M658" i="15"/>
  <c r="M659" i="15"/>
  <c r="M660" i="15"/>
  <c r="M661" i="15"/>
  <c r="M662" i="15"/>
  <c r="M663" i="15"/>
  <c r="M664" i="15"/>
  <c r="M665" i="15"/>
  <c r="M666" i="15"/>
  <c r="M667" i="15"/>
  <c r="M668" i="15"/>
  <c r="M669" i="15"/>
  <c r="M670" i="15"/>
  <c r="M671" i="15"/>
  <c r="M672" i="15"/>
  <c r="M673" i="15"/>
  <c r="M674" i="15"/>
  <c r="M675" i="15"/>
  <c r="M676" i="15"/>
  <c r="M677" i="15"/>
  <c r="M678" i="15"/>
  <c r="M679" i="15"/>
  <c r="M680" i="15"/>
  <c r="M681" i="15"/>
  <c r="M682" i="15"/>
  <c r="M683" i="15"/>
  <c r="M684" i="15"/>
  <c r="M685" i="15"/>
  <c r="M686" i="15"/>
  <c r="M687" i="15"/>
  <c r="M688" i="15"/>
  <c r="M689" i="15"/>
  <c r="M690" i="15"/>
  <c r="M691" i="15"/>
  <c r="M692" i="15"/>
  <c r="M693" i="15"/>
  <c r="M694" i="15"/>
  <c r="M695" i="15"/>
  <c r="M696" i="15"/>
  <c r="M697" i="15"/>
  <c r="M698" i="15"/>
  <c r="M699" i="15"/>
  <c r="M700" i="15"/>
  <c r="M701" i="15"/>
  <c r="M702" i="15"/>
  <c r="M703" i="15"/>
  <c r="M704" i="15"/>
  <c r="M705" i="15"/>
  <c r="M706" i="15"/>
  <c r="M707" i="15"/>
  <c r="M708" i="15"/>
  <c r="M709" i="15"/>
  <c r="M710" i="15"/>
  <c r="M711" i="15"/>
  <c r="M712" i="15"/>
  <c r="M713" i="15"/>
  <c r="M714" i="15"/>
  <c r="M715" i="15"/>
  <c r="M716" i="15"/>
  <c r="M717" i="15"/>
  <c r="M718" i="15"/>
  <c r="M719" i="15"/>
  <c r="M720" i="15"/>
  <c r="M721" i="15"/>
  <c r="M722" i="15"/>
  <c r="M723" i="15"/>
  <c r="M724" i="15"/>
  <c r="M725" i="15"/>
  <c r="M726" i="15"/>
  <c r="M727" i="15"/>
  <c r="M728" i="15"/>
  <c r="M729" i="15"/>
  <c r="M730" i="15"/>
  <c r="M731" i="15"/>
  <c r="M732" i="15"/>
  <c r="M733" i="15"/>
  <c r="M734" i="15"/>
  <c r="M735" i="15"/>
  <c r="M736" i="15"/>
  <c r="M737" i="15"/>
  <c r="M738" i="15"/>
  <c r="M739" i="15"/>
  <c r="M740" i="15"/>
  <c r="M741" i="15"/>
  <c r="M742" i="15"/>
  <c r="M743" i="15"/>
  <c r="M744" i="15"/>
  <c r="M745" i="15"/>
  <c r="M746" i="15"/>
  <c r="M747" i="15"/>
  <c r="M748" i="15"/>
  <c r="M749" i="15"/>
  <c r="M750" i="15"/>
  <c r="M751" i="15"/>
  <c r="M752" i="15"/>
  <c r="M753" i="15"/>
  <c r="M754" i="15"/>
  <c r="M755" i="15"/>
  <c r="M756" i="15"/>
  <c r="M757" i="15"/>
  <c r="M758" i="15"/>
  <c r="M759" i="15"/>
  <c r="M760" i="15"/>
  <c r="M761" i="15"/>
  <c r="M762" i="15"/>
  <c r="M763" i="15"/>
  <c r="M764" i="15"/>
  <c r="M765" i="15"/>
  <c r="M766" i="15"/>
  <c r="M767" i="15"/>
  <c r="M768" i="15"/>
  <c r="M769" i="15"/>
  <c r="M770" i="15"/>
  <c r="M771" i="15"/>
  <c r="M772" i="15"/>
  <c r="M773" i="15"/>
  <c r="M774" i="15"/>
  <c r="M775" i="15"/>
  <c r="M776" i="15"/>
  <c r="M777" i="15"/>
  <c r="M778" i="15"/>
  <c r="M779" i="15"/>
  <c r="M780" i="15"/>
  <c r="M781" i="15"/>
  <c r="M782" i="15"/>
  <c r="M783" i="15"/>
  <c r="M784" i="15"/>
  <c r="M785" i="15"/>
  <c r="M786" i="15"/>
  <c r="M787" i="15"/>
  <c r="M788" i="15"/>
  <c r="M789" i="15"/>
  <c r="M790" i="15"/>
  <c r="M791" i="15"/>
  <c r="M792" i="15"/>
  <c r="M793" i="15"/>
  <c r="M794" i="15"/>
  <c r="M795" i="15"/>
  <c r="M796" i="15"/>
  <c r="M797" i="15"/>
  <c r="M798" i="15"/>
  <c r="M799" i="15"/>
  <c r="M800" i="15"/>
  <c r="M801" i="15"/>
  <c r="M802" i="15"/>
  <c r="M803" i="15"/>
  <c r="M804" i="15"/>
  <c r="M805" i="15"/>
  <c r="M806" i="15"/>
  <c r="M807" i="15"/>
  <c r="M808" i="15"/>
  <c r="M809" i="15"/>
  <c r="M810" i="15"/>
  <c r="M811" i="15"/>
  <c r="M812" i="15"/>
  <c r="M813" i="15"/>
  <c r="M814" i="15"/>
  <c r="M815" i="15"/>
  <c r="M816" i="15"/>
  <c r="M817" i="15"/>
  <c r="M818" i="15"/>
  <c r="M819" i="15"/>
  <c r="M820" i="15"/>
  <c r="M821" i="15"/>
  <c r="M822" i="15"/>
  <c r="M823" i="15"/>
  <c r="M824" i="15"/>
  <c r="M825" i="15"/>
  <c r="M826" i="15"/>
  <c r="M827" i="15"/>
  <c r="M828" i="15"/>
  <c r="M829" i="15"/>
  <c r="M830" i="15"/>
  <c r="M831" i="15"/>
  <c r="M832" i="15"/>
  <c r="M833" i="15"/>
  <c r="M834" i="15"/>
  <c r="M835" i="15"/>
  <c r="M836" i="15"/>
  <c r="M837" i="15"/>
  <c r="M838" i="15"/>
  <c r="M839" i="15"/>
  <c r="M840" i="15"/>
  <c r="M841" i="15"/>
  <c r="M842" i="15"/>
  <c r="M843" i="15"/>
  <c r="M844" i="15"/>
  <c r="M845" i="15"/>
  <c r="M846" i="15"/>
  <c r="M847" i="15"/>
  <c r="M848" i="15"/>
  <c r="M849" i="15"/>
  <c r="M850" i="15"/>
  <c r="M851" i="15"/>
  <c r="M852" i="15"/>
  <c r="M853" i="15"/>
  <c r="M854" i="15"/>
  <c r="M855" i="15"/>
  <c r="M856" i="15"/>
  <c r="M857" i="15"/>
  <c r="M858" i="15"/>
  <c r="M859" i="15"/>
  <c r="M860" i="15"/>
  <c r="M861" i="15"/>
  <c r="M862" i="15"/>
  <c r="M863" i="15"/>
  <c r="M864" i="15"/>
  <c r="M865" i="15"/>
  <c r="M866" i="15"/>
  <c r="M867" i="15"/>
  <c r="M868" i="15"/>
  <c r="M869" i="15"/>
  <c r="M870" i="15"/>
  <c r="M871" i="15"/>
  <c r="M872" i="15"/>
  <c r="M873" i="15"/>
  <c r="M874" i="15"/>
  <c r="M875" i="15"/>
  <c r="M876" i="15"/>
  <c r="M877" i="15"/>
  <c r="M878" i="15"/>
  <c r="M879" i="15"/>
  <c r="M880" i="15"/>
  <c r="M881" i="15"/>
  <c r="M882" i="15"/>
  <c r="M883" i="15"/>
  <c r="M884" i="15"/>
  <c r="M885" i="15"/>
  <c r="M886" i="15"/>
  <c r="M887" i="15"/>
  <c r="M888" i="15"/>
  <c r="M889" i="15"/>
  <c r="M890" i="15"/>
  <c r="M891" i="15"/>
  <c r="M892" i="15"/>
  <c r="M893" i="15"/>
  <c r="M894" i="15"/>
  <c r="M895" i="15"/>
  <c r="M896" i="15"/>
  <c r="M897" i="15"/>
  <c r="M898" i="15"/>
  <c r="M899" i="15"/>
  <c r="M900" i="15"/>
  <c r="M901" i="15"/>
  <c r="M902" i="15"/>
  <c r="M903" i="15"/>
  <c r="M904" i="15"/>
  <c r="M905" i="15"/>
  <c r="M906" i="15"/>
  <c r="M907" i="15"/>
  <c r="M908" i="15"/>
  <c r="M909" i="15"/>
  <c r="M910" i="15"/>
  <c r="M911" i="15"/>
  <c r="M912" i="15"/>
  <c r="M913" i="15"/>
  <c r="M914" i="15"/>
  <c r="M915" i="15"/>
  <c r="M916" i="15"/>
  <c r="M917" i="15"/>
  <c r="M918" i="15"/>
  <c r="M919" i="15"/>
  <c r="M920" i="15"/>
  <c r="M921" i="15"/>
  <c r="M922" i="15"/>
  <c r="M923" i="15"/>
  <c r="M924" i="15"/>
  <c r="M925" i="15"/>
  <c r="M926" i="15"/>
  <c r="M927" i="15"/>
  <c r="M928" i="15"/>
  <c r="M929" i="15"/>
  <c r="M930" i="15"/>
  <c r="M931" i="15"/>
  <c r="M932" i="15"/>
  <c r="M933" i="15"/>
  <c r="M934" i="15"/>
  <c r="M935" i="15"/>
  <c r="M936" i="15"/>
  <c r="M937" i="15"/>
  <c r="M938" i="15"/>
  <c r="M939" i="15"/>
  <c r="M940" i="15"/>
  <c r="M941" i="15"/>
  <c r="M942" i="15"/>
  <c r="M943" i="15"/>
  <c r="M944" i="15"/>
  <c r="M945" i="15"/>
  <c r="M946" i="15"/>
  <c r="M947" i="15"/>
  <c r="M948" i="15"/>
  <c r="M949" i="15"/>
  <c r="M950" i="15"/>
  <c r="M951" i="15"/>
  <c r="M952" i="15"/>
  <c r="M953" i="15"/>
  <c r="M954" i="15"/>
  <c r="M955" i="15"/>
  <c r="M956" i="15"/>
  <c r="M957" i="15"/>
  <c r="M958" i="15"/>
  <c r="M959" i="15"/>
  <c r="M960" i="15"/>
  <c r="M961" i="15"/>
  <c r="M962" i="15"/>
  <c r="M963" i="15"/>
  <c r="M964" i="15"/>
  <c r="M965" i="15"/>
  <c r="M966" i="15"/>
  <c r="M967" i="15"/>
  <c r="M968" i="15"/>
  <c r="M969" i="15"/>
  <c r="M970" i="15"/>
  <c r="M971" i="15"/>
  <c r="M972" i="15"/>
  <c r="M973" i="15"/>
  <c r="M974" i="15"/>
  <c r="M975" i="15"/>
  <c r="M976" i="15"/>
  <c r="M977" i="15"/>
  <c r="M978" i="15"/>
  <c r="M979" i="15"/>
  <c r="M980" i="15"/>
  <c r="M981" i="15"/>
  <c r="M982" i="15"/>
  <c r="M983" i="15"/>
  <c r="M984" i="15"/>
  <c r="M985" i="15"/>
  <c r="M986" i="15"/>
  <c r="M987" i="15"/>
  <c r="M988" i="15"/>
  <c r="M989" i="15"/>
  <c r="M990" i="15"/>
  <c r="M991" i="15"/>
  <c r="M992" i="15"/>
  <c r="M993" i="15"/>
  <c r="M994" i="15"/>
  <c r="M995" i="15"/>
  <c r="M996" i="15"/>
  <c r="M997" i="15"/>
  <c r="M998" i="15"/>
  <c r="M999" i="15"/>
  <c r="M1000" i="15"/>
  <c r="M1001" i="15"/>
  <c r="M1002" i="15"/>
  <c r="M1003" i="15"/>
  <c r="M1004" i="15"/>
  <c r="M1005" i="15"/>
  <c r="M1006" i="15"/>
  <c r="M1007" i="15"/>
  <c r="M1008" i="15"/>
  <c r="M1009" i="15"/>
  <c r="M1010" i="15"/>
  <c r="M1011" i="15"/>
  <c r="M1012" i="15"/>
  <c r="M1013" i="15"/>
  <c r="M1014" i="15"/>
  <c r="M1015" i="15"/>
  <c r="M1016" i="15"/>
  <c r="M1017" i="15"/>
  <c r="M1018" i="15"/>
  <c r="M1019" i="15"/>
  <c r="M1020" i="15"/>
  <c r="M1021" i="15"/>
  <c r="M1022" i="15"/>
  <c r="M1023" i="15"/>
  <c r="M1024" i="15"/>
  <c r="M1025" i="15"/>
  <c r="M1026" i="15"/>
  <c r="M1027" i="15"/>
  <c r="M1028" i="15"/>
  <c r="M1029" i="15"/>
  <c r="M1030" i="15"/>
  <c r="M1031" i="15"/>
  <c r="M1032" i="15"/>
  <c r="M1033" i="15"/>
  <c r="M1034" i="15"/>
  <c r="M1035" i="15"/>
  <c r="M1036" i="15"/>
  <c r="M1037" i="15"/>
  <c r="M1038" i="15"/>
  <c r="M1039" i="15"/>
  <c r="M1040" i="15"/>
  <c r="M1041" i="15"/>
  <c r="M1042" i="15"/>
  <c r="M1043" i="15"/>
  <c r="M1044" i="15"/>
  <c r="M1045" i="15"/>
  <c r="M1046" i="15"/>
  <c r="M1047" i="15"/>
  <c r="M1048" i="15"/>
  <c r="M1049" i="15"/>
  <c r="M1050" i="15"/>
  <c r="M1051" i="15"/>
  <c r="M1052" i="15"/>
  <c r="M1053" i="15"/>
  <c r="M1054" i="15"/>
  <c r="M1055" i="15"/>
  <c r="M1056" i="15"/>
  <c r="M1057" i="15"/>
  <c r="M1058" i="15"/>
  <c r="M1059" i="15"/>
  <c r="M1060" i="15"/>
  <c r="M1061" i="15"/>
  <c r="M1062" i="15"/>
  <c r="M1063" i="15"/>
  <c r="M1064" i="15"/>
  <c r="M1065" i="15"/>
  <c r="M1066" i="15"/>
  <c r="M1067" i="15"/>
  <c r="M1068" i="15"/>
  <c r="M1069" i="15"/>
  <c r="M1070" i="15"/>
  <c r="M1071" i="15"/>
  <c r="M1072" i="15"/>
  <c r="M1073" i="15"/>
  <c r="M1074" i="15"/>
  <c r="M1075" i="15"/>
  <c r="M1076" i="15"/>
  <c r="M1077" i="15"/>
  <c r="M1078" i="15"/>
  <c r="M1079" i="15"/>
  <c r="M1080" i="15"/>
  <c r="M1081" i="15"/>
  <c r="M1082" i="15"/>
  <c r="M1083" i="15"/>
  <c r="M1084" i="15"/>
  <c r="M1085" i="15"/>
  <c r="M1086" i="15"/>
  <c r="M1087" i="15"/>
  <c r="M1088" i="15"/>
  <c r="M1089" i="15"/>
  <c r="M1090" i="15"/>
  <c r="M1091" i="15"/>
  <c r="M1092" i="15"/>
  <c r="M1093" i="15"/>
  <c r="M1094" i="15"/>
  <c r="M1095" i="15"/>
  <c r="M1096" i="15"/>
  <c r="M1097" i="15"/>
  <c r="M1098" i="15"/>
  <c r="M1099" i="15"/>
  <c r="M1100" i="15"/>
  <c r="M1101" i="15"/>
  <c r="M1102" i="15"/>
  <c r="M1103" i="15"/>
  <c r="M1104" i="15"/>
  <c r="M1105" i="15"/>
  <c r="M1106" i="15"/>
  <c r="M1107" i="15"/>
  <c r="M1108" i="15"/>
  <c r="M1109" i="15"/>
  <c r="M1110" i="15"/>
  <c r="M1111" i="15"/>
  <c r="M1112" i="15"/>
  <c r="M1113" i="15"/>
  <c r="M1114" i="15"/>
  <c r="M1115" i="15"/>
  <c r="M1116" i="15"/>
  <c r="M1117" i="15"/>
  <c r="M1118" i="15"/>
  <c r="M1119" i="15"/>
  <c r="M1120" i="15"/>
  <c r="M1121" i="15"/>
  <c r="M1122" i="15"/>
  <c r="M1123" i="15"/>
  <c r="M1124" i="15"/>
  <c r="M1125" i="15"/>
  <c r="M1126" i="15"/>
  <c r="M1127" i="15"/>
  <c r="M1128" i="15"/>
  <c r="M1129" i="15"/>
  <c r="M1130" i="15"/>
  <c r="M1131" i="15"/>
  <c r="M1132" i="15"/>
  <c r="M1133" i="15"/>
  <c r="M1134" i="15"/>
  <c r="M1135" i="15"/>
  <c r="M1136" i="15"/>
  <c r="M1137" i="15"/>
  <c r="M1138" i="15"/>
  <c r="M1139" i="15"/>
  <c r="M1140" i="15"/>
  <c r="M1141" i="15"/>
  <c r="M1142" i="15"/>
  <c r="M1143" i="15"/>
  <c r="M1144" i="15"/>
  <c r="M1145" i="15"/>
  <c r="M1146" i="15"/>
  <c r="M1147" i="15"/>
  <c r="M1148" i="15"/>
  <c r="M1149" i="15"/>
  <c r="M1150" i="15"/>
  <c r="M1151" i="15"/>
  <c r="M1152" i="15"/>
  <c r="M1153" i="15"/>
  <c r="M1154" i="15"/>
  <c r="M1155" i="15"/>
  <c r="M1156" i="15"/>
  <c r="M1157" i="15"/>
  <c r="M1158" i="15"/>
  <c r="M1159" i="15"/>
  <c r="M1160" i="15"/>
  <c r="M1161" i="15"/>
  <c r="M1162" i="15"/>
  <c r="M1163" i="15"/>
  <c r="M1164" i="15"/>
  <c r="M1165" i="15"/>
  <c r="M1166" i="15"/>
  <c r="M1167" i="15"/>
  <c r="M1168" i="15"/>
  <c r="M1169" i="15"/>
  <c r="M1170" i="15"/>
  <c r="M1171" i="15"/>
  <c r="M1172" i="15"/>
  <c r="M1173" i="15"/>
  <c r="M1174" i="15"/>
  <c r="M1175" i="15"/>
  <c r="M1176" i="15"/>
  <c r="M1177" i="15"/>
  <c r="M1178" i="15"/>
  <c r="M1179" i="15"/>
  <c r="M1180" i="15"/>
  <c r="M1181" i="15"/>
  <c r="M1182" i="15"/>
  <c r="M1183" i="15"/>
  <c r="M1184" i="15"/>
  <c r="M1185" i="15"/>
  <c r="M1186" i="15"/>
  <c r="M1187" i="15"/>
  <c r="M1188" i="15"/>
  <c r="M1189" i="15"/>
  <c r="M1190" i="15"/>
  <c r="M1191" i="15"/>
  <c r="M1192" i="15"/>
  <c r="M1193" i="15"/>
  <c r="M1194" i="15"/>
  <c r="M1195" i="15"/>
  <c r="M1196" i="15"/>
  <c r="M1197" i="15"/>
  <c r="M1198" i="15"/>
  <c r="M1199" i="15"/>
  <c r="M1200" i="15"/>
  <c r="M1201" i="15"/>
  <c r="M1202" i="15"/>
  <c r="M1203" i="15"/>
  <c r="M1204" i="15"/>
  <c r="M1205" i="15"/>
  <c r="M1206" i="15"/>
  <c r="M1207" i="15"/>
  <c r="M1208" i="15"/>
  <c r="M1209" i="15"/>
  <c r="M1210" i="15"/>
  <c r="M1211" i="15"/>
  <c r="M1212" i="15"/>
  <c r="M1213" i="15"/>
  <c r="M1214" i="15"/>
  <c r="M1215" i="15"/>
  <c r="M1216" i="15"/>
  <c r="M1217" i="15"/>
  <c r="M1218" i="15"/>
  <c r="M1219" i="15"/>
  <c r="M1220" i="15"/>
  <c r="M1221" i="15"/>
  <c r="M1222" i="15"/>
  <c r="M1223" i="15"/>
  <c r="M1224" i="15"/>
  <c r="M1225" i="15"/>
  <c r="M1226" i="15"/>
  <c r="M1227" i="15"/>
  <c r="M1228" i="15"/>
  <c r="M1229" i="15"/>
  <c r="M1230" i="15"/>
  <c r="M1231" i="15"/>
  <c r="M1232" i="15"/>
  <c r="M1233" i="15"/>
  <c r="M1234" i="15"/>
  <c r="M1235" i="15"/>
  <c r="M1236" i="15"/>
  <c r="M1237" i="15"/>
  <c r="M1238" i="15"/>
  <c r="M1239" i="15"/>
  <c r="M1240" i="15"/>
  <c r="M1241" i="15"/>
  <c r="M1242" i="15"/>
  <c r="M1243" i="15"/>
  <c r="M1244" i="15"/>
  <c r="M1245" i="15"/>
  <c r="M1246" i="15"/>
  <c r="M1247" i="15"/>
  <c r="M1248" i="15"/>
  <c r="M1249" i="15"/>
  <c r="M1250" i="15"/>
  <c r="M1251" i="15"/>
  <c r="M1252" i="15"/>
  <c r="M1253" i="15"/>
  <c r="M1254" i="15"/>
  <c r="M1255" i="15"/>
  <c r="M1256" i="15"/>
  <c r="M1257" i="15"/>
  <c r="M1258" i="15"/>
  <c r="M1259" i="15"/>
  <c r="M1260" i="15"/>
  <c r="M1261" i="15"/>
  <c r="M1262" i="15"/>
  <c r="M1263" i="15"/>
  <c r="M1264" i="15"/>
  <c r="M1265" i="15"/>
  <c r="M1266" i="15"/>
  <c r="M1267" i="15"/>
  <c r="M1268" i="15"/>
  <c r="M1269" i="15"/>
  <c r="M1270" i="15"/>
  <c r="M1271" i="15"/>
  <c r="M1272" i="15"/>
  <c r="M1273" i="15"/>
  <c r="M1274" i="15"/>
  <c r="M1275" i="15"/>
  <c r="M1276" i="15"/>
  <c r="M1277" i="15"/>
  <c r="M1278" i="15"/>
  <c r="M1279" i="15"/>
  <c r="M1280" i="15"/>
  <c r="M1281" i="15"/>
  <c r="M1282" i="15"/>
  <c r="M1283" i="15"/>
  <c r="M1284" i="15"/>
  <c r="M1285" i="15"/>
  <c r="M1286" i="15"/>
  <c r="M1287" i="15"/>
  <c r="M1288" i="15"/>
  <c r="M1289" i="15"/>
  <c r="M1290" i="15"/>
  <c r="M1291" i="15"/>
  <c r="M1292" i="15"/>
  <c r="M1293" i="15"/>
  <c r="M1294" i="15"/>
  <c r="M1295" i="15"/>
  <c r="M1296" i="15"/>
  <c r="M1297" i="15"/>
  <c r="M1298" i="15"/>
  <c r="M1299" i="15"/>
  <c r="M1300" i="15"/>
  <c r="M1301" i="15"/>
  <c r="M1302" i="15"/>
  <c r="M1303" i="15"/>
  <c r="M1304" i="15"/>
  <c r="M1305" i="15"/>
  <c r="M1306" i="15"/>
  <c r="M1307" i="15"/>
  <c r="M1308" i="15"/>
  <c r="M1309" i="15"/>
  <c r="M1310" i="15"/>
  <c r="M1311" i="15"/>
  <c r="M1312" i="15"/>
  <c r="M1313" i="15"/>
  <c r="M1314" i="15"/>
  <c r="M1315" i="15"/>
  <c r="M1316" i="15"/>
  <c r="M1317" i="15"/>
  <c r="M1318" i="15"/>
  <c r="M1319" i="15"/>
  <c r="M1320" i="15"/>
  <c r="M1321" i="15"/>
  <c r="M1322" i="15"/>
  <c r="M1323" i="15"/>
  <c r="M1324" i="15"/>
  <c r="M1325" i="15"/>
  <c r="M1326" i="15"/>
  <c r="M1327" i="15"/>
  <c r="M1328" i="15"/>
  <c r="M1329" i="15"/>
  <c r="M1330" i="15"/>
  <c r="M1331" i="15"/>
  <c r="M1332" i="15"/>
  <c r="M1333" i="15"/>
  <c r="M1334" i="15"/>
  <c r="M1335" i="15"/>
  <c r="M1336" i="15"/>
  <c r="M1337" i="15"/>
  <c r="M1338" i="15"/>
  <c r="M1339" i="15"/>
  <c r="M1340" i="15"/>
  <c r="M1341" i="15"/>
  <c r="M1342" i="15"/>
  <c r="M1343" i="15"/>
  <c r="M1344" i="15"/>
  <c r="M1345" i="15"/>
  <c r="M1346" i="15"/>
  <c r="M1347" i="15"/>
  <c r="M1348" i="15"/>
  <c r="M1349" i="15"/>
  <c r="M1350" i="15"/>
  <c r="M1351" i="15"/>
  <c r="M1352" i="15"/>
  <c r="M1353" i="15"/>
  <c r="M1354" i="15"/>
  <c r="M1355" i="15"/>
  <c r="M1356" i="15"/>
  <c r="M1357" i="15"/>
  <c r="M1358" i="15"/>
  <c r="M1359" i="15"/>
  <c r="M1360" i="15"/>
  <c r="M1361" i="15"/>
  <c r="M1362" i="15"/>
  <c r="M1363" i="15"/>
  <c r="M1364" i="15"/>
  <c r="M1365" i="15"/>
  <c r="M1366" i="15"/>
  <c r="M1367" i="15"/>
  <c r="M1368" i="15"/>
  <c r="M1369" i="15"/>
  <c r="M1370" i="15"/>
  <c r="M1371" i="15"/>
  <c r="M1372" i="15"/>
  <c r="M1373" i="15"/>
  <c r="M1374" i="15"/>
  <c r="M1375" i="15"/>
  <c r="M1376" i="15"/>
  <c r="M1377" i="15"/>
  <c r="M1378" i="15"/>
  <c r="M1379" i="15"/>
  <c r="M1380" i="15"/>
  <c r="M1381" i="15"/>
  <c r="M1382" i="15"/>
  <c r="M1383" i="15"/>
  <c r="M1384" i="15"/>
  <c r="M1385" i="15"/>
  <c r="M1386" i="15"/>
  <c r="M1387" i="15"/>
  <c r="M1388" i="15"/>
  <c r="M1389" i="15"/>
  <c r="M1390" i="15"/>
  <c r="M1391" i="15"/>
  <c r="M1392" i="15"/>
  <c r="M1393" i="15"/>
  <c r="M1394" i="15"/>
  <c r="M1395" i="15"/>
  <c r="M1396" i="15"/>
  <c r="M1397" i="15"/>
  <c r="M1398" i="15"/>
  <c r="M1399" i="15"/>
  <c r="M1400" i="15"/>
  <c r="M1401" i="15"/>
  <c r="M1402" i="15"/>
  <c r="M1403" i="15"/>
  <c r="M1404" i="15"/>
  <c r="M1405" i="15"/>
  <c r="M1406" i="15"/>
  <c r="M1407" i="15"/>
  <c r="M1408" i="15"/>
  <c r="M1409" i="15"/>
  <c r="M1410" i="15"/>
  <c r="M1411" i="15"/>
  <c r="M1412" i="15"/>
  <c r="M1413" i="15"/>
  <c r="M1414" i="15"/>
  <c r="M1415" i="15"/>
  <c r="M1416" i="15"/>
  <c r="M1417" i="15"/>
  <c r="M1418" i="15"/>
  <c r="M1419" i="15"/>
  <c r="M1420" i="15"/>
  <c r="M1421" i="15"/>
  <c r="M1422" i="15"/>
  <c r="M1423" i="15"/>
  <c r="M1424" i="15"/>
  <c r="M1425" i="15"/>
  <c r="M1426" i="15"/>
  <c r="M1427" i="15"/>
  <c r="M1428" i="15"/>
  <c r="M1429" i="15"/>
  <c r="M1430" i="15"/>
  <c r="M1431" i="15"/>
  <c r="M1432" i="15"/>
  <c r="M1433" i="15"/>
  <c r="M1434" i="15"/>
  <c r="M1435" i="15"/>
  <c r="M1436" i="15"/>
  <c r="M1437" i="15"/>
  <c r="M1438" i="15"/>
  <c r="M1439" i="15"/>
  <c r="M1440" i="15"/>
  <c r="M1441" i="15"/>
  <c r="M1442" i="15"/>
  <c r="M1443" i="15"/>
  <c r="M1444" i="15"/>
  <c r="M1445" i="15"/>
  <c r="M1446" i="15"/>
  <c r="M1447" i="15"/>
  <c r="M1448" i="15"/>
  <c r="M1449" i="15"/>
  <c r="M1450" i="15"/>
  <c r="M1451" i="15"/>
  <c r="M1452" i="15"/>
  <c r="M1453" i="15"/>
  <c r="M1454" i="15"/>
  <c r="M1455" i="15"/>
  <c r="M1456" i="15"/>
  <c r="M1457" i="15"/>
  <c r="M1458" i="15"/>
  <c r="M1459" i="15"/>
  <c r="M1460" i="15"/>
  <c r="M1461" i="15"/>
  <c r="M1462" i="15"/>
  <c r="M1463" i="15"/>
  <c r="M1464" i="15"/>
  <c r="M1465" i="15"/>
  <c r="M1466" i="15"/>
  <c r="M1467" i="15"/>
  <c r="M1468" i="15"/>
  <c r="M1469" i="15"/>
  <c r="M1470" i="15"/>
  <c r="M1471" i="15"/>
  <c r="M1472" i="15"/>
  <c r="M1473" i="15"/>
  <c r="M1474" i="15"/>
  <c r="M1475" i="15"/>
  <c r="M1476" i="15"/>
  <c r="M1477" i="15"/>
  <c r="M1478" i="15"/>
  <c r="M1479" i="15"/>
  <c r="M1480" i="15"/>
  <c r="M1481" i="15"/>
  <c r="M1482" i="15"/>
  <c r="M1483" i="15"/>
  <c r="M1484" i="15"/>
  <c r="M1485" i="15"/>
  <c r="M1486" i="15"/>
  <c r="M1487" i="15"/>
  <c r="M1488" i="15"/>
  <c r="M1489" i="15"/>
  <c r="M1490" i="15"/>
  <c r="M1491" i="15"/>
  <c r="M1492" i="15"/>
  <c r="M1493" i="15"/>
  <c r="M1494" i="15"/>
  <c r="M1495" i="15"/>
  <c r="M1496" i="15"/>
  <c r="M1497" i="15"/>
  <c r="M1498" i="15"/>
  <c r="M1499" i="15"/>
  <c r="M1500" i="15"/>
  <c r="M1501" i="15"/>
  <c r="M1502" i="15"/>
  <c r="M1503" i="15"/>
  <c r="M1504" i="15"/>
  <c r="M1505" i="15"/>
  <c r="M1506" i="15"/>
  <c r="M1507" i="15"/>
  <c r="M1508" i="15"/>
  <c r="M1509" i="15"/>
  <c r="M1510" i="15"/>
  <c r="M1511" i="15"/>
  <c r="M1512" i="15"/>
  <c r="M1513" i="15"/>
  <c r="M1514" i="15"/>
  <c r="M1515" i="15"/>
  <c r="M1516" i="15"/>
  <c r="M1517" i="15"/>
  <c r="M1518" i="15"/>
  <c r="M1519" i="15"/>
  <c r="M1520" i="15"/>
  <c r="M1521" i="15"/>
  <c r="M1522" i="15"/>
  <c r="M1523" i="15"/>
  <c r="M4" i="15"/>
  <c r="K83" i="19"/>
  <c r="K82" i="19"/>
  <c r="K81" i="19"/>
  <c r="K80" i="19"/>
  <c r="K79" i="19"/>
  <c r="K78" i="19"/>
  <c r="K77" i="19"/>
  <c r="K76" i="19"/>
  <c r="K75" i="19"/>
  <c r="K74" i="19"/>
  <c r="K73" i="19"/>
  <c r="K72" i="19"/>
  <c r="K71" i="19"/>
  <c r="K70" i="19"/>
  <c r="K69" i="19"/>
  <c r="K68" i="19"/>
  <c r="K67" i="19"/>
  <c r="K66" i="19"/>
  <c r="K65" i="19"/>
  <c r="K64" i="19"/>
  <c r="K63" i="19"/>
  <c r="K62" i="19"/>
  <c r="K61" i="19"/>
  <c r="K60" i="19"/>
  <c r="K59" i="19"/>
  <c r="K58" i="19"/>
  <c r="K57" i="19"/>
  <c r="K56" i="19"/>
  <c r="K55" i="19"/>
  <c r="K54" i="19"/>
  <c r="K53" i="19"/>
  <c r="K52" i="19"/>
  <c r="K51" i="19"/>
  <c r="K50" i="19"/>
  <c r="K49" i="19"/>
  <c r="K48" i="19"/>
  <c r="K47" i="19"/>
  <c r="K46" i="19"/>
  <c r="K45" i="19"/>
  <c r="K44" i="19"/>
  <c r="K43" i="19"/>
  <c r="K42" i="19"/>
  <c r="K41" i="19"/>
  <c r="K40" i="19"/>
  <c r="K39" i="19"/>
  <c r="L39" i="19" s="1"/>
  <c r="M39" i="19" s="1"/>
  <c r="K38" i="19"/>
  <c r="L38" i="19" s="1"/>
  <c r="M38" i="19" s="1"/>
  <c r="N38" i="19" s="1"/>
  <c r="O38" i="19" s="1"/>
  <c r="P38" i="19" s="1"/>
  <c r="Q38" i="19" s="1"/>
  <c r="K37" i="19"/>
  <c r="L37" i="19" s="1"/>
  <c r="M37" i="19" s="1"/>
  <c r="K36" i="19"/>
  <c r="L36" i="19" s="1"/>
  <c r="M36" i="19" s="1"/>
  <c r="N36" i="19" s="1"/>
  <c r="O36" i="19" s="1"/>
  <c r="P36" i="19" s="1"/>
  <c r="Q36" i="19" s="1"/>
  <c r="K35" i="19"/>
  <c r="L35" i="19" s="1"/>
  <c r="M35" i="19" s="1"/>
  <c r="K34" i="19"/>
  <c r="L34" i="19" s="1"/>
  <c r="M34" i="19" s="1"/>
  <c r="N34" i="19" s="1"/>
  <c r="O34" i="19" s="1"/>
  <c r="P34" i="19" s="1"/>
  <c r="Q34" i="19" s="1"/>
  <c r="K33" i="19"/>
  <c r="L33" i="19" s="1"/>
  <c r="M33" i="19" s="1"/>
  <c r="K32" i="19"/>
  <c r="L32" i="19" s="1"/>
  <c r="M32" i="19" s="1"/>
  <c r="N32" i="19" s="1"/>
  <c r="O32" i="19" s="1"/>
  <c r="P32" i="19" s="1"/>
  <c r="Q32" i="19" s="1"/>
  <c r="K31" i="19"/>
  <c r="L31" i="19" s="1"/>
  <c r="M31" i="19" s="1"/>
  <c r="K30" i="19"/>
  <c r="L30" i="19" s="1"/>
  <c r="M30" i="19" s="1"/>
  <c r="N30" i="19" s="1"/>
  <c r="O30" i="19" s="1"/>
  <c r="P30" i="19" s="1"/>
  <c r="Q30" i="19" s="1"/>
  <c r="K29" i="19"/>
  <c r="L29" i="19" s="1"/>
  <c r="M29" i="19" s="1"/>
  <c r="K28" i="19"/>
  <c r="L28" i="19" s="1"/>
  <c r="M28" i="19" s="1"/>
  <c r="N28" i="19" s="1"/>
  <c r="O28" i="19" s="1"/>
  <c r="P28" i="19" s="1"/>
  <c r="Q28" i="19" s="1"/>
  <c r="K27" i="19"/>
  <c r="L27" i="19" s="1"/>
  <c r="M27" i="19" s="1"/>
  <c r="N27" i="19" s="1"/>
  <c r="O27" i="19" s="1"/>
  <c r="P27" i="19" s="1"/>
  <c r="Q27" i="19" s="1"/>
  <c r="R27" i="19" s="1"/>
  <c r="S27" i="19" s="1"/>
  <c r="T27" i="19" s="1"/>
  <c r="U27" i="19" s="1"/>
  <c r="K26" i="19"/>
  <c r="L26" i="19" s="1"/>
  <c r="M26" i="19" s="1"/>
  <c r="N26" i="19" s="1"/>
  <c r="O26" i="19" s="1"/>
  <c r="P26" i="19" s="1"/>
  <c r="Q26" i="19" s="1"/>
  <c r="R26" i="19" s="1"/>
  <c r="S26" i="19" s="1"/>
  <c r="T26" i="19" s="1"/>
  <c r="U26" i="19" s="1"/>
  <c r="V26" i="19" s="1"/>
  <c r="K25" i="19"/>
  <c r="L25" i="19" s="1"/>
  <c r="M25" i="19" s="1"/>
  <c r="N25" i="19" s="1"/>
  <c r="O25" i="19" s="1"/>
  <c r="P25" i="19" s="1"/>
  <c r="Q25" i="19" s="1"/>
  <c r="R25" i="19" s="1"/>
  <c r="S25" i="19" s="1"/>
  <c r="T25" i="19" s="1"/>
  <c r="U25" i="19" s="1"/>
  <c r="V25" i="19" s="1"/>
  <c r="K24" i="19"/>
  <c r="L24" i="19" s="1"/>
  <c r="M24" i="19" s="1"/>
  <c r="N24" i="19" s="1"/>
  <c r="O24" i="19" s="1"/>
  <c r="P24" i="19" s="1"/>
  <c r="Q24" i="19" s="1"/>
  <c r="R24" i="19" s="1"/>
  <c r="S24" i="19" s="1"/>
  <c r="T24" i="19" s="1"/>
  <c r="U24" i="19" s="1"/>
  <c r="V24" i="19" s="1"/>
  <c r="K23" i="19"/>
  <c r="L23" i="19" s="1"/>
  <c r="M23" i="19" s="1"/>
  <c r="N23" i="19" s="1"/>
  <c r="O23" i="19" s="1"/>
  <c r="P23" i="19" s="1"/>
  <c r="Q23" i="19" s="1"/>
  <c r="R23" i="19" s="1"/>
  <c r="S23" i="19" s="1"/>
  <c r="T23" i="19" s="1"/>
  <c r="U23" i="19" s="1"/>
  <c r="V23" i="19" s="1"/>
  <c r="X2" i="19"/>
  <c r="L26" i="18" l="1"/>
  <c r="L24" i="18"/>
  <c r="L38" i="18"/>
  <c r="V27" i="19"/>
  <c r="N35" i="19"/>
  <c r="L43" i="19"/>
  <c r="L43" i="18"/>
  <c r="L51" i="19"/>
  <c r="L51" i="18"/>
  <c r="L59" i="19"/>
  <c r="L59" i="18"/>
  <c r="L67" i="19"/>
  <c r="L67" i="18"/>
  <c r="L75" i="19"/>
  <c r="L75" i="18"/>
  <c r="L83" i="19"/>
  <c r="L83" i="18"/>
  <c r="L28" i="18"/>
  <c r="L31" i="18"/>
  <c r="L32" i="18"/>
  <c r="L35" i="18"/>
  <c r="R38" i="19"/>
  <c r="L46" i="19"/>
  <c r="L46" i="18"/>
  <c r="L54" i="19"/>
  <c r="L54" i="18"/>
  <c r="L62" i="19"/>
  <c r="L62" i="18"/>
  <c r="L70" i="19"/>
  <c r="L70" i="18"/>
  <c r="L78" i="19"/>
  <c r="L78" i="18"/>
  <c r="L29" i="18"/>
  <c r="R28" i="19"/>
  <c r="R30" i="19"/>
  <c r="N31" i="19"/>
  <c r="N39" i="19"/>
  <c r="L47" i="19"/>
  <c r="L47" i="18"/>
  <c r="L55" i="19"/>
  <c r="L55" i="18"/>
  <c r="L63" i="19"/>
  <c r="L63" i="18"/>
  <c r="L71" i="19"/>
  <c r="L71" i="18"/>
  <c r="L79" i="19"/>
  <c r="L79" i="18"/>
  <c r="L36" i="18"/>
  <c r="L39" i="18"/>
  <c r="N29" i="19"/>
  <c r="N37" i="19"/>
  <c r="L45" i="19"/>
  <c r="L45" i="18"/>
  <c r="L53" i="19"/>
  <c r="L53" i="18"/>
  <c r="L61" i="19"/>
  <c r="L61" i="18"/>
  <c r="L69" i="19"/>
  <c r="L69" i="18"/>
  <c r="L77" i="19"/>
  <c r="L77" i="18"/>
  <c r="R32" i="19"/>
  <c r="L40" i="19"/>
  <c r="L40" i="18"/>
  <c r="L48" i="19"/>
  <c r="L48" i="18"/>
  <c r="L56" i="19"/>
  <c r="L56" i="18"/>
  <c r="L64" i="19"/>
  <c r="L64" i="18"/>
  <c r="L72" i="19"/>
  <c r="L72" i="18"/>
  <c r="L80" i="19"/>
  <c r="L80" i="18"/>
  <c r="L25" i="18"/>
  <c r="L27" i="18"/>
  <c r="L30" i="18"/>
  <c r="L33" i="18"/>
  <c r="R36" i="19"/>
  <c r="L44" i="19"/>
  <c r="L44" i="18"/>
  <c r="L52" i="19"/>
  <c r="L52" i="18"/>
  <c r="L60" i="19"/>
  <c r="L60" i="18"/>
  <c r="L68" i="19"/>
  <c r="L68" i="18"/>
  <c r="L76" i="19"/>
  <c r="L76" i="18"/>
  <c r="N33" i="19"/>
  <c r="L41" i="19"/>
  <c r="L41" i="18"/>
  <c r="L49" i="19"/>
  <c r="L49" i="18"/>
  <c r="L57" i="19"/>
  <c r="L57" i="18"/>
  <c r="L65" i="19"/>
  <c r="L65" i="18"/>
  <c r="L73" i="19"/>
  <c r="L73" i="18"/>
  <c r="L81" i="19"/>
  <c r="L81" i="18"/>
  <c r="R34" i="19"/>
  <c r="L42" i="19"/>
  <c r="L42" i="18"/>
  <c r="L50" i="19"/>
  <c r="L50" i="18"/>
  <c r="L58" i="19"/>
  <c r="L58" i="18"/>
  <c r="L66" i="19"/>
  <c r="L66" i="18"/>
  <c r="L74" i="19"/>
  <c r="L74" i="18"/>
  <c r="L82" i="19"/>
  <c r="L82" i="18"/>
  <c r="L34" i="18"/>
  <c r="L37" i="18"/>
  <c r="K22" i="19"/>
  <c r="L22" i="19" s="1"/>
  <c r="M22" i="19" s="1"/>
  <c r="N22" i="19" s="1"/>
  <c r="O22" i="19" s="1"/>
  <c r="P22" i="19" s="1"/>
  <c r="Q22" i="19" s="1"/>
  <c r="R22" i="19" s="1"/>
  <c r="S22" i="19" s="1"/>
  <c r="T22" i="19" s="1"/>
  <c r="U22" i="19" s="1"/>
  <c r="V22" i="19" s="1"/>
  <c r="K21" i="19"/>
  <c r="L21" i="19" s="1"/>
  <c r="M21" i="19" s="1"/>
  <c r="N21" i="19" s="1"/>
  <c r="O21" i="19" s="1"/>
  <c r="P21" i="19" s="1"/>
  <c r="Q21" i="19" s="1"/>
  <c r="R21" i="19" s="1"/>
  <c r="S21" i="19" s="1"/>
  <c r="T21" i="19" s="1"/>
  <c r="U21" i="19" s="1"/>
  <c r="V21" i="19" s="1"/>
  <c r="K20" i="19"/>
  <c r="L20" i="19" s="1"/>
  <c r="M20" i="19" s="1"/>
  <c r="N20" i="19" s="1"/>
  <c r="O20" i="19" s="1"/>
  <c r="P20" i="19" s="1"/>
  <c r="Q20" i="19" s="1"/>
  <c r="R20" i="19" s="1"/>
  <c r="S20" i="19" s="1"/>
  <c r="T20" i="19" s="1"/>
  <c r="U20" i="19" s="1"/>
  <c r="V20" i="19" s="1"/>
  <c r="K19" i="19"/>
  <c r="L19" i="19" s="1"/>
  <c r="M19" i="19" s="1"/>
  <c r="N19" i="19" s="1"/>
  <c r="O19" i="19" s="1"/>
  <c r="P19" i="19" s="1"/>
  <c r="Q19" i="19" s="1"/>
  <c r="R19" i="19" s="1"/>
  <c r="S19" i="19" s="1"/>
  <c r="T19" i="19" s="1"/>
  <c r="U19" i="19" s="1"/>
  <c r="V19" i="19" s="1"/>
  <c r="K18" i="19"/>
  <c r="L18" i="19" s="1"/>
  <c r="M18" i="19" s="1"/>
  <c r="N18" i="19" s="1"/>
  <c r="O18" i="19" s="1"/>
  <c r="P18" i="19" s="1"/>
  <c r="Q18" i="19" s="1"/>
  <c r="R18" i="19" s="1"/>
  <c r="S18" i="19" s="1"/>
  <c r="T18" i="19" s="1"/>
  <c r="U18" i="19" s="1"/>
  <c r="V18" i="19" s="1"/>
  <c r="K17" i="19"/>
  <c r="L17" i="19" s="1"/>
  <c r="M17" i="19" s="1"/>
  <c r="N17" i="19" s="1"/>
  <c r="O17" i="19" s="1"/>
  <c r="P17" i="19" s="1"/>
  <c r="Q17" i="19" s="1"/>
  <c r="R17" i="19" s="1"/>
  <c r="S17" i="19" s="1"/>
  <c r="T17" i="19" s="1"/>
  <c r="U17" i="19" s="1"/>
  <c r="V17" i="19" s="1"/>
  <c r="K16" i="19"/>
  <c r="L16" i="19" s="1"/>
  <c r="M16" i="19" s="1"/>
  <c r="N16" i="19" s="1"/>
  <c r="O16" i="19" s="1"/>
  <c r="P16" i="19" s="1"/>
  <c r="Q16" i="19" s="1"/>
  <c r="R16" i="19" s="1"/>
  <c r="S16" i="19" s="1"/>
  <c r="T16" i="19" s="1"/>
  <c r="U16" i="19" s="1"/>
  <c r="V16" i="19" s="1"/>
  <c r="K15" i="19"/>
  <c r="L15" i="19" s="1"/>
  <c r="M15" i="19" s="1"/>
  <c r="N15" i="19" s="1"/>
  <c r="O15" i="19" s="1"/>
  <c r="P15" i="19" s="1"/>
  <c r="Q15" i="19" s="1"/>
  <c r="R15" i="19" s="1"/>
  <c r="S15" i="19" s="1"/>
  <c r="T15" i="19" s="1"/>
  <c r="U15" i="19" s="1"/>
  <c r="V15" i="19" s="1"/>
  <c r="K14" i="19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K13" i="19"/>
  <c r="L13" i="19" s="1"/>
  <c r="M13" i="19" s="1"/>
  <c r="N13" i="19" s="1"/>
  <c r="O13" i="19" s="1"/>
  <c r="P13" i="19" s="1"/>
  <c r="Q13" i="19" s="1"/>
  <c r="R13" i="19" s="1"/>
  <c r="S13" i="19" s="1"/>
  <c r="T13" i="19" s="1"/>
  <c r="U13" i="19" s="1"/>
  <c r="V13" i="19" s="1"/>
  <c r="K12" i="19"/>
  <c r="L12" i="19" s="1"/>
  <c r="M12" i="19" s="1"/>
  <c r="N12" i="19" s="1"/>
  <c r="O12" i="19" s="1"/>
  <c r="P12" i="19" s="1"/>
  <c r="Q12" i="19" s="1"/>
  <c r="R12" i="19" s="1"/>
  <c r="S12" i="19" s="1"/>
  <c r="T12" i="19" s="1"/>
  <c r="U12" i="19" s="1"/>
  <c r="V12" i="19" s="1"/>
  <c r="K11" i="19"/>
  <c r="L11" i="19" s="1"/>
  <c r="M11" i="19" s="1"/>
  <c r="N11" i="19" s="1"/>
  <c r="O11" i="19" s="1"/>
  <c r="P11" i="19" s="1"/>
  <c r="Q11" i="19" s="1"/>
  <c r="R11" i="19" s="1"/>
  <c r="S11" i="19" s="1"/>
  <c r="T11" i="19" s="1"/>
  <c r="U11" i="19" s="1"/>
  <c r="V11" i="19" s="1"/>
  <c r="K10" i="19"/>
  <c r="L10" i="19" s="1"/>
  <c r="M10" i="19" s="1"/>
  <c r="N10" i="19" s="1"/>
  <c r="O10" i="19" s="1"/>
  <c r="P10" i="19" s="1"/>
  <c r="Q10" i="19" s="1"/>
  <c r="R10" i="19" s="1"/>
  <c r="S10" i="19" s="1"/>
  <c r="T10" i="19" s="1"/>
  <c r="U10" i="19" s="1"/>
  <c r="V10" i="19" s="1"/>
  <c r="K9" i="19"/>
  <c r="L9" i="19" s="1"/>
  <c r="M9" i="19" s="1"/>
  <c r="N9" i="19" s="1"/>
  <c r="O9" i="19" s="1"/>
  <c r="P9" i="19" s="1"/>
  <c r="Q9" i="19" s="1"/>
  <c r="R9" i="19" s="1"/>
  <c r="S9" i="19" s="1"/>
  <c r="T9" i="19" s="1"/>
  <c r="U9" i="19" s="1"/>
  <c r="V9" i="19" s="1"/>
  <c r="K8" i="19"/>
  <c r="L8" i="19" s="1"/>
  <c r="M8" i="19" s="1"/>
  <c r="N8" i="19" s="1"/>
  <c r="O8" i="19" s="1"/>
  <c r="P8" i="19" s="1"/>
  <c r="Q8" i="19" s="1"/>
  <c r="R8" i="19" s="1"/>
  <c r="S8" i="19" s="1"/>
  <c r="T8" i="19" s="1"/>
  <c r="U8" i="19" s="1"/>
  <c r="V8" i="19" s="1"/>
  <c r="K7" i="19"/>
  <c r="L7" i="19" s="1"/>
  <c r="M7" i="19" s="1"/>
  <c r="N7" i="19" s="1"/>
  <c r="O7" i="19" s="1"/>
  <c r="P7" i="19" s="1"/>
  <c r="Q7" i="19" s="1"/>
  <c r="R7" i="19" s="1"/>
  <c r="S7" i="19" s="1"/>
  <c r="T7" i="19" s="1"/>
  <c r="U7" i="19" s="1"/>
  <c r="V7" i="19" s="1"/>
  <c r="K6" i="19"/>
  <c r="L6" i="19" s="1"/>
  <c r="M6" i="19" s="1"/>
  <c r="N6" i="19" s="1"/>
  <c r="O6" i="19" s="1"/>
  <c r="P6" i="19" s="1"/>
  <c r="Q6" i="19" s="1"/>
  <c r="R6" i="19" s="1"/>
  <c r="S6" i="19" s="1"/>
  <c r="T6" i="19" s="1"/>
  <c r="U6" i="19" s="1"/>
  <c r="V6" i="19" s="1"/>
  <c r="K5" i="19"/>
  <c r="L5" i="19" s="1"/>
  <c r="M5" i="19" s="1"/>
  <c r="N5" i="19" s="1"/>
  <c r="O5" i="19" s="1"/>
  <c r="P5" i="19" s="1"/>
  <c r="Q5" i="19" s="1"/>
  <c r="R5" i="19" s="1"/>
  <c r="S5" i="19" s="1"/>
  <c r="T5" i="19" s="1"/>
  <c r="U5" i="19" s="1"/>
  <c r="V5" i="19" s="1"/>
  <c r="K4" i="19"/>
  <c r="L4" i="19" s="1"/>
  <c r="M4" i="19" s="1"/>
  <c r="N4" i="19" s="1"/>
  <c r="O4" i="19" s="1"/>
  <c r="P4" i="19" s="1"/>
  <c r="Q4" i="19" s="1"/>
  <c r="R4" i="19" s="1"/>
  <c r="S4" i="19" s="1"/>
  <c r="T4" i="19" s="1"/>
  <c r="U4" i="19" s="1"/>
  <c r="V4" i="19" s="1"/>
  <c r="M56" i="19" l="1"/>
  <c r="M77" i="19"/>
  <c r="M45" i="19"/>
  <c r="M67" i="19"/>
  <c r="O35" i="19"/>
  <c r="M65" i="19"/>
  <c r="M52" i="19"/>
  <c r="S30" i="19"/>
  <c r="M46" i="19"/>
  <c r="M58" i="19"/>
  <c r="M57" i="19"/>
  <c r="M76" i="19"/>
  <c r="M44" i="19"/>
  <c r="M79" i="19"/>
  <c r="M47" i="19"/>
  <c r="S28" i="19"/>
  <c r="M70" i="19"/>
  <c r="S38" i="19"/>
  <c r="M82" i="19"/>
  <c r="M50" i="19"/>
  <c r="M80" i="19"/>
  <c r="M48" i="19"/>
  <c r="M69" i="19"/>
  <c r="O37" i="19"/>
  <c r="M59" i="19"/>
  <c r="O33" i="19"/>
  <c r="M55" i="19"/>
  <c r="M81" i="19"/>
  <c r="M49" i="19"/>
  <c r="M68" i="19"/>
  <c r="S36" i="19"/>
  <c r="M71" i="19"/>
  <c r="O39" i="19"/>
  <c r="M62" i="19"/>
  <c r="M78" i="19"/>
  <c r="M74" i="19"/>
  <c r="M42" i="19"/>
  <c r="M72" i="19"/>
  <c r="M40" i="19"/>
  <c r="M61" i="19"/>
  <c r="O29" i="19"/>
  <c r="M83" i="19"/>
  <c r="M51" i="19"/>
  <c r="M73" i="19"/>
  <c r="M41" i="19"/>
  <c r="M60" i="19"/>
  <c r="M63" i="19"/>
  <c r="O31" i="19"/>
  <c r="M54" i="19"/>
  <c r="M66" i="19"/>
  <c r="S34" i="19"/>
  <c r="M64" i="19"/>
  <c r="S32" i="19"/>
  <c r="M53" i="19"/>
  <c r="M75" i="19"/>
  <c r="M43" i="19"/>
  <c r="P6" i="16"/>
  <c r="O3" i="16"/>
  <c r="P3" i="16" s="1"/>
  <c r="Q3" i="16" s="1"/>
  <c r="H5" i="3"/>
  <c r="I5" i="3" s="1"/>
  <c r="J5" i="3" s="1"/>
  <c r="K5" i="3" s="1"/>
  <c r="L5" i="3" s="1"/>
  <c r="M5" i="3" s="1"/>
  <c r="N5" i="3" s="1"/>
  <c r="O5" i="3" s="1"/>
  <c r="P5" i="3" s="1"/>
  <c r="Q5" i="3" s="1"/>
  <c r="R5" i="3" s="1"/>
  <c r="H6" i="3"/>
  <c r="I6" i="3" s="1"/>
  <c r="J6" i="3" s="1"/>
  <c r="K6" i="3" s="1"/>
  <c r="L6" i="3" s="1"/>
  <c r="M6" i="3" s="1"/>
  <c r="N6" i="3" s="1"/>
  <c r="O6" i="3" s="1"/>
  <c r="P6" i="3" s="1"/>
  <c r="Q6" i="3" s="1"/>
  <c r="R6" i="3" s="1"/>
  <c r="H7" i="3"/>
  <c r="M49" i="18" s="1"/>
  <c r="H8" i="3"/>
  <c r="I8" i="3" s="1"/>
  <c r="J8" i="3" s="1"/>
  <c r="K8" i="3" s="1"/>
  <c r="L8" i="3" s="1"/>
  <c r="M8" i="3" s="1"/>
  <c r="N8" i="3" s="1"/>
  <c r="O8" i="3" s="1"/>
  <c r="P8" i="3" s="1"/>
  <c r="Q8" i="3" s="1"/>
  <c r="R8" i="3" s="1"/>
  <c r="H4" i="3"/>
  <c r="I4" i="3" s="1"/>
  <c r="J4" i="3" s="1"/>
  <c r="K4" i="3" s="1"/>
  <c r="L4" i="3" s="1"/>
  <c r="M4" i="3" s="1"/>
  <c r="N4" i="3" s="1"/>
  <c r="O4" i="3" s="1"/>
  <c r="P4" i="3" s="1"/>
  <c r="Q4" i="3" s="1"/>
  <c r="R4" i="3" s="1"/>
  <c r="M51" i="18" l="1"/>
  <c r="M43" i="18"/>
  <c r="M78" i="18"/>
  <c r="M75" i="18"/>
  <c r="M55" i="18"/>
  <c r="M53" i="18"/>
  <c r="M40" i="18"/>
  <c r="M63" i="18"/>
  <c r="N43" i="19"/>
  <c r="N64" i="19"/>
  <c r="P31" i="19"/>
  <c r="N73" i="19"/>
  <c r="N61" i="19"/>
  <c r="N74" i="19"/>
  <c r="N71" i="19"/>
  <c r="N81" i="19"/>
  <c r="M50" i="18"/>
  <c r="M76" i="18"/>
  <c r="M67" i="18"/>
  <c r="P37" i="19"/>
  <c r="T28" i="19"/>
  <c r="N67" i="19"/>
  <c r="N75" i="19"/>
  <c r="T34" i="19"/>
  <c r="N63" i="19"/>
  <c r="N51" i="19"/>
  <c r="N40" i="19"/>
  <c r="N78" i="19"/>
  <c r="T36" i="19"/>
  <c r="N55" i="19"/>
  <c r="M69" i="18"/>
  <c r="M82" i="18"/>
  <c r="M47" i="18"/>
  <c r="M57" i="18"/>
  <c r="M52" i="18"/>
  <c r="M45" i="18"/>
  <c r="N50" i="19"/>
  <c r="M66" i="18"/>
  <c r="M60" i="18"/>
  <c r="M83" i="18"/>
  <c r="M72" i="18"/>
  <c r="M62" i="18"/>
  <c r="M68" i="18"/>
  <c r="N69" i="19"/>
  <c r="N82" i="19"/>
  <c r="N47" i="19"/>
  <c r="N57" i="19"/>
  <c r="N52" i="19"/>
  <c r="N45" i="19"/>
  <c r="N53" i="19"/>
  <c r="N66" i="19"/>
  <c r="N60" i="19"/>
  <c r="N83" i="19"/>
  <c r="N72" i="19"/>
  <c r="N62" i="19"/>
  <c r="N68" i="19"/>
  <c r="P33" i="19"/>
  <c r="M48" i="18"/>
  <c r="M79" i="18"/>
  <c r="M58" i="18"/>
  <c r="M65" i="18"/>
  <c r="M77" i="18"/>
  <c r="T30" i="19"/>
  <c r="M54" i="18"/>
  <c r="M41" i="18"/>
  <c r="M42" i="18"/>
  <c r="N48" i="19"/>
  <c r="T38" i="19"/>
  <c r="N79" i="19"/>
  <c r="N58" i="19"/>
  <c r="N65" i="19"/>
  <c r="N77" i="19"/>
  <c r="N76" i="19"/>
  <c r="I7" i="3"/>
  <c r="N78" i="18" s="1"/>
  <c r="M26" i="18"/>
  <c r="M24" i="18"/>
  <c r="M31" i="18"/>
  <c r="M36" i="18"/>
  <c r="M32" i="18"/>
  <c r="M27" i="18"/>
  <c r="M39" i="18"/>
  <c r="M34" i="18"/>
  <c r="M38" i="18"/>
  <c r="M35" i="18"/>
  <c r="M30" i="18"/>
  <c r="M28" i="18"/>
  <c r="M29" i="18"/>
  <c r="M37" i="18"/>
  <c r="M33" i="18"/>
  <c r="M25" i="18"/>
  <c r="T32" i="19"/>
  <c r="N54" i="19"/>
  <c r="N41" i="19"/>
  <c r="P29" i="19"/>
  <c r="N42" i="19"/>
  <c r="P39" i="19"/>
  <c r="N49" i="19"/>
  <c r="M59" i="18"/>
  <c r="M80" i="18"/>
  <c r="M70" i="18"/>
  <c r="M44" i="18"/>
  <c r="M46" i="18"/>
  <c r="M56" i="18"/>
  <c r="M64" i="18"/>
  <c r="M73" i="18"/>
  <c r="M61" i="18"/>
  <c r="M74" i="18"/>
  <c r="M71" i="18"/>
  <c r="M81" i="18"/>
  <c r="N59" i="19"/>
  <c r="N80" i="19"/>
  <c r="N70" i="19"/>
  <c r="N44" i="19"/>
  <c r="N46" i="19"/>
  <c r="P35" i="19"/>
  <c r="N56" i="19"/>
  <c r="AD2" i="18"/>
  <c r="N42" i="18" l="1"/>
  <c r="N68" i="18"/>
  <c r="N60" i="18"/>
  <c r="N44" i="18"/>
  <c r="N79" i="18"/>
  <c r="N81" i="18"/>
  <c r="N62" i="18"/>
  <c r="N66" i="18"/>
  <c r="N57" i="18"/>
  <c r="N56" i="18"/>
  <c r="N48" i="18"/>
  <c r="N72" i="18"/>
  <c r="N53" i="18"/>
  <c r="N76" i="18"/>
  <c r="N41" i="18"/>
  <c r="N80" i="18"/>
  <c r="N49" i="18"/>
  <c r="N54" i="18"/>
  <c r="N65" i="18"/>
  <c r="N70" i="18"/>
  <c r="N83" i="18"/>
  <c r="N45" i="18"/>
  <c r="N73" i="18"/>
  <c r="N77" i="18"/>
  <c r="N46" i="18"/>
  <c r="N59" i="18"/>
  <c r="N58" i="18"/>
  <c r="O59" i="19"/>
  <c r="N63" i="18"/>
  <c r="O81" i="19"/>
  <c r="O73" i="19"/>
  <c r="Q39" i="19"/>
  <c r="O54" i="19"/>
  <c r="O65" i="19"/>
  <c r="O48" i="19"/>
  <c r="O62" i="19"/>
  <c r="O66" i="19"/>
  <c r="O57" i="19"/>
  <c r="U36" i="19"/>
  <c r="O63" i="19"/>
  <c r="U28" i="19"/>
  <c r="N71" i="18"/>
  <c r="O77" i="19"/>
  <c r="U38" i="19"/>
  <c r="O68" i="19"/>
  <c r="O69" i="19"/>
  <c r="O55" i="19"/>
  <c r="O67" i="19"/>
  <c r="N47" i="18"/>
  <c r="O71" i="19"/>
  <c r="Q31" i="19"/>
  <c r="O60" i="19"/>
  <c r="O52" i="19"/>
  <c r="O50" i="19"/>
  <c r="O51" i="19"/>
  <c r="O44" i="19"/>
  <c r="O42" i="19"/>
  <c r="U32" i="19"/>
  <c r="J7" i="3"/>
  <c r="O81" i="18" s="1"/>
  <c r="N34" i="18"/>
  <c r="N33" i="18"/>
  <c r="N24" i="18"/>
  <c r="N35" i="18"/>
  <c r="N31" i="18"/>
  <c r="N27" i="18"/>
  <c r="N29" i="18"/>
  <c r="N30" i="18"/>
  <c r="N26" i="18"/>
  <c r="N38" i="18"/>
  <c r="N39" i="18"/>
  <c r="N25" i="18"/>
  <c r="N32" i="18"/>
  <c r="N37" i="18"/>
  <c r="N28" i="18"/>
  <c r="N36" i="18"/>
  <c r="O58" i="19"/>
  <c r="O72" i="19"/>
  <c r="O53" i="19"/>
  <c r="O47" i="19"/>
  <c r="O78" i="19"/>
  <c r="U34" i="19"/>
  <c r="Q37" i="19"/>
  <c r="N74" i="18"/>
  <c r="N64" i="18"/>
  <c r="N82" i="18"/>
  <c r="N40" i="18"/>
  <c r="N75" i="18"/>
  <c r="O74" i="19"/>
  <c r="O64" i="19"/>
  <c r="O46" i="19"/>
  <c r="O56" i="19"/>
  <c r="O70" i="19"/>
  <c r="Q29" i="19"/>
  <c r="O76" i="19"/>
  <c r="O79" i="19"/>
  <c r="Q33" i="19"/>
  <c r="O83" i="19"/>
  <c r="O45" i="19"/>
  <c r="O82" i="19"/>
  <c r="O40" i="19"/>
  <c r="O75" i="19"/>
  <c r="N61" i="18"/>
  <c r="N43" i="18"/>
  <c r="Q35" i="19"/>
  <c r="O80" i="19"/>
  <c r="O49" i="19"/>
  <c r="O41" i="19"/>
  <c r="U30" i="19"/>
  <c r="N52" i="18"/>
  <c r="N69" i="18"/>
  <c r="N50" i="18"/>
  <c r="N55" i="18"/>
  <c r="N51" i="18"/>
  <c r="N67" i="18"/>
  <c r="O61" i="19"/>
  <c r="O43" i="19"/>
  <c r="W6" i="18"/>
  <c r="Y61" i="15" s="1"/>
  <c r="W12" i="18"/>
  <c r="Y251" i="15" s="1"/>
  <c r="W14" i="18"/>
  <c r="Y346" i="15" s="1"/>
  <c r="W16" i="18"/>
  <c r="Y213" i="15" s="1"/>
  <c r="W18" i="18"/>
  <c r="Y80" i="15" s="1"/>
  <c r="W19" i="18"/>
  <c r="Y270" i="15" s="1"/>
  <c r="W20" i="18"/>
  <c r="Y194" i="15" s="1"/>
  <c r="W21" i="18"/>
  <c r="Y99" i="15" s="1"/>
  <c r="W22" i="18"/>
  <c r="Y289" i="15" s="1"/>
  <c r="V4" i="18"/>
  <c r="W5" i="18"/>
  <c r="Y42" i="15" s="1"/>
  <c r="Y48" i="15" s="1"/>
  <c r="W7" i="18"/>
  <c r="Y118" i="15" s="1"/>
  <c r="W8" i="18"/>
  <c r="Y137" i="15" s="1"/>
  <c r="W9" i="18"/>
  <c r="Y156" i="15" s="1"/>
  <c r="L10" i="18"/>
  <c r="N175" i="15" s="1"/>
  <c r="W11" i="18"/>
  <c r="Y232" i="15" s="1"/>
  <c r="W13" i="18"/>
  <c r="Y327" i="15" s="1"/>
  <c r="L15" i="18"/>
  <c r="N4" i="15" s="1"/>
  <c r="W17" i="18"/>
  <c r="Y308" i="15" s="1"/>
  <c r="N821" i="15"/>
  <c r="N859" i="15"/>
  <c r="N1429" i="15"/>
  <c r="N1467" i="15"/>
  <c r="AM3" i="13"/>
  <c r="AM4" i="13"/>
  <c r="AM5" i="13"/>
  <c r="AM6" i="13"/>
  <c r="AM7" i="13"/>
  <c r="AM8" i="13"/>
  <c r="AM9" i="13"/>
  <c r="AM10" i="13"/>
  <c r="AM11" i="13"/>
  <c r="AM12" i="13"/>
  <c r="AM13" i="13"/>
  <c r="AM14" i="13"/>
  <c r="AM15" i="13"/>
  <c r="AM16" i="13"/>
  <c r="AM17" i="13"/>
  <c r="AM18" i="13"/>
  <c r="AM19" i="13"/>
  <c r="AM20" i="13"/>
  <c r="AM21" i="13"/>
  <c r="AM22" i="13"/>
  <c r="AM23" i="13"/>
  <c r="AM24" i="13"/>
  <c r="AM25" i="13"/>
  <c r="AM26" i="13"/>
  <c r="AM27" i="13"/>
  <c r="AM28" i="13"/>
  <c r="AM29" i="13"/>
  <c r="AM30" i="13"/>
  <c r="AM31" i="13"/>
  <c r="AM32" i="13"/>
  <c r="AM33" i="13"/>
  <c r="AM34" i="13"/>
  <c r="AM35" i="13"/>
  <c r="AM36" i="13"/>
  <c r="AM37" i="13"/>
  <c r="AM38" i="13"/>
  <c r="AM39" i="13"/>
  <c r="AM40" i="13"/>
  <c r="AM41" i="13"/>
  <c r="AM42" i="13"/>
  <c r="AM43" i="13"/>
  <c r="AM44" i="13"/>
  <c r="AM45" i="13"/>
  <c r="AM46" i="13"/>
  <c r="AM47" i="13"/>
  <c r="AM48" i="13"/>
  <c r="AM49" i="13"/>
  <c r="AM50" i="13"/>
  <c r="AM51" i="13"/>
  <c r="AM52" i="13"/>
  <c r="AM53" i="13"/>
  <c r="AM54" i="13"/>
  <c r="AM55" i="13"/>
  <c r="AM56" i="13"/>
  <c r="AM57" i="13"/>
  <c r="AM58" i="13"/>
  <c r="AM59" i="13"/>
  <c r="AM60" i="13"/>
  <c r="AM61" i="13"/>
  <c r="AM62" i="13"/>
  <c r="AM63" i="13"/>
  <c r="AM64" i="13"/>
  <c r="AM65" i="13"/>
  <c r="AM66" i="13"/>
  <c r="AM67" i="13"/>
  <c r="AM68" i="13"/>
  <c r="AM69" i="13"/>
  <c r="AM70" i="13"/>
  <c r="AM71" i="13"/>
  <c r="AM72" i="13"/>
  <c r="AM73" i="13"/>
  <c r="AM74" i="13"/>
  <c r="AM75" i="13"/>
  <c r="AM76" i="13"/>
  <c r="AM77" i="13"/>
  <c r="AM78" i="13"/>
  <c r="AM79" i="13"/>
  <c r="AM80" i="13"/>
  <c r="AM81" i="13"/>
  <c r="AM82" i="13"/>
  <c r="AM83" i="13"/>
  <c r="AM84" i="13"/>
  <c r="AM85" i="13"/>
  <c r="AM86" i="13"/>
  <c r="AM87" i="13"/>
  <c r="AM88" i="13"/>
  <c r="AM89" i="13"/>
  <c r="AM90" i="13"/>
  <c r="AM91" i="13"/>
  <c r="AM92" i="13"/>
  <c r="AM93" i="13"/>
  <c r="AM94" i="13"/>
  <c r="AM95" i="13"/>
  <c r="AM96" i="13"/>
  <c r="AM97" i="13"/>
  <c r="AM98" i="13"/>
  <c r="AM99" i="13"/>
  <c r="AM100" i="13"/>
  <c r="AM101" i="13"/>
  <c r="AM102" i="13"/>
  <c r="AM103" i="13"/>
  <c r="AM104" i="13"/>
  <c r="AM105" i="13"/>
  <c r="AM106" i="13"/>
  <c r="AM107" i="13"/>
  <c r="AM108" i="13"/>
  <c r="AM109" i="13"/>
  <c r="AM110" i="13"/>
  <c r="AM111" i="13"/>
  <c r="AM112" i="13"/>
  <c r="AM113" i="13"/>
  <c r="AM114" i="13"/>
  <c r="AM115" i="13"/>
  <c r="AM116" i="13"/>
  <c r="AM117" i="13"/>
  <c r="AM118" i="13"/>
  <c r="AM119" i="13"/>
  <c r="AM120" i="13"/>
  <c r="AM121" i="13"/>
  <c r="AM122" i="13"/>
  <c r="AM123" i="13"/>
  <c r="AM124" i="13"/>
  <c r="AM125" i="13"/>
  <c r="AM126" i="13"/>
  <c r="AM127" i="13"/>
  <c r="AM128" i="13"/>
  <c r="AM129" i="13"/>
  <c r="AM130" i="13"/>
  <c r="AM131" i="13"/>
  <c r="AM132" i="13"/>
  <c r="AM133" i="13"/>
  <c r="AM134" i="13"/>
  <c r="AM135" i="13"/>
  <c r="AM136" i="13"/>
  <c r="AM137" i="13"/>
  <c r="AM138" i="13"/>
  <c r="AM139" i="13"/>
  <c r="AM140" i="13"/>
  <c r="AM141" i="13"/>
  <c r="AM142" i="13"/>
  <c r="AM143" i="13"/>
  <c r="AM144" i="13"/>
  <c r="AM145" i="13"/>
  <c r="AM146" i="13"/>
  <c r="AM147" i="13"/>
  <c r="AM148" i="13"/>
  <c r="AM149" i="13"/>
  <c r="AM150" i="13"/>
  <c r="AM151" i="13"/>
  <c r="AM152" i="13"/>
  <c r="AM153" i="13"/>
  <c r="AM154" i="13"/>
  <c r="AM155" i="13"/>
  <c r="AM156" i="13"/>
  <c r="AM157" i="13"/>
  <c r="AM158" i="13"/>
  <c r="AM159" i="13"/>
  <c r="AM160" i="13"/>
  <c r="AM161" i="13"/>
  <c r="AM162" i="13"/>
  <c r="AM163" i="13"/>
  <c r="AM164" i="13"/>
  <c r="AM165" i="13"/>
  <c r="AM166" i="13"/>
  <c r="AM167" i="13"/>
  <c r="AM168" i="13"/>
  <c r="AM169" i="13"/>
  <c r="AM170" i="13"/>
  <c r="AM171" i="13"/>
  <c r="AM172" i="13"/>
  <c r="AM173" i="13"/>
  <c r="AM174" i="13"/>
  <c r="AM175" i="13"/>
  <c r="AM176" i="13"/>
  <c r="AM177" i="13"/>
  <c r="AM178" i="13"/>
  <c r="AM179" i="13"/>
  <c r="AM180" i="13"/>
  <c r="AM181" i="13"/>
  <c r="AM182" i="13"/>
  <c r="AM183" i="13"/>
  <c r="AM184" i="13"/>
  <c r="AM185" i="13"/>
  <c r="AM186" i="13"/>
  <c r="AM187" i="13"/>
  <c r="AM188" i="13"/>
  <c r="AM189" i="13"/>
  <c r="AM190" i="13"/>
  <c r="AM191" i="13"/>
  <c r="AM192" i="13"/>
  <c r="AM193" i="13"/>
  <c r="AM194" i="13"/>
  <c r="AM195" i="13"/>
  <c r="AM196" i="13"/>
  <c r="AM197" i="13"/>
  <c r="AM198" i="13"/>
  <c r="AM199" i="13"/>
  <c r="AM200" i="13"/>
  <c r="AM201" i="13"/>
  <c r="AM202" i="13"/>
  <c r="AM203" i="13"/>
  <c r="AM204" i="13"/>
  <c r="AM205" i="13"/>
  <c r="AM206" i="13"/>
  <c r="AM207" i="13"/>
  <c r="AM208" i="13"/>
  <c r="AM209" i="13"/>
  <c r="AM210" i="13"/>
  <c r="AM211" i="13"/>
  <c r="AM212" i="13"/>
  <c r="AM213" i="13"/>
  <c r="AM214" i="13"/>
  <c r="AM215" i="13"/>
  <c r="AM216" i="13"/>
  <c r="AM217" i="13"/>
  <c r="AM218" i="13"/>
  <c r="AM219" i="13"/>
  <c r="AM220" i="13"/>
  <c r="AM221" i="13"/>
  <c r="AM222" i="13"/>
  <c r="AM223" i="13"/>
  <c r="AM224" i="13"/>
  <c r="AM225" i="13"/>
  <c r="AM226" i="13"/>
  <c r="AM227" i="13"/>
  <c r="AM228" i="13"/>
  <c r="AM229" i="13"/>
  <c r="AM230" i="13"/>
  <c r="AM231" i="13"/>
  <c r="AM232" i="13"/>
  <c r="AM233" i="13"/>
  <c r="AM234" i="13"/>
  <c r="AM235" i="13"/>
  <c r="AM236" i="13"/>
  <c r="AM237" i="13"/>
  <c r="AM238" i="13"/>
  <c r="AM239" i="13"/>
  <c r="AM240" i="13"/>
  <c r="AM241" i="13"/>
  <c r="AM242" i="13"/>
  <c r="AM243" i="13"/>
  <c r="AM244" i="13"/>
  <c r="AM245" i="13"/>
  <c r="AM246" i="13"/>
  <c r="AM247" i="13"/>
  <c r="AM248" i="13"/>
  <c r="AM249" i="13"/>
  <c r="AM250" i="13"/>
  <c r="AM251" i="13"/>
  <c r="AM252" i="13"/>
  <c r="AM253" i="13"/>
  <c r="AM254" i="13"/>
  <c r="AM255" i="13"/>
  <c r="AM256" i="13"/>
  <c r="AM257" i="13"/>
  <c r="AM258" i="13"/>
  <c r="AM259" i="13"/>
  <c r="AM260" i="13"/>
  <c r="AM261" i="13"/>
  <c r="AM262" i="13"/>
  <c r="AM263" i="13"/>
  <c r="AM264" i="13"/>
  <c r="AM265" i="13"/>
  <c r="AM266" i="13"/>
  <c r="AM267" i="13"/>
  <c r="AM268" i="13"/>
  <c r="AM269" i="13"/>
  <c r="AM270" i="13"/>
  <c r="AM271" i="13"/>
  <c r="AM272" i="13"/>
  <c r="AM273" i="13"/>
  <c r="AM274" i="13"/>
  <c r="AM275" i="13"/>
  <c r="AM276" i="13"/>
  <c r="AM277" i="13"/>
  <c r="AM278" i="13"/>
  <c r="AM279" i="13"/>
  <c r="AM280" i="13"/>
  <c r="AM281" i="13"/>
  <c r="AM282" i="13"/>
  <c r="AM283" i="13"/>
  <c r="AM284" i="13"/>
  <c r="AM285" i="13"/>
  <c r="AM286" i="13"/>
  <c r="AM287" i="13"/>
  <c r="AM288" i="13"/>
  <c r="AM289" i="13"/>
  <c r="AM290" i="13"/>
  <c r="AM291" i="13"/>
  <c r="AM292" i="13"/>
  <c r="AM293" i="13"/>
  <c r="AM294" i="13"/>
  <c r="AM295" i="13"/>
  <c r="AM296" i="13"/>
  <c r="AM297" i="13"/>
  <c r="AM298" i="13"/>
  <c r="AM299" i="13"/>
  <c r="AM300" i="13"/>
  <c r="AM301" i="13"/>
  <c r="AM302" i="13"/>
  <c r="AM303" i="13"/>
  <c r="AM304" i="13"/>
  <c r="AM305" i="13"/>
  <c r="AM306" i="13"/>
  <c r="AM307" i="13"/>
  <c r="AM308" i="13"/>
  <c r="AM309" i="13"/>
  <c r="AM310" i="13"/>
  <c r="AM311" i="13"/>
  <c r="AM312" i="13"/>
  <c r="AM313" i="13"/>
  <c r="AM314" i="13"/>
  <c r="AM315" i="13"/>
  <c r="AM316" i="13"/>
  <c r="AM317" i="13"/>
  <c r="AM318" i="13"/>
  <c r="AM319" i="13"/>
  <c r="AM320" i="13"/>
  <c r="AM321" i="13"/>
  <c r="AM322" i="13"/>
  <c r="AM323" i="13"/>
  <c r="AM324" i="13"/>
  <c r="AM325" i="13"/>
  <c r="AM326" i="13"/>
  <c r="AM327" i="13"/>
  <c r="AM328" i="13"/>
  <c r="AM329" i="13"/>
  <c r="AM330" i="13"/>
  <c r="AM331" i="13"/>
  <c r="AM332" i="13"/>
  <c r="AM333" i="13"/>
  <c r="AM334" i="13"/>
  <c r="AM335" i="13"/>
  <c r="AM336" i="13"/>
  <c r="AM337" i="13"/>
  <c r="AM338" i="13"/>
  <c r="AM339" i="13"/>
  <c r="AM340" i="13"/>
  <c r="AM341" i="13"/>
  <c r="AM342" i="13"/>
  <c r="AM343" i="13"/>
  <c r="AM344" i="13"/>
  <c r="AM345" i="13"/>
  <c r="AM346" i="13"/>
  <c r="AM347" i="13"/>
  <c r="AM348" i="13"/>
  <c r="AM349" i="13"/>
  <c r="AM350" i="13"/>
  <c r="AM351" i="13"/>
  <c r="AM352" i="13"/>
  <c r="AM353" i="13"/>
  <c r="AM354" i="13"/>
  <c r="AM355" i="13"/>
  <c r="AM356" i="13"/>
  <c r="AM357" i="13"/>
  <c r="AM358" i="13"/>
  <c r="AM359" i="13"/>
  <c r="AM360" i="13"/>
  <c r="AM361" i="13"/>
  <c r="AM362" i="13"/>
  <c r="AM363" i="13"/>
  <c r="AM364" i="13"/>
  <c r="AM365" i="13"/>
  <c r="AM366" i="13"/>
  <c r="AM367" i="13"/>
  <c r="AM368" i="13"/>
  <c r="AM369" i="13"/>
  <c r="AM370" i="13"/>
  <c r="AM371" i="13"/>
  <c r="AM372" i="13"/>
  <c r="AM373" i="13"/>
  <c r="AM374" i="13"/>
  <c r="AM375" i="13"/>
  <c r="AM376" i="13"/>
  <c r="AM377" i="13"/>
  <c r="AM378" i="13"/>
  <c r="AM379" i="13"/>
  <c r="AM380" i="13"/>
  <c r="AM381" i="13"/>
  <c r="AM382" i="13"/>
  <c r="AM383" i="13"/>
  <c r="AM384" i="13"/>
  <c r="AM385" i="13"/>
  <c r="AM386" i="13"/>
  <c r="AM387" i="13"/>
  <c r="AM388" i="13"/>
  <c r="AM389" i="13"/>
  <c r="AM390" i="13"/>
  <c r="AM391" i="13"/>
  <c r="AM392" i="13"/>
  <c r="AM393" i="13"/>
  <c r="AM394" i="13"/>
  <c r="AM395" i="13"/>
  <c r="AM396" i="13"/>
  <c r="AM397" i="13"/>
  <c r="AM398" i="13"/>
  <c r="AM399" i="13"/>
  <c r="AM400" i="13"/>
  <c r="AM401" i="13"/>
  <c r="AM402" i="13"/>
  <c r="AM403" i="13"/>
  <c r="AM404" i="13"/>
  <c r="AM405" i="13"/>
  <c r="AM406" i="13"/>
  <c r="AM407" i="13"/>
  <c r="AM408" i="13"/>
  <c r="AM409" i="13"/>
  <c r="AM410" i="13"/>
  <c r="AM411" i="13"/>
  <c r="AM412" i="13"/>
  <c r="AM413" i="13"/>
  <c r="AM414" i="13"/>
  <c r="AM415" i="13"/>
  <c r="AM416" i="13"/>
  <c r="AM417" i="13"/>
  <c r="AM418" i="13"/>
  <c r="AM419" i="13"/>
  <c r="AM420" i="13"/>
  <c r="AM421" i="13"/>
  <c r="AM422" i="13"/>
  <c r="AM423" i="13"/>
  <c r="AM424" i="13"/>
  <c r="AM425" i="13"/>
  <c r="AM426" i="13"/>
  <c r="AM427" i="13"/>
  <c r="AM428" i="13"/>
  <c r="AM429" i="13"/>
  <c r="AM430" i="13"/>
  <c r="AM431" i="13"/>
  <c r="AM432" i="13"/>
  <c r="AM433" i="13"/>
  <c r="AM434" i="13"/>
  <c r="AM435" i="13"/>
  <c r="AM436" i="13"/>
  <c r="AM437" i="13"/>
  <c r="AM438" i="13"/>
  <c r="AM439" i="13"/>
  <c r="AM440" i="13"/>
  <c r="AM441" i="13"/>
  <c r="AM442" i="13"/>
  <c r="AM443" i="13"/>
  <c r="AM444" i="13"/>
  <c r="AM445" i="13"/>
  <c r="AM446" i="13"/>
  <c r="AM447" i="13"/>
  <c r="AM448" i="13"/>
  <c r="AM449" i="13"/>
  <c r="AM450" i="13"/>
  <c r="AM451" i="13"/>
  <c r="AM452" i="13"/>
  <c r="AM453" i="13"/>
  <c r="AM454" i="13"/>
  <c r="AM455" i="13"/>
  <c r="AM456" i="13"/>
  <c r="AM457" i="13"/>
  <c r="AM458" i="13"/>
  <c r="AM459" i="13"/>
  <c r="AM460" i="13"/>
  <c r="AM461" i="13"/>
  <c r="AM462" i="13"/>
  <c r="AM463" i="13"/>
  <c r="AM464" i="13"/>
  <c r="AM465" i="13"/>
  <c r="AM466" i="13"/>
  <c r="AM467" i="13"/>
  <c r="AM468" i="13"/>
  <c r="AM469" i="13"/>
  <c r="AM470" i="13"/>
  <c r="AM471" i="13"/>
  <c r="AM472" i="13"/>
  <c r="AM473" i="13"/>
  <c r="AM474" i="13"/>
  <c r="AM475" i="13"/>
  <c r="AM476" i="13"/>
  <c r="AM477" i="13"/>
  <c r="AM478" i="13"/>
  <c r="AM479" i="13"/>
  <c r="AM480" i="13"/>
  <c r="AM481" i="13"/>
  <c r="AM482" i="13"/>
  <c r="AM483" i="13"/>
  <c r="AM484" i="13"/>
  <c r="AM485" i="13"/>
  <c r="AM486" i="13"/>
  <c r="AM487" i="13"/>
  <c r="AM488" i="13"/>
  <c r="AM489" i="13"/>
  <c r="AM490" i="13"/>
  <c r="AM491" i="13"/>
  <c r="AM492" i="13"/>
  <c r="AM493" i="13"/>
  <c r="AM494" i="13"/>
  <c r="AM495" i="13"/>
  <c r="AM496" i="13"/>
  <c r="AM497" i="13"/>
  <c r="AM498" i="13"/>
  <c r="AM499" i="13"/>
  <c r="AM500" i="13"/>
  <c r="AM501" i="13"/>
  <c r="AM502" i="13"/>
  <c r="AM503" i="13"/>
  <c r="AM504" i="13"/>
  <c r="AM505" i="13"/>
  <c r="AM506" i="13"/>
  <c r="AM507" i="13"/>
  <c r="AM508" i="13"/>
  <c r="AM509" i="13"/>
  <c r="AM510" i="13"/>
  <c r="AM511" i="13"/>
  <c r="AM512" i="13"/>
  <c r="AM513" i="13"/>
  <c r="AM514" i="13"/>
  <c r="AM515" i="13"/>
  <c r="AM516" i="13"/>
  <c r="AM517" i="13"/>
  <c r="AM518" i="13"/>
  <c r="AM519" i="13"/>
  <c r="AM520" i="13"/>
  <c r="AM521" i="13"/>
  <c r="AM522" i="13"/>
  <c r="AM523" i="13"/>
  <c r="AM524" i="13"/>
  <c r="AM525" i="13"/>
  <c r="AM526" i="13"/>
  <c r="AM527" i="13"/>
  <c r="AM528" i="13"/>
  <c r="AM529" i="13"/>
  <c r="AM530" i="13"/>
  <c r="AM531" i="13"/>
  <c r="AM532" i="13"/>
  <c r="AM533" i="13"/>
  <c r="AM534" i="13"/>
  <c r="AM535" i="13"/>
  <c r="AM536" i="13"/>
  <c r="AM537" i="13"/>
  <c r="AM538" i="13"/>
  <c r="AM539" i="13"/>
  <c r="AM540" i="13"/>
  <c r="AM541" i="13"/>
  <c r="AM542" i="13"/>
  <c r="AM543" i="13"/>
  <c r="AM544" i="13"/>
  <c r="AM545" i="13"/>
  <c r="AM546" i="13"/>
  <c r="AM547" i="13"/>
  <c r="AM548" i="13"/>
  <c r="AM549" i="13"/>
  <c r="AM550" i="13"/>
  <c r="AM551" i="13"/>
  <c r="AM552" i="13"/>
  <c r="AM553" i="13"/>
  <c r="AM554" i="13"/>
  <c r="AM555" i="13"/>
  <c r="AM556" i="13"/>
  <c r="AM557" i="13"/>
  <c r="AM558" i="13"/>
  <c r="AM559" i="13"/>
  <c r="AM560" i="13"/>
  <c r="AM561" i="13"/>
  <c r="AM562" i="13"/>
  <c r="AM563" i="13"/>
  <c r="AM564" i="13"/>
  <c r="AM565" i="13"/>
  <c r="AM566" i="13"/>
  <c r="AM567" i="13"/>
  <c r="AM568" i="13"/>
  <c r="AM569" i="13"/>
  <c r="AM570" i="13"/>
  <c r="AM571" i="13"/>
  <c r="AM572" i="13"/>
  <c r="AM573" i="13"/>
  <c r="AM574" i="13"/>
  <c r="AM575" i="13"/>
  <c r="AM576" i="13"/>
  <c r="AM577" i="13"/>
  <c r="AM578" i="13"/>
  <c r="AM579" i="13"/>
  <c r="AM580" i="13"/>
  <c r="AM581" i="13"/>
  <c r="AM582" i="13"/>
  <c r="AM583" i="13"/>
  <c r="AM584" i="13"/>
  <c r="AM585" i="13"/>
  <c r="AM586" i="13"/>
  <c r="AM587" i="13"/>
  <c r="AM588" i="13"/>
  <c r="AM589" i="13"/>
  <c r="AM590" i="13"/>
  <c r="AM591" i="13"/>
  <c r="AM592" i="13"/>
  <c r="AM593" i="13"/>
  <c r="AM594" i="13"/>
  <c r="AM595" i="13"/>
  <c r="AM596" i="13"/>
  <c r="AM597" i="13"/>
  <c r="AM598" i="13"/>
  <c r="AM599" i="13"/>
  <c r="AM600" i="13"/>
  <c r="AM601" i="13"/>
  <c r="AM602" i="13"/>
  <c r="AM603" i="13"/>
  <c r="AM604" i="13"/>
  <c r="AM605" i="13"/>
  <c r="AM606" i="13"/>
  <c r="AM607" i="13"/>
  <c r="AM608" i="13"/>
  <c r="AM609" i="13"/>
  <c r="AM610" i="13"/>
  <c r="AM611" i="13"/>
  <c r="AM612" i="13"/>
  <c r="AM613" i="13"/>
  <c r="AM614" i="13"/>
  <c r="AM615" i="13"/>
  <c r="AM616" i="13"/>
  <c r="AM617" i="13"/>
  <c r="AM618" i="13"/>
  <c r="AM619" i="13"/>
  <c r="AM620" i="13"/>
  <c r="AM621" i="13"/>
  <c r="AM622" i="13"/>
  <c r="AM623" i="13"/>
  <c r="AM624" i="13"/>
  <c r="AM625" i="13"/>
  <c r="AM626" i="13"/>
  <c r="AM627" i="13"/>
  <c r="AM628" i="13"/>
  <c r="AM629" i="13"/>
  <c r="AM630" i="13"/>
  <c r="AM631" i="13"/>
  <c r="AM632" i="13"/>
  <c r="AM633" i="13"/>
  <c r="AM634" i="13"/>
  <c r="AM635" i="13"/>
  <c r="AM636" i="13"/>
  <c r="AM637" i="13"/>
  <c r="AM638" i="13"/>
  <c r="AM639" i="13"/>
  <c r="AM640" i="13"/>
  <c r="AM641" i="13"/>
  <c r="AM642" i="13"/>
  <c r="AM643" i="13"/>
  <c r="AM644" i="13"/>
  <c r="AM645" i="13"/>
  <c r="AM646" i="13"/>
  <c r="AM647" i="13"/>
  <c r="AM648" i="13"/>
  <c r="AM649" i="13"/>
  <c r="AM650" i="13"/>
  <c r="AM651" i="13"/>
  <c r="AM652" i="13"/>
  <c r="AM653" i="13"/>
  <c r="AM654" i="13"/>
  <c r="AM655" i="13"/>
  <c r="AM656" i="13"/>
  <c r="AM657" i="13"/>
  <c r="AM658" i="13"/>
  <c r="AM659" i="13"/>
  <c r="AM660" i="13"/>
  <c r="AM661" i="13"/>
  <c r="AM662" i="13"/>
  <c r="AM663" i="13"/>
  <c r="AM664" i="13"/>
  <c r="AM665" i="13"/>
  <c r="AM666" i="13"/>
  <c r="AM667" i="13"/>
  <c r="AM668" i="13"/>
  <c r="AM669" i="13"/>
  <c r="AM670" i="13"/>
  <c r="AM671" i="13"/>
  <c r="AM672" i="13"/>
  <c r="AM673" i="13"/>
  <c r="AM674" i="13"/>
  <c r="AM675" i="13"/>
  <c r="AM676" i="13"/>
  <c r="AM677" i="13"/>
  <c r="AM678" i="13"/>
  <c r="AM679" i="13"/>
  <c r="AM680" i="13"/>
  <c r="AM681" i="13"/>
  <c r="AM682" i="13"/>
  <c r="AM683" i="13"/>
  <c r="AM684" i="13"/>
  <c r="AM685" i="13"/>
  <c r="AM686" i="13"/>
  <c r="AM687" i="13"/>
  <c r="AM688" i="13"/>
  <c r="AM689" i="13"/>
  <c r="AM690" i="13"/>
  <c r="AM691" i="13"/>
  <c r="AM692" i="13"/>
  <c r="AM693" i="13"/>
  <c r="AM694" i="13"/>
  <c r="AM695" i="13"/>
  <c r="AM696" i="13"/>
  <c r="AM697" i="13"/>
  <c r="AM698" i="13"/>
  <c r="AM699" i="13"/>
  <c r="AM700" i="13"/>
  <c r="AM701" i="13"/>
  <c r="AM702" i="13"/>
  <c r="AM703" i="13"/>
  <c r="AM704" i="13"/>
  <c r="AM705" i="13"/>
  <c r="AM706" i="13"/>
  <c r="AM707" i="13"/>
  <c r="AM708" i="13"/>
  <c r="AM709" i="13"/>
  <c r="AM710" i="13"/>
  <c r="AM711" i="13"/>
  <c r="AM712" i="13"/>
  <c r="AM713" i="13"/>
  <c r="AM714" i="13"/>
  <c r="AM715" i="13"/>
  <c r="AM716" i="13"/>
  <c r="AM717" i="13"/>
  <c r="AM718" i="13"/>
  <c r="AM719" i="13"/>
  <c r="AM720" i="13"/>
  <c r="AM721" i="13"/>
  <c r="AM722" i="13"/>
  <c r="AM723" i="13"/>
  <c r="AM724" i="13"/>
  <c r="AM725" i="13"/>
  <c r="AM726" i="13"/>
  <c r="AM727" i="13"/>
  <c r="AM728" i="13"/>
  <c r="AM729" i="13"/>
  <c r="AM730" i="13"/>
  <c r="AM731" i="13"/>
  <c r="AM732" i="13"/>
  <c r="AM733" i="13"/>
  <c r="AM734" i="13"/>
  <c r="AM735" i="13"/>
  <c r="AM736" i="13"/>
  <c r="AM737" i="13"/>
  <c r="AM738" i="13"/>
  <c r="AM739" i="13"/>
  <c r="AM740" i="13"/>
  <c r="AM741" i="13"/>
  <c r="AM742" i="13"/>
  <c r="AM743" i="13"/>
  <c r="AM744" i="13"/>
  <c r="AM745" i="13"/>
  <c r="AM746" i="13"/>
  <c r="AM747" i="13"/>
  <c r="AM748" i="13"/>
  <c r="AM749" i="13"/>
  <c r="AM750" i="13"/>
  <c r="AM751" i="13"/>
  <c r="AM752" i="13"/>
  <c r="AM753" i="13"/>
  <c r="AM754" i="13"/>
  <c r="AM755" i="13"/>
  <c r="AM756" i="13"/>
  <c r="AM757" i="13"/>
  <c r="AM758" i="13"/>
  <c r="AM759" i="13"/>
  <c r="AM760" i="13"/>
  <c r="AM761" i="13"/>
  <c r="AM762" i="13"/>
  <c r="AM763" i="13"/>
  <c r="AM764" i="13"/>
  <c r="AM765" i="13"/>
  <c r="AM766" i="13"/>
  <c r="AM767" i="13"/>
  <c r="AM768" i="13"/>
  <c r="AM769" i="13"/>
  <c r="AM770" i="13"/>
  <c r="AM771" i="13"/>
  <c r="AM772" i="13"/>
  <c r="AM773" i="13"/>
  <c r="AM774" i="13"/>
  <c r="AM775" i="13"/>
  <c r="AM776" i="13"/>
  <c r="AM777" i="13"/>
  <c r="AM778" i="13"/>
  <c r="AM779" i="13"/>
  <c r="AM780" i="13"/>
  <c r="AM781" i="13"/>
  <c r="AM782" i="13"/>
  <c r="AM783" i="13"/>
  <c r="AM784" i="13"/>
  <c r="AM785" i="13"/>
  <c r="AM786" i="13"/>
  <c r="AM787" i="13"/>
  <c r="AM788" i="13"/>
  <c r="AM789" i="13"/>
  <c r="AM790" i="13"/>
  <c r="AM791" i="13"/>
  <c r="AM792" i="13"/>
  <c r="AM793" i="13"/>
  <c r="AM794" i="13"/>
  <c r="AM795" i="13"/>
  <c r="AM796" i="13"/>
  <c r="AM797" i="13"/>
  <c r="AM798" i="13"/>
  <c r="AM799" i="13"/>
  <c r="AM800" i="13"/>
  <c r="AM801" i="13"/>
  <c r="AM802" i="13"/>
  <c r="AM803" i="13"/>
  <c r="AM804" i="13"/>
  <c r="AM805" i="13"/>
  <c r="AM806" i="13"/>
  <c r="AM807" i="13"/>
  <c r="AM808" i="13"/>
  <c r="AM809" i="13"/>
  <c r="AM810" i="13"/>
  <c r="AM811" i="13"/>
  <c r="AM812" i="13"/>
  <c r="AM813" i="13"/>
  <c r="AM814" i="13"/>
  <c r="AM815" i="13"/>
  <c r="AM816" i="13"/>
  <c r="AM817" i="13"/>
  <c r="AM818" i="13"/>
  <c r="AM819" i="13"/>
  <c r="AM820" i="13"/>
  <c r="AM821" i="13"/>
  <c r="AM822" i="13"/>
  <c r="AM823" i="13"/>
  <c r="AM824" i="13"/>
  <c r="AM825" i="13"/>
  <c r="AM826" i="13"/>
  <c r="AM827" i="13"/>
  <c r="AM828" i="13"/>
  <c r="AM829" i="13"/>
  <c r="AM830" i="13"/>
  <c r="AM831" i="13"/>
  <c r="AM832" i="13"/>
  <c r="AM833" i="13"/>
  <c r="AM834" i="13"/>
  <c r="AM835" i="13"/>
  <c r="AM836" i="13"/>
  <c r="AM837" i="13"/>
  <c r="AM838" i="13"/>
  <c r="AM839" i="13"/>
  <c r="AM840" i="13"/>
  <c r="AM841" i="13"/>
  <c r="AM842" i="13"/>
  <c r="AM843" i="13"/>
  <c r="AM844" i="13"/>
  <c r="AM845" i="13"/>
  <c r="AM846" i="13"/>
  <c r="AM847" i="13"/>
  <c r="AM848" i="13"/>
  <c r="AM849" i="13"/>
  <c r="AM850" i="13"/>
  <c r="AM851" i="13"/>
  <c r="AM852" i="13"/>
  <c r="AM853" i="13"/>
  <c r="AM854" i="13"/>
  <c r="AM855" i="13"/>
  <c r="AM856" i="13"/>
  <c r="AM857" i="13"/>
  <c r="AM858" i="13"/>
  <c r="AM859" i="13"/>
  <c r="AM860" i="13"/>
  <c r="AM861" i="13"/>
  <c r="AM862" i="13"/>
  <c r="AM863" i="13"/>
  <c r="AM864" i="13"/>
  <c r="AM865" i="13"/>
  <c r="AM866" i="13"/>
  <c r="AM867" i="13"/>
  <c r="AM868" i="13"/>
  <c r="AM869" i="13"/>
  <c r="AM870" i="13"/>
  <c r="AM871" i="13"/>
  <c r="AM872" i="13"/>
  <c r="AM873" i="13"/>
  <c r="AM874" i="13"/>
  <c r="AM875" i="13"/>
  <c r="AM876" i="13"/>
  <c r="AM877" i="13"/>
  <c r="AM878" i="13"/>
  <c r="AM879" i="13"/>
  <c r="AM880" i="13"/>
  <c r="AM881" i="13"/>
  <c r="AM882" i="13"/>
  <c r="AM883" i="13"/>
  <c r="AM884" i="13"/>
  <c r="AM885" i="13"/>
  <c r="AM886" i="13"/>
  <c r="AM887" i="13"/>
  <c r="AM888" i="13"/>
  <c r="AM889" i="13"/>
  <c r="AM890" i="13"/>
  <c r="AM891" i="13"/>
  <c r="AM892" i="13"/>
  <c r="AM893" i="13"/>
  <c r="AM894" i="13"/>
  <c r="AM895" i="13"/>
  <c r="AM896" i="13"/>
  <c r="AM897" i="13"/>
  <c r="AM898" i="13"/>
  <c r="AM899" i="13"/>
  <c r="AM900" i="13"/>
  <c r="AM901" i="13"/>
  <c r="AM902" i="13"/>
  <c r="AM903" i="13"/>
  <c r="AM904" i="13"/>
  <c r="AM905" i="13"/>
  <c r="AM906" i="13"/>
  <c r="AM907" i="13"/>
  <c r="AM908" i="13"/>
  <c r="AM909" i="13"/>
  <c r="AM910" i="13"/>
  <c r="AM911" i="13"/>
  <c r="AM912" i="13"/>
  <c r="AM913" i="13"/>
  <c r="AM914" i="13"/>
  <c r="AM915" i="13"/>
  <c r="AM916" i="13"/>
  <c r="AM917" i="13"/>
  <c r="AM918" i="13"/>
  <c r="AM919" i="13"/>
  <c r="AM920" i="13"/>
  <c r="AM921" i="13"/>
  <c r="AM922" i="13"/>
  <c r="AM923" i="13"/>
  <c r="AM924" i="13"/>
  <c r="AM925" i="13"/>
  <c r="AM926" i="13"/>
  <c r="AM927" i="13"/>
  <c r="AM928" i="13"/>
  <c r="AM929" i="13"/>
  <c r="AM930" i="13"/>
  <c r="AM931" i="13"/>
  <c r="AM932" i="13"/>
  <c r="AM933" i="13"/>
  <c r="AM934" i="13"/>
  <c r="AM935" i="13"/>
  <c r="AM936" i="13"/>
  <c r="AM937" i="13"/>
  <c r="AM938" i="13"/>
  <c r="AM939" i="13"/>
  <c r="AM940" i="13"/>
  <c r="AM941" i="13"/>
  <c r="AM942" i="13"/>
  <c r="AM943" i="13"/>
  <c r="AM944" i="13"/>
  <c r="AM945" i="13"/>
  <c r="AM946" i="13"/>
  <c r="AM947" i="13"/>
  <c r="AM948" i="13"/>
  <c r="AM949" i="13"/>
  <c r="AM950" i="13"/>
  <c r="AM951" i="13"/>
  <c r="AM952" i="13"/>
  <c r="AM953" i="13"/>
  <c r="AM954" i="13"/>
  <c r="AM955" i="13"/>
  <c r="AM956" i="13"/>
  <c r="AM957" i="13"/>
  <c r="AM958" i="13"/>
  <c r="AM959" i="13"/>
  <c r="AM960" i="13"/>
  <c r="AM961" i="13"/>
  <c r="AM962" i="13"/>
  <c r="AM963" i="13"/>
  <c r="AM964" i="13"/>
  <c r="AM965" i="13"/>
  <c r="AM966" i="13"/>
  <c r="AM967" i="13"/>
  <c r="AM968" i="13"/>
  <c r="AM969" i="13"/>
  <c r="AM970" i="13"/>
  <c r="AM971" i="13"/>
  <c r="AM972" i="13"/>
  <c r="AM973" i="13"/>
  <c r="AM974" i="13"/>
  <c r="AM975" i="13"/>
  <c r="AM976" i="13"/>
  <c r="AM977" i="13"/>
  <c r="AM978" i="13"/>
  <c r="AM979" i="13"/>
  <c r="AM980" i="13"/>
  <c r="AM981" i="13"/>
  <c r="AM982" i="13"/>
  <c r="AM983" i="13"/>
  <c r="AM984" i="13"/>
  <c r="AM985" i="13"/>
  <c r="AM986" i="13"/>
  <c r="AM987" i="13"/>
  <c r="AM988" i="13"/>
  <c r="AM989" i="13"/>
  <c r="AM990" i="13"/>
  <c r="AM991" i="13"/>
  <c r="AM992" i="13"/>
  <c r="AM993" i="13"/>
  <c r="AM994" i="13"/>
  <c r="AM995" i="13"/>
  <c r="AM996" i="13"/>
  <c r="AM997" i="13"/>
  <c r="AM998" i="13"/>
  <c r="AM999" i="13"/>
  <c r="AM1000" i="13"/>
  <c r="AM1001" i="13"/>
  <c r="AM1002" i="13"/>
  <c r="AM1003" i="13"/>
  <c r="AM1004" i="13"/>
  <c r="AM1005" i="13"/>
  <c r="AM1006" i="13"/>
  <c r="AM1007" i="13"/>
  <c r="AM1008" i="13"/>
  <c r="AM1009" i="13"/>
  <c r="AM1010" i="13"/>
  <c r="AM1011" i="13"/>
  <c r="AM1012" i="13"/>
  <c r="AM1013" i="13"/>
  <c r="AM1014" i="13"/>
  <c r="AM1015" i="13"/>
  <c r="AM1016" i="13"/>
  <c r="AM1017" i="13"/>
  <c r="AM1018" i="13"/>
  <c r="AM1019" i="13"/>
  <c r="AM1020" i="13"/>
  <c r="AM1021" i="13"/>
  <c r="AM1022" i="13"/>
  <c r="AM1023" i="13"/>
  <c r="AM1024" i="13"/>
  <c r="AM1025" i="13"/>
  <c r="AM1026" i="13"/>
  <c r="AM1027" i="13"/>
  <c r="AM1028" i="13"/>
  <c r="AM1029" i="13"/>
  <c r="AM1030" i="13"/>
  <c r="AM1031" i="13"/>
  <c r="AM1032" i="13"/>
  <c r="AM1033" i="13"/>
  <c r="AM1034" i="13"/>
  <c r="AM1035" i="13"/>
  <c r="AM1036" i="13"/>
  <c r="AM1037" i="13"/>
  <c r="AM1038" i="13"/>
  <c r="AM1039" i="13"/>
  <c r="AM1040" i="13"/>
  <c r="AM1041" i="13"/>
  <c r="AM1042" i="13"/>
  <c r="AM1043" i="13"/>
  <c r="AM1044" i="13"/>
  <c r="AM1045" i="13"/>
  <c r="AM1046" i="13"/>
  <c r="AM1047" i="13"/>
  <c r="AM1048" i="13"/>
  <c r="AM1049" i="13"/>
  <c r="AM1050" i="13"/>
  <c r="AM1051" i="13"/>
  <c r="AM1052" i="13"/>
  <c r="AM1053" i="13"/>
  <c r="AM1054" i="13"/>
  <c r="AM1055" i="13"/>
  <c r="AM1056" i="13"/>
  <c r="AM1057" i="13"/>
  <c r="AM1058" i="13"/>
  <c r="AM1059" i="13"/>
  <c r="AM1060" i="13"/>
  <c r="AM1061" i="13"/>
  <c r="AM1062" i="13"/>
  <c r="AM1063" i="13"/>
  <c r="AM1064" i="13"/>
  <c r="AM1065" i="13"/>
  <c r="AM1066" i="13"/>
  <c r="AM1067" i="13"/>
  <c r="AM1068" i="13"/>
  <c r="AM1069" i="13"/>
  <c r="AM1070" i="13"/>
  <c r="AM1071" i="13"/>
  <c r="AM1072" i="13"/>
  <c r="AM1073" i="13"/>
  <c r="AM1074" i="13"/>
  <c r="AM1075" i="13"/>
  <c r="AM1076" i="13"/>
  <c r="AM1077" i="13"/>
  <c r="AM1078" i="13"/>
  <c r="AM1079" i="13"/>
  <c r="AM1080" i="13"/>
  <c r="AM1081" i="13"/>
  <c r="AM1082" i="13"/>
  <c r="AM1083" i="13"/>
  <c r="AM1084" i="13"/>
  <c r="AM1085" i="13"/>
  <c r="AM1086" i="13"/>
  <c r="AM1087" i="13"/>
  <c r="AM1088" i="13"/>
  <c r="AM1089" i="13"/>
  <c r="AM1090" i="13"/>
  <c r="AM1091" i="13"/>
  <c r="AM1092" i="13"/>
  <c r="AM1093" i="13"/>
  <c r="AM1094" i="13"/>
  <c r="AM1095" i="13"/>
  <c r="AM1096" i="13"/>
  <c r="AM1097" i="13"/>
  <c r="AM1098" i="13"/>
  <c r="AM1099" i="13"/>
  <c r="AM1100" i="13"/>
  <c r="AM1101" i="13"/>
  <c r="AM1102" i="13"/>
  <c r="AM1103" i="13"/>
  <c r="AM1104" i="13"/>
  <c r="AM1105" i="13"/>
  <c r="AM1106" i="13"/>
  <c r="AM1107" i="13"/>
  <c r="AM1108" i="13"/>
  <c r="AM1109" i="13"/>
  <c r="AM1110" i="13"/>
  <c r="AM1111" i="13"/>
  <c r="AM1112" i="13"/>
  <c r="AM1113" i="13"/>
  <c r="AM1114" i="13"/>
  <c r="AM1115" i="13"/>
  <c r="AM1116" i="13"/>
  <c r="AM1117" i="13"/>
  <c r="AM1118" i="13"/>
  <c r="AM1119" i="13"/>
  <c r="AM1120" i="13"/>
  <c r="AM1121" i="13"/>
  <c r="AM1122" i="13"/>
  <c r="AM1123" i="13"/>
  <c r="AM1124" i="13"/>
  <c r="AM1125" i="13"/>
  <c r="AM1126" i="13"/>
  <c r="AM1127" i="13"/>
  <c r="AM1128" i="13"/>
  <c r="AM1129" i="13"/>
  <c r="AM1130" i="13"/>
  <c r="AM1131" i="13"/>
  <c r="AM1132" i="13"/>
  <c r="AM1133" i="13"/>
  <c r="AM1134" i="13"/>
  <c r="AM1135" i="13"/>
  <c r="AM1136" i="13"/>
  <c r="AM1137" i="13"/>
  <c r="AM1138" i="13"/>
  <c r="AM1139" i="13"/>
  <c r="AM1140" i="13"/>
  <c r="AM1141" i="13"/>
  <c r="AM1142" i="13"/>
  <c r="AM1143" i="13"/>
  <c r="AM1144" i="13"/>
  <c r="AM1145" i="13"/>
  <c r="AM1146" i="13"/>
  <c r="AM1147" i="13"/>
  <c r="AM1148" i="13"/>
  <c r="AM1149" i="13"/>
  <c r="AM1150" i="13"/>
  <c r="AM1151" i="13"/>
  <c r="AM1152" i="13"/>
  <c r="AM1153" i="13"/>
  <c r="AM1154" i="13"/>
  <c r="AM1155" i="13"/>
  <c r="AM1156" i="13"/>
  <c r="AM1157" i="13"/>
  <c r="AM1158" i="13"/>
  <c r="AM1159" i="13"/>
  <c r="AM1160" i="13"/>
  <c r="AM1161" i="13"/>
  <c r="AM1162" i="13"/>
  <c r="AM1163" i="13"/>
  <c r="AM1164" i="13"/>
  <c r="AM1165" i="13"/>
  <c r="AM1166" i="13"/>
  <c r="AM1167" i="13"/>
  <c r="AM1168" i="13"/>
  <c r="AM1169" i="13"/>
  <c r="AM1170" i="13"/>
  <c r="AM1171" i="13"/>
  <c r="AM1172" i="13"/>
  <c r="AM1173" i="13"/>
  <c r="AM1174" i="13"/>
  <c r="AM1175" i="13"/>
  <c r="AM1176" i="13"/>
  <c r="AM1177" i="13"/>
  <c r="AM1178" i="13"/>
  <c r="AM1179" i="13"/>
  <c r="AM1180" i="13"/>
  <c r="AM1181" i="13"/>
  <c r="AM1182" i="13"/>
  <c r="AM1183" i="13"/>
  <c r="AM1184" i="13"/>
  <c r="AM1185" i="13"/>
  <c r="AM1186" i="13"/>
  <c r="AM1187" i="13"/>
  <c r="AM1188" i="13"/>
  <c r="AM1189" i="13"/>
  <c r="AM1190" i="13"/>
  <c r="AM1191" i="13"/>
  <c r="AM1192" i="13"/>
  <c r="AM1193" i="13"/>
  <c r="AM1194" i="13"/>
  <c r="AM1195" i="13"/>
  <c r="AM1196" i="13"/>
  <c r="AM1197" i="13"/>
  <c r="AM1198" i="13"/>
  <c r="AM1199" i="13"/>
  <c r="AM1200" i="13"/>
  <c r="AM1201" i="13"/>
  <c r="AM1202" i="13"/>
  <c r="AM1203" i="13"/>
  <c r="AM1204" i="13"/>
  <c r="AM1205" i="13"/>
  <c r="AM1206" i="13"/>
  <c r="AM1207" i="13"/>
  <c r="AM1208" i="13"/>
  <c r="AM1209" i="13"/>
  <c r="AM1210" i="13"/>
  <c r="AM1211" i="13"/>
  <c r="AM1212" i="13"/>
  <c r="AM1213" i="13"/>
  <c r="AM1214" i="13"/>
  <c r="AM1215" i="13"/>
  <c r="AM1216" i="13"/>
  <c r="AM1217" i="13"/>
  <c r="AM1218" i="13"/>
  <c r="AM1219" i="13"/>
  <c r="AM1220" i="13"/>
  <c r="AM1221" i="13"/>
  <c r="AM1222" i="13"/>
  <c r="AM1223" i="13"/>
  <c r="AM1224" i="13"/>
  <c r="AM1225" i="13"/>
  <c r="AM1226" i="13"/>
  <c r="AM1227" i="13"/>
  <c r="AM1228" i="13"/>
  <c r="AM1229" i="13"/>
  <c r="AM1230" i="13"/>
  <c r="AM1231" i="13"/>
  <c r="AM1232" i="13"/>
  <c r="AM1233" i="13"/>
  <c r="AM1234" i="13"/>
  <c r="AM1235" i="13"/>
  <c r="AM1236" i="13"/>
  <c r="AM1237" i="13"/>
  <c r="AM1238" i="13"/>
  <c r="AM1239" i="13"/>
  <c r="AM1240" i="13"/>
  <c r="AM1241" i="13"/>
  <c r="AM1242" i="13"/>
  <c r="AM1243" i="13"/>
  <c r="AM1244" i="13"/>
  <c r="AM1245" i="13"/>
  <c r="AM1246" i="13"/>
  <c r="AM1247" i="13"/>
  <c r="AM1248" i="13"/>
  <c r="AM1249" i="13"/>
  <c r="AM1250" i="13"/>
  <c r="AM1251" i="13"/>
  <c r="AM1252" i="13"/>
  <c r="AM1253" i="13"/>
  <c r="AM1254" i="13"/>
  <c r="AM1255" i="13"/>
  <c r="AM1256" i="13"/>
  <c r="AM1257" i="13"/>
  <c r="AM1258" i="13"/>
  <c r="AM1259" i="13"/>
  <c r="AM1260" i="13"/>
  <c r="AM1261" i="13"/>
  <c r="AM1262" i="13"/>
  <c r="AM1263" i="13"/>
  <c r="AM1264" i="13"/>
  <c r="AM1265" i="13"/>
  <c r="AM1266" i="13"/>
  <c r="AM1267" i="13"/>
  <c r="AM1268" i="13"/>
  <c r="AM1269" i="13"/>
  <c r="AM1270" i="13"/>
  <c r="AM1271" i="13"/>
  <c r="AM1272" i="13"/>
  <c r="AM1273" i="13"/>
  <c r="AM1274" i="13"/>
  <c r="AM1275" i="13"/>
  <c r="AM1276" i="13"/>
  <c r="AM1277" i="13"/>
  <c r="AM1278" i="13"/>
  <c r="AM1279" i="13"/>
  <c r="AM1280" i="13"/>
  <c r="AM1281" i="13"/>
  <c r="AM1282" i="13"/>
  <c r="AM1283" i="13"/>
  <c r="AM1284" i="13"/>
  <c r="AM1285" i="13"/>
  <c r="AM1286" i="13"/>
  <c r="AM1287" i="13"/>
  <c r="AM1288" i="13"/>
  <c r="AM1289" i="13"/>
  <c r="AM1290" i="13"/>
  <c r="AM1291" i="13"/>
  <c r="AM1292" i="13"/>
  <c r="AM1293" i="13"/>
  <c r="AM1294" i="13"/>
  <c r="AM1295" i="13"/>
  <c r="AM1296" i="13"/>
  <c r="AM1297" i="13"/>
  <c r="AM1298" i="13"/>
  <c r="AM1299" i="13"/>
  <c r="AM1300" i="13"/>
  <c r="AM1301" i="13"/>
  <c r="AM1302" i="13"/>
  <c r="AM1303" i="13"/>
  <c r="AM1304" i="13"/>
  <c r="AM1305" i="13"/>
  <c r="AM1306" i="13"/>
  <c r="AM1307" i="13"/>
  <c r="AM1308" i="13"/>
  <c r="AM1309" i="13"/>
  <c r="AM1310" i="13"/>
  <c r="AM1311" i="13"/>
  <c r="AM1312" i="13"/>
  <c r="AM1313" i="13"/>
  <c r="AM1314" i="13"/>
  <c r="AM1315" i="13"/>
  <c r="AM1316" i="13"/>
  <c r="AM1317" i="13"/>
  <c r="AM1318" i="13"/>
  <c r="AM1319" i="13"/>
  <c r="AM1320" i="13"/>
  <c r="AM1321" i="13"/>
  <c r="AM1322" i="13"/>
  <c r="AM1323" i="13"/>
  <c r="AM1324" i="13"/>
  <c r="AM1325" i="13"/>
  <c r="AM1326" i="13"/>
  <c r="AM1327" i="13"/>
  <c r="AM1328" i="13"/>
  <c r="AM1329" i="13"/>
  <c r="AM1330" i="13"/>
  <c r="AM1331" i="13"/>
  <c r="AM1332" i="13"/>
  <c r="AM1333" i="13"/>
  <c r="AM1334" i="13"/>
  <c r="AM1335" i="13"/>
  <c r="AM1336" i="13"/>
  <c r="AM1337" i="13"/>
  <c r="AM1338" i="13"/>
  <c r="AM1339" i="13"/>
  <c r="AM1340" i="13"/>
  <c r="AM1341" i="13"/>
  <c r="AM1342" i="13"/>
  <c r="AM1343" i="13"/>
  <c r="AM1344" i="13"/>
  <c r="AM1345" i="13"/>
  <c r="AM1346" i="13"/>
  <c r="AM1347" i="13"/>
  <c r="AM1348" i="13"/>
  <c r="AM1349" i="13"/>
  <c r="AM1350" i="13"/>
  <c r="AM1351" i="13"/>
  <c r="AM1352" i="13"/>
  <c r="AM1353" i="13"/>
  <c r="AM1354" i="13"/>
  <c r="AM1355" i="13"/>
  <c r="AM1356" i="13"/>
  <c r="AM1357" i="13"/>
  <c r="AM1358" i="13"/>
  <c r="AM1359" i="13"/>
  <c r="AM1360" i="13"/>
  <c r="AM1361" i="13"/>
  <c r="AM1362" i="13"/>
  <c r="AM1363" i="13"/>
  <c r="AM1364" i="13"/>
  <c r="AM1365" i="13"/>
  <c r="AM1366" i="13"/>
  <c r="AM1367" i="13"/>
  <c r="AM1368" i="13"/>
  <c r="AM1369" i="13"/>
  <c r="AM1370" i="13"/>
  <c r="AM1371" i="13"/>
  <c r="AM1372" i="13"/>
  <c r="AM1373" i="13"/>
  <c r="AM1374" i="13"/>
  <c r="AM1375" i="13"/>
  <c r="AM1376" i="13"/>
  <c r="AM1377" i="13"/>
  <c r="AM1378" i="13"/>
  <c r="AM1379" i="13"/>
  <c r="AM1380" i="13"/>
  <c r="AM1381" i="13"/>
  <c r="AM1382" i="13"/>
  <c r="AM1383" i="13"/>
  <c r="AM1384" i="13"/>
  <c r="AM1385" i="13"/>
  <c r="AM1386" i="13"/>
  <c r="AM1387" i="13"/>
  <c r="AM1388" i="13"/>
  <c r="AM1389" i="13"/>
  <c r="AM1390" i="13"/>
  <c r="AM1391" i="13"/>
  <c r="AM1392" i="13"/>
  <c r="AM1393" i="13"/>
  <c r="AM1394" i="13"/>
  <c r="AM1395" i="13"/>
  <c r="AM1396" i="13"/>
  <c r="AM1397" i="13"/>
  <c r="AM1398" i="13"/>
  <c r="AM1399" i="13"/>
  <c r="AM1400" i="13"/>
  <c r="AM1401" i="13"/>
  <c r="AM1402" i="13"/>
  <c r="AM1403" i="13"/>
  <c r="AM1404" i="13"/>
  <c r="AM1405" i="13"/>
  <c r="AM1406" i="13"/>
  <c r="AM1407" i="13"/>
  <c r="AM1408" i="13"/>
  <c r="AM1409" i="13"/>
  <c r="AM1410" i="13"/>
  <c r="AM1411" i="13"/>
  <c r="AM1412" i="13"/>
  <c r="AM1413" i="13"/>
  <c r="AM1414" i="13"/>
  <c r="AM1415" i="13"/>
  <c r="AM1416" i="13"/>
  <c r="AM1417" i="13"/>
  <c r="AM1418" i="13"/>
  <c r="AM1419" i="13"/>
  <c r="AM1420" i="13"/>
  <c r="AM1421" i="13"/>
  <c r="AM1422" i="13"/>
  <c r="AM1423" i="13"/>
  <c r="AM1424" i="13"/>
  <c r="AM1425" i="13"/>
  <c r="AM1426" i="13"/>
  <c r="AM1427" i="13"/>
  <c r="AM1428" i="13"/>
  <c r="AM1429" i="13"/>
  <c r="AM1430" i="13"/>
  <c r="AM1431" i="13"/>
  <c r="AM1432" i="13"/>
  <c r="AM1433" i="13"/>
  <c r="AM1434" i="13"/>
  <c r="AM1435" i="13"/>
  <c r="AM1436" i="13"/>
  <c r="AM1437" i="13"/>
  <c r="AM1438" i="13"/>
  <c r="AM1439" i="13"/>
  <c r="AM1440" i="13"/>
  <c r="AM1441" i="13"/>
  <c r="AM1442" i="13"/>
  <c r="AM1443" i="13"/>
  <c r="AM1444" i="13"/>
  <c r="AM1445" i="13"/>
  <c r="AM1446" i="13"/>
  <c r="AM1447" i="13"/>
  <c r="AM1448" i="13"/>
  <c r="AM1449" i="13"/>
  <c r="AM1450" i="13"/>
  <c r="AM1451" i="13"/>
  <c r="AM1452" i="13"/>
  <c r="AM1453" i="13"/>
  <c r="AM1454" i="13"/>
  <c r="AM1455" i="13"/>
  <c r="AM1456" i="13"/>
  <c r="AM1457" i="13"/>
  <c r="AM1458" i="13"/>
  <c r="AM1459" i="13"/>
  <c r="AM1460" i="13"/>
  <c r="AM1461" i="13"/>
  <c r="AM1462" i="13"/>
  <c r="AM1463" i="13"/>
  <c r="AM1464" i="13"/>
  <c r="AM1465" i="13"/>
  <c r="AM1466" i="13"/>
  <c r="AM1467" i="13"/>
  <c r="AM1468" i="13"/>
  <c r="AM1469" i="13"/>
  <c r="AM1470" i="13"/>
  <c r="AM1471" i="13"/>
  <c r="AM1472" i="13"/>
  <c r="AM1473" i="13"/>
  <c r="AM1474" i="13"/>
  <c r="AM1475" i="13"/>
  <c r="AM1476" i="13"/>
  <c r="AM1477" i="13"/>
  <c r="AM1478" i="13"/>
  <c r="AM1479" i="13"/>
  <c r="AM1480" i="13"/>
  <c r="AM1481" i="13"/>
  <c r="AM1482" i="13"/>
  <c r="AM1483" i="13"/>
  <c r="AM1484" i="13"/>
  <c r="AM1485" i="13"/>
  <c r="AM1486" i="13"/>
  <c r="AM1487" i="13"/>
  <c r="AM1488" i="13"/>
  <c r="AM1489" i="13"/>
  <c r="AM1490" i="13"/>
  <c r="AM1491" i="13"/>
  <c r="AM1492" i="13"/>
  <c r="AM1493" i="13"/>
  <c r="AM1494" i="13"/>
  <c r="AM1495" i="13"/>
  <c r="AM1496" i="13"/>
  <c r="AM1497" i="13"/>
  <c r="AM1498" i="13"/>
  <c r="AM1499" i="13"/>
  <c r="AM1500" i="13"/>
  <c r="AM1501" i="13"/>
  <c r="AM1502" i="13"/>
  <c r="AM1503" i="13"/>
  <c r="AM1504" i="13"/>
  <c r="AM1505" i="13"/>
  <c r="AM1506" i="13"/>
  <c r="AM1507" i="13"/>
  <c r="AM1508" i="13"/>
  <c r="AM1509" i="13"/>
  <c r="AM1510" i="13"/>
  <c r="AM1511" i="13"/>
  <c r="AM1512" i="13"/>
  <c r="AM1513" i="13"/>
  <c r="AM1514" i="13"/>
  <c r="AM1515" i="13"/>
  <c r="AM1516" i="13"/>
  <c r="AM1517" i="13"/>
  <c r="AM1518" i="13"/>
  <c r="AM1519" i="13"/>
  <c r="AM1520" i="13"/>
  <c r="AM1521" i="13"/>
  <c r="AM2" i="13"/>
  <c r="AL3" i="13"/>
  <c r="AL4" i="13"/>
  <c r="AL5" i="13"/>
  <c r="AL6" i="13"/>
  <c r="AL7" i="13"/>
  <c r="AL8" i="13"/>
  <c r="AL9" i="13"/>
  <c r="AL10" i="13"/>
  <c r="AL11" i="13"/>
  <c r="AL12" i="13"/>
  <c r="AL13" i="13"/>
  <c r="AL14" i="13"/>
  <c r="AL15" i="13"/>
  <c r="AL16" i="13"/>
  <c r="AL17" i="13"/>
  <c r="AL18" i="13"/>
  <c r="AL19" i="13"/>
  <c r="AL20" i="13"/>
  <c r="AL21" i="13"/>
  <c r="AL22" i="13"/>
  <c r="AL23" i="13"/>
  <c r="AL24" i="13"/>
  <c r="AL25" i="13"/>
  <c r="AL26" i="13"/>
  <c r="AL27" i="13"/>
  <c r="AL28" i="13"/>
  <c r="AL29" i="13"/>
  <c r="AL30" i="13"/>
  <c r="AL31" i="13"/>
  <c r="AL32" i="13"/>
  <c r="AL33" i="13"/>
  <c r="AL34" i="13"/>
  <c r="AL35" i="13"/>
  <c r="AL36" i="13"/>
  <c r="AL37" i="13"/>
  <c r="AL38" i="13"/>
  <c r="AL39" i="13"/>
  <c r="AL40" i="13"/>
  <c r="AL41" i="13"/>
  <c r="AL42" i="13"/>
  <c r="AL43" i="13"/>
  <c r="AL44" i="13"/>
  <c r="AL45" i="13"/>
  <c r="AL46" i="13"/>
  <c r="AL47" i="13"/>
  <c r="AL48" i="13"/>
  <c r="AL49" i="13"/>
  <c r="AL50" i="13"/>
  <c r="AL51" i="13"/>
  <c r="AL52" i="13"/>
  <c r="AL53" i="13"/>
  <c r="AL54" i="13"/>
  <c r="AL55" i="13"/>
  <c r="AL56" i="13"/>
  <c r="AL57" i="13"/>
  <c r="AL58" i="13"/>
  <c r="AL59" i="13"/>
  <c r="AL60" i="13"/>
  <c r="AL61" i="13"/>
  <c r="AL62" i="13"/>
  <c r="AL63" i="13"/>
  <c r="AL64" i="13"/>
  <c r="AL65" i="13"/>
  <c r="AL66" i="13"/>
  <c r="AL67" i="13"/>
  <c r="AL68" i="13"/>
  <c r="AL69" i="13"/>
  <c r="AL70" i="13"/>
  <c r="AL71" i="13"/>
  <c r="AL72" i="13"/>
  <c r="AL73" i="13"/>
  <c r="AL74" i="13"/>
  <c r="AL75" i="13"/>
  <c r="AL76" i="13"/>
  <c r="AL77" i="13"/>
  <c r="AL78" i="13"/>
  <c r="AL79" i="13"/>
  <c r="AL80" i="13"/>
  <c r="AL81" i="13"/>
  <c r="AL82" i="13"/>
  <c r="AL83" i="13"/>
  <c r="AL84" i="13"/>
  <c r="AL85" i="13"/>
  <c r="AL86" i="13"/>
  <c r="AL87" i="13"/>
  <c r="AL88" i="13"/>
  <c r="AL89" i="13"/>
  <c r="AL90" i="13"/>
  <c r="AL91" i="13"/>
  <c r="AL92" i="13"/>
  <c r="AL93" i="13"/>
  <c r="AL94" i="13"/>
  <c r="AL95" i="13"/>
  <c r="AL96" i="13"/>
  <c r="AL97" i="13"/>
  <c r="AL98" i="13"/>
  <c r="AL99" i="13"/>
  <c r="AL100" i="13"/>
  <c r="AL101" i="13"/>
  <c r="AL102" i="13"/>
  <c r="AL103" i="13"/>
  <c r="AL104" i="13"/>
  <c r="AL105" i="13"/>
  <c r="AL106" i="13"/>
  <c r="AL107" i="13"/>
  <c r="AL108" i="13"/>
  <c r="AL109" i="13"/>
  <c r="AL110" i="13"/>
  <c r="AL111" i="13"/>
  <c r="AL112" i="13"/>
  <c r="AL113" i="13"/>
  <c r="AL114" i="13"/>
  <c r="AL115" i="13"/>
  <c r="AL116" i="13"/>
  <c r="AL117" i="13"/>
  <c r="AL118" i="13"/>
  <c r="AL119" i="13"/>
  <c r="AL120" i="13"/>
  <c r="AL121" i="13"/>
  <c r="AL122" i="13"/>
  <c r="AL123" i="13"/>
  <c r="AL124" i="13"/>
  <c r="AL125" i="13"/>
  <c r="AL126" i="13"/>
  <c r="AL127" i="13"/>
  <c r="AL128" i="13"/>
  <c r="AL129" i="13"/>
  <c r="AL130" i="13"/>
  <c r="AL131" i="13"/>
  <c r="AL132" i="13"/>
  <c r="AL133" i="13"/>
  <c r="AL134" i="13"/>
  <c r="AL135" i="13"/>
  <c r="AL136" i="13"/>
  <c r="AL137" i="13"/>
  <c r="AL138" i="13"/>
  <c r="AL139" i="13"/>
  <c r="AL140" i="13"/>
  <c r="AL141" i="13"/>
  <c r="AL142" i="13"/>
  <c r="AL143" i="13"/>
  <c r="AL144" i="13"/>
  <c r="AL145" i="13"/>
  <c r="AL146" i="13"/>
  <c r="AL147" i="13"/>
  <c r="AL148" i="13"/>
  <c r="AL149" i="13"/>
  <c r="AL150" i="13"/>
  <c r="AL151" i="13"/>
  <c r="AL152" i="13"/>
  <c r="AL153" i="13"/>
  <c r="AL154" i="13"/>
  <c r="AL155" i="13"/>
  <c r="AL156" i="13"/>
  <c r="AL157" i="13"/>
  <c r="AL158" i="13"/>
  <c r="AL159" i="13"/>
  <c r="AL160" i="13"/>
  <c r="AL161" i="13"/>
  <c r="AL162" i="13"/>
  <c r="AL163" i="13"/>
  <c r="AL164" i="13"/>
  <c r="AL165" i="13"/>
  <c r="AL166" i="13"/>
  <c r="AL167" i="13"/>
  <c r="AL168" i="13"/>
  <c r="AL169" i="13"/>
  <c r="AL170" i="13"/>
  <c r="AL171" i="13"/>
  <c r="AL172" i="13"/>
  <c r="AL173" i="13"/>
  <c r="AL174" i="13"/>
  <c r="AL175" i="13"/>
  <c r="AL176" i="13"/>
  <c r="AL177" i="13"/>
  <c r="AL178" i="13"/>
  <c r="AL179" i="13"/>
  <c r="AL180" i="13"/>
  <c r="AL181" i="13"/>
  <c r="AL182" i="13"/>
  <c r="AL183" i="13"/>
  <c r="AL184" i="13"/>
  <c r="AL185" i="13"/>
  <c r="AL186" i="13"/>
  <c r="AL187" i="13"/>
  <c r="AL188" i="13"/>
  <c r="AL189" i="13"/>
  <c r="AL190" i="13"/>
  <c r="AL191" i="13"/>
  <c r="AL192" i="13"/>
  <c r="AL193" i="13"/>
  <c r="AL194" i="13"/>
  <c r="AL195" i="13"/>
  <c r="AL196" i="13"/>
  <c r="AL197" i="13"/>
  <c r="AL198" i="13"/>
  <c r="AL199" i="13"/>
  <c r="AL200" i="13"/>
  <c r="AL201" i="13"/>
  <c r="AL202" i="13"/>
  <c r="AL203" i="13"/>
  <c r="AL204" i="13"/>
  <c r="AL205" i="13"/>
  <c r="AL206" i="13"/>
  <c r="AL207" i="13"/>
  <c r="AL208" i="13"/>
  <c r="AL209" i="13"/>
  <c r="AL210" i="13"/>
  <c r="AL211" i="13"/>
  <c r="AL212" i="13"/>
  <c r="AL213" i="13"/>
  <c r="AL214" i="13"/>
  <c r="AL215" i="13"/>
  <c r="AL216" i="13"/>
  <c r="AL217" i="13"/>
  <c r="AL218" i="13"/>
  <c r="AL219" i="13"/>
  <c r="AL220" i="13"/>
  <c r="AL221" i="13"/>
  <c r="AL222" i="13"/>
  <c r="AL223" i="13"/>
  <c r="AL224" i="13"/>
  <c r="AL225" i="13"/>
  <c r="AL226" i="13"/>
  <c r="AL227" i="13"/>
  <c r="AL228" i="13"/>
  <c r="AL229" i="13"/>
  <c r="AL230" i="13"/>
  <c r="AL231" i="13"/>
  <c r="AL232" i="13"/>
  <c r="AL233" i="13"/>
  <c r="AL234" i="13"/>
  <c r="AL235" i="13"/>
  <c r="AL236" i="13"/>
  <c r="AL237" i="13"/>
  <c r="AL238" i="13"/>
  <c r="AL239" i="13"/>
  <c r="AL240" i="13"/>
  <c r="AL241" i="13"/>
  <c r="AL242" i="13"/>
  <c r="AL243" i="13"/>
  <c r="AL244" i="13"/>
  <c r="AL245" i="13"/>
  <c r="AL246" i="13"/>
  <c r="AL247" i="13"/>
  <c r="AL248" i="13"/>
  <c r="AL249" i="13"/>
  <c r="AL250" i="13"/>
  <c r="AL251" i="13"/>
  <c r="AL252" i="13"/>
  <c r="AL253" i="13"/>
  <c r="AL254" i="13"/>
  <c r="AL255" i="13"/>
  <c r="AL256" i="13"/>
  <c r="AL257" i="13"/>
  <c r="AL258" i="13"/>
  <c r="AL259" i="13"/>
  <c r="AL260" i="13"/>
  <c r="AL261" i="13"/>
  <c r="AL262" i="13"/>
  <c r="AL263" i="13"/>
  <c r="AL264" i="13"/>
  <c r="AL265" i="13"/>
  <c r="AL266" i="13"/>
  <c r="AL267" i="13"/>
  <c r="AL268" i="13"/>
  <c r="AL269" i="13"/>
  <c r="AL270" i="13"/>
  <c r="AL271" i="13"/>
  <c r="AL272" i="13"/>
  <c r="AL273" i="13"/>
  <c r="AL274" i="13"/>
  <c r="AL275" i="13"/>
  <c r="AL276" i="13"/>
  <c r="AL277" i="13"/>
  <c r="AL278" i="13"/>
  <c r="AL279" i="13"/>
  <c r="AL280" i="13"/>
  <c r="AL281" i="13"/>
  <c r="AL282" i="13"/>
  <c r="AL283" i="13"/>
  <c r="AL284" i="13"/>
  <c r="AL285" i="13"/>
  <c r="AL286" i="13"/>
  <c r="AL287" i="13"/>
  <c r="AL288" i="13"/>
  <c r="AL289" i="13"/>
  <c r="AL290" i="13"/>
  <c r="AL291" i="13"/>
  <c r="AL292" i="13"/>
  <c r="AL293" i="13"/>
  <c r="AL294" i="13"/>
  <c r="AL295" i="13"/>
  <c r="AL296" i="13"/>
  <c r="AL297" i="13"/>
  <c r="AL298" i="13"/>
  <c r="AL299" i="13"/>
  <c r="AL300" i="13"/>
  <c r="AL301" i="13"/>
  <c r="AL302" i="13"/>
  <c r="AL303" i="13"/>
  <c r="AL304" i="13"/>
  <c r="AL305" i="13"/>
  <c r="AL306" i="13"/>
  <c r="AL307" i="13"/>
  <c r="AL308" i="13"/>
  <c r="AL309" i="13"/>
  <c r="AL310" i="13"/>
  <c r="AL311" i="13"/>
  <c r="AL312" i="13"/>
  <c r="AL313" i="13"/>
  <c r="AL314" i="13"/>
  <c r="AL315" i="13"/>
  <c r="AL316" i="13"/>
  <c r="AL317" i="13"/>
  <c r="AL318" i="13"/>
  <c r="AL319" i="13"/>
  <c r="AL320" i="13"/>
  <c r="AL321" i="13"/>
  <c r="AL322" i="13"/>
  <c r="AL323" i="13"/>
  <c r="AL324" i="13"/>
  <c r="AL325" i="13"/>
  <c r="AL326" i="13"/>
  <c r="AL327" i="13"/>
  <c r="AL328" i="13"/>
  <c r="AL329" i="13"/>
  <c r="AL330" i="13"/>
  <c r="AL331" i="13"/>
  <c r="AL332" i="13"/>
  <c r="AL333" i="13"/>
  <c r="AL334" i="13"/>
  <c r="AL335" i="13"/>
  <c r="AL336" i="13"/>
  <c r="AL337" i="13"/>
  <c r="AL338" i="13"/>
  <c r="AL339" i="13"/>
  <c r="AL340" i="13"/>
  <c r="AL341" i="13"/>
  <c r="AL342" i="13"/>
  <c r="AL343" i="13"/>
  <c r="AL344" i="13"/>
  <c r="AL345" i="13"/>
  <c r="AL346" i="13"/>
  <c r="AL347" i="13"/>
  <c r="AL348" i="13"/>
  <c r="AL349" i="13"/>
  <c r="AL350" i="13"/>
  <c r="AL351" i="13"/>
  <c r="AL352" i="13"/>
  <c r="AL353" i="13"/>
  <c r="AL354" i="13"/>
  <c r="AL355" i="13"/>
  <c r="AL356" i="13"/>
  <c r="AL357" i="13"/>
  <c r="AL358" i="13"/>
  <c r="AL359" i="13"/>
  <c r="AL360" i="13"/>
  <c r="AL361" i="13"/>
  <c r="AL362" i="13"/>
  <c r="AL363" i="13"/>
  <c r="AL364" i="13"/>
  <c r="AL365" i="13"/>
  <c r="AL366" i="13"/>
  <c r="AL367" i="13"/>
  <c r="AL368" i="13"/>
  <c r="AL369" i="13"/>
  <c r="AL370" i="13"/>
  <c r="AL371" i="13"/>
  <c r="AL372" i="13"/>
  <c r="AL373" i="13"/>
  <c r="AL374" i="13"/>
  <c r="AL375" i="13"/>
  <c r="AL376" i="13"/>
  <c r="AL377" i="13"/>
  <c r="AL378" i="13"/>
  <c r="AL379" i="13"/>
  <c r="AL380" i="13"/>
  <c r="AL381" i="13"/>
  <c r="AL382" i="13"/>
  <c r="AL383" i="13"/>
  <c r="AL384" i="13"/>
  <c r="AL385" i="13"/>
  <c r="AL386" i="13"/>
  <c r="AL387" i="13"/>
  <c r="AL388" i="13"/>
  <c r="AL389" i="13"/>
  <c r="AL390" i="13"/>
  <c r="AL391" i="13"/>
  <c r="AL392" i="13"/>
  <c r="AL393" i="13"/>
  <c r="AL394" i="13"/>
  <c r="AL395" i="13"/>
  <c r="AL396" i="13"/>
  <c r="AL397" i="13"/>
  <c r="AL398" i="13"/>
  <c r="AL399" i="13"/>
  <c r="AL400" i="13"/>
  <c r="AL401" i="13"/>
  <c r="AL402" i="13"/>
  <c r="AL403" i="13"/>
  <c r="AL404" i="13"/>
  <c r="AL405" i="13"/>
  <c r="AL406" i="13"/>
  <c r="AL407" i="13"/>
  <c r="AL408" i="13"/>
  <c r="AL409" i="13"/>
  <c r="AL410" i="13"/>
  <c r="AL411" i="13"/>
  <c r="AL412" i="13"/>
  <c r="AL413" i="13"/>
  <c r="AL414" i="13"/>
  <c r="AL415" i="13"/>
  <c r="AL416" i="13"/>
  <c r="AL417" i="13"/>
  <c r="AL418" i="13"/>
  <c r="AL419" i="13"/>
  <c r="AL420" i="13"/>
  <c r="AL421" i="13"/>
  <c r="AL422" i="13"/>
  <c r="AL423" i="13"/>
  <c r="AL424" i="13"/>
  <c r="AL425" i="13"/>
  <c r="AL426" i="13"/>
  <c r="AL427" i="13"/>
  <c r="AL428" i="13"/>
  <c r="AL429" i="13"/>
  <c r="AL430" i="13"/>
  <c r="AL431" i="13"/>
  <c r="AL432" i="13"/>
  <c r="AL433" i="13"/>
  <c r="AL434" i="13"/>
  <c r="AL435" i="13"/>
  <c r="AL436" i="13"/>
  <c r="AL437" i="13"/>
  <c r="AL438" i="13"/>
  <c r="AL439" i="13"/>
  <c r="AL440" i="13"/>
  <c r="AL441" i="13"/>
  <c r="AL442" i="13"/>
  <c r="AL443" i="13"/>
  <c r="AL444" i="13"/>
  <c r="AL445" i="13"/>
  <c r="AL446" i="13"/>
  <c r="AL447" i="13"/>
  <c r="AL448" i="13"/>
  <c r="AL449" i="13"/>
  <c r="AL450" i="13"/>
  <c r="AL451" i="13"/>
  <c r="AL452" i="13"/>
  <c r="AL453" i="13"/>
  <c r="AL454" i="13"/>
  <c r="AL455" i="13"/>
  <c r="AL456" i="13"/>
  <c r="AL457" i="13"/>
  <c r="AL458" i="13"/>
  <c r="AL459" i="13"/>
  <c r="AL460" i="13"/>
  <c r="AL461" i="13"/>
  <c r="AL462" i="13"/>
  <c r="AL463" i="13"/>
  <c r="AL464" i="13"/>
  <c r="AL465" i="13"/>
  <c r="AL466" i="13"/>
  <c r="AL467" i="13"/>
  <c r="AL468" i="13"/>
  <c r="AL469" i="13"/>
  <c r="AL470" i="13"/>
  <c r="AL471" i="13"/>
  <c r="AL472" i="13"/>
  <c r="AL473" i="13"/>
  <c r="AL474" i="13"/>
  <c r="AL475" i="13"/>
  <c r="AL476" i="13"/>
  <c r="AL477" i="13"/>
  <c r="AL478" i="13"/>
  <c r="AL479" i="13"/>
  <c r="AL480" i="13"/>
  <c r="AL481" i="13"/>
  <c r="AL482" i="13"/>
  <c r="AL483" i="13"/>
  <c r="AL484" i="13"/>
  <c r="AL485" i="13"/>
  <c r="AL486" i="13"/>
  <c r="AL487" i="13"/>
  <c r="AL488" i="13"/>
  <c r="AL489" i="13"/>
  <c r="AL490" i="13"/>
  <c r="AL491" i="13"/>
  <c r="AL492" i="13"/>
  <c r="AL493" i="13"/>
  <c r="AL494" i="13"/>
  <c r="AL495" i="13"/>
  <c r="AL496" i="13"/>
  <c r="AL497" i="13"/>
  <c r="AL498" i="13"/>
  <c r="AL499" i="13"/>
  <c r="AL500" i="13"/>
  <c r="AL501" i="13"/>
  <c r="AL502" i="13"/>
  <c r="AL503" i="13"/>
  <c r="AL504" i="13"/>
  <c r="AL505" i="13"/>
  <c r="AL506" i="13"/>
  <c r="AL507" i="13"/>
  <c r="AL508" i="13"/>
  <c r="AL509" i="13"/>
  <c r="AL510" i="13"/>
  <c r="AL511" i="13"/>
  <c r="AL512" i="13"/>
  <c r="AL513" i="13"/>
  <c r="AL514" i="13"/>
  <c r="AL515" i="13"/>
  <c r="AL516" i="13"/>
  <c r="AL517" i="13"/>
  <c r="AL518" i="13"/>
  <c r="AL519" i="13"/>
  <c r="AL520" i="13"/>
  <c r="AL521" i="13"/>
  <c r="AL522" i="13"/>
  <c r="AL523" i="13"/>
  <c r="AL524" i="13"/>
  <c r="AL525" i="13"/>
  <c r="AL526" i="13"/>
  <c r="AL527" i="13"/>
  <c r="AL528" i="13"/>
  <c r="AL529" i="13"/>
  <c r="AL530" i="13"/>
  <c r="AL531" i="13"/>
  <c r="AL532" i="13"/>
  <c r="AL533" i="13"/>
  <c r="AL534" i="13"/>
  <c r="AL535" i="13"/>
  <c r="AL536" i="13"/>
  <c r="AL537" i="13"/>
  <c r="AL538" i="13"/>
  <c r="AL539" i="13"/>
  <c r="AL540" i="13"/>
  <c r="AL541" i="13"/>
  <c r="AL542" i="13"/>
  <c r="AL543" i="13"/>
  <c r="AL544" i="13"/>
  <c r="AL545" i="13"/>
  <c r="AL546" i="13"/>
  <c r="AL547" i="13"/>
  <c r="AL548" i="13"/>
  <c r="AL549" i="13"/>
  <c r="AL550" i="13"/>
  <c r="AL551" i="13"/>
  <c r="AL552" i="13"/>
  <c r="AL553" i="13"/>
  <c r="AL554" i="13"/>
  <c r="AL555" i="13"/>
  <c r="AL556" i="13"/>
  <c r="AL557" i="13"/>
  <c r="AL558" i="13"/>
  <c r="AL559" i="13"/>
  <c r="AL560" i="13"/>
  <c r="AL561" i="13"/>
  <c r="AL562" i="13"/>
  <c r="AL563" i="13"/>
  <c r="AL564" i="13"/>
  <c r="AL565" i="13"/>
  <c r="AL566" i="13"/>
  <c r="AL567" i="13"/>
  <c r="AL568" i="13"/>
  <c r="AL569" i="13"/>
  <c r="AL570" i="13"/>
  <c r="AL571" i="13"/>
  <c r="AL572" i="13"/>
  <c r="AL573" i="13"/>
  <c r="AL574" i="13"/>
  <c r="AL575" i="13"/>
  <c r="AL576" i="13"/>
  <c r="AL577" i="13"/>
  <c r="AL578" i="13"/>
  <c r="AL579" i="13"/>
  <c r="AL580" i="13"/>
  <c r="AL581" i="13"/>
  <c r="AL582" i="13"/>
  <c r="AL583" i="13"/>
  <c r="AL584" i="13"/>
  <c r="AL585" i="13"/>
  <c r="AL586" i="13"/>
  <c r="AL587" i="13"/>
  <c r="AL588" i="13"/>
  <c r="AL589" i="13"/>
  <c r="AL590" i="13"/>
  <c r="AL591" i="13"/>
  <c r="AL592" i="13"/>
  <c r="AL593" i="13"/>
  <c r="AL594" i="13"/>
  <c r="AL595" i="13"/>
  <c r="AL596" i="13"/>
  <c r="AL597" i="13"/>
  <c r="AL598" i="13"/>
  <c r="AL599" i="13"/>
  <c r="AL600" i="13"/>
  <c r="AL601" i="13"/>
  <c r="AL602" i="13"/>
  <c r="AL603" i="13"/>
  <c r="AL604" i="13"/>
  <c r="AL605" i="13"/>
  <c r="AL606" i="13"/>
  <c r="AL607" i="13"/>
  <c r="AL608" i="13"/>
  <c r="AL609" i="13"/>
  <c r="AL610" i="13"/>
  <c r="AL611" i="13"/>
  <c r="AL612" i="13"/>
  <c r="AL613" i="13"/>
  <c r="AL614" i="13"/>
  <c r="AL615" i="13"/>
  <c r="AL616" i="13"/>
  <c r="AL617" i="13"/>
  <c r="AL618" i="13"/>
  <c r="AL619" i="13"/>
  <c r="AL620" i="13"/>
  <c r="AL621" i="13"/>
  <c r="AL622" i="13"/>
  <c r="AL623" i="13"/>
  <c r="AL624" i="13"/>
  <c r="AL625" i="13"/>
  <c r="AL626" i="13"/>
  <c r="AL627" i="13"/>
  <c r="AL628" i="13"/>
  <c r="AL629" i="13"/>
  <c r="AL630" i="13"/>
  <c r="AL631" i="13"/>
  <c r="AL632" i="13"/>
  <c r="AL633" i="13"/>
  <c r="AL634" i="13"/>
  <c r="AL635" i="13"/>
  <c r="AL636" i="13"/>
  <c r="AL637" i="13"/>
  <c r="AL638" i="13"/>
  <c r="AL639" i="13"/>
  <c r="AL640" i="13"/>
  <c r="AL641" i="13"/>
  <c r="AL642" i="13"/>
  <c r="AL643" i="13"/>
  <c r="AL644" i="13"/>
  <c r="AL645" i="13"/>
  <c r="AL646" i="13"/>
  <c r="AL647" i="13"/>
  <c r="AL648" i="13"/>
  <c r="AL649" i="13"/>
  <c r="AL650" i="13"/>
  <c r="AL651" i="13"/>
  <c r="AL652" i="13"/>
  <c r="AL653" i="13"/>
  <c r="AL654" i="13"/>
  <c r="AL655" i="13"/>
  <c r="AL656" i="13"/>
  <c r="AL657" i="13"/>
  <c r="AL658" i="13"/>
  <c r="AL659" i="13"/>
  <c r="AL660" i="13"/>
  <c r="AL661" i="13"/>
  <c r="AL662" i="13"/>
  <c r="AL663" i="13"/>
  <c r="AL664" i="13"/>
  <c r="AL665" i="13"/>
  <c r="AL666" i="13"/>
  <c r="AL667" i="13"/>
  <c r="AL668" i="13"/>
  <c r="AL669" i="13"/>
  <c r="AL670" i="13"/>
  <c r="AL671" i="13"/>
  <c r="AL672" i="13"/>
  <c r="AL673" i="13"/>
  <c r="AL674" i="13"/>
  <c r="AL675" i="13"/>
  <c r="AL676" i="13"/>
  <c r="AL677" i="13"/>
  <c r="AL678" i="13"/>
  <c r="AL679" i="13"/>
  <c r="AL680" i="13"/>
  <c r="AL681" i="13"/>
  <c r="AL682" i="13"/>
  <c r="AL683" i="13"/>
  <c r="AL684" i="13"/>
  <c r="AL685" i="13"/>
  <c r="AL686" i="13"/>
  <c r="AL687" i="13"/>
  <c r="AL688" i="13"/>
  <c r="AL689" i="13"/>
  <c r="AL690" i="13"/>
  <c r="AL691" i="13"/>
  <c r="AL692" i="13"/>
  <c r="AL693" i="13"/>
  <c r="AL694" i="13"/>
  <c r="AL695" i="13"/>
  <c r="AL696" i="13"/>
  <c r="AL697" i="13"/>
  <c r="AL698" i="13"/>
  <c r="AL699" i="13"/>
  <c r="AL700" i="13"/>
  <c r="AL701" i="13"/>
  <c r="AL702" i="13"/>
  <c r="AL703" i="13"/>
  <c r="AL704" i="13"/>
  <c r="AL705" i="13"/>
  <c r="AL706" i="13"/>
  <c r="AL707" i="13"/>
  <c r="AL708" i="13"/>
  <c r="AL709" i="13"/>
  <c r="AL710" i="13"/>
  <c r="AL711" i="13"/>
  <c r="AL712" i="13"/>
  <c r="AL713" i="13"/>
  <c r="AL714" i="13"/>
  <c r="AL715" i="13"/>
  <c r="AL716" i="13"/>
  <c r="AL717" i="13"/>
  <c r="AL718" i="13"/>
  <c r="AL719" i="13"/>
  <c r="AL720" i="13"/>
  <c r="AL721" i="13"/>
  <c r="AL722" i="13"/>
  <c r="AL723" i="13"/>
  <c r="AL724" i="13"/>
  <c r="AL725" i="13"/>
  <c r="AL726" i="13"/>
  <c r="AL727" i="13"/>
  <c r="AL728" i="13"/>
  <c r="AL729" i="13"/>
  <c r="AL730" i="13"/>
  <c r="AL731" i="13"/>
  <c r="AL732" i="13"/>
  <c r="AL733" i="13"/>
  <c r="AL734" i="13"/>
  <c r="AL735" i="13"/>
  <c r="AL736" i="13"/>
  <c r="AL737" i="13"/>
  <c r="AL738" i="13"/>
  <c r="AL739" i="13"/>
  <c r="AL740" i="13"/>
  <c r="AL741" i="13"/>
  <c r="AL742" i="13"/>
  <c r="AL743" i="13"/>
  <c r="AL744" i="13"/>
  <c r="AL745" i="13"/>
  <c r="AL746" i="13"/>
  <c r="AL747" i="13"/>
  <c r="AL748" i="13"/>
  <c r="AL749" i="13"/>
  <c r="AL750" i="13"/>
  <c r="AL751" i="13"/>
  <c r="AL752" i="13"/>
  <c r="AL753" i="13"/>
  <c r="AL754" i="13"/>
  <c r="AL755" i="13"/>
  <c r="AL756" i="13"/>
  <c r="AL757" i="13"/>
  <c r="AL758" i="13"/>
  <c r="AL759" i="13"/>
  <c r="AL760" i="13"/>
  <c r="AL761" i="13"/>
  <c r="AL762" i="13"/>
  <c r="AL763" i="13"/>
  <c r="AL764" i="13"/>
  <c r="AL765" i="13"/>
  <c r="AL766" i="13"/>
  <c r="AL767" i="13"/>
  <c r="AL768" i="13"/>
  <c r="AL769" i="13"/>
  <c r="AL770" i="13"/>
  <c r="AL771" i="13"/>
  <c r="AL772" i="13"/>
  <c r="AL773" i="13"/>
  <c r="AL774" i="13"/>
  <c r="AL775" i="13"/>
  <c r="AL776" i="13"/>
  <c r="AL777" i="13"/>
  <c r="AL778" i="13"/>
  <c r="AL779" i="13"/>
  <c r="AL780" i="13"/>
  <c r="AL781" i="13"/>
  <c r="AL782" i="13"/>
  <c r="AL783" i="13"/>
  <c r="AL784" i="13"/>
  <c r="AL785" i="13"/>
  <c r="AL786" i="13"/>
  <c r="AL787" i="13"/>
  <c r="AL788" i="13"/>
  <c r="AL789" i="13"/>
  <c r="AL790" i="13"/>
  <c r="AL791" i="13"/>
  <c r="AL792" i="13"/>
  <c r="AL793" i="13"/>
  <c r="AL794" i="13"/>
  <c r="AL795" i="13"/>
  <c r="AL796" i="13"/>
  <c r="AL797" i="13"/>
  <c r="AL798" i="13"/>
  <c r="AL799" i="13"/>
  <c r="AL800" i="13"/>
  <c r="AL801" i="13"/>
  <c r="AL802" i="13"/>
  <c r="AL803" i="13"/>
  <c r="AL804" i="13"/>
  <c r="AL805" i="13"/>
  <c r="AL806" i="13"/>
  <c r="AL807" i="13"/>
  <c r="AL808" i="13"/>
  <c r="AL809" i="13"/>
  <c r="AL810" i="13"/>
  <c r="AL811" i="13"/>
  <c r="AL812" i="13"/>
  <c r="AL813" i="13"/>
  <c r="AL814" i="13"/>
  <c r="AL815" i="13"/>
  <c r="AL816" i="13"/>
  <c r="AL817" i="13"/>
  <c r="AL818" i="13"/>
  <c r="AL819" i="13"/>
  <c r="AL820" i="13"/>
  <c r="AL821" i="13"/>
  <c r="AL822" i="13"/>
  <c r="AL823" i="13"/>
  <c r="AL824" i="13"/>
  <c r="AL825" i="13"/>
  <c r="AL826" i="13"/>
  <c r="AL827" i="13"/>
  <c r="AL828" i="13"/>
  <c r="AL829" i="13"/>
  <c r="AL830" i="13"/>
  <c r="AL831" i="13"/>
  <c r="AL832" i="13"/>
  <c r="AL833" i="13"/>
  <c r="AL834" i="13"/>
  <c r="AL835" i="13"/>
  <c r="AL836" i="13"/>
  <c r="AL837" i="13"/>
  <c r="AL838" i="13"/>
  <c r="AL839" i="13"/>
  <c r="AL840" i="13"/>
  <c r="AL841" i="13"/>
  <c r="AL842" i="13"/>
  <c r="AL843" i="13"/>
  <c r="AL844" i="13"/>
  <c r="AL845" i="13"/>
  <c r="AL846" i="13"/>
  <c r="AL847" i="13"/>
  <c r="AL848" i="13"/>
  <c r="AL849" i="13"/>
  <c r="AL850" i="13"/>
  <c r="AL851" i="13"/>
  <c r="AL852" i="13"/>
  <c r="AL853" i="13"/>
  <c r="AL854" i="13"/>
  <c r="AL855" i="13"/>
  <c r="AL856" i="13"/>
  <c r="AL857" i="13"/>
  <c r="AL858" i="13"/>
  <c r="AL859" i="13"/>
  <c r="AL860" i="13"/>
  <c r="AL861" i="13"/>
  <c r="AL862" i="13"/>
  <c r="AL863" i="13"/>
  <c r="AL864" i="13"/>
  <c r="AL865" i="13"/>
  <c r="AL866" i="13"/>
  <c r="AL867" i="13"/>
  <c r="AL868" i="13"/>
  <c r="AL869" i="13"/>
  <c r="AL870" i="13"/>
  <c r="AL871" i="13"/>
  <c r="AL872" i="13"/>
  <c r="AL873" i="13"/>
  <c r="AL874" i="13"/>
  <c r="AL875" i="13"/>
  <c r="AL876" i="13"/>
  <c r="AL877" i="13"/>
  <c r="AL878" i="13"/>
  <c r="AL879" i="13"/>
  <c r="AL880" i="13"/>
  <c r="AL881" i="13"/>
  <c r="AL882" i="13"/>
  <c r="AL883" i="13"/>
  <c r="AL884" i="13"/>
  <c r="AL885" i="13"/>
  <c r="AL886" i="13"/>
  <c r="AL887" i="13"/>
  <c r="AL888" i="13"/>
  <c r="AL889" i="13"/>
  <c r="AL890" i="13"/>
  <c r="AL891" i="13"/>
  <c r="AL892" i="13"/>
  <c r="AL893" i="13"/>
  <c r="AL894" i="13"/>
  <c r="AL895" i="13"/>
  <c r="AL896" i="13"/>
  <c r="AL897" i="13"/>
  <c r="AL898" i="13"/>
  <c r="AL899" i="13"/>
  <c r="AL900" i="13"/>
  <c r="AL901" i="13"/>
  <c r="AL902" i="13"/>
  <c r="AL903" i="13"/>
  <c r="AL904" i="13"/>
  <c r="AL905" i="13"/>
  <c r="AL906" i="13"/>
  <c r="AL907" i="13"/>
  <c r="AL908" i="13"/>
  <c r="AL909" i="13"/>
  <c r="AL910" i="13"/>
  <c r="AL911" i="13"/>
  <c r="AL912" i="13"/>
  <c r="AL913" i="13"/>
  <c r="AL914" i="13"/>
  <c r="AL915" i="13"/>
  <c r="AL916" i="13"/>
  <c r="AL917" i="13"/>
  <c r="AL918" i="13"/>
  <c r="AL919" i="13"/>
  <c r="AL920" i="13"/>
  <c r="AL921" i="13"/>
  <c r="AL922" i="13"/>
  <c r="AL923" i="13"/>
  <c r="AL924" i="13"/>
  <c r="AL925" i="13"/>
  <c r="AL926" i="13"/>
  <c r="AL927" i="13"/>
  <c r="AL928" i="13"/>
  <c r="AL929" i="13"/>
  <c r="AL930" i="13"/>
  <c r="AL931" i="13"/>
  <c r="AL932" i="13"/>
  <c r="AL933" i="13"/>
  <c r="AL934" i="13"/>
  <c r="AL935" i="13"/>
  <c r="AL936" i="13"/>
  <c r="AL937" i="13"/>
  <c r="AL938" i="13"/>
  <c r="AL939" i="13"/>
  <c r="AL940" i="13"/>
  <c r="AL941" i="13"/>
  <c r="AL942" i="13"/>
  <c r="AL943" i="13"/>
  <c r="AL944" i="13"/>
  <c r="AL945" i="13"/>
  <c r="AL946" i="13"/>
  <c r="AL947" i="13"/>
  <c r="AL948" i="13"/>
  <c r="AL949" i="13"/>
  <c r="AL950" i="13"/>
  <c r="AL951" i="13"/>
  <c r="AL952" i="13"/>
  <c r="AL953" i="13"/>
  <c r="AL954" i="13"/>
  <c r="AL955" i="13"/>
  <c r="AL956" i="13"/>
  <c r="AL957" i="13"/>
  <c r="AL958" i="13"/>
  <c r="AL959" i="13"/>
  <c r="AL960" i="13"/>
  <c r="AL961" i="13"/>
  <c r="AL962" i="13"/>
  <c r="AL963" i="13"/>
  <c r="AL964" i="13"/>
  <c r="AL965" i="13"/>
  <c r="AL966" i="13"/>
  <c r="AL967" i="13"/>
  <c r="AL968" i="13"/>
  <c r="AL969" i="13"/>
  <c r="AL970" i="13"/>
  <c r="AL971" i="13"/>
  <c r="AL972" i="13"/>
  <c r="AL973" i="13"/>
  <c r="AL974" i="13"/>
  <c r="AL975" i="13"/>
  <c r="AL976" i="13"/>
  <c r="AL977" i="13"/>
  <c r="AL978" i="13"/>
  <c r="AL979" i="13"/>
  <c r="AL980" i="13"/>
  <c r="AL981" i="13"/>
  <c r="AL982" i="13"/>
  <c r="AL983" i="13"/>
  <c r="AL984" i="13"/>
  <c r="AL985" i="13"/>
  <c r="AL986" i="13"/>
  <c r="AL987" i="13"/>
  <c r="AL988" i="13"/>
  <c r="AL989" i="13"/>
  <c r="AL990" i="13"/>
  <c r="AL991" i="13"/>
  <c r="AL992" i="13"/>
  <c r="AL993" i="13"/>
  <c r="AL994" i="13"/>
  <c r="AL995" i="13"/>
  <c r="AL996" i="13"/>
  <c r="AL997" i="13"/>
  <c r="AL998" i="13"/>
  <c r="AL999" i="13"/>
  <c r="AL1000" i="13"/>
  <c r="AL1001" i="13"/>
  <c r="AL1002" i="13"/>
  <c r="AL1003" i="13"/>
  <c r="AL1004" i="13"/>
  <c r="AL1005" i="13"/>
  <c r="AL1006" i="13"/>
  <c r="AL1007" i="13"/>
  <c r="AL1008" i="13"/>
  <c r="AL1009" i="13"/>
  <c r="AL1010" i="13"/>
  <c r="AL1011" i="13"/>
  <c r="AL1012" i="13"/>
  <c r="AL1013" i="13"/>
  <c r="AL1014" i="13"/>
  <c r="AL1015" i="13"/>
  <c r="AL1016" i="13"/>
  <c r="AL1017" i="13"/>
  <c r="AL1018" i="13"/>
  <c r="AL1019" i="13"/>
  <c r="AL1020" i="13"/>
  <c r="AL1021" i="13"/>
  <c r="AL1022" i="13"/>
  <c r="AL1023" i="13"/>
  <c r="AL1024" i="13"/>
  <c r="AL1025" i="13"/>
  <c r="AL1026" i="13"/>
  <c r="AL1027" i="13"/>
  <c r="AL1028" i="13"/>
  <c r="AL1029" i="13"/>
  <c r="AL1030" i="13"/>
  <c r="AL1031" i="13"/>
  <c r="AL1032" i="13"/>
  <c r="AL1033" i="13"/>
  <c r="AL1034" i="13"/>
  <c r="AL1035" i="13"/>
  <c r="AL1036" i="13"/>
  <c r="AL1037" i="13"/>
  <c r="AL1038" i="13"/>
  <c r="AL1039" i="13"/>
  <c r="AL1040" i="13"/>
  <c r="AL1041" i="13"/>
  <c r="AL1042" i="13"/>
  <c r="AL1043" i="13"/>
  <c r="AL1044" i="13"/>
  <c r="AL1045" i="13"/>
  <c r="AL1046" i="13"/>
  <c r="AL1047" i="13"/>
  <c r="AL1048" i="13"/>
  <c r="AL1049" i="13"/>
  <c r="AL1050" i="13"/>
  <c r="AL1051" i="13"/>
  <c r="AL1052" i="13"/>
  <c r="AL1053" i="13"/>
  <c r="AL1054" i="13"/>
  <c r="AL1055" i="13"/>
  <c r="AL1056" i="13"/>
  <c r="AL1057" i="13"/>
  <c r="AL1058" i="13"/>
  <c r="AL1059" i="13"/>
  <c r="AL1060" i="13"/>
  <c r="AL1061" i="13"/>
  <c r="AL1062" i="13"/>
  <c r="AL1063" i="13"/>
  <c r="AL1064" i="13"/>
  <c r="AL1065" i="13"/>
  <c r="AL1066" i="13"/>
  <c r="AL1067" i="13"/>
  <c r="AL1068" i="13"/>
  <c r="AL1069" i="13"/>
  <c r="AL1070" i="13"/>
  <c r="AL1071" i="13"/>
  <c r="AL1072" i="13"/>
  <c r="AL1073" i="13"/>
  <c r="AL1074" i="13"/>
  <c r="AL1075" i="13"/>
  <c r="AL1076" i="13"/>
  <c r="AL1077" i="13"/>
  <c r="AL1078" i="13"/>
  <c r="AL1079" i="13"/>
  <c r="AL1080" i="13"/>
  <c r="AL1081" i="13"/>
  <c r="AL1082" i="13"/>
  <c r="AL1083" i="13"/>
  <c r="AL1084" i="13"/>
  <c r="AL1085" i="13"/>
  <c r="AL1086" i="13"/>
  <c r="AL1087" i="13"/>
  <c r="AL1088" i="13"/>
  <c r="AL1089" i="13"/>
  <c r="AL1090" i="13"/>
  <c r="AL1091" i="13"/>
  <c r="AL1092" i="13"/>
  <c r="AL1093" i="13"/>
  <c r="AL1094" i="13"/>
  <c r="AL1095" i="13"/>
  <c r="AL1096" i="13"/>
  <c r="AL1097" i="13"/>
  <c r="AL1098" i="13"/>
  <c r="AL1099" i="13"/>
  <c r="AL1100" i="13"/>
  <c r="AL1101" i="13"/>
  <c r="AL1102" i="13"/>
  <c r="AL1103" i="13"/>
  <c r="AL1104" i="13"/>
  <c r="AL1105" i="13"/>
  <c r="AL1106" i="13"/>
  <c r="AL1107" i="13"/>
  <c r="AL1108" i="13"/>
  <c r="AL1109" i="13"/>
  <c r="AL1110" i="13"/>
  <c r="AL1111" i="13"/>
  <c r="AL1112" i="13"/>
  <c r="AL1113" i="13"/>
  <c r="AL1114" i="13"/>
  <c r="AL1115" i="13"/>
  <c r="AL1116" i="13"/>
  <c r="AL1117" i="13"/>
  <c r="AL1118" i="13"/>
  <c r="AL1119" i="13"/>
  <c r="AL1120" i="13"/>
  <c r="AL1121" i="13"/>
  <c r="AL1122" i="13"/>
  <c r="AL1123" i="13"/>
  <c r="AL1124" i="13"/>
  <c r="AL1125" i="13"/>
  <c r="AL1126" i="13"/>
  <c r="AL1127" i="13"/>
  <c r="AL1128" i="13"/>
  <c r="AL1129" i="13"/>
  <c r="AL1130" i="13"/>
  <c r="AL1131" i="13"/>
  <c r="AL1132" i="13"/>
  <c r="AL1133" i="13"/>
  <c r="AL1134" i="13"/>
  <c r="AL1135" i="13"/>
  <c r="AL1136" i="13"/>
  <c r="AL1137" i="13"/>
  <c r="AL1138" i="13"/>
  <c r="AL1139" i="13"/>
  <c r="AL1140" i="13"/>
  <c r="AL1141" i="13"/>
  <c r="AL1142" i="13"/>
  <c r="AL1143" i="13"/>
  <c r="AL1144" i="13"/>
  <c r="AL1145" i="13"/>
  <c r="AL1146" i="13"/>
  <c r="AL1147" i="13"/>
  <c r="AL1148" i="13"/>
  <c r="AL1149" i="13"/>
  <c r="AL1150" i="13"/>
  <c r="AL1151" i="13"/>
  <c r="AL1152" i="13"/>
  <c r="AL1153" i="13"/>
  <c r="AL1154" i="13"/>
  <c r="AL1155" i="13"/>
  <c r="AL1156" i="13"/>
  <c r="AL1157" i="13"/>
  <c r="AL1158" i="13"/>
  <c r="AL1159" i="13"/>
  <c r="AL1160" i="13"/>
  <c r="AL1161" i="13"/>
  <c r="AL1162" i="13"/>
  <c r="AL1163" i="13"/>
  <c r="AL1164" i="13"/>
  <c r="AL1165" i="13"/>
  <c r="AL1166" i="13"/>
  <c r="AL1167" i="13"/>
  <c r="AL1168" i="13"/>
  <c r="AL1169" i="13"/>
  <c r="AL1170" i="13"/>
  <c r="AL1171" i="13"/>
  <c r="AL1172" i="13"/>
  <c r="AL1173" i="13"/>
  <c r="AL1174" i="13"/>
  <c r="AL1175" i="13"/>
  <c r="AL1176" i="13"/>
  <c r="AL1177" i="13"/>
  <c r="AL1178" i="13"/>
  <c r="AL1179" i="13"/>
  <c r="AL1180" i="13"/>
  <c r="AL1181" i="13"/>
  <c r="AL1182" i="13"/>
  <c r="AL1183" i="13"/>
  <c r="AL1184" i="13"/>
  <c r="AL1185" i="13"/>
  <c r="AL1186" i="13"/>
  <c r="AL1187" i="13"/>
  <c r="AL1188" i="13"/>
  <c r="AL1189" i="13"/>
  <c r="AL1190" i="13"/>
  <c r="AL1191" i="13"/>
  <c r="AL1192" i="13"/>
  <c r="AL1193" i="13"/>
  <c r="AL1194" i="13"/>
  <c r="AL1195" i="13"/>
  <c r="AL1196" i="13"/>
  <c r="AL1197" i="13"/>
  <c r="AL1198" i="13"/>
  <c r="AL1199" i="13"/>
  <c r="AL1200" i="13"/>
  <c r="AL1201" i="13"/>
  <c r="AL1202" i="13"/>
  <c r="AL1203" i="13"/>
  <c r="AL1204" i="13"/>
  <c r="AL1205" i="13"/>
  <c r="AL1206" i="13"/>
  <c r="AL1207" i="13"/>
  <c r="AL1208" i="13"/>
  <c r="AL1209" i="13"/>
  <c r="AL1210" i="13"/>
  <c r="AL1211" i="13"/>
  <c r="AL1212" i="13"/>
  <c r="AL1213" i="13"/>
  <c r="AL1214" i="13"/>
  <c r="AL1215" i="13"/>
  <c r="AL1216" i="13"/>
  <c r="AL1217" i="13"/>
  <c r="AL1218" i="13"/>
  <c r="AL1219" i="13"/>
  <c r="AL1220" i="13"/>
  <c r="AL1221" i="13"/>
  <c r="AL1222" i="13"/>
  <c r="AL1223" i="13"/>
  <c r="AL1224" i="13"/>
  <c r="AL1225" i="13"/>
  <c r="AL1226" i="13"/>
  <c r="AL1227" i="13"/>
  <c r="AL1228" i="13"/>
  <c r="AL1229" i="13"/>
  <c r="AL1230" i="13"/>
  <c r="AL1231" i="13"/>
  <c r="AL1232" i="13"/>
  <c r="AL1233" i="13"/>
  <c r="AL1234" i="13"/>
  <c r="AL1235" i="13"/>
  <c r="AL1236" i="13"/>
  <c r="AL1237" i="13"/>
  <c r="AL1238" i="13"/>
  <c r="AL1239" i="13"/>
  <c r="AL1240" i="13"/>
  <c r="AL1241" i="13"/>
  <c r="AL1242" i="13"/>
  <c r="AL1243" i="13"/>
  <c r="AL1244" i="13"/>
  <c r="AL1245" i="13"/>
  <c r="AL1246" i="13"/>
  <c r="AL1247" i="13"/>
  <c r="AL1248" i="13"/>
  <c r="AL1249" i="13"/>
  <c r="AL1250" i="13"/>
  <c r="AL1251" i="13"/>
  <c r="AL1252" i="13"/>
  <c r="AL1253" i="13"/>
  <c r="AL1254" i="13"/>
  <c r="AL1255" i="13"/>
  <c r="AL1256" i="13"/>
  <c r="AL1257" i="13"/>
  <c r="AL1258" i="13"/>
  <c r="AL1259" i="13"/>
  <c r="AL1260" i="13"/>
  <c r="AL1261" i="13"/>
  <c r="AL1262" i="13"/>
  <c r="AL1263" i="13"/>
  <c r="AL1264" i="13"/>
  <c r="AL1265" i="13"/>
  <c r="AL1266" i="13"/>
  <c r="AL1267" i="13"/>
  <c r="AL1268" i="13"/>
  <c r="AL1269" i="13"/>
  <c r="AL1270" i="13"/>
  <c r="AL1271" i="13"/>
  <c r="AL1272" i="13"/>
  <c r="AL1273" i="13"/>
  <c r="AL1274" i="13"/>
  <c r="AL1275" i="13"/>
  <c r="AL1276" i="13"/>
  <c r="AL1277" i="13"/>
  <c r="AL1278" i="13"/>
  <c r="AL1279" i="13"/>
  <c r="AL1280" i="13"/>
  <c r="AL1281" i="13"/>
  <c r="AL1282" i="13"/>
  <c r="AL1283" i="13"/>
  <c r="AL1284" i="13"/>
  <c r="AL1285" i="13"/>
  <c r="AL1286" i="13"/>
  <c r="AL1287" i="13"/>
  <c r="AL1288" i="13"/>
  <c r="AL1289" i="13"/>
  <c r="AL1290" i="13"/>
  <c r="AL1291" i="13"/>
  <c r="AL1292" i="13"/>
  <c r="AL1293" i="13"/>
  <c r="AL1294" i="13"/>
  <c r="AL1295" i="13"/>
  <c r="AL1296" i="13"/>
  <c r="AL1297" i="13"/>
  <c r="AL1298" i="13"/>
  <c r="AL1299" i="13"/>
  <c r="AL1300" i="13"/>
  <c r="AL1301" i="13"/>
  <c r="AL1302" i="13"/>
  <c r="AL1303" i="13"/>
  <c r="AL1304" i="13"/>
  <c r="AL1305" i="13"/>
  <c r="AL1306" i="13"/>
  <c r="AL1307" i="13"/>
  <c r="AL1308" i="13"/>
  <c r="AL1309" i="13"/>
  <c r="AL1310" i="13"/>
  <c r="AL1311" i="13"/>
  <c r="AL1312" i="13"/>
  <c r="AL1313" i="13"/>
  <c r="AL1314" i="13"/>
  <c r="AL1315" i="13"/>
  <c r="AL1316" i="13"/>
  <c r="AL1317" i="13"/>
  <c r="AL1318" i="13"/>
  <c r="AL1319" i="13"/>
  <c r="AL1320" i="13"/>
  <c r="AL1321" i="13"/>
  <c r="AL1322" i="13"/>
  <c r="AL1323" i="13"/>
  <c r="AL1324" i="13"/>
  <c r="AL1325" i="13"/>
  <c r="AL1326" i="13"/>
  <c r="AL1327" i="13"/>
  <c r="AL1328" i="13"/>
  <c r="AL1329" i="13"/>
  <c r="AL1330" i="13"/>
  <c r="AL1331" i="13"/>
  <c r="AL1332" i="13"/>
  <c r="AL1333" i="13"/>
  <c r="AL1334" i="13"/>
  <c r="AL1335" i="13"/>
  <c r="AL1336" i="13"/>
  <c r="AL1337" i="13"/>
  <c r="AL1338" i="13"/>
  <c r="AL1339" i="13"/>
  <c r="AL1340" i="13"/>
  <c r="AL1341" i="13"/>
  <c r="AL1342" i="13"/>
  <c r="AL1343" i="13"/>
  <c r="AL1344" i="13"/>
  <c r="AL1345" i="13"/>
  <c r="AL1346" i="13"/>
  <c r="AL1347" i="13"/>
  <c r="AL1348" i="13"/>
  <c r="AL1349" i="13"/>
  <c r="AL1350" i="13"/>
  <c r="AL1351" i="13"/>
  <c r="AL1352" i="13"/>
  <c r="AL1353" i="13"/>
  <c r="AL1354" i="13"/>
  <c r="AL1355" i="13"/>
  <c r="AL1356" i="13"/>
  <c r="AL1357" i="13"/>
  <c r="AL1358" i="13"/>
  <c r="AL1359" i="13"/>
  <c r="AL1360" i="13"/>
  <c r="AL1361" i="13"/>
  <c r="AL1362" i="13"/>
  <c r="AL1363" i="13"/>
  <c r="AL1364" i="13"/>
  <c r="AL1365" i="13"/>
  <c r="AL1366" i="13"/>
  <c r="AL1367" i="13"/>
  <c r="AL1368" i="13"/>
  <c r="AL1369" i="13"/>
  <c r="AL1370" i="13"/>
  <c r="AL1371" i="13"/>
  <c r="AL1372" i="13"/>
  <c r="AL1373" i="13"/>
  <c r="AL1374" i="13"/>
  <c r="AL1375" i="13"/>
  <c r="AL1376" i="13"/>
  <c r="AL1377" i="13"/>
  <c r="AL1378" i="13"/>
  <c r="AL1379" i="13"/>
  <c r="AL1380" i="13"/>
  <c r="AL1381" i="13"/>
  <c r="AL1382" i="13"/>
  <c r="AL1383" i="13"/>
  <c r="AL1384" i="13"/>
  <c r="AL1385" i="13"/>
  <c r="AL1386" i="13"/>
  <c r="AL1387" i="13"/>
  <c r="AL1388" i="13"/>
  <c r="AL1389" i="13"/>
  <c r="AL1390" i="13"/>
  <c r="AL1391" i="13"/>
  <c r="AL1392" i="13"/>
  <c r="AL1393" i="13"/>
  <c r="AL1394" i="13"/>
  <c r="AL1395" i="13"/>
  <c r="AL1396" i="13"/>
  <c r="AL1397" i="13"/>
  <c r="AL1398" i="13"/>
  <c r="AL1399" i="13"/>
  <c r="AL1400" i="13"/>
  <c r="AL1401" i="13"/>
  <c r="AL1402" i="13"/>
  <c r="AL1403" i="13"/>
  <c r="AL1404" i="13"/>
  <c r="AL1405" i="13"/>
  <c r="AL1406" i="13"/>
  <c r="AL1407" i="13"/>
  <c r="AL1408" i="13"/>
  <c r="AL1409" i="13"/>
  <c r="AL1410" i="13"/>
  <c r="AL1411" i="13"/>
  <c r="AL1412" i="13"/>
  <c r="AL1413" i="13"/>
  <c r="AL1414" i="13"/>
  <c r="AL1415" i="13"/>
  <c r="AL1416" i="13"/>
  <c r="AL1417" i="13"/>
  <c r="AL1418" i="13"/>
  <c r="AL1419" i="13"/>
  <c r="AL1420" i="13"/>
  <c r="AL1421" i="13"/>
  <c r="AL1422" i="13"/>
  <c r="AL1423" i="13"/>
  <c r="AL1424" i="13"/>
  <c r="AL1425" i="13"/>
  <c r="AL1426" i="13"/>
  <c r="AL1427" i="13"/>
  <c r="AL1428" i="13"/>
  <c r="AL1429" i="13"/>
  <c r="AL1430" i="13"/>
  <c r="AL1431" i="13"/>
  <c r="AL1432" i="13"/>
  <c r="AL1433" i="13"/>
  <c r="AL1434" i="13"/>
  <c r="AL1435" i="13"/>
  <c r="AL1436" i="13"/>
  <c r="AL1437" i="13"/>
  <c r="AL1438" i="13"/>
  <c r="AL1439" i="13"/>
  <c r="AL1440" i="13"/>
  <c r="AL1441" i="13"/>
  <c r="AL1442" i="13"/>
  <c r="AL1443" i="13"/>
  <c r="AL1444" i="13"/>
  <c r="AL1445" i="13"/>
  <c r="AL1446" i="13"/>
  <c r="AL1447" i="13"/>
  <c r="AL1448" i="13"/>
  <c r="AL1449" i="13"/>
  <c r="AL1450" i="13"/>
  <c r="AL1451" i="13"/>
  <c r="AL1452" i="13"/>
  <c r="AL1453" i="13"/>
  <c r="AL1454" i="13"/>
  <c r="AL1455" i="13"/>
  <c r="AL1456" i="13"/>
  <c r="AL1457" i="13"/>
  <c r="AL1458" i="13"/>
  <c r="AL1459" i="13"/>
  <c r="AL1460" i="13"/>
  <c r="AL1461" i="13"/>
  <c r="AL1462" i="13"/>
  <c r="AL1463" i="13"/>
  <c r="AL1464" i="13"/>
  <c r="AL1465" i="13"/>
  <c r="AL1466" i="13"/>
  <c r="AL1467" i="13"/>
  <c r="AL1468" i="13"/>
  <c r="AL1469" i="13"/>
  <c r="AL1470" i="13"/>
  <c r="AL1471" i="13"/>
  <c r="AL1472" i="13"/>
  <c r="AL1473" i="13"/>
  <c r="AL1474" i="13"/>
  <c r="AL1475" i="13"/>
  <c r="AL1476" i="13"/>
  <c r="AL1477" i="13"/>
  <c r="AL1478" i="13"/>
  <c r="AL1479" i="13"/>
  <c r="AL1480" i="13"/>
  <c r="AL1481" i="13"/>
  <c r="AL1482" i="13"/>
  <c r="AL1483" i="13"/>
  <c r="AL1484" i="13"/>
  <c r="AL1485" i="13"/>
  <c r="AL1486" i="13"/>
  <c r="AL1487" i="13"/>
  <c r="AL1488" i="13"/>
  <c r="AL1489" i="13"/>
  <c r="AL1490" i="13"/>
  <c r="AL1491" i="13"/>
  <c r="AL1492" i="13"/>
  <c r="AL1493" i="13"/>
  <c r="AL1494" i="13"/>
  <c r="AL1495" i="13"/>
  <c r="AL1496" i="13"/>
  <c r="AL1497" i="13"/>
  <c r="AL1498" i="13"/>
  <c r="AL1499" i="13"/>
  <c r="AL1500" i="13"/>
  <c r="AL1501" i="13"/>
  <c r="AL1502" i="13"/>
  <c r="AL1503" i="13"/>
  <c r="AL1504" i="13"/>
  <c r="AL1505" i="13"/>
  <c r="AL1506" i="13"/>
  <c r="AL1507" i="13"/>
  <c r="AL1508" i="13"/>
  <c r="AL1509" i="13"/>
  <c r="AL1510" i="13"/>
  <c r="AL1511" i="13"/>
  <c r="AL1512" i="13"/>
  <c r="AL1513" i="13"/>
  <c r="AL1514" i="13"/>
  <c r="AL1515" i="13"/>
  <c r="AL1516" i="13"/>
  <c r="AL1517" i="13"/>
  <c r="AL1518" i="13"/>
  <c r="AL1519" i="13"/>
  <c r="AL1520" i="13"/>
  <c r="AL1521" i="13"/>
  <c r="AL2" i="13"/>
  <c r="A59" i="15"/>
  <c r="A60" i="15"/>
  <c r="A61" i="15"/>
  <c r="A62" i="15"/>
  <c r="A63" i="15"/>
  <c r="A64" i="15"/>
  <c r="AK3" i="13"/>
  <c r="AK4" i="13"/>
  <c r="AK5" i="13"/>
  <c r="AK6" i="13"/>
  <c r="AK7" i="13"/>
  <c r="AK8" i="13"/>
  <c r="AK9" i="13"/>
  <c r="AK10" i="13"/>
  <c r="AK11" i="13"/>
  <c r="AK12" i="13"/>
  <c r="AK13" i="13"/>
  <c r="AK14" i="13"/>
  <c r="AK15" i="13"/>
  <c r="AK16" i="13"/>
  <c r="AK17" i="13"/>
  <c r="AK18" i="13"/>
  <c r="AK19" i="13"/>
  <c r="AK20" i="13"/>
  <c r="AK21" i="13"/>
  <c r="AK22" i="13"/>
  <c r="AK23" i="13"/>
  <c r="AK24" i="13"/>
  <c r="AK25" i="13"/>
  <c r="AK26" i="13"/>
  <c r="AK27" i="13"/>
  <c r="AK28" i="13"/>
  <c r="AK29" i="13"/>
  <c r="AK30" i="13"/>
  <c r="AK31" i="13"/>
  <c r="AK32" i="13"/>
  <c r="AK33" i="13"/>
  <c r="AK34" i="13"/>
  <c r="AK35" i="13"/>
  <c r="AK36" i="13"/>
  <c r="AK37" i="13"/>
  <c r="AK38" i="13"/>
  <c r="AK39" i="13"/>
  <c r="AK40" i="13"/>
  <c r="AK41" i="13"/>
  <c r="AK42" i="13"/>
  <c r="AK43" i="13"/>
  <c r="AK44" i="13"/>
  <c r="AK45" i="13"/>
  <c r="AK46" i="13"/>
  <c r="AK47" i="13"/>
  <c r="AK48" i="13"/>
  <c r="AK49" i="13"/>
  <c r="AK50" i="13"/>
  <c r="AK51" i="13"/>
  <c r="AK52" i="13"/>
  <c r="AK53" i="13"/>
  <c r="AK54" i="13"/>
  <c r="AK55" i="13"/>
  <c r="AK56" i="13"/>
  <c r="AK57" i="13"/>
  <c r="AK58" i="13"/>
  <c r="AK59" i="13"/>
  <c r="AK60" i="13"/>
  <c r="AK61" i="13"/>
  <c r="AK62" i="13"/>
  <c r="AK63" i="13"/>
  <c r="AK64" i="13"/>
  <c r="AK65" i="13"/>
  <c r="AK66" i="13"/>
  <c r="AK67" i="13"/>
  <c r="AK68" i="13"/>
  <c r="AK69" i="13"/>
  <c r="AK70" i="13"/>
  <c r="AK71" i="13"/>
  <c r="AK72" i="13"/>
  <c r="AK73" i="13"/>
  <c r="AK74" i="13"/>
  <c r="AK75" i="13"/>
  <c r="AK76" i="13"/>
  <c r="AK77" i="13"/>
  <c r="AK78" i="13"/>
  <c r="AK79" i="13"/>
  <c r="AK80" i="13"/>
  <c r="AK81" i="13"/>
  <c r="AK82" i="13"/>
  <c r="AK83" i="13"/>
  <c r="AK84" i="13"/>
  <c r="AK85" i="13"/>
  <c r="AK86" i="13"/>
  <c r="AK87" i="13"/>
  <c r="AK88" i="13"/>
  <c r="AK89" i="13"/>
  <c r="AK90" i="13"/>
  <c r="AK91" i="13"/>
  <c r="AK92" i="13"/>
  <c r="AK93" i="13"/>
  <c r="AK94" i="13"/>
  <c r="AK95" i="13"/>
  <c r="AK96" i="13"/>
  <c r="AK97" i="13"/>
  <c r="AK98" i="13"/>
  <c r="AK99" i="13"/>
  <c r="AK100" i="13"/>
  <c r="AK101" i="13"/>
  <c r="AK102" i="13"/>
  <c r="AK103" i="13"/>
  <c r="AK104" i="13"/>
  <c r="AK105" i="13"/>
  <c r="AK106" i="13"/>
  <c r="AK107" i="13"/>
  <c r="AK108" i="13"/>
  <c r="AK109" i="13"/>
  <c r="AK110" i="13"/>
  <c r="AK111" i="13"/>
  <c r="AK112" i="13"/>
  <c r="AK113" i="13"/>
  <c r="AK114" i="13"/>
  <c r="AK115" i="13"/>
  <c r="AK116" i="13"/>
  <c r="AK117" i="13"/>
  <c r="AK118" i="13"/>
  <c r="AK119" i="13"/>
  <c r="AK120" i="13"/>
  <c r="AK121" i="13"/>
  <c r="AK122" i="13"/>
  <c r="AK123" i="13"/>
  <c r="AK124" i="13"/>
  <c r="AK125" i="13"/>
  <c r="AK126" i="13"/>
  <c r="AK127" i="13"/>
  <c r="AK128" i="13"/>
  <c r="AK129" i="13"/>
  <c r="AK130" i="13"/>
  <c r="AK131" i="13"/>
  <c r="AK132" i="13"/>
  <c r="AK133" i="13"/>
  <c r="AK134" i="13"/>
  <c r="AK135" i="13"/>
  <c r="AK136" i="13"/>
  <c r="AK137" i="13"/>
  <c r="AK138" i="13"/>
  <c r="AK139" i="13"/>
  <c r="AK140" i="13"/>
  <c r="AK141" i="13"/>
  <c r="AK142" i="13"/>
  <c r="AK143" i="13"/>
  <c r="AK144" i="13"/>
  <c r="AK145" i="13"/>
  <c r="AK146" i="13"/>
  <c r="AK147" i="13"/>
  <c r="AK148" i="13"/>
  <c r="AK149" i="13"/>
  <c r="AK150" i="13"/>
  <c r="AK151" i="13"/>
  <c r="AK152" i="13"/>
  <c r="AK153" i="13"/>
  <c r="AK154" i="13"/>
  <c r="AK155" i="13"/>
  <c r="AK156" i="13"/>
  <c r="AK157" i="13"/>
  <c r="AK158" i="13"/>
  <c r="AK159" i="13"/>
  <c r="AK160" i="13"/>
  <c r="AK161" i="13"/>
  <c r="AK162" i="13"/>
  <c r="AK163" i="13"/>
  <c r="AK164" i="13"/>
  <c r="AK165" i="13"/>
  <c r="AK166" i="13"/>
  <c r="AK167" i="13"/>
  <c r="AK168" i="13"/>
  <c r="AK169" i="13"/>
  <c r="AK170" i="13"/>
  <c r="AK171" i="13"/>
  <c r="AK172" i="13"/>
  <c r="AK173" i="13"/>
  <c r="AK174" i="13"/>
  <c r="AK175" i="13"/>
  <c r="AK176" i="13"/>
  <c r="AK177" i="13"/>
  <c r="AK178" i="13"/>
  <c r="AK179" i="13"/>
  <c r="AK180" i="13"/>
  <c r="AK181" i="13"/>
  <c r="AK182" i="13"/>
  <c r="AK183" i="13"/>
  <c r="AK184" i="13"/>
  <c r="AK185" i="13"/>
  <c r="AK186" i="13"/>
  <c r="AK187" i="13"/>
  <c r="AK188" i="13"/>
  <c r="AK189" i="13"/>
  <c r="AK190" i="13"/>
  <c r="AK191" i="13"/>
  <c r="AK192" i="13"/>
  <c r="AK193" i="13"/>
  <c r="AK194" i="13"/>
  <c r="AK195" i="13"/>
  <c r="AK196" i="13"/>
  <c r="AK197" i="13"/>
  <c r="AK198" i="13"/>
  <c r="AK199" i="13"/>
  <c r="AK200" i="13"/>
  <c r="AK201" i="13"/>
  <c r="AK202" i="13"/>
  <c r="AK203" i="13"/>
  <c r="AK204" i="13"/>
  <c r="AK205" i="13"/>
  <c r="AK206" i="13"/>
  <c r="AK207" i="13"/>
  <c r="AK208" i="13"/>
  <c r="AK209" i="13"/>
  <c r="AK210" i="13"/>
  <c r="AK211" i="13"/>
  <c r="AK212" i="13"/>
  <c r="AK213" i="13"/>
  <c r="AK214" i="13"/>
  <c r="AK215" i="13"/>
  <c r="AK216" i="13"/>
  <c r="AK217" i="13"/>
  <c r="AK218" i="13"/>
  <c r="AK219" i="13"/>
  <c r="AK220" i="13"/>
  <c r="AK221" i="13"/>
  <c r="AK222" i="13"/>
  <c r="AK223" i="13"/>
  <c r="AK224" i="13"/>
  <c r="AK225" i="13"/>
  <c r="AK226" i="13"/>
  <c r="AK227" i="13"/>
  <c r="AK228" i="13"/>
  <c r="AK229" i="13"/>
  <c r="AK230" i="13"/>
  <c r="AK231" i="13"/>
  <c r="AK232" i="13"/>
  <c r="AK233" i="13"/>
  <c r="AK234" i="13"/>
  <c r="AK235" i="13"/>
  <c r="AK236" i="13"/>
  <c r="AK237" i="13"/>
  <c r="AK238" i="13"/>
  <c r="AK239" i="13"/>
  <c r="AK240" i="13"/>
  <c r="AK241" i="13"/>
  <c r="AK242" i="13"/>
  <c r="AK243" i="13"/>
  <c r="AK244" i="13"/>
  <c r="AK245" i="13"/>
  <c r="AK246" i="13"/>
  <c r="AK247" i="13"/>
  <c r="AK248" i="13"/>
  <c r="AK249" i="13"/>
  <c r="AK250" i="13"/>
  <c r="AK251" i="13"/>
  <c r="AK252" i="13"/>
  <c r="AK253" i="13"/>
  <c r="AK254" i="13"/>
  <c r="AK255" i="13"/>
  <c r="AK256" i="13"/>
  <c r="AK257" i="13"/>
  <c r="AK258" i="13"/>
  <c r="AK259" i="13"/>
  <c r="AK260" i="13"/>
  <c r="AK261" i="13"/>
  <c r="AK262" i="13"/>
  <c r="AK263" i="13"/>
  <c r="AK264" i="13"/>
  <c r="AK265" i="13"/>
  <c r="AK266" i="13"/>
  <c r="AK267" i="13"/>
  <c r="AK268" i="13"/>
  <c r="AK269" i="13"/>
  <c r="AK270" i="13"/>
  <c r="AK271" i="13"/>
  <c r="AK272" i="13"/>
  <c r="AK273" i="13"/>
  <c r="AK274" i="13"/>
  <c r="AK275" i="13"/>
  <c r="AK276" i="13"/>
  <c r="AK277" i="13"/>
  <c r="AK278" i="13"/>
  <c r="AK279" i="13"/>
  <c r="AK280" i="13"/>
  <c r="AK281" i="13"/>
  <c r="AK282" i="13"/>
  <c r="AK283" i="13"/>
  <c r="AK284" i="13"/>
  <c r="AK285" i="13"/>
  <c r="AK286" i="13"/>
  <c r="AK287" i="13"/>
  <c r="AK288" i="13"/>
  <c r="AK289" i="13"/>
  <c r="AK290" i="13"/>
  <c r="AK291" i="13"/>
  <c r="AK292" i="13"/>
  <c r="AK293" i="13"/>
  <c r="AK294" i="13"/>
  <c r="AK295" i="13"/>
  <c r="AK296" i="13"/>
  <c r="AK297" i="13"/>
  <c r="AK298" i="13"/>
  <c r="AK299" i="13"/>
  <c r="AK300" i="13"/>
  <c r="AK301" i="13"/>
  <c r="AK302" i="13"/>
  <c r="AK303" i="13"/>
  <c r="AK304" i="13"/>
  <c r="AK305" i="13"/>
  <c r="AK306" i="13"/>
  <c r="AK307" i="13"/>
  <c r="AK308" i="13"/>
  <c r="AK309" i="13"/>
  <c r="AK310" i="13"/>
  <c r="AK311" i="13"/>
  <c r="AK312" i="13"/>
  <c r="AK313" i="13"/>
  <c r="AK314" i="13"/>
  <c r="AK315" i="13"/>
  <c r="AK316" i="13"/>
  <c r="AK317" i="13"/>
  <c r="AK318" i="13"/>
  <c r="AK319" i="13"/>
  <c r="AK320" i="13"/>
  <c r="AK321" i="13"/>
  <c r="AK322" i="13"/>
  <c r="AK323" i="13"/>
  <c r="AK324" i="13"/>
  <c r="AK325" i="13"/>
  <c r="AK326" i="13"/>
  <c r="AK327" i="13"/>
  <c r="AK328" i="13"/>
  <c r="AK329" i="13"/>
  <c r="AK330" i="13"/>
  <c r="AK331" i="13"/>
  <c r="AK332" i="13"/>
  <c r="AK333" i="13"/>
  <c r="AK334" i="13"/>
  <c r="AK335" i="13"/>
  <c r="AK336" i="13"/>
  <c r="AK337" i="13"/>
  <c r="AK338" i="13"/>
  <c r="AK339" i="13"/>
  <c r="AK340" i="13"/>
  <c r="AK341" i="13"/>
  <c r="AK342" i="13"/>
  <c r="AK343" i="13"/>
  <c r="AK344" i="13"/>
  <c r="AK345" i="13"/>
  <c r="AK346" i="13"/>
  <c r="AK347" i="13"/>
  <c r="AK348" i="13"/>
  <c r="AK349" i="13"/>
  <c r="AK350" i="13"/>
  <c r="AK351" i="13"/>
  <c r="AK352" i="13"/>
  <c r="AK353" i="13"/>
  <c r="AK354" i="13"/>
  <c r="AK355" i="13"/>
  <c r="AK356" i="13"/>
  <c r="AK357" i="13"/>
  <c r="AK358" i="13"/>
  <c r="AK359" i="13"/>
  <c r="AK360" i="13"/>
  <c r="AK361" i="13"/>
  <c r="AK362" i="13"/>
  <c r="AK363" i="13"/>
  <c r="AK364" i="13"/>
  <c r="AK365" i="13"/>
  <c r="AK366" i="13"/>
  <c r="AK367" i="13"/>
  <c r="AK368" i="13"/>
  <c r="AK369" i="13"/>
  <c r="AK370" i="13"/>
  <c r="AK371" i="13"/>
  <c r="AK372" i="13"/>
  <c r="AK373" i="13"/>
  <c r="AK374" i="13"/>
  <c r="AK375" i="13"/>
  <c r="AK376" i="13"/>
  <c r="AK377" i="13"/>
  <c r="AK378" i="13"/>
  <c r="AK379" i="13"/>
  <c r="AK380" i="13"/>
  <c r="AK381" i="13"/>
  <c r="AK382" i="13"/>
  <c r="AK383" i="13"/>
  <c r="AK384" i="13"/>
  <c r="AK385" i="13"/>
  <c r="AK386" i="13"/>
  <c r="AK387" i="13"/>
  <c r="AK388" i="13"/>
  <c r="AK389" i="13"/>
  <c r="AK390" i="13"/>
  <c r="AK391" i="13"/>
  <c r="AK392" i="13"/>
  <c r="AK393" i="13"/>
  <c r="AK394" i="13"/>
  <c r="AK395" i="13"/>
  <c r="AK396" i="13"/>
  <c r="AK397" i="13"/>
  <c r="AK398" i="13"/>
  <c r="AK399" i="13"/>
  <c r="AK400" i="13"/>
  <c r="AK401" i="13"/>
  <c r="AK402" i="13"/>
  <c r="AK403" i="13"/>
  <c r="AK404" i="13"/>
  <c r="AK405" i="13"/>
  <c r="AK406" i="13"/>
  <c r="AK407" i="13"/>
  <c r="AK408" i="13"/>
  <c r="AK409" i="13"/>
  <c r="AK410" i="13"/>
  <c r="AK411" i="13"/>
  <c r="AK412" i="13"/>
  <c r="AK413" i="13"/>
  <c r="AK414" i="13"/>
  <c r="AK415" i="13"/>
  <c r="AK416" i="13"/>
  <c r="AK417" i="13"/>
  <c r="AK418" i="13"/>
  <c r="AK419" i="13"/>
  <c r="AK420" i="13"/>
  <c r="AK421" i="13"/>
  <c r="AK422" i="13"/>
  <c r="AK423" i="13"/>
  <c r="AK424" i="13"/>
  <c r="AK425" i="13"/>
  <c r="AK426" i="13"/>
  <c r="AK427" i="13"/>
  <c r="AK428" i="13"/>
  <c r="AK429" i="13"/>
  <c r="AK430" i="13"/>
  <c r="AK431" i="13"/>
  <c r="AK432" i="13"/>
  <c r="AK433" i="13"/>
  <c r="AK434" i="13"/>
  <c r="AK435" i="13"/>
  <c r="AK436" i="13"/>
  <c r="AK437" i="13"/>
  <c r="AK438" i="13"/>
  <c r="AK439" i="13"/>
  <c r="AK440" i="13"/>
  <c r="AK441" i="13"/>
  <c r="AK442" i="13"/>
  <c r="AK443" i="13"/>
  <c r="AK444" i="13"/>
  <c r="AK445" i="13"/>
  <c r="AK446" i="13"/>
  <c r="AK447" i="13"/>
  <c r="AK448" i="13"/>
  <c r="AK449" i="13"/>
  <c r="AK450" i="13"/>
  <c r="AK451" i="13"/>
  <c r="AK452" i="13"/>
  <c r="AK453" i="13"/>
  <c r="AK454" i="13"/>
  <c r="AK455" i="13"/>
  <c r="AK456" i="13"/>
  <c r="AK457" i="13"/>
  <c r="AK458" i="13"/>
  <c r="AK459" i="13"/>
  <c r="AK460" i="13"/>
  <c r="AK461" i="13"/>
  <c r="AK462" i="13"/>
  <c r="AK463" i="13"/>
  <c r="AK464" i="13"/>
  <c r="AK465" i="13"/>
  <c r="AK466" i="13"/>
  <c r="AK467" i="13"/>
  <c r="AK468" i="13"/>
  <c r="AK469" i="13"/>
  <c r="AK470" i="13"/>
  <c r="AK471" i="13"/>
  <c r="AK472" i="13"/>
  <c r="AK473" i="13"/>
  <c r="AK474" i="13"/>
  <c r="AK475" i="13"/>
  <c r="AK476" i="13"/>
  <c r="AK477" i="13"/>
  <c r="AK478" i="13"/>
  <c r="AK479" i="13"/>
  <c r="AK480" i="13"/>
  <c r="AK481" i="13"/>
  <c r="AK482" i="13"/>
  <c r="AK483" i="13"/>
  <c r="AK484" i="13"/>
  <c r="AK485" i="13"/>
  <c r="AK486" i="13"/>
  <c r="AK487" i="13"/>
  <c r="AK488" i="13"/>
  <c r="AK489" i="13"/>
  <c r="AK490" i="13"/>
  <c r="AK491" i="13"/>
  <c r="AK492" i="13"/>
  <c r="AK493" i="13"/>
  <c r="AK494" i="13"/>
  <c r="AK495" i="13"/>
  <c r="AK496" i="13"/>
  <c r="AK497" i="13"/>
  <c r="AK498" i="13"/>
  <c r="AK499" i="13"/>
  <c r="AK500" i="13"/>
  <c r="AK501" i="13"/>
  <c r="AK502" i="13"/>
  <c r="AK503" i="13"/>
  <c r="AK504" i="13"/>
  <c r="AK505" i="13"/>
  <c r="AK506" i="13"/>
  <c r="AK507" i="13"/>
  <c r="AK508" i="13"/>
  <c r="AK509" i="13"/>
  <c r="AK510" i="13"/>
  <c r="AK511" i="13"/>
  <c r="AK512" i="13"/>
  <c r="AK513" i="13"/>
  <c r="AK514" i="13"/>
  <c r="AK515" i="13"/>
  <c r="AK516" i="13"/>
  <c r="AK517" i="13"/>
  <c r="AK518" i="13"/>
  <c r="AK519" i="13"/>
  <c r="AK520" i="13"/>
  <c r="AK521" i="13"/>
  <c r="AK522" i="13"/>
  <c r="AK523" i="13"/>
  <c r="AK524" i="13"/>
  <c r="AK525" i="13"/>
  <c r="AK526" i="13"/>
  <c r="AK527" i="13"/>
  <c r="AK528" i="13"/>
  <c r="AK529" i="13"/>
  <c r="AK530" i="13"/>
  <c r="AK531" i="13"/>
  <c r="AK532" i="13"/>
  <c r="AK533" i="13"/>
  <c r="AK534" i="13"/>
  <c r="AK535" i="13"/>
  <c r="AK536" i="13"/>
  <c r="AK537" i="13"/>
  <c r="AK538" i="13"/>
  <c r="AK539" i="13"/>
  <c r="AK540" i="13"/>
  <c r="AK541" i="13"/>
  <c r="AK542" i="13"/>
  <c r="AK543" i="13"/>
  <c r="AK544" i="13"/>
  <c r="AK545" i="13"/>
  <c r="AK546" i="13"/>
  <c r="AK547" i="13"/>
  <c r="AK548" i="13"/>
  <c r="AK549" i="13"/>
  <c r="AK550" i="13"/>
  <c r="AK551" i="13"/>
  <c r="AK552" i="13"/>
  <c r="AK553" i="13"/>
  <c r="AK554" i="13"/>
  <c r="AK555" i="13"/>
  <c r="AK556" i="13"/>
  <c r="AK557" i="13"/>
  <c r="AK558" i="13"/>
  <c r="AK559" i="13"/>
  <c r="AK560" i="13"/>
  <c r="AK561" i="13"/>
  <c r="AK562" i="13"/>
  <c r="AK563" i="13"/>
  <c r="AK564" i="13"/>
  <c r="AK565" i="13"/>
  <c r="AK566" i="13"/>
  <c r="AK567" i="13"/>
  <c r="AK568" i="13"/>
  <c r="AK569" i="13"/>
  <c r="AK570" i="13"/>
  <c r="AK571" i="13"/>
  <c r="AK572" i="13"/>
  <c r="AK573" i="13"/>
  <c r="AK574" i="13"/>
  <c r="AK575" i="13"/>
  <c r="AK576" i="13"/>
  <c r="AK577" i="13"/>
  <c r="AK578" i="13"/>
  <c r="AK579" i="13"/>
  <c r="AK580" i="13"/>
  <c r="AK581" i="13"/>
  <c r="AK582" i="13"/>
  <c r="AK583" i="13"/>
  <c r="AK584" i="13"/>
  <c r="AK585" i="13"/>
  <c r="AK586" i="13"/>
  <c r="AK587" i="13"/>
  <c r="AK588" i="13"/>
  <c r="AK589" i="13"/>
  <c r="AK590" i="13"/>
  <c r="AK591" i="13"/>
  <c r="AK592" i="13"/>
  <c r="AK593" i="13"/>
  <c r="AK594" i="13"/>
  <c r="AK595" i="13"/>
  <c r="AK596" i="13"/>
  <c r="AK597" i="13"/>
  <c r="AK598" i="13"/>
  <c r="AK599" i="13"/>
  <c r="AK600" i="13"/>
  <c r="AK601" i="13"/>
  <c r="AK602" i="13"/>
  <c r="AK603" i="13"/>
  <c r="AK604" i="13"/>
  <c r="AK605" i="13"/>
  <c r="AK606" i="13"/>
  <c r="AK607" i="13"/>
  <c r="AK608" i="13"/>
  <c r="AK609" i="13"/>
  <c r="AK610" i="13"/>
  <c r="AK611" i="13"/>
  <c r="AK612" i="13"/>
  <c r="AK613" i="13"/>
  <c r="AK614" i="13"/>
  <c r="AK615" i="13"/>
  <c r="AK616" i="13"/>
  <c r="AK617" i="13"/>
  <c r="AK618" i="13"/>
  <c r="AK619" i="13"/>
  <c r="AK620" i="13"/>
  <c r="AK621" i="13"/>
  <c r="AK622" i="13"/>
  <c r="AK623" i="13"/>
  <c r="AK624" i="13"/>
  <c r="AK625" i="13"/>
  <c r="AK626" i="13"/>
  <c r="AK627" i="13"/>
  <c r="AK628" i="13"/>
  <c r="AK629" i="13"/>
  <c r="AK630" i="13"/>
  <c r="AK631" i="13"/>
  <c r="AK632" i="13"/>
  <c r="AK633" i="13"/>
  <c r="AK634" i="13"/>
  <c r="AK635" i="13"/>
  <c r="AK636" i="13"/>
  <c r="AK637" i="13"/>
  <c r="AK638" i="13"/>
  <c r="AK639" i="13"/>
  <c r="AK640" i="13"/>
  <c r="AK641" i="13"/>
  <c r="AK642" i="13"/>
  <c r="AK643" i="13"/>
  <c r="AK644" i="13"/>
  <c r="AK645" i="13"/>
  <c r="AK646" i="13"/>
  <c r="AK647" i="13"/>
  <c r="AK648" i="13"/>
  <c r="AK649" i="13"/>
  <c r="AK650" i="13"/>
  <c r="AK651" i="13"/>
  <c r="AK652" i="13"/>
  <c r="AK653" i="13"/>
  <c r="AK654" i="13"/>
  <c r="AK655" i="13"/>
  <c r="AK656" i="13"/>
  <c r="AK657" i="13"/>
  <c r="AK658" i="13"/>
  <c r="AK659" i="13"/>
  <c r="AK660" i="13"/>
  <c r="AK661" i="13"/>
  <c r="AK662" i="13"/>
  <c r="AK663" i="13"/>
  <c r="AK664" i="13"/>
  <c r="AK665" i="13"/>
  <c r="AK666" i="13"/>
  <c r="AK667" i="13"/>
  <c r="AK668" i="13"/>
  <c r="AK669" i="13"/>
  <c r="AK670" i="13"/>
  <c r="AK671" i="13"/>
  <c r="AK672" i="13"/>
  <c r="AK673" i="13"/>
  <c r="AK674" i="13"/>
  <c r="AK675" i="13"/>
  <c r="AK676" i="13"/>
  <c r="AK677" i="13"/>
  <c r="AK678" i="13"/>
  <c r="AK679" i="13"/>
  <c r="AK680" i="13"/>
  <c r="AK681" i="13"/>
  <c r="AK682" i="13"/>
  <c r="AK683" i="13"/>
  <c r="AK684" i="13"/>
  <c r="AK685" i="13"/>
  <c r="AK686" i="13"/>
  <c r="AK687" i="13"/>
  <c r="AK688" i="13"/>
  <c r="AK689" i="13"/>
  <c r="AK690" i="13"/>
  <c r="AK691" i="13"/>
  <c r="AK692" i="13"/>
  <c r="AK693" i="13"/>
  <c r="AK694" i="13"/>
  <c r="AK695" i="13"/>
  <c r="AK696" i="13"/>
  <c r="AK697" i="13"/>
  <c r="AK698" i="13"/>
  <c r="AK699" i="13"/>
  <c r="AK700" i="13"/>
  <c r="AK701" i="13"/>
  <c r="AK702" i="13"/>
  <c r="AK703" i="13"/>
  <c r="AK704" i="13"/>
  <c r="AK705" i="13"/>
  <c r="AK706" i="13"/>
  <c r="AK707" i="13"/>
  <c r="AK708" i="13"/>
  <c r="AK709" i="13"/>
  <c r="AK710" i="13"/>
  <c r="AK711" i="13"/>
  <c r="AK712" i="13"/>
  <c r="AK713" i="13"/>
  <c r="AK714" i="13"/>
  <c r="AK715" i="13"/>
  <c r="AK716" i="13"/>
  <c r="AK717" i="13"/>
  <c r="AK718" i="13"/>
  <c r="AK719" i="13"/>
  <c r="AK720" i="13"/>
  <c r="AK721" i="13"/>
  <c r="AK722" i="13"/>
  <c r="AK723" i="13"/>
  <c r="AK724" i="13"/>
  <c r="AK725" i="13"/>
  <c r="AK726" i="13"/>
  <c r="AK727" i="13"/>
  <c r="AK728" i="13"/>
  <c r="AK729" i="13"/>
  <c r="AK730" i="13"/>
  <c r="AK731" i="13"/>
  <c r="AK732" i="13"/>
  <c r="AK733" i="13"/>
  <c r="AK734" i="13"/>
  <c r="AK735" i="13"/>
  <c r="AK736" i="13"/>
  <c r="AK737" i="13"/>
  <c r="AK738" i="13"/>
  <c r="AK739" i="13"/>
  <c r="AK740" i="13"/>
  <c r="AK741" i="13"/>
  <c r="AK742" i="13"/>
  <c r="AK743" i="13"/>
  <c r="AK744" i="13"/>
  <c r="AK745" i="13"/>
  <c r="AK746" i="13"/>
  <c r="AK747" i="13"/>
  <c r="AK748" i="13"/>
  <c r="AK749" i="13"/>
  <c r="AK750" i="13"/>
  <c r="AK751" i="13"/>
  <c r="AK752" i="13"/>
  <c r="AK753" i="13"/>
  <c r="AK754" i="13"/>
  <c r="AK755" i="13"/>
  <c r="AK756" i="13"/>
  <c r="AK757" i="13"/>
  <c r="AK758" i="13"/>
  <c r="AK759" i="13"/>
  <c r="AK760" i="13"/>
  <c r="AK761" i="13"/>
  <c r="AK762" i="13"/>
  <c r="AK763" i="13"/>
  <c r="AK764" i="13"/>
  <c r="AK765" i="13"/>
  <c r="AK766" i="13"/>
  <c r="AK767" i="13"/>
  <c r="AK768" i="13"/>
  <c r="AK769" i="13"/>
  <c r="AK770" i="13"/>
  <c r="AK771" i="13"/>
  <c r="AK772" i="13"/>
  <c r="AK773" i="13"/>
  <c r="AK774" i="13"/>
  <c r="AK775" i="13"/>
  <c r="AK776" i="13"/>
  <c r="AK777" i="13"/>
  <c r="AK778" i="13"/>
  <c r="AK779" i="13"/>
  <c r="AK780" i="13"/>
  <c r="AK781" i="13"/>
  <c r="AK782" i="13"/>
  <c r="AK783" i="13"/>
  <c r="AK784" i="13"/>
  <c r="AK785" i="13"/>
  <c r="AK786" i="13"/>
  <c r="AK787" i="13"/>
  <c r="AK788" i="13"/>
  <c r="AK789" i="13"/>
  <c r="AK790" i="13"/>
  <c r="AK791" i="13"/>
  <c r="AK792" i="13"/>
  <c r="AK793" i="13"/>
  <c r="AK794" i="13"/>
  <c r="AK795" i="13"/>
  <c r="AK796" i="13"/>
  <c r="AK797" i="13"/>
  <c r="AK798" i="13"/>
  <c r="AK799" i="13"/>
  <c r="AK800" i="13"/>
  <c r="AK801" i="13"/>
  <c r="AK802" i="13"/>
  <c r="AK803" i="13"/>
  <c r="AK804" i="13"/>
  <c r="AK805" i="13"/>
  <c r="AK806" i="13"/>
  <c r="AK807" i="13"/>
  <c r="AK808" i="13"/>
  <c r="AK809" i="13"/>
  <c r="AK810" i="13"/>
  <c r="AK811" i="13"/>
  <c r="AK812" i="13"/>
  <c r="AK813" i="13"/>
  <c r="AK814" i="13"/>
  <c r="AK815" i="13"/>
  <c r="AK816" i="13"/>
  <c r="AK817" i="13"/>
  <c r="AK818" i="13"/>
  <c r="AK819" i="13"/>
  <c r="AK820" i="13"/>
  <c r="AK821" i="13"/>
  <c r="AK822" i="13"/>
  <c r="AK823" i="13"/>
  <c r="AK824" i="13"/>
  <c r="AK825" i="13"/>
  <c r="AK826" i="13"/>
  <c r="AK827" i="13"/>
  <c r="AK828" i="13"/>
  <c r="AK829" i="13"/>
  <c r="AK830" i="13"/>
  <c r="AK831" i="13"/>
  <c r="AK832" i="13"/>
  <c r="AK833" i="13"/>
  <c r="AK834" i="13"/>
  <c r="AK835" i="13"/>
  <c r="AK836" i="13"/>
  <c r="AK837" i="13"/>
  <c r="AK838" i="13"/>
  <c r="AK839" i="13"/>
  <c r="AK840" i="13"/>
  <c r="AK841" i="13"/>
  <c r="AK842" i="13"/>
  <c r="AK843" i="13"/>
  <c r="AK844" i="13"/>
  <c r="AK845" i="13"/>
  <c r="AK846" i="13"/>
  <c r="AK847" i="13"/>
  <c r="AK848" i="13"/>
  <c r="AK849" i="13"/>
  <c r="AK850" i="13"/>
  <c r="AK851" i="13"/>
  <c r="AK852" i="13"/>
  <c r="AK853" i="13"/>
  <c r="AK854" i="13"/>
  <c r="AK855" i="13"/>
  <c r="AK856" i="13"/>
  <c r="AK857" i="13"/>
  <c r="AK858" i="13"/>
  <c r="AK859" i="13"/>
  <c r="AK860" i="13"/>
  <c r="AK861" i="13"/>
  <c r="AK862" i="13"/>
  <c r="AK863" i="13"/>
  <c r="AK864" i="13"/>
  <c r="AK865" i="13"/>
  <c r="AK866" i="13"/>
  <c r="AK867" i="13"/>
  <c r="AK868" i="13"/>
  <c r="AK869" i="13"/>
  <c r="AK870" i="13"/>
  <c r="AK871" i="13"/>
  <c r="AK872" i="13"/>
  <c r="AK873" i="13"/>
  <c r="AK874" i="13"/>
  <c r="AK875" i="13"/>
  <c r="AK876" i="13"/>
  <c r="AK877" i="13"/>
  <c r="AK878" i="13"/>
  <c r="AK879" i="13"/>
  <c r="AK880" i="13"/>
  <c r="AK881" i="13"/>
  <c r="AK882" i="13"/>
  <c r="AK883" i="13"/>
  <c r="AK884" i="13"/>
  <c r="AK885" i="13"/>
  <c r="AK886" i="13"/>
  <c r="AK887" i="13"/>
  <c r="AK888" i="13"/>
  <c r="AK889" i="13"/>
  <c r="AK890" i="13"/>
  <c r="AK891" i="13"/>
  <c r="AK892" i="13"/>
  <c r="AK893" i="13"/>
  <c r="AK894" i="13"/>
  <c r="AK895" i="13"/>
  <c r="AK896" i="13"/>
  <c r="AK897" i="13"/>
  <c r="AK898" i="13"/>
  <c r="AK899" i="13"/>
  <c r="AK900" i="13"/>
  <c r="AK901" i="13"/>
  <c r="AK902" i="13"/>
  <c r="AK903" i="13"/>
  <c r="AK904" i="13"/>
  <c r="AK905" i="13"/>
  <c r="AK906" i="13"/>
  <c r="AK907" i="13"/>
  <c r="AK908" i="13"/>
  <c r="AK909" i="13"/>
  <c r="AK910" i="13"/>
  <c r="AK911" i="13"/>
  <c r="AK912" i="13"/>
  <c r="AK913" i="13"/>
  <c r="AK914" i="13"/>
  <c r="AK915" i="13"/>
  <c r="AK916" i="13"/>
  <c r="AK917" i="13"/>
  <c r="AK918" i="13"/>
  <c r="AK919" i="13"/>
  <c r="AK920" i="13"/>
  <c r="AK921" i="13"/>
  <c r="AK922" i="13"/>
  <c r="AK923" i="13"/>
  <c r="AK924" i="13"/>
  <c r="AK925" i="13"/>
  <c r="AK926" i="13"/>
  <c r="AK927" i="13"/>
  <c r="AK928" i="13"/>
  <c r="AK929" i="13"/>
  <c r="AK930" i="13"/>
  <c r="AK931" i="13"/>
  <c r="AK932" i="13"/>
  <c r="AK933" i="13"/>
  <c r="AK934" i="13"/>
  <c r="AK935" i="13"/>
  <c r="AK936" i="13"/>
  <c r="AK937" i="13"/>
  <c r="AK938" i="13"/>
  <c r="AK939" i="13"/>
  <c r="AK940" i="13"/>
  <c r="AK941" i="13"/>
  <c r="AK942" i="13"/>
  <c r="AK943" i="13"/>
  <c r="AK944" i="13"/>
  <c r="AK945" i="13"/>
  <c r="AK946" i="13"/>
  <c r="AK947" i="13"/>
  <c r="AK948" i="13"/>
  <c r="AK949" i="13"/>
  <c r="AK950" i="13"/>
  <c r="AK951" i="13"/>
  <c r="AK952" i="13"/>
  <c r="AK953" i="13"/>
  <c r="AK954" i="13"/>
  <c r="AK955" i="13"/>
  <c r="AK956" i="13"/>
  <c r="AK957" i="13"/>
  <c r="AK958" i="13"/>
  <c r="AK959" i="13"/>
  <c r="AK960" i="13"/>
  <c r="AK961" i="13"/>
  <c r="AK962" i="13"/>
  <c r="AK963" i="13"/>
  <c r="AK964" i="13"/>
  <c r="AK965" i="13"/>
  <c r="AK966" i="13"/>
  <c r="AK967" i="13"/>
  <c r="AK968" i="13"/>
  <c r="AK969" i="13"/>
  <c r="AK970" i="13"/>
  <c r="AK971" i="13"/>
  <c r="AK972" i="13"/>
  <c r="AK973" i="13"/>
  <c r="AK974" i="13"/>
  <c r="AK975" i="13"/>
  <c r="AK976" i="13"/>
  <c r="AK977" i="13"/>
  <c r="AK978" i="13"/>
  <c r="AK979" i="13"/>
  <c r="AK980" i="13"/>
  <c r="AK981" i="13"/>
  <c r="AK982" i="13"/>
  <c r="AK983" i="13"/>
  <c r="AK984" i="13"/>
  <c r="AK985" i="13"/>
  <c r="AK986" i="13"/>
  <c r="AK987" i="13"/>
  <c r="AK988" i="13"/>
  <c r="AK989" i="13"/>
  <c r="AK990" i="13"/>
  <c r="AK991" i="13"/>
  <c r="AK992" i="13"/>
  <c r="AK993" i="13"/>
  <c r="AK994" i="13"/>
  <c r="AK995" i="13"/>
  <c r="AK996" i="13"/>
  <c r="AK997" i="13"/>
  <c r="AK998" i="13"/>
  <c r="AK999" i="13"/>
  <c r="AK1000" i="13"/>
  <c r="AK1001" i="13"/>
  <c r="AK1002" i="13"/>
  <c r="AK1003" i="13"/>
  <c r="AK1004" i="13"/>
  <c r="AK1005" i="13"/>
  <c r="AK1006" i="13"/>
  <c r="AK1007" i="13"/>
  <c r="AK1008" i="13"/>
  <c r="AK1009" i="13"/>
  <c r="AK1010" i="13"/>
  <c r="AK1011" i="13"/>
  <c r="AK1012" i="13"/>
  <c r="AK1013" i="13"/>
  <c r="AK1014" i="13"/>
  <c r="AK1015" i="13"/>
  <c r="AK1016" i="13"/>
  <c r="AK1017" i="13"/>
  <c r="AK1018" i="13"/>
  <c r="AK1019" i="13"/>
  <c r="AK1020" i="13"/>
  <c r="AK1021" i="13"/>
  <c r="AK1022" i="13"/>
  <c r="AK1023" i="13"/>
  <c r="AK1024" i="13"/>
  <c r="AK1025" i="13"/>
  <c r="AK1026" i="13"/>
  <c r="AK1027" i="13"/>
  <c r="AK1028" i="13"/>
  <c r="AK1029" i="13"/>
  <c r="AK1030" i="13"/>
  <c r="AK1031" i="13"/>
  <c r="AK1032" i="13"/>
  <c r="AK1033" i="13"/>
  <c r="AK1034" i="13"/>
  <c r="AK1035" i="13"/>
  <c r="AK1036" i="13"/>
  <c r="AK1037" i="13"/>
  <c r="AK1038" i="13"/>
  <c r="AK1039" i="13"/>
  <c r="AK1040" i="13"/>
  <c r="AK1041" i="13"/>
  <c r="AK1042" i="13"/>
  <c r="AK1043" i="13"/>
  <c r="AK1044" i="13"/>
  <c r="AK1045" i="13"/>
  <c r="AK1046" i="13"/>
  <c r="AK1047" i="13"/>
  <c r="AK1048" i="13"/>
  <c r="AK1049" i="13"/>
  <c r="AK1050" i="13"/>
  <c r="AK1051" i="13"/>
  <c r="AK1052" i="13"/>
  <c r="AK1053" i="13"/>
  <c r="AK1054" i="13"/>
  <c r="AK1055" i="13"/>
  <c r="AK1056" i="13"/>
  <c r="AK1057" i="13"/>
  <c r="AK1058" i="13"/>
  <c r="AK1059" i="13"/>
  <c r="AK1060" i="13"/>
  <c r="AK1061" i="13"/>
  <c r="AK1062" i="13"/>
  <c r="AK1063" i="13"/>
  <c r="AK1064" i="13"/>
  <c r="AK1065" i="13"/>
  <c r="AK1066" i="13"/>
  <c r="AK1067" i="13"/>
  <c r="AK1068" i="13"/>
  <c r="AK1069" i="13"/>
  <c r="AK1070" i="13"/>
  <c r="AK1071" i="13"/>
  <c r="AK1072" i="13"/>
  <c r="AK1073" i="13"/>
  <c r="AK1074" i="13"/>
  <c r="AK1075" i="13"/>
  <c r="AK1076" i="13"/>
  <c r="AK1077" i="13"/>
  <c r="AK1078" i="13"/>
  <c r="AK1079" i="13"/>
  <c r="AK1080" i="13"/>
  <c r="AK1081" i="13"/>
  <c r="AK1082" i="13"/>
  <c r="AK1083" i="13"/>
  <c r="AK1084" i="13"/>
  <c r="AK1085" i="13"/>
  <c r="AK1086" i="13"/>
  <c r="AK1087" i="13"/>
  <c r="AK1088" i="13"/>
  <c r="AK1089" i="13"/>
  <c r="AK1090" i="13"/>
  <c r="AK1091" i="13"/>
  <c r="AK1092" i="13"/>
  <c r="AK1093" i="13"/>
  <c r="AK1094" i="13"/>
  <c r="AK1095" i="13"/>
  <c r="AK1096" i="13"/>
  <c r="AK1097" i="13"/>
  <c r="AK1098" i="13"/>
  <c r="AK1099" i="13"/>
  <c r="AK1100" i="13"/>
  <c r="AK1101" i="13"/>
  <c r="AK1102" i="13"/>
  <c r="AK1103" i="13"/>
  <c r="AK1104" i="13"/>
  <c r="AK1105" i="13"/>
  <c r="AK1106" i="13"/>
  <c r="AK1107" i="13"/>
  <c r="AK1108" i="13"/>
  <c r="AK1109" i="13"/>
  <c r="AK1110" i="13"/>
  <c r="AK1111" i="13"/>
  <c r="AK1112" i="13"/>
  <c r="AK1113" i="13"/>
  <c r="AK1114" i="13"/>
  <c r="AK1115" i="13"/>
  <c r="AK1116" i="13"/>
  <c r="AK1117" i="13"/>
  <c r="AK1118" i="13"/>
  <c r="AK1119" i="13"/>
  <c r="AK1120" i="13"/>
  <c r="AK1121" i="13"/>
  <c r="AK1122" i="13"/>
  <c r="AK1123" i="13"/>
  <c r="AK1124" i="13"/>
  <c r="AK1125" i="13"/>
  <c r="AK1126" i="13"/>
  <c r="AK1127" i="13"/>
  <c r="AK1128" i="13"/>
  <c r="AK1129" i="13"/>
  <c r="AK1130" i="13"/>
  <c r="AK1131" i="13"/>
  <c r="AK1132" i="13"/>
  <c r="AK1133" i="13"/>
  <c r="AK1134" i="13"/>
  <c r="AK1135" i="13"/>
  <c r="AK1136" i="13"/>
  <c r="AK1137" i="13"/>
  <c r="AK1138" i="13"/>
  <c r="AK1139" i="13"/>
  <c r="AK1140" i="13"/>
  <c r="AK1141" i="13"/>
  <c r="AK1142" i="13"/>
  <c r="AK1143" i="13"/>
  <c r="AK1144" i="13"/>
  <c r="AK1145" i="13"/>
  <c r="AK1146" i="13"/>
  <c r="AK1147" i="13"/>
  <c r="AK1148" i="13"/>
  <c r="AK1149" i="13"/>
  <c r="AK1150" i="13"/>
  <c r="AK1151" i="13"/>
  <c r="AK1152" i="13"/>
  <c r="AK1153" i="13"/>
  <c r="AK1154" i="13"/>
  <c r="AK1155" i="13"/>
  <c r="AK1156" i="13"/>
  <c r="AK1157" i="13"/>
  <c r="AK1158" i="13"/>
  <c r="AK1159" i="13"/>
  <c r="AK1160" i="13"/>
  <c r="AK1161" i="13"/>
  <c r="AK1162" i="13"/>
  <c r="AK1163" i="13"/>
  <c r="AK1164" i="13"/>
  <c r="AK1165" i="13"/>
  <c r="AK1166" i="13"/>
  <c r="AK1167" i="13"/>
  <c r="AK1168" i="13"/>
  <c r="AK1169" i="13"/>
  <c r="AK1170" i="13"/>
  <c r="AK1171" i="13"/>
  <c r="AK1172" i="13"/>
  <c r="AK1173" i="13"/>
  <c r="AK1174" i="13"/>
  <c r="AK1175" i="13"/>
  <c r="AK1176" i="13"/>
  <c r="AK1177" i="13"/>
  <c r="AK1178" i="13"/>
  <c r="AK1179" i="13"/>
  <c r="AK1180" i="13"/>
  <c r="AK1181" i="13"/>
  <c r="AK1182" i="13"/>
  <c r="AK1183" i="13"/>
  <c r="AK1184" i="13"/>
  <c r="AK1185" i="13"/>
  <c r="AK1186" i="13"/>
  <c r="AK1187" i="13"/>
  <c r="AK1188" i="13"/>
  <c r="AK1189" i="13"/>
  <c r="AK1190" i="13"/>
  <c r="AK1191" i="13"/>
  <c r="AK1192" i="13"/>
  <c r="AK1193" i="13"/>
  <c r="AK1194" i="13"/>
  <c r="AK1195" i="13"/>
  <c r="AK1196" i="13"/>
  <c r="AK1197" i="13"/>
  <c r="AK1198" i="13"/>
  <c r="AK1199" i="13"/>
  <c r="AK1200" i="13"/>
  <c r="AK1201" i="13"/>
  <c r="AK1202" i="13"/>
  <c r="AK1203" i="13"/>
  <c r="AK1204" i="13"/>
  <c r="AK1205" i="13"/>
  <c r="AK1206" i="13"/>
  <c r="AK1207" i="13"/>
  <c r="AK1208" i="13"/>
  <c r="AK1209" i="13"/>
  <c r="AK1210" i="13"/>
  <c r="AK1211" i="13"/>
  <c r="AK1212" i="13"/>
  <c r="AK1213" i="13"/>
  <c r="AK1214" i="13"/>
  <c r="AK1215" i="13"/>
  <c r="AK1216" i="13"/>
  <c r="AK1217" i="13"/>
  <c r="AK1218" i="13"/>
  <c r="AK1219" i="13"/>
  <c r="AK1220" i="13"/>
  <c r="AK1221" i="13"/>
  <c r="AK1222" i="13"/>
  <c r="AK1223" i="13"/>
  <c r="AK1224" i="13"/>
  <c r="AK1225" i="13"/>
  <c r="AK1226" i="13"/>
  <c r="AK1227" i="13"/>
  <c r="AK1228" i="13"/>
  <c r="AK1229" i="13"/>
  <c r="AK1230" i="13"/>
  <c r="AK1231" i="13"/>
  <c r="AK1232" i="13"/>
  <c r="AK1233" i="13"/>
  <c r="AK1234" i="13"/>
  <c r="AK1235" i="13"/>
  <c r="AK1236" i="13"/>
  <c r="AK1237" i="13"/>
  <c r="AK1238" i="13"/>
  <c r="AK1239" i="13"/>
  <c r="AK1240" i="13"/>
  <c r="AK1241" i="13"/>
  <c r="AK1242" i="13"/>
  <c r="AK1243" i="13"/>
  <c r="AK1244" i="13"/>
  <c r="AK1245" i="13"/>
  <c r="AK1246" i="13"/>
  <c r="AK1247" i="13"/>
  <c r="AK1248" i="13"/>
  <c r="AK1249" i="13"/>
  <c r="AK1250" i="13"/>
  <c r="AK1251" i="13"/>
  <c r="AK1252" i="13"/>
  <c r="AK1253" i="13"/>
  <c r="AK1254" i="13"/>
  <c r="AK1255" i="13"/>
  <c r="AK1256" i="13"/>
  <c r="AK1257" i="13"/>
  <c r="AK1258" i="13"/>
  <c r="AK1259" i="13"/>
  <c r="AK1260" i="13"/>
  <c r="AK1261" i="13"/>
  <c r="AK1262" i="13"/>
  <c r="AK1263" i="13"/>
  <c r="AK1264" i="13"/>
  <c r="AK1265" i="13"/>
  <c r="AK1266" i="13"/>
  <c r="AK1267" i="13"/>
  <c r="AK1268" i="13"/>
  <c r="AK1269" i="13"/>
  <c r="AK1270" i="13"/>
  <c r="AK1271" i="13"/>
  <c r="AK1272" i="13"/>
  <c r="AK1273" i="13"/>
  <c r="AK1274" i="13"/>
  <c r="AK1275" i="13"/>
  <c r="AK1276" i="13"/>
  <c r="AK1277" i="13"/>
  <c r="AK1278" i="13"/>
  <c r="AK1279" i="13"/>
  <c r="AK1280" i="13"/>
  <c r="AK1281" i="13"/>
  <c r="AK1282" i="13"/>
  <c r="AK1283" i="13"/>
  <c r="AK1284" i="13"/>
  <c r="AK1285" i="13"/>
  <c r="AK1286" i="13"/>
  <c r="AK1287" i="13"/>
  <c r="AK1288" i="13"/>
  <c r="AK1289" i="13"/>
  <c r="AK1290" i="13"/>
  <c r="AK1291" i="13"/>
  <c r="AK1292" i="13"/>
  <c r="AK1293" i="13"/>
  <c r="AK1294" i="13"/>
  <c r="AK1295" i="13"/>
  <c r="AK1296" i="13"/>
  <c r="AK1297" i="13"/>
  <c r="AK1298" i="13"/>
  <c r="AK1299" i="13"/>
  <c r="AK1300" i="13"/>
  <c r="AK1301" i="13"/>
  <c r="AK1302" i="13"/>
  <c r="AK1303" i="13"/>
  <c r="AK1304" i="13"/>
  <c r="AK1305" i="13"/>
  <c r="AK1306" i="13"/>
  <c r="AK1307" i="13"/>
  <c r="AK1308" i="13"/>
  <c r="AK1309" i="13"/>
  <c r="AK1310" i="13"/>
  <c r="AK1311" i="13"/>
  <c r="AK1312" i="13"/>
  <c r="AK1313" i="13"/>
  <c r="AK1314" i="13"/>
  <c r="AK1315" i="13"/>
  <c r="AK1316" i="13"/>
  <c r="AK1317" i="13"/>
  <c r="AK1318" i="13"/>
  <c r="AK1319" i="13"/>
  <c r="AK1320" i="13"/>
  <c r="AK1321" i="13"/>
  <c r="AK1322" i="13"/>
  <c r="AK1323" i="13"/>
  <c r="AK1324" i="13"/>
  <c r="AK1325" i="13"/>
  <c r="AK1326" i="13"/>
  <c r="AK1327" i="13"/>
  <c r="AK1328" i="13"/>
  <c r="AK1329" i="13"/>
  <c r="AK1330" i="13"/>
  <c r="AK1331" i="13"/>
  <c r="AK1332" i="13"/>
  <c r="AK1333" i="13"/>
  <c r="AK1334" i="13"/>
  <c r="AK1335" i="13"/>
  <c r="AK1336" i="13"/>
  <c r="AK1337" i="13"/>
  <c r="AK1338" i="13"/>
  <c r="AK1339" i="13"/>
  <c r="AK1340" i="13"/>
  <c r="AK1341" i="13"/>
  <c r="AK1342" i="13"/>
  <c r="AK1343" i="13"/>
  <c r="AK1344" i="13"/>
  <c r="AK1345" i="13"/>
  <c r="AK1346" i="13"/>
  <c r="AK1347" i="13"/>
  <c r="AK1348" i="13"/>
  <c r="AK1349" i="13"/>
  <c r="AK1350" i="13"/>
  <c r="AK1351" i="13"/>
  <c r="AK1352" i="13"/>
  <c r="AK1353" i="13"/>
  <c r="AK1354" i="13"/>
  <c r="AK1355" i="13"/>
  <c r="AK1356" i="13"/>
  <c r="AK1357" i="13"/>
  <c r="AK1358" i="13"/>
  <c r="AK1359" i="13"/>
  <c r="AK1360" i="13"/>
  <c r="AK1361" i="13"/>
  <c r="AK1362" i="13"/>
  <c r="AK1363" i="13"/>
  <c r="AK1364" i="13"/>
  <c r="AK1365" i="13"/>
  <c r="AK1366" i="13"/>
  <c r="AK1367" i="13"/>
  <c r="AK1368" i="13"/>
  <c r="AK1369" i="13"/>
  <c r="AK1370" i="13"/>
  <c r="AK1371" i="13"/>
  <c r="AK1372" i="13"/>
  <c r="AK1373" i="13"/>
  <c r="AK1374" i="13"/>
  <c r="AK1375" i="13"/>
  <c r="AK1376" i="13"/>
  <c r="AK1377" i="13"/>
  <c r="AK1378" i="13"/>
  <c r="AK1379" i="13"/>
  <c r="AK1380" i="13"/>
  <c r="AK1381" i="13"/>
  <c r="AK1382" i="13"/>
  <c r="AK1383" i="13"/>
  <c r="AK1384" i="13"/>
  <c r="AK1385" i="13"/>
  <c r="AK1386" i="13"/>
  <c r="AK1387" i="13"/>
  <c r="AK1388" i="13"/>
  <c r="AK1389" i="13"/>
  <c r="AK1390" i="13"/>
  <c r="AK1391" i="13"/>
  <c r="AK1392" i="13"/>
  <c r="AK1393" i="13"/>
  <c r="AK1394" i="13"/>
  <c r="AK1395" i="13"/>
  <c r="AK1396" i="13"/>
  <c r="AK1397" i="13"/>
  <c r="AK1398" i="13"/>
  <c r="AK1399" i="13"/>
  <c r="AK1400" i="13"/>
  <c r="AK1401" i="13"/>
  <c r="AK1402" i="13"/>
  <c r="AK1403" i="13"/>
  <c r="AK1404" i="13"/>
  <c r="AK1405" i="13"/>
  <c r="AK1406" i="13"/>
  <c r="AK1407" i="13"/>
  <c r="AK1408" i="13"/>
  <c r="AK1409" i="13"/>
  <c r="AK1410" i="13"/>
  <c r="AK1411" i="13"/>
  <c r="AK1412" i="13"/>
  <c r="AK1413" i="13"/>
  <c r="AK1414" i="13"/>
  <c r="AK1415" i="13"/>
  <c r="AK1416" i="13"/>
  <c r="AK1417" i="13"/>
  <c r="AK1418" i="13"/>
  <c r="AK1419" i="13"/>
  <c r="AK1420" i="13"/>
  <c r="AK1421" i="13"/>
  <c r="AK1422" i="13"/>
  <c r="AK1423" i="13"/>
  <c r="AK1424" i="13"/>
  <c r="AK1425" i="13"/>
  <c r="AK1426" i="13"/>
  <c r="AK1427" i="13"/>
  <c r="AK1428" i="13"/>
  <c r="AK1429" i="13"/>
  <c r="AK1430" i="13"/>
  <c r="AK1431" i="13"/>
  <c r="AK1432" i="13"/>
  <c r="AK1433" i="13"/>
  <c r="AK1434" i="13"/>
  <c r="AK1435" i="13"/>
  <c r="AK1436" i="13"/>
  <c r="AK1437" i="13"/>
  <c r="AK1438" i="13"/>
  <c r="AK1439" i="13"/>
  <c r="AK1440" i="13"/>
  <c r="AK1441" i="13"/>
  <c r="AK1442" i="13"/>
  <c r="AK1443" i="13"/>
  <c r="AK1444" i="13"/>
  <c r="AK1445" i="13"/>
  <c r="AK1446" i="13"/>
  <c r="AK1447" i="13"/>
  <c r="AK1448" i="13"/>
  <c r="AK1449" i="13"/>
  <c r="AK1450" i="13"/>
  <c r="AK1451" i="13"/>
  <c r="AK1452" i="13"/>
  <c r="AK1453" i="13"/>
  <c r="AK1454" i="13"/>
  <c r="AK1455" i="13"/>
  <c r="AK1456" i="13"/>
  <c r="AK1457" i="13"/>
  <c r="AK1458" i="13"/>
  <c r="AK1459" i="13"/>
  <c r="AK1460" i="13"/>
  <c r="AK1461" i="13"/>
  <c r="AK1462" i="13"/>
  <c r="AK1463" i="13"/>
  <c r="AK1464" i="13"/>
  <c r="AK1465" i="13"/>
  <c r="AK1466" i="13"/>
  <c r="AK1467" i="13"/>
  <c r="AK1468" i="13"/>
  <c r="AK1469" i="13"/>
  <c r="AK1470" i="13"/>
  <c r="AK1471" i="13"/>
  <c r="AK1472" i="13"/>
  <c r="AK1473" i="13"/>
  <c r="AK1474" i="13"/>
  <c r="AK1475" i="13"/>
  <c r="AK1476" i="13"/>
  <c r="AK1477" i="13"/>
  <c r="AK1478" i="13"/>
  <c r="AK1479" i="13"/>
  <c r="AK1480" i="13"/>
  <c r="AK1481" i="13"/>
  <c r="AK1482" i="13"/>
  <c r="AK1483" i="13"/>
  <c r="AK1484" i="13"/>
  <c r="AK1485" i="13"/>
  <c r="AK1486" i="13"/>
  <c r="AK1487" i="13"/>
  <c r="AK1488" i="13"/>
  <c r="AK1489" i="13"/>
  <c r="AK1490" i="13"/>
  <c r="AK1491" i="13"/>
  <c r="AK1492" i="13"/>
  <c r="AK1493" i="13"/>
  <c r="AK1494" i="13"/>
  <c r="AK1495" i="13"/>
  <c r="AK1496" i="13"/>
  <c r="AK1497" i="13"/>
  <c r="AK1498" i="13"/>
  <c r="AK1499" i="13"/>
  <c r="AK1500" i="13"/>
  <c r="AK1501" i="13"/>
  <c r="AK1502" i="13"/>
  <c r="AK1503" i="13"/>
  <c r="AK1504" i="13"/>
  <c r="AK1505" i="13"/>
  <c r="AK1506" i="13"/>
  <c r="AK1507" i="13"/>
  <c r="AK1508" i="13"/>
  <c r="AK1509" i="13"/>
  <c r="AK1510" i="13"/>
  <c r="AK1511" i="13"/>
  <c r="AK1512" i="13"/>
  <c r="AK1513" i="13"/>
  <c r="AK1514" i="13"/>
  <c r="AK1515" i="13"/>
  <c r="AK1516" i="13"/>
  <c r="AK1517" i="13"/>
  <c r="AK1518" i="13"/>
  <c r="AK1519" i="13"/>
  <c r="AK1520" i="13"/>
  <c r="AK1521" i="13"/>
  <c r="AK2" i="13"/>
  <c r="N828" i="15" l="1"/>
  <c r="N5" i="15"/>
  <c r="N1468" i="15"/>
  <c r="N176" i="15"/>
  <c r="N1437" i="15"/>
  <c r="N863" i="15"/>
  <c r="O47" i="18"/>
  <c r="O40" i="18"/>
  <c r="O56" i="18"/>
  <c r="O79" i="18"/>
  <c r="O80" i="18"/>
  <c r="O52" i="18"/>
  <c r="Q650" i="15" s="1"/>
  <c r="Q651" i="15" s="1"/>
  <c r="O67" i="18"/>
  <c r="O43" i="18"/>
  <c r="O82" i="18"/>
  <c r="O46" i="18"/>
  <c r="O76" i="18"/>
  <c r="Q1106" i="15" s="1"/>
  <c r="O61" i="18"/>
  <c r="O45" i="18"/>
  <c r="O64" i="18"/>
  <c r="O57" i="18"/>
  <c r="O53" i="18"/>
  <c r="O60" i="18"/>
  <c r="O41" i="18"/>
  <c r="O72" i="18"/>
  <c r="Q897" i="15" s="1"/>
  <c r="Q912" i="15" s="1"/>
  <c r="O44" i="18"/>
  <c r="O75" i="18"/>
  <c r="O83" i="18"/>
  <c r="Q1239" i="15" s="1"/>
  <c r="Q1254" i="15" s="1"/>
  <c r="O70" i="18"/>
  <c r="O74" i="18"/>
  <c r="Q935" i="15" s="1"/>
  <c r="Q946" i="15" s="1"/>
  <c r="O71" i="18"/>
  <c r="O42" i="18"/>
  <c r="Q403" i="15" s="1"/>
  <c r="Q414" i="15" s="1"/>
  <c r="O49" i="18"/>
  <c r="O78" i="18"/>
  <c r="Q1144" i="15" s="1"/>
  <c r="Q1148" i="15" s="1"/>
  <c r="O58" i="18"/>
  <c r="Q1011" i="15" s="1"/>
  <c r="Q1019" i="15" s="1"/>
  <c r="O51" i="18"/>
  <c r="O50" i="18"/>
  <c r="Q555" i="15" s="1"/>
  <c r="Q573" i="15" s="1"/>
  <c r="P52" i="19"/>
  <c r="V34" i="19"/>
  <c r="P72" i="19"/>
  <c r="P67" i="19"/>
  <c r="V38" i="19"/>
  <c r="O48" i="18"/>
  <c r="Q1068" i="15" s="1"/>
  <c r="Q1077" i="15" s="1"/>
  <c r="O73" i="18"/>
  <c r="P61" i="19"/>
  <c r="V30" i="19"/>
  <c r="R35" i="19"/>
  <c r="P82" i="19"/>
  <c r="P79" i="19"/>
  <c r="P56" i="19"/>
  <c r="P44" i="19"/>
  <c r="P60" i="19"/>
  <c r="O55" i="18"/>
  <c r="O77" i="18"/>
  <c r="V36" i="19"/>
  <c r="P48" i="19"/>
  <c r="P73" i="19"/>
  <c r="P42" i="19"/>
  <c r="P78" i="19"/>
  <c r="P58" i="19"/>
  <c r="P55" i="19"/>
  <c r="P77" i="19"/>
  <c r="O65" i="18"/>
  <c r="P43" i="19"/>
  <c r="P63" i="19"/>
  <c r="P41" i="19"/>
  <c r="P45" i="19"/>
  <c r="P76" i="19"/>
  <c r="P46" i="19"/>
  <c r="K7" i="3"/>
  <c r="P41" i="18" s="1"/>
  <c r="O38" i="18"/>
  <c r="O27" i="18"/>
  <c r="O30" i="18"/>
  <c r="O34" i="18"/>
  <c r="O26" i="18"/>
  <c r="O28" i="18"/>
  <c r="O25" i="18"/>
  <c r="O36" i="18"/>
  <c r="O24" i="18"/>
  <c r="O32" i="18"/>
  <c r="O31" i="18"/>
  <c r="O35" i="18"/>
  <c r="O39" i="18"/>
  <c r="O29" i="18"/>
  <c r="O33" i="18"/>
  <c r="O37" i="18"/>
  <c r="P51" i="19"/>
  <c r="R31" i="19"/>
  <c r="O69" i="18"/>
  <c r="P57" i="19"/>
  <c r="P65" i="19"/>
  <c r="P81" i="19"/>
  <c r="P47" i="19"/>
  <c r="P69" i="19"/>
  <c r="O66" i="18"/>
  <c r="Q1391" i="15" s="1"/>
  <c r="Q1399" i="15" s="1"/>
  <c r="O54" i="18"/>
  <c r="R39" i="19"/>
  <c r="P49" i="19"/>
  <c r="P75" i="19"/>
  <c r="P83" i="19"/>
  <c r="R29" i="19"/>
  <c r="P64" i="19"/>
  <c r="V32" i="19"/>
  <c r="P50" i="19"/>
  <c r="P71" i="19"/>
  <c r="O68" i="18"/>
  <c r="V28" i="19"/>
  <c r="P66" i="19"/>
  <c r="P54" i="19"/>
  <c r="O59" i="18"/>
  <c r="P80" i="19"/>
  <c r="P40" i="19"/>
  <c r="R33" i="19"/>
  <c r="P70" i="19"/>
  <c r="P74" i="19"/>
  <c r="P62" i="19"/>
  <c r="R37" i="19"/>
  <c r="P53" i="19"/>
  <c r="P68" i="19"/>
  <c r="O63" i="18"/>
  <c r="O62" i="18"/>
  <c r="P59" i="19"/>
  <c r="K2" i="19"/>
  <c r="W10" i="18"/>
  <c r="Y175" i="15" s="1"/>
  <c r="Y181" i="15" s="1"/>
  <c r="P1239" i="15"/>
  <c r="P1242" i="15" s="1"/>
  <c r="N14" i="18"/>
  <c r="P346" i="15" s="1"/>
  <c r="P348" i="15" s="1"/>
  <c r="S13" i="18"/>
  <c r="U327" i="15" s="1"/>
  <c r="U344" i="15" s="1"/>
  <c r="O1410" i="15"/>
  <c r="O1425" i="15" s="1"/>
  <c r="V12" i="18"/>
  <c r="X251" i="15" s="1"/>
  <c r="X252" i="15" s="1"/>
  <c r="N12" i="18"/>
  <c r="P251" i="15" s="1"/>
  <c r="P267" i="15" s="1"/>
  <c r="O16" i="18"/>
  <c r="Q213" i="15" s="1"/>
  <c r="Q220" i="15" s="1"/>
  <c r="M12" i="18"/>
  <c r="O251" i="15" s="1"/>
  <c r="O255" i="15" s="1"/>
  <c r="O954" i="15"/>
  <c r="O969" i="15" s="1"/>
  <c r="O1277" i="15"/>
  <c r="O1282" i="15" s="1"/>
  <c r="O650" i="15"/>
  <c r="O655" i="15" s="1"/>
  <c r="O935" i="15"/>
  <c r="O952" i="15" s="1"/>
  <c r="O916" i="15"/>
  <c r="O918" i="15" s="1"/>
  <c r="O1068" i="15"/>
  <c r="O1085" i="15" s="1"/>
  <c r="O726" i="15"/>
  <c r="O732" i="15" s="1"/>
  <c r="O1391" i="15"/>
  <c r="O1396" i="15" s="1"/>
  <c r="O1372" i="15"/>
  <c r="O1375" i="15" s="1"/>
  <c r="P1201" i="15"/>
  <c r="P1205" i="15" s="1"/>
  <c r="N1106" i="15"/>
  <c r="P1391" i="15"/>
  <c r="P1407" i="15" s="1"/>
  <c r="N555" i="15"/>
  <c r="O1201" i="15"/>
  <c r="O1217" i="15" s="1"/>
  <c r="N1201" i="15"/>
  <c r="N954" i="15"/>
  <c r="P897" i="15"/>
  <c r="P902" i="15" s="1"/>
  <c r="N1391" i="15"/>
  <c r="N650" i="15"/>
  <c r="O821" i="15"/>
  <c r="O822" i="15" s="1"/>
  <c r="O897" i="15"/>
  <c r="O905" i="15" s="1"/>
  <c r="O631" i="15"/>
  <c r="O639" i="15" s="1"/>
  <c r="P935" i="15"/>
  <c r="P944" i="15" s="1"/>
  <c r="O1486" i="15"/>
  <c r="O1488" i="15" s="1"/>
  <c r="O1334" i="15"/>
  <c r="O1336" i="15" s="1"/>
  <c r="N631" i="15"/>
  <c r="P1068" i="15"/>
  <c r="P1078" i="15" s="1"/>
  <c r="N479" i="15"/>
  <c r="O1239" i="15"/>
  <c r="O1246" i="15" s="1"/>
  <c r="N1410" i="15"/>
  <c r="N1277" i="15"/>
  <c r="P555" i="15"/>
  <c r="P563" i="15" s="1"/>
  <c r="O422" i="15"/>
  <c r="O433" i="15" s="1"/>
  <c r="Q1201" i="15"/>
  <c r="Q1204" i="15" s="1"/>
  <c r="O1106" i="15"/>
  <c r="O1120" i="15" s="1"/>
  <c r="O707" i="15"/>
  <c r="O723" i="15" s="1"/>
  <c r="O555" i="15"/>
  <c r="O557" i="15" s="1"/>
  <c r="N422" i="15"/>
  <c r="M23" i="18"/>
  <c r="O536" i="15" s="1"/>
  <c r="O544" i="15" s="1"/>
  <c r="S9" i="18"/>
  <c r="U156" i="15" s="1"/>
  <c r="U167" i="15" s="1"/>
  <c r="U10" i="18"/>
  <c r="W175" i="15" s="1"/>
  <c r="W189" i="15" s="1"/>
  <c r="R13" i="18"/>
  <c r="T327" i="15" s="1"/>
  <c r="T328" i="15" s="1"/>
  <c r="R9" i="18"/>
  <c r="T156" i="15" s="1"/>
  <c r="T161" i="15" s="1"/>
  <c r="Q13" i="18"/>
  <c r="S327" i="15" s="1"/>
  <c r="S339" i="15" s="1"/>
  <c r="Q9" i="18"/>
  <c r="S156" i="15" s="1"/>
  <c r="S163" i="15" s="1"/>
  <c r="L21" i="18"/>
  <c r="N99" i="15" s="1"/>
  <c r="N109" i="15" s="1"/>
  <c r="M20" i="18"/>
  <c r="O194" i="15" s="1"/>
  <c r="O197" i="15" s="1"/>
  <c r="L20" i="18"/>
  <c r="N194" i="15" s="1"/>
  <c r="N1125" i="15"/>
  <c r="P992" i="15"/>
  <c r="P995" i="15" s="1"/>
  <c r="P365" i="15"/>
  <c r="O992" i="15"/>
  <c r="N1163" i="15"/>
  <c r="N688" i="15"/>
  <c r="N1258" i="15"/>
  <c r="P517" i="15"/>
  <c r="P534" i="15" s="1"/>
  <c r="O517" i="15"/>
  <c r="O365" i="15"/>
  <c r="O375" i="15" s="1"/>
  <c r="N935" i="15"/>
  <c r="N1372" i="15"/>
  <c r="O1011" i="15"/>
  <c r="N365" i="15"/>
  <c r="N1220" i="15"/>
  <c r="P1429" i="15"/>
  <c r="P1431" i="15" s="1"/>
  <c r="N802" i="15"/>
  <c r="N916" i="15"/>
  <c r="N517" i="15"/>
  <c r="P1011" i="15"/>
  <c r="P1029" i="15" s="1"/>
  <c r="N1315" i="15"/>
  <c r="N764" i="15"/>
  <c r="N840" i="15"/>
  <c r="P1372" i="15"/>
  <c r="P1383" i="15" s="1"/>
  <c r="P1087" i="15"/>
  <c r="N1239" i="15"/>
  <c r="N1011" i="15"/>
  <c r="O593" i="15"/>
  <c r="O603" i="15" s="1"/>
  <c r="N403" i="15"/>
  <c r="N992" i="15"/>
  <c r="N1296" i="15"/>
  <c r="N612" i="15"/>
  <c r="P821" i="15"/>
  <c r="N745" i="15"/>
  <c r="N1353" i="15"/>
  <c r="N783" i="15"/>
  <c r="O1030" i="15"/>
  <c r="O1044" i="15" s="1"/>
  <c r="O1087" i="15"/>
  <c r="N593" i="15"/>
  <c r="P403" i="15"/>
  <c r="P916" i="15"/>
  <c r="P921" i="15" s="1"/>
  <c r="N973" i="15"/>
  <c r="N1049" i="15"/>
  <c r="N1505" i="15"/>
  <c r="P1030" i="15"/>
  <c r="P422" i="15"/>
  <c r="N574" i="15"/>
  <c r="N1182" i="15"/>
  <c r="P1277" i="15"/>
  <c r="P593" i="15"/>
  <c r="N1030" i="15"/>
  <c r="N1087" i="15"/>
  <c r="O403" i="15"/>
  <c r="O413" i="15" s="1"/>
  <c r="P1410" i="15"/>
  <c r="P631" i="15"/>
  <c r="P635" i="15" s="1"/>
  <c r="N878" i="15"/>
  <c r="N460" i="15"/>
  <c r="P707" i="15"/>
  <c r="P713" i="15" s="1"/>
  <c r="N498" i="15"/>
  <c r="P1144" i="15"/>
  <c r="P1155" i="15" s="1"/>
  <c r="N897" i="15"/>
  <c r="N1486" i="15"/>
  <c r="N1334" i="15"/>
  <c r="N707" i="15"/>
  <c r="N1068" i="15"/>
  <c r="N726" i="15"/>
  <c r="P441" i="15"/>
  <c r="P1486" i="15"/>
  <c r="P669" i="15"/>
  <c r="P479" i="15"/>
  <c r="P497" i="15" s="1"/>
  <c r="O1144" i="15"/>
  <c r="O1448" i="15"/>
  <c r="O669" i="15"/>
  <c r="O670" i="15" s="1"/>
  <c r="O441" i="15"/>
  <c r="O459" i="15" s="1"/>
  <c r="P954" i="15"/>
  <c r="P1334" i="15"/>
  <c r="N384" i="15"/>
  <c r="P1448" i="15"/>
  <c r="P726" i="15"/>
  <c r="P744" i="15" s="1"/>
  <c r="N1144" i="15"/>
  <c r="P1106" i="15"/>
  <c r="P1114" i="15" s="1"/>
  <c r="N1448" i="15"/>
  <c r="N669" i="15"/>
  <c r="P650" i="15"/>
  <c r="O479" i="15"/>
  <c r="O482" i="15" s="1"/>
  <c r="N441" i="15"/>
  <c r="L23" i="18"/>
  <c r="N536" i="15" s="1"/>
  <c r="U6" i="18"/>
  <c r="W61" i="15" s="1"/>
  <c r="W66" i="15" s="1"/>
  <c r="N22" i="18"/>
  <c r="P289" i="15" s="1"/>
  <c r="P301" i="15" s="1"/>
  <c r="T10" i="18"/>
  <c r="V175" i="15" s="1"/>
  <c r="V181" i="15" s="1"/>
  <c r="M22" i="18"/>
  <c r="O289" i="15" s="1"/>
  <c r="O307" i="15" s="1"/>
  <c r="S11" i="18"/>
  <c r="U232" i="15" s="1"/>
  <c r="V20" i="18"/>
  <c r="X194" i="15" s="1"/>
  <c r="S10" i="18"/>
  <c r="U175" i="15" s="1"/>
  <c r="O10" i="18"/>
  <c r="Q175" i="15" s="1"/>
  <c r="Q191" i="15" s="1"/>
  <c r="T21" i="18"/>
  <c r="V99" i="15" s="1"/>
  <c r="V113" i="15" s="1"/>
  <c r="U20" i="18"/>
  <c r="W194" i="15" s="1"/>
  <c r="W196" i="15" s="1"/>
  <c r="P9" i="18"/>
  <c r="R156" i="15" s="1"/>
  <c r="R161" i="15" s="1"/>
  <c r="S21" i="18"/>
  <c r="U99" i="15" s="1"/>
  <c r="T20" i="18"/>
  <c r="V194" i="15" s="1"/>
  <c r="Q11" i="18"/>
  <c r="S232" i="15" s="1"/>
  <c r="N10" i="18"/>
  <c r="P175" i="15" s="1"/>
  <c r="M6" i="18"/>
  <c r="O61" i="15" s="1"/>
  <c r="O67" i="15" s="1"/>
  <c r="V22" i="18"/>
  <c r="X289" i="15" s="1"/>
  <c r="X293" i="15" s="1"/>
  <c r="R21" i="18"/>
  <c r="T99" i="15" s="1"/>
  <c r="T102" i="15" s="1"/>
  <c r="P20" i="18"/>
  <c r="R194" i="15" s="1"/>
  <c r="R205" i="15" s="1"/>
  <c r="P11" i="18"/>
  <c r="R232" i="15" s="1"/>
  <c r="M10" i="18"/>
  <c r="O175" i="15" s="1"/>
  <c r="O185" i="15" s="1"/>
  <c r="S7" i="18"/>
  <c r="U118" i="15" s="1"/>
  <c r="L6" i="18"/>
  <c r="N61" i="15" s="1"/>
  <c r="U22" i="18"/>
  <c r="W289" i="15" s="1"/>
  <c r="W297" i="15" s="1"/>
  <c r="Q21" i="18"/>
  <c r="S99" i="15" s="1"/>
  <c r="O20" i="18"/>
  <c r="Q194" i="15" s="1"/>
  <c r="Q203" i="15" s="1"/>
  <c r="V14" i="18"/>
  <c r="X346" i="15" s="1"/>
  <c r="X351" i="15" s="1"/>
  <c r="U12" i="18"/>
  <c r="W251" i="15" s="1"/>
  <c r="S5" i="18"/>
  <c r="U42" i="15" s="1"/>
  <c r="O22" i="18"/>
  <c r="Q289" i="15" s="1"/>
  <c r="T6" i="18"/>
  <c r="V61" i="15" s="1"/>
  <c r="O6" i="18"/>
  <c r="Q61" i="15" s="1"/>
  <c r="Q75" i="15" s="1"/>
  <c r="R11" i="18"/>
  <c r="T232" i="15" s="1"/>
  <c r="N6" i="18"/>
  <c r="P61" i="15" s="1"/>
  <c r="P69" i="15" s="1"/>
  <c r="O9" i="18"/>
  <c r="Q156" i="15" s="1"/>
  <c r="Q167" i="15" s="1"/>
  <c r="P22" i="18"/>
  <c r="R289" i="15" s="1"/>
  <c r="R293" i="15" s="1"/>
  <c r="P21" i="18"/>
  <c r="R99" i="15" s="1"/>
  <c r="R101" i="15" s="1"/>
  <c r="N20" i="18"/>
  <c r="P194" i="15" s="1"/>
  <c r="O14" i="18"/>
  <c r="Q346" i="15" s="1"/>
  <c r="O12" i="18"/>
  <c r="Q251" i="15" s="1"/>
  <c r="Q264" i="15" s="1"/>
  <c r="V10" i="18"/>
  <c r="X175" i="15" s="1"/>
  <c r="X191" i="15" s="1"/>
  <c r="V6" i="18"/>
  <c r="X61" i="15" s="1"/>
  <c r="X79" i="15" s="1"/>
  <c r="R5" i="18"/>
  <c r="T42" i="15" s="1"/>
  <c r="T59" i="15" s="1"/>
  <c r="R7" i="18"/>
  <c r="T118" i="15" s="1"/>
  <c r="T123" i="15" s="1"/>
  <c r="V18" i="18"/>
  <c r="X80" i="15" s="1"/>
  <c r="X97" i="15" s="1"/>
  <c r="V16" i="18"/>
  <c r="X213" i="15" s="1"/>
  <c r="X231" i="15" s="1"/>
  <c r="N16" i="18"/>
  <c r="P213" i="15" s="1"/>
  <c r="N18" i="18"/>
  <c r="P80" i="15" s="1"/>
  <c r="P87" i="15" s="1"/>
  <c r="P17" i="18"/>
  <c r="R308" i="15" s="1"/>
  <c r="R312" i="15" s="1"/>
  <c r="O8" i="18"/>
  <c r="Q137" i="15" s="1"/>
  <c r="Q146" i="15" s="1"/>
  <c r="N8" i="18"/>
  <c r="P137" i="15" s="1"/>
  <c r="P146" i="15" s="1"/>
  <c r="M18" i="18"/>
  <c r="O80" i="15" s="1"/>
  <c r="M16" i="18"/>
  <c r="O213" i="15" s="1"/>
  <c r="U14" i="18"/>
  <c r="W346" i="15" s="1"/>
  <c r="W355" i="15" s="1"/>
  <c r="M14" i="18"/>
  <c r="O346" i="15" s="1"/>
  <c r="O350" i="15" s="1"/>
  <c r="Q7" i="18"/>
  <c r="S118" i="15" s="1"/>
  <c r="S119" i="15" s="1"/>
  <c r="L18" i="18"/>
  <c r="N80" i="15" s="1"/>
  <c r="L16" i="18"/>
  <c r="N213" i="15" s="1"/>
  <c r="P13" i="18"/>
  <c r="R327" i="15" s="1"/>
  <c r="T12" i="18"/>
  <c r="V251" i="15" s="1"/>
  <c r="L12" i="18"/>
  <c r="N251" i="15" s="1"/>
  <c r="T8" i="18"/>
  <c r="V137" i="15" s="1"/>
  <c r="V148" i="15" s="1"/>
  <c r="L8" i="18"/>
  <c r="N137" i="15" s="1"/>
  <c r="P7" i="18"/>
  <c r="R118" i="15" s="1"/>
  <c r="R128" i="15" s="1"/>
  <c r="P5" i="18"/>
  <c r="R42" i="15" s="1"/>
  <c r="R45" i="15" s="1"/>
  <c r="S8" i="18"/>
  <c r="U137" i="15" s="1"/>
  <c r="U146" i="15" s="1"/>
  <c r="O7" i="18"/>
  <c r="Q118" i="15" s="1"/>
  <c r="S6" i="18"/>
  <c r="U61" i="15" s="1"/>
  <c r="O5" i="18"/>
  <c r="Q42" i="15" s="1"/>
  <c r="Q54" i="15" s="1"/>
  <c r="S22" i="18"/>
  <c r="U289" i="15" s="1"/>
  <c r="U303" i="15" s="1"/>
  <c r="O21" i="18"/>
  <c r="Q99" i="15" s="1"/>
  <c r="Q102" i="15" s="1"/>
  <c r="S20" i="18"/>
  <c r="U194" i="15" s="1"/>
  <c r="U195" i="15" s="1"/>
  <c r="S19" i="18"/>
  <c r="U270" i="15" s="1"/>
  <c r="U275" i="15" s="1"/>
  <c r="R18" i="18"/>
  <c r="T80" i="15" s="1"/>
  <c r="T97" i="15" s="1"/>
  <c r="V17" i="18"/>
  <c r="X308" i="15" s="1"/>
  <c r="X314" i="15" s="1"/>
  <c r="N17" i="18"/>
  <c r="P308" i="15" s="1"/>
  <c r="P311" i="15" s="1"/>
  <c r="R16" i="18"/>
  <c r="T213" i="15" s="1"/>
  <c r="R14" i="18"/>
  <c r="T346" i="15" s="1"/>
  <c r="T362" i="15" s="1"/>
  <c r="V13" i="18"/>
  <c r="X327" i="15" s="1"/>
  <c r="X337" i="15" s="1"/>
  <c r="N13" i="18"/>
  <c r="P327" i="15" s="1"/>
  <c r="P337" i="15" s="1"/>
  <c r="R12" i="18"/>
  <c r="T251" i="15" s="1"/>
  <c r="T260" i="15" s="1"/>
  <c r="V11" i="18"/>
  <c r="X232" i="15" s="1"/>
  <c r="X243" i="15" s="1"/>
  <c r="N11" i="18"/>
  <c r="P232" i="15" s="1"/>
  <c r="P249" i="15" s="1"/>
  <c r="R10" i="18"/>
  <c r="T175" i="15" s="1"/>
  <c r="T191" i="15" s="1"/>
  <c r="V9" i="18"/>
  <c r="X156" i="15" s="1"/>
  <c r="X173" i="15" s="1"/>
  <c r="N9" i="18"/>
  <c r="P156" i="15" s="1"/>
  <c r="P165" i="15" s="1"/>
  <c r="R8" i="18"/>
  <c r="T137" i="15" s="1"/>
  <c r="T145" i="15" s="1"/>
  <c r="V7" i="18"/>
  <c r="X118" i="15" s="1"/>
  <c r="X135" i="15" s="1"/>
  <c r="N7" i="18"/>
  <c r="P118" i="15" s="1"/>
  <c r="P119" i="15" s="1"/>
  <c r="R6" i="18"/>
  <c r="T61" i="15" s="1"/>
  <c r="T69" i="15" s="1"/>
  <c r="V5" i="18"/>
  <c r="X42" i="15" s="1"/>
  <c r="N5" i="18"/>
  <c r="P42" i="15" s="1"/>
  <c r="P47" i="15" s="1"/>
  <c r="R17" i="18"/>
  <c r="T308" i="15" s="1"/>
  <c r="U18" i="18"/>
  <c r="W80" i="15" s="1"/>
  <c r="W87" i="15" s="1"/>
  <c r="Q17" i="18"/>
  <c r="S308" i="15" s="1"/>
  <c r="S319" i="15" s="1"/>
  <c r="L14" i="18"/>
  <c r="N346" i="15" s="1"/>
  <c r="R22" i="18"/>
  <c r="T289" i="15" s="1"/>
  <c r="V21" i="18"/>
  <c r="X99" i="15" s="1"/>
  <c r="N21" i="18"/>
  <c r="P99" i="15" s="1"/>
  <c r="P109" i="15" s="1"/>
  <c r="R20" i="18"/>
  <c r="T194" i="15" s="1"/>
  <c r="T203" i="15" s="1"/>
  <c r="R19" i="18"/>
  <c r="T270" i="15" s="1"/>
  <c r="T275" i="15" s="1"/>
  <c r="Q18" i="18"/>
  <c r="S80" i="15" s="1"/>
  <c r="S95" i="15" s="1"/>
  <c r="U17" i="18"/>
  <c r="W308" i="15" s="1"/>
  <c r="W311" i="15" s="1"/>
  <c r="M17" i="18"/>
  <c r="O308" i="15" s="1"/>
  <c r="O323" i="15" s="1"/>
  <c r="Q16" i="18"/>
  <c r="S213" i="15" s="1"/>
  <c r="Q14" i="18"/>
  <c r="S346" i="15" s="1"/>
  <c r="S347" i="15" s="1"/>
  <c r="U13" i="18"/>
  <c r="W327" i="15" s="1"/>
  <c r="W344" i="15" s="1"/>
  <c r="M13" i="18"/>
  <c r="O327" i="15" s="1"/>
  <c r="O334" i="15" s="1"/>
  <c r="Q12" i="18"/>
  <c r="S251" i="15" s="1"/>
  <c r="U11" i="18"/>
  <c r="W232" i="15" s="1"/>
  <c r="W236" i="15" s="1"/>
  <c r="M11" i="18"/>
  <c r="O232" i="15" s="1"/>
  <c r="Q10" i="18"/>
  <c r="S175" i="15" s="1"/>
  <c r="U9" i="18"/>
  <c r="W156" i="15" s="1"/>
  <c r="W171" i="15" s="1"/>
  <c r="M9" i="18"/>
  <c r="O156" i="15" s="1"/>
  <c r="Q8" i="18"/>
  <c r="S137" i="15" s="1"/>
  <c r="S152" i="15" s="1"/>
  <c r="U7" i="18"/>
  <c r="W118" i="15" s="1"/>
  <c r="W133" i="15" s="1"/>
  <c r="M7" i="18"/>
  <c r="O118" i="15" s="1"/>
  <c r="O128" i="15" s="1"/>
  <c r="Q6" i="18"/>
  <c r="S61" i="15" s="1"/>
  <c r="U5" i="18"/>
  <c r="W42" i="15" s="1"/>
  <c r="W59" i="15" s="1"/>
  <c r="M5" i="18"/>
  <c r="O42" i="15" s="1"/>
  <c r="O18" i="18"/>
  <c r="Q80" i="15" s="1"/>
  <c r="Q98" i="15" s="1"/>
  <c r="S17" i="18"/>
  <c r="U308" i="15" s="1"/>
  <c r="V8" i="18"/>
  <c r="X137" i="15" s="1"/>
  <c r="X149" i="15" s="1"/>
  <c r="U16" i="18"/>
  <c r="W213" i="15" s="1"/>
  <c r="W221" i="15" s="1"/>
  <c r="U8" i="18"/>
  <c r="W137" i="15" s="1"/>
  <c r="W146" i="15" s="1"/>
  <c r="M8" i="18"/>
  <c r="O137" i="15" s="1"/>
  <c r="Q5" i="18"/>
  <c r="S42" i="15" s="1"/>
  <c r="S56" i="15" s="1"/>
  <c r="T18" i="18"/>
  <c r="V80" i="15" s="1"/>
  <c r="T16" i="18"/>
  <c r="V213" i="15" s="1"/>
  <c r="V231" i="15" s="1"/>
  <c r="T14" i="18"/>
  <c r="V346" i="15" s="1"/>
  <c r="V356" i="15" s="1"/>
  <c r="T22" i="18"/>
  <c r="V289" i="15" s="1"/>
  <c r="V304" i="15" s="1"/>
  <c r="L22" i="18"/>
  <c r="N289" i="15" s="1"/>
  <c r="S18" i="18"/>
  <c r="U80" i="15" s="1"/>
  <c r="U85" i="15" s="1"/>
  <c r="O17" i="18"/>
  <c r="Q308" i="15" s="1"/>
  <c r="S16" i="18"/>
  <c r="U213" i="15" s="1"/>
  <c r="U219" i="15" s="1"/>
  <c r="S14" i="18"/>
  <c r="U346" i="15" s="1"/>
  <c r="U351" i="15" s="1"/>
  <c r="O13" i="18"/>
  <c r="Q327" i="15" s="1"/>
  <c r="Q329" i="15" s="1"/>
  <c r="S12" i="18"/>
  <c r="U251" i="15" s="1"/>
  <c r="U266" i="15" s="1"/>
  <c r="O11" i="18"/>
  <c r="Q232" i="15" s="1"/>
  <c r="Q245" i="15" s="1"/>
  <c r="Q22" i="18"/>
  <c r="S289" i="15" s="1"/>
  <c r="S293" i="15" s="1"/>
  <c r="U21" i="18"/>
  <c r="W99" i="15" s="1"/>
  <c r="W106" i="15" s="1"/>
  <c r="M21" i="18"/>
  <c r="O99" i="15" s="1"/>
  <c r="Q20" i="18"/>
  <c r="S194" i="15" s="1"/>
  <c r="Q19" i="18"/>
  <c r="S270" i="15" s="1"/>
  <c r="S279" i="15" s="1"/>
  <c r="P18" i="18"/>
  <c r="R80" i="15" s="1"/>
  <c r="R87" i="15" s="1"/>
  <c r="T17" i="18"/>
  <c r="V308" i="15" s="1"/>
  <c r="V315" i="15" s="1"/>
  <c r="L17" i="18"/>
  <c r="N308" i="15" s="1"/>
  <c r="P16" i="18"/>
  <c r="R213" i="15" s="1"/>
  <c r="P14" i="18"/>
  <c r="R346" i="15" s="1"/>
  <c r="T13" i="18"/>
  <c r="V327" i="15" s="1"/>
  <c r="L13" i="18"/>
  <c r="N327" i="15" s="1"/>
  <c r="P12" i="18"/>
  <c r="R251" i="15" s="1"/>
  <c r="T11" i="18"/>
  <c r="V232" i="15" s="1"/>
  <c r="V241" i="15" s="1"/>
  <c r="L11" i="18"/>
  <c r="N232" i="15" s="1"/>
  <c r="P10" i="18"/>
  <c r="R175" i="15" s="1"/>
  <c r="R187" i="15" s="1"/>
  <c r="T9" i="18"/>
  <c r="V156" i="15" s="1"/>
  <c r="L9" i="18"/>
  <c r="N156" i="15" s="1"/>
  <c r="P8" i="18"/>
  <c r="R137" i="15" s="1"/>
  <c r="T7" i="18"/>
  <c r="V118" i="15" s="1"/>
  <c r="V124" i="15" s="1"/>
  <c r="L7" i="18"/>
  <c r="N118" i="15" s="1"/>
  <c r="P6" i="18"/>
  <c r="R61" i="15" s="1"/>
  <c r="R71" i="15" s="1"/>
  <c r="T5" i="18"/>
  <c r="V42" i="15" s="1"/>
  <c r="V51" i="15" s="1"/>
  <c r="L5" i="18"/>
  <c r="N42" i="15" s="1"/>
  <c r="M4" i="18"/>
  <c r="U4" i="18"/>
  <c r="W4" i="18"/>
  <c r="T4" i="18"/>
  <c r="O4" i="18"/>
  <c r="L4" i="18"/>
  <c r="S4" i="18"/>
  <c r="P4" i="18"/>
  <c r="N4" i="18"/>
  <c r="R4" i="18"/>
  <c r="Q4" i="18"/>
  <c r="P19" i="18"/>
  <c r="R270" i="15" s="1"/>
  <c r="R286" i="15" s="1"/>
  <c r="O19" i="18"/>
  <c r="Q270" i="15" s="1"/>
  <c r="Q279" i="15" s="1"/>
  <c r="V19" i="18"/>
  <c r="X270" i="15" s="1"/>
  <c r="X278" i="15" s="1"/>
  <c r="N19" i="18"/>
  <c r="P270" i="15" s="1"/>
  <c r="P282" i="15" s="1"/>
  <c r="U19" i="18"/>
  <c r="W270" i="15" s="1"/>
  <c r="W285" i="15" s="1"/>
  <c r="M19" i="18"/>
  <c r="O270" i="15" s="1"/>
  <c r="T19" i="18"/>
  <c r="V270" i="15" s="1"/>
  <c r="V285" i="15" s="1"/>
  <c r="L19" i="18"/>
  <c r="N270" i="15" s="1"/>
  <c r="N875" i="15"/>
  <c r="N835" i="15"/>
  <c r="N873" i="15"/>
  <c r="X23" i="15"/>
  <c r="X36" i="15" s="1"/>
  <c r="N870" i="15"/>
  <c r="N22" i="15"/>
  <c r="N21" i="15"/>
  <c r="N20" i="15"/>
  <c r="N19" i="15"/>
  <c r="N18" i="15"/>
  <c r="N17" i="15"/>
  <c r="N16" i="15"/>
  <c r="N15" i="15"/>
  <c r="N14" i="15"/>
  <c r="N13" i="15"/>
  <c r="N1446" i="15"/>
  <c r="N12" i="15"/>
  <c r="N11" i="15"/>
  <c r="N10" i="15"/>
  <c r="N9" i="15"/>
  <c r="N8" i="15"/>
  <c r="N7" i="15"/>
  <c r="N6" i="15"/>
  <c r="N871" i="15"/>
  <c r="N867" i="15"/>
  <c r="N191" i="15"/>
  <c r="N1440" i="15"/>
  <c r="N1435" i="15"/>
  <c r="N874" i="15"/>
  <c r="N866" i="15"/>
  <c r="N187" i="15"/>
  <c r="N192" i="15"/>
  <c r="N190" i="15"/>
  <c r="N183" i="15"/>
  <c r="N1443" i="15"/>
  <c r="N1434" i="15"/>
  <c r="N1430" i="15"/>
  <c r="N833" i="15"/>
  <c r="N826" i="15"/>
  <c r="N834" i="15"/>
  <c r="N825" i="15"/>
  <c r="N827" i="15"/>
  <c r="N829" i="15"/>
  <c r="N865" i="15"/>
  <c r="N860" i="15"/>
  <c r="N876" i="15"/>
  <c r="N868" i="15"/>
  <c r="N862" i="15"/>
  <c r="N1484" i="15"/>
  <c r="N1480" i="15"/>
  <c r="N1479" i="15"/>
  <c r="N1478" i="15"/>
  <c r="N1477" i="15"/>
  <c r="N1476" i="15"/>
  <c r="N1472" i="15"/>
  <c r="N1471" i="15"/>
  <c r="N1470" i="15"/>
  <c r="N1469" i="15"/>
  <c r="N1445" i="15"/>
  <c r="N1473" i="15"/>
  <c r="N1481" i="15"/>
  <c r="N1442" i="15"/>
  <c r="N1438" i="15"/>
  <c r="N1432" i="15"/>
  <c r="N1482" i="15"/>
  <c r="N1474" i="15"/>
  <c r="N1483" i="15"/>
  <c r="N1475" i="15"/>
  <c r="N1431" i="15"/>
  <c r="N1439" i="15"/>
  <c r="N1447" i="15"/>
  <c r="N1433" i="15"/>
  <c r="N1441" i="15"/>
  <c r="N1436" i="15"/>
  <c r="N1444" i="15"/>
  <c r="N1485" i="15"/>
  <c r="N836" i="15"/>
  <c r="N861" i="15"/>
  <c r="N869" i="15"/>
  <c r="N877" i="15"/>
  <c r="N864" i="15"/>
  <c r="N872" i="15"/>
  <c r="N837" i="15"/>
  <c r="N824" i="15"/>
  <c r="N832" i="15"/>
  <c r="N822" i="15"/>
  <c r="N823" i="15"/>
  <c r="N830" i="15"/>
  <c r="N831" i="15"/>
  <c r="N838" i="15"/>
  <c r="N839" i="15"/>
  <c r="N181" i="15"/>
  <c r="N189" i="15"/>
  <c r="N177" i="15"/>
  <c r="N185" i="15"/>
  <c r="N193" i="15"/>
  <c r="N182" i="15"/>
  <c r="N184" i="15"/>
  <c r="N179" i="15"/>
  <c r="N180" i="15"/>
  <c r="N188" i="15"/>
  <c r="N178" i="15"/>
  <c r="N186" i="15"/>
  <c r="Y155" i="15"/>
  <c r="Y147" i="15"/>
  <c r="Y139" i="15"/>
  <c r="Y152" i="15"/>
  <c r="Y144" i="15"/>
  <c r="Y154" i="15"/>
  <c r="Y146" i="15"/>
  <c r="Y138" i="15"/>
  <c r="Y148" i="15"/>
  <c r="Y140" i="15"/>
  <c r="Y149" i="15"/>
  <c r="Y143" i="15"/>
  <c r="Y153" i="15"/>
  <c r="Y142" i="15"/>
  <c r="Y141" i="15"/>
  <c r="Y151" i="15"/>
  <c r="Y145" i="15"/>
  <c r="Y150" i="15"/>
  <c r="Y307" i="15"/>
  <c r="Y299" i="15"/>
  <c r="Y291" i="15"/>
  <c r="Y304" i="15"/>
  <c r="Y296" i="15"/>
  <c r="Y306" i="15"/>
  <c r="Y298" i="15"/>
  <c r="Y290" i="15"/>
  <c r="Y300" i="15"/>
  <c r="Y292" i="15"/>
  <c r="Y301" i="15"/>
  <c r="Y295" i="15"/>
  <c r="Y305" i="15"/>
  <c r="Y294" i="15"/>
  <c r="Y293" i="15"/>
  <c r="Y303" i="15"/>
  <c r="Y297" i="15"/>
  <c r="Y302" i="15"/>
  <c r="Y206" i="15"/>
  <c r="Y198" i="15"/>
  <c r="Y211" i="15"/>
  <c r="Y203" i="15"/>
  <c r="Y195" i="15"/>
  <c r="Y205" i="15"/>
  <c r="Y197" i="15"/>
  <c r="Y207" i="15"/>
  <c r="Y199" i="15"/>
  <c r="Y200" i="15"/>
  <c r="Y210" i="15"/>
  <c r="Y204" i="15"/>
  <c r="Y209" i="15"/>
  <c r="Y208" i="15"/>
  <c r="Y202" i="15"/>
  <c r="Y212" i="15"/>
  <c r="Y196" i="15"/>
  <c r="Y201" i="15"/>
  <c r="Y357" i="15"/>
  <c r="Y362" i="15"/>
  <c r="Y363" i="15"/>
  <c r="Y359" i="15"/>
  <c r="Y350" i="15"/>
  <c r="Y347" i="15"/>
  <c r="Y358" i="15"/>
  <c r="Y349" i="15"/>
  <c r="Y364" i="15"/>
  <c r="Y351" i="15"/>
  <c r="Y352" i="15"/>
  <c r="Y356" i="15"/>
  <c r="Y355" i="15"/>
  <c r="Y361" i="15"/>
  <c r="Y354" i="15"/>
  <c r="Y348" i="15"/>
  <c r="Y360" i="15"/>
  <c r="Y353" i="15"/>
  <c r="Y96" i="15"/>
  <c r="Y88" i="15"/>
  <c r="Y93" i="15"/>
  <c r="Y85" i="15"/>
  <c r="Y95" i="15"/>
  <c r="Y87" i="15"/>
  <c r="Y97" i="15"/>
  <c r="Y89" i="15"/>
  <c r="Y81" i="15"/>
  <c r="Y98" i="15"/>
  <c r="Y82" i="15"/>
  <c r="Y92" i="15"/>
  <c r="Y86" i="15"/>
  <c r="Y91" i="15"/>
  <c r="Y90" i="15"/>
  <c r="Y84" i="15"/>
  <c r="Y94" i="15"/>
  <c r="Y83" i="15"/>
  <c r="Y113" i="15"/>
  <c r="Y105" i="15"/>
  <c r="Y110" i="15"/>
  <c r="Y102" i="15"/>
  <c r="Y112" i="15"/>
  <c r="Y104" i="15"/>
  <c r="Y114" i="15"/>
  <c r="Y106" i="15"/>
  <c r="Y115" i="15"/>
  <c r="Y109" i="15"/>
  <c r="Y103" i="15"/>
  <c r="Y108" i="15"/>
  <c r="Y107" i="15"/>
  <c r="Y117" i="15"/>
  <c r="Y101" i="15"/>
  <c r="Y111" i="15"/>
  <c r="Y116" i="15"/>
  <c r="Y100" i="15"/>
  <c r="Y265" i="15"/>
  <c r="Y257" i="15"/>
  <c r="Y262" i="15"/>
  <c r="Y254" i="15"/>
  <c r="Y264" i="15"/>
  <c r="Y256" i="15"/>
  <c r="Y266" i="15"/>
  <c r="Y258" i="15"/>
  <c r="Y267" i="15"/>
  <c r="Y261" i="15"/>
  <c r="Y255" i="15"/>
  <c r="Y260" i="15"/>
  <c r="Y259" i="15"/>
  <c r="Y269" i="15"/>
  <c r="Y253" i="15"/>
  <c r="Y263" i="15"/>
  <c r="Y268" i="15"/>
  <c r="Y252" i="15"/>
  <c r="Y44" i="15"/>
  <c r="Y172" i="15"/>
  <c r="Y164" i="15"/>
  <c r="Y169" i="15"/>
  <c r="Y161" i="15"/>
  <c r="Y171" i="15"/>
  <c r="Y163" i="15"/>
  <c r="Y173" i="15"/>
  <c r="Y165" i="15"/>
  <c r="Y157" i="15"/>
  <c r="Y166" i="15"/>
  <c r="Y160" i="15"/>
  <c r="Y170" i="15"/>
  <c r="Y159" i="15"/>
  <c r="Y174" i="15"/>
  <c r="Y158" i="15"/>
  <c r="Y168" i="15"/>
  <c r="Y162" i="15"/>
  <c r="Y167" i="15"/>
  <c r="Y324" i="15"/>
  <c r="Y316" i="15"/>
  <c r="Y321" i="15"/>
  <c r="Y313" i="15"/>
  <c r="Y323" i="15"/>
  <c r="Y315" i="15"/>
  <c r="Y325" i="15"/>
  <c r="Y317" i="15"/>
  <c r="Y309" i="15"/>
  <c r="Y318" i="15"/>
  <c r="Y312" i="15"/>
  <c r="Y322" i="15"/>
  <c r="Y311" i="15"/>
  <c r="Y326" i="15"/>
  <c r="Y310" i="15"/>
  <c r="Y320" i="15"/>
  <c r="Y314" i="15"/>
  <c r="Y319" i="15"/>
  <c r="Y79" i="15"/>
  <c r="Y71" i="15"/>
  <c r="Y63" i="15"/>
  <c r="Y76" i="15"/>
  <c r="Y68" i="15"/>
  <c r="Y78" i="15"/>
  <c r="Y70" i="15"/>
  <c r="Y72" i="15"/>
  <c r="Y64" i="15"/>
  <c r="Y65" i="15"/>
  <c r="Y75" i="15"/>
  <c r="Y69" i="15"/>
  <c r="Y74" i="15"/>
  <c r="Y73" i="15"/>
  <c r="Y67" i="15"/>
  <c r="Y62" i="15"/>
  <c r="Y77" i="15"/>
  <c r="Y66" i="15"/>
  <c r="Y231" i="15"/>
  <c r="Y223" i="15"/>
  <c r="Y215" i="15"/>
  <c r="Y228" i="15"/>
  <c r="Y220" i="15"/>
  <c r="Y230" i="15"/>
  <c r="Y222" i="15"/>
  <c r="Y214" i="15"/>
  <c r="Y224" i="15"/>
  <c r="Y216" i="15"/>
  <c r="Y217" i="15"/>
  <c r="Y227" i="15"/>
  <c r="Y221" i="15"/>
  <c r="Y226" i="15"/>
  <c r="Y225" i="15"/>
  <c r="Y219" i="15"/>
  <c r="Y229" i="15"/>
  <c r="Y218" i="15"/>
  <c r="Y130" i="15"/>
  <c r="Y122" i="15"/>
  <c r="Y135" i="15"/>
  <c r="Y127" i="15"/>
  <c r="Y119" i="15"/>
  <c r="Y129" i="15"/>
  <c r="Y121" i="15"/>
  <c r="Y131" i="15"/>
  <c r="Y123" i="15"/>
  <c r="Y132" i="15"/>
  <c r="Y126" i="15"/>
  <c r="Y136" i="15"/>
  <c r="Y120" i="15"/>
  <c r="Y125" i="15"/>
  <c r="Y124" i="15"/>
  <c r="Y134" i="15"/>
  <c r="Y128" i="15"/>
  <c r="Y133" i="15"/>
  <c r="Y282" i="15"/>
  <c r="Y274" i="15"/>
  <c r="Y287" i="15"/>
  <c r="Y279" i="15"/>
  <c r="Y271" i="15"/>
  <c r="Y281" i="15"/>
  <c r="Y273" i="15"/>
  <c r="Y283" i="15"/>
  <c r="Y275" i="15"/>
  <c r="Y284" i="15"/>
  <c r="Y278" i="15"/>
  <c r="Y288" i="15"/>
  <c r="Y272" i="15"/>
  <c r="Y277" i="15"/>
  <c r="Y276" i="15"/>
  <c r="Y286" i="15"/>
  <c r="Y280" i="15"/>
  <c r="Y285" i="15"/>
  <c r="Y60" i="15"/>
  <c r="Y57" i="15"/>
  <c r="Y49" i="15"/>
  <c r="Y54" i="15"/>
  <c r="Y46" i="15"/>
  <c r="Y59" i="15"/>
  <c r="Y51" i="15"/>
  <c r="Y43" i="15"/>
  <c r="Y56" i="15"/>
  <c r="Y53" i="15"/>
  <c r="Y45" i="15"/>
  <c r="Y58" i="15"/>
  <c r="Y50" i="15"/>
  <c r="Y55" i="15"/>
  <c r="Y47" i="15"/>
  <c r="Y341" i="15"/>
  <c r="Y333" i="15"/>
  <c r="Y338" i="15"/>
  <c r="Y330" i="15"/>
  <c r="Y340" i="15"/>
  <c r="Y332" i="15"/>
  <c r="Y342" i="15"/>
  <c r="Y334" i="15"/>
  <c r="Y335" i="15"/>
  <c r="Y345" i="15"/>
  <c r="Y329" i="15"/>
  <c r="Y339" i="15"/>
  <c r="Y344" i="15"/>
  <c r="Y328" i="15"/>
  <c r="Y343" i="15"/>
  <c r="Y337" i="15"/>
  <c r="Y331" i="15"/>
  <c r="Y336" i="15"/>
  <c r="Y248" i="15"/>
  <c r="Y240" i="15"/>
  <c r="Y245" i="15"/>
  <c r="Y237" i="15"/>
  <c r="Y247" i="15"/>
  <c r="Y239" i="15"/>
  <c r="Y249" i="15"/>
  <c r="Y241" i="15"/>
  <c r="Y233" i="15"/>
  <c r="Y250" i="15"/>
  <c r="Y234" i="15"/>
  <c r="Y244" i="15"/>
  <c r="Y238" i="15"/>
  <c r="Y243" i="15"/>
  <c r="Y242" i="15"/>
  <c r="Y236" i="15"/>
  <c r="Y246" i="15"/>
  <c r="Y235" i="15"/>
  <c r="Y52" i="15"/>
  <c r="N1095" i="15" l="1"/>
  <c r="N800" i="15"/>
  <c r="N480" i="15"/>
  <c r="N1174" i="15"/>
  <c r="N293" i="15"/>
  <c r="N505" i="15"/>
  <c r="N1035" i="15"/>
  <c r="N519" i="15"/>
  <c r="N947" i="15"/>
  <c r="N656" i="15"/>
  <c r="N1107" i="15"/>
  <c r="N418" i="15"/>
  <c r="N59" i="15"/>
  <c r="N323" i="15"/>
  <c r="N735" i="15"/>
  <c r="N1248" i="15"/>
  <c r="N636" i="15"/>
  <c r="N1393" i="15"/>
  <c r="N236" i="15"/>
  <c r="N1079" i="15"/>
  <c r="N464" i="15"/>
  <c r="N92" i="15"/>
  <c r="N1155" i="15"/>
  <c r="N709" i="15"/>
  <c r="N882" i="15"/>
  <c r="N620" i="15"/>
  <c r="N195" i="15"/>
  <c r="N956" i="15"/>
  <c r="N400" i="15"/>
  <c r="N561" i="15"/>
  <c r="N549" i="15"/>
  <c r="N577" i="15"/>
  <c r="N849" i="15"/>
  <c r="N1228" i="15"/>
  <c r="N1280" i="15"/>
  <c r="N1206" i="15"/>
  <c r="N272" i="15"/>
  <c r="N336" i="15"/>
  <c r="N447" i="15"/>
  <c r="N700" i="15"/>
  <c r="N423" i="15"/>
  <c r="N1411" i="15"/>
  <c r="X268" i="15"/>
  <c r="X257" i="15"/>
  <c r="P62" i="18"/>
  <c r="P59" i="18"/>
  <c r="P67" i="18"/>
  <c r="P64" i="18"/>
  <c r="P81" i="18"/>
  <c r="R1201" i="15" s="1"/>
  <c r="X263" i="15"/>
  <c r="X258" i="15"/>
  <c r="P40" i="18"/>
  <c r="P1251" i="15"/>
  <c r="O632" i="15"/>
  <c r="P1241" i="15"/>
  <c r="P1247" i="15"/>
  <c r="Y185" i="15"/>
  <c r="X266" i="15"/>
  <c r="P266" i="15"/>
  <c r="P1256" i="15"/>
  <c r="P1245" i="15"/>
  <c r="Q1211" i="15"/>
  <c r="Y182" i="15"/>
  <c r="X253" i="15"/>
  <c r="P253" i="15"/>
  <c r="P1255" i="15"/>
  <c r="P1248" i="15"/>
  <c r="N556" i="15"/>
  <c r="X261" i="15"/>
  <c r="P1250" i="15"/>
  <c r="P1240" i="15"/>
  <c r="P1257" i="15"/>
  <c r="P1254" i="15"/>
  <c r="P1246" i="15"/>
  <c r="X260" i="15"/>
  <c r="P1253" i="15"/>
  <c r="P1244" i="15"/>
  <c r="P80" i="18"/>
  <c r="P74" i="18"/>
  <c r="R935" i="15" s="1"/>
  <c r="R949" i="15" s="1"/>
  <c r="P71" i="18"/>
  <c r="P83" i="18"/>
  <c r="R1239" i="15" s="1"/>
  <c r="P57" i="18"/>
  <c r="P68" i="18"/>
  <c r="P69" i="18"/>
  <c r="P45" i="18"/>
  <c r="P70" i="18"/>
  <c r="P54" i="18"/>
  <c r="P50" i="18"/>
  <c r="R555" i="15" s="1"/>
  <c r="R571" i="15" s="1"/>
  <c r="P75" i="18"/>
  <c r="P78" i="18"/>
  <c r="R1144" i="15" s="1"/>
  <c r="R1157" i="15" s="1"/>
  <c r="P53" i="18"/>
  <c r="P47" i="18"/>
  <c r="P66" i="18"/>
  <c r="R1391" i="15" s="1"/>
  <c r="R1396" i="15" s="1"/>
  <c r="P49" i="18"/>
  <c r="P51" i="18"/>
  <c r="P56" i="18"/>
  <c r="S31" i="19"/>
  <c r="Y179" i="15"/>
  <c r="Y183" i="15"/>
  <c r="Y189" i="15"/>
  <c r="P252" i="15"/>
  <c r="P261" i="15"/>
  <c r="Q68" i="19"/>
  <c r="Q74" i="19"/>
  <c r="Q80" i="19"/>
  <c r="Q64" i="19"/>
  <c r="Q49" i="19"/>
  <c r="Q47" i="19"/>
  <c r="Q76" i="19"/>
  <c r="Q43" i="19"/>
  <c r="Y191" i="15"/>
  <c r="Y190" i="15"/>
  <c r="P258" i="15"/>
  <c r="P263" i="15"/>
  <c r="Q53" i="19"/>
  <c r="Q70" i="19"/>
  <c r="Q71" i="19"/>
  <c r="S29" i="19"/>
  <c r="S39" i="19"/>
  <c r="Q81" i="19"/>
  <c r="Q45" i="19"/>
  <c r="P77" i="18"/>
  <c r="P42" i="18"/>
  <c r="R403" i="15" s="1"/>
  <c r="R414" i="15" s="1"/>
  <c r="P79" i="18"/>
  <c r="P61" i="18"/>
  <c r="P72" i="18"/>
  <c r="R897" i="15" s="1"/>
  <c r="R908" i="15" s="1"/>
  <c r="Y176" i="15"/>
  <c r="Y180" i="15"/>
  <c r="P265" i="15"/>
  <c r="Q54" i="19"/>
  <c r="P65" i="18"/>
  <c r="Q51" i="19"/>
  <c r="Q77" i="19"/>
  <c r="Q42" i="19"/>
  <c r="Q79" i="19"/>
  <c r="Q61" i="19"/>
  <c r="Q72" i="19"/>
  <c r="Q67" i="19"/>
  <c r="Y192" i="15"/>
  <c r="Y188" i="15"/>
  <c r="P264" i="15"/>
  <c r="Q59" i="19"/>
  <c r="S37" i="19"/>
  <c r="S33" i="19"/>
  <c r="Q50" i="19"/>
  <c r="Q83" i="19"/>
  <c r="Q65" i="19"/>
  <c r="L7" i="3"/>
  <c r="Q54" i="18" s="1"/>
  <c r="P25" i="18"/>
  <c r="P30" i="18"/>
  <c r="P27" i="18"/>
  <c r="P26" i="18"/>
  <c r="P38" i="18"/>
  <c r="P34" i="18"/>
  <c r="P28" i="18"/>
  <c r="P36" i="18"/>
  <c r="P32" i="18"/>
  <c r="P24" i="18"/>
  <c r="P39" i="18"/>
  <c r="P35" i="18"/>
  <c r="P33" i="18"/>
  <c r="P29" i="18"/>
  <c r="P37" i="18"/>
  <c r="P31" i="18"/>
  <c r="Q41" i="19"/>
  <c r="P55" i="18"/>
  <c r="P73" i="18"/>
  <c r="P60" i="18"/>
  <c r="P82" i="18"/>
  <c r="Y187" i="15"/>
  <c r="Y178" i="15"/>
  <c r="P262" i="15"/>
  <c r="Q66" i="19"/>
  <c r="P46" i="18"/>
  <c r="P63" i="18"/>
  <c r="Q55" i="19"/>
  <c r="Q73" i="19"/>
  <c r="Q60" i="19"/>
  <c r="Q82" i="19"/>
  <c r="Q78" i="19"/>
  <c r="P254" i="15"/>
  <c r="Q62" i="19"/>
  <c r="Q40" i="19"/>
  <c r="Q75" i="19"/>
  <c r="Q69" i="19"/>
  <c r="Q57" i="19"/>
  <c r="Q46" i="19"/>
  <c r="Q63" i="19"/>
  <c r="P58" i="18"/>
  <c r="R1011" i="15" s="1"/>
  <c r="R1016" i="15" s="1"/>
  <c r="P48" i="18"/>
  <c r="R1068" i="15" s="1"/>
  <c r="R1073" i="15" s="1"/>
  <c r="P44" i="18"/>
  <c r="P52" i="18"/>
  <c r="R650" i="15" s="1"/>
  <c r="R652" i="15" s="1"/>
  <c r="Q56" i="19"/>
  <c r="Y177" i="15"/>
  <c r="Y186" i="15"/>
  <c r="Y184" i="15"/>
  <c r="Y193" i="15"/>
  <c r="P260" i="15"/>
  <c r="P269" i="15"/>
  <c r="P76" i="18"/>
  <c r="R1106" i="15" s="1"/>
  <c r="R1122" i="15" s="1"/>
  <c r="P43" i="18"/>
  <c r="Q58" i="19"/>
  <c r="Q48" i="19"/>
  <c r="Q44" i="19"/>
  <c r="S35" i="19"/>
  <c r="Q52" i="19"/>
  <c r="Q910" i="15"/>
  <c r="Q950" i="15"/>
  <c r="Q903" i="15"/>
  <c r="Q940" i="15"/>
  <c r="O1413" i="15"/>
  <c r="O1422" i="15"/>
  <c r="O1412" i="15"/>
  <c r="L2" i="19"/>
  <c r="L1" i="19" s="1"/>
  <c r="N1294" i="15"/>
  <c r="N1281" i="15"/>
  <c r="N1288" i="15"/>
  <c r="W180" i="15"/>
  <c r="N1177" i="15"/>
  <c r="O1429" i="15"/>
  <c r="U23" i="15"/>
  <c r="U34" i="15" s="1"/>
  <c r="Q23" i="15"/>
  <c r="Q29" i="15" s="1"/>
  <c r="V23" i="15"/>
  <c r="V39" i="15" s="1"/>
  <c r="S23" i="15"/>
  <c r="S40" i="15" s="1"/>
  <c r="Y23" i="15"/>
  <c r="Y41" i="15" s="1"/>
  <c r="W23" i="15"/>
  <c r="W39" i="15" s="1"/>
  <c r="T23" i="15"/>
  <c r="T36" i="15" s="1"/>
  <c r="P23" i="15"/>
  <c r="P29" i="15" s="1"/>
  <c r="O23" i="15"/>
  <c r="O28" i="15" s="1"/>
  <c r="R23" i="15"/>
  <c r="R28" i="15" s="1"/>
  <c r="N23" i="15"/>
  <c r="L2" i="18"/>
  <c r="P363" i="15"/>
  <c r="P257" i="15"/>
  <c r="P259" i="15"/>
  <c r="P1243" i="15"/>
  <c r="P1252" i="15"/>
  <c r="P268" i="15"/>
  <c r="P256" i="15"/>
  <c r="P1249" i="15"/>
  <c r="P255" i="15"/>
  <c r="P362" i="15"/>
  <c r="P351" i="15"/>
  <c r="Q217" i="15"/>
  <c r="P364" i="15"/>
  <c r="P347" i="15"/>
  <c r="Q224" i="15"/>
  <c r="P358" i="15"/>
  <c r="P350" i="15"/>
  <c r="P359" i="15"/>
  <c r="Q229" i="15"/>
  <c r="Q216" i="15"/>
  <c r="Q1157" i="15"/>
  <c r="Q215" i="15"/>
  <c r="Q226" i="15"/>
  <c r="Q1158" i="15"/>
  <c r="Q230" i="15"/>
  <c r="Q222" i="15"/>
  <c r="Q1151" i="15"/>
  <c r="Q231" i="15"/>
  <c r="Q225" i="15"/>
  <c r="Q214" i="15"/>
  <c r="X269" i="15"/>
  <c r="X254" i="15"/>
  <c r="X264" i="15"/>
  <c r="X259" i="15"/>
  <c r="X255" i="15"/>
  <c r="X267" i="15"/>
  <c r="Q1145" i="15"/>
  <c r="Q1155" i="15"/>
  <c r="X256" i="15"/>
  <c r="X265" i="15"/>
  <c r="X262" i="15"/>
  <c r="O687" i="15"/>
  <c r="Q1156" i="15"/>
  <c r="Q1162" i="15"/>
  <c r="N522" i="15"/>
  <c r="W304" i="15"/>
  <c r="N530" i="15"/>
  <c r="O601" i="15"/>
  <c r="N534" i="15"/>
  <c r="P349" i="15"/>
  <c r="P355" i="15"/>
  <c r="P353" i="15"/>
  <c r="N15" i="18"/>
  <c r="P4" i="15" s="1"/>
  <c r="P8" i="15" s="1"/>
  <c r="R15" i="18"/>
  <c r="T4" i="15" s="1"/>
  <c r="T12" i="15" s="1"/>
  <c r="P360" i="15"/>
  <c r="M15" i="18"/>
  <c r="O4" i="15" s="1"/>
  <c r="P356" i="15"/>
  <c r="P361" i="15"/>
  <c r="O15" i="18"/>
  <c r="Q4" i="15" s="1"/>
  <c r="Q20" i="15" s="1"/>
  <c r="P354" i="15"/>
  <c r="P357" i="15"/>
  <c r="P15" i="18"/>
  <c r="R4" i="15" s="1"/>
  <c r="R18" i="15" s="1"/>
  <c r="P352" i="15"/>
  <c r="Q15" i="18"/>
  <c r="S4" i="15" s="1"/>
  <c r="S15" i="15" s="1"/>
  <c r="Q1149" i="15"/>
  <c r="Q1147" i="15"/>
  <c r="Q227" i="15"/>
  <c r="Q228" i="15"/>
  <c r="Q1159" i="15"/>
  <c r="Q1154" i="15"/>
  <c r="Q1160" i="15"/>
  <c r="Q1153" i="15"/>
  <c r="Q218" i="15"/>
  <c r="Q221" i="15"/>
  <c r="O354" i="15"/>
  <c r="U340" i="15"/>
  <c r="Q1146" i="15"/>
  <c r="Q1152" i="15"/>
  <c r="Q219" i="15"/>
  <c r="O268" i="15"/>
  <c r="W303" i="15"/>
  <c r="Q1161" i="15"/>
  <c r="O684" i="15"/>
  <c r="Q1150" i="15"/>
  <c r="Q223" i="15"/>
  <c r="U338" i="15"/>
  <c r="O261" i="15"/>
  <c r="U331" i="15"/>
  <c r="U335" i="15"/>
  <c r="O266" i="15"/>
  <c r="U337" i="15"/>
  <c r="U342" i="15"/>
  <c r="U330" i="15"/>
  <c r="U329" i="15"/>
  <c r="O260" i="15"/>
  <c r="O257" i="15"/>
  <c r="U334" i="15"/>
  <c r="O267" i="15"/>
  <c r="U343" i="15"/>
  <c r="O269" i="15"/>
  <c r="O262" i="15"/>
  <c r="U328" i="15"/>
  <c r="U341" i="15"/>
  <c r="U339" i="15"/>
  <c r="O959" i="15"/>
  <c r="O265" i="15"/>
  <c r="U336" i="15"/>
  <c r="O256" i="15"/>
  <c r="O252" i="15"/>
  <c r="U333" i="15"/>
  <c r="O964" i="15"/>
  <c r="O258" i="15"/>
  <c r="O963" i="15"/>
  <c r="O263" i="15"/>
  <c r="U345" i="15"/>
  <c r="U332" i="15"/>
  <c r="O264" i="15"/>
  <c r="O254" i="15"/>
  <c r="O259" i="15"/>
  <c r="O253" i="15"/>
  <c r="O966" i="15"/>
  <c r="O958" i="15"/>
  <c r="O970" i="15"/>
  <c r="O968" i="15"/>
  <c r="O967" i="15"/>
  <c r="O956" i="15"/>
  <c r="O960" i="15"/>
  <c r="O710" i="15"/>
  <c r="U169" i="15"/>
  <c r="O972" i="15"/>
  <c r="U160" i="15"/>
  <c r="O965" i="15"/>
  <c r="O971" i="15"/>
  <c r="O1286" i="15"/>
  <c r="O1287" i="15"/>
  <c r="O957" i="15"/>
  <c r="O955" i="15"/>
  <c r="O708" i="15"/>
  <c r="O962" i="15"/>
  <c r="P1405" i="15"/>
  <c r="O1467" i="15"/>
  <c r="V217" i="15"/>
  <c r="P1402" i="15"/>
  <c r="O537" i="15"/>
  <c r="P1409" i="15"/>
  <c r="P859" i="15"/>
  <c r="P863" i="15" s="1"/>
  <c r="O551" i="15"/>
  <c r="P1394" i="15"/>
  <c r="O961" i="15"/>
  <c r="O539" i="15"/>
  <c r="P1396" i="15"/>
  <c r="P1406" i="15"/>
  <c r="P1400" i="15"/>
  <c r="P1397" i="15"/>
  <c r="P1401" i="15"/>
  <c r="P1395" i="15"/>
  <c r="P1403" i="15"/>
  <c r="P1404" i="15"/>
  <c r="U159" i="15"/>
  <c r="Q909" i="15"/>
  <c r="O717" i="15"/>
  <c r="Q905" i="15"/>
  <c r="U173" i="15"/>
  <c r="O1292" i="15"/>
  <c r="O1295" i="15"/>
  <c r="O1280" i="15"/>
  <c r="O1278" i="15"/>
  <c r="U161" i="15"/>
  <c r="Q914" i="15"/>
  <c r="U168" i="15"/>
  <c r="O1290" i="15"/>
  <c r="U170" i="15"/>
  <c r="O1284" i="15"/>
  <c r="O1279" i="15"/>
  <c r="U163" i="15"/>
  <c r="Q899" i="15"/>
  <c r="U162" i="15"/>
  <c r="O1293" i="15"/>
  <c r="O1288" i="15"/>
  <c r="U165" i="15"/>
  <c r="O1289" i="15"/>
  <c r="U174" i="15"/>
  <c r="O1285" i="15"/>
  <c r="U171" i="15"/>
  <c r="Q901" i="15"/>
  <c r="O1283" i="15"/>
  <c r="Q902" i="15"/>
  <c r="U172" i="15"/>
  <c r="O1294" i="15"/>
  <c r="Q904" i="15"/>
  <c r="U166" i="15"/>
  <c r="Q906" i="15"/>
  <c r="Q915" i="15"/>
  <c r="U157" i="15"/>
  <c r="U158" i="15"/>
  <c r="Q898" i="15"/>
  <c r="Q900" i="15"/>
  <c r="Q911" i="15"/>
  <c r="O1281" i="15"/>
  <c r="O1291" i="15"/>
  <c r="U164" i="15"/>
  <c r="Q913" i="15"/>
  <c r="Q908" i="15"/>
  <c r="Q907" i="15"/>
  <c r="W306" i="15"/>
  <c r="W193" i="15"/>
  <c r="V225" i="15"/>
  <c r="N531" i="15"/>
  <c r="O605" i="15"/>
  <c r="Q942" i="15"/>
  <c r="N1169" i="15"/>
  <c r="N1283" i="15"/>
  <c r="O1416" i="15"/>
  <c r="O680" i="15"/>
  <c r="N1295" i="15"/>
  <c r="Q936" i="15"/>
  <c r="Q951" i="15"/>
  <c r="N525" i="15"/>
  <c r="N518" i="15"/>
  <c r="O1418" i="15"/>
  <c r="O674" i="15"/>
  <c r="O364" i="15"/>
  <c r="O597" i="15"/>
  <c r="O1426" i="15"/>
  <c r="W188" i="15"/>
  <c r="O611" i="15"/>
  <c r="O682" i="15"/>
  <c r="N1290" i="15"/>
  <c r="Q943" i="15"/>
  <c r="Q939" i="15"/>
  <c r="N563" i="15"/>
  <c r="W300" i="15"/>
  <c r="W305" i="15"/>
  <c r="W190" i="15"/>
  <c r="W178" i="15"/>
  <c r="O352" i="15"/>
  <c r="O600" i="15"/>
  <c r="O598" i="15"/>
  <c r="N718" i="15"/>
  <c r="N1278" i="15"/>
  <c r="O1428" i="15"/>
  <c r="N532" i="15"/>
  <c r="O672" i="15"/>
  <c r="N1293" i="15"/>
  <c r="Q948" i="15"/>
  <c r="P640" i="15"/>
  <c r="N564" i="15"/>
  <c r="N559" i="15"/>
  <c r="N1287" i="15"/>
  <c r="N569" i="15"/>
  <c r="O1415" i="15"/>
  <c r="O606" i="15"/>
  <c r="N723" i="15"/>
  <c r="N529" i="15"/>
  <c r="N560" i="15"/>
  <c r="W185" i="15"/>
  <c r="W186" i="15"/>
  <c r="O361" i="15"/>
  <c r="O355" i="15"/>
  <c r="O609" i="15"/>
  <c r="N1178" i="15"/>
  <c r="O1427" i="15"/>
  <c r="O1420" i="15"/>
  <c r="O1417" i="15"/>
  <c r="P634" i="15"/>
  <c r="Q952" i="15"/>
  <c r="N570" i="15"/>
  <c r="N1282" i="15"/>
  <c r="P637" i="15"/>
  <c r="W299" i="15"/>
  <c r="W294" i="15"/>
  <c r="N1286" i="15"/>
  <c r="O1414" i="15"/>
  <c r="O1423" i="15"/>
  <c r="O1421" i="15"/>
  <c r="W295" i="15"/>
  <c r="W301" i="15"/>
  <c r="W191" i="15"/>
  <c r="W176" i="15"/>
  <c r="N528" i="15"/>
  <c r="P649" i="15"/>
  <c r="Q947" i="15"/>
  <c r="N1167" i="15"/>
  <c r="O1419" i="15"/>
  <c r="P648" i="15"/>
  <c r="Q937" i="15"/>
  <c r="N526" i="15"/>
  <c r="N725" i="15"/>
  <c r="N1285" i="15"/>
  <c r="P636" i="15"/>
  <c r="N568" i="15"/>
  <c r="P641" i="15"/>
  <c r="O1411" i="15"/>
  <c r="Q268" i="15"/>
  <c r="N524" i="15"/>
  <c r="Q944" i="15"/>
  <c r="N1289" i="15"/>
  <c r="N533" i="15"/>
  <c r="S15" i="18"/>
  <c r="U4" i="15" s="1"/>
  <c r="W290" i="15"/>
  <c r="W182" i="15"/>
  <c r="W179" i="15"/>
  <c r="N1168" i="15"/>
  <c r="W298" i="15"/>
  <c r="W177" i="15"/>
  <c r="W187" i="15"/>
  <c r="N523" i="15"/>
  <c r="P633" i="15"/>
  <c r="N1176" i="15"/>
  <c r="N1291" i="15"/>
  <c r="O1424" i="15"/>
  <c r="O686" i="15"/>
  <c r="N1292" i="15"/>
  <c r="Q945" i="15"/>
  <c r="N521" i="15"/>
  <c r="N1284" i="15"/>
  <c r="N1279" i="15"/>
  <c r="V127" i="15"/>
  <c r="O359" i="15"/>
  <c r="W293" i="15"/>
  <c r="W296" i="15"/>
  <c r="Q255" i="15"/>
  <c r="O677" i="15"/>
  <c r="O644" i="15"/>
  <c r="O640" i="15"/>
  <c r="W291" i="15"/>
  <c r="W302" i="15"/>
  <c r="Q263" i="15"/>
  <c r="O351" i="15"/>
  <c r="O634" i="15"/>
  <c r="O641" i="15"/>
  <c r="N710" i="15"/>
  <c r="V214" i="15"/>
  <c r="O675" i="15"/>
  <c r="N715" i="15"/>
  <c r="O633" i="15"/>
  <c r="O642" i="15"/>
  <c r="W292" i="15"/>
  <c r="W307" i="15"/>
  <c r="P717" i="15"/>
  <c r="O671" i="15"/>
  <c r="O635" i="15"/>
  <c r="P644" i="15"/>
  <c r="N724" i="15"/>
  <c r="N571" i="15"/>
  <c r="N719" i="15"/>
  <c r="N573" i="15"/>
  <c r="N721" i="15"/>
  <c r="N572" i="15"/>
  <c r="N1175" i="15"/>
  <c r="O363" i="15"/>
  <c r="N1181" i="15"/>
  <c r="Q259" i="15"/>
  <c r="P643" i="15"/>
  <c r="P646" i="15"/>
  <c r="W181" i="15"/>
  <c r="O610" i="15"/>
  <c r="O599" i="15"/>
  <c r="Q938" i="15"/>
  <c r="P645" i="15"/>
  <c r="P1398" i="15"/>
  <c r="P1393" i="15"/>
  <c r="Q1216" i="15"/>
  <c r="Q1205" i="15"/>
  <c r="Q1219" i="15"/>
  <c r="W184" i="15"/>
  <c r="O607" i="15"/>
  <c r="Q941" i="15"/>
  <c r="O608" i="15"/>
  <c r="P1408" i="15"/>
  <c r="W192" i="15"/>
  <c r="Q257" i="15"/>
  <c r="O596" i="15"/>
  <c r="Q953" i="15"/>
  <c r="O595" i="15"/>
  <c r="P1399" i="15"/>
  <c r="O721" i="15"/>
  <c r="O725" i="15"/>
  <c r="O711" i="15"/>
  <c r="Q1022" i="15"/>
  <c r="T185" i="15"/>
  <c r="N965" i="15"/>
  <c r="O716" i="15"/>
  <c r="V135" i="15"/>
  <c r="Q1024" i="15"/>
  <c r="V121" i="15"/>
  <c r="N708" i="15"/>
  <c r="Q1016" i="15"/>
  <c r="N562" i="15"/>
  <c r="N558" i="15"/>
  <c r="Q187" i="15"/>
  <c r="O719" i="15"/>
  <c r="N971" i="15"/>
  <c r="O718" i="15"/>
  <c r="N955" i="15"/>
  <c r="O572" i="15"/>
  <c r="N716" i="15"/>
  <c r="N1171" i="15"/>
  <c r="N557" i="15"/>
  <c r="O564" i="15"/>
  <c r="N1164" i="15"/>
  <c r="N1179" i="15"/>
  <c r="N565" i="15"/>
  <c r="O565" i="15"/>
  <c r="O556" i="15"/>
  <c r="N722" i="15"/>
  <c r="N958" i="15"/>
  <c r="N1165" i="15"/>
  <c r="N1172" i="15"/>
  <c r="N566" i="15"/>
  <c r="O360" i="15"/>
  <c r="O573" i="15"/>
  <c r="O570" i="15"/>
  <c r="N712" i="15"/>
  <c r="N1166" i="15"/>
  <c r="N1173" i="15"/>
  <c r="N1180" i="15"/>
  <c r="N567" i="15"/>
  <c r="Q1021" i="15"/>
  <c r="Q1026" i="15"/>
  <c r="U362" i="15"/>
  <c r="O1494" i="15"/>
  <c r="W183" i="15"/>
  <c r="V133" i="15"/>
  <c r="S271" i="15"/>
  <c r="O602" i="15"/>
  <c r="N711" i="15"/>
  <c r="O604" i="15"/>
  <c r="Q949" i="15"/>
  <c r="O833" i="15"/>
  <c r="O838" i="15"/>
  <c r="P951" i="15"/>
  <c r="O836" i="15"/>
  <c r="V119" i="15"/>
  <c r="O594" i="15"/>
  <c r="P642" i="15"/>
  <c r="Q1015" i="15"/>
  <c r="O824" i="15"/>
  <c r="P1392" i="15"/>
  <c r="Q1012" i="15"/>
  <c r="O837" i="15"/>
  <c r="O839" i="15"/>
  <c r="O832" i="15"/>
  <c r="Q183" i="15"/>
  <c r="O831" i="15"/>
  <c r="O834" i="15"/>
  <c r="Q562" i="15"/>
  <c r="O823" i="15"/>
  <c r="S344" i="15"/>
  <c r="O827" i="15"/>
  <c r="W172" i="15"/>
  <c r="Q192" i="15"/>
  <c r="Q1017" i="15"/>
  <c r="W161" i="15"/>
  <c r="O835" i="15"/>
  <c r="W159" i="15"/>
  <c r="Q177" i="15"/>
  <c r="Q1028" i="15"/>
  <c r="Q258" i="15"/>
  <c r="Q1018" i="15"/>
  <c r="W169" i="15"/>
  <c r="W162" i="15"/>
  <c r="Q1023" i="15"/>
  <c r="P941" i="15"/>
  <c r="W170" i="15"/>
  <c r="P110" i="15"/>
  <c r="Q190" i="15"/>
  <c r="Q1013" i="15"/>
  <c r="O830" i="15"/>
  <c r="Q1027" i="15"/>
  <c r="Q186" i="15"/>
  <c r="Q1020" i="15"/>
  <c r="V146" i="15"/>
  <c r="O826" i="15"/>
  <c r="Q1025" i="15"/>
  <c r="V141" i="15"/>
  <c r="W157" i="15"/>
  <c r="W160" i="15"/>
  <c r="Q1029" i="15"/>
  <c r="O829" i="15"/>
  <c r="W166" i="15"/>
  <c r="O828" i="15"/>
  <c r="O825" i="15"/>
  <c r="R280" i="15"/>
  <c r="U352" i="15"/>
  <c r="S287" i="15"/>
  <c r="Q261" i="15"/>
  <c r="P111" i="15"/>
  <c r="P709" i="15"/>
  <c r="O712" i="15"/>
  <c r="P708" i="15"/>
  <c r="O567" i="15"/>
  <c r="O559" i="15"/>
  <c r="P720" i="15"/>
  <c r="O714" i="15"/>
  <c r="P711" i="15"/>
  <c r="P724" i="15"/>
  <c r="P716" i="15"/>
  <c r="P113" i="15"/>
  <c r="P723" i="15"/>
  <c r="P714" i="15"/>
  <c r="P712" i="15"/>
  <c r="O715" i="15"/>
  <c r="P719" i="15"/>
  <c r="O562" i="15"/>
  <c r="O568" i="15"/>
  <c r="P722" i="15"/>
  <c r="P718" i="15"/>
  <c r="O1500" i="15"/>
  <c r="Q89" i="15"/>
  <c r="O73" i="15"/>
  <c r="O720" i="15"/>
  <c r="O724" i="15"/>
  <c r="P100" i="15"/>
  <c r="S285" i="15"/>
  <c r="P710" i="15"/>
  <c r="Q1398" i="15"/>
  <c r="T190" i="15"/>
  <c r="O722" i="15"/>
  <c r="P46" i="15"/>
  <c r="O709" i="15"/>
  <c r="P102" i="15"/>
  <c r="O561" i="15"/>
  <c r="P725" i="15"/>
  <c r="T192" i="15"/>
  <c r="O713" i="15"/>
  <c r="Q73" i="15"/>
  <c r="T188" i="15"/>
  <c r="W167" i="15"/>
  <c r="P101" i="15"/>
  <c r="U356" i="15"/>
  <c r="O560" i="15"/>
  <c r="T179" i="15"/>
  <c r="P1083" i="15"/>
  <c r="P945" i="15"/>
  <c r="Q70" i="15"/>
  <c r="U359" i="15"/>
  <c r="O1492" i="15"/>
  <c r="U347" i="15"/>
  <c r="O1496" i="15"/>
  <c r="Q565" i="15"/>
  <c r="O566" i="15"/>
  <c r="U357" i="15"/>
  <c r="Q557" i="15"/>
  <c r="U307" i="15"/>
  <c r="W174" i="15"/>
  <c r="V129" i="15"/>
  <c r="Q182" i="15"/>
  <c r="U349" i="15"/>
  <c r="O563" i="15"/>
  <c r="Q572" i="15"/>
  <c r="Q1014" i="15"/>
  <c r="Q1202" i="15"/>
  <c r="P1207" i="15"/>
  <c r="U348" i="15"/>
  <c r="T187" i="15"/>
  <c r="U361" i="15"/>
  <c r="O569" i="15"/>
  <c r="P1084" i="15"/>
  <c r="W173" i="15"/>
  <c r="Q78" i="15"/>
  <c r="O558" i="15"/>
  <c r="P104" i="15"/>
  <c r="W164" i="15"/>
  <c r="P115" i="15"/>
  <c r="O571" i="15"/>
  <c r="P1080" i="15"/>
  <c r="W165" i="15"/>
  <c r="V125" i="15"/>
  <c r="Q189" i="15"/>
  <c r="U353" i="15"/>
  <c r="P1072" i="15"/>
  <c r="Q1208" i="15"/>
  <c r="O1497" i="15"/>
  <c r="O673" i="15"/>
  <c r="O728" i="15"/>
  <c r="O738" i="15"/>
  <c r="O740" i="15"/>
  <c r="O742" i="15"/>
  <c r="O744" i="15"/>
  <c r="O1082" i="15"/>
  <c r="O741" i="15"/>
  <c r="O1079" i="15"/>
  <c r="O1076" i="15"/>
  <c r="O1083" i="15"/>
  <c r="O736" i="15"/>
  <c r="O729" i="15"/>
  <c r="O1081" i="15"/>
  <c r="O730" i="15"/>
  <c r="O1074" i="15"/>
  <c r="O727" i="15"/>
  <c r="O737" i="15"/>
  <c r="O1075" i="15"/>
  <c r="O1073" i="15"/>
  <c r="O733" i="15"/>
  <c r="O1071" i="15"/>
  <c r="O1402" i="15"/>
  <c r="O1077" i="15"/>
  <c r="O1072" i="15"/>
  <c r="O1069" i="15"/>
  <c r="O735" i="15"/>
  <c r="O731" i="15"/>
  <c r="O1084" i="15"/>
  <c r="O1086" i="15"/>
  <c r="O739" i="15"/>
  <c r="O1078" i="15"/>
  <c r="O743" i="15"/>
  <c r="O1070" i="15"/>
  <c r="O734" i="15"/>
  <c r="O1080" i="15"/>
  <c r="N205" i="15"/>
  <c r="N720" i="15"/>
  <c r="N1232" i="15"/>
  <c r="N1045" i="15"/>
  <c r="N527" i="15"/>
  <c r="N206" i="15"/>
  <c r="N200" i="15"/>
  <c r="N1041" i="15"/>
  <c r="N433" i="15"/>
  <c r="N1033" i="15"/>
  <c r="O75" i="15"/>
  <c r="N1237" i="15"/>
  <c r="O1504" i="15"/>
  <c r="Q1404" i="15"/>
  <c r="P949" i="15"/>
  <c r="O1493" i="15"/>
  <c r="O1498" i="15"/>
  <c r="R288" i="15"/>
  <c r="N1229" i="15"/>
  <c r="Q1396" i="15"/>
  <c r="Q1405" i="15"/>
  <c r="P946" i="15"/>
  <c r="P1204" i="15"/>
  <c r="P1004" i="15"/>
  <c r="N1221" i="15"/>
  <c r="Q1395" i="15"/>
  <c r="N1416" i="15"/>
  <c r="P943" i="15"/>
  <c r="N1227" i="15"/>
  <c r="N1417" i="15"/>
  <c r="Q1407" i="15"/>
  <c r="N1422" i="15"/>
  <c r="P937" i="15"/>
  <c r="O63" i="15"/>
  <c r="N1234" i="15"/>
  <c r="N1423" i="15"/>
  <c r="O1491" i="15"/>
  <c r="Q1408" i="15"/>
  <c r="N1424" i="15"/>
  <c r="P953" i="15"/>
  <c r="N1413" i="15"/>
  <c r="P1206" i="15"/>
  <c r="O71" i="15"/>
  <c r="Q97" i="15"/>
  <c r="N1226" i="15"/>
  <c r="O1489" i="15"/>
  <c r="N1415" i="15"/>
  <c r="O1499" i="15"/>
  <c r="P940" i="15"/>
  <c r="P947" i="15"/>
  <c r="O1502" i="15"/>
  <c r="P1216" i="15"/>
  <c r="Q1402" i="15"/>
  <c r="Q81" i="15"/>
  <c r="O64" i="15"/>
  <c r="N1238" i="15"/>
  <c r="O69" i="15"/>
  <c r="N1231" i="15"/>
  <c r="P939" i="15"/>
  <c r="P942" i="15"/>
  <c r="P1211" i="15"/>
  <c r="O1503" i="15"/>
  <c r="N1236" i="15"/>
  <c r="P936" i="15"/>
  <c r="N1225" i="15"/>
  <c r="N1224" i="15"/>
  <c r="O1495" i="15"/>
  <c r="N1223" i="15"/>
  <c r="N1230" i="15"/>
  <c r="Q1409" i="15"/>
  <c r="O72" i="15"/>
  <c r="P1210" i="15"/>
  <c r="O1501" i="15"/>
  <c r="P938" i="15"/>
  <c r="Q1394" i="15"/>
  <c r="R284" i="15"/>
  <c r="R272" i="15"/>
  <c r="Q561" i="15"/>
  <c r="Q1393" i="15"/>
  <c r="O62" i="15"/>
  <c r="Q254" i="15"/>
  <c r="U294" i="15"/>
  <c r="P1215" i="15"/>
  <c r="Q1392" i="15"/>
  <c r="P950" i="15"/>
  <c r="Q1400" i="15"/>
  <c r="U301" i="15"/>
  <c r="P1202" i="15"/>
  <c r="Q1397" i="15"/>
  <c r="Q1401" i="15"/>
  <c r="O65" i="15"/>
  <c r="R283" i="15"/>
  <c r="U305" i="15"/>
  <c r="Q570" i="15"/>
  <c r="N1233" i="15"/>
  <c r="Q1406" i="15"/>
  <c r="O79" i="15"/>
  <c r="Q253" i="15"/>
  <c r="U297" i="15"/>
  <c r="P952" i="15"/>
  <c r="P948" i="15"/>
  <c r="Q1403" i="15"/>
  <c r="P1212" i="15"/>
  <c r="O1490" i="15"/>
  <c r="N1426" i="15"/>
  <c r="O1487" i="15"/>
  <c r="N660" i="15"/>
  <c r="N203" i="15"/>
  <c r="N658" i="15"/>
  <c r="N341" i="15"/>
  <c r="N667" i="15"/>
  <c r="N204" i="15"/>
  <c r="N659" i="15"/>
  <c r="N655" i="15"/>
  <c r="N1418" i="15"/>
  <c r="N1419" i="15"/>
  <c r="N652" i="15"/>
  <c r="N653" i="15"/>
  <c r="N207" i="15"/>
  <c r="N668" i="15"/>
  <c r="N1038" i="15"/>
  <c r="N1036" i="15"/>
  <c r="N1040" i="15"/>
  <c r="N661" i="15"/>
  <c r="N666" i="15"/>
  <c r="N664" i="15"/>
  <c r="N196" i="15"/>
  <c r="N1428" i="15"/>
  <c r="N651" i="15"/>
  <c r="N665" i="15"/>
  <c r="N662" i="15"/>
  <c r="N209" i="15"/>
  <c r="N202" i="15"/>
  <c r="N197" i="15"/>
  <c r="N332" i="15"/>
  <c r="N1420" i="15"/>
  <c r="N212" i="15"/>
  <c r="N1421" i="15"/>
  <c r="N208" i="15"/>
  <c r="N1039" i="15"/>
  <c r="N198" i="15"/>
  <c r="N330" i="15"/>
  <c r="N1412" i="15"/>
  <c r="N1043" i="15"/>
  <c r="N210" i="15"/>
  <c r="N1034" i="15"/>
  <c r="N1427" i="15"/>
  <c r="N654" i="15"/>
  <c r="N1044" i="15"/>
  <c r="N663" i="15"/>
  <c r="N211" i="15"/>
  <c r="N201" i="15"/>
  <c r="N199" i="15"/>
  <c r="N329" i="15"/>
  <c r="N1425" i="15"/>
  <c r="N1414" i="15"/>
  <c r="N1031" i="15"/>
  <c r="N1042" i="15"/>
  <c r="N1032" i="15"/>
  <c r="O667" i="15"/>
  <c r="O1203" i="15"/>
  <c r="N1213" i="15"/>
  <c r="O1212" i="15"/>
  <c r="P1440" i="15"/>
  <c r="N638" i="15"/>
  <c r="X64" i="15"/>
  <c r="P70" i="15"/>
  <c r="O428" i="15"/>
  <c r="O1384" i="15"/>
  <c r="P568" i="15"/>
  <c r="O944" i="15"/>
  <c r="N1214" i="15"/>
  <c r="O1376" i="15"/>
  <c r="O1395" i="15"/>
  <c r="O70" i="15"/>
  <c r="O78" i="15"/>
  <c r="Q252" i="15"/>
  <c r="V220" i="15"/>
  <c r="O668" i="15"/>
  <c r="U292" i="15"/>
  <c r="P715" i="15"/>
  <c r="O681" i="15"/>
  <c r="N1048" i="15"/>
  <c r="P647" i="15"/>
  <c r="O1219" i="15"/>
  <c r="N1046" i="15"/>
  <c r="X68" i="15"/>
  <c r="O418" i="15"/>
  <c r="T169" i="15"/>
  <c r="N434" i="15"/>
  <c r="O911" i="15"/>
  <c r="T174" i="15"/>
  <c r="O664" i="15"/>
  <c r="O545" i="15"/>
  <c r="O1407" i="15"/>
  <c r="O651" i="15"/>
  <c r="W168" i="15"/>
  <c r="W163" i="15"/>
  <c r="P55" i="15"/>
  <c r="P114" i="15"/>
  <c r="Q94" i="15"/>
  <c r="P108" i="15"/>
  <c r="N344" i="15"/>
  <c r="N430" i="15"/>
  <c r="U360" i="15"/>
  <c r="N440" i="15"/>
  <c r="X177" i="15"/>
  <c r="W158" i="15"/>
  <c r="Q62" i="15"/>
  <c r="V132" i="15"/>
  <c r="Q86" i="15"/>
  <c r="Q269" i="15"/>
  <c r="Q178" i="15"/>
  <c r="Q265" i="15"/>
  <c r="N334" i="15"/>
  <c r="N438" i="15"/>
  <c r="N427" i="15"/>
  <c r="O554" i="15"/>
  <c r="O936" i="15"/>
  <c r="N1216" i="15"/>
  <c r="O76" i="15"/>
  <c r="P638" i="15"/>
  <c r="N692" i="15"/>
  <c r="O678" i="15"/>
  <c r="O676" i="15"/>
  <c r="T361" i="15"/>
  <c r="O943" i="15"/>
  <c r="O1205" i="15"/>
  <c r="O912" i="15"/>
  <c r="O540" i="15"/>
  <c r="O909" i="15"/>
  <c r="O1340" i="15"/>
  <c r="N706" i="15"/>
  <c r="O1349" i="15"/>
  <c r="N1215" i="15"/>
  <c r="P302" i="15"/>
  <c r="W202" i="15"/>
  <c r="P566" i="15"/>
  <c r="O915" i="15"/>
  <c r="O435" i="15"/>
  <c r="O950" i="15"/>
  <c r="O1394" i="15"/>
  <c r="O1401" i="15"/>
  <c r="R131" i="15"/>
  <c r="O913" i="15"/>
  <c r="O1382" i="15"/>
  <c r="Q200" i="15"/>
  <c r="O425" i="15"/>
  <c r="R129" i="15"/>
  <c r="P558" i="15"/>
  <c r="P561" i="15"/>
  <c r="O947" i="15"/>
  <c r="P1447" i="15"/>
  <c r="O417" i="15"/>
  <c r="N1212" i="15"/>
  <c r="O665" i="15"/>
  <c r="W198" i="15"/>
  <c r="O914" i="15"/>
  <c r="O953" i="15"/>
  <c r="P1437" i="15"/>
  <c r="T164" i="15"/>
  <c r="W197" i="15"/>
  <c r="W205" i="15"/>
  <c r="W84" i="15"/>
  <c r="T163" i="15"/>
  <c r="O436" i="15"/>
  <c r="N431" i="15"/>
  <c r="N633" i="15"/>
  <c r="O662" i="15"/>
  <c r="O930" i="15"/>
  <c r="O414" i="15"/>
  <c r="N645" i="15"/>
  <c r="O659" i="15"/>
  <c r="N657" i="15"/>
  <c r="N1209" i="15"/>
  <c r="O1337" i="15"/>
  <c r="X77" i="15"/>
  <c r="W96" i="15"/>
  <c r="N1218" i="15"/>
  <c r="P73" i="15"/>
  <c r="O408" i="15"/>
  <c r="Q571" i="15"/>
  <c r="Q564" i="15"/>
  <c r="O925" i="15"/>
  <c r="Q1203" i="15"/>
  <c r="P1074" i="15"/>
  <c r="W334" i="15"/>
  <c r="W85" i="15"/>
  <c r="N634" i="15"/>
  <c r="P1076" i="15"/>
  <c r="O419" i="15"/>
  <c r="P1000" i="15"/>
  <c r="N1151" i="15"/>
  <c r="N695" i="15"/>
  <c r="W204" i="15"/>
  <c r="W341" i="15"/>
  <c r="X74" i="15"/>
  <c r="S139" i="15"/>
  <c r="O489" i="15"/>
  <c r="P483" i="15"/>
  <c r="N641" i="15"/>
  <c r="Q559" i="15"/>
  <c r="Q566" i="15"/>
  <c r="N627" i="15"/>
  <c r="N969" i="15"/>
  <c r="N962" i="15"/>
  <c r="N970" i="15"/>
  <c r="O951" i="15"/>
  <c r="N959" i="15"/>
  <c r="P1077" i="15"/>
  <c r="O1109" i="15"/>
  <c r="Q1217" i="15"/>
  <c r="Q1214" i="15"/>
  <c r="O1408" i="15"/>
  <c r="S345" i="15"/>
  <c r="O429" i="15"/>
  <c r="O647" i="15"/>
  <c r="N1081" i="15"/>
  <c r="N894" i="15"/>
  <c r="N449" i="15"/>
  <c r="N424" i="15"/>
  <c r="O645" i="15"/>
  <c r="P571" i="15"/>
  <c r="N1204" i="15"/>
  <c r="P1070" i="15"/>
  <c r="P1214" i="15"/>
  <c r="O1338" i="15"/>
  <c r="P1209" i="15"/>
  <c r="T285" i="15"/>
  <c r="Q1074" i="15"/>
  <c r="P907" i="15"/>
  <c r="N963" i="15"/>
  <c r="P1071" i="15"/>
  <c r="O636" i="15"/>
  <c r="P1081" i="15"/>
  <c r="P1082" i="15"/>
  <c r="P1075" i="15"/>
  <c r="T167" i="15"/>
  <c r="Q563" i="15"/>
  <c r="Q560" i="15"/>
  <c r="Q556" i="15"/>
  <c r="N957" i="15"/>
  <c r="O941" i="15"/>
  <c r="P1085" i="15"/>
  <c r="O637" i="15"/>
  <c r="P1219" i="15"/>
  <c r="W212" i="15"/>
  <c r="W328" i="15"/>
  <c r="V238" i="15"/>
  <c r="N496" i="15"/>
  <c r="Q567" i="15"/>
  <c r="Q558" i="15"/>
  <c r="N961" i="15"/>
  <c r="N964" i="15"/>
  <c r="N972" i="15"/>
  <c r="N960" i="15"/>
  <c r="P1069" i="15"/>
  <c r="O1202" i="15"/>
  <c r="O1118" i="15"/>
  <c r="Q1218" i="15"/>
  <c r="Q1206" i="15"/>
  <c r="O1385" i="15"/>
  <c r="O1398" i="15"/>
  <c r="P1213" i="15"/>
  <c r="P1073" i="15"/>
  <c r="Q1073" i="15"/>
  <c r="N646" i="15"/>
  <c r="O648" i="15"/>
  <c r="P564" i="15"/>
  <c r="N1113" i="15"/>
  <c r="Q1209" i="15"/>
  <c r="O1342" i="15"/>
  <c r="Q1212" i="15"/>
  <c r="O1345" i="15"/>
  <c r="O652" i="15"/>
  <c r="Q568" i="15"/>
  <c r="Q1215" i="15"/>
  <c r="N968" i="15"/>
  <c r="P1218" i="15"/>
  <c r="P1079" i="15"/>
  <c r="W203" i="15"/>
  <c r="X66" i="15"/>
  <c r="O900" i="15"/>
  <c r="O1110" i="15"/>
  <c r="Q1207" i="15"/>
  <c r="S337" i="15"/>
  <c r="O437" i="15"/>
  <c r="N412" i="15"/>
  <c r="O643" i="15"/>
  <c r="P1203" i="15"/>
  <c r="O1383" i="15"/>
  <c r="P1086" i="15"/>
  <c r="W207" i="15"/>
  <c r="P290" i="15"/>
  <c r="Q569" i="15"/>
  <c r="N966" i="15"/>
  <c r="P1003" i="15"/>
  <c r="O948" i="15"/>
  <c r="O1213" i="15"/>
  <c r="N1202" i="15"/>
  <c r="O1210" i="15"/>
  <c r="O1347" i="15"/>
  <c r="Q1210" i="15"/>
  <c r="Q1213" i="15"/>
  <c r="O1397" i="15"/>
  <c r="O638" i="15"/>
  <c r="O649" i="15"/>
  <c r="Q1081" i="15"/>
  <c r="N967" i="15"/>
  <c r="O646" i="15"/>
  <c r="P562" i="15"/>
  <c r="P1217" i="15"/>
  <c r="P1208" i="15"/>
  <c r="N497" i="15"/>
  <c r="O660" i="15"/>
  <c r="O1346" i="15"/>
  <c r="N1404" i="15"/>
  <c r="W208" i="15"/>
  <c r="W195" i="15"/>
  <c r="W338" i="15"/>
  <c r="X69" i="15"/>
  <c r="W82" i="15"/>
  <c r="P79" i="15"/>
  <c r="R123" i="15"/>
  <c r="T159" i="15"/>
  <c r="P306" i="15"/>
  <c r="O427" i="15"/>
  <c r="N432" i="15"/>
  <c r="N425" i="15"/>
  <c r="N640" i="15"/>
  <c r="O942" i="15"/>
  <c r="O908" i="15"/>
  <c r="O949" i="15"/>
  <c r="N1208" i="15"/>
  <c r="N1210" i="15"/>
  <c r="N1203" i="15"/>
  <c r="N1205" i="15"/>
  <c r="O1119" i="15"/>
  <c r="O1339" i="15"/>
  <c r="O1390" i="15"/>
  <c r="O1403" i="15"/>
  <c r="O1378" i="15"/>
  <c r="Q204" i="15"/>
  <c r="N407" i="15"/>
  <c r="O438" i="15"/>
  <c r="O440" i="15"/>
  <c r="O661" i="15"/>
  <c r="Q1072" i="15"/>
  <c r="P1446" i="15"/>
  <c r="N416" i="15"/>
  <c r="O421" i="15"/>
  <c r="N644" i="15"/>
  <c r="O939" i="15"/>
  <c r="P560" i="15"/>
  <c r="P1432" i="15"/>
  <c r="O1404" i="15"/>
  <c r="O657" i="15"/>
  <c r="O938" i="15"/>
  <c r="N1398" i="15"/>
  <c r="N705" i="15"/>
  <c r="P1438" i="15"/>
  <c r="O1206" i="15"/>
  <c r="O1341" i="15"/>
  <c r="O1351" i="15"/>
  <c r="O656" i="15"/>
  <c r="N643" i="15"/>
  <c r="O907" i="15"/>
  <c r="O945" i="15"/>
  <c r="P1434" i="15"/>
  <c r="O1386" i="15"/>
  <c r="O901" i="15"/>
  <c r="P1433" i="15"/>
  <c r="X307" i="15"/>
  <c r="W210" i="15"/>
  <c r="W201" i="15"/>
  <c r="W331" i="15"/>
  <c r="X67" i="15"/>
  <c r="W91" i="15"/>
  <c r="P74" i="15"/>
  <c r="T157" i="15"/>
  <c r="Q197" i="15"/>
  <c r="P296" i="15"/>
  <c r="V294" i="15"/>
  <c r="N437" i="15"/>
  <c r="N435" i="15"/>
  <c r="P565" i="15"/>
  <c r="O492" i="15"/>
  <c r="N648" i="15"/>
  <c r="N635" i="15"/>
  <c r="O928" i="15"/>
  <c r="O906" i="15"/>
  <c r="Q1079" i="15"/>
  <c r="O937" i="15"/>
  <c r="O1218" i="15"/>
  <c r="O1344" i="15"/>
  <c r="P1442" i="15"/>
  <c r="O1389" i="15"/>
  <c r="O1400" i="15"/>
  <c r="P559" i="15"/>
  <c r="O434" i="15"/>
  <c r="O1215" i="15"/>
  <c r="O902" i="15"/>
  <c r="P914" i="15"/>
  <c r="O424" i="15"/>
  <c r="P556" i="15"/>
  <c r="P570" i="15"/>
  <c r="N1120" i="15"/>
  <c r="N453" i="15"/>
  <c r="N426" i="15"/>
  <c r="O658" i="15"/>
  <c r="P1445" i="15"/>
  <c r="O1204" i="15"/>
  <c r="O1208" i="15"/>
  <c r="P1443" i="15"/>
  <c r="O654" i="15"/>
  <c r="O1343" i="15"/>
  <c r="O653" i="15"/>
  <c r="O423" i="15"/>
  <c r="W199" i="15"/>
  <c r="X76" i="15"/>
  <c r="P62" i="15"/>
  <c r="R120" i="15"/>
  <c r="S145" i="15"/>
  <c r="N1211" i="15"/>
  <c r="O1374" i="15"/>
  <c r="O432" i="15"/>
  <c r="O405" i="15"/>
  <c r="N1207" i="15"/>
  <c r="W209" i="15"/>
  <c r="O904" i="15"/>
  <c r="O903" i="15"/>
  <c r="N1219" i="15"/>
  <c r="O1352" i="15"/>
  <c r="O1387" i="15"/>
  <c r="O1381" i="15"/>
  <c r="O1392" i="15"/>
  <c r="P572" i="15"/>
  <c r="Q659" i="15"/>
  <c r="O910" i="15"/>
  <c r="P909" i="15"/>
  <c r="O431" i="15"/>
  <c r="P567" i="15"/>
  <c r="P557" i="15"/>
  <c r="O1377" i="15"/>
  <c r="O1388" i="15"/>
  <c r="T173" i="15"/>
  <c r="O1216" i="15"/>
  <c r="T162" i="15"/>
  <c r="O663" i="15"/>
  <c r="O1214" i="15"/>
  <c r="O923" i="15"/>
  <c r="N647" i="15"/>
  <c r="O404" i="15"/>
  <c r="O1399" i="15"/>
  <c r="O1409" i="15"/>
  <c r="O1350" i="15"/>
  <c r="O1393" i="15"/>
  <c r="W211" i="15"/>
  <c r="W336" i="15"/>
  <c r="W93" i="15"/>
  <c r="N642" i="15"/>
  <c r="O439" i="15"/>
  <c r="N693" i="15"/>
  <c r="N1076" i="15"/>
  <c r="P1430" i="15"/>
  <c r="W200" i="15"/>
  <c r="W342" i="15"/>
  <c r="X73" i="15"/>
  <c r="W86" i="15"/>
  <c r="S123" i="15"/>
  <c r="T166" i="15"/>
  <c r="P304" i="15"/>
  <c r="V296" i="15"/>
  <c r="N429" i="15"/>
  <c r="N436" i="15"/>
  <c r="P573" i="15"/>
  <c r="N649" i="15"/>
  <c r="O899" i="15"/>
  <c r="O946" i="15"/>
  <c r="W206" i="15"/>
  <c r="W337" i="15"/>
  <c r="X63" i="15"/>
  <c r="X154" i="15"/>
  <c r="T160" i="15"/>
  <c r="T171" i="15"/>
  <c r="N428" i="15"/>
  <c r="N439" i="15"/>
  <c r="N515" i="15"/>
  <c r="P569" i="15"/>
  <c r="N632" i="15"/>
  <c r="N582" i="15"/>
  <c r="O898" i="15"/>
  <c r="O940" i="15"/>
  <c r="Q1240" i="15"/>
  <c r="P1439" i="15"/>
  <c r="O1379" i="15"/>
  <c r="O1373" i="15"/>
  <c r="O1406" i="15"/>
  <c r="P295" i="15"/>
  <c r="O430" i="15"/>
  <c r="N637" i="15"/>
  <c r="O1207" i="15"/>
  <c r="O1405" i="15"/>
  <c r="O1380" i="15"/>
  <c r="N881" i="15"/>
  <c r="N1157" i="15"/>
  <c r="O420" i="15"/>
  <c r="O426" i="15"/>
  <c r="O1211" i="15"/>
  <c r="T168" i="15"/>
  <c r="O666" i="15"/>
  <c r="O917" i="15"/>
  <c r="P1435" i="15"/>
  <c r="O407" i="15"/>
  <c r="O1335" i="15"/>
  <c r="O1209" i="15"/>
  <c r="O1348" i="15"/>
  <c r="X142" i="15"/>
  <c r="N494" i="15"/>
  <c r="N1109" i="15"/>
  <c r="X141" i="15"/>
  <c r="Q1255" i="15"/>
  <c r="N1406" i="15"/>
  <c r="N1396" i="15"/>
  <c r="N1405" i="15"/>
  <c r="N1401" i="15"/>
  <c r="P901" i="15"/>
  <c r="N1110" i="15"/>
  <c r="N1108" i="15"/>
  <c r="N1403" i="15"/>
  <c r="Q1242" i="15"/>
  <c r="N1409" i="15"/>
  <c r="N1394" i="15"/>
  <c r="Q1257" i="15"/>
  <c r="V243" i="15"/>
  <c r="N484" i="15"/>
  <c r="N492" i="15"/>
  <c r="N491" i="15"/>
  <c r="O1257" i="15"/>
  <c r="Q1256" i="15"/>
  <c r="O1124" i="15"/>
  <c r="O1115" i="15"/>
  <c r="N495" i="15"/>
  <c r="O921" i="15"/>
  <c r="Q1085" i="15"/>
  <c r="N1124" i="15"/>
  <c r="N1121" i="15"/>
  <c r="P899" i="15"/>
  <c r="Q1083" i="15"/>
  <c r="O1248" i="15"/>
  <c r="Q1253" i="15"/>
  <c r="P170" i="15"/>
  <c r="N1392" i="15"/>
  <c r="O1244" i="15"/>
  <c r="N1123" i="15"/>
  <c r="Q1252" i="15"/>
  <c r="P904" i="15"/>
  <c r="Q1086" i="15"/>
  <c r="O1240" i="15"/>
  <c r="Q1244" i="15"/>
  <c r="O1252" i="15"/>
  <c r="O1241" i="15"/>
  <c r="Q1248" i="15"/>
  <c r="O922" i="15"/>
  <c r="P903" i="15"/>
  <c r="Q1250" i="15"/>
  <c r="N1114" i="15"/>
  <c r="N1408" i="15"/>
  <c r="N1402" i="15"/>
  <c r="N1112" i="15"/>
  <c r="O1249" i="15"/>
  <c r="O1250" i="15"/>
  <c r="N481" i="15"/>
  <c r="N1119" i="15"/>
  <c r="Q1080" i="15"/>
  <c r="O1255" i="15"/>
  <c r="N1407" i="15"/>
  <c r="Q1247" i="15"/>
  <c r="O1256" i="15"/>
  <c r="O927" i="15"/>
  <c r="N485" i="15"/>
  <c r="N493" i="15"/>
  <c r="N483" i="15"/>
  <c r="Q1251" i="15"/>
  <c r="O1114" i="15"/>
  <c r="O1123" i="15"/>
  <c r="O1121" i="15"/>
  <c r="O934" i="15"/>
  <c r="O929" i="15"/>
  <c r="P910" i="15"/>
  <c r="Q1084" i="15"/>
  <c r="O1243" i="15"/>
  <c r="Q1241" i="15"/>
  <c r="Q1082" i="15"/>
  <c r="O926" i="15"/>
  <c r="O1254" i="15"/>
  <c r="N457" i="15"/>
  <c r="O1242" i="15"/>
  <c r="O933" i="15"/>
  <c r="O1108" i="15"/>
  <c r="O1117" i="15"/>
  <c r="Q1076" i="15"/>
  <c r="Q1069" i="15"/>
  <c r="O1247" i="15"/>
  <c r="N486" i="15"/>
  <c r="P912" i="15"/>
  <c r="O1107" i="15"/>
  <c r="O1116" i="15"/>
  <c r="N1111" i="15"/>
  <c r="P900" i="15"/>
  <c r="Q1245" i="15"/>
  <c r="N1118" i="15"/>
  <c r="Q1075" i="15"/>
  <c r="X288" i="15"/>
  <c r="N487" i="15"/>
  <c r="P898" i="15"/>
  <c r="P911" i="15"/>
  <c r="O1253" i="15"/>
  <c r="O1112" i="15"/>
  <c r="O1122" i="15"/>
  <c r="O1113" i="15"/>
  <c r="O932" i="15"/>
  <c r="N1115" i="15"/>
  <c r="P913" i="15"/>
  <c r="Q1078" i="15"/>
  <c r="O1245" i="15"/>
  <c r="Q1243" i="15"/>
  <c r="O1251" i="15"/>
  <c r="N1395" i="15"/>
  <c r="O919" i="15"/>
  <c r="Q1249" i="15"/>
  <c r="Q1246" i="15"/>
  <c r="N488" i="15"/>
  <c r="N482" i="15"/>
  <c r="N489" i="15"/>
  <c r="P906" i="15"/>
  <c r="P908" i="15"/>
  <c r="O920" i="15"/>
  <c r="O1111" i="15"/>
  <c r="N490" i="15"/>
  <c r="P915" i="15"/>
  <c r="Q1070" i="15"/>
  <c r="N1117" i="15"/>
  <c r="P905" i="15"/>
  <c r="Q1071" i="15"/>
  <c r="V317" i="15"/>
  <c r="N1399" i="15"/>
  <c r="N1397" i="15"/>
  <c r="N1116" i="15"/>
  <c r="N1122" i="15"/>
  <c r="N1400" i="15"/>
  <c r="S159" i="15"/>
  <c r="R324" i="15"/>
  <c r="O924" i="15"/>
  <c r="O931" i="15"/>
  <c r="W332" i="15"/>
  <c r="X284" i="15"/>
  <c r="X151" i="15"/>
  <c r="W95" i="15"/>
  <c r="P293" i="15"/>
  <c r="P291" i="15"/>
  <c r="P294" i="15"/>
  <c r="O411" i="15"/>
  <c r="W132" i="15"/>
  <c r="W329" i="15"/>
  <c r="W339" i="15"/>
  <c r="X62" i="15"/>
  <c r="X71" i="15"/>
  <c r="X140" i="15"/>
  <c r="W81" i="15"/>
  <c r="P167" i="15"/>
  <c r="S149" i="15"/>
  <c r="P298" i="15"/>
  <c r="O450" i="15"/>
  <c r="P292" i="15"/>
  <c r="T349" i="15"/>
  <c r="T350" i="15"/>
  <c r="N1158" i="15"/>
  <c r="O412" i="15"/>
  <c r="N1217" i="15"/>
  <c r="N639" i="15"/>
  <c r="U255" i="15"/>
  <c r="N502" i="15"/>
  <c r="X332" i="15"/>
  <c r="U264" i="15"/>
  <c r="W345" i="15"/>
  <c r="X272" i="15"/>
  <c r="X146" i="15"/>
  <c r="W92" i="15"/>
  <c r="P159" i="15"/>
  <c r="S144" i="15"/>
  <c r="O444" i="15"/>
  <c r="R66" i="15"/>
  <c r="P297" i="15"/>
  <c r="U203" i="15"/>
  <c r="Q202" i="15"/>
  <c r="V301" i="15"/>
  <c r="N1152" i="15"/>
  <c r="P303" i="15"/>
  <c r="O410" i="15"/>
  <c r="N1085" i="15"/>
  <c r="U201" i="15"/>
  <c r="T158" i="15"/>
  <c r="T288" i="15"/>
  <c r="T172" i="15"/>
  <c r="X342" i="15"/>
  <c r="X343" i="15"/>
  <c r="W122" i="15"/>
  <c r="W224" i="15"/>
  <c r="S336" i="15"/>
  <c r="W219" i="15"/>
  <c r="S333" i="15"/>
  <c r="O859" i="15"/>
  <c r="W226" i="15"/>
  <c r="P1146" i="15"/>
  <c r="W228" i="15"/>
  <c r="V60" i="15"/>
  <c r="S341" i="15"/>
  <c r="S340" i="15"/>
  <c r="R58" i="15"/>
  <c r="S343" i="15"/>
  <c r="T111" i="15"/>
  <c r="W343" i="15"/>
  <c r="X271" i="15"/>
  <c r="X274" i="15"/>
  <c r="X150" i="15"/>
  <c r="W98" i="15"/>
  <c r="W94" i="15"/>
  <c r="P71" i="15"/>
  <c r="P72" i="15"/>
  <c r="R133" i="15"/>
  <c r="S155" i="15"/>
  <c r="Q195" i="15"/>
  <c r="R136" i="15"/>
  <c r="T281" i="15"/>
  <c r="W340" i="15"/>
  <c r="X72" i="15"/>
  <c r="X75" i="15"/>
  <c r="X144" i="15"/>
  <c r="V250" i="15"/>
  <c r="V239" i="15"/>
  <c r="Q206" i="15"/>
  <c r="T274" i="15"/>
  <c r="U208" i="15"/>
  <c r="Q205" i="15"/>
  <c r="U268" i="15"/>
  <c r="T108" i="15"/>
  <c r="T103" i="15"/>
  <c r="W333" i="15"/>
  <c r="W330" i="15"/>
  <c r="X287" i="15"/>
  <c r="X282" i="15"/>
  <c r="X78" i="15"/>
  <c r="X65" i="15"/>
  <c r="X145" i="15"/>
  <c r="X143" i="15"/>
  <c r="W89" i="15"/>
  <c r="W88" i="15"/>
  <c r="P63" i="15"/>
  <c r="P77" i="15"/>
  <c r="S83" i="15"/>
  <c r="R125" i="15"/>
  <c r="S143" i="15"/>
  <c r="Q196" i="15"/>
  <c r="V242" i="15"/>
  <c r="Q198" i="15"/>
  <c r="R78" i="15"/>
  <c r="R62" i="15"/>
  <c r="U197" i="15"/>
  <c r="Q199" i="15"/>
  <c r="U254" i="15"/>
  <c r="T113" i="15"/>
  <c r="T278" i="15"/>
  <c r="T114" i="15"/>
  <c r="T110" i="15"/>
  <c r="R63" i="15"/>
  <c r="R75" i="15"/>
  <c r="U199" i="15"/>
  <c r="V305" i="15"/>
  <c r="P76" i="15"/>
  <c r="P166" i="15"/>
  <c r="P172" i="15"/>
  <c r="T360" i="15"/>
  <c r="U262" i="15"/>
  <c r="R119" i="15"/>
  <c r="T272" i="15"/>
  <c r="R322" i="15"/>
  <c r="T107" i="15"/>
  <c r="T104" i="15"/>
  <c r="P68" i="15"/>
  <c r="X283" i="15"/>
  <c r="V292" i="15"/>
  <c r="R74" i="15"/>
  <c r="Q210" i="15"/>
  <c r="T351" i="15"/>
  <c r="Q212" i="15"/>
  <c r="T354" i="15"/>
  <c r="V249" i="15"/>
  <c r="V293" i="15"/>
  <c r="P65" i="15"/>
  <c r="V319" i="15"/>
  <c r="V325" i="15"/>
  <c r="R318" i="15"/>
  <c r="P173" i="15"/>
  <c r="U196" i="15"/>
  <c r="T273" i="15"/>
  <c r="T287" i="15"/>
  <c r="X152" i="15"/>
  <c r="X139" i="15"/>
  <c r="S148" i="15"/>
  <c r="U261" i="15"/>
  <c r="W335" i="15"/>
  <c r="X286" i="15"/>
  <c r="X70" i="15"/>
  <c r="X148" i="15"/>
  <c r="X147" i="15"/>
  <c r="W97" i="15"/>
  <c r="W83" i="15"/>
  <c r="P66" i="15"/>
  <c r="P171" i="15"/>
  <c r="S154" i="15"/>
  <c r="S140" i="15"/>
  <c r="T282" i="15"/>
  <c r="V290" i="15"/>
  <c r="R65" i="15"/>
  <c r="U252" i="15"/>
  <c r="T353" i="15"/>
  <c r="T357" i="15"/>
  <c r="Q208" i="15"/>
  <c r="V307" i="15"/>
  <c r="P67" i="15"/>
  <c r="R320" i="15"/>
  <c r="P174" i="15"/>
  <c r="V313" i="15"/>
  <c r="X276" i="15"/>
  <c r="X138" i="15"/>
  <c r="X155" i="15"/>
  <c r="S153" i="15"/>
  <c r="R77" i="15"/>
  <c r="U267" i="15"/>
  <c r="Q209" i="15"/>
  <c r="T358" i="15"/>
  <c r="R323" i="15"/>
  <c r="P160" i="15"/>
  <c r="T106" i="15"/>
  <c r="T101" i="15"/>
  <c r="T280" i="15"/>
  <c r="N119" i="15"/>
  <c r="N121" i="15"/>
  <c r="U325" i="15"/>
  <c r="U317" i="15"/>
  <c r="U313" i="15"/>
  <c r="X167" i="15"/>
  <c r="X160" i="15"/>
  <c r="X157" i="15"/>
  <c r="X161" i="15"/>
  <c r="X162" i="15"/>
  <c r="X159" i="15"/>
  <c r="X174" i="15"/>
  <c r="X170" i="15"/>
  <c r="X166" i="15"/>
  <c r="X169" i="15"/>
  <c r="P88" i="15"/>
  <c r="P89" i="15"/>
  <c r="P82" i="15"/>
  <c r="P93" i="15"/>
  <c r="P90" i="15"/>
  <c r="P84" i="15"/>
  <c r="P96" i="15"/>
  <c r="P95" i="15"/>
  <c r="W76" i="15"/>
  <c r="W64" i="15"/>
  <c r="W68" i="15"/>
  <c r="W79" i="15"/>
  <c r="W77" i="15"/>
  <c r="W62" i="15"/>
  <c r="W67" i="15"/>
  <c r="W69" i="15"/>
  <c r="W71" i="15"/>
  <c r="W72" i="15"/>
  <c r="P687" i="15"/>
  <c r="P670" i="15"/>
  <c r="P684" i="15"/>
  <c r="P676" i="15"/>
  <c r="P685" i="15"/>
  <c r="P679" i="15"/>
  <c r="P686" i="15"/>
  <c r="P671" i="15"/>
  <c r="P675" i="15"/>
  <c r="P683" i="15"/>
  <c r="N1509" i="15"/>
  <c r="N1521" i="15"/>
  <c r="N1513" i="15"/>
  <c r="N1507" i="15"/>
  <c r="N1511" i="15"/>
  <c r="N1366" i="15"/>
  <c r="N1361" i="15"/>
  <c r="N1358" i="15"/>
  <c r="N1354" i="15"/>
  <c r="N1364" i="15"/>
  <c r="N1365" i="15"/>
  <c r="O372" i="15"/>
  <c r="O381" i="15"/>
  <c r="O378" i="15"/>
  <c r="O373" i="15"/>
  <c r="O376" i="15"/>
  <c r="O371" i="15"/>
  <c r="O379" i="15"/>
  <c r="O367" i="15"/>
  <c r="O368" i="15"/>
  <c r="O369" i="15"/>
  <c r="O380" i="15"/>
  <c r="O366" i="15"/>
  <c r="O377" i="15"/>
  <c r="N1129" i="15"/>
  <c r="N1137" i="15"/>
  <c r="N1126" i="15"/>
  <c r="N1142" i="15"/>
  <c r="N1136" i="15"/>
  <c r="N1132" i="15"/>
  <c r="N1130" i="15"/>
  <c r="T329" i="15"/>
  <c r="T333" i="15"/>
  <c r="T344" i="15"/>
  <c r="T340" i="15"/>
  <c r="T338" i="15"/>
  <c r="T336" i="15"/>
  <c r="T341" i="15"/>
  <c r="T339" i="15"/>
  <c r="T335" i="15"/>
  <c r="T343" i="15"/>
  <c r="T334" i="15"/>
  <c r="T342" i="15"/>
  <c r="X297" i="15"/>
  <c r="X294" i="15"/>
  <c r="X183" i="15"/>
  <c r="X163" i="15"/>
  <c r="W74" i="15"/>
  <c r="P98" i="15"/>
  <c r="S136" i="15"/>
  <c r="N1522" i="15"/>
  <c r="N1367" i="15"/>
  <c r="X304" i="15"/>
  <c r="X165" i="15"/>
  <c r="W73" i="15"/>
  <c r="S127" i="15"/>
  <c r="O374" i="15"/>
  <c r="N1370" i="15"/>
  <c r="T345" i="15"/>
  <c r="R252" i="15"/>
  <c r="R263" i="15"/>
  <c r="R268" i="15"/>
  <c r="X189" i="15"/>
  <c r="X188" i="15"/>
  <c r="X181" i="15"/>
  <c r="X182" i="15"/>
  <c r="X193" i="15"/>
  <c r="X180" i="15"/>
  <c r="X185" i="15"/>
  <c r="X192" i="15"/>
  <c r="X190" i="15"/>
  <c r="V105" i="15"/>
  <c r="V106" i="15"/>
  <c r="V111" i="15"/>
  <c r="V116" i="15"/>
  <c r="V117" i="15"/>
  <c r="Q652" i="15"/>
  <c r="Q657" i="15"/>
  <c r="Q653" i="15"/>
  <c r="Q663" i="15"/>
  <c r="Q654" i="15"/>
  <c r="Q665" i="15"/>
  <c r="Q662" i="15"/>
  <c r="Q666" i="15"/>
  <c r="Q656" i="15"/>
  <c r="Q658" i="15"/>
  <c r="Q404" i="15"/>
  <c r="Q409" i="15"/>
  <c r="Q412" i="15"/>
  <c r="Q420" i="15"/>
  <c r="Q407" i="15"/>
  <c r="Q416" i="15"/>
  <c r="Q411" i="15"/>
  <c r="Q415" i="15"/>
  <c r="Q408" i="15"/>
  <c r="Q418" i="15"/>
  <c r="Q421" i="15"/>
  <c r="Q406" i="15"/>
  <c r="O541" i="15"/>
  <c r="O542" i="15"/>
  <c r="O553" i="15"/>
  <c r="O547" i="15"/>
  <c r="O543" i="15"/>
  <c r="O548" i="15"/>
  <c r="O546" i="15"/>
  <c r="O549" i="15"/>
  <c r="O538" i="15"/>
  <c r="O550" i="15"/>
  <c r="O552" i="15"/>
  <c r="V364" i="15"/>
  <c r="V352" i="15"/>
  <c r="V347" i="15"/>
  <c r="V348" i="15"/>
  <c r="V350" i="15"/>
  <c r="V353" i="15"/>
  <c r="V357" i="15"/>
  <c r="T325" i="15"/>
  <c r="T314" i="15"/>
  <c r="T323" i="15"/>
  <c r="T309" i="15"/>
  <c r="T320" i="15"/>
  <c r="T322" i="15"/>
  <c r="T318" i="15"/>
  <c r="T310" i="15"/>
  <c r="S125" i="15"/>
  <c r="S130" i="15"/>
  <c r="S122" i="15"/>
  <c r="S124" i="15"/>
  <c r="S134" i="15"/>
  <c r="S133" i="15"/>
  <c r="S132" i="15"/>
  <c r="S120" i="15"/>
  <c r="S129" i="15"/>
  <c r="S128" i="15"/>
  <c r="S103" i="15"/>
  <c r="S104" i="15"/>
  <c r="S108" i="15"/>
  <c r="S114" i="15"/>
  <c r="S116" i="15"/>
  <c r="S105" i="15"/>
  <c r="S111" i="15"/>
  <c r="S112" i="15"/>
  <c r="S110" i="15"/>
  <c r="O481" i="15"/>
  <c r="O488" i="15"/>
  <c r="O494" i="15"/>
  <c r="O495" i="15"/>
  <c r="O491" i="15"/>
  <c r="O490" i="15"/>
  <c r="O483" i="15"/>
  <c r="O485" i="15"/>
  <c r="O493" i="15"/>
  <c r="O496" i="15"/>
  <c r="O486" i="15"/>
  <c r="O487" i="15"/>
  <c r="P1016" i="15"/>
  <c r="P1018" i="15"/>
  <c r="P1017" i="15"/>
  <c r="P1021" i="15"/>
  <c r="P1014" i="15"/>
  <c r="P1020" i="15"/>
  <c r="P1022" i="15"/>
  <c r="P1023" i="15"/>
  <c r="P1025" i="15"/>
  <c r="P1019" i="15"/>
  <c r="P1012" i="15"/>
  <c r="P1024" i="15"/>
  <c r="X305" i="15"/>
  <c r="X306" i="15"/>
  <c r="X179" i="15"/>
  <c r="X184" i="15"/>
  <c r="X168" i="15"/>
  <c r="W75" i="15"/>
  <c r="T332" i="15"/>
  <c r="U323" i="15"/>
  <c r="Q419" i="15"/>
  <c r="Q417" i="15"/>
  <c r="Q664" i="15"/>
  <c r="P674" i="15"/>
  <c r="P1026" i="15"/>
  <c r="P1028" i="15"/>
  <c r="N1127" i="15"/>
  <c r="R88" i="15"/>
  <c r="R97" i="15"/>
  <c r="R82" i="15"/>
  <c r="R94" i="15"/>
  <c r="R90" i="15"/>
  <c r="R83" i="15"/>
  <c r="S351" i="15"/>
  <c r="S355" i="15"/>
  <c r="S363" i="15"/>
  <c r="S359" i="15"/>
  <c r="Q115" i="15"/>
  <c r="Q108" i="15"/>
  <c r="Q113" i="15"/>
  <c r="Q110" i="15"/>
  <c r="T247" i="15"/>
  <c r="T245" i="15"/>
  <c r="T235" i="15"/>
  <c r="T236" i="15"/>
  <c r="T244" i="15"/>
  <c r="T250" i="15"/>
  <c r="T239" i="15"/>
  <c r="T238" i="15"/>
  <c r="T249" i="15"/>
  <c r="T243" i="15"/>
  <c r="T246" i="15"/>
  <c r="P730" i="15"/>
  <c r="P739" i="15"/>
  <c r="P735" i="15"/>
  <c r="P729" i="15"/>
  <c r="P738" i="15"/>
  <c r="P741" i="15"/>
  <c r="P728" i="15"/>
  <c r="P740" i="15"/>
  <c r="P731" i="15"/>
  <c r="P734" i="15"/>
  <c r="P727" i="15"/>
  <c r="P737" i="15"/>
  <c r="N1090" i="15"/>
  <c r="N1096" i="15"/>
  <c r="N1105" i="15"/>
  <c r="N1097" i="15"/>
  <c r="N1099" i="15"/>
  <c r="W63" i="15"/>
  <c r="O382" i="15"/>
  <c r="U309" i="15"/>
  <c r="T337" i="15"/>
  <c r="Q410" i="15"/>
  <c r="N1355" i="15"/>
  <c r="S107" i="15"/>
  <c r="X296" i="15"/>
  <c r="X186" i="15"/>
  <c r="X158" i="15"/>
  <c r="W65" i="15"/>
  <c r="P85" i="15"/>
  <c r="T237" i="15"/>
  <c r="T326" i="15"/>
  <c r="T330" i="15"/>
  <c r="P678" i="15"/>
  <c r="P682" i="15"/>
  <c r="P1027" i="15"/>
  <c r="P1013" i="15"/>
  <c r="T242" i="15"/>
  <c r="O370" i="15"/>
  <c r="Q413" i="15"/>
  <c r="P733" i="15"/>
  <c r="N1518" i="15"/>
  <c r="Q282" i="15"/>
  <c r="Q275" i="15"/>
  <c r="Q272" i="15"/>
  <c r="Q280" i="15"/>
  <c r="Q283" i="15"/>
  <c r="Q271" i="15"/>
  <c r="N623" i="15"/>
  <c r="N622" i="15"/>
  <c r="N624" i="15"/>
  <c r="N625" i="15"/>
  <c r="N613" i="15"/>
  <c r="N614" i="15"/>
  <c r="X176" i="15"/>
  <c r="X187" i="15"/>
  <c r="X164" i="15"/>
  <c r="W70" i="15"/>
  <c r="S113" i="15"/>
  <c r="Q286" i="15"/>
  <c r="V358" i="15"/>
  <c r="O480" i="15"/>
  <c r="P672" i="15"/>
  <c r="N626" i="15"/>
  <c r="P1015" i="15"/>
  <c r="Q405" i="15"/>
  <c r="Q332" i="15"/>
  <c r="Q337" i="15"/>
  <c r="T197" i="15"/>
  <c r="T211" i="15"/>
  <c r="T195" i="15"/>
  <c r="N151" i="15"/>
  <c r="N141" i="15"/>
  <c r="X303" i="15"/>
  <c r="X298" i="15"/>
  <c r="X292" i="15"/>
  <c r="X302" i="15"/>
  <c r="X295" i="15"/>
  <c r="X299" i="15"/>
  <c r="X290" i="15"/>
  <c r="X291" i="15"/>
  <c r="X300" i="15"/>
  <c r="N575" i="15"/>
  <c r="N590" i="15"/>
  <c r="N583" i="15"/>
  <c r="N591" i="15"/>
  <c r="N587" i="15"/>
  <c r="N588" i="15"/>
  <c r="N581" i="15"/>
  <c r="N585" i="15"/>
  <c r="N841" i="15"/>
  <c r="N851" i="15"/>
  <c r="N846" i="15"/>
  <c r="N842" i="15"/>
  <c r="N857" i="15"/>
  <c r="N853" i="15"/>
  <c r="N856" i="15"/>
  <c r="X171" i="15"/>
  <c r="Q341" i="15"/>
  <c r="Q667" i="15"/>
  <c r="X301" i="15"/>
  <c r="X178" i="15"/>
  <c r="X172" i="15"/>
  <c r="W78" i="15"/>
  <c r="N132" i="15"/>
  <c r="S100" i="15"/>
  <c r="O383" i="15"/>
  <c r="V349" i="15"/>
  <c r="P680" i="15"/>
  <c r="N617" i="15"/>
  <c r="N1098" i="15"/>
  <c r="Q278" i="15"/>
  <c r="P736" i="15"/>
  <c r="P732" i="15"/>
  <c r="T331" i="15"/>
  <c r="N328" i="15"/>
  <c r="N340" i="15"/>
  <c r="S277" i="15"/>
  <c r="S283" i="15"/>
  <c r="U363" i="15"/>
  <c r="U350" i="15"/>
  <c r="V222" i="15"/>
  <c r="V228" i="15"/>
  <c r="V229" i="15"/>
  <c r="V224" i="15"/>
  <c r="T189" i="15"/>
  <c r="T182" i="15"/>
  <c r="U299" i="15"/>
  <c r="U302" i="15"/>
  <c r="V142" i="15"/>
  <c r="V150" i="15"/>
  <c r="V147" i="15"/>
  <c r="O358" i="15"/>
  <c r="O347" i="15"/>
  <c r="X24" i="15"/>
  <c r="V248" i="15"/>
  <c r="N333" i="15"/>
  <c r="U358" i="15"/>
  <c r="R72" i="15"/>
  <c r="R282" i="15"/>
  <c r="R279" i="15"/>
  <c r="T284" i="15"/>
  <c r="V240" i="15"/>
  <c r="V233" i="15"/>
  <c r="V237" i="15"/>
  <c r="V312" i="15"/>
  <c r="V324" i="15"/>
  <c r="V311" i="15"/>
  <c r="V314" i="15"/>
  <c r="V309" i="15"/>
  <c r="U260" i="15"/>
  <c r="U263" i="15"/>
  <c r="U259" i="15"/>
  <c r="U269" i="15"/>
  <c r="V299" i="15"/>
  <c r="V300" i="15"/>
  <c r="S141" i="15"/>
  <c r="S146" i="15"/>
  <c r="P161" i="15"/>
  <c r="P164" i="15"/>
  <c r="P169" i="15"/>
  <c r="P163" i="15"/>
  <c r="T347" i="15"/>
  <c r="T356" i="15"/>
  <c r="T348" i="15"/>
  <c r="U206" i="15"/>
  <c r="U212" i="15"/>
  <c r="U209" i="15"/>
  <c r="U200" i="15"/>
  <c r="U210" i="15"/>
  <c r="R126" i="15"/>
  <c r="R134" i="15"/>
  <c r="R121" i="15"/>
  <c r="O66" i="15"/>
  <c r="P300" i="15"/>
  <c r="Q207" i="15"/>
  <c r="O679" i="15"/>
  <c r="O683" i="15"/>
  <c r="N445" i="15"/>
  <c r="N717" i="15"/>
  <c r="R310" i="15"/>
  <c r="T100" i="15"/>
  <c r="T116" i="15"/>
  <c r="T115" i="15"/>
  <c r="T117" i="15"/>
  <c r="R317" i="15"/>
  <c r="P307" i="15"/>
  <c r="P299" i="15"/>
  <c r="U279" i="15"/>
  <c r="X333" i="15"/>
  <c r="X362" i="15"/>
  <c r="S93" i="15"/>
  <c r="X280" i="15"/>
  <c r="Q174" i="15"/>
  <c r="R166" i="15"/>
  <c r="V247" i="15"/>
  <c r="V320" i="15"/>
  <c r="V234" i="15"/>
  <c r="V244" i="15"/>
  <c r="V291" i="15"/>
  <c r="U284" i="15"/>
  <c r="P1112" i="15"/>
  <c r="P1381" i="15"/>
  <c r="P1375" i="15"/>
  <c r="R64" i="15"/>
  <c r="R70" i="15"/>
  <c r="R69" i="15"/>
  <c r="U258" i="15"/>
  <c r="S328" i="15"/>
  <c r="S330" i="15"/>
  <c r="U211" i="15"/>
  <c r="T352" i="15"/>
  <c r="V323" i="15"/>
  <c r="V297" i="15"/>
  <c r="V322" i="15"/>
  <c r="P78" i="15"/>
  <c r="T359" i="15"/>
  <c r="S331" i="15"/>
  <c r="P168" i="15"/>
  <c r="P64" i="15"/>
  <c r="S151" i="15"/>
  <c r="R314" i="15"/>
  <c r="R326" i="15"/>
  <c r="P305" i="15"/>
  <c r="T277" i="15"/>
  <c r="T286" i="15"/>
  <c r="S138" i="15"/>
  <c r="P1441" i="15"/>
  <c r="O406" i="15"/>
  <c r="R321" i="15"/>
  <c r="R124" i="15"/>
  <c r="S334" i="15"/>
  <c r="X273" i="15"/>
  <c r="X277" i="15"/>
  <c r="X275" i="15"/>
  <c r="X279" i="15"/>
  <c r="X285" i="15"/>
  <c r="X153" i="15"/>
  <c r="W90" i="15"/>
  <c r="S147" i="15"/>
  <c r="R167" i="15"/>
  <c r="U265" i="15"/>
  <c r="V183" i="15"/>
  <c r="V235" i="15"/>
  <c r="U253" i="15"/>
  <c r="V306" i="15"/>
  <c r="P1107" i="15"/>
  <c r="P1389" i="15"/>
  <c r="R67" i="15"/>
  <c r="R73" i="15"/>
  <c r="R76" i="15"/>
  <c r="U205" i="15"/>
  <c r="U257" i="15"/>
  <c r="S335" i="15"/>
  <c r="S338" i="15"/>
  <c r="V245" i="15"/>
  <c r="U204" i="15"/>
  <c r="S329" i="15"/>
  <c r="Q201" i="15"/>
  <c r="S314" i="15"/>
  <c r="V303" i="15"/>
  <c r="O336" i="15"/>
  <c r="P1160" i="15"/>
  <c r="T364" i="15"/>
  <c r="R313" i="15"/>
  <c r="P75" i="15"/>
  <c r="O415" i="15"/>
  <c r="O416" i="15"/>
  <c r="P162" i="15"/>
  <c r="R127" i="15"/>
  <c r="S167" i="15"/>
  <c r="R319" i="15"/>
  <c r="R68" i="15"/>
  <c r="R311" i="15"/>
  <c r="T271" i="15"/>
  <c r="T165" i="15"/>
  <c r="P1444" i="15"/>
  <c r="T105" i="15"/>
  <c r="O409" i="15"/>
  <c r="R316" i="15"/>
  <c r="T170" i="15"/>
  <c r="S332" i="15"/>
  <c r="S342" i="15"/>
  <c r="X281" i="15"/>
  <c r="S150" i="15"/>
  <c r="V236" i="15"/>
  <c r="U288" i="15"/>
  <c r="V298" i="15"/>
  <c r="T279" i="15"/>
  <c r="U207" i="15"/>
  <c r="U198" i="15"/>
  <c r="V295" i="15"/>
  <c r="Q211" i="15"/>
  <c r="R315" i="15"/>
  <c r="P158" i="15"/>
  <c r="R132" i="15"/>
  <c r="S174" i="15"/>
  <c r="R325" i="15"/>
  <c r="U202" i="15"/>
  <c r="R79" i="15"/>
  <c r="V246" i="15"/>
  <c r="T355" i="15"/>
  <c r="T276" i="15"/>
  <c r="R195" i="15"/>
  <c r="T109" i="15"/>
  <c r="P1436" i="15"/>
  <c r="R309" i="15"/>
  <c r="T112" i="15"/>
  <c r="N421" i="15"/>
  <c r="N1084" i="15"/>
  <c r="N508" i="15"/>
  <c r="N699" i="15"/>
  <c r="N82" i="15"/>
  <c r="N306" i="15"/>
  <c r="N1073" i="15"/>
  <c r="N884" i="15"/>
  <c r="N1080" i="15"/>
  <c r="N1072" i="15"/>
  <c r="N516" i="15"/>
  <c r="N499" i="15"/>
  <c r="N946" i="15"/>
  <c r="N938" i="15"/>
  <c r="N506" i="15"/>
  <c r="N514" i="15"/>
  <c r="N500" i="15"/>
  <c r="N1069" i="15"/>
  <c r="N696" i="15"/>
  <c r="N941" i="15"/>
  <c r="N891" i="15"/>
  <c r="N1075" i="15"/>
  <c r="N701" i="15"/>
  <c r="N509" i="15"/>
  <c r="N409" i="15"/>
  <c r="N410" i="15"/>
  <c r="N697" i="15"/>
  <c r="N554" i="15"/>
  <c r="N939" i="15"/>
  <c r="N1150" i="15"/>
  <c r="N887" i="15"/>
  <c r="N414" i="15"/>
  <c r="N694" i="15"/>
  <c r="N949" i="15"/>
  <c r="N951" i="15"/>
  <c r="N945" i="15"/>
  <c r="N546" i="15"/>
  <c r="N510" i="15"/>
  <c r="O202" i="15"/>
  <c r="T267" i="15"/>
  <c r="O200" i="15"/>
  <c r="S157" i="15"/>
  <c r="S168" i="15"/>
  <c r="V52" i="15"/>
  <c r="T75" i="15"/>
  <c r="T252" i="15"/>
  <c r="S166" i="15"/>
  <c r="P918" i="15"/>
  <c r="T268" i="15"/>
  <c r="S160" i="15"/>
  <c r="S169" i="15"/>
  <c r="W50" i="15"/>
  <c r="X316" i="15"/>
  <c r="W51" i="15"/>
  <c r="S171" i="15"/>
  <c r="X324" i="15"/>
  <c r="N763" i="15"/>
  <c r="N749" i="15"/>
  <c r="N105" i="15"/>
  <c r="N115" i="15"/>
  <c r="N114" i="15"/>
  <c r="N110" i="15"/>
  <c r="N106" i="15"/>
  <c r="N86" i="15"/>
  <c r="N94" i="15"/>
  <c r="N98" i="15"/>
  <c r="N84" i="15"/>
  <c r="N88" i="15"/>
  <c r="N443" i="15"/>
  <c r="N459" i="15"/>
  <c r="N454" i="15"/>
  <c r="N452" i="15"/>
  <c r="N1156" i="15"/>
  <c r="N1148" i="15"/>
  <c r="N1161" i="15"/>
  <c r="N1159" i="15"/>
  <c r="N1149" i="15"/>
  <c r="N1153" i="15"/>
  <c r="N1070" i="15"/>
  <c r="N1071" i="15"/>
  <c r="N1074" i="15"/>
  <c r="N1077" i="15"/>
  <c r="N883" i="15"/>
  <c r="N886" i="15"/>
  <c r="N896" i="15"/>
  <c r="N893" i="15"/>
  <c r="N879" i="15"/>
  <c r="N895" i="15"/>
  <c r="N880" i="15"/>
  <c r="N404" i="15"/>
  <c r="N411" i="15"/>
  <c r="N420" i="15"/>
  <c r="N415" i="15"/>
  <c r="N419" i="15"/>
  <c r="N413" i="15"/>
  <c r="N408" i="15"/>
  <c r="N417" i="15"/>
  <c r="N405" i="15"/>
  <c r="N943" i="15"/>
  <c r="N953" i="15"/>
  <c r="N944" i="15"/>
  <c r="N940" i="15"/>
  <c r="N702" i="15"/>
  <c r="N690" i="15"/>
  <c r="N698" i="15"/>
  <c r="N704" i="15"/>
  <c r="N703" i="15"/>
  <c r="N83" i="15"/>
  <c r="N91" i="15"/>
  <c r="N937" i="15"/>
  <c r="N1162" i="15"/>
  <c r="N952" i="15"/>
  <c r="N890" i="15"/>
  <c r="N1147" i="15"/>
  <c r="N455" i="15"/>
  <c r="N87" i="15"/>
  <c r="N1086" i="15"/>
  <c r="N501" i="15"/>
  <c r="N442" i="15"/>
  <c r="N507" i="15"/>
  <c r="N444" i="15"/>
  <c r="N131" i="15"/>
  <c r="N125" i="15"/>
  <c r="N139" i="15"/>
  <c r="N152" i="15"/>
  <c r="N150" i="15"/>
  <c r="N1102" i="15"/>
  <c r="N1100" i="15"/>
  <c r="N1088" i="15"/>
  <c r="N1089" i="15"/>
  <c r="N578" i="15"/>
  <c r="N576" i="15"/>
  <c r="N586" i="15"/>
  <c r="N584" i="15"/>
  <c r="N580" i="15"/>
  <c r="N1508" i="15"/>
  <c r="N1520" i="15"/>
  <c r="N1517" i="15"/>
  <c r="N1516" i="15"/>
  <c r="N1356" i="15"/>
  <c r="N1363" i="15"/>
  <c r="N1368" i="15"/>
  <c r="N1369" i="15"/>
  <c r="N1357" i="15"/>
  <c r="N628" i="15"/>
  <c r="N618" i="15"/>
  <c r="N630" i="15"/>
  <c r="N619" i="15"/>
  <c r="N621" i="15"/>
  <c r="N844" i="15"/>
  <c r="N852" i="15"/>
  <c r="N858" i="15"/>
  <c r="N848" i="15"/>
  <c r="N843" i="15"/>
  <c r="N1128" i="15"/>
  <c r="N1143" i="15"/>
  <c r="N1139" i="15"/>
  <c r="N1135" i="15"/>
  <c r="N1131" i="15"/>
  <c r="N97" i="15"/>
  <c r="N95" i="15"/>
  <c r="N579" i="15"/>
  <c r="N616" i="15"/>
  <c r="N888" i="15"/>
  <c r="N950" i="15"/>
  <c r="N1154" i="15"/>
  <c r="N1078" i="15"/>
  <c r="N948" i="15"/>
  <c r="N892" i="15"/>
  <c r="N1145" i="15"/>
  <c r="N1134" i="15"/>
  <c r="N1141" i="15"/>
  <c r="N458" i="15"/>
  <c r="N847" i="15"/>
  <c r="N1104" i="15"/>
  <c r="N1523" i="15"/>
  <c r="N96" i="15"/>
  <c r="N456" i="15"/>
  <c r="N112" i="15"/>
  <c r="N451" i="15"/>
  <c r="N504" i="15"/>
  <c r="N1512" i="15"/>
  <c r="N89" i="15"/>
  <c r="N589" i="15"/>
  <c r="N592" i="15"/>
  <c r="N629" i="15"/>
  <c r="N615" i="15"/>
  <c r="N885" i="15"/>
  <c r="N1082" i="15"/>
  <c r="N942" i="15"/>
  <c r="N1138" i="15"/>
  <c r="N1146" i="15"/>
  <c r="N689" i="15"/>
  <c r="N845" i="15"/>
  <c r="N854" i="15"/>
  <c r="N936" i="15"/>
  <c r="N1371" i="15"/>
  <c r="N1360" i="15"/>
  <c r="N889" i="15"/>
  <c r="N1359" i="15"/>
  <c r="N1133" i="15"/>
  <c r="N1140" i="15"/>
  <c r="N855" i="15"/>
  <c r="N1083" i="15"/>
  <c r="N1093" i="15"/>
  <c r="N850" i="15"/>
  <c r="N1506" i="15"/>
  <c r="N503" i="15"/>
  <c r="N511" i="15"/>
  <c r="N1362" i="15"/>
  <c r="N1515" i="15"/>
  <c r="N1514" i="15"/>
  <c r="N691" i="15"/>
  <c r="N406" i="15"/>
  <c r="N520" i="15"/>
  <c r="N713" i="15"/>
  <c r="N714" i="15"/>
  <c r="N1170" i="15"/>
  <c r="N1235" i="15"/>
  <c r="N1222" i="15"/>
  <c r="N1037" i="15"/>
  <c r="N1047" i="15"/>
  <c r="N535" i="15"/>
  <c r="O212" i="15"/>
  <c r="X221" i="15"/>
  <c r="O209" i="15"/>
  <c r="X216" i="15"/>
  <c r="O208" i="15"/>
  <c r="S162" i="15"/>
  <c r="O205" i="15"/>
  <c r="N100" i="15"/>
  <c r="N111" i="15"/>
  <c r="N116" i="15"/>
  <c r="N102" i="15"/>
  <c r="N320" i="15"/>
  <c r="N113" i="15"/>
  <c r="N103" i="15"/>
  <c r="N303" i="15"/>
  <c r="N93" i="15"/>
  <c r="N1101" i="15"/>
  <c r="N513" i="15"/>
  <c r="N101" i="15"/>
  <c r="N117" i="15"/>
  <c r="N104" i="15"/>
  <c r="N81" i="15"/>
  <c r="N108" i="15"/>
  <c r="N135" i="15"/>
  <c r="N294" i="15"/>
  <c r="N446" i="15"/>
  <c r="N1092" i="15"/>
  <c r="N1519" i="15"/>
  <c r="N1510" i="15"/>
  <c r="N107" i="15"/>
  <c r="N448" i="15"/>
  <c r="N450" i="15"/>
  <c r="N1091" i="15"/>
  <c r="N1160" i="15"/>
  <c r="N512" i="15"/>
  <c r="N249" i="15"/>
  <c r="O345" i="15"/>
  <c r="O206" i="15"/>
  <c r="S164" i="15"/>
  <c r="S172" i="15"/>
  <c r="O210" i="15"/>
  <c r="O196" i="15"/>
  <c r="O207" i="15"/>
  <c r="O198" i="15"/>
  <c r="O195" i="15"/>
  <c r="W284" i="15"/>
  <c r="O201" i="15"/>
  <c r="U256" i="15"/>
  <c r="S142" i="15"/>
  <c r="O211" i="15"/>
  <c r="T283" i="15"/>
  <c r="S158" i="15"/>
  <c r="S170" i="15"/>
  <c r="O204" i="15"/>
  <c r="S173" i="15"/>
  <c r="S161" i="15"/>
  <c r="S165" i="15"/>
  <c r="O199" i="15"/>
  <c r="O203" i="15"/>
  <c r="W266" i="15"/>
  <c r="W261" i="15"/>
  <c r="R250" i="15"/>
  <c r="R234" i="15"/>
  <c r="P288" i="15"/>
  <c r="P280" i="15"/>
  <c r="P278" i="15"/>
  <c r="P277" i="15"/>
  <c r="P281" i="15"/>
  <c r="P286" i="15"/>
  <c r="T52" i="15"/>
  <c r="T58" i="15"/>
  <c r="T44" i="15"/>
  <c r="T57" i="15"/>
  <c r="T46" i="15"/>
  <c r="T55" i="15"/>
  <c r="T56" i="15"/>
  <c r="T43" i="15"/>
  <c r="T54" i="15"/>
  <c r="T47" i="15"/>
  <c r="T53" i="15"/>
  <c r="T49" i="15"/>
  <c r="X353" i="15"/>
  <c r="X347" i="15"/>
  <c r="X363" i="15"/>
  <c r="X358" i="15"/>
  <c r="X359" i="15"/>
  <c r="X364" i="15"/>
  <c r="X360" i="15"/>
  <c r="X352" i="15"/>
  <c r="X349" i="15"/>
  <c r="P1122" i="15"/>
  <c r="P1124" i="15"/>
  <c r="P1115" i="15"/>
  <c r="P1123" i="15"/>
  <c r="P1113" i="15"/>
  <c r="P1119" i="15"/>
  <c r="P1116" i="15"/>
  <c r="P1120" i="15"/>
  <c r="P1111" i="15"/>
  <c r="P1110" i="15"/>
  <c r="P1109" i="15"/>
  <c r="P1108" i="15"/>
  <c r="P1118" i="15"/>
  <c r="P494" i="15"/>
  <c r="P482" i="15"/>
  <c r="P490" i="15"/>
  <c r="P485" i="15"/>
  <c r="P480" i="15"/>
  <c r="P487" i="15"/>
  <c r="P491" i="15"/>
  <c r="P481" i="15"/>
  <c r="P495" i="15"/>
  <c r="P489" i="15"/>
  <c r="P492" i="15"/>
  <c r="N727" i="15"/>
  <c r="N737" i="15"/>
  <c r="N739" i="15"/>
  <c r="N741" i="15"/>
  <c r="N733" i="15"/>
  <c r="N734" i="15"/>
  <c r="N731" i="15"/>
  <c r="N728" i="15"/>
  <c r="N740" i="15"/>
  <c r="N743" i="15"/>
  <c r="N742" i="15"/>
  <c r="N744" i="15"/>
  <c r="P1150" i="15"/>
  <c r="P1159" i="15"/>
  <c r="P1161" i="15"/>
  <c r="P1147" i="15"/>
  <c r="P1157" i="15"/>
  <c r="P1149" i="15"/>
  <c r="P1152" i="15"/>
  <c r="P1151" i="15"/>
  <c r="P1148" i="15"/>
  <c r="P1145" i="15"/>
  <c r="P1154" i="15"/>
  <c r="P1153" i="15"/>
  <c r="P1162" i="15"/>
  <c r="N785" i="15"/>
  <c r="N801" i="15"/>
  <c r="N787" i="15"/>
  <c r="N796" i="15"/>
  <c r="N794" i="15"/>
  <c r="N789" i="15"/>
  <c r="N795" i="15"/>
  <c r="N793" i="15"/>
  <c r="N799" i="15"/>
  <c r="N791" i="15"/>
  <c r="N798" i="15"/>
  <c r="N790" i="15"/>
  <c r="N786" i="15"/>
  <c r="N788" i="15"/>
  <c r="N792" i="15"/>
  <c r="P831" i="15"/>
  <c r="P837" i="15"/>
  <c r="P828" i="15"/>
  <c r="P826" i="15"/>
  <c r="P839" i="15"/>
  <c r="P822" i="15"/>
  <c r="P829" i="15"/>
  <c r="P832" i="15"/>
  <c r="P830" i="15"/>
  <c r="P825" i="15"/>
  <c r="P838" i="15"/>
  <c r="P824" i="15"/>
  <c r="N997" i="15"/>
  <c r="N1007" i="15"/>
  <c r="N1003" i="15"/>
  <c r="N1005" i="15"/>
  <c r="N994" i="15"/>
  <c r="N1002" i="15"/>
  <c r="N1008" i="15"/>
  <c r="N993" i="15"/>
  <c r="N1004" i="15"/>
  <c r="N1010" i="15"/>
  <c r="N1001" i="15"/>
  <c r="N996" i="15"/>
  <c r="N1009" i="15"/>
  <c r="N995" i="15"/>
  <c r="N999" i="15"/>
  <c r="P1373" i="15"/>
  <c r="P1388" i="15"/>
  <c r="P1380" i="15"/>
  <c r="P1387" i="15"/>
  <c r="P1377" i="15"/>
  <c r="P1384" i="15"/>
  <c r="P1382" i="15"/>
  <c r="P1385" i="15"/>
  <c r="P1374" i="15"/>
  <c r="P1376" i="15"/>
  <c r="P1386" i="15"/>
  <c r="P1379" i="15"/>
  <c r="P1390" i="15"/>
  <c r="P1001" i="15"/>
  <c r="P1008" i="15"/>
  <c r="P1010" i="15"/>
  <c r="P998" i="15"/>
  <c r="P1002" i="15"/>
  <c r="P999" i="15"/>
  <c r="P994" i="15"/>
  <c r="P1007" i="15"/>
  <c r="P997" i="15"/>
  <c r="P993" i="15"/>
  <c r="P1005" i="15"/>
  <c r="P1006" i="15"/>
  <c r="X339" i="15"/>
  <c r="X341" i="15"/>
  <c r="W129" i="15"/>
  <c r="W231" i="15"/>
  <c r="X354" i="15"/>
  <c r="R57" i="15"/>
  <c r="R52" i="15"/>
  <c r="T151" i="15"/>
  <c r="S94" i="15"/>
  <c r="Q166" i="15"/>
  <c r="R159" i="15"/>
  <c r="R203" i="15"/>
  <c r="V180" i="15"/>
  <c r="N250" i="15"/>
  <c r="V187" i="15"/>
  <c r="N298" i="15"/>
  <c r="U276" i="15"/>
  <c r="O456" i="15"/>
  <c r="N736" i="15"/>
  <c r="N730" i="15"/>
  <c r="N784" i="15"/>
  <c r="P996" i="15"/>
  <c r="P1121" i="15"/>
  <c r="P496" i="15"/>
  <c r="P933" i="15"/>
  <c r="P1117" i="15"/>
  <c r="R206" i="15"/>
  <c r="N326" i="15"/>
  <c r="T45" i="15"/>
  <c r="R56" i="15"/>
  <c r="N237" i="15"/>
  <c r="N246" i="15"/>
  <c r="N235" i="15"/>
  <c r="N242" i="15"/>
  <c r="N245" i="15"/>
  <c r="N241" i="15"/>
  <c r="N239" i="15"/>
  <c r="W230" i="15"/>
  <c r="W215" i="15"/>
  <c r="W222" i="15"/>
  <c r="W225" i="15"/>
  <c r="W218" i="15"/>
  <c r="W227" i="15"/>
  <c r="S313" i="15"/>
  <c r="S312" i="15"/>
  <c r="S316" i="15"/>
  <c r="S321" i="15"/>
  <c r="S315" i="15"/>
  <c r="S323" i="15"/>
  <c r="S309" i="15"/>
  <c r="S322" i="15"/>
  <c r="S318" i="15"/>
  <c r="S311" i="15"/>
  <c r="Q149" i="15"/>
  <c r="Q148" i="15"/>
  <c r="Q155" i="15"/>
  <c r="Q140" i="15"/>
  <c r="Q143" i="15"/>
  <c r="Q152" i="15"/>
  <c r="Q151" i="15"/>
  <c r="Q141" i="15"/>
  <c r="Q144" i="15"/>
  <c r="Q138" i="15"/>
  <c r="Q142" i="15"/>
  <c r="N540" i="15"/>
  <c r="N552" i="15"/>
  <c r="N543" i="15"/>
  <c r="N539" i="15"/>
  <c r="N538" i="15"/>
  <c r="N545" i="15"/>
  <c r="N551" i="15"/>
  <c r="N541" i="15"/>
  <c r="N537" i="15"/>
  <c r="N544" i="15"/>
  <c r="N550" i="15"/>
  <c r="N553" i="15"/>
  <c r="N548" i="15"/>
  <c r="X334" i="15"/>
  <c r="X344" i="15"/>
  <c r="Q172" i="15"/>
  <c r="V185" i="15"/>
  <c r="X340" i="15"/>
  <c r="W127" i="15"/>
  <c r="W217" i="15"/>
  <c r="X355" i="15"/>
  <c r="V49" i="15"/>
  <c r="S88" i="15"/>
  <c r="Q162" i="15"/>
  <c r="Q173" i="15"/>
  <c r="N247" i="15"/>
  <c r="R212" i="15"/>
  <c r="V184" i="15"/>
  <c r="V177" i="15"/>
  <c r="S317" i="15"/>
  <c r="N296" i="15"/>
  <c r="U281" i="15"/>
  <c r="O446" i="15"/>
  <c r="N738" i="15"/>
  <c r="N732" i="15"/>
  <c r="N998" i="15"/>
  <c r="N240" i="15"/>
  <c r="S320" i="15"/>
  <c r="P934" i="15"/>
  <c r="N1000" i="15"/>
  <c r="P1158" i="15"/>
  <c r="Q147" i="15"/>
  <c r="P833" i="15"/>
  <c r="P827" i="15"/>
  <c r="P835" i="15"/>
  <c r="V58" i="15"/>
  <c r="V54" i="15"/>
  <c r="V47" i="15"/>
  <c r="V44" i="15"/>
  <c r="V48" i="15"/>
  <c r="V50" i="15"/>
  <c r="V45" i="15"/>
  <c r="V57" i="15"/>
  <c r="V55" i="15"/>
  <c r="Q244" i="15"/>
  <c r="Q250" i="15"/>
  <c r="Q237" i="15"/>
  <c r="Q246" i="15"/>
  <c r="Q239" i="15"/>
  <c r="Q243" i="15"/>
  <c r="Q247" i="15"/>
  <c r="Q235" i="15"/>
  <c r="Q236" i="15"/>
  <c r="O328" i="15"/>
  <c r="O340" i="15"/>
  <c r="O342" i="15"/>
  <c r="O344" i="15"/>
  <c r="O332" i="15"/>
  <c r="O331" i="15"/>
  <c r="O338" i="15"/>
  <c r="O337" i="15"/>
  <c r="O341" i="15"/>
  <c r="O329" i="15"/>
  <c r="O343" i="15"/>
  <c r="O333" i="15"/>
  <c r="O339" i="15"/>
  <c r="T143" i="15"/>
  <c r="T146" i="15"/>
  <c r="T141" i="15"/>
  <c r="T144" i="15"/>
  <c r="T153" i="15"/>
  <c r="T154" i="15"/>
  <c r="T152" i="15"/>
  <c r="T138" i="15"/>
  <c r="T148" i="15"/>
  <c r="T155" i="15"/>
  <c r="T149" i="15"/>
  <c r="T147" i="15"/>
  <c r="T142" i="15"/>
  <c r="N215" i="15"/>
  <c r="N222" i="15"/>
  <c r="N231" i="15"/>
  <c r="N224" i="15"/>
  <c r="N227" i="15"/>
  <c r="N228" i="15"/>
  <c r="N218" i="15"/>
  <c r="N223" i="15"/>
  <c r="N221" i="15"/>
  <c r="N230" i="15"/>
  <c r="N217" i="15"/>
  <c r="N214" i="15"/>
  <c r="N226" i="15"/>
  <c r="R171" i="15"/>
  <c r="R172" i="15"/>
  <c r="R169" i="15"/>
  <c r="R163" i="15"/>
  <c r="R157" i="15"/>
  <c r="R164" i="15"/>
  <c r="R165" i="15"/>
  <c r="R162" i="15"/>
  <c r="R170" i="15"/>
  <c r="R158" i="15"/>
  <c r="N385" i="15"/>
  <c r="N390" i="15"/>
  <c r="N386" i="15"/>
  <c r="N391" i="15"/>
  <c r="N387" i="15"/>
  <c r="N395" i="15"/>
  <c r="N396" i="15"/>
  <c r="N399" i="15"/>
  <c r="N401" i="15"/>
  <c r="N402" i="15"/>
  <c r="N394" i="15"/>
  <c r="N388" i="15"/>
  <c r="N397" i="15"/>
  <c r="N398" i="15"/>
  <c r="N1199" i="15"/>
  <c r="N1186" i="15"/>
  <c r="N1200" i="15"/>
  <c r="N1188" i="15"/>
  <c r="N1190" i="15"/>
  <c r="N1192" i="15"/>
  <c r="N1193" i="15"/>
  <c r="N1197" i="15"/>
  <c r="N1189" i="15"/>
  <c r="N1194" i="15"/>
  <c r="N1198" i="15"/>
  <c r="N1195" i="15"/>
  <c r="N1185" i="15"/>
  <c r="N1196" i="15"/>
  <c r="N1191" i="15"/>
  <c r="N1183" i="15"/>
  <c r="N1187" i="15"/>
  <c r="S97" i="15"/>
  <c r="R173" i="15"/>
  <c r="R204" i="15"/>
  <c r="S325" i="15"/>
  <c r="P823" i="15"/>
  <c r="P1378" i="15"/>
  <c r="N238" i="15"/>
  <c r="P917" i="15"/>
  <c r="N1006" i="15"/>
  <c r="P1156" i="15"/>
  <c r="T60" i="15"/>
  <c r="R174" i="15"/>
  <c r="R43" i="15"/>
  <c r="W153" i="15"/>
  <c r="X330" i="15"/>
  <c r="W134" i="15"/>
  <c r="W223" i="15"/>
  <c r="X350" i="15"/>
  <c r="V56" i="15"/>
  <c r="S84" i="15"/>
  <c r="N248" i="15"/>
  <c r="O455" i="15"/>
  <c r="P486" i="15"/>
  <c r="O453" i="15"/>
  <c r="O457" i="15"/>
  <c r="N321" i="15"/>
  <c r="N243" i="15"/>
  <c r="S326" i="15"/>
  <c r="N389" i="15"/>
  <c r="N310" i="15"/>
  <c r="N797" i="15"/>
  <c r="T50" i="15"/>
  <c r="Q153" i="15"/>
  <c r="N542" i="15"/>
  <c r="N312" i="15"/>
  <c r="N314" i="15"/>
  <c r="N316" i="15"/>
  <c r="N324" i="15"/>
  <c r="N309" i="15"/>
  <c r="N318" i="15"/>
  <c r="N315" i="15"/>
  <c r="N322" i="15"/>
  <c r="N313" i="15"/>
  <c r="N317" i="15"/>
  <c r="N319" i="15"/>
  <c r="N311" i="15"/>
  <c r="W125" i="15"/>
  <c r="W126" i="15"/>
  <c r="W135" i="15"/>
  <c r="W131" i="15"/>
  <c r="W128" i="15"/>
  <c r="W121" i="15"/>
  <c r="W123" i="15"/>
  <c r="U282" i="15"/>
  <c r="U286" i="15"/>
  <c r="U277" i="15"/>
  <c r="U278" i="15"/>
  <c r="U272" i="15"/>
  <c r="U285" i="15"/>
  <c r="U273" i="15"/>
  <c r="U271" i="15"/>
  <c r="U283" i="15"/>
  <c r="U274" i="15"/>
  <c r="Q164" i="15"/>
  <c r="Q161" i="15"/>
  <c r="Q157" i="15"/>
  <c r="Q171" i="15"/>
  <c r="Q160" i="15"/>
  <c r="Q165" i="15"/>
  <c r="Q163" i="15"/>
  <c r="Q159" i="15"/>
  <c r="Q169" i="15"/>
  <c r="Q158" i="15"/>
  <c r="V178" i="15"/>
  <c r="V179" i="15"/>
  <c r="V182" i="15"/>
  <c r="V193" i="15"/>
  <c r="V190" i="15"/>
  <c r="V192" i="15"/>
  <c r="V191" i="15"/>
  <c r="V186" i="15"/>
  <c r="V188" i="15"/>
  <c r="V176" i="15"/>
  <c r="V189" i="15"/>
  <c r="W216" i="15"/>
  <c r="R60" i="15"/>
  <c r="V43" i="15"/>
  <c r="Q170" i="15"/>
  <c r="Q242" i="15"/>
  <c r="W124" i="15"/>
  <c r="W120" i="15"/>
  <c r="W214" i="15"/>
  <c r="W318" i="15"/>
  <c r="X356" i="15"/>
  <c r="V59" i="15"/>
  <c r="V46" i="15"/>
  <c r="T92" i="15"/>
  <c r="T139" i="15"/>
  <c r="Q150" i="15"/>
  <c r="N233" i="15"/>
  <c r="S324" i="15"/>
  <c r="P488" i="15"/>
  <c r="P493" i="15"/>
  <c r="Q240" i="15"/>
  <c r="S310" i="15"/>
  <c r="O330" i="15"/>
  <c r="N325" i="15"/>
  <c r="N1184" i="15"/>
  <c r="N393" i="15"/>
  <c r="N729" i="15"/>
  <c r="T48" i="15"/>
  <c r="P1009" i="15"/>
  <c r="P836" i="15"/>
  <c r="R168" i="15"/>
  <c r="P834" i="15"/>
  <c r="N297" i="15"/>
  <c r="N299" i="15"/>
  <c r="N302" i="15"/>
  <c r="N301" i="15"/>
  <c r="N291" i="15"/>
  <c r="N292" i="15"/>
  <c r="N295" i="15"/>
  <c r="N300" i="15"/>
  <c r="N305" i="15"/>
  <c r="N307" i="15"/>
  <c r="N290" i="15"/>
  <c r="S89" i="15"/>
  <c r="S98" i="15"/>
  <c r="S91" i="15"/>
  <c r="S86" i="15"/>
  <c r="S90" i="15"/>
  <c r="S96" i="15"/>
  <c r="S81" i="15"/>
  <c r="S87" i="15"/>
  <c r="S85" i="15"/>
  <c r="S92" i="15"/>
  <c r="S82" i="15"/>
  <c r="X336" i="15"/>
  <c r="X329" i="15"/>
  <c r="X331" i="15"/>
  <c r="X328" i="15"/>
  <c r="X335" i="15"/>
  <c r="X338" i="15"/>
  <c r="R48" i="15"/>
  <c r="R55" i="15"/>
  <c r="R51" i="15"/>
  <c r="R47" i="15"/>
  <c r="R46" i="15"/>
  <c r="R49" i="15"/>
  <c r="R54" i="15"/>
  <c r="R50" i="15"/>
  <c r="R53" i="15"/>
  <c r="R44" i="15"/>
  <c r="R198" i="15"/>
  <c r="R200" i="15"/>
  <c r="R201" i="15"/>
  <c r="R210" i="15"/>
  <c r="R196" i="15"/>
  <c r="R199" i="15"/>
  <c r="R209" i="15"/>
  <c r="R207" i="15"/>
  <c r="R208" i="15"/>
  <c r="R211" i="15"/>
  <c r="R197" i="15"/>
  <c r="O447" i="15"/>
  <c r="O449" i="15"/>
  <c r="O442" i="15"/>
  <c r="O443" i="15"/>
  <c r="O445" i="15"/>
  <c r="O452" i="15"/>
  <c r="O458" i="15"/>
  <c r="O454" i="15"/>
  <c r="P923" i="15"/>
  <c r="P925" i="15"/>
  <c r="P919" i="15"/>
  <c r="P930" i="15"/>
  <c r="P928" i="15"/>
  <c r="P929" i="15"/>
  <c r="P926" i="15"/>
  <c r="P931" i="15"/>
  <c r="P924" i="15"/>
  <c r="P927" i="15"/>
  <c r="P920" i="15"/>
  <c r="P932" i="15"/>
  <c r="P922" i="15"/>
  <c r="X126" i="15"/>
  <c r="W119" i="15"/>
  <c r="W229" i="15"/>
  <c r="X361" i="15"/>
  <c r="N304" i="15"/>
  <c r="O448" i="15"/>
  <c r="X345" i="15"/>
  <c r="W130" i="15"/>
  <c r="W136" i="15"/>
  <c r="W220" i="15"/>
  <c r="X348" i="15"/>
  <c r="X357" i="15"/>
  <c r="T51" i="15"/>
  <c r="V53" i="15"/>
  <c r="Q154" i="15"/>
  <c r="N225" i="15"/>
  <c r="U280" i="15"/>
  <c r="U287" i="15"/>
  <c r="P484" i="15"/>
  <c r="O451" i="15"/>
  <c r="N547" i="15"/>
  <c r="Q248" i="15"/>
  <c r="P283" i="15"/>
  <c r="N392" i="15"/>
  <c r="O335" i="15"/>
  <c r="Q241" i="15"/>
  <c r="R202" i="15"/>
  <c r="Q168" i="15"/>
  <c r="T140" i="15"/>
  <c r="R93" i="15"/>
  <c r="N129" i="15"/>
  <c r="R255" i="15"/>
  <c r="R256" i="15"/>
  <c r="Q287" i="15"/>
  <c r="V359" i="15"/>
  <c r="V360" i="15"/>
  <c r="R269" i="15"/>
  <c r="Q276" i="15"/>
  <c r="S135" i="15"/>
  <c r="N124" i="15"/>
  <c r="N130" i="15"/>
  <c r="R85" i="15"/>
  <c r="R81" i="15"/>
  <c r="R89" i="15"/>
  <c r="R92" i="15"/>
  <c r="R91" i="15"/>
  <c r="U318" i="15"/>
  <c r="U316" i="15"/>
  <c r="U324" i="15"/>
  <c r="U312" i="15"/>
  <c r="U319" i="15"/>
  <c r="O160" i="15"/>
  <c r="O169" i="15"/>
  <c r="O159" i="15"/>
  <c r="O174" i="15"/>
  <c r="O164" i="15"/>
  <c r="O162" i="15"/>
  <c r="S349" i="15"/>
  <c r="S361" i="15"/>
  <c r="S357" i="15"/>
  <c r="S364" i="15"/>
  <c r="S362" i="15"/>
  <c r="T202" i="15"/>
  <c r="T200" i="15"/>
  <c r="T212" i="15"/>
  <c r="T207" i="15"/>
  <c r="T209" i="15"/>
  <c r="T206" i="15"/>
  <c r="T317" i="15"/>
  <c r="T324" i="15"/>
  <c r="T319" i="15"/>
  <c r="T316" i="15"/>
  <c r="T315" i="15"/>
  <c r="Q109" i="15"/>
  <c r="Q103" i="15"/>
  <c r="N140" i="15"/>
  <c r="N145" i="15"/>
  <c r="R86" i="15"/>
  <c r="R96" i="15"/>
  <c r="R275" i="15"/>
  <c r="R274" i="15"/>
  <c r="R278" i="15"/>
  <c r="R276" i="15"/>
  <c r="N339" i="15"/>
  <c r="N338" i="15"/>
  <c r="S278" i="15"/>
  <c r="S272" i="15"/>
  <c r="V218" i="15"/>
  <c r="V227" i="15"/>
  <c r="V219" i="15"/>
  <c r="V221" i="15"/>
  <c r="V230" i="15"/>
  <c r="Q88" i="15"/>
  <c r="Q95" i="15"/>
  <c r="P103" i="15"/>
  <c r="P106" i="15"/>
  <c r="P117" i="15"/>
  <c r="P116" i="15"/>
  <c r="P107" i="15"/>
  <c r="T177" i="15"/>
  <c r="T178" i="15"/>
  <c r="T186" i="15"/>
  <c r="T176" i="15"/>
  <c r="T184" i="15"/>
  <c r="T181" i="15"/>
  <c r="T180" i="15"/>
  <c r="U295" i="15"/>
  <c r="U298" i="15"/>
  <c r="U306" i="15"/>
  <c r="U304" i="15"/>
  <c r="U296" i="15"/>
  <c r="U290" i="15"/>
  <c r="U293" i="15"/>
  <c r="R254" i="15"/>
  <c r="R264" i="15"/>
  <c r="Q281" i="15"/>
  <c r="Q285" i="15"/>
  <c r="V355" i="15"/>
  <c r="V363" i="15"/>
  <c r="V351" i="15"/>
  <c r="T204" i="15"/>
  <c r="S358" i="15"/>
  <c r="T321" i="15"/>
  <c r="T208" i="15"/>
  <c r="N146" i="15"/>
  <c r="Q106" i="15"/>
  <c r="S350" i="15"/>
  <c r="N133" i="15"/>
  <c r="Q345" i="15"/>
  <c r="R258" i="15"/>
  <c r="Q273" i="15"/>
  <c r="Q277" i="15"/>
  <c r="U315" i="15"/>
  <c r="V361" i="15"/>
  <c r="V362" i="15"/>
  <c r="T198" i="15"/>
  <c r="T201" i="15"/>
  <c r="S360" i="15"/>
  <c r="T312" i="15"/>
  <c r="O158" i="15"/>
  <c r="N155" i="15"/>
  <c r="N138" i="15"/>
  <c r="N144" i="15"/>
  <c r="R98" i="15"/>
  <c r="O172" i="15"/>
  <c r="N127" i="15"/>
  <c r="O168" i="15"/>
  <c r="R260" i="15"/>
  <c r="R262" i="15"/>
  <c r="R266" i="15"/>
  <c r="Q288" i="15"/>
  <c r="U321" i="15"/>
  <c r="V354" i="15"/>
  <c r="T199" i="15"/>
  <c r="R285" i="15"/>
  <c r="T313" i="15"/>
  <c r="U364" i="15"/>
  <c r="N120" i="15"/>
  <c r="S126" i="15"/>
  <c r="V153" i="15"/>
  <c r="V152" i="15"/>
  <c r="O484" i="15"/>
  <c r="P742" i="15"/>
  <c r="Q661" i="15"/>
  <c r="P632" i="15"/>
  <c r="P639" i="15"/>
  <c r="O685" i="15"/>
  <c r="N1103" i="15"/>
  <c r="N1094" i="15"/>
  <c r="T241" i="15"/>
  <c r="T240" i="15"/>
  <c r="Q260" i="15"/>
  <c r="O348" i="15"/>
  <c r="O497" i="15"/>
  <c r="Q655" i="15"/>
  <c r="P677" i="15"/>
  <c r="Q179" i="15"/>
  <c r="T234" i="15"/>
  <c r="T248" i="15"/>
  <c r="O349" i="15"/>
  <c r="Q660" i="15"/>
  <c r="V102" i="15"/>
  <c r="P673" i="15"/>
  <c r="P721" i="15"/>
  <c r="Q668" i="15"/>
  <c r="V103" i="15"/>
  <c r="O356" i="15"/>
  <c r="S106" i="15"/>
  <c r="V101" i="15"/>
  <c r="P743" i="15"/>
  <c r="P681" i="15"/>
  <c r="W140" i="15"/>
  <c r="X134" i="15"/>
  <c r="W279" i="15"/>
  <c r="W267" i="15"/>
  <c r="W324" i="15"/>
  <c r="T83" i="15"/>
  <c r="W149" i="15"/>
  <c r="X124" i="15"/>
  <c r="W287" i="15"/>
  <c r="T94" i="15"/>
  <c r="R184" i="15"/>
  <c r="X122" i="15"/>
  <c r="W277" i="15"/>
  <c r="N57" i="15"/>
  <c r="R183" i="15"/>
  <c r="U93" i="15"/>
  <c r="N52" i="15"/>
  <c r="W139" i="15"/>
  <c r="X37" i="15"/>
  <c r="W138" i="15"/>
  <c r="X129" i="15"/>
  <c r="W155" i="15"/>
  <c r="X29" i="15"/>
  <c r="X119" i="15"/>
  <c r="W317" i="15"/>
  <c r="W265" i="15"/>
  <c r="P335" i="15"/>
  <c r="R299" i="15"/>
  <c r="O1048" i="15"/>
  <c r="O1043" i="15"/>
  <c r="X35" i="15"/>
  <c r="X123" i="15"/>
  <c r="X30" i="15"/>
  <c r="W150" i="15"/>
  <c r="W145" i="15"/>
  <c r="W312" i="15"/>
  <c r="R303" i="15"/>
  <c r="O1047" i="15"/>
  <c r="V345" i="15"/>
  <c r="V335" i="15"/>
  <c r="V343" i="15"/>
  <c r="V334" i="15"/>
  <c r="V342" i="15"/>
  <c r="V331" i="15"/>
  <c r="V337" i="15"/>
  <c r="V339" i="15"/>
  <c r="V328" i="15"/>
  <c r="V330" i="15"/>
  <c r="V332" i="15"/>
  <c r="V340" i="15"/>
  <c r="V338" i="15"/>
  <c r="V341" i="15"/>
  <c r="V329" i="15"/>
  <c r="V336" i="15"/>
  <c r="V333" i="15"/>
  <c r="V344" i="15"/>
  <c r="O57" i="15"/>
  <c r="O43" i="15"/>
  <c r="O58" i="15"/>
  <c r="O49" i="15"/>
  <c r="O44" i="15"/>
  <c r="O51" i="15"/>
  <c r="O48" i="15"/>
  <c r="O55" i="15"/>
  <c r="O46" i="15"/>
  <c r="O60" i="15"/>
  <c r="O59" i="15"/>
  <c r="O53" i="15"/>
  <c r="O56" i="15"/>
  <c r="O45" i="15"/>
  <c r="O52" i="15"/>
  <c r="O47" i="15"/>
  <c r="X43" i="15"/>
  <c r="X55" i="15"/>
  <c r="X59" i="15"/>
  <c r="X60" i="15"/>
  <c r="X51" i="15"/>
  <c r="X52" i="15"/>
  <c r="X56" i="15"/>
  <c r="X44" i="15"/>
  <c r="X48" i="15"/>
  <c r="X57" i="15"/>
  <c r="X49" i="15"/>
  <c r="X54" i="15"/>
  <c r="X53" i="15"/>
  <c r="X46" i="15"/>
  <c r="X47" i="15"/>
  <c r="X58" i="15"/>
  <c r="X45" i="15"/>
  <c r="N267" i="15"/>
  <c r="N253" i="15"/>
  <c r="N254" i="15"/>
  <c r="N269" i="15"/>
  <c r="N259" i="15"/>
  <c r="N265" i="15"/>
  <c r="N256" i="15"/>
  <c r="N262" i="15"/>
  <c r="N257" i="15"/>
  <c r="N261" i="15"/>
  <c r="N263" i="15"/>
  <c r="N266" i="15"/>
  <c r="N260" i="15"/>
  <c r="N264" i="15"/>
  <c r="N258" i="15"/>
  <c r="N252" i="15"/>
  <c r="N268" i="15"/>
  <c r="N68" i="15"/>
  <c r="N63" i="15"/>
  <c r="N79" i="15"/>
  <c r="N77" i="15"/>
  <c r="N75" i="15"/>
  <c r="N62" i="15"/>
  <c r="N69" i="15"/>
  <c r="N71" i="15"/>
  <c r="N78" i="15"/>
  <c r="N74" i="15"/>
  <c r="N65" i="15"/>
  <c r="N76" i="15"/>
  <c r="N64" i="15"/>
  <c r="N73" i="15"/>
  <c r="N1347" i="15"/>
  <c r="N1342" i="15"/>
  <c r="N1346" i="15"/>
  <c r="N1338" i="15"/>
  <c r="N1339" i="15"/>
  <c r="N1336" i="15"/>
  <c r="N1344" i="15"/>
  <c r="N1352" i="15"/>
  <c r="N1341" i="15"/>
  <c r="N1350" i="15"/>
  <c r="N1335" i="15"/>
  <c r="N1349" i="15"/>
  <c r="N1337" i="15"/>
  <c r="N1340" i="15"/>
  <c r="N1343" i="15"/>
  <c r="N1348" i="15"/>
  <c r="N1345" i="15"/>
  <c r="N1351" i="15"/>
  <c r="Q631" i="15"/>
  <c r="P437" i="15"/>
  <c r="P423" i="15"/>
  <c r="P430" i="15"/>
  <c r="P429" i="15"/>
  <c r="P428" i="15"/>
  <c r="P438" i="15"/>
  <c r="P436" i="15"/>
  <c r="P424" i="15"/>
  <c r="P433" i="15"/>
  <c r="P432" i="15"/>
  <c r="P426" i="15"/>
  <c r="P431" i="15"/>
  <c r="P427" i="15"/>
  <c r="P435" i="15"/>
  <c r="P434" i="15"/>
  <c r="P425" i="15"/>
  <c r="P440" i="15"/>
  <c r="P439" i="15"/>
  <c r="N1297" i="15"/>
  <c r="N1298" i="15"/>
  <c r="N1304" i="15"/>
  <c r="N1306" i="15"/>
  <c r="N1303" i="15"/>
  <c r="N1314" i="15"/>
  <c r="N1311" i="15"/>
  <c r="N1308" i="15"/>
  <c r="N1313" i="15"/>
  <c r="N1309" i="15"/>
  <c r="N1300" i="15"/>
  <c r="N1312" i="15"/>
  <c r="N1310" i="15"/>
  <c r="N1301" i="15"/>
  <c r="N1305" i="15"/>
  <c r="N1307" i="15"/>
  <c r="N1302" i="15"/>
  <c r="N1299" i="15"/>
  <c r="O1220" i="15"/>
  <c r="R147" i="15"/>
  <c r="R143" i="15"/>
  <c r="R140" i="15"/>
  <c r="R144" i="15"/>
  <c r="R150" i="15"/>
  <c r="R149" i="15"/>
  <c r="R139" i="15"/>
  <c r="R141" i="15"/>
  <c r="R145" i="15"/>
  <c r="R148" i="15"/>
  <c r="R152" i="15"/>
  <c r="R142" i="15"/>
  <c r="R138" i="15"/>
  <c r="R146" i="15"/>
  <c r="R154" i="15"/>
  <c r="R153" i="15"/>
  <c r="S185" i="15"/>
  <c r="S181" i="15"/>
  <c r="S193" i="15"/>
  <c r="S191" i="15"/>
  <c r="S187" i="15"/>
  <c r="S183" i="15"/>
  <c r="S189" i="15"/>
  <c r="S192" i="15"/>
  <c r="S177" i="15"/>
  <c r="S186" i="15"/>
  <c r="S176" i="15"/>
  <c r="S178" i="15"/>
  <c r="S184" i="15"/>
  <c r="S180" i="15"/>
  <c r="S179" i="15"/>
  <c r="S188" i="15"/>
  <c r="T220" i="15"/>
  <c r="T228" i="15"/>
  <c r="T221" i="15"/>
  <c r="T215" i="15"/>
  <c r="T216" i="15"/>
  <c r="T231" i="15"/>
  <c r="T217" i="15"/>
  <c r="T214" i="15"/>
  <c r="T230" i="15"/>
  <c r="T223" i="15"/>
  <c r="T218" i="15"/>
  <c r="T225" i="15"/>
  <c r="T226" i="15"/>
  <c r="T229" i="15"/>
  <c r="T222" i="15"/>
  <c r="T219" i="15"/>
  <c r="T227" i="15"/>
  <c r="T224" i="15"/>
  <c r="P225" i="15"/>
  <c r="P229" i="15"/>
  <c r="P216" i="15"/>
  <c r="P224" i="15"/>
  <c r="P222" i="15"/>
  <c r="P230" i="15"/>
  <c r="P219" i="15"/>
  <c r="P218" i="15"/>
  <c r="P226" i="15"/>
  <c r="P217" i="15"/>
  <c r="P223" i="15"/>
  <c r="P231" i="15"/>
  <c r="P215" i="15"/>
  <c r="P651" i="15"/>
  <c r="P653" i="15"/>
  <c r="P652" i="15"/>
  <c r="P656" i="15"/>
  <c r="P664" i="15"/>
  <c r="P654" i="15"/>
  <c r="P667" i="15"/>
  <c r="P660" i="15"/>
  <c r="P659" i="15"/>
  <c r="P666" i="15"/>
  <c r="P662" i="15"/>
  <c r="P661" i="15"/>
  <c r="P663" i="15"/>
  <c r="P655" i="15"/>
  <c r="P658" i="15"/>
  <c r="P668" i="15"/>
  <c r="P665" i="15"/>
  <c r="P657" i="15"/>
  <c r="P1492" i="15"/>
  <c r="P1500" i="15"/>
  <c r="P1499" i="15"/>
  <c r="P1489" i="15"/>
  <c r="P1494" i="15"/>
  <c r="P1491" i="15"/>
  <c r="P1502" i="15"/>
  <c r="P1488" i="15"/>
  <c r="P1501" i="15"/>
  <c r="P1496" i="15"/>
  <c r="P1487" i="15"/>
  <c r="P1490" i="15"/>
  <c r="P1503" i="15"/>
  <c r="P1493" i="15"/>
  <c r="P1495" i="15"/>
  <c r="P1498" i="15"/>
  <c r="P1497" i="15"/>
  <c r="P1504" i="15"/>
  <c r="P404" i="15"/>
  <c r="P406" i="15"/>
  <c r="P417" i="15"/>
  <c r="P416" i="15"/>
  <c r="P420" i="15"/>
  <c r="P410" i="15"/>
  <c r="P413" i="15"/>
  <c r="P418" i="15"/>
  <c r="P421" i="15"/>
  <c r="P411" i="15"/>
  <c r="P405" i="15"/>
  <c r="P408" i="15"/>
  <c r="P419" i="15"/>
  <c r="P407" i="15"/>
  <c r="P412" i="15"/>
  <c r="P409" i="15"/>
  <c r="P415" i="15"/>
  <c r="P414" i="15"/>
  <c r="N1018" i="15"/>
  <c r="N1019" i="15"/>
  <c r="N1026" i="15"/>
  <c r="N1027" i="15"/>
  <c r="N1016" i="15"/>
  <c r="N1029" i="15"/>
  <c r="N1014" i="15"/>
  <c r="N1017" i="15"/>
  <c r="N1028" i="15"/>
  <c r="N1013" i="15"/>
  <c r="N1025" i="15"/>
  <c r="N1024" i="15"/>
  <c r="N1012" i="15"/>
  <c r="N1023" i="15"/>
  <c r="N1021" i="15"/>
  <c r="N1020" i="15"/>
  <c r="N1015" i="15"/>
  <c r="N1022" i="15"/>
  <c r="O1163" i="15"/>
  <c r="S205" i="15"/>
  <c r="S200" i="15"/>
  <c r="S208" i="15"/>
  <c r="S207" i="15"/>
  <c r="S199" i="15"/>
  <c r="S209" i="15"/>
  <c r="S202" i="15"/>
  <c r="S203" i="15"/>
  <c r="S210" i="15"/>
  <c r="S198" i="15"/>
  <c r="S211" i="15"/>
  <c r="S195" i="15"/>
  <c r="S197" i="15"/>
  <c r="S196" i="15"/>
  <c r="S204" i="15"/>
  <c r="S212" i="15"/>
  <c r="S206" i="15"/>
  <c r="P244" i="15"/>
  <c r="P235" i="15"/>
  <c r="P243" i="15"/>
  <c r="P240" i="15"/>
  <c r="P238" i="15"/>
  <c r="P239" i="15"/>
  <c r="P250" i="15"/>
  <c r="P248" i="15"/>
  <c r="P246" i="15"/>
  <c r="W360" i="15"/>
  <c r="W359" i="15"/>
  <c r="W348" i="15"/>
  <c r="W352" i="15"/>
  <c r="W356" i="15"/>
  <c r="W357" i="15"/>
  <c r="W353" i="15"/>
  <c r="W364" i="15"/>
  <c r="W351" i="15"/>
  <c r="W362" i="15"/>
  <c r="W358" i="15"/>
  <c r="W349" i="15"/>
  <c r="W350" i="15"/>
  <c r="W361" i="15"/>
  <c r="W354" i="15"/>
  <c r="W363" i="15"/>
  <c r="P187" i="15"/>
  <c r="P179" i="15"/>
  <c r="P186" i="15"/>
  <c r="P176" i="15"/>
  <c r="P193" i="15"/>
  <c r="P182" i="15"/>
  <c r="P184" i="15"/>
  <c r="P181" i="15"/>
  <c r="P189" i="15"/>
  <c r="P185" i="15"/>
  <c r="P183" i="15"/>
  <c r="P180" i="15"/>
  <c r="P177" i="15"/>
  <c r="P190" i="15"/>
  <c r="P191" i="15"/>
  <c r="P188" i="15"/>
  <c r="P1345" i="15"/>
  <c r="P1347" i="15"/>
  <c r="P1339" i="15"/>
  <c r="P1337" i="15"/>
  <c r="P1342" i="15"/>
  <c r="P1350" i="15"/>
  <c r="P1335" i="15"/>
  <c r="P1343" i="15"/>
  <c r="P1351" i="15"/>
  <c r="P1336" i="15"/>
  <c r="P1349" i="15"/>
  <c r="P1344" i="15"/>
  <c r="P1352" i="15"/>
  <c r="P1338" i="15"/>
  <c r="P1341" i="15"/>
  <c r="P1346" i="15"/>
  <c r="P1340" i="15"/>
  <c r="P1348" i="15"/>
  <c r="P608" i="15"/>
  <c r="P610" i="15"/>
  <c r="P611" i="15"/>
  <c r="P600" i="15"/>
  <c r="P596" i="15"/>
  <c r="P601" i="15"/>
  <c r="P602" i="15"/>
  <c r="P609" i="15"/>
  <c r="P595" i="15"/>
  <c r="P599" i="15"/>
  <c r="P607" i="15"/>
  <c r="P598" i="15"/>
  <c r="P594" i="15"/>
  <c r="P597" i="15"/>
  <c r="P603" i="15"/>
  <c r="P604" i="15"/>
  <c r="P605" i="15"/>
  <c r="P606" i="15"/>
  <c r="N772" i="15"/>
  <c r="N774" i="15"/>
  <c r="N777" i="15"/>
  <c r="N780" i="15"/>
  <c r="N779" i="15"/>
  <c r="N782" i="15"/>
  <c r="N766" i="15"/>
  <c r="N769" i="15"/>
  <c r="N765" i="15"/>
  <c r="N771" i="15"/>
  <c r="N778" i="15"/>
  <c r="N773" i="15"/>
  <c r="N770" i="15"/>
  <c r="N768" i="15"/>
  <c r="N775" i="15"/>
  <c r="N776" i="15"/>
  <c r="N767" i="15"/>
  <c r="N781" i="15"/>
  <c r="X105" i="15"/>
  <c r="X114" i="15"/>
  <c r="X115" i="15"/>
  <c r="X103" i="15"/>
  <c r="X107" i="15"/>
  <c r="X102" i="15"/>
  <c r="X117" i="15"/>
  <c r="X112" i="15"/>
  <c r="X116" i="15"/>
  <c r="X106" i="15"/>
  <c r="X109" i="15"/>
  <c r="X108" i="15"/>
  <c r="X111" i="15"/>
  <c r="X100" i="15"/>
  <c r="X113" i="15"/>
  <c r="X101" i="15"/>
  <c r="X104" i="15"/>
  <c r="X110" i="15"/>
  <c r="Q49" i="15"/>
  <c r="Q53" i="15"/>
  <c r="Q43" i="15"/>
  <c r="Q48" i="15"/>
  <c r="Q50" i="15"/>
  <c r="Q52" i="15"/>
  <c r="Q46" i="15"/>
  <c r="Q57" i="15"/>
  <c r="Q45" i="15"/>
  <c r="V68" i="15"/>
  <c r="V78" i="15"/>
  <c r="V75" i="15"/>
  <c r="V70" i="15"/>
  <c r="V62" i="15"/>
  <c r="V76" i="15"/>
  <c r="V73" i="15"/>
  <c r="V65" i="15"/>
  <c r="V72" i="15"/>
  <c r="V64" i="15"/>
  <c r="U190" i="15"/>
  <c r="U189" i="15"/>
  <c r="U179" i="15"/>
  <c r="U191" i="15"/>
  <c r="U176" i="15"/>
  <c r="U182" i="15"/>
  <c r="U178" i="15"/>
  <c r="U184" i="15"/>
  <c r="U186" i="15"/>
  <c r="U180" i="15"/>
  <c r="U187" i="15"/>
  <c r="U181" i="15"/>
  <c r="U177" i="15"/>
  <c r="U188" i="15"/>
  <c r="U183" i="15"/>
  <c r="U185" i="15"/>
  <c r="U193" i="15"/>
  <c r="U192" i="15"/>
  <c r="N1067" i="15"/>
  <c r="N1062" i="15"/>
  <c r="N1060" i="15"/>
  <c r="N1059" i="15"/>
  <c r="N1065" i="15"/>
  <c r="N1056" i="15"/>
  <c r="N1054" i="15"/>
  <c r="N1053" i="15"/>
  <c r="N1051" i="15"/>
  <c r="N1064" i="15"/>
  <c r="N1057" i="15"/>
  <c r="N1052" i="15"/>
  <c r="N1061" i="15"/>
  <c r="N1066" i="15"/>
  <c r="N1050" i="15"/>
  <c r="N1063" i="15"/>
  <c r="N1058" i="15"/>
  <c r="N1055" i="15"/>
  <c r="N923" i="15"/>
  <c r="N924" i="15"/>
  <c r="N928" i="15"/>
  <c r="N920" i="15"/>
  <c r="N932" i="15"/>
  <c r="N925" i="15"/>
  <c r="N927" i="15"/>
  <c r="N931" i="15"/>
  <c r="N922" i="15"/>
  <c r="N933" i="15"/>
  <c r="N930" i="15"/>
  <c r="N919" i="15"/>
  <c r="N926" i="15"/>
  <c r="N929" i="15"/>
  <c r="N918" i="15"/>
  <c r="N917" i="15"/>
  <c r="N921" i="15"/>
  <c r="N934" i="15"/>
  <c r="X50" i="15"/>
  <c r="P214" i="15"/>
  <c r="V86" i="15"/>
  <c r="V82" i="15"/>
  <c r="V95" i="15"/>
  <c r="V85" i="15"/>
  <c r="V88" i="15"/>
  <c r="V92" i="15"/>
  <c r="V90" i="15"/>
  <c r="V81" i="15"/>
  <c r="V89" i="15"/>
  <c r="V97" i="15"/>
  <c r="V98" i="15"/>
  <c r="V84" i="15"/>
  <c r="V93" i="15"/>
  <c r="V91" i="15"/>
  <c r="Q356" i="15"/>
  <c r="Q360" i="15"/>
  <c r="Q354" i="15"/>
  <c r="Q359" i="15"/>
  <c r="Q350" i="15"/>
  <c r="Q358" i="15"/>
  <c r="Q347" i="15"/>
  <c r="Q352" i="15"/>
  <c r="Q362" i="15"/>
  <c r="Q351" i="15"/>
  <c r="Q357" i="15"/>
  <c r="Q355" i="15"/>
  <c r="Q353" i="15"/>
  <c r="Q361" i="15"/>
  <c r="Q348" i="15"/>
  <c r="Q363" i="15"/>
  <c r="Q349" i="15"/>
  <c r="Q364" i="15"/>
  <c r="Q707" i="15"/>
  <c r="O525" i="15"/>
  <c r="O523" i="15"/>
  <c r="O521" i="15"/>
  <c r="O533" i="15"/>
  <c r="O529" i="15"/>
  <c r="O526" i="15"/>
  <c r="O530" i="15"/>
  <c r="O534" i="15"/>
  <c r="O524" i="15"/>
  <c r="O519" i="15"/>
  <c r="O532" i="15"/>
  <c r="O527" i="15"/>
  <c r="O531" i="15"/>
  <c r="O518" i="15"/>
  <c r="O535" i="15"/>
  <c r="O520" i="15"/>
  <c r="O528" i="15"/>
  <c r="O522" i="15"/>
  <c r="W347" i="15"/>
  <c r="R361" i="15"/>
  <c r="R363" i="15"/>
  <c r="R353" i="15"/>
  <c r="R347" i="15"/>
  <c r="R349" i="15"/>
  <c r="R358" i="15"/>
  <c r="R359" i="15"/>
  <c r="R351" i="15"/>
  <c r="R362" i="15"/>
  <c r="R357" i="15"/>
  <c r="R348" i="15"/>
  <c r="R356" i="15"/>
  <c r="R355" i="15"/>
  <c r="R364" i="15"/>
  <c r="R360" i="15"/>
  <c r="R354" i="15"/>
  <c r="W52" i="15"/>
  <c r="W56" i="15"/>
  <c r="W44" i="15"/>
  <c r="W48" i="15"/>
  <c r="W57" i="15"/>
  <c r="W53" i="15"/>
  <c r="W49" i="15"/>
  <c r="W45" i="15"/>
  <c r="W58" i="15"/>
  <c r="W55" i="15"/>
  <c r="W54" i="15"/>
  <c r="W47" i="15"/>
  <c r="W60" i="15"/>
  <c r="X248" i="15"/>
  <c r="X239" i="15"/>
  <c r="X235" i="15"/>
  <c r="X249" i="15"/>
  <c r="X240" i="15"/>
  <c r="X233" i="15"/>
  <c r="X234" i="15"/>
  <c r="X250" i="15"/>
  <c r="X238" i="15"/>
  <c r="X242" i="15"/>
  <c r="X237" i="15"/>
  <c r="X247" i="15"/>
  <c r="O219" i="15"/>
  <c r="O220" i="15"/>
  <c r="O217" i="15"/>
  <c r="O218" i="15"/>
  <c r="O221" i="15"/>
  <c r="O227" i="15"/>
  <c r="O228" i="15"/>
  <c r="O229" i="15"/>
  <c r="O225" i="15"/>
  <c r="O226" i="15"/>
  <c r="O223" i="15"/>
  <c r="O216" i="15"/>
  <c r="O214" i="15"/>
  <c r="O222" i="15"/>
  <c r="O224" i="15"/>
  <c r="O231" i="15"/>
  <c r="O230" i="15"/>
  <c r="O215" i="15"/>
  <c r="P195" i="15"/>
  <c r="P210" i="15"/>
  <c r="P200" i="15"/>
  <c r="P209" i="15"/>
  <c r="P201" i="15"/>
  <c r="P206" i="15"/>
  <c r="P205" i="15"/>
  <c r="P211" i="15"/>
  <c r="P204" i="15"/>
  <c r="P203" i="15"/>
  <c r="P198" i="15"/>
  <c r="P212" i="15"/>
  <c r="P197" i="15"/>
  <c r="P196" i="15"/>
  <c r="P199" i="15"/>
  <c r="X209" i="15"/>
  <c r="X211" i="15"/>
  <c r="X212" i="15"/>
  <c r="X201" i="15"/>
  <c r="X195" i="15"/>
  <c r="X196" i="15"/>
  <c r="X206" i="15"/>
  <c r="X205" i="15"/>
  <c r="X198" i="15"/>
  <c r="X199" i="15"/>
  <c r="X208" i="15"/>
  <c r="X200" i="15"/>
  <c r="X210" i="15"/>
  <c r="X204" i="15"/>
  <c r="X202" i="15"/>
  <c r="P1414" i="15"/>
  <c r="P1420" i="15"/>
  <c r="P1417" i="15"/>
  <c r="P1418" i="15"/>
  <c r="P1422" i="15"/>
  <c r="P1419" i="15"/>
  <c r="P1424" i="15"/>
  <c r="P1415" i="15"/>
  <c r="P1416" i="15"/>
  <c r="P1426" i="15"/>
  <c r="P1427" i="15"/>
  <c r="P1428" i="15"/>
  <c r="P1421" i="15"/>
  <c r="P1425" i="15"/>
  <c r="P1411" i="15"/>
  <c r="P1413" i="15"/>
  <c r="P1412" i="15"/>
  <c r="P1423" i="15"/>
  <c r="N1256" i="15"/>
  <c r="N1253" i="15"/>
  <c r="N1249" i="15"/>
  <c r="N1247" i="15"/>
  <c r="N1252" i="15"/>
  <c r="N1246" i="15"/>
  <c r="N1254" i="15"/>
  <c r="N1257" i="15"/>
  <c r="N1240" i="15"/>
  <c r="N1255" i="15"/>
  <c r="N1242" i="15"/>
  <c r="N1244" i="15"/>
  <c r="N1250" i="15"/>
  <c r="N1241" i="15"/>
  <c r="N1243" i="15"/>
  <c r="N1251" i="15"/>
  <c r="N1245" i="15"/>
  <c r="O764" i="15"/>
  <c r="X215" i="15"/>
  <c r="V159" i="15"/>
  <c r="V174" i="15"/>
  <c r="V160" i="15"/>
  <c r="V162" i="15"/>
  <c r="V171" i="15"/>
  <c r="V163" i="15"/>
  <c r="V164" i="15"/>
  <c r="V157" i="15"/>
  <c r="V167" i="15"/>
  <c r="V172" i="15"/>
  <c r="V158" i="15"/>
  <c r="V170" i="15"/>
  <c r="V165" i="15"/>
  <c r="V173" i="15"/>
  <c r="V166" i="15"/>
  <c r="V161" i="15"/>
  <c r="V169" i="15"/>
  <c r="Q315" i="15"/>
  <c r="Q310" i="15"/>
  <c r="Q326" i="15"/>
  <c r="Q320" i="15"/>
  <c r="Q321" i="15"/>
  <c r="Q318" i="15"/>
  <c r="Q324" i="15"/>
  <c r="Q312" i="15"/>
  <c r="Q309" i="15"/>
  <c r="Q316" i="15"/>
  <c r="Q317" i="15"/>
  <c r="Q325" i="15"/>
  <c r="Q313" i="15"/>
  <c r="Q311" i="15"/>
  <c r="Q322" i="15"/>
  <c r="Q323" i="15"/>
  <c r="Q319" i="15"/>
  <c r="O142" i="15"/>
  <c r="O151" i="15"/>
  <c r="O154" i="15"/>
  <c r="O139" i="15"/>
  <c r="O138" i="15"/>
  <c r="O146" i="15"/>
  <c r="O150" i="15"/>
  <c r="O143" i="15"/>
  <c r="O147" i="15"/>
  <c r="O155" i="15"/>
  <c r="O153" i="15"/>
  <c r="O145" i="15"/>
  <c r="O140" i="15"/>
  <c r="O148" i="15"/>
  <c r="O144" i="15"/>
  <c r="W238" i="15"/>
  <c r="W250" i="15"/>
  <c r="W241" i="15"/>
  <c r="W246" i="15"/>
  <c r="W234" i="15"/>
  <c r="W243" i="15"/>
  <c r="W244" i="15"/>
  <c r="W235" i="15"/>
  <c r="W249" i="15"/>
  <c r="W237" i="15"/>
  <c r="W248" i="15"/>
  <c r="W245" i="15"/>
  <c r="W233" i="15"/>
  <c r="O309" i="15"/>
  <c r="O312" i="15"/>
  <c r="O320" i="15"/>
  <c r="O325" i="15"/>
  <c r="O311" i="15"/>
  <c r="O318" i="15"/>
  <c r="O319" i="15"/>
  <c r="O316" i="15"/>
  <c r="O322" i="15"/>
  <c r="O317" i="15"/>
  <c r="O314" i="15"/>
  <c r="O310" i="15"/>
  <c r="O324" i="15"/>
  <c r="O326" i="15"/>
  <c r="O313" i="15"/>
  <c r="O321" i="15"/>
  <c r="O315" i="15"/>
  <c r="X326" i="15"/>
  <c r="X322" i="15"/>
  <c r="X318" i="15"/>
  <c r="X321" i="15"/>
  <c r="X310" i="15"/>
  <c r="X315" i="15"/>
  <c r="X320" i="15"/>
  <c r="X325" i="15"/>
  <c r="X312" i="15"/>
  <c r="X313" i="15"/>
  <c r="X323" i="15"/>
  <c r="X317" i="15"/>
  <c r="X309" i="15"/>
  <c r="X319" i="15"/>
  <c r="Q134" i="15"/>
  <c r="Q120" i="15"/>
  <c r="Q125" i="15"/>
  <c r="Q135" i="15"/>
  <c r="Q129" i="15"/>
  <c r="Q126" i="15"/>
  <c r="Q127" i="15"/>
  <c r="Q124" i="15"/>
  <c r="Q130" i="15"/>
  <c r="Q122" i="15"/>
  <c r="Q136" i="15"/>
  <c r="Q121" i="15"/>
  <c r="Q131" i="15"/>
  <c r="Q133" i="15"/>
  <c r="Q128" i="15"/>
  <c r="Q119" i="15"/>
  <c r="R337" i="15"/>
  <c r="R343" i="15"/>
  <c r="R341" i="15"/>
  <c r="R333" i="15"/>
  <c r="R331" i="15"/>
  <c r="R340" i="15"/>
  <c r="R334" i="15"/>
  <c r="R338" i="15"/>
  <c r="R336" i="15"/>
  <c r="R344" i="15"/>
  <c r="R335" i="15"/>
  <c r="R345" i="15"/>
  <c r="R332" i="15"/>
  <c r="R330" i="15"/>
  <c r="R328" i="15"/>
  <c r="O94" i="15"/>
  <c r="O92" i="15"/>
  <c r="O96" i="15"/>
  <c r="O95" i="15"/>
  <c r="O87" i="15"/>
  <c r="O89" i="15"/>
  <c r="O85" i="15"/>
  <c r="O97" i="15"/>
  <c r="O86" i="15"/>
  <c r="O84" i="15"/>
  <c r="O88" i="15"/>
  <c r="O82" i="15"/>
  <c r="X91" i="15"/>
  <c r="X84" i="15"/>
  <c r="X89" i="15"/>
  <c r="X88" i="15"/>
  <c r="X81" i="15"/>
  <c r="X92" i="15"/>
  <c r="X98" i="15"/>
  <c r="X86" i="15"/>
  <c r="X90" i="15"/>
  <c r="X85" i="15"/>
  <c r="X82" i="15"/>
  <c r="X95" i="15"/>
  <c r="X94" i="15"/>
  <c r="R103" i="15"/>
  <c r="R110" i="15"/>
  <c r="R111" i="15"/>
  <c r="R107" i="15"/>
  <c r="R108" i="15"/>
  <c r="R106" i="15"/>
  <c r="R105" i="15"/>
  <c r="R116" i="15"/>
  <c r="R104" i="15"/>
  <c r="R113" i="15"/>
  <c r="R114" i="15"/>
  <c r="R100" i="15"/>
  <c r="R115" i="15"/>
  <c r="R117" i="15"/>
  <c r="R112" i="15"/>
  <c r="U43" i="15"/>
  <c r="U59" i="15"/>
  <c r="U47" i="15"/>
  <c r="U50" i="15"/>
  <c r="U55" i="15"/>
  <c r="U57" i="15"/>
  <c r="U53" i="15"/>
  <c r="U49" i="15"/>
  <c r="U45" i="15"/>
  <c r="O179" i="15"/>
  <c r="O191" i="15"/>
  <c r="O178" i="15"/>
  <c r="O187" i="15"/>
  <c r="O184" i="15"/>
  <c r="O177" i="15"/>
  <c r="O181" i="15"/>
  <c r="O182" i="15"/>
  <c r="O180" i="15"/>
  <c r="O188" i="15"/>
  <c r="O189" i="15"/>
  <c r="O176" i="15"/>
  <c r="O193" i="15"/>
  <c r="O192" i="15"/>
  <c r="O183" i="15"/>
  <c r="O186" i="15"/>
  <c r="V212" i="15"/>
  <c r="V195" i="15"/>
  <c r="V208" i="15"/>
  <c r="V203" i="15"/>
  <c r="V197" i="15"/>
  <c r="V210" i="15"/>
  <c r="V202" i="15"/>
  <c r="V207" i="15"/>
  <c r="V211" i="15"/>
  <c r="V199" i="15"/>
  <c r="V206" i="15"/>
  <c r="V200" i="15"/>
  <c r="V198" i="15"/>
  <c r="V204" i="15"/>
  <c r="V196" i="15"/>
  <c r="V201" i="15"/>
  <c r="V209" i="15"/>
  <c r="U250" i="15"/>
  <c r="U240" i="15"/>
  <c r="U248" i="15"/>
  <c r="U239" i="15"/>
  <c r="U244" i="15"/>
  <c r="U245" i="15"/>
  <c r="U247" i="15"/>
  <c r="U246" i="15"/>
  <c r="U242" i="15"/>
  <c r="P1453" i="15"/>
  <c r="P1449" i="15"/>
  <c r="P1465" i="15"/>
  <c r="P1462" i="15"/>
  <c r="P1460" i="15"/>
  <c r="P1451" i="15"/>
  <c r="P1459" i="15"/>
  <c r="P1454" i="15"/>
  <c r="P1455" i="15"/>
  <c r="P1456" i="15"/>
  <c r="P1461" i="15"/>
  <c r="P1463" i="15"/>
  <c r="P1452" i="15"/>
  <c r="P1450" i="15"/>
  <c r="P1458" i="15"/>
  <c r="P1457" i="15"/>
  <c r="P1464" i="15"/>
  <c r="P1466" i="15"/>
  <c r="P961" i="15"/>
  <c r="P970" i="15"/>
  <c r="P962" i="15"/>
  <c r="P957" i="15"/>
  <c r="P955" i="15"/>
  <c r="P968" i="15"/>
  <c r="P965" i="15"/>
  <c r="P963" i="15"/>
  <c r="P958" i="15"/>
  <c r="P971" i="15"/>
  <c r="P960" i="15"/>
  <c r="P966" i="15"/>
  <c r="P969" i="15"/>
  <c r="P956" i="15"/>
  <c r="P972" i="15"/>
  <c r="P959" i="15"/>
  <c r="P967" i="15"/>
  <c r="P964" i="15"/>
  <c r="Q1123" i="15"/>
  <c r="Q1109" i="15"/>
  <c r="Q1107" i="15"/>
  <c r="Q1112" i="15"/>
  <c r="Q1110" i="15"/>
  <c r="Q1113" i="15"/>
  <c r="Q1115" i="15"/>
  <c r="Q1120" i="15"/>
  <c r="Q1122" i="15"/>
  <c r="Q1108" i="15"/>
  <c r="Q1124" i="15"/>
  <c r="Q1121" i="15"/>
  <c r="Q1114" i="15"/>
  <c r="Q1111" i="15"/>
  <c r="Q1119" i="15"/>
  <c r="Q1117" i="15"/>
  <c r="Q1116" i="15"/>
  <c r="Q1118" i="15"/>
  <c r="P452" i="15"/>
  <c r="P459" i="15"/>
  <c r="P443" i="15"/>
  <c r="P458" i="15"/>
  <c r="P445" i="15"/>
  <c r="P454" i="15"/>
  <c r="P442" i="15"/>
  <c r="P455" i="15"/>
  <c r="P457" i="15"/>
  <c r="P449" i="15"/>
  <c r="P450" i="15"/>
  <c r="P446" i="15"/>
  <c r="P444" i="15"/>
  <c r="P456" i="15"/>
  <c r="P453" i="15"/>
  <c r="P451" i="15"/>
  <c r="P448" i="15"/>
  <c r="P447" i="15"/>
  <c r="N898" i="15"/>
  <c r="N907" i="15"/>
  <c r="N912" i="15"/>
  <c r="N903" i="15"/>
  <c r="N915" i="15"/>
  <c r="N901" i="15"/>
  <c r="N914" i="15"/>
  <c r="N909" i="15"/>
  <c r="N904" i="15"/>
  <c r="N902" i="15"/>
  <c r="N899" i="15"/>
  <c r="N906" i="15"/>
  <c r="N911" i="15"/>
  <c r="N908" i="15"/>
  <c r="N913" i="15"/>
  <c r="N905" i="15"/>
  <c r="N900" i="15"/>
  <c r="N910" i="15"/>
  <c r="Q1410" i="15"/>
  <c r="P1288" i="15"/>
  <c r="P1294" i="15"/>
  <c r="P1282" i="15"/>
  <c r="P1290" i="15"/>
  <c r="P1285" i="15"/>
  <c r="P1279" i="15"/>
  <c r="P1291" i="15"/>
  <c r="P1295" i="15"/>
  <c r="P1287" i="15"/>
  <c r="P1293" i="15"/>
  <c r="P1278" i="15"/>
  <c r="P1286" i="15"/>
  <c r="P1284" i="15"/>
  <c r="P1292" i="15"/>
  <c r="P1281" i="15"/>
  <c r="P1280" i="15"/>
  <c r="P1283" i="15"/>
  <c r="P1289" i="15"/>
  <c r="P1038" i="15"/>
  <c r="P1035" i="15"/>
  <c r="P1042" i="15"/>
  <c r="P1036" i="15"/>
  <c r="P1045" i="15"/>
  <c r="P1046" i="15"/>
  <c r="P1033" i="15"/>
  <c r="P1037" i="15"/>
  <c r="P1040" i="15"/>
  <c r="P1034" i="15"/>
  <c r="P1043" i="15"/>
  <c r="P1048" i="15"/>
  <c r="P1032" i="15"/>
  <c r="P1041" i="15"/>
  <c r="P1031" i="15"/>
  <c r="P1044" i="15"/>
  <c r="P1039" i="15"/>
  <c r="P1047" i="15"/>
  <c r="N986" i="15"/>
  <c r="N981" i="15"/>
  <c r="N988" i="15"/>
  <c r="N979" i="15"/>
  <c r="N989" i="15"/>
  <c r="N987" i="15"/>
  <c r="N980" i="15"/>
  <c r="N975" i="15"/>
  <c r="N983" i="15"/>
  <c r="N984" i="15"/>
  <c r="N978" i="15"/>
  <c r="N991" i="15"/>
  <c r="N990" i="15"/>
  <c r="N977" i="15"/>
  <c r="N985" i="15"/>
  <c r="N974" i="15"/>
  <c r="N982" i="15"/>
  <c r="N976" i="15"/>
  <c r="O1091" i="15"/>
  <c r="O1103" i="15"/>
  <c r="O1095" i="15"/>
  <c r="O1098" i="15"/>
  <c r="O1093" i="15"/>
  <c r="O1102" i="15"/>
  <c r="O1099" i="15"/>
  <c r="O1104" i="15"/>
  <c r="O1101" i="15"/>
  <c r="O1092" i="15"/>
  <c r="O1096" i="15"/>
  <c r="O1100" i="15"/>
  <c r="O1089" i="15"/>
  <c r="O1097" i="15"/>
  <c r="O1105" i="15"/>
  <c r="O1090" i="15"/>
  <c r="O1088" i="15"/>
  <c r="N757" i="15"/>
  <c r="N754" i="15"/>
  <c r="N753" i="15"/>
  <c r="N755" i="15"/>
  <c r="N751" i="15"/>
  <c r="N747" i="15"/>
  <c r="N752" i="15"/>
  <c r="N759" i="15"/>
  <c r="N760" i="15"/>
  <c r="N750" i="15"/>
  <c r="N761" i="15"/>
  <c r="N746" i="15"/>
  <c r="N762" i="15"/>
  <c r="N748" i="15"/>
  <c r="N758" i="15"/>
  <c r="N756" i="15"/>
  <c r="P1098" i="15"/>
  <c r="P1095" i="15"/>
  <c r="P1090" i="15"/>
  <c r="P1103" i="15"/>
  <c r="P1105" i="15"/>
  <c r="P1094" i="15"/>
  <c r="P1102" i="15"/>
  <c r="P1091" i="15"/>
  <c r="P1092" i="15"/>
  <c r="P1089" i="15"/>
  <c r="P1100" i="15"/>
  <c r="P1097" i="15"/>
  <c r="P1099" i="15"/>
  <c r="P1104" i="15"/>
  <c r="P1093" i="15"/>
  <c r="P1088" i="15"/>
  <c r="P1101" i="15"/>
  <c r="P1096" i="15"/>
  <c r="N1319" i="15"/>
  <c r="N1325" i="15"/>
  <c r="N1330" i="15"/>
  <c r="N1328" i="15"/>
  <c r="N1326" i="15"/>
  <c r="N1329" i="15"/>
  <c r="N1332" i="15"/>
  <c r="N1327" i="15"/>
  <c r="N1320" i="15"/>
  <c r="N1316" i="15"/>
  <c r="N1323" i="15"/>
  <c r="N1321" i="15"/>
  <c r="N1318" i="15"/>
  <c r="N1333" i="15"/>
  <c r="N1331" i="15"/>
  <c r="N1317" i="15"/>
  <c r="N1324" i="15"/>
  <c r="N1322" i="15"/>
  <c r="O802" i="15"/>
  <c r="O1020" i="15"/>
  <c r="O1012" i="15"/>
  <c r="O1026" i="15"/>
  <c r="O1029" i="15"/>
  <c r="O1017" i="15"/>
  <c r="O1021" i="15"/>
  <c r="O1015" i="15"/>
  <c r="O1014" i="15"/>
  <c r="O1018" i="15"/>
  <c r="O1023" i="15"/>
  <c r="O1022" i="15"/>
  <c r="O1013" i="15"/>
  <c r="O1027" i="15"/>
  <c r="O1025" i="15"/>
  <c r="O1019" i="15"/>
  <c r="O1028" i="15"/>
  <c r="O1016" i="15"/>
  <c r="O1024" i="15"/>
  <c r="Q517" i="15"/>
  <c r="P370" i="15"/>
  <c r="P378" i="15"/>
  <c r="P372" i="15"/>
  <c r="P383" i="15"/>
  <c r="P379" i="15"/>
  <c r="P369" i="15"/>
  <c r="P367" i="15"/>
  <c r="P381" i="15"/>
  <c r="P368" i="15"/>
  <c r="P377" i="15"/>
  <c r="P375" i="15"/>
  <c r="P373" i="15"/>
  <c r="P376" i="15"/>
  <c r="P382" i="15"/>
  <c r="P380" i="15"/>
  <c r="P371" i="15"/>
  <c r="P374" i="15"/>
  <c r="P366" i="15"/>
  <c r="U225" i="15"/>
  <c r="U223" i="15"/>
  <c r="U221" i="15"/>
  <c r="U229" i="15"/>
  <c r="U230" i="15"/>
  <c r="U227" i="15"/>
  <c r="U222" i="15"/>
  <c r="U216" i="15"/>
  <c r="U215" i="15"/>
  <c r="U214" i="15"/>
  <c r="U224" i="15"/>
  <c r="U217" i="15"/>
  <c r="U231" i="15"/>
  <c r="U226" i="15"/>
  <c r="U228" i="15"/>
  <c r="U218" i="15"/>
  <c r="T64" i="15"/>
  <c r="T65" i="15"/>
  <c r="T73" i="15"/>
  <c r="T78" i="15"/>
  <c r="T68" i="15"/>
  <c r="T70" i="15"/>
  <c r="T63" i="15"/>
  <c r="T66" i="15"/>
  <c r="T77" i="15"/>
  <c r="T74" i="15"/>
  <c r="T76" i="15"/>
  <c r="T72" i="15"/>
  <c r="T71" i="15"/>
  <c r="T62" i="15"/>
  <c r="P310" i="15"/>
  <c r="P324" i="15"/>
  <c r="P309" i="15"/>
  <c r="P318" i="15"/>
  <c r="P323" i="15"/>
  <c r="P313" i="15"/>
  <c r="P326" i="15"/>
  <c r="P325" i="15"/>
  <c r="P315" i="15"/>
  <c r="P312" i="15"/>
  <c r="P317" i="15"/>
  <c r="P320" i="15"/>
  <c r="P321" i="15"/>
  <c r="P314" i="15"/>
  <c r="P316" i="15"/>
  <c r="Q293" i="15"/>
  <c r="Q307" i="15"/>
  <c r="Q295" i="15"/>
  <c r="Q305" i="15"/>
  <c r="Q306" i="15"/>
  <c r="Q294" i="15"/>
  <c r="Q299" i="15"/>
  <c r="Q292" i="15"/>
  <c r="Q296" i="15"/>
  <c r="Q290" i="15"/>
  <c r="Q303" i="15"/>
  <c r="Q304" i="15"/>
  <c r="Q291" i="15"/>
  <c r="Q302" i="15"/>
  <c r="Q300" i="15"/>
  <c r="Q297" i="15"/>
  <c r="Q301" i="15"/>
  <c r="Q1334" i="15"/>
  <c r="Q593" i="15"/>
  <c r="Q422" i="15"/>
  <c r="O1049" i="15"/>
  <c r="O1296" i="15"/>
  <c r="N373" i="15"/>
  <c r="N372" i="15"/>
  <c r="N378" i="15"/>
  <c r="N379" i="15"/>
  <c r="N377" i="15"/>
  <c r="N383" i="15"/>
  <c r="N380" i="15"/>
  <c r="N368" i="15"/>
  <c r="N376" i="15"/>
  <c r="N366" i="15"/>
  <c r="N367" i="15"/>
  <c r="N374" i="15"/>
  <c r="N381" i="15"/>
  <c r="N371" i="15"/>
  <c r="N370" i="15"/>
  <c r="N375" i="15"/>
  <c r="N369" i="15"/>
  <c r="N382" i="15"/>
  <c r="W100" i="15"/>
  <c r="W114" i="15"/>
  <c r="W110" i="15"/>
  <c r="W113" i="15"/>
  <c r="W102" i="15"/>
  <c r="W107" i="15"/>
  <c r="W112" i="15"/>
  <c r="W117" i="15"/>
  <c r="W104" i="15"/>
  <c r="W105" i="15"/>
  <c r="W115" i="15"/>
  <c r="W109" i="15"/>
  <c r="W111" i="15"/>
  <c r="W101" i="15"/>
  <c r="P129" i="15"/>
  <c r="P136" i="15"/>
  <c r="P121" i="15"/>
  <c r="P128" i="15"/>
  <c r="P132" i="15"/>
  <c r="P120" i="15"/>
  <c r="P122" i="15"/>
  <c r="P135" i="15"/>
  <c r="P130" i="15"/>
  <c r="P123" i="15"/>
  <c r="P131" i="15"/>
  <c r="P125" i="15"/>
  <c r="P127" i="15"/>
  <c r="X246" i="15"/>
  <c r="X311" i="15"/>
  <c r="P133" i="15"/>
  <c r="O100" i="15"/>
  <c r="O104" i="15"/>
  <c r="O111" i="15"/>
  <c r="O107" i="15"/>
  <c r="O117" i="15"/>
  <c r="O110" i="15"/>
  <c r="O101" i="15"/>
  <c r="O113" i="15"/>
  <c r="O109" i="15"/>
  <c r="O102" i="15"/>
  <c r="O114" i="15"/>
  <c r="O116" i="15"/>
  <c r="O103" i="15"/>
  <c r="O106" i="15"/>
  <c r="O112" i="15"/>
  <c r="O105" i="15"/>
  <c r="O108" i="15"/>
  <c r="T295" i="15"/>
  <c r="T304" i="15"/>
  <c r="T299" i="15"/>
  <c r="T303" i="15"/>
  <c r="T292" i="15"/>
  <c r="T301" i="15"/>
  <c r="T300" i="15"/>
  <c r="T305" i="15"/>
  <c r="T291" i="15"/>
  <c r="T296" i="15"/>
  <c r="T290" i="15"/>
  <c r="T298" i="15"/>
  <c r="T297" i="15"/>
  <c r="T306" i="15"/>
  <c r="T293" i="15"/>
  <c r="U66" i="15"/>
  <c r="U62" i="15"/>
  <c r="U63" i="15"/>
  <c r="U79" i="15"/>
  <c r="U69" i="15"/>
  <c r="U75" i="15"/>
  <c r="U71" i="15"/>
  <c r="U72" i="15"/>
  <c r="U67" i="15"/>
  <c r="U65" i="15"/>
  <c r="U70" i="15"/>
  <c r="U64" i="15"/>
  <c r="U78" i="15"/>
  <c r="U76" i="15"/>
  <c r="U73" i="15"/>
  <c r="U74" i="15"/>
  <c r="S233" i="15"/>
  <c r="S243" i="15"/>
  <c r="S245" i="15"/>
  <c r="S240" i="15"/>
  <c r="S250" i="15"/>
  <c r="S238" i="15"/>
  <c r="S237" i="15"/>
  <c r="S248" i="15"/>
  <c r="S242" i="15"/>
  <c r="S246" i="15"/>
  <c r="S241" i="15"/>
  <c r="S235" i="15"/>
  <c r="S239" i="15"/>
  <c r="S236" i="15"/>
  <c r="S244" i="15"/>
  <c r="S247" i="15"/>
  <c r="S249" i="15"/>
  <c r="O1461" i="15"/>
  <c r="O1449" i="15"/>
  <c r="O1462" i="15"/>
  <c r="O1455" i="15"/>
  <c r="O1465" i="15"/>
  <c r="O1451" i="15"/>
  <c r="O1457" i="15"/>
  <c r="O1466" i="15"/>
  <c r="O1453" i="15"/>
  <c r="O1459" i="15"/>
  <c r="O1463" i="15"/>
  <c r="O1464" i="15"/>
  <c r="O1460" i="15"/>
  <c r="O1458" i="15"/>
  <c r="O1454" i="15"/>
  <c r="O1456" i="15"/>
  <c r="O1452" i="15"/>
  <c r="O1450" i="15"/>
  <c r="Q1486" i="15"/>
  <c r="N600" i="15"/>
  <c r="N605" i="15"/>
  <c r="N608" i="15"/>
  <c r="N601" i="15"/>
  <c r="N599" i="15"/>
  <c r="N610" i="15"/>
  <c r="N607" i="15"/>
  <c r="N597" i="15"/>
  <c r="N595" i="15"/>
  <c r="N598" i="15"/>
  <c r="N606" i="15"/>
  <c r="N604" i="15"/>
  <c r="N594" i="15"/>
  <c r="N603" i="15"/>
  <c r="N611" i="15"/>
  <c r="N602" i="15"/>
  <c r="N609" i="15"/>
  <c r="N596" i="15"/>
  <c r="O1004" i="15"/>
  <c r="O993" i="15"/>
  <c r="O997" i="15"/>
  <c r="O999" i="15"/>
  <c r="O1003" i="15"/>
  <c r="O1006" i="15"/>
  <c r="O1005" i="15"/>
  <c r="O1009" i="15"/>
  <c r="O1010" i="15"/>
  <c r="O995" i="15"/>
  <c r="O1000" i="15"/>
  <c r="O1007" i="15"/>
  <c r="O1008" i="15"/>
  <c r="O1002" i="15"/>
  <c r="O998" i="15"/>
  <c r="O994" i="15"/>
  <c r="O996" i="15"/>
  <c r="O1001" i="15"/>
  <c r="U220" i="15"/>
  <c r="O284" i="15"/>
  <c r="O275" i="15"/>
  <c r="O287" i="15"/>
  <c r="O281" i="15"/>
  <c r="T259" i="15"/>
  <c r="T257" i="15"/>
  <c r="T261" i="15"/>
  <c r="T265" i="15"/>
  <c r="T269" i="15"/>
  <c r="T258" i="15"/>
  <c r="T254" i="15"/>
  <c r="T262" i="15"/>
  <c r="T256" i="15"/>
  <c r="T255" i="15"/>
  <c r="T264" i="15"/>
  <c r="T266" i="15"/>
  <c r="T253" i="15"/>
  <c r="W242" i="15"/>
  <c r="X223" i="15"/>
  <c r="W108" i="15"/>
  <c r="P207" i="15"/>
  <c r="P322" i="15"/>
  <c r="O141" i="15"/>
  <c r="X241" i="15"/>
  <c r="W240" i="15"/>
  <c r="W116" i="15"/>
  <c r="V284" i="15"/>
  <c r="T302" i="15"/>
  <c r="O149" i="15"/>
  <c r="X245" i="15"/>
  <c r="X93" i="15"/>
  <c r="W239" i="15"/>
  <c r="X207" i="15"/>
  <c r="W103" i="15"/>
  <c r="V168" i="15"/>
  <c r="T294" i="15"/>
  <c r="N158" i="15"/>
  <c r="N166" i="15"/>
  <c r="N174" i="15"/>
  <c r="N171" i="15"/>
  <c r="N170" i="15"/>
  <c r="N167" i="15"/>
  <c r="N163" i="15"/>
  <c r="N162" i="15"/>
  <c r="N168" i="15"/>
  <c r="N164" i="15"/>
  <c r="N161" i="15"/>
  <c r="N159" i="15"/>
  <c r="N157" i="15"/>
  <c r="N165" i="15"/>
  <c r="N160" i="15"/>
  <c r="N172" i="15"/>
  <c r="N173" i="15"/>
  <c r="N169" i="15"/>
  <c r="O233" i="15"/>
  <c r="O237" i="15"/>
  <c r="O240" i="15"/>
  <c r="O243" i="15"/>
  <c r="O245" i="15"/>
  <c r="O248" i="15"/>
  <c r="O249" i="15"/>
  <c r="O239" i="15"/>
  <c r="O235" i="15"/>
  <c r="O246" i="15"/>
  <c r="O241" i="15"/>
  <c r="O242" i="15"/>
  <c r="O247" i="15"/>
  <c r="O250" i="15"/>
  <c r="O238" i="15"/>
  <c r="O244" i="15"/>
  <c r="O236" i="15"/>
  <c r="X227" i="15"/>
  <c r="X214" i="15"/>
  <c r="X225" i="15"/>
  <c r="X230" i="15"/>
  <c r="X217" i="15"/>
  <c r="X224" i="15"/>
  <c r="X219" i="15"/>
  <c r="X229" i="15"/>
  <c r="X218" i="15"/>
  <c r="X222" i="15"/>
  <c r="X226" i="15"/>
  <c r="X228" i="15"/>
  <c r="N1487" i="15"/>
  <c r="N1493" i="15"/>
  <c r="N1503" i="15"/>
  <c r="N1501" i="15"/>
  <c r="N1504" i="15"/>
  <c r="N1488" i="15"/>
  <c r="N1499" i="15"/>
  <c r="N1495" i="15"/>
  <c r="N1491" i="15"/>
  <c r="N1494" i="15"/>
  <c r="N1496" i="15"/>
  <c r="N1498" i="15"/>
  <c r="N1489" i="15"/>
  <c r="N1500" i="15"/>
  <c r="N1492" i="15"/>
  <c r="N1497" i="15"/>
  <c r="N1490" i="15"/>
  <c r="N1502" i="15"/>
  <c r="P518" i="15"/>
  <c r="P520" i="15"/>
  <c r="P524" i="15"/>
  <c r="P525" i="15"/>
  <c r="P535" i="15"/>
  <c r="P532" i="15"/>
  <c r="P531" i="15"/>
  <c r="P523" i="15"/>
  <c r="P530" i="15"/>
  <c r="P527" i="15"/>
  <c r="P519" i="15"/>
  <c r="P528" i="15"/>
  <c r="P526" i="15"/>
  <c r="P533" i="15"/>
  <c r="P522" i="15"/>
  <c r="P521" i="15"/>
  <c r="P529" i="15"/>
  <c r="P319" i="15"/>
  <c r="N357" i="15"/>
  <c r="N352" i="15"/>
  <c r="N361" i="15"/>
  <c r="N354" i="15"/>
  <c r="N360" i="15"/>
  <c r="N363" i="15"/>
  <c r="N348" i="15"/>
  <c r="N350" i="15"/>
  <c r="N356" i="15"/>
  <c r="N351" i="15"/>
  <c r="N362" i="15"/>
  <c r="N349" i="15"/>
  <c r="N358" i="15"/>
  <c r="N359" i="15"/>
  <c r="N364" i="15"/>
  <c r="N353" i="15"/>
  <c r="X87" i="15"/>
  <c r="O152" i="15"/>
  <c r="X236" i="15"/>
  <c r="X96" i="15"/>
  <c r="W247" i="15"/>
  <c r="W46" i="15"/>
  <c r="X197" i="15"/>
  <c r="O190" i="15"/>
  <c r="N347" i="15"/>
  <c r="O1094" i="15"/>
  <c r="R350" i="15"/>
  <c r="S47" i="15"/>
  <c r="S57" i="15"/>
  <c r="S45" i="15"/>
  <c r="S48" i="15"/>
  <c r="S55" i="15"/>
  <c r="S52" i="15"/>
  <c r="S43" i="15"/>
  <c r="S59" i="15"/>
  <c r="S60" i="15"/>
  <c r="S44" i="15"/>
  <c r="S49" i="15"/>
  <c r="S51" i="15"/>
  <c r="S229" i="15"/>
  <c r="S224" i="15"/>
  <c r="S231" i="15"/>
  <c r="S223" i="15"/>
  <c r="S221" i="15"/>
  <c r="S230" i="15"/>
  <c r="S227" i="15"/>
  <c r="S226" i="15"/>
  <c r="S214" i="15"/>
  <c r="S222" i="15"/>
  <c r="S215" i="15"/>
  <c r="S225" i="15"/>
  <c r="S216" i="15"/>
  <c r="S217" i="15"/>
  <c r="S218" i="15"/>
  <c r="S219" i="15"/>
  <c r="S220" i="15"/>
  <c r="S228" i="15"/>
  <c r="V254" i="15"/>
  <c r="V262" i="15"/>
  <c r="V267" i="15"/>
  <c r="V269" i="15"/>
  <c r="V257" i="15"/>
  <c r="V261" i="15"/>
  <c r="V255" i="15"/>
  <c r="V265" i="15"/>
  <c r="V263" i="15"/>
  <c r="V256" i="15"/>
  <c r="V266" i="15"/>
  <c r="V260" i="15"/>
  <c r="V253" i="15"/>
  <c r="V259" i="15"/>
  <c r="V264" i="15"/>
  <c r="V258" i="15"/>
  <c r="V268" i="15"/>
  <c r="V252" i="15"/>
  <c r="U122" i="15"/>
  <c r="U136" i="15"/>
  <c r="U131" i="15"/>
  <c r="U125" i="15"/>
  <c r="U132" i="15"/>
  <c r="U121" i="15"/>
  <c r="U124" i="15"/>
  <c r="U134" i="15"/>
  <c r="U129" i="15"/>
  <c r="U133" i="15"/>
  <c r="U120" i="15"/>
  <c r="U126" i="15"/>
  <c r="U135" i="15"/>
  <c r="U128" i="15"/>
  <c r="U127" i="15"/>
  <c r="U119" i="15"/>
  <c r="U130" i="15"/>
  <c r="N673" i="15"/>
  <c r="N675" i="15"/>
  <c r="N679" i="15"/>
  <c r="N670" i="15"/>
  <c r="N686" i="15"/>
  <c r="N683" i="15"/>
  <c r="N678" i="15"/>
  <c r="N676" i="15"/>
  <c r="N681" i="15"/>
  <c r="N682" i="15"/>
  <c r="N687" i="15"/>
  <c r="N680" i="15"/>
  <c r="N685" i="15"/>
  <c r="N672" i="15"/>
  <c r="N684" i="15"/>
  <c r="N671" i="15"/>
  <c r="N677" i="15"/>
  <c r="N674" i="15"/>
  <c r="N814" i="15"/>
  <c r="N819" i="15"/>
  <c r="N813" i="15"/>
  <c r="N817" i="15"/>
  <c r="N818" i="15"/>
  <c r="N811" i="15"/>
  <c r="N807" i="15"/>
  <c r="N806" i="15"/>
  <c r="N809" i="15"/>
  <c r="N805" i="15"/>
  <c r="N812" i="15"/>
  <c r="N803" i="15"/>
  <c r="N820" i="15"/>
  <c r="N815" i="15"/>
  <c r="N810" i="15"/>
  <c r="N816" i="15"/>
  <c r="N804" i="15"/>
  <c r="N808" i="15"/>
  <c r="T67" i="15"/>
  <c r="S72" i="15"/>
  <c r="S73" i="15"/>
  <c r="S69" i="15"/>
  <c r="S74" i="15"/>
  <c r="S76" i="15"/>
  <c r="S63" i="15"/>
  <c r="S71" i="15"/>
  <c r="S79" i="15"/>
  <c r="S64" i="15"/>
  <c r="S67" i="15"/>
  <c r="S75" i="15"/>
  <c r="S68" i="15"/>
  <c r="S66" i="15"/>
  <c r="X244" i="15"/>
  <c r="X83" i="15"/>
  <c r="X220" i="15"/>
  <c r="W43" i="15"/>
  <c r="X203" i="15"/>
  <c r="R109" i="15"/>
  <c r="U249" i="15"/>
  <c r="U234" i="15"/>
  <c r="R352" i="15"/>
  <c r="N355" i="15"/>
  <c r="N58" i="15"/>
  <c r="N50" i="15"/>
  <c r="N44" i="15"/>
  <c r="N48" i="15"/>
  <c r="N45" i="15"/>
  <c r="N43" i="15"/>
  <c r="N53" i="15"/>
  <c r="N46" i="15"/>
  <c r="N54" i="15"/>
  <c r="U88" i="15"/>
  <c r="U95" i="15"/>
  <c r="U87" i="15"/>
  <c r="U91" i="15"/>
  <c r="U94" i="15"/>
  <c r="U84" i="15"/>
  <c r="U96" i="15"/>
  <c r="U89" i="15"/>
  <c r="U83" i="15"/>
  <c r="U92" i="15"/>
  <c r="U86" i="15"/>
  <c r="U81" i="15"/>
  <c r="U97" i="15"/>
  <c r="U90" i="15"/>
  <c r="U98" i="15"/>
  <c r="X132" i="15"/>
  <c r="X120" i="15"/>
  <c r="P332" i="15"/>
  <c r="P339" i="15"/>
  <c r="P342" i="15"/>
  <c r="P345" i="15"/>
  <c r="P328" i="15"/>
  <c r="P343" i="15"/>
  <c r="P330" i="15"/>
  <c r="P344" i="15"/>
  <c r="P338" i="15"/>
  <c r="P329" i="15"/>
  <c r="P340" i="15"/>
  <c r="P336" i="15"/>
  <c r="P333" i="15"/>
  <c r="P341" i="15"/>
  <c r="U147" i="15"/>
  <c r="U139" i="15"/>
  <c r="U152" i="15"/>
  <c r="U145" i="15"/>
  <c r="U148" i="15"/>
  <c r="U155" i="15"/>
  <c r="U143" i="15"/>
  <c r="U153" i="15"/>
  <c r="U151" i="15"/>
  <c r="U154" i="15"/>
  <c r="U140" i="15"/>
  <c r="U142" i="15"/>
  <c r="U150" i="15"/>
  <c r="U144" i="15"/>
  <c r="U138" i="15"/>
  <c r="P138" i="15"/>
  <c r="P144" i="15"/>
  <c r="P145" i="15"/>
  <c r="P154" i="15"/>
  <c r="P147" i="15"/>
  <c r="P141" i="15"/>
  <c r="P139" i="15"/>
  <c r="P155" i="15"/>
  <c r="P153" i="15"/>
  <c r="P143" i="15"/>
  <c r="P152" i="15"/>
  <c r="P151" i="15"/>
  <c r="W254" i="15"/>
  <c r="W259" i="15"/>
  <c r="W264" i="15"/>
  <c r="W269" i="15"/>
  <c r="W263" i="15"/>
  <c r="W256" i="15"/>
  <c r="W253" i="15"/>
  <c r="W255" i="15"/>
  <c r="W257" i="15"/>
  <c r="W258" i="15"/>
  <c r="R249" i="15"/>
  <c r="R233" i="15"/>
  <c r="R245" i="15"/>
  <c r="R236" i="15"/>
  <c r="R235" i="15"/>
  <c r="R242" i="15"/>
  <c r="R243" i="15"/>
  <c r="R244" i="15"/>
  <c r="R237" i="15"/>
  <c r="R241" i="15"/>
  <c r="R238" i="15"/>
  <c r="R239" i="15"/>
  <c r="R246" i="15"/>
  <c r="R240" i="15"/>
  <c r="R247" i="15"/>
  <c r="R248" i="15"/>
  <c r="U106" i="15"/>
  <c r="U103" i="15"/>
  <c r="U108" i="15"/>
  <c r="U112" i="15"/>
  <c r="U110" i="15"/>
  <c r="U116" i="15"/>
  <c r="U109" i="15"/>
  <c r="U117" i="15"/>
  <c r="U111" i="15"/>
  <c r="U114" i="15"/>
  <c r="U107" i="15"/>
  <c r="U105" i="15"/>
  <c r="U100" i="15"/>
  <c r="U104" i="15"/>
  <c r="U113" i="15"/>
  <c r="U101" i="15"/>
  <c r="U115" i="15"/>
  <c r="U102" i="15"/>
  <c r="O295" i="15"/>
  <c r="O306" i="15"/>
  <c r="O302" i="15"/>
  <c r="O301" i="15"/>
  <c r="O296" i="15"/>
  <c r="O292" i="15"/>
  <c r="O290" i="15"/>
  <c r="O297" i="15"/>
  <c r="O298" i="15"/>
  <c r="O305" i="15"/>
  <c r="O293" i="15"/>
  <c r="O300" i="15"/>
  <c r="O304" i="15"/>
  <c r="O294" i="15"/>
  <c r="O291" i="15"/>
  <c r="O299" i="15"/>
  <c r="N1454" i="15"/>
  <c r="N1459" i="15"/>
  <c r="N1455" i="15"/>
  <c r="N1464" i="15"/>
  <c r="N1462" i="15"/>
  <c r="N1461" i="15"/>
  <c r="N1463" i="15"/>
  <c r="N1456" i="15"/>
  <c r="N1458" i="15"/>
  <c r="N1449" i="15"/>
  <c r="N1451" i="15"/>
  <c r="N1457" i="15"/>
  <c r="N1450" i="15"/>
  <c r="N1465" i="15"/>
  <c r="N1460" i="15"/>
  <c r="N1452" i="15"/>
  <c r="N1466" i="15"/>
  <c r="Q1448" i="15"/>
  <c r="Q954" i="15"/>
  <c r="O1162" i="15"/>
  <c r="O1148" i="15"/>
  <c r="O1156" i="15"/>
  <c r="O1151" i="15"/>
  <c r="O1154" i="15"/>
  <c r="O1159" i="15"/>
  <c r="O1150" i="15"/>
  <c r="O1147" i="15"/>
  <c r="O1152" i="15"/>
  <c r="O1146" i="15"/>
  <c r="O1158" i="15"/>
  <c r="O1145" i="15"/>
  <c r="O1153" i="15"/>
  <c r="O1149" i="15"/>
  <c r="O1161" i="15"/>
  <c r="O1160" i="15"/>
  <c r="O1155" i="15"/>
  <c r="Q441" i="15"/>
  <c r="N466" i="15"/>
  <c r="N474" i="15"/>
  <c r="N461" i="15"/>
  <c r="N472" i="15"/>
  <c r="N467" i="15"/>
  <c r="N468" i="15"/>
  <c r="N471" i="15"/>
  <c r="N477" i="15"/>
  <c r="N463" i="15"/>
  <c r="N473" i="15"/>
  <c r="N465" i="15"/>
  <c r="N476" i="15"/>
  <c r="N469" i="15"/>
  <c r="N478" i="15"/>
  <c r="N462" i="15"/>
  <c r="N475" i="15"/>
  <c r="Q1277" i="15"/>
  <c r="Q1030" i="15"/>
  <c r="O973" i="15"/>
  <c r="O1038" i="15"/>
  <c r="O1045" i="15"/>
  <c r="O1035" i="15"/>
  <c r="O1033" i="15"/>
  <c r="O1046" i="15"/>
  <c r="O1034" i="15"/>
  <c r="O1041" i="15"/>
  <c r="O1032" i="15"/>
  <c r="O1037" i="15"/>
  <c r="O1040" i="15"/>
  <c r="O1042" i="15"/>
  <c r="O1036" i="15"/>
  <c r="O1031" i="15"/>
  <c r="O1039" i="15"/>
  <c r="O745" i="15"/>
  <c r="P1467" i="15"/>
  <c r="Q1087" i="15"/>
  <c r="O1315" i="15"/>
  <c r="R418" i="15"/>
  <c r="R413" i="15"/>
  <c r="N1375" i="15"/>
  <c r="N1376" i="15"/>
  <c r="N1374" i="15"/>
  <c r="N1389" i="15"/>
  <c r="N1373" i="15"/>
  <c r="N1390" i="15"/>
  <c r="N1384" i="15"/>
  <c r="N1387" i="15"/>
  <c r="N1382" i="15"/>
  <c r="N1385" i="15"/>
  <c r="N1388" i="15"/>
  <c r="N1386" i="15"/>
  <c r="N1383" i="15"/>
  <c r="N1378" i="15"/>
  <c r="N1377" i="15"/>
  <c r="N1379" i="15"/>
  <c r="N1381" i="15"/>
  <c r="N1380" i="15"/>
  <c r="N1262" i="15"/>
  <c r="N1273" i="15"/>
  <c r="N1264" i="15"/>
  <c r="N1269" i="15"/>
  <c r="N1271" i="15"/>
  <c r="N1274" i="15"/>
  <c r="N1276" i="15"/>
  <c r="N1260" i="15"/>
  <c r="N1266" i="15"/>
  <c r="N1263" i="15"/>
  <c r="N1261" i="15"/>
  <c r="N1272" i="15"/>
  <c r="N1265" i="15"/>
  <c r="N1275" i="15"/>
  <c r="N1267" i="15"/>
  <c r="N1268" i="15"/>
  <c r="N1259" i="15"/>
  <c r="N1270" i="15"/>
  <c r="Q365" i="15"/>
  <c r="R217" i="15"/>
  <c r="R225" i="15"/>
  <c r="R215" i="15"/>
  <c r="R229" i="15"/>
  <c r="R223" i="15"/>
  <c r="R218" i="15"/>
  <c r="R228" i="15"/>
  <c r="R226" i="15"/>
  <c r="R227" i="15"/>
  <c r="R216" i="15"/>
  <c r="R224" i="15"/>
  <c r="R219" i="15"/>
  <c r="R220" i="15"/>
  <c r="R222" i="15"/>
  <c r="R230" i="15"/>
  <c r="R214" i="15"/>
  <c r="R231" i="15"/>
  <c r="R221" i="15"/>
  <c r="S259" i="15"/>
  <c r="S255" i="15"/>
  <c r="S265" i="15"/>
  <c r="S257" i="15"/>
  <c r="S262" i="15"/>
  <c r="S263" i="15"/>
  <c r="S260" i="15"/>
  <c r="S264" i="15"/>
  <c r="S253" i="15"/>
  <c r="S252" i="15"/>
  <c r="S269" i="15"/>
  <c r="S268" i="15"/>
  <c r="S256" i="15"/>
  <c r="S261" i="15"/>
  <c r="S266" i="15"/>
  <c r="S267" i="15"/>
  <c r="S258" i="15"/>
  <c r="T119" i="15"/>
  <c r="T125" i="15"/>
  <c r="T130" i="15"/>
  <c r="T129" i="15"/>
  <c r="T124" i="15"/>
  <c r="T126" i="15"/>
  <c r="T134" i="15"/>
  <c r="T132" i="15"/>
  <c r="T133" i="15"/>
  <c r="T121" i="15"/>
  <c r="T128" i="15"/>
  <c r="T136" i="15"/>
  <c r="T120" i="15"/>
  <c r="T122" i="15"/>
  <c r="T131" i="15"/>
  <c r="T135" i="15"/>
  <c r="W151" i="15"/>
  <c r="X136" i="15"/>
  <c r="X130" i="15"/>
  <c r="W262" i="15"/>
  <c r="N49" i="15"/>
  <c r="P148" i="15"/>
  <c r="P331" i="15"/>
  <c r="N1453" i="15"/>
  <c r="R190" i="15"/>
  <c r="R178" i="15"/>
  <c r="R192" i="15"/>
  <c r="R176" i="15"/>
  <c r="R179" i="15"/>
  <c r="R188" i="15"/>
  <c r="R191" i="15"/>
  <c r="R182" i="15"/>
  <c r="R180" i="15"/>
  <c r="R185" i="15"/>
  <c r="R181" i="15"/>
  <c r="R189" i="15"/>
  <c r="R186" i="15"/>
  <c r="R193" i="15"/>
  <c r="W154" i="15"/>
  <c r="W147" i="15"/>
  <c r="W321" i="15"/>
  <c r="W316" i="15"/>
  <c r="W313" i="15"/>
  <c r="W326" i="15"/>
  <c r="W323" i="15"/>
  <c r="W310" i="15"/>
  <c r="W315" i="15"/>
  <c r="W320" i="15"/>
  <c r="R302" i="15"/>
  <c r="R297" i="15"/>
  <c r="R295" i="15"/>
  <c r="R301" i="15"/>
  <c r="R296" i="15"/>
  <c r="R306" i="15"/>
  <c r="R304" i="15"/>
  <c r="R305" i="15"/>
  <c r="R294" i="15"/>
  <c r="R290" i="15"/>
  <c r="R298" i="15"/>
  <c r="R307" i="15"/>
  <c r="W141" i="15"/>
  <c r="W144" i="15"/>
  <c r="X131" i="15"/>
  <c r="X125" i="15"/>
  <c r="W319" i="15"/>
  <c r="W252" i="15"/>
  <c r="N56" i="15"/>
  <c r="P140" i="15"/>
  <c r="P149" i="15"/>
  <c r="U141" i="15"/>
  <c r="O303" i="15"/>
  <c r="R177" i="15"/>
  <c r="P334" i="15"/>
  <c r="R291" i="15"/>
  <c r="W271" i="15"/>
  <c r="W278" i="15"/>
  <c r="S296" i="15"/>
  <c r="S291" i="15"/>
  <c r="S297" i="15"/>
  <c r="S300" i="15"/>
  <c r="S304" i="15"/>
  <c r="S290" i="15"/>
  <c r="S294" i="15"/>
  <c r="S305" i="15"/>
  <c r="S302" i="15"/>
  <c r="S292" i="15"/>
  <c r="S298" i="15"/>
  <c r="S295" i="15"/>
  <c r="S299" i="15"/>
  <c r="S301" i="15"/>
  <c r="S306" i="15"/>
  <c r="O121" i="15"/>
  <c r="O119" i="15"/>
  <c r="O134" i="15"/>
  <c r="O133" i="15"/>
  <c r="O126" i="15"/>
  <c r="O127" i="15"/>
  <c r="O130" i="15"/>
  <c r="O125" i="15"/>
  <c r="O135" i="15"/>
  <c r="O129" i="15"/>
  <c r="O120" i="15"/>
  <c r="O123" i="15"/>
  <c r="O124" i="15"/>
  <c r="O122" i="15"/>
  <c r="O131" i="15"/>
  <c r="W148" i="15"/>
  <c r="W152" i="15"/>
  <c r="X121" i="15"/>
  <c r="X133" i="15"/>
  <c r="W282" i="15"/>
  <c r="W309" i="15"/>
  <c r="W314" i="15"/>
  <c r="W260" i="15"/>
  <c r="T127" i="15"/>
  <c r="N47" i="15"/>
  <c r="P142" i="15"/>
  <c r="S307" i="15"/>
  <c r="S303" i="15"/>
  <c r="N470" i="15"/>
  <c r="R300" i="15"/>
  <c r="S254" i="15"/>
  <c r="O1157" i="15"/>
  <c r="T84" i="15"/>
  <c r="T81" i="15"/>
  <c r="T89" i="15"/>
  <c r="T88" i="15"/>
  <c r="T96" i="15"/>
  <c r="T82" i="15"/>
  <c r="T87" i="15"/>
  <c r="T98" i="15"/>
  <c r="T93" i="15"/>
  <c r="T90" i="15"/>
  <c r="T85" i="15"/>
  <c r="T95" i="15"/>
  <c r="T86" i="15"/>
  <c r="W143" i="15"/>
  <c r="W142" i="15"/>
  <c r="X128" i="15"/>
  <c r="X127" i="15"/>
  <c r="W283" i="15"/>
  <c r="W325" i="15"/>
  <c r="W322" i="15"/>
  <c r="W268" i="15"/>
  <c r="N51" i="15"/>
  <c r="T91" i="15"/>
  <c r="U82" i="15"/>
  <c r="O132" i="15"/>
  <c r="N60" i="15"/>
  <c r="N55" i="15"/>
  <c r="O136" i="15"/>
  <c r="U149" i="15"/>
  <c r="P150" i="15"/>
  <c r="R292" i="15"/>
  <c r="O460" i="15"/>
  <c r="O1258" i="15"/>
  <c r="O384" i="15"/>
  <c r="Q479" i="15"/>
  <c r="Q859" i="15"/>
  <c r="O1182" i="15"/>
  <c r="Q916" i="15"/>
  <c r="O783" i="15"/>
  <c r="Q821" i="15"/>
  <c r="Q1372" i="15"/>
  <c r="Q992" i="15"/>
  <c r="O498" i="15"/>
  <c r="O878" i="15"/>
  <c r="Q1429" i="15"/>
  <c r="O688" i="15"/>
  <c r="Q726" i="15"/>
  <c r="Q669" i="15"/>
  <c r="O574" i="15"/>
  <c r="O1505" i="15"/>
  <c r="O1353" i="15"/>
  <c r="O612" i="15"/>
  <c r="O840" i="15"/>
  <c r="O1125" i="15"/>
  <c r="N142" i="15"/>
  <c r="N147" i="15"/>
  <c r="N153" i="15"/>
  <c r="N149" i="15"/>
  <c r="P83" i="15"/>
  <c r="S101" i="15"/>
  <c r="Q117" i="15"/>
  <c r="Q114" i="15"/>
  <c r="O165" i="15"/>
  <c r="V115" i="15"/>
  <c r="T311" i="15"/>
  <c r="P97" i="15"/>
  <c r="V104" i="15"/>
  <c r="O157" i="15"/>
  <c r="N154" i="15"/>
  <c r="O170" i="15"/>
  <c r="S353" i="15"/>
  <c r="Q104" i="15"/>
  <c r="Q101" i="15"/>
  <c r="S354" i="15"/>
  <c r="V110" i="15"/>
  <c r="O171" i="15"/>
  <c r="S115" i="15"/>
  <c r="Q100" i="15"/>
  <c r="Q339" i="15"/>
  <c r="U314" i="15"/>
  <c r="S109" i="15"/>
  <c r="U322" i="15"/>
  <c r="U326" i="15"/>
  <c r="Q274" i="15"/>
  <c r="N335" i="15"/>
  <c r="N128" i="15"/>
  <c r="V109" i="15"/>
  <c r="Q328" i="15"/>
  <c r="Q91" i="15"/>
  <c r="S352" i="15"/>
  <c r="Q116" i="15"/>
  <c r="Q111" i="15"/>
  <c r="N126" i="15"/>
  <c r="Q105" i="15"/>
  <c r="Q330" i="15"/>
  <c r="Q74" i="15"/>
  <c r="R95" i="15"/>
  <c r="V114" i="15"/>
  <c r="V112" i="15"/>
  <c r="O167" i="15"/>
  <c r="U310" i="15"/>
  <c r="N143" i="15"/>
  <c r="V100" i="15"/>
  <c r="O166" i="15"/>
  <c r="Q335" i="15"/>
  <c r="O161" i="15"/>
  <c r="V108" i="15"/>
  <c r="Q107" i="15"/>
  <c r="P44" i="15"/>
  <c r="Q338" i="15"/>
  <c r="P81" i="15"/>
  <c r="S117" i="15"/>
  <c r="Q331" i="15"/>
  <c r="T210" i="15"/>
  <c r="N123" i="15"/>
  <c r="N148" i="15"/>
  <c r="V107" i="15"/>
  <c r="R253" i="15"/>
  <c r="S131" i="15"/>
  <c r="Q112" i="15"/>
  <c r="O163" i="15"/>
  <c r="S356" i="15"/>
  <c r="Q343" i="15"/>
  <c r="Q256" i="15"/>
  <c r="Q344" i="15"/>
  <c r="Q333" i="15"/>
  <c r="O173" i="15"/>
  <c r="S182" i="15"/>
  <c r="V83" i="15"/>
  <c r="P241" i="15"/>
  <c r="N70" i="15"/>
  <c r="V66" i="15"/>
  <c r="S46" i="15"/>
  <c r="Q58" i="15"/>
  <c r="S201" i="15"/>
  <c r="P192" i="15"/>
  <c r="V69" i="15"/>
  <c r="V79" i="15"/>
  <c r="Q60" i="15"/>
  <c r="N66" i="15"/>
  <c r="P245" i="15"/>
  <c r="P227" i="15"/>
  <c r="Q51" i="15"/>
  <c r="V87" i="15"/>
  <c r="O54" i="15"/>
  <c r="P228" i="15"/>
  <c r="Q238" i="15"/>
  <c r="P220" i="15"/>
  <c r="P242" i="15"/>
  <c r="V63" i="15"/>
  <c r="N67" i="15"/>
  <c r="Q145" i="15"/>
  <c r="S190" i="15"/>
  <c r="P237" i="15"/>
  <c r="Q55" i="15"/>
  <c r="O50" i="15"/>
  <c r="R155" i="15"/>
  <c r="P221" i="15"/>
  <c r="Q44" i="15"/>
  <c r="V67" i="15"/>
  <c r="V71" i="15"/>
  <c r="N255" i="15"/>
  <c r="R151" i="15"/>
  <c r="P247" i="15"/>
  <c r="Q47" i="15"/>
  <c r="V77" i="15"/>
  <c r="P178" i="15"/>
  <c r="V74" i="15"/>
  <c r="P234" i="15"/>
  <c r="P233" i="15"/>
  <c r="V96" i="15"/>
  <c r="Q56" i="15"/>
  <c r="N72" i="15"/>
  <c r="S53" i="15"/>
  <c r="R160" i="15"/>
  <c r="P236" i="15"/>
  <c r="N229" i="15"/>
  <c r="Q59" i="15"/>
  <c r="V94" i="15"/>
  <c r="T307" i="15"/>
  <c r="P208" i="15"/>
  <c r="O234" i="15"/>
  <c r="S50" i="15"/>
  <c r="T263" i="15"/>
  <c r="T79" i="15"/>
  <c r="U123" i="15"/>
  <c r="P49" i="15"/>
  <c r="S54" i="15"/>
  <c r="S234" i="15"/>
  <c r="S70" i="15"/>
  <c r="U355" i="15"/>
  <c r="O115" i="15"/>
  <c r="U68" i="15"/>
  <c r="U77" i="15"/>
  <c r="O81" i="15"/>
  <c r="S58" i="15"/>
  <c r="Q298" i="15"/>
  <c r="U51" i="15"/>
  <c r="P202" i="15"/>
  <c r="Q262" i="15"/>
  <c r="N343" i="15"/>
  <c r="Q76" i="15"/>
  <c r="V143" i="15"/>
  <c r="V120" i="15"/>
  <c r="S282" i="15"/>
  <c r="V226" i="15"/>
  <c r="O93" i="15"/>
  <c r="P51" i="15"/>
  <c r="V155" i="15"/>
  <c r="R267" i="15"/>
  <c r="Q66" i="15"/>
  <c r="Q188" i="15"/>
  <c r="Q334" i="15"/>
  <c r="S276" i="15"/>
  <c r="P124" i="15"/>
  <c r="U46" i="15"/>
  <c r="P126" i="15"/>
  <c r="U237" i="15"/>
  <c r="V144" i="15"/>
  <c r="R265" i="15"/>
  <c r="V149" i="15"/>
  <c r="P57" i="15"/>
  <c r="R261" i="15"/>
  <c r="Q266" i="15"/>
  <c r="N331" i="15"/>
  <c r="N337" i="15"/>
  <c r="V126" i="15"/>
  <c r="V145" i="15"/>
  <c r="Q83" i="15"/>
  <c r="V130" i="15"/>
  <c r="S284" i="15"/>
  <c r="V123" i="15"/>
  <c r="S65" i="15"/>
  <c r="V223" i="15"/>
  <c r="P48" i="15"/>
  <c r="N122" i="15"/>
  <c r="V205" i="15"/>
  <c r="Q72" i="15"/>
  <c r="Q180" i="15"/>
  <c r="S286" i="15"/>
  <c r="V138" i="15"/>
  <c r="P134" i="15"/>
  <c r="V140" i="15"/>
  <c r="U354" i="15"/>
  <c r="Q63" i="15"/>
  <c r="S348" i="15"/>
  <c r="S281" i="15"/>
  <c r="U233" i="15"/>
  <c r="R257" i="15"/>
  <c r="U235" i="15"/>
  <c r="V122" i="15"/>
  <c r="S273" i="15"/>
  <c r="V215" i="15"/>
  <c r="P50" i="15"/>
  <c r="V139" i="15"/>
  <c r="O74" i="15"/>
  <c r="P54" i="15"/>
  <c r="P52" i="15"/>
  <c r="O68" i="15"/>
  <c r="Q77" i="15"/>
  <c r="Q193" i="15"/>
  <c r="S275" i="15"/>
  <c r="S274" i="15"/>
  <c r="S280" i="15"/>
  <c r="V216" i="15"/>
  <c r="R273" i="15"/>
  <c r="R287" i="15"/>
  <c r="T193" i="15"/>
  <c r="T183" i="15"/>
  <c r="U291" i="15"/>
  <c r="U300" i="15"/>
  <c r="Q82" i="15"/>
  <c r="P112" i="15"/>
  <c r="Q184" i="15"/>
  <c r="R277" i="15"/>
  <c r="O357" i="15"/>
  <c r="N345" i="15"/>
  <c r="Q64" i="15"/>
  <c r="Q85" i="15"/>
  <c r="Q93" i="15"/>
  <c r="S62" i="15"/>
  <c r="S77" i="15"/>
  <c r="Q123" i="15"/>
  <c r="P53" i="15"/>
  <c r="O91" i="15"/>
  <c r="U236" i="15"/>
  <c r="P59" i="15"/>
  <c r="Q68" i="15"/>
  <c r="Q181" i="15"/>
  <c r="Q340" i="15"/>
  <c r="U311" i="15"/>
  <c r="U52" i="15"/>
  <c r="T196" i="15"/>
  <c r="U238" i="15"/>
  <c r="R84" i="15"/>
  <c r="P92" i="15"/>
  <c r="P86" i="15"/>
  <c r="U58" i="15"/>
  <c r="S121" i="15"/>
  <c r="V318" i="15"/>
  <c r="S102" i="15"/>
  <c r="R271" i="15"/>
  <c r="R281" i="15"/>
  <c r="Q90" i="15"/>
  <c r="Q84" i="15"/>
  <c r="N342" i="15"/>
  <c r="O362" i="15"/>
  <c r="Q67" i="15"/>
  <c r="S78" i="15"/>
  <c r="P105" i="15"/>
  <c r="Q132" i="15"/>
  <c r="P58" i="15"/>
  <c r="V131" i="15"/>
  <c r="P43" i="15"/>
  <c r="N134" i="15"/>
  <c r="U243" i="15"/>
  <c r="O83" i="15"/>
  <c r="V151" i="15"/>
  <c r="R342" i="15"/>
  <c r="Q342" i="15"/>
  <c r="Q336" i="15"/>
  <c r="Q65" i="15"/>
  <c r="Q185" i="15"/>
  <c r="U320" i="15"/>
  <c r="U60" i="15"/>
  <c r="P94" i="15"/>
  <c r="R339" i="15"/>
  <c r="U241" i="15"/>
  <c r="O90" i="15"/>
  <c r="P91" i="15"/>
  <c r="R102" i="15"/>
  <c r="U44" i="15"/>
  <c r="T233" i="15"/>
  <c r="N136" i="15"/>
  <c r="Q92" i="15"/>
  <c r="Q96" i="15"/>
  <c r="Q267" i="15"/>
  <c r="Q87" i="15"/>
  <c r="O353" i="15"/>
  <c r="Q69" i="15"/>
  <c r="V134" i="15"/>
  <c r="Q314" i="15"/>
  <c r="P60" i="15"/>
  <c r="O98" i="15"/>
  <c r="U56" i="15"/>
  <c r="U48" i="15"/>
  <c r="T205" i="15"/>
  <c r="U54" i="15"/>
  <c r="P45" i="15"/>
  <c r="R259" i="15"/>
  <c r="Q71" i="15"/>
  <c r="V136" i="15"/>
  <c r="S288" i="15"/>
  <c r="O77" i="15"/>
  <c r="P56" i="15"/>
  <c r="V128" i="15"/>
  <c r="Q79" i="15"/>
  <c r="V154" i="15"/>
  <c r="Q176" i="15"/>
  <c r="R329" i="15"/>
  <c r="Q249" i="15"/>
  <c r="R130" i="15"/>
  <c r="R135" i="15"/>
  <c r="T363" i="15"/>
  <c r="V326" i="15"/>
  <c r="Q233" i="15"/>
  <c r="N216" i="15"/>
  <c r="P157" i="15"/>
  <c r="N234" i="15"/>
  <c r="N244" i="15"/>
  <c r="V302" i="15"/>
  <c r="T150" i="15"/>
  <c r="V310" i="15"/>
  <c r="V316" i="15"/>
  <c r="Q234" i="15"/>
  <c r="V321" i="15"/>
  <c r="R59" i="15"/>
  <c r="N220" i="15"/>
  <c r="R122" i="15"/>
  <c r="N85" i="15"/>
  <c r="N90" i="15"/>
  <c r="N219" i="15"/>
  <c r="Q139" i="15"/>
  <c r="Q284" i="15"/>
  <c r="P271" i="15"/>
  <c r="P284" i="15"/>
  <c r="V278" i="15"/>
  <c r="O276" i="15"/>
  <c r="O277" i="15"/>
  <c r="O286" i="15"/>
  <c r="O285" i="15"/>
  <c r="O271" i="15"/>
  <c r="O280" i="15"/>
  <c r="V287" i="15"/>
  <c r="V286" i="15"/>
  <c r="V279" i="15"/>
  <c r="X31" i="15"/>
  <c r="V274" i="15"/>
  <c r="X27" i="15"/>
  <c r="W274" i="15"/>
  <c r="W272" i="15"/>
  <c r="V288" i="15"/>
  <c r="X28" i="15"/>
  <c r="X34" i="15"/>
  <c r="W275" i="15"/>
  <c r="W273" i="15"/>
  <c r="W280" i="15"/>
  <c r="V276" i="15"/>
  <c r="V273" i="15"/>
  <c r="V281" i="15"/>
  <c r="X41" i="15"/>
  <c r="X40" i="15"/>
  <c r="X38" i="15"/>
  <c r="W286" i="15"/>
  <c r="W281" i="15"/>
  <c r="W288" i="15"/>
  <c r="V280" i="15"/>
  <c r="V282" i="15"/>
  <c r="V275" i="15"/>
  <c r="V271" i="15"/>
  <c r="V283" i="15"/>
  <c r="X33" i="15"/>
  <c r="X25" i="15"/>
  <c r="X32" i="15"/>
  <c r="X26" i="15"/>
  <c r="X39" i="15"/>
  <c r="W276" i="15"/>
  <c r="V277" i="15"/>
  <c r="V272" i="15"/>
  <c r="P272" i="15"/>
  <c r="P274" i="15"/>
  <c r="P285" i="15"/>
  <c r="P273" i="15"/>
  <c r="P275" i="15"/>
  <c r="P279" i="15"/>
  <c r="P276" i="15"/>
  <c r="P287" i="15"/>
  <c r="O273" i="15"/>
  <c r="O283" i="15"/>
  <c r="O288" i="15"/>
  <c r="O274" i="15"/>
  <c r="O278" i="15"/>
  <c r="O279" i="15"/>
  <c r="O282" i="15"/>
  <c r="N288" i="15"/>
  <c r="N283" i="15"/>
  <c r="N280" i="15"/>
  <c r="N274" i="15"/>
  <c r="N279" i="15"/>
  <c r="N287" i="15"/>
  <c r="N284" i="15"/>
  <c r="N277" i="15"/>
  <c r="N282" i="15"/>
  <c r="N276" i="15"/>
  <c r="N273" i="15"/>
  <c r="N281" i="15"/>
  <c r="N271" i="15"/>
  <c r="N286" i="15"/>
  <c r="N278" i="15"/>
  <c r="N275" i="15"/>
  <c r="N285" i="15"/>
  <c r="O272" i="15"/>
  <c r="R1245" i="15" l="1"/>
  <c r="R1209" i="15"/>
  <c r="O5" i="15"/>
  <c r="N41" i="15"/>
  <c r="O1474" i="15"/>
  <c r="O1447" i="15"/>
  <c r="R939" i="15"/>
  <c r="R940" i="15"/>
  <c r="R944" i="15"/>
  <c r="R951" i="15"/>
  <c r="V34" i="15"/>
  <c r="R937" i="15"/>
  <c r="R948" i="15"/>
  <c r="R1111" i="15"/>
  <c r="R936" i="15"/>
  <c r="R947" i="15"/>
  <c r="R952" i="15"/>
  <c r="R941" i="15"/>
  <c r="R953" i="15"/>
  <c r="R946" i="15"/>
  <c r="R943" i="15"/>
  <c r="R950" i="15"/>
  <c r="R945" i="15"/>
  <c r="R942" i="15"/>
  <c r="R938" i="15"/>
  <c r="R1212" i="15"/>
  <c r="R1202" i="15"/>
  <c r="R1208" i="15"/>
  <c r="R1211" i="15"/>
  <c r="R1203" i="15"/>
  <c r="R1218" i="15"/>
  <c r="R1207" i="15"/>
  <c r="R1215" i="15"/>
  <c r="R560" i="15"/>
  <c r="R656" i="15"/>
  <c r="R1114" i="15"/>
  <c r="R563" i="15"/>
  <c r="R1124" i="15"/>
  <c r="R1121" i="15"/>
  <c r="R1115" i="15"/>
  <c r="R1113" i="15"/>
  <c r="R557" i="15"/>
  <c r="R420" i="15"/>
  <c r="R417" i="15"/>
  <c r="R405" i="15"/>
  <c r="R419" i="15"/>
  <c r="R415" i="15"/>
  <c r="R410" i="15"/>
  <c r="R664" i="15"/>
  <c r="R404" i="15"/>
  <c r="R416" i="15"/>
  <c r="R407" i="15"/>
  <c r="R408" i="15"/>
  <c r="R411" i="15"/>
  <c r="R409" i="15"/>
  <c r="R406" i="15"/>
  <c r="R412" i="15"/>
  <c r="R421" i="15"/>
  <c r="R1214" i="15"/>
  <c r="R1217" i="15"/>
  <c r="R1251" i="15"/>
  <c r="R1158" i="15"/>
  <c r="R1206" i="15"/>
  <c r="R1213" i="15"/>
  <c r="R1216" i="15"/>
  <c r="R1210" i="15"/>
  <c r="R1205" i="15"/>
  <c r="R1219" i="15"/>
  <c r="R1159" i="15"/>
  <c r="R1204" i="15"/>
  <c r="R911" i="15"/>
  <c r="R1015" i="15"/>
  <c r="R1020" i="15"/>
  <c r="R558" i="15"/>
  <c r="R559" i="15"/>
  <c r="R1019" i="15"/>
  <c r="R905" i="15"/>
  <c r="R564" i="15"/>
  <c r="R912" i="15"/>
  <c r="R1408" i="15"/>
  <c r="R903" i="15"/>
  <c r="R907" i="15"/>
  <c r="R898" i="15"/>
  <c r="R915" i="15"/>
  <c r="R1076" i="15"/>
  <c r="R1028" i="15"/>
  <c r="R572" i="15"/>
  <c r="R1023" i="15"/>
  <c r="R906" i="15"/>
  <c r="R913" i="15"/>
  <c r="R1018" i="15"/>
  <c r="R910" i="15"/>
  <c r="R909" i="15"/>
  <c r="R902" i="15"/>
  <c r="R901" i="15"/>
  <c r="R904" i="15"/>
  <c r="R914" i="15"/>
  <c r="R1150" i="15"/>
  <c r="R1162" i="15"/>
  <c r="R1156" i="15"/>
  <c r="R899" i="15"/>
  <c r="R900" i="15"/>
  <c r="R1119" i="15"/>
  <c r="R1110" i="15"/>
  <c r="R1248" i="15"/>
  <c r="R562" i="15"/>
  <c r="R567" i="15"/>
  <c r="R561" i="15"/>
  <c r="R1120" i="15"/>
  <c r="R1109" i="15"/>
  <c r="R1117" i="15"/>
  <c r="R568" i="15"/>
  <c r="R1123" i="15"/>
  <c r="R1112" i="15"/>
  <c r="R653" i="15"/>
  <c r="R1252" i="15"/>
  <c r="R565" i="15"/>
  <c r="R655" i="15"/>
  <c r="R566" i="15"/>
  <c r="R556" i="15"/>
  <c r="R1118" i="15"/>
  <c r="R1107" i="15"/>
  <c r="R654" i="15"/>
  <c r="R1253" i="15"/>
  <c r="R573" i="15"/>
  <c r="R1116" i="15"/>
  <c r="R1108" i="15"/>
  <c r="R569" i="15"/>
  <c r="R1242" i="15"/>
  <c r="R570" i="15"/>
  <c r="R1249" i="15"/>
  <c r="R1243" i="15"/>
  <c r="R1244" i="15"/>
  <c r="R1254" i="15"/>
  <c r="R1154" i="15"/>
  <c r="R1148" i="15"/>
  <c r="R1255" i="15"/>
  <c r="R1149" i="15"/>
  <c r="R1153" i="15"/>
  <c r="R1152" i="15"/>
  <c r="R1250" i="15"/>
  <c r="R1246" i="15"/>
  <c r="R1151" i="15"/>
  <c r="R1146" i="15"/>
  <c r="R1155" i="15"/>
  <c r="R1160" i="15"/>
  <c r="R1161" i="15"/>
  <c r="Q57" i="18"/>
  <c r="R1400" i="15"/>
  <c r="R1393" i="15"/>
  <c r="Q73" i="18"/>
  <c r="R1403" i="15"/>
  <c r="R1404" i="15"/>
  <c r="R1409" i="15"/>
  <c r="Q44" i="18"/>
  <c r="R1398" i="15"/>
  <c r="R1024" i="15"/>
  <c r="R1027" i="15"/>
  <c r="R1071" i="15"/>
  <c r="R1022" i="15"/>
  <c r="R1029" i="15"/>
  <c r="R1012" i="15"/>
  <c r="R1025" i="15"/>
  <c r="R1247" i="15"/>
  <c r="R1240" i="15"/>
  <c r="R1017" i="15"/>
  <c r="Q48" i="18"/>
  <c r="S1068" i="15" s="1"/>
  <c r="Q62" i="18"/>
  <c r="Q64" i="18"/>
  <c r="R1256" i="15"/>
  <c r="R1241" i="15"/>
  <c r="R1021" i="15"/>
  <c r="R1014" i="15"/>
  <c r="R1075" i="15"/>
  <c r="Q81" i="18"/>
  <c r="S1201" i="15" s="1"/>
  <c r="R1069" i="15"/>
  <c r="Q41" i="18"/>
  <c r="R1257" i="15"/>
  <c r="R1013" i="15"/>
  <c r="R1026" i="15"/>
  <c r="R1080" i="15"/>
  <c r="R1078" i="15"/>
  <c r="R1074" i="15"/>
  <c r="R1077" i="15"/>
  <c r="Q69" i="18"/>
  <c r="R1392" i="15"/>
  <c r="R1395" i="15"/>
  <c r="R665" i="15"/>
  <c r="R666" i="15"/>
  <c r="R1084" i="15"/>
  <c r="R1072" i="15"/>
  <c r="R1083" i="15"/>
  <c r="Q78" i="18"/>
  <c r="S1144" i="15" s="1"/>
  <c r="Q55" i="18"/>
  <c r="R651" i="15"/>
  <c r="R1405" i="15"/>
  <c r="R1394" i="15"/>
  <c r="R667" i="15"/>
  <c r="R660" i="15"/>
  <c r="R1081" i="15"/>
  <c r="R1070" i="15"/>
  <c r="R1082" i="15"/>
  <c r="R1079" i="15"/>
  <c r="R1147" i="15"/>
  <c r="Q58" i="18"/>
  <c r="S1011" i="15" s="1"/>
  <c r="S1029" i="15" s="1"/>
  <c r="Q63" i="18"/>
  <c r="Q75" i="18"/>
  <c r="Q51" i="18"/>
  <c r="R1399" i="15"/>
  <c r="R1406" i="15"/>
  <c r="R661" i="15"/>
  <c r="R662" i="15"/>
  <c r="Q52" i="18"/>
  <c r="S650" i="15" s="1"/>
  <c r="Q82" i="18"/>
  <c r="Q50" i="18"/>
  <c r="S555" i="15" s="1"/>
  <c r="Q43" i="18"/>
  <c r="R657" i="15"/>
  <c r="R1402" i="15"/>
  <c r="R1407" i="15"/>
  <c r="R658" i="15"/>
  <c r="R659" i="15"/>
  <c r="R1086" i="15"/>
  <c r="R1085" i="15"/>
  <c r="Q56" i="18"/>
  <c r="Q46" i="18"/>
  <c r="Q40" i="18"/>
  <c r="Q70" i="18"/>
  <c r="R1397" i="15"/>
  <c r="R1401" i="15"/>
  <c r="R668" i="15"/>
  <c r="R663" i="15"/>
  <c r="R1145" i="15"/>
  <c r="Q60" i="18"/>
  <c r="Q66" i="18"/>
  <c r="S1391" i="15" s="1"/>
  <c r="S1392" i="15" s="1"/>
  <c r="Q61" i="18"/>
  <c r="R44" i="19"/>
  <c r="R40" i="19"/>
  <c r="R82" i="19"/>
  <c r="Q83" i="18"/>
  <c r="S1239" i="15" s="1"/>
  <c r="Q59" i="18"/>
  <c r="R72" i="19"/>
  <c r="R77" i="19"/>
  <c r="R45" i="19"/>
  <c r="R71" i="19"/>
  <c r="R49" i="19"/>
  <c r="R68" i="19"/>
  <c r="R57" i="19"/>
  <c r="R83" i="19"/>
  <c r="R48" i="19"/>
  <c r="R62" i="19"/>
  <c r="R60" i="19"/>
  <c r="R66" i="19"/>
  <c r="R61" i="19"/>
  <c r="R51" i="19"/>
  <c r="R81" i="19"/>
  <c r="R70" i="19"/>
  <c r="R43" i="19"/>
  <c r="R64" i="19"/>
  <c r="R59" i="19"/>
  <c r="R52" i="19"/>
  <c r="R69" i="19"/>
  <c r="R50" i="19"/>
  <c r="Q79" i="18"/>
  <c r="Q53" i="18"/>
  <c r="Q76" i="18"/>
  <c r="S1106" i="15" s="1"/>
  <c r="Q80" i="18"/>
  <c r="R58" i="19"/>
  <c r="R73" i="19"/>
  <c r="R41" i="19"/>
  <c r="R79" i="19"/>
  <c r="T39" i="19"/>
  <c r="R53" i="19"/>
  <c r="R76" i="19"/>
  <c r="R80" i="19"/>
  <c r="R63" i="19"/>
  <c r="R75" i="19"/>
  <c r="R78" i="19"/>
  <c r="M7" i="3"/>
  <c r="R73" i="18" s="1"/>
  <c r="Q25" i="18"/>
  <c r="Q27" i="18"/>
  <c r="Q26" i="18"/>
  <c r="Q36" i="18"/>
  <c r="Q28" i="18"/>
  <c r="Q32" i="18"/>
  <c r="Q30" i="18"/>
  <c r="Q24" i="18"/>
  <c r="Q34" i="18"/>
  <c r="Q38" i="18"/>
  <c r="Q39" i="18"/>
  <c r="Q33" i="18"/>
  <c r="Q37" i="18"/>
  <c r="Q29" i="18"/>
  <c r="Q31" i="18"/>
  <c r="Q35" i="18"/>
  <c r="T33" i="19"/>
  <c r="Q67" i="18"/>
  <c r="Q42" i="18"/>
  <c r="S403" i="15" s="1"/>
  <c r="S415" i="15" s="1"/>
  <c r="R54" i="19"/>
  <c r="Q47" i="18"/>
  <c r="Q74" i="18"/>
  <c r="S935" i="15" s="1"/>
  <c r="S939" i="15" s="1"/>
  <c r="T35" i="19"/>
  <c r="R55" i="19"/>
  <c r="Q65" i="18"/>
  <c r="R67" i="19"/>
  <c r="R42" i="19"/>
  <c r="T29" i="19"/>
  <c r="R47" i="19"/>
  <c r="R74" i="19"/>
  <c r="R56" i="19"/>
  <c r="R46" i="19"/>
  <c r="R65" i="19"/>
  <c r="T37" i="19"/>
  <c r="Q72" i="18"/>
  <c r="S897" i="15" s="1"/>
  <c r="Q77" i="18"/>
  <c r="Q45" i="18"/>
  <c r="Q71" i="18"/>
  <c r="Q49" i="18"/>
  <c r="Q68" i="18"/>
  <c r="T31" i="19"/>
  <c r="O34" i="15"/>
  <c r="R26" i="15"/>
  <c r="O27" i="15"/>
  <c r="O37" i="15"/>
  <c r="U37" i="15"/>
  <c r="O41" i="15"/>
  <c r="O39" i="15"/>
  <c r="U35" i="15"/>
  <c r="O38" i="15"/>
  <c r="U28" i="15"/>
  <c r="O1439" i="15"/>
  <c r="P30" i="15"/>
  <c r="V32" i="15"/>
  <c r="Q22" i="15"/>
  <c r="O1435" i="15"/>
  <c r="O1445" i="15"/>
  <c r="O1436" i="15"/>
  <c r="O1440" i="15"/>
  <c r="O1441" i="15"/>
  <c r="O1437" i="15"/>
  <c r="O1431" i="15"/>
  <c r="O1434" i="15"/>
  <c r="O1443" i="15"/>
  <c r="O1432" i="15"/>
  <c r="O1433" i="15"/>
  <c r="O1442" i="15"/>
  <c r="O1444" i="15"/>
  <c r="O1430" i="15"/>
  <c r="O1438" i="15"/>
  <c r="O1446" i="15"/>
  <c r="M2" i="19"/>
  <c r="M1" i="19" s="1"/>
  <c r="N23" i="18"/>
  <c r="P536" i="15" s="1"/>
  <c r="O31" i="15"/>
  <c r="R33" i="15"/>
  <c r="R25" i="15"/>
  <c r="Q25" i="15"/>
  <c r="Q39" i="15"/>
  <c r="Q26" i="15"/>
  <c r="R38" i="15"/>
  <c r="R29" i="15"/>
  <c r="O30" i="15"/>
  <c r="O36" i="15"/>
  <c r="U40" i="15"/>
  <c r="U36" i="15"/>
  <c r="O35" i="15"/>
  <c r="O24" i="15"/>
  <c r="U38" i="15"/>
  <c r="R34" i="15"/>
  <c r="Q37" i="15"/>
  <c r="O40" i="15"/>
  <c r="O32" i="15"/>
  <c r="U32" i="15"/>
  <c r="R30" i="15"/>
  <c r="U30" i="15"/>
  <c r="U27" i="15"/>
  <c r="O29" i="15"/>
  <c r="O26" i="15"/>
  <c r="U39" i="15"/>
  <c r="U29" i="15"/>
  <c r="R40" i="15"/>
  <c r="R39" i="15"/>
  <c r="Q38" i="15"/>
  <c r="U31" i="15"/>
  <c r="R37" i="15"/>
  <c r="U24" i="15"/>
  <c r="R36" i="15"/>
  <c r="R31" i="15"/>
  <c r="Q40" i="15"/>
  <c r="R27" i="15"/>
  <c r="O33" i="15"/>
  <c r="O25" i="15"/>
  <c r="R35" i="15"/>
  <c r="R41" i="15"/>
  <c r="R24" i="15"/>
  <c r="N25" i="15"/>
  <c r="N29" i="15"/>
  <c r="U25" i="15"/>
  <c r="U26" i="15"/>
  <c r="U41" i="15"/>
  <c r="U33" i="15"/>
  <c r="Q35" i="15"/>
  <c r="Q41" i="15"/>
  <c r="Q32" i="15"/>
  <c r="Q24" i="15"/>
  <c r="R32" i="15"/>
  <c r="Q34" i="15"/>
  <c r="Q30" i="15"/>
  <c r="Q36" i="15"/>
  <c r="Q27" i="15"/>
  <c r="Q31" i="15"/>
  <c r="Q33" i="15"/>
  <c r="Q28" i="15"/>
  <c r="S41" i="15"/>
  <c r="S32" i="15"/>
  <c r="S36" i="15"/>
  <c r="S38" i="15"/>
  <c r="N26" i="15"/>
  <c r="N31" i="15"/>
  <c r="N38" i="15"/>
  <c r="N30" i="15"/>
  <c r="V36" i="15"/>
  <c r="V35" i="15"/>
  <c r="V27" i="15"/>
  <c r="N35" i="15"/>
  <c r="N37" i="15"/>
  <c r="N39" i="15"/>
  <c r="V33" i="15"/>
  <c r="V30" i="15"/>
  <c r="V37" i="15"/>
  <c r="N33" i="15"/>
  <c r="N24" i="15"/>
  <c r="V41" i="15"/>
  <c r="V38" i="15"/>
  <c r="N40" i="15"/>
  <c r="N32" i="15"/>
  <c r="V40" i="15"/>
  <c r="V29" i="15"/>
  <c r="R15" i="15"/>
  <c r="N27" i="15"/>
  <c r="N28" i="15"/>
  <c r="N36" i="15"/>
  <c r="V24" i="15"/>
  <c r="V28" i="15"/>
  <c r="V31" i="15"/>
  <c r="V26" i="15"/>
  <c r="N34" i="15"/>
  <c r="V25" i="15"/>
  <c r="W30" i="15"/>
  <c r="S39" i="15"/>
  <c r="S26" i="15"/>
  <c r="S28" i="15"/>
  <c r="S30" i="15"/>
  <c r="S35" i="15"/>
  <c r="S27" i="15"/>
  <c r="S29" i="15"/>
  <c r="S37" i="15"/>
  <c r="S34" i="15"/>
  <c r="S33" i="15"/>
  <c r="S24" i="15"/>
  <c r="S25" i="15"/>
  <c r="S31" i="15"/>
  <c r="Y27" i="15"/>
  <c r="Y38" i="15"/>
  <c r="Y26" i="15"/>
  <c r="Y35" i="15"/>
  <c r="W33" i="15"/>
  <c r="Y30" i="15"/>
  <c r="W29" i="15"/>
  <c r="W36" i="15"/>
  <c r="Y31" i="15"/>
  <c r="Y28" i="15"/>
  <c r="Y39" i="15"/>
  <c r="Y37" i="15"/>
  <c r="Y34" i="15"/>
  <c r="W38" i="15"/>
  <c r="W31" i="15"/>
  <c r="W35" i="15"/>
  <c r="Y24" i="15"/>
  <c r="Y32" i="15"/>
  <c r="Y40" i="15"/>
  <c r="Y29" i="15"/>
  <c r="W32" i="15"/>
  <c r="W27" i="15"/>
  <c r="W34" i="15"/>
  <c r="W24" i="15"/>
  <c r="W41" i="15"/>
  <c r="W28" i="15"/>
  <c r="Y36" i="15"/>
  <c r="Y33" i="15"/>
  <c r="Y25" i="15"/>
  <c r="W26" i="15"/>
  <c r="W40" i="15"/>
  <c r="W25" i="15"/>
  <c r="W37" i="15"/>
  <c r="T30" i="15"/>
  <c r="T28" i="15"/>
  <c r="P34" i="15"/>
  <c r="T39" i="15"/>
  <c r="T41" i="15"/>
  <c r="T35" i="15"/>
  <c r="T33" i="15"/>
  <c r="T27" i="15"/>
  <c r="T24" i="15"/>
  <c r="P36" i="15"/>
  <c r="P28" i="15"/>
  <c r="T37" i="15"/>
  <c r="P41" i="15"/>
  <c r="T34" i="15"/>
  <c r="T31" i="15"/>
  <c r="P38" i="15"/>
  <c r="T25" i="15"/>
  <c r="T32" i="15"/>
  <c r="T29" i="15"/>
  <c r="T26" i="15"/>
  <c r="T38" i="15"/>
  <c r="T40" i="15"/>
  <c r="P40" i="15"/>
  <c r="Q13" i="15"/>
  <c r="P35" i="15"/>
  <c r="P26" i="15"/>
  <c r="P37" i="15"/>
  <c r="Q18" i="15"/>
  <c r="P39" i="15"/>
  <c r="P27" i="15"/>
  <c r="P31" i="15"/>
  <c r="P33" i="15"/>
  <c r="Q10" i="15"/>
  <c r="P25" i="15"/>
  <c r="P24" i="15"/>
  <c r="P32" i="15"/>
  <c r="M2" i="18"/>
  <c r="T6" i="15"/>
  <c r="R9" i="15"/>
  <c r="R22" i="15"/>
  <c r="T22" i="15"/>
  <c r="T10" i="15"/>
  <c r="T13" i="15"/>
  <c r="R7" i="15"/>
  <c r="R8" i="15"/>
  <c r="T5" i="15"/>
  <c r="R19" i="15"/>
  <c r="S20" i="15"/>
  <c r="O11" i="15"/>
  <c r="R10" i="15"/>
  <c r="R21" i="15"/>
  <c r="R14" i="15"/>
  <c r="R20" i="15"/>
  <c r="T8" i="15"/>
  <c r="T16" i="15"/>
  <c r="R13" i="15"/>
  <c r="R17" i="15"/>
  <c r="T15" i="15"/>
  <c r="T17" i="15"/>
  <c r="R6" i="15"/>
  <c r="R5" i="15"/>
  <c r="R12" i="15"/>
  <c r="R16" i="15"/>
  <c r="T21" i="15"/>
  <c r="T14" i="15"/>
  <c r="T11" i="15"/>
  <c r="T19" i="15"/>
  <c r="R11" i="15"/>
  <c r="T7" i="15"/>
  <c r="T18" i="15"/>
  <c r="T20" i="15"/>
  <c r="T9" i="15"/>
  <c r="O12" i="15"/>
  <c r="S13" i="15"/>
  <c r="O9" i="15"/>
  <c r="S19" i="15"/>
  <c r="O10" i="15"/>
  <c r="O6" i="15"/>
  <c r="S7" i="15"/>
  <c r="O21" i="15"/>
  <c r="S9" i="15"/>
  <c r="P17" i="15"/>
  <c r="S14" i="15"/>
  <c r="O19" i="15"/>
  <c r="S8" i="15"/>
  <c r="S5" i="15"/>
  <c r="O15" i="15"/>
  <c r="S6" i="15"/>
  <c r="S12" i="15"/>
  <c r="O7" i="15"/>
  <c r="S22" i="15"/>
  <c r="S11" i="15"/>
  <c r="O14" i="15"/>
  <c r="S10" i="15"/>
  <c r="S17" i="15"/>
  <c r="O18" i="15"/>
  <c r="O8" i="15"/>
  <c r="S18" i="15"/>
  <c r="S16" i="15"/>
  <c r="O13" i="15"/>
  <c r="O17" i="15"/>
  <c r="O16" i="15"/>
  <c r="O20" i="15"/>
  <c r="O22" i="15"/>
  <c r="S21" i="15"/>
  <c r="P20" i="15"/>
  <c r="P15" i="15"/>
  <c r="P6" i="15"/>
  <c r="P11" i="15"/>
  <c r="P5" i="15"/>
  <c r="P13" i="15"/>
  <c r="P10" i="15"/>
  <c r="P14" i="15"/>
  <c r="P16" i="15"/>
  <c r="P19" i="15"/>
  <c r="P7" i="15"/>
  <c r="P22" i="15"/>
  <c r="P12" i="15"/>
  <c r="P9" i="15"/>
  <c r="P18" i="15"/>
  <c r="P21" i="15"/>
  <c r="Q19" i="15"/>
  <c r="Q21" i="15"/>
  <c r="Q7" i="15"/>
  <c r="Q14" i="15"/>
  <c r="O1480" i="15"/>
  <c r="Q9" i="15"/>
  <c r="Q12" i="15"/>
  <c r="Q6" i="15"/>
  <c r="Q11" i="15"/>
  <c r="Q17" i="15"/>
  <c r="Q16" i="15"/>
  <c r="Q8" i="15"/>
  <c r="Q15" i="15"/>
  <c r="Q5" i="15"/>
  <c r="P867" i="15"/>
  <c r="P876" i="15"/>
  <c r="P875" i="15"/>
  <c r="P871" i="15"/>
  <c r="P869" i="15"/>
  <c r="O1472" i="15"/>
  <c r="O1478" i="15"/>
  <c r="O1481" i="15"/>
  <c r="O1469" i="15"/>
  <c r="O1476" i="15"/>
  <c r="P870" i="15"/>
  <c r="P868" i="15"/>
  <c r="P872" i="15"/>
  <c r="P861" i="15"/>
  <c r="P877" i="15"/>
  <c r="P862" i="15"/>
  <c r="P864" i="15"/>
  <c r="P874" i="15"/>
  <c r="P873" i="15"/>
  <c r="P865" i="15"/>
  <c r="P860" i="15"/>
  <c r="P866" i="15"/>
  <c r="O1473" i="15"/>
  <c r="O1468" i="15"/>
  <c r="O1485" i="15"/>
  <c r="O1475" i="15"/>
  <c r="O1470" i="15"/>
  <c r="O1479" i="15"/>
  <c r="O1471" i="15"/>
  <c r="O1482" i="15"/>
  <c r="O1477" i="15"/>
  <c r="O1483" i="15"/>
  <c r="O1484" i="15"/>
  <c r="U11" i="15"/>
  <c r="U8" i="15"/>
  <c r="U19" i="15"/>
  <c r="U6" i="15"/>
  <c r="U10" i="15"/>
  <c r="U20" i="15"/>
  <c r="U14" i="15"/>
  <c r="U21" i="15"/>
  <c r="U13" i="15"/>
  <c r="U12" i="15"/>
  <c r="U17" i="15"/>
  <c r="U7" i="15"/>
  <c r="U15" i="15"/>
  <c r="U5" i="15"/>
  <c r="U18" i="15"/>
  <c r="U9" i="15"/>
  <c r="U22" i="15"/>
  <c r="U16" i="15"/>
  <c r="T15" i="18"/>
  <c r="O864" i="15"/>
  <c r="O875" i="15"/>
  <c r="O866" i="15"/>
  <c r="O871" i="15"/>
  <c r="O867" i="15"/>
  <c r="O862" i="15"/>
  <c r="O860" i="15"/>
  <c r="O874" i="15"/>
  <c r="O869" i="15"/>
  <c r="O868" i="15"/>
  <c r="O865" i="15"/>
  <c r="O873" i="15"/>
  <c r="O876" i="15"/>
  <c r="O870" i="15"/>
  <c r="O877" i="15"/>
  <c r="O863" i="15"/>
  <c r="O861" i="15"/>
  <c r="O872" i="15"/>
  <c r="P460" i="15"/>
  <c r="O1327" i="15"/>
  <c r="O1332" i="15"/>
  <c r="O1322" i="15"/>
  <c r="O1318" i="15"/>
  <c r="O1330" i="15"/>
  <c r="O1325" i="15"/>
  <c r="O1319" i="15"/>
  <c r="O1333" i="15"/>
  <c r="O1320" i="15"/>
  <c r="O1324" i="15"/>
  <c r="O1326" i="15"/>
  <c r="O1321" i="15"/>
  <c r="O1331" i="15"/>
  <c r="O1328" i="15"/>
  <c r="O1329" i="15"/>
  <c r="O1316" i="15"/>
  <c r="O1317" i="15"/>
  <c r="O1323" i="15"/>
  <c r="P1049" i="15"/>
  <c r="Q644" i="15"/>
  <c r="Q649" i="15"/>
  <c r="Q638" i="15"/>
  <c r="Q637" i="15"/>
  <c r="Q636" i="15"/>
  <c r="Q633" i="15"/>
  <c r="Q635" i="15"/>
  <c r="Q642" i="15"/>
  <c r="Q634" i="15"/>
  <c r="Q646" i="15"/>
  <c r="Q641" i="15"/>
  <c r="Q647" i="15"/>
  <c r="Q639" i="15"/>
  <c r="Q645" i="15"/>
  <c r="Q632" i="15"/>
  <c r="Q640" i="15"/>
  <c r="Q648" i="15"/>
  <c r="Q643" i="15"/>
  <c r="O582" i="15"/>
  <c r="O576" i="15"/>
  <c r="O584" i="15"/>
  <c r="O579" i="15"/>
  <c r="O589" i="15"/>
  <c r="O590" i="15"/>
  <c r="O581" i="15"/>
  <c r="O588" i="15"/>
  <c r="O592" i="15"/>
  <c r="O575" i="15"/>
  <c r="O585" i="15"/>
  <c r="O577" i="15"/>
  <c r="O587" i="15"/>
  <c r="O580" i="15"/>
  <c r="O578" i="15"/>
  <c r="O591" i="15"/>
  <c r="O586" i="15"/>
  <c r="O583" i="15"/>
  <c r="O1198" i="15"/>
  <c r="O1190" i="15"/>
  <c r="O1195" i="15"/>
  <c r="O1200" i="15"/>
  <c r="O1189" i="15"/>
  <c r="O1185" i="15"/>
  <c r="O1197" i="15"/>
  <c r="O1193" i="15"/>
  <c r="O1187" i="15"/>
  <c r="O1183" i="15"/>
  <c r="O1186" i="15"/>
  <c r="O1199" i="15"/>
  <c r="O1184" i="15"/>
  <c r="O1192" i="15"/>
  <c r="O1194" i="15"/>
  <c r="O1188" i="15"/>
  <c r="O1196" i="15"/>
  <c r="O1191" i="15"/>
  <c r="R1030" i="15"/>
  <c r="Q424" i="15"/>
  <c r="Q427" i="15"/>
  <c r="Q430" i="15"/>
  <c r="Q433" i="15"/>
  <c r="Q435" i="15"/>
  <c r="Q439" i="15"/>
  <c r="Q436" i="15"/>
  <c r="Q440" i="15"/>
  <c r="Q425" i="15"/>
  <c r="Q437" i="15"/>
  <c r="Q426" i="15"/>
  <c r="Q434" i="15"/>
  <c r="Q423" i="15"/>
  <c r="Q429" i="15"/>
  <c r="Q438" i="15"/>
  <c r="Q428" i="15"/>
  <c r="Q431" i="15"/>
  <c r="Q432" i="15"/>
  <c r="O1164" i="15"/>
  <c r="O1167" i="15"/>
  <c r="O1173" i="15"/>
  <c r="O1171" i="15"/>
  <c r="O1175" i="15"/>
  <c r="O1165" i="15"/>
  <c r="O1179" i="15"/>
  <c r="O1177" i="15"/>
  <c r="O1178" i="15"/>
  <c r="O1166" i="15"/>
  <c r="O1176" i="15"/>
  <c r="O1174" i="15"/>
  <c r="O1181" i="15"/>
  <c r="O1169" i="15"/>
  <c r="O1168" i="15"/>
  <c r="O1180" i="15"/>
  <c r="O1172" i="15"/>
  <c r="O1170" i="15"/>
  <c r="P574" i="15"/>
  <c r="P1182" i="15"/>
  <c r="Q964" i="15"/>
  <c r="Q962" i="15"/>
  <c r="Q972" i="15"/>
  <c r="Q970" i="15"/>
  <c r="Q967" i="15"/>
  <c r="Q959" i="15"/>
  <c r="Q968" i="15"/>
  <c r="Q961" i="15"/>
  <c r="Q957" i="15"/>
  <c r="Q958" i="15"/>
  <c r="Q966" i="15"/>
  <c r="Q956" i="15"/>
  <c r="Q971" i="15"/>
  <c r="Q969" i="15"/>
  <c r="Q965" i="15"/>
  <c r="Q955" i="15"/>
  <c r="Q960" i="15"/>
  <c r="Q963" i="15"/>
  <c r="P764" i="15"/>
  <c r="Q710" i="15"/>
  <c r="Q708" i="15"/>
  <c r="Q712" i="15"/>
  <c r="Q722" i="15"/>
  <c r="Q715" i="15"/>
  <c r="Q723" i="15"/>
  <c r="Q720" i="15"/>
  <c r="Q714" i="15"/>
  <c r="Q718" i="15"/>
  <c r="Q725" i="15"/>
  <c r="Q717" i="15"/>
  <c r="Q709" i="15"/>
  <c r="Q724" i="15"/>
  <c r="Q719" i="15"/>
  <c r="Q721" i="15"/>
  <c r="Q716" i="15"/>
  <c r="Q713" i="15"/>
  <c r="Q711" i="15"/>
  <c r="P1163" i="15"/>
  <c r="O1221" i="15"/>
  <c r="O1232" i="15"/>
  <c r="O1222" i="15"/>
  <c r="O1228" i="15"/>
  <c r="O1235" i="15"/>
  <c r="O1238" i="15"/>
  <c r="O1224" i="15"/>
  <c r="O1230" i="15"/>
  <c r="O1223" i="15"/>
  <c r="O1227" i="15"/>
  <c r="O1231" i="15"/>
  <c r="O1236" i="15"/>
  <c r="O1226" i="15"/>
  <c r="O1233" i="15"/>
  <c r="O1225" i="15"/>
  <c r="O1237" i="15"/>
  <c r="O1229" i="15"/>
  <c r="O1234" i="15"/>
  <c r="R1372" i="15"/>
  <c r="Q831" i="15"/>
  <c r="Q825" i="15"/>
  <c r="Q827" i="15"/>
  <c r="Q826" i="15"/>
  <c r="Q833" i="15"/>
  <c r="Q834" i="15"/>
  <c r="Q823" i="15"/>
  <c r="Q839" i="15"/>
  <c r="Q828" i="15"/>
  <c r="Q832" i="15"/>
  <c r="Q836" i="15"/>
  <c r="Q838" i="15"/>
  <c r="Q830" i="15"/>
  <c r="Q829" i="15"/>
  <c r="Q837" i="15"/>
  <c r="Q835" i="15"/>
  <c r="Q822" i="15"/>
  <c r="Q824" i="15"/>
  <c r="Q1278" i="15"/>
  <c r="Q1295" i="15"/>
  <c r="Q1289" i="15"/>
  <c r="Q1292" i="15"/>
  <c r="Q1285" i="15"/>
  <c r="Q1286" i="15"/>
  <c r="Q1287" i="15"/>
  <c r="Q1284" i="15"/>
  <c r="Q1293" i="15"/>
  <c r="Q1290" i="15"/>
  <c r="Q1283" i="15"/>
  <c r="Q1281" i="15"/>
  <c r="Q1291" i="15"/>
  <c r="Q1280" i="15"/>
  <c r="Q1282" i="15"/>
  <c r="Q1279" i="15"/>
  <c r="Q1294" i="15"/>
  <c r="Q1288" i="15"/>
  <c r="O1357" i="15"/>
  <c r="O1367" i="15"/>
  <c r="O1364" i="15"/>
  <c r="O1361" i="15"/>
  <c r="O1370" i="15"/>
  <c r="O1356" i="15"/>
  <c r="O1369" i="15"/>
  <c r="O1359" i="15"/>
  <c r="O1366" i="15"/>
  <c r="O1363" i="15"/>
  <c r="O1358" i="15"/>
  <c r="O1354" i="15"/>
  <c r="O1362" i="15"/>
  <c r="O1355" i="15"/>
  <c r="O1360" i="15"/>
  <c r="O1365" i="15"/>
  <c r="O1368" i="15"/>
  <c r="O1371" i="15"/>
  <c r="O794" i="15"/>
  <c r="O800" i="15"/>
  <c r="O796" i="15"/>
  <c r="O784" i="15"/>
  <c r="O799" i="15"/>
  <c r="O789" i="15"/>
  <c r="O785" i="15"/>
  <c r="O792" i="15"/>
  <c r="O791" i="15"/>
  <c r="O788" i="15"/>
  <c r="O801" i="15"/>
  <c r="O793" i="15"/>
  <c r="O797" i="15"/>
  <c r="O787" i="15"/>
  <c r="O798" i="15"/>
  <c r="O790" i="15"/>
  <c r="O786" i="15"/>
  <c r="O795" i="15"/>
  <c r="R1087" i="15"/>
  <c r="R1277" i="15"/>
  <c r="R707" i="15"/>
  <c r="P1505" i="15"/>
  <c r="O818" i="15"/>
  <c r="O808" i="15"/>
  <c r="O809" i="15"/>
  <c r="O810" i="15"/>
  <c r="O806" i="15"/>
  <c r="O815" i="15"/>
  <c r="O819" i="15"/>
  <c r="O803" i="15"/>
  <c r="O820" i="15"/>
  <c r="O804" i="15"/>
  <c r="O805" i="15"/>
  <c r="O811" i="15"/>
  <c r="O812" i="15"/>
  <c r="O813" i="15"/>
  <c r="O814" i="15"/>
  <c r="O817" i="15"/>
  <c r="O816" i="15"/>
  <c r="O807" i="15"/>
  <c r="O1260" i="15"/>
  <c r="O1259" i="15"/>
  <c r="O1272" i="15"/>
  <c r="O1261" i="15"/>
  <c r="O1268" i="15"/>
  <c r="O1275" i="15"/>
  <c r="O1269" i="15"/>
  <c r="O1270" i="15"/>
  <c r="O1265" i="15"/>
  <c r="O1267" i="15"/>
  <c r="O1262" i="15"/>
  <c r="O1264" i="15"/>
  <c r="O1276" i="15"/>
  <c r="O1274" i="15"/>
  <c r="O1271" i="15"/>
  <c r="O1273" i="15"/>
  <c r="O1263" i="15"/>
  <c r="O1266" i="15"/>
  <c r="P1315" i="15"/>
  <c r="R821" i="15"/>
  <c r="Q379" i="15"/>
  <c r="Q383" i="15"/>
  <c r="Q372" i="15"/>
  <c r="Q380" i="15"/>
  <c r="Q368" i="15"/>
  <c r="Q370" i="15"/>
  <c r="Q374" i="15"/>
  <c r="Q377" i="15"/>
  <c r="Q376" i="15"/>
  <c r="Q378" i="15"/>
  <c r="Q373" i="15"/>
  <c r="Q375" i="15"/>
  <c r="Q367" i="15"/>
  <c r="Q369" i="15"/>
  <c r="Q371" i="15"/>
  <c r="Q382" i="15"/>
  <c r="Q381" i="15"/>
  <c r="Q366" i="15"/>
  <c r="Q1000" i="15"/>
  <c r="Q1007" i="15"/>
  <c r="Q999" i="15"/>
  <c r="Q993" i="15"/>
  <c r="Q1001" i="15"/>
  <c r="Q1002" i="15"/>
  <c r="Q997" i="15"/>
  <c r="Q996" i="15"/>
  <c r="Q1009" i="15"/>
  <c r="Q1008" i="15"/>
  <c r="Q995" i="15"/>
  <c r="Q1005" i="15"/>
  <c r="Q994" i="15"/>
  <c r="Q1004" i="15"/>
  <c r="Q1003" i="15"/>
  <c r="Q998" i="15"/>
  <c r="Q1006" i="15"/>
  <c r="Q1010" i="15"/>
  <c r="Q598" i="15"/>
  <c r="Q594" i="15"/>
  <c r="Q606" i="15"/>
  <c r="Q607" i="15"/>
  <c r="Q597" i="15"/>
  <c r="Q601" i="15"/>
  <c r="Q610" i="15"/>
  <c r="Q599" i="15"/>
  <c r="Q605" i="15"/>
  <c r="Q595" i="15"/>
  <c r="Q611" i="15"/>
  <c r="Q609" i="15"/>
  <c r="Q603" i="15"/>
  <c r="Q602" i="15"/>
  <c r="Q596" i="15"/>
  <c r="Q604" i="15"/>
  <c r="Q600" i="15"/>
  <c r="Q608" i="15"/>
  <c r="P1220" i="15"/>
  <c r="P1353" i="15"/>
  <c r="P688" i="15"/>
  <c r="R992" i="15"/>
  <c r="P783" i="15"/>
  <c r="R859" i="15"/>
  <c r="P1468" i="15"/>
  <c r="P1484" i="15"/>
  <c r="P1475" i="15"/>
  <c r="P1481" i="15"/>
  <c r="P1485" i="15"/>
  <c r="P1472" i="15"/>
  <c r="P1482" i="15"/>
  <c r="P1473" i="15"/>
  <c r="P1474" i="15"/>
  <c r="P1470" i="15"/>
  <c r="P1479" i="15"/>
  <c r="P1469" i="15"/>
  <c r="P1480" i="15"/>
  <c r="P1483" i="15"/>
  <c r="P1471" i="15"/>
  <c r="P1478" i="15"/>
  <c r="P1477" i="15"/>
  <c r="P1476" i="15"/>
  <c r="Q1452" i="15"/>
  <c r="Q1451" i="15"/>
  <c r="Q1457" i="15"/>
  <c r="Q1459" i="15"/>
  <c r="Q1463" i="15"/>
  <c r="Q1458" i="15"/>
  <c r="Q1453" i="15"/>
  <c r="Q1450" i="15"/>
  <c r="Q1465" i="15"/>
  <c r="Q1464" i="15"/>
  <c r="Q1461" i="15"/>
  <c r="Q1456" i="15"/>
  <c r="Q1454" i="15"/>
  <c r="Q1462" i="15"/>
  <c r="Q1449" i="15"/>
  <c r="Q1460" i="15"/>
  <c r="Q1455" i="15"/>
  <c r="Q1466" i="15"/>
  <c r="R593" i="15"/>
  <c r="Q522" i="15"/>
  <c r="Q520" i="15"/>
  <c r="Q535" i="15"/>
  <c r="Q530" i="15"/>
  <c r="Q521" i="15"/>
  <c r="Q526" i="15"/>
  <c r="Q525" i="15"/>
  <c r="Q518" i="15"/>
  <c r="Q519" i="15"/>
  <c r="Q527" i="15"/>
  <c r="Q532" i="15"/>
  <c r="Q533" i="15"/>
  <c r="Q534" i="15"/>
  <c r="Q523" i="15"/>
  <c r="Q524" i="15"/>
  <c r="Q528" i="15"/>
  <c r="Q531" i="15"/>
  <c r="Q529" i="15"/>
  <c r="P840" i="15"/>
  <c r="P878" i="15"/>
  <c r="P384" i="15"/>
  <c r="R441" i="15"/>
  <c r="R1410" i="15"/>
  <c r="O620" i="15"/>
  <c r="O619" i="15"/>
  <c r="O628" i="15"/>
  <c r="O627" i="15"/>
  <c r="O623" i="15"/>
  <c r="O618" i="15"/>
  <c r="O622" i="15"/>
  <c r="O626" i="15"/>
  <c r="O621" i="15"/>
  <c r="O617" i="15"/>
  <c r="O630" i="15"/>
  <c r="O629" i="15"/>
  <c r="O625" i="15"/>
  <c r="O624" i="15"/>
  <c r="O615" i="15"/>
  <c r="O616" i="15"/>
  <c r="O614" i="15"/>
  <c r="O613" i="15"/>
  <c r="O500" i="15"/>
  <c r="O505" i="15"/>
  <c r="O516" i="15"/>
  <c r="O512" i="15"/>
  <c r="O515" i="15"/>
  <c r="O510" i="15"/>
  <c r="O501" i="15"/>
  <c r="O507" i="15"/>
  <c r="O508" i="15"/>
  <c r="O514" i="15"/>
  <c r="O502" i="15"/>
  <c r="O511" i="15"/>
  <c r="O506" i="15"/>
  <c r="O499" i="15"/>
  <c r="O513" i="15"/>
  <c r="O504" i="15"/>
  <c r="O503" i="15"/>
  <c r="O509" i="15"/>
  <c r="R1486" i="15"/>
  <c r="P802" i="15"/>
  <c r="O782" i="15"/>
  <c r="O778" i="15"/>
  <c r="O774" i="15"/>
  <c r="O777" i="15"/>
  <c r="O765" i="15"/>
  <c r="O771" i="15"/>
  <c r="O770" i="15"/>
  <c r="O776" i="15"/>
  <c r="O779" i="15"/>
  <c r="O768" i="15"/>
  <c r="O773" i="15"/>
  <c r="O766" i="15"/>
  <c r="O780" i="15"/>
  <c r="O781" i="15"/>
  <c r="O767" i="15"/>
  <c r="O775" i="15"/>
  <c r="O769" i="15"/>
  <c r="O772" i="15"/>
  <c r="R726" i="15"/>
  <c r="P498" i="15"/>
  <c r="P1258" i="15"/>
  <c r="Q1096" i="15"/>
  <c r="Q1105" i="15"/>
  <c r="Q1098" i="15"/>
  <c r="Q1101" i="15"/>
  <c r="Q1094" i="15"/>
  <c r="Q1092" i="15"/>
  <c r="Q1099" i="15"/>
  <c r="Q1103" i="15"/>
  <c r="Q1089" i="15"/>
  <c r="Q1090" i="15"/>
  <c r="Q1093" i="15"/>
  <c r="Q1102" i="15"/>
  <c r="Q1088" i="15"/>
  <c r="Q1104" i="15"/>
  <c r="Q1095" i="15"/>
  <c r="Q1091" i="15"/>
  <c r="Q1100" i="15"/>
  <c r="Q1097" i="15"/>
  <c r="R422" i="15"/>
  <c r="O694" i="15"/>
  <c r="O696" i="15"/>
  <c r="O692" i="15"/>
  <c r="O706" i="15"/>
  <c r="O700" i="15"/>
  <c r="O698" i="15"/>
  <c r="O704" i="15"/>
  <c r="O690" i="15"/>
  <c r="O691" i="15"/>
  <c r="O705" i="15"/>
  <c r="O689" i="15"/>
  <c r="O695" i="15"/>
  <c r="O701" i="15"/>
  <c r="O703" i="15"/>
  <c r="O693" i="15"/>
  <c r="O699" i="15"/>
  <c r="O697" i="15"/>
  <c r="O702" i="15"/>
  <c r="Q871" i="15"/>
  <c r="Q868" i="15"/>
  <c r="Q870" i="15"/>
  <c r="Q872" i="15"/>
  <c r="Q867" i="15"/>
  <c r="Q863" i="15"/>
  <c r="Q862" i="15"/>
  <c r="Q864" i="15"/>
  <c r="Q876" i="15"/>
  <c r="Q875" i="15"/>
  <c r="Q860" i="15"/>
  <c r="Q873" i="15"/>
  <c r="Q869" i="15"/>
  <c r="Q866" i="15"/>
  <c r="Q877" i="15"/>
  <c r="Q865" i="15"/>
  <c r="Q861" i="15"/>
  <c r="Q874" i="15"/>
  <c r="R365" i="15"/>
  <c r="R954" i="15"/>
  <c r="O1131" i="15"/>
  <c r="O1132" i="15"/>
  <c r="O1141" i="15"/>
  <c r="O1133" i="15"/>
  <c r="O1126" i="15"/>
  <c r="O1130" i="15"/>
  <c r="O1138" i="15"/>
  <c r="O1128" i="15"/>
  <c r="O1127" i="15"/>
  <c r="O1139" i="15"/>
  <c r="O1143" i="15"/>
  <c r="O1142" i="15"/>
  <c r="O1129" i="15"/>
  <c r="O1137" i="15"/>
  <c r="O1135" i="15"/>
  <c r="O1134" i="15"/>
  <c r="O1140" i="15"/>
  <c r="O1136" i="15"/>
  <c r="S1015" i="15"/>
  <c r="Q677" i="15"/>
  <c r="Q683" i="15"/>
  <c r="Q676" i="15"/>
  <c r="Q674" i="15"/>
  <c r="Q681" i="15"/>
  <c r="Q675" i="15"/>
  <c r="Q686" i="15"/>
  <c r="Q679" i="15"/>
  <c r="Q687" i="15"/>
  <c r="Q678" i="15"/>
  <c r="Q682" i="15"/>
  <c r="Q680" i="15"/>
  <c r="Q671" i="15"/>
  <c r="Q672" i="15"/>
  <c r="Q684" i="15"/>
  <c r="Q670" i="15"/>
  <c r="Q673" i="15"/>
  <c r="Q685" i="15"/>
  <c r="Q1432" i="15"/>
  <c r="Q1431" i="15"/>
  <c r="Q1443" i="15"/>
  <c r="Q1445" i="15"/>
  <c r="Q1434" i="15"/>
  <c r="Q1440" i="15"/>
  <c r="Q1435" i="15"/>
  <c r="Q1439" i="15"/>
  <c r="Q1442" i="15"/>
  <c r="Q1430" i="15"/>
  <c r="Q1438" i="15"/>
  <c r="Q1437" i="15"/>
  <c r="Q1446" i="15"/>
  <c r="Q1433" i="15"/>
  <c r="Q1447" i="15"/>
  <c r="Q1436" i="15"/>
  <c r="Q1444" i="15"/>
  <c r="Q1441" i="15"/>
  <c r="Q932" i="15"/>
  <c r="Q925" i="15"/>
  <c r="Q924" i="15"/>
  <c r="Q931" i="15"/>
  <c r="Q933" i="15"/>
  <c r="Q918" i="15"/>
  <c r="Q919" i="15"/>
  <c r="Q926" i="15"/>
  <c r="Q927" i="15"/>
  <c r="Q934" i="15"/>
  <c r="Q921" i="15"/>
  <c r="Q928" i="15"/>
  <c r="Q929" i="15"/>
  <c r="Q922" i="15"/>
  <c r="Q920" i="15"/>
  <c r="Q917" i="15"/>
  <c r="Q930" i="15"/>
  <c r="Q923" i="15"/>
  <c r="Q486" i="15"/>
  <c r="Q490" i="15"/>
  <c r="Q487" i="15"/>
  <c r="Q489" i="15"/>
  <c r="Q481" i="15"/>
  <c r="Q482" i="15"/>
  <c r="Q495" i="15"/>
  <c r="Q497" i="15"/>
  <c r="Q492" i="15"/>
  <c r="Q485" i="15"/>
  <c r="Q496" i="15"/>
  <c r="Q484" i="15"/>
  <c r="Q483" i="15"/>
  <c r="Q491" i="15"/>
  <c r="Q494" i="15"/>
  <c r="Q493" i="15"/>
  <c r="Q488" i="15"/>
  <c r="Q480" i="15"/>
  <c r="Q1467" i="15"/>
  <c r="R1448" i="15"/>
  <c r="O1300" i="15"/>
  <c r="O1303" i="15"/>
  <c r="O1301" i="15"/>
  <c r="O1305" i="15"/>
  <c r="O1299" i="15"/>
  <c r="O1309" i="15"/>
  <c r="O1302" i="15"/>
  <c r="O1298" i="15"/>
  <c r="O1310" i="15"/>
  <c r="O1312" i="15"/>
  <c r="O1313" i="15"/>
  <c r="O1307" i="15"/>
  <c r="O1308" i="15"/>
  <c r="O1306" i="15"/>
  <c r="O1297" i="15"/>
  <c r="O1304" i="15"/>
  <c r="O1311" i="15"/>
  <c r="O1314" i="15"/>
  <c r="R517" i="15"/>
  <c r="O752" i="15"/>
  <c r="O756" i="15"/>
  <c r="O746" i="15"/>
  <c r="O750" i="15"/>
  <c r="O749" i="15"/>
  <c r="O748" i="15"/>
  <c r="O753" i="15"/>
  <c r="O755" i="15"/>
  <c r="O757" i="15"/>
  <c r="O758" i="15"/>
  <c r="O762" i="15"/>
  <c r="O760" i="15"/>
  <c r="O747" i="15"/>
  <c r="O761" i="15"/>
  <c r="O763" i="15"/>
  <c r="O751" i="15"/>
  <c r="O754" i="15"/>
  <c r="O759" i="15"/>
  <c r="O985" i="15"/>
  <c r="O978" i="15"/>
  <c r="O982" i="15"/>
  <c r="O974" i="15"/>
  <c r="O986" i="15"/>
  <c r="O990" i="15"/>
  <c r="O983" i="15"/>
  <c r="O987" i="15"/>
  <c r="O976" i="15"/>
  <c r="O977" i="15"/>
  <c r="O989" i="15"/>
  <c r="O991" i="15"/>
  <c r="O975" i="15"/>
  <c r="O979" i="15"/>
  <c r="O988" i="15"/>
  <c r="O980" i="15"/>
  <c r="O984" i="15"/>
  <c r="O981" i="15"/>
  <c r="P1296" i="15"/>
  <c r="Q1352" i="15"/>
  <c r="Q1344" i="15"/>
  <c r="Q1351" i="15"/>
  <c r="Q1343" i="15"/>
  <c r="Q1339" i="15"/>
  <c r="Q1342" i="15"/>
  <c r="Q1336" i="15"/>
  <c r="Q1337" i="15"/>
  <c r="Q1349" i="15"/>
  <c r="Q1346" i="15"/>
  <c r="Q1341" i="15"/>
  <c r="Q1348" i="15"/>
  <c r="Q1338" i="15"/>
  <c r="Q1350" i="15"/>
  <c r="Q1345" i="15"/>
  <c r="Q1335" i="15"/>
  <c r="Q1340" i="15"/>
  <c r="Q1347" i="15"/>
  <c r="Q1044" i="15"/>
  <c r="Q1048" i="15"/>
  <c r="Q1045" i="15"/>
  <c r="Q1036" i="15"/>
  <c r="Q1033" i="15"/>
  <c r="Q1042" i="15"/>
  <c r="Q1038" i="15"/>
  <c r="Q1046" i="15"/>
  <c r="Q1032" i="15"/>
  <c r="Q1037" i="15"/>
  <c r="Q1039" i="15"/>
  <c r="Q1040" i="15"/>
  <c r="Q1047" i="15"/>
  <c r="Q1041" i="15"/>
  <c r="Q1031" i="15"/>
  <c r="Q1043" i="15"/>
  <c r="Q1035" i="15"/>
  <c r="Q1034" i="15"/>
  <c r="Q1489" i="15"/>
  <c r="Q1502" i="15"/>
  <c r="Q1493" i="15"/>
  <c r="Q1499" i="15"/>
  <c r="Q1490" i="15"/>
  <c r="Q1488" i="15"/>
  <c r="Q1501" i="15"/>
  <c r="Q1504" i="15"/>
  <c r="Q1498" i="15"/>
  <c r="Q1503" i="15"/>
  <c r="Q1494" i="15"/>
  <c r="Q1496" i="15"/>
  <c r="Q1500" i="15"/>
  <c r="Q1495" i="15"/>
  <c r="Q1492" i="15"/>
  <c r="Q1487" i="15"/>
  <c r="Q1491" i="15"/>
  <c r="Q1497" i="15"/>
  <c r="Q730" i="15"/>
  <c r="Q742" i="15"/>
  <c r="Q734" i="15"/>
  <c r="Q736" i="15"/>
  <c r="Q741" i="15"/>
  <c r="Q739" i="15"/>
  <c r="Q727" i="15"/>
  <c r="Q744" i="15"/>
  <c r="Q731" i="15"/>
  <c r="Q728" i="15"/>
  <c r="Q735" i="15"/>
  <c r="Q743" i="15"/>
  <c r="Q732" i="15"/>
  <c r="Q740" i="15"/>
  <c r="Q733" i="15"/>
  <c r="Q738" i="15"/>
  <c r="Q729" i="15"/>
  <c r="Q737" i="15"/>
  <c r="R631" i="15"/>
  <c r="P612" i="15"/>
  <c r="P1125" i="15"/>
  <c r="R669" i="15"/>
  <c r="R1429" i="15"/>
  <c r="R916" i="15"/>
  <c r="R479" i="15"/>
  <c r="O841" i="15"/>
  <c r="O843" i="15"/>
  <c r="O858" i="15"/>
  <c r="O853" i="15"/>
  <c r="O851" i="15"/>
  <c r="O849" i="15"/>
  <c r="O854" i="15"/>
  <c r="O848" i="15"/>
  <c r="O857" i="15"/>
  <c r="O856" i="15"/>
  <c r="O846" i="15"/>
  <c r="O847" i="15"/>
  <c r="O855" i="15"/>
  <c r="O842" i="15"/>
  <c r="O844" i="15"/>
  <c r="O852" i="15"/>
  <c r="O845" i="15"/>
  <c r="O850" i="15"/>
  <c r="O1512" i="15"/>
  <c r="O1516" i="15"/>
  <c r="O1518" i="15"/>
  <c r="O1522" i="15"/>
  <c r="O1511" i="15"/>
  <c r="O1517" i="15"/>
  <c r="O1509" i="15"/>
  <c r="O1508" i="15"/>
  <c r="O1506" i="15"/>
  <c r="O1513" i="15"/>
  <c r="O1507" i="15"/>
  <c r="O1520" i="15"/>
  <c r="O1510" i="15"/>
  <c r="O1523" i="15"/>
  <c r="O1521" i="15"/>
  <c r="O1519" i="15"/>
  <c r="O1514" i="15"/>
  <c r="O1515" i="15"/>
  <c r="O887" i="15"/>
  <c r="O889" i="15"/>
  <c r="O893" i="15"/>
  <c r="O890" i="15"/>
  <c r="O894" i="15"/>
  <c r="O885" i="15"/>
  <c r="O883" i="15"/>
  <c r="O886" i="15"/>
  <c r="O884" i="15"/>
  <c r="O895" i="15"/>
  <c r="O892" i="15"/>
  <c r="O888" i="15"/>
  <c r="O879" i="15"/>
  <c r="O881" i="15"/>
  <c r="O896" i="15"/>
  <c r="O882" i="15"/>
  <c r="O880" i="15"/>
  <c r="O891" i="15"/>
  <c r="Q1374" i="15"/>
  <c r="Q1379" i="15"/>
  <c r="Q1381" i="15"/>
  <c r="Q1390" i="15"/>
  <c r="Q1388" i="15"/>
  <c r="Q1386" i="15"/>
  <c r="Q1376" i="15"/>
  <c r="Q1373" i="15"/>
  <c r="Q1389" i="15"/>
  <c r="Q1380" i="15"/>
  <c r="Q1375" i="15"/>
  <c r="Q1378" i="15"/>
  <c r="Q1387" i="15"/>
  <c r="Q1384" i="15"/>
  <c r="Q1382" i="15"/>
  <c r="Q1383" i="15"/>
  <c r="Q1385" i="15"/>
  <c r="Q1377" i="15"/>
  <c r="O385" i="15"/>
  <c r="O388" i="15"/>
  <c r="O387" i="15"/>
  <c r="O386" i="15"/>
  <c r="O389" i="15"/>
  <c r="O392" i="15"/>
  <c r="O390" i="15"/>
  <c r="O396" i="15"/>
  <c r="O395" i="15"/>
  <c r="O391" i="15"/>
  <c r="O399" i="15"/>
  <c r="O393" i="15"/>
  <c r="O400" i="15"/>
  <c r="O394" i="15"/>
  <c r="O401" i="15"/>
  <c r="O402" i="15"/>
  <c r="O398" i="15"/>
  <c r="O397" i="15"/>
  <c r="O465" i="15"/>
  <c r="O464" i="15"/>
  <c r="O470" i="15"/>
  <c r="O471" i="15"/>
  <c r="O466" i="15"/>
  <c r="O474" i="15"/>
  <c r="O462" i="15"/>
  <c r="O467" i="15"/>
  <c r="O461" i="15"/>
  <c r="O476" i="15"/>
  <c r="O478" i="15"/>
  <c r="O473" i="15"/>
  <c r="O469" i="15"/>
  <c r="O477" i="15"/>
  <c r="O475" i="15"/>
  <c r="O472" i="15"/>
  <c r="O463" i="15"/>
  <c r="O468" i="15"/>
  <c r="P745" i="15"/>
  <c r="P973" i="15"/>
  <c r="Q457" i="15"/>
  <c r="Q450" i="15"/>
  <c r="Q454" i="15"/>
  <c r="Q444" i="15"/>
  <c r="Q442" i="15"/>
  <c r="Q443" i="15"/>
  <c r="Q452" i="15"/>
  <c r="Q445" i="15"/>
  <c r="Q455" i="15"/>
  <c r="Q458" i="15"/>
  <c r="Q446" i="15"/>
  <c r="Q447" i="15"/>
  <c r="Q453" i="15"/>
  <c r="Q451" i="15"/>
  <c r="Q448" i="15"/>
  <c r="Q459" i="15"/>
  <c r="Q449" i="15"/>
  <c r="Q456" i="15"/>
  <c r="O1054" i="15"/>
  <c r="O1067" i="15"/>
  <c r="O1053" i="15"/>
  <c r="O1064" i="15"/>
  <c r="O1050" i="15"/>
  <c r="O1062" i="15"/>
  <c r="O1060" i="15"/>
  <c r="O1052" i="15"/>
  <c r="O1059" i="15"/>
  <c r="O1051" i="15"/>
  <c r="O1056" i="15"/>
  <c r="O1063" i="15"/>
  <c r="O1058" i="15"/>
  <c r="O1065" i="15"/>
  <c r="O1066" i="15"/>
  <c r="O1057" i="15"/>
  <c r="O1055" i="15"/>
  <c r="O1061" i="15"/>
  <c r="R1334" i="15"/>
  <c r="Q1418" i="15"/>
  <c r="Q1413" i="15"/>
  <c r="Q1415" i="15"/>
  <c r="Q1426" i="15"/>
  <c r="Q1416" i="15"/>
  <c r="Q1424" i="15"/>
  <c r="Q1411" i="15"/>
  <c r="Q1412" i="15"/>
  <c r="Q1421" i="15"/>
  <c r="Q1427" i="15"/>
  <c r="Q1423" i="15"/>
  <c r="Q1420" i="15"/>
  <c r="Q1419" i="15"/>
  <c r="Q1428" i="15"/>
  <c r="Q1414" i="15"/>
  <c r="Q1425" i="15"/>
  <c r="Q1422" i="15"/>
  <c r="Q1417" i="15"/>
  <c r="AO3" i="13"/>
  <c r="AO4" i="13"/>
  <c r="AO5" i="13"/>
  <c r="AO6" i="13"/>
  <c r="AO7" i="13"/>
  <c r="AO8" i="13"/>
  <c r="AO9" i="13"/>
  <c r="AO10" i="13"/>
  <c r="AO11" i="13"/>
  <c r="AO12" i="13"/>
  <c r="AO13" i="13"/>
  <c r="AO14" i="13"/>
  <c r="AO15" i="13"/>
  <c r="AO16" i="13"/>
  <c r="AO17" i="13"/>
  <c r="AO18" i="13"/>
  <c r="AO19" i="13"/>
  <c r="AO20" i="13"/>
  <c r="AO21" i="13"/>
  <c r="AO22" i="13"/>
  <c r="AO23" i="13"/>
  <c r="AO24" i="13"/>
  <c r="AO25" i="13"/>
  <c r="AO26" i="13"/>
  <c r="AO27" i="13"/>
  <c r="AO28" i="13"/>
  <c r="AO29" i="13"/>
  <c r="AO30" i="13"/>
  <c r="AO31" i="13"/>
  <c r="AO32" i="13"/>
  <c r="AO33" i="13"/>
  <c r="AO34" i="13"/>
  <c r="AO35" i="13"/>
  <c r="AO36" i="13"/>
  <c r="AO37" i="13"/>
  <c r="AO38" i="13"/>
  <c r="AO39" i="13"/>
  <c r="AO40" i="13"/>
  <c r="AO41" i="13"/>
  <c r="AO42" i="13"/>
  <c r="AO43" i="13"/>
  <c r="AO44" i="13"/>
  <c r="AO45" i="13"/>
  <c r="AO46" i="13"/>
  <c r="AO47" i="13"/>
  <c r="AO48" i="13"/>
  <c r="AO49" i="13"/>
  <c r="AO50" i="13"/>
  <c r="AO51" i="13"/>
  <c r="AO52" i="13"/>
  <c r="AO53" i="13"/>
  <c r="AO54" i="13"/>
  <c r="AO55" i="13"/>
  <c r="AO56" i="13"/>
  <c r="AO57" i="13"/>
  <c r="AO58" i="13"/>
  <c r="AO59" i="13"/>
  <c r="AO60" i="13"/>
  <c r="AO61" i="13"/>
  <c r="AO62" i="13"/>
  <c r="AO63" i="13"/>
  <c r="AO64" i="13"/>
  <c r="AO65" i="13"/>
  <c r="AO66" i="13"/>
  <c r="AO67" i="13"/>
  <c r="AO68" i="13"/>
  <c r="AO69" i="13"/>
  <c r="AO70" i="13"/>
  <c r="AO71" i="13"/>
  <c r="AO72" i="13"/>
  <c r="AO73" i="13"/>
  <c r="AO74" i="13"/>
  <c r="AO75" i="13"/>
  <c r="AO76" i="13"/>
  <c r="AO77" i="13"/>
  <c r="AO78" i="13"/>
  <c r="AO79" i="13"/>
  <c r="AO80" i="13"/>
  <c r="AO81" i="13"/>
  <c r="AO82" i="13"/>
  <c r="AO83" i="13"/>
  <c r="AO84" i="13"/>
  <c r="AO85" i="13"/>
  <c r="AO86" i="13"/>
  <c r="AO87" i="13"/>
  <c r="AO88" i="13"/>
  <c r="AO89" i="13"/>
  <c r="AO90" i="13"/>
  <c r="AO91" i="13"/>
  <c r="AO92" i="13"/>
  <c r="AO93" i="13"/>
  <c r="AO94" i="13"/>
  <c r="AO95" i="13"/>
  <c r="AO96" i="13"/>
  <c r="AO97" i="13"/>
  <c r="AO98" i="13"/>
  <c r="AO99" i="13"/>
  <c r="AO100" i="13"/>
  <c r="AO101" i="13"/>
  <c r="AO102" i="13"/>
  <c r="AO103" i="13"/>
  <c r="AO104" i="13"/>
  <c r="AO105" i="13"/>
  <c r="AO106" i="13"/>
  <c r="AO107" i="13"/>
  <c r="AO108" i="13"/>
  <c r="AO109" i="13"/>
  <c r="AO110" i="13"/>
  <c r="AO111" i="13"/>
  <c r="AO112" i="13"/>
  <c r="AO113" i="13"/>
  <c r="AO114" i="13"/>
  <c r="AO115" i="13"/>
  <c r="AO116" i="13"/>
  <c r="AO117" i="13"/>
  <c r="AO118" i="13"/>
  <c r="AO119" i="13"/>
  <c r="AO120" i="13"/>
  <c r="AO121" i="13"/>
  <c r="AO122" i="13"/>
  <c r="AO123" i="13"/>
  <c r="AO124" i="13"/>
  <c r="AO125" i="13"/>
  <c r="AO126" i="13"/>
  <c r="AO127" i="13"/>
  <c r="AO128" i="13"/>
  <c r="AO129" i="13"/>
  <c r="AO130" i="13"/>
  <c r="AO131" i="13"/>
  <c r="AO132" i="13"/>
  <c r="AO133" i="13"/>
  <c r="AO134" i="13"/>
  <c r="AO135" i="13"/>
  <c r="AO136" i="13"/>
  <c r="AO137" i="13"/>
  <c r="AO138" i="13"/>
  <c r="AO139" i="13"/>
  <c r="AO140" i="13"/>
  <c r="AO141" i="13"/>
  <c r="AO142" i="13"/>
  <c r="AO143" i="13"/>
  <c r="AO144" i="13"/>
  <c r="AO145" i="13"/>
  <c r="AO146" i="13"/>
  <c r="AO147" i="13"/>
  <c r="AO148" i="13"/>
  <c r="AO149" i="13"/>
  <c r="AO150" i="13"/>
  <c r="AO151" i="13"/>
  <c r="AO152" i="13"/>
  <c r="AO153" i="13"/>
  <c r="AO154" i="13"/>
  <c r="AO155" i="13"/>
  <c r="AO156" i="13"/>
  <c r="AO157" i="13"/>
  <c r="AO158" i="13"/>
  <c r="AO159" i="13"/>
  <c r="AO160" i="13"/>
  <c r="AO161" i="13"/>
  <c r="AO162" i="13"/>
  <c r="AO163" i="13"/>
  <c r="AO164" i="13"/>
  <c r="AO165" i="13"/>
  <c r="AO166" i="13"/>
  <c r="AO167" i="13"/>
  <c r="AO168" i="13"/>
  <c r="AO169" i="13"/>
  <c r="AO170" i="13"/>
  <c r="AO171" i="13"/>
  <c r="AO172" i="13"/>
  <c r="AO173" i="13"/>
  <c r="AO174" i="13"/>
  <c r="AO175" i="13"/>
  <c r="AO176" i="13"/>
  <c r="AO177" i="13"/>
  <c r="AO178" i="13"/>
  <c r="AO179" i="13"/>
  <c r="AO180" i="13"/>
  <c r="AO181" i="13"/>
  <c r="AO182" i="13"/>
  <c r="AO183" i="13"/>
  <c r="AO184" i="13"/>
  <c r="AO185" i="13"/>
  <c r="AO186" i="13"/>
  <c r="AO187" i="13"/>
  <c r="AO188" i="13"/>
  <c r="AO189" i="13"/>
  <c r="AO190" i="13"/>
  <c r="AO191" i="13"/>
  <c r="AO192" i="13"/>
  <c r="AO193" i="13"/>
  <c r="AO194" i="13"/>
  <c r="AO195" i="13"/>
  <c r="AO196" i="13"/>
  <c r="AO197" i="13"/>
  <c r="AO198" i="13"/>
  <c r="AO199" i="13"/>
  <c r="AO200" i="13"/>
  <c r="AO201" i="13"/>
  <c r="AO202" i="13"/>
  <c r="AO203" i="13"/>
  <c r="AO204" i="13"/>
  <c r="AO205" i="13"/>
  <c r="AO206" i="13"/>
  <c r="AO207" i="13"/>
  <c r="AO208" i="13"/>
  <c r="AO209" i="13"/>
  <c r="AO210" i="13"/>
  <c r="AO211" i="13"/>
  <c r="AO212" i="13"/>
  <c r="AO213" i="13"/>
  <c r="AO214" i="13"/>
  <c r="AO215" i="13"/>
  <c r="AO216" i="13"/>
  <c r="AO217" i="13"/>
  <c r="AO218" i="13"/>
  <c r="AO219" i="13"/>
  <c r="AO220" i="13"/>
  <c r="AO221" i="13"/>
  <c r="AO222" i="13"/>
  <c r="AO223" i="13"/>
  <c r="AO224" i="13"/>
  <c r="AO225" i="13"/>
  <c r="AO226" i="13"/>
  <c r="AO227" i="13"/>
  <c r="AO228" i="13"/>
  <c r="AO229" i="13"/>
  <c r="AO230" i="13"/>
  <c r="AO231" i="13"/>
  <c r="AO232" i="13"/>
  <c r="AO233" i="13"/>
  <c r="AO234" i="13"/>
  <c r="AO235" i="13"/>
  <c r="AO236" i="13"/>
  <c r="AO237" i="13"/>
  <c r="AO238" i="13"/>
  <c r="AO239" i="13"/>
  <c r="AO240" i="13"/>
  <c r="AO241" i="13"/>
  <c r="AO242" i="13"/>
  <c r="AO243" i="13"/>
  <c r="AO244" i="13"/>
  <c r="AO245" i="13"/>
  <c r="AO246" i="13"/>
  <c r="AO247" i="13"/>
  <c r="AO248" i="13"/>
  <c r="AO249" i="13"/>
  <c r="AO250" i="13"/>
  <c r="AO251" i="13"/>
  <c r="AO252" i="13"/>
  <c r="AO253" i="13"/>
  <c r="AO254" i="13"/>
  <c r="AO255" i="13"/>
  <c r="AO256" i="13"/>
  <c r="AO257" i="13"/>
  <c r="AO258" i="13"/>
  <c r="AO259" i="13"/>
  <c r="AO260" i="13"/>
  <c r="AO261" i="13"/>
  <c r="AO262" i="13"/>
  <c r="AO263" i="13"/>
  <c r="AO264" i="13"/>
  <c r="AO265" i="13"/>
  <c r="AO266" i="13"/>
  <c r="AO267" i="13"/>
  <c r="AO268" i="13"/>
  <c r="AO269" i="13"/>
  <c r="AO270" i="13"/>
  <c r="AO271" i="13"/>
  <c r="AO272" i="13"/>
  <c r="AO273" i="13"/>
  <c r="AO274" i="13"/>
  <c r="AO275" i="13"/>
  <c r="AO276" i="13"/>
  <c r="AO277" i="13"/>
  <c r="AO278" i="13"/>
  <c r="AO279" i="13"/>
  <c r="AO280" i="13"/>
  <c r="AO281" i="13"/>
  <c r="AO282" i="13"/>
  <c r="AO283" i="13"/>
  <c r="AO284" i="13"/>
  <c r="AO285" i="13"/>
  <c r="AO286" i="13"/>
  <c r="AO287" i="13"/>
  <c r="AO288" i="13"/>
  <c r="AO289" i="13"/>
  <c r="AO290" i="13"/>
  <c r="AO291" i="13"/>
  <c r="AO292" i="13"/>
  <c r="AO293" i="13"/>
  <c r="AO294" i="13"/>
  <c r="AO295" i="13"/>
  <c r="AO296" i="13"/>
  <c r="AO297" i="13"/>
  <c r="AO298" i="13"/>
  <c r="AO299" i="13"/>
  <c r="AO300" i="13"/>
  <c r="AO301" i="13"/>
  <c r="AO302" i="13"/>
  <c r="AO303" i="13"/>
  <c r="AO304" i="13"/>
  <c r="AO305" i="13"/>
  <c r="AO306" i="13"/>
  <c r="AO307" i="13"/>
  <c r="AO308" i="13"/>
  <c r="AO309" i="13"/>
  <c r="AO310" i="13"/>
  <c r="AO311" i="13"/>
  <c r="AO312" i="13"/>
  <c r="AO313" i="13"/>
  <c r="AO314" i="13"/>
  <c r="AO315" i="13"/>
  <c r="AO316" i="13"/>
  <c r="AO317" i="13"/>
  <c r="AO318" i="13"/>
  <c r="AO319" i="13"/>
  <c r="AO320" i="13"/>
  <c r="AO321" i="13"/>
  <c r="AO322" i="13"/>
  <c r="AO323" i="13"/>
  <c r="AO324" i="13"/>
  <c r="AO325" i="13"/>
  <c r="AO326" i="13"/>
  <c r="AO327" i="13"/>
  <c r="AO328" i="13"/>
  <c r="AO329" i="13"/>
  <c r="AO330" i="13"/>
  <c r="AO331" i="13"/>
  <c r="AO332" i="13"/>
  <c r="AO333" i="13"/>
  <c r="AO334" i="13"/>
  <c r="AO335" i="13"/>
  <c r="AO336" i="13"/>
  <c r="AO337" i="13"/>
  <c r="AO338" i="13"/>
  <c r="AO339" i="13"/>
  <c r="AO340" i="13"/>
  <c r="AO341" i="13"/>
  <c r="AO342" i="13"/>
  <c r="AO343" i="13"/>
  <c r="AO344" i="13"/>
  <c r="AO345" i="13"/>
  <c r="AO346" i="13"/>
  <c r="AO347" i="13"/>
  <c r="AO348" i="13"/>
  <c r="AO349" i="13"/>
  <c r="AO350" i="13"/>
  <c r="AO351" i="13"/>
  <c r="AO352" i="13"/>
  <c r="AO353" i="13"/>
  <c r="AO354" i="13"/>
  <c r="AO355" i="13"/>
  <c r="AO356" i="13"/>
  <c r="AO357" i="13"/>
  <c r="AO358" i="13"/>
  <c r="AO359" i="13"/>
  <c r="AO360" i="13"/>
  <c r="AO361" i="13"/>
  <c r="AO362" i="13"/>
  <c r="AO363" i="13"/>
  <c r="AO364" i="13"/>
  <c r="AO365" i="13"/>
  <c r="AO366" i="13"/>
  <c r="AO367" i="13"/>
  <c r="AO368" i="13"/>
  <c r="AO369" i="13"/>
  <c r="AO370" i="13"/>
  <c r="AO371" i="13"/>
  <c r="AO372" i="13"/>
  <c r="AO373" i="13"/>
  <c r="AO374" i="13"/>
  <c r="AO375" i="13"/>
  <c r="AO376" i="13"/>
  <c r="AO377" i="13"/>
  <c r="AO378" i="13"/>
  <c r="AO379" i="13"/>
  <c r="AO380" i="13"/>
  <c r="AO381" i="13"/>
  <c r="AO382" i="13"/>
  <c r="AO383" i="13"/>
  <c r="AO384" i="13"/>
  <c r="AO385" i="13"/>
  <c r="AO386" i="13"/>
  <c r="AO387" i="13"/>
  <c r="AO388" i="13"/>
  <c r="AO389" i="13"/>
  <c r="AO390" i="13"/>
  <c r="AO391" i="13"/>
  <c r="AO392" i="13"/>
  <c r="AO393" i="13"/>
  <c r="AO394" i="13"/>
  <c r="AO395" i="13"/>
  <c r="AO396" i="13"/>
  <c r="AO397" i="13"/>
  <c r="AO398" i="13"/>
  <c r="AO399" i="13"/>
  <c r="AO400" i="13"/>
  <c r="AO401" i="13"/>
  <c r="AO402" i="13"/>
  <c r="AO403" i="13"/>
  <c r="AO404" i="13"/>
  <c r="AO405" i="13"/>
  <c r="AO406" i="13"/>
  <c r="AO407" i="13"/>
  <c r="AO408" i="13"/>
  <c r="AO409" i="13"/>
  <c r="AO410" i="13"/>
  <c r="AO411" i="13"/>
  <c r="AO412" i="13"/>
  <c r="AO413" i="13"/>
  <c r="AO414" i="13"/>
  <c r="AO415" i="13"/>
  <c r="AO416" i="13"/>
  <c r="AO417" i="13"/>
  <c r="AO418" i="13"/>
  <c r="AO419" i="13"/>
  <c r="AO420" i="13"/>
  <c r="AO421" i="13"/>
  <c r="AO422" i="13"/>
  <c r="AO423" i="13"/>
  <c r="AO424" i="13"/>
  <c r="AO425" i="13"/>
  <c r="AO426" i="13"/>
  <c r="AO427" i="13"/>
  <c r="AO428" i="13"/>
  <c r="AO429" i="13"/>
  <c r="AO430" i="13"/>
  <c r="AO431" i="13"/>
  <c r="AO432" i="13"/>
  <c r="AO433" i="13"/>
  <c r="AO434" i="13"/>
  <c r="AO435" i="13"/>
  <c r="AO436" i="13"/>
  <c r="AO437" i="13"/>
  <c r="AO438" i="13"/>
  <c r="AO439" i="13"/>
  <c r="AO440" i="13"/>
  <c r="AO441" i="13"/>
  <c r="AO442" i="13"/>
  <c r="AO443" i="13"/>
  <c r="AO444" i="13"/>
  <c r="AO445" i="13"/>
  <c r="AO446" i="13"/>
  <c r="AO447" i="13"/>
  <c r="AO448" i="13"/>
  <c r="AO449" i="13"/>
  <c r="AO450" i="13"/>
  <c r="AO451" i="13"/>
  <c r="AO452" i="13"/>
  <c r="AO453" i="13"/>
  <c r="AO454" i="13"/>
  <c r="AO455" i="13"/>
  <c r="AO456" i="13"/>
  <c r="AO457" i="13"/>
  <c r="AO458" i="13"/>
  <c r="AO459" i="13"/>
  <c r="AO460" i="13"/>
  <c r="AO461" i="13"/>
  <c r="AO462" i="13"/>
  <c r="AO463" i="13"/>
  <c r="AO464" i="13"/>
  <c r="AO465" i="13"/>
  <c r="AO466" i="13"/>
  <c r="AO467" i="13"/>
  <c r="AO468" i="13"/>
  <c r="AO469" i="13"/>
  <c r="AO470" i="13"/>
  <c r="AO471" i="13"/>
  <c r="AO472" i="13"/>
  <c r="AO473" i="13"/>
  <c r="AO474" i="13"/>
  <c r="AO475" i="13"/>
  <c r="AO476" i="13"/>
  <c r="AO477" i="13"/>
  <c r="AO478" i="13"/>
  <c r="AO479" i="13"/>
  <c r="AO480" i="13"/>
  <c r="AO481" i="13"/>
  <c r="AO482" i="13"/>
  <c r="AO483" i="13"/>
  <c r="AO484" i="13"/>
  <c r="AO485" i="13"/>
  <c r="AO486" i="13"/>
  <c r="AO487" i="13"/>
  <c r="AO488" i="13"/>
  <c r="AO489" i="13"/>
  <c r="AO490" i="13"/>
  <c r="AO491" i="13"/>
  <c r="AO492" i="13"/>
  <c r="AO493" i="13"/>
  <c r="AO494" i="13"/>
  <c r="AO495" i="13"/>
  <c r="AO496" i="13"/>
  <c r="AO497" i="13"/>
  <c r="AO498" i="13"/>
  <c r="AO499" i="13"/>
  <c r="AO500" i="13"/>
  <c r="AO501" i="13"/>
  <c r="AO502" i="13"/>
  <c r="AO503" i="13"/>
  <c r="AO504" i="13"/>
  <c r="AO505" i="13"/>
  <c r="AO506" i="13"/>
  <c r="AO507" i="13"/>
  <c r="AO508" i="13"/>
  <c r="AO509" i="13"/>
  <c r="AO510" i="13"/>
  <c r="AO511" i="13"/>
  <c r="AO512" i="13"/>
  <c r="AO513" i="13"/>
  <c r="AO514" i="13"/>
  <c r="AO515" i="13"/>
  <c r="AO516" i="13"/>
  <c r="AO517" i="13"/>
  <c r="AO518" i="13"/>
  <c r="AO519" i="13"/>
  <c r="AO520" i="13"/>
  <c r="AO521" i="13"/>
  <c r="AO522" i="13"/>
  <c r="AO523" i="13"/>
  <c r="AO524" i="13"/>
  <c r="AO525" i="13"/>
  <c r="AO526" i="13"/>
  <c r="AO527" i="13"/>
  <c r="AO528" i="13"/>
  <c r="AO529" i="13"/>
  <c r="AO530" i="13"/>
  <c r="AO531" i="13"/>
  <c r="AO532" i="13"/>
  <c r="AO533" i="13"/>
  <c r="AO534" i="13"/>
  <c r="AO535" i="13"/>
  <c r="AO536" i="13"/>
  <c r="AO537" i="13"/>
  <c r="AO538" i="13"/>
  <c r="AO539" i="13"/>
  <c r="AO540" i="13"/>
  <c r="AO541" i="13"/>
  <c r="AO542" i="13"/>
  <c r="AO543" i="13"/>
  <c r="AO544" i="13"/>
  <c r="AO545" i="13"/>
  <c r="AO546" i="13"/>
  <c r="AO547" i="13"/>
  <c r="AO548" i="13"/>
  <c r="AO549" i="13"/>
  <c r="AO550" i="13"/>
  <c r="AO551" i="13"/>
  <c r="AO552" i="13"/>
  <c r="AO553" i="13"/>
  <c r="AO554" i="13"/>
  <c r="AO555" i="13"/>
  <c r="AO556" i="13"/>
  <c r="AO557" i="13"/>
  <c r="AO558" i="13"/>
  <c r="AO559" i="13"/>
  <c r="AO560" i="13"/>
  <c r="AO561" i="13"/>
  <c r="AO562" i="13"/>
  <c r="AO563" i="13"/>
  <c r="AO564" i="13"/>
  <c r="AO565" i="13"/>
  <c r="AO566" i="13"/>
  <c r="AO567" i="13"/>
  <c r="AO568" i="13"/>
  <c r="AO569" i="13"/>
  <c r="AO570" i="13"/>
  <c r="AO571" i="13"/>
  <c r="AO572" i="13"/>
  <c r="AO573" i="13"/>
  <c r="AO574" i="13"/>
  <c r="AO575" i="13"/>
  <c r="AO576" i="13"/>
  <c r="AO577" i="13"/>
  <c r="AO578" i="13"/>
  <c r="AO579" i="13"/>
  <c r="AO580" i="13"/>
  <c r="AO581" i="13"/>
  <c r="AO582" i="13"/>
  <c r="AO583" i="13"/>
  <c r="AO584" i="13"/>
  <c r="AO585" i="13"/>
  <c r="AO586" i="13"/>
  <c r="AO587" i="13"/>
  <c r="AO588" i="13"/>
  <c r="AO589" i="13"/>
  <c r="AO590" i="13"/>
  <c r="AO591" i="13"/>
  <c r="AO592" i="13"/>
  <c r="AO593" i="13"/>
  <c r="AO594" i="13"/>
  <c r="AO595" i="13"/>
  <c r="AO596" i="13"/>
  <c r="AO597" i="13"/>
  <c r="AO598" i="13"/>
  <c r="AO599" i="13"/>
  <c r="AO600" i="13"/>
  <c r="AO601" i="13"/>
  <c r="AO602" i="13"/>
  <c r="AO603" i="13"/>
  <c r="AO604" i="13"/>
  <c r="AO605" i="13"/>
  <c r="AO606" i="13"/>
  <c r="AO607" i="13"/>
  <c r="AO608" i="13"/>
  <c r="AO609" i="13"/>
  <c r="AO610" i="13"/>
  <c r="AO611" i="13"/>
  <c r="AO612" i="13"/>
  <c r="AO613" i="13"/>
  <c r="AO614" i="13"/>
  <c r="AO615" i="13"/>
  <c r="AO616" i="13"/>
  <c r="AO617" i="13"/>
  <c r="AO618" i="13"/>
  <c r="AO619" i="13"/>
  <c r="AO620" i="13"/>
  <c r="AO621" i="13"/>
  <c r="AO622" i="13"/>
  <c r="AO623" i="13"/>
  <c r="AO624" i="13"/>
  <c r="AO625" i="13"/>
  <c r="AO626" i="13"/>
  <c r="AO627" i="13"/>
  <c r="AO628" i="13"/>
  <c r="AO629" i="13"/>
  <c r="AO630" i="13"/>
  <c r="AO631" i="13"/>
  <c r="AO632" i="13"/>
  <c r="AO633" i="13"/>
  <c r="AO634" i="13"/>
  <c r="AO635" i="13"/>
  <c r="AO636" i="13"/>
  <c r="AO637" i="13"/>
  <c r="AO638" i="13"/>
  <c r="AO639" i="13"/>
  <c r="AO640" i="13"/>
  <c r="AO641" i="13"/>
  <c r="AO642" i="13"/>
  <c r="AO643" i="13"/>
  <c r="AO644" i="13"/>
  <c r="AO645" i="13"/>
  <c r="AO646" i="13"/>
  <c r="AO647" i="13"/>
  <c r="AO648" i="13"/>
  <c r="AO649" i="13"/>
  <c r="AO650" i="13"/>
  <c r="AO651" i="13"/>
  <c r="AO652" i="13"/>
  <c r="AO653" i="13"/>
  <c r="AO654" i="13"/>
  <c r="AO655" i="13"/>
  <c r="AO656" i="13"/>
  <c r="AO657" i="13"/>
  <c r="AO658" i="13"/>
  <c r="AO659" i="13"/>
  <c r="AO660" i="13"/>
  <c r="AO661" i="13"/>
  <c r="AO662" i="13"/>
  <c r="AO663" i="13"/>
  <c r="AO664" i="13"/>
  <c r="AO665" i="13"/>
  <c r="AO666" i="13"/>
  <c r="AO667" i="13"/>
  <c r="AO668" i="13"/>
  <c r="AO669" i="13"/>
  <c r="AO670" i="13"/>
  <c r="AO671" i="13"/>
  <c r="AO672" i="13"/>
  <c r="AO673" i="13"/>
  <c r="AO674" i="13"/>
  <c r="AO675" i="13"/>
  <c r="AO676" i="13"/>
  <c r="AO677" i="13"/>
  <c r="AO678" i="13"/>
  <c r="AO679" i="13"/>
  <c r="AO680" i="13"/>
  <c r="AO681" i="13"/>
  <c r="AO682" i="13"/>
  <c r="AO683" i="13"/>
  <c r="AO684" i="13"/>
  <c r="AO685" i="13"/>
  <c r="AO686" i="13"/>
  <c r="AO687" i="13"/>
  <c r="AO688" i="13"/>
  <c r="AO689" i="13"/>
  <c r="AO690" i="13"/>
  <c r="AO691" i="13"/>
  <c r="AO692" i="13"/>
  <c r="AO693" i="13"/>
  <c r="AO694" i="13"/>
  <c r="AO695" i="13"/>
  <c r="AO696" i="13"/>
  <c r="AO697" i="13"/>
  <c r="AO698" i="13"/>
  <c r="AO699" i="13"/>
  <c r="AO700" i="13"/>
  <c r="AO701" i="13"/>
  <c r="AO702" i="13"/>
  <c r="AO703" i="13"/>
  <c r="AO704" i="13"/>
  <c r="AO705" i="13"/>
  <c r="AO706" i="13"/>
  <c r="AO707" i="13"/>
  <c r="AO708" i="13"/>
  <c r="AO709" i="13"/>
  <c r="AO710" i="13"/>
  <c r="AO711" i="13"/>
  <c r="AO712" i="13"/>
  <c r="AO713" i="13"/>
  <c r="AO714" i="13"/>
  <c r="AO715" i="13"/>
  <c r="AO716" i="13"/>
  <c r="AO717" i="13"/>
  <c r="AO718" i="13"/>
  <c r="AO719" i="13"/>
  <c r="AO720" i="13"/>
  <c r="AO721" i="13"/>
  <c r="AO722" i="13"/>
  <c r="AO723" i="13"/>
  <c r="AO724" i="13"/>
  <c r="AO725" i="13"/>
  <c r="AO726" i="13"/>
  <c r="AO727" i="13"/>
  <c r="AO728" i="13"/>
  <c r="AO729" i="13"/>
  <c r="AO730" i="13"/>
  <c r="AO731" i="13"/>
  <c r="AO732" i="13"/>
  <c r="AO733" i="13"/>
  <c r="AO734" i="13"/>
  <c r="AO735" i="13"/>
  <c r="AO736" i="13"/>
  <c r="AO737" i="13"/>
  <c r="AO738" i="13"/>
  <c r="AO739" i="13"/>
  <c r="AO740" i="13"/>
  <c r="AO741" i="13"/>
  <c r="AO742" i="13"/>
  <c r="AO743" i="13"/>
  <c r="AO744" i="13"/>
  <c r="AO745" i="13"/>
  <c r="AO746" i="13"/>
  <c r="AO747" i="13"/>
  <c r="AO748" i="13"/>
  <c r="AO749" i="13"/>
  <c r="AO750" i="13"/>
  <c r="AO751" i="13"/>
  <c r="AO752" i="13"/>
  <c r="AO753" i="13"/>
  <c r="AO754" i="13"/>
  <c r="AO755" i="13"/>
  <c r="AO756" i="13"/>
  <c r="AO757" i="13"/>
  <c r="AO758" i="13"/>
  <c r="AO759" i="13"/>
  <c r="AO760" i="13"/>
  <c r="AO761" i="13"/>
  <c r="AO762" i="13"/>
  <c r="AO763" i="13"/>
  <c r="AO764" i="13"/>
  <c r="AO765" i="13"/>
  <c r="AO766" i="13"/>
  <c r="AO767" i="13"/>
  <c r="AO768" i="13"/>
  <c r="AO769" i="13"/>
  <c r="AO770" i="13"/>
  <c r="AO771" i="13"/>
  <c r="AO772" i="13"/>
  <c r="AO773" i="13"/>
  <c r="AO774" i="13"/>
  <c r="AO775" i="13"/>
  <c r="AO776" i="13"/>
  <c r="AO777" i="13"/>
  <c r="AO778" i="13"/>
  <c r="AO779" i="13"/>
  <c r="AO780" i="13"/>
  <c r="AO781" i="13"/>
  <c r="AO782" i="13"/>
  <c r="AO783" i="13"/>
  <c r="AO784" i="13"/>
  <c r="AO785" i="13"/>
  <c r="AO786" i="13"/>
  <c r="AO787" i="13"/>
  <c r="AO788" i="13"/>
  <c r="AO789" i="13"/>
  <c r="AO790" i="13"/>
  <c r="AO791" i="13"/>
  <c r="AO792" i="13"/>
  <c r="AO793" i="13"/>
  <c r="AO794" i="13"/>
  <c r="AO795" i="13"/>
  <c r="AO796" i="13"/>
  <c r="AO797" i="13"/>
  <c r="AO798" i="13"/>
  <c r="AO799" i="13"/>
  <c r="AO800" i="13"/>
  <c r="AO801" i="13"/>
  <c r="AO802" i="13"/>
  <c r="AO803" i="13"/>
  <c r="AO804" i="13"/>
  <c r="AO805" i="13"/>
  <c r="AO806" i="13"/>
  <c r="AO807" i="13"/>
  <c r="AO808" i="13"/>
  <c r="AO809" i="13"/>
  <c r="AO810" i="13"/>
  <c r="AO811" i="13"/>
  <c r="AO812" i="13"/>
  <c r="AO813" i="13"/>
  <c r="AO814" i="13"/>
  <c r="AO815" i="13"/>
  <c r="AO816" i="13"/>
  <c r="AO817" i="13"/>
  <c r="AO818" i="13"/>
  <c r="AO819" i="13"/>
  <c r="AO820" i="13"/>
  <c r="AO821" i="13"/>
  <c r="AO822" i="13"/>
  <c r="AO823" i="13"/>
  <c r="AO824" i="13"/>
  <c r="AO825" i="13"/>
  <c r="AO826" i="13"/>
  <c r="AO827" i="13"/>
  <c r="AO828" i="13"/>
  <c r="AO829" i="13"/>
  <c r="AO830" i="13"/>
  <c r="AO831" i="13"/>
  <c r="AO832" i="13"/>
  <c r="AO833" i="13"/>
  <c r="AO834" i="13"/>
  <c r="AO835" i="13"/>
  <c r="AO836" i="13"/>
  <c r="AO837" i="13"/>
  <c r="AO838" i="13"/>
  <c r="AO839" i="13"/>
  <c r="AO840" i="13"/>
  <c r="AO841" i="13"/>
  <c r="AO842" i="13"/>
  <c r="AO843" i="13"/>
  <c r="AO844" i="13"/>
  <c r="AO845" i="13"/>
  <c r="AO846" i="13"/>
  <c r="AO847" i="13"/>
  <c r="AO848" i="13"/>
  <c r="AO849" i="13"/>
  <c r="AO850" i="13"/>
  <c r="AO851" i="13"/>
  <c r="AO852" i="13"/>
  <c r="AO853" i="13"/>
  <c r="AO854" i="13"/>
  <c r="AO855" i="13"/>
  <c r="AO856" i="13"/>
  <c r="AO857" i="13"/>
  <c r="AO858" i="13"/>
  <c r="AO859" i="13"/>
  <c r="AO860" i="13"/>
  <c r="AO861" i="13"/>
  <c r="AO862" i="13"/>
  <c r="AO863" i="13"/>
  <c r="AO864" i="13"/>
  <c r="AO865" i="13"/>
  <c r="AO866" i="13"/>
  <c r="AO867" i="13"/>
  <c r="AO868" i="13"/>
  <c r="AO869" i="13"/>
  <c r="AO870" i="13"/>
  <c r="AO871" i="13"/>
  <c r="AO872" i="13"/>
  <c r="AO873" i="13"/>
  <c r="AO874" i="13"/>
  <c r="AO875" i="13"/>
  <c r="AO876" i="13"/>
  <c r="AO877" i="13"/>
  <c r="AO878" i="13"/>
  <c r="AO879" i="13"/>
  <c r="AO880" i="13"/>
  <c r="AO881" i="13"/>
  <c r="AO882" i="13"/>
  <c r="AO883" i="13"/>
  <c r="AO884" i="13"/>
  <c r="AO885" i="13"/>
  <c r="AO886" i="13"/>
  <c r="AO887" i="13"/>
  <c r="AO888" i="13"/>
  <c r="AO889" i="13"/>
  <c r="AO890" i="13"/>
  <c r="AO891" i="13"/>
  <c r="AO892" i="13"/>
  <c r="AO893" i="13"/>
  <c r="AO894" i="13"/>
  <c r="AO895" i="13"/>
  <c r="AO896" i="13"/>
  <c r="AO897" i="13"/>
  <c r="AO898" i="13"/>
  <c r="AO899" i="13"/>
  <c r="AO900" i="13"/>
  <c r="AO901" i="13"/>
  <c r="AO902" i="13"/>
  <c r="AO903" i="13"/>
  <c r="AO904" i="13"/>
  <c r="AO905" i="13"/>
  <c r="AO906" i="13"/>
  <c r="AO907" i="13"/>
  <c r="AO908" i="13"/>
  <c r="AO909" i="13"/>
  <c r="AO910" i="13"/>
  <c r="AO911" i="13"/>
  <c r="AO912" i="13"/>
  <c r="AO913" i="13"/>
  <c r="AO914" i="13"/>
  <c r="AO915" i="13"/>
  <c r="AO916" i="13"/>
  <c r="AO917" i="13"/>
  <c r="AO918" i="13"/>
  <c r="AO919" i="13"/>
  <c r="AO920" i="13"/>
  <c r="AO921" i="13"/>
  <c r="AO922" i="13"/>
  <c r="AO923" i="13"/>
  <c r="AO924" i="13"/>
  <c r="AO925" i="13"/>
  <c r="AO926" i="13"/>
  <c r="AO927" i="13"/>
  <c r="AO928" i="13"/>
  <c r="AO929" i="13"/>
  <c r="AO930" i="13"/>
  <c r="AO931" i="13"/>
  <c r="AO932" i="13"/>
  <c r="AO933" i="13"/>
  <c r="AO934" i="13"/>
  <c r="AO935" i="13"/>
  <c r="AO936" i="13"/>
  <c r="AO937" i="13"/>
  <c r="AO938" i="13"/>
  <c r="AO939" i="13"/>
  <c r="AO940" i="13"/>
  <c r="AO941" i="13"/>
  <c r="AO942" i="13"/>
  <c r="AO943" i="13"/>
  <c r="AO944" i="13"/>
  <c r="AO945" i="13"/>
  <c r="AO946" i="13"/>
  <c r="AO947" i="13"/>
  <c r="AO948" i="13"/>
  <c r="AO949" i="13"/>
  <c r="AO950" i="13"/>
  <c r="AO951" i="13"/>
  <c r="AO952" i="13"/>
  <c r="AO953" i="13"/>
  <c r="AO954" i="13"/>
  <c r="AO955" i="13"/>
  <c r="AO956" i="13"/>
  <c r="AO957" i="13"/>
  <c r="AO958" i="13"/>
  <c r="AO959" i="13"/>
  <c r="AO960" i="13"/>
  <c r="AO961" i="13"/>
  <c r="AO962" i="13"/>
  <c r="AO963" i="13"/>
  <c r="AO964" i="13"/>
  <c r="AO965" i="13"/>
  <c r="AO966" i="13"/>
  <c r="AO967" i="13"/>
  <c r="AO968" i="13"/>
  <c r="AO969" i="13"/>
  <c r="AO970" i="13"/>
  <c r="AO971" i="13"/>
  <c r="AO972" i="13"/>
  <c r="AO973" i="13"/>
  <c r="AO974" i="13"/>
  <c r="AO975" i="13"/>
  <c r="AO976" i="13"/>
  <c r="AO977" i="13"/>
  <c r="AO978" i="13"/>
  <c r="AO979" i="13"/>
  <c r="AO980" i="13"/>
  <c r="AO981" i="13"/>
  <c r="AO982" i="13"/>
  <c r="AO983" i="13"/>
  <c r="AO984" i="13"/>
  <c r="AO985" i="13"/>
  <c r="AO986" i="13"/>
  <c r="AO987" i="13"/>
  <c r="AO988" i="13"/>
  <c r="AO989" i="13"/>
  <c r="AO990" i="13"/>
  <c r="AO991" i="13"/>
  <c r="AO992" i="13"/>
  <c r="AO993" i="13"/>
  <c r="AO994" i="13"/>
  <c r="AO995" i="13"/>
  <c r="AO996" i="13"/>
  <c r="AO997" i="13"/>
  <c r="AO998" i="13"/>
  <c r="AO999" i="13"/>
  <c r="AO1000" i="13"/>
  <c r="AO1001" i="13"/>
  <c r="AO1002" i="13"/>
  <c r="AO1003" i="13"/>
  <c r="AO1004" i="13"/>
  <c r="AO1005" i="13"/>
  <c r="AO1006" i="13"/>
  <c r="AO1007" i="13"/>
  <c r="AO1008" i="13"/>
  <c r="AO1009" i="13"/>
  <c r="AO1010" i="13"/>
  <c r="AO1011" i="13"/>
  <c r="AO1012" i="13"/>
  <c r="AO1013" i="13"/>
  <c r="AO1014" i="13"/>
  <c r="AO1015" i="13"/>
  <c r="AO1016" i="13"/>
  <c r="AO1017" i="13"/>
  <c r="AO1018" i="13"/>
  <c r="AO1019" i="13"/>
  <c r="AO1020" i="13"/>
  <c r="AO1021" i="13"/>
  <c r="AO1022" i="13"/>
  <c r="AO1023" i="13"/>
  <c r="AO1024" i="13"/>
  <c r="AO1025" i="13"/>
  <c r="AO1026" i="13"/>
  <c r="AO1027" i="13"/>
  <c r="AO1028" i="13"/>
  <c r="AO1029" i="13"/>
  <c r="AO1030" i="13"/>
  <c r="AO1031" i="13"/>
  <c r="AO1032" i="13"/>
  <c r="AO1033" i="13"/>
  <c r="AO1034" i="13"/>
  <c r="AO1035" i="13"/>
  <c r="AO1036" i="13"/>
  <c r="AO1037" i="13"/>
  <c r="AO1038" i="13"/>
  <c r="AO1039" i="13"/>
  <c r="AO1040" i="13"/>
  <c r="AO1041" i="13"/>
  <c r="AO1042" i="13"/>
  <c r="AO1043" i="13"/>
  <c r="AO1044" i="13"/>
  <c r="AO1045" i="13"/>
  <c r="AO1046" i="13"/>
  <c r="AO1047" i="13"/>
  <c r="AO1048" i="13"/>
  <c r="AO1049" i="13"/>
  <c r="AO1050" i="13"/>
  <c r="AO1051" i="13"/>
  <c r="AO1052" i="13"/>
  <c r="AO1053" i="13"/>
  <c r="AO1054" i="13"/>
  <c r="AO1055" i="13"/>
  <c r="AO1056" i="13"/>
  <c r="AO1057" i="13"/>
  <c r="AO1058" i="13"/>
  <c r="AO1059" i="13"/>
  <c r="AO1060" i="13"/>
  <c r="AO1061" i="13"/>
  <c r="AO1062" i="13"/>
  <c r="AO1063" i="13"/>
  <c r="AO1064" i="13"/>
  <c r="AO1065" i="13"/>
  <c r="AO1066" i="13"/>
  <c r="AO1067" i="13"/>
  <c r="AO1068" i="13"/>
  <c r="AO1069" i="13"/>
  <c r="AO1070" i="13"/>
  <c r="AO1071" i="13"/>
  <c r="AO1072" i="13"/>
  <c r="AO1073" i="13"/>
  <c r="AO1074" i="13"/>
  <c r="AO1075" i="13"/>
  <c r="AO1076" i="13"/>
  <c r="AO1077" i="13"/>
  <c r="AO1078" i="13"/>
  <c r="AO1079" i="13"/>
  <c r="AO1080" i="13"/>
  <c r="AO1081" i="13"/>
  <c r="AO1082" i="13"/>
  <c r="AO1083" i="13"/>
  <c r="AO1084" i="13"/>
  <c r="AO1085" i="13"/>
  <c r="AO1086" i="13"/>
  <c r="AO1087" i="13"/>
  <c r="AO1088" i="13"/>
  <c r="AO1089" i="13"/>
  <c r="AO1090" i="13"/>
  <c r="AO1091" i="13"/>
  <c r="AO1092" i="13"/>
  <c r="AO1093" i="13"/>
  <c r="AO1094" i="13"/>
  <c r="AO1095" i="13"/>
  <c r="AO1096" i="13"/>
  <c r="AO1097" i="13"/>
  <c r="AO1098" i="13"/>
  <c r="AO1099" i="13"/>
  <c r="AO1100" i="13"/>
  <c r="AO1101" i="13"/>
  <c r="AO1102" i="13"/>
  <c r="AO1103" i="13"/>
  <c r="AO1104" i="13"/>
  <c r="AO1105" i="13"/>
  <c r="AO1106" i="13"/>
  <c r="AO1107" i="13"/>
  <c r="AO1108" i="13"/>
  <c r="AO1109" i="13"/>
  <c r="AO1110" i="13"/>
  <c r="AO1111" i="13"/>
  <c r="AO1112" i="13"/>
  <c r="AO1113" i="13"/>
  <c r="AO1114" i="13"/>
  <c r="AO1115" i="13"/>
  <c r="AO1116" i="13"/>
  <c r="AO1117" i="13"/>
  <c r="AO1118" i="13"/>
  <c r="AO1119" i="13"/>
  <c r="AO1120" i="13"/>
  <c r="AO1121" i="13"/>
  <c r="AO1122" i="13"/>
  <c r="AO1123" i="13"/>
  <c r="AO1124" i="13"/>
  <c r="AO1125" i="13"/>
  <c r="AO1126" i="13"/>
  <c r="AO1127" i="13"/>
  <c r="AO1128" i="13"/>
  <c r="AO1129" i="13"/>
  <c r="AO1130" i="13"/>
  <c r="AO1131" i="13"/>
  <c r="AO1132" i="13"/>
  <c r="AO1133" i="13"/>
  <c r="AO1134" i="13"/>
  <c r="AO1135" i="13"/>
  <c r="AO1136" i="13"/>
  <c r="AO1137" i="13"/>
  <c r="AO1138" i="13"/>
  <c r="AO1139" i="13"/>
  <c r="AO1140" i="13"/>
  <c r="AO1141" i="13"/>
  <c r="AO1142" i="13"/>
  <c r="AO1143" i="13"/>
  <c r="AO1144" i="13"/>
  <c r="AO1145" i="13"/>
  <c r="AO1146" i="13"/>
  <c r="AO1147" i="13"/>
  <c r="AO1148" i="13"/>
  <c r="AO1149" i="13"/>
  <c r="AO1150" i="13"/>
  <c r="AO1151" i="13"/>
  <c r="AO1152" i="13"/>
  <c r="AO1153" i="13"/>
  <c r="AO1154" i="13"/>
  <c r="AO1155" i="13"/>
  <c r="AO1156" i="13"/>
  <c r="AO1157" i="13"/>
  <c r="AO1158" i="13"/>
  <c r="AO1159" i="13"/>
  <c r="AO1160" i="13"/>
  <c r="AO1161" i="13"/>
  <c r="AO1162" i="13"/>
  <c r="AO1163" i="13"/>
  <c r="AO1164" i="13"/>
  <c r="AO1165" i="13"/>
  <c r="AO1166" i="13"/>
  <c r="AO1167" i="13"/>
  <c r="AO1168" i="13"/>
  <c r="AO1169" i="13"/>
  <c r="AO1170" i="13"/>
  <c r="AO1171" i="13"/>
  <c r="AO1172" i="13"/>
  <c r="AO1173" i="13"/>
  <c r="AO1174" i="13"/>
  <c r="AO1175" i="13"/>
  <c r="AO1176" i="13"/>
  <c r="AO1177" i="13"/>
  <c r="AO1178" i="13"/>
  <c r="AO1179" i="13"/>
  <c r="AO1180" i="13"/>
  <c r="AO1181" i="13"/>
  <c r="AO1182" i="13"/>
  <c r="AO1183" i="13"/>
  <c r="AO1184" i="13"/>
  <c r="AO1185" i="13"/>
  <c r="AO1186" i="13"/>
  <c r="AO1187" i="13"/>
  <c r="AO1188" i="13"/>
  <c r="AO1189" i="13"/>
  <c r="AO1190" i="13"/>
  <c r="AO1191" i="13"/>
  <c r="AO1192" i="13"/>
  <c r="AO1193" i="13"/>
  <c r="AO1194" i="13"/>
  <c r="AO1195" i="13"/>
  <c r="AO1196" i="13"/>
  <c r="AO1197" i="13"/>
  <c r="AO1198" i="13"/>
  <c r="AO1199" i="13"/>
  <c r="AO1200" i="13"/>
  <c r="AO1201" i="13"/>
  <c r="AO1202" i="13"/>
  <c r="AO1203" i="13"/>
  <c r="AO1204" i="13"/>
  <c r="AO1205" i="13"/>
  <c r="AO1206" i="13"/>
  <c r="AO1207" i="13"/>
  <c r="AO1208" i="13"/>
  <c r="AO1209" i="13"/>
  <c r="AO1210" i="13"/>
  <c r="AO1211" i="13"/>
  <c r="AO1212" i="13"/>
  <c r="AO1213" i="13"/>
  <c r="AO1214" i="13"/>
  <c r="AO1215" i="13"/>
  <c r="AO1216" i="13"/>
  <c r="AO1217" i="13"/>
  <c r="AO1218" i="13"/>
  <c r="AO1219" i="13"/>
  <c r="AO1220" i="13"/>
  <c r="AO1221" i="13"/>
  <c r="AO1222" i="13"/>
  <c r="AO1223" i="13"/>
  <c r="AO1224" i="13"/>
  <c r="AO1225" i="13"/>
  <c r="AO1226" i="13"/>
  <c r="AO1227" i="13"/>
  <c r="AO1228" i="13"/>
  <c r="AO1229" i="13"/>
  <c r="AO1230" i="13"/>
  <c r="AO1231" i="13"/>
  <c r="AO1232" i="13"/>
  <c r="AO1233" i="13"/>
  <c r="AO1234" i="13"/>
  <c r="AO1235" i="13"/>
  <c r="AO1236" i="13"/>
  <c r="AO1237" i="13"/>
  <c r="AO1238" i="13"/>
  <c r="AO1239" i="13"/>
  <c r="AO1240" i="13"/>
  <c r="AO1241" i="13"/>
  <c r="AO1242" i="13"/>
  <c r="AO1243" i="13"/>
  <c r="AO1244" i="13"/>
  <c r="AO1245" i="13"/>
  <c r="AO1246" i="13"/>
  <c r="AO1247" i="13"/>
  <c r="AO1248" i="13"/>
  <c r="AO1249" i="13"/>
  <c r="AO1250" i="13"/>
  <c r="AO1251" i="13"/>
  <c r="AO1252" i="13"/>
  <c r="AO1253" i="13"/>
  <c r="AO1254" i="13"/>
  <c r="AO1255" i="13"/>
  <c r="AO1256" i="13"/>
  <c r="AO1257" i="13"/>
  <c r="AO1258" i="13"/>
  <c r="AO1259" i="13"/>
  <c r="AO1260" i="13"/>
  <c r="AO1261" i="13"/>
  <c r="AO1262" i="13"/>
  <c r="AO1263" i="13"/>
  <c r="AO1264" i="13"/>
  <c r="AO1265" i="13"/>
  <c r="AO1266" i="13"/>
  <c r="AO1267" i="13"/>
  <c r="AO1268" i="13"/>
  <c r="AO1269" i="13"/>
  <c r="AO1270" i="13"/>
  <c r="AO1271" i="13"/>
  <c r="AO1272" i="13"/>
  <c r="AO1273" i="13"/>
  <c r="AO1274" i="13"/>
  <c r="AO1275" i="13"/>
  <c r="AO1276" i="13"/>
  <c r="AO1277" i="13"/>
  <c r="AO1278" i="13"/>
  <c r="AO1279" i="13"/>
  <c r="AO1280" i="13"/>
  <c r="AO1281" i="13"/>
  <c r="AO1282" i="13"/>
  <c r="AO1283" i="13"/>
  <c r="AO1284" i="13"/>
  <c r="AO1285" i="13"/>
  <c r="AO1286" i="13"/>
  <c r="AO1287" i="13"/>
  <c r="AO1288" i="13"/>
  <c r="AO1289" i="13"/>
  <c r="AO1290" i="13"/>
  <c r="AO1291" i="13"/>
  <c r="AO1292" i="13"/>
  <c r="AO1293" i="13"/>
  <c r="AO1294" i="13"/>
  <c r="AO1295" i="13"/>
  <c r="AO1296" i="13"/>
  <c r="AO1297" i="13"/>
  <c r="AO1298" i="13"/>
  <c r="AO1299" i="13"/>
  <c r="AO1300" i="13"/>
  <c r="AO1301" i="13"/>
  <c r="AO1302" i="13"/>
  <c r="AO1303" i="13"/>
  <c r="AO1304" i="13"/>
  <c r="AO1305" i="13"/>
  <c r="AO1306" i="13"/>
  <c r="AO1307" i="13"/>
  <c r="AO1308" i="13"/>
  <c r="AO1309" i="13"/>
  <c r="AO1310" i="13"/>
  <c r="AO1311" i="13"/>
  <c r="AO1312" i="13"/>
  <c r="AO1313" i="13"/>
  <c r="AO1314" i="13"/>
  <c r="AO1315" i="13"/>
  <c r="AO1316" i="13"/>
  <c r="AO1317" i="13"/>
  <c r="AO1318" i="13"/>
  <c r="AO1319" i="13"/>
  <c r="AO1320" i="13"/>
  <c r="AO1321" i="13"/>
  <c r="AO1322" i="13"/>
  <c r="AO1323" i="13"/>
  <c r="AO1324" i="13"/>
  <c r="AO1325" i="13"/>
  <c r="AO1326" i="13"/>
  <c r="AO1327" i="13"/>
  <c r="AO1328" i="13"/>
  <c r="AO1329" i="13"/>
  <c r="AO1330" i="13"/>
  <c r="AO1331" i="13"/>
  <c r="AO1332" i="13"/>
  <c r="AO1333" i="13"/>
  <c r="AO1334" i="13"/>
  <c r="AO1335" i="13"/>
  <c r="AO1336" i="13"/>
  <c r="AO1337" i="13"/>
  <c r="AO1338" i="13"/>
  <c r="AO1339" i="13"/>
  <c r="AO1340" i="13"/>
  <c r="AO1341" i="13"/>
  <c r="AO1342" i="13"/>
  <c r="AO1343" i="13"/>
  <c r="AO1344" i="13"/>
  <c r="AO1345" i="13"/>
  <c r="AO1346" i="13"/>
  <c r="AO1347" i="13"/>
  <c r="AO1348" i="13"/>
  <c r="AO1349" i="13"/>
  <c r="AO1350" i="13"/>
  <c r="AO1351" i="13"/>
  <c r="AO1352" i="13"/>
  <c r="AO1353" i="13"/>
  <c r="AO1354" i="13"/>
  <c r="AO1355" i="13"/>
  <c r="AO1356" i="13"/>
  <c r="AO1357" i="13"/>
  <c r="AO1358" i="13"/>
  <c r="AO1359" i="13"/>
  <c r="AO1360" i="13"/>
  <c r="AO1361" i="13"/>
  <c r="AO1362" i="13"/>
  <c r="AO1363" i="13"/>
  <c r="AO1364" i="13"/>
  <c r="AO1365" i="13"/>
  <c r="AO1366" i="13"/>
  <c r="AO1367" i="13"/>
  <c r="AO1368" i="13"/>
  <c r="AO1369" i="13"/>
  <c r="AO1370" i="13"/>
  <c r="AO1371" i="13"/>
  <c r="AO1372" i="13"/>
  <c r="AO1373" i="13"/>
  <c r="AO1374" i="13"/>
  <c r="AO1375" i="13"/>
  <c r="AO1376" i="13"/>
  <c r="AO1377" i="13"/>
  <c r="AO1378" i="13"/>
  <c r="AO1379" i="13"/>
  <c r="AO1380" i="13"/>
  <c r="AO1381" i="13"/>
  <c r="AO1382" i="13"/>
  <c r="AO1383" i="13"/>
  <c r="AO1384" i="13"/>
  <c r="AO1385" i="13"/>
  <c r="AO1386" i="13"/>
  <c r="AO1387" i="13"/>
  <c r="AO1388" i="13"/>
  <c r="AO1389" i="13"/>
  <c r="AO1390" i="13"/>
  <c r="AO1391" i="13"/>
  <c r="AO1392" i="13"/>
  <c r="AO1393" i="13"/>
  <c r="AO1394" i="13"/>
  <c r="AO1395" i="13"/>
  <c r="AO1396" i="13"/>
  <c r="AO1397" i="13"/>
  <c r="AO1398" i="13"/>
  <c r="AO1399" i="13"/>
  <c r="AO1400" i="13"/>
  <c r="AO1401" i="13"/>
  <c r="AO1402" i="13"/>
  <c r="AO1403" i="13"/>
  <c r="AO1404" i="13"/>
  <c r="AO1405" i="13"/>
  <c r="AO1406" i="13"/>
  <c r="AO1407" i="13"/>
  <c r="AO1408" i="13"/>
  <c r="AO1409" i="13"/>
  <c r="AO1410" i="13"/>
  <c r="AO1411" i="13"/>
  <c r="AO1412" i="13"/>
  <c r="AO1413" i="13"/>
  <c r="AO1414" i="13"/>
  <c r="AO1415" i="13"/>
  <c r="AO1416" i="13"/>
  <c r="AO1417" i="13"/>
  <c r="AO1418" i="13"/>
  <c r="AO1419" i="13"/>
  <c r="AO1420" i="13"/>
  <c r="AO1421" i="13"/>
  <c r="AO1422" i="13"/>
  <c r="AO1423" i="13"/>
  <c r="AO1424" i="13"/>
  <c r="AO1425" i="13"/>
  <c r="AO1426" i="13"/>
  <c r="AO1427" i="13"/>
  <c r="AO1428" i="13"/>
  <c r="AO1429" i="13"/>
  <c r="AO1430" i="13"/>
  <c r="AO1431" i="13"/>
  <c r="AO1432" i="13"/>
  <c r="AO1433" i="13"/>
  <c r="AO1434" i="13"/>
  <c r="AO1435" i="13"/>
  <c r="AO1436" i="13"/>
  <c r="AO1437" i="13"/>
  <c r="AO1438" i="13"/>
  <c r="AO1439" i="13"/>
  <c r="AO1440" i="13"/>
  <c r="AO1441" i="13"/>
  <c r="AO1442" i="13"/>
  <c r="AO1443" i="13"/>
  <c r="AO1444" i="13"/>
  <c r="AO1445" i="13"/>
  <c r="AO1446" i="13"/>
  <c r="AO1447" i="13"/>
  <c r="AO1448" i="13"/>
  <c r="AO1449" i="13"/>
  <c r="AO1450" i="13"/>
  <c r="AO1451" i="13"/>
  <c r="AO1452" i="13"/>
  <c r="AO1453" i="13"/>
  <c r="AO1454" i="13"/>
  <c r="AO1455" i="13"/>
  <c r="AO1456" i="13"/>
  <c r="AO1457" i="13"/>
  <c r="AO1458" i="13"/>
  <c r="AO1459" i="13"/>
  <c r="AO1460" i="13"/>
  <c r="AO1461" i="13"/>
  <c r="AO1462" i="13"/>
  <c r="AO1463" i="13"/>
  <c r="AO1464" i="13"/>
  <c r="AO1465" i="13"/>
  <c r="AO1466" i="13"/>
  <c r="AO1467" i="13"/>
  <c r="AO1468" i="13"/>
  <c r="AO1469" i="13"/>
  <c r="AO1470" i="13"/>
  <c r="AO1471" i="13"/>
  <c r="AO1472" i="13"/>
  <c r="AO1473" i="13"/>
  <c r="AO1474" i="13"/>
  <c r="AO1475" i="13"/>
  <c r="AO1476" i="13"/>
  <c r="AO1477" i="13"/>
  <c r="AO1478" i="13"/>
  <c r="AO1479" i="13"/>
  <c r="AO1480" i="13"/>
  <c r="AO1481" i="13"/>
  <c r="AO1482" i="13"/>
  <c r="AO1483" i="13"/>
  <c r="AO1484" i="13"/>
  <c r="AO1485" i="13"/>
  <c r="AO1486" i="13"/>
  <c r="AO1487" i="13"/>
  <c r="AO1488" i="13"/>
  <c r="AO1489" i="13"/>
  <c r="AO1490" i="13"/>
  <c r="AO1491" i="13"/>
  <c r="AO1492" i="13"/>
  <c r="AO1493" i="13"/>
  <c r="AO1494" i="13"/>
  <c r="AO1495" i="13"/>
  <c r="AO1496" i="13"/>
  <c r="AO1497" i="13"/>
  <c r="AO1498" i="13"/>
  <c r="AO1499" i="13"/>
  <c r="AO1500" i="13"/>
  <c r="AO1501" i="13"/>
  <c r="AO1502" i="13"/>
  <c r="AO1503" i="13"/>
  <c r="AO1504" i="13"/>
  <c r="AO1505" i="13"/>
  <c r="AO1506" i="13"/>
  <c r="AO1507" i="13"/>
  <c r="AO1508" i="13"/>
  <c r="AO1509" i="13"/>
  <c r="AO1510" i="13"/>
  <c r="AO1511" i="13"/>
  <c r="AO1512" i="13"/>
  <c r="AO1513" i="13"/>
  <c r="AO1514" i="13"/>
  <c r="AO1515" i="13"/>
  <c r="AO1516" i="13"/>
  <c r="AO1517" i="13"/>
  <c r="AO1518" i="13"/>
  <c r="AO1519" i="13"/>
  <c r="AO1520" i="13"/>
  <c r="AO1521" i="13"/>
  <c r="AO2" i="13"/>
  <c r="AN2" i="13"/>
  <c r="AD5" i="15"/>
  <c r="AN3" i="13"/>
  <c r="AE5" i="15" s="1"/>
  <c r="AN4" i="13"/>
  <c r="AE6" i="15" s="1"/>
  <c r="AN5" i="13"/>
  <c r="AE7" i="15" s="1"/>
  <c r="AN6" i="13"/>
  <c r="AE8" i="15" s="1"/>
  <c r="AN7" i="13"/>
  <c r="AE9" i="15" s="1"/>
  <c r="AN8" i="13"/>
  <c r="AE10" i="15" s="1"/>
  <c r="AN9" i="13"/>
  <c r="AE11" i="15" s="1"/>
  <c r="AN10" i="13"/>
  <c r="AE12" i="15" s="1"/>
  <c r="AN11" i="13"/>
  <c r="AE13" i="15" s="1"/>
  <c r="AN12" i="13"/>
  <c r="AE14" i="15" s="1"/>
  <c r="AN13" i="13"/>
  <c r="AE15" i="15" s="1"/>
  <c r="AN14" i="13"/>
  <c r="AE16" i="15" s="1"/>
  <c r="AN15" i="13"/>
  <c r="AE17" i="15" s="1"/>
  <c r="AN16" i="13"/>
  <c r="AE18" i="15" s="1"/>
  <c r="AN17" i="13"/>
  <c r="AE19" i="15" s="1"/>
  <c r="AN18" i="13"/>
  <c r="AE20" i="15" s="1"/>
  <c r="AN19" i="13"/>
  <c r="AE21" i="15" s="1"/>
  <c r="AN20" i="13"/>
  <c r="AE22" i="15" s="1"/>
  <c r="AN21" i="13"/>
  <c r="AN22" i="13"/>
  <c r="AE24" i="15" s="1"/>
  <c r="AN23" i="13"/>
  <c r="AE25" i="15" s="1"/>
  <c r="AN24" i="13"/>
  <c r="AE26" i="15" s="1"/>
  <c r="AN25" i="13"/>
  <c r="AE27" i="15" s="1"/>
  <c r="AN26" i="13"/>
  <c r="AE28" i="15" s="1"/>
  <c r="AN27" i="13"/>
  <c r="AE29" i="15" s="1"/>
  <c r="AN28" i="13"/>
  <c r="AE30" i="15" s="1"/>
  <c r="AN29" i="13"/>
  <c r="AE31" i="15" s="1"/>
  <c r="AN30" i="13"/>
  <c r="AE32" i="15" s="1"/>
  <c r="AN31" i="13"/>
  <c r="AE33" i="15" s="1"/>
  <c r="AN32" i="13"/>
  <c r="AE34" i="15" s="1"/>
  <c r="AN33" i="13"/>
  <c r="AE35" i="15" s="1"/>
  <c r="AN34" i="13"/>
  <c r="AE36" i="15" s="1"/>
  <c r="AN35" i="13"/>
  <c r="AE37" i="15" s="1"/>
  <c r="AN36" i="13"/>
  <c r="AE38" i="15" s="1"/>
  <c r="AN37" i="13"/>
  <c r="AE39" i="15" s="1"/>
  <c r="AN38" i="13"/>
  <c r="AE40" i="15" s="1"/>
  <c r="AN39" i="13"/>
  <c r="AE41" i="15" s="1"/>
  <c r="AN40" i="13"/>
  <c r="AN41" i="13"/>
  <c r="AE43" i="15" s="1"/>
  <c r="AN42" i="13"/>
  <c r="AE44" i="15" s="1"/>
  <c r="AN43" i="13"/>
  <c r="AE45" i="15" s="1"/>
  <c r="AN44" i="13"/>
  <c r="AE46" i="15" s="1"/>
  <c r="AN45" i="13"/>
  <c r="AE47" i="15" s="1"/>
  <c r="AN46" i="13"/>
  <c r="AE48" i="15" s="1"/>
  <c r="AN47" i="13"/>
  <c r="AE49" i="15" s="1"/>
  <c r="AN48" i="13"/>
  <c r="AE50" i="15" s="1"/>
  <c r="AN49" i="13"/>
  <c r="AE51" i="15" s="1"/>
  <c r="AN50" i="13"/>
  <c r="AE52" i="15" s="1"/>
  <c r="AN51" i="13"/>
  <c r="AE53" i="15" s="1"/>
  <c r="AN52" i="13"/>
  <c r="AE54" i="15" s="1"/>
  <c r="AN53" i="13"/>
  <c r="AE55" i="15" s="1"/>
  <c r="AN54" i="13"/>
  <c r="AE56" i="15" s="1"/>
  <c r="AN55" i="13"/>
  <c r="AE57" i="15" s="1"/>
  <c r="AN56" i="13"/>
  <c r="AE58" i="15" s="1"/>
  <c r="AN57" i="13"/>
  <c r="AE59" i="15" s="1"/>
  <c r="AN58" i="13"/>
  <c r="AE60" i="15" s="1"/>
  <c r="AN59" i="13"/>
  <c r="AN60" i="13"/>
  <c r="AE62" i="15" s="1"/>
  <c r="AN61" i="13"/>
  <c r="AE63" i="15" s="1"/>
  <c r="AN62" i="13"/>
  <c r="AE64" i="15" s="1"/>
  <c r="AN63" i="13"/>
  <c r="AE65" i="15" s="1"/>
  <c r="AN64" i="13"/>
  <c r="AE66" i="15" s="1"/>
  <c r="AN65" i="13"/>
  <c r="AE67" i="15" s="1"/>
  <c r="AN66" i="13"/>
  <c r="AE68" i="15" s="1"/>
  <c r="AN67" i="13"/>
  <c r="AE69" i="15" s="1"/>
  <c r="AN68" i="13"/>
  <c r="AE70" i="15" s="1"/>
  <c r="AN69" i="13"/>
  <c r="AE71" i="15" s="1"/>
  <c r="AN70" i="13"/>
  <c r="AE72" i="15" s="1"/>
  <c r="AN71" i="13"/>
  <c r="AE73" i="15" s="1"/>
  <c r="AN72" i="13"/>
  <c r="AE74" i="15" s="1"/>
  <c r="AN73" i="13"/>
  <c r="AE75" i="15" s="1"/>
  <c r="AN74" i="13"/>
  <c r="AE76" i="15" s="1"/>
  <c r="AN75" i="13"/>
  <c r="AE77" i="15" s="1"/>
  <c r="AN76" i="13"/>
  <c r="AE78" i="15" s="1"/>
  <c r="AN77" i="13"/>
  <c r="AE79" i="15" s="1"/>
  <c r="AN78" i="13"/>
  <c r="AN79" i="13"/>
  <c r="AE81" i="15" s="1"/>
  <c r="AN80" i="13"/>
  <c r="AE82" i="15" s="1"/>
  <c r="AN81" i="13"/>
  <c r="AE83" i="15" s="1"/>
  <c r="AN82" i="13"/>
  <c r="AE84" i="15" s="1"/>
  <c r="AN83" i="13"/>
  <c r="AE85" i="15" s="1"/>
  <c r="AN84" i="13"/>
  <c r="AE86" i="15" s="1"/>
  <c r="AN85" i="13"/>
  <c r="AE87" i="15" s="1"/>
  <c r="AN86" i="13"/>
  <c r="AE88" i="15" s="1"/>
  <c r="AN87" i="13"/>
  <c r="AE89" i="15" s="1"/>
  <c r="AN88" i="13"/>
  <c r="AE90" i="15" s="1"/>
  <c r="AN89" i="13"/>
  <c r="AE91" i="15" s="1"/>
  <c r="AN90" i="13"/>
  <c r="AE92" i="15" s="1"/>
  <c r="AN91" i="13"/>
  <c r="AE93" i="15" s="1"/>
  <c r="AN92" i="13"/>
  <c r="AE94" i="15" s="1"/>
  <c r="AN93" i="13"/>
  <c r="AE95" i="15" s="1"/>
  <c r="AN94" i="13"/>
  <c r="AE96" i="15" s="1"/>
  <c r="AN95" i="13"/>
  <c r="AE97" i="15" s="1"/>
  <c r="AN96" i="13"/>
  <c r="AE98" i="15" s="1"/>
  <c r="AN97" i="13"/>
  <c r="AN98" i="13"/>
  <c r="AE100" i="15" s="1"/>
  <c r="AN99" i="13"/>
  <c r="AE101" i="15" s="1"/>
  <c r="AN100" i="13"/>
  <c r="AE102" i="15" s="1"/>
  <c r="AN101" i="13"/>
  <c r="AE103" i="15" s="1"/>
  <c r="AN102" i="13"/>
  <c r="AE104" i="15" s="1"/>
  <c r="AN103" i="13"/>
  <c r="AE105" i="15" s="1"/>
  <c r="AN104" i="13"/>
  <c r="AE106" i="15" s="1"/>
  <c r="AN105" i="13"/>
  <c r="AE107" i="15" s="1"/>
  <c r="AN106" i="13"/>
  <c r="AE108" i="15" s="1"/>
  <c r="AN107" i="13"/>
  <c r="AE109" i="15" s="1"/>
  <c r="AN108" i="13"/>
  <c r="AE110" i="15" s="1"/>
  <c r="AN109" i="13"/>
  <c r="AE111" i="15" s="1"/>
  <c r="AN110" i="13"/>
  <c r="AE112" i="15" s="1"/>
  <c r="AN111" i="13"/>
  <c r="AE113" i="15" s="1"/>
  <c r="AN112" i="13"/>
  <c r="AE114" i="15" s="1"/>
  <c r="AN113" i="13"/>
  <c r="AE115" i="15" s="1"/>
  <c r="AN114" i="13"/>
  <c r="AE116" i="15" s="1"/>
  <c r="AN115" i="13"/>
  <c r="AE117" i="15" s="1"/>
  <c r="AN116" i="13"/>
  <c r="AN117" i="13"/>
  <c r="AE119" i="15" s="1"/>
  <c r="AN118" i="13"/>
  <c r="AE120" i="15" s="1"/>
  <c r="AN119" i="13"/>
  <c r="AE121" i="15" s="1"/>
  <c r="AN120" i="13"/>
  <c r="AE122" i="15" s="1"/>
  <c r="AN121" i="13"/>
  <c r="AE123" i="15" s="1"/>
  <c r="AN122" i="13"/>
  <c r="AE124" i="15" s="1"/>
  <c r="AN123" i="13"/>
  <c r="AE125" i="15" s="1"/>
  <c r="AN124" i="13"/>
  <c r="AE126" i="15" s="1"/>
  <c r="AN125" i="13"/>
  <c r="AE127" i="15" s="1"/>
  <c r="AN126" i="13"/>
  <c r="AE128" i="15" s="1"/>
  <c r="AN127" i="13"/>
  <c r="AE129" i="15" s="1"/>
  <c r="AN128" i="13"/>
  <c r="AE130" i="15" s="1"/>
  <c r="AN129" i="13"/>
  <c r="AE131" i="15" s="1"/>
  <c r="AN130" i="13"/>
  <c r="AE132" i="15" s="1"/>
  <c r="AN131" i="13"/>
  <c r="AE133" i="15" s="1"/>
  <c r="AN132" i="13"/>
  <c r="AE134" i="15" s="1"/>
  <c r="AN133" i="13"/>
  <c r="AE135" i="15" s="1"/>
  <c r="AN134" i="13"/>
  <c r="AE136" i="15" s="1"/>
  <c r="AN135" i="13"/>
  <c r="AN136" i="13"/>
  <c r="AE138" i="15" s="1"/>
  <c r="AN137" i="13"/>
  <c r="AE139" i="15" s="1"/>
  <c r="AN138" i="13"/>
  <c r="AE140" i="15" s="1"/>
  <c r="AN139" i="13"/>
  <c r="AE141" i="15" s="1"/>
  <c r="AN140" i="13"/>
  <c r="AE142" i="15" s="1"/>
  <c r="AN141" i="13"/>
  <c r="AE143" i="15" s="1"/>
  <c r="AN142" i="13"/>
  <c r="AE144" i="15" s="1"/>
  <c r="AN143" i="13"/>
  <c r="AE145" i="15" s="1"/>
  <c r="AN144" i="13"/>
  <c r="AE146" i="15" s="1"/>
  <c r="AN145" i="13"/>
  <c r="AE147" i="15" s="1"/>
  <c r="AN146" i="13"/>
  <c r="AE148" i="15" s="1"/>
  <c r="AN147" i="13"/>
  <c r="AE149" i="15" s="1"/>
  <c r="AN148" i="13"/>
  <c r="AE150" i="15" s="1"/>
  <c r="AN149" i="13"/>
  <c r="AE151" i="15" s="1"/>
  <c r="AN150" i="13"/>
  <c r="AE152" i="15" s="1"/>
  <c r="AN151" i="13"/>
  <c r="AE153" i="15" s="1"/>
  <c r="AN152" i="13"/>
  <c r="AE154" i="15" s="1"/>
  <c r="AN153" i="13"/>
  <c r="AE155" i="15" s="1"/>
  <c r="AN154" i="13"/>
  <c r="AN155" i="13"/>
  <c r="AE157" i="15" s="1"/>
  <c r="AN156" i="13"/>
  <c r="AE158" i="15" s="1"/>
  <c r="AN157" i="13"/>
  <c r="AE159" i="15" s="1"/>
  <c r="AN158" i="13"/>
  <c r="AE160" i="15" s="1"/>
  <c r="AN159" i="13"/>
  <c r="AE161" i="15" s="1"/>
  <c r="AN160" i="13"/>
  <c r="AE162" i="15" s="1"/>
  <c r="AN161" i="13"/>
  <c r="AE163" i="15" s="1"/>
  <c r="AN162" i="13"/>
  <c r="AE164" i="15" s="1"/>
  <c r="AN163" i="13"/>
  <c r="AE165" i="15" s="1"/>
  <c r="AN164" i="13"/>
  <c r="AE166" i="15" s="1"/>
  <c r="AN165" i="13"/>
  <c r="AE167" i="15" s="1"/>
  <c r="AN166" i="13"/>
  <c r="AE168" i="15" s="1"/>
  <c r="AN167" i="13"/>
  <c r="AE169" i="15" s="1"/>
  <c r="AN168" i="13"/>
  <c r="AE170" i="15" s="1"/>
  <c r="AN169" i="13"/>
  <c r="AE171" i="15" s="1"/>
  <c r="AN170" i="13"/>
  <c r="AE172" i="15" s="1"/>
  <c r="AN171" i="13"/>
  <c r="AE173" i="15" s="1"/>
  <c r="AN172" i="13"/>
  <c r="AE174" i="15" s="1"/>
  <c r="AN173" i="13"/>
  <c r="AN174" i="13"/>
  <c r="AE176" i="15" s="1"/>
  <c r="AN175" i="13"/>
  <c r="AE177" i="15" s="1"/>
  <c r="AN176" i="13"/>
  <c r="AE178" i="15" s="1"/>
  <c r="AN177" i="13"/>
  <c r="AE179" i="15" s="1"/>
  <c r="AN178" i="13"/>
  <c r="AE180" i="15" s="1"/>
  <c r="AN179" i="13"/>
  <c r="AE181" i="15" s="1"/>
  <c r="AN180" i="13"/>
  <c r="AE182" i="15" s="1"/>
  <c r="AN181" i="13"/>
  <c r="AE183" i="15" s="1"/>
  <c r="AN182" i="13"/>
  <c r="AE184" i="15" s="1"/>
  <c r="AN183" i="13"/>
  <c r="AE185" i="15" s="1"/>
  <c r="AN184" i="13"/>
  <c r="AE186" i="15" s="1"/>
  <c r="AN185" i="13"/>
  <c r="AE187" i="15" s="1"/>
  <c r="AN186" i="13"/>
  <c r="AE188" i="15" s="1"/>
  <c r="AN187" i="13"/>
  <c r="AE189" i="15" s="1"/>
  <c r="AN188" i="13"/>
  <c r="AE190" i="15" s="1"/>
  <c r="AN189" i="13"/>
  <c r="AE191" i="15" s="1"/>
  <c r="AN190" i="13"/>
  <c r="AE192" i="15" s="1"/>
  <c r="AN191" i="13"/>
  <c r="AE193" i="15" s="1"/>
  <c r="AN192" i="13"/>
  <c r="AN193" i="13"/>
  <c r="AE195" i="15" s="1"/>
  <c r="AN194" i="13"/>
  <c r="AE196" i="15" s="1"/>
  <c r="AN195" i="13"/>
  <c r="AE197" i="15" s="1"/>
  <c r="AN196" i="13"/>
  <c r="AE198" i="15" s="1"/>
  <c r="AN197" i="13"/>
  <c r="AE199" i="15" s="1"/>
  <c r="AN198" i="13"/>
  <c r="AE200" i="15" s="1"/>
  <c r="AN199" i="13"/>
  <c r="AE201" i="15" s="1"/>
  <c r="AN200" i="13"/>
  <c r="AE202" i="15" s="1"/>
  <c r="AN201" i="13"/>
  <c r="AE203" i="15" s="1"/>
  <c r="AN202" i="13"/>
  <c r="AE204" i="15" s="1"/>
  <c r="AN203" i="13"/>
  <c r="AE205" i="15" s="1"/>
  <c r="AN204" i="13"/>
  <c r="AE206" i="15" s="1"/>
  <c r="AN205" i="13"/>
  <c r="AE207" i="15" s="1"/>
  <c r="AN206" i="13"/>
  <c r="AE208" i="15" s="1"/>
  <c r="AN207" i="13"/>
  <c r="AE209" i="15" s="1"/>
  <c r="AN208" i="13"/>
  <c r="AE210" i="15" s="1"/>
  <c r="AN209" i="13"/>
  <c r="AE211" i="15" s="1"/>
  <c r="AN210" i="13"/>
  <c r="AE212" i="15" s="1"/>
  <c r="AN211" i="13"/>
  <c r="AN212" i="13"/>
  <c r="AE214" i="15" s="1"/>
  <c r="AN213" i="13"/>
  <c r="AE215" i="15" s="1"/>
  <c r="AN214" i="13"/>
  <c r="AE216" i="15" s="1"/>
  <c r="AN215" i="13"/>
  <c r="AE217" i="15" s="1"/>
  <c r="AN216" i="13"/>
  <c r="AE218" i="15" s="1"/>
  <c r="AN217" i="13"/>
  <c r="AE219" i="15" s="1"/>
  <c r="AN218" i="13"/>
  <c r="AE220" i="15" s="1"/>
  <c r="AN219" i="13"/>
  <c r="AE221" i="15" s="1"/>
  <c r="AN220" i="13"/>
  <c r="AE222" i="15" s="1"/>
  <c r="AN221" i="13"/>
  <c r="AE223" i="15" s="1"/>
  <c r="AN222" i="13"/>
  <c r="AE224" i="15" s="1"/>
  <c r="AN223" i="13"/>
  <c r="AE225" i="15" s="1"/>
  <c r="AN224" i="13"/>
  <c r="AE226" i="15" s="1"/>
  <c r="AN225" i="13"/>
  <c r="AE227" i="15" s="1"/>
  <c r="AN226" i="13"/>
  <c r="AE228" i="15" s="1"/>
  <c r="AN227" i="13"/>
  <c r="AE229" i="15" s="1"/>
  <c r="AN228" i="13"/>
  <c r="AE230" i="15" s="1"/>
  <c r="AN229" i="13"/>
  <c r="AE231" i="15" s="1"/>
  <c r="AN230" i="13"/>
  <c r="AN231" i="13"/>
  <c r="AE233" i="15" s="1"/>
  <c r="AN232" i="13"/>
  <c r="AE234" i="15" s="1"/>
  <c r="AN233" i="13"/>
  <c r="AE235" i="15" s="1"/>
  <c r="AN234" i="13"/>
  <c r="AE236" i="15" s="1"/>
  <c r="AN235" i="13"/>
  <c r="AE237" i="15" s="1"/>
  <c r="AN236" i="13"/>
  <c r="AE238" i="15" s="1"/>
  <c r="AN237" i="13"/>
  <c r="AE239" i="15" s="1"/>
  <c r="AN238" i="13"/>
  <c r="AE240" i="15" s="1"/>
  <c r="AN239" i="13"/>
  <c r="AE241" i="15" s="1"/>
  <c r="AN240" i="13"/>
  <c r="AE242" i="15" s="1"/>
  <c r="AN241" i="13"/>
  <c r="AE243" i="15" s="1"/>
  <c r="AN242" i="13"/>
  <c r="AE244" i="15" s="1"/>
  <c r="AN243" i="13"/>
  <c r="AE245" i="15" s="1"/>
  <c r="AN244" i="13"/>
  <c r="AE246" i="15" s="1"/>
  <c r="AN245" i="13"/>
  <c r="AE247" i="15" s="1"/>
  <c r="AN246" i="13"/>
  <c r="AE248" i="15" s="1"/>
  <c r="AN247" i="13"/>
  <c r="AE249" i="15" s="1"/>
  <c r="AN248" i="13"/>
  <c r="AE250" i="15" s="1"/>
  <c r="AN249" i="13"/>
  <c r="AN250" i="13"/>
  <c r="AE252" i="15" s="1"/>
  <c r="AN251" i="13"/>
  <c r="AE253" i="15" s="1"/>
  <c r="AN252" i="13"/>
  <c r="AE254" i="15" s="1"/>
  <c r="AN253" i="13"/>
  <c r="AE255" i="15" s="1"/>
  <c r="AN254" i="13"/>
  <c r="AE256" i="15" s="1"/>
  <c r="AN255" i="13"/>
  <c r="AE257" i="15" s="1"/>
  <c r="AN256" i="13"/>
  <c r="AE258" i="15" s="1"/>
  <c r="AN257" i="13"/>
  <c r="AE259" i="15" s="1"/>
  <c r="AN258" i="13"/>
  <c r="AE260" i="15" s="1"/>
  <c r="AN259" i="13"/>
  <c r="AE261" i="15" s="1"/>
  <c r="AN260" i="13"/>
  <c r="AE262" i="15" s="1"/>
  <c r="AN261" i="13"/>
  <c r="AE263" i="15" s="1"/>
  <c r="AN262" i="13"/>
  <c r="AE264" i="15" s="1"/>
  <c r="AN263" i="13"/>
  <c r="AE265" i="15" s="1"/>
  <c r="AN264" i="13"/>
  <c r="AE266" i="15" s="1"/>
  <c r="AN265" i="13"/>
  <c r="AE267" i="15" s="1"/>
  <c r="AN266" i="13"/>
  <c r="AE268" i="15" s="1"/>
  <c r="AN267" i="13"/>
  <c r="AE269" i="15" s="1"/>
  <c r="AN268" i="13"/>
  <c r="AN269" i="13"/>
  <c r="AE271" i="15" s="1"/>
  <c r="AN270" i="13"/>
  <c r="AE272" i="15" s="1"/>
  <c r="AN271" i="13"/>
  <c r="AE273" i="15" s="1"/>
  <c r="AN272" i="13"/>
  <c r="AE274" i="15" s="1"/>
  <c r="AN273" i="13"/>
  <c r="AE275" i="15" s="1"/>
  <c r="AN274" i="13"/>
  <c r="AE276" i="15" s="1"/>
  <c r="AN275" i="13"/>
  <c r="AE277" i="15" s="1"/>
  <c r="AN276" i="13"/>
  <c r="AE278" i="15" s="1"/>
  <c r="AN277" i="13"/>
  <c r="AE279" i="15" s="1"/>
  <c r="AN278" i="13"/>
  <c r="AE280" i="15" s="1"/>
  <c r="AN279" i="13"/>
  <c r="AE281" i="15" s="1"/>
  <c r="AN280" i="13"/>
  <c r="AE282" i="15" s="1"/>
  <c r="AN281" i="13"/>
  <c r="AE283" i="15" s="1"/>
  <c r="AN282" i="13"/>
  <c r="AE284" i="15" s="1"/>
  <c r="AN283" i="13"/>
  <c r="AE285" i="15" s="1"/>
  <c r="AN284" i="13"/>
  <c r="AE286" i="15" s="1"/>
  <c r="AN285" i="13"/>
  <c r="AE287" i="15" s="1"/>
  <c r="AN286" i="13"/>
  <c r="AE288" i="15" s="1"/>
  <c r="AN287" i="13"/>
  <c r="AN288" i="13"/>
  <c r="AE290" i="15" s="1"/>
  <c r="AN289" i="13"/>
  <c r="AE291" i="15" s="1"/>
  <c r="AN290" i="13"/>
  <c r="AE292" i="15" s="1"/>
  <c r="AN291" i="13"/>
  <c r="AE293" i="15" s="1"/>
  <c r="AN292" i="13"/>
  <c r="AE294" i="15" s="1"/>
  <c r="AN293" i="13"/>
  <c r="AE295" i="15" s="1"/>
  <c r="AN294" i="13"/>
  <c r="AE296" i="15" s="1"/>
  <c r="AN295" i="13"/>
  <c r="AE297" i="15" s="1"/>
  <c r="AN296" i="13"/>
  <c r="AE298" i="15" s="1"/>
  <c r="AN297" i="13"/>
  <c r="AE299" i="15" s="1"/>
  <c r="AN298" i="13"/>
  <c r="AE300" i="15" s="1"/>
  <c r="AN299" i="13"/>
  <c r="AE301" i="15" s="1"/>
  <c r="AN300" i="13"/>
  <c r="AE302" i="15" s="1"/>
  <c r="AN301" i="13"/>
  <c r="AE303" i="15" s="1"/>
  <c r="AN302" i="13"/>
  <c r="AE304" i="15" s="1"/>
  <c r="AN303" i="13"/>
  <c r="AE305" i="15" s="1"/>
  <c r="AN304" i="13"/>
  <c r="AE306" i="15" s="1"/>
  <c r="AN305" i="13"/>
  <c r="AE307" i="15" s="1"/>
  <c r="AN306" i="13"/>
  <c r="AN307" i="13"/>
  <c r="AE309" i="15" s="1"/>
  <c r="AN308" i="13"/>
  <c r="AE310" i="15" s="1"/>
  <c r="AN309" i="13"/>
  <c r="AE311" i="15" s="1"/>
  <c r="AN310" i="13"/>
  <c r="AE312" i="15" s="1"/>
  <c r="AN311" i="13"/>
  <c r="AE313" i="15" s="1"/>
  <c r="AN312" i="13"/>
  <c r="AE314" i="15" s="1"/>
  <c r="AN313" i="13"/>
  <c r="AE315" i="15" s="1"/>
  <c r="AN314" i="13"/>
  <c r="AE316" i="15" s="1"/>
  <c r="AN315" i="13"/>
  <c r="AE317" i="15" s="1"/>
  <c r="AN316" i="13"/>
  <c r="AE318" i="15" s="1"/>
  <c r="AN317" i="13"/>
  <c r="AE319" i="15" s="1"/>
  <c r="AN318" i="13"/>
  <c r="AE320" i="15" s="1"/>
  <c r="AN319" i="13"/>
  <c r="AE321" i="15" s="1"/>
  <c r="AN320" i="13"/>
  <c r="AE322" i="15" s="1"/>
  <c r="AN321" i="13"/>
  <c r="AE323" i="15" s="1"/>
  <c r="AN322" i="13"/>
  <c r="AE324" i="15" s="1"/>
  <c r="AN323" i="13"/>
  <c r="AE325" i="15" s="1"/>
  <c r="AN324" i="13"/>
  <c r="AE326" i="15" s="1"/>
  <c r="AN325" i="13"/>
  <c r="AN326" i="13"/>
  <c r="AE328" i="15" s="1"/>
  <c r="AN327" i="13"/>
  <c r="AE329" i="15" s="1"/>
  <c r="AN328" i="13"/>
  <c r="AE330" i="15" s="1"/>
  <c r="AN329" i="13"/>
  <c r="AE331" i="15" s="1"/>
  <c r="AN330" i="13"/>
  <c r="AE332" i="15" s="1"/>
  <c r="AN331" i="13"/>
  <c r="AE333" i="15" s="1"/>
  <c r="AN332" i="13"/>
  <c r="AE334" i="15" s="1"/>
  <c r="AN333" i="13"/>
  <c r="AE335" i="15" s="1"/>
  <c r="AN334" i="13"/>
  <c r="AE336" i="15" s="1"/>
  <c r="AN335" i="13"/>
  <c r="AE337" i="15" s="1"/>
  <c r="AN336" i="13"/>
  <c r="AE338" i="15" s="1"/>
  <c r="AN337" i="13"/>
  <c r="AE339" i="15" s="1"/>
  <c r="AN338" i="13"/>
  <c r="AE340" i="15" s="1"/>
  <c r="AN339" i="13"/>
  <c r="AE341" i="15" s="1"/>
  <c r="AN340" i="13"/>
  <c r="AE342" i="15" s="1"/>
  <c r="AN341" i="13"/>
  <c r="AE343" i="15" s="1"/>
  <c r="AN342" i="13"/>
  <c r="AE344" i="15" s="1"/>
  <c r="AN343" i="13"/>
  <c r="AE345" i="15" s="1"/>
  <c r="AN344" i="13"/>
  <c r="AN345" i="13"/>
  <c r="AE347" i="15" s="1"/>
  <c r="AN346" i="13"/>
  <c r="AE348" i="15" s="1"/>
  <c r="AN347" i="13"/>
  <c r="AE349" i="15" s="1"/>
  <c r="AN348" i="13"/>
  <c r="AE350" i="15" s="1"/>
  <c r="AN349" i="13"/>
  <c r="AE351" i="15" s="1"/>
  <c r="AN350" i="13"/>
  <c r="AE352" i="15" s="1"/>
  <c r="AN351" i="13"/>
  <c r="AE353" i="15" s="1"/>
  <c r="AN352" i="13"/>
  <c r="AE354" i="15" s="1"/>
  <c r="AN353" i="13"/>
  <c r="AE355" i="15" s="1"/>
  <c r="AN354" i="13"/>
  <c r="AE356" i="15" s="1"/>
  <c r="AN355" i="13"/>
  <c r="AE357" i="15" s="1"/>
  <c r="AN356" i="13"/>
  <c r="AE358" i="15" s="1"/>
  <c r="AN357" i="13"/>
  <c r="AE359" i="15" s="1"/>
  <c r="AN358" i="13"/>
  <c r="AE360" i="15" s="1"/>
  <c r="AN359" i="13"/>
  <c r="AE361" i="15" s="1"/>
  <c r="AN360" i="13"/>
  <c r="AE362" i="15" s="1"/>
  <c r="AN361" i="13"/>
  <c r="AE363" i="15" s="1"/>
  <c r="AN362" i="13"/>
  <c r="AE364" i="15" s="1"/>
  <c r="AN363" i="13"/>
  <c r="AN364" i="13"/>
  <c r="AE366" i="15" s="1"/>
  <c r="AN365" i="13"/>
  <c r="AE367" i="15" s="1"/>
  <c r="AN366" i="13"/>
  <c r="AE368" i="15" s="1"/>
  <c r="AN367" i="13"/>
  <c r="AE369" i="15" s="1"/>
  <c r="AN368" i="13"/>
  <c r="AE370" i="15" s="1"/>
  <c r="AN369" i="13"/>
  <c r="AE371" i="15" s="1"/>
  <c r="AN370" i="13"/>
  <c r="AE372" i="15" s="1"/>
  <c r="AN371" i="13"/>
  <c r="AE373" i="15" s="1"/>
  <c r="AN372" i="13"/>
  <c r="AE374" i="15" s="1"/>
  <c r="AN373" i="13"/>
  <c r="AE375" i="15" s="1"/>
  <c r="AN374" i="13"/>
  <c r="AE376" i="15" s="1"/>
  <c r="AN375" i="13"/>
  <c r="AE377" i="15" s="1"/>
  <c r="AN376" i="13"/>
  <c r="AE378" i="15" s="1"/>
  <c r="AN377" i="13"/>
  <c r="AE379" i="15" s="1"/>
  <c r="AN378" i="13"/>
  <c r="AE380" i="15" s="1"/>
  <c r="AN379" i="13"/>
  <c r="AE381" i="15" s="1"/>
  <c r="AN380" i="13"/>
  <c r="AE382" i="15" s="1"/>
  <c r="AN381" i="13"/>
  <c r="AE383" i="15" s="1"/>
  <c r="AN382" i="13"/>
  <c r="AN383" i="13"/>
  <c r="AE385" i="15" s="1"/>
  <c r="AN384" i="13"/>
  <c r="AE386" i="15" s="1"/>
  <c r="AN385" i="13"/>
  <c r="AE387" i="15" s="1"/>
  <c r="AN386" i="13"/>
  <c r="AE388" i="15" s="1"/>
  <c r="AN387" i="13"/>
  <c r="AE389" i="15" s="1"/>
  <c r="AN388" i="13"/>
  <c r="AE390" i="15" s="1"/>
  <c r="AN389" i="13"/>
  <c r="AE391" i="15" s="1"/>
  <c r="AN390" i="13"/>
  <c r="AE392" i="15" s="1"/>
  <c r="AN391" i="13"/>
  <c r="AE393" i="15" s="1"/>
  <c r="AN392" i="13"/>
  <c r="AE394" i="15" s="1"/>
  <c r="AN393" i="13"/>
  <c r="AE395" i="15" s="1"/>
  <c r="AN394" i="13"/>
  <c r="AE396" i="15" s="1"/>
  <c r="AN395" i="13"/>
  <c r="AE397" i="15" s="1"/>
  <c r="AN396" i="13"/>
  <c r="AE398" i="15" s="1"/>
  <c r="AN397" i="13"/>
  <c r="AE399" i="15" s="1"/>
  <c r="AN398" i="13"/>
  <c r="AE400" i="15" s="1"/>
  <c r="AN399" i="13"/>
  <c r="AE401" i="15" s="1"/>
  <c r="AN400" i="13"/>
  <c r="AE402" i="15" s="1"/>
  <c r="AN401" i="13"/>
  <c r="AN402" i="13"/>
  <c r="AE404" i="15" s="1"/>
  <c r="AN403" i="13"/>
  <c r="AE405" i="15" s="1"/>
  <c r="AN404" i="13"/>
  <c r="AE406" i="15" s="1"/>
  <c r="AN405" i="13"/>
  <c r="AE407" i="15" s="1"/>
  <c r="AN406" i="13"/>
  <c r="AE408" i="15" s="1"/>
  <c r="AN407" i="13"/>
  <c r="AE409" i="15" s="1"/>
  <c r="AN408" i="13"/>
  <c r="AE410" i="15" s="1"/>
  <c r="AN409" i="13"/>
  <c r="AE411" i="15" s="1"/>
  <c r="AN410" i="13"/>
  <c r="AE412" i="15" s="1"/>
  <c r="AN411" i="13"/>
  <c r="AE413" i="15" s="1"/>
  <c r="AN412" i="13"/>
  <c r="AE414" i="15" s="1"/>
  <c r="AN413" i="13"/>
  <c r="AE415" i="15" s="1"/>
  <c r="AN414" i="13"/>
  <c r="AE416" i="15" s="1"/>
  <c r="AN415" i="13"/>
  <c r="AE417" i="15" s="1"/>
  <c r="AN416" i="13"/>
  <c r="AE418" i="15" s="1"/>
  <c r="AN417" i="13"/>
  <c r="AE419" i="15" s="1"/>
  <c r="AN418" i="13"/>
  <c r="AE420" i="15" s="1"/>
  <c r="AN419" i="13"/>
  <c r="AE421" i="15" s="1"/>
  <c r="AN420" i="13"/>
  <c r="AN421" i="13"/>
  <c r="AE423" i="15" s="1"/>
  <c r="AN422" i="13"/>
  <c r="AE424" i="15" s="1"/>
  <c r="AN423" i="13"/>
  <c r="AE425" i="15" s="1"/>
  <c r="AN424" i="13"/>
  <c r="AE426" i="15" s="1"/>
  <c r="AN425" i="13"/>
  <c r="AE427" i="15" s="1"/>
  <c r="AN426" i="13"/>
  <c r="AE428" i="15" s="1"/>
  <c r="AN427" i="13"/>
  <c r="AE429" i="15" s="1"/>
  <c r="AN428" i="13"/>
  <c r="AE430" i="15" s="1"/>
  <c r="AN429" i="13"/>
  <c r="AE431" i="15" s="1"/>
  <c r="AN430" i="13"/>
  <c r="AE432" i="15" s="1"/>
  <c r="AN431" i="13"/>
  <c r="AE433" i="15" s="1"/>
  <c r="AN432" i="13"/>
  <c r="AE434" i="15" s="1"/>
  <c r="AN433" i="13"/>
  <c r="AE435" i="15" s="1"/>
  <c r="AN434" i="13"/>
  <c r="AE436" i="15" s="1"/>
  <c r="AN435" i="13"/>
  <c r="AE437" i="15" s="1"/>
  <c r="AN436" i="13"/>
  <c r="AE438" i="15" s="1"/>
  <c r="AN437" i="13"/>
  <c r="AE439" i="15" s="1"/>
  <c r="AN438" i="13"/>
  <c r="AE440" i="15" s="1"/>
  <c r="AN439" i="13"/>
  <c r="AN440" i="13"/>
  <c r="AE442" i="15" s="1"/>
  <c r="AN441" i="13"/>
  <c r="AE443" i="15" s="1"/>
  <c r="AN442" i="13"/>
  <c r="AE444" i="15" s="1"/>
  <c r="AN443" i="13"/>
  <c r="AE445" i="15" s="1"/>
  <c r="AN444" i="13"/>
  <c r="AE446" i="15" s="1"/>
  <c r="AN445" i="13"/>
  <c r="AE447" i="15" s="1"/>
  <c r="AN446" i="13"/>
  <c r="AE448" i="15" s="1"/>
  <c r="AN447" i="13"/>
  <c r="AE449" i="15" s="1"/>
  <c r="AN448" i="13"/>
  <c r="AE450" i="15" s="1"/>
  <c r="AN449" i="13"/>
  <c r="AE451" i="15" s="1"/>
  <c r="AN450" i="13"/>
  <c r="AE452" i="15" s="1"/>
  <c r="AN451" i="13"/>
  <c r="AE453" i="15" s="1"/>
  <c r="AN452" i="13"/>
  <c r="AE454" i="15" s="1"/>
  <c r="AN453" i="13"/>
  <c r="AE455" i="15" s="1"/>
  <c r="AN454" i="13"/>
  <c r="AE456" i="15" s="1"/>
  <c r="AN455" i="13"/>
  <c r="AE457" i="15" s="1"/>
  <c r="AN456" i="13"/>
  <c r="AE458" i="15" s="1"/>
  <c r="AN457" i="13"/>
  <c r="AE459" i="15" s="1"/>
  <c r="AN458" i="13"/>
  <c r="AN459" i="13"/>
  <c r="AE461" i="15" s="1"/>
  <c r="AN460" i="13"/>
  <c r="AE462" i="15" s="1"/>
  <c r="AN461" i="13"/>
  <c r="AE463" i="15" s="1"/>
  <c r="AN462" i="13"/>
  <c r="AE464" i="15" s="1"/>
  <c r="AN463" i="13"/>
  <c r="AE465" i="15" s="1"/>
  <c r="AN464" i="13"/>
  <c r="AE466" i="15" s="1"/>
  <c r="AN465" i="13"/>
  <c r="AE467" i="15" s="1"/>
  <c r="AN466" i="13"/>
  <c r="AE468" i="15" s="1"/>
  <c r="AN467" i="13"/>
  <c r="AE469" i="15" s="1"/>
  <c r="AN468" i="13"/>
  <c r="AE470" i="15" s="1"/>
  <c r="AN469" i="13"/>
  <c r="AE471" i="15" s="1"/>
  <c r="AN470" i="13"/>
  <c r="AE472" i="15" s="1"/>
  <c r="AN471" i="13"/>
  <c r="AE473" i="15" s="1"/>
  <c r="AN472" i="13"/>
  <c r="AE474" i="15" s="1"/>
  <c r="AN473" i="13"/>
  <c r="AE475" i="15" s="1"/>
  <c r="AN474" i="13"/>
  <c r="AE476" i="15" s="1"/>
  <c r="AN475" i="13"/>
  <c r="AE477" i="15" s="1"/>
  <c r="AN476" i="13"/>
  <c r="AE478" i="15" s="1"/>
  <c r="AN477" i="13"/>
  <c r="AN478" i="13"/>
  <c r="AE480" i="15" s="1"/>
  <c r="AN479" i="13"/>
  <c r="AE481" i="15" s="1"/>
  <c r="AN480" i="13"/>
  <c r="AE482" i="15" s="1"/>
  <c r="AN481" i="13"/>
  <c r="AE483" i="15" s="1"/>
  <c r="AN482" i="13"/>
  <c r="AE484" i="15" s="1"/>
  <c r="AN483" i="13"/>
  <c r="AE485" i="15" s="1"/>
  <c r="AN484" i="13"/>
  <c r="AE486" i="15" s="1"/>
  <c r="AN485" i="13"/>
  <c r="AE487" i="15" s="1"/>
  <c r="AN486" i="13"/>
  <c r="AE488" i="15" s="1"/>
  <c r="AN487" i="13"/>
  <c r="AE489" i="15" s="1"/>
  <c r="AN488" i="13"/>
  <c r="AE490" i="15" s="1"/>
  <c r="AN489" i="13"/>
  <c r="AE491" i="15" s="1"/>
  <c r="AN490" i="13"/>
  <c r="AE492" i="15" s="1"/>
  <c r="AN491" i="13"/>
  <c r="AE493" i="15" s="1"/>
  <c r="AN492" i="13"/>
  <c r="AE494" i="15" s="1"/>
  <c r="AN493" i="13"/>
  <c r="AE495" i="15" s="1"/>
  <c r="AN494" i="13"/>
  <c r="AE496" i="15" s="1"/>
  <c r="AN495" i="13"/>
  <c r="AE497" i="15" s="1"/>
  <c r="AN496" i="13"/>
  <c r="AN497" i="13"/>
  <c r="AE499" i="15" s="1"/>
  <c r="AN498" i="13"/>
  <c r="AE500" i="15" s="1"/>
  <c r="AN499" i="13"/>
  <c r="AE501" i="15" s="1"/>
  <c r="AN500" i="13"/>
  <c r="AE502" i="15" s="1"/>
  <c r="AN501" i="13"/>
  <c r="AE503" i="15" s="1"/>
  <c r="AN502" i="13"/>
  <c r="AE504" i="15" s="1"/>
  <c r="AN503" i="13"/>
  <c r="AE505" i="15" s="1"/>
  <c r="AN504" i="13"/>
  <c r="AE506" i="15" s="1"/>
  <c r="AN505" i="13"/>
  <c r="AE507" i="15" s="1"/>
  <c r="AN506" i="13"/>
  <c r="AE508" i="15" s="1"/>
  <c r="AN507" i="13"/>
  <c r="AE509" i="15" s="1"/>
  <c r="AN508" i="13"/>
  <c r="AE510" i="15" s="1"/>
  <c r="AN509" i="13"/>
  <c r="AE511" i="15" s="1"/>
  <c r="AN510" i="13"/>
  <c r="AE512" i="15" s="1"/>
  <c r="AN511" i="13"/>
  <c r="AE513" i="15" s="1"/>
  <c r="AN512" i="13"/>
  <c r="AE514" i="15" s="1"/>
  <c r="AN513" i="13"/>
  <c r="AE515" i="15" s="1"/>
  <c r="AN514" i="13"/>
  <c r="AE516" i="15" s="1"/>
  <c r="AN515" i="13"/>
  <c r="AN516" i="13"/>
  <c r="AE518" i="15" s="1"/>
  <c r="AN517" i="13"/>
  <c r="AE519" i="15" s="1"/>
  <c r="AN518" i="13"/>
  <c r="AE520" i="15" s="1"/>
  <c r="AN519" i="13"/>
  <c r="AE521" i="15" s="1"/>
  <c r="AN520" i="13"/>
  <c r="AE522" i="15" s="1"/>
  <c r="AN521" i="13"/>
  <c r="AE523" i="15" s="1"/>
  <c r="AN522" i="13"/>
  <c r="AE524" i="15" s="1"/>
  <c r="AN523" i="13"/>
  <c r="AE525" i="15" s="1"/>
  <c r="AN524" i="13"/>
  <c r="AE526" i="15" s="1"/>
  <c r="AN525" i="13"/>
  <c r="AE527" i="15" s="1"/>
  <c r="AN526" i="13"/>
  <c r="AE528" i="15" s="1"/>
  <c r="AN527" i="13"/>
  <c r="AE529" i="15" s="1"/>
  <c r="AN528" i="13"/>
  <c r="AE530" i="15" s="1"/>
  <c r="AN529" i="13"/>
  <c r="AE531" i="15" s="1"/>
  <c r="AN530" i="13"/>
  <c r="AE532" i="15" s="1"/>
  <c r="AN531" i="13"/>
  <c r="AE533" i="15" s="1"/>
  <c r="AN532" i="13"/>
  <c r="AE534" i="15" s="1"/>
  <c r="AN533" i="13"/>
  <c r="AE535" i="15" s="1"/>
  <c r="AN534" i="13"/>
  <c r="AN535" i="13"/>
  <c r="AE537" i="15" s="1"/>
  <c r="AN536" i="13"/>
  <c r="AE538" i="15" s="1"/>
  <c r="AN537" i="13"/>
  <c r="AE539" i="15" s="1"/>
  <c r="AN538" i="13"/>
  <c r="AE540" i="15" s="1"/>
  <c r="AN539" i="13"/>
  <c r="AE541" i="15" s="1"/>
  <c r="AN540" i="13"/>
  <c r="AE542" i="15" s="1"/>
  <c r="AN541" i="13"/>
  <c r="AE543" i="15" s="1"/>
  <c r="AN542" i="13"/>
  <c r="AE544" i="15" s="1"/>
  <c r="AN543" i="13"/>
  <c r="AE545" i="15" s="1"/>
  <c r="AN544" i="13"/>
  <c r="AE546" i="15" s="1"/>
  <c r="AN545" i="13"/>
  <c r="AE547" i="15" s="1"/>
  <c r="AN546" i="13"/>
  <c r="AE548" i="15" s="1"/>
  <c r="AN547" i="13"/>
  <c r="AE549" i="15" s="1"/>
  <c r="AN548" i="13"/>
  <c r="AE550" i="15" s="1"/>
  <c r="AN549" i="13"/>
  <c r="AE551" i="15" s="1"/>
  <c r="AN550" i="13"/>
  <c r="AE552" i="15" s="1"/>
  <c r="AN551" i="13"/>
  <c r="AE553" i="15" s="1"/>
  <c r="AN552" i="13"/>
  <c r="AE554" i="15" s="1"/>
  <c r="AN553" i="13"/>
  <c r="AN554" i="13"/>
  <c r="AE556" i="15" s="1"/>
  <c r="AN555" i="13"/>
  <c r="AE557" i="15" s="1"/>
  <c r="AN556" i="13"/>
  <c r="AE558" i="15" s="1"/>
  <c r="AN557" i="13"/>
  <c r="AE559" i="15" s="1"/>
  <c r="AN558" i="13"/>
  <c r="AE560" i="15" s="1"/>
  <c r="AN559" i="13"/>
  <c r="AE561" i="15" s="1"/>
  <c r="AN560" i="13"/>
  <c r="AE562" i="15" s="1"/>
  <c r="AN561" i="13"/>
  <c r="AE563" i="15" s="1"/>
  <c r="AN562" i="13"/>
  <c r="AE564" i="15" s="1"/>
  <c r="AN563" i="13"/>
  <c r="AE565" i="15" s="1"/>
  <c r="AN564" i="13"/>
  <c r="AE566" i="15" s="1"/>
  <c r="AN565" i="13"/>
  <c r="AE567" i="15" s="1"/>
  <c r="AN566" i="13"/>
  <c r="AE568" i="15" s="1"/>
  <c r="AN567" i="13"/>
  <c r="AE569" i="15" s="1"/>
  <c r="AN568" i="13"/>
  <c r="AE570" i="15" s="1"/>
  <c r="AN569" i="13"/>
  <c r="AE571" i="15" s="1"/>
  <c r="AN570" i="13"/>
  <c r="AE572" i="15" s="1"/>
  <c r="AN571" i="13"/>
  <c r="AE573" i="15" s="1"/>
  <c r="AN572" i="13"/>
  <c r="AN573" i="13"/>
  <c r="AE575" i="15" s="1"/>
  <c r="AN574" i="13"/>
  <c r="AE576" i="15" s="1"/>
  <c r="AN575" i="13"/>
  <c r="AE577" i="15" s="1"/>
  <c r="AN576" i="13"/>
  <c r="AE578" i="15" s="1"/>
  <c r="AN577" i="13"/>
  <c r="AE579" i="15" s="1"/>
  <c r="AN578" i="13"/>
  <c r="AE580" i="15" s="1"/>
  <c r="AN579" i="13"/>
  <c r="AE581" i="15" s="1"/>
  <c r="AN580" i="13"/>
  <c r="AE582" i="15" s="1"/>
  <c r="AN581" i="13"/>
  <c r="AE583" i="15" s="1"/>
  <c r="AN582" i="13"/>
  <c r="AE584" i="15" s="1"/>
  <c r="AN583" i="13"/>
  <c r="AE585" i="15" s="1"/>
  <c r="AN584" i="13"/>
  <c r="AE586" i="15" s="1"/>
  <c r="AN585" i="13"/>
  <c r="AE587" i="15" s="1"/>
  <c r="AN586" i="13"/>
  <c r="AE588" i="15" s="1"/>
  <c r="AN587" i="13"/>
  <c r="AE589" i="15" s="1"/>
  <c r="AN588" i="13"/>
  <c r="AE590" i="15" s="1"/>
  <c r="AN589" i="13"/>
  <c r="AE591" i="15" s="1"/>
  <c r="AN590" i="13"/>
  <c r="AE592" i="15" s="1"/>
  <c r="AN591" i="13"/>
  <c r="AN592" i="13"/>
  <c r="AE594" i="15" s="1"/>
  <c r="AN593" i="13"/>
  <c r="AE595" i="15" s="1"/>
  <c r="AN594" i="13"/>
  <c r="AE596" i="15" s="1"/>
  <c r="AN595" i="13"/>
  <c r="AE597" i="15" s="1"/>
  <c r="AN596" i="13"/>
  <c r="AE598" i="15" s="1"/>
  <c r="AN597" i="13"/>
  <c r="AE599" i="15" s="1"/>
  <c r="AN598" i="13"/>
  <c r="AE600" i="15" s="1"/>
  <c r="AN599" i="13"/>
  <c r="AE601" i="15" s="1"/>
  <c r="AN600" i="13"/>
  <c r="AE602" i="15" s="1"/>
  <c r="AN601" i="13"/>
  <c r="AE603" i="15" s="1"/>
  <c r="AN602" i="13"/>
  <c r="AE604" i="15" s="1"/>
  <c r="AN603" i="13"/>
  <c r="AE605" i="15" s="1"/>
  <c r="AN604" i="13"/>
  <c r="AE606" i="15" s="1"/>
  <c r="AN605" i="13"/>
  <c r="AE607" i="15" s="1"/>
  <c r="AN606" i="13"/>
  <c r="AE608" i="15" s="1"/>
  <c r="AN607" i="13"/>
  <c r="AE609" i="15" s="1"/>
  <c r="AN608" i="13"/>
  <c r="AE610" i="15" s="1"/>
  <c r="AN609" i="13"/>
  <c r="AE611" i="15" s="1"/>
  <c r="AN610" i="13"/>
  <c r="AN611" i="13"/>
  <c r="AE613" i="15" s="1"/>
  <c r="AN612" i="13"/>
  <c r="AE614" i="15" s="1"/>
  <c r="AN613" i="13"/>
  <c r="AE615" i="15" s="1"/>
  <c r="AN614" i="13"/>
  <c r="AE616" i="15" s="1"/>
  <c r="AN615" i="13"/>
  <c r="AE617" i="15" s="1"/>
  <c r="AN616" i="13"/>
  <c r="AE618" i="15" s="1"/>
  <c r="AN617" i="13"/>
  <c r="AE619" i="15" s="1"/>
  <c r="AN618" i="13"/>
  <c r="AE620" i="15" s="1"/>
  <c r="AN619" i="13"/>
  <c r="AE621" i="15" s="1"/>
  <c r="AN620" i="13"/>
  <c r="AE622" i="15" s="1"/>
  <c r="AN621" i="13"/>
  <c r="AE623" i="15" s="1"/>
  <c r="AN622" i="13"/>
  <c r="AE624" i="15" s="1"/>
  <c r="AN623" i="13"/>
  <c r="AE625" i="15" s="1"/>
  <c r="AN624" i="13"/>
  <c r="AE626" i="15" s="1"/>
  <c r="AN625" i="13"/>
  <c r="AE627" i="15" s="1"/>
  <c r="AN626" i="13"/>
  <c r="AE628" i="15" s="1"/>
  <c r="AN627" i="13"/>
  <c r="AE629" i="15" s="1"/>
  <c r="AN628" i="13"/>
  <c r="AE630" i="15" s="1"/>
  <c r="AN629" i="13"/>
  <c r="AN630" i="13"/>
  <c r="AE632" i="15" s="1"/>
  <c r="AN631" i="13"/>
  <c r="AE633" i="15" s="1"/>
  <c r="AN632" i="13"/>
  <c r="AE634" i="15" s="1"/>
  <c r="AN633" i="13"/>
  <c r="AE635" i="15" s="1"/>
  <c r="AN634" i="13"/>
  <c r="AE636" i="15" s="1"/>
  <c r="AN635" i="13"/>
  <c r="AE637" i="15" s="1"/>
  <c r="AN636" i="13"/>
  <c r="AE638" i="15" s="1"/>
  <c r="AN637" i="13"/>
  <c r="AE639" i="15" s="1"/>
  <c r="AN638" i="13"/>
  <c r="AE640" i="15" s="1"/>
  <c r="AN639" i="13"/>
  <c r="AE641" i="15" s="1"/>
  <c r="AN640" i="13"/>
  <c r="AE642" i="15" s="1"/>
  <c r="AN641" i="13"/>
  <c r="AE643" i="15" s="1"/>
  <c r="AN642" i="13"/>
  <c r="AE644" i="15" s="1"/>
  <c r="AN643" i="13"/>
  <c r="AE645" i="15" s="1"/>
  <c r="AN644" i="13"/>
  <c r="AE646" i="15" s="1"/>
  <c r="AN645" i="13"/>
  <c r="AE647" i="15" s="1"/>
  <c r="AN646" i="13"/>
  <c r="AE648" i="15" s="1"/>
  <c r="AN647" i="13"/>
  <c r="AE649" i="15" s="1"/>
  <c r="AN648" i="13"/>
  <c r="AN649" i="13"/>
  <c r="AE651" i="15" s="1"/>
  <c r="AN650" i="13"/>
  <c r="AE652" i="15" s="1"/>
  <c r="AN651" i="13"/>
  <c r="AE653" i="15" s="1"/>
  <c r="AN652" i="13"/>
  <c r="AE654" i="15" s="1"/>
  <c r="AN653" i="13"/>
  <c r="AE655" i="15" s="1"/>
  <c r="AN654" i="13"/>
  <c r="AE656" i="15" s="1"/>
  <c r="AN655" i="13"/>
  <c r="AE657" i="15" s="1"/>
  <c r="AN656" i="13"/>
  <c r="AE658" i="15" s="1"/>
  <c r="AN657" i="13"/>
  <c r="AE659" i="15" s="1"/>
  <c r="AN658" i="13"/>
  <c r="AE660" i="15" s="1"/>
  <c r="AN659" i="13"/>
  <c r="AE661" i="15" s="1"/>
  <c r="AN660" i="13"/>
  <c r="AE662" i="15" s="1"/>
  <c r="AN661" i="13"/>
  <c r="AE663" i="15" s="1"/>
  <c r="AN662" i="13"/>
  <c r="AE664" i="15" s="1"/>
  <c r="AN663" i="13"/>
  <c r="AE665" i="15" s="1"/>
  <c r="AN664" i="13"/>
  <c r="AE666" i="15" s="1"/>
  <c r="AN665" i="13"/>
  <c r="AE667" i="15" s="1"/>
  <c r="AN666" i="13"/>
  <c r="AE668" i="15" s="1"/>
  <c r="AN667" i="13"/>
  <c r="AN668" i="13"/>
  <c r="AE670" i="15" s="1"/>
  <c r="AN669" i="13"/>
  <c r="AE671" i="15" s="1"/>
  <c r="AN670" i="13"/>
  <c r="AE672" i="15" s="1"/>
  <c r="AN671" i="13"/>
  <c r="AE673" i="15" s="1"/>
  <c r="AN672" i="13"/>
  <c r="AE674" i="15" s="1"/>
  <c r="AN673" i="13"/>
  <c r="AE675" i="15" s="1"/>
  <c r="AN674" i="13"/>
  <c r="AE676" i="15" s="1"/>
  <c r="AN675" i="13"/>
  <c r="AE677" i="15" s="1"/>
  <c r="AN676" i="13"/>
  <c r="AE678" i="15" s="1"/>
  <c r="AN677" i="13"/>
  <c r="AE679" i="15" s="1"/>
  <c r="AN678" i="13"/>
  <c r="AE680" i="15" s="1"/>
  <c r="AN679" i="13"/>
  <c r="AE681" i="15" s="1"/>
  <c r="AN680" i="13"/>
  <c r="AE682" i="15" s="1"/>
  <c r="AN681" i="13"/>
  <c r="AE683" i="15" s="1"/>
  <c r="AN682" i="13"/>
  <c r="AE684" i="15" s="1"/>
  <c r="AN683" i="13"/>
  <c r="AE685" i="15" s="1"/>
  <c r="AN684" i="13"/>
  <c r="AE686" i="15" s="1"/>
  <c r="AN685" i="13"/>
  <c r="AE687" i="15" s="1"/>
  <c r="AN686" i="13"/>
  <c r="AN687" i="13"/>
  <c r="AE689" i="15" s="1"/>
  <c r="AN688" i="13"/>
  <c r="AE690" i="15" s="1"/>
  <c r="AN689" i="13"/>
  <c r="AE691" i="15" s="1"/>
  <c r="AN690" i="13"/>
  <c r="AE692" i="15" s="1"/>
  <c r="AN691" i="13"/>
  <c r="AE693" i="15" s="1"/>
  <c r="AN692" i="13"/>
  <c r="AE694" i="15" s="1"/>
  <c r="AN693" i="13"/>
  <c r="AE695" i="15" s="1"/>
  <c r="AN694" i="13"/>
  <c r="AE696" i="15" s="1"/>
  <c r="AN695" i="13"/>
  <c r="AE697" i="15" s="1"/>
  <c r="AN696" i="13"/>
  <c r="AE698" i="15" s="1"/>
  <c r="AN697" i="13"/>
  <c r="AE699" i="15" s="1"/>
  <c r="AN698" i="13"/>
  <c r="AE700" i="15" s="1"/>
  <c r="AN699" i="13"/>
  <c r="AE701" i="15" s="1"/>
  <c r="AN700" i="13"/>
  <c r="AE702" i="15" s="1"/>
  <c r="AN701" i="13"/>
  <c r="AE703" i="15" s="1"/>
  <c r="AN702" i="13"/>
  <c r="AE704" i="15" s="1"/>
  <c r="AN703" i="13"/>
  <c r="AE705" i="15" s="1"/>
  <c r="AN704" i="13"/>
  <c r="AE706" i="15" s="1"/>
  <c r="AN705" i="13"/>
  <c r="AN706" i="13"/>
  <c r="AE708" i="15" s="1"/>
  <c r="AN707" i="13"/>
  <c r="AE709" i="15" s="1"/>
  <c r="AN708" i="13"/>
  <c r="AE710" i="15" s="1"/>
  <c r="AN709" i="13"/>
  <c r="AE711" i="15" s="1"/>
  <c r="AN710" i="13"/>
  <c r="AE712" i="15" s="1"/>
  <c r="AN711" i="13"/>
  <c r="AE713" i="15" s="1"/>
  <c r="AN712" i="13"/>
  <c r="AE714" i="15" s="1"/>
  <c r="AN713" i="13"/>
  <c r="AE715" i="15" s="1"/>
  <c r="AN714" i="13"/>
  <c r="AE716" i="15" s="1"/>
  <c r="AN715" i="13"/>
  <c r="AE717" i="15" s="1"/>
  <c r="AN716" i="13"/>
  <c r="AE718" i="15" s="1"/>
  <c r="AN717" i="13"/>
  <c r="AE719" i="15" s="1"/>
  <c r="AN718" i="13"/>
  <c r="AE720" i="15" s="1"/>
  <c r="AN719" i="13"/>
  <c r="AE721" i="15" s="1"/>
  <c r="AN720" i="13"/>
  <c r="AE722" i="15" s="1"/>
  <c r="AN721" i="13"/>
  <c r="AE723" i="15" s="1"/>
  <c r="AN722" i="13"/>
  <c r="AE724" i="15" s="1"/>
  <c r="AN723" i="13"/>
  <c r="AE725" i="15" s="1"/>
  <c r="AN724" i="13"/>
  <c r="AN725" i="13"/>
  <c r="AE727" i="15" s="1"/>
  <c r="AN726" i="13"/>
  <c r="AE728" i="15" s="1"/>
  <c r="AN727" i="13"/>
  <c r="AE729" i="15" s="1"/>
  <c r="AN728" i="13"/>
  <c r="AE730" i="15" s="1"/>
  <c r="AN729" i="13"/>
  <c r="AE731" i="15" s="1"/>
  <c r="AN730" i="13"/>
  <c r="AE732" i="15" s="1"/>
  <c r="AN731" i="13"/>
  <c r="AE733" i="15" s="1"/>
  <c r="AN732" i="13"/>
  <c r="AE734" i="15" s="1"/>
  <c r="AN733" i="13"/>
  <c r="AE735" i="15" s="1"/>
  <c r="AN734" i="13"/>
  <c r="AE736" i="15" s="1"/>
  <c r="AN735" i="13"/>
  <c r="AE737" i="15" s="1"/>
  <c r="AN736" i="13"/>
  <c r="AE738" i="15" s="1"/>
  <c r="AN737" i="13"/>
  <c r="AE739" i="15" s="1"/>
  <c r="AN738" i="13"/>
  <c r="AE740" i="15" s="1"/>
  <c r="AN739" i="13"/>
  <c r="AE741" i="15" s="1"/>
  <c r="AN740" i="13"/>
  <c r="AE742" i="15" s="1"/>
  <c r="AN741" i="13"/>
  <c r="AE743" i="15" s="1"/>
  <c r="AN742" i="13"/>
  <c r="AE744" i="15" s="1"/>
  <c r="AN743" i="13"/>
  <c r="AN744" i="13"/>
  <c r="AE746" i="15" s="1"/>
  <c r="AN745" i="13"/>
  <c r="AE747" i="15" s="1"/>
  <c r="AN746" i="13"/>
  <c r="AE748" i="15" s="1"/>
  <c r="AN747" i="13"/>
  <c r="AE749" i="15" s="1"/>
  <c r="AN748" i="13"/>
  <c r="AE750" i="15" s="1"/>
  <c r="AN749" i="13"/>
  <c r="AE751" i="15" s="1"/>
  <c r="AN750" i="13"/>
  <c r="AE752" i="15" s="1"/>
  <c r="AN751" i="13"/>
  <c r="AE753" i="15" s="1"/>
  <c r="AN752" i="13"/>
  <c r="AE754" i="15" s="1"/>
  <c r="AN753" i="13"/>
  <c r="AE755" i="15" s="1"/>
  <c r="AN754" i="13"/>
  <c r="AE756" i="15" s="1"/>
  <c r="AN755" i="13"/>
  <c r="AE757" i="15" s="1"/>
  <c r="AN756" i="13"/>
  <c r="AE758" i="15" s="1"/>
  <c r="AN757" i="13"/>
  <c r="AE759" i="15" s="1"/>
  <c r="AN758" i="13"/>
  <c r="AE760" i="15" s="1"/>
  <c r="AN759" i="13"/>
  <c r="AE761" i="15" s="1"/>
  <c r="AN760" i="13"/>
  <c r="AE762" i="15" s="1"/>
  <c r="AN761" i="13"/>
  <c r="AE763" i="15" s="1"/>
  <c r="AN762" i="13"/>
  <c r="AN763" i="13"/>
  <c r="AE765" i="15" s="1"/>
  <c r="AN764" i="13"/>
  <c r="AE766" i="15" s="1"/>
  <c r="AN765" i="13"/>
  <c r="AE767" i="15" s="1"/>
  <c r="AN766" i="13"/>
  <c r="AE768" i="15" s="1"/>
  <c r="AN767" i="13"/>
  <c r="AE769" i="15" s="1"/>
  <c r="AN768" i="13"/>
  <c r="AE770" i="15" s="1"/>
  <c r="AN769" i="13"/>
  <c r="AE771" i="15" s="1"/>
  <c r="AN770" i="13"/>
  <c r="AE772" i="15" s="1"/>
  <c r="AN771" i="13"/>
  <c r="AE773" i="15" s="1"/>
  <c r="AN772" i="13"/>
  <c r="AE774" i="15" s="1"/>
  <c r="AN773" i="13"/>
  <c r="AE775" i="15" s="1"/>
  <c r="AN774" i="13"/>
  <c r="AE776" i="15" s="1"/>
  <c r="AN775" i="13"/>
  <c r="AE777" i="15" s="1"/>
  <c r="AN776" i="13"/>
  <c r="AE778" i="15" s="1"/>
  <c r="AN777" i="13"/>
  <c r="AE779" i="15" s="1"/>
  <c r="AN778" i="13"/>
  <c r="AE780" i="15" s="1"/>
  <c r="AN779" i="13"/>
  <c r="AE781" i="15" s="1"/>
  <c r="AN780" i="13"/>
  <c r="AE782" i="15" s="1"/>
  <c r="AN781" i="13"/>
  <c r="AN782" i="13"/>
  <c r="AE784" i="15" s="1"/>
  <c r="AN783" i="13"/>
  <c r="AE785" i="15" s="1"/>
  <c r="AN784" i="13"/>
  <c r="AE786" i="15" s="1"/>
  <c r="AN785" i="13"/>
  <c r="AE787" i="15" s="1"/>
  <c r="AN786" i="13"/>
  <c r="AE788" i="15" s="1"/>
  <c r="AN787" i="13"/>
  <c r="AE789" i="15" s="1"/>
  <c r="AN788" i="13"/>
  <c r="AE790" i="15" s="1"/>
  <c r="AN789" i="13"/>
  <c r="AE791" i="15" s="1"/>
  <c r="AN790" i="13"/>
  <c r="AE792" i="15" s="1"/>
  <c r="AN791" i="13"/>
  <c r="AE793" i="15" s="1"/>
  <c r="AN792" i="13"/>
  <c r="AE794" i="15" s="1"/>
  <c r="AN793" i="13"/>
  <c r="AE795" i="15" s="1"/>
  <c r="AN794" i="13"/>
  <c r="AE796" i="15" s="1"/>
  <c r="AN795" i="13"/>
  <c r="AE797" i="15" s="1"/>
  <c r="AN796" i="13"/>
  <c r="AE798" i="15" s="1"/>
  <c r="AN797" i="13"/>
  <c r="AE799" i="15" s="1"/>
  <c r="AN798" i="13"/>
  <c r="AE800" i="15" s="1"/>
  <c r="AN799" i="13"/>
  <c r="AE801" i="15" s="1"/>
  <c r="AN800" i="13"/>
  <c r="AN801" i="13"/>
  <c r="AE803" i="15" s="1"/>
  <c r="AN802" i="13"/>
  <c r="AE804" i="15" s="1"/>
  <c r="AN803" i="13"/>
  <c r="AE805" i="15" s="1"/>
  <c r="AN804" i="13"/>
  <c r="AE806" i="15" s="1"/>
  <c r="AN805" i="13"/>
  <c r="AE807" i="15" s="1"/>
  <c r="AN806" i="13"/>
  <c r="AE808" i="15" s="1"/>
  <c r="AN807" i="13"/>
  <c r="AE809" i="15" s="1"/>
  <c r="AN808" i="13"/>
  <c r="AE810" i="15" s="1"/>
  <c r="AN809" i="13"/>
  <c r="AE811" i="15" s="1"/>
  <c r="AN810" i="13"/>
  <c r="AE812" i="15" s="1"/>
  <c r="AN811" i="13"/>
  <c r="AE813" i="15" s="1"/>
  <c r="AN812" i="13"/>
  <c r="AE814" i="15" s="1"/>
  <c r="AN813" i="13"/>
  <c r="AE815" i="15" s="1"/>
  <c r="AN814" i="13"/>
  <c r="AE816" i="15" s="1"/>
  <c r="AN815" i="13"/>
  <c r="AE817" i="15" s="1"/>
  <c r="AN816" i="13"/>
  <c r="AE818" i="15" s="1"/>
  <c r="AN817" i="13"/>
  <c r="AE819" i="15" s="1"/>
  <c r="AN818" i="13"/>
  <c r="AE820" i="15" s="1"/>
  <c r="AN819" i="13"/>
  <c r="AN820" i="13"/>
  <c r="AE822" i="15" s="1"/>
  <c r="AN821" i="13"/>
  <c r="AE823" i="15" s="1"/>
  <c r="AN822" i="13"/>
  <c r="AE824" i="15" s="1"/>
  <c r="AN823" i="13"/>
  <c r="AE825" i="15" s="1"/>
  <c r="AN824" i="13"/>
  <c r="AE826" i="15" s="1"/>
  <c r="AN825" i="13"/>
  <c r="AE827" i="15" s="1"/>
  <c r="AN826" i="13"/>
  <c r="AE828" i="15" s="1"/>
  <c r="AN827" i="13"/>
  <c r="AE829" i="15" s="1"/>
  <c r="AN828" i="13"/>
  <c r="AE830" i="15" s="1"/>
  <c r="AN829" i="13"/>
  <c r="AE831" i="15" s="1"/>
  <c r="AN830" i="13"/>
  <c r="AE832" i="15" s="1"/>
  <c r="AN831" i="13"/>
  <c r="AE833" i="15" s="1"/>
  <c r="AN832" i="13"/>
  <c r="AE834" i="15" s="1"/>
  <c r="AN833" i="13"/>
  <c r="AE835" i="15" s="1"/>
  <c r="AN834" i="13"/>
  <c r="AE836" i="15" s="1"/>
  <c r="AN835" i="13"/>
  <c r="AE837" i="15" s="1"/>
  <c r="AN836" i="13"/>
  <c r="AE838" i="15" s="1"/>
  <c r="AN837" i="13"/>
  <c r="AE839" i="15" s="1"/>
  <c r="AN838" i="13"/>
  <c r="AN839" i="13"/>
  <c r="AE841" i="15" s="1"/>
  <c r="AN840" i="13"/>
  <c r="AE842" i="15" s="1"/>
  <c r="AN841" i="13"/>
  <c r="AE843" i="15" s="1"/>
  <c r="AN842" i="13"/>
  <c r="AE844" i="15" s="1"/>
  <c r="AN843" i="13"/>
  <c r="AE845" i="15" s="1"/>
  <c r="AN844" i="13"/>
  <c r="AE846" i="15" s="1"/>
  <c r="AN845" i="13"/>
  <c r="AE847" i="15" s="1"/>
  <c r="AN846" i="13"/>
  <c r="AE848" i="15" s="1"/>
  <c r="AN847" i="13"/>
  <c r="AE849" i="15" s="1"/>
  <c r="AN848" i="13"/>
  <c r="AE850" i="15" s="1"/>
  <c r="AN849" i="13"/>
  <c r="AE851" i="15" s="1"/>
  <c r="AN850" i="13"/>
  <c r="AE852" i="15" s="1"/>
  <c r="AN851" i="13"/>
  <c r="AE853" i="15" s="1"/>
  <c r="AN852" i="13"/>
  <c r="AE854" i="15" s="1"/>
  <c r="AN853" i="13"/>
  <c r="AE855" i="15" s="1"/>
  <c r="AN854" i="13"/>
  <c r="AE856" i="15" s="1"/>
  <c r="AN855" i="13"/>
  <c r="AE857" i="15" s="1"/>
  <c r="AN856" i="13"/>
  <c r="AE858" i="15" s="1"/>
  <c r="AN857" i="13"/>
  <c r="AN858" i="13"/>
  <c r="AE860" i="15" s="1"/>
  <c r="AN859" i="13"/>
  <c r="AE861" i="15" s="1"/>
  <c r="AN860" i="13"/>
  <c r="AE862" i="15" s="1"/>
  <c r="AN861" i="13"/>
  <c r="AE863" i="15" s="1"/>
  <c r="AN862" i="13"/>
  <c r="AE864" i="15" s="1"/>
  <c r="AN863" i="13"/>
  <c r="AE865" i="15" s="1"/>
  <c r="AN864" i="13"/>
  <c r="AE866" i="15" s="1"/>
  <c r="AN865" i="13"/>
  <c r="AE867" i="15" s="1"/>
  <c r="AN866" i="13"/>
  <c r="AE868" i="15" s="1"/>
  <c r="AN867" i="13"/>
  <c r="AE869" i="15" s="1"/>
  <c r="AN868" i="13"/>
  <c r="AE870" i="15" s="1"/>
  <c r="AN869" i="13"/>
  <c r="AE871" i="15" s="1"/>
  <c r="AN870" i="13"/>
  <c r="AE872" i="15" s="1"/>
  <c r="AN871" i="13"/>
  <c r="AE873" i="15" s="1"/>
  <c r="AN872" i="13"/>
  <c r="AE874" i="15" s="1"/>
  <c r="AN873" i="13"/>
  <c r="AE875" i="15" s="1"/>
  <c r="AN874" i="13"/>
  <c r="AE876" i="15" s="1"/>
  <c r="AN875" i="13"/>
  <c r="AE877" i="15" s="1"/>
  <c r="AN876" i="13"/>
  <c r="AN877" i="13"/>
  <c r="AE879" i="15" s="1"/>
  <c r="AN878" i="13"/>
  <c r="AE880" i="15" s="1"/>
  <c r="AN879" i="13"/>
  <c r="AE881" i="15" s="1"/>
  <c r="AN880" i="13"/>
  <c r="AE882" i="15" s="1"/>
  <c r="AN881" i="13"/>
  <c r="AE883" i="15" s="1"/>
  <c r="AN882" i="13"/>
  <c r="AE884" i="15" s="1"/>
  <c r="AN883" i="13"/>
  <c r="AE885" i="15" s="1"/>
  <c r="AN884" i="13"/>
  <c r="AE886" i="15" s="1"/>
  <c r="AN885" i="13"/>
  <c r="AE887" i="15" s="1"/>
  <c r="AN886" i="13"/>
  <c r="AE888" i="15" s="1"/>
  <c r="AN887" i="13"/>
  <c r="AE889" i="15" s="1"/>
  <c r="AN888" i="13"/>
  <c r="AE890" i="15" s="1"/>
  <c r="AN889" i="13"/>
  <c r="AE891" i="15" s="1"/>
  <c r="AN890" i="13"/>
  <c r="AE892" i="15" s="1"/>
  <c r="AN891" i="13"/>
  <c r="AE893" i="15" s="1"/>
  <c r="AN892" i="13"/>
  <c r="AE894" i="15" s="1"/>
  <c r="AN893" i="13"/>
  <c r="AE895" i="15" s="1"/>
  <c r="AN894" i="13"/>
  <c r="AE896" i="15" s="1"/>
  <c r="AN895" i="13"/>
  <c r="AN896" i="13"/>
  <c r="AE898" i="15" s="1"/>
  <c r="AN897" i="13"/>
  <c r="AE899" i="15" s="1"/>
  <c r="AN898" i="13"/>
  <c r="AE900" i="15" s="1"/>
  <c r="AN899" i="13"/>
  <c r="AE901" i="15" s="1"/>
  <c r="AN900" i="13"/>
  <c r="AE902" i="15" s="1"/>
  <c r="AN901" i="13"/>
  <c r="AE903" i="15" s="1"/>
  <c r="AN902" i="13"/>
  <c r="AE904" i="15" s="1"/>
  <c r="AN903" i="13"/>
  <c r="AE905" i="15" s="1"/>
  <c r="AN904" i="13"/>
  <c r="AE906" i="15" s="1"/>
  <c r="AN905" i="13"/>
  <c r="AE907" i="15" s="1"/>
  <c r="AN906" i="13"/>
  <c r="AE908" i="15" s="1"/>
  <c r="AN907" i="13"/>
  <c r="AE909" i="15" s="1"/>
  <c r="AN908" i="13"/>
  <c r="AE910" i="15" s="1"/>
  <c r="AN909" i="13"/>
  <c r="AE911" i="15" s="1"/>
  <c r="AN910" i="13"/>
  <c r="AE912" i="15" s="1"/>
  <c r="AN911" i="13"/>
  <c r="AE913" i="15" s="1"/>
  <c r="AN912" i="13"/>
  <c r="AE914" i="15" s="1"/>
  <c r="AN913" i="13"/>
  <c r="AE915" i="15" s="1"/>
  <c r="AN914" i="13"/>
  <c r="AN915" i="13"/>
  <c r="AE917" i="15" s="1"/>
  <c r="AN916" i="13"/>
  <c r="AE918" i="15" s="1"/>
  <c r="AN917" i="13"/>
  <c r="AE919" i="15" s="1"/>
  <c r="AN918" i="13"/>
  <c r="AE920" i="15" s="1"/>
  <c r="AN919" i="13"/>
  <c r="AE921" i="15" s="1"/>
  <c r="AN920" i="13"/>
  <c r="AE922" i="15" s="1"/>
  <c r="AN921" i="13"/>
  <c r="AE923" i="15" s="1"/>
  <c r="AN922" i="13"/>
  <c r="AE924" i="15" s="1"/>
  <c r="AN923" i="13"/>
  <c r="AE925" i="15" s="1"/>
  <c r="AN924" i="13"/>
  <c r="AE926" i="15" s="1"/>
  <c r="AN925" i="13"/>
  <c r="AE927" i="15" s="1"/>
  <c r="AN926" i="13"/>
  <c r="AE928" i="15" s="1"/>
  <c r="AN927" i="13"/>
  <c r="AE929" i="15" s="1"/>
  <c r="AN928" i="13"/>
  <c r="AE930" i="15" s="1"/>
  <c r="AN929" i="13"/>
  <c r="AE931" i="15" s="1"/>
  <c r="AN930" i="13"/>
  <c r="AE932" i="15" s="1"/>
  <c r="AN931" i="13"/>
  <c r="AE933" i="15" s="1"/>
  <c r="AN932" i="13"/>
  <c r="AE934" i="15" s="1"/>
  <c r="AN933" i="13"/>
  <c r="AN934" i="13"/>
  <c r="AE936" i="15" s="1"/>
  <c r="AN935" i="13"/>
  <c r="AE937" i="15" s="1"/>
  <c r="AN936" i="13"/>
  <c r="AE938" i="15" s="1"/>
  <c r="AN937" i="13"/>
  <c r="AE939" i="15" s="1"/>
  <c r="AN938" i="13"/>
  <c r="AE940" i="15" s="1"/>
  <c r="AN939" i="13"/>
  <c r="AE941" i="15" s="1"/>
  <c r="AN940" i="13"/>
  <c r="AE942" i="15" s="1"/>
  <c r="AN941" i="13"/>
  <c r="AE943" i="15" s="1"/>
  <c r="AN942" i="13"/>
  <c r="AE944" i="15" s="1"/>
  <c r="AN943" i="13"/>
  <c r="AE945" i="15" s="1"/>
  <c r="AN944" i="13"/>
  <c r="AE946" i="15" s="1"/>
  <c r="AN945" i="13"/>
  <c r="AE947" i="15" s="1"/>
  <c r="AN946" i="13"/>
  <c r="AE948" i="15" s="1"/>
  <c r="AN947" i="13"/>
  <c r="AE949" i="15" s="1"/>
  <c r="AN948" i="13"/>
  <c r="AE950" i="15" s="1"/>
  <c r="AN949" i="13"/>
  <c r="AE951" i="15" s="1"/>
  <c r="AN950" i="13"/>
  <c r="AE952" i="15" s="1"/>
  <c r="AN951" i="13"/>
  <c r="AE953" i="15" s="1"/>
  <c r="AN952" i="13"/>
  <c r="AN953" i="13"/>
  <c r="AE955" i="15" s="1"/>
  <c r="AN954" i="13"/>
  <c r="AE956" i="15" s="1"/>
  <c r="AN955" i="13"/>
  <c r="AE957" i="15" s="1"/>
  <c r="AN956" i="13"/>
  <c r="AE958" i="15" s="1"/>
  <c r="AN957" i="13"/>
  <c r="AE959" i="15" s="1"/>
  <c r="AN958" i="13"/>
  <c r="AE960" i="15" s="1"/>
  <c r="AN959" i="13"/>
  <c r="AE961" i="15" s="1"/>
  <c r="AN960" i="13"/>
  <c r="AE962" i="15" s="1"/>
  <c r="AN961" i="13"/>
  <c r="AE963" i="15" s="1"/>
  <c r="AN962" i="13"/>
  <c r="AE964" i="15" s="1"/>
  <c r="AN963" i="13"/>
  <c r="AE965" i="15" s="1"/>
  <c r="AN964" i="13"/>
  <c r="AE966" i="15" s="1"/>
  <c r="AN965" i="13"/>
  <c r="AE967" i="15" s="1"/>
  <c r="AN966" i="13"/>
  <c r="AE968" i="15" s="1"/>
  <c r="AN967" i="13"/>
  <c r="AE969" i="15" s="1"/>
  <c r="AN968" i="13"/>
  <c r="AE970" i="15" s="1"/>
  <c r="AN969" i="13"/>
  <c r="AE971" i="15" s="1"/>
  <c r="AN970" i="13"/>
  <c r="AE972" i="15" s="1"/>
  <c r="AN971" i="13"/>
  <c r="AN972" i="13"/>
  <c r="AE974" i="15" s="1"/>
  <c r="AN973" i="13"/>
  <c r="AE975" i="15" s="1"/>
  <c r="AN974" i="13"/>
  <c r="AE976" i="15" s="1"/>
  <c r="AN975" i="13"/>
  <c r="AE977" i="15" s="1"/>
  <c r="AN976" i="13"/>
  <c r="AE978" i="15" s="1"/>
  <c r="AN977" i="13"/>
  <c r="AE979" i="15" s="1"/>
  <c r="AN978" i="13"/>
  <c r="AE980" i="15" s="1"/>
  <c r="AN979" i="13"/>
  <c r="AE981" i="15" s="1"/>
  <c r="AN980" i="13"/>
  <c r="AE982" i="15" s="1"/>
  <c r="AN981" i="13"/>
  <c r="AE983" i="15" s="1"/>
  <c r="AN982" i="13"/>
  <c r="AE984" i="15" s="1"/>
  <c r="AN983" i="13"/>
  <c r="AE985" i="15" s="1"/>
  <c r="AN984" i="13"/>
  <c r="AE986" i="15" s="1"/>
  <c r="AN985" i="13"/>
  <c r="AE987" i="15" s="1"/>
  <c r="AN986" i="13"/>
  <c r="AE988" i="15" s="1"/>
  <c r="AN987" i="13"/>
  <c r="AE989" i="15" s="1"/>
  <c r="AN988" i="13"/>
  <c r="AE990" i="15" s="1"/>
  <c r="AN989" i="13"/>
  <c r="AE991" i="15" s="1"/>
  <c r="AN990" i="13"/>
  <c r="AN991" i="13"/>
  <c r="AE993" i="15" s="1"/>
  <c r="AN992" i="13"/>
  <c r="AE994" i="15" s="1"/>
  <c r="AN993" i="13"/>
  <c r="AE995" i="15" s="1"/>
  <c r="AN994" i="13"/>
  <c r="AE996" i="15" s="1"/>
  <c r="AN995" i="13"/>
  <c r="AE997" i="15" s="1"/>
  <c r="AN996" i="13"/>
  <c r="AE998" i="15" s="1"/>
  <c r="AN997" i="13"/>
  <c r="AE999" i="15" s="1"/>
  <c r="AN998" i="13"/>
  <c r="AE1000" i="15" s="1"/>
  <c r="AN999" i="13"/>
  <c r="AE1001" i="15" s="1"/>
  <c r="AN1000" i="13"/>
  <c r="AE1002" i="15" s="1"/>
  <c r="AN1001" i="13"/>
  <c r="AE1003" i="15" s="1"/>
  <c r="AN1002" i="13"/>
  <c r="AE1004" i="15" s="1"/>
  <c r="AN1003" i="13"/>
  <c r="AE1005" i="15" s="1"/>
  <c r="AN1004" i="13"/>
  <c r="AE1006" i="15" s="1"/>
  <c r="AN1005" i="13"/>
  <c r="AE1007" i="15" s="1"/>
  <c r="AN1006" i="13"/>
  <c r="AE1008" i="15" s="1"/>
  <c r="AN1007" i="13"/>
  <c r="AE1009" i="15" s="1"/>
  <c r="AN1008" i="13"/>
  <c r="AE1010" i="15" s="1"/>
  <c r="AN1009" i="13"/>
  <c r="AN1010" i="13"/>
  <c r="AE1012" i="15" s="1"/>
  <c r="AN1011" i="13"/>
  <c r="AE1013" i="15" s="1"/>
  <c r="AN1012" i="13"/>
  <c r="AE1014" i="15" s="1"/>
  <c r="AN1013" i="13"/>
  <c r="AE1015" i="15" s="1"/>
  <c r="AN1014" i="13"/>
  <c r="AE1016" i="15" s="1"/>
  <c r="AN1015" i="13"/>
  <c r="AE1017" i="15" s="1"/>
  <c r="AN1016" i="13"/>
  <c r="AE1018" i="15" s="1"/>
  <c r="AN1017" i="13"/>
  <c r="AE1019" i="15" s="1"/>
  <c r="AN1018" i="13"/>
  <c r="AE1020" i="15" s="1"/>
  <c r="AN1019" i="13"/>
  <c r="AE1021" i="15" s="1"/>
  <c r="AN1020" i="13"/>
  <c r="AE1022" i="15" s="1"/>
  <c r="AN1021" i="13"/>
  <c r="AE1023" i="15" s="1"/>
  <c r="AN1022" i="13"/>
  <c r="AE1024" i="15" s="1"/>
  <c r="AN1023" i="13"/>
  <c r="AE1025" i="15" s="1"/>
  <c r="AN1024" i="13"/>
  <c r="AE1026" i="15" s="1"/>
  <c r="AN1025" i="13"/>
  <c r="AE1027" i="15" s="1"/>
  <c r="AN1026" i="13"/>
  <c r="AE1028" i="15" s="1"/>
  <c r="AN1027" i="13"/>
  <c r="AE1029" i="15" s="1"/>
  <c r="AN1028" i="13"/>
  <c r="AN1029" i="13"/>
  <c r="AE1031" i="15" s="1"/>
  <c r="AN1030" i="13"/>
  <c r="AE1032" i="15" s="1"/>
  <c r="AN1031" i="13"/>
  <c r="AE1033" i="15" s="1"/>
  <c r="AN1032" i="13"/>
  <c r="AE1034" i="15" s="1"/>
  <c r="AN1033" i="13"/>
  <c r="AE1035" i="15" s="1"/>
  <c r="AN1034" i="13"/>
  <c r="AE1036" i="15" s="1"/>
  <c r="AN1035" i="13"/>
  <c r="AE1037" i="15" s="1"/>
  <c r="AN1036" i="13"/>
  <c r="AE1038" i="15" s="1"/>
  <c r="AN1037" i="13"/>
  <c r="AE1039" i="15" s="1"/>
  <c r="AN1038" i="13"/>
  <c r="AE1040" i="15" s="1"/>
  <c r="AN1039" i="13"/>
  <c r="AE1041" i="15" s="1"/>
  <c r="AN1040" i="13"/>
  <c r="AE1042" i="15" s="1"/>
  <c r="AN1041" i="13"/>
  <c r="AE1043" i="15" s="1"/>
  <c r="AN1042" i="13"/>
  <c r="AE1044" i="15" s="1"/>
  <c r="AN1043" i="13"/>
  <c r="AE1045" i="15" s="1"/>
  <c r="AN1044" i="13"/>
  <c r="AE1046" i="15" s="1"/>
  <c r="AN1045" i="13"/>
  <c r="AE1047" i="15" s="1"/>
  <c r="AN1046" i="13"/>
  <c r="AE1048" i="15" s="1"/>
  <c r="AN1047" i="13"/>
  <c r="AN1048" i="13"/>
  <c r="AE1050" i="15" s="1"/>
  <c r="AN1049" i="13"/>
  <c r="AE1051" i="15" s="1"/>
  <c r="AN1050" i="13"/>
  <c r="AE1052" i="15" s="1"/>
  <c r="AN1051" i="13"/>
  <c r="AE1053" i="15" s="1"/>
  <c r="AN1052" i="13"/>
  <c r="AE1054" i="15" s="1"/>
  <c r="AN1053" i="13"/>
  <c r="AE1055" i="15" s="1"/>
  <c r="AN1054" i="13"/>
  <c r="AE1056" i="15" s="1"/>
  <c r="AN1055" i="13"/>
  <c r="AE1057" i="15" s="1"/>
  <c r="AN1056" i="13"/>
  <c r="AE1058" i="15" s="1"/>
  <c r="AN1057" i="13"/>
  <c r="AE1059" i="15" s="1"/>
  <c r="AN1058" i="13"/>
  <c r="AE1060" i="15" s="1"/>
  <c r="AN1059" i="13"/>
  <c r="AE1061" i="15" s="1"/>
  <c r="AN1060" i="13"/>
  <c r="AE1062" i="15" s="1"/>
  <c r="AN1061" i="13"/>
  <c r="AE1063" i="15" s="1"/>
  <c r="AN1062" i="13"/>
  <c r="AE1064" i="15" s="1"/>
  <c r="AN1063" i="13"/>
  <c r="AE1065" i="15" s="1"/>
  <c r="AN1064" i="13"/>
  <c r="AE1066" i="15" s="1"/>
  <c r="AN1065" i="13"/>
  <c r="AE1067" i="15" s="1"/>
  <c r="AN1066" i="13"/>
  <c r="AN1067" i="13"/>
  <c r="AE1069" i="15" s="1"/>
  <c r="AN1068" i="13"/>
  <c r="AE1070" i="15" s="1"/>
  <c r="AN1069" i="13"/>
  <c r="AE1071" i="15" s="1"/>
  <c r="AN1070" i="13"/>
  <c r="AE1072" i="15" s="1"/>
  <c r="AN1071" i="13"/>
  <c r="AE1073" i="15" s="1"/>
  <c r="AN1072" i="13"/>
  <c r="AE1074" i="15" s="1"/>
  <c r="AN1073" i="13"/>
  <c r="AE1075" i="15" s="1"/>
  <c r="AN1074" i="13"/>
  <c r="AE1076" i="15" s="1"/>
  <c r="AN1075" i="13"/>
  <c r="AE1077" i="15" s="1"/>
  <c r="AN1076" i="13"/>
  <c r="AE1078" i="15" s="1"/>
  <c r="AN1077" i="13"/>
  <c r="AE1079" i="15" s="1"/>
  <c r="AN1078" i="13"/>
  <c r="AE1080" i="15" s="1"/>
  <c r="AN1079" i="13"/>
  <c r="AE1081" i="15" s="1"/>
  <c r="AN1080" i="13"/>
  <c r="AE1082" i="15" s="1"/>
  <c r="AN1081" i="13"/>
  <c r="AE1083" i="15" s="1"/>
  <c r="AN1082" i="13"/>
  <c r="AE1084" i="15" s="1"/>
  <c r="AN1083" i="13"/>
  <c r="AE1085" i="15" s="1"/>
  <c r="AN1084" i="13"/>
  <c r="AE1086" i="15" s="1"/>
  <c r="AN1085" i="13"/>
  <c r="AN1086" i="13"/>
  <c r="AE1088" i="15" s="1"/>
  <c r="AN1087" i="13"/>
  <c r="AE1089" i="15" s="1"/>
  <c r="AN1088" i="13"/>
  <c r="AE1090" i="15" s="1"/>
  <c r="AN1089" i="13"/>
  <c r="AE1091" i="15" s="1"/>
  <c r="AN1090" i="13"/>
  <c r="AE1092" i="15" s="1"/>
  <c r="AN1091" i="13"/>
  <c r="AE1093" i="15" s="1"/>
  <c r="AN1092" i="13"/>
  <c r="AE1094" i="15" s="1"/>
  <c r="AN1093" i="13"/>
  <c r="AE1095" i="15" s="1"/>
  <c r="AN1094" i="13"/>
  <c r="AE1096" i="15" s="1"/>
  <c r="AN1095" i="13"/>
  <c r="AE1097" i="15" s="1"/>
  <c r="AN1096" i="13"/>
  <c r="AE1098" i="15" s="1"/>
  <c r="AN1097" i="13"/>
  <c r="AE1099" i="15" s="1"/>
  <c r="AN1098" i="13"/>
  <c r="AE1100" i="15" s="1"/>
  <c r="AN1099" i="13"/>
  <c r="AE1101" i="15" s="1"/>
  <c r="AN1100" i="13"/>
  <c r="AE1102" i="15" s="1"/>
  <c r="AN1101" i="13"/>
  <c r="AE1103" i="15" s="1"/>
  <c r="AN1102" i="13"/>
  <c r="AE1104" i="15" s="1"/>
  <c r="AN1103" i="13"/>
  <c r="AE1105" i="15" s="1"/>
  <c r="AN1104" i="13"/>
  <c r="AN1105" i="13"/>
  <c r="AE1107" i="15" s="1"/>
  <c r="AN1106" i="13"/>
  <c r="AE1108" i="15" s="1"/>
  <c r="AN1107" i="13"/>
  <c r="AE1109" i="15" s="1"/>
  <c r="AN1108" i="13"/>
  <c r="AE1110" i="15" s="1"/>
  <c r="AN1109" i="13"/>
  <c r="AE1111" i="15" s="1"/>
  <c r="AN1110" i="13"/>
  <c r="AE1112" i="15" s="1"/>
  <c r="AN1111" i="13"/>
  <c r="AE1113" i="15" s="1"/>
  <c r="AN1112" i="13"/>
  <c r="AE1114" i="15" s="1"/>
  <c r="AN1113" i="13"/>
  <c r="AE1115" i="15" s="1"/>
  <c r="AN1114" i="13"/>
  <c r="AE1116" i="15" s="1"/>
  <c r="AN1115" i="13"/>
  <c r="AE1117" i="15" s="1"/>
  <c r="AN1116" i="13"/>
  <c r="AE1118" i="15" s="1"/>
  <c r="AN1117" i="13"/>
  <c r="AE1119" i="15" s="1"/>
  <c r="AN1118" i="13"/>
  <c r="AE1120" i="15" s="1"/>
  <c r="AN1119" i="13"/>
  <c r="AE1121" i="15" s="1"/>
  <c r="AN1120" i="13"/>
  <c r="AE1122" i="15" s="1"/>
  <c r="AN1121" i="13"/>
  <c r="AE1123" i="15" s="1"/>
  <c r="AN1122" i="13"/>
  <c r="AE1124" i="15" s="1"/>
  <c r="AN1123" i="13"/>
  <c r="AN1124" i="13"/>
  <c r="AE1126" i="15" s="1"/>
  <c r="AN1125" i="13"/>
  <c r="AE1127" i="15" s="1"/>
  <c r="AN1126" i="13"/>
  <c r="AE1128" i="15" s="1"/>
  <c r="AN1127" i="13"/>
  <c r="AE1129" i="15" s="1"/>
  <c r="AN1128" i="13"/>
  <c r="AE1130" i="15" s="1"/>
  <c r="AN1129" i="13"/>
  <c r="AE1131" i="15" s="1"/>
  <c r="AN1130" i="13"/>
  <c r="AE1132" i="15" s="1"/>
  <c r="AN1131" i="13"/>
  <c r="AE1133" i="15" s="1"/>
  <c r="AN1132" i="13"/>
  <c r="AE1134" i="15" s="1"/>
  <c r="AN1133" i="13"/>
  <c r="AE1135" i="15" s="1"/>
  <c r="AN1134" i="13"/>
  <c r="AE1136" i="15" s="1"/>
  <c r="AN1135" i="13"/>
  <c r="AE1137" i="15" s="1"/>
  <c r="AN1136" i="13"/>
  <c r="AE1138" i="15" s="1"/>
  <c r="AN1137" i="13"/>
  <c r="AE1139" i="15" s="1"/>
  <c r="AN1138" i="13"/>
  <c r="AE1140" i="15" s="1"/>
  <c r="AN1139" i="13"/>
  <c r="AE1141" i="15" s="1"/>
  <c r="AN1140" i="13"/>
  <c r="AE1142" i="15" s="1"/>
  <c r="AN1141" i="13"/>
  <c r="AE1143" i="15" s="1"/>
  <c r="AN1142" i="13"/>
  <c r="AN1143" i="13"/>
  <c r="AE1145" i="15" s="1"/>
  <c r="AN1144" i="13"/>
  <c r="AE1146" i="15" s="1"/>
  <c r="AN1145" i="13"/>
  <c r="AE1147" i="15" s="1"/>
  <c r="AN1146" i="13"/>
  <c r="AE1148" i="15" s="1"/>
  <c r="AN1147" i="13"/>
  <c r="AE1149" i="15" s="1"/>
  <c r="AN1148" i="13"/>
  <c r="AE1150" i="15" s="1"/>
  <c r="AN1149" i="13"/>
  <c r="AE1151" i="15" s="1"/>
  <c r="AN1150" i="13"/>
  <c r="AE1152" i="15" s="1"/>
  <c r="AN1151" i="13"/>
  <c r="AE1153" i="15" s="1"/>
  <c r="AN1152" i="13"/>
  <c r="AE1154" i="15" s="1"/>
  <c r="AN1153" i="13"/>
  <c r="AE1155" i="15" s="1"/>
  <c r="AN1154" i="13"/>
  <c r="AE1156" i="15" s="1"/>
  <c r="AN1155" i="13"/>
  <c r="AE1157" i="15" s="1"/>
  <c r="AN1156" i="13"/>
  <c r="AE1158" i="15" s="1"/>
  <c r="AN1157" i="13"/>
  <c r="AE1159" i="15" s="1"/>
  <c r="AN1158" i="13"/>
  <c r="AE1160" i="15" s="1"/>
  <c r="AN1159" i="13"/>
  <c r="AE1161" i="15" s="1"/>
  <c r="AN1160" i="13"/>
  <c r="AE1162" i="15" s="1"/>
  <c r="AN1161" i="13"/>
  <c r="AN1162" i="13"/>
  <c r="AE1164" i="15" s="1"/>
  <c r="AN1163" i="13"/>
  <c r="AE1165" i="15" s="1"/>
  <c r="AN1164" i="13"/>
  <c r="AE1166" i="15" s="1"/>
  <c r="AN1165" i="13"/>
  <c r="AE1167" i="15" s="1"/>
  <c r="AN1166" i="13"/>
  <c r="AE1168" i="15" s="1"/>
  <c r="AN1167" i="13"/>
  <c r="AE1169" i="15" s="1"/>
  <c r="AN1168" i="13"/>
  <c r="AE1170" i="15" s="1"/>
  <c r="AN1169" i="13"/>
  <c r="AE1171" i="15" s="1"/>
  <c r="AN1170" i="13"/>
  <c r="AE1172" i="15" s="1"/>
  <c r="AN1171" i="13"/>
  <c r="AE1173" i="15" s="1"/>
  <c r="AN1172" i="13"/>
  <c r="AE1174" i="15" s="1"/>
  <c r="AN1173" i="13"/>
  <c r="AE1175" i="15" s="1"/>
  <c r="AN1174" i="13"/>
  <c r="AE1176" i="15" s="1"/>
  <c r="AN1175" i="13"/>
  <c r="AE1177" i="15" s="1"/>
  <c r="AN1176" i="13"/>
  <c r="AE1178" i="15" s="1"/>
  <c r="AN1177" i="13"/>
  <c r="AE1179" i="15" s="1"/>
  <c r="AN1178" i="13"/>
  <c r="AE1180" i="15" s="1"/>
  <c r="AN1179" i="13"/>
  <c r="AE1181" i="15" s="1"/>
  <c r="AN1180" i="13"/>
  <c r="AN1181" i="13"/>
  <c r="AE1183" i="15" s="1"/>
  <c r="AN1182" i="13"/>
  <c r="AE1184" i="15" s="1"/>
  <c r="AN1183" i="13"/>
  <c r="AE1185" i="15" s="1"/>
  <c r="AN1184" i="13"/>
  <c r="AE1186" i="15" s="1"/>
  <c r="AN1185" i="13"/>
  <c r="AE1187" i="15" s="1"/>
  <c r="AN1186" i="13"/>
  <c r="AE1188" i="15" s="1"/>
  <c r="AN1187" i="13"/>
  <c r="AE1189" i="15" s="1"/>
  <c r="AN1188" i="13"/>
  <c r="AE1190" i="15" s="1"/>
  <c r="AN1189" i="13"/>
  <c r="AE1191" i="15" s="1"/>
  <c r="AN1190" i="13"/>
  <c r="AE1192" i="15" s="1"/>
  <c r="AN1191" i="13"/>
  <c r="AE1193" i="15" s="1"/>
  <c r="AN1192" i="13"/>
  <c r="AE1194" i="15" s="1"/>
  <c r="AN1193" i="13"/>
  <c r="AE1195" i="15" s="1"/>
  <c r="AN1194" i="13"/>
  <c r="AE1196" i="15" s="1"/>
  <c r="AN1195" i="13"/>
  <c r="AE1197" i="15" s="1"/>
  <c r="AN1196" i="13"/>
  <c r="AE1198" i="15" s="1"/>
  <c r="AN1197" i="13"/>
  <c r="AE1199" i="15" s="1"/>
  <c r="AN1198" i="13"/>
  <c r="AE1200" i="15" s="1"/>
  <c r="AN1199" i="13"/>
  <c r="AN1200" i="13"/>
  <c r="AE1202" i="15" s="1"/>
  <c r="AN1201" i="13"/>
  <c r="AE1203" i="15" s="1"/>
  <c r="AN1202" i="13"/>
  <c r="AE1204" i="15" s="1"/>
  <c r="AN1203" i="13"/>
  <c r="AE1205" i="15" s="1"/>
  <c r="AN1204" i="13"/>
  <c r="AE1206" i="15" s="1"/>
  <c r="AN1205" i="13"/>
  <c r="AE1207" i="15" s="1"/>
  <c r="AN1206" i="13"/>
  <c r="AE1208" i="15" s="1"/>
  <c r="AN1207" i="13"/>
  <c r="AE1209" i="15" s="1"/>
  <c r="AN1208" i="13"/>
  <c r="AE1210" i="15" s="1"/>
  <c r="AN1209" i="13"/>
  <c r="AE1211" i="15" s="1"/>
  <c r="AN1210" i="13"/>
  <c r="AE1212" i="15" s="1"/>
  <c r="AN1211" i="13"/>
  <c r="AE1213" i="15" s="1"/>
  <c r="AN1212" i="13"/>
  <c r="AE1214" i="15" s="1"/>
  <c r="AN1213" i="13"/>
  <c r="AE1215" i="15" s="1"/>
  <c r="AN1214" i="13"/>
  <c r="AE1216" i="15" s="1"/>
  <c r="AN1215" i="13"/>
  <c r="AE1217" i="15" s="1"/>
  <c r="AN1216" i="13"/>
  <c r="AE1218" i="15" s="1"/>
  <c r="AN1217" i="13"/>
  <c r="AE1219" i="15" s="1"/>
  <c r="AN1218" i="13"/>
  <c r="AN1219" i="13"/>
  <c r="AE1221" i="15" s="1"/>
  <c r="AN1220" i="13"/>
  <c r="AE1222" i="15" s="1"/>
  <c r="AN1221" i="13"/>
  <c r="AE1223" i="15" s="1"/>
  <c r="AN1222" i="13"/>
  <c r="AE1224" i="15" s="1"/>
  <c r="AN1223" i="13"/>
  <c r="AE1225" i="15" s="1"/>
  <c r="AN1224" i="13"/>
  <c r="AE1226" i="15" s="1"/>
  <c r="AN1225" i="13"/>
  <c r="AE1227" i="15" s="1"/>
  <c r="AN1226" i="13"/>
  <c r="AE1228" i="15" s="1"/>
  <c r="AN1227" i="13"/>
  <c r="AE1229" i="15" s="1"/>
  <c r="AN1228" i="13"/>
  <c r="AE1230" i="15" s="1"/>
  <c r="AN1229" i="13"/>
  <c r="AE1231" i="15" s="1"/>
  <c r="AN1230" i="13"/>
  <c r="AE1232" i="15" s="1"/>
  <c r="AN1231" i="13"/>
  <c r="AE1233" i="15" s="1"/>
  <c r="AN1232" i="13"/>
  <c r="AE1234" i="15" s="1"/>
  <c r="AN1233" i="13"/>
  <c r="AE1235" i="15" s="1"/>
  <c r="AN1234" i="13"/>
  <c r="AE1236" i="15" s="1"/>
  <c r="AN1235" i="13"/>
  <c r="AE1237" i="15" s="1"/>
  <c r="AN1236" i="13"/>
  <c r="AE1238" i="15" s="1"/>
  <c r="AN1237" i="13"/>
  <c r="AN1238" i="13"/>
  <c r="AE1240" i="15" s="1"/>
  <c r="AN1239" i="13"/>
  <c r="AE1241" i="15" s="1"/>
  <c r="AN1240" i="13"/>
  <c r="AE1242" i="15" s="1"/>
  <c r="AN1241" i="13"/>
  <c r="AE1243" i="15" s="1"/>
  <c r="AN1242" i="13"/>
  <c r="AE1244" i="15" s="1"/>
  <c r="AN1243" i="13"/>
  <c r="AE1245" i="15" s="1"/>
  <c r="AN1244" i="13"/>
  <c r="AE1246" i="15" s="1"/>
  <c r="AN1245" i="13"/>
  <c r="AE1247" i="15" s="1"/>
  <c r="AN1246" i="13"/>
  <c r="AE1248" i="15" s="1"/>
  <c r="AN1247" i="13"/>
  <c r="AE1249" i="15" s="1"/>
  <c r="AN1248" i="13"/>
  <c r="AE1250" i="15" s="1"/>
  <c r="AN1249" i="13"/>
  <c r="AE1251" i="15" s="1"/>
  <c r="AN1250" i="13"/>
  <c r="AE1252" i="15" s="1"/>
  <c r="AN1251" i="13"/>
  <c r="AE1253" i="15" s="1"/>
  <c r="AN1252" i="13"/>
  <c r="AE1254" i="15" s="1"/>
  <c r="AN1253" i="13"/>
  <c r="AE1255" i="15" s="1"/>
  <c r="AN1254" i="13"/>
  <c r="AE1256" i="15" s="1"/>
  <c r="AN1255" i="13"/>
  <c r="AE1257" i="15" s="1"/>
  <c r="AN1256" i="13"/>
  <c r="AN1257" i="13"/>
  <c r="AE1259" i="15" s="1"/>
  <c r="AN1258" i="13"/>
  <c r="AE1260" i="15" s="1"/>
  <c r="AN1259" i="13"/>
  <c r="AE1261" i="15" s="1"/>
  <c r="AN1260" i="13"/>
  <c r="AE1262" i="15" s="1"/>
  <c r="AN1261" i="13"/>
  <c r="AE1263" i="15" s="1"/>
  <c r="AN1262" i="13"/>
  <c r="AE1264" i="15" s="1"/>
  <c r="AN1263" i="13"/>
  <c r="AE1265" i="15" s="1"/>
  <c r="AN1264" i="13"/>
  <c r="AE1266" i="15" s="1"/>
  <c r="AN1265" i="13"/>
  <c r="AE1267" i="15" s="1"/>
  <c r="AN1266" i="13"/>
  <c r="AE1268" i="15" s="1"/>
  <c r="AN1267" i="13"/>
  <c r="AE1269" i="15" s="1"/>
  <c r="AN1268" i="13"/>
  <c r="AE1270" i="15" s="1"/>
  <c r="AN1269" i="13"/>
  <c r="AE1271" i="15" s="1"/>
  <c r="AN1270" i="13"/>
  <c r="AE1272" i="15" s="1"/>
  <c r="AN1271" i="13"/>
  <c r="AE1273" i="15" s="1"/>
  <c r="AN1272" i="13"/>
  <c r="AE1274" i="15" s="1"/>
  <c r="AN1273" i="13"/>
  <c r="AE1275" i="15" s="1"/>
  <c r="AN1274" i="13"/>
  <c r="AE1276" i="15" s="1"/>
  <c r="AN1275" i="13"/>
  <c r="AN1276" i="13"/>
  <c r="AE1278" i="15" s="1"/>
  <c r="AN1277" i="13"/>
  <c r="AE1279" i="15" s="1"/>
  <c r="AN1278" i="13"/>
  <c r="AE1280" i="15" s="1"/>
  <c r="AN1279" i="13"/>
  <c r="AE1281" i="15" s="1"/>
  <c r="AN1280" i="13"/>
  <c r="AE1282" i="15" s="1"/>
  <c r="AN1281" i="13"/>
  <c r="AE1283" i="15" s="1"/>
  <c r="AN1282" i="13"/>
  <c r="AE1284" i="15" s="1"/>
  <c r="AN1283" i="13"/>
  <c r="AE1285" i="15" s="1"/>
  <c r="AN1284" i="13"/>
  <c r="AE1286" i="15" s="1"/>
  <c r="AN1285" i="13"/>
  <c r="AE1287" i="15" s="1"/>
  <c r="AN1286" i="13"/>
  <c r="AE1288" i="15" s="1"/>
  <c r="AN1287" i="13"/>
  <c r="AE1289" i="15" s="1"/>
  <c r="AN1288" i="13"/>
  <c r="AE1290" i="15" s="1"/>
  <c r="AN1289" i="13"/>
  <c r="AE1291" i="15" s="1"/>
  <c r="AN1290" i="13"/>
  <c r="AE1292" i="15" s="1"/>
  <c r="AN1291" i="13"/>
  <c r="AE1293" i="15" s="1"/>
  <c r="AN1292" i="13"/>
  <c r="AE1294" i="15" s="1"/>
  <c r="AN1293" i="13"/>
  <c r="AE1295" i="15" s="1"/>
  <c r="AN1294" i="13"/>
  <c r="AN1295" i="13"/>
  <c r="AE1297" i="15" s="1"/>
  <c r="AN1296" i="13"/>
  <c r="AE1298" i="15" s="1"/>
  <c r="AN1297" i="13"/>
  <c r="AE1299" i="15" s="1"/>
  <c r="AN1298" i="13"/>
  <c r="AE1300" i="15" s="1"/>
  <c r="AN1299" i="13"/>
  <c r="AE1301" i="15" s="1"/>
  <c r="AN1300" i="13"/>
  <c r="AE1302" i="15" s="1"/>
  <c r="AN1301" i="13"/>
  <c r="AE1303" i="15" s="1"/>
  <c r="AN1302" i="13"/>
  <c r="AE1304" i="15" s="1"/>
  <c r="AN1303" i="13"/>
  <c r="AE1305" i="15" s="1"/>
  <c r="AN1304" i="13"/>
  <c r="AE1306" i="15" s="1"/>
  <c r="AN1305" i="13"/>
  <c r="AE1307" i="15" s="1"/>
  <c r="AN1306" i="13"/>
  <c r="AE1308" i="15" s="1"/>
  <c r="AN1307" i="13"/>
  <c r="AE1309" i="15" s="1"/>
  <c r="AN1308" i="13"/>
  <c r="AE1310" i="15" s="1"/>
  <c r="AN1309" i="13"/>
  <c r="AE1311" i="15" s="1"/>
  <c r="AN1310" i="13"/>
  <c r="AE1312" i="15" s="1"/>
  <c r="AN1311" i="13"/>
  <c r="AE1313" i="15" s="1"/>
  <c r="AN1312" i="13"/>
  <c r="AE1314" i="15" s="1"/>
  <c r="AN1313" i="13"/>
  <c r="AN1314" i="13"/>
  <c r="AE1316" i="15" s="1"/>
  <c r="AN1315" i="13"/>
  <c r="AE1317" i="15" s="1"/>
  <c r="AN1316" i="13"/>
  <c r="AE1318" i="15" s="1"/>
  <c r="AN1317" i="13"/>
  <c r="AE1319" i="15" s="1"/>
  <c r="AN1318" i="13"/>
  <c r="AE1320" i="15" s="1"/>
  <c r="AN1319" i="13"/>
  <c r="AE1321" i="15" s="1"/>
  <c r="AN1320" i="13"/>
  <c r="AE1322" i="15" s="1"/>
  <c r="AN1321" i="13"/>
  <c r="AE1323" i="15" s="1"/>
  <c r="AN1322" i="13"/>
  <c r="AE1324" i="15" s="1"/>
  <c r="AN1323" i="13"/>
  <c r="AE1325" i="15" s="1"/>
  <c r="AN1324" i="13"/>
  <c r="AE1326" i="15" s="1"/>
  <c r="AN1325" i="13"/>
  <c r="AE1327" i="15" s="1"/>
  <c r="AN1326" i="13"/>
  <c r="AE1328" i="15" s="1"/>
  <c r="AN1327" i="13"/>
  <c r="AE1329" i="15" s="1"/>
  <c r="AN1328" i="13"/>
  <c r="AE1330" i="15" s="1"/>
  <c r="AN1329" i="13"/>
  <c r="AE1331" i="15" s="1"/>
  <c r="AN1330" i="13"/>
  <c r="AE1332" i="15" s="1"/>
  <c r="AN1331" i="13"/>
  <c r="AE1333" i="15" s="1"/>
  <c r="AN1332" i="13"/>
  <c r="AN1333" i="13"/>
  <c r="AE1335" i="15" s="1"/>
  <c r="AN1334" i="13"/>
  <c r="AE1336" i="15" s="1"/>
  <c r="AN1335" i="13"/>
  <c r="AE1337" i="15" s="1"/>
  <c r="AN1336" i="13"/>
  <c r="AE1338" i="15" s="1"/>
  <c r="AN1337" i="13"/>
  <c r="AE1339" i="15" s="1"/>
  <c r="AN1338" i="13"/>
  <c r="AE1340" i="15" s="1"/>
  <c r="AN1339" i="13"/>
  <c r="AE1341" i="15" s="1"/>
  <c r="AN1340" i="13"/>
  <c r="AE1342" i="15" s="1"/>
  <c r="AN1341" i="13"/>
  <c r="AE1343" i="15" s="1"/>
  <c r="AN1342" i="13"/>
  <c r="AE1344" i="15" s="1"/>
  <c r="AN1343" i="13"/>
  <c r="AE1345" i="15" s="1"/>
  <c r="AN1344" i="13"/>
  <c r="AE1346" i="15" s="1"/>
  <c r="AN1345" i="13"/>
  <c r="AE1347" i="15" s="1"/>
  <c r="AN1346" i="13"/>
  <c r="AE1348" i="15" s="1"/>
  <c r="AN1347" i="13"/>
  <c r="AE1349" i="15" s="1"/>
  <c r="AN1348" i="13"/>
  <c r="AE1350" i="15" s="1"/>
  <c r="AN1349" i="13"/>
  <c r="AE1351" i="15" s="1"/>
  <c r="AN1350" i="13"/>
  <c r="AE1352" i="15" s="1"/>
  <c r="AN1351" i="13"/>
  <c r="AN1352" i="13"/>
  <c r="AE1354" i="15" s="1"/>
  <c r="AN1353" i="13"/>
  <c r="AE1355" i="15" s="1"/>
  <c r="AN1354" i="13"/>
  <c r="AE1356" i="15" s="1"/>
  <c r="AN1355" i="13"/>
  <c r="AE1357" i="15" s="1"/>
  <c r="AN1356" i="13"/>
  <c r="AE1358" i="15" s="1"/>
  <c r="AN1357" i="13"/>
  <c r="AE1359" i="15" s="1"/>
  <c r="AN1358" i="13"/>
  <c r="AE1360" i="15" s="1"/>
  <c r="AN1359" i="13"/>
  <c r="AE1361" i="15" s="1"/>
  <c r="AN1360" i="13"/>
  <c r="AE1362" i="15" s="1"/>
  <c r="AN1361" i="13"/>
  <c r="AE1363" i="15" s="1"/>
  <c r="AN1362" i="13"/>
  <c r="AE1364" i="15" s="1"/>
  <c r="AN1363" i="13"/>
  <c r="AE1365" i="15" s="1"/>
  <c r="AN1364" i="13"/>
  <c r="AE1366" i="15" s="1"/>
  <c r="AN1365" i="13"/>
  <c r="AE1367" i="15" s="1"/>
  <c r="AN1366" i="13"/>
  <c r="AE1368" i="15" s="1"/>
  <c r="AN1367" i="13"/>
  <c r="AE1369" i="15" s="1"/>
  <c r="AN1368" i="13"/>
  <c r="AE1370" i="15" s="1"/>
  <c r="AN1369" i="13"/>
  <c r="AE1371" i="15" s="1"/>
  <c r="AN1370" i="13"/>
  <c r="AN1371" i="13"/>
  <c r="AE1373" i="15" s="1"/>
  <c r="AN1372" i="13"/>
  <c r="AE1374" i="15" s="1"/>
  <c r="AN1373" i="13"/>
  <c r="AE1375" i="15" s="1"/>
  <c r="AN1374" i="13"/>
  <c r="AE1376" i="15" s="1"/>
  <c r="AN1375" i="13"/>
  <c r="AE1377" i="15" s="1"/>
  <c r="AN1376" i="13"/>
  <c r="AE1378" i="15" s="1"/>
  <c r="AN1377" i="13"/>
  <c r="AE1379" i="15" s="1"/>
  <c r="AN1378" i="13"/>
  <c r="AE1380" i="15" s="1"/>
  <c r="AN1379" i="13"/>
  <c r="AE1381" i="15" s="1"/>
  <c r="AN1380" i="13"/>
  <c r="AE1382" i="15" s="1"/>
  <c r="AN1381" i="13"/>
  <c r="AE1383" i="15" s="1"/>
  <c r="AN1382" i="13"/>
  <c r="AE1384" i="15" s="1"/>
  <c r="AN1383" i="13"/>
  <c r="AE1385" i="15" s="1"/>
  <c r="AN1384" i="13"/>
  <c r="AE1386" i="15" s="1"/>
  <c r="AN1385" i="13"/>
  <c r="AE1387" i="15" s="1"/>
  <c r="AN1386" i="13"/>
  <c r="AE1388" i="15" s="1"/>
  <c r="AN1387" i="13"/>
  <c r="AE1389" i="15" s="1"/>
  <c r="AN1388" i="13"/>
  <c r="AE1390" i="15" s="1"/>
  <c r="AN1389" i="13"/>
  <c r="AN1390" i="13"/>
  <c r="AE1392" i="15" s="1"/>
  <c r="AN1391" i="13"/>
  <c r="AE1393" i="15" s="1"/>
  <c r="AN1392" i="13"/>
  <c r="AE1394" i="15" s="1"/>
  <c r="AN1393" i="13"/>
  <c r="AE1395" i="15" s="1"/>
  <c r="AN1394" i="13"/>
  <c r="AE1396" i="15" s="1"/>
  <c r="AN1395" i="13"/>
  <c r="AE1397" i="15" s="1"/>
  <c r="AN1396" i="13"/>
  <c r="AE1398" i="15" s="1"/>
  <c r="AN1397" i="13"/>
  <c r="AE1399" i="15" s="1"/>
  <c r="AN1398" i="13"/>
  <c r="AE1400" i="15" s="1"/>
  <c r="AN1399" i="13"/>
  <c r="AE1401" i="15" s="1"/>
  <c r="AN1400" i="13"/>
  <c r="AE1402" i="15" s="1"/>
  <c r="AN1401" i="13"/>
  <c r="AE1403" i="15" s="1"/>
  <c r="AN1402" i="13"/>
  <c r="AE1404" i="15" s="1"/>
  <c r="AN1403" i="13"/>
  <c r="AE1405" i="15" s="1"/>
  <c r="AN1404" i="13"/>
  <c r="AE1406" i="15" s="1"/>
  <c r="AN1405" i="13"/>
  <c r="AE1407" i="15" s="1"/>
  <c r="AN1406" i="13"/>
  <c r="AE1408" i="15" s="1"/>
  <c r="AN1407" i="13"/>
  <c r="AE1409" i="15" s="1"/>
  <c r="AN1408" i="13"/>
  <c r="AN1409" i="13"/>
  <c r="AE1411" i="15" s="1"/>
  <c r="AN1410" i="13"/>
  <c r="AE1412" i="15" s="1"/>
  <c r="AN1411" i="13"/>
  <c r="AE1413" i="15" s="1"/>
  <c r="AN1412" i="13"/>
  <c r="AE1414" i="15" s="1"/>
  <c r="AN1413" i="13"/>
  <c r="AE1415" i="15" s="1"/>
  <c r="AN1414" i="13"/>
  <c r="AE1416" i="15" s="1"/>
  <c r="AN1415" i="13"/>
  <c r="AE1417" i="15" s="1"/>
  <c r="AN1416" i="13"/>
  <c r="AE1418" i="15" s="1"/>
  <c r="AN1417" i="13"/>
  <c r="AE1419" i="15" s="1"/>
  <c r="AN1418" i="13"/>
  <c r="AE1420" i="15" s="1"/>
  <c r="AN1419" i="13"/>
  <c r="AE1421" i="15" s="1"/>
  <c r="AN1420" i="13"/>
  <c r="AE1422" i="15" s="1"/>
  <c r="AN1421" i="13"/>
  <c r="AE1423" i="15" s="1"/>
  <c r="AN1422" i="13"/>
  <c r="AE1424" i="15" s="1"/>
  <c r="AN1423" i="13"/>
  <c r="AE1425" i="15" s="1"/>
  <c r="AN1424" i="13"/>
  <c r="AE1426" i="15" s="1"/>
  <c r="AN1425" i="13"/>
  <c r="AE1427" i="15" s="1"/>
  <c r="AN1426" i="13"/>
  <c r="AE1428" i="15" s="1"/>
  <c r="AN1427" i="13"/>
  <c r="AN1428" i="13"/>
  <c r="AE1430" i="15" s="1"/>
  <c r="AN1429" i="13"/>
  <c r="AE1431" i="15" s="1"/>
  <c r="AN1430" i="13"/>
  <c r="AE1432" i="15" s="1"/>
  <c r="AN1431" i="13"/>
  <c r="AE1433" i="15" s="1"/>
  <c r="AN1432" i="13"/>
  <c r="AE1434" i="15" s="1"/>
  <c r="AN1433" i="13"/>
  <c r="AE1435" i="15" s="1"/>
  <c r="AN1434" i="13"/>
  <c r="AE1436" i="15" s="1"/>
  <c r="AN1435" i="13"/>
  <c r="AE1437" i="15" s="1"/>
  <c r="AN1436" i="13"/>
  <c r="AE1438" i="15" s="1"/>
  <c r="AN1437" i="13"/>
  <c r="AE1439" i="15" s="1"/>
  <c r="AN1438" i="13"/>
  <c r="AE1440" i="15" s="1"/>
  <c r="AN1439" i="13"/>
  <c r="AE1441" i="15" s="1"/>
  <c r="AN1440" i="13"/>
  <c r="AE1442" i="15" s="1"/>
  <c r="AN1441" i="13"/>
  <c r="AE1443" i="15" s="1"/>
  <c r="AN1442" i="13"/>
  <c r="AE1444" i="15" s="1"/>
  <c r="AN1443" i="13"/>
  <c r="AE1445" i="15" s="1"/>
  <c r="AN1444" i="13"/>
  <c r="AE1446" i="15" s="1"/>
  <c r="AN1445" i="13"/>
  <c r="AE1447" i="15" s="1"/>
  <c r="AN1446" i="13"/>
  <c r="AN1447" i="13"/>
  <c r="AE1449" i="15" s="1"/>
  <c r="AN1448" i="13"/>
  <c r="AE1450" i="15" s="1"/>
  <c r="AN1449" i="13"/>
  <c r="AE1451" i="15" s="1"/>
  <c r="AN1450" i="13"/>
  <c r="AE1452" i="15" s="1"/>
  <c r="AN1451" i="13"/>
  <c r="AE1453" i="15" s="1"/>
  <c r="AN1452" i="13"/>
  <c r="AE1454" i="15" s="1"/>
  <c r="AN1453" i="13"/>
  <c r="AE1455" i="15" s="1"/>
  <c r="AN1454" i="13"/>
  <c r="AE1456" i="15" s="1"/>
  <c r="AN1455" i="13"/>
  <c r="AE1457" i="15" s="1"/>
  <c r="AN1456" i="13"/>
  <c r="AE1458" i="15" s="1"/>
  <c r="AN1457" i="13"/>
  <c r="AE1459" i="15" s="1"/>
  <c r="AN1458" i="13"/>
  <c r="AE1460" i="15" s="1"/>
  <c r="AN1459" i="13"/>
  <c r="AE1461" i="15" s="1"/>
  <c r="AN1460" i="13"/>
  <c r="AE1462" i="15" s="1"/>
  <c r="AN1461" i="13"/>
  <c r="AE1463" i="15" s="1"/>
  <c r="AN1462" i="13"/>
  <c r="AE1464" i="15" s="1"/>
  <c r="AN1463" i="13"/>
  <c r="AE1465" i="15" s="1"/>
  <c r="AN1464" i="13"/>
  <c r="AE1466" i="15" s="1"/>
  <c r="AN1465" i="13"/>
  <c r="AN1466" i="13"/>
  <c r="AE1468" i="15" s="1"/>
  <c r="AN1467" i="13"/>
  <c r="AE1469" i="15" s="1"/>
  <c r="AN1468" i="13"/>
  <c r="AE1470" i="15" s="1"/>
  <c r="AN1469" i="13"/>
  <c r="AE1471" i="15" s="1"/>
  <c r="AN1470" i="13"/>
  <c r="AE1472" i="15" s="1"/>
  <c r="AN1471" i="13"/>
  <c r="AE1473" i="15" s="1"/>
  <c r="AN1472" i="13"/>
  <c r="AE1474" i="15" s="1"/>
  <c r="AN1473" i="13"/>
  <c r="AE1475" i="15" s="1"/>
  <c r="AN1474" i="13"/>
  <c r="AE1476" i="15" s="1"/>
  <c r="AN1475" i="13"/>
  <c r="AE1477" i="15" s="1"/>
  <c r="AN1476" i="13"/>
  <c r="AE1478" i="15" s="1"/>
  <c r="AN1477" i="13"/>
  <c r="AE1479" i="15" s="1"/>
  <c r="AN1478" i="13"/>
  <c r="AE1480" i="15" s="1"/>
  <c r="AN1479" i="13"/>
  <c r="AE1481" i="15" s="1"/>
  <c r="AN1480" i="13"/>
  <c r="AE1482" i="15" s="1"/>
  <c r="AN1481" i="13"/>
  <c r="AE1483" i="15" s="1"/>
  <c r="AN1482" i="13"/>
  <c r="AE1484" i="15" s="1"/>
  <c r="AN1483" i="13"/>
  <c r="AE1485" i="15" s="1"/>
  <c r="AN1484" i="13"/>
  <c r="AN1485" i="13"/>
  <c r="AE1487" i="15" s="1"/>
  <c r="AN1486" i="13"/>
  <c r="AE1488" i="15" s="1"/>
  <c r="AN1487" i="13"/>
  <c r="AE1489" i="15" s="1"/>
  <c r="AN1488" i="13"/>
  <c r="AE1490" i="15" s="1"/>
  <c r="AN1489" i="13"/>
  <c r="AE1491" i="15" s="1"/>
  <c r="AN1490" i="13"/>
  <c r="AE1492" i="15" s="1"/>
  <c r="AN1491" i="13"/>
  <c r="AE1493" i="15" s="1"/>
  <c r="AN1492" i="13"/>
  <c r="AE1494" i="15" s="1"/>
  <c r="AN1493" i="13"/>
  <c r="AE1495" i="15" s="1"/>
  <c r="AN1494" i="13"/>
  <c r="AE1496" i="15" s="1"/>
  <c r="AN1495" i="13"/>
  <c r="AE1497" i="15" s="1"/>
  <c r="AN1496" i="13"/>
  <c r="AE1498" i="15" s="1"/>
  <c r="AN1497" i="13"/>
  <c r="AE1499" i="15" s="1"/>
  <c r="AN1498" i="13"/>
  <c r="AE1500" i="15" s="1"/>
  <c r="AN1499" i="13"/>
  <c r="AE1501" i="15" s="1"/>
  <c r="AN1500" i="13"/>
  <c r="AE1502" i="15" s="1"/>
  <c r="AN1501" i="13"/>
  <c r="AE1503" i="15" s="1"/>
  <c r="AN1502" i="13"/>
  <c r="AE1504" i="15" s="1"/>
  <c r="AN1503" i="13"/>
  <c r="AN1504" i="13"/>
  <c r="AE1506" i="15" s="1"/>
  <c r="AN1505" i="13"/>
  <c r="AE1507" i="15" s="1"/>
  <c r="AN1506" i="13"/>
  <c r="AE1508" i="15" s="1"/>
  <c r="AN1507" i="13"/>
  <c r="AE1509" i="15" s="1"/>
  <c r="AN1508" i="13"/>
  <c r="AE1510" i="15" s="1"/>
  <c r="AN1509" i="13"/>
  <c r="AE1511" i="15" s="1"/>
  <c r="AN1510" i="13"/>
  <c r="AE1512" i="15" s="1"/>
  <c r="AN1511" i="13"/>
  <c r="AE1513" i="15" s="1"/>
  <c r="AN1512" i="13"/>
  <c r="AE1514" i="15" s="1"/>
  <c r="AN1513" i="13"/>
  <c r="AE1515" i="15" s="1"/>
  <c r="AN1514" i="13"/>
  <c r="AE1516" i="15" s="1"/>
  <c r="AN1515" i="13"/>
  <c r="AE1517" i="15" s="1"/>
  <c r="AN1516" i="13"/>
  <c r="AE1518" i="15" s="1"/>
  <c r="AN1517" i="13"/>
  <c r="AE1519" i="15" s="1"/>
  <c r="AN1518" i="13"/>
  <c r="AE1520" i="15" s="1"/>
  <c r="AN1519" i="13"/>
  <c r="AE1521" i="15" s="1"/>
  <c r="AN1520" i="13"/>
  <c r="AE1522" i="15" s="1"/>
  <c r="AN1521" i="13"/>
  <c r="AE1523" i="15" s="1"/>
  <c r="S1241" i="15" l="1"/>
  <c r="S1204" i="15"/>
  <c r="S1084" i="15"/>
  <c r="N2" i="15"/>
  <c r="S940" i="15"/>
  <c r="S414" i="15"/>
  <c r="S1024" i="15"/>
  <c r="S1256" i="15"/>
  <c r="S1255" i="15"/>
  <c r="S1216" i="15"/>
  <c r="S1247" i="15"/>
  <c r="S1243" i="15"/>
  <c r="S1254" i="15"/>
  <c r="S1211" i="15"/>
  <c r="S1072" i="15"/>
  <c r="S1244" i="15"/>
  <c r="S1257" i="15"/>
  <c r="S1242" i="15"/>
  <c r="S1210" i="15"/>
  <c r="S1076" i="15"/>
  <c r="S1251" i="15"/>
  <c r="S1209" i="15"/>
  <c r="S1252" i="15"/>
  <c r="S1249" i="15"/>
  <c r="S1248" i="15"/>
  <c r="S1246" i="15"/>
  <c r="S1250" i="15"/>
  <c r="S1212" i="15"/>
  <c r="S1253" i="15"/>
  <c r="S1240" i="15"/>
  <c r="S1217" i="15"/>
  <c r="S1078" i="15"/>
  <c r="S1245" i="15"/>
  <c r="S1207" i="15"/>
  <c r="S1071" i="15"/>
  <c r="S1012" i="15"/>
  <c r="S1023" i="15"/>
  <c r="S1016" i="15"/>
  <c r="S1027" i="15"/>
  <c r="S1014" i="15"/>
  <c r="S1017" i="15"/>
  <c r="S1021" i="15"/>
  <c r="S1022" i="15"/>
  <c r="S1025" i="15"/>
  <c r="S1019" i="15"/>
  <c r="S1028" i="15"/>
  <c r="S1018" i="15"/>
  <c r="S1026" i="15"/>
  <c r="S1013" i="15"/>
  <c r="S405" i="15"/>
  <c r="S1020" i="15"/>
  <c r="S420" i="15"/>
  <c r="R46" i="18"/>
  <c r="S1070" i="15"/>
  <c r="R56" i="18"/>
  <c r="R67" i="18"/>
  <c r="R54" i="18"/>
  <c r="R74" i="18"/>
  <c r="T935" i="15" s="1"/>
  <c r="R66" i="18"/>
  <c r="T1391" i="15" s="1"/>
  <c r="T1401" i="15" s="1"/>
  <c r="R55" i="18"/>
  <c r="R40" i="18"/>
  <c r="R65" i="18"/>
  <c r="R47" i="18"/>
  <c r="S937" i="15"/>
  <c r="S1202" i="15"/>
  <c r="S1215" i="15"/>
  <c r="S1074" i="15"/>
  <c r="S1407" i="15"/>
  <c r="S1077" i="15"/>
  <c r="R70" i="18"/>
  <c r="S1206" i="15"/>
  <c r="S1203" i="15"/>
  <c r="S1086" i="15"/>
  <c r="S1081" i="15"/>
  <c r="S1396" i="15"/>
  <c r="S1218" i="15"/>
  <c r="S1205" i="15"/>
  <c r="S1208" i="15"/>
  <c r="S1069" i="15"/>
  <c r="S1402" i="15"/>
  <c r="S1404" i="15"/>
  <c r="R77" i="18"/>
  <c r="S1075" i="15"/>
  <c r="S1398" i="15"/>
  <c r="S1213" i="15"/>
  <c r="S1219" i="15"/>
  <c r="S1073" i="15"/>
  <c r="S1082" i="15"/>
  <c r="S1080" i="15"/>
  <c r="S1083" i="15"/>
  <c r="S1214" i="15"/>
  <c r="S1085" i="15"/>
  <c r="S1079" i="15"/>
  <c r="S1395" i="15"/>
  <c r="R68" i="18"/>
  <c r="S1401" i="15"/>
  <c r="S1156" i="15"/>
  <c r="S1149" i="15"/>
  <c r="S1158" i="15"/>
  <c r="S1152" i="15"/>
  <c r="S1159" i="15"/>
  <c r="S1162" i="15"/>
  <c r="S1151" i="15"/>
  <c r="S1154" i="15"/>
  <c r="S1148" i="15"/>
  <c r="S1157" i="15"/>
  <c r="S1153" i="15"/>
  <c r="S1146" i="15"/>
  <c r="S1150" i="15"/>
  <c r="S1155" i="15"/>
  <c r="S1147" i="15"/>
  <c r="S1145" i="15"/>
  <c r="S1161" i="15"/>
  <c r="S1160" i="15"/>
  <c r="S936" i="15"/>
  <c r="S952" i="15"/>
  <c r="S953" i="15"/>
  <c r="S948" i="15"/>
  <c r="S559" i="15"/>
  <c r="S560" i="15"/>
  <c r="S566" i="15"/>
  <c r="S564" i="15"/>
  <c r="S562" i="15"/>
  <c r="S561" i="15"/>
  <c r="S573" i="15"/>
  <c r="S565" i="15"/>
  <c r="S558" i="15"/>
  <c r="S567" i="15"/>
  <c r="S568" i="15"/>
  <c r="S557" i="15"/>
  <c r="S571" i="15"/>
  <c r="S556" i="15"/>
  <c r="S563" i="15"/>
  <c r="S570" i="15"/>
  <c r="S569" i="15"/>
  <c r="S572" i="15"/>
  <c r="S945" i="15"/>
  <c r="S947" i="15"/>
  <c r="S941" i="15"/>
  <c r="S946" i="15"/>
  <c r="S1403" i="15"/>
  <c r="S664" i="15"/>
  <c r="S652" i="15"/>
  <c r="S661" i="15"/>
  <c r="S663" i="15"/>
  <c r="S657" i="15"/>
  <c r="S658" i="15"/>
  <c r="S651" i="15"/>
  <c r="S662" i="15"/>
  <c r="S666" i="15"/>
  <c r="S659" i="15"/>
  <c r="S668" i="15"/>
  <c r="S654" i="15"/>
  <c r="S660" i="15"/>
  <c r="S653" i="15"/>
  <c r="S665" i="15"/>
  <c r="S655" i="15"/>
  <c r="S656" i="15"/>
  <c r="S667" i="15"/>
  <c r="S942" i="15"/>
  <c r="S943" i="15"/>
  <c r="S949" i="15"/>
  <c r="S950" i="15"/>
  <c r="S944" i="15"/>
  <c r="S938" i="15"/>
  <c r="S1406" i="15"/>
  <c r="S1409" i="15"/>
  <c r="S1405" i="15"/>
  <c r="S1393" i="15"/>
  <c r="S1400" i="15"/>
  <c r="S1394" i="15"/>
  <c r="S951" i="15"/>
  <c r="S1397" i="15"/>
  <c r="R69" i="18"/>
  <c r="S1399" i="15"/>
  <c r="S1408" i="15"/>
  <c r="S42" i="19"/>
  <c r="S75" i="19"/>
  <c r="S80" i="19"/>
  <c r="S79" i="19"/>
  <c r="S407" i="15"/>
  <c r="S421" i="15"/>
  <c r="S417" i="15"/>
  <c r="S65" i="19"/>
  <c r="R63" i="18"/>
  <c r="R76" i="18"/>
  <c r="T1106" i="15" s="1"/>
  <c r="R41" i="18"/>
  <c r="S69" i="19"/>
  <c r="S70" i="19"/>
  <c r="S66" i="19"/>
  <c r="S68" i="19"/>
  <c r="S77" i="19"/>
  <c r="S40" i="19"/>
  <c r="S406" i="15"/>
  <c r="S412" i="15"/>
  <c r="S74" i="19"/>
  <c r="S67" i="19"/>
  <c r="S63" i="19"/>
  <c r="S76" i="19"/>
  <c r="S41" i="19"/>
  <c r="R52" i="18"/>
  <c r="T650" i="15" s="1"/>
  <c r="R59" i="18"/>
  <c r="R81" i="18"/>
  <c r="T1201" i="15" s="1"/>
  <c r="T1217" i="15" s="1"/>
  <c r="R60" i="18"/>
  <c r="R49" i="18"/>
  <c r="R72" i="18"/>
  <c r="T897" i="15" s="1"/>
  <c r="R44" i="18"/>
  <c r="S416" i="15"/>
  <c r="S418" i="15"/>
  <c r="S46" i="19"/>
  <c r="U33" i="19"/>
  <c r="R53" i="18"/>
  <c r="S1115" i="15"/>
  <c r="S1108" i="15"/>
  <c r="S1117" i="15"/>
  <c r="S1118" i="15"/>
  <c r="S1111" i="15"/>
  <c r="S1113" i="15"/>
  <c r="S1121" i="15"/>
  <c r="S1109" i="15"/>
  <c r="S1123" i="15"/>
  <c r="S1107" i="15"/>
  <c r="S1119" i="15"/>
  <c r="S1116" i="15"/>
  <c r="S1120" i="15"/>
  <c r="S1112" i="15"/>
  <c r="S1110" i="15"/>
  <c r="S1114" i="15"/>
  <c r="S1122" i="15"/>
  <c r="S1124" i="15"/>
  <c r="S52" i="19"/>
  <c r="S59" i="19"/>
  <c r="S81" i="19"/>
  <c r="S60" i="19"/>
  <c r="S49" i="19"/>
  <c r="S72" i="19"/>
  <c r="S44" i="19"/>
  <c r="S404" i="15"/>
  <c r="S409" i="15"/>
  <c r="S47" i="19"/>
  <c r="N7" i="3"/>
  <c r="S80" i="18" s="1"/>
  <c r="R30" i="18"/>
  <c r="R32" i="18"/>
  <c r="R34" i="18"/>
  <c r="R26" i="18"/>
  <c r="R24" i="18"/>
  <c r="R25" i="18"/>
  <c r="R36" i="18"/>
  <c r="R38" i="18"/>
  <c r="R27" i="18"/>
  <c r="R28" i="18"/>
  <c r="R35" i="18"/>
  <c r="R39" i="18"/>
  <c r="R29" i="18"/>
  <c r="R33" i="18"/>
  <c r="R37" i="18"/>
  <c r="R31" i="18"/>
  <c r="S53" i="19"/>
  <c r="S73" i="19"/>
  <c r="R64" i="18"/>
  <c r="R51" i="18"/>
  <c r="R62" i="18"/>
  <c r="R83" i="18"/>
  <c r="T1239" i="15" s="1"/>
  <c r="T1250" i="15" s="1"/>
  <c r="R71" i="18"/>
  <c r="S408" i="15"/>
  <c r="S419" i="15"/>
  <c r="S906" i="15"/>
  <c r="S905" i="15"/>
  <c r="S910" i="15"/>
  <c r="S900" i="15"/>
  <c r="S898" i="15"/>
  <c r="S908" i="15"/>
  <c r="S902" i="15"/>
  <c r="S901" i="15"/>
  <c r="S912" i="15"/>
  <c r="S909" i="15"/>
  <c r="S914" i="15"/>
  <c r="S903" i="15"/>
  <c r="S913" i="15"/>
  <c r="S911" i="15"/>
  <c r="S915" i="15"/>
  <c r="S904" i="15"/>
  <c r="S899" i="15"/>
  <c r="S907" i="15"/>
  <c r="S56" i="19"/>
  <c r="S55" i="19"/>
  <c r="R78" i="18"/>
  <c r="T1144" i="15" s="1"/>
  <c r="R58" i="18"/>
  <c r="T1011" i="15" s="1"/>
  <c r="S64" i="19"/>
  <c r="S51" i="19"/>
  <c r="S62" i="19"/>
  <c r="S83" i="19"/>
  <c r="S71" i="19"/>
  <c r="S410" i="15"/>
  <c r="S413" i="15"/>
  <c r="U29" i="19"/>
  <c r="S78" i="19"/>
  <c r="U39" i="19"/>
  <c r="S58" i="19"/>
  <c r="R50" i="18"/>
  <c r="T555" i="15" s="1"/>
  <c r="R43" i="18"/>
  <c r="R61" i="18"/>
  <c r="R48" i="18"/>
  <c r="T1068" i="15" s="1"/>
  <c r="R57" i="18"/>
  <c r="R45" i="18"/>
  <c r="R82" i="18"/>
  <c r="S411" i="15"/>
  <c r="U31" i="19"/>
  <c r="U37" i="19"/>
  <c r="R42" i="18"/>
  <c r="T403" i="15" s="1"/>
  <c r="T413" i="15" s="1"/>
  <c r="U35" i="19"/>
  <c r="S54" i="19"/>
  <c r="R75" i="18"/>
  <c r="R80" i="18"/>
  <c r="R79" i="18"/>
  <c r="S50" i="19"/>
  <c r="S43" i="19"/>
  <c r="S61" i="19"/>
  <c r="S48" i="19"/>
  <c r="S57" i="19"/>
  <c r="S45" i="19"/>
  <c r="S82" i="19"/>
  <c r="P542" i="15"/>
  <c r="P539" i="15"/>
  <c r="P549" i="15"/>
  <c r="P548" i="15"/>
  <c r="P546" i="15"/>
  <c r="P540" i="15"/>
  <c r="P544" i="15"/>
  <c r="P551" i="15"/>
  <c r="P553" i="15"/>
  <c r="P547" i="15"/>
  <c r="P537" i="15"/>
  <c r="P541" i="15"/>
  <c r="P545" i="15"/>
  <c r="P550" i="15"/>
  <c r="P543" i="15"/>
  <c r="P538" i="15"/>
  <c r="P552" i="15"/>
  <c r="P554" i="15"/>
  <c r="N2" i="19"/>
  <c r="N1" i="19" s="1"/>
  <c r="O23" i="18"/>
  <c r="Q536" i="15" s="1"/>
  <c r="N2" i="18"/>
  <c r="V4" i="15"/>
  <c r="U15" i="18"/>
  <c r="S1448" i="15"/>
  <c r="Q384" i="15"/>
  <c r="Q1353" i="15"/>
  <c r="R1348" i="15"/>
  <c r="R1342" i="15"/>
  <c r="R1335" i="15"/>
  <c r="R1350" i="15"/>
  <c r="R1340" i="15"/>
  <c r="R1337" i="15"/>
  <c r="R1345" i="15"/>
  <c r="R1343" i="15"/>
  <c r="R1339" i="15"/>
  <c r="R1344" i="15"/>
  <c r="R1349" i="15"/>
  <c r="R1338" i="15"/>
  <c r="R1351" i="15"/>
  <c r="R1352" i="15"/>
  <c r="R1347" i="15"/>
  <c r="R1336" i="15"/>
  <c r="R1346" i="15"/>
  <c r="R1341" i="15"/>
  <c r="R377" i="15"/>
  <c r="R376" i="15"/>
  <c r="R370" i="15"/>
  <c r="R382" i="15"/>
  <c r="R375" i="15"/>
  <c r="R381" i="15"/>
  <c r="R373" i="15"/>
  <c r="R369" i="15"/>
  <c r="R371" i="15"/>
  <c r="R367" i="15"/>
  <c r="R366" i="15"/>
  <c r="R379" i="15"/>
  <c r="R368" i="15"/>
  <c r="R378" i="15"/>
  <c r="R383" i="15"/>
  <c r="R374" i="15"/>
  <c r="R372" i="15"/>
  <c r="R380" i="15"/>
  <c r="P890" i="15"/>
  <c r="P879" i="15"/>
  <c r="P893" i="15"/>
  <c r="P894" i="15"/>
  <c r="P883" i="15"/>
  <c r="P882" i="15"/>
  <c r="P885" i="15"/>
  <c r="P892" i="15"/>
  <c r="P888" i="15"/>
  <c r="P887" i="15"/>
  <c r="P880" i="15"/>
  <c r="P896" i="15"/>
  <c r="P895" i="15"/>
  <c r="P889" i="15"/>
  <c r="P884" i="15"/>
  <c r="P881" i="15"/>
  <c r="P886" i="15"/>
  <c r="P891" i="15"/>
  <c r="P1225" i="15"/>
  <c r="P1223" i="15"/>
  <c r="P1222" i="15"/>
  <c r="P1234" i="15"/>
  <c r="P1237" i="15"/>
  <c r="P1224" i="15"/>
  <c r="P1228" i="15"/>
  <c r="P1230" i="15"/>
  <c r="P1229" i="15"/>
  <c r="P1231" i="15"/>
  <c r="P1226" i="15"/>
  <c r="P1235" i="15"/>
  <c r="P1238" i="15"/>
  <c r="P1236" i="15"/>
  <c r="P1233" i="15"/>
  <c r="P1232" i="15"/>
  <c r="P1227" i="15"/>
  <c r="P1221" i="15"/>
  <c r="R1098" i="15"/>
  <c r="R1092" i="15"/>
  <c r="R1095" i="15"/>
  <c r="R1097" i="15"/>
  <c r="R1088" i="15"/>
  <c r="R1102" i="15"/>
  <c r="R1100" i="15"/>
  <c r="R1089" i="15"/>
  <c r="R1093" i="15"/>
  <c r="R1099" i="15"/>
  <c r="R1094" i="15"/>
  <c r="R1105" i="15"/>
  <c r="R1104" i="15"/>
  <c r="R1103" i="15"/>
  <c r="R1096" i="15"/>
  <c r="R1101" i="15"/>
  <c r="R1090" i="15"/>
  <c r="R1091" i="15"/>
  <c r="P1200" i="15"/>
  <c r="P1183" i="15"/>
  <c r="P1190" i="15"/>
  <c r="P1195" i="15"/>
  <c r="P1191" i="15"/>
  <c r="P1194" i="15"/>
  <c r="P1197" i="15"/>
  <c r="P1188" i="15"/>
  <c r="P1198" i="15"/>
  <c r="P1199" i="15"/>
  <c r="P1189" i="15"/>
  <c r="P1186" i="15"/>
  <c r="P1185" i="15"/>
  <c r="P1192" i="15"/>
  <c r="P1196" i="15"/>
  <c r="P1187" i="15"/>
  <c r="P1193" i="15"/>
  <c r="P1184" i="15"/>
  <c r="S1334" i="15"/>
  <c r="Q745" i="15"/>
  <c r="Q1125" i="15"/>
  <c r="S365" i="15"/>
  <c r="Q878" i="15"/>
  <c r="S593" i="15"/>
  <c r="S992" i="15"/>
  <c r="Q1220" i="15"/>
  <c r="S1087" i="15"/>
  <c r="Q1182" i="15"/>
  <c r="R1036" i="15"/>
  <c r="R1038" i="15"/>
  <c r="R1042" i="15"/>
  <c r="R1048" i="15"/>
  <c r="R1032" i="15"/>
  <c r="R1047" i="15"/>
  <c r="R1046" i="15"/>
  <c r="R1043" i="15"/>
  <c r="R1034" i="15"/>
  <c r="R1035" i="15"/>
  <c r="R1033" i="15"/>
  <c r="R1041" i="15"/>
  <c r="R1031" i="15"/>
  <c r="R1040" i="15"/>
  <c r="R1044" i="15"/>
  <c r="R1039" i="15"/>
  <c r="R1045" i="15"/>
  <c r="R1037" i="15"/>
  <c r="P1060" i="15"/>
  <c r="P1054" i="15"/>
  <c r="P1057" i="15"/>
  <c r="P1050" i="15"/>
  <c r="P1063" i="15"/>
  <c r="P1067" i="15"/>
  <c r="P1052" i="15"/>
  <c r="P1053" i="15"/>
  <c r="P1062" i="15"/>
  <c r="P1058" i="15"/>
  <c r="P1065" i="15"/>
  <c r="P1066" i="15"/>
  <c r="P1064" i="15"/>
  <c r="P1059" i="15"/>
  <c r="P1061" i="15"/>
  <c r="P1055" i="15"/>
  <c r="P1051" i="15"/>
  <c r="P1056" i="15"/>
  <c r="S517" i="15"/>
  <c r="P757" i="15"/>
  <c r="P761" i="15"/>
  <c r="P756" i="15"/>
  <c r="P755" i="15"/>
  <c r="P752" i="15"/>
  <c r="P747" i="15"/>
  <c r="P760" i="15"/>
  <c r="P746" i="15"/>
  <c r="P754" i="15"/>
  <c r="P763" i="15"/>
  <c r="P753" i="15"/>
  <c r="P759" i="15"/>
  <c r="P751" i="15"/>
  <c r="P749" i="15"/>
  <c r="P758" i="15"/>
  <c r="P748" i="15"/>
  <c r="P750" i="15"/>
  <c r="P762" i="15"/>
  <c r="P1141" i="15"/>
  <c r="P1142" i="15"/>
  <c r="P1132" i="15"/>
  <c r="P1127" i="15"/>
  <c r="P1139" i="15"/>
  <c r="P1138" i="15"/>
  <c r="P1137" i="15"/>
  <c r="P1126" i="15"/>
  <c r="P1140" i="15"/>
  <c r="P1134" i="15"/>
  <c r="P1130" i="15"/>
  <c r="P1131" i="15"/>
  <c r="P1143" i="15"/>
  <c r="P1135" i="15"/>
  <c r="P1133" i="15"/>
  <c r="P1129" i="15"/>
  <c r="P1128" i="15"/>
  <c r="P1136" i="15"/>
  <c r="R598" i="15"/>
  <c r="R600" i="15"/>
  <c r="R594" i="15"/>
  <c r="R611" i="15"/>
  <c r="R602" i="15"/>
  <c r="R599" i="15"/>
  <c r="R601" i="15"/>
  <c r="R607" i="15"/>
  <c r="R606" i="15"/>
  <c r="R610" i="15"/>
  <c r="R605" i="15"/>
  <c r="R604" i="15"/>
  <c r="R597" i="15"/>
  <c r="R596" i="15"/>
  <c r="R609" i="15"/>
  <c r="R595" i="15"/>
  <c r="R608" i="15"/>
  <c r="R603" i="15"/>
  <c r="R993" i="15"/>
  <c r="R998" i="15"/>
  <c r="R1010" i="15"/>
  <c r="R996" i="15"/>
  <c r="R1003" i="15"/>
  <c r="R1006" i="15"/>
  <c r="R999" i="15"/>
  <c r="R1002" i="15"/>
  <c r="R1000" i="15"/>
  <c r="R997" i="15"/>
  <c r="R1001" i="15"/>
  <c r="R1005" i="15"/>
  <c r="R1007" i="15"/>
  <c r="R994" i="15"/>
  <c r="R995" i="15"/>
  <c r="R1004" i="15"/>
  <c r="R1008" i="15"/>
  <c r="R1009" i="15"/>
  <c r="R1440" i="15"/>
  <c r="R1431" i="15"/>
  <c r="R1434" i="15"/>
  <c r="R1439" i="15"/>
  <c r="R1444" i="15"/>
  <c r="R1433" i="15"/>
  <c r="R1437" i="15"/>
  <c r="R1435" i="15"/>
  <c r="R1443" i="15"/>
  <c r="R1441" i="15"/>
  <c r="R1442" i="15"/>
  <c r="R1438" i="15"/>
  <c r="R1436" i="15"/>
  <c r="R1447" i="15"/>
  <c r="R1432" i="15"/>
  <c r="R1430" i="15"/>
  <c r="R1445" i="15"/>
  <c r="R1446" i="15"/>
  <c r="Q1471" i="15"/>
  <c r="Q1481" i="15"/>
  <c r="Q1479" i="15"/>
  <c r="Q1474" i="15"/>
  <c r="Q1469" i="15"/>
  <c r="Q1483" i="15"/>
  <c r="Q1472" i="15"/>
  <c r="Q1473" i="15"/>
  <c r="Q1485" i="15"/>
  <c r="Q1477" i="15"/>
  <c r="Q1468" i="15"/>
  <c r="Q1482" i="15"/>
  <c r="Q1480" i="15"/>
  <c r="Q1475" i="15"/>
  <c r="Q1476" i="15"/>
  <c r="Q1484" i="15"/>
  <c r="Q1470" i="15"/>
  <c r="Q1478" i="15"/>
  <c r="P1262" i="15"/>
  <c r="P1259" i="15"/>
  <c r="P1271" i="15"/>
  <c r="P1266" i="15"/>
  <c r="P1260" i="15"/>
  <c r="P1267" i="15"/>
  <c r="P1268" i="15"/>
  <c r="P1274" i="15"/>
  <c r="P1276" i="15"/>
  <c r="P1275" i="15"/>
  <c r="P1273" i="15"/>
  <c r="P1261" i="15"/>
  <c r="P1269" i="15"/>
  <c r="P1272" i="15"/>
  <c r="P1263" i="15"/>
  <c r="P1270" i="15"/>
  <c r="P1264" i="15"/>
  <c r="P1265" i="15"/>
  <c r="P818" i="15"/>
  <c r="P810" i="15"/>
  <c r="P815" i="15"/>
  <c r="P804" i="15"/>
  <c r="P808" i="15"/>
  <c r="P811" i="15"/>
  <c r="P816" i="15"/>
  <c r="P803" i="15"/>
  <c r="P819" i="15"/>
  <c r="P820" i="15"/>
  <c r="P812" i="15"/>
  <c r="P807" i="15"/>
  <c r="P813" i="15"/>
  <c r="P806" i="15"/>
  <c r="P817" i="15"/>
  <c r="P814" i="15"/>
  <c r="P805" i="15"/>
  <c r="P809" i="15"/>
  <c r="R1414" i="15"/>
  <c r="R1428" i="15"/>
  <c r="R1412" i="15"/>
  <c r="R1425" i="15"/>
  <c r="R1423" i="15"/>
  <c r="R1422" i="15"/>
  <c r="R1411" i="15"/>
  <c r="R1419" i="15"/>
  <c r="R1420" i="15"/>
  <c r="R1427" i="15"/>
  <c r="R1413" i="15"/>
  <c r="R1426" i="15"/>
  <c r="R1421" i="15"/>
  <c r="R1416" i="15"/>
  <c r="R1424" i="15"/>
  <c r="R1415" i="15"/>
  <c r="R1418" i="15"/>
  <c r="R1417" i="15"/>
  <c r="P694" i="15"/>
  <c r="P701" i="15"/>
  <c r="P704" i="15"/>
  <c r="P699" i="15"/>
  <c r="P692" i="15"/>
  <c r="P698" i="15"/>
  <c r="P689" i="15"/>
  <c r="P705" i="15"/>
  <c r="P700" i="15"/>
  <c r="P703" i="15"/>
  <c r="P696" i="15"/>
  <c r="P697" i="15"/>
  <c r="P695" i="15"/>
  <c r="P706" i="15"/>
  <c r="P691" i="15"/>
  <c r="P702" i="15"/>
  <c r="P693" i="15"/>
  <c r="P690" i="15"/>
  <c r="R832" i="15"/>
  <c r="R824" i="15"/>
  <c r="R829" i="15"/>
  <c r="R823" i="15"/>
  <c r="R837" i="15"/>
  <c r="R825" i="15"/>
  <c r="R833" i="15"/>
  <c r="R839" i="15"/>
  <c r="R827" i="15"/>
  <c r="R831" i="15"/>
  <c r="R834" i="15"/>
  <c r="R826" i="15"/>
  <c r="R822" i="15"/>
  <c r="R836" i="15"/>
  <c r="R830" i="15"/>
  <c r="R835" i="15"/>
  <c r="R828" i="15"/>
  <c r="R838" i="15"/>
  <c r="P1507" i="15"/>
  <c r="P1522" i="15"/>
  <c r="P1514" i="15"/>
  <c r="P1512" i="15"/>
  <c r="P1516" i="15"/>
  <c r="P1523" i="15"/>
  <c r="P1511" i="15"/>
  <c r="P1521" i="15"/>
  <c r="P1508" i="15"/>
  <c r="P1515" i="15"/>
  <c r="P1520" i="15"/>
  <c r="P1518" i="15"/>
  <c r="P1517" i="15"/>
  <c r="P1506" i="15"/>
  <c r="P1513" i="15"/>
  <c r="P1519" i="15"/>
  <c r="P1510" i="15"/>
  <c r="P1509" i="15"/>
  <c r="R1374" i="15"/>
  <c r="R1388" i="15"/>
  <c r="R1380" i="15"/>
  <c r="R1375" i="15"/>
  <c r="R1382" i="15"/>
  <c r="R1390" i="15"/>
  <c r="R1385" i="15"/>
  <c r="R1386" i="15"/>
  <c r="R1383" i="15"/>
  <c r="R1379" i="15"/>
  <c r="R1377" i="15"/>
  <c r="R1387" i="15"/>
  <c r="R1373" i="15"/>
  <c r="R1389" i="15"/>
  <c r="R1376" i="15"/>
  <c r="R1384" i="15"/>
  <c r="R1378" i="15"/>
  <c r="R1381" i="15"/>
  <c r="P777" i="15"/>
  <c r="P779" i="15"/>
  <c r="P769" i="15"/>
  <c r="P778" i="15"/>
  <c r="P767" i="15"/>
  <c r="P765" i="15"/>
  <c r="P771" i="15"/>
  <c r="P773" i="15"/>
  <c r="P780" i="15"/>
  <c r="P781" i="15"/>
  <c r="P768" i="15"/>
  <c r="P766" i="15"/>
  <c r="P774" i="15"/>
  <c r="P782" i="15"/>
  <c r="P776" i="15"/>
  <c r="P775" i="15"/>
  <c r="P770" i="15"/>
  <c r="P772" i="15"/>
  <c r="S1030" i="15"/>
  <c r="Q1049" i="15"/>
  <c r="Q973" i="15"/>
  <c r="S631" i="15"/>
  <c r="S954" i="15"/>
  <c r="S422" i="15"/>
  <c r="S726" i="15"/>
  <c r="Q1163" i="15"/>
  <c r="Q1505" i="15"/>
  <c r="P576" i="15"/>
  <c r="P592" i="15"/>
  <c r="P588" i="15"/>
  <c r="P582" i="15"/>
  <c r="P583" i="15"/>
  <c r="P589" i="15"/>
  <c r="P590" i="15"/>
  <c r="P577" i="15"/>
  <c r="P586" i="15"/>
  <c r="P584" i="15"/>
  <c r="P587" i="15"/>
  <c r="P578" i="15"/>
  <c r="P575" i="15"/>
  <c r="P580" i="15"/>
  <c r="P579" i="15"/>
  <c r="P591" i="15"/>
  <c r="P581" i="15"/>
  <c r="P585" i="15"/>
  <c r="R671" i="15"/>
  <c r="R679" i="15"/>
  <c r="R681" i="15"/>
  <c r="R685" i="15"/>
  <c r="R673" i="15"/>
  <c r="R674" i="15"/>
  <c r="R672" i="15"/>
  <c r="R686" i="15"/>
  <c r="R670" i="15"/>
  <c r="R683" i="15"/>
  <c r="R687" i="15"/>
  <c r="R676" i="15"/>
  <c r="R675" i="15"/>
  <c r="R684" i="15"/>
  <c r="R682" i="15"/>
  <c r="R678" i="15"/>
  <c r="R677" i="15"/>
  <c r="R680" i="15"/>
  <c r="P1304" i="15"/>
  <c r="P1307" i="15"/>
  <c r="P1310" i="15"/>
  <c r="P1306" i="15"/>
  <c r="P1303" i="15"/>
  <c r="P1301" i="15"/>
  <c r="P1309" i="15"/>
  <c r="P1312" i="15"/>
  <c r="P1314" i="15"/>
  <c r="P1298" i="15"/>
  <c r="P1300" i="15"/>
  <c r="P1299" i="15"/>
  <c r="P1302" i="15"/>
  <c r="P1308" i="15"/>
  <c r="P1297" i="15"/>
  <c r="P1313" i="15"/>
  <c r="P1311" i="15"/>
  <c r="P1305" i="15"/>
  <c r="P502" i="15"/>
  <c r="P516" i="15"/>
  <c r="P499" i="15"/>
  <c r="P503" i="15"/>
  <c r="P504" i="15"/>
  <c r="P515" i="15"/>
  <c r="P511" i="15"/>
  <c r="P501" i="15"/>
  <c r="P509" i="15"/>
  <c r="P506" i="15"/>
  <c r="P510" i="15"/>
  <c r="P507" i="15"/>
  <c r="P512" i="15"/>
  <c r="P505" i="15"/>
  <c r="P500" i="15"/>
  <c r="P513" i="15"/>
  <c r="P508" i="15"/>
  <c r="P514" i="15"/>
  <c r="R1493" i="15"/>
  <c r="R1498" i="15"/>
  <c r="R1487" i="15"/>
  <c r="R1500" i="15"/>
  <c r="R1503" i="15"/>
  <c r="R1497" i="15"/>
  <c r="R1495" i="15"/>
  <c r="R1492" i="15"/>
  <c r="R1494" i="15"/>
  <c r="R1490" i="15"/>
  <c r="R1491" i="15"/>
  <c r="R1499" i="15"/>
  <c r="R1502" i="15"/>
  <c r="R1501" i="15"/>
  <c r="R1489" i="15"/>
  <c r="R1488" i="15"/>
  <c r="R1504" i="15"/>
  <c r="R1496" i="15"/>
  <c r="R450" i="15"/>
  <c r="R457" i="15"/>
  <c r="R452" i="15"/>
  <c r="R448" i="15"/>
  <c r="R456" i="15"/>
  <c r="R453" i="15"/>
  <c r="R447" i="15"/>
  <c r="R442" i="15"/>
  <c r="R446" i="15"/>
  <c r="R459" i="15"/>
  <c r="R455" i="15"/>
  <c r="R451" i="15"/>
  <c r="R444" i="15"/>
  <c r="R443" i="15"/>
  <c r="R458" i="15"/>
  <c r="R454" i="15"/>
  <c r="R449" i="15"/>
  <c r="R445" i="15"/>
  <c r="P853" i="15"/>
  <c r="P842" i="15"/>
  <c r="P850" i="15"/>
  <c r="P847" i="15"/>
  <c r="P857" i="15"/>
  <c r="P854" i="15"/>
  <c r="P855" i="15"/>
  <c r="P848" i="15"/>
  <c r="P841" i="15"/>
  <c r="P852" i="15"/>
  <c r="P856" i="15"/>
  <c r="P849" i="15"/>
  <c r="P858" i="15"/>
  <c r="P843" i="15"/>
  <c r="P851" i="15"/>
  <c r="P844" i="15"/>
  <c r="P846" i="15"/>
  <c r="P845" i="15"/>
  <c r="R866" i="15"/>
  <c r="R867" i="15"/>
  <c r="R871" i="15"/>
  <c r="R875" i="15"/>
  <c r="R874" i="15"/>
  <c r="R861" i="15"/>
  <c r="R864" i="15"/>
  <c r="R877" i="15"/>
  <c r="R869" i="15"/>
  <c r="R872" i="15"/>
  <c r="R863" i="15"/>
  <c r="R862" i="15"/>
  <c r="R870" i="15"/>
  <c r="R865" i="15"/>
  <c r="R873" i="15"/>
  <c r="R860" i="15"/>
  <c r="R868" i="15"/>
  <c r="R876" i="15"/>
  <c r="P1327" i="15"/>
  <c r="P1323" i="15"/>
  <c r="P1325" i="15"/>
  <c r="P1316" i="15"/>
  <c r="P1318" i="15"/>
  <c r="P1322" i="15"/>
  <c r="P1330" i="15"/>
  <c r="P1328" i="15"/>
  <c r="P1326" i="15"/>
  <c r="P1324" i="15"/>
  <c r="P1319" i="15"/>
  <c r="P1329" i="15"/>
  <c r="P1333" i="15"/>
  <c r="P1332" i="15"/>
  <c r="P1331" i="15"/>
  <c r="P1320" i="15"/>
  <c r="P1321" i="15"/>
  <c r="P1317" i="15"/>
  <c r="R721" i="15"/>
  <c r="R708" i="15"/>
  <c r="R711" i="15"/>
  <c r="R709" i="15"/>
  <c r="R719" i="15"/>
  <c r="R722" i="15"/>
  <c r="R725" i="15"/>
  <c r="R714" i="15"/>
  <c r="R717" i="15"/>
  <c r="R723" i="15"/>
  <c r="R715" i="15"/>
  <c r="R724" i="15"/>
  <c r="R710" i="15"/>
  <c r="R716" i="15"/>
  <c r="R713" i="15"/>
  <c r="R720" i="15"/>
  <c r="R718" i="15"/>
  <c r="R712" i="15"/>
  <c r="Q783" i="15"/>
  <c r="Q1258" i="15"/>
  <c r="Q802" i="15"/>
  <c r="S1410" i="15"/>
  <c r="Q688" i="15"/>
  <c r="S821" i="15"/>
  <c r="S1372" i="15"/>
  <c r="Q764" i="15"/>
  <c r="R489" i="15"/>
  <c r="R497" i="15"/>
  <c r="R496" i="15"/>
  <c r="R486" i="15"/>
  <c r="R495" i="15"/>
  <c r="R482" i="15"/>
  <c r="R483" i="15"/>
  <c r="R480" i="15"/>
  <c r="R493" i="15"/>
  <c r="R491" i="15"/>
  <c r="R485" i="15"/>
  <c r="R481" i="15"/>
  <c r="R494" i="15"/>
  <c r="R490" i="15"/>
  <c r="R492" i="15"/>
  <c r="R488" i="15"/>
  <c r="R484" i="15"/>
  <c r="R487" i="15"/>
  <c r="P626" i="15"/>
  <c r="P627" i="15"/>
  <c r="P628" i="15"/>
  <c r="P618" i="15"/>
  <c r="P619" i="15"/>
  <c r="P624" i="15"/>
  <c r="P617" i="15"/>
  <c r="P623" i="15"/>
  <c r="P625" i="15"/>
  <c r="P622" i="15"/>
  <c r="P621" i="15"/>
  <c r="P630" i="15"/>
  <c r="P629" i="15"/>
  <c r="P616" i="15"/>
  <c r="P615" i="15"/>
  <c r="P613" i="15"/>
  <c r="P620" i="15"/>
  <c r="P614" i="15"/>
  <c r="S479" i="15"/>
  <c r="S669" i="15"/>
  <c r="Q612" i="15"/>
  <c r="Q1296" i="15"/>
  <c r="Q498" i="15"/>
  <c r="S1486" i="15"/>
  <c r="S441" i="15"/>
  <c r="Q840" i="15"/>
  <c r="S859" i="15"/>
  <c r="Q1315" i="15"/>
  <c r="S707" i="15"/>
  <c r="P461" i="15"/>
  <c r="P477" i="15"/>
  <c r="P478" i="15"/>
  <c r="P465" i="15"/>
  <c r="P464" i="15"/>
  <c r="P469" i="15"/>
  <c r="P475" i="15"/>
  <c r="P463" i="15"/>
  <c r="P476" i="15"/>
  <c r="P471" i="15"/>
  <c r="P474" i="15"/>
  <c r="P466" i="15"/>
  <c r="P470" i="15"/>
  <c r="P473" i="15"/>
  <c r="P472" i="15"/>
  <c r="P467" i="15"/>
  <c r="P462" i="15"/>
  <c r="P468" i="15"/>
  <c r="S916" i="15"/>
  <c r="S1277" i="15"/>
  <c r="S1429" i="15"/>
  <c r="R1467" i="15"/>
  <c r="P990" i="15"/>
  <c r="P974" i="15"/>
  <c r="P981" i="15"/>
  <c r="P984" i="15"/>
  <c r="P989" i="15"/>
  <c r="P987" i="15"/>
  <c r="P986" i="15"/>
  <c r="P985" i="15"/>
  <c r="P976" i="15"/>
  <c r="P983" i="15"/>
  <c r="P991" i="15"/>
  <c r="P977" i="15"/>
  <c r="P978" i="15"/>
  <c r="P979" i="15"/>
  <c r="P982" i="15"/>
  <c r="P975" i="15"/>
  <c r="P980" i="15"/>
  <c r="P988" i="15"/>
  <c r="R932" i="15"/>
  <c r="R931" i="15"/>
  <c r="R934" i="15"/>
  <c r="R925" i="15"/>
  <c r="R924" i="15"/>
  <c r="R920" i="15"/>
  <c r="R933" i="15"/>
  <c r="R919" i="15"/>
  <c r="R928" i="15"/>
  <c r="R927" i="15"/>
  <c r="R929" i="15"/>
  <c r="R922" i="15"/>
  <c r="R930" i="15"/>
  <c r="R923" i="15"/>
  <c r="R917" i="15"/>
  <c r="R918" i="15"/>
  <c r="R926" i="15"/>
  <c r="R921" i="15"/>
  <c r="R633" i="15"/>
  <c r="R635" i="15"/>
  <c r="R634" i="15"/>
  <c r="R648" i="15"/>
  <c r="R647" i="15"/>
  <c r="R640" i="15"/>
  <c r="R638" i="15"/>
  <c r="R641" i="15"/>
  <c r="R632" i="15"/>
  <c r="R637" i="15"/>
  <c r="R636" i="15"/>
  <c r="R643" i="15"/>
  <c r="R639" i="15"/>
  <c r="R646" i="15"/>
  <c r="R649" i="15"/>
  <c r="R642" i="15"/>
  <c r="R645" i="15"/>
  <c r="R644" i="15"/>
  <c r="R525" i="15"/>
  <c r="R523" i="15"/>
  <c r="R529" i="15"/>
  <c r="R518" i="15"/>
  <c r="R526" i="15"/>
  <c r="R522" i="15"/>
  <c r="R530" i="15"/>
  <c r="R527" i="15"/>
  <c r="R521" i="15"/>
  <c r="R524" i="15"/>
  <c r="R520" i="15"/>
  <c r="R532" i="15"/>
  <c r="R519" i="15"/>
  <c r="R531" i="15"/>
  <c r="R528" i="15"/>
  <c r="R534" i="15"/>
  <c r="R533" i="15"/>
  <c r="R535" i="15"/>
  <c r="R1453" i="15"/>
  <c r="R1450" i="15"/>
  <c r="R1464" i="15"/>
  <c r="R1466" i="15"/>
  <c r="R1457" i="15"/>
  <c r="R1455" i="15"/>
  <c r="R1460" i="15"/>
  <c r="R1465" i="15"/>
  <c r="R1462" i="15"/>
  <c r="R1458" i="15"/>
  <c r="R1449" i="15"/>
  <c r="R1451" i="15"/>
  <c r="R1459" i="15"/>
  <c r="R1463" i="15"/>
  <c r="R1452" i="15"/>
  <c r="R1461" i="15"/>
  <c r="R1454" i="15"/>
  <c r="R1456" i="15"/>
  <c r="R962" i="15"/>
  <c r="R958" i="15"/>
  <c r="R964" i="15"/>
  <c r="R957" i="15"/>
  <c r="R960" i="15"/>
  <c r="R969" i="15"/>
  <c r="R967" i="15"/>
  <c r="R963" i="15"/>
  <c r="R970" i="15"/>
  <c r="R966" i="15"/>
  <c r="R972" i="15"/>
  <c r="R955" i="15"/>
  <c r="R968" i="15"/>
  <c r="R965" i="15"/>
  <c r="R961" i="15"/>
  <c r="R956" i="15"/>
  <c r="R959" i="15"/>
  <c r="R971" i="15"/>
  <c r="R434" i="15"/>
  <c r="R427" i="15"/>
  <c r="R439" i="15"/>
  <c r="R440" i="15"/>
  <c r="R436" i="15"/>
  <c r="R429" i="15"/>
  <c r="R430" i="15"/>
  <c r="R426" i="15"/>
  <c r="R438" i="15"/>
  <c r="R423" i="15"/>
  <c r="R437" i="15"/>
  <c r="R428" i="15"/>
  <c r="R432" i="15"/>
  <c r="R435" i="15"/>
  <c r="R431" i="15"/>
  <c r="R424" i="15"/>
  <c r="R425" i="15"/>
  <c r="R433" i="15"/>
  <c r="R732" i="15"/>
  <c r="R731" i="15"/>
  <c r="R737" i="15"/>
  <c r="R738" i="15"/>
  <c r="R741" i="15"/>
  <c r="R743" i="15"/>
  <c r="R734" i="15"/>
  <c r="R739" i="15"/>
  <c r="R736" i="15"/>
  <c r="R742" i="15"/>
  <c r="R730" i="15"/>
  <c r="R728" i="15"/>
  <c r="R729" i="15"/>
  <c r="R744" i="15"/>
  <c r="R727" i="15"/>
  <c r="R733" i="15"/>
  <c r="R735" i="15"/>
  <c r="R740" i="15"/>
  <c r="P402" i="15"/>
  <c r="P391" i="15"/>
  <c r="P385" i="15"/>
  <c r="P401" i="15"/>
  <c r="P396" i="15"/>
  <c r="P395" i="15"/>
  <c r="P390" i="15"/>
  <c r="P394" i="15"/>
  <c r="P400" i="15"/>
  <c r="P392" i="15"/>
  <c r="P397" i="15"/>
  <c r="P389" i="15"/>
  <c r="P393" i="15"/>
  <c r="P388" i="15"/>
  <c r="P387" i="15"/>
  <c r="P398" i="15"/>
  <c r="P386" i="15"/>
  <c r="P399" i="15"/>
  <c r="P785" i="15"/>
  <c r="P786" i="15"/>
  <c r="P795" i="15"/>
  <c r="P788" i="15"/>
  <c r="P784" i="15"/>
  <c r="P801" i="15"/>
  <c r="P796" i="15"/>
  <c r="P793" i="15"/>
  <c r="P799" i="15"/>
  <c r="P787" i="15"/>
  <c r="P791" i="15"/>
  <c r="P789" i="15"/>
  <c r="P794" i="15"/>
  <c r="P797" i="15"/>
  <c r="P792" i="15"/>
  <c r="P790" i="15"/>
  <c r="P800" i="15"/>
  <c r="P798" i="15"/>
  <c r="P1371" i="15"/>
  <c r="P1358" i="15"/>
  <c r="P1361" i="15"/>
  <c r="P1366" i="15"/>
  <c r="P1368" i="15"/>
  <c r="P1369" i="15"/>
  <c r="P1355" i="15"/>
  <c r="P1363" i="15"/>
  <c r="P1357" i="15"/>
  <c r="P1365" i="15"/>
  <c r="P1359" i="15"/>
  <c r="P1367" i="15"/>
  <c r="P1360" i="15"/>
  <c r="P1356" i="15"/>
  <c r="P1364" i="15"/>
  <c r="P1354" i="15"/>
  <c r="P1362" i="15"/>
  <c r="P1370" i="15"/>
  <c r="R1284" i="15"/>
  <c r="R1291" i="15"/>
  <c r="R1278" i="15"/>
  <c r="R1281" i="15"/>
  <c r="R1280" i="15"/>
  <c r="R1287" i="15"/>
  <c r="R1286" i="15"/>
  <c r="R1295" i="15"/>
  <c r="R1285" i="15"/>
  <c r="R1294" i="15"/>
  <c r="R1293" i="15"/>
  <c r="R1282" i="15"/>
  <c r="R1289" i="15"/>
  <c r="R1292" i="15"/>
  <c r="R1290" i="15"/>
  <c r="R1288" i="15"/>
  <c r="R1283" i="15"/>
  <c r="R1279" i="15"/>
  <c r="P1178" i="15"/>
  <c r="P1173" i="15"/>
  <c r="P1181" i="15"/>
  <c r="P1165" i="15"/>
  <c r="P1172" i="15"/>
  <c r="P1179" i="15"/>
  <c r="P1177" i="15"/>
  <c r="P1176" i="15"/>
  <c r="P1164" i="15"/>
  <c r="P1170" i="15"/>
  <c r="P1171" i="15"/>
  <c r="P1169" i="15"/>
  <c r="P1174" i="15"/>
  <c r="P1180" i="15"/>
  <c r="P1168" i="15"/>
  <c r="P1175" i="15"/>
  <c r="P1167" i="15"/>
  <c r="P1166" i="15"/>
  <c r="Q460" i="15"/>
  <c r="Y19" i="18"/>
  <c r="Y7" i="18"/>
  <c r="Y15" i="18"/>
  <c r="Y14" i="18"/>
  <c r="Y22" i="18"/>
  <c r="Y21" i="18"/>
  <c r="Y8" i="18"/>
  <c r="Y11" i="18"/>
  <c r="Y18" i="18"/>
  <c r="Y13" i="18"/>
  <c r="Y10" i="18"/>
  <c r="Y5" i="18"/>
  <c r="Y16" i="18"/>
  <c r="Y17" i="18"/>
  <c r="Y9" i="18"/>
  <c r="Y6" i="18"/>
  <c r="Y4" i="18"/>
  <c r="Y12" i="18"/>
  <c r="Y20" i="18"/>
  <c r="C22" i="3"/>
  <c r="V19" i="15" l="1"/>
  <c r="T1027" i="15"/>
  <c r="T941" i="15"/>
  <c r="T1021" i="15"/>
  <c r="T1213" i="15"/>
  <c r="T1211" i="15"/>
  <c r="T1252" i="15"/>
  <c r="T1244" i="15"/>
  <c r="T1246" i="15"/>
  <c r="T1254" i="15"/>
  <c r="T1242" i="15"/>
  <c r="T1405" i="15"/>
  <c r="T1028" i="15"/>
  <c r="S50" i="18"/>
  <c r="U555" i="15" s="1"/>
  <c r="S55" i="18"/>
  <c r="T1399" i="15"/>
  <c r="T1395" i="15"/>
  <c r="T1013" i="15"/>
  <c r="T1408" i="15"/>
  <c r="T1393" i="15"/>
  <c r="T418" i="15"/>
  <c r="T1398" i="15"/>
  <c r="T1402" i="15"/>
  <c r="T1407" i="15"/>
  <c r="T406" i="15"/>
  <c r="S62" i="18"/>
  <c r="T1409" i="15"/>
  <c r="T1406" i="15"/>
  <c r="S57" i="18"/>
  <c r="T1397" i="15"/>
  <c r="T1394" i="15"/>
  <c r="T1392" i="15"/>
  <c r="T1404" i="15"/>
  <c r="T1403" i="15"/>
  <c r="T1400" i="15"/>
  <c r="T1026" i="15"/>
  <c r="T1396" i="15"/>
  <c r="T952" i="15"/>
  <c r="T949" i="15"/>
  <c r="T415" i="15"/>
  <c r="T939" i="15"/>
  <c r="T940" i="15"/>
  <c r="T948" i="15"/>
  <c r="T946" i="15"/>
  <c r="T412" i="15"/>
  <c r="T936" i="15"/>
  <c r="T937" i="15"/>
  <c r="T950" i="15"/>
  <c r="T945" i="15"/>
  <c r="T938" i="15"/>
  <c r="T951" i="15"/>
  <c r="T947" i="15"/>
  <c r="T942" i="15"/>
  <c r="T943" i="15"/>
  <c r="T944" i="15"/>
  <c r="T953" i="15"/>
  <c r="T1207" i="15"/>
  <c r="T1204" i="15"/>
  <c r="T1210" i="15"/>
  <c r="T1203" i="15"/>
  <c r="T1202" i="15"/>
  <c r="T1219" i="15"/>
  <c r="T1216" i="15"/>
  <c r="T1209" i="15"/>
  <c r="T1215" i="15"/>
  <c r="T1214" i="15"/>
  <c r="T1205" i="15"/>
  <c r="T1212" i="15"/>
  <c r="T1206" i="15"/>
  <c r="T1218" i="15"/>
  <c r="T1208" i="15"/>
  <c r="T416" i="15"/>
  <c r="T421" i="15"/>
  <c r="T1253" i="15"/>
  <c r="T1255" i="15"/>
  <c r="S51" i="18"/>
  <c r="S56" i="18"/>
  <c r="T419" i="15"/>
  <c r="T409" i="15"/>
  <c r="T1245" i="15"/>
  <c r="T1240" i="15"/>
  <c r="S48" i="18"/>
  <c r="U1068" i="15" s="1"/>
  <c r="U1071" i="15" s="1"/>
  <c r="S81" i="18"/>
  <c r="U1201" i="15" s="1"/>
  <c r="T405" i="15"/>
  <c r="T410" i="15"/>
  <c r="T1256" i="15"/>
  <c r="T1247" i="15"/>
  <c r="S58" i="18"/>
  <c r="U1011" i="15" s="1"/>
  <c r="U1012" i="15" s="1"/>
  <c r="S71" i="18"/>
  <c r="S64" i="18"/>
  <c r="T420" i="15"/>
  <c r="T404" i="15"/>
  <c r="T411" i="15"/>
  <c r="T1251" i="15"/>
  <c r="T1241" i="15"/>
  <c r="S82" i="18"/>
  <c r="S61" i="18"/>
  <c r="S73" i="18"/>
  <c r="S44" i="18"/>
  <c r="S59" i="18"/>
  <c r="T414" i="15"/>
  <c r="T417" i="15"/>
  <c r="T408" i="15"/>
  <c r="T1257" i="15"/>
  <c r="T1249" i="15"/>
  <c r="S54" i="18"/>
  <c r="S83" i="18"/>
  <c r="U1239" i="15" s="1"/>
  <c r="U1257" i="15" s="1"/>
  <c r="T407" i="15"/>
  <c r="T1248" i="15"/>
  <c r="T1243" i="15"/>
  <c r="S45" i="18"/>
  <c r="S43" i="18"/>
  <c r="S78" i="18"/>
  <c r="U1144" i="15" s="1"/>
  <c r="U1148" i="15" s="1"/>
  <c r="S53" i="18"/>
  <c r="S72" i="18"/>
  <c r="U897" i="15" s="1"/>
  <c r="U905" i="15" s="1"/>
  <c r="T1015" i="15"/>
  <c r="T1017" i="15"/>
  <c r="T1019" i="15"/>
  <c r="T1014" i="15"/>
  <c r="T1020" i="15"/>
  <c r="T1022" i="15"/>
  <c r="T1029" i="15"/>
  <c r="T1012" i="15"/>
  <c r="T1018" i="15"/>
  <c r="T1023" i="15"/>
  <c r="S47" i="18"/>
  <c r="S49" i="18"/>
  <c r="S52" i="18"/>
  <c r="U650" i="15" s="1"/>
  <c r="U663" i="15" s="1"/>
  <c r="S65" i="18"/>
  <c r="T1025" i="15"/>
  <c r="T1024" i="15"/>
  <c r="T1016" i="15"/>
  <c r="S60" i="18"/>
  <c r="T1072" i="15"/>
  <c r="T1075" i="15"/>
  <c r="T1073" i="15"/>
  <c r="T1081" i="15"/>
  <c r="T1069" i="15"/>
  <c r="T1077" i="15"/>
  <c r="T1080" i="15"/>
  <c r="T1078" i="15"/>
  <c r="T1076" i="15"/>
  <c r="T1083" i="15"/>
  <c r="T1085" i="15"/>
  <c r="T1071" i="15"/>
  <c r="T1079" i="15"/>
  <c r="T1070" i="15"/>
  <c r="T1086" i="15"/>
  <c r="T1084" i="15"/>
  <c r="T1074" i="15"/>
  <c r="T1082" i="15"/>
  <c r="T73" i="19"/>
  <c r="T899" i="15"/>
  <c r="T910" i="15"/>
  <c r="T905" i="15"/>
  <c r="T900" i="15"/>
  <c r="T912" i="15"/>
  <c r="T909" i="15"/>
  <c r="T911" i="15"/>
  <c r="T902" i="15"/>
  <c r="T901" i="15"/>
  <c r="T898" i="15"/>
  <c r="T903" i="15"/>
  <c r="T907" i="15"/>
  <c r="T913" i="15"/>
  <c r="T906" i="15"/>
  <c r="T914" i="15"/>
  <c r="T904" i="15"/>
  <c r="T908" i="15"/>
  <c r="T915" i="15"/>
  <c r="S76" i="18"/>
  <c r="S66" i="18"/>
  <c r="S79" i="18"/>
  <c r="T83" i="19"/>
  <c r="T53" i="19"/>
  <c r="V33" i="19"/>
  <c r="S63" i="18"/>
  <c r="S40" i="18"/>
  <c r="S70" i="18"/>
  <c r="T65" i="19"/>
  <c r="V37" i="19"/>
  <c r="T78" i="19"/>
  <c r="T44" i="19"/>
  <c r="T81" i="19"/>
  <c r="T82" i="19"/>
  <c r="T61" i="19"/>
  <c r="V31" i="19"/>
  <c r="T566" i="15"/>
  <c r="T567" i="15"/>
  <c r="T564" i="15"/>
  <c r="T571" i="15"/>
  <c r="T565" i="15"/>
  <c r="T561" i="15"/>
  <c r="T556" i="15"/>
  <c r="T563" i="15"/>
  <c r="T558" i="15"/>
  <c r="T573" i="15"/>
  <c r="T559" i="15"/>
  <c r="T560" i="15"/>
  <c r="T557" i="15"/>
  <c r="T568" i="15"/>
  <c r="T569" i="15"/>
  <c r="T570" i="15"/>
  <c r="T572" i="15"/>
  <c r="T562" i="15"/>
  <c r="V29" i="19"/>
  <c r="T62" i="19"/>
  <c r="T55" i="19"/>
  <c r="O7" i="3"/>
  <c r="T65" i="18" s="1"/>
  <c r="S25" i="18"/>
  <c r="S27" i="18"/>
  <c r="S24" i="18"/>
  <c r="S26" i="18"/>
  <c r="S38" i="18"/>
  <c r="S36" i="18"/>
  <c r="S30" i="18"/>
  <c r="S28" i="18"/>
  <c r="S32" i="18"/>
  <c r="S34" i="18"/>
  <c r="S31" i="18"/>
  <c r="S37" i="18"/>
  <c r="S29" i="18"/>
  <c r="S35" i="18"/>
  <c r="S33" i="18"/>
  <c r="S39" i="18"/>
  <c r="T72" i="19"/>
  <c r="T59" i="19"/>
  <c r="S46" i="18"/>
  <c r="T63" i="19"/>
  <c r="T40" i="19"/>
  <c r="T70" i="19"/>
  <c r="T80" i="19"/>
  <c r="T1145" i="15"/>
  <c r="T1154" i="15"/>
  <c r="T1157" i="15"/>
  <c r="T1160" i="15"/>
  <c r="T1156" i="15"/>
  <c r="T1158" i="15"/>
  <c r="T1152" i="15"/>
  <c r="T1161" i="15"/>
  <c r="T1148" i="15"/>
  <c r="T1146" i="15"/>
  <c r="T1155" i="15"/>
  <c r="T1151" i="15"/>
  <c r="T1162" i="15"/>
  <c r="T1159" i="15"/>
  <c r="T1153" i="15"/>
  <c r="T1149" i="15"/>
  <c r="T1147" i="15"/>
  <c r="T1150" i="15"/>
  <c r="T76" i="19"/>
  <c r="T66" i="19"/>
  <c r="T79" i="19"/>
  <c r="T54" i="19"/>
  <c r="T46" i="19"/>
  <c r="S67" i="18"/>
  <c r="S77" i="18"/>
  <c r="S69" i="18"/>
  <c r="S75" i="18"/>
  <c r="T45" i="19"/>
  <c r="T43" i="19"/>
  <c r="T58" i="19"/>
  <c r="T51" i="19"/>
  <c r="T56" i="19"/>
  <c r="T47" i="19"/>
  <c r="T49" i="19"/>
  <c r="T52" i="19"/>
  <c r="T666" i="15"/>
  <c r="T663" i="15"/>
  <c r="T658" i="15"/>
  <c r="T657" i="15"/>
  <c r="T664" i="15"/>
  <c r="T651" i="15"/>
  <c r="T662" i="15"/>
  <c r="T665" i="15"/>
  <c r="T659" i="15"/>
  <c r="T652" i="15"/>
  <c r="T660" i="15"/>
  <c r="T655" i="15"/>
  <c r="T668" i="15"/>
  <c r="T653" i="15"/>
  <c r="T667" i="15"/>
  <c r="T661" i="15"/>
  <c r="T656" i="15"/>
  <c r="T654" i="15"/>
  <c r="T67" i="19"/>
  <c r="T77" i="19"/>
  <c r="T69" i="19"/>
  <c r="T75" i="19"/>
  <c r="T48" i="19"/>
  <c r="V35" i="19"/>
  <c r="S41" i="18"/>
  <c r="S74" i="18"/>
  <c r="U935" i="15" s="1"/>
  <c r="S68" i="18"/>
  <c r="S42" i="18"/>
  <c r="U403" i="15" s="1"/>
  <c r="U418" i="15" s="1"/>
  <c r="T57" i="19"/>
  <c r="T50" i="19"/>
  <c r="V39" i="19"/>
  <c r="T71" i="19"/>
  <c r="T64" i="19"/>
  <c r="T60" i="19"/>
  <c r="T41" i="19"/>
  <c r="T74" i="19"/>
  <c r="T68" i="19"/>
  <c r="T1120" i="15"/>
  <c r="T1119" i="15"/>
  <c r="T1122" i="15"/>
  <c r="T1121" i="15"/>
  <c r="T1107" i="15"/>
  <c r="T1117" i="15"/>
  <c r="T1113" i="15"/>
  <c r="T1108" i="15"/>
  <c r="T1112" i="15"/>
  <c r="T1114" i="15"/>
  <c r="T1118" i="15"/>
  <c r="T1110" i="15"/>
  <c r="T1116" i="15"/>
  <c r="T1123" i="15"/>
  <c r="T1111" i="15"/>
  <c r="T1115" i="15"/>
  <c r="T1109" i="15"/>
  <c r="T1124" i="15"/>
  <c r="T42" i="19"/>
  <c r="Q544" i="15"/>
  <c r="Q546" i="15"/>
  <c r="Q551" i="15"/>
  <c r="Q545" i="15"/>
  <c r="Q539" i="15"/>
  <c r="Q537" i="15"/>
  <c r="Q542" i="15"/>
  <c r="Q541" i="15"/>
  <c r="Q543" i="15"/>
  <c r="Q550" i="15"/>
  <c r="Q548" i="15"/>
  <c r="Q552" i="15"/>
  <c r="Q554" i="15"/>
  <c r="Q547" i="15"/>
  <c r="Q553" i="15"/>
  <c r="Q540" i="15"/>
  <c r="Q549" i="15"/>
  <c r="Q538" i="15"/>
  <c r="O2" i="19"/>
  <c r="O1" i="19" s="1"/>
  <c r="P23" i="18"/>
  <c r="Q574" i="15"/>
  <c r="O2" i="18"/>
  <c r="V7" i="15"/>
  <c r="V14" i="15"/>
  <c r="V12" i="15"/>
  <c r="V8" i="15"/>
  <c r="V9" i="15"/>
  <c r="V10" i="15"/>
  <c r="V20" i="15"/>
  <c r="V13" i="15"/>
  <c r="W4" i="15"/>
  <c r="W14" i="15" s="1"/>
  <c r="V11" i="15"/>
  <c r="V17" i="15"/>
  <c r="V21" i="15"/>
  <c r="V5" i="15"/>
  <c r="V15" i="15"/>
  <c r="V22" i="15"/>
  <c r="V16" i="15"/>
  <c r="V18" i="15"/>
  <c r="V6" i="15"/>
  <c r="W15" i="18"/>
  <c r="V15" i="18"/>
  <c r="S635" i="15"/>
  <c r="S634" i="15"/>
  <c r="S633" i="15"/>
  <c r="S636" i="15"/>
  <c r="S644" i="15"/>
  <c r="S637" i="15"/>
  <c r="S645" i="15"/>
  <c r="S641" i="15"/>
  <c r="S648" i="15"/>
  <c r="S639" i="15"/>
  <c r="S643" i="15"/>
  <c r="S632" i="15"/>
  <c r="S642" i="15"/>
  <c r="S649" i="15"/>
  <c r="S640" i="15"/>
  <c r="S647" i="15"/>
  <c r="S638" i="15"/>
  <c r="S646" i="15"/>
  <c r="S1099" i="15"/>
  <c r="S1094" i="15"/>
  <c r="S1103" i="15"/>
  <c r="S1104" i="15"/>
  <c r="S1088" i="15"/>
  <c r="S1100" i="15"/>
  <c r="S1105" i="15"/>
  <c r="S1096" i="15"/>
  <c r="S1095" i="15"/>
  <c r="S1090" i="15"/>
  <c r="S1098" i="15"/>
  <c r="S1093" i="15"/>
  <c r="S1097" i="15"/>
  <c r="S1101" i="15"/>
  <c r="S1102" i="15"/>
  <c r="S1089" i="15"/>
  <c r="S1091" i="15"/>
  <c r="S1092" i="15"/>
  <c r="Q1356" i="15"/>
  <c r="Q1364" i="15"/>
  <c r="Q1369" i="15"/>
  <c r="Q1358" i="15"/>
  <c r="Q1361" i="15"/>
  <c r="Q1366" i="15"/>
  <c r="Q1357" i="15"/>
  <c r="Q1355" i="15"/>
  <c r="Q1362" i="15"/>
  <c r="Q1368" i="15"/>
  <c r="Q1359" i="15"/>
  <c r="Q1371" i="15"/>
  <c r="Q1363" i="15"/>
  <c r="Q1354" i="15"/>
  <c r="Q1360" i="15"/>
  <c r="Q1367" i="15"/>
  <c r="Q1370" i="15"/>
  <c r="Q1365" i="15"/>
  <c r="S874" i="15"/>
  <c r="S876" i="15"/>
  <c r="S866" i="15"/>
  <c r="S864" i="15"/>
  <c r="S861" i="15"/>
  <c r="S873" i="15"/>
  <c r="S869" i="15"/>
  <c r="S870" i="15"/>
  <c r="S868" i="15"/>
  <c r="S860" i="15"/>
  <c r="S871" i="15"/>
  <c r="S865" i="15"/>
  <c r="S862" i="15"/>
  <c r="S867" i="15"/>
  <c r="S863" i="15"/>
  <c r="S877" i="15"/>
  <c r="S872" i="15"/>
  <c r="S875" i="15"/>
  <c r="R1353" i="15"/>
  <c r="T859" i="15"/>
  <c r="Q988" i="15"/>
  <c r="Q977" i="15"/>
  <c r="Q981" i="15"/>
  <c r="Q979" i="15"/>
  <c r="Q983" i="15"/>
  <c r="Q975" i="15"/>
  <c r="Q976" i="15"/>
  <c r="Q987" i="15"/>
  <c r="Q989" i="15"/>
  <c r="Q974" i="15"/>
  <c r="Q991" i="15"/>
  <c r="Q986" i="15"/>
  <c r="Q978" i="15"/>
  <c r="Q980" i="15"/>
  <c r="Q982" i="15"/>
  <c r="Q990" i="15"/>
  <c r="Q985" i="15"/>
  <c r="Q984" i="15"/>
  <c r="S369" i="15"/>
  <c r="S368" i="15"/>
  <c r="S383" i="15"/>
  <c r="S381" i="15"/>
  <c r="S367" i="15"/>
  <c r="S370" i="15"/>
  <c r="S377" i="15"/>
  <c r="S373" i="15"/>
  <c r="S366" i="15"/>
  <c r="S375" i="15"/>
  <c r="S382" i="15"/>
  <c r="S374" i="15"/>
  <c r="S380" i="15"/>
  <c r="S378" i="15"/>
  <c r="S376" i="15"/>
  <c r="S372" i="15"/>
  <c r="S371" i="15"/>
  <c r="S379" i="15"/>
  <c r="Q385" i="15"/>
  <c r="Q395" i="15"/>
  <c r="Q400" i="15"/>
  <c r="Q398" i="15"/>
  <c r="Q401" i="15"/>
  <c r="Q402" i="15"/>
  <c r="Q392" i="15"/>
  <c r="Q396" i="15"/>
  <c r="Q399" i="15"/>
  <c r="Q394" i="15"/>
  <c r="Q393" i="15"/>
  <c r="Q390" i="15"/>
  <c r="Q389" i="15"/>
  <c r="Q397" i="15"/>
  <c r="Q391" i="15"/>
  <c r="Q388" i="15"/>
  <c r="Q387" i="15"/>
  <c r="Q386" i="15"/>
  <c r="S1283" i="15"/>
  <c r="S1280" i="15"/>
  <c r="S1292" i="15"/>
  <c r="S1295" i="15"/>
  <c r="S1291" i="15"/>
  <c r="S1279" i="15"/>
  <c r="S1282" i="15"/>
  <c r="S1284" i="15"/>
  <c r="S1290" i="15"/>
  <c r="S1293" i="15"/>
  <c r="S1288" i="15"/>
  <c r="S1286" i="15"/>
  <c r="S1287" i="15"/>
  <c r="S1294" i="15"/>
  <c r="S1281" i="15"/>
  <c r="S1289" i="15"/>
  <c r="S1278" i="15"/>
  <c r="S1285" i="15"/>
  <c r="S719" i="15"/>
  <c r="S714" i="15"/>
  <c r="S709" i="15"/>
  <c r="S708" i="15"/>
  <c r="S711" i="15"/>
  <c r="S720" i="15"/>
  <c r="S716" i="15"/>
  <c r="S710" i="15"/>
  <c r="S721" i="15"/>
  <c r="S722" i="15"/>
  <c r="S724" i="15"/>
  <c r="S723" i="15"/>
  <c r="S713" i="15"/>
  <c r="S718" i="15"/>
  <c r="S725" i="15"/>
  <c r="S712" i="15"/>
  <c r="S715" i="15"/>
  <c r="S717" i="15"/>
  <c r="Q505" i="15"/>
  <c r="Q513" i="15"/>
  <c r="Q512" i="15"/>
  <c r="Q510" i="15"/>
  <c r="Q514" i="15"/>
  <c r="Q503" i="15"/>
  <c r="Q502" i="15"/>
  <c r="Q509" i="15"/>
  <c r="Q501" i="15"/>
  <c r="Q508" i="15"/>
  <c r="Q500" i="15"/>
  <c r="Q504" i="15"/>
  <c r="Q515" i="15"/>
  <c r="Q511" i="15"/>
  <c r="Q506" i="15"/>
  <c r="Q516" i="15"/>
  <c r="Q499" i="15"/>
  <c r="Q507" i="15"/>
  <c r="S487" i="15"/>
  <c r="S480" i="15"/>
  <c r="S484" i="15"/>
  <c r="S485" i="15"/>
  <c r="S483" i="15"/>
  <c r="S486" i="15"/>
  <c r="S494" i="15"/>
  <c r="S495" i="15"/>
  <c r="S497" i="15"/>
  <c r="S491" i="15"/>
  <c r="S490" i="15"/>
  <c r="S488" i="15"/>
  <c r="S493" i="15"/>
  <c r="S481" i="15"/>
  <c r="S496" i="15"/>
  <c r="S489" i="15"/>
  <c r="S482" i="15"/>
  <c r="S492" i="15"/>
  <c r="S1383" i="15"/>
  <c r="S1389" i="15"/>
  <c r="S1375" i="15"/>
  <c r="S1379" i="15"/>
  <c r="S1384" i="15"/>
  <c r="S1374" i="15"/>
  <c r="S1386" i="15"/>
  <c r="S1378" i="15"/>
  <c r="S1373" i="15"/>
  <c r="S1390" i="15"/>
  <c r="S1380" i="15"/>
  <c r="S1388" i="15"/>
  <c r="S1385" i="15"/>
  <c r="S1377" i="15"/>
  <c r="S1382" i="15"/>
  <c r="S1387" i="15"/>
  <c r="S1376" i="15"/>
  <c r="S1381" i="15"/>
  <c r="S1412" i="15"/>
  <c r="S1422" i="15"/>
  <c r="S1411" i="15"/>
  <c r="S1414" i="15"/>
  <c r="S1419" i="15"/>
  <c r="S1425" i="15"/>
  <c r="S1416" i="15"/>
  <c r="S1413" i="15"/>
  <c r="S1424" i="15"/>
  <c r="S1421" i="15"/>
  <c r="S1426" i="15"/>
  <c r="S1427" i="15"/>
  <c r="S1418" i="15"/>
  <c r="S1428" i="15"/>
  <c r="S1420" i="15"/>
  <c r="S1415" i="15"/>
  <c r="S1417" i="15"/>
  <c r="S1423" i="15"/>
  <c r="R973" i="15"/>
  <c r="T365" i="15"/>
  <c r="R878" i="15"/>
  <c r="Q1509" i="15"/>
  <c r="Q1507" i="15"/>
  <c r="Q1512" i="15"/>
  <c r="Q1519" i="15"/>
  <c r="Q1516" i="15"/>
  <c r="Q1517" i="15"/>
  <c r="Q1508" i="15"/>
  <c r="Q1518" i="15"/>
  <c r="Q1514" i="15"/>
  <c r="Q1520" i="15"/>
  <c r="Q1515" i="15"/>
  <c r="Q1506" i="15"/>
  <c r="Q1523" i="15"/>
  <c r="Q1513" i="15"/>
  <c r="Q1511" i="15"/>
  <c r="Q1521" i="15"/>
  <c r="Q1510" i="15"/>
  <c r="Q1522" i="15"/>
  <c r="S438" i="15"/>
  <c r="S427" i="15"/>
  <c r="S434" i="15"/>
  <c r="S428" i="15"/>
  <c r="S436" i="15"/>
  <c r="S431" i="15"/>
  <c r="S437" i="15"/>
  <c r="S430" i="15"/>
  <c r="S439" i="15"/>
  <c r="S435" i="15"/>
  <c r="S425" i="15"/>
  <c r="S433" i="15"/>
  <c r="S440" i="15"/>
  <c r="S424" i="15"/>
  <c r="S429" i="15"/>
  <c r="S432" i="15"/>
  <c r="S426" i="15"/>
  <c r="S423" i="15"/>
  <c r="Q1050" i="15"/>
  <c r="Q1058" i="15"/>
  <c r="Q1057" i="15"/>
  <c r="Q1059" i="15"/>
  <c r="Q1067" i="15"/>
  <c r="Q1062" i="15"/>
  <c r="Q1065" i="15"/>
  <c r="Q1064" i="15"/>
  <c r="Q1066" i="15"/>
  <c r="Q1055" i="15"/>
  <c r="Q1054" i="15"/>
  <c r="Q1052" i="15"/>
  <c r="Q1061" i="15"/>
  <c r="Q1053" i="15"/>
  <c r="Q1063" i="15"/>
  <c r="Q1051" i="15"/>
  <c r="Q1060" i="15"/>
  <c r="Q1056" i="15"/>
  <c r="S994" i="15"/>
  <c r="S1008" i="15"/>
  <c r="S1002" i="15"/>
  <c r="S998" i="15"/>
  <c r="S1003" i="15"/>
  <c r="S997" i="15"/>
  <c r="S1009" i="15"/>
  <c r="S999" i="15"/>
  <c r="S995" i="15"/>
  <c r="S1000" i="15"/>
  <c r="S1010" i="15"/>
  <c r="S996" i="15"/>
  <c r="S1004" i="15"/>
  <c r="S1006" i="15"/>
  <c r="S1005" i="15"/>
  <c r="S993" i="15"/>
  <c r="S1007" i="15"/>
  <c r="S1001" i="15"/>
  <c r="Q751" i="15"/>
  <c r="Q752" i="15"/>
  <c r="Q755" i="15"/>
  <c r="Q759" i="15"/>
  <c r="Q761" i="15"/>
  <c r="Q749" i="15"/>
  <c r="Q747" i="15"/>
  <c r="Q762" i="15"/>
  <c r="Q750" i="15"/>
  <c r="Q760" i="15"/>
  <c r="Q753" i="15"/>
  <c r="Q756" i="15"/>
  <c r="Q754" i="15"/>
  <c r="Q763" i="15"/>
  <c r="Q758" i="15"/>
  <c r="Q748" i="15"/>
  <c r="Q746" i="15"/>
  <c r="Q757" i="15"/>
  <c r="S1453" i="15"/>
  <c r="S1464" i="15"/>
  <c r="S1457" i="15"/>
  <c r="S1466" i="15"/>
  <c r="S1454" i="15"/>
  <c r="S1465" i="15"/>
  <c r="S1456" i="15"/>
  <c r="S1451" i="15"/>
  <c r="S1459" i="15"/>
  <c r="S1463" i="15"/>
  <c r="S1449" i="15"/>
  <c r="S1458" i="15"/>
  <c r="S1462" i="15"/>
  <c r="S1461" i="15"/>
  <c r="S1450" i="15"/>
  <c r="S1455" i="15"/>
  <c r="S1460" i="15"/>
  <c r="S1452" i="15"/>
  <c r="Q884" i="15"/>
  <c r="Q879" i="15"/>
  <c r="Q894" i="15"/>
  <c r="Q881" i="15"/>
  <c r="Q893" i="15"/>
  <c r="Q889" i="15"/>
  <c r="Q886" i="15"/>
  <c r="Q888" i="15"/>
  <c r="Q896" i="15"/>
  <c r="Q891" i="15"/>
  <c r="Q895" i="15"/>
  <c r="Q892" i="15"/>
  <c r="Q880" i="15"/>
  <c r="Q885" i="15"/>
  <c r="Q883" i="15"/>
  <c r="Q882" i="15"/>
  <c r="Q890" i="15"/>
  <c r="Q887" i="15"/>
  <c r="S1488" i="15"/>
  <c r="S1503" i="15"/>
  <c r="S1495" i="15"/>
  <c r="S1500" i="15"/>
  <c r="S1498" i="15"/>
  <c r="S1497" i="15"/>
  <c r="S1499" i="15"/>
  <c r="S1491" i="15"/>
  <c r="S1490" i="15"/>
  <c r="S1487" i="15"/>
  <c r="S1493" i="15"/>
  <c r="S1502" i="15"/>
  <c r="S1494" i="15"/>
  <c r="S1489" i="15"/>
  <c r="S1504" i="15"/>
  <c r="S1496" i="15"/>
  <c r="S1501" i="15"/>
  <c r="S1492" i="15"/>
  <c r="T631" i="15"/>
  <c r="R764" i="15"/>
  <c r="Q1224" i="15"/>
  <c r="Q1230" i="15"/>
  <c r="Q1227" i="15"/>
  <c r="Q1232" i="15"/>
  <c r="Q1236" i="15"/>
  <c r="Q1235" i="15"/>
  <c r="Q1226" i="15"/>
  <c r="Q1238" i="15"/>
  <c r="Q1221" i="15"/>
  <c r="Q1234" i="15"/>
  <c r="Q1222" i="15"/>
  <c r="Q1233" i="15"/>
  <c r="Q1229" i="15"/>
  <c r="Q1237" i="15"/>
  <c r="Q1223" i="15"/>
  <c r="Q1231" i="15"/>
  <c r="Q1225" i="15"/>
  <c r="Q1228" i="15"/>
  <c r="S933" i="15"/>
  <c r="S918" i="15"/>
  <c r="S919" i="15"/>
  <c r="S930" i="15"/>
  <c r="S923" i="15"/>
  <c r="S927" i="15"/>
  <c r="S926" i="15"/>
  <c r="S921" i="15"/>
  <c r="S920" i="15"/>
  <c r="S924" i="15"/>
  <c r="S925" i="15"/>
  <c r="S928" i="15"/>
  <c r="S931" i="15"/>
  <c r="S934" i="15"/>
  <c r="S929" i="15"/>
  <c r="S917" i="15"/>
  <c r="S932" i="15"/>
  <c r="S922" i="15"/>
  <c r="Q1321" i="15"/>
  <c r="Q1333" i="15"/>
  <c r="Q1325" i="15"/>
  <c r="Q1330" i="15"/>
  <c r="Q1320" i="15"/>
  <c r="Q1332" i="15"/>
  <c r="Q1316" i="15"/>
  <c r="Q1326" i="15"/>
  <c r="Q1317" i="15"/>
  <c r="Q1327" i="15"/>
  <c r="Q1318" i="15"/>
  <c r="Q1329" i="15"/>
  <c r="Q1328" i="15"/>
  <c r="Q1324" i="15"/>
  <c r="Q1322" i="15"/>
  <c r="Q1319" i="15"/>
  <c r="Q1323" i="15"/>
  <c r="Q1331" i="15"/>
  <c r="Q857" i="15"/>
  <c r="Q844" i="15"/>
  <c r="Q847" i="15"/>
  <c r="Q852" i="15"/>
  <c r="Q856" i="15"/>
  <c r="Q849" i="15"/>
  <c r="Q854" i="15"/>
  <c r="Q843" i="15"/>
  <c r="Q841" i="15"/>
  <c r="Q851" i="15"/>
  <c r="Q842" i="15"/>
  <c r="Q846" i="15"/>
  <c r="Q848" i="15"/>
  <c r="Q855" i="15"/>
  <c r="Q853" i="15"/>
  <c r="Q858" i="15"/>
  <c r="Q850" i="15"/>
  <c r="Q845" i="15"/>
  <c r="Q1301" i="15"/>
  <c r="Q1304" i="15"/>
  <c r="Q1299" i="15"/>
  <c r="Q1310" i="15"/>
  <c r="Q1302" i="15"/>
  <c r="Q1298" i="15"/>
  <c r="Q1305" i="15"/>
  <c r="Q1309" i="15"/>
  <c r="Q1300" i="15"/>
  <c r="Q1311" i="15"/>
  <c r="Q1313" i="15"/>
  <c r="Q1303" i="15"/>
  <c r="Q1312" i="15"/>
  <c r="Q1307" i="15"/>
  <c r="Q1308" i="15"/>
  <c r="Q1314" i="15"/>
  <c r="Q1297" i="15"/>
  <c r="Q1306" i="15"/>
  <c r="S824" i="15"/>
  <c r="S825" i="15"/>
  <c r="S837" i="15"/>
  <c r="S823" i="15"/>
  <c r="S834" i="15"/>
  <c r="S831" i="15"/>
  <c r="S829" i="15"/>
  <c r="S838" i="15"/>
  <c r="S832" i="15"/>
  <c r="S826" i="15"/>
  <c r="S833" i="15"/>
  <c r="S827" i="15"/>
  <c r="S835" i="15"/>
  <c r="S828" i="15"/>
  <c r="S839" i="15"/>
  <c r="S822" i="15"/>
  <c r="S836" i="15"/>
  <c r="S830" i="15"/>
  <c r="Q815" i="15"/>
  <c r="Q814" i="15"/>
  <c r="Q812" i="15"/>
  <c r="Q816" i="15"/>
  <c r="Q803" i="15"/>
  <c r="Q808" i="15"/>
  <c r="Q806" i="15"/>
  <c r="Q820" i="15"/>
  <c r="Q811" i="15"/>
  <c r="Q819" i="15"/>
  <c r="Q810" i="15"/>
  <c r="Q807" i="15"/>
  <c r="Q817" i="15"/>
  <c r="Q805" i="15"/>
  <c r="Q813" i="15"/>
  <c r="Q804" i="15"/>
  <c r="Q809" i="15"/>
  <c r="Q818" i="15"/>
  <c r="Q784" i="15"/>
  <c r="Q799" i="15"/>
  <c r="Q795" i="15"/>
  <c r="Q785" i="15"/>
  <c r="Q792" i="15"/>
  <c r="Q800" i="15"/>
  <c r="Q790" i="15"/>
  <c r="Q788" i="15"/>
  <c r="Q786" i="15"/>
  <c r="Q791" i="15"/>
  <c r="Q793" i="15"/>
  <c r="Q801" i="15"/>
  <c r="Q794" i="15"/>
  <c r="Q787" i="15"/>
  <c r="Q798" i="15"/>
  <c r="Q789" i="15"/>
  <c r="Q796" i="15"/>
  <c r="Q797" i="15"/>
  <c r="S1430" i="15"/>
  <c r="S1439" i="15"/>
  <c r="S1432" i="15"/>
  <c r="S1433" i="15"/>
  <c r="S1447" i="15"/>
  <c r="S1445" i="15"/>
  <c r="S1434" i="15"/>
  <c r="S1440" i="15"/>
  <c r="S1431" i="15"/>
  <c r="S1446" i="15"/>
  <c r="S1435" i="15"/>
  <c r="S1441" i="15"/>
  <c r="S1444" i="15"/>
  <c r="S1438" i="15"/>
  <c r="S1437" i="15"/>
  <c r="S1436" i="15"/>
  <c r="S1443" i="15"/>
  <c r="S1442" i="15"/>
  <c r="S670" i="15"/>
  <c r="S686" i="15"/>
  <c r="S678" i="15"/>
  <c r="S681" i="15"/>
  <c r="S687" i="15"/>
  <c r="S676" i="15"/>
  <c r="S684" i="15"/>
  <c r="S672" i="15"/>
  <c r="S685" i="15"/>
  <c r="S673" i="15"/>
  <c r="S680" i="15"/>
  <c r="S677" i="15"/>
  <c r="S679" i="15"/>
  <c r="S671" i="15"/>
  <c r="S674" i="15"/>
  <c r="S682" i="15"/>
  <c r="S683" i="15"/>
  <c r="S675" i="15"/>
  <c r="S732" i="15"/>
  <c r="S737" i="15"/>
  <c r="S742" i="15"/>
  <c r="S728" i="15"/>
  <c r="S744" i="15"/>
  <c r="S740" i="15"/>
  <c r="S736" i="15"/>
  <c r="S739" i="15"/>
  <c r="S733" i="15"/>
  <c r="S741" i="15"/>
  <c r="S734" i="15"/>
  <c r="S727" i="15"/>
  <c r="S738" i="15"/>
  <c r="S731" i="15"/>
  <c r="S735" i="15"/>
  <c r="S729" i="15"/>
  <c r="S743" i="15"/>
  <c r="S730" i="15"/>
  <c r="S956" i="15"/>
  <c r="S967" i="15"/>
  <c r="S964" i="15"/>
  <c r="S968" i="15"/>
  <c r="S972" i="15"/>
  <c r="S957" i="15"/>
  <c r="S961" i="15"/>
  <c r="S965" i="15"/>
  <c r="S969" i="15"/>
  <c r="S962" i="15"/>
  <c r="S970" i="15"/>
  <c r="S963" i="15"/>
  <c r="S955" i="15"/>
  <c r="S971" i="15"/>
  <c r="S966" i="15"/>
  <c r="S959" i="15"/>
  <c r="S960" i="15"/>
  <c r="S958" i="15"/>
  <c r="S1032" i="15"/>
  <c r="S1045" i="15"/>
  <c r="S1038" i="15"/>
  <c r="S1042" i="15"/>
  <c r="S1046" i="15"/>
  <c r="S1033" i="15"/>
  <c r="S1039" i="15"/>
  <c r="S1041" i="15"/>
  <c r="S1048" i="15"/>
  <c r="S1043" i="15"/>
  <c r="S1034" i="15"/>
  <c r="S1040" i="15"/>
  <c r="S1036" i="15"/>
  <c r="S1044" i="15"/>
  <c r="S1047" i="15"/>
  <c r="S1031" i="15"/>
  <c r="S1035" i="15"/>
  <c r="S1037" i="15"/>
  <c r="S519" i="15"/>
  <c r="S525" i="15"/>
  <c r="S533" i="15"/>
  <c r="S535" i="15"/>
  <c r="S521" i="15"/>
  <c r="S527" i="15"/>
  <c r="S531" i="15"/>
  <c r="S524" i="15"/>
  <c r="S532" i="15"/>
  <c r="S518" i="15"/>
  <c r="S520" i="15"/>
  <c r="S528" i="15"/>
  <c r="S522" i="15"/>
  <c r="S534" i="15"/>
  <c r="S529" i="15"/>
  <c r="S523" i="15"/>
  <c r="S526" i="15"/>
  <c r="S530" i="15"/>
  <c r="Q1193" i="15"/>
  <c r="Q1190" i="15"/>
  <c r="Q1196" i="15"/>
  <c r="Q1185" i="15"/>
  <c r="Q1188" i="15"/>
  <c r="Q1192" i="15"/>
  <c r="Q1195" i="15"/>
  <c r="Q1199" i="15"/>
  <c r="Q1187" i="15"/>
  <c r="Q1198" i="15"/>
  <c r="Q1194" i="15"/>
  <c r="Q1200" i="15"/>
  <c r="Q1191" i="15"/>
  <c r="Q1184" i="15"/>
  <c r="Q1183" i="15"/>
  <c r="Q1197" i="15"/>
  <c r="Q1186" i="15"/>
  <c r="Q1189" i="15"/>
  <c r="S605" i="15"/>
  <c r="S596" i="15"/>
  <c r="S607" i="15"/>
  <c r="S603" i="15"/>
  <c r="S597" i="15"/>
  <c r="S604" i="15"/>
  <c r="S599" i="15"/>
  <c r="S601" i="15"/>
  <c r="S600" i="15"/>
  <c r="S608" i="15"/>
  <c r="S594" i="15"/>
  <c r="S610" i="15"/>
  <c r="S609" i="15"/>
  <c r="S598" i="15"/>
  <c r="S611" i="15"/>
  <c r="S606" i="15"/>
  <c r="S595" i="15"/>
  <c r="S602" i="15"/>
  <c r="S1342" i="15"/>
  <c r="S1339" i="15"/>
  <c r="S1350" i="15"/>
  <c r="S1336" i="15"/>
  <c r="S1352" i="15"/>
  <c r="S1345" i="15"/>
  <c r="S1343" i="15"/>
  <c r="S1338" i="15"/>
  <c r="S1351" i="15"/>
  <c r="S1344" i="15"/>
  <c r="S1346" i="15"/>
  <c r="S1340" i="15"/>
  <c r="S1347" i="15"/>
  <c r="S1337" i="15"/>
  <c r="S1348" i="15"/>
  <c r="S1341" i="15"/>
  <c r="S1349" i="15"/>
  <c r="S1335" i="15"/>
  <c r="Q1174" i="15"/>
  <c r="Q1177" i="15"/>
  <c r="Q1167" i="15"/>
  <c r="Q1169" i="15"/>
  <c r="Q1178" i="15"/>
  <c r="Q1181" i="15"/>
  <c r="Q1175" i="15"/>
  <c r="Q1180" i="15"/>
  <c r="Q1168" i="15"/>
  <c r="Q1166" i="15"/>
  <c r="Q1176" i="15"/>
  <c r="Q1165" i="15"/>
  <c r="Q1173" i="15"/>
  <c r="Q1164" i="15"/>
  <c r="Q1170" i="15"/>
  <c r="Q1172" i="15"/>
  <c r="Q1179" i="15"/>
  <c r="Q1171" i="15"/>
  <c r="Q1130" i="15"/>
  <c r="Q1139" i="15"/>
  <c r="Q1141" i="15"/>
  <c r="Q1137" i="15"/>
  <c r="Q1128" i="15"/>
  <c r="Q1133" i="15"/>
  <c r="Q1140" i="15"/>
  <c r="Q1131" i="15"/>
  <c r="Q1129" i="15"/>
  <c r="Q1138" i="15"/>
  <c r="Q1126" i="15"/>
  <c r="Q1136" i="15"/>
  <c r="Q1132" i="15"/>
  <c r="Q1127" i="15"/>
  <c r="Q1142" i="15"/>
  <c r="Q1134" i="15"/>
  <c r="Q1135" i="15"/>
  <c r="Q1143" i="15"/>
  <c r="Q770" i="15"/>
  <c r="Q766" i="15"/>
  <c r="Q777" i="15"/>
  <c r="Q778" i="15"/>
  <c r="Q776" i="15"/>
  <c r="Q779" i="15"/>
  <c r="Q772" i="15"/>
  <c r="Q773" i="15"/>
  <c r="Q781" i="15"/>
  <c r="Q767" i="15"/>
  <c r="Q775" i="15"/>
  <c r="Q765" i="15"/>
  <c r="Q769" i="15"/>
  <c r="Q774" i="15"/>
  <c r="Q782" i="15"/>
  <c r="Q780" i="15"/>
  <c r="Q768" i="15"/>
  <c r="Q771" i="15"/>
  <c r="T1429" i="15"/>
  <c r="T1486" i="15"/>
  <c r="Q477" i="15"/>
  <c r="Q474" i="15"/>
  <c r="Q461" i="15"/>
  <c r="Q473" i="15"/>
  <c r="Q478" i="15"/>
  <c r="Q476" i="15"/>
  <c r="Q463" i="15"/>
  <c r="Q462" i="15"/>
  <c r="Q470" i="15"/>
  <c r="Q471" i="15"/>
  <c r="Q469" i="15"/>
  <c r="Q465" i="15"/>
  <c r="Q466" i="15"/>
  <c r="Q475" i="15"/>
  <c r="Q467" i="15"/>
  <c r="Q468" i="15"/>
  <c r="Q472" i="15"/>
  <c r="Q464" i="15"/>
  <c r="R1485" i="15"/>
  <c r="R1472" i="15"/>
  <c r="R1479" i="15"/>
  <c r="R1478" i="15"/>
  <c r="R1484" i="15"/>
  <c r="R1481" i="15"/>
  <c r="R1475" i="15"/>
  <c r="R1469" i="15"/>
  <c r="R1470" i="15"/>
  <c r="R1471" i="15"/>
  <c r="R1477" i="15"/>
  <c r="R1480" i="15"/>
  <c r="R1482" i="15"/>
  <c r="R1483" i="15"/>
  <c r="R1473" i="15"/>
  <c r="R1474" i="15"/>
  <c r="R1468" i="15"/>
  <c r="R1476" i="15"/>
  <c r="S451" i="15"/>
  <c r="S443" i="15"/>
  <c r="S450" i="15"/>
  <c r="S456" i="15"/>
  <c r="S452" i="15"/>
  <c r="S458" i="15"/>
  <c r="S453" i="15"/>
  <c r="S445" i="15"/>
  <c r="S442" i="15"/>
  <c r="S459" i="15"/>
  <c r="S444" i="15"/>
  <c r="S454" i="15"/>
  <c r="S446" i="15"/>
  <c r="S449" i="15"/>
  <c r="S448" i="15"/>
  <c r="S455" i="15"/>
  <c r="S457" i="15"/>
  <c r="S447" i="15"/>
  <c r="Q623" i="15"/>
  <c r="Q619" i="15"/>
  <c r="Q617" i="15"/>
  <c r="Q622" i="15"/>
  <c r="Q630" i="15"/>
  <c r="Q615" i="15"/>
  <c r="Q618" i="15"/>
  <c r="Q625" i="15"/>
  <c r="Q616" i="15"/>
  <c r="Q621" i="15"/>
  <c r="Q614" i="15"/>
  <c r="Q620" i="15"/>
  <c r="Q629" i="15"/>
  <c r="Q628" i="15"/>
  <c r="Q613" i="15"/>
  <c r="Q624" i="15"/>
  <c r="Q626" i="15"/>
  <c r="Q627" i="15"/>
  <c r="Q692" i="15"/>
  <c r="Q698" i="15"/>
  <c r="Q704" i="15"/>
  <c r="Q690" i="15"/>
  <c r="Q696" i="15"/>
  <c r="Q706" i="15"/>
  <c r="Q705" i="15"/>
  <c r="Q689" i="15"/>
  <c r="Q703" i="15"/>
  <c r="Q693" i="15"/>
  <c r="Q699" i="15"/>
  <c r="Q691" i="15"/>
  <c r="Q697" i="15"/>
  <c r="Q695" i="15"/>
  <c r="Q701" i="15"/>
  <c r="Q702" i="15"/>
  <c r="Q694" i="15"/>
  <c r="Q700" i="15"/>
  <c r="Q1271" i="15"/>
  <c r="Q1262" i="15"/>
  <c r="Q1268" i="15"/>
  <c r="Q1260" i="15"/>
  <c r="Q1266" i="15"/>
  <c r="Q1273" i="15"/>
  <c r="Q1265" i="15"/>
  <c r="Q1276" i="15"/>
  <c r="Q1261" i="15"/>
  <c r="Q1269" i="15"/>
  <c r="Q1264" i="15"/>
  <c r="Q1272" i="15"/>
  <c r="Q1274" i="15"/>
  <c r="Q1259" i="15"/>
  <c r="Q1267" i="15"/>
  <c r="Q1275" i="15"/>
  <c r="Q1263" i="15"/>
  <c r="Q1270" i="15"/>
  <c r="U947" i="15" l="1"/>
  <c r="Q585" i="15"/>
  <c r="U573" i="15"/>
  <c r="U1207" i="15"/>
  <c r="U1015" i="15"/>
  <c r="U1255" i="15"/>
  <c r="U1247" i="15"/>
  <c r="U1211" i="15"/>
  <c r="U1206" i="15"/>
  <c r="U1256" i="15"/>
  <c r="U1218" i="15"/>
  <c r="U1240" i="15"/>
  <c r="U1208" i="15"/>
  <c r="U1251" i="15"/>
  <c r="U1077" i="15"/>
  <c r="U1079" i="15"/>
  <c r="U561" i="15"/>
  <c r="U567" i="15"/>
  <c r="U1076" i="15"/>
  <c r="U560" i="15"/>
  <c r="U563" i="15"/>
  <c r="U565" i="15"/>
  <c r="U559" i="15"/>
  <c r="U564" i="15"/>
  <c r="U562" i="15"/>
  <c r="U558" i="15"/>
  <c r="U570" i="15"/>
  <c r="U557" i="15"/>
  <c r="U556" i="15"/>
  <c r="U566" i="15"/>
  <c r="U569" i="15"/>
  <c r="U568" i="15"/>
  <c r="U572" i="15"/>
  <c r="U571" i="15"/>
  <c r="U1085" i="15"/>
  <c r="U408" i="15"/>
  <c r="U420" i="15"/>
  <c r="U416" i="15"/>
  <c r="U414" i="15"/>
  <c r="U411" i="15"/>
  <c r="U406" i="15"/>
  <c r="U409" i="15"/>
  <c r="U407" i="15"/>
  <c r="U410" i="15"/>
  <c r="U421" i="15"/>
  <c r="U417" i="15"/>
  <c r="U404" i="15"/>
  <c r="U405" i="15"/>
  <c r="U413" i="15"/>
  <c r="U419" i="15"/>
  <c r="U412" i="15"/>
  <c r="T42" i="18"/>
  <c r="V403" i="15" s="1"/>
  <c r="U1083" i="15"/>
  <c r="U664" i="15"/>
  <c r="U1080" i="15"/>
  <c r="T41" i="18"/>
  <c r="T50" i="18"/>
  <c r="Y50" i="18" s="1"/>
  <c r="T77" i="18"/>
  <c r="T47" i="18"/>
  <c r="T79" i="18"/>
  <c r="T60" i="18"/>
  <c r="T48" i="18"/>
  <c r="V1068" i="15" s="1"/>
  <c r="T67" i="18"/>
  <c r="T56" i="18"/>
  <c r="T68" i="18"/>
  <c r="T64" i="18"/>
  <c r="T75" i="18"/>
  <c r="T59" i="18"/>
  <c r="T74" i="18"/>
  <c r="V935" i="15" s="1"/>
  <c r="V951" i="15" s="1"/>
  <c r="T71" i="18"/>
  <c r="T69" i="18"/>
  <c r="T43" i="18"/>
  <c r="T80" i="18"/>
  <c r="U1020" i="15"/>
  <c r="U1250" i="15"/>
  <c r="U1253" i="15"/>
  <c r="U1244" i="15"/>
  <c r="U1212" i="15"/>
  <c r="U1217" i="15"/>
  <c r="U658" i="15"/>
  <c r="U1017" i="15"/>
  <c r="U1242" i="15"/>
  <c r="U1248" i="15"/>
  <c r="U1215" i="15"/>
  <c r="U1205" i="15"/>
  <c r="U662" i="15"/>
  <c r="U1028" i="15"/>
  <c r="U1252" i="15"/>
  <c r="U1243" i="15"/>
  <c r="U939" i="15"/>
  <c r="U1216" i="15"/>
  <c r="U1202" i="15"/>
  <c r="U1014" i="15"/>
  <c r="U1246" i="15"/>
  <c r="U1241" i="15"/>
  <c r="U953" i="15"/>
  <c r="U1204" i="15"/>
  <c r="U1209" i="15"/>
  <c r="U1249" i="15"/>
  <c r="U1245" i="15"/>
  <c r="U1219" i="15"/>
  <c r="U1213" i="15"/>
  <c r="U1210" i="15"/>
  <c r="U1254" i="15"/>
  <c r="U1203" i="15"/>
  <c r="U1214" i="15"/>
  <c r="T58" i="18"/>
  <c r="Y58" i="18" s="1"/>
  <c r="U914" i="15"/>
  <c r="T49" i="18"/>
  <c r="T76" i="18"/>
  <c r="V1106" i="15" s="1"/>
  <c r="V1112" i="15" s="1"/>
  <c r="U915" i="15"/>
  <c r="U653" i="15"/>
  <c r="U1158" i="15"/>
  <c r="U1156" i="15"/>
  <c r="U1013" i="15"/>
  <c r="U1027" i="15"/>
  <c r="U1023" i="15"/>
  <c r="U657" i="15"/>
  <c r="U668" i="15"/>
  <c r="U1155" i="15"/>
  <c r="U1160" i="15"/>
  <c r="U1026" i="15"/>
  <c r="U1019" i="15"/>
  <c r="U666" i="15"/>
  <c r="U655" i="15"/>
  <c r="U1145" i="15"/>
  <c r="U1086" i="15"/>
  <c r="U665" i="15"/>
  <c r="U656" i="15"/>
  <c r="U1016" i="15"/>
  <c r="U1022" i="15"/>
  <c r="U661" i="15"/>
  <c r="U660" i="15"/>
  <c r="U1147" i="15"/>
  <c r="U1024" i="15"/>
  <c r="U1029" i="15"/>
  <c r="U667" i="15"/>
  <c r="U659" i="15"/>
  <c r="U899" i="15"/>
  <c r="U1157" i="15"/>
  <c r="U651" i="15"/>
  <c r="U652" i="15"/>
  <c r="U1153" i="15"/>
  <c r="U1151" i="15"/>
  <c r="U1018" i="15"/>
  <c r="U1021" i="15"/>
  <c r="U1025" i="15"/>
  <c r="U654" i="15"/>
  <c r="U903" i="15"/>
  <c r="U1159" i="15"/>
  <c r="U1161" i="15"/>
  <c r="U1154" i="15"/>
  <c r="U1084" i="15"/>
  <c r="U1073" i="15"/>
  <c r="U1082" i="15"/>
  <c r="T61" i="18"/>
  <c r="U1146" i="15"/>
  <c r="U1150" i="15"/>
  <c r="U1152" i="15"/>
  <c r="U1081" i="15"/>
  <c r="T40" i="18"/>
  <c r="T55" i="18"/>
  <c r="U1162" i="15"/>
  <c r="U1149" i="15"/>
  <c r="U1070" i="15"/>
  <c r="T44" i="18"/>
  <c r="U911" i="15"/>
  <c r="U898" i="15"/>
  <c r="U415" i="15"/>
  <c r="T57" i="18"/>
  <c r="T46" i="18"/>
  <c r="T66" i="18"/>
  <c r="V1391" i="15" s="1"/>
  <c r="V1404" i="15" s="1"/>
  <c r="U912" i="15"/>
  <c r="U901" i="15"/>
  <c r="U908" i="15"/>
  <c r="U1069" i="15"/>
  <c r="U1074" i="15"/>
  <c r="U902" i="15"/>
  <c r="U907" i="15"/>
  <c r="U900" i="15"/>
  <c r="T63" i="18"/>
  <c r="U913" i="15"/>
  <c r="U904" i="15"/>
  <c r="T54" i="18"/>
  <c r="T62" i="18"/>
  <c r="U910" i="15"/>
  <c r="U909" i="15"/>
  <c r="U1078" i="15"/>
  <c r="U1072" i="15"/>
  <c r="T52" i="18"/>
  <c r="V650" i="15" s="1"/>
  <c r="T51" i="18"/>
  <c r="T81" i="18"/>
  <c r="Y81" i="18" s="1"/>
  <c r="U906" i="15"/>
  <c r="U1075" i="15"/>
  <c r="U940" i="15"/>
  <c r="U950" i="15"/>
  <c r="U941" i="15"/>
  <c r="U942" i="15"/>
  <c r="U944" i="15"/>
  <c r="U946" i="15"/>
  <c r="U952" i="15"/>
  <c r="U937" i="15"/>
  <c r="U951" i="15"/>
  <c r="U938" i="15"/>
  <c r="U943" i="15"/>
  <c r="T78" i="18"/>
  <c r="V1144" i="15" s="1"/>
  <c r="V1148" i="15" s="1"/>
  <c r="U945" i="15"/>
  <c r="U936" i="15"/>
  <c r="U948" i="15"/>
  <c r="T73" i="18"/>
  <c r="U949" i="15"/>
  <c r="U63" i="19"/>
  <c r="U55" i="19"/>
  <c r="U44" i="19"/>
  <c r="T83" i="18"/>
  <c r="Y83" i="18" s="1"/>
  <c r="U73" i="19"/>
  <c r="U68" i="19"/>
  <c r="U64" i="19"/>
  <c r="U57" i="19"/>
  <c r="U77" i="19"/>
  <c r="U49" i="19"/>
  <c r="U58" i="19"/>
  <c r="U83" i="19"/>
  <c r="U50" i="19"/>
  <c r="U51" i="19"/>
  <c r="U54" i="19"/>
  <c r="U53" i="19"/>
  <c r="U79" i="19"/>
  <c r="U80" i="19"/>
  <c r="U62" i="19"/>
  <c r="U61" i="19"/>
  <c r="U78" i="19"/>
  <c r="U69" i="19"/>
  <c r="U52" i="19"/>
  <c r="U74" i="19"/>
  <c r="U71" i="19"/>
  <c r="U48" i="19"/>
  <c r="U67" i="19"/>
  <c r="U47" i="19"/>
  <c r="U43" i="19"/>
  <c r="U46" i="19"/>
  <c r="T70" i="18"/>
  <c r="U59" i="19"/>
  <c r="T82" i="18"/>
  <c r="U1391" i="15"/>
  <c r="U60" i="19"/>
  <c r="T45" i="18"/>
  <c r="U66" i="19"/>
  <c r="U70" i="19"/>
  <c r="T72" i="18"/>
  <c r="U82" i="19"/>
  <c r="U1106" i="15"/>
  <c r="U42" i="19"/>
  <c r="U41" i="19"/>
  <c r="U75" i="19"/>
  <c r="U56" i="19"/>
  <c r="U45" i="19"/>
  <c r="U72" i="19"/>
  <c r="Q589" i="15"/>
  <c r="V555" i="15"/>
  <c r="U76" i="19"/>
  <c r="U40" i="19"/>
  <c r="P7" i="3"/>
  <c r="U63" i="18" s="1"/>
  <c r="T26" i="18"/>
  <c r="T24" i="18"/>
  <c r="T25" i="18"/>
  <c r="T27" i="18"/>
  <c r="T38" i="18"/>
  <c r="T30" i="18"/>
  <c r="T34" i="18"/>
  <c r="T32" i="18"/>
  <c r="T28" i="18"/>
  <c r="T36" i="18"/>
  <c r="T35" i="18"/>
  <c r="T37" i="18"/>
  <c r="T31" i="18"/>
  <c r="T39" i="18"/>
  <c r="T29" i="18"/>
  <c r="T33" i="18"/>
  <c r="U81" i="19"/>
  <c r="U65" i="19"/>
  <c r="T53" i="18"/>
  <c r="Q577" i="15"/>
  <c r="Q590" i="15"/>
  <c r="Q582" i="15"/>
  <c r="Q592" i="15"/>
  <c r="Q586" i="15"/>
  <c r="Q576" i="15"/>
  <c r="Q591" i="15"/>
  <c r="Q583" i="15"/>
  <c r="Q578" i="15"/>
  <c r="Q584" i="15"/>
  <c r="Q575" i="15"/>
  <c r="Q587" i="15"/>
  <c r="Q581" i="15"/>
  <c r="Q580" i="15"/>
  <c r="Q579" i="15"/>
  <c r="Q588" i="15"/>
  <c r="R536" i="15"/>
  <c r="P2" i="19"/>
  <c r="P1" i="19" s="1"/>
  <c r="Q23" i="18"/>
  <c r="S536" i="15" s="1"/>
  <c r="R574" i="15"/>
  <c r="R581" i="15" s="1"/>
  <c r="P2" i="18"/>
  <c r="W5" i="15"/>
  <c r="W17" i="15"/>
  <c r="W10" i="15"/>
  <c r="W12" i="15"/>
  <c r="W21" i="15"/>
  <c r="W16" i="15"/>
  <c r="W7" i="15"/>
  <c r="W18" i="15"/>
  <c r="W19" i="15"/>
  <c r="W22" i="15"/>
  <c r="W11" i="15"/>
  <c r="W8" i="15"/>
  <c r="W13" i="15"/>
  <c r="W20" i="15"/>
  <c r="W15" i="15"/>
  <c r="Y4" i="15"/>
  <c r="Y10" i="15" s="1"/>
  <c r="W6" i="15"/>
  <c r="W9" i="15"/>
  <c r="X4" i="15"/>
  <c r="X6" i="15" s="1"/>
  <c r="U954" i="15"/>
  <c r="S802" i="15"/>
  <c r="R1049" i="15"/>
  <c r="R460" i="15"/>
  <c r="S1049" i="15"/>
  <c r="S764" i="15"/>
  <c r="T1410" i="15"/>
  <c r="S460" i="15"/>
  <c r="T669" i="15"/>
  <c r="S1353" i="15"/>
  <c r="S1182" i="15"/>
  <c r="T1431" i="15"/>
  <c r="T1432" i="15"/>
  <c r="T1436" i="15"/>
  <c r="T1444" i="15"/>
  <c r="T1440" i="15"/>
  <c r="T1437" i="15"/>
  <c r="T1439" i="15"/>
  <c r="T1435" i="15"/>
  <c r="T1443" i="15"/>
  <c r="T1430" i="15"/>
  <c r="T1447" i="15"/>
  <c r="T1438" i="15"/>
  <c r="T1434" i="15"/>
  <c r="T1433" i="15"/>
  <c r="T1445" i="15"/>
  <c r="T1441" i="15"/>
  <c r="T1446" i="15"/>
  <c r="T1442" i="15"/>
  <c r="S612" i="15"/>
  <c r="U821" i="15"/>
  <c r="U916" i="15"/>
  <c r="R745" i="15"/>
  <c r="T422" i="15"/>
  <c r="U1410" i="15"/>
  <c r="R384" i="15"/>
  <c r="R986" i="15"/>
  <c r="R987" i="15"/>
  <c r="R990" i="15"/>
  <c r="R981" i="15"/>
  <c r="R980" i="15"/>
  <c r="R976" i="15"/>
  <c r="R975" i="15"/>
  <c r="R974" i="15"/>
  <c r="R978" i="15"/>
  <c r="R989" i="15"/>
  <c r="R983" i="15"/>
  <c r="R991" i="15"/>
  <c r="R984" i="15"/>
  <c r="R988" i="15"/>
  <c r="R985" i="15"/>
  <c r="R979" i="15"/>
  <c r="R982" i="15"/>
  <c r="R977" i="15"/>
  <c r="U669" i="15"/>
  <c r="T1087" i="15"/>
  <c r="T1334" i="15"/>
  <c r="T517" i="15"/>
  <c r="U1429" i="15"/>
  <c r="R1296" i="15"/>
  <c r="S745" i="15"/>
  <c r="U422" i="15"/>
  <c r="T1372" i="15"/>
  <c r="T707" i="15"/>
  <c r="T876" i="15"/>
  <c r="T877" i="15"/>
  <c r="T869" i="15"/>
  <c r="T872" i="15"/>
  <c r="T867" i="15"/>
  <c r="T868" i="15"/>
  <c r="T873" i="15"/>
  <c r="T870" i="15"/>
  <c r="T860" i="15"/>
  <c r="T864" i="15"/>
  <c r="T866" i="15"/>
  <c r="T863" i="15"/>
  <c r="T871" i="15"/>
  <c r="T862" i="15"/>
  <c r="T874" i="15"/>
  <c r="T861" i="15"/>
  <c r="T875" i="15"/>
  <c r="T865" i="15"/>
  <c r="U1087" i="15"/>
  <c r="U593" i="15"/>
  <c r="S1315" i="15"/>
  <c r="R776" i="15"/>
  <c r="R772" i="15"/>
  <c r="R773" i="15"/>
  <c r="R781" i="15"/>
  <c r="R767" i="15"/>
  <c r="R771" i="15"/>
  <c r="R774" i="15"/>
  <c r="R765" i="15"/>
  <c r="R766" i="15"/>
  <c r="R782" i="15"/>
  <c r="R777" i="15"/>
  <c r="R779" i="15"/>
  <c r="R775" i="15"/>
  <c r="R770" i="15"/>
  <c r="R780" i="15"/>
  <c r="R769" i="15"/>
  <c r="R768" i="15"/>
  <c r="R778" i="15"/>
  <c r="S498" i="15"/>
  <c r="R1220" i="15"/>
  <c r="R1182" i="15"/>
  <c r="R612" i="15"/>
  <c r="T916" i="15"/>
  <c r="S1220" i="15"/>
  <c r="U517" i="15"/>
  <c r="R1505" i="15"/>
  <c r="R879" i="15"/>
  <c r="R883" i="15"/>
  <c r="R887" i="15"/>
  <c r="R890" i="15"/>
  <c r="R880" i="15"/>
  <c r="R896" i="15"/>
  <c r="R893" i="15"/>
  <c r="R895" i="15"/>
  <c r="R894" i="15"/>
  <c r="R886" i="15"/>
  <c r="R888" i="15"/>
  <c r="R882" i="15"/>
  <c r="R891" i="15"/>
  <c r="R885" i="15"/>
  <c r="R881" i="15"/>
  <c r="R889" i="15"/>
  <c r="R884" i="15"/>
  <c r="R892" i="15"/>
  <c r="T726" i="15"/>
  <c r="T1030" i="15"/>
  <c r="S1125" i="15"/>
  <c r="R783" i="15"/>
  <c r="R840" i="15"/>
  <c r="S1505" i="15"/>
  <c r="R688" i="15"/>
  <c r="T479" i="15"/>
  <c r="T1277" i="15"/>
  <c r="S1258" i="15"/>
  <c r="U726" i="15"/>
  <c r="T1448" i="15"/>
  <c r="R1125" i="15"/>
  <c r="U1372" i="15"/>
  <c r="U707" i="15"/>
  <c r="R1258" i="15"/>
  <c r="S783" i="15"/>
  <c r="S840" i="15"/>
  <c r="T992" i="15"/>
  <c r="S688" i="15"/>
  <c r="U479" i="15"/>
  <c r="T441" i="15"/>
  <c r="T367" i="15"/>
  <c r="T375" i="15"/>
  <c r="T366" i="15"/>
  <c r="T374" i="15"/>
  <c r="T373" i="15"/>
  <c r="T368" i="15"/>
  <c r="T382" i="15"/>
  <c r="T369" i="15"/>
  <c r="T377" i="15"/>
  <c r="T383" i="15"/>
  <c r="T381" i="15"/>
  <c r="T376" i="15"/>
  <c r="T380" i="15"/>
  <c r="T379" i="15"/>
  <c r="T371" i="15"/>
  <c r="T370" i="15"/>
  <c r="T372" i="15"/>
  <c r="T378" i="15"/>
  <c r="T1490" i="15"/>
  <c r="T1493" i="15"/>
  <c r="T1494" i="15"/>
  <c r="T1489" i="15"/>
  <c r="T1499" i="15"/>
  <c r="T1488" i="15"/>
  <c r="T1497" i="15"/>
  <c r="T1495" i="15"/>
  <c r="T1498" i="15"/>
  <c r="T1491" i="15"/>
  <c r="T1496" i="15"/>
  <c r="T1492" i="15"/>
  <c r="T1487" i="15"/>
  <c r="T1504" i="15"/>
  <c r="T1500" i="15"/>
  <c r="T1501" i="15"/>
  <c r="T1503" i="15"/>
  <c r="T1502" i="15"/>
  <c r="T1467" i="15"/>
  <c r="R1361" i="15"/>
  <c r="R1369" i="15"/>
  <c r="R1366" i="15"/>
  <c r="R1358" i="15"/>
  <c r="R1357" i="15"/>
  <c r="R1356" i="15"/>
  <c r="R1365" i="15"/>
  <c r="R1364" i="15"/>
  <c r="R1354" i="15"/>
  <c r="R1360" i="15"/>
  <c r="R1362" i="15"/>
  <c r="R1368" i="15"/>
  <c r="R1363" i="15"/>
  <c r="R1371" i="15"/>
  <c r="R1367" i="15"/>
  <c r="R1370" i="15"/>
  <c r="R1359" i="15"/>
  <c r="R1355" i="15"/>
  <c r="U1486" i="15"/>
  <c r="T821" i="15"/>
  <c r="U1448" i="15"/>
  <c r="U1334" i="15"/>
  <c r="S1296" i="15"/>
  <c r="U1030" i="15"/>
  <c r="R1163" i="15"/>
  <c r="T593" i="15"/>
  <c r="T954" i="15"/>
  <c r="S1163" i="15"/>
  <c r="R802" i="15"/>
  <c r="R1315" i="15"/>
  <c r="U992" i="15"/>
  <c r="T635" i="15"/>
  <c r="T633" i="15"/>
  <c r="T641" i="15"/>
  <c r="T644" i="15"/>
  <c r="T636" i="15"/>
  <c r="T638" i="15"/>
  <c r="T648" i="15"/>
  <c r="T639" i="15"/>
  <c r="T640" i="15"/>
  <c r="T646" i="15"/>
  <c r="T647" i="15"/>
  <c r="T643" i="15"/>
  <c r="T634" i="15"/>
  <c r="T642" i="15"/>
  <c r="T649" i="15"/>
  <c r="T637" i="15"/>
  <c r="T632" i="15"/>
  <c r="T645" i="15"/>
  <c r="S1467" i="15"/>
  <c r="R498" i="15"/>
  <c r="U441" i="15"/>
  <c r="U365" i="15"/>
  <c r="AE1505" i="15"/>
  <c r="AE1486" i="15"/>
  <c r="AE1467" i="15"/>
  <c r="AE1448" i="15"/>
  <c r="AE1429" i="15"/>
  <c r="AE1410" i="15"/>
  <c r="AE1391" i="15"/>
  <c r="AE1372" i="15"/>
  <c r="AE1353" i="15"/>
  <c r="AE1334" i="15"/>
  <c r="AE1315" i="15"/>
  <c r="AE1296" i="15"/>
  <c r="AE1277" i="15"/>
  <c r="AE1258" i="15"/>
  <c r="AE1239" i="15"/>
  <c r="AE1220" i="15"/>
  <c r="AE1201" i="15"/>
  <c r="AE1182" i="15"/>
  <c r="AE1163" i="15"/>
  <c r="AE1144" i="15"/>
  <c r="AE1125" i="15"/>
  <c r="AE1106" i="15"/>
  <c r="AE1087" i="15"/>
  <c r="AE1068" i="15"/>
  <c r="AE1049" i="15"/>
  <c r="AE1030" i="15"/>
  <c r="AE1011" i="15"/>
  <c r="AE992" i="15"/>
  <c r="AE973" i="15"/>
  <c r="AE954" i="15"/>
  <c r="AE935" i="15"/>
  <c r="AE916" i="15"/>
  <c r="AE897" i="15"/>
  <c r="AE878" i="15"/>
  <c r="AE859" i="15"/>
  <c r="AE840" i="15"/>
  <c r="AE821" i="15"/>
  <c r="AE802" i="15"/>
  <c r="AE783" i="15"/>
  <c r="AE764" i="15"/>
  <c r="AE745" i="15"/>
  <c r="AE726" i="15"/>
  <c r="AE707" i="15"/>
  <c r="AE688" i="15"/>
  <c r="AE669" i="15"/>
  <c r="AE650" i="15"/>
  <c r="AE631" i="15"/>
  <c r="AE612" i="15"/>
  <c r="AE593" i="15"/>
  <c r="AE574" i="15"/>
  <c r="AE555" i="15"/>
  <c r="AE536" i="15"/>
  <c r="AE517" i="15"/>
  <c r="AE498" i="15"/>
  <c r="AE479" i="15"/>
  <c r="AE460" i="15"/>
  <c r="AE441" i="15"/>
  <c r="AE422" i="15"/>
  <c r="AE403" i="15"/>
  <c r="AE384" i="15"/>
  <c r="AE365" i="15"/>
  <c r="AE346" i="15"/>
  <c r="AE327" i="15"/>
  <c r="AE308" i="15"/>
  <c r="AE289" i="15"/>
  <c r="AE270" i="15"/>
  <c r="AE251" i="15"/>
  <c r="AE232" i="15"/>
  <c r="AE213" i="15"/>
  <c r="AE194" i="15"/>
  <c r="AE175" i="15"/>
  <c r="AE156" i="15"/>
  <c r="AE137" i="15"/>
  <c r="AE118" i="15"/>
  <c r="AE99" i="15"/>
  <c r="AE80" i="15"/>
  <c r="AE61" i="15"/>
  <c r="AE42" i="15"/>
  <c r="AE23" i="15"/>
  <c r="Y42" i="18" l="1"/>
  <c r="V949" i="15"/>
  <c r="V943" i="15"/>
  <c r="V1110" i="15"/>
  <c r="V1124" i="15"/>
  <c r="Y76" i="18"/>
  <c r="V1121" i="15"/>
  <c r="Y48" i="18"/>
  <c r="V1123" i="15"/>
  <c r="V1119" i="15"/>
  <c r="V1116" i="15"/>
  <c r="V1114" i="15"/>
  <c r="V1122" i="15"/>
  <c r="V948" i="15"/>
  <c r="V940" i="15"/>
  <c r="Y52" i="18"/>
  <c r="V1117" i="15"/>
  <c r="V1108" i="15"/>
  <c r="V1111" i="15"/>
  <c r="V1118" i="15"/>
  <c r="V1011" i="15"/>
  <c r="V944" i="15"/>
  <c r="V936" i="15"/>
  <c r="V953" i="15"/>
  <c r="V952" i="15"/>
  <c r="V946" i="15"/>
  <c r="V941" i="15"/>
  <c r="V947" i="15"/>
  <c r="V1113" i="15"/>
  <c r="V1107" i="15"/>
  <c r="V950" i="15"/>
  <c r="V942" i="15"/>
  <c r="V937" i="15"/>
  <c r="V1115" i="15"/>
  <c r="V1120" i="15"/>
  <c r="V945" i="15"/>
  <c r="V939" i="15"/>
  <c r="V938" i="15"/>
  <c r="V1109" i="15"/>
  <c r="Y74" i="18"/>
  <c r="V1201" i="15"/>
  <c r="Y78" i="18"/>
  <c r="V1150" i="15"/>
  <c r="V1153" i="15"/>
  <c r="V1406" i="15"/>
  <c r="V1149" i="15"/>
  <c r="R585" i="15"/>
  <c r="V1407" i="15"/>
  <c r="V1160" i="15"/>
  <c r="Y66" i="18"/>
  <c r="V1399" i="15"/>
  <c r="V1401" i="15"/>
  <c r="V1405" i="15"/>
  <c r="V1393" i="15"/>
  <c r="V1155" i="15"/>
  <c r="V1398" i="15"/>
  <c r="V1403" i="15"/>
  <c r="V1156" i="15"/>
  <c r="V1409" i="15"/>
  <c r="V1396" i="15"/>
  <c r="V1162" i="15"/>
  <c r="V1392" i="15"/>
  <c r="V1408" i="15"/>
  <c r="U58" i="18"/>
  <c r="W1011" i="15" s="1"/>
  <c r="W1027" i="15" s="1"/>
  <c r="V1397" i="15"/>
  <c r="V1402" i="15"/>
  <c r="V1394" i="15"/>
  <c r="V1158" i="15"/>
  <c r="V1395" i="15"/>
  <c r="V1400" i="15"/>
  <c r="V1239" i="15"/>
  <c r="U78" i="18"/>
  <c r="W1144" i="15" s="1"/>
  <c r="V1159" i="15"/>
  <c r="V1151" i="15"/>
  <c r="V1152" i="15"/>
  <c r="U59" i="18"/>
  <c r="U40" i="18"/>
  <c r="U66" i="18"/>
  <c r="W1391" i="15" s="1"/>
  <c r="W1403" i="15" s="1"/>
  <c r="U51" i="18"/>
  <c r="V1147" i="15"/>
  <c r="V1146" i="15"/>
  <c r="U72" i="18"/>
  <c r="W897" i="15" s="1"/>
  <c r="W906" i="15" s="1"/>
  <c r="U75" i="18"/>
  <c r="U76" i="18"/>
  <c r="W1106" i="15" s="1"/>
  <c r="W1117" i="15" s="1"/>
  <c r="U79" i="18"/>
  <c r="V1161" i="15"/>
  <c r="V1145" i="15"/>
  <c r="U64" i="18"/>
  <c r="V1157" i="15"/>
  <c r="V1154" i="15"/>
  <c r="V40" i="19"/>
  <c r="U1122" i="15"/>
  <c r="U1123" i="15"/>
  <c r="U1113" i="15"/>
  <c r="U1109" i="15"/>
  <c r="U1119" i="15"/>
  <c r="U1114" i="15"/>
  <c r="U1121" i="15"/>
  <c r="U1118" i="15"/>
  <c r="U1111" i="15"/>
  <c r="U1120" i="15"/>
  <c r="U1112" i="15"/>
  <c r="U1117" i="15"/>
  <c r="U1110" i="15"/>
  <c r="U1116" i="15"/>
  <c r="U1124" i="15"/>
  <c r="U1107" i="15"/>
  <c r="U1108" i="15"/>
  <c r="U1115" i="15"/>
  <c r="U43" i="18"/>
  <c r="U71" i="18"/>
  <c r="V80" i="19"/>
  <c r="V54" i="19"/>
  <c r="V57" i="19"/>
  <c r="U44" i="18"/>
  <c r="V72" i="19"/>
  <c r="V75" i="19"/>
  <c r="V44" i="19"/>
  <c r="U65" i="18"/>
  <c r="V76" i="19"/>
  <c r="U82" i="18"/>
  <c r="V59" i="19"/>
  <c r="U47" i="18"/>
  <c r="U74" i="18"/>
  <c r="W935" i="15" s="1"/>
  <c r="W953" i="15" s="1"/>
  <c r="V78" i="19"/>
  <c r="V79" i="19"/>
  <c r="V51" i="19"/>
  <c r="V58" i="19"/>
  <c r="V64" i="19"/>
  <c r="V66" i="19"/>
  <c r="V43" i="19"/>
  <c r="V65" i="19"/>
  <c r="U41" i="18"/>
  <c r="V82" i="19"/>
  <c r="U60" i="18"/>
  <c r="V47" i="19"/>
  <c r="V74" i="19"/>
  <c r="U61" i="18"/>
  <c r="U50" i="18"/>
  <c r="W555" i="15" s="1"/>
  <c r="U49" i="18"/>
  <c r="U68" i="18"/>
  <c r="U55" i="18"/>
  <c r="V71" i="19"/>
  <c r="U81" i="18"/>
  <c r="W1201" i="15" s="1"/>
  <c r="W1211" i="15" s="1"/>
  <c r="V666" i="15"/>
  <c r="V651" i="15"/>
  <c r="V660" i="15"/>
  <c r="V664" i="15"/>
  <c r="V659" i="15"/>
  <c r="V668" i="15"/>
  <c r="V655" i="15"/>
  <c r="V663" i="15"/>
  <c r="V667" i="15"/>
  <c r="V654" i="15"/>
  <c r="V653" i="15"/>
  <c r="V665" i="15"/>
  <c r="V652" i="15"/>
  <c r="V656" i="15"/>
  <c r="V657" i="15"/>
  <c r="V662" i="15"/>
  <c r="V658" i="15"/>
  <c r="V661" i="15"/>
  <c r="U45" i="18"/>
  <c r="V41" i="19"/>
  <c r="V60" i="19"/>
  <c r="U67" i="18"/>
  <c r="U52" i="18"/>
  <c r="W650" i="15" s="1"/>
  <c r="V61" i="19"/>
  <c r="V1069" i="15"/>
  <c r="V1084" i="15"/>
  <c r="V1079" i="15"/>
  <c r="V1072" i="15"/>
  <c r="V1077" i="15"/>
  <c r="V1075" i="15"/>
  <c r="V1073" i="15"/>
  <c r="V1078" i="15"/>
  <c r="V1086" i="15"/>
  <c r="V1070" i="15"/>
  <c r="V1083" i="15"/>
  <c r="V1071" i="15"/>
  <c r="V1074" i="15"/>
  <c r="V1085" i="15"/>
  <c r="V1076" i="15"/>
  <c r="V1082" i="15"/>
  <c r="V1081" i="15"/>
  <c r="V1080" i="15"/>
  <c r="V50" i="19"/>
  <c r="V49" i="19"/>
  <c r="V68" i="19"/>
  <c r="V55" i="19"/>
  <c r="V81" i="19"/>
  <c r="V45" i="19"/>
  <c r="U42" i="18"/>
  <c r="W403" i="15" s="1"/>
  <c r="W415" i="15" s="1"/>
  <c r="V897" i="15"/>
  <c r="Y72" i="18"/>
  <c r="V67" i="19"/>
  <c r="V52" i="19"/>
  <c r="U62" i="18"/>
  <c r="U53" i="18"/>
  <c r="U83" i="18"/>
  <c r="W1239" i="15" s="1"/>
  <c r="W1253" i="15" s="1"/>
  <c r="U77" i="18"/>
  <c r="U73" i="18"/>
  <c r="Q7" i="3"/>
  <c r="V40" i="18" s="1"/>
  <c r="U24" i="18"/>
  <c r="U26" i="18"/>
  <c r="U27" i="18"/>
  <c r="U25" i="18"/>
  <c r="U28" i="18"/>
  <c r="U32" i="18"/>
  <c r="U34" i="18"/>
  <c r="U38" i="18"/>
  <c r="U36" i="18"/>
  <c r="U30" i="18"/>
  <c r="U39" i="18"/>
  <c r="U35" i="18"/>
  <c r="U29" i="18"/>
  <c r="U31" i="18"/>
  <c r="U33" i="18"/>
  <c r="U37" i="18"/>
  <c r="V558" i="15"/>
  <c r="V563" i="15"/>
  <c r="V573" i="15"/>
  <c r="V561" i="15"/>
  <c r="V566" i="15"/>
  <c r="V564" i="15"/>
  <c r="V571" i="15"/>
  <c r="V559" i="15"/>
  <c r="V572" i="15"/>
  <c r="V562" i="15"/>
  <c r="V560" i="15"/>
  <c r="V557" i="15"/>
  <c r="V565" i="15"/>
  <c r="V569" i="15"/>
  <c r="V567" i="15"/>
  <c r="V556" i="15"/>
  <c r="V570" i="15"/>
  <c r="V568" i="15"/>
  <c r="U56" i="18"/>
  <c r="V42" i="19"/>
  <c r="U70" i="18"/>
  <c r="U1409" i="15"/>
  <c r="U1397" i="15"/>
  <c r="U1393" i="15"/>
  <c r="U1395" i="15"/>
  <c r="U1407" i="15"/>
  <c r="U1394" i="15"/>
  <c r="U1396" i="15"/>
  <c r="U1403" i="15"/>
  <c r="U1398" i="15"/>
  <c r="U1408" i="15"/>
  <c r="U1392" i="15"/>
  <c r="U1405" i="15"/>
  <c r="U1404" i="15"/>
  <c r="U1399" i="15"/>
  <c r="U1402" i="15"/>
  <c r="U1401" i="15"/>
  <c r="U1406" i="15"/>
  <c r="U1400" i="15"/>
  <c r="U46" i="18"/>
  <c r="U48" i="18"/>
  <c r="W1068" i="15" s="1"/>
  <c r="U69" i="18"/>
  <c r="V62" i="19"/>
  <c r="V53" i="19"/>
  <c r="V83" i="19"/>
  <c r="V77" i="19"/>
  <c r="V73" i="19"/>
  <c r="V63" i="19"/>
  <c r="V56" i="19"/>
  <c r="V70" i="19"/>
  <c r="V46" i="19"/>
  <c r="V48" i="19"/>
  <c r="V69" i="19"/>
  <c r="U80" i="18"/>
  <c r="U54" i="18"/>
  <c r="U57" i="18"/>
  <c r="R579" i="15"/>
  <c r="S538" i="15"/>
  <c r="S545" i="15"/>
  <c r="S537" i="15"/>
  <c r="S550" i="15"/>
  <c r="S544" i="15"/>
  <c r="S539" i="15"/>
  <c r="S540" i="15"/>
  <c r="S541" i="15"/>
  <c r="S542" i="15"/>
  <c r="S546" i="15"/>
  <c r="S543" i="15"/>
  <c r="S547" i="15"/>
  <c r="S551" i="15"/>
  <c r="S549" i="15"/>
  <c r="S554" i="15"/>
  <c r="S548" i="15"/>
  <c r="S552" i="15"/>
  <c r="S553" i="15"/>
  <c r="Q2" i="19"/>
  <c r="Q1" i="19" s="1"/>
  <c r="R23" i="18"/>
  <c r="R550" i="15"/>
  <c r="R542" i="15"/>
  <c r="R541" i="15"/>
  <c r="R539" i="15"/>
  <c r="R544" i="15"/>
  <c r="R548" i="15"/>
  <c r="R540" i="15"/>
  <c r="R538" i="15"/>
  <c r="R547" i="15"/>
  <c r="R543" i="15"/>
  <c r="R537" i="15"/>
  <c r="R546" i="15"/>
  <c r="R549" i="15"/>
  <c r="R551" i="15"/>
  <c r="R554" i="15"/>
  <c r="R545" i="15"/>
  <c r="R552" i="15"/>
  <c r="R553" i="15"/>
  <c r="R577" i="15"/>
  <c r="R586" i="15"/>
  <c r="R580" i="15"/>
  <c r="R587" i="15"/>
  <c r="R590" i="15"/>
  <c r="R575" i="15"/>
  <c r="R582" i="15"/>
  <c r="R591" i="15"/>
  <c r="R588" i="15"/>
  <c r="R576" i="15"/>
  <c r="R584" i="15"/>
  <c r="R583" i="15"/>
  <c r="R578" i="15"/>
  <c r="R592" i="15"/>
  <c r="R589" i="15"/>
  <c r="Q2" i="18"/>
  <c r="X13" i="15"/>
  <c r="X12" i="15"/>
  <c r="X15" i="15"/>
  <c r="Y17" i="15"/>
  <c r="Y5" i="15"/>
  <c r="X5" i="15"/>
  <c r="Y22" i="15"/>
  <c r="Y12" i="15"/>
  <c r="Y16" i="15"/>
  <c r="X9" i="15"/>
  <c r="X18" i="15"/>
  <c r="Y13" i="15"/>
  <c r="Y21" i="15"/>
  <c r="X8" i="15"/>
  <c r="X19" i="15"/>
  <c r="Y14" i="15"/>
  <c r="Y8" i="15"/>
  <c r="Y15" i="15"/>
  <c r="Y6" i="15"/>
  <c r="X11" i="15"/>
  <c r="Y20" i="15"/>
  <c r="X7" i="15"/>
  <c r="X16" i="15"/>
  <c r="Y19" i="15"/>
  <c r="X21" i="15"/>
  <c r="X14" i="15"/>
  <c r="Y7" i="15"/>
  <c r="Y18" i="15"/>
  <c r="Y9" i="15"/>
  <c r="X22" i="15"/>
  <c r="X20" i="15"/>
  <c r="Y11" i="15"/>
  <c r="X10" i="15"/>
  <c r="X17" i="15"/>
  <c r="R1276" i="15"/>
  <c r="R1259" i="15"/>
  <c r="R1272" i="15"/>
  <c r="R1268" i="15"/>
  <c r="R1269" i="15"/>
  <c r="R1264" i="15"/>
  <c r="R1262" i="15"/>
  <c r="R1260" i="15"/>
  <c r="R1266" i="15"/>
  <c r="R1273" i="15"/>
  <c r="R1275" i="15"/>
  <c r="R1263" i="15"/>
  <c r="R1261" i="15"/>
  <c r="R1267" i="15"/>
  <c r="R1271" i="15"/>
  <c r="R1270" i="15"/>
  <c r="R1274" i="15"/>
  <c r="R1265" i="15"/>
  <c r="T1033" i="15"/>
  <c r="T1048" i="15"/>
  <c r="T1039" i="15"/>
  <c r="T1041" i="15"/>
  <c r="T1047" i="15"/>
  <c r="T1032" i="15"/>
  <c r="T1038" i="15"/>
  <c r="T1031" i="15"/>
  <c r="T1040" i="15"/>
  <c r="T1034" i="15"/>
  <c r="T1042" i="15"/>
  <c r="T1035" i="15"/>
  <c r="T1046" i="15"/>
  <c r="T1043" i="15"/>
  <c r="T1044" i="15"/>
  <c r="T1045" i="15"/>
  <c r="T1036" i="15"/>
  <c r="T1037" i="15"/>
  <c r="R1235" i="15"/>
  <c r="R1237" i="15"/>
  <c r="R1228" i="15"/>
  <c r="R1232" i="15"/>
  <c r="R1221" i="15"/>
  <c r="R1227" i="15"/>
  <c r="R1236" i="15"/>
  <c r="R1233" i="15"/>
  <c r="R1231" i="15"/>
  <c r="R1238" i="15"/>
  <c r="R1226" i="15"/>
  <c r="R1224" i="15"/>
  <c r="R1223" i="15"/>
  <c r="R1229" i="15"/>
  <c r="R1222" i="15"/>
  <c r="R1234" i="15"/>
  <c r="R1230" i="15"/>
  <c r="R1225" i="15"/>
  <c r="S1484" i="15"/>
  <c r="S1478" i="15"/>
  <c r="S1469" i="15"/>
  <c r="S1480" i="15"/>
  <c r="S1483" i="15"/>
  <c r="S1475" i="15"/>
  <c r="S1481" i="15"/>
  <c r="S1470" i="15"/>
  <c r="S1482" i="15"/>
  <c r="S1477" i="15"/>
  <c r="S1479" i="15"/>
  <c r="S1473" i="15"/>
  <c r="S1476" i="15"/>
  <c r="S1474" i="15"/>
  <c r="S1485" i="15"/>
  <c r="S1472" i="15"/>
  <c r="S1471" i="15"/>
  <c r="S1468" i="15"/>
  <c r="U1277" i="15"/>
  <c r="R1130" i="15"/>
  <c r="R1143" i="15"/>
  <c r="R1128" i="15"/>
  <c r="R1127" i="15"/>
  <c r="R1132" i="15"/>
  <c r="R1135" i="15"/>
  <c r="R1136" i="15"/>
  <c r="R1137" i="15"/>
  <c r="R1131" i="15"/>
  <c r="R1140" i="15"/>
  <c r="R1129" i="15"/>
  <c r="R1138" i="15"/>
  <c r="R1139" i="15"/>
  <c r="R1141" i="15"/>
  <c r="R1133" i="15"/>
  <c r="R1142" i="15"/>
  <c r="R1126" i="15"/>
  <c r="R1134" i="15"/>
  <c r="T525" i="15"/>
  <c r="T535" i="15"/>
  <c r="T520" i="15"/>
  <c r="T533" i="15"/>
  <c r="T519" i="15"/>
  <c r="T524" i="15"/>
  <c r="T521" i="15"/>
  <c r="T528" i="15"/>
  <c r="T534" i="15"/>
  <c r="T531" i="15"/>
  <c r="T523" i="15"/>
  <c r="T527" i="15"/>
  <c r="T530" i="15"/>
  <c r="T532" i="15"/>
  <c r="T518" i="15"/>
  <c r="T526" i="15"/>
  <c r="T522" i="15"/>
  <c r="T529" i="15"/>
  <c r="S770" i="15"/>
  <c r="S780" i="15"/>
  <c r="S781" i="15"/>
  <c r="S775" i="15"/>
  <c r="S778" i="15"/>
  <c r="S766" i="15"/>
  <c r="S776" i="15"/>
  <c r="S782" i="15"/>
  <c r="S769" i="15"/>
  <c r="S777" i="15"/>
  <c r="S765" i="15"/>
  <c r="S773" i="15"/>
  <c r="S767" i="15"/>
  <c r="S771" i="15"/>
  <c r="S779" i="15"/>
  <c r="S774" i="15"/>
  <c r="S768" i="15"/>
  <c r="S772" i="15"/>
  <c r="R1065" i="15"/>
  <c r="R1050" i="15"/>
  <c r="R1066" i="15"/>
  <c r="R1057" i="15"/>
  <c r="R1058" i="15"/>
  <c r="R1060" i="15"/>
  <c r="R1062" i="15"/>
  <c r="R1052" i="15"/>
  <c r="R1055" i="15"/>
  <c r="R1051" i="15"/>
  <c r="R1063" i="15"/>
  <c r="R1053" i="15"/>
  <c r="R1061" i="15"/>
  <c r="R1054" i="15"/>
  <c r="R1056" i="15"/>
  <c r="R1059" i="15"/>
  <c r="R1067" i="15"/>
  <c r="R1064" i="15"/>
  <c r="T830" i="15"/>
  <c r="T838" i="15"/>
  <c r="T833" i="15"/>
  <c r="T837" i="15"/>
  <c r="T822" i="15"/>
  <c r="T836" i="15"/>
  <c r="T825" i="15"/>
  <c r="T823" i="15"/>
  <c r="T829" i="15"/>
  <c r="T827" i="15"/>
  <c r="T835" i="15"/>
  <c r="T839" i="15"/>
  <c r="T824" i="15"/>
  <c r="T831" i="15"/>
  <c r="T828" i="15"/>
  <c r="T832" i="15"/>
  <c r="T826" i="15"/>
  <c r="T834" i="15"/>
  <c r="V707" i="15"/>
  <c r="T486" i="15"/>
  <c r="T491" i="15"/>
  <c r="T492" i="15"/>
  <c r="T481" i="15"/>
  <c r="T497" i="15"/>
  <c r="T490" i="15"/>
  <c r="T489" i="15"/>
  <c r="T483" i="15"/>
  <c r="T495" i="15"/>
  <c r="T494" i="15"/>
  <c r="T496" i="15"/>
  <c r="T487" i="15"/>
  <c r="T482" i="15"/>
  <c r="T488" i="15"/>
  <c r="T493" i="15"/>
  <c r="T484" i="15"/>
  <c r="T485" i="15"/>
  <c r="T480" i="15"/>
  <c r="T498" i="15"/>
  <c r="V1087" i="15"/>
  <c r="R746" i="15"/>
  <c r="R751" i="15"/>
  <c r="R749" i="15"/>
  <c r="R761" i="15"/>
  <c r="R762" i="15"/>
  <c r="R759" i="15"/>
  <c r="R754" i="15"/>
  <c r="R757" i="15"/>
  <c r="R753" i="15"/>
  <c r="R763" i="15"/>
  <c r="R756" i="15"/>
  <c r="R750" i="15"/>
  <c r="R758" i="15"/>
  <c r="R752" i="15"/>
  <c r="R747" i="15"/>
  <c r="R755" i="15"/>
  <c r="R748" i="15"/>
  <c r="R760" i="15"/>
  <c r="V1030" i="15"/>
  <c r="U1487" i="15"/>
  <c r="U1504" i="15"/>
  <c r="U1500" i="15"/>
  <c r="U1489" i="15"/>
  <c r="U1497" i="15"/>
  <c r="U1490" i="15"/>
  <c r="U1495" i="15"/>
  <c r="U1501" i="15"/>
  <c r="U1493" i="15"/>
  <c r="U1498" i="15"/>
  <c r="U1502" i="15"/>
  <c r="U1496" i="15"/>
  <c r="U1499" i="15"/>
  <c r="U1494" i="15"/>
  <c r="U1488" i="15"/>
  <c r="U1492" i="15"/>
  <c r="U1491" i="15"/>
  <c r="U1503" i="15"/>
  <c r="U494" i="15"/>
  <c r="U486" i="15"/>
  <c r="U485" i="15"/>
  <c r="U496" i="15"/>
  <c r="U481" i="15"/>
  <c r="U493" i="15"/>
  <c r="U488" i="15"/>
  <c r="U483" i="15"/>
  <c r="U491" i="15"/>
  <c r="U487" i="15"/>
  <c r="U489" i="15"/>
  <c r="U492" i="15"/>
  <c r="U484" i="15"/>
  <c r="U480" i="15"/>
  <c r="U482" i="15"/>
  <c r="U495" i="15"/>
  <c r="U497" i="15"/>
  <c r="U490" i="15"/>
  <c r="U1390" i="15"/>
  <c r="U1383" i="15"/>
  <c r="U1379" i="15"/>
  <c r="U1376" i="15"/>
  <c r="U1384" i="15"/>
  <c r="U1378" i="15"/>
  <c r="U1373" i="15"/>
  <c r="U1381" i="15"/>
  <c r="U1387" i="15"/>
  <c r="U1389" i="15"/>
  <c r="U1382" i="15"/>
  <c r="U1377" i="15"/>
  <c r="U1375" i="15"/>
  <c r="U1388" i="15"/>
  <c r="U1386" i="15"/>
  <c r="U1374" i="15"/>
  <c r="U1385" i="15"/>
  <c r="U1380" i="15"/>
  <c r="T1258" i="15"/>
  <c r="S1127" i="15"/>
  <c r="S1126" i="15"/>
  <c r="S1135" i="15"/>
  <c r="S1142" i="15"/>
  <c r="S1134" i="15"/>
  <c r="S1141" i="15"/>
  <c r="S1137" i="15"/>
  <c r="S1140" i="15"/>
  <c r="S1138" i="15"/>
  <c r="S1130" i="15"/>
  <c r="S1131" i="15"/>
  <c r="S1129" i="15"/>
  <c r="S1128" i="15"/>
  <c r="S1139" i="15"/>
  <c r="S1136" i="15"/>
  <c r="S1143" i="15"/>
  <c r="S1133" i="15"/>
  <c r="S1132" i="15"/>
  <c r="T1220" i="15"/>
  <c r="R613" i="15"/>
  <c r="R625" i="15"/>
  <c r="R616" i="15"/>
  <c r="R627" i="15"/>
  <c r="R624" i="15"/>
  <c r="R618" i="15"/>
  <c r="R628" i="15"/>
  <c r="R626" i="15"/>
  <c r="R619" i="15"/>
  <c r="R620" i="15"/>
  <c r="R617" i="15"/>
  <c r="R630" i="15"/>
  <c r="R629" i="15"/>
  <c r="R622" i="15"/>
  <c r="R621" i="15"/>
  <c r="R615" i="15"/>
  <c r="R614" i="15"/>
  <c r="R623" i="15"/>
  <c r="R1297" i="15"/>
  <c r="R1314" i="15"/>
  <c r="R1310" i="15"/>
  <c r="R1302" i="15"/>
  <c r="R1313" i="15"/>
  <c r="R1300" i="15"/>
  <c r="R1312" i="15"/>
  <c r="R1304" i="15"/>
  <c r="R1299" i="15"/>
  <c r="R1301" i="15"/>
  <c r="R1305" i="15"/>
  <c r="R1298" i="15"/>
  <c r="R1306" i="15"/>
  <c r="R1303" i="15"/>
  <c r="R1311" i="15"/>
  <c r="R1309" i="15"/>
  <c r="R1307" i="15"/>
  <c r="R1308" i="15"/>
  <c r="V1410" i="15"/>
  <c r="U921" i="15"/>
  <c r="U928" i="15"/>
  <c r="U924" i="15"/>
  <c r="U933" i="15"/>
  <c r="U920" i="15"/>
  <c r="U934" i="15"/>
  <c r="U919" i="15"/>
  <c r="U923" i="15"/>
  <c r="U927" i="15"/>
  <c r="U929" i="15"/>
  <c r="U925" i="15"/>
  <c r="U918" i="15"/>
  <c r="U932" i="15"/>
  <c r="U926" i="15"/>
  <c r="U922" i="15"/>
  <c r="U931" i="15"/>
  <c r="U917" i="15"/>
  <c r="U930" i="15"/>
  <c r="T677" i="15"/>
  <c r="T680" i="15"/>
  <c r="T684" i="15"/>
  <c r="T686" i="15"/>
  <c r="T678" i="15"/>
  <c r="T683" i="15"/>
  <c r="T673" i="15"/>
  <c r="T682" i="15"/>
  <c r="T671" i="15"/>
  <c r="T672" i="15"/>
  <c r="T681" i="15"/>
  <c r="T676" i="15"/>
  <c r="T675" i="15"/>
  <c r="T679" i="15"/>
  <c r="T670" i="15"/>
  <c r="T687" i="15"/>
  <c r="T685" i="15"/>
  <c r="T674" i="15"/>
  <c r="S1056" i="15"/>
  <c r="S1057" i="15"/>
  <c r="S1051" i="15"/>
  <c r="S1059" i="15"/>
  <c r="S1064" i="15"/>
  <c r="S1065" i="15"/>
  <c r="S1067" i="15"/>
  <c r="S1061" i="15"/>
  <c r="S1054" i="15"/>
  <c r="S1050" i="15"/>
  <c r="S1062" i="15"/>
  <c r="S1066" i="15"/>
  <c r="S1052" i="15"/>
  <c r="S1060" i="15"/>
  <c r="S1053" i="15"/>
  <c r="S1058" i="15"/>
  <c r="S1055" i="15"/>
  <c r="S1063" i="15"/>
  <c r="T802" i="15"/>
  <c r="R509" i="15"/>
  <c r="R513" i="15"/>
  <c r="R503" i="15"/>
  <c r="R516" i="15"/>
  <c r="R514" i="15"/>
  <c r="R504" i="15"/>
  <c r="R505" i="15"/>
  <c r="R512" i="15"/>
  <c r="R510" i="15"/>
  <c r="R515" i="15"/>
  <c r="R499" i="15"/>
  <c r="R500" i="15"/>
  <c r="R501" i="15"/>
  <c r="R502" i="15"/>
  <c r="R506" i="15"/>
  <c r="R511" i="15"/>
  <c r="R507" i="15"/>
  <c r="R508" i="15"/>
  <c r="R1326" i="15"/>
  <c r="R1322" i="15"/>
  <c r="R1329" i="15"/>
  <c r="R1332" i="15"/>
  <c r="R1320" i="15"/>
  <c r="R1330" i="15"/>
  <c r="R1324" i="15"/>
  <c r="R1327" i="15"/>
  <c r="R1321" i="15"/>
  <c r="R1333" i="15"/>
  <c r="R1331" i="15"/>
  <c r="R1323" i="15"/>
  <c r="R1318" i="15"/>
  <c r="R1317" i="15"/>
  <c r="R1316" i="15"/>
  <c r="R1319" i="15"/>
  <c r="R1328" i="15"/>
  <c r="R1325" i="15"/>
  <c r="T969" i="15"/>
  <c r="T962" i="15"/>
  <c r="T958" i="15"/>
  <c r="T959" i="15"/>
  <c r="T961" i="15"/>
  <c r="T972" i="15"/>
  <c r="T967" i="15"/>
  <c r="T970" i="15"/>
  <c r="T965" i="15"/>
  <c r="T956" i="15"/>
  <c r="T964" i="15"/>
  <c r="T957" i="15"/>
  <c r="T966" i="15"/>
  <c r="T960" i="15"/>
  <c r="T968" i="15"/>
  <c r="T955" i="15"/>
  <c r="T963" i="15"/>
  <c r="T971" i="15"/>
  <c r="U631" i="15"/>
  <c r="V1372" i="15"/>
  <c r="T1460" i="15"/>
  <c r="T1453" i="15"/>
  <c r="T1461" i="15"/>
  <c r="T1452" i="15"/>
  <c r="T1456" i="15"/>
  <c r="T1462" i="15"/>
  <c r="T1455" i="15"/>
  <c r="T1449" i="15"/>
  <c r="T1457" i="15"/>
  <c r="T1451" i="15"/>
  <c r="T1465" i="15"/>
  <c r="T1459" i="15"/>
  <c r="T1464" i="15"/>
  <c r="T1454" i="15"/>
  <c r="T1466" i="15"/>
  <c r="T1458" i="15"/>
  <c r="T1450" i="15"/>
  <c r="T1463" i="15"/>
  <c r="S878" i="15"/>
  <c r="U859" i="15"/>
  <c r="R1506" i="15"/>
  <c r="R1514" i="15"/>
  <c r="R1508" i="15"/>
  <c r="R1513" i="15"/>
  <c r="R1521" i="15"/>
  <c r="R1519" i="15"/>
  <c r="R1511" i="15"/>
  <c r="R1516" i="15"/>
  <c r="R1523" i="15"/>
  <c r="R1507" i="15"/>
  <c r="R1522" i="15"/>
  <c r="R1520" i="15"/>
  <c r="R1512" i="15"/>
  <c r="R1510" i="15"/>
  <c r="R1509" i="15"/>
  <c r="R1518" i="15"/>
  <c r="R1517" i="15"/>
  <c r="R1515" i="15"/>
  <c r="U427" i="15"/>
  <c r="U436" i="15"/>
  <c r="U426" i="15"/>
  <c r="U439" i="15"/>
  <c r="U437" i="15"/>
  <c r="U440" i="15"/>
  <c r="U435" i="15"/>
  <c r="U434" i="15"/>
  <c r="U424" i="15"/>
  <c r="U438" i="15"/>
  <c r="U423" i="15"/>
  <c r="U425" i="15"/>
  <c r="U432" i="15"/>
  <c r="U429" i="15"/>
  <c r="U430" i="15"/>
  <c r="U433" i="15"/>
  <c r="U431" i="15"/>
  <c r="U428" i="15"/>
  <c r="U1434" i="15"/>
  <c r="U1438" i="15"/>
  <c r="U1439" i="15"/>
  <c r="U1441" i="15"/>
  <c r="U1446" i="15"/>
  <c r="U1443" i="15"/>
  <c r="U1430" i="15"/>
  <c r="U1432" i="15"/>
  <c r="U1445" i="15"/>
  <c r="U1436" i="15"/>
  <c r="U1435" i="15"/>
  <c r="U1444" i="15"/>
  <c r="U1447" i="15"/>
  <c r="U1433" i="15"/>
  <c r="U1440" i="15"/>
  <c r="U1437" i="15"/>
  <c r="U1431" i="15"/>
  <c r="U1442" i="15"/>
  <c r="T1352" i="15"/>
  <c r="T1337" i="15"/>
  <c r="T1349" i="15"/>
  <c r="T1346" i="15"/>
  <c r="T1341" i="15"/>
  <c r="T1339" i="15"/>
  <c r="T1348" i="15"/>
  <c r="T1338" i="15"/>
  <c r="T1344" i="15"/>
  <c r="T1342" i="15"/>
  <c r="T1336" i="15"/>
  <c r="T1351" i="15"/>
  <c r="T1343" i="15"/>
  <c r="T1350" i="15"/>
  <c r="T1340" i="15"/>
  <c r="T1347" i="15"/>
  <c r="T1345" i="15"/>
  <c r="T1335" i="15"/>
  <c r="V916" i="15"/>
  <c r="S462" i="15"/>
  <c r="S461" i="15"/>
  <c r="S468" i="15"/>
  <c r="S472" i="15"/>
  <c r="S475" i="15"/>
  <c r="S476" i="15"/>
  <c r="S477" i="15"/>
  <c r="S474" i="15"/>
  <c r="S464" i="15"/>
  <c r="S469" i="15"/>
  <c r="S467" i="15"/>
  <c r="S465" i="15"/>
  <c r="S466" i="15"/>
  <c r="S478" i="15"/>
  <c r="S463" i="15"/>
  <c r="S471" i="15"/>
  <c r="S470" i="15"/>
  <c r="S473" i="15"/>
  <c r="R461" i="15"/>
  <c r="R465" i="15"/>
  <c r="R467" i="15"/>
  <c r="R463" i="15"/>
  <c r="R462" i="15"/>
  <c r="R477" i="15"/>
  <c r="R471" i="15"/>
  <c r="R476" i="15"/>
  <c r="R464" i="15"/>
  <c r="R475" i="15"/>
  <c r="R478" i="15"/>
  <c r="R468" i="15"/>
  <c r="R472" i="15"/>
  <c r="R473" i="15"/>
  <c r="R466" i="15"/>
  <c r="R474" i="15"/>
  <c r="R470" i="15"/>
  <c r="R469" i="15"/>
  <c r="U957" i="15"/>
  <c r="U970" i="15"/>
  <c r="U967" i="15"/>
  <c r="U960" i="15"/>
  <c r="U963" i="15"/>
  <c r="U966" i="15"/>
  <c r="U955" i="15"/>
  <c r="U961" i="15"/>
  <c r="U971" i="15"/>
  <c r="U965" i="15"/>
  <c r="U968" i="15"/>
  <c r="U969" i="15"/>
  <c r="U962" i="15"/>
  <c r="U972" i="15"/>
  <c r="U964" i="15"/>
  <c r="U959" i="15"/>
  <c r="U956" i="15"/>
  <c r="U958" i="15"/>
  <c r="V441" i="15"/>
  <c r="T452" i="15"/>
  <c r="T444" i="15"/>
  <c r="T447" i="15"/>
  <c r="T458" i="15"/>
  <c r="T442" i="15"/>
  <c r="T445" i="15"/>
  <c r="T455" i="15"/>
  <c r="T450" i="15"/>
  <c r="T443" i="15"/>
  <c r="T457" i="15"/>
  <c r="T449" i="15"/>
  <c r="T453" i="15"/>
  <c r="T448" i="15"/>
  <c r="T459" i="15"/>
  <c r="T451" i="15"/>
  <c r="T446" i="15"/>
  <c r="T456" i="15"/>
  <c r="T454" i="15"/>
  <c r="T1386" i="15"/>
  <c r="T1373" i="15"/>
  <c r="T1389" i="15"/>
  <c r="T1384" i="15"/>
  <c r="T1377" i="15"/>
  <c r="T1388" i="15"/>
  <c r="T1380" i="15"/>
  <c r="T1385" i="15"/>
  <c r="T1375" i="15"/>
  <c r="T1383" i="15"/>
  <c r="T1379" i="15"/>
  <c r="T1390" i="15"/>
  <c r="T1378" i="15"/>
  <c r="T1381" i="15"/>
  <c r="T1376" i="15"/>
  <c r="T1387" i="15"/>
  <c r="T1374" i="15"/>
  <c r="T1382" i="15"/>
  <c r="T1423" i="15"/>
  <c r="T1426" i="15"/>
  <c r="T1424" i="15"/>
  <c r="T1416" i="15"/>
  <c r="T1421" i="15"/>
  <c r="T1412" i="15"/>
  <c r="T1427" i="15"/>
  <c r="T1415" i="15"/>
  <c r="T1414" i="15"/>
  <c r="T1422" i="15"/>
  <c r="T1413" i="15"/>
  <c r="T1419" i="15"/>
  <c r="T1420" i="15"/>
  <c r="T1418" i="15"/>
  <c r="T1428" i="15"/>
  <c r="T1411" i="15"/>
  <c r="T1417" i="15"/>
  <c r="T1425" i="15"/>
  <c r="R1168" i="15"/>
  <c r="R1165" i="15"/>
  <c r="R1169" i="15"/>
  <c r="R1171" i="15"/>
  <c r="R1172" i="15"/>
  <c r="R1175" i="15"/>
  <c r="R1174" i="15"/>
  <c r="R1179" i="15"/>
  <c r="R1177" i="15"/>
  <c r="R1167" i="15"/>
  <c r="R1173" i="15"/>
  <c r="R1180" i="15"/>
  <c r="R1166" i="15"/>
  <c r="R1176" i="15"/>
  <c r="R1164" i="15"/>
  <c r="R1178" i="15"/>
  <c r="R1170" i="15"/>
  <c r="R1181" i="15"/>
  <c r="U713" i="15"/>
  <c r="U711" i="15"/>
  <c r="U716" i="15"/>
  <c r="U722" i="15"/>
  <c r="U714" i="15"/>
  <c r="U710" i="15"/>
  <c r="U717" i="15"/>
  <c r="U724" i="15"/>
  <c r="U712" i="15"/>
  <c r="U718" i="15"/>
  <c r="U725" i="15"/>
  <c r="U719" i="15"/>
  <c r="U715" i="15"/>
  <c r="U723" i="15"/>
  <c r="U720" i="15"/>
  <c r="U708" i="15"/>
  <c r="U709" i="15"/>
  <c r="U721" i="15"/>
  <c r="U1100" i="15"/>
  <c r="U1103" i="15"/>
  <c r="U1090" i="15"/>
  <c r="U1101" i="15"/>
  <c r="U1093" i="15"/>
  <c r="U1095" i="15"/>
  <c r="U1098" i="15"/>
  <c r="U1105" i="15"/>
  <c r="U1089" i="15"/>
  <c r="U1097" i="15"/>
  <c r="U1104" i="15"/>
  <c r="U1094" i="15"/>
  <c r="U1102" i="15"/>
  <c r="U1092" i="15"/>
  <c r="U1091" i="15"/>
  <c r="U1099" i="15"/>
  <c r="U1088" i="15"/>
  <c r="U1096" i="15"/>
  <c r="T1353" i="15"/>
  <c r="S1266" i="15"/>
  <c r="S1268" i="15"/>
  <c r="S1264" i="15"/>
  <c r="S1274" i="15"/>
  <c r="S1260" i="15"/>
  <c r="S1269" i="15"/>
  <c r="S1259" i="15"/>
  <c r="S1275" i="15"/>
  <c r="S1270" i="15"/>
  <c r="S1272" i="15"/>
  <c r="S1267" i="15"/>
  <c r="S1276" i="15"/>
  <c r="S1271" i="15"/>
  <c r="S1265" i="15"/>
  <c r="S1273" i="15"/>
  <c r="S1261" i="15"/>
  <c r="S1262" i="15"/>
  <c r="S1263" i="15"/>
  <c r="T1505" i="15"/>
  <c r="U1416" i="15"/>
  <c r="U1417" i="15"/>
  <c r="U1420" i="15"/>
  <c r="U1414" i="15"/>
  <c r="U1425" i="15"/>
  <c r="U1422" i="15"/>
  <c r="U1428" i="15"/>
  <c r="U1427" i="15"/>
  <c r="U1424" i="15"/>
  <c r="U1426" i="15"/>
  <c r="U1412" i="15"/>
  <c r="U1423" i="15"/>
  <c r="U1421" i="15"/>
  <c r="U1419" i="15"/>
  <c r="U1418" i="15"/>
  <c r="U1413" i="15"/>
  <c r="U1411" i="15"/>
  <c r="U1415" i="15"/>
  <c r="T764" i="15"/>
  <c r="U382" i="15"/>
  <c r="U371" i="15"/>
  <c r="U380" i="15"/>
  <c r="U368" i="15"/>
  <c r="U370" i="15"/>
  <c r="U378" i="15"/>
  <c r="U366" i="15"/>
  <c r="U375" i="15"/>
  <c r="U369" i="15"/>
  <c r="U376" i="15"/>
  <c r="U383" i="15"/>
  <c r="U381" i="15"/>
  <c r="U372" i="15"/>
  <c r="U374" i="15"/>
  <c r="U373" i="15"/>
  <c r="U379" i="15"/>
  <c r="U367" i="15"/>
  <c r="U377" i="15"/>
  <c r="V631" i="15"/>
  <c r="R699" i="15"/>
  <c r="R694" i="15"/>
  <c r="R689" i="15"/>
  <c r="R698" i="15"/>
  <c r="R696" i="15"/>
  <c r="R703" i="15"/>
  <c r="R706" i="15"/>
  <c r="R704" i="15"/>
  <c r="R693" i="15"/>
  <c r="R690" i="15"/>
  <c r="R702" i="15"/>
  <c r="R705" i="15"/>
  <c r="R695" i="15"/>
  <c r="R692" i="15"/>
  <c r="R701" i="15"/>
  <c r="R691" i="15"/>
  <c r="R697" i="15"/>
  <c r="R700" i="15"/>
  <c r="S1323" i="15"/>
  <c r="S1330" i="15"/>
  <c r="S1319" i="15"/>
  <c r="S1329" i="15"/>
  <c r="S1316" i="15"/>
  <c r="S1333" i="15"/>
  <c r="S1321" i="15"/>
  <c r="S1317" i="15"/>
  <c r="S1331" i="15"/>
  <c r="S1318" i="15"/>
  <c r="S1320" i="15"/>
  <c r="S1325" i="15"/>
  <c r="S1332" i="15"/>
  <c r="S1326" i="15"/>
  <c r="S1328" i="15"/>
  <c r="S1327" i="15"/>
  <c r="S1324" i="15"/>
  <c r="S1322" i="15"/>
  <c r="S973" i="15"/>
  <c r="T719" i="15"/>
  <c r="T709" i="15"/>
  <c r="T711" i="15"/>
  <c r="T717" i="15"/>
  <c r="T723" i="15"/>
  <c r="T710" i="15"/>
  <c r="T713" i="15"/>
  <c r="T718" i="15"/>
  <c r="T721" i="15"/>
  <c r="T712" i="15"/>
  <c r="T715" i="15"/>
  <c r="T714" i="15"/>
  <c r="T720" i="15"/>
  <c r="T724" i="15"/>
  <c r="T716" i="15"/>
  <c r="T722" i="15"/>
  <c r="T725" i="15"/>
  <c r="T708" i="15"/>
  <c r="R397" i="15"/>
  <c r="R386" i="15"/>
  <c r="R389" i="15"/>
  <c r="R395" i="15"/>
  <c r="R390" i="15"/>
  <c r="R400" i="15"/>
  <c r="R391" i="15"/>
  <c r="R387" i="15"/>
  <c r="R394" i="15"/>
  <c r="R392" i="15"/>
  <c r="R398" i="15"/>
  <c r="R401" i="15"/>
  <c r="R393" i="15"/>
  <c r="R396" i="15"/>
  <c r="R402" i="15"/>
  <c r="R385" i="15"/>
  <c r="R399" i="15"/>
  <c r="R388" i="15"/>
  <c r="U824" i="15"/>
  <c r="U829" i="15"/>
  <c r="U832" i="15"/>
  <c r="U837" i="15"/>
  <c r="U831" i="15"/>
  <c r="U822" i="15"/>
  <c r="U838" i="15"/>
  <c r="U828" i="15"/>
  <c r="U839" i="15"/>
  <c r="U835" i="15"/>
  <c r="U834" i="15"/>
  <c r="U827" i="15"/>
  <c r="U825" i="15"/>
  <c r="U826" i="15"/>
  <c r="U823" i="15"/>
  <c r="U830" i="15"/>
  <c r="U833" i="15"/>
  <c r="U836" i="15"/>
  <c r="S1166" i="15"/>
  <c r="S1167" i="15"/>
  <c r="S1180" i="15"/>
  <c r="S1165" i="15"/>
  <c r="S1173" i="15"/>
  <c r="S1169" i="15"/>
  <c r="S1181" i="15"/>
  <c r="S1177" i="15"/>
  <c r="S1174" i="15"/>
  <c r="S1175" i="15"/>
  <c r="S1170" i="15"/>
  <c r="S1171" i="15"/>
  <c r="S1179" i="15"/>
  <c r="S1172" i="15"/>
  <c r="S1164" i="15"/>
  <c r="S1176" i="15"/>
  <c r="S1178" i="15"/>
  <c r="S1168" i="15"/>
  <c r="T384" i="15"/>
  <c r="S1365" i="15"/>
  <c r="S1369" i="15"/>
  <c r="S1358" i="15"/>
  <c r="S1363" i="15"/>
  <c r="S1355" i="15"/>
  <c r="S1360" i="15"/>
  <c r="S1354" i="15"/>
  <c r="S1357" i="15"/>
  <c r="S1361" i="15"/>
  <c r="S1366" i="15"/>
  <c r="S1371" i="15"/>
  <c r="S1356" i="15"/>
  <c r="S1362" i="15"/>
  <c r="S1368" i="15"/>
  <c r="S1359" i="15"/>
  <c r="S1364" i="15"/>
  <c r="S1370" i="15"/>
  <c r="S1367" i="15"/>
  <c r="U1350" i="15"/>
  <c r="U1345" i="15"/>
  <c r="U1340" i="15"/>
  <c r="U1348" i="15"/>
  <c r="U1337" i="15"/>
  <c r="U1344" i="15"/>
  <c r="U1352" i="15"/>
  <c r="U1342" i="15"/>
  <c r="U1338" i="15"/>
  <c r="U1346" i="15"/>
  <c r="U1341" i="15"/>
  <c r="U1349" i="15"/>
  <c r="U1335" i="15"/>
  <c r="U1343" i="15"/>
  <c r="U1336" i="15"/>
  <c r="U1339" i="15"/>
  <c r="U1347" i="15"/>
  <c r="U1351" i="15"/>
  <c r="S785" i="15"/>
  <c r="S784" i="15"/>
  <c r="S789" i="15"/>
  <c r="S792" i="15"/>
  <c r="S797" i="15"/>
  <c r="S793" i="15"/>
  <c r="S798" i="15"/>
  <c r="S790" i="15"/>
  <c r="S796" i="15"/>
  <c r="S794" i="15"/>
  <c r="S791" i="15"/>
  <c r="S799" i="15"/>
  <c r="S800" i="15"/>
  <c r="S801" i="15"/>
  <c r="S788" i="15"/>
  <c r="S786" i="15"/>
  <c r="S795" i="15"/>
  <c r="S787" i="15"/>
  <c r="V405" i="15"/>
  <c r="V416" i="15"/>
  <c r="V415" i="15"/>
  <c r="V419" i="15"/>
  <c r="V414" i="15"/>
  <c r="V418" i="15"/>
  <c r="V417" i="15"/>
  <c r="V420" i="15"/>
  <c r="V404" i="15"/>
  <c r="V408" i="15"/>
  <c r="V412" i="15"/>
  <c r="V421" i="15"/>
  <c r="V409" i="15"/>
  <c r="V406" i="15"/>
  <c r="V410" i="15"/>
  <c r="V413" i="15"/>
  <c r="V407" i="15"/>
  <c r="V411" i="15"/>
  <c r="U1046" i="15"/>
  <c r="U1047" i="15"/>
  <c r="U1037" i="15"/>
  <c r="U1039" i="15"/>
  <c r="U1038" i="15"/>
  <c r="U1044" i="15"/>
  <c r="U1041" i="15"/>
  <c r="U1045" i="15"/>
  <c r="U1040" i="15"/>
  <c r="U1036" i="15"/>
  <c r="U1043" i="15"/>
  <c r="U1035" i="15"/>
  <c r="U1032" i="15"/>
  <c r="U1031" i="15"/>
  <c r="U1034" i="15"/>
  <c r="U1042" i="15"/>
  <c r="U1048" i="15"/>
  <c r="U1033" i="15"/>
  <c r="V1334" i="15"/>
  <c r="S1231" i="15"/>
  <c r="S1234" i="15"/>
  <c r="S1223" i="15"/>
  <c r="S1226" i="15"/>
  <c r="S1227" i="15"/>
  <c r="S1224" i="15"/>
  <c r="S1235" i="15"/>
  <c r="S1232" i="15"/>
  <c r="S1221" i="15"/>
  <c r="S1229" i="15"/>
  <c r="S1222" i="15"/>
  <c r="S1230" i="15"/>
  <c r="S1238" i="15"/>
  <c r="S1236" i="15"/>
  <c r="S1225" i="15"/>
  <c r="S1233" i="15"/>
  <c r="S1228" i="15"/>
  <c r="S1237" i="15"/>
  <c r="S574" i="15"/>
  <c r="S704" i="15"/>
  <c r="S694" i="15"/>
  <c r="S698" i="15"/>
  <c r="S695" i="15"/>
  <c r="S706" i="15"/>
  <c r="S703" i="15"/>
  <c r="S691" i="15"/>
  <c r="S689" i="15"/>
  <c r="S699" i="15"/>
  <c r="S697" i="15"/>
  <c r="S702" i="15"/>
  <c r="S696" i="15"/>
  <c r="S690" i="15"/>
  <c r="S692" i="15"/>
  <c r="S700" i="15"/>
  <c r="S693" i="15"/>
  <c r="S701" i="15"/>
  <c r="S705" i="15"/>
  <c r="U1450" i="15"/>
  <c r="U1449" i="15"/>
  <c r="U1454" i="15"/>
  <c r="U1464" i="15"/>
  <c r="U1461" i="15"/>
  <c r="U1460" i="15"/>
  <c r="U1465" i="15"/>
  <c r="U1463" i="15"/>
  <c r="U1451" i="15"/>
  <c r="U1457" i="15"/>
  <c r="U1455" i="15"/>
  <c r="U1459" i="15"/>
  <c r="U1462" i="15"/>
  <c r="U1456" i="15"/>
  <c r="U1452" i="15"/>
  <c r="U1453" i="15"/>
  <c r="U1466" i="15"/>
  <c r="U1458" i="15"/>
  <c r="T1010" i="15"/>
  <c r="T994" i="15"/>
  <c r="T996" i="15"/>
  <c r="T1004" i="15"/>
  <c r="T999" i="15"/>
  <c r="T993" i="15"/>
  <c r="T998" i="15"/>
  <c r="T1002" i="15"/>
  <c r="T1000" i="15"/>
  <c r="T1001" i="15"/>
  <c r="T1006" i="15"/>
  <c r="T1008" i="15"/>
  <c r="T1005" i="15"/>
  <c r="T1009" i="15"/>
  <c r="T995" i="15"/>
  <c r="T1007" i="15"/>
  <c r="T997" i="15"/>
  <c r="T1003" i="15"/>
  <c r="U727" i="15"/>
  <c r="U740" i="15"/>
  <c r="U738" i="15"/>
  <c r="U734" i="15"/>
  <c r="U742" i="15"/>
  <c r="U732" i="15"/>
  <c r="U730" i="15"/>
  <c r="U744" i="15"/>
  <c r="U739" i="15"/>
  <c r="U733" i="15"/>
  <c r="U741" i="15"/>
  <c r="U735" i="15"/>
  <c r="U743" i="15"/>
  <c r="U728" i="15"/>
  <c r="U729" i="15"/>
  <c r="U736" i="15"/>
  <c r="U731" i="15"/>
  <c r="U737" i="15"/>
  <c r="U519" i="15"/>
  <c r="U535" i="15"/>
  <c r="U527" i="15"/>
  <c r="U533" i="15"/>
  <c r="U525" i="15"/>
  <c r="U529" i="15"/>
  <c r="U522" i="15"/>
  <c r="U530" i="15"/>
  <c r="U531" i="15"/>
  <c r="U524" i="15"/>
  <c r="U521" i="15"/>
  <c r="U523" i="15"/>
  <c r="U532" i="15"/>
  <c r="U518" i="15"/>
  <c r="U526" i="15"/>
  <c r="U528" i="15"/>
  <c r="U520" i="15"/>
  <c r="U534" i="15"/>
  <c r="R1186" i="15"/>
  <c r="R1184" i="15"/>
  <c r="R1187" i="15"/>
  <c r="R1188" i="15"/>
  <c r="R1197" i="15"/>
  <c r="R1200" i="15"/>
  <c r="R1195" i="15"/>
  <c r="R1198" i="15"/>
  <c r="R1193" i="15"/>
  <c r="R1196" i="15"/>
  <c r="R1192" i="15"/>
  <c r="R1189" i="15"/>
  <c r="R1185" i="15"/>
  <c r="R1191" i="15"/>
  <c r="R1190" i="15"/>
  <c r="R1194" i="15"/>
  <c r="R1183" i="15"/>
  <c r="R1199" i="15"/>
  <c r="T973" i="15"/>
  <c r="S756" i="15"/>
  <c r="S762" i="15"/>
  <c r="S758" i="15"/>
  <c r="S750" i="15"/>
  <c r="S761" i="15"/>
  <c r="S748" i="15"/>
  <c r="S754" i="15"/>
  <c r="S747" i="15"/>
  <c r="S755" i="15"/>
  <c r="S763" i="15"/>
  <c r="S753" i="15"/>
  <c r="S749" i="15"/>
  <c r="S757" i="15"/>
  <c r="S760" i="15"/>
  <c r="S751" i="15"/>
  <c r="S752" i="15"/>
  <c r="S759" i="15"/>
  <c r="S746" i="15"/>
  <c r="T1099" i="15"/>
  <c r="T1103" i="15"/>
  <c r="T1094" i="15"/>
  <c r="T1095" i="15"/>
  <c r="T1101" i="15"/>
  <c r="T1098" i="15"/>
  <c r="T1102" i="15"/>
  <c r="T1105" i="15"/>
  <c r="T1096" i="15"/>
  <c r="T1088" i="15"/>
  <c r="T1104" i="15"/>
  <c r="T1093" i="15"/>
  <c r="T1089" i="15"/>
  <c r="T1090" i="15"/>
  <c r="T1097" i="15"/>
  <c r="T1092" i="15"/>
  <c r="T1091" i="15"/>
  <c r="T1100" i="15"/>
  <c r="S1198" i="15"/>
  <c r="S1192" i="15"/>
  <c r="S1200" i="15"/>
  <c r="S1184" i="15"/>
  <c r="S1187" i="15"/>
  <c r="S1186" i="15"/>
  <c r="S1190" i="15"/>
  <c r="S1197" i="15"/>
  <c r="S1196" i="15"/>
  <c r="S1195" i="15"/>
  <c r="S1194" i="15"/>
  <c r="S1191" i="15"/>
  <c r="S1199" i="15"/>
  <c r="S1189" i="15"/>
  <c r="S1188" i="15"/>
  <c r="S1185" i="15"/>
  <c r="S1183" i="15"/>
  <c r="S1193" i="15"/>
  <c r="V992" i="15"/>
  <c r="T933" i="15"/>
  <c r="T921" i="15"/>
  <c r="T932" i="15"/>
  <c r="T927" i="15"/>
  <c r="T924" i="15"/>
  <c r="T922" i="15"/>
  <c r="T925" i="15"/>
  <c r="T934" i="15"/>
  <c r="T917" i="15"/>
  <c r="T930" i="15"/>
  <c r="T920" i="15"/>
  <c r="T918" i="15"/>
  <c r="T929" i="15"/>
  <c r="T919" i="15"/>
  <c r="T931" i="15"/>
  <c r="T923" i="15"/>
  <c r="T928" i="15"/>
  <c r="T926" i="15"/>
  <c r="S1506" i="15"/>
  <c r="S1515" i="15"/>
  <c r="S1510" i="15"/>
  <c r="S1513" i="15"/>
  <c r="S1520" i="15"/>
  <c r="S1521" i="15"/>
  <c r="S1518" i="15"/>
  <c r="S1522" i="15"/>
  <c r="S1519" i="15"/>
  <c r="S1511" i="15"/>
  <c r="S1509" i="15"/>
  <c r="S1523" i="15"/>
  <c r="S1512" i="15"/>
  <c r="S1517" i="15"/>
  <c r="S1507" i="15"/>
  <c r="S1516" i="15"/>
  <c r="S1508" i="15"/>
  <c r="S1514" i="15"/>
  <c r="S505" i="15"/>
  <c r="S500" i="15"/>
  <c r="S502" i="15"/>
  <c r="S513" i="15"/>
  <c r="S503" i="15"/>
  <c r="S501" i="15"/>
  <c r="S504" i="15"/>
  <c r="S514" i="15"/>
  <c r="S512" i="15"/>
  <c r="S499" i="15"/>
  <c r="S511" i="15"/>
  <c r="S509" i="15"/>
  <c r="S516" i="15"/>
  <c r="S510" i="15"/>
  <c r="S515" i="15"/>
  <c r="S508" i="15"/>
  <c r="S507" i="15"/>
  <c r="S506" i="15"/>
  <c r="T1469" i="15"/>
  <c r="T1485" i="15"/>
  <c r="T1477" i="15"/>
  <c r="T1468" i="15"/>
  <c r="T1481" i="15"/>
  <c r="T1471" i="15"/>
  <c r="T1470" i="15"/>
  <c r="T1474" i="15"/>
  <c r="T1482" i="15"/>
  <c r="T1478" i="15"/>
  <c r="T1475" i="15"/>
  <c r="T1479" i="15"/>
  <c r="T1476" i="15"/>
  <c r="T1473" i="15"/>
  <c r="T1472" i="15"/>
  <c r="T1483" i="15"/>
  <c r="T1484" i="15"/>
  <c r="T1480" i="15"/>
  <c r="V1277" i="15"/>
  <c r="R784" i="15"/>
  <c r="R785" i="15"/>
  <c r="R791" i="15"/>
  <c r="R787" i="15"/>
  <c r="R792" i="15"/>
  <c r="R795" i="15"/>
  <c r="R799" i="15"/>
  <c r="R800" i="15"/>
  <c r="R793" i="15"/>
  <c r="R801" i="15"/>
  <c r="R794" i="15"/>
  <c r="R790" i="15"/>
  <c r="R798" i="15"/>
  <c r="R797" i="15"/>
  <c r="R788" i="15"/>
  <c r="R786" i="15"/>
  <c r="R796" i="15"/>
  <c r="R789" i="15"/>
  <c r="S808" i="15"/>
  <c r="S807" i="15"/>
  <c r="S813" i="15"/>
  <c r="S817" i="15"/>
  <c r="S806" i="15"/>
  <c r="S816" i="15"/>
  <c r="S809" i="15"/>
  <c r="S820" i="15"/>
  <c r="S810" i="15"/>
  <c r="S818" i="15"/>
  <c r="S814" i="15"/>
  <c r="S804" i="15"/>
  <c r="S812" i="15"/>
  <c r="S805" i="15"/>
  <c r="S815" i="15"/>
  <c r="S803" i="15"/>
  <c r="S811" i="15"/>
  <c r="S819" i="15"/>
  <c r="U453" i="15"/>
  <c r="U451" i="15"/>
  <c r="U450" i="15"/>
  <c r="U447" i="15"/>
  <c r="U449" i="15"/>
  <c r="U442" i="15"/>
  <c r="U446" i="15"/>
  <c r="U452" i="15"/>
  <c r="U455" i="15"/>
  <c r="U459" i="15"/>
  <c r="U454" i="15"/>
  <c r="U456" i="15"/>
  <c r="U457" i="15"/>
  <c r="U445" i="15"/>
  <c r="U448" i="15"/>
  <c r="U444" i="15"/>
  <c r="U443" i="15"/>
  <c r="U458" i="15"/>
  <c r="U1008" i="15"/>
  <c r="U1001" i="15"/>
  <c r="U1009" i="15"/>
  <c r="U999" i="15"/>
  <c r="U997" i="15"/>
  <c r="U1003" i="15"/>
  <c r="U994" i="15"/>
  <c r="U995" i="15"/>
  <c r="U1002" i="15"/>
  <c r="U1004" i="15"/>
  <c r="U1010" i="15"/>
  <c r="U993" i="15"/>
  <c r="U1000" i="15"/>
  <c r="U998" i="15"/>
  <c r="U1005" i="15"/>
  <c r="U1006" i="15"/>
  <c r="U1007" i="15"/>
  <c r="U996" i="15"/>
  <c r="R810" i="15"/>
  <c r="R818" i="15"/>
  <c r="R805" i="15"/>
  <c r="R815" i="15"/>
  <c r="R803" i="15"/>
  <c r="R806" i="15"/>
  <c r="R811" i="15"/>
  <c r="R819" i="15"/>
  <c r="R817" i="15"/>
  <c r="R809" i="15"/>
  <c r="R820" i="15"/>
  <c r="R808" i="15"/>
  <c r="R807" i="15"/>
  <c r="R814" i="15"/>
  <c r="R813" i="15"/>
  <c r="R816" i="15"/>
  <c r="R804" i="15"/>
  <c r="R812" i="15"/>
  <c r="T603" i="15"/>
  <c r="T596" i="15"/>
  <c r="T611" i="15"/>
  <c r="T610" i="15"/>
  <c r="T595" i="15"/>
  <c r="T606" i="15"/>
  <c r="T597" i="15"/>
  <c r="T604" i="15"/>
  <c r="T598" i="15"/>
  <c r="T608" i="15"/>
  <c r="T607" i="15"/>
  <c r="T600" i="15"/>
  <c r="T602" i="15"/>
  <c r="T605" i="15"/>
  <c r="T609" i="15"/>
  <c r="T594" i="15"/>
  <c r="T599" i="15"/>
  <c r="T601" i="15"/>
  <c r="S1304" i="15"/>
  <c r="S1299" i="15"/>
  <c r="S1306" i="15"/>
  <c r="S1314" i="15"/>
  <c r="S1300" i="15"/>
  <c r="S1308" i="15"/>
  <c r="S1301" i="15"/>
  <c r="S1312" i="15"/>
  <c r="S1311" i="15"/>
  <c r="S1309" i="15"/>
  <c r="S1313" i="15"/>
  <c r="S1298" i="15"/>
  <c r="S1303" i="15"/>
  <c r="S1307" i="15"/>
  <c r="S1297" i="15"/>
  <c r="S1305" i="15"/>
  <c r="S1310" i="15"/>
  <c r="S1302" i="15"/>
  <c r="S858" i="15"/>
  <c r="S850" i="15"/>
  <c r="S844" i="15"/>
  <c r="S843" i="15"/>
  <c r="S855" i="15"/>
  <c r="S848" i="15"/>
  <c r="S857" i="15"/>
  <c r="S845" i="15"/>
  <c r="S849" i="15"/>
  <c r="S853" i="15"/>
  <c r="S842" i="15"/>
  <c r="S854" i="15"/>
  <c r="S847" i="15"/>
  <c r="S852" i="15"/>
  <c r="S851" i="15"/>
  <c r="S856" i="15"/>
  <c r="S846" i="15"/>
  <c r="S841" i="15"/>
  <c r="Y25" i="18"/>
  <c r="T1292" i="15"/>
  <c r="T1282" i="15"/>
  <c r="T1283" i="15"/>
  <c r="T1291" i="15"/>
  <c r="T1295" i="15"/>
  <c r="T1279" i="15"/>
  <c r="T1286" i="15"/>
  <c r="T1289" i="15"/>
  <c r="T1287" i="15"/>
  <c r="T1284" i="15"/>
  <c r="T1285" i="15"/>
  <c r="T1281" i="15"/>
  <c r="T1288" i="15"/>
  <c r="T1280" i="15"/>
  <c r="T1293" i="15"/>
  <c r="T1294" i="15"/>
  <c r="T1290" i="15"/>
  <c r="T1278" i="15"/>
  <c r="R853" i="15"/>
  <c r="R856" i="15"/>
  <c r="R846" i="15"/>
  <c r="R854" i="15"/>
  <c r="R848" i="15"/>
  <c r="R858" i="15"/>
  <c r="R851" i="15"/>
  <c r="R845" i="15"/>
  <c r="R843" i="15"/>
  <c r="R850" i="15"/>
  <c r="R844" i="15"/>
  <c r="R852" i="15"/>
  <c r="R842" i="15"/>
  <c r="R857" i="15"/>
  <c r="R855" i="15"/>
  <c r="R849" i="15"/>
  <c r="R841" i="15"/>
  <c r="R847" i="15"/>
  <c r="T734" i="15"/>
  <c r="T730" i="15"/>
  <c r="T741" i="15"/>
  <c r="T744" i="15"/>
  <c r="T739" i="15"/>
  <c r="T733" i="15"/>
  <c r="T742" i="15"/>
  <c r="T729" i="15"/>
  <c r="T735" i="15"/>
  <c r="T727" i="15"/>
  <c r="T728" i="15"/>
  <c r="T737" i="15"/>
  <c r="T731" i="15"/>
  <c r="T743" i="15"/>
  <c r="T732" i="15"/>
  <c r="T740" i="15"/>
  <c r="T738" i="15"/>
  <c r="T736" i="15"/>
  <c r="Y33" i="18"/>
  <c r="U600" i="15"/>
  <c r="U611" i="15"/>
  <c r="U598" i="15"/>
  <c r="U601" i="15"/>
  <c r="U595" i="15"/>
  <c r="U606" i="15"/>
  <c r="U599" i="15"/>
  <c r="U609" i="15"/>
  <c r="U597" i="15"/>
  <c r="U594" i="15"/>
  <c r="U610" i="15"/>
  <c r="U605" i="15"/>
  <c r="U607" i="15"/>
  <c r="U603" i="15"/>
  <c r="U602" i="15"/>
  <c r="U604" i="15"/>
  <c r="U596" i="15"/>
  <c r="U608" i="15"/>
  <c r="S384" i="15"/>
  <c r="U672" i="15"/>
  <c r="U682" i="15"/>
  <c r="U674" i="15"/>
  <c r="U686" i="15"/>
  <c r="U670" i="15"/>
  <c r="U678" i="15"/>
  <c r="U680" i="15"/>
  <c r="U676" i="15"/>
  <c r="U684" i="15"/>
  <c r="U671" i="15"/>
  <c r="U685" i="15"/>
  <c r="U683" i="15"/>
  <c r="U677" i="15"/>
  <c r="U673" i="15"/>
  <c r="U679" i="15"/>
  <c r="U675" i="15"/>
  <c r="U681" i="15"/>
  <c r="U687" i="15"/>
  <c r="T438" i="15"/>
  <c r="T428" i="15"/>
  <c r="T423" i="15"/>
  <c r="T433" i="15"/>
  <c r="T434" i="15"/>
  <c r="T425" i="15"/>
  <c r="T437" i="15"/>
  <c r="T435" i="15"/>
  <c r="T440" i="15"/>
  <c r="T432" i="15"/>
  <c r="T424" i="15"/>
  <c r="T429" i="15"/>
  <c r="T436" i="15"/>
  <c r="T427" i="15"/>
  <c r="T430" i="15"/>
  <c r="T426" i="15"/>
  <c r="T439" i="15"/>
  <c r="T431" i="15"/>
  <c r="S624" i="15"/>
  <c r="S621" i="15"/>
  <c r="S620" i="15"/>
  <c r="S619" i="15"/>
  <c r="S627" i="15"/>
  <c r="S616" i="15"/>
  <c r="S615" i="15"/>
  <c r="S613" i="15"/>
  <c r="S628" i="15"/>
  <c r="S629" i="15"/>
  <c r="S623" i="15"/>
  <c r="S617" i="15"/>
  <c r="S626" i="15"/>
  <c r="S618" i="15"/>
  <c r="S614" i="15"/>
  <c r="S625" i="15"/>
  <c r="S622" i="15"/>
  <c r="S630" i="15"/>
  <c r="AE4" i="15"/>
  <c r="AE2" i="15" s="1"/>
  <c r="V1248" i="15" l="1"/>
  <c r="V1027" i="15"/>
  <c r="V1212" i="15"/>
  <c r="W1145" i="15"/>
  <c r="V1204" i="15"/>
  <c r="W1202" i="15"/>
  <c r="W1254" i="15"/>
  <c r="V1217" i="15"/>
  <c r="V1210" i="15"/>
  <c r="V1218" i="15"/>
  <c r="V1208" i="15"/>
  <c r="V1211" i="15"/>
  <c r="V1203" i="15"/>
  <c r="V1206" i="15"/>
  <c r="V1216" i="15"/>
  <c r="V1213" i="15"/>
  <c r="V1219" i="15"/>
  <c r="V1209" i="15"/>
  <c r="V1202" i="15"/>
  <c r="V1207" i="15"/>
  <c r="V1214" i="15"/>
  <c r="V1215" i="15"/>
  <c r="V1205" i="15"/>
  <c r="W1214" i="15"/>
  <c r="W1251" i="15"/>
  <c r="W1250" i="15"/>
  <c r="W1204" i="15"/>
  <c r="W1252" i="15"/>
  <c r="W1209" i="15"/>
  <c r="V1021" i="15"/>
  <c r="V1014" i="15"/>
  <c r="V1029" i="15"/>
  <c r="V1013" i="15"/>
  <c r="V1028" i="15"/>
  <c r="V1017" i="15"/>
  <c r="V1022" i="15"/>
  <c r="V1012" i="15"/>
  <c r="V1025" i="15"/>
  <c r="V1018" i="15"/>
  <c r="V1024" i="15"/>
  <c r="V1020" i="15"/>
  <c r="V1019" i="15"/>
  <c r="V1023" i="15"/>
  <c r="V1016" i="15"/>
  <c r="W1113" i="15"/>
  <c r="V1026" i="15"/>
  <c r="V1015" i="15"/>
  <c r="W1396" i="15"/>
  <c r="W1110" i="15"/>
  <c r="V1241" i="15"/>
  <c r="W1124" i="15"/>
  <c r="W1120" i="15"/>
  <c r="W1109" i="15"/>
  <c r="W1111" i="15"/>
  <c r="W1118" i="15"/>
  <c r="W1107" i="15"/>
  <c r="W942" i="15"/>
  <c r="W1242" i="15"/>
  <c r="W1240" i="15"/>
  <c r="W1206" i="15"/>
  <c r="W1219" i="15"/>
  <c r="W1243" i="15"/>
  <c r="W1247" i="15"/>
  <c r="W1212" i="15"/>
  <c r="W1216" i="15"/>
  <c r="W1256" i="15"/>
  <c r="W1255" i="15"/>
  <c r="W1207" i="15"/>
  <c r="W1210" i="15"/>
  <c r="W950" i="15"/>
  <c r="W1244" i="15"/>
  <c r="W1246" i="15"/>
  <c r="W1205" i="15"/>
  <c r="W1203" i="15"/>
  <c r="W1217" i="15"/>
  <c r="W1119" i="15"/>
  <c r="W1115" i="15"/>
  <c r="W1245" i="15"/>
  <c r="W1249" i="15"/>
  <c r="W1257" i="15"/>
  <c r="W1218" i="15"/>
  <c r="W1215" i="15"/>
  <c r="W1208" i="15"/>
  <c r="W1241" i="15"/>
  <c r="W1248" i="15"/>
  <c r="W1213" i="15"/>
  <c r="W1112" i="15"/>
  <c r="W1121" i="15"/>
  <c r="W407" i="15"/>
  <c r="W1114" i="15"/>
  <c r="W1123" i="15"/>
  <c r="W408" i="15"/>
  <c r="W416" i="15"/>
  <c r="W1025" i="15"/>
  <c r="W417" i="15"/>
  <c r="W1015" i="15"/>
  <c r="W405" i="15"/>
  <c r="W410" i="15"/>
  <c r="W412" i="15"/>
  <c r="W1013" i="15"/>
  <c r="W1017" i="15"/>
  <c r="W1148" i="15"/>
  <c r="W1160" i="15"/>
  <c r="W1024" i="15"/>
  <c r="W1020" i="15"/>
  <c r="W1023" i="15"/>
  <c r="W1147" i="15"/>
  <c r="W1162" i="15"/>
  <c r="W1026" i="15"/>
  <c r="W1154" i="15"/>
  <c r="W1156" i="15"/>
  <c r="W1021" i="15"/>
  <c r="W1019" i="15"/>
  <c r="W1158" i="15"/>
  <c r="W1155" i="15"/>
  <c r="W1029" i="15"/>
  <c r="W1022" i="15"/>
  <c r="W1149" i="15"/>
  <c r="W1152" i="15"/>
  <c r="W1108" i="15"/>
  <c r="W1122" i="15"/>
  <c r="W1014" i="15"/>
  <c r="W1028" i="15"/>
  <c r="W1018" i="15"/>
  <c r="W1146" i="15"/>
  <c r="W1157" i="15"/>
  <c r="W1161" i="15"/>
  <c r="W1153" i="15"/>
  <c r="W1151" i="15"/>
  <c r="W1012" i="15"/>
  <c r="W1016" i="15"/>
  <c r="V1243" i="15"/>
  <c r="W1159" i="15"/>
  <c r="W1150" i="15"/>
  <c r="V1251" i="15"/>
  <c r="V1246" i="15"/>
  <c r="V1250" i="15"/>
  <c r="V1253" i="15"/>
  <c r="V1242" i="15"/>
  <c r="V1256" i="15"/>
  <c r="V1240" i="15"/>
  <c r="V1249" i="15"/>
  <c r="V83" i="18"/>
  <c r="X1239" i="15" s="1"/>
  <c r="V1255" i="15"/>
  <c r="V1257" i="15"/>
  <c r="V1244" i="15"/>
  <c r="V1254" i="15"/>
  <c r="V1252" i="15"/>
  <c r="V1245" i="15"/>
  <c r="V1247" i="15"/>
  <c r="W1116" i="15"/>
  <c r="W404" i="15"/>
  <c r="W406" i="15"/>
  <c r="W418" i="15"/>
  <c r="W411" i="15"/>
  <c r="W414" i="15"/>
  <c r="W413" i="15"/>
  <c r="W420" i="15"/>
  <c r="W409" i="15"/>
  <c r="W419" i="15"/>
  <c r="W904" i="15"/>
  <c r="W421" i="15"/>
  <c r="W909" i="15"/>
  <c r="W913" i="15"/>
  <c r="V58" i="18"/>
  <c r="X1011" i="15" s="1"/>
  <c r="X1016" i="15" s="1"/>
  <c r="V56" i="18"/>
  <c r="W915" i="15"/>
  <c r="W898" i="15"/>
  <c r="V69" i="18"/>
  <c r="V62" i="18"/>
  <c r="V42" i="18"/>
  <c r="X403" i="15" s="1"/>
  <c r="V65" i="18"/>
  <c r="V44" i="18"/>
  <c r="W899" i="15"/>
  <c r="W900" i="15"/>
  <c r="W905" i="15"/>
  <c r="W901" i="15"/>
  <c r="V48" i="18"/>
  <c r="X1068" i="15" s="1"/>
  <c r="X1080" i="15" s="1"/>
  <c r="V73" i="18"/>
  <c r="W1401" i="15"/>
  <c r="W910" i="15"/>
  <c r="W908" i="15"/>
  <c r="W907" i="15"/>
  <c r="W903" i="15"/>
  <c r="V46" i="18"/>
  <c r="W914" i="15"/>
  <c r="W1393" i="15"/>
  <c r="W1394" i="15"/>
  <c r="W1406" i="15"/>
  <c r="W1405" i="15"/>
  <c r="W1392" i="15"/>
  <c r="W1397" i="15"/>
  <c r="W1402" i="15"/>
  <c r="W1400" i="15"/>
  <c r="V74" i="18"/>
  <c r="X935" i="15" s="1"/>
  <c r="X948" i="15" s="1"/>
  <c r="W1409" i="15"/>
  <c r="W1408" i="15"/>
  <c r="W1407" i="15"/>
  <c r="W911" i="15"/>
  <c r="W912" i="15"/>
  <c r="W1399" i="15"/>
  <c r="W1395" i="15"/>
  <c r="W1404" i="15"/>
  <c r="W1398" i="15"/>
  <c r="W902" i="15"/>
  <c r="W951" i="15"/>
  <c r="W945" i="15"/>
  <c r="V63" i="18"/>
  <c r="V53" i="18"/>
  <c r="V50" i="18"/>
  <c r="X555" i="15" s="1"/>
  <c r="V60" i="18"/>
  <c r="V71" i="18"/>
  <c r="V57" i="18"/>
  <c r="W946" i="15"/>
  <c r="W936" i="15"/>
  <c r="V899" i="15"/>
  <c r="V912" i="15"/>
  <c r="V906" i="15"/>
  <c r="V907" i="15"/>
  <c r="V905" i="15"/>
  <c r="V902" i="15"/>
  <c r="V911" i="15"/>
  <c r="V909" i="15"/>
  <c r="V910" i="15"/>
  <c r="V915" i="15"/>
  <c r="V908" i="15"/>
  <c r="V898" i="15"/>
  <c r="V903" i="15"/>
  <c r="V901" i="15"/>
  <c r="V900" i="15"/>
  <c r="V904" i="15"/>
  <c r="V914" i="15"/>
  <c r="V913" i="15"/>
  <c r="V55" i="18"/>
  <c r="V41" i="18"/>
  <c r="V54" i="18"/>
  <c r="W939" i="15"/>
  <c r="W940" i="15"/>
  <c r="V47" i="18"/>
  <c r="V43" i="18"/>
  <c r="V51" i="18"/>
  <c r="V59" i="18"/>
  <c r="V75" i="18"/>
  <c r="W949" i="15"/>
  <c r="W952" i="15"/>
  <c r="V70" i="18"/>
  <c r="V77" i="18"/>
  <c r="V45" i="18"/>
  <c r="V68" i="18"/>
  <c r="V61" i="18"/>
  <c r="V80" i="18"/>
  <c r="W937" i="15"/>
  <c r="W948" i="15"/>
  <c r="W1080" i="15"/>
  <c r="W1085" i="15"/>
  <c r="W1072" i="15"/>
  <c r="W1073" i="15"/>
  <c r="W1079" i="15"/>
  <c r="W1069" i="15"/>
  <c r="W1071" i="15"/>
  <c r="W1078" i="15"/>
  <c r="W1082" i="15"/>
  <c r="W1070" i="15"/>
  <c r="W1083" i="15"/>
  <c r="W1086" i="15"/>
  <c r="W1084" i="15"/>
  <c r="W1081" i="15"/>
  <c r="W1077" i="15"/>
  <c r="W1076" i="15"/>
  <c r="W1074" i="15"/>
  <c r="W1075" i="15"/>
  <c r="V52" i="18"/>
  <c r="X650" i="15" s="1"/>
  <c r="V66" i="18"/>
  <c r="X1391" i="15" s="1"/>
  <c r="V79" i="18"/>
  <c r="V72" i="18"/>
  <c r="X897" i="15" s="1"/>
  <c r="W947" i="15"/>
  <c r="W938" i="15"/>
  <c r="W944" i="15"/>
  <c r="V81" i="18"/>
  <c r="X1201" i="15" s="1"/>
  <c r="V49" i="18"/>
  <c r="W663" i="15"/>
  <c r="W658" i="15"/>
  <c r="W651" i="15"/>
  <c r="W668" i="15"/>
  <c r="W661" i="15"/>
  <c r="W662" i="15"/>
  <c r="W667" i="15"/>
  <c r="W655" i="15"/>
  <c r="W654" i="15"/>
  <c r="W657" i="15"/>
  <c r="W666" i="15"/>
  <c r="W664" i="15"/>
  <c r="W653" i="15"/>
  <c r="W665" i="15"/>
  <c r="W659" i="15"/>
  <c r="W660" i="15"/>
  <c r="W652" i="15"/>
  <c r="W656" i="15"/>
  <c r="V82" i="18"/>
  <c r="V76" i="18"/>
  <c r="X1106" i="15" s="1"/>
  <c r="W943" i="15"/>
  <c r="W941" i="15"/>
  <c r="R7" i="3"/>
  <c r="W43" i="18" s="1"/>
  <c r="V25" i="18"/>
  <c r="V24" i="18"/>
  <c r="V27" i="18"/>
  <c r="V26" i="18"/>
  <c r="V38" i="18"/>
  <c r="V28" i="18"/>
  <c r="V32" i="18"/>
  <c r="V34" i="18"/>
  <c r="V30" i="18"/>
  <c r="V36" i="18"/>
  <c r="V35" i="18"/>
  <c r="V39" i="18"/>
  <c r="V37" i="18"/>
  <c r="V29" i="18"/>
  <c r="V33" i="18"/>
  <c r="V31" i="18"/>
  <c r="V67" i="18"/>
  <c r="W560" i="15"/>
  <c r="W571" i="15"/>
  <c r="W556" i="15"/>
  <c r="W557" i="15"/>
  <c r="W567" i="15"/>
  <c r="W559" i="15"/>
  <c r="W569" i="15"/>
  <c r="W573" i="15"/>
  <c r="W565" i="15"/>
  <c r="W562" i="15"/>
  <c r="W570" i="15"/>
  <c r="W572" i="15"/>
  <c r="W561" i="15"/>
  <c r="W563" i="15"/>
  <c r="W566" i="15"/>
  <c r="W568" i="15"/>
  <c r="W564" i="15"/>
  <c r="W558" i="15"/>
  <c r="V64" i="18"/>
  <c r="V78" i="18"/>
  <c r="X1144" i="15" s="1"/>
  <c r="T536" i="15"/>
  <c r="R2" i="19"/>
  <c r="R1" i="19" s="1"/>
  <c r="S23" i="18"/>
  <c r="U536" i="15" s="1"/>
  <c r="R2" i="18"/>
  <c r="Y59" i="18"/>
  <c r="Y49" i="18"/>
  <c r="Y65" i="18"/>
  <c r="Y29" i="18"/>
  <c r="Y55" i="18"/>
  <c r="W365" i="15"/>
  <c r="U1296" i="15"/>
  <c r="T1125" i="15"/>
  <c r="U639" i="15"/>
  <c r="U641" i="15"/>
  <c r="U649" i="15"/>
  <c r="U642" i="15"/>
  <c r="U632" i="15"/>
  <c r="U634" i="15"/>
  <c r="U644" i="15"/>
  <c r="U648" i="15"/>
  <c r="U637" i="15"/>
  <c r="U638" i="15"/>
  <c r="U643" i="15"/>
  <c r="U645" i="15"/>
  <c r="U647" i="15"/>
  <c r="U635" i="15"/>
  <c r="U636" i="15"/>
  <c r="U646" i="15"/>
  <c r="U633" i="15"/>
  <c r="U640" i="15"/>
  <c r="V1416" i="15"/>
  <c r="V1411" i="15"/>
  <c r="V1421" i="15"/>
  <c r="V1422" i="15"/>
  <c r="V1427" i="15"/>
  <c r="V1426" i="15"/>
  <c r="V1414" i="15"/>
  <c r="V1424" i="15"/>
  <c r="V1418" i="15"/>
  <c r="V1415" i="15"/>
  <c r="V1423" i="15"/>
  <c r="V1413" i="15"/>
  <c r="V1419" i="15"/>
  <c r="V1417" i="15"/>
  <c r="V1425" i="15"/>
  <c r="V1428" i="15"/>
  <c r="V1412" i="15"/>
  <c r="V1420" i="15"/>
  <c r="T1226" i="15"/>
  <c r="T1224" i="15"/>
  <c r="T1228" i="15"/>
  <c r="T1227" i="15"/>
  <c r="T1230" i="15"/>
  <c r="T1235" i="15"/>
  <c r="T1236" i="15"/>
  <c r="T1222" i="15"/>
  <c r="T1233" i="15"/>
  <c r="T1223" i="15"/>
  <c r="T1234" i="15"/>
  <c r="T1238" i="15"/>
  <c r="T1231" i="15"/>
  <c r="T1229" i="15"/>
  <c r="T1221" i="15"/>
  <c r="T1232" i="15"/>
  <c r="T1225" i="15"/>
  <c r="T1237" i="15"/>
  <c r="T510" i="15"/>
  <c r="T516" i="15"/>
  <c r="T508" i="15"/>
  <c r="T501" i="15"/>
  <c r="T511" i="15"/>
  <c r="T515" i="15"/>
  <c r="T503" i="15"/>
  <c r="T499" i="15"/>
  <c r="T514" i="15"/>
  <c r="T500" i="15"/>
  <c r="T513" i="15"/>
  <c r="T505" i="15"/>
  <c r="T507" i="15"/>
  <c r="T512" i="15"/>
  <c r="T504" i="15"/>
  <c r="T509" i="15"/>
  <c r="T502" i="15"/>
  <c r="T506" i="15"/>
  <c r="U1283" i="15"/>
  <c r="U1293" i="15"/>
  <c r="U1286" i="15"/>
  <c r="U1291" i="15"/>
  <c r="U1294" i="15"/>
  <c r="U1281" i="15"/>
  <c r="U1279" i="15"/>
  <c r="U1290" i="15"/>
  <c r="U1287" i="15"/>
  <c r="U1280" i="15"/>
  <c r="U1295" i="15"/>
  <c r="U1284" i="15"/>
  <c r="U1292" i="15"/>
  <c r="U1282" i="15"/>
  <c r="U1289" i="15"/>
  <c r="U1288" i="15"/>
  <c r="U1278" i="15"/>
  <c r="U1285" i="15"/>
  <c r="U1163" i="15"/>
  <c r="S576" i="15"/>
  <c r="S592" i="15"/>
  <c r="S581" i="15"/>
  <c r="S588" i="15"/>
  <c r="S585" i="15"/>
  <c r="S584" i="15"/>
  <c r="S590" i="15"/>
  <c r="S589" i="15"/>
  <c r="S586" i="15"/>
  <c r="S580" i="15"/>
  <c r="S591" i="15"/>
  <c r="S577" i="15"/>
  <c r="S579" i="15"/>
  <c r="S582" i="15"/>
  <c r="S575" i="15"/>
  <c r="S578" i="15"/>
  <c r="S583" i="15"/>
  <c r="S587" i="15"/>
  <c r="T1507" i="15"/>
  <c r="T1514" i="15"/>
  <c r="T1520" i="15"/>
  <c r="T1521" i="15"/>
  <c r="T1522" i="15"/>
  <c r="T1506" i="15"/>
  <c r="T1519" i="15"/>
  <c r="T1517" i="15"/>
  <c r="T1513" i="15"/>
  <c r="T1515" i="15"/>
  <c r="T1512" i="15"/>
  <c r="T1523" i="15"/>
  <c r="T1509" i="15"/>
  <c r="T1518" i="15"/>
  <c r="T1510" i="15"/>
  <c r="T1508" i="15"/>
  <c r="T1511" i="15"/>
  <c r="T1516" i="15"/>
  <c r="T612" i="15"/>
  <c r="V451" i="15"/>
  <c r="V457" i="15"/>
  <c r="V453" i="15"/>
  <c r="V458" i="15"/>
  <c r="V452" i="15"/>
  <c r="V442" i="15"/>
  <c r="V444" i="15"/>
  <c r="V456" i="15"/>
  <c r="V445" i="15"/>
  <c r="V443" i="15"/>
  <c r="V450" i="15"/>
  <c r="V448" i="15"/>
  <c r="V449" i="15"/>
  <c r="V447" i="15"/>
  <c r="V455" i="15"/>
  <c r="V446" i="15"/>
  <c r="V454" i="15"/>
  <c r="V459" i="15"/>
  <c r="U1125" i="15"/>
  <c r="V1486" i="15"/>
  <c r="Y71" i="18"/>
  <c r="W1410" i="15"/>
  <c r="U1220" i="15"/>
  <c r="U498" i="15"/>
  <c r="S386" i="15"/>
  <c r="S401" i="15"/>
  <c r="S385" i="15"/>
  <c r="S391" i="15"/>
  <c r="S396" i="15"/>
  <c r="S398" i="15"/>
  <c r="S393" i="15"/>
  <c r="S389" i="15"/>
  <c r="S402" i="15"/>
  <c r="S392" i="15"/>
  <c r="S397" i="15"/>
  <c r="S390" i="15"/>
  <c r="S399" i="15"/>
  <c r="S388" i="15"/>
  <c r="S394" i="15"/>
  <c r="S387" i="15"/>
  <c r="S395" i="15"/>
  <c r="S400" i="15"/>
  <c r="V726" i="15"/>
  <c r="V821" i="15"/>
  <c r="Y35" i="18"/>
  <c r="T980" i="15"/>
  <c r="T982" i="15"/>
  <c r="T990" i="15"/>
  <c r="T991" i="15"/>
  <c r="T986" i="15"/>
  <c r="T985" i="15"/>
  <c r="T981" i="15"/>
  <c r="T975" i="15"/>
  <c r="T988" i="15"/>
  <c r="T976" i="15"/>
  <c r="T978" i="15"/>
  <c r="T974" i="15"/>
  <c r="T983" i="15"/>
  <c r="T984" i="15"/>
  <c r="T979" i="15"/>
  <c r="T987" i="15"/>
  <c r="T977" i="15"/>
  <c r="T989" i="15"/>
  <c r="V859" i="15"/>
  <c r="U612" i="15"/>
  <c r="Y63" i="18"/>
  <c r="V1031" i="15"/>
  <c r="V1037" i="15"/>
  <c r="V1044" i="15"/>
  <c r="V1048" i="15"/>
  <c r="V1046" i="15"/>
  <c r="V1045" i="15"/>
  <c r="V1035" i="15"/>
  <c r="V1042" i="15"/>
  <c r="V1036" i="15"/>
  <c r="V1047" i="15"/>
  <c r="V1038" i="15"/>
  <c r="V1032" i="15"/>
  <c r="V1034" i="15"/>
  <c r="V1040" i="15"/>
  <c r="V1039" i="15"/>
  <c r="V1043" i="15"/>
  <c r="V1033" i="15"/>
  <c r="V1041" i="15"/>
  <c r="X1015" i="15"/>
  <c r="V919" i="15"/>
  <c r="V931" i="15"/>
  <c r="V920" i="15"/>
  <c r="V927" i="15"/>
  <c r="V922" i="15"/>
  <c r="V928" i="15"/>
  <c r="V933" i="15"/>
  <c r="V923" i="15"/>
  <c r="V929" i="15"/>
  <c r="V918" i="15"/>
  <c r="V926" i="15"/>
  <c r="V925" i="15"/>
  <c r="V932" i="15"/>
  <c r="V917" i="15"/>
  <c r="V921" i="15"/>
  <c r="V930" i="15"/>
  <c r="V924" i="15"/>
  <c r="V934" i="15"/>
  <c r="V669" i="15"/>
  <c r="Y53" i="18"/>
  <c r="V997" i="15"/>
  <c r="V1000" i="15"/>
  <c r="V1007" i="15"/>
  <c r="V996" i="15"/>
  <c r="V1005" i="15"/>
  <c r="V999" i="15"/>
  <c r="V1008" i="15"/>
  <c r="V1004" i="15"/>
  <c r="V1010" i="15"/>
  <c r="V1006" i="15"/>
  <c r="V994" i="15"/>
  <c r="V1002" i="15"/>
  <c r="V998" i="15"/>
  <c r="V993" i="15"/>
  <c r="V1001" i="15"/>
  <c r="V995" i="15"/>
  <c r="V1009" i="15"/>
  <c r="V1003" i="15"/>
  <c r="T1315" i="15"/>
  <c r="U384" i="15"/>
  <c r="V1429" i="15"/>
  <c r="Y68" i="18"/>
  <c r="Y57" i="18"/>
  <c r="V479" i="15"/>
  <c r="Y31" i="18"/>
  <c r="T574" i="15"/>
  <c r="W669" i="15"/>
  <c r="V1338" i="15"/>
  <c r="V1347" i="15"/>
  <c r="V1344" i="15"/>
  <c r="V1346" i="15"/>
  <c r="V1349" i="15"/>
  <c r="V1342" i="15"/>
  <c r="V1352" i="15"/>
  <c r="V1339" i="15"/>
  <c r="V1335" i="15"/>
  <c r="V1341" i="15"/>
  <c r="V1336" i="15"/>
  <c r="V1340" i="15"/>
  <c r="V1345" i="15"/>
  <c r="V1351" i="15"/>
  <c r="V1350" i="15"/>
  <c r="V1348" i="15"/>
  <c r="V1343" i="15"/>
  <c r="V1337" i="15"/>
  <c r="T460" i="15"/>
  <c r="W1429" i="15"/>
  <c r="V641" i="15"/>
  <c r="V644" i="15"/>
  <c r="V649" i="15"/>
  <c r="V642" i="15"/>
  <c r="V634" i="15"/>
  <c r="V646" i="15"/>
  <c r="V640" i="15"/>
  <c r="V638" i="15"/>
  <c r="V636" i="15"/>
  <c r="V647" i="15"/>
  <c r="V637" i="15"/>
  <c r="V645" i="15"/>
  <c r="V639" i="15"/>
  <c r="V632" i="15"/>
  <c r="V633" i="15"/>
  <c r="V648" i="15"/>
  <c r="V635" i="15"/>
  <c r="V643" i="15"/>
  <c r="T772" i="15"/>
  <c r="T780" i="15"/>
  <c r="T777" i="15"/>
  <c r="T769" i="15"/>
  <c r="T775" i="15"/>
  <c r="T773" i="15"/>
  <c r="T766" i="15"/>
  <c r="T770" i="15"/>
  <c r="T782" i="15"/>
  <c r="T774" i="15"/>
  <c r="T776" i="15"/>
  <c r="T779" i="15"/>
  <c r="T768" i="15"/>
  <c r="T781" i="15"/>
  <c r="T778" i="15"/>
  <c r="T767" i="15"/>
  <c r="T765" i="15"/>
  <c r="T771" i="15"/>
  <c r="T1357" i="15"/>
  <c r="T1365" i="15"/>
  <c r="T1371" i="15"/>
  <c r="T1369" i="15"/>
  <c r="T1360" i="15"/>
  <c r="T1362" i="15"/>
  <c r="T1370" i="15"/>
  <c r="T1355" i="15"/>
  <c r="T1368" i="15"/>
  <c r="T1361" i="15"/>
  <c r="T1367" i="15"/>
  <c r="T1364" i="15"/>
  <c r="T1354" i="15"/>
  <c r="T1356" i="15"/>
  <c r="T1358" i="15"/>
  <c r="T1359" i="15"/>
  <c r="T1363" i="15"/>
  <c r="T1366" i="15"/>
  <c r="T840" i="15"/>
  <c r="W479" i="15"/>
  <c r="T820" i="15"/>
  <c r="T813" i="15"/>
  <c r="T808" i="15"/>
  <c r="T805" i="15"/>
  <c r="T811" i="15"/>
  <c r="T819" i="15"/>
  <c r="T816" i="15"/>
  <c r="T817" i="15"/>
  <c r="T810" i="15"/>
  <c r="T807" i="15"/>
  <c r="T809" i="15"/>
  <c r="T812" i="15"/>
  <c r="T804" i="15"/>
  <c r="T806" i="15"/>
  <c r="T818" i="15"/>
  <c r="T803" i="15"/>
  <c r="T815" i="15"/>
  <c r="T814" i="15"/>
  <c r="W707" i="15"/>
  <c r="V593" i="15"/>
  <c r="Y44" i="18"/>
  <c r="W517" i="15"/>
  <c r="T1163" i="15"/>
  <c r="V1448" i="15"/>
  <c r="Y69" i="18"/>
  <c r="V954" i="15"/>
  <c r="Y75" i="18"/>
  <c r="Y67" i="18"/>
  <c r="T1182" i="15"/>
  <c r="U1182" i="15"/>
  <c r="Y73" i="18"/>
  <c r="V1281" i="15"/>
  <c r="V1282" i="15"/>
  <c r="V1295" i="15"/>
  <c r="V1293" i="15"/>
  <c r="V1287" i="15"/>
  <c r="V1292" i="15"/>
  <c r="V1290" i="15"/>
  <c r="V1285" i="15"/>
  <c r="V1288" i="15"/>
  <c r="V1280" i="15"/>
  <c r="V1284" i="15"/>
  <c r="V1291" i="15"/>
  <c r="V1283" i="15"/>
  <c r="V1289" i="15"/>
  <c r="V1279" i="15"/>
  <c r="V1278" i="15"/>
  <c r="V1294" i="15"/>
  <c r="V1286" i="15"/>
  <c r="Y60" i="18"/>
  <c r="T688" i="15"/>
  <c r="W1334" i="15"/>
  <c r="U460" i="15"/>
  <c r="V422" i="15"/>
  <c r="Y43" i="18"/>
  <c r="W631" i="15"/>
  <c r="Y37" i="18"/>
  <c r="Y51" i="18"/>
  <c r="U1467" i="15"/>
  <c r="V1096" i="15"/>
  <c r="V1095" i="15"/>
  <c r="V1091" i="15"/>
  <c r="V1099" i="15"/>
  <c r="V1105" i="15"/>
  <c r="V1092" i="15"/>
  <c r="V1100" i="15"/>
  <c r="V1104" i="15"/>
  <c r="V1097" i="15"/>
  <c r="V1103" i="15"/>
  <c r="V1089" i="15"/>
  <c r="V1102" i="15"/>
  <c r="V1088" i="15"/>
  <c r="V1094" i="15"/>
  <c r="V1101" i="15"/>
  <c r="V1090" i="15"/>
  <c r="V1098" i="15"/>
  <c r="V1093" i="15"/>
  <c r="T783" i="15"/>
  <c r="W593" i="15"/>
  <c r="W726" i="15"/>
  <c r="W821" i="15"/>
  <c r="T397" i="15"/>
  <c r="T398" i="15"/>
  <c r="T387" i="15"/>
  <c r="T395" i="15"/>
  <c r="T388" i="15"/>
  <c r="T396" i="15"/>
  <c r="T386" i="15"/>
  <c r="T394" i="15"/>
  <c r="T402" i="15"/>
  <c r="T392" i="15"/>
  <c r="T401" i="15"/>
  <c r="T391" i="15"/>
  <c r="T385" i="15"/>
  <c r="T393" i="15"/>
  <c r="T400" i="15"/>
  <c r="T399" i="15"/>
  <c r="T390" i="15"/>
  <c r="T389" i="15"/>
  <c r="W859" i="15"/>
  <c r="W1448" i="15"/>
  <c r="W954" i="15"/>
  <c r="S991" i="15"/>
  <c r="S978" i="15"/>
  <c r="S974" i="15"/>
  <c r="S976" i="15"/>
  <c r="S990" i="15"/>
  <c r="S984" i="15"/>
  <c r="S983" i="15"/>
  <c r="S975" i="15"/>
  <c r="S979" i="15"/>
  <c r="S982" i="15"/>
  <c r="S981" i="15"/>
  <c r="S977" i="15"/>
  <c r="S987" i="15"/>
  <c r="S985" i="15"/>
  <c r="S989" i="15"/>
  <c r="S980" i="15"/>
  <c r="S988" i="15"/>
  <c r="S986" i="15"/>
  <c r="S879" i="15"/>
  <c r="S885" i="15"/>
  <c r="S881" i="15"/>
  <c r="S895" i="15"/>
  <c r="S882" i="15"/>
  <c r="S892" i="15"/>
  <c r="S886" i="15"/>
  <c r="S883" i="15"/>
  <c r="S894" i="15"/>
  <c r="S880" i="15"/>
  <c r="S893" i="15"/>
  <c r="S888" i="15"/>
  <c r="S890" i="15"/>
  <c r="S887" i="15"/>
  <c r="S896" i="15"/>
  <c r="S889" i="15"/>
  <c r="S884" i="15"/>
  <c r="S891" i="15"/>
  <c r="V709" i="15"/>
  <c r="V717" i="15"/>
  <c r="V713" i="15"/>
  <c r="V715" i="15"/>
  <c r="V712" i="15"/>
  <c r="V718" i="15"/>
  <c r="V722" i="15"/>
  <c r="V708" i="15"/>
  <c r="V716" i="15"/>
  <c r="V724" i="15"/>
  <c r="V725" i="15"/>
  <c r="V710" i="15"/>
  <c r="V721" i="15"/>
  <c r="V711" i="15"/>
  <c r="V719" i="15"/>
  <c r="V720" i="15"/>
  <c r="V714" i="15"/>
  <c r="V723" i="15"/>
  <c r="U1315" i="15"/>
  <c r="T745" i="15"/>
  <c r="U745" i="15"/>
  <c r="V517" i="15"/>
  <c r="W1277" i="15"/>
  <c r="U688" i="15"/>
  <c r="V365" i="15"/>
  <c r="Y41" i="18"/>
  <c r="T1296" i="15"/>
  <c r="T878" i="15"/>
  <c r="T1049" i="15"/>
  <c r="U861" i="15"/>
  <c r="U868" i="15"/>
  <c r="U866" i="15"/>
  <c r="U860" i="15"/>
  <c r="U869" i="15"/>
  <c r="U877" i="15"/>
  <c r="U867" i="15"/>
  <c r="U865" i="15"/>
  <c r="U864" i="15"/>
  <c r="U872" i="15"/>
  <c r="U863" i="15"/>
  <c r="U876" i="15"/>
  <c r="U870" i="15"/>
  <c r="U871" i="15"/>
  <c r="U873" i="15"/>
  <c r="U862" i="15"/>
  <c r="U875" i="15"/>
  <c r="U874" i="15"/>
  <c r="V1386" i="15"/>
  <c r="V1381" i="15"/>
  <c r="V1385" i="15"/>
  <c r="V1378" i="15"/>
  <c r="V1382" i="15"/>
  <c r="V1377" i="15"/>
  <c r="V1374" i="15"/>
  <c r="V1375" i="15"/>
  <c r="V1376" i="15"/>
  <c r="V1388" i="15"/>
  <c r="V1387" i="15"/>
  <c r="V1390" i="15"/>
  <c r="V1389" i="15"/>
  <c r="V1383" i="15"/>
  <c r="V1379" i="15"/>
  <c r="V1373" i="15"/>
  <c r="V1384" i="15"/>
  <c r="V1380" i="15"/>
  <c r="T1266" i="15"/>
  <c r="T1259" i="15"/>
  <c r="T1262" i="15"/>
  <c r="T1276" i="15"/>
  <c r="T1275" i="15"/>
  <c r="T1267" i="15"/>
  <c r="T1271" i="15"/>
  <c r="T1263" i="15"/>
  <c r="T1265" i="15"/>
  <c r="T1268" i="15"/>
  <c r="T1270" i="15"/>
  <c r="T1261" i="15"/>
  <c r="T1269" i="15"/>
  <c r="T1260" i="15"/>
  <c r="T1273" i="15"/>
  <c r="T1264" i="15"/>
  <c r="T1272" i="15"/>
  <c r="T1274" i="15"/>
  <c r="Y70" i="18"/>
  <c r="A1523" i="15"/>
  <c r="A1522" i="15"/>
  <c r="A1521" i="15"/>
  <c r="A1520" i="15"/>
  <c r="A1519" i="15"/>
  <c r="A1518" i="15"/>
  <c r="A1517" i="15"/>
  <c r="A1516" i="15"/>
  <c r="A1515" i="15"/>
  <c r="A1514" i="15"/>
  <c r="A1513" i="15"/>
  <c r="A1512" i="15"/>
  <c r="A1511" i="15"/>
  <c r="A1510" i="15"/>
  <c r="A1509" i="15"/>
  <c r="A1508" i="15"/>
  <c r="A1507" i="15"/>
  <c r="A1506" i="15"/>
  <c r="A1505" i="15"/>
  <c r="A1504" i="15"/>
  <c r="A1503" i="15"/>
  <c r="A1502" i="15"/>
  <c r="A1501" i="15"/>
  <c r="A1500" i="15"/>
  <c r="A1499" i="15"/>
  <c r="A1498" i="15"/>
  <c r="A1497" i="15"/>
  <c r="A1496" i="15"/>
  <c r="A1495" i="15"/>
  <c r="A1494" i="15"/>
  <c r="A1493" i="15"/>
  <c r="A1492" i="15"/>
  <c r="A1491" i="15"/>
  <c r="A1490" i="15"/>
  <c r="A1489" i="15"/>
  <c r="A1488" i="15"/>
  <c r="A1487" i="15"/>
  <c r="A1486" i="15"/>
  <c r="A1485" i="15"/>
  <c r="A1484" i="15"/>
  <c r="A1483" i="15"/>
  <c r="A1482" i="15"/>
  <c r="A1481" i="15"/>
  <c r="A1480" i="15"/>
  <c r="A1479" i="15"/>
  <c r="A1478" i="15"/>
  <c r="A1477" i="15"/>
  <c r="A1476" i="15"/>
  <c r="A1475" i="15"/>
  <c r="A1474" i="15"/>
  <c r="A1473" i="15"/>
  <c r="A1472" i="15"/>
  <c r="A1471" i="15"/>
  <c r="A1470" i="15"/>
  <c r="A1469" i="15"/>
  <c r="A1468" i="15"/>
  <c r="A1467" i="15"/>
  <c r="A1466" i="15"/>
  <c r="A1465" i="15"/>
  <c r="A1464" i="15"/>
  <c r="A1463" i="15"/>
  <c r="A1462" i="15"/>
  <c r="A1461" i="15"/>
  <c r="A1460" i="15"/>
  <c r="A1459" i="15"/>
  <c r="A1458" i="15"/>
  <c r="A1457" i="15"/>
  <c r="A1456" i="15"/>
  <c r="A1455" i="15"/>
  <c r="A1454" i="15"/>
  <c r="A1453" i="15"/>
  <c r="A1452" i="15"/>
  <c r="A1451" i="15"/>
  <c r="A1450" i="15"/>
  <c r="A1449" i="15"/>
  <c r="A1448" i="15"/>
  <c r="A1447" i="15"/>
  <c r="A1446" i="15"/>
  <c r="A1445" i="15"/>
  <c r="A1444" i="15"/>
  <c r="A1443" i="15"/>
  <c r="A1442" i="15"/>
  <c r="A1441" i="15"/>
  <c r="A1440" i="15"/>
  <c r="A1439" i="15"/>
  <c r="A1438" i="15"/>
  <c r="A1437" i="15"/>
  <c r="A1436" i="15"/>
  <c r="A1435" i="15"/>
  <c r="A1434" i="15"/>
  <c r="A1433" i="15"/>
  <c r="A1432" i="15"/>
  <c r="A1431" i="15"/>
  <c r="A1430" i="15"/>
  <c r="A1429" i="15"/>
  <c r="A1428" i="15"/>
  <c r="A1427" i="15"/>
  <c r="A1426" i="15"/>
  <c r="A1425" i="15"/>
  <c r="A1424" i="15"/>
  <c r="A1423" i="15"/>
  <c r="A1422" i="15"/>
  <c r="A1421" i="15"/>
  <c r="A1420" i="15"/>
  <c r="A1419" i="15"/>
  <c r="A1418" i="15"/>
  <c r="A1417" i="15"/>
  <c r="A1416" i="15"/>
  <c r="A1415" i="15"/>
  <c r="A1414" i="15"/>
  <c r="A1413" i="15"/>
  <c r="A1412" i="15"/>
  <c r="A1411" i="15"/>
  <c r="A1410" i="15"/>
  <c r="A1409" i="15"/>
  <c r="A1408" i="15"/>
  <c r="A1407" i="15"/>
  <c r="A1406" i="15"/>
  <c r="A1405" i="15"/>
  <c r="A1404" i="15"/>
  <c r="A1403" i="15"/>
  <c r="A1402" i="15"/>
  <c r="A1401" i="15"/>
  <c r="A1400" i="15"/>
  <c r="A1399" i="15"/>
  <c r="A1398" i="15"/>
  <c r="A1397" i="15"/>
  <c r="A1396" i="15"/>
  <c r="A1395" i="15"/>
  <c r="A1394" i="15"/>
  <c r="A1393" i="15"/>
  <c r="A1392" i="15"/>
  <c r="A1391" i="15"/>
  <c r="A1390" i="15"/>
  <c r="A1389" i="15"/>
  <c r="A1388" i="15"/>
  <c r="A1387" i="15"/>
  <c r="A1386" i="15"/>
  <c r="A1385" i="15"/>
  <c r="A1384" i="15"/>
  <c r="A1383" i="15"/>
  <c r="A1382" i="15"/>
  <c r="A1381" i="15"/>
  <c r="A1380" i="15"/>
  <c r="A1379" i="15"/>
  <c r="A1378" i="15"/>
  <c r="A1377" i="15"/>
  <c r="A1376" i="15"/>
  <c r="A1375" i="15"/>
  <c r="A1374" i="15"/>
  <c r="A1373" i="15"/>
  <c r="A1372" i="15"/>
  <c r="A1371" i="15"/>
  <c r="A1370" i="15"/>
  <c r="A1369" i="15"/>
  <c r="A1368" i="15"/>
  <c r="A1367" i="15"/>
  <c r="A1366" i="15"/>
  <c r="A1365" i="15"/>
  <c r="A1364" i="15"/>
  <c r="A1363" i="15"/>
  <c r="A1362" i="15"/>
  <c r="A1361" i="15"/>
  <c r="A1360" i="15"/>
  <c r="A1359" i="15"/>
  <c r="A1358" i="15"/>
  <c r="A1357" i="15"/>
  <c r="A1356" i="15"/>
  <c r="A1355" i="15"/>
  <c r="A1354" i="15"/>
  <c r="A1353" i="15"/>
  <c r="A1352" i="15"/>
  <c r="A1351" i="15"/>
  <c r="A1350" i="15"/>
  <c r="A1349" i="15"/>
  <c r="A1348" i="15"/>
  <c r="A1347" i="15"/>
  <c r="A1346" i="15"/>
  <c r="A1345" i="15"/>
  <c r="A1344" i="15"/>
  <c r="A1343" i="15"/>
  <c r="A1342" i="15"/>
  <c r="A1341" i="15"/>
  <c r="A1340" i="15"/>
  <c r="A1339" i="15"/>
  <c r="A1338" i="15"/>
  <c r="A1337" i="15"/>
  <c r="A1336" i="15"/>
  <c r="A1335" i="15"/>
  <c r="A1334" i="15"/>
  <c r="A1333" i="15"/>
  <c r="A1332" i="15"/>
  <c r="A1331" i="15"/>
  <c r="A1330" i="15"/>
  <c r="A1329" i="15"/>
  <c r="A1328" i="15"/>
  <c r="A1327" i="15"/>
  <c r="A1326" i="15"/>
  <c r="A1325" i="15"/>
  <c r="A1324" i="15"/>
  <c r="A1323" i="15"/>
  <c r="A1322" i="15"/>
  <c r="A1321" i="15"/>
  <c r="A1320" i="15"/>
  <c r="A1319" i="15"/>
  <c r="A1318" i="15"/>
  <c r="A1317" i="15"/>
  <c r="A1316" i="15"/>
  <c r="A1315" i="15"/>
  <c r="A1314" i="15"/>
  <c r="A1313" i="15"/>
  <c r="A1312" i="15"/>
  <c r="A1311" i="15"/>
  <c r="A1310" i="15"/>
  <c r="A1309" i="15"/>
  <c r="A1308" i="15"/>
  <c r="A1307" i="15"/>
  <c r="A1306" i="15"/>
  <c r="A1305" i="15"/>
  <c r="A1304" i="15"/>
  <c r="A1303" i="15"/>
  <c r="A1302" i="15"/>
  <c r="A1301" i="15"/>
  <c r="A1300" i="15"/>
  <c r="A1299" i="15"/>
  <c r="A1298" i="15"/>
  <c r="A1297" i="15"/>
  <c r="A1296" i="15"/>
  <c r="A1295" i="15"/>
  <c r="A1294" i="15"/>
  <c r="A1293" i="15"/>
  <c r="A1292" i="15"/>
  <c r="A1291" i="15"/>
  <c r="A1290" i="15"/>
  <c r="A1289" i="15"/>
  <c r="A1288" i="15"/>
  <c r="A1287" i="15"/>
  <c r="A1286" i="15"/>
  <c r="A1285" i="15"/>
  <c r="A1284" i="15"/>
  <c r="A1283" i="15"/>
  <c r="A1282" i="15"/>
  <c r="A1281" i="15"/>
  <c r="A1280" i="15"/>
  <c r="A1279" i="15"/>
  <c r="A1278" i="15"/>
  <c r="A1277" i="15"/>
  <c r="A1276" i="15"/>
  <c r="A1275" i="15"/>
  <c r="A1274" i="15"/>
  <c r="A1273" i="15"/>
  <c r="A1272" i="15"/>
  <c r="A1271" i="15"/>
  <c r="A1270" i="15"/>
  <c r="A1269" i="15"/>
  <c r="A1268" i="15"/>
  <c r="A1267" i="15"/>
  <c r="A1266" i="15"/>
  <c r="A1265" i="15"/>
  <c r="A1264" i="15"/>
  <c r="A1263" i="15"/>
  <c r="A1262" i="15"/>
  <c r="A1261" i="15"/>
  <c r="A1260" i="15"/>
  <c r="A1259" i="15"/>
  <c r="A1258" i="15"/>
  <c r="A1257" i="15"/>
  <c r="A1256" i="15"/>
  <c r="A1255" i="15"/>
  <c r="A1254" i="15"/>
  <c r="A1253" i="15"/>
  <c r="A1252" i="15"/>
  <c r="A1251" i="15"/>
  <c r="A1250" i="15"/>
  <c r="A1249" i="15"/>
  <c r="A1248" i="15"/>
  <c r="A1247" i="15"/>
  <c r="A1246" i="15"/>
  <c r="A1245" i="15"/>
  <c r="A1244" i="15"/>
  <c r="A1243" i="15"/>
  <c r="A1242" i="15"/>
  <c r="A1241" i="15"/>
  <c r="A1240" i="15"/>
  <c r="A1239" i="15"/>
  <c r="A1238" i="15"/>
  <c r="A1237" i="15"/>
  <c r="A1236" i="15"/>
  <c r="A1235" i="15"/>
  <c r="A1234" i="15"/>
  <c r="A1233" i="15"/>
  <c r="A1232" i="15"/>
  <c r="A1231" i="15"/>
  <c r="A1230" i="15"/>
  <c r="A1229" i="15"/>
  <c r="A1228" i="15"/>
  <c r="A1227" i="15"/>
  <c r="A1226" i="15"/>
  <c r="A1225" i="15"/>
  <c r="A1224" i="15"/>
  <c r="A1223" i="15"/>
  <c r="A1222" i="15"/>
  <c r="A1221" i="15"/>
  <c r="A1220" i="15"/>
  <c r="A1219" i="15"/>
  <c r="A1218" i="15"/>
  <c r="A1217" i="15"/>
  <c r="A1216" i="15"/>
  <c r="A1215" i="15"/>
  <c r="A1214" i="15"/>
  <c r="A1213" i="15"/>
  <c r="A1212" i="15"/>
  <c r="A1211" i="15"/>
  <c r="A1210" i="15"/>
  <c r="A1209" i="15"/>
  <c r="A1208" i="15"/>
  <c r="A1207" i="15"/>
  <c r="A1206" i="15"/>
  <c r="A1205" i="15"/>
  <c r="A1204" i="15"/>
  <c r="A1203" i="15"/>
  <c r="A1202" i="15"/>
  <c r="A1201" i="15"/>
  <c r="A1200" i="15"/>
  <c r="A1199" i="15"/>
  <c r="A1198" i="15"/>
  <c r="A1197" i="15"/>
  <c r="A1196" i="15"/>
  <c r="A1195" i="15"/>
  <c r="A1194" i="15"/>
  <c r="A1193" i="15"/>
  <c r="A1192" i="15"/>
  <c r="A1191" i="15"/>
  <c r="A1190" i="15"/>
  <c r="A1189" i="15"/>
  <c r="A1188" i="15"/>
  <c r="A1187" i="15"/>
  <c r="A1186" i="15"/>
  <c r="A1185" i="15"/>
  <c r="A1184" i="15"/>
  <c r="A1183" i="15"/>
  <c r="A1182" i="15"/>
  <c r="A1181" i="15"/>
  <c r="A1180" i="15"/>
  <c r="A1179" i="15"/>
  <c r="A1178" i="15"/>
  <c r="A1177" i="15"/>
  <c r="A1176" i="15"/>
  <c r="A1175" i="15"/>
  <c r="A1174" i="15"/>
  <c r="A1173" i="15"/>
  <c r="A1172" i="15"/>
  <c r="A1171" i="15"/>
  <c r="A1170" i="15"/>
  <c r="A1169" i="15"/>
  <c r="A1168" i="15"/>
  <c r="A1167" i="15"/>
  <c r="A1166" i="15"/>
  <c r="A1165" i="15"/>
  <c r="A1164" i="15"/>
  <c r="A1163" i="15"/>
  <c r="A1162" i="15"/>
  <c r="A1161" i="15"/>
  <c r="A1160" i="15"/>
  <c r="A1159" i="15"/>
  <c r="A1158" i="15"/>
  <c r="A1157" i="15"/>
  <c r="A1156" i="15"/>
  <c r="A1155" i="15"/>
  <c r="A1154" i="15"/>
  <c r="A1153" i="15"/>
  <c r="A1152" i="15"/>
  <c r="A1151" i="15"/>
  <c r="A1150" i="15"/>
  <c r="A1149" i="15"/>
  <c r="A1148" i="15"/>
  <c r="A1147" i="15"/>
  <c r="A1146" i="15"/>
  <c r="A1145" i="15"/>
  <c r="A1144" i="15"/>
  <c r="A1143" i="15"/>
  <c r="A1142" i="15"/>
  <c r="A1141" i="15"/>
  <c r="A1140" i="15"/>
  <c r="A1139" i="15"/>
  <c r="A1138" i="15"/>
  <c r="A1137" i="15"/>
  <c r="A1136" i="15"/>
  <c r="A1135" i="15"/>
  <c r="A1134" i="15"/>
  <c r="A1133" i="15"/>
  <c r="A1132" i="15"/>
  <c r="A1131" i="15"/>
  <c r="A1130" i="15"/>
  <c r="A1129" i="15"/>
  <c r="A1128" i="15"/>
  <c r="A1127" i="15"/>
  <c r="A1126" i="15"/>
  <c r="A1125" i="15"/>
  <c r="A1124" i="15"/>
  <c r="A1123" i="15"/>
  <c r="A1122" i="15"/>
  <c r="A1121" i="15"/>
  <c r="A1120" i="15"/>
  <c r="A1119" i="15"/>
  <c r="A1118" i="15"/>
  <c r="A1117" i="15"/>
  <c r="A1116" i="15"/>
  <c r="A1115" i="15"/>
  <c r="A1114" i="15"/>
  <c r="A1113" i="15"/>
  <c r="A1112" i="15"/>
  <c r="A1111" i="15"/>
  <c r="A1110" i="15"/>
  <c r="A1109" i="15"/>
  <c r="A1108" i="15"/>
  <c r="A1107" i="15"/>
  <c r="A1106" i="15"/>
  <c r="A1105" i="15"/>
  <c r="A1104" i="15"/>
  <c r="A1103" i="15"/>
  <c r="A1102" i="15"/>
  <c r="A1101" i="15"/>
  <c r="A1100" i="15"/>
  <c r="A1099" i="15"/>
  <c r="A1098" i="15"/>
  <c r="A1097" i="15"/>
  <c r="A1096" i="15"/>
  <c r="A1095" i="15"/>
  <c r="A1094" i="15"/>
  <c r="A1093" i="15"/>
  <c r="A1092" i="15"/>
  <c r="A1091" i="15"/>
  <c r="A1090" i="15"/>
  <c r="A1089" i="15"/>
  <c r="A1088" i="15"/>
  <c r="A1087" i="15"/>
  <c r="A1086" i="15"/>
  <c r="A1085" i="15"/>
  <c r="A1084" i="15"/>
  <c r="A1083" i="15"/>
  <c r="A1082" i="15"/>
  <c r="A1081" i="15"/>
  <c r="A1080" i="15"/>
  <c r="A1079" i="15"/>
  <c r="A1078" i="15"/>
  <c r="A1077" i="15"/>
  <c r="A1076" i="15"/>
  <c r="A1075" i="15"/>
  <c r="A1074" i="15"/>
  <c r="A1073" i="15"/>
  <c r="A1072" i="15"/>
  <c r="A1071" i="15"/>
  <c r="A1070" i="15"/>
  <c r="A1069" i="15"/>
  <c r="A1068" i="15"/>
  <c r="A1067" i="15"/>
  <c r="A1066" i="15"/>
  <c r="A1065" i="15"/>
  <c r="A1064" i="15"/>
  <c r="A1063" i="15"/>
  <c r="A1062" i="15"/>
  <c r="A1061" i="15"/>
  <c r="A1060" i="15"/>
  <c r="A1059" i="15"/>
  <c r="A1058" i="15"/>
  <c r="A1057" i="15"/>
  <c r="A1056" i="15"/>
  <c r="A1055" i="15"/>
  <c r="A1054" i="15"/>
  <c r="A1053" i="15"/>
  <c r="A1052" i="15"/>
  <c r="A1051" i="15"/>
  <c r="A1050" i="15"/>
  <c r="A1049" i="15"/>
  <c r="A1048" i="15"/>
  <c r="A1047" i="15"/>
  <c r="A1046" i="15"/>
  <c r="A1045" i="15"/>
  <c r="A1044" i="15"/>
  <c r="A1043" i="15"/>
  <c r="A1042" i="15"/>
  <c r="A1041" i="15"/>
  <c r="A1040" i="15"/>
  <c r="A1039" i="15"/>
  <c r="A1038" i="15"/>
  <c r="A1037" i="15"/>
  <c r="A1036" i="15"/>
  <c r="A1035" i="15"/>
  <c r="A1034" i="15"/>
  <c r="A1033" i="15"/>
  <c r="A1032" i="15"/>
  <c r="A1031" i="15"/>
  <c r="A1030" i="15"/>
  <c r="A1029" i="15"/>
  <c r="A1028" i="15"/>
  <c r="A1027" i="15"/>
  <c r="A1026" i="15"/>
  <c r="A1025" i="15"/>
  <c r="A1024" i="15"/>
  <c r="A1023" i="15"/>
  <c r="A1022" i="15"/>
  <c r="A1021" i="15"/>
  <c r="A1020" i="15"/>
  <c r="A1019" i="15"/>
  <c r="A1018" i="15"/>
  <c r="A1017" i="15"/>
  <c r="A1016" i="15"/>
  <c r="A1015" i="15"/>
  <c r="A1014" i="15"/>
  <c r="A1013" i="15"/>
  <c r="A1012" i="15"/>
  <c r="A1011" i="15"/>
  <c r="A1010" i="15"/>
  <c r="A1009" i="15"/>
  <c r="A1008" i="15"/>
  <c r="A1007" i="15"/>
  <c r="A1006" i="15"/>
  <c r="A1005" i="15"/>
  <c r="A1004" i="15"/>
  <c r="A1003" i="15"/>
  <c r="A1002" i="15"/>
  <c r="A1001" i="15"/>
  <c r="A1000" i="15"/>
  <c r="A999" i="15"/>
  <c r="A998" i="15"/>
  <c r="A997" i="15"/>
  <c r="A996" i="15"/>
  <c r="A995" i="15"/>
  <c r="A994" i="15"/>
  <c r="A993" i="15"/>
  <c r="A992" i="15"/>
  <c r="A991" i="15"/>
  <c r="A990" i="15"/>
  <c r="A989" i="15"/>
  <c r="A988" i="15"/>
  <c r="A987" i="15"/>
  <c r="A986" i="15"/>
  <c r="A985" i="15"/>
  <c r="A984" i="15"/>
  <c r="A983" i="15"/>
  <c r="A982" i="15"/>
  <c r="A981" i="15"/>
  <c r="A980" i="15"/>
  <c r="A979" i="15"/>
  <c r="A978" i="15"/>
  <c r="A977" i="15"/>
  <c r="A976" i="15"/>
  <c r="A975" i="15"/>
  <c r="A974" i="15"/>
  <c r="A973" i="15"/>
  <c r="A972" i="15"/>
  <c r="A971" i="15"/>
  <c r="A970" i="15"/>
  <c r="A969" i="15"/>
  <c r="A968" i="15"/>
  <c r="A967" i="15"/>
  <c r="A966" i="15"/>
  <c r="A965" i="15"/>
  <c r="A964" i="15"/>
  <c r="A963" i="15"/>
  <c r="A962" i="15"/>
  <c r="A961" i="15"/>
  <c r="A960" i="15"/>
  <c r="A959" i="15"/>
  <c r="A958" i="15"/>
  <c r="A957" i="15"/>
  <c r="A956" i="15"/>
  <c r="A955" i="15"/>
  <c r="A954" i="15"/>
  <c r="A953" i="15"/>
  <c r="A952" i="15"/>
  <c r="A951" i="15"/>
  <c r="A950" i="15"/>
  <c r="A949" i="15"/>
  <c r="A948" i="15"/>
  <c r="A947" i="15"/>
  <c r="A946" i="15"/>
  <c r="A945" i="15"/>
  <c r="A944" i="15"/>
  <c r="A943" i="15"/>
  <c r="A942" i="15"/>
  <c r="A941" i="15"/>
  <c r="A940" i="15"/>
  <c r="A939" i="15"/>
  <c r="A938" i="15"/>
  <c r="A937" i="15"/>
  <c r="A936" i="15"/>
  <c r="A935" i="15"/>
  <c r="A934" i="15"/>
  <c r="A933" i="15"/>
  <c r="A932" i="15"/>
  <c r="A931" i="15"/>
  <c r="A930" i="15"/>
  <c r="A929" i="15"/>
  <c r="A928" i="15"/>
  <c r="A927" i="15"/>
  <c r="A926" i="15"/>
  <c r="A925" i="15"/>
  <c r="A924" i="15"/>
  <c r="A923" i="15"/>
  <c r="A922" i="15"/>
  <c r="A921" i="15"/>
  <c r="A920" i="15"/>
  <c r="A919" i="15"/>
  <c r="A918" i="15"/>
  <c r="A917" i="15"/>
  <c r="A916" i="15"/>
  <c r="A915" i="15"/>
  <c r="A914" i="15"/>
  <c r="A913" i="15"/>
  <c r="A912" i="15"/>
  <c r="A911" i="15"/>
  <c r="A910" i="15"/>
  <c r="A909" i="15"/>
  <c r="A908" i="15"/>
  <c r="A907" i="15"/>
  <c r="A906" i="15"/>
  <c r="A905" i="15"/>
  <c r="A904" i="15"/>
  <c r="A903" i="15"/>
  <c r="A902" i="15"/>
  <c r="A901" i="15"/>
  <c r="A900" i="15"/>
  <c r="A899" i="15"/>
  <c r="A898" i="15"/>
  <c r="A897" i="15"/>
  <c r="A896" i="15"/>
  <c r="A895" i="15"/>
  <c r="A894" i="15"/>
  <c r="A893" i="15"/>
  <c r="A892" i="15"/>
  <c r="A891" i="15"/>
  <c r="A890" i="15"/>
  <c r="A889" i="15"/>
  <c r="A888" i="15"/>
  <c r="A887" i="15"/>
  <c r="A886" i="15"/>
  <c r="A885" i="15"/>
  <c r="A884" i="15"/>
  <c r="A883" i="15"/>
  <c r="A882" i="15"/>
  <c r="A881" i="15"/>
  <c r="A880" i="15"/>
  <c r="A879" i="15"/>
  <c r="A878" i="15"/>
  <c r="A877" i="15"/>
  <c r="A876" i="15"/>
  <c r="A875" i="15"/>
  <c r="A874" i="15"/>
  <c r="A873" i="15"/>
  <c r="A872" i="15"/>
  <c r="A871" i="15"/>
  <c r="A870" i="15"/>
  <c r="A869" i="15"/>
  <c r="A868" i="15"/>
  <c r="A867" i="15"/>
  <c r="A866" i="15"/>
  <c r="A865" i="15"/>
  <c r="A864" i="15"/>
  <c r="A863" i="15"/>
  <c r="A862" i="15"/>
  <c r="A861" i="15"/>
  <c r="A860" i="15"/>
  <c r="A859" i="15"/>
  <c r="A858" i="15"/>
  <c r="A857" i="15"/>
  <c r="A856" i="15"/>
  <c r="A855" i="15"/>
  <c r="A854" i="15"/>
  <c r="A853" i="15"/>
  <c r="A852" i="15"/>
  <c r="A851" i="15"/>
  <c r="A850" i="15"/>
  <c r="A849" i="15"/>
  <c r="A848" i="15"/>
  <c r="A847" i="15"/>
  <c r="A846" i="15"/>
  <c r="A845" i="15"/>
  <c r="A844" i="15"/>
  <c r="A843" i="15"/>
  <c r="A842" i="15"/>
  <c r="A841" i="15"/>
  <c r="A840" i="15"/>
  <c r="A839" i="15"/>
  <c r="A838" i="15"/>
  <c r="A837" i="15"/>
  <c r="A836" i="15"/>
  <c r="A835" i="15"/>
  <c r="A834" i="15"/>
  <c r="A833" i="15"/>
  <c r="A832" i="15"/>
  <c r="A831" i="15"/>
  <c r="A830" i="15"/>
  <c r="A829" i="15"/>
  <c r="A828" i="15"/>
  <c r="A827" i="15"/>
  <c r="A826" i="15"/>
  <c r="A825" i="15"/>
  <c r="A824" i="15"/>
  <c r="A823" i="15"/>
  <c r="A822" i="15"/>
  <c r="A821" i="15"/>
  <c r="A820" i="15"/>
  <c r="A819" i="15"/>
  <c r="A818" i="15"/>
  <c r="A817" i="15"/>
  <c r="A816" i="15"/>
  <c r="A815" i="15"/>
  <c r="A814" i="15"/>
  <c r="A813" i="15"/>
  <c r="A812" i="15"/>
  <c r="A811" i="15"/>
  <c r="A810" i="15"/>
  <c r="A809" i="15"/>
  <c r="A808" i="15"/>
  <c r="A807" i="15"/>
  <c r="A806" i="15"/>
  <c r="A805" i="15"/>
  <c r="A804" i="15"/>
  <c r="A803" i="15"/>
  <c r="A802" i="15"/>
  <c r="A801" i="15"/>
  <c r="A800" i="15"/>
  <c r="A799" i="15"/>
  <c r="A798" i="15"/>
  <c r="A797" i="15"/>
  <c r="A796" i="15"/>
  <c r="A795" i="15"/>
  <c r="A794" i="15"/>
  <c r="A793" i="15"/>
  <c r="A792" i="15"/>
  <c r="A791" i="15"/>
  <c r="A790" i="15"/>
  <c r="A789" i="15"/>
  <c r="A788" i="15"/>
  <c r="A787" i="15"/>
  <c r="A786" i="15"/>
  <c r="A785" i="15"/>
  <c r="A784" i="15"/>
  <c r="A783" i="15"/>
  <c r="A782" i="15"/>
  <c r="A781" i="15"/>
  <c r="A780" i="15"/>
  <c r="A779" i="15"/>
  <c r="A778" i="15"/>
  <c r="A777" i="15"/>
  <c r="A776" i="15"/>
  <c r="A775" i="15"/>
  <c r="A774" i="15"/>
  <c r="A773" i="15"/>
  <c r="A772" i="15"/>
  <c r="A771" i="15"/>
  <c r="A770" i="15"/>
  <c r="A769" i="15"/>
  <c r="A768" i="15"/>
  <c r="A767" i="15"/>
  <c r="A766" i="15"/>
  <c r="A765" i="15"/>
  <c r="A764" i="15"/>
  <c r="A763" i="15"/>
  <c r="A762" i="15"/>
  <c r="A761" i="15"/>
  <c r="A760" i="15"/>
  <c r="A759" i="15"/>
  <c r="A758" i="15"/>
  <c r="A757" i="15"/>
  <c r="A756" i="15"/>
  <c r="A755" i="15"/>
  <c r="A754" i="15"/>
  <c r="A753" i="15"/>
  <c r="A752" i="15"/>
  <c r="A751" i="15"/>
  <c r="A750" i="15"/>
  <c r="A749" i="15"/>
  <c r="A748" i="15"/>
  <c r="A747" i="15"/>
  <c r="A746" i="15"/>
  <c r="A745" i="15"/>
  <c r="A744" i="15"/>
  <c r="A743" i="15"/>
  <c r="A742" i="15"/>
  <c r="A741" i="15"/>
  <c r="A740" i="15"/>
  <c r="A739" i="15"/>
  <c r="A738" i="15"/>
  <c r="A737" i="15"/>
  <c r="A736" i="15"/>
  <c r="A735" i="15"/>
  <c r="A734" i="15"/>
  <c r="A733" i="15"/>
  <c r="A732" i="15"/>
  <c r="A731" i="15"/>
  <c r="A730" i="15"/>
  <c r="A729" i="15"/>
  <c r="A728" i="15"/>
  <c r="A727" i="15"/>
  <c r="A726" i="15"/>
  <c r="A725" i="15"/>
  <c r="A724" i="15"/>
  <c r="A723" i="15"/>
  <c r="A722" i="15"/>
  <c r="A721" i="15"/>
  <c r="A720" i="15"/>
  <c r="A719" i="15"/>
  <c r="A718" i="15"/>
  <c r="A717" i="15"/>
  <c r="A716" i="15"/>
  <c r="A715" i="15"/>
  <c r="A714" i="15"/>
  <c r="A713" i="15"/>
  <c r="A712" i="15"/>
  <c r="A711" i="15"/>
  <c r="A710" i="15"/>
  <c r="A709" i="15"/>
  <c r="A708" i="15"/>
  <c r="A707" i="15"/>
  <c r="A706" i="15"/>
  <c r="A705" i="15"/>
  <c r="A704" i="15"/>
  <c r="A703" i="15"/>
  <c r="A702" i="15"/>
  <c r="A701" i="15"/>
  <c r="A700" i="15"/>
  <c r="A699" i="15"/>
  <c r="A698" i="15"/>
  <c r="A697" i="15"/>
  <c r="A696" i="15"/>
  <c r="A695" i="15"/>
  <c r="A694" i="15"/>
  <c r="A693" i="15"/>
  <c r="A692" i="15"/>
  <c r="A691" i="15"/>
  <c r="A690" i="15"/>
  <c r="A689" i="15"/>
  <c r="A688" i="15"/>
  <c r="A687" i="15"/>
  <c r="A686" i="15"/>
  <c r="A685" i="15"/>
  <c r="A684" i="15"/>
  <c r="A683" i="15"/>
  <c r="A682" i="15"/>
  <c r="A681" i="15"/>
  <c r="A680" i="15"/>
  <c r="A679" i="15"/>
  <c r="A678" i="15"/>
  <c r="A677" i="15"/>
  <c r="A676" i="15"/>
  <c r="A675" i="15"/>
  <c r="A674" i="15"/>
  <c r="A673" i="15"/>
  <c r="A672" i="15"/>
  <c r="A671" i="15"/>
  <c r="A670" i="15"/>
  <c r="A669" i="15"/>
  <c r="A668" i="15"/>
  <c r="A667" i="15"/>
  <c r="A666" i="15"/>
  <c r="A665" i="15"/>
  <c r="A664" i="15"/>
  <c r="A663" i="15"/>
  <c r="A662" i="15"/>
  <c r="A661" i="15"/>
  <c r="A660" i="15"/>
  <c r="A659" i="15"/>
  <c r="A658" i="15"/>
  <c r="A657" i="15"/>
  <c r="A656" i="15"/>
  <c r="A655" i="15"/>
  <c r="A654" i="15"/>
  <c r="A653" i="15"/>
  <c r="A652" i="15"/>
  <c r="A651" i="15"/>
  <c r="A650" i="15"/>
  <c r="A649" i="15"/>
  <c r="A648" i="15"/>
  <c r="A647" i="15"/>
  <c r="A646" i="15"/>
  <c r="A645" i="15"/>
  <c r="A644" i="15"/>
  <c r="A643" i="15"/>
  <c r="A642" i="15"/>
  <c r="A641" i="15"/>
  <c r="A640" i="15"/>
  <c r="A639" i="15"/>
  <c r="A638" i="15"/>
  <c r="A637" i="15"/>
  <c r="A636" i="15"/>
  <c r="A635" i="15"/>
  <c r="A634" i="15"/>
  <c r="A633" i="15"/>
  <c r="A632" i="15"/>
  <c r="A631" i="15"/>
  <c r="A630" i="15"/>
  <c r="A629" i="15"/>
  <c r="A628" i="15"/>
  <c r="A627" i="15"/>
  <c r="A626" i="15"/>
  <c r="A625" i="15"/>
  <c r="A624" i="15"/>
  <c r="A623" i="15"/>
  <c r="A622" i="15"/>
  <c r="A621" i="15"/>
  <c r="A620" i="15"/>
  <c r="A619" i="15"/>
  <c r="A618" i="15"/>
  <c r="A617" i="15"/>
  <c r="A616" i="15"/>
  <c r="A615" i="15"/>
  <c r="A614" i="15"/>
  <c r="A613" i="15"/>
  <c r="A612" i="15"/>
  <c r="A611" i="15"/>
  <c r="A610" i="15"/>
  <c r="A609" i="15"/>
  <c r="A608" i="15"/>
  <c r="A607" i="15"/>
  <c r="A606" i="15"/>
  <c r="A605" i="15"/>
  <c r="A604" i="15"/>
  <c r="A603" i="15"/>
  <c r="A602" i="15"/>
  <c r="A601" i="15"/>
  <c r="A600" i="15"/>
  <c r="A599" i="15"/>
  <c r="A598" i="15"/>
  <c r="A597" i="15"/>
  <c r="A596" i="15"/>
  <c r="A595" i="15"/>
  <c r="A594" i="15"/>
  <c r="A593" i="15"/>
  <c r="A592" i="15"/>
  <c r="A591" i="15"/>
  <c r="A590" i="15"/>
  <c r="A589" i="15"/>
  <c r="A588" i="15"/>
  <c r="A587" i="15"/>
  <c r="A586" i="15"/>
  <c r="A585" i="15"/>
  <c r="A584" i="15"/>
  <c r="A583" i="15"/>
  <c r="A582" i="15"/>
  <c r="A581" i="15"/>
  <c r="A580" i="15"/>
  <c r="A579" i="15"/>
  <c r="A578" i="15"/>
  <c r="A577" i="15"/>
  <c r="A576" i="15"/>
  <c r="A575" i="15"/>
  <c r="A574" i="15"/>
  <c r="A573" i="15"/>
  <c r="A572" i="15"/>
  <c r="A571" i="15"/>
  <c r="A570" i="15"/>
  <c r="A569" i="15"/>
  <c r="A568" i="15"/>
  <c r="A567" i="15"/>
  <c r="A566" i="15"/>
  <c r="A565" i="15"/>
  <c r="A564" i="15"/>
  <c r="A563" i="15"/>
  <c r="A562" i="15"/>
  <c r="A561" i="15"/>
  <c r="A560" i="15"/>
  <c r="A559" i="15"/>
  <c r="A558" i="15"/>
  <c r="A557" i="15"/>
  <c r="A556" i="15"/>
  <c r="A555" i="15"/>
  <c r="A554" i="15"/>
  <c r="A553" i="15"/>
  <c r="A552" i="15"/>
  <c r="A551" i="15"/>
  <c r="A550" i="15"/>
  <c r="A549" i="15"/>
  <c r="A548" i="15"/>
  <c r="A547" i="15"/>
  <c r="A546" i="15"/>
  <c r="A545" i="15"/>
  <c r="A544" i="15"/>
  <c r="A543" i="15"/>
  <c r="A542" i="15"/>
  <c r="A541" i="15"/>
  <c r="A540" i="15"/>
  <c r="A539" i="15"/>
  <c r="A538" i="15"/>
  <c r="A537" i="15"/>
  <c r="A536" i="15"/>
  <c r="A535" i="15"/>
  <c r="A534" i="15"/>
  <c r="A533" i="15"/>
  <c r="A532" i="15"/>
  <c r="A531" i="15"/>
  <c r="A530" i="15"/>
  <c r="A529" i="15"/>
  <c r="A528" i="15"/>
  <c r="A527" i="15"/>
  <c r="A526" i="15"/>
  <c r="A525" i="15"/>
  <c r="A524" i="15"/>
  <c r="A523" i="15"/>
  <c r="A522" i="15"/>
  <c r="A521" i="15"/>
  <c r="A520" i="15"/>
  <c r="A519" i="15"/>
  <c r="A518" i="15"/>
  <c r="A517" i="15"/>
  <c r="A516" i="15"/>
  <c r="A515" i="15"/>
  <c r="A514" i="15"/>
  <c r="A513" i="15"/>
  <c r="A512" i="15"/>
  <c r="A511" i="15"/>
  <c r="A510" i="15"/>
  <c r="A509" i="15"/>
  <c r="A508" i="15"/>
  <c r="A507" i="15"/>
  <c r="A506" i="15"/>
  <c r="A505" i="15"/>
  <c r="A504" i="15"/>
  <c r="A503" i="15"/>
  <c r="A502" i="15"/>
  <c r="A501" i="15"/>
  <c r="A500" i="15"/>
  <c r="A499" i="15"/>
  <c r="A498" i="15"/>
  <c r="A497" i="15"/>
  <c r="A496" i="15"/>
  <c r="A495" i="15"/>
  <c r="A494" i="15"/>
  <c r="A493" i="15"/>
  <c r="A492" i="15"/>
  <c r="A491" i="15"/>
  <c r="A490" i="15"/>
  <c r="A489" i="15"/>
  <c r="A488" i="15"/>
  <c r="A487" i="15"/>
  <c r="A486" i="15"/>
  <c r="A485" i="15"/>
  <c r="A484" i="15"/>
  <c r="A483" i="15"/>
  <c r="A482" i="15"/>
  <c r="A481" i="15"/>
  <c r="A480" i="15"/>
  <c r="A479" i="15"/>
  <c r="A478" i="15"/>
  <c r="A477" i="15"/>
  <c r="A476" i="15"/>
  <c r="A475" i="15"/>
  <c r="A474" i="15"/>
  <c r="A473" i="15"/>
  <c r="A472" i="15"/>
  <c r="A471" i="15"/>
  <c r="A470" i="15"/>
  <c r="A469" i="15"/>
  <c r="A468" i="15"/>
  <c r="A467" i="15"/>
  <c r="A466" i="15"/>
  <c r="A465" i="15"/>
  <c r="A464" i="15"/>
  <c r="A463" i="15"/>
  <c r="A462" i="15"/>
  <c r="A461" i="15"/>
  <c r="A460" i="15"/>
  <c r="A459" i="15"/>
  <c r="A458" i="15"/>
  <c r="A457" i="15"/>
  <c r="A456" i="15"/>
  <c r="A455" i="15"/>
  <c r="A454" i="15"/>
  <c r="A453" i="15"/>
  <c r="A452" i="15"/>
  <c r="A451" i="15"/>
  <c r="A450" i="15"/>
  <c r="A449" i="15"/>
  <c r="A448" i="15"/>
  <c r="A447" i="15"/>
  <c r="A446" i="15"/>
  <c r="A445" i="15"/>
  <c r="A444" i="15"/>
  <c r="A443" i="15"/>
  <c r="A442" i="15"/>
  <c r="A441" i="15"/>
  <c r="A440" i="15"/>
  <c r="A439" i="15"/>
  <c r="A438" i="15"/>
  <c r="A437" i="15"/>
  <c r="A436" i="15"/>
  <c r="A435" i="15"/>
  <c r="A434" i="15"/>
  <c r="A433" i="15"/>
  <c r="A432" i="15"/>
  <c r="A431" i="15"/>
  <c r="A430" i="15"/>
  <c r="A429" i="15"/>
  <c r="A428" i="15"/>
  <c r="A427" i="15"/>
  <c r="A426" i="15"/>
  <c r="A425" i="15"/>
  <c r="A424" i="15"/>
  <c r="A423" i="15"/>
  <c r="A422" i="15"/>
  <c r="A421" i="15"/>
  <c r="A420" i="15"/>
  <c r="A419" i="15"/>
  <c r="A418" i="15"/>
  <c r="A417" i="15"/>
  <c r="A416" i="15"/>
  <c r="A415" i="15"/>
  <c r="A414" i="15"/>
  <c r="A413" i="15"/>
  <c r="A412" i="15"/>
  <c r="A411" i="15"/>
  <c r="A410" i="15"/>
  <c r="A409" i="15"/>
  <c r="A408" i="15"/>
  <c r="A407" i="15"/>
  <c r="A406" i="15"/>
  <c r="A405" i="15"/>
  <c r="A404" i="15"/>
  <c r="A403" i="15"/>
  <c r="A402" i="15"/>
  <c r="A401" i="15"/>
  <c r="A400" i="15"/>
  <c r="A399" i="15"/>
  <c r="A398" i="15"/>
  <c r="A397" i="15"/>
  <c r="A396" i="15"/>
  <c r="A395" i="15"/>
  <c r="A394" i="15"/>
  <c r="A393" i="15"/>
  <c r="A392" i="15"/>
  <c r="A391" i="15"/>
  <c r="A390" i="15"/>
  <c r="A389" i="15"/>
  <c r="A388" i="15"/>
  <c r="A387" i="15"/>
  <c r="A386" i="15"/>
  <c r="A385" i="15"/>
  <c r="A384" i="15"/>
  <c r="A383" i="15"/>
  <c r="A382" i="15"/>
  <c r="A381" i="15"/>
  <c r="A380" i="15"/>
  <c r="A379" i="15"/>
  <c r="A378" i="15"/>
  <c r="A377" i="15"/>
  <c r="A376" i="15"/>
  <c r="A375" i="15"/>
  <c r="A374" i="15"/>
  <c r="A373" i="15"/>
  <c r="A372" i="15"/>
  <c r="A371" i="15"/>
  <c r="A370" i="15"/>
  <c r="A369" i="15"/>
  <c r="A368" i="15"/>
  <c r="A367" i="15"/>
  <c r="A366" i="15"/>
  <c r="A365" i="15"/>
  <c r="A364" i="15"/>
  <c r="A363" i="15"/>
  <c r="A362" i="15"/>
  <c r="A361" i="15"/>
  <c r="A360" i="15"/>
  <c r="A359" i="15"/>
  <c r="A358" i="15"/>
  <c r="A357" i="15"/>
  <c r="A356" i="15"/>
  <c r="A355" i="15"/>
  <c r="A354" i="15"/>
  <c r="A353" i="15"/>
  <c r="A352" i="15"/>
  <c r="A351" i="15"/>
  <c r="A350" i="15"/>
  <c r="A349" i="15"/>
  <c r="A348" i="15"/>
  <c r="A347" i="15"/>
  <c r="A346" i="15"/>
  <c r="A345" i="15"/>
  <c r="A344" i="15"/>
  <c r="A343" i="15"/>
  <c r="A342" i="15"/>
  <c r="A341" i="15"/>
  <c r="A340" i="15"/>
  <c r="A339" i="15"/>
  <c r="A338" i="15"/>
  <c r="A337" i="15"/>
  <c r="A336" i="15"/>
  <c r="A335" i="15"/>
  <c r="A334" i="15"/>
  <c r="A333" i="15"/>
  <c r="A332" i="15"/>
  <c r="A331" i="15"/>
  <c r="A330" i="15"/>
  <c r="A329" i="15"/>
  <c r="A328" i="15"/>
  <c r="A327" i="15"/>
  <c r="A326" i="15"/>
  <c r="A325" i="15"/>
  <c r="A324" i="15"/>
  <c r="A323" i="15"/>
  <c r="A322" i="15"/>
  <c r="A321" i="15"/>
  <c r="A320" i="15"/>
  <c r="A319" i="15"/>
  <c r="A318" i="15"/>
  <c r="A317" i="15"/>
  <c r="A316" i="15"/>
  <c r="A315" i="15"/>
  <c r="A314" i="15"/>
  <c r="A313" i="15"/>
  <c r="A312" i="15"/>
  <c r="A311" i="15"/>
  <c r="A310" i="15"/>
  <c r="A309" i="15"/>
  <c r="A308" i="15"/>
  <c r="A307" i="15"/>
  <c r="A306" i="15"/>
  <c r="A305" i="15"/>
  <c r="A304" i="15"/>
  <c r="A303" i="15"/>
  <c r="A302" i="15"/>
  <c r="A301" i="15"/>
  <c r="A300" i="15"/>
  <c r="A299" i="15"/>
  <c r="A298" i="15"/>
  <c r="A297" i="15"/>
  <c r="A296" i="15"/>
  <c r="A295" i="15"/>
  <c r="A294" i="15"/>
  <c r="A293" i="15"/>
  <c r="A292" i="15"/>
  <c r="A291" i="15"/>
  <c r="A290" i="15"/>
  <c r="A289" i="15"/>
  <c r="A288" i="15"/>
  <c r="A287" i="15"/>
  <c r="A286" i="15"/>
  <c r="A285" i="15"/>
  <c r="A284" i="15"/>
  <c r="A283" i="15"/>
  <c r="A282" i="15"/>
  <c r="A281" i="15"/>
  <c r="A280" i="15"/>
  <c r="A279" i="15"/>
  <c r="A278" i="15"/>
  <c r="A277" i="15"/>
  <c r="A276" i="15"/>
  <c r="A275" i="15"/>
  <c r="A274" i="15"/>
  <c r="A273" i="15"/>
  <c r="A272" i="15"/>
  <c r="A271" i="15"/>
  <c r="A270" i="15"/>
  <c r="A269" i="15"/>
  <c r="A268" i="15"/>
  <c r="A267" i="15"/>
  <c r="A266" i="15"/>
  <c r="A265" i="15"/>
  <c r="A264" i="15"/>
  <c r="A263" i="15"/>
  <c r="A262" i="15"/>
  <c r="A261" i="15"/>
  <c r="A260" i="15"/>
  <c r="A259" i="15"/>
  <c r="A258" i="15"/>
  <c r="A257" i="15"/>
  <c r="A256" i="15"/>
  <c r="A255" i="15"/>
  <c r="A254" i="15"/>
  <c r="A253" i="15"/>
  <c r="A252" i="15"/>
  <c r="A251" i="15"/>
  <c r="A250" i="15"/>
  <c r="A249" i="15"/>
  <c r="A248" i="15"/>
  <c r="A247" i="15"/>
  <c r="A246" i="15"/>
  <c r="A245" i="15"/>
  <c r="A244" i="15"/>
  <c r="A243" i="15"/>
  <c r="A242" i="15"/>
  <c r="A241" i="15"/>
  <c r="A240" i="15"/>
  <c r="A239" i="15"/>
  <c r="A238" i="15"/>
  <c r="A237" i="15"/>
  <c r="A236" i="15"/>
  <c r="A235" i="15"/>
  <c r="A234" i="15"/>
  <c r="A233" i="15"/>
  <c r="A232" i="15"/>
  <c r="A231" i="15"/>
  <c r="A230" i="15"/>
  <c r="A229" i="15"/>
  <c r="A228" i="15"/>
  <c r="A227" i="15"/>
  <c r="A226" i="15"/>
  <c r="A225" i="15"/>
  <c r="A224" i="15"/>
  <c r="A223" i="15"/>
  <c r="A222" i="15"/>
  <c r="A221" i="15"/>
  <c r="A220" i="15"/>
  <c r="A219" i="15"/>
  <c r="A218" i="15"/>
  <c r="A217" i="15"/>
  <c r="A216" i="15"/>
  <c r="A215" i="15"/>
  <c r="A214" i="15"/>
  <c r="A213" i="15"/>
  <c r="A212" i="15"/>
  <c r="A211" i="15"/>
  <c r="A210" i="15"/>
  <c r="A209" i="15"/>
  <c r="A208" i="15"/>
  <c r="A207" i="15"/>
  <c r="A206" i="15"/>
  <c r="A205" i="15"/>
  <c r="A204" i="15"/>
  <c r="A203" i="15"/>
  <c r="A202" i="15"/>
  <c r="A201" i="15"/>
  <c r="A200" i="15"/>
  <c r="A199" i="15"/>
  <c r="A198" i="15"/>
  <c r="A197" i="15"/>
  <c r="A196" i="15"/>
  <c r="A195" i="15"/>
  <c r="A194" i="15"/>
  <c r="A193" i="15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79" i="15"/>
  <c r="A178" i="15"/>
  <c r="A177" i="15"/>
  <c r="A176" i="15"/>
  <c r="A175" i="15"/>
  <c r="A174" i="15"/>
  <c r="A173" i="15"/>
  <c r="A172" i="15"/>
  <c r="A171" i="15"/>
  <c r="A170" i="15"/>
  <c r="A169" i="15"/>
  <c r="A168" i="15"/>
  <c r="A167" i="15"/>
  <c r="A166" i="15"/>
  <c r="A165" i="15"/>
  <c r="A164" i="15"/>
  <c r="A163" i="15"/>
  <c r="A162" i="15"/>
  <c r="A161" i="15"/>
  <c r="A160" i="15"/>
  <c r="A159" i="15"/>
  <c r="A158" i="15"/>
  <c r="A157" i="15"/>
  <c r="A156" i="15"/>
  <c r="A155" i="15"/>
  <c r="A154" i="15"/>
  <c r="A153" i="15"/>
  <c r="A152" i="15"/>
  <c r="A151" i="15"/>
  <c r="A150" i="15"/>
  <c r="A149" i="15"/>
  <c r="A148" i="15"/>
  <c r="A147" i="15"/>
  <c r="A146" i="15"/>
  <c r="A145" i="15"/>
  <c r="A144" i="15"/>
  <c r="A143" i="15"/>
  <c r="A142" i="15"/>
  <c r="A141" i="15"/>
  <c r="A140" i="15"/>
  <c r="A139" i="15"/>
  <c r="A138" i="15"/>
  <c r="A137" i="15"/>
  <c r="A136" i="15"/>
  <c r="A135" i="15"/>
  <c r="A134" i="15"/>
  <c r="A133" i="15"/>
  <c r="A132" i="15"/>
  <c r="A131" i="15"/>
  <c r="A130" i="15"/>
  <c r="A129" i="15"/>
  <c r="A128" i="15"/>
  <c r="A127" i="15"/>
  <c r="A126" i="15"/>
  <c r="A125" i="15"/>
  <c r="A124" i="15"/>
  <c r="A123" i="15"/>
  <c r="A122" i="15"/>
  <c r="A121" i="15"/>
  <c r="A120" i="15"/>
  <c r="A119" i="15"/>
  <c r="A118" i="15"/>
  <c r="A117" i="15"/>
  <c r="A116" i="15"/>
  <c r="A115" i="15"/>
  <c r="A114" i="15"/>
  <c r="A113" i="15"/>
  <c r="A112" i="15"/>
  <c r="A111" i="15"/>
  <c r="A110" i="15"/>
  <c r="A109" i="15"/>
  <c r="A108" i="15"/>
  <c r="A107" i="15"/>
  <c r="A106" i="15"/>
  <c r="A105" i="15"/>
  <c r="A104" i="15"/>
  <c r="A103" i="15"/>
  <c r="A102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D1523" i="15"/>
  <c r="AC1523" i="15"/>
  <c r="AB1523" i="15"/>
  <c r="AD1522" i="15"/>
  <c r="AC1522" i="15"/>
  <c r="AB1522" i="15"/>
  <c r="AD1521" i="15"/>
  <c r="AC1521" i="15"/>
  <c r="AB1521" i="15"/>
  <c r="AD1520" i="15"/>
  <c r="AC1520" i="15"/>
  <c r="AB1520" i="15"/>
  <c r="AD1519" i="15"/>
  <c r="AC1519" i="15"/>
  <c r="AB1519" i="15"/>
  <c r="AD1518" i="15"/>
  <c r="AC1518" i="15"/>
  <c r="AB1518" i="15"/>
  <c r="AD1517" i="15"/>
  <c r="AC1517" i="15"/>
  <c r="AB1517" i="15"/>
  <c r="AD1516" i="15"/>
  <c r="AC1516" i="15"/>
  <c r="AB1516" i="15"/>
  <c r="AD1515" i="15"/>
  <c r="AC1515" i="15"/>
  <c r="AB1515" i="15"/>
  <c r="AD1514" i="15"/>
  <c r="AC1514" i="15"/>
  <c r="AB1514" i="15"/>
  <c r="AD1513" i="15"/>
  <c r="AC1513" i="15"/>
  <c r="AB1513" i="15"/>
  <c r="AD1512" i="15"/>
  <c r="AC1512" i="15"/>
  <c r="AB1512" i="15"/>
  <c r="AD1511" i="15"/>
  <c r="AC1511" i="15"/>
  <c r="AB1511" i="15"/>
  <c r="AD1510" i="15"/>
  <c r="AC1510" i="15"/>
  <c r="AB1510" i="15"/>
  <c r="AD1509" i="15"/>
  <c r="AC1509" i="15"/>
  <c r="AB1509" i="15"/>
  <c r="AD1508" i="15"/>
  <c r="AC1508" i="15"/>
  <c r="AB1508" i="15"/>
  <c r="AD1507" i="15"/>
  <c r="AC1507" i="15"/>
  <c r="AB1507" i="15"/>
  <c r="AD1506" i="15"/>
  <c r="AC1506" i="15"/>
  <c r="AB1506" i="15"/>
  <c r="AD1504" i="15"/>
  <c r="AC1504" i="15"/>
  <c r="AB1504" i="15"/>
  <c r="AD1503" i="15"/>
  <c r="AC1503" i="15"/>
  <c r="AB1503" i="15"/>
  <c r="AD1502" i="15"/>
  <c r="AC1502" i="15"/>
  <c r="AB1502" i="15"/>
  <c r="AD1501" i="15"/>
  <c r="AC1501" i="15"/>
  <c r="AB1501" i="15"/>
  <c r="AD1500" i="15"/>
  <c r="AC1500" i="15"/>
  <c r="AB1500" i="15"/>
  <c r="AD1499" i="15"/>
  <c r="AC1499" i="15"/>
  <c r="AB1499" i="15"/>
  <c r="AD1498" i="15"/>
  <c r="AC1498" i="15"/>
  <c r="AB1498" i="15"/>
  <c r="AD1497" i="15"/>
  <c r="AC1497" i="15"/>
  <c r="AB1497" i="15"/>
  <c r="AD1496" i="15"/>
  <c r="AC1496" i="15"/>
  <c r="AB1496" i="15"/>
  <c r="AD1495" i="15"/>
  <c r="AC1495" i="15"/>
  <c r="AB1495" i="15"/>
  <c r="AD1494" i="15"/>
  <c r="AC1494" i="15"/>
  <c r="AB1494" i="15"/>
  <c r="AD1493" i="15"/>
  <c r="AC1493" i="15"/>
  <c r="AB1493" i="15"/>
  <c r="AD1492" i="15"/>
  <c r="AC1492" i="15"/>
  <c r="AB1492" i="15"/>
  <c r="AD1491" i="15"/>
  <c r="AC1491" i="15"/>
  <c r="AB1491" i="15"/>
  <c r="AD1490" i="15"/>
  <c r="AC1490" i="15"/>
  <c r="AB1490" i="15"/>
  <c r="AD1489" i="15"/>
  <c r="AC1489" i="15"/>
  <c r="AB1489" i="15"/>
  <c r="AD1488" i="15"/>
  <c r="AC1488" i="15"/>
  <c r="AB1488" i="15"/>
  <c r="AD1487" i="15"/>
  <c r="AC1487" i="15"/>
  <c r="AB1487" i="15"/>
  <c r="AD1485" i="15"/>
  <c r="AC1485" i="15"/>
  <c r="AB1485" i="15"/>
  <c r="AD1484" i="15"/>
  <c r="AC1484" i="15"/>
  <c r="AB1484" i="15"/>
  <c r="AD1483" i="15"/>
  <c r="AC1483" i="15"/>
  <c r="AB1483" i="15"/>
  <c r="AD1482" i="15"/>
  <c r="AC1482" i="15"/>
  <c r="AB1482" i="15"/>
  <c r="AD1481" i="15"/>
  <c r="AC1481" i="15"/>
  <c r="AB1481" i="15"/>
  <c r="AD1480" i="15"/>
  <c r="AC1480" i="15"/>
  <c r="AB1480" i="15"/>
  <c r="AD1479" i="15"/>
  <c r="AC1479" i="15"/>
  <c r="AB1479" i="15"/>
  <c r="AD1478" i="15"/>
  <c r="AC1478" i="15"/>
  <c r="AB1478" i="15"/>
  <c r="AD1477" i="15"/>
  <c r="AC1477" i="15"/>
  <c r="AB1477" i="15"/>
  <c r="AD1476" i="15"/>
  <c r="AC1476" i="15"/>
  <c r="AB1476" i="15"/>
  <c r="AD1475" i="15"/>
  <c r="AC1475" i="15"/>
  <c r="AB1475" i="15"/>
  <c r="AD1474" i="15"/>
  <c r="AC1474" i="15"/>
  <c r="AB1474" i="15"/>
  <c r="AD1473" i="15"/>
  <c r="AC1473" i="15"/>
  <c r="AB1473" i="15"/>
  <c r="AD1472" i="15"/>
  <c r="AC1472" i="15"/>
  <c r="AB1472" i="15"/>
  <c r="AD1471" i="15"/>
  <c r="AC1471" i="15"/>
  <c r="AB1471" i="15"/>
  <c r="AD1470" i="15"/>
  <c r="AC1470" i="15"/>
  <c r="AB1470" i="15"/>
  <c r="AD1469" i="15"/>
  <c r="AC1469" i="15"/>
  <c r="AB1469" i="15"/>
  <c r="AD1468" i="15"/>
  <c r="AC1468" i="15"/>
  <c r="AB1468" i="15"/>
  <c r="AD1466" i="15"/>
  <c r="AC1466" i="15"/>
  <c r="AB1466" i="15"/>
  <c r="AD1465" i="15"/>
  <c r="AC1465" i="15"/>
  <c r="AB1465" i="15"/>
  <c r="AD1464" i="15"/>
  <c r="AC1464" i="15"/>
  <c r="AB1464" i="15"/>
  <c r="AD1463" i="15"/>
  <c r="AC1463" i="15"/>
  <c r="AB1463" i="15"/>
  <c r="AD1462" i="15"/>
  <c r="AC1462" i="15"/>
  <c r="AB1462" i="15"/>
  <c r="AD1461" i="15"/>
  <c r="AC1461" i="15"/>
  <c r="AB1461" i="15"/>
  <c r="AD1460" i="15"/>
  <c r="AC1460" i="15"/>
  <c r="AB1460" i="15"/>
  <c r="AD1459" i="15"/>
  <c r="AC1459" i="15"/>
  <c r="AB1459" i="15"/>
  <c r="AD1458" i="15"/>
  <c r="AC1458" i="15"/>
  <c r="AB1458" i="15"/>
  <c r="AD1457" i="15"/>
  <c r="AC1457" i="15"/>
  <c r="AB1457" i="15"/>
  <c r="AD1456" i="15"/>
  <c r="AC1456" i="15"/>
  <c r="AB1456" i="15"/>
  <c r="AD1455" i="15"/>
  <c r="AC1455" i="15"/>
  <c r="AB1455" i="15"/>
  <c r="AD1454" i="15"/>
  <c r="AC1454" i="15"/>
  <c r="AB1454" i="15"/>
  <c r="AD1453" i="15"/>
  <c r="AC1453" i="15"/>
  <c r="AB1453" i="15"/>
  <c r="AD1452" i="15"/>
  <c r="AC1452" i="15"/>
  <c r="AB1452" i="15"/>
  <c r="AD1451" i="15"/>
  <c r="AC1451" i="15"/>
  <c r="AB1451" i="15"/>
  <c r="AD1450" i="15"/>
  <c r="AC1450" i="15"/>
  <c r="AB1450" i="15"/>
  <c r="AD1449" i="15"/>
  <c r="AC1449" i="15"/>
  <c r="AB1449" i="15"/>
  <c r="AD1447" i="15"/>
  <c r="AC1447" i="15"/>
  <c r="AB1447" i="15"/>
  <c r="AD1446" i="15"/>
  <c r="AC1446" i="15"/>
  <c r="AB1446" i="15"/>
  <c r="AD1445" i="15"/>
  <c r="AC1445" i="15"/>
  <c r="AB1445" i="15"/>
  <c r="AD1444" i="15"/>
  <c r="AC1444" i="15"/>
  <c r="AB1444" i="15"/>
  <c r="AD1443" i="15"/>
  <c r="AC1443" i="15"/>
  <c r="AB1443" i="15"/>
  <c r="AD1442" i="15"/>
  <c r="AC1442" i="15"/>
  <c r="AB1442" i="15"/>
  <c r="AD1441" i="15"/>
  <c r="AC1441" i="15"/>
  <c r="AB1441" i="15"/>
  <c r="AD1440" i="15"/>
  <c r="AC1440" i="15"/>
  <c r="AB1440" i="15"/>
  <c r="AD1439" i="15"/>
  <c r="AC1439" i="15"/>
  <c r="AB1439" i="15"/>
  <c r="AD1438" i="15"/>
  <c r="AC1438" i="15"/>
  <c r="AB1438" i="15"/>
  <c r="AD1437" i="15"/>
  <c r="AC1437" i="15"/>
  <c r="AB1437" i="15"/>
  <c r="AD1436" i="15"/>
  <c r="AC1436" i="15"/>
  <c r="AB1436" i="15"/>
  <c r="AD1435" i="15"/>
  <c r="AC1435" i="15"/>
  <c r="AB1435" i="15"/>
  <c r="AD1434" i="15"/>
  <c r="AC1434" i="15"/>
  <c r="AB1434" i="15"/>
  <c r="AD1433" i="15"/>
  <c r="AC1433" i="15"/>
  <c r="AB1433" i="15"/>
  <c r="AD1432" i="15"/>
  <c r="AC1432" i="15"/>
  <c r="AB1432" i="15"/>
  <c r="AD1431" i="15"/>
  <c r="AC1431" i="15"/>
  <c r="AB1431" i="15"/>
  <c r="AD1430" i="15"/>
  <c r="AC1430" i="15"/>
  <c r="AB1430" i="15"/>
  <c r="AD1428" i="15"/>
  <c r="AC1428" i="15"/>
  <c r="AB1428" i="15"/>
  <c r="AD1427" i="15"/>
  <c r="AC1427" i="15"/>
  <c r="AB1427" i="15"/>
  <c r="AD1426" i="15"/>
  <c r="AC1426" i="15"/>
  <c r="AB1426" i="15"/>
  <c r="AD1425" i="15"/>
  <c r="AC1425" i="15"/>
  <c r="AB1425" i="15"/>
  <c r="AD1424" i="15"/>
  <c r="AC1424" i="15"/>
  <c r="AB1424" i="15"/>
  <c r="AD1423" i="15"/>
  <c r="AC1423" i="15"/>
  <c r="AB1423" i="15"/>
  <c r="AD1422" i="15"/>
  <c r="AC1422" i="15"/>
  <c r="AB1422" i="15"/>
  <c r="AD1421" i="15"/>
  <c r="AC1421" i="15"/>
  <c r="AB1421" i="15"/>
  <c r="AD1420" i="15"/>
  <c r="AC1420" i="15"/>
  <c r="AB1420" i="15"/>
  <c r="AD1419" i="15"/>
  <c r="AC1419" i="15"/>
  <c r="AB1419" i="15"/>
  <c r="AD1418" i="15"/>
  <c r="AC1418" i="15"/>
  <c r="AB1418" i="15"/>
  <c r="AD1417" i="15"/>
  <c r="AC1417" i="15"/>
  <c r="AB1417" i="15"/>
  <c r="AD1416" i="15"/>
  <c r="AC1416" i="15"/>
  <c r="AB1416" i="15"/>
  <c r="AD1415" i="15"/>
  <c r="AC1415" i="15"/>
  <c r="AB1415" i="15"/>
  <c r="AD1414" i="15"/>
  <c r="AC1414" i="15"/>
  <c r="AB1414" i="15"/>
  <c r="AD1413" i="15"/>
  <c r="AC1413" i="15"/>
  <c r="AB1413" i="15"/>
  <c r="AD1412" i="15"/>
  <c r="AC1412" i="15"/>
  <c r="AB1412" i="15"/>
  <c r="AD1411" i="15"/>
  <c r="AC1411" i="15"/>
  <c r="AB1411" i="15"/>
  <c r="AD1409" i="15"/>
  <c r="AC1409" i="15"/>
  <c r="AB1409" i="15"/>
  <c r="AD1408" i="15"/>
  <c r="AC1408" i="15"/>
  <c r="AB1408" i="15"/>
  <c r="AD1407" i="15"/>
  <c r="AC1407" i="15"/>
  <c r="AB1407" i="15"/>
  <c r="AD1406" i="15"/>
  <c r="AC1406" i="15"/>
  <c r="AB1406" i="15"/>
  <c r="AD1405" i="15"/>
  <c r="AC1405" i="15"/>
  <c r="AB1405" i="15"/>
  <c r="AD1404" i="15"/>
  <c r="AC1404" i="15"/>
  <c r="AB1404" i="15"/>
  <c r="AD1403" i="15"/>
  <c r="AC1403" i="15"/>
  <c r="AB1403" i="15"/>
  <c r="AD1402" i="15"/>
  <c r="AC1402" i="15"/>
  <c r="AB1402" i="15"/>
  <c r="AD1401" i="15"/>
  <c r="AC1401" i="15"/>
  <c r="AB1401" i="15"/>
  <c r="AD1400" i="15"/>
  <c r="AC1400" i="15"/>
  <c r="AB1400" i="15"/>
  <c r="AD1399" i="15"/>
  <c r="AC1399" i="15"/>
  <c r="AB1399" i="15"/>
  <c r="AD1398" i="15"/>
  <c r="AC1398" i="15"/>
  <c r="AB1398" i="15"/>
  <c r="AD1397" i="15"/>
  <c r="AC1397" i="15"/>
  <c r="AB1397" i="15"/>
  <c r="AD1396" i="15"/>
  <c r="AC1396" i="15"/>
  <c r="AB1396" i="15"/>
  <c r="AD1395" i="15"/>
  <c r="AC1395" i="15"/>
  <c r="AB1395" i="15"/>
  <c r="AD1394" i="15"/>
  <c r="AC1394" i="15"/>
  <c r="AB1394" i="15"/>
  <c r="AD1393" i="15"/>
  <c r="AC1393" i="15"/>
  <c r="AB1393" i="15"/>
  <c r="AD1392" i="15"/>
  <c r="AC1392" i="15"/>
  <c r="AB1392" i="15"/>
  <c r="AD1390" i="15"/>
  <c r="AC1390" i="15"/>
  <c r="AB1390" i="15"/>
  <c r="AD1389" i="15"/>
  <c r="AC1389" i="15"/>
  <c r="AB1389" i="15"/>
  <c r="AD1388" i="15"/>
  <c r="AC1388" i="15"/>
  <c r="AB1388" i="15"/>
  <c r="AD1387" i="15"/>
  <c r="AC1387" i="15"/>
  <c r="AB1387" i="15"/>
  <c r="AD1386" i="15"/>
  <c r="AC1386" i="15"/>
  <c r="AB1386" i="15"/>
  <c r="AD1385" i="15"/>
  <c r="AC1385" i="15"/>
  <c r="AB1385" i="15"/>
  <c r="AD1384" i="15"/>
  <c r="AC1384" i="15"/>
  <c r="AB1384" i="15"/>
  <c r="AD1383" i="15"/>
  <c r="AC1383" i="15"/>
  <c r="AB1383" i="15"/>
  <c r="AD1382" i="15"/>
  <c r="AC1382" i="15"/>
  <c r="AB1382" i="15"/>
  <c r="AD1381" i="15"/>
  <c r="AC1381" i="15"/>
  <c r="AB1381" i="15"/>
  <c r="AD1380" i="15"/>
  <c r="AC1380" i="15"/>
  <c r="AB1380" i="15"/>
  <c r="AD1379" i="15"/>
  <c r="AC1379" i="15"/>
  <c r="AB1379" i="15"/>
  <c r="AD1378" i="15"/>
  <c r="AC1378" i="15"/>
  <c r="AB1378" i="15"/>
  <c r="AD1377" i="15"/>
  <c r="AC1377" i="15"/>
  <c r="AB1377" i="15"/>
  <c r="AD1376" i="15"/>
  <c r="AC1376" i="15"/>
  <c r="AB1376" i="15"/>
  <c r="AD1375" i="15"/>
  <c r="AC1375" i="15"/>
  <c r="AB1375" i="15"/>
  <c r="AD1374" i="15"/>
  <c r="AC1374" i="15"/>
  <c r="AB1374" i="15"/>
  <c r="AD1373" i="15"/>
  <c r="AC1373" i="15"/>
  <c r="AB1373" i="15"/>
  <c r="AD1371" i="15"/>
  <c r="AC1371" i="15"/>
  <c r="AB1371" i="15"/>
  <c r="AD1370" i="15"/>
  <c r="AC1370" i="15"/>
  <c r="AB1370" i="15"/>
  <c r="AD1369" i="15"/>
  <c r="AC1369" i="15"/>
  <c r="AB1369" i="15"/>
  <c r="AD1368" i="15"/>
  <c r="AC1368" i="15"/>
  <c r="AB1368" i="15"/>
  <c r="AD1367" i="15"/>
  <c r="AC1367" i="15"/>
  <c r="AB1367" i="15"/>
  <c r="AD1366" i="15"/>
  <c r="AC1366" i="15"/>
  <c r="AB1366" i="15"/>
  <c r="AD1365" i="15"/>
  <c r="AC1365" i="15"/>
  <c r="AB1365" i="15"/>
  <c r="AD1364" i="15"/>
  <c r="AC1364" i="15"/>
  <c r="AB1364" i="15"/>
  <c r="AD1363" i="15"/>
  <c r="AC1363" i="15"/>
  <c r="AB1363" i="15"/>
  <c r="AD1362" i="15"/>
  <c r="AC1362" i="15"/>
  <c r="AB1362" i="15"/>
  <c r="AD1361" i="15"/>
  <c r="AC1361" i="15"/>
  <c r="AB1361" i="15"/>
  <c r="AD1360" i="15"/>
  <c r="AC1360" i="15"/>
  <c r="AB1360" i="15"/>
  <c r="AD1359" i="15"/>
  <c r="AC1359" i="15"/>
  <c r="AB1359" i="15"/>
  <c r="AD1358" i="15"/>
  <c r="AC1358" i="15"/>
  <c r="AB1358" i="15"/>
  <c r="AD1357" i="15"/>
  <c r="AC1357" i="15"/>
  <c r="AB1357" i="15"/>
  <c r="AD1356" i="15"/>
  <c r="AC1356" i="15"/>
  <c r="AB1356" i="15"/>
  <c r="AD1355" i="15"/>
  <c r="AC1355" i="15"/>
  <c r="AB1355" i="15"/>
  <c r="AD1354" i="15"/>
  <c r="AC1354" i="15"/>
  <c r="AB1354" i="15"/>
  <c r="AD1352" i="15"/>
  <c r="AC1352" i="15"/>
  <c r="AB1352" i="15"/>
  <c r="AD1351" i="15"/>
  <c r="AC1351" i="15"/>
  <c r="AB1351" i="15"/>
  <c r="AD1350" i="15"/>
  <c r="AC1350" i="15"/>
  <c r="AB1350" i="15"/>
  <c r="AD1349" i="15"/>
  <c r="AC1349" i="15"/>
  <c r="AB1349" i="15"/>
  <c r="AD1348" i="15"/>
  <c r="AC1348" i="15"/>
  <c r="AB1348" i="15"/>
  <c r="AD1347" i="15"/>
  <c r="AC1347" i="15"/>
  <c r="AB1347" i="15"/>
  <c r="AD1346" i="15"/>
  <c r="AC1346" i="15"/>
  <c r="AB1346" i="15"/>
  <c r="AD1345" i="15"/>
  <c r="AC1345" i="15"/>
  <c r="AB1345" i="15"/>
  <c r="AD1344" i="15"/>
  <c r="AC1344" i="15"/>
  <c r="AB1344" i="15"/>
  <c r="AD1343" i="15"/>
  <c r="AC1343" i="15"/>
  <c r="AB1343" i="15"/>
  <c r="AD1342" i="15"/>
  <c r="AC1342" i="15"/>
  <c r="AB1342" i="15"/>
  <c r="AD1341" i="15"/>
  <c r="AC1341" i="15"/>
  <c r="AB1341" i="15"/>
  <c r="AD1340" i="15"/>
  <c r="AC1340" i="15"/>
  <c r="AB1340" i="15"/>
  <c r="AD1339" i="15"/>
  <c r="AC1339" i="15"/>
  <c r="AB1339" i="15"/>
  <c r="AD1338" i="15"/>
  <c r="AC1338" i="15"/>
  <c r="AB1338" i="15"/>
  <c r="AD1337" i="15"/>
  <c r="AC1337" i="15"/>
  <c r="AB1337" i="15"/>
  <c r="AD1336" i="15"/>
  <c r="AC1336" i="15"/>
  <c r="AB1336" i="15"/>
  <c r="AD1335" i="15"/>
  <c r="AC1335" i="15"/>
  <c r="AB1335" i="15"/>
  <c r="AD1333" i="15"/>
  <c r="AC1333" i="15"/>
  <c r="AB1333" i="15"/>
  <c r="AD1332" i="15"/>
  <c r="AC1332" i="15"/>
  <c r="AB1332" i="15"/>
  <c r="AD1331" i="15"/>
  <c r="AC1331" i="15"/>
  <c r="AB1331" i="15"/>
  <c r="AD1330" i="15"/>
  <c r="AC1330" i="15"/>
  <c r="AB1330" i="15"/>
  <c r="AD1329" i="15"/>
  <c r="AC1329" i="15"/>
  <c r="AB1329" i="15"/>
  <c r="AD1328" i="15"/>
  <c r="AC1328" i="15"/>
  <c r="AB1328" i="15"/>
  <c r="AD1327" i="15"/>
  <c r="AC1327" i="15"/>
  <c r="AB1327" i="15"/>
  <c r="AD1326" i="15"/>
  <c r="AC1326" i="15"/>
  <c r="AB1326" i="15"/>
  <c r="AD1325" i="15"/>
  <c r="AC1325" i="15"/>
  <c r="AB1325" i="15"/>
  <c r="AD1324" i="15"/>
  <c r="AC1324" i="15"/>
  <c r="AB1324" i="15"/>
  <c r="AD1323" i="15"/>
  <c r="AC1323" i="15"/>
  <c r="AB1323" i="15"/>
  <c r="AD1322" i="15"/>
  <c r="AC1322" i="15"/>
  <c r="AB1322" i="15"/>
  <c r="AD1321" i="15"/>
  <c r="AC1321" i="15"/>
  <c r="AB1321" i="15"/>
  <c r="AD1320" i="15"/>
  <c r="AC1320" i="15"/>
  <c r="AB1320" i="15"/>
  <c r="AD1319" i="15"/>
  <c r="AC1319" i="15"/>
  <c r="AB1319" i="15"/>
  <c r="AD1318" i="15"/>
  <c r="AC1318" i="15"/>
  <c r="AB1318" i="15"/>
  <c r="AD1317" i="15"/>
  <c r="AC1317" i="15"/>
  <c r="AB1317" i="15"/>
  <c r="AD1316" i="15"/>
  <c r="AC1316" i="15"/>
  <c r="AB1316" i="15"/>
  <c r="AD1314" i="15"/>
  <c r="AC1314" i="15"/>
  <c r="AB1314" i="15"/>
  <c r="AD1313" i="15"/>
  <c r="AC1313" i="15"/>
  <c r="AB1313" i="15"/>
  <c r="AD1312" i="15"/>
  <c r="AC1312" i="15"/>
  <c r="AB1312" i="15"/>
  <c r="AD1311" i="15"/>
  <c r="AC1311" i="15"/>
  <c r="AB1311" i="15"/>
  <c r="AD1310" i="15"/>
  <c r="AC1310" i="15"/>
  <c r="AB1310" i="15"/>
  <c r="AD1309" i="15"/>
  <c r="AC1309" i="15"/>
  <c r="AB1309" i="15"/>
  <c r="AD1308" i="15"/>
  <c r="AC1308" i="15"/>
  <c r="AB1308" i="15"/>
  <c r="AD1307" i="15"/>
  <c r="AC1307" i="15"/>
  <c r="AB1307" i="15"/>
  <c r="AD1306" i="15"/>
  <c r="AC1306" i="15"/>
  <c r="AB1306" i="15"/>
  <c r="AD1305" i="15"/>
  <c r="AC1305" i="15"/>
  <c r="AB1305" i="15"/>
  <c r="AD1304" i="15"/>
  <c r="AC1304" i="15"/>
  <c r="AB1304" i="15"/>
  <c r="AD1303" i="15"/>
  <c r="AC1303" i="15"/>
  <c r="AB1303" i="15"/>
  <c r="AD1302" i="15"/>
  <c r="AC1302" i="15"/>
  <c r="AB1302" i="15"/>
  <c r="AD1301" i="15"/>
  <c r="AC1301" i="15"/>
  <c r="AB1301" i="15"/>
  <c r="AD1300" i="15"/>
  <c r="AC1300" i="15"/>
  <c r="AB1300" i="15"/>
  <c r="AD1299" i="15"/>
  <c r="AC1299" i="15"/>
  <c r="AB1299" i="15"/>
  <c r="AD1298" i="15"/>
  <c r="AC1298" i="15"/>
  <c r="AB1298" i="15"/>
  <c r="AD1297" i="15"/>
  <c r="AC1297" i="15"/>
  <c r="AB1297" i="15"/>
  <c r="AD1295" i="15"/>
  <c r="AC1295" i="15"/>
  <c r="AB1295" i="15"/>
  <c r="AD1294" i="15"/>
  <c r="AC1294" i="15"/>
  <c r="AB1294" i="15"/>
  <c r="AD1293" i="15"/>
  <c r="AC1293" i="15"/>
  <c r="AB1293" i="15"/>
  <c r="AD1292" i="15"/>
  <c r="AC1292" i="15"/>
  <c r="AB1292" i="15"/>
  <c r="AD1291" i="15"/>
  <c r="AC1291" i="15"/>
  <c r="AB1291" i="15"/>
  <c r="AD1290" i="15"/>
  <c r="AC1290" i="15"/>
  <c r="AB1290" i="15"/>
  <c r="AD1289" i="15"/>
  <c r="AC1289" i="15"/>
  <c r="AB1289" i="15"/>
  <c r="AD1288" i="15"/>
  <c r="AC1288" i="15"/>
  <c r="AB1288" i="15"/>
  <c r="AD1287" i="15"/>
  <c r="AC1287" i="15"/>
  <c r="AB1287" i="15"/>
  <c r="AD1286" i="15"/>
  <c r="AC1286" i="15"/>
  <c r="AB1286" i="15"/>
  <c r="AD1285" i="15"/>
  <c r="AC1285" i="15"/>
  <c r="AB1285" i="15"/>
  <c r="AD1284" i="15"/>
  <c r="AC1284" i="15"/>
  <c r="AB1284" i="15"/>
  <c r="AD1283" i="15"/>
  <c r="AC1283" i="15"/>
  <c r="AB1283" i="15"/>
  <c r="AD1282" i="15"/>
  <c r="AC1282" i="15"/>
  <c r="AB1282" i="15"/>
  <c r="AD1281" i="15"/>
  <c r="AC1281" i="15"/>
  <c r="AB1281" i="15"/>
  <c r="AD1280" i="15"/>
  <c r="AC1280" i="15"/>
  <c r="AB1280" i="15"/>
  <c r="AD1279" i="15"/>
  <c r="AC1279" i="15"/>
  <c r="AB1279" i="15"/>
  <c r="AD1278" i="15"/>
  <c r="AC1278" i="15"/>
  <c r="AB1278" i="15"/>
  <c r="AD1276" i="15"/>
  <c r="AC1276" i="15"/>
  <c r="AB1276" i="15"/>
  <c r="AD1275" i="15"/>
  <c r="AC1275" i="15"/>
  <c r="AB1275" i="15"/>
  <c r="AD1274" i="15"/>
  <c r="AC1274" i="15"/>
  <c r="AB1274" i="15"/>
  <c r="AD1273" i="15"/>
  <c r="AC1273" i="15"/>
  <c r="AB1273" i="15"/>
  <c r="AD1272" i="15"/>
  <c r="AC1272" i="15"/>
  <c r="AB1272" i="15"/>
  <c r="AD1271" i="15"/>
  <c r="AC1271" i="15"/>
  <c r="AB1271" i="15"/>
  <c r="AD1270" i="15"/>
  <c r="AC1270" i="15"/>
  <c r="AB1270" i="15"/>
  <c r="AD1269" i="15"/>
  <c r="AC1269" i="15"/>
  <c r="AB1269" i="15"/>
  <c r="AD1268" i="15"/>
  <c r="AC1268" i="15"/>
  <c r="AB1268" i="15"/>
  <c r="AD1267" i="15"/>
  <c r="AC1267" i="15"/>
  <c r="AB1267" i="15"/>
  <c r="AD1266" i="15"/>
  <c r="AC1266" i="15"/>
  <c r="AB1266" i="15"/>
  <c r="AD1265" i="15"/>
  <c r="AC1265" i="15"/>
  <c r="AB1265" i="15"/>
  <c r="AD1264" i="15"/>
  <c r="AC1264" i="15"/>
  <c r="AB1264" i="15"/>
  <c r="AD1263" i="15"/>
  <c r="AC1263" i="15"/>
  <c r="AB1263" i="15"/>
  <c r="AD1262" i="15"/>
  <c r="AC1262" i="15"/>
  <c r="AB1262" i="15"/>
  <c r="AD1261" i="15"/>
  <c r="AC1261" i="15"/>
  <c r="AB1261" i="15"/>
  <c r="AD1260" i="15"/>
  <c r="AC1260" i="15"/>
  <c r="AB1260" i="15"/>
  <c r="AD1259" i="15"/>
  <c r="AC1259" i="15"/>
  <c r="AB1259" i="15"/>
  <c r="AD1257" i="15"/>
  <c r="AC1257" i="15"/>
  <c r="AB1257" i="15"/>
  <c r="AD1256" i="15"/>
  <c r="AC1256" i="15"/>
  <c r="AB1256" i="15"/>
  <c r="AD1255" i="15"/>
  <c r="AC1255" i="15"/>
  <c r="AB1255" i="15"/>
  <c r="AD1254" i="15"/>
  <c r="AC1254" i="15"/>
  <c r="AB1254" i="15"/>
  <c r="AD1253" i="15"/>
  <c r="AC1253" i="15"/>
  <c r="AB1253" i="15"/>
  <c r="AD1252" i="15"/>
  <c r="AC1252" i="15"/>
  <c r="AB1252" i="15"/>
  <c r="AD1251" i="15"/>
  <c r="AC1251" i="15"/>
  <c r="AB1251" i="15"/>
  <c r="AD1250" i="15"/>
  <c r="AC1250" i="15"/>
  <c r="AB1250" i="15"/>
  <c r="AD1249" i="15"/>
  <c r="AC1249" i="15"/>
  <c r="AB1249" i="15"/>
  <c r="AD1248" i="15"/>
  <c r="AC1248" i="15"/>
  <c r="AB1248" i="15"/>
  <c r="AD1247" i="15"/>
  <c r="AC1247" i="15"/>
  <c r="AB1247" i="15"/>
  <c r="AD1246" i="15"/>
  <c r="AC1246" i="15"/>
  <c r="AB1246" i="15"/>
  <c r="AD1245" i="15"/>
  <c r="AC1245" i="15"/>
  <c r="AB1245" i="15"/>
  <c r="AD1244" i="15"/>
  <c r="AC1244" i="15"/>
  <c r="AB1244" i="15"/>
  <c r="AD1243" i="15"/>
  <c r="AC1243" i="15"/>
  <c r="AB1243" i="15"/>
  <c r="AD1242" i="15"/>
  <c r="AC1242" i="15"/>
  <c r="AB1242" i="15"/>
  <c r="AD1241" i="15"/>
  <c r="AC1241" i="15"/>
  <c r="AB1241" i="15"/>
  <c r="AD1240" i="15"/>
  <c r="AC1240" i="15"/>
  <c r="AB1240" i="15"/>
  <c r="AD1238" i="15"/>
  <c r="AC1238" i="15"/>
  <c r="AB1238" i="15"/>
  <c r="AD1237" i="15"/>
  <c r="AC1237" i="15"/>
  <c r="AB1237" i="15"/>
  <c r="AD1236" i="15"/>
  <c r="AC1236" i="15"/>
  <c r="AB1236" i="15"/>
  <c r="AD1235" i="15"/>
  <c r="AC1235" i="15"/>
  <c r="AB1235" i="15"/>
  <c r="AD1234" i="15"/>
  <c r="AC1234" i="15"/>
  <c r="AB1234" i="15"/>
  <c r="AD1233" i="15"/>
  <c r="AC1233" i="15"/>
  <c r="AB1233" i="15"/>
  <c r="AD1232" i="15"/>
  <c r="AC1232" i="15"/>
  <c r="AB1232" i="15"/>
  <c r="AD1231" i="15"/>
  <c r="AC1231" i="15"/>
  <c r="AB1231" i="15"/>
  <c r="AD1230" i="15"/>
  <c r="AC1230" i="15"/>
  <c r="AB1230" i="15"/>
  <c r="AD1229" i="15"/>
  <c r="AC1229" i="15"/>
  <c r="AB1229" i="15"/>
  <c r="AD1228" i="15"/>
  <c r="AC1228" i="15"/>
  <c r="AB1228" i="15"/>
  <c r="AD1227" i="15"/>
  <c r="AC1227" i="15"/>
  <c r="AB1227" i="15"/>
  <c r="AD1226" i="15"/>
  <c r="AC1226" i="15"/>
  <c r="AB1226" i="15"/>
  <c r="AD1225" i="15"/>
  <c r="AC1225" i="15"/>
  <c r="AB1225" i="15"/>
  <c r="AD1224" i="15"/>
  <c r="AC1224" i="15"/>
  <c r="AB1224" i="15"/>
  <c r="AD1223" i="15"/>
  <c r="AC1223" i="15"/>
  <c r="AB1223" i="15"/>
  <c r="AD1222" i="15"/>
  <c r="AC1222" i="15"/>
  <c r="AB1222" i="15"/>
  <c r="AD1221" i="15"/>
  <c r="AC1221" i="15"/>
  <c r="AB1221" i="15"/>
  <c r="AD1219" i="15"/>
  <c r="AC1219" i="15"/>
  <c r="AB1219" i="15"/>
  <c r="AD1218" i="15"/>
  <c r="AC1218" i="15"/>
  <c r="AB1218" i="15"/>
  <c r="AD1217" i="15"/>
  <c r="AC1217" i="15"/>
  <c r="AB1217" i="15"/>
  <c r="AD1216" i="15"/>
  <c r="AC1216" i="15"/>
  <c r="AB1216" i="15"/>
  <c r="AD1215" i="15"/>
  <c r="AC1215" i="15"/>
  <c r="AB1215" i="15"/>
  <c r="AD1214" i="15"/>
  <c r="AC1214" i="15"/>
  <c r="AB1214" i="15"/>
  <c r="AD1213" i="15"/>
  <c r="AC1213" i="15"/>
  <c r="AB1213" i="15"/>
  <c r="AD1212" i="15"/>
  <c r="AC1212" i="15"/>
  <c r="AB1212" i="15"/>
  <c r="AD1211" i="15"/>
  <c r="AC1211" i="15"/>
  <c r="AB1211" i="15"/>
  <c r="AD1210" i="15"/>
  <c r="AC1210" i="15"/>
  <c r="AB1210" i="15"/>
  <c r="AD1209" i="15"/>
  <c r="AC1209" i="15"/>
  <c r="AB1209" i="15"/>
  <c r="AD1208" i="15"/>
  <c r="AC1208" i="15"/>
  <c r="AB1208" i="15"/>
  <c r="AD1207" i="15"/>
  <c r="AC1207" i="15"/>
  <c r="AB1207" i="15"/>
  <c r="AD1206" i="15"/>
  <c r="AC1206" i="15"/>
  <c r="AB1206" i="15"/>
  <c r="AD1205" i="15"/>
  <c r="AC1205" i="15"/>
  <c r="AB1205" i="15"/>
  <c r="AD1204" i="15"/>
  <c r="AC1204" i="15"/>
  <c r="AB1204" i="15"/>
  <c r="AD1203" i="15"/>
  <c r="AC1203" i="15"/>
  <c r="AB1203" i="15"/>
  <c r="AD1202" i="15"/>
  <c r="AC1202" i="15"/>
  <c r="AB1202" i="15"/>
  <c r="AD1200" i="15"/>
  <c r="AC1200" i="15"/>
  <c r="AB1200" i="15"/>
  <c r="AD1199" i="15"/>
  <c r="AC1199" i="15"/>
  <c r="AB1199" i="15"/>
  <c r="AD1198" i="15"/>
  <c r="AC1198" i="15"/>
  <c r="AB1198" i="15"/>
  <c r="AD1197" i="15"/>
  <c r="AC1197" i="15"/>
  <c r="AB1197" i="15"/>
  <c r="AD1196" i="15"/>
  <c r="AC1196" i="15"/>
  <c r="AB1196" i="15"/>
  <c r="AD1195" i="15"/>
  <c r="AC1195" i="15"/>
  <c r="AB1195" i="15"/>
  <c r="AD1194" i="15"/>
  <c r="AC1194" i="15"/>
  <c r="AB1194" i="15"/>
  <c r="AD1193" i="15"/>
  <c r="AC1193" i="15"/>
  <c r="AB1193" i="15"/>
  <c r="AD1192" i="15"/>
  <c r="AC1192" i="15"/>
  <c r="AB1192" i="15"/>
  <c r="AD1191" i="15"/>
  <c r="AC1191" i="15"/>
  <c r="AB1191" i="15"/>
  <c r="AD1190" i="15"/>
  <c r="AC1190" i="15"/>
  <c r="AB1190" i="15"/>
  <c r="AD1189" i="15"/>
  <c r="AC1189" i="15"/>
  <c r="AB1189" i="15"/>
  <c r="AD1188" i="15"/>
  <c r="AC1188" i="15"/>
  <c r="AB1188" i="15"/>
  <c r="AD1187" i="15"/>
  <c r="AC1187" i="15"/>
  <c r="AB1187" i="15"/>
  <c r="AD1186" i="15"/>
  <c r="AC1186" i="15"/>
  <c r="AB1186" i="15"/>
  <c r="AD1185" i="15"/>
  <c r="AC1185" i="15"/>
  <c r="AB1185" i="15"/>
  <c r="AD1184" i="15"/>
  <c r="AC1184" i="15"/>
  <c r="AB1184" i="15"/>
  <c r="AD1183" i="15"/>
  <c r="AC1183" i="15"/>
  <c r="AB1183" i="15"/>
  <c r="AD1181" i="15"/>
  <c r="AC1181" i="15"/>
  <c r="AB1181" i="15"/>
  <c r="AD1180" i="15"/>
  <c r="AC1180" i="15"/>
  <c r="AB1180" i="15"/>
  <c r="AD1179" i="15"/>
  <c r="AC1179" i="15"/>
  <c r="AB1179" i="15"/>
  <c r="AD1178" i="15"/>
  <c r="AC1178" i="15"/>
  <c r="AB1178" i="15"/>
  <c r="AD1177" i="15"/>
  <c r="AC1177" i="15"/>
  <c r="AB1177" i="15"/>
  <c r="AD1176" i="15"/>
  <c r="AC1176" i="15"/>
  <c r="AB1176" i="15"/>
  <c r="AD1175" i="15"/>
  <c r="AC1175" i="15"/>
  <c r="AB1175" i="15"/>
  <c r="AD1174" i="15"/>
  <c r="AC1174" i="15"/>
  <c r="AB1174" i="15"/>
  <c r="AD1173" i="15"/>
  <c r="AC1173" i="15"/>
  <c r="AB1173" i="15"/>
  <c r="AD1172" i="15"/>
  <c r="AC1172" i="15"/>
  <c r="AB1172" i="15"/>
  <c r="AD1171" i="15"/>
  <c r="AC1171" i="15"/>
  <c r="AB1171" i="15"/>
  <c r="AD1170" i="15"/>
  <c r="AC1170" i="15"/>
  <c r="AB1170" i="15"/>
  <c r="AD1169" i="15"/>
  <c r="AC1169" i="15"/>
  <c r="AB1169" i="15"/>
  <c r="AD1168" i="15"/>
  <c r="AC1168" i="15"/>
  <c r="AB1168" i="15"/>
  <c r="AD1167" i="15"/>
  <c r="AC1167" i="15"/>
  <c r="AB1167" i="15"/>
  <c r="AD1166" i="15"/>
  <c r="AC1166" i="15"/>
  <c r="AB1166" i="15"/>
  <c r="AD1165" i="15"/>
  <c r="AC1165" i="15"/>
  <c r="AB1165" i="15"/>
  <c r="AD1164" i="15"/>
  <c r="AC1164" i="15"/>
  <c r="AB1164" i="15"/>
  <c r="AD1162" i="15"/>
  <c r="AC1162" i="15"/>
  <c r="AB1162" i="15"/>
  <c r="AD1161" i="15"/>
  <c r="AC1161" i="15"/>
  <c r="AB1161" i="15"/>
  <c r="AD1160" i="15"/>
  <c r="AC1160" i="15"/>
  <c r="AB1160" i="15"/>
  <c r="AD1159" i="15"/>
  <c r="AC1159" i="15"/>
  <c r="AB1159" i="15"/>
  <c r="AD1158" i="15"/>
  <c r="AC1158" i="15"/>
  <c r="AB1158" i="15"/>
  <c r="AD1157" i="15"/>
  <c r="AC1157" i="15"/>
  <c r="AB1157" i="15"/>
  <c r="AD1156" i="15"/>
  <c r="AC1156" i="15"/>
  <c r="AB1156" i="15"/>
  <c r="AD1155" i="15"/>
  <c r="AC1155" i="15"/>
  <c r="AB1155" i="15"/>
  <c r="AD1154" i="15"/>
  <c r="AC1154" i="15"/>
  <c r="AB1154" i="15"/>
  <c r="AD1153" i="15"/>
  <c r="AC1153" i="15"/>
  <c r="AB1153" i="15"/>
  <c r="AD1152" i="15"/>
  <c r="AC1152" i="15"/>
  <c r="AB1152" i="15"/>
  <c r="AD1151" i="15"/>
  <c r="AC1151" i="15"/>
  <c r="AB1151" i="15"/>
  <c r="AD1150" i="15"/>
  <c r="AC1150" i="15"/>
  <c r="AB1150" i="15"/>
  <c r="AD1149" i="15"/>
  <c r="AC1149" i="15"/>
  <c r="AB1149" i="15"/>
  <c r="AD1148" i="15"/>
  <c r="AC1148" i="15"/>
  <c r="AB1148" i="15"/>
  <c r="AD1147" i="15"/>
  <c r="AC1147" i="15"/>
  <c r="AB1147" i="15"/>
  <c r="AD1146" i="15"/>
  <c r="AC1146" i="15"/>
  <c r="AB1146" i="15"/>
  <c r="AD1145" i="15"/>
  <c r="AC1145" i="15"/>
  <c r="AB1145" i="15"/>
  <c r="AD1143" i="15"/>
  <c r="AC1143" i="15"/>
  <c r="AB1143" i="15"/>
  <c r="AD1142" i="15"/>
  <c r="AC1142" i="15"/>
  <c r="AB1142" i="15"/>
  <c r="AD1141" i="15"/>
  <c r="AC1141" i="15"/>
  <c r="AB1141" i="15"/>
  <c r="AD1140" i="15"/>
  <c r="AC1140" i="15"/>
  <c r="AB1140" i="15"/>
  <c r="AD1139" i="15"/>
  <c r="AC1139" i="15"/>
  <c r="AB1139" i="15"/>
  <c r="AD1138" i="15"/>
  <c r="AC1138" i="15"/>
  <c r="AB1138" i="15"/>
  <c r="AD1137" i="15"/>
  <c r="AC1137" i="15"/>
  <c r="AB1137" i="15"/>
  <c r="AD1136" i="15"/>
  <c r="AC1136" i="15"/>
  <c r="AB1136" i="15"/>
  <c r="AD1135" i="15"/>
  <c r="AC1135" i="15"/>
  <c r="AB1135" i="15"/>
  <c r="AD1134" i="15"/>
  <c r="AC1134" i="15"/>
  <c r="AB1134" i="15"/>
  <c r="AD1133" i="15"/>
  <c r="AC1133" i="15"/>
  <c r="AB1133" i="15"/>
  <c r="AD1132" i="15"/>
  <c r="AC1132" i="15"/>
  <c r="AB1132" i="15"/>
  <c r="AD1131" i="15"/>
  <c r="AC1131" i="15"/>
  <c r="AB1131" i="15"/>
  <c r="AD1130" i="15"/>
  <c r="AC1130" i="15"/>
  <c r="AB1130" i="15"/>
  <c r="AD1129" i="15"/>
  <c r="AC1129" i="15"/>
  <c r="AB1129" i="15"/>
  <c r="AD1128" i="15"/>
  <c r="AC1128" i="15"/>
  <c r="AB1128" i="15"/>
  <c r="AD1127" i="15"/>
  <c r="AC1127" i="15"/>
  <c r="AB1127" i="15"/>
  <c r="AD1126" i="15"/>
  <c r="AC1126" i="15"/>
  <c r="AB1126" i="15"/>
  <c r="AD1124" i="15"/>
  <c r="AC1124" i="15"/>
  <c r="AB1124" i="15"/>
  <c r="AD1123" i="15"/>
  <c r="AC1123" i="15"/>
  <c r="AB1123" i="15"/>
  <c r="AD1122" i="15"/>
  <c r="AC1122" i="15"/>
  <c r="AB1122" i="15"/>
  <c r="AD1121" i="15"/>
  <c r="AC1121" i="15"/>
  <c r="AB1121" i="15"/>
  <c r="AD1120" i="15"/>
  <c r="AC1120" i="15"/>
  <c r="AB1120" i="15"/>
  <c r="AD1119" i="15"/>
  <c r="AC1119" i="15"/>
  <c r="AB1119" i="15"/>
  <c r="AD1118" i="15"/>
  <c r="AC1118" i="15"/>
  <c r="AB1118" i="15"/>
  <c r="AD1117" i="15"/>
  <c r="AC1117" i="15"/>
  <c r="AB1117" i="15"/>
  <c r="AD1116" i="15"/>
  <c r="AC1116" i="15"/>
  <c r="AB1116" i="15"/>
  <c r="AD1115" i="15"/>
  <c r="AC1115" i="15"/>
  <c r="AB1115" i="15"/>
  <c r="AD1114" i="15"/>
  <c r="AC1114" i="15"/>
  <c r="AB1114" i="15"/>
  <c r="AD1113" i="15"/>
  <c r="AC1113" i="15"/>
  <c r="AB1113" i="15"/>
  <c r="AD1112" i="15"/>
  <c r="AC1112" i="15"/>
  <c r="AB1112" i="15"/>
  <c r="AD1111" i="15"/>
  <c r="AC1111" i="15"/>
  <c r="AB1111" i="15"/>
  <c r="AD1110" i="15"/>
  <c r="AC1110" i="15"/>
  <c r="AB1110" i="15"/>
  <c r="AD1109" i="15"/>
  <c r="AC1109" i="15"/>
  <c r="AB1109" i="15"/>
  <c r="AD1108" i="15"/>
  <c r="AC1108" i="15"/>
  <c r="AB1108" i="15"/>
  <c r="AD1107" i="15"/>
  <c r="AC1107" i="15"/>
  <c r="AB1107" i="15"/>
  <c r="AD1105" i="15"/>
  <c r="AC1105" i="15"/>
  <c r="AB1105" i="15"/>
  <c r="AD1104" i="15"/>
  <c r="AC1104" i="15"/>
  <c r="AB1104" i="15"/>
  <c r="AD1103" i="15"/>
  <c r="AC1103" i="15"/>
  <c r="AB1103" i="15"/>
  <c r="AD1102" i="15"/>
  <c r="AC1102" i="15"/>
  <c r="AB1102" i="15"/>
  <c r="AD1101" i="15"/>
  <c r="AC1101" i="15"/>
  <c r="AB1101" i="15"/>
  <c r="AD1100" i="15"/>
  <c r="AC1100" i="15"/>
  <c r="AB1100" i="15"/>
  <c r="AD1099" i="15"/>
  <c r="AC1099" i="15"/>
  <c r="AB1099" i="15"/>
  <c r="AD1098" i="15"/>
  <c r="AC1098" i="15"/>
  <c r="AB1098" i="15"/>
  <c r="AD1097" i="15"/>
  <c r="AC1097" i="15"/>
  <c r="AB1097" i="15"/>
  <c r="AD1096" i="15"/>
  <c r="AC1096" i="15"/>
  <c r="AB1096" i="15"/>
  <c r="AD1095" i="15"/>
  <c r="AC1095" i="15"/>
  <c r="AB1095" i="15"/>
  <c r="AD1094" i="15"/>
  <c r="AC1094" i="15"/>
  <c r="AB1094" i="15"/>
  <c r="AD1093" i="15"/>
  <c r="AC1093" i="15"/>
  <c r="AB1093" i="15"/>
  <c r="AD1092" i="15"/>
  <c r="AC1092" i="15"/>
  <c r="AB1092" i="15"/>
  <c r="AD1091" i="15"/>
  <c r="AC1091" i="15"/>
  <c r="AB1091" i="15"/>
  <c r="AD1090" i="15"/>
  <c r="AC1090" i="15"/>
  <c r="AB1090" i="15"/>
  <c r="AD1089" i="15"/>
  <c r="AC1089" i="15"/>
  <c r="AB1089" i="15"/>
  <c r="AD1088" i="15"/>
  <c r="AC1088" i="15"/>
  <c r="AB1088" i="15"/>
  <c r="AD1086" i="15"/>
  <c r="AC1086" i="15"/>
  <c r="AB1086" i="15"/>
  <c r="AD1085" i="15"/>
  <c r="AC1085" i="15"/>
  <c r="AB1085" i="15"/>
  <c r="AD1084" i="15"/>
  <c r="AC1084" i="15"/>
  <c r="AB1084" i="15"/>
  <c r="AD1083" i="15"/>
  <c r="AC1083" i="15"/>
  <c r="AB1083" i="15"/>
  <c r="AD1082" i="15"/>
  <c r="AC1082" i="15"/>
  <c r="AB1082" i="15"/>
  <c r="AD1081" i="15"/>
  <c r="AC1081" i="15"/>
  <c r="AB1081" i="15"/>
  <c r="AD1080" i="15"/>
  <c r="AC1080" i="15"/>
  <c r="AB1080" i="15"/>
  <c r="AD1079" i="15"/>
  <c r="AC1079" i="15"/>
  <c r="AB1079" i="15"/>
  <c r="AD1078" i="15"/>
  <c r="AC1078" i="15"/>
  <c r="AB1078" i="15"/>
  <c r="AD1077" i="15"/>
  <c r="AC1077" i="15"/>
  <c r="AB1077" i="15"/>
  <c r="AD1076" i="15"/>
  <c r="AC1076" i="15"/>
  <c r="AB1076" i="15"/>
  <c r="AD1075" i="15"/>
  <c r="AC1075" i="15"/>
  <c r="AB1075" i="15"/>
  <c r="AD1074" i="15"/>
  <c r="AC1074" i="15"/>
  <c r="AB1074" i="15"/>
  <c r="AD1073" i="15"/>
  <c r="AC1073" i="15"/>
  <c r="AB1073" i="15"/>
  <c r="AD1072" i="15"/>
  <c r="AC1072" i="15"/>
  <c r="AB1072" i="15"/>
  <c r="AD1071" i="15"/>
  <c r="AC1071" i="15"/>
  <c r="AB1071" i="15"/>
  <c r="AD1070" i="15"/>
  <c r="AC1070" i="15"/>
  <c r="AB1070" i="15"/>
  <c r="AD1069" i="15"/>
  <c r="AC1069" i="15"/>
  <c r="AB1069" i="15"/>
  <c r="AD1067" i="15"/>
  <c r="AC1067" i="15"/>
  <c r="AB1067" i="15"/>
  <c r="AD1066" i="15"/>
  <c r="AC1066" i="15"/>
  <c r="AB1066" i="15"/>
  <c r="AD1065" i="15"/>
  <c r="AC1065" i="15"/>
  <c r="AB1065" i="15"/>
  <c r="AD1064" i="15"/>
  <c r="AC1064" i="15"/>
  <c r="AB1064" i="15"/>
  <c r="AD1063" i="15"/>
  <c r="AC1063" i="15"/>
  <c r="AB1063" i="15"/>
  <c r="AD1062" i="15"/>
  <c r="AC1062" i="15"/>
  <c r="AB1062" i="15"/>
  <c r="AD1061" i="15"/>
  <c r="AC1061" i="15"/>
  <c r="AB1061" i="15"/>
  <c r="AD1060" i="15"/>
  <c r="AC1060" i="15"/>
  <c r="AB1060" i="15"/>
  <c r="AD1059" i="15"/>
  <c r="AC1059" i="15"/>
  <c r="AB1059" i="15"/>
  <c r="AD1058" i="15"/>
  <c r="AC1058" i="15"/>
  <c r="AB1058" i="15"/>
  <c r="AD1057" i="15"/>
  <c r="AC1057" i="15"/>
  <c r="AB1057" i="15"/>
  <c r="AD1056" i="15"/>
  <c r="AC1056" i="15"/>
  <c r="AB1056" i="15"/>
  <c r="AD1055" i="15"/>
  <c r="AC1055" i="15"/>
  <c r="AB1055" i="15"/>
  <c r="AD1054" i="15"/>
  <c r="AC1054" i="15"/>
  <c r="AB1054" i="15"/>
  <c r="AD1053" i="15"/>
  <c r="AC1053" i="15"/>
  <c r="AB1053" i="15"/>
  <c r="AD1052" i="15"/>
  <c r="AC1052" i="15"/>
  <c r="AB1052" i="15"/>
  <c r="AD1051" i="15"/>
  <c r="AC1051" i="15"/>
  <c r="AB1051" i="15"/>
  <c r="AD1050" i="15"/>
  <c r="AC1050" i="15"/>
  <c r="AB1050" i="15"/>
  <c r="AD1048" i="15"/>
  <c r="AC1048" i="15"/>
  <c r="AB1048" i="15"/>
  <c r="AD1047" i="15"/>
  <c r="AC1047" i="15"/>
  <c r="AB1047" i="15"/>
  <c r="AD1046" i="15"/>
  <c r="AC1046" i="15"/>
  <c r="AB1046" i="15"/>
  <c r="AD1045" i="15"/>
  <c r="AC1045" i="15"/>
  <c r="AB1045" i="15"/>
  <c r="AD1044" i="15"/>
  <c r="AC1044" i="15"/>
  <c r="AB1044" i="15"/>
  <c r="AD1043" i="15"/>
  <c r="AC1043" i="15"/>
  <c r="AB1043" i="15"/>
  <c r="AD1042" i="15"/>
  <c r="AC1042" i="15"/>
  <c r="AB1042" i="15"/>
  <c r="AD1041" i="15"/>
  <c r="AC1041" i="15"/>
  <c r="AB1041" i="15"/>
  <c r="AD1040" i="15"/>
  <c r="AC1040" i="15"/>
  <c r="AB1040" i="15"/>
  <c r="AD1039" i="15"/>
  <c r="AC1039" i="15"/>
  <c r="AB1039" i="15"/>
  <c r="AD1038" i="15"/>
  <c r="AC1038" i="15"/>
  <c r="AB1038" i="15"/>
  <c r="AD1037" i="15"/>
  <c r="AC1037" i="15"/>
  <c r="AB1037" i="15"/>
  <c r="AD1036" i="15"/>
  <c r="AC1036" i="15"/>
  <c r="AB1036" i="15"/>
  <c r="AD1035" i="15"/>
  <c r="AC1035" i="15"/>
  <c r="AB1035" i="15"/>
  <c r="AD1034" i="15"/>
  <c r="AC1034" i="15"/>
  <c r="AB1034" i="15"/>
  <c r="AD1033" i="15"/>
  <c r="AC1033" i="15"/>
  <c r="AB1033" i="15"/>
  <c r="AD1032" i="15"/>
  <c r="AC1032" i="15"/>
  <c r="AB1032" i="15"/>
  <c r="AD1031" i="15"/>
  <c r="AC1031" i="15"/>
  <c r="AB1031" i="15"/>
  <c r="AD1029" i="15"/>
  <c r="AC1029" i="15"/>
  <c r="AB1029" i="15"/>
  <c r="AD1028" i="15"/>
  <c r="AC1028" i="15"/>
  <c r="AB1028" i="15"/>
  <c r="AD1027" i="15"/>
  <c r="AC1027" i="15"/>
  <c r="AB1027" i="15"/>
  <c r="AD1026" i="15"/>
  <c r="AC1026" i="15"/>
  <c r="AB1026" i="15"/>
  <c r="AD1025" i="15"/>
  <c r="AC1025" i="15"/>
  <c r="AB1025" i="15"/>
  <c r="AD1024" i="15"/>
  <c r="AC1024" i="15"/>
  <c r="AB1024" i="15"/>
  <c r="AD1023" i="15"/>
  <c r="AC1023" i="15"/>
  <c r="AB1023" i="15"/>
  <c r="AD1022" i="15"/>
  <c r="AC1022" i="15"/>
  <c r="AB1022" i="15"/>
  <c r="AD1021" i="15"/>
  <c r="AC1021" i="15"/>
  <c r="AB1021" i="15"/>
  <c r="AD1020" i="15"/>
  <c r="AC1020" i="15"/>
  <c r="AB1020" i="15"/>
  <c r="AD1019" i="15"/>
  <c r="AC1019" i="15"/>
  <c r="AB1019" i="15"/>
  <c r="AD1018" i="15"/>
  <c r="AC1018" i="15"/>
  <c r="AB1018" i="15"/>
  <c r="AD1017" i="15"/>
  <c r="AC1017" i="15"/>
  <c r="AB1017" i="15"/>
  <c r="AD1016" i="15"/>
  <c r="AC1016" i="15"/>
  <c r="AB1016" i="15"/>
  <c r="AD1015" i="15"/>
  <c r="AC1015" i="15"/>
  <c r="AB1015" i="15"/>
  <c r="AD1014" i="15"/>
  <c r="AC1014" i="15"/>
  <c r="AB1014" i="15"/>
  <c r="AD1013" i="15"/>
  <c r="AC1013" i="15"/>
  <c r="AB1013" i="15"/>
  <c r="AD1012" i="15"/>
  <c r="AC1012" i="15"/>
  <c r="AB1012" i="15"/>
  <c r="AD1010" i="15"/>
  <c r="AC1010" i="15"/>
  <c r="AB1010" i="15"/>
  <c r="AD1009" i="15"/>
  <c r="AC1009" i="15"/>
  <c r="AB1009" i="15"/>
  <c r="AD1008" i="15"/>
  <c r="AC1008" i="15"/>
  <c r="AB1008" i="15"/>
  <c r="AD1007" i="15"/>
  <c r="AC1007" i="15"/>
  <c r="AB1007" i="15"/>
  <c r="AD1006" i="15"/>
  <c r="AC1006" i="15"/>
  <c r="AB1006" i="15"/>
  <c r="AD1005" i="15"/>
  <c r="AC1005" i="15"/>
  <c r="AB1005" i="15"/>
  <c r="AD1004" i="15"/>
  <c r="AC1004" i="15"/>
  <c r="AB1004" i="15"/>
  <c r="AD1003" i="15"/>
  <c r="AC1003" i="15"/>
  <c r="AB1003" i="15"/>
  <c r="AD1002" i="15"/>
  <c r="AC1002" i="15"/>
  <c r="AB1002" i="15"/>
  <c r="AD1001" i="15"/>
  <c r="AC1001" i="15"/>
  <c r="AB1001" i="15"/>
  <c r="AD1000" i="15"/>
  <c r="AC1000" i="15"/>
  <c r="AB1000" i="15"/>
  <c r="AD999" i="15"/>
  <c r="AC999" i="15"/>
  <c r="AB999" i="15"/>
  <c r="AD998" i="15"/>
  <c r="AC998" i="15"/>
  <c r="AB998" i="15"/>
  <c r="AD997" i="15"/>
  <c r="AC997" i="15"/>
  <c r="AB997" i="15"/>
  <c r="AD996" i="15"/>
  <c r="AC996" i="15"/>
  <c r="AB996" i="15"/>
  <c r="AD995" i="15"/>
  <c r="AC995" i="15"/>
  <c r="AB995" i="15"/>
  <c r="AD994" i="15"/>
  <c r="AC994" i="15"/>
  <c r="AB994" i="15"/>
  <c r="AD993" i="15"/>
  <c r="AC993" i="15"/>
  <c r="AB993" i="15"/>
  <c r="AD991" i="15"/>
  <c r="AC991" i="15"/>
  <c r="AB991" i="15"/>
  <c r="AD990" i="15"/>
  <c r="AC990" i="15"/>
  <c r="AB990" i="15"/>
  <c r="AD989" i="15"/>
  <c r="AC989" i="15"/>
  <c r="AB989" i="15"/>
  <c r="AD988" i="15"/>
  <c r="AC988" i="15"/>
  <c r="AB988" i="15"/>
  <c r="AD987" i="15"/>
  <c r="AC987" i="15"/>
  <c r="AB987" i="15"/>
  <c r="AD986" i="15"/>
  <c r="AC986" i="15"/>
  <c r="AB986" i="15"/>
  <c r="AD985" i="15"/>
  <c r="AC985" i="15"/>
  <c r="AB985" i="15"/>
  <c r="AD984" i="15"/>
  <c r="AC984" i="15"/>
  <c r="AB984" i="15"/>
  <c r="AD983" i="15"/>
  <c r="AC983" i="15"/>
  <c r="AB983" i="15"/>
  <c r="AD982" i="15"/>
  <c r="AC982" i="15"/>
  <c r="AB982" i="15"/>
  <c r="AD981" i="15"/>
  <c r="AC981" i="15"/>
  <c r="AB981" i="15"/>
  <c r="AD980" i="15"/>
  <c r="AC980" i="15"/>
  <c r="AB980" i="15"/>
  <c r="AD979" i="15"/>
  <c r="AC979" i="15"/>
  <c r="AB979" i="15"/>
  <c r="AD978" i="15"/>
  <c r="AC978" i="15"/>
  <c r="AB978" i="15"/>
  <c r="AD977" i="15"/>
  <c r="AC977" i="15"/>
  <c r="AB977" i="15"/>
  <c r="AD976" i="15"/>
  <c r="AC976" i="15"/>
  <c r="AB976" i="15"/>
  <c r="AD975" i="15"/>
  <c r="AC975" i="15"/>
  <c r="AB975" i="15"/>
  <c r="AD974" i="15"/>
  <c r="AC974" i="15"/>
  <c r="AB974" i="15"/>
  <c r="AD972" i="15"/>
  <c r="AC972" i="15"/>
  <c r="AB972" i="15"/>
  <c r="AD971" i="15"/>
  <c r="AC971" i="15"/>
  <c r="AB971" i="15"/>
  <c r="AD970" i="15"/>
  <c r="AC970" i="15"/>
  <c r="AB970" i="15"/>
  <c r="AD969" i="15"/>
  <c r="AC969" i="15"/>
  <c r="AB969" i="15"/>
  <c r="AD968" i="15"/>
  <c r="AC968" i="15"/>
  <c r="AB968" i="15"/>
  <c r="AD967" i="15"/>
  <c r="AC967" i="15"/>
  <c r="AB967" i="15"/>
  <c r="AD966" i="15"/>
  <c r="AC966" i="15"/>
  <c r="AB966" i="15"/>
  <c r="AD965" i="15"/>
  <c r="AC965" i="15"/>
  <c r="AB965" i="15"/>
  <c r="AD964" i="15"/>
  <c r="AC964" i="15"/>
  <c r="AB964" i="15"/>
  <c r="AD963" i="15"/>
  <c r="AC963" i="15"/>
  <c r="AB963" i="15"/>
  <c r="AD962" i="15"/>
  <c r="AC962" i="15"/>
  <c r="AB962" i="15"/>
  <c r="AD961" i="15"/>
  <c r="AC961" i="15"/>
  <c r="AB961" i="15"/>
  <c r="AD960" i="15"/>
  <c r="AC960" i="15"/>
  <c r="AB960" i="15"/>
  <c r="AD959" i="15"/>
  <c r="AC959" i="15"/>
  <c r="AB959" i="15"/>
  <c r="AD958" i="15"/>
  <c r="AC958" i="15"/>
  <c r="AB958" i="15"/>
  <c r="AD957" i="15"/>
  <c r="AC957" i="15"/>
  <c r="AB957" i="15"/>
  <c r="AD956" i="15"/>
  <c r="AC956" i="15"/>
  <c r="AB956" i="15"/>
  <c r="AD955" i="15"/>
  <c r="AC955" i="15"/>
  <c r="AB955" i="15"/>
  <c r="AD953" i="15"/>
  <c r="AC953" i="15"/>
  <c r="AB953" i="15"/>
  <c r="AD952" i="15"/>
  <c r="AC952" i="15"/>
  <c r="AB952" i="15"/>
  <c r="AD951" i="15"/>
  <c r="AC951" i="15"/>
  <c r="AB951" i="15"/>
  <c r="AD950" i="15"/>
  <c r="AC950" i="15"/>
  <c r="AB950" i="15"/>
  <c r="AD949" i="15"/>
  <c r="AC949" i="15"/>
  <c r="AB949" i="15"/>
  <c r="AD948" i="15"/>
  <c r="AC948" i="15"/>
  <c r="AB948" i="15"/>
  <c r="AD947" i="15"/>
  <c r="AC947" i="15"/>
  <c r="AB947" i="15"/>
  <c r="AD946" i="15"/>
  <c r="AC946" i="15"/>
  <c r="AB946" i="15"/>
  <c r="AD945" i="15"/>
  <c r="AC945" i="15"/>
  <c r="AB945" i="15"/>
  <c r="AD944" i="15"/>
  <c r="AC944" i="15"/>
  <c r="AB944" i="15"/>
  <c r="AD943" i="15"/>
  <c r="AC943" i="15"/>
  <c r="AB943" i="15"/>
  <c r="AD942" i="15"/>
  <c r="AC942" i="15"/>
  <c r="AB942" i="15"/>
  <c r="AD941" i="15"/>
  <c r="AC941" i="15"/>
  <c r="AB941" i="15"/>
  <c r="AD940" i="15"/>
  <c r="AC940" i="15"/>
  <c r="AB940" i="15"/>
  <c r="AD939" i="15"/>
  <c r="AC939" i="15"/>
  <c r="AB939" i="15"/>
  <c r="AD938" i="15"/>
  <c r="AC938" i="15"/>
  <c r="AB938" i="15"/>
  <c r="AD937" i="15"/>
  <c r="AC937" i="15"/>
  <c r="AB937" i="15"/>
  <c r="AD936" i="15"/>
  <c r="AC936" i="15"/>
  <c r="AB936" i="15"/>
  <c r="AD934" i="15"/>
  <c r="AC934" i="15"/>
  <c r="AB934" i="15"/>
  <c r="AD933" i="15"/>
  <c r="AC933" i="15"/>
  <c r="AB933" i="15"/>
  <c r="AD932" i="15"/>
  <c r="AC932" i="15"/>
  <c r="AB932" i="15"/>
  <c r="AD931" i="15"/>
  <c r="AC931" i="15"/>
  <c r="AB931" i="15"/>
  <c r="AD930" i="15"/>
  <c r="AC930" i="15"/>
  <c r="AB930" i="15"/>
  <c r="AD929" i="15"/>
  <c r="AC929" i="15"/>
  <c r="AB929" i="15"/>
  <c r="AD928" i="15"/>
  <c r="AC928" i="15"/>
  <c r="AB928" i="15"/>
  <c r="AD927" i="15"/>
  <c r="AC927" i="15"/>
  <c r="AB927" i="15"/>
  <c r="AD926" i="15"/>
  <c r="AC926" i="15"/>
  <c r="AB926" i="15"/>
  <c r="AD925" i="15"/>
  <c r="AC925" i="15"/>
  <c r="AB925" i="15"/>
  <c r="AD924" i="15"/>
  <c r="AC924" i="15"/>
  <c r="AB924" i="15"/>
  <c r="AD923" i="15"/>
  <c r="AC923" i="15"/>
  <c r="AB923" i="15"/>
  <c r="AD922" i="15"/>
  <c r="AC922" i="15"/>
  <c r="AB922" i="15"/>
  <c r="AD921" i="15"/>
  <c r="AC921" i="15"/>
  <c r="AB921" i="15"/>
  <c r="AD920" i="15"/>
  <c r="AC920" i="15"/>
  <c r="AB920" i="15"/>
  <c r="AD919" i="15"/>
  <c r="AC919" i="15"/>
  <c r="AB919" i="15"/>
  <c r="AD918" i="15"/>
  <c r="AC918" i="15"/>
  <c r="AB918" i="15"/>
  <c r="AD917" i="15"/>
  <c r="AC917" i="15"/>
  <c r="AB917" i="15"/>
  <c r="AD915" i="15"/>
  <c r="AC915" i="15"/>
  <c r="AB915" i="15"/>
  <c r="AD914" i="15"/>
  <c r="AC914" i="15"/>
  <c r="AB914" i="15"/>
  <c r="AD913" i="15"/>
  <c r="AC913" i="15"/>
  <c r="AB913" i="15"/>
  <c r="AD912" i="15"/>
  <c r="AC912" i="15"/>
  <c r="AB912" i="15"/>
  <c r="AD911" i="15"/>
  <c r="AC911" i="15"/>
  <c r="AB911" i="15"/>
  <c r="AD910" i="15"/>
  <c r="AC910" i="15"/>
  <c r="AB910" i="15"/>
  <c r="AD909" i="15"/>
  <c r="AC909" i="15"/>
  <c r="AB909" i="15"/>
  <c r="AD908" i="15"/>
  <c r="AC908" i="15"/>
  <c r="AB908" i="15"/>
  <c r="AD907" i="15"/>
  <c r="AC907" i="15"/>
  <c r="AB907" i="15"/>
  <c r="AD906" i="15"/>
  <c r="AC906" i="15"/>
  <c r="AB906" i="15"/>
  <c r="AD905" i="15"/>
  <c r="AC905" i="15"/>
  <c r="AB905" i="15"/>
  <c r="AD904" i="15"/>
  <c r="AC904" i="15"/>
  <c r="AB904" i="15"/>
  <c r="AD903" i="15"/>
  <c r="AC903" i="15"/>
  <c r="AB903" i="15"/>
  <c r="AD902" i="15"/>
  <c r="AC902" i="15"/>
  <c r="AB902" i="15"/>
  <c r="AD901" i="15"/>
  <c r="AC901" i="15"/>
  <c r="AB901" i="15"/>
  <c r="AD900" i="15"/>
  <c r="AC900" i="15"/>
  <c r="AB900" i="15"/>
  <c r="AD899" i="15"/>
  <c r="AC899" i="15"/>
  <c r="AB899" i="15"/>
  <c r="AD898" i="15"/>
  <c r="AC898" i="15"/>
  <c r="AB898" i="15"/>
  <c r="AD896" i="15"/>
  <c r="AC896" i="15"/>
  <c r="AB896" i="15"/>
  <c r="AD895" i="15"/>
  <c r="AC895" i="15"/>
  <c r="AB895" i="15"/>
  <c r="AD894" i="15"/>
  <c r="AC894" i="15"/>
  <c r="AB894" i="15"/>
  <c r="AD893" i="15"/>
  <c r="AC893" i="15"/>
  <c r="AB893" i="15"/>
  <c r="AD892" i="15"/>
  <c r="AC892" i="15"/>
  <c r="AB892" i="15"/>
  <c r="AD891" i="15"/>
  <c r="AC891" i="15"/>
  <c r="AB891" i="15"/>
  <c r="AD890" i="15"/>
  <c r="AC890" i="15"/>
  <c r="AB890" i="15"/>
  <c r="AD889" i="15"/>
  <c r="AC889" i="15"/>
  <c r="AB889" i="15"/>
  <c r="AD888" i="15"/>
  <c r="AC888" i="15"/>
  <c r="AB888" i="15"/>
  <c r="AD887" i="15"/>
  <c r="AC887" i="15"/>
  <c r="AB887" i="15"/>
  <c r="AD886" i="15"/>
  <c r="AC886" i="15"/>
  <c r="AB886" i="15"/>
  <c r="AD885" i="15"/>
  <c r="AC885" i="15"/>
  <c r="AB885" i="15"/>
  <c r="AD884" i="15"/>
  <c r="AC884" i="15"/>
  <c r="AB884" i="15"/>
  <c r="AD883" i="15"/>
  <c r="AC883" i="15"/>
  <c r="AB883" i="15"/>
  <c r="AD882" i="15"/>
  <c r="AC882" i="15"/>
  <c r="AB882" i="15"/>
  <c r="AD881" i="15"/>
  <c r="AC881" i="15"/>
  <c r="AB881" i="15"/>
  <c r="AD880" i="15"/>
  <c r="AC880" i="15"/>
  <c r="AB880" i="15"/>
  <c r="AD879" i="15"/>
  <c r="AC879" i="15"/>
  <c r="AB879" i="15"/>
  <c r="AD877" i="15"/>
  <c r="AC877" i="15"/>
  <c r="AB877" i="15"/>
  <c r="AD876" i="15"/>
  <c r="AC876" i="15"/>
  <c r="AB876" i="15"/>
  <c r="AD875" i="15"/>
  <c r="AC875" i="15"/>
  <c r="AB875" i="15"/>
  <c r="AD874" i="15"/>
  <c r="AC874" i="15"/>
  <c r="AB874" i="15"/>
  <c r="AD873" i="15"/>
  <c r="AC873" i="15"/>
  <c r="AB873" i="15"/>
  <c r="AD872" i="15"/>
  <c r="AC872" i="15"/>
  <c r="AB872" i="15"/>
  <c r="AD871" i="15"/>
  <c r="AC871" i="15"/>
  <c r="AB871" i="15"/>
  <c r="AD870" i="15"/>
  <c r="AC870" i="15"/>
  <c r="AB870" i="15"/>
  <c r="AD869" i="15"/>
  <c r="AC869" i="15"/>
  <c r="AB869" i="15"/>
  <c r="AD868" i="15"/>
  <c r="AC868" i="15"/>
  <c r="AB868" i="15"/>
  <c r="AD867" i="15"/>
  <c r="AC867" i="15"/>
  <c r="AB867" i="15"/>
  <c r="AD866" i="15"/>
  <c r="AC866" i="15"/>
  <c r="AB866" i="15"/>
  <c r="AD865" i="15"/>
  <c r="AC865" i="15"/>
  <c r="AB865" i="15"/>
  <c r="AD864" i="15"/>
  <c r="AC864" i="15"/>
  <c r="AB864" i="15"/>
  <c r="AD863" i="15"/>
  <c r="AC863" i="15"/>
  <c r="AB863" i="15"/>
  <c r="AD862" i="15"/>
  <c r="AC862" i="15"/>
  <c r="AB862" i="15"/>
  <c r="AD861" i="15"/>
  <c r="AC861" i="15"/>
  <c r="AB861" i="15"/>
  <c r="AD860" i="15"/>
  <c r="AC860" i="15"/>
  <c r="AB860" i="15"/>
  <c r="AD858" i="15"/>
  <c r="AC858" i="15"/>
  <c r="AB858" i="15"/>
  <c r="AD857" i="15"/>
  <c r="AC857" i="15"/>
  <c r="AB857" i="15"/>
  <c r="AD856" i="15"/>
  <c r="AC856" i="15"/>
  <c r="AB856" i="15"/>
  <c r="AD855" i="15"/>
  <c r="AC855" i="15"/>
  <c r="AB855" i="15"/>
  <c r="AD854" i="15"/>
  <c r="AC854" i="15"/>
  <c r="AB854" i="15"/>
  <c r="AD853" i="15"/>
  <c r="AC853" i="15"/>
  <c r="AB853" i="15"/>
  <c r="AD852" i="15"/>
  <c r="AC852" i="15"/>
  <c r="AB852" i="15"/>
  <c r="AD851" i="15"/>
  <c r="AC851" i="15"/>
  <c r="AB851" i="15"/>
  <c r="AD850" i="15"/>
  <c r="AC850" i="15"/>
  <c r="AB850" i="15"/>
  <c r="AD849" i="15"/>
  <c r="AC849" i="15"/>
  <c r="AB849" i="15"/>
  <c r="AD848" i="15"/>
  <c r="AC848" i="15"/>
  <c r="AB848" i="15"/>
  <c r="AD847" i="15"/>
  <c r="AC847" i="15"/>
  <c r="AB847" i="15"/>
  <c r="AD846" i="15"/>
  <c r="AC846" i="15"/>
  <c r="AB846" i="15"/>
  <c r="AD845" i="15"/>
  <c r="AC845" i="15"/>
  <c r="AB845" i="15"/>
  <c r="AD844" i="15"/>
  <c r="AC844" i="15"/>
  <c r="AB844" i="15"/>
  <c r="AD843" i="15"/>
  <c r="AC843" i="15"/>
  <c r="AB843" i="15"/>
  <c r="AD842" i="15"/>
  <c r="AC842" i="15"/>
  <c r="AB842" i="15"/>
  <c r="AD841" i="15"/>
  <c r="AC841" i="15"/>
  <c r="AB841" i="15"/>
  <c r="AD839" i="15"/>
  <c r="AC839" i="15"/>
  <c r="AB839" i="15"/>
  <c r="AD838" i="15"/>
  <c r="AC838" i="15"/>
  <c r="AB838" i="15"/>
  <c r="AD837" i="15"/>
  <c r="AC837" i="15"/>
  <c r="AB837" i="15"/>
  <c r="AD836" i="15"/>
  <c r="AC836" i="15"/>
  <c r="AB836" i="15"/>
  <c r="AD835" i="15"/>
  <c r="AC835" i="15"/>
  <c r="AB835" i="15"/>
  <c r="AD834" i="15"/>
  <c r="AC834" i="15"/>
  <c r="AB834" i="15"/>
  <c r="AD833" i="15"/>
  <c r="AC833" i="15"/>
  <c r="AB833" i="15"/>
  <c r="AD832" i="15"/>
  <c r="AC832" i="15"/>
  <c r="AB832" i="15"/>
  <c r="AD831" i="15"/>
  <c r="AC831" i="15"/>
  <c r="AB831" i="15"/>
  <c r="AD830" i="15"/>
  <c r="AC830" i="15"/>
  <c r="AB830" i="15"/>
  <c r="AD829" i="15"/>
  <c r="AC829" i="15"/>
  <c r="AB829" i="15"/>
  <c r="AD828" i="15"/>
  <c r="AC828" i="15"/>
  <c r="AB828" i="15"/>
  <c r="AD827" i="15"/>
  <c r="AC827" i="15"/>
  <c r="AB827" i="15"/>
  <c r="AD826" i="15"/>
  <c r="AC826" i="15"/>
  <c r="AB826" i="15"/>
  <c r="AD825" i="15"/>
  <c r="AC825" i="15"/>
  <c r="AB825" i="15"/>
  <c r="AD824" i="15"/>
  <c r="AC824" i="15"/>
  <c r="AB824" i="15"/>
  <c r="AD823" i="15"/>
  <c r="AC823" i="15"/>
  <c r="AB823" i="15"/>
  <c r="AD822" i="15"/>
  <c r="AC822" i="15"/>
  <c r="AB822" i="15"/>
  <c r="AD820" i="15"/>
  <c r="AC820" i="15"/>
  <c r="AB820" i="15"/>
  <c r="AD819" i="15"/>
  <c r="AC819" i="15"/>
  <c r="AB819" i="15"/>
  <c r="AD818" i="15"/>
  <c r="AC818" i="15"/>
  <c r="AB818" i="15"/>
  <c r="AD817" i="15"/>
  <c r="AC817" i="15"/>
  <c r="AB817" i="15"/>
  <c r="AD816" i="15"/>
  <c r="AC816" i="15"/>
  <c r="AB816" i="15"/>
  <c r="AD815" i="15"/>
  <c r="AC815" i="15"/>
  <c r="AB815" i="15"/>
  <c r="AD814" i="15"/>
  <c r="AC814" i="15"/>
  <c r="AB814" i="15"/>
  <c r="AD813" i="15"/>
  <c r="AC813" i="15"/>
  <c r="AB813" i="15"/>
  <c r="AD812" i="15"/>
  <c r="AC812" i="15"/>
  <c r="AB812" i="15"/>
  <c r="AD811" i="15"/>
  <c r="AC811" i="15"/>
  <c r="AB811" i="15"/>
  <c r="AD810" i="15"/>
  <c r="AC810" i="15"/>
  <c r="AB810" i="15"/>
  <c r="AD809" i="15"/>
  <c r="AC809" i="15"/>
  <c r="AB809" i="15"/>
  <c r="AD808" i="15"/>
  <c r="AC808" i="15"/>
  <c r="AB808" i="15"/>
  <c r="AD807" i="15"/>
  <c r="AC807" i="15"/>
  <c r="AB807" i="15"/>
  <c r="AD806" i="15"/>
  <c r="AC806" i="15"/>
  <c r="AB806" i="15"/>
  <c r="AD805" i="15"/>
  <c r="AC805" i="15"/>
  <c r="AB805" i="15"/>
  <c r="AD804" i="15"/>
  <c r="AC804" i="15"/>
  <c r="AB804" i="15"/>
  <c r="AD803" i="15"/>
  <c r="AC803" i="15"/>
  <c r="AB803" i="15"/>
  <c r="AD801" i="15"/>
  <c r="AC801" i="15"/>
  <c r="AB801" i="15"/>
  <c r="AD800" i="15"/>
  <c r="AC800" i="15"/>
  <c r="AB800" i="15"/>
  <c r="AD799" i="15"/>
  <c r="AC799" i="15"/>
  <c r="AB799" i="15"/>
  <c r="AD798" i="15"/>
  <c r="AC798" i="15"/>
  <c r="AB798" i="15"/>
  <c r="AD797" i="15"/>
  <c r="AC797" i="15"/>
  <c r="AB797" i="15"/>
  <c r="AD796" i="15"/>
  <c r="AC796" i="15"/>
  <c r="AB796" i="15"/>
  <c r="AD795" i="15"/>
  <c r="AC795" i="15"/>
  <c r="AB795" i="15"/>
  <c r="AD794" i="15"/>
  <c r="AC794" i="15"/>
  <c r="AB794" i="15"/>
  <c r="AD793" i="15"/>
  <c r="AC793" i="15"/>
  <c r="AB793" i="15"/>
  <c r="AD792" i="15"/>
  <c r="AC792" i="15"/>
  <c r="AB792" i="15"/>
  <c r="AD791" i="15"/>
  <c r="AC791" i="15"/>
  <c r="AB791" i="15"/>
  <c r="AD790" i="15"/>
  <c r="AC790" i="15"/>
  <c r="AB790" i="15"/>
  <c r="AD789" i="15"/>
  <c r="AC789" i="15"/>
  <c r="AB789" i="15"/>
  <c r="AD788" i="15"/>
  <c r="AC788" i="15"/>
  <c r="AB788" i="15"/>
  <c r="AD787" i="15"/>
  <c r="AC787" i="15"/>
  <c r="AB787" i="15"/>
  <c r="AD786" i="15"/>
  <c r="AC786" i="15"/>
  <c r="AB786" i="15"/>
  <c r="AD785" i="15"/>
  <c r="AC785" i="15"/>
  <c r="AB785" i="15"/>
  <c r="AD784" i="15"/>
  <c r="AC784" i="15"/>
  <c r="AB784" i="15"/>
  <c r="AD782" i="15"/>
  <c r="AC782" i="15"/>
  <c r="AB782" i="15"/>
  <c r="AD781" i="15"/>
  <c r="AC781" i="15"/>
  <c r="AB781" i="15"/>
  <c r="AD780" i="15"/>
  <c r="AC780" i="15"/>
  <c r="AB780" i="15"/>
  <c r="AD779" i="15"/>
  <c r="AC779" i="15"/>
  <c r="AB779" i="15"/>
  <c r="AD778" i="15"/>
  <c r="AC778" i="15"/>
  <c r="AB778" i="15"/>
  <c r="AD777" i="15"/>
  <c r="AC777" i="15"/>
  <c r="AB777" i="15"/>
  <c r="AD776" i="15"/>
  <c r="AC776" i="15"/>
  <c r="AB776" i="15"/>
  <c r="AD775" i="15"/>
  <c r="AC775" i="15"/>
  <c r="AB775" i="15"/>
  <c r="AD774" i="15"/>
  <c r="AC774" i="15"/>
  <c r="AB774" i="15"/>
  <c r="AD773" i="15"/>
  <c r="AC773" i="15"/>
  <c r="AB773" i="15"/>
  <c r="AD772" i="15"/>
  <c r="AC772" i="15"/>
  <c r="AB772" i="15"/>
  <c r="AD771" i="15"/>
  <c r="AC771" i="15"/>
  <c r="AB771" i="15"/>
  <c r="AD770" i="15"/>
  <c r="AC770" i="15"/>
  <c r="AB770" i="15"/>
  <c r="AD769" i="15"/>
  <c r="AC769" i="15"/>
  <c r="AB769" i="15"/>
  <c r="AD768" i="15"/>
  <c r="AC768" i="15"/>
  <c r="AB768" i="15"/>
  <c r="AD767" i="15"/>
  <c r="AC767" i="15"/>
  <c r="AB767" i="15"/>
  <c r="AD766" i="15"/>
  <c r="AC766" i="15"/>
  <c r="AB766" i="15"/>
  <c r="AD765" i="15"/>
  <c r="AC765" i="15"/>
  <c r="AB765" i="15"/>
  <c r="AD763" i="15"/>
  <c r="AC763" i="15"/>
  <c r="AB763" i="15"/>
  <c r="AD762" i="15"/>
  <c r="AC762" i="15"/>
  <c r="AB762" i="15"/>
  <c r="AD761" i="15"/>
  <c r="AC761" i="15"/>
  <c r="AB761" i="15"/>
  <c r="AD760" i="15"/>
  <c r="AC760" i="15"/>
  <c r="AB760" i="15"/>
  <c r="AD759" i="15"/>
  <c r="AC759" i="15"/>
  <c r="AB759" i="15"/>
  <c r="AD758" i="15"/>
  <c r="AC758" i="15"/>
  <c r="AB758" i="15"/>
  <c r="AD757" i="15"/>
  <c r="AC757" i="15"/>
  <c r="AB757" i="15"/>
  <c r="AD756" i="15"/>
  <c r="AC756" i="15"/>
  <c r="AB756" i="15"/>
  <c r="AD755" i="15"/>
  <c r="AC755" i="15"/>
  <c r="AB755" i="15"/>
  <c r="AD754" i="15"/>
  <c r="AC754" i="15"/>
  <c r="AB754" i="15"/>
  <c r="AD753" i="15"/>
  <c r="AC753" i="15"/>
  <c r="AB753" i="15"/>
  <c r="AD752" i="15"/>
  <c r="AC752" i="15"/>
  <c r="AB752" i="15"/>
  <c r="AD751" i="15"/>
  <c r="AC751" i="15"/>
  <c r="AB751" i="15"/>
  <c r="AD750" i="15"/>
  <c r="AC750" i="15"/>
  <c r="AB750" i="15"/>
  <c r="AD749" i="15"/>
  <c r="AC749" i="15"/>
  <c r="AB749" i="15"/>
  <c r="AD748" i="15"/>
  <c r="AC748" i="15"/>
  <c r="AB748" i="15"/>
  <c r="AD747" i="15"/>
  <c r="AC747" i="15"/>
  <c r="AB747" i="15"/>
  <c r="AD746" i="15"/>
  <c r="AC746" i="15"/>
  <c r="AB746" i="15"/>
  <c r="AD744" i="15"/>
  <c r="AC744" i="15"/>
  <c r="AB744" i="15"/>
  <c r="AD743" i="15"/>
  <c r="AC743" i="15"/>
  <c r="AB743" i="15"/>
  <c r="AD742" i="15"/>
  <c r="AC742" i="15"/>
  <c r="AB742" i="15"/>
  <c r="AD741" i="15"/>
  <c r="AC741" i="15"/>
  <c r="AB741" i="15"/>
  <c r="AD740" i="15"/>
  <c r="AC740" i="15"/>
  <c r="AB740" i="15"/>
  <c r="AD739" i="15"/>
  <c r="AC739" i="15"/>
  <c r="AB739" i="15"/>
  <c r="AD738" i="15"/>
  <c r="AC738" i="15"/>
  <c r="AB738" i="15"/>
  <c r="AD737" i="15"/>
  <c r="AC737" i="15"/>
  <c r="AB737" i="15"/>
  <c r="AD736" i="15"/>
  <c r="AC736" i="15"/>
  <c r="AB736" i="15"/>
  <c r="AD735" i="15"/>
  <c r="AC735" i="15"/>
  <c r="AB735" i="15"/>
  <c r="AD734" i="15"/>
  <c r="AC734" i="15"/>
  <c r="AB734" i="15"/>
  <c r="AD733" i="15"/>
  <c r="AC733" i="15"/>
  <c r="AB733" i="15"/>
  <c r="AD732" i="15"/>
  <c r="AC732" i="15"/>
  <c r="AB732" i="15"/>
  <c r="AD731" i="15"/>
  <c r="AC731" i="15"/>
  <c r="AB731" i="15"/>
  <c r="AD730" i="15"/>
  <c r="AC730" i="15"/>
  <c r="AB730" i="15"/>
  <c r="AD729" i="15"/>
  <c r="AC729" i="15"/>
  <c r="AB729" i="15"/>
  <c r="AD728" i="15"/>
  <c r="AC728" i="15"/>
  <c r="AB728" i="15"/>
  <c r="AD727" i="15"/>
  <c r="AC727" i="15"/>
  <c r="AB727" i="15"/>
  <c r="AD725" i="15"/>
  <c r="AC725" i="15"/>
  <c r="AB725" i="15"/>
  <c r="AD724" i="15"/>
  <c r="AC724" i="15"/>
  <c r="AB724" i="15"/>
  <c r="AD723" i="15"/>
  <c r="AC723" i="15"/>
  <c r="AB723" i="15"/>
  <c r="AD722" i="15"/>
  <c r="AC722" i="15"/>
  <c r="AB722" i="15"/>
  <c r="AD721" i="15"/>
  <c r="AC721" i="15"/>
  <c r="AB721" i="15"/>
  <c r="AD720" i="15"/>
  <c r="AC720" i="15"/>
  <c r="AB720" i="15"/>
  <c r="AD719" i="15"/>
  <c r="AC719" i="15"/>
  <c r="AB719" i="15"/>
  <c r="AD718" i="15"/>
  <c r="AC718" i="15"/>
  <c r="AB718" i="15"/>
  <c r="AD717" i="15"/>
  <c r="AC717" i="15"/>
  <c r="AB717" i="15"/>
  <c r="AD716" i="15"/>
  <c r="AC716" i="15"/>
  <c r="AB716" i="15"/>
  <c r="AD715" i="15"/>
  <c r="AC715" i="15"/>
  <c r="AB715" i="15"/>
  <c r="AD714" i="15"/>
  <c r="AC714" i="15"/>
  <c r="AB714" i="15"/>
  <c r="AD713" i="15"/>
  <c r="AC713" i="15"/>
  <c r="AB713" i="15"/>
  <c r="AD712" i="15"/>
  <c r="AC712" i="15"/>
  <c r="AB712" i="15"/>
  <c r="AD711" i="15"/>
  <c r="AC711" i="15"/>
  <c r="AB711" i="15"/>
  <c r="AD710" i="15"/>
  <c r="AC710" i="15"/>
  <c r="AB710" i="15"/>
  <c r="AD709" i="15"/>
  <c r="AC709" i="15"/>
  <c r="AB709" i="15"/>
  <c r="AD708" i="15"/>
  <c r="AC708" i="15"/>
  <c r="AB708" i="15"/>
  <c r="AD706" i="15"/>
  <c r="AC706" i="15"/>
  <c r="AB706" i="15"/>
  <c r="AD705" i="15"/>
  <c r="AC705" i="15"/>
  <c r="AB705" i="15"/>
  <c r="AD704" i="15"/>
  <c r="AC704" i="15"/>
  <c r="AB704" i="15"/>
  <c r="AD703" i="15"/>
  <c r="AC703" i="15"/>
  <c r="AB703" i="15"/>
  <c r="AD702" i="15"/>
  <c r="AC702" i="15"/>
  <c r="AB702" i="15"/>
  <c r="AD701" i="15"/>
  <c r="AC701" i="15"/>
  <c r="AB701" i="15"/>
  <c r="AD700" i="15"/>
  <c r="AC700" i="15"/>
  <c r="AB700" i="15"/>
  <c r="AD699" i="15"/>
  <c r="AC699" i="15"/>
  <c r="AB699" i="15"/>
  <c r="AD698" i="15"/>
  <c r="AC698" i="15"/>
  <c r="AB698" i="15"/>
  <c r="AD697" i="15"/>
  <c r="AC697" i="15"/>
  <c r="AB697" i="15"/>
  <c r="AD696" i="15"/>
  <c r="AC696" i="15"/>
  <c r="AB696" i="15"/>
  <c r="AD695" i="15"/>
  <c r="AC695" i="15"/>
  <c r="AB695" i="15"/>
  <c r="AD694" i="15"/>
  <c r="AC694" i="15"/>
  <c r="AB694" i="15"/>
  <c r="AD693" i="15"/>
  <c r="AC693" i="15"/>
  <c r="AB693" i="15"/>
  <c r="AD692" i="15"/>
  <c r="AC692" i="15"/>
  <c r="AB692" i="15"/>
  <c r="AD691" i="15"/>
  <c r="AC691" i="15"/>
  <c r="AB691" i="15"/>
  <c r="AD690" i="15"/>
  <c r="AC690" i="15"/>
  <c r="AB690" i="15"/>
  <c r="AD689" i="15"/>
  <c r="AC689" i="15"/>
  <c r="AB689" i="15"/>
  <c r="AD687" i="15"/>
  <c r="AC687" i="15"/>
  <c r="AB687" i="15"/>
  <c r="AD686" i="15"/>
  <c r="AC686" i="15"/>
  <c r="AB686" i="15"/>
  <c r="AD685" i="15"/>
  <c r="AC685" i="15"/>
  <c r="AB685" i="15"/>
  <c r="AD684" i="15"/>
  <c r="AC684" i="15"/>
  <c r="AB684" i="15"/>
  <c r="AD683" i="15"/>
  <c r="AC683" i="15"/>
  <c r="AB683" i="15"/>
  <c r="AD682" i="15"/>
  <c r="AC682" i="15"/>
  <c r="AB682" i="15"/>
  <c r="AD681" i="15"/>
  <c r="AC681" i="15"/>
  <c r="AB681" i="15"/>
  <c r="AD680" i="15"/>
  <c r="AC680" i="15"/>
  <c r="AB680" i="15"/>
  <c r="AD679" i="15"/>
  <c r="AC679" i="15"/>
  <c r="AB679" i="15"/>
  <c r="AD678" i="15"/>
  <c r="AC678" i="15"/>
  <c r="AB678" i="15"/>
  <c r="AD677" i="15"/>
  <c r="AC677" i="15"/>
  <c r="AB677" i="15"/>
  <c r="AD676" i="15"/>
  <c r="AC676" i="15"/>
  <c r="AB676" i="15"/>
  <c r="AD675" i="15"/>
  <c r="AC675" i="15"/>
  <c r="AB675" i="15"/>
  <c r="AD674" i="15"/>
  <c r="AC674" i="15"/>
  <c r="AB674" i="15"/>
  <c r="AD673" i="15"/>
  <c r="AC673" i="15"/>
  <c r="AB673" i="15"/>
  <c r="AD672" i="15"/>
  <c r="AC672" i="15"/>
  <c r="AB672" i="15"/>
  <c r="AD671" i="15"/>
  <c r="AC671" i="15"/>
  <c r="AB671" i="15"/>
  <c r="AD670" i="15"/>
  <c r="AC670" i="15"/>
  <c r="AB670" i="15"/>
  <c r="AD668" i="15"/>
  <c r="AC668" i="15"/>
  <c r="AB668" i="15"/>
  <c r="AD667" i="15"/>
  <c r="AC667" i="15"/>
  <c r="AB667" i="15"/>
  <c r="AD666" i="15"/>
  <c r="AC666" i="15"/>
  <c r="AB666" i="15"/>
  <c r="AD665" i="15"/>
  <c r="AC665" i="15"/>
  <c r="AB665" i="15"/>
  <c r="AD664" i="15"/>
  <c r="AC664" i="15"/>
  <c r="AB664" i="15"/>
  <c r="AD663" i="15"/>
  <c r="AC663" i="15"/>
  <c r="AB663" i="15"/>
  <c r="AD662" i="15"/>
  <c r="AC662" i="15"/>
  <c r="AB662" i="15"/>
  <c r="AD661" i="15"/>
  <c r="AC661" i="15"/>
  <c r="AB661" i="15"/>
  <c r="AD660" i="15"/>
  <c r="AC660" i="15"/>
  <c r="AB660" i="15"/>
  <c r="AD659" i="15"/>
  <c r="AC659" i="15"/>
  <c r="AB659" i="15"/>
  <c r="AD658" i="15"/>
  <c r="AC658" i="15"/>
  <c r="AB658" i="15"/>
  <c r="AD657" i="15"/>
  <c r="AC657" i="15"/>
  <c r="AB657" i="15"/>
  <c r="AD656" i="15"/>
  <c r="AC656" i="15"/>
  <c r="AB656" i="15"/>
  <c r="AD655" i="15"/>
  <c r="AC655" i="15"/>
  <c r="AB655" i="15"/>
  <c r="AD654" i="15"/>
  <c r="AC654" i="15"/>
  <c r="AB654" i="15"/>
  <c r="AD653" i="15"/>
  <c r="AC653" i="15"/>
  <c r="AB653" i="15"/>
  <c r="AD652" i="15"/>
  <c r="AC652" i="15"/>
  <c r="AB652" i="15"/>
  <c r="AD651" i="15"/>
  <c r="AC651" i="15"/>
  <c r="AB651" i="15"/>
  <c r="AD649" i="15"/>
  <c r="AC649" i="15"/>
  <c r="AB649" i="15"/>
  <c r="AD648" i="15"/>
  <c r="AC648" i="15"/>
  <c r="AB648" i="15"/>
  <c r="AD647" i="15"/>
  <c r="AC647" i="15"/>
  <c r="AB647" i="15"/>
  <c r="AD646" i="15"/>
  <c r="AC646" i="15"/>
  <c r="AB646" i="15"/>
  <c r="AD645" i="15"/>
  <c r="AC645" i="15"/>
  <c r="AB645" i="15"/>
  <c r="AD644" i="15"/>
  <c r="AC644" i="15"/>
  <c r="AB644" i="15"/>
  <c r="AD643" i="15"/>
  <c r="AC643" i="15"/>
  <c r="AB643" i="15"/>
  <c r="AD642" i="15"/>
  <c r="AC642" i="15"/>
  <c r="AB642" i="15"/>
  <c r="AD641" i="15"/>
  <c r="AC641" i="15"/>
  <c r="AB641" i="15"/>
  <c r="AD640" i="15"/>
  <c r="AC640" i="15"/>
  <c r="AB640" i="15"/>
  <c r="AD639" i="15"/>
  <c r="AC639" i="15"/>
  <c r="AB639" i="15"/>
  <c r="AD638" i="15"/>
  <c r="AC638" i="15"/>
  <c r="AB638" i="15"/>
  <c r="AD637" i="15"/>
  <c r="AC637" i="15"/>
  <c r="AB637" i="15"/>
  <c r="AD636" i="15"/>
  <c r="AC636" i="15"/>
  <c r="AB636" i="15"/>
  <c r="AD635" i="15"/>
  <c r="AC635" i="15"/>
  <c r="AB635" i="15"/>
  <c r="AD634" i="15"/>
  <c r="AC634" i="15"/>
  <c r="AB634" i="15"/>
  <c r="AD633" i="15"/>
  <c r="AC633" i="15"/>
  <c r="AB633" i="15"/>
  <c r="AD632" i="15"/>
  <c r="AC632" i="15"/>
  <c r="AB632" i="15"/>
  <c r="AD630" i="15"/>
  <c r="AC630" i="15"/>
  <c r="AB630" i="15"/>
  <c r="AD629" i="15"/>
  <c r="AC629" i="15"/>
  <c r="AB629" i="15"/>
  <c r="AD628" i="15"/>
  <c r="AC628" i="15"/>
  <c r="AB628" i="15"/>
  <c r="AD627" i="15"/>
  <c r="AC627" i="15"/>
  <c r="AB627" i="15"/>
  <c r="AD626" i="15"/>
  <c r="AC626" i="15"/>
  <c r="AB626" i="15"/>
  <c r="AD625" i="15"/>
  <c r="AC625" i="15"/>
  <c r="AB625" i="15"/>
  <c r="AD624" i="15"/>
  <c r="AC624" i="15"/>
  <c r="AB624" i="15"/>
  <c r="AD623" i="15"/>
  <c r="AC623" i="15"/>
  <c r="AB623" i="15"/>
  <c r="AD622" i="15"/>
  <c r="AC622" i="15"/>
  <c r="AB622" i="15"/>
  <c r="AD621" i="15"/>
  <c r="AC621" i="15"/>
  <c r="AB621" i="15"/>
  <c r="AD620" i="15"/>
  <c r="AC620" i="15"/>
  <c r="AB620" i="15"/>
  <c r="AD619" i="15"/>
  <c r="AC619" i="15"/>
  <c r="AB619" i="15"/>
  <c r="AD618" i="15"/>
  <c r="AC618" i="15"/>
  <c r="AB618" i="15"/>
  <c r="AD617" i="15"/>
  <c r="AC617" i="15"/>
  <c r="AB617" i="15"/>
  <c r="AD616" i="15"/>
  <c r="AC616" i="15"/>
  <c r="AB616" i="15"/>
  <c r="AD615" i="15"/>
  <c r="AC615" i="15"/>
  <c r="AB615" i="15"/>
  <c r="AD614" i="15"/>
  <c r="AC614" i="15"/>
  <c r="AB614" i="15"/>
  <c r="AD613" i="15"/>
  <c r="AC613" i="15"/>
  <c r="AB613" i="15"/>
  <c r="AD611" i="15"/>
  <c r="AC611" i="15"/>
  <c r="AB611" i="15"/>
  <c r="AD610" i="15"/>
  <c r="AC610" i="15"/>
  <c r="AB610" i="15"/>
  <c r="AD609" i="15"/>
  <c r="AC609" i="15"/>
  <c r="AB609" i="15"/>
  <c r="AD608" i="15"/>
  <c r="AC608" i="15"/>
  <c r="AB608" i="15"/>
  <c r="AD607" i="15"/>
  <c r="AC607" i="15"/>
  <c r="AB607" i="15"/>
  <c r="AD606" i="15"/>
  <c r="AC606" i="15"/>
  <c r="AB606" i="15"/>
  <c r="AD605" i="15"/>
  <c r="AC605" i="15"/>
  <c r="AB605" i="15"/>
  <c r="AD604" i="15"/>
  <c r="AC604" i="15"/>
  <c r="AB604" i="15"/>
  <c r="AD603" i="15"/>
  <c r="AC603" i="15"/>
  <c r="AB603" i="15"/>
  <c r="AD602" i="15"/>
  <c r="AC602" i="15"/>
  <c r="AB602" i="15"/>
  <c r="AD601" i="15"/>
  <c r="AC601" i="15"/>
  <c r="AB601" i="15"/>
  <c r="AD600" i="15"/>
  <c r="AC600" i="15"/>
  <c r="AB600" i="15"/>
  <c r="AD599" i="15"/>
  <c r="AC599" i="15"/>
  <c r="AB599" i="15"/>
  <c r="AD598" i="15"/>
  <c r="AC598" i="15"/>
  <c r="AB598" i="15"/>
  <c r="AD597" i="15"/>
  <c r="AC597" i="15"/>
  <c r="AB597" i="15"/>
  <c r="AD596" i="15"/>
  <c r="AC596" i="15"/>
  <c r="AB596" i="15"/>
  <c r="AD595" i="15"/>
  <c r="AC595" i="15"/>
  <c r="AB595" i="15"/>
  <c r="AD594" i="15"/>
  <c r="AC594" i="15"/>
  <c r="AB594" i="15"/>
  <c r="AD592" i="15"/>
  <c r="AC592" i="15"/>
  <c r="AB592" i="15"/>
  <c r="AD591" i="15"/>
  <c r="AC591" i="15"/>
  <c r="AB591" i="15"/>
  <c r="AD590" i="15"/>
  <c r="AC590" i="15"/>
  <c r="AB590" i="15"/>
  <c r="AD589" i="15"/>
  <c r="AC589" i="15"/>
  <c r="AB589" i="15"/>
  <c r="AD588" i="15"/>
  <c r="AC588" i="15"/>
  <c r="AB588" i="15"/>
  <c r="AD587" i="15"/>
  <c r="AC587" i="15"/>
  <c r="AB587" i="15"/>
  <c r="AD586" i="15"/>
  <c r="AC586" i="15"/>
  <c r="AB586" i="15"/>
  <c r="AD585" i="15"/>
  <c r="AC585" i="15"/>
  <c r="AB585" i="15"/>
  <c r="AD584" i="15"/>
  <c r="AC584" i="15"/>
  <c r="AB584" i="15"/>
  <c r="AD583" i="15"/>
  <c r="AC583" i="15"/>
  <c r="AB583" i="15"/>
  <c r="AD582" i="15"/>
  <c r="AC582" i="15"/>
  <c r="AB582" i="15"/>
  <c r="AD581" i="15"/>
  <c r="AC581" i="15"/>
  <c r="AB581" i="15"/>
  <c r="AD580" i="15"/>
  <c r="AC580" i="15"/>
  <c r="AB580" i="15"/>
  <c r="AD579" i="15"/>
  <c r="AC579" i="15"/>
  <c r="AB579" i="15"/>
  <c r="AD578" i="15"/>
  <c r="AC578" i="15"/>
  <c r="AB578" i="15"/>
  <c r="AD577" i="15"/>
  <c r="AC577" i="15"/>
  <c r="AB577" i="15"/>
  <c r="AD576" i="15"/>
  <c r="AC576" i="15"/>
  <c r="AB576" i="15"/>
  <c r="AD575" i="15"/>
  <c r="AC575" i="15"/>
  <c r="AB575" i="15"/>
  <c r="AD573" i="15"/>
  <c r="AC573" i="15"/>
  <c r="AB573" i="15"/>
  <c r="AD572" i="15"/>
  <c r="AC572" i="15"/>
  <c r="AB572" i="15"/>
  <c r="AD571" i="15"/>
  <c r="AC571" i="15"/>
  <c r="AB571" i="15"/>
  <c r="AD570" i="15"/>
  <c r="AC570" i="15"/>
  <c r="AB570" i="15"/>
  <c r="AD569" i="15"/>
  <c r="AC569" i="15"/>
  <c r="AB569" i="15"/>
  <c r="AD568" i="15"/>
  <c r="AC568" i="15"/>
  <c r="AB568" i="15"/>
  <c r="AD567" i="15"/>
  <c r="AC567" i="15"/>
  <c r="AB567" i="15"/>
  <c r="AD566" i="15"/>
  <c r="AC566" i="15"/>
  <c r="AB566" i="15"/>
  <c r="AD565" i="15"/>
  <c r="AC565" i="15"/>
  <c r="AB565" i="15"/>
  <c r="AD564" i="15"/>
  <c r="AC564" i="15"/>
  <c r="AB564" i="15"/>
  <c r="AD563" i="15"/>
  <c r="AC563" i="15"/>
  <c r="AB563" i="15"/>
  <c r="AD562" i="15"/>
  <c r="AC562" i="15"/>
  <c r="AB562" i="15"/>
  <c r="AD561" i="15"/>
  <c r="AC561" i="15"/>
  <c r="AB561" i="15"/>
  <c r="AD560" i="15"/>
  <c r="AC560" i="15"/>
  <c r="AB560" i="15"/>
  <c r="AD559" i="15"/>
  <c r="AC559" i="15"/>
  <c r="AB559" i="15"/>
  <c r="AD558" i="15"/>
  <c r="AC558" i="15"/>
  <c r="AB558" i="15"/>
  <c r="AD557" i="15"/>
  <c r="AC557" i="15"/>
  <c r="AB557" i="15"/>
  <c r="AD556" i="15"/>
  <c r="AC556" i="15"/>
  <c r="AB556" i="15"/>
  <c r="AD554" i="15"/>
  <c r="AC554" i="15"/>
  <c r="AB554" i="15"/>
  <c r="AD553" i="15"/>
  <c r="AC553" i="15"/>
  <c r="AB553" i="15"/>
  <c r="AD552" i="15"/>
  <c r="AC552" i="15"/>
  <c r="AB552" i="15"/>
  <c r="AD551" i="15"/>
  <c r="AC551" i="15"/>
  <c r="AB551" i="15"/>
  <c r="AD550" i="15"/>
  <c r="AC550" i="15"/>
  <c r="AB550" i="15"/>
  <c r="AD549" i="15"/>
  <c r="AC549" i="15"/>
  <c r="AB549" i="15"/>
  <c r="AD548" i="15"/>
  <c r="AC548" i="15"/>
  <c r="AB548" i="15"/>
  <c r="AD547" i="15"/>
  <c r="AC547" i="15"/>
  <c r="AB547" i="15"/>
  <c r="AD546" i="15"/>
  <c r="AC546" i="15"/>
  <c r="AB546" i="15"/>
  <c r="AD545" i="15"/>
  <c r="AC545" i="15"/>
  <c r="AB545" i="15"/>
  <c r="AD544" i="15"/>
  <c r="AC544" i="15"/>
  <c r="AB544" i="15"/>
  <c r="AD543" i="15"/>
  <c r="AC543" i="15"/>
  <c r="AB543" i="15"/>
  <c r="AD542" i="15"/>
  <c r="AC542" i="15"/>
  <c r="AB542" i="15"/>
  <c r="AD541" i="15"/>
  <c r="AC541" i="15"/>
  <c r="AB541" i="15"/>
  <c r="AD540" i="15"/>
  <c r="AC540" i="15"/>
  <c r="AB540" i="15"/>
  <c r="AD539" i="15"/>
  <c r="AC539" i="15"/>
  <c r="AB539" i="15"/>
  <c r="AD538" i="15"/>
  <c r="AC538" i="15"/>
  <c r="AB538" i="15"/>
  <c r="AD537" i="15"/>
  <c r="AC537" i="15"/>
  <c r="AB537" i="15"/>
  <c r="AD535" i="15"/>
  <c r="AC535" i="15"/>
  <c r="AB535" i="15"/>
  <c r="AD534" i="15"/>
  <c r="AC534" i="15"/>
  <c r="AB534" i="15"/>
  <c r="AD533" i="15"/>
  <c r="AC533" i="15"/>
  <c r="AB533" i="15"/>
  <c r="AD532" i="15"/>
  <c r="AC532" i="15"/>
  <c r="AB532" i="15"/>
  <c r="AD531" i="15"/>
  <c r="AC531" i="15"/>
  <c r="AB531" i="15"/>
  <c r="AD530" i="15"/>
  <c r="AC530" i="15"/>
  <c r="AB530" i="15"/>
  <c r="AD529" i="15"/>
  <c r="AC529" i="15"/>
  <c r="AB529" i="15"/>
  <c r="AD528" i="15"/>
  <c r="AC528" i="15"/>
  <c r="AB528" i="15"/>
  <c r="AD527" i="15"/>
  <c r="AC527" i="15"/>
  <c r="AB527" i="15"/>
  <c r="AD526" i="15"/>
  <c r="AC526" i="15"/>
  <c r="AB526" i="15"/>
  <c r="AD525" i="15"/>
  <c r="AC525" i="15"/>
  <c r="AB525" i="15"/>
  <c r="AD524" i="15"/>
  <c r="AC524" i="15"/>
  <c r="AB524" i="15"/>
  <c r="AD523" i="15"/>
  <c r="AC523" i="15"/>
  <c r="AB523" i="15"/>
  <c r="AD522" i="15"/>
  <c r="AC522" i="15"/>
  <c r="AB522" i="15"/>
  <c r="AD521" i="15"/>
  <c r="AC521" i="15"/>
  <c r="AB521" i="15"/>
  <c r="AD520" i="15"/>
  <c r="AC520" i="15"/>
  <c r="AB520" i="15"/>
  <c r="AD519" i="15"/>
  <c r="AC519" i="15"/>
  <c r="AB519" i="15"/>
  <c r="AD518" i="15"/>
  <c r="AC518" i="15"/>
  <c r="AB518" i="15"/>
  <c r="AD516" i="15"/>
  <c r="AC516" i="15"/>
  <c r="AB516" i="15"/>
  <c r="AD515" i="15"/>
  <c r="AC515" i="15"/>
  <c r="AB515" i="15"/>
  <c r="AD514" i="15"/>
  <c r="AC514" i="15"/>
  <c r="AB514" i="15"/>
  <c r="AD513" i="15"/>
  <c r="AC513" i="15"/>
  <c r="AB513" i="15"/>
  <c r="AD512" i="15"/>
  <c r="AC512" i="15"/>
  <c r="AB512" i="15"/>
  <c r="AD511" i="15"/>
  <c r="AC511" i="15"/>
  <c r="AB511" i="15"/>
  <c r="AD510" i="15"/>
  <c r="AC510" i="15"/>
  <c r="AB510" i="15"/>
  <c r="AD509" i="15"/>
  <c r="AC509" i="15"/>
  <c r="AB509" i="15"/>
  <c r="AD508" i="15"/>
  <c r="AC508" i="15"/>
  <c r="AB508" i="15"/>
  <c r="AD507" i="15"/>
  <c r="AC507" i="15"/>
  <c r="AB507" i="15"/>
  <c r="AD506" i="15"/>
  <c r="AC506" i="15"/>
  <c r="AB506" i="15"/>
  <c r="AD505" i="15"/>
  <c r="AC505" i="15"/>
  <c r="AB505" i="15"/>
  <c r="AD504" i="15"/>
  <c r="AC504" i="15"/>
  <c r="AB504" i="15"/>
  <c r="AD503" i="15"/>
  <c r="AC503" i="15"/>
  <c r="AB503" i="15"/>
  <c r="AD502" i="15"/>
  <c r="AC502" i="15"/>
  <c r="AB502" i="15"/>
  <c r="AD501" i="15"/>
  <c r="AC501" i="15"/>
  <c r="AB501" i="15"/>
  <c r="AD500" i="15"/>
  <c r="AC500" i="15"/>
  <c r="AB500" i="15"/>
  <c r="AD499" i="15"/>
  <c r="AC499" i="15"/>
  <c r="AB499" i="15"/>
  <c r="AD497" i="15"/>
  <c r="AC497" i="15"/>
  <c r="AB497" i="15"/>
  <c r="AD496" i="15"/>
  <c r="AC496" i="15"/>
  <c r="AB496" i="15"/>
  <c r="AD495" i="15"/>
  <c r="AC495" i="15"/>
  <c r="AB495" i="15"/>
  <c r="AD494" i="15"/>
  <c r="AC494" i="15"/>
  <c r="AB494" i="15"/>
  <c r="AD493" i="15"/>
  <c r="AC493" i="15"/>
  <c r="AB493" i="15"/>
  <c r="AD492" i="15"/>
  <c r="AC492" i="15"/>
  <c r="AB492" i="15"/>
  <c r="AD491" i="15"/>
  <c r="AC491" i="15"/>
  <c r="AB491" i="15"/>
  <c r="AD490" i="15"/>
  <c r="AC490" i="15"/>
  <c r="AB490" i="15"/>
  <c r="AD489" i="15"/>
  <c r="AC489" i="15"/>
  <c r="AB489" i="15"/>
  <c r="AD488" i="15"/>
  <c r="AC488" i="15"/>
  <c r="AB488" i="15"/>
  <c r="AD487" i="15"/>
  <c r="AC487" i="15"/>
  <c r="AB487" i="15"/>
  <c r="AD486" i="15"/>
  <c r="AC486" i="15"/>
  <c r="AB486" i="15"/>
  <c r="AD485" i="15"/>
  <c r="AC485" i="15"/>
  <c r="AB485" i="15"/>
  <c r="AD484" i="15"/>
  <c r="AC484" i="15"/>
  <c r="AB484" i="15"/>
  <c r="AD483" i="15"/>
  <c r="AC483" i="15"/>
  <c r="AB483" i="15"/>
  <c r="AD482" i="15"/>
  <c r="AC482" i="15"/>
  <c r="AB482" i="15"/>
  <c r="AD481" i="15"/>
  <c r="AC481" i="15"/>
  <c r="AB481" i="15"/>
  <c r="AD480" i="15"/>
  <c r="AC480" i="15"/>
  <c r="AB480" i="15"/>
  <c r="AD478" i="15"/>
  <c r="AC478" i="15"/>
  <c r="AB478" i="15"/>
  <c r="AD477" i="15"/>
  <c r="AC477" i="15"/>
  <c r="AB477" i="15"/>
  <c r="AD476" i="15"/>
  <c r="AC476" i="15"/>
  <c r="AB476" i="15"/>
  <c r="AD475" i="15"/>
  <c r="AC475" i="15"/>
  <c r="AB475" i="15"/>
  <c r="AD474" i="15"/>
  <c r="AC474" i="15"/>
  <c r="AB474" i="15"/>
  <c r="AD473" i="15"/>
  <c r="AC473" i="15"/>
  <c r="AB473" i="15"/>
  <c r="AD472" i="15"/>
  <c r="AC472" i="15"/>
  <c r="AB472" i="15"/>
  <c r="AD471" i="15"/>
  <c r="AC471" i="15"/>
  <c r="AB471" i="15"/>
  <c r="AD470" i="15"/>
  <c r="AC470" i="15"/>
  <c r="AB470" i="15"/>
  <c r="AD469" i="15"/>
  <c r="AC469" i="15"/>
  <c r="AB469" i="15"/>
  <c r="AD468" i="15"/>
  <c r="AC468" i="15"/>
  <c r="AB468" i="15"/>
  <c r="AD467" i="15"/>
  <c r="AC467" i="15"/>
  <c r="AB467" i="15"/>
  <c r="AD466" i="15"/>
  <c r="AC466" i="15"/>
  <c r="AB466" i="15"/>
  <c r="AD465" i="15"/>
  <c r="AC465" i="15"/>
  <c r="AB465" i="15"/>
  <c r="AD464" i="15"/>
  <c r="AC464" i="15"/>
  <c r="AB464" i="15"/>
  <c r="AD463" i="15"/>
  <c r="AC463" i="15"/>
  <c r="AB463" i="15"/>
  <c r="AD462" i="15"/>
  <c r="AC462" i="15"/>
  <c r="AB462" i="15"/>
  <c r="AD461" i="15"/>
  <c r="AC461" i="15"/>
  <c r="AB461" i="15"/>
  <c r="AD459" i="15"/>
  <c r="AC459" i="15"/>
  <c r="AB459" i="15"/>
  <c r="AD458" i="15"/>
  <c r="AC458" i="15"/>
  <c r="AB458" i="15"/>
  <c r="AD457" i="15"/>
  <c r="AC457" i="15"/>
  <c r="AB457" i="15"/>
  <c r="AD456" i="15"/>
  <c r="AC456" i="15"/>
  <c r="AB456" i="15"/>
  <c r="AD455" i="15"/>
  <c r="AC455" i="15"/>
  <c r="AB455" i="15"/>
  <c r="AD454" i="15"/>
  <c r="AC454" i="15"/>
  <c r="AB454" i="15"/>
  <c r="AD453" i="15"/>
  <c r="AC453" i="15"/>
  <c r="AB453" i="15"/>
  <c r="AD452" i="15"/>
  <c r="AC452" i="15"/>
  <c r="AB452" i="15"/>
  <c r="AD451" i="15"/>
  <c r="AC451" i="15"/>
  <c r="AB451" i="15"/>
  <c r="AD450" i="15"/>
  <c r="AC450" i="15"/>
  <c r="AB450" i="15"/>
  <c r="AD449" i="15"/>
  <c r="AC449" i="15"/>
  <c r="AB449" i="15"/>
  <c r="AD448" i="15"/>
  <c r="AC448" i="15"/>
  <c r="AB448" i="15"/>
  <c r="AD447" i="15"/>
  <c r="AC447" i="15"/>
  <c r="AB447" i="15"/>
  <c r="AD446" i="15"/>
  <c r="AC446" i="15"/>
  <c r="AB446" i="15"/>
  <c r="AD445" i="15"/>
  <c r="AC445" i="15"/>
  <c r="AB445" i="15"/>
  <c r="AD444" i="15"/>
  <c r="AC444" i="15"/>
  <c r="AB444" i="15"/>
  <c r="AD443" i="15"/>
  <c r="AC443" i="15"/>
  <c r="AB443" i="15"/>
  <c r="AD442" i="15"/>
  <c r="AC442" i="15"/>
  <c r="AB442" i="15"/>
  <c r="AD440" i="15"/>
  <c r="AC440" i="15"/>
  <c r="AB440" i="15"/>
  <c r="AD439" i="15"/>
  <c r="AC439" i="15"/>
  <c r="AB439" i="15"/>
  <c r="AD438" i="15"/>
  <c r="AC438" i="15"/>
  <c r="AB438" i="15"/>
  <c r="AD437" i="15"/>
  <c r="AC437" i="15"/>
  <c r="AB437" i="15"/>
  <c r="AD436" i="15"/>
  <c r="AC436" i="15"/>
  <c r="AB436" i="15"/>
  <c r="AD435" i="15"/>
  <c r="AC435" i="15"/>
  <c r="AB435" i="15"/>
  <c r="AD434" i="15"/>
  <c r="AC434" i="15"/>
  <c r="AB434" i="15"/>
  <c r="AD433" i="15"/>
  <c r="AC433" i="15"/>
  <c r="AB433" i="15"/>
  <c r="AD432" i="15"/>
  <c r="AC432" i="15"/>
  <c r="AB432" i="15"/>
  <c r="AD431" i="15"/>
  <c r="AC431" i="15"/>
  <c r="AB431" i="15"/>
  <c r="AD430" i="15"/>
  <c r="AC430" i="15"/>
  <c r="AB430" i="15"/>
  <c r="AD429" i="15"/>
  <c r="AC429" i="15"/>
  <c r="AB429" i="15"/>
  <c r="AD428" i="15"/>
  <c r="AC428" i="15"/>
  <c r="AB428" i="15"/>
  <c r="AD427" i="15"/>
  <c r="AC427" i="15"/>
  <c r="AB427" i="15"/>
  <c r="AD426" i="15"/>
  <c r="AC426" i="15"/>
  <c r="AB426" i="15"/>
  <c r="AD425" i="15"/>
  <c r="AC425" i="15"/>
  <c r="AB425" i="15"/>
  <c r="AD424" i="15"/>
  <c r="AC424" i="15"/>
  <c r="AB424" i="15"/>
  <c r="AD423" i="15"/>
  <c r="AC423" i="15"/>
  <c r="AB423" i="15"/>
  <c r="AD421" i="15"/>
  <c r="AC421" i="15"/>
  <c r="AB421" i="15"/>
  <c r="AD420" i="15"/>
  <c r="AC420" i="15"/>
  <c r="AB420" i="15"/>
  <c r="AD419" i="15"/>
  <c r="AC419" i="15"/>
  <c r="AB419" i="15"/>
  <c r="AD418" i="15"/>
  <c r="AC418" i="15"/>
  <c r="AB418" i="15"/>
  <c r="AD417" i="15"/>
  <c r="AC417" i="15"/>
  <c r="AB417" i="15"/>
  <c r="AD416" i="15"/>
  <c r="AC416" i="15"/>
  <c r="AB416" i="15"/>
  <c r="AD415" i="15"/>
  <c r="AC415" i="15"/>
  <c r="AB415" i="15"/>
  <c r="AD414" i="15"/>
  <c r="AC414" i="15"/>
  <c r="AB414" i="15"/>
  <c r="AD413" i="15"/>
  <c r="AC413" i="15"/>
  <c r="AB413" i="15"/>
  <c r="AD412" i="15"/>
  <c r="AC412" i="15"/>
  <c r="AB412" i="15"/>
  <c r="AD411" i="15"/>
  <c r="AC411" i="15"/>
  <c r="AB411" i="15"/>
  <c r="AD410" i="15"/>
  <c r="AC410" i="15"/>
  <c r="AB410" i="15"/>
  <c r="AD409" i="15"/>
  <c r="AC409" i="15"/>
  <c r="AB409" i="15"/>
  <c r="AD408" i="15"/>
  <c r="AC408" i="15"/>
  <c r="AB408" i="15"/>
  <c r="AD407" i="15"/>
  <c r="AC407" i="15"/>
  <c r="AB407" i="15"/>
  <c r="AD406" i="15"/>
  <c r="AC406" i="15"/>
  <c r="AB406" i="15"/>
  <c r="AD405" i="15"/>
  <c r="AC405" i="15"/>
  <c r="AB405" i="15"/>
  <c r="AD404" i="15"/>
  <c r="AC404" i="15"/>
  <c r="AB404" i="15"/>
  <c r="AD402" i="15"/>
  <c r="AC402" i="15"/>
  <c r="AB402" i="15"/>
  <c r="AD401" i="15"/>
  <c r="AC401" i="15"/>
  <c r="AB401" i="15"/>
  <c r="AD400" i="15"/>
  <c r="AC400" i="15"/>
  <c r="AB400" i="15"/>
  <c r="AD399" i="15"/>
  <c r="AC399" i="15"/>
  <c r="AB399" i="15"/>
  <c r="AD398" i="15"/>
  <c r="AC398" i="15"/>
  <c r="AB398" i="15"/>
  <c r="AD397" i="15"/>
  <c r="AC397" i="15"/>
  <c r="AB397" i="15"/>
  <c r="AD396" i="15"/>
  <c r="AC396" i="15"/>
  <c r="AB396" i="15"/>
  <c r="AD395" i="15"/>
  <c r="AC395" i="15"/>
  <c r="AB395" i="15"/>
  <c r="AD394" i="15"/>
  <c r="AC394" i="15"/>
  <c r="AB394" i="15"/>
  <c r="AD393" i="15"/>
  <c r="AC393" i="15"/>
  <c r="AB393" i="15"/>
  <c r="AD392" i="15"/>
  <c r="AC392" i="15"/>
  <c r="AB392" i="15"/>
  <c r="AD391" i="15"/>
  <c r="AC391" i="15"/>
  <c r="AB391" i="15"/>
  <c r="AD390" i="15"/>
  <c r="AC390" i="15"/>
  <c r="AB390" i="15"/>
  <c r="AD389" i="15"/>
  <c r="AC389" i="15"/>
  <c r="AB389" i="15"/>
  <c r="AD388" i="15"/>
  <c r="AC388" i="15"/>
  <c r="AB388" i="15"/>
  <c r="AD387" i="15"/>
  <c r="AC387" i="15"/>
  <c r="AB387" i="15"/>
  <c r="AD386" i="15"/>
  <c r="AC386" i="15"/>
  <c r="AB386" i="15"/>
  <c r="AD385" i="15"/>
  <c r="AC385" i="15"/>
  <c r="AB385" i="15"/>
  <c r="AD383" i="15"/>
  <c r="AC383" i="15"/>
  <c r="AB383" i="15"/>
  <c r="AD382" i="15"/>
  <c r="AC382" i="15"/>
  <c r="AB382" i="15"/>
  <c r="AD381" i="15"/>
  <c r="AC381" i="15"/>
  <c r="AB381" i="15"/>
  <c r="AD380" i="15"/>
  <c r="AC380" i="15"/>
  <c r="AB380" i="15"/>
  <c r="AD379" i="15"/>
  <c r="AC379" i="15"/>
  <c r="AB379" i="15"/>
  <c r="AD378" i="15"/>
  <c r="AC378" i="15"/>
  <c r="AB378" i="15"/>
  <c r="AD377" i="15"/>
  <c r="AC377" i="15"/>
  <c r="AB377" i="15"/>
  <c r="AD376" i="15"/>
  <c r="AC376" i="15"/>
  <c r="AB376" i="15"/>
  <c r="AD375" i="15"/>
  <c r="AC375" i="15"/>
  <c r="AB375" i="15"/>
  <c r="AD374" i="15"/>
  <c r="AC374" i="15"/>
  <c r="AB374" i="15"/>
  <c r="AD373" i="15"/>
  <c r="AC373" i="15"/>
  <c r="AB373" i="15"/>
  <c r="AD372" i="15"/>
  <c r="AC372" i="15"/>
  <c r="AB372" i="15"/>
  <c r="AD371" i="15"/>
  <c r="AC371" i="15"/>
  <c r="AB371" i="15"/>
  <c r="AD370" i="15"/>
  <c r="AC370" i="15"/>
  <c r="AB370" i="15"/>
  <c r="AD369" i="15"/>
  <c r="AC369" i="15"/>
  <c r="AB369" i="15"/>
  <c r="AD368" i="15"/>
  <c r="AC368" i="15"/>
  <c r="AB368" i="15"/>
  <c r="AD367" i="15"/>
  <c r="AC367" i="15"/>
  <c r="AB367" i="15"/>
  <c r="AD366" i="15"/>
  <c r="AC366" i="15"/>
  <c r="AB366" i="15"/>
  <c r="AD364" i="15"/>
  <c r="AC364" i="15"/>
  <c r="AB364" i="15"/>
  <c r="AD363" i="15"/>
  <c r="AC363" i="15"/>
  <c r="AB363" i="15"/>
  <c r="AD362" i="15"/>
  <c r="AC362" i="15"/>
  <c r="AB362" i="15"/>
  <c r="AD361" i="15"/>
  <c r="AC361" i="15"/>
  <c r="AB361" i="15"/>
  <c r="AD360" i="15"/>
  <c r="AC360" i="15"/>
  <c r="AB360" i="15"/>
  <c r="AD359" i="15"/>
  <c r="AC359" i="15"/>
  <c r="AB359" i="15"/>
  <c r="AD358" i="15"/>
  <c r="AC358" i="15"/>
  <c r="AB358" i="15"/>
  <c r="AD357" i="15"/>
  <c r="AC357" i="15"/>
  <c r="AB357" i="15"/>
  <c r="AD356" i="15"/>
  <c r="AC356" i="15"/>
  <c r="AB356" i="15"/>
  <c r="AD355" i="15"/>
  <c r="AC355" i="15"/>
  <c r="AB355" i="15"/>
  <c r="AD354" i="15"/>
  <c r="AC354" i="15"/>
  <c r="AB354" i="15"/>
  <c r="AD353" i="15"/>
  <c r="AC353" i="15"/>
  <c r="AB353" i="15"/>
  <c r="AD352" i="15"/>
  <c r="AC352" i="15"/>
  <c r="AB352" i="15"/>
  <c r="AD351" i="15"/>
  <c r="AC351" i="15"/>
  <c r="AB351" i="15"/>
  <c r="AD350" i="15"/>
  <c r="AC350" i="15"/>
  <c r="AB350" i="15"/>
  <c r="AD349" i="15"/>
  <c r="AC349" i="15"/>
  <c r="AB349" i="15"/>
  <c r="AD348" i="15"/>
  <c r="AC348" i="15"/>
  <c r="AB348" i="15"/>
  <c r="AD347" i="15"/>
  <c r="AC347" i="15"/>
  <c r="AB347" i="15"/>
  <c r="AD345" i="15"/>
  <c r="AC345" i="15"/>
  <c r="AB345" i="15"/>
  <c r="AD344" i="15"/>
  <c r="AC344" i="15"/>
  <c r="AB344" i="15"/>
  <c r="AD343" i="15"/>
  <c r="AC343" i="15"/>
  <c r="AB343" i="15"/>
  <c r="AD342" i="15"/>
  <c r="AC342" i="15"/>
  <c r="AB342" i="15"/>
  <c r="AD341" i="15"/>
  <c r="AC341" i="15"/>
  <c r="AB341" i="15"/>
  <c r="AD340" i="15"/>
  <c r="AC340" i="15"/>
  <c r="AB340" i="15"/>
  <c r="AD339" i="15"/>
  <c r="AC339" i="15"/>
  <c r="AB339" i="15"/>
  <c r="AD338" i="15"/>
  <c r="AC338" i="15"/>
  <c r="AB338" i="15"/>
  <c r="AD337" i="15"/>
  <c r="AC337" i="15"/>
  <c r="AB337" i="15"/>
  <c r="AD336" i="15"/>
  <c r="AC336" i="15"/>
  <c r="AB336" i="15"/>
  <c r="AD335" i="15"/>
  <c r="AC335" i="15"/>
  <c r="AB335" i="15"/>
  <c r="AD334" i="15"/>
  <c r="AC334" i="15"/>
  <c r="AB334" i="15"/>
  <c r="AD333" i="15"/>
  <c r="AC333" i="15"/>
  <c r="AB333" i="15"/>
  <c r="AD332" i="15"/>
  <c r="AC332" i="15"/>
  <c r="AB332" i="15"/>
  <c r="AD331" i="15"/>
  <c r="AC331" i="15"/>
  <c r="AB331" i="15"/>
  <c r="AD330" i="15"/>
  <c r="AC330" i="15"/>
  <c r="AB330" i="15"/>
  <c r="AD329" i="15"/>
  <c r="AC329" i="15"/>
  <c r="AB329" i="15"/>
  <c r="AD328" i="15"/>
  <c r="AC328" i="15"/>
  <c r="AB328" i="15"/>
  <c r="AD326" i="15"/>
  <c r="AC326" i="15"/>
  <c r="AB326" i="15"/>
  <c r="AD325" i="15"/>
  <c r="AC325" i="15"/>
  <c r="AB325" i="15"/>
  <c r="AD324" i="15"/>
  <c r="AC324" i="15"/>
  <c r="AB324" i="15"/>
  <c r="AD323" i="15"/>
  <c r="AC323" i="15"/>
  <c r="AB323" i="15"/>
  <c r="AD322" i="15"/>
  <c r="AC322" i="15"/>
  <c r="AB322" i="15"/>
  <c r="AD321" i="15"/>
  <c r="AC321" i="15"/>
  <c r="AB321" i="15"/>
  <c r="AD320" i="15"/>
  <c r="AC320" i="15"/>
  <c r="AB320" i="15"/>
  <c r="AD319" i="15"/>
  <c r="AC319" i="15"/>
  <c r="AB319" i="15"/>
  <c r="AD318" i="15"/>
  <c r="AC318" i="15"/>
  <c r="AB318" i="15"/>
  <c r="AD317" i="15"/>
  <c r="AC317" i="15"/>
  <c r="AB317" i="15"/>
  <c r="AD316" i="15"/>
  <c r="AC316" i="15"/>
  <c r="AB316" i="15"/>
  <c r="AD315" i="15"/>
  <c r="AC315" i="15"/>
  <c r="AB315" i="15"/>
  <c r="AD314" i="15"/>
  <c r="AC314" i="15"/>
  <c r="AB314" i="15"/>
  <c r="AD313" i="15"/>
  <c r="AC313" i="15"/>
  <c r="AB313" i="15"/>
  <c r="AD312" i="15"/>
  <c r="AC312" i="15"/>
  <c r="AB312" i="15"/>
  <c r="AD311" i="15"/>
  <c r="AC311" i="15"/>
  <c r="AB311" i="15"/>
  <c r="AD310" i="15"/>
  <c r="AC310" i="15"/>
  <c r="AB310" i="15"/>
  <c r="AD309" i="15"/>
  <c r="AC309" i="15"/>
  <c r="AB309" i="15"/>
  <c r="AD307" i="15"/>
  <c r="AC307" i="15"/>
  <c r="AB307" i="15"/>
  <c r="AD306" i="15"/>
  <c r="AC306" i="15"/>
  <c r="AB306" i="15"/>
  <c r="AD305" i="15"/>
  <c r="AC305" i="15"/>
  <c r="AB305" i="15"/>
  <c r="AD304" i="15"/>
  <c r="AC304" i="15"/>
  <c r="AB304" i="15"/>
  <c r="AD303" i="15"/>
  <c r="AC303" i="15"/>
  <c r="AB303" i="15"/>
  <c r="AD302" i="15"/>
  <c r="AC302" i="15"/>
  <c r="AB302" i="15"/>
  <c r="AD301" i="15"/>
  <c r="AC301" i="15"/>
  <c r="AB301" i="15"/>
  <c r="AD300" i="15"/>
  <c r="AC300" i="15"/>
  <c r="AB300" i="15"/>
  <c r="AD299" i="15"/>
  <c r="AC299" i="15"/>
  <c r="AB299" i="15"/>
  <c r="AD298" i="15"/>
  <c r="AC298" i="15"/>
  <c r="AB298" i="15"/>
  <c r="AD297" i="15"/>
  <c r="AC297" i="15"/>
  <c r="AB297" i="15"/>
  <c r="AD296" i="15"/>
  <c r="AC296" i="15"/>
  <c r="AB296" i="15"/>
  <c r="AD295" i="15"/>
  <c r="AC295" i="15"/>
  <c r="AB295" i="15"/>
  <c r="AD294" i="15"/>
  <c r="AC294" i="15"/>
  <c r="AB294" i="15"/>
  <c r="AD293" i="15"/>
  <c r="AC293" i="15"/>
  <c r="AB293" i="15"/>
  <c r="AD292" i="15"/>
  <c r="AC292" i="15"/>
  <c r="AB292" i="15"/>
  <c r="AD291" i="15"/>
  <c r="AC291" i="15"/>
  <c r="AB291" i="15"/>
  <c r="AD290" i="15"/>
  <c r="AC290" i="15"/>
  <c r="AB290" i="15"/>
  <c r="AD288" i="15"/>
  <c r="AC288" i="15"/>
  <c r="AB288" i="15"/>
  <c r="AD287" i="15"/>
  <c r="AC287" i="15"/>
  <c r="AB287" i="15"/>
  <c r="AD286" i="15"/>
  <c r="AC286" i="15"/>
  <c r="AB286" i="15"/>
  <c r="AD285" i="15"/>
  <c r="AC285" i="15"/>
  <c r="AB285" i="15"/>
  <c r="AD284" i="15"/>
  <c r="AC284" i="15"/>
  <c r="AB284" i="15"/>
  <c r="AD283" i="15"/>
  <c r="AC283" i="15"/>
  <c r="AB283" i="15"/>
  <c r="AD282" i="15"/>
  <c r="AC282" i="15"/>
  <c r="AB282" i="15"/>
  <c r="AD281" i="15"/>
  <c r="AC281" i="15"/>
  <c r="AB281" i="15"/>
  <c r="AD280" i="15"/>
  <c r="AC280" i="15"/>
  <c r="AB280" i="15"/>
  <c r="AD279" i="15"/>
  <c r="AC279" i="15"/>
  <c r="AB279" i="15"/>
  <c r="AD278" i="15"/>
  <c r="AC278" i="15"/>
  <c r="AB278" i="15"/>
  <c r="AD277" i="15"/>
  <c r="AC277" i="15"/>
  <c r="AB277" i="15"/>
  <c r="AD276" i="15"/>
  <c r="AC276" i="15"/>
  <c r="AB276" i="15"/>
  <c r="AD275" i="15"/>
  <c r="AC275" i="15"/>
  <c r="AB275" i="15"/>
  <c r="AD274" i="15"/>
  <c r="AC274" i="15"/>
  <c r="AB274" i="15"/>
  <c r="AD273" i="15"/>
  <c r="AC273" i="15"/>
  <c r="AB273" i="15"/>
  <c r="AD272" i="15"/>
  <c r="AC272" i="15"/>
  <c r="AB272" i="15"/>
  <c r="AD271" i="15"/>
  <c r="AC271" i="15"/>
  <c r="AB271" i="15"/>
  <c r="AD269" i="15"/>
  <c r="AC269" i="15"/>
  <c r="AB269" i="15"/>
  <c r="AD268" i="15"/>
  <c r="AC268" i="15"/>
  <c r="AB268" i="15"/>
  <c r="AD267" i="15"/>
  <c r="AC267" i="15"/>
  <c r="AB267" i="15"/>
  <c r="AD266" i="15"/>
  <c r="AC266" i="15"/>
  <c r="AB266" i="15"/>
  <c r="AD265" i="15"/>
  <c r="AC265" i="15"/>
  <c r="AB265" i="15"/>
  <c r="AD264" i="15"/>
  <c r="AC264" i="15"/>
  <c r="AB264" i="15"/>
  <c r="AD263" i="15"/>
  <c r="AC263" i="15"/>
  <c r="AB263" i="15"/>
  <c r="AD262" i="15"/>
  <c r="AC262" i="15"/>
  <c r="AB262" i="15"/>
  <c r="AD261" i="15"/>
  <c r="AC261" i="15"/>
  <c r="AB261" i="15"/>
  <c r="AD260" i="15"/>
  <c r="AC260" i="15"/>
  <c r="AB260" i="15"/>
  <c r="AD259" i="15"/>
  <c r="AC259" i="15"/>
  <c r="AB259" i="15"/>
  <c r="AD258" i="15"/>
  <c r="AC258" i="15"/>
  <c r="AB258" i="15"/>
  <c r="AD257" i="15"/>
  <c r="AC257" i="15"/>
  <c r="AB257" i="15"/>
  <c r="AD256" i="15"/>
  <c r="AC256" i="15"/>
  <c r="AB256" i="15"/>
  <c r="AD255" i="15"/>
  <c r="AC255" i="15"/>
  <c r="AB255" i="15"/>
  <c r="AD254" i="15"/>
  <c r="AC254" i="15"/>
  <c r="AB254" i="15"/>
  <c r="AD253" i="15"/>
  <c r="AC253" i="15"/>
  <c r="AB253" i="15"/>
  <c r="AD252" i="15"/>
  <c r="AC252" i="15"/>
  <c r="AB252" i="15"/>
  <c r="AD250" i="15"/>
  <c r="AC250" i="15"/>
  <c r="AB250" i="15"/>
  <c r="AD249" i="15"/>
  <c r="AC249" i="15"/>
  <c r="AB249" i="15"/>
  <c r="AD248" i="15"/>
  <c r="AC248" i="15"/>
  <c r="AB248" i="15"/>
  <c r="AD247" i="15"/>
  <c r="AC247" i="15"/>
  <c r="AB247" i="15"/>
  <c r="AD246" i="15"/>
  <c r="AC246" i="15"/>
  <c r="AB246" i="15"/>
  <c r="AD245" i="15"/>
  <c r="AC245" i="15"/>
  <c r="AB245" i="15"/>
  <c r="AD244" i="15"/>
  <c r="AC244" i="15"/>
  <c r="AB244" i="15"/>
  <c r="AD243" i="15"/>
  <c r="AC243" i="15"/>
  <c r="AB243" i="15"/>
  <c r="AD242" i="15"/>
  <c r="AC242" i="15"/>
  <c r="AB242" i="15"/>
  <c r="AD241" i="15"/>
  <c r="AC241" i="15"/>
  <c r="AB241" i="15"/>
  <c r="AD240" i="15"/>
  <c r="AC240" i="15"/>
  <c r="AB240" i="15"/>
  <c r="AD239" i="15"/>
  <c r="AC239" i="15"/>
  <c r="AB239" i="15"/>
  <c r="AD238" i="15"/>
  <c r="AC238" i="15"/>
  <c r="AB238" i="15"/>
  <c r="AD237" i="15"/>
  <c r="AC237" i="15"/>
  <c r="AB237" i="15"/>
  <c r="AD236" i="15"/>
  <c r="AC236" i="15"/>
  <c r="AB236" i="15"/>
  <c r="AD235" i="15"/>
  <c r="AC235" i="15"/>
  <c r="AB235" i="15"/>
  <c r="AD234" i="15"/>
  <c r="AC234" i="15"/>
  <c r="AB234" i="15"/>
  <c r="AD233" i="15"/>
  <c r="AC233" i="15"/>
  <c r="AB233" i="15"/>
  <c r="AD231" i="15"/>
  <c r="AC231" i="15"/>
  <c r="AB231" i="15"/>
  <c r="AD230" i="15"/>
  <c r="AC230" i="15"/>
  <c r="AB230" i="15"/>
  <c r="AD229" i="15"/>
  <c r="AC229" i="15"/>
  <c r="AB229" i="15"/>
  <c r="AD228" i="15"/>
  <c r="AC228" i="15"/>
  <c r="AB228" i="15"/>
  <c r="AD227" i="15"/>
  <c r="AC227" i="15"/>
  <c r="AB227" i="15"/>
  <c r="AD226" i="15"/>
  <c r="AC226" i="15"/>
  <c r="AB226" i="15"/>
  <c r="AD225" i="15"/>
  <c r="AC225" i="15"/>
  <c r="AB225" i="15"/>
  <c r="AD224" i="15"/>
  <c r="AC224" i="15"/>
  <c r="AB224" i="15"/>
  <c r="AD223" i="15"/>
  <c r="AC223" i="15"/>
  <c r="AB223" i="15"/>
  <c r="AD222" i="15"/>
  <c r="AC222" i="15"/>
  <c r="AB222" i="15"/>
  <c r="AD221" i="15"/>
  <c r="AC221" i="15"/>
  <c r="AB221" i="15"/>
  <c r="AD220" i="15"/>
  <c r="AC220" i="15"/>
  <c r="AB220" i="15"/>
  <c r="AD219" i="15"/>
  <c r="AC219" i="15"/>
  <c r="AB219" i="15"/>
  <c r="AD218" i="15"/>
  <c r="AC218" i="15"/>
  <c r="AB218" i="15"/>
  <c r="AD217" i="15"/>
  <c r="AC217" i="15"/>
  <c r="AB217" i="15"/>
  <c r="AD216" i="15"/>
  <c r="AC216" i="15"/>
  <c r="AB216" i="15"/>
  <c r="AD215" i="15"/>
  <c r="AC215" i="15"/>
  <c r="AB215" i="15"/>
  <c r="AD214" i="15"/>
  <c r="AC214" i="15"/>
  <c r="AB214" i="15"/>
  <c r="AD212" i="15"/>
  <c r="AC212" i="15"/>
  <c r="AB212" i="15"/>
  <c r="AD211" i="15"/>
  <c r="AC211" i="15"/>
  <c r="AB211" i="15"/>
  <c r="AD210" i="15"/>
  <c r="AC210" i="15"/>
  <c r="AB210" i="15"/>
  <c r="AD209" i="15"/>
  <c r="AC209" i="15"/>
  <c r="AB209" i="15"/>
  <c r="AD208" i="15"/>
  <c r="AC208" i="15"/>
  <c r="AB208" i="15"/>
  <c r="AD207" i="15"/>
  <c r="AC207" i="15"/>
  <c r="AB207" i="15"/>
  <c r="AD206" i="15"/>
  <c r="AC206" i="15"/>
  <c r="AB206" i="15"/>
  <c r="AD205" i="15"/>
  <c r="AC205" i="15"/>
  <c r="AB205" i="15"/>
  <c r="AD204" i="15"/>
  <c r="AC204" i="15"/>
  <c r="AB204" i="15"/>
  <c r="AD203" i="15"/>
  <c r="AC203" i="15"/>
  <c r="AB203" i="15"/>
  <c r="AD202" i="15"/>
  <c r="AC202" i="15"/>
  <c r="AB202" i="15"/>
  <c r="AD201" i="15"/>
  <c r="AC201" i="15"/>
  <c r="AB201" i="15"/>
  <c r="AD200" i="15"/>
  <c r="AC200" i="15"/>
  <c r="AB200" i="15"/>
  <c r="AD199" i="15"/>
  <c r="AC199" i="15"/>
  <c r="AB199" i="15"/>
  <c r="AD198" i="15"/>
  <c r="AC198" i="15"/>
  <c r="AB198" i="15"/>
  <c r="AD197" i="15"/>
  <c r="AC197" i="15"/>
  <c r="AB197" i="15"/>
  <c r="AD196" i="15"/>
  <c r="AC196" i="15"/>
  <c r="AB196" i="15"/>
  <c r="AD195" i="15"/>
  <c r="AC195" i="15"/>
  <c r="AB195" i="15"/>
  <c r="AD193" i="15"/>
  <c r="AC193" i="15"/>
  <c r="AB193" i="15"/>
  <c r="AD192" i="15"/>
  <c r="AC192" i="15"/>
  <c r="AB192" i="15"/>
  <c r="AD191" i="15"/>
  <c r="AC191" i="15"/>
  <c r="AB191" i="15"/>
  <c r="AD190" i="15"/>
  <c r="AC190" i="15"/>
  <c r="AB190" i="15"/>
  <c r="AD189" i="15"/>
  <c r="AC189" i="15"/>
  <c r="AB189" i="15"/>
  <c r="AD188" i="15"/>
  <c r="AC188" i="15"/>
  <c r="AB188" i="15"/>
  <c r="AD187" i="15"/>
  <c r="AC187" i="15"/>
  <c r="AB187" i="15"/>
  <c r="AD186" i="15"/>
  <c r="AC186" i="15"/>
  <c r="AB186" i="15"/>
  <c r="AD185" i="15"/>
  <c r="AC185" i="15"/>
  <c r="AB185" i="15"/>
  <c r="AD184" i="15"/>
  <c r="AC184" i="15"/>
  <c r="AB184" i="15"/>
  <c r="AD183" i="15"/>
  <c r="AC183" i="15"/>
  <c r="AB183" i="15"/>
  <c r="AD182" i="15"/>
  <c r="AC182" i="15"/>
  <c r="AB182" i="15"/>
  <c r="AD181" i="15"/>
  <c r="AC181" i="15"/>
  <c r="AB181" i="15"/>
  <c r="AD180" i="15"/>
  <c r="AC180" i="15"/>
  <c r="AB180" i="15"/>
  <c r="AD179" i="15"/>
  <c r="AC179" i="15"/>
  <c r="AB179" i="15"/>
  <c r="AD178" i="15"/>
  <c r="AC178" i="15"/>
  <c r="AB178" i="15"/>
  <c r="AD177" i="15"/>
  <c r="AC177" i="15"/>
  <c r="AB177" i="15"/>
  <c r="AD176" i="15"/>
  <c r="AC176" i="15"/>
  <c r="AB176" i="15"/>
  <c r="AD174" i="15"/>
  <c r="AC174" i="15"/>
  <c r="AB174" i="15"/>
  <c r="AD173" i="15"/>
  <c r="AC173" i="15"/>
  <c r="AB173" i="15"/>
  <c r="AD172" i="15"/>
  <c r="AC172" i="15"/>
  <c r="AB172" i="15"/>
  <c r="AD171" i="15"/>
  <c r="AC171" i="15"/>
  <c r="AB171" i="15"/>
  <c r="AD170" i="15"/>
  <c r="AC170" i="15"/>
  <c r="AB170" i="15"/>
  <c r="AD169" i="15"/>
  <c r="AC169" i="15"/>
  <c r="AB169" i="15"/>
  <c r="AD168" i="15"/>
  <c r="AC168" i="15"/>
  <c r="AB168" i="15"/>
  <c r="AD167" i="15"/>
  <c r="AC167" i="15"/>
  <c r="AB167" i="15"/>
  <c r="AD166" i="15"/>
  <c r="AC166" i="15"/>
  <c r="AB166" i="15"/>
  <c r="AD165" i="15"/>
  <c r="AC165" i="15"/>
  <c r="AB165" i="15"/>
  <c r="AD164" i="15"/>
  <c r="AC164" i="15"/>
  <c r="AB164" i="15"/>
  <c r="AD163" i="15"/>
  <c r="AC163" i="15"/>
  <c r="AB163" i="15"/>
  <c r="AD162" i="15"/>
  <c r="AC162" i="15"/>
  <c r="AB162" i="15"/>
  <c r="AD161" i="15"/>
  <c r="AC161" i="15"/>
  <c r="AB161" i="15"/>
  <c r="AD160" i="15"/>
  <c r="AC160" i="15"/>
  <c r="AB160" i="15"/>
  <c r="AD159" i="15"/>
  <c r="AC159" i="15"/>
  <c r="AB159" i="15"/>
  <c r="AD158" i="15"/>
  <c r="AC158" i="15"/>
  <c r="AB158" i="15"/>
  <c r="AD157" i="15"/>
  <c r="AC157" i="15"/>
  <c r="AB157" i="15"/>
  <c r="AD155" i="15"/>
  <c r="AC155" i="15"/>
  <c r="AB155" i="15"/>
  <c r="AD154" i="15"/>
  <c r="AC154" i="15"/>
  <c r="AB154" i="15"/>
  <c r="AD153" i="15"/>
  <c r="AC153" i="15"/>
  <c r="AB153" i="15"/>
  <c r="AD152" i="15"/>
  <c r="AC152" i="15"/>
  <c r="AB152" i="15"/>
  <c r="AD151" i="15"/>
  <c r="AC151" i="15"/>
  <c r="AB151" i="15"/>
  <c r="AD150" i="15"/>
  <c r="AC150" i="15"/>
  <c r="AB150" i="15"/>
  <c r="AD149" i="15"/>
  <c r="AC149" i="15"/>
  <c r="AB149" i="15"/>
  <c r="AD148" i="15"/>
  <c r="AC148" i="15"/>
  <c r="AB148" i="15"/>
  <c r="AD147" i="15"/>
  <c r="AC147" i="15"/>
  <c r="AB147" i="15"/>
  <c r="AD146" i="15"/>
  <c r="AC146" i="15"/>
  <c r="AB146" i="15"/>
  <c r="AD145" i="15"/>
  <c r="AC145" i="15"/>
  <c r="AB145" i="15"/>
  <c r="AD144" i="15"/>
  <c r="AC144" i="15"/>
  <c r="AB144" i="15"/>
  <c r="AD143" i="15"/>
  <c r="AC143" i="15"/>
  <c r="AB143" i="15"/>
  <c r="AD142" i="15"/>
  <c r="AC142" i="15"/>
  <c r="AB142" i="15"/>
  <c r="AD141" i="15"/>
  <c r="AC141" i="15"/>
  <c r="AB141" i="15"/>
  <c r="AD140" i="15"/>
  <c r="AC140" i="15"/>
  <c r="AB140" i="15"/>
  <c r="AD139" i="15"/>
  <c r="AC139" i="15"/>
  <c r="AB139" i="15"/>
  <c r="AD138" i="15"/>
  <c r="AC138" i="15"/>
  <c r="AB138" i="15"/>
  <c r="AD136" i="15"/>
  <c r="AC136" i="15"/>
  <c r="AB136" i="15"/>
  <c r="AD135" i="15"/>
  <c r="AC135" i="15"/>
  <c r="AB135" i="15"/>
  <c r="AD134" i="15"/>
  <c r="AC134" i="15"/>
  <c r="AB134" i="15"/>
  <c r="AD133" i="15"/>
  <c r="AC133" i="15"/>
  <c r="AB133" i="15"/>
  <c r="AD132" i="15"/>
  <c r="AC132" i="15"/>
  <c r="AB132" i="15"/>
  <c r="AD131" i="15"/>
  <c r="AC131" i="15"/>
  <c r="AB131" i="15"/>
  <c r="AD130" i="15"/>
  <c r="AC130" i="15"/>
  <c r="AB130" i="15"/>
  <c r="AD129" i="15"/>
  <c r="AC129" i="15"/>
  <c r="AB129" i="15"/>
  <c r="AD128" i="15"/>
  <c r="AC128" i="15"/>
  <c r="AB128" i="15"/>
  <c r="AD127" i="15"/>
  <c r="AC127" i="15"/>
  <c r="AB127" i="15"/>
  <c r="AD126" i="15"/>
  <c r="AC126" i="15"/>
  <c r="AB126" i="15"/>
  <c r="AD125" i="15"/>
  <c r="AC125" i="15"/>
  <c r="AB125" i="15"/>
  <c r="AD124" i="15"/>
  <c r="AC124" i="15"/>
  <c r="AB124" i="15"/>
  <c r="AD123" i="15"/>
  <c r="AC123" i="15"/>
  <c r="AB123" i="15"/>
  <c r="AD122" i="15"/>
  <c r="AC122" i="15"/>
  <c r="AB122" i="15"/>
  <c r="AD121" i="15"/>
  <c r="AC121" i="15"/>
  <c r="AB121" i="15"/>
  <c r="AD120" i="15"/>
  <c r="AC120" i="15"/>
  <c r="AB120" i="15"/>
  <c r="AD119" i="15"/>
  <c r="AC119" i="15"/>
  <c r="AB119" i="15"/>
  <c r="AD117" i="15"/>
  <c r="AC117" i="15"/>
  <c r="AB117" i="15"/>
  <c r="AD116" i="15"/>
  <c r="AC116" i="15"/>
  <c r="AB116" i="15"/>
  <c r="AD115" i="15"/>
  <c r="AC115" i="15"/>
  <c r="AB115" i="15"/>
  <c r="AD114" i="15"/>
  <c r="AC114" i="15"/>
  <c r="AB114" i="15"/>
  <c r="AD113" i="15"/>
  <c r="AC113" i="15"/>
  <c r="AB113" i="15"/>
  <c r="AD112" i="15"/>
  <c r="AC112" i="15"/>
  <c r="AB112" i="15"/>
  <c r="AD111" i="15"/>
  <c r="AC111" i="15"/>
  <c r="AB111" i="15"/>
  <c r="AD110" i="15"/>
  <c r="AC110" i="15"/>
  <c r="AB110" i="15"/>
  <c r="AD109" i="15"/>
  <c r="AC109" i="15"/>
  <c r="AB109" i="15"/>
  <c r="AD108" i="15"/>
  <c r="AC108" i="15"/>
  <c r="AB108" i="15"/>
  <c r="AD107" i="15"/>
  <c r="AC107" i="15"/>
  <c r="AB107" i="15"/>
  <c r="AD106" i="15"/>
  <c r="AC106" i="15"/>
  <c r="AB106" i="15"/>
  <c r="AD105" i="15"/>
  <c r="AC105" i="15"/>
  <c r="AB105" i="15"/>
  <c r="AD104" i="15"/>
  <c r="AC104" i="15"/>
  <c r="AB104" i="15"/>
  <c r="AD103" i="15"/>
  <c r="AC103" i="15"/>
  <c r="AB103" i="15"/>
  <c r="AD102" i="15"/>
  <c r="AC102" i="15"/>
  <c r="AB102" i="15"/>
  <c r="AD101" i="15"/>
  <c r="AC101" i="15"/>
  <c r="AB101" i="15"/>
  <c r="AD100" i="15"/>
  <c r="AC100" i="15"/>
  <c r="AB100" i="15"/>
  <c r="AD98" i="15"/>
  <c r="AC98" i="15"/>
  <c r="AB98" i="15"/>
  <c r="AD97" i="15"/>
  <c r="AC97" i="15"/>
  <c r="AB97" i="15"/>
  <c r="AD96" i="15"/>
  <c r="AC96" i="15"/>
  <c r="AB96" i="15"/>
  <c r="AD95" i="15"/>
  <c r="AC95" i="15"/>
  <c r="AB95" i="15"/>
  <c r="AD94" i="15"/>
  <c r="AC94" i="15"/>
  <c r="AB94" i="15"/>
  <c r="AD93" i="15"/>
  <c r="AC93" i="15"/>
  <c r="AB93" i="15"/>
  <c r="AD92" i="15"/>
  <c r="AC92" i="15"/>
  <c r="AB92" i="15"/>
  <c r="AD91" i="15"/>
  <c r="AC91" i="15"/>
  <c r="AB91" i="15"/>
  <c r="AD90" i="15"/>
  <c r="AC90" i="15"/>
  <c r="AB90" i="15"/>
  <c r="AD89" i="15"/>
  <c r="AC89" i="15"/>
  <c r="AB89" i="15"/>
  <c r="AD88" i="15"/>
  <c r="AC88" i="15"/>
  <c r="AB88" i="15"/>
  <c r="AD87" i="15"/>
  <c r="AC87" i="15"/>
  <c r="AB87" i="15"/>
  <c r="AD86" i="15"/>
  <c r="AC86" i="15"/>
  <c r="AB86" i="15"/>
  <c r="AD85" i="15"/>
  <c r="AC85" i="15"/>
  <c r="AB85" i="15"/>
  <c r="AD84" i="15"/>
  <c r="AC84" i="15"/>
  <c r="AB84" i="15"/>
  <c r="AD83" i="15"/>
  <c r="AC83" i="15"/>
  <c r="AB83" i="15"/>
  <c r="AD82" i="15"/>
  <c r="AC82" i="15"/>
  <c r="AB82" i="15"/>
  <c r="AD81" i="15"/>
  <c r="AC81" i="15"/>
  <c r="AB81" i="15"/>
  <c r="AD79" i="15"/>
  <c r="AC79" i="15"/>
  <c r="AB79" i="15"/>
  <c r="AD78" i="15"/>
  <c r="AC78" i="15"/>
  <c r="AB78" i="15"/>
  <c r="AD77" i="15"/>
  <c r="AC77" i="15"/>
  <c r="AB77" i="15"/>
  <c r="AD76" i="15"/>
  <c r="AC76" i="15"/>
  <c r="AB76" i="15"/>
  <c r="AD75" i="15"/>
  <c r="AC75" i="15"/>
  <c r="AB75" i="15"/>
  <c r="AD74" i="15"/>
  <c r="AC74" i="15"/>
  <c r="AB74" i="15"/>
  <c r="AD73" i="15"/>
  <c r="AC73" i="15"/>
  <c r="AB73" i="15"/>
  <c r="AD72" i="15"/>
  <c r="AC72" i="15"/>
  <c r="AB72" i="15"/>
  <c r="AD71" i="15"/>
  <c r="AC71" i="15"/>
  <c r="AB71" i="15"/>
  <c r="AD70" i="15"/>
  <c r="AC70" i="15"/>
  <c r="AB70" i="15"/>
  <c r="AD69" i="15"/>
  <c r="AC69" i="15"/>
  <c r="AB69" i="15"/>
  <c r="AD68" i="15"/>
  <c r="AC68" i="15"/>
  <c r="AB68" i="15"/>
  <c r="AD67" i="15"/>
  <c r="AC67" i="15"/>
  <c r="AB67" i="15"/>
  <c r="AD66" i="15"/>
  <c r="AC66" i="15"/>
  <c r="AB66" i="15"/>
  <c r="AD65" i="15"/>
  <c r="AC65" i="15"/>
  <c r="AB65" i="15"/>
  <c r="AD64" i="15"/>
  <c r="AC64" i="15"/>
  <c r="AB64" i="15"/>
  <c r="AD63" i="15"/>
  <c r="AC63" i="15"/>
  <c r="AB63" i="15"/>
  <c r="AD62" i="15"/>
  <c r="AC62" i="15"/>
  <c r="AB62" i="15"/>
  <c r="AD60" i="15"/>
  <c r="AC60" i="15"/>
  <c r="AB60" i="15"/>
  <c r="AD59" i="15"/>
  <c r="AC59" i="15"/>
  <c r="AB59" i="15"/>
  <c r="AD58" i="15"/>
  <c r="AC58" i="15"/>
  <c r="AB58" i="15"/>
  <c r="AD57" i="15"/>
  <c r="AC57" i="15"/>
  <c r="AB57" i="15"/>
  <c r="AD56" i="15"/>
  <c r="AC56" i="15"/>
  <c r="AB56" i="15"/>
  <c r="AD55" i="15"/>
  <c r="AC55" i="15"/>
  <c r="AB55" i="15"/>
  <c r="AD54" i="15"/>
  <c r="AC54" i="15"/>
  <c r="AB54" i="15"/>
  <c r="AD53" i="15"/>
  <c r="AC53" i="15"/>
  <c r="AB53" i="15"/>
  <c r="AD52" i="15"/>
  <c r="AC52" i="15"/>
  <c r="AB52" i="15"/>
  <c r="AD51" i="15"/>
  <c r="AC51" i="15"/>
  <c r="AB51" i="15"/>
  <c r="AD50" i="15"/>
  <c r="AC50" i="15"/>
  <c r="AB50" i="15"/>
  <c r="AD49" i="15"/>
  <c r="AC49" i="15"/>
  <c r="AB49" i="15"/>
  <c r="AD48" i="15"/>
  <c r="AC48" i="15"/>
  <c r="AB48" i="15"/>
  <c r="AD47" i="15"/>
  <c r="AC47" i="15"/>
  <c r="AB47" i="15"/>
  <c r="AD46" i="15"/>
  <c r="AC46" i="15"/>
  <c r="AB46" i="15"/>
  <c r="AD45" i="15"/>
  <c r="AC45" i="15"/>
  <c r="AB45" i="15"/>
  <c r="AD44" i="15"/>
  <c r="AC44" i="15"/>
  <c r="AB44" i="15"/>
  <c r="AD43" i="15"/>
  <c r="AC43" i="15"/>
  <c r="AB43" i="15"/>
  <c r="AD41" i="15"/>
  <c r="AC41" i="15"/>
  <c r="AB41" i="15"/>
  <c r="AD40" i="15"/>
  <c r="AC40" i="15"/>
  <c r="AB40" i="15"/>
  <c r="AD39" i="15"/>
  <c r="AC39" i="15"/>
  <c r="AB39" i="15"/>
  <c r="AD38" i="15"/>
  <c r="AC38" i="15"/>
  <c r="AB38" i="15"/>
  <c r="AD37" i="15"/>
  <c r="AC37" i="15"/>
  <c r="AB37" i="15"/>
  <c r="AD36" i="15"/>
  <c r="AC36" i="15"/>
  <c r="AB36" i="15"/>
  <c r="AD35" i="15"/>
  <c r="AC35" i="15"/>
  <c r="AB35" i="15"/>
  <c r="AD34" i="15"/>
  <c r="AC34" i="15"/>
  <c r="AB34" i="15"/>
  <c r="AD33" i="15"/>
  <c r="AC33" i="15"/>
  <c r="AB33" i="15"/>
  <c r="AD32" i="15"/>
  <c r="AC32" i="15"/>
  <c r="AB32" i="15"/>
  <c r="AD31" i="15"/>
  <c r="AC31" i="15"/>
  <c r="AB31" i="15"/>
  <c r="AD30" i="15"/>
  <c r="AC30" i="15"/>
  <c r="AB30" i="15"/>
  <c r="AD29" i="15"/>
  <c r="AC29" i="15"/>
  <c r="AB29" i="15"/>
  <c r="AD28" i="15"/>
  <c r="AC28" i="15"/>
  <c r="AB28" i="15"/>
  <c r="AD27" i="15"/>
  <c r="AC27" i="15"/>
  <c r="AB27" i="15"/>
  <c r="AD26" i="15"/>
  <c r="AC26" i="15"/>
  <c r="AB26" i="15"/>
  <c r="AD25" i="15"/>
  <c r="AC25" i="15"/>
  <c r="AB25" i="15"/>
  <c r="AD24" i="15"/>
  <c r="AC24" i="15"/>
  <c r="AB24" i="15"/>
  <c r="AD22" i="15"/>
  <c r="AC22" i="15"/>
  <c r="AB22" i="15"/>
  <c r="AD21" i="15"/>
  <c r="AC21" i="15"/>
  <c r="AB21" i="15"/>
  <c r="AD20" i="15"/>
  <c r="AC20" i="15"/>
  <c r="AB20" i="15"/>
  <c r="AD19" i="15"/>
  <c r="AC19" i="15"/>
  <c r="AB19" i="15"/>
  <c r="AD18" i="15"/>
  <c r="AC18" i="15"/>
  <c r="AB18" i="15"/>
  <c r="AD17" i="15"/>
  <c r="AB17" i="15"/>
  <c r="AD16" i="15"/>
  <c r="AC16" i="15"/>
  <c r="AB16" i="15"/>
  <c r="AD15" i="15"/>
  <c r="AB15" i="15"/>
  <c r="AD14" i="15"/>
  <c r="AC14" i="15"/>
  <c r="AB14" i="15"/>
  <c r="AD13" i="15"/>
  <c r="AC13" i="15"/>
  <c r="AB13" i="15"/>
  <c r="AD12" i="15"/>
  <c r="AC12" i="15"/>
  <c r="AB12" i="15"/>
  <c r="AD11" i="15"/>
  <c r="AC11" i="15"/>
  <c r="AB11" i="15"/>
  <c r="AD10" i="15"/>
  <c r="AC10" i="15"/>
  <c r="AB10" i="15"/>
  <c r="AD9" i="15"/>
  <c r="AB9" i="15"/>
  <c r="AD8" i="15"/>
  <c r="AC8" i="15"/>
  <c r="AB8" i="15"/>
  <c r="AD7" i="15"/>
  <c r="AB7" i="15"/>
  <c r="AD6" i="15"/>
  <c r="AC6" i="15"/>
  <c r="AB6" i="15"/>
  <c r="AB5" i="15"/>
  <c r="X1022" i="15" l="1"/>
  <c r="X1012" i="15"/>
  <c r="X937" i="15"/>
  <c r="X943" i="15"/>
  <c r="X1079" i="15"/>
  <c r="X1077" i="15"/>
  <c r="X1013" i="15"/>
  <c r="X1027" i="15"/>
  <c r="X1017" i="15"/>
  <c r="X1021" i="15"/>
  <c r="X1024" i="15"/>
  <c r="X1014" i="15"/>
  <c r="X1020" i="15"/>
  <c r="X1025" i="15"/>
  <c r="X1029" i="15"/>
  <c r="X1023" i="15"/>
  <c r="X1019" i="15"/>
  <c r="X1018" i="15"/>
  <c r="X1028" i="15"/>
  <c r="W76" i="18"/>
  <c r="Y1106" i="15" s="1"/>
  <c r="Y1118" i="15" s="1"/>
  <c r="X1074" i="15"/>
  <c r="X1026" i="15"/>
  <c r="X1069" i="15"/>
  <c r="X1084" i="15"/>
  <c r="X1083" i="15"/>
  <c r="X949" i="15"/>
  <c r="X953" i="15"/>
  <c r="X1082" i="15"/>
  <c r="X1081" i="15"/>
  <c r="X945" i="15"/>
  <c r="X939" i="15"/>
  <c r="X936" i="15"/>
  <c r="X946" i="15"/>
  <c r="X1073" i="15"/>
  <c r="X1072" i="15"/>
  <c r="X1086" i="15"/>
  <c r="X944" i="15"/>
  <c r="X947" i="15"/>
  <c r="X1085" i="15"/>
  <c r="X1076" i="15"/>
  <c r="X1071" i="15"/>
  <c r="X951" i="15"/>
  <c r="X940" i="15"/>
  <c r="X941" i="15"/>
  <c r="X1070" i="15"/>
  <c r="X1078" i="15"/>
  <c r="X942" i="15"/>
  <c r="X952" i="15"/>
  <c r="X950" i="15"/>
  <c r="W75" i="18"/>
  <c r="Y954" i="15" s="1"/>
  <c r="W63" i="18"/>
  <c r="Y1334" i="15" s="1"/>
  <c r="X1075" i="15"/>
  <c r="X938" i="15"/>
  <c r="W45" i="18"/>
  <c r="W79" i="18"/>
  <c r="W83" i="18"/>
  <c r="Y1239" i="15" s="1"/>
  <c r="W66" i="18"/>
  <c r="Y1391" i="15" s="1"/>
  <c r="Y1402" i="15" s="1"/>
  <c r="W82" i="18"/>
  <c r="W56" i="18"/>
  <c r="W80" i="18"/>
  <c r="W65" i="18"/>
  <c r="Y1372" i="15" s="1"/>
  <c r="W69" i="18"/>
  <c r="Y1448" i="15" s="1"/>
  <c r="W74" i="18"/>
  <c r="Y935" i="15" s="1"/>
  <c r="Y951" i="15" s="1"/>
  <c r="W49" i="18"/>
  <c r="Y1087" i="15" s="1"/>
  <c r="W48" i="18"/>
  <c r="Y1068" i="15" s="1"/>
  <c r="Y1070" i="15" s="1"/>
  <c r="W62" i="18"/>
  <c r="W40" i="18"/>
  <c r="W81" i="18"/>
  <c r="Y1201" i="15" s="1"/>
  <c r="Y1203" i="15" s="1"/>
  <c r="W57" i="18"/>
  <c r="Y992" i="15" s="1"/>
  <c r="W68" i="18"/>
  <c r="Y1429" i="15" s="1"/>
  <c r="W73" i="18"/>
  <c r="Y916" i="15" s="1"/>
  <c r="X668" i="15"/>
  <c r="X654" i="15"/>
  <c r="X652" i="15"/>
  <c r="X664" i="15"/>
  <c r="X661" i="15"/>
  <c r="X663" i="15"/>
  <c r="X667" i="15"/>
  <c r="X660" i="15"/>
  <c r="X665" i="15"/>
  <c r="X655" i="15"/>
  <c r="X658" i="15"/>
  <c r="X659" i="15"/>
  <c r="X656" i="15"/>
  <c r="X653" i="15"/>
  <c r="X651" i="15"/>
  <c r="X657" i="15"/>
  <c r="X666" i="15"/>
  <c r="X662" i="15"/>
  <c r="W71" i="18"/>
  <c r="Y1486" i="15" s="1"/>
  <c r="X908" i="15"/>
  <c r="X906" i="15"/>
  <c r="X912" i="15"/>
  <c r="X914" i="15"/>
  <c r="X911" i="15"/>
  <c r="X915" i="15"/>
  <c r="X913" i="15"/>
  <c r="X904" i="15"/>
  <c r="X907" i="15"/>
  <c r="X905" i="15"/>
  <c r="X899" i="15"/>
  <c r="X909" i="15"/>
  <c r="X901" i="15"/>
  <c r="X903" i="15"/>
  <c r="X898" i="15"/>
  <c r="X910" i="15"/>
  <c r="X902" i="15"/>
  <c r="X900" i="15"/>
  <c r="W59" i="18"/>
  <c r="Y1030" i="15" s="1"/>
  <c r="W46" i="18"/>
  <c r="W78" i="18"/>
  <c r="Y1144" i="15" s="1"/>
  <c r="W77" i="18"/>
  <c r="W51" i="18"/>
  <c r="Y631" i="15" s="1"/>
  <c r="W64" i="18"/>
  <c r="W72" i="18"/>
  <c r="Y897" i="15" s="1"/>
  <c r="X1394" i="15"/>
  <c r="X1393" i="15"/>
  <c r="X1398" i="15"/>
  <c r="X1392" i="15"/>
  <c r="X1407" i="15"/>
  <c r="X1397" i="15"/>
  <c r="X1402" i="15"/>
  <c r="X1408" i="15"/>
  <c r="X1395" i="15"/>
  <c r="X1405" i="15"/>
  <c r="X1399" i="15"/>
  <c r="X1400" i="15"/>
  <c r="X1409" i="15"/>
  <c r="X1403" i="15"/>
  <c r="X1404" i="15"/>
  <c r="X1401" i="15"/>
  <c r="X1406" i="15"/>
  <c r="X1396" i="15"/>
  <c r="W70" i="18"/>
  <c r="X1161" i="15"/>
  <c r="X1155" i="15"/>
  <c r="X1158" i="15"/>
  <c r="X1154" i="15"/>
  <c r="X1160" i="15"/>
  <c r="X1151" i="15"/>
  <c r="X1145" i="15"/>
  <c r="X1146" i="15"/>
  <c r="X1156" i="15"/>
  <c r="X1150" i="15"/>
  <c r="X1149" i="15"/>
  <c r="X1148" i="15"/>
  <c r="X1152" i="15"/>
  <c r="X1162" i="15"/>
  <c r="X1153" i="15"/>
  <c r="X1147" i="15"/>
  <c r="X1157" i="15"/>
  <c r="X1159" i="15"/>
  <c r="W26" i="18"/>
  <c r="W25" i="18"/>
  <c r="Y726" i="15" s="1"/>
  <c r="W24" i="18"/>
  <c r="W27" i="18"/>
  <c r="W28" i="18"/>
  <c r="W30" i="18"/>
  <c r="W34" i="18"/>
  <c r="W32" i="18"/>
  <c r="W38" i="18"/>
  <c r="W36" i="18"/>
  <c r="W33" i="18"/>
  <c r="Y517" i="15" s="1"/>
  <c r="W29" i="18"/>
  <c r="Y441" i="15" s="1"/>
  <c r="W37" i="18"/>
  <c r="Y859" i="15" s="1"/>
  <c r="W31" i="18"/>
  <c r="Y479" i="15" s="1"/>
  <c r="W39" i="18"/>
  <c r="W35" i="18"/>
  <c r="Y821" i="15" s="1"/>
  <c r="X1107" i="15"/>
  <c r="X1118" i="15"/>
  <c r="X1111" i="15"/>
  <c r="X1112" i="15"/>
  <c r="X1120" i="15"/>
  <c r="X1110" i="15"/>
  <c r="X1119" i="15"/>
  <c r="X1117" i="15"/>
  <c r="X1113" i="15"/>
  <c r="X1123" i="15"/>
  <c r="X1121" i="15"/>
  <c r="X1109" i="15"/>
  <c r="X1114" i="15"/>
  <c r="X1108" i="15"/>
  <c r="X1122" i="15"/>
  <c r="X1124" i="15"/>
  <c r="X1116" i="15"/>
  <c r="X1115" i="15"/>
  <c r="W52" i="18"/>
  <c r="Y650" i="15" s="1"/>
  <c r="W61" i="18"/>
  <c r="W47" i="18"/>
  <c r="W50" i="18"/>
  <c r="Y555" i="15" s="1"/>
  <c r="W41" i="18"/>
  <c r="Y365" i="15" s="1"/>
  <c r="W55" i="18"/>
  <c r="Y707" i="15" s="1"/>
  <c r="W44" i="18"/>
  <c r="Y593" i="15" s="1"/>
  <c r="X565" i="15"/>
  <c r="X572" i="15"/>
  <c r="X568" i="15"/>
  <c r="X566" i="15"/>
  <c r="X560" i="15"/>
  <c r="X557" i="15"/>
  <c r="X559" i="15"/>
  <c r="X558" i="15"/>
  <c r="X567" i="15"/>
  <c r="X570" i="15"/>
  <c r="X562" i="15"/>
  <c r="X569" i="15"/>
  <c r="X573" i="15"/>
  <c r="X556" i="15"/>
  <c r="X564" i="15"/>
  <c r="X561" i="15"/>
  <c r="X563" i="15"/>
  <c r="X571" i="15"/>
  <c r="W60" i="18"/>
  <c r="Y1277" i="15" s="1"/>
  <c r="W54" i="18"/>
  <c r="W42" i="18"/>
  <c r="Y403" i="15" s="1"/>
  <c r="W58" i="18"/>
  <c r="Y1011" i="15" s="1"/>
  <c r="W67" i="18"/>
  <c r="Y1410" i="15" s="1"/>
  <c r="W53" i="18"/>
  <c r="Y669" i="15" s="1"/>
  <c r="U552" i="15"/>
  <c r="U545" i="15"/>
  <c r="U540" i="15"/>
  <c r="U550" i="15"/>
  <c r="U543" i="15"/>
  <c r="U553" i="15"/>
  <c r="U546" i="15"/>
  <c r="U541" i="15"/>
  <c r="U547" i="15"/>
  <c r="U538" i="15"/>
  <c r="U548" i="15"/>
  <c r="U549" i="15"/>
  <c r="U554" i="15"/>
  <c r="U544" i="15"/>
  <c r="U551" i="15"/>
  <c r="U537" i="15"/>
  <c r="U542" i="15"/>
  <c r="U539" i="15"/>
  <c r="S2" i="19"/>
  <c r="S1" i="19" s="1"/>
  <c r="T23" i="18"/>
  <c r="V536" i="15" s="1"/>
  <c r="T541" i="15"/>
  <c r="T539" i="15"/>
  <c r="T550" i="15"/>
  <c r="T551" i="15"/>
  <c r="T548" i="15"/>
  <c r="T545" i="15"/>
  <c r="T538" i="15"/>
  <c r="T540" i="15"/>
  <c r="T549" i="15"/>
  <c r="T546" i="15"/>
  <c r="T544" i="15"/>
  <c r="T552" i="15"/>
  <c r="T537" i="15"/>
  <c r="T542" i="15"/>
  <c r="T553" i="15"/>
  <c r="T554" i="15"/>
  <c r="T547" i="15"/>
  <c r="T543" i="15"/>
  <c r="S2" i="18"/>
  <c r="U783" i="15"/>
  <c r="X1216" i="15"/>
  <c r="X1207" i="15"/>
  <c r="X1217" i="15"/>
  <c r="X1218" i="15"/>
  <c r="X1208" i="15"/>
  <c r="X1212" i="15"/>
  <c r="X1203" i="15"/>
  <c r="X1213" i="15"/>
  <c r="X1204" i="15"/>
  <c r="X1205" i="15"/>
  <c r="X1214" i="15"/>
  <c r="X1206" i="15"/>
  <c r="X1219" i="15"/>
  <c r="X1210" i="15"/>
  <c r="X1202" i="15"/>
  <c r="X1215" i="15"/>
  <c r="X1209" i="15"/>
  <c r="X1211" i="15"/>
  <c r="X916" i="15"/>
  <c r="V424" i="15"/>
  <c r="V430" i="15"/>
  <c r="V427" i="15"/>
  <c r="V435" i="15"/>
  <c r="V434" i="15"/>
  <c r="V433" i="15"/>
  <c r="V425" i="15"/>
  <c r="V426" i="15"/>
  <c r="V440" i="15"/>
  <c r="V432" i="15"/>
  <c r="V438" i="15"/>
  <c r="V428" i="15"/>
  <c r="V423" i="15"/>
  <c r="V436" i="15"/>
  <c r="V429" i="15"/>
  <c r="V431" i="15"/>
  <c r="V437" i="15"/>
  <c r="V439" i="15"/>
  <c r="W708" i="15"/>
  <c r="W711" i="15"/>
  <c r="W721" i="15"/>
  <c r="W717" i="15"/>
  <c r="W713" i="15"/>
  <c r="W720" i="15"/>
  <c r="W718" i="15"/>
  <c r="W712" i="15"/>
  <c r="W722" i="15"/>
  <c r="W709" i="15"/>
  <c r="W714" i="15"/>
  <c r="W719" i="15"/>
  <c r="W724" i="15"/>
  <c r="W710" i="15"/>
  <c r="W716" i="15"/>
  <c r="W723" i="15"/>
  <c r="W715" i="15"/>
  <c r="W725" i="15"/>
  <c r="U1316" i="15"/>
  <c r="U1328" i="15"/>
  <c r="U1326" i="15"/>
  <c r="U1323" i="15"/>
  <c r="U1333" i="15"/>
  <c r="U1332" i="15"/>
  <c r="U1324" i="15"/>
  <c r="U1322" i="15"/>
  <c r="U1330" i="15"/>
  <c r="U1325" i="15"/>
  <c r="U1319" i="15"/>
  <c r="U1331" i="15"/>
  <c r="U1321" i="15"/>
  <c r="U1318" i="15"/>
  <c r="U1317" i="15"/>
  <c r="U1327" i="15"/>
  <c r="U1320" i="15"/>
  <c r="U1329" i="15"/>
  <c r="X419" i="15"/>
  <c r="X413" i="15"/>
  <c r="X407" i="15"/>
  <c r="X411" i="15"/>
  <c r="X409" i="15"/>
  <c r="X406" i="15"/>
  <c r="X416" i="15"/>
  <c r="X412" i="15"/>
  <c r="X408" i="15"/>
  <c r="X404" i="15"/>
  <c r="X415" i="15"/>
  <c r="X421" i="15"/>
  <c r="X420" i="15"/>
  <c r="X417" i="15"/>
  <c r="X418" i="15"/>
  <c r="X410" i="15"/>
  <c r="X414" i="15"/>
  <c r="X405" i="15"/>
  <c r="X821" i="15"/>
  <c r="X992" i="15"/>
  <c r="W481" i="15"/>
  <c r="W488" i="15"/>
  <c r="W490" i="15"/>
  <c r="W496" i="15"/>
  <c r="W497" i="15"/>
  <c r="W482" i="15"/>
  <c r="W480" i="15"/>
  <c r="W495" i="15"/>
  <c r="W485" i="15"/>
  <c r="W493" i="15"/>
  <c r="W487" i="15"/>
  <c r="W494" i="15"/>
  <c r="W489" i="15"/>
  <c r="W491" i="15"/>
  <c r="W486" i="15"/>
  <c r="W483" i="15"/>
  <c r="W484" i="15"/>
  <c r="W492" i="15"/>
  <c r="W1030" i="15"/>
  <c r="V868" i="15"/>
  <c r="V860" i="15"/>
  <c r="V862" i="15"/>
  <c r="V876" i="15"/>
  <c r="V865" i="15"/>
  <c r="V870" i="15"/>
  <c r="V873" i="15"/>
  <c r="V874" i="15"/>
  <c r="V871" i="15"/>
  <c r="V867" i="15"/>
  <c r="V861" i="15"/>
  <c r="V863" i="15"/>
  <c r="V869" i="15"/>
  <c r="V877" i="15"/>
  <c r="V864" i="15"/>
  <c r="V866" i="15"/>
  <c r="V872" i="15"/>
  <c r="V875" i="15"/>
  <c r="W1423" i="15"/>
  <c r="W1414" i="15"/>
  <c r="W1426" i="15"/>
  <c r="W1415" i="15"/>
  <c r="W1427" i="15"/>
  <c r="W1413" i="15"/>
  <c r="W1428" i="15"/>
  <c r="W1419" i="15"/>
  <c r="W1411" i="15"/>
  <c r="W1420" i="15"/>
  <c r="W1425" i="15"/>
  <c r="W1417" i="15"/>
  <c r="W1422" i="15"/>
  <c r="W1424" i="15"/>
  <c r="W1421" i="15"/>
  <c r="W1416" i="15"/>
  <c r="W1412" i="15"/>
  <c r="W1418" i="15"/>
  <c r="U1258" i="15"/>
  <c r="W1372" i="15"/>
  <c r="U878" i="15"/>
  <c r="V783" i="15"/>
  <c r="V1315" i="15"/>
  <c r="W863" i="15"/>
  <c r="W875" i="15"/>
  <c r="W876" i="15"/>
  <c r="W867" i="15"/>
  <c r="W877" i="15"/>
  <c r="W868" i="15"/>
  <c r="W864" i="15"/>
  <c r="W869" i="15"/>
  <c r="W860" i="15"/>
  <c r="W872" i="15"/>
  <c r="W873" i="15"/>
  <c r="W865" i="15"/>
  <c r="W870" i="15"/>
  <c r="W861" i="15"/>
  <c r="W862" i="15"/>
  <c r="W874" i="15"/>
  <c r="W866" i="15"/>
  <c r="W871" i="15"/>
  <c r="W730" i="15"/>
  <c r="W742" i="15"/>
  <c r="W735" i="15"/>
  <c r="W744" i="15"/>
  <c r="W727" i="15"/>
  <c r="W729" i="15"/>
  <c r="W741" i="15"/>
  <c r="W739" i="15"/>
  <c r="W740" i="15"/>
  <c r="W731" i="15"/>
  <c r="W732" i="15"/>
  <c r="W737" i="15"/>
  <c r="W734" i="15"/>
  <c r="W733" i="15"/>
  <c r="W743" i="15"/>
  <c r="W738" i="15"/>
  <c r="W736" i="15"/>
  <c r="W728" i="15"/>
  <c r="U1353" i="15"/>
  <c r="U469" i="15"/>
  <c r="U475" i="15"/>
  <c r="U465" i="15"/>
  <c r="U462" i="15"/>
  <c r="U463" i="15"/>
  <c r="U476" i="15"/>
  <c r="U477" i="15"/>
  <c r="U478" i="15"/>
  <c r="U464" i="15"/>
  <c r="U461" i="15"/>
  <c r="U472" i="15"/>
  <c r="U473" i="15"/>
  <c r="U474" i="15"/>
  <c r="U471" i="15"/>
  <c r="U466" i="15"/>
  <c r="U468" i="15"/>
  <c r="U470" i="15"/>
  <c r="U467" i="15"/>
  <c r="T1164" i="15"/>
  <c r="T1180" i="15"/>
  <c r="T1174" i="15"/>
  <c r="T1165" i="15"/>
  <c r="T1171" i="15"/>
  <c r="T1179" i="15"/>
  <c r="T1170" i="15"/>
  <c r="T1172" i="15"/>
  <c r="T1167" i="15"/>
  <c r="T1169" i="15"/>
  <c r="T1177" i="15"/>
  <c r="T1175" i="15"/>
  <c r="T1178" i="15"/>
  <c r="T1166" i="15"/>
  <c r="T1168" i="15"/>
  <c r="T1181" i="15"/>
  <c r="T1176" i="15"/>
  <c r="T1173" i="15"/>
  <c r="X479" i="15"/>
  <c r="W671" i="15"/>
  <c r="W683" i="15"/>
  <c r="W684" i="15"/>
  <c r="W678" i="15"/>
  <c r="W680" i="15"/>
  <c r="W676" i="15"/>
  <c r="W677" i="15"/>
  <c r="W672" i="15"/>
  <c r="W681" i="15"/>
  <c r="W675" i="15"/>
  <c r="W673" i="15"/>
  <c r="W686" i="15"/>
  <c r="W685" i="15"/>
  <c r="W682" i="15"/>
  <c r="W670" i="15"/>
  <c r="W674" i="15"/>
  <c r="W687" i="15"/>
  <c r="W679" i="15"/>
  <c r="X1030" i="15"/>
  <c r="V727" i="15"/>
  <c r="V731" i="15"/>
  <c r="V742" i="15"/>
  <c r="V741" i="15"/>
  <c r="V729" i="15"/>
  <c r="V737" i="15"/>
  <c r="V734" i="15"/>
  <c r="V733" i="15"/>
  <c r="V743" i="15"/>
  <c r="V732" i="15"/>
  <c r="V730" i="15"/>
  <c r="V735" i="15"/>
  <c r="V738" i="15"/>
  <c r="V744" i="15"/>
  <c r="V739" i="15"/>
  <c r="V736" i="15"/>
  <c r="V740" i="15"/>
  <c r="V728" i="15"/>
  <c r="X1410" i="15"/>
  <c r="U1164" i="15"/>
  <c r="U1175" i="15"/>
  <c r="U1174" i="15"/>
  <c r="U1180" i="15"/>
  <c r="U1179" i="15"/>
  <c r="U1165" i="15"/>
  <c r="U1178" i="15"/>
  <c r="U1168" i="15"/>
  <c r="U1171" i="15"/>
  <c r="U1177" i="15"/>
  <c r="U1170" i="15"/>
  <c r="U1166" i="15"/>
  <c r="U1167" i="15"/>
  <c r="U1169" i="15"/>
  <c r="U1172" i="15"/>
  <c r="U1176" i="15"/>
  <c r="U1173" i="15"/>
  <c r="U1181" i="15"/>
  <c r="V1258" i="15"/>
  <c r="X1372" i="15"/>
  <c r="V878" i="15"/>
  <c r="W1087" i="15"/>
  <c r="V519" i="15"/>
  <c r="V534" i="15"/>
  <c r="V521" i="15"/>
  <c r="V535" i="15"/>
  <c r="V533" i="15"/>
  <c r="V529" i="15"/>
  <c r="V526" i="15"/>
  <c r="V532" i="15"/>
  <c r="V530" i="15"/>
  <c r="V518" i="15"/>
  <c r="V524" i="15"/>
  <c r="V523" i="15"/>
  <c r="V525" i="15"/>
  <c r="V522" i="15"/>
  <c r="V520" i="15"/>
  <c r="V528" i="15"/>
  <c r="V527" i="15"/>
  <c r="V531" i="15"/>
  <c r="X859" i="15"/>
  <c r="U1485" i="15"/>
  <c r="U1479" i="15"/>
  <c r="U1476" i="15"/>
  <c r="U1475" i="15"/>
  <c r="U1470" i="15"/>
  <c r="U1484" i="15"/>
  <c r="U1469" i="15"/>
  <c r="U1477" i="15"/>
  <c r="U1483" i="15"/>
  <c r="U1471" i="15"/>
  <c r="U1468" i="15"/>
  <c r="U1480" i="15"/>
  <c r="U1472" i="15"/>
  <c r="U1473" i="15"/>
  <c r="U1474" i="15"/>
  <c r="U1482" i="15"/>
  <c r="U1478" i="15"/>
  <c r="U1481" i="15"/>
  <c r="V1353" i="15"/>
  <c r="Y30" i="18"/>
  <c r="W529" i="15"/>
  <c r="W534" i="15"/>
  <c r="W521" i="15"/>
  <c r="W525" i="15"/>
  <c r="W524" i="15"/>
  <c r="W533" i="15"/>
  <c r="W532" i="15"/>
  <c r="W527" i="15"/>
  <c r="W528" i="15"/>
  <c r="W526" i="15"/>
  <c r="W520" i="15"/>
  <c r="W523" i="15"/>
  <c r="W519" i="15"/>
  <c r="W530" i="15"/>
  <c r="W522" i="15"/>
  <c r="W518" i="15"/>
  <c r="W535" i="15"/>
  <c r="W531" i="15"/>
  <c r="W1441" i="15"/>
  <c r="W1432" i="15"/>
  <c r="W1433" i="15"/>
  <c r="W1445" i="15"/>
  <c r="W1435" i="15"/>
  <c r="W1446" i="15"/>
  <c r="W1440" i="15"/>
  <c r="W1434" i="15"/>
  <c r="W1444" i="15"/>
  <c r="W1437" i="15"/>
  <c r="W1436" i="15"/>
  <c r="W1447" i="15"/>
  <c r="W1439" i="15"/>
  <c r="W1443" i="15"/>
  <c r="W1438" i="15"/>
  <c r="W1430" i="15"/>
  <c r="W1442" i="15"/>
  <c r="W1431" i="15"/>
  <c r="X669" i="15"/>
  <c r="T1317" i="15"/>
  <c r="T1320" i="15"/>
  <c r="T1330" i="15"/>
  <c r="T1318" i="15"/>
  <c r="T1319" i="15"/>
  <c r="T1325" i="15"/>
  <c r="T1327" i="15"/>
  <c r="T1333" i="15"/>
  <c r="T1322" i="15"/>
  <c r="T1326" i="15"/>
  <c r="T1332" i="15"/>
  <c r="T1329" i="15"/>
  <c r="T1324" i="15"/>
  <c r="T1331" i="15"/>
  <c r="T1323" i="15"/>
  <c r="T1316" i="15"/>
  <c r="T1321" i="15"/>
  <c r="T1328" i="15"/>
  <c r="T618" i="15"/>
  <c r="T617" i="15"/>
  <c r="T619" i="15"/>
  <c r="T615" i="15"/>
  <c r="T628" i="15"/>
  <c r="T630" i="15"/>
  <c r="T626" i="15"/>
  <c r="T616" i="15"/>
  <c r="T620" i="15"/>
  <c r="T627" i="15"/>
  <c r="T623" i="15"/>
  <c r="T624" i="15"/>
  <c r="T613" i="15"/>
  <c r="T622" i="15"/>
  <c r="T621" i="15"/>
  <c r="T629" i="15"/>
  <c r="T625" i="15"/>
  <c r="T614" i="15"/>
  <c r="U1302" i="15"/>
  <c r="U1305" i="15"/>
  <c r="U1312" i="15"/>
  <c r="U1304" i="15"/>
  <c r="U1303" i="15"/>
  <c r="U1313" i="15"/>
  <c r="U1300" i="15"/>
  <c r="U1314" i="15"/>
  <c r="U1308" i="15"/>
  <c r="U1298" i="15"/>
  <c r="U1310" i="15"/>
  <c r="U1311" i="15"/>
  <c r="U1299" i="15"/>
  <c r="U1297" i="15"/>
  <c r="U1301" i="15"/>
  <c r="U1309" i="15"/>
  <c r="U1307" i="15"/>
  <c r="U1306" i="15"/>
  <c r="X517" i="15"/>
  <c r="T852" i="15"/>
  <c r="T841" i="15"/>
  <c r="T845" i="15"/>
  <c r="T851" i="15"/>
  <c r="T857" i="15"/>
  <c r="T844" i="15"/>
  <c r="T849" i="15"/>
  <c r="T848" i="15"/>
  <c r="T843" i="15"/>
  <c r="T846" i="15"/>
  <c r="T856" i="15"/>
  <c r="T854" i="15"/>
  <c r="T855" i="15"/>
  <c r="T858" i="15"/>
  <c r="T850" i="15"/>
  <c r="T842" i="15"/>
  <c r="T847" i="15"/>
  <c r="T853" i="15"/>
  <c r="X1429" i="15"/>
  <c r="V1443" i="15"/>
  <c r="V1432" i="15"/>
  <c r="V1442" i="15"/>
  <c r="V1438" i="15"/>
  <c r="V1440" i="15"/>
  <c r="V1431" i="15"/>
  <c r="V1439" i="15"/>
  <c r="V1447" i="15"/>
  <c r="V1435" i="15"/>
  <c r="V1441" i="15"/>
  <c r="V1437" i="15"/>
  <c r="V1436" i="15"/>
  <c r="V1445" i="15"/>
  <c r="V1444" i="15"/>
  <c r="V1446" i="15"/>
  <c r="V1434" i="15"/>
  <c r="V1430" i="15"/>
  <c r="V1433" i="15"/>
  <c r="W1486" i="15"/>
  <c r="U1505" i="15"/>
  <c r="V1487" i="15"/>
  <c r="V1494" i="15"/>
  <c r="V1491" i="15"/>
  <c r="V1488" i="15"/>
  <c r="V1501" i="15"/>
  <c r="V1503" i="15"/>
  <c r="V1502" i="15"/>
  <c r="V1504" i="15"/>
  <c r="V1493" i="15"/>
  <c r="V1499" i="15"/>
  <c r="V1496" i="15"/>
  <c r="V1498" i="15"/>
  <c r="V1489" i="15"/>
  <c r="V1500" i="15"/>
  <c r="V1492" i="15"/>
  <c r="V1497" i="15"/>
  <c r="V1490" i="15"/>
  <c r="V1495" i="15"/>
  <c r="T1128" i="15"/>
  <c r="T1135" i="15"/>
  <c r="T1139" i="15"/>
  <c r="T1138" i="15"/>
  <c r="T1136" i="15"/>
  <c r="T1137" i="15"/>
  <c r="T1141" i="15"/>
  <c r="T1130" i="15"/>
  <c r="T1126" i="15"/>
  <c r="T1129" i="15"/>
  <c r="T1132" i="15"/>
  <c r="T1140" i="15"/>
  <c r="T1142" i="15"/>
  <c r="T1134" i="15"/>
  <c r="T1143" i="15"/>
  <c r="T1133" i="15"/>
  <c r="T1131" i="15"/>
  <c r="T1127" i="15"/>
  <c r="V1296" i="15"/>
  <c r="X1087" i="15"/>
  <c r="V373" i="15"/>
  <c r="V371" i="15"/>
  <c r="V375" i="15"/>
  <c r="V383" i="15"/>
  <c r="V374" i="15"/>
  <c r="V370" i="15"/>
  <c r="V376" i="15"/>
  <c r="V366" i="15"/>
  <c r="V369" i="15"/>
  <c r="V378" i="15"/>
  <c r="V377" i="15"/>
  <c r="V380" i="15"/>
  <c r="V368" i="15"/>
  <c r="V382" i="15"/>
  <c r="V372" i="15"/>
  <c r="V379" i="15"/>
  <c r="V367" i="15"/>
  <c r="V381" i="15"/>
  <c r="W611" i="15"/>
  <c r="W601" i="15"/>
  <c r="W603" i="15"/>
  <c r="W607" i="15"/>
  <c r="W595" i="15"/>
  <c r="W599" i="15"/>
  <c r="W608" i="15"/>
  <c r="W594" i="15"/>
  <c r="W600" i="15"/>
  <c r="W604" i="15"/>
  <c r="W609" i="15"/>
  <c r="W605" i="15"/>
  <c r="W597" i="15"/>
  <c r="W602" i="15"/>
  <c r="W596" i="15"/>
  <c r="W610" i="15"/>
  <c r="W606" i="15"/>
  <c r="W598" i="15"/>
  <c r="U802" i="15"/>
  <c r="U764" i="15"/>
  <c r="V1467" i="15"/>
  <c r="Y422" i="15"/>
  <c r="X422" i="15"/>
  <c r="V745" i="15"/>
  <c r="V957" i="15"/>
  <c r="V962" i="15"/>
  <c r="V972" i="15"/>
  <c r="V963" i="15"/>
  <c r="V960" i="15"/>
  <c r="V956" i="15"/>
  <c r="V968" i="15"/>
  <c r="V970" i="15"/>
  <c r="V964" i="15"/>
  <c r="V971" i="15"/>
  <c r="V958" i="15"/>
  <c r="V955" i="15"/>
  <c r="V967" i="15"/>
  <c r="V961" i="15"/>
  <c r="V969" i="15"/>
  <c r="V959" i="15"/>
  <c r="V965" i="15"/>
  <c r="V966" i="15"/>
  <c r="U400" i="15"/>
  <c r="U399" i="15"/>
  <c r="U402" i="15"/>
  <c r="U387" i="15"/>
  <c r="U392" i="15"/>
  <c r="U386" i="15"/>
  <c r="U394" i="15"/>
  <c r="U389" i="15"/>
  <c r="U398" i="15"/>
  <c r="U388" i="15"/>
  <c r="U390" i="15"/>
  <c r="U385" i="15"/>
  <c r="U391" i="15"/>
  <c r="U393" i="15"/>
  <c r="U396" i="15"/>
  <c r="U397" i="15"/>
  <c r="U401" i="15"/>
  <c r="U395" i="15"/>
  <c r="X1486" i="15"/>
  <c r="U1136" i="15"/>
  <c r="U1137" i="15"/>
  <c r="U1129" i="15"/>
  <c r="U1128" i="15"/>
  <c r="U1130" i="15"/>
  <c r="U1140" i="15"/>
  <c r="U1138" i="15"/>
  <c r="U1141" i="15"/>
  <c r="U1135" i="15"/>
  <c r="U1142" i="15"/>
  <c r="U1143" i="15"/>
  <c r="U1126" i="15"/>
  <c r="U1133" i="15"/>
  <c r="U1134" i="15"/>
  <c r="U1132" i="15"/>
  <c r="U1127" i="15"/>
  <c r="U1131" i="15"/>
  <c r="U1139" i="15"/>
  <c r="T891" i="15"/>
  <c r="T885" i="15"/>
  <c r="T888" i="15"/>
  <c r="T893" i="15"/>
  <c r="T896" i="15"/>
  <c r="T892" i="15"/>
  <c r="T883" i="15"/>
  <c r="T894" i="15"/>
  <c r="T880" i="15"/>
  <c r="T889" i="15"/>
  <c r="T884" i="15"/>
  <c r="T886" i="15"/>
  <c r="T879" i="15"/>
  <c r="T881" i="15"/>
  <c r="T887" i="15"/>
  <c r="T890" i="15"/>
  <c r="T895" i="15"/>
  <c r="T882" i="15"/>
  <c r="W422" i="15"/>
  <c r="W377" i="15"/>
  <c r="W373" i="15"/>
  <c r="W369" i="15"/>
  <c r="W374" i="15"/>
  <c r="W382" i="15"/>
  <c r="W366" i="15"/>
  <c r="W368" i="15"/>
  <c r="W379" i="15"/>
  <c r="W375" i="15"/>
  <c r="W371" i="15"/>
  <c r="W381" i="15"/>
  <c r="W367" i="15"/>
  <c r="W378" i="15"/>
  <c r="W380" i="15"/>
  <c r="W372" i="15"/>
  <c r="W370" i="15"/>
  <c r="W376" i="15"/>
  <c r="W383" i="15"/>
  <c r="W1467" i="15"/>
  <c r="V688" i="15"/>
  <c r="W1457" i="15"/>
  <c r="W1461" i="15"/>
  <c r="W1455" i="15"/>
  <c r="W1465" i="15"/>
  <c r="W1453" i="15"/>
  <c r="W1459" i="15"/>
  <c r="W1449" i="15"/>
  <c r="W1466" i="15"/>
  <c r="W1462" i="15"/>
  <c r="W1458" i="15"/>
  <c r="W1454" i="15"/>
  <c r="W1450" i="15"/>
  <c r="W1463" i="15"/>
  <c r="W1460" i="15"/>
  <c r="W1464" i="15"/>
  <c r="W1451" i="15"/>
  <c r="W1452" i="15"/>
  <c r="W1456" i="15"/>
  <c r="U973" i="15"/>
  <c r="W646" i="15"/>
  <c r="W634" i="15"/>
  <c r="W636" i="15"/>
  <c r="W638" i="15"/>
  <c r="W639" i="15"/>
  <c r="W633" i="15"/>
  <c r="W648" i="15"/>
  <c r="W643" i="15"/>
  <c r="W640" i="15"/>
  <c r="W649" i="15"/>
  <c r="W645" i="15"/>
  <c r="W632" i="15"/>
  <c r="W635" i="15"/>
  <c r="W642" i="15"/>
  <c r="W644" i="15"/>
  <c r="W637" i="15"/>
  <c r="W647" i="15"/>
  <c r="W641" i="15"/>
  <c r="U1185" i="15"/>
  <c r="U1192" i="15"/>
  <c r="U1193" i="15"/>
  <c r="U1190" i="15"/>
  <c r="U1189" i="15"/>
  <c r="U1200" i="15"/>
  <c r="U1197" i="15"/>
  <c r="U1194" i="15"/>
  <c r="U1186" i="15"/>
  <c r="U1184" i="15"/>
  <c r="U1183" i="15"/>
  <c r="U1198" i="15"/>
  <c r="U1195" i="15"/>
  <c r="U1188" i="15"/>
  <c r="U1191" i="15"/>
  <c r="U1196" i="15"/>
  <c r="U1187" i="15"/>
  <c r="U1199" i="15"/>
  <c r="W441" i="15"/>
  <c r="V498" i="15"/>
  <c r="V1049" i="15"/>
  <c r="X365" i="15"/>
  <c r="U762" i="15"/>
  <c r="U746" i="15"/>
  <c r="U751" i="15"/>
  <c r="U754" i="15"/>
  <c r="U749" i="15"/>
  <c r="U758" i="15"/>
  <c r="U755" i="15"/>
  <c r="U748" i="15"/>
  <c r="U753" i="15"/>
  <c r="U759" i="15"/>
  <c r="U752" i="15"/>
  <c r="U756" i="15"/>
  <c r="U761" i="15"/>
  <c r="U747" i="15"/>
  <c r="U757" i="15"/>
  <c r="U760" i="15"/>
  <c r="U763" i="15"/>
  <c r="U750" i="15"/>
  <c r="W956" i="15"/>
  <c r="W968" i="15"/>
  <c r="W958" i="15"/>
  <c r="W969" i="15"/>
  <c r="W960" i="15"/>
  <c r="W961" i="15"/>
  <c r="W965" i="15"/>
  <c r="W966" i="15"/>
  <c r="W957" i="15"/>
  <c r="W967" i="15"/>
  <c r="W972" i="15"/>
  <c r="W964" i="15"/>
  <c r="W971" i="15"/>
  <c r="W963" i="15"/>
  <c r="W955" i="15"/>
  <c r="W962" i="15"/>
  <c r="W959" i="15"/>
  <c r="W970" i="15"/>
  <c r="W1349" i="15"/>
  <c r="W1351" i="15"/>
  <c r="W1339" i="15"/>
  <c r="W1335" i="15"/>
  <c r="W1352" i="15"/>
  <c r="W1348" i="15"/>
  <c r="W1346" i="15"/>
  <c r="W1344" i="15"/>
  <c r="W1342" i="15"/>
  <c r="W1336" i="15"/>
  <c r="W1341" i="15"/>
  <c r="W1337" i="15"/>
  <c r="W1347" i="15"/>
  <c r="W1338" i="15"/>
  <c r="W1350" i="15"/>
  <c r="W1343" i="15"/>
  <c r="W1345" i="15"/>
  <c r="W1340" i="15"/>
  <c r="T1185" i="15"/>
  <c r="T1193" i="15"/>
  <c r="T1190" i="15"/>
  <c r="T1198" i="15"/>
  <c r="T1184" i="15"/>
  <c r="T1196" i="15"/>
  <c r="T1192" i="15"/>
  <c r="T1189" i="15"/>
  <c r="T1200" i="15"/>
  <c r="T1197" i="15"/>
  <c r="T1186" i="15"/>
  <c r="T1183" i="15"/>
  <c r="T1194" i="15"/>
  <c r="T1187" i="15"/>
  <c r="T1195" i="15"/>
  <c r="T1188" i="15"/>
  <c r="T1191" i="15"/>
  <c r="T1199" i="15"/>
  <c r="U704" i="15"/>
  <c r="U695" i="15"/>
  <c r="U696" i="15"/>
  <c r="U690" i="15"/>
  <c r="U689" i="15"/>
  <c r="U692" i="15"/>
  <c r="U698" i="15"/>
  <c r="U702" i="15"/>
  <c r="U703" i="15"/>
  <c r="U706" i="15"/>
  <c r="U700" i="15"/>
  <c r="U694" i="15"/>
  <c r="U705" i="15"/>
  <c r="U701" i="15"/>
  <c r="U699" i="15"/>
  <c r="U693" i="15"/>
  <c r="U697" i="15"/>
  <c r="U691" i="15"/>
  <c r="X954" i="15"/>
  <c r="X593" i="15"/>
  <c r="V802" i="15"/>
  <c r="V764" i="15"/>
  <c r="X1334" i="15"/>
  <c r="U574" i="15"/>
  <c r="T592" i="15"/>
  <c r="T587" i="15"/>
  <c r="T584" i="15"/>
  <c r="T588" i="15"/>
  <c r="T583" i="15"/>
  <c r="T582" i="15"/>
  <c r="T577" i="15"/>
  <c r="T585" i="15"/>
  <c r="T591" i="15"/>
  <c r="T578" i="15"/>
  <c r="T581" i="15"/>
  <c r="T590" i="15"/>
  <c r="T589" i="15"/>
  <c r="T579" i="15"/>
  <c r="T575" i="15"/>
  <c r="T580" i="15"/>
  <c r="T576" i="15"/>
  <c r="T586" i="15"/>
  <c r="V1505" i="15"/>
  <c r="U511" i="15"/>
  <c r="U508" i="15"/>
  <c r="U507" i="15"/>
  <c r="U506" i="15"/>
  <c r="U515" i="15"/>
  <c r="U502" i="15"/>
  <c r="U503" i="15"/>
  <c r="U501" i="15"/>
  <c r="U500" i="15"/>
  <c r="U509" i="15"/>
  <c r="U499" i="15"/>
  <c r="U510" i="15"/>
  <c r="U505" i="15"/>
  <c r="U512" i="15"/>
  <c r="U516" i="15"/>
  <c r="U514" i="15"/>
  <c r="U513" i="15"/>
  <c r="U504" i="15"/>
  <c r="U1049" i="15"/>
  <c r="T1062" i="15"/>
  <c r="T1067" i="15"/>
  <c r="T1054" i="15"/>
  <c r="T1057" i="15"/>
  <c r="T1051" i="15"/>
  <c r="T1065" i="15"/>
  <c r="T1052" i="15"/>
  <c r="T1059" i="15"/>
  <c r="T1058" i="15"/>
  <c r="T1063" i="15"/>
  <c r="T1053" i="15"/>
  <c r="T1050" i="15"/>
  <c r="T1055" i="15"/>
  <c r="T1064" i="15"/>
  <c r="T1061" i="15"/>
  <c r="T1066" i="15"/>
  <c r="T1056" i="15"/>
  <c r="T1060" i="15"/>
  <c r="X1448" i="15"/>
  <c r="V973" i="15"/>
  <c r="T799" i="15"/>
  <c r="T801" i="15"/>
  <c r="T785" i="15"/>
  <c r="T784" i="15"/>
  <c r="T793" i="15"/>
  <c r="T800" i="15"/>
  <c r="T794" i="15"/>
  <c r="T790" i="15"/>
  <c r="T789" i="15"/>
  <c r="T788" i="15"/>
  <c r="T791" i="15"/>
  <c r="T786" i="15"/>
  <c r="T787" i="15"/>
  <c r="T798" i="15"/>
  <c r="T797" i="15"/>
  <c r="T792" i="15"/>
  <c r="T796" i="15"/>
  <c r="T795" i="15"/>
  <c r="V596" i="15"/>
  <c r="V610" i="15"/>
  <c r="V597" i="15"/>
  <c r="V600" i="15"/>
  <c r="V599" i="15"/>
  <c r="V606" i="15"/>
  <c r="V607" i="15"/>
  <c r="V604" i="15"/>
  <c r="V595" i="15"/>
  <c r="V605" i="15"/>
  <c r="V601" i="15"/>
  <c r="V608" i="15"/>
  <c r="V602" i="15"/>
  <c r="V603" i="15"/>
  <c r="V611" i="15"/>
  <c r="V609" i="15"/>
  <c r="V598" i="15"/>
  <c r="V594" i="15"/>
  <c r="T466" i="15"/>
  <c r="T463" i="15"/>
  <c r="T476" i="15"/>
  <c r="T474" i="15"/>
  <c r="T467" i="15"/>
  <c r="T478" i="15"/>
  <c r="T468" i="15"/>
  <c r="T465" i="15"/>
  <c r="T475" i="15"/>
  <c r="T470" i="15"/>
  <c r="T471" i="15"/>
  <c r="T473" i="15"/>
  <c r="T462" i="15"/>
  <c r="T464" i="15"/>
  <c r="T472" i="15"/>
  <c r="T477" i="15"/>
  <c r="T469" i="15"/>
  <c r="T461" i="15"/>
  <c r="X441" i="15"/>
  <c r="X1242" i="15"/>
  <c r="X1254" i="15"/>
  <c r="X1245" i="15"/>
  <c r="X1241" i="15"/>
  <c r="X1250" i="15"/>
  <c r="X1246" i="15"/>
  <c r="X1255" i="15"/>
  <c r="X1256" i="15"/>
  <c r="X1247" i="15"/>
  <c r="X1248" i="15"/>
  <c r="X1240" i="15"/>
  <c r="X1252" i="15"/>
  <c r="X1253" i="15"/>
  <c r="X1251" i="15"/>
  <c r="X1244" i="15"/>
  <c r="X1257" i="15"/>
  <c r="X1243" i="15"/>
  <c r="X1249" i="15"/>
  <c r="U1227" i="15"/>
  <c r="U1235" i="15"/>
  <c r="U1223" i="15"/>
  <c r="U1231" i="15"/>
  <c r="U1237" i="15"/>
  <c r="U1233" i="15"/>
  <c r="U1229" i="15"/>
  <c r="U1222" i="15"/>
  <c r="U1226" i="15"/>
  <c r="U1238" i="15"/>
  <c r="U1236" i="15"/>
  <c r="U1230" i="15"/>
  <c r="U1224" i="15"/>
  <c r="U1221" i="15"/>
  <c r="U1225" i="15"/>
  <c r="U1228" i="15"/>
  <c r="U1232" i="15"/>
  <c r="U1234" i="15"/>
  <c r="T1312" i="15"/>
  <c r="T1310" i="15"/>
  <c r="T1308" i="15"/>
  <c r="T1300" i="15"/>
  <c r="T1301" i="15"/>
  <c r="T1307" i="15"/>
  <c r="T1304" i="15"/>
  <c r="T1314" i="15"/>
  <c r="T1302" i="15"/>
  <c r="T1298" i="15"/>
  <c r="T1303" i="15"/>
  <c r="T1297" i="15"/>
  <c r="T1306" i="15"/>
  <c r="T1311" i="15"/>
  <c r="T1299" i="15"/>
  <c r="T1305" i="15"/>
  <c r="T1309" i="15"/>
  <c r="T1313" i="15"/>
  <c r="W1295" i="15"/>
  <c r="W1286" i="15"/>
  <c r="W1290" i="15"/>
  <c r="W1287" i="15"/>
  <c r="W1278" i="15"/>
  <c r="W1288" i="15"/>
  <c r="W1291" i="15"/>
  <c r="W1282" i="15"/>
  <c r="W1283" i="15"/>
  <c r="W1284" i="15"/>
  <c r="W1279" i="15"/>
  <c r="W1293" i="15"/>
  <c r="W1292" i="15"/>
  <c r="W1285" i="15"/>
  <c r="W1289" i="15"/>
  <c r="W1281" i="15"/>
  <c r="W1294" i="15"/>
  <c r="W1280" i="15"/>
  <c r="T760" i="15"/>
  <c r="T757" i="15"/>
  <c r="T751" i="15"/>
  <c r="T763" i="15"/>
  <c r="T753" i="15"/>
  <c r="T747" i="15"/>
  <c r="T746" i="15"/>
  <c r="T755" i="15"/>
  <c r="T752" i="15"/>
  <c r="T761" i="15"/>
  <c r="T759" i="15"/>
  <c r="T749" i="15"/>
  <c r="T762" i="15"/>
  <c r="T754" i="15"/>
  <c r="T750" i="15"/>
  <c r="T758" i="15"/>
  <c r="T756" i="15"/>
  <c r="T748" i="15"/>
  <c r="W916" i="15"/>
  <c r="W832" i="15"/>
  <c r="W828" i="15"/>
  <c r="W827" i="15"/>
  <c r="W824" i="15"/>
  <c r="W833" i="15"/>
  <c r="W838" i="15"/>
  <c r="W834" i="15"/>
  <c r="W825" i="15"/>
  <c r="W826" i="15"/>
  <c r="W830" i="15"/>
  <c r="W839" i="15"/>
  <c r="W831" i="15"/>
  <c r="W823" i="15"/>
  <c r="W836" i="15"/>
  <c r="W837" i="15"/>
  <c r="W822" i="15"/>
  <c r="W835" i="15"/>
  <c r="W829" i="15"/>
  <c r="U840" i="15"/>
  <c r="Y36" i="18"/>
  <c r="T704" i="15"/>
  <c r="T693" i="15"/>
  <c r="T691" i="15"/>
  <c r="T699" i="15"/>
  <c r="T689" i="15"/>
  <c r="T701" i="15"/>
  <c r="T696" i="15"/>
  <c r="T703" i="15"/>
  <c r="T695" i="15"/>
  <c r="T705" i="15"/>
  <c r="T706" i="15"/>
  <c r="T697" i="15"/>
  <c r="T702" i="15"/>
  <c r="T700" i="15"/>
  <c r="T690" i="15"/>
  <c r="T694" i="15"/>
  <c r="T692" i="15"/>
  <c r="T698" i="15"/>
  <c r="W992" i="15"/>
  <c r="V1461" i="15"/>
  <c r="V1453" i="15"/>
  <c r="V1451" i="15"/>
  <c r="V1463" i="15"/>
  <c r="V1460" i="15"/>
  <c r="V1450" i="15"/>
  <c r="V1462" i="15"/>
  <c r="V1455" i="15"/>
  <c r="V1466" i="15"/>
  <c r="V1449" i="15"/>
  <c r="V1456" i="15"/>
  <c r="V1454" i="15"/>
  <c r="V1464" i="15"/>
  <c r="V1459" i="15"/>
  <c r="V1458" i="15"/>
  <c r="V1452" i="15"/>
  <c r="V1457" i="15"/>
  <c r="V1465" i="15"/>
  <c r="V497" i="15"/>
  <c r="V487" i="15"/>
  <c r="V495" i="15"/>
  <c r="V492" i="15"/>
  <c r="V483" i="15"/>
  <c r="V482" i="15"/>
  <c r="V491" i="15"/>
  <c r="V489" i="15"/>
  <c r="V486" i="15"/>
  <c r="V481" i="15"/>
  <c r="V493" i="15"/>
  <c r="V485" i="15"/>
  <c r="V494" i="15"/>
  <c r="V490" i="15"/>
  <c r="V484" i="15"/>
  <c r="V480" i="15"/>
  <c r="V488" i="15"/>
  <c r="V496" i="15"/>
  <c r="V678" i="15"/>
  <c r="V683" i="15"/>
  <c r="V685" i="15"/>
  <c r="V682" i="15"/>
  <c r="V687" i="15"/>
  <c r="V672" i="15"/>
  <c r="V670" i="15"/>
  <c r="V675" i="15"/>
  <c r="V681" i="15"/>
  <c r="V671" i="15"/>
  <c r="V686" i="15"/>
  <c r="V677" i="15"/>
  <c r="V680" i="15"/>
  <c r="V679" i="15"/>
  <c r="V673" i="15"/>
  <c r="V684" i="15"/>
  <c r="V674" i="15"/>
  <c r="V676" i="15"/>
  <c r="U624" i="15"/>
  <c r="U625" i="15"/>
  <c r="U618" i="15"/>
  <c r="U620" i="15"/>
  <c r="U622" i="15"/>
  <c r="U613" i="15"/>
  <c r="U619" i="15"/>
  <c r="U630" i="15"/>
  <c r="U616" i="15"/>
  <c r="U623" i="15"/>
  <c r="U615" i="15"/>
  <c r="U621" i="15"/>
  <c r="U617" i="15"/>
  <c r="U628" i="15"/>
  <c r="U614" i="15"/>
  <c r="U627" i="15"/>
  <c r="U629" i="15"/>
  <c r="U626" i="15"/>
  <c r="V839" i="15"/>
  <c r="V831" i="15"/>
  <c r="V829" i="15"/>
  <c r="V823" i="15"/>
  <c r="V824" i="15"/>
  <c r="V835" i="15"/>
  <c r="V838" i="15"/>
  <c r="V825" i="15"/>
  <c r="V826" i="15"/>
  <c r="V822" i="15"/>
  <c r="V837" i="15"/>
  <c r="V827" i="15"/>
  <c r="V828" i="15"/>
  <c r="V832" i="15"/>
  <c r="V833" i="15"/>
  <c r="V834" i="15"/>
  <c r="V836" i="15"/>
  <c r="V830" i="15"/>
  <c r="AB1144" i="15"/>
  <c r="AC688" i="15"/>
  <c r="AC9" i="15"/>
  <c r="AC17" i="15"/>
  <c r="AC7" i="15"/>
  <c r="AC15" i="15"/>
  <c r="AC5" i="15"/>
  <c r="AD802" i="15"/>
  <c r="AB916" i="15"/>
  <c r="AD517" i="15"/>
  <c r="AD859" i="15"/>
  <c r="AC859" i="15"/>
  <c r="AB954" i="15"/>
  <c r="AB1049" i="15"/>
  <c r="AB1277" i="15"/>
  <c r="AB1429" i="15"/>
  <c r="AB80" i="15"/>
  <c r="AD232" i="15"/>
  <c r="AD308" i="15"/>
  <c r="AB821" i="15"/>
  <c r="AC1258" i="15"/>
  <c r="AD1353" i="15"/>
  <c r="AB1486" i="15"/>
  <c r="AB1505" i="15"/>
  <c r="AC897" i="15"/>
  <c r="AC1410" i="15"/>
  <c r="AC1505" i="15"/>
  <c r="AD156" i="15"/>
  <c r="AB156" i="15"/>
  <c r="AB346" i="15"/>
  <c r="AB479" i="15"/>
  <c r="AD650" i="15"/>
  <c r="AB802" i="15"/>
  <c r="AC802" i="15"/>
  <c r="AB878" i="15"/>
  <c r="AD1011" i="15"/>
  <c r="AB1106" i="15"/>
  <c r="AB1163" i="15"/>
  <c r="AB61" i="15"/>
  <c r="AB99" i="15"/>
  <c r="AB42" i="15"/>
  <c r="AB232" i="15"/>
  <c r="AD251" i="15"/>
  <c r="AC764" i="15"/>
  <c r="AB764" i="15"/>
  <c r="AC840" i="15"/>
  <c r="AB897" i="15"/>
  <c r="AB973" i="15"/>
  <c r="AB1182" i="15"/>
  <c r="AB175" i="15"/>
  <c r="AD213" i="15"/>
  <c r="AD289" i="15"/>
  <c r="AD669" i="15"/>
  <c r="AD840" i="15"/>
  <c r="AB840" i="15"/>
  <c r="AB1315" i="15"/>
  <c r="AC1315" i="15"/>
  <c r="AB4" i="15"/>
  <c r="AB137" i="15"/>
  <c r="AB194" i="15"/>
  <c r="AC270" i="15"/>
  <c r="AD270" i="15"/>
  <c r="AB593" i="15"/>
  <c r="AC593" i="15"/>
  <c r="AB935" i="15"/>
  <c r="AB992" i="15"/>
  <c r="AD1030" i="15"/>
  <c r="AB1030" i="15"/>
  <c r="AD1125" i="15"/>
  <c r="AB1125" i="15"/>
  <c r="AC1391" i="15"/>
  <c r="AC460" i="15"/>
  <c r="AD498" i="15"/>
  <c r="AC783" i="15"/>
  <c r="AC821" i="15"/>
  <c r="AD992" i="15"/>
  <c r="AC1049" i="15"/>
  <c r="AD1049" i="15"/>
  <c r="AB1087" i="15"/>
  <c r="AC1296" i="15"/>
  <c r="AB118" i="15"/>
  <c r="AC422" i="15"/>
  <c r="AD783" i="15"/>
  <c r="AB783" i="15"/>
  <c r="AD821" i="15"/>
  <c r="AC916" i="15"/>
  <c r="AB1011" i="15"/>
  <c r="AB1201" i="15"/>
  <c r="AB1258" i="15"/>
  <c r="AD1315" i="15"/>
  <c r="AC289" i="15"/>
  <c r="AC384" i="15"/>
  <c r="AC878" i="15"/>
  <c r="AB1068" i="15"/>
  <c r="AD1334" i="15"/>
  <c r="AB1334" i="15"/>
  <c r="AC80" i="15"/>
  <c r="AC137" i="15"/>
  <c r="AC308" i="15"/>
  <c r="AC346" i="15"/>
  <c r="AD384" i="15"/>
  <c r="AB403" i="15"/>
  <c r="AD422" i="15"/>
  <c r="AD460" i="15"/>
  <c r="AD4" i="15"/>
  <c r="AC42" i="15"/>
  <c r="AD80" i="15"/>
  <c r="AD137" i="15"/>
  <c r="AC251" i="15"/>
  <c r="AD42" i="15"/>
  <c r="AC118" i="15"/>
  <c r="AC194" i="15"/>
  <c r="AB213" i="15"/>
  <c r="AB365" i="15"/>
  <c r="AC61" i="15"/>
  <c r="AD118" i="15"/>
  <c r="AD194" i="15"/>
  <c r="AC232" i="15"/>
  <c r="AB270" i="15"/>
  <c r="AB289" i="15"/>
  <c r="AC365" i="15"/>
  <c r="AC403" i="15"/>
  <c r="AC441" i="15"/>
  <c r="AD612" i="15"/>
  <c r="AC23" i="15"/>
  <c r="AD61" i="15"/>
  <c r="AC175" i="15"/>
  <c r="AB308" i="15"/>
  <c r="AB327" i="15"/>
  <c r="AD365" i="15"/>
  <c r="AB384" i="15"/>
  <c r="AD403" i="15"/>
  <c r="AD441" i="15"/>
  <c r="AD479" i="15"/>
  <c r="AD23" i="15"/>
  <c r="AB23" i="15"/>
  <c r="AC99" i="15"/>
  <c r="AD175" i="15"/>
  <c r="AB251" i="15"/>
  <c r="AC327" i="15"/>
  <c r="AD631" i="15"/>
  <c r="AD99" i="15"/>
  <c r="AC156" i="15"/>
  <c r="AC213" i="15"/>
  <c r="AB422" i="15"/>
  <c r="AB460" i="15"/>
  <c r="AB498" i="15"/>
  <c r="AB612" i="15"/>
  <c r="AC612" i="15"/>
  <c r="AB669" i="15"/>
  <c r="AD707" i="15"/>
  <c r="AD745" i="15"/>
  <c r="AD954" i="15"/>
  <c r="AC1068" i="15"/>
  <c r="AD1144" i="15"/>
  <c r="AC1220" i="15"/>
  <c r="AD1258" i="15"/>
  <c r="AC1277" i="15"/>
  <c r="AB1372" i="15"/>
  <c r="AB1448" i="15"/>
  <c r="AB441" i="15"/>
  <c r="AC536" i="15"/>
  <c r="AD555" i="15"/>
  <c r="AC669" i="15"/>
  <c r="AB707" i="15"/>
  <c r="AC726" i="15"/>
  <c r="AB745" i="15"/>
  <c r="AD764" i="15"/>
  <c r="AC935" i="15"/>
  <c r="AD1087" i="15"/>
  <c r="AC1163" i="15"/>
  <c r="AC1239" i="15"/>
  <c r="AD1296" i="15"/>
  <c r="AC1372" i="15"/>
  <c r="AB1410" i="15"/>
  <c r="AB650" i="15"/>
  <c r="AC650" i="15"/>
  <c r="AD935" i="15"/>
  <c r="AC1106" i="15"/>
  <c r="AD1182" i="15"/>
  <c r="AD1372" i="15"/>
  <c r="AB1353" i="15"/>
  <c r="AB1467" i="15"/>
  <c r="AC479" i="15"/>
  <c r="AD574" i="15"/>
  <c r="AD688" i="15"/>
  <c r="AD726" i="15"/>
  <c r="AD916" i="15"/>
  <c r="AC992" i="15"/>
  <c r="AC1011" i="15"/>
  <c r="AD1068" i="15"/>
  <c r="AC1144" i="15"/>
  <c r="AD1220" i="15"/>
  <c r="AB1220" i="15"/>
  <c r="AB1296" i="15"/>
  <c r="AC1353" i="15"/>
  <c r="AC1467" i="15"/>
  <c r="AB517" i="15"/>
  <c r="AC517" i="15"/>
  <c r="AD536" i="15"/>
  <c r="AB631" i="15"/>
  <c r="AC631" i="15"/>
  <c r="AB688" i="15"/>
  <c r="AC707" i="15"/>
  <c r="AB726" i="15"/>
  <c r="AC745" i="15"/>
  <c r="AB859" i="15"/>
  <c r="AD897" i="15"/>
  <c r="AC973" i="15"/>
  <c r="AC1030" i="15"/>
  <c r="AC1087" i="15"/>
  <c r="AD1163" i="15"/>
  <c r="AB1239" i="15"/>
  <c r="AC1334" i="15"/>
  <c r="AB1391" i="15"/>
  <c r="AD878" i="15"/>
  <c r="AD973" i="15"/>
  <c r="AD1106" i="15"/>
  <c r="AC1182" i="15"/>
  <c r="AD593" i="15"/>
  <c r="AC954" i="15"/>
  <c r="AC1125" i="15"/>
  <c r="AD1201" i="15"/>
  <c r="AD1391" i="15"/>
  <c r="AD1410" i="15"/>
  <c r="AC1429" i="15"/>
  <c r="AC1486" i="15"/>
  <c r="AD1429" i="15"/>
  <c r="AD1486" i="15"/>
  <c r="AC1448" i="15"/>
  <c r="AD1467" i="15"/>
  <c r="AD1505" i="15"/>
  <c r="AD1277" i="15"/>
  <c r="AD1448" i="15"/>
  <c r="AC1201" i="15"/>
  <c r="AD1239" i="15"/>
  <c r="AD327" i="15"/>
  <c r="AD346" i="15"/>
  <c r="AC498" i="15"/>
  <c r="AB574" i="15"/>
  <c r="AC574" i="15"/>
  <c r="AB555" i="15"/>
  <c r="AC555" i="15"/>
  <c r="AB536" i="15"/>
  <c r="Y1112" i="15" l="1"/>
  <c r="Y1122" i="15"/>
  <c r="Y1119" i="15"/>
  <c r="Y1111" i="15"/>
  <c r="Y1115" i="15"/>
  <c r="Y1107" i="15"/>
  <c r="Y1117" i="15"/>
  <c r="Y1113" i="15"/>
  <c r="Y1110" i="15"/>
  <c r="Y1121" i="15"/>
  <c r="Y1120" i="15"/>
  <c r="Y1109" i="15"/>
  <c r="Y1211" i="15"/>
  <c r="Y1123" i="15"/>
  <c r="Y1108" i="15"/>
  <c r="Y1077" i="15"/>
  <c r="Y1116" i="15"/>
  <c r="Y1114" i="15"/>
  <c r="Y1124" i="15"/>
  <c r="Y1392" i="15"/>
  <c r="Y1081" i="15"/>
  <c r="Y1404" i="15"/>
  <c r="Y1408" i="15"/>
  <c r="Y1086" i="15"/>
  <c r="Y1395" i="15"/>
  <c r="Y1397" i="15"/>
  <c r="Y1399" i="15"/>
  <c r="Y1398" i="15"/>
  <c r="Y1206" i="15"/>
  <c r="Y950" i="15"/>
  <c r="Y944" i="15"/>
  <c r="Y949" i="15"/>
  <c r="Y1214" i="15"/>
  <c r="Y945" i="15"/>
  <c r="Y936" i="15"/>
  <c r="Y1075" i="15"/>
  <c r="Y1401" i="15"/>
  <c r="Y1069" i="15"/>
  <c r="Y1073" i="15"/>
  <c r="Y943" i="15"/>
  <c r="Y1078" i="15"/>
  <c r="Y1400" i="15"/>
  <c r="Y1083" i="15"/>
  <c r="Y1072" i="15"/>
  <c r="Y1082" i="15"/>
  <c r="Y1074" i="15"/>
  <c r="Y1396" i="15"/>
  <c r="Y1394" i="15"/>
  <c r="Y937" i="15"/>
  <c r="Y1205" i="15"/>
  <c r="Y946" i="15"/>
  <c r="Y941" i="15"/>
  <c r="Y1085" i="15"/>
  <c r="Y1076" i="15"/>
  <c r="Y1403" i="15"/>
  <c r="Y1406" i="15"/>
  <c r="Y942" i="15"/>
  <c r="Y938" i="15"/>
  <c r="Y1084" i="15"/>
  <c r="Y1071" i="15"/>
  <c r="Y1080" i="15"/>
  <c r="Y1405" i="15"/>
  <c r="Y1409" i="15"/>
  <c r="Y947" i="15"/>
  <c r="Y1079" i="15"/>
  <c r="Y1393" i="15"/>
  <c r="Y1407" i="15"/>
  <c r="Y948" i="15"/>
  <c r="Y1216" i="15"/>
  <c r="Y1209" i="15"/>
  <c r="Y1210" i="15"/>
  <c r="Y1219" i="15"/>
  <c r="Y1208" i="15"/>
  <c r="Y1213" i="15"/>
  <c r="Y1202" i="15"/>
  <c r="Y1218" i="15"/>
  <c r="Y1204" i="15"/>
  <c r="Y1215" i="15"/>
  <c r="Y1217" i="15"/>
  <c r="Y1212" i="15"/>
  <c r="Y1207" i="15"/>
  <c r="Y1251" i="15"/>
  <c r="Y1249" i="15"/>
  <c r="Y1257" i="15"/>
  <c r="Y1241" i="15"/>
  <c r="Y1247" i="15"/>
  <c r="Y1254" i="15"/>
  <c r="Y1255" i="15"/>
  <c r="Y1252" i="15"/>
  <c r="Y1253" i="15"/>
  <c r="Y1240" i="15"/>
  <c r="Y1243" i="15"/>
  <c r="Y1244" i="15"/>
  <c r="Y1250" i="15"/>
  <c r="Y1248" i="15"/>
  <c r="Y1246" i="15"/>
  <c r="Y1245" i="15"/>
  <c r="Y1256" i="15"/>
  <c r="Y1242" i="15"/>
  <c r="Y952" i="15"/>
  <c r="Y939" i="15"/>
  <c r="Y953" i="15"/>
  <c r="Y940" i="15"/>
  <c r="Y411" i="15"/>
  <c r="Y419" i="15"/>
  <c r="Y416" i="15"/>
  <c r="Y413" i="15"/>
  <c r="Y410" i="15"/>
  <c r="Y417" i="15"/>
  <c r="Y412" i="15"/>
  <c r="Y418" i="15"/>
  <c r="Y406" i="15"/>
  <c r="Y405" i="15"/>
  <c r="Y414" i="15"/>
  <c r="Y409" i="15"/>
  <c r="Y408" i="15"/>
  <c r="Y415" i="15"/>
  <c r="Y420" i="15"/>
  <c r="Y407" i="15"/>
  <c r="Y421" i="15"/>
  <c r="Y404" i="15"/>
  <c r="Y655" i="15"/>
  <c r="Y668" i="15"/>
  <c r="Y663" i="15"/>
  <c r="Y661" i="15"/>
  <c r="Y667" i="15"/>
  <c r="Y652" i="15"/>
  <c r="Y659" i="15"/>
  <c r="Y665" i="15"/>
  <c r="Y651" i="15"/>
  <c r="Y653" i="15"/>
  <c r="Y664" i="15"/>
  <c r="Y660" i="15"/>
  <c r="Y654" i="15"/>
  <c r="Y658" i="15"/>
  <c r="Y657" i="15"/>
  <c r="Y656" i="15"/>
  <c r="Y666" i="15"/>
  <c r="Y662" i="15"/>
  <c r="Y903" i="15"/>
  <c r="Y904" i="15"/>
  <c r="Y908" i="15"/>
  <c r="Y901" i="15"/>
  <c r="Y911" i="15"/>
  <c r="Y907" i="15"/>
  <c r="Y898" i="15"/>
  <c r="Y915" i="15"/>
  <c r="Y905" i="15"/>
  <c r="Y913" i="15"/>
  <c r="Y906" i="15"/>
  <c r="Y909" i="15"/>
  <c r="Y910" i="15"/>
  <c r="Y902" i="15"/>
  <c r="Y900" i="15"/>
  <c r="Y912" i="15"/>
  <c r="Y899" i="15"/>
  <c r="Y914" i="15"/>
  <c r="Y1160" i="15"/>
  <c r="Y1157" i="15"/>
  <c r="Y1156" i="15"/>
  <c r="Y1149" i="15"/>
  <c r="Y1162" i="15"/>
  <c r="Y1159" i="15"/>
  <c r="Y1145" i="15"/>
  <c r="Y1158" i="15"/>
  <c r="Y1161" i="15"/>
  <c r="Y1150" i="15"/>
  <c r="Y1148" i="15"/>
  <c r="Y1153" i="15"/>
  <c r="Y1154" i="15"/>
  <c r="Y1152" i="15"/>
  <c r="Y1155" i="15"/>
  <c r="Y1151" i="15"/>
  <c r="Y1146" i="15"/>
  <c r="Y1147" i="15"/>
  <c r="Y1013" i="15"/>
  <c r="Y1014" i="15"/>
  <c r="Y1025" i="15"/>
  <c r="Y1029" i="15"/>
  <c r="Y1026" i="15"/>
  <c r="Y1027" i="15"/>
  <c r="Y1017" i="15"/>
  <c r="Y1023" i="15"/>
  <c r="Y1022" i="15"/>
  <c r="Y1028" i="15"/>
  <c r="Y1015" i="15"/>
  <c r="Y1012" i="15"/>
  <c r="Y1021" i="15"/>
  <c r="Y1020" i="15"/>
  <c r="Y1018" i="15"/>
  <c r="Y1019" i="15"/>
  <c r="Y1016" i="15"/>
  <c r="Y1024" i="15"/>
  <c r="Y566" i="15"/>
  <c r="Y572" i="15"/>
  <c r="Y556" i="15"/>
  <c r="Y562" i="15"/>
  <c r="Y557" i="15"/>
  <c r="Y570" i="15"/>
  <c r="Y558" i="15"/>
  <c r="Y564" i="15"/>
  <c r="Y571" i="15"/>
  <c r="Y563" i="15"/>
  <c r="Y567" i="15"/>
  <c r="Y569" i="15"/>
  <c r="Y559" i="15"/>
  <c r="Y573" i="15"/>
  <c r="Y568" i="15"/>
  <c r="Y565" i="15"/>
  <c r="Y561" i="15"/>
  <c r="Y560" i="15"/>
  <c r="Y23" i="18"/>
  <c r="V548" i="15"/>
  <c r="V552" i="15"/>
  <c r="V544" i="15"/>
  <c r="V539" i="15"/>
  <c r="V538" i="15"/>
  <c r="V554" i="15"/>
  <c r="V546" i="15"/>
  <c r="V543" i="15"/>
  <c r="V542" i="15"/>
  <c r="V540" i="15"/>
  <c r="V545" i="15"/>
  <c r="V551" i="15"/>
  <c r="V553" i="15"/>
  <c r="V547" i="15"/>
  <c r="V541" i="15"/>
  <c r="V537" i="15"/>
  <c r="V549" i="15"/>
  <c r="V550" i="15"/>
  <c r="T2" i="19"/>
  <c r="T1" i="19" s="1"/>
  <c r="U23" i="18"/>
  <c r="W536" i="15" s="1"/>
  <c r="Y24" i="18"/>
  <c r="T2" i="18"/>
  <c r="Y62" i="18"/>
  <c r="Y26" i="18"/>
  <c r="Y61" i="18"/>
  <c r="W764" i="15"/>
  <c r="W431" i="15"/>
  <c r="W424" i="15"/>
  <c r="W435" i="15"/>
  <c r="W438" i="15"/>
  <c r="W433" i="15"/>
  <c r="W429" i="15"/>
  <c r="W430" i="15"/>
  <c r="W437" i="15"/>
  <c r="W440" i="15"/>
  <c r="W425" i="15"/>
  <c r="W439" i="15"/>
  <c r="W432" i="15"/>
  <c r="W434" i="15"/>
  <c r="W423" i="15"/>
  <c r="W436" i="15"/>
  <c r="W427" i="15"/>
  <c r="W426" i="15"/>
  <c r="W428" i="15"/>
  <c r="Y1375" i="15"/>
  <c r="Y1387" i="15"/>
  <c r="Y1378" i="15"/>
  <c r="Y1374" i="15"/>
  <c r="Y1383" i="15"/>
  <c r="Y1379" i="15"/>
  <c r="Y1388" i="15"/>
  <c r="Y1384" i="15"/>
  <c r="Y1381" i="15"/>
  <c r="Y1380" i="15"/>
  <c r="Y1376" i="15"/>
  <c r="Y1385" i="15"/>
  <c r="Y1390" i="15"/>
  <c r="Y1389" i="15"/>
  <c r="Y1386" i="15"/>
  <c r="Y1382" i="15"/>
  <c r="Y1373" i="15"/>
  <c r="Y1377" i="15"/>
  <c r="W1389" i="15"/>
  <c r="W1380" i="15"/>
  <c r="W1381" i="15"/>
  <c r="W1385" i="15"/>
  <c r="W1373" i="15"/>
  <c r="W1377" i="15"/>
  <c r="W1386" i="15"/>
  <c r="W1390" i="15"/>
  <c r="W1378" i="15"/>
  <c r="W1383" i="15"/>
  <c r="W1375" i="15"/>
  <c r="W1382" i="15"/>
  <c r="W1388" i="15"/>
  <c r="W1384" i="15"/>
  <c r="W1376" i="15"/>
  <c r="W1379" i="15"/>
  <c r="W1374" i="15"/>
  <c r="W1387" i="15"/>
  <c r="U850" i="15"/>
  <c r="U851" i="15"/>
  <c r="U858" i="15"/>
  <c r="U842" i="15"/>
  <c r="U849" i="15"/>
  <c r="U855" i="15"/>
  <c r="U848" i="15"/>
  <c r="U841" i="15"/>
  <c r="U843" i="15"/>
  <c r="U857" i="15"/>
  <c r="U845" i="15"/>
  <c r="U844" i="15"/>
  <c r="U846" i="15"/>
  <c r="U854" i="15"/>
  <c r="U847" i="15"/>
  <c r="U852" i="15"/>
  <c r="U856" i="15"/>
  <c r="U853" i="15"/>
  <c r="X444" i="15"/>
  <c r="X443" i="15"/>
  <c r="X454" i="15"/>
  <c r="X459" i="15"/>
  <c r="X453" i="15"/>
  <c r="X446" i="15"/>
  <c r="X447" i="15"/>
  <c r="X451" i="15"/>
  <c r="X457" i="15"/>
  <c r="X458" i="15"/>
  <c r="X456" i="15"/>
  <c r="X445" i="15"/>
  <c r="X455" i="15"/>
  <c r="X450" i="15"/>
  <c r="X442" i="15"/>
  <c r="X452" i="15"/>
  <c r="X449" i="15"/>
  <c r="X448" i="15"/>
  <c r="V1182" i="15"/>
  <c r="Y80" i="18"/>
  <c r="W973" i="15"/>
  <c r="V806" i="15"/>
  <c r="V812" i="15"/>
  <c r="V813" i="15"/>
  <c r="V820" i="15"/>
  <c r="V814" i="15"/>
  <c r="V804" i="15"/>
  <c r="V805" i="15"/>
  <c r="V815" i="15"/>
  <c r="V818" i="15"/>
  <c r="V811" i="15"/>
  <c r="V819" i="15"/>
  <c r="V803" i="15"/>
  <c r="V810" i="15"/>
  <c r="V807" i="15"/>
  <c r="V808" i="15"/>
  <c r="V816" i="15"/>
  <c r="V809" i="15"/>
  <c r="V817" i="15"/>
  <c r="X374" i="15"/>
  <c r="X381" i="15"/>
  <c r="X375" i="15"/>
  <c r="X379" i="15"/>
  <c r="X371" i="15"/>
  <c r="X372" i="15"/>
  <c r="X380" i="15"/>
  <c r="X378" i="15"/>
  <c r="X383" i="15"/>
  <c r="X377" i="15"/>
  <c r="X370" i="15"/>
  <c r="X368" i="15"/>
  <c r="X382" i="15"/>
  <c r="X366" i="15"/>
  <c r="X376" i="15"/>
  <c r="X367" i="15"/>
  <c r="X373" i="15"/>
  <c r="X369" i="15"/>
  <c r="W688" i="15"/>
  <c r="V1484" i="15"/>
  <c r="V1479" i="15"/>
  <c r="V1477" i="15"/>
  <c r="V1470" i="15"/>
  <c r="V1475" i="15"/>
  <c r="V1473" i="15"/>
  <c r="V1469" i="15"/>
  <c r="V1468" i="15"/>
  <c r="V1481" i="15"/>
  <c r="V1482" i="15"/>
  <c r="V1480" i="15"/>
  <c r="V1485" i="15"/>
  <c r="V1476" i="15"/>
  <c r="V1472" i="15"/>
  <c r="V1478" i="15"/>
  <c r="V1471" i="15"/>
  <c r="V1474" i="15"/>
  <c r="V1483" i="15"/>
  <c r="X1433" i="15"/>
  <c r="X1445" i="15"/>
  <c r="X1439" i="15"/>
  <c r="X1446" i="15"/>
  <c r="X1442" i="15"/>
  <c r="X1435" i="15"/>
  <c r="X1438" i="15"/>
  <c r="X1434" i="15"/>
  <c r="X1444" i="15"/>
  <c r="X1430" i="15"/>
  <c r="X1447" i="15"/>
  <c r="X1443" i="15"/>
  <c r="X1436" i="15"/>
  <c r="X1431" i="15"/>
  <c r="X1441" i="15"/>
  <c r="X1432" i="15"/>
  <c r="X1440" i="15"/>
  <c r="X1437" i="15"/>
  <c r="X681" i="15"/>
  <c r="X682" i="15"/>
  <c r="X676" i="15"/>
  <c r="X674" i="15"/>
  <c r="X673" i="15"/>
  <c r="X683" i="15"/>
  <c r="X685" i="15"/>
  <c r="X686" i="15"/>
  <c r="X687" i="15"/>
  <c r="X677" i="15"/>
  <c r="X678" i="15"/>
  <c r="X670" i="15"/>
  <c r="X675" i="15"/>
  <c r="X679" i="15"/>
  <c r="X671" i="15"/>
  <c r="X684" i="15"/>
  <c r="X680" i="15"/>
  <c r="X672" i="15"/>
  <c r="V1363" i="15"/>
  <c r="V1358" i="15"/>
  <c r="V1368" i="15"/>
  <c r="V1355" i="15"/>
  <c r="V1356" i="15"/>
  <c r="V1370" i="15"/>
  <c r="V1367" i="15"/>
  <c r="V1371" i="15"/>
  <c r="V1369" i="15"/>
  <c r="V1365" i="15"/>
  <c r="V1357" i="15"/>
  <c r="V1366" i="15"/>
  <c r="V1362" i="15"/>
  <c r="V1361" i="15"/>
  <c r="V1354" i="15"/>
  <c r="V1360" i="15"/>
  <c r="V1359" i="15"/>
  <c r="V1364" i="15"/>
  <c r="V1262" i="15"/>
  <c r="V1269" i="15"/>
  <c r="V1276" i="15"/>
  <c r="V1273" i="15"/>
  <c r="V1264" i="15"/>
  <c r="V1268" i="15"/>
  <c r="V1266" i="15"/>
  <c r="V1274" i="15"/>
  <c r="V1272" i="15"/>
  <c r="V1265" i="15"/>
  <c r="V1271" i="15"/>
  <c r="V1260" i="15"/>
  <c r="V1267" i="15"/>
  <c r="V1261" i="15"/>
  <c r="V1270" i="15"/>
  <c r="V1263" i="15"/>
  <c r="V1275" i="15"/>
  <c r="V1259" i="15"/>
  <c r="X1045" i="15"/>
  <c r="X1036" i="15"/>
  <c r="X1043" i="15"/>
  <c r="X1034" i="15"/>
  <c r="X1038" i="15"/>
  <c r="X1047" i="15"/>
  <c r="X1040" i="15"/>
  <c r="X1032" i="15"/>
  <c r="X1039" i="15"/>
  <c r="X1048" i="15"/>
  <c r="X1031" i="15"/>
  <c r="X1035" i="15"/>
  <c r="X1044" i="15"/>
  <c r="X1037" i="15"/>
  <c r="X1042" i="15"/>
  <c r="X1033" i="15"/>
  <c r="X1046" i="15"/>
  <c r="X1041" i="15"/>
  <c r="X707" i="15"/>
  <c r="U1369" i="15"/>
  <c r="U1366" i="15"/>
  <c r="U1371" i="15"/>
  <c r="U1358" i="15"/>
  <c r="U1364" i="15"/>
  <c r="U1362" i="15"/>
  <c r="U1356" i="15"/>
  <c r="U1370" i="15"/>
  <c r="U1355" i="15"/>
  <c r="U1357" i="15"/>
  <c r="U1359" i="15"/>
  <c r="U1365" i="15"/>
  <c r="U1367" i="15"/>
  <c r="U1360" i="15"/>
  <c r="U1361" i="15"/>
  <c r="U1368" i="15"/>
  <c r="U1363" i="15"/>
  <c r="U1354" i="15"/>
  <c r="W612" i="15"/>
  <c r="V840" i="15"/>
  <c r="Y449" i="15"/>
  <c r="Y444" i="15"/>
  <c r="Y459" i="15"/>
  <c r="Y452" i="15"/>
  <c r="Y458" i="15"/>
  <c r="Y451" i="15"/>
  <c r="Y448" i="15"/>
  <c r="Y450" i="15"/>
  <c r="Y443" i="15"/>
  <c r="Y446" i="15"/>
  <c r="Y456" i="15"/>
  <c r="Y445" i="15"/>
  <c r="Y454" i="15"/>
  <c r="Y442" i="15"/>
  <c r="Y453" i="15"/>
  <c r="Y457" i="15"/>
  <c r="Y455" i="15"/>
  <c r="Y447" i="15"/>
  <c r="W1182" i="15"/>
  <c r="X1459" i="15"/>
  <c r="X1450" i="15"/>
  <c r="X1462" i="15"/>
  <c r="X1458" i="15"/>
  <c r="X1456" i="15"/>
  <c r="X1454" i="15"/>
  <c r="X1463" i="15"/>
  <c r="X1451" i="15"/>
  <c r="X1455" i="15"/>
  <c r="X1464" i="15"/>
  <c r="X1452" i="15"/>
  <c r="X1460" i="15"/>
  <c r="X1465" i="15"/>
  <c r="X1453" i="15"/>
  <c r="X1461" i="15"/>
  <c r="X1466" i="15"/>
  <c r="X1449" i="15"/>
  <c r="X1457" i="15"/>
  <c r="W802" i="15"/>
  <c r="Y366" i="15"/>
  <c r="Y383" i="15"/>
  <c r="Y377" i="15"/>
  <c r="Y375" i="15"/>
  <c r="Y371" i="15"/>
  <c r="Y372" i="15"/>
  <c r="Y382" i="15"/>
  <c r="Y373" i="15"/>
  <c r="Y374" i="15"/>
  <c r="Y369" i="15"/>
  <c r="Y379" i="15"/>
  <c r="Y380" i="15"/>
  <c r="Y376" i="15"/>
  <c r="Y381" i="15"/>
  <c r="Y368" i="15"/>
  <c r="Y378" i="15"/>
  <c r="Y367" i="15"/>
  <c r="Y370" i="15"/>
  <c r="V574" i="15"/>
  <c r="Y46" i="18"/>
  <c r="Y1446" i="15"/>
  <c r="Y1437" i="15"/>
  <c r="Y1433" i="15"/>
  <c r="Y1440" i="15"/>
  <c r="Y1436" i="15"/>
  <c r="Y1432" i="15"/>
  <c r="Y1444" i="15"/>
  <c r="Y1445" i="15"/>
  <c r="Y1441" i="15"/>
  <c r="Y1442" i="15"/>
  <c r="Y1438" i="15"/>
  <c r="Y1434" i="15"/>
  <c r="Y1443" i="15"/>
  <c r="Y1435" i="15"/>
  <c r="Y1447" i="15"/>
  <c r="Y1439" i="15"/>
  <c r="Y1431" i="15"/>
  <c r="Y1430" i="15"/>
  <c r="V1163" i="15"/>
  <c r="Y79" i="18"/>
  <c r="Y686" i="15"/>
  <c r="Y677" i="15"/>
  <c r="Y674" i="15"/>
  <c r="Y675" i="15"/>
  <c r="Y684" i="15"/>
  <c r="Y687" i="15"/>
  <c r="Y673" i="15"/>
  <c r="Y676" i="15"/>
  <c r="Y672" i="15"/>
  <c r="Y681" i="15"/>
  <c r="Y679" i="15"/>
  <c r="Y685" i="15"/>
  <c r="Y678" i="15"/>
  <c r="Y670" i="15"/>
  <c r="Y671" i="15"/>
  <c r="Y683" i="15"/>
  <c r="Y680" i="15"/>
  <c r="Y682" i="15"/>
  <c r="W1258" i="15"/>
  <c r="Y1034" i="15"/>
  <c r="Y1046" i="15"/>
  <c r="Y1045" i="15"/>
  <c r="Y1041" i="15"/>
  <c r="Y1032" i="15"/>
  <c r="Y1033" i="15"/>
  <c r="Y1039" i="15"/>
  <c r="Y1042" i="15"/>
  <c r="Y1038" i="15"/>
  <c r="Y1035" i="15"/>
  <c r="Y1047" i="15"/>
  <c r="Y1043" i="15"/>
  <c r="Y1048" i="15"/>
  <c r="Y1037" i="15"/>
  <c r="Y1044" i="15"/>
  <c r="Y1031" i="15"/>
  <c r="Y1036" i="15"/>
  <c r="Y1040" i="15"/>
  <c r="Y710" i="15"/>
  <c r="Y714" i="15"/>
  <c r="Y723" i="15"/>
  <c r="Y713" i="15"/>
  <c r="Y715" i="15"/>
  <c r="Y711" i="15"/>
  <c r="Y720" i="15"/>
  <c r="Y722" i="15"/>
  <c r="Y712" i="15"/>
  <c r="Y724" i="15"/>
  <c r="Y725" i="15"/>
  <c r="Y721" i="15"/>
  <c r="Y717" i="15"/>
  <c r="Y709" i="15"/>
  <c r="Y708" i="15"/>
  <c r="Y718" i="15"/>
  <c r="Y719" i="15"/>
  <c r="Y716" i="15"/>
  <c r="Y40" i="18"/>
  <c r="W840" i="15"/>
  <c r="Y492" i="15"/>
  <c r="Y485" i="15"/>
  <c r="Y482" i="15"/>
  <c r="Y483" i="15"/>
  <c r="Y494" i="15"/>
  <c r="Y488" i="15"/>
  <c r="Y493" i="15"/>
  <c r="Y480" i="15"/>
  <c r="Y490" i="15"/>
  <c r="Y497" i="15"/>
  <c r="Y484" i="15"/>
  <c r="Y495" i="15"/>
  <c r="Y487" i="15"/>
  <c r="Y486" i="15"/>
  <c r="Y496" i="15"/>
  <c r="Y489" i="15"/>
  <c r="Y481" i="15"/>
  <c r="Y491" i="15"/>
  <c r="V1064" i="15"/>
  <c r="V1061" i="15"/>
  <c r="V1054" i="15"/>
  <c r="V1059" i="15"/>
  <c r="V1056" i="15"/>
  <c r="V1067" i="15"/>
  <c r="V1062" i="15"/>
  <c r="V1065" i="15"/>
  <c r="V1055" i="15"/>
  <c r="V1051" i="15"/>
  <c r="V1060" i="15"/>
  <c r="V1053" i="15"/>
  <c r="V1066" i="15"/>
  <c r="V1050" i="15"/>
  <c r="V1063" i="15"/>
  <c r="V1052" i="15"/>
  <c r="V1057" i="15"/>
  <c r="V1058" i="15"/>
  <c r="X1099" i="15"/>
  <c r="X1095" i="15"/>
  <c r="X1091" i="15"/>
  <c r="X1103" i="15"/>
  <c r="X1097" i="15"/>
  <c r="X1100" i="15"/>
  <c r="X1104" i="15"/>
  <c r="X1092" i="15"/>
  <c r="X1096" i="15"/>
  <c r="X1105" i="15"/>
  <c r="X1088" i="15"/>
  <c r="X1101" i="15"/>
  <c r="X1102" i="15"/>
  <c r="X1089" i="15"/>
  <c r="X1094" i="15"/>
  <c r="X1093" i="15"/>
  <c r="X1090" i="15"/>
  <c r="X1098" i="15"/>
  <c r="W1163" i="15"/>
  <c r="X829" i="15"/>
  <c r="X838" i="15"/>
  <c r="X834" i="15"/>
  <c r="X833" i="15"/>
  <c r="X824" i="15"/>
  <c r="X825" i="15"/>
  <c r="X831" i="15"/>
  <c r="X837" i="15"/>
  <c r="X830" i="15"/>
  <c r="X839" i="15"/>
  <c r="X822" i="15"/>
  <c r="X827" i="15"/>
  <c r="X826" i="15"/>
  <c r="X835" i="15"/>
  <c r="X832" i="15"/>
  <c r="X823" i="15"/>
  <c r="X836" i="15"/>
  <c r="X828" i="15"/>
  <c r="Y47" i="18"/>
  <c r="Y54" i="18"/>
  <c r="X631" i="15"/>
  <c r="U587" i="15"/>
  <c r="U590" i="15"/>
  <c r="U575" i="15"/>
  <c r="U579" i="15"/>
  <c r="U586" i="15"/>
  <c r="U591" i="15"/>
  <c r="U583" i="15"/>
  <c r="U581" i="15"/>
  <c r="U576" i="15"/>
  <c r="U578" i="15"/>
  <c r="U582" i="15"/>
  <c r="U580" i="15"/>
  <c r="U577" i="15"/>
  <c r="U589" i="15"/>
  <c r="U584" i="15"/>
  <c r="U588" i="15"/>
  <c r="U585" i="15"/>
  <c r="U592" i="15"/>
  <c r="Y606" i="15"/>
  <c r="Y594" i="15"/>
  <c r="Y603" i="15"/>
  <c r="Y598" i="15"/>
  <c r="Y607" i="15"/>
  <c r="Y601" i="15"/>
  <c r="Y608" i="15"/>
  <c r="Y599" i="15"/>
  <c r="Y600" i="15"/>
  <c r="Y604" i="15"/>
  <c r="Y605" i="15"/>
  <c r="Y597" i="15"/>
  <c r="Y610" i="15"/>
  <c r="Y611" i="15"/>
  <c r="Y602" i="15"/>
  <c r="Y609" i="15"/>
  <c r="Y596" i="15"/>
  <c r="Y595" i="15"/>
  <c r="W1049" i="15"/>
  <c r="U984" i="15"/>
  <c r="U980" i="15"/>
  <c r="U982" i="15"/>
  <c r="U979" i="15"/>
  <c r="U991" i="15"/>
  <c r="U989" i="15"/>
  <c r="U978" i="15"/>
  <c r="U977" i="15"/>
  <c r="U985" i="15"/>
  <c r="U975" i="15"/>
  <c r="U976" i="15"/>
  <c r="U990" i="15"/>
  <c r="U983" i="15"/>
  <c r="U988" i="15"/>
  <c r="U986" i="15"/>
  <c r="U987" i="15"/>
  <c r="U981" i="15"/>
  <c r="U974" i="15"/>
  <c r="Y1467" i="15"/>
  <c r="V747" i="15"/>
  <c r="V759" i="15"/>
  <c r="V754" i="15"/>
  <c r="V757" i="15"/>
  <c r="V748" i="15"/>
  <c r="V761" i="15"/>
  <c r="V756" i="15"/>
  <c r="V755" i="15"/>
  <c r="V751" i="15"/>
  <c r="V750" i="15"/>
  <c r="V753" i="15"/>
  <c r="V752" i="15"/>
  <c r="V760" i="15"/>
  <c r="V746" i="15"/>
  <c r="V758" i="15"/>
  <c r="V749" i="15"/>
  <c r="V763" i="15"/>
  <c r="V762" i="15"/>
  <c r="Y34" i="18"/>
  <c r="Y1105" i="15"/>
  <c r="Y1096" i="15"/>
  <c r="Y1100" i="15"/>
  <c r="Y1104" i="15"/>
  <c r="Y1092" i="15"/>
  <c r="Y1088" i="15"/>
  <c r="Y1097" i="15"/>
  <c r="Y1101" i="15"/>
  <c r="Y1093" i="15"/>
  <c r="Y1098" i="15"/>
  <c r="Y1089" i="15"/>
  <c r="Y1102" i="15"/>
  <c r="Y1095" i="15"/>
  <c r="Y1094" i="15"/>
  <c r="Y1099" i="15"/>
  <c r="Y1091" i="15"/>
  <c r="Y1090" i="15"/>
  <c r="Y1103" i="15"/>
  <c r="U1510" i="15"/>
  <c r="U1521" i="15"/>
  <c r="U1518" i="15"/>
  <c r="U1519" i="15"/>
  <c r="U1516" i="15"/>
  <c r="U1513" i="15"/>
  <c r="U1514" i="15"/>
  <c r="U1511" i="15"/>
  <c r="U1508" i="15"/>
  <c r="U1523" i="15"/>
  <c r="U1520" i="15"/>
  <c r="U1522" i="15"/>
  <c r="U1517" i="15"/>
  <c r="U1509" i="15"/>
  <c r="U1506" i="15"/>
  <c r="U1515" i="15"/>
  <c r="U1512" i="15"/>
  <c r="U1507" i="15"/>
  <c r="W1089" i="15"/>
  <c r="W1098" i="15"/>
  <c r="W1092" i="15"/>
  <c r="W1096" i="15"/>
  <c r="W1105" i="15"/>
  <c r="W1088" i="15"/>
  <c r="W1097" i="15"/>
  <c r="W1093" i="15"/>
  <c r="W1094" i="15"/>
  <c r="W1102" i="15"/>
  <c r="W1101" i="15"/>
  <c r="W1090" i="15"/>
  <c r="W1099" i="15"/>
  <c r="W1091" i="15"/>
  <c r="W1103" i="15"/>
  <c r="W1104" i="15"/>
  <c r="W1095" i="15"/>
  <c r="W1100" i="15"/>
  <c r="W783" i="15"/>
  <c r="Y834" i="15"/>
  <c r="Y822" i="15"/>
  <c r="Y824" i="15"/>
  <c r="Y836" i="15"/>
  <c r="Y837" i="15"/>
  <c r="Y828" i="15"/>
  <c r="Y823" i="15"/>
  <c r="Y833" i="15"/>
  <c r="Y829" i="15"/>
  <c r="Y838" i="15"/>
  <c r="Y825" i="15"/>
  <c r="Y832" i="15"/>
  <c r="Y831" i="15"/>
  <c r="Y826" i="15"/>
  <c r="Y835" i="15"/>
  <c r="Y830" i="15"/>
  <c r="Y827" i="15"/>
  <c r="Y839" i="15"/>
  <c r="U798" i="15"/>
  <c r="U784" i="15"/>
  <c r="U789" i="15"/>
  <c r="U790" i="15"/>
  <c r="U786" i="15"/>
  <c r="U791" i="15"/>
  <c r="U797" i="15"/>
  <c r="U788" i="15"/>
  <c r="U787" i="15"/>
  <c r="U795" i="15"/>
  <c r="U792" i="15"/>
  <c r="U794" i="15"/>
  <c r="U799" i="15"/>
  <c r="U800" i="15"/>
  <c r="U796" i="15"/>
  <c r="U801" i="15"/>
  <c r="U785" i="15"/>
  <c r="U793" i="15"/>
  <c r="V689" i="15"/>
  <c r="V693" i="15"/>
  <c r="V698" i="15"/>
  <c r="V700" i="15"/>
  <c r="V692" i="15"/>
  <c r="V691" i="15"/>
  <c r="V690" i="15"/>
  <c r="V702" i="15"/>
  <c r="V703" i="15"/>
  <c r="V706" i="15"/>
  <c r="V701" i="15"/>
  <c r="V697" i="15"/>
  <c r="V699" i="15"/>
  <c r="V694" i="15"/>
  <c r="V705" i="15"/>
  <c r="V696" i="15"/>
  <c r="V695" i="15"/>
  <c r="V704" i="15"/>
  <c r="W460" i="15"/>
  <c r="Y1283" i="15"/>
  <c r="Y1284" i="15"/>
  <c r="Y1278" i="15"/>
  <c r="Y1279" i="15"/>
  <c r="Y1291" i="15"/>
  <c r="Y1282" i="15"/>
  <c r="Y1293" i="15"/>
  <c r="Y1288" i="15"/>
  <c r="Y1292" i="15"/>
  <c r="Y1280" i="15"/>
  <c r="Y1290" i="15"/>
  <c r="Y1289" i="15"/>
  <c r="Y1285" i="15"/>
  <c r="Y1294" i="15"/>
  <c r="Y1295" i="15"/>
  <c r="Y1287" i="15"/>
  <c r="Y1281" i="15"/>
  <c r="Y1286" i="15"/>
  <c r="U1062" i="15"/>
  <c r="U1063" i="15"/>
  <c r="U1065" i="15"/>
  <c r="U1054" i="15"/>
  <c r="U1051" i="15"/>
  <c r="U1059" i="15"/>
  <c r="U1067" i="15"/>
  <c r="U1057" i="15"/>
  <c r="U1056" i="15"/>
  <c r="U1052" i="15"/>
  <c r="U1058" i="15"/>
  <c r="U1066" i="15"/>
  <c r="U1055" i="15"/>
  <c r="U1060" i="15"/>
  <c r="U1053" i="15"/>
  <c r="U1050" i="15"/>
  <c r="U1061" i="15"/>
  <c r="U1064" i="15"/>
  <c r="W1469" i="15"/>
  <c r="W1473" i="15"/>
  <c r="W1479" i="15"/>
  <c r="W1478" i="15"/>
  <c r="W1483" i="15"/>
  <c r="W1471" i="15"/>
  <c r="W1482" i="15"/>
  <c r="W1475" i="15"/>
  <c r="W1481" i="15"/>
  <c r="W1476" i="15"/>
  <c r="W1480" i="15"/>
  <c r="W1472" i="15"/>
  <c r="W1485" i="15"/>
  <c r="W1477" i="15"/>
  <c r="W1470" i="15"/>
  <c r="W1474" i="15"/>
  <c r="W1484" i="15"/>
  <c r="W1468" i="15"/>
  <c r="V791" i="15"/>
  <c r="V799" i="15"/>
  <c r="V790" i="15"/>
  <c r="V784" i="15"/>
  <c r="V789" i="15"/>
  <c r="V792" i="15"/>
  <c r="V801" i="15"/>
  <c r="V788" i="15"/>
  <c r="V800" i="15"/>
  <c r="V798" i="15"/>
  <c r="V787" i="15"/>
  <c r="V797" i="15"/>
  <c r="V786" i="15"/>
  <c r="V796" i="15"/>
  <c r="V795" i="15"/>
  <c r="V794" i="15"/>
  <c r="V793" i="15"/>
  <c r="V785" i="15"/>
  <c r="W1040" i="15"/>
  <c r="W1031" i="15"/>
  <c r="W1035" i="15"/>
  <c r="W1039" i="15"/>
  <c r="W1048" i="15"/>
  <c r="W1044" i="15"/>
  <c r="W1033" i="15"/>
  <c r="W1032" i="15"/>
  <c r="W1036" i="15"/>
  <c r="W1045" i="15"/>
  <c r="W1041" i="15"/>
  <c r="W1037" i="15"/>
  <c r="W1038" i="15"/>
  <c r="W1034" i="15"/>
  <c r="W1046" i="15"/>
  <c r="W1042" i="15"/>
  <c r="W1043" i="15"/>
  <c r="W1047" i="15"/>
  <c r="W995" i="15"/>
  <c r="W1007" i="15"/>
  <c r="W997" i="15"/>
  <c r="W1001" i="15"/>
  <c r="W999" i="15"/>
  <c r="W1010" i="15"/>
  <c r="W993" i="15"/>
  <c r="W1006" i="15"/>
  <c r="W1002" i="15"/>
  <c r="W1003" i="15"/>
  <c r="W998" i="15"/>
  <c r="W994" i="15"/>
  <c r="W1005" i="15"/>
  <c r="W1009" i="15"/>
  <c r="W996" i="15"/>
  <c r="W1004" i="15"/>
  <c r="W1000" i="15"/>
  <c r="W1008" i="15"/>
  <c r="W928" i="15"/>
  <c r="W929" i="15"/>
  <c r="W925" i="15"/>
  <c r="W926" i="15"/>
  <c r="W922" i="15"/>
  <c r="W923" i="15"/>
  <c r="W931" i="15"/>
  <c r="W920" i="15"/>
  <c r="W924" i="15"/>
  <c r="W917" i="15"/>
  <c r="W921" i="15"/>
  <c r="W930" i="15"/>
  <c r="W918" i="15"/>
  <c r="W933" i="15"/>
  <c r="W927" i="15"/>
  <c r="W932" i="15"/>
  <c r="W919" i="15"/>
  <c r="W934" i="15"/>
  <c r="Y632" i="15"/>
  <c r="Y641" i="15"/>
  <c r="Y647" i="15"/>
  <c r="Y645" i="15"/>
  <c r="Y648" i="15"/>
  <c r="Y639" i="15"/>
  <c r="Y637" i="15"/>
  <c r="Y644" i="15"/>
  <c r="Y643" i="15"/>
  <c r="Y636" i="15"/>
  <c r="Y649" i="15"/>
  <c r="Y638" i="15"/>
  <c r="Y646" i="15"/>
  <c r="Y634" i="15"/>
  <c r="Y640" i="15"/>
  <c r="Y642" i="15"/>
  <c r="Y635" i="15"/>
  <c r="Y633" i="15"/>
  <c r="X1346" i="15"/>
  <c r="X1347" i="15"/>
  <c r="X1351" i="15"/>
  <c r="X1345" i="15"/>
  <c r="X1343" i="15"/>
  <c r="X1340" i="15"/>
  <c r="X1335" i="15"/>
  <c r="X1336" i="15"/>
  <c r="X1348" i="15"/>
  <c r="X1350" i="15"/>
  <c r="X1339" i="15"/>
  <c r="X1352" i="15"/>
  <c r="X1337" i="15"/>
  <c r="X1344" i="15"/>
  <c r="X1349" i="15"/>
  <c r="X1341" i="15"/>
  <c r="X1338" i="15"/>
  <c r="X1342" i="15"/>
  <c r="X966" i="15"/>
  <c r="X957" i="15"/>
  <c r="X958" i="15"/>
  <c r="X970" i="15"/>
  <c r="X971" i="15"/>
  <c r="X962" i="15"/>
  <c r="X963" i="15"/>
  <c r="X967" i="15"/>
  <c r="X955" i="15"/>
  <c r="X968" i="15"/>
  <c r="X960" i="15"/>
  <c r="X956" i="15"/>
  <c r="X965" i="15"/>
  <c r="X969" i="15"/>
  <c r="X961" i="15"/>
  <c r="X959" i="15"/>
  <c r="X964" i="15"/>
  <c r="X972" i="15"/>
  <c r="V1125" i="15"/>
  <c r="Y77" i="18"/>
  <c r="V384" i="15"/>
  <c r="Y28" i="18"/>
  <c r="X1490" i="15"/>
  <c r="X1500" i="15"/>
  <c r="X1503" i="15"/>
  <c r="X1494" i="15"/>
  <c r="X1495" i="15"/>
  <c r="X1499" i="15"/>
  <c r="X1487" i="15"/>
  <c r="X1504" i="15"/>
  <c r="X1497" i="15"/>
  <c r="X1489" i="15"/>
  <c r="X1492" i="15"/>
  <c r="X1491" i="15"/>
  <c r="X1496" i="15"/>
  <c r="X1488" i="15"/>
  <c r="X1501" i="15"/>
  <c r="X1493" i="15"/>
  <c r="X1498" i="15"/>
  <c r="X1502" i="15"/>
  <c r="V1301" i="15"/>
  <c r="V1306" i="15"/>
  <c r="V1303" i="15"/>
  <c r="V1313" i="15"/>
  <c r="V1312" i="15"/>
  <c r="V1311" i="15"/>
  <c r="V1300" i="15"/>
  <c r="V1310" i="15"/>
  <c r="V1304" i="15"/>
  <c r="V1305" i="15"/>
  <c r="V1297" i="15"/>
  <c r="V1298" i="15"/>
  <c r="V1309" i="15"/>
  <c r="V1308" i="15"/>
  <c r="V1302" i="15"/>
  <c r="V1314" i="15"/>
  <c r="V1299" i="15"/>
  <c r="V1307" i="15"/>
  <c r="X534" i="15"/>
  <c r="X524" i="15"/>
  <c r="X526" i="15"/>
  <c r="X520" i="15"/>
  <c r="X523" i="15"/>
  <c r="X518" i="15"/>
  <c r="X531" i="15"/>
  <c r="X532" i="15"/>
  <c r="X529" i="15"/>
  <c r="X533" i="15"/>
  <c r="X528" i="15"/>
  <c r="X525" i="15"/>
  <c r="X530" i="15"/>
  <c r="X535" i="15"/>
  <c r="X527" i="15"/>
  <c r="X519" i="15"/>
  <c r="X522" i="15"/>
  <c r="X521" i="15"/>
  <c r="X726" i="15"/>
  <c r="V886" i="15"/>
  <c r="V883" i="15"/>
  <c r="V889" i="15"/>
  <c r="V891" i="15"/>
  <c r="V890" i="15"/>
  <c r="V881" i="15"/>
  <c r="V884" i="15"/>
  <c r="V887" i="15"/>
  <c r="V895" i="15"/>
  <c r="V894" i="15"/>
  <c r="V892" i="15"/>
  <c r="V882" i="15"/>
  <c r="V885" i="15"/>
  <c r="V879" i="15"/>
  <c r="V896" i="15"/>
  <c r="V893" i="15"/>
  <c r="V880" i="15"/>
  <c r="V888" i="15"/>
  <c r="X1428" i="15"/>
  <c r="X1419" i="15"/>
  <c r="X1415" i="15"/>
  <c r="X1420" i="15"/>
  <c r="X1411" i="15"/>
  <c r="X1423" i="15"/>
  <c r="X1412" i="15"/>
  <c r="X1424" i="15"/>
  <c r="X1425" i="15"/>
  <c r="X1416" i="15"/>
  <c r="X1417" i="15"/>
  <c r="X1422" i="15"/>
  <c r="X1414" i="15"/>
  <c r="X1421" i="15"/>
  <c r="X1427" i="15"/>
  <c r="X1413" i="15"/>
  <c r="X1418" i="15"/>
  <c r="X1426" i="15"/>
  <c r="Y38" i="18"/>
  <c r="X922" i="15"/>
  <c r="X933" i="15"/>
  <c r="X919" i="15"/>
  <c r="X929" i="15"/>
  <c r="X931" i="15"/>
  <c r="X926" i="15"/>
  <c r="X921" i="15"/>
  <c r="X923" i="15"/>
  <c r="X932" i="15"/>
  <c r="X920" i="15"/>
  <c r="X924" i="15"/>
  <c r="X917" i="15"/>
  <c r="X918" i="15"/>
  <c r="X928" i="15"/>
  <c r="X925" i="15"/>
  <c r="X930" i="15"/>
  <c r="X934" i="15"/>
  <c r="X927" i="15"/>
  <c r="Y39" i="18"/>
  <c r="V987" i="15"/>
  <c r="V979" i="15"/>
  <c r="V986" i="15"/>
  <c r="V980" i="15"/>
  <c r="V991" i="15"/>
  <c r="V976" i="15"/>
  <c r="V978" i="15"/>
  <c r="V974" i="15"/>
  <c r="V988" i="15"/>
  <c r="V982" i="15"/>
  <c r="V975" i="15"/>
  <c r="V983" i="15"/>
  <c r="V989" i="15"/>
  <c r="V990" i="15"/>
  <c r="V977" i="15"/>
  <c r="V985" i="15"/>
  <c r="V981" i="15"/>
  <c r="V984" i="15"/>
  <c r="Y1008" i="15"/>
  <c r="Y999" i="15"/>
  <c r="Y995" i="15"/>
  <c r="Y1000" i="15"/>
  <c r="Y1004" i="15"/>
  <c r="Y1003" i="15"/>
  <c r="Y1010" i="15"/>
  <c r="Y1005" i="15"/>
  <c r="Y996" i="15"/>
  <c r="Y997" i="15"/>
  <c r="Y1009" i="15"/>
  <c r="Y1001" i="15"/>
  <c r="Y1002" i="15"/>
  <c r="Y994" i="15"/>
  <c r="Y993" i="15"/>
  <c r="Y1007" i="15"/>
  <c r="Y998" i="15"/>
  <c r="Y1006" i="15"/>
  <c r="Y1453" i="15"/>
  <c r="Y1462" i="15"/>
  <c r="Y1466" i="15"/>
  <c r="Y1449" i="15"/>
  <c r="Y1458" i="15"/>
  <c r="Y1457" i="15"/>
  <c r="Y1450" i="15"/>
  <c r="Y1465" i="15"/>
  <c r="Y1459" i="15"/>
  <c r="Y1451" i="15"/>
  <c r="Y1454" i="15"/>
  <c r="Y1461" i="15"/>
  <c r="Y1464" i="15"/>
  <c r="Y1456" i="15"/>
  <c r="Y1463" i="15"/>
  <c r="Y1455" i="15"/>
  <c r="Y1452" i="15"/>
  <c r="Y1460" i="15"/>
  <c r="W453" i="15"/>
  <c r="W444" i="15"/>
  <c r="W457" i="15"/>
  <c r="W452" i="15"/>
  <c r="W449" i="15"/>
  <c r="W450" i="15"/>
  <c r="W448" i="15"/>
  <c r="W446" i="15"/>
  <c r="W458" i="15"/>
  <c r="W456" i="15"/>
  <c r="W451" i="15"/>
  <c r="W459" i="15"/>
  <c r="W455" i="15"/>
  <c r="W447" i="15"/>
  <c r="W443" i="15"/>
  <c r="W454" i="15"/>
  <c r="W442" i="15"/>
  <c r="W445" i="15"/>
  <c r="V1220" i="15"/>
  <c r="Y82" i="18"/>
  <c r="V1508" i="15"/>
  <c r="V1511" i="15"/>
  <c r="V1510" i="15"/>
  <c r="V1523" i="15"/>
  <c r="V1519" i="15"/>
  <c r="V1509" i="15"/>
  <c r="V1506" i="15"/>
  <c r="V1513" i="15"/>
  <c r="V1507" i="15"/>
  <c r="V1522" i="15"/>
  <c r="V1520" i="15"/>
  <c r="V1517" i="15"/>
  <c r="V1515" i="15"/>
  <c r="V1514" i="15"/>
  <c r="V1512" i="15"/>
  <c r="V1521" i="15"/>
  <c r="V1518" i="15"/>
  <c r="V1516" i="15"/>
  <c r="Y1343" i="15"/>
  <c r="Y1337" i="15"/>
  <c r="Y1349" i="15"/>
  <c r="Y1339" i="15"/>
  <c r="Y1351" i="15"/>
  <c r="Y1341" i="15"/>
  <c r="Y1335" i="15"/>
  <c r="Y1352" i="15"/>
  <c r="Y1346" i="15"/>
  <c r="Y1342" i="15"/>
  <c r="Y1338" i="15"/>
  <c r="Y1347" i="15"/>
  <c r="Y1348" i="15"/>
  <c r="Y1340" i="15"/>
  <c r="Y1345" i="15"/>
  <c r="Y1350" i="15"/>
  <c r="Y1344" i="15"/>
  <c r="Y1336" i="15"/>
  <c r="Y971" i="15"/>
  <c r="Y962" i="15"/>
  <c r="Y963" i="15"/>
  <c r="Y967" i="15"/>
  <c r="Y955" i="15"/>
  <c r="Y959" i="15"/>
  <c r="Y968" i="15"/>
  <c r="Y956" i="15"/>
  <c r="Y960" i="15"/>
  <c r="Y965" i="15"/>
  <c r="Y957" i="15"/>
  <c r="Y970" i="15"/>
  <c r="Y964" i="15"/>
  <c r="Y969" i="15"/>
  <c r="Y966" i="15"/>
  <c r="Y961" i="15"/>
  <c r="Y958" i="15"/>
  <c r="Y972" i="15"/>
  <c r="W384" i="15"/>
  <c r="Y1490" i="15"/>
  <c r="Y1496" i="15"/>
  <c r="Y1491" i="15"/>
  <c r="Y1503" i="15"/>
  <c r="Y1501" i="15"/>
  <c r="Y1495" i="15"/>
  <c r="Y1489" i="15"/>
  <c r="Y1487" i="15"/>
  <c r="Y1499" i="15"/>
  <c r="Y1500" i="15"/>
  <c r="Y1492" i="15"/>
  <c r="Y1494" i="15"/>
  <c r="Y1502" i="15"/>
  <c r="Y1504" i="15"/>
  <c r="Y1488" i="15"/>
  <c r="Y1497" i="15"/>
  <c r="Y1493" i="15"/>
  <c r="Y1498" i="15"/>
  <c r="X436" i="15"/>
  <c r="X434" i="15"/>
  <c r="X426" i="15"/>
  <c r="X439" i="15"/>
  <c r="X430" i="15"/>
  <c r="X428" i="15"/>
  <c r="X423" i="15"/>
  <c r="X435" i="15"/>
  <c r="X433" i="15"/>
  <c r="X432" i="15"/>
  <c r="X425" i="15"/>
  <c r="X431" i="15"/>
  <c r="X437" i="15"/>
  <c r="X429" i="15"/>
  <c r="X427" i="15"/>
  <c r="X440" i="15"/>
  <c r="X438" i="15"/>
  <c r="X424" i="15"/>
  <c r="U805" i="15"/>
  <c r="U819" i="15"/>
  <c r="U803" i="15"/>
  <c r="U816" i="15"/>
  <c r="U807" i="15"/>
  <c r="U806" i="15"/>
  <c r="U812" i="15"/>
  <c r="U815" i="15"/>
  <c r="U813" i="15"/>
  <c r="U810" i="15"/>
  <c r="U814" i="15"/>
  <c r="U817" i="15"/>
  <c r="U804" i="15"/>
  <c r="U818" i="15"/>
  <c r="U809" i="15"/>
  <c r="U811" i="15"/>
  <c r="U808" i="15"/>
  <c r="U820" i="15"/>
  <c r="W1296" i="15"/>
  <c r="W1498" i="15"/>
  <c r="W1494" i="15"/>
  <c r="W1490" i="15"/>
  <c r="W1499" i="15"/>
  <c r="W1500" i="15"/>
  <c r="W1503" i="15"/>
  <c r="W1492" i="15"/>
  <c r="W1487" i="15"/>
  <c r="W1504" i="15"/>
  <c r="W1502" i="15"/>
  <c r="W1489" i="15"/>
  <c r="W1491" i="15"/>
  <c r="W1497" i="15"/>
  <c r="W1495" i="15"/>
  <c r="W1496" i="15"/>
  <c r="W1488" i="15"/>
  <c r="W1501" i="15"/>
  <c r="W1493" i="15"/>
  <c r="Y531" i="15"/>
  <c r="Y521" i="15"/>
  <c r="Y530" i="15"/>
  <c r="Y529" i="15"/>
  <c r="Y520" i="15"/>
  <c r="Y522" i="15"/>
  <c r="Y525" i="15"/>
  <c r="Y523" i="15"/>
  <c r="Y532" i="15"/>
  <c r="Y533" i="15"/>
  <c r="Y524" i="15"/>
  <c r="Y528" i="15"/>
  <c r="Y526" i="15"/>
  <c r="Y519" i="15"/>
  <c r="Y535" i="15"/>
  <c r="Y518" i="15"/>
  <c r="Y534" i="15"/>
  <c r="Y527" i="15"/>
  <c r="Y740" i="15"/>
  <c r="Y744" i="15"/>
  <c r="Y732" i="15"/>
  <c r="Y728" i="15"/>
  <c r="Y734" i="15"/>
  <c r="Y737" i="15"/>
  <c r="Y738" i="15"/>
  <c r="Y729" i="15"/>
  <c r="Y736" i="15"/>
  <c r="Y741" i="15"/>
  <c r="Y742" i="15"/>
  <c r="Y733" i="15"/>
  <c r="Y743" i="15"/>
  <c r="Y735" i="15"/>
  <c r="Y739" i="15"/>
  <c r="Y727" i="15"/>
  <c r="Y730" i="15"/>
  <c r="Y731" i="15"/>
  <c r="W878" i="15"/>
  <c r="Y1428" i="15"/>
  <c r="Y1424" i="15"/>
  <c r="Y1423" i="15"/>
  <c r="Y1425" i="15"/>
  <c r="Y1416" i="15"/>
  <c r="Y1417" i="15"/>
  <c r="Y1421" i="15"/>
  <c r="Y1412" i="15"/>
  <c r="Y1422" i="15"/>
  <c r="Y1413" i="15"/>
  <c r="Y1426" i="15"/>
  <c r="Y1418" i="15"/>
  <c r="Y1415" i="15"/>
  <c r="Y1420" i="15"/>
  <c r="Y1427" i="15"/>
  <c r="Y1414" i="15"/>
  <c r="Y1411" i="15"/>
  <c r="Y1419" i="15"/>
  <c r="V1318" i="15"/>
  <c r="V1328" i="15"/>
  <c r="V1330" i="15"/>
  <c r="V1316" i="15"/>
  <c r="V1326" i="15"/>
  <c r="V1324" i="15"/>
  <c r="V1322" i="15"/>
  <c r="V1325" i="15"/>
  <c r="V1329" i="15"/>
  <c r="V1323" i="15"/>
  <c r="V1331" i="15"/>
  <c r="V1332" i="15"/>
  <c r="V1321" i="15"/>
  <c r="V1317" i="15"/>
  <c r="V1320" i="15"/>
  <c r="V1319" i="15"/>
  <c r="V1333" i="15"/>
  <c r="V1327" i="15"/>
  <c r="U889" i="15"/>
  <c r="U881" i="15"/>
  <c r="U895" i="15"/>
  <c r="U879" i="15"/>
  <c r="U882" i="15"/>
  <c r="U884" i="15"/>
  <c r="U887" i="15"/>
  <c r="U892" i="15"/>
  <c r="U893" i="15"/>
  <c r="U886" i="15"/>
  <c r="U896" i="15"/>
  <c r="U880" i="15"/>
  <c r="U890" i="15"/>
  <c r="U888" i="15"/>
  <c r="U894" i="15"/>
  <c r="U891" i="15"/>
  <c r="U885" i="15"/>
  <c r="U883" i="15"/>
  <c r="Y934" i="15"/>
  <c r="Y917" i="15"/>
  <c r="Y930" i="15"/>
  <c r="Y925" i="15"/>
  <c r="Y932" i="15"/>
  <c r="Y933" i="15"/>
  <c r="Y931" i="15"/>
  <c r="Y929" i="15"/>
  <c r="Y926" i="15"/>
  <c r="Y920" i="15"/>
  <c r="Y921" i="15"/>
  <c r="Y923" i="15"/>
  <c r="Y922" i="15"/>
  <c r="Y918" i="15"/>
  <c r="Y928" i="15"/>
  <c r="Y927" i="15"/>
  <c r="Y924" i="15"/>
  <c r="Y919" i="15"/>
  <c r="Y27" i="18"/>
  <c r="Y865" i="15"/>
  <c r="Y869" i="15"/>
  <c r="Y870" i="15"/>
  <c r="Y861" i="15"/>
  <c r="Y871" i="15"/>
  <c r="Y862" i="15"/>
  <c r="Y866" i="15"/>
  <c r="Y863" i="15"/>
  <c r="Y875" i="15"/>
  <c r="Y874" i="15"/>
  <c r="Y876" i="15"/>
  <c r="Y867" i="15"/>
  <c r="Y868" i="15"/>
  <c r="Y860" i="15"/>
  <c r="Y873" i="15"/>
  <c r="Y864" i="15"/>
  <c r="Y877" i="15"/>
  <c r="Y872" i="15"/>
  <c r="V612" i="15"/>
  <c r="Y45" i="18"/>
  <c r="X609" i="15"/>
  <c r="X597" i="15"/>
  <c r="X606" i="15"/>
  <c r="X595" i="15"/>
  <c r="X598" i="15"/>
  <c r="X601" i="15"/>
  <c r="X610" i="15"/>
  <c r="X599" i="15"/>
  <c r="X611" i="15"/>
  <c r="X602" i="15"/>
  <c r="X603" i="15"/>
  <c r="X594" i="15"/>
  <c r="X608" i="15"/>
  <c r="X600" i="15"/>
  <c r="X605" i="15"/>
  <c r="X604" i="15"/>
  <c r="X607" i="15"/>
  <c r="X596" i="15"/>
  <c r="Y56" i="18"/>
  <c r="U775" i="15"/>
  <c r="U772" i="15"/>
  <c r="U767" i="15"/>
  <c r="U778" i="15"/>
  <c r="U766" i="15"/>
  <c r="U782" i="15"/>
  <c r="U770" i="15"/>
  <c r="U776" i="15"/>
  <c r="U774" i="15"/>
  <c r="U780" i="15"/>
  <c r="U781" i="15"/>
  <c r="U768" i="15"/>
  <c r="U769" i="15"/>
  <c r="U777" i="15"/>
  <c r="U771" i="15"/>
  <c r="U779" i="15"/>
  <c r="U765" i="15"/>
  <c r="U773" i="15"/>
  <c r="U1262" i="15"/>
  <c r="U1270" i="15"/>
  <c r="U1274" i="15"/>
  <c r="U1272" i="15"/>
  <c r="U1267" i="15"/>
  <c r="U1273" i="15"/>
  <c r="U1265" i="15"/>
  <c r="U1261" i="15"/>
  <c r="U1266" i="15"/>
  <c r="U1263" i="15"/>
  <c r="U1264" i="15"/>
  <c r="U1269" i="15"/>
  <c r="U1271" i="15"/>
  <c r="U1276" i="15"/>
  <c r="U1275" i="15"/>
  <c r="U1259" i="15"/>
  <c r="U1260" i="15"/>
  <c r="U1268" i="15"/>
  <c r="W1220" i="15"/>
  <c r="V775" i="15"/>
  <c r="V778" i="15"/>
  <c r="V777" i="15"/>
  <c r="V768" i="15"/>
  <c r="V779" i="15"/>
  <c r="V772" i="15"/>
  <c r="V771" i="15"/>
  <c r="V767" i="15"/>
  <c r="V769" i="15"/>
  <c r="V781" i="15"/>
  <c r="V780" i="15"/>
  <c r="V774" i="15"/>
  <c r="V766" i="15"/>
  <c r="V765" i="15"/>
  <c r="V782" i="15"/>
  <c r="V776" i="15"/>
  <c r="V770" i="15"/>
  <c r="V773" i="15"/>
  <c r="V510" i="15"/>
  <c r="V506" i="15"/>
  <c r="V511" i="15"/>
  <c r="V509" i="15"/>
  <c r="V504" i="15"/>
  <c r="V502" i="15"/>
  <c r="V499" i="15"/>
  <c r="V514" i="15"/>
  <c r="V505" i="15"/>
  <c r="V500" i="15"/>
  <c r="V513" i="15"/>
  <c r="V516" i="15"/>
  <c r="V508" i="15"/>
  <c r="V512" i="15"/>
  <c r="V503" i="15"/>
  <c r="V507" i="15"/>
  <c r="V501" i="15"/>
  <c r="V515" i="15"/>
  <c r="Y32" i="18"/>
  <c r="Y425" i="15"/>
  <c r="Y439" i="15"/>
  <c r="Y435" i="15"/>
  <c r="Y424" i="15"/>
  <c r="Y429" i="15"/>
  <c r="Y434" i="15"/>
  <c r="Y427" i="15"/>
  <c r="Y426" i="15"/>
  <c r="Y438" i="15"/>
  <c r="Y433" i="15"/>
  <c r="Y423" i="15"/>
  <c r="Y428" i="15"/>
  <c r="Y430" i="15"/>
  <c r="Y440" i="15"/>
  <c r="Y432" i="15"/>
  <c r="Y437" i="15"/>
  <c r="Y436" i="15"/>
  <c r="Y431" i="15"/>
  <c r="V460" i="15"/>
  <c r="X860" i="15"/>
  <c r="X864" i="15"/>
  <c r="X873" i="15"/>
  <c r="X861" i="15"/>
  <c r="X874" i="15"/>
  <c r="X865" i="15"/>
  <c r="X877" i="15"/>
  <c r="X866" i="15"/>
  <c r="X870" i="15"/>
  <c r="X869" i="15"/>
  <c r="X862" i="15"/>
  <c r="X875" i="15"/>
  <c r="X867" i="15"/>
  <c r="X872" i="15"/>
  <c r="X871" i="15"/>
  <c r="X868" i="15"/>
  <c r="X863" i="15"/>
  <c r="X876" i="15"/>
  <c r="X1378" i="15"/>
  <c r="X1382" i="15"/>
  <c r="X1383" i="15"/>
  <c r="X1374" i="15"/>
  <c r="X1375" i="15"/>
  <c r="X1384" i="15"/>
  <c r="X1388" i="15"/>
  <c r="X1376" i="15"/>
  <c r="X1380" i="15"/>
  <c r="X1389" i="15"/>
  <c r="X1385" i="15"/>
  <c r="X1377" i="15"/>
  <c r="X1390" i="15"/>
  <c r="X1381" i="15"/>
  <c r="X1387" i="15"/>
  <c r="X1379" i="15"/>
  <c r="X1373" i="15"/>
  <c r="X1386" i="15"/>
  <c r="X488" i="15"/>
  <c r="X493" i="15"/>
  <c r="X496" i="15"/>
  <c r="X481" i="15"/>
  <c r="X480" i="15"/>
  <c r="X491" i="15"/>
  <c r="X495" i="15"/>
  <c r="X485" i="15"/>
  <c r="X492" i="15"/>
  <c r="X487" i="15"/>
  <c r="X490" i="15"/>
  <c r="X483" i="15"/>
  <c r="X486" i="15"/>
  <c r="X497" i="15"/>
  <c r="X482" i="15"/>
  <c r="X489" i="15"/>
  <c r="X484" i="15"/>
  <c r="X494" i="15"/>
  <c r="Y64" i="18"/>
  <c r="W1315" i="15"/>
  <c r="X1005" i="15"/>
  <c r="X996" i="15"/>
  <c r="X1002" i="15"/>
  <c r="X993" i="15"/>
  <c r="X1004" i="15"/>
  <c r="X994" i="15"/>
  <c r="X1001" i="15"/>
  <c r="X1003" i="15"/>
  <c r="X1007" i="15"/>
  <c r="X999" i="15"/>
  <c r="X1008" i="15"/>
  <c r="X995" i="15"/>
  <c r="X1009" i="15"/>
  <c r="X998" i="15"/>
  <c r="X1006" i="15"/>
  <c r="X1000" i="15"/>
  <c r="X997" i="15"/>
  <c r="X1010" i="15"/>
  <c r="X1277" i="15"/>
  <c r="AC4" i="15"/>
  <c r="AC2" i="15" s="1"/>
  <c r="T2" i="15"/>
  <c r="I4" i="16" s="1"/>
  <c r="AB2" i="15"/>
  <c r="Q2" i="15"/>
  <c r="F4" i="16" s="1"/>
  <c r="O2" i="15"/>
  <c r="D4" i="16" s="1"/>
  <c r="P2" i="15"/>
  <c r="E4" i="16" s="1"/>
  <c r="S2" i="15"/>
  <c r="H4" i="16" s="1"/>
  <c r="R2" i="15"/>
  <c r="G4" i="16" s="1"/>
  <c r="AD2" i="15"/>
  <c r="C4" i="16"/>
  <c r="W537" i="15" l="1"/>
  <c r="W542" i="15"/>
  <c r="W543" i="15"/>
  <c r="W551" i="15"/>
  <c r="W538" i="15"/>
  <c r="W544" i="15"/>
  <c r="W552" i="15"/>
  <c r="W549" i="15"/>
  <c r="W539" i="15"/>
  <c r="W547" i="15"/>
  <c r="W541" i="15"/>
  <c r="W554" i="15"/>
  <c r="W553" i="15"/>
  <c r="W548" i="15"/>
  <c r="W540" i="15"/>
  <c r="W546" i="15"/>
  <c r="W550" i="15"/>
  <c r="W545" i="15"/>
  <c r="U2" i="19"/>
  <c r="U1" i="19" s="1"/>
  <c r="V23" i="18"/>
  <c r="X536" i="15" s="1"/>
  <c r="U2" i="18"/>
  <c r="Y2" i="18"/>
  <c r="G5" i="16"/>
  <c r="H5" i="16"/>
  <c r="E5" i="16"/>
  <c r="D5" i="16"/>
  <c r="F5" i="16"/>
  <c r="C5" i="16"/>
  <c r="I5" i="16"/>
  <c r="U2" i="15"/>
  <c r="J4" i="16" s="1"/>
  <c r="X973" i="15"/>
  <c r="X1291" i="15"/>
  <c r="X1293" i="15"/>
  <c r="X1284" i="15"/>
  <c r="X1280" i="15"/>
  <c r="X1295" i="15"/>
  <c r="X1289" i="15"/>
  <c r="X1290" i="15"/>
  <c r="X1281" i="15"/>
  <c r="X1282" i="15"/>
  <c r="X1294" i="15"/>
  <c r="X1285" i="15"/>
  <c r="X1286" i="15"/>
  <c r="X1288" i="15"/>
  <c r="X1278" i="15"/>
  <c r="X1292" i="15"/>
  <c r="X1283" i="15"/>
  <c r="X1279" i="15"/>
  <c r="X1287" i="15"/>
  <c r="W498" i="15"/>
  <c r="Y688" i="15"/>
  <c r="Y1505" i="15"/>
  <c r="X1505" i="15"/>
  <c r="Y498" i="15"/>
  <c r="X498" i="15"/>
  <c r="V392" i="15"/>
  <c r="V386" i="15"/>
  <c r="V401" i="15"/>
  <c r="V400" i="15"/>
  <c r="V399" i="15"/>
  <c r="V387" i="15"/>
  <c r="V390" i="15"/>
  <c r="V396" i="15"/>
  <c r="V394" i="15"/>
  <c r="V402" i="15"/>
  <c r="V385" i="15"/>
  <c r="V395" i="15"/>
  <c r="V393" i="15"/>
  <c r="V398" i="15"/>
  <c r="V391" i="15"/>
  <c r="V389" i="15"/>
  <c r="V388" i="15"/>
  <c r="V397" i="15"/>
  <c r="W464" i="15"/>
  <c r="W467" i="15"/>
  <c r="W474" i="15"/>
  <c r="W475" i="15"/>
  <c r="W473" i="15"/>
  <c r="W466" i="15"/>
  <c r="W471" i="15"/>
  <c r="W465" i="15"/>
  <c r="W463" i="15"/>
  <c r="W469" i="15"/>
  <c r="W468" i="15"/>
  <c r="W478" i="15"/>
  <c r="W477" i="15"/>
  <c r="W461" i="15"/>
  <c r="W476" i="15"/>
  <c r="W470" i="15"/>
  <c r="W462" i="15"/>
  <c r="W472" i="15"/>
  <c r="W1173" i="15"/>
  <c r="W1168" i="15"/>
  <c r="W1175" i="15"/>
  <c r="W1165" i="15"/>
  <c r="W1180" i="15"/>
  <c r="W1179" i="15"/>
  <c r="W1172" i="15"/>
  <c r="W1167" i="15"/>
  <c r="W1170" i="15"/>
  <c r="W1178" i="15"/>
  <c r="W1176" i="15"/>
  <c r="W1164" i="15"/>
  <c r="W1181" i="15"/>
  <c r="W1174" i="15"/>
  <c r="W1177" i="15"/>
  <c r="W1171" i="15"/>
  <c r="W1169" i="15"/>
  <c r="W1166" i="15"/>
  <c r="W849" i="15"/>
  <c r="W858" i="15"/>
  <c r="W854" i="15"/>
  <c r="W848" i="15"/>
  <c r="W847" i="15"/>
  <c r="W853" i="15"/>
  <c r="W844" i="15"/>
  <c r="W845" i="15"/>
  <c r="W842" i="15"/>
  <c r="W857" i="15"/>
  <c r="W850" i="15"/>
  <c r="W841" i="15"/>
  <c r="W852" i="15"/>
  <c r="W855" i="15"/>
  <c r="W851" i="15"/>
  <c r="W843" i="15"/>
  <c r="W856" i="15"/>
  <c r="W846" i="15"/>
  <c r="V1165" i="15"/>
  <c r="V1172" i="15"/>
  <c r="V1175" i="15"/>
  <c r="V1180" i="15"/>
  <c r="V1167" i="15"/>
  <c r="V1174" i="15"/>
  <c r="V1164" i="15"/>
  <c r="V1181" i="15"/>
  <c r="V1169" i="15"/>
  <c r="V1168" i="15"/>
  <c r="V1173" i="15"/>
  <c r="V1170" i="15"/>
  <c r="V1177" i="15"/>
  <c r="V1176" i="15"/>
  <c r="V1179" i="15"/>
  <c r="V1178" i="15"/>
  <c r="V1171" i="15"/>
  <c r="V1166" i="15"/>
  <c r="V583" i="15"/>
  <c r="V582" i="15"/>
  <c r="V586" i="15"/>
  <c r="V591" i="15"/>
  <c r="V585" i="15"/>
  <c r="V576" i="15"/>
  <c r="V589" i="15"/>
  <c r="V584" i="15"/>
  <c r="V588" i="15"/>
  <c r="V579" i="15"/>
  <c r="V587" i="15"/>
  <c r="V580" i="15"/>
  <c r="V590" i="15"/>
  <c r="V575" i="15"/>
  <c r="V592" i="15"/>
  <c r="V581" i="15"/>
  <c r="V578" i="15"/>
  <c r="V577" i="15"/>
  <c r="V845" i="15"/>
  <c r="V846" i="15"/>
  <c r="V851" i="15"/>
  <c r="V847" i="15"/>
  <c r="V850" i="15"/>
  <c r="V842" i="15"/>
  <c r="V855" i="15"/>
  <c r="V854" i="15"/>
  <c r="V858" i="15"/>
  <c r="V848" i="15"/>
  <c r="V856" i="15"/>
  <c r="V849" i="15"/>
  <c r="V853" i="15"/>
  <c r="V852" i="15"/>
  <c r="V857" i="15"/>
  <c r="V841" i="15"/>
  <c r="V844" i="15"/>
  <c r="V843" i="15"/>
  <c r="X718" i="15"/>
  <c r="X709" i="15"/>
  <c r="X710" i="15"/>
  <c r="X722" i="15"/>
  <c r="X723" i="15"/>
  <c r="X708" i="15"/>
  <c r="X715" i="15"/>
  <c r="X716" i="15"/>
  <c r="X719" i="15"/>
  <c r="X725" i="15"/>
  <c r="X711" i="15"/>
  <c r="X714" i="15"/>
  <c r="X720" i="15"/>
  <c r="X721" i="15"/>
  <c r="X713" i="15"/>
  <c r="X717" i="15"/>
  <c r="X712" i="15"/>
  <c r="X724" i="15"/>
  <c r="V1187" i="15"/>
  <c r="V1196" i="15"/>
  <c r="V1197" i="15"/>
  <c r="V1193" i="15"/>
  <c r="V1183" i="15"/>
  <c r="V1194" i="15"/>
  <c r="V1198" i="15"/>
  <c r="V1190" i="15"/>
  <c r="V1191" i="15"/>
  <c r="V1189" i="15"/>
  <c r="V1185" i="15"/>
  <c r="V1200" i="15"/>
  <c r="V1184" i="15"/>
  <c r="V1192" i="15"/>
  <c r="V1188" i="15"/>
  <c r="V1186" i="15"/>
  <c r="V1199" i="15"/>
  <c r="V1195" i="15"/>
  <c r="V474" i="15"/>
  <c r="V469" i="15"/>
  <c r="V477" i="15"/>
  <c r="V468" i="15"/>
  <c r="V463" i="15"/>
  <c r="V466" i="15"/>
  <c r="V464" i="15"/>
  <c r="V461" i="15"/>
  <c r="V467" i="15"/>
  <c r="V473" i="15"/>
  <c r="V465" i="15"/>
  <c r="V476" i="15"/>
  <c r="V472" i="15"/>
  <c r="V478" i="15"/>
  <c r="V462" i="15"/>
  <c r="V475" i="15"/>
  <c r="V470" i="15"/>
  <c r="V471" i="15"/>
  <c r="Y1125" i="15"/>
  <c r="X1125" i="15"/>
  <c r="W883" i="15"/>
  <c r="W884" i="15"/>
  <c r="W880" i="15"/>
  <c r="W890" i="15"/>
  <c r="W888" i="15"/>
  <c r="W893" i="15"/>
  <c r="W882" i="15"/>
  <c r="W885" i="15"/>
  <c r="W894" i="15"/>
  <c r="W896" i="15"/>
  <c r="W891" i="15"/>
  <c r="W895" i="15"/>
  <c r="W881" i="15"/>
  <c r="W892" i="15"/>
  <c r="W889" i="15"/>
  <c r="W886" i="15"/>
  <c r="W879" i="15"/>
  <c r="W887" i="15"/>
  <c r="Y460" i="15"/>
  <c r="X1163" i="15"/>
  <c r="Y840" i="15"/>
  <c r="X1220" i="15"/>
  <c r="X878" i="15"/>
  <c r="W1307" i="15"/>
  <c r="W1311" i="15"/>
  <c r="W1308" i="15"/>
  <c r="W1312" i="15"/>
  <c r="W1300" i="15"/>
  <c r="W1304" i="15"/>
  <c r="W1297" i="15"/>
  <c r="W1313" i="15"/>
  <c r="W1314" i="15"/>
  <c r="W1298" i="15"/>
  <c r="W1305" i="15"/>
  <c r="W1306" i="15"/>
  <c r="W1302" i="15"/>
  <c r="W1310" i="15"/>
  <c r="W1301" i="15"/>
  <c r="W1299" i="15"/>
  <c r="W1309" i="15"/>
  <c r="W1303" i="15"/>
  <c r="W394" i="15"/>
  <c r="W388" i="15"/>
  <c r="W387" i="15"/>
  <c r="W385" i="15"/>
  <c r="W390" i="15"/>
  <c r="W391" i="15"/>
  <c r="W400" i="15"/>
  <c r="W398" i="15"/>
  <c r="W389" i="15"/>
  <c r="W392" i="15"/>
  <c r="W397" i="15"/>
  <c r="W396" i="15"/>
  <c r="W395" i="15"/>
  <c r="W386" i="15"/>
  <c r="W402" i="15"/>
  <c r="W401" i="15"/>
  <c r="W393" i="15"/>
  <c r="W399" i="15"/>
  <c r="V1127" i="15"/>
  <c r="V1134" i="15"/>
  <c r="V1126" i="15"/>
  <c r="V1132" i="15"/>
  <c r="V1133" i="15"/>
  <c r="V1140" i="15"/>
  <c r="V1128" i="15"/>
  <c r="V1143" i="15"/>
  <c r="V1139" i="15"/>
  <c r="V1136" i="15"/>
  <c r="V1135" i="15"/>
  <c r="V1131" i="15"/>
  <c r="V1137" i="15"/>
  <c r="V1141" i="15"/>
  <c r="V1129" i="15"/>
  <c r="V1130" i="15"/>
  <c r="V1138" i="15"/>
  <c r="V1142" i="15"/>
  <c r="Y783" i="15"/>
  <c r="X635" i="15"/>
  <c r="X636" i="15"/>
  <c r="X632" i="15"/>
  <c r="X634" i="15"/>
  <c r="X648" i="15"/>
  <c r="X647" i="15"/>
  <c r="X633" i="15"/>
  <c r="X639" i="15"/>
  <c r="X646" i="15"/>
  <c r="X649" i="15"/>
  <c r="X644" i="15"/>
  <c r="X643" i="15"/>
  <c r="X640" i="15"/>
  <c r="X638" i="15"/>
  <c r="X645" i="15"/>
  <c r="X637" i="15"/>
  <c r="X641" i="15"/>
  <c r="X642" i="15"/>
  <c r="Y1258" i="15"/>
  <c r="X1258" i="15"/>
  <c r="W1187" i="15"/>
  <c r="W1196" i="15"/>
  <c r="W1198" i="15"/>
  <c r="W1194" i="15"/>
  <c r="W1190" i="15"/>
  <c r="W1186" i="15"/>
  <c r="W1195" i="15"/>
  <c r="W1188" i="15"/>
  <c r="W1200" i="15"/>
  <c r="W1185" i="15"/>
  <c r="W1192" i="15"/>
  <c r="W1183" i="15"/>
  <c r="W1197" i="15"/>
  <c r="W1189" i="15"/>
  <c r="W1193" i="15"/>
  <c r="W1191" i="15"/>
  <c r="W1199" i="15"/>
  <c r="W1184" i="15"/>
  <c r="Y612" i="15"/>
  <c r="X612" i="15"/>
  <c r="V614" i="15"/>
  <c r="V624" i="15"/>
  <c r="V621" i="15"/>
  <c r="V617" i="15"/>
  <c r="V615" i="15"/>
  <c r="V630" i="15"/>
  <c r="V623" i="15"/>
  <c r="V628" i="15"/>
  <c r="V627" i="15"/>
  <c r="V613" i="15"/>
  <c r="V626" i="15"/>
  <c r="V625" i="15"/>
  <c r="V622" i="15"/>
  <c r="V618" i="15"/>
  <c r="V619" i="15"/>
  <c r="V629" i="15"/>
  <c r="V620" i="15"/>
  <c r="V616" i="15"/>
  <c r="V1228" i="15"/>
  <c r="V1231" i="15"/>
  <c r="V1225" i="15"/>
  <c r="V1233" i="15"/>
  <c r="V1226" i="15"/>
  <c r="V1234" i="15"/>
  <c r="V1227" i="15"/>
  <c r="V1222" i="15"/>
  <c r="V1235" i="15"/>
  <c r="V1238" i="15"/>
  <c r="V1224" i="15"/>
  <c r="V1232" i="15"/>
  <c r="V1221" i="15"/>
  <c r="V1236" i="15"/>
  <c r="V1230" i="15"/>
  <c r="V1229" i="15"/>
  <c r="V1223" i="15"/>
  <c r="V1237" i="15"/>
  <c r="Y1485" i="15"/>
  <c r="Y1481" i="15"/>
  <c r="Y1476" i="15"/>
  <c r="Y1477" i="15"/>
  <c r="Y1473" i="15"/>
  <c r="Y1470" i="15"/>
  <c r="Y1469" i="15"/>
  <c r="Y1468" i="15"/>
  <c r="Y1482" i="15"/>
  <c r="Y1478" i="15"/>
  <c r="Y1474" i="15"/>
  <c r="Y1483" i="15"/>
  <c r="Y1479" i="15"/>
  <c r="Y1472" i="15"/>
  <c r="Y1471" i="15"/>
  <c r="Y1484" i="15"/>
  <c r="Y1480" i="15"/>
  <c r="Y1475" i="15"/>
  <c r="W701" i="15"/>
  <c r="W694" i="15"/>
  <c r="W704" i="15"/>
  <c r="W700" i="15"/>
  <c r="W696" i="15"/>
  <c r="W692" i="15"/>
  <c r="W697" i="15"/>
  <c r="W693" i="15"/>
  <c r="W703" i="15"/>
  <c r="W698" i="15"/>
  <c r="W705" i="15"/>
  <c r="W706" i="15"/>
  <c r="W699" i="15"/>
  <c r="W690" i="15"/>
  <c r="W689" i="15"/>
  <c r="W691" i="15"/>
  <c r="W702" i="15"/>
  <c r="W695" i="15"/>
  <c r="W1232" i="15"/>
  <c r="W1223" i="15"/>
  <c r="W1235" i="15"/>
  <c r="W1224" i="15"/>
  <c r="W1236" i="15"/>
  <c r="W1233" i="15"/>
  <c r="W1237" i="15"/>
  <c r="W1228" i="15"/>
  <c r="W1229" i="15"/>
  <c r="W1238" i="15"/>
  <c r="W1230" i="15"/>
  <c r="W1222" i="15"/>
  <c r="W1227" i="15"/>
  <c r="W1225" i="15"/>
  <c r="W1221" i="15"/>
  <c r="W1231" i="15"/>
  <c r="W1234" i="15"/>
  <c r="W1226" i="15"/>
  <c r="W1260" i="15"/>
  <c r="W1269" i="15"/>
  <c r="W1262" i="15"/>
  <c r="W1273" i="15"/>
  <c r="W1267" i="15"/>
  <c r="W1274" i="15"/>
  <c r="W1265" i="15"/>
  <c r="W1275" i="15"/>
  <c r="W1270" i="15"/>
  <c r="W1261" i="15"/>
  <c r="W1271" i="15"/>
  <c r="W1266" i="15"/>
  <c r="W1263" i="15"/>
  <c r="W1272" i="15"/>
  <c r="W1276" i="15"/>
  <c r="W1268" i="15"/>
  <c r="W1264" i="15"/>
  <c r="W1259" i="15"/>
  <c r="W1323" i="15"/>
  <c r="W1316" i="15"/>
  <c r="W1328" i="15"/>
  <c r="W1321" i="15"/>
  <c r="W1320" i="15"/>
  <c r="W1332" i="15"/>
  <c r="W1333" i="15"/>
  <c r="W1330" i="15"/>
  <c r="W1325" i="15"/>
  <c r="W1319" i="15"/>
  <c r="W1317" i="15"/>
  <c r="W1329" i="15"/>
  <c r="W1322" i="15"/>
  <c r="W1327" i="15"/>
  <c r="W1318" i="15"/>
  <c r="W1331" i="15"/>
  <c r="W1324" i="15"/>
  <c r="W1326" i="15"/>
  <c r="Y1296" i="15"/>
  <c r="X1296" i="15"/>
  <c r="X384" i="15"/>
  <c r="W745" i="15"/>
  <c r="W1066" i="15"/>
  <c r="W1057" i="15"/>
  <c r="W1060" i="15"/>
  <c r="W1051" i="15"/>
  <c r="W1054" i="15"/>
  <c r="W1052" i="15"/>
  <c r="W1059" i="15"/>
  <c r="W1061" i="15"/>
  <c r="W1065" i="15"/>
  <c r="W1062" i="15"/>
  <c r="W1053" i="15"/>
  <c r="W1058" i="15"/>
  <c r="W1064" i="15"/>
  <c r="W1050" i="15"/>
  <c r="W1055" i="15"/>
  <c r="W1063" i="15"/>
  <c r="W1067" i="15"/>
  <c r="W1056" i="15"/>
  <c r="W1353" i="15"/>
  <c r="Y1182" i="15"/>
  <c r="W765" i="15"/>
  <c r="W774" i="15"/>
  <c r="W775" i="15"/>
  <c r="W766" i="15"/>
  <c r="W767" i="15"/>
  <c r="W778" i="15"/>
  <c r="W780" i="15"/>
  <c r="W770" i="15"/>
  <c r="W768" i="15"/>
  <c r="W772" i="15"/>
  <c r="W776" i="15"/>
  <c r="W781" i="15"/>
  <c r="W771" i="15"/>
  <c r="W773" i="15"/>
  <c r="W779" i="15"/>
  <c r="W777" i="15"/>
  <c r="W769" i="15"/>
  <c r="W782" i="15"/>
  <c r="X1467" i="15"/>
  <c r="Y802" i="15"/>
  <c r="W1505" i="15"/>
  <c r="W574" i="15"/>
  <c r="W800" i="15"/>
  <c r="W791" i="15"/>
  <c r="W790" i="15"/>
  <c r="W793" i="15"/>
  <c r="W792" i="15"/>
  <c r="W785" i="15"/>
  <c r="W787" i="15"/>
  <c r="W784" i="15"/>
  <c r="W788" i="15"/>
  <c r="W797" i="15"/>
  <c r="W801" i="15"/>
  <c r="W789" i="15"/>
  <c r="W795" i="15"/>
  <c r="W798" i="15"/>
  <c r="W794" i="15"/>
  <c r="W799" i="15"/>
  <c r="W786" i="15"/>
  <c r="W796" i="15"/>
  <c r="W629" i="15"/>
  <c r="W617" i="15"/>
  <c r="W626" i="15"/>
  <c r="W621" i="15"/>
  <c r="W630" i="15"/>
  <c r="W624" i="15"/>
  <c r="W613" i="15"/>
  <c r="W622" i="15"/>
  <c r="W623" i="15"/>
  <c r="W614" i="15"/>
  <c r="W615" i="15"/>
  <c r="W628" i="15"/>
  <c r="W620" i="15"/>
  <c r="W625" i="15"/>
  <c r="W627" i="15"/>
  <c r="W618" i="15"/>
  <c r="W616" i="15"/>
  <c r="W619" i="15"/>
  <c r="Y1315" i="15"/>
  <c r="X1315" i="15"/>
  <c r="W1125" i="15"/>
  <c r="X730" i="15"/>
  <c r="X733" i="15"/>
  <c r="X736" i="15"/>
  <c r="X737" i="15"/>
  <c r="X731" i="15"/>
  <c r="X728" i="15"/>
  <c r="X729" i="15"/>
  <c r="X738" i="15"/>
  <c r="X739" i="15"/>
  <c r="X735" i="15"/>
  <c r="X743" i="15"/>
  <c r="X742" i="15"/>
  <c r="X732" i="15"/>
  <c r="X744" i="15"/>
  <c r="X741" i="15"/>
  <c r="X734" i="15"/>
  <c r="X727" i="15"/>
  <c r="X740" i="15"/>
  <c r="Y745" i="15"/>
  <c r="X745" i="15"/>
  <c r="Y1049" i="15"/>
  <c r="Y1353" i="15"/>
  <c r="X1353" i="15"/>
  <c r="W815" i="15"/>
  <c r="W803" i="15"/>
  <c r="W812" i="15"/>
  <c r="W807" i="15"/>
  <c r="W816" i="15"/>
  <c r="W810" i="15"/>
  <c r="W805" i="15"/>
  <c r="W817" i="15"/>
  <c r="W808" i="15"/>
  <c r="W809" i="15"/>
  <c r="W820" i="15"/>
  <c r="W814" i="15"/>
  <c r="W818" i="15"/>
  <c r="W804" i="15"/>
  <c r="W813" i="15"/>
  <c r="W806" i="15"/>
  <c r="W811" i="15"/>
  <c r="W819" i="15"/>
  <c r="W990" i="15"/>
  <c r="W981" i="15"/>
  <c r="W982" i="15"/>
  <c r="W986" i="15"/>
  <c r="W974" i="15"/>
  <c r="W978" i="15"/>
  <c r="W987" i="15"/>
  <c r="W983" i="15"/>
  <c r="W991" i="15"/>
  <c r="W980" i="15"/>
  <c r="W985" i="15"/>
  <c r="W975" i="15"/>
  <c r="W977" i="15"/>
  <c r="W988" i="15"/>
  <c r="W979" i="15"/>
  <c r="W984" i="15"/>
  <c r="W989" i="15"/>
  <c r="W976" i="15"/>
  <c r="X764" i="15"/>
  <c r="AH1449" i="15"/>
  <c r="X549" i="15" l="1"/>
  <c r="X547" i="15"/>
  <c r="X541" i="15"/>
  <c r="X554" i="15"/>
  <c r="X543" i="15"/>
  <c r="X550" i="15"/>
  <c r="X553" i="15"/>
  <c r="X545" i="15"/>
  <c r="X552" i="15"/>
  <c r="X542" i="15"/>
  <c r="X546" i="15"/>
  <c r="X537" i="15"/>
  <c r="X539" i="15"/>
  <c r="X540" i="15"/>
  <c r="X538" i="15"/>
  <c r="X548" i="15"/>
  <c r="X544" i="15"/>
  <c r="X551" i="15"/>
  <c r="W23" i="18"/>
  <c r="Y536" i="15" s="1"/>
  <c r="V2" i="19"/>
  <c r="V1" i="19" s="1"/>
  <c r="V2" i="18"/>
  <c r="J5" i="16"/>
  <c r="X1474" i="15"/>
  <c r="X1478" i="15"/>
  <c r="X1483" i="15"/>
  <c r="X1484" i="15"/>
  <c r="X1471" i="15"/>
  <c r="X1480" i="15"/>
  <c r="X1476" i="15"/>
  <c r="X1481" i="15"/>
  <c r="X1472" i="15"/>
  <c r="X1468" i="15"/>
  <c r="X1470" i="15"/>
  <c r="X1475" i="15"/>
  <c r="X1479" i="15"/>
  <c r="X1473" i="15"/>
  <c r="X1485" i="15"/>
  <c r="X1477" i="15"/>
  <c r="X1482" i="15"/>
  <c r="X1469" i="15"/>
  <c r="X1221" i="15"/>
  <c r="X1225" i="15"/>
  <c r="X1234" i="15"/>
  <c r="X1235" i="15"/>
  <c r="X1223" i="15"/>
  <c r="X1232" i="15"/>
  <c r="X1237" i="15"/>
  <c r="X1236" i="15"/>
  <c r="X1230" i="15"/>
  <c r="X1228" i="15"/>
  <c r="X1233" i="15"/>
  <c r="X1227" i="15"/>
  <c r="X1231" i="15"/>
  <c r="X1238" i="15"/>
  <c r="X1222" i="15"/>
  <c r="X1224" i="15"/>
  <c r="X1229" i="15"/>
  <c r="X1226" i="15"/>
  <c r="X688" i="15"/>
  <c r="X780" i="15"/>
  <c r="X771" i="15"/>
  <c r="X772" i="15"/>
  <c r="X776" i="15"/>
  <c r="X777" i="15"/>
  <c r="X775" i="15"/>
  <c r="X769" i="15"/>
  <c r="X773" i="15"/>
  <c r="X782" i="15"/>
  <c r="X774" i="15"/>
  <c r="X766" i="15"/>
  <c r="X779" i="15"/>
  <c r="X768" i="15"/>
  <c r="X778" i="15"/>
  <c r="X767" i="15"/>
  <c r="X770" i="15"/>
  <c r="X781" i="15"/>
  <c r="X765" i="15"/>
  <c r="Y1369" i="15"/>
  <c r="Y1360" i="15"/>
  <c r="Y1361" i="15"/>
  <c r="Y1363" i="15"/>
  <c r="Y1365" i="15"/>
  <c r="Y1356" i="15"/>
  <c r="Y1368" i="15"/>
  <c r="Y1370" i="15"/>
  <c r="Y1354" i="15"/>
  <c r="Y1371" i="15"/>
  <c r="Y1364" i="15"/>
  <c r="Y1357" i="15"/>
  <c r="Y1366" i="15"/>
  <c r="Y1362" i="15"/>
  <c r="Y1355" i="15"/>
  <c r="Y1367" i="15"/>
  <c r="Y1359" i="15"/>
  <c r="Y1358" i="15"/>
  <c r="W1131" i="15"/>
  <c r="W1136" i="15"/>
  <c r="W1135" i="15"/>
  <c r="W1141" i="15"/>
  <c r="W1127" i="15"/>
  <c r="W1130" i="15"/>
  <c r="W1137" i="15"/>
  <c r="W1140" i="15"/>
  <c r="W1126" i="15"/>
  <c r="W1142" i="15"/>
  <c r="W1129" i="15"/>
  <c r="W1134" i="15"/>
  <c r="W1128" i="15"/>
  <c r="W1143" i="15"/>
  <c r="W1132" i="15"/>
  <c r="W1133" i="15"/>
  <c r="W1139" i="15"/>
  <c r="W1138" i="15"/>
  <c r="Y1220" i="15"/>
  <c r="X507" i="15"/>
  <c r="X508" i="15"/>
  <c r="X504" i="15"/>
  <c r="X502" i="15"/>
  <c r="X501" i="15"/>
  <c r="X500" i="15"/>
  <c r="X513" i="15"/>
  <c r="X511" i="15"/>
  <c r="X503" i="15"/>
  <c r="X499" i="15"/>
  <c r="X512" i="15"/>
  <c r="X516" i="15"/>
  <c r="X505" i="15"/>
  <c r="X515" i="15"/>
  <c r="X506" i="15"/>
  <c r="X510" i="15"/>
  <c r="X509" i="15"/>
  <c r="X514" i="15"/>
  <c r="Y706" i="15"/>
  <c r="Y694" i="15"/>
  <c r="Y699" i="15"/>
  <c r="Y704" i="15"/>
  <c r="Y698" i="15"/>
  <c r="Y697" i="15"/>
  <c r="Y695" i="15"/>
  <c r="Y690" i="15"/>
  <c r="Y696" i="15"/>
  <c r="Y703" i="15"/>
  <c r="Y705" i="15"/>
  <c r="Y693" i="15"/>
  <c r="Y700" i="15"/>
  <c r="Y692" i="15"/>
  <c r="Y702" i="15"/>
  <c r="Y689" i="15"/>
  <c r="Y701" i="15"/>
  <c r="Y691" i="15"/>
  <c r="Y764" i="15"/>
  <c r="X1049" i="15"/>
  <c r="W581" i="15"/>
  <c r="W590" i="15"/>
  <c r="W591" i="15"/>
  <c r="W592" i="15"/>
  <c r="W583" i="15"/>
  <c r="W577" i="15"/>
  <c r="W580" i="15"/>
  <c r="W575" i="15"/>
  <c r="W584" i="15"/>
  <c r="W579" i="15"/>
  <c r="W587" i="15"/>
  <c r="W588" i="15"/>
  <c r="W586" i="15"/>
  <c r="W578" i="15"/>
  <c r="W576" i="15"/>
  <c r="W582" i="15"/>
  <c r="W585" i="15"/>
  <c r="W589" i="15"/>
  <c r="X1265" i="15"/>
  <c r="X1266" i="15"/>
  <c r="X1270" i="15"/>
  <c r="X1264" i="15"/>
  <c r="X1271" i="15"/>
  <c r="X1262" i="15"/>
  <c r="X1274" i="15"/>
  <c r="X1263" i="15"/>
  <c r="X1275" i="15"/>
  <c r="X1272" i="15"/>
  <c r="X1267" i="15"/>
  <c r="X1259" i="15"/>
  <c r="X1269" i="15"/>
  <c r="X1276" i="15"/>
  <c r="X1261" i="15"/>
  <c r="X1268" i="15"/>
  <c r="X1260" i="15"/>
  <c r="X1273" i="15"/>
  <c r="X840" i="15"/>
  <c r="X1128" i="15"/>
  <c r="X1140" i="15"/>
  <c r="X1142" i="15"/>
  <c r="X1130" i="15"/>
  <c r="X1136" i="15"/>
  <c r="X1134" i="15"/>
  <c r="X1143" i="15"/>
  <c r="X1129" i="15"/>
  <c r="X1139" i="15"/>
  <c r="X1135" i="15"/>
  <c r="X1131" i="15"/>
  <c r="X1127" i="15"/>
  <c r="X1138" i="15"/>
  <c r="X1141" i="15"/>
  <c r="X1133" i="15"/>
  <c r="X1137" i="15"/>
  <c r="X1126" i="15"/>
  <c r="X1132" i="15"/>
  <c r="Y501" i="15"/>
  <c r="Y504" i="15"/>
  <c r="Y510" i="15"/>
  <c r="Y513" i="15"/>
  <c r="Y509" i="15"/>
  <c r="Y511" i="15"/>
  <c r="Y500" i="15"/>
  <c r="Y499" i="15"/>
  <c r="Y508" i="15"/>
  <c r="Y502" i="15"/>
  <c r="Y503" i="15"/>
  <c r="Y512" i="15"/>
  <c r="Y505" i="15"/>
  <c r="Y515" i="15"/>
  <c r="Y506" i="15"/>
  <c r="Y516" i="15"/>
  <c r="Y507" i="15"/>
  <c r="Y514" i="15"/>
  <c r="X1364" i="15"/>
  <c r="X1357" i="15"/>
  <c r="X1361" i="15"/>
  <c r="X1356" i="15"/>
  <c r="X1367" i="15"/>
  <c r="X1358" i="15"/>
  <c r="X1360" i="15"/>
  <c r="X1365" i="15"/>
  <c r="X1363" i="15"/>
  <c r="X1368" i="15"/>
  <c r="X1354" i="15"/>
  <c r="X1366" i="15"/>
  <c r="X1371" i="15"/>
  <c r="X1359" i="15"/>
  <c r="X1369" i="15"/>
  <c r="X1370" i="15"/>
  <c r="X1362" i="15"/>
  <c r="X1355" i="15"/>
  <c r="W747" i="15"/>
  <c r="W751" i="15"/>
  <c r="W755" i="15"/>
  <c r="W761" i="15"/>
  <c r="W748" i="15"/>
  <c r="W760" i="15"/>
  <c r="W746" i="15"/>
  <c r="W752" i="15"/>
  <c r="W759" i="15"/>
  <c r="W757" i="15"/>
  <c r="W749" i="15"/>
  <c r="W756" i="15"/>
  <c r="W750" i="15"/>
  <c r="W763" i="15"/>
  <c r="W754" i="15"/>
  <c r="W762" i="15"/>
  <c r="W753" i="15"/>
  <c r="W758" i="15"/>
  <c r="Y842" i="15"/>
  <c r="Y857" i="15"/>
  <c r="Y844" i="15"/>
  <c r="Y855" i="15"/>
  <c r="Y856" i="15"/>
  <c r="Y851" i="15"/>
  <c r="Y847" i="15"/>
  <c r="Y841" i="15"/>
  <c r="Y843" i="15"/>
  <c r="Y852" i="15"/>
  <c r="Y854" i="15"/>
  <c r="Y853" i="15"/>
  <c r="Y846" i="15"/>
  <c r="Y850" i="15"/>
  <c r="Y845" i="15"/>
  <c r="Y858" i="15"/>
  <c r="Y849" i="15"/>
  <c r="Y848" i="15"/>
  <c r="W1517" i="15"/>
  <c r="W1513" i="15"/>
  <c r="W1508" i="15"/>
  <c r="W1509" i="15"/>
  <c r="W1507" i="15"/>
  <c r="W1522" i="15"/>
  <c r="W1512" i="15"/>
  <c r="W1519" i="15"/>
  <c r="W1514" i="15"/>
  <c r="W1516" i="15"/>
  <c r="W1510" i="15"/>
  <c r="W1515" i="15"/>
  <c r="W1506" i="15"/>
  <c r="W1523" i="15"/>
  <c r="W1518" i="15"/>
  <c r="W1511" i="15"/>
  <c r="W1521" i="15"/>
  <c r="W1520" i="15"/>
  <c r="X1178" i="15"/>
  <c r="X1175" i="15"/>
  <c r="X1180" i="15"/>
  <c r="X1165" i="15"/>
  <c r="X1172" i="15"/>
  <c r="X1174" i="15"/>
  <c r="X1177" i="15"/>
  <c r="X1170" i="15"/>
  <c r="X1164" i="15"/>
  <c r="X1166" i="15"/>
  <c r="X1169" i="15"/>
  <c r="X1181" i="15"/>
  <c r="X1167" i="15"/>
  <c r="X1173" i="15"/>
  <c r="X1179" i="15"/>
  <c r="X1171" i="15"/>
  <c r="X1176" i="15"/>
  <c r="X1168" i="15"/>
  <c r="X574" i="15"/>
  <c r="Y760" i="15"/>
  <c r="Y751" i="15"/>
  <c r="Y752" i="15"/>
  <c r="Y755" i="15"/>
  <c r="Y757" i="15"/>
  <c r="Y761" i="15"/>
  <c r="Y749" i="15"/>
  <c r="Y747" i="15"/>
  <c r="Y756" i="15"/>
  <c r="Y753" i="15"/>
  <c r="Y762" i="15"/>
  <c r="Y758" i="15"/>
  <c r="Y763" i="15"/>
  <c r="Y750" i="15"/>
  <c r="Y748" i="15"/>
  <c r="Y746" i="15"/>
  <c r="Y754" i="15"/>
  <c r="Y759" i="15"/>
  <c r="X802" i="15"/>
  <c r="Y1197" i="15"/>
  <c r="Y1188" i="15"/>
  <c r="Y1191" i="15"/>
  <c r="Y1187" i="15"/>
  <c r="Y1190" i="15"/>
  <c r="Y1200" i="15"/>
  <c r="Y1183" i="15"/>
  <c r="Y1192" i="15"/>
  <c r="Y1196" i="15"/>
  <c r="Y1189" i="15"/>
  <c r="Y1184" i="15"/>
  <c r="Y1198" i="15"/>
  <c r="Y1199" i="15"/>
  <c r="Y1185" i="15"/>
  <c r="Y1195" i="15"/>
  <c r="Y1193" i="15"/>
  <c r="Y1194" i="15"/>
  <c r="Y1186" i="15"/>
  <c r="Y384" i="15"/>
  <c r="Y1163" i="15"/>
  <c r="W2" i="18"/>
  <c r="X1333" i="15"/>
  <c r="X1327" i="15"/>
  <c r="X1325" i="15"/>
  <c r="X1316" i="15"/>
  <c r="X1317" i="15"/>
  <c r="X1321" i="15"/>
  <c r="X1330" i="15"/>
  <c r="X1326" i="15"/>
  <c r="X1322" i="15"/>
  <c r="X1319" i="15"/>
  <c r="X1332" i="15"/>
  <c r="X1331" i="15"/>
  <c r="X1329" i="15"/>
  <c r="X1318" i="15"/>
  <c r="X1323" i="15"/>
  <c r="X1328" i="15"/>
  <c r="X1320" i="15"/>
  <c r="X1324" i="15"/>
  <c r="Y1141" i="15"/>
  <c r="Y1132" i="15"/>
  <c r="Y1128" i="15"/>
  <c r="Y1129" i="15"/>
  <c r="Y1143" i="15"/>
  <c r="Y1133" i="15"/>
  <c r="Y1137" i="15"/>
  <c r="Y1138" i="15"/>
  <c r="Y1142" i="15"/>
  <c r="Y1130" i="15"/>
  <c r="Y1134" i="15"/>
  <c r="Y1126" i="15"/>
  <c r="Y1140" i="15"/>
  <c r="Y1136" i="15"/>
  <c r="Y1139" i="15"/>
  <c r="Y1131" i="15"/>
  <c r="Y1135" i="15"/>
  <c r="Y1127" i="15"/>
  <c r="W514" i="15"/>
  <c r="W502" i="15"/>
  <c r="W516" i="15"/>
  <c r="W507" i="15"/>
  <c r="W501" i="15"/>
  <c r="W505" i="15"/>
  <c r="W504" i="15"/>
  <c r="W510" i="15"/>
  <c r="W506" i="15"/>
  <c r="W509" i="15"/>
  <c r="W513" i="15"/>
  <c r="W512" i="15"/>
  <c r="W499" i="15"/>
  <c r="W511" i="15"/>
  <c r="W500" i="15"/>
  <c r="W515" i="15"/>
  <c r="W508" i="15"/>
  <c r="W503" i="15"/>
  <c r="Y1330" i="15"/>
  <c r="Y1332" i="15"/>
  <c r="Y1322" i="15"/>
  <c r="Y1324" i="15"/>
  <c r="Y1320" i="15"/>
  <c r="Y1321" i="15"/>
  <c r="Y1333" i="15"/>
  <c r="Y1326" i="15"/>
  <c r="Y1325" i="15"/>
  <c r="Y1329" i="15"/>
  <c r="Y1317" i="15"/>
  <c r="Y1318" i="15"/>
  <c r="Y1327" i="15"/>
  <c r="Y1331" i="15"/>
  <c r="Y1323" i="15"/>
  <c r="Y1328" i="15"/>
  <c r="Y1319" i="15"/>
  <c r="Y1316" i="15"/>
  <c r="X1182" i="15"/>
  <c r="Y817" i="15"/>
  <c r="Y805" i="15"/>
  <c r="Y815" i="15"/>
  <c r="Y809" i="15"/>
  <c r="Y818" i="15"/>
  <c r="Y804" i="15"/>
  <c r="Y819" i="15"/>
  <c r="Y810" i="15"/>
  <c r="Y811" i="15"/>
  <c r="Y807" i="15"/>
  <c r="Y814" i="15"/>
  <c r="Y812" i="15"/>
  <c r="Y820" i="15"/>
  <c r="Y806" i="15"/>
  <c r="Y803" i="15"/>
  <c r="Y816" i="15"/>
  <c r="Y813" i="15"/>
  <c r="Y808" i="15"/>
  <c r="X1313" i="15"/>
  <c r="X1304" i="15"/>
  <c r="X1306" i="15"/>
  <c r="X1309" i="15"/>
  <c r="X1300" i="15"/>
  <c r="X1305" i="15"/>
  <c r="X1301" i="15"/>
  <c r="X1297" i="15"/>
  <c r="X1311" i="15"/>
  <c r="X1310" i="15"/>
  <c r="X1302" i="15"/>
  <c r="X1303" i="15"/>
  <c r="X1307" i="15"/>
  <c r="X1299" i="15"/>
  <c r="X1312" i="15"/>
  <c r="X1298" i="15"/>
  <c r="X1308" i="15"/>
  <c r="X1314" i="15"/>
  <c r="X626" i="15"/>
  <c r="X614" i="15"/>
  <c r="X629" i="15"/>
  <c r="X618" i="15"/>
  <c r="X627" i="15"/>
  <c r="X615" i="15"/>
  <c r="X628" i="15"/>
  <c r="X619" i="15"/>
  <c r="X620" i="15"/>
  <c r="X613" i="15"/>
  <c r="X624" i="15"/>
  <c r="X623" i="15"/>
  <c r="X621" i="15"/>
  <c r="X616" i="15"/>
  <c r="X625" i="15"/>
  <c r="X617" i="15"/>
  <c r="X630" i="15"/>
  <c r="X622" i="15"/>
  <c r="X783" i="15"/>
  <c r="X883" i="15"/>
  <c r="X884" i="15"/>
  <c r="X895" i="15"/>
  <c r="X885" i="15"/>
  <c r="X880" i="15"/>
  <c r="X892" i="15"/>
  <c r="X879" i="15"/>
  <c r="X889" i="15"/>
  <c r="X887" i="15"/>
  <c r="X886" i="15"/>
  <c r="X881" i="15"/>
  <c r="X896" i="15"/>
  <c r="X894" i="15"/>
  <c r="X891" i="15"/>
  <c r="X888" i="15"/>
  <c r="X893" i="15"/>
  <c r="X890" i="15"/>
  <c r="X882" i="15"/>
  <c r="X460" i="15"/>
  <c r="V2" i="15"/>
  <c r="K4" i="16" s="1"/>
  <c r="X1519" i="15"/>
  <c r="X1521" i="15"/>
  <c r="X1511" i="15"/>
  <c r="X1515" i="15"/>
  <c r="X1523" i="15"/>
  <c r="X1516" i="15"/>
  <c r="X1520" i="15"/>
  <c r="X1508" i="15"/>
  <c r="X1509" i="15"/>
  <c r="X1513" i="15"/>
  <c r="X1518" i="15"/>
  <c r="X1522" i="15"/>
  <c r="X1507" i="15"/>
  <c r="X1506" i="15"/>
  <c r="X1510" i="15"/>
  <c r="X1514" i="15"/>
  <c r="X1512" i="15"/>
  <c r="X1517" i="15"/>
  <c r="X987" i="15"/>
  <c r="X991" i="15"/>
  <c r="X981" i="15"/>
  <c r="X985" i="15"/>
  <c r="X975" i="15"/>
  <c r="X990" i="15"/>
  <c r="X986" i="15"/>
  <c r="X982" i="15"/>
  <c r="X978" i="15"/>
  <c r="X974" i="15"/>
  <c r="X983" i="15"/>
  <c r="X979" i="15"/>
  <c r="X976" i="15"/>
  <c r="X977" i="15"/>
  <c r="X989" i="15"/>
  <c r="X988" i="15"/>
  <c r="X980" i="15"/>
  <c r="X984" i="15"/>
  <c r="Y1062" i="15"/>
  <c r="Y1053" i="15"/>
  <c r="Y1054" i="15"/>
  <c r="Y1061" i="15"/>
  <c r="Y1063" i="15"/>
  <c r="Y1067" i="15"/>
  <c r="Y1058" i="15"/>
  <c r="Y1055" i="15"/>
  <c r="Y1059" i="15"/>
  <c r="Y1050" i="15"/>
  <c r="Y1060" i="15"/>
  <c r="Y1051" i="15"/>
  <c r="Y1052" i="15"/>
  <c r="Y1065" i="15"/>
  <c r="Y1057" i="15"/>
  <c r="Y1064" i="15"/>
  <c r="Y1056" i="15"/>
  <c r="Y1066" i="15"/>
  <c r="Y1262" i="15"/>
  <c r="Y1269" i="15"/>
  <c r="Y1275" i="15"/>
  <c r="Y1263" i="15"/>
  <c r="Y1276" i="15"/>
  <c r="Y1267" i="15"/>
  <c r="Y1261" i="15"/>
  <c r="Y1268" i="15"/>
  <c r="Y1259" i="15"/>
  <c r="Y1271" i="15"/>
  <c r="Y1272" i="15"/>
  <c r="Y1264" i="15"/>
  <c r="Y1274" i="15"/>
  <c r="Y1266" i="15"/>
  <c r="Y1260" i="15"/>
  <c r="Y1273" i="15"/>
  <c r="Y1265" i="15"/>
  <c r="Y1270" i="15"/>
  <c r="X763" i="15"/>
  <c r="X754" i="15"/>
  <c r="X758" i="15"/>
  <c r="X755" i="15"/>
  <c r="X746" i="15"/>
  <c r="X747" i="15"/>
  <c r="X748" i="15"/>
  <c r="X759" i="15"/>
  <c r="X752" i="15"/>
  <c r="X760" i="15"/>
  <c r="X749" i="15"/>
  <c r="X762" i="15"/>
  <c r="X751" i="15"/>
  <c r="X750" i="15"/>
  <c r="X756" i="15"/>
  <c r="X761" i="15"/>
  <c r="X757" i="15"/>
  <c r="X753" i="15"/>
  <c r="X391" i="15"/>
  <c r="X388" i="15"/>
  <c r="X397" i="15"/>
  <c r="X400" i="15"/>
  <c r="X393" i="15"/>
  <c r="X392" i="15"/>
  <c r="X389" i="15"/>
  <c r="X398" i="15"/>
  <c r="X394" i="15"/>
  <c r="X395" i="15"/>
  <c r="X402" i="15"/>
  <c r="X385" i="15"/>
  <c r="X386" i="15"/>
  <c r="X390" i="15"/>
  <c r="X401" i="15"/>
  <c r="X399" i="15"/>
  <c r="X396" i="15"/>
  <c r="X387" i="15"/>
  <c r="W1355" i="15"/>
  <c r="W1356" i="15"/>
  <c r="W1365" i="15"/>
  <c r="W1368" i="15"/>
  <c r="W1357" i="15"/>
  <c r="W1364" i="15"/>
  <c r="W1360" i="15"/>
  <c r="W1367" i="15"/>
  <c r="W1354" i="15"/>
  <c r="W1359" i="15"/>
  <c r="W1371" i="15"/>
  <c r="W1369" i="15"/>
  <c r="W1358" i="15"/>
  <c r="W1361" i="15"/>
  <c r="W1370" i="15"/>
  <c r="W1363" i="15"/>
  <c r="W1366" i="15"/>
  <c r="W1362" i="15"/>
  <c r="Y1312" i="15"/>
  <c r="Y1300" i="15"/>
  <c r="Y1304" i="15"/>
  <c r="Y1311" i="15"/>
  <c r="Y1314" i="15"/>
  <c r="Y1309" i="15"/>
  <c r="Y1297" i="15"/>
  <c r="Y1305" i="15"/>
  <c r="Y1303" i="15"/>
  <c r="Y1301" i="15"/>
  <c r="Y1310" i="15"/>
  <c r="Y1307" i="15"/>
  <c r="Y1298" i="15"/>
  <c r="Y1313" i="15"/>
  <c r="Y1299" i="15"/>
  <c r="Y1306" i="15"/>
  <c r="Y1308" i="15"/>
  <c r="Y1302" i="15"/>
  <c r="Y615" i="15"/>
  <c r="Y624" i="15"/>
  <c r="Y613" i="15"/>
  <c r="Y614" i="15"/>
  <c r="Y618" i="15"/>
  <c r="Y620" i="15"/>
  <c r="Y627" i="15"/>
  <c r="Y628" i="15"/>
  <c r="Y619" i="15"/>
  <c r="Y623" i="15"/>
  <c r="Y616" i="15"/>
  <c r="Y625" i="15"/>
  <c r="Y626" i="15"/>
  <c r="Y629" i="15"/>
  <c r="Y621" i="15"/>
  <c r="Y630" i="15"/>
  <c r="Y617" i="15"/>
  <c r="Y622" i="15"/>
  <c r="Y786" i="15"/>
  <c r="Y798" i="15"/>
  <c r="Y791" i="15"/>
  <c r="Y790" i="15"/>
  <c r="Y793" i="15"/>
  <c r="Y796" i="15"/>
  <c r="Y787" i="15"/>
  <c r="Y788" i="15"/>
  <c r="Y789" i="15"/>
  <c r="Y801" i="15"/>
  <c r="Y800" i="15"/>
  <c r="Y792" i="15"/>
  <c r="Y785" i="15"/>
  <c r="Y797" i="15"/>
  <c r="Y784" i="15"/>
  <c r="Y795" i="15"/>
  <c r="Y794" i="15"/>
  <c r="Y799" i="15"/>
  <c r="Y878" i="15"/>
  <c r="Y468" i="15"/>
  <c r="Y463" i="15"/>
  <c r="Y466" i="15"/>
  <c r="Y465" i="15"/>
  <c r="Y476" i="15"/>
  <c r="Y461" i="15"/>
  <c r="Y462" i="15"/>
  <c r="Y473" i="15"/>
  <c r="Y469" i="15"/>
  <c r="Y467" i="15"/>
  <c r="Y475" i="15"/>
  <c r="Y478" i="15"/>
  <c r="Y477" i="15"/>
  <c r="Y464" i="15"/>
  <c r="Y472" i="15"/>
  <c r="Y471" i="15"/>
  <c r="Y474" i="15"/>
  <c r="Y470" i="15"/>
  <c r="Y1516" i="15"/>
  <c r="Y1522" i="15"/>
  <c r="Y1508" i="15"/>
  <c r="Y1506" i="15"/>
  <c r="Y1521" i="15"/>
  <c r="Y1510" i="15"/>
  <c r="Y1513" i="15"/>
  <c r="Y1520" i="15"/>
  <c r="Y1509" i="15"/>
  <c r="Y1512" i="15"/>
  <c r="Y1514" i="15"/>
  <c r="Y1519" i="15"/>
  <c r="Y1518" i="15"/>
  <c r="Y1511" i="15"/>
  <c r="Y1523" i="15"/>
  <c r="Y1515" i="15"/>
  <c r="Y1517" i="15"/>
  <c r="Y1507" i="15"/>
  <c r="Y973" i="15"/>
  <c r="AI955" i="15"/>
  <c r="Z442" i="15"/>
  <c r="Z1449" i="15"/>
  <c r="AI253" i="15"/>
  <c r="AH404" i="15"/>
  <c r="AI1449" i="15"/>
  <c r="AI1335" i="15"/>
  <c r="AI918" i="15"/>
  <c r="AI822" i="15"/>
  <c r="AG1449" i="15"/>
  <c r="AH120" i="15"/>
  <c r="AI899" i="15"/>
  <c r="AG557" i="15"/>
  <c r="AH727" i="15"/>
  <c r="AH291" i="15"/>
  <c r="AI328" i="15"/>
  <c r="AH139" i="15"/>
  <c r="AG1031" i="15"/>
  <c r="AI936" i="15"/>
  <c r="AI1202" i="15"/>
  <c r="AH1202" i="15"/>
  <c r="AG1202" i="15"/>
  <c r="AI157" i="15"/>
  <c r="AH157" i="15"/>
  <c r="AG157" i="15"/>
  <c r="AI138" i="15"/>
  <c r="AH138" i="15"/>
  <c r="AG138" i="15"/>
  <c r="AI405" i="15"/>
  <c r="AH405" i="15"/>
  <c r="AG405" i="15"/>
  <c r="AI1450" i="15"/>
  <c r="AH1450" i="15"/>
  <c r="AG1450" i="15"/>
  <c r="AI176" i="15"/>
  <c r="AH176" i="15"/>
  <c r="AG176" i="15"/>
  <c r="AI119" i="15"/>
  <c r="AH119" i="15"/>
  <c r="AG119" i="15"/>
  <c r="AI670" i="15"/>
  <c r="AH670" i="15"/>
  <c r="AG670" i="15"/>
  <c r="AI1430" i="15"/>
  <c r="AH1430" i="15"/>
  <c r="AG1430" i="15"/>
  <c r="AI556" i="15"/>
  <c r="AH556" i="15"/>
  <c r="AG556" i="15"/>
  <c r="AG955" i="15"/>
  <c r="AI1392" i="15"/>
  <c r="AH1392" i="15"/>
  <c r="AG1392" i="15"/>
  <c r="AI860" i="15"/>
  <c r="AH860" i="15"/>
  <c r="AG860" i="15"/>
  <c r="AI994" i="15"/>
  <c r="AH994" i="15"/>
  <c r="AG994" i="15"/>
  <c r="AI898" i="15"/>
  <c r="AI442" i="15"/>
  <c r="AH442" i="15"/>
  <c r="AG442" i="15"/>
  <c r="AI271" i="15"/>
  <c r="AG480" i="15"/>
  <c r="AI366" i="15"/>
  <c r="AI1373" i="15"/>
  <c r="Z708" i="15"/>
  <c r="Z898" i="15"/>
  <c r="Z556" i="15"/>
  <c r="AI1278" i="15"/>
  <c r="Z1088" i="15"/>
  <c r="Z1373" i="15"/>
  <c r="Z1392" i="15"/>
  <c r="Z1430" i="15"/>
  <c r="Z860" i="15"/>
  <c r="Z670" i="15"/>
  <c r="Z119" i="15"/>
  <c r="Z480" i="15"/>
  <c r="Z1069" i="15"/>
  <c r="Z404" i="15"/>
  <c r="Z1031" i="15"/>
  <c r="Z309" i="15"/>
  <c r="Z139" i="15"/>
  <c r="Z918" i="15"/>
  <c r="Z993" i="15"/>
  <c r="Z557" i="15"/>
  <c r="AI651" i="15"/>
  <c r="Z405" i="15"/>
  <c r="Z899" i="15"/>
  <c r="Z994" i="15"/>
  <c r="Z120" i="15"/>
  <c r="Z176" i="15"/>
  <c r="Z233" i="15"/>
  <c r="Z727" i="15"/>
  <c r="Z138" i="15"/>
  <c r="Z1450" i="15"/>
  <c r="Z822" i="15"/>
  <c r="Z1240" i="15"/>
  <c r="Z157" i="15"/>
  <c r="Z1202" i="15"/>
  <c r="AI1469" i="15" l="1"/>
  <c r="AG1468" i="15"/>
  <c r="Y547" i="15"/>
  <c r="Y543" i="15"/>
  <c r="Y553" i="15"/>
  <c r="Y539" i="15"/>
  <c r="Y548" i="15"/>
  <c r="Y550" i="15"/>
  <c r="Y549" i="15"/>
  <c r="Y540" i="15"/>
  <c r="Y541" i="15"/>
  <c r="Y552" i="15"/>
  <c r="Y542" i="15"/>
  <c r="Y554" i="15"/>
  <c r="Y537" i="15"/>
  <c r="Y538" i="15"/>
  <c r="Y546" i="15"/>
  <c r="Y544" i="15"/>
  <c r="Y551" i="15"/>
  <c r="Y545" i="15"/>
  <c r="Z1469" i="15"/>
  <c r="AI1297" i="15"/>
  <c r="K5" i="16"/>
  <c r="AG499" i="15"/>
  <c r="Z1468" i="15"/>
  <c r="AH1297" i="15"/>
  <c r="AG1469" i="15"/>
  <c r="AI1316" i="15"/>
  <c r="Z613" i="15"/>
  <c r="Z1297" i="15"/>
  <c r="AI1126" i="15"/>
  <c r="AH1469" i="15"/>
  <c r="AI1468" i="15"/>
  <c r="AI1355" i="15"/>
  <c r="AH1468" i="15"/>
  <c r="AI1259" i="15"/>
  <c r="Z1316" i="15"/>
  <c r="Z1355" i="15"/>
  <c r="Z746" i="15"/>
  <c r="Z1259" i="15"/>
  <c r="AG1259" i="15"/>
  <c r="AG1297" i="15"/>
  <c r="Z499" i="15"/>
  <c r="AH1126" i="15"/>
  <c r="AH499" i="15"/>
  <c r="X789" i="15"/>
  <c r="X785" i="15"/>
  <c r="X799" i="15"/>
  <c r="X798" i="15"/>
  <c r="X791" i="15"/>
  <c r="X784" i="15"/>
  <c r="X800" i="15"/>
  <c r="X796" i="15"/>
  <c r="X793" i="15"/>
  <c r="X787" i="15"/>
  <c r="X795" i="15"/>
  <c r="X788" i="15"/>
  <c r="X786" i="15"/>
  <c r="X792" i="15"/>
  <c r="X790" i="15"/>
  <c r="X801" i="15"/>
  <c r="X797" i="15"/>
  <c r="X794" i="15"/>
  <c r="X576" i="15"/>
  <c r="X585" i="15"/>
  <c r="X592" i="15"/>
  <c r="X580" i="15"/>
  <c r="X584" i="15"/>
  <c r="X577" i="15"/>
  <c r="X587" i="15"/>
  <c r="X586" i="15"/>
  <c r="X582" i="15"/>
  <c r="X578" i="15"/>
  <c r="X589" i="15"/>
  <c r="X591" i="15"/>
  <c r="X581" i="15"/>
  <c r="X583" i="15"/>
  <c r="X579" i="15"/>
  <c r="X575" i="15"/>
  <c r="X588" i="15"/>
  <c r="X590" i="15"/>
  <c r="AI499" i="15"/>
  <c r="X1200" i="15"/>
  <c r="X1191" i="15"/>
  <c r="X1184" i="15"/>
  <c r="X1185" i="15"/>
  <c r="X1197" i="15"/>
  <c r="X1196" i="15"/>
  <c r="X1186" i="15"/>
  <c r="X1189" i="15"/>
  <c r="X1190" i="15"/>
  <c r="X1194" i="15"/>
  <c r="X1188" i="15"/>
  <c r="X1198" i="15"/>
  <c r="X1192" i="15"/>
  <c r="X1195" i="15"/>
  <c r="X1187" i="15"/>
  <c r="X1193" i="15"/>
  <c r="X1199" i="15"/>
  <c r="X1183" i="15"/>
  <c r="Y399" i="15"/>
  <c r="Y392" i="15"/>
  <c r="Y385" i="15"/>
  <c r="AI385" i="15" s="1"/>
  <c r="Y395" i="15"/>
  <c r="Y391" i="15"/>
  <c r="Y402" i="15"/>
  <c r="Y390" i="15"/>
  <c r="Y396" i="15"/>
  <c r="Y398" i="15"/>
  <c r="Y388" i="15"/>
  <c r="Y389" i="15"/>
  <c r="Y397" i="15"/>
  <c r="Y401" i="15"/>
  <c r="Y387" i="15"/>
  <c r="Y394" i="15"/>
  <c r="Y393" i="15"/>
  <c r="Y400" i="15"/>
  <c r="Y386" i="15"/>
  <c r="X702" i="15"/>
  <c r="X690" i="15"/>
  <c r="X689" i="15"/>
  <c r="X693" i="15"/>
  <c r="X700" i="15"/>
  <c r="X706" i="15"/>
  <c r="X697" i="15"/>
  <c r="X698" i="15"/>
  <c r="X699" i="15"/>
  <c r="X703" i="15"/>
  <c r="X695" i="15"/>
  <c r="X694" i="15"/>
  <c r="X704" i="15"/>
  <c r="X696" i="15"/>
  <c r="X701" i="15"/>
  <c r="X692" i="15"/>
  <c r="X705" i="15"/>
  <c r="X691" i="15"/>
  <c r="Y574" i="15"/>
  <c r="AG1316" i="15"/>
  <c r="Y894" i="15"/>
  <c r="Y896" i="15"/>
  <c r="Y880" i="15"/>
  <c r="Y893" i="15"/>
  <c r="Y892" i="15"/>
  <c r="Y891" i="15"/>
  <c r="Y890" i="15"/>
  <c r="Y895" i="15"/>
  <c r="Y888" i="15"/>
  <c r="Y887" i="15"/>
  <c r="Y885" i="15"/>
  <c r="Y882" i="15"/>
  <c r="Y886" i="15"/>
  <c r="Y889" i="15"/>
  <c r="Y883" i="15"/>
  <c r="Y879" i="15"/>
  <c r="AH879" i="15" s="1"/>
  <c r="Y881" i="15"/>
  <c r="Y884" i="15"/>
  <c r="X469" i="15"/>
  <c r="X476" i="15"/>
  <c r="X461" i="15"/>
  <c r="X464" i="15"/>
  <c r="X478" i="15"/>
  <c r="X471" i="15"/>
  <c r="X474" i="15"/>
  <c r="X470" i="15"/>
  <c r="X463" i="15"/>
  <c r="X472" i="15"/>
  <c r="X462" i="15"/>
  <c r="X468" i="15"/>
  <c r="X475" i="15"/>
  <c r="X467" i="15"/>
  <c r="X477" i="15"/>
  <c r="X473" i="15"/>
  <c r="X466" i="15"/>
  <c r="X465" i="15"/>
  <c r="Y769" i="15"/>
  <c r="Y770" i="15"/>
  <c r="Y779" i="15"/>
  <c r="Y778" i="15"/>
  <c r="Y777" i="15"/>
  <c r="Y771" i="15"/>
  <c r="Y773" i="15"/>
  <c r="Y775" i="15"/>
  <c r="Y776" i="15"/>
  <c r="Y781" i="15"/>
  <c r="Y767" i="15"/>
  <c r="Y768" i="15"/>
  <c r="Y774" i="15"/>
  <c r="Y766" i="15"/>
  <c r="Y780" i="15"/>
  <c r="Y765" i="15"/>
  <c r="AI765" i="15" s="1"/>
  <c r="Y772" i="15"/>
  <c r="Y782" i="15"/>
  <c r="X856" i="15"/>
  <c r="X847" i="15"/>
  <c r="X858" i="15"/>
  <c r="X841" i="15"/>
  <c r="X850" i="15"/>
  <c r="X851" i="15"/>
  <c r="X842" i="15"/>
  <c r="X849" i="15"/>
  <c r="X855" i="15"/>
  <c r="X846" i="15"/>
  <c r="X854" i="15"/>
  <c r="X852" i="15"/>
  <c r="X843" i="15"/>
  <c r="X853" i="15"/>
  <c r="X848" i="15"/>
  <c r="X845" i="15"/>
  <c r="X844" i="15"/>
  <c r="X857" i="15"/>
  <c r="Y1226" i="15"/>
  <c r="Y1230" i="15"/>
  <c r="Y1229" i="15"/>
  <c r="Y1234" i="15"/>
  <c r="Y1222" i="15"/>
  <c r="AI1222" i="15" s="1"/>
  <c r="Y1231" i="15"/>
  <c r="Y1232" i="15"/>
  <c r="Y1228" i="15"/>
  <c r="Y1223" i="15"/>
  <c r="Y1224" i="15"/>
  <c r="Y1237" i="15"/>
  <c r="Y1236" i="15"/>
  <c r="Y1227" i="15"/>
  <c r="Y1235" i="15"/>
  <c r="Y1221" i="15"/>
  <c r="AI1221" i="15" s="1"/>
  <c r="Y1233" i="15"/>
  <c r="Y1225" i="15"/>
  <c r="Y1238" i="15"/>
  <c r="X820" i="15"/>
  <c r="X816" i="15"/>
  <c r="X809" i="15"/>
  <c r="X812" i="15"/>
  <c r="X808" i="15"/>
  <c r="X818" i="15"/>
  <c r="X804" i="15"/>
  <c r="X813" i="15"/>
  <c r="X814" i="15"/>
  <c r="X805" i="15"/>
  <c r="X815" i="15"/>
  <c r="X806" i="15"/>
  <c r="X807" i="15"/>
  <c r="X810" i="15"/>
  <c r="X817" i="15"/>
  <c r="X803" i="15"/>
  <c r="X819" i="15"/>
  <c r="X811" i="15"/>
  <c r="AG1126" i="15"/>
  <c r="AH1316" i="15"/>
  <c r="Y1171" i="15"/>
  <c r="Y1167" i="15"/>
  <c r="Y1176" i="15"/>
  <c r="Y1173" i="15"/>
  <c r="Y1177" i="15"/>
  <c r="Y1169" i="15"/>
  <c r="Y1174" i="15"/>
  <c r="Y1166" i="15"/>
  <c r="Y1168" i="15"/>
  <c r="Y1164" i="15"/>
  <c r="Y1181" i="15"/>
  <c r="Y1172" i="15"/>
  <c r="Y1165" i="15"/>
  <c r="Z1165" i="15" s="1"/>
  <c r="Y1178" i="15"/>
  <c r="Y1175" i="15"/>
  <c r="Y1180" i="15"/>
  <c r="Y1170" i="15"/>
  <c r="Y1179" i="15"/>
  <c r="X1052" i="15"/>
  <c r="X1056" i="15"/>
  <c r="X1050" i="15"/>
  <c r="X1065" i="15"/>
  <c r="X1064" i="15"/>
  <c r="X1066" i="15"/>
  <c r="X1057" i="15"/>
  <c r="X1053" i="15"/>
  <c r="X1062" i="15"/>
  <c r="X1061" i="15"/>
  <c r="X1054" i="15"/>
  <c r="X1058" i="15"/>
  <c r="X1060" i="15"/>
  <c r="X1051" i="15"/>
  <c r="X1067" i="15"/>
  <c r="X1059" i="15"/>
  <c r="X1055" i="15"/>
  <c r="X1063" i="15"/>
  <c r="Z1126" i="15"/>
  <c r="Y984" i="15"/>
  <c r="Y975" i="15"/>
  <c r="Y976" i="15"/>
  <c r="Y980" i="15"/>
  <c r="Y978" i="15"/>
  <c r="Y989" i="15"/>
  <c r="Y982" i="15"/>
  <c r="Y981" i="15"/>
  <c r="Y990" i="15"/>
  <c r="Y986" i="15"/>
  <c r="Y977" i="15"/>
  <c r="Y985" i="15"/>
  <c r="Y979" i="15"/>
  <c r="Y988" i="15"/>
  <c r="Y987" i="15"/>
  <c r="Y991" i="15"/>
  <c r="Y983" i="15"/>
  <c r="Y974" i="15"/>
  <c r="Z974" i="15" s="1"/>
  <c r="AI404" i="15"/>
  <c r="AG253" i="15"/>
  <c r="Z253" i="15"/>
  <c r="AH253" i="15"/>
  <c r="AG404" i="15"/>
  <c r="AI423" i="15"/>
  <c r="AI1088" i="15"/>
  <c r="AI993" i="15"/>
  <c r="AI1240" i="15"/>
  <c r="AI252" i="15"/>
  <c r="Z518" i="15"/>
  <c r="Z1012" i="15"/>
  <c r="AG632" i="15"/>
  <c r="Z955" i="15"/>
  <c r="AH955" i="15"/>
  <c r="Z936" i="15"/>
  <c r="Z423" i="15"/>
  <c r="Z291" i="15"/>
  <c r="AG423" i="15"/>
  <c r="AG1240" i="15"/>
  <c r="AH423" i="15"/>
  <c r="AI917" i="15"/>
  <c r="AH1240" i="15"/>
  <c r="AG918" i="15"/>
  <c r="AH918" i="15"/>
  <c r="AG822" i="15"/>
  <c r="AH822" i="15"/>
  <c r="AG993" i="15"/>
  <c r="Z328" i="15"/>
  <c r="AH993" i="15"/>
  <c r="AG252" i="15"/>
  <c r="Z252" i="15"/>
  <c r="AG518" i="15"/>
  <c r="AH252" i="15"/>
  <c r="AI518" i="15"/>
  <c r="Z195" i="15"/>
  <c r="AG1335" i="15"/>
  <c r="AH899" i="15"/>
  <c r="AI1069" i="15"/>
  <c r="AI595" i="15"/>
  <c r="Z1335" i="15"/>
  <c r="AH1335" i="15"/>
  <c r="AH518" i="15"/>
  <c r="AI1031" i="15"/>
  <c r="AH1355" i="15"/>
  <c r="Z271" i="15"/>
  <c r="AG1355" i="15"/>
  <c r="AH898" i="15"/>
  <c r="AH557" i="15"/>
  <c r="AI727" i="15"/>
  <c r="AG1069" i="15"/>
  <c r="AI139" i="15"/>
  <c r="AG899" i="15"/>
  <c r="AG233" i="15"/>
  <c r="AI291" i="15"/>
  <c r="AH1069" i="15"/>
  <c r="AG139" i="15"/>
  <c r="AG291" i="15"/>
  <c r="AH328" i="15"/>
  <c r="AI309" i="15"/>
  <c r="AI557" i="15"/>
  <c r="AG1012" i="15"/>
  <c r="AG1088" i="15"/>
  <c r="AG898" i="15"/>
  <c r="AH1259" i="15"/>
  <c r="AH1031" i="15"/>
  <c r="AI613" i="15"/>
  <c r="Z366" i="15"/>
  <c r="AG727" i="15"/>
  <c r="AH1088" i="15"/>
  <c r="Z632" i="15"/>
  <c r="AI233" i="15"/>
  <c r="AG120" i="15"/>
  <c r="Z1107" i="15"/>
  <c r="Z917" i="15"/>
  <c r="AG613" i="15"/>
  <c r="AI120" i="15"/>
  <c r="AH632" i="15"/>
  <c r="AH233" i="15"/>
  <c r="AH613" i="15"/>
  <c r="AI632" i="15"/>
  <c r="AI1012" i="15"/>
  <c r="AG328" i="15"/>
  <c r="AG917" i="15"/>
  <c r="AI195" i="15"/>
  <c r="AH917" i="15"/>
  <c r="AH936" i="15"/>
  <c r="AI1451" i="15"/>
  <c r="AH1012" i="15"/>
  <c r="AG936" i="15"/>
  <c r="AH747" i="15"/>
  <c r="AH480" i="15"/>
  <c r="AG366" i="15"/>
  <c r="AI480" i="15"/>
  <c r="AG309" i="15"/>
  <c r="AH366" i="15"/>
  <c r="AG195" i="15"/>
  <c r="AH309" i="15"/>
  <c r="AG1373" i="15"/>
  <c r="AH195" i="15"/>
  <c r="AG651" i="15"/>
  <c r="AH1373" i="15"/>
  <c r="AG271" i="15"/>
  <c r="AH651" i="15"/>
  <c r="AG1278" i="15"/>
  <c r="AH271" i="15"/>
  <c r="AG595" i="15"/>
  <c r="AH1278" i="15"/>
  <c r="AH595" i="15"/>
  <c r="AI62" i="15"/>
  <c r="AH62" i="15"/>
  <c r="AG62" i="15"/>
  <c r="AI100" i="15"/>
  <c r="AH100" i="15"/>
  <c r="AG100" i="15"/>
  <c r="AI81" i="15"/>
  <c r="AG81" i="15"/>
  <c r="AH81" i="15"/>
  <c r="AI1317" i="15"/>
  <c r="AH1317" i="15"/>
  <c r="AG1317" i="15"/>
  <c r="AI63" i="15"/>
  <c r="AH63" i="15"/>
  <c r="AG63" i="15"/>
  <c r="AI861" i="15"/>
  <c r="AH861" i="15"/>
  <c r="AG861" i="15"/>
  <c r="AI709" i="15"/>
  <c r="AH709" i="15"/>
  <c r="AG709" i="15"/>
  <c r="AI347" i="15"/>
  <c r="AH347" i="15"/>
  <c r="AG347" i="15"/>
  <c r="AI1145" i="15"/>
  <c r="AH1145" i="15"/>
  <c r="AG1145" i="15"/>
  <c r="AI1487" i="15"/>
  <c r="AH1487" i="15"/>
  <c r="AG1487" i="15"/>
  <c r="AI1146" i="15"/>
  <c r="AH1146" i="15"/>
  <c r="AG1146" i="15"/>
  <c r="AI1107" i="15"/>
  <c r="AH1107" i="15"/>
  <c r="AG1107" i="15"/>
  <c r="AI177" i="15"/>
  <c r="AH177" i="15"/>
  <c r="AG177" i="15"/>
  <c r="AI708" i="15"/>
  <c r="AH708" i="15"/>
  <c r="AG708" i="15"/>
  <c r="AI746" i="15"/>
  <c r="AH746" i="15"/>
  <c r="AG746" i="15"/>
  <c r="AI348" i="15"/>
  <c r="Z177" i="15"/>
  <c r="Z633" i="15"/>
  <c r="Z1146" i="15"/>
  <c r="Z1260" i="15"/>
  <c r="Z747" i="15"/>
  <c r="Z1278" i="15"/>
  <c r="Z595" i="15"/>
  <c r="Z1487" i="15"/>
  <c r="Z651" i="15"/>
  <c r="Z63" i="15"/>
  <c r="Z347" i="15"/>
  <c r="Z348" i="15"/>
  <c r="Z861" i="15"/>
  <c r="Z709" i="15"/>
  <c r="Z1145" i="15"/>
  <c r="Z1317" i="15"/>
  <c r="Z62" i="15"/>
  <c r="Z100" i="15"/>
  <c r="Z81" i="15"/>
  <c r="Z842" i="15" l="1"/>
  <c r="Z462" i="15"/>
  <c r="Z461" i="15"/>
  <c r="AI880" i="15"/>
  <c r="AG1184" i="15"/>
  <c r="AI803" i="15"/>
  <c r="AI841" i="15"/>
  <c r="AH784" i="15"/>
  <c r="Z537" i="15"/>
  <c r="AG537" i="15"/>
  <c r="AI537" i="15"/>
  <c r="AH537" i="15"/>
  <c r="Z841" i="15"/>
  <c r="AI461" i="15"/>
  <c r="Z784" i="15"/>
  <c r="AG784" i="15"/>
  <c r="Z1222" i="15"/>
  <c r="AH842" i="15"/>
  <c r="AH1184" i="15"/>
  <c r="AI1184" i="15"/>
  <c r="AG1165" i="15"/>
  <c r="AG385" i="15"/>
  <c r="AG841" i="15"/>
  <c r="AH1165" i="15"/>
  <c r="Z1184" i="15"/>
  <c r="AI879" i="15"/>
  <c r="Z880" i="15"/>
  <c r="AI784" i="15"/>
  <c r="AI1165" i="15"/>
  <c r="AG879" i="15"/>
  <c r="Z879" i="15"/>
  <c r="Z803" i="15"/>
  <c r="AH841" i="15"/>
  <c r="AG880" i="15"/>
  <c r="AG765" i="15"/>
  <c r="Z1221" i="15"/>
  <c r="AG1221" i="15"/>
  <c r="AH462" i="15"/>
  <c r="AH1222" i="15"/>
  <c r="AG803" i="15"/>
  <c r="AH880" i="15"/>
  <c r="AG842" i="15"/>
  <c r="Z1164" i="15"/>
  <c r="AI1164" i="15"/>
  <c r="AH1164" i="15"/>
  <c r="Y583" i="15"/>
  <c r="Y579" i="15"/>
  <c r="Y588" i="15"/>
  <c r="Y576" i="15"/>
  <c r="AI576" i="15" s="1"/>
  <c r="Y580" i="15"/>
  <c r="Y587" i="15"/>
  <c r="Y590" i="15"/>
  <c r="Y585" i="15"/>
  <c r="Y586" i="15"/>
  <c r="Y589" i="15"/>
  <c r="Y577" i="15"/>
  <c r="Y584" i="15"/>
  <c r="Y575" i="15"/>
  <c r="Z575" i="15" s="1"/>
  <c r="Y582" i="15"/>
  <c r="Y592" i="15"/>
  <c r="Y578" i="15"/>
  <c r="Y591" i="15"/>
  <c r="Y581" i="15"/>
  <c r="Z689" i="15"/>
  <c r="AI689" i="15"/>
  <c r="AH689" i="15"/>
  <c r="AG689" i="15"/>
  <c r="AG1222" i="15"/>
  <c r="AG461" i="15"/>
  <c r="AH803" i="15"/>
  <c r="AH974" i="15"/>
  <c r="AG462" i="15"/>
  <c r="AH765" i="15"/>
  <c r="AG974" i="15"/>
  <c r="AG690" i="15"/>
  <c r="AI690" i="15"/>
  <c r="AH690" i="15"/>
  <c r="Z690" i="15"/>
  <c r="Z385" i="15"/>
  <c r="AH385" i="15"/>
  <c r="AH1221" i="15"/>
  <c r="Z765" i="15"/>
  <c r="AH461" i="15"/>
  <c r="AI842" i="15"/>
  <c r="AI974" i="15"/>
  <c r="AI462" i="15"/>
  <c r="AG1164" i="15"/>
  <c r="Z329" i="15"/>
  <c r="AH1260" i="15"/>
  <c r="Z349" i="15"/>
  <c r="Z1393" i="15"/>
  <c r="Z254" i="15"/>
  <c r="Z101" i="15"/>
  <c r="Z1451" i="15"/>
  <c r="AG1260" i="15"/>
  <c r="AH349" i="15"/>
  <c r="AI1260" i="15"/>
  <c r="Z102" i="15"/>
  <c r="AI424" i="15"/>
  <c r="AI1393" i="15"/>
  <c r="AG1393" i="15"/>
  <c r="AH1393" i="15"/>
  <c r="AI214" i="15"/>
  <c r="AH214" i="15"/>
  <c r="AG214" i="15"/>
  <c r="Z214" i="15"/>
  <c r="Z1506" i="15"/>
  <c r="AI1506" i="15"/>
  <c r="AH1506" i="15"/>
  <c r="AG1506" i="15"/>
  <c r="AI747" i="15"/>
  <c r="Z804" i="15"/>
  <c r="AG1451" i="15"/>
  <c r="AH1451" i="15"/>
  <c r="Z1411" i="15"/>
  <c r="AI1411" i="15"/>
  <c r="AH1411" i="15"/>
  <c r="AG1411" i="15"/>
  <c r="AG747" i="15"/>
  <c r="AI349" i="15"/>
  <c r="AI44" i="15"/>
  <c r="AH44" i="15"/>
  <c r="AG44" i="15"/>
  <c r="AH424" i="15"/>
  <c r="AG348" i="15"/>
  <c r="AG424" i="15"/>
  <c r="AI594" i="15"/>
  <c r="AH594" i="15"/>
  <c r="AG594" i="15"/>
  <c r="AH348" i="15"/>
  <c r="AG349" i="15"/>
  <c r="AI330" i="15"/>
  <c r="AH330" i="15"/>
  <c r="AG330" i="15"/>
  <c r="AI197" i="15"/>
  <c r="AH197" i="15"/>
  <c r="AG197" i="15"/>
  <c r="AI178" i="15"/>
  <c r="AH178" i="15"/>
  <c r="AG178" i="15"/>
  <c r="AI386" i="15"/>
  <c r="AH386" i="15"/>
  <c r="AG386" i="15"/>
  <c r="AI406" i="15"/>
  <c r="AH406" i="15"/>
  <c r="AG406" i="15"/>
  <c r="AI387" i="15"/>
  <c r="AH387" i="15"/>
  <c r="AG387" i="15"/>
  <c r="AI729" i="15"/>
  <c r="AH729" i="15"/>
  <c r="AG729" i="15"/>
  <c r="AI272" i="15"/>
  <c r="AH272" i="15"/>
  <c r="AG272" i="15"/>
  <c r="AI311" i="15"/>
  <c r="AH311" i="15"/>
  <c r="AG311" i="15"/>
  <c r="AI1203" i="15"/>
  <c r="AH1203" i="15"/>
  <c r="AG1203" i="15"/>
  <c r="AI728" i="15"/>
  <c r="AH728" i="15"/>
  <c r="AG728" i="15"/>
  <c r="AI652" i="15"/>
  <c r="AH652" i="15"/>
  <c r="AG652" i="15"/>
  <c r="AI158" i="15"/>
  <c r="AH158" i="15"/>
  <c r="AG158" i="15"/>
  <c r="AI273" i="15"/>
  <c r="AH273" i="15"/>
  <c r="AG273" i="15"/>
  <c r="AI767" i="15"/>
  <c r="AH767" i="15"/>
  <c r="AG767" i="15"/>
  <c r="AI45" i="15"/>
  <c r="AH45" i="15"/>
  <c r="AG45" i="15"/>
  <c r="AI937" i="15"/>
  <c r="AH937" i="15"/>
  <c r="AG937" i="15"/>
  <c r="AI310" i="15"/>
  <c r="AH310" i="15"/>
  <c r="AG310" i="15"/>
  <c r="AI766" i="15"/>
  <c r="AH766" i="15"/>
  <c r="AG766" i="15"/>
  <c r="AI501" i="15"/>
  <c r="AH501" i="15"/>
  <c r="AG501" i="15"/>
  <c r="AI1375" i="15"/>
  <c r="AH1375" i="15"/>
  <c r="AG1375" i="15"/>
  <c r="AI140" i="15"/>
  <c r="AH140" i="15"/>
  <c r="AG140" i="15"/>
  <c r="AI956" i="15"/>
  <c r="AH956" i="15"/>
  <c r="AG956" i="15"/>
  <c r="AI463" i="15"/>
  <c r="AH463" i="15"/>
  <c r="AG463" i="15"/>
  <c r="AI121" i="15"/>
  <c r="AH121" i="15"/>
  <c r="AG121" i="15"/>
  <c r="AI500" i="15"/>
  <c r="AH500" i="15"/>
  <c r="AG500" i="15"/>
  <c r="AI1298" i="15"/>
  <c r="AH1298" i="15"/>
  <c r="AG1298" i="15"/>
  <c r="AI292" i="15"/>
  <c r="AH292" i="15"/>
  <c r="AG292" i="15"/>
  <c r="AI1108" i="15"/>
  <c r="AH1108" i="15"/>
  <c r="AG1108" i="15"/>
  <c r="AI1488" i="15"/>
  <c r="AH1488" i="15"/>
  <c r="AG1488" i="15"/>
  <c r="AI26" i="15"/>
  <c r="AH26" i="15"/>
  <c r="AG26" i="15"/>
  <c r="AI235" i="15"/>
  <c r="AH235" i="15"/>
  <c r="AG235" i="15"/>
  <c r="AI1412" i="15"/>
  <c r="AH1412" i="15"/>
  <c r="AG1412" i="15"/>
  <c r="AI1089" i="15"/>
  <c r="AH1089" i="15"/>
  <c r="AG1089" i="15"/>
  <c r="AI1431" i="15"/>
  <c r="AH1431" i="15"/>
  <c r="AG1431" i="15"/>
  <c r="AI785" i="15"/>
  <c r="AH785" i="15"/>
  <c r="AG785" i="15"/>
  <c r="AI481" i="15"/>
  <c r="AH481" i="15"/>
  <c r="AG481" i="15"/>
  <c r="AI367" i="15"/>
  <c r="AH367" i="15"/>
  <c r="AG367" i="15"/>
  <c r="AI1336" i="15"/>
  <c r="AH1336" i="15"/>
  <c r="AG1336" i="15"/>
  <c r="Z823" i="15"/>
  <c r="AI823" i="15"/>
  <c r="AH823" i="15"/>
  <c r="AG823" i="15"/>
  <c r="AI101" i="15"/>
  <c r="AH101" i="15"/>
  <c r="AG101" i="15"/>
  <c r="AI633" i="15"/>
  <c r="AH633" i="15"/>
  <c r="AG633" i="15"/>
  <c r="AI102" i="15"/>
  <c r="AH102" i="15"/>
  <c r="AG102" i="15"/>
  <c r="AI804" i="15"/>
  <c r="AH804" i="15"/>
  <c r="AG804" i="15"/>
  <c r="AI196" i="15"/>
  <c r="AH196" i="15"/>
  <c r="AG196" i="15"/>
  <c r="AI1354" i="15"/>
  <c r="AH1354" i="15"/>
  <c r="AG1354" i="15"/>
  <c r="AI329" i="15"/>
  <c r="AH329" i="15"/>
  <c r="AG329" i="15"/>
  <c r="AI1127" i="15"/>
  <c r="AH1127" i="15"/>
  <c r="AG1127" i="15"/>
  <c r="AI290" i="15"/>
  <c r="AH290" i="15"/>
  <c r="AG290" i="15"/>
  <c r="AI254" i="15"/>
  <c r="AH254" i="15"/>
  <c r="AG254" i="15"/>
  <c r="AI1183" i="15"/>
  <c r="AH1183" i="15"/>
  <c r="AG1183" i="15"/>
  <c r="AI1050" i="15"/>
  <c r="AH1050" i="15"/>
  <c r="AG1050" i="15"/>
  <c r="Z1354" i="15"/>
  <c r="Z1183" i="15"/>
  <c r="Z594" i="15"/>
  <c r="Z290" i="15"/>
  <c r="Z1050" i="15"/>
  <c r="Z196" i="15"/>
  <c r="Z44" i="15"/>
  <c r="Z1336" i="15"/>
  <c r="Z785" i="15"/>
  <c r="Z481" i="15"/>
  <c r="Z367" i="15"/>
  <c r="Z273" i="15"/>
  <c r="Z767" i="15"/>
  <c r="Z140" i="15"/>
  <c r="Z463" i="15"/>
  <c r="Z311" i="15"/>
  <c r="Z501" i="15"/>
  <c r="Z1127" i="15"/>
  <c r="Z121" i="15"/>
  <c r="Z235" i="15"/>
  <c r="Z1089" i="15"/>
  <c r="Z1431" i="15"/>
  <c r="Z387" i="15"/>
  <c r="Z729" i="15"/>
  <c r="Z1412" i="15"/>
  <c r="Z331" i="15"/>
  <c r="Z26" i="15"/>
  <c r="Z424" i="15"/>
  <c r="Z45" i="15"/>
  <c r="Z292" i="15"/>
  <c r="Z1300" i="15"/>
  <c r="Z272" i="15"/>
  <c r="Z1203" i="15"/>
  <c r="Z652" i="15"/>
  <c r="Z1488" i="15"/>
  <c r="Z500" i="15"/>
  <c r="Z158" i="15"/>
  <c r="Z1298" i="15"/>
  <c r="Z1375" i="15"/>
  <c r="Z766" i="15"/>
  <c r="Z937" i="15"/>
  <c r="Z1108" i="15"/>
  <c r="Z728" i="15"/>
  <c r="Z310" i="15"/>
  <c r="Z956" i="15"/>
  <c r="Z386" i="15"/>
  <c r="Z406" i="15"/>
  <c r="Z330" i="15"/>
  <c r="Z178" i="15"/>
  <c r="Z197" i="15"/>
  <c r="AI575" i="15" l="1"/>
  <c r="Z576" i="15"/>
  <c r="AG576" i="15"/>
  <c r="AH576" i="15"/>
  <c r="AH575" i="15"/>
  <c r="AG575" i="15"/>
  <c r="AH331" i="15"/>
  <c r="AI331" i="15"/>
  <c r="Z179" i="15"/>
  <c r="AI7" i="15"/>
  <c r="AH7" i="15"/>
  <c r="AG7" i="15"/>
  <c r="Z7" i="15"/>
  <c r="AI255" i="15"/>
  <c r="AH443" i="15"/>
  <c r="AG443" i="15"/>
  <c r="Z443" i="15"/>
  <c r="AI443" i="15"/>
  <c r="Z407" i="15"/>
  <c r="AG331" i="15"/>
  <c r="AG844" i="15"/>
  <c r="Z519" i="15"/>
  <c r="AI519" i="15"/>
  <c r="AH519" i="15"/>
  <c r="AG519" i="15"/>
  <c r="Z1374" i="15"/>
  <c r="AI1374" i="15"/>
  <c r="AH1374" i="15"/>
  <c r="AG1374" i="15"/>
  <c r="Z255" i="15"/>
  <c r="AG255" i="15"/>
  <c r="AH255" i="15"/>
  <c r="Z1090" i="15"/>
  <c r="AI82" i="15"/>
  <c r="AH82" i="15"/>
  <c r="AG82" i="15"/>
  <c r="AI8" i="15"/>
  <c r="AH8" i="15"/>
  <c r="AG8" i="15"/>
  <c r="AI64" i="15"/>
  <c r="AH64" i="15"/>
  <c r="AG64" i="15"/>
  <c r="AI350" i="15"/>
  <c r="AH350" i="15"/>
  <c r="AG350" i="15"/>
  <c r="AI351" i="15"/>
  <c r="AH351" i="15"/>
  <c r="AG351" i="15"/>
  <c r="AI520" i="15"/>
  <c r="AH520" i="15"/>
  <c r="AG520" i="15"/>
  <c r="AI159" i="15"/>
  <c r="AH159" i="15"/>
  <c r="AG159" i="15"/>
  <c r="AI824" i="15"/>
  <c r="AH824" i="15"/>
  <c r="AG824" i="15"/>
  <c r="AI1432" i="15"/>
  <c r="AH1432" i="15"/>
  <c r="AG1432" i="15"/>
  <c r="AI1318" i="15"/>
  <c r="AH1318" i="15"/>
  <c r="AG1318" i="15"/>
  <c r="AI730" i="15"/>
  <c r="AH730" i="15"/>
  <c r="AG730" i="15"/>
  <c r="AI1110" i="15"/>
  <c r="AH1110" i="15"/>
  <c r="AG1110" i="15"/>
  <c r="AI692" i="15"/>
  <c r="AH692" i="15"/>
  <c r="AG692" i="15"/>
  <c r="AI1147" i="15"/>
  <c r="AH1147" i="15"/>
  <c r="AG1147" i="15"/>
  <c r="AI786" i="15"/>
  <c r="AH786" i="15"/>
  <c r="AG786" i="15"/>
  <c r="AI482" i="15"/>
  <c r="AH482" i="15"/>
  <c r="AG482" i="15"/>
  <c r="AI1261" i="15"/>
  <c r="AH1261" i="15"/>
  <c r="AG1261" i="15"/>
  <c r="AI1338" i="15"/>
  <c r="AH1338" i="15"/>
  <c r="AG1338" i="15"/>
  <c r="AI1242" i="15"/>
  <c r="AH1242" i="15"/>
  <c r="AG1242" i="15"/>
  <c r="AI1033" i="15"/>
  <c r="AH1033" i="15"/>
  <c r="AG1033" i="15"/>
  <c r="AI996" i="15"/>
  <c r="AH996" i="15"/>
  <c r="AG996" i="15"/>
  <c r="AI1052" i="15"/>
  <c r="AH1052" i="15"/>
  <c r="AG1052" i="15"/>
  <c r="AI1394" i="15"/>
  <c r="AH1394" i="15"/>
  <c r="AG1394" i="15"/>
  <c r="AI1243" i="15"/>
  <c r="AH1243" i="15"/>
  <c r="AG1243" i="15"/>
  <c r="AI1185" i="15"/>
  <c r="AH1185" i="15"/>
  <c r="AG1185" i="15"/>
  <c r="AI1356" i="15"/>
  <c r="AH1356" i="15"/>
  <c r="AG1356" i="15"/>
  <c r="AI710" i="15"/>
  <c r="AH710" i="15"/>
  <c r="AG710" i="15"/>
  <c r="AI425" i="15"/>
  <c r="AH425" i="15"/>
  <c r="AG425" i="15"/>
  <c r="AI900" i="15"/>
  <c r="AH900" i="15"/>
  <c r="AG900" i="15"/>
  <c r="AI919" i="15"/>
  <c r="AH919" i="15"/>
  <c r="AG919" i="15"/>
  <c r="AI1489" i="15"/>
  <c r="AH1489" i="15"/>
  <c r="AG1489" i="15"/>
  <c r="AI1204" i="15"/>
  <c r="AH1204" i="15"/>
  <c r="AG1204" i="15"/>
  <c r="AI1280" i="15"/>
  <c r="AH1280" i="15"/>
  <c r="AG1280" i="15"/>
  <c r="AI1299" i="15"/>
  <c r="AH1299" i="15"/>
  <c r="AG1299" i="15"/>
  <c r="AI748" i="15"/>
  <c r="AH748" i="15"/>
  <c r="AG748" i="15"/>
  <c r="AI46" i="15"/>
  <c r="AH46" i="15"/>
  <c r="AG46" i="15"/>
  <c r="AI141" i="15"/>
  <c r="AH141" i="15"/>
  <c r="AG141" i="15"/>
  <c r="AI1223" i="15"/>
  <c r="AH1223" i="15"/>
  <c r="AG1223" i="15"/>
  <c r="AI1128" i="15"/>
  <c r="AH1128" i="15"/>
  <c r="AG1128" i="15"/>
  <c r="AI615" i="15"/>
  <c r="AH615" i="15"/>
  <c r="AG615" i="15"/>
  <c r="AI444" i="15"/>
  <c r="AH444" i="15"/>
  <c r="AG444" i="15"/>
  <c r="AI1167" i="15"/>
  <c r="AH1167" i="15"/>
  <c r="AG1167" i="15"/>
  <c r="AI368" i="15"/>
  <c r="AH368" i="15"/>
  <c r="AG368" i="15"/>
  <c r="AI653" i="15"/>
  <c r="AH653" i="15"/>
  <c r="AG653" i="15"/>
  <c r="AI787" i="15"/>
  <c r="AH787" i="15"/>
  <c r="AG787" i="15"/>
  <c r="AI1186" i="15"/>
  <c r="AH1186" i="15"/>
  <c r="AG1186" i="15"/>
  <c r="AI1281" i="15"/>
  <c r="AH1281" i="15"/>
  <c r="AG1281" i="15"/>
  <c r="AI1413" i="15"/>
  <c r="AH1413" i="15"/>
  <c r="AG1413" i="15"/>
  <c r="AI122" i="15"/>
  <c r="AH122" i="15"/>
  <c r="AG122" i="15"/>
  <c r="AI27" i="15"/>
  <c r="AH27" i="15"/>
  <c r="AG27" i="15"/>
  <c r="AI882" i="15"/>
  <c r="AH882" i="15"/>
  <c r="AG882" i="15"/>
  <c r="AI1053" i="15"/>
  <c r="AH1053" i="15"/>
  <c r="AG1053" i="15"/>
  <c r="AI160" i="15"/>
  <c r="AH160" i="15"/>
  <c r="AG160" i="15"/>
  <c r="AI1337" i="15"/>
  <c r="AH1337" i="15"/>
  <c r="AG1337" i="15"/>
  <c r="AI1224" i="15"/>
  <c r="AH1224" i="15"/>
  <c r="AG1224" i="15"/>
  <c r="AI216" i="15"/>
  <c r="AG216" i="15"/>
  <c r="AH216" i="15"/>
  <c r="AI1357" i="15"/>
  <c r="AH1357" i="15"/>
  <c r="AG1357" i="15"/>
  <c r="AI1471" i="15"/>
  <c r="AH1471" i="15"/>
  <c r="AG1471" i="15"/>
  <c r="AI938" i="15"/>
  <c r="AH938" i="15"/>
  <c r="AG938" i="15"/>
  <c r="AI1470" i="15"/>
  <c r="AH1470" i="15"/>
  <c r="AG1470" i="15"/>
  <c r="AI862" i="15"/>
  <c r="AH862" i="15"/>
  <c r="AG862" i="15"/>
  <c r="AI596" i="15"/>
  <c r="AH596" i="15"/>
  <c r="AG596" i="15"/>
  <c r="AI217" i="15"/>
  <c r="AH217" i="15"/>
  <c r="AG217" i="15"/>
  <c r="AI881" i="15"/>
  <c r="AH881" i="15"/>
  <c r="AG881" i="15"/>
  <c r="AI274" i="15"/>
  <c r="AH274" i="15"/>
  <c r="AG274" i="15"/>
  <c r="AI976" i="15"/>
  <c r="AH976" i="15"/>
  <c r="AG976" i="15"/>
  <c r="AI958" i="15"/>
  <c r="AH958" i="15"/>
  <c r="AG958" i="15"/>
  <c r="AI1071" i="15"/>
  <c r="AH1071" i="15"/>
  <c r="AG1071" i="15"/>
  <c r="AI1395" i="15"/>
  <c r="AG1395" i="15"/>
  <c r="AH1395" i="15"/>
  <c r="AI558" i="15"/>
  <c r="AH558" i="15"/>
  <c r="AG558" i="15"/>
  <c r="AI691" i="15"/>
  <c r="AH691" i="15"/>
  <c r="AG691" i="15"/>
  <c r="AI957" i="15"/>
  <c r="AH957" i="15"/>
  <c r="AG957" i="15"/>
  <c r="AI1508" i="15"/>
  <c r="AH1508" i="15"/>
  <c r="AG1508" i="15"/>
  <c r="AI1319" i="15"/>
  <c r="AH1319" i="15"/>
  <c r="AG1319" i="15"/>
  <c r="AI672" i="15"/>
  <c r="AH672" i="15"/>
  <c r="AG672" i="15"/>
  <c r="AI84" i="15"/>
  <c r="AH84" i="15"/>
  <c r="AG84" i="15"/>
  <c r="AI1452" i="15"/>
  <c r="AH1452" i="15"/>
  <c r="AG1452" i="15"/>
  <c r="AI293" i="15"/>
  <c r="AH293" i="15"/>
  <c r="AG293" i="15"/>
  <c r="AI1166" i="15"/>
  <c r="AH1166" i="15"/>
  <c r="AG1166" i="15"/>
  <c r="AI1014" i="15"/>
  <c r="AH1014" i="15"/>
  <c r="AG1014" i="15"/>
  <c r="AI445" i="15"/>
  <c r="AH445" i="15"/>
  <c r="AG445" i="15"/>
  <c r="AI1300" i="15"/>
  <c r="AH1300" i="15"/>
  <c r="AG1300" i="15"/>
  <c r="AI843" i="15"/>
  <c r="AH843" i="15"/>
  <c r="AG843" i="15"/>
  <c r="AI577" i="15"/>
  <c r="AH577" i="15"/>
  <c r="AG577" i="15"/>
  <c r="AI464" i="15"/>
  <c r="AH464" i="15"/>
  <c r="AG464" i="15"/>
  <c r="AI805" i="15"/>
  <c r="AH805" i="15"/>
  <c r="AG805" i="15"/>
  <c r="AI995" i="15"/>
  <c r="AH995" i="15"/>
  <c r="AG995" i="15"/>
  <c r="AI614" i="15"/>
  <c r="AH614" i="15"/>
  <c r="AG614" i="15"/>
  <c r="AI1279" i="15"/>
  <c r="AH1279" i="15"/>
  <c r="AG1279" i="15"/>
  <c r="AI538" i="15"/>
  <c r="AH538" i="15"/>
  <c r="AG538" i="15"/>
  <c r="AI1507" i="15"/>
  <c r="AH1507" i="15"/>
  <c r="AG1507" i="15"/>
  <c r="AI234" i="15"/>
  <c r="AH234" i="15"/>
  <c r="AG234" i="15"/>
  <c r="AI1070" i="15"/>
  <c r="AH1070" i="15"/>
  <c r="AG1070" i="15"/>
  <c r="AI671" i="15"/>
  <c r="AH671" i="15"/>
  <c r="AG671" i="15"/>
  <c r="AI1013" i="15"/>
  <c r="AH1013" i="15"/>
  <c r="AG1013" i="15"/>
  <c r="AI975" i="15"/>
  <c r="AH975" i="15"/>
  <c r="AG975" i="15"/>
  <c r="AI179" i="15"/>
  <c r="AH179" i="15"/>
  <c r="AG179" i="15"/>
  <c r="AI1090" i="15"/>
  <c r="AH1090" i="15"/>
  <c r="AG1090" i="15"/>
  <c r="AI407" i="15"/>
  <c r="AH407" i="15"/>
  <c r="AG407" i="15"/>
  <c r="AI1032" i="15"/>
  <c r="AG1032" i="15"/>
  <c r="AH1032" i="15"/>
  <c r="AI1241" i="15"/>
  <c r="AH1241" i="15"/>
  <c r="AG1241" i="15"/>
  <c r="AI1051" i="15"/>
  <c r="AH1051" i="15"/>
  <c r="AG1051" i="15"/>
  <c r="AI215" i="15"/>
  <c r="AH215" i="15"/>
  <c r="AG215" i="15"/>
  <c r="Z1241" i="15"/>
  <c r="Z1051" i="15"/>
  <c r="Z1032" i="15"/>
  <c r="Z215" i="15"/>
  <c r="Z28" i="15"/>
  <c r="Z975" i="15"/>
  <c r="Z614" i="15"/>
  <c r="Z1507" i="15"/>
  <c r="Z1013" i="15"/>
  <c r="Z1279" i="15"/>
  <c r="Z671" i="15"/>
  <c r="Z82" i="15"/>
  <c r="Z234" i="15"/>
  <c r="Z538" i="15"/>
  <c r="Z1070" i="15"/>
  <c r="Z995" i="15"/>
  <c r="Z464" i="15"/>
  <c r="Z445" i="15"/>
  <c r="Z1338" i="15"/>
  <c r="Z1299" i="15"/>
  <c r="Z1281" i="15"/>
  <c r="Z882" i="15"/>
  <c r="Z958" i="15"/>
  <c r="Z1319" i="15"/>
  <c r="Z1110" i="15"/>
  <c r="Z1489" i="15"/>
  <c r="Z787" i="15"/>
  <c r="Z1053" i="15"/>
  <c r="Z1357" i="15"/>
  <c r="Z1204" i="15"/>
  <c r="Z653" i="15"/>
  <c r="Z122" i="15"/>
  <c r="Z730" i="15"/>
  <c r="Z1395" i="15"/>
  <c r="Z84" i="15"/>
  <c r="Z217" i="15"/>
  <c r="Z46" i="15"/>
  <c r="Z141" i="15"/>
  <c r="Z1167" i="15"/>
  <c r="Z1471" i="15"/>
  <c r="Z938" i="15"/>
  <c r="Z692" i="15"/>
  <c r="Z159" i="15"/>
  <c r="Z1186" i="15"/>
  <c r="Z1224" i="15"/>
  <c r="Z957" i="15"/>
  <c r="Z844" i="15"/>
  <c r="Z293" i="15"/>
  <c r="Z8" i="15"/>
  <c r="Z351" i="15"/>
  <c r="Z1243" i="15"/>
  <c r="Z27" i="15"/>
  <c r="Z160" i="15"/>
  <c r="Z274" i="15"/>
  <c r="Z577" i="15"/>
  <c r="Z1147" i="15"/>
  <c r="Z919" i="15"/>
  <c r="Z368" i="15"/>
  <c r="Z1358" i="15"/>
  <c r="Z1470" i="15"/>
  <c r="Z1452" i="15"/>
  <c r="Z1014" i="15"/>
  <c r="Z672" i="15"/>
  <c r="Z1318" i="15"/>
  <c r="Z824" i="15"/>
  <c r="Z1356" i="15"/>
  <c r="Z1413" i="15"/>
  <c r="Z691" i="15"/>
  <c r="Z805" i="15"/>
  <c r="Z1052" i="15"/>
  <c r="Z615" i="15"/>
  <c r="Z444" i="15"/>
  <c r="Z558" i="15"/>
  <c r="Z1166" i="15"/>
  <c r="Z1033" i="15"/>
  <c r="Z425" i="15"/>
  <c r="Z748" i="15"/>
  <c r="Z1223" i="15"/>
  <c r="Z1337" i="15"/>
  <c r="Z881" i="15"/>
  <c r="Z1071" i="15"/>
  <c r="Z520" i="15"/>
  <c r="Z482" i="15"/>
  <c r="Z1242" i="15"/>
  <c r="Z1394" i="15"/>
  <c r="Z900" i="15"/>
  <c r="Z1508" i="15"/>
  <c r="Z1432" i="15"/>
  <c r="Z1280" i="15"/>
  <c r="Z596" i="15"/>
  <c r="Z976" i="15"/>
  <c r="Z786" i="15"/>
  <c r="Z996" i="15"/>
  <c r="Z710" i="15"/>
  <c r="Z843" i="15"/>
  <c r="Z1128" i="15"/>
  <c r="Z1185" i="15"/>
  <c r="Z1261" i="15"/>
  <c r="Z216" i="15"/>
  <c r="Z862" i="15"/>
  <c r="Z350" i="15"/>
  <c r="Z64" i="15"/>
  <c r="Z85" i="15"/>
  <c r="AI844" i="15" l="1"/>
  <c r="AH844" i="15"/>
  <c r="Z634" i="15"/>
  <c r="AI634" i="15"/>
  <c r="AH634" i="15"/>
  <c r="AG634" i="15"/>
  <c r="AI295" i="15"/>
  <c r="AI65" i="15"/>
  <c r="AH65" i="15"/>
  <c r="AG65" i="15"/>
  <c r="AI10" i="15"/>
  <c r="AH10" i="15"/>
  <c r="AG10" i="15"/>
  <c r="AI9" i="15"/>
  <c r="AH9" i="15"/>
  <c r="AG9" i="15"/>
  <c r="AI333" i="15"/>
  <c r="AH333" i="15"/>
  <c r="AG333" i="15"/>
  <c r="AI332" i="15"/>
  <c r="AH332" i="15"/>
  <c r="AG332" i="15"/>
  <c r="AI180" i="15"/>
  <c r="AH180" i="15"/>
  <c r="AG180" i="15"/>
  <c r="AI388" i="15"/>
  <c r="AH388" i="15"/>
  <c r="AG388" i="15"/>
  <c r="AI352" i="15"/>
  <c r="AH352" i="15"/>
  <c r="AG352" i="15"/>
  <c r="AI389" i="15"/>
  <c r="AH389" i="15"/>
  <c r="AG389" i="15"/>
  <c r="AI1510" i="15"/>
  <c r="AH1510" i="15"/>
  <c r="AG1510" i="15"/>
  <c r="AI768" i="15"/>
  <c r="AH768" i="15"/>
  <c r="AG768" i="15"/>
  <c r="AI1148" i="15"/>
  <c r="AH1148" i="15"/>
  <c r="AG1148" i="15"/>
  <c r="AI446" i="15"/>
  <c r="AH446" i="15"/>
  <c r="AG446" i="15"/>
  <c r="AI977" i="15"/>
  <c r="AH977" i="15"/>
  <c r="AG977" i="15"/>
  <c r="AI142" i="15"/>
  <c r="AH142" i="15"/>
  <c r="AG142" i="15"/>
  <c r="AI1072" i="15"/>
  <c r="AH1072" i="15"/>
  <c r="AG1072" i="15"/>
  <c r="AI978" i="15"/>
  <c r="AH978" i="15"/>
  <c r="AG978" i="15"/>
  <c r="AI1453" i="15"/>
  <c r="AH1453" i="15"/>
  <c r="AG1453" i="15"/>
  <c r="AI806" i="15"/>
  <c r="AH806" i="15"/>
  <c r="AG806" i="15"/>
  <c r="AI1414" i="15"/>
  <c r="AH1414" i="15"/>
  <c r="AG1414" i="15"/>
  <c r="AI1092" i="15"/>
  <c r="AH1092" i="15"/>
  <c r="AG1092" i="15"/>
  <c r="AI616" i="15"/>
  <c r="AH616" i="15"/>
  <c r="AG616" i="15"/>
  <c r="AI711" i="15"/>
  <c r="AH711" i="15"/>
  <c r="AG711" i="15"/>
  <c r="AI654" i="15"/>
  <c r="AH654" i="15"/>
  <c r="AG654" i="15"/>
  <c r="AI521" i="15"/>
  <c r="AH521" i="15"/>
  <c r="AG521" i="15"/>
  <c r="AI597" i="15"/>
  <c r="AH597" i="15"/>
  <c r="AG597" i="15"/>
  <c r="AI559" i="15"/>
  <c r="AH559" i="15"/>
  <c r="AG559" i="15"/>
  <c r="AI294" i="15"/>
  <c r="AH294" i="15"/>
  <c r="AG294" i="15"/>
  <c r="AI541" i="15"/>
  <c r="AH541" i="15"/>
  <c r="AG541" i="15"/>
  <c r="AI123" i="15"/>
  <c r="AH123" i="15"/>
  <c r="AG123" i="15"/>
  <c r="AI940" i="15"/>
  <c r="AH940" i="15"/>
  <c r="AG940" i="15"/>
  <c r="AI939" i="15"/>
  <c r="AH939" i="15"/>
  <c r="AG939" i="15"/>
  <c r="AI579" i="15"/>
  <c r="AH579" i="15"/>
  <c r="AG579" i="15"/>
  <c r="AI465" i="15"/>
  <c r="AH465" i="15"/>
  <c r="AG465" i="15"/>
  <c r="AI578" i="15"/>
  <c r="AH578" i="15"/>
  <c r="AG578" i="15"/>
  <c r="AI47" i="15"/>
  <c r="AH47" i="15"/>
  <c r="AG47" i="15"/>
  <c r="AI749" i="15"/>
  <c r="AH749" i="15"/>
  <c r="AG749" i="15"/>
  <c r="AI825" i="15"/>
  <c r="AH825" i="15"/>
  <c r="AG825" i="15"/>
  <c r="AI1262" i="15"/>
  <c r="AH1262" i="15"/>
  <c r="AG1262" i="15"/>
  <c r="AI1339" i="15"/>
  <c r="AG1339" i="15"/>
  <c r="AH1339" i="15"/>
  <c r="AI1206" i="15"/>
  <c r="AG1206" i="15"/>
  <c r="AH1206" i="15"/>
  <c r="AI426" i="15"/>
  <c r="AH426" i="15"/>
  <c r="AG426" i="15"/>
  <c r="AI161" i="15"/>
  <c r="AH161" i="15"/>
  <c r="AG161" i="15"/>
  <c r="AI807" i="15"/>
  <c r="AH807" i="15"/>
  <c r="AG807" i="15"/>
  <c r="AI503" i="15"/>
  <c r="AH503" i="15"/>
  <c r="AG503" i="15"/>
  <c r="AI1490" i="15"/>
  <c r="AH1490" i="15"/>
  <c r="AG1490" i="15"/>
  <c r="AI1415" i="15"/>
  <c r="AH1415" i="15"/>
  <c r="AG1415" i="15"/>
  <c r="AI1015" i="15"/>
  <c r="AH1015" i="15"/>
  <c r="AG1015" i="15"/>
  <c r="AI750" i="15"/>
  <c r="AH750" i="15"/>
  <c r="AG750" i="15"/>
  <c r="AI1472" i="15"/>
  <c r="AH1472" i="15"/>
  <c r="AG1472" i="15"/>
  <c r="AI1454" i="15"/>
  <c r="AH1454" i="15"/>
  <c r="AG1454" i="15"/>
  <c r="AI1244" i="15"/>
  <c r="AH1244" i="15"/>
  <c r="AG1244" i="15"/>
  <c r="AI901" i="15"/>
  <c r="AH901" i="15"/>
  <c r="AG901" i="15"/>
  <c r="AI502" i="15"/>
  <c r="AH502" i="15"/>
  <c r="AG502" i="15"/>
  <c r="AI1187" i="15"/>
  <c r="AH1187" i="15"/>
  <c r="AG1187" i="15"/>
  <c r="AI959" i="15"/>
  <c r="AH959" i="15"/>
  <c r="AG959" i="15"/>
  <c r="AI1282" i="15"/>
  <c r="AH1282" i="15"/>
  <c r="AG1282" i="15"/>
  <c r="AI673" i="15"/>
  <c r="AH673" i="15"/>
  <c r="AG673" i="15"/>
  <c r="AI1509" i="15"/>
  <c r="AH1509" i="15"/>
  <c r="AG1509" i="15"/>
  <c r="AI693" i="15"/>
  <c r="AH693" i="15"/>
  <c r="AG693" i="15"/>
  <c r="AI370" i="15"/>
  <c r="AH370" i="15"/>
  <c r="AG370" i="15"/>
  <c r="AI1168" i="15"/>
  <c r="AH1168" i="15"/>
  <c r="AG1168" i="15"/>
  <c r="AI218" i="15"/>
  <c r="AH218" i="15"/>
  <c r="AG218" i="15"/>
  <c r="AI369" i="15"/>
  <c r="AH369" i="15"/>
  <c r="AG369" i="15"/>
  <c r="AI1376" i="15"/>
  <c r="AH1376" i="15"/>
  <c r="AG1376" i="15"/>
  <c r="AI1034" i="15"/>
  <c r="AH1034" i="15"/>
  <c r="AG1034" i="15"/>
  <c r="AI1433" i="15"/>
  <c r="AH1433" i="15"/>
  <c r="AG1433" i="15"/>
  <c r="AI1396" i="15"/>
  <c r="AH1396" i="15"/>
  <c r="AG1396" i="15"/>
  <c r="AI1358" i="15"/>
  <c r="AH1358" i="15"/>
  <c r="AG1358" i="15"/>
  <c r="AI483" i="15"/>
  <c r="AH483" i="15"/>
  <c r="AG483" i="15"/>
  <c r="AI312" i="15"/>
  <c r="AH312" i="15"/>
  <c r="AG312" i="15"/>
  <c r="AI1434" i="15"/>
  <c r="AH1434" i="15"/>
  <c r="AG1434" i="15"/>
  <c r="AI1073" i="15"/>
  <c r="AH1073" i="15"/>
  <c r="AG1073" i="15"/>
  <c r="AI921" i="15"/>
  <c r="AH921" i="15"/>
  <c r="AG921" i="15"/>
  <c r="AI1129" i="15"/>
  <c r="AH1129" i="15"/>
  <c r="AG1129" i="15"/>
  <c r="AI1205" i="15"/>
  <c r="AH1205" i="15"/>
  <c r="AG1205" i="15"/>
  <c r="AI1130" i="15"/>
  <c r="AH1130" i="15"/>
  <c r="AG1130" i="15"/>
  <c r="AI198" i="15"/>
  <c r="AH198" i="15"/>
  <c r="AG198" i="15"/>
  <c r="AI539" i="15"/>
  <c r="AH539" i="15"/>
  <c r="AG539" i="15"/>
  <c r="AI83" i="15"/>
  <c r="AH83" i="15"/>
  <c r="AG83" i="15"/>
  <c r="AI1109" i="15"/>
  <c r="AH1109" i="15"/>
  <c r="AG1109" i="15"/>
  <c r="AI85" i="15"/>
  <c r="AH85" i="15"/>
  <c r="AG85" i="15"/>
  <c r="AI28" i="15"/>
  <c r="AH28" i="15"/>
  <c r="AG28" i="15"/>
  <c r="AG540" i="15"/>
  <c r="Z539" i="15"/>
  <c r="Z1109" i="15"/>
  <c r="Z83" i="15"/>
  <c r="Z198" i="15"/>
  <c r="Z65" i="15"/>
  <c r="Z389" i="15"/>
  <c r="Z978" i="15"/>
  <c r="Z333" i="15"/>
  <c r="Z1414" i="15"/>
  <c r="Z825" i="15"/>
  <c r="Z901" i="15"/>
  <c r="Z1187" i="15"/>
  <c r="Z1433" i="15"/>
  <c r="Z483" i="15"/>
  <c r="Z921" i="15"/>
  <c r="Z352" i="15"/>
  <c r="Z977" i="15"/>
  <c r="Z294" i="15"/>
  <c r="Z1262" i="15"/>
  <c r="Z807" i="15"/>
  <c r="Z1244" i="15"/>
  <c r="Z1129" i="15"/>
  <c r="Z446" i="15"/>
  <c r="Z1092" i="15"/>
  <c r="Z1472" i="15"/>
  <c r="Z673" i="15"/>
  <c r="Z370" i="15"/>
  <c r="Z1130" i="15"/>
  <c r="Z1510" i="15"/>
  <c r="Z559" i="15"/>
  <c r="Z1396" i="15"/>
  <c r="Z1453" i="15"/>
  <c r="Z616" i="15"/>
  <c r="Z123" i="15"/>
  <c r="Z47" i="15"/>
  <c r="Z503" i="15"/>
  <c r="Z1509" i="15"/>
  <c r="Z1168" i="15"/>
  <c r="Z218" i="15"/>
  <c r="Z1148" i="15"/>
  <c r="Z10" i="15"/>
  <c r="Z1072" i="15"/>
  <c r="Z597" i="15"/>
  <c r="Z1490" i="15"/>
  <c r="Z1015" i="15"/>
  <c r="Z1073" i="15"/>
  <c r="Z142" i="15"/>
  <c r="Z711" i="15"/>
  <c r="Z541" i="15"/>
  <c r="Z579" i="15"/>
  <c r="Z465" i="15"/>
  <c r="Z750" i="15"/>
  <c r="Z959" i="15"/>
  <c r="Z369" i="15"/>
  <c r="Z1034" i="15"/>
  <c r="Z1434" i="15"/>
  <c r="Z1205" i="15"/>
  <c r="Z940" i="15"/>
  <c r="Z1206" i="15"/>
  <c r="Z161" i="15"/>
  <c r="Z1415" i="15"/>
  <c r="Z1454" i="15"/>
  <c r="Z693" i="15"/>
  <c r="Z578" i="15"/>
  <c r="Z749" i="15"/>
  <c r="Z426" i="15"/>
  <c r="Z1282" i="15"/>
  <c r="Z939" i="15"/>
  <c r="Z521" i="15"/>
  <c r="Z768" i="15"/>
  <c r="Z1339" i="15"/>
  <c r="Z806" i="15"/>
  <c r="Z654" i="15"/>
  <c r="Z312" i="15"/>
  <c r="Z1376" i="15"/>
  <c r="Z502" i="15"/>
  <c r="Z388" i="15"/>
  <c r="Z9" i="15"/>
  <c r="Z180" i="15"/>
  <c r="Z295" i="15"/>
  <c r="Z332" i="15"/>
  <c r="Z29" i="15" l="1"/>
  <c r="Z542" i="15"/>
  <c r="AI256" i="15"/>
  <c r="AH540" i="15"/>
  <c r="AG295" i="15"/>
  <c r="AH295" i="15"/>
  <c r="Z256" i="15"/>
  <c r="AI540" i="15"/>
  <c r="AG256" i="15"/>
  <c r="AH256" i="15"/>
  <c r="AI66" i="15"/>
  <c r="AH66" i="15"/>
  <c r="AG66" i="15"/>
  <c r="AI11" i="15"/>
  <c r="AH11" i="15"/>
  <c r="AG11" i="15"/>
  <c r="AI67" i="15"/>
  <c r="AH67" i="15"/>
  <c r="AG67" i="15"/>
  <c r="AI334" i="15"/>
  <c r="AH334" i="15"/>
  <c r="AG334" i="15"/>
  <c r="AI353" i="15"/>
  <c r="AH353" i="15"/>
  <c r="AG353" i="15"/>
  <c r="AI390" i="15"/>
  <c r="AH390" i="15"/>
  <c r="AG390" i="15"/>
  <c r="AI1378" i="15"/>
  <c r="AH1378" i="15"/>
  <c r="AG1378" i="15"/>
  <c r="AI1416" i="15"/>
  <c r="AH1416" i="15"/>
  <c r="AG1416" i="15"/>
  <c r="AI1111" i="15"/>
  <c r="AH1111" i="15"/>
  <c r="AG1111" i="15"/>
  <c r="AI1112" i="15"/>
  <c r="AH1112" i="15"/>
  <c r="AG1112" i="15"/>
  <c r="AI1149" i="15"/>
  <c r="AH1149" i="15"/>
  <c r="AG1149" i="15"/>
  <c r="AI484" i="15"/>
  <c r="AH484" i="15"/>
  <c r="AG484" i="15"/>
  <c r="AI276" i="15"/>
  <c r="AH276" i="15"/>
  <c r="AG276" i="15"/>
  <c r="AI674" i="15"/>
  <c r="AH674" i="15"/>
  <c r="AG674" i="15"/>
  <c r="AI560" i="15"/>
  <c r="AH560" i="15"/>
  <c r="AG560" i="15"/>
  <c r="AI1131" i="15"/>
  <c r="AH1131" i="15"/>
  <c r="AG1131" i="15"/>
  <c r="AI1207" i="15"/>
  <c r="AH1207" i="15"/>
  <c r="AG1207" i="15"/>
  <c r="AI675" i="15"/>
  <c r="AH675" i="15"/>
  <c r="AG675" i="15"/>
  <c r="AI979" i="15"/>
  <c r="AH979" i="15"/>
  <c r="AG979" i="15"/>
  <c r="AI1263" i="15"/>
  <c r="AH1263" i="15"/>
  <c r="AG1263" i="15"/>
  <c r="AI1016" i="15"/>
  <c r="AG1016" i="15"/>
  <c r="AH1016" i="15"/>
  <c r="AI1225" i="15"/>
  <c r="AH1225" i="15"/>
  <c r="AG1225" i="15"/>
  <c r="AI428" i="15"/>
  <c r="AH428" i="15"/>
  <c r="AG428" i="15"/>
  <c r="AI1320" i="15"/>
  <c r="AH1320" i="15"/>
  <c r="AG1320" i="15"/>
  <c r="AI826" i="15"/>
  <c r="AH826" i="15"/>
  <c r="AG826" i="15"/>
  <c r="AI1150" i="15"/>
  <c r="AH1150" i="15"/>
  <c r="AG1150" i="15"/>
  <c r="AI1055" i="15"/>
  <c r="AH1055" i="15"/>
  <c r="AG1055" i="15"/>
  <c r="AI427" i="15"/>
  <c r="AH427" i="15"/>
  <c r="AG427" i="15"/>
  <c r="AI788" i="15"/>
  <c r="AH788" i="15"/>
  <c r="AG788" i="15"/>
  <c r="AI712" i="15"/>
  <c r="AH712" i="15"/>
  <c r="AG712" i="15"/>
  <c r="AI124" i="15"/>
  <c r="AH124" i="15"/>
  <c r="AG124" i="15"/>
  <c r="AI48" i="15"/>
  <c r="AH48" i="15"/>
  <c r="AG48" i="15"/>
  <c r="AI731" i="15"/>
  <c r="AH731" i="15"/>
  <c r="AG731" i="15"/>
  <c r="AI827" i="15"/>
  <c r="AH827" i="15"/>
  <c r="AG827" i="15"/>
  <c r="AI1377" i="15"/>
  <c r="AH1377" i="15"/>
  <c r="AG1377" i="15"/>
  <c r="AI883" i="15"/>
  <c r="AH883" i="15"/>
  <c r="AG883" i="15"/>
  <c r="AI1226" i="15"/>
  <c r="AH1226" i="15"/>
  <c r="AG1226" i="15"/>
  <c r="AI599" i="15"/>
  <c r="AH599" i="15"/>
  <c r="AG599" i="15"/>
  <c r="AI86" i="15"/>
  <c r="AH86" i="15"/>
  <c r="AG86" i="15"/>
  <c r="AI770" i="15"/>
  <c r="AH770" i="15"/>
  <c r="AG770" i="15"/>
  <c r="AI1511" i="15"/>
  <c r="AH1511" i="15"/>
  <c r="AG1511" i="15"/>
  <c r="AI941" i="15"/>
  <c r="AH941" i="15"/>
  <c r="AG941" i="15"/>
  <c r="AI884" i="15"/>
  <c r="AH884" i="15"/>
  <c r="AG884" i="15"/>
  <c r="AI902" i="15"/>
  <c r="AH902" i="15"/>
  <c r="AG902" i="15"/>
  <c r="AI769" i="15"/>
  <c r="AH769" i="15"/>
  <c r="AG769" i="15"/>
  <c r="AI580" i="15"/>
  <c r="AH580" i="15"/>
  <c r="AG580" i="15"/>
  <c r="AI617" i="15"/>
  <c r="AH617" i="15"/>
  <c r="AG617" i="15"/>
  <c r="AI1054" i="15"/>
  <c r="AH1054" i="15"/>
  <c r="AG1054" i="15"/>
  <c r="AI314" i="15"/>
  <c r="AH314" i="15"/>
  <c r="AG314" i="15"/>
  <c r="AI1035" i="15"/>
  <c r="AH1035" i="15"/>
  <c r="AG1035" i="15"/>
  <c r="AI1301" i="15"/>
  <c r="AH1301" i="15"/>
  <c r="AG1301" i="15"/>
  <c r="AI143" i="15"/>
  <c r="AH143" i="15"/>
  <c r="AG143" i="15"/>
  <c r="AI903" i="15"/>
  <c r="AH903" i="15"/>
  <c r="AG903" i="15"/>
  <c r="AI1245" i="15"/>
  <c r="AH1245" i="15"/>
  <c r="AG1245" i="15"/>
  <c r="AI598" i="15"/>
  <c r="AH598" i="15"/>
  <c r="AG598" i="15"/>
  <c r="AI275" i="15"/>
  <c r="AH275" i="15"/>
  <c r="AG275" i="15"/>
  <c r="AI998" i="15"/>
  <c r="AH998" i="15"/>
  <c r="AG998" i="15"/>
  <c r="AI656" i="15"/>
  <c r="AH656" i="15"/>
  <c r="AG656" i="15"/>
  <c r="AI1491" i="15"/>
  <c r="AG1491" i="15"/>
  <c r="AH1491" i="15"/>
  <c r="AI238" i="15"/>
  <c r="AH238" i="15"/>
  <c r="AG238" i="15"/>
  <c r="AI408" i="15"/>
  <c r="AH408" i="15"/>
  <c r="AG408" i="15"/>
  <c r="AI199" i="15"/>
  <c r="AH199" i="15"/>
  <c r="AG199" i="15"/>
  <c r="AI863" i="15"/>
  <c r="AH863" i="15"/>
  <c r="AG863" i="15"/>
  <c r="AI542" i="15"/>
  <c r="AH542" i="15"/>
  <c r="AG542" i="15"/>
  <c r="AI236" i="15"/>
  <c r="AH236" i="15"/>
  <c r="AG236" i="15"/>
  <c r="AI920" i="15"/>
  <c r="AH920" i="15"/>
  <c r="AG920" i="15"/>
  <c r="AI29" i="15"/>
  <c r="AH29" i="15"/>
  <c r="AG29" i="15"/>
  <c r="AI1091" i="15"/>
  <c r="AH1091" i="15"/>
  <c r="AG1091" i="15"/>
  <c r="AI103" i="15"/>
  <c r="AH103" i="15"/>
  <c r="AG103" i="15"/>
  <c r="AI635" i="15"/>
  <c r="AH635" i="15"/>
  <c r="AG635" i="15"/>
  <c r="AI997" i="15"/>
  <c r="AH997" i="15"/>
  <c r="AG997" i="15"/>
  <c r="Z1091" i="15"/>
  <c r="Z635" i="15"/>
  <c r="Z103" i="15"/>
  <c r="Z997" i="15"/>
  <c r="Z540" i="15"/>
  <c r="Z236" i="15"/>
  <c r="Z920" i="15"/>
  <c r="Z863" i="15"/>
  <c r="Z199" i="15"/>
  <c r="Z408" i="15"/>
  <c r="Z617" i="15"/>
  <c r="Z979" i="15"/>
  <c r="Z827" i="15"/>
  <c r="Z599" i="15"/>
  <c r="Z314" i="15"/>
  <c r="Z11" i="15"/>
  <c r="Z1112" i="15"/>
  <c r="Z428" i="15"/>
  <c r="Z427" i="15"/>
  <c r="Z1377" i="15"/>
  <c r="Z941" i="15"/>
  <c r="Z143" i="15"/>
  <c r="Z238" i="15"/>
  <c r="Z334" i="15"/>
  <c r="Z67" i="15"/>
  <c r="Z675" i="15"/>
  <c r="Z124" i="15"/>
  <c r="Z1226" i="15"/>
  <c r="Z903" i="15"/>
  <c r="Z1150" i="15"/>
  <c r="Z48" i="15"/>
  <c r="Z884" i="15"/>
  <c r="Z1416" i="15"/>
  <c r="Z390" i="15"/>
  <c r="Z769" i="15"/>
  <c r="Z86" i="15"/>
  <c r="Z770" i="15"/>
  <c r="Z1378" i="15"/>
  <c r="Z276" i="15"/>
  <c r="Z674" i="15"/>
  <c r="Z1207" i="15"/>
  <c r="Z1055" i="15"/>
  <c r="Z1511" i="15"/>
  <c r="Z656" i="15"/>
  <c r="Z1491" i="15"/>
  <c r="Z1016" i="15"/>
  <c r="Z1149" i="15"/>
  <c r="Z1131" i="15"/>
  <c r="Z788" i="15"/>
  <c r="Z580" i="15"/>
  <c r="Z1301" i="15"/>
  <c r="Z560" i="15"/>
  <c r="Z883" i="15"/>
  <c r="Z598" i="15"/>
  <c r="Z275" i="15"/>
  <c r="Z484" i="15"/>
  <c r="Z731" i="15"/>
  <c r="Z902" i="15"/>
  <c r="Z1054" i="15"/>
  <c r="Z1111" i="15"/>
  <c r="Z1225" i="15"/>
  <c r="Z1263" i="15"/>
  <c r="Z1035" i="15"/>
  <c r="Z1245" i="15"/>
  <c r="Z1320" i="15"/>
  <c r="Z712" i="15"/>
  <c r="Z998" i="15"/>
  <c r="Z353" i="15"/>
  <c r="Z826" i="15"/>
  <c r="Z66" i="15"/>
  <c r="Z87" i="15"/>
  <c r="AI87" i="15" l="1"/>
  <c r="AI845" i="15"/>
  <c r="AH845" i="15"/>
  <c r="AG845" i="15"/>
  <c r="Z845" i="15"/>
  <c r="AG87" i="15"/>
  <c r="AH87" i="15"/>
  <c r="AH392" i="15"/>
  <c r="AI104" i="15"/>
  <c r="AG104" i="15"/>
  <c r="AH104" i="15"/>
  <c r="AI68" i="15"/>
  <c r="AH68" i="15"/>
  <c r="AG68" i="15"/>
  <c r="AI12" i="15"/>
  <c r="AH12" i="15"/>
  <c r="AG12" i="15"/>
  <c r="AI392" i="15"/>
  <c r="AI544" i="15"/>
  <c r="AH544" i="15"/>
  <c r="AG544" i="15"/>
  <c r="AI354" i="15"/>
  <c r="AH354" i="15"/>
  <c r="AG354" i="15"/>
  <c r="AI1208" i="15"/>
  <c r="AH1208" i="15"/>
  <c r="AG1208" i="15"/>
  <c r="AI505" i="15"/>
  <c r="AH505" i="15"/>
  <c r="AG505" i="15"/>
  <c r="AI1340" i="15"/>
  <c r="AH1340" i="15"/>
  <c r="AG1340" i="15"/>
  <c r="AI1321" i="15"/>
  <c r="AH1321" i="15"/>
  <c r="AG1321" i="15"/>
  <c r="AI1169" i="15"/>
  <c r="AH1169" i="15"/>
  <c r="AG1169" i="15"/>
  <c r="AI1455" i="15"/>
  <c r="AH1455" i="15"/>
  <c r="AG1455" i="15"/>
  <c r="AI1037" i="15"/>
  <c r="AH1037" i="15"/>
  <c r="AG1037" i="15"/>
  <c r="AI144" i="15"/>
  <c r="AH144" i="15"/>
  <c r="AG144" i="15"/>
  <c r="AI504" i="15"/>
  <c r="AH504" i="15"/>
  <c r="AG504" i="15"/>
  <c r="AI694" i="15"/>
  <c r="AH694" i="15"/>
  <c r="AG694" i="15"/>
  <c r="AI466" i="15"/>
  <c r="AH466" i="15"/>
  <c r="AG466" i="15"/>
  <c r="AI1302" i="15"/>
  <c r="AH1302" i="15"/>
  <c r="AG1302" i="15"/>
  <c r="AI162" i="15"/>
  <c r="AH162" i="15"/>
  <c r="AG162" i="15"/>
  <c r="AI485" i="15"/>
  <c r="AH485" i="15"/>
  <c r="AG485" i="15"/>
  <c r="AI808" i="15"/>
  <c r="AH808" i="15"/>
  <c r="AG808" i="15"/>
  <c r="AI1493" i="15"/>
  <c r="AH1493" i="15"/>
  <c r="AG1493" i="15"/>
  <c r="AI751" i="15"/>
  <c r="AH751" i="15"/>
  <c r="AG751" i="15"/>
  <c r="AI1036" i="15"/>
  <c r="AH1036" i="15"/>
  <c r="AG1036" i="15"/>
  <c r="AI1283" i="15"/>
  <c r="AH1283" i="15"/>
  <c r="AG1283" i="15"/>
  <c r="AI1397" i="15"/>
  <c r="AH1397" i="15"/>
  <c r="AG1397" i="15"/>
  <c r="AI523" i="15"/>
  <c r="AH523" i="15"/>
  <c r="AG523" i="15"/>
  <c r="AI923" i="15"/>
  <c r="AH923" i="15"/>
  <c r="AG923" i="15"/>
  <c r="AI561" i="15"/>
  <c r="AH561" i="15"/>
  <c r="AG561" i="15"/>
  <c r="AI732" i="15"/>
  <c r="AH732" i="15"/>
  <c r="AG732" i="15"/>
  <c r="AI467" i="15"/>
  <c r="AH467" i="15"/>
  <c r="AG467" i="15"/>
  <c r="AI713" i="15"/>
  <c r="AH713" i="15"/>
  <c r="AG713" i="15"/>
  <c r="AI277" i="15"/>
  <c r="AH277" i="15"/>
  <c r="AG277" i="15"/>
  <c r="AI846" i="15"/>
  <c r="AH846" i="15"/>
  <c r="AG846" i="15"/>
  <c r="AI619" i="15"/>
  <c r="AH619" i="15"/>
  <c r="AG619" i="15"/>
  <c r="AI922" i="15"/>
  <c r="AH922" i="15"/>
  <c r="AG922" i="15"/>
  <c r="AI961" i="15"/>
  <c r="AH961" i="15"/>
  <c r="AG961" i="15"/>
  <c r="AI1151" i="15"/>
  <c r="AH1151" i="15"/>
  <c r="AG1151" i="15"/>
  <c r="AI1303" i="15"/>
  <c r="AH1303" i="15"/>
  <c r="AG1303" i="15"/>
  <c r="AI1074" i="15"/>
  <c r="AH1074" i="15"/>
  <c r="AG1074" i="15"/>
  <c r="AI904" i="15"/>
  <c r="AH904" i="15"/>
  <c r="AG904" i="15"/>
  <c r="AI1322" i="15"/>
  <c r="AH1322" i="15"/>
  <c r="AG1322" i="15"/>
  <c r="AI296" i="15"/>
  <c r="AH296" i="15"/>
  <c r="AG296" i="15"/>
  <c r="AI657" i="15"/>
  <c r="AH657" i="15"/>
  <c r="AG657" i="15"/>
  <c r="AI865" i="15"/>
  <c r="AH865" i="15"/>
  <c r="AG865" i="15"/>
  <c r="AI49" i="15"/>
  <c r="AH49" i="15"/>
  <c r="AG49" i="15"/>
  <c r="AI30" i="15"/>
  <c r="AH30" i="15"/>
  <c r="AG30" i="15"/>
  <c r="AI1113" i="15"/>
  <c r="AH1113" i="15"/>
  <c r="AG1113" i="15"/>
  <c r="AI1264" i="15"/>
  <c r="AH1264" i="15"/>
  <c r="AG1264" i="15"/>
  <c r="AI1056" i="15"/>
  <c r="AH1056" i="15"/>
  <c r="AG1056" i="15"/>
  <c r="AI618" i="15"/>
  <c r="AH618" i="15"/>
  <c r="AG618" i="15"/>
  <c r="AI371" i="15"/>
  <c r="AH371" i="15"/>
  <c r="AG371" i="15"/>
  <c r="AI1435" i="15"/>
  <c r="AG1435" i="15"/>
  <c r="AH1435" i="15"/>
  <c r="AI1017" i="15"/>
  <c r="AH1017" i="15"/>
  <c r="AG1017" i="15"/>
  <c r="AI447" i="15"/>
  <c r="AH447" i="15"/>
  <c r="AG447" i="15"/>
  <c r="AI581" i="15"/>
  <c r="AH581" i="15"/>
  <c r="AG581" i="15"/>
  <c r="AI219" i="15"/>
  <c r="AH219" i="15"/>
  <c r="AG219" i="15"/>
  <c r="AI695" i="15"/>
  <c r="AH695" i="15"/>
  <c r="AG695" i="15"/>
  <c r="AI1473" i="15"/>
  <c r="AH1473" i="15"/>
  <c r="AG1473" i="15"/>
  <c r="AI486" i="15"/>
  <c r="AH486" i="15"/>
  <c r="AG486" i="15"/>
  <c r="AI1360" i="15"/>
  <c r="AH1360" i="15"/>
  <c r="AG1360" i="15"/>
  <c r="AI1492" i="15"/>
  <c r="AH1492" i="15"/>
  <c r="AG1492" i="15"/>
  <c r="AI543" i="15"/>
  <c r="AH543" i="15"/>
  <c r="AG543" i="15"/>
  <c r="AI125" i="15"/>
  <c r="AH125" i="15"/>
  <c r="AG125" i="15"/>
  <c r="AI752" i="15"/>
  <c r="AH752" i="15"/>
  <c r="AG752" i="15"/>
  <c r="AI885" i="15"/>
  <c r="AH885" i="15"/>
  <c r="AG885" i="15"/>
  <c r="AI789" i="15"/>
  <c r="AH789" i="15"/>
  <c r="AG789" i="15"/>
  <c r="AI1456" i="15"/>
  <c r="AH1456" i="15"/>
  <c r="AG1456" i="15"/>
  <c r="AI960" i="15"/>
  <c r="AH960" i="15"/>
  <c r="AG960" i="15"/>
  <c r="AI1359" i="15"/>
  <c r="AH1359" i="15"/>
  <c r="AG1359" i="15"/>
  <c r="AI809" i="15"/>
  <c r="AH809" i="15"/>
  <c r="AG809" i="15"/>
  <c r="AI1188" i="15"/>
  <c r="AH1188" i="15"/>
  <c r="AG1188" i="15"/>
  <c r="AI637" i="15"/>
  <c r="AH637" i="15"/>
  <c r="AG637" i="15"/>
  <c r="AI313" i="15"/>
  <c r="AH313" i="15"/>
  <c r="AG313" i="15"/>
  <c r="AI237" i="15"/>
  <c r="AH237" i="15"/>
  <c r="AG237" i="15"/>
  <c r="AI522" i="15"/>
  <c r="AH522" i="15"/>
  <c r="AG522" i="15"/>
  <c r="AI864" i="15"/>
  <c r="AH864" i="15"/>
  <c r="AG864" i="15"/>
  <c r="AI655" i="15"/>
  <c r="AH655" i="15"/>
  <c r="AG655" i="15"/>
  <c r="AI636" i="15"/>
  <c r="AH636" i="15"/>
  <c r="AG636" i="15"/>
  <c r="Z636" i="15"/>
  <c r="Z809" i="15"/>
  <c r="Z237" i="15"/>
  <c r="Z313" i="15"/>
  <c r="Z522" i="15"/>
  <c r="Z655" i="15"/>
  <c r="Z864" i="15"/>
  <c r="AI200" i="15"/>
  <c r="Z104" i="15"/>
  <c r="Z637" i="15"/>
  <c r="Z885" i="15"/>
  <c r="Z1113" i="15"/>
  <c r="Z1264" i="15"/>
  <c r="Z505" i="15"/>
  <c r="Z144" i="15"/>
  <c r="Z619" i="15"/>
  <c r="Z904" i="15"/>
  <c r="Z296" i="15"/>
  <c r="Z1302" i="15"/>
  <c r="Z657" i="15"/>
  <c r="Z486" i="15"/>
  <c r="Z1321" i="15"/>
  <c r="Z1037" i="15"/>
  <c r="Z923" i="15"/>
  <c r="Z1303" i="15"/>
  <c r="Z1493" i="15"/>
  <c r="Z732" i="15"/>
  <c r="Z277" i="15"/>
  <c r="Z961" i="15"/>
  <c r="Z752" i="15"/>
  <c r="Z789" i="15"/>
  <c r="Z30" i="15"/>
  <c r="Z125" i="15"/>
  <c r="Z354" i="15"/>
  <c r="Z467" i="15"/>
  <c r="Z1056" i="15"/>
  <c r="Z1360" i="15"/>
  <c r="Z12" i="15"/>
  <c r="Z1322" i="15"/>
  <c r="Z49" i="15"/>
  <c r="Z695" i="15"/>
  <c r="Z543" i="15"/>
  <c r="Z1456" i="15"/>
  <c r="Z1208" i="15"/>
  <c r="Z1017" i="15"/>
  <c r="Z485" i="15"/>
  <c r="Z1188" i="15"/>
  <c r="Z751" i="15"/>
  <c r="Z371" i="15"/>
  <c r="Z1340" i="15"/>
  <c r="Z1169" i="15"/>
  <c r="Z808" i="15"/>
  <c r="Z1397" i="15"/>
  <c r="Z561" i="15"/>
  <c r="Z1036" i="15"/>
  <c r="Z922" i="15"/>
  <c r="Z504" i="15"/>
  <c r="Z447" i="15"/>
  <c r="Z960" i="15"/>
  <c r="Z865" i="15"/>
  <c r="Z581" i="15"/>
  <c r="Z1473" i="15"/>
  <c r="Z1455" i="15"/>
  <c r="Z618" i="15"/>
  <c r="Z523" i="15"/>
  <c r="Z466" i="15"/>
  <c r="Z1074" i="15"/>
  <c r="Z1435" i="15"/>
  <c r="Z219" i="15"/>
  <c r="Z1492" i="15"/>
  <c r="Z1359" i="15"/>
  <c r="Z694" i="15"/>
  <c r="Z162" i="15"/>
  <c r="Z1283" i="15"/>
  <c r="Z1151" i="15"/>
  <c r="Z713" i="15"/>
  <c r="Z846" i="15"/>
  <c r="Z392" i="15"/>
  <c r="Z544" i="15"/>
  <c r="Z68" i="15"/>
  <c r="AG392" i="15" l="1"/>
  <c r="AH278" i="15"/>
  <c r="AH410" i="15"/>
  <c r="AI410" i="15"/>
  <c r="AG200" i="15"/>
  <c r="AH200" i="15"/>
  <c r="AI409" i="15"/>
  <c r="AH409" i="15"/>
  <c r="AG409" i="15"/>
  <c r="AG410" i="15"/>
  <c r="AI69" i="15"/>
  <c r="AH69" i="15"/>
  <c r="AG69" i="15"/>
  <c r="AI13" i="15"/>
  <c r="AH13" i="15"/>
  <c r="AG13" i="15"/>
  <c r="AI336" i="15"/>
  <c r="AH336" i="15"/>
  <c r="AG336" i="15"/>
  <c r="AI335" i="15"/>
  <c r="AH335" i="15"/>
  <c r="AG335" i="15"/>
  <c r="AI391" i="15"/>
  <c r="AH391" i="15"/>
  <c r="AG391" i="15"/>
  <c r="AI1076" i="15"/>
  <c r="AH1076" i="15"/>
  <c r="AG1076" i="15"/>
  <c r="AI164" i="15"/>
  <c r="AH164" i="15"/>
  <c r="AG164" i="15"/>
  <c r="AI525" i="15"/>
  <c r="AH525" i="15"/>
  <c r="AG525" i="15"/>
  <c r="AI1512" i="15"/>
  <c r="AH1512" i="15"/>
  <c r="AG1512" i="15"/>
  <c r="AI1379" i="15"/>
  <c r="AH1379" i="15"/>
  <c r="AG1379" i="15"/>
  <c r="AI1038" i="15"/>
  <c r="AH1038" i="15"/>
  <c r="AG1038" i="15"/>
  <c r="AI1474" i="15"/>
  <c r="AH1474" i="15"/>
  <c r="AG1474" i="15"/>
  <c r="AI429" i="15"/>
  <c r="AH429" i="15"/>
  <c r="AG429" i="15"/>
  <c r="AI1209" i="15"/>
  <c r="AH1209" i="15"/>
  <c r="AG1209" i="15"/>
  <c r="AI1190" i="15"/>
  <c r="AH1190" i="15"/>
  <c r="AG1190" i="15"/>
  <c r="AI1399" i="15"/>
  <c r="AH1399" i="15"/>
  <c r="AG1399" i="15"/>
  <c r="AI1266" i="15"/>
  <c r="AH1266" i="15"/>
  <c r="AG1266" i="15"/>
  <c r="AI430" i="15"/>
  <c r="AH430" i="15"/>
  <c r="AG430" i="15"/>
  <c r="AI733" i="15"/>
  <c r="AH733" i="15"/>
  <c r="AG733" i="15"/>
  <c r="AI1189" i="15"/>
  <c r="AH1189" i="15"/>
  <c r="AG1189" i="15"/>
  <c r="AI714" i="15"/>
  <c r="AH714" i="15"/>
  <c r="AG714" i="15"/>
  <c r="AI1513" i="15"/>
  <c r="AH1513" i="15"/>
  <c r="AG1513" i="15"/>
  <c r="AI1457" i="15"/>
  <c r="AH1457" i="15"/>
  <c r="AG1457" i="15"/>
  <c r="AI506" i="15"/>
  <c r="AH506" i="15"/>
  <c r="AG506" i="15"/>
  <c r="AI867" i="15"/>
  <c r="AH867" i="15"/>
  <c r="AG867" i="15"/>
  <c r="AI753" i="15"/>
  <c r="AH753" i="15"/>
  <c r="AG753" i="15"/>
  <c r="AI316" i="15"/>
  <c r="AH316" i="15"/>
  <c r="AG316" i="15"/>
  <c r="AI658" i="15"/>
  <c r="AH658" i="15"/>
  <c r="AG658" i="15"/>
  <c r="AI676" i="15"/>
  <c r="AH676" i="15"/>
  <c r="AG676" i="15"/>
  <c r="AI1284" i="15"/>
  <c r="AH1284" i="15"/>
  <c r="AG1284" i="15"/>
  <c r="AI600" i="15"/>
  <c r="AG600" i="15"/>
  <c r="AH600" i="15"/>
  <c r="AI1132" i="15"/>
  <c r="AH1132" i="15"/>
  <c r="AG1132" i="15"/>
  <c r="AI1475" i="15"/>
  <c r="AH1475" i="15"/>
  <c r="AG1475" i="15"/>
  <c r="AI715" i="15"/>
  <c r="AH715" i="15"/>
  <c r="AG715" i="15"/>
  <c r="AI145" i="15"/>
  <c r="AH145" i="15"/>
  <c r="AG145" i="15"/>
  <c r="AI791" i="15"/>
  <c r="AH791" i="15"/>
  <c r="AG791" i="15"/>
  <c r="AI487" i="15"/>
  <c r="AH487" i="15"/>
  <c r="AG487" i="15"/>
  <c r="AI1437" i="15"/>
  <c r="AH1437" i="15"/>
  <c r="AG1437" i="15"/>
  <c r="AI829" i="15"/>
  <c r="AH829" i="15"/>
  <c r="AG829" i="15"/>
  <c r="AI50" i="15"/>
  <c r="AH50" i="15"/>
  <c r="AG50" i="15"/>
  <c r="AI866" i="15"/>
  <c r="AH866" i="15"/>
  <c r="AG866" i="15"/>
  <c r="AI1494" i="15"/>
  <c r="AH1494" i="15"/>
  <c r="AG1494" i="15"/>
  <c r="AI601" i="15"/>
  <c r="AH601" i="15"/>
  <c r="AG601" i="15"/>
  <c r="AI828" i="15"/>
  <c r="AH828" i="15"/>
  <c r="AG828" i="15"/>
  <c r="AI620" i="15"/>
  <c r="AH620" i="15"/>
  <c r="AG620" i="15"/>
  <c r="AI373" i="15"/>
  <c r="AH373" i="15"/>
  <c r="AG373" i="15"/>
  <c r="AI1380" i="15"/>
  <c r="AH1380" i="15"/>
  <c r="AG1380" i="15"/>
  <c r="AI1171" i="15"/>
  <c r="AH1171" i="15"/>
  <c r="AG1171" i="15"/>
  <c r="AI772" i="15"/>
  <c r="AH772" i="15"/>
  <c r="AG772" i="15"/>
  <c r="AI1170" i="15"/>
  <c r="AH1170" i="15"/>
  <c r="AG1170" i="15"/>
  <c r="AI942" i="15"/>
  <c r="AH942" i="15"/>
  <c r="AG942" i="15"/>
  <c r="AI220" i="15"/>
  <c r="AH220" i="15"/>
  <c r="AG220" i="15"/>
  <c r="AI1057" i="15"/>
  <c r="AH1057" i="15"/>
  <c r="AG1057" i="15"/>
  <c r="AI943" i="15"/>
  <c r="AH943" i="15"/>
  <c r="AG943" i="15"/>
  <c r="AI677" i="15"/>
  <c r="AH677" i="15"/>
  <c r="AG677" i="15"/>
  <c r="AI962" i="15"/>
  <c r="AH962" i="15"/>
  <c r="AG962" i="15"/>
  <c r="AI1323" i="15"/>
  <c r="AH1323" i="15"/>
  <c r="AG1323" i="15"/>
  <c r="AI1019" i="15"/>
  <c r="AH1019" i="15"/>
  <c r="AG1019" i="15"/>
  <c r="AI126" i="15"/>
  <c r="AH126" i="15"/>
  <c r="AG126" i="15"/>
  <c r="AI1018" i="15"/>
  <c r="AH1018" i="15"/>
  <c r="AG1018" i="15"/>
  <c r="AI980" i="15"/>
  <c r="AH980" i="15"/>
  <c r="AG980" i="15"/>
  <c r="AI562" i="15"/>
  <c r="AH562" i="15"/>
  <c r="AG562" i="15"/>
  <c r="AI315" i="15"/>
  <c r="AH315" i="15"/>
  <c r="AG315" i="15"/>
  <c r="AI771" i="15"/>
  <c r="AH771" i="15"/>
  <c r="AG771" i="15"/>
  <c r="AI1246" i="15"/>
  <c r="AH1246" i="15"/>
  <c r="AG1246" i="15"/>
  <c r="AI924" i="15"/>
  <c r="AH924" i="15"/>
  <c r="AG924" i="15"/>
  <c r="AI449" i="15"/>
  <c r="AH449" i="15"/>
  <c r="AG449" i="15"/>
  <c r="AI163" i="15"/>
  <c r="AH163" i="15"/>
  <c r="AG163" i="15"/>
  <c r="AI790" i="15"/>
  <c r="AH790" i="15"/>
  <c r="AG790" i="15"/>
  <c r="AI1265" i="15"/>
  <c r="AH1265" i="15"/>
  <c r="AG1265" i="15"/>
  <c r="AI88" i="15"/>
  <c r="AG88" i="15"/>
  <c r="AH88" i="15"/>
  <c r="AI1436" i="15"/>
  <c r="AH1436" i="15"/>
  <c r="AG1436" i="15"/>
  <c r="AI1418" i="15"/>
  <c r="AH1418" i="15"/>
  <c r="AG1418" i="15"/>
  <c r="AI1152" i="15"/>
  <c r="AH1152" i="15"/>
  <c r="AG1152" i="15"/>
  <c r="AI1075" i="15"/>
  <c r="AH1075" i="15"/>
  <c r="AG1075" i="15"/>
  <c r="AI847" i="15"/>
  <c r="AH847" i="15"/>
  <c r="AG847" i="15"/>
  <c r="AI1304" i="15"/>
  <c r="AH1304" i="15"/>
  <c r="AG1304" i="15"/>
  <c r="AI582" i="15"/>
  <c r="AH582" i="15"/>
  <c r="AG582" i="15"/>
  <c r="AI696" i="15"/>
  <c r="AH696" i="15"/>
  <c r="AG696" i="15"/>
  <c r="AI734" i="15"/>
  <c r="AH734" i="15"/>
  <c r="AG734" i="15"/>
  <c r="AI1341" i="15"/>
  <c r="AH1341" i="15"/>
  <c r="AG1341" i="15"/>
  <c r="AI1398" i="15"/>
  <c r="AH1398" i="15"/>
  <c r="AG1398" i="15"/>
  <c r="AI563" i="15"/>
  <c r="AH563" i="15"/>
  <c r="AG563" i="15"/>
  <c r="AI1417" i="15"/>
  <c r="AH1417" i="15"/>
  <c r="AG1417" i="15"/>
  <c r="AI448" i="15"/>
  <c r="AH448" i="15"/>
  <c r="AG448" i="15"/>
  <c r="AI468" i="15"/>
  <c r="AH468" i="15"/>
  <c r="AG468" i="15"/>
  <c r="AI240" i="15"/>
  <c r="AH240" i="15"/>
  <c r="AG240" i="15"/>
  <c r="AI182" i="15"/>
  <c r="AH182" i="15"/>
  <c r="AG182" i="15"/>
  <c r="AI258" i="15"/>
  <c r="AH258" i="15"/>
  <c r="AG258" i="15"/>
  <c r="AI105" i="15"/>
  <c r="AH105" i="15"/>
  <c r="AG105" i="15"/>
  <c r="AI181" i="15"/>
  <c r="AH181" i="15"/>
  <c r="AG181" i="15"/>
  <c r="AI31" i="15"/>
  <c r="AH31" i="15"/>
  <c r="AG31" i="15"/>
  <c r="AI257" i="15"/>
  <c r="AH257" i="15"/>
  <c r="AG257" i="15"/>
  <c r="AI1093" i="15"/>
  <c r="AH1093" i="15"/>
  <c r="AG1093" i="15"/>
  <c r="Z1093" i="15"/>
  <c r="Z1341" i="15"/>
  <c r="Z410" i="15"/>
  <c r="Z257" i="15"/>
  <c r="Z105" i="15"/>
  <c r="Z409" i="15"/>
  <c r="AH106" i="15"/>
  <c r="Z181" i="15"/>
  <c r="Z200" i="15"/>
  <c r="Z259" i="15"/>
  <c r="Z258" i="15"/>
  <c r="Z182" i="15"/>
  <c r="Z31" i="15"/>
  <c r="Z69" i="15"/>
  <c r="Z753" i="15"/>
  <c r="Z791" i="15"/>
  <c r="Z50" i="15"/>
  <c r="Z373" i="15"/>
  <c r="Z943" i="15"/>
  <c r="Z449" i="15"/>
  <c r="Z163" i="15"/>
  <c r="Z734" i="15"/>
  <c r="Z468" i="15"/>
  <c r="Z1437" i="15"/>
  <c r="Z866" i="15"/>
  <c r="Z1494" i="15"/>
  <c r="Z772" i="15"/>
  <c r="Z962" i="15"/>
  <c r="Z1436" i="15"/>
  <c r="Z1304" i="15"/>
  <c r="Z240" i="15"/>
  <c r="Z336" i="15"/>
  <c r="Z525" i="15"/>
  <c r="Z1266" i="15"/>
  <c r="Z316" i="15"/>
  <c r="Z1284" i="15"/>
  <c r="Z1380" i="15"/>
  <c r="Z88" i="15"/>
  <c r="Z164" i="15"/>
  <c r="Z1475" i="15"/>
  <c r="Z829" i="15"/>
  <c r="Z220" i="15"/>
  <c r="Z1418" i="15"/>
  <c r="Z448" i="15"/>
  <c r="Z1209" i="15"/>
  <c r="Z506" i="15"/>
  <c r="Z715" i="15"/>
  <c r="Z1171" i="15"/>
  <c r="Z1019" i="15"/>
  <c r="Z696" i="15"/>
  <c r="Z430" i="15"/>
  <c r="Z1076" i="15"/>
  <c r="Z1190" i="15"/>
  <c r="Z278" i="15"/>
  <c r="Z1075" i="15"/>
  <c r="Z1398" i="15"/>
  <c r="Z1189" i="15"/>
  <c r="Z145" i="15"/>
  <c r="Z601" i="15"/>
  <c r="Z677" i="15"/>
  <c r="Z126" i="15"/>
  <c r="Z924" i="15"/>
  <c r="Z1265" i="15"/>
  <c r="Z847" i="15"/>
  <c r="Z867" i="15"/>
  <c r="Z1474" i="15"/>
  <c r="Z1513" i="15"/>
  <c r="Z1457" i="15"/>
  <c r="Z1170" i="15"/>
  <c r="Z563" i="15"/>
  <c r="Z658" i="15"/>
  <c r="Z620" i="15"/>
  <c r="Z1018" i="15"/>
  <c r="Z1512" i="15"/>
  <c r="Z1132" i="15"/>
  <c r="Z1246" i="15"/>
  <c r="Z317" i="15"/>
  <c r="Z1417" i="15"/>
  <c r="Z714" i="15"/>
  <c r="Z980" i="15"/>
  <c r="Z1152" i="15"/>
  <c r="Z1323" i="15"/>
  <c r="Z429" i="15"/>
  <c r="Z1038" i="15"/>
  <c r="Z676" i="15"/>
  <c r="Z1379" i="15"/>
  <c r="Z315" i="15"/>
  <c r="Z790" i="15"/>
  <c r="Z1057" i="15"/>
  <c r="Z582" i="15"/>
  <c r="Z1399" i="15"/>
  <c r="Z828" i="15"/>
  <c r="Z487" i="15"/>
  <c r="Z600" i="15"/>
  <c r="Z562" i="15"/>
  <c r="Z771" i="15"/>
  <c r="Z733" i="15"/>
  <c r="Z942" i="15"/>
  <c r="Z335" i="15"/>
  <c r="Z393" i="15"/>
  <c r="Z391" i="15"/>
  <c r="Z13" i="15"/>
  <c r="AG278" i="15" l="1"/>
  <c r="AI278" i="15"/>
  <c r="Z1001" i="15"/>
  <c r="AG1458" i="15"/>
  <c r="AI1001" i="15"/>
  <c r="AI1438" i="15"/>
  <c r="AI107" i="15"/>
  <c r="AI259" i="15"/>
  <c r="AI106" i="15"/>
  <c r="AI297" i="15"/>
  <c r="AH297" i="15"/>
  <c r="AG297" i="15"/>
  <c r="AG1001" i="15"/>
  <c r="AH1001" i="15"/>
  <c r="AI201" i="15"/>
  <c r="AH201" i="15"/>
  <c r="AG201" i="15"/>
  <c r="AG259" i="15"/>
  <c r="AG106" i="15"/>
  <c r="AH259" i="15"/>
  <c r="AI14" i="15"/>
  <c r="AH14" i="15"/>
  <c r="AG14" i="15"/>
  <c r="AI70" i="15"/>
  <c r="AH70" i="15"/>
  <c r="AG70" i="15"/>
  <c r="AI356" i="15"/>
  <c r="AH356" i="15"/>
  <c r="AG356" i="15"/>
  <c r="AI355" i="15"/>
  <c r="AH355" i="15"/>
  <c r="AG355" i="15"/>
  <c r="AI1286" i="15"/>
  <c r="AH1286" i="15"/>
  <c r="AG1286" i="15"/>
  <c r="AI678" i="15"/>
  <c r="AH678" i="15"/>
  <c r="AG678" i="15"/>
  <c r="AI431" i="15"/>
  <c r="AH431" i="15"/>
  <c r="AG431" i="15"/>
  <c r="AI1229" i="15"/>
  <c r="AH1229" i="15"/>
  <c r="AG1229" i="15"/>
  <c r="AI659" i="15"/>
  <c r="AH659" i="15"/>
  <c r="AG659" i="15"/>
  <c r="AI374" i="15"/>
  <c r="AH374" i="15"/>
  <c r="AG374" i="15"/>
  <c r="AI298" i="15"/>
  <c r="AH298" i="15"/>
  <c r="AG298" i="15"/>
  <c r="AI51" i="15"/>
  <c r="AG51" i="15"/>
  <c r="AH51" i="15"/>
  <c r="AI944" i="15"/>
  <c r="AH944" i="15"/>
  <c r="AG944" i="15"/>
  <c r="AI89" i="15"/>
  <c r="AH89" i="15"/>
  <c r="AG89" i="15"/>
  <c r="AH1458" i="15"/>
  <c r="AI963" i="15"/>
  <c r="AH963" i="15"/>
  <c r="AG963" i="15"/>
  <c r="AI1114" i="15"/>
  <c r="AH1114" i="15"/>
  <c r="AG1114" i="15"/>
  <c r="AI146" i="15"/>
  <c r="AH146" i="15"/>
  <c r="AG146" i="15"/>
  <c r="AI830" i="15"/>
  <c r="AH830" i="15"/>
  <c r="AG830" i="15"/>
  <c r="AI1077" i="15"/>
  <c r="AH1077" i="15"/>
  <c r="AG1077" i="15"/>
  <c r="AI773" i="15"/>
  <c r="AH773" i="15"/>
  <c r="AG773" i="15"/>
  <c r="AI450" i="15"/>
  <c r="AH450" i="15"/>
  <c r="AG450" i="15"/>
  <c r="AI1191" i="15"/>
  <c r="AH1191" i="15"/>
  <c r="AG1191" i="15"/>
  <c r="AI1267" i="15"/>
  <c r="AH1267" i="15"/>
  <c r="AG1267" i="15"/>
  <c r="AI1020" i="15"/>
  <c r="AH1020" i="15"/>
  <c r="AG1020" i="15"/>
  <c r="AI165" i="15"/>
  <c r="AH165" i="15"/>
  <c r="AG165" i="15"/>
  <c r="AI754" i="15"/>
  <c r="AH754" i="15"/>
  <c r="AG754" i="15"/>
  <c r="AI1285" i="15"/>
  <c r="AH1285" i="15"/>
  <c r="AG1285" i="15"/>
  <c r="AI1324" i="15"/>
  <c r="AH1324" i="15"/>
  <c r="AG1324" i="15"/>
  <c r="AI887" i="15"/>
  <c r="AH887" i="15"/>
  <c r="AG887" i="15"/>
  <c r="AI222" i="15"/>
  <c r="AH222" i="15"/>
  <c r="AG222" i="15"/>
  <c r="AI1476" i="15"/>
  <c r="AH1476" i="15"/>
  <c r="AG1476" i="15"/>
  <c r="AI621" i="15"/>
  <c r="AH621" i="15"/>
  <c r="AG621" i="15"/>
  <c r="AI1134" i="15"/>
  <c r="AH1134" i="15"/>
  <c r="AG1134" i="15"/>
  <c r="AI127" i="15"/>
  <c r="AH127" i="15"/>
  <c r="AG127" i="15"/>
  <c r="AI1228" i="15"/>
  <c r="AH1228" i="15"/>
  <c r="AG1228" i="15"/>
  <c r="AI526" i="15"/>
  <c r="AH526" i="15"/>
  <c r="AG526" i="15"/>
  <c r="AI716" i="15"/>
  <c r="AH716" i="15"/>
  <c r="AG716" i="15"/>
  <c r="AI697" i="15"/>
  <c r="AH697" i="15"/>
  <c r="AG697" i="15"/>
  <c r="AI1400" i="15"/>
  <c r="AH1400" i="15"/>
  <c r="AG1400" i="15"/>
  <c r="AI488" i="15"/>
  <c r="AH488" i="15"/>
  <c r="AG488" i="15"/>
  <c r="AI848" i="15"/>
  <c r="AH848" i="15"/>
  <c r="AG848" i="15"/>
  <c r="AI1247" i="15"/>
  <c r="AH1247" i="15"/>
  <c r="AG1247" i="15"/>
  <c r="AI1419" i="15"/>
  <c r="AH1419" i="15"/>
  <c r="AG1419" i="15"/>
  <c r="AI1362" i="15"/>
  <c r="AH1362" i="15"/>
  <c r="AG1362" i="15"/>
  <c r="AI925" i="15"/>
  <c r="AH925" i="15"/>
  <c r="AG925" i="15"/>
  <c r="AI564" i="15"/>
  <c r="AH564" i="15"/>
  <c r="AG564" i="15"/>
  <c r="AI279" i="15"/>
  <c r="AH279" i="15"/>
  <c r="AG279" i="15"/>
  <c r="AI221" i="15"/>
  <c r="AH221" i="15"/>
  <c r="AG221" i="15"/>
  <c r="AI1210" i="15"/>
  <c r="AH1210" i="15"/>
  <c r="AG1210" i="15"/>
  <c r="AI1343" i="15"/>
  <c r="AH1343" i="15"/>
  <c r="AG1343" i="15"/>
  <c r="AI1153" i="15"/>
  <c r="AH1153" i="15"/>
  <c r="AG1153" i="15"/>
  <c r="AI1172" i="15"/>
  <c r="AH1172" i="15"/>
  <c r="AG1172" i="15"/>
  <c r="AI1381" i="15"/>
  <c r="AH1381" i="15"/>
  <c r="AG1381" i="15"/>
  <c r="AI792" i="15"/>
  <c r="AH792" i="15"/>
  <c r="AG792" i="15"/>
  <c r="AI906" i="15"/>
  <c r="AH906" i="15"/>
  <c r="AG906" i="15"/>
  <c r="AI982" i="15"/>
  <c r="AH982" i="15"/>
  <c r="AG982" i="15"/>
  <c r="AI583" i="15"/>
  <c r="AH583" i="15"/>
  <c r="AG583" i="15"/>
  <c r="AI1514" i="15"/>
  <c r="AH1514" i="15"/>
  <c r="AG1514" i="15"/>
  <c r="AI735" i="15"/>
  <c r="AH735" i="15"/>
  <c r="AG735" i="15"/>
  <c r="AI868" i="15"/>
  <c r="AH868" i="15"/>
  <c r="AG868" i="15"/>
  <c r="AI507" i="15"/>
  <c r="AH507" i="15"/>
  <c r="AG507" i="15"/>
  <c r="AI1058" i="15"/>
  <c r="AH1058" i="15"/>
  <c r="AG1058" i="15"/>
  <c r="AI602" i="15"/>
  <c r="AH602" i="15"/>
  <c r="AG602" i="15"/>
  <c r="AI545" i="15"/>
  <c r="AH545" i="15"/>
  <c r="AG545" i="15"/>
  <c r="AI1361" i="15"/>
  <c r="AH1361" i="15"/>
  <c r="AG1361" i="15"/>
  <c r="AI317" i="15"/>
  <c r="AH317" i="15"/>
  <c r="AG317" i="15"/>
  <c r="AI1342" i="15"/>
  <c r="AH1342" i="15"/>
  <c r="AG1342" i="15"/>
  <c r="AI886" i="15"/>
  <c r="AH886" i="15"/>
  <c r="AG886" i="15"/>
  <c r="AI1039" i="15"/>
  <c r="AH1039" i="15"/>
  <c r="AG1039" i="15"/>
  <c r="AI905" i="15"/>
  <c r="AH905" i="15"/>
  <c r="AG905" i="15"/>
  <c r="AI811" i="15"/>
  <c r="AH811" i="15"/>
  <c r="AG811" i="15"/>
  <c r="AI1248" i="15"/>
  <c r="AH1248" i="15"/>
  <c r="AG1248" i="15"/>
  <c r="AI1495" i="15"/>
  <c r="AH1495" i="15"/>
  <c r="AG1495" i="15"/>
  <c r="AI1305" i="15"/>
  <c r="AH1305" i="15"/>
  <c r="AG1305" i="15"/>
  <c r="AI981" i="15"/>
  <c r="AH981" i="15"/>
  <c r="AG981" i="15"/>
  <c r="AI241" i="15"/>
  <c r="AH241" i="15"/>
  <c r="AG241" i="15"/>
  <c r="AG107" i="15"/>
  <c r="AI239" i="15"/>
  <c r="AH239" i="15"/>
  <c r="AG239" i="15"/>
  <c r="AI1227" i="15"/>
  <c r="AH1227" i="15"/>
  <c r="AG1227" i="15"/>
  <c r="AI372" i="15"/>
  <c r="AH372" i="15"/>
  <c r="AG372" i="15"/>
  <c r="AI183" i="15"/>
  <c r="AH183" i="15"/>
  <c r="AG183" i="15"/>
  <c r="AI524" i="15"/>
  <c r="AH524" i="15"/>
  <c r="AG524" i="15"/>
  <c r="AI393" i="15"/>
  <c r="AH393" i="15"/>
  <c r="AG393" i="15"/>
  <c r="AI638" i="15"/>
  <c r="AH638" i="15"/>
  <c r="AG638" i="15"/>
  <c r="AI999" i="15"/>
  <c r="AH999" i="15"/>
  <c r="AG999" i="15"/>
  <c r="AI1094" i="15"/>
  <c r="AH1094" i="15"/>
  <c r="AG1094" i="15"/>
  <c r="Z638" i="15"/>
  <c r="Z297" i="15"/>
  <c r="Z999" i="15"/>
  <c r="Z1094" i="15"/>
  <c r="AI1000" i="15"/>
  <c r="Z183" i="15"/>
  <c r="AI260" i="15"/>
  <c r="Z1227" i="15"/>
  <c r="Z239" i="15"/>
  <c r="Z372" i="15"/>
  <c r="Z201" i="15"/>
  <c r="Z106" i="15"/>
  <c r="Z524" i="15"/>
  <c r="Z107" i="15"/>
  <c r="Z981" i="15"/>
  <c r="Z431" i="15"/>
  <c r="Z14" i="15"/>
  <c r="Z222" i="15"/>
  <c r="Z1247" i="15"/>
  <c r="Z1362" i="15"/>
  <c r="Z792" i="15"/>
  <c r="Z1514" i="15"/>
  <c r="Z1248" i="15"/>
  <c r="Z356" i="15"/>
  <c r="Z944" i="15"/>
  <c r="Z146" i="15"/>
  <c r="Z89" i="15"/>
  <c r="Z450" i="15"/>
  <c r="Z1343" i="15"/>
  <c r="Z1286" i="15"/>
  <c r="Z716" i="15"/>
  <c r="Z1419" i="15"/>
  <c r="Z1381" i="15"/>
  <c r="Z241" i="15"/>
  <c r="Z830" i="15"/>
  <c r="Z1324" i="15"/>
  <c r="Z887" i="15"/>
  <c r="Z1134" i="15"/>
  <c r="Z982" i="15"/>
  <c r="Z1077" i="15"/>
  <c r="Z906" i="15"/>
  <c r="Z735" i="15"/>
  <c r="Z602" i="15"/>
  <c r="Z1229" i="15"/>
  <c r="Z298" i="15"/>
  <c r="Z1476" i="15"/>
  <c r="Z127" i="15"/>
  <c r="Z678" i="15"/>
  <c r="Z51" i="15"/>
  <c r="Z773" i="15"/>
  <c r="Z564" i="15"/>
  <c r="Z545" i="15"/>
  <c r="Z1210" i="15"/>
  <c r="Z1267" i="15"/>
  <c r="Z488" i="15"/>
  <c r="Z1191" i="15"/>
  <c r="Z221" i="15"/>
  <c r="Z754" i="15"/>
  <c r="Z1020" i="15"/>
  <c r="Z811" i="15"/>
  <c r="Z1342" i="15"/>
  <c r="Z1039" i="15"/>
  <c r="Z470" i="15"/>
  <c r="Z1153" i="15"/>
  <c r="Z507" i="15"/>
  <c r="Z1021" i="15"/>
  <c r="Z526" i="15"/>
  <c r="Z868" i="15"/>
  <c r="Z1361" i="15"/>
  <c r="Z963" i="15"/>
  <c r="Z1400" i="15"/>
  <c r="Z1495" i="15"/>
  <c r="Z886" i="15"/>
  <c r="Z165" i="15"/>
  <c r="Z659" i="15"/>
  <c r="Z621" i="15"/>
  <c r="Z583" i="15"/>
  <c r="Z279" i="15"/>
  <c r="Z374" i="15"/>
  <c r="Z1228" i="15"/>
  <c r="Z1285" i="15"/>
  <c r="Z925" i="15"/>
  <c r="Z1058" i="15"/>
  <c r="Z905" i="15"/>
  <c r="Z1305" i="15"/>
  <c r="Z1114" i="15"/>
  <c r="Z697" i="15"/>
  <c r="Z848" i="15"/>
  <c r="Z1172" i="15"/>
  <c r="Z355" i="15"/>
  <c r="Z546" i="15"/>
  <c r="Z299" i="15"/>
  <c r="Z70" i="15"/>
  <c r="Z1438" i="15" l="1"/>
  <c r="AH1438" i="15"/>
  <c r="AG1438" i="15"/>
  <c r="AH107" i="15"/>
  <c r="AI1458" i="15"/>
  <c r="Z1458" i="15"/>
  <c r="Z395" i="15"/>
  <c r="AI412" i="15"/>
  <c r="AG412" i="15"/>
  <c r="AH412" i="15"/>
  <c r="AG1000" i="15"/>
  <c r="AG260" i="15"/>
  <c r="AH1000" i="15"/>
  <c r="AH260" i="15"/>
  <c r="AI15" i="15"/>
  <c r="AH15" i="15"/>
  <c r="AG15" i="15"/>
  <c r="AI71" i="15"/>
  <c r="AH71" i="15"/>
  <c r="AG71" i="15"/>
  <c r="AI338" i="15"/>
  <c r="AH338" i="15"/>
  <c r="AG338" i="15"/>
  <c r="AI337" i="15"/>
  <c r="AH337" i="15"/>
  <c r="AG337" i="15"/>
  <c r="AI357" i="15"/>
  <c r="AH357" i="15"/>
  <c r="AG357" i="15"/>
  <c r="AI394" i="15"/>
  <c r="AH394" i="15"/>
  <c r="AG394" i="15"/>
  <c r="AI1268" i="15"/>
  <c r="AH1268" i="15"/>
  <c r="AG1268" i="15"/>
  <c r="AI755" i="15"/>
  <c r="AH755" i="15"/>
  <c r="AG755" i="15"/>
  <c r="AI1477" i="15"/>
  <c r="AH1477" i="15"/>
  <c r="AG1477" i="15"/>
  <c r="AI375" i="15"/>
  <c r="AH375" i="15"/>
  <c r="AG375" i="15"/>
  <c r="AI698" i="15"/>
  <c r="AH698" i="15"/>
  <c r="AG698" i="15"/>
  <c r="AI717" i="15"/>
  <c r="AH717" i="15"/>
  <c r="AG717" i="15"/>
  <c r="AI469" i="15"/>
  <c r="AH469" i="15"/>
  <c r="AG469" i="15"/>
  <c r="AI1173" i="15"/>
  <c r="AH1173" i="15"/>
  <c r="AG1173" i="15"/>
  <c r="AI318" i="15"/>
  <c r="AH318" i="15"/>
  <c r="AG318" i="15"/>
  <c r="AI565" i="15"/>
  <c r="AH565" i="15"/>
  <c r="AG565" i="15"/>
  <c r="AI90" i="15"/>
  <c r="AH90" i="15"/>
  <c r="AG90" i="15"/>
  <c r="AI508" i="15"/>
  <c r="AH508" i="15"/>
  <c r="AG508" i="15"/>
  <c r="AI622" i="15"/>
  <c r="AH622" i="15"/>
  <c r="AG622" i="15"/>
  <c r="AI793" i="15"/>
  <c r="AH793" i="15"/>
  <c r="AG793" i="15"/>
  <c r="AI1249" i="15"/>
  <c r="AH1249" i="15"/>
  <c r="AG1249" i="15"/>
  <c r="AI1382" i="15"/>
  <c r="AH1382" i="15"/>
  <c r="AG1382" i="15"/>
  <c r="AI527" i="15"/>
  <c r="AH527" i="15"/>
  <c r="AG527" i="15"/>
  <c r="AI147" i="15"/>
  <c r="AH147" i="15"/>
  <c r="AG147" i="15"/>
  <c r="AI1192" i="15"/>
  <c r="AH1192" i="15"/>
  <c r="AG1192" i="15"/>
  <c r="AI128" i="15"/>
  <c r="AH128" i="15"/>
  <c r="AG128" i="15"/>
  <c r="AI774" i="15"/>
  <c r="AH774" i="15"/>
  <c r="AG774" i="15"/>
  <c r="AI1420" i="15"/>
  <c r="AH1420" i="15"/>
  <c r="AG1420" i="15"/>
  <c r="AI1306" i="15"/>
  <c r="AH1306" i="15"/>
  <c r="AG1306" i="15"/>
  <c r="AI1439" i="15"/>
  <c r="AH1439" i="15"/>
  <c r="AG1439" i="15"/>
  <c r="AI1154" i="15"/>
  <c r="AH1154" i="15"/>
  <c r="AG1154" i="15"/>
  <c r="AI1078" i="15"/>
  <c r="AH1078" i="15"/>
  <c r="AG1078" i="15"/>
  <c r="AI736" i="15"/>
  <c r="AH736" i="15"/>
  <c r="AG736" i="15"/>
  <c r="AI33" i="15"/>
  <c r="AH33" i="15"/>
  <c r="AG33" i="15"/>
  <c r="AI1059" i="15"/>
  <c r="AH1059" i="15"/>
  <c r="AG1059" i="15"/>
  <c r="AI1515" i="15"/>
  <c r="AH1515" i="15"/>
  <c r="AG1515" i="15"/>
  <c r="AI1135" i="15"/>
  <c r="AH1135" i="15"/>
  <c r="AG1135" i="15"/>
  <c r="AI1363" i="15"/>
  <c r="AG1363" i="15"/>
  <c r="AH1363" i="15"/>
  <c r="AI1040" i="15"/>
  <c r="AH1040" i="15"/>
  <c r="AG1040" i="15"/>
  <c r="AI1325" i="15"/>
  <c r="AH1325" i="15"/>
  <c r="AG1325" i="15"/>
  <c r="AI850" i="15"/>
  <c r="AH850" i="15"/>
  <c r="AG850" i="15"/>
  <c r="AI489" i="15"/>
  <c r="AH489" i="15"/>
  <c r="AG489" i="15"/>
  <c r="AI52" i="15"/>
  <c r="AH52" i="15"/>
  <c r="AG52" i="15"/>
  <c r="AI584" i="15"/>
  <c r="AH584" i="15"/>
  <c r="AG584" i="15"/>
  <c r="AI223" i="15"/>
  <c r="AH223" i="15"/>
  <c r="AG223" i="15"/>
  <c r="AI679" i="15"/>
  <c r="AH679" i="15"/>
  <c r="AG679" i="15"/>
  <c r="AI1116" i="15"/>
  <c r="AH1116" i="15"/>
  <c r="AG1116" i="15"/>
  <c r="AI888" i="15"/>
  <c r="AH888" i="15"/>
  <c r="AG888" i="15"/>
  <c r="AI983" i="15"/>
  <c r="AH983" i="15"/>
  <c r="AG983" i="15"/>
  <c r="AI1401" i="15"/>
  <c r="AH1401" i="15"/>
  <c r="AG1401" i="15"/>
  <c r="AI1287" i="15"/>
  <c r="AH1287" i="15"/>
  <c r="AG1287" i="15"/>
  <c r="AI1344" i="15"/>
  <c r="AH1344" i="15"/>
  <c r="AG1344" i="15"/>
  <c r="AI451" i="15"/>
  <c r="AH451" i="15"/>
  <c r="AG451" i="15"/>
  <c r="AI1211" i="15"/>
  <c r="AH1211" i="15"/>
  <c r="AG1211" i="15"/>
  <c r="AI907" i="15"/>
  <c r="AH907" i="15"/>
  <c r="AG907" i="15"/>
  <c r="AI831" i="15"/>
  <c r="AH831" i="15"/>
  <c r="AG831" i="15"/>
  <c r="AI166" i="15"/>
  <c r="AH166" i="15"/>
  <c r="AG166" i="15"/>
  <c r="AI432" i="15"/>
  <c r="AH432" i="15"/>
  <c r="AG432" i="15"/>
  <c r="AI812" i="15"/>
  <c r="AH812" i="15"/>
  <c r="AG812" i="15"/>
  <c r="AI1021" i="15"/>
  <c r="AH1021" i="15"/>
  <c r="AG1021" i="15"/>
  <c r="AI1496" i="15"/>
  <c r="AH1496" i="15"/>
  <c r="AG1496" i="15"/>
  <c r="AI280" i="15"/>
  <c r="AH280" i="15"/>
  <c r="AG280" i="15"/>
  <c r="AI603" i="15"/>
  <c r="AH603" i="15"/>
  <c r="AG603" i="15"/>
  <c r="AI470" i="15"/>
  <c r="AH470" i="15"/>
  <c r="AG470" i="15"/>
  <c r="AI945" i="15"/>
  <c r="AH945" i="15"/>
  <c r="AG945" i="15"/>
  <c r="AI108" i="15"/>
  <c r="AH108" i="15"/>
  <c r="AG108" i="15"/>
  <c r="AI1459" i="15"/>
  <c r="AG1459" i="15"/>
  <c r="AH1459" i="15"/>
  <c r="AI810" i="15"/>
  <c r="AH810" i="15"/>
  <c r="AG810" i="15"/>
  <c r="Z203" i="15"/>
  <c r="AI203" i="15"/>
  <c r="AH203" i="15"/>
  <c r="AG203" i="15"/>
  <c r="AI1096" i="15"/>
  <c r="AH1096" i="15"/>
  <c r="AG1096" i="15"/>
  <c r="AI1133" i="15"/>
  <c r="AH1133" i="15"/>
  <c r="AG1133" i="15"/>
  <c r="AI411" i="15"/>
  <c r="AH411" i="15"/>
  <c r="AG411" i="15"/>
  <c r="AI202" i="15"/>
  <c r="AH202" i="15"/>
  <c r="AG202" i="15"/>
  <c r="AI32" i="15"/>
  <c r="AH32" i="15"/>
  <c r="AG32" i="15"/>
  <c r="AI546" i="15"/>
  <c r="AH546" i="15"/>
  <c r="AG546" i="15"/>
  <c r="AI299" i="15"/>
  <c r="AH299" i="15"/>
  <c r="AG299" i="15"/>
  <c r="AI1095" i="15"/>
  <c r="AH1095" i="15"/>
  <c r="AG1095" i="15"/>
  <c r="AI639" i="15"/>
  <c r="AH639" i="15"/>
  <c r="AG639" i="15"/>
  <c r="Z639" i="15"/>
  <c r="Z1095" i="15"/>
  <c r="Z1000" i="15"/>
  <c r="Z260" i="15"/>
  <c r="Z32" i="15"/>
  <c r="Z412" i="15"/>
  <c r="Z1133" i="15"/>
  <c r="Z411" i="15"/>
  <c r="Z810" i="15"/>
  <c r="Z202" i="15"/>
  <c r="Z1096" i="15"/>
  <c r="Z108" i="15"/>
  <c r="Z1173" i="15"/>
  <c r="Z90" i="15"/>
  <c r="Z147" i="15"/>
  <c r="Z1116" i="15"/>
  <c r="Z1287" i="15"/>
  <c r="Z71" i="15"/>
  <c r="Z1306" i="15"/>
  <c r="Z1459" i="15"/>
  <c r="Z1496" i="15"/>
  <c r="Z527" i="15"/>
  <c r="Z1420" i="15"/>
  <c r="Z489" i="15"/>
  <c r="Z1192" i="15"/>
  <c r="Z1154" i="15"/>
  <c r="Z280" i="15"/>
  <c r="Z357" i="15"/>
  <c r="Z755" i="15"/>
  <c r="Z166" i="15"/>
  <c r="Z375" i="15"/>
  <c r="Z508" i="15"/>
  <c r="Z1363" i="15"/>
  <c r="Z888" i="15"/>
  <c r="Z565" i="15"/>
  <c r="Z128" i="15"/>
  <c r="Z1439" i="15"/>
  <c r="Z33" i="15"/>
  <c r="Z1325" i="15"/>
  <c r="Z223" i="15"/>
  <c r="Z1211" i="15"/>
  <c r="Z907" i="15"/>
  <c r="Z338" i="15"/>
  <c r="Z698" i="15"/>
  <c r="Z1382" i="15"/>
  <c r="Z1040" i="15"/>
  <c r="Z52" i="15"/>
  <c r="Z394" i="15"/>
  <c r="Z1268" i="15"/>
  <c r="Z1515" i="15"/>
  <c r="Z584" i="15"/>
  <c r="Z812" i="15"/>
  <c r="Z736" i="15"/>
  <c r="Z983" i="15"/>
  <c r="Z432" i="15"/>
  <c r="Z469" i="15"/>
  <c r="Z793" i="15"/>
  <c r="Z774" i="15"/>
  <c r="Z1135" i="15"/>
  <c r="Z850" i="15"/>
  <c r="Z1401" i="15"/>
  <c r="Z318" i="15"/>
  <c r="Z622" i="15"/>
  <c r="Z1249" i="15"/>
  <c r="Z603" i="15"/>
  <c r="Z1059" i="15"/>
  <c r="Z451" i="15"/>
  <c r="Z1477" i="15"/>
  <c r="Z945" i="15"/>
  <c r="Z1078" i="15"/>
  <c r="Z679" i="15"/>
  <c r="Z1344" i="15"/>
  <c r="Z831" i="15"/>
  <c r="Z717" i="15"/>
  <c r="Z337" i="15"/>
  <c r="Z15" i="15"/>
  <c r="AI1460" i="15" l="1"/>
  <c r="AI395" i="15"/>
  <c r="AI109" i="15"/>
  <c r="AG395" i="15"/>
  <c r="AH395" i="15"/>
  <c r="AG109" i="15"/>
  <c r="AH109" i="15"/>
  <c r="AH1115" i="15"/>
  <c r="AG1115" i="15"/>
  <c r="AI1115" i="15"/>
  <c r="AI16" i="15"/>
  <c r="AH16" i="15"/>
  <c r="AG16" i="15"/>
  <c r="AI72" i="15"/>
  <c r="AH72" i="15"/>
  <c r="AG72" i="15"/>
  <c r="AI339" i="15"/>
  <c r="AH339" i="15"/>
  <c r="AG339" i="15"/>
  <c r="AI358" i="15"/>
  <c r="AH358" i="15"/>
  <c r="AG358" i="15"/>
  <c r="AI699" i="15"/>
  <c r="AH699" i="15"/>
  <c r="AG699" i="15"/>
  <c r="AI832" i="15"/>
  <c r="AH832" i="15"/>
  <c r="AG832" i="15"/>
  <c r="AI224" i="15"/>
  <c r="AH224" i="15"/>
  <c r="AG224" i="15"/>
  <c r="AI870" i="15"/>
  <c r="AH870" i="15"/>
  <c r="AG870" i="15"/>
  <c r="AI471" i="15"/>
  <c r="AH471" i="15"/>
  <c r="AG471" i="15"/>
  <c r="AI53" i="15"/>
  <c r="AH53" i="15"/>
  <c r="AG53" i="15"/>
  <c r="AI1174" i="15"/>
  <c r="AH1174" i="15"/>
  <c r="AG1174" i="15"/>
  <c r="AI376" i="15"/>
  <c r="AH376" i="15"/>
  <c r="AG376" i="15"/>
  <c r="AI927" i="15"/>
  <c r="AH927" i="15"/>
  <c r="AG927" i="15"/>
  <c r="AI623" i="15"/>
  <c r="AH623" i="15"/>
  <c r="AG623" i="15"/>
  <c r="AI148" i="15"/>
  <c r="AH148" i="15"/>
  <c r="AG148" i="15"/>
  <c r="AI1231" i="15"/>
  <c r="AH1231" i="15"/>
  <c r="AG1231" i="15"/>
  <c r="AI319" i="15"/>
  <c r="AH319" i="15"/>
  <c r="AG319" i="15"/>
  <c r="AI1079" i="15"/>
  <c r="AH1079" i="15"/>
  <c r="AG1079" i="15"/>
  <c r="AI1022" i="15"/>
  <c r="AH1022" i="15"/>
  <c r="AG1022" i="15"/>
  <c r="AI34" i="15"/>
  <c r="AH34" i="15"/>
  <c r="AG34" i="15"/>
  <c r="AI1155" i="15"/>
  <c r="AH1155" i="15"/>
  <c r="AG1155" i="15"/>
  <c r="AI965" i="15"/>
  <c r="AH965" i="15"/>
  <c r="AG965" i="15"/>
  <c r="AI1516" i="15"/>
  <c r="AH1516" i="15"/>
  <c r="AG1516" i="15"/>
  <c r="AI908" i="15"/>
  <c r="AH908" i="15"/>
  <c r="AG908" i="15"/>
  <c r="AI1421" i="15"/>
  <c r="AH1421" i="15"/>
  <c r="AG1421" i="15"/>
  <c r="AI91" i="15"/>
  <c r="AH91" i="15"/>
  <c r="AG91" i="15"/>
  <c r="AI1269" i="15"/>
  <c r="AH1269" i="15"/>
  <c r="AG1269" i="15"/>
  <c r="AI984" i="15"/>
  <c r="AH984" i="15"/>
  <c r="AG984" i="15"/>
  <c r="AI1383" i="15"/>
  <c r="AH1383" i="15"/>
  <c r="AG1383" i="15"/>
  <c r="AI718" i="15"/>
  <c r="AH718" i="15"/>
  <c r="AG718" i="15"/>
  <c r="AI813" i="15"/>
  <c r="AH813" i="15"/>
  <c r="AG813" i="15"/>
  <c r="AI433" i="15"/>
  <c r="AH433" i="15"/>
  <c r="AG433" i="15"/>
  <c r="AI680" i="15"/>
  <c r="AH680" i="15"/>
  <c r="AG680" i="15"/>
  <c r="AI1060" i="15"/>
  <c r="AH1060" i="15"/>
  <c r="AG1060" i="15"/>
  <c r="AI452" i="15"/>
  <c r="AH452" i="15"/>
  <c r="AG452" i="15"/>
  <c r="AI1307" i="15"/>
  <c r="AH1307" i="15"/>
  <c r="AG1307" i="15"/>
  <c r="AI1250" i="15"/>
  <c r="AH1250" i="15"/>
  <c r="AG1250" i="15"/>
  <c r="AI737" i="15"/>
  <c r="AH737" i="15"/>
  <c r="AG737" i="15"/>
  <c r="AI1041" i="15"/>
  <c r="AH1041" i="15"/>
  <c r="AG1041" i="15"/>
  <c r="AI490" i="15"/>
  <c r="AH490" i="15"/>
  <c r="AG490" i="15"/>
  <c r="AI1497" i="15"/>
  <c r="AH1497" i="15"/>
  <c r="AG1497" i="15"/>
  <c r="AI1440" i="15"/>
  <c r="AH1440" i="15"/>
  <c r="AG1440" i="15"/>
  <c r="AI281" i="15"/>
  <c r="AH281" i="15"/>
  <c r="AG281" i="15"/>
  <c r="AI547" i="15"/>
  <c r="AH547" i="15"/>
  <c r="AG547" i="15"/>
  <c r="AI604" i="15"/>
  <c r="AH604" i="15"/>
  <c r="AG604" i="15"/>
  <c r="AI585" i="15"/>
  <c r="AH585" i="15"/>
  <c r="AG585" i="15"/>
  <c r="AI1193" i="15"/>
  <c r="AH1193" i="15"/>
  <c r="AG1193" i="15"/>
  <c r="AI566" i="15"/>
  <c r="AH566" i="15"/>
  <c r="AG566" i="15"/>
  <c r="AI1402" i="15"/>
  <c r="AH1402" i="15"/>
  <c r="AG1402" i="15"/>
  <c r="AI300" i="15"/>
  <c r="AH300" i="15"/>
  <c r="AG300" i="15"/>
  <c r="AI946" i="15"/>
  <c r="AH946" i="15"/>
  <c r="AG946" i="15"/>
  <c r="AI1345" i="15"/>
  <c r="AH1345" i="15"/>
  <c r="AG1345" i="15"/>
  <c r="AI509" i="15"/>
  <c r="AH509" i="15"/>
  <c r="AG509" i="15"/>
  <c r="AI1478" i="15"/>
  <c r="AH1478" i="15"/>
  <c r="AG1478" i="15"/>
  <c r="AI661" i="15"/>
  <c r="AH661" i="15"/>
  <c r="AG661" i="15"/>
  <c r="AI756" i="15"/>
  <c r="AH756" i="15"/>
  <c r="AG756" i="15"/>
  <c r="AI528" i="15"/>
  <c r="AH528" i="15"/>
  <c r="AG528" i="15"/>
  <c r="AI851" i="15"/>
  <c r="AH851" i="15"/>
  <c r="AG851" i="15"/>
  <c r="AI889" i="15"/>
  <c r="AH889" i="15"/>
  <c r="AG889" i="15"/>
  <c r="AI1117" i="15"/>
  <c r="AH1117" i="15"/>
  <c r="AG1117" i="15"/>
  <c r="AI1364" i="15"/>
  <c r="AH1364" i="15"/>
  <c r="AG1364" i="15"/>
  <c r="Z1288" i="15"/>
  <c r="AI1288" i="15"/>
  <c r="AH1288" i="15"/>
  <c r="AG1288" i="15"/>
  <c r="AI167" i="15"/>
  <c r="AH167" i="15"/>
  <c r="AG167" i="15"/>
  <c r="AI794" i="15"/>
  <c r="AH794" i="15"/>
  <c r="AG794" i="15"/>
  <c r="AH1002" i="15"/>
  <c r="AI1002" i="15"/>
  <c r="AG1002" i="15"/>
  <c r="AI849" i="15"/>
  <c r="AH849" i="15"/>
  <c r="AG849" i="15"/>
  <c r="AI184" i="15"/>
  <c r="AH184" i="15"/>
  <c r="AG184" i="15"/>
  <c r="AI129" i="15"/>
  <c r="AG129" i="15"/>
  <c r="AH129" i="15"/>
  <c r="AI204" i="15"/>
  <c r="AH204" i="15"/>
  <c r="AG204" i="15"/>
  <c r="AI1326" i="15"/>
  <c r="AH1326" i="15"/>
  <c r="AG1326" i="15"/>
  <c r="AI1212" i="15"/>
  <c r="AH1212" i="15"/>
  <c r="AG1212" i="15"/>
  <c r="AI640" i="15"/>
  <c r="AH640" i="15"/>
  <c r="AG640" i="15"/>
  <c r="Z640" i="15"/>
  <c r="Z109" i="15"/>
  <c r="Z849" i="15"/>
  <c r="Z1115" i="15"/>
  <c r="Z184" i="15"/>
  <c r="Z1002" i="15"/>
  <c r="Z204" i="15"/>
  <c r="Z1478" i="15"/>
  <c r="Z16" i="15"/>
  <c r="Z339" i="15"/>
  <c r="Z623" i="15"/>
  <c r="Z1155" i="15"/>
  <c r="Z91" i="15"/>
  <c r="Z1269" i="15"/>
  <c r="Z433" i="15"/>
  <c r="Z547" i="15"/>
  <c r="Z661" i="15"/>
  <c r="Z167" i="15"/>
  <c r="Z72" i="15"/>
  <c r="Z471" i="15"/>
  <c r="Z319" i="15"/>
  <c r="Z1307" i="15"/>
  <c r="Z870" i="15"/>
  <c r="Z927" i="15"/>
  <c r="Z908" i="15"/>
  <c r="Z718" i="15"/>
  <c r="Z1250" i="15"/>
  <c r="Z490" i="15"/>
  <c r="Z604" i="15"/>
  <c r="Z566" i="15"/>
  <c r="Z794" i="15"/>
  <c r="Z34" i="15"/>
  <c r="Z1497" i="15"/>
  <c r="Z832" i="15"/>
  <c r="Z129" i="15"/>
  <c r="Z984" i="15"/>
  <c r="Z1402" i="15"/>
  <c r="Z1212" i="15"/>
  <c r="Z680" i="15"/>
  <c r="Z452" i="15"/>
  <c r="Z281" i="15"/>
  <c r="Z946" i="15"/>
  <c r="Z53" i="15"/>
  <c r="Z148" i="15"/>
  <c r="Z1079" i="15"/>
  <c r="Z737" i="15"/>
  <c r="Z1041" i="15"/>
  <c r="Z300" i="15"/>
  <c r="Z1174" i="15"/>
  <c r="Z1383" i="15"/>
  <c r="Z376" i="15"/>
  <c r="Z965" i="15"/>
  <c r="Z509" i="15"/>
  <c r="Z528" i="15"/>
  <c r="Z1193" i="15"/>
  <c r="Z756" i="15"/>
  <c r="Z1231" i="15"/>
  <c r="Z1516" i="15"/>
  <c r="Z813" i="15"/>
  <c r="Z1117" i="15"/>
  <c r="Z1364" i="15"/>
  <c r="Z1022" i="15"/>
  <c r="Z1440" i="15"/>
  <c r="Z889" i="15"/>
  <c r="Z1421" i="15"/>
  <c r="Z1060" i="15"/>
  <c r="Z1345" i="15"/>
  <c r="Z851" i="15"/>
  <c r="Z699" i="15"/>
  <c r="Z585" i="15"/>
  <c r="Z1326" i="15"/>
  <c r="Z1460" i="15"/>
  <c r="Z224" i="15"/>
  <c r="Z358" i="15"/>
  <c r="Z548" i="15"/>
  <c r="Z1004" i="15" l="1"/>
  <c r="AG1460" i="15"/>
  <c r="AH1460" i="15"/>
  <c r="AI130" i="15"/>
  <c r="AH1479" i="15"/>
  <c r="AI719" i="15"/>
  <c r="Z1156" i="15"/>
  <c r="AG1003" i="15"/>
  <c r="AI548" i="15"/>
  <c r="AI186" i="15"/>
  <c r="AH1003" i="15"/>
  <c r="AI1003" i="15"/>
  <c r="AG186" i="15"/>
  <c r="AH186" i="15"/>
  <c r="AG548" i="15"/>
  <c r="AH548" i="15"/>
  <c r="AI17" i="15"/>
  <c r="AH17" i="15"/>
  <c r="AG17" i="15"/>
  <c r="AI73" i="15"/>
  <c r="AH73" i="15"/>
  <c r="AG73" i="15"/>
  <c r="AI340" i="15"/>
  <c r="AH340" i="15"/>
  <c r="AG340" i="15"/>
  <c r="AI359" i="15"/>
  <c r="AH359" i="15"/>
  <c r="AG359" i="15"/>
  <c r="AI491" i="15"/>
  <c r="AH491" i="15"/>
  <c r="AG491" i="15"/>
  <c r="AI586" i="15"/>
  <c r="AH586" i="15"/>
  <c r="AG586" i="15"/>
  <c r="AI1270" i="15"/>
  <c r="AH1270" i="15"/>
  <c r="AG1270" i="15"/>
  <c r="AI1365" i="15"/>
  <c r="AH1365" i="15"/>
  <c r="AG1365" i="15"/>
  <c r="AI1327" i="15"/>
  <c r="AH1327" i="15"/>
  <c r="AG1327" i="15"/>
  <c r="AI890" i="15"/>
  <c r="AH890" i="15"/>
  <c r="AG890" i="15"/>
  <c r="AI1023" i="15"/>
  <c r="AH1023" i="15"/>
  <c r="AG1023" i="15"/>
  <c r="AI1479" i="15"/>
  <c r="AG1479" i="15"/>
  <c r="AI1517" i="15"/>
  <c r="AH1517" i="15"/>
  <c r="AG1517" i="15"/>
  <c r="AI1175" i="15"/>
  <c r="AH1175" i="15"/>
  <c r="AG1175" i="15"/>
  <c r="AI472" i="15"/>
  <c r="AG472" i="15"/>
  <c r="AH472" i="15"/>
  <c r="AI1498" i="15"/>
  <c r="AH1498" i="15"/>
  <c r="AG1498" i="15"/>
  <c r="AI1422" i="15"/>
  <c r="AH1422" i="15"/>
  <c r="AG1422" i="15"/>
  <c r="AI909" i="15"/>
  <c r="AH909" i="15"/>
  <c r="AG909" i="15"/>
  <c r="AI1384" i="15"/>
  <c r="AH1384" i="15"/>
  <c r="AG1384" i="15"/>
  <c r="AI1118" i="15"/>
  <c r="AH1118" i="15"/>
  <c r="AG1118" i="15"/>
  <c r="AI434" i="15"/>
  <c r="AH434" i="15"/>
  <c r="AG434" i="15"/>
  <c r="AI529" i="15"/>
  <c r="AH529" i="15"/>
  <c r="AG529" i="15"/>
  <c r="AI1080" i="15"/>
  <c r="AH1080" i="15"/>
  <c r="AG1080" i="15"/>
  <c r="AI149" i="15"/>
  <c r="AH149" i="15"/>
  <c r="AG149" i="15"/>
  <c r="AI776" i="15"/>
  <c r="AH776" i="15"/>
  <c r="AG776" i="15"/>
  <c r="AI852" i="15"/>
  <c r="AH852" i="15"/>
  <c r="AG852" i="15"/>
  <c r="AI1403" i="15"/>
  <c r="AG1403" i="15"/>
  <c r="AH1403" i="15"/>
  <c r="AI1213" i="15"/>
  <c r="AH1213" i="15"/>
  <c r="AG1213" i="15"/>
  <c r="AI377" i="15"/>
  <c r="AH377" i="15"/>
  <c r="AG377" i="15"/>
  <c r="AI662" i="15"/>
  <c r="AH662" i="15"/>
  <c r="AG662" i="15"/>
  <c r="AI1441" i="15"/>
  <c r="AH1441" i="15"/>
  <c r="AG1441" i="15"/>
  <c r="AI1289" i="15"/>
  <c r="AH1289" i="15"/>
  <c r="AG1289" i="15"/>
  <c r="AI1251" i="15"/>
  <c r="AH1251" i="15"/>
  <c r="AG1251" i="15"/>
  <c r="AG1461" i="15"/>
  <c r="AI814" i="15"/>
  <c r="AH814" i="15"/>
  <c r="AG814" i="15"/>
  <c r="AI1308" i="15"/>
  <c r="AH1308" i="15"/>
  <c r="AG1308" i="15"/>
  <c r="AI966" i="15"/>
  <c r="AH966" i="15"/>
  <c r="AG966" i="15"/>
  <c r="AI985" i="15"/>
  <c r="AH985" i="15"/>
  <c r="AG985" i="15"/>
  <c r="AI1346" i="15"/>
  <c r="AH1346" i="15"/>
  <c r="AG1346" i="15"/>
  <c r="AI54" i="15"/>
  <c r="AH54" i="15"/>
  <c r="AG54" i="15"/>
  <c r="AI282" i="15"/>
  <c r="AH282" i="15"/>
  <c r="AG282" i="15"/>
  <c r="AI795" i="15"/>
  <c r="AH795" i="15"/>
  <c r="AG795" i="15"/>
  <c r="AI947" i="15"/>
  <c r="AH947" i="15"/>
  <c r="AG947" i="15"/>
  <c r="AI35" i="15"/>
  <c r="AH35" i="15"/>
  <c r="AG35" i="15"/>
  <c r="AI1042" i="15"/>
  <c r="AH1042" i="15"/>
  <c r="AG1042" i="15"/>
  <c r="AI1137" i="15"/>
  <c r="AH1137" i="15"/>
  <c r="AG1137" i="15"/>
  <c r="AI92" i="15"/>
  <c r="AH92" i="15"/>
  <c r="AG92" i="15"/>
  <c r="AI510" i="15"/>
  <c r="AH510" i="15"/>
  <c r="AG510" i="15"/>
  <c r="AI1061" i="15"/>
  <c r="AH1061" i="15"/>
  <c r="AG1061" i="15"/>
  <c r="AI1194" i="15"/>
  <c r="AH1194" i="15"/>
  <c r="AG1194" i="15"/>
  <c r="AI320" i="15"/>
  <c r="AH320" i="15"/>
  <c r="AG320" i="15"/>
  <c r="AI833" i="15"/>
  <c r="AH833" i="15"/>
  <c r="AG833" i="15"/>
  <c r="AI624" i="15"/>
  <c r="AH624" i="15"/>
  <c r="AG624" i="15"/>
  <c r="AI928" i="15"/>
  <c r="AH928" i="15"/>
  <c r="AG928" i="15"/>
  <c r="AI453" i="15"/>
  <c r="AH453" i="15"/>
  <c r="AG453" i="15"/>
  <c r="AH719" i="15"/>
  <c r="AI1156" i="15"/>
  <c r="AH1156" i="15"/>
  <c r="AG1156" i="15"/>
  <c r="AI757" i="15"/>
  <c r="AH757" i="15"/>
  <c r="AG757" i="15"/>
  <c r="AI681" i="15"/>
  <c r="AH681" i="15"/>
  <c r="AG681" i="15"/>
  <c r="AI567" i="15"/>
  <c r="AH567" i="15"/>
  <c r="AG567" i="15"/>
  <c r="AI738" i="15"/>
  <c r="AH738" i="15"/>
  <c r="AG738" i="15"/>
  <c r="AI871" i="15"/>
  <c r="AH871" i="15"/>
  <c r="AG871" i="15"/>
  <c r="AI1232" i="15"/>
  <c r="AH1232" i="15"/>
  <c r="AG1232" i="15"/>
  <c r="AI168" i="15"/>
  <c r="AH168" i="15"/>
  <c r="AG168" i="15"/>
  <c r="AI605" i="15"/>
  <c r="AH605" i="15"/>
  <c r="AG605" i="15"/>
  <c r="AI244" i="15"/>
  <c r="AH244" i="15"/>
  <c r="AG244" i="15"/>
  <c r="AI110" i="15"/>
  <c r="AH110" i="15"/>
  <c r="AG110" i="15"/>
  <c r="AI262" i="15"/>
  <c r="AH262" i="15"/>
  <c r="AG262" i="15"/>
  <c r="AI205" i="15"/>
  <c r="AH205" i="15"/>
  <c r="AG205" i="15"/>
  <c r="AI964" i="15"/>
  <c r="AH964" i="15"/>
  <c r="AG964" i="15"/>
  <c r="AI242" i="15"/>
  <c r="AH242" i="15"/>
  <c r="AG242" i="15"/>
  <c r="AI185" i="15"/>
  <c r="AH185" i="15"/>
  <c r="AG185" i="15"/>
  <c r="AI926" i="15"/>
  <c r="AH926" i="15"/>
  <c r="AG926" i="15"/>
  <c r="AI660" i="15"/>
  <c r="AH660" i="15"/>
  <c r="AG660" i="15"/>
  <c r="AI1230" i="15"/>
  <c r="AH1230" i="15"/>
  <c r="AG1230" i="15"/>
  <c r="AI869" i="15"/>
  <c r="AH869" i="15"/>
  <c r="AG869" i="15"/>
  <c r="AI1004" i="15"/>
  <c r="AH1004" i="15"/>
  <c r="AG1004" i="15"/>
  <c r="AI413" i="15"/>
  <c r="AH413" i="15"/>
  <c r="AG413" i="15"/>
  <c r="AI261" i="15"/>
  <c r="AH261" i="15"/>
  <c r="AG261" i="15"/>
  <c r="AI301" i="15"/>
  <c r="AH301" i="15"/>
  <c r="AG301" i="15"/>
  <c r="AI1097" i="15"/>
  <c r="AH1097" i="15"/>
  <c r="AG1097" i="15"/>
  <c r="AI641" i="15"/>
  <c r="AH641" i="15"/>
  <c r="AG641" i="15"/>
  <c r="Z641" i="15"/>
  <c r="Z1097" i="15"/>
  <c r="Z738" i="15"/>
  <c r="Z301" i="15"/>
  <c r="Z1003" i="15"/>
  <c r="Z833" i="15"/>
  <c r="Z413" i="15"/>
  <c r="Z261" i="15"/>
  <c r="AI396" i="15"/>
  <c r="Z660" i="15"/>
  <c r="Z869" i="15"/>
  <c r="Z964" i="15"/>
  <c r="Z185" i="15"/>
  <c r="Z1230" i="15"/>
  <c r="Z186" i="15"/>
  <c r="Z242" i="15"/>
  <c r="Z262" i="15"/>
  <c r="Z926" i="15"/>
  <c r="AI263" i="15"/>
  <c r="Z110" i="15"/>
  <c r="Z205" i="15"/>
  <c r="Z1365" i="15"/>
  <c r="Z890" i="15"/>
  <c r="Z1479" i="15"/>
  <c r="Z1118" i="15"/>
  <c r="Z1441" i="15"/>
  <c r="Z1461" i="15"/>
  <c r="Z985" i="15"/>
  <c r="Z54" i="15"/>
  <c r="Z947" i="15"/>
  <c r="Z757" i="15"/>
  <c r="Z1232" i="15"/>
  <c r="Z491" i="15"/>
  <c r="Z1498" i="15"/>
  <c r="Z662" i="15"/>
  <c r="Z1251" i="15"/>
  <c r="Z1137" i="15"/>
  <c r="Z1194" i="15"/>
  <c r="Z320" i="15"/>
  <c r="Z624" i="15"/>
  <c r="Z1517" i="15"/>
  <c r="Z1042" i="15"/>
  <c r="Z510" i="15"/>
  <c r="Z453" i="15"/>
  <c r="Z73" i="15"/>
  <c r="Z586" i="15"/>
  <c r="Z1213" i="15"/>
  <c r="Z1289" i="15"/>
  <c r="Z1308" i="15"/>
  <c r="Z1327" i="15"/>
  <c r="Z1384" i="15"/>
  <c r="Z529" i="15"/>
  <c r="Z282" i="15"/>
  <c r="Z17" i="15"/>
  <c r="Z359" i="15"/>
  <c r="Z1270" i="15"/>
  <c r="Z1175" i="15"/>
  <c r="Z909" i="15"/>
  <c r="Z149" i="15"/>
  <c r="Z814" i="15"/>
  <c r="Z35" i="15"/>
  <c r="Z92" i="15"/>
  <c r="Z244" i="15"/>
  <c r="Z1023" i="15"/>
  <c r="Z1422" i="15"/>
  <c r="Z966" i="15"/>
  <c r="Z871" i="15"/>
  <c r="Z168" i="15"/>
  <c r="Z1080" i="15"/>
  <c r="Z377" i="15"/>
  <c r="Z719" i="15"/>
  <c r="Z928" i="15"/>
  <c r="Z1346" i="15"/>
  <c r="Z472" i="15"/>
  <c r="Z434" i="15"/>
  <c r="Z758" i="15"/>
  <c r="Z1403" i="15"/>
  <c r="Z567" i="15"/>
  <c r="Z776" i="15"/>
  <c r="Z852" i="15"/>
  <c r="Z795" i="15"/>
  <c r="Z1061" i="15"/>
  <c r="Z681" i="15"/>
  <c r="Z605" i="15"/>
  <c r="Z340" i="15"/>
  <c r="AI1461" i="15" l="1"/>
  <c r="AH1461" i="15"/>
  <c r="Z130" i="15"/>
  <c r="AG929" i="15"/>
  <c r="AI1462" i="15"/>
  <c r="Z263" i="15"/>
  <c r="AG719" i="15"/>
  <c r="AG130" i="15"/>
  <c r="AH130" i="15"/>
  <c r="Z187" i="15"/>
  <c r="AG263" i="15"/>
  <c r="AH263" i="15"/>
  <c r="AG396" i="15"/>
  <c r="AH396" i="15"/>
  <c r="AI74" i="15"/>
  <c r="AH74" i="15"/>
  <c r="AG74" i="15"/>
  <c r="AI18" i="15"/>
  <c r="AH18" i="15"/>
  <c r="AG18" i="15"/>
  <c r="AI341" i="15"/>
  <c r="AH341" i="15"/>
  <c r="AG341" i="15"/>
  <c r="AI360" i="15"/>
  <c r="AH360" i="15"/>
  <c r="AG360" i="15"/>
  <c r="AI549" i="15"/>
  <c r="AH549" i="15"/>
  <c r="AG549" i="15"/>
  <c r="AI302" i="15"/>
  <c r="AG302" i="15"/>
  <c r="AH302" i="15"/>
  <c r="AI1385" i="15"/>
  <c r="AH1385" i="15"/>
  <c r="AG1385" i="15"/>
  <c r="AI1518" i="15"/>
  <c r="AH1518" i="15"/>
  <c r="AG1518" i="15"/>
  <c r="AI739" i="15"/>
  <c r="AH739" i="15"/>
  <c r="AG739" i="15"/>
  <c r="AI777" i="15"/>
  <c r="AH777" i="15"/>
  <c r="AG777" i="15"/>
  <c r="AI321" i="15"/>
  <c r="AH321" i="15"/>
  <c r="AG321" i="15"/>
  <c r="AI1157" i="15"/>
  <c r="AH1157" i="15"/>
  <c r="AG1157" i="15"/>
  <c r="AI1366" i="15"/>
  <c r="AH1366" i="15"/>
  <c r="AG1366" i="15"/>
  <c r="AI606" i="15"/>
  <c r="AH606" i="15"/>
  <c r="AG606" i="15"/>
  <c r="AI454" i="15"/>
  <c r="AH454" i="15"/>
  <c r="AG454" i="15"/>
  <c r="AI530" i="15"/>
  <c r="AH530" i="15"/>
  <c r="AG530" i="15"/>
  <c r="AI663" i="15"/>
  <c r="AH663" i="15"/>
  <c r="AG663" i="15"/>
  <c r="AI131" i="15"/>
  <c r="AH131" i="15"/>
  <c r="AG131" i="15"/>
  <c r="AI492" i="15"/>
  <c r="AH492" i="15"/>
  <c r="AG492" i="15"/>
  <c r="AI1480" i="15"/>
  <c r="AH1480" i="15"/>
  <c r="AG1480" i="15"/>
  <c r="AI568" i="15"/>
  <c r="AH568" i="15"/>
  <c r="AG568" i="15"/>
  <c r="AI1233" i="15"/>
  <c r="AH1233" i="15"/>
  <c r="AG1233" i="15"/>
  <c r="AI948" i="15"/>
  <c r="AH948" i="15"/>
  <c r="AG948" i="15"/>
  <c r="AI55" i="15"/>
  <c r="AH55" i="15"/>
  <c r="AG55" i="15"/>
  <c r="AI435" i="15"/>
  <c r="AH435" i="15"/>
  <c r="AG435" i="15"/>
  <c r="AI986" i="15"/>
  <c r="AH986" i="15"/>
  <c r="AG986" i="15"/>
  <c r="AI853" i="15"/>
  <c r="AH853" i="15"/>
  <c r="AG853" i="15"/>
  <c r="AI967" i="15"/>
  <c r="AH967" i="15"/>
  <c r="AG967" i="15"/>
  <c r="AI910" i="15"/>
  <c r="AH910" i="15"/>
  <c r="AG910" i="15"/>
  <c r="AI1214" i="15"/>
  <c r="AH1214" i="15"/>
  <c r="AG1214" i="15"/>
  <c r="AI891" i="15"/>
  <c r="AH891" i="15"/>
  <c r="AG891" i="15"/>
  <c r="AI1309" i="15"/>
  <c r="AH1309" i="15"/>
  <c r="AG1309" i="15"/>
  <c r="AI1195" i="15"/>
  <c r="AH1195" i="15"/>
  <c r="AG1195" i="15"/>
  <c r="AI1119" i="15"/>
  <c r="AH1119" i="15"/>
  <c r="AG1119" i="15"/>
  <c r="AI1347" i="15"/>
  <c r="AH1347" i="15"/>
  <c r="AG1347" i="15"/>
  <c r="AI150" i="15"/>
  <c r="AH150" i="15"/>
  <c r="AG150" i="15"/>
  <c r="AH1462" i="15"/>
  <c r="AG1462" i="15"/>
  <c r="AI834" i="15"/>
  <c r="AH834" i="15"/>
  <c r="AG834" i="15"/>
  <c r="AI36" i="15"/>
  <c r="AH36" i="15"/>
  <c r="AG36" i="15"/>
  <c r="AI93" i="15"/>
  <c r="AH93" i="15"/>
  <c r="AG93" i="15"/>
  <c r="AI1138" i="15"/>
  <c r="AH1138" i="15"/>
  <c r="AG1138" i="15"/>
  <c r="AI815" i="15"/>
  <c r="AH815" i="15"/>
  <c r="AG815" i="15"/>
  <c r="AI283" i="15"/>
  <c r="AH283" i="15"/>
  <c r="AG283" i="15"/>
  <c r="AI1404" i="15"/>
  <c r="AH1404" i="15"/>
  <c r="AG1404" i="15"/>
  <c r="AI1043" i="15"/>
  <c r="AH1043" i="15"/>
  <c r="AG1043" i="15"/>
  <c r="AI1252" i="15"/>
  <c r="AH1252" i="15"/>
  <c r="AG1252" i="15"/>
  <c r="AH1442" i="15"/>
  <c r="AI1442" i="15"/>
  <c r="AG1442" i="15"/>
  <c r="AI1024" i="15"/>
  <c r="AH1024" i="15"/>
  <c r="AG1024" i="15"/>
  <c r="AI378" i="15"/>
  <c r="AH378" i="15"/>
  <c r="AG378" i="15"/>
  <c r="AI1423" i="15"/>
  <c r="AH1423" i="15"/>
  <c r="AG1423" i="15"/>
  <c r="AI1062" i="15"/>
  <c r="AH1062" i="15"/>
  <c r="AG1062" i="15"/>
  <c r="AI701" i="15"/>
  <c r="AH701" i="15"/>
  <c r="AG701" i="15"/>
  <c r="AI625" i="15"/>
  <c r="AH625" i="15"/>
  <c r="AG625" i="15"/>
  <c r="AI758" i="15"/>
  <c r="AH758" i="15"/>
  <c r="AG758" i="15"/>
  <c r="AI1271" i="15"/>
  <c r="AH1271" i="15"/>
  <c r="AG1271" i="15"/>
  <c r="AI796" i="15"/>
  <c r="AH796" i="15"/>
  <c r="AG796" i="15"/>
  <c r="AI169" i="15"/>
  <c r="AH169" i="15"/>
  <c r="AG169" i="15"/>
  <c r="AI587" i="15"/>
  <c r="AH587" i="15"/>
  <c r="AG587" i="15"/>
  <c r="AI1081" i="15"/>
  <c r="AH1081" i="15"/>
  <c r="AG1081" i="15"/>
  <c r="AI226" i="15"/>
  <c r="AH226" i="15"/>
  <c r="AG226" i="15"/>
  <c r="AI872" i="15"/>
  <c r="AH872" i="15"/>
  <c r="AG872" i="15"/>
  <c r="AI1290" i="15"/>
  <c r="AH1290" i="15"/>
  <c r="AG1290" i="15"/>
  <c r="AI1328" i="15"/>
  <c r="AH1328" i="15"/>
  <c r="AG1328" i="15"/>
  <c r="AI720" i="15"/>
  <c r="AH720" i="15"/>
  <c r="AG720" i="15"/>
  <c r="AI929" i="15"/>
  <c r="AI1499" i="15"/>
  <c r="AG1499" i="15"/>
  <c r="AH1499" i="15"/>
  <c r="AI473" i="15"/>
  <c r="AH473" i="15"/>
  <c r="AG473" i="15"/>
  <c r="AI415" i="15"/>
  <c r="AH415" i="15"/>
  <c r="AG415" i="15"/>
  <c r="AI206" i="15"/>
  <c r="AH206" i="15"/>
  <c r="AG206" i="15"/>
  <c r="AI243" i="15"/>
  <c r="AH243" i="15"/>
  <c r="AG243" i="15"/>
  <c r="AI1136" i="15"/>
  <c r="AH1136" i="15"/>
  <c r="AG1136" i="15"/>
  <c r="AI414" i="15"/>
  <c r="AH414" i="15"/>
  <c r="AG414" i="15"/>
  <c r="AI775" i="15"/>
  <c r="AH775" i="15"/>
  <c r="AG775" i="15"/>
  <c r="AI111" i="15"/>
  <c r="AH111" i="15"/>
  <c r="AG111" i="15"/>
  <c r="AI187" i="15"/>
  <c r="AH187" i="15"/>
  <c r="AG187" i="15"/>
  <c r="AI1098" i="15"/>
  <c r="AH1098" i="15"/>
  <c r="AG1098" i="15"/>
  <c r="AI642" i="15"/>
  <c r="AH642" i="15"/>
  <c r="AG642" i="15"/>
  <c r="Z1098" i="15"/>
  <c r="Z642" i="15"/>
  <c r="Z111" i="15"/>
  <c r="Z396" i="15"/>
  <c r="Z775" i="15"/>
  <c r="Z243" i="15"/>
  <c r="Z1136" i="15"/>
  <c r="Z414" i="15"/>
  <c r="Z1271" i="15"/>
  <c r="Z701" i="15"/>
  <c r="Z415" i="15"/>
  <c r="Z206" i="15"/>
  <c r="Z872" i="15"/>
  <c r="Z454" i="15"/>
  <c r="Z948" i="15"/>
  <c r="Z435" i="15"/>
  <c r="Z1138" i="15"/>
  <c r="Z1442" i="15"/>
  <c r="Z169" i="15"/>
  <c r="Z1385" i="15"/>
  <c r="Z1480" i="15"/>
  <c r="Z55" i="15"/>
  <c r="Z986" i="15"/>
  <c r="Z1195" i="15"/>
  <c r="Z720" i="15"/>
  <c r="Z663" i="15"/>
  <c r="Z1462" i="15"/>
  <c r="Z36" i="15"/>
  <c r="Z1024" i="15"/>
  <c r="Z796" i="15"/>
  <c r="Z587" i="15"/>
  <c r="Z530" i="15"/>
  <c r="Z606" i="15"/>
  <c r="Z378" i="15"/>
  <c r="Z929" i="15"/>
  <c r="Z473" i="15"/>
  <c r="Z302" i="15"/>
  <c r="Z131" i="15"/>
  <c r="Z568" i="15"/>
  <c r="Z1119" i="15"/>
  <c r="Z834" i="15"/>
  <c r="Z93" i="15"/>
  <c r="Z625" i="15"/>
  <c r="Z1081" i="15"/>
  <c r="Z1290" i="15"/>
  <c r="Z1328" i="15"/>
  <c r="Z18" i="15"/>
  <c r="Z341" i="15"/>
  <c r="Z360" i="15"/>
  <c r="Z1518" i="15"/>
  <c r="Z853" i="15"/>
  <c r="Z910" i="15"/>
  <c r="Z815" i="15"/>
  <c r="Z1043" i="15"/>
  <c r="Z1423" i="15"/>
  <c r="Z1062" i="15"/>
  <c r="Z1499" i="15"/>
  <c r="Z74" i="15"/>
  <c r="Z549" i="15"/>
  <c r="Z492" i="15"/>
  <c r="Z1309" i="15"/>
  <c r="Z1347" i="15"/>
  <c r="Z1252" i="15"/>
  <c r="Z739" i="15"/>
  <c r="Z777" i="15"/>
  <c r="Z321" i="15"/>
  <c r="Z1157" i="15"/>
  <c r="Z967" i="15"/>
  <c r="Z1214" i="15"/>
  <c r="Z150" i="15"/>
  <c r="Z283" i="15"/>
  <c r="Z891" i="15"/>
  <c r="Z1233" i="15"/>
  <c r="Z226" i="15"/>
  <c r="Z1367" i="15"/>
  <c r="Z1404" i="15"/>
  <c r="Z1366" i="15"/>
  <c r="Z550" i="15" l="1"/>
  <c r="Z1006" i="15"/>
  <c r="AH929" i="15"/>
  <c r="AI416" i="15"/>
  <c r="AG416" i="15"/>
  <c r="AH416" i="15"/>
  <c r="AI19" i="15"/>
  <c r="AH19" i="15"/>
  <c r="AG19" i="15"/>
  <c r="AI75" i="15"/>
  <c r="AH75" i="15"/>
  <c r="AG75" i="15"/>
  <c r="AI342" i="15"/>
  <c r="AH342" i="15"/>
  <c r="AG342" i="15"/>
  <c r="AI361" i="15"/>
  <c r="AH361" i="15"/>
  <c r="AG361" i="15"/>
  <c r="AI740" i="15"/>
  <c r="AH740" i="15"/>
  <c r="AG740" i="15"/>
  <c r="AI37" i="15"/>
  <c r="AH37" i="15"/>
  <c r="AG37" i="15"/>
  <c r="AI1177" i="15"/>
  <c r="AH1177" i="15"/>
  <c r="AG1177" i="15"/>
  <c r="AI170" i="15"/>
  <c r="AH170" i="15"/>
  <c r="AG170" i="15"/>
  <c r="AI1291" i="15"/>
  <c r="AH1291" i="15"/>
  <c r="AG1291" i="15"/>
  <c r="AI1272" i="15"/>
  <c r="AH1272" i="15"/>
  <c r="AG1272" i="15"/>
  <c r="AI759" i="15"/>
  <c r="AH759" i="15"/>
  <c r="AG759" i="15"/>
  <c r="AI702" i="15"/>
  <c r="AH702" i="15"/>
  <c r="AG702" i="15"/>
  <c r="AI1139" i="15"/>
  <c r="AH1139" i="15"/>
  <c r="AG1139" i="15"/>
  <c r="AI1424" i="15"/>
  <c r="AH1424" i="15"/>
  <c r="AG1424" i="15"/>
  <c r="AI303" i="15"/>
  <c r="AH303" i="15"/>
  <c r="AG303" i="15"/>
  <c r="AI1063" i="15"/>
  <c r="AH1063" i="15"/>
  <c r="AG1063" i="15"/>
  <c r="AI1348" i="15"/>
  <c r="AH1348" i="15"/>
  <c r="AG1348" i="15"/>
  <c r="AI1007" i="15"/>
  <c r="AH1007" i="15"/>
  <c r="AG1007" i="15"/>
  <c r="AI1405" i="15"/>
  <c r="AH1405" i="15"/>
  <c r="AG1405" i="15"/>
  <c r="AI284" i="15"/>
  <c r="AH284" i="15"/>
  <c r="AG284" i="15"/>
  <c r="AI94" i="15"/>
  <c r="AH94" i="15"/>
  <c r="AG94" i="15"/>
  <c r="AI873" i="15"/>
  <c r="AH873" i="15"/>
  <c r="AG873" i="15"/>
  <c r="AI1215" i="15"/>
  <c r="AH1215" i="15"/>
  <c r="AG1215" i="15"/>
  <c r="AI911" i="15"/>
  <c r="AH911" i="15"/>
  <c r="AG911" i="15"/>
  <c r="AI1120" i="15"/>
  <c r="AH1120" i="15"/>
  <c r="AG1120" i="15"/>
  <c r="AI1386" i="15"/>
  <c r="AH1386" i="15"/>
  <c r="AG1386" i="15"/>
  <c r="AI797" i="15"/>
  <c r="AH797" i="15"/>
  <c r="AG797" i="15"/>
  <c r="AI1519" i="15"/>
  <c r="AH1519" i="15"/>
  <c r="AG1519" i="15"/>
  <c r="AI512" i="15"/>
  <c r="AH512" i="15"/>
  <c r="AG512" i="15"/>
  <c r="AI1329" i="15"/>
  <c r="AH1329" i="15"/>
  <c r="AG1329" i="15"/>
  <c r="AI1310" i="15"/>
  <c r="AH1310" i="15"/>
  <c r="AG1310" i="15"/>
  <c r="AI854" i="15"/>
  <c r="AH854" i="15"/>
  <c r="AG854" i="15"/>
  <c r="AI1481" i="15"/>
  <c r="AH1481" i="15"/>
  <c r="AG1481" i="15"/>
  <c r="AI379" i="15"/>
  <c r="AH379" i="15"/>
  <c r="AG379" i="15"/>
  <c r="AI1234" i="15"/>
  <c r="AH1234" i="15"/>
  <c r="AG1234" i="15"/>
  <c r="AI816" i="15"/>
  <c r="AH816" i="15"/>
  <c r="AG816" i="15"/>
  <c r="AI683" i="15"/>
  <c r="AH683" i="15"/>
  <c r="AG683" i="15"/>
  <c r="AI436" i="15"/>
  <c r="AH436" i="15"/>
  <c r="AG436" i="15"/>
  <c r="AI531" i="15"/>
  <c r="AH531" i="15"/>
  <c r="AG531" i="15"/>
  <c r="AI1044" i="15"/>
  <c r="AH1044" i="15"/>
  <c r="AG1044" i="15"/>
  <c r="AI322" i="15"/>
  <c r="AH322" i="15"/>
  <c r="AG322" i="15"/>
  <c r="AI1463" i="15"/>
  <c r="AH1463" i="15"/>
  <c r="AG1463" i="15"/>
  <c r="AI835" i="15"/>
  <c r="AH835" i="15"/>
  <c r="AG835" i="15"/>
  <c r="AI588" i="15"/>
  <c r="AH588" i="15"/>
  <c r="AG588" i="15"/>
  <c r="AI474" i="15"/>
  <c r="AH474" i="15"/>
  <c r="AG474" i="15"/>
  <c r="AI778" i="15"/>
  <c r="AH778" i="15"/>
  <c r="AG778" i="15"/>
  <c r="AI455" i="15"/>
  <c r="AH455" i="15"/>
  <c r="AG455" i="15"/>
  <c r="AI721" i="15"/>
  <c r="AH721" i="15"/>
  <c r="AG721" i="15"/>
  <c r="AI493" i="15"/>
  <c r="AH493" i="15"/>
  <c r="AG493" i="15"/>
  <c r="AI626" i="15"/>
  <c r="AH626" i="15"/>
  <c r="AG626" i="15"/>
  <c r="AI607" i="15"/>
  <c r="AH607" i="15"/>
  <c r="AG607" i="15"/>
  <c r="AI1253" i="15"/>
  <c r="AH1253" i="15"/>
  <c r="AG1253" i="15"/>
  <c r="AI569" i="15"/>
  <c r="AH569" i="15"/>
  <c r="AG569" i="15"/>
  <c r="AI968" i="15"/>
  <c r="AH968" i="15"/>
  <c r="AG968" i="15"/>
  <c r="AI1443" i="15"/>
  <c r="AH1443" i="15"/>
  <c r="AG1443" i="15"/>
  <c r="AI1500" i="15"/>
  <c r="AH1500" i="15"/>
  <c r="AG1500" i="15"/>
  <c r="AI892" i="15"/>
  <c r="AH892" i="15"/>
  <c r="AG892" i="15"/>
  <c r="AI949" i="15"/>
  <c r="AH949" i="15"/>
  <c r="AG949" i="15"/>
  <c r="AI151" i="15"/>
  <c r="AH151" i="15"/>
  <c r="AG151" i="15"/>
  <c r="AI227" i="15"/>
  <c r="AH227" i="15"/>
  <c r="AG227" i="15"/>
  <c r="AI664" i="15"/>
  <c r="AH664" i="15"/>
  <c r="AG664" i="15"/>
  <c r="AI1196" i="15"/>
  <c r="AH1196" i="15"/>
  <c r="AG1196" i="15"/>
  <c r="AI1367" i="15"/>
  <c r="AH1367" i="15"/>
  <c r="AG1367" i="15"/>
  <c r="AI1158" i="15"/>
  <c r="AH1158" i="15"/>
  <c r="AG1158" i="15"/>
  <c r="AI246" i="15"/>
  <c r="AH246" i="15"/>
  <c r="AG246" i="15"/>
  <c r="AI398" i="15"/>
  <c r="AH398" i="15"/>
  <c r="AG398" i="15"/>
  <c r="AI264" i="15"/>
  <c r="AH264" i="15"/>
  <c r="AG264" i="15"/>
  <c r="AI188" i="15"/>
  <c r="AH188" i="15"/>
  <c r="AG188" i="15"/>
  <c r="AI1005" i="15"/>
  <c r="AH1005" i="15"/>
  <c r="AG1005" i="15"/>
  <c r="AI112" i="15"/>
  <c r="AH112" i="15"/>
  <c r="AG112" i="15"/>
  <c r="AI417" i="15"/>
  <c r="AI1100" i="15"/>
  <c r="AH1100" i="15"/>
  <c r="AG1100" i="15"/>
  <c r="AI225" i="15"/>
  <c r="AH225" i="15"/>
  <c r="AG225" i="15"/>
  <c r="AI700" i="15"/>
  <c r="AH700" i="15"/>
  <c r="AG700" i="15"/>
  <c r="AI1006" i="15"/>
  <c r="AH1006" i="15"/>
  <c r="AG1006" i="15"/>
  <c r="AI397" i="15"/>
  <c r="AH397" i="15"/>
  <c r="AG397" i="15"/>
  <c r="AI550" i="15"/>
  <c r="AH550" i="15"/>
  <c r="AG550" i="15"/>
  <c r="AI1099" i="15"/>
  <c r="AH1099" i="15"/>
  <c r="AG1099" i="15"/>
  <c r="AI643" i="15"/>
  <c r="AH643" i="15"/>
  <c r="AG643" i="15"/>
  <c r="Z643" i="15"/>
  <c r="Z1099" i="15"/>
  <c r="Z1196" i="15"/>
  <c r="Z397" i="15"/>
  <c r="Z416" i="15"/>
  <c r="Z265" i="15"/>
  <c r="Z1100" i="15"/>
  <c r="Z700" i="15"/>
  <c r="Z225" i="15"/>
  <c r="Z188" i="15"/>
  <c r="Z264" i="15"/>
  <c r="Z112" i="15"/>
  <c r="Z1005" i="15"/>
  <c r="Z626" i="15"/>
  <c r="Z569" i="15"/>
  <c r="Z1272" i="15"/>
  <c r="Z1063" i="15"/>
  <c r="Z1519" i="15"/>
  <c r="Z1310" i="15"/>
  <c r="Z816" i="15"/>
  <c r="Z683" i="15"/>
  <c r="Z1044" i="15"/>
  <c r="Z455" i="15"/>
  <c r="Z1291" i="15"/>
  <c r="Z1139" i="15"/>
  <c r="Z1386" i="15"/>
  <c r="Z493" i="15"/>
  <c r="Z1253" i="15"/>
  <c r="Z1443" i="15"/>
  <c r="Z227" i="15"/>
  <c r="Z246" i="15"/>
  <c r="Z759" i="15"/>
  <c r="Z702" i="15"/>
  <c r="Z1348" i="15"/>
  <c r="Z94" i="15"/>
  <c r="Z1481" i="15"/>
  <c r="Z1234" i="15"/>
  <c r="Z436" i="15"/>
  <c r="Z322" i="15"/>
  <c r="Z835" i="15"/>
  <c r="Z778" i="15"/>
  <c r="Z75" i="15"/>
  <c r="Z1424" i="15"/>
  <c r="Z1120" i="15"/>
  <c r="Z664" i="15"/>
  <c r="Z19" i="15"/>
  <c r="Z911" i="15"/>
  <c r="Z512" i="15"/>
  <c r="Z854" i="15"/>
  <c r="Z379" i="15"/>
  <c r="Z531" i="15"/>
  <c r="Z1463" i="15"/>
  <c r="Z721" i="15"/>
  <c r="Z892" i="15"/>
  <c r="Z1177" i="15"/>
  <c r="Z361" i="15"/>
  <c r="Z1405" i="15"/>
  <c r="Z873" i="15"/>
  <c r="Z1215" i="15"/>
  <c r="Z607" i="15"/>
  <c r="Z968" i="15"/>
  <c r="Z170" i="15"/>
  <c r="Z797" i="15"/>
  <c r="Z1329" i="15"/>
  <c r="Z588" i="15"/>
  <c r="Z1500" i="15"/>
  <c r="Z151" i="15"/>
  <c r="Z740" i="15"/>
  <c r="Z303" i="15"/>
  <c r="Z342" i="15"/>
  <c r="Z37" i="15"/>
  <c r="Z1007" i="15"/>
  <c r="Z284" i="15"/>
  <c r="Z949" i="15"/>
  <c r="Z1158" i="15"/>
  <c r="Z398" i="15"/>
  <c r="Z1349" i="15"/>
  <c r="Z474" i="15"/>
  <c r="AG417" i="15" l="1"/>
  <c r="AH682" i="15"/>
  <c r="AG682" i="15"/>
  <c r="Z682" i="15"/>
  <c r="AI682" i="15"/>
  <c r="AH1176" i="15"/>
  <c r="AG1176" i="15"/>
  <c r="Z1176" i="15"/>
  <c r="AI1176" i="15"/>
  <c r="AH417" i="15"/>
  <c r="Z417" i="15"/>
  <c r="Z399" i="15"/>
  <c r="AI684" i="15"/>
  <c r="Z189" i="15"/>
  <c r="AH399" i="15"/>
  <c r="AI399" i="15"/>
  <c r="AG265" i="15"/>
  <c r="AH265" i="15"/>
  <c r="AI265" i="15"/>
  <c r="AG189" i="15"/>
  <c r="AH189" i="15"/>
  <c r="AG399" i="15"/>
  <c r="AI189" i="15"/>
  <c r="AI20" i="15"/>
  <c r="AG20" i="15"/>
  <c r="AH20" i="15"/>
  <c r="AI76" i="15"/>
  <c r="AH76" i="15"/>
  <c r="AG76" i="15"/>
  <c r="AI343" i="15"/>
  <c r="AH343" i="15"/>
  <c r="AG343" i="15"/>
  <c r="AI362" i="15"/>
  <c r="AH362" i="15"/>
  <c r="AG362" i="15"/>
  <c r="AI1083" i="15"/>
  <c r="AH1083" i="15"/>
  <c r="AG1083" i="15"/>
  <c r="AI703" i="15"/>
  <c r="AH703" i="15"/>
  <c r="AG703" i="15"/>
  <c r="AI1273" i="15"/>
  <c r="AH1273" i="15"/>
  <c r="AG1273" i="15"/>
  <c r="AI285" i="15"/>
  <c r="AH285" i="15"/>
  <c r="AG285" i="15"/>
  <c r="AI1254" i="15"/>
  <c r="AH1254" i="15"/>
  <c r="AG1254" i="15"/>
  <c r="AI627" i="15"/>
  <c r="AH627" i="15"/>
  <c r="AG627" i="15"/>
  <c r="AI1464" i="15"/>
  <c r="AH1464" i="15"/>
  <c r="AG1464" i="15"/>
  <c r="AI437" i="15"/>
  <c r="AH437" i="15"/>
  <c r="AG437" i="15"/>
  <c r="AI589" i="15"/>
  <c r="AH589" i="15"/>
  <c r="AG589" i="15"/>
  <c r="AI494" i="15"/>
  <c r="AH494" i="15"/>
  <c r="AG494" i="15"/>
  <c r="AI874" i="15"/>
  <c r="AH874" i="15"/>
  <c r="AG874" i="15"/>
  <c r="AI1444" i="15"/>
  <c r="AH1444" i="15"/>
  <c r="AG1444" i="15"/>
  <c r="AI1140" i="15"/>
  <c r="AH1140" i="15"/>
  <c r="AG1140" i="15"/>
  <c r="AI323" i="15"/>
  <c r="AH323" i="15"/>
  <c r="AG323" i="15"/>
  <c r="AI56" i="15"/>
  <c r="AH56" i="15"/>
  <c r="AG56" i="15"/>
  <c r="AI1520" i="15"/>
  <c r="AH1520" i="15"/>
  <c r="AG1520" i="15"/>
  <c r="AI475" i="15"/>
  <c r="AH475" i="15"/>
  <c r="AG475" i="15"/>
  <c r="AI1330" i="15"/>
  <c r="AH1330" i="15"/>
  <c r="AG1330" i="15"/>
  <c r="AI1064" i="15"/>
  <c r="AH1064" i="15"/>
  <c r="AG1064" i="15"/>
  <c r="AI1026" i="15"/>
  <c r="AH1026" i="15"/>
  <c r="AG1026" i="15"/>
  <c r="AI1121" i="15"/>
  <c r="AH1121" i="15"/>
  <c r="AG1121" i="15"/>
  <c r="AI855" i="15"/>
  <c r="AH855" i="15"/>
  <c r="AG855" i="15"/>
  <c r="AI513" i="15"/>
  <c r="AH513" i="15"/>
  <c r="AG513" i="15"/>
  <c r="AI722" i="15"/>
  <c r="AH722" i="15"/>
  <c r="AG722" i="15"/>
  <c r="AI741" i="15"/>
  <c r="AH741" i="15"/>
  <c r="AG741" i="15"/>
  <c r="AI152" i="15"/>
  <c r="AH152" i="15"/>
  <c r="AG152" i="15"/>
  <c r="AI760" i="15"/>
  <c r="AH760" i="15"/>
  <c r="AG760" i="15"/>
  <c r="AI1235" i="15"/>
  <c r="AH1235" i="15"/>
  <c r="AG1235" i="15"/>
  <c r="AI1406" i="15"/>
  <c r="AH1406" i="15"/>
  <c r="AG1406" i="15"/>
  <c r="AI1368" i="15"/>
  <c r="AH1368" i="15"/>
  <c r="AG1368" i="15"/>
  <c r="AI665" i="15"/>
  <c r="AH665" i="15"/>
  <c r="AG665" i="15"/>
  <c r="AI1311" i="15"/>
  <c r="AH1311" i="15"/>
  <c r="AG1311" i="15"/>
  <c r="AI912" i="15"/>
  <c r="AH912" i="15"/>
  <c r="AG912" i="15"/>
  <c r="AI171" i="15"/>
  <c r="AH171" i="15"/>
  <c r="AG171" i="15"/>
  <c r="AI1501" i="15"/>
  <c r="AH1501" i="15"/>
  <c r="AG1501" i="15"/>
  <c r="AI132" i="15"/>
  <c r="AH132" i="15"/>
  <c r="AG132" i="15"/>
  <c r="AI228" i="15"/>
  <c r="AH228" i="15"/>
  <c r="AG228" i="15"/>
  <c r="AI798" i="15"/>
  <c r="AH798" i="15"/>
  <c r="AG798" i="15"/>
  <c r="AI608" i="15"/>
  <c r="AH608" i="15"/>
  <c r="AG608" i="15"/>
  <c r="AI380" i="15"/>
  <c r="AH380" i="15"/>
  <c r="AG380" i="15"/>
  <c r="AI779" i="15"/>
  <c r="AH779" i="15"/>
  <c r="AG779" i="15"/>
  <c r="AI893" i="15"/>
  <c r="AH893" i="15"/>
  <c r="AG893" i="15"/>
  <c r="AI1216" i="15"/>
  <c r="AH1216" i="15"/>
  <c r="AG1216" i="15"/>
  <c r="AI1159" i="15"/>
  <c r="AH1159" i="15"/>
  <c r="AG1159" i="15"/>
  <c r="AI38" i="15"/>
  <c r="AH38" i="15"/>
  <c r="AG38" i="15"/>
  <c r="AI1045" i="15"/>
  <c r="AH1045" i="15"/>
  <c r="AG1045" i="15"/>
  <c r="AI950" i="15"/>
  <c r="AH950" i="15"/>
  <c r="AG950" i="15"/>
  <c r="AI570" i="15"/>
  <c r="AH570" i="15"/>
  <c r="AG570" i="15"/>
  <c r="AI1482" i="15"/>
  <c r="AH1482" i="15"/>
  <c r="AG1482" i="15"/>
  <c r="AI969" i="15"/>
  <c r="AH969" i="15"/>
  <c r="AG969" i="15"/>
  <c r="AI1425" i="15"/>
  <c r="AH1425" i="15"/>
  <c r="AG1425" i="15"/>
  <c r="AI456" i="15"/>
  <c r="AH456" i="15"/>
  <c r="AG456" i="15"/>
  <c r="AI1349" i="15"/>
  <c r="AH1349" i="15"/>
  <c r="AG1349" i="15"/>
  <c r="AI817" i="15"/>
  <c r="AH817" i="15"/>
  <c r="AG817" i="15"/>
  <c r="AI1292" i="15"/>
  <c r="AH1292" i="15"/>
  <c r="AG1292" i="15"/>
  <c r="AI988" i="15"/>
  <c r="AH988" i="15"/>
  <c r="AG988" i="15"/>
  <c r="AI551" i="15"/>
  <c r="AH551" i="15"/>
  <c r="AG551" i="15"/>
  <c r="AI836" i="15"/>
  <c r="AH836" i="15"/>
  <c r="AG836" i="15"/>
  <c r="AI1387" i="15"/>
  <c r="AH1387" i="15"/>
  <c r="AG1387" i="15"/>
  <c r="AI1197" i="15"/>
  <c r="AH1197" i="15"/>
  <c r="AG1197" i="15"/>
  <c r="AI304" i="15"/>
  <c r="AH304" i="15"/>
  <c r="AG304" i="15"/>
  <c r="AI113" i="15"/>
  <c r="AH113" i="15"/>
  <c r="AG113" i="15"/>
  <c r="AI511" i="15"/>
  <c r="AH511" i="15"/>
  <c r="AG511" i="15"/>
  <c r="AI207" i="15"/>
  <c r="AH207" i="15"/>
  <c r="AG207" i="15"/>
  <c r="AI245" i="15"/>
  <c r="AH245" i="15"/>
  <c r="AG245" i="15"/>
  <c r="AI644" i="15"/>
  <c r="AH644" i="15"/>
  <c r="AG644" i="15"/>
  <c r="Z400" i="15"/>
  <c r="Z644" i="15"/>
  <c r="Z208" i="15"/>
  <c r="Z511" i="15"/>
  <c r="Z207" i="15"/>
  <c r="Z245" i="15"/>
  <c r="Z113" i="15"/>
  <c r="Z1254" i="15"/>
  <c r="Z1026" i="15"/>
  <c r="Z722" i="15"/>
  <c r="Z1368" i="15"/>
  <c r="Z1501" i="15"/>
  <c r="Z779" i="15"/>
  <c r="Z836" i="15"/>
  <c r="Z1197" i="15"/>
  <c r="Z362" i="15"/>
  <c r="Z1273" i="15"/>
  <c r="Z1444" i="15"/>
  <c r="Z1045" i="15"/>
  <c r="Z627" i="15"/>
  <c r="Z437" i="15"/>
  <c r="Z323" i="15"/>
  <c r="Z1520" i="15"/>
  <c r="Z855" i="15"/>
  <c r="Z741" i="15"/>
  <c r="Z1235" i="15"/>
  <c r="Z798" i="15"/>
  <c r="Z1425" i="15"/>
  <c r="Z817" i="15"/>
  <c r="Z20" i="15"/>
  <c r="Z171" i="15"/>
  <c r="Z1216" i="15"/>
  <c r="Z950" i="15"/>
  <c r="Z513" i="15"/>
  <c r="Z152" i="15"/>
  <c r="Z665" i="15"/>
  <c r="Z228" i="15"/>
  <c r="Z608" i="15"/>
  <c r="Z1482" i="15"/>
  <c r="Z456" i="15"/>
  <c r="Z551" i="15"/>
  <c r="Z1464" i="15"/>
  <c r="Z1083" i="15"/>
  <c r="Z1140" i="15"/>
  <c r="Z56" i="15"/>
  <c r="Z1330" i="15"/>
  <c r="Z1064" i="15"/>
  <c r="Z912" i="15"/>
  <c r="Z1159" i="15"/>
  <c r="Z570" i="15"/>
  <c r="Z988" i="15"/>
  <c r="Z76" i="15"/>
  <c r="Z343" i="15"/>
  <c r="Z285" i="15"/>
  <c r="Z475" i="15"/>
  <c r="Z1121" i="15"/>
  <c r="Z760" i="15"/>
  <c r="Z1406" i="15"/>
  <c r="Z380" i="15"/>
  <c r="Z969" i="15"/>
  <c r="Z1387" i="15"/>
  <c r="Z703" i="15"/>
  <c r="Z589" i="15"/>
  <c r="Z494" i="15"/>
  <c r="Z874" i="15"/>
  <c r="Z1311" i="15"/>
  <c r="Z893" i="15"/>
  <c r="Z38" i="15"/>
  <c r="Z1292" i="15"/>
  <c r="Z304" i="15"/>
  <c r="Z132" i="15"/>
  <c r="Z684" i="15" l="1"/>
  <c r="AH684" i="15"/>
  <c r="AG684" i="15"/>
  <c r="AI77" i="15"/>
  <c r="AH77" i="15"/>
  <c r="AG77" i="15"/>
  <c r="AI21" i="15"/>
  <c r="AH21" i="15"/>
  <c r="AG21" i="15"/>
  <c r="AI344" i="15"/>
  <c r="AH344" i="15"/>
  <c r="AG344" i="15"/>
  <c r="AI363" i="15"/>
  <c r="AH363" i="15"/>
  <c r="AG363" i="15"/>
  <c r="AI96" i="15"/>
  <c r="AH96" i="15"/>
  <c r="AG96" i="15"/>
  <c r="AI1046" i="15"/>
  <c r="AH1046" i="15"/>
  <c r="AG1046" i="15"/>
  <c r="AI134" i="15"/>
  <c r="AH134" i="15"/>
  <c r="AG134" i="15"/>
  <c r="AI1521" i="15"/>
  <c r="AH1521" i="15"/>
  <c r="AG1521" i="15"/>
  <c r="AI989" i="15"/>
  <c r="AH989" i="15"/>
  <c r="AG989" i="15"/>
  <c r="AI1198" i="15"/>
  <c r="AH1198" i="15"/>
  <c r="AG1198" i="15"/>
  <c r="AI742" i="15"/>
  <c r="AH742" i="15"/>
  <c r="AG742" i="15"/>
  <c r="AI1065" i="15"/>
  <c r="AH1065" i="15"/>
  <c r="AG1065" i="15"/>
  <c r="AI590" i="15"/>
  <c r="AH590" i="15"/>
  <c r="AG590" i="15"/>
  <c r="AI818" i="15"/>
  <c r="AH818" i="15"/>
  <c r="AG818" i="15"/>
  <c r="AI57" i="15"/>
  <c r="AH57" i="15"/>
  <c r="AG57" i="15"/>
  <c r="AI286" i="15"/>
  <c r="AH286" i="15"/>
  <c r="AG286" i="15"/>
  <c r="AI1331" i="15"/>
  <c r="AG1331" i="15"/>
  <c r="AH1331" i="15"/>
  <c r="AI438" i="15"/>
  <c r="AH438" i="15"/>
  <c r="AG438" i="15"/>
  <c r="AI1179" i="15"/>
  <c r="AH1179" i="15"/>
  <c r="AG1179" i="15"/>
  <c r="AI932" i="15"/>
  <c r="AH932" i="15"/>
  <c r="AG932" i="15"/>
  <c r="AI951" i="15"/>
  <c r="AH951" i="15"/>
  <c r="AG951" i="15"/>
  <c r="AI1160" i="15"/>
  <c r="AH1160" i="15"/>
  <c r="AG1160" i="15"/>
  <c r="AI780" i="15"/>
  <c r="AH780" i="15"/>
  <c r="AG780" i="15"/>
  <c r="AI1255" i="15"/>
  <c r="AH1255" i="15"/>
  <c r="AG1255" i="15"/>
  <c r="AI1426" i="15"/>
  <c r="AH1426" i="15"/>
  <c r="AG1426" i="15"/>
  <c r="AI837" i="15"/>
  <c r="AH837" i="15"/>
  <c r="AG837" i="15"/>
  <c r="AI799" i="15"/>
  <c r="AH799" i="15"/>
  <c r="AG799" i="15"/>
  <c r="AI1465" i="15"/>
  <c r="AH1465" i="15"/>
  <c r="AG1465" i="15"/>
  <c r="AI894" i="15"/>
  <c r="AH894" i="15"/>
  <c r="AG894" i="15"/>
  <c r="AI324" i="15"/>
  <c r="AH324" i="15"/>
  <c r="AG324" i="15"/>
  <c r="AI970" i="15"/>
  <c r="AH970" i="15"/>
  <c r="AG970" i="15"/>
  <c r="AI39" i="15"/>
  <c r="AH39" i="15"/>
  <c r="AG39" i="15"/>
  <c r="AI1027" i="15"/>
  <c r="AH1027" i="15"/>
  <c r="AG1027" i="15"/>
  <c r="AI305" i="15"/>
  <c r="AH305" i="15"/>
  <c r="AG305" i="15"/>
  <c r="AI1369" i="15"/>
  <c r="AH1369" i="15"/>
  <c r="AG1369" i="15"/>
  <c r="AI552" i="15"/>
  <c r="AG552" i="15"/>
  <c r="AH552" i="15"/>
  <c r="AI1217" i="15"/>
  <c r="AH1217" i="15"/>
  <c r="AG1217" i="15"/>
  <c r="AI1293" i="15"/>
  <c r="AH1293" i="15"/>
  <c r="AG1293" i="15"/>
  <c r="AI913" i="15"/>
  <c r="AG913" i="15"/>
  <c r="AH913" i="15"/>
  <c r="AI476" i="15"/>
  <c r="AH476" i="15"/>
  <c r="AG476" i="15"/>
  <c r="AI1388" i="15"/>
  <c r="AH1388" i="15"/>
  <c r="AG1388" i="15"/>
  <c r="AI1084" i="15"/>
  <c r="AH1084" i="15"/>
  <c r="AG1084" i="15"/>
  <c r="AI457" i="15"/>
  <c r="AH457" i="15"/>
  <c r="AG457" i="15"/>
  <c r="AI1274" i="15"/>
  <c r="AH1274" i="15"/>
  <c r="AG1274" i="15"/>
  <c r="AI856" i="15"/>
  <c r="AH856" i="15"/>
  <c r="AG856" i="15"/>
  <c r="AI1122" i="15"/>
  <c r="AH1122" i="15"/>
  <c r="AG1122" i="15"/>
  <c r="AI1407" i="15"/>
  <c r="AH1407" i="15"/>
  <c r="AG1407" i="15"/>
  <c r="AI514" i="15"/>
  <c r="AH514" i="15"/>
  <c r="AG514" i="15"/>
  <c r="AI1141" i="15"/>
  <c r="AH1141" i="15"/>
  <c r="AG1141" i="15"/>
  <c r="AI571" i="15"/>
  <c r="AH571" i="15"/>
  <c r="AG571" i="15"/>
  <c r="AI1483" i="15"/>
  <c r="AH1483" i="15"/>
  <c r="AG1483" i="15"/>
  <c r="AI666" i="15"/>
  <c r="AH666" i="15"/>
  <c r="AG666" i="15"/>
  <c r="AI875" i="15"/>
  <c r="AH875" i="15"/>
  <c r="AG875" i="15"/>
  <c r="AI495" i="15"/>
  <c r="AH495" i="15"/>
  <c r="AG495" i="15"/>
  <c r="AI1312" i="15"/>
  <c r="AH1312" i="15"/>
  <c r="AG1312" i="15"/>
  <c r="AI133" i="15"/>
  <c r="AH133" i="15"/>
  <c r="AG133" i="15"/>
  <c r="AI685" i="15"/>
  <c r="AH685" i="15"/>
  <c r="AG685" i="15"/>
  <c r="AI1502" i="15"/>
  <c r="AH1502" i="15"/>
  <c r="AG1502" i="15"/>
  <c r="AI628" i="15"/>
  <c r="AH628" i="15"/>
  <c r="AG628" i="15"/>
  <c r="AI761" i="15"/>
  <c r="AH761" i="15"/>
  <c r="AG761" i="15"/>
  <c r="AI172" i="15"/>
  <c r="AH172" i="15"/>
  <c r="AG172" i="15"/>
  <c r="AI723" i="15"/>
  <c r="AH723" i="15"/>
  <c r="AG723" i="15"/>
  <c r="AI1445" i="15"/>
  <c r="AH1445" i="15"/>
  <c r="AG1445" i="15"/>
  <c r="AI1236" i="15"/>
  <c r="AH1236" i="15"/>
  <c r="AG1236" i="15"/>
  <c r="AI609" i="15"/>
  <c r="AH609" i="15"/>
  <c r="AG609" i="15"/>
  <c r="AI153" i="15"/>
  <c r="AH153" i="15"/>
  <c r="AG153" i="15"/>
  <c r="AI1350" i="15"/>
  <c r="AH1350" i="15"/>
  <c r="AG1350" i="15"/>
  <c r="AI266" i="15"/>
  <c r="AH266" i="15"/>
  <c r="AG266" i="15"/>
  <c r="AI114" i="15"/>
  <c r="AH114" i="15"/>
  <c r="AG114" i="15"/>
  <c r="AI930" i="15"/>
  <c r="AH930" i="15"/>
  <c r="AG930" i="15"/>
  <c r="AI1025" i="15"/>
  <c r="AH1025" i="15"/>
  <c r="AG1025" i="15"/>
  <c r="AI190" i="15"/>
  <c r="AH190" i="15"/>
  <c r="AG190" i="15"/>
  <c r="AI987" i="15"/>
  <c r="AH987" i="15"/>
  <c r="AG987" i="15"/>
  <c r="AI1082" i="15"/>
  <c r="AH1082" i="15"/>
  <c r="AG1082" i="15"/>
  <c r="AI209" i="15"/>
  <c r="AH209" i="15"/>
  <c r="AG209" i="15"/>
  <c r="AI1008" i="15"/>
  <c r="AH1008" i="15"/>
  <c r="AG1008" i="15"/>
  <c r="AI208" i="15"/>
  <c r="AH208" i="15"/>
  <c r="AG208" i="15"/>
  <c r="AI645" i="15"/>
  <c r="AH645" i="15"/>
  <c r="AG645" i="15"/>
  <c r="AI1101" i="15"/>
  <c r="AH1101" i="15"/>
  <c r="AG1101" i="15"/>
  <c r="AI400" i="15"/>
  <c r="AH400" i="15"/>
  <c r="AG400" i="15"/>
  <c r="Z190" i="15"/>
  <c r="Z645" i="15"/>
  <c r="Z1101" i="15"/>
  <c r="Z418" i="15"/>
  <c r="Z1008" i="15"/>
  <c r="Z514" i="15"/>
  <c r="Z1025" i="15"/>
  <c r="Z1082" i="15"/>
  <c r="AG247" i="15"/>
  <c r="Z930" i="15"/>
  <c r="Z987" i="15"/>
  <c r="Z209" i="15"/>
  <c r="Z266" i="15"/>
  <c r="Z114" i="15"/>
  <c r="Z1198" i="15"/>
  <c r="Z742" i="15"/>
  <c r="Z39" i="15"/>
  <c r="Z552" i="15"/>
  <c r="Z1293" i="15"/>
  <c r="Z476" i="15"/>
  <c r="Z1122" i="15"/>
  <c r="Z685" i="15"/>
  <c r="Z628" i="15"/>
  <c r="Z1236" i="15"/>
  <c r="Z1521" i="15"/>
  <c r="Z590" i="15"/>
  <c r="Z932" i="15"/>
  <c r="Z1255" i="15"/>
  <c r="Z970" i="15"/>
  <c r="Z571" i="15"/>
  <c r="Z495" i="15"/>
  <c r="Z1350" i="15"/>
  <c r="Z1217" i="15"/>
  <c r="Z1388" i="15"/>
  <c r="Z761" i="15"/>
  <c r="Z723" i="15"/>
  <c r="Z609" i="15"/>
  <c r="Z1065" i="15"/>
  <c r="Z989" i="15"/>
  <c r="Z1331" i="15"/>
  <c r="Z951" i="15"/>
  <c r="Z837" i="15"/>
  <c r="Z457" i="15"/>
  <c r="Z1483" i="15"/>
  <c r="Z1312" i="15"/>
  <c r="Z134" i="15"/>
  <c r="Z77" i="15"/>
  <c r="Z1046" i="15"/>
  <c r="Z799" i="15"/>
  <c r="Z1084" i="15"/>
  <c r="Z1407" i="15"/>
  <c r="Z1502" i="15"/>
  <c r="Z286" i="15"/>
  <c r="Z1160" i="15"/>
  <c r="Z894" i="15"/>
  <c r="Z1027" i="15"/>
  <c r="Z305" i="15"/>
  <c r="Z666" i="15"/>
  <c r="Z21" i="15"/>
  <c r="Z1369" i="15"/>
  <c r="Z913" i="15"/>
  <c r="Z856" i="15"/>
  <c r="Z1141" i="15"/>
  <c r="Z172" i="15"/>
  <c r="Z1445" i="15"/>
  <c r="Z344" i="15"/>
  <c r="Z363" i="15"/>
  <c r="Z96" i="15"/>
  <c r="Z818" i="15"/>
  <c r="Z438" i="15"/>
  <c r="Z1179" i="15"/>
  <c r="Z780" i="15"/>
  <c r="Z1426" i="15"/>
  <c r="Z1465" i="15"/>
  <c r="Z324" i="15"/>
  <c r="Z1274" i="15"/>
  <c r="Z875" i="15"/>
  <c r="Z133" i="15"/>
  <c r="Z153" i="15"/>
  <c r="Z57" i="15"/>
  <c r="AG43" i="15" l="1"/>
  <c r="Z43" i="15"/>
  <c r="AI43" i="15"/>
  <c r="AH43" i="15"/>
  <c r="AI115" i="15"/>
  <c r="Z268" i="15"/>
  <c r="AH247" i="15"/>
  <c r="AI247" i="15"/>
  <c r="AG115" i="15"/>
  <c r="AH115" i="15"/>
  <c r="AI78" i="15"/>
  <c r="AH78" i="15"/>
  <c r="AG78" i="15"/>
  <c r="AI401" i="15"/>
  <c r="AH401" i="15"/>
  <c r="AG401" i="15"/>
  <c r="AI364" i="15"/>
  <c r="AH364" i="15"/>
  <c r="AG364" i="15"/>
  <c r="AI762" i="15"/>
  <c r="AH762" i="15"/>
  <c r="AG762" i="15"/>
  <c r="AI1389" i="15"/>
  <c r="AH1389" i="15"/>
  <c r="AG1389" i="15"/>
  <c r="AI895" i="15"/>
  <c r="AH895" i="15"/>
  <c r="AG895" i="15"/>
  <c r="AI876" i="15"/>
  <c r="AH876" i="15"/>
  <c r="AG876" i="15"/>
  <c r="AI952" i="15"/>
  <c r="AH952" i="15"/>
  <c r="AG952" i="15"/>
  <c r="AI838" i="15"/>
  <c r="AH838" i="15"/>
  <c r="AG838" i="15"/>
  <c r="AI572" i="15"/>
  <c r="AH572" i="15"/>
  <c r="AG572" i="15"/>
  <c r="AI933" i="15"/>
  <c r="AH933" i="15"/>
  <c r="AG933" i="15"/>
  <c r="AI990" i="15"/>
  <c r="AH990" i="15"/>
  <c r="AG990" i="15"/>
  <c r="AI1237" i="15"/>
  <c r="AH1237" i="15"/>
  <c r="AG1237" i="15"/>
  <c r="AI1408" i="15"/>
  <c r="AH1408" i="15"/>
  <c r="AG1408" i="15"/>
  <c r="AI1275" i="15"/>
  <c r="AH1275" i="15"/>
  <c r="AG1275" i="15"/>
  <c r="AI306" i="15"/>
  <c r="AH306" i="15"/>
  <c r="AG306" i="15"/>
  <c r="AI1142" i="15"/>
  <c r="AH1142" i="15"/>
  <c r="AG1142" i="15"/>
  <c r="AI439" i="15"/>
  <c r="AH439" i="15"/>
  <c r="AG439" i="15"/>
  <c r="AI800" i="15"/>
  <c r="AH800" i="15"/>
  <c r="AG800" i="15"/>
  <c r="AI1256" i="15"/>
  <c r="AH1256" i="15"/>
  <c r="AG1256" i="15"/>
  <c r="AI1427" i="15"/>
  <c r="AH1427" i="15"/>
  <c r="AG1427" i="15"/>
  <c r="AI59" i="15"/>
  <c r="AG59" i="15"/>
  <c r="AH59" i="15"/>
  <c r="AI1484" i="15"/>
  <c r="AH1484" i="15"/>
  <c r="AG1484" i="15"/>
  <c r="AI496" i="15"/>
  <c r="AH496" i="15"/>
  <c r="AG496" i="15"/>
  <c r="AI1351" i="15"/>
  <c r="AH1351" i="15"/>
  <c r="AG1351" i="15"/>
  <c r="AI230" i="15"/>
  <c r="AH230" i="15"/>
  <c r="AG230" i="15"/>
  <c r="AI1446" i="15"/>
  <c r="AH1446" i="15"/>
  <c r="AG1446" i="15"/>
  <c r="AI1085" i="15"/>
  <c r="AH1085" i="15"/>
  <c r="AG1085" i="15"/>
  <c r="AI724" i="15"/>
  <c r="AH724" i="15"/>
  <c r="AG724" i="15"/>
  <c r="AI1218" i="15"/>
  <c r="AH1218" i="15"/>
  <c r="AG1218" i="15"/>
  <c r="AI458" i="15"/>
  <c r="AH458" i="15"/>
  <c r="AG458" i="15"/>
  <c r="AI743" i="15"/>
  <c r="AH743" i="15"/>
  <c r="AG743" i="15"/>
  <c r="AI819" i="15"/>
  <c r="AH819" i="15"/>
  <c r="AG819" i="15"/>
  <c r="AI534" i="15"/>
  <c r="AH534" i="15"/>
  <c r="AG534" i="15"/>
  <c r="AI1332" i="15"/>
  <c r="AH1332" i="15"/>
  <c r="AG1332" i="15"/>
  <c r="AI1161" i="15"/>
  <c r="AH1161" i="15"/>
  <c r="AG1161" i="15"/>
  <c r="AI515" i="15"/>
  <c r="AH515" i="15"/>
  <c r="AG515" i="15"/>
  <c r="AI1180" i="15"/>
  <c r="AH1180" i="15"/>
  <c r="AG1180" i="15"/>
  <c r="AI1294" i="15"/>
  <c r="AH1294" i="15"/>
  <c r="AG1294" i="15"/>
  <c r="AI1066" i="15"/>
  <c r="AH1066" i="15"/>
  <c r="AG1066" i="15"/>
  <c r="AI325" i="15"/>
  <c r="AH325" i="15"/>
  <c r="AG325" i="15"/>
  <c r="AI287" i="15"/>
  <c r="AH287" i="15"/>
  <c r="AG287" i="15"/>
  <c r="AI610" i="15"/>
  <c r="AH610" i="15"/>
  <c r="AG610" i="15"/>
  <c r="AI1028" i="15"/>
  <c r="AH1028" i="15"/>
  <c r="AG1028" i="15"/>
  <c r="AI173" i="15"/>
  <c r="AH173" i="15"/>
  <c r="AG173" i="15"/>
  <c r="AI1047" i="15"/>
  <c r="AH1047" i="15"/>
  <c r="AG1047" i="15"/>
  <c r="AI58" i="15"/>
  <c r="AH58" i="15"/>
  <c r="AG58" i="15"/>
  <c r="AI914" i="15"/>
  <c r="AH914" i="15"/>
  <c r="AG914" i="15"/>
  <c r="AI686" i="15"/>
  <c r="AH686" i="15"/>
  <c r="AG686" i="15"/>
  <c r="AI629" i="15"/>
  <c r="AH629" i="15"/>
  <c r="AG629" i="15"/>
  <c r="AI1503" i="15"/>
  <c r="AH1503" i="15"/>
  <c r="AG1503" i="15"/>
  <c r="AI97" i="15"/>
  <c r="AH97" i="15"/>
  <c r="AG97" i="15"/>
  <c r="AI1313" i="15"/>
  <c r="AH1313" i="15"/>
  <c r="AG1313" i="15"/>
  <c r="AI135" i="15"/>
  <c r="AH135" i="15"/>
  <c r="AG135" i="15"/>
  <c r="AI781" i="15"/>
  <c r="AH781" i="15"/>
  <c r="AG781" i="15"/>
  <c r="AI1370" i="15"/>
  <c r="AH1370" i="15"/>
  <c r="AG1370" i="15"/>
  <c r="AI1123" i="15"/>
  <c r="AH1123" i="15"/>
  <c r="AG1123" i="15"/>
  <c r="AI1199" i="15"/>
  <c r="AH1199" i="15"/>
  <c r="AG1199" i="15"/>
  <c r="AI857" i="15"/>
  <c r="AH857" i="15"/>
  <c r="AG857" i="15"/>
  <c r="AI591" i="15"/>
  <c r="AH591" i="15"/>
  <c r="AG591" i="15"/>
  <c r="AI40" i="15"/>
  <c r="AH40" i="15"/>
  <c r="AG40" i="15"/>
  <c r="AI1522" i="15"/>
  <c r="AH1522" i="15"/>
  <c r="AG1522" i="15"/>
  <c r="AI154" i="15"/>
  <c r="AH154" i="15"/>
  <c r="AG154" i="15"/>
  <c r="AI419" i="15"/>
  <c r="AH419" i="15"/>
  <c r="AG419" i="15"/>
  <c r="AI268" i="15"/>
  <c r="AI191" i="15"/>
  <c r="AH191" i="15"/>
  <c r="AG191" i="15"/>
  <c r="AI1178" i="15"/>
  <c r="AH1178" i="15"/>
  <c r="AG1178" i="15"/>
  <c r="AI532" i="15"/>
  <c r="AH532" i="15"/>
  <c r="AG532" i="15"/>
  <c r="AI95" i="15"/>
  <c r="AH95" i="15"/>
  <c r="AG95" i="15"/>
  <c r="AI931" i="15"/>
  <c r="AH931" i="15"/>
  <c r="AG931" i="15"/>
  <c r="AI667" i="15"/>
  <c r="AH667" i="15"/>
  <c r="AG667" i="15"/>
  <c r="AI646" i="15"/>
  <c r="AH646" i="15"/>
  <c r="AG646" i="15"/>
  <c r="AI418" i="15"/>
  <c r="AH418" i="15"/>
  <c r="AG418" i="15"/>
  <c r="AI1102" i="15"/>
  <c r="AH1102" i="15"/>
  <c r="AG1102" i="15"/>
  <c r="Z646" i="15"/>
  <c r="Z1102" i="15"/>
  <c r="Z857" i="15"/>
  <c r="Z115" i="15"/>
  <c r="Z477" i="15"/>
  <c r="Z532" i="15"/>
  <c r="Z1178" i="15"/>
  <c r="Z247" i="15"/>
  <c r="Z931" i="15"/>
  <c r="Z95" i="15"/>
  <c r="AH345" i="15"/>
  <c r="Z191" i="15"/>
  <c r="Z591" i="15"/>
  <c r="Z419" i="15"/>
  <c r="Z401" i="15"/>
  <c r="Z895" i="15"/>
  <c r="Z1237" i="15"/>
  <c r="Z59" i="15"/>
  <c r="Z743" i="15"/>
  <c r="Z534" i="15"/>
  <c r="Z1294" i="15"/>
  <c r="Z1123" i="15"/>
  <c r="Z762" i="15"/>
  <c r="Z838" i="15"/>
  <c r="Z800" i="15"/>
  <c r="Z1047" i="15"/>
  <c r="Z58" i="15"/>
  <c r="Z629" i="15"/>
  <c r="Z572" i="15"/>
  <c r="Z819" i="15"/>
  <c r="Z515" i="15"/>
  <c r="Z781" i="15"/>
  <c r="Z1199" i="15"/>
  <c r="Z1522" i="15"/>
  <c r="Z439" i="15"/>
  <c r="Z496" i="15"/>
  <c r="Z1218" i="15"/>
  <c r="Z1389" i="15"/>
  <c r="Z1275" i="15"/>
  <c r="Z1256" i="15"/>
  <c r="Z230" i="15"/>
  <c r="Z1085" i="15"/>
  <c r="Z724" i="15"/>
  <c r="Z914" i="15"/>
  <c r="Z1313" i="15"/>
  <c r="Z952" i="15"/>
  <c r="Z990" i="15"/>
  <c r="Z667" i="15"/>
  <c r="Z458" i="15"/>
  <c r="Z1332" i="15"/>
  <c r="Z325" i="15"/>
  <c r="Z610" i="15"/>
  <c r="Z1370" i="15"/>
  <c r="Z876" i="15"/>
  <c r="Z1427" i="15"/>
  <c r="Z1484" i="15"/>
  <c r="Z1351" i="15"/>
  <c r="Z686" i="15"/>
  <c r="Z1503" i="15"/>
  <c r="Z78" i="15"/>
  <c r="Z1161" i="15"/>
  <c r="Z1180" i="15"/>
  <c r="Z1066" i="15"/>
  <c r="Z287" i="15"/>
  <c r="Z1028" i="15"/>
  <c r="Z173" i="15"/>
  <c r="Z933" i="15"/>
  <c r="Z1408" i="15"/>
  <c r="Z306" i="15"/>
  <c r="Z1142" i="15"/>
  <c r="Z1446" i="15"/>
  <c r="Z97" i="15"/>
  <c r="Z40" i="15"/>
  <c r="Z154" i="15"/>
  <c r="Z135" i="15"/>
  <c r="Z364" i="15"/>
  <c r="Z346" i="15" s="1"/>
  <c r="AI24" i="15" l="1"/>
  <c r="Z24" i="15"/>
  <c r="AH24" i="15"/>
  <c r="AG24" i="15"/>
  <c r="Z5" i="15"/>
  <c r="AH5" i="15"/>
  <c r="AI5" i="15"/>
  <c r="AG5" i="15"/>
  <c r="AI25" i="15"/>
  <c r="AH25" i="15"/>
  <c r="AG25" i="15"/>
  <c r="Z25" i="15"/>
  <c r="AI420" i="15"/>
  <c r="AI116" i="15"/>
  <c r="AH268" i="15"/>
  <c r="Z420" i="15"/>
  <c r="AI327" i="15"/>
  <c r="AI155" i="15"/>
  <c r="AG268" i="15"/>
  <c r="AG420" i="15"/>
  <c r="AI345" i="15"/>
  <c r="AH420" i="15"/>
  <c r="AG116" i="15"/>
  <c r="AH116" i="15"/>
  <c r="AG345" i="15"/>
  <c r="AI22" i="15"/>
  <c r="AH22" i="15"/>
  <c r="AG22" i="15"/>
  <c r="AI346" i="15"/>
  <c r="AH346" i="15"/>
  <c r="AG346" i="15"/>
  <c r="AI553" i="15"/>
  <c r="AH553" i="15"/>
  <c r="AG553" i="15"/>
  <c r="AI1466" i="15"/>
  <c r="AH1466" i="15"/>
  <c r="AG1466" i="15"/>
  <c r="AI249" i="15"/>
  <c r="AH249" i="15"/>
  <c r="AG249" i="15"/>
  <c r="AI211" i="15"/>
  <c r="AH211" i="15"/>
  <c r="AG211" i="15"/>
  <c r="AI192" i="15"/>
  <c r="AH192" i="15"/>
  <c r="AG192" i="15"/>
  <c r="AI248" i="15"/>
  <c r="AH248" i="15"/>
  <c r="AG248" i="15"/>
  <c r="AI267" i="15"/>
  <c r="AH267" i="15"/>
  <c r="AG267" i="15"/>
  <c r="AI210" i="15"/>
  <c r="AH210" i="15"/>
  <c r="AG210" i="15"/>
  <c r="AI704" i="15"/>
  <c r="AH704" i="15"/>
  <c r="AG704" i="15"/>
  <c r="AI229" i="15"/>
  <c r="AH229" i="15"/>
  <c r="AG229" i="15"/>
  <c r="AI533" i="15"/>
  <c r="AH533" i="15"/>
  <c r="AG533" i="15"/>
  <c r="AI381" i="15"/>
  <c r="AH381" i="15"/>
  <c r="AG381" i="15"/>
  <c r="AI554" i="15"/>
  <c r="AH554" i="15"/>
  <c r="AG554" i="15"/>
  <c r="AI477" i="15"/>
  <c r="AH477" i="15"/>
  <c r="AG477" i="15"/>
  <c r="AI647" i="15"/>
  <c r="AH647" i="15"/>
  <c r="AG647" i="15"/>
  <c r="AI1103" i="15"/>
  <c r="AH1103" i="15"/>
  <c r="AG1103" i="15"/>
  <c r="Z647" i="15"/>
  <c r="Z1103" i="15"/>
  <c r="Z116" i="15"/>
  <c r="Z136" i="15"/>
  <c r="Z118" i="15" s="1"/>
  <c r="Z345" i="15"/>
  <c r="Z327" i="15" s="1"/>
  <c r="Z554" i="15"/>
  <c r="Z248" i="15"/>
  <c r="Z229" i="15"/>
  <c r="Z267" i="15"/>
  <c r="Z210" i="15"/>
  <c r="Z704" i="15"/>
  <c r="Z381" i="15"/>
  <c r="Z533" i="15"/>
  <c r="Z1010" i="15"/>
  <c r="Z192" i="15"/>
  <c r="Z211" i="15"/>
  <c r="Z553" i="15"/>
  <c r="Z249" i="15"/>
  <c r="Z1466" i="15"/>
  <c r="Z1448" i="15" s="1"/>
  <c r="Z22" i="15"/>
  <c r="Z536" i="15" l="1"/>
  <c r="Z6" i="15"/>
  <c r="Z4" i="15" s="1"/>
  <c r="AI6" i="15"/>
  <c r="AH6" i="15"/>
  <c r="AG6" i="15"/>
  <c r="AH137" i="15"/>
  <c r="Z155" i="15"/>
  <c r="Z137" i="15" s="1"/>
  <c r="AG327" i="15"/>
  <c r="AH327" i="15"/>
  <c r="AG155" i="15"/>
  <c r="AH155" i="15"/>
  <c r="AI79" i="15"/>
  <c r="AH79" i="15"/>
  <c r="AG79" i="15"/>
  <c r="AI4" i="15"/>
  <c r="AH4" i="15"/>
  <c r="AG4" i="15"/>
  <c r="AI402" i="15"/>
  <c r="AH402" i="15"/>
  <c r="AG402" i="15"/>
  <c r="AI1181" i="15"/>
  <c r="AH1181" i="15"/>
  <c r="AG1181" i="15"/>
  <c r="AI877" i="15"/>
  <c r="AH877" i="15"/>
  <c r="AG877" i="15"/>
  <c r="AI611" i="15"/>
  <c r="AH611" i="15"/>
  <c r="AG611" i="15"/>
  <c r="AI1143" i="15"/>
  <c r="AH1143" i="15"/>
  <c r="AG1143" i="15"/>
  <c r="AI1257" i="15"/>
  <c r="AH1257" i="15"/>
  <c r="AG1257" i="15"/>
  <c r="AI687" i="15"/>
  <c r="AH687" i="15"/>
  <c r="AG687" i="15"/>
  <c r="AI991" i="15"/>
  <c r="AH991" i="15"/>
  <c r="AG991" i="15"/>
  <c r="AI307" i="15"/>
  <c r="AH307" i="15"/>
  <c r="AG307" i="15"/>
  <c r="AI706" i="15"/>
  <c r="AH706" i="15"/>
  <c r="AG706" i="15"/>
  <c r="AI1428" i="15"/>
  <c r="AH1428" i="15"/>
  <c r="AG1428" i="15"/>
  <c r="AI953" i="15"/>
  <c r="AH953" i="15"/>
  <c r="AG953" i="15"/>
  <c r="AI1219" i="15"/>
  <c r="AH1219" i="15"/>
  <c r="AG1219" i="15"/>
  <c r="AI60" i="15"/>
  <c r="AH60" i="15"/>
  <c r="AG60" i="15"/>
  <c r="AI782" i="15"/>
  <c r="AH782" i="15"/>
  <c r="AG782" i="15"/>
  <c r="AI1333" i="15"/>
  <c r="AH1333" i="15"/>
  <c r="AG1333" i="15"/>
  <c r="AI383" i="15"/>
  <c r="AH383" i="15"/>
  <c r="AG383" i="15"/>
  <c r="AI630" i="15"/>
  <c r="AH630" i="15"/>
  <c r="AG630" i="15"/>
  <c r="AI459" i="15"/>
  <c r="AH459" i="15"/>
  <c r="AG459" i="15"/>
  <c r="AI1447" i="15"/>
  <c r="AH1447" i="15"/>
  <c r="AG1447" i="15"/>
  <c r="AI536" i="15"/>
  <c r="AH536" i="15"/>
  <c r="AG536" i="15"/>
  <c r="AI535" i="15"/>
  <c r="AH535" i="15"/>
  <c r="AG535" i="15"/>
  <c r="AI820" i="15"/>
  <c r="AH820" i="15"/>
  <c r="AG820" i="15"/>
  <c r="AI1276" i="15"/>
  <c r="AH1276" i="15"/>
  <c r="AG1276" i="15"/>
  <c r="AI801" i="15"/>
  <c r="AH801" i="15"/>
  <c r="AG801" i="15"/>
  <c r="AI497" i="15"/>
  <c r="AH497" i="15"/>
  <c r="AG497" i="15"/>
  <c r="AI118" i="15"/>
  <c r="AH118" i="15"/>
  <c r="AG118" i="15"/>
  <c r="AI573" i="15"/>
  <c r="AH573" i="15"/>
  <c r="AG573" i="15"/>
  <c r="AI231" i="15"/>
  <c r="AH231" i="15"/>
  <c r="AG231" i="15"/>
  <c r="AI1200" i="15"/>
  <c r="AH1200" i="15"/>
  <c r="AG1200" i="15"/>
  <c r="AI934" i="15"/>
  <c r="AH934" i="15"/>
  <c r="AG934" i="15"/>
  <c r="AI1295" i="15"/>
  <c r="AH1295" i="15"/>
  <c r="AG1295" i="15"/>
  <c r="AI1238" i="15"/>
  <c r="AH1238" i="15"/>
  <c r="AG1238" i="15"/>
  <c r="AI1409" i="15"/>
  <c r="AH1409" i="15"/>
  <c r="AG1409" i="15"/>
  <c r="AI98" i="15"/>
  <c r="AH98" i="15"/>
  <c r="AG98" i="15"/>
  <c r="AI1067" i="15"/>
  <c r="AH1067" i="15"/>
  <c r="AG1067" i="15"/>
  <c r="AI1390" i="15"/>
  <c r="AH1390" i="15"/>
  <c r="AG1390" i="15"/>
  <c r="AI744" i="15"/>
  <c r="AH744" i="15"/>
  <c r="AG744" i="15"/>
  <c r="AI1086" i="15"/>
  <c r="AH1086" i="15"/>
  <c r="AG1086" i="15"/>
  <c r="AI326" i="15"/>
  <c r="AH326" i="15"/>
  <c r="AG326" i="15"/>
  <c r="AI972" i="15"/>
  <c r="AH972" i="15"/>
  <c r="AG972" i="15"/>
  <c r="AI896" i="15"/>
  <c r="AH896" i="15"/>
  <c r="AG896" i="15"/>
  <c r="AI592" i="15"/>
  <c r="AH592" i="15"/>
  <c r="AG592" i="15"/>
  <c r="AI516" i="15"/>
  <c r="AH516" i="15"/>
  <c r="AG516" i="15"/>
  <c r="AI1448" i="15"/>
  <c r="AH1448" i="15"/>
  <c r="AG1448" i="15"/>
  <c r="AI763" i="15"/>
  <c r="AH763" i="15"/>
  <c r="AG763" i="15"/>
  <c r="AI1352" i="15"/>
  <c r="AH1352" i="15"/>
  <c r="AG1352" i="15"/>
  <c r="AI478" i="15"/>
  <c r="AH478" i="15"/>
  <c r="AG478" i="15"/>
  <c r="AI668" i="15"/>
  <c r="AH668" i="15"/>
  <c r="AG668" i="15"/>
  <c r="AI1314" i="15"/>
  <c r="AH1314" i="15"/>
  <c r="AG1314" i="15"/>
  <c r="AI725" i="15"/>
  <c r="AH725" i="15"/>
  <c r="AG725" i="15"/>
  <c r="AI1124" i="15"/>
  <c r="AH1124" i="15"/>
  <c r="AG1124" i="15"/>
  <c r="AI1485" i="15"/>
  <c r="AH1485" i="15"/>
  <c r="AG1485" i="15"/>
  <c r="AI174" i="15"/>
  <c r="AH174" i="15"/>
  <c r="AG174" i="15"/>
  <c r="AI839" i="15"/>
  <c r="AH839" i="15"/>
  <c r="AG839" i="15"/>
  <c r="AI288" i="15"/>
  <c r="AH288" i="15"/>
  <c r="AG288" i="15"/>
  <c r="AI915" i="15"/>
  <c r="AH915" i="15"/>
  <c r="AG915" i="15"/>
  <c r="AI1371" i="15"/>
  <c r="AG1371" i="15"/>
  <c r="AH1371" i="15"/>
  <c r="AI41" i="15"/>
  <c r="AH41" i="15"/>
  <c r="AG41" i="15"/>
  <c r="AI137" i="15"/>
  <c r="AI858" i="15"/>
  <c r="AH858" i="15"/>
  <c r="AG858" i="15"/>
  <c r="AI1504" i="15"/>
  <c r="AH1504" i="15"/>
  <c r="AG1504" i="15"/>
  <c r="AI1162" i="15"/>
  <c r="AH1162" i="15"/>
  <c r="AG1162" i="15"/>
  <c r="AI440" i="15"/>
  <c r="AH440" i="15"/>
  <c r="AG440" i="15"/>
  <c r="AI1029" i="15"/>
  <c r="AH1029" i="15"/>
  <c r="AG1029" i="15"/>
  <c r="AI1048" i="15"/>
  <c r="AH1048" i="15"/>
  <c r="AG1048" i="15"/>
  <c r="AI1523" i="15"/>
  <c r="AG1523" i="15"/>
  <c r="AH1523" i="15"/>
  <c r="AI250" i="15"/>
  <c r="AH250" i="15"/>
  <c r="AG250" i="15"/>
  <c r="AI269" i="15"/>
  <c r="AH269" i="15"/>
  <c r="AG269" i="15"/>
  <c r="AI1010" i="15"/>
  <c r="AH1010" i="15"/>
  <c r="AG1010" i="15"/>
  <c r="AI705" i="15"/>
  <c r="AH705" i="15"/>
  <c r="AG705" i="15"/>
  <c r="AI971" i="15"/>
  <c r="AH971" i="15"/>
  <c r="AG971" i="15"/>
  <c r="AI382" i="15"/>
  <c r="AH382" i="15"/>
  <c r="AG382" i="15"/>
  <c r="AI421" i="15"/>
  <c r="AH421" i="15"/>
  <c r="AG421" i="15"/>
  <c r="AI1009" i="15"/>
  <c r="AH1009" i="15"/>
  <c r="AG1009" i="15"/>
  <c r="AI136" i="15"/>
  <c r="AH136" i="15"/>
  <c r="AG136" i="15"/>
  <c r="AI1104" i="15"/>
  <c r="AH1104" i="15"/>
  <c r="AG1104" i="15"/>
  <c r="AI648" i="15"/>
  <c r="AH648" i="15"/>
  <c r="AG648" i="15"/>
  <c r="Z1104" i="15"/>
  <c r="Z648" i="15"/>
  <c r="Z1009" i="15"/>
  <c r="Z992" i="15" s="1"/>
  <c r="Z421" i="15"/>
  <c r="Z403" i="15" s="1"/>
  <c r="Z705" i="15"/>
  <c r="Z971" i="15"/>
  <c r="Z382" i="15"/>
  <c r="Z269" i="15"/>
  <c r="Z251" i="15" s="1"/>
  <c r="Z250" i="15"/>
  <c r="Z232" i="15" s="1"/>
  <c r="Z1257" i="15"/>
  <c r="Z1239" i="15" s="1"/>
  <c r="Z915" i="15"/>
  <c r="Z897" i="15" s="1"/>
  <c r="Z991" i="15"/>
  <c r="Z973" i="15" s="1"/>
  <c r="Z1238" i="15"/>
  <c r="Z1220" i="15" s="1"/>
  <c r="Z1086" i="15"/>
  <c r="Z1068" i="15" s="1"/>
  <c r="Z972" i="15"/>
  <c r="Z1067" i="15"/>
  <c r="Z1049" i="15" s="1"/>
  <c r="Z516" i="15"/>
  <c r="Z498" i="15" s="1"/>
  <c r="Z763" i="15"/>
  <c r="Z745" i="15" s="1"/>
  <c r="Z1124" i="15"/>
  <c r="Z1106" i="15" s="1"/>
  <c r="Z668" i="15"/>
  <c r="Z650" i="15" s="1"/>
  <c r="Z1352" i="15"/>
  <c r="Z1334" i="15" s="1"/>
  <c r="Z383" i="15"/>
  <c r="Z820" i="15"/>
  <c r="Z802" i="15" s="1"/>
  <c r="Z1200" i="15"/>
  <c r="Z1182" i="15" s="1"/>
  <c r="Z896" i="15"/>
  <c r="Z878" i="15" s="1"/>
  <c r="Z478" i="15"/>
  <c r="Z460" i="15" s="1"/>
  <c r="Z1314" i="15"/>
  <c r="Z1296" i="15" s="1"/>
  <c r="Z1048" i="15"/>
  <c r="Z1030" i="15" s="1"/>
  <c r="Z953" i="15"/>
  <c r="Z935" i="15" s="1"/>
  <c r="Z1219" i="15"/>
  <c r="Z1201" i="15" s="1"/>
  <c r="Z630" i="15"/>
  <c r="Z612" i="15" s="1"/>
  <c r="Z1390" i="15"/>
  <c r="Z1372" i="15" s="1"/>
  <c r="Z573" i="15"/>
  <c r="Z555" i="15" s="1"/>
  <c r="Z1504" i="15"/>
  <c r="Z1486" i="15" s="1"/>
  <c r="Z440" i="15"/>
  <c r="Z422" i="15" s="1"/>
  <c r="Z1029" i="15"/>
  <c r="Z1011" i="15" s="1"/>
  <c r="Z1333" i="15"/>
  <c r="Z1315" i="15" s="1"/>
  <c r="Z1409" i="15"/>
  <c r="Z1391" i="15" s="1"/>
  <c r="Z98" i="15"/>
  <c r="Z80" i="15" s="1"/>
  <c r="Z326" i="15"/>
  <c r="Z308" i="15" s="1"/>
  <c r="Z1485" i="15"/>
  <c r="Z1467" i="15" s="1"/>
  <c r="Z174" i="15"/>
  <c r="Z156" i="15" s="1"/>
  <c r="Z706" i="15"/>
  <c r="Z1181" i="15"/>
  <c r="Z1163" i="15" s="1"/>
  <c r="Z1143" i="15"/>
  <c r="Z1125" i="15" s="1"/>
  <c r="Z801" i="15"/>
  <c r="Z783" i="15" s="1"/>
  <c r="Z459" i="15"/>
  <c r="Z441" i="15" s="1"/>
  <c r="Z839" i="15"/>
  <c r="Z821" i="15" s="1"/>
  <c r="Z288" i="15"/>
  <c r="Z270" i="15" s="1"/>
  <c r="Z1523" i="15"/>
  <c r="Z1505" i="15" s="1"/>
  <c r="Z60" i="15"/>
  <c r="Z42" i="15" s="1"/>
  <c r="Z934" i="15"/>
  <c r="Z916" i="15" s="1"/>
  <c r="Z744" i="15"/>
  <c r="Z726" i="15" s="1"/>
  <c r="Z725" i="15"/>
  <c r="Z707" i="15" s="1"/>
  <c r="Z1371" i="15"/>
  <c r="Z1353" i="15" s="1"/>
  <c r="Z858" i="15"/>
  <c r="Z840" i="15" s="1"/>
  <c r="Z877" i="15"/>
  <c r="Z859" i="15" s="1"/>
  <c r="Z307" i="15"/>
  <c r="Z289" i="15" s="1"/>
  <c r="Z687" i="15"/>
  <c r="Z669" i="15" s="1"/>
  <c r="Z1276" i="15"/>
  <c r="Z1258" i="15" s="1"/>
  <c r="Z1295" i="15"/>
  <c r="Z1277" i="15" s="1"/>
  <c r="Z592" i="15"/>
  <c r="Z574" i="15" s="1"/>
  <c r="Z1428" i="15"/>
  <c r="Z1410" i="15" s="1"/>
  <c r="Z611" i="15"/>
  <c r="Z593" i="15" s="1"/>
  <c r="Z1447" i="15"/>
  <c r="Z1429" i="15" s="1"/>
  <c r="Z535" i="15"/>
  <c r="Z517" i="15" s="1"/>
  <c r="Z231" i="15"/>
  <c r="Z213" i="15" s="1"/>
  <c r="Z782" i="15"/>
  <c r="Z764" i="15" s="1"/>
  <c r="Z497" i="15"/>
  <c r="Z479" i="15" s="1"/>
  <c r="Z41" i="15"/>
  <c r="Z23" i="15" s="1"/>
  <c r="Z1162" i="15"/>
  <c r="Z1144" i="15" s="1"/>
  <c r="Z402" i="15"/>
  <c r="Z384" i="15" s="1"/>
  <c r="Z79" i="15"/>
  <c r="Z61" i="15" s="1"/>
  <c r="AG137" i="15" l="1"/>
  <c r="Z688" i="15"/>
  <c r="AI61" i="15"/>
  <c r="AH61" i="15"/>
  <c r="AG61" i="15"/>
  <c r="AI384" i="15"/>
  <c r="AH384" i="15"/>
  <c r="AG384" i="15"/>
  <c r="AI1144" i="15"/>
  <c r="AH1144" i="15"/>
  <c r="AG1144" i="15"/>
  <c r="AI23" i="15"/>
  <c r="AH23" i="15"/>
  <c r="AG23" i="15"/>
  <c r="AI213" i="15"/>
  <c r="AH213" i="15"/>
  <c r="AG213" i="15"/>
  <c r="AI517" i="15"/>
  <c r="AH517" i="15"/>
  <c r="AG517" i="15"/>
  <c r="AI1429" i="15"/>
  <c r="AH1429" i="15"/>
  <c r="AG1429" i="15"/>
  <c r="AI1410" i="15"/>
  <c r="AH1410" i="15"/>
  <c r="AG1410" i="15"/>
  <c r="AI574" i="15"/>
  <c r="AH574" i="15"/>
  <c r="AG574" i="15"/>
  <c r="AI1258" i="15"/>
  <c r="AH1258" i="15"/>
  <c r="AG1258" i="15"/>
  <c r="AI289" i="15"/>
  <c r="AH289" i="15"/>
  <c r="AG289" i="15"/>
  <c r="AI859" i="15"/>
  <c r="AH859" i="15"/>
  <c r="AG859" i="15"/>
  <c r="AI840" i="15"/>
  <c r="AH840" i="15"/>
  <c r="AG840" i="15"/>
  <c r="AI1353" i="15"/>
  <c r="AH1353" i="15"/>
  <c r="AG1353" i="15"/>
  <c r="AI707" i="15"/>
  <c r="AH707" i="15"/>
  <c r="AG707" i="15"/>
  <c r="AI726" i="15"/>
  <c r="AH726" i="15"/>
  <c r="AG726" i="15"/>
  <c r="AI916" i="15"/>
  <c r="AH916" i="15"/>
  <c r="AG916" i="15"/>
  <c r="AI42" i="15"/>
  <c r="AH42" i="15"/>
  <c r="AG42" i="15"/>
  <c r="AI1505" i="15"/>
  <c r="AH1505" i="15"/>
  <c r="AG1505" i="15"/>
  <c r="AI270" i="15"/>
  <c r="AH270" i="15"/>
  <c r="AG270" i="15"/>
  <c r="AI821" i="15"/>
  <c r="AH821" i="15"/>
  <c r="AG821" i="15"/>
  <c r="AI783" i="15"/>
  <c r="AH783" i="15"/>
  <c r="AG783" i="15"/>
  <c r="AI1125" i="15"/>
  <c r="AH1125" i="15"/>
  <c r="AG1125" i="15"/>
  <c r="AI1163" i="15"/>
  <c r="AH1163" i="15"/>
  <c r="AG1163" i="15"/>
  <c r="AI688" i="15"/>
  <c r="AH688" i="15"/>
  <c r="AG688" i="15"/>
  <c r="AI156" i="15"/>
  <c r="AH156" i="15"/>
  <c r="AG156" i="15"/>
  <c r="AI1467" i="15"/>
  <c r="AG1467" i="15"/>
  <c r="AH1467" i="15"/>
  <c r="AI80" i="15"/>
  <c r="AH80" i="15"/>
  <c r="AG80" i="15"/>
  <c r="AI1391" i="15"/>
  <c r="AH1391" i="15"/>
  <c r="AG1391" i="15"/>
  <c r="AI422" i="15"/>
  <c r="AH422" i="15"/>
  <c r="AG422" i="15"/>
  <c r="AI1486" i="15"/>
  <c r="AH1486" i="15"/>
  <c r="AG1486" i="15"/>
  <c r="AI1372" i="15"/>
  <c r="AH1372" i="15"/>
  <c r="AG1372" i="15"/>
  <c r="AI1201" i="15"/>
  <c r="AH1201" i="15"/>
  <c r="AG1201" i="15"/>
  <c r="AI935" i="15"/>
  <c r="AH935" i="15"/>
  <c r="AG935" i="15"/>
  <c r="AI1296" i="15"/>
  <c r="AH1296" i="15"/>
  <c r="AG1296" i="15"/>
  <c r="AI460" i="15"/>
  <c r="AH460" i="15"/>
  <c r="AG460" i="15"/>
  <c r="AI878" i="15"/>
  <c r="AH878" i="15"/>
  <c r="AG878" i="15"/>
  <c r="AI1182" i="15"/>
  <c r="AH1182" i="15"/>
  <c r="AG1182" i="15"/>
  <c r="AI802" i="15"/>
  <c r="AH802" i="15"/>
  <c r="AG802" i="15"/>
  <c r="AI365" i="15"/>
  <c r="AH365" i="15"/>
  <c r="AG365" i="15"/>
  <c r="AI1106" i="15"/>
  <c r="AH1106" i="15"/>
  <c r="AG1106" i="15"/>
  <c r="AI745" i="15"/>
  <c r="AH745" i="15"/>
  <c r="AG745" i="15"/>
  <c r="AI498" i="15"/>
  <c r="AH498" i="15"/>
  <c r="AG498" i="15"/>
  <c r="AI954" i="15"/>
  <c r="AH954" i="15"/>
  <c r="AG954" i="15"/>
  <c r="AI1068" i="15"/>
  <c r="AH1068" i="15"/>
  <c r="AG1068" i="15"/>
  <c r="AI1220" i="15"/>
  <c r="AH1220" i="15"/>
  <c r="AG1220" i="15"/>
  <c r="AI1239" i="15"/>
  <c r="AH1239" i="15"/>
  <c r="AG1239" i="15"/>
  <c r="AI232" i="15"/>
  <c r="AH232" i="15"/>
  <c r="AG232" i="15"/>
  <c r="AI1334" i="15"/>
  <c r="AH1334" i="15"/>
  <c r="AG1334" i="15"/>
  <c r="AI308" i="15"/>
  <c r="AH308" i="15"/>
  <c r="AG308" i="15"/>
  <c r="AI1315" i="15"/>
  <c r="AH1315" i="15"/>
  <c r="AG1315" i="15"/>
  <c r="AI973" i="15"/>
  <c r="AH973" i="15"/>
  <c r="AG973" i="15"/>
  <c r="AI593" i="15"/>
  <c r="AH593" i="15"/>
  <c r="AG593" i="15"/>
  <c r="AI1030" i="15"/>
  <c r="AH1030" i="15"/>
  <c r="AG1030" i="15"/>
  <c r="AI1049" i="15"/>
  <c r="AH1049" i="15"/>
  <c r="AG1049" i="15"/>
  <c r="AI479" i="15"/>
  <c r="AH479" i="15"/>
  <c r="AG479" i="15"/>
  <c r="AI441" i="15"/>
  <c r="AH441" i="15"/>
  <c r="AG441" i="15"/>
  <c r="AI1277" i="15"/>
  <c r="AH1277" i="15"/>
  <c r="AG1277" i="15"/>
  <c r="AI669" i="15"/>
  <c r="AH669" i="15"/>
  <c r="AG669" i="15"/>
  <c r="AI764" i="15"/>
  <c r="AH764" i="15"/>
  <c r="AG764" i="15"/>
  <c r="AI1011" i="15"/>
  <c r="AH1011" i="15"/>
  <c r="AG1011" i="15"/>
  <c r="AI897" i="15"/>
  <c r="AH897" i="15"/>
  <c r="AG897" i="15"/>
  <c r="AI650" i="15"/>
  <c r="AH650" i="15"/>
  <c r="AG650" i="15"/>
  <c r="AI612" i="15"/>
  <c r="AH612" i="15"/>
  <c r="AG612" i="15"/>
  <c r="AI555" i="15"/>
  <c r="AH555" i="15"/>
  <c r="AG555" i="15"/>
  <c r="AI117" i="15"/>
  <c r="AH117" i="15"/>
  <c r="AG117" i="15"/>
  <c r="AI212" i="15"/>
  <c r="AH212" i="15"/>
  <c r="AG212" i="15"/>
  <c r="AI193" i="15"/>
  <c r="AH193" i="15"/>
  <c r="AG193" i="15"/>
  <c r="AI251" i="15"/>
  <c r="AH251" i="15"/>
  <c r="AG251" i="15"/>
  <c r="AI403" i="15"/>
  <c r="AH403" i="15"/>
  <c r="AG403" i="15"/>
  <c r="AI992" i="15"/>
  <c r="AH992" i="15"/>
  <c r="AG992" i="15"/>
  <c r="AI649" i="15"/>
  <c r="AH649" i="15"/>
  <c r="AG649" i="15"/>
  <c r="AI1105" i="15"/>
  <c r="AH1105" i="15"/>
  <c r="AG1105" i="15"/>
  <c r="Z365" i="15"/>
  <c r="Z1105" i="15"/>
  <c r="Z1087" i="15" s="1"/>
  <c r="Z649" i="15"/>
  <c r="Z631" i="15" s="1"/>
  <c r="Z954" i="15"/>
  <c r="Z212" i="15"/>
  <c r="Z194" i="15" s="1"/>
  <c r="Z117" i="15"/>
  <c r="Z99" i="15" s="1"/>
  <c r="Z193" i="15"/>
  <c r="Z175" i="15" s="1"/>
  <c r="X2" i="15"/>
  <c r="M4" i="16" s="1"/>
  <c r="Y2" i="15"/>
  <c r="N4" i="16" s="1"/>
  <c r="Z2" i="15" l="1"/>
  <c r="M5" i="16"/>
  <c r="N5" i="16"/>
  <c r="AI175" i="15"/>
  <c r="AH175" i="15"/>
  <c r="AG175" i="15"/>
  <c r="AI99" i="15"/>
  <c r="AH99" i="15"/>
  <c r="AG99" i="15"/>
  <c r="AI194" i="15"/>
  <c r="AH194" i="15"/>
  <c r="AG194" i="15"/>
  <c r="AI631" i="15"/>
  <c r="AH631" i="15"/>
  <c r="AG631" i="15"/>
  <c r="AI1087" i="15"/>
  <c r="AH1087" i="15"/>
  <c r="AG1087" i="15"/>
  <c r="W2" i="15"/>
  <c r="L4" i="16" s="1"/>
  <c r="O4" i="16" s="1"/>
  <c r="L5" i="16" l="1"/>
  <c r="F23" i="16"/>
  <c r="P7" i="16" l="1"/>
  <c r="O5" i="16"/>
  <c r="I7" i="16"/>
  <c r="I8" i="16" s="1"/>
  <c r="G7" i="16"/>
  <c r="G8" i="16" s="1"/>
  <c r="H7" i="16"/>
  <c r="H8" i="16" s="1"/>
  <c r="E7" i="16"/>
  <c r="E8" i="16" s="1"/>
  <c r="C7" i="16"/>
  <c r="C8" i="16" s="1"/>
  <c r="D7" i="16"/>
  <c r="D8" i="16" s="1"/>
  <c r="F7" i="16"/>
  <c r="F8" i="16" s="1"/>
  <c r="J7" i="16"/>
  <c r="J8" i="16" s="1"/>
  <c r="K7" i="16"/>
  <c r="K8" i="16" s="1"/>
  <c r="M7" i="16"/>
  <c r="M8" i="16" s="1"/>
  <c r="N7" i="16"/>
  <c r="N8" i="16" s="1"/>
  <c r="L7" i="16"/>
  <c r="L8" i="16" s="1"/>
  <c r="O8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tc={EB89EFE6-F036-49C6-B7E6-984D76E96622}</author>
    <author>tc={0EC4A878-10CA-40F3-8C22-18D5AB2374DC}</author>
    <author>tc={CBCB45A6-B7B9-47A5-93B8-E1D79F155ED5}</author>
  </authors>
  <commentList>
    <comment ref="AC841" authorId="0" shapeId="0" xr:uid="{EB89EFE6-F036-49C6-B7E6-984D76E9662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Historico Imputado Manualmente
</t>
      </text>
    </comment>
    <comment ref="AC860" authorId="1" shapeId="0" xr:uid="{0EC4A878-10CA-40F3-8C22-18D5AB2374D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Historico Imputado Manualmente
</t>
      </text>
    </comment>
    <comment ref="Z917" authorId="2" shapeId="0" xr:uid="{CBCB45A6-B7B9-47A5-93B8-E1D79F155E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Base ultimos 12 meses, sem vendas em 2024</t>
      </text>
    </comment>
  </commentList>
</comments>
</file>

<file path=xl/sharedStrings.xml><?xml version="1.0" encoding="utf-8"?>
<sst xmlns="http://schemas.openxmlformats.org/spreadsheetml/2006/main" count="18861" uniqueCount="198">
  <si>
    <t>Grupo Produto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</si>
  <si>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</si>
  <si>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</si>
  <si>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</si>
  <si>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</si>
  <si>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</si>
  <si>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</si>
  <si>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</si>
  <si>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</si>
  <si>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</si>
  <si>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</si>
  <si>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</si>
  <si>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</si>
  <si>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BISCOITO</t>
  </si>
  <si>
    <t>CHOCOLATES</t>
  </si>
  <si>
    <t>DOCES</t>
  </si>
  <si>
    <t>DISNEY</t>
  </si>
  <si>
    <t>GRANOLA</t>
  </si>
  <si>
    <t>LANCHES</t>
  </si>
  <si>
    <t>GELEIA</t>
  </si>
  <si>
    <t>REEMBALADOS</t>
  </si>
  <si>
    <t>NATURATTA</t>
  </si>
  <si>
    <t>S GLUTEN</t>
  </si>
  <si>
    <t>SABORES DO CAMPO</t>
  </si>
  <si>
    <t>KIDS</t>
  </si>
  <si>
    <t>VICCIO</t>
  </si>
  <si>
    <t>SOULPRO</t>
  </si>
  <si>
    <t>TAMARA</t>
  </si>
  <si>
    <t>SAL</t>
  </si>
  <si>
    <t>MAIS GRANEL</t>
  </si>
  <si>
    <t>TOTAIS</t>
  </si>
  <si>
    <t>CÓD. ZP</t>
  </si>
  <si>
    <t>CÓD. ZS</t>
  </si>
  <si>
    <t>FOOD SERVICE</t>
  </si>
  <si>
    <t>06 - SEM GRUPO</t>
  </si>
  <si>
    <t>CÓD. 01</t>
  </si>
  <si>
    <t>01 CANAL</t>
  </si>
  <si>
    <t>CÓD. 02</t>
  </si>
  <si>
    <t>02 TIPO DE CLIENTE</t>
  </si>
  <si>
    <t>CÓD. 03</t>
  </si>
  <si>
    <t>03 MACRORREGIÃO DO CLIENTE</t>
  </si>
  <si>
    <t>CÓD. 04</t>
  </si>
  <si>
    <t>04 MICRORREGIÃO DO CLIENTE</t>
  </si>
  <si>
    <t>CÓD. 07</t>
  </si>
  <si>
    <t>07 STATUS CLIENTE</t>
  </si>
  <si>
    <t>ZP - GERENTE NACIONAL</t>
  </si>
  <si>
    <t>ZS - SUPERVISOR</t>
  </si>
  <si>
    <t>CÓD. ZR</t>
  </si>
  <si>
    <t>ZR - REPRESENTANTE</t>
  </si>
  <si>
    <t>CÓD. ZX</t>
  </si>
  <si>
    <t>ZX - VENDEDOR EXTERNO</t>
  </si>
  <si>
    <t>CÓD. ZV</t>
  </si>
  <si>
    <t>ZV - VENDEDOR INTERNO</t>
  </si>
  <si>
    <t>03 - CENTRO OESTE</t>
  </si>
  <si>
    <t>04 - MT GERAL</t>
  </si>
  <si>
    <t>03 - NORTE + MA</t>
  </si>
  <si>
    <t>04 - MA INTERIOR</t>
  </si>
  <si>
    <t>04 - PA CAPITAL</t>
  </si>
  <si>
    <t>03 - SP CAPITAL</t>
  </si>
  <si>
    <t>04 - SP CAPITAL ZONA NORTE</t>
  </si>
  <si>
    <t>03 - RJ + ES + MG</t>
  </si>
  <si>
    <t>04 - RJ CAPITAL</t>
  </si>
  <si>
    <t>03 - NORDESTE (SEM MA)</t>
  </si>
  <si>
    <t>04 - PB CAPITAL</t>
  </si>
  <si>
    <t>03 - SUL</t>
  </si>
  <si>
    <t>04 - PR NORTE</t>
  </si>
  <si>
    <t>04 - GO GERAL</t>
  </si>
  <si>
    <t>04 - BA OESTE</t>
  </si>
  <si>
    <t>04 - ES GERAL</t>
  </si>
  <si>
    <t>04 - AM GERAL</t>
  </si>
  <si>
    <t>03 - SP INTERIOR</t>
  </si>
  <si>
    <t>04 - SP INTERIOR SAO JOSE DO RIO PRETO</t>
  </si>
  <si>
    <t>04 - SP INTERIOR CAMPINAS</t>
  </si>
  <si>
    <t>04 - SP INTERIOR VALE</t>
  </si>
  <si>
    <t>04 - SP INTERIOR MARILIA/BAURU/ARACATUBA</t>
  </si>
  <si>
    <t>04 - BA SUL</t>
  </si>
  <si>
    <t>04 - SE GERAL</t>
  </si>
  <si>
    <t>04 - PE CAPITAL</t>
  </si>
  <si>
    <t>04 - PI GERAL</t>
  </si>
  <si>
    <t>04 - MA CAPITAL</t>
  </si>
  <si>
    <t>04 - RJ LAGOS</t>
  </si>
  <si>
    <t>04 - SC LITORAL</t>
  </si>
  <si>
    <t>04 - SP CAPITAL LITORAL</t>
  </si>
  <si>
    <t>04 - AC GERAL</t>
  </si>
  <si>
    <t>04 - MG CAPITAL</t>
  </si>
  <si>
    <t>04 - PR CAPITAL</t>
  </si>
  <si>
    <t>04 - MS GERAL</t>
  </si>
  <si>
    <t>04 - RO GERAL</t>
  </si>
  <si>
    <t>04 - BA CAPITAL</t>
  </si>
  <si>
    <t>04 - RS INTERIOR</t>
  </si>
  <si>
    <t>04 - AP GERAL</t>
  </si>
  <si>
    <t>04 - SP CAPITAL ZONA LESTE</t>
  </si>
  <si>
    <t>04 - SC OESTE</t>
  </si>
  <si>
    <t>04 - DF GERAL</t>
  </si>
  <si>
    <t>04 - SP CAPITAL ZONA SUL</t>
  </si>
  <si>
    <t>04 - RN GERAL</t>
  </si>
  <si>
    <t>04 - SC SUL</t>
  </si>
  <si>
    <t>04 - RS CAPITAL</t>
  </si>
  <si>
    <t>04 - CE GERAL</t>
  </si>
  <si>
    <t>04 - AL GERAL</t>
  </si>
  <si>
    <t>04 - TO GERAL</t>
  </si>
  <si>
    <t>04 - BA VALE DO SAO FRANCISCO/NORTE</t>
  </si>
  <si>
    <t>04 - PB INTERIOR</t>
  </si>
  <si>
    <t>04 - PE INTERIOR</t>
  </si>
  <si>
    <t>04 - PA INTERIOR</t>
  </si>
  <si>
    <t>04 - RR GERAL</t>
  </si>
  <si>
    <t>04 - MG GOV. VALADARES/JUIZ DE FORA</t>
  </si>
  <si>
    <t>04 - MG NORTE</t>
  </si>
  <si>
    <t>04 - MG SUL</t>
  </si>
  <si>
    <t>04 - MG TRIANGULO</t>
  </si>
  <si>
    <t>04 - RJ SERRA</t>
  </si>
  <si>
    <t>04 - RJ VALE VERDE</t>
  </si>
  <si>
    <t>04 - SP CAPITAL CENTRO</t>
  </si>
  <si>
    <t>04 - SP CAPITAL ZONA OESTE</t>
  </si>
  <si>
    <t>04 - SP INTERIOR RIBEIRAO PRETO</t>
  </si>
  <si>
    <t>04 - SP INTERIOR SOROCABA</t>
  </si>
  <si>
    <t>04 - PR CAMPOS GERAIS</t>
  </si>
  <si>
    <t>04 - PR CENTRO OESTE</t>
  </si>
  <si>
    <t>04 - RS SERRA</t>
  </si>
  <si>
    <t>04 - RS SUL</t>
  </si>
  <si>
    <t>04 - SC NORTE</t>
  </si>
  <si>
    <t>GRUPO DE PRODUTO</t>
  </si>
  <si>
    <t>06 NOME GRUPO CHAVE</t>
  </si>
  <si>
    <t>CÓD. GRUPO CHAVE</t>
  </si>
  <si>
    <t>01. TOTAL</t>
  </si>
  <si>
    <t>MÉDIA VENDA 2024</t>
  </si>
  <si>
    <t>MÉDIA VENDA 12 MESES</t>
  </si>
  <si>
    <t>MÉDIA 6 MESES</t>
  </si>
  <si>
    <t>MÉDIA 2024</t>
  </si>
  <si>
    <t>MÉDIA 12M</t>
  </si>
  <si>
    <t>MÉDIA 6M</t>
  </si>
  <si>
    <t>TOTAL</t>
  </si>
  <si>
    <t>% CRESCIMENTO 2024</t>
  </si>
  <si>
    <t>% CRESCIMENTO 12M</t>
  </si>
  <si>
    <t>% CRESCIMENTO 6M</t>
  </si>
  <si>
    <t>DISTRIBUIDOR DA META</t>
  </si>
  <si>
    <t>06 - INTERNA - BIO MUNDO</t>
  </si>
  <si>
    <t>06 - INTERNA - CIA DA SAUDE</t>
  </si>
  <si>
    <t>06 - INTERNA - DIVINA TERRA</t>
  </si>
  <si>
    <t>06 - INTERNA - FITLAND</t>
  </si>
  <si>
    <t>06 - INTERNA - JARDIM DAS ERVAS</t>
  </si>
  <si>
    <t>06 - INTERNA - LIGEIRINHO</t>
  </si>
  <si>
    <t>06 - INTERNA - MAIS NATURAL</t>
  </si>
  <si>
    <t>06 - INTERNA - MUNDO VERDE</t>
  </si>
  <si>
    <t>06 - INTERNA - NATURVIDA</t>
  </si>
  <si>
    <t>06 - INTERNA - TUDO EM GRAOS / VGA</t>
  </si>
  <si>
    <t>06 - INTERNA - VIDA LEVE</t>
  </si>
  <si>
    <t>01 - CANAL VENDA INTERNA</t>
  </si>
  <si>
    <t>03 - NACIONAL</t>
  </si>
  <si>
    <t>04 - NACIONAL</t>
  </si>
  <si>
    <t>DAIANE STAVICKI</t>
  </si>
  <si>
    <t>ZS - NAO APLICAVEL</t>
  </si>
  <si>
    <t>ZR - NAO APLICAVEL</t>
  </si>
  <si>
    <t>ZX - NAO APLICAVEL</t>
  </si>
  <si>
    <t>06 - INTERNA - ARMAZEM FIT STORE</t>
  </si>
  <si>
    <t>06 - INTERNA - MIX VALI</t>
  </si>
  <si>
    <t>06 - INTERNA - TRIP</t>
  </si>
  <si>
    <t>06 - INTERNA - ESMERALDA</t>
  </si>
  <si>
    <t>06 - INTERNA - NOVA GERACAO</t>
  </si>
  <si>
    <t>06 - INTERNA - MERCOCENTRO</t>
  </si>
  <si>
    <t>06 - INTERNA - FEDERZONI</t>
  </si>
  <si>
    <t>06 - INTERNA - PROSAUDE</t>
  </si>
  <si>
    <t>ZV - NAO APLICAVEL</t>
  </si>
  <si>
    <t>LG REPRESENTACOES LTDA - EPP</t>
  </si>
  <si>
    <t>42.149.466 LARISSA DA SILVA PADILHA - ME</t>
  </si>
  <si>
    <t>HEMANUELE ROSA DITZEL</t>
  </si>
  <si>
    <t>02 - INTERNA - CANAL VERDE</t>
  </si>
  <si>
    <t>02 - N/A - NAO APLICAVEL</t>
  </si>
  <si>
    <t>02 - INTERNA - CONVENIENCIAS</t>
  </si>
  <si>
    <t>CARTEIRA TOTAL</t>
  </si>
  <si>
    <t>MÉDIA YTD</t>
  </si>
  <si>
    <t>TICKET MÉDIO REALIZADO</t>
  </si>
  <si>
    <t>TOTAL YTD</t>
  </si>
  <si>
    <t>TICKET MEDIO ESPERADO</t>
  </si>
  <si>
    <t>CLASSIFICAÇÃO</t>
  </si>
  <si>
    <t>ZERAR META</t>
  </si>
  <si>
    <t>POSITIVAÇÃO ESPERADA</t>
  </si>
  <si>
    <t>MADURO</t>
  </si>
  <si>
    <t>EM CRESCIMENTO</t>
  </si>
  <si>
    <t>NOVO</t>
  </si>
  <si>
    <t>SEM GRUPO</t>
  </si>
  <si>
    <t>TOTAL LOJAS</t>
  </si>
  <si>
    <t>1000186510</t>
  </si>
  <si>
    <t>1000196454</t>
  </si>
  <si>
    <t>1000161699</t>
  </si>
  <si>
    <t>1000186513</t>
  </si>
  <si>
    <t>1000176426</t>
  </si>
  <si>
    <t>CRESCIMENTO MENSAL</t>
  </si>
  <si>
    <t>FAT 2025</t>
  </si>
  <si>
    <t>FAT META 2026</t>
  </si>
  <si>
    <t>Estratégico</t>
  </si>
  <si>
    <t>Planilha</t>
  </si>
  <si>
    <t>TOTAL
2026</t>
  </si>
  <si>
    <t>Pedido Mín.</t>
  </si>
  <si>
    <t>Novo</t>
  </si>
  <si>
    <t>Maduro</t>
  </si>
  <si>
    <t>Crescimento</t>
  </si>
  <si>
    <t>GRUPO-CHAVE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</si>
</sst>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_-&quot;R$&quot;\ * #,##0_-;\-&quot;R$&quot;\ * #,##0_-;_-&quot;R$&quot;\ * &quot;-&quot;??_-;_-@_-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1" xfId="1" applyFont="1" applyBorder="1"/>
    <xf numFmtId="0" fontId="1" fillId="2" borderId="1" xfId="0" applyFont="1" applyFill="1" applyBorder="1"/>
    <xf numFmtId="0" fontId="1" fillId="0" borderId="0" xfId="0" applyFont="1" applyAlignment="1">
      <alignment vertical="center" wrapText="1"/>
    </xf>
    <xf numFmtId="9" fontId="1" fillId="0" borderId="0" xfId="2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9" fontId="0" fillId="0" borderId="1" xfId="2" applyFont="1" applyBorder="1" applyAlignment="1">
      <alignment horizontal="center"/>
    </xf>
    <xf numFmtId="0" fontId="4" fillId="3" borderId="1" xfId="1" applyFont="1" applyFill="1" applyBorder="1" applyAlignment="1">
      <alignment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64" fontId="8" fillId="2" borderId="1" xfId="3" applyNumberFormat="1" applyFont="1" applyFill="1" applyBorder="1" applyAlignment="1">
      <alignment horizontal="center"/>
    </xf>
    <xf numFmtId="9" fontId="6" fillId="0" borderId="1" xfId="2" applyFont="1" applyBorder="1" applyAlignment="1">
      <alignment horizontal="center"/>
    </xf>
    <xf numFmtId="0" fontId="8" fillId="0" borderId="0" xfId="4" quotePrefix="1" applyNumberFormat="1" applyFont="1" applyFill="1" applyAlignment="1">
      <alignment horizontal="center"/>
    </xf>
    <xf numFmtId="0" fontId="10" fillId="0" borderId="0" xfId="0" applyFont="1"/>
    <xf numFmtId="0" fontId="9" fillId="3" borderId="1" xfId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1" fontId="11" fillId="0" borderId="1" xfId="1" applyNumberFormat="1" applyFont="1" applyBorder="1"/>
    <xf numFmtId="0" fontId="10" fillId="2" borderId="1" xfId="0" applyFont="1" applyFill="1" applyBorder="1"/>
    <xf numFmtId="0" fontId="11" fillId="0" borderId="1" xfId="1" applyFont="1" applyBorder="1"/>
    <xf numFmtId="17" fontId="9" fillId="3" borderId="1" xfId="1" applyNumberFormat="1" applyFont="1" applyFill="1" applyBorder="1" applyAlignment="1">
      <alignment vertical="center"/>
    </xf>
    <xf numFmtId="164" fontId="1" fillId="0" borderId="0" xfId="3" applyNumberFormat="1" applyFont="1"/>
    <xf numFmtId="9" fontId="1" fillId="2" borderId="1" xfId="2" applyFont="1" applyFill="1" applyBorder="1" applyAlignment="1">
      <alignment horizontal="center"/>
    </xf>
    <xf numFmtId="0" fontId="12" fillId="4" borderId="1" xfId="0" applyFont="1" applyFill="1" applyBorder="1"/>
    <xf numFmtId="0" fontId="0" fillId="0" borderId="0" xfId="0" applyAlignment="1">
      <alignment horizontal="center"/>
    </xf>
    <xf numFmtId="44" fontId="1" fillId="2" borderId="1" xfId="4" applyFont="1" applyFill="1" applyBorder="1" applyAlignment="1">
      <alignment horizontal="center"/>
    </xf>
    <xf numFmtId="165" fontId="3" fillId="0" borderId="1" xfId="4" applyNumberFormat="1" applyFont="1" applyBorder="1" applyAlignment="1">
      <alignment horizontal="center"/>
    </xf>
    <xf numFmtId="165" fontId="0" fillId="0" borderId="0" xfId="4" applyNumberFormat="1" applyFont="1"/>
    <xf numFmtId="165" fontId="8" fillId="2" borderId="1" xfId="4" applyNumberFormat="1" applyFont="1" applyFill="1" applyBorder="1" applyAlignment="1">
      <alignment horizontal="center"/>
    </xf>
    <xf numFmtId="165" fontId="1" fillId="0" borderId="1" xfId="4" applyNumberFormat="1" applyFont="1" applyFill="1" applyBorder="1" applyAlignment="1">
      <alignment horizontal="center"/>
    </xf>
    <xf numFmtId="9" fontId="8" fillId="2" borderId="1" xfId="2" applyFont="1" applyFill="1" applyBorder="1" applyAlignment="1">
      <alignment horizontal="center"/>
    </xf>
    <xf numFmtId="0" fontId="13" fillId="5" borderId="1" xfId="1" applyFont="1" applyFill="1" applyBorder="1" applyAlignment="1">
      <alignment horizontal="center" vertical="center" wrapText="1"/>
    </xf>
    <xf numFmtId="44" fontId="0" fillId="0" borderId="0" xfId="0" applyNumberFormat="1"/>
    <xf numFmtId="0" fontId="6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9" fontId="12" fillId="4" borderId="1" xfId="0" applyNumberFormat="1" applyFont="1" applyFill="1" applyBorder="1"/>
    <xf numFmtId="164" fontId="3" fillId="0" borderId="1" xfId="3" applyNumberFormat="1" applyFont="1" applyBorder="1" applyAlignment="1">
      <alignment horizontal="center"/>
    </xf>
    <xf numFmtId="165" fontId="10" fillId="2" borderId="1" xfId="4" applyNumberFormat="1" applyFont="1" applyFill="1" applyBorder="1"/>
    <xf numFmtId="165" fontId="1" fillId="0" borderId="0" xfId="4" applyNumberFormat="1" applyFont="1"/>
    <xf numFmtId="9" fontId="0" fillId="0" borderId="0" xfId="2" applyFont="1" applyAlignment="1">
      <alignment horizontal="left"/>
    </xf>
    <xf numFmtId="9" fontId="3" fillId="0" borderId="1" xfId="2" applyFont="1" applyBorder="1" applyAlignment="1">
      <alignment horizontal="center"/>
    </xf>
    <xf numFmtId="9" fontId="0" fillId="0" borderId="0" xfId="2" applyFont="1"/>
    <xf numFmtId="0" fontId="6" fillId="0" borderId="0" xfId="0" applyFont="1"/>
    <xf numFmtId="44" fontId="0" fillId="0" borderId="0" xfId="4" applyFont="1"/>
    <xf numFmtId="9" fontId="0" fillId="0" borderId="0" xfId="0" applyNumberFormat="1" applyAlignment="1">
      <alignment horizontal="center"/>
    </xf>
    <xf numFmtId="164" fontId="8" fillId="2" borderId="1" xfId="2" applyNumberFormat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</cellXfs>
  <cellStyles count="5">
    <cellStyle name="Moeda" xfId="4" builtinId="4"/>
    <cellStyle name="Normal" xfId="0" builtinId="0"/>
    <cellStyle name="Normal 2" xfId="1" xr:uid="{25847F89-4ADA-4DD9-9E17-A4D71E250668}"/>
    <cellStyle name="Porcentagem" xfId="2" builtinId="5"/>
    <cellStyle name="Vírgula" xfId="3" builtinId="3"/>
  </cellStyles>
  <dxfs count="5">
    <dxf>
      <fill>
        <patternFill>
          <bgColor theme="0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8A251A"/>
      <color rgb="FFFF0D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CANAL INTERNO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Resumo!$B$3</c:f>
              <c:strCache>
                <c:ptCount val="1"/>
                <c:pt idx="0">
                  <c:v>FAT 2025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Resumo!$C$2:$N$2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Resumo!$C$3:$N$3</c:f>
              <c:numCache>
                <c:formatCode>_("R$"* #,##0.00_);_("R$"* \(#,##0.00\);_("R$"* "-"??_);_(@_)</c:formatCode>
                <c:ptCount val="12"/>
                <c:pt idx="0">
                  <c:v>43265</c:v>
                </c:pt>
                <c:pt idx="1">
                  <c:v>38004</c:v>
                </c:pt>
                <c:pt idx="2">
                  <c:v>113363</c:v>
                </c:pt>
                <c:pt idx="3">
                  <c:v>17994</c:v>
                </c:pt>
                <c:pt idx="4">
                  <c:v>233485</c:v>
                </c:pt>
                <c:pt idx="5">
                  <c:v>223750</c:v>
                </c:pt>
                <c:pt idx="6">
                  <c:v>161139</c:v>
                </c:pt>
                <c:pt idx="7">
                  <c:v>220074</c:v>
                </c:pt>
                <c:pt idx="8">
                  <c:v>202758</c:v>
                </c:pt>
                <c:pt idx="9">
                  <c:v>275460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6-429E-B94E-40F8B8CD1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56973744"/>
        <c:axId val="456985264"/>
      </c:barChart>
      <c:lineChart>
        <c:grouping val="standard"/>
        <c:varyColors val="0"/>
        <c:ser>
          <c:idx val="1"/>
          <c:order val="1"/>
          <c:tx>
            <c:strRef>
              <c:f>Resumo!$B$4</c:f>
              <c:strCache>
                <c:ptCount val="1"/>
                <c:pt idx="0">
                  <c:v>FAT META 2026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Resumo!$C$2:$N$2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Resumo!$C$4:$N$4</c:f>
              <c:numCache>
                <c:formatCode>_("R$"* #,##0.00_);_("R$"* \(#,##0.00\);_("R$"* "-"??_);_(@_)</c:formatCode>
                <c:ptCount val="12"/>
                <c:pt idx="0">
                  <c:v>333600</c:v>
                </c:pt>
                <c:pt idx="1">
                  <c:v>348600</c:v>
                </c:pt>
                <c:pt idx="2">
                  <c:v>357000</c:v>
                </c:pt>
                <c:pt idx="3">
                  <c:v>366300</c:v>
                </c:pt>
                <c:pt idx="4">
                  <c:v>378300</c:v>
                </c:pt>
                <c:pt idx="5">
                  <c:v>388200</c:v>
                </c:pt>
                <c:pt idx="6">
                  <c:v>403200</c:v>
                </c:pt>
                <c:pt idx="7">
                  <c:v>413100</c:v>
                </c:pt>
                <c:pt idx="8">
                  <c:v>422400</c:v>
                </c:pt>
                <c:pt idx="9">
                  <c:v>432900</c:v>
                </c:pt>
                <c:pt idx="10">
                  <c:v>444300</c:v>
                </c:pt>
                <c:pt idx="11">
                  <c:v>459300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26-429E-B94E-40F8B8CD1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6973744"/>
        <c:axId val="456985264"/>
      </c:lineChart>
      <c:valAx>
        <c:axId val="456985264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6973744"/>
        <c:crosses val="max"/>
        <c:crossBetween val="between"/>
      </c:valAx>
      <c:catAx>
        <c:axId val="456973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6985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409575</xdr:colOff>
      <xdr:row>10</xdr:row>
      <xdr:rowOff>160336</xdr:rowOff>
    </xdr:from>
    <xdr:to>
      <xdr:col>14</xdr:col>
      <xdr:colOff>590550</xdr:colOff>
      <xdr:row>28</xdr:row>
      <xdr:rowOff>177800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A9DD6B-1DA1-C73B-CAD6-88685FC63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ao.Giordano" id="{3DDB53A8-0A66-4F58-900E-87C5AABFFAE0}" userId="S-1-5-21-3689573224-3387572310-1914946549-2082" providerId="AD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841" dT="2025-06-17T13:58:21.18" personId="{3DDB53A8-0A66-4F58-900E-87C5AABFFAE0}" id="{EB89EFE6-F036-49C6-B7E6-984D76E96622}">
    <text xml:space="preserve">Historico Imputado Manualmente
</text>
  </threadedComment>
  <threadedComment ref="AC860" dT="2025-06-17T13:58:47.34" personId="{3DDB53A8-0A66-4F58-900E-87C5AABFFAE0}" id="{0EC4A878-10CA-40F3-8C22-18D5AB2374DC}">
    <text xml:space="preserve">Historico Imputado Manualmente
</text>
  </threadedComment>
  <threadedComment ref="Z917" dT="2025-06-10T13:38:58.79" personId="{3DDB53A8-0A66-4F58-900E-87C5AABFFAE0}" id="{CBCB45A6-B7B9-47A5-93B8-E1D79F155ED5}">
    <text>Base ultimos 12 meses, sem vendas em 2024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4A6B-670F-454B-9877-A278A470C868}">
  <dimension ref="A1:V81"/>
  <sheetViews>
    <sheetView showGridLines="0" tabSelected="1" zoomScale="85" zoomScaleNormal="85" workbookViewId="0">
      <pane ySplit="1" topLeftCell="A2" activePane="bottomLeft" state="frozen"/>
      <selection activeCell="B1" sqref="B1"/>
      <selection pane="bottomLeft" sqref="A1:A1048576"/>
    </sheetView>
  </sheetViews>
  <sheetFormatPr defaultColWidth="10.21875" defaultRowHeight="13.8" x14ac:dyDescent="0.3"/>
  <cols>
    <col min="1" max="1" width="12.21875" style="1" customWidth="1"/>
    <col min="2" max="2" width="40.5546875" style="1" bestFit="1" customWidth="1"/>
    <col min="3" max="3" width="12.77734375" style="16" customWidth="1"/>
    <col min="4" max="4" width="23.77734375" style="1" customWidth="1"/>
    <col min="5" max="5" width="12.21875" style="1" customWidth="1"/>
    <col min="6" max="6" width="34.21875" style="1" customWidth="1"/>
    <col min="7" max="7" width="12.77734375" style="16" customWidth="1"/>
    <col min="8" max="8" width="23.77734375" style="1" customWidth="1"/>
    <col min="9" max="9" width="12.21875" style="1" customWidth="1"/>
    <col min="10" max="10" width="40.5546875" style="1" customWidth="1"/>
    <col min="11" max="11" width="12.77734375" style="16" customWidth="1"/>
    <col min="12" max="12" width="23.77734375" style="1" customWidth="1"/>
    <col min="13" max="13" width="12.21875" style="1" customWidth="1"/>
    <col min="14" max="14" width="23.44140625" style="1" customWidth="1"/>
    <col min="15" max="15" width="12.77734375" style="16" customWidth="1"/>
    <col min="16" max="16" width="23.77734375" style="1" customWidth="1"/>
    <col min="17" max="17" width="12.21875" style="1" customWidth="1"/>
    <col min="18" max="18" width="40.5546875" style="1" bestFit="1" customWidth="1"/>
    <col min="19" max="19" width="12.77734375" style="16" customWidth="1"/>
    <col min="20" max="20" width="23.77734375" style="1" bestFit="1" customWidth="1"/>
    <col min="21" max="21" width="12.21875" style="1" customWidth="1"/>
    <col min="22" max="22" width="40.5546875" style="1" bestFit="1" customWidth="1"/>
    <col min="23" max="16384" width="10.21875" style="1"/>
  </cols>
  <sheetData>
    <row r="1" spans="1:22" s="18" customFormat="1" ht="15.75" customHeight="1" x14ac:dyDescent="0.3">
      <c r="A1" s="17" t="s">
        <v>123</v>
      </c>
      <c r="B1" s="17" t="s">
        <v>122</v>
      </c>
      <c r="C1" s="17" t="s">
        <v>35</v>
      </c>
      <c r="D1" s="17" t="s">
        <v>36</v>
      </c>
      <c r="E1" s="17" t="s">
        <v>37</v>
      </c>
      <c r="F1" s="17" t="s">
        <v>38</v>
      </c>
      <c r="G1" s="17" t="s">
        <v>39</v>
      </c>
      <c r="H1" s="17" t="s">
        <v>40</v>
      </c>
      <c r="I1" s="17" t="s">
        <v>41</v>
      </c>
      <c r="J1" s="17" t="s">
        <v>42</v>
      </c>
      <c r="K1" s="17" t="s">
        <v>43</v>
      </c>
      <c r="L1" s="17" t="s">
        <v>44</v>
      </c>
      <c r="M1" s="17" t="s">
        <v>31</v>
      </c>
      <c r="N1" s="17" t="s">
        <v>45</v>
      </c>
      <c r="O1" s="17" t="s">
        <v>32</v>
      </c>
      <c r="P1" s="17" t="s">
        <v>46</v>
      </c>
      <c r="Q1" s="17" t="s">
        <v>47</v>
      </c>
      <c r="R1" s="17" t="s">
        <v>48</v>
      </c>
      <c r="S1" s="17" t="s">
        <v>49</v>
      </c>
      <c r="T1" s="17" t="s">
        <v>50</v>
      </c>
      <c r="U1" s="17" t="s">
        <v>51</v>
      </c>
      <c r="V1" s="17" t="s">
        <v>52</v>
      </c>
    </row>
    <row r="2" spans="1:22" ht="13.05" x14ac:dyDescent="0.3">
      <c r="A2" s="21">
        <v>1000189750</v>
      </c>
      <c r="B2" s="3" t="s">
        <v>136</v>
      </c>
      <c r="C2" s="20">
        <v>1000184670</v>
      </c>
      <c r="D2" s="4" t="s">
        <v>147</v>
      </c>
      <c r="E2" s="21">
        <v>1000186197</v>
      </c>
      <c r="F2" s="21" t="s">
        <v>166</v>
      </c>
      <c r="G2" s="20">
        <v>1000198600</v>
      </c>
      <c r="H2" s="4" t="s">
        <v>148</v>
      </c>
      <c r="I2" s="21">
        <v>1000198601</v>
      </c>
      <c r="J2" s="3" t="s">
        <v>149</v>
      </c>
      <c r="K2" s="20"/>
      <c r="L2" s="4"/>
      <c r="M2" s="21">
        <v>1000136585</v>
      </c>
      <c r="N2" s="3" t="s">
        <v>150</v>
      </c>
      <c r="O2" s="20">
        <v>1000186511</v>
      </c>
      <c r="P2" s="4" t="s">
        <v>151</v>
      </c>
      <c r="Q2" s="21" t="s">
        <v>182</v>
      </c>
      <c r="R2" s="21" t="s">
        <v>152</v>
      </c>
      <c r="S2" s="20">
        <v>1000186514</v>
      </c>
      <c r="T2" s="4" t="s">
        <v>153</v>
      </c>
      <c r="U2" s="21" t="s">
        <v>185</v>
      </c>
      <c r="V2" s="21" t="s">
        <v>162</v>
      </c>
    </row>
    <row r="3" spans="1:22" ht="13.05" x14ac:dyDescent="0.3">
      <c r="A3" s="21">
        <v>1000189751</v>
      </c>
      <c r="B3" s="3" t="s">
        <v>137</v>
      </c>
      <c r="C3" s="20">
        <v>1000184670</v>
      </c>
      <c r="D3" s="4" t="s">
        <v>147</v>
      </c>
      <c r="E3" s="21">
        <v>1000186197</v>
      </c>
      <c r="F3" s="21" t="s">
        <v>166</v>
      </c>
      <c r="G3" s="20">
        <v>1000198600</v>
      </c>
      <c r="H3" s="4" t="s">
        <v>148</v>
      </c>
      <c r="I3" s="21">
        <v>1000198601</v>
      </c>
      <c r="J3" s="3" t="s">
        <v>149</v>
      </c>
      <c r="K3" s="20"/>
      <c r="L3" s="4"/>
      <c r="M3" s="21">
        <v>1000136585</v>
      </c>
      <c r="N3" s="3" t="s">
        <v>150</v>
      </c>
      <c r="O3" s="20">
        <v>1000186511</v>
      </c>
      <c r="P3" s="4" t="s">
        <v>151</v>
      </c>
      <c r="Q3" s="21" t="s">
        <v>183</v>
      </c>
      <c r="R3" s="21" t="s">
        <v>163</v>
      </c>
      <c r="S3" s="20">
        <v>1000186514</v>
      </c>
      <c r="T3" s="4" t="s">
        <v>153</v>
      </c>
      <c r="U3" s="21" t="s">
        <v>185</v>
      </c>
      <c r="V3" s="21" t="s">
        <v>162</v>
      </c>
    </row>
    <row r="4" spans="1:22" ht="13.05" x14ac:dyDescent="0.3">
      <c r="A4" s="21">
        <v>1000189753</v>
      </c>
      <c r="B4" s="3" t="s">
        <v>138</v>
      </c>
      <c r="C4" s="20">
        <v>1000184670</v>
      </c>
      <c r="D4" s="4" t="s">
        <v>147</v>
      </c>
      <c r="E4" s="21">
        <v>1000186197</v>
      </c>
      <c r="F4" s="21" t="s">
        <v>166</v>
      </c>
      <c r="G4" s="20">
        <v>1000198600</v>
      </c>
      <c r="H4" s="4" t="s">
        <v>148</v>
      </c>
      <c r="I4" s="21">
        <v>1000198601</v>
      </c>
      <c r="J4" s="3" t="s">
        <v>149</v>
      </c>
      <c r="K4" s="20"/>
      <c r="L4" s="4"/>
      <c r="M4" s="21">
        <v>1000136585</v>
      </c>
      <c r="N4" s="3" t="s">
        <v>150</v>
      </c>
      <c r="O4" s="20">
        <v>1000186511</v>
      </c>
      <c r="P4" s="4" t="s">
        <v>151</v>
      </c>
      <c r="Q4" s="21" t="s">
        <v>182</v>
      </c>
      <c r="R4" s="21" t="s">
        <v>152</v>
      </c>
      <c r="S4" s="20">
        <v>1000186514</v>
      </c>
      <c r="T4" s="4" t="s">
        <v>153</v>
      </c>
      <c r="U4" s="21" t="s">
        <v>185</v>
      </c>
      <c r="V4" s="21" t="s">
        <v>162</v>
      </c>
    </row>
    <row r="5" spans="1:22" ht="13.05" x14ac:dyDescent="0.3">
      <c r="A5" s="21">
        <v>1000189756</v>
      </c>
      <c r="B5" s="3" t="s">
        <v>139</v>
      </c>
      <c r="C5" s="20">
        <v>1000184670</v>
      </c>
      <c r="D5" s="4" t="s">
        <v>147</v>
      </c>
      <c r="E5" s="21">
        <v>1000186197</v>
      </c>
      <c r="F5" s="21" t="s">
        <v>166</v>
      </c>
      <c r="G5" s="20">
        <v>1000198600</v>
      </c>
      <c r="H5" s="4" t="s">
        <v>148</v>
      </c>
      <c r="I5" s="21">
        <v>1000198601</v>
      </c>
      <c r="J5" s="3" t="s">
        <v>149</v>
      </c>
      <c r="K5" s="20"/>
      <c r="L5" s="4"/>
      <c r="M5" s="21">
        <v>1000136585</v>
      </c>
      <c r="N5" s="3" t="s">
        <v>150</v>
      </c>
      <c r="O5" s="20">
        <v>1000186511</v>
      </c>
      <c r="P5" s="4" t="s">
        <v>151</v>
      </c>
      <c r="Q5" s="21" t="s">
        <v>183</v>
      </c>
      <c r="R5" s="21" t="s">
        <v>163</v>
      </c>
      <c r="S5" s="20">
        <v>1000186514</v>
      </c>
      <c r="T5" s="4" t="s">
        <v>153</v>
      </c>
      <c r="U5" s="21" t="s">
        <v>185</v>
      </c>
      <c r="V5" s="21" t="s">
        <v>162</v>
      </c>
    </row>
    <row r="6" spans="1:22" ht="13.05" x14ac:dyDescent="0.3">
      <c r="A6" s="21">
        <v>1000190599</v>
      </c>
      <c r="B6" s="3" t="s">
        <v>140</v>
      </c>
      <c r="C6" s="20">
        <v>1000184670</v>
      </c>
      <c r="D6" s="4" t="s">
        <v>147</v>
      </c>
      <c r="E6" s="21">
        <v>1000186197</v>
      </c>
      <c r="F6" s="21" t="s">
        <v>166</v>
      </c>
      <c r="G6" s="20">
        <v>1000198600</v>
      </c>
      <c r="H6" s="4" t="s">
        <v>148</v>
      </c>
      <c r="I6" s="21">
        <v>1000198601</v>
      </c>
      <c r="J6" s="3" t="s">
        <v>149</v>
      </c>
      <c r="K6" s="20"/>
      <c r="L6" s="4"/>
      <c r="M6" s="21">
        <v>1000136585</v>
      </c>
      <c r="N6" s="3" t="s">
        <v>150</v>
      </c>
      <c r="O6" s="20">
        <v>1000186511</v>
      </c>
      <c r="P6" s="4" t="s">
        <v>151</v>
      </c>
      <c r="Q6" s="21" t="s">
        <v>182</v>
      </c>
      <c r="R6" s="21" t="s">
        <v>152</v>
      </c>
      <c r="S6" s="20">
        <v>1000186514</v>
      </c>
      <c r="T6" s="4" t="s">
        <v>153</v>
      </c>
      <c r="U6" s="21" t="s">
        <v>185</v>
      </c>
      <c r="V6" s="21" t="s">
        <v>162</v>
      </c>
    </row>
    <row r="7" spans="1:22" ht="13.05" x14ac:dyDescent="0.3">
      <c r="A7" s="21">
        <v>1000189757</v>
      </c>
      <c r="B7" s="3" t="s">
        <v>141</v>
      </c>
      <c r="C7" s="20">
        <v>1000184670</v>
      </c>
      <c r="D7" s="4" t="s">
        <v>147</v>
      </c>
      <c r="E7" s="21">
        <v>1000186197</v>
      </c>
      <c r="F7" s="21" t="s">
        <v>166</v>
      </c>
      <c r="G7" s="20">
        <v>1000198600</v>
      </c>
      <c r="H7" s="4" t="s">
        <v>148</v>
      </c>
      <c r="I7" s="21">
        <v>1000198601</v>
      </c>
      <c r="J7" s="3" t="s">
        <v>149</v>
      </c>
      <c r="K7" s="20"/>
      <c r="L7" s="4"/>
      <c r="M7" s="21">
        <v>1000136585</v>
      </c>
      <c r="N7" s="3" t="s">
        <v>150</v>
      </c>
      <c r="O7" s="20">
        <v>1000186511</v>
      </c>
      <c r="P7" s="4" t="s">
        <v>151</v>
      </c>
      <c r="Q7" s="21" t="s">
        <v>184</v>
      </c>
      <c r="R7" s="21" t="s">
        <v>164</v>
      </c>
      <c r="S7" s="20">
        <v>1000186514</v>
      </c>
      <c r="T7" s="4" t="s">
        <v>153</v>
      </c>
      <c r="U7" s="21" t="s">
        <v>185</v>
      </c>
      <c r="V7" s="21" t="s">
        <v>162</v>
      </c>
    </row>
    <row r="8" spans="1:22" ht="13.05" x14ac:dyDescent="0.3">
      <c r="A8" s="21">
        <v>1000190613</v>
      </c>
      <c r="B8" s="3" t="s">
        <v>142</v>
      </c>
      <c r="C8" s="20">
        <v>1000184670</v>
      </c>
      <c r="D8" s="4" t="s">
        <v>147</v>
      </c>
      <c r="E8" s="21">
        <v>1000186197</v>
      </c>
      <c r="F8" s="21" t="s">
        <v>166</v>
      </c>
      <c r="G8" s="20">
        <v>1000198600</v>
      </c>
      <c r="H8" s="4" t="s">
        <v>148</v>
      </c>
      <c r="I8" s="21">
        <v>1000198601</v>
      </c>
      <c r="J8" s="3" t="s">
        <v>149</v>
      </c>
      <c r="K8" s="20"/>
      <c r="L8" s="4"/>
      <c r="M8" s="21">
        <v>1000136585</v>
      </c>
      <c r="N8" s="3" t="s">
        <v>150</v>
      </c>
      <c r="O8" s="20">
        <v>1000186511</v>
      </c>
      <c r="P8" s="4" t="s">
        <v>151</v>
      </c>
      <c r="Q8" s="21" t="s">
        <v>182</v>
      </c>
      <c r="R8" s="21" t="s">
        <v>152</v>
      </c>
      <c r="S8" s="20">
        <v>1000186514</v>
      </c>
      <c r="T8" s="4" t="s">
        <v>153</v>
      </c>
      <c r="U8" s="21" t="s">
        <v>185</v>
      </c>
      <c r="V8" s="21" t="s">
        <v>162</v>
      </c>
    </row>
    <row r="9" spans="1:22" ht="13.05" x14ac:dyDescent="0.3">
      <c r="A9" s="21">
        <v>1000189760</v>
      </c>
      <c r="B9" s="3" t="s">
        <v>143</v>
      </c>
      <c r="C9" s="20">
        <v>1000184670</v>
      </c>
      <c r="D9" s="4" t="s">
        <v>147</v>
      </c>
      <c r="E9" s="21">
        <v>1000186197</v>
      </c>
      <c r="F9" s="21" t="s">
        <v>166</v>
      </c>
      <c r="G9" s="20">
        <v>1000198600</v>
      </c>
      <c r="H9" s="4" t="s">
        <v>148</v>
      </c>
      <c r="I9" s="21">
        <v>1000198601</v>
      </c>
      <c r="J9" s="3" t="s">
        <v>149</v>
      </c>
      <c r="K9" s="20"/>
      <c r="L9" s="4"/>
      <c r="M9" s="21">
        <v>1000136585</v>
      </c>
      <c r="N9" s="3" t="s">
        <v>150</v>
      </c>
      <c r="O9" s="20">
        <v>1000186511</v>
      </c>
      <c r="P9" s="4" t="s">
        <v>151</v>
      </c>
      <c r="Q9" s="21" t="s">
        <v>182</v>
      </c>
      <c r="R9" s="21" t="s">
        <v>152</v>
      </c>
      <c r="S9" s="20">
        <v>1000186514</v>
      </c>
      <c r="T9" s="4" t="s">
        <v>153</v>
      </c>
      <c r="U9" s="21" t="s">
        <v>185</v>
      </c>
      <c r="V9" s="21" t="s">
        <v>162</v>
      </c>
    </row>
    <row r="10" spans="1:22" ht="13.05" x14ac:dyDescent="0.3">
      <c r="A10" s="21">
        <v>1000189761</v>
      </c>
      <c r="B10" s="3" t="s">
        <v>144</v>
      </c>
      <c r="C10" s="20">
        <v>1000184670</v>
      </c>
      <c r="D10" s="4" t="s">
        <v>147</v>
      </c>
      <c r="E10" s="21">
        <v>1000186197</v>
      </c>
      <c r="F10" s="21" t="s">
        <v>166</v>
      </c>
      <c r="G10" s="20">
        <v>1000198600</v>
      </c>
      <c r="H10" s="4" t="s">
        <v>148</v>
      </c>
      <c r="I10" s="21">
        <v>1000198601</v>
      </c>
      <c r="J10" s="3" t="s">
        <v>149</v>
      </c>
      <c r="K10" s="20"/>
      <c r="L10" s="4"/>
      <c r="M10" s="21">
        <v>1000136585</v>
      </c>
      <c r="N10" s="3" t="s">
        <v>150</v>
      </c>
      <c r="O10" s="20">
        <v>1000186511</v>
      </c>
      <c r="P10" s="4" t="s">
        <v>151</v>
      </c>
      <c r="Q10" s="21" t="s">
        <v>182</v>
      </c>
      <c r="R10" s="21" t="s">
        <v>152</v>
      </c>
      <c r="S10" s="20">
        <v>1000186514</v>
      </c>
      <c r="T10" s="4" t="s">
        <v>153</v>
      </c>
      <c r="U10" s="21" t="s">
        <v>186</v>
      </c>
      <c r="V10" s="21" t="s">
        <v>165</v>
      </c>
    </row>
    <row r="11" spans="1:22" ht="13.05" x14ac:dyDescent="0.3">
      <c r="A11" s="21">
        <v>1000190614</v>
      </c>
      <c r="B11" s="3" t="s">
        <v>145</v>
      </c>
      <c r="C11" s="20">
        <v>1000184670</v>
      </c>
      <c r="D11" s="4" t="s">
        <v>147</v>
      </c>
      <c r="E11" s="21">
        <v>1000186197</v>
      </c>
      <c r="F11" s="21" t="s">
        <v>166</v>
      </c>
      <c r="G11" s="20">
        <v>1000198600</v>
      </c>
      <c r="H11" s="4" t="s">
        <v>148</v>
      </c>
      <c r="I11" s="21">
        <v>1000198601</v>
      </c>
      <c r="J11" s="3" t="s">
        <v>149</v>
      </c>
      <c r="K11" s="20"/>
      <c r="L11" s="4"/>
      <c r="M11" s="21">
        <v>1000136585</v>
      </c>
      <c r="N11" s="3" t="s">
        <v>150</v>
      </c>
      <c r="O11" s="20">
        <v>1000186511</v>
      </c>
      <c r="P11" s="4" t="s">
        <v>151</v>
      </c>
      <c r="Q11" s="21" t="s">
        <v>182</v>
      </c>
      <c r="R11" s="21" t="s">
        <v>152</v>
      </c>
      <c r="S11" s="20">
        <v>1000186514</v>
      </c>
      <c r="T11" s="4" t="s">
        <v>153</v>
      </c>
      <c r="U11" s="21" t="s">
        <v>185</v>
      </c>
      <c r="V11" s="21" t="s">
        <v>162</v>
      </c>
    </row>
    <row r="12" spans="1:22" ht="13.05" x14ac:dyDescent="0.3">
      <c r="A12" s="21">
        <v>1000190600</v>
      </c>
      <c r="B12" s="3" t="s">
        <v>146</v>
      </c>
      <c r="C12" s="20">
        <v>1000184670</v>
      </c>
      <c r="D12" s="4" t="s">
        <v>147</v>
      </c>
      <c r="E12" s="21">
        <v>1000186197</v>
      </c>
      <c r="F12" s="21" t="s">
        <v>166</v>
      </c>
      <c r="G12" s="20">
        <v>1000198600</v>
      </c>
      <c r="H12" s="4" t="s">
        <v>148</v>
      </c>
      <c r="I12" s="21">
        <v>1000198601</v>
      </c>
      <c r="J12" s="3" t="s">
        <v>149</v>
      </c>
      <c r="K12" s="20"/>
      <c r="L12" s="4"/>
      <c r="M12" s="21">
        <v>1000136585</v>
      </c>
      <c r="N12" s="3" t="s">
        <v>150</v>
      </c>
      <c r="O12" s="20">
        <v>1000186511</v>
      </c>
      <c r="P12" s="4" t="s">
        <v>151</v>
      </c>
      <c r="Q12" s="21" t="s">
        <v>182</v>
      </c>
      <c r="R12" s="21" t="s">
        <v>152</v>
      </c>
      <c r="S12" s="20">
        <v>1000186514</v>
      </c>
      <c r="T12" s="4" t="s">
        <v>153</v>
      </c>
      <c r="U12" s="21" t="s">
        <v>185</v>
      </c>
      <c r="V12" s="21" t="s">
        <v>162</v>
      </c>
    </row>
    <row r="13" spans="1:22" ht="13.05" x14ac:dyDescent="0.3">
      <c r="A13" s="21">
        <v>1000189749</v>
      </c>
      <c r="B13" s="3" t="s">
        <v>154</v>
      </c>
      <c r="C13" s="20">
        <v>1000184670</v>
      </c>
      <c r="D13" s="4" t="s">
        <v>147</v>
      </c>
      <c r="E13" s="21">
        <v>1000186197</v>
      </c>
      <c r="F13" s="21" t="s">
        <v>166</v>
      </c>
      <c r="G13" s="20">
        <v>1000185288</v>
      </c>
      <c r="H13" s="4" t="s">
        <v>64</v>
      </c>
      <c r="I13" s="21">
        <v>1000189807</v>
      </c>
      <c r="J13" s="3" t="s">
        <v>81</v>
      </c>
      <c r="K13" s="20"/>
      <c r="L13" s="4"/>
      <c r="M13" s="21">
        <v>1000136585</v>
      </c>
      <c r="N13" s="3" t="s">
        <v>150</v>
      </c>
      <c r="O13" s="20">
        <v>1000186511</v>
      </c>
      <c r="P13" s="4" t="s">
        <v>151</v>
      </c>
      <c r="Q13" s="21" t="s">
        <v>182</v>
      </c>
      <c r="R13" s="21" t="s">
        <v>152</v>
      </c>
      <c r="S13" s="20">
        <v>1000186514</v>
      </c>
      <c r="T13" s="4" t="s">
        <v>153</v>
      </c>
      <c r="U13" s="21" t="s">
        <v>185</v>
      </c>
      <c r="V13" s="21" t="s">
        <v>162</v>
      </c>
    </row>
    <row r="14" spans="1:22" ht="13.05" x14ac:dyDescent="0.3">
      <c r="A14" s="21">
        <v>1000189759</v>
      </c>
      <c r="B14" s="3" t="s">
        <v>155</v>
      </c>
      <c r="C14" s="20">
        <v>1000184670</v>
      </c>
      <c r="D14" s="4" t="s">
        <v>147</v>
      </c>
      <c r="E14" s="21">
        <v>1000185711</v>
      </c>
      <c r="F14" s="21" t="s">
        <v>167</v>
      </c>
      <c r="G14" s="20">
        <v>1000184764</v>
      </c>
      <c r="H14" s="4" t="s">
        <v>70</v>
      </c>
      <c r="I14" s="21">
        <v>1000189818</v>
      </c>
      <c r="J14" s="3" t="s">
        <v>72</v>
      </c>
      <c r="K14" s="20"/>
      <c r="L14" s="4"/>
      <c r="M14" s="21">
        <v>1000136585</v>
      </c>
      <c r="N14" s="3" t="s">
        <v>150</v>
      </c>
      <c r="O14" s="20">
        <v>1000186511</v>
      </c>
      <c r="P14" s="4" t="s">
        <v>151</v>
      </c>
      <c r="Q14" s="21" t="s">
        <v>182</v>
      </c>
      <c r="R14" s="21" t="s">
        <v>152</v>
      </c>
      <c r="S14" s="20">
        <v>1000186514</v>
      </c>
      <c r="T14" s="4" t="s">
        <v>153</v>
      </c>
      <c r="U14" s="21" t="s">
        <v>185</v>
      </c>
      <c r="V14" s="21" t="s">
        <v>162</v>
      </c>
    </row>
    <row r="15" spans="1:22" ht="13.05" x14ac:dyDescent="0.3">
      <c r="A15" s="21">
        <v>1000189763</v>
      </c>
      <c r="B15" s="3" t="s">
        <v>156</v>
      </c>
      <c r="C15" s="20">
        <v>1000184670</v>
      </c>
      <c r="D15" s="4" t="s">
        <v>147</v>
      </c>
      <c r="E15" s="21">
        <v>1000186198</v>
      </c>
      <c r="F15" s="21" t="s">
        <v>168</v>
      </c>
      <c r="G15" s="20">
        <v>1000185288</v>
      </c>
      <c r="H15" s="4" t="s">
        <v>64</v>
      </c>
      <c r="I15" s="21">
        <v>1000189793</v>
      </c>
      <c r="J15" s="3" t="s">
        <v>85</v>
      </c>
      <c r="K15" s="20"/>
      <c r="L15" s="4"/>
      <c r="M15" s="21">
        <v>1000136585</v>
      </c>
      <c r="N15" s="3" t="s">
        <v>150</v>
      </c>
      <c r="O15" s="20">
        <v>1000186511</v>
      </c>
      <c r="P15" s="4" t="s">
        <v>151</v>
      </c>
      <c r="Q15" s="21" t="s">
        <v>182</v>
      </c>
      <c r="R15" s="21" t="s">
        <v>152</v>
      </c>
      <c r="S15" s="20">
        <v>1000186514</v>
      </c>
      <c r="T15" s="4" t="s">
        <v>153</v>
      </c>
      <c r="U15" s="21" t="s">
        <v>185</v>
      </c>
      <c r="V15" s="21" t="s">
        <v>162</v>
      </c>
    </row>
    <row r="16" spans="1:22" ht="13.05" x14ac:dyDescent="0.3">
      <c r="A16" s="21">
        <v>1000189754</v>
      </c>
      <c r="B16" s="3" t="s">
        <v>157</v>
      </c>
      <c r="C16" s="20">
        <v>1000184670</v>
      </c>
      <c r="D16" s="4" t="s">
        <v>147</v>
      </c>
      <c r="E16" s="21">
        <v>1000186198</v>
      </c>
      <c r="F16" s="21" t="s">
        <v>168</v>
      </c>
      <c r="G16" s="20">
        <v>1000185288</v>
      </c>
      <c r="H16" s="4" t="s">
        <v>64</v>
      </c>
      <c r="I16" s="21">
        <v>1000189803</v>
      </c>
      <c r="J16" s="3" t="s">
        <v>97</v>
      </c>
      <c r="K16" s="20"/>
      <c r="L16" s="4"/>
      <c r="M16" s="21">
        <v>1000136585</v>
      </c>
      <c r="N16" s="3" t="s">
        <v>150</v>
      </c>
      <c r="O16" s="20">
        <v>1000186511</v>
      </c>
      <c r="P16" s="4" t="s">
        <v>151</v>
      </c>
      <c r="Q16" s="21" t="s">
        <v>182</v>
      </c>
      <c r="R16" s="21" t="s">
        <v>152</v>
      </c>
      <c r="S16" s="20">
        <v>1000186514</v>
      </c>
      <c r="T16" s="4" t="s">
        <v>153</v>
      </c>
      <c r="U16" s="21" t="s">
        <v>185</v>
      </c>
      <c r="V16" s="21" t="s">
        <v>162</v>
      </c>
    </row>
    <row r="17" spans="1:22" ht="13.05" x14ac:dyDescent="0.3">
      <c r="A17" s="21">
        <v>1000189762</v>
      </c>
      <c r="B17" s="3" t="s">
        <v>158</v>
      </c>
      <c r="C17" s="20">
        <v>1000184670</v>
      </c>
      <c r="D17" s="4" t="s">
        <v>147</v>
      </c>
      <c r="E17" s="21">
        <v>1000186197</v>
      </c>
      <c r="F17" s="21" t="s">
        <v>166</v>
      </c>
      <c r="G17" s="20">
        <v>1000184760</v>
      </c>
      <c r="H17" s="4" t="s">
        <v>60</v>
      </c>
      <c r="I17" s="21">
        <v>1000189796</v>
      </c>
      <c r="J17" s="3" t="s">
        <v>61</v>
      </c>
      <c r="K17" s="20"/>
      <c r="L17" s="4"/>
      <c r="M17" s="21">
        <v>1000136585</v>
      </c>
      <c r="N17" s="3" t="s">
        <v>150</v>
      </c>
      <c r="O17" s="20">
        <v>1000186511</v>
      </c>
      <c r="P17" s="4" t="s">
        <v>151</v>
      </c>
      <c r="Q17" s="21" t="s">
        <v>182</v>
      </c>
      <c r="R17" s="21" t="s">
        <v>152</v>
      </c>
      <c r="S17" s="20">
        <v>1000186514</v>
      </c>
      <c r="T17" s="4" t="s">
        <v>153</v>
      </c>
      <c r="U17" s="21" t="s">
        <v>185</v>
      </c>
      <c r="V17" s="21" t="s">
        <v>162</v>
      </c>
    </row>
    <row r="18" spans="1:22" ht="13.05" x14ac:dyDescent="0.3">
      <c r="A18" s="21">
        <v>1000189758</v>
      </c>
      <c r="B18" s="3" t="s">
        <v>159</v>
      </c>
      <c r="C18" s="20">
        <v>1000184670</v>
      </c>
      <c r="D18" s="4" t="s">
        <v>147</v>
      </c>
      <c r="E18" s="21">
        <v>1000186197</v>
      </c>
      <c r="F18" s="21" t="s">
        <v>166</v>
      </c>
      <c r="G18" s="20">
        <v>1000185288</v>
      </c>
      <c r="H18" s="4" t="s">
        <v>64</v>
      </c>
      <c r="I18" s="21">
        <v>1000189807</v>
      </c>
      <c r="J18" s="3" t="s">
        <v>81</v>
      </c>
      <c r="K18" s="20"/>
      <c r="L18" s="4"/>
      <c r="M18" s="21">
        <v>1000136585</v>
      </c>
      <c r="N18" s="3" t="s">
        <v>150</v>
      </c>
      <c r="O18" s="20">
        <v>1000186511</v>
      </c>
      <c r="P18" s="4" t="s">
        <v>151</v>
      </c>
      <c r="Q18" s="21" t="s">
        <v>182</v>
      </c>
      <c r="R18" s="21" t="s">
        <v>152</v>
      </c>
      <c r="S18" s="20">
        <v>1000186514</v>
      </c>
      <c r="T18" s="4" t="s">
        <v>153</v>
      </c>
      <c r="U18" s="21" t="s">
        <v>186</v>
      </c>
      <c r="V18" s="21" t="s">
        <v>165</v>
      </c>
    </row>
    <row r="19" spans="1:22" ht="13.05" x14ac:dyDescent="0.3">
      <c r="A19" s="21">
        <v>1000189755</v>
      </c>
      <c r="B19" s="3" t="s">
        <v>160</v>
      </c>
      <c r="C19" s="20">
        <v>1000184670</v>
      </c>
      <c r="D19" s="4" t="s">
        <v>147</v>
      </c>
      <c r="E19" s="21">
        <v>1000185711</v>
      </c>
      <c r="F19" s="21" t="s">
        <v>167</v>
      </c>
      <c r="G19" s="20">
        <v>1000184762</v>
      </c>
      <c r="H19" s="4" t="s">
        <v>58</v>
      </c>
      <c r="I19" s="21">
        <v>1000189815</v>
      </c>
      <c r="J19" s="3" t="s">
        <v>59</v>
      </c>
      <c r="K19" s="20"/>
      <c r="L19" s="4"/>
      <c r="M19" s="21">
        <v>1000136585</v>
      </c>
      <c r="N19" s="3" t="s">
        <v>150</v>
      </c>
      <c r="O19" s="20">
        <v>1000186511</v>
      </c>
      <c r="P19" s="4" t="s">
        <v>151</v>
      </c>
      <c r="Q19" s="21" t="s">
        <v>182</v>
      </c>
      <c r="R19" s="21" t="s">
        <v>152</v>
      </c>
      <c r="S19" s="20">
        <v>1000186514</v>
      </c>
      <c r="T19" s="4" t="s">
        <v>153</v>
      </c>
      <c r="U19" s="21" t="s">
        <v>185</v>
      </c>
      <c r="V19" s="21" t="s">
        <v>162</v>
      </c>
    </row>
    <row r="20" spans="1:22" ht="13.05" x14ac:dyDescent="0.3">
      <c r="A20" s="21">
        <v>1000195872</v>
      </c>
      <c r="B20" s="3" t="s">
        <v>161</v>
      </c>
      <c r="C20" s="20">
        <v>1000184670</v>
      </c>
      <c r="D20" s="4" t="s">
        <v>147</v>
      </c>
      <c r="E20" s="21">
        <v>1000186197</v>
      </c>
      <c r="F20" s="21" t="s">
        <v>166</v>
      </c>
      <c r="G20" s="20">
        <v>1000184758</v>
      </c>
      <c r="H20" s="4" t="s">
        <v>55</v>
      </c>
      <c r="I20" s="21">
        <v>1000189786</v>
      </c>
      <c r="J20" s="3" t="s">
        <v>104</v>
      </c>
      <c r="K20" s="20"/>
      <c r="L20" s="4"/>
      <c r="M20" s="21">
        <v>1000136585</v>
      </c>
      <c r="N20" s="3" t="s">
        <v>150</v>
      </c>
      <c r="O20" s="20">
        <v>1000186511</v>
      </c>
      <c r="P20" s="4" t="s">
        <v>151</v>
      </c>
      <c r="Q20" s="21" t="s">
        <v>182</v>
      </c>
      <c r="R20" s="21" t="s">
        <v>152</v>
      </c>
      <c r="S20" s="20">
        <v>1000186514</v>
      </c>
      <c r="T20" s="4" t="s">
        <v>153</v>
      </c>
      <c r="U20" s="21" t="s">
        <v>185</v>
      </c>
      <c r="V20" s="21" t="s">
        <v>162</v>
      </c>
    </row>
    <row r="21" spans="1:22" ht="13.05" x14ac:dyDescent="0.3">
      <c r="A21" s="21">
        <v>1000189270</v>
      </c>
      <c r="B21" s="3" t="s">
        <v>34</v>
      </c>
      <c r="C21" s="20">
        <v>1000184670</v>
      </c>
      <c r="D21" s="4" t="s">
        <v>147</v>
      </c>
      <c r="E21" s="21">
        <v>1000186197</v>
      </c>
      <c r="F21" s="21" t="s">
        <v>166</v>
      </c>
      <c r="G21" s="20">
        <v>1000184756</v>
      </c>
      <c r="H21" s="4" t="s">
        <v>53</v>
      </c>
      <c r="I21" s="19">
        <v>1000189773</v>
      </c>
      <c r="J21" s="3" t="s">
        <v>93</v>
      </c>
      <c r="K21" s="20"/>
      <c r="L21" s="4"/>
      <c r="M21" s="21">
        <v>1000136585</v>
      </c>
      <c r="N21" s="3" t="s">
        <v>150</v>
      </c>
      <c r="O21" s="20">
        <v>1000186511</v>
      </c>
      <c r="P21" s="4" t="s">
        <v>151</v>
      </c>
      <c r="Q21" s="21">
        <v>1000186510</v>
      </c>
      <c r="R21" s="21" t="s">
        <v>152</v>
      </c>
      <c r="S21" s="20">
        <v>1000186514</v>
      </c>
      <c r="T21" s="4" t="s">
        <v>153</v>
      </c>
      <c r="U21" s="21">
        <v>1000176426</v>
      </c>
      <c r="V21" s="21" t="s">
        <v>165</v>
      </c>
    </row>
    <row r="22" spans="1:22" ht="13.05" x14ac:dyDescent="0.3">
      <c r="A22" s="21">
        <v>1000189270</v>
      </c>
      <c r="B22" s="3" t="s">
        <v>34</v>
      </c>
      <c r="C22" s="20">
        <v>1000184670</v>
      </c>
      <c r="D22" s="4" t="s">
        <v>147</v>
      </c>
      <c r="E22" s="21">
        <v>1000186197</v>
      </c>
      <c r="F22" s="21" t="s">
        <v>166</v>
      </c>
      <c r="G22" s="20">
        <v>1000184756</v>
      </c>
      <c r="H22" s="4" t="s">
        <v>53</v>
      </c>
      <c r="I22" s="19">
        <v>1000189775</v>
      </c>
      <c r="J22" s="3" t="s">
        <v>66</v>
      </c>
      <c r="K22" s="20"/>
      <c r="L22" s="4"/>
      <c r="M22" s="21">
        <v>1000136585</v>
      </c>
      <c r="N22" s="3" t="s">
        <v>150</v>
      </c>
      <c r="O22" s="20">
        <v>1000186511</v>
      </c>
      <c r="P22" s="4" t="s">
        <v>151</v>
      </c>
      <c r="Q22" s="21">
        <v>1000186510</v>
      </c>
      <c r="R22" s="21" t="s">
        <v>152</v>
      </c>
      <c r="S22" s="20">
        <v>1000186514</v>
      </c>
      <c r="T22" s="4" t="s">
        <v>153</v>
      </c>
      <c r="U22" s="21">
        <v>1000176426</v>
      </c>
      <c r="V22" s="21" t="s">
        <v>165</v>
      </c>
    </row>
    <row r="23" spans="1:22" ht="13.05" x14ac:dyDescent="0.3">
      <c r="A23" s="21">
        <v>1000189270</v>
      </c>
      <c r="B23" s="3" t="s">
        <v>34</v>
      </c>
      <c r="C23" s="20">
        <v>1000184670</v>
      </c>
      <c r="D23" s="4" t="s">
        <v>147</v>
      </c>
      <c r="E23" s="21">
        <v>1000186197</v>
      </c>
      <c r="F23" s="21" t="s">
        <v>166</v>
      </c>
      <c r="G23" s="20">
        <v>1000184756</v>
      </c>
      <c r="H23" s="4" t="s">
        <v>53</v>
      </c>
      <c r="I23" s="19">
        <v>1000189783</v>
      </c>
      <c r="J23" s="3" t="s">
        <v>86</v>
      </c>
      <c r="K23" s="20"/>
      <c r="L23" s="4"/>
      <c r="M23" s="21">
        <v>1000136585</v>
      </c>
      <c r="N23" s="3" t="s">
        <v>150</v>
      </c>
      <c r="O23" s="20">
        <v>1000186511</v>
      </c>
      <c r="P23" s="4" t="s">
        <v>151</v>
      </c>
      <c r="Q23" s="21">
        <v>1000186510</v>
      </c>
      <c r="R23" s="21" t="s">
        <v>152</v>
      </c>
      <c r="S23" s="20">
        <v>1000186514</v>
      </c>
      <c r="T23" s="4" t="s">
        <v>153</v>
      </c>
      <c r="U23" s="21">
        <v>1000176426</v>
      </c>
      <c r="V23" s="21" t="s">
        <v>165</v>
      </c>
    </row>
    <row r="24" spans="1:22" ht="13.05" x14ac:dyDescent="0.3">
      <c r="A24" s="21">
        <v>1000189270</v>
      </c>
      <c r="B24" s="3" t="s">
        <v>34</v>
      </c>
      <c r="C24" s="20">
        <v>1000184670</v>
      </c>
      <c r="D24" s="4" t="s">
        <v>147</v>
      </c>
      <c r="E24" s="21">
        <v>1000186197</v>
      </c>
      <c r="F24" s="21" t="s">
        <v>166</v>
      </c>
      <c r="G24" s="20">
        <v>1000184756</v>
      </c>
      <c r="H24" s="4" t="s">
        <v>53</v>
      </c>
      <c r="I24" s="19">
        <v>1000189784</v>
      </c>
      <c r="J24" s="3" t="s">
        <v>54</v>
      </c>
      <c r="K24" s="20"/>
      <c r="L24" s="4"/>
      <c r="M24" s="21">
        <v>1000136585</v>
      </c>
      <c r="N24" s="3" t="s">
        <v>150</v>
      </c>
      <c r="O24" s="20">
        <v>1000186511</v>
      </c>
      <c r="P24" s="4" t="s">
        <v>151</v>
      </c>
      <c r="Q24" s="21">
        <v>1000186510</v>
      </c>
      <c r="R24" s="21" t="s">
        <v>152</v>
      </c>
      <c r="S24" s="20">
        <v>1000186514</v>
      </c>
      <c r="T24" s="4" t="s">
        <v>153</v>
      </c>
      <c r="U24" s="21">
        <v>1000176426</v>
      </c>
      <c r="V24" s="21" t="s">
        <v>165</v>
      </c>
    </row>
    <row r="25" spans="1:22" ht="13.05" x14ac:dyDescent="0.3">
      <c r="A25" s="21">
        <v>1000189270</v>
      </c>
      <c r="B25" s="3" t="s">
        <v>34</v>
      </c>
      <c r="C25" s="20">
        <v>1000184670</v>
      </c>
      <c r="D25" s="4" t="s">
        <v>147</v>
      </c>
      <c r="E25" s="21">
        <v>1000186197</v>
      </c>
      <c r="F25" s="21" t="s">
        <v>166</v>
      </c>
      <c r="G25" s="20">
        <v>1000184756</v>
      </c>
      <c r="H25" s="4" t="s">
        <v>53</v>
      </c>
      <c r="I25" s="19">
        <v>1000189824</v>
      </c>
      <c r="J25" s="3" t="s">
        <v>100</v>
      </c>
      <c r="K25" s="20"/>
      <c r="L25" s="4"/>
      <c r="M25" s="21">
        <v>1000136585</v>
      </c>
      <c r="N25" s="3" t="s">
        <v>150</v>
      </c>
      <c r="O25" s="20">
        <v>1000186511</v>
      </c>
      <c r="P25" s="4" t="s">
        <v>151</v>
      </c>
      <c r="Q25" s="21">
        <v>1000186510</v>
      </c>
      <c r="R25" s="21" t="s">
        <v>152</v>
      </c>
      <c r="S25" s="20">
        <v>1000186514</v>
      </c>
      <c r="T25" s="4" t="s">
        <v>153</v>
      </c>
      <c r="U25" s="21">
        <v>1000176426</v>
      </c>
      <c r="V25" s="21" t="s">
        <v>165</v>
      </c>
    </row>
    <row r="26" spans="1:22" ht="13.05" x14ac:dyDescent="0.3">
      <c r="A26" s="21">
        <v>1000189270</v>
      </c>
      <c r="B26" s="3" t="s">
        <v>34</v>
      </c>
      <c r="C26" s="20">
        <v>1000184670</v>
      </c>
      <c r="D26" s="4" t="s">
        <v>147</v>
      </c>
      <c r="E26" s="21">
        <v>1000186197</v>
      </c>
      <c r="F26" s="21" t="s">
        <v>166</v>
      </c>
      <c r="G26" s="20">
        <v>1000184757</v>
      </c>
      <c r="H26" s="4" t="s">
        <v>62</v>
      </c>
      <c r="I26" s="19">
        <v>1000189765</v>
      </c>
      <c r="J26" s="3" t="s">
        <v>99</v>
      </c>
      <c r="K26" s="20"/>
      <c r="L26" s="4"/>
      <c r="M26" s="21">
        <v>1000136585</v>
      </c>
      <c r="N26" s="3" t="s">
        <v>150</v>
      </c>
      <c r="O26" s="20">
        <v>1000186511</v>
      </c>
      <c r="P26" s="4" t="s">
        <v>151</v>
      </c>
      <c r="Q26" s="21">
        <v>1000186510</v>
      </c>
      <c r="R26" s="21" t="s">
        <v>152</v>
      </c>
      <c r="S26" s="20">
        <v>1000186514</v>
      </c>
      <c r="T26" s="4" t="s">
        <v>153</v>
      </c>
      <c r="U26" s="21">
        <v>1000176426</v>
      </c>
      <c r="V26" s="21" t="s">
        <v>165</v>
      </c>
    </row>
    <row r="27" spans="1:22" ht="13.05" x14ac:dyDescent="0.3">
      <c r="A27" s="21">
        <v>1000189270</v>
      </c>
      <c r="B27" s="3" t="s">
        <v>34</v>
      </c>
      <c r="C27" s="20">
        <v>1000184670</v>
      </c>
      <c r="D27" s="4" t="s">
        <v>147</v>
      </c>
      <c r="E27" s="21">
        <v>1000186197</v>
      </c>
      <c r="F27" s="21" t="s">
        <v>166</v>
      </c>
      <c r="G27" s="20">
        <v>1000184757</v>
      </c>
      <c r="H27" s="4" t="s">
        <v>62</v>
      </c>
      <c r="I27" s="19">
        <v>1000189768</v>
      </c>
      <c r="J27" s="3" t="s">
        <v>88</v>
      </c>
      <c r="K27" s="20"/>
      <c r="L27" s="4"/>
      <c r="M27" s="21">
        <v>1000136585</v>
      </c>
      <c r="N27" s="3" t="s">
        <v>150</v>
      </c>
      <c r="O27" s="20">
        <v>1000186511</v>
      </c>
      <c r="P27" s="4" t="s">
        <v>151</v>
      </c>
      <c r="Q27" s="21">
        <v>1000186510</v>
      </c>
      <c r="R27" s="21" t="s">
        <v>152</v>
      </c>
      <c r="S27" s="20">
        <v>1000186514</v>
      </c>
      <c r="T27" s="4" t="s">
        <v>153</v>
      </c>
      <c r="U27" s="21">
        <v>1000176426</v>
      </c>
      <c r="V27" s="21" t="s">
        <v>165</v>
      </c>
    </row>
    <row r="28" spans="1:22" ht="13.05" x14ac:dyDescent="0.3">
      <c r="A28" s="21">
        <v>1000189270</v>
      </c>
      <c r="B28" s="3" t="s">
        <v>34</v>
      </c>
      <c r="C28" s="20">
        <v>1000184670</v>
      </c>
      <c r="D28" s="4" t="s">
        <v>147</v>
      </c>
      <c r="E28" s="21">
        <v>1000186197</v>
      </c>
      <c r="F28" s="21" t="s">
        <v>166</v>
      </c>
      <c r="G28" s="20">
        <v>1000184757</v>
      </c>
      <c r="H28" s="4" t="s">
        <v>62</v>
      </c>
      <c r="I28" s="19">
        <v>1000189769</v>
      </c>
      <c r="J28" s="3" t="s">
        <v>67</v>
      </c>
      <c r="K28" s="20"/>
      <c r="L28" s="4"/>
      <c r="M28" s="21">
        <v>1000136585</v>
      </c>
      <c r="N28" s="3" t="s">
        <v>150</v>
      </c>
      <c r="O28" s="20">
        <v>1000186511</v>
      </c>
      <c r="P28" s="4" t="s">
        <v>151</v>
      </c>
      <c r="Q28" s="21">
        <v>1000186510</v>
      </c>
      <c r="R28" s="21" t="s">
        <v>152</v>
      </c>
      <c r="S28" s="20">
        <v>1000186514</v>
      </c>
      <c r="T28" s="4" t="s">
        <v>153</v>
      </c>
      <c r="U28" s="21">
        <v>1000176426</v>
      </c>
      <c r="V28" s="21" t="s">
        <v>165</v>
      </c>
    </row>
    <row r="29" spans="1:22" ht="13.05" x14ac:dyDescent="0.3">
      <c r="A29" s="21">
        <v>1000189270</v>
      </c>
      <c r="B29" s="3" t="s">
        <v>34</v>
      </c>
      <c r="C29" s="20">
        <v>1000184670</v>
      </c>
      <c r="D29" s="4" t="s">
        <v>147</v>
      </c>
      <c r="E29" s="21">
        <v>1000186197</v>
      </c>
      <c r="F29" s="21" t="s">
        <v>166</v>
      </c>
      <c r="G29" s="20">
        <v>1000184757</v>
      </c>
      <c r="H29" s="4" t="s">
        <v>62</v>
      </c>
      <c r="I29" s="19">
        <v>1000189770</v>
      </c>
      <c r="J29" s="3" t="s">
        <v>75</v>
      </c>
      <c r="K29" s="20"/>
      <c r="L29" s="4"/>
      <c r="M29" s="21">
        <v>1000136585</v>
      </c>
      <c r="N29" s="3" t="s">
        <v>150</v>
      </c>
      <c r="O29" s="20">
        <v>1000186511</v>
      </c>
      <c r="P29" s="4" t="s">
        <v>151</v>
      </c>
      <c r="Q29" s="21">
        <v>1000186510</v>
      </c>
      <c r="R29" s="21" t="s">
        <v>152</v>
      </c>
      <c r="S29" s="20">
        <v>1000186514</v>
      </c>
      <c r="T29" s="4" t="s">
        <v>153</v>
      </c>
      <c r="U29" s="21">
        <v>1000176426</v>
      </c>
      <c r="V29" s="21" t="s">
        <v>165</v>
      </c>
    </row>
    <row r="30" spans="1:22" ht="13.05" x14ac:dyDescent="0.3">
      <c r="A30" s="21">
        <v>1000189270</v>
      </c>
      <c r="B30" s="3" t="s">
        <v>34</v>
      </c>
      <c r="C30" s="20">
        <v>1000184670</v>
      </c>
      <c r="D30" s="4" t="s">
        <v>147</v>
      </c>
      <c r="E30" s="21">
        <v>1000186197</v>
      </c>
      <c r="F30" s="21" t="s">
        <v>166</v>
      </c>
      <c r="G30" s="20">
        <v>1000184757</v>
      </c>
      <c r="H30" s="4" t="s">
        <v>62</v>
      </c>
      <c r="I30" s="19">
        <v>1000189771</v>
      </c>
      <c r="J30" s="3" t="s">
        <v>101</v>
      </c>
      <c r="K30" s="20"/>
      <c r="L30" s="4"/>
      <c r="M30" s="21">
        <v>1000136585</v>
      </c>
      <c r="N30" s="3" t="s">
        <v>150</v>
      </c>
      <c r="O30" s="20">
        <v>1000186511</v>
      </c>
      <c r="P30" s="4" t="s">
        <v>151</v>
      </c>
      <c r="Q30" s="21">
        <v>1000186510</v>
      </c>
      <c r="R30" s="21" t="s">
        <v>152</v>
      </c>
      <c r="S30" s="20">
        <v>1000186514</v>
      </c>
      <c r="T30" s="4" t="s">
        <v>153</v>
      </c>
      <c r="U30" s="21">
        <v>1000176426</v>
      </c>
      <c r="V30" s="21" t="s">
        <v>165</v>
      </c>
    </row>
    <row r="31" spans="1:22" ht="13.05" x14ac:dyDescent="0.3">
      <c r="A31" s="21">
        <v>1000189270</v>
      </c>
      <c r="B31" s="3" t="s">
        <v>34</v>
      </c>
      <c r="C31" s="20">
        <v>1000184670</v>
      </c>
      <c r="D31" s="4" t="s">
        <v>147</v>
      </c>
      <c r="E31" s="21">
        <v>1000186197</v>
      </c>
      <c r="F31" s="21" t="s">
        <v>166</v>
      </c>
      <c r="G31" s="20">
        <v>1000184757</v>
      </c>
      <c r="H31" s="4" t="s">
        <v>62</v>
      </c>
      <c r="I31" s="19">
        <v>1000189772</v>
      </c>
      <c r="J31" s="3" t="s">
        <v>98</v>
      </c>
      <c r="K31" s="20"/>
      <c r="L31" s="4"/>
      <c r="M31" s="21">
        <v>1000136585</v>
      </c>
      <c r="N31" s="3" t="s">
        <v>150</v>
      </c>
      <c r="O31" s="20">
        <v>1000186511</v>
      </c>
      <c r="P31" s="4" t="s">
        <v>151</v>
      </c>
      <c r="Q31" s="21">
        <v>1000186510</v>
      </c>
      <c r="R31" s="21" t="s">
        <v>152</v>
      </c>
      <c r="S31" s="20">
        <v>1000186514</v>
      </c>
      <c r="T31" s="4" t="s">
        <v>153</v>
      </c>
      <c r="U31" s="21">
        <v>1000176426</v>
      </c>
      <c r="V31" s="21" t="s">
        <v>165</v>
      </c>
    </row>
    <row r="32" spans="1:22" ht="13.05" x14ac:dyDescent="0.3">
      <c r="A32" s="21">
        <v>1000189270</v>
      </c>
      <c r="B32" s="3" t="s">
        <v>34</v>
      </c>
      <c r="C32" s="20">
        <v>1000184670</v>
      </c>
      <c r="D32" s="4" t="s">
        <v>147</v>
      </c>
      <c r="E32" s="21">
        <v>1000186197</v>
      </c>
      <c r="F32" s="21" t="s">
        <v>166</v>
      </c>
      <c r="G32" s="20">
        <v>1000184757</v>
      </c>
      <c r="H32" s="4" t="s">
        <v>62</v>
      </c>
      <c r="I32" s="19">
        <v>1000189787</v>
      </c>
      <c r="J32" s="3" t="s">
        <v>63</v>
      </c>
      <c r="K32" s="20"/>
      <c r="L32" s="4"/>
      <c r="M32" s="21">
        <v>1000136585</v>
      </c>
      <c r="N32" s="3" t="s">
        <v>150</v>
      </c>
      <c r="O32" s="20">
        <v>1000186511</v>
      </c>
      <c r="P32" s="4" t="s">
        <v>151</v>
      </c>
      <c r="Q32" s="21">
        <v>1000186510</v>
      </c>
      <c r="R32" s="21" t="s">
        <v>152</v>
      </c>
      <c r="S32" s="20">
        <v>1000186514</v>
      </c>
      <c r="T32" s="4" t="s">
        <v>153</v>
      </c>
      <c r="U32" s="21">
        <v>1000176426</v>
      </c>
      <c r="V32" s="21" t="s">
        <v>165</v>
      </c>
    </row>
    <row r="33" spans="1:22" ht="13.05" x14ac:dyDescent="0.3">
      <c r="A33" s="21">
        <v>1000189270</v>
      </c>
      <c r="B33" s="3" t="s">
        <v>34</v>
      </c>
      <c r="C33" s="20">
        <v>1000184670</v>
      </c>
      <c r="D33" s="4" t="s">
        <v>147</v>
      </c>
      <c r="E33" s="21">
        <v>1000186197</v>
      </c>
      <c r="F33" s="21" t="s">
        <v>166</v>
      </c>
      <c r="G33" s="20">
        <v>1000184757</v>
      </c>
      <c r="H33" s="4" t="s">
        <v>62</v>
      </c>
      <c r="I33" s="19">
        <v>1000189788</v>
      </c>
      <c r="J33" s="3" t="s">
        <v>102</v>
      </c>
      <c r="K33" s="20"/>
      <c r="L33" s="4"/>
      <c r="M33" s="21">
        <v>1000136585</v>
      </c>
      <c r="N33" s="3" t="s">
        <v>150</v>
      </c>
      <c r="O33" s="20">
        <v>1000186511</v>
      </c>
      <c r="P33" s="4" t="s">
        <v>151</v>
      </c>
      <c r="Q33" s="21">
        <v>1000186510</v>
      </c>
      <c r="R33" s="21" t="s">
        <v>152</v>
      </c>
      <c r="S33" s="20">
        <v>1000186514</v>
      </c>
      <c r="T33" s="4" t="s">
        <v>153</v>
      </c>
      <c r="U33" s="21">
        <v>1000176426</v>
      </c>
      <c r="V33" s="21" t="s">
        <v>165</v>
      </c>
    </row>
    <row r="34" spans="1:22" ht="13.05" x14ac:dyDescent="0.3">
      <c r="A34" s="21">
        <v>1000189270</v>
      </c>
      <c r="B34" s="3" t="s">
        <v>34</v>
      </c>
      <c r="C34" s="20">
        <v>1000184670</v>
      </c>
      <c r="D34" s="4" t="s">
        <v>147</v>
      </c>
      <c r="E34" s="21">
        <v>1000186197</v>
      </c>
      <c r="F34" s="21" t="s">
        <v>166</v>
      </c>
      <c r="G34" s="20">
        <v>1000184757</v>
      </c>
      <c r="H34" s="4" t="s">
        <v>62</v>
      </c>
      <c r="I34" s="19">
        <v>1000189789</v>
      </c>
      <c r="J34" s="3" t="s">
        <v>77</v>
      </c>
      <c r="K34" s="20"/>
      <c r="L34" s="4"/>
      <c r="M34" s="21">
        <v>1000136585</v>
      </c>
      <c r="N34" s="3" t="s">
        <v>150</v>
      </c>
      <c r="O34" s="20">
        <v>1000186511</v>
      </c>
      <c r="P34" s="4" t="s">
        <v>151</v>
      </c>
      <c r="Q34" s="21">
        <v>1000186510</v>
      </c>
      <c r="R34" s="21" t="s">
        <v>152</v>
      </c>
      <c r="S34" s="20">
        <v>1000186514</v>
      </c>
      <c r="T34" s="4" t="s">
        <v>153</v>
      </c>
      <c r="U34" s="21">
        <v>1000176426</v>
      </c>
      <c r="V34" s="21" t="s">
        <v>165</v>
      </c>
    </row>
    <row r="35" spans="1:22" ht="13.05" x14ac:dyDescent="0.3">
      <c r="A35" s="21">
        <v>1000189270</v>
      </c>
      <c r="B35" s="3" t="s">
        <v>34</v>
      </c>
      <c r="C35" s="20">
        <v>1000184670</v>
      </c>
      <c r="D35" s="4" t="s">
        <v>147</v>
      </c>
      <c r="E35" s="21">
        <v>1000186197</v>
      </c>
      <c r="F35" s="21" t="s">
        <v>166</v>
      </c>
      <c r="G35" s="20">
        <v>1000184757</v>
      </c>
      <c r="H35" s="4" t="s">
        <v>62</v>
      </c>
      <c r="I35" s="19">
        <v>1000189790</v>
      </c>
      <c r="J35" s="3" t="s">
        <v>103</v>
      </c>
      <c r="K35" s="20"/>
      <c r="L35" s="4"/>
      <c r="M35" s="21">
        <v>1000136585</v>
      </c>
      <c r="N35" s="3" t="s">
        <v>150</v>
      </c>
      <c r="O35" s="20">
        <v>1000186511</v>
      </c>
      <c r="P35" s="4" t="s">
        <v>151</v>
      </c>
      <c r="Q35" s="21">
        <v>1000186510</v>
      </c>
      <c r="R35" s="21" t="s">
        <v>152</v>
      </c>
      <c r="S35" s="20">
        <v>1000186514</v>
      </c>
      <c r="T35" s="4" t="s">
        <v>153</v>
      </c>
      <c r="U35" s="21">
        <v>1000176426</v>
      </c>
      <c r="V35" s="21" t="s">
        <v>165</v>
      </c>
    </row>
    <row r="36" spans="1:22" ht="13.05" x14ac:dyDescent="0.3">
      <c r="A36" s="21">
        <v>1000189270</v>
      </c>
      <c r="B36" s="3" t="s">
        <v>34</v>
      </c>
      <c r="C36" s="20">
        <v>1000184670</v>
      </c>
      <c r="D36" s="4" t="s">
        <v>147</v>
      </c>
      <c r="E36" s="21">
        <v>1000186197</v>
      </c>
      <c r="F36" s="21" t="s">
        <v>166</v>
      </c>
      <c r="G36" s="20">
        <v>1000184757</v>
      </c>
      <c r="H36" s="4" t="s">
        <v>62</v>
      </c>
      <c r="I36" s="19">
        <v>1000189791</v>
      </c>
      <c r="J36" s="3" t="s">
        <v>78</v>
      </c>
      <c r="K36" s="20"/>
      <c r="L36" s="4"/>
      <c r="M36" s="21">
        <v>1000136585</v>
      </c>
      <c r="N36" s="3" t="s">
        <v>150</v>
      </c>
      <c r="O36" s="20">
        <v>1000186511</v>
      </c>
      <c r="P36" s="4" t="s">
        <v>151</v>
      </c>
      <c r="Q36" s="21">
        <v>1000186510</v>
      </c>
      <c r="R36" s="21" t="s">
        <v>152</v>
      </c>
      <c r="S36" s="20">
        <v>1000186514</v>
      </c>
      <c r="T36" s="4" t="s">
        <v>153</v>
      </c>
      <c r="U36" s="21">
        <v>1000176426</v>
      </c>
      <c r="V36" s="21" t="s">
        <v>165</v>
      </c>
    </row>
    <row r="37" spans="1:22" ht="13.05" x14ac:dyDescent="0.3">
      <c r="A37" s="21">
        <v>1000189270</v>
      </c>
      <c r="B37" s="3" t="s">
        <v>34</v>
      </c>
      <c r="C37" s="20">
        <v>1000184670</v>
      </c>
      <c r="D37" s="4" t="s">
        <v>147</v>
      </c>
      <c r="E37" s="21">
        <v>1000186197</v>
      </c>
      <c r="F37" s="21" t="s">
        <v>166</v>
      </c>
      <c r="G37" s="20">
        <v>1000184757</v>
      </c>
      <c r="H37" s="4" t="s">
        <v>62</v>
      </c>
      <c r="I37" s="19">
        <v>1000189800</v>
      </c>
      <c r="J37" s="3" t="s">
        <v>95</v>
      </c>
      <c r="K37" s="20"/>
      <c r="L37" s="4"/>
      <c r="M37" s="21">
        <v>1000136585</v>
      </c>
      <c r="N37" s="3" t="s">
        <v>150</v>
      </c>
      <c r="O37" s="20">
        <v>1000186511</v>
      </c>
      <c r="P37" s="4" t="s">
        <v>151</v>
      </c>
      <c r="Q37" s="21">
        <v>1000186510</v>
      </c>
      <c r="R37" s="21" t="s">
        <v>152</v>
      </c>
      <c r="S37" s="20">
        <v>1000186514</v>
      </c>
      <c r="T37" s="4" t="s">
        <v>153</v>
      </c>
      <c r="U37" s="21">
        <v>1000176426</v>
      </c>
      <c r="V37" s="21" t="s">
        <v>165</v>
      </c>
    </row>
    <row r="38" spans="1:22" ht="13.05" x14ac:dyDescent="0.3">
      <c r="A38" s="21">
        <v>1000189270</v>
      </c>
      <c r="B38" s="3" t="s">
        <v>34</v>
      </c>
      <c r="C38" s="20">
        <v>1000184670</v>
      </c>
      <c r="D38" s="4" t="s">
        <v>147</v>
      </c>
      <c r="E38" s="21">
        <v>1000186197</v>
      </c>
      <c r="F38" s="21" t="s">
        <v>166</v>
      </c>
      <c r="G38" s="20">
        <v>1000184757</v>
      </c>
      <c r="H38" s="4" t="s">
        <v>62</v>
      </c>
      <c r="I38" s="19">
        <v>1000189811</v>
      </c>
      <c r="J38" s="3" t="s">
        <v>76</v>
      </c>
      <c r="K38" s="20"/>
      <c r="L38" s="4"/>
      <c r="M38" s="21">
        <v>1000136585</v>
      </c>
      <c r="N38" s="3" t="s">
        <v>150</v>
      </c>
      <c r="O38" s="20">
        <v>1000186511</v>
      </c>
      <c r="P38" s="4" t="s">
        <v>151</v>
      </c>
      <c r="Q38" s="21">
        <v>1000186510</v>
      </c>
      <c r="R38" s="21" t="s">
        <v>152</v>
      </c>
      <c r="S38" s="20">
        <v>1000186514</v>
      </c>
      <c r="T38" s="4" t="s">
        <v>153</v>
      </c>
      <c r="U38" s="21">
        <v>1000176426</v>
      </c>
      <c r="V38" s="21" t="s">
        <v>165</v>
      </c>
    </row>
    <row r="39" spans="1:22" ht="13.05" x14ac:dyDescent="0.3">
      <c r="A39" s="21">
        <v>1000189270</v>
      </c>
      <c r="B39" s="3" t="s">
        <v>34</v>
      </c>
      <c r="C39" s="20">
        <v>1000184670</v>
      </c>
      <c r="D39" s="4" t="s">
        <v>147</v>
      </c>
      <c r="E39" s="21">
        <v>1000186197</v>
      </c>
      <c r="F39" s="21" t="s">
        <v>166</v>
      </c>
      <c r="G39" s="20">
        <v>1000184758</v>
      </c>
      <c r="H39" s="4" t="s">
        <v>55</v>
      </c>
      <c r="I39" s="19">
        <v>1000189764</v>
      </c>
      <c r="J39" s="3" t="s">
        <v>83</v>
      </c>
      <c r="K39" s="20"/>
      <c r="L39" s="4"/>
      <c r="M39" s="21">
        <v>1000136585</v>
      </c>
      <c r="N39" s="3" t="s">
        <v>150</v>
      </c>
      <c r="O39" s="20">
        <v>1000186511</v>
      </c>
      <c r="P39" s="4" t="s">
        <v>151</v>
      </c>
      <c r="Q39" s="21">
        <v>1000186510</v>
      </c>
      <c r="R39" s="21" t="s">
        <v>152</v>
      </c>
      <c r="S39" s="20">
        <v>1000186514</v>
      </c>
      <c r="T39" s="4" t="s">
        <v>153</v>
      </c>
      <c r="U39" s="21">
        <v>1000176426</v>
      </c>
      <c r="V39" s="21" t="s">
        <v>165</v>
      </c>
    </row>
    <row r="40" spans="1:22" ht="13.05" x14ac:dyDescent="0.3">
      <c r="A40" s="21">
        <v>1000189270</v>
      </c>
      <c r="B40" s="3" t="s">
        <v>34</v>
      </c>
      <c r="C40" s="20">
        <v>1000184670</v>
      </c>
      <c r="D40" s="4" t="s">
        <v>147</v>
      </c>
      <c r="E40" s="21">
        <v>1000186197</v>
      </c>
      <c r="F40" s="21" t="s">
        <v>166</v>
      </c>
      <c r="G40" s="20">
        <v>1000184758</v>
      </c>
      <c r="H40" s="4" t="s">
        <v>55</v>
      </c>
      <c r="I40" s="19">
        <v>1000189766</v>
      </c>
      <c r="J40" s="3" t="s">
        <v>69</v>
      </c>
      <c r="K40" s="20"/>
      <c r="L40" s="4"/>
      <c r="M40" s="21">
        <v>1000136585</v>
      </c>
      <c r="N40" s="3" t="s">
        <v>150</v>
      </c>
      <c r="O40" s="20">
        <v>1000186511</v>
      </c>
      <c r="P40" s="4" t="s">
        <v>151</v>
      </c>
      <c r="Q40" s="21">
        <v>1000186510</v>
      </c>
      <c r="R40" s="21" t="s">
        <v>152</v>
      </c>
      <c r="S40" s="20">
        <v>1000186514</v>
      </c>
      <c r="T40" s="4" t="s">
        <v>153</v>
      </c>
      <c r="U40" s="21">
        <v>1000176426</v>
      </c>
      <c r="V40" s="21" t="s">
        <v>165</v>
      </c>
    </row>
    <row r="41" spans="1:22" ht="13.05" x14ac:dyDescent="0.3">
      <c r="A41" s="21">
        <v>1000189270</v>
      </c>
      <c r="B41" s="3" t="s">
        <v>34</v>
      </c>
      <c r="C41" s="20">
        <v>1000184670</v>
      </c>
      <c r="D41" s="4" t="s">
        <v>147</v>
      </c>
      <c r="E41" s="21">
        <v>1000186197</v>
      </c>
      <c r="F41" s="21" t="s">
        <v>166</v>
      </c>
      <c r="G41" s="20">
        <v>1000184758</v>
      </c>
      <c r="H41" s="4" t="s">
        <v>55</v>
      </c>
      <c r="I41" s="19">
        <v>1000189767</v>
      </c>
      <c r="J41" s="3" t="s">
        <v>90</v>
      </c>
      <c r="K41" s="20"/>
      <c r="L41" s="4"/>
      <c r="M41" s="21">
        <v>1000136585</v>
      </c>
      <c r="N41" s="3" t="s">
        <v>150</v>
      </c>
      <c r="O41" s="20">
        <v>1000186511</v>
      </c>
      <c r="P41" s="4" t="s">
        <v>151</v>
      </c>
      <c r="Q41" s="21">
        <v>1000186510</v>
      </c>
      <c r="R41" s="21" t="s">
        <v>152</v>
      </c>
      <c r="S41" s="20">
        <v>1000186514</v>
      </c>
      <c r="T41" s="4" t="s">
        <v>153</v>
      </c>
      <c r="U41" s="21">
        <v>1000176426</v>
      </c>
      <c r="V41" s="21" t="s">
        <v>165</v>
      </c>
    </row>
    <row r="42" spans="1:22" ht="13.05" x14ac:dyDescent="0.3">
      <c r="A42" s="21">
        <v>1000189270</v>
      </c>
      <c r="B42" s="3" t="s">
        <v>34</v>
      </c>
      <c r="C42" s="20">
        <v>1000184670</v>
      </c>
      <c r="D42" s="4" t="s">
        <v>147</v>
      </c>
      <c r="E42" s="21">
        <v>1000186197</v>
      </c>
      <c r="F42" s="21" t="s">
        <v>166</v>
      </c>
      <c r="G42" s="20">
        <v>1000184758</v>
      </c>
      <c r="H42" s="4" t="s">
        <v>55</v>
      </c>
      <c r="I42" s="19">
        <v>1000189776</v>
      </c>
      <c r="J42" s="3" t="s">
        <v>79</v>
      </c>
      <c r="K42" s="20"/>
      <c r="L42" s="4"/>
      <c r="M42" s="21">
        <v>1000136585</v>
      </c>
      <c r="N42" s="3" t="s">
        <v>150</v>
      </c>
      <c r="O42" s="20">
        <v>1000186511</v>
      </c>
      <c r="P42" s="4" t="s">
        <v>151</v>
      </c>
      <c r="Q42" s="21">
        <v>1000186510</v>
      </c>
      <c r="R42" s="21" t="s">
        <v>152</v>
      </c>
      <c r="S42" s="20">
        <v>1000186514</v>
      </c>
      <c r="T42" s="4" t="s">
        <v>153</v>
      </c>
      <c r="U42" s="21">
        <v>1000176426</v>
      </c>
      <c r="V42" s="21" t="s">
        <v>165</v>
      </c>
    </row>
    <row r="43" spans="1:22" ht="13.05" x14ac:dyDescent="0.3">
      <c r="A43" s="21">
        <v>1000189270</v>
      </c>
      <c r="B43" s="3" t="s">
        <v>34</v>
      </c>
      <c r="C43" s="20">
        <v>1000184670</v>
      </c>
      <c r="D43" s="4" t="s">
        <v>147</v>
      </c>
      <c r="E43" s="21">
        <v>1000186197</v>
      </c>
      <c r="F43" s="21" t="s">
        <v>166</v>
      </c>
      <c r="G43" s="20">
        <v>1000184758</v>
      </c>
      <c r="H43" s="4" t="s">
        <v>55</v>
      </c>
      <c r="I43" s="19">
        <v>1000189777</v>
      </c>
      <c r="J43" s="3" t="s">
        <v>56</v>
      </c>
      <c r="K43" s="20"/>
      <c r="L43" s="4"/>
      <c r="M43" s="21">
        <v>1000136585</v>
      </c>
      <c r="N43" s="3" t="s">
        <v>150</v>
      </c>
      <c r="O43" s="20">
        <v>1000186511</v>
      </c>
      <c r="P43" s="4" t="s">
        <v>151</v>
      </c>
      <c r="Q43" s="21">
        <v>1000186510</v>
      </c>
      <c r="R43" s="21" t="s">
        <v>152</v>
      </c>
      <c r="S43" s="20">
        <v>1000186514</v>
      </c>
      <c r="T43" s="4" t="s">
        <v>153</v>
      </c>
      <c r="U43" s="21">
        <v>1000176426</v>
      </c>
      <c r="V43" s="21" t="s">
        <v>165</v>
      </c>
    </row>
    <row r="44" spans="1:22" ht="13.05" x14ac:dyDescent="0.3">
      <c r="A44" s="21">
        <v>1000189270</v>
      </c>
      <c r="B44" s="3" t="s">
        <v>34</v>
      </c>
      <c r="C44" s="20">
        <v>1000184670</v>
      </c>
      <c r="D44" s="4" t="s">
        <v>147</v>
      </c>
      <c r="E44" s="21">
        <v>1000186197</v>
      </c>
      <c r="F44" s="21" t="s">
        <v>166</v>
      </c>
      <c r="G44" s="20">
        <v>1000184758</v>
      </c>
      <c r="H44" s="4" t="s">
        <v>55</v>
      </c>
      <c r="I44" s="19">
        <v>1000189785</v>
      </c>
      <c r="J44" s="3" t="s">
        <v>57</v>
      </c>
      <c r="K44" s="20"/>
      <c r="L44" s="4"/>
      <c r="M44" s="21">
        <v>1000136585</v>
      </c>
      <c r="N44" s="3" t="s">
        <v>150</v>
      </c>
      <c r="O44" s="20">
        <v>1000186511</v>
      </c>
      <c r="P44" s="4" t="s">
        <v>151</v>
      </c>
      <c r="Q44" s="21">
        <v>1000186510</v>
      </c>
      <c r="R44" s="21" t="s">
        <v>152</v>
      </c>
      <c r="S44" s="20">
        <v>1000186514</v>
      </c>
      <c r="T44" s="4" t="s">
        <v>153</v>
      </c>
      <c r="U44" s="21">
        <v>1000176426</v>
      </c>
      <c r="V44" s="21" t="s">
        <v>165</v>
      </c>
    </row>
    <row r="45" spans="1:22" ht="13.05" x14ac:dyDescent="0.3">
      <c r="A45" s="21">
        <v>1000189270</v>
      </c>
      <c r="B45" s="3" t="s">
        <v>34</v>
      </c>
      <c r="C45" s="20">
        <v>1000184670</v>
      </c>
      <c r="D45" s="4" t="s">
        <v>147</v>
      </c>
      <c r="E45" s="21">
        <v>1000186197</v>
      </c>
      <c r="F45" s="21" t="s">
        <v>166</v>
      </c>
      <c r="G45" s="20">
        <v>1000184758</v>
      </c>
      <c r="H45" s="4" t="s">
        <v>55</v>
      </c>
      <c r="I45" s="19">
        <v>1000189786</v>
      </c>
      <c r="J45" s="3" t="s">
        <v>104</v>
      </c>
      <c r="K45" s="20"/>
      <c r="L45" s="4"/>
      <c r="M45" s="21">
        <v>1000136585</v>
      </c>
      <c r="N45" s="3" t="s">
        <v>150</v>
      </c>
      <c r="O45" s="20">
        <v>1000186511</v>
      </c>
      <c r="P45" s="4" t="s">
        <v>151</v>
      </c>
      <c r="Q45" s="21">
        <v>1000186510</v>
      </c>
      <c r="R45" s="21" t="s">
        <v>152</v>
      </c>
      <c r="S45" s="20">
        <v>1000186514</v>
      </c>
      <c r="T45" s="4" t="s">
        <v>153</v>
      </c>
      <c r="U45" s="21">
        <v>1000176426</v>
      </c>
      <c r="V45" s="21" t="s">
        <v>165</v>
      </c>
    </row>
    <row r="46" spans="1:22" ht="13.05" x14ac:dyDescent="0.3">
      <c r="A46" s="21">
        <v>1000189270</v>
      </c>
      <c r="B46" s="3" t="s">
        <v>34</v>
      </c>
      <c r="C46" s="20">
        <v>1000184670</v>
      </c>
      <c r="D46" s="4" t="s">
        <v>147</v>
      </c>
      <c r="E46" s="21">
        <v>1000186197</v>
      </c>
      <c r="F46" s="21" t="s">
        <v>166</v>
      </c>
      <c r="G46" s="20">
        <v>1000184758</v>
      </c>
      <c r="H46" s="4" t="s">
        <v>55</v>
      </c>
      <c r="I46" s="19">
        <v>1000189801</v>
      </c>
      <c r="J46" s="3" t="s">
        <v>87</v>
      </c>
      <c r="K46" s="20"/>
      <c r="L46" s="4"/>
      <c r="M46" s="21">
        <v>1000136585</v>
      </c>
      <c r="N46" s="3" t="s">
        <v>150</v>
      </c>
      <c r="O46" s="20">
        <v>1000186511</v>
      </c>
      <c r="P46" s="4" t="s">
        <v>151</v>
      </c>
      <c r="Q46" s="21">
        <v>1000186510</v>
      </c>
      <c r="R46" s="21" t="s">
        <v>152</v>
      </c>
      <c r="S46" s="20">
        <v>1000186514</v>
      </c>
      <c r="T46" s="4" t="s">
        <v>153</v>
      </c>
      <c r="U46" s="21">
        <v>1000176426</v>
      </c>
      <c r="V46" s="21" t="s">
        <v>165</v>
      </c>
    </row>
    <row r="47" spans="1:22" ht="13.05" x14ac:dyDescent="0.3">
      <c r="A47" s="21">
        <v>1000189270</v>
      </c>
      <c r="B47" s="3" t="s">
        <v>34</v>
      </c>
      <c r="C47" s="20">
        <v>1000184670</v>
      </c>
      <c r="D47" s="4" t="s">
        <v>147</v>
      </c>
      <c r="E47" s="21">
        <v>1000186197</v>
      </c>
      <c r="F47" s="21" t="s">
        <v>166</v>
      </c>
      <c r="G47" s="20">
        <v>1000184758</v>
      </c>
      <c r="H47" s="4" t="s">
        <v>55</v>
      </c>
      <c r="I47" s="19">
        <v>1000189802</v>
      </c>
      <c r="J47" s="3" t="s">
        <v>105</v>
      </c>
      <c r="K47" s="20"/>
      <c r="L47" s="4"/>
      <c r="M47" s="21">
        <v>1000136585</v>
      </c>
      <c r="N47" s="3" t="s">
        <v>150</v>
      </c>
      <c r="O47" s="20">
        <v>1000186511</v>
      </c>
      <c r="P47" s="4" t="s">
        <v>151</v>
      </c>
      <c r="Q47" s="21">
        <v>1000186510</v>
      </c>
      <c r="R47" s="21" t="s">
        <v>152</v>
      </c>
      <c r="S47" s="20">
        <v>1000186514</v>
      </c>
      <c r="T47" s="4" t="s">
        <v>153</v>
      </c>
      <c r="U47" s="21">
        <v>1000176426</v>
      </c>
      <c r="V47" s="21" t="s">
        <v>165</v>
      </c>
    </row>
    <row r="48" spans="1:22" ht="13.05" x14ac:dyDescent="0.3">
      <c r="A48" s="21">
        <v>1000189270</v>
      </c>
      <c r="B48" s="3" t="s">
        <v>34</v>
      </c>
      <c r="C48" s="20">
        <v>1000184670</v>
      </c>
      <c r="D48" s="4" t="s">
        <v>147</v>
      </c>
      <c r="E48" s="21">
        <v>1000186197</v>
      </c>
      <c r="F48" s="21" t="s">
        <v>166</v>
      </c>
      <c r="G48" s="20">
        <v>1000184760</v>
      </c>
      <c r="H48" s="4" t="s">
        <v>60</v>
      </c>
      <c r="I48" s="19">
        <v>1000189774</v>
      </c>
      <c r="J48" s="3" t="s">
        <v>68</v>
      </c>
      <c r="K48" s="20"/>
      <c r="L48" s="4"/>
      <c r="M48" s="21">
        <v>1000136585</v>
      </c>
      <c r="N48" s="3" t="s">
        <v>150</v>
      </c>
      <c r="O48" s="20">
        <v>1000186511</v>
      </c>
      <c r="P48" s="4" t="s">
        <v>151</v>
      </c>
      <c r="Q48" s="21">
        <v>1000186510</v>
      </c>
      <c r="R48" s="21" t="s">
        <v>152</v>
      </c>
      <c r="S48" s="20">
        <v>1000186514</v>
      </c>
      <c r="T48" s="4" t="s">
        <v>153</v>
      </c>
      <c r="U48" s="21">
        <v>1000176426</v>
      </c>
      <c r="V48" s="21" t="s">
        <v>165</v>
      </c>
    </row>
    <row r="49" spans="1:22" ht="13.05" x14ac:dyDescent="0.3">
      <c r="A49" s="21">
        <v>1000189270</v>
      </c>
      <c r="B49" s="3" t="s">
        <v>34</v>
      </c>
      <c r="C49" s="20">
        <v>1000184670</v>
      </c>
      <c r="D49" s="4" t="s">
        <v>147</v>
      </c>
      <c r="E49" s="21">
        <v>1000186197</v>
      </c>
      <c r="F49" s="21" t="s">
        <v>166</v>
      </c>
      <c r="G49" s="20">
        <v>1000184760</v>
      </c>
      <c r="H49" s="4" t="s">
        <v>60</v>
      </c>
      <c r="I49" s="19">
        <v>1000189778</v>
      </c>
      <c r="J49" s="3" t="s">
        <v>84</v>
      </c>
      <c r="K49" s="20"/>
      <c r="L49" s="4"/>
      <c r="M49" s="21">
        <v>1000136585</v>
      </c>
      <c r="N49" s="3" t="s">
        <v>150</v>
      </c>
      <c r="O49" s="20">
        <v>1000186511</v>
      </c>
      <c r="P49" s="4" t="s">
        <v>151</v>
      </c>
      <c r="Q49" s="21">
        <v>1000186510</v>
      </c>
      <c r="R49" s="21" t="s">
        <v>152</v>
      </c>
      <c r="S49" s="20">
        <v>1000186514</v>
      </c>
      <c r="T49" s="4" t="s">
        <v>153</v>
      </c>
      <c r="U49" s="21">
        <v>1000176426</v>
      </c>
      <c r="V49" s="21" t="s">
        <v>165</v>
      </c>
    </row>
    <row r="50" spans="1:22" ht="13.05" x14ac:dyDescent="0.3">
      <c r="A50" s="21">
        <v>1000189270</v>
      </c>
      <c r="B50" s="3" t="s">
        <v>34</v>
      </c>
      <c r="C50" s="20">
        <v>1000184670</v>
      </c>
      <c r="D50" s="4" t="s">
        <v>147</v>
      </c>
      <c r="E50" s="21">
        <v>1000186197</v>
      </c>
      <c r="F50" s="21" t="s">
        <v>166</v>
      </c>
      <c r="G50" s="20">
        <v>1000184760</v>
      </c>
      <c r="H50" s="4" t="s">
        <v>60</v>
      </c>
      <c r="I50" s="19">
        <v>1000189779</v>
      </c>
      <c r="J50" s="3" t="s">
        <v>106</v>
      </c>
      <c r="K50" s="20"/>
      <c r="L50" s="4"/>
      <c r="M50" s="21">
        <v>1000136585</v>
      </c>
      <c r="N50" s="3" t="s">
        <v>150</v>
      </c>
      <c r="O50" s="20">
        <v>1000186511</v>
      </c>
      <c r="P50" s="4" t="s">
        <v>151</v>
      </c>
      <c r="Q50" s="21">
        <v>1000186510</v>
      </c>
      <c r="R50" s="21" t="s">
        <v>152</v>
      </c>
      <c r="S50" s="20">
        <v>1000186514</v>
      </c>
      <c r="T50" s="4" t="s">
        <v>153</v>
      </c>
      <c r="U50" s="21">
        <v>1000176426</v>
      </c>
      <c r="V50" s="21" t="s">
        <v>165</v>
      </c>
    </row>
    <row r="51" spans="1:22" ht="13.05" x14ac:dyDescent="0.3">
      <c r="A51" s="21">
        <v>1000189270</v>
      </c>
      <c r="B51" s="3" t="s">
        <v>34</v>
      </c>
      <c r="C51" s="20">
        <v>1000184670</v>
      </c>
      <c r="D51" s="4" t="s">
        <v>147</v>
      </c>
      <c r="E51" s="21">
        <v>1000186197</v>
      </c>
      <c r="F51" s="21" t="s">
        <v>166</v>
      </c>
      <c r="G51" s="20">
        <v>1000184760</v>
      </c>
      <c r="H51" s="4" t="s">
        <v>60</v>
      </c>
      <c r="I51" s="19">
        <v>1000189780</v>
      </c>
      <c r="J51" s="3" t="s">
        <v>107</v>
      </c>
      <c r="K51" s="20"/>
      <c r="L51" s="4"/>
      <c r="M51" s="21">
        <v>1000136585</v>
      </c>
      <c r="N51" s="3" t="s">
        <v>150</v>
      </c>
      <c r="O51" s="20">
        <v>1000186511</v>
      </c>
      <c r="P51" s="4" t="s">
        <v>151</v>
      </c>
      <c r="Q51" s="21">
        <v>1000186510</v>
      </c>
      <c r="R51" s="21" t="s">
        <v>152</v>
      </c>
      <c r="S51" s="20">
        <v>1000186514</v>
      </c>
      <c r="T51" s="4" t="s">
        <v>153</v>
      </c>
      <c r="U51" s="21">
        <v>1000176426</v>
      </c>
      <c r="V51" s="21" t="s">
        <v>165</v>
      </c>
    </row>
    <row r="52" spans="1:22" ht="13.05" x14ac:dyDescent="0.3">
      <c r="A52" s="21">
        <v>1000189270</v>
      </c>
      <c r="B52" s="3" t="s">
        <v>34</v>
      </c>
      <c r="C52" s="20">
        <v>1000184670</v>
      </c>
      <c r="D52" s="4" t="s">
        <v>147</v>
      </c>
      <c r="E52" s="21">
        <v>1000186197</v>
      </c>
      <c r="F52" s="21" t="s">
        <v>166</v>
      </c>
      <c r="G52" s="20">
        <v>1000184760</v>
      </c>
      <c r="H52" s="4" t="s">
        <v>60</v>
      </c>
      <c r="I52" s="19">
        <v>1000189781</v>
      </c>
      <c r="J52" s="3" t="s">
        <v>108</v>
      </c>
      <c r="K52" s="20"/>
      <c r="L52" s="4"/>
      <c r="M52" s="21">
        <v>1000136585</v>
      </c>
      <c r="N52" s="3" t="s">
        <v>150</v>
      </c>
      <c r="O52" s="20">
        <v>1000186511</v>
      </c>
      <c r="P52" s="4" t="s">
        <v>151</v>
      </c>
      <c r="Q52" s="21">
        <v>1000186510</v>
      </c>
      <c r="R52" s="21" t="s">
        <v>152</v>
      </c>
      <c r="S52" s="20">
        <v>1000186514</v>
      </c>
      <c r="T52" s="4" t="s">
        <v>153</v>
      </c>
      <c r="U52" s="21">
        <v>1000176426</v>
      </c>
      <c r="V52" s="21" t="s">
        <v>165</v>
      </c>
    </row>
    <row r="53" spans="1:22" ht="13.05" x14ac:dyDescent="0.3">
      <c r="A53" s="21">
        <v>1000189270</v>
      </c>
      <c r="B53" s="3" t="s">
        <v>34</v>
      </c>
      <c r="C53" s="20">
        <v>1000184670</v>
      </c>
      <c r="D53" s="4" t="s">
        <v>147</v>
      </c>
      <c r="E53" s="21">
        <v>1000186197</v>
      </c>
      <c r="F53" s="21" t="s">
        <v>166</v>
      </c>
      <c r="G53" s="20">
        <v>1000184760</v>
      </c>
      <c r="H53" s="4" t="s">
        <v>60</v>
      </c>
      <c r="I53" s="19">
        <v>1000189782</v>
      </c>
      <c r="J53" s="3" t="s">
        <v>109</v>
      </c>
      <c r="K53" s="20"/>
      <c r="L53" s="4"/>
      <c r="M53" s="21">
        <v>1000136585</v>
      </c>
      <c r="N53" s="3" t="s">
        <v>150</v>
      </c>
      <c r="O53" s="20">
        <v>1000186511</v>
      </c>
      <c r="P53" s="4" t="s">
        <v>151</v>
      </c>
      <c r="Q53" s="21">
        <v>1000186510</v>
      </c>
      <c r="R53" s="21" t="s">
        <v>152</v>
      </c>
      <c r="S53" s="20">
        <v>1000186514</v>
      </c>
      <c r="T53" s="4" t="s">
        <v>153</v>
      </c>
      <c r="U53" s="21">
        <v>1000176426</v>
      </c>
      <c r="V53" s="21" t="s">
        <v>165</v>
      </c>
    </row>
    <row r="54" spans="1:22" ht="13.05" x14ac:dyDescent="0.3">
      <c r="A54" s="21">
        <v>1000189270</v>
      </c>
      <c r="B54" s="3" t="s">
        <v>34</v>
      </c>
      <c r="C54" s="20">
        <v>1000184670</v>
      </c>
      <c r="D54" s="4" t="s">
        <v>147</v>
      </c>
      <c r="E54" s="21">
        <v>1000186197</v>
      </c>
      <c r="F54" s="21" t="s">
        <v>166</v>
      </c>
      <c r="G54" s="20">
        <v>1000184760</v>
      </c>
      <c r="H54" s="4" t="s">
        <v>60</v>
      </c>
      <c r="I54" s="19">
        <v>1000189796</v>
      </c>
      <c r="J54" s="3" t="s">
        <v>61</v>
      </c>
      <c r="K54" s="20"/>
      <c r="L54" s="4"/>
      <c r="M54" s="21">
        <v>1000136585</v>
      </c>
      <c r="N54" s="3" t="s">
        <v>150</v>
      </c>
      <c r="O54" s="20">
        <v>1000186511</v>
      </c>
      <c r="P54" s="4" t="s">
        <v>151</v>
      </c>
      <c r="Q54" s="21">
        <v>1000186510</v>
      </c>
      <c r="R54" s="21" t="s">
        <v>152</v>
      </c>
      <c r="S54" s="20">
        <v>1000186514</v>
      </c>
      <c r="T54" s="4" t="s">
        <v>153</v>
      </c>
      <c r="U54" s="21">
        <v>1000176426</v>
      </c>
      <c r="V54" s="21" t="s">
        <v>165</v>
      </c>
    </row>
    <row r="55" spans="1:22" ht="13.05" x14ac:dyDescent="0.3">
      <c r="A55" s="21">
        <v>1000189270</v>
      </c>
      <c r="B55" s="3" t="s">
        <v>34</v>
      </c>
      <c r="C55" s="20">
        <v>1000184670</v>
      </c>
      <c r="D55" s="4" t="s">
        <v>147</v>
      </c>
      <c r="E55" s="21">
        <v>1000186197</v>
      </c>
      <c r="F55" s="21" t="s">
        <v>166</v>
      </c>
      <c r="G55" s="20">
        <v>1000184760</v>
      </c>
      <c r="H55" s="4" t="s">
        <v>60</v>
      </c>
      <c r="I55" s="19">
        <v>1000189797</v>
      </c>
      <c r="J55" s="3" t="s">
        <v>80</v>
      </c>
      <c r="K55" s="20"/>
      <c r="L55" s="4"/>
      <c r="M55" s="21">
        <v>1000136585</v>
      </c>
      <c r="N55" s="3" t="s">
        <v>150</v>
      </c>
      <c r="O55" s="20">
        <v>1000186511</v>
      </c>
      <c r="P55" s="4" t="s">
        <v>151</v>
      </c>
      <c r="Q55" s="21">
        <v>1000186510</v>
      </c>
      <c r="R55" s="21" t="s">
        <v>152</v>
      </c>
      <c r="S55" s="20">
        <v>1000186514</v>
      </c>
      <c r="T55" s="4" t="s">
        <v>153</v>
      </c>
      <c r="U55" s="21">
        <v>1000176426</v>
      </c>
      <c r="V55" s="21" t="s">
        <v>165</v>
      </c>
    </row>
    <row r="56" spans="1:22" x14ac:dyDescent="0.3">
      <c r="A56" s="21">
        <v>1000189270</v>
      </c>
      <c r="B56" s="3" t="s">
        <v>34</v>
      </c>
      <c r="C56" s="20">
        <v>1000184670</v>
      </c>
      <c r="D56" s="4" t="s">
        <v>147</v>
      </c>
      <c r="E56" s="21">
        <v>1000186197</v>
      </c>
      <c r="F56" s="21" t="s">
        <v>166</v>
      </c>
      <c r="G56" s="20">
        <v>1000184760</v>
      </c>
      <c r="H56" s="4" t="s">
        <v>60</v>
      </c>
      <c r="I56" s="19">
        <v>1000189798</v>
      </c>
      <c r="J56" s="3" t="s">
        <v>110</v>
      </c>
      <c r="K56" s="20"/>
      <c r="L56" s="4"/>
      <c r="M56" s="21">
        <v>1000136585</v>
      </c>
      <c r="N56" s="3" t="s">
        <v>150</v>
      </c>
      <c r="O56" s="20">
        <v>1000186511</v>
      </c>
      <c r="P56" s="4" t="s">
        <v>151</v>
      </c>
      <c r="Q56" s="21">
        <v>1000186510</v>
      </c>
      <c r="R56" s="21" t="s">
        <v>152</v>
      </c>
      <c r="S56" s="20">
        <v>1000186514</v>
      </c>
      <c r="T56" s="4" t="s">
        <v>153</v>
      </c>
      <c r="U56" s="21">
        <v>1000176426</v>
      </c>
      <c r="V56" s="21" t="s">
        <v>165</v>
      </c>
    </row>
    <row r="57" spans="1:22" x14ac:dyDescent="0.3">
      <c r="A57" s="21">
        <v>1000189270</v>
      </c>
      <c r="B57" s="3" t="s">
        <v>34</v>
      </c>
      <c r="C57" s="20">
        <v>1000184670</v>
      </c>
      <c r="D57" s="4" t="s">
        <v>147</v>
      </c>
      <c r="E57" s="21">
        <v>1000186197</v>
      </c>
      <c r="F57" s="21" t="s">
        <v>166</v>
      </c>
      <c r="G57" s="20">
        <v>1000184760</v>
      </c>
      <c r="H57" s="4" t="s">
        <v>60</v>
      </c>
      <c r="I57" s="19">
        <v>1000189799</v>
      </c>
      <c r="J57" s="3" t="s">
        <v>111</v>
      </c>
      <c r="K57" s="20"/>
      <c r="L57" s="4"/>
      <c r="M57" s="21">
        <v>1000136585</v>
      </c>
      <c r="N57" s="3" t="s">
        <v>150</v>
      </c>
      <c r="O57" s="20">
        <v>1000186511</v>
      </c>
      <c r="P57" s="4" t="s">
        <v>151</v>
      </c>
      <c r="Q57" s="21">
        <v>1000186510</v>
      </c>
      <c r="R57" s="21" t="s">
        <v>152</v>
      </c>
      <c r="S57" s="20">
        <v>1000186514</v>
      </c>
      <c r="T57" s="4" t="s">
        <v>153</v>
      </c>
      <c r="U57" s="21">
        <v>1000176426</v>
      </c>
      <c r="V57" s="21" t="s">
        <v>165</v>
      </c>
    </row>
    <row r="58" spans="1:22" x14ac:dyDescent="0.3">
      <c r="A58" s="21">
        <v>1000189270</v>
      </c>
      <c r="B58" s="3" t="s">
        <v>34</v>
      </c>
      <c r="C58" s="20">
        <v>1000184670</v>
      </c>
      <c r="D58" s="4" t="s">
        <v>147</v>
      </c>
      <c r="E58" s="21">
        <v>1000186197</v>
      </c>
      <c r="F58" s="21" t="s">
        <v>166</v>
      </c>
      <c r="G58" s="20">
        <v>1000184762</v>
      </c>
      <c r="H58" s="4" t="s">
        <v>58</v>
      </c>
      <c r="I58" s="19">
        <v>1000189812</v>
      </c>
      <c r="J58" s="3" t="s">
        <v>112</v>
      </c>
      <c r="K58" s="20"/>
      <c r="L58" s="4"/>
      <c r="M58" s="21">
        <v>1000136585</v>
      </c>
      <c r="N58" s="3" t="s">
        <v>150</v>
      </c>
      <c r="O58" s="20">
        <v>1000186511</v>
      </c>
      <c r="P58" s="4" t="s">
        <v>151</v>
      </c>
      <c r="Q58" s="21">
        <v>1000186510</v>
      </c>
      <c r="R58" s="21" t="s">
        <v>152</v>
      </c>
      <c r="S58" s="20">
        <v>1000186514</v>
      </c>
      <c r="T58" s="4" t="s">
        <v>153</v>
      </c>
      <c r="U58" s="21">
        <v>1000176426</v>
      </c>
      <c r="V58" s="21" t="s">
        <v>165</v>
      </c>
    </row>
    <row r="59" spans="1:22" x14ac:dyDescent="0.3">
      <c r="A59" s="21">
        <v>1000189270</v>
      </c>
      <c r="B59" s="3" t="s">
        <v>34</v>
      </c>
      <c r="C59" s="20">
        <v>1000184670</v>
      </c>
      <c r="D59" s="4" t="s">
        <v>147</v>
      </c>
      <c r="E59" s="21">
        <v>1000186197</v>
      </c>
      <c r="F59" s="21" t="s">
        <v>166</v>
      </c>
      <c r="G59" s="20">
        <v>1000184762</v>
      </c>
      <c r="H59" s="4" t="s">
        <v>58</v>
      </c>
      <c r="I59" s="19">
        <v>1000189813</v>
      </c>
      <c r="J59" s="3" t="s">
        <v>82</v>
      </c>
      <c r="K59" s="20"/>
      <c r="L59" s="4"/>
      <c r="M59" s="21">
        <v>1000136585</v>
      </c>
      <c r="N59" s="3" t="s">
        <v>150</v>
      </c>
      <c r="O59" s="20">
        <v>1000186511</v>
      </c>
      <c r="P59" s="4" t="s">
        <v>151</v>
      </c>
      <c r="Q59" s="21">
        <v>1000186510</v>
      </c>
      <c r="R59" s="21" t="s">
        <v>152</v>
      </c>
      <c r="S59" s="20">
        <v>1000186514</v>
      </c>
      <c r="T59" s="4" t="s">
        <v>153</v>
      </c>
      <c r="U59" s="21">
        <v>1000176426</v>
      </c>
      <c r="V59" s="21" t="s">
        <v>165</v>
      </c>
    </row>
    <row r="60" spans="1:22" x14ac:dyDescent="0.3">
      <c r="A60" s="21">
        <v>1000189270</v>
      </c>
      <c r="B60" s="3" t="s">
        <v>34</v>
      </c>
      <c r="C60" s="20">
        <v>1000184670</v>
      </c>
      <c r="D60" s="4" t="s">
        <v>147</v>
      </c>
      <c r="E60" s="21">
        <v>1000186197</v>
      </c>
      <c r="F60" s="21" t="s">
        <v>166</v>
      </c>
      <c r="G60" s="20">
        <v>1000184762</v>
      </c>
      <c r="H60" s="4" t="s">
        <v>58</v>
      </c>
      <c r="I60" s="19">
        <v>1000189814</v>
      </c>
      <c r="J60" s="3" t="s">
        <v>91</v>
      </c>
      <c r="K60" s="20"/>
      <c r="L60" s="4"/>
      <c r="M60" s="21">
        <v>1000136585</v>
      </c>
      <c r="N60" s="3" t="s">
        <v>150</v>
      </c>
      <c r="O60" s="20">
        <v>1000186511</v>
      </c>
      <c r="P60" s="4" t="s">
        <v>151</v>
      </c>
      <c r="Q60" s="21">
        <v>1000186510</v>
      </c>
      <c r="R60" s="21" t="s">
        <v>152</v>
      </c>
      <c r="S60" s="20">
        <v>1000186514</v>
      </c>
      <c r="T60" s="4" t="s">
        <v>153</v>
      </c>
      <c r="U60" s="21">
        <v>1000176426</v>
      </c>
      <c r="V60" s="21" t="s">
        <v>165</v>
      </c>
    </row>
    <row r="61" spans="1:22" x14ac:dyDescent="0.3">
      <c r="A61" s="21">
        <v>1000189270</v>
      </c>
      <c r="B61" s="3" t="s">
        <v>34</v>
      </c>
      <c r="C61" s="20">
        <v>1000184670</v>
      </c>
      <c r="D61" s="4" t="s">
        <v>147</v>
      </c>
      <c r="E61" s="21">
        <v>1000186197</v>
      </c>
      <c r="F61" s="21" t="s">
        <v>166</v>
      </c>
      <c r="G61" s="20">
        <v>1000184762</v>
      </c>
      <c r="H61" s="4" t="s">
        <v>58</v>
      </c>
      <c r="I61" s="19">
        <v>1000189815</v>
      </c>
      <c r="J61" s="3" t="s">
        <v>59</v>
      </c>
      <c r="K61" s="20"/>
      <c r="L61" s="4"/>
      <c r="M61" s="21">
        <v>1000136585</v>
      </c>
      <c r="N61" s="3" t="s">
        <v>150</v>
      </c>
      <c r="O61" s="20">
        <v>1000186511</v>
      </c>
      <c r="P61" s="4" t="s">
        <v>151</v>
      </c>
      <c r="Q61" s="21">
        <v>1000186510</v>
      </c>
      <c r="R61" s="21" t="s">
        <v>152</v>
      </c>
      <c r="S61" s="20">
        <v>1000186514</v>
      </c>
      <c r="T61" s="4" t="s">
        <v>153</v>
      </c>
      <c r="U61" s="21">
        <v>1000176426</v>
      </c>
      <c r="V61" s="21" t="s">
        <v>165</v>
      </c>
    </row>
    <row r="62" spans="1:22" x14ac:dyDescent="0.3">
      <c r="A62" s="21">
        <v>1000189270</v>
      </c>
      <c r="B62" s="3" t="s">
        <v>34</v>
      </c>
      <c r="C62" s="20">
        <v>1000184670</v>
      </c>
      <c r="D62" s="4" t="s">
        <v>147</v>
      </c>
      <c r="E62" s="21">
        <v>1000186197</v>
      </c>
      <c r="F62" s="21" t="s">
        <v>166</v>
      </c>
      <c r="G62" s="20">
        <v>1000184762</v>
      </c>
      <c r="H62" s="4" t="s">
        <v>58</v>
      </c>
      <c r="I62" s="19">
        <v>1000189816</v>
      </c>
      <c r="J62" s="3" t="s">
        <v>113</v>
      </c>
      <c r="K62" s="20"/>
      <c r="L62" s="4"/>
      <c r="M62" s="21">
        <v>1000136585</v>
      </c>
      <c r="N62" s="3" t="s">
        <v>150</v>
      </c>
      <c r="O62" s="20">
        <v>1000186511</v>
      </c>
      <c r="P62" s="4" t="s">
        <v>151</v>
      </c>
      <c r="Q62" s="21">
        <v>1000186510</v>
      </c>
      <c r="R62" s="21" t="s">
        <v>152</v>
      </c>
      <c r="S62" s="20">
        <v>1000186514</v>
      </c>
      <c r="T62" s="4" t="s">
        <v>153</v>
      </c>
      <c r="U62" s="21">
        <v>1000176426</v>
      </c>
      <c r="V62" s="21" t="s">
        <v>165</v>
      </c>
    </row>
    <row r="63" spans="1:22" x14ac:dyDescent="0.3">
      <c r="A63" s="21">
        <v>1000189270</v>
      </c>
      <c r="B63" s="3" t="s">
        <v>34</v>
      </c>
      <c r="C63" s="20">
        <v>1000184670</v>
      </c>
      <c r="D63" s="4" t="s">
        <v>147</v>
      </c>
      <c r="E63" s="21">
        <v>1000186197</v>
      </c>
      <c r="F63" s="21" t="s">
        <v>166</v>
      </c>
      <c r="G63" s="20">
        <v>1000184762</v>
      </c>
      <c r="H63" s="4" t="s">
        <v>58</v>
      </c>
      <c r="I63" s="19">
        <v>1000189817</v>
      </c>
      <c r="J63" s="3" t="s">
        <v>94</v>
      </c>
      <c r="K63" s="20"/>
      <c r="L63" s="4"/>
      <c r="M63" s="21">
        <v>1000136585</v>
      </c>
      <c r="N63" s="3" t="s">
        <v>150</v>
      </c>
      <c r="O63" s="20">
        <v>1000186511</v>
      </c>
      <c r="P63" s="4" t="s">
        <v>151</v>
      </c>
      <c r="Q63" s="21">
        <v>1000186510</v>
      </c>
      <c r="R63" s="21" t="s">
        <v>152</v>
      </c>
      <c r="S63" s="20">
        <v>1000186514</v>
      </c>
      <c r="T63" s="4" t="s">
        <v>153</v>
      </c>
      <c r="U63" s="21">
        <v>1000176426</v>
      </c>
      <c r="V63" s="21" t="s">
        <v>165</v>
      </c>
    </row>
    <row r="64" spans="1:22" x14ac:dyDescent="0.3">
      <c r="A64" s="21">
        <v>1000189270</v>
      </c>
      <c r="B64" s="3" t="s">
        <v>34</v>
      </c>
      <c r="C64" s="20">
        <v>1000184670</v>
      </c>
      <c r="D64" s="4" t="s">
        <v>147</v>
      </c>
      <c r="E64" s="21">
        <v>1000186197</v>
      </c>
      <c r="F64" s="21" t="s">
        <v>166</v>
      </c>
      <c r="G64" s="20">
        <v>1000184764</v>
      </c>
      <c r="H64" s="4" t="s">
        <v>70</v>
      </c>
      <c r="I64" s="19">
        <v>1000189818</v>
      </c>
      <c r="J64" s="3" t="s">
        <v>72</v>
      </c>
      <c r="K64" s="20"/>
      <c r="L64" s="4"/>
      <c r="M64" s="21">
        <v>1000136585</v>
      </c>
      <c r="N64" s="3" t="s">
        <v>150</v>
      </c>
      <c r="O64" s="20">
        <v>1000186511</v>
      </c>
      <c r="P64" s="4" t="s">
        <v>151</v>
      </c>
      <c r="Q64" s="21">
        <v>1000186510</v>
      </c>
      <c r="R64" s="21" t="s">
        <v>152</v>
      </c>
      <c r="S64" s="20">
        <v>1000186514</v>
      </c>
      <c r="T64" s="4" t="s">
        <v>153</v>
      </c>
      <c r="U64" s="21">
        <v>1000176426</v>
      </c>
      <c r="V64" s="21" t="s">
        <v>165</v>
      </c>
    </row>
    <row r="65" spans="1:22" x14ac:dyDescent="0.3">
      <c r="A65" s="21">
        <v>1000189270</v>
      </c>
      <c r="B65" s="3" t="s">
        <v>34</v>
      </c>
      <c r="C65" s="20">
        <v>1000184670</v>
      </c>
      <c r="D65" s="4" t="s">
        <v>147</v>
      </c>
      <c r="E65" s="21">
        <v>1000186197</v>
      </c>
      <c r="F65" s="21" t="s">
        <v>166</v>
      </c>
      <c r="G65" s="20">
        <v>1000184764</v>
      </c>
      <c r="H65" s="4" t="s">
        <v>70</v>
      </c>
      <c r="I65" s="19">
        <v>1000189819</v>
      </c>
      <c r="J65" s="3" t="s">
        <v>74</v>
      </c>
      <c r="K65" s="20"/>
      <c r="L65" s="4"/>
      <c r="M65" s="21">
        <v>1000136585</v>
      </c>
      <c r="N65" s="3" t="s">
        <v>150</v>
      </c>
      <c r="O65" s="20">
        <v>1000186511</v>
      </c>
      <c r="P65" s="4" t="s">
        <v>151</v>
      </c>
      <c r="Q65" s="21">
        <v>1000186510</v>
      </c>
      <c r="R65" s="21" t="s">
        <v>152</v>
      </c>
      <c r="S65" s="20">
        <v>1000186514</v>
      </c>
      <c r="T65" s="4" t="s">
        <v>153</v>
      </c>
      <c r="U65" s="21">
        <v>1000176426</v>
      </c>
      <c r="V65" s="21" t="s">
        <v>165</v>
      </c>
    </row>
    <row r="66" spans="1:22" x14ac:dyDescent="0.3">
      <c r="A66" s="21">
        <v>1000189270</v>
      </c>
      <c r="B66" s="3" t="s">
        <v>34</v>
      </c>
      <c r="C66" s="20">
        <v>1000184670</v>
      </c>
      <c r="D66" s="4" t="s">
        <v>147</v>
      </c>
      <c r="E66" s="21">
        <v>1000186197</v>
      </c>
      <c r="F66" s="21" t="s">
        <v>166</v>
      </c>
      <c r="G66" s="20">
        <v>1000184764</v>
      </c>
      <c r="H66" s="4" t="s">
        <v>70</v>
      </c>
      <c r="I66" s="19">
        <v>1000189820</v>
      </c>
      <c r="J66" s="3" t="s">
        <v>114</v>
      </c>
      <c r="K66" s="20"/>
      <c r="L66" s="4"/>
      <c r="M66" s="21">
        <v>1000136585</v>
      </c>
      <c r="N66" s="3" t="s">
        <v>150</v>
      </c>
      <c r="O66" s="20">
        <v>1000186511</v>
      </c>
      <c r="P66" s="4" t="s">
        <v>151</v>
      </c>
      <c r="Q66" s="21">
        <v>1000186510</v>
      </c>
      <c r="R66" s="21" t="s">
        <v>152</v>
      </c>
      <c r="S66" s="20">
        <v>1000186514</v>
      </c>
      <c r="T66" s="4" t="s">
        <v>153</v>
      </c>
      <c r="U66" s="21">
        <v>1000176426</v>
      </c>
      <c r="V66" s="21" t="s">
        <v>165</v>
      </c>
    </row>
    <row r="67" spans="1:22" x14ac:dyDescent="0.3">
      <c r="A67" s="21">
        <v>1000189270</v>
      </c>
      <c r="B67" s="3" t="s">
        <v>34</v>
      </c>
      <c r="C67" s="20">
        <v>1000184670</v>
      </c>
      <c r="D67" s="4" t="s">
        <v>147</v>
      </c>
      <c r="E67" s="21">
        <v>1000186197</v>
      </c>
      <c r="F67" s="21" t="s">
        <v>166</v>
      </c>
      <c r="G67" s="20">
        <v>1000184764</v>
      </c>
      <c r="H67" s="4" t="s">
        <v>70</v>
      </c>
      <c r="I67" s="19">
        <v>1000189821</v>
      </c>
      <c r="J67" s="3" t="s">
        <v>71</v>
      </c>
      <c r="K67" s="20"/>
      <c r="L67" s="4"/>
      <c r="M67" s="21">
        <v>1000136585</v>
      </c>
      <c r="N67" s="3" t="s">
        <v>150</v>
      </c>
      <c r="O67" s="20">
        <v>1000186511</v>
      </c>
      <c r="P67" s="4" t="s">
        <v>151</v>
      </c>
      <c r="Q67" s="21">
        <v>1000186510</v>
      </c>
      <c r="R67" s="21" t="s">
        <v>152</v>
      </c>
      <c r="S67" s="20">
        <v>1000186514</v>
      </c>
      <c r="T67" s="4" t="s">
        <v>153</v>
      </c>
      <c r="U67" s="21">
        <v>1000176426</v>
      </c>
      <c r="V67" s="21" t="s">
        <v>165</v>
      </c>
    </row>
    <row r="68" spans="1:22" x14ac:dyDescent="0.3">
      <c r="A68" s="21">
        <v>1000189270</v>
      </c>
      <c r="B68" s="3" t="s">
        <v>34</v>
      </c>
      <c r="C68" s="20">
        <v>1000184670</v>
      </c>
      <c r="D68" s="4" t="s">
        <v>147</v>
      </c>
      <c r="E68" s="21">
        <v>1000186197</v>
      </c>
      <c r="F68" s="21" t="s">
        <v>166</v>
      </c>
      <c r="G68" s="20">
        <v>1000184764</v>
      </c>
      <c r="H68" s="4" t="s">
        <v>70</v>
      </c>
      <c r="I68" s="19">
        <v>1000189822</v>
      </c>
      <c r="J68" s="3" t="s">
        <v>115</v>
      </c>
      <c r="K68" s="20"/>
      <c r="L68" s="4"/>
      <c r="M68" s="21">
        <v>1000136585</v>
      </c>
      <c r="N68" s="3" t="s">
        <v>150</v>
      </c>
      <c r="O68" s="20">
        <v>1000186511</v>
      </c>
      <c r="P68" s="4" t="s">
        <v>151</v>
      </c>
      <c r="Q68" s="21">
        <v>1000186510</v>
      </c>
      <c r="R68" s="21" t="s">
        <v>152</v>
      </c>
      <c r="S68" s="20">
        <v>1000186514</v>
      </c>
      <c r="T68" s="4" t="s">
        <v>153</v>
      </c>
      <c r="U68" s="21">
        <v>1000176426</v>
      </c>
      <c r="V68" s="21" t="s">
        <v>165</v>
      </c>
    </row>
    <row r="69" spans="1:22" x14ac:dyDescent="0.3">
      <c r="A69" s="21">
        <v>1000189270</v>
      </c>
      <c r="B69" s="3" t="s">
        <v>34</v>
      </c>
      <c r="C69" s="20">
        <v>1000184670</v>
      </c>
      <c r="D69" s="4" t="s">
        <v>147</v>
      </c>
      <c r="E69" s="21">
        <v>1000186197</v>
      </c>
      <c r="F69" s="21" t="s">
        <v>166</v>
      </c>
      <c r="G69" s="20">
        <v>1000184764</v>
      </c>
      <c r="H69" s="4" t="s">
        <v>70</v>
      </c>
      <c r="I69" s="19">
        <v>1000189823</v>
      </c>
      <c r="J69" s="3" t="s">
        <v>73</v>
      </c>
      <c r="K69" s="20"/>
      <c r="L69" s="4"/>
      <c r="M69" s="21">
        <v>1000136585</v>
      </c>
      <c r="N69" s="3" t="s">
        <v>150</v>
      </c>
      <c r="O69" s="20">
        <v>1000186511</v>
      </c>
      <c r="P69" s="4" t="s">
        <v>151</v>
      </c>
      <c r="Q69" s="21">
        <v>1000186510</v>
      </c>
      <c r="R69" s="21" t="s">
        <v>152</v>
      </c>
      <c r="S69" s="20">
        <v>1000186514</v>
      </c>
      <c r="T69" s="4" t="s">
        <v>153</v>
      </c>
      <c r="U69" s="21">
        <v>1000176426</v>
      </c>
      <c r="V69" s="21" t="s">
        <v>165</v>
      </c>
    </row>
    <row r="70" spans="1:22" x14ac:dyDescent="0.3">
      <c r="A70" s="21">
        <v>1000189270</v>
      </c>
      <c r="B70" s="3" t="s">
        <v>34</v>
      </c>
      <c r="C70" s="20">
        <v>1000184670</v>
      </c>
      <c r="D70" s="4" t="s">
        <v>147</v>
      </c>
      <c r="E70" s="21">
        <v>1000186197</v>
      </c>
      <c r="F70" s="21" t="s">
        <v>166</v>
      </c>
      <c r="G70" s="20">
        <v>1000185288</v>
      </c>
      <c r="H70" s="4" t="s">
        <v>64</v>
      </c>
      <c r="I70" s="19">
        <v>1000189792</v>
      </c>
      <c r="J70" s="3" t="s">
        <v>116</v>
      </c>
      <c r="K70" s="20"/>
      <c r="L70" s="4"/>
      <c r="M70" s="21">
        <v>1000136585</v>
      </c>
      <c r="N70" s="3" t="s">
        <v>150</v>
      </c>
      <c r="O70" s="20">
        <v>1000186511</v>
      </c>
      <c r="P70" s="4" t="s">
        <v>151</v>
      </c>
      <c r="Q70" s="21">
        <v>1000186510</v>
      </c>
      <c r="R70" s="21" t="s">
        <v>152</v>
      </c>
      <c r="S70" s="20">
        <v>1000186514</v>
      </c>
      <c r="T70" s="4" t="s">
        <v>153</v>
      </c>
      <c r="U70" s="21">
        <v>1000176426</v>
      </c>
      <c r="V70" s="21" t="s">
        <v>165</v>
      </c>
    </row>
    <row r="71" spans="1:22" x14ac:dyDescent="0.3">
      <c r="A71" s="21">
        <v>1000189270</v>
      </c>
      <c r="B71" s="3" t="s">
        <v>34</v>
      </c>
      <c r="C71" s="20">
        <v>1000184670</v>
      </c>
      <c r="D71" s="4" t="s">
        <v>147</v>
      </c>
      <c r="E71" s="21">
        <v>1000186197</v>
      </c>
      <c r="F71" s="21" t="s">
        <v>166</v>
      </c>
      <c r="G71" s="20">
        <v>1000185288</v>
      </c>
      <c r="H71" s="4" t="s">
        <v>64</v>
      </c>
      <c r="I71" s="19">
        <v>1000189793</v>
      </c>
      <c r="J71" s="3" t="s">
        <v>85</v>
      </c>
      <c r="K71" s="20"/>
      <c r="L71" s="4"/>
      <c r="M71" s="21">
        <v>1000136585</v>
      </c>
      <c r="N71" s="3" t="s">
        <v>150</v>
      </c>
      <c r="O71" s="20">
        <v>1000186511</v>
      </c>
      <c r="P71" s="4" t="s">
        <v>151</v>
      </c>
      <c r="Q71" s="21">
        <v>1000186510</v>
      </c>
      <c r="R71" s="21" t="s">
        <v>152</v>
      </c>
      <c r="S71" s="20">
        <v>1000186514</v>
      </c>
      <c r="T71" s="4" t="s">
        <v>153</v>
      </c>
      <c r="U71" s="21">
        <v>1000176426</v>
      </c>
      <c r="V71" s="21" t="s">
        <v>165</v>
      </c>
    </row>
    <row r="72" spans="1:22" x14ac:dyDescent="0.3">
      <c r="A72" s="21">
        <v>1000189270</v>
      </c>
      <c r="B72" s="3" t="s">
        <v>34</v>
      </c>
      <c r="C72" s="20">
        <v>1000184670</v>
      </c>
      <c r="D72" s="4" t="s">
        <v>147</v>
      </c>
      <c r="E72" s="21">
        <v>1000186197</v>
      </c>
      <c r="F72" s="21" t="s">
        <v>166</v>
      </c>
      <c r="G72" s="20">
        <v>1000185288</v>
      </c>
      <c r="H72" s="4" t="s">
        <v>64</v>
      </c>
      <c r="I72" s="19">
        <v>1000189794</v>
      </c>
      <c r="J72" s="3" t="s">
        <v>117</v>
      </c>
      <c r="K72" s="20"/>
      <c r="L72" s="4"/>
      <c r="M72" s="21">
        <v>1000136585</v>
      </c>
      <c r="N72" s="3" t="s">
        <v>150</v>
      </c>
      <c r="O72" s="20">
        <v>1000186511</v>
      </c>
      <c r="P72" s="4" t="s">
        <v>151</v>
      </c>
      <c r="Q72" s="21">
        <v>1000186510</v>
      </c>
      <c r="R72" s="21" t="s">
        <v>152</v>
      </c>
      <c r="S72" s="20">
        <v>1000186514</v>
      </c>
      <c r="T72" s="4" t="s">
        <v>153</v>
      </c>
      <c r="U72" s="21">
        <v>1000176426</v>
      </c>
      <c r="V72" s="21" t="s">
        <v>165</v>
      </c>
    </row>
    <row r="73" spans="1:22" x14ac:dyDescent="0.3">
      <c r="A73" s="21">
        <v>1000189270</v>
      </c>
      <c r="B73" s="3" t="s">
        <v>34</v>
      </c>
      <c r="C73" s="20">
        <v>1000184670</v>
      </c>
      <c r="D73" s="4" t="s">
        <v>147</v>
      </c>
      <c r="E73" s="21">
        <v>1000186197</v>
      </c>
      <c r="F73" s="21" t="s">
        <v>166</v>
      </c>
      <c r="G73" s="20">
        <v>1000185288</v>
      </c>
      <c r="H73" s="4" t="s">
        <v>64</v>
      </c>
      <c r="I73" s="19">
        <v>1000189795</v>
      </c>
      <c r="J73" s="3" t="s">
        <v>65</v>
      </c>
      <c r="K73" s="20"/>
      <c r="L73" s="4"/>
      <c r="M73" s="21">
        <v>1000136585</v>
      </c>
      <c r="N73" s="3" t="s">
        <v>150</v>
      </c>
      <c r="O73" s="20">
        <v>1000186511</v>
      </c>
      <c r="P73" s="4" t="s">
        <v>151</v>
      </c>
      <c r="Q73" s="21">
        <v>1000186510</v>
      </c>
      <c r="R73" s="21" t="s">
        <v>152</v>
      </c>
      <c r="S73" s="20">
        <v>1000186514</v>
      </c>
      <c r="T73" s="4" t="s">
        <v>153</v>
      </c>
      <c r="U73" s="21">
        <v>1000176426</v>
      </c>
      <c r="V73" s="21" t="s">
        <v>165</v>
      </c>
    </row>
    <row r="74" spans="1:22" x14ac:dyDescent="0.3">
      <c r="A74" s="21">
        <v>1000189270</v>
      </c>
      <c r="B74" s="3" t="s">
        <v>34</v>
      </c>
      <c r="C74" s="20">
        <v>1000184670</v>
      </c>
      <c r="D74" s="4" t="s">
        <v>147</v>
      </c>
      <c r="E74" s="21">
        <v>1000186197</v>
      </c>
      <c r="F74" s="21" t="s">
        <v>166</v>
      </c>
      <c r="G74" s="20">
        <v>1000185288</v>
      </c>
      <c r="H74" s="4" t="s">
        <v>64</v>
      </c>
      <c r="I74" s="19">
        <v>1000189803</v>
      </c>
      <c r="J74" s="3" t="s">
        <v>97</v>
      </c>
      <c r="K74" s="20"/>
      <c r="L74" s="4"/>
      <c r="M74" s="21">
        <v>1000136585</v>
      </c>
      <c r="N74" s="3" t="s">
        <v>150</v>
      </c>
      <c r="O74" s="20">
        <v>1000186511</v>
      </c>
      <c r="P74" s="4" t="s">
        <v>151</v>
      </c>
      <c r="Q74" s="21">
        <v>1000186510</v>
      </c>
      <c r="R74" s="21" t="s">
        <v>152</v>
      </c>
      <c r="S74" s="20">
        <v>1000186514</v>
      </c>
      <c r="T74" s="4" t="s">
        <v>153</v>
      </c>
      <c r="U74" s="21">
        <v>1000176426</v>
      </c>
      <c r="V74" s="21" t="s">
        <v>165</v>
      </c>
    </row>
    <row r="75" spans="1:22" x14ac:dyDescent="0.3">
      <c r="A75" s="21">
        <v>1000189270</v>
      </c>
      <c r="B75" s="3" t="s">
        <v>34</v>
      </c>
      <c r="C75" s="20">
        <v>1000184670</v>
      </c>
      <c r="D75" s="4" t="s">
        <v>147</v>
      </c>
      <c r="E75" s="21">
        <v>1000186197</v>
      </c>
      <c r="F75" s="21" t="s">
        <v>166</v>
      </c>
      <c r="G75" s="20">
        <v>1000185288</v>
      </c>
      <c r="H75" s="4" t="s">
        <v>64</v>
      </c>
      <c r="I75" s="19">
        <v>1000189804</v>
      </c>
      <c r="J75" s="3" t="s">
        <v>89</v>
      </c>
      <c r="K75" s="20"/>
      <c r="L75" s="4"/>
      <c r="M75" s="21">
        <v>1000136585</v>
      </c>
      <c r="N75" s="3" t="s">
        <v>150</v>
      </c>
      <c r="O75" s="20">
        <v>1000186511</v>
      </c>
      <c r="P75" s="4" t="s">
        <v>151</v>
      </c>
      <c r="Q75" s="21">
        <v>1000186510</v>
      </c>
      <c r="R75" s="21" t="s">
        <v>152</v>
      </c>
      <c r="S75" s="20">
        <v>1000186514</v>
      </c>
      <c r="T75" s="4" t="s">
        <v>153</v>
      </c>
      <c r="U75" s="21">
        <v>1000176426</v>
      </c>
      <c r="V75" s="21" t="s">
        <v>165</v>
      </c>
    </row>
    <row r="76" spans="1:22" x14ac:dyDescent="0.3">
      <c r="A76" s="21">
        <v>1000189270</v>
      </c>
      <c r="B76" s="3" t="s">
        <v>34</v>
      </c>
      <c r="C76" s="20">
        <v>1000184670</v>
      </c>
      <c r="D76" s="4" t="s">
        <v>147</v>
      </c>
      <c r="E76" s="21">
        <v>1000186197</v>
      </c>
      <c r="F76" s="21" t="s">
        <v>166</v>
      </c>
      <c r="G76" s="20">
        <v>1000185288</v>
      </c>
      <c r="H76" s="4" t="s">
        <v>64</v>
      </c>
      <c r="I76" s="19">
        <v>1000189805</v>
      </c>
      <c r="J76" s="3" t="s">
        <v>118</v>
      </c>
      <c r="K76" s="20"/>
      <c r="L76" s="4"/>
      <c r="M76" s="21">
        <v>1000136585</v>
      </c>
      <c r="N76" s="3" t="s">
        <v>150</v>
      </c>
      <c r="O76" s="20">
        <v>1000186511</v>
      </c>
      <c r="P76" s="4" t="s">
        <v>151</v>
      </c>
      <c r="Q76" s="21">
        <v>1000186510</v>
      </c>
      <c r="R76" s="21" t="s">
        <v>152</v>
      </c>
      <c r="S76" s="20">
        <v>1000186514</v>
      </c>
      <c r="T76" s="4" t="s">
        <v>153</v>
      </c>
      <c r="U76" s="21">
        <v>1000176426</v>
      </c>
      <c r="V76" s="21" t="s">
        <v>165</v>
      </c>
    </row>
    <row r="77" spans="1:22" x14ac:dyDescent="0.3">
      <c r="A77" s="21">
        <v>1000189270</v>
      </c>
      <c r="B77" s="3" t="s">
        <v>34</v>
      </c>
      <c r="C77" s="20">
        <v>1000184670</v>
      </c>
      <c r="D77" s="4" t="s">
        <v>147</v>
      </c>
      <c r="E77" s="21">
        <v>1000186197</v>
      </c>
      <c r="F77" s="21" t="s">
        <v>166</v>
      </c>
      <c r="G77" s="20">
        <v>1000185288</v>
      </c>
      <c r="H77" s="4" t="s">
        <v>64</v>
      </c>
      <c r="I77" s="19">
        <v>1000189806</v>
      </c>
      <c r="J77" s="3" t="s">
        <v>119</v>
      </c>
      <c r="K77" s="20"/>
      <c r="L77" s="4"/>
      <c r="M77" s="21">
        <v>1000136585</v>
      </c>
      <c r="N77" s="3" t="s">
        <v>150</v>
      </c>
      <c r="O77" s="20">
        <v>1000186511</v>
      </c>
      <c r="P77" s="4" t="s">
        <v>151</v>
      </c>
      <c r="Q77" s="21">
        <v>1000186510</v>
      </c>
      <c r="R77" s="21" t="s">
        <v>152</v>
      </c>
      <c r="S77" s="20">
        <v>1000186514</v>
      </c>
      <c r="T77" s="4" t="s">
        <v>153</v>
      </c>
      <c r="U77" s="21">
        <v>1000176426</v>
      </c>
      <c r="V77" s="21" t="s">
        <v>165</v>
      </c>
    </row>
    <row r="78" spans="1:22" x14ac:dyDescent="0.3">
      <c r="A78" s="21">
        <v>1000189270</v>
      </c>
      <c r="B78" s="3" t="s">
        <v>34</v>
      </c>
      <c r="C78" s="20">
        <v>1000184670</v>
      </c>
      <c r="D78" s="4" t="s">
        <v>147</v>
      </c>
      <c r="E78" s="21">
        <v>1000186197</v>
      </c>
      <c r="F78" s="21" t="s">
        <v>166</v>
      </c>
      <c r="G78" s="20">
        <v>1000185288</v>
      </c>
      <c r="H78" s="4" t="s">
        <v>64</v>
      </c>
      <c r="I78" s="19">
        <v>1000189807</v>
      </c>
      <c r="J78" s="3" t="s">
        <v>81</v>
      </c>
      <c r="K78" s="20"/>
      <c r="L78" s="4"/>
      <c r="M78" s="21">
        <v>1000136585</v>
      </c>
      <c r="N78" s="3" t="s">
        <v>150</v>
      </c>
      <c r="O78" s="20">
        <v>1000186511</v>
      </c>
      <c r="P78" s="4" t="s">
        <v>151</v>
      </c>
      <c r="Q78" s="21">
        <v>1000186510</v>
      </c>
      <c r="R78" s="21" t="s">
        <v>152</v>
      </c>
      <c r="S78" s="20">
        <v>1000186514</v>
      </c>
      <c r="T78" s="4" t="s">
        <v>153</v>
      </c>
      <c r="U78" s="21">
        <v>1000176426</v>
      </c>
      <c r="V78" s="21" t="s">
        <v>165</v>
      </c>
    </row>
    <row r="79" spans="1:22" x14ac:dyDescent="0.3">
      <c r="A79" s="21">
        <v>1000189270</v>
      </c>
      <c r="B79" s="3" t="s">
        <v>34</v>
      </c>
      <c r="C79" s="20">
        <v>1000184670</v>
      </c>
      <c r="D79" s="4" t="s">
        <v>147</v>
      </c>
      <c r="E79" s="21">
        <v>1000186197</v>
      </c>
      <c r="F79" s="21" t="s">
        <v>166</v>
      </c>
      <c r="G79" s="20">
        <v>1000185288</v>
      </c>
      <c r="H79" s="4" t="s">
        <v>64</v>
      </c>
      <c r="I79" s="19">
        <v>1000189808</v>
      </c>
      <c r="J79" s="3" t="s">
        <v>120</v>
      </c>
      <c r="K79" s="20"/>
      <c r="L79" s="4"/>
      <c r="M79" s="21">
        <v>1000136585</v>
      </c>
      <c r="N79" s="3" t="s">
        <v>150</v>
      </c>
      <c r="O79" s="20">
        <v>1000186511</v>
      </c>
      <c r="P79" s="4" t="s">
        <v>151</v>
      </c>
      <c r="Q79" s="21">
        <v>1000186510</v>
      </c>
      <c r="R79" s="21" t="s">
        <v>152</v>
      </c>
      <c r="S79" s="20">
        <v>1000186514</v>
      </c>
      <c r="T79" s="4" t="s">
        <v>153</v>
      </c>
      <c r="U79" s="21">
        <v>1000176426</v>
      </c>
      <c r="V79" s="21" t="s">
        <v>165</v>
      </c>
    </row>
    <row r="80" spans="1:22" x14ac:dyDescent="0.3">
      <c r="A80" s="21">
        <v>1000189270</v>
      </c>
      <c r="B80" s="3" t="s">
        <v>34</v>
      </c>
      <c r="C80" s="20">
        <v>1000184670</v>
      </c>
      <c r="D80" s="4" t="s">
        <v>147</v>
      </c>
      <c r="E80" s="21">
        <v>1000186197</v>
      </c>
      <c r="F80" s="21" t="s">
        <v>166</v>
      </c>
      <c r="G80" s="20">
        <v>1000185288</v>
      </c>
      <c r="H80" s="4" t="s">
        <v>64</v>
      </c>
      <c r="I80" s="19">
        <v>1000189809</v>
      </c>
      <c r="J80" s="3" t="s">
        <v>92</v>
      </c>
      <c r="K80" s="20"/>
      <c r="L80" s="4"/>
      <c r="M80" s="21">
        <v>1000136585</v>
      </c>
      <c r="N80" s="3" t="s">
        <v>150</v>
      </c>
      <c r="O80" s="20">
        <v>1000186511</v>
      </c>
      <c r="P80" s="4" t="s">
        <v>151</v>
      </c>
      <c r="Q80" s="21">
        <v>1000186510</v>
      </c>
      <c r="R80" s="21" t="s">
        <v>152</v>
      </c>
      <c r="S80" s="20">
        <v>1000186514</v>
      </c>
      <c r="T80" s="4" t="s">
        <v>153</v>
      </c>
      <c r="U80" s="21">
        <v>1000176426</v>
      </c>
      <c r="V80" s="21" t="s">
        <v>165</v>
      </c>
    </row>
    <row r="81" spans="1:22" x14ac:dyDescent="0.3">
      <c r="A81" s="21">
        <v>1000189270</v>
      </c>
      <c r="B81" s="3" t="s">
        <v>34</v>
      </c>
      <c r="C81" s="20">
        <v>1000184670</v>
      </c>
      <c r="D81" s="4" t="s">
        <v>147</v>
      </c>
      <c r="E81" s="21">
        <v>1000186197</v>
      </c>
      <c r="F81" s="21" t="s">
        <v>166</v>
      </c>
      <c r="G81" s="20">
        <v>1000185288</v>
      </c>
      <c r="H81" s="4" t="s">
        <v>64</v>
      </c>
      <c r="I81" s="19">
        <v>1000189810</v>
      </c>
      <c r="J81" s="3" t="s">
        <v>96</v>
      </c>
      <c r="K81" s="20"/>
      <c r="L81" s="4"/>
      <c r="M81" s="21">
        <v>1000136585</v>
      </c>
      <c r="N81" s="3" t="s">
        <v>150</v>
      </c>
      <c r="O81" s="20">
        <v>1000186511</v>
      </c>
      <c r="P81" s="4" t="s">
        <v>151</v>
      </c>
      <c r="Q81" s="21">
        <v>1000186510</v>
      </c>
      <c r="R81" s="21" t="s">
        <v>152</v>
      </c>
      <c r="S81" s="20">
        <v>1000186514</v>
      </c>
      <c r="T81" s="4" t="s">
        <v>153</v>
      </c>
      <c r="U81" s="21">
        <v>1000176426</v>
      </c>
      <c r="V81" s="21" t="s">
        <v>165</v>
      </c>
    </row>
  </sheetData>
  <phoneticPr fontId="7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4C310-93D9-42A9-98DA-C2D9DC3AADEC}">
  <dimension ref="A1:AO1521"/>
  <sheetViews>
    <sheetView showGridLines="0" zoomScale="85" zoomScaleNormal="85" workbookViewId="0">
      <pane ySplit="1" topLeftCell="A2" activePane="bottomLeft" state="frozen"/>
      <selection pane="bottomLeft" activeCell="J1" sqref="J1:J1048576"/>
    </sheetView>
  </sheetViews>
  <sheetFormatPr defaultColWidth="10.21875" defaultRowHeight="13.8" x14ac:dyDescent="0.3"/>
  <cols>
    <col min="1" max="1" width="12.77734375" style="16" customWidth="1"/>
    <col min="2" max="2" width="23.77734375" style="1" customWidth="1"/>
    <col min="3" max="3" width="12.21875" style="1" customWidth="1"/>
    <col min="4" max="4" width="34.21875" style="1" customWidth="1"/>
    <col min="5" max="5" width="12.77734375" style="16" customWidth="1"/>
    <col min="6" max="6" width="23.77734375" style="1" customWidth="1"/>
    <col min="7" max="7" width="12.21875" style="1" customWidth="1"/>
    <col min="8" max="8" width="40.5546875" style="1" customWidth="1"/>
    <col min="9" max="9" width="12.21875" style="1" customWidth="1"/>
    <col min="10" max="10" width="40.5546875" style="1" bestFit="1" customWidth="1"/>
    <col min="11" max="11" width="22.5546875" style="16" customWidth="1"/>
    <col min="12" max="35" width="8.21875" style="23" customWidth="1"/>
    <col min="36" max="36" width="10.21875" style="1"/>
    <col min="37" max="41" width="19.21875" style="23" customWidth="1"/>
    <col min="42" max="16384" width="10.21875" style="1"/>
  </cols>
  <sheetData>
    <row r="1" spans="1:41" s="18" customFormat="1" ht="15.75" customHeight="1" x14ac:dyDescent="0.3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  <c r="G1" s="17" t="s">
        <v>41</v>
      </c>
      <c r="H1" s="17" t="s">
        <v>42</v>
      </c>
      <c r="I1" s="17" t="s">
        <v>123</v>
      </c>
      <c r="J1" s="17" t="s">
        <v>122</v>
      </c>
      <c r="K1" s="17" t="s">
        <v>121</v>
      </c>
      <c r="L1" s="22">
        <v>45292</v>
      </c>
      <c r="M1" s="22">
        <v>45323</v>
      </c>
      <c r="N1" s="22">
        <v>45352</v>
      </c>
      <c r="O1" s="22">
        <v>45383</v>
      </c>
      <c r="P1" s="22">
        <v>45413</v>
      </c>
      <c r="Q1" s="22">
        <v>45444</v>
      </c>
      <c r="R1" s="22">
        <v>45474</v>
      </c>
      <c r="S1" s="22">
        <v>45505</v>
      </c>
      <c r="T1" s="22">
        <v>45536</v>
      </c>
      <c r="U1" s="22">
        <v>45566</v>
      </c>
      <c r="V1" s="22">
        <v>45597</v>
      </c>
      <c r="W1" s="22">
        <v>45627</v>
      </c>
      <c r="X1" s="22">
        <v>45658</v>
      </c>
      <c r="Y1" s="22">
        <v>45689</v>
      </c>
      <c r="Z1" s="22">
        <v>45717</v>
      </c>
      <c r="AA1" s="22">
        <v>45748</v>
      </c>
      <c r="AB1" s="22">
        <v>45778</v>
      </c>
      <c r="AC1" s="22">
        <v>45809</v>
      </c>
      <c r="AD1" s="22">
        <v>45839</v>
      </c>
      <c r="AE1" s="22">
        <v>45870</v>
      </c>
      <c r="AF1" s="22">
        <v>45901</v>
      </c>
      <c r="AG1" s="22">
        <v>45931</v>
      </c>
      <c r="AH1" s="22">
        <v>45962</v>
      </c>
      <c r="AI1" s="22">
        <v>45992</v>
      </c>
      <c r="AK1" s="22" t="s">
        <v>125</v>
      </c>
      <c r="AL1" s="22" t="s">
        <v>126</v>
      </c>
      <c r="AM1" s="22" t="s">
        <v>127</v>
      </c>
      <c r="AN1" s="22" t="s">
        <v>170</v>
      </c>
      <c r="AO1" s="22" t="s">
        <v>172</v>
      </c>
    </row>
    <row r="2" spans="1:41" ht="13.05" x14ac:dyDescent="0.3">
      <c r="A2" s="20">
        <v>1000184670</v>
      </c>
      <c r="B2" s="4" t="s">
        <v>147</v>
      </c>
      <c r="C2" s="21">
        <v>1000186197</v>
      </c>
      <c r="D2" s="3" t="s">
        <v>166</v>
      </c>
      <c r="E2" s="20">
        <v>1000185288</v>
      </c>
      <c r="F2" s="4" t="s">
        <v>64</v>
      </c>
      <c r="G2" s="21">
        <v>1000189807</v>
      </c>
      <c r="H2" s="3" t="s">
        <v>81</v>
      </c>
      <c r="I2" s="21">
        <v>1000189749</v>
      </c>
      <c r="J2" s="3" t="s">
        <v>154</v>
      </c>
      <c r="K2" s="20" t="s">
        <v>124</v>
      </c>
      <c r="L2" s="39">
        <v>0</v>
      </c>
      <c r="M2" s="39">
        <v>0</v>
      </c>
      <c r="N2" s="39">
        <v>0</v>
      </c>
      <c r="O2" s="39">
        <v>0</v>
      </c>
      <c r="P2" s="39">
        <v>0</v>
      </c>
      <c r="Q2" s="39">
        <v>0</v>
      </c>
      <c r="R2" s="39">
        <v>0</v>
      </c>
      <c r="S2" s="39">
        <v>0</v>
      </c>
      <c r="T2" s="39">
        <v>0</v>
      </c>
      <c r="U2" s="39">
        <v>0</v>
      </c>
      <c r="V2" s="39">
        <v>0</v>
      </c>
      <c r="W2" s="39">
        <v>0</v>
      </c>
      <c r="X2" s="39">
        <v>0</v>
      </c>
      <c r="Y2" s="39">
        <v>0</v>
      </c>
      <c r="Z2" s="39">
        <v>0</v>
      </c>
      <c r="AA2" s="39">
        <v>0</v>
      </c>
      <c r="AB2" s="39">
        <v>0</v>
      </c>
      <c r="AC2" s="39">
        <v>0</v>
      </c>
      <c r="AD2" s="39">
        <v>0</v>
      </c>
      <c r="AE2" s="39">
        <v>0</v>
      </c>
      <c r="AF2" s="39">
        <v>0</v>
      </c>
      <c r="AG2" s="39">
        <v>0</v>
      </c>
      <c r="AH2" s="39"/>
      <c r="AI2" s="39"/>
      <c r="AJ2" s="40"/>
      <c r="AK2" s="39">
        <f>AVERAGE(L2:W2)</f>
        <v>0</v>
      </c>
      <c r="AL2" s="39">
        <f>AVERAGE(V2:AG2)</f>
        <v>0</v>
      </c>
      <c r="AM2" s="39">
        <f>AVERAGE(AB2:AG2)</f>
        <v>0</v>
      </c>
      <c r="AN2" s="39">
        <f>AVERAGE(X2:AI2)</f>
        <v>0</v>
      </c>
      <c r="AO2" s="39">
        <f>SUM(X2:AI2)</f>
        <v>0</v>
      </c>
    </row>
    <row r="3" spans="1:41" ht="13.05" x14ac:dyDescent="0.3">
      <c r="A3" s="20">
        <v>1000184670</v>
      </c>
      <c r="B3" s="4" t="s">
        <v>147</v>
      </c>
      <c r="C3" s="21">
        <v>1000186197</v>
      </c>
      <c r="D3" s="3" t="s">
        <v>166</v>
      </c>
      <c r="E3" s="20">
        <v>1000185288</v>
      </c>
      <c r="F3" s="4" t="s">
        <v>64</v>
      </c>
      <c r="G3" s="21">
        <v>1000189807</v>
      </c>
      <c r="H3" s="3" t="s">
        <v>81</v>
      </c>
      <c r="I3" s="21">
        <v>1000189749</v>
      </c>
      <c r="J3" s="3" t="s">
        <v>154</v>
      </c>
      <c r="K3" s="20" t="s">
        <v>13</v>
      </c>
      <c r="L3" s="39">
        <v>0</v>
      </c>
      <c r="M3" s="39">
        <v>0</v>
      </c>
      <c r="N3" s="39">
        <v>0</v>
      </c>
      <c r="O3" s="39">
        <v>0</v>
      </c>
      <c r="P3" s="39">
        <v>0</v>
      </c>
      <c r="Q3" s="39">
        <v>0</v>
      </c>
      <c r="R3" s="39">
        <v>0</v>
      </c>
      <c r="S3" s="39">
        <v>0</v>
      </c>
      <c r="T3" s="39">
        <v>0</v>
      </c>
      <c r="U3" s="39">
        <v>0</v>
      </c>
      <c r="V3" s="39">
        <v>0</v>
      </c>
      <c r="W3" s="39">
        <v>0</v>
      </c>
      <c r="X3" s="39">
        <v>0</v>
      </c>
      <c r="Y3" s="39">
        <v>0</v>
      </c>
      <c r="Z3" s="39">
        <v>0</v>
      </c>
      <c r="AA3" s="39">
        <v>0</v>
      </c>
      <c r="AB3" s="39">
        <v>0</v>
      </c>
      <c r="AC3" s="39">
        <v>0</v>
      </c>
      <c r="AD3" s="39">
        <v>0</v>
      </c>
      <c r="AE3" s="39">
        <v>0</v>
      </c>
      <c r="AF3" s="39">
        <v>0</v>
      </c>
      <c r="AG3" s="39">
        <v>0</v>
      </c>
      <c r="AH3" s="39"/>
      <c r="AI3" s="39"/>
      <c r="AJ3" s="40"/>
      <c r="AK3" s="39">
        <f t="shared" ref="AK3:AK58" si="0">AVERAGE(L3:W3)</f>
        <v>0</v>
      </c>
      <c r="AL3" s="39">
        <f t="shared" ref="AL3:AL66" si="1">AVERAGE(V3:AG3)</f>
        <v>0</v>
      </c>
      <c r="AM3" s="39">
        <f t="shared" ref="AM3:AM66" si="2">AVERAGE(AB3:AG3)</f>
        <v>0</v>
      </c>
      <c r="AN3" s="39">
        <f t="shared" ref="AN3:AN58" si="3">AVERAGE(X3:AI3)</f>
        <v>0</v>
      </c>
      <c r="AO3" s="39">
        <f t="shared" ref="AO3:AO58" si="4">SUM(X3:AI3)</f>
        <v>0</v>
      </c>
    </row>
    <row r="4" spans="1:41" ht="13.05" x14ac:dyDescent="0.3">
      <c r="A4" s="20">
        <v>1000184670</v>
      </c>
      <c r="B4" s="4" t="s">
        <v>147</v>
      </c>
      <c r="C4" s="21">
        <v>1000186197</v>
      </c>
      <c r="D4" s="3" t="s">
        <v>166</v>
      </c>
      <c r="E4" s="20">
        <v>1000185288</v>
      </c>
      <c r="F4" s="4" t="s">
        <v>64</v>
      </c>
      <c r="G4" s="21">
        <v>1000189807</v>
      </c>
      <c r="H4" s="3" t="s">
        <v>81</v>
      </c>
      <c r="I4" s="21">
        <v>1000189749</v>
      </c>
      <c r="J4" s="3" t="s">
        <v>154</v>
      </c>
      <c r="K4" s="20" t="s">
        <v>14</v>
      </c>
      <c r="L4" s="39">
        <v>0</v>
      </c>
      <c r="M4" s="39">
        <v>0</v>
      </c>
      <c r="N4" s="39">
        <v>0</v>
      </c>
      <c r="O4" s="39">
        <v>0</v>
      </c>
      <c r="P4" s="39">
        <v>0</v>
      </c>
      <c r="Q4" s="39">
        <v>0</v>
      </c>
      <c r="R4" s="39">
        <v>0</v>
      </c>
      <c r="S4" s="39">
        <v>0</v>
      </c>
      <c r="T4" s="39">
        <v>0</v>
      </c>
      <c r="U4" s="39">
        <v>0</v>
      </c>
      <c r="V4" s="39">
        <v>0</v>
      </c>
      <c r="W4" s="39">
        <v>0</v>
      </c>
      <c r="X4" s="39">
        <v>0</v>
      </c>
      <c r="Y4" s="39">
        <v>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9">
        <v>0</v>
      </c>
      <c r="AF4" s="39">
        <v>0</v>
      </c>
      <c r="AG4" s="39">
        <v>0</v>
      </c>
      <c r="AH4" s="39"/>
      <c r="AI4" s="39"/>
      <c r="AJ4" s="40"/>
      <c r="AK4" s="39">
        <f t="shared" si="0"/>
        <v>0</v>
      </c>
      <c r="AL4" s="39">
        <f t="shared" si="1"/>
        <v>0</v>
      </c>
      <c r="AM4" s="39">
        <f t="shared" si="2"/>
        <v>0</v>
      </c>
      <c r="AN4" s="39">
        <f t="shared" si="3"/>
        <v>0</v>
      </c>
      <c r="AO4" s="39">
        <f t="shared" si="4"/>
        <v>0</v>
      </c>
    </row>
    <row r="5" spans="1:41" ht="13.05" x14ac:dyDescent="0.3">
      <c r="A5" s="20">
        <v>1000184670</v>
      </c>
      <c r="B5" s="4" t="s">
        <v>147</v>
      </c>
      <c r="C5" s="21">
        <v>1000186197</v>
      </c>
      <c r="D5" s="3" t="s">
        <v>166</v>
      </c>
      <c r="E5" s="20">
        <v>1000185288</v>
      </c>
      <c r="F5" s="4" t="s">
        <v>64</v>
      </c>
      <c r="G5" s="21">
        <v>1000189807</v>
      </c>
      <c r="H5" s="3" t="s">
        <v>81</v>
      </c>
      <c r="I5" s="21">
        <v>1000189749</v>
      </c>
      <c r="J5" s="3" t="s">
        <v>154</v>
      </c>
      <c r="K5" s="20" t="s">
        <v>16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T5" s="39">
        <v>0</v>
      </c>
      <c r="U5" s="39">
        <v>0</v>
      </c>
      <c r="V5" s="39">
        <v>0</v>
      </c>
      <c r="W5" s="39">
        <v>0</v>
      </c>
      <c r="X5" s="39">
        <v>0</v>
      </c>
      <c r="Y5" s="39">
        <v>0</v>
      </c>
      <c r="Z5" s="39">
        <v>0</v>
      </c>
      <c r="AA5" s="39">
        <v>0</v>
      </c>
      <c r="AB5" s="39">
        <v>0</v>
      </c>
      <c r="AC5" s="39">
        <v>0</v>
      </c>
      <c r="AD5" s="39">
        <v>0</v>
      </c>
      <c r="AE5" s="39">
        <v>0</v>
      </c>
      <c r="AF5" s="39">
        <v>0</v>
      </c>
      <c r="AG5" s="39">
        <v>0</v>
      </c>
      <c r="AH5" s="39"/>
      <c r="AI5" s="39"/>
      <c r="AJ5" s="40"/>
      <c r="AK5" s="39">
        <f t="shared" si="0"/>
        <v>0</v>
      </c>
      <c r="AL5" s="39">
        <f t="shared" si="1"/>
        <v>0</v>
      </c>
      <c r="AM5" s="39">
        <f t="shared" si="2"/>
        <v>0</v>
      </c>
      <c r="AN5" s="39">
        <f t="shared" si="3"/>
        <v>0</v>
      </c>
      <c r="AO5" s="39">
        <f t="shared" si="4"/>
        <v>0</v>
      </c>
    </row>
    <row r="6" spans="1:41" ht="13.05" x14ac:dyDescent="0.3">
      <c r="A6" s="20">
        <v>1000184670</v>
      </c>
      <c r="B6" s="4" t="s">
        <v>147</v>
      </c>
      <c r="C6" s="21">
        <v>1000186197</v>
      </c>
      <c r="D6" s="3" t="s">
        <v>166</v>
      </c>
      <c r="E6" s="20">
        <v>1000185288</v>
      </c>
      <c r="F6" s="4" t="s">
        <v>64</v>
      </c>
      <c r="G6" s="21">
        <v>1000189807</v>
      </c>
      <c r="H6" s="3" t="s">
        <v>81</v>
      </c>
      <c r="I6" s="21">
        <v>1000189749</v>
      </c>
      <c r="J6" s="3" t="s">
        <v>154</v>
      </c>
      <c r="K6" s="20" t="s">
        <v>15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  <c r="R6" s="39">
        <v>0</v>
      </c>
      <c r="S6" s="39">
        <v>0</v>
      </c>
      <c r="T6" s="39">
        <v>0</v>
      </c>
      <c r="U6" s="39">
        <v>0</v>
      </c>
      <c r="V6" s="39">
        <v>0</v>
      </c>
      <c r="W6" s="39">
        <v>0</v>
      </c>
      <c r="X6" s="39">
        <v>0</v>
      </c>
      <c r="Y6" s="39">
        <v>0</v>
      </c>
      <c r="Z6" s="39">
        <v>0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  <c r="AH6" s="39"/>
      <c r="AI6" s="39"/>
      <c r="AJ6" s="40"/>
      <c r="AK6" s="39">
        <f t="shared" si="0"/>
        <v>0</v>
      </c>
      <c r="AL6" s="39">
        <f t="shared" si="1"/>
        <v>0</v>
      </c>
      <c r="AM6" s="39">
        <f t="shared" si="2"/>
        <v>0</v>
      </c>
      <c r="AN6" s="39">
        <f t="shared" si="3"/>
        <v>0</v>
      </c>
      <c r="AO6" s="39">
        <f t="shared" si="4"/>
        <v>0</v>
      </c>
    </row>
    <row r="7" spans="1:41" ht="13.05" x14ac:dyDescent="0.3">
      <c r="A7" s="20">
        <v>1000184670</v>
      </c>
      <c r="B7" s="4" t="s">
        <v>147</v>
      </c>
      <c r="C7" s="21">
        <v>1000186197</v>
      </c>
      <c r="D7" s="3" t="s">
        <v>166</v>
      </c>
      <c r="E7" s="20">
        <v>1000185288</v>
      </c>
      <c r="F7" s="4" t="s">
        <v>64</v>
      </c>
      <c r="G7" s="21">
        <v>1000189807</v>
      </c>
      <c r="H7" s="3" t="s">
        <v>81</v>
      </c>
      <c r="I7" s="21">
        <v>1000189749</v>
      </c>
      <c r="J7" s="3" t="s">
        <v>154</v>
      </c>
      <c r="K7" s="20" t="s">
        <v>33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T7" s="39">
        <v>0</v>
      </c>
      <c r="U7" s="39">
        <v>0</v>
      </c>
      <c r="V7" s="39">
        <v>0</v>
      </c>
      <c r="W7" s="39">
        <v>0</v>
      </c>
      <c r="X7" s="39">
        <v>0</v>
      </c>
      <c r="Y7" s="39">
        <v>0</v>
      </c>
      <c r="Z7" s="39">
        <v>0</v>
      </c>
      <c r="AA7" s="39">
        <v>0</v>
      </c>
      <c r="AB7" s="39">
        <v>0</v>
      </c>
      <c r="AC7" s="39">
        <v>0</v>
      </c>
      <c r="AD7" s="39">
        <v>0</v>
      </c>
      <c r="AE7" s="39">
        <v>0</v>
      </c>
      <c r="AF7" s="39">
        <v>0</v>
      </c>
      <c r="AG7" s="39">
        <v>0</v>
      </c>
      <c r="AH7" s="39"/>
      <c r="AI7" s="39"/>
      <c r="AJ7" s="40"/>
      <c r="AK7" s="39">
        <f t="shared" si="0"/>
        <v>0</v>
      </c>
      <c r="AL7" s="39">
        <f t="shared" si="1"/>
        <v>0</v>
      </c>
      <c r="AM7" s="39">
        <f t="shared" si="2"/>
        <v>0</v>
      </c>
      <c r="AN7" s="39">
        <f t="shared" si="3"/>
        <v>0</v>
      </c>
      <c r="AO7" s="39">
        <f t="shared" si="4"/>
        <v>0</v>
      </c>
    </row>
    <row r="8" spans="1:41" ht="13.05" x14ac:dyDescent="0.3">
      <c r="A8" s="20">
        <v>1000184670</v>
      </c>
      <c r="B8" s="4" t="s">
        <v>147</v>
      </c>
      <c r="C8" s="21">
        <v>1000186197</v>
      </c>
      <c r="D8" s="3" t="s">
        <v>166</v>
      </c>
      <c r="E8" s="20">
        <v>1000185288</v>
      </c>
      <c r="F8" s="4" t="s">
        <v>64</v>
      </c>
      <c r="G8" s="21">
        <v>1000189807</v>
      </c>
      <c r="H8" s="3" t="s">
        <v>81</v>
      </c>
      <c r="I8" s="21">
        <v>1000189749</v>
      </c>
      <c r="J8" s="3" t="s">
        <v>154</v>
      </c>
      <c r="K8" s="20" t="s">
        <v>19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  <c r="R8" s="39">
        <v>0</v>
      </c>
      <c r="S8" s="39">
        <v>0</v>
      </c>
      <c r="T8" s="39">
        <v>0</v>
      </c>
      <c r="U8" s="39">
        <v>0</v>
      </c>
      <c r="V8" s="39">
        <v>0</v>
      </c>
      <c r="W8" s="39">
        <v>0</v>
      </c>
      <c r="X8" s="39">
        <v>0</v>
      </c>
      <c r="Y8" s="39">
        <v>0</v>
      </c>
      <c r="Z8" s="39">
        <v>0</v>
      </c>
      <c r="AA8" s="39">
        <v>0</v>
      </c>
      <c r="AB8" s="39">
        <v>0</v>
      </c>
      <c r="AC8" s="39">
        <v>0</v>
      </c>
      <c r="AD8" s="39">
        <v>0</v>
      </c>
      <c r="AE8" s="39">
        <v>0</v>
      </c>
      <c r="AF8" s="39">
        <v>0</v>
      </c>
      <c r="AG8" s="39">
        <v>0</v>
      </c>
      <c r="AH8" s="39"/>
      <c r="AI8" s="39"/>
      <c r="AJ8" s="40"/>
      <c r="AK8" s="39">
        <f t="shared" si="0"/>
        <v>0</v>
      </c>
      <c r="AL8" s="39">
        <f t="shared" si="1"/>
        <v>0</v>
      </c>
      <c r="AM8" s="39">
        <f t="shared" si="2"/>
        <v>0</v>
      </c>
      <c r="AN8" s="39">
        <f t="shared" si="3"/>
        <v>0</v>
      </c>
      <c r="AO8" s="39">
        <f t="shared" si="4"/>
        <v>0</v>
      </c>
    </row>
    <row r="9" spans="1:41" ht="13.05" x14ac:dyDescent="0.3">
      <c r="A9" s="20">
        <v>1000184670</v>
      </c>
      <c r="B9" s="4" t="s">
        <v>147</v>
      </c>
      <c r="C9" s="21">
        <v>1000186197</v>
      </c>
      <c r="D9" s="3" t="s">
        <v>166</v>
      </c>
      <c r="E9" s="20">
        <v>1000185288</v>
      </c>
      <c r="F9" s="4" t="s">
        <v>64</v>
      </c>
      <c r="G9" s="21">
        <v>1000189807</v>
      </c>
      <c r="H9" s="3" t="s">
        <v>81</v>
      </c>
      <c r="I9" s="21">
        <v>1000189749</v>
      </c>
      <c r="J9" s="3" t="s">
        <v>154</v>
      </c>
      <c r="K9" s="20" t="s">
        <v>17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  <c r="R9" s="39">
        <v>0</v>
      </c>
      <c r="S9" s="39">
        <v>0</v>
      </c>
      <c r="T9" s="39">
        <v>0</v>
      </c>
      <c r="U9" s="39">
        <v>0</v>
      </c>
      <c r="V9" s="39">
        <v>0</v>
      </c>
      <c r="W9" s="39">
        <v>0</v>
      </c>
      <c r="X9" s="39">
        <v>0</v>
      </c>
      <c r="Y9" s="39">
        <v>0</v>
      </c>
      <c r="Z9" s="39">
        <v>0</v>
      </c>
      <c r="AA9" s="39">
        <v>0</v>
      </c>
      <c r="AB9" s="39">
        <v>0</v>
      </c>
      <c r="AC9" s="39">
        <v>0</v>
      </c>
      <c r="AD9" s="39">
        <v>0</v>
      </c>
      <c r="AE9" s="39">
        <v>0</v>
      </c>
      <c r="AF9" s="39">
        <v>0</v>
      </c>
      <c r="AG9" s="39">
        <v>0</v>
      </c>
      <c r="AH9" s="39"/>
      <c r="AI9" s="39"/>
      <c r="AJ9" s="40"/>
      <c r="AK9" s="39">
        <f t="shared" si="0"/>
        <v>0</v>
      </c>
      <c r="AL9" s="39">
        <f t="shared" si="1"/>
        <v>0</v>
      </c>
      <c r="AM9" s="39">
        <f t="shared" si="2"/>
        <v>0</v>
      </c>
      <c r="AN9" s="39">
        <f t="shared" si="3"/>
        <v>0</v>
      </c>
      <c r="AO9" s="39">
        <f t="shared" si="4"/>
        <v>0</v>
      </c>
    </row>
    <row r="10" spans="1:41" ht="13.05" x14ac:dyDescent="0.3">
      <c r="A10" s="20">
        <v>1000184670</v>
      </c>
      <c r="B10" s="4" t="s">
        <v>147</v>
      </c>
      <c r="C10" s="21">
        <v>1000186197</v>
      </c>
      <c r="D10" s="3" t="s">
        <v>166</v>
      </c>
      <c r="E10" s="20">
        <v>1000185288</v>
      </c>
      <c r="F10" s="4" t="s">
        <v>64</v>
      </c>
      <c r="G10" s="21">
        <v>1000189807</v>
      </c>
      <c r="H10" s="3" t="s">
        <v>81</v>
      </c>
      <c r="I10" s="21">
        <v>1000189749</v>
      </c>
      <c r="J10" s="3" t="s">
        <v>154</v>
      </c>
      <c r="K10" s="20" t="s">
        <v>24</v>
      </c>
      <c r="L10" s="39">
        <v>0</v>
      </c>
      <c r="M10" s="39">
        <v>0</v>
      </c>
      <c r="N10" s="39">
        <v>0</v>
      </c>
      <c r="O10" s="39">
        <v>0</v>
      </c>
      <c r="P10" s="39">
        <v>0</v>
      </c>
      <c r="Q10" s="39">
        <v>0</v>
      </c>
      <c r="R10" s="39">
        <v>0</v>
      </c>
      <c r="S10" s="39">
        <v>0</v>
      </c>
      <c r="T10" s="39">
        <v>0</v>
      </c>
      <c r="U10" s="39">
        <v>0</v>
      </c>
      <c r="V10" s="39">
        <v>0</v>
      </c>
      <c r="W10" s="39">
        <v>0</v>
      </c>
      <c r="X10" s="39">
        <v>0</v>
      </c>
      <c r="Y10" s="39">
        <v>0</v>
      </c>
      <c r="Z10" s="39">
        <v>0</v>
      </c>
      <c r="AA10" s="39">
        <v>0</v>
      </c>
      <c r="AB10" s="39">
        <v>0</v>
      </c>
      <c r="AC10" s="39">
        <v>0</v>
      </c>
      <c r="AD10" s="39">
        <v>0</v>
      </c>
      <c r="AE10" s="39">
        <v>0</v>
      </c>
      <c r="AF10" s="39">
        <v>0</v>
      </c>
      <c r="AG10" s="39">
        <v>0</v>
      </c>
      <c r="AH10" s="39"/>
      <c r="AI10" s="39"/>
      <c r="AJ10" s="40"/>
      <c r="AK10" s="39">
        <f t="shared" si="0"/>
        <v>0</v>
      </c>
      <c r="AL10" s="39">
        <f t="shared" si="1"/>
        <v>0</v>
      </c>
      <c r="AM10" s="39">
        <f t="shared" si="2"/>
        <v>0</v>
      </c>
      <c r="AN10" s="39">
        <f t="shared" si="3"/>
        <v>0</v>
      </c>
      <c r="AO10" s="39">
        <f t="shared" si="4"/>
        <v>0</v>
      </c>
    </row>
    <row r="11" spans="1:41" ht="13.05" x14ac:dyDescent="0.3">
      <c r="A11" s="20">
        <v>1000184670</v>
      </c>
      <c r="B11" s="4" t="s">
        <v>147</v>
      </c>
      <c r="C11" s="21">
        <v>1000186197</v>
      </c>
      <c r="D11" s="3" t="s">
        <v>166</v>
      </c>
      <c r="E11" s="20">
        <v>1000185288</v>
      </c>
      <c r="F11" s="4" t="s">
        <v>64</v>
      </c>
      <c r="G11" s="21">
        <v>1000189807</v>
      </c>
      <c r="H11" s="3" t="s">
        <v>81</v>
      </c>
      <c r="I11" s="21">
        <v>1000189749</v>
      </c>
      <c r="J11" s="3" t="s">
        <v>154</v>
      </c>
      <c r="K11" s="20" t="s">
        <v>18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  <c r="R11" s="39">
        <v>0</v>
      </c>
      <c r="S11" s="39">
        <v>0</v>
      </c>
      <c r="T11" s="39">
        <v>0</v>
      </c>
      <c r="U11" s="39">
        <v>0</v>
      </c>
      <c r="V11" s="39">
        <v>0</v>
      </c>
      <c r="W11" s="39">
        <v>0</v>
      </c>
      <c r="X11" s="39">
        <v>0</v>
      </c>
      <c r="Y11" s="39">
        <v>0</v>
      </c>
      <c r="Z11" s="39">
        <v>0</v>
      </c>
      <c r="AA11" s="39">
        <v>0</v>
      </c>
      <c r="AB11" s="39">
        <v>0</v>
      </c>
      <c r="AC11" s="39">
        <v>0</v>
      </c>
      <c r="AD11" s="39">
        <v>0</v>
      </c>
      <c r="AE11" s="39">
        <v>0</v>
      </c>
      <c r="AF11" s="39">
        <v>0</v>
      </c>
      <c r="AG11" s="39">
        <v>0</v>
      </c>
      <c r="AH11" s="39"/>
      <c r="AI11" s="39"/>
      <c r="AJ11" s="40"/>
      <c r="AK11" s="39">
        <f t="shared" si="0"/>
        <v>0</v>
      </c>
      <c r="AL11" s="39">
        <f t="shared" si="1"/>
        <v>0</v>
      </c>
      <c r="AM11" s="39">
        <f t="shared" si="2"/>
        <v>0</v>
      </c>
      <c r="AN11" s="39">
        <f t="shared" si="3"/>
        <v>0</v>
      </c>
      <c r="AO11" s="39">
        <f t="shared" si="4"/>
        <v>0</v>
      </c>
    </row>
    <row r="12" spans="1:41" ht="13.05" x14ac:dyDescent="0.3">
      <c r="A12" s="20">
        <v>1000184670</v>
      </c>
      <c r="B12" s="4" t="s">
        <v>147</v>
      </c>
      <c r="C12" s="21">
        <v>1000186197</v>
      </c>
      <c r="D12" s="3" t="s">
        <v>166</v>
      </c>
      <c r="E12" s="20">
        <v>1000185288</v>
      </c>
      <c r="F12" s="4" t="s">
        <v>64</v>
      </c>
      <c r="G12" s="21">
        <v>1000189807</v>
      </c>
      <c r="H12" s="3" t="s">
        <v>81</v>
      </c>
      <c r="I12" s="21">
        <v>1000189749</v>
      </c>
      <c r="J12" s="3" t="s">
        <v>154</v>
      </c>
      <c r="K12" s="20" t="s">
        <v>29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  <c r="R12" s="39">
        <v>0</v>
      </c>
      <c r="S12" s="39">
        <v>0</v>
      </c>
      <c r="T12" s="39">
        <v>0</v>
      </c>
      <c r="U12" s="39">
        <v>0</v>
      </c>
      <c r="V12" s="39">
        <v>0</v>
      </c>
      <c r="W12" s="39">
        <v>0</v>
      </c>
      <c r="X12" s="39">
        <v>0</v>
      </c>
      <c r="Y12" s="39">
        <v>0</v>
      </c>
      <c r="Z12" s="39">
        <v>0</v>
      </c>
      <c r="AA12" s="39">
        <v>0</v>
      </c>
      <c r="AB12" s="39">
        <v>0</v>
      </c>
      <c r="AC12" s="39">
        <v>0</v>
      </c>
      <c r="AD12" s="39">
        <v>0</v>
      </c>
      <c r="AE12" s="39">
        <v>0</v>
      </c>
      <c r="AF12" s="39">
        <v>0</v>
      </c>
      <c r="AG12" s="39">
        <v>0</v>
      </c>
      <c r="AH12" s="39"/>
      <c r="AI12" s="39"/>
      <c r="AJ12" s="40"/>
      <c r="AK12" s="39">
        <f t="shared" si="0"/>
        <v>0</v>
      </c>
      <c r="AL12" s="39">
        <f t="shared" si="1"/>
        <v>0</v>
      </c>
      <c r="AM12" s="39">
        <f t="shared" si="2"/>
        <v>0</v>
      </c>
      <c r="AN12" s="39">
        <f t="shared" si="3"/>
        <v>0</v>
      </c>
      <c r="AO12" s="39">
        <f t="shared" si="4"/>
        <v>0</v>
      </c>
    </row>
    <row r="13" spans="1:41" ht="13.05" x14ac:dyDescent="0.3">
      <c r="A13" s="20">
        <v>1000184670</v>
      </c>
      <c r="B13" s="4" t="s">
        <v>147</v>
      </c>
      <c r="C13" s="21">
        <v>1000186197</v>
      </c>
      <c r="D13" s="3" t="s">
        <v>166</v>
      </c>
      <c r="E13" s="20">
        <v>1000185288</v>
      </c>
      <c r="F13" s="4" t="s">
        <v>64</v>
      </c>
      <c r="G13" s="21">
        <v>1000189807</v>
      </c>
      <c r="H13" s="3" t="s">
        <v>81</v>
      </c>
      <c r="I13" s="21">
        <v>1000189749</v>
      </c>
      <c r="J13" s="3" t="s">
        <v>154</v>
      </c>
      <c r="K13" s="20" t="s">
        <v>21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T13" s="39">
        <v>0</v>
      </c>
      <c r="U13" s="39">
        <v>0</v>
      </c>
      <c r="V13" s="39">
        <v>0</v>
      </c>
      <c r="W13" s="39">
        <v>0</v>
      </c>
      <c r="X13" s="39">
        <v>0</v>
      </c>
      <c r="Y13" s="39">
        <v>0</v>
      </c>
      <c r="Z13" s="39">
        <v>0</v>
      </c>
      <c r="AA13" s="39">
        <v>0</v>
      </c>
      <c r="AB13" s="39">
        <v>0</v>
      </c>
      <c r="AC13" s="39">
        <v>0</v>
      </c>
      <c r="AD13" s="39">
        <v>0</v>
      </c>
      <c r="AE13" s="39">
        <v>0</v>
      </c>
      <c r="AF13" s="39">
        <v>0</v>
      </c>
      <c r="AG13" s="39">
        <v>0</v>
      </c>
      <c r="AH13" s="39"/>
      <c r="AI13" s="39"/>
      <c r="AJ13" s="40"/>
      <c r="AK13" s="39">
        <f t="shared" si="0"/>
        <v>0</v>
      </c>
      <c r="AL13" s="39">
        <f t="shared" si="1"/>
        <v>0</v>
      </c>
      <c r="AM13" s="39">
        <f t="shared" si="2"/>
        <v>0</v>
      </c>
      <c r="AN13" s="39">
        <f t="shared" si="3"/>
        <v>0</v>
      </c>
      <c r="AO13" s="39">
        <f t="shared" si="4"/>
        <v>0</v>
      </c>
    </row>
    <row r="14" spans="1:41" ht="13.05" x14ac:dyDescent="0.3">
      <c r="A14" s="20">
        <v>1000184670</v>
      </c>
      <c r="B14" s="4" t="s">
        <v>147</v>
      </c>
      <c r="C14" s="21">
        <v>1000186197</v>
      </c>
      <c r="D14" s="3" t="s">
        <v>166</v>
      </c>
      <c r="E14" s="20">
        <v>1000185288</v>
      </c>
      <c r="F14" s="4" t="s">
        <v>64</v>
      </c>
      <c r="G14" s="21">
        <v>1000189807</v>
      </c>
      <c r="H14" s="3" t="s">
        <v>81</v>
      </c>
      <c r="I14" s="21">
        <v>1000189749</v>
      </c>
      <c r="J14" s="3" t="s">
        <v>154</v>
      </c>
      <c r="K14" s="20" t="s">
        <v>20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  <c r="R14" s="39">
        <v>0</v>
      </c>
      <c r="S14" s="39">
        <v>0</v>
      </c>
      <c r="T14" s="39">
        <v>0</v>
      </c>
      <c r="U14" s="39">
        <v>0</v>
      </c>
      <c r="V14" s="39">
        <v>0</v>
      </c>
      <c r="W14" s="39">
        <v>0</v>
      </c>
      <c r="X14" s="39">
        <v>0</v>
      </c>
      <c r="Y14" s="39">
        <v>0</v>
      </c>
      <c r="Z14" s="39">
        <v>0</v>
      </c>
      <c r="AA14" s="39">
        <v>0</v>
      </c>
      <c r="AB14" s="39">
        <v>0</v>
      </c>
      <c r="AC14" s="39">
        <v>0</v>
      </c>
      <c r="AD14" s="39">
        <v>0</v>
      </c>
      <c r="AE14" s="39">
        <v>0</v>
      </c>
      <c r="AF14" s="39">
        <v>0</v>
      </c>
      <c r="AG14" s="39">
        <v>0</v>
      </c>
      <c r="AH14" s="39"/>
      <c r="AI14" s="39"/>
      <c r="AJ14" s="40"/>
      <c r="AK14" s="39">
        <f t="shared" si="0"/>
        <v>0</v>
      </c>
      <c r="AL14" s="39">
        <f t="shared" si="1"/>
        <v>0</v>
      </c>
      <c r="AM14" s="39">
        <f t="shared" si="2"/>
        <v>0</v>
      </c>
      <c r="AN14" s="39">
        <f t="shared" si="3"/>
        <v>0</v>
      </c>
      <c r="AO14" s="39">
        <f t="shared" si="4"/>
        <v>0</v>
      </c>
    </row>
    <row r="15" spans="1:41" ht="13.05" x14ac:dyDescent="0.3">
      <c r="A15" s="20">
        <v>1000184670</v>
      </c>
      <c r="B15" s="4" t="s">
        <v>147</v>
      </c>
      <c r="C15" s="21">
        <v>1000186197</v>
      </c>
      <c r="D15" s="3" t="s">
        <v>166</v>
      </c>
      <c r="E15" s="20">
        <v>1000185288</v>
      </c>
      <c r="F15" s="4" t="s">
        <v>64</v>
      </c>
      <c r="G15" s="21">
        <v>1000189807</v>
      </c>
      <c r="H15" s="3" t="s">
        <v>81</v>
      </c>
      <c r="I15" s="21">
        <v>1000189749</v>
      </c>
      <c r="J15" s="3" t="s">
        <v>154</v>
      </c>
      <c r="K15" s="20" t="s">
        <v>22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  <c r="R15" s="39">
        <v>0</v>
      </c>
      <c r="S15" s="39">
        <v>0</v>
      </c>
      <c r="T15" s="39">
        <v>0</v>
      </c>
      <c r="U15" s="39">
        <v>0</v>
      </c>
      <c r="V15" s="39">
        <v>0</v>
      </c>
      <c r="W15" s="39">
        <v>0</v>
      </c>
      <c r="X15" s="39">
        <v>0</v>
      </c>
      <c r="Y15" s="39">
        <v>0</v>
      </c>
      <c r="Z15" s="39">
        <v>0</v>
      </c>
      <c r="AA15" s="39">
        <v>0</v>
      </c>
      <c r="AB15" s="39">
        <v>0</v>
      </c>
      <c r="AC15" s="39">
        <v>0</v>
      </c>
      <c r="AD15" s="39">
        <v>0</v>
      </c>
      <c r="AE15" s="39">
        <v>0</v>
      </c>
      <c r="AF15" s="39">
        <v>0</v>
      </c>
      <c r="AG15" s="39">
        <v>0</v>
      </c>
      <c r="AH15" s="39"/>
      <c r="AI15" s="39"/>
      <c r="AJ15" s="40"/>
      <c r="AK15" s="39">
        <f t="shared" si="0"/>
        <v>0</v>
      </c>
      <c r="AL15" s="39">
        <f t="shared" si="1"/>
        <v>0</v>
      </c>
      <c r="AM15" s="39">
        <f t="shared" si="2"/>
        <v>0</v>
      </c>
      <c r="AN15" s="39">
        <f t="shared" si="3"/>
        <v>0</v>
      </c>
      <c r="AO15" s="39">
        <f t="shared" si="4"/>
        <v>0</v>
      </c>
    </row>
    <row r="16" spans="1:41" ht="13.05" x14ac:dyDescent="0.3">
      <c r="A16" s="20">
        <v>1000184670</v>
      </c>
      <c r="B16" s="4" t="s">
        <v>147</v>
      </c>
      <c r="C16" s="21">
        <v>1000186197</v>
      </c>
      <c r="D16" s="3" t="s">
        <v>166</v>
      </c>
      <c r="E16" s="20">
        <v>1000185288</v>
      </c>
      <c r="F16" s="4" t="s">
        <v>64</v>
      </c>
      <c r="G16" s="21">
        <v>1000189807</v>
      </c>
      <c r="H16" s="3" t="s">
        <v>81</v>
      </c>
      <c r="I16" s="21">
        <v>1000189749</v>
      </c>
      <c r="J16" s="3" t="s">
        <v>154</v>
      </c>
      <c r="K16" s="20" t="s">
        <v>23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  <c r="R16" s="39">
        <v>0</v>
      </c>
      <c r="S16" s="39">
        <v>0</v>
      </c>
      <c r="T16" s="39">
        <v>0</v>
      </c>
      <c r="U16" s="39">
        <v>0</v>
      </c>
      <c r="V16" s="39">
        <v>0</v>
      </c>
      <c r="W16" s="39">
        <v>0</v>
      </c>
      <c r="X16" s="39">
        <v>0</v>
      </c>
      <c r="Y16" s="39">
        <v>0</v>
      </c>
      <c r="Z16" s="39">
        <v>0</v>
      </c>
      <c r="AA16" s="39">
        <v>0</v>
      </c>
      <c r="AB16" s="39">
        <v>0</v>
      </c>
      <c r="AC16" s="39">
        <v>0</v>
      </c>
      <c r="AD16" s="39">
        <v>0</v>
      </c>
      <c r="AE16" s="39">
        <v>0</v>
      </c>
      <c r="AF16" s="39">
        <v>0</v>
      </c>
      <c r="AG16" s="39">
        <v>0</v>
      </c>
      <c r="AH16" s="39"/>
      <c r="AI16" s="39"/>
      <c r="AJ16" s="40"/>
      <c r="AK16" s="39">
        <f t="shared" si="0"/>
        <v>0</v>
      </c>
      <c r="AL16" s="39">
        <f t="shared" si="1"/>
        <v>0</v>
      </c>
      <c r="AM16" s="39">
        <f t="shared" si="2"/>
        <v>0</v>
      </c>
      <c r="AN16" s="39">
        <f t="shared" si="3"/>
        <v>0</v>
      </c>
      <c r="AO16" s="39">
        <f t="shared" si="4"/>
        <v>0</v>
      </c>
    </row>
    <row r="17" spans="1:41" ht="13.05" x14ac:dyDescent="0.3">
      <c r="A17" s="20">
        <v>1000184670</v>
      </c>
      <c r="B17" s="4" t="s">
        <v>147</v>
      </c>
      <c r="C17" s="21">
        <v>1000186197</v>
      </c>
      <c r="D17" s="3" t="s">
        <v>166</v>
      </c>
      <c r="E17" s="20">
        <v>1000185288</v>
      </c>
      <c r="F17" s="4" t="s">
        <v>64</v>
      </c>
      <c r="G17" s="21">
        <v>1000189807</v>
      </c>
      <c r="H17" s="3" t="s">
        <v>81</v>
      </c>
      <c r="I17" s="21">
        <v>1000189749</v>
      </c>
      <c r="J17" s="3" t="s">
        <v>154</v>
      </c>
      <c r="K17" s="20" t="s">
        <v>28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  <c r="R17" s="39">
        <v>0</v>
      </c>
      <c r="S17" s="39">
        <v>0</v>
      </c>
      <c r="T17" s="39">
        <v>0</v>
      </c>
      <c r="U17" s="39">
        <v>0</v>
      </c>
      <c r="V17" s="39">
        <v>0</v>
      </c>
      <c r="W17" s="39">
        <v>0</v>
      </c>
      <c r="X17" s="39">
        <v>0</v>
      </c>
      <c r="Y17" s="39">
        <v>0</v>
      </c>
      <c r="Z17" s="39">
        <v>0</v>
      </c>
      <c r="AA17" s="39">
        <v>0</v>
      </c>
      <c r="AB17" s="39">
        <v>0</v>
      </c>
      <c r="AC17" s="39">
        <v>0</v>
      </c>
      <c r="AD17" s="39">
        <v>0</v>
      </c>
      <c r="AE17" s="39">
        <v>0</v>
      </c>
      <c r="AF17" s="39">
        <v>0</v>
      </c>
      <c r="AG17" s="39">
        <v>0</v>
      </c>
      <c r="AH17" s="39"/>
      <c r="AI17" s="39"/>
      <c r="AJ17" s="40"/>
      <c r="AK17" s="39">
        <f t="shared" si="0"/>
        <v>0</v>
      </c>
      <c r="AL17" s="39">
        <f t="shared" si="1"/>
        <v>0</v>
      </c>
      <c r="AM17" s="39">
        <f t="shared" si="2"/>
        <v>0</v>
      </c>
      <c r="AN17" s="39">
        <f t="shared" si="3"/>
        <v>0</v>
      </c>
      <c r="AO17" s="39">
        <f t="shared" si="4"/>
        <v>0</v>
      </c>
    </row>
    <row r="18" spans="1:41" ht="13.05" x14ac:dyDescent="0.3">
      <c r="A18" s="20">
        <v>1000184670</v>
      </c>
      <c r="B18" s="4" t="s">
        <v>147</v>
      </c>
      <c r="C18" s="21">
        <v>1000186197</v>
      </c>
      <c r="D18" s="3" t="s">
        <v>166</v>
      </c>
      <c r="E18" s="20">
        <v>1000185288</v>
      </c>
      <c r="F18" s="4" t="s">
        <v>64</v>
      </c>
      <c r="G18" s="21">
        <v>1000189807</v>
      </c>
      <c r="H18" s="3" t="s">
        <v>81</v>
      </c>
      <c r="I18" s="21">
        <v>1000189749</v>
      </c>
      <c r="J18" s="3" t="s">
        <v>154</v>
      </c>
      <c r="K18" s="20" t="s">
        <v>26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  <c r="R18" s="39">
        <v>0</v>
      </c>
      <c r="S18" s="39">
        <v>0</v>
      </c>
      <c r="T18" s="39">
        <v>0</v>
      </c>
      <c r="U18" s="39">
        <v>0</v>
      </c>
      <c r="V18" s="39">
        <v>0</v>
      </c>
      <c r="W18" s="39">
        <v>0</v>
      </c>
      <c r="X18" s="39">
        <v>0</v>
      </c>
      <c r="Y18" s="39">
        <v>0</v>
      </c>
      <c r="Z18" s="39">
        <v>0</v>
      </c>
      <c r="AA18" s="39">
        <v>0</v>
      </c>
      <c r="AB18" s="39">
        <v>0</v>
      </c>
      <c r="AC18" s="39">
        <v>0</v>
      </c>
      <c r="AD18" s="39">
        <v>0</v>
      </c>
      <c r="AE18" s="39">
        <v>0</v>
      </c>
      <c r="AF18" s="39">
        <v>0</v>
      </c>
      <c r="AG18" s="39">
        <v>0</v>
      </c>
      <c r="AH18" s="39"/>
      <c r="AI18" s="39"/>
      <c r="AJ18" s="40"/>
      <c r="AK18" s="39">
        <f t="shared" si="0"/>
        <v>0</v>
      </c>
      <c r="AL18" s="39">
        <f t="shared" si="1"/>
        <v>0</v>
      </c>
      <c r="AM18" s="39">
        <f t="shared" si="2"/>
        <v>0</v>
      </c>
      <c r="AN18" s="39">
        <f t="shared" si="3"/>
        <v>0</v>
      </c>
      <c r="AO18" s="39">
        <f t="shared" si="4"/>
        <v>0</v>
      </c>
    </row>
    <row r="19" spans="1:41" ht="13.05" x14ac:dyDescent="0.3">
      <c r="A19" s="20">
        <v>1000184670</v>
      </c>
      <c r="B19" s="4" t="s">
        <v>147</v>
      </c>
      <c r="C19" s="21">
        <v>1000186197</v>
      </c>
      <c r="D19" s="3" t="s">
        <v>166</v>
      </c>
      <c r="E19" s="20">
        <v>1000185288</v>
      </c>
      <c r="F19" s="4" t="s">
        <v>64</v>
      </c>
      <c r="G19" s="21">
        <v>1000189807</v>
      </c>
      <c r="H19" s="3" t="s">
        <v>81</v>
      </c>
      <c r="I19" s="21">
        <v>1000189749</v>
      </c>
      <c r="J19" s="3" t="s">
        <v>154</v>
      </c>
      <c r="K19" s="20" t="s">
        <v>27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  <c r="R19" s="39">
        <v>0</v>
      </c>
      <c r="S19" s="39">
        <v>0</v>
      </c>
      <c r="T19" s="39">
        <v>0</v>
      </c>
      <c r="U19" s="39">
        <v>0</v>
      </c>
      <c r="V19" s="39">
        <v>0</v>
      </c>
      <c r="W19" s="39">
        <v>0</v>
      </c>
      <c r="X19" s="39">
        <v>0</v>
      </c>
      <c r="Y19" s="39">
        <v>0</v>
      </c>
      <c r="Z19" s="39">
        <v>0</v>
      </c>
      <c r="AA19" s="39">
        <v>0</v>
      </c>
      <c r="AB19" s="39">
        <v>0</v>
      </c>
      <c r="AC19" s="39">
        <v>0</v>
      </c>
      <c r="AD19" s="39">
        <v>0</v>
      </c>
      <c r="AE19" s="39">
        <v>0</v>
      </c>
      <c r="AF19" s="39">
        <v>0</v>
      </c>
      <c r="AG19" s="39">
        <v>0</v>
      </c>
      <c r="AH19" s="39"/>
      <c r="AI19" s="39"/>
      <c r="AJ19" s="40"/>
      <c r="AK19" s="39">
        <f t="shared" si="0"/>
        <v>0</v>
      </c>
      <c r="AL19" s="39">
        <f t="shared" si="1"/>
        <v>0</v>
      </c>
      <c r="AM19" s="39">
        <f t="shared" si="2"/>
        <v>0</v>
      </c>
      <c r="AN19" s="39">
        <f t="shared" si="3"/>
        <v>0</v>
      </c>
      <c r="AO19" s="39">
        <f t="shared" si="4"/>
        <v>0</v>
      </c>
    </row>
    <row r="20" spans="1:41" ht="13.05" x14ac:dyDescent="0.3">
      <c r="A20" s="20">
        <v>1000184670</v>
      </c>
      <c r="B20" s="4" t="s">
        <v>147</v>
      </c>
      <c r="C20" s="21">
        <v>1000186197</v>
      </c>
      <c r="D20" s="3" t="s">
        <v>166</v>
      </c>
      <c r="E20" s="20">
        <v>1000185288</v>
      </c>
      <c r="F20" s="4" t="s">
        <v>64</v>
      </c>
      <c r="G20" s="21">
        <v>1000189807</v>
      </c>
      <c r="H20" s="3" t="s">
        <v>81</v>
      </c>
      <c r="I20" s="21">
        <v>1000189749</v>
      </c>
      <c r="J20" s="3" t="s">
        <v>154</v>
      </c>
      <c r="K20" s="20" t="s">
        <v>25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  <c r="R20" s="39">
        <v>0</v>
      </c>
      <c r="S20" s="39">
        <v>0</v>
      </c>
      <c r="T20" s="39">
        <v>0</v>
      </c>
      <c r="U20" s="39">
        <v>0</v>
      </c>
      <c r="V20" s="39">
        <v>0</v>
      </c>
      <c r="W20" s="39">
        <v>0</v>
      </c>
      <c r="X20" s="39">
        <v>0</v>
      </c>
      <c r="Y20" s="39">
        <v>0</v>
      </c>
      <c r="Z20" s="39">
        <v>0</v>
      </c>
      <c r="AA20" s="39">
        <v>0</v>
      </c>
      <c r="AB20" s="39">
        <v>0</v>
      </c>
      <c r="AC20" s="39">
        <v>0</v>
      </c>
      <c r="AD20" s="39">
        <v>0</v>
      </c>
      <c r="AE20" s="39">
        <v>0</v>
      </c>
      <c r="AF20" s="39">
        <v>0</v>
      </c>
      <c r="AG20" s="39">
        <v>0</v>
      </c>
      <c r="AH20" s="39"/>
      <c r="AI20" s="39"/>
      <c r="AJ20" s="40"/>
      <c r="AK20" s="39">
        <f t="shared" si="0"/>
        <v>0</v>
      </c>
      <c r="AL20" s="39">
        <f t="shared" si="1"/>
        <v>0</v>
      </c>
      <c r="AM20" s="39">
        <f t="shared" si="2"/>
        <v>0</v>
      </c>
      <c r="AN20" s="39">
        <f t="shared" si="3"/>
        <v>0</v>
      </c>
      <c r="AO20" s="39">
        <f t="shared" si="4"/>
        <v>0</v>
      </c>
    </row>
    <row r="21" spans="1:41" ht="13.05" x14ac:dyDescent="0.3">
      <c r="A21" s="20">
        <v>1000184670</v>
      </c>
      <c r="B21" s="4" t="s">
        <v>147</v>
      </c>
      <c r="C21" s="21">
        <v>1000186197</v>
      </c>
      <c r="D21" s="3" t="s">
        <v>166</v>
      </c>
      <c r="E21" s="20">
        <v>1000198600</v>
      </c>
      <c r="F21" s="4" t="s">
        <v>148</v>
      </c>
      <c r="G21" s="21">
        <v>1000198601</v>
      </c>
      <c r="H21" s="3" t="s">
        <v>149</v>
      </c>
      <c r="I21" s="21">
        <v>1000189750</v>
      </c>
      <c r="J21" s="3" t="s">
        <v>136</v>
      </c>
      <c r="K21" s="20" t="s">
        <v>124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  <c r="R21" s="39">
        <v>0</v>
      </c>
      <c r="S21" s="39">
        <v>0</v>
      </c>
      <c r="T21" s="39">
        <v>0</v>
      </c>
      <c r="U21" s="39">
        <v>0</v>
      </c>
      <c r="V21" s="39">
        <v>0</v>
      </c>
      <c r="W21" s="39">
        <v>0</v>
      </c>
      <c r="X21" s="39">
        <v>0</v>
      </c>
      <c r="Y21" s="39">
        <v>0</v>
      </c>
      <c r="Z21" s="39">
        <v>0</v>
      </c>
      <c r="AA21" s="39">
        <v>0</v>
      </c>
      <c r="AB21" s="39">
        <v>0</v>
      </c>
      <c r="AC21" s="39">
        <v>0</v>
      </c>
      <c r="AD21" s="39">
        <v>0</v>
      </c>
      <c r="AE21" s="39">
        <v>0</v>
      </c>
      <c r="AF21" s="39">
        <v>0</v>
      </c>
      <c r="AG21" s="39">
        <v>0</v>
      </c>
      <c r="AH21" s="39"/>
      <c r="AI21" s="39"/>
      <c r="AJ21" s="40"/>
      <c r="AK21" s="39">
        <f t="shared" si="0"/>
        <v>0</v>
      </c>
      <c r="AL21" s="39">
        <f t="shared" si="1"/>
        <v>0</v>
      </c>
      <c r="AM21" s="39">
        <f t="shared" si="2"/>
        <v>0</v>
      </c>
      <c r="AN21" s="39">
        <f t="shared" si="3"/>
        <v>0</v>
      </c>
      <c r="AO21" s="39">
        <f t="shared" si="4"/>
        <v>0</v>
      </c>
    </row>
    <row r="22" spans="1:41" ht="13.05" x14ac:dyDescent="0.3">
      <c r="A22" s="20">
        <v>1000184670</v>
      </c>
      <c r="B22" s="4" t="s">
        <v>147</v>
      </c>
      <c r="C22" s="21">
        <v>1000186197</v>
      </c>
      <c r="D22" s="3" t="s">
        <v>166</v>
      </c>
      <c r="E22" s="20">
        <v>1000198600</v>
      </c>
      <c r="F22" s="4" t="s">
        <v>148</v>
      </c>
      <c r="G22" s="21">
        <v>1000198601</v>
      </c>
      <c r="H22" s="3" t="s">
        <v>149</v>
      </c>
      <c r="I22" s="21">
        <v>1000189750</v>
      </c>
      <c r="J22" s="3" t="s">
        <v>136</v>
      </c>
      <c r="K22" s="20" t="s">
        <v>13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39">
        <v>0</v>
      </c>
      <c r="T22" s="39">
        <v>0</v>
      </c>
      <c r="U22" s="39">
        <v>0</v>
      </c>
      <c r="V22" s="39">
        <v>0</v>
      </c>
      <c r="W22" s="39">
        <v>0</v>
      </c>
      <c r="X22" s="39">
        <v>0</v>
      </c>
      <c r="Y22" s="39">
        <v>0</v>
      </c>
      <c r="Z22" s="39">
        <v>0</v>
      </c>
      <c r="AA22" s="39">
        <v>0</v>
      </c>
      <c r="AB22" s="39">
        <v>0</v>
      </c>
      <c r="AC22" s="39">
        <v>0</v>
      </c>
      <c r="AD22" s="39">
        <v>0</v>
      </c>
      <c r="AE22" s="39">
        <v>0</v>
      </c>
      <c r="AF22" s="39">
        <v>0</v>
      </c>
      <c r="AG22" s="39">
        <v>0</v>
      </c>
      <c r="AH22" s="39"/>
      <c r="AI22" s="39"/>
      <c r="AJ22" s="40"/>
      <c r="AK22" s="39">
        <f t="shared" si="0"/>
        <v>0</v>
      </c>
      <c r="AL22" s="39">
        <f t="shared" si="1"/>
        <v>0</v>
      </c>
      <c r="AM22" s="39">
        <f t="shared" si="2"/>
        <v>0</v>
      </c>
      <c r="AN22" s="39">
        <f t="shared" si="3"/>
        <v>0</v>
      </c>
      <c r="AO22" s="39">
        <f t="shared" si="4"/>
        <v>0</v>
      </c>
    </row>
    <row r="23" spans="1:41" ht="13.05" x14ac:dyDescent="0.3">
      <c r="A23" s="20">
        <v>1000184670</v>
      </c>
      <c r="B23" s="4" t="s">
        <v>147</v>
      </c>
      <c r="C23" s="21">
        <v>1000186197</v>
      </c>
      <c r="D23" s="3" t="s">
        <v>166</v>
      </c>
      <c r="E23" s="20">
        <v>1000198600</v>
      </c>
      <c r="F23" s="4" t="s">
        <v>148</v>
      </c>
      <c r="G23" s="21">
        <v>1000198601</v>
      </c>
      <c r="H23" s="3" t="s">
        <v>149</v>
      </c>
      <c r="I23" s="21">
        <v>1000189750</v>
      </c>
      <c r="J23" s="3" t="s">
        <v>136</v>
      </c>
      <c r="K23" s="20" t="s">
        <v>14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T23" s="39">
        <v>0</v>
      </c>
      <c r="U23" s="39">
        <v>0</v>
      </c>
      <c r="V23" s="39">
        <v>0</v>
      </c>
      <c r="W23" s="39">
        <v>0</v>
      </c>
      <c r="X23" s="39">
        <v>0</v>
      </c>
      <c r="Y23" s="39">
        <v>0</v>
      </c>
      <c r="Z23" s="39">
        <v>0</v>
      </c>
      <c r="AA23" s="39">
        <v>0</v>
      </c>
      <c r="AB23" s="39">
        <v>0</v>
      </c>
      <c r="AC23" s="39">
        <v>0</v>
      </c>
      <c r="AD23" s="39">
        <v>0</v>
      </c>
      <c r="AE23" s="39">
        <v>0</v>
      </c>
      <c r="AF23" s="39">
        <v>169.3</v>
      </c>
      <c r="AG23" s="39">
        <v>0</v>
      </c>
      <c r="AH23" s="39"/>
      <c r="AI23" s="39"/>
      <c r="AJ23" s="40"/>
      <c r="AK23" s="39">
        <f t="shared" si="0"/>
        <v>0</v>
      </c>
      <c r="AL23" s="39">
        <f t="shared" si="1"/>
        <v>14.108333333333334</v>
      </c>
      <c r="AM23" s="39">
        <f t="shared" si="2"/>
        <v>28.216666666666669</v>
      </c>
      <c r="AN23" s="39">
        <f t="shared" si="3"/>
        <v>16.93</v>
      </c>
      <c r="AO23" s="39">
        <f t="shared" si="4"/>
        <v>169.3</v>
      </c>
    </row>
    <row r="24" spans="1:41" ht="13.05" x14ac:dyDescent="0.3">
      <c r="A24" s="20">
        <v>1000184670</v>
      </c>
      <c r="B24" s="4" t="s">
        <v>147</v>
      </c>
      <c r="C24" s="21">
        <v>1000186197</v>
      </c>
      <c r="D24" s="3" t="s">
        <v>166</v>
      </c>
      <c r="E24" s="20">
        <v>1000198600</v>
      </c>
      <c r="F24" s="4" t="s">
        <v>148</v>
      </c>
      <c r="G24" s="21">
        <v>1000198601</v>
      </c>
      <c r="H24" s="3" t="s">
        <v>149</v>
      </c>
      <c r="I24" s="21">
        <v>1000189750</v>
      </c>
      <c r="J24" s="3" t="s">
        <v>136</v>
      </c>
      <c r="K24" s="20" t="s">
        <v>16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0</v>
      </c>
      <c r="AF24" s="39">
        <v>265.83</v>
      </c>
      <c r="AG24" s="39">
        <v>0</v>
      </c>
      <c r="AH24" s="39"/>
      <c r="AI24" s="39"/>
      <c r="AJ24" s="40"/>
      <c r="AK24" s="39">
        <f t="shared" si="0"/>
        <v>0</v>
      </c>
      <c r="AL24" s="39">
        <f t="shared" si="1"/>
        <v>22.1525</v>
      </c>
      <c r="AM24" s="39">
        <f t="shared" si="2"/>
        <v>44.305</v>
      </c>
      <c r="AN24" s="39">
        <f t="shared" si="3"/>
        <v>26.582999999999998</v>
      </c>
      <c r="AO24" s="39">
        <f t="shared" si="4"/>
        <v>265.83</v>
      </c>
    </row>
    <row r="25" spans="1:41" ht="13.05" x14ac:dyDescent="0.3">
      <c r="A25" s="20">
        <v>1000184670</v>
      </c>
      <c r="B25" s="4" t="s">
        <v>147</v>
      </c>
      <c r="C25" s="21">
        <v>1000186197</v>
      </c>
      <c r="D25" s="3" t="s">
        <v>166</v>
      </c>
      <c r="E25" s="20">
        <v>1000198600</v>
      </c>
      <c r="F25" s="4" t="s">
        <v>148</v>
      </c>
      <c r="G25" s="21">
        <v>1000198601</v>
      </c>
      <c r="H25" s="3" t="s">
        <v>149</v>
      </c>
      <c r="I25" s="21">
        <v>1000189750</v>
      </c>
      <c r="J25" s="3" t="s">
        <v>136</v>
      </c>
      <c r="K25" s="20" t="s">
        <v>15</v>
      </c>
      <c r="L25" s="39">
        <v>0</v>
      </c>
      <c r="M25" s="39">
        <v>0</v>
      </c>
      <c r="N25" s="39">
        <v>0</v>
      </c>
      <c r="O25" s="39">
        <v>0</v>
      </c>
      <c r="P25" s="39">
        <v>0</v>
      </c>
      <c r="Q25" s="39">
        <v>0</v>
      </c>
      <c r="R25" s="39">
        <v>0</v>
      </c>
      <c r="S25" s="39">
        <v>0</v>
      </c>
      <c r="T25" s="39">
        <v>0</v>
      </c>
      <c r="U25" s="39">
        <v>0</v>
      </c>
      <c r="V25" s="39">
        <v>0</v>
      </c>
      <c r="W25" s="39">
        <v>0</v>
      </c>
      <c r="X25" s="39">
        <v>0</v>
      </c>
      <c r="Y25" s="39">
        <v>0</v>
      </c>
      <c r="Z25" s="39">
        <v>0</v>
      </c>
      <c r="AA25" s="39">
        <v>0</v>
      </c>
      <c r="AB25" s="39">
        <v>0</v>
      </c>
      <c r="AC25" s="39">
        <v>0</v>
      </c>
      <c r="AD25" s="39">
        <v>0</v>
      </c>
      <c r="AE25" s="39">
        <v>0</v>
      </c>
      <c r="AF25" s="39">
        <v>42.31</v>
      </c>
      <c r="AG25" s="39">
        <v>0</v>
      </c>
      <c r="AH25" s="39"/>
      <c r="AI25" s="39"/>
      <c r="AJ25" s="40"/>
      <c r="AK25" s="39">
        <f t="shared" si="0"/>
        <v>0</v>
      </c>
      <c r="AL25" s="39">
        <f t="shared" si="1"/>
        <v>3.5258333333333334</v>
      </c>
      <c r="AM25" s="39">
        <f t="shared" si="2"/>
        <v>7.0516666666666667</v>
      </c>
      <c r="AN25" s="39">
        <f t="shared" si="3"/>
        <v>4.2309999999999999</v>
      </c>
      <c r="AO25" s="39">
        <f t="shared" si="4"/>
        <v>42.31</v>
      </c>
    </row>
    <row r="26" spans="1:41" ht="13.05" x14ac:dyDescent="0.3">
      <c r="A26" s="20">
        <v>1000184670</v>
      </c>
      <c r="B26" s="4" t="s">
        <v>147</v>
      </c>
      <c r="C26" s="21">
        <v>1000186197</v>
      </c>
      <c r="D26" s="3" t="s">
        <v>166</v>
      </c>
      <c r="E26" s="20">
        <v>1000198600</v>
      </c>
      <c r="F26" s="4" t="s">
        <v>148</v>
      </c>
      <c r="G26" s="21">
        <v>1000198601</v>
      </c>
      <c r="H26" s="3" t="s">
        <v>149</v>
      </c>
      <c r="I26" s="21">
        <v>1000189750</v>
      </c>
      <c r="J26" s="3" t="s">
        <v>136</v>
      </c>
      <c r="K26" s="20" t="s">
        <v>33</v>
      </c>
      <c r="L26" s="39">
        <v>0</v>
      </c>
      <c r="M26" s="39">
        <v>0</v>
      </c>
      <c r="N26" s="39">
        <v>0</v>
      </c>
      <c r="O26" s="39">
        <v>0</v>
      </c>
      <c r="P26" s="39">
        <v>0</v>
      </c>
      <c r="Q26" s="39">
        <v>0</v>
      </c>
      <c r="R26" s="39">
        <v>0</v>
      </c>
      <c r="S26" s="39">
        <v>0</v>
      </c>
      <c r="T26" s="39">
        <v>0</v>
      </c>
      <c r="U26" s="39">
        <v>0</v>
      </c>
      <c r="V26" s="39">
        <v>0</v>
      </c>
      <c r="W26" s="39">
        <v>0</v>
      </c>
      <c r="X26" s="39">
        <v>0</v>
      </c>
      <c r="Y26" s="39">
        <v>0</v>
      </c>
      <c r="Z26" s="39">
        <v>0</v>
      </c>
      <c r="AA26" s="39">
        <v>0</v>
      </c>
      <c r="AB26" s="39">
        <v>0</v>
      </c>
      <c r="AC26" s="39">
        <v>0</v>
      </c>
      <c r="AD26" s="39">
        <v>0</v>
      </c>
      <c r="AE26" s="39">
        <v>0</v>
      </c>
      <c r="AF26" s="39">
        <v>0</v>
      </c>
      <c r="AG26" s="39">
        <v>0</v>
      </c>
      <c r="AH26" s="39"/>
      <c r="AI26" s="39"/>
      <c r="AJ26" s="40"/>
      <c r="AK26" s="39">
        <f t="shared" si="0"/>
        <v>0</v>
      </c>
      <c r="AL26" s="39">
        <f t="shared" si="1"/>
        <v>0</v>
      </c>
      <c r="AM26" s="39">
        <f t="shared" si="2"/>
        <v>0</v>
      </c>
      <c r="AN26" s="39">
        <f t="shared" si="3"/>
        <v>0</v>
      </c>
      <c r="AO26" s="39">
        <f t="shared" si="4"/>
        <v>0</v>
      </c>
    </row>
    <row r="27" spans="1:41" ht="13.05" x14ac:dyDescent="0.3">
      <c r="A27" s="20">
        <v>1000184670</v>
      </c>
      <c r="B27" s="4" t="s">
        <v>147</v>
      </c>
      <c r="C27" s="21">
        <v>1000186197</v>
      </c>
      <c r="D27" s="3" t="s">
        <v>166</v>
      </c>
      <c r="E27" s="20">
        <v>1000198600</v>
      </c>
      <c r="F27" s="4" t="s">
        <v>148</v>
      </c>
      <c r="G27" s="21">
        <v>1000198601</v>
      </c>
      <c r="H27" s="3" t="s">
        <v>149</v>
      </c>
      <c r="I27" s="21">
        <v>1000189750</v>
      </c>
      <c r="J27" s="3" t="s">
        <v>136</v>
      </c>
      <c r="K27" s="20" t="s">
        <v>19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0</v>
      </c>
      <c r="R27" s="39">
        <v>0</v>
      </c>
      <c r="S27" s="39">
        <v>0</v>
      </c>
      <c r="T27" s="39">
        <v>0</v>
      </c>
      <c r="U27" s="39">
        <v>0</v>
      </c>
      <c r="V27" s="39">
        <v>0</v>
      </c>
      <c r="W27" s="39">
        <v>0</v>
      </c>
      <c r="X27" s="39">
        <v>0</v>
      </c>
      <c r="Y27" s="39">
        <v>0</v>
      </c>
      <c r="Z27" s="39">
        <v>0</v>
      </c>
      <c r="AA27" s="39">
        <v>0</v>
      </c>
      <c r="AB27" s="39">
        <v>0</v>
      </c>
      <c r="AC27" s="39">
        <v>0</v>
      </c>
      <c r="AD27" s="39">
        <v>0</v>
      </c>
      <c r="AE27" s="39">
        <v>0</v>
      </c>
      <c r="AF27" s="39">
        <v>81.62</v>
      </c>
      <c r="AG27" s="39">
        <v>0</v>
      </c>
      <c r="AH27" s="39"/>
      <c r="AI27" s="39"/>
      <c r="AJ27" s="40"/>
      <c r="AK27" s="39">
        <f t="shared" si="0"/>
        <v>0</v>
      </c>
      <c r="AL27" s="39">
        <f t="shared" si="1"/>
        <v>6.8016666666666667</v>
      </c>
      <c r="AM27" s="39">
        <f t="shared" si="2"/>
        <v>13.603333333333333</v>
      </c>
      <c r="AN27" s="39">
        <f t="shared" si="3"/>
        <v>8.1620000000000008</v>
      </c>
      <c r="AO27" s="39">
        <f t="shared" si="4"/>
        <v>81.62</v>
      </c>
    </row>
    <row r="28" spans="1:41" ht="13.05" x14ac:dyDescent="0.3">
      <c r="A28" s="20">
        <v>1000184670</v>
      </c>
      <c r="B28" s="4" t="s">
        <v>147</v>
      </c>
      <c r="C28" s="21">
        <v>1000186197</v>
      </c>
      <c r="D28" s="3" t="s">
        <v>166</v>
      </c>
      <c r="E28" s="20">
        <v>1000198600</v>
      </c>
      <c r="F28" s="4" t="s">
        <v>148</v>
      </c>
      <c r="G28" s="21">
        <v>1000198601</v>
      </c>
      <c r="H28" s="3" t="s">
        <v>149</v>
      </c>
      <c r="I28" s="21">
        <v>1000189750</v>
      </c>
      <c r="J28" s="3" t="s">
        <v>136</v>
      </c>
      <c r="K28" s="20" t="s">
        <v>17</v>
      </c>
      <c r="L28" s="39">
        <v>0</v>
      </c>
      <c r="M28" s="39">
        <v>0</v>
      </c>
      <c r="N28" s="39">
        <v>0</v>
      </c>
      <c r="O28" s="39">
        <v>0</v>
      </c>
      <c r="P28" s="39">
        <v>0</v>
      </c>
      <c r="Q28" s="39">
        <v>0</v>
      </c>
      <c r="R28" s="39">
        <v>0</v>
      </c>
      <c r="S28" s="39">
        <v>0</v>
      </c>
      <c r="T28" s="39">
        <v>0</v>
      </c>
      <c r="U28" s="39">
        <v>0</v>
      </c>
      <c r="V28" s="39">
        <v>0</v>
      </c>
      <c r="W28" s="39">
        <v>0</v>
      </c>
      <c r="X28" s="39">
        <v>0</v>
      </c>
      <c r="Y28" s="39">
        <v>0</v>
      </c>
      <c r="Z28" s="39">
        <v>0</v>
      </c>
      <c r="AA28" s="39">
        <v>0</v>
      </c>
      <c r="AB28" s="39">
        <v>0</v>
      </c>
      <c r="AC28" s="39">
        <v>0</v>
      </c>
      <c r="AD28" s="39">
        <v>0</v>
      </c>
      <c r="AE28" s="39">
        <v>0</v>
      </c>
      <c r="AF28" s="39">
        <v>0</v>
      </c>
      <c r="AG28" s="39">
        <v>0</v>
      </c>
      <c r="AH28" s="39"/>
      <c r="AI28" s="39"/>
      <c r="AJ28" s="40"/>
      <c r="AK28" s="39">
        <f t="shared" si="0"/>
        <v>0</v>
      </c>
      <c r="AL28" s="39">
        <f t="shared" si="1"/>
        <v>0</v>
      </c>
      <c r="AM28" s="39">
        <f t="shared" si="2"/>
        <v>0</v>
      </c>
      <c r="AN28" s="39">
        <f t="shared" si="3"/>
        <v>0</v>
      </c>
      <c r="AO28" s="39">
        <f t="shared" si="4"/>
        <v>0</v>
      </c>
    </row>
    <row r="29" spans="1:41" ht="13.05" x14ac:dyDescent="0.3">
      <c r="A29" s="20">
        <v>1000184670</v>
      </c>
      <c r="B29" s="4" t="s">
        <v>147</v>
      </c>
      <c r="C29" s="21">
        <v>1000186197</v>
      </c>
      <c r="D29" s="3" t="s">
        <v>166</v>
      </c>
      <c r="E29" s="20">
        <v>1000198600</v>
      </c>
      <c r="F29" s="4" t="s">
        <v>148</v>
      </c>
      <c r="G29" s="21">
        <v>1000198601</v>
      </c>
      <c r="H29" s="3" t="s">
        <v>149</v>
      </c>
      <c r="I29" s="21">
        <v>1000189750</v>
      </c>
      <c r="J29" s="3" t="s">
        <v>136</v>
      </c>
      <c r="K29" s="20" t="s">
        <v>24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T29" s="39">
        <v>0</v>
      </c>
      <c r="U29" s="39">
        <v>0</v>
      </c>
      <c r="V29" s="39">
        <v>0</v>
      </c>
      <c r="W29" s="39">
        <v>0</v>
      </c>
      <c r="X29" s="39">
        <v>0</v>
      </c>
      <c r="Y29" s="39">
        <v>0</v>
      </c>
      <c r="Z29" s="39">
        <v>0</v>
      </c>
      <c r="AA29" s="39">
        <v>0</v>
      </c>
      <c r="AB29" s="39">
        <v>0</v>
      </c>
      <c r="AC29" s="39">
        <v>0</v>
      </c>
      <c r="AD29" s="39">
        <v>0</v>
      </c>
      <c r="AE29" s="39">
        <v>0</v>
      </c>
      <c r="AF29" s="39">
        <v>0</v>
      </c>
      <c r="AG29" s="39">
        <v>0</v>
      </c>
      <c r="AH29" s="39"/>
      <c r="AI29" s="39"/>
      <c r="AJ29" s="40"/>
      <c r="AK29" s="39">
        <f t="shared" si="0"/>
        <v>0</v>
      </c>
      <c r="AL29" s="39">
        <f t="shared" si="1"/>
        <v>0</v>
      </c>
      <c r="AM29" s="39">
        <f t="shared" si="2"/>
        <v>0</v>
      </c>
      <c r="AN29" s="39">
        <f t="shared" si="3"/>
        <v>0</v>
      </c>
      <c r="AO29" s="39">
        <f t="shared" si="4"/>
        <v>0</v>
      </c>
    </row>
    <row r="30" spans="1:41" ht="13.05" x14ac:dyDescent="0.3">
      <c r="A30" s="20">
        <v>1000184670</v>
      </c>
      <c r="B30" s="4" t="s">
        <v>147</v>
      </c>
      <c r="C30" s="21">
        <v>1000186197</v>
      </c>
      <c r="D30" s="3" t="s">
        <v>166</v>
      </c>
      <c r="E30" s="20">
        <v>1000198600</v>
      </c>
      <c r="F30" s="4" t="s">
        <v>148</v>
      </c>
      <c r="G30" s="21">
        <v>1000198601</v>
      </c>
      <c r="H30" s="3" t="s">
        <v>149</v>
      </c>
      <c r="I30" s="21">
        <v>1000189750</v>
      </c>
      <c r="J30" s="3" t="s">
        <v>136</v>
      </c>
      <c r="K30" s="20" t="s">
        <v>18</v>
      </c>
      <c r="L30" s="39">
        <v>0</v>
      </c>
      <c r="M30" s="39">
        <v>0</v>
      </c>
      <c r="N30" s="39">
        <v>0</v>
      </c>
      <c r="O30" s="39">
        <v>0</v>
      </c>
      <c r="P30" s="39">
        <v>0</v>
      </c>
      <c r="Q30" s="39">
        <v>0</v>
      </c>
      <c r="R30" s="39">
        <v>0</v>
      </c>
      <c r="S30" s="39">
        <v>0</v>
      </c>
      <c r="T30" s="39">
        <v>0</v>
      </c>
      <c r="U30" s="39">
        <v>0</v>
      </c>
      <c r="V30" s="39">
        <v>0</v>
      </c>
      <c r="W30" s="39">
        <v>0</v>
      </c>
      <c r="X30" s="39">
        <v>0</v>
      </c>
      <c r="Y30" s="39">
        <v>0</v>
      </c>
      <c r="Z30" s="39">
        <v>0</v>
      </c>
      <c r="AA30" s="39">
        <v>0</v>
      </c>
      <c r="AB30" s="39">
        <v>0</v>
      </c>
      <c r="AC30" s="39">
        <v>0</v>
      </c>
      <c r="AD30" s="39">
        <v>0</v>
      </c>
      <c r="AE30" s="39">
        <v>0</v>
      </c>
      <c r="AF30" s="39">
        <v>0</v>
      </c>
      <c r="AG30" s="39">
        <v>0</v>
      </c>
      <c r="AH30" s="39"/>
      <c r="AI30" s="39"/>
      <c r="AJ30" s="40"/>
      <c r="AK30" s="39">
        <f t="shared" si="0"/>
        <v>0</v>
      </c>
      <c r="AL30" s="39">
        <f t="shared" si="1"/>
        <v>0</v>
      </c>
      <c r="AM30" s="39">
        <f t="shared" si="2"/>
        <v>0</v>
      </c>
      <c r="AN30" s="39">
        <f t="shared" si="3"/>
        <v>0</v>
      </c>
      <c r="AO30" s="39">
        <f t="shared" si="4"/>
        <v>0</v>
      </c>
    </row>
    <row r="31" spans="1:41" ht="13.05" x14ac:dyDescent="0.3">
      <c r="A31" s="20">
        <v>1000184670</v>
      </c>
      <c r="B31" s="4" t="s">
        <v>147</v>
      </c>
      <c r="C31" s="21">
        <v>1000186197</v>
      </c>
      <c r="D31" s="3" t="s">
        <v>166</v>
      </c>
      <c r="E31" s="20">
        <v>1000198600</v>
      </c>
      <c r="F31" s="4" t="s">
        <v>148</v>
      </c>
      <c r="G31" s="21">
        <v>1000198601</v>
      </c>
      <c r="H31" s="3" t="s">
        <v>149</v>
      </c>
      <c r="I31" s="21">
        <v>1000189750</v>
      </c>
      <c r="J31" s="3" t="s">
        <v>136</v>
      </c>
      <c r="K31" s="20" t="s">
        <v>29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0</v>
      </c>
      <c r="T31" s="39">
        <v>0</v>
      </c>
      <c r="U31" s="39">
        <v>0</v>
      </c>
      <c r="V31" s="39">
        <v>0</v>
      </c>
      <c r="W31" s="39">
        <v>0</v>
      </c>
      <c r="X31" s="39">
        <v>0</v>
      </c>
      <c r="Y31" s="39">
        <v>0</v>
      </c>
      <c r="Z31" s="39">
        <v>0</v>
      </c>
      <c r="AA31" s="39">
        <v>0</v>
      </c>
      <c r="AB31" s="39">
        <v>0</v>
      </c>
      <c r="AC31" s="39">
        <v>0</v>
      </c>
      <c r="AD31" s="39">
        <v>0</v>
      </c>
      <c r="AE31" s="39">
        <v>0</v>
      </c>
      <c r="AF31" s="39">
        <v>0</v>
      </c>
      <c r="AG31" s="39">
        <v>2581.1999999999998</v>
      </c>
      <c r="AH31" s="39"/>
      <c r="AI31" s="39"/>
      <c r="AJ31" s="40"/>
      <c r="AK31" s="39">
        <f t="shared" si="0"/>
        <v>0</v>
      </c>
      <c r="AL31" s="39">
        <f t="shared" si="1"/>
        <v>215.1</v>
      </c>
      <c r="AM31" s="39">
        <f t="shared" si="2"/>
        <v>430.2</v>
      </c>
      <c r="AN31" s="39">
        <f t="shared" si="3"/>
        <v>258.12</v>
      </c>
      <c r="AO31" s="39">
        <f t="shared" si="4"/>
        <v>2581.1999999999998</v>
      </c>
    </row>
    <row r="32" spans="1:41" ht="13.05" x14ac:dyDescent="0.3">
      <c r="A32" s="20">
        <v>1000184670</v>
      </c>
      <c r="B32" s="4" t="s">
        <v>147</v>
      </c>
      <c r="C32" s="21">
        <v>1000186197</v>
      </c>
      <c r="D32" s="3" t="s">
        <v>166</v>
      </c>
      <c r="E32" s="20">
        <v>1000198600</v>
      </c>
      <c r="F32" s="4" t="s">
        <v>148</v>
      </c>
      <c r="G32" s="21">
        <v>1000198601</v>
      </c>
      <c r="H32" s="3" t="s">
        <v>149</v>
      </c>
      <c r="I32" s="21">
        <v>1000189750</v>
      </c>
      <c r="J32" s="3" t="s">
        <v>136</v>
      </c>
      <c r="K32" s="20" t="s">
        <v>21</v>
      </c>
      <c r="L32" s="39">
        <v>0</v>
      </c>
      <c r="M32" s="39">
        <v>0</v>
      </c>
      <c r="N32" s="39">
        <v>0</v>
      </c>
      <c r="O32" s="39">
        <v>0</v>
      </c>
      <c r="P32" s="39">
        <v>0</v>
      </c>
      <c r="Q32" s="39">
        <v>0</v>
      </c>
      <c r="R32" s="39">
        <v>0</v>
      </c>
      <c r="S32" s="39">
        <v>0</v>
      </c>
      <c r="T32" s="39">
        <v>0</v>
      </c>
      <c r="U32" s="39">
        <v>0</v>
      </c>
      <c r="V32" s="39">
        <v>0</v>
      </c>
      <c r="W32" s="39">
        <v>0</v>
      </c>
      <c r="X32" s="39">
        <v>0</v>
      </c>
      <c r="Y32" s="39">
        <v>0</v>
      </c>
      <c r="Z32" s="39">
        <v>0</v>
      </c>
      <c r="AA32" s="39">
        <v>0</v>
      </c>
      <c r="AB32" s="39">
        <v>0</v>
      </c>
      <c r="AC32" s="39">
        <v>0</v>
      </c>
      <c r="AD32" s="39">
        <v>0</v>
      </c>
      <c r="AE32" s="39">
        <v>0</v>
      </c>
      <c r="AF32" s="39">
        <v>16.63</v>
      </c>
      <c r="AG32" s="39">
        <v>0</v>
      </c>
      <c r="AH32" s="39"/>
      <c r="AI32" s="39"/>
      <c r="AJ32" s="40"/>
      <c r="AK32" s="39">
        <f t="shared" si="0"/>
        <v>0</v>
      </c>
      <c r="AL32" s="39">
        <f t="shared" si="1"/>
        <v>1.3858333333333333</v>
      </c>
      <c r="AM32" s="39">
        <f t="shared" si="2"/>
        <v>2.7716666666666665</v>
      </c>
      <c r="AN32" s="39">
        <f t="shared" si="3"/>
        <v>1.6629999999999998</v>
      </c>
      <c r="AO32" s="39">
        <f t="shared" si="4"/>
        <v>16.63</v>
      </c>
    </row>
    <row r="33" spans="1:41" ht="13.05" x14ac:dyDescent="0.3">
      <c r="A33" s="20">
        <v>1000184670</v>
      </c>
      <c r="B33" s="4" t="s">
        <v>147</v>
      </c>
      <c r="C33" s="21">
        <v>1000186197</v>
      </c>
      <c r="D33" s="3" t="s">
        <v>166</v>
      </c>
      <c r="E33" s="20">
        <v>1000198600</v>
      </c>
      <c r="F33" s="4" t="s">
        <v>148</v>
      </c>
      <c r="G33" s="21">
        <v>1000198601</v>
      </c>
      <c r="H33" s="3" t="s">
        <v>149</v>
      </c>
      <c r="I33" s="21">
        <v>1000189750</v>
      </c>
      <c r="J33" s="3" t="s">
        <v>136</v>
      </c>
      <c r="K33" s="20" t="s">
        <v>20</v>
      </c>
      <c r="L33" s="39">
        <v>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  <c r="R33" s="39">
        <v>0</v>
      </c>
      <c r="S33" s="39">
        <v>0</v>
      </c>
      <c r="T33" s="39">
        <v>0</v>
      </c>
      <c r="U33" s="39">
        <v>0</v>
      </c>
      <c r="V33" s="39">
        <v>0</v>
      </c>
      <c r="W33" s="39">
        <v>0</v>
      </c>
      <c r="X33" s="39">
        <v>0</v>
      </c>
      <c r="Y33" s="39">
        <v>0</v>
      </c>
      <c r="Z33" s="39">
        <v>0</v>
      </c>
      <c r="AA33" s="39">
        <v>0</v>
      </c>
      <c r="AB33" s="39">
        <v>0</v>
      </c>
      <c r="AC33" s="39">
        <v>0</v>
      </c>
      <c r="AD33" s="39">
        <v>0</v>
      </c>
      <c r="AE33" s="39">
        <v>0</v>
      </c>
      <c r="AF33" s="39">
        <v>0</v>
      </c>
      <c r="AG33" s="39">
        <v>0</v>
      </c>
      <c r="AH33" s="39"/>
      <c r="AI33" s="39"/>
      <c r="AJ33" s="40"/>
      <c r="AK33" s="39">
        <f t="shared" si="0"/>
        <v>0</v>
      </c>
      <c r="AL33" s="39">
        <f t="shared" si="1"/>
        <v>0</v>
      </c>
      <c r="AM33" s="39">
        <f t="shared" si="2"/>
        <v>0</v>
      </c>
      <c r="AN33" s="39">
        <f t="shared" si="3"/>
        <v>0</v>
      </c>
      <c r="AO33" s="39">
        <f t="shared" si="4"/>
        <v>0</v>
      </c>
    </row>
    <row r="34" spans="1:41" ht="13.05" x14ac:dyDescent="0.3">
      <c r="A34" s="20">
        <v>1000184670</v>
      </c>
      <c r="B34" s="4" t="s">
        <v>147</v>
      </c>
      <c r="C34" s="21">
        <v>1000186197</v>
      </c>
      <c r="D34" s="3" t="s">
        <v>166</v>
      </c>
      <c r="E34" s="20">
        <v>1000198600</v>
      </c>
      <c r="F34" s="4" t="s">
        <v>148</v>
      </c>
      <c r="G34" s="21">
        <v>1000198601</v>
      </c>
      <c r="H34" s="3" t="s">
        <v>149</v>
      </c>
      <c r="I34" s="21">
        <v>1000189750</v>
      </c>
      <c r="J34" s="3" t="s">
        <v>136</v>
      </c>
      <c r="K34" s="20" t="s">
        <v>22</v>
      </c>
      <c r="L34" s="39">
        <v>0</v>
      </c>
      <c r="M34" s="39">
        <v>0</v>
      </c>
      <c r="N34" s="39">
        <v>0</v>
      </c>
      <c r="O34" s="39">
        <v>0</v>
      </c>
      <c r="P34" s="39">
        <v>0</v>
      </c>
      <c r="Q34" s="39">
        <v>0</v>
      </c>
      <c r="R34" s="39">
        <v>0</v>
      </c>
      <c r="S34" s="39">
        <v>0</v>
      </c>
      <c r="T34" s="39">
        <v>0</v>
      </c>
      <c r="U34" s="39">
        <v>0</v>
      </c>
      <c r="V34" s="39">
        <v>0</v>
      </c>
      <c r="W34" s="39">
        <v>0</v>
      </c>
      <c r="X34" s="39">
        <v>0</v>
      </c>
      <c r="Y34" s="39">
        <v>0</v>
      </c>
      <c r="Z34" s="39">
        <v>0</v>
      </c>
      <c r="AA34" s="39">
        <v>0</v>
      </c>
      <c r="AB34" s="39">
        <v>0</v>
      </c>
      <c r="AC34" s="39">
        <v>0</v>
      </c>
      <c r="AD34" s="39">
        <v>0</v>
      </c>
      <c r="AE34" s="39">
        <v>0</v>
      </c>
      <c r="AF34" s="39">
        <v>0</v>
      </c>
      <c r="AG34" s="39">
        <v>0</v>
      </c>
      <c r="AH34" s="39"/>
      <c r="AI34" s="39"/>
      <c r="AJ34" s="40"/>
      <c r="AK34" s="39">
        <f t="shared" si="0"/>
        <v>0</v>
      </c>
      <c r="AL34" s="39">
        <f t="shared" si="1"/>
        <v>0</v>
      </c>
      <c r="AM34" s="39">
        <f t="shared" si="2"/>
        <v>0</v>
      </c>
      <c r="AN34" s="39">
        <f t="shared" si="3"/>
        <v>0</v>
      </c>
      <c r="AO34" s="39">
        <f t="shared" si="4"/>
        <v>0</v>
      </c>
    </row>
    <row r="35" spans="1:41" ht="13.05" x14ac:dyDescent="0.3">
      <c r="A35" s="20">
        <v>1000184670</v>
      </c>
      <c r="B35" s="4" t="s">
        <v>147</v>
      </c>
      <c r="C35" s="21">
        <v>1000186197</v>
      </c>
      <c r="D35" s="3" t="s">
        <v>166</v>
      </c>
      <c r="E35" s="20">
        <v>1000198600</v>
      </c>
      <c r="F35" s="4" t="s">
        <v>148</v>
      </c>
      <c r="G35" s="21">
        <v>1000198601</v>
      </c>
      <c r="H35" s="3" t="s">
        <v>149</v>
      </c>
      <c r="I35" s="21">
        <v>1000189750</v>
      </c>
      <c r="J35" s="3" t="s">
        <v>136</v>
      </c>
      <c r="K35" s="20" t="s">
        <v>23</v>
      </c>
      <c r="L35" s="39">
        <v>0</v>
      </c>
      <c r="M35" s="39">
        <v>0</v>
      </c>
      <c r="N35" s="39">
        <v>0</v>
      </c>
      <c r="O35" s="39">
        <v>0</v>
      </c>
      <c r="P35" s="39">
        <v>0</v>
      </c>
      <c r="Q35" s="39">
        <v>0</v>
      </c>
      <c r="R35" s="39">
        <v>0</v>
      </c>
      <c r="S35" s="39">
        <v>0</v>
      </c>
      <c r="T35" s="39">
        <v>0</v>
      </c>
      <c r="U35" s="39">
        <v>0</v>
      </c>
      <c r="V35" s="39">
        <v>0</v>
      </c>
      <c r="W35" s="39">
        <v>0</v>
      </c>
      <c r="X35" s="39">
        <v>0</v>
      </c>
      <c r="Y35" s="39">
        <v>0</v>
      </c>
      <c r="Z35" s="39">
        <v>0</v>
      </c>
      <c r="AA35" s="39">
        <v>0</v>
      </c>
      <c r="AB35" s="39">
        <v>0</v>
      </c>
      <c r="AC35" s="39">
        <v>0</v>
      </c>
      <c r="AD35" s="39">
        <v>0</v>
      </c>
      <c r="AE35" s="39">
        <v>0</v>
      </c>
      <c r="AF35" s="39">
        <v>0</v>
      </c>
      <c r="AG35" s="39">
        <v>0</v>
      </c>
      <c r="AH35" s="39"/>
      <c r="AI35" s="39"/>
      <c r="AJ35" s="40"/>
      <c r="AK35" s="39">
        <f t="shared" si="0"/>
        <v>0</v>
      </c>
      <c r="AL35" s="39">
        <f t="shared" si="1"/>
        <v>0</v>
      </c>
      <c r="AM35" s="39">
        <f t="shared" si="2"/>
        <v>0</v>
      </c>
      <c r="AN35" s="39">
        <f t="shared" si="3"/>
        <v>0</v>
      </c>
      <c r="AO35" s="39">
        <f t="shared" si="4"/>
        <v>0</v>
      </c>
    </row>
    <row r="36" spans="1:41" ht="13.05" x14ac:dyDescent="0.3">
      <c r="A36" s="20">
        <v>1000184670</v>
      </c>
      <c r="B36" s="4" t="s">
        <v>147</v>
      </c>
      <c r="C36" s="21">
        <v>1000186197</v>
      </c>
      <c r="D36" s="3" t="s">
        <v>166</v>
      </c>
      <c r="E36" s="20">
        <v>1000198600</v>
      </c>
      <c r="F36" s="4" t="s">
        <v>148</v>
      </c>
      <c r="G36" s="21">
        <v>1000198601</v>
      </c>
      <c r="H36" s="3" t="s">
        <v>149</v>
      </c>
      <c r="I36" s="21">
        <v>1000189750</v>
      </c>
      <c r="J36" s="3" t="s">
        <v>136</v>
      </c>
      <c r="K36" s="20" t="s">
        <v>28</v>
      </c>
      <c r="L36" s="39">
        <v>0</v>
      </c>
      <c r="M36" s="39">
        <v>0</v>
      </c>
      <c r="N36" s="39">
        <v>0</v>
      </c>
      <c r="O36" s="39">
        <v>0</v>
      </c>
      <c r="P36" s="39">
        <v>0</v>
      </c>
      <c r="Q36" s="39">
        <v>0</v>
      </c>
      <c r="R36" s="39">
        <v>0</v>
      </c>
      <c r="S36" s="39">
        <v>0</v>
      </c>
      <c r="T36" s="39">
        <v>0</v>
      </c>
      <c r="U36" s="39">
        <v>0</v>
      </c>
      <c r="V36" s="39">
        <v>0</v>
      </c>
      <c r="W36" s="39">
        <v>0</v>
      </c>
      <c r="X36" s="39">
        <v>0</v>
      </c>
      <c r="Y36" s="39">
        <v>0</v>
      </c>
      <c r="Z36" s="39">
        <v>0</v>
      </c>
      <c r="AA36" s="39">
        <v>0</v>
      </c>
      <c r="AB36" s="39">
        <v>0</v>
      </c>
      <c r="AC36" s="39">
        <v>0</v>
      </c>
      <c r="AD36" s="39">
        <v>0</v>
      </c>
      <c r="AE36" s="39">
        <v>0</v>
      </c>
      <c r="AF36" s="39">
        <v>0</v>
      </c>
      <c r="AG36" s="39">
        <v>0</v>
      </c>
      <c r="AH36" s="39"/>
      <c r="AI36" s="39"/>
      <c r="AJ36" s="40"/>
      <c r="AK36" s="39">
        <f t="shared" si="0"/>
        <v>0</v>
      </c>
      <c r="AL36" s="39">
        <f t="shared" si="1"/>
        <v>0</v>
      </c>
      <c r="AM36" s="39">
        <f t="shared" si="2"/>
        <v>0</v>
      </c>
      <c r="AN36" s="39">
        <f t="shared" si="3"/>
        <v>0</v>
      </c>
      <c r="AO36" s="39">
        <f t="shared" si="4"/>
        <v>0</v>
      </c>
    </row>
    <row r="37" spans="1:41" ht="13.05" x14ac:dyDescent="0.3">
      <c r="A37" s="20">
        <v>1000184670</v>
      </c>
      <c r="B37" s="4" t="s">
        <v>147</v>
      </c>
      <c r="C37" s="21">
        <v>1000186197</v>
      </c>
      <c r="D37" s="3" t="s">
        <v>166</v>
      </c>
      <c r="E37" s="20">
        <v>1000198600</v>
      </c>
      <c r="F37" s="4" t="s">
        <v>148</v>
      </c>
      <c r="G37" s="21">
        <v>1000198601</v>
      </c>
      <c r="H37" s="3" t="s">
        <v>149</v>
      </c>
      <c r="I37" s="21">
        <v>1000189750</v>
      </c>
      <c r="J37" s="3" t="s">
        <v>136</v>
      </c>
      <c r="K37" s="20" t="s">
        <v>26</v>
      </c>
      <c r="L37" s="39">
        <v>0</v>
      </c>
      <c r="M37" s="39">
        <v>0</v>
      </c>
      <c r="N37" s="39">
        <v>0</v>
      </c>
      <c r="O37" s="39">
        <v>0</v>
      </c>
      <c r="P37" s="39">
        <v>0</v>
      </c>
      <c r="Q37" s="39">
        <v>0</v>
      </c>
      <c r="R37" s="39">
        <v>0</v>
      </c>
      <c r="S37" s="39">
        <v>0</v>
      </c>
      <c r="T37" s="39">
        <v>0</v>
      </c>
      <c r="U37" s="39">
        <v>0</v>
      </c>
      <c r="V37" s="39">
        <v>0</v>
      </c>
      <c r="W37" s="39">
        <v>0</v>
      </c>
      <c r="X37" s="39">
        <v>0</v>
      </c>
      <c r="Y37" s="39">
        <v>0</v>
      </c>
      <c r="Z37" s="39">
        <v>0</v>
      </c>
      <c r="AA37" s="39">
        <v>0</v>
      </c>
      <c r="AB37" s="39">
        <v>0</v>
      </c>
      <c r="AC37" s="39">
        <v>0</v>
      </c>
      <c r="AD37" s="39">
        <v>0</v>
      </c>
      <c r="AE37" s="39">
        <v>0</v>
      </c>
      <c r="AF37" s="39">
        <v>0</v>
      </c>
      <c r="AG37" s="39">
        <v>0</v>
      </c>
      <c r="AH37" s="39"/>
      <c r="AI37" s="39"/>
      <c r="AJ37" s="40"/>
      <c r="AK37" s="39">
        <f t="shared" si="0"/>
        <v>0</v>
      </c>
      <c r="AL37" s="39">
        <f t="shared" si="1"/>
        <v>0</v>
      </c>
      <c r="AM37" s="39">
        <f t="shared" si="2"/>
        <v>0</v>
      </c>
      <c r="AN37" s="39">
        <f t="shared" si="3"/>
        <v>0</v>
      </c>
      <c r="AO37" s="39">
        <f t="shared" si="4"/>
        <v>0</v>
      </c>
    </row>
    <row r="38" spans="1:41" ht="13.05" x14ac:dyDescent="0.3">
      <c r="A38" s="20">
        <v>1000184670</v>
      </c>
      <c r="B38" s="4" t="s">
        <v>147</v>
      </c>
      <c r="C38" s="21">
        <v>1000186197</v>
      </c>
      <c r="D38" s="3" t="s">
        <v>166</v>
      </c>
      <c r="E38" s="20">
        <v>1000198600</v>
      </c>
      <c r="F38" s="4" t="s">
        <v>148</v>
      </c>
      <c r="G38" s="21">
        <v>1000198601</v>
      </c>
      <c r="H38" s="3" t="s">
        <v>149</v>
      </c>
      <c r="I38" s="21">
        <v>1000189750</v>
      </c>
      <c r="J38" s="3" t="s">
        <v>136</v>
      </c>
      <c r="K38" s="20" t="s">
        <v>27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T38" s="39">
        <v>0</v>
      </c>
      <c r="U38" s="39">
        <v>0</v>
      </c>
      <c r="V38" s="39">
        <v>0</v>
      </c>
      <c r="W38" s="39">
        <v>0</v>
      </c>
      <c r="X38" s="39">
        <v>0</v>
      </c>
      <c r="Y38" s="39">
        <v>0</v>
      </c>
      <c r="Z38" s="39">
        <v>0</v>
      </c>
      <c r="AA38" s="39">
        <v>0</v>
      </c>
      <c r="AB38" s="39">
        <v>0</v>
      </c>
      <c r="AC38" s="39">
        <v>0</v>
      </c>
      <c r="AD38" s="39">
        <v>0</v>
      </c>
      <c r="AE38" s="39">
        <v>0</v>
      </c>
      <c r="AF38" s="39">
        <v>0</v>
      </c>
      <c r="AG38" s="39">
        <v>0</v>
      </c>
      <c r="AH38" s="39"/>
      <c r="AI38" s="39"/>
      <c r="AJ38" s="40"/>
      <c r="AK38" s="39">
        <f t="shared" si="0"/>
        <v>0</v>
      </c>
      <c r="AL38" s="39">
        <f t="shared" si="1"/>
        <v>0</v>
      </c>
      <c r="AM38" s="39">
        <f t="shared" si="2"/>
        <v>0</v>
      </c>
      <c r="AN38" s="39">
        <f t="shared" si="3"/>
        <v>0</v>
      </c>
      <c r="AO38" s="39">
        <f t="shared" si="4"/>
        <v>0</v>
      </c>
    </row>
    <row r="39" spans="1:41" ht="13.05" x14ac:dyDescent="0.3">
      <c r="A39" s="20">
        <v>1000184670</v>
      </c>
      <c r="B39" s="4" t="s">
        <v>147</v>
      </c>
      <c r="C39" s="21">
        <v>1000186197</v>
      </c>
      <c r="D39" s="3" t="s">
        <v>166</v>
      </c>
      <c r="E39" s="20">
        <v>1000198600</v>
      </c>
      <c r="F39" s="4" t="s">
        <v>148</v>
      </c>
      <c r="G39" s="21">
        <v>1000198601</v>
      </c>
      <c r="H39" s="3" t="s">
        <v>149</v>
      </c>
      <c r="I39" s="21">
        <v>1000189750</v>
      </c>
      <c r="J39" s="3" t="s">
        <v>136</v>
      </c>
      <c r="K39" s="20" t="s">
        <v>25</v>
      </c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T39" s="39">
        <v>0</v>
      </c>
      <c r="U39" s="39">
        <v>0</v>
      </c>
      <c r="V39" s="39">
        <v>0</v>
      </c>
      <c r="W39" s="39">
        <v>0</v>
      </c>
      <c r="X39" s="39">
        <v>0</v>
      </c>
      <c r="Y39" s="39">
        <v>0</v>
      </c>
      <c r="Z39" s="39">
        <v>0</v>
      </c>
      <c r="AA39" s="39">
        <v>0</v>
      </c>
      <c r="AB39" s="39">
        <v>0</v>
      </c>
      <c r="AC39" s="39">
        <v>0</v>
      </c>
      <c r="AD39" s="39">
        <v>0</v>
      </c>
      <c r="AE39" s="39">
        <v>0</v>
      </c>
      <c r="AF39" s="39">
        <v>109.67</v>
      </c>
      <c r="AG39" s="39">
        <v>0</v>
      </c>
      <c r="AH39" s="39"/>
      <c r="AI39" s="39"/>
      <c r="AJ39" s="40"/>
      <c r="AK39" s="39">
        <f t="shared" si="0"/>
        <v>0</v>
      </c>
      <c r="AL39" s="39">
        <f t="shared" si="1"/>
        <v>9.1391666666666662</v>
      </c>
      <c r="AM39" s="39">
        <f t="shared" si="2"/>
        <v>18.278333333333332</v>
      </c>
      <c r="AN39" s="39">
        <f t="shared" si="3"/>
        <v>10.967000000000001</v>
      </c>
      <c r="AO39" s="39">
        <f t="shared" si="4"/>
        <v>109.67</v>
      </c>
    </row>
    <row r="40" spans="1:41" ht="13.05" x14ac:dyDescent="0.3">
      <c r="A40" s="20">
        <v>1000184670</v>
      </c>
      <c r="B40" s="4" t="s">
        <v>147</v>
      </c>
      <c r="C40" s="21">
        <v>1000186197</v>
      </c>
      <c r="D40" s="3" t="s">
        <v>166</v>
      </c>
      <c r="E40" s="20">
        <v>1000198600</v>
      </c>
      <c r="F40" s="4" t="s">
        <v>148</v>
      </c>
      <c r="G40" s="21">
        <v>1000198601</v>
      </c>
      <c r="H40" s="3" t="s">
        <v>149</v>
      </c>
      <c r="I40" s="21">
        <v>1000189751</v>
      </c>
      <c r="J40" s="3" t="s">
        <v>137</v>
      </c>
      <c r="K40" s="20" t="s">
        <v>124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0</v>
      </c>
      <c r="AH40" s="39"/>
      <c r="AI40" s="39"/>
      <c r="AJ40" s="40"/>
      <c r="AK40" s="39">
        <f t="shared" si="0"/>
        <v>0</v>
      </c>
      <c r="AL40" s="39">
        <f t="shared" si="1"/>
        <v>0</v>
      </c>
      <c r="AM40" s="39">
        <f t="shared" si="2"/>
        <v>0</v>
      </c>
      <c r="AN40" s="39">
        <f t="shared" si="3"/>
        <v>0</v>
      </c>
      <c r="AO40" s="39">
        <f t="shared" si="4"/>
        <v>0</v>
      </c>
    </row>
    <row r="41" spans="1:41" ht="13.05" x14ac:dyDescent="0.3">
      <c r="A41" s="20">
        <v>1000184670</v>
      </c>
      <c r="B41" s="4" t="s">
        <v>147</v>
      </c>
      <c r="C41" s="21">
        <v>1000186197</v>
      </c>
      <c r="D41" s="3" t="s">
        <v>166</v>
      </c>
      <c r="E41" s="20">
        <v>1000198600</v>
      </c>
      <c r="F41" s="4" t="s">
        <v>148</v>
      </c>
      <c r="G41" s="21">
        <v>1000198601</v>
      </c>
      <c r="H41" s="3" t="s">
        <v>149</v>
      </c>
      <c r="I41" s="21">
        <v>1000189751</v>
      </c>
      <c r="J41" s="3" t="s">
        <v>137</v>
      </c>
      <c r="K41" s="20" t="s">
        <v>13</v>
      </c>
      <c r="L41" s="39">
        <v>0</v>
      </c>
      <c r="M41" s="39">
        <v>0</v>
      </c>
      <c r="N41" s="39">
        <v>0</v>
      </c>
      <c r="O41" s="39">
        <v>0</v>
      </c>
      <c r="P41" s="39">
        <v>0</v>
      </c>
      <c r="Q41" s="39">
        <v>0</v>
      </c>
      <c r="R41" s="39">
        <v>0</v>
      </c>
      <c r="S41" s="39">
        <v>0</v>
      </c>
      <c r="T41" s="39">
        <v>0</v>
      </c>
      <c r="U41" s="39">
        <v>0</v>
      </c>
      <c r="V41" s="39">
        <v>0</v>
      </c>
      <c r="W41" s="39">
        <v>0</v>
      </c>
      <c r="X41" s="39">
        <v>0</v>
      </c>
      <c r="Y41" s="39">
        <v>0</v>
      </c>
      <c r="Z41" s="39">
        <v>0</v>
      </c>
      <c r="AA41" s="39">
        <v>0</v>
      </c>
      <c r="AB41" s="39">
        <v>0</v>
      </c>
      <c r="AC41" s="39">
        <v>0</v>
      </c>
      <c r="AD41" s="39">
        <v>0</v>
      </c>
      <c r="AE41" s="39">
        <v>0</v>
      </c>
      <c r="AF41" s="39">
        <v>222.84</v>
      </c>
      <c r="AG41" s="39">
        <v>0</v>
      </c>
      <c r="AH41" s="39"/>
      <c r="AI41" s="39"/>
      <c r="AJ41" s="40"/>
      <c r="AK41" s="39">
        <f t="shared" si="0"/>
        <v>0</v>
      </c>
      <c r="AL41" s="39">
        <f t="shared" si="1"/>
        <v>18.57</v>
      </c>
      <c r="AM41" s="39">
        <f t="shared" si="2"/>
        <v>37.14</v>
      </c>
      <c r="AN41" s="39">
        <f t="shared" si="3"/>
        <v>22.283999999999999</v>
      </c>
      <c r="AO41" s="39">
        <f t="shared" si="4"/>
        <v>222.84</v>
      </c>
    </row>
    <row r="42" spans="1:41" ht="13.05" x14ac:dyDescent="0.3">
      <c r="A42" s="20">
        <v>1000184670</v>
      </c>
      <c r="B42" s="4" t="s">
        <v>147</v>
      </c>
      <c r="C42" s="21">
        <v>1000186197</v>
      </c>
      <c r="D42" s="3" t="s">
        <v>166</v>
      </c>
      <c r="E42" s="20">
        <v>1000198600</v>
      </c>
      <c r="F42" s="4" t="s">
        <v>148</v>
      </c>
      <c r="G42" s="21">
        <v>1000198601</v>
      </c>
      <c r="H42" s="3" t="s">
        <v>149</v>
      </c>
      <c r="I42" s="21">
        <v>1000189751</v>
      </c>
      <c r="J42" s="3" t="s">
        <v>137</v>
      </c>
      <c r="K42" s="20" t="s">
        <v>14</v>
      </c>
      <c r="L42" s="39">
        <v>0</v>
      </c>
      <c r="M42" s="39">
        <v>0</v>
      </c>
      <c r="N42" s="39">
        <v>0</v>
      </c>
      <c r="O42" s="39">
        <v>0</v>
      </c>
      <c r="P42" s="39">
        <v>0</v>
      </c>
      <c r="Q42" s="39">
        <v>0</v>
      </c>
      <c r="R42" s="39">
        <v>0</v>
      </c>
      <c r="S42" s="39">
        <v>0</v>
      </c>
      <c r="T42" s="39">
        <v>0</v>
      </c>
      <c r="U42" s="39">
        <v>0</v>
      </c>
      <c r="V42" s="39">
        <v>0</v>
      </c>
      <c r="W42" s="39">
        <v>0</v>
      </c>
      <c r="X42" s="39">
        <v>0</v>
      </c>
      <c r="Y42" s="39">
        <v>0</v>
      </c>
      <c r="Z42" s="39">
        <v>0</v>
      </c>
      <c r="AA42" s="39">
        <v>0</v>
      </c>
      <c r="AB42" s="39">
        <v>0</v>
      </c>
      <c r="AC42" s="39">
        <v>0</v>
      </c>
      <c r="AD42" s="39">
        <v>0</v>
      </c>
      <c r="AE42" s="39">
        <v>0</v>
      </c>
      <c r="AF42" s="39">
        <v>0</v>
      </c>
      <c r="AG42" s="39">
        <v>0</v>
      </c>
      <c r="AH42" s="39"/>
      <c r="AI42" s="39"/>
      <c r="AJ42" s="40"/>
      <c r="AK42" s="39">
        <f t="shared" si="0"/>
        <v>0</v>
      </c>
      <c r="AL42" s="39">
        <f t="shared" si="1"/>
        <v>0</v>
      </c>
      <c r="AM42" s="39">
        <f t="shared" si="2"/>
        <v>0</v>
      </c>
      <c r="AN42" s="39">
        <f t="shared" si="3"/>
        <v>0</v>
      </c>
      <c r="AO42" s="39">
        <f t="shared" si="4"/>
        <v>0</v>
      </c>
    </row>
    <row r="43" spans="1:41" ht="13.05" x14ac:dyDescent="0.3">
      <c r="A43" s="20">
        <v>1000184670</v>
      </c>
      <c r="B43" s="4" t="s">
        <v>147</v>
      </c>
      <c r="C43" s="21">
        <v>1000186197</v>
      </c>
      <c r="D43" s="3" t="s">
        <v>166</v>
      </c>
      <c r="E43" s="20">
        <v>1000198600</v>
      </c>
      <c r="F43" s="4" t="s">
        <v>148</v>
      </c>
      <c r="G43" s="21">
        <v>1000198601</v>
      </c>
      <c r="H43" s="3" t="s">
        <v>149</v>
      </c>
      <c r="I43" s="21">
        <v>1000189751</v>
      </c>
      <c r="J43" s="3" t="s">
        <v>137</v>
      </c>
      <c r="K43" s="20" t="s">
        <v>16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9">
        <v>0</v>
      </c>
      <c r="X43" s="39">
        <v>0</v>
      </c>
      <c r="Y43" s="39">
        <v>0</v>
      </c>
      <c r="Z43" s="39">
        <v>0</v>
      </c>
      <c r="AA43" s="39">
        <v>0</v>
      </c>
      <c r="AB43" s="39">
        <v>0</v>
      </c>
      <c r="AC43" s="39">
        <v>0</v>
      </c>
      <c r="AD43" s="39">
        <v>0</v>
      </c>
      <c r="AE43" s="39">
        <v>0</v>
      </c>
      <c r="AF43" s="39">
        <v>877.83</v>
      </c>
      <c r="AG43" s="39">
        <v>360.48</v>
      </c>
      <c r="AH43" s="39"/>
      <c r="AI43" s="39"/>
      <c r="AJ43" s="40"/>
      <c r="AK43" s="39">
        <f t="shared" si="0"/>
        <v>0</v>
      </c>
      <c r="AL43" s="39">
        <f t="shared" si="1"/>
        <v>103.1925</v>
      </c>
      <c r="AM43" s="39">
        <f t="shared" si="2"/>
        <v>206.38499999999999</v>
      </c>
      <c r="AN43" s="39">
        <f t="shared" si="3"/>
        <v>123.83099999999999</v>
      </c>
      <c r="AO43" s="39">
        <f t="shared" si="4"/>
        <v>1238.31</v>
      </c>
    </row>
    <row r="44" spans="1:41" ht="13.05" x14ac:dyDescent="0.3">
      <c r="A44" s="20">
        <v>1000184670</v>
      </c>
      <c r="B44" s="4" t="s">
        <v>147</v>
      </c>
      <c r="C44" s="21">
        <v>1000186197</v>
      </c>
      <c r="D44" s="3" t="s">
        <v>166</v>
      </c>
      <c r="E44" s="20">
        <v>1000198600</v>
      </c>
      <c r="F44" s="4" t="s">
        <v>148</v>
      </c>
      <c r="G44" s="21">
        <v>1000198601</v>
      </c>
      <c r="H44" s="3" t="s">
        <v>149</v>
      </c>
      <c r="I44" s="21">
        <v>1000189751</v>
      </c>
      <c r="J44" s="3" t="s">
        <v>137</v>
      </c>
      <c r="K44" s="20" t="s">
        <v>15</v>
      </c>
      <c r="L44" s="39">
        <v>0</v>
      </c>
      <c r="M44" s="39">
        <v>0</v>
      </c>
      <c r="N44" s="39">
        <v>0</v>
      </c>
      <c r="O44" s="39">
        <v>0</v>
      </c>
      <c r="P44" s="39">
        <v>0</v>
      </c>
      <c r="Q44" s="39">
        <v>0</v>
      </c>
      <c r="R44" s="39">
        <v>0</v>
      </c>
      <c r="S44" s="39">
        <v>0</v>
      </c>
      <c r="T44" s="39">
        <v>0</v>
      </c>
      <c r="U44" s="39">
        <v>0</v>
      </c>
      <c r="V44" s="39">
        <v>0</v>
      </c>
      <c r="W44" s="39">
        <v>0</v>
      </c>
      <c r="X44" s="39">
        <v>0</v>
      </c>
      <c r="Y44" s="39">
        <v>0</v>
      </c>
      <c r="Z44" s="39">
        <v>0</v>
      </c>
      <c r="AA44" s="39">
        <v>0</v>
      </c>
      <c r="AB44" s="39">
        <v>0</v>
      </c>
      <c r="AC44" s="39">
        <v>0</v>
      </c>
      <c r="AD44" s="39">
        <v>0</v>
      </c>
      <c r="AE44" s="39">
        <v>0</v>
      </c>
      <c r="AF44" s="39">
        <v>449.62</v>
      </c>
      <c r="AG44" s="39">
        <v>762.22</v>
      </c>
      <c r="AH44" s="39"/>
      <c r="AI44" s="39"/>
      <c r="AJ44" s="40"/>
      <c r="AK44" s="39">
        <f t="shared" si="0"/>
        <v>0</v>
      </c>
      <c r="AL44" s="39">
        <f t="shared" si="1"/>
        <v>100.98666666666668</v>
      </c>
      <c r="AM44" s="39">
        <f t="shared" si="2"/>
        <v>201.97333333333336</v>
      </c>
      <c r="AN44" s="39">
        <f t="shared" si="3"/>
        <v>121.18400000000001</v>
      </c>
      <c r="AO44" s="39">
        <f t="shared" si="4"/>
        <v>1211.8400000000001</v>
      </c>
    </row>
    <row r="45" spans="1:41" ht="13.05" x14ac:dyDescent="0.3">
      <c r="A45" s="20">
        <v>1000184670</v>
      </c>
      <c r="B45" s="4" t="s">
        <v>147</v>
      </c>
      <c r="C45" s="21">
        <v>1000186197</v>
      </c>
      <c r="D45" s="3" t="s">
        <v>166</v>
      </c>
      <c r="E45" s="20">
        <v>1000198600</v>
      </c>
      <c r="F45" s="4" t="s">
        <v>148</v>
      </c>
      <c r="G45" s="21">
        <v>1000198601</v>
      </c>
      <c r="H45" s="3" t="s">
        <v>149</v>
      </c>
      <c r="I45" s="21">
        <v>1000189751</v>
      </c>
      <c r="J45" s="3" t="s">
        <v>137</v>
      </c>
      <c r="K45" s="20" t="s">
        <v>33</v>
      </c>
      <c r="L45" s="39">
        <v>0</v>
      </c>
      <c r="M45" s="39">
        <v>0</v>
      </c>
      <c r="N45" s="39">
        <v>0</v>
      </c>
      <c r="O45" s="39">
        <v>0</v>
      </c>
      <c r="P45" s="39">
        <v>0</v>
      </c>
      <c r="Q45" s="39">
        <v>0</v>
      </c>
      <c r="R45" s="39">
        <v>0</v>
      </c>
      <c r="S45" s="39">
        <v>0</v>
      </c>
      <c r="T45" s="39">
        <v>0</v>
      </c>
      <c r="U45" s="39">
        <v>0</v>
      </c>
      <c r="V45" s="39">
        <v>0</v>
      </c>
      <c r="W45" s="39">
        <v>0</v>
      </c>
      <c r="X45" s="39">
        <v>0</v>
      </c>
      <c r="Y45" s="39">
        <v>0</v>
      </c>
      <c r="Z45" s="39">
        <v>0</v>
      </c>
      <c r="AA45" s="39">
        <v>0</v>
      </c>
      <c r="AB45" s="39">
        <v>0</v>
      </c>
      <c r="AC45" s="39">
        <v>0</v>
      </c>
      <c r="AD45" s="39">
        <v>0</v>
      </c>
      <c r="AE45" s="39">
        <v>0</v>
      </c>
      <c r="AF45" s="39">
        <v>0</v>
      </c>
      <c r="AG45" s="39">
        <v>0</v>
      </c>
      <c r="AH45" s="39"/>
      <c r="AI45" s="39"/>
      <c r="AJ45" s="40"/>
      <c r="AK45" s="39">
        <f t="shared" si="0"/>
        <v>0</v>
      </c>
      <c r="AL45" s="39">
        <f t="shared" si="1"/>
        <v>0</v>
      </c>
      <c r="AM45" s="39">
        <f t="shared" si="2"/>
        <v>0</v>
      </c>
      <c r="AN45" s="39">
        <f t="shared" si="3"/>
        <v>0</v>
      </c>
      <c r="AO45" s="39">
        <f t="shared" si="4"/>
        <v>0</v>
      </c>
    </row>
    <row r="46" spans="1:41" ht="13.05" x14ac:dyDescent="0.3">
      <c r="A46" s="20">
        <v>1000184670</v>
      </c>
      <c r="B46" s="4" t="s">
        <v>147</v>
      </c>
      <c r="C46" s="21">
        <v>1000186197</v>
      </c>
      <c r="D46" s="3" t="s">
        <v>166</v>
      </c>
      <c r="E46" s="20">
        <v>1000198600</v>
      </c>
      <c r="F46" s="4" t="s">
        <v>148</v>
      </c>
      <c r="G46" s="21">
        <v>1000198601</v>
      </c>
      <c r="H46" s="3" t="s">
        <v>149</v>
      </c>
      <c r="I46" s="21">
        <v>1000189751</v>
      </c>
      <c r="J46" s="3" t="s">
        <v>137</v>
      </c>
      <c r="K46" s="20" t="s">
        <v>19</v>
      </c>
      <c r="L46" s="39">
        <v>0</v>
      </c>
      <c r="M46" s="39">
        <v>0</v>
      </c>
      <c r="N46" s="39">
        <v>0</v>
      </c>
      <c r="O46" s="39">
        <v>0</v>
      </c>
      <c r="P46" s="39">
        <v>0</v>
      </c>
      <c r="Q46" s="39">
        <v>0</v>
      </c>
      <c r="R46" s="39">
        <v>0</v>
      </c>
      <c r="S46" s="39">
        <v>0</v>
      </c>
      <c r="T46" s="39">
        <v>0</v>
      </c>
      <c r="U46" s="39">
        <v>0</v>
      </c>
      <c r="V46" s="39">
        <v>0</v>
      </c>
      <c r="W46" s="39">
        <v>0</v>
      </c>
      <c r="X46" s="39">
        <v>0</v>
      </c>
      <c r="Y46" s="39">
        <v>0</v>
      </c>
      <c r="Z46" s="39">
        <v>0</v>
      </c>
      <c r="AA46" s="39">
        <v>0</v>
      </c>
      <c r="AB46" s="39">
        <v>0</v>
      </c>
      <c r="AC46" s="39">
        <v>0</v>
      </c>
      <c r="AD46" s="39">
        <v>0</v>
      </c>
      <c r="AE46" s="39">
        <v>0</v>
      </c>
      <c r="AF46" s="39">
        <v>334.13</v>
      </c>
      <c r="AG46" s="39">
        <v>30.37</v>
      </c>
      <c r="AH46" s="39"/>
      <c r="AI46" s="39"/>
      <c r="AJ46" s="40"/>
      <c r="AK46" s="39">
        <f t="shared" si="0"/>
        <v>0</v>
      </c>
      <c r="AL46" s="39">
        <f t="shared" si="1"/>
        <v>30.375</v>
      </c>
      <c r="AM46" s="39">
        <f t="shared" si="2"/>
        <v>60.75</v>
      </c>
      <c r="AN46" s="39">
        <f t="shared" si="3"/>
        <v>36.450000000000003</v>
      </c>
      <c r="AO46" s="39">
        <f t="shared" si="4"/>
        <v>364.5</v>
      </c>
    </row>
    <row r="47" spans="1:41" ht="13.05" x14ac:dyDescent="0.3">
      <c r="A47" s="20">
        <v>1000184670</v>
      </c>
      <c r="B47" s="4" t="s">
        <v>147</v>
      </c>
      <c r="C47" s="21">
        <v>1000186197</v>
      </c>
      <c r="D47" s="3" t="s">
        <v>166</v>
      </c>
      <c r="E47" s="20">
        <v>1000198600</v>
      </c>
      <c r="F47" s="4" t="s">
        <v>148</v>
      </c>
      <c r="G47" s="21">
        <v>1000198601</v>
      </c>
      <c r="H47" s="3" t="s">
        <v>149</v>
      </c>
      <c r="I47" s="21">
        <v>1000189751</v>
      </c>
      <c r="J47" s="3" t="s">
        <v>137</v>
      </c>
      <c r="K47" s="20" t="s">
        <v>17</v>
      </c>
      <c r="L47" s="39">
        <v>0</v>
      </c>
      <c r="M47" s="39">
        <v>0</v>
      </c>
      <c r="N47" s="39">
        <v>0</v>
      </c>
      <c r="O47" s="39">
        <v>0</v>
      </c>
      <c r="P47" s="39">
        <v>0</v>
      </c>
      <c r="Q47" s="39">
        <v>0</v>
      </c>
      <c r="R47" s="39">
        <v>0</v>
      </c>
      <c r="S47" s="39">
        <v>0</v>
      </c>
      <c r="T47" s="39">
        <v>0</v>
      </c>
      <c r="U47" s="39">
        <v>0</v>
      </c>
      <c r="V47" s="39">
        <v>0</v>
      </c>
      <c r="W47" s="39">
        <v>0</v>
      </c>
      <c r="X47" s="39">
        <v>0</v>
      </c>
      <c r="Y47" s="39">
        <v>0</v>
      </c>
      <c r="Z47" s="39">
        <v>0</v>
      </c>
      <c r="AA47" s="39">
        <v>0</v>
      </c>
      <c r="AB47" s="39">
        <v>0</v>
      </c>
      <c r="AC47" s="39">
        <v>0</v>
      </c>
      <c r="AD47" s="39">
        <v>0</v>
      </c>
      <c r="AE47" s="39">
        <v>0</v>
      </c>
      <c r="AF47" s="39">
        <v>0</v>
      </c>
      <c r="AG47" s="39">
        <v>0</v>
      </c>
      <c r="AH47" s="39"/>
      <c r="AI47" s="39"/>
      <c r="AJ47" s="40"/>
      <c r="AK47" s="39">
        <f t="shared" si="0"/>
        <v>0</v>
      </c>
      <c r="AL47" s="39">
        <f t="shared" si="1"/>
        <v>0</v>
      </c>
      <c r="AM47" s="39">
        <f t="shared" si="2"/>
        <v>0</v>
      </c>
      <c r="AN47" s="39">
        <f t="shared" si="3"/>
        <v>0</v>
      </c>
      <c r="AO47" s="39">
        <f t="shared" si="4"/>
        <v>0</v>
      </c>
    </row>
    <row r="48" spans="1:41" ht="13.05" x14ac:dyDescent="0.3">
      <c r="A48" s="20">
        <v>1000184670</v>
      </c>
      <c r="B48" s="4" t="s">
        <v>147</v>
      </c>
      <c r="C48" s="21">
        <v>1000186197</v>
      </c>
      <c r="D48" s="3" t="s">
        <v>166</v>
      </c>
      <c r="E48" s="20">
        <v>1000198600</v>
      </c>
      <c r="F48" s="4" t="s">
        <v>148</v>
      </c>
      <c r="G48" s="21">
        <v>1000198601</v>
      </c>
      <c r="H48" s="3" t="s">
        <v>149</v>
      </c>
      <c r="I48" s="21">
        <v>1000189751</v>
      </c>
      <c r="J48" s="3" t="s">
        <v>137</v>
      </c>
      <c r="K48" s="20" t="s">
        <v>24</v>
      </c>
      <c r="L48" s="39">
        <v>0</v>
      </c>
      <c r="M48" s="39">
        <v>0</v>
      </c>
      <c r="N48" s="39">
        <v>0</v>
      </c>
      <c r="O48" s="39">
        <v>0</v>
      </c>
      <c r="P48" s="39">
        <v>0</v>
      </c>
      <c r="Q48" s="39">
        <v>0</v>
      </c>
      <c r="R48" s="39">
        <v>0</v>
      </c>
      <c r="S48" s="39">
        <v>0</v>
      </c>
      <c r="T48" s="39">
        <v>0</v>
      </c>
      <c r="U48" s="39">
        <v>0</v>
      </c>
      <c r="V48" s="39">
        <v>0</v>
      </c>
      <c r="W48" s="39">
        <v>0</v>
      </c>
      <c r="X48" s="39">
        <v>0</v>
      </c>
      <c r="Y48" s="39">
        <v>0</v>
      </c>
      <c r="Z48" s="39">
        <v>0</v>
      </c>
      <c r="AA48" s="39">
        <v>0</v>
      </c>
      <c r="AB48" s="39">
        <v>0</v>
      </c>
      <c r="AC48" s="39">
        <v>0</v>
      </c>
      <c r="AD48" s="39">
        <v>0</v>
      </c>
      <c r="AE48" s="39">
        <v>0</v>
      </c>
      <c r="AF48" s="39">
        <v>116.7</v>
      </c>
      <c r="AG48" s="39">
        <v>0</v>
      </c>
      <c r="AH48" s="39"/>
      <c r="AI48" s="39"/>
      <c r="AJ48" s="40"/>
      <c r="AK48" s="39">
        <f t="shared" si="0"/>
        <v>0</v>
      </c>
      <c r="AL48" s="39">
        <f t="shared" si="1"/>
        <v>9.7249999999999996</v>
      </c>
      <c r="AM48" s="39">
        <f t="shared" si="2"/>
        <v>19.45</v>
      </c>
      <c r="AN48" s="39">
        <f t="shared" si="3"/>
        <v>11.67</v>
      </c>
      <c r="AO48" s="39">
        <f t="shared" si="4"/>
        <v>116.7</v>
      </c>
    </row>
    <row r="49" spans="1:41" ht="13.05" x14ac:dyDescent="0.3">
      <c r="A49" s="20">
        <v>1000184670</v>
      </c>
      <c r="B49" s="4" t="s">
        <v>147</v>
      </c>
      <c r="C49" s="21">
        <v>1000186197</v>
      </c>
      <c r="D49" s="3" t="s">
        <v>166</v>
      </c>
      <c r="E49" s="20">
        <v>1000198600</v>
      </c>
      <c r="F49" s="4" t="s">
        <v>148</v>
      </c>
      <c r="G49" s="21">
        <v>1000198601</v>
      </c>
      <c r="H49" s="3" t="s">
        <v>149</v>
      </c>
      <c r="I49" s="21">
        <v>1000189751</v>
      </c>
      <c r="J49" s="3" t="s">
        <v>137</v>
      </c>
      <c r="K49" s="20" t="s">
        <v>18</v>
      </c>
      <c r="L49" s="39">
        <v>0</v>
      </c>
      <c r="M49" s="39">
        <v>0</v>
      </c>
      <c r="N49" s="39">
        <v>0</v>
      </c>
      <c r="O49" s="39">
        <v>0</v>
      </c>
      <c r="P49" s="39">
        <v>0</v>
      </c>
      <c r="Q49" s="39">
        <v>0</v>
      </c>
      <c r="R49" s="39">
        <v>0</v>
      </c>
      <c r="S49" s="39">
        <v>0</v>
      </c>
      <c r="T49" s="39">
        <v>0</v>
      </c>
      <c r="U49" s="39">
        <v>0</v>
      </c>
      <c r="V49" s="39">
        <v>0</v>
      </c>
      <c r="W49" s="39">
        <v>0</v>
      </c>
      <c r="X49" s="39">
        <v>0</v>
      </c>
      <c r="Y49" s="39">
        <v>0</v>
      </c>
      <c r="Z49" s="39">
        <v>0</v>
      </c>
      <c r="AA49" s="39">
        <v>0</v>
      </c>
      <c r="AB49" s="39">
        <v>0</v>
      </c>
      <c r="AC49" s="39">
        <v>0</v>
      </c>
      <c r="AD49" s="39">
        <v>0</v>
      </c>
      <c r="AE49" s="39">
        <v>0</v>
      </c>
      <c r="AF49" s="39">
        <v>24</v>
      </c>
      <c r="AG49" s="39">
        <v>0</v>
      </c>
      <c r="AH49" s="39"/>
      <c r="AI49" s="39"/>
      <c r="AJ49" s="40"/>
      <c r="AK49" s="39">
        <f t="shared" si="0"/>
        <v>0</v>
      </c>
      <c r="AL49" s="39">
        <f t="shared" si="1"/>
        <v>2</v>
      </c>
      <c r="AM49" s="39">
        <f t="shared" si="2"/>
        <v>4</v>
      </c>
      <c r="AN49" s="39">
        <f t="shared" si="3"/>
        <v>2.4</v>
      </c>
      <c r="AO49" s="39">
        <f t="shared" si="4"/>
        <v>24</v>
      </c>
    </row>
    <row r="50" spans="1:41" ht="13.05" x14ac:dyDescent="0.3">
      <c r="A50" s="20">
        <v>1000184670</v>
      </c>
      <c r="B50" s="4" t="s">
        <v>147</v>
      </c>
      <c r="C50" s="21">
        <v>1000186197</v>
      </c>
      <c r="D50" s="3" t="s">
        <v>166</v>
      </c>
      <c r="E50" s="20">
        <v>1000198600</v>
      </c>
      <c r="F50" s="4" t="s">
        <v>148</v>
      </c>
      <c r="G50" s="21">
        <v>1000198601</v>
      </c>
      <c r="H50" s="3" t="s">
        <v>149</v>
      </c>
      <c r="I50" s="21">
        <v>1000189751</v>
      </c>
      <c r="J50" s="3" t="s">
        <v>137</v>
      </c>
      <c r="K50" s="20" t="s">
        <v>29</v>
      </c>
      <c r="L50" s="39">
        <v>0</v>
      </c>
      <c r="M50" s="39">
        <v>0</v>
      </c>
      <c r="N50" s="39">
        <v>0</v>
      </c>
      <c r="O50" s="39">
        <v>0</v>
      </c>
      <c r="P50" s="39">
        <v>0</v>
      </c>
      <c r="Q50" s="39">
        <v>0</v>
      </c>
      <c r="R50" s="39">
        <v>0</v>
      </c>
      <c r="S50" s="39">
        <v>0</v>
      </c>
      <c r="T50" s="39">
        <v>0</v>
      </c>
      <c r="U50" s="39">
        <v>0</v>
      </c>
      <c r="V50" s="39">
        <v>0</v>
      </c>
      <c r="W50" s="39">
        <v>0</v>
      </c>
      <c r="X50" s="39">
        <v>0</v>
      </c>
      <c r="Y50" s="39">
        <v>0</v>
      </c>
      <c r="Z50" s="39">
        <v>0</v>
      </c>
      <c r="AA50" s="39">
        <v>0</v>
      </c>
      <c r="AB50" s="39">
        <v>0</v>
      </c>
      <c r="AC50" s="39">
        <v>0</v>
      </c>
      <c r="AD50" s="39">
        <v>0</v>
      </c>
      <c r="AE50" s="39">
        <v>0</v>
      </c>
      <c r="AF50" s="39">
        <v>1073.25</v>
      </c>
      <c r="AG50" s="39">
        <v>4332.57</v>
      </c>
      <c r="AH50" s="39"/>
      <c r="AI50" s="39"/>
      <c r="AJ50" s="40"/>
      <c r="AK50" s="39">
        <f t="shared" si="0"/>
        <v>0</v>
      </c>
      <c r="AL50" s="39">
        <f t="shared" si="1"/>
        <v>450.48499999999996</v>
      </c>
      <c r="AM50" s="39">
        <f t="shared" si="2"/>
        <v>900.96999999999991</v>
      </c>
      <c r="AN50" s="39">
        <f t="shared" si="3"/>
        <v>540.58199999999999</v>
      </c>
      <c r="AO50" s="39">
        <f t="shared" si="4"/>
        <v>5405.82</v>
      </c>
    </row>
    <row r="51" spans="1:41" ht="13.05" x14ac:dyDescent="0.3">
      <c r="A51" s="20">
        <v>1000184670</v>
      </c>
      <c r="B51" s="4" t="s">
        <v>147</v>
      </c>
      <c r="C51" s="21">
        <v>1000186197</v>
      </c>
      <c r="D51" s="3" t="s">
        <v>166</v>
      </c>
      <c r="E51" s="20">
        <v>1000198600</v>
      </c>
      <c r="F51" s="4" t="s">
        <v>148</v>
      </c>
      <c r="G51" s="21">
        <v>1000198601</v>
      </c>
      <c r="H51" s="3" t="s">
        <v>149</v>
      </c>
      <c r="I51" s="21">
        <v>1000189751</v>
      </c>
      <c r="J51" s="3" t="s">
        <v>137</v>
      </c>
      <c r="K51" s="20" t="s">
        <v>21</v>
      </c>
      <c r="L51" s="39">
        <v>0</v>
      </c>
      <c r="M51" s="39">
        <v>0</v>
      </c>
      <c r="N51" s="39">
        <v>0</v>
      </c>
      <c r="O51" s="39">
        <v>0</v>
      </c>
      <c r="P51" s="39">
        <v>0</v>
      </c>
      <c r="Q51" s="39">
        <v>0</v>
      </c>
      <c r="R51" s="39">
        <v>0</v>
      </c>
      <c r="S51" s="39">
        <v>0</v>
      </c>
      <c r="T51" s="39">
        <v>0</v>
      </c>
      <c r="U51" s="39">
        <v>0</v>
      </c>
      <c r="V51" s="39">
        <v>0</v>
      </c>
      <c r="W51" s="39">
        <v>0</v>
      </c>
      <c r="X51" s="39">
        <v>0</v>
      </c>
      <c r="Y51" s="39">
        <v>0</v>
      </c>
      <c r="Z51" s="39">
        <v>0</v>
      </c>
      <c r="AA51" s="39">
        <v>0</v>
      </c>
      <c r="AB51" s="39">
        <v>0</v>
      </c>
      <c r="AC51" s="39">
        <v>0</v>
      </c>
      <c r="AD51" s="39">
        <v>0</v>
      </c>
      <c r="AE51" s="39">
        <v>0</v>
      </c>
      <c r="AF51" s="39">
        <v>644.13</v>
      </c>
      <c r="AG51" s="39">
        <v>480.2</v>
      </c>
      <c r="AH51" s="39"/>
      <c r="AI51" s="39"/>
      <c r="AJ51" s="40"/>
      <c r="AK51" s="39">
        <f t="shared" si="0"/>
        <v>0</v>
      </c>
      <c r="AL51" s="39">
        <f t="shared" si="1"/>
        <v>93.694166666666661</v>
      </c>
      <c r="AM51" s="39">
        <f t="shared" si="2"/>
        <v>187.38833333333332</v>
      </c>
      <c r="AN51" s="39">
        <f t="shared" si="3"/>
        <v>112.43299999999999</v>
      </c>
      <c r="AO51" s="39">
        <f t="shared" si="4"/>
        <v>1124.33</v>
      </c>
    </row>
    <row r="52" spans="1:41" ht="13.05" x14ac:dyDescent="0.3">
      <c r="A52" s="20">
        <v>1000184670</v>
      </c>
      <c r="B52" s="4" t="s">
        <v>147</v>
      </c>
      <c r="C52" s="21">
        <v>1000186197</v>
      </c>
      <c r="D52" s="3" t="s">
        <v>166</v>
      </c>
      <c r="E52" s="20">
        <v>1000198600</v>
      </c>
      <c r="F52" s="4" t="s">
        <v>148</v>
      </c>
      <c r="G52" s="21">
        <v>1000198601</v>
      </c>
      <c r="H52" s="3" t="s">
        <v>149</v>
      </c>
      <c r="I52" s="21">
        <v>1000189751</v>
      </c>
      <c r="J52" s="3" t="s">
        <v>137</v>
      </c>
      <c r="K52" s="20" t="s">
        <v>20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  <c r="AH52" s="39"/>
      <c r="AI52" s="39"/>
      <c r="AJ52" s="40"/>
      <c r="AK52" s="39">
        <f t="shared" si="0"/>
        <v>0</v>
      </c>
      <c r="AL52" s="39">
        <f t="shared" si="1"/>
        <v>0</v>
      </c>
      <c r="AM52" s="39">
        <f t="shared" si="2"/>
        <v>0</v>
      </c>
      <c r="AN52" s="39">
        <f t="shared" si="3"/>
        <v>0</v>
      </c>
      <c r="AO52" s="39">
        <f t="shared" si="4"/>
        <v>0</v>
      </c>
    </row>
    <row r="53" spans="1:41" ht="13.05" x14ac:dyDescent="0.3">
      <c r="A53" s="20">
        <v>1000184670</v>
      </c>
      <c r="B53" s="4" t="s">
        <v>147</v>
      </c>
      <c r="C53" s="21">
        <v>1000186197</v>
      </c>
      <c r="D53" s="3" t="s">
        <v>166</v>
      </c>
      <c r="E53" s="20">
        <v>1000198600</v>
      </c>
      <c r="F53" s="4" t="s">
        <v>148</v>
      </c>
      <c r="G53" s="21">
        <v>1000198601</v>
      </c>
      <c r="H53" s="3" t="s">
        <v>149</v>
      </c>
      <c r="I53" s="21">
        <v>1000189751</v>
      </c>
      <c r="J53" s="3" t="s">
        <v>137</v>
      </c>
      <c r="K53" s="20" t="s">
        <v>22</v>
      </c>
      <c r="L53" s="39">
        <v>0</v>
      </c>
      <c r="M53" s="39">
        <v>0</v>
      </c>
      <c r="N53" s="39">
        <v>0</v>
      </c>
      <c r="O53" s="39">
        <v>0</v>
      </c>
      <c r="P53" s="39">
        <v>0</v>
      </c>
      <c r="Q53" s="39">
        <v>0</v>
      </c>
      <c r="R53" s="39">
        <v>0</v>
      </c>
      <c r="S53" s="39">
        <v>0</v>
      </c>
      <c r="T53" s="39">
        <v>0</v>
      </c>
      <c r="U53" s="39">
        <v>0</v>
      </c>
      <c r="V53" s="39">
        <v>0</v>
      </c>
      <c r="W53" s="39">
        <v>0</v>
      </c>
      <c r="X53" s="39">
        <v>0</v>
      </c>
      <c r="Y53" s="39">
        <v>0</v>
      </c>
      <c r="Z53" s="39">
        <v>0</v>
      </c>
      <c r="AA53" s="39">
        <v>0</v>
      </c>
      <c r="AB53" s="39">
        <v>0</v>
      </c>
      <c r="AC53" s="39">
        <v>0</v>
      </c>
      <c r="AD53" s="39">
        <v>0</v>
      </c>
      <c r="AE53" s="39">
        <v>0</v>
      </c>
      <c r="AF53" s="39">
        <v>0</v>
      </c>
      <c r="AG53" s="39">
        <v>0</v>
      </c>
      <c r="AH53" s="39"/>
      <c r="AI53" s="39"/>
      <c r="AJ53" s="40"/>
      <c r="AK53" s="39">
        <f t="shared" si="0"/>
        <v>0</v>
      </c>
      <c r="AL53" s="39">
        <f t="shared" si="1"/>
        <v>0</v>
      </c>
      <c r="AM53" s="39">
        <f t="shared" si="2"/>
        <v>0</v>
      </c>
      <c r="AN53" s="39">
        <f t="shared" si="3"/>
        <v>0</v>
      </c>
      <c r="AO53" s="39">
        <f t="shared" si="4"/>
        <v>0</v>
      </c>
    </row>
    <row r="54" spans="1:41" ht="13.05" x14ac:dyDescent="0.3">
      <c r="A54" s="20">
        <v>1000184670</v>
      </c>
      <c r="B54" s="4" t="s">
        <v>147</v>
      </c>
      <c r="C54" s="21">
        <v>1000186197</v>
      </c>
      <c r="D54" s="3" t="s">
        <v>166</v>
      </c>
      <c r="E54" s="20">
        <v>1000198600</v>
      </c>
      <c r="F54" s="4" t="s">
        <v>148</v>
      </c>
      <c r="G54" s="21">
        <v>1000198601</v>
      </c>
      <c r="H54" s="3" t="s">
        <v>149</v>
      </c>
      <c r="I54" s="21">
        <v>1000189751</v>
      </c>
      <c r="J54" s="3" t="s">
        <v>137</v>
      </c>
      <c r="K54" s="20" t="s">
        <v>23</v>
      </c>
      <c r="L54" s="39">
        <v>0</v>
      </c>
      <c r="M54" s="39">
        <v>0</v>
      </c>
      <c r="N54" s="39">
        <v>0</v>
      </c>
      <c r="O54" s="39">
        <v>0</v>
      </c>
      <c r="P54" s="39">
        <v>0</v>
      </c>
      <c r="Q54" s="39">
        <v>0</v>
      </c>
      <c r="R54" s="39">
        <v>0</v>
      </c>
      <c r="S54" s="39">
        <v>0</v>
      </c>
      <c r="T54" s="39">
        <v>0</v>
      </c>
      <c r="U54" s="39">
        <v>0</v>
      </c>
      <c r="V54" s="39">
        <v>0</v>
      </c>
      <c r="W54" s="39">
        <v>0</v>
      </c>
      <c r="X54" s="39">
        <v>0</v>
      </c>
      <c r="Y54" s="39">
        <v>0</v>
      </c>
      <c r="Z54" s="39">
        <v>0</v>
      </c>
      <c r="AA54" s="39">
        <v>0</v>
      </c>
      <c r="AB54" s="39">
        <v>0</v>
      </c>
      <c r="AC54" s="39">
        <v>0</v>
      </c>
      <c r="AD54" s="39">
        <v>0</v>
      </c>
      <c r="AE54" s="39">
        <v>0</v>
      </c>
      <c r="AF54" s="39">
        <v>0</v>
      </c>
      <c r="AG54" s="39">
        <v>0</v>
      </c>
      <c r="AH54" s="39"/>
      <c r="AI54" s="39"/>
      <c r="AJ54" s="40"/>
      <c r="AK54" s="39">
        <f t="shared" si="0"/>
        <v>0</v>
      </c>
      <c r="AL54" s="39">
        <f t="shared" si="1"/>
        <v>0</v>
      </c>
      <c r="AM54" s="39">
        <f t="shared" si="2"/>
        <v>0</v>
      </c>
      <c r="AN54" s="39">
        <f t="shared" si="3"/>
        <v>0</v>
      </c>
      <c r="AO54" s="39">
        <f t="shared" si="4"/>
        <v>0</v>
      </c>
    </row>
    <row r="55" spans="1:41" ht="13.05" x14ac:dyDescent="0.3">
      <c r="A55" s="20">
        <v>1000184670</v>
      </c>
      <c r="B55" s="4" t="s">
        <v>147</v>
      </c>
      <c r="C55" s="21">
        <v>1000186197</v>
      </c>
      <c r="D55" s="3" t="s">
        <v>166</v>
      </c>
      <c r="E55" s="20">
        <v>1000198600</v>
      </c>
      <c r="F55" s="4" t="s">
        <v>148</v>
      </c>
      <c r="G55" s="21">
        <v>1000198601</v>
      </c>
      <c r="H55" s="3" t="s">
        <v>149</v>
      </c>
      <c r="I55" s="21">
        <v>1000189751</v>
      </c>
      <c r="J55" s="3" t="s">
        <v>137</v>
      </c>
      <c r="K55" s="20" t="s">
        <v>28</v>
      </c>
      <c r="L55" s="39">
        <v>0</v>
      </c>
      <c r="M55" s="39">
        <v>0</v>
      </c>
      <c r="N55" s="39">
        <v>0</v>
      </c>
      <c r="O55" s="39">
        <v>0</v>
      </c>
      <c r="P55" s="39">
        <v>0</v>
      </c>
      <c r="Q55" s="39">
        <v>0</v>
      </c>
      <c r="R55" s="39">
        <v>0</v>
      </c>
      <c r="S55" s="39">
        <v>0</v>
      </c>
      <c r="T55" s="39">
        <v>0</v>
      </c>
      <c r="U55" s="39">
        <v>0</v>
      </c>
      <c r="V55" s="39">
        <v>0</v>
      </c>
      <c r="W55" s="39">
        <v>0</v>
      </c>
      <c r="X55" s="39">
        <v>0</v>
      </c>
      <c r="Y55" s="39">
        <v>0</v>
      </c>
      <c r="Z55" s="39">
        <v>0</v>
      </c>
      <c r="AA55" s="39">
        <v>0</v>
      </c>
      <c r="AB55" s="39">
        <v>0</v>
      </c>
      <c r="AC55" s="39">
        <v>0</v>
      </c>
      <c r="AD55" s="39">
        <v>0</v>
      </c>
      <c r="AE55" s="39">
        <v>0</v>
      </c>
      <c r="AF55" s="39">
        <v>0</v>
      </c>
      <c r="AG55" s="39">
        <v>0</v>
      </c>
      <c r="AH55" s="39"/>
      <c r="AI55" s="39"/>
      <c r="AJ55" s="40"/>
      <c r="AK55" s="39">
        <f t="shared" si="0"/>
        <v>0</v>
      </c>
      <c r="AL55" s="39">
        <f t="shared" si="1"/>
        <v>0</v>
      </c>
      <c r="AM55" s="39">
        <f t="shared" si="2"/>
        <v>0</v>
      </c>
      <c r="AN55" s="39">
        <f t="shared" si="3"/>
        <v>0</v>
      </c>
      <c r="AO55" s="39">
        <f t="shared" si="4"/>
        <v>0</v>
      </c>
    </row>
    <row r="56" spans="1:41" x14ac:dyDescent="0.3">
      <c r="A56" s="20">
        <v>1000184670</v>
      </c>
      <c r="B56" s="4" t="s">
        <v>147</v>
      </c>
      <c r="C56" s="21">
        <v>1000186197</v>
      </c>
      <c r="D56" s="3" t="s">
        <v>166</v>
      </c>
      <c r="E56" s="20">
        <v>1000198600</v>
      </c>
      <c r="F56" s="4" t="s">
        <v>148</v>
      </c>
      <c r="G56" s="21">
        <v>1000198601</v>
      </c>
      <c r="H56" s="3" t="s">
        <v>149</v>
      </c>
      <c r="I56" s="21">
        <v>1000189751</v>
      </c>
      <c r="J56" s="3" t="s">
        <v>137</v>
      </c>
      <c r="K56" s="20" t="s">
        <v>26</v>
      </c>
      <c r="L56" s="39">
        <v>0</v>
      </c>
      <c r="M56" s="39">
        <v>0</v>
      </c>
      <c r="N56" s="39">
        <v>0</v>
      </c>
      <c r="O56" s="39">
        <v>0</v>
      </c>
      <c r="P56" s="39">
        <v>0</v>
      </c>
      <c r="Q56" s="39">
        <v>0</v>
      </c>
      <c r="R56" s="39">
        <v>0</v>
      </c>
      <c r="S56" s="39">
        <v>0</v>
      </c>
      <c r="T56" s="39">
        <v>0</v>
      </c>
      <c r="U56" s="39">
        <v>0</v>
      </c>
      <c r="V56" s="39">
        <v>0</v>
      </c>
      <c r="W56" s="39">
        <v>0</v>
      </c>
      <c r="X56" s="39">
        <v>0</v>
      </c>
      <c r="Y56" s="39">
        <v>0</v>
      </c>
      <c r="Z56" s="39">
        <v>0</v>
      </c>
      <c r="AA56" s="39">
        <v>0</v>
      </c>
      <c r="AB56" s="39">
        <v>0</v>
      </c>
      <c r="AC56" s="39">
        <v>0</v>
      </c>
      <c r="AD56" s="39">
        <v>0</v>
      </c>
      <c r="AE56" s="39">
        <v>0</v>
      </c>
      <c r="AF56" s="39">
        <v>0</v>
      </c>
      <c r="AG56" s="39">
        <v>0</v>
      </c>
      <c r="AH56" s="39"/>
      <c r="AI56" s="39"/>
      <c r="AJ56" s="40"/>
      <c r="AK56" s="39">
        <f t="shared" si="0"/>
        <v>0</v>
      </c>
      <c r="AL56" s="39">
        <f t="shared" si="1"/>
        <v>0</v>
      </c>
      <c r="AM56" s="39">
        <f t="shared" si="2"/>
        <v>0</v>
      </c>
      <c r="AN56" s="39">
        <f t="shared" si="3"/>
        <v>0</v>
      </c>
      <c r="AO56" s="39">
        <f t="shared" si="4"/>
        <v>0</v>
      </c>
    </row>
    <row r="57" spans="1:41" x14ac:dyDescent="0.3">
      <c r="A57" s="20">
        <v>1000184670</v>
      </c>
      <c r="B57" s="4" t="s">
        <v>147</v>
      </c>
      <c r="C57" s="21">
        <v>1000186197</v>
      </c>
      <c r="D57" s="3" t="s">
        <v>166</v>
      </c>
      <c r="E57" s="20">
        <v>1000198600</v>
      </c>
      <c r="F57" s="4" t="s">
        <v>148</v>
      </c>
      <c r="G57" s="21">
        <v>1000198601</v>
      </c>
      <c r="H57" s="3" t="s">
        <v>149</v>
      </c>
      <c r="I57" s="21">
        <v>1000189751</v>
      </c>
      <c r="J57" s="3" t="s">
        <v>137</v>
      </c>
      <c r="K57" s="20" t="s">
        <v>27</v>
      </c>
      <c r="L57" s="39">
        <v>0</v>
      </c>
      <c r="M57" s="39">
        <v>0</v>
      </c>
      <c r="N57" s="39">
        <v>0</v>
      </c>
      <c r="O57" s="39">
        <v>0</v>
      </c>
      <c r="P57" s="39">
        <v>0</v>
      </c>
      <c r="Q57" s="39">
        <v>0</v>
      </c>
      <c r="R57" s="39">
        <v>0</v>
      </c>
      <c r="S57" s="39">
        <v>0</v>
      </c>
      <c r="T57" s="39">
        <v>0</v>
      </c>
      <c r="U57" s="39">
        <v>0</v>
      </c>
      <c r="V57" s="39">
        <v>0</v>
      </c>
      <c r="W57" s="39">
        <v>0</v>
      </c>
      <c r="X57" s="39">
        <v>0</v>
      </c>
      <c r="Y57" s="39">
        <v>0</v>
      </c>
      <c r="Z57" s="39">
        <v>0</v>
      </c>
      <c r="AA57" s="39">
        <v>0</v>
      </c>
      <c r="AB57" s="39">
        <v>0</v>
      </c>
      <c r="AC57" s="39">
        <v>0</v>
      </c>
      <c r="AD57" s="39">
        <v>0</v>
      </c>
      <c r="AE57" s="39">
        <v>0</v>
      </c>
      <c r="AF57" s="39">
        <v>0</v>
      </c>
      <c r="AG57" s="39">
        <v>0</v>
      </c>
      <c r="AH57" s="39"/>
      <c r="AI57" s="39"/>
      <c r="AJ57" s="40"/>
      <c r="AK57" s="39">
        <f t="shared" si="0"/>
        <v>0</v>
      </c>
      <c r="AL57" s="39">
        <f t="shared" si="1"/>
        <v>0</v>
      </c>
      <c r="AM57" s="39">
        <f t="shared" si="2"/>
        <v>0</v>
      </c>
      <c r="AN57" s="39">
        <f t="shared" si="3"/>
        <v>0</v>
      </c>
      <c r="AO57" s="39">
        <f t="shared" si="4"/>
        <v>0</v>
      </c>
    </row>
    <row r="58" spans="1:41" x14ac:dyDescent="0.3">
      <c r="A58" s="20">
        <v>1000184670</v>
      </c>
      <c r="B58" s="4" t="s">
        <v>147</v>
      </c>
      <c r="C58" s="21">
        <v>1000186197</v>
      </c>
      <c r="D58" s="3" t="s">
        <v>166</v>
      </c>
      <c r="E58" s="20">
        <v>1000198600</v>
      </c>
      <c r="F58" s="4" t="s">
        <v>148</v>
      </c>
      <c r="G58" s="21">
        <v>1000198601</v>
      </c>
      <c r="H58" s="3" t="s">
        <v>149</v>
      </c>
      <c r="I58" s="21">
        <v>1000189751</v>
      </c>
      <c r="J58" s="3" t="s">
        <v>137</v>
      </c>
      <c r="K58" s="20" t="s">
        <v>25</v>
      </c>
      <c r="L58" s="39">
        <v>0</v>
      </c>
      <c r="M58" s="39">
        <v>0</v>
      </c>
      <c r="N58" s="39">
        <v>0</v>
      </c>
      <c r="O58" s="39">
        <v>0</v>
      </c>
      <c r="P58" s="39">
        <v>0</v>
      </c>
      <c r="Q58" s="39">
        <v>0</v>
      </c>
      <c r="R58" s="39">
        <v>0</v>
      </c>
      <c r="S58" s="39">
        <v>0</v>
      </c>
      <c r="T58" s="39">
        <v>0</v>
      </c>
      <c r="U58" s="39">
        <v>0</v>
      </c>
      <c r="V58" s="39">
        <v>0</v>
      </c>
      <c r="W58" s="39">
        <v>0</v>
      </c>
      <c r="X58" s="39">
        <v>0</v>
      </c>
      <c r="Y58" s="39">
        <v>0</v>
      </c>
      <c r="Z58" s="39">
        <v>0</v>
      </c>
      <c r="AA58" s="39">
        <v>0</v>
      </c>
      <c r="AB58" s="39">
        <v>0</v>
      </c>
      <c r="AC58" s="39">
        <v>0</v>
      </c>
      <c r="AD58" s="39">
        <v>0</v>
      </c>
      <c r="AE58" s="39">
        <v>0</v>
      </c>
      <c r="AF58" s="39">
        <v>247.5</v>
      </c>
      <c r="AG58" s="39">
        <v>0</v>
      </c>
      <c r="AH58" s="39"/>
      <c r="AI58" s="39"/>
      <c r="AJ58" s="40"/>
      <c r="AK58" s="39">
        <f t="shared" si="0"/>
        <v>0</v>
      </c>
      <c r="AL58" s="39">
        <f t="shared" si="1"/>
        <v>20.625</v>
      </c>
      <c r="AM58" s="39">
        <f t="shared" si="2"/>
        <v>41.25</v>
      </c>
      <c r="AN58" s="39">
        <f t="shared" si="3"/>
        <v>24.75</v>
      </c>
      <c r="AO58" s="39">
        <f t="shared" si="4"/>
        <v>247.5</v>
      </c>
    </row>
    <row r="59" spans="1:41" x14ac:dyDescent="0.3">
      <c r="A59" s="20">
        <v>1000184670</v>
      </c>
      <c r="B59" s="4" t="s">
        <v>147</v>
      </c>
      <c r="C59" s="21">
        <v>1000186197</v>
      </c>
      <c r="D59" s="3" t="s">
        <v>166</v>
      </c>
      <c r="E59" s="20">
        <v>1000198600</v>
      </c>
      <c r="F59" s="4" t="s">
        <v>148</v>
      </c>
      <c r="G59" s="21">
        <v>1000198601</v>
      </c>
      <c r="H59" s="3" t="s">
        <v>149</v>
      </c>
      <c r="I59" s="21">
        <v>1000189753</v>
      </c>
      <c r="J59" s="3" t="s">
        <v>138</v>
      </c>
      <c r="K59" s="20" t="s">
        <v>124</v>
      </c>
      <c r="L59" s="39">
        <v>0</v>
      </c>
      <c r="M59" s="39">
        <v>0</v>
      </c>
      <c r="N59" s="39">
        <v>0</v>
      </c>
      <c r="O59" s="39">
        <v>0</v>
      </c>
      <c r="P59" s="39">
        <v>0</v>
      </c>
      <c r="Q59" s="39">
        <v>0</v>
      </c>
      <c r="R59" s="39">
        <v>0</v>
      </c>
      <c r="S59" s="39">
        <v>0</v>
      </c>
      <c r="T59" s="39">
        <v>0</v>
      </c>
      <c r="U59" s="39">
        <v>0</v>
      </c>
      <c r="V59" s="39">
        <v>0</v>
      </c>
      <c r="W59" s="39">
        <v>0</v>
      </c>
      <c r="X59" s="39">
        <v>0</v>
      </c>
      <c r="Y59" s="39">
        <v>0</v>
      </c>
      <c r="Z59" s="39">
        <v>0</v>
      </c>
      <c r="AA59" s="39">
        <v>0</v>
      </c>
      <c r="AB59" s="39">
        <v>0</v>
      </c>
      <c r="AC59" s="39">
        <v>0</v>
      </c>
      <c r="AD59" s="39">
        <v>0</v>
      </c>
      <c r="AE59" s="39">
        <v>0</v>
      </c>
      <c r="AF59" s="39">
        <v>0</v>
      </c>
      <c r="AG59" s="39">
        <v>0</v>
      </c>
      <c r="AH59" s="39"/>
      <c r="AI59" s="39"/>
      <c r="AJ59" s="40"/>
      <c r="AK59" s="39">
        <f t="shared" ref="AK59:AK111" si="5">AVERAGE(L59:W59)</f>
        <v>0</v>
      </c>
      <c r="AL59" s="39">
        <f t="shared" si="1"/>
        <v>0</v>
      </c>
      <c r="AM59" s="39">
        <f t="shared" si="2"/>
        <v>0</v>
      </c>
      <c r="AN59" s="39">
        <f t="shared" ref="AN59:AN111" si="6">AVERAGE(X59:AI59)</f>
        <v>0</v>
      </c>
      <c r="AO59" s="39">
        <f t="shared" ref="AO59:AO111" si="7">SUM(X59:AI59)</f>
        <v>0</v>
      </c>
    </row>
    <row r="60" spans="1:41" x14ac:dyDescent="0.3">
      <c r="A60" s="20">
        <v>1000184670</v>
      </c>
      <c r="B60" s="4" t="s">
        <v>147</v>
      </c>
      <c r="C60" s="21">
        <v>1000186197</v>
      </c>
      <c r="D60" s="3" t="s">
        <v>166</v>
      </c>
      <c r="E60" s="20">
        <v>1000198600</v>
      </c>
      <c r="F60" s="4" t="s">
        <v>148</v>
      </c>
      <c r="G60" s="21">
        <v>1000198601</v>
      </c>
      <c r="H60" s="3" t="s">
        <v>149</v>
      </c>
      <c r="I60" s="21">
        <v>1000189753</v>
      </c>
      <c r="J60" s="3" t="s">
        <v>138</v>
      </c>
      <c r="K60" s="20" t="s">
        <v>13</v>
      </c>
      <c r="L60" s="39">
        <v>0</v>
      </c>
      <c r="M60" s="39">
        <v>0</v>
      </c>
      <c r="N60" s="39">
        <v>0</v>
      </c>
      <c r="O60" s="39">
        <v>0</v>
      </c>
      <c r="P60" s="39">
        <v>0</v>
      </c>
      <c r="Q60" s="39">
        <v>0</v>
      </c>
      <c r="R60" s="39">
        <v>0</v>
      </c>
      <c r="S60" s="39">
        <v>0</v>
      </c>
      <c r="T60" s="39">
        <v>0</v>
      </c>
      <c r="U60" s="39">
        <v>0</v>
      </c>
      <c r="V60" s="39">
        <v>0</v>
      </c>
      <c r="W60" s="39">
        <v>0</v>
      </c>
      <c r="X60" s="39">
        <v>0</v>
      </c>
      <c r="Y60" s="39">
        <v>0</v>
      </c>
      <c r="Z60" s="39">
        <v>0</v>
      </c>
      <c r="AA60" s="39">
        <v>0</v>
      </c>
      <c r="AB60" s="39">
        <v>0</v>
      </c>
      <c r="AC60" s="39">
        <v>0</v>
      </c>
      <c r="AD60" s="39">
        <v>0</v>
      </c>
      <c r="AE60" s="39">
        <v>0</v>
      </c>
      <c r="AF60" s="39">
        <v>733.97</v>
      </c>
      <c r="AG60" s="39">
        <v>253.74</v>
      </c>
      <c r="AH60" s="39"/>
      <c r="AI60" s="39"/>
      <c r="AJ60" s="40"/>
      <c r="AK60" s="39">
        <f t="shared" si="5"/>
        <v>0</v>
      </c>
      <c r="AL60" s="39">
        <f t="shared" si="1"/>
        <v>82.30916666666667</v>
      </c>
      <c r="AM60" s="39">
        <f t="shared" si="2"/>
        <v>164.61833333333334</v>
      </c>
      <c r="AN60" s="39">
        <f t="shared" si="6"/>
        <v>98.771000000000001</v>
      </c>
      <c r="AO60" s="39">
        <f t="shared" si="7"/>
        <v>987.71</v>
      </c>
    </row>
    <row r="61" spans="1:41" x14ac:dyDescent="0.3">
      <c r="A61" s="20">
        <v>1000184670</v>
      </c>
      <c r="B61" s="4" t="s">
        <v>147</v>
      </c>
      <c r="C61" s="21">
        <v>1000186197</v>
      </c>
      <c r="D61" s="3" t="s">
        <v>166</v>
      </c>
      <c r="E61" s="20">
        <v>1000198600</v>
      </c>
      <c r="F61" s="4" t="s">
        <v>148</v>
      </c>
      <c r="G61" s="21">
        <v>1000198601</v>
      </c>
      <c r="H61" s="3" t="s">
        <v>149</v>
      </c>
      <c r="I61" s="21">
        <v>1000189753</v>
      </c>
      <c r="J61" s="3" t="s">
        <v>138</v>
      </c>
      <c r="K61" s="20" t="s">
        <v>14</v>
      </c>
      <c r="L61" s="39">
        <v>0</v>
      </c>
      <c r="M61" s="39">
        <v>0</v>
      </c>
      <c r="N61" s="39">
        <v>0</v>
      </c>
      <c r="O61" s="39">
        <v>0</v>
      </c>
      <c r="P61" s="39">
        <v>0</v>
      </c>
      <c r="Q61" s="39">
        <v>0</v>
      </c>
      <c r="R61" s="39">
        <v>0</v>
      </c>
      <c r="S61" s="39">
        <v>0</v>
      </c>
      <c r="T61" s="39">
        <v>0</v>
      </c>
      <c r="U61" s="39">
        <v>0</v>
      </c>
      <c r="V61" s="39">
        <v>0</v>
      </c>
      <c r="W61" s="39">
        <v>0</v>
      </c>
      <c r="X61" s="39">
        <v>0</v>
      </c>
      <c r="Y61" s="39">
        <v>0</v>
      </c>
      <c r="Z61" s="39">
        <v>0</v>
      </c>
      <c r="AA61" s="39">
        <v>0</v>
      </c>
      <c r="AB61" s="39">
        <v>0</v>
      </c>
      <c r="AC61" s="39">
        <v>0</v>
      </c>
      <c r="AD61" s="39">
        <v>0</v>
      </c>
      <c r="AE61" s="39">
        <v>0</v>
      </c>
      <c r="AF61" s="39">
        <v>193.8</v>
      </c>
      <c r="AG61" s="39">
        <v>0</v>
      </c>
      <c r="AH61" s="39"/>
      <c r="AI61" s="39"/>
      <c r="AJ61" s="40"/>
      <c r="AK61" s="39">
        <f t="shared" si="5"/>
        <v>0</v>
      </c>
      <c r="AL61" s="39">
        <f t="shared" si="1"/>
        <v>16.150000000000002</v>
      </c>
      <c r="AM61" s="39">
        <f t="shared" si="2"/>
        <v>32.300000000000004</v>
      </c>
      <c r="AN61" s="39">
        <f t="shared" si="6"/>
        <v>19.380000000000003</v>
      </c>
      <c r="AO61" s="39">
        <f t="shared" si="7"/>
        <v>193.8</v>
      </c>
    </row>
    <row r="62" spans="1:41" x14ac:dyDescent="0.3">
      <c r="A62" s="20">
        <v>1000184670</v>
      </c>
      <c r="B62" s="4" t="s">
        <v>147</v>
      </c>
      <c r="C62" s="21">
        <v>1000186197</v>
      </c>
      <c r="D62" s="3" t="s">
        <v>166</v>
      </c>
      <c r="E62" s="20">
        <v>1000198600</v>
      </c>
      <c r="F62" s="4" t="s">
        <v>148</v>
      </c>
      <c r="G62" s="21">
        <v>1000198601</v>
      </c>
      <c r="H62" s="3" t="s">
        <v>149</v>
      </c>
      <c r="I62" s="21">
        <v>1000189753</v>
      </c>
      <c r="J62" s="3" t="s">
        <v>138</v>
      </c>
      <c r="K62" s="20" t="s">
        <v>16</v>
      </c>
      <c r="L62" s="39">
        <v>0</v>
      </c>
      <c r="M62" s="39">
        <v>0</v>
      </c>
      <c r="N62" s="39">
        <v>0</v>
      </c>
      <c r="O62" s="39">
        <v>0</v>
      </c>
      <c r="P62" s="39">
        <v>0</v>
      </c>
      <c r="Q62" s="39">
        <v>0</v>
      </c>
      <c r="R62" s="39">
        <v>0</v>
      </c>
      <c r="S62" s="39">
        <v>0</v>
      </c>
      <c r="T62" s="39">
        <v>0</v>
      </c>
      <c r="U62" s="39">
        <v>0</v>
      </c>
      <c r="V62" s="39">
        <v>0</v>
      </c>
      <c r="W62" s="39">
        <v>0</v>
      </c>
      <c r="X62" s="39">
        <v>0</v>
      </c>
      <c r="Y62" s="39">
        <v>0</v>
      </c>
      <c r="Z62" s="39">
        <v>0</v>
      </c>
      <c r="AA62" s="39">
        <v>0</v>
      </c>
      <c r="AB62" s="39">
        <v>0</v>
      </c>
      <c r="AC62" s="39">
        <v>0</v>
      </c>
      <c r="AD62" s="39">
        <v>0</v>
      </c>
      <c r="AE62" s="39">
        <v>0</v>
      </c>
      <c r="AF62" s="39">
        <v>401.72</v>
      </c>
      <c r="AG62" s="39">
        <v>244.99</v>
      </c>
      <c r="AH62" s="39"/>
      <c r="AI62" s="39"/>
      <c r="AJ62" s="40"/>
      <c r="AK62" s="39">
        <f t="shared" si="5"/>
        <v>0</v>
      </c>
      <c r="AL62" s="39">
        <f t="shared" si="1"/>
        <v>53.892500000000005</v>
      </c>
      <c r="AM62" s="39">
        <f t="shared" si="2"/>
        <v>107.78500000000001</v>
      </c>
      <c r="AN62" s="39">
        <f t="shared" si="6"/>
        <v>64.671000000000006</v>
      </c>
      <c r="AO62" s="39">
        <f t="shared" si="7"/>
        <v>646.71</v>
      </c>
    </row>
    <row r="63" spans="1:41" x14ac:dyDescent="0.3">
      <c r="A63" s="20">
        <v>1000184670</v>
      </c>
      <c r="B63" s="4" t="s">
        <v>147</v>
      </c>
      <c r="C63" s="21">
        <v>1000186197</v>
      </c>
      <c r="D63" s="3" t="s">
        <v>166</v>
      </c>
      <c r="E63" s="20">
        <v>1000198600</v>
      </c>
      <c r="F63" s="4" t="s">
        <v>148</v>
      </c>
      <c r="G63" s="21">
        <v>1000198601</v>
      </c>
      <c r="H63" s="3" t="s">
        <v>149</v>
      </c>
      <c r="I63" s="21">
        <v>1000189753</v>
      </c>
      <c r="J63" s="3" t="s">
        <v>138</v>
      </c>
      <c r="K63" s="20" t="s">
        <v>15</v>
      </c>
      <c r="L63" s="39">
        <v>0</v>
      </c>
      <c r="M63" s="39">
        <v>0</v>
      </c>
      <c r="N63" s="39">
        <v>0</v>
      </c>
      <c r="O63" s="39">
        <v>0</v>
      </c>
      <c r="P63" s="39">
        <v>0</v>
      </c>
      <c r="Q63" s="39">
        <v>0</v>
      </c>
      <c r="R63" s="39">
        <v>0</v>
      </c>
      <c r="S63" s="39">
        <v>0</v>
      </c>
      <c r="T63" s="39">
        <v>0</v>
      </c>
      <c r="U63" s="39">
        <v>0</v>
      </c>
      <c r="V63" s="39">
        <v>0</v>
      </c>
      <c r="W63" s="39">
        <v>0</v>
      </c>
      <c r="X63" s="39">
        <v>0</v>
      </c>
      <c r="Y63" s="39">
        <v>0</v>
      </c>
      <c r="Z63" s="39">
        <v>0</v>
      </c>
      <c r="AA63" s="39">
        <v>0</v>
      </c>
      <c r="AB63" s="39">
        <v>0</v>
      </c>
      <c r="AC63" s="39">
        <v>0</v>
      </c>
      <c r="AD63" s="39">
        <v>0</v>
      </c>
      <c r="AE63" s="39">
        <v>0</v>
      </c>
      <c r="AF63" s="39">
        <v>451.5</v>
      </c>
      <c r="AG63" s="39">
        <v>462</v>
      </c>
      <c r="AH63" s="39"/>
      <c r="AI63" s="39"/>
      <c r="AJ63" s="40"/>
      <c r="AK63" s="39">
        <f t="shared" si="5"/>
        <v>0</v>
      </c>
      <c r="AL63" s="39">
        <f t="shared" si="1"/>
        <v>76.125</v>
      </c>
      <c r="AM63" s="39">
        <f t="shared" si="2"/>
        <v>152.25</v>
      </c>
      <c r="AN63" s="39">
        <f t="shared" si="6"/>
        <v>91.35</v>
      </c>
      <c r="AO63" s="39">
        <f t="shared" si="7"/>
        <v>913.5</v>
      </c>
    </row>
    <row r="64" spans="1:41" x14ac:dyDescent="0.3">
      <c r="A64" s="20">
        <v>1000184670</v>
      </c>
      <c r="B64" s="4" t="s">
        <v>147</v>
      </c>
      <c r="C64" s="21">
        <v>1000186197</v>
      </c>
      <c r="D64" s="3" t="s">
        <v>166</v>
      </c>
      <c r="E64" s="20">
        <v>1000198600</v>
      </c>
      <c r="F64" s="4" t="s">
        <v>148</v>
      </c>
      <c r="G64" s="21">
        <v>1000198601</v>
      </c>
      <c r="H64" s="3" t="s">
        <v>149</v>
      </c>
      <c r="I64" s="21">
        <v>1000189753</v>
      </c>
      <c r="J64" s="3" t="s">
        <v>138</v>
      </c>
      <c r="K64" s="20" t="s">
        <v>33</v>
      </c>
      <c r="L64" s="39">
        <v>0</v>
      </c>
      <c r="M64" s="39">
        <v>0</v>
      </c>
      <c r="N64" s="39">
        <v>0</v>
      </c>
      <c r="O64" s="39">
        <v>0</v>
      </c>
      <c r="P64" s="39">
        <v>0</v>
      </c>
      <c r="Q64" s="39">
        <v>0</v>
      </c>
      <c r="R64" s="39">
        <v>0</v>
      </c>
      <c r="S64" s="39">
        <v>0</v>
      </c>
      <c r="T64" s="39">
        <v>0</v>
      </c>
      <c r="U64" s="39">
        <v>0</v>
      </c>
      <c r="V64" s="39">
        <v>0</v>
      </c>
      <c r="W64" s="39">
        <v>0</v>
      </c>
      <c r="X64" s="39">
        <v>0</v>
      </c>
      <c r="Y64" s="39">
        <v>0</v>
      </c>
      <c r="Z64" s="39">
        <v>0</v>
      </c>
      <c r="AA64" s="39">
        <v>0</v>
      </c>
      <c r="AB64" s="39">
        <v>0</v>
      </c>
      <c r="AC64" s="39">
        <v>0</v>
      </c>
      <c r="AD64" s="39">
        <v>0</v>
      </c>
      <c r="AE64" s="39">
        <v>0</v>
      </c>
      <c r="AF64" s="39">
        <v>0</v>
      </c>
      <c r="AG64" s="39">
        <v>0</v>
      </c>
      <c r="AH64" s="39"/>
      <c r="AI64" s="39"/>
      <c r="AJ64" s="40"/>
      <c r="AK64" s="39">
        <f t="shared" si="5"/>
        <v>0</v>
      </c>
      <c r="AL64" s="39">
        <f t="shared" si="1"/>
        <v>0</v>
      </c>
      <c r="AM64" s="39">
        <f t="shared" si="2"/>
        <v>0</v>
      </c>
      <c r="AN64" s="39">
        <f t="shared" si="6"/>
        <v>0</v>
      </c>
      <c r="AO64" s="39">
        <f t="shared" si="7"/>
        <v>0</v>
      </c>
    </row>
    <row r="65" spans="1:41" x14ac:dyDescent="0.3">
      <c r="A65" s="20">
        <v>1000184670</v>
      </c>
      <c r="B65" s="4" t="s">
        <v>147</v>
      </c>
      <c r="C65" s="21">
        <v>1000186197</v>
      </c>
      <c r="D65" s="3" t="s">
        <v>166</v>
      </c>
      <c r="E65" s="20">
        <v>1000198600</v>
      </c>
      <c r="F65" s="4" t="s">
        <v>148</v>
      </c>
      <c r="G65" s="21">
        <v>1000198601</v>
      </c>
      <c r="H65" s="3" t="s">
        <v>149</v>
      </c>
      <c r="I65" s="21">
        <v>1000189753</v>
      </c>
      <c r="J65" s="3" t="s">
        <v>138</v>
      </c>
      <c r="K65" s="20" t="s">
        <v>19</v>
      </c>
      <c r="L65" s="39">
        <v>0</v>
      </c>
      <c r="M65" s="39">
        <v>0</v>
      </c>
      <c r="N65" s="39">
        <v>0</v>
      </c>
      <c r="O65" s="39">
        <v>0</v>
      </c>
      <c r="P65" s="39">
        <v>0</v>
      </c>
      <c r="Q65" s="39">
        <v>0</v>
      </c>
      <c r="R65" s="39">
        <v>0</v>
      </c>
      <c r="S65" s="39">
        <v>0</v>
      </c>
      <c r="T65" s="39">
        <v>0</v>
      </c>
      <c r="U65" s="39">
        <v>0</v>
      </c>
      <c r="V65" s="39">
        <v>0</v>
      </c>
      <c r="W65" s="39">
        <v>0</v>
      </c>
      <c r="X65" s="39">
        <v>0</v>
      </c>
      <c r="Y65" s="39">
        <v>0</v>
      </c>
      <c r="Z65" s="39">
        <v>0</v>
      </c>
      <c r="AA65" s="39">
        <v>0</v>
      </c>
      <c r="AB65" s="39">
        <v>0</v>
      </c>
      <c r="AC65" s="39">
        <v>0</v>
      </c>
      <c r="AD65" s="39">
        <v>0</v>
      </c>
      <c r="AE65" s="39">
        <v>0</v>
      </c>
      <c r="AF65" s="39">
        <v>162</v>
      </c>
      <c r="AG65" s="39">
        <v>129.6</v>
      </c>
      <c r="AH65" s="39"/>
      <c r="AI65" s="39"/>
      <c r="AJ65" s="40"/>
      <c r="AK65" s="39">
        <f t="shared" si="5"/>
        <v>0</v>
      </c>
      <c r="AL65" s="39">
        <f t="shared" si="1"/>
        <v>24.3</v>
      </c>
      <c r="AM65" s="39">
        <f t="shared" si="2"/>
        <v>48.6</v>
      </c>
      <c r="AN65" s="39">
        <f t="shared" si="6"/>
        <v>29.160000000000004</v>
      </c>
      <c r="AO65" s="39">
        <f t="shared" si="7"/>
        <v>291.60000000000002</v>
      </c>
    </row>
    <row r="66" spans="1:41" x14ac:dyDescent="0.3">
      <c r="A66" s="20">
        <v>1000184670</v>
      </c>
      <c r="B66" s="4" t="s">
        <v>147</v>
      </c>
      <c r="C66" s="21">
        <v>1000186197</v>
      </c>
      <c r="D66" s="3" t="s">
        <v>166</v>
      </c>
      <c r="E66" s="20">
        <v>1000198600</v>
      </c>
      <c r="F66" s="4" t="s">
        <v>148</v>
      </c>
      <c r="G66" s="21">
        <v>1000198601</v>
      </c>
      <c r="H66" s="3" t="s">
        <v>149</v>
      </c>
      <c r="I66" s="21">
        <v>1000189753</v>
      </c>
      <c r="J66" s="3" t="s">
        <v>138</v>
      </c>
      <c r="K66" s="20" t="s">
        <v>17</v>
      </c>
      <c r="L66" s="39">
        <v>0</v>
      </c>
      <c r="M66" s="39">
        <v>0</v>
      </c>
      <c r="N66" s="39">
        <v>0</v>
      </c>
      <c r="O66" s="39">
        <v>0</v>
      </c>
      <c r="P66" s="39">
        <v>0</v>
      </c>
      <c r="Q66" s="39">
        <v>0</v>
      </c>
      <c r="R66" s="39">
        <v>0</v>
      </c>
      <c r="S66" s="39">
        <v>0</v>
      </c>
      <c r="T66" s="39">
        <v>0</v>
      </c>
      <c r="U66" s="39">
        <v>0</v>
      </c>
      <c r="V66" s="39">
        <v>0</v>
      </c>
      <c r="W66" s="39">
        <v>0</v>
      </c>
      <c r="X66" s="39">
        <v>0</v>
      </c>
      <c r="Y66" s="39">
        <v>0</v>
      </c>
      <c r="Z66" s="39">
        <v>0</v>
      </c>
      <c r="AA66" s="39">
        <v>0</v>
      </c>
      <c r="AB66" s="39">
        <v>0</v>
      </c>
      <c r="AC66" s="39">
        <v>0</v>
      </c>
      <c r="AD66" s="39">
        <v>0</v>
      </c>
      <c r="AE66" s="39">
        <v>0</v>
      </c>
      <c r="AF66" s="39">
        <v>0</v>
      </c>
      <c r="AG66" s="39">
        <v>0</v>
      </c>
      <c r="AH66" s="39"/>
      <c r="AI66" s="39"/>
      <c r="AJ66" s="40"/>
      <c r="AK66" s="39">
        <f t="shared" si="5"/>
        <v>0</v>
      </c>
      <c r="AL66" s="39">
        <f t="shared" si="1"/>
        <v>0</v>
      </c>
      <c r="AM66" s="39">
        <f t="shared" si="2"/>
        <v>0</v>
      </c>
      <c r="AN66" s="39">
        <f t="shared" si="6"/>
        <v>0</v>
      </c>
      <c r="AO66" s="39">
        <f t="shared" si="7"/>
        <v>0</v>
      </c>
    </row>
    <row r="67" spans="1:41" x14ac:dyDescent="0.3">
      <c r="A67" s="20">
        <v>1000184670</v>
      </c>
      <c r="B67" s="4" t="s">
        <v>147</v>
      </c>
      <c r="C67" s="21">
        <v>1000186197</v>
      </c>
      <c r="D67" s="3" t="s">
        <v>166</v>
      </c>
      <c r="E67" s="20">
        <v>1000198600</v>
      </c>
      <c r="F67" s="4" t="s">
        <v>148</v>
      </c>
      <c r="G67" s="21">
        <v>1000198601</v>
      </c>
      <c r="H67" s="3" t="s">
        <v>149</v>
      </c>
      <c r="I67" s="21">
        <v>1000189753</v>
      </c>
      <c r="J67" s="3" t="s">
        <v>138</v>
      </c>
      <c r="K67" s="20" t="s">
        <v>24</v>
      </c>
      <c r="L67" s="39">
        <v>0</v>
      </c>
      <c r="M67" s="39">
        <v>0</v>
      </c>
      <c r="N67" s="39">
        <v>0</v>
      </c>
      <c r="O67" s="39">
        <v>0</v>
      </c>
      <c r="P67" s="39">
        <v>0</v>
      </c>
      <c r="Q67" s="39">
        <v>0</v>
      </c>
      <c r="R67" s="39">
        <v>0</v>
      </c>
      <c r="S67" s="39">
        <v>0</v>
      </c>
      <c r="T67" s="39">
        <v>0</v>
      </c>
      <c r="U67" s="39">
        <v>0</v>
      </c>
      <c r="V67" s="39">
        <v>0</v>
      </c>
      <c r="W67" s="39">
        <v>0</v>
      </c>
      <c r="X67" s="39">
        <v>0</v>
      </c>
      <c r="Y67" s="39">
        <v>0</v>
      </c>
      <c r="Z67" s="39">
        <v>0</v>
      </c>
      <c r="AA67" s="39">
        <v>0</v>
      </c>
      <c r="AB67" s="39">
        <v>0</v>
      </c>
      <c r="AC67" s="39">
        <v>0</v>
      </c>
      <c r="AD67" s="39">
        <v>0</v>
      </c>
      <c r="AE67" s="39">
        <v>0</v>
      </c>
      <c r="AF67" s="39">
        <v>428.34</v>
      </c>
      <c r="AG67" s="39">
        <v>127.41</v>
      </c>
      <c r="AH67" s="39"/>
      <c r="AI67" s="39"/>
      <c r="AJ67" s="40"/>
      <c r="AK67" s="39">
        <f t="shared" si="5"/>
        <v>0</v>
      </c>
      <c r="AL67" s="39">
        <f t="shared" ref="AL67:AL130" si="8">AVERAGE(V67:AG67)</f>
        <v>46.3125</v>
      </c>
      <c r="AM67" s="39">
        <f t="shared" ref="AM67:AM130" si="9">AVERAGE(AB67:AG67)</f>
        <v>92.625</v>
      </c>
      <c r="AN67" s="39">
        <f t="shared" si="6"/>
        <v>55.575000000000003</v>
      </c>
      <c r="AO67" s="39">
        <f t="shared" si="7"/>
        <v>555.75</v>
      </c>
    </row>
    <row r="68" spans="1:41" x14ac:dyDescent="0.3">
      <c r="A68" s="20">
        <v>1000184670</v>
      </c>
      <c r="B68" s="4" t="s">
        <v>147</v>
      </c>
      <c r="C68" s="21">
        <v>1000186197</v>
      </c>
      <c r="D68" s="3" t="s">
        <v>166</v>
      </c>
      <c r="E68" s="20">
        <v>1000198600</v>
      </c>
      <c r="F68" s="4" t="s">
        <v>148</v>
      </c>
      <c r="G68" s="21">
        <v>1000198601</v>
      </c>
      <c r="H68" s="3" t="s">
        <v>149</v>
      </c>
      <c r="I68" s="21">
        <v>1000189753</v>
      </c>
      <c r="J68" s="3" t="s">
        <v>138</v>
      </c>
      <c r="K68" s="20" t="s">
        <v>18</v>
      </c>
      <c r="L68" s="39">
        <v>0</v>
      </c>
      <c r="M68" s="39">
        <v>0</v>
      </c>
      <c r="N68" s="39">
        <v>0</v>
      </c>
      <c r="O68" s="39">
        <v>0</v>
      </c>
      <c r="P68" s="39">
        <v>0</v>
      </c>
      <c r="Q68" s="39">
        <v>0</v>
      </c>
      <c r="R68" s="39">
        <v>0</v>
      </c>
      <c r="S68" s="39">
        <v>0</v>
      </c>
      <c r="T68" s="39">
        <v>0</v>
      </c>
      <c r="U68" s="39">
        <v>0</v>
      </c>
      <c r="V68" s="39">
        <v>0</v>
      </c>
      <c r="W68" s="39">
        <v>0</v>
      </c>
      <c r="X68" s="39">
        <v>0</v>
      </c>
      <c r="Y68" s="39">
        <v>0</v>
      </c>
      <c r="Z68" s="39">
        <v>0</v>
      </c>
      <c r="AA68" s="39">
        <v>0</v>
      </c>
      <c r="AB68" s="39">
        <v>0</v>
      </c>
      <c r="AC68" s="39">
        <v>0</v>
      </c>
      <c r="AD68" s="39">
        <v>0</v>
      </c>
      <c r="AE68" s="39">
        <v>0</v>
      </c>
      <c r="AF68" s="39">
        <v>112</v>
      </c>
      <c r="AG68" s="39">
        <v>25.6</v>
      </c>
      <c r="AH68" s="39"/>
      <c r="AI68" s="39"/>
      <c r="AJ68" s="40"/>
      <c r="AK68" s="39">
        <f t="shared" si="5"/>
        <v>0</v>
      </c>
      <c r="AL68" s="39">
        <f t="shared" si="8"/>
        <v>11.466666666666667</v>
      </c>
      <c r="AM68" s="39">
        <f t="shared" si="9"/>
        <v>22.933333333333334</v>
      </c>
      <c r="AN68" s="39">
        <f t="shared" si="6"/>
        <v>13.76</v>
      </c>
      <c r="AO68" s="39">
        <f t="shared" si="7"/>
        <v>137.6</v>
      </c>
    </row>
    <row r="69" spans="1:41" x14ac:dyDescent="0.3">
      <c r="A69" s="20">
        <v>1000184670</v>
      </c>
      <c r="B69" s="4" t="s">
        <v>147</v>
      </c>
      <c r="C69" s="21">
        <v>1000186197</v>
      </c>
      <c r="D69" s="3" t="s">
        <v>166</v>
      </c>
      <c r="E69" s="20">
        <v>1000198600</v>
      </c>
      <c r="F69" s="4" t="s">
        <v>148</v>
      </c>
      <c r="G69" s="21">
        <v>1000198601</v>
      </c>
      <c r="H69" s="3" t="s">
        <v>149</v>
      </c>
      <c r="I69" s="21">
        <v>1000189753</v>
      </c>
      <c r="J69" s="3" t="s">
        <v>138</v>
      </c>
      <c r="K69" s="20" t="s">
        <v>29</v>
      </c>
      <c r="L69" s="39">
        <v>0</v>
      </c>
      <c r="M69" s="39">
        <v>0</v>
      </c>
      <c r="N69" s="39">
        <v>0</v>
      </c>
      <c r="O69" s="39">
        <v>0</v>
      </c>
      <c r="P69" s="39">
        <v>0</v>
      </c>
      <c r="Q69" s="39">
        <v>0</v>
      </c>
      <c r="R69" s="39">
        <v>0</v>
      </c>
      <c r="S69" s="39">
        <v>0</v>
      </c>
      <c r="T69" s="39">
        <v>0</v>
      </c>
      <c r="U69" s="39">
        <v>0</v>
      </c>
      <c r="V69" s="39">
        <v>0</v>
      </c>
      <c r="W69" s="39">
        <v>0</v>
      </c>
      <c r="X69" s="39">
        <v>0</v>
      </c>
      <c r="Y69" s="39">
        <v>0</v>
      </c>
      <c r="Z69" s="39">
        <v>0</v>
      </c>
      <c r="AA69" s="39">
        <v>0</v>
      </c>
      <c r="AB69" s="39">
        <v>0</v>
      </c>
      <c r="AC69" s="39">
        <v>0</v>
      </c>
      <c r="AD69" s="39">
        <v>0</v>
      </c>
      <c r="AE69" s="39">
        <v>0</v>
      </c>
      <c r="AF69" s="39">
        <v>2455.8000000000002</v>
      </c>
      <c r="AG69" s="39">
        <v>179.1</v>
      </c>
      <c r="AH69" s="39"/>
      <c r="AI69" s="39"/>
      <c r="AJ69" s="40"/>
      <c r="AK69" s="39">
        <f t="shared" si="5"/>
        <v>0</v>
      </c>
      <c r="AL69" s="39">
        <f t="shared" si="8"/>
        <v>219.57500000000002</v>
      </c>
      <c r="AM69" s="39">
        <f t="shared" si="9"/>
        <v>439.15000000000003</v>
      </c>
      <c r="AN69" s="39">
        <f t="shared" si="6"/>
        <v>263.49</v>
      </c>
      <c r="AO69" s="39">
        <f t="shared" si="7"/>
        <v>2634.9</v>
      </c>
    </row>
    <row r="70" spans="1:41" x14ac:dyDescent="0.3">
      <c r="A70" s="20">
        <v>1000184670</v>
      </c>
      <c r="B70" s="4" t="s">
        <v>147</v>
      </c>
      <c r="C70" s="21">
        <v>1000186197</v>
      </c>
      <c r="D70" s="3" t="s">
        <v>166</v>
      </c>
      <c r="E70" s="20">
        <v>1000198600</v>
      </c>
      <c r="F70" s="4" t="s">
        <v>148</v>
      </c>
      <c r="G70" s="21">
        <v>1000198601</v>
      </c>
      <c r="H70" s="3" t="s">
        <v>149</v>
      </c>
      <c r="I70" s="21">
        <v>1000189753</v>
      </c>
      <c r="J70" s="3" t="s">
        <v>138</v>
      </c>
      <c r="K70" s="20" t="s">
        <v>21</v>
      </c>
      <c r="L70" s="39">
        <v>0</v>
      </c>
      <c r="M70" s="39">
        <v>0</v>
      </c>
      <c r="N70" s="39">
        <v>0</v>
      </c>
      <c r="O70" s="39">
        <v>0</v>
      </c>
      <c r="P70" s="39">
        <v>0</v>
      </c>
      <c r="Q70" s="39">
        <v>0</v>
      </c>
      <c r="R70" s="39">
        <v>0</v>
      </c>
      <c r="S70" s="39">
        <v>0</v>
      </c>
      <c r="T70" s="39">
        <v>0</v>
      </c>
      <c r="U70" s="39">
        <v>0</v>
      </c>
      <c r="V70" s="39">
        <v>0</v>
      </c>
      <c r="W70" s="39">
        <v>0</v>
      </c>
      <c r="X70" s="39">
        <v>0</v>
      </c>
      <c r="Y70" s="39">
        <v>0</v>
      </c>
      <c r="Z70" s="39">
        <v>0</v>
      </c>
      <c r="AA70" s="39">
        <v>0</v>
      </c>
      <c r="AB70" s="39">
        <v>0</v>
      </c>
      <c r="AC70" s="39">
        <v>0</v>
      </c>
      <c r="AD70" s="39">
        <v>0</v>
      </c>
      <c r="AE70" s="39">
        <v>0</v>
      </c>
      <c r="AF70" s="39">
        <v>255.36</v>
      </c>
      <c r="AG70" s="39">
        <v>203.14</v>
      </c>
      <c r="AH70" s="39"/>
      <c r="AI70" s="39"/>
      <c r="AJ70" s="40"/>
      <c r="AK70" s="39">
        <f t="shared" si="5"/>
        <v>0</v>
      </c>
      <c r="AL70" s="39">
        <f t="shared" si="8"/>
        <v>38.208333333333336</v>
      </c>
      <c r="AM70" s="39">
        <f t="shared" si="9"/>
        <v>76.416666666666671</v>
      </c>
      <c r="AN70" s="39">
        <f t="shared" si="6"/>
        <v>45.85</v>
      </c>
      <c r="AO70" s="39">
        <f t="shared" si="7"/>
        <v>458.5</v>
      </c>
    </row>
    <row r="71" spans="1:41" x14ac:dyDescent="0.3">
      <c r="A71" s="20">
        <v>1000184670</v>
      </c>
      <c r="B71" s="4" t="s">
        <v>147</v>
      </c>
      <c r="C71" s="21">
        <v>1000186197</v>
      </c>
      <c r="D71" s="3" t="s">
        <v>166</v>
      </c>
      <c r="E71" s="20">
        <v>1000198600</v>
      </c>
      <c r="F71" s="4" t="s">
        <v>148</v>
      </c>
      <c r="G71" s="21">
        <v>1000198601</v>
      </c>
      <c r="H71" s="3" t="s">
        <v>149</v>
      </c>
      <c r="I71" s="21">
        <v>1000189753</v>
      </c>
      <c r="J71" s="3" t="s">
        <v>138</v>
      </c>
      <c r="K71" s="20" t="s">
        <v>20</v>
      </c>
      <c r="L71" s="39">
        <v>0</v>
      </c>
      <c r="M71" s="39">
        <v>0</v>
      </c>
      <c r="N71" s="39">
        <v>0</v>
      </c>
      <c r="O71" s="39">
        <v>0</v>
      </c>
      <c r="P71" s="39">
        <v>0</v>
      </c>
      <c r="Q71" s="39">
        <v>0</v>
      </c>
      <c r="R71" s="39">
        <v>0</v>
      </c>
      <c r="S71" s="39">
        <v>0</v>
      </c>
      <c r="T71" s="39">
        <v>0</v>
      </c>
      <c r="U71" s="39">
        <v>0</v>
      </c>
      <c r="V71" s="39">
        <v>0</v>
      </c>
      <c r="W71" s="39">
        <v>0</v>
      </c>
      <c r="X71" s="39">
        <v>0</v>
      </c>
      <c r="Y71" s="39">
        <v>0</v>
      </c>
      <c r="Z71" s="39">
        <v>0</v>
      </c>
      <c r="AA71" s="39">
        <v>0</v>
      </c>
      <c r="AB71" s="39">
        <v>0</v>
      </c>
      <c r="AC71" s="39">
        <v>0</v>
      </c>
      <c r="AD71" s="39">
        <v>0</v>
      </c>
      <c r="AE71" s="39">
        <v>0</v>
      </c>
      <c r="AF71" s="39">
        <v>227.9</v>
      </c>
      <c r="AG71" s="39">
        <v>109.58</v>
      </c>
      <c r="AH71" s="39"/>
      <c r="AI71" s="39"/>
      <c r="AJ71" s="40"/>
      <c r="AK71" s="39">
        <f t="shared" si="5"/>
        <v>0</v>
      </c>
      <c r="AL71" s="39">
        <f t="shared" si="8"/>
        <v>28.123333333333335</v>
      </c>
      <c r="AM71" s="39">
        <f t="shared" si="9"/>
        <v>56.24666666666667</v>
      </c>
      <c r="AN71" s="39">
        <f t="shared" si="6"/>
        <v>33.748000000000005</v>
      </c>
      <c r="AO71" s="39">
        <f t="shared" si="7"/>
        <v>337.48</v>
      </c>
    </row>
    <row r="72" spans="1:41" x14ac:dyDescent="0.3">
      <c r="A72" s="20">
        <v>1000184670</v>
      </c>
      <c r="B72" s="4" t="s">
        <v>147</v>
      </c>
      <c r="C72" s="21">
        <v>1000186197</v>
      </c>
      <c r="D72" s="3" t="s">
        <v>166</v>
      </c>
      <c r="E72" s="20">
        <v>1000198600</v>
      </c>
      <c r="F72" s="4" t="s">
        <v>148</v>
      </c>
      <c r="G72" s="21">
        <v>1000198601</v>
      </c>
      <c r="H72" s="3" t="s">
        <v>149</v>
      </c>
      <c r="I72" s="21">
        <v>1000189753</v>
      </c>
      <c r="J72" s="3" t="s">
        <v>138</v>
      </c>
      <c r="K72" s="20" t="s">
        <v>22</v>
      </c>
      <c r="L72" s="39">
        <v>0</v>
      </c>
      <c r="M72" s="39">
        <v>0</v>
      </c>
      <c r="N72" s="39">
        <v>0</v>
      </c>
      <c r="O72" s="39">
        <v>0</v>
      </c>
      <c r="P72" s="39">
        <v>0</v>
      </c>
      <c r="Q72" s="39">
        <v>0</v>
      </c>
      <c r="R72" s="39">
        <v>0</v>
      </c>
      <c r="S72" s="39">
        <v>0</v>
      </c>
      <c r="T72" s="39">
        <v>0</v>
      </c>
      <c r="U72" s="39">
        <v>0</v>
      </c>
      <c r="V72" s="39">
        <v>0</v>
      </c>
      <c r="W72" s="39">
        <v>0</v>
      </c>
      <c r="X72" s="39">
        <v>0</v>
      </c>
      <c r="Y72" s="39">
        <v>0</v>
      </c>
      <c r="Z72" s="39">
        <v>0</v>
      </c>
      <c r="AA72" s="39">
        <v>0</v>
      </c>
      <c r="AB72" s="39">
        <v>0</v>
      </c>
      <c r="AC72" s="39">
        <v>0</v>
      </c>
      <c r="AD72" s="39">
        <v>0</v>
      </c>
      <c r="AE72" s="39">
        <v>0</v>
      </c>
      <c r="AF72" s="39">
        <v>625.41</v>
      </c>
      <c r="AG72" s="39">
        <v>0</v>
      </c>
      <c r="AH72" s="39"/>
      <c r="AI72" s="39"/>
      <c r="AJ72" s="40"/>
      <c r="AK72" s="39">
        <f t="shared" si="5"/>
        <v>0</v>
      </c>
      <c r="AL72" s="39">
        <f t="shared" si="8"/>
        <v>52.1175</v>
      </c>
      <c r="AM72" s="39">
        <f t="shared" si="9"/>
        <v>104.235</v>
      </c>
      <c r="AN72" s="39">
        <f t="shared" si="6"/>
        <v>62.540999999999997</v>
      </c>
      <c r="AO72" s="39">
        <f t="shared" si="7"/>
        <v>625.41</v>
      </c>
    </row>
    <row r="73" spans="1:41" x14ac:dyDescent="0.3">
      <c r="A73" s="20">
        <v>1000184670</v>
      </c>
      <c r="B73" s="4" t="s">
        <v>147</v>
      </c>
      <c r="C73" s="21">
        <v>1000186197</v>
      </c>
      <c r="D73" s="3" t="s">
        <v>166</v>
      </c>
      <c r="E73" s="20">
        <v>1000198600</v>
      </c>
      <c r="F73" s="4" t="s">
        <v>148</v>
      </c>
      <c r="G73" s="21">
        <v>1000198601</v>
      </c>
      <c r="H73" s="3" t="s">
        <v>149</v>
      </c>
      <c r="I73" s="21">
        <v>1000189753</v>
      </c>
      <c r="J73" s="3" t="s">
        <v>138</v>
      </c>
      <c r="K73" s="20" t="s">
        <v>23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T73" s="39">
        <v>0</v>
      </c>
      <c r="U73" s="39">
        <v>0</v>
      </c>
      <c r="V73" s="39">
        <v>0</v>
      </c>
      <c r="W73" s="39">
        <v>0</v>
      </c>
      <c r="X73" s="39">
        <v>0</v>
      </c>
      <c r="Y73" s="39">
        <v>0</v>
      </c>
      <c r="Z73" s="39">
        <v>0</v>
      </c>
      <c r="AA73" s="39">
        <v>0</v>
      </c>
      <c r="AB73" s="39">
        <v>0</v>
      </c>
      <c r="AC73" s="39">
        <v>0</v>
      </c>
      <c r="AD73" s="39">
        <v>0</v>
      </c>
      <c r="AE73" s="39">
        <v>0</v>
      </c>
      <c r="AF73" s="39">
        <v>0</v>
      </c>
      <c r="AG73" s="39">
        <v>0</v>
      </c>
      <c r="AH73" s="39"/>
      <c r="AI73" s="39"/>
      <c r="AJ73" s="40"/>
      <c r="AK73" s="39">
        <f t="shared" si="5"/>
        <v>0</v>
      </c>
      <c r="AL73" s="39">
        <f t="shared" si="8"/>
        <v>0</v>
      </c>
      <c r="AM73" s="39">
        <f t="shared" si="9"/>
        <v>0</v>
      </c>
      <c r="AN73" s="39">
        <f t="shared" si="6"/>
        <v>0</v>
      </c>
      <c r="AO73" s="39">
        <f t="shared" si="7"/>
        <v>0</v>
      </c>
    </row>
    <row r="74" spans="1:41" x14ac:dyDescent="0.3">
      <c r="A74" s="20">
        <v>1000184670</v>
      </c>
      <c r="B74" s="4" t="s">
        <v>147</v>
      </c>
      <c r="C74" s="21">
        <v>1000186197</v>
      </c>
      <c r="D74" s="3" t="s">
        <v>166</v>
      </c>
      <c r="E74" s="20">
        <v>1000198600</v>
      </c>
      <c r="F74" s="4" t="s">
        <v>148</v>
      </c>
      <c r="G74" s="21">
        <v>1000198601</v>
      </c>
      <c r="H74" s="3" t="s">
        <v>149</v>
      </c>
      <c r="I74" s="21">
        <v>1000189753</v>
      </c>
      <c r="J74" s="3" t="s">
        <v>138</v>
      </c>
      <c r="K74" s="20" t="s">
        <v>28</v>
      </c>
      <c r="L74" s="39">
        <v>0</v>
      </c>
      <c r="M74" s="39">
        <v>0</v>
      </c>
      <c r="N74" s="39">
        <v>0</v>
      </c>
      <c r="O74" s="39">
        <v>0</v>
      </c>
      <c r="P74" s="39">
        <v>0</v>
      </c>
      <c r="Q74" s="39">
        <v>0</v>
      </c>
      <c r="R74" s="39">
        <v>0</v>
      </c>
      <c r="S74" s="39">
        <v>0</v>
      </c>
      <c r="T74" s="39">
        <v>0</v>
      </c>
      <c r="U74" s="39">
        <v>0</v>
      </c>
      <c r="V74" s="39">
        <v>0</v>
      </c>
      <c r="W74" s="39">
        <v>0</v>
      </c>
      <c r="X74" s="39">
        <v>0</v>
      </c>
      <c r="Y74" s="39">
        <v>0</v>
      </c>
      <c r="Z74" s="39">
        <v>0</v>
      </c>
      <c r="AA74" s="39">
        <v>0</v>
      </c>
      <c r="AB74" s="39">
        <v>0</v>
      </c>
      <c r="AC74" s="39">
        <v>0</v>
      </c>
      <c r="AD74" s="39">
        <v>0</v>
      </c>
      <c r="AE74" s="39">
        <v>0</v>
      </c>
      <c r="AF74" s="39">
        <v>18.5</v>
      </c>
      <c r="AG74" s="39">
        <v>0</v>
      </c>
      <c r="AH74" s="39"/>
      <c r="AI74" s="39"/>
      <c r="AJ74" s="40"/>
      <c r="AK74" s="39">
        <f t="shared" si="5"/>
        <v>0</v>
      </c>
      <c r="AL74" s="39">
        <f t="shared" si="8"/>
        <v>1.5416666666666667</v>
      </c>
      <c r="AM74" s="39">
        <f t="shared" si="9"/>
        <v>3.0833333333333335</v>
      </c>
      <c r="AN74" s="39">
        <f t="shared" si="6"/>
        <v>1.85</v>
      </c>
      <c r="AO74" s="39">
        <f t="shared" si="7"/>
        <v>18.5</v>
      </c>
    </row>
    <row r="75" spans="1:41" x14ac:dyDescent="0.3">
      <c r="A75" s="20">
        <v>1000184670</v>
      </c>
      <c r="B75" s="4" t="s">
        <v>147</v>
      </c>
      <c r="C75" s="21">
        <v>1000186197</v>
      </c>
      <c r="D75" s="3" t="s">
        <v>166</v>
      </c>
      <c r="E75" s="20">
        <v>1000198600</v>
      </c>
      <c r="F75" s="4" t="s">
        <v>148</v>
      </c>
      <c r="G75" s="21">
        <v>1000198601</v>
      </c>
      <c r="H75" s="3" t="s">
        <v>149</v>
      </c>
      <c r="I75" s="21">
        <v>1000189753</v>
      </c>
      <c r="J75" s="3" t="s">
        <v>138</v>
      </c>
      <c r="K75" s="20" t="s">
        <v>26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  <c r="Q75" s="39">
        <v>0</v>
      </c>
      <c r="R75" s="39">
        <v>0</v>
      </c>
      <c r="S75" s="39">
        <v>0</v>
      </c>
      <c r="T75" s="39">
        <v>0</v>
      </c>
      <c r="U75" s="39">
        <v>0</v>
      </c>
      <c r="V75" s="39">
        <v>0</v>
      </c>
      <c r="W75" s="39">
        <v>0</v>
      </c>
      <c r="X75" s="39">
        <v>0</v>
      </c>
      <c r="Y75" s="39">
        <v>0</v>
      </c>
      <c r="Z75" s="39">
        <v>0</v>
      </c>
      <c r="AA75" s="39">
        <v>0</v>
      </c>
      <c r="AB75" s="39">
        <v>0</v>
      </c>
      <c r="AC75" s="39">
        <v>0</v>
      </c>
      <c r="AD75" s="39">
        <v>0</v>
      </c>
      <c r="AE75" s="39">
        <v>0</v>
      </c>
      <c r="AF75" s="39">
        <v>360</v>
      </c>
      <c r="AG75" s="39">
        <v>288</v>
      </c>
      <c r="AH75" s="39"/>
      <c r="AI75" s="39"/>
      <c r="AJ75" s="40"/>
      <c r="AK75" s="39">
        <f t="shared" si="5"/>
        <v>0</v>
      </c>
      <c r="AL75" s="39">
        <f t="shared" si="8"/>
        <v>54</v>
      </c>
      <c r="AM75" s="39">
        <f t="shared" si="9"/>
        <v>108</v>
      </c>
      <c r="AN75" s="39">
        <f t="shared" si="6"/>
        <v>64.8</v>
      </c>
      <c r="AO75" s="39">
        <f t="shared" si="7"/>
        <v>648</v>
      </c>
    </row>
    <row r="76" spans="1:41" x14ac:dyDescent="0.3">
      <c r="A76" s="20">
        <v>1000184670</v>
      </c>
      <c r="B76" s="4" t="s">
        <v>147</v>
      </c>
      <c r="C76" s="21">
        <v>1000186197</v>
      </c>
      <c r="D76" s="3" t="s">
        <v>166</v>
      </c>
      <c r="E76" s="20">
        <v>1000198600</v>
      </c>
      <c r="F76" s="4" t="s">
        <v>148</v>
      </c>
      <c r="G76" s="21">
        <v>1000198601</v>
      </c>
      <c r="H76" s="3" t="s">
        <v>149</v>
      </c>
      <c r="I76" s="21">
        <v>1000189753</v>
      </c>
      <c r="J76" s="3" t="s">
        <v>138</v>
      </c>
      <c r="K76" s="20" t="s">
        <v>27</v>
      </c>
      <c r="L76" s="39">
        <v>0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T76" s="39">
        <v>0</v>
      </c>
      <c r="U76" s="39">
        <v>0</v>
      </c>
      <c r="V76" s="39">
        <v>0</v>
      </c>
      <c r="W76" s="39">
        <v>0</v>
      </c>
      <c r="X76" s="39">
        <v>0</v>
      </c>
      <c r="Y76" s="39">
        <v>0</v>
      </c>
      <c r="Z76" s="39">
        <v>0</v>
      </c>
      <c r="AA76" s="39">
        <v>0</v>
      </c>
      <c r="AB76" s="39">
        <v>0</v>
      </c>
      <c r="AC76" s="39">
        <v>0</v>
      </c>
      <c r="AD76" s="39">
        <v>0</v>
      </c>
      <c r="AE76" s="39">
        <v>0</v>
      </c>
      <c r="AF76" s="39">
        <v>0</v>
      </c>
      <c r="AG76" s="39">
        <v>0</v>
      </c>
      <c r="AH76" s="39"/>
      <c r="AI76" s="39"/>
      <c r="AJ76" s="40"/>
      <c r="AK76" s="39">
        <f t="shared" si="5"/>
        <v>0</v>
      </c>
      <c r="AL76" s="39">
        <f t="shared" si="8"/>
        <v>0</v>
      </c>
      <c r="AM76" s="39">
        <f t="shared" si="9"/>
        <v>0</v>
      </c>
      <c r="AN76" s="39">
        <f t="shared" si="6"/>
        <v>0</v>
      </c>
      <c r="AO76" s="39">
        <f t="shared" si="7"/>
        <v>0</v>
      </c>
    </row>
    <row r="77" spans="1:41" x14ac:dyDescent="0.3">
      <c r="A77" s="20">
        <v>1000184670</v>
      </c>
      <c r="B77" s="4" t="s">
        <v>147</v>
      </c>
      <c r="C77" s="21">
        <v>1000186197</v>
      </c>
      <c r="D77" s="3" t="s">
        <v>166</v>
      </c>
      <c r="E77" s="20">
        <v>1000198600</v>
      </c>
      <c r="F77" s="4" t="s">
        <v>148</v>
      </c>
      <c r="G77" s="21">
        <v>1000198601</v>
      </c>
      <c r="H77" s="3" t="s">
        <v>149</v>
      </c>
      <c r="I77" s="21">
        <v>1000189753</v>
      </c>
      <c r="J77" s="3" t="s">
        <v>138</v>
      </c>
      <c r="K77" s="20" t="s">
        <v>25</v>
      </c>
      <c r="L77" s="39">
        <v>0</v>
      </c>
      <c r="M77" s="39">
        <v>0</v>
      </c>
      <c r="N77" s="39">
        <v>0</v>
      </c>
      <c r="O77" s="39">
        <v>0</v>
      </c>
      <c r="P77" s="39">
        <v>0</v>
      </c>
      <c r="Q77" s="39">
        <v>0</v>
      </c>
      <c r="R77" s="39">
        <v>0</v>
      </c>
      <c r="S77" s="39">
        <v>0</v>
      </c>
      <c r="T77" s="39">
        <v>0</v>
      </c>
      <c r="U77" s="39">
        <v>0</v>
      </c>
      <c r="V77" s="39">
        <v>0</v>
      </c>
      <c r="W77" s="39">
        <v>0</v>
      </c>
      <c r="X77" s="39">
        <v>0</v>
      </c>
      <c r="Y77" s="39">
        <v>0</v>
      </c>
      <c r="Z77" s="39">
        <v>0</v>
      </c>
      <c r="AA77" s="39">
        <v>0</v>
      </c>
      <c r="AB77" s="39">
        <v>0</v>
      </c>
      <c r="AC77" s="39">
        <v>0</v>
      </c>
      <c r="AD77" s="39">
        <v>0</v>
      </c>
      <c r="AE77" s="39">
        <v>0</v>
      </c>
      <c r="AF77" s="39">
        <v>0</v>
      </c>
      <c r="AG77" s="39">
        <v>0</v>
      </c>
      <c r="AH77" s="39"/>
      <c r="AI77" s="39"/>
      <c r="AJ77" s="40"/>
      <c r="AK77" s="39">
        <f t="shared" si="5"/>
        <v>0</v>
      </c>
      <c r="AL77" s="39">
        <f t="shared" si="8"/>
        <v>0</v>
      </c>
      <c r="AM77" s="39">
        <f t="shared" si="9"/>
        <v>0</v>
      </c>
      <c r="AN77" s="39">
        <f t="shared" si="6"/>
        <v>0</v>
      </c>
      <c r="AO77" s="39">
        <f t="shared" si="7"/>
        <v>0</v>
      </c>
    </row>
    <row r="78" spans="1:41" x14ac:dyDescent="0.3">
      <c r="A78" s="20">
        <v>1000184670</v>
      </c>
      <c r="B78" s="4" t="s">
        <v>147</v>
      </c>
      <c r="C78" s="21">
        <v>1000186198</v>
      </c>
      <c r="D78" s="3" t="s">
        <v>168</v>
      </c>
      <c r="E78" s="20">
        <v>1000185288</v>
      </c>
      <c r="F78" s="4" t="s">
        <v>64</v>
      </c>
      <c r="G78" s="21">
        <v>1000189803</v>
      </c>
      <c r="H78" s="3" t="s">
        <v>97</v>
      </c>
      <c r="I78" s="21">
        <v>1000189754</v>
      </c>
      <c r="J78" s="3" t="s">
        <v>157</v>
      </c>
      <c r="K78" s="20" t="s">
        <v>124</v>
      </c>
      <c r="L78" s="39">
        <v>0</v>
      </c>
      <c r="M78" s="39">
        <v>0</v>
      </c>
      <c r="N78" s="39">
        <v>0</v>
      </c>
      <c r="O78" s="39">
        <v>0</v>
      </c>
      <c r="P78" s="39">
        <v>0</v>
      </c>
      <c r="Q78" s="39">
        <v>0</v>
      </c>
      <c r="R78" s="39">
        <v>0</v>
      </c>
      <c r="S78" s="39">
        <v>0</v>
      </c>
      <c r="T78" s="39">
        <v>0</v>
      </c>
      <c r="U78" s="39">
        <v>0</v>
      </c>
      <c r="V78" s="39">
        <v>0</v>
      </c>
      <c r="W78" s="39">
        <v>0</v>
      </c>
      <c r="X78" s="39">
        <v>0</v>
      </c>
      <c r="Y78" s="39">
        <v>0</v>
      </c>
      <c r="Z78" s="39">
        <v>0</v>
      </c>
      <c r="AA78" s="39">
        <v>0</v>
      </c>
      <c r="AB78" s="39">
        <v>0</v>
      </c>
      <c r="AC78" s="39">
        <v>0</v>
      </c>
      <c r="AD78" s="39">
        <v>0</v>
      </c>
      <c r="AE78" s="39">
        <v>0</v>
      </c>
      <c r="AF78" s="39">
        <v>0</v>
      </c>
      <c r="AG78" s="39">
        <v>0</v>
      </c>
      <c r="AH78" s="39"/>
      <c r="AI78" s="39"/>
      <c r="AJ78" s="40"/>
      <c r="AK78" s="39">
        <f t="shared" si="5"/>
        <v>0</v>
      </c>
      <c r="AL78" s="39">
        <f t="shared" si="8"/>
        <v>0</v>
      </c>
      <c r="AM78" s="39">
        <f t="shared" si="9"/>
        <v>0</v>
      </c>
      <c r="AN78" s="39">
        <f t="shared" si="6"/>
        <v>0</v>
      </c>
      <c r="AO78" s="39">
        <f t="shared" si="7"/>
        <v>0</v>
      </c>
    </row>
    <row r="79" spans="1:41" x14ac:dyDescent="0.3">
      <c r="A79" s="20">
        <v>1000184670</v>
      </c>
      <c r="B79" s="4" t="s">
        <v>147</v>
      </c>
      <c r="C79" s="21">
        <v>1000186198</v>
      </c>
      <c r="D79" s="3" t="s">
        <v>168</v>
      </c>
      <c r="E79" s="20">
        <v>1000185288</v>
      </c>
      <c r="F79" s="4" t="s">
        <v>64</v>
      </c>
      <c r="G79" s="21">
        <v>1000189803</v>
      </c>
      <c r="H79" s="3" t="s">
        <v>97</v>
      </c>
      <c r="I79" s="21">
        <v>1000189754</v>
      </c>
      <c r="J79" s="3" t="s">
        <v>157</v>
      </c>
      <c r="K79" s="20" t="s">
        <v>13</v>
      </c>
      <c r="L79" s="39">
        <v>0</v>
      </c>
      <c r="M79" s="39">
        <v>0</v>
      </c>
      <c r="N79" s="39">
        <v>0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T79" s="39">
        <v>0</v>
      </c>
      <c r="U79" s="39">
        <v>0</v>
      </c>
      <c r="V79" s="39">
        <v>0</v>
      </c>
      <c r="W79" s="39">
        <v>0</v>
      </c>
      <c r="X79" s="39">
        <v>0</v>
      </c>
      <c r="Y79" s="39">
        <v>0</v>
      </c>
      <c r="Z79" s="39">
        <v>0</v>
      </c>
      <c r="AA79" s="39">
        <v>0</v>
      </c>
      <c r="AB79" s="39">
        <v>0</v>
      </c>
      <c r="AC79" s="39">
        <v>0</v>
      </c>
      <c r="AD79" s="39">
        <v>0</v>
      </c>
      <c r="AE79" s="39">
        <v>0</v>
      </c>
      <c r="AF79" s="39">
        <v>0</v>
      </c>
      <c r="AG79" s="39">
        <v>0</v>
      </c>
      <c r="AH79" s="39"/>
      <c r="AI79" s="39"/>
      <c r="AJ79" s="40"/>
      <c r="AK79" s="39">
        <f t="shared" si="5"/>
        <v>0</v>
      </c>
      <c r="AL79" s="39">
        <f t="shared" si="8"/>
        <v>0</v>
      </c>
      <c r="AM79" s="39">
        <f t="shared" si="9"/>
        <v>0</v>
      </c>
      <c r="AN79" s="39">
        <f t="shared" si="6"/>
        <v>0</v>
      </c>
      <c r="AO79" s="39">
        <f t="shared" si="7"/>
        <v>0</v>
      </c>
    </row>
    <row r="80" spans="1:41" x14ac:dyDescent="0.3">
      <c r="A80" s="20">
        <v>1000184670</v>
      </c>
      <c r="B80" s="4" t="s">
        <v>147</v>
      </c>
      <c r="C80" s="21">
        <v>1000186198</v>
      </c>
      <c r="D80" s="3" t="s">
        <v>168</v>
      </c>
      <c r="E80" s="20">
        <v>1000185288</v>
      </c>
      <c r="F80" s="4" t="s">
        <v>64</v>
      </c>
      <c r="G80" s="21">
        <v>1000189803</v>
      </c>
      <c r="H80" s="3" t="s">
        <v>97</v>
      </c>
      <c r="I80" s="21">
        <v>1000189754</v>
      </c>
      <c r="J80" s="3" t="s">
        <v>157</v>
      </c>
      <c r="K80" s="20" t="s">
        <v>14</v>
      </c>
      <c r="L80" s="39">
        <v>0</v>
      </c>
      <c r="M80" s="39">
        <v>0</v>
      </c>
      <c r="N80" s="39">
        <v>0</v>
      </c>
      <c r="O80" s="39">
        <v>0</v>
      </c>
      <c r="P80" s="39">
        <v>0</v>
      </c>
      <c r="Q80" s="39">
        <v>0</v>
      </c>
      <c r="R80" s="39">
        <v>0</v>
      </c>
      <c r="S80" s="39">
        <v>0</v>
      </c>
      <c r="T80" s="39">
        <v>0</v>
      </c>
      <c r="U80" s="39">
        <v>0</v>
      </c>
      <c r="V80" s="39">
        <v>0</v>
      </c>
      <c r="W80" s="39">
        <v>0</v>
      </c>
      <c r="X80" s="39">
        <v>0</v>
      </c>
      <c r="Y80" s="39">
        <v>0</v>
      </c>
      <c r="Z80" s="39">
        <v>0</v>
      </c>
      <c r="AA80" s="39">
        <v>0</v>
      </c>
      <c r="AB80" s="39">
        <v>1408.12</v>
      </c>
      <c r="AC80" s="39">
        <v>0</v>
      </c>
      <c r="AD80" s="39">
        <v>0</v>
      </c>
      <c r="AE80" s="39">
        <v>0</v>
      </c>
      <c r="AF80" s="39">
        <v>0</v>
      </c>
      <c r="AG80" s="39">
        <v>0</v>
      </c>
      <c r="AH80" s="39"/>
      <c r="AI80" s="39"/>
      <c r="AJ80" s="40"/>
      <c r="AK80" s="39">
        <f t="shared" si="5"/>
        <v>0</v>
      </c>
      <c r="AL80" s="39">
        <f t="shared" si="8"/>
        <v>117.34333333333332</v>
      </c>
      <c r="AM80" s="39">
        <f t="shared" si="9"/>
        <v>234.68666666666664</v>
      </c>
      <c r="AN80" s="39">
        <f t="shared" si="6"/>
        <v>140.81199999999998</v>
      </c>
      <c r="AO80" s="39">
        <f t="shared" si="7"/>
        <v>1408.12</v>
      </c>
    </row>
    <row r="81" spans="1:41" x14ac:dyDescent="0.3">
      <c r="A81" s="20">
        <v>1000184670</v>
      </c>
      <c r="B81" s="4" t="s">
        <v>147</v>
      </c>
      <c r="C81" s="21">
        <v>1000186198</v>
      </c>
      <c r="D81" s="3" t="s">
        <v>168</v>
      </c>
      <c r="E81" s="20">
        <v>1000185288</v>
      </c>
      <c r="F81" s="4" t="s">
        <v>64</v>
      </c>
      <c r="G81" s="21">
        <v>1000189803</v>
      </c>
      <c r="H81" s="3" t="s">
        <v>97</v>
      </c>
      <c r="I81" s="21">
        <v>1000189754</v>
      </c>
      <c r="J81" s="3" t="s">
        <v>157</v>
      </c>
      <c r="K81" s="20" t="s">
        <v>16</v>
      </c>
      <c r="L81" s="39">
        <v>0</v>
      </c>
      <c r="M81" s="39">
        <v>0</v>
      </c>
      <c r="N81" s="39">
        <v>0</v>
      </c>
      <c r="O81" s="39">
        <v>0</v>
      </c>
      <c r="P81" s="39">
        <v>0</v>
      </c>
      <c r="Q81" s="39">
        <v>0</v>
      </c>
      <c r="R81" s="39">
        <v>0</v>
      </c>
      <c r="S81" s="39">
        <v>0</v>
      </c>
      <c r="T81" s="39">
        <v>0</v>
      </c>
      <c r="U81" s="39">
        <v>0</v>
      </c>
      <c r="V81" s="39">
        <v>0</v>
      </c>
      <c r="W81" s="39">
        <v>0</v>
      </c>
      <c r="X81" s="39">
        <v>0</v>
      </c>
      <c r="Y81" s="39">
        <v>0</v>
      </c>
      <c r="Z81" s="39">
        <v>0</v>
      </c>
      <c r="AA81" s="39">
        <v>0</v>
      </c>
      <c r="AB81" s="39">
        <v>833.19</v>
      </c>
      <c r="AC81" s="39">
        <v>0</v>
      </c>
      <c r="AD81" s="39">
        <v>0</v>
      </c>
      <c r="AE81" s="39">
        <v>0</v>
      </c>
      <c r="AF81" s="39">
        <v>0</v>
      </c>
      <c r="AG81" s="39">
        <v>0</v>
      </c>
      <c r="AH81" s="39"/>
      <c r="AI81" s="39"/>
      <c r="AJ81" s="40"/>
      <c r="AK81" s="39">
        <f t="shared" si="5"/>
        <v>0</v>
      </c>
      <c r="AL81" s="39">
        <f t="shared" si="8"/>
        <v>69.432500000000005</v>
      </c>
      <c r="AM81" s="39">
        <f t="shared" si="9"/>
        <v>138.86500000000001</v>
      </c>
      <c r="AN81" s="39">
        <f t="shared" si="6"/>
        <v>83.319000000000003</v>
      </c>
      <c r="AO81" s="39">
        <f t="shared" si="7"/>
        <v>833.19</v>
      </c>
    </row>
    <row r="82" spans="1:41" x14ac:dyDescent="0.3">
      <c r="A82" s="20">
        <v>1000184670</v>
      </c>
      <c r="B82" s="4" t="s">
        <v>147</v>
      </c>
      <c r="C82" s="21">
        <v>1000186198</v>
      </c>
      <c r="D82" s="3" t="s">
        <v>168</v>
      </c>
      <c r="E82" s="20">
        <v>1000185288</v>
      </c>
      <c r="F82" s="4" t="s">
        <v>64</v>
      </c>
      <c r="G82" s="21">
        <v>1000189803</v>
      </c>
      <c r="H82" s="3" t="s">
        <v>97</v>
      </c>
      <c r="I82" s="21">
        <v>1000189754</v>
      </c>
      <c r="J82" s="3" t="s">
        <v>157</v>
      </c>
      <c r="K82" s="20" t="s">
        <v>15</v>
      </c>
      <c r="L82" s="39">
        <v>0</v>
      </c>
      <c r="M82" s="39">
        <v>0</v>
      </c>
      <c r="N82" s="39">
        <v>0</v>
      </c>
      <c r="O82" s="39">
        <v>0</v>
      </c>
      <c r="P82" s="39">
        <v>0</v>
      </c>
      <c r="Q82" s="39">
        <v>0</v>
      </c>
      <c r="R82" s="39">
        <v>0</v>
      </c>
      <c r="S82" s="39">
        <v>0</v>
      </c>
      <c r="T82" s="39">
        <v>0</v>
      </c>
      <c r="U82" s="39">
        <v>0</v>
      </c>
      <c r="V82" s="39">
        <v>0</v>
      </c>
      <c r="W82" s="39">
        <v>0</v>
      </c>
      <c r="X82" s="39">
        <v>0</v>
      </c>
      <c r="Y82" s="39">
        <v>0</v>
      </c>
      <c r="Z82" s="39">
        <v>0</v>
      </c>
      <c r="AA82" s="39">
        <v>0</v>
      </c>
      <c r="AB82" s="39">
        <v>0</v>
      </c>
      <c r="AC82" s="39">
        <v>0</v>
      </c>
      <c r="AD82" s="39">
        <v>0</v>
      </c>
      <c r="AE82" s="39">
        <v>0</v>
      </c>
      <c r="AF82" s="39">
        <v>0</v>
      </c>
      <c r="AG82" s="39">
        <v>0</v>
      </c>
      <c r="AH82" s="39"/>
      <c r="AI82" s="39"/>
      <c r="AJ82" s="40"/>
      <c r="AK82" s="39">
        <f t="shared" si="5"/>
        <v>0</v>
      </c>
      <c r="AL82" s="39">
        <f t="shared" si="8"/>
        <v>0</v>
      </c>
      <c r="AM82" s="39">
        <f t="shared" si="9"/>
        <v>0</v>
      </c>
      <c r="AN82" s="39">
        <f t="shared" si="6"/>
        <v>0</v>
      </c>
      <c r="AO82" s="39">
        <f t="shared" si="7"/>
        <v>0</v>
      </c>
    </row>
    <row r="83" spans="1:41" x14ac:dyDescent="0.3">
      <c r="A83" s="20">
        <v>1000184670</v>
      </c>
      <c r="B83" s="4" t="s">
        <v>147</v>
      </c>
      <c r="C83" s="21">
        <v>1000186198</v>
      </c>
      <c r="D83" s="3" t="s">
        <v>168</v>
      </c>
      <c r="E83" s="20">
        <v>1000185288</v>
      </c>
      <c r="F83" s="4" t="s">
        <v>64</v>
      </c>
      <c r="G83" s="21">
        <v>1000189803</v>
      </c>
      <c r="H83" s="3" t="s">
        <v>97</v>
      </c>
      <c r="I83" s="21">
        <v>1000189754</v>
      </c>
      <c r="J83" s="3" t="s">
        <v>157</v>
      </c>
      <c r="K83" s="20" t="s">
        <v>33</v>
      </c>
      <c r="L83" s="39">
        <v>0</v>
      </c>
      <c r="M83" s="39">
        <v>0</v>
      </c>
      <c r="N83" s="39">
        <v>0</v>
      </c>
      <c r="O83" s="39">
        <v>0</v>
      </c>
      <c r="P83" s="39">
        <v>0</v>
      </c>
      <c r="Q83" s="39">
        <v>0</v>
      </c>
      <c r="R83" s="39">
        <v>0</v>
      </c>
      <c r="S83" s="39">
        <v>0</v>
      </c>
      <c r="T83" s="39">
        <v>0</v>
      </c>
      <c r="U83" s="39">
        <v>0</v>
      </c>
      <c r="V83" s="39">
        <v>0</v>
      </c>
      <c r="W83" s="39">
        <v>0</v>
      </c>
      <c r="X83" s="39">
        <v>0</v>
      </c>
      <c r="Y83" s="39">
        <v>0</v>
      </c>
      <c r="Z83" s="39">
        <v>0</v>
      </c>
      <c r="AA83" s="39">
        <v>0</v>
      </c>
      <c r="AB83" s="39">
        <v>0</v>
      </c>
      <c r="AC83" s="39">
        <v>0</v>
      </c>
      <c r="AD83" s="39">
        <v>0</v>
      </c>
      <c r="AE83" s="39">
        <v>0</v>
      </c>
      <c r="AF83" s="39">
        <v>0</v>
      </c>
      <c r="AG83" s="39">
        <v>0</v>
      </c>
      <c r="AH83" s="39"/>
      <c r="AI83" s="39"/>
      <c r="AJ83" s="40"/>
      <c r="AK83" s="39">
        <f t="shared" si="5"/>
        <v>0</v>
      </c>
      <c r="AL83" s="39">
        <f t="shared" si="8"/>
        <v>0</v>
      </c>
      <c r="AM83" s="39">
        <f t="shared" si="9"/>
        <v>0</v>
      </c>
      <c r="AN83" s="39">
        <f t="shared" si="6"/>
        <v>0</v>
      </c>
      <c r="AO83" s="39">
        <f t="shared" si="7"/>
        <v>0</v>
      </c>
    </row>
    <row r="84" spans="1:41" x14ac:dyDescent="0.3">
      <c r="A84" s="20">
        <v>1000184670</v>
      </c>
      <c r="B84" s="4" t="s">
        <v>147</v>
      </c>
      <c r="C84" s="21">
        <v>1000186198</v>
      </c>
      <c r="D84" s="3" t="s">
        <v>168</v>
      </c>
      <c r="E84" s="20">
        <v>1000185288</v>
      </c>
      <c r="F84" s="4" t="s">
        <v>64</v>
      </c>
      <c r="G84" s="21">
        <v>1000189803</v>
      </c>
      <c r="H84" s="3" t="s">
        <v>97</v>
      </c>
      <c r="I84" s="21">
        <v>1000189754</v>
      </c>
      <c r="J84" s="3" t="s">
        <v>157</v>
      </c>
      <c r="K84" s="20" t="s">
        <v>19</v>
      </c>
      <c r="L84" s="39">
        <v>0</v>
      </c>
      <c r="M84" s="39">
        <v>0</v>
      </c>
      <c r="N84" s="39">
        <v>0</v>
      </c>
      <c r="O84" s="39">
        <v>0</v>
      </c>
      <c r="P84" s="39">
        <v>0</v>
      </c>
      <c r="Q84" s="39">
        <v>0</v>
      </c>
      <c r="R84" s="39">
        <v>0</v>
      </c>
      <c r="S84" s="39">
        <v>0</v>
      </c>
      <c r="T84" s="39">
        <v>0</v>
      </c>
      <c r="U84" s="39">
        <v>0</v>
      </c>
      <c r="V84" s="39">
        <v>0</v>
      </c>
      <c r="W84" s="39">
        <v>0</v>
      </c>
      <c r="X84" s="39">
        <v>0</v>
      </c>
      <c r="Y84" s="39">
        <v>0</v>
      </c>
      <c r="Z84" s="39">
        <v>0</v>
      </c>
      <c r="AA84" s="39">
        <v>0</v>
      </c>
      <c r="AB84" s="39">
        <v>0</v>
      </c>
      <c r="AC84" s="39">
        <v>0</v>
      </c>
      <c r="AD84" s="39">
        <v>0</v>
      </c>
      <c r="AE84" s="39">
        <v>0</v>
      </c>
      <c r="AF84" s="39">
        <v>0</v>
      </c>
      <c r="AG84" s="39">
        <v>0</v>
      </c>
      <c r="AH84" s="39"/>
      <c r="AI84" s="39"/>
      <c r="AJ84" s="40"/>
      <c r="AK84" s="39">
        <f t="shared" si="5"/>
        <v>0</v>
      </c>
      <c r="AL84" s="39">
        <f t="shared" si="8"/>
        <v>0</v>
      </c>
      <c r="AM84" s="39">
        <f t="shared" si="9"/>
        <v>0</v>
      </c>
      <c r="AN84" s="39">
        <f t="shared" si="6"/>
        <v>0</v>
      </c>
      <c r="AO84" s="39">
        <f t="shared" si="7"/>
        <v>0</v>
      </c>
    </row>
    <row r="85" spans="1:41" x14ac:dyDescent="0.3">
      <c r="A85" s="20">
        <v>1000184670</v>
      </c>
      <c r="B85" s="4" t="s">
        <v>147</v>
      </c>
      <c r="C85" s="21">
        <v>1000186198</v>
      </c>
      <c r="D85" s="3" t="s">
        <v>168</v>
      </c>
      <c r="E85" s="20">
        <v>1000185288</v>
      </c>
      <c r="F85" s="4" t="s">
        <v>64</v>
      </c>
      <c r="G85" s="21">
        <v>1000189803</v>
      </c>
      <c r="H85" s="3" t="s">
        <v>97</v>
      </c>
      <c r="I85" s="21">
        <v>1000189754</v>
      </c>
      <c r="J85" s="3" t="s">
        <v>157</v>
      </c>
      <c r="K85" s="20" t="s">
        <v>17</v>
      </c>
      <c r="L85" s="39">
        <v>0</v>
      </c>
      <c r="M85" s="39">
        <v>0</v>
      </c>
      <c r="N85" s="39">
        <v>0</v>
      </c>
      <c r="O85" s="39">
        <v>0</v>
      </c>
      <c r="P85" s="39">
        <v>0</v>
      </c>
      <c r="Q85" s="39">
        <v>0</v>
      </c>
      <c r="R85" s="39">
        <v>0</v>
      </c>
      <c r="S85" s="39">
        <v>0</v>
      </c>
      <c r="T85" s="39">
        <v>0</v>
      </c>
      <c r="U85" s="39">
        <v>0</v>
      </c>
      <c r="V85" s="39">
        <v>0</v>
      </c>
      <c r="W85" s="39">
        <v>0</v>
      </c>
      <c r="X85" s="39">
        <v>0</v>
      </c>
      <c r="Y85" s="39">
        <v>0</v>
      </c>
      <c r="Z85" s="39">
        <v>0</v>
      </c>
      <c r="AA85" s="39">
        <v>0</v>
      </c>
      <c r="AB85" s="39">
        <v>0</v>
      </c>
      <c r="AC85" s="39">
        <v>0</v>
      </c>
      <c r="AD85" s="39">
        <v>0</v>
      </c>
      <c r="AE85" s="39">
        <v>0</v>
      </c>
      <c r="AF85" s="39">
        <v>0</v>
      </c>
      <c r="AG85" s="39">
        <v>0</v>
      </c>
      <c r="AH85" s="39"/>
      <c r="AI85" s="39"/>
      <c r="AJ85" s="40"/>
      <c r="AK85" s="39">
        <f t="shared" si="5"/>
        <v>0</v>
      </c>
      <c r="AL85" s="39">
        <f t="shared" si="8"/>
        <v>0</v>
      </c>
      <c r="AM85" s="39">
        <f t="shared" si="9"/>
        <v>0</v>
      </c>
      <c r="AN85" s="39">
        <f t="shared" si="6"/>
        <v>0</v>
      </c>
      <c r="AO85" s="39">
        <f t="shared" si="7"/>
        <v>0</v>
      </c>
    </row>
    <row r="86" spans="1:41" x14ac:dyDescent="0.3">
      <c r="A86" s="20">
        <v>1000184670</v>
      </c>
      <c r="B86" s="4" t="s">
        <v>147</v>
      </c>
      <c r="C86" s="21">
        <v>1000186198</v>
      </c>
      <c r="D86" s="3" t="s">
        <v>168</v>
      </c>
      <c r="E86" s="20">
        <v>1000185288</v>
      </c>
      <c r="F86" s="4" t="s">
        <v>64</v>
      </c>
      <c r="G86" s="21">
        <v>1000189803</v>
      </c>
      <c r="H86" s="3" t="s">
        <v>97</v>
      </c>
      <c r="I86" s="21">
        <v>1000189754</v>
      </c>
      <c r="J86" s="3" t="s">
        <v>157</v>
      </c>
      <c r="K86" s="20" t="s">
        <v>24</v>
      </c>
      <c r="L86" s="39">
        <v>0</v>
      </c>
      <c r="M86" s="39">
        <v>0</v>
      </c>
      <c r="N86" s="39">
        <v>0</v>
      </c>
      <c r="O86" s="39">
        <v>0</v>
      </c>
      <c r="P86" s="39">
        <v>0</v>
      </c>
      <c r="Q86" s="39">
        <v>0</v>
      </c>
      <c r="R86" s="39">
        <v>0</v>
      </c>
      <c r="S86" s="39">
        <v>0</v>
      </c>
      <c r="T86" s="39">
        <v>0</v>
      </c>
      <c r="U86" s="39">
        <v>0</v>
      </c>
      <c r="V86" s="39">
        <v>0</v>
      </c>
      <c r="W86" s="39">
        <v>0</v>
      </c>
      <c r="X86" s="39">
        <v>0</v>
      </c>
      <c r="Y86" s="39">
        <v>0</v>
      </c>
      <c r="Z86" s="39">
        <v>0</v>
      </c>
      <c r="AA86" s="39">
        <v>0</v>
      </c>
      <c r="AB86" s="39">
        <v>0</v>
      </c>
      <c r="AC86" s="39">
        <v>0</v>
      </c>
      <c r="AD86" s="39">
        <v>0</v>
      </c>
      <c r="AE86" s="39">
        <v>0</v>
      </c>
      <c r="AF86" s="39">
        <v>0</v>
      </c>
      <c r="AG86" s="39">
        <v>0</v>
      </c>
      <c r="AH86" s="39"/>
      <c r="AI86" s="39"/>
      <c r="AJ86" s="40"/>
      <c r="AK86" s="39">
        <f t="shared" si="5"/>
        <v>0</v>
      </c>
      <c r="AL86" s="39">
        <f t="shared" si="8"/>
        <v>0</v>
      </c>
      <c r="AM86" s="39">
        <f t="shared" si="9"/>
        <v>0</v>
      </c>
      <c r="AN86" s="39">
        <f t="shared" si="6"/>
        <v>0</v>
      </c>
      <c r="AO86" s="39">
        <f t="shared" si="7"/>
        <v>0</v>
      </c>
    </row>
    <row r="87" spans="1:41" x14ac:dyDescent="0.3">
      <c r="A87" s="20">
        <v>1000184670</v>
      </c>
      <c r="B87" s="4" t="s">
        <v>147</v>
      </c>
      <c r="C87" s="21">
        <v>1000186198</v>
      </c>
      <c r="D87" s="3" t="s">
        <v>168</v>
      </c>
      <c r="E87" s="20">
        <v>1000185288</v>
      </c>
      <c r="F87" s="4" t="s">
        <v>64</v>
      </c>
      <c r="G87" s="21">
        <v>1000189803</v>
      </c>
      <c r="H87" s="3" t="s">
        <v>97</v>
      </c>
      <c r="I87" s="21">
        <v>1000189754</v>
      </c>
      <c r="J87" s="3" t="s">
        <v>157</v>
      </c>
      <c r="K87" s="20" t="s">
        <v>18</v>
      </c>
      <c r="L87" s="39">
        <v>0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>
        <v>0</v>
      </c>
      <c r="S87" s="39">
        <v>0</v>
      </c>
      <c r="T87" s="39">
        <v>0</v>
      </c>
      <c r="U87" s="39">
        <v>0</v>
      </c>
      <c r="V87" s="39">
        <v>0</v>
      </c>
      <c r="W87" s="39">
        <v>0</v>
      </c>
      <c r="X87" s="39">
        <v>0</v>
      </c>
      <c r="Y87" s="39">
        <v>0</v>
      </c>
      <c r="Z87" s="39">
        <v>0</v>
      </c>
      <c r="AA87" s="39">
        <v>0</v>
      </c>
      <c r="AB87" s="39">
        <v>0</v>
      </c>
      <c r="AC87" s="39">
        <v>0</v>
      </c>
      <c r="AD87" s="39">
        <v>0</v>
      </c>
      <c r="AE87" s="39">
        <v>0</v>
      </c>
      <c r="AF87" s="39">
        <v>0</v>
      </c>
      <c r="AG87" s="39">
        <v>0</v>
      </c>
      <c r="AH87" s="39"/>
      <c r="AI87" s="39"/>
      <c r="AJ87" s="40"/>
      <c r="AK87" s="39">
        <f t="shared" si="5"/>
        <v>0</v>
      </c>
      <c r="AL87" s="39">
        <f t="shared" si="8"/>
        <v>0</v>
      </c>
      <c r="AM87" s="39">
        <f t="shared" si="9"/>
        <v>0</v>
      </c>
      <c r="AN87" s="39">
        <f t="shared" si="6"/>
        <v>0</v>
      </c>
      <c r="AO87" s="39">
        <f t="shared" si="7"/>
        <v>0</v>
      </c>
    </row>
    <row r="88" spans="1:41" x14ac:dyDescent="0.3">
      <c r="A88" s="20">
        <v>1000184670</v>
      </c>
      <c r="B88" s="4" t="s">
        <v>147</v>
      </c>
      <c r="C88" s="21">
        <v>1000186198</v>
      </c>
      <c r="D88" s="3" t="s">
        <v>168</v>
      </c>
      <c r="E88" s="20">
        <v>1000185288</v>
      </c>
      <c r="F88" s="4" t="s">
        <v>64</v>
      </c>
      <c r="G88" s="21">
        <v>1000189803</v>
      </c>
      <c r="H88" s="3" t="s">
        <v>97</v>
      </c>
      <c r="I88" s="21">
        <v>1000189754</v>
      </c>
      <c r="J88" s="3" t="s">
        <v>157</v>
      </c>
      <c r="K88" s="20" t="s">
        <v>29</v>
      </c>
      <c r="L88" s="39">
        <v>0</v>
      </c>
      <c r="M88" s="39">
        <v>0</v>
      </c>
      <c r="N88" s="39">
        <v>0</v>
      </c>
      <c r="O88" s="39">
        <v>0</v>
      </c>
      <c r="P88" s="39">
        <v>0</v>
      </c>
      <c r="Q88" s="39">
        <v>0</v>
      </c>
      <c r="R88" s="39">
        <v>0</v>
      </c>
      <c r="S88" s="39">
        <v>0</v>
      </c>
      <c r="T88" s="39">
        <v>0</v>
      </c>
      <c r="U88" s="39">
        <v>0</v>
      </c>
      <c r="V88" s="39">
        <v>0</v>
      </c>
      <c r="W88" s="39">
        <v>0</v>
      </c>
      <c r="X88" s="39">
        <v>0</v>
      </c>
      <c r="Y88" s="39">
        <v>0</v>
      </c>
      <c r="Z88" s="39">
        <v>0</v>
      </c>
      <c r="AA88" s="39">
        <v>0</v>
      </c>
      <c r="AB88" s="39">
        <v>0</v>
      </c>
      <c r="AC88" s="39">
        <v>0</v>
      </c>
      <c r="AD88" s="39">
        <v>0</v>
      </c>
      <c r="AE88" s="39">
        <v>0</v>
      </c>
      <c r="AF88" s="39">
        <v>0</v>
      </c>
      <c r="AG88" s="39">
        <v>0</v>
      </c>
      <c r="AH88" s="39"/>
      <c r="AI88" s="39"/>
      <c r="AJ88" s="40"/>
      <c r="AK88" s="39">
        <f t="shared" si="5"/>
        <v>0</v>
      </c>
      <c r="AL88" s="39">
        <f t="shared" si="8"/>
        <v>0</v>
      </c>
      <c r="AM88" s="39">
        <f t="shared" si="9"/>
        <v>0</v>
      </c>
      <c r="AN88" s="39">
        <f t="shared" si="6"/>
        <v>0</v>
      </c>
      <c r="AO88" s="39">
        <f t="shared" si="7"/>
        <v>0</v>
      </c>
    </row>
    <row r="89" spans="1:41" x14ac:dyDescent="0.3">
      <c r="A89" s="20">
        <v>1000184670</v>
      </c>
      <c r="B89" s="4" t="s">
        <v>147</v>
      </c>
      <c r="C89" s="21">
        <v>1000186198</v>
      </c>
      <c r="D89" s="3" t="s">
        <v>168</v>
      </c>
      <c r="E89" s="20">
        <v>1000185288</v>
      </c>
      <c r="F89" s="4" t="s">
        <v>64</v>
      </c>
      <c r="G89" s="21">
        <v>1000189803</v>
      </c>
      <c r="H89" s="3" t="s">
        <v>97</v>
      </c>
      <c r="I89" s="21">
        <v>1000189754</v>
      </c>
      <c r="J89" s="3" t="s">
        <v>157</v>
      </c>
      <c r="K89" s="20" t="s">
        <v>21</v>
      </c>
      <c r="L89" s="39">
        <v>0</v>
      </c>
      <c r="M89" s="39">
        <v>0</v>
      </c>
      <c r="N89" s="39">
        <v>0</v>
      </c>
      <c r="O89" s="39">
        <v>0</v>
      </c>
      <c r="P89" s="39">
        <v>0</v>
      </c>
      <c r="Q89" s="39">
        <v>0</v>
      </c>
      <c r="R89" s="39">
        <v>0</v>
      </c>
      <c r="S89" s="39">
        <v>0</v>
      </c>
      <c r="T89" s="39">
        <v>0</v>
      </c>
      <c r="U89" s="39">
        <v>0</v>
      </c>
      <c r="V89" s="39">
        <v>0</v>
      </c>
      <c r="W89" s="39">
        <v>0</v>
      </c>
      <c r="X89" s="39">
        <v>0</v>
      </c>
      <c r="Y89" s="39">
        <v>0</v>
      </c>
      <c r="Z89" s="39">
        <v>0</v>
      </c>
      <c r="AA89" s="39">
        <v>0</v>
      </c>
      <c r="AB89" s="39">
        <v>0</v>
      </c>
      <c r="AC89" s="39">
        <v>0</v>
      </c>
      <c r="AD89" s="39">
        <v>0</v>
      </c>
      <c r="AE89" s="39">
        <v>0</v>
      </c>
      <c r="AF89" s="39">
        <v>0</v>
      </c>
      <c r="AG89" s="39">
        <v>0</v>
      </c>
      <c r="AH89" s="39"/>
      <c r="AI89" s="39"/>
      <c r="AJ89" s="40"/>
      <c r="AK89" s="39">
        <f t="shared" si="5"/>
        <v>0</v>
      </c>
      <c r="AL89" s="39">
        <f t="shared" si="8"/>
        <v>0</v>
      </c>
      <c r="AM89" s="39">
        <f t="shared" si="9"/>
        <v>0</v>
      </c>
      <c r="AN89" s="39">
        <f t="shared" si="6"/>
        <v>0</v>
      </c>
      <c r="AO89" s="39">
        <f t="shared" si="7"/>
        <v>0</v>
      </c>
    </row>
    <row r="90" spans="1:41" x14ac:dyDescent="0.3">
      <c r="A90" s="20">
        <v>1000184670</v>
      </c>
      <c r="B90" s="4" t="s">
        <v>147</v>
      </c>
      <c r="C90" s="21">
        <v>1000186198</v>
      </c>
      <c r="D90" s="3" t="s">
        <v>168</v>
      </c>
      <c r="E90" s="20">
        <v>1000185288</v>
      </c>
      <c r="F90" s="4" t="s">
        <v>64</v>
      </c>
      <c r="G90" s="21">
        <v>1000189803</v>
      </c>
      <c r="H90" s="3" t="s">
        <v>97</v>
      </c>
      <c r="I90" s="21">
        <v>1000189754</v>
      </c>
      <c r="J90" s="3" t="s">
        <v>157</v>
      </c>
      <c r="K90" s="20" t="s">
        <v>20</v>
      </c>
      <c r="L90" s="39">
        <v>0</v>
      </c>
      <c r="M90" s="39">
        <v>0</v>
      </c>
      <c r="N90" s="39">
        <v>0</v>
      </c>
      <c r="O90" s="39">
        <v>0</v>
      </c>
      <c r="P90" s="39">
        <v>0</v>
      </c>
      <c r="Q90" s="39">
        <v>0</v>
      </c>
      <c r="R90" s="39">
        <v>0</v>
      </c>
      <c r="S90" s="39">
        <v>0</v>
      </c>
      <c r="T90" s="39">
        <v>0</v>
      </c>
      <c r="U90" s="39">
        <v>0</v>
      </c>
      <c r="V90" s="39">
        <v>0</v>
      </c>
      <c r="W90" s="39">
        <v>0</v>
      </c>
      <c r="X90" s="39">
        <v>0</v>
      </c>
      <c r="Y90" s="39">
        <v>0</v>
      </c>
      <c r="Z90" s="39">
        <v>0</v>
      </c>
      <c r="AA90" s="39">
        <v>0</v>
      </c>
      <c r="AB90" s="39">
        <v>0</v>
      </c>
      <c r="AC90" s="39">
        <v>0</v>
      </c>
      <c r="AD90" s="39">
        <v>0</v>
      </c>
      <c r="AE90" s="39">
        <v>0</v>
      </c>
      <c r="AF90" s="39">
        <v>0</v>
      </c>
      <c r="AG90" s="39">
        <v>0</v>
      </c>
      <c r="AH90" s="39"/>
      <c r="AI90" s="39"/>
      <c r="AJ90" s="40"/>
      <c r="AK90" s="39">
        <f t="shared" si="5"/>
        <v>0</v>
      </c>
      <c r="AL90" s="39">
        <f t="shared" si="8"/>
        <v>0</v>
      </c>
      <c r="AM90" s="39">
        <f t="shared" si="9"/>
        <v>0</v>
      </c>
      <c r="AN90" s="39">
        <f t="shared" si="6"/>
        <v>0</v>
      </c>
      <c r="AO90" s="39">
        <f t="shared" si="7"/>
        <v>0</v>
      </c>
    </row>
    <row r="91" spans="1:41" x14ac:dyDescent="0.3">
      <c r="A91" s="20">
        <v>1000184670</v>
      </c>
      <c r="B91" s="4" t="s">
        <v>147</v>
      </c>
      <c r="C91" s="21">
        <v>1000186198</v>
      </c>
      <c r="D91" s="3" t="s">
        <v>168</v>
      </c>
      <c r="E91" s="20">
        <v>1000185288</v>
      </c>
      <c r="F91" s="4" t="s">
        <v>64</v>
      </c>
      <c r="G91" s="21">
        <v>1000189803</v>
      </c>
      <c r="H91" s="3" t="s">
        <v>97</v>
      </c>
      <c r="I91" s="21">
        <v>1000189754</v>
      </c>
      <c r="J91" s="3" t="s">
        <v>157</v>
      </c>
      <c r="K91" s="20" t="s">
        <v>22</v>
      </c>
      <c r="L91" s="39">
        <v>0</v>
      </c>
      <c r="M91" s="39">
        <v>0</v>
      </c>
      <c r="N91" s="39">
        <v>0</v>
      </c>
      <c r="O91" s="39">
        <v>0</v>
      </c>
      <c r="P91" s="39">
        <v>0</v>
      </c>
      <c r="Q91" s="39">
        <v>0</v>
      </c>
      <c r="R91" s="39">
        <v>0</v>
      </c>
      <c r="S91" s="39">
        <v>0</v>
      </c>
      <c r="T91" s="39">
        <v>0</v>
      </c>
      <c r="U91" s="39">
        <v>0</v>
      </c>
      <c r="V91" s="39">
        <v>0</v>
      </c>
      <c r="W91" s="39">
        <v>0</v>
      </c>
      <c r="X91" s="39">
        <v>0</v>
      </c>
      <c r="Y91" s="39">
        <v>0</v>
      </c>
      <c r="Z91" s="39">
        <v>0</v>
      </c>
      <c r="AA91" s="39">
        <v>0</v>
      </c>
      <c r="AB91" s="39">
        <v>0</v>
      </c>
      <c r="AC91" s="39">
        <v>0</v>
      </c>
      <c r="AD91" s="39">
        <v>0</v>
      </c>
      <c r="AE91" s="39">
        <v>0</v>
      </c>
      <c r="AF91" s="39">
        <v>0</v>
      </c>
      <c r="AG91" s="39">
        <v>0</v>
      </c>
      <c r="AH91" s="39"/>
      <c r="AI91" s="39"/>
      <c r="AJ91" s="40"/>
      <c r="AK91" s="39">
        <f t="shared" si="5"/>
        <v>0</v>
      </c>
      <c r="AL91" s="39">
        <f t="shared" si="8"/>
        <v>0</v>
      </c>
      <c r="AM91" s="39">
        <f t="shared" si="9"/>
        <v>0</v>
      </c>
      <c r="AN91" s="39">
        <f t="shared" si="6"/>
        <v>0</v>
      </c>
      <c r="AO91" s="39">
        <f t="shared" si="7"/>
        <v>0</v>
      </c>
    </row>
    <row r="92" spans="1:41" x14ac:dyDescent="0.3">
      <c r="A92" s="20">
        <v>1000184670</v>
      </c>
      <c r="B92" s="4" t="s">
        <v>147</v>
      </c>
      <c r="C92" s="21">
        <v>1000186198</v>
      </c>
      <c r="D92" s="3" t="s">
        <v>168</v>
      </c>
      <c r="E92" s="20">
        <v>1000185288</v>
      </c>
      <c r="F92" s="4" t="s">
        <v>64</v>
      </c>
      <c r="G92" s="21">
        <v>1000189803</v>
      </c>
      <c r="H92" s="3" t="s">
        <v>97</v>
      </c>
      <c r="I92" s="21">
        <v>1000189754</v>
      </c>
      <c r="J92" s="3" t="s">
        <v>157</v>
      </c>
      <c r="K92" s="20" t="s">
        <v>23</v>
      </c>
      <c r="L92" s="39">
        <v>0</v>
      </c>
      <c r="M92" s="39">
        <v>0</v>
      </c>
      <c r="N92" s="39">
        <v>0</v>
      </c>
      <c r="O92" s="39">
        <v>0</v>
      </c>
      <c r="P92" s="39">
        <v>0</v>
      </c>
      <c r="Q92" s="39">
        <v>0</v>
      </c>
      <c r="R92" s="39">
        <v>0</v>
      </c>
      <c r="S92" s="39">
        <v>0</v>
      </c>
      <c r="T92" s="39">
        <v>0</v>
      </c>
      <c r="U92" s="39">
        <v>0</v>
      </c>
      <c r="V92" s="39">
        <v>0</v>
      </c>
      <c r="W92" s="39">
        <v>0</v>
      </c>
      <c r="X92" s="39">
        <v>0</v>
      </c>
      <c r="Y92" s="39">
        <v>0</v>
      </c>
      <c r="Z92" s="39">
        <v>0</v>
      </c>
      <c r="AA92" s="39">
        <v>0</v>
      </c>
      <c r="AB92" s="39">
        <v>0</v>
      </c>
      <c r="AC92" s="39">
        <v>0</v>
      </c>
      <c r="AD92" s="39">
        <v>0</v>
      </c>
      <c r="AE92" s="39">
        <v>0</v>
      </c>
      <c r="AF92" s="39">
        <v>0</v>
      </c>
      <c r="AG92" s="39">
        <v>0</v>
      </c>
      <c r="AH92" s="39"/>
      <c r="AI92" s="39"/>
      <c r="AJ92" s="40"/>
      <c r="AK92" s="39">
        <f t="shared" si="5"/>
        <v>0</v>
      </c>
      <c r="AL92" s="39">
        <f t="shared" si="8"/>
        <v>0</v>
      </c>
      <c r="AM92" s="39">
        <f t="shared" si="9"/>
        <v>0</v>
      </c>
      <c r="AN92" s="39">
        <f t="shared" si="6"/>
        <v>0</v>
      </c>
      <c r="AO92" s="39">
        <f t="shared" si="7"/>
        <v>0</v>
      </c>
    </row>
    <row r="93" spans="1:41" x14ac:dyDescent="0.3">
      <c r="A93" s="20">
        <v>1000184670</v>
      </c>
      <c r="B93" s="4" t="s">
        <v>147</v>
      </c>
      <c r="C93" s="21">
        <v>1000186198</v>
      </c>
      <c r="D93" s="3" t="s">
        <v>168</v>
      </c>
      <c r="E93" s="20">
        <v>1000185288</v>
      </c>
      <c r="F93" s="4" t="s">
        <v>64</v>
      </c>
      <c r="G93" s="21">
        <v>1000189803</v>
      </c>
      <c r="H93" s="3" t="s">
        <v>97</v>
      </c>
      <c r="I93" s="21">
        <v>1000189754</v>
      </c>
      <c r="J93" s="3" t="s">
        <v>157</v>
      </c>
      <c r="K93" s="20" t="s">
        <v>28</v>
      </c>
      <c r="L93" s="39">
        <v>0</v>
      </c>
      <c r="M93" s="39">
        <v>0</v>
      </c>
      <c r="N93" s="39">
        <v>0</v>
      </c>
      <c r="O93" s="39">
        <v>0</v>
      </c>
      <c r="P93" s="39">
        <v>0</v>
      </c>
      <c r="Q93" s="39">
        <v>0</v>
      </c>
      <c r="R93" s="39">
        <v>0</v>
      </c>
      <c r="S93" s="39">
        <v>0</v>
      </c>
      <c r="T93" s="39">
        <v>0</v>
      </c>
      <c r="U93" s="39">
        <v>0</v>
      </c>
      <c r="V93" s="39">
        <v>0</v>
      </c>
      <c r="W93" s="39">
        <v>0</v>
      </c>
      <c r="X93" s="39">
        <v>0</v>
      </c>
      <c r="Y93" s="39">
        <v>0</v>
      </c>
      <c r="Z93" s="39">
        <v>0</v>
      </c>
      <c r="AA93" s="39">
        <v>0</v>
      </c>
      <c r="AB93" s="39">
        <v>0</v>
      </c>
      <c r="AC93" s="39">
        <v>0</v>
      </c>
      <c r="AD93" s="39">
        <v>0</v>
      </c>
      <c r="AE93" s="39">
        <v>0</v>
      </c>
      <c r="AF93" s="39">
        <v>0</v>
      </c>
      <c r="AG93" s="39">
        <v>0</v>
      </c>
      <c r="AH93" s="39"/>
      <c r="AI93" s="39"/>
      <c r="AJ93" s="40"/>
      <c r="AK93" s="39">
        <f t="shared" si="5"/>
        <v>0</v>
      </c>
      <c r="AL93" s="39">
        <f t="shared" si="8"/>
        <v>0</v>
      </c>
      <c r="AM93" s="39">
        <f t="shared" si="9"/>
        <v>0</v>
      </c>
      <c r="AN93" s="39">
        <f t="shared" si="6"/>
        <v>0</v>
      </c>
      <c r="AO93" s="39">
        <f t="shared" si="7"/>
        <v>0</v>
      </c>
    </row>
    <row r="94" spans="1:41" x14ac:dyDescent="0.3">
      <c r="A94" s="20">
        <v>1000184670</v>
      </c>
      <c r="B94" s="4" t="s">
        <v>147</v>
      </c>
      <c r="C94" s="21">
        <v>1000186198</v>
      </c>
      <c r="D94" s="3" t="s">
        <v>168</v>
      </c>
      <c r="E94" s="20">
        <v>1000185288</v>
      </c>
      <c r="F94" s="4" t="s">
        <v>64</v>
      </c>
      <c r="G94" s="21">
        <v>1000189803</v>
      </c>
      <c r="H94" s="3" t="s">
        <v>97</v>
      </c>
      <c r="I94" s="21">
        <v>1000189754</v>
      </c>
      <c r="J94" s="3" t="s">
        <v>157</v>
      </c>
      <c r="K94" s="20" t="s">
        <v>26</v>
      </c>
      <c r="L94" s="39">
        <v>0</v>
      </c>
      <c r="M94" s="39">
        <v>0</v>
      </c>
      <c r="N94" s="39">
        <v>0</v>
      </c>
      <c r="O94" s="39">
        <v>0</v>
      </c>
      <c r="P94" s="39">
        <v>0</v>
      </c>
      <c r="Q94" s="39">
        <v>0</v>
      </c>
      <c r="R94" s="39">
        <v>0</v>
      </c>
      <c r="S94" s="39">
        <v>0</v>
      </c>
      <c r="T94" s="39">
        <v>0</v>
      </c>
      <c r="U94" s="39">
        <v>0</v>
      </c>
      <c r="V94" s="39">
        <v>0</v>
      </c>
      <c r="W94" s="39">
        <v>0</v>
      </c>
      <c r="X94" s="39">
        <v>0</v>
      </c>
      <c r="Y94" s="39">
        <v>0</v>
      </c>
      <c r="Z94" s="39">
        <v>0</v>
      </c>
      <c r="AA94" s="39">
        <v>0</v>
      </c>
      <c r="AB94" s="39">
        <v>1502.79</v>
      </c>
      <c r="AC94" s="39">
        <v>0</v>
      </c>
      <c r="AD94" s="39">
        <v>0</v>
      </c>
      <c r="AE94" s="39">
        <v>0</v>
      </c>
      <c r="AF94" s="39">
        <v>0</v>
      </c>
      <c r="AG94" s="39">
        <v>0</v>
      </c>
      <c r="AH94" s="39"/>
      <c r="AI94" s="39"/>
      <c r="AJ94" s="40"/>
      <c r="AK94" s="39">
        <f t="shared" si="5"/>
        <v>0</v>
      </c>
      <c r="AL94" s="39">
        <f t="shared" si="8"/>
        <v>125.2325</v>
      </c>
      <c r="AM94" s="39">
        <f t="shared" si="9"/>
        <v>250.465</v>
      </c>
      <c r="AN94" s="39">
        <f t="shared" si="6"/>
        <v>150.279</v>
      </c>
      <c r="AO94" s="39">
        <f t="shared" si="7"/>
        <v>1502.79</v>
      </c>
    </row>
    <row r="95" spans="1:41" x14ac:dyDescent="0.3">
      <c r="A95" s="20">
        <v>1000184670</v>
      </c>
      <c r="B95" s="4" t="s">
        <v>147</v>
      </c>
      <c r="C95" s="21">
        <v>1000186198</v>
      </c>
      <c r="D95" s="3" t="s">
        <v>168</v>
      </c>
      <c r="E95" s="20">
        <v>1000185288</v>
      </c>
      <c r="F95" s="4" t="s">
        <v>64</v>
      </c>
      <c r="G95" s="21">
        <v>1000189803</v>
      </c>
      <c r="H95" s="3" t="s">
        <v>97</v>
      </c>
      <c r="I95" s="21">
        <v>1000189754</v>
      </c>
      <c r="J95" s="3" t="s">
        <v>157</v>
      </c>
      <c r="K95" s="20" t="s">
        <v>27</v>
      </c>
      <c r="L95" s="39">
        <v>0</v>
      </c>
      <c r="M95" s="39">
        <v>0</v>
      </c>
      <c r="N95" s="39">
        <v>0</v>
      </c>
      <c r="O95" s="39">
        <v>0</v>
      </c>
      <c r="P95" s="39">
        <v>0</v>
      </c>
      <c r="Q95" s="39">
        <v>0</v>
      </c>
      <c r="R95" s="39">
        <v>0</v>
      </c>
      <c r="S95" s="39">
        <v>0</v>
      </c>
      <c r="T95" s="39">
        <v>0</v>
      </c>
      <c r="U95" s="39">
        <v>0</v>
      </c>
      <c r="V95" s="39">
        <v>0</v>
      </c>
      <c r="W95" s="39">
        <v>0</v>
      </c>
      <c r="X95" s="39">
        <v>0</v>
      </c>
      <c r="Y95" s="39">
        <v>0</v>
      </c>
      <c r="Z95" s="39">
        <v>0</v>
      </c>
      <c r="AA95" s="39">
        <v>0</v>
      </c>
      <c r="AB95" s="39">
        <v>0</v>
      </c>
      <c r="AC95" s="39">
        <v>0</v>
      </c>
      <c r="AD95" s="39">
        <v>0</v>
      </c>
      <c r="AE95" s="39">
        <v>0</v>
      </c>
      <c r="AF95" s="39">
        <v>0</v>
      </c>
      <c r="AG95" s="39">
        <v>0</v>
      </c>
      <c r="AH95" s="39"/>
      <c r="AI95" s="39"/>
      <c r="AJ95" s="40"/>
      <c r="AK95" s="39">
        <f t="shared" si="5"/>
        <v>0</v>
      </c>
      <c r="AL95" s="39">
        <f t="shared" si="8"/>
        <v>0</v>
      </c>
      <c r="AM95" s="39">
        <f t="shared" si="9"/>
        <v>0</v>
      </c>
      <c r="AN95" s="39">
        <f t="shared" si="6"/>
        <v>0</v>
      </c>
      <c r="AO95" s="39">
        <f t="shared" si="7"/>
        <v>0</v>
      </c>
    </row>
    <row r="96" spans="1:41" x14ac:dyDescent="0.3">
      <c r="A96" s="20">
        <v>1000184670</v>
      </c>
      <c r="B96" s="4" t="s">
        <v>147</v>
      </c>
      <c r="C96" s="21">
        <v>1000186198</v>
      </c>
      <c r="D96" s="3" t="s">
        <v>168</v>
      </c>
      <c r="E96" s="20">
        <v>1000185288</v>
      </c>
      <c r="F96" s="4" t="s">
        <v>64</v>
      </c>
      <c r="G96" s="21">
        <v>1000189803</v>
      </c>
      <c r="H96" s="3" t="s">
        <v>97</v>
      </c>
      <c r="I96" s="21">
        <v>1000189754</v>
      </c>
      <c r="J96" s="3" t="s">
        <v>157</v>
      </c>
      <c r="K96" s="20" t="s">
        <v>25</v>
      </c>
      <c r="L96" s="39">
        <v>0</v>
      </c>
      <c r="M96" s="39">
        <v>0</v>
      </c>
      <c r="N96" s="39">
        <v>0</v>
      </c>
      <c r="O96" s="39">
        <v>0</v>
      </c>
      <c r="P96" s="39">
        <v>0</v>
      </c>
      <c r="Q96" s="39">
        <v>0</v>
      </c>
      <c r="R96" s="39">
        <v>0</v>
      </c>
      <c r="S96" s="39">
        <v>0</v>
      </c>
      <c r="T96" s="39">
        <v>0</v>
      </c>
      <c r="U96" s="39">
        <v>0</v>
      </c>
      <c r="V96" s="39">
        <v>0</v>
      </c>
      <c r="W96" s="39">
        <v>0</v>
      </c>
      <c r="X96" s="39">
        <v>0</v>
      </c>
      <c r="Y96" s="39">
        <v>0</v>
      </c>
      <c r="Z96" s="39">
        <v>0</v>
      </c>
      <c r="AA96" s="39">
        <v>0</v>
      </c>
      <c r="AB96" s="39">
        <v>20687.560000000001</v>
      </c>
      <c r="AC96" s="39">
        <v>0</v>
      </c>
      <c r="AD96" s="39">
        <v>0</v>
      </c>
      <c r="AE96" s="39">
        <v>0</v>
      </c>
      <c r="AF96" s="39">
        <v>0</v>
      </c>
      <c r="AG96" s="39">
        <v>0</v>
      </c>
      <c r="AH96" s="39"/>
      <c r="AI96" s="39"/>
      <c r="AJ96" s="40"/>
      <c r="AK96" s="39">
        <f t="shared" si="5"/>
        <v>0</v>
      </c>
      <c r="AL96" s="39">
        <f t="shared" si="8"/>
        <v>1723.9633333333334</v>
      </c>
      <c r="AM96" s="39">
        <f t="shared" si="9"/>
        <v>3447.9266666666667</v>
      </c>
      <c r="AN96" s="39">
        <f t="shared" si="6"/>
        <v>2068.7560000000003</v>
      </c>
      <c r="AO96" s="39">
        <f t="shared" si="7"/>
        <v>20687.560000000001</v>
      </c>
    </row>
    <row r="97" spans="1:41" x14ac:dyDescent="0.3">
      <c r="A97" s="20">
        <v>1000184670</v>
      </c>
      <c r="B97" s="4" t="s">
        <v>147</v>
      </c>
      <c r="C97" s="21">
        <v>1000185711</v>
      </c>
      <c r="D97" s="3" t="s">
        <v>167</v>
      </c>
      <c r="E97" s="20">
        <v>1000184762</v>
      </c>
      <c r="F97" s="4" t="s">
        <v>58</v>
      </c>
      <c r="G97" s="21">
        <v>1000189815</v>
      </c>
      <c r="H97" s="3" t="s">
        <v>59</v>
      </c>
      <c r="I97" s="21">
        <v>1000189755</v>
      </c>
      <c r="J97" s="3" t="s">
        <v>160</v>
      </c>
      <c r="K97" s="20" t="s">
        <v>124</v>
      </c>
      <c r="L97" s="39">
        <v>0</v>
      </c>
      <c r="M97" s="39">
        <v>0</v>
      </c>
      <c r="N97" s="39">
        <v>0</v>
      </c>
      <c r="O97" s="39">
        <v>0</v>
      </c>
      <c r="P97" s="39">
        <v>0</v>
      </c>
      <c r="Q97" s="39">
        <v>0</v>
      </c>
      <c r="R97" s="39">
        <v>0</v>
      </c>
      <c r="S97" s="39">
        <v>0</v>
      </c>
      <c r="T97" s="39">
        <v>0</v>
      </c>
      <c r="U97" s="39">
        <v>0</v>
      </c>
      <c r="V97" s="39">
        <v>0</v>
      </c>
      <c r="W97" s="39">
        <v>0</v>
      </c>
      <c r="X97" s="39">
        <v>0</v>
      </c>
      <c r="Y97" s="39">
        <v>0</v>
      </c>
      <c r="Z97" s="39">
        <v>0</v>
      </c>
      <c r="AA97" s="39">
        <v>0</v>
      </c>
      <c r="AB97" s="39">
        <v>0</v>
      </c>
      <c r="AC97" s="39">
        <v>0</v>
      </c>
      <c r="AD97" s="39">
        <v>0</v>
      </c>
      <c r="AE97" s="39">
        <v>0</v>
      </c>
      <c r="AF97" s="39">
        <v>0</v>
      </c>
      <c r="AG97" s="39">
        <v>0</v>
      </c>
      <c r="AH97" s="39"/>
      <c r="AI97" s="39"/>
      <c r="AJ97" s="40"/>
      <c r="AK97" s="39">
        <f t="shared" si="5"/>
        <v>0</v>
      </c>
      <c r="AL97" s="39">
        <f t="shared" si="8"/>
        <v>0</v>
      </c>
      <c r="AM97" s="39">
        <f t="shared" si="9"/>
        <v>0</v>
      </c>
      <c r="AN97" s="39">
        <f t="shared" si="6"/>
        <v>0</v>
      </c>
      <c r="AO97" s="39">
        <f t="shared" si="7"/>
        <v>0</v>
      </c>
    </row>
    <row r="98" spans="1:41" x14ac:dyDescent="0.3">
      <c r="A98" s="20">
        <v>1000184670</v>
      </c>
      <c r="B98" s="4" t="s">
        <v>147</v>
      </c>
      <c r="C98" s="21">
        <v>1000185711</v>
      </c>
      <c r="D98" s="3" t="s">
        <v>167</v>
      </c>
      <c r="E98" s="20">
        <v>1000184762</v>
      </c>
      <c r="F98" s="4" t="s">
        <v>58</v>
      </c>
      <c r="G98" s="21">
        <v>1000189815</v>
      </c>
      <c r="H98" s="3" t="s">
        <v>59</v>
      </c>
      <c r="I98" s="21">
        <v>1000189755</v>
      </c>
      <c r="J98" s="3" t="s">
        <v>160</v>
      </c>
      <c r="K98" s="20" t="s">
        <v>13</v>
      </c>
      <c r="L98" s="39">
        <v>0</v>
      </c>
      <c r="M98" s="39">
        <v>0</v>
      </c>
      <c r="N98" s="39">
        <v>0</v>
      </c>
      <c r="O98" s="39">
        <v>0</v>
      </c>
      <c r="P98" s="39">
        <v>0</v>
      </c>
      <c r="Q98" s="39">
        <v>0</v>
      </c>
      <c r="R98" s="39">
        <v>0</v>
      </c>
      <c r="S98" s="39">
        <v>0</v>
      </c>
      <c r="T98" s="39">
        <v>0</v>
      </c>
      <c r="U98" s="39">
        <v>0</v>
      </c>
      <c r="V98" s="39">
        <v>0</v>
      </c>
      <c r="W98" s="39">
        <v>0</v>
      </c>
      <c r="X98" s="39">
        <v>0</v>
      </c>
      <c r="Y98" s="39">
        <v>0</v>
      </c>
      <c r="Z98" s="39">
        <v>0</v>
      </c>
      <c r="AA98" s="39">
        <v>0</v>
      </c>
      <c r="AB98" s="39">
        <v>0</v>
      </c>
      <c r="AC98" s="39">
        <v>0</v>
      </c>
      <c r="AD98" s="39">
        <v>0</v>
      </c>
      <c r="AE98" s="39">
        <v>0</v>
      </c>
      <c r="AF98" s="39">
        <v>0</v>
      </c>
      <c r="AG98" s="39">
        <v>0</v>
      </c>
      <c r="AH98" s="39"/>
      <c r="AI98" s="39"/>
      <c r="AJ98" s="40"/>
      <c r="AK98" s="39">
        <f t="shared" si="5"/>
        <v>0</v>
      </c>
      <c r="AL98" s="39">
        <f t="shared" si="8"/>
        <v>0</v>
      </c>
      <c r="AM98" s="39">
        <f t="shared" si="9"/>
        <v>0</v>
      </c>
      <c r="AN98" s="39">
        <f t="shared" si="6"/>
        <v>0</v>
      </c>
      <c r="AO98" s="39">
        <f t="shared" si="7"/>
        <v>0</v>
      </c>
    </row>
    <row r="99" spans="1:41" x14ac:dyDescent="0.3">
      <c r="A99" s="20">
        <v>1000184670</v>
      </c>
      <c r="B99" s="4" t="s">
        <v>147</v>
      </c>
      <c r="C99" s="21">
        <v>1000185711</v>
      </c>
      <c r="D99" s="3" t="s">
        <v>167</v>
      </c>
      <c r="E99" s="20">
        <v>1000184762</v>
      </c>
      <c r="F99" s="4" t="s">
        <v>58</v>
      </c>
      <c r="G99" s="21">
        <v>1000189815</v>
      </c>
      <c r="H99" s="3" t="s">
        <v>59</v>
      </c>
      <c r="I99" s="21">
        <v>1000189755</v>
      </c>
      <c r="J99" s="3" t="s">
        <v>160</v>
      </c>
      <c r="K99" s="20" t="s">
        <v>14</v>
      </c>
      <c r="L99" s="39">
        <v>0</v>
      </c>
      <c r="M99" s="39">
        <v>0</v>
      </c>
      <c r="N99" s="39">
        <v>0</v>
      </c>
      <c r="O99" s="39">
        <v>0</v>
      </c>
      <c r="P99" s="39">
        <v>0</v>
      </c>
      <c r="Q99" s="39">
        <v>0</v>
      </c>
      <c r="R99" s="39">
        <v>0</v>
      </c>
      <c r="S99" s="39">
        <v>0</v>
      </c>
      <c r="T99" s="39">
        <v>0</v>
      </c>
      <c r="U99" s="39">
        <v>0</v>
      </c>
      <c r="V99" s="39">
        <v>0</v>
      </c>
      <c r="W99" s="39">
        <v>0</v>
      </c>
      <c r="X99" s="39">
        <v>0</v>
      </c>
      <c r="Y99" s="39">
        <v>0</v>
      </c>
      <c r="Z99" s="39">
        <v>0</v>
      </c>
      <c r="AA99" s="39">
        <v>0</v>
      </c>
      <c r="AB99" s="39">
        <v>0</v>
      </c>
      <c r="AC99" s="39">
        <v>0</v>
      </c>
      <c r="AD99" s="39">
        <v>0</v>
      </c>
      <c r="AE99" s="39">
        <v>0</v>
      </c>
      <c r="AF99" s="39">
        <v>0</v>
      </c>
      <c r="AG99" s="39">
        <v>0</v>
      </c>
      <c r="AH99" s="39"/>
      <c r="AI99" s="39"/>
      <c r="AJ99" s="40"/>
      <c r="AK99" s="39">
        <f t="shared" si="5"/>
        <v>0</v>
      </c>
      <c r="AL99" s="39">
        <f t="shared" si="8"/>
        <v>0</v>
      </c>
      <c r="AM99" s="39">
        <f t="shared" si="9"/>
        <v>0</v>
      </c>
      <c r="AN99" s="39">
        <f t="shared" si="6"/>
        <v>0</v>
      </c>
      <c r="AO99" s="39">
        <f t="shared" si="7"/>
        <v>0</v>
      </c>
    </row>
    <row r="100" spans="1:41" x14ac:dyDescent="0.3">
      <c r="A100" s="20">
        <v>1000184670</v>
      </c>
      <c r="B100" s="4" t="s">
        <v>147</v>
      </c>
      <c r="C100" s="21">
        <v>1000185711</v>
      </c>
      <c r="D100" s="3" t="s">
        <v>167</v>
      </c>
      <c r="E100" s="20">
        <v>1000184762</v>
      </c>
      <c r="F100" s="4" t="s">
        <v>58</v>
      </c>
      <c r="G100" s="21">
        <v>1000189815</v>
      </c>
      <c r="H100" s="3" t="s">
        <v>59</v>
      </c>
      <c r="I100" s="21">
        <v>1000189755</v>
      </c>
      <c r="J100" s="3" t="s">
        <v>160</v>
      </c>
      <c r="K100" s="20" t="s">
        <v>16</v>
      </c>
      <c r="L100" s="39">
        <v>0</v>
      </c>
      <c r="M100" s="39">
        <v>0</v>
      </c>
      <c r="N100" s="39">
        <v>0</v>
      </c>
      <c r="O100" s="39">
        <v>0</v>
      </c>
      <c r="P100" s="39">
        <v>0</v>
      </c>
      <c r="Q100" s="39">
        <v>0</v>
      </c>
      <c r="R100" s="39">
        <v>0</v>
      </c>
      <c r="S100" s="39">
        <v>0</v>
      </c>
      <c r="T100" s="39">
        <v>0</v>
      </c>
      <c r="U100" s="39">
        <v>0</v>
      </c>
      <c r="V100" s="39">
        <v>0</v>
      </c>
      <c r="W100" s="39">
        <v>0</v>
      </c>
      <c r="X100" s="39">
        <v>0</v>
      </c>
      <c r="Y100" s="39">
        <v>0</v>
      </c>
      <c r="Z100" s="39">
        <v>0</v>
      </c>
      <c r="AA100" s="39">
        <v>0</v>
      </c>
      <c r="AB100" s="39">
        <v>0</v>
      </c>
      <c r="AC100" s="39">
        <v>0</v>
      </c>
      <c r="AD100" s="39">
        <v>0</v>
      </c>
      <c r="AE100" s="39">
        <v>0</v>
      </c>
      <c r="AF100" s="39">
        <v>0</v>
      </c>
      <c r="AG100" s="39">
        <v>0</v>
      </c>
      <c r="AH100" s="39"/>
      <c r="AI100" s="39"/>
      <c r="AJ100" s="40"/>
      <c r="AK100" s="39">
        <f t="shared" si="5"/>
        <v>0</v>
      </c>
      <c r="AL100" s="39">
        <f t="shared" si="8"/>
        <v>0</v>
      </c>
      <c r="AM100" s="39">
        <f t="shared" si="9"/>
        <v>0</v>
      </c>
      <c r="AN100" s="39">
        <f t="shared" si="6"/>
        <v>0</v>
      </c>
      <c r="AO100" s="39">
        <f t="shared" si="7"/>
        <v>0</v>
      </c>
    </row>
    <row r="101" spans="1:41" x14ac:dyDescent="0.3">
      <c r="A101" s="20">
        <v>1000184670</v>
      </c>
      <c r="B101" s="4" t="s">
        <v>147</v>
      </c>
      <c r="C101" s="21">
        <v>1000185711</v>
      </c>
      <c r="D101" s="3" t="s">
        <v>167</v>
      </c>
      <c r="E101" s="20">
        <v>1000184762</v>
      </c>
      <c r="F101" s="4" t="s">
        <v>58</v>
      </c>
      <c r="G101" s="21">
        <v>1000189815</v>
      </c>
      <c r="H101" s="3" t="s">
        <v>59</v>
      </c>
      <c r="I101" s="21">
        <v>1000189755</v>
      </c>
      <c r="J101" s="3" t="s">
        <v>160</v>
      </c>
      <c r="K101" s="20" t="s">
        <v>15</v>
      </c>
      <c r="L101" s="39">
        <v>0</v>
      </c>
      <c r="M101" s="39">
        <v>0</v>
      </c>
      <c r="N101" s="39">
        <v>0</v>
      </c>
      <c r="O101" s="39">
        <v>0</v>
      </c>
      <c r="P101" s="39">
        <v>0</v>
      </c>
      <c r="Q101" s="39">
        <v>0</v>
      </c>
      <c r="R101" s="39">
        <v>0</v>
      </c>
      <c r="S101" s="39">
        <v>0</v>
      </c>
      <c r="T101" s="39">
        <v>0</v>
      </c>
      <c r="U101" s="39">
        <v>0</v>
      </c>
      <c r="V101" s="39">
        <v>0</v>
      </c>
      <c r="W101" s="39">
        <v>0</v>
      </c>
      <c r="X101" s="39">
        <v>0</v>
      </c>
      <c r="Y101" s="39">
        <v>0</v>
      </c>
      <c r="Z101" s="39">
        <v>0</v>
      </c>
      <c r="AA101" s="39">
        <v>0</v>
      </c>
      <c r="AB101" s="39">
        <v>0</v>
      </c>
      <c r="AC101" s="39">
        <v>0</v>
      </c>
      <c r="AD101" s="39">
        <v>0</v>
      </c>
      <c r="AE101" s="39">
        <v>0</v>
      </c>
      <c r="AF101" s="39">
        <v>0</v>
      </c>
      <c r="AG101" s="39">
        <v>0</v>
      </c>
      <c r="AH101" s="39"/>
      <c r="AI101" s="39"/>
      <c r="AJ101" s="40"/>
      <c r="AK101" s="39">
        <f t="shared" si="5"/>
        <v>0</v>
      </c>
      <c r="AL101" s="39">
        <f t="shared" si="8"/>
        <v>0</v>
      </c>
      <c r="AM101" s="39">
        <f t="shared" si="9"/>
        <v>0</v>
      </c>
      <c r="AN101" s="39">
        <f t="shared" si="6"/>
        <v>0</v>
      </c>
      <c r="AO101" s="39">
        <f t="shared" si="7"/>
        <v>0</v>
      </c>
    </row>
    <row r="102" spans="1:41" x14ac:dyDescent="0.3">
      <c r="A102" s="20">
        <v>1000184670</v>
      </c>
      <c r="B102" s="4" t="s">
        <v>147</v>
      </c>
      <c r="C102" s="21">
        <v>1000185711</v>
      </c>
      <c r="D102" s="3" t="s">
        <v>167</v>
      </c>
      <c r="E102" s="20">
        <v>1000184762</v>
      </c>
      <c r="F102" s="4" t="s">
        <v>58</v>
      </c>
      <c r="G102" s="21">
        <v>1000189815</v>
      </c>
      <c r="H102" s="3" t="s">
        <v>59</v>
      </c>
      <c r="I102" s="21">
        <v>1000189755</v>
      </c>
      <c r="J102" s="3" t="s">
        <v>160</v>
      </c>
      <c r="K102" s="20" t="s">
        <v>33</v>
      </c>
      <c r="L102" s="39">
        <v>0</v>
      </c>
      <c r="M102" s="39">
        <v>0</v>
      </c>
      <c r="N102" s="39">
        <v>0</v>
      </c>
      <c r="O102" s="39">
        <v>0</v>
      </c>
      <c r="P102" s="39">
        <v>0</v>
      </c>
      <c r="Q102" s="39">
        <v>0</v>
      </c>
      <c r="R102" s="39">
        <v>0</v>
      </c>
      <c r="S102" s="39">
        <v>0</v>
      </c>
      <c r="T102" s="39">
        <v>0</v>
      </c>
      <c r="U102" s="39">
        <v>0</v>
      </c>
      <c r="V102" s="39">
        <v>0</v>
      </c>
      <c r="W102" s="39">
        <v>0</v>
      </c>
      <c r="X102" s="39">
        <v>0</v>
      </c>
      <c r="Y102" s="39">
        <v>0</v>
      </c>
      <c r="Z102" s="39">
        <v>0</v>
      </c>
      <c r="AA102" s="39">
        <v>0</v>
      </c>
      <c r="AB102" s="39">
        <v>0</v>
      </c>
      <c r="AC102" s="39">
        <v>0</v>
      </c>
      <c r="AD102" s="39">
        <v>0</v>
      </c>
      <c r="AE102" s="39">
        <v>0</v>
      </c>
      <c r="AF102" s="39">
        <v>0</v>
      </c>
      <c r="AG102" s="39">
        <v>0</v>
      </c>
      <c r="AH102" s="39"/>
      <c r="AI102" s="39"/>
      <c r="AJ102" s="40"/>
      <c r="AK102" s="39">
        <f t="shared" si="5"/>
        <v>0</v>
      </c>
      <c r="AL102" s="39">
        <f t="shared" si="8"/>
        <v>0</v>
      </c>
      <c r="AM102" s="39">
        <f t="shared" si="9"/>
        <v>0</v>
      </c>
      <c r="AN102" s="39">
        <f t="shared" si="6"/>
        <v>0</v>
      </c>
      <c r="AO102" s="39">
        <f t="shared" si="7"/>
        <v>0</v>
      </c>
    </row>
    <row r="103" spans="1:41" x14ac:dyDescent="0.3">
      <c r="A103" s="20">
        <v>1000184670</v>
      </c>
      <c r="B103" s="4" t="s">
        <v>147</v>
      </c>
      <c r="C103" s="21">
        <v>1000185711</v>
      </c>
      <c r="D103" s="3" t="s">
        <v>167</v>
      </c>
      <c r="E103" s="20">
        <v>1000184762</v>
      </c>
      <c r="F103" s="4" t="s">
        <v>58</v>
      </c>
      <c r="G103" s="21">
        <v>1000189815</v>
      </c>
      <c r="H103" s="3" t="s">
        <v>59</v>
      </c>
      <c r="I103" s="21">
        <v>1000189755</v>
      </c>
      <c r="J103" s="3" t="s">
        <v>160</v>
      </c>
      <c r="K103" s="20" t="s">
        <v>19</v>
      </c>
      <c r="L103" s="39">
        <v>0</v>
      </c>
      <c r="M103" s="39">
        <v>0</v>
      </c>
      <c r="N103" s="39">
        <v>0</v>
      </c>
      <c r="O103" s="39">
        <v>0</v>
      </c>
      <c r="P103" s="39">
        <v>0</v>
      </c>
      <c r="Q103" s="39">
        <v>0</v>
      </c>
      <c r="R103" s="39">
        <v>0</v>
      </c>
      <c r="S103" s="39">
        <v>0</v>
      </c>
      <c r="T103" s="39">
        <v>0</v>
      </c>
      <c r="U103" s="39">
        <v>0</v>
      </c>
      <c r="V103" s="39">
        <v>0</v>
      </c>
      <c r="W103" s="39">
        <v>0</v>
      </c>
      <c r="X103" s="39">
        <v>0</v>
      </c>
      <c r="Y103" s="39">
        <v>0</v>
      </c>
      <c r="Z103" s="39">
        <v>0</v>
      </c>
      <c r="AA103" s="39">
        <v>0</v>
      </c>
      <c r="AB103" s="39">
        <v>0</v>
      </c>
      <c r="AC103" s="39">
        <v>0</v>
      </c>
      <c r="AD103" s="39">
        <v>0</v>
      </c>
      <c r="AE103" s="39">
        <v>0</v>
      </c>
      <c r="AF103" s="39">
        <v>0</v>
      </c>
      <c r="AG103" s="39">
        <v>0</v>
      </c>
      <c r="AH103" s="39"/>
      <c r="AI103" s="39"/>
      <c r="AJ103" s="40"/>
      <c r="AK103" s="39">
        <f t="shared" si="5"/>
        <v>0</v>
      </c>
      <c r="AL103" s="39">
        <f t="shared" si="8"/>
        <v>0</v>
      </c>
      <c r="AM103" s="39">
        <f t="shared" si="9"/>
        <v>0</v>
      </c>
      <c r="AN103" s="39">
        <f t="shared" si="6"/>
        <v>0</v>
      </c>
      <c r="AO103" s="39">
        <f t="shared" si="7"/>
        <v>0</v>
      </c>
    </row>
    <row r="104" spans="1:41" x14ac:dyDescent="0.3">
      <c r="A104" s="20">
        <v>1000184670</v>
      </c>
      <c r="B104" s="4" t="s">
        <v>147</v>
      </c>
      <c r="C104" s="21">
        <v>1000185711</v>
      </c>
      <c r="D104" s="3" t="s">
        <v>167</v>
      </c>
      <c r="E104" s="20">
        <v>1000184762</v>
      </c>
      <c r="F104" s="4" t="s">
        <v>58</v>
      </c>
      <c r="G104" s="21">
        <v>1000189815</v>
      </c>
      <c r="H104" s="3" t="s">
        <v>59</v>
      </c>
      <c r="I104" s="21">
        <v>1000189755</v>
      </c>
      <c r="J104" s="3" t="s">
        <v>160</v>
      </c>
      <c r="K104" s="20" t="s">
        <v>17</v>
      </c>
      <c r="L104" s="39">
        <v>0</v>
      </c>
      <c r="M104" s="39">
        <v>0</v>
      </c>
      <c r="N104" s="39">
        <v>0</v>
      </c>
      <c r="O104" s="39">
        <v>0</v>
      </c>
      <c r="P104" s="39">
        <v>0</v>
      </c>
      <c r="Q104" s="39">
        <v>0</v>
      </c>
      <c r="R104" s="39">
        <v>0</v>
      </c>
      <c r="S104" s="39">
        <v>0</v>
      </c>
      <c r="T104" s="39">
        <v>0</v>
      </c>
      <c r="U104" s="39">
        <v>0</v>
      </c>
      <c r="V104" s="39">
        <v>0</v>
      </c>
      <c r="W104" s="39">
        <v>0</v>
      </c>
      <c r="X104" s="39">
        <v>0</v>
      </c>
      <c r="Y104" s="39">
        <v>0</v>
      </c>
      <c r="Z104" s="39">
        <v>0</v>
      </c>
      <c r="AA104" s="39">
        <v>0</v>
      </c>
      <c r="AB104" s="39">
        <v>0</v>
      </c>
      <c r="AC104" s="39">
        <v>0</v>
      </c>
      <c r="AD104" s="39">
        <v>0</v>
      </c>
      <c r="AE104" s="39">
        <v>0</v>
      </c>
      <c r="AF104" s="39">
        <v>0</v>
      </c>
      <c r="AG104" s="39">
        <v>0</v>
      </c>
      <c r="AH104" s="39"/>
      <c r="AI104" s="39"/>
      <c r="AJ104" s="40"/>
      <c r="AK104" s="39">
        <f t="shared" si="5"/>
        <v>0</v>
      </c>
      <c r="AL104" s="39">
        <f t="shared" si="8"/>
        <v>0</v>
      </c>
      <c r="AM104" s="39">
        <f t="shared" si="9"/>
        <v>0</v>
      </c>
      <c r="AN104" s="39">
        <f t="shared" si="6"/>
        <v>0</v>
      </c>
      <c r="AO104" s="39">
        <f t="shared" si="7"/>
        <v>0</v>
      </c>
    </row>
    <row r="105" spans="1:41" x14ac:dyDescent="0.3">
      <c r="A105" s="20">
        <v>1000184670</v>
      </c>
      <c r="B105" s="4" t="s">
        <v>147</v>
      </c>
      <c r="C105" s="21">
        <v>1000185711</v>
      </c>
      <c r="D105" s="3" t="s">
        <v>167</v>
      </c>
      <c r="E105" s="20">
        <v>1000184762</v>
      </c>
      <c r="F105" s="4" t="s">
        <v>58</v>
      </c>
      <c r="G105" s="21">
        <v>1000189815</v>
      </c>
      <c r="H105" s="3" t="s">
        <v>59</v>
      </c>
      <c r="I105" s="21">
        <v>1000189755</v>
      </c>
      <c r="J105" s="3" t="s">
        <v>160</v>
      </c>
      <c r="K105" s="20" t="s">
        <v>24</v>
      </c>
      <c r="L105" s="39">
        <v>0</v>
      </c>
      <c r="M105" s="39">
        <v>0</v>
      </c>
      <c r="N105" s="39">
        <v>0</v>
      </c>
      <c r="O105" s="39">
        <v>0</v>
      </c>
      <c r="P105" s="39">
        <v>0</v>
      </c>
      <c r="Q105" s="39">
        <v>0</v>
      </c>
      <c r="R105" s="39">
        <v>0</v>
      </c>
      <c r="S105" s="39">
        <v>0</v>
      </c>
      <c r="T105" s="39">
        <v>0</v>
      </c>
      <c r="U105" s="39">
        <v>0</v>
      </c>
      <c r="V105" s="39">
        <v>0</v>
      </c>
      <c r="W105" s="39">
        <v>0</v>
      </c>
      <c r="X105" s="39">
        <v>0</v>
      </c>
      <c r="Y105" s="39">
        <v>0</v>
      </c>
      <c r="Z105" s="39">
        <v>0</v>
      </c>
      <c r="AA105" s="39">
        <v>0</v>
      </c>
      <c r="AB105" s="39">
        <v>0</v>
      </c>
      <c r="AC105" s="39">
        <v>0</v>
      </c>
      <c r="AD105" s="39">
        <v>0</v>
      </c>
      <c r="AE105" s="39">
        <v>0</v>
      </c>
      <c r="AF105" s="39">
        <v>0</v>
      </c>
      <c r="AG105" s="39">
        <v>0</v>
      </c>
      <c r="AH105" s="39"/>
      <c r="AI105" s="39"/>
      <c r="AJ105" s="40"/>
      <c r="AK105" s="39">
        <f t="shared" si="5"/>
        <v>0</v>
      </c>
      <c r="AL105" s="39">
        <f t="shared" si="8"/>
        <v>0</v>
      </c>
      <c r="AM105" s="39">
        <f t="shared" si="9"/>
        <v>0</v>
      </c>
      <c r="AN105" s="39">
        <f t="shared" si="6"/>
        <v>0</v>
      </c>
      <c r="AO105" s="39">
        <f t="shared" si="7"/>
        <v>0</v>
      </c>
    </row>
    <row r="106" spans="1:41" x14ac:dyDescent="0.3">
      <c r="A106" s="20">
        <v>1000184670</v>
      </c>
      <c r="B106" s="4" t="s">
        <v>147</v>
      </c>
      <c r="C106" s="21">
        <v>1000185711</v>
      </c>
      <c r="D106" s="3" t="s">
        <v>167</v>
      </c>
      <c r="E106" s="20">
        <v>1000184762</v>
      </c>
      <c r="F106" s="4" t="s">
        <v>58</v>
      </c>
      <c r="G106" s="21">
        <v>1000189815</v>
      </c>
      <c r="H106" s="3" t="s">
        <v>59</v>
      </c>
      <c r="I106" s="21">
        <v>1000189755</v>
      </c>
      <c r="J106" s="3" t="s">
        <v>160</v>
      </c>
      <c r="K106" s="20" t="s">
        <v>18</v>
      </c>
      <c r="L106" s="39">
        <v>0</v>
      </c>
      <c r="M106" s="39">
        <v>0</v>
      </c>
      <c r="N106" s="39">
        <v>0</v>
      </c>
      <c r="O106" s="39">
        <v>0</v>
      </c>
      <c r="P106" s="39">
        <v>0</v>
      </c>
      <c r="Q106" s="39">
        <v>0</v>
      </c>
      <c r="R106" s="39">
        <v>0</v>
      </c>
      <c r="S106" s="39">
        <v>0</v>
      </c>
      <c r="T106" s="39">
        <v>0</v>
      </c>
      <c r="U106" s="39">
        <v>0</v>
      </c>
      <c r="V106" s="39">
        <v>0</v>
      </c>
      <c r="W106" s="39">
        <v>0</v>
      </c>
      <c r="X106" s="39">
        <v>0</v>
      </c>
      <c r="Y106" s="39">
        <v>0</v>
      </c>
      <c r="Z106" s="39">
        <v>0</v>
      </c>
      <c r="AA106" s="39">
        <v>0</v>
      </c>
      <c r="AB106" s="39">
        <v>0</v>
      </c>
      <c r="AC106" s="39">
        <v>0</v>
      </c>
      <c r="AD106" s="39">
        <v>0</v>
      </c>
      <c r="AE106" s="39">
        <v>0</v>
      </c>
      <c r="AF106" s="39">
        <v>0</v>
      </c>
      <c r="AG106" s="39">
        <v>0</v>
      </c>
      <c r="AH106" s="39"/>
      <c r="AI106" s="39"/>
      <c r="AJ106" s="40"/>
      <c r="AK106" s="39">
        <f t="shared" si="5"/>
        <v>0</v>
      </c>
      <c r="AL106" s="39">
        <f t="shared" si="8"/>
        <v>0</v>
      </c>
      <c r="AM106" s="39">
        <f t="shared" si="9"/>
        <v>0</v>
      </c>
      <c r="AN106" s="39">
        <f t="shared" si="6"/>
        <v>0</v>
      </c>
      <c r="AO106" s="39">
        <f t="shared" si="7"/>
        <v>0</v>
      </c>
    </row>
    <row r="107" spans="1:41" x14ac:dyDescent="0.3">
      <c r="A107" s="20">
        <v>1000184670</v>
      </c>
      <c r="B107" s="4" t="s">
        <v>147</v>
      </c>
      <c r="C107" s="21">
        <v>1000185711</v>
      </c>
      <c r="D107" s="3" t="s">
        <v>167</v>
      </c>
      <c r="E107" s="20">
        <v>1000184762</v>
      </c>
      <c r="F107" s="4" t="s">
        <v>58</v>
      </c>
      <c r="G107" s="21">
        <v>1000189815</v>
      </c>
      <c r="H107" s="3" t="s">
        <v>59</v>
      </c>
      <c r="I107" s="21">
        <v>1000189755</v>
      </c>
      <c r="J107" s="3" t="s">
        <v>160</v>
      </c>
      <c r="K107" s="20" t="s">
        <v>29</v>
      </c>
      <c r="L107" s="39">
        <v>0</v>
      </c>
      <c r="M107" s="39">
        <v>0</v>
      </c>
      <c r="N107" s="39">
        <v>0</v>
      </c>
      <c r="O107" s="39">
        <v>0</v>
      </c>
      <c r="P107" s="39">
        <v>0</v>
      </c>
      <c r="Q107" s="39">
        <v>0</v>
      </c>
      <c r="R107" s="39">
        <v>0</v>
      </c>
      <c r="S107" s="39">
        <v>0</v>
      </c>
      <c r="T107" s="39">
        <v>0</v>
      </c>
      <c r="U107" s="39">
        <v>0</v>
      </c>
      <c r="V107" s="39">
        <v>0</v>
      </c>
      <c r="W107" s="39">
        <v>0</v>
      </c>
      <c r="X107" s="39">
        <v>0</v>
      </c>
      <c r="Y107" s="39">
        <v>0</v>
      </c>
      <c r="Z107" s="39">
        <v>0</v>
      </c>
      <c r="AA107" s="39">
        <v>0</v>
      </c>
      <c r="AB107" s="39">
        <v>0</v>
      </c>
      <c r="AC107" s="39">
        <v>0</v>
      </c>
      <c r="AD107" s="39">
        <v>0</v>
      </c>
      <c r="AE107" s="39">
        <v>0</v>
      </c>
      <c r="AF107" s="39">
        <v>0</v>
      </c>
      <c r="AG107" s="39">
        <v>0</v>
      </c>
      <c r="AH107" s="39"/>
      <c r="AI107" s="39"/>
      <c r="AJ107" s="40"/>
      <c r="AK107" s="39">
        <f t="shared" si="5"/>
        <v>0</v>
      </c>
      <c r="AL107" s="39">
        <f t="shared" si="8"/>
        <v>0</v>
      </c>
      <c r="AM107" s="39">
        <f t="shared" si="9"/>
        <v>0</v>
      </c>
      <c r="AN107" s="39">
        <f t="shared" si="6"/>
        <v>0</v>
      </c>
      <c r="AO107" s="39">
        <f t="shared" si="7"/>
        <v>0</v>
      </c>
    </row>
    <row r="108" spans="1:41" x14ac:dyDescent="0.3">
      <c r="A108" s="20">
        <v>1000184670</v>
      </c>
      <c r="B108" s="4" t="s">
        <v>147</v>
      </c>
      <c r="C108" s="21">
        <v>1000185711</v>
      </c>
      <c r="D108" s="3" t="s">
        <v>167</v>
      </c>
      <c r="E108" s="20">
        <v>1000184762</v>
      </c>
      <c r="F108" s="4" t="s">
        <v>58</v>
      </c>
      <c r="G108" s="21">
        <v>1000189815</v>
      </c>
      <c r="H108" s="3" t="s">
        <v>59</v>
      </c>
      <c r="I108" s="21">
        <v>1000189755</v>
      </c>
      <c r="J108" s="3" t="s">
        <v>160</v>
      </c>
      <c r="K108" s="20" t="s">
        <v>21</v>
      </c>
      <c r="L108" s="39">
        <v>0</v>
      </c>
      <c r="M108" s="39">
        <v>0</v>
      </c>
      <c r="N108" s="39">
        <v>0</v>
      </c>
      <c r="O108" s="39">
        <v>0</v>
      </c>
      <c r="P108" s="39">
        <v>0</v>
      </c>
      <c r="Q108" s="39">
        <v>0</v>
      </c>
      <c r="R108" s="39">
        <v>0</v>
      </c>
      <c r="S108" s="39">
        <v>0</v>
      </c>
      <c r="T108" s="39">
        <v>0</v>
      </c>
      <c r="U108" s="39">
        <v>0</v>
      </c>
      <c r="V108" s="39">
        <v>0</v>
      </c>
      <c r="W108" s="39">
        <v>0</v>
      </c>
      <c r="X108" s="39">
        <v>0</v>
      </c>
      <c r="Y108" s="39">
        <v>0</v>
      </c>
      <c r="Z108" s="39">
        <v>0</v>
      </c>
      <c r="AA108" s="39">
        <v>0</v>
      </c>
      <c r="AB108" s="39">
        <v>0</v>
      </c>
      <c r="AC108" s="39">
        <v>0</v>
      </c>
      <c r="AD108" s="39">
        <v>0</v>
      </c>
      <c r="AE108" s="39">
        <v>0</v>
      </c>
      <c r="AF108" s="39">
        <v>0</v>
      </c>
      <c r="AG108" s="39">
        <v>0</v>
      </c>
      <c r="AH108" s="39"/>
      <c r="AI108" s="39"/>
      <c r="AJ108" s="40"/>
      <c r="AK108" s="39">
        <f t="shared" si="5"/>
        <v>0</v>
      </c>
      <c r="AL108" s="39">
        <f t="shared" si="8"/>
        <v>0</v>
      </c>
      <c r="AM108" s="39">
        <f t="shared" si="9"/>
        <v>0</v>
      </c>
      <c r="AN108" s="39">
        <f t="shared" si="6"/>
        <v>0</v>
      </c>
      <c r="AO108" s="39">
        <f t="shared" si="7"/>
        <v>0</v>
      </c>
    </row>
    <row r="109" spans="1:41" x14ac:dyDescent="0.3">
      <c r="A109" s="20">
        <v>1000184670</v>
      </c>
      <c r="B109" s="4" t="s">
        <v>147</v>
      </c>
      <c r="C109" s="21">
        <v>1000185711</v>
      </c>
      <c r="D109" s="3" t="s">
        <v>167</v>
      </c>
      <c r="E109" s="20">
        <v>1000184762</v>
      </c>
      <c r="F109" s="4" t="s">
        <v>58</v>
      </c>
      <c r="G109" s="21">
        <v>1000189815</v>
      </c>
      <c r="H109" s="3" t="s">
        <v>59</v>
      </c>
      <c r="I109" s="21">
        <v>1000189755</v>
      </c>
      <c r="J109" s="3" t="s">
        <v>160</v>
      </c>
      <c r="K109" s="20" t="s">
        <v>20</v>
      </c>
      <c r="L109" s="39">
        <v>0</v>
      </c>
      <c r="M109" s="39">
        <v>0</v>
      </c>
      <c r="N109" s="39">
        <v>0</v>
      </c>
      <c r="O109" s="39">
        <v>0</v>
      </c>
      <c r="P109" s="39">
        <v>0</v>
      </c>
      <c r="Q109" s="39">
        <v>0</v>
      </c>
      <c r="R109" s="39">
        <v>0</v>
      </c>
      <c r="S109" s="39">
        <v>0</v>
      </c>
      <c r="T109" s="39">
        <v>0</v>
      </c>
      <c r="U109" s="39">
        <v>0</v>
      </c>
      <c r="V109" s="39">
        <v>0</v>
      </c>
      <c r="W109" s="39">
        <v>0</v>
      </c>
      <c r="X109" s="39">
        <v>0</v>
      </c>
      <c r="Y109" s="39">
        <v>0</v>
      </c>
      <c r="Z109" s="39">
        <v>0</v>
      </c>
      <c r="AA109" s="39">
        <v>0</v>
      </c>
      <c r="AB109" s="39">
        <v>0</v>
      </c>
      <c r="AC109" s="39">
        <v>0</v>
      </c>
      <c r="AD109" s="39">
        <v>0</v>
      </c>
      <c r="AE109" s="39">
        <v>0</v>
      </c>
      <c r="AF109" s="39">
        <v>0</v>
      </c>
      <c r="AG109" s="39">
        <v>0</v>
      </c>
      <c r="AH109" s="39"/>
      <c r="AI109" s="39"/>
      <c r="AJ109" s="40"/>
      <c r="AK109" s="39">
        <f t="shared" si="5"/>
        <v>0</v>
      </c>
      <c r="AL109" s="39">
        <f t="shared" si="8"/>
        <v>0</v>
      </c>
      <c r="AM109" s="39">
        <f t="shared" si="9"/>
        <v>0</v>
      </c>
      <c r="AN109" s="39">
        <f t="shared" si="6"/>
        <v>0</v>
      </c>
      <c r="AO109" s="39">
        <f t="shared" si="7"/>
        <v>0</v>
      </c>
    </row>
    <row r="110" spans="1:41" x14ac:dyDescent="0.3">
      <c r="A110" s="20">
        <v>1000184670</v>
      </c>
      <c r="B110" s="4" t="s">
        <v>147</v>
      </c>
      <c r="C110" s="21">
        <v>1000185711</v>
      </c>
      <c r="D110" s="3" t="s">
        <v>167</v>
      </c>
      <c r="E110" s="20">
        <v>1000184762</v>
      </c>
      <c r="F110" s="4" t="s">
        <v>58</v>
      </c>
      <c r="G110" s="21">
        <v>1000189815</v>
      </c>
      <c r="H110" s="3" t="s">
        <v>59</v>
      </c>
      <c r="I110" s="21">
        <v>1000189755</v>
      </c>
      <c r="J110" s="3" t="s">
        <v>160</v>
      </c>
      <c r="K110" s="20" t="s">
        <v>22</v>
      </c>
      <c r="L110" s="39">
        <v>0</v>
      </c>
      <c r="M110" s="39">
        <v>0</v>
      </c>
      <c r="N110" s="39">
        <v>0</v>
      </c>
      <c r="O110" s="39">
        <v>0</v>
      </c>
      <c r="P110" s="39">
        <v>0</v>
      </c>
      <c r="Q110" s="39">
        <v>0</v>
      </c>
      <c r="R110" s="39">
        <v>0</v>
      </c>
      <c r="S110" s="39">
        <v>0</v>
      </c>
      <c r="T110" s="39">
        <v>0</v>
      </c>
      <c r="U110" s="39">
        <v>0</v>
      </c>
      <c r="V110" s="39">
        <v>0</v>
      </c>
      <c r="W110" s="39">
        <v>0</v>
      </c>
      <c r="X110" s="39">
        <v>0</v>
      </c>
      <c r="Y110" s="39">
        <v>0</v>
      </c>
      <c r="Z110" s="39">
        <v>0</v>
      </c>
      <c r="AA110" s="39">
        <v>0</v>
      </c>
      <c r="AB110" s="39">
        <v>0</v>
      </c>
      <c r="AC110" s="39">
        <v>0</v>
      </c>
      <c r="AD110" s="39">
        <v>0</v>
      </c>
      <c r="AE110" s="39">
        <v>0</v>
      </c>
      <c r="AF110" s="39">
        <v>0</v>
      </c>
      <c r="AG110" s="39">
        <v>0</v>
      </c>
      <c r="AH110" s="39"/>
      <c r="AI110" s="39"/>
      <c r="AJ110" s="40"/>
      <c r="AK110" s="39">
        <f t="shared" si="5"/>
        <v>0</v>
      </c>
      <c r="AL110" s="39">
        <f t="shared" si="8"/>
        <v>0</v>
      </c>
      <c r="AM110" s="39">
        <f t="shared" si="9"/>
        <v>0</v>
      </c>
      <c r="AN110" s="39">
        <f t="shared" si="6"/>
        <v>0</v>
      </c>
      <c r="AO110" s="39">
        <f t="shared" si="7"/>
        <v>0</v>
      </c>
    </row>
    <row r="111" spans="1:41" x14ac:dyDescent="0.3">
      <c r="A111" s="20">
        <v>1000184670</v>
      </c>
      <c r="B111" s="4" t="s">
        <v>147</v>
      </c>
      <c r="C111" s="21">
        <v>1000185711</v>
      </c>
      <c r="D111" s="3" t="s">
        <v>167</v>
      </c>
      <c r="E111" s="20">
        <v>1000184762</v>
      </c>
      <c r="F111" s="4" t="s">
        <v>58</v>
      </c>
      <c r="G111" s="21">
        <v>1000189815</v>
      </c>
      <c r="H111" s="3" t="s">
        <v>59</v>
      </c>
      <c r="I111" s="21">
        <v>1000189755</v>
      </c>
      <c r="J111" s="3" t="s">
        <v>160</v>
      </c>
      <c r="K111" s="20" t="s">
        <v>23</v>
      </c>
      <c r="L111" s="39">
        <v>0</v>
      </c>
      <c r="M111" s="39">
        <v>0</v>
      </c>
      <c r="N111" s="39">
        <v>0</v>
      </c>
      <c r="O111" s="39">
        <v>0</v>
      </c>
      <c r="P111" s="39">
        <v>0</v>
      </c>
      <c r="Q111" s="39">
        <v>0</v>
      </c>
      <c r="R111" s="39">
        <v>0</v>
      </c>
      <c r="S111" s="39">
        <v>0</v>
      </c>
      <c r="T111" s="39">
        <v>0</v>
      </c>
      <c r="U111" s="39">
        <v>0</v>
      </c>
      <c r="V111" s="39">
        <v>0</v>
      </c>
      <c r="W111" s="39">
        <v>0</v>
      </c>
      <c r="X111" s="39">
        <v>0</v>
      </c>
      <c r="Y111" s="39">
        <v>0</v>
      </c>
      <c r="Z111" s="39">
        <v>0</v>
      </c>
      <c r="AA111" s="39">
        <v>0</v>
      </c>
      <c r="AB111" s="39">
        <v>0</v>
      </c>
      <c r="AC111" s="39">
        <v>0</v>
      </c>
      <c r="AD111" s="39">
        <v>0</v>
      </c>
      <c r="AE111" s="39">
        <v>0</v>
      </c>
      <c r="AF111" s="39">
        <v>0</v>
      </c>
      <c r="AG111" s="39">
        <v>0</v>
      </c>
      <c r="AH111" s="39"/>
      <c r="AI111" s="39"/>
      <c r="AJ111" s="40"/>
      <c r="AK111" s="39">
        <f t="shared" si="5"/>
        <v>0</v>
      </c>
      <c r="AL111" s="39">
        <f t="shared" si="8"/>
        <v>0</v>
      </c>
      <c r="AM111" s="39">
        <f t="shared" si="9"/>
        <v>0</v>
      </c>
      <c r="AN111" s="39">
        <f t="shared" si="6"/>
        <v>0</v>
      </c>
      <c r="AO111" s="39">
        <f t="shared" si="7"/>
        <v>0</v>
      </c>
    </row>
    <row r="112" spans="1:41" x14ac:dyDescent="0.3">
      <c r="A112" s="20">
        <v>1000184670</v>
      </c>
      <c r="B112" s="4" t="s">
        <v>147</v>
      </c>
      <c r="C112" s="21">
        <v>1000185711</v>
      </c>
      <c r="D112" s="3" t="s">
        <v>167</v>
      </c>
      <c r="E112" s="20">
        <v>1000184762</v>
      </c>
      <c r="F112" s="4" t="s">
        <v>58</v>
      </c>
      <c r="G112" s="21">
        <v>1000189815</v>
      </c>
      <c r="H112" s="3" t="s">
        <v>59</v>
      </c>
      <c r="I112" s="21">
        <v>1000189755</v>
      </c>
      <c r="J112" s="3" t="s">
        <v>160</v>
      </c>
      <c r="K112" s="20" t="s">
        <v>28</v>
      </c>
      <c r="L112" s="39">
        <v>0</v>
      </c>
      <c r="M112" s="39">
        <v>0</v>
      </c>
      <c r="N112" s="39">
        <v>0</v>
      </c>
      <c r="O112" s="39">
        <v>0</v>
      </c>
      <c r="P112" s="39">
        <v>0</v>
      </c>
      <c r="Q112" s="39">
        <v>0</v>
      </c>
      <c r="R112" s="39">
        <v>0</v>
      </c>
      <c r="S112" s="39">
        <v>0</v>
      </c>
      <c r="T112" s="39">
        <v>0</v>
      </c>
      <c r="U112" s="39">
        <v>0</v>
      </c>
      <c r="V112" s="39">
        <v>0</v>
      </c>
      <c r="W112" s="39">
        <v>0</v>
      </c>
      <c r="X112" s="39">
        <v>0</v>
      </c>
      <c r="Y112" s="39">
        <v>0</v>
      </c>
      <c r="Z112" s="39">
        <v>0</v>
      </c>
      <c r="AA112" s="39">
        <v>0</v>
      </c>
      <c r="AB112" s="39">
        <v>0</v>
      </c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/>
      <c r="AI112" s="39"/>
      <c r="AJ112" s="40"/>
      <c r="AK112" s="39">
        <f t="shared" ref="AK112:AK175" si="10">AVERAGE(L112:W112)</f>
        <v>0</v>
      </c>
      <c r="AL112" s="39">
        <f t="shared" si="8"/>
        <v>0</v>
      </c>
      <c r="AM112" s="39">
        <f t="shared" si="9"/>
        <v>0</v>
      </c>
      <c r="AN112" s="39">
        <f t="shared" ref="AN112:AN175" si="11">AVERAGE(X112:AI112)</f>
        <v>0</v>
      </c>
      <c r="AO112" s="39">
        <f t="shared" ref="AO112:AO175" si="12">SUM(X112:AI112)</f>
        <v>0</v>
      </c>
    </row>
    <row r="113" spans="1:41" x14ac:dyDescent="0.3">
      <c r="A113" s="20">
        <v>1000184670</v>
      </c>
      <c r="B113" s="4" t="s">
        <v>147</v>
      </c>
      <c r="C113" s="21">
        <v>1000185711</v>
      </c>
      <c r="D113" s="3" t="s">
        <v>167</v>
      </c>
      <c r="E113" s="20">
        <v>1000184762</v>
      </c>
      <c r="F113" s="4" t="s">
        <v>58</v>
      </c>
      <c r="G113" s="21">
        <v>1000189815</v>
      </c>
      <c r="H113" s="3" t="s">
        <v>59</v>
      </c>
      <c r="I113" s="21">
        <v>1000189755</v>
      </c>
      <c r="J113" s="3" t="s">
        <v>160</v>
      </c>
      <c r="K113" s="20" t="s">
        <v>26</v>
      </c>
      <c r="L113" s="39">
        <v>0</v>
      </c>
      <c r="M113" s="39">
        <v>0</v>
      </c>
      <c r="N113" s="39">
        <v>0</v>
      </c>
      <c r="O113" s="39">
        <v>0</v>
      </c>
      <c r="P113" s="39">
        <v>0</v>
      </c>
      <c r="Q113" s="39">
        <v>0</v>
      </c>
      <c r="R113" s="39">
        <v>0</v>
      </c>
      <c r="S113" s="39">
        <v>0</v>
      </c>
      <c r="T113" s="39">
        <v>0</v>
      </c>
      <c r="U113" s="39">
        <v>0</v>
      </c>
      <c r="V113" s="39">
        <v>0</v>
      </c>
      <c r="W113" s="39">
        <v>0</v>
      </c>
      <c r="X113" s="39">
        <v>0</v>
      </c>
      <c r="Y113" s="39">
        <v>0</v>
      </c>
      <c r="Z113" s="39">
        <v>0</v>
      </c>
      <c r="AA113" s="39">
        <v>0</v>
      </c>
      <c r="AB113" s="39">
        <v>0</v>
      </c>
      <c r="AC113" s="39">
        <v>0</v>
      </c>
      <c r="AD113" s="39">
        <v>0</v>
      </c>
      <c r="AE113" s="39">
        <v>0</v>
      </c>
      <c r="AF113" s="39">
        <v>0</v>
      </c>
      <c r="AG113" s="39">
        <v>0</v>
      </c>
      <c r="AH113" s="39"/>
      <c r="AI113" s="39"/>
      <c r="AJ113" s="40"/>
      <c r="AK113" s="39">
        <f t="shared" si="10"/>
        <v>0</v>
      </c>
      <c r="AL113" s="39">
        <f t="shared" si="8"/>
        <v>0</v>
      </c>
      <c r="AM113" s="39">
        <f t="shared" si="9"/>
        <v>0</v>
      </c>
      <c r="AN113" s="39">
        <f t="shared" si="11"/>
        <v>0</v>
      </c>
      <c r="AO113" s="39">
        <f t="shared" si="12"/>
        <v>0</v>
      </c>
    </row>
    <row r="114" spans="1:41" x14ac:dyDescent="0.3">
      <c r="A114" s="20">
        <v>1000184670</v>
      </c>
      <c r="B114" s="4" t="s">
        <v>147</v>
      </c>
      <c r="C114" s="21">
        <v>1000185711</v>
      </c>
      <c r="D114" s="3" t="s">
        <v>167</v>
      </c>
      <c r="E114" s="20">
        <v>1000184762</v>
      </c>
      <c r="F114" s="4" t="s">
        <v>58</v>
      </c>
      <c r="G114" s="21">
        <v>1000189815</v>
      </c>
      <c r="H114" s="3" t="s">
        <v>59</v>
      </c>
      <c r="I114" s="21">
        <v>1000189755</v>
      </c>
      <c r="J114" s="3" t="s">
        <v>160</v>
      </c>
      <c r="K114" s="20" t="s">
        <v>27</v>
      </c>
      <c r="L114" s="39">
        <v>0</v>
      </c>
      <c r="M114" s="39">
        <v>0</v>
      </c>
      <c r="N114" s="39">
        <v>0</v>
      </c>
      <c r="O114" s="39">
        <v>0</v>
      </c>
      <c r="P114" s="39">
        <v>0</v>
      </c>
      <c r="Q114" s="39">
        <v>0</v>
      </c>
      <c r="R114" s="39">
        <v>0</v>
      </c>
      <c r="S114" s="39">
        <v>0</v>
      </c>
      <c r="T114" s="39">
        <v>0</v>
      </c>
      <c r="U114" s="39">
        <v>0</v>
      </c>
      <c r="V114" s="39">
        <v>0</v>
      </c>
      <c r="W114" s="39">
        <v>0</v>
      </c>
      <c r="X114" s="39">
        <v>0</v>
      </c>
      <c r="Y114" s="39">
        <v>0</v>
      </c>
      <c r="Z114" s="39">
        <v>0</v>
      </c>
      <c r="AA114" s="39">
        <v>0</v>
      </c>
      <c r="AB114" s="39">
        <v>0</v>
      </c>
      <c r="AC114" s="39">
        <v>0</v>
      </c>
      <c r="AD114" s="39">
        <v>0</v>
      </c>
      <c r="AE114" s="39">
        <v>0</v>
      </c>
      <c r="AF114" s="39">
        <v>0</v>
      </c>
      <c r="AG114" s="39">
        <v>0</v>
      </c>
      <c r="AH114" s="39"/>
      <c r="AI114" s="39"/>
      <c r="AJ114" s="40"/>
      <c r="AK114" s="39">
        <f t="shared" si="10"/>
        <v>0</v>
      </c>
      <c r="AL114" s="39">
        <f t="shared" si="8"/>
        <v>0</v>
      </c>
      <c r="AM114" s="39">
        <f t="shared" si="9"/>
        <v>0</v>
      </c>
      <c r="AN114" s="39">
        <f t="shared" si="11"/>
        <v>0</v>
      </c>
      <c r="AO114" s="39">
        <f t="shared" si="12"/>
        <v>0</v>
      </c>
    </row>
    <row r="115" spans="1:41" x14ac:dyDescent="0.3">
      <c r="A115" s="20">
        <v>1000184670</v>
      </c>
      <c r="B115" s="4" t="s">
        <v>147</v>
      </c>
      <c r="C115" s="21">
        <v>1000185711</v>
      </c>
      <c r="D115" s="3" t="s">
        <v>167</v>
      </c>
      <c r="E115" s="20">
        <v>1000184762</v>
      </c>
      <c r="F115" s="4" t="s">
        <v>58</v>
      </c>
      <c r="G115" s="21">
        <v>1000189815</v>
      </c>
      <c r="H115" s="3" t="s">
        <v>59</v>
      </c>
      <c r="I115" s="21">
        <v>1000189755</v>
      </c>
      <c r="J115" s="3" t="s">
        <v>160</v>
      </c>
      <c r="K115" s="20" t="s">
        <v>25</v>
      </c>
      <c r="L115" s="39">
        <v>0</v>
      </c>
      <c r="M115" s="39">
        <v>0</v>
      </c>
      <c r="N115" s="39">
        <v>0</v>
      </c>
      <c r="O115" s="39">
        <v>0</v>
      </c>
      <c r="P115" s="39">
        <v>0</v>
      </c>
      <c r="Q115" s="39">
        <v>0</v>
      </c>
      <c r="R115" s="39">
        <v>0</v>
      </c>
      <c r="S115" s="39">
        <v>0</v>
      </c>
      <c r="T115" s="39">
        <v>0</v>
      </c>
      <c r="U115" s="39">
        <v>0</v>
      </c>
      <c r="V115" s="39">
        <v>0</v>
      </c>
      <c r="W115" s="39">
        <v>0</v>
      </c>
      <c r="X115" s="39">
        <v>0</v>
      </c>
      <c r="Y115" s="39">
        <v>0</v>
      </c>
      <c r="Z115" s="39">
        <v>0</v>
      </c>
      <c r="AA115" s="39">
        <v>0</v>
      </c>
      <c r="AB115" s="39">
        <v>0</v>
      </c>
      <c r="AC115" s="39">
        <v>0</v>
      </c>
      <c r="AD115" s="39">
        <v>0</v>
      </c>
      <c r="AE115" s="39">
        <v>0</v>
      </c>
      <c r="AF115" s="39">
        <v>0</v>
      </c>
      <c r="AG115" s="39">
        <v>0</v>
      </c>
      <c r="AH115" s="39"/>
      <c r="AI115" s="39"/>
      <c r="AJ115" s="40"/>
      <c r="AK115" s="39">
        <f t="shared" si="10"/>
        <v>0</v>
      </c>
      <c r="AL115" s="39">
        <f t="shared" si="8"/>
        <v>0</v>
      </c>
      <c r="AM115" s="39">
        <f t="shared" si="9"/>
        <v>0</v>
      </c>
      <c r="AN115" s="39">
        <f t="shared" si="11"/>
        <v>0</v>
      </c>
      <c r="AO115" s="39">
        <f t="shared" si="12"/>
        <v>0</v>
      </c>
    </row>
    <row r="116" spans="1:41" x14ac:dyDescent="0.3">
      <c r="A116" s="20">
        <v>1000184670</v>
      </c>
      <c r="B116" s="4" t="s">
        <v>147</v>
      </c>
      <c r="C116" s="21">
        <v>1000186197</v>
      </c>
      <c r="D116" s="3" t="s">
        <v>166</v>
      </c>
      <c r="E116" s="20">
        <v>1000198600</v>
      </c>
      <c r="F116" s="4" t="s">
        <v>148</v>
      </c>
      <c r="G116" s="21">
        <v>1000198601</v>
      </c>
      <c r="H116" s="3" t="s">
        <v>149</v>
      </c>
      <c r="I116" s="21">
        <v>1000189756</v>
      </c>
      <c r="J116" s="3" t="s">
        <v>139</v>
      </c>
      <c r="K116" s="20" t="s">
        <v>124</v>
      </c>
      <c r="L116" s="39">
        <v>0</v>
      </c>
      <c r="M116" s="39">
        <v>0</v>
      </c>
      <c r="N116" s="39">
        <v>0</v>
      </c>
      <c r="O116" s="39">
        <v>0</v>
      </c>
      <c r="P116" s="39">
        <v>0</v>
      </c>
      <c r="Q116" s="39">
        <v>0</v>
      </c>
      <c r="R116" s="39">
        <v>0</v>
      </c>
      <c r="S116" s="39">
        <v>0</v>
      </c>
      <c r="T116" s="39">
        <v>0</v>
      </c>
      <c r="U116" s="39">
        <v>0</v>
      </c>
      <c r="V116" s="39">
        <v>0</v>
      </c>
      <c r="W116" s="39">
        <v>0</v>
      </c>
      <c r="X116" s="39">
        <v>0</v>
      </c>
      <c r="Y116" s="39">
        <v>0</v>
      </c>
      <c r="Z116" s="39">
        <v>0</v>
      </c>
      <c r="AA116" s="39">
        <v>0</v>
      </c>
      <c r="AB116" s="39">
        <v>0</v>
      </c>
      <c r="AC116" s="39">
        <v>0</v>
      </c>
      <c r="AD116" s="39">
        <v>0</v>
      </c>
      <c r="AE116" s="39">
        <v>0</v>
      </c>
      <c r="AF116" s="39">
        <v>0</v>
      </c>
      <c r="AG116" s="39">
        <v>0</v>
      </c>
      <c r="AH116" s="39"/>
      <c r="AI116" s="39"/>
      <c r="AJ116" s="40"/>
      <c r="AK116" s="39">
        <f t="shared" si="10"/>
        <v>0</v>
      </c>
      <c r="AL116" s="39">
        <f t="shared" si="8"/>
        <v>0</v>
      </c>
      <c r="AM116" s="39">
        <f t="shared" si="9"/>
        <v>0</v>
      </c>
      <c r="AN116" s="39">
        <f t="shared" si="11"/>
        <v>0</v>
      </c>
      <c r="AO116" s="39">
        <f t="shared" si="12"/>
        <v>0</v>
      </c>
    </row>
    <row r="117" spans="1:41" x14ac:dyDescent="0.3">
      <c r="A117" s="20">
        <v>1000184670</v>
      </c>
      <c r="B117" s="4" t="s">
        <v>147</v>
      </c>
      <c r="C117" s="21">
        <v>1000186197</v>
      </c>
      <c r="D117" s="3" t="s">
        <v>166</v>
      </c>
      <c r="E117" s="20">
        <v>1000198600</v>
      </c>
      <c r="F117" s="4" t="s">
        <v>148</v>
      </c>
      <c r="G117" s="21">
        <v>1000198601</v>
      </c>
      <c r="H117" s="3" t="s">
        <v>149</v>
      </c>
      <c r="I117" s="21">
        <v>1000189756</v>
      </c>
      <c r="J117" s="3" t="s">
        <v>139</v>
      </c>
      <c r="K117" s="20" t="s">
        <v>13</v>
      </c>
      <c r="L117" s="39">
        <v>0</v>
      </c>
      <c r="M117" s="39">
        <v>0</v>
      </c>
      <c r="N117" s="39">
        <v>0</v>
      </c>
      <c r="O117" s="39">
        <v>0</v>
      </c>
      <c r="P117" s="39">
        <v>0</v>
      </c>
      <c r="Q117" s="39">
        <v>0</v>
      </c>
      <c r="R117" s="39">
        <v>0</v>
      </c>
      <c r="S117" s="39">
        <v>0</v>
      </c>
      <c r="T117" s="39">
        <v>0</v>
      </c>
      <c r="U117" s="39">
        <v>0</v>
      </c>
      <c r="V117" s="39">
        <v>0</v>
      </c>
      <c r="W117" s="39">
        <v>0</v>
      </c>
      <c r="X117" s="39">
        <v>0</v>
      </c>
      <c r="Y117" s="39">
        <v>0</v>
      </c>
      <c r="Z117" s="39">
        <v>0</v>
      </c>
      <c r="AA117" s="39">
        <v>0</v>
      </c>
      <c r="AB117" s="39">
        <v>0</v>
      </c>
      <c r="AC117" s="39">
        <v>0</v>
      </c>
      <c r="AD117" s="39">
        <v>0</v>
      </c>
      <c r="AE117" s="39">
        <v>0</v>
      </c>
      <c r="AF117" s="39">
        <v>0</v>
      </c>
      <c r="AG117" s="39">
        <v>0</v>
      </c>
      <c r="AH117" s="39"/>
      <c r="AI117" s="39"/>
      <c r="AJ117" s="40"/>
      <c r="AK117" s="39">
        <f t="shared" si="10"/>
        <v>0</v>
      </c>
      <c r="AL117" s="39">
        <f t="shared" si="8"/>
        <v>0</v>
      </c>
      <c r="AM117" s="39">
        <f t="shared" si="9"/>
        <v>0</v>
      </c>
      <c r="AN117" s="39">
        <f t="shared" si="11"/>
        <v>0</v>
      </c>
      <c r="AO117" s="39">
        <f t="shared" si="12"/>
        <v>0</v>
      </c>
    </row>
    <row r="118" spans="1:41" x14ac:dyDescent="0.3">
      <c r="A118" s="20">
        <v>1000184670</v>
      </c>
      <c r="B118" s="4" t="s">
        <v>147</v>
      </c>
      <c r="C118" s="21">
        <v>1000186197</v>
      </c>
      <c r="D118" s="3" t="s">
        <v>166</v>
      </c>
      <c r="E118" s="20">
        <v>1000198600</v>
      </c>
      <c r="F118" s="4" t="s">
        <v>148</v>
      </c>
      <c r="G118" s="21">
        <v>1000198601</v>
      </c>
      <c r="H118" s="3" t="s">
        <v>149</v>
      </c>
      <c r="I118" s="21">
        <v>1000189756</v>
      </c>
      <c r="J118" s="3" t="s">
        <v>139</v>
      </c>
      <c r="K118" s="20" t="s">
        <v>14</v>
      </c>
      <c r="L118" s="39">
        <v>0</v>
      </c>
      <c r="M118" s="39">
        <v>0</v>
      </c>
      <c r="N118" s="39">
        <v>0</v>
      </c>
      <c r="O118" s="39">
        <v>0</v>
      </c>
      <c r="P118" s="39">
        <v>0</v>
      </c>
      <c r="Q118" s="39">
        <v>0</v>
      </c>
      <c r="R118" s="39">
        <v>0</v>
      </c>
      <c r="S118" s="39">
        <v>0</v>
      </c>
      <c r="T118" s="39">
        <v>0</v>
      </c>
      <c r="U118" s="39">
        <v>0</v>
      </c>
      <c r="V118" s="39">
        <v>0</v>
      </c>
      <c r="W118" s="39">
        <v>0</v>
      </c>
      <c r="X118" s="39">
        <v>0</v>
      </c>
      <c r="Y118" s="39">
        <v>0</v>
      </c>
      <c r="Z118" s="39">
        <v>0</v>
      </c>
      <c r="AA118" s="39">
        <v>0</v>
      </c>
      <c r="AB118" s="39">
        <v>0</v>
      </c>
      <c r="AC118" s="39">
        <v>0</v>
      </c>
      <c r="AD118" s="39">
        <v>0</v>
      </c>
      <c r="AE118" s="39">
        <v>0</v>
      </c>
      <c r="AF118" s="39">
        <v>202.5</v>
      </c>
      <c r="AG118" s="39">
        <v>0</v>
      </c>
      <c r="AH118" s="39"/>
      <c r="AI118" s="39"/>
      <c r="AJ118" s="40"/>
      <c r="AK118" s="39">
        <f t="shared" si="10"/>
        <v>0</v>
      </c>
      <c r="AL118" s="39">
        <f t="shared" si="8"/>
        <v>16.875</v>
      </c>
      <c r="AM118" s="39">
        <f t="shared" si="9"/>
        <v>33.75</v>
      </c>
      <c r="AN118" s="39">
        <f t="shared" si="11"/>
        <v>20.25</v>
      </c>
      <c r="AO118" s="39">
        <f t="shared" si="12"/>
        <v>202.5</v>
      </c>
    </row>
    <row r="119" spans="1:41" x14ac:dyDescent="0.3">
      <c r="A119" s="20">
        <v>1000184670</v>
      </c>
      <c r="B119" s="4" t="s">
        <v>147</v>
      </c>
      <c r="C119" s="21">
        <v>1000186197</v>
      </c>
      <c r="D119" s="3" t="s">
        <v>166</v>
      </c>
      <c r="E119" s="20">
        <v>1000198600</v>
      </c>
      <c r="F119" s="4" t="s">
        <v>148</v>
      </c>
      <c r="G119" s="21">
        <v>1000198601</v>
      </c>
      <c r="H119" s="3" t="s">
        <v>149</v>
      </c>
      <c r="I119" s="21">
        <v>1000189756</v>
      </c>
      <c r="J119" s="3" t="s">
        <v>139</v>
      </c>
      <c r="K119" s="20" t="s">
        <v>16</v>
      </c>
      <c r="L119" s="39">
        <v>0</v>
      </c>
      <c r="M119" s="39">
        <v>0</v>
      </c>
      <c r="N119" s="39">
        <v>0</v>
      </c>
      <c r="O119" s="39">
        <v>0</v>
      </c>
      <c r="P119" s="39">
        <v>0</v>
      </c>
      <c r="Q119" s="39">
        <v>0</v>
      </c>
      <c r="R119" s="39">
        <v>0</v>
      </c>
      <c r="S119" s="39">
        <v>0</v>
      </c>
      <c r="T119" s="39">
        <v>0</v>
      </c>
      <c r="U119" s="39">
        <v>0</v>
      </c>
      <c r="V119" s="39">
        <v>0</v>
      </c>
      <c r="W119" s="39">
        <v>0</v>
      </c>
      <c r="X119" s="39">
        <v>0</v>
      </c>
      <c r="Y119" s="39">
        <v>0</v>
      </c>
      <c r="Z119" s="39">
        <v>0</v>
      </c>
      <c r="AA119" s="39">
        <v>0</v>
      </c>
      <c r="AB119" s="39">
        <v>0</v>
      </c>
      <c r="AC119" s="39">
        <v>2981.59</v>
      </c>
      <c r="AD119" s="39">
        <v>0</v>
      </c>
      <c r="AE119" s="39">
        <v>1192.57</v>
      </c>
      <c r="AF119" s="39">
        <v>741.15</v>
      </c>
      <c r="AG119" s="39">
        <v>813.05</v>
      </c>
      <c r="AH119" s="39"/>
      <c r="AI119" s="39"/>
      <c r="AJ119" s="40"/>
      <c r="AK119" s="39">
        <f t="shared" si="10"/>
        <v>0</v>
      </c>
      <c r="AL119" s="39">
        <f t="shared" si="8"/>
        <v>477.36333333333329</v>
      </c>
      <c r="AM119" s="39">
        <f t="shared" si="9"/>
        <v>954.72666666666657</v>
      </c>
      <c r="AN119" s="39">
        <f t="shared" si="11"/>
        <v>572.83600000000001</v>
      </c>
      <c r="AO119" s="39">
        <f t="shared" si="12"/>
        <v>5728.36</v>
      </c>
    </row>
    <row r="120" spans="1:41" x14ac:dyDescent="0.3">
      <c r="A120" s="20">
        <v>1000184670</v>
      </c>
      <c r="B120" s="4" t="s">
        <v>147</v>
      </c>
      <c r="C120" s="21">
        <v>1000186197</v>
      </c>
      <c r="D120" s="3" t="s">
        <v>166</v>
      </c>
      <c r="E120" s="20">
        <v>1000198600</v>
      </c>
      <c r="F120" s="4" t="s">
        <v>148</v>
      </c>
      <c r="G120" s="21">
        <v>1000198601</v>
      </c>
      <c r="H120" s="3" t="s">
        <v>149</v>
      </c>
      <c r="I120" s="21">
        <v>1000189756</v>
      </c>
      <c r="J120" s="3" t="s">
        <v>139</v>
      </c>
      <c r="K120" s="20" t="s">
        <v>15</v>
      </c>
      <c r="L120" s="39">
        <v>0</v>
      </c>
      <c r="M120" s="39">
        <v>0</v>
      </c>
      <c r="N120" s="39">
        <v>0</v>
      </c>
      <c r="O120" s="39">
        <v>0</v>
      </c>
      <c r="P120" s="39">
        <v>0</v>
      </c>
      <c r="Q120" s="39">
        <v>0</v>
      </c>
      <c r="R120" s="39">
        <v>0</v>
      </c>
      <c r="S120" s="39">
        <v>0</v>
      </c>
      <c r="T120" s="39">
        <v>0</v>
      </c>
      <c r="U120" s="39">
        <v>0</v>
      </c>
      <c r="V120" s="39">
        <v>0</v>
      </c>
      <c r="W120" s="39">
        <v>0</v>
      </c>
      <c r="X120" s="39">
        <v>0</v>
      </c>
      <c r="Y120" s="39">
        <v>0</v>
      </c>
      <c r="Z120" s="39">
        <v>0</v>
      </c>
      <c r="AA120" s="39">
        <v>0</v>
      </c>
      <c r="AB120" s="39">
        <v>0</v>
      </c>
      <c r="AC120" s="39">
        <v>0</v>
      </c>
      <c r="AD120" s="39">
        <v>0</v>
      </c>
      <c r="AE120" s="39">
        <v>380.4</v>
      </c>
      <c r="AF120" s="39">
        <v>413.1</v>
      </c>
      <c r="AG120" s="39">
        <v>120.35</v>
      </c>
      <c r="AH120" s="39"/>
      <c r="AI120" s="39"/>
      <c r="AJ120" s="40"/>
      <c r="AK120" s="39">
        <f t="shared" si="10"/>
        <v>0</v>
      </c>
      <c r="AL120" s="39">
        <f t="shared" si="8"/>
        <v>76.154166666666669</v>
      </c>
      <c r="AM120" s="39">
        <f t="shared" si="9"/>
        <v>152.30833333333334</v>
      </c>
      <c r="AN120" s="39">
        <f t="shared" si="11"/>
        <v>91.385000000000005</v>
      </c>
      <c r="AO120" s="39">
        <f t="shared" si="12"/>
        <v>913.85</v>
      </c>
    </row>
    <row r="121" spans="1:41" x14ac:dyDescent="0.3">
      <c r="A121" s="20">
        <v>1000184670</v>
      </c>
      <c r="B121" s="4" t="s">
        <v>147</v>
      </c>
      <c r="C121" s="21">
        <v>1000186197</v>
      </c>
      <c r="D121" s="3" t="s">
        <v>166</v>
      </c>
      <c r="E121" s="20">
        <v>1000198600</v>
      </c>
      <c r="F121" s="4" t="s">
        <v>148</v>
      </c>
      <c r="G121" s="21">
        <v>1000198601</v>
      </c>
      <c r="H121" s="3" t="s">
        <v>149</v>
      </c>
      <c r="I121" s="21">
        <v>1000189756</v>
      </c>
      <c r="J121" s="3" t="s">
        <v>139</v>
      </c>
      <c r="K121" s="20" t="s">
        <v>33</v>
      </c>
      <c r="L121" s="39">
        <v>0</v>
      </c>
      <c r="M121" s="39">
        <v>0</v>
      </c>
      <c r="N121" s="39">
        <v>0</v>
      </c>
      <c r="O121" s="39">
        <v>0</v>
      </c>
      <c r="P121" s="39">
        <v>0</v>
      </c>
      <c r="Q121" s="39">
        <v>0</v>
      </c>
      <c r="R121" s="39">
        <v>0</v>
      </c>
      <c r="S121" s="39">
        <v>0</v>
      </c>
      <c r="T121" s="39">
        <v>0</v>
      </c>
      <c r="U121" s="39">
        <v>0</v>
      </c>
      <c r="V121" s="39">
        <v>0</v>
      </c>
      <c r="W121" s="39">
        <v>0</v>
      </c>
      <c r="X121" s="39">
        <v>0</v>
      </c>
      <c r="Y121" s="39">
        <v>0</v>
      </c>
      <c r="Z121" s="39">
        <v>0</v>
      </c>
      <c r="AA121" s="39">
        <v>0</v>
      </c>
      <c r="AB121" s="39">
        <v>0</v>
      </c>
      <c r="AC121" s="39">
        <v>0</v>
      </c>
      <c r="AD121" s="39">
        <v>0</v>
      </c>
      <c r="AE121" s="39">
        <v>0</v>
      </c>
      <c r="AF121" s="39">
        <v>0</v>
      </c>
      <c r="AG121" s="39">
        <v>0</v>
      </c>
      <c r="AH121" s="39"/>
      <c r="AI121" s="39"/>
      <c r="AJ121" s="40"/>
      <c r="AK121" s="39">
        <f t="shared" si="10"/>
        <v>0</v>
      </c>
      <c r="AL121" s="39">
        <f t="shared" si="8"/>
        <v>0</v>
      </c>
      <c r="AM121" s="39">
        <f t="shared" si="9"/>
        <v>0</v>
      </c>
      <c r="AN121" s="39">
        <f t="shared" si="11"/>
        <v>0</v>
      </c>
      <c r="AO121" s="39">
        <f t="shared" si="12"/>
        <v>0</v>
      </c>
    </row>
    <row r="122" spans="1:41" x14ac:dyDescent="0.3">
      <c r="A122" s="20">
        <v>1000184670</v>
      </c>
      <c r="B122" s="4" t="s">
        <v>147</v>
      </c>
      <c r="C122" s="21">
        <v>1000186197</v>
      </c>
      <c r="D122" s="3" t="s">
        <v>166</v>
      </c>
      <c r="E122" s="20">
        <v>1000198600</v>
      </c>
      <c r="F122" s="4" t="s">
        <v>148</v>
      </c>
      <c r="G122" s="21">
        <v>1000198601</v>
      </c>
      <c r="H122" s="3" t="s">
        <v>149</v>
      </c>
      <c r="I122" s="21">
        <v>1000189756</v>
      </c>
      <c r="J122" s="3" t="s">
        <v>139</v>
      </c>
      <c r="K122" s="20" t="s">
        <v>19</v>
      </c>
      <c r="L122" s="39">
        <v>0</v>
      </c>
      <c r="M122" s="39">
        <v>0</v>
      </c>
      <c r="N122" s="39">
        <v>0</v>
      </c>
      <c r="O122" s="39">
        <v>0</v>
      </c>
      <c r="P122" s="39">
        <v>0</v>
      </c>
      <c r="Q122" s="39">
        <v>0</v>
      </c>
      <c r="R122" s="39">
        <v>0</v>
      </c>
      <c r="S122" s="39">
        <v>0</v>
      </c>
      <c r="T122" s="39">
        <v>0</v>
      </c>
      <c r="U122" s="39">
        <v>0</v>
      </c>
      <c r="V122" s="39">
        <v>0</v>
      </c>
      <c r="W122" s="39">
        <v>0</v>
      </c>
      <c r="X122" s="39">
        <v>0</v>
      </c>
      <c r="Y122" s="39">
        <v>0</v>
      </c>
      <c r="Z122" s="39">
        <v>0</v>
      </c>
      <c r="AA122" s="39">
        <v>0</v>
      </c>
      <c r="AB122" s="39">
        <v>0</v>
      </c>
      <c r="AC122" s="39">
        <v>0</v>
      </c>
      <c r="AD122" s="39">
        <v>0</v>
      </c>
      <c r="AE122" s="39">
        <v>0</v>
      </c>
      <c r="AF122" s="39">
        <v>0</v>
      </c>
      <c r="AG122" s="39">
        <v>99.21</v>
      </c>
      <c r="AH122" s="39"/>
      <c r="AI122" s="39"/>
      <c r="AJ122" s="40"/>
      <c r="AK122" s="39">
        <f t="shared" si="10"/>
        <v>0</v>
      </c>
      <c r="AL122" s="39">
        <f t="shared" si="8"/>
        <v>8.2675000000000001</v>
      </c>
      <c r="AM122" s="39">
        <f t="shared" si="9"/>
        <v>16.535</v>
      </c>
      <c r="AN122" s="39">
        <f t="shared" si="11"/>
        <v>9.9209999999999994</v>
      </c>
      <c r="AO122" s="39">
        <f t="shared" si="12"/>
        <v>99.21</v>
      </c>
    </row>
    <row r="123" spans="1:41" x14ac:dyDescent="0.3">
      <c r="A123" s="20">
        <v>1000184670</v>
      </c>
      <c r="B123" s="4" t="s">
        <v>147</v>
      </c>
      <c r="C123" s="21">
        <v>1000186197</v>
      </c>
      <c r="D123" s="3" t="s">
        <v>166</v>
      </c>
      <c r="E123" s="20">
        <v>1000198600</v>
      </c>
      <c r="F123" s="4" t="s">
        <v>148</v>
      </c>
      <c r="G123" s="21">
        <v>1000198601</v>
      </c>
      <c r="H123" s="3" t="s">
        <v>149</v>
      </c>
      <c r="I123" s="21">
        <v>1000189756</v>
      </c>
      <c r="J123" s="3" t="s">
        <v>139</v>
      </c>
      <c r="K123" s="20" t="s">
        <v>17</v>
      </c>
      <c r="L123" s="39">
        <v>0</v>
      </c>
      <c r="M123" s="39">
        <v>0</v>
      </c>
      <c r="N123" s="39">
        <v>0</v>
      </c>
      <c r="O123" s="39">
        <v>0</v>
      </c>
      <c r="P123" s="39">
        <v>0</v>
      </c>
      <c r="Q123" s="39">
        <v>0</v>
      </c>
      <c r="R123" s="39">
        <v>0</v>
      </c>
      <c r="S123" s="39">
        <v>0</v>
      </c>
      <c r="T123" s="39">
        <v>0</v>
      </c>
      <c r="U123" s="39">
        <v>0</v>
      </c>
      <c r="V123" s="39">
        <v>0</v>
      </c>
      <c r="W123" s="39">
        <v>0</v>
      </c>
      <c r="X123" s="39">
        <v>0</v>
      </c>
      <c r="Y123" s="39">
        <v>0</v>
      </c>
      <c r="Z123" s="39">
        <v>0</v>
      </c>
      <c r="AA123" s="39">
        <v>0</v>
      </c>
      <c r="AB123" s="39">
        <v>0</v>
      </c>
      <c r="AC123" s="39">
        <v>0</v>
      </c>
      <c r="AD123" s="39">
        <v>0</v>
      </c>
      <c r="AE123" s="39">
        <v>0</v>
      </c>
      <c r="AF123" s="39">
        <v>0</v>
      </c>
      <c r="AG123" s="39">
        <v>0</v>
      </c>
      <c r="AH123" s="39"/>
      <c r="AI123" s="39"/>
      <c r="AJ123" s="40"/>
      <c r="AK123" s="39">
        <f t="shared" si="10"/>
        <v>0</v>
      </c>
      <c r="AL123" s="39">
        <f t="shared" si="8"/>
        <v>0</v>
      </c>
      <c r="AM123" s="39">
        <f t="shared" si="9"/>
        <v>0</v>
      </c>
      <c r="AN123" s="39">
        <f t="shared" si="11"/>
        <v>0</v>
      </c>
      <c r="AO123" s="39">
        <f t="shared" si="12"/>
        <v>0</v>
      </c>
    </row>
    <row r="124" spans="1:41" x14ac:dyDescent="0.3">
      <c r="A124" s="20">
        <v>1000184670</v>
      </c>
      <c r="B124" s="4" t="s">
        <v>147</v>
      </c>
      <c r="C124" s="21">
        <v>1000186197</v>
      </c>
      <c r="D124" s="3" t="s">
        <v>166</v>
      </c>
      <c r="E124" s="20">
        <v>1000198600</v>
      </c>
      <c r="F124" s="4" t="s">
        <v>148</v>
      </c>
      <c r="G124" s="21">
        <v>1000198601</v>
      </c>
      <c r="H124" s="3" t="s">
        <v>149</v>
      </c>
      <c r="I124" s="21">
        <v>1000189756</v>
      </c>
      <c r="J124" s="3" t="s">
        <v>139</v>
      </c>
      <c r="K124" s="20" t="s">
        <v>24</v>
      </c>
      <c r="L124" s="39">
        <v>0</v>
      </c>
      <c r="M124" s="39">
        <v>0</v>
      </c>
      <c r="N124" s="39">
        <v>0</v>
      </c>
      <c r="O124" s="39">
        <v>0</v>
      </c>
      <c r="P124" s="39">
        <v>0</v>
      </c>
      <c r="Q124" s="39">
        <v>0</v>
      </c>
      <c r="R124" s="39">
        <v>0</v>
      </c>
      <c r="S124" s="39">
        <v>0</v>
      </c>
      <c r="T124" s="39">
        <v>0</v>
      </c>
      <c r="U124" s="39">
        <v>0</v>
      </c>
      <c r="V124" s="39">
        <v>0</v>
      </c>
      <c r="W124" s="39">
        <v>0</v>
      </c>
      <c r="X124" s="39">
        <v>0</v>
      </c>
      <c r="Y124" s="39">
        <v>0</v>
      </c>
      <c r="Z124" s="39">
        <v>0</v>
      </c>
      <c r="AA124" s="39">
        <v>0</v>
      </c>
      <c r="AB124" s="39">
        <v>0</v>
      </c>
      <c r="AC124" s="39">
        <v>0</v>
      </c>
      <c r="AD124" s="39">
        <v>0</v>
      </c>
      <c r="AE124" s="39">
        <v>28.08</v>
      </c>
      <c r="AF124" s="39">
        <v>0</v>
      </c>
      <c r="AG124" s="39">
        <v>-28.08</v>
      </c>
      <c r="AH124" s="39"/>
      <c r="AI124" s="39"/>
      <c r="AJ124" s="40"/>
      <c r="AK124" s="39">
        <f t="shared" si="10"/>
        <v>0</v>
      </c>
      <c r="AL124" s="39">
        <f t="shared" si="8"/>
        <v>0</v>
      </c>
      <c r="AM124" s="39">
        <f t="shared" si="9"/>
        <v>0</v>
      </c>
      <c r="AN124" s="39">
        <f t="shared" si="11"/>
        <v>0</v>
      </c>
      <c r="AO124" s="39">
        <f t="shared" si="12"/>
        <v>0</v>
      </c>
    </row>
    <row r="125" spans="1:41" x14ac:dyDescent="0.3">
      <c r="A125" s="20">
        <v>1000184670</v>
      </c>
      <c r="B125" s="4" t="s">
        <v>147</v>
      </c>
      <c r="C125" s="21">
        <v>1000186197</v>
      </c>
      <c r="D125" s="3" t="s">
        <v>166</v>
      </c>
      <c r="E125" s="20">
        <v>1000198600</v>
      </c>
      <c r="F125" s="4" t="s">
        <v>148</v>
      </c>
      <c r="G125" s="21">
        <v>1000198601</v>
      </c>
      <c r="H125" s="3" t="s">
        <v>149</v>
      </c>
      <c r="I125" s="21">
        <v>1000189756</v>
      </c>
      <c r="J125" s="3" t="s">
        <v>139</v>
      </c>
      <c r="K125" s="20" t="s">
        <v>18</v>
      </c>
      <c r="L125" s="39">
        <v>0</v>
      </c>
      <c r="M125" s="39">
        <v>0</v>
      </c>
      <c r="N125" s="39">
        <v>0</v>
      </c>
      <c r="O125" s="39">
        <v>0</v>
      </c>
      <c r="P125" s="39">
        <v>0</v>
      </c>
      <c r="Q125" s="39">
        <v>0</v>
      </c>
      <c r="R125" s="39">
        <v>0</v>
      </c>
      <c r="S125" s="39">
        <v>0</v>
      </c>
      <c r="T125" s="39">
        <v>0</v>
      </c>
      <c r="U125" s="39">
        <v>0</v>
      </c>
      <c r="V125" s="39">
        <v>0</v>
      </c>
      <c r="W125" s="39">
        <v>0</v>
      </c>
      <c r="X125" s="39">
        <v>0</v>
      </c>
      <c r="Y125" s="39">
        <v>0</v>
      </c>
      <c r="Z125" s="39">
        <v>0</v>
      </c>
      <c r="AA125" s="39">
        <v>0</v>
      </c>
      <c r="AB125" s="39">
        <v>0</v>
      </c>
      <c r="AC125" s="39">
        <v>0</v>
      </c>
      <c r="AD125" s="39">
        <v>0</v>
      </c>
      <c r="AE125" s="39">
        <v>0</v>
      </c>
      <c r="AF125" s="39">
        <v>0</v>
      </c>
      <c r="AG125" s="39">
        <v>0</v>
      </c>
      <c r="AH125" s="39"/>
      <c r="AI125" s="39"/>
      <c r="AJ125" s="40"/>
      <c r="AK125" s="39">
        <f t="shared" si="10"/>
        <v>0</v>
      </c>
      <c r="AL125" s="39">
        <f t="shared" si="8"/>
        <v>0</v>
      </c>
      <c r="AM125" s="39">
        <f t="shared" si="9"/>
        <v>0</v>
      </c>
      <c r="AN125" s="39">
        <f t="shared" si="11"/>
        <v>0</v>
      </c>
      <c r="AO125" s="39">
        <f t="shared" si="12"/>
        <v>0</v>
      </c>
    </row>
    <row r="126" spans="1:41" x14ac:dyDescent="0.3">
      <c r="A126" s="20">
        <v>1000184670</v>
      </c>
      <c r="B126" s="4" t="s">
        <v>147</v>
      </c>
      <c r="C126" s="21">
        <v>1000186197</v>
      </c>
      <c r="D126" s="3" t="s">
        <v>166</v>
      </c>
      <c r="E126" s="20">
        <v>1000198600</v>
      </c>
      <c r="F126" s="4" t="s">
        <v>148</v>
      </c>
      <c r="G126" s="21">
        <v>1000198601</v>
      </c>
      <c r="H126" s="3" t="s">
        <v>149</v>
      </c>
      <c r="I126" s="21">
        <v>1000189756</v>
      </c>
      <c r="J126" s="3" t="s">
        <v>139</v>
      </c>
      <c r="K126" s="20" t="s">
        <v>29</v>
      </c>
      <c r="L126" s="39">
        <v>0</v>
      </c>
      <c r="M126" s="39">
        <v>0</v>
      </c>
      <c r="N126" s="39">
        <v>0</v>
      </c>
      <c r="O126" s="39">
        <v>0</v>
      </c>
      <c r="P126" s="39">
        <v>0</v>
      </c>
      <c r="Q126" s="39">
        <v>0</v>
      </c>
      <c r="R126" s="39">
        <v>0</v>
      </c>
      <c r="S126" s="39">
        <v>0</v>
      </c>
      <c r="T126" s="39">
        <v>0</v>
      </c>
      <c r="U126" s="39">
        <v>0</v>
      </c>
      <c r="V126" s="39">
        <v>0</v>
      </c>
      <c r="W126" s="39">
        <v>0</v>
      </c>
      <c r="X126" s="39">
        <v>0</v>
      </c>
      <c r="Y126" s="39">
        <v>0</v>
      </c>
      <c r="Z126" s="39">
        <v>0</v>
      </c>
      <c r="AA126" s="39">
        <v>0</v>
      </c>
      <c r="AB126" s="39">
        <v>0</v>
      </c>
      <c r="AC126" s="39">
        <v>7472.1</v>
      </c>
      <c r="AD126" s="39">
        <v>2615.6999999999998</v>
      </c>
      <c r="AE126" s="39">
        <v>5702.8</v>
      </c>
      <c r="AF126" s="39">
        <v>5158.2</v>
      </c>
      <c r="AG126" s="39">
        <v>20870.900000000001</v>
      </c>
      <c r="AH126" s="39"/>
      <c r="AI126" s="39"/>
      <c r="AJ126" s="40"/>
      <c r="AK126" s="39">
        <f t="shared" si="10"/>
        <v>0</v>
      </c>
      <c r="AL126" s="39">
        <f t="shared" si="8"/>
        <v>3484.9749999999999</v>
      </c>
      <c r="AM126" s="39">
        <f t="shared" si="9"/>
        <v>6969.95</v>
      </c>
      <c r="AN126" s="39">
        <f t="shared" si="11"/>
        <v>4181.9699999999993</v>
      </c>
      <c r="AO126" s="39">
        <f t="shared" si="12"/>
        <v>41819.699999999997</v>
      </c>
    </row>
    <row r="127" spans="1:41" x14ac:dyDescent="0.3">
      <c r="A127" s="20">
        <v>1000184670</v>
      </c>
      <c r="B127" s="4" t="s">
        <v>147</v>
      </c>
      <c r="C127" s="21">
        <v>1000186197</v>
      </c>
      <c r="D127" s="3" t="s">
        <v>166</v>
      </c>
      <c r="E127" s="20">
        <v>1000198600</v>
      </c>
      <c r="F127" s="4" t="s">
        <v>148</v>
      </c>
      <c r="G127" s="21">
        <v>1000198601</v>
      </c>
      <c r="H127" s="3" t="s">
        <v>149</v>
      </c>
      <c r="I127" s="21">
        <v>1000189756</v>
      </c>
      <c r="J127" s="3" t="s">
        <v>139</v>
      </c>
      <c r="K127" s="20" t="s">
        <v>21</v>
      </c>
      <c r="L127" s="39">
        <v>0</v>
      </c>
      <c r="M127" s="39">
        <v>0</v>
      </c>
      <c r="N127" s="39">
        <v>0</v>
      </c>
      <c r="O127" s="39">
        <v>0</v>
      </c>
      <c r="P127" s="39">
        <v>0</v>
      </c>
      <c r="Q127" s="39">
        <v>0</v>
      </c>
      <c r="R127" s="39">
        <v>0</v>
      </c>
      <c r="S127" s="39">
        <v>0</v>
      </c>
      <c r="T127" s="39">
        <v>0</v>
      </c>
      <c r="U127" s="39">
        <v>0</v>
      </c>
      <c r="V127" s="39">
        <v>0</v>
      </c>
      <c r="W127" s="39">
        <v>0</v>
      </c>
      <c r="X127" s="39">
        <v>0</v>
      </c>
      <c r="Y127" s="39">
        <v>0</v>
      </c>
      <c r="Z127" s="39">
        <v>0</v>
      </c>
      <c r="AA127" s="39">
        <v>0</v>
      </c>
      <c r="AB127" s="39">
        <v>0</v>
      </c>
      <c r="AC127" s="39">
        <v>2012.86</v>
      </c>
      <c r="AD127" s="39">
        <v>0</v>
      </c>
      <c r="AE127" s="39">
        <v>612.66</v>
      </c>
      <c r="AF127" s="39">
        <v>367.62</v>
      </c>
      <c r="AG127" s="39">
        <v>593.61</v>
      </c>
      <c r="AH127" s="39"/>
      <c r="AI127" s="39"/>
      <c r="AJ127" s="40"/>
      <c r="AK127" s="39">
        <f t="shared" si="10"/>
        <v>0</v>
      </c>
      <c r="AL127" s="39">
        <f t="shared" si="8"/>
        <v>298.89583333333331</v>
      </c>
      <c r="AM127" s="39">
        <f t="shared" si="9"/>
        <v>597.79166666666663</v>
      </c>
      <c r="AN127" s="39">
        <f t="shared" si="11"/>
        <v>358.67500000000001</v>
      </c>
      <c r="AO127" s="39">
        <f t="shared" si="12"/>
        <v>3586.75</v>
      </c>
    </row>
    <row r="128" spans="1:41" x14ac:dyDescent="0.3">
      <c r="A128" s="20">
        <v>1000184670</v>
      </c>
      <c r="B128" s="4" t="s">
        <v>147</v>
      </c>
      <c r="C128" s="21">
        <v>1000186197</v>
      </c>
      <c r="D128" s="3" t="s">
        <v>166</v>
      </c>
      <c r="E128" s="20">
        <v>1000198600</v>
      </c>
      <c r="F128" s="4" t="s">
        <v>148</v>
      </c>
      <c r="G128" s="21">
        <v>1000198601</v>
      </c>
      <c r="H128" s="3" t="s">
        <v>149</v>
      </c>
      <c r="I128" s="21">
        <v>1000189756</v>
      </c>
      <c r="J128" s="3" t="s">
        <v>139</v>
      </c>
      <c r="K128" s="20" t="s">
        <v>20</v>
      </c>
      <c r="L128" s="39">
        <v>0</v>
      </c>
      <c r="M128" s="39">
        <v>0</v>
      </c>
      <c r="N128" s="39">
        <v>0</v>
      </c>
      <c r="O128" s="39">
        <v>0</v>
      </c>
      <c r="P128" s="39">
        <v>0</v>
      </c>
      <c r="Q128" s="39">
        <v>0</v>
      </c>
      <c r="R128" s="39">
        <v>0</v>
      </c>
      <c r="S128" s="39">
        <v>0</v>
      </c>
      <c r="T128" s="39">
        <v>0</v>
      </c>
      <c r="U128" s="39">
        <v>0</v>
      </c>
      <c r="V128" s="39">
        <v>0</v>
      </c>
      <c r="W128" s="39">
        <v>0</v>
      </c>
      <c r="X128" s="39">
        <v>0</v>
      </c>
      <c r="Y128" s="39">
        <v>0</v>
      </c>
      <c r="Z128" s="39">
        <v>0</v>
      </c>
      <c r="AA128" s="39">
        <v>0</v>
      </c>
      <c r="AB128" s="39">
        <v>0</v>
      </c>
      <c r="AC128" s="39">
        <v>0</v>
      </c>
      <c r="AD128" s="39">
        <v>0</v>
      </c>
      <c r="AE128" s="39">
        <v>0</v>
      </c>
      <c r="AF128" s="39">
        <v>0</v>
      </c>
      <c r="AG128" s="39">
        <v>0</v>
      </c>
      <c r="AH128" s="39"/>
      <c r="AI128" s="39"/>
      <c r="AJ128" s="40"/>
      <c r="AK128" s="39">
        <f t="shared" si="10"/>
        <v>0</v>
      </c>
      <c r="AL128" s="39">
        <f t="shared" si="8"/>
        <v>0</v>
      </c>
      <c r="AM128" s="39">
        <f t="shared" si="9"/>
        <v>0</v>
      </c>
      <c r="AN128" s="39">
        <f t="shared" si="11"/>
        <v>0</v>
      </c>
      <c r="AO128" s="39">
        <f t="shared" si="12"/>
        <v>0</v>
      </c>
    </row>
    <row r="129" spans="1:41" x14ac:dyDescent="0.3">
      <c r="A129" s="20">
        <v>1000184670</v>
      </c>
      <c r="B129" s="4" t="s">
        <v>147</v>
      </c>
      <c r="C129" s="21">
        <v>1000186197</v>
      </c>
      <c r="D129" s="3" t="s">
        <v>166</v>
      </c>
      <c r="E129" s="20">
        <v>1000198600</v>
      </c>
      <c r="F129" s="4" t="s">
        <v>148</v>
      </c>
      <c r="G129" s="21">
        <v>1000198601</v>
      </c>
      <c r="H129" s="3" t="s">
        <v>149</v>
      </c>
      <c r="I129" s="21">
        <v>1000189756</v>
      </c>
      <c r="J129" s="3" t="s">
        <v>139</v>
      </c>
      <c r="K129" s="20" t="s">
        <v>22</v>
      </c>
      <c r="L129" s="39">
        <v>0</v>
      </c>
      <c r="M129" s="39">
        <v>0</v>
      </c>
      <c r="N129" s="39">
        <v>0</v>
      </c>
      <c r="O129" s="39">
        <v>0</v>
      </c>
      <c r="P129" s="39">
        <v>0</v>
      </c>
      <c r="Q129" s="39">
        <v>0</v>
      </c>
      <c r="R129" s="39">
        <v>0</v>
      </c>
      <c r="S129" s="39">
        <v>0</v>
      </c>
      <c r="T129" s="39">
        <v>0</v>
      </c>
      <c r="U129" s="39">
        <v>0</v>
      </c>
      <c r="V129" s="39">
        <v>0</v>
      </c>
      <c r="W129" s="39">
        <v>0</v>
      </c>
      <c r="X129" s="39">
        <v>0</v>
      </c>
      <c r="Y129" s="39">
        <v>0</v>
      </c>
      <c r="Z129" s="39">
        <v>0</v>
      </c>
      <c r="AA129" s="39">
        <v>0</v>
      </c>
      <c r="AB129" s="39">
        <v>0</v>
      </c>
      <c r="AC129" s="39">
        <v>0</v>
      </c>
      <c r="AD129" s="39">
        <v>0</v>
      </c>
      <c r="AE129" s="39">
        <v>83.7</v>
      </c>
      <c r="AF129" s="39">
        <v>0</v>
      </c>
      <c r="AG129" s="39">
        <v>-81</v>
      </c>
      <c r="AH129" s="39"/>
      <c r="AI129" s="39"/>
      <c r="AJ129" s="40"/>
      <c r="AK129" s="39">
        <f t="shared" si="10"/>
        <v>0</v>
      </c>
      <c r="AL129" s="39">
        <f t="shared" si="8"/>
        <v>0.22500000000000023</v>
      </c>
      <c r="AM129" s="39">
        <f t="shared" si="9"/>
        <v>0.45000000000000046</v>
      </c>
      <c r="AN129" s="39">
        <f t="shared" si="11"/>
        <v>0.2700000000000003</v>
      </c>
      <c r="AO129" s="39">
        <f t="shared" si="12"/>
        <v>2.7000000000000028</v>
      </c>
    </row>
    <row r="130" spans="1:41" x14ac:dyDescent="0.3">
      <c r="A130" s="20">
        <v>1000184670</v>
      </c>
      <c r="B130" s="4" t="s">
        <v>147</v>
      </c>
      <c r="C130" s="21">
        <v>1000186197</v>
      </c>
      <c r="D130" s="3" t="s">
        <v>166</v>
      </c>
      <c r="E130" s="20">
        <v>1000198600</v>
      </c>
      <c r="F130" s="4" t="s">
        <v>148</v>
      </c>
      <c r="G130" s="21">
        <v>1000198601</v>
      </c>
      <c r="H130" s="3" t="s">
        <v>149</v>
      </c>
      <c r="I130" s="21">
        <v>1000189756</v>
      </c>
      <c r="J130" s="3" t="s">
        <v>139</v>
      </c>
      <c r="K130" s="20" t="s">
        <v>23</v>
      </c>
      <c r="L130" s="39">
        <v>0</v>
      </c>
      <c r="M130" s="39">
        <v>0</v>
      </c>
      <c r="N130" s="39">
        <v>0</v>
      </c>
      <c r="O130" s="39">
        <v>0</v>
      </c>
      <c r="P130" s="39">
        <v>0</v>
      </c>
      <c r="Q130" s="39">
        <v>0</v>
      </c>
      <c r="R130" s="39">
        <v>0</v>
      </c>
      <c r="S130" s="39">
        <v>0</v>
      </c>
      <c r="T130" s="39">
        <v>0</v>
      </c>
      <c r="U130" s="39">
        <v>0</v>
      </c>
      <c r="V130" s="39">
        <v>0</v>
      </c>
      <c r="W130" s="39">
        <v>0</v>
      </c>
      <c r="X130" s="39">
        <v>0</v>
      </c>
      <c r="Y130" s="39">
        <v>0</v>
      </c>
      <c r="Z130" s="39">
        <v>0</v>
      </c>
      <c r="AA130" s="39">
        <v>0</v>
      </c>
      <c r="AB130" s="39">
        <v>0</v>
      </c>
      <c r="AC130" s="39">
        <v>0</v>
      </c>
      <c r="AD130" s="39">
        <v>0</v>
      </c>
      <c r="AE130" s="39">
        <v>0</v>
      </c>
      <c r="AF130" s="39">
        <v>0</v>
      </c>
      <c r="AG130" s="39">
        <v>0</v>
      </c>
      <c r="AH130" s="39"/>
      <c r="AI130" s="39"/>
      <c r="AJ130" s="40"/>
      <c r="AK130" s="39">
        <f t="shared" si="10"/>
        <v>0</v>
      </c>
      <c r="AL130" s="39">
        <f t="shared" si="8"/>
        <v>0</v>
      </c>
      <c r="AM130" s="39">
        <f t="shared" si="9"/>
        <v>0</v>
      </c>
      <c r="AN130" s="39">
        <f t="shared" si="11"/>
        <v>0</v>
      </c>
      <c r="AO130" s="39">
        <f t="shared" si="12"/>
        <v>0</v>
      </c>
    </row>
    <row r="131" spans="1:41" x14ac:dyDescent="0.3">
      <c r="A131" s="20">
        <v>1000184670</v>
      </c>
      <c r="B131" s="4" t="s">
        <v>147</v>
      </c>
      <c r="C131" s="21">
        <v>1000186197</v>
      </c>
      <c r="D131" s="3" t="s">
        <v>166</v>
      </c>
      <c r="E131" s="20">
        <v>1000198600</v>
      </c>
      <c r="F131" s="4" t="s">
        <v>148</v>
      </c>
      <c r="G131" s="21">
        <v>1000198601</v>
      </c>
      <c r="H131" s="3" t="s">
        <v>149</v>
      </c>
      <c r="I131" s="21">
        <v>1000189756</v>
      </c>
      <c r="J131" s="3" t="s">
        <v>139</v>
      </c>
      <c r="K131" s="20" t="s">
        <v>28</v>
      </c>
      <c r="L131" s="39">
        <v>0</v>
      </c>
      <c r="M131" s="39">
        <v>0</v>
      </c>
      <c r="N131" s="39">
        <v>0</v>
      </c>
      <c r="O131" s="39">
        <v>0</v>
      </c>
      <c r="P131" s="39">
        <v>0</v>
      </c>
      <c r="Q131" s="39">
        <v>0</v>
      </c>
      <c r="R131" s="39">
        <v>0</v>
      </c>
      <c r="S131" s="39">
        <v>0</v>
      </c>
      <c r="T131" s="39">
        <v>0</v>
      </c>
      <c r="U131" s="39">
        <v>0</v>
      </c>
      <c r="V131" s="39">
        <v>0</v>
      </c>
      <c r="W131" s="39">
        <v>0</v>
      </c>
      <c r="X131" s="39">
        <v>0</v>
      </c>
      <c r="Y131" s="39">
        <v>0</v>
      </c>
      <c r="Z131" s="39">
        <v>0</v>
      </c>
      <c r="AA131" s="39">
        <v>0</v>
      </c>
      <c r="AB131" s="39">
        <v>0</v>
      </c>
      <c r="AC131" s="39">
        <v>0</v>
      </c>
      <c r="AD131" s="39">
        <v>0</v>
      </c>
      <c r="AE131" s="39">
        <v>0</v>
      </c>
      <c r="AF131" s="39">
        <v>0</v>
      </c>
      <c r="AG131" s="39">
        <v>0</v>
      </c>
      <c r="AH131" s="39"/>
      <c r="AI131" s="39"/>
      <c r="AJ131" s="40"/>
      <c r="AK131" s="39">
        <f t="shared" si="10"/>
        <v>0</v>
      </c>
      <c r="AL131" s="39">
        <f t="shared" ref="AL131:AL194" si="13">AVERAGE(V131:AG131)</f>
        <v>0</v>
      </c>
      <c r="AM131" s="39">
        <f t="shared" ref="AM131:AM194" si="14">AVERAGE(AB131:AG131)</f>
        <v>0</v>
      </c>
      <c r="AN131" s="39">
        <f t="shared" si="11"/>
        <v>0</v>
      </c>
      <c r="AO131" s="39">
        <f t="shared" si="12"/>
        <v>0</v>
      </c>
    </row>
    <row r="132" spans="1:41" x14ac:dyDescent="0.3">
      <c r="A132" s="20">
        <v>1000184670</v>
      </c>
      <c r="B132" s="4" t="s">
        <v>147</v>
      </c>
      <c r="C132" s="21">
        <v>1000186197</v>
      </c>
      <c r="D132" s="3" t="s">
        <v>166</v>
      </c>
      <c r="E132" s="20">
        <v>1000198600</v>
      </c>
      <c r="F132" s="4" t="s">
        <v>148</v>
      </c>
      <c r="G132" s="21">
        <v>1000198601</v>
      </c>
      <c r="H132" s="3" t="s">
        <v>149</v>
      </c>
      <c r="I132" s="21">
        <v>1000189756</v>
      </c>
      <c r="J132" s="3" t="s">
        <v>139</v>
      </c>
      <c r="K132" s="20" t="s">
        <v>26</v>
      </c>
      <c r="L132" s="39">
        <v>0</v>
      </c>
      <c r="M132" s="39">
        <v>0</v>
      </c>
      <c r="N132" s="39">
        <v>0</v>
      </c>
      <c r="O132" s="39">
        <v>0</v>
      </c>
      <c r="P132" s="39">
        <v>0</v>
      </c>
      <c r="Q132" s="39">
        <v>0</v>
      </c>
      <c r="R132" s="39">
        <v>0</v>
      </c>
      <c r="S132" s="39">
        <v>0</v>
      </c>
      <c r="T132" s="39">
        <v>0</v>
      </c>
      <c r="U132" s="39">
        <v>0</v>
      </c>
      <c r="V132" s="39">
        <v>317.06</v>
      </c>
      <c r="W132" s="39">
        <v>379.77</v>
      </c>
      <c r="X132" s="39">
        <v>64.33</v>
      </c>
      <c r="Y132" s="39">
        <v>0</v>
      </c>
      <c r="Z132" s="39">
        <v>1532.55</v>
      </c>
      <c r="AA132" s="39">
        <v>637.95000000000005</v>
      </c>
      <c r="AB132" s="39">
        <v>700.9</v>
      </c>
      <c r="AC132" s="39">
        <v>1224</v>
      </c>
      <c r="AD132" s="39">
        <v>0</v>
      </c>
      <c r="AE132" s="39">
        <v>0</v>
      </c>
      <c r="AF132" s="39">
        <v>192</v>
      </c>
      <c r="AG132" s="39">
        <v>1444.8</v>
      </c>
      <c r="AH132" s="39"/>
      <c r="AI132" s="39"/>
      <c r="AJ132" s="40"/>
      <c r="AK132" s="39">
        <f t="shared" si="10"/>
        <v>58.069166666666661</v>
      </c>
      <c r="AL132" s="39">
        <f t="shared" si="13"/>
        <v>541.11333333333334</v>
      </c>
      <c r="AM132" s="39">
        <f t="shared" si="14"/>
        <v>593.61666666666667</v>
      </c>
      <c r="AN132" s="39">
        <f t="shared" si="11"/>
        <v>579.65300000000002</v>
      </c>
      <c r="AO132" s="39">
        <f t="shared" si="12"/>
        <v>5796.53</v>
      </c>
    </row>
    <row r="133" spans="1:41" x14ac:dyDescent="0.3">
      <c r="A133" s="20">
        <v>1000184670</v>
      </c>
      <c r="B133" s="4" t="s">
        <v>147</v>
      </c>
      <c r="C133" s="21">
        <v>1000186197</v>
      </c>
      <c r="D133" s="3" t="s">
        <v>166</v>
      </c>
      <c r="E133" s="20">
        <v>1000198600</v>
      </c>
      <c r="F133" s="4" t="s">
        <v>148</v>
      </c>
      <c r="G133" s="21">
        <v>1000198601</v>
      </c>
      <c r="H133" s="3" t="s">
        <v>149</v>
      </c>
      <c r="I133" s="21">
        <v>1000189756</v>
      </c>
      <c r="J133" s="3" t="s">
        <v>139</v>
      </c>
      <c r="K133" s="20" t="s">
        <v>27</v>
      </c>
      <c r="L133" s="39">
        <v>0</v>
      </c>
      <c r="M133" s="39">
        <v>0</v>
      </c>
      <c r="N133" s="39">
        <v>0</v>
      </c>
      <c r="O133" s="39">
        <v>0</v>
      </c>
      <c r="P133" s="39">
        <v>0</v>
      </c>
      <c r="Q133" s="39">
        <v>0</v>
      </c>
      <c r="R133" s="39">
        <v>0</v>
      </c>
      <c r="S133" s="39">
        <v>0</v>
      </c>
      <c r="T133" s="39">
        <v>0</v>
      </c>
      <c r="U133" s="39">
        <v>0</v>
      </c>
      <c r="V133" s="39">
        <v>0</v>
      </c>
      <c r="W133" s="39">
        <v>0</v>
      </c>
      <c r="X133" s="39">
        <v>0</v>
      </c>
      <c r="Y133" s="39">
        <v>0</v>
      </c>
      <c r="Z133" s="39">
        <v>0</v>
      </c>
      <c r="AA133" s="39">
        <v>0</v>
      </c>
      <c r="AB133" s="39">
        <v>0</v>
      </c>
      <c r="AC133" s="39">
        <v>0</v>
      </c>
      <c r="AD133" s="39">
        <v>0</v>
      </c>
      <c r="AE133" s="39">
        <v>0</v>
      </c>
      <c r="AF133" s="39">
        <v>0</v>
      </c>
      <c r="AG133" s="39">
        <v>0</v>
      </c>
      <c r="AH133" s="39"/>
      <c r="AI133" s="39"/>
      <c r="AJ133" s="40"/>
      <c r="AK133" s="39">
        <f t="shared" si="10"/>
        <v>0</v>
      </c>
      <c r="AL133" s="39">
        <f t="shared" si="13"/>
        <v>0</v>
      </c>
      <c r="AM133" s="39">
        <f t="shared" si="14"/>
        <v>0</v>
      </c>
      <c r="AN133" s="39">
        <f t="shared" si="11"/>
        <v>0</v>
      </c>
      <c r="AO133" s="39">
        <f t="shared" si="12"/>
        <v>0</v>
      </c>
    </row>
    <row r="134" spans="1:41" x14ac:dyDescent="0.3">
      <c r="A134" s="20">
        <v>1000184670</v>
      </c>
      <c r="B134" s="4" t="s">
        <v>147</v>
      </c>
      <c r="C134" s="21">
        <v>1000186197</v>
      </c>
      <c r="D134" s="3" t="s">
        <v>166</v>
      </c>
      <c r="E134" s="20">
        <v>1000198600</v>
      </c>
      <c r="F134" s="4" t="s">
        <v>148</v>
      </c>
      <c r="G134" s="21">
        <v>1000198601</v>
      </c>
      <c r="H134" s="3" t="s">
        <v>149</v>
      </c>
      <c r="I134" s="21">
        <v>1000189756</v>
      </c>
      <c r="J134" s="3" t="s">
        <v>139</v>
      </c>
      <c r="K134" s="20" t="s">
        <v>25</v>
      </c>
      <c r="L134" s="39">
        <v>0</v>
      </c>
      <c r="M134" s="39">
        <v>0</v>
      </c>
      <c r="N134" s="39">
        <v>0</v>
      </c>
      <c r="O134" s="39">
        <v>0</v>
      </c>
      <c r="P134" s="39">
        <v>0</v>
      </c>
      <c r="Q134" s="39">
        <v>0</v>
      </c>
      <c r="R134" s="39">
        <v>0</v>
      </c>
      <c r="S134" s="39">
        <v>0</v>
      </c>
      <c r="T134" s="39">
        <v>0</v>
      </c>
      <c r="U134" s="39">
        <v>0</v>
      </c>
      <c r="V134" s="39">
        <v>0</v>
      </c>
      <c r="W134" s="39">
        <v>0</v>
      </c>
      <c r="X134" s="39">
        <v>0</v>
      </c>
      <c r="Y134" s="39">
        <v>0</v>
      </c>
      <c r="Z134" s="39">
        <v>153.80000000000001</v>
      </c>
      <c r="AA134" s="39">
        <v>0</v>
      </c>
      <c r="AB134" s="39">
        <v>0</v>
      </c>
      <c r="AC134" s="39">
        <v>0</v>
      </c>
      <c r="AD134" s="39">
        <v>0</v>
      </c>
      <c r="AE134" s="39">
        <v>0</v>
      </c>
      <c r="AF134" s="39">
        <v>0</v>
      </c>
      <c r="AG134" s="39">
        <v>42.07</v>
      </c>
      <c r="AH134" s="39"/>
      <c r="AI134" s="39"/>
      <c r="AJ134" s="40"/>
      <c r="AK134" s="39">
        <f t="shared" si="10"/>
        <v>0</v>
      </c>
      <c r="AL134" s="39">
        <f t="shared" si="13"/>
        <v>16.322500000000002</v>
      </c>
      <c r="AM134" s="39">
        <f t="shared" si="14"/>
        <v>7.0116666666666667</v>
      </c>
      <c r="AN134" s="39">
        <f t="shared" si="11"/>
        <v>19.587</v>
      </c>
      <c r="AO134" s="39">
        <f t="shared" si="12"/>
        <v>195.87</v>
      </c>
    </row>
    <row r="135" spans="1:41" x14ac:dyDescent="0.3">
      <c r="A135" s="20">
        <v>1000184670</v>
      </c>
      <c r="B135" s="4" t="s">
        <v>147</v>
      </c>
      <c r="C135" s="21">
        <v>1000186197</v>
      </c>
      <c r="D135" s="3" t="s">
        <v>166</v>
      </c>
      <c r="E135" s="20">
        <v>1000198600</v>
      </c>
      <c r="F135" s="4" t="s">
        <v>148</v>
      </c>
      <c r="G135" s="21">
        <v>1000198601</v>
      </c>
      <c r="H135" s="3" t="s">
        <v>149</v>
      </c>
      <c r="I135" s="21">
        <v>1000190599</v>
      </c>
      <c r="J135" s="3" t="s">
        <v>140</v>
      </c>
      <c r="K135" s="20" t="s">
        <v>124</v>
      </c>
      <c r="L135" s="39">
        <v>0</v>
      </c>
      <c r="M135" s="39">
        <v>0</v>
      </c>
      <c r="N135" s="39">
        <v>0</v>
      </c>
      <c r="O135" s="39">
        <v>0</v>
      </c>
      <c r="P135" s="39">
        <v>0</v>
      </c>
      <c r="Q135" s="39">
        <v>0</v>
      </c>
      <c r="R135" s="39">
        <v>0</v>
      </c>
      <c r="S135" s="39">
        <v>0</v>
      </c>
      <c r="T135" s="39">
        <v>0</v>
      </c>
      <c r="U135" s="39">
        <v>0</v>
      </c>
      <c r="V135" s="39">
        <v>0</v>
      </c>
      <c r="W135" s="39">
        <v>0</v>
      </c>
      <c r="X135" s="39">
        <v>0</v>
      </c>
      <c r="Y135" s="39">
        <v>0</v>
      </c>
      <c r="Z135" s="39">
        <v>0</v>
      </c>
      <c r="AA135" s="39">
        <v>0</v>
      </c>
      <c r="AB135" s="39">
        <v>0</v>
      </c>
      <c r="AC135" s="39">
        <v>0</v>
      </c>
      <c r="AD135" s="39">
        <v>0</v>
      </c>
      <c r="AE135" s="39">
        <v>0</v>
      </c>
      <c r="AF135" s="39">
        <v>0</v>
      </c>
      <c r="AG135" s="39">
        <v>0</v>
      </c>
      <c r="AH135" s="39"/>
      <c r="AI135" s="39"/>
      <c r="AJ135" s="40"/>
      <c r="AK135" s="39">
        <f t="shared" si="10"/>
        <v>0</v>
      </c>
      <c r="AL135" s="39">
        <f t="shared" si="13"/>
        <v>0</v>
      </c>
      <c r="AM135" s="39">
        <f t="shared" si="14"/>
        <v>0</v>
      </c>
      <c r="AN135" s="39">
        <f t="shared" si="11"/>
        <v>0</v>
      </c>
      <c r="AO135" s="39">
        <f t="shared" si="12"/>
        <v>0</v>
      </c>
    </row>
    <row r="136" spans="1:41" x14ac:dyDescent="0.3">
      <c r="A136" s="20">
        <v>1000184670</v>
      </c>
      <c r="B136" s="4" t="s">
        <v>147</v>
      </c>
      <c r="C136" s="21">
        <v>1000186197</v>
      </c>
      <c r="D136" s="3" t="s">
        <v>166</v>
      </c>
      <c r="E136" s="20">
        <v>1000198600</v>
      </c>
      <c r="F136" s="4" t="s">
        <v>148</v>
      </c>
      <c r="G136" s="21">
        <v>1000198601</v>
      </c>
      <c r="H136" s="3" t="s">
        <v>149</v>
      </c>
      <c r="I136" s="21">
        <v>1000190599</v>
      </c>
      <c r="J136" s="3" t="s">
        <v>140</v>
      </c>
      <c r="K136" s="20" t="s">
        <v>13</v>
      </c>
      <c r="L136" s="39">
        <v>0</v>
      </c>
      <c r="M136" s="39">
        <v>0</v>
      </c>
      <c r="N136" s="39">
        <v>0</v>
      </c>
      <c r="O136" s="39">
        <v>0</v>
      </c>
      <c r="P136" s="39">
        <v>0</v>
      </c>
      <c r="Q136" s="39">
        <v>0</v>
      </c>
      <c r="R136" s="39">
        <v>0</v>
      </c>
      <c r="S136" s="39">
        <v>0</v>
      </c>
      <c r="T136" s="39">
        <v>0</v>
      </c>
      <c r="U136" s="39">
        <v>0</v>
      </c>
      <c r="V136" s="39">
        <v>0</v>
      </c>
      <c r="W136" s="39">
        <v>0</v>
      </c>
      <c r="X136" s="39">
        <v>0</v>
      </c>
      <c r="Y136" s="39">
        <v>0</v>
      </c>
      <c r="Z136" s="39">
        <v>0</v>
      </c>
      <c r="AA136" s="39">
        <v>0</v>
      </c>
      <c r="AB136" s="39">
        <v>0</v>
      </c>
      <c r="AC136" s="39">
        <v>0</v>
      </c>
      <c r="AD136" s="39">
        <v>0</v>
      </c>
      <c r="AE136" s="39">
        <v>0</v>
      </c>
      <c r="AF136" s="39">
        <v>0</v>
      </c>
      <c r="AG136" s="39">
        <v>0</v>
      </c>
      <c r="AH136" s="39"/>
      <c r="AI136" s="39"/>
      <c r="AJ136" s="40"/>
      <c r="AK136" s="39">
        <f t="shared" si="10"/>
        <v>0</v>
      </c>
      <c r="AL136" s="39">
        <f t="shared" si="13"/>
        <v>0</v>
      </c>
      <c r="AM136" s="39">
        <f t="shared" si="14"/>
        <v>0</v>
      </c>
      <c r="AN136" s="39">
        <f t="shared" si="11"/>
        <v>0</v>
      </c>
      <c r="AO136" s="39">
        <f t="shared" si="12"/>
        <v>0</v>
      </c>
    </row>
    <row r="137" spans="1:41" x14ac:dyDescent="0.3">
      <c r="A137" s="20">
        <v>1000184670</v>
      </c>
      <c r="B137" s="4" t="s">
        <v>147</v>
      </c>
      <c r="C137" s="21">
        <v>1000186197</v>
      </c>
      <c r="D137" s="3" t="s">
        <v>166</v>
      </c>
      <c r="E137" s="20">
        <v>1000198600</v>
      </c>
      <c r="F137" s="4" t="s">
        <v>148</v>
      </c>
      <c r="G137" s="21">
        <v>1000198601</v>
      </c>
      <c r="H137" s="3" t="s">
        <v>149</v>
      </c>
      <c r="I137" s="21">
        <v>1000190599</v>
      </c>
      <c r="J137" s="3" t="s">
        <v>140</v>
      </c>
      <c r="K137" s="20" t="s">
        <v>14</v>
      </c>
      <c r="L137" s="39">
        <v>0</v>
      </c>
      <c r="M137" s="39">
        <v>0</v>
      </c>
      <c r="N137" s="39">
        <v>0</v>
      </c>
      <c r="O137" s="39">
        <v>0</v>
      </c>
      <c r="P137" s="39">
        <v>0</v>
      </c>
      <c r="Q137" s="39">
        <v>0</v>
      </c>
      <c r="R137" s="39">
        <v>0</v>
      </c>
      <c r="S137" s="39">
        <v>0</v>
      </c>
      <c r="T137" s="39">
        <v>0</v>
      </c>
      <c r="U137" s="39">
        <v>0</v>
      </c>
      <c r="V137" s="39">
        <v>0</v>
      </c>
      <c r="W137" s="39">
        <v>0</v>
      </c>
      <c r="X137" s="39">
        <v>0</v>
      </c>
      <c r="Y137" s="39">
        <v>0</v>
      </c>
      <c r="Z137" s="39">
        <v>0</v>
      </c>
      <c r="AA137" s="39">
        <v>0</v>
      </c>
      <c r="AB137" s="39">
        <v>0</v>
      </c>
      <c r="AC137" s="39">
        <v>0</v>
      </c>
      <c r="AD137" s="39">
        <v>0</v>
      </c>
      <c r="AE137" s="39">
        <v>0</v>
      </c>
      <c r="AF137" s="39">
        <v>0</v>
      </c>
      <c r="AG137" s="39">
        <v>0</v>
      </c>
      <c r="AH137" s="39"/>
      <c r="AI137" s="39"/>
      <c r="AJ137" s="40"/>
      <c r="AK137" s="39">
        <f t="shared" si="10"/>
        <v>0</v>
      </c>
      <c r="AL137" s="39">
        <f t="shared" si="13"/>
        <v>0</v>
      </c>
      <c r="AM137" s="39">
        <f t="shared" si="14"/>
        <v>0</v>
      </c>
      <c r="AN137" s="39">
        <f t="shared" si="11"/>
        <v>0</v>
      </c>
      <c r="AO137" s="39">
        <f t="shared" si="12"/>
        <v>0</v>
      </c>
    </row>
    <row r="138" spans="1:41" x14ac:dyDescent="0.3">
      <c r="A138" s="20">
        <v>1000184670</v>
      </c>
      <c r="B138" s="4" t="s">
        <v>147</v>
      </c>
      <c r="C138" s="21">
        <v>1000186197</v>
      </c>
      <c r="D138" s="3" t="s">
        <v>166</v>
      </c>
      <c r="E138" s="20">
        <v>1000198600</v>
      </c>
      <c r="F138" s="4" t="s">
        <v>148</v>
      </c>
      <c r="G138" s="21">
        <v>1000198601</v>
      </c>
      <c r="H138" s="3" t="s">
        <v>149</v>
      </c>
      <c r="I138" s="21">
        <v>1000190599</v>
      </c>
      <c r="J138" s="3" t="s">
        <v>140</v>
      </c>
      <c r="K138" s="20" t="s">
        <v>16</v>
      </c>
      <c r="L138" s="39">
        <v>0</v>
      </c>
      <c r="M138" s="39">
        <v>0</v>
      </c>
      <c r="N138" s="39">
        <v>0</v>
      </c>
      <c r="O138" s="39">
        <v>0</v>
      </c>
      <c r="P138" s="39">
        <v>0</v>
      </c>
      <c r="Q138" s="39">
        <v>0</v>
      </c>
      <c r="R138" s="39">
        <v>0</v>
      </c>
      <c r="S138" s="39">
        <v>0</v>
      </c>
      <c r="T138" s="39">
        <v>0</v>
      </c>
      <c r="U138" s="39">
        <v>0</v>
      </c>
      <c r="V138" s="39">
        <v>0</v>
      </c>
      <c r="W138" s="39">
        <v>0</v>
      </c>
      <c r="X138" s="39">
        <v>0</v>
      </c>
      <c r="Y138" s="39">
        <v>0</v>
      </c>
      <c r="Z138" s="39">
        <v>0</v>
      </c>
      <c r="AA138" s="39">
        <v>0</v>
      </c>
      <c r="AB138" s="39">
        <v>0</v>
      </c>
      <c r="AC138" s="39">
        <v>0</v>
      </c>
      <c r="AD138" s="39">
        <v>0</v>
      </c>
      <c r="AE138" s="39">
        <v>0</v>
      </c>
      <c r="AF138" s="39">
        <v>0</v>
      </c>
      <c r="AG138" s="39">
        <v>0</v>
      </c>
      <c r="AH138" s="39"/>
      <c r="AI138" s="39"/>
      <c r="AJ138" s="40"/>
      <c r="AK138" s="39">
        <f t="shared" si="10"/>
        <v>0</v>
      </c>
      <c r="AL138" s="39">
        <f t="shared" si="13"/>
        <v>0</v>
      </c>
      <c r="AM138" s="39">
        <f t="shared" si="14"/>
        <v>0</v>
      </c>
      <c r="AN138" s="39">
        <f t="shared" si="11"/>
        <v>0</v>
      </c>
      <c r="AO138" s="39">
        <f t="shared" si="12"/>
        <v>0</v>
      </c>
    </row>
    <row r="139" spans="1:41" x14ac:dyDescent="0.3">
      <c r="A139" s="20">
        <v>1000184670</v>
      </c>
      <c r="B139" s="4" t="s">
        <v>147</v>
      </c>
      <c r="C139" s="21">
        <v>1000186197</v>
      </c>
      <c r="D139" s="3" t="s">
        <v>166</v>
      </c>
      <c r="E139" s="20">
        <v>1000198600</v>
      </c>
      <c r="F139" s="4" t="s">
        <v>148</v>
      </c>
      <c r="G139" s="21">
        <v>1000198601</v>
      </c>
      <c r="H139" s="3" t="s">
        <v>149</v>
      </c>
      <c r="I139" s="21">
        <v>1000190599</v>
      </c>
      <c r="J139" s="3" t="s">
        <v>140</v>
      </c>
      <c r="K139" s="20" t="s">
        <v>15</v>
      </c>
      <c r="L139" s="39">
        <v>0</v>
      </c>
      <c r="M139" s="39">
        <v>0</v>
      </c>
      <c r="N139" s="39">
        <v>0</v>
      </c>
      <c r="O139" s="39">
        <v>0</v>
      </c>
      <c r="P139" s="39">
        <v>0</v>
      </c>
      <c r="Q139" s="39">
        <v>0</v>
      </c>
      <c r="R139" s="39">
        <v>0</v>
      </c>
      <c r="S139" s="39">
        <v>0</v>
      </c>
      <c r="T139" s="39">
        <v>0</v>
      </c>
      <c r="U139" s="39">
        <v>0</v>
      </c>
      <c r="V139" s="39">
        <v>0</v>
      </c>
      <c r="W139" s="39">
        <v>0</v>
      </c>
      <c r="X139" s="39">
        <v>0</v>
      </c>
      <c r="Y139" s="39">
        <v>0</v>
      </c>
      <c r="Z139" s="39">
        <v>0</v>
      </c>
      <c r="AA139" s="39">
        <v>0</v>
      </c>
      <c r="AB139" s="39">
        <v>0</v>
      </c>
      <c r="AC139" s="39">
        <v>0</v>
      </c>
      <c r="AD139" s="39">
        <v>0</v>
      </c>
      <c r="AE139" s="39">
        <v>0</v>
      </c>
      <c r="AF139" s="39">
        <v>0</v>
      </c>
      <c r="AG139" s="39">
        <v>0</v>
      </c>
      <c r="AH139" s="39"/>
      <c r="AI139" s="39"/>
      <c r="AJ139" s="40"/>
      <c r="AK139" s="39">
        <f t="shared" si="10"/>
        <v>0</v>
      </c>
      <c r="AL139" s="39">
        <f t="shared" si="13"/>
        <v>0</v>
      </c>
      <c r="AM139" s="39">
        <f t="shared" si="14"/>
        <v>0</v>
      </c>
      <c r="AN139" s="39">
        <f t="shared" si="11"/>
        <v>0</v>
      </c>
      <c r="AO139" s="39">
        <f t="shared" si="12"/>
        <v>0</v>
      </c>
    </row>
    <row r="140" spans="1:41" x14ac:dyDescent="0.3">
      <c r="A140" s="20">
        <v>1000184670</v>
      </c>
      <c r="B140" s="4" t="s">
        <v>147</v>
      </c>
      <c r="C140" s="21">
        <v>1000186197</v>
      </c>
      <c r="D140" s="3" t="s">
        <v>166</v>
      </c>
      <c r="E140" s="20">
        <v>1000198600</v>
      </c>
      <c r="F140" s="4" t="s">
        <v>148</v>
      </c>
      <c r="G140" s="21">
        <v>1000198601</v>
      </c>
      <c r="H140" s="3" t="s">
        <v>149</v>
      </c>
      <c r="I140" s="21">
        <v>1000190599</v>
      </c>
      <c r="J140" s="3" t="s">
        <v>140</v>
      </c>
      <c r="K140" s="20" t="s">
        <v>33</v>
      </c>
      <c r="L140" s="39">
        <v>0</v>
      </c>
      <c r="M140" s="39">
        <v>0</v>
      </c>
      <c r="N140" s="39">
        <v>0</v>
      </c>
      <c r="O140" s="39">
        <v>0</v>
      </c>
      <c r="P140" s="39">
        <v>0</v>
      </c>
      <c r="Q140" s="39">
        <v>0</v>
      </c>
      <c r="R140" s="39">
        <v>0</v>
      </c>
      <c r="S140" s="39">
        <v>0</v>
      </c>
      <c r="T140" s="39">
        <v>0</v>
      </c>
      <c r="U140" s="39">
        <v>0</v>
      </c>
      <c r="V140" s="39">
        <v>0</v>
      </c>
      <c r="W140" s="39">
        <v>0</v>
      </c>
      <c r="X140" s="39">
        <v>0</v>
      </c>
      <c r="Y140" s="39">
        <v>0</v>
      </c>
      <c r="Z140" s="39">
        <v>0</v>
      </c>
      <c r="AA140" s="39">
        <v>0</v>
      </c>
      <c r="AB140" s="39">
        <v>0</v>
      </c>
      <c r="AC140" s="39">
        <v>0</v>
      </c>
      <c r="AD140" s="39">
        <v>0</v>
      </c>
      <c r="AE140" s="39">
        <v>0</v>
      </c>
      <c r="AF140" s="39">
        <v>0</v>
      </c>
      <c r="AG140" s="39">
        <v>0</v>
      </c>
      <c r="AH140" s="39"/>
      <c r="AI140" s="39"/>
      <c r="AJ140" s="40"/>
      <c r="AK140" s="39">
        <f t="shared" si="10"/>
        <v>0</v>
      </c>
      <c r="AL140" s="39">
        <f t="shared" si="13"/>
        <v>0</v>
      </c>
      <c r="AM140" s="39">
        <f t="shared" si="14"/>
        <v>0</v>
      </c>
      <c r="AN140" s="39">
        <f t="shared" si="11"/>
        <v>0</v>
      </c>
      <c r="AO140" s="39">
        <f t="shared" si="12"/>
        <v>0</v>
      </c>
    </row>
    <row r="141" spans="1:41" x14ac:dyDescent="0.3">
      <c r="A141" s="20">
        <v>1000184670</v>
      </c>
      <c r="B141" s="4" t="s">
        <v>147</v>
      </c>
      <c r="C141" s="21">
        <v>1000186197</v>
      </c>
      <c r="D141" s="3" t="s">
        <v>166</v>
      </c>
      <c r="E141" s="20">
        <v>1000198600</v>
      </c>
      <c r="F141" s="4" t="s">
        <v>148</v>
      </c>
      <c r="G141" s="21">
        <v>1000198601</v>
      </c>
      <c r="H141" s="3" t="s">
        <v>149</v>
      </c>
      <c r="I141" s="21">
        <v>1000190599</v>
      </c>
      <c r="J141" s="3" t="s">
        <v>140</v>
      </c>
      <c r="K141" s="20" t="s">
        <v>19</v>
      </c>
      <c r="L141" s="39">
        <v>0</v>
      </c>
      <c r="M141" s="39">
        <v>0</v>
      </c>
      <c r="N141" s="39">
        <v>0</v>
      </c>
      <c r="O141" s="39">
        <v>0</v>
      </c>
      <c r="P141" s="39">
        <v>0</v>
      </c>
      <c r="Q141" s="39">
        <v>0</v>
      </c>
      <c r="R141" s="39">
        <v>0</v>
      </c>
      <c r="S141" s="39">
        <v>0</v>
      </c>
      <c r="T141" s="39">
        <v>0</v>
      </c>
      <c r="U141" s="39">
        <v>0</v>
      </c>
      <c r="V141" s="39">
        <v>0</v>
      </c>
      <c r="W141" s="39">
        <v>0</v>
      </c>
      <c r="X141" s="39">
        <v>0</v>
      </c>
      <c r="Y141" s="39">
        <v>0</v>
      </c>
      <c r="Z141" s="39">
        <v>0</v>
      </c>
      <c r="AA141" s="39">
        <v>0</v>
      </c>
      <c r="AB141" s="39">
        <v>0</v>
      </c>
      <c r="AC141" s="39">
        <v>0</v>
      </c>
      <c r="AD141" s="39">
        <v>0</v>
      </c>
      <c r="AE141" s="39">
        <v>0</v>
      </c>
      <c r="AF141" s="39">
        <v>0</v>
      </c>
      <c r="AG141" s="39">
        <v>0</v>
      </c>
      <c r="AH141" s="39"/>
      <c r="AI141" s="39"/>
      <c r="AJ141" s="40"/>
      <c r="AK141" s="39">
        <f t="shared" si="10"/>
        <v>0</v>
      </c>
      <c r="AL141" s="39">
        <f t="shared" si="13"/>
        <v>0</v>
      </c>
      <c r="AM141" s="39">
        <f t="shared" si="14"/>
        <v>0</v>
      </c>
      <c r="AN141" s="39">
        <f t="shared" si="11"/>
        <v>0</v>
      </c>
      <c r="AO141" s="39">
        <f t="shared" si="12"/>
        <v>0</v>
      </c>
    </row>
    <row r="142" spans="1:41" x14ac:dyDescent="0.3">
      <c r="A142" s="20">
        <v>1000184670</v>
      </c>
      <c r="B142" s="4" t="s">
        <v>147</v>
      </c>
      <c r="C142" s="21">
        <v>1000186197</v>
      </c>
      <c r="D142" s="3" t="s">
        <v>166</v>
      </c>
      <c r="E142" s="20">
        <v>1000198600</v>
      </c>
      <c r="F142" s="4" t="s">
        <v>148</v>
      </c>
      <c r="G142" s="21">
        <v>1000198601</v>
      </c>
      <c r="H142" s="3" t="s">
        <v>149</v>
      </c>
      <c r="I142" s="21">
        <v>1000190599</v>
      </c>
      <c r="J142" s="3" t="s">
        <v>140</v>
      </c>
      <c r="K142" s="20" t="s">
        <v>17</v>
      </c>
      <c r="L142" s="39">
        <v>0</v>
      </c>
      <c r="M142" s="39">
        <v>0</v>
      </c>
      <c r="N142" s="39">
        <v>0</v>
      </c>
      <c r="O142" s="39">
        <v>0</v>
      </c>
      <c r="P142" s="39">
        <v>0</v>
      </c>
      <c r="Q142" s="39">
        <v>0</v>
      </c>
      <c r="R142" s="39">
        <v>0</v>
      </c>
      <c r="S142" s="39">
        <v>0</v>
      </c>
      <c r="T142" s="39">
        <v>0</v>
      </c>
      <c r="U142" s="39">
        <v>0</v>
      </c>
      <c r="V142" s="39">
        <v>0</v>
      </c>
      <c r="W142" s="39">
        <v>0</v>
      </c>
      <c r="X142" s="39">
        <v>0</v>
      </c>
      <c r="Y142" s="39">
        <v>0</v>
      </c>
      <c r="Z142" s="39">
        <v>0</v>
      </c>
      <c r="AA142" s="39">
        <v>0</v>
      </c>
      <c r="AB142" s="39">
        <v>0</v>
      </c>
      <c r="AC142" s="39">
        <v>0</v>
      </c>
      <c r="AD142" s="39">
        <v>0</v>
      </c>
      <c r="AE142" s="39">
        <v>0</v>
      </c>
      <c r="AF142" s="39">
        <v>0</v>
      </c>
      <c r="AG142" s="39">
        <v>0</v>
      </c>
      <c r="AH142" s="39"/>
      <c r="AI142" s="39"/>
      <c r="AJ142" s="40"/>
      <c r="AK142" s="39">
        <f t="shared" si="10"/>
        <v>0</v>
      </c>
      <c r="AL142" s="39">
        <f t="shared" si="13"/>
        <v>0</v>
      </c>
      <c r="AM142" s="39">
        <f t="shared" si="14"/>
        <v>0</v>
      </c>
      <c r="AN142" s="39">
        <f t="shared" si="11"/>
        <v>0</v>
      </c>
      <c r="AO142" s="39">
        <f t="shared" si="12"/>
        <v>0</v>
      </c>
    </row>
    <row r="143" spans="1:41" x14ac:dyDescent="0.3">
      <c r="A143" s="20">
        <v>1000184670</v>
      </c>
      <c r="B143" s="4" t="s">
        <v>147</v>
      </c>
      <c r="C143" s="21">
        <v>1000186197</v>
      </c>
      <c r="D143" s="3" t="s">
        <v>166</v>
      </c>
      <c r="E143" s="20">
        <v>1000198600</v>
      </c>
      <c r="F143" s="4" t="s">
        <v>148</v>
      </c>
      <c r="G143" s="21">
        <v>1000198601</v>
      </c>
      <c r="H143" s="3" t="s">
        <v>149</v>
      </c>
      <c r="I143" s="21">
        <v>1000190599</v>
      </c>
      <c r="J143" s="3" t="s">
        <v>140</v>
      </c>
      <c r="K143" s="20" t="s">
        <v>24</v>
      </c>
      <c r="L143" s="39">
        <v>0</v>
      </c>
      <c r="M143" s="39">
        <v>0</v>
      </c>
      <c r="N143" s="39">
        <v>0</v>
      </c>
      <c r="O143" s="39">
        <v>0</v>
      </c>
      <c r="P143" s="39">
        <v>0</v>
      </c>
      <c r="Q143" s="39">
        <v>0</v>
      </c>
      <c r="R143" s="39">
        <v>0</v>
      </c>
      <c r="S143" s="39">
        <v>0</v>
      </c>
      <c r="T143" s="39">
        <v>0</v>
      </c>
      <c r="U143" s="39">
        <v>0</v>
      </c>
      <c r="V143" s="39">
        <v>0</v>
      </c>
      <c r="W143" s="39">
        <v>0</v>
      </c>
      <c r="X143" s="39">
        <v>0</v>
      </c>
      <c r="Y143" s="39">
        <v>0</v>
      </c>
      <c r="Z143" s="39">
        <v>0</v>
      </c>
      <c r="AA143" s="39">
        <v>0</v>
      </c>
      <c r="AB143" s="39">
        <v>0</v>
      </c>
      <c r="AC143" s="39">
        <v>0</v>
      </c>
      <c r="AD143" s="39">
        <v>0</v>
      </c>
      <c r="AE143" s="39">
        <v>0</v>
      </c>
      <c r="AF143" s="39">
        <v>0</v>
      </c>
      <c r="AG143" s="39">
        <v>0</v>
      </c>
      <c r="AH143" s="39"/>
      <c r="AI143" s="39"/>
      <c r="AJ143" s="40"/>
      <c r="AK143" s="39">
        <f t="shared" si="10"/>
        <v>0</v>
      </c>
      <c r="AL143" s="39">
        <f t="shared" si="13"/>
        <v>0</v>
      </c>
      <c r="AM143" s="39">
        <f t="shared" si="14"/>
        <v>0</v>
      </c>
      <c r="AN143" s="39">
        <f t="shared" si="11"/>
        <v>0</v>
      </c>
      <c r="AO143" s="39">
        <f t="shared" si="12"/>
        <v>0</v>
      </c>
    </row>
    <row r="144" spans="1:41" x14ac:dyDescent="0.3">
      <c r="A144" s="20">
        <v>1000184670</v>
      </c>
      <c r="B144" s="4" t="s">
        <v>147</v>
      </c>
      <c r="C144" s="21">
        <v>1000186197</v>
      </c>
      <c r="D144" s="3" t="s">
        <v>166</v>
      </c>
      <c r="E144" s="20">
        <v>1000198600</v>
      </c>
      <c r="F144" s="4" t="s">
        <v>148</v>
      </c>
      <c r="G144" s="21">
        <v>1000198601</v>
      </c>
      <c r="H144" s="3" t="s">
        <v>149</v>
      </c>
      <c r="I144" s="21">
        <v>1000190599</v>
      </c>
      <c r="J144" s="3" t="s">
        <v>140</v>
      </c>
      <c r="K144" s="20" t="s">
        <v>18</v>
      </c>
      <c r="L144" s="39">
        <v>0</v>
      </c>
      <c r="M144" s="39">
        <v>0</v>
      </c>
      <c r="N144" s="39">
        <v>0</v>
      </c>
      <c r="O144" s="39">
        <v>0</v>
      </c>
      <c r="P144" s="39">
        <v>0</v>
      </c>
      <c r="Q144" s="39">
        <v>0</v>
      </c>
      <c r="R144" s="39">
        <v>0</v>
      </c>
      <c r="S144" s="39">
        <v>0</v>
      </c>
      <c r="T144" s="39">
        <v>0</v>
      </c>
      <c r="U144" s="39">
        <v>0</v>
      </c>
      <c r="V144" s="39">
        <v>0</v>
      </c>
      <c r="W144" s="39">
        <v>0</v>
      </c>
      <c r="X144" s="39">
        <v>0</v>
      </c>
      <c r="Y144" s="39">
        <v>0</v>
      </c>
      <c r="Z144" s="39">
        <v>0</v>
      </c>
      <c r="AA144" s="39">
        <v>0</v>
      </c>
      <c r="AB144" s="39">
        <v>0</v>
      </c>
      <c r="AC144" s="39">
        <v>0</v>
      </c>
      <c r="AD144" s="39">
        <v>0</v>
      </c>
      <c r="AE144" s="39">
        <v>0</v>
      </c>
      <c r="AF144" s="39">
        <v>0</v>
      </c>
      <c r="AG144" s="39">
        <v>0</v>
      </c>
      <c r="AH144" s="39"/>
      <c r="AI144" s="39"/>
      <c r="AJ144" s="40"/>
      <c r="AK144" s="39">
        <f t="shared" si="10"/>
        <v>0</v>
      </c>
      <c r="AL144" s="39">
        <f t="shared" si="13"/>
        <v>0</v>
      </c>
      <c r="AM144" s="39">
        <f t="shared" si="14"/>
        <v>0</v>
      </c>
      <c r="AN144" s="39">
        <f t="shared" si="11"/>
        <v>0</v>
      </c>
      <c r="AO144" s="39">
        <f t="shared" si="12"/>
        <v>0</v>
      </c>
    </row>
    <row r="145" spans="1:41" x14ac:dyDescent="0.3">
      <c r="A145" s="20">
        <v>1000184670</v>
      </c>
      <c r="B145" s="4" t="s">
        <v>147</v>
      </c>
      <c r="C145" s="21">
        <v>1000186197</v>
      </c>
      <c r="D145" s="3" t="s">
        <v>166</v>
      </c>
      <c r="E145" s="20">
        <v>1000198600</v>
      </c>
      <c r="F145" s="4" t="s">
        <v>148</v>
      </c>
      <c r="G145" s="21">
        <v>1000198601</v>
      </c>
      <c r="H145" s="3" t="s">
        <v>149</v>
      </c>
      <c r="I145" s="21">
        <v>1000190599</v>
      </c>
      <c r="J145" s="3" t="s">
        <v>140</v>
      </c>
      <c r="K145" s="20" t="s">
        <v>29</v>
      </c>
      <c r="L145" s="39">
        <v>0</v>
      </c>
      <c r="M145" s="39">
        <v>0</v>
      </c>
      <c r="N145" s="39">
        <v>0</v>
      </c>
      <c r="O145" s="39">
        <v>0</v>
      </c>
      <c r="P145" s="39">
        <v>0</v>
      </c>
      <c r="Q145" s="39">
        <v>0</v>
      </c>
      <c r="R145" s="39">
        <v>0</v>
      </c>
      <c r="S145" s="39">
        <v>0</v>
      </c>
      <c r="T145" s="39">
        <v>0</v>
      </c>
      <c r="U145" s="39">
        <v>0</v>
      </c>
      <c r="V145" s="39">
        <v>0</v>
      </c>
      <c r="W145" s="39">
        <v>0</v>
      </c>
      <c r="X145" s="39">
        <v>0</v>
      </c>
      <c r="Y145" s="39">
        <v>0</v>
      </c>
      <c r="Z145" s="39">
        <v>0</v>
      </c>
      <c r="AA145" s="39">
        <v>0</v>
      </c>
      <c r="AB145" s="39">
        <v>0</v>
      </c>
      <c r="AC145" s="39">
        <v>0</v>
      </c>
      <c r="AD145" s="39">
        <v>0</v>
      </c>
      <c r="AE145" s="39">
        <v>0</v>
      </c>
      <c r="AF145" s="39">
        <v>0</v>
      </c>
      <c r="AG145" s="39">
        <v>0</v>
      </c>
      <c r="AH145" s="39"/>
      <c r="AI145" s="39"/>
      <c r="AJ145" s="40"/>
      <c r="AK145" s="39">
        <f t="shared" si="10"/>
        <v>0</v>
      </c>
      <c r="AL145" s="39">
        <f t="shared" si="13"/>
        <v>0</v>
      </c>
      <c r="AM145" s="39">
        <f t="shared" si="14"/>
        <v>0</v>
      </c>
      <c r="AN145" s="39">
        <f t="shared" si="11"/>
        <v>0</v>
      </c>
      <c r="AO145" s="39">
        <f t="shared" si="12"/>
        <v>0</v>
      </c>
    </row>
    <row r="146" spans="1:41" x14ac:dyDescent="0.3">
      <c r="A146" s="20">
        <v>1000184670</v>
      </c>
      <c r="B146" s="4" t="s">
        <v>147</v>
      </c>
      <c r="C146" s="21">
        <v>1000186197</v>
      </c>
      <c r="D146" s="3" t="s">
        <v>166</v>
      </c>
      <c r="E146" s="20">
        <v>1000198600</v>
      </c>
      <c r="F146" s="4" t="s">
        <v>148</v>
      </c>
      <c r="G146" s="21">
        <v>1000198601</v>
      </c>
      <c r="H146" s="3" t="s">
        <v>149</v>
      </c>
      <c r="I146" s="21">
        <v>1000190599</v>
      </c>
      <c r="J146" s="3" t="s">
        <v>140</v>
      </c>
      <c r="K146" s="20" t="s">
        <v>21</v>
      </c>
      <c r="L146" s="39">
        <v>0</v>
      </c>
      <c r="M146" s="39">
        <v>0</v>
      </c>
      <c r="N146" s="39">
        <v>0</v>
      </c>
      <c r="O146" s="39">
        <v>0</v>
      </c>
      <c r="P146" s="39">
        <v>0</v>
      </c>
      <c r="Q146" s="39">
        <v>0</v>
      </c>
      <c r="R146" s="39">
        <v>0</v>
      </c>
      <c r="S146" s="39">
        <v>0</v>
      </c>
      <c r="T146" s="39">
        <v>0</v>
      </c>
      <c r="U146" s="39">
        <v>0</v>
      </c>
      <c r="V146" s="39">
        <v>0</v>
      </c>
      <c r="W146" s="39">
        <v>0</v>
      </c>
      <c r="X146" s="39">
        <v>0</v>
      </c>
      <c r="Y146" s="39">
        <v>0</v>
      </c>
      <c r="Z146" s="39">
        <v>0</v>
      </c>
      <c r="AA146" s="39">
        <v>0</v>
      </c>
      <c r="AB146" s="39">
        <v>0</v>
      </c>
      <c r="AC146" s="39">
        <v>0</v>
      </c>
      <c r="AD146" s="39">
        <v>0</v>
      </c>
      <c r="AE146" s="39">
        <v>0</v>
      </c>
      <c r="AF146" s="39">
        <v>0</v>
      </c>
      <c r="AG146" s="39">
        <v>0</v>
      </c>
      <c r="AH146" s="39"/>
      <c r="AI146" s="39"/>
      <c r="AJ146" s="40"/>
      <c r="AK146" s="39">
        <f t="shared" si="10"/>
        <v>0</v>
      </c>
      <c r="AL146" s="39">
        <f t="shared" si="13"/>
        <v>0</v>
      </c>
      <c r="AM146" s="39">
        <f t="shared" si="14"/>
        <v>0</v>
      </c>
      <c r="AN146" s="39">
        <f t="shared" si="11"/>
        <v>0</v>
      </c>
      <c r="AO146" s="39">
        <f t="shared" si="12"/>
        <v>0</v>
      </c>
    </row>
    <row r="147" spans="1:41" x14ac:dyDescent="0.3">
      <c r="A147" s="20">
        <v>1000184670</v>
      </c>
      <c r="B147" s="4" t="s">
        <v>147</v>
      </c>
      <c r="C147" s="21">
        <v>1000186197</v>
      </c>
      <c r="D147" s="3" t="s">
        <v>166</v>
      </c>
      <c r="E147" s="20">
        <v>1000198600</v>
      </c>
      <c r="F147" s="4" t="s">
        <v>148</v>
      </c>
      <c r="G147" s="21">
        <v>1000198601</v>
      </c>
      <c r="H147" s="3" t="s">
        <v>149</v>
      </c>
      <c r="I147" s="21">
        <v>1000190599</v>
      </c>
      <c r="J147" s="3" t="s">
        <v>140</v>
      </c>
      <c r="K147" s="20" t="s">
        <v>20</v>
      </c>
      <c r="L147" s="39">
        <v>0</v>
      </c>
      <c r="M147" s="39">
        <v>0</v>
      </c>
      <c r="N147" s="39">
        <v>0</v>
      </c>
      <c r="O147" s="39">
        <v>0</v>
      </c>
      <c r="P147" s="39">
        <v>0</v>
      </c>
      <c r="Q147" s="39">
        <v>0</v>
      </c>
      <c r="R147" s="39">
        <v>0</v>
      </c>
      <c r="S147" s="39">
        <v>0</v>
      </c>
      <c r="T147" s="39">
        <v>0</v>
      </c>
      <c r="U147" s="39">
        <v>0</v>
      </c>
      <c r="V147" s="39">
        <v>0</v>
      </c>
      <c r="W147" s="39">
        <v>0</v>
      </c>
      <c r="X147" s="39">
        <v>0</v>
      </c>
      <c r="Y147" s="39">
        <v>0</v>
      </c>
      <c r="Z147" s="39">
        <v>0</v>
      </c>
      <c r="AA147" s="39">
        <v>0</v>
      </c>
      <c r="AB147" s="39">
        <v>0</v>
      </c>
      <c r="AC147" s="39">
        <v>0</v>
      </c>
      <c r="AD147" s="39">
        <v>0</v>
      </c>
      <c r="AE147" s="39">
        <v>0</v>
      </c>
      <c r="AF147" s="39">
        <v>0</v>
      </c>
      <c r="AG147" s="39">
        <v>0</v>
      </c>
      <c r="AH147" s="39"/>
      <c r="AI147" s="39"/>
      <c r="AJ147" s="40"/>
      <c r="AK147" s="39">
        <f t="shared" si="10"/>
        <v>0</v>
      </c>
      <c r="AL147" s="39">
        <f t="shared" si="13"/>
        <v>0</v>
      </c>
      <c r="AM147" s="39">
        <f t="shared" si="14"/>
        <v>0</v>
      </c>
      <c r="AN147" s="39">
        <f t="shared" si="11"/>
        <v>0</v>
      </c>
      <c r="AO147" s="39">
        <f t="shared" si="12"/>
        <v>0</v>
      </c>
    </row>
    <row r="148" spans="1:41" x14ac:dyDescent="0.3">
      <c r="A148" s="20">
        <v>1000184670</v>
      </c>
      <c r="B148" s="4" t="s">
        <v>147</v>
      </c>
      <c r="C148" s="21">
        <v>1000186197</v>
      </c>
      <c r="D148" s="3" t="s">
        <v>166</v>
      </c>
      <c r="E148" s="20">
        <v>1000198600</v>
      </c>
      <c r="F148" s="4" t="s">
        <v>148</v>
      </c>
      <c r="G148" s="21">
        <v>1000198601</v>
      </c>
      <c r="H148" s="3" t="s">
        <v>149</v>
      </c>
      <c r="I148" s="21">
        <v>1000190599</v>
      </c>
      <c r="J148" s="3" t="s">
        <v>140</v>
      </c>
      <c r="K148" s="20" t="s">
        <v>22</v>
      </c>
      <c r="L148" s="39">
        <v>0</v>
      </c>
      <c r="M148" s="39">
        <v>0</v>
      </c>
      <c r="N148" s="39">
        <v>0</v>
      </c>
      <c r="O148" s="39">
        <v>0</v>
      </c>
      <c r="P148" s="39">
        <v>0</v>
      </c>
      <c r="Q148" s="39">
        <v>0</v>
      </c>
      <c r="R148" s="39">
        <v>0</v>
      </c>
      <c r="S148" s="39">
        <v>0</v>
      </c>
      <c r="T148" s="39">
        <v>0</v>
      </c>
      <c r="U148" s="39">
        <v>0</v>
      </c>
      <c r="V148" s="39">
        <v>0</v>
      </c>
      <c r="W148" s="39">
        <v>0</v>
      </c>
      <c r="X148" s="39">
        <v>0</v>
      </c>
      <c r="Y148" s="39">
        <v>0</v>
      </c>
      <c r="Z148" s="39">
        <v>0</v>
      </c>
      <c r="AA148" s="39">
        <v>0</v>
      </c>
      <c r="AB148" s="39">
        <v>0</v>
      </c>
      <c r="AC148" s="39">
        <v>0</v>
      </c>
      <c r="AD148" s="39">
        <v>0</v>
      </c>
      <c r="AE148" s="39">
        <v>0</v>
      </c>
      <c r="AF148" s="39">
        <v>0</v>
      </c>
      <c r="AG148" s="39">
        <v>0</v>
      </c>
      <c r="AH148" s="39"/>
      <c r="AI148" s="39"/>
      <c r="AJ148" s="40"/>
      <c r="AK148" s="39">
        <f t="shared" si="10"/>
        <v>0</v>
      </c>
      <c r="AL148" s="39">
        <f t="shared" si="13"/>
        <v>0</v>
      </c>
      <c r="AM148" s="39">
        <f t="shared" si="14"/>
        <v>0</v>
      </c>
      <c r="AN148" s="39">
        <f t="shared" si="11"/>
        <v>0</v>
      </c>
      <c r="AO148" s="39">
        <f t="shared" si="12"/>
        <v>0</v>
      </c>
    </row>
    <row r="149" spans="1:41" x14ac:dyDescent="0.3">
      <c r="A149" s="20">
        <v>1000184670</v>
      </c>
      <c r="B149" s="4" t="s">
        <v>147</v>
      </c>
      <c r="C149" s="21">
        <v>1000186197</v>
      </c>
      <c r="D149" s="3" t="s">
        <v>166</v>
      </c>
      <c r="E149" s="20">
        <v>1000198600</v>
      </c>
      <c r="F149" s="4" t="s">
        <v>148</v>
      </c>
      <c r="G149" s="21">
        <v>1000198601</v>
      </c>
      <c r="H149" s="3" t="s">
        <v>149</v>
      </c>
      <c r="I149" s="21">
        <v>1000190599</v>
      </c>
      <c r="J149" s="3" t="s">
        <v>140</v>
      </c>
      <c r="K149" s="20" t="s">
        <v>23</v>
      </c>
      <c r="L149" s="39">
        <v>0</v>
      </c>
      <c r="M149" s="39">
        <v>0</v>
      </c>
      <c r="N149" s="39">
        <v>0</v>
      </c>
      <c r="O149" s="39">
        <v>0</v>
      </c>
      <c r="P149" s="39">
        <v>0</v>
      </c>
      <c r="Q149" s="39">
        <v>0</v>
      </c>
      <c r="R149" s="39">
        <v>0</v>
      </c>
      <c r="S149" s="39">
        <v>0</v>
      </c>
      <c r="T149" s="39">
        <v>0</v>
      </c>
      <c r="U149" s="39">
        <v>0</v>
      </c>
      <c r="V149" s="39">
        <v>0</v>
      </c>
      <c r="W149" s="39">
        <v>0</v>
      </c>
      <c r="X149" s="39">
        <v>0</v>
      </c>
      <c r="Y149" s="39">
        <v>0</v>
      </c>
      <c r="Z149" s="39">
        <v>0</v>
      </c>
      <c r="AA149" s="39">
        <v>0</v>
      </c>
      <c r="AB149" s="39">
        <v>0</v>
      </c>
      <c r="AC149" s="39">
        <v>0</v>
      </c>
      <c r="AD149" s="39">
        <v>0</v>
      </c>
      <c r="AE149" s="39">
        <v>0</v>
      </c>
      <c r="AF149" s="39">
        <v>0</v>
      </c>
      <c r="AG149" s="39">
        <v>0</v>
      </c>
      <c r="AH149" s="39"/>
      <c r="AI149" s="39"/>
      <c r="AJ149" s="40"/>
      <c r="AK149" s="39">
        <f t="shared" si="10"/>
        <v>0</v>
      </c>
      <c r="AL149" s="39">
        <f t="shared" si="13"/>
        <v>0</v>
      </c>
      <c r="AM149" s="39">
        <f t="shared" si="14"/>
        <v>0</v>
      </c>
      <c r="AN149" s="39">
        <f t="shared" si="11"/>
        <v>0</v>
      </c>
      <c r="AO149" s="39">
        <f t="shared" si="12"/>
        <v>0</v>
      </c>
    </row>
    <row r="150" spans="1:41" x14ac:dyDescent="0.3">
      <c r="A150" s="20">
        <v>1000184670</v>
      </c>
      <c r="B150" s="4" t="s">
        <v>147</v>
      </c>
      <c r="C150" s="21">
        <v>1000186197</v>
      </c>
      <c r="D150" s="3" t="s">
        <v>166</v>
      </c>
      <c r="E150" s="20">
        <v>1000198600</v>
      </c>
      <c r="F150" s="4" t="s">
        <v>148</v>
      </c>
      <c r="G150" s="21">
        <v>1000198601</v>
      </c>
      <c r="H150" s="3" t="s">
        <v>149</v>
      </c>
      <c r="I150" s="21">
        <v>1000190599</v>
      </c>
      <c r="J150" s="3" t="s">
        <v>140</v>
      </c>
      <c r="K150" s="20" t="s">
        <v>28</v>
      </c>
      <c r="L150" s="39">
        <v>0</v>
      </c>
      <c r="M150" s="39">
        <v>0</v>
      </c>
      <c r="N150" s="39">
        <v>0</v>
      </c>
      <c r="O150" s="39">
        <v>0</v>
      </c>
      <c r="P150" s="39">
        <v>0</v>
      </c>
      <c r="Q150" s="39">
        <v>0</v>
      </c>
      <c r="R150" s="39">
        <v>0</v>
      </c>
      <c r="S150" s="39">
        <v>0</v>
      </c>
      <c r="T150" s="39">
        <v>0</v>
      </c>
      <c r="U150" s="39">
        <v>0</v>
      </c>
      <c r="V150" s="39">
        <v>0</v>
      </c>
      <c r="W150" s="39">
        <v>0</v>
      </c>
      <c r="X150" s="39">
        <v>0</v>
      </c>
      <c r="Y150" s="39">
        <v>0</v>
      </c>
      <c r="Z150" s="39">
        <v>0</v>
      </c>
      <c r="AA150" s="39">
        <v>0</v>
      </c>
      <c r="AB150" s="39">
        <v>0</v>
      </c>
      <c r="AC150" s="39">
        <v>0</v>
      </c>
      <c r="AD150" s="39">
        <v>0</v>
      </c>
      <c r="AE150" s="39">
        <v>0</v>
      </c>
      <c r="AF150" s="39">
        <v>0</v>
      </c>
      <c r="AG150" s="39">
        <v>0</v>
      </c>
      <c r="AH150" s="39"/>
      <c r="AI150" s="39"/>
      <c r="AJ150" s="40"/>
      <c r="AK150" s="39">
        <f t="shared" si="10"/>
        <v>0</v>
      </c>
      <c r="AL150" s="39">
        <f t="shared" si="13"/>
        <v>0</v>
      </c>
      <c r="AM150" s="39">
        <f t="shared" si="14"/>
        <v>0</v>
      </c>
      <c r="AN150" s="39">
        <f t="shared" si="11"/>
        <v>0</v>
      </c>
      <c r="AO150" s="39">
        <f t="shared" si="12"/>
        <v>0</v>
      </c>
    </row>
    <row r="151" spans="1:41" x14ac:dyDescent="0.3">
      <c r="A151" s="20">
        <v>1000184670</v>
      </c>
      <c r="B151" s="4" t="s">
        <v>147</v>
      </c>
      <c r="C151" s="21">
        <v>1000186197</v>
      </c>
      <c r="D151" s="3" t="s">
        <v>166</v>
      </c>
      <c r="E151" s="20">
        <v>1000198600</v>
      </c>
      <c r="F151" s="4" t="s">
        <v>148</v>
      </c>
      <c r="G151" s="21">
        <v>1000198601</v>
      </c>
      <c r="H151" s="3" t="s">
        <v>149</v>
      </c>
      <c r="I151" s="21">
        <v>1000190599</v>
      </c>
      <c r="J151" s="3" t="s">
        <v>140</v>
      </c>
      <c r="K151" s="20" t="s">
        <v>26</v>
      </c>
      <c r="L151" s="39">
        <v>0</v>
      </c>
      <c r="M151" s="39">
        <v>0</v>
      </c>
      <c r="N151" s="39">
        <v>0</v>
      </c>
      <c r="O151" s="39">
        <v>0</v>
      </c>
      <c r="P151" s="39">
        <v>0</v>
      </c>
      <c r="Q151" s="39">
        <v>0</v>
      </c>
      <c r="R151" s="39">
        <v>0</v>
      </c>
      <c r="S151" s="39">
        <v>0</v>
      </c>
      <c r="T151" s="39">
        <v>0</v>
      </c>
      <c r="U151" s="39">
        <v>0</v>
      </c>
      <c r="V151" s="39">
        <v>0</v>
      </c>
      <c r="W151" s="39">
        <v>0</v>
      </c>
      <c r="X151" s="39">
        <v>0</v>
      </c>
      <c r="Y151" s="39">
        <v>0</v>
      </c>
      <c r="Z151" s="39">
        <v>0</v>
      </c>
      <c r="AA151" s="39">
        <v>0</v>
      </c>
      <c r="AB151" s="39">
        <v>0</v>
      </c>
      <c r="AC151" s="39">
        <v>0</v>
      </c>
      <c r="AD151" s="39">
        <v>0</v>
      </c>
      <c r="AE151" s="39">
        <v>0</v>
      </c>
      <c r="AF151" s="39">
        <v>0</v>
      </c>
      <c r="AG151" s="39">
        <v>0</v>
      </c>
      <c r="AH151" s="39"/>
      <c r="AI151" s="39"/>
      <c r="AJ151" s="40"/>
      <c r="AK151" s="39">
        <f t="shared" si="10"/>
        <v>0</v>
      </c>
      <c r="AL151" s="39">
        <f t="shared" si="13"/>
        <v>0</v>
      </c>
      <c r="AM151" s="39">
        <f t="shared" si="14"/>
        <v>0</v>
      </c>
      <c r="AN151" s="39">
        <f t="shared" si="11"/>
        <v>0</v>
      </c>
      <c r="AO151" s="39">
        <f t="shared" si="12"/>
        <v>0</v>
      </c>
    </row>
    <row r="152" spans="1:41" x14ac:dyDescent="0.3">
      <c r="A152" s="20">
        <v>1000184670</v>
      </c>
      <c r="B152" s="4" t="s">
        <v>147</v>
      </c>
      <c r="C152" s="21">
        <v>1000186197</v>
      </c>
      <c r="D152" s="3" t="s">
        <v>166</v>
      </c>
      <c r="E152" s="20">
        <v>1000198600</v>
      </c>
      <c r="F152" s="4" t="s">
        <v>148</v>
      </c>
      <c r="G152" s="21">
        <v>1000198601</v>
      </c>
      <c r="H152" s="3" t="s">
        <v>149</v>
      </c>
      <c r="I152" s="21">
        <v>1000190599</v>
      </c>
      <c r="J152" s="3" t="s">
        <v>140</v>
      </c>
      <c r="K152" s="20" t="s">
        <v>27</v>
      </c>
      <c r="L152" s="39">
        <v>0</v>
      </c>
      <c r="M152" s="39">
        <v>0</v>
      </c>
      <c r="N152" s="39">
        <v>0</v>
      </c>
      <c r="O152" s="39">
        <v>0</v>
      </c>
      <c r="P152" s="39">
        <v>0</v>
      </c>
      <c r="Q152" s="39">
        <v>0</v>
      </c>
      <c r="R152" s="39">
        <v>0</v>
      </c>
      <c r="S152" s="39">
        <v>0</v>
      </c>
      <c r="T152" s="39">
        <v>0</v>
      </c>
      <c r="U152" s="39">
        <v>0</v>
      </c>
      <c r="V152" s="39">
        <v>0</v>
      </c>
      <c r="W152" s="39">
        <v>0</v>
      </c>
      <c r="X152" s="39">
        <v>0</v>
      </c>
      <c r="Y152" s="39">
        <v>0</v>
      </c>
      <c r="Z152" s="39">
        <v>0</v>
      </c>
      <c r="AA152" s="39">
        <v>0</v>
      </c>
      <c r="AB152" s="39">
        <v>0</v>
      </c>
      <c r="AC152" s="39">
        <v>0</v>
      </c>
      <c r="AD152" s="39">
        <v>0</v>
      </c>
      <c r="AE152" s="39">
        <v>0</v>
      </c>
      <c r="AF152" s="39">
        <v>0</v>
      </c>
      <c r="AG152" s="39">
        <v>0</v>
      </c>
      <c r="AH152" s="39"/>
      <c r="AI152" s="39"/>
      <c r="AJ152" s="40"/>
      <c r="AK152" s="39">
        <f t="shared" si="10"/>
        <v>0</v>
      </c>
      <c r="AL152" s="39">
        <f t="shared" si="13"/>
        <v>0</v>
      </c>
      <c r="AM152" s="39">
        <f t="shared" si="14"/>
        <v>0</v>
      </c>
      <c r="AN152" s="39">
        <f t="shared" si="11"/>
        <v>0</v>
      </c>
      <c r="AO152" s="39">
        <f t="shared" si="12"/>
        <v>0</v>
      </c>
    </row>
    <row r="153" spans="1:41" x14ac:dyDescent="0.3">
      <c r="A153" s="20">
        <v>1000184670</v>
      </c>
      <c r="B153" s="4" t="s">
        <v>147</v>
      </c>
      <c r="C153" s="21">
        <v>1000186197</v>
      </c>
      <c r="D153" s="3" t="s">
        <v>166</v>
      </c>
      <c r="E153" s="20">
        <v>1000198600</v>
      </c>
      <c r="F153" s="4" t="s">
        <v>148</v>
      </c>
      <c r="G153" s="21">
        <v>1000198601</v>
      </c>
      <c r="H153" s="3" t="s">
        <v>149</v>
      </c>
      <c r="I153" s="21">
        <v>1000190599</v>
      </c>
      <c r="J153" s="3" t="s">
        <v>140</v>
      </c>
      <c r="K153" s="20" t="s">
        <v>25</v>
      </c>
      <c r="L153" s="39">
        <v>0</v>
      </c>
      <c r="M153" s="39">
        <v>0</v>
      </c>
      <c r="N153" s="39">
        <v>0</v>
      </c>
      <c r="O153" s="39">
        <v>0</v>
      </c>
      <c r="P153" s="39">
        <v>0</v>
      </c>
      <c r="Q153" s="39">
        <v>0</v>
      </c>
      <c r="R153" s="39">
        <v>0</v>
      </c>
      <c r="S153" s="39">
        <v>0</v>
      </c>
      <c r="T153" s="39">
        <v>0</v>
      </c>
      <c r="U153" s="39">
        <v>0</v>
      </c>
      <c r="V153" s="39">
        <v>0</v>
      </c>
      <c r="W153" s="39">
        <v>0</v>
      </c>
      <c r="X153" s="39">
        <v>0</v>
      </c>
      <c r="Y153" s="39">
        <v>0</v>
      </c>
      <c r="Z153" s="39">
        <v>0</v>
      </c>
      <c r="AA153" s="39">
        <v>0</v>
      </c>
      <c r="AB153" s="39">
        <v>0</v>
      </c>
      <c r="AC153" s="39">
        <v>0</v>
      </c>
      <c r="AD153" s="39">
        <v>0</v>
      </c>
      <c r="AE153" s="39">
        <v>0</v>
      </c>
      <c r="AF153" s="39">
        <v>0</v>
      </c>
      <c r="AG153" s="39">
        <v>0</v>
      </c>
      <c r="AH153" s="39"/>
      <c r="AI153" s="39"/>
      <c r="AJ153" s="40"/>
      <c r="AK153" s="39">
        <f t="shared" si="10"/>
        <v>0</v>
      </c>
      <c r="AL153" s="39">
        <f t="shared" si="13"/>
        <v>0</v>
      </c>
      <c r="AM153" s="39">
        <f t="shared" si="14"/>
        <v>0</v>
      </c>
      <c r="AN153" s="39">
        <f t="shared" si="11"/>
        <v>0</v>
      </c>
      <c r="AO153" s="39">
        <f t="shared" si="12"/>
        <v>0</v>
      </c>
    </row>
    <row r="154" spans="1:41" x14ac:dyDescent="0.3">
      <c r="A154" s="20">
        <v>1000184670</v>
      </c>
      <c r="B154" s="4" t="s">
        <v>147</v>
      </c>
      <c r="C154" s="21">
        <v>1000186197</v>
      </c>
      <c r="D154" s="3" t="s">
        <v>166</v>
      </c>
      <c r="E154" s="20">
        <v>1000198600</v>
      </c>
      <c r="F154" s="4" t="s">
        <v>148</v>
      </c>
      <c r="G154" s="21">
        <v>1000198601</v>
      </c>
      <c r="H154" s="3" t="s">
        <v>149</v>
      </c>
      <c r="I154" s="21">
        <v>1000189757</v>
      </c>
      <c r="J154" s="3" t="s">
        <v>141</v>
      </c>
      <c r="K154" s="20" t="s">
        <v>124</v>
      </c>
      <c r="L154" s="39">
        <v>0</v>
      </c>
      <c r="M154" s="39">
        <v>0</v>
      </c>
      <c r="N154" s="39">
        <v>0</v>
      </c>
      <c r="O154" s="39">
        <v>0</v>
      </c>
      <c r="P154" s="39">
        <v>0</v>
      </c>
      <c r="Q154" s="39">
        <v>0</v>
      </c>
      <c r="R154" s="39">
        <v>0</v>
      </c>
      <c r="S154" s="39">
        <v>0</v>
      </c>
      <c r="T154" s="39">
        <v>0</v>
      </c>
      <c r="U154" s="39">
        <v>0</v>
      </c>
      <c r="V154" s="39">
        <v>0</v>
      </c>
      <c r="W154" s="39">
        <v>0</v>
      </c>
      <c r="X154" s="39">
        <v>0</v>
      </c>
      <c r="Y154" s="39">
        <v>0</v>
      </c>
      <c r="Z154" s="39">
        <v>0</v>
      </c>
      <c r="AA154" s="39">
        <v>0</v>
      </c>
      <c r="AB154" s="39">
        <v>0</v>
      </c>
      <c r="AC154" s="39">
        <v>0</v>
      </c>
      <c r="AD154" s="39">
        <v>0</v>
      </c>
      <c r="AE154" s="39">
        <v>0</v>
      </c>
      <c r="AF154" s="39">
        <v>0</v>
      </c>
      <c r="AG154" s="39">
        <v>0</v>
      </c>
      <c r="AH154" s="39"/>
      <c r="AI154" s="39"/>
      <c r="AJ154" s="40"/>
      <c r="AK154" s="39">
        <f t="shared" si="10"/>
        <v>0</v>
      </c>
      <c r="AL154" s="39">
        <f t="shared" si="13"/>
        <v>0</v>
      </c>
      <c r="AM154" s="39">
        <f t="shared" si="14"/>
        <v>0</v>
      </c>
      <c r="AN154" s="39">
        <f t="shared" si="11"/>
        <v>0</v>
      </c>
      <c r="AO154" s="39">
        <f t="shared" si="12"/>
        <v>0</v>
      </c>
    </row>
    <row r="155" spans="1:41" x14ac:dyDescent="0.3">
      <c r="A155" s="20">
        <v>1000184670</v>
      </c>
      <c r="B155" s="4" t="s">
        <v>147</v>
      </c>
      <c r="C155" s="21">
        <v>1000186197</v>
      </c>
      <c r="D155" s="3" t="s">
        <v>166</v>
      </c>
      <c r="E155" s="20">
        <v>1000198600</v>
      </c>
      <c r="F155" s="4" t="s">
        <v>148</v>
      </c>
      <c r="G155" s="21">
        <v>1000198601</v>
      </c>
      <c r="H155" s="3" t="s">
        <v>149</v>
      </c>
      <c r="I155" s="21">
        <v>1000189757</v>
      </c>
      <c r="J155" s="3" t="s">
        <v>141</v>
      </c>
      <c r="K155" s="20" t="s">
        <v>13</v>
      </c>
      <c r="L155" s="39">
        <v>0</v>
      </c>
      <c r="M155" s="39">
        <v>0</v>
      </c>
      <c r="N155" s="39">
        <v>0</v>
      </c>
      <c r="O155" s="39">
        <v>0</v>
      </c>
      <c r="P155" s="39">
        <v>0</v>
      </c>
      <c r="Q155" s="39">
        <v>0</v>
      </c>
      <c r="R155" s="39">
        <v>0</v>
      </c>
      <c r="S155" s="39">
        <v>0</v>
      </c>
      <c r="T155" s="39">
        <v>0</v>
      </c>
      <c r="U155" s="39">
        <v>655.5</v>
      </c>
      <c r="V155" s="39">
        <v>0</v>
      </c>
      <c r="W155" s="39">
        <v>-327.75</v>
      </c>
      <c r="X155" s="39">
        <v>620.20000000000005</v>
      </c>
      <c r="Y155" s="39">
        <v>422.5</v>
      </c>
      <c r="Z155" s="39">
        <v>237.9</v>
      </c>
      <c r="AA155" s="39">
        <v>529.1</v>
      </c>
      <c r="AB155" s="39">
        <v>0</v>
      </c>
      <c r="AC155" s="39">
        <v>0</v>
      </c>
      <c r="AD155" s="39">
        <v>0</v>
      </c>
      <c r="AE155" s="39">
        <v>0</v>
      </c>
      <c r="AF155" s="39">
        <v>0</v>
      </c>
      <c r="AG155" s="39">
        <v>0</v>
      </c>
      <c r="AH155" s="39"/>
      <c r="AI155" s="39"/>
      <c r="AJ155" s="40"/>
      <c r="AK155" s="39">
        <f t="shared" si="10"/>
        <v>27.3125</v>
      </c>
      <c r="AL155" s="39">
        <f t="shared" si="13"/>
        <v>123.49583333333334</v>
      </c>
      <c r="AM155" s="39">
        <f t="shared" si="14"/>
        <v>0</v>
      </c>
      <c r="AN155" s="39">
        <f t="shared" si="11"/>
        <v>180.97000000000003</v>
      </c>
      <c r="AO155" s="39">
        <f t="shared" si="12"/>
        <v>1809.7000000000003</v>
      </c>
    </row>
    <row r="156" spans="1:41" x14ac:dyDescent="0.3">
      <c r="A156" s="20">
        <v>1000184670</v>
      </c>
      <c r="B156" s="4" t="s">
        <v>147</v>
      </c>
      <c r="C156" s="21">
        <v>1000186197</v>
      </c>
      <c r="D156" s="3" t="s">
        <v>166</v>
      </c>
      <c r="E156" s="20">
        <v>1000198600</v>
      </c>
      <c r="F156" s="4" t="s">
        <v>148</v>
      </c>
      <c r="G156" s="21">
        <v>1000198601</v>
      </c>
      <c r="H156" s="3" t="s">
        <v>149</v>
      </c>
      <c r="I156" s="21">
        <v>1000189757</v>
      </c>
      <c r="J156" s="3" t="s">
        <v>141</v>
      </c>
      <c r="K156" s="20" t="s">
        <v>14</v>
      </c>
      <c r="L156" s="39">
        <v>0</v>
      </c>
      <c r="M156" s="39">
        <v>0</v>
      </c>
      <c r="N156" s="39">
        <v>0</v>
      </c>
      <c r="O156" s="39">
        <v>0</v>
      </c>
      <c r="P156" s="39">
        <v>0</v>
      </c>
      <c r="Q156" s="39">
        <v>0</v>
      </c>
      <c r="R156" s="39">
        <v>0</v>
      </c>
      <c r="S156" s="39">
        <v>0</v>
      </c>
      <c r="T156" s="39">
        <v>0</v>
      </c>
      <c r="U156" s="39">
        <v>0</v>
      </c>
      <c r="V156" s="39">
        <v>0</v>
      </c>
      <c r="W156" s="39">
        <v>0</v>
      </c>
      <c r="X156" s="39">
        <v>0</v>
      </c>
      <c r="Y156" s="39">
        <v>0</v>
      </c>
      <c r="Z156" s="39">
        <v>0</v>
      </c>
      <c r="AA156" s="39">
        <v>0</v>
      </c>
      <c r="AB156" s="39">
        <v>0</v>
      </c>
      <c r="AC156" s="39">
        <v>0</v>
      </c>
      <c r="AD156" s="39">
        <v>0</v>
      </c>
      <c r="AE156" s="39">
        <v>0</v>
      </c>
      <c r="AF156" s="39">
        <v>0</v>
      </c>
      <c r="AG156" s="39">
        <v>0</v>
      </c>
      <c r="AH156" s="39"/>
      <c r="AI156" s="39"/>
      <c r="AJ156" s="40"/>
      <c r="AK156" s="39">
        <f t="shared" si="10"/>
        <v>0</v>
      </c>
      <c r="AL156" s="39">
        <f t="shared" si="13"/>
        <v>0</v>
      </c>
      <c r="AM156" s="39">
        <f t="shared" si="14"/>
        <v>0</v>
      </c>
      <c r="AN156" s="39">
        <f t="shared" si="11"/>
        <v>0</v>
      </c>
      <c r="AO156" s="39">
        <f t="shared" si="12"/>
        <v>0</v>
      </c>
    </row>
    <row r="157" spans="1:41" x14ac:dyDescent="0.3">
      <c r="A157" s="20">
        <v>1000184670</v>
      </c>
      <c r="B157" s="4" t="s">
        <v>147</v>
      </c>
      <c r="C157" s="21">
        <v>1000186197</v>
      </c>
      <c r="D157" s="3" t="s">
        <v>166</v>
      </c>
      <c r="E157" s="20">
        <v>1000198600</v>
      </c>
      <c r="F157" s="4" t="s">
        <v>148</v>
      </c>
      <c r="G157" s="21">
        <v>1000198601</v>
      </c>
      <c r="H157" s="3" t="s">
        <v>149</v>
      </c>
      <c r="I157" s="21">
        <v>1000189757</v>
      </c>
      <c r="J157" s="3" t="s">
        <v>141</v>
      </c>
      <c r="K157" s="20" t="s">
        <v>16</v>
      </c>
      <c r="L157" s="39">
        <v>0</v>
      </c>
      <c r="M157" s="39">
        <v>0</v>
      </c>
      <c r="N157" s="39">
        <v>0</v>
      </c>
      <c r="O157" s="39">
        <v>0</v>
      </c>
      <c r="P157" s="39">
        <v>0</v>
      </c>
      <c r="Q157" s="39">
        <v>0</v>
      </c>
      <c r="R157" s="39">
        <v>0</v>
      </c>
      <c r="S157" s="39">
        <v>0</v>
      </c>
      <c r="T157" s="39">
        <v>0</v>
      </c>
      <c r="U157" s="39">
        <v>2569.65</v>
      </c>
      <c r="V157" s="39">
        <v>0</v>
      </c>
      <c r="W157" s="39">
        <v>-1245.48</v>
      </c>
      <c r="X157" s="39">
        <v>1393.98</v>
      </c>
      <c r="Y157" s="39">
        <v>328.9</v>
      </c>
      <c r="Z157" s="39">
        <v>549.9</v>
      </c>
      <c r="AA157" s="39">
        <v>663</v>
      </c>
      <c r="AB157" s="39">
        <v>0</v>
      </c>
      <c r="AC157" s="39">
        <v>0</v>
      </c>
      <c r="AD157" s="39">
        <v>0</v>
      </c>
      <c r="AE157" s="39">
        <v>0</v>
      </c>
      <c r="AF157" s="39">
        <v>0</v>
      </c>
      <c r="AG157" s="39">
        <v>0</v>
      </c>
      <c r="AH157" s="39"/>
      <c r="AI157" s="39"/>
      <c r="AJ157" s="40"/>
      <c r="AK157" s="39">
        <f t="shared" si="10"/>
        <v>110.34750000000001</v>
      </c>
      <c r="AL157" s="39">
        <f t="shared" si="13"/>
        <v>140.85833333333332</v>
      </c>
      <c r="AM157" s="39">
        <f t="shared" si="14"/>
        <v>0</v>
      </c>
      <c r="AN157" s="39">
        <f t="shared" si="11"/>
        <v>293.57800000000003</v>
      </c>
      <c r="AO157" s="39">
        <f t="shared" si="12"/>
        <v>2935.78</v>
      </c>
    </row>
    <row r="158" spans="1:41" x14ac:dyDescent="0.3">
      <c r="A158" s="20">
        <v>1000184670</v>
      </c>
      <c r="B158" s="4" t="s">
        <v>147</v>
      </c>
      <c r="C158" s="21">
        <v>1000186197</v>
      </c>
      <c r="D158" s="3" t="s">
        <v>166</v>
      </c>
      <c r="E158" s="20">
        <v>1000198600</v>
      </c>
      <c r="F158" s="4" t="s">
        <v>148</v>
      </c>
      <c r="G158" s="21">
        <v>1000198601</v>
      </c>
      <c r="H158" s="3" t="s">
        <v>149</v>
      </c>
      <c r="I158" s="21">
        <v>1000189757</v>
      </c>
      <c r="J158" s="3" t="s">
        <v>141</v>
      </c>
      <c r="K158" s="20" t="s">
        <v>15</v>
      </c>
      <c r="L158" s="39">
        <v>0</v>
      </c>
      <c r="M158" s="39">
        <v>0</v>
      </c>
      <c r="N158" s="39">
        <v>0</v>
      </c>
      <c r="O158" s="39">
        <v>0</v>
      </c>
      <c r="P158" s="39">
        <v>0</v>
      </c>
      <c r="Q158" s="39">
        <v>0</v>
      </c>
      <c r="R158" s="39">
        <v>0</v>
      </c>
      <c r="S158" s="39">
        <v>0</v>
      </c>
      <c r="T158" s="39">
        <v>0</v>
      </c>
      <c r="U158" s="39">
        <v>576</v>
      </c>
      <c r="V158" s="39">
        <v>0</v>
      </c>
      <c r="W158" s="39">
        <v>-288</v>
      </c>
      <c r="X158" s="39">
        <v>344.56</v>
      </c>
      <c r="Y158" s="39">
        <v>370.5</v>
      </c>
      <c r="Z158" s="39">
        <v>559</v>
      </c>
      <c r="AA158" s="39">
        <v>182</v>
      </c>
      <c r="AB158" s="39">
        <v>0</v>
      </c>
      <c r="AC158" s="39">
        <v>0</v>
      </c>
      <c r="AD158" s="39">
        <v>0</v>
      </c>
      <c r="AE158" s="39">
        <v>0</v>
      </c>
      <c r="AF158" s="39">
        <v>0</v>
      </c>
      <c r="AG158" s="39">
        <v>0</v>
      </c>
      <c r="AH158" s="39"/>
      <c r="AI158" s="39"/>
      <c r="AJ158" s="40"/>
      <c r="AK158" s="39">
        <f t="shared" si="10"/>
        <v>24</v>
      </c>
      <c r="AL158" s="39">
        <f t="shared" si="13"/>
        <v>97.338333333333324</v>
      </c>
      <c r="AM158" s="39">
        <f t="shared" si="14"/>
        <v>0</v>
      </c>
      <c r="AN158" s="39">
        <f t="shared" si="11"/>
        <v>145.60599999999999</v>
      </c>
      <c r="AO158" s="39">
        <f t="shared" si="12"/>
        <v>1456.06</v>
      </c>
    </row>
    <row r="159" spans="1:41" x14ac:dyDescent="0.3">
      <c r="A159" s="20">
        <v>1000184670</v>
      </c>
      <c r="B159" s="4" t="s">
        <v>147</v>
      </c>
      <c r="C159" s="21">
        <v>1000186197</v>
      </c>
      <c r="D159" s="3" t="s">
        <v>166</v>
      </c>
      <c r="E159" s="20">
        <v>1000198600</v>
      </c>
      <c r="F159" s="4" t="s">
        <v>148</v>
      </c>
      <c r="G159" s="21">
        <v>1000198601</v>
      </c>
      <c r="H159" s="3" t="s">
        <v>149</v>
      </c>
      <c r="I159" s="21">
        <v>1000189757</v>
      </c>
      <c r="J159" s="3" t="s">
        <v>141</v>
      </c>
      <c r="K159" s="20" t="s">
        <v>33</v>
      </c>
      <c r="L159" s="39">
        <v>0</v>
      </c>
      <c r="M159" s="39">
        <v>0</v>
      </c>
      <c r="N159" s="39">
        <v>0</v>
      </c>
      <c r="O159" s="39">
        <v>0</v>
      </c>
      <c r="P159" s="39">
        <v>0</v>
      </c>
      <c r="Q159" s="39">
        <v>0</v>
      </c>
      <c r="R159" s="39">
        <v>0</v>
      </c>
      <c r="S159" s="39">
        <v>0</v>
      </c>
      <c r="T159" s="39">
        <v>0</v>
      </c>
      <c r="U159" s="39">
        <v>0</v>
      </c>
      <c r="V159" s="39">
        <v>0</v>
      </c>
      <c r="W159" s="39">
        <v>0</v>
      </c>
      <c r="X159" s="39">
        <v>0</v>
      </c>
      <c r="Y159" s="39">
        <v>0</v>
      </c>
      <c r="Z159" s="39">
        <v>0</v>
      </c>
      <c r="AA159" s="39">
        <v>0</v>
      </c>
      <c r="AB159" s="39">
        <v>0</v>
      </c>
      <c r="AC159" s="39">
        <v>0</v>
      </c>
      <c r="AD159" s="39">
        <v>0</v>
      </c>
      <c r="AE159" s="39">
        <v>0</v>
      </c>
      <c r="AF159" s="39">
        <v>0</v>
      </c>
      <c r="AG159" s="39">
        <v>0</v>
      </c>
      <c r="AH159" s="39"/>
      <c r="AI159" s="39"/>
      <c r="AJ159" s="40"/>
      <c r="AK159" s="39">
        <f t="shared" si="10"/>
        <v>0</v>
      </c>
      <c r="AL159" s="39">
        <f t="shared" si="13"/>
        <v>0</v>
      </c>
      <c r="AM159" s="39">
        <f t="shared" si="14"/>
        <v>0</v>
      </c>
      <c r="AN159" s="39">
        <f t="shared" si="11"/>
        <v>0</v>
      </c>
      <c r="AO159" s="39">
        <f t="shared" si="12"/>
        <v>0</v>
      </c>
    </row>
    <row r="160" spans="1:41" x14ac:dyDescent="0.3">
      <c r="A160" s="20">
        <v>1000184670</v>
      </c>
      <c r="B160" s="4" t="s">
        <v>147</v>
      </c>
      <c r="C160" s="21">
        <v>1000186197</v>
      </c>
      <c r="D160" s="3" t="s">
        <v>166</v>
      </c>
      <c r="E160" s="20">
        <v>1000198600</v>
      </c>
      <c r="F160" s="4" t="s">
        <v>148</v>
      </c>
      <c r="G160" s="21">
        <v>1000198601</v>
      </c>
      <c r="H160" s="3" t="s">
        <v>149</v>
      </c>
      <c r="I160" s="21">
        <v>1000189757</v>
      </c>
      <c r="J160" s="3" t="s">
        <v>141</v>
      </c>
      <c r="K160" s="20" t="s">
        <v>19</v>
      </c>
      <c r="L160" s="39">
        <v>0</v>
      </c>
      <c r="M160" s="39">
        <v>0</v>
      </c>
      <c r="N160" s="39">
        <v>0</v>
      </c>
      <c r="O160" s="39">
        <v>0</v>
      </c>
      <c r="P160" s="39">
        <v>0</v>
      </c>
      <c r="Q160" s="39">
        <v>0</v>
      </c>
      <c r="R160" s="39">
        <v>0</v>
      </c>
      <c r="S160" s="39">
        <v>0</v>
      </c>
      <c r="T160" s="39">
        <v>0</v>
      </c>
      <c r="U160" s="39">
        <v>0</v>
      </c>
      <c r="V160" s="39">
        <v>0</v>
      </c>
      <c r="W160" s="39">
        <v>0</v>
      </c>
      <c r="X160" s="39">
        <v>0</v>
      </c>
      <c r="Y160" s="39">
        <v>0</v>
      </c>
      <c r="Z160" s="39">
        <v>0</v>
      </c>
      <c r="AA160" s="39">
        <v>0</v>
      </c>
      <c r="AB160" s="39">
        <v>0</v>
      </c>
      <c r="AC160" s="39">
        <v>0</v>
      </c>
      <c r="AD160" s="39">
        <v>0</v>
      </c>
      <c r="AE160" s="39">
        <v>0</v>
      </c>
      <c r="AF160" s="39">
        <v>0</v>
      </c>
      <c r="AG160" s="39">
        <v>0</v>
      </c>
      <c r="AH160" s="39"/>
      <c r="AI160" s="39"/>
      <c r="AJ160" s="40"/>
      <c r="AK160" s="39">
        <f t="shared" si="10"/>
        <v>0</v>
      </c>
      <c r="AL160" s="39">
        <f t="shared" si="13"/>
        <v>0</v>
      </c>
      <c r="AM160" s="39">
        <f t="shared" si="14"/>
        <v>0</v>
      </c>
      <c r="AN160" s="39">
        <f t="shared" si="11"/>
        <v>0</v>
      </c>
      <c r="AO160" s="39">
        <f t="shared" si="12"/>
        <v>0</v>
      </c>
    </row>
    <row r="161" spans="1:41" x14ac:dyDescent="0.3">
      <c r="A161" s="20">
        <v>1000184670</v>
      </c>
      <c r="B161" s="4" t="s">
        <v>147</v>
      </c>
      <c r="C161" s="21">
        <v>1000186197</v>
      </c>
      <c r="D161" s="3" t="s">
        <v>166</v>
      </c>
      <c r="E161" s="20">
        <v>1000198600</v>
      </c>
      <c r="F161" s="4" t="s">
        <v>148</v>
      </c>
      <c r="G161" s="21">
        <v>1000198601</v>
      </c>
      <c r="H161" s="3" t="s">
        <v>149</v>
      </c>
      <c r="I161" s="21">
        <v>1000189757</v>
      </c>
      <c r="J161" s="3" t="s">
        <v>141</v>
      </c>
      <c r="K161" s="20" t="s">
        <v>17</v>
      </c>
      <c r="L161" s="39">
        <v>0</v>
      </c>
      <c r="M161" s="39">
        <v>0</v>
      </c>
      <c r="N161" s="39">
        <v>0</v>
      </c>
      <c r="O161" s="39">
        <v>0</v>
      </c>
      <c r="P161" s="39">
        <v>0</v>
      </c>
      <c r="Q161" s="39">
        <v>0</v>
      </c>
      <c r="R161" s="39">
        <v>0</v>
      </c>
      <c r="S161" s="39">
        <v>0</v>
      </c>
      <c r="T161" s="39">
        <v>0</v>
      </c>
      <c r="U161" s="39">
        <v>0</v>
      </c>
      <c r="V161" s="39">
        <v>0</v>
      </c>
      <c r="W161" s="39">
        <v>0</v>
      </c>
      <c r="X161" s="39">
        <v>0</v>
      </c>
      <c r="Y161" s="39">
        <v>0</v>
      </c>
      <c r="Z161" s="39">
        <v>0</v>
      </c>
      <c r="AA161" s="39">
        <v>0</v>
      </c>
      <c r="AB161" s="39">
        <v>0</v>
      </c>
      <c r="AC161" s="39">
        <v>0</v>
      </c>
      <c r="AD161" s="39">
        <v>0</v>
      </c>
      <c r="AE161" s="39">
        <v>0</v>
      </c>
      <c r="AF161" s="39">
        <v>0</v>
      </c>
      <c r="AG161" s="39">
        <v>0</v>
      </c>
      <c r="AH161" s="39"/>
      <c r="AI161" s="39"/>
      <c r="AJ161" s="40"/>
      <c r="AK161" s="39">
        <f t="shared" si="10"/>
        <v>0</v>
      </c>
      <c r="AL161" s="39">
        <f t="shared" si="13"/>
        <v>0</v>
      </c>
      <c r="AM161" s="39">
        <f t="shared" si="14"/>
        <v>0</v>
      </c>
      <c r="AN161" s="39">
        <f t="shared" si="11"/>
        <v>0</v>
      </c>
      <c r="AO161" s="39">
        <f t="shared" si="12"/>
        <v>0</v>
      </c>
    </row>
    <row r="162" spans="1:41" x14ac:dyDescent="0.3">
      <c r="A162" s="20">
        <v>1000184670</v>
      </c>
      <c r="B162" s="4" t="s">
        <v>147</v>
      </c>
      <c r="C162" s="21">
        <v>1000186197</v>
      </c>
      <c r="D162" s="3" t="s">
        <v>166</v>
      </c>
      <c r="E162" s="20">
        <v>1000198600</v>
      </c>
      <c r="F162" s="4" t="s">
        <v>148</v>
      </c>
      <c r="G162" s="21">
        <v>1000198601</v>
      </c>
      <c r="H162" s="3" t="s">
        <v>149</v>
      </c>
      <c r="I162" s="21">
        <v>1000189757</v>
      </c>
      <c r="J162" s="3" t="s">
        <v>141</v>
      </c>
      <c r="K162" s="20" t="s">
        <v>24</v>
      </c>
      <c r="L162" s="39">
        <v>0</v>
      </c>
      <c r="M162" s="39">
        <v>0</v>
      </c>
      <c r="N162" s="39">
        <v>0</v>
      </c>
      <c r="O162" s="39">
        <v>0</v>
      </c>
      <c r="P162" s="39">
        <v>0</v>
      </c>
      <c r="Q162" s="39">
        <v>0</v>
      </c>
      <c r="R162" s="39">
        <v>0</v>
      </c>
      <c r="S162" s="39">
        <v>0</v>
      </c>
      <c r="T162" s="39">
        <v>0</v>
      </c>
      <c r="U162" s="39">
        <v>0</v>
      </c>
      <c r="V162" s="39">
        <v>0</v>
      </c>
      <c r="W162" s="39">
        <v>0</v>
      </c>
      <c r="X162" s="39">
        <v>0</v>
      </c>
      <c r="Y162" s="39">
        <v>0</v>
      </c>
      <c r="Z162" s="39">
        <v>0</v>
      </c>
      <c r="AA162" s="39">
        <v>0</v>
      </c>
      <c r="AB162" s="39">
        <v>0</v>
      </c>
      <c r="AC162" s="39">
        <v>0</v>
      </c>
      <c r="AD162" s="39">
        <v>0</v>
      </c>
      <c r="AE162" s="39">
        <v>0</v>
      </c>
      <c r="AF162" s="39">
        <v>0</v>
      </c>
      <c r="AG162" s="39">
        <v>0</v>
      </c>
      <c r="AH162" s="39"/>
      <c r="AI162" s="39"/>
      <c r="AJ162" s="40"/>
      <c r="AK162" s="39">
        <f t="shared" si="10"/>
        <v>0</v>
      </c>
      <c r="AL162" s="39">
        <f t="shared" si="13"/>
        <v>0</v>
      </c>
      <c r="AM162" s="39">
        <f t="shared" si="14"/>
        <v>0</v>
      </c>
      <c r="AN162" s="39">
        <f t="shared" si="11"/>
        <v>0</v>
      </c>
      <c r="AO162" s="39">
        <f t="shared" si="12"/>
        <v>0</v>
      </c>
    </row>
    <row r="163" spans="1:41" x14ac:dyDescent="0.3">
      <c r="A163" s="20">
        <v>1000184670</v>
      </c>
      <c r="B163" s="4" t="s">
        <v>147</v>
      </c>
      <c r="C163" s="21">
        <v>1000186197</v>
      </c>
      <c r="D163" s="3" t="s">
        <v>166</v>
      </c>
      <c r="E163" s="20">
        <v>1000198600</v>
      </c>
      <c r="F163" s="4" t="s">
        <v>148</v>
      </c>
      <c r="G163" s="21">
        <v>1000198601</v>
      </c>
      <c r="H163" s="3" t="s">
        <v>149</v>
      </c>
      <c r="I163" s="21">
        <v>1000189757</v>
      </c>
      <c r="J163" s="3" t="s">
        <v>141</v>
      </c>
      <c r="K163" s="20" t="s">
        <v>18</v>
      </c>
      <c r="L163" s="39">
        <v>0</v>
      </c>
      <c r="M163" s="39">
        <v>0</v>
      </c>
      <c r="N163" s="39">
        <v>0</v>
      </c>
      <c r="O163" s="39">
        <v>0</v>
      </c>
      <c r="P163" s="39">
        <v>0</v>
      </c>
      <c r="Q163" s="39">
        <v>0</v>
      </c>
      <c r="R163" s="39">
        <v>0</v>
      </c>
      <c r="S163" s="39">
        <v>0</v>
      </c>
      <c r="T163" s="39">
        <v>0</v>
      </c>
      <c r="U163" s="39">
        <v>0</v>
      </c>
      <c r="V163" s="39">
        <v>0</v>
      </c>
      <c r="W163" s="39">
        <v>0</v>
      </c>
      <c r="X163" s="39">
        <v>0</v>
      </c>
      <c r="Y163" s="39">
        <v>0</v>
      </c>
      <c r="Z163" s="39">
        <v>0</v>
      </c>
      <c r="AA163" s="39">
        <v>0</v>
      </c>
      <c r="AB163" s="39">
        <v>0</v>
      </c>
      <c r="AC163" s="39">
        <v>0</v>
      </c>
      <c r="AD163" s="39">
        <v>0</v>
      </c>
      <c r="AE163" s="39">
        <v>0</v>
      </c>
      <c r="AF163" s="39">
        <v>0</v>
      </c>
      <c r="AG163" s="39">
        <v>0</v>
      </c>
      <c r="AH163" s="39"/>
      <c r="AI163" s="39"/>
      <c r="AJ163" s="40"/>
      <c r="AK163" s="39">
        <f t="shared" si="10"/>
        <v>0</v>
      </c>
      <c r="AL163" s="39">
        <f t="shared" si="13"/>
        <v>0</v>
      </c>
      <c r="AM163" s="39">
        <f t="shared" si="14"/>
        <v>0</v>
      </c>
      <c r="AN163" s="39">
        <f t="shared" si="11"/>
        <v>0</v>
      </c>
      <c r="AO163" s="39">
        <f t="shared" si="12"/>
        <v>0</v>
      </c>
    </row>
    <row r="164" spans="1:41" x14ac:dyDescent="0.3">
      <c r="A164" s="20">
        <v>1000184670</v>
      </c>
      <c r="B164" s="4" t="s">
        <v>147</v>
      </c>
      <c r="C164" s="21">
        <v>1000186197</v>
      </c>
      <c r="D164" s="3" t="s">
        <v>166</v>
      </c>
      <c r="E164" s="20">
        <v>1000198600</v>
      </c>
      <c r="F164" s="4" t="s">
        <v>148</v>
      </c>
      <c r="G164" s="21">
        <v>1000198601</v>
      </c>
      <c r="H164" s="3" t="s">
        <v>149</v>
      </c>
      <c r="I164" s="21">
        <v>1000189757</v>
      </c>
      <c r="J164" s="3" t="s">
        <v>141</v>
      </c>
      <c r="K164" s="20" t="s">
        <v>29</v>
      </c>
      <c r="L164" s="39">
        <v>0</v>
      </c>
      <c r="M164" s="39">
        <v>0</v>
      </c>
      <c r="N164" s="39">
        <v>0</v>
      </c>
      <c r="O164" s="39">
        <v>0</v>
      </c>
      <c r="P164" s="39">
        <v>0</v>
      </c>
      <c r="Q164" s="39">
        <v>0</v>
      </c>
      <c r="R164" s="39">
        <v>0</v>
      </c>
      <c r="S164" s="39">
        <v>0</v>
      </c>
      <c r="T164" s="39">
        <v>0</v>
      </c>
      <c r="U164" s="39">
        <v>0</v>
      </c>
      <c r="V164" s="39">
        <v>0</v>
      </c>
      <c r="W164" s="39">
        <v>0</v>
      </c>
      <c r="X164" s="39">
        <v>0</v>
      </c>
      <c r="Y164" s="39">
        <v>0</v>
      </c>
      <c r="Z164" s="39">
        <v>0</v>
      </c>
      <c r="AA164" s="39">
        <v>0</v>
      </c>
      <c r="AB164" s="39">
        <v>0</v>
      </c>
      <c r="AC164" s="39">
        <v>0</v>
      </c>
      <c r="AD164" s="39">
        <v>0</v>
      </c>
      <c r="AE164" s="39">
        <v>0</v>
      </c>
      <c r="AF164" s="39">
        <v>0</v>
      </c>
      <c r="AG164" s="39">
        <v>0</v>
      </c>
      <c r="AH164" s="39"/>
      <c r="AI164" s="39"/>
      <c r="AJ164" s="40"/>
      <c r="AK164" s="39">
        <f t="shared" si="10"/>
        <v>0</v>
      </c>
      <c r="AL164" s="39">
        <f t="shared" si="13"/>
        <v>0</v>
      </c>
      <c r="AM164" s="39">
        <f t="shared" si="14"/>
        <v>0</v>
      </c>
      <c r="AN164" s="39">
        <f t="shared" si="11"/>
        <v>0</v>
      </c>
      <c r="AO164" s="39">
        <f t="shared" si="12"/>
        <v>0</v>
      </c>
    </row>
    <row r="165" spans="1:41" x14ac:dyDescent="0.3">
      <c r="A165" s="20">
        <v>1000184670</v>
      </c>
      <c r="B165" s="4" t="s">
        <v>147</v>
      </c>
      <c r="C165" s="21">
        <v>1000186197</v>
      </c>
      <c r="D165" s="3" t="s">
        <v>166</v>
      </c>
      <c r="E165" s="20">
        <v>1000198600</v>
      </c>
      <c r="F165" s="4" t="s">
        <v>148</v>
      </c>
      <c r="G165" s="21">
        <v>1000198601</v>
      </c>
      <c r="H165" s="3" t="s">
        <v>149</v>
      </c>
      <c r="I165" s="21">
        <v>1000189757</v>
      </c>
      <c r="J165" s="3" t="s">
        <v>141</v>
      </c>
      <c r="K165" s="20" t="s">
        <v>21</v>
      </c>
      <c r="L165" s="39">
        <v>0</v>
      </c>
      <c r="M165" s="39">
        <v>0</v>
      </c>
      <c r="N165" s="39">
        <v>0</v>
      </c>
      <c r="O165" s="39">
        <v>0</v>
      </c>
      <c r="P165" s="39">
        <v>0</v>
      </c>
      <c r="Q165" s="39">
        <v>0</v>
      </c>
      <c r="R165" s="39">
        <v>0</v>
      </c>
      <c r="S165" s="39">
        <v>0</v>
      </c>
      <c r="T165" s="39">
        <v>0</v>
      </c>
      <c r="U165" s="39">
        <v>0</v>
      </c>
      <c r="V165" s="39">
        <v>0</v>
      </c>
      <c r="W165" s="39">
        <v>0</v>
      </c>
      <c r="X165" s="39">
        <v>0</v>
      </c>
      <c r="Y165" s="39">
        <v>0</v>
      </c>
      <c r="Z165" s="39">
        <v>0</v>
      </c>
      <c r="AA165" s="39">
        <v>0</v>
      </c>
      <c r="AB165" s="39">
        <v>0</v>
      </c>
      <c r="AC165" s="39">
        <v>0</v>
      </c>
      <c r="AD165" s="39">
        <v>0</v>
      </c>
      <c r="AE165" s="39">
        <v>0</v>
      </c>
      <c r="AF165" s="39">
        <v>0</v>
      </c>
      <c r="AG165" s="39">
        <v>0</v>
      </c>
      <c r="AH165" s="39"/>
      <c r="AI165" s="39"/>
      <c r="AJ165" s="40"/>
      <c r="AK165" s="39">
        <f t="shared" si="10"/>
        <v>0</v>
      </c>
      <c r="AL165" s="39">
        <f t="shared" si="13"/>
        <v>0</v>
      </c>
      <c r="AM165" s="39">
        <f t="shared" si="14"/>
        <v>0</v>
      </c>
      <c r="AN165" s="39">
        <f t="shared" si="11"/>
        <v>0</v>
      </c>
      <c r="AO165" s="39">
        <f t="shared" si="12"/>
        <v>0</v>
      </c>
    </row>
    <row r="166" spans="1:41" x14ac:dyDescent="0.3">
      <c r="A166" s="20">
        <v>1000184670</v>
      </c>
      <c r="B166" s="4" t="s">
        <v>147</v>
      </c>
      <c r="C166" s="21">
        <v>1000186197</v>
      </c>
      <c r="D166" s="3" t="s">
        <v>166</v>
      </c>
      <c r="E166" s="20">
        <v>1000198600</v>
      </c>
      <c r="F166" s="4" t="s">
        <v>148</v>
      </c>
      <c r="G166" s="21">
        <v>1000198601</v>
      </c>
      <c r="H166" s="3" t="s">
        <v>149</v>
      </c>
      <c r="I166" s="21">
        <v>1000189757</v>
      </c>
      <c r="J166" s="3" t="s">
        <v>141</v>
      </c>
      <c r="K166" s="20" t="s">
        <v>20</v>
      </c>
      <c r="L166" s="39">
        <v>0</v>
      </c>
      <c r="M166" s="39">
        <v>0</v>
      </c>
      <c r="N166" s="39">
        <v>0</v>
      </c>
      <c r="O166" s="39">
        <v>0</v>
      </c>
      <c r="P166" s="39">
        <v>0</v>
      </c>
      <c r="Q166" s="39">
        <v>0</v>
      </c>
      <c r="R166" s="39">
        <v>0</v>
      </c>
      <c r="S166" s="39">
        <v>0</v>
      </c>
      <c r="T166" s="39">
        <v>0</v>
      </c>
      <c r="U166" s="39">
        <v>0</v>
      </c>
      <c r="V166" s="39">
        <v>0</v>
      </c>
      <c r="W166" s="39">
        <v>0</v>
      </c>
      <c r="X166" s="39">
        <v>0</v>
      </c>
      <c r="Y166" s="39">
        <v>0</v>
      </c>
      <c r="Z166" s="39">
        <v>0</v>
      </c>
      <c r="AA166" s="39">
        <v>0</v>
      </c>
      <c r="AB166" s="39">
        <v>0</v>
      </c>
      <c r="AC166" s="39">
        <v>0</v>
      </c>
      <c r="AD166" s="39">
        <v>0</v>
      </c>
      <c r="AE166" s="39">
        <v>0</v>
      </c>
      <c r="AF166" s="39">
        <v>0</v>
      </c>
      <c r="AG166" s="39">
        <v>0</v>
      </c>
      <c r="AH166" s="39"/>
      <c r="AI166" s="39"/>
      <c r="AJ166" s="40"/>
      <c r="AK166" s="39">
        <f t="shared" si="10"/>
        <v>0</v>
      </c>
      <c r="AL166" s="39">
        <f t="shared" si="13"/>
        <v>0</v>
      </c>
      <c r="AM166" s="39">
        <f t="shared" si="14"/>
        <v>0</v>
      </c>
      <c r="AN166" s="39">
        <f t="shared" si="11"/>
        <v>0</v>
      </c>
      <c r="AO166" s="39">
        <f t="shared" si="12"/>
        <v>0</v>
      </c>
    </row>
    <row r="167" spans="1:41" x14ac:dyDescent="0.3">
      <c r="A167" s="20">
        <v>1000184670</v>
      </c>
      <c r="B167" s="4" t="s">
        <v>147</v>
      </c>
      <c r="C167" s="21">
        <v>1000186197</v>
      </c>
      <c r="D167" s="3" t="s">
        <v>166</v>
      </c>
      <c r="E167" s="20">
        <v>1000198600</v>
      </c>
      <c r="F167" s="4" t="s">
        <v>148</v>
      </c>
      <c r="G167" s="21">
        <v>1000198601</v>
      </c>
      <c r="H167" s="3" t="s">
        <v>149</v>
      </c>
      <c r="I167" s="21">
        <v>1000189757</v>
      </c>
      <c r="J167" s="3" t="s">
        <v>141</v>
      </c>
      <c r="K167" s="20" t="s">
        <v>22</v>
      </c>
      <c r="L167" s="39">
        <v>0</v>
      </c>
      <c r="M167" s="39">
        <v>0</v>
      </c>
      <c r="N167" s="39">
        <v>0</v>
      </c>
      <c r="O167" s="39">
        <v>0</v>
      </c>
      <c r="P167" s="39">
        <v>0</v>
      </c>
      <c r="Q167" s="39">
        <v>0</v>
      </c>
      <c r="R167" s="39">
        <v>0</v>
      </c>
      <c r="S167" s="39">
        <v>0</v>
      </c>
      <c r="T167" s="39">
        <v>0</v>
      </c>
      <c r="U167" s="39">
        <v>0</v>
      </c>
      <c r="V167" s="39">
        <v>0</v>
      </c>
      <c r="W167" s="39">
        <v>0</v>
      </c>
      <c r="X167" s="39">
        <v>0</v>
      </c>
      <c r="Y167" s="39">
        <v>0</v>
      </c>
      <c r="Z167" s="39">
        <v>0</v>
      </c>
      <c r="AA167" s="39">
        <v>0</v>
      </c>
      <c r="AB167" s="39">
        <v>0</v>
      </c>
      <c r="AC167" s="39">
        <v>0</v>
      </c>
      <c r="AD167" s="39">
        <v>0</v>
      </c>
      <c r="AE167" s="39">
        <v>0</v>
      </c>
      <c r="AF167" s="39">
        <v>0</v>
      </c>
      <c r="AG167" s="39">
        <v>0</v>
      </c>
      <c r="AH167" s="39"/>
      <c r="AI167" s="39"/>
      <c r="AJ167" s="40"/>
      <c r="AK167" s="39">
        <f t="shared" si="10"/>
        <v>0</v>
      </c>
      <c r="AL167" s="39">
        <f t="shared" si="13"/>
        <v>0</v>
      </c>
      <c r="AM167" s="39">
        <f t="shared" si="14"/>
        <v>0</v>
      </c>
      <c r="AN167" s="39">
        <f t="shared" si="11"/>
        <v>0</v>
      </c>
      <c r="AO167" s="39">
        <f t="shared" si="12"/>
        <v>0</v>
      </c>
    </row>
    <row r="168" spans="1:41" x14ac:dyDescent="0.3">
      <c r="A168" s="20">
        <v>1000184670</v>
      </c>
      <c r="B168" s="4" t="s">
        <v>147</v>
      </c>
      <c r="C168" s="21">
        <v>1000186197</v>
      </c>
      <c r="D168" s="3" t="s">
        <v>166</v>
      </c>
      <c r="E168" s="20">
        <v>1000198600</v>
      </c>
      <c r="F168" s="4" t="s">
        <v>148</v>
      </c>
      <c r="G168" s="21">
        <v>1000198601</v>
      </c>
      <c r="H168" s="3" t="s">
        <v>149</v>
      </c>
      <c r="I168" s="21">
        <v>1000189757</v>
      </c>
      <c r="J168" s="3" t="s">
        <v>141</v>
      </c>
      <c r="K168" s="20" t="s">
        <v>23</v>
      </c>
      <c r="L168" s="39">
        <v>0</v>
      </c>
      <c r="M168" s="39">
        <v>0</v>
      </c>
      <c r="N168" s="39">
        <v>0</v>
      </c>
      <c r="O168" s="39">
        <v>0</v>
      </c>
      <c r="P168" s="39">
        <v>0</v>
      </c>
      <c r="Q168" s="39">
        <v>0</v>
      </c>
      <c r="R168" s="39">
        <v>0</v>
      </c>
      <c r="S168" s="39">
        <v>0</v>
      </c>
      <c r="T168" s="39">
        <v>0</v>
      </c>
      <c r="U168" s="39">
        <v>0</v>
      </c>
      <c r="V168" s="39">
        <v>0</v>
      </c>
      <c r="W168" s="39">
        <v>0</v>
      </c>
      <c r="X168" s="39">
        <v>0</v>
      </c>
      <c r="Y168" s="39">
        <v>0</v>
      </c>
      <c r="Z168" s="39">
        <v>0</v>
      </c>
      <c r="AA168" s="39">
        <v>0</v>
      </c>
      <c r="AB168" s="39">
        <v>0</v>
      </c>
      <c r="AC168" s="39">
        <v>0</v>
      </c>
      <c r="AD168" s="39">
        <v>0</v>
      </c>
      <c r="AE168" s="39">
        <v>0</v>
      </c>
      <c r="AF168" s="39">
        <v>0</v>
      </c>
      <c r="AG168" s="39">
        <v>0</v>
      </c>
      <c r="AH168" s="39"/>
      <c r="AI168" s="39"/>
      <c r="AJ168" s="40"/>
      <c r="AK168" s="39">
        <f t="shared" si="10"/>
        <v>0</v>
      </c>
      <c r="AL168" s="39">
        <f t="shared" si="13"/>
        <v>0</v>
      </c>
      <c r="AM168" s="39">
        <f t="shared" si="14"/>
        <v>0</v>
      </c>
      <c r="AN168" s="39">
        <f t="shared" si="11"/>
        <v>0</v>
      </c>
      <c r="AO168" s="39">
        <f t="shared" si="12"/>
        <v>0</v>
      </c>
    </row>
    <row r="169" spans="1:41" x14ac:dyDescent="0.3">
      <c r="A169" s="20">
        <v>1000184670</v>
      </c>
      <c r="B169" s="4" t="s">
        <v>147</v>
      </c>
      <c r="C169" s="21">
        <v>1000186197</v>
      </c>
      <c r="D169" s="3" t="s">
        <v>166</v>
      </c>
      <c r="E169" s="20">
        <v>1000198600</v>
      </c>
      <c r="F169" s="4" t="s">
        <v>148</v>
      </c>
      <c r="G169" s="21">
        <v>1000198601</v>
      </c>
      <c r="H169" s="3" t="s">
        <v>149</v>
      </c>
      <c r="I169" s="21">
        <v>1000189757</v>
      </c>
      <c r="J169" s="3" t="s">
        <v>141</v>
      </c>
      <c r="K169" s="20" t="s">
        <v>28</v>
      </c>
      <c r="L169" s="39">
        <v>0</v>
      </c>
      <c r="M169" s="39">
        <v>0</v>
      </c>
      <c r="N169" s="39">
        <v>0</v>
      </c>
      <c r="O169" s="39">
        <v>0</v>
      </c>
      <c r="P169" s="39">
        <v>0</v>
      </c>
      <c r="Q169" s="39">
        <v>0</v>
      </c>
      <c r="R169" s="39">
        <v>0</v>
      </c>
      <c r="S169" s="39">
        <v>0</v>
      </c>
      <c r="T169" s="39">
        <v>0</v>
      </c>
      <c r="U169" s="39">
        <v>0</v>
      </c>
      <c r="V169" s="39">
        <v>0</v>
      </c>
      <c r="W169" s="39">
        <v>0</v>
      </c>
      <c r="X169" s="39">
        <v>0</v>
      </c>
      <c r="Y169" s="39">
        <v>0</v>
      </c>
      <c r="Z169" s="39">
        <v>0</v>
      </c>
      <c r="AA169" s="39">
        <v>0</v>
      </c>
      <c r="AB169" s="39">
        <v>0</v>
      </c>
      <c r="AC169" s="39">
        <v>0</v>
      </c>
      <c r="AD169" s="39">
        <v>0</v>
      </c>
      <c r="AE169" s="39">
        <v>0</v>
      </c>
      <c r="AF169" s="39">
        <v>0</v>
      </c>
      <c r="AG169" s="39">
        <v>0</v>
      </c>
      <c r="AH169" s="39"/>
      <c r="AI169" s="39"/>
      <c r="AJ169" s="40"/>
      <c r="AK169" s="39">
        <f t="shared" si="10"/>
        <v>0</v>
      </c>
      <c r="AL169" s="39">
        <f t="shared" si="13"/>
        <v>0</v>
      </c>
      <c r="AM169" s="39">
        <f t="shared" si="14"/>
        <v>0</v>
      </c>
      <c r="AN169" s="39">
        <f t="shared" si="11"/>
        <v>0</v>
      </c>
      <c r="AO169" s="39">
        <f t="shared" si="12"/>
        <v>0</v>
      </c>
    </row>
    <row r="170" spans="1:41" x14ac:dyDescent="0.3">
      <c r="A170" s="20">
        <v>1000184670</v>
      </c>
      <c r="B170" s="4" t="s">
        <v>147</v>
      </c>
      <c r="C170" s="21">
        <v>1000186197</v>
      </c>
      <c r="D170" s="3" t="s">
        <v>166</v>
      </c>
      <c r="E170" s="20">
        <v>1000198600</v>
      </c>
      <c r="F170" s="4" t="s">
        <v>148</v>
      </c>
      <c r="G170" s="21">
        <v>1000198601</v>
      </c>
      <c r="H170" s="3" t="s">
        <v>149</v>
      </c>
      <c r="I170" s="21">
        <v>1000189757</v>
      </c>
      <c r="J170" s="3" t="s">
        <v>141</v>
      </c>
      <c r="K170" s="20" t="s">
        <v>26</v>
      </c>
      <c r="L170" s="39">
        <v>0</v>
      </c>
      <c r="M170" s="39">
        <v>0</v>
      </c>
      <c r="N170" s="39">
        <v>0</v>
      </c>
      <c r="O170" s="39">
        <v>0</v>
      </c>
      <c r="P170" s="39">
        <v>0</v>
      </c>
      <c r="Q170" s="39">
        <v>0</v>
      </c>
      <c r="R170" s="39">
        <v>0</v>
      </c>
      <c r="S170" s="39">
        <v>0</v>
      </c>
      <c r="T170" s="39">
        <v>0</v>
      </c>
      <c r="U170" s="39">
        <v>0</v>
      </c>
      <c r="V170" s="39">
        <v>0</v>
      </c>
      <c r="W170" s="39">
        <v>0</v>
      </c>
      <c r="X170" s="39">
        <v>0</v>
      </c>
      <c r="Y170" s="39">
        <v>0</v>
      </c>
      <c r="Z170" s="39">
        <v>0</v>
      </c>
      <c r="AA170" s="39">
        <v>0</v>
      </c>
      <c r="AB170" s="39">
        <v>0</v>
      </c>
      <c r="AC170" s="39">
        <v>0</v>
      </c>
      <c r="AD170" s="39">
        <v>0</v>
      </c>
      <c r="AE170" s="39">
        <v>0</v>
      </c>
      <c r="AF170" s="39">
        <v>0</v>
      </c>
      <c r="AG170" s="39">
        <v>0</v>
      </c>
      <c r="AH170" s="39"/>
      <c r="AI170" s="39"/>
      <c r="AJ170" s="40"/>
      <c r="AK170" s="39">
        <f t="shared" si="10"/>
        <v>0</v>
      </c>
      <c r="AL170" s="39">
        <f t="shared" si="13"/>
        <v>0</v>
      </c>
      <c r="AM170" s="39">
        <f t="shared" si="14"/>
        <v>0</v>
      </c>
      <c r="AN170" s="39">
        <f t="shared" si="11"/>
        <v>0</v>
      </c>
      <c r="AO170" s="39">
        <f t="shared" si="12"/>
        <v>0</v>
      </c>
    </row>
    <row r="171" spans="1:41" x14ac:dyDescent="0.3">
      <c r="A171" s="20">
        <v>1000184670</v>
      </c>
      <c r="B171" s="4" t="s">
        <v>147</v>
      </c>
      <c r="C171" s="21">
        <v>1000186197</v>
      </c>
      <c r="D171" s="3" t="s">
        <v>166</v>
      </c>
      <c r="E171" s="20">
        <v>1000198600</v>
      </c>
      <c r="F171" s="4" t="s">
        <v>148</v>
      </c>
      <c r="G171" s="21">
        <v>1000198601</v>
      </c>
      <c r="H171" s="3" t="s">
        <v>149</v>
      </c>
      <c r="I171" s="21">
        <v>1000189757</v>
      </c>
      <c r="J171" s="3" t="s">
        <v>141</v>
      </c>
      <c r="K171" s="20" t="s">
        <v>27</v>
      </c>
      <c r="L171" s="39">
        <v>0</v>
      </c>
      <c r="M171" s="39">
        <v>0</v>
      </c>
      <c r="N171" s="39">
        <v>0</v>
      </c>
      <c r="O171" s="39">
        <v>0</v>
      </c>
      <c r="P171" s="39">
        <v>0</v>
      </c>
      <c r="Q171" s="39">
        <v>0</v>
      </c>
      <c r="R171" s="39">
        <v>0</v>
      </c>
      <c r="S171" s="39">
        <v>0</v>
      </c>
      <c r="T171" s="39">
        <v>0</v>
      </c>
      <c r="U171" s="39">
        <v>0</v>
      </c>
      <c r="V171" s="39">
        <v>0</v>
      </c>
      <c r="W171" s="39">
        <v>0</v>
      </c>
      <c r="X171" s="39">
        <v>0</v>
      </c>
      <c r="Y171" s="39">
        <v>0</v>
      </c>
      <c r="Z171" s="39">
        <v>0</v>
      </c>
      <c r="AA171" s="39">
        <v>0</v>
      </c>
      <c r="AB171" s="39">
        <v>0</v>
      </c>
      <c r="AC171" s="39">
        <v>0</v>
      </c>
      <c r="AD171" s="39">
        <v>0</v>
      </c>
      <c r="AE171" s="39">
        <v>0</v>
      </c>
      <c r="AF171" s="39">
        <v>0</v>
      </c>
      <c r="AG171" s="39">
        <v>0</v>
      </c>
      <c r="AH171" s="39"/>
      <c r="AI171" s="39"/>
      <c r="AJ171" s="40"/>
      <c r="AK171" s="39">
        <f t="shared" si="10"/>
        <v>0</v>
      </c>
      <c r="AL171" s="39">
        <f t="shared" si="13"/>
        <v>0</v>
      </c>
      <c r="AM171" s="39">
        <f t="shared" si="14"/>
        <v>0</v>
      </c>
      <c r="AN171" s="39">
        <f t="shared" si="11"/>
        <v>0</v>
      </c>
      <c r="AO171" s="39">
        <f t="shared" si="12"/>
        <v>0</v>
      </c>
    </row>
    <row r="172" spans="1:41" x14ac:dyDescent="0.3">
      <c r="A172" s="20">
        <v>1000184670</v>
      </c>
      <c r="B172" s="4" t="s">
        <v>147</v>
      </c>
      <c r="C172" s="21">
        <v>1000186197</v>
      </c>
      <c r="D172" s="3" t="s">
        <v>166</v>
      </c>
      <c r="E172" s="20">
        <v>1000198600</v>
      </c>
      <c r="F172" s="4" t="s">
        <v>148</v>
      </c>
      <c r="G172" s="21">
        <v>1000198601</v>
      </c>
      <c r="H172" s="3" t="s">
        <v>149</v>
      </c>
      <c r="I172" s="21">
        <v>1000189757</v>
      </c>
      <c r="J172" s="3" t="s">
        <v>141</v>
      </c>
      <c r="K172" s="20" t="s">
        <v>25</v>
      </c>
      <c r="L172" s="39">
        <v>0</v>
      </c>
      <c r="M172" s="39">
        <v>0</v>
      </c>
      <c r="N172" s="39">
        <v>0</v>
      </c>
      <c r="O172" s="39">
        <v>0</v>
      </c>
      <c r="P172" s="39">
        <v>0</v>
      </c>
      <c r="Q172" s="39">
        <v>0</v>
      </c>
      <c r="R172" s="39">
        <v>0</v>
      </c>
      <c r="S172" s="39">
        <v>0</v>
      </c>
      <c r="T172" s="39">
        <v>0</v>
      </c>
      <c r="U172" s="39">
        <v>0</v>
      </c>
      <c r="V172" s="39">
        <v>0</v>
      </c>
      <c r="W172" s="39">
        <v>0</v>
      </c>
      <c r="X172" s="39">
        <v>0</v>
      </c>
      <c r="Y172" s="39">
        <v>0</v>
      </c>
      <c r="Z172" s="39">
        <v>0</v>
      </c>
      <c r="AA172" s="39">
        <v>0</v>
      </c>
      <c r="AB172" s="39">
        <v>0</v>
      </c>
      <c r="AC172" s="39">
        <v>0</v>
      </c>
      <c r="AD172" s="39">
        <v>0</v>
      </c>
      <c r="AE172" s="39">
        <v>0</v>
      </c>
      <c r="AF172" s="39">
        <v>0</v>
      </c>
      <c r="AG172" s="39">
        <v>0</v>
      </c>
      <c r="AH172" s="39"/>
      <c r="AI172" s="39"/>
      <c r="AJ172" s="40"/>
      <c r="AK172" s="39">
        <f t="shared" si="10"/>
        <v>0</v>
      </c>
      <c r="AL172" s="39">
        <f t="shared" si="13"/>
        <v>0</v>
      </c>
      <c r="AM172" s="39">
        <f t="shared" si="14"/>
        <v>0</v>
      </c>
      <c r="AN172" s="39">
        <f t="shared" si="11"/>
        <v>0</v>
      </c>
      <c r="AO172" s="39">
        <f t="shared" si="12"/>
        <v>0</v>
      </c>
    </row>
    <row r="173" spans="1:41" x14ac:dyDescent="0.3">
      <c r="A173" s="20">
        <v>1000184670</v>
      </c>
      <c r="B173" s="4" t="s">
        <v>147</v>
      </c>
      <c r="C173" s="21">
        <v>1000186197</v>
      </c>
      <c r="D173" s="3" t="s">
        <v>166</v>
      </c>
      <c r="E173" s="20">
        <v>1000198600</v>
      </c>
      <c r="F173" s="4" t="s">
        <v>148</v>
      </c>
      <c r="G173" s="21">
        <v>1000198601</v>
      </c>
      <c r="H173" s="3" t="s">
        <v>149</v>
      </c>
      <c r="I173" s="21">
        <v>1000190613</v>
      </c>
      <c r="J173" s="3" t="s">
        <v>142</v>
      </c>
      <c r="K173" s="20" t="s">
        <v>124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9">
        <v>0</v>
      </c>
      <c r="X173" s="39">
        <v>0</v>
      </c>
      <c r="Y173" s="39">
        <v>0</v>
      </c>
      <c r="Z173" s="39">
        <v>0</v>
      </c>
      <c r="AA173" s="39">
        <v>0</v>
      </c>
      <c r="AB173" s="39">
        <v>0</v>
      </c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/>
      <c r="AI173" s="39"/>
      <c r="AJ173" s="40"/>
      <c r="AK173" s="39">
        <f t="shared" si="10"/>
        <v>0</v>
      </c>
      <c r="AL173" s="39">
        <f t="shared" si="13"/>
        <v>0</v>
      </c>
      <c r="AM173" s="39">
        <f t="shared" si="14"/>
        <v>0</v>
      </c>
      <c r="AN173" s="39">
        <f t="shared" si="11"/>
        <v>0</v>
      </c>
      <c r="AO173" s="39">
        <f t="shared" si="12"/>
        <v>0</v>
      </c>
    </row>
    <row r="174" spans="1:41" x14ac:dyDescent="0.3">
      <c r="A174" s="20">
        <v>1000184670</v>
      </c>
      <c r="B174" s="4" t="s">
        <v>147</v>
      </c>
      <c r="C174" s="21">
        <v>1000186197</v>
      </c>
      <c r="D174" s="3" t="s">
        <v>166</v>
      </c>
      <c r="E174" s="20">
        <v>1000198600</v>
      </c>
      <c r="F174" s="4" t="s">
        <v>148</v>
      </c>
      <c r="G174" s="21">
        <v>1000198601</v>
      </c>
      <c r="H174" s="3" t="s">
        <v>149</v>
      </c>
      <c r="I174" s="21">
        <v>1000190613</v>
      </c>
      <c r="J174" s="3" t="s">
        <v>142</v>
      </c>
      <c r="K174" s="20" t="s">
        <v>13</v>
      </c>
      <c r="L174" s="39">
        <v>0</v>
      </c>
      <c r="M174" s="39">
        <v>0</v>
      </c>
      <c r="N174" s="39">
        <v>0</v>
      </c>
      <c r="O174" s="39">
        <v>0</v>
      </c>
      <c r="P174" s="39">
        <v>0</v>
      </c>
      <c r="Q174" s="39">
        <v>0</v>
      </c>
      <c r="R174" s="39">
        <v>0</v>
      </c>
      <c r="S174" s="39">
        <v>0</v>
      </c>
      <c r="T174" s="39">
        <v>0</v>
      </c>
      <c r="U174" s="39">
        <v>0</v>
      </c>
      <c r="V174" s="39">
        <v>0</v>
      </c>
      <c r="W174" s="39">
        <v>0</v>
      </c>
      <c r="X174" s="39">
        <v>0</v>
      </c>
      <c r="Y174" s="39">
        <v>0</v>
      </c>
      <c r="Z174" s="39">
        <v>0</v>
      </c>
      <c r="AA174" s="39">
        <v>0</v>
      </c>
      <c r="AB174" s="39">
        <v>0</v>
      </c>
      <c r="AC174" s="39">
        <v>0</v>
      </c>
      <c r="AD174" s="39">
        <v>0</v>
      </c>
      <c r="AE174" s="39">
        <v>0</v>
      </c>
      <c r="AF174" s="39">
        <v>0</v>
      </c>
      <c r="AG174" s="39">
        <v>0</v>
      </c>
      <c r="AH174" s="39"/>
      <c r="AI174" s="39"/>
      <c r="AJ174" s="40"/>
      <c r="AK174" s="39">
        <f t="shared" si="10"/>
        <v>0</v>
      </c>
      <c r="AL174" s="39">
        <f t="shared" si="13"/>
        <v>0</v>
      </c>
      <c r="AM174" s="39">
        <f t="shared" si="14"/>
        <v>0</v>
      </c>
      <c r="AN174" s="39">
        <f t="shared" si="11"/>
        <v>0</v>
      </c>
      <c r="AO174" s="39">
        <f t="shared" si="12"/>
        <v>0</v>
      </c>
    </row>
    <row r="175" spans="1:41" x14ac:dyDescent="0.3">
      <c r="A175" s="20">
        <v>1000184670</v>
      </c>
      <c r="B175" s="4" t="s">
        <v>147</v>
      </c>
      <c r="C175" s="21">
        <v>1000186197</v>
      </c>
      <c r="D175" s="3" t="s">
        <v>166</v>
      </c>
      <c r="E175" s="20">
        <v>1000198600</v>
      </c>
      <c r="F175" s="4" t="s">
        <v>148</v>
      </c>
      <c r="G175" s="21">
        <v>1000198601</v>
      </c>
      <c r="H175" s="3" t="s">
        <v>149</v>
      </c>
      <c r="I175" s="21">
        <v>1000190613</v>
      </c>
      <c r="J175" s="3" t="s">
        <v>142</v>
      </c>
      <c r="K175" s="20" t="s">
        <v>14</v>
      </c>
      <c r="L175" s="39">
        <v>0</v>
      </c>
      <c r="M175" s="39">
        <v>0</v>
      </c>
      <c r="N175" s="39">
        <v>0</v>
      </c>
      <c r="O175" s="39">
        <v>0</v>
      </c>
      <c r="P175" s="39">
        <v>0</v>
      </c>
      <c r="Q175" s="39">
        <v>0</v>
      </c>
      <c r="R175" s="39">
        <v>0</v>
      </c>
      <c r="S175" s="39">
        <v>0</v>
      </c>
      <c r="T175" s="39">
        <v>0</v>
      </c>
      <c r="U175" s="39">
        <v>0</v>
      </c>
      <c r="V175" s="39">
        <v>0</v>
      </c>
      <c r="W175" s="39">
        <v>0</v>
      </c>
      <c r="X175" s="39">
        <v>0</v>
      </c>
      <c r="Y175" s="39">
        <v>0</v>
      </c>
      <c r="Z175" s="39">
        <v>0</v>
      </c>
      <c r="AA175" s="39">
        <v>0</v>
      </c>
      <c r="AB175" s="39">
        <v>0</v>
      </c>
      <c r="AC175" s="39">
        <v>0</v>
      </c>
      <c r="AD175" s="39">
        <v>0</v>
      </c>
      <c r="AE175" s="39">
        <v>0</v>
      </c>
      <c r="AF175" s="39">
        <v>0</v>
      </c>
      <c r="AG175" s="39">
        <v>0</v>
      </c>
      <c r="AH175" s="39"/>
      <c r="AI175" s="39"/>
      <c r="AJ175" s="40"/>
      <c r="AK175" s="39">
        <f t="shared" si="10"/>
        <v>0</v>
      </c>
      <c r="AL175" s="39">
        <f t="shared" si="13"/>
        <v>0</v>
      </c>
      <c r="AM175" s="39">
        <f t="shared" si="14"/>
        <v>0</v>
      </c>
      <c r="AN175" s="39">
        <f t="shared" si="11"/>
        <v>0</v>
      </c>
      <c r="AO175" s="39">
        <f t="shared" si="12"/>
        <v>0</v>
      </c>
    </row>
    <row r="176" spans="1:41" x14ac:dyDescent="0.3">
      <c r="A176" s="20">
        <v>1000184670</v>
      </c>
      <c r="B176" s="4" t="s">
        <v>147</v>
      </c>
      <c r="C176" s="21">
        <v>1000186197</v>
      </c>
      <c r="D176" s="3" t="s">
        <v>166</v>
      </c>
      <c r="E176" s="20">
        <v>1000198600</v>
      </c>
      <c r="F176" s="4" t="s">
        <v>148</v>
      </c>
      <c r="G176" s="21">
        <v>1000198601</v>
      </c>
      <c r="H176" s="3" t="s">
        <v>149</v>
      </c>
      <c r="I176" s="21">
        <v>1000190613</v>
      </c>
      <c r="J176" s="3" t="s">
        <v>142</v>
      </c>
      <c r="K176" s="20" t="s">
        <v>16</v>
      </c>
      <c r="L176" s="39">
        <v>0</v>
      </c>
      <c r="M176" s="39">
        <v>0</v>
      </c>
      <c r="N176" s="39">
        <v>0</v>
      </c>
      <c r="O176" s="39">
        <v>0</v>
      </c>
      <c r="P176" s="39">
        <v>0</v>
      </c>
      <c r="Q176" s="39">
        <v>0</v>
      </c>
      <c r="R176" s="39">
        <v>0</v>
      </c>
      <c r="S176" s="39">
        <v>0</v>
      </c>
      <c r="T176" s="39">
        <v>0</v>
      </c>
      <c r="U176" s="39">
        <v>0</v>
      </c>
      <c r="V176" s="39">
        <v>0</v>
      </c>
      <c r="W176" s="39">
        <v>0</v>
      </c>
      <c r="X176" s="39">
        <v>0</v>
      </c>
      <c r="Y176" s="39">
        <v>0</v>
      </c>
      <c r="Z176" s="39">
        <v>0</v>
      </c>
      <c r="AA176" s="39">
        <v>0</v>
      </c>
      <c r="AB176" s="39">
        <v>0</v>
      </c>
      <c r="AC176" s="39">
        <v>0</v>
      </c>
      <c r="AD176" s="39">
        <v>0</v>
      </c>
      <c r="AE176" s="39">
        <v>0</v>
      </c>
      <c r="AF176" s="39">
        <v>0</v>
      </c>
      <c r="AG176" s="39">
        <v>0</v>
      </c>
      <c r="AH176" s="39"/>
      <c r="AI176" s="39"/>
      <c r="AJ176" s="40"/>
      <c r="AK176" s="39">
        <f t="shared" ref="AK176:AK239" si="15">AVERAGE(L176:W176)</f>
        <v>0</v>
      </c>
      <c r="AL176" s="39">
        <f t="shared" si="13"/>
        <v>0</v>
      </c>
      <c r="AM176" s="39">
        <f t="shared" si="14"/>
        <v>0</v>
      </c>
      <c r="AN176" s="39">
        <f t="shared" ref="AN176:AN239" si="16">AVERAGE(X176:AI176)</f>
        <v>0</v>
      </c>
      <c r="AO176" s="39">
        <f t="shared" ref="AO176:AO239" si="17">SUM(X176:AI176)</f>
        <v>0</v>
      </c>
    </row>
    <row r="177" spans="1:41" x14ac:dyDescent="0.3">
      <c r="A177" s="20">
        <v>1000184670</v>
      </c>
      <c r="B177" s="4" t="s">
        <v>147</v>
      </c>
      <c r="C177" s="21">
        <v>1000186197</v>
      </c>
      <c r="D177" s="3" t="s">
        <v>166</v>
      </c>
      <c r="E177" s="20">
        <v>1000198600</v>
      </c>
      <c r="F177" s="4" t="s">
        <v>148</v>
      </c>
      <c r="G177" s="21">
        <v>1000198601</v>
      </c>
      <c r="H177" s="3" t="s">
        <v>149</v>
      </c>
      <c r="I177" s="21">
        <v>1000190613</v>
      </c>
      <c r="J177" s="3" t="s">
        <v>142</v>
      </c>
      <c r="K177" s="20" t="s">
        <v>15</v>
      </c>
      <c r="L177" s="39">
        <v>0</v>
      </c>
      <c r="M177" s="39">
        <v>0</v>
      </c>
      <c r="N177" s="39">
        <v>0</v>
      </c>
      <c r="O177" s="39">
        <v>0</v>
      </c>
      <c r="P177" s="39">
        <v>0</v>
      </c>
      <c r="Q177" s="39">
        <v>0</v>
      </c>
      <c r="R177" s="39">
        <v>0</v>
      </c>
      <c r="S177" s="39">
        <v>0</v>
      </c>
      <c r="T177" s="39">
        <v>0</v>
      </c>
      <c r="U177" s="39">
        <v>0</v>
      </c>
      <c r="V177" s="39">
        <v>0</v>
      </c>
      <c r="W177" s="39">
        <v>0</v>
      </c>
      <c r="X177" s="39">
        <v>0</v>
      </c>
      <c r="Y177" s="39">
        <v>0</v>
      </c>
      <c r="Z177" s="39">
        <v>0</v>
      </c>
      <c r="AA177" s="39">
        <v>0</v>
      </c>
      <c r="AB177" s="39">
        <v>0</v>
      </c>
      <c r="AC177" s="39">
        <v>0</v>
      </c>
      <c r="AD177" s="39">
        <v>0</v>
      </c>
      <c r="AE177" s="39">
        <v>0</v>
      </c>
      <c r="AF177" s="39">
        <v>0</v>
      </c>
      <c r="AG177" s="39">
        <v>0</v>
      </c>
      <c r="AH177" s="39"/>
      <c r="AI177" s="39"/>
      <c r="AJ177" s="40"/>
      <c r="AK177" s="39">
        <f t="shared" si="15"/>
        <v>0</v>
      </c>
      <c r="AL177" s="39">
        <f t="shared" si="13"/>
        <v>0</v>
      </c>
      <c r="AM177" s="39">
        <f t="shared" si="14"/>
        <v>0</v>
      </c>
      <c r="AN177" s="39">
        <f t="shared" si="16"/>
        <v>0</v>
      </c>
      <c r="AO177" s="39">
        <f t="shared" si="17"/>
        <v>0</v>
      </c>
    </row>
    <row r="178" spans="1:41" x14ac:dyDescent="0.3">
      <c r="A178" s="20">
        <v>1000184670</v>
      </c>
      <c r="B178" s="4" t="s">
        <v>147</v>
      </c>
      <c r="C178" s="21">
        <v>1000186197</v>
      </c>
      <c r="D178" s="3" t="s">
        <v>166</v>
      </c>
      <c r="E178" s="20">
        <v>1000198600</v>
      </c>
      <c r="F178" s="4" t="s">
        <v>148</v>
      </c>
      <c r="G178" s="21">
        <v>1000198601</v>
      </c>
      <c r="H178" s="3" t="s">
        <v>149</v>
      </c>
      <c r="I178" s="21">
        <v>1000190613</v>
      </c>
      <c r="J178" s="3" t="s">
        <v>142</v>
      </c>
      <c r="K178" s="20" t="s">
        <v>33</v>
      </c>
      <c r="L178" s="39">
        <v>0</v>
      </c>
      <c r="M178" s="39">
        <v>0</v>
      </c>
      <c r="N178" s="39">
        <v>0</v>
      </c>
      <c r="O178" s="39">
        <v>0</v>
      </c>
      <c r="P178" s="39">
        <v>0</v>
      </c>
      <c r="Q178" s="39">
        <v>0</v>
      </c>
      <c r="R178" s="39">
        <v>0</v>
      </c>
      <c r="S178" s="39">
        <v>0</v>
      </c>
      <c r="T178" s="39">
        <v>0</v>
      </c>
      <c r="U178" s="39">
        <v>0</v>
      </c>
      <c r="V178" s="39">
        <v>0</v>
      </c>
      <c r="W178" s="39">
        <v>0</v>
      </c>
      <c r="X178" s="39">
        <v>0</v>
      </c>
      <c r="Y178" s="39">
        <v>0</v>
      </c>
      <c r="Z178" s="39">
        <v>0</v>
      </c>
      <c r="AA178" s="39">
        <v>0</v>
      </c>
      <c r="AB178" s="39">
        <v>0</v>
      </c>
      <c r="AC178" s="39">
        <v>0</v>
      </c>
      <c r="AD178" s="39">
        <v>0</v>
      </c>
      <c r="AE178" s="39">
        <v>0</v>
      </c>
      <c r="AF178" s="39">
        <v>0</v>
      </c>
      <c r="AG178" s="39">
        <v>0</v>
      </c>
      <c r="AH178" s="39"/>
      <c r="AI178" s="39"/>
      <c r="AJ178" s="40"/>
      <c r="AK178" s="39">
        <f t="shared" si="15"/>
        <v>0</v>
      </c>
      <c r="AL178" s="39">
        <f t="shared" si="13"/>
        <v>0</v>
      </c>
      <c r="AM178" s="39">
        <f t="shared" si="14"/>
        <v>0</v>
      </c>
      <c r="AN178" s="39">
        <f t="shared" si="16"/>
        <v>0</v>
      </c>
      <c r="AO178" s="39">
        <f t="shared" si="17"/>
        <v>0</v>
      </c>
    </row>
    <row r="179" spans="1:41" x14ac:dyDescent="0.3">
      <c r="A179" s="20">
        <v>1000184670</v>
      </c>
      <c r="B179" s="4" t="s">
        <v>147</v>
      </c>
      <c r="C179" s="21">
        <v>1000186197</v>
      </c>
      <c r="D179" s="3" t="s">
        <v>166</v>
      </c>
      <c r="E179" s="20">
        <v>1000198600</v>
      </c>
      <c r="F179" s="4" t="s">
        <v>148</v>
      </c>
      <c r="G179" s="21">
        <v>1000198601</v>
      </c>
      <c r="H179" s="3" t="s">
        <v>149</v>
      </c>
      <c r="I179" s="21">
        <v>1000190613</v>
      </c>
      <c r="J179" s="3" t="s">
        <v>142</v>
      </c>
      <c r="K179" s="20" t="s">
        <v>19</v>
      </c>
      <c r="L179" s="39">
        <v>0</v>
      </c>
      <c r="M179" s="39">
        <v>0</v>
      </c>
      <c r="N179" s="39">
        <v>0</v>
      </c>
      <c r="O179" s="39">
        <v>0</v>
      </c>
      <c r="P179" s="39">
        <v>0</v>
      </c>
      <c r="Q179" s="39">
        <v>0</v>
      </c>
      <c r="R179" s="39">
        <v>0</v>
      </c>
      <c r="S179" s="39">
        <v>0</v>
      </c>
      <c r="T179" s="39">
        <v>0</v>
      </c>
      <c r="U179" s="39">
        <v>0</v>
      </c>
      <c r="V179" s="39">
        <v>0</v>
      </c>
      <c r="W179" s="39">
        <v>0</v>
      </c>
      <c r="X179" s="39">
        <v>0</v>
      </c>
      <c r="Y179" s="39">
        <v>0</v>
      </c>
      <c r="Z179" s="39">
        <v>0</v>
      </c>
      <c r="AA179" s="39">
        <v>0</v>
      </c>
      <c r="AB179" s="39">
        <v>0</v>
      </c>
      <c r="AC179" s="39">
        <v>0</v>
      </c>
      <c r="AD179" s="39">
        <v>0</v>
      </c>
      <c r="AE179" s="39">
        <v>0</v>
      </c>
      <c r="AF179" s="39">
        <v>0</v>
      </c>
      <c r="AG179" s="39">
        <v>0</v>
      </c>
      <c r="AH179" s="39"/>
      <c r="AI179" s="39"/>
      <c r="AJ179" s="40"/>
      <c r="AK179" s="39">
        <f t="shared" si="15"/>
        <v>0</v>
      </c>
      <c r="AL179" s="39">
        <f t="shared" si="13"/>
        <v>0</v>
      </c>
      <c r="AM179" s="39">
        <f t="shared" si="14"/>
        <v>0</v>
      </c>
      <c r="AN179" s="39">
        <f t="shared" si="16"/>
        <v>0</v>
      </c>
      <c r="AO179" s="39">
        <f t="shared" si="17"/>
        <v>0</v>
      </c>
    </row>
    <row r="180" spans="1:41" x14ac:dyDescent="0.3">
      <c r="A180" s="20">
        <v>1000184670</v>
      </c>
      <c r="B180" s="4" t="s">
        <v>147</v>
      </c>
      <c r="C180" s="21">
        <v>1000186197</v>
      </c>
      <c r="D180" s="3" t="s">
        <v>166</v>
      </c>
      <c r="E180" s="20">
        <v>1000198600</v>
      </c>
      <c r="F180" s="4" t="s">
        <v>148</v>
      </c>
      <c r="G180" s="21">
        <v>1000198601</v>
      </c>
      <c r="H180" s="3" t="s">
        <v>149</v>
      </c>
      <c r="I180" s="21">
        <v>1000190613</v>
      </c>
      <c r="J180" s="3" t="s">
        <v>142</v>
      </c>
      <c r="K180" s="20" t="s">
        <v>17</v>
      </c>
      <c r="L180" s="39">
        <v>0</v>
      </c>
      <c r="M180" s="39">
        <v>0</v>
      </c>
      <c r="N180" s="39">
        <v>0</v>
      </c>
      <c r="O180" s="39">
        <v>0</v>
      </c>
      <c r="P180" s="39">
        <v>0</v>
      </c>
      <c r="Q180" s="39">
        <v>0</v>
      </c>
      <c r="R180" s="39">
        <v>0</v>
      </c>
      <c r="S180" s="39">
        <v>0</v>
      </c>
      <c r="T180" s="39">
        <v>0</v>
      </c>
      <c r="U180" s="39">
        <v>0</v>
      </c>
      <c r="V180" s="39">
        <v>0</v>
      </c>
      <c r="W180" s="39">
        <v>0</v>
      </c>
      <c r="X180" s="39">
        <v>0</v>
      </c>
      <c r="Y180" s="39">
        <v>0</v>
      </c>
      <c r="Z180" s="39">
        <v>0</v>
      </c>
      <c r="AA180" s="39">
        <v>0</v>
      </c>
      <c r="AB180" s="39">
        <v>0</v>
      </c>
      <c r="AC180" s="39">
        <v>0</v>
      </c>
      <c r="AD180" s="39">
        <v>0</v>
      </c>
      <c r="AE180" s="39">
        <v>0</v>
      </c>
      <c r="AF180" s="39">
        <v>0</v>
      </c>
      <c r="AG180" s="39">
        <v>0</v>
      </c>
      <c r="AH180" s="39"/>
      <c r="AI180" s="39"/>
      <c r="AJ180" s="40"/>
      <c r="AK180" s="39">
        <f t="shared" si="15"/>
        <v>0</v>
      </c>
      <c r="AL180" s="39">
        <f t="shared" si="13"/>
        <v>0</v>
      </c>
      <c r="AM180" s="39">
        <f t="shared" si="14"/>
        <v>0</v>
      </c>
      <c r="AN180" s="39">
        <f t="shared" si="16"/>
        <v>0</v>
      </c>
      <c r="AO180" s="39">
        <f t="shared" si="17"/>
        <v>0</v>
      </c>
    </row>
    <row r="181" spans="1:41" x14ac:dyDescent="0.3">
      <c r="A181" s="20">
        <v>1000184670</v>
      </c>
      <c r="B181" s="4" t="s">
        <v>147</v>
      </c>
      <c r="C181" s="21">
        <v>1000186197</v>
      </c>
      <c r="D181" s="3" t="s">
        <v>166</v>
      </c>
      <c r="E181" s="20">
        <v>1000198600</v>
      </c>
      <c r="F181" s="4" t="s">
        <v>148</v>
      </c>
      <c r="G181" s="21">
        <v>1000198601</v>
      </c>
      <c r="H181" s="3" t="s">
        <v>149</v>
      </c>
      <c r="I181" s="21">
        <v>1000190613</v>
      </c>
      <c r="J181" s="3" t="s">
        <v>142</v>
      </c>
      <c r="K181" s="20" t="s">
        <v>24</v>
      </c>
      <c r="L181" s="39">
        <v>0</v>
      </c>
      <c r="M181" s="39">
        <v>0</v>
      </c>
      <c r="N181" s="39">
        <v>0</v>
      </c>
      <c r="O181" s="39">
        <v>0</v>
      </c>
      <c r="P181" s="39">
        <v>0</v>
      </c>
      <c r="Q181" s="39">
        <v>0</v>
      </c>
      <c r="R181" s="39">
        <v>0</v>
      </c>
      <c r="S181" s="39">
        <v>0</v>
      </c>
      <c r="T181" s="39">
        <v>0</v>
      </c>
      <c r="U181" s="39">
        <v>0</v>
      </c>
      <c r="V181" s="39">
        <v>0</v>
      </c>
      <c r="W181" s="39">
        <v>0</v>
      </c>
      <c r="X181" s="39">
        <v>0</v>
      </c>
      <c r="Y181" s="39">
        <v>0</v>
      </c>
      <c r="Z181" s="39">
        <v>0</v>
      </c>
      <c r="AA181" s="39">
        <v>0</v>
      </c>
      <c r="AB181" s="39">
        <v>0</v>
      </c>
      <c r="AC181" s="39">
        <v>0</v>
      </c>
      <c r="AD181" s="39">
        <v>0</v>
      </c>
      <c r="AE181" s="39">
        <v>0</v>
      </c>
      <c r="AF181" s="39">
        <v>0</v>
      </c>
      <c r="AG181" s="39">
        <v>0</v>
      </c>
      <c r="AH181" s="39"/>
      <c r="AI181" s="39"/>
      <c r="AJ181" s="40"/>
      <c r="AK181" s="39">
        <f t="shared" si="15"/>
        <v>0</v>
      </c>
      <c r="AL181" s="39">
        <f t="shared" si="13"/>
        <v>0</v>
      </c>
      <c r="AM181" s="39">
        <f t="shared" si="14"/>
        <v>0</v>
      </c>
      <c r="AN181" s="39">
        <f t="shared" si="16"/>
        <v>0</v>
      </c>
      <c r="AO181" s="39">
        <f t="shared" si="17"/>
        <v>0</v>
      </c>
    </row>
    <row r="182" spans="1:41" x14ac:dyDescent="0.3">
      <c r="A182" s="20">
        <v>1000184670</v>
      </c>
      <c r="B182" s="4" t="s">
        <v>147</v>
      </c>
      <c r="C182" s="21">
        <v>1000186197</v>
      </c>
      <c r="D182" s="3" t="s">
        <v>166</v>
      </c>
      <c r="E182" s="20">
        <v>1000198600</v>
      </c>
      <c r="F182" s="4" t="s">
        <v>148</v>
      </c>
      <c r="G182" s="21">
        <v>1000198601</v>
      </c>
      <c r="H182" s="3" t="s">
        <v>149</v>
      </c>
      <c r="I182" s="21">
        <v>1000190613</v>
      </c>
      <c r="J182" s="3" t="s">
        <v>142</v>
      </c>
      <c r="K182" s="20" t="s">
        <v>18</v>
      </c>
      <c r="L182" s="39">
        <v>0</v>
      </c>
      <c r="M182" s="39">
        <v>0</v>
      </c>
      <c r="N182" s="39">
        <v>0</v>
      </c>
      <c r="O182" s="39">
        <v>0</v>
      </c>
      <c r="P182" s="39">
        <v>0</v>
      </c>
      <c r="Q182" s="39">
        <v>0</v>
      </c>
      <c r="R182" s="39">
        <v>0</v>
      </c>
      <c r="S182" s="39">
        <v>0</v>
      </c>
      <c r="T182" s="39">
        <v>0</v>
      </c>
      <c r="U182" s="39">
        <v>0</v>
      </c>
      <c r="V182" s="39">
        <v>0</v>
      </c>
      <c r="W182" s="39">
        <v>0</v>
      </c>
      <c r="X182" s="39">
        <v>0</v>
      </c>
      <c r="Y182" s="39">
        <v>0</v>
      </c>
      <c r="Z182" s="39">
        <v>0</v>
      </c>
      <c r="AA182" s="39">
        <v>0</v>
      </c>
      <c r="AB182" s="39">
        <v>0</v>
      </c>
      <c r="AC182" s="39">
        <v>0</v>
      </c>
      <c r="AD182" s="39">
        <v>0</v>
      </c>
      <c r="AE182" s="39">
        <v>0</v>
      </c>
      <c r="AF182" s="39">
        <v>0</v>
      </c>
      <c r="AG182" s="39">
        <v>0</v>
      </c>
      <c r="AH182" s="39"/>
      <c r="AI182" s="39"/>
      <c r="AJ182" s="40"/>
      <c r="AK182" s="39">
        <f t="shared" si="15"/>
        <v>0</v>
      </c>
      <c r="AL182" s="39">
        <f t="shared" si="13"/>
        <v>0</v>
      </c>
      <c r="AM182" s="39">
        <f t="shared" si="14"/>
        <v>0</v>
      </c>
      <c r="AN182" s="39">
        <f t="shared" si="16"/>
        <v>0</v>
      </c>
      <c r="AO182" s="39">
        <f t="shared" si="17"/>
        <v>0</v>
      </c>
    </row>
    <row r="183" spans="1:41" x14ac:dyDescent="0.3">
      <c r="A183" s="20">
        <v>1000184670</v>
      </c>
      <c r="B183" s="4" t="s">
        <v>147</v>
      </c>
      <c r="C183" s="21">
        <v>1000186197</v>
      </c>
      <c r="D183" s="3" t="s">
        <v>166</v>
      </c>
      <c r="E183" s="20">
        <v>1000198600</v>
      </c>
      <c r="F183" s="4" t="s">
        <v>148</v>
      </c>
      <c r="G183" s="21">
        <v>1000198601</v>
      </c>
      <c r="H183" s="3" t="s">
        <v>149</v>
      </c>
      <c r="I183" s="21">
        <v>1000190613</v>
      </c>
      <c r="J183" s="3" t="s">
        <v>142</v>
      </c>
      <c r="K183" s="20" t="s">
        <v>29</v>
      </c>
      <c r="L183" s="39">
        <v>0</v>
      </c>
      <c r="M183" s="39">
        <v>0</v>
      </c>
      <c r="N183" s="39">
        <v>0</v>
      </c>
      <c r="O183" s="39">
        <v>0</v>
      </c>
      <c r="P183" s="39">
        <v>0</v>
      </c>
      <c r="Q183" s="39">
        <v>0</v>
      </c>
      <c r="R183" s="39">
        <v>0</v>
      </c>
      <c r="S183" s="39">
        <v>0</v>
      </c>
      <c r="T183" s="39">
        <v>0</v>
      </c>
      <c r="U183" s="39">
        <v>0</v>
      </c>
      <c r="V183" s="39">
        <v>0</v>
      </c>
      <c r="W183" s="39">
        <v>0</v>
      </c>
      <c r="X183" s="39">
        <v>0</v>
      </c>
      <c r="Y183" s="39">
        <v>0</v>
      </c>
      <c r="Z183" s="39">
        <v>981.75</v>
      </c>
      <c r="AA183" s="39">
        <v>1396.26</v>
      </c>
      <c r="AB183" s="39">
        <v>0</v>
      </c>
      <c r="AC183" s="39">
        <v>0</v>
      </c>
      <c r="AD183" s="39">
        <v>0</v>
      </c>
      <c r="AE183" s="39">
        <v>1500</v>
      </c>
      <c r="AF183" s="39">
        <v>0</v>
      </c>
      <c r="AG183" s="39">
        <v>3299.16</v>
      </c>
      <c r="AH183" s="39"/>
      <c r="AI183" s="39"/>
      <c r="AJ183" s="40"/>
      <c r="AK183" s="39">
        <f t="shared" si="15"/>
        <v>0</v>
      </c>
      <c r="AL183" s="39">
        <f t="shared" si="13"/>
        <v>598.09749999999997</v>
      </c>
      <c r="AM183" s="39">
        <f t="shared" si="14"/>
        <v>799.86</v>
      </c>
      <c r="AN183" s="39">
        <f t="shared" si="16"/>
        <v>717.71699999999998</v>
      </c>
      <c r="AO183" s="39">
        <f t="shared" si="17"/>
        <v>7177.17</v>
      </c>
    </row>
    <row r="184" spans="1:41" x14ac:dyDescent="0.3">
      <c r="A184" s="20">
        <v>1000184670</v>
      </c>
      <c r="B184" s="4" t="s">
        <v>147</v>
      </c>
      <c r="C184" s="21">
        <v>1000186197</v>
      </c>
      <c r="D184" s="3" t="s">
        <v>166</v>
      </c>
      <c r="E184" s="20">
        <v>1000198600</v>
      </c>
      <c r="F184" s="4" t="s">
        <v>148</v>
      </c>
      <c r="G184" s="21">
        <v>1000198601</v>
      </c>
      <c r="H184" s="3" t="s">
        <v>149</v>
      </c>
      <c r="I184" s="21">
        <v>1000190613</v>
      </c>
      <c r="J184" s="3" t="s">
        <v>142</v>
      </c>
      <c r="K184" s="20" t="s">
        <v>21</v>
      </c>
      <c r="L184" s="39">
        <v>0</v>
      </c>
      <c r="M184" s="39">
        <v>0</v>
      </c>
      <c r="N184" s="39">
        <v>0</v>
      </c>
      <c r="O184" s="39">
        <v>0</v>
      </c>
      <c r="P184" s="39">
        <v>0</v>
      </c>
      <c r="Q184" s="39">
        <v>0</v>
      </c>
      <c r="R184" s="39">
        <v>0</v>
      </c>
      <c r="S184" s="39">
        <v>0</v>
      </c>
      <c r="T184" s="39">
        <v>0</v>
      </c>
      <c r="U184" s="39">
        <v>0</v>
      </c>
      <c r="V184" s="39">
        <v>0</v>
      </c>
      <c r="W184" s="39">
        <v>0</v>
      </c>
      <c r="X184" s="39">
        <v>0</v>
      </c>
      <c r="Y184" s="39">
        <v>0</v>
      </c>
      <c r="Z184" s="39">
        <v>0</v>
      </c>
      <c r="AA184" s="39">
        <v>0</v>
      </c>
      <c r="AB184" s="39">
        <v>0</v>
      </c>
      <c r="AC184" s="39">
        <v>0</v>
      </c>
      <c r="AD184" s="39">
        <v>0</v>
      </c>
      <c r="AE184" s="39">
        <v>0</v>
      </c>
      <c r="AF184" s="39">
        <v>0</v>
      </c>
      <c r="AG184" s="39">
        <v>0</v>
      </c>
      <c r="AH184" s="39"/>
      <c r="AI184" s="39"/>
      <c r="AJ184" s="40"/>
      <c r="AK184" s="39">
        <f t="shared" si="15"/>
        <v>0</v>
      </c>
      <c r="AL184" s="39">
        <f t="shared" si="13"/>
        <v>0</v>
      </c>
      <c r="AM184" s="39">
        <f t="shared" si="14"/>
        <v>0</v>
      </c>
      <c r="AN184" s="39">
        <f t="shared" si="16"/>
        <v>0</v>
      </c>
      <c r="AO184" s="39">
        <f t="shared" si="17"/>
        <v>0</v>
      </c>
    </row>
    <row r="185" spans="1:41" x14ac:dyDescent="0.3">
      <c r="A185" s="20">
        <v>1000184670</v>
      </c>
      <c r="B185" s="4" t="s">
        <v>147</v>
      </c>
      <c r="C185" s="21">
        <v>1000186197</v>
      </c>
      <c r="D185" s="3" t="s">
        <v>166</v>
      </c>
      <c r="E185" s="20">
        <v>1000198600</v>
      </c>
      <c r="F185" s="4" t="s">
        <v>148</v>
      </c>
      <c r="G185" s="21">
        <v>1000198601</v>
      </c>
      <c r="H185" s="3" t="s">
        <v>149</v>
      </c>
      <c r="I185" s="21">
        <v>1000190613</v>
      </c>
      <c r="J185" s="3" t="s">
        <v>142</v>
      </c>
      <c r="K185" s="20" t="s">
        <v>20</v>
      </c>
      <c r="L185" s="39">
        <v>0</v>
      </c>
      <c r="M185" s="39">
        <v>0</v>
      </c>
      <c r="N185" s="39">
        <v>0</v>
      </c>
      <c r="O185" s="39">
        <v>0</v>
      </c>
      <c r="P185" s="39">
        <v>0</v>
      </c>
      <c r="Q185" s="39">
        <v>0</v>
      </c>
      <c r="R185" s="39">
        <v>0</v>
      </c>
      <c r="S185" s="39">
        <v>0</v>
      </c>
      <c r="T185" s="39">
        <v>0</v>
      </c>
      <c r="U185" s="39">
        <v>0</v>
      </c>
      <c r="V185" s="39">
        <v>0</v>
      </c>
      <c r="W185" s="39">
        <v>0</v>
      </c>
      <c r="X185" s="39">
        <v>0</v>
      </c>
      <c r="Y185" s="39">
        <v>0</v>
      </c>
      <c r="Z185" s="39">
        <v>0</v>
      </c>
      <c r="AA185" s="39">
        <v>0</v>
      </c>
      <c r="AB185" s="39">
        <v>0</v>
      </c>
      <c r="AC185" s="39">
        <v>0</v>
      </c>
      <c r="AD185" s="39">
        <v>0</v>
      </c>
      <c r="AE185" s="39">
        <v>0</v>
      </c>
      <c r="AF185" s="39">
        <v>0</v>
      </c>
      <c r="AG185" s="39">
        <v>0</v>
      </c>
      <c r="AH185" s="39"/>
      <c r="AI185" s="39"/>
      <c r="AJ185" s="40"/>
      <c r="AK185" s="39">
        <f t="shared" si="15"/>
        <v>0</v>
      </c>
      <c r="AL185" s="39">
        <f t="shared" si="13"/>
        <v>0</v>
      </c>
      <c r="AM185" s="39">
        <f t="shared" si="14"/>
        <v>0</v>
      </c>
      <c r="AN185" s="39">
        <f t="shared" si="16"/>
        <v>0</v>
      </c>
      <c r="AO185" s="39">
        <f t="shared" si="17"/>
        <v>0</v>
      </c>
    </row>
    <row r="186" spans="1:41" x14ac:dyDescent="0.3">
      <c r="A186" s="20">
        <v>1000184670</v>
      </c>
      <c r="B186" s="4" t="s">
        <v>147</v>
      </c>
      <c r="C186" s="21">
        <v>1000186197</v>
      </c>
      <c r="D186" s="3" t="s">
        <v>166</v>
      </c>
      <c r="E186" s="20">
        <v>1000198600</v>
      </c>
      <c r="F186" s="4" t="s">
        <v>148</v>
      </c>
      <c r="G186" s="21">
        <v>1000198601</v>
      </c>
      <c r="H186" s="3" t="s">
        <v>149</v>
      </c>
      <c r="I186" s="21">
        <v>1000190613</v>
      </c>
      <c r="J186" s="3" t="s">
        <v>142</v>
      </c>
      <c r="K186" s="20" t="s">
        <v>22</v>
      </c>
      <c r="L186" s="39">
        <v>0</v>
      </c>
      <c r="M186" s="39">
        <v>0</v>
      </c>
      <c r="N186" s="39">
        <v>0</v>
      </c>
      <c r="O186" s="39">
        <v>0</v>
      </c>
      <c r="P186" s="39">
        <v>0</v>
      </c>
      <c r="Q186" s="39">
        <v>0</v>
      </c>
      <c r="R186" s="39">
        <v>0</v>
      </c>
      <c r="S186" s="39">
        <v>0</v>
      </c>
      <c r="T186" s="39">
        <v>0</v>
      </c>
      <c r="U186" s="39">
        <v>0</v>
      </c>
      <c r="V186" s="39">
        <v>0</v>
      </c>
      <c r="W186" s="39">
        <v>0</v>
      </c>
      <c r="X186" s="39">
        <v>0</v>
      </c>
      <c r="Y186" s="39">
        <v>0</v>
      </c>
      <c r="Z186" s="39">
        <v>0</v>
      </c>
      <c r="AA186" s="39">
        <v>0</v>
      </c>
      <c r="AB186" s="39">
        <v>0</v>
      </c>
      <c r="AC186" s="39">
        <v>0</v>
      </c>
      <c r="AD186" s="39">
        <v>0</v>
      </c>
      <c r="AE186" s="39">
        <v>0</v>
      </c>
      <c r="AF186" s="39">
        <v>0</v>
      </c>
      <c r="AG186" s="39">
        <v>0</v>
      </c>
      <c r="AH186" s="39"/>
      <c r="AI186" s="39"/>
      <c r="AJ186" s="40"/>
      <c r="AK186" s="39">
        <f t="shared" si="15"/>
        <v>0</v>
      </c>
      <c r="AL186" s="39">
        <f t="shared" si="13"/>
        <v>0</v>
      </c>
      <c r="AM186" s="39">
        <f t="shared" si="14"/>
        <v>0</v>
      </c>
      <c r="AN186" s="39">
        <f t="shared" si="16"/>
        <v>0</v>
      </c>
      <c r="AO186" s="39">
        <f t="shared" si="17"/>
        <v>0</v>
      </c>
    </row>
    <row r="187" spans="1:41" x14ac:dyDescent="0.3">
      <c r="A187" s="20">
        <v>1000184670</v>
      </c>
      <c r="B187" s="4" t="s">
        <v>147</v>
      </c>
      <c r="C187" s="21">
        <v>1000186197</v>
      </c>
      <c r="D187" s="3" t="s">
        <v>166</v>
      </c>
      <c r="E187" s="20">
        <v>1000198600</v>
      </c>
      <c r="F187" s="4" t="s">
        <v>148</v>
      </c>
      <c r="G187" s="21">
        <v>1000198601</v>
      </c>
      <c r="H187" s="3" t="s">
        <v>149</v>
      </c>
      <c r="I187" s="21">
        <v>1000190613</v>
      </c>
      <c r="J187" s="3" t="s">
        <v>142</v>
      </c>
      <c r="K187" s="20" t="s">
        <v>23</v>
      </c>
      <c r="L187" s="39">
        <v>0</v>
      </c>
      <c r="M187" s="39">
        <v>0</v>
      </c>
      <c r="N187" s="39">
        <v>0</v>
      </c>
      <c r="O187" s="39">
        <v>0</v>
      </c>
      <c r="P187" s="39">
        <v>0</v>
      </c>
      <c r="Q187" s="39">
        <v>0</v>
      </c>
      <c r="R187" s="39">
        <v>0</v>
      </c>
      <c r="S187" s="39">
        <v>0</v>
      </c>
      <c r="T187" s="39">
        <v>0</v>
      </c>
      <c r="U187" s="39">
        <v>0</v>
      </c>
      <c r="V187" s="39">
        <v>0</v>
      </c>
      <c r="W187" s="39">
        <v>0</v>
      </c>
      <c r="X187" s="39">
        <v>0</v>
      </c>
      <c r="Y187" s="39">
        <v>0</v>
      </c>
      <c r="Z187" s="39">
        <v>0</v>
      </c>
      <c r="AA187" s="39">
        <v>0</v>
      </c>
      <c r="AB187" s="39">
        <v>0</v>
      </c>
      <c r="AC187" s="39">
        <v>0</v>
      </c>
      <c r="AD187" s="39">
        <v>0</v>
      </c>
      <c r="AE187" s="39">
        <v>0</v>
      </c>
      <c r="AF187" s="39">
        <v>0</v>
      </c>
      <c r="AG187" s="39">
        <v>0</v>
      </c>
      <c r="AH187" s="39"/>
      <c r="AI187" s="39"/>
      <c r="AJ187" s="40"/>
      <c r="AK187" s="39">
        <f t="shared" si="15"/>
        <v>0</v>
      </c>
      <c r="AL187" s="39">
        <f t="shared" si="13"/>
        <v>0</v>
      </c>
      <c r="AM187" s="39">
        <f t="shared" si="14"/>
        <v>0</v>
      </c>
      <c r="AN187" s="39">
        <f t="shared" si="16"/>
        <v>0</v>
      </c>
      <c r="AO187" s="39">
        <f t="shared" si="17"/>
        <v>0</v>
      </c>
    </row>
    <row r="188" spans="1:41" x14ac:dyDescent="0.3">
      <c r="A188" s="20">
        <v>1000184670</v>
      </c>
      <c r="B188" s="4" t="s">
        <v>147</v>
      </c>
      <c r="C188" s="21">
        <v>1000186197</v>
      </c>
      <c r="D188" s="3" t="s">
        <v>166</v>
      </c>
      <c r="E188" s="20">
        <v>1000198600</v>
      </c>
      <c r="F188" s="4" t="s">
        <v>148</v>
      </c>
      <c r="G188" s="21">
        <v>1000198601</v>
      </c>
      <c r="H188" s="3" t="s">
        <v>149</v>
      </c>
      <c r="I188" s="21">
        <v>1000190613</v>
      </c>
      <c r="J188" s="3" t="s">
        <v>142</v>
      </c>
      <c r="K188" s="20" t="s">
        <v>28</v>
      </c>
      <c r="L188" s="39">
        <v>0</v>
      </c>
      <c r="M188" s="39">
        <v>0</v>
      </c>
      <c r="N188" s="39">
        <v>0</v>
      </c>
      <c r="O188" s="39">
        <v>0</v>
      </c>
      <c r="P188" s="39">
        <v>0</v>
      </c>
      <c r="Q188" s="39">
        <v>0</v>
      </c>
      <c r="R188" s="39">
        <v>0</v>
      </c>
      <c r="S188" s="39">
        <v>0</v>
      </c>
      <c r="T188" s="39">
        <v>0</v>
      </c>
      <c r="U188" s="39">
        <v>0</v>
      </c>
      <c r="V188" s="39">
        <v>0</v>
      </c>
      <c r="W188" s="39">
        <v>0</v>
      </c>
      <c r="X188" s="39">
        <v>0</v>
      </c>
      <c r="Y188" s="39">
        <v>0</v>
      </c>
      <c r="Z188" s="39">
        <v>0</v>
      </c>
      <c r="AA188" s="39">
        <v>0</v>
      </c>
      <c r="AB188" s="39">
        <v>0</v>
      </c>
      <c r="AC188" s="39">
        <v>0</v>
      </c>
      <c r="AD188" s="39">
        <v>0</v>
      </c>
      <c r="AE188" s="39">
        <v>0</v>
      </c>
      <c r="AF188" s="39">
        <v>0</v>
      </c>
      <c r="AG188" s="39">
        <v>0</v>
      </c>
      <c r="AH188" s="39"/>
      <c r="AI188" s="39"/>
      <c r="AJ188" s="40"/>
      <c r="AK188" s="39">
        <f t="shared" si="15"/>
        <v>0</v>
      </c>
      <c r="AL188" s="39">
        <f t="shared" si="13"/>
        <v>0</v>
      </c>
      <c r="AM188" s="39">
        <f t="shared" si="14"/>
        <v>0</v>
      </c>
      <c r="AN188" s="39">
        <f t="shared" si="16"/>
        <v>0</v>
      </c>
      <c r="AO188" s="39">
        <f t="shared" si="17"/>
        <v>0</v>
      </c>
    </row>
    <row r="189" spans="1:41" x14ac:dyDescent="0.3">
      <c r="A189" s="20">
        <v>1000184670</v>
      </c>
      <c r="B189" s="4" t="s">
        <v>147</v>
      </c>
      <c r="C189" s="21">
        <v>1000186197</v>
      </c>
      <c r="D189" s="3" t="s">
        <v>166</v>
      </c>
      <c r="E189" s="20">
        <v>1000198600</v>
      </c>
      <c r="F189" s="4" t="s">
        <v>148</v>
      </c>
      <c r="G189" s="21">
        <v>1000198601</v>
      </c>
      <c r="H189" s="3" t="s">
        <v>149</v>
      </c>
      <c r="I189" s="21">
        <v>1000190613</v>
      </c>
      <c r="J189" s="3" t="s">
        <v>142</v>
      </c>
      <c r="K189" s="20" t="s">
        <v>26</v>
      </c>
      <c r="L189" s="39">
        <v>0</v>
      </c>
      <c r="M189" s="39">
        <v>0</v>
      </c>
      <c r="N189" s="39">
        <v>0</v>
      </c>
      <c r="O189" s="39">
        <v>0</v>
      </c>
      <c r="P189" s="39">
        <v>0</v>
      </c>
      <c r="Q189" s="39">
        <v>0</v>
      </c>
      <c r="R189" s="39">
        <v>0</v>
      </c>
      <c r="S189" s="39">
        <v>0</v>
      </c>
      <c r="T189" s="39">
        <v>0</v>
      </c>
      <c r="U189" s="39">
        <v>0</v>
      </c>
      <c r="V189" s="39">
        <v>0</v>
      </c>
      <c r="W189" s="39">
        <v>0</v>
      </c>
      <c r="X189" s="39">
        <v>0</v>
      </c>
      <c r="Y189" s="39">
        <v>0</v>
      </c>
      <c r="Z189" s="39">
        <v>0</v>
      </c>
      <c r="AA189" s="39">
        <v>0</v>
      </c>
      <c r="AB189" s="39">
        <v>0</v>
      </c>
      <c r="AC189" s="39">
        <v>0</v>
      </c>
      <c r="AD189" s="39">
        <v>0</v>
      </c>
      <c r="AE189" s="39">
        <v>0</v>
      </c>
      <c r="AF189" s="39">
        <v>0</v>
      </c>
      <c r="AG189" s="39">
        <v>0</v>
      </c>
      <c r="AH189" s="39"/>
      <c r="AI189" s="39"/>
      <c r="AJ189" s="40"/>
      <c r="AK189" s="39">
        <f t="shared" si="15"/>
        <v>0</v>
      </c>
      <c r="AL189" s="39">
        <f t="shared" si="13"/>
        <v>0</v>
      </c>
      <c r="AM189" s="39">
        <f t="shared" si="14"/>
        <v>0</v>
      </c>
      <c r="AN189" s="39">
        <f t="shared" si="16"/>
        <v>0</v>
      </c>
      <c r="AO189" s="39">
        <f t="shared" si="17"/>
        <v>0</v>
      </c>
    </row>
    <row r="190" spans="1:41" x14ac:dyDescent="0.3">
      <c r="A190" s="20">
        <v>1000184670</v>
      </c>
      <c r="B190" s="4" t="s">
        <v>147</v>
      </c>
      <c r="C190" s="21">
        <v>1000186197</v>
      </c>
      <c r="D190" s="3" t="s">
        <v>166</v>
      </c>
      <c r="E190" s="20">
        <v>1000198600</v>
      </c>
      <c r="F190" s="4" t="s">
        <v>148</v>
      </c>
      <c r="G190" s="21">
        <v>1000198601</v>
      </c>
      <c r="H190" s="3" t="s">
        <v>149</v>
      </c>
      <c r="I190" s="21">
        <v>1000190613</v>
      </c>
      <c r="J190" s="3" t="s">
        <v>142</v>
      </c>
      <c r="K190" s="20" t="s">
        <v>27</v>
      </c>
      <c r="L190" s="39">
        <v>0</v>
      </c>
      <c r="M190" s="39">
        <v>0</v>
      </c>
      <c r="N190" s="39">
        <v>0</v>
      </c>
      <c r="O190" s="39">
        <v>0</v>
      </c>
      <c r="P190" s="39">
        <v>0</v>
      </c>
      <c r="Q190" s="39">
        <v>0</v>
      </c>
      <c r="R190" s="39">
        <v>0</v>
      </c>
      <c r="S190" s="39">
        <v>0</v>
      </c>
      <c r="T190" s="39">
        <v>0</v>
      </c>
      <c r="U190" s="39">
        <v>0</v>
      </c>
      <c r="V190" s="39">
        <v>0</v>
      </c>
      <c r="W190" s="39">
        <v>0</v>
      </c>
      <c r="X190" s="39">
        <v>0</v>
      </c>
      <c r="Y190" s="39">
        <v>0</v>
      </c>
      <c r="Z190" s="39">
        <v>0</v>
      </c>
      <c r="AA190" s="39">
        <v>0</v>
      </c>
      <c r="AB190" s="39">
        <v>0</v>
      </c>
      <c r="AC190" s="39">
        <v>0</v>
      </c>
      <c r="AD190" s="39">
        <v>0</v>
      </c>
      <c r="AE190" s="39">
        <v>0</v>
      </c>
      <c r="AF190" s="39">
        <v>0</v>
      </c>
      <c r="AG190" s="39">
        <v>84.01</v>
      </c>
      <c r="AH190" s="39"/>
      <c r="AI190" s="39"/>
      <c r="AJ190" s="40"/>
      <c r="AK190" s="39">
        <f t="shared" si="15"/>
        <v>0</v>
      </c>
      <c r="AL190" s="39">
        <f t="shared" si="13"/>
        <v>7.0008333333333335</v>
      </c>
      <c r="AM190" s="39">
        <f t="shared" si="14"/>
        <v>14.001666666666667</v>
      </c>
      <c r="AN190" s="39">
        <f t="shared" si="16"/>
        <v>8.4009999999999998</v>
      </c>
      <c r="AO190" s="39">
        <f t="shared" si="17"/>
        <v>84.01</v>
      </c>
    </row>
    <row r="191" spans="1:41" x14ac:dyDescent="0.3">
      <c r="A191" s="20">
        <v>1000184670</v>
      </c>
      <c r="B191" s="4" t="s">
        <v>147</v>
      </c>
      <c r="C191" s="21">
        <v>1000186197</v>
      </c>
      <c r="D191" s="3" t="s">
        <v>166</v>
      </c>
      <c r="E191" s="20">
        <v>1000198600</v>
      </c>
      <c r="F191" s="4" t="s">
        <v>148</v>
      </c>
      <c r="G191" s="21">
        <v>1000198601</v>
      </c>
      <c r="H191" s="3" t="s">
        <v>149</v>
      </c>
      <c r="I191" s="21">
        <v>1000190613</v>
      </c>
      <c r="J191" s="3" t="s">
        <v>142</v>
      </c>
      <c r="K191" s="20" t="s">
        <v>25</v>
      </c>
      <c r="L191" s="39">
        <v>0</v>
      </c>
      <c r="M191" s="39">
        <v>0</v>
      </c>
      <c r="N191" s="39">
        <v>0</v>
      </c>
      <c r="O191" s="39">
        <v>0</v>
      </c>
      <c r="P191" s="39">
        <v>0</v>
      </c>
      <c r="Q191" s="39">
        <v>0</v>
      </c>
      <c r="R191" s="39">
        <v>0</v>
      </c>
      <c r="S191" s="39">
        <v>0</v>
      </c>
      <c r="T191" s="39">
        <v>0</v>
      </c>
      <c r="U191" s="39">
        <v>0</v>
      </c>
      <c r="V191" s="39">
        <v>0</v>
      </c>
      <c r="W191" s="39">
        <v>0</v>
      </c>
      <c r="X191" s="39">
        <v>0</v>
      </c>
      <c r="Y191" s="39">
        <v>0</v>
      </c>
      <c r="Z191" s="39">
        <v>0</v>
      </c>
      <c r="AA191" s="39">
        <v>0</v>
      </c>
      <c r="AB191" s="39">
        <v>0</v>
      </c>
      <c r="AC191" s="39">
        <v>0</v>
      </c>
      <c r="AD191" s="39">
        <v>0</v>
      </c>
      <c r="AE191" s="39">
        <v>0</v>
      </c>
      <c r="AF191" s="39">
        <v>0</v>
      </c>
      <c r="AG191" s="39">
        <v>0</v>
      </c>
      <c r="AH191" s="39"/>
      <c r="AI191" s="39"/>
      <c r="AJ191" s="40"/>
      <c r="AK191" s="39">
        <f t="shared" si="15"/>
        <v>0</v>
      </c>
      <c r="AL191" s="39">
        <f t="shared" si="13"/>
        <v>0</v>
      </c>
      <c r="AM191" s="39">
        <f t="shared" si="14"/>
        <v>0</v>
      </c>
      <c r="AN191" s="39">
        <f t="shared" si="16"/>
        <v>0</v>
      </c>
      <c r="AO191" s="39">
        <f t="shared" si="17"/>
        <v>0</v>
      </c>
    </row>
    <row r="192" spans="1:41" x14ac:dyDescent="0.3">
      <c r="A192" s="20">
        <v>1000184670</v>
      </c>
      <c r="B192" s="4" t="s">
        <v>147</v>
      </c>
      <c r="C192" s="21">
        <v>1000186197</v>
      </c>
      <c r="D192" s="3" t="s">
        <v>166</v>
      </c>
      <c r="E192" s="20">
        <v>1000185288</v>
      </c>
      <c r="F192" s="4" t="s">
        <v>64</v>
      </c>
      <c r="G192" s="21">
        <v>1000189807</v>
      </c>
      <c r="H192" s="3" t="s">
        <v>81</v>
      </c>
      <c r="I192" s="21">
        <v>1000189758</v>
      </c>
      <c r="J192" s="3" t="s">
        <v>159</v>
      </c>
      <c r="K192" s="20" t="s">
        <v>124</v>
      </c>
      <c r="L192" s="39">
        <v>0</v>
      </c>
      <c r="M192" s="39">
        <v>0</v>
      </c>
      <c r="N192" s="39">
        <v>0</v>
      </c>
      <c r="O192" s="39">
        <v>0</v>
      </c>
      <c r="P192" s="39">
        <v>0</v>
      </c>
      <c r="Q192" s="39">
        <v>0</v>
      </c>
      <c r="R192" s="39">
        <v>0</v>
      </c>
      <c r="S192" s="39">
        <v>0</v>
      </c>
      <c r="T192" s="39">
        <v>0</v>
      </c>
      <c r="U192" s="39">
        <v>0</v>
      </c>
      <c r="V192" s="39">
        <v>0</v>
      </c>
      <c r="W192" s="39">
        <v>0</v>
      </c>
      <c r="X192" s="39">
        <v>0</v>
      </c>
      <c r="Y192" s="39">
        <v>0</v>
      </c>
      <c r="Z192" s="39">
        <v>0</v>
      </c>
      <c r="AA192" s="39">
        <v>0</v>
      </c>
      <c r="AB192" s="39">
        <v>0</v>
      </c>
      <c r="AC192" s="39">
        <v>0</v>
      </c>
      <c r="AD192" s="39">
        <v>0</v>
      </c>
      <c r="AE192" s="39">
        <v>0</v>
      </c>
      <c r="AF192" s="39">
        <v>0</v>
      </c>
      <c r="AG192" s="39">
        <v>0</v>
      </c>
      <c r="AH192" s="39"/>
      <c r="AI192" s="39"/>
      <c r="AJ192" s="40"/>
      <c r="AK192" s="39">
        <f t="shared" si="15"/>
        <v>0</v>
      </c>
      <c r="AL192" s="39">
        <f t="shared" si="13"/>
        <v>0</v>
      </c>
      <c r="AM192" s="39">
        <f t="shared" si="14"/>
        <v>0</v>
      </c>
      <c r="AN192" s="39">
        <f t="shared" si="16"/>
        <v>0</v>
      </c>
      <c r="AO192" s="39">
        <f t="shared" si="17"/>
        <v>0</v>
      </c>
    </row>
    <row r="193" spans="1:41" x14ac:dyDescent="0.3">
      <c r="A193" s="20">
        <v>1000184670</v>
      </c>
      <c r="B193" s="4" t="s">
        <v>147</v>
      </c>
      <c r="C193" s="21">
        <v>1000186197</v>
      </c>
      <c r="D193" s="3" t="s">
        <v>166</v>
      </c>
      <c r="E193" s="20">
        <v>1000185288</v>
      </c>
      <c r="F193" s="4" t="s">
        <v>64</v>
      </c>
      <c r="G193" s="21">
        <v>1000189807</v>
      </c>
      <c r="H193" s="3" t="s">
        <v>81</v>
      </c>
      <c r="I193" s="21">
        <v>1000189758</v>
      </c>
      <c r="J193" s="3" t="s">
        <v>159</v>
      </c>
      <c r="K193" s="20" t="s">
        <v>13</v>
      </c>
      <c r="L193" s="39">
        <v>0</v>
      </c>
      <c r="M193" s="39">
        <v>0</v>
      </c>
      <c r="N193" s="39">
        <v>0</v>
      </c>
      <c r="O193" s="39">
        <v>667.25</v>
      </c>
      <c r="P193" s="39">
        <v>367.2</v>
      </c>
      <c r="Q193" s="39">
        <v>776.88</v>
      </c>
      <c r="R193" s="39">
        <v>0</v>
      </c>
      <c r="S193" s="39">
        <v>0</v>
      </c>
      <c r="T193" s="39">
        <v>0</v>
      </c>
      <c r="U193" s="39">
        <v>0</v>
      </c>
      <c r="V193" s="39">
        <v>0</v>
      </c>
      <c r="W193" s="39">
        <v>0</v>
      </c>
      <c r="X193" s="39">
        <v>0</v>
      </c>
      <c r="Y193" s="39">
        <v>0</v>
      </c>
      <c r="Z193" s="39">
        <v>0</v>
      </c>
      <c r="AA193" s="39">
        <v>0</v>
      </c>
      <c r="AB193" s="39">
        <v>0</v>
      </c>
      <c r="AC193" s="39">
        <v>0</v>
      </c>
      <c r="AD193" s="39">
        <v>413.15</v>
      </c>
      <c r="AE193" s="39">
        <v>269.32</v>
      </c>
      <c r="AF193" s="39">
        <v>401.04</v>
      </c>
      <c r="AG193" s="39">
        <v>319.68</v>
      </c>
      <c r="AH193" s="39"/>
      <c r="AI193" s="39"/>
      <c r="AJ193" s="40"/>
      <c r="AK193" s="39">
        <f t="shared" si="15"/>
        <v>150.94416666666666</v>
      </c>
      <c r="AL193" s="39">
        <f t="shared" si="13"/>
        <v>116.9325</v>
      </c>
      <c r="AM193" s="39">
        <f t="shared" si="14"/>
        <v>233.86500000000001</v>
      </c>
      <c r="AN193" s="39">
        <f t="shared" si="16"/>
        <v>140.31900000000002</v>
      </c>
      <c r="AO193" s="39">
        <f t="shared" si="17"/>
        <v>1403.19</v>
      </c>
    </row>
    <row r="194" spans="1:41" x14ac:dyDescent="0.3">
      <c r="A194" s="20">
        <v>1000184670</v>
      </c>
      <c r="B194" s="4" t="s">
        <v>147</v>
      </c>
      <c r="C194" s="21">
        <v>1000186197</v>
      </c>
      <c r="D194" s="3" t="s">
        <v>166</v>
      </c>
      <c r="E194" s="20">
        <v>1000185288</v>
      </c>
      <c r="F194" s="4" t="s">
        <v>64</v>
      </c>
      <c r="G194" s="21">
        <v>1000189807</v>
      </c>
      <c r="H194" s="3" t="s">
        <v>81</v>
      </c>
      <c r="I194" s="21">
        <v>1000189758</v>
      </c>
      <c r="J194" s="3" t="s">
        <v>159</v>
      </c>
      <c r="K194" s="20" t="s">
        <v>14</v>
      </c>
      <c r="L194" s="39">
        <v>0</v>
      </c>
      <c r="M194" s="39">
        <v>0</v>
      </c>
      <c r="N194" s="39">
        <v>0</v>
      </c>
      <c r="O194" s="39">
        <v>2442.96</v>
      </c>
      <c r="P194" s="39">
        <v>252</v>
      </c>
      <c r="Q194" s="39">
        <v>2268</v>
      </c>
      <c r="R194" s="39">
        <v>0</v>
      </c>
      <c r="S194" s="39">
        <v>0</v>
      </c>
      <c r="T194" s="39">
        <v>0</v>
      </c>
      <c r="U194" s="39">
        <v>0</v>
      </c>
      <c r="V194" s="39">
        <v>0</v>
      </c>
      <c r="W194" s="39">
        <v>0</v>
      </c>
      <c r="X194" s="39">
        <v>0</v>
      </c>
      <c r="Y194" s="39">
        <v>0</v>
      </c>
      <c r="Z194" s="39">
        <v>0</v>
      </c>
      <c r="AA194" s="39">
        <v>0</v>
      </c>
      <c r="AB194" s="39">
        <v>0</v>
      </c>
      <c r="AC194" s="39">
        <v>0</v>
      </c>
      <c r="AD194" s="39">
        <v>0</v>
      </c>
      <c r="AE194" s="39">
        <v>0</v>
      </c>
      <c r="AF194" s="39">
        <v>0</v>
      </c>
      <c r="AG194" s="39">
        <v>0</v>
      </c>
      <c r="AH194" s="39"/>
      <c r="AI194" s="39"/>
      <c r="AJ194" s="40"/>
      <c r="AK194" s="39">
        <f t="shared" si="15"/>
        <v>413.58</v>
      </c>
      <c r="AL194" s="39">
        <f t="shared" si="13"/>
        <v>0</v>
      </c>
      <c r="AM194" s="39">
        <f t="shared" si="14"/>
        <v>0</v>
      </c>
      <c r="AN194" s="39">
        <f t="shared" si="16"/>
        <v>0</v>
      </c>
      <c r="AO194" s="39">
        <f t="shared" si="17"/>
        <v>0</v>
      </c>
    </row>
    <row r="195" spans="1:41" x14ac:dyDescent="0.3">
      <c r="A195" s="20">
        <v>1000184670</v>
      </c>
      <c r="B195" s="4" t="s">
        <v>147</v>
      </c>
      <c r="C195" s="21">
        <v>1000186197</v>
      </c>
      <c r="D195" s="3" t="s">
        <v>166</v>
      </c>
      <c r="E195" s="20">
        <v>1000185288</v>
      </c>
      <c r="F195" s="4" t="s">
        <v>64</v>
      </c>
      <c r="G195" s="21">
        <v>1000189807</v>
      </c>
      <c r="H195" s="3" t="s">
        <v>81</v>
      </c>
      <c r="I195" s="21">
        <v>1000189758</v>
      </c>
      <c r="J195" s="3" t="s">
        <v>159</v>
      </c>
      <c r="K195" s="20" t="s">
        <v>16</v>
      </c>
      <c r="L195" s="39">
        <v>0</v>
      </c>
      <c r="M195" s="39">
        <v>0</v>
      </c>
      <c r="N195" s="39">
        <v>0</v>
      </c>
      <c r="O195" s="39">
        <v>0</v>
      </c>
      <c r="P195" s="39">
        <v>0</v>
      </c>
      <c r="Q195" s="39">
        <v>0</v>
      </c>
      <c r="R195" s="39">
        <v>0</v>
      </c>
      <c r="S195" s="39">
        <v>0</v>
      </c>
      <c r="T195" s="39">
        <v>0</v>
      </c>
      <c r="U195" s="39">
        <v>0</v>
      </c>
      <c r="V195" s="39">
        <v>0</v>
      </c>
      <c r="W195" s="39">
        <v>0</v>
      </c>
      <c r="X195" s="39">
        <v>0</v>
      </c>
      <c r="Y195" s="39">
        <v>0</v>
      </c>
      <c r="Z195" s="39">
        <v>0</v>
      </c>
      <c r="AA195" s="39">
        <v>0</v>
      </c>
      <c r="AB195" s="39">
        <v>0</v>
      </c>
      <c r="AC195" s="39">
        <v>0</v>
      </c>
      <c r="AD195" s="39">
        <v>0</v>
      </c>
      <c r="AE195" s="39">
        <v>0</v>
      </c>
      <c r="AF195" s="39">
        <v>0</v>
      </c>
      <c r="AG195" s="39">
        <v>0</v>
      </c>
      <c r="AH195" s="39"/>
      <c r="AI195" s="39"/>
      <c r="AJ195" s="40"/>
      <c r="AK195" s="39">
        <f t="shared" si="15"/>
        <v>0</v>
      </c>
      <c r="AL195" s="39">
        <f t="shared" ref="AL195:AL258" si="18">AVERAGE(V195:AG195)</f>
        <v>0</v>
      </c>
      <c r="AM195" s="39">
        <f t="shared" ref="AM195:AM258" si="19">AVERAGE(AB195:AG195)</f>
        <v>0</v>
      </c>
      <c r="AN195" s="39">
        <f t="shared" si="16"/>
        <v>0</v>
      </c>
      <c r="AO195" s="39">
        <f t="shared" si="17"/>
        <v>0</v>
      </c>
    </row>
    <row r="196" spans="1:41" x14ac:dyDescent="0.3">
      <c r="A196" s="20">
        <v>1000184670</v>
      </c>
      <c r="B196" s="4" t="s">
        <v>147</v>
      </c>
      <c r="C196" s="21">
        <v>1000186197</v>
      </c>
      <c r="D196" s="3" t="s">
        <v>166</v>
      </c>
      <c r="E196" s="20">
        <v>1000185288</v>
      </c>
      <c r="F196" s="4" t="s">
        <v>64</v>
      </c>
      <c r="G196" s="21">
        <v>1000189807</v>
      </c>
      <c r="H196" s="3" t="s">
        <v>81</v>
      </c>
      <c r="I196" s="21">
        <v>1000189758</v>
      </c>
      <c r="J196" s="3" t="s">
        <v>159</v>
      </c>
      <c r="K196" s="20" t="s">
        <v>15</v>
      </c>
      <c r="L196" s="39">
        <v>0</v>
      </c>
      <c r="M196" s="39">
        <v>0</v>
      </c>
      <c r="N196" s="39">
        <v>0</v>
      </c>
      <c r="O196" s="39">
        <v>0</v>
      </c>
      <c r="P196" s="39">
        <v>0</v>
      </c>
      <c r="Q196" s="39">
        <v>0</v>
      </c>
      <c r="R196" s="39">
        <v>0</v>
      </c>
      <c r="S196" s="39">
        <v>0</v>
      </c>
      <c r="T196" s="39">
        <v>0</v>
      </c>
      <c r="U196" s="39">
        <v>0</v>
      </c>
      <c r="V196" s="39">
        <v>0</v>
      </c>
      <c r="W196" s="39">
        <v>0</v>
      </c>
      <c r="X196" s="39">
        <v>0</v>
      </c>
      <c r="Y196" s="39">
        <v>0</v>
      </c>
      <c r="Z196" s="39">
        <v>0</v>
      </c>
      <c r="AA196" s="39">
        <v>0</v>
      </c>
      <c r="AB196" s="39">
        <v>0</v>
      </c>
      <c r="AC196" s="39">
        <v>0</v>
      </c>
      <c r="AD196" s="39">
        <v>0</v>
      </c>
      <c r="AE196" s="39">
        <v>0</v>
      </c>
      <c r="AF196" s="39">
        <v>0</v>
      </c>
      <c r="AG196" s="39">
        <v>0</v>
      </c>
      <c r="AH196" s="39"/>
      <c r="AI196" s="39"/>
      <c r="AJ196" s="40"/>
      <c r="AK196" s="39">
        <f t="shared" si="15"/>
        <v>0</v>
      </c>
      <c r="AL196" s="39">
        <f t="shared" si="18"/>
        <v>0</v>
      </c>
      <c r="AM196" s="39">
        <f t="shared" si="19"/>
        <v>0</v>
      </c>
      <c r="AN196" s="39">
        <f t="shared" si="16"/>
        <v>0</v>
      </c>
      <c r="AO196" s="39">
        <f t="shared" si="17"/>
        <v>0</v>
      </c>
    </row>
    <row r="197" spans="1:41" x14ac:dyDescent="0.3">
      <c r="A197" s="20">
        <v>1000184670</v>
      </c>
      <c r="B197" s="4" t="s">
        <v>147</v>
      </c>
      <c r="C197" s="21">
        <v>1000186197</v>
      </c>
      <c r="D197" s="3" t="s">
        <v>166</v>
      </c>
      <c r="E197" s="20">
        <v>1000185288</v>
      </c>
      <c r="F197" s="4" t="s">
        <v>64</v>
      </c>
      <c r="G197" s="21">
        <v>1000189807</v>
      </c>
      <c r="H197" s="3" t="s">
        <v>81</v>
      </c>
      <c r="I197" s="21">
        <v>1000189758</v>
      </c>
      <c r="J197" s="3" t="s">
        <v>159</v>
      </c>
      <c r="K197" s="20" t="s">
        <v>33</v>
      </c>
      <c r="L197" s="39">
        <v>0</v>
      </c>
      <c r="M197" s="39">
        <v>0</v>
      </c>
      <c r="N197" s="39">
        <v>0</v>
      </c>
      <c r="O197" s="39">
        <v>0</v>
      </c>
      <c r="P197" s="39">
        <v>0</v>
      </c>
      <c r="Q197" s="39">
        <v>0</v>
      </c>
      <c r="R197" s="39">
        <v>0</v>
      </c>
      <c r="S197" s="39">
        <v>0</v>
      </c>
      <c r="T197" s="39">
        <v>0</v>
      </c>
      <c r="U197" s="39">
        <v>0</v>
      </c>
      <c r="V197" s="39">
        <v>0</v>
      </c>
      <c r="W197" s="39">
        <v>0</v>
      </c>
      <c r="X197" s="39">
        <v>0</v>
      </c>
      <c r="Y197" s="39">
        <v>0</v>
      </c>
      <c r="Z197" s="39">
        <v>0</v>
      </c>
      <c r="AA197" s="39">
        <v>0</v>
      </c>
      <c r="AB197" s="39">
        <v>0</v>
      </c>
      <c r="AC197" s="39">
        <v>0</v>
      </c>
      <c r="AD197" s="39">
        <v>0</v>
      </c>
      <c r="AE197" s="39">
        <v>0</v>
      </c>
      <c r="AF197" s="39">
        <v>0</v>
      </c>
      <c r="AG197" s="39">
        <v>0</v>
      </c>
      <c r="AH197" s="39"/>
      <c r="AI197" s="39"/>
      <c r="AJ197" s="40"/>
      <c r="AK197" s="39">
        <f t="shared" si="15"/>
        <v>0</v>
      </c>
      <c r="AL197" s="39">
        <f t="shared" si="18"/>
        <v>0</v>
      </c>
      <c r="AM197" s="39">
        <f t="shared" si="19"/>
        <v>0</v>
      </c>
      <c r="AN197" s="39">
        <f t="shared" si="16"/>
        <v>0</v>
      </c>
      <c r="AO197" s="39">
        <f t="shared" si="17"/>
        <v>0</v>
      </c>
    </row>
    <row r="198" spans="1:41" x14ac:dyDescent="0.3">
      <c r="A198" s="20">
        <v>1000184670</v>
      </c>
      <c r="B198" s="4" t="s">
        <v>147</v>
      </c>
      <c r="C198" s="21">
        <v>1000186197</v>
      </c>
      <c r="D198" s="3" t="s">
        <v>166</v>
      </c>
      <c r="E198" s="20">
        <v>1000185288</v>
      </c>
      <c r="F198" s="4" t="s">
        <v>64</v>
      </c>
      <c r="G198" s="21">
        <v>1000189807</v>
      </c>
      <c r="H198" s="3" t="s">
        <v>81</v>
      </c>
      <c r="I198" s="21">
        <v>1000189758</v>
      </c>
      <c r="J198" s="3" t="s">
        <v>159</v>
      </c>
      <c r="K198" s="20" t="s">
        <v>19</v>
      </c>
      <c r="L198" s="39">
        <v>0</v>
      </c>
      <c r="M198" s="39">
        <v>0</v>
      </c>
      <c r="N198" s="39">
        <v>0</v>
      </c>
      <c r="O198" s="39">
        <v>0</v>
      </c>
      <c r="P198" s="39">
        <v>0</v>
      </c>
      <c r="Q198" s="39">
        <v>0</v>
      </c>
      <c r="R198" s="39">
        <v>0</v>
      </c>
      <c r="S198" s="39">
        <v>0</v>
      </c>
      <c r="T198" s="39">
        <v>0</v>
      </c>
      <c r="U198" s="39">
        <v>0</v>
      </c>
      <c r="V198" s="39">
        <v>0</v>
      </c>
      <c r="W198" s="39">
        <v>0</v>
      </c>
      <c r="X198" s="39">
        <v>0</v>
      </c>
      <c r="Y198" s="39">
        <v>0</v>
      </c>
      <c r="Z198" s="39">
        <v>0</v>
      </c>
      <c r="AA198" s="39">
        <v>0</v>
      </c>
      <c r="AB198" s="39">
        <v>0</v>
      </c>
      <c r="AC198" s="39">
        <v>0</v>
      </c>
      <c r="AD198" s="39">
        <v>0</v>
      </c>
      <c r="AE198" s="39">
        <v>0</v>
      </c>
      <c r="AF198" s="39">
        <v>0</v>
      </c>
      <c r="AG198" s="39">
        <v>0</v>
      </c>
      <c r="AH198" s="39"/>
      <c r="AI198" s="39"/>
      <c r="AJ198" s="40"/>
      <c r="AK198" s="39">
        <f t="shared" si="15"/>
        <v>0</v>
      </c>
      <c r="AL198" s="39">
        <f t="shared" si="18"/>
        <v>0</v>
      </c>
      <c r="AM198" s="39">
        <f t="shared" si="19"/>
        <v>0</v>
      </c>
      <c r="AN198" s="39">
        <f t="shared" si="16"/>
        <v>0</v>
      </c>
      <c r="AO198" s="39">
        <f t="shared" si="17"/>
        <v>0</v>
      </c>
    </row>
    <row r="199" spans="1:41" x14ac:dyDescent="0.3">
      <c r="A199" s="20">
        <v>1000184670</v>
      </c>
      <c r="B199" s="4" t="s">
        <v>147</v>
      </c>
      <c r="C199" s="21">
        <v>1000186197</v>
      </c>
      <c r="D199" s="3" t="s">
        <v>166</v>
      </c>
      <c r="E199" s="20">
        <v>1000185288</v>
      </c>
      <c r="F199" s="4" t="s">
        <v>64</v>
      </c>
      <c r="G199" s="21">
        <v>1000189807</v>
      </c>
      <c r="H199" s="3" t="s">
        <v>81</v>
      </c>
      <c r="I199" s="21">
        <v>1000189758</v>
      </c>
      <c r="J199" s="3" t="s">
        <v>159</v>
      </c>
      <c r="K199" s="20" t="s">
        <v>17</v>
      </c>
      <c r="L199" s="39">
        <v>0</v>
      </c>
      <c r="M199" s="39">
        <v>0</v>
      </c>
      <c r="N199" s="39">
        <v>0</v>
      </c>
      <c r="O199" s="39">
        <v>2082.08</v>
      </c>
      <c r="P199" s="39">
        <v>257.77999999999997</v>
      </c>
      <c r="Q199" s="39">
        <v>241.8</v>
      </c>
      <c r="R199" s="39">
        <v>0</v>
      </c>
      <c r="S199" s="39">
        <v>0</v>
      </c>
      <c r="T199" s="39">
        <v>0</v>
      </c>
      <c r="U199" s="39">
        <v>0</v>
      </c>
      <c r="V199" s="39">
        <v>0</v>
      </c>
      <c r="W199" s="39">
        <v>0</v>
      </c>
      <c r="X199" s="39">
        <v>0</v>
      </c>
      <c r="Y199" s="39">
        <v>0</v>
      </c>
      <c r="Z199" s="39">
        <v>0</v>
      </c>
      <c r="AA199" s="39">
        <v>0</v>
      </c>
      <c r="AB199" s="39">
        <v>0</v>
      </c>
      <c r="AC199" s="39">
        <v>0</v>
      </c>
      <c r="AD199" s="39">
        <v>128.69999999999999</v>
      </c>
      <c r="AE199" s="39">
        <v>258.10000000000002</v>
      </c>
      <c r="AF199" s="39">
        <v>767.04</v>
      </c>
      <c r="AG199" s="39">
        <v>507.6</v>
      </c>
      <c r="AH199" s="39"/>
      <c r="AI199" s="39"/>
      <c r="AJ199" s="40"/>
      <c r="AK199" s="39">
        <f t="shared" si="15"/>
        <v>215.13833333333332</v>
      </c>
      <c r="AL199" s="39">
        <f t="shared" si="18"/>
        <v>138.45333333333335</v>
      </c>
      <c r="AM199" s="39">
        <f t="shared" si="19"/>
        <v>276.90666666666669</v>
      </c>
      <c r="AN199" s="39">
        <f t="shared" si="16"/>
        <v>166.14400000000001</v>
      </c>
      <c r="AO199" s="39">
        <f t="shared" si="17"/>
        <v>1661.44</v>
      </c>
    </row>
    <row r="200" spans="1:41" x14ac:dyDescent="0.3">
      <c r="A200" s="20">
        <v>1000184670</v>
      </c>
      <c r="B200" s="4" t="s">
        <v>147</v>
      </c>
      <c r="C200" s="21">
        <v>1000186197</v>
      </c>
      <c r="D200" s="3" t="s">
        <v>166</v>
      </c>
      <c r="E200" s="20">
        <v>1000185288</v>
      </c>
      <c r="F200" s="4" t="s">
        <v>64</v>
      </c>
      <c r="G200" s="21">
        <v>1000189807</v>
      </c>
      <c r="H200" s="3" t="s">
        <v>81</v>
      </c>
      <c r="I200" s="21">
        <v>1000189758</v>
      </c>
      <c r="J200" s="3" t="s">
        <v>159</v>
      </c>
      <c r="K200" s="20" t="s">
        <v>24</v>
      </c>
      <c r="L200" s="39">
        <v>0</v>
      </c>
      <c r="M200" s="39">
        <v>0</v>
      </c>
      <c r="N200" s="39">
        <v>0</v>
      </c>
      <c r="O200" s="39">
        <v>0</v>
      </c>
      <c r="P200" s="39">
        <v>0</v>
      </c>
      <c r="Q200" s="39">
        <v>0</v>
      </c>
      <c r="R200" s="39">
        <v>0</v>
      </c>
      <c r="S200" s="39">
        <v>0</v>
      </c>
      <c r="T200" s="39">
        <v>0</v>
      </c>
      <c r="U200" s="39">
        <v>0</v>
      </c>
      <c r="V200" s="39">
        <v>0</v>
      </c>
      <c r="W200" s="39">
        <v>0</v>
      </c>
      <c r="X200" s="39">
        <v>0</v>
      </c>
      <c r="Y200" s="39">
        <v>0</v>
      </c>
      <c r="Z200" s="39">
        <v>0</v>
      </c>
      <c r="AA200" s="39">
        <v>0</v>
      </c>
      <c r="AB200" s="39">
        <v>0</v>
      </c>
      <c r="AC200" s="39">
        <v>0</v>
      </c>
      <c r="AD200" s="39">
        <v>0</v>
      </c>
      <c r="AE200" s="39">
        <v>0</v>
      </c>
      <c r="AF200" s="39">
        <v>0</v>
      </c>
      <c r="AG200" s="39">
        <v>0</v>
      </c>
      <c r="AH200" s="39"/>
      <c r="AI200" s="39"/>
      <c r="AJ200" s="40"/>
      <c r="AK200" s="39">
        <f t="shared" si="15"/>
        <v>0</v>
      </c>
      <c r="AL200" s="39">
        <f t="shared" si="18"/>
        <v>0</v>
      </c>
      <c r="AM200" s="39">
        <f t="shared" si="19"/>
        <v>0</v>
      </c>
      <c r="AN200" s="39">
        <f t="shared" si="16"/>
        <v>0</v>
      </c>
      <c r="AO200" s="39">
        <f t="shared" si="17"/>
        <v>0</v>
      </c>
    </row>
    <row r="201" spans="1:41" x14ac:dyDescent="0.3">
      <c r="A201" s="20">
        <v>1000184670</v>
      </c>
      <c r="B201" s="4" t="s">
        <v>147</v>
      </c>
      <c r="C201" s="21">
        <v>1000186197</v>
      </c>
      <c r="D201" s="3" t="s">
        <v>166</v>
      </c>
      <c r="E201" s="20">
        <v>1000185288</v>
      </c>
      <c r="F201" s="4" t="s">
        <v>64</v>
      </c>
      <c r="G201" s="21">
        <v>1000189807</v>
      </c>
      <c r="H201" s="3" t="s">
        <v>81</v>
      </c>
      <c r="I201" s="21">
        <v>1000189758</v>
      </c>
      <c r="J201" s="3" t="s">
        <v>159</v>
      </c>
      <c r="K201" s="20" t="s">
        <v>18</v>
      </c>
      <c r="L201" s="39">
        <v>0</v>
      </c>
      <c r="M201" s="39">
        <v>0</v>
      </c>
      <c r="N201" s="39">
        <v>0</v>
      </c>
      <c r="O201" s="39">
        <v>0</v>
      </c>
      <c r="P201" s="39">
        <v>0</v>
      </c>
      <c r="Q201" s="39">
        <v>0</v>
      </c>
      <c r="R201" s="39">
        <v>0</v>
      </c>
      <c r="S201" s="39">
        <v>0</v>
      </c>
      <c r="T201" s="39">
        <v>0</v>
      </c>
      <c r="U201" s="39">
        <v>0</v>
      </c>
      <c r="V201" s="39">
        <v>0</v>
      </c>
      <c r="W201" s="39">
        <v>0</v>
      </c>
      <c r="X201" s="39">
        <v>0</v>
      </c>
      <c r="Y201" s="39">
        <v>0</v>
      </c>
      <c r="Z201" s="39">
        <v>0</v>
      </c>
      <c r="AA201" s="39">
        <v>0</v>
      </c>
      <c r="AB201" s="39">
        <v>0</v>
      </c>
      <c r="AC201" s="39">
        <v>0</v>
      </c>
      <c r="AD201" s="39">
        <v>0</v>
      </c>
      <c r="AE201" s="39">
        <v>0</v>
      </c>
      <c r="AF201" s="39">
        <v>0</v>
      </c>
      <c r="AG201" s="39">
        <v>0</v>
      </c>
      <c r="AH201" s="39"/>
      <c r="AI201" s="39"/>
      <c r="AJ201" s="40"/>
      <c r="AK201" s="39">
        <f t="shared" si="15"/>
        <v>0</v>
      </c>
      <c r="AL201" s="39">
        <f t="shared" si="18"/>
        <v>0</v>
      </c>
      <c r="AM201" s="39">
        <f t="shared" si="19"/>
        <v>0</v>
      </c>
      <c r="AN201" s="39">
        <f t="shared" si="16"/>
        <v>0</v>
      </c>
      <c r="AO201" s="39">
        <f t="shared" si="17"/>
        <v>0</v>
      </c>
    </row>
    <row r="202" spans="1:41" x14ac:dyDescent="0.3">
      <c r="A202" s="20">
        <v>1000184670</v>
      </c>
      <c r="B202" s="4" t="s">
        <v>147</v>
      </c>
      <c r="C202" s="21">
        <v>1000186197</v>
      </c>
      <c r="D202" s="3" t="s">
        <v>166</v>
      </c>
      <c r="E202" s="20">
        <v>1000185288</v>
      </c>
      <c r="F202" s="4" t="s">
        <v>64</v>
      </c>
      <c r="G202" s="21">
        <v>1000189807</v>
      </c>
      <c r="H202" s="3" t="s">
        <v>81</v>
      </c>
      <c r="I202" s="21">
        <v>1000189758</v>
      </c>
      <c r="J202" s="3" t="s">
        <v>159</v>
      </c>
      <c r="K202" s="20" t="s">
        <v>29</v>
      </c>
      <c r="L202" s="39">
        <v>0</v>
      </c>
      <c r="M202" s="39">
        <v>0</v>
      </c>
      <c r="N202" s="39">
        <v>0</v>
      </c>
      <c r="O202" s="39">
        <v>0</v>
      </c>
      <c r="P202" s="39">
        <v>0</v>
      </c>
      <c r="Q202" s="39">
        <v>0</v>
      </c>
      <c r="R202" s="39">
        <v>0</v>
      </c>
      <c r="S202" s="39">
        <v>0</v>
      </c>
      <c r="T202" s="39">
        <v>0</v>
      </c>
      <c r="U202" s="39">
        <v>0</v>
      </c>
      <c r="V202" s="39">
        <v>0</v>
      </c>
      <c r="W202" s="39">
        <v>0</v>
      </c>
      <c r="X202" s="39">
        <v>0</v>
      </c>
      <c r="Y202" s="39">
        <v>0</v>
      </c>
      <c r="Z202" s="39">
        <v>0</v>
      </c>
      <c r="AA202" s="39">
        <v>0</v>
      </c>
      <c r="AB202" s="39">
        <v>0</v>
      </c>
      <c r="AC202" s="39">
        <v>0</v>
      </c>
      <c r="AD202" s="39">
        <v>0</v>
      </c>
      <c r="AE202" s="39">
        <v>0</v>
      </c>
      <c r="AF202" s="39">
        <v>0</v>
      </c>
      <c r="AG202" s="39">
        <v>0</v>
      </c>
      <c r="AH202" s="39"/>
      <c r="AI202" s="39"/>
      <c r="AJ202" s="40"/>
      <c r="AK202" s="39">
        <f t="shared" si="15"/>
        <v>0</v>
      </c>
      <c r="AL202" s="39">
        <f t="shared" si="18"/>
        <v>0</v>
      </c>
      <c r="AM202" s="39">
        <f t="shared" si="19"/>
        <v>0</v>
      </c>
      <c r="AN202" s="39">
        <f t="shared" si="16"/>
        <v>0</v>
      </c>
      <c r="AO202" s="39">
        <f t="shared" si="17"/>
        <v>0</v>
      </c>
    </row>
    <row r="203" spans="1:41" x14ac:dyDescent="0.3">
      <c r="A203" s="20">
        <v>1000184670</v>
      </c>
      <c r="B203" s="4" t="s">
        <v>147</v>
      </c>
      <c r="C203" s="21">
        <v>1000186197</v>
      </c>
      <c r="D203" s="3" t="s">
        <v>166</v>
      </c>
      <c r="E203" s="20">
        <v>1000185288</v>
      </c>
      <c r="F203" s="4" t="s">
        <v>64</v>
      </c>
      <c r="G203" s="21">
        <v>1000189807</v>
      </c>
      <c r="H203" s="3" t="s">
        <v>81</v>
      </c>
      <c r="I203" s="21">
        <v>1000189758</v>
      </c>
      <c r="J203" s="3" t="s">
        <v>159</v>
      </c>
      <c r="K203" s="20" t="s">
        <v>21</v>
      </c>
      <c r="L203" s="39">
        <v>0</v>
      </c>
      <c r="M203" s="39">
        <v>0</v>
      </c>
      <c r="N203" s="39">
        <v>0</v>
      </c>
      <c r="O203" s="39">
        <v>0</v>
      </c>
      <c r="P203" s="39">
        <v>0</v>
      </c>
      <c r="Q203" s="39">
        <v>0</v>
      </c>
      <c r="R203" s="39">
        <v>0</v>
      </c>
      <c r="S203" s="39">
        <v>0</v>
      </c>
      <c r="T203" s="39">
        <v>0</v>
      </c>
      <c r="U203" s="39">
        <v>0</v>
      </c>
      <c r="V203" s="39">
        <v>0</v>
      </c>
      <c r="W203" s="39">
        <v>0</v>
      </c>
      <c r="X203" s="39">
        <v>0</v>
      </c>
      <c r="Y203" s="39">
        <v>0</v>
      </c>
      <c r="Z203" s="39">
        <v>0</v>
      </c>
      <c r="AA203" s="39">
        <v>0</v>
      </c>
      <c r="AB203" s="39">
        <v>0</v>
      </c>
      <c r="AC203" s="39">
        <v>0</v>
      </c>
      <c r="AD203" s="39">
        <v>0</v>
      </c>
      <c r="AE203" s="39">
        <v>0</v>
      </c>
      <c r="AF203" s="39">
        <v>0</v>
      </c>
      <c r="AG203" s="39">
        <v>0</v>
      </c>
      <c r="AH203" s="39"/>
      <c r="AI203" s="39"/>
      <c r="AJ203" s="40"/>
      <c r="AK203" s="39">
        <f t="shared" si="15"/>
        <v>0</v>
      </c>
      <c r="AL203" s="39">
        <f t="shared" si="18"/>
        <v>0</v>
      </c>
      <c r="AM203" s="39">
        <f t="shared" si="19"/>
        <v>0</v>
      </c>
      <c r="AN203" s="39">
        <f t="shared" si="16"/>
        <v>0</v>
      </c>
      <c r="AO203" s="39">
        <f t="shared" si="17"/>
        <v>0</v>
      </c>
    </row>
    <row r="204" spans="1:41" x14ac:dyDescent="0.3">
      <c r="A204" s="20">
        <v>1000184670</v>
      </c>
      <c r="B204" s="4" t="s">
        <v>147</v>
      </c>
      <c r="C204" s="21">
        <v>1000186197</v>
      </c>
      <c r="D204" s="3" t="s">
        <v>166</v>
      </c>
      <c r="E204" s="20">
        <v>1000185288</v>
      </c>
      <c r="F204" s="4" t="s">
        <v>64</v>
      </c>
      <c r="G204" s="21">
        <v>1000189807</v>
      </c>
      <c r="H204" s="3" t="s">
        <v>81</v>
      </c>
      <c r="I204" s="21">
        <v>1000189758</v>
      </c>
      <c r="J204" s="3" t="s">
        <v>159</v>
      </c>
      <c r="K204" s="20" t="s">
        <v>20</v>
      </c>
      <c r="L204" s="39">
        <v>0</v>
      </c>
      <c r="M204" s="39">
        <v>0</v>
      </c>
      <c r="N204" s="39">
        <v>0</v>
      </c>
      <c r="O204" s="39">
        <v>1113.8699999999999</v>
      </c>
      <c r="P204" s="39">
        <v>573.6</v>
      </c>
      <c r="Q204" s="39">
        <v>1818</v>
      </c>
      <c r="R204" s="39">
        <v>0</v>
      </c>
      <c r="S204" s="39">
        <v>0</v>
      </c>
      <c r="T204" s="39">
        <v>0</v>
      </c>
      <c r="U204" s="39">
        <v>0</v>
      </c>
      <c r="V204" s="39">
        <v>0</v>
      </c>
      <c r="W204" s="39">
        <v>0</v>
      </c>
      <c r="X204" s="39">
        <v>0</v>
      </c>
      <c r="Y204" s="39">
        <v>0</v>
      </c>
      <c r="Z204" s="39">
        <v>0</v>
      </c>
      <c r="AA204" s="39">
        <v>0</v>
      </c>
      <c r="AB204" s="39">
        <v>0</v>
      </c>
      <c r="AC204" s="39">
        <v>0</v>
      </c>
      <c r="AD204" s="39">
        <v>764.92</v>
      </c>
      <c r="AE204" s="39">
        <v>757.95</v>
      </c>
      <c r="AF204" s="39">
        <v>402.14</v>
      </c>
      <c r="AG204" s="39">
        <v>146.63999999999999</v>
      </c>
      <c r="AH204" s="39"/>
      <c r="AI204" s="39"/>
      <c r="AJ204" s="40"/>
      <c r="AK204" s="39">
        <f t="shared" si="15"/>
        <v>292.1225</v>
      </c>
      <c r="AL204" s="39">
        <f t="shared" si="18"/>
        <v>172.63749999999996</v>
      </c>
      <c r="AM204" s="39">
        <f t="shared" si="19"/>
        <v>345.27499999999992</v>
      </c>
      <c r="AN204" s="39">
        <f t="shared" si="16"/>
        <v>207.16499999999996</v>
      </c>
      <c r="AO204" s="39">
        <f t="shared" si="17"/>
        <v>2071.6499999999996</v>
      </c>
    </row>
    <row r="205" spans="1:41" x14ac:dyDescent="0.3">
      <c r="A205" s="20">
        <v>1000184670</v>
      </c>
      <c r="B205" s="4" t="s">
        <v>147</v>
      </c>
      <c r="C205" s="21">
        <v>1000186197</v>
      </c>
      <c r="D205" s="3" t="s">
        <v>166</v>
      </c>
      <c r="E205" s="20">
        <v>1000185288</v>
      </c>
      <c r="F205" s="4" t="s">
        <v>64</v>
      </c>
      <c r="G205" s="21">
        <v>1000189807</v>
      </c>
      <c r="H205" s="3" t="s">
        <v>81</v>
      </c>
      <c r="I205" s="21">
        <v>1000189758</v>
      </c>
      <c r="J205" s="3" t="s">
        <v>159</v>
      </c>
      <c r="K205" s="20" t="s">
        <v>22</v>
      </c>
      <c r="L205" s="39">
        <v>0</v>
      </c>
      <c r="M205" s="39">
        <v>0</v>
      </c>
      <c r="N205" s="39">
        <v>0</v>
      </c>
      <c r="O205" s="39">
        <v>272.05</v>
      </c>
      <c r="P205" s="39">
        <v>0</v>
      </c>
      <c r="Q205" s="39">
        <v>0</v>
      </c>
      <c r="R205" s="39">
        <v>0</v>
      </c>
      <c r="S205" s="39">
        <v>0</v>
      </c>
      <c r="T205" s="39">
        <v>0</v>
      </c>
      <c r="U205" s="39">
        <v>0</v>
      </c>
      <c r="V205" s="39">
        <v>0</v>
      </c>
      <c r="W205" s="39">
        <v>0</v>
      </c>
      <c r="X205" s="39">
        <v>0</v>
      </c>
      <c r="Y205" s="39">
        <v>0</v>
      </c>
      <c r="Z205" s="39">
        <v>0</v>
      </c>
      <c r="AA205" s="39">
        <v>0</v>
      </c>
      <c r="AB205" s="39">
        <v>0</v>
      </c>
      <c r="AC205" s="39">
        <v>0</v>
      </c>
      <c r="AD205" s="39">
        <v>0</v>
      </c>
      <c r="AE205" s="39">
        <v>0</v>
      </c>
      <c r="AF205" s="39">
        <v>0</v>
      </c>
      <c r="AG205" s="39">
        <v>0</v>
      </c>
      <c r="AH205" s="39"/>
      <c r="AI205" s="39"/>
      <c r="AJ205" s="40"/>
      <c r="AK205" s="39">
        <f t="shared" si="15"/>
        <v>22.670833333333334</v>
      </c>
      <c r="AL205" s="39">
        <f t="shared" si="18"/>
        <v>0</v>
      </c>
      <c r="AM205" s="39">
        <f t="shared" si="19"/>
        <v>0</v>
      </c>
      <c r="AN205" s="39">
        <f t="shared" si="16"/>
        <v>0</v>
      </c>
      <c r="AO205" s="39">
        <f t="shared" si="17"/>
        <v>0</v>
      </c>
    </row>
    <row r="206" spans="1:41" x14ac:dyDescent="0.3">
      <c r="A206" s="20">
        <v>1000184670</v>
      </c>
      <c r="B206" s="4" t="s">
        <v>147</v>
      </c>
      <c r="C206" s="21">
        <v>1000186197</v>
      </c>
      <c r="D206" s="3" t="s">
        <v>166</v>
      </c>
      <c r="E206" s="20">
        <v>1000185288</v>
      </c>
      <c r="F206" s="4" t="s">
        <v>64</v>
      </c>
      <c r="G206" s="21">
        <v>1000189807</v>
      </c>
      <c r="H206" s="3" t="s">
        <v>81</v>
      </c>
      <c r="I206" s="21">
        <v>1000189758</v>
      </c>
      <c r="J206" s="3" t="s">
        <v>159</v>
      </c>
      <c r="K206" s="20" t="s">
        <v>23</v>
      </c>
      <c r="L206" s="39">
        <v>0</v>
      </c>
      <c r="M206" s="39">
        <v>0</v>
      </c>
      <c r="N206" s="39">
        <v>0</v>
      </c>
      <c r="O206" s="39">
        <v>2682.55</v>
      </c>
      <c r="P206" s="39">
        <v>900.66</v>
      </c>
      <c r="Q206" s="39">
        <v>1152</v>
      </c>
      <c r="R206" s="39">
        <v>0</v>
      </c>
      <c r="S206" s="39">
        <v>0</v>
      </c>
      <c r="T206" s="39">
        <v>0</v>
      </c>
      <c r="U206" s="39">
        <v>0</v>
      </c>
      <c r="V206" s="39">
        <v>0</v>
      </c>
      <c r="W206" s="39">
        <v>0</v>
      </c>
      <c r="X206" s="39">
        <v>0</v>
      </c>
      <c r="Y206" s="39">
        <v>0</v>
      </c>
      <c r="Z206" s="39">
        <v>0</v>
      </c>
      <c r="AA206" s="39">
        <v>0</v>
      </c>
      <c r="AB206" s="39">
        <v>0</v>
      </c>
      <c r="AC206" s="39">
        <v>0</v>
      </c>
      <c r="AD206" s="39">
        <v>358.27</v>
      </c>
      <c r="AE206" s="39">
        <v>1073.6600000000001</v>
      </c>
      <c r="AF206" s="39">
        <v>1105.22</v>
      </c>
      <c r="AG206" s="39">
        <v>1531.38</v>
      </c>
      <c r="AH206" s="39"/>
      <c r="AI206" s="39"/>
      <c r="AJ206" s="40"/>
      <c r="AK206" s="39">
        <f t="shared" si="15"/>
        <v>394.60083333333336</v>
      </c>
      <c r="AL206" s="39">
        <f t="shared" si="18"/>
        <v>339.04416666666668</v>
      </c>
      <c r="AM206" s="39">
        <f t="shared" si="19"/>
        <v>678.08833333333337</v>
      </c>
      <c r="AN206" s="39">
        <f t="shared" si="16"/>
        <v>406.85300000000001</v>
      </c>
      <c r="AO206" s="39">
        <f t="shared" si="17"/>
        <v>4068.53</v>
      </c>
    </row>
    <row r="207" spans="1:41" x14ac:dyDescent="0.3">
      <c r="A207" s="20">
        <v>1000184670</v>
      </c>
      <c r="B207" s="4" t="s">
        <v>147</v>
      </c>
      <c r="C207" s="21">
        <v>1000186197</v>
      </c>
      <c r="D207" s="3" t="s">
        <v>166</v>
      </c>
      <c r="E207" s="20">
        <v>1000185288</v>
      </c>
      <c r="F207" s="4" t="s">
        <v>64</v>
      </c>
      <c r="G207" s="21">
        <v>1000189807</v>
      </c>
      <c r="H207" s="3" t="s">
        <v>81</v>
      </c>
      <c r="I207" s="21">
        <v>1000189758</v>
      </c>
      <c r="J207" s="3" t="s">
        <v>159</v>
      </c>
      <c r="K207" s="20" t="s">
        <v>28</v>
      </c>
      <c r="L207" s="39">
        <v>0</v>
      </c>
      <c r="M207" s="39">
        <v>0</v>
      </c>
      <c r="N207" s="39">
        <v>0</v>
      </c>
      <c r="O207" s="39">
        <v>203.6</v>
      </c>
      <c r="P207" s="39">
        <v>261</v>
      </c>
      <c r="Q207" s="39">
        <v>417.6</v>
      </c>
      <c r="R207" s="39">
        <v>0</v>
      </c>
      <c r="S207" s="39">
        <v>0</v>
      </c>
      <c r="T207" s="39">
        <v>0</v>
      </c>
      <c r="U207" s="39">
        <v>0</v>
      </c>
      <c r="V207" s="39">
        <v>0</v>
      </c>
      <c r="W207" s="39">
        <v>0</v>
      </c>
      <c r="X207" s="39">
        <v>0</v>
      </c>
      <c r="Y207" s="39">
        <v>0</v>
      </c>
      <c r="Z207" s="39">
        <v>0</v>
      </c>
      <c r="AA207" s="39">
        <v>0</v>
      </c>
      <c r="AB207" s="39">
        <v>0</v>
      </c>
      <c r="AC207" s="39">
        <v>0</v>
      </c>
      <c r="AD207" s="39">
        <v>295.19</v>
      </c>
      <c r="AE207" s="39">
        <v>295.27999999999997</v>
      </c>
      <c r="AF207" s="39">
        <v>98.14</v>
      </c>
      <c r="AG207" s="39">
        <v>98.14</v>
      </c>
      <c r="AH207" s="39"/>
      <c r="AI207" s="39"/>
      <c r="AJ207" s="40"/>
      <c r="AK207" s="39">
        <f t="shared" si="15"/>
        <v>73.516666666666666</v>
      </c>
      <c r="AL207" s="39">
        <f t="shared" si="18"/>
        <v>65.5625</v>
      </c>
      <c r="AM207" s="39">
        <f t="shared" si="19"/>
        <v>131.125</v>
      </c>
      <c r="AN207" s="39">
        <f t="shared" si="16"/>
        <v>78.674999999999997</v>
      </c>
      <c r="AO207" s="39">
        <f t="shared" si="17"/>
        <v>786.75</v>
      </c>
    </row>
    <row r="208" spans="1:41" x14ac:dyDescent="0.3">
      <c r="A208" s="20">
        <v>1000184670</v>
      </c>
      <c r="B208" s="4" t="s">
        <v>147</v>
      </c>
      <c r="C208" s="21">
        <v>1000186197</v>
      </c>
      <c r="D208" s="3" t="s">
        <v>166</v>
      </c>
      <c r="E208" s="20">
        <v>1000185288</v>
      </c>
      <c r="F208" s="4" t="s">
        <v>64</v>
      </c>
      <c r="G208" s="21">
        <v>1000189807</v>
      </c>
      <c r="H208" s="3" t="s">
        <v>81</v>
      </c>
      <c r="I208" s="21">
        <v>1000189758</v>
      </c>
      <c r="J208" s="3" t="s">
        <v>159</v>
      </c>
      <c r="K208" s="20" t="s">
        <v>26</v>
      </c>
      <c r="L208" s="39">
        <v>0</v>
      </c>
      <c r="M208" s="39">
        <v>0</v>
      </c>
      <c r="N208" s="39">
        <v>0</v>
      </c>
      <c r="O208" s="39">
        <v>0</v>
      </c>
      <c r="P208" s="39">
        <v>0</v>
      </c>
      <c r="Q208" s="39">
        <v>0</v>
      </c>
      <c r="R208" s="39">
        <v>0</v>
      </c>
      <c r="S208" s="39">
        <v>0</v>
      </c>
      <c r="T208" s="39">
        <v>0</v>
      </c>
      <c r="U208" s="39">
        <v>0</v>
      </c>
      <c r="V208" s="39">
        <v>0</v>
      </c>
      <c r="W208" s="39">
        <v>0</v>
      </c>
      <c r="X208" s="39">
        <v>0</v>
      </c>
      <c r="Y208" s="39">
        <v>0</v>
      </c>
      <c r="Z208" s="39">
        <v>0</v>
      </c>
      <c r="AA208" s="39">
        <v>0</v>
      </c>
      <c r="AB208" s="39">
        <v>0</v>
      </c>
      <c r="AC208" s="39">
        <v>0</v>
      </c>
      <c r="AD208" s="39">
        <v>0</v>
      </c>
      <c r="AE208" s="39">
        <v>0</v>
      </c>
      <c r="AF208" s="39">
        <v>0</v>
      </c>
      <c r="AG208" s="39">
        <v>0</v>
      </c>
      <c r="AH208" s="39"/>
      <c r="AI208" s="39"/>
      <c r="AJ208" s="40"/>
      <c r="AK208" s="39">
        <f t="shared" si="15"/>
        <v>0</v>
      </c>
      <c r="AL208" s="39">
        <f t="shared" si="18"/>
        <v>0</v>
      </c>
      <c r="AM208" s="39">
        <f t="shared" si="19"/>
        <v>0</v>
      </c>
      <c r="AN208" s="39">
        <f t="shared" si="16"/>
        <v>0</v>
      </c>
      <c r="AO208" s="39">
        <f t="shared" si="17"/>
        <v>0</v>
      </c>
    </row>
    <row r="209" spans="1:41" x14ac:dyDescent="0.3">
      <c r="A209" s="20">
        <v>1000184670</v>
      </c>
      <c r="B209" s="4" t="s">
        <v>147</v>
      </c>
      <c r="C209" s="21">
        <v>1000186197</v>
      </c>
      <c r="D209" s="3" t="s">
        <v>166</v>
      </c>
      <c r="E209" s="20">
        <v>1000185288</v>
      </c>
      <c r="F209" s="4" t="s">
        <v>64</v>
      </c>
      <c r="G209" s="21">
        <v>1000189807</v>
      </c>
      <c r="H209" s="3" t="s">
        <v>81</v>
      </c>
      <c r="I209" s="21">
        <v>1000189758</v>
      </c>
      <c r="J209" s="3" t="s">
        <v>159</v>
      </c>
      <c r="K209" s="20" t="s">
        <v>27</v>
      </c>
      <c r="L209" s="39">
        <v>0</v>
      </c>
      <c r="M209" s="39">
        <v>0</v>
      </c>
      <c r="N209" s="39">
        <v>0</v>
      </c>
      <c r="O209" s="39">
        <v>0</v>
      </c>
      <c r="P209" s="39">
        <v>0</v>
      </c>
      <c r="Q209" s="39">
        <v>0</v>
      </c>
      <c r="R209" s="39">
        <v>0</v>
      </c>
      <c r="S209" s="39">
        <v>0</v>
      </c>
      <c r="T209" s="39">
        <v>0</v>
      </c>
      <c r="U209" s="39">
        <v>0</v>
      </c>
      <c r="V209" s="39">
        <v>0</v>
      </c>
      <c r="W209" s="39">
        <v>0</v>
      </c>
      <c r="X209" s="39">
        <v>0</v>
      </c>
      <c r="Y209" s="39">
        <v>0</v>
      </c>
      <c r="Z209" s="39">
        <v>0</v>
      </c>
      <c r="AA209" s="39">
        <v>0</v>
      </c>
      <c r="AB209" s="39">
        <v>0</v>
      </c>
      <c r="AC209" s="39">
        <v>0</v>
      </c>
      <c r="AD209" s="39">
        <v>0</v>
      </c>
      <c r="AE209" s="39">
        <v>0</v>
      </c>
      <c r="AF209" s="39">
        <v>0</v>
      </c>
      <c r="AG209" s="39">
        <v>0</v>
      </c>
      <c r="AH209" s="39"/>
      <c r="AI209" s="39"/>
      <c r="AJ209" s="40"/>
      <c r="AK209" s="39">
        <f t="shared" si="15"/>
        <v>0</v>
      </c>
      <c r="AL209" s="39">
        <f t="shared" si="18"/>
        <v>0</v>
      </c>
      <c r="AM209" s="39">
        <f t="shared" si="19"/>
        <v>0</v>
      </c>
      <c r="AN209" s="39">
        <f t="shared" si="16"/>
        <v>0</v>
      </c>
      <c r="AO209" s="39">
        <f t="shared" si="17"/>
        <v>0</v>
      </c>
    </row>
    <row r="210" spans="1:41" x14ac:dyDescent="0.3">
      <c r="A210" s="20">
        <v>1000184670</v>
      </c>
      <c r="B210" s="4" t="s">
        <v>147</v>
      </c>
      <c r="C210" s="21">
        <v>1000186197</v>
      </c>
      <c r="D210" s="3" t="s">
        <v>166</v>
      </c>
      <c r="E210" s="20">
        <v>1000185288</v>
      </c>
      <c r="F210" s="4" t="s">
        <v>64</v>
      </c>
      <c r="G210" s="21">
        <v>1000189807</v>
      </c>
      <c r="H210" s="3" t="s">
        <v>81</v>
      </c>
      <c r="I210" s="21">
        <v>1000189758</v>
      </c>
      <c r="J210" s="3" t="s">
        <v>159</v>
      </c>
      <c r="K210" s="20" t="s">
        <v>25</v>
      </c>
      <c r="L210" s="39">
        <v>0</v>
      </c>
      <c r="M210" s="39">
        <v>0</v>
      </c>
      <c r="N210" s="39">
        <v>0</v>
      </c>
      <c r="O210" s="39">
        <v>594.36</v>
      </c>
      <c r="P210" s="39">
        <v>0</v>
      </c>
      <c r="Q210" s="39">
        <v>1404</v>
      </c>
      <c r="R210" s="39">
        <v>0</v>
      </c>
      <c r="S210" s="39">
        <v>0</v>
      </c>
      <c r="T210" s="39">
        <v>0</v>
      </c>
      <c r="U210" s="39">
        <v>0</v>
      </c>
      <c r="V210" s="39">
        <v>0</v>
      </c>
      <c r="W210" s="39">
        <v>0</v>
      </c>
      <c r="X210" s="39">
        <v>0</v>
      </c>
      <c r="Y210" s="39">
        <v>0</v>
      </c>
      <c r="Z210" s="39">
        <v>0</v>
      </c>
      <c r="AA210" s="39">
        <v>0</v>
      </c>
      <c r="AB210" s="39">
        <v>0</v>
      </c>
      <c r="AC210" s="39">
        <v>0</v>
      </c>
      <c r="AD210" s="39">
        <v>0</v>
      </c>
      <c r="AE210" s="39">
        <v>0</v>
      </c>
      <c r="AF210" s="39">
        <v>0</v>
      </c>
      <c r="AG210" s="39">
        <v>0</v>
      </c>
      <c r="AH210" s="39"/>
      <c r="AI210" s="39"/>
      <c r="AJ210" s="40"/>
      <c r="AK210" s="39">
        <f t="shared" si="15"/>
        <v>166.53</v>
      </c>
      <c r="AL210" s="39">
        <f t="shared" si="18"/>
        <v>0</v>
      </c>
      <c r="AM210" s="39">
        <f t="shared" si="19"/>
        <v>0</v>
      </c>
      <c r="AN210" s="39">
        <f t="shared" si="16"/>
        <v>0</v>
      </c>
      <c r="AO210" s="39">
        <f t="shared" si="17"/>
        <v>0</v>
      </c>
    </row>
    <row r="211" spans="1:41" x14ac:dyDescent="0.3">
      <c r="A211" s="20">
        <v>1000184670</v>
      </c>
      <c r="B211" s="4" t="s">
        <v>147</v>
      </c>
      <c r="C211" s="21">
        <v>1000185711</v>
      </c>
      <c r="D211" s="3" t="s">
        <v>167</v>
      </c>
      <c r="E211" s="20">
        <v>1000184764</v>
      </c>
      <c r="F211" s="4" t="s">
        <v>70</v>
      </c>
      <c r="G211" s="21">
        <v>1000189818</v>
      </c>
      <c r="H211" s="3" t="s">
        <v>72</v>
      </c>
      <c r="I211" s="21">
        <v>1000189759</v>
      </c>
      <c r="J211" s="3" t="s">
        <v>155</v>
      </c>
      <c r="K211" s="20" t="s">
        <v>124</v>
      </c>
      <c r="L211" s="39">
        <v>0</v>
      </c>
      <c r="M211" s="39">
        <v>0</v>
      </c>
      <c r="N211" s="39">
        <v>0</v>
      </c>
      <c r="O211" s="39">
        <v>0</v>
      </c>
      <c r="P211" s="39">
        <v>0</v>
      </c>
      <c r="Q211" s="39">
        <v>0</v>
      </c>
      <c r="R211" s="39">
        <v>0</v>
      </c>
      <c r="S211" s="39">
        <v>0</v>
      </c>
      <c r="T211" s="39">
        <v>0</v>
      </c>
      <c r="U211" s="39">
        <v>0</v>
      </c>
      <c r="V211" s="39">
        <v>0</v>
      </c>
      <c r="W211" s="39">
        <v>0</v>
      </c>
      <c r="X211" s="39">
        <v>0</v>
      </c>
      <c r="Y211" s="39">
        <v>0</v>
      </c>
      <c r="Z211" s="39">
        <v>0</v>
      </c>
      <c r="AA211" s="39">
        <v>0</v>
      </c>
      <c r="AB211" s="39">
        <v>0</v>
      </c>
      <c r="AC211" s="39">
        <v>0</v>
      </c>
      <c r="AD211" s="39">
        <v>0</v>
      </c>
      <c r="AE211" s="39">
        <v>0</v>
      </c>
      <c r="AF211" s="39">
        <v>0</v>
      </c>
      <c r="AG211" s="39">
        <v>0</v>
      </c>
      <c r="AH211" s="39"/>
      <c r="AI211" s="39"/>
      <c r="AJ211" s="40"/>
      <c r="AK211" s="39">
        <f t="shared" si="15"/>
        <v>0</v>
      </c>
      <c r="AL211" s="39">
        <f t="shared" si="18"/>
        <v>0</v>
      </c>
      <c r="AM211" s="39">
        <f t="shared" si="19"/>
        <v>0</v>
      </c>
      <c r="AN211" s="39">
        <f t="shared" si="16"/>
        <v>0</v>
      </c>
      <c r="AO211" s="39">
        <f t="shared" si="17"/>
        <v>0</v>
      </c>
    </row>
    <row r="212" spans="1:41" x14ac:dyDescent="0.3">
      <c r="A212" s="20">
        <v>1000184670</v>
      </c>
      <c r="B212" s="4" t="s">
        <v>147</v>
      </c>
      <c r="C212" s="21">
        <v>1000185711</v>
      </c>
      <c r="D212" s="3" t="s">
        <v>167</v>
      </c>
      <c r="E212" s="20">
        <v>1000184764</v>
      </c>
      <c r="F212" s="4" t="s">
        <v>70</v>
      </c>
      <c r="G212" s="21">
        <v>1000189818</v>
      </c>
      <c r="H212" s="3" t="s">
        <v>72</v>
      </c>
      <c r="I212" s="21">
        <v>1000189759</v>
      </c>
      <c r="J212" s="3" t="s">
        <v>155</v>
      </c>
      <c r="K212" s="20" t="s">
        <v>13</v>
      </c>
      <c r="L212" s="39">
        <v>0</v>
      </c>
      <c r="M212" s="39">
        <v>0</v>
      </c>
      <c r="N212" s="39">
        <v>0</v>
      </c>
      <c r="O212" s="39">
        <v>0</v>
      </c>
      <c r="P212" s="39">
        <v>0</v>
      </c>
      <c r="Q212" s="39">
        <v>0</v>
      </c>
      <c r="R212" s="39">
        <v>0</v>
      </c>
      <c r="S212" s="39">
        <v>0</v>
      </c>
      <c r="T212" s="39">
        <v>0</v>
      </c>
      <c r="U212" s="39">
        <v>0</v>
      </c>
      <c r="V212" s="39">
        <v>0</v>
      </c>
      <c r="W212" s="39">
        <v>0</v>
      </c>
      <c r="X212" s="39">
        <v>0</v>
      </c>
      <c r="Y212" s="39">
        <v>0</v>
      </c>
      <c r="Z212" s="39">
        <v>0</v>
      </c>
      <c r="AA212" s="39">
        <v>0</v>
      </c>
      <c r="AB212" s="39">
        <v>0</v>
      </c>
      <c r="AC212" s="39">
        <v>0</v>
      </c>
      <c r="AD212" s="39">
        <v>0</v>
      </c>
      <c r="AE212" s="39">
        <v>0</v>
      </c>
      <c r="AF212" s="39">
        <v>0</v>
      </c>
      <c r="AG212" s="39">
        <v>0</v>
      </c>
      <c r="AH212" s="39"/>
      <c r="AI212" s="39"/>
      <c r="AJ212" s="40"/>
      <c r="AK212" s="39">
        <f t="shared" si="15"/>
        <v>0</v>
      </c>
      <c r="AL212" s="39">
        <f t="shared" si="18"/>
        <v>0</v>
      </c>
      <c r="AM212" s="39">
        <f t="shared" si="19"/>
        <v>0</v>
      </c>
      <c r="AN212" s="39">
        <f t="shared" si="16"/>
        <v>0</v>
      </c>
      <c r="AO212" s="39">
        <f t="shared" si="17"/>
        <v>0</v>
      </c>
    </row>
    <row r="213" spans="1:41" x14ac:dyDescent="0.3">
      <c r="A213" s="20">
        <v>1000184670</v>
      </c>
      <c r="B213" s="4" t="s">
        <v>147</v>
      </c>
      <c r="C213" s="21">
        <v>1000185711</v>
      </c>
      <c r="D213" s="3" t="s">
        <v>167</v>
      </c>
      <c r="E213" s="20">
        <v>1000184764</v>
      </c>
      <c r="F213" s="4" t="s">
        <v>70</v>
      </c>
      <c r="G213" s="21">
        <v>1000189818</v>
      </c>
      <c r="H213" s="3" t="s">
        <v>72</v>
      </c>
      <c r="I213" s="21">
        <v>1000189759</v>
      </c>
      <c r="J213" s="3" t="s">
        <v>155</v>
      </c>
      <c r="K213" s="20" t="s">
        <v>14</v>
      </c>
      <c r="L213" s="39">
        <v>0</v>
      </c>
      <c r="M213" s="39">
        <v>0</v>
      </c>
      <c r="N213" s="39">
        <v>0</v>
      </c>
      <c r="O213" s="39">
        <v>0</v>
      </c>
      <c r="P213" s="39">
        <v>0</v>
      </c>
      <c r="Q213" s="39">
        <v>0</v>
      </c>
      <c r="R213" s="39">
        <v>0</v>
      </c>
      <c r="S213" s="39">
        <v>0</v>
      </c>
      <c r="T213" s="39">
        <v>0</v>
      </c>
      <c r="U213" s="39">
        <v>0</v>
      </c>
      <c r="V213" s="39">
        <v>0</v>
      </c>
      <c r="W213" s="39">
        <v>0</v>
      </c>
      <c r="X213" s="39">
        <v>0</v>
      </c>
      <c r="Y213" s="39">
        <v>0</v>
      </c>
      <c r="Z213" s="39">
        <v>0</v>
      </c>
      <c r="AA213" s="39">
        <v>0</v>
      </c>
      <c r="AB213" s="39">
        <v>0</v>
      </c>
      <c r="AC213" s="39">
        <v>0</v>
      </c>
      <c r="AD213" s="39">
        <v>0</v>
      </c>
      <c r="AE213" s="39">
        <v>0</v>
      </c>
      <c r="AF213" s="39">
        <v>0</v>
      </c>
      <c r="AG213" s="39">
        <v>0</v>
      </c>
      <c r="AH213" s="39"/>
      <c r="AI213" s="39"/>
      <c r="AJ213" s="40"/>
      <c r="AK213" s="39">
        <f t="shared" si="15"/>
        <v>0</v>
      </c>
      <c r="AL213" s="39">
        <f t="shared" si="18"/>
        <v>0</v>
      </c>
      <c r="AM213" s="39">
        <f t="shared" si="19"/>
        <v>0</v>
      </c>
      <c r="AN213" s="39">
        <f t="shared" si="16"/>
        <v>0</v>
      </c>
      <c r="AO213" s="39">
        <f t="shared" si="17"/>
        <v>0</v>
      </c>
    </row>
    <row r="214" spans="1:41" x14ac:dyDescent="0.3">
      <c r="A214" s="20">
        <v>1000184670</v>
      </c>
      <c r="B214" s="4" t="s">
        <v>147</v>
      </c>
      <c r="C214" s="21">
        <v>1000185711</v>
      </c>
      <c r="D214" s="3" t="s">
        <v>167</v>
      </c>
      <c r="E214" s="20">
        <v>1000184764</v>
      </c>
      <c r="F214" s="4" t="s">
        <v>70</v>
      </c>
      <c r="G214" s="21">
        <v>1000189818</v>
      </c>
      <c r="H214" s="3" t="s">
        <v>72</v>
      </c>
      <c r="I214" s="21">
        <v>1000189759</v>
      </c>
      <c r="J214" s="3" t="s">
        <v>155</v>
      </c>
      <c r="K214" s="20" t="s">
        <v>16</v>
      </c>
      <c r="L214" s="39">
        <v>0</v>
      </c>
      <c r="M214" s="39">
        <v>0</v>
      </c>
      <c r="N214" s="39">
        <v>0</v>
      </c>
      <c r="O214" s="39">
        <v>0</v>
      </c>
      <c r="P214" s="39">
        <v>0</v>
      </c>
      <c r="Q214" s="39">
        <v>0</v>
      </c>
      <c r="R214" s="39">
        <v>0</v>
      </c>
      <c r="S214" s="39">
        <v>0</v>
      </c>
      <c r="T214" s="39">
        <v>0</v>
      </c>
      <c r="U214" s="39">
        <v>0</v>
      </c>
      <c r="V214" s="39">
        <v>0</v>
      </c>
      <c r="W214" s="39">
        <v>0</v>
      </c>
      <c r="X214" s="39">
        <v>0</v>
      </c>
      <c r="Y214" s="39">
        <v>0</v>
      </c>
      <c r="Z214" s="39">
        <v>0</v>
      </c>
      <c r="AA214" s="39">
        <v>0</v>
      </c>
      <c r="AB214" s="39">
        <v>0</v>
      </c>
      <c r="AC214" s="39">
        <v>0</v>
      </c>
      <c r="AD214" s="39">
        <v>0</v>
      </c>
      <c r="AE214" s="39">
        <v>0</v>
      </c>
      <c r="AF214" s="39">
        <v>0</v>
      </c>
      <c r="AG214" s="39">
        <v>0</v>
      </c>
      <c r="AH214" s="39"/>
      <c r="AI214" s="39"/>
      <c r="AJ214" s="40"/>
      <c r="AK214" s="39">
        <f t="shared" si="15"/>
        <v>0</v>
      </c>
      <c r="AL214" s="39">
        <f t="shared" si="18"/>
        <v>0</v>
      </c>
      <c r="AM214" s="39">
        <f t="shared" si="19"/>
        <v>0</v>
      </c>
      <c r="AN214" s="39">
        <f t="shared" si="16"/>
        <v>0</v>
      </c>
      <c r="AO214" s="39">
        <f t="shared" si="17"/>
        <v>0</v>
      </c>
    </row>
    <row r="215" spans="1:41" x14ac:dyDescent="0.3">
      <c r="A215" s="20">
        <v>1000184670</v>
      </c>
      <c r="B215" s="4" t="s">
        <v>147</v>
      </c>
      <c r="C215" s="21">
        <v>1000185711</v>
      </c>
      <c r="D215" s="3" t="s">
        <v>167</v>
      </c>
      <c r="E215" s="20">
        <v>1000184764</v>
      </c>
      <c r="F215" s="4" t="s">
        <v>70</v>
      </c>
      <c r="G215" s="21">
        <v>1000189818</v>
      </c>
      <c r="H215" s="3" t="s">
        <v>72</v>
      </c>
      <c r="I215" s="21">
        <v>1000189759</v>
      </c>
      <c r="J215" s="3" t="s">
        <v>155</v>
      </c>
      <c r="K215" s="20" t="s">
        <v>15</v>
      </c>
      <c r="L215" s="39">
        <v>0</v>
      </c>
      <c r="M215" s="39">
        <v>0</v>
      </c>
      <c r="N215" s="39">
        <v>0</v>
      </c>
      <c r="O215" s="39">
        <v>0</v>
      </c>
      <c r="P215" s="39">
        <v>0</v>
      </c>
      <c r="Q215" s="39">
        <v>0</v>
      </c>
      <c r="R215" s="39">
        <v>0</v>
      </c>
      <c r="S215" s="39">
        <v>0</v>
      </c>
      <c r="T215" s="39">
        <v>0</v>
      </c>
      <c r="U215" s="39">
        <v>0</v>
      </c>
      <c r="V215" s="39">
        <v>0</v>
      </c>
      <c r="W215" s="39">
        <v>0</v>
      </c>
      <c r="X215" s="39">
        <v>0</v>
      </c>
      <c r="Y215" s="39">
        <v>0</v>
      </c>
      <c r="Z215" s="39">
        <v>0</v>
      </c>
      <c r="AA215" s="39">
        <v>0</v>
      </c>
      <c r="AB215" s="39">
        <v>0</v>
      </c>
      <c r="AC215" s="39">
        <v>0</v>
      </c>
      <c r="AD215" s="39">
        <v>0</v>
      </c>
      <c r="AE215" s="39">
        <v>0</v>
      </c>
      <c r="AF215" s="39">
        <v>0</v>
      </c>
      <c r="AG215" s="39">
        <v>0</v>
      </c>
      <c r="AH215" s="39"/>
      <c r="AI215" s="39"/>
      <c r="AJ215" s="40"/>
      <c r="AK215" s="39">
        <f t="shared" si="15"/>
        <v>0</v>
      </c>
      <c r="AL215" s="39">
        <f t="shared" si="18"/>
        <v>0</v>
      </c>
      <c r="AM215" s="39">
        <f t="shared" si="19"/>
        <v>0</v>
      </c>
      <c r="AN215" s="39">
        <f t="shared" si="16"/>
        <v>0</v>
      </c>
      <c r="AO215" s="39">
        <f t="shared" si="17"/>
        <v>0</v>
      </c>
    </row>
    <row r="216" spans="1:41" x14ac:dyDescent="0.3">
      <c r="A216" s="20">
        <v>1000184670</v>
      </c>
      <c r="B216" s="4" t="s">
        <v>147</v>
      </c>
      <c r="C216" s="21">
        <v>1000185711</v>
      </c>
      <c r="D216" s="3" t="s">
        <v>167</v>
      </c>
      <c r="E216" s="20">
        <v>1000184764</v>
      </c>
      <c r="F216" s="4" t="s">
        <v>70</v>
      </c>
      <c r="G216" s="21">
        <v>1000189818</v>
      </c>
      <c r="H216" s="3" t="s">
        <v>72</v>
      </c>
      <c r="I216" s="21">
        <v>1000189759</v>
      </c>
      <c r="J216" s="3" t="s">
        <v>155</v>
      </c>
      <c r="K216" s="20" t="s">
        <v>33</v>
      </c>
      <c r="L216" s="39">
        <v>0</v>
      </c>
      <c r="M216" s="39">
        <v>0</v>
      </c>
      <c r="N216" s="39">
        <v>0</v>
      </c>
      <c r="O216" s="39">
        <v>0</v>
      </c>
      <c r="P216" s="39">
        <v>0</v>
      </c>
      <c r="Q216" s="39">
        <v>0</v>
      </c>
      <c r="R216" s="39">
        <v>0</v>
      </c>
      <c r="S216" s="39">
        <v>0</v>
      </c>
      <c r="T216" s="39">
        <v>0</v>
      </c>
      <c r="U216" s="39">
        <v>0</v>
      </c>
      <c r="V216" s="39">
        <v>0</v>
      </c>
      <c r="W216" s="39">
        <v>0</v>
      </c>
      <c r="X216" s="39">
        <v>0</v>
      </c>
      <c r="Y216" s="39">
        <v>0</v>
      </c>
      <c r="Z216" s="39">
        <v>0</v>
      </c>
      <c r="AA216" s="39">
        <v>0</v>
      </c>
      <c r="AB216" s="39">
        <v>0</v>
      </c>
      <c r="AC216" s="39">
        <v>0</v>
      </c>
      <c r="AD216" s="39">
        <v>0</v>
      </c>
      <c r="AE216" s="39">
        <v>0</v>
      </c>
      <c r="AF216" s="39">
        <v>0</v>
      </c>
      <c r="AG216" s="39">
        <v>0</v>
      </c>
      <c r="AH216" s="39"/>
      <c r="AI216" s="39"/>
      <c r="AJ216" s="40"/>
      <c r="AK216" s="39">
        <f t="shared" si="15"/>
        <v>0</v>
      </c>
      <c r="AL216" s="39">
        <f t="shared" si="18"/>
        <v>0</v>
      </c>
      <c r="AM216" s="39">
        <f t="shared" si="19"/>
        <v>0</v>
      </c>
      <c r="AN216" s="39">
        <f t="shared" si="16"/>
        <v>0</v>
      </c>
      <c r="AO216" s="39">
        <f t="shared" si="17"/>
        <v>0</v>
      </c>
    </row>
    <row r="217" spans="1:41" x14ac:dyDescent="0.3">
      <c r="A217" s="20">
        <v>1000184670</v>
      </c>
      <c r="B217" s="4" t="s">
        <v>147</v>
      </c>
      <c r="C217" s="21">
        <v>1000185711</v>
      </c>
      <c r="D217" s="3" t="s">
        <v>167</v>
      </c>
      <c r="E217" s="20">
        <v>1000184764</v>
      </c>
      <c r="F217" s="4" t="s">
        <v>70</v>
      </c>
      <c r="G217" s="21">
        <v>1000189818</v>
      </c>
      <c r="H217" s="3" t="s">
        <v>72</v>
      </c>
      <c r="I217" s="21">
        <v>1000189759</v>
      </c>
      <c r="J217" s="3" t="s">
        <v>155</v>
      </c>
      <c r="K217" s="20" t="s">
        <v>19</v>
      </c>
      <c r="L217" s="39">
        <v>0</v>
      </c>
      <c r="M217" s="39">
        <v>0</v>
      </c>
      <c r="N217" s="39">
        <v>0</v>
      </c>
      <c r="O217" s="39">
        <v>0</v>
      </c>
      <c r="P217" s="39">
        <v>0</v>
      </c>
      <c r="Q217" s="39">
        <v>0</v>
      </c>
      <c r="R217" s="39">
        <v>0</v>
      </c>
      <c r="S217" s="39">
        <v>0</v>
      </c>
      <c r="T217" s="39">
        <v>0</v>
      </c>
      <c r="U217" s="39">
        <v>0</v>
      </c>
      <c r="V217" s="39">
        <v>0</v>
      </c>
      <c r="W217" s="39">
        <v>0</v>
      </c>
      <c r="X217" s="39">
        <v>0</v>
      </c>
      <c r="Y217" s="39">
        <v>0</v>
      </c>
      <c r="Z217" s="39">
        <v>0</v>
      </c>
      <c r="AA217" s="39">
        <v>0</v>
      </c>
      <c r="AB217" s="39">
        <v>0</v>
      </c>
      <c r="AC217" s="39">
        <v>0</v>
      </c>
      <c r="AD217" s="39">
        <v>0</v>
      </c>
      <c r="AE217" s="39">
        <v>0</v>
      </c>
      <c r="AF217" s="39">
        <v>0</v>
      </c>
      <c r="AG217" s="39">
        <v>0</v>
      </c>
      <c r="AH217" s="39"/>
      <c r="AI217" s="39"/>
      <c r="AJ217" s="40"/>
      <c r="AK217" s="39">
        <f t="shared" si="15"/>
        <v>0</v>
      </c>
      <c r="AL217" s="39">
        <f t="shared" si="18"/>
        <v>0</v>
      </c>
      <c r="AM217" s="39">
        <f t="shared" si="19"/>
        <v>0</v>
      </c>
      <c r="AN217" s="39">
        <f t="shared" si="16"/>
        <v>0</v>
      </c>
      <c r="AO217" s="39">
        <f t="shared" si="17"/>
        <v>0</v>
      </c>
    </row>
    <row r="218" spans="1:41" x14ac:dyDescent="0.3">
      <c r="A218" s="20">
        <v>1000184670</v>
      </c>
      <c r="B218" s="4" t="s">
        <v>147</v>
      </c>
      <c r="C218" s="21">
        <v>1000185711</v>
      </c>
      <c r="D218" s="3" t="s">
        <v>167</v>
      </c>
      <c r="E218" s="20">
        <v>1000184764</v>
      </c>
      <c r="F218" s="4" t="s">
        <v>70</v>
      </c>
      <c r="G218" s="21">
        <v>1000189818</v>
      </c>
      <c r="H218" s="3" t="s">
        <v>72</v>
      </c>
      <c r="I218" s="21">
        <v>1000189759</v>
      </c>
      <c r="J218" s="3" t="s">
        <v>155</v>
      </c>
      <c r="K218" s="20" t="s">
        <v>17</v>
      </c>
      <c r="L218" s="39">
        <v>0</v>
      </c>
      <c r="M218" s="39">
        <v>0</v>
      </c>
      <c r="N218" s="39">
        <v>0</v>
      </c>
      <c r="O218" s="39">
        <v>0</v>
      </c>
      <c r="P218" s="39">
        <v>0</v>
      </c>
      <c r="Q218" s="39">
        <v>0</v>
      </c>
      <c r="R218" s="39">
        <v>0</v>
      </c>
      <c r="S218" s="39">
        <v>0</v>
      </c>
      <c r="T218" s="39">
        <v>0</v>
      </c>
      <c r="U218" s="39">
        <v>0</v>
      </c>
      <c r="V218" s="39">
        <v>0</v>
      </c>
      <c r="W218" s="39">
        <v>0</v>
      </c>
      <c r="X218" s="39">
        <v>0</v>
      </c>
      <c r="Y218" s="39">
        <v>0</v>
      </c>
      <c r="Z218" s="39">
        <v>0</v>
      </c>
      <c r="AA218" s="39">
        <v>0</v>
      </c>
      <c r="AB218" s="39">
        <v>0</v>
      </c>
      <c r="AC218" s="39">
        <v>0</v>
      </c>
      <c r="AD218" s="39">
        <v>0</v>
      </c>
      <c r="AE218" s="39">
        <v>0</v>
      </c>
      <c r="AF218" s="39">
        <v>0</v>
      </c>
      <c r="AG218" s="39">
        <v>0</v>
      </c>
      <c r="AH218" s="39"/>
      <c r="AI218" s="39"/>
      <c r="AJ218" s="40"/>
      <c r="AK218" s="39">
        <f t="shared" si="15"/>
        <v>0</v>
      </c>
      <c r="AL218" s="39">
        <f t="shared" si="18"/>
        <v>0</v>
      </c>
      <c r="AM218" s="39">
        <f t="shared" si="19"/>
        <v>0</v>
      </c>
      <c r="AN218" s="39">
        <f t="shared" si="16"/>
        <v>0</v>
      </c>
      <c r="AO218" s="39">
        <f t="shared" si="17"/>
        <v>0</v>
      </c>
    </row>
    <row r="219" spans="1:41" x14ac:dyDescent="0.3">
      <c r="A219" s="20">
        <v>1000184670</v>
      </c>
      <c r="B219" s="4" t="s">
        <v>147</v>
      </c>
      <c r="C219" s="21">
        <v>1000185711</v>
      </c>
      <c r="D219" s="3" t="s">
        <v>167</v>
      </c>
      <c r="E219" s="20">
        <v>1000184764</v>
      </c>
      <c r="F219" s="4" t="s">
        <v>70</v>
      </c>
      <c r="G219" s="21">
        <v>1000189818</v>
      </c>
      <c r="H219" s="3" t="s">
        <v>72</v>
      </c>
      <c r="I219" s="21">
        <v>1000189759</v>
      </c>
      <c r="J219" s="3" t="s">
        <v>155</v>
      </c>
      <c r="K219" s="20" t="s">
        <v>24</v>
      </c>
      <c r="L219" s="39">
        <v>0</v>
      </c>
      <c r="M219" s="39">
        <v>0</v>
      </c>
      <c r="N219" s="39">
        <v>0</v>
      </c>
      <c r="O219" s="39">
        <v>0</v>
      </c>
      <c r="P219" s="39">
        <v>0</v>
      </c>
      <c r="Q219" s="39">
        <v>0</v>
      </c>
      <c r="R219" s="39">
        <v>0</v>
      </c>
      <c r="S219" s="39">
        <v>0</v>
      </c>
      <c r="T219" s="39">
        <v>0</v>
      </c>
      <c r="U219" s="39">
        <v>0</v>
      </c>
      <c r="V219" s="39">
        <v>0</v>
      </c>
      <c r="W219" s="39">
        <v>0</v>
      </c>
      <c r="X219" s="39">
        <v>0</v>
      </c>
      <c r="Y219" s="39">
        <v>0</v>
      </c>
      <c r="Z219" s="39">
        <v>0</v>
      </c>
      <c r="AA219" s="39">
        <v>0</v>
      </c>
      <c r="AB219" s="39">
        <v>0</v>
      </c>
      <c r="AC219" s="39">
        <v>0</v>
      </c>
      <c r="AD219" s="39">
        <v>0</v>
      </c>
      <c r="AE219" s="39">
        <v>0</v>
      </c>
      <c r="AF219" s="39">
        <v>0</v>
      </c>
      <c r="AG219" s="39">
        <v>0</v>
      </c>
      <c r="AH219" s="39"/>
      <c r="AI219" s="39"/>
      <c r="AJ219" s="40"/>
      <c r="AK219" s="39">
        <f t="shared" si="15"/>
        <v>0</v>
      </c>
      <c r="AL219" s="39">
        <f t="shared" si="18"/>
        <v>0</v>
      </c>
      <c r="AM219" s="39">
        <f t="shared" si="19"/>
        <v>0</v>
      </c>
      <c r="AN219" s="39">
        <f t="shared" si="16"/>
        <v>0</v>
      </c>
      <c r="AO219" s="39">
        <f t="shared" si="17"/>
        <v>0</v>
      </c>
    </row>
    <row r="220" spans="1:41" x14ac:dyDescent="0.3">
      <c r="A220" s="20">
        <v>1000184670</v>
      </c>
      <c r="B220" s="4" t="s">
        <v>147</v>
      </c>
      <c r="C220" s="21">
        <v>1000185711</v>
      </c>
      <c r="D220" s="3" t="s">
        <v>167</v>
      </c>
      <c r="E220" s="20">
        <v>1000184764</v>
      </c>
      <c r="F220" s="4" t="s">
        <v>70</v>
      </c>
      <c r="G220" s="21">
        <v>1000189818</v>
      </c>
      <c r="H220" s="3" t="s">
        <v>72</v>
      </c>
      <c r="I220" s="21">
        <v>1000189759</v>
      </c>
      <c r="J220" s="3" t="s">
        <v>155</v>
      </c>
      <c r="K220" s="20" t="s">
        <v>18</v>
      </c>
      <c r="L220" s="39">
        <v>0</v>
      </c>
      <c r="M220" s="39">
        <v>0</v>
      </c>
      <c r="N220" s="39">
        <v>0</v>
      </c>
      <c r="O220" s="39">
        <v>0</v>
      </c>
      <c r="P220" s="39">
        <v>0</v>
      </c>
      <c r="Q220" s="39">
        <v>0</v>
      </c>
      <c r="R220" s="39">
        <v>0</v>
      </c>
      <c r="S220" s="39">
        <v>0</v>
      </c>
      <c r="T220" s="39">
        <v>0</v>
      </c>
      <c r="U220" s="39">
        <v>0</v>
      </c>
      <c r="V220" s="39">
        <v>0</v>
      </c>
      <c r="W220" s="39">
        <v>0</v>
      </c>
      <c r="X220" s="39">
        <v>0</v>
      </c>
      <c r="Y220" s="39">
        <v>0</v>
      </c>
      <c r="Z220" s="39">
        <v>0</v>
      </c>
      <c r="AA220" s="39">
        <v>0</v>
      </c>
      <c r="AB220" s="39">
        <v>0</v>
      </c>
      <c r="AC220" s="39">
        <v>0</v>
      </c>
      <c r="AD220" s="39">
        <v>0</v>
      </c>
      <c r="AE220" s="39">
        <v>0</v>
      </c>
      <c r="AF220" s="39">
        <v>0</v>
      </c>
      <c r="AG220" s="39">
        <v>0</v>
      </c>
      <c r="AH220" s="39"/>
      <c r="AI220" s="39"/>
      <c r="AJ220" s="40"/>
      <c r="AK220" s="39">
        <f t="shared" si="15"/>
        <v>0</v>
      </c>
      <c r="AL220" s="39">
        <f t="shared" si="18"/>
        <v>0</v>
      </c>
      <c r="AM220" s="39">
        <f t="shared" si="19"/>
        <v>0</v>
      </c>
      <c r="AN220" s="39">
        <f t="shared" si="16"/>
        <v>0</v>
      </c>
      <c r="AO220" s="39">
        <f t="shared" si="17"/>
        <v>0</v>
      </c>
    </row>
    <row r="221" spans="1:41" x14ac:dyDescent="0.3">
      <c r="A221" s="20">
        <v>1000184670</v>
      </c>
      <c r="B221" s="4" t="s">
        <v>147</v>
      </c>
      <c r="C221" s="21">
        <v>1000185711</v>
      </c>
      <c r="D221" s="3" t="s">
        <v>167</v>
      </c>
      <c r="E221" s="20">
        <v>1000184764</v>
      </c>
      <c r="F221" s="4" t="s">
        <v>70</v>
      </c>
      <c r="G221" s="21">
        <v>1000189818</v>
      </c>
      <c r="H221" s="3" t="s">
        <v>72</v>
      </c>
      <c r="I221" s="21">
        <v>1000189759</v>
      </c>
      <c r="J221" s="3" t="s">
        <v>155</v>
      </c>
      <c r="K221" s="20" t="s">
        <v>29</v>
      </c>
      <c r="L221" s="39">
        <v>0</v>
      </c>
      <c r="M221" s="39">
        <v>0</v>
      </c>
      <c r="N221" s="39">
        <v>0</v>
      </c>
      <c r="O221" s="39">
        <v>0</v>
      </c>
      <c r="P221" s="39">
        <v>0</v>
      </c>
      <c r="Q221" s="39">
        <v>0</v>
      </c>
      <c r="R221" s="39">
        <v>0</v>
      </c>
      <c r="S221" s="39">
        <v>0</v>
      </c>
      <c r="T221" s="39">
        <v>0</v>
      </c>
      <c r="U221" s="39">
        <v>0</v>
      </c>
      <c r="V221" s="39">
        <v>0</v>
      </c>
      <c r="W221" s="39">
        <v>0</v>
      </c>
      <c r="X221" s="39">
        <v>0</v>
      </c>
      <c r="Y221" s="39">
        <v>0</v>
      </c>
      <c r="Z221" s="39">
        <v>0</v>
      </c>
      <c r="AA221" s="39">
        <v>0</v>
      </c>
      <c r="AB221" s="39">
        <v>0</v>
      </c>
      <c r="AC221" s="39">
        <v>0</v>
      </c>
      <c r="AD221" s="39">
        <v>0</v>
      </c>
      <c r="AE221" s="39">
        <v>0</v>
      </c>
      <c r="AF221" s="39">
        <v>0</v>
      </c>
      <c r="AG221" s="39">
        <v>0</v>
      </c>
      <c r="AH221" s="39"/>
      <c r="AI221" s="39"/>
      <c r="AJ221" s="40"/>
      <c r="AK221" s="39">
        <f t="shared" si="15"/>
        <v>0</v>
      </c>
      <c r="AL221" s="39">
        <f t="shared" si="18"/>
        <v>0</v>
      </c>
      <c r="AM221" s="39">
        <f t="shared" si="19"/>
        <v>0</v>
      </c>
      <c r="AN221" s="39">
        <f t="shared" si="16"/>
        <v>0</v>
      </c>
      <c r="AO221" s="39">
        <f t="shared" si="17"/>
        <v>0</v>
      </c>
    </row>
    <row r="222" spans="1:41" x14ac:dyDescent="0.3">
      <c r="A222" s="20">
        <v>1000184670</v>
      </c>
      <c r="B222" s="4" t="s">
        <v>147</v>
      </c>
      <c r="C222" s="21">
        <v>1000185711</v>
      </c>
      <c r="D222" s="3" t="s">
        <v>167</v>
      </c>
      <c r="E222" s="20">
        <v>1000184764</v>
      </c>
      <c r="F222" s="4" t="s">
        <v>70</v>
      </c>
      <c r="G222" s="21">
        <v>1000189818</v>
      </c>
      <c r="H222" s="3" t="s">
        <v>72</v>
      </c>
      <c r="I222" s="21">
        <v>1000189759</v>
      </c>
      <c r="J222" s="3" t="s">
        <v>155</v>
      </c>
      <c r="K222" s="20" t="s">
        <v>21</v>
      </c>
      <c r="L222" s="39">
        <v>0</v>
      </c>
      <c r="M222" s="39">
        <v>0</v>
      </c>
      <c r="N222" s="39">
        <v>0</v>
      </c>
      <c r="O222" s="39">
        <v>0</v>
      </c>
      <c r="P222" s="39">
        <v>0</v>
      </c>
      <c r="Q222" s="39">
        <v>0</v>
      </c>
      <c r="R222" s="39">
        <v>0</v>
      </c>
      <c r="S222" s="39">
        <v>0</v>
      </c>
      <c r="T222" s="39">
        <v>0</v>
      </c>
      <c r="U222" s="39">
        <v>0</v>
      </c>
      <c r="V222" s="39">
        <v>0</v>
      </c>
      <c r="W222" s="39">
        <v>0</v>
      </c>
      <c r="X222" s="39">
        <v>0</v>
      </c>
      <c r="Y222" s="39">
        <v>0</v>
      </c>
      <c r="Z222" s="39">
        <v>0</v>
      </c>
      <c r="AA222" s="39">
        <v>0</v>
      </c>
      <c r="AB222" s="39">
        <v>0</v>
      </c>
      <c r="AC222" s="39">
        <v>0</v>
      </c>
      <c r="AD222" s="39">
        <v>0</v>
      </c>
      <c r="AE222" s="39">
        <v>0</v>
      </c>
      <c r="AF222" s="39">
        <v>0</v>
      </c>
      <c r="AG222" s="39">
        <v>0</v>
      </c>
      <c r="AH222" s="39"/>
      <c r="AI222" s="39"/>
      <c r="AJ222" s="40"/>
      <c r="AK222" s="39">
        <f t="shared" si="15"/>
        <v>0</v>
      </c>
      <c r="AL222" s="39">
        <f t="shared" si="18"/>
        <v>0</v>
      </c>
      <c r="AM222" s="39">
        <f t="shared" si="19"/>
        <v>0</v>
      </c>
      <c r="AN222" s="39">
        <f t="shared" si="16"/>
        <v>0</v>
      </c>
      <c r="AO222" s="39">
        <f t="shared" si="17"/>
        <v>0</v>
      </c>
    </row>
    <row r="223" spans="1:41" x14ac:dyDescent="0.3">
      <c r="A223" s="20">
        <v>1000184670</v>
      </c>
      <c r="B223" s="4" t="s">
        <v>147</v>
      </c>
      <c r="C223" s="21">
        <v>1000185711</v>
      </c>
      <c r="D223" s="3" t="s">
        <v>167</v>
      </c>
      <c r="E223" s="20">
        <v>1000184764</v>
      </c>
      <c r="F223" s="4" t="s">
        <v>70</v>
      </c>
      <c r="G223" s="21">
        <v>1000189818</v>
      </c>
      <c r="H223" s="3" t="s">
        <v>72</v>
      </c>
      <c r="I223" s="21">
        <v>1000189759</v>
      </c>
      <c r="J223" s="3" t="s">
        <v>155</v>
      </c>
      <c r="K223" s="20" t="s">
        <v>20</v>
      </c>
      <c r="L223" s="39">
        <v>0</v>
      </c>
      <c r="M223" s="39">
        <v>0</v>
      </c>
      <c r="N223" s="39">
        <v>0</v>
      </c>
      <c r="O223" s="39">
        <v>0</v>
      </c>
      <c r="P223" s="39">
        <v>0</v>
      </c>
      <c r="Q223" s="39">
        <v>0</v>
      </c>
      <c r="R223" s="39">
        <v>0</v>
      </c>
      <c r="S223" s="39">
        <v>0</v>
      </c>
      <c r="T223" s="39">
        <v>0</v>
      </c>
      <c r="U223" s="39">
        <v>0</v>
      </c>
      <c r="V223" s="39">
        <v>0</v>
      </c>
      <c r="W223" s="39">
        <v>0</v>
      </c>
      <c r="X223" s="39">
        <v>0</v>
      </c>
      <c r="Y223" s="39">
        <v>0</v>
      </c>
      <c r="Z223" s="39">
        <v>0</v>
      </c>
      <c r="AA223" s="39">
        <v>0</v>
      </c>
      <c r="AB223" s="39">
        <v>0</v>
      </c>
      <c r="AC223" s="39">
        <v>0</v>
      </c>
      <c r="AD223" s="39">
        <v>0</v>
      </c>
      <c r="AE223" s="39">
        <v>0</v>
      </c>
      <c r="AF223" s="39">
        <v>0</v>
      </c>
      <c r="AG223" s="39">
        <v>0</v>
      </c>
      <c r="AH223" s="39"/>
      <c r="AI223" s="39"/>
      <c r="AJ223" s="40"/>
      <c r="AK223" s="39">
        <f t="shared" si="15"/>
        <v>0</v>
      </c>
      <c r="AL223" s="39">
        <f t="shared" si="18"/>
        <v>0</v>
      </c>
      <c r="AM223" s="39">
        <f t="shared" si="19"/>
        <v>0</v>
      </c>
      <c r="AN223" s="39">
        <f t="shared" si="16"/>
        <v>0</v>
      </c>
      <c r="AO223" s="39">
        <f t="shared" si="17"/>
        <v>0</v>
      </c>
    </row>
    <row r="224" spans="1:41" x14ac:dyDescent="0.3">
      <c r="A224" s="20">
        <v>1000184670</v>
      </c>
      <c r="B224" s="4" t="s">
        <v>147</v>
      </c>
      <c r="C224" s="21">
        <v>1000185711</v>
      </c>
      <c r="D224" s="3" t="s">
        <v>167</v>
      </c>
      <c r="E224" s="20">
        <v>1000184764</v>
      </c>
      <c r="F224" s="4" t="s">
        <v>70</v>
      </c>
      <c r="G224" s="21">
        <v>1000189818</v>
      </c>
      <c r="H224" s="3" t="s">
        <v>72</v>
      </c>
      <c r="I224" s="21">
        <v>1000189759</v>
      </c>
      <c r="J224" s="3" t="s">
        <v>155</v>
      </c>
      <c r="K224" s="20" t="s">
        <v>22</v>
      </c>
      <c r="L224" s="39">
        <v>0</v>
      </c>
      <c r="M224" s="39">
        <v>0</v>
      </c>
      <c r="N224" s="39">
        <v>0</v>
      </c>
      <c r="O224" s="39">
        <v>0</v>
      </c>
      <c r="P224" s="39">
        <v>0</v>
      </c>
      <c r="Q224" s="39">
        <v>0</v>
      </c>
      <c r="R224" s="39">
        <v>0</v>
      </c>
      <c r="S224" s="39">
        <v>0</v>
      </c>
      <c r="T224" s="39">
        <v>0</v>
      </c>
      <c r="U224" s="39">
        <v>0</v>
      </c>
      <c r="V224" s="39">
        <v>0</v>
      </c>
      <c r="W224" s="39">
        <v>0</v>
      </c>
      <c r="X224" s="39">
        <v>0</v>
      </c>
      <c r="Y224" s="39">
        <v>0</v>
      </c>
      <c r="Z224" s="39">
        <v>0</v>
      </c>
      <c r="AA224" s="39">
        <v>0</v>
      </c>
      <c r="AB224" s="39">
        <v>0</v>
      </c>
      <c r="AC224" s="39">
        <v>0</v>
      </c>
      <c r="AD224" s="39">
        <v>0</v>
      </c>
      <c r="AE224" s="39">
        <v>0</v>
      </c>
      <c r="AF224" s="39">
        <v>0</v>
      </c>
      <c r="AG224" s="39">
        <v>0</v>
      </c>
      <c r="AH224" s="39"/>
      <c r="AI224" s="39"/>
      <c r="AJ224" s="40"/>
      <c r="AK224" s="39">
        <f t="shared" si="15"/>
        <v>0</v>
      </c>
      <c r="AL224" s="39">
        <f t="shared" si="18"/>
        <v>0</v>
      </c>
      <c r="AM224" s="39">
        <f t="shared" si="19"/>
        <v>0</v>
      </c>
      <c r="AN224" s="39">
        <f t="shared" si="16"/>
        <v>0</v>
      </c>
      <c r="AO224" s="39">
        <f t="shared" si="17"/>
        <v>0</v>
      </c>
    </row>
    <row r="225" spans="1:41" x14ac:dyDescent="0.3">
      <c r="A225" s="20">
        <v>1000184670</v>
      </c>
      <c r="B225" s="4" t="s">
        <v>147</v>
      </c>
      <c r="C225" s="21">
        <v>1000185711</v>
      </c>
      <c r="D225" s="3" t="s">
        <v>167</v>
      </c>
      <c r="E225" s="20">
        <v>1000184764</v>
      </c>
      <c r="F225" s="4" t="s">
        <v>70</v>
      </c>
      <c r="G225" s="21">
        <v>1000189818</v>
      </c>
      <c r="H225" s="3" t="s">
        <v>72</v>
      </c>
      <c r="I225" s="21">
        <v>1000189759</v>
      </c>
      <c r="J225" s="3" t="s">
        <v>155</v>
      </c>
      <c r="K225" s="20" t="s">
        <v>23</v>
      </c>
      <c r="L225" s="39">
        <v>0</v>
      </c>
      <c r="M225" s="39">
        <v>0</v>
      </c>
      <c r="N225" s="39">
        <v>0</v>
      </c>
      <c r="O225" s="39">
        <v>0</v>
      </c>
      <c r="P225" s="39">
        <v>0</v>
      </c>
      <c r="Q225" s="39">
        <v>0</v>
      </c>
      <c r="R225" s="39">
        <v>0</v>
      </c>
      <c r="S225" s="39">
        <v>0</v>
      </c>
      <c r="T225" s="39">
        <v>0</v>
      </c>
      <c r="U225" s="39">
        <v>0</v>
      </c>
      <c r="V225" s="39">
        <v>0</v>
      </c>
      <c r="W225" s="39">
        <v>0</v>
      </c>
      <c r="X225" s="39">
        <v>0</v>
      </c>
      <c r="Y225" s="39">
        <v>0</v>
      </c>
      <c r="Z225" s="39">
        <v>0</v>
      </c>
      <c r="AA225" s="39">
        <v>0</v>
      </c>
      <c r="AB225" s="39">
        <v>0</v>
      </c>
      <c r="AC225" s="39">
        <v>0</v>
      </c>
      <c r="AD225" s="39">
        <v>0</v>
      </c>
      <c r="AE225" s="39">
        <v>0</v>
      </c>
      <c r="AF225" s="39">
        <v>0</v>
      </c>
      <c r="AG225" s="39">
        <v>0</v>
      </c>
      <c r="AH225" s="39"/>
      <c r="AI225" s="39"/>
      <c r="AJ225" s="40"/>
      <c r="AK225" s="39">
        <f t="shared" si="15"/>
        <v>0</v>
      </c>
      <c r="AL225" s="39">
        <f t="shared" si="18"/>
        <v>0</v>
      </c>
      <c r="AM225" s="39">
        <f t="shared" si="19"/>
        <v>0</v>
      </c>
      <c r="AN225" s="39">
        <f t="shared" si="16"/>
        <v>0</v>
      </c>
      <c r="AO225" s="39">
        <f t="shared" si="17"/>
        <v>0</v>
      </c>
    </row>
    <row r="226" spans="1:41" x14ac:dyDescent="0.3">
      <c r="A226" s="20">
        <v>1000184670</v>
      </c>
      <c r="B226" s="4" t="s">
        <v>147</v>
      </c>
      <c r="C226" s="21">
        <v>1000185711</v>
      </c>
      <c r="D226" s="3" t="s">
        <v>167</v>
      </c>
      <c r="E226" s="20">
        <v>1000184764</v>
      </c>
      <c r="F226" s="4" t="s">
        <v>70</v>
      </c>
      <c r="G226" s="21">
        <v>1000189818</v>
      </c>
      <c r="H226" s="3" t="s">
        <v>72</v>
      </c>
      <c r="I226" s="21">
        <v>1000189759</v>
      </c>
      <c r="J226" s="3" t="s">
        <v>155</v>
      </c>
      <c r="K226" s="20" t="s">
        <v>28</v>
      </c>
      <c r="L226" s="39">
        <v>0</v>
      </c>
      <c r="M226" s="39">
        <v>0</v>
      </c>
      <c r="N226" s="39">
        <v>0</v>
      </c>
      <c r="O226" s="39">
        <v>0</v>
      </c>
      <c r="P226" s="39">
        <v>0</v>
      </c>
      <c r="Q226" s="39">
        <v>0</v>
      </c>
      <c r="R226" s="39">
        <v>0</v>
      </c>
      <c r="S226" s="39">
        <v>0</v>
      </c>
      <c r="T226" s="39">
        <v>0</v>
      </c>
      <c r="U226" s="39">
        <v>0</v>
      </c>
      <c r="V226" s="39">
        <v>0</v>
      </c>
      <c r="W226" s="39">
        <v>0</v>
      </c>
      <c r="X226" s="39">
        <v>0</v>
      </c>
      <c r="Y226" s="39">
        <v>0</v>
      </c>
      <c r="Z226" s="39">
        <v>0</v>
      </c>
      <c r="AA226" s="39">
        <v>0</v>
      </c>
      <c r="AB226" s="39">
        <v>0</v>
      </c>
      <c r="AC226" s="39">
        <v>0</v>
      </c>
      <c r="AD226" s="39">
        <v>0</v>
      </c>
      <c r="AE226" s="39">
        <v>0</v>
      </c>
      <c r="AF226" s="39">
        <v>0</v>
      </c>
      <c r="AG226" s="39">
        <v>0</v>
      </c>
      <c r="AH226" s="39"/>
      <c r="AI226" s="39"/>
      <c r="AJ226" s="40"/>
      <c r="AK226" s="39">
        <f t="shared" si="15"/>
        <v>0</v>
      </c>
      <c r="AL226" s="39">
        <f t="shared" si="18"/>
        <v>0</v>
      </c>
      <c r="AM226" s="39">
        <f t="shared" si="19"/>
        <v>0</v>
      </c>
      <c r="AN226" s="39">
        <f t="shared" si="16"/>
        <v>0</v>
      </c>
      <c r="AO226" s="39">
        <f t="shared" si="17"/>
        <v>0</v>
      </c>
    </row>
    <row r="227" spans="1:41" x14ac:dyDescent="0.3">
      <c r="A227" s="20">
        <v>1000184670</v>
      </c>
      <c r="B227" s="4" t="s">
        <v>147</v>
      </c>
      <c r="C227" s="21">
        <v>1000185711</v>
      </c>
      <c r="D227" s="3" t="s">
        <v>167</v>
      </c>
      <c r="E227" s="20">
        <v>1000184764</v>
      </c>
      <c r="F227" s="4" t="s">
        <v>70</v>
      </c>
      <c r="G227" s="21">
        <v>1000189818</v>
      </c>
      <c r="H227" s="3" t="s">
        <v>72</v>
      </c>
      <c r="I227" s="21">
        <v>1000189759</v>
      </c>
      <c r="J227" s="3" t="s">
        <v>155</v>
      </c>
      <c r="K227" s="20" t="s">
        <v>26</v>
      </c>
      <c r="L227" s="39">
        <v>0</v>
      </c>
      <c r="M227" s="39">
        <v>0</v>
      </c>
      <c r="N227" s="39">
        <v>0</v>
      </c>
      <c r="O227" s="39">
        <v>0</v>
      </c>
      <c r="P227" s="39">
        <v>0</v>
      </c>
      <c r="Q227" s="39">
        <v>0</v>
      </c>
      <c r="R227" s="39">
        <v>0</v>
      </c>
      <c r="S227" s="39">
        <v>0</v>
      </c>
      <c r="T227" s="39">
        <v>0</v>
      </c>
      <c r="U227" s="39">
        <v>0</v>
      </c>
      <c r="V227" s="39">
        <v>0</v>
      </c>
      <c r="W227" s="39">
        <v>0</v>
      </c>
      <c r="X227" s="39">
        <v>0</v>
      </c>
      <c r="Y227" s="39">
        <v>0</v>
      </c>
      <c r="Z227" s="39">
        <v>0</v>
      </c>
      <c r="AA227" s="39">
        <v>0</v>
      </c>
      <c r="AB227" s="39">
        <v>0</v>
      </c>
      <c r="AC227" s="39">
        <v>0</v>
      </c>
      <c r="AD227" s="39">
        <v>0</v>
      </c>
      <c r="AE227" s="39">
        <v>0</v>
      </c>
      <c r="AF227" s="39">
        <v>0</v>
      </c>
      <c r="AG227" s="39">
        <v>0</v>
      </c>
      <c r="AH227" s="39"/>
      <c r="AI227" s="39"/>
      <c r="AJ227" s="40"/>
      <c r="AK227" s="39">
        <f t="shared" si="15"/>
        <v>0</v>
      </c>
      <c r="AL227" s="39">
        <f t="shared" si="18"/>
        <v>0</v>
      </c>
      <c r="AM227" s="39">
        <f t="shared" si="19"/>
        <v>0</v>
      </c>
      <c r="AN227" s="39">
        <f t="shared" si="16"/>
        <v>0</v>
      </c>
      <c r="AO227" s="39">
        <f t="shared" si="17"/>
        <v>0</v>
      </c>
    </row>
    <row r="228" spans="1:41" x14ac:dyDescent="0.3">
      <c r="A228" s="20">
        <v>1000184670</v>
      </c>
      <c r="B228" s="4" t="s">
        <v>147</v>
      </c>
      <c r="C228" s="21">
        <v>1000185711</v>
      </c>
      <c r="D228" s="3" t="s">
        <v>167</v>
      </c>
      <c r="E228" s="20">
        <v>1000184764</v>
      </c>
      <c r="F228" s="4" t="s">
        <v>70</v>
      </c>
      <c r="G228" s="21">
        <v>1000189818</v>
      </c>
      <c r="H228" s="3" t="s">
        <v>72</v>
      </c>
      <c r="I228" s="21">
        <v>1000189759</v>
      </c>
      <c r="J228" s="3" t="s">
        <v>155</v>
      </c>
      <c r="K228" s="20" t="s">
        <v>27</v>
      </c>
      <c r="L228" s="39">
        <v>0</v>
      </c>
      <c r="M228" s="39">
        <v>0</v>
      </c>
      <c r="N228" s="39">
        <v>0</v>
      </c>
      <c r="O228" s="39">
        <v>0</v>
      </c>
      <c r="P228" s="39">
        <v>0</v>
      </c>
      <c r="Q228" s="39">
        <v>0</v>
      </c>
      <c r="R228" s="39">
        <v>0</v>
      </c>
      <c r="S228" s="39">
        <v>0</v>
      </c>
      <c r="T228" s="39">
        <v>0</v>
      </c>
      <c r="U228" s="39">
        <v>0</v>
      </c>
      <c r="V228" s="39">
        <v>0</v>
      </c>
      <c r="W228" s="39">
        <v>0</v>
      </c>
      <c r="X228" s="39">
        <v>0</v>
      </c>
      <c r="Y228" s="39">
        <v>0</v>
      </c>
      <c r="Z228" s="39">
        <v>0</v>
      </c>
      <c r="AA228" s="39">
        <v>0</v>
      </c>
      <c r="AB228" s="39">
        <v>0</v>
      </c>
      <c r="AC228" s="39">
        <v>0</v>
      </c>
      <c r="AD228" s="39">
        <v>0</v>
      </c>
      <c r="AE228" s="39">
        <v>0</v>
      </c>
      <c r="AF228" s="39">
        <v>0</v>
      </c>
      <c r="AG228" s="39">
        <v>0</v>
      </c>
      <c r="AH228" s="39"/>
      <c r="AI228" s="39"/>
      <c r="AJ228" s="40"/>
      <c r="AK228" s="39">
        <f t="shared" si="15"/>
        <v>0</v>
      </c>
      <c r="AL228" s="39">
        <f t="shared" si="18"/>
        <v>0</v>
      </c>
      <c r="AM228" s="39">
        <f t="shared" si="19"/>
        <v>0</v>
      </c>
      <c r="AN228" s="39">
        <f t="shared" si="16"/>
        <v>0</v>
      </c>
      <c r="AO228" s="39">
        <f t="shared" si="17"/>
        <v>0</v>
      </c>
    </row>
    <row r="229" spans="1:41" x14ac:dyDescent="0.3">
      <c r="A229" s="20">
        <v>1000184670</v>
      </c>
      <c r="B229" s="4" t="s">
        <v>147</v>
      </c>
      <c r="C229" s="21">
        <v>1000185711</v>
      </c>
      <c r="D229" s="3" t="s">
        <v>167</v>
      </c>
      <c r="E229" s="20">
        <v>1000184764</v>
      </c>
      <c r="F229" s="4" t="s">
        <v>70</v>
      </c>
      <c r="G229" s="21">
        <v>1000189818</v>
      </c>
      <c r="H229" s="3" t="s">
        <v>72</v>
      </c>
      <c r="I229" s="21">
        <v>1000189759</v>
      </c>
      <c r="J229" s="3" t="s">
        <v>155</v>
      </c>
      <c r="K229" s="20" t="s">
        <v>25</v>
      </c>
      <c r="L229" s="39">
        <v>0</v>
      </c>
      <c r="M229" s="39">
        <v>0</v>
      </c>
      <c r="N229" s="39">
        <v>0</v>
      </c>
      <c r="O229" s="39">
        <v>0</v>
      </c>
      <c r="P229" s="39">
        <v>0</v>
      </c>
      <c r="Q229" s="39">
        <v>0</v>
      </c>
      <c r="R229" s="39">
        <v>0</v>
      </c>
      <c r="S229" s="39">
        <v>0</v>
      </c>
      <c r="T229" s="39">
        <v>0</v>
      </c>
      <c r="U229" s="39">
        <v>0</v>
      </c>
      <c r="V229" s="39">
        <v>0</v>
      </c>
      <c r="W229" s="39">
        <v>0</v>
      </c>
      <c r="X229" s="39">
        <v>0</v>
      </c>
      <c r="Y229" s="39">
        <v>0</v>
      </c>
      <c r="Z229" s="39">
        <v>0</v>
      </c>
      <c r="AA229" s="39">
        <v>0</v>
      </c>
      <c r="AB229" s="39">
        <v>0</v>
      </c>
      <c r="AC229" s="39">
        <v>0</v>
      </c>
      <c r="AD229" s="39">
        <v>0</v>
      </c>
      <c r="AE229" s="39">
        <v>0</v>
      </c>
      <c r="AF229" s="39">
        <v>0</v>
      </c>
      <c r="AG229" s="39">
        <v>0</v>
      </c>
      <c r="AH229" s="39"/>
      <c r="AI229" s="39"/>
      <c r="AJ229" s="40"/>
      <c r="AK229" s="39">
        <f t="shared" si="15"/>
        <v>0</v>
      </c>
      <c r="AL229" s="39">
        <f t="shared" si="18"/>
        <v>0</v>
      </c>
      <c r="AM229" s="39">
        <f t="shared" si="19"/>
        <v>0</v>
      </c>
      <c r="AN229" s="39">
        <f t="shared" si="16"/>
        <v>0</v>
      </c>
      <c r="AO229" s="39">
        <f t="shared" si="17"/>
        <v>0</v>
      </c>
    </row>
    <row r="230" spans="1:41" x14ac:dyDescent="0.3">
      <c r="A230" s="20">
        <v>1000184670</v>
      </c>
      <c r="B230" s="4" t="s">
        <v>147</v>
      </c>
      <c r="C230" s="21">
        <v>1000186197</v>
      </c>
      <c r="D230" s="3" t="s">
        <v>166</v>
      </c>
      <c r="E230" s="20">
        <v>1000198600</v>
      </c>
      <c r="F230" s="4" t="s">
        <v>148</v>
      </c>
      <c r="G230" s="21">
        <v>1000198601</v>
      </c>
      <c r="H230" s="3" t="s">
        <v>149</v>
      </c>
      <c r="I230" s="21">
        <v>1000189760</v>
      </c>
      <c r="J230" s="3" t="s">
        <v>143</v>
      </c>
      <c r="K230" s="20" t="s">
        <v>124</v>
      </c>
      <c r="L230" s="39">
        <v>0</v>
      </c>
      <c r="M230" s="39">
        <v>0</v>
      </c>
      <c r="N230" s="39">
        <v>0</v>
      </c>
      <c r="O230" s="39">
        <v>0</v>
      </c>
      <c r="P230" s="39">
        <v>0</v>
      </c>
      <c r="Q230" s="39">
        <v>0</v>
      </c>
      <c r="R230" s="39">
        <v>0</v>
      </c>
      <c r="S230" s="39">
        <v>0</v>
      </c>
      <c r="T230" s="39">
        <v>0</v>
      </c>
      <c r="U230" s="39">
        <v>0</v>
      </c>
      <c r="V230" s="39">
        <v>0</v>
      </c>
      <c r="W230" s="39">
        <v>0</v>
      </c>
      <c r="X230" s="39">
        <v>0</v>
      </c>
      <c r="Y230" s="39">
        <v>0</v>
      </c>
      <c r="Z230" s="39">
        <v>0</v>
      </c>
      <c r="AA230" s="39">
        <v>0</v>
      </c>
      <c r="AB230" s="39">
        <v>0</v>
      </c>
      <c r="AC230" s="39">
        <v>0</v>
      </c>
      <c r="AD230" s="39">
        <v>0</v>
      </c>
      <c r="AE230" s="39">
        <v>0</v>
      </c>
      <c r="AF230" s="39">
        <v>0</v>
      </c>
      <c r="AG230" s="39">
        <v>0</v>
      </c>
      <c r="AH230" s="39"/>
      <c r="AI230" s="39"/>
      <c r="AJ230" s="40"/>
      <c r="AK230" s="39">
        <f t="shared" si="15"/>
        <v>0</v>
      </c>
      <c r="AL230" s="39">
        <f t="shared" si="18"/>
        <v>0</v>
      </c>
      <c r="AM230" s="39">
        <f t="shared" si="19"/>
        <v>0</v>
      </c>
      <c r="AN230" s="39">
        <f t="shared" si="16"/>
        <v>0</v>
      </c>
      <c r="AO230" s="39">
        <f t="shared" si="17"/>
        <v>0</v>
      </c>
    </row>
    <row r="231" spans="1:41" x14ac:dyDescent="0.3">
      <c r="A231" s="20">
        <v>1000184670</v>
      </c>
      <c r="B231" s="4" t="s">
        <v>147</v>
      </c>
      <c r="C231" s="21">
        <v>1000186197</v>
      </c>
      <c r="D231" s="3" t="s">
        <v>166</v>
      </c>
      <c r="E231" s="20">
        <v>1000198600</v>
      </c>
      <c r="F231" s="4" t="s">
        <v>148</v>
      </c>
      <c r="G231" s="21">
        <v>1000198601</v>
      </c>
      <c r="H231" s="3" t="s">
        <v>149</v>
      </c>
      <c r="I231" s="21">
        <v>1000189760</v>
      </c>
      <c r="J231" s="3" t="s">
        <v>143</v>
      </c>
      <c r="K231" s="20" t="s">
        <v>13</v>
      </c>
      <c r="L231" s="39">
        <v>0</v>
      </c>
      <c r="M231" s="39">
        <v>0</v>
      </c>
      <c r="N231" s="39">
        <v>0</v>
      </c>
      <c r="O231" s="39">
        <v>0</v>
      </c>
      <c r="P231" s="39">
        <v>0</v>
      </c>
      <c r="Q231" s="39">
        <v>0</v>
      </c>
      <c r="R231" s="39">
        <v>0</v>
      </c>
      <c r="S231" s="39">
        <v>0</v>
      </c>
      <c r="T231" s="39">
        <v>0</v>
      </c>
      <c r="U231" s="39">
        <v>0</v>
      </c>
      <c r="V231" s="39">
        <v>0</v>
      </c>
      <c r="W231" s="39">
        <v>0</v>
      </c>
      <c r="X231" s="39">
        <v>0</v>
      </c>
      <c r="Y231" s="39">
        <v>0</v>
      </c>
      <c r="Z231" s="39">
        <v>0</v>
      </c>
      <c r="AA231" s="39">
        <v>0</v>
      </c>
      <c r="AB231" s="39">
        <v>0</v>
      </c>
      <c r="AC231" s="39">
        <v>0</v>
      </c>
      <c r="AD231" s="39">
        <v>0</v>
      </c>
      <c r="AE231" s="39">
        <v>0</v>
      </c>
      <c r="AF231" s="39">
        <v>0</v>
      </c>
      <c r="AG231" s="39">
        <v>0</v>
      </c>
      <c r="AH231" s="39"/>
      <c r="AI231" s="39"/>
      <c r="AJ231" s="40"/>
      <c r="AK231" s="39">
        <f t="shared" si="15"/>
        <v>0</v>
      </c>
      <c r="AL231" s="39">
        <f t="shared" si="18"/>
        <v>0</v>
      </c>
      <c r="AM231" s="39">
        <f t="shared" si="19"/>
        <v>0</v>
      </c>
      <c r="AN231" s="39">
        <f t="shared" si="16"/>
        <v>0</v>
      </c>
      <c r="AO231" s="39">
        <f t="shared" si="17"/>
        <v>0</v>
      </c>
    </row>
    <row r="232" spans="1:41" x14ac:dyDescent="0.3">
      <c r="A232" s="20">
        <v>1000184670</v>
      </c>
      <c r="B232" s="4" t="s">
        <v>147</v>
      </c>
      <c r="C232" s="21">
        <v>1000186197</v>
      </c>
      <c r="D232" s="3" t="s">
        <v>166</v>
      </c>
      <c r="E232" s="20">
        <v>1000198600</v>
      </c>
      <c r="F232" s="4" t="s">
        <v>148</v>
      </c>
      <c r="G232" s="21">
        <v>1000198601</v>
      </c>
      <c r="H232" s="3" t="s">
        <v>149</v>
      </c>
      <c r="I232" s="21">
        <v>1000189760</v>
      </c>
      <c r="J232" s="3" t="s">
        <v>143</v>
      </c>
      <c r="K232" s="20" t="s">
        <v>14</v>
      </c>
      <c r="L232" s="39">
        <v>0</v>
      </c>
      <c r="M232" s="39">
        <v>0</v>
      </c>
      <c r="N232" s="39">
        <v>0</v>
      </c>
      <c r="O232" s="39">
        <v>0</v>
      </c>
      <c r="P232" s="39">
        <v>0</v>
      </c>
      <c r="Q232" s="39">
        <v>0</v>
      </c>
      <c r="R232" s="39">
        <v>0</v>
      </c>
      <c r="S232" s="39">
        <v>0</v>
      </c>
      <c r="T232" s="39">
        <v>0</v>
      </c>
      <c r="U232" s="39">
        <v>0</v>
      </c>
      <c r="V232" s="39">
        <v>0</v>
      </c>
      <c r="W232" s="39">
        <v>0</v>
      </c>
      <c r="X232" s="39">
        <v>0</v>
      </c>
      <c r="Y232" s="39">
        <v>0</v>
      </c>
      <c r="Z232" s="39">
        <v>0</v>
      </c>
      <c r="AA232" s="39">
        <v>0</v>
      </c>
      <c r="AB232" s="39">
        <v>0</v>
      </c>
      <c r="AC232" s="39">
        <v>0</v>
      </c>
      <c r="AD232" s="39">
        <v>0</v>
      </c>
      <c r="AE232" s="39">
        <v>0</v>
      </c>
      <c r="AF232" s="39">
        <v>0</v>
      </c>
      <c r="AG232" s="39">
        <v>0</v>
      </c>
      <c r="AH232" s="39"/>
      <c r="AI232" s="39"/>
      <c r="AJ232" s="40"/>
      <c r="AK232" s="39">
        <f t="shared" si="15"/>
        <v>0</v>
      </c>
      <c r="AL232" s="39">
        <f t="shared" si="18"/>
        <v>0</v>
      </c>
      <c r="AM232" s="39">
        <f t="shared" si="19"/>
        <v>0</v>
      </c>
      <c r="AN232" s="39">
        <f t="shared" si="16"/>
        <v>0</v>
      </c>
      <c r="AO232" s="39">
        <f t="shared" si="17"/>
        <v>0</v>
      </c>
    </row>
    <row r="233" spans="1:41" x14ac:dyDescent="0.3">
      <c r="A233" s="20">
        <v>1000184670</v>
      </c>
      <c r="B233" s="4" t="s">
        <v>147</v>
      </c>
      <c r="C233" s="21">
        <v>1000186197</v>
      </c>
      <c r="D233" s="3" t="s">
        <v>166</v>
      </c>
      <c r="E233" s="20">
        <v>1000198600</v>
      </c>
      <c r="F233" s="4" t="s">
        <v>148</v>
      </c>
      <c r="G233" s="21">
        <v>1000198601</v>
      </c>
      <c r="H233" s="3" t="s">
        <v>149</v>
      </c>
      <c r="I233" s="21">
        <v>1000189760</v>
      </c>
      <c r="J233" s="3" t="s">
        <v>143</v>
      </c>
      <c r="K233" s="20" t="s">
        <v>16</v>
      </c>
      <c r="L233" s="39">
        <v>0</v>
      </c>
      <c r="M233" s="39">
        <v>0</v>
      </c>
      <c r="N233" s="39">
        <v>0</v>
      </c>
      <c r="O233" s="39">
        <v>0</v>
      </c>
      <c r="P233" s="39">
        <v>0</v>
      </c>
      <c r="Q233" s="39">
        <v>0</v>
      </c>
      <c r="R233" s="39">
        <v>0</v>
      </c>
      <c r="S233" s="39">
        <v>0</v>
      </c>
      <c r="T233" s="39">
        <v>0</v>
      </c>
      <c r="U233" s="39">
        <v>0</v>
      </c>
      <c r="V233" s="39">
        <v>0</v>
      </c>
      <c r="W233" s="39">
        <v>0</v>
      </c>
      <c r="X233" s="39">
        <v>0</v>
      </c>
      <c r="Y233" s="39">
        <v>0</v>
      </c>
      <c r="Z233" s="39">
        <v>0</v>
      </c>
      <c r="AA233" s="39">
        <v>0</v>
      </c>
      <c r="AB233" s="39">
        <v>0</v>
      </c>
      <c r="AC233" s="39">
        <v>0</v>
      </c>
      <c r="AD233" s="39">
        <v>0</v>
      </c>
      <c r="AE233" s="39">
        <v>0</v>
      </c>
      <c r="AF233" s="39">
        <v>0</v>
      </c>
      <c r="AG233" s="39">
        <v>0</v>
      </c>
      <c r="AH233" s="39"/>
      <c r="AI233" s="39"/>
      <c r="AJ233" s="40"/>
      <c r="AK233" s="39">
        <f t="shared" si="15"/>
        <v>0</v>
      </c>
      <c r="AL233" s="39">
        <f t="shared" si="18"/>
        <v>0</v>
      </c>
      <c r="AM233" s="39">
        <f t="shared" si="19"/>
        <v>0</v>
      </c>
      <c r="AN233" s="39">
        <f t="shared" si="16"/>
        <v>0</v>
      </c>
      <c r="AO233" s="39">
        <f t="shared" si="17"/>
        <v>0</v>
      </c>
    </row>
    <row r="234" spans="1:41" x14ac:dyDescent="0.3">
      <c r="A234" s="20">
        <v>1000184670</v>
      </c>
      <c r="B234" s="4" t="s">
        <v>147</v>
      </c>
      <c r="C234" s="21">
        <v>1000186197</v>
      </c>
      <c r="D234" s="3" t="s">
        <v>166</v>
      </c>
      <c r="E234" s="20">
        <v>1000198600</v>
      </c>
      <c r="F234" s="4" t="s">
        <v>148</v>
      </c>
      <c r="G234" s="21">
        <v>1000198601</v>
      </c>
      <c r="H234" s="3" t="s">
        <v>149</v>
      </c>
      <c r="I234" s="21">
        <v>1000189760</v>
      </c>
      <c r="J234" s="3" t="s">
        <v>143</v>
      </c>
      <c r="K234" s="20" t="s">
        <v>15</v>
      </c>
      <c r="L234" s="39">
        <v>0</v>
      </c>
      <c r="M234" s="39">
        <v>0</v>
      </c>
      <c r="N234" s="39">
        <v>0</v>
      </c>
      <c r="O234" s="39">
        <v>0</v>
      </c>
      <c r="P234" s="39">
        <v>0</v>
      </c>
      <c r="Q234" s="39">
        <v>0</v>
      </c>
      <c r="R234" s="39">
        <v>0</v>
      </c>
      <c r="S234" s="39">
        <v>0</v>
      </c>
      <c r="T234" s="39">
        <v>0</v>
      </c>
      <c r="U234" s="39">
        <v>0</v>
      </c>
      <c r="V234" s="39">
        <v>0</v>
      </c>
      <c r="W234" s="39">
        <v>0</v>
      </c>
      <c r="X234" s="39">
        <v>0</v>
      </c>
      <c r="Y234" s="39">
        <v>0</v>
      </c>
      <c r="Z234" s="39">
        <v>0</v>
      </c>
      <c r="AA234" s="39">
        <v>0</v>
      </c>
      <c r="AB234" s="39">
        <v>0</v>
      </c>
      <c r="AC234" s="39">
        <v>0</v>
      </c>
      <c r="AD234" s="39">
        <v>0</v>
      </c>
      <c r="AE234" s="39">
        <v>0</v>
      </c>
      <c r="AF234" s="39">
        <v>0</v>
      </c>
      <c r="AG234" s="39">
        <v>0</v>
      </c>
      <c r="AH234" s="39"/>
      <c r="AI234" s="39"/>
      <c r="AJ234" s="40"/>
      <c r="AK234" s="39">
        <f t="shared" si="15"/>
        <v>0</v>
      </c>
      <c r="AL234" s="39">
        <f t="shared" si="18"/>
        <v>0</v>
      </c>
      <c r="AM234" s="39">
        <f t="shared" si="19"/>
        <v>0</v>
      </c>
      <c r="AN234" s="39">
        <f t="shared" si="16"/>
        <v>0</v>
      </c>
      <c r="AO234" s="39">
        <f t="shared" si="17"/>
        <v>0</v>
      </c>
    </row>
    <row r="235" spans="1:41" x14ac:dyDescent="0.3">
      <c r="A235" s="20">
        <v>1000184670</v>
      </c>
      <c r="B235" s="4" t="s">
        <v>147</v>
      </c>
      <c r="C235" s="21">
        <v>1000186197</v>
      </c>
      <c r="D235" s="3" t="s">
        <v>166</v>
      </c>
      <c r="E235" s="20">
        <v>1000198600</v>
      </c>
      <c r="F235" s="4" t="s">
        <v>148</v>
      </c>
      <c r="G235" s="21">
        <v>1000198601</v>
      </c>
      <c r="H235" s="3" t="s">
        <v>149</v>
      </c>
      <c r="I235" s="21">
        <v>1000189760</v>
      </c>
      <c r="J235" s="3" t="s">
        <v>143</v>
      </c>
      <c r="K235" s="20" t="s">
        <v>33</v>
      </c>
      <c r="L235" s="39">
        <v>0</v>
      </c>
      <c r="M235" s="39">
        <v>0</v>
      </c>
      <c r="N235" s="39">
        <v>0</v>
      </c>
      <c r="O235" s="39">
        <v>0</v>
      </c>
      <c r="P235" s="39">
        <v>0</v>
      </c>
      <c r="Q235" s="39">
        <v>0</v>
      </c>
      <c r="R235" s="39">
        <v>0</v>
      </c>
      <c r="S235" s="39">
        <v>0</v>
      </c>
      <c r="T235" s="39">
        <v>0</v>
      </c>
      <c r="U235" s="39">
        <v>0</v>
      </c>
      <c r="V235" s="39">
        <v>0</v>
      </c>
      <c r="W235" s="39">
        <v>0</v>
      </c>
      <c r="X235" s="39">
        <v>0</v>
      </c>
      <c r="Y235" s="39">
        <v>0</v>
      </c>
      <c r="Z235" s="39">
        <v>0</v>
      </c>
      <c r="AA235" s="39">
        <v>0</v>
      </c>
      <c r="AB235" s="39">
        <v>0</v>
      </c>
      <c r="AC235" s="39">
        <v>0</v>
      </c>
      <c r="AD235" s="39">
        <v>0</v>
      </c>
      <c r="AE235" s="39">
        <v>0</v>
      </c>
      <c r="AF235" s="39">
        <v>0</v>
      </c>
      <c r="AG235" s="39">
        <v>0</v>
      </c>
      <c r="AH235" s="39"/>
      <c r="AI235" s="39"/>
      <c r="AJ235" s="40"/>
      <c r="AK235" s="39">
        <f t="shared" si="15"/>
        <v>0</v>
      </c>
      <c r="AL235" s="39">
        <f t="shared" si="18"/>
        <v>0</v>
      </c>
      <c r="AM235" s="39">
        <f t="shared" si="19"/>
        <v>0</v>
      </c>
      <c r="AN235" s="39">
        <f t="shared" si="16"/>
        <v>0</v>
      </c>
      <c r="AO235" s="39">
        <f t="shared" si="17"/>
        <v>0</v>
      </c>
    </row>
    <row r="236" spans="1:41" x14ac:dyDescent="0.3">
      <c r="A236" s="20">
        <v>1000184670</v>
      </c>
      <c r="B236" s="4" t="s">
        <v>147</v>
      </c>
      <c r="C236" s="21">
        <v>1000186197</v>
      </c>
      <c r="D236" s="3" t="s">
        <v>166</v>
      </c>
      <c r="E236" s="20">
        <v>1000198600</v>
      </c>
      <c r="F236" s="4" t="s">
        <v>148</v>
      </c>
      <c r="G236" s="21">
        <v>1000198601</v>
      </c>
      <c r="H236" s="3" t="s">
        <v>149</v>
      </c>
      <c r="I236" s="21">
        <v>1000189760</v>
      </c>
      <c r="J236" s="3" t="s">
        <v>143</v>
      </c>
      <c r="K236" s="20" t="s">
        <v>19</v>
      </c>
      <c r="L236" s="39">
        <v>0</v>
      </c>
      <c r="M236" s="39">
        <v>0</v>
      </c>
      <c r="N236" s="39">
        <v>0</v>
      </c>
      <c r="O236" s="39">
        <v>0</v>
      </c>
      <c r="P236" s="39">
        <v>0</v>
      </c>
      <c r="Q236" s="39">
        <v>0</v>
      </c>
      <c r="R236" s="39">
        <v>0</v>
      </c>
      <c r="S236" s="39">
        <v>0</v>
      </c>
      <c r="T236" s="39">
        <v>0</v>
      </c>
      <c r="U236" s="39">
        <v>0</v>
      </c>
      <c r="V236" s="39">
        <v>0</v>
      </c>
      <c r="W236" s="39">
        <v>0</v>
      </c>
      <c r="X236" s="39">
        <v>0</v>
      </c>
      <c r="Y236" s="39">
        <v>0</v>
      </c>
      <c r="Z236" s="39">
        <v>0</v>
      </c>
      <c r="AA236" s="39">
        <v>0</v>
      </c>
      <c r="AB236" s="39">
        <v>0</v>
      </c>
      <c r="AC236" s="39">
        <v>0</v>
      </c>
      <c r="AD236" s="39">
        <v>0</v>
      </c>
      <c r="AE236" s="39">
        <v>0</v>
      </c>
      <c r="AF236" s="39">
        <v>0</v>
      </c>
      <c r="AG236" s="39">
        <v>0</v>
      </c>
      <c r="AH236" s="39"/>
      <c r="AI236" s="39"/>
      <c r="AJ236" s="40"/>
      <c r="AK236" s="39">
        <f t="shared" si="15"/>
        <v>0</v>
      </c>
      <c r="AL236" s="39">
        <f t="shared" si="18"/>
        <v>0</v>
      </c>
      <c r="AM236" s="39">
        <f t="shared" si="19"/>
        <v>0</v>
      </c>
      <c r="AN236" s="39">
        <f t="shared" si="16"/>
        <v>0</v>
      </c>
      <c r="AO236" s="39">
        <f t="shared" si="17"/>
        <v>0</v>
      </c>
    </row>
    <row r="237" spans="1:41" x14ac:dyDescent="0.3">
      <c r="A237" s="20">
        <v>1000184670</v>
      </c>
      <c r="B237" s="4" t="s">
        <v>147</v>
      </c>
      <c r="C237" s="21">
        <v>1000186197</v>
      </c>
      <c r="D237" s="3" t="s">
        <v>166</v>
      </c>
      <c r="E237" s="20">
        <v>1000198600</v>
      </c>
      <c r="F237" s="4" t="s">
        <v>148</v>
      </c>
      <c r="G237" s="21">
        <v>1000198601</v>
      </c>
      <c r="H237" s="3" t="s">
        <v>149</v>
      </c>
      <c r="I237" s="21">
        <v>1000189760</v>
      </c>
      <c r="J237" s="3" t="s">
        <v>143</v>
      </c>
      <c r="K237" s="20" t="s">
        <v>17</v>
      </c>
      <c r="L237" s="39">
        <v>0</v>
      </c>
      <c r="M237" s="39">
        <v>0</v>
      </c>
      <c r="N237" s="39">
        <v>0</v>
      </c>
      <c r="O237" s="39">
        <v>0</v>
      </c>
      <c r="P237" s="39">
        <v>0</v>
      </c>
      <c r="Q237" s="39">
        <v>0</v>
      </c>
      <c r="R237" s="39">
        <v>0</v>
      </c>
      <c r="S237" s="39">
        <v>0</v>
      </c>
      <c r="T237" s="39">
        <v>0</v>
      </c>
      <c r="U237" s="39">
        <v>0</v>
      </c>
      <c r="V237" s="39">
        <v>0</v>
      </c>
      <c r="W237" s="39">
        <v>0</v>
      </c>
      <c r="X237" s="39">
        <v>0</v>
      </c>
      <c r="Y237" s="39">
        <v>0</v>
      </c>
      <c r="Z237" s="39">
        <v>0</v>
      </c>
      <c r="AA237" s="39">
        <v>0</v>
      </c>
      <c r="AB237" s="39">
        <v>0</v>
      </c>
      <c r="AC237" s="39">
        <v>0</v>
      </c>
      <c r="AD237" s="39">
        <v>0</v>
      </c>
      <c r="AE237" s="39">
        <v>0</v>
      </c>
      <c r="AF237" s="39">
        <v>0</v>
      </c>
      <c r="AG237" s="39">
        <v>0</v>
      </c>
      <c r="AH237" s="39"/>
      <c r="AI237" s="39"/>
      <c r="AJ237" s="40"/>
      <c r="AK237" s="39">
        <f t="shared" si="15"/>
        <v>0</v>
      </c>
      <c r="AL237" s="39">
        <f t="shared" si="18"/>
        <v>0</v>
      </c>
      <c r="AM237" s="39">
        <f t="shared" si="19"/>
        <v>0</v>
      </c>
      <c r="AN237" s="39">
        <f t="shared" si="16"/>
        <v>0</v>
      </c>
      <c r="AO237" s="39">
        <f t="shared" si="17"/>
        <v>0</v>
      </c>
    </row>
    <row r="238" spans="1:41" x14ac:dyDescent="0.3">
      <c r="A238" s="20">
        <v>1000184670</v>
      </c>
      <c r="B238" s="4" t="s">
        <v>147</v>
      </c>
      <c r="C238" s="21">
        <v>1000186197</v>
      </c>
      <c r="D238" s="3" t="s">
        <v>166</v>
      </c>
      <c r="E238" s="20">
        <v>1000198600</v>
      </c>
      <c r="F238" s="4" t="s">
        <v>148</v>
      </c>
      <c r="G238" s="21">
        <v>1000198601</v>
      </c>
      <c r="H238" s="3" t="s">
        <v>149</v>
      </c>
      <c r="I238" s="21">
        <v>1000189760</v>
      </c>
      <c r="J238" s="3" t="s">
        <v>143</v>
      </c>
      <c r="K238" s="20" t="s">
        <v>24</v>
      </c>
      <c r="L238" s="39">
        <v>0</v>
      </c>
      <c r="M238" s="39">
        <v>0</v>
      </c>
      <c r="N238" s="39">
        <v>0</v>
      </c>
      <c r="O238" s="39">
        <v>0</v>
      </c>
      <c r="P238" s="39">
        <v>0</v>
      </c>
      <c r="Q238" s="39">
        <v>0</v>
      </c>
      <c r="R238" s="39">
        <v>0</v>
      </c>
      <c r="S238" s="39">
        <v>0</v>
      </c>
      <c r="T238" s="39">
        <v>0</v>
      </c>
      <c r="U238" s="39">
        <v>0</v>
      </c>
      <c r="V238" s="39">
        <v>0</v>
      </c>
      <c r="W238" s="39">
        <v>0</v>
      </c>
      <c r="X238" s="39">
        <v>0</v>
      </c>
      <c r="Y238" s="39">
        <v>0</v>
      </c>
      <c r="Z238" s="39">
        <v>0</v>
      </c>
      <c r="AA238" s="39">
        <v>0</v>
      </c>
      <c r="AB238" s="39">
        <v>0</v>
      </c>
      <c r="AC238" s="39">
        <v>0</v>
      </c>
      <c r="AD238" s="39">
        <v>0</v>
      </c>
      <c r="AE238" s="39">
        <v>0</v>
      </c>
      <c r="AF238" s="39">
        <v>0</v>
      </c>
      <c r="AG238" s="39">
        <v>0</v>
      </c>
      <c r="AH238" s="39"/>
      <c r="AI238" s="39"/>
      <c r="AJ238" s="40"/>
      <c r="AK238" s="39">
        <f t="shared" si="15"/>
        <v>0</v>
      </c>
      <c r="AL238" s="39">
        <f t="shared" si="18"/>
        <v>0</v>
      </c>
      <c r="AM238" s="39">
        <f t="shared" si="19"/>
        <v>0</v>
      </c>
      <c r="AN238" s="39">
        <f t="shared" si="16"/>
        <v>0</v>
      </c>
      <c r="AO238" s="39">
        <f t="shared" si="17"/>
        <v>0</v>
      </c>
    </row>
    <row r="239" spans="1:41" x14ac:dyDescent="0.3">
      <c r="A239" s="20">
        <v>1000184670</v>
      </c>
      <c r="B239" s="4" t="s">
        <v>147</v>
      </c>
      <c r="C239" s="21">
        <v>1000186197</v>
      </c>
      <c r="D239" s="3" t="s">
        <v>166</v>
      </c>
      <c r="E239" s="20">
        <v>1000198600</v>
      </c>
      <c r="F239" s="4" t="s">
        <v>148</v>
      </c>
      <c r="G239" s="21">
        <v>1000198601</v>
      </c>
      <c r="H239" s="3" t="s">
        <v>149</v>
      </c>
      <c r="I239" s="21">
        <v>1000189760</v>
      </c>
      <c r="J239" s="3" t="s">
        <v>143</v>
      </c>
      <c r="K239" s="20" t="s">
        <v>18</v>
      </c>
      <c r="L239" s="39">
        <v>0</v>
      </c>
      <c r="M239" s="39">
        <v>0</v>
      </c>
      <c r="N239" s="39">
        <v>0</v>
      </c>
      <c r="O239" s="39">
        <v>0</v>
      </c>
      <c r="P239" s="39">
        <v>0</v>
      </c>
      <c r="Q239" s="39">
        <v>0</v>
      </c>
      <c r="R239" s="39">
        <v>0</v>
      </c>
      <c r="S239" s="39">
        <v>0</v>
      </c>
      <c r="T239" s="39">
        <v>0</v>
      </c>
      <c r="U239" s="39">
        <v>0</v>
      </c>
      <c r="V239" s="39">
        <v>0</v>
      </c>
      <c r="W239" s="39">
        <v>0</v>
      </c>
      <c r="X239" s="39">
        <v>0</v>
      </c>
      <c r="Y239" s="39">
        <v>0</v>
      </c>
      <c r="Z239" s="39">
        <v>0</v>
      </c>
      <c r="AA239" s="39">
        <v>0</v>
      </c>
      <c r="AB239" s="39">
        <v>0</v>
      </c>
      <c r="AC239" s="39">
        <v>0</v>
      </c>
      <c r="AD239" s="39">
        <v>0</v>
      </c>
      <c r="AE239" s="39">
        <v>0</v>
      </c>
      <c r="AF239" s="39">
        <v>0</v>
      </c>
      <c r="AG239" s="39">
        <v>0</v>
      </c>
      <c r="AH239" s="39"/>
      <c r="AI239" s="39"/>
      <c r="AJ239" s="40"/>
      <c r="AK239" s="39">
        <f t="shared" si="15"/>
        <v>0</v>
      </c>
      <c r="AL239" s="39">
        <f t="shared" si="18"/>
        <v>0</v>
      </c>
      <c r="AM239" s="39">
        <f t="shared" si="19"/>
        <v>0</v>
      </c>
      <c r="AN239" s="39">
        <f t="shared" si="16"/>
        <v>0</v>
      </c>
      <c r="AO239" s="39">
        <f t="shared" si="17"/>
        <v>0</v>
      </c>
    </row>
    <row r="240" spans="1:41" x14ac:dyDescent="0.3">
      <c r="A240" s="20">
        <v>1000184670</v>
      </c>
      <c r="B240" s="4" t="s">
        <v>147</v>
      </c>
      <c r="C240" s="21">
        <v>1000186197</v>
      </c>
      <c r="D240" s="3" t="s">
        <v>166</v>
      </c>
      <c r="E240" s="20">
        <v>1000198600</v>
      </c>
      <c r="F240" s="4" t="s">
        <v>148</v>
      </c>
      <c r="G240" s="21">
        <v>1000198601</v>
      </c>
      <c r="H240" s="3" t="s">
        <v>149</v>
      </c>
      <c r="I240" s="21">
        <v>1000189760</v>
      </c>
      <c r="J240" s="3" t="s">
        <v>143</v>
      </c>
      <c r="K240" s="20" t="s">
        <v>29</v>
      </c>
      <c r="L240" s="39">
        <v>0</v>
      </c>
      <c r="M240" s="39">
        <v>0</v>
      </c>
      <c r="N240" s="39">
        <v>0</v>
      </c>
      <c r="O240" s="39">
        <v>0</v>
      </c>
      <c r="P240" s="39">
        <v>0</v>
      </c>
      <c r="Q240" s="39">
        <v>0</v>
      </c>
      <c r="R240" s="39">
        <v>0</v>
      </c>
      <c r="S240" s="39">
        <v>0</v>
      </c>
      <c r="T240" s="39">
        <v>0</v>
      </c>
      <c r="U240" s="39">
        <v>0</v>
      </c>
      <c r="V240" s="39">
        <v>0</v>
      </c>
      <c r="W240" s="39">
        <v>0</v>
      </c>
      <c r="X240" s="39">
        <v>0</v>
      </c>
      <c r="Y240" s="39">
        <v>0</v>
      </c>
      <c r="Z240" s="39">
        <v>0</v>
      </c>
      <c r="AA240" s="39">
        <v>0</v>
      </c>
      <c r="AB240" s="39">
        <v>0</v>
      </c>
      <c r="AC240" s="39">
        <v>0</v>
      </c>
      <c r="AD240" s="39">
        <v>0</v>
      </c>
      <c r="AE240" s="39">
        <v>0</v>
      </c>
      <c r="AF240" s="39">
        <v>1189.1500000000001</v>
      </c>
      <c r="AG240" s="39">
        <v>1753.5</v>
      </c>
      <c r="AH240" s="39"/>
      <c r="AI240" s="39"/>
      <c r="AJ240" s="40"/>
      <c r="AK240" s="39">
        <f t="shared" ref="AK240:AK303" si="20">AVERAGE(L240:W240)</f>
        <v>0</v>
      </c>
      <c r="AL240" s="39">
        <f t="shared" si="18"/>
        <v>245.22083333333333</v>
      </c>
      <c r="AM240" s="39">
        <f t="shared" si="19"/>
        <v>490.44166666666666</v>
      </c>
      <c r="AN240" s="39">
        <f t="shared" ref="AN240:AN303" si="21">AVERAGE(X240:AI240)</f>
        <v>294.26499999999999</v>
      </c>
      <c r="AO240" s="39">
        <f t="shared" ref="AO240:AO303" si="22">SUM(X240:AI240)</f>
        <v>2942.65</v>
      </c>
    </row>
    <row r="241" spans="1:41" x14ac:dyDescent="0.3">
      <c r="A241" s="20">
        <v>1000184670</v>
      </c>
      <c r="B241" s="4" t="s">
        <v>147</v>
      </c>
      <c r="C241" s="21">
        <v>1000186197</v>
      </c>
      <c r="D241" s="3" t="s">
        <v>166</v>
      </c>
      <c r="E241" s="20">
        <v>1000198600</v>
      </c>
      <c r="F241" s="4" t="s">
        <v>148</v>
      </c>
      <c r="G241" s="21">
        <v>1000198601</v>
      </c>
      <c r="H241" s="3" t="s">
        <v>149</v>
      </c>
      <c r="I241" s="21">
        <v>1000189760</v>
      </c>
      <c r="J241" s="3" t="s">
        <v>143</v>
      </c>
      <c r="K241" s="20" t="s">
        <v>21</v>
      </c>
      <c r="L241" s="39">
        <v>0</v>
      </c>
      <c r="M241" s="39">
        <v>0</v>
      </c>
      <c r="N241" s="39">
        <v>0</v>
      </c>
      <c r="O241" s="39">
        <v>0</v>
      </c>
      <c r="P241" s="39">
        <v>0</v>
      </c>
      <c r="Q241" s="39">
        <v>0</v>
      </c>
      <c r="R241" s="39">
        <v>0</v>
      </c>
      <c r="S241" s="39">
        <v>0</v>
      </c>
      <c r="T241" s="39">
        <v>0</v>
      </c>
      <c r="U241" s="39">
        <v>0</v>
      </c>
      <c r="V241" s="39">
        <v>0</v>
      </c>
      <c r="W241" s="39">
        <v>0</v>
      </c>
      <c r="X241" s="39">
        <v>0</v>
      </c>
      <c r="Y241" s="39">
        <v>0</v>
      </c>
      <c r="Z241" s="39">
        <v>0</v>
      </c>
      <c r="AA241" s="39">
        <v>0</v>
      </c>
      <c r="AB241" s="39">
        <v>0</v>
      </c>
      <c r="AC241" s="39">
        <v>0</v>
      </c>
      <c r="AD241" s="39">
        <v>0</v>
      </c>
      <c r="AE241" s="39">
        <v>0</v>
      </c>
      <c r="AF241" s="39">
        <v>0</v>
      </c>
      <c r="AG241" s="39">
        <v>0</v>
      </c>
      <c r="AH241" s="39"/>
      <c r="AI241" s="39"/>
      <c r="AJ241" s="40"/>
      <c r="AK241" s="39">
        <f t="shared" si="20"/>
        <v>0</v>
      </c>
      <c r="AL241" s="39">
        <f t="shared" si="18"/>
        <v>0</v>
      </c>
      <c r="AM241" s="39">
        <f t="shared" si="19"/>
        <v>0</v>
      </c>
      <c r="AN241" s="39">
        <f t="shared" si="21"/>
        <v>0</v>
      </c>
      <c r="AO241" s="39">
        <f t="shared" si="22"/>
        <v>0</v>
      </c>
    </row>
    <row r="242" spans="1:41" x14ac:dyDescent="0.3">
      <c r="A242" s="20">
        <v>1000184670</v>
      </c>
      <c r="B242" s="4" t="s">
        <v>147</v>
      </c>
      <c r="C242" s="21">
        <v>1000186197</v>
      </c>
      <c r="D242" s="3" t="s">
        <v>166</v>
      </c>
      <c r="E242" s="20">
        <v>1000198600</v>
      </c>
      <c r="F242" s="4" t="s">
        <v>148</v>
      </c>
      <c r="G242" s="21">
        <v>1000198601</v>
      </c>
      <c r="H242" s="3" t="s">
        <v>149</v>
      </c>
      <c r="I242" s="21">
        <v>1000189760</v>
      </c>
      <c r="J242" s="3" t="s">
        <v>143</v>
      </c>
      <c r="K242" s="20" t="s">
        <v>20</v>
      </c>
      <c r="L242" s="39">
        <v>0</v>
      </c>
      <c r="M242" s="39">
        <v>0</v>
      </c>
      <c r="N242" s="39">
        <v>0</v>
      </c>
      <c r="O242" s="39">
        <v>0</v>
      </c>
      <c r="P242" s="39">
        <v>0</v>
      </c>
      <c r="Q242" s="39">
        <v>0</v>
      </c>
      <c r="R242" s="39">
        <v>0</v>
      </c>
      <c r="S242" s="39">
        <v>0</v>
      </c>
      <c r="T242" s="39">
        <v>0</v>
      </c>
      <c r="U242" s="39">
        <v>0</v>
      </c>
      <c r="V242" s="39">
        <v>0</v>
      </c>
      <c r="W242" s="39">
        <v>0</v>
      </c>
      <c r="X242" s="39">
        <v>0</v>
      </c>
      <c r="Y242" s="39">
        <v>0</v>
      </c>
      <c r="Z242" s="39">
        <v>0</v>
      </c>
      <c r="AA242" s="39">
        <v>0</v>
      </c>
      <c r="AB242" s="39">
        <v>0</v>
      </c>
      <c r="AC242" s="39">
        <v>0</v>
      </c>
      <c r="AD242" s="39">
        <v>0</v>
      </c>
      <c r="AE242" s="39">
        <v>0</v>
      </c>
      <c r="AF242" s="39">
        <v>0</v>
      </c>
      <c r="AG242" s="39">
        <v>0</v>
      </c>
      <c r="AH242" s="39"/>
      <c r="AI242" s="39"/>
      <c r="AJ242" s="40"/>
      <c r="AK242" s="39">
        <f t="shared" si="20"/>
        <v>0</v>
      </c>
      <c r="AL242" s="39">
        <f t="shared" si="18"/>
        <v>0</v>
      </c>
      <c r="AM242" s="39">
        <f t="shared" si="19"/>
        <v>0</v>
      </c>
      <c r="AN242" s="39">
        <f t="shared" si="21"/>
        <v>0</v>
      </c>
      <c r="AO242" s="39">
        <f t="shared" si="22"/>
        <v>0</v>
      </c>
    </row>
    <row r="243" spans="1:41" x14ac:dyDescent="0.3">
      <c r="A243" s="20">
        <v>1000184670</v>
      </c>
      <c r="B243" s="4" t="s">
        <v>147</v>
      </c>
      <c r="C243" s="21">
        <v>1000186197</v>
      </c>
      <c r="D243" s="3" t="s">
        <v>166</v>
      </c>
      <c r="E243" s="20">
        <v>1000198600</v>
      </c>
      <c r="F243" s="4" t="s">
        <v>148</v>
      </c>
      <c r="G243" s="21">
        <v>1000198601</v>
      </c>
      <c r="H243" s="3" t="s">
        <v>149</v>
      </c>
      <c r="I243" s="21">
        <v>1000189760</v>
      </c>
      <c r="J243" s="3" t="s">
        <v>143</v>
      </c>
      <c r="K243" s="20" t="s">
        <v>22</v>
      </c>
      <c r="L243" s="39">
        <v>0</v>
      </c>
      <c r="M243" s="39">
        <v>0</v>
      </c>
      <c r="N243" s="39">
        <v>0</v>
      </c>
      <c r="O243" s="39">
        <v>0</v>
      </c>
      <c r="P243" s="39">
        <v>0</v>
      </c>
      <c r="Q243" s="39">
        <v>0</v>
      </c>
      <c r="R243" s="39">
        <v>0</v>
      </c>
      <c r="S243" s="39">
        <v>0</v>
      </c>
      <c r="T243" s="39">
        <v>0</v>
      </c>
      <c r="U243" s="39">
        <v>0</v>
      </c>
      <c r="V243" s="39">
        <v>0</v>
      </c>
      <c r="W243" s="39">
        <v>0</v>
      </c>
      <c r="X243" s="39">
        <v>0</v>
      </c>
      <c r="Y243" s="39">
        <v>0</v>
      </c>
      <c r="Z243" s="39">
        <v>0</v>
      </c>
      <c r="AA243" s="39">
        <v>0</v>
      </c>
      <c r="AB243" s="39">
        <v>0</v>
      </c>
      <c r="AC243" s="39">
        <v>0</v>
      </c>
      <c r="AD243" s="39">
        <v>0</v>
      </c>
      <c r="AE243" s="39">
        <v>0</v>
      </c>
      <c r="AF243" s="39">
        <v>0</v>
      </c>
      <c r="AG243" s="39">
        <v>0</v>
      </c>
      <c r="AH243" s="39"/>
      <c r="AI243" s="39"/>
      <c r="AJ243" s="40"/>
      <c r="AK243" s="39">
        <f t="shared" si="20"/>
        <v>0</v>
      </c>
      <c r="AL243" s="39">
        <f t="shared" si="18"/>
        <v>0</v>
      </c>
      <c r="AM243" s="39">
        <f t="shared" si="19"/>
        <v>0</v>
      </c>
      <c r="AN243" s="39">
        <f t="shared" si="21"/>
        <v>0</v>
      </c>
      <c r="AO243" s="39">
        <f t="shared" si="22"/>
        <v>0</v>
      </c>
    </row>
    <row r="244" spans="1:41" x14ac:dyDescent="0.3">
      <c r="A244" s="20">
        <v>1000184670</v>
      </c>
      <c r="B244" s="4" t="s">
        <v>147</v>
      </c>
      <c r="C244" s="21">
        <v>1000186197</v>
      </c>
      <c r="D244" s="3" t="s">
        <v>166</v>
      </c>
      <c r="E244" s="20">
        <v>1000198600</v>
      </c>
      <c r="F244" s="4" t="s">
        <v>148</v>
      </c>
      <c r="G244" s="21">
        <v>1000198601</v>
      </c>
      <c r="H244" s="3" t="s">
        <v>149</v>
      </c>
      <c r="I244" s="21">
        <v>1000189760</v>
      </c>
      <c r="J244" s="3" t="s">
        <v>143</v>
      </c>
      <c r="K244" s="20" t="s">
        <v>23</v>
      </c>
      <c r="L244" s="39">
        <v>0</v>
      </c>
      <c r="M244" s="39">
        <v>0</v>
      </c>
      <c r="N244" s="39">
        <v>0</v>
      </c>
      <c r="O244" s="39">
        <v>0</v>
      </c>
      <c r="P244" s="39">
        <v>0</v>
      </c>
      <c r="Q244" s="39">
        <v>0</v>
      </c>
      <c r="R244" s="39">
        <v>0</v>
      </c>
      <c r="S244" s="39">
        <v>0</v>
      </c>
      <c r="T244" s="39">
        <v>0</v>
      </c>
      <c r="U244" s="39">
        <v>0</v>
      </c>
      <c r="V244" s="39">
        <v>0</v>
      </c>
      <c r="W244" s="39">
        <v>0</v>
      </c>
      <c r="X244" s="39">
        <v>0</v>
      </c>
      <c r="Y244" s="39">
        <v>0</v>
      </c>
      <c r="Z244" s="39">
        <v>0</v>
      </c>
      <c r="AA244" s="39">
        <v>0</v>
      </c>
      <c r="AB244" s="39">
        <v>0</v>
      </c>
      <c r="AC244" s="39">
        <v>0</v>
      </c>
      <c r="AD244" s="39">
        <v>0</v>
      </c>
      <c r="AE244" s="39">
        <v>0</v>
      </c>
      <c r="AF244" s="39">
        <v>0</v>
      </c>
      <c r="AG244" s="39">
        <v>0</v>
      </c>
      <c r="AH244" s="39"/>
      <c r="AI244" s="39"/>
      <c r="AJ244" s="40"/>
      <c r="AK244" s="39">
        <f t="shared" si="20"/>
        <v>0</v>
      </c>
      <c r="AL244" s="39">
        <f t="shared" si="18"/>
        <v>0</v>
      </c>
      <c r="AM244" s="39">
        <f t="shared" si="19"/>
        <v>0</v>
      </c>
      <c r="AN244" s="39">
        <f t="shared" si="21"/>
        <v>0</v>
      </c>
      <c r="AO244" s="39">
        <f t="shared" si="22"/>
        <v>0</v>
      </c>
    </row>
    <row r="245" spans="1:41" x14ac:dyDescent="0.3">
      <c r="A245" s="20">
        <v>1000184670</v>
      </c>
      <c r="B245" s="4" t="s">
        <v>147</v>
      </c>
      <c r="C245" s="21">
        <v>1000186197</v>
      </c>
      <c r="D245" s="3" t="s">
        <v>166</v>
      </c>
      <c r="E245" s="20">
        <v>1000198600</v>
      </c>
      <c r="F245" s="4" t="s">
        <v>148</v>
      </c>
      <c r="G245" s="21">
        <v>1000198601</v>
      </c>
      <c r="H245" s="3" t="s">
        <v>149</v>
      </c>
      <c r="I245" s="21">
        <v>1000189760</v>
      </c>
      <c r="J245" s="3" t="s">
        <v>143</v>
      </c>
      <c r="K245" s="20" t="s">
        <v>28</v>
      </c>
      <c r="L245" s="39">
        <v>0</v>
      </c>
      <c r="M245" s="39">
        <v>0</v>
      </c>
      <c r="N245" s="39">
        <v>0</v>
      </c>
      <c r="O245" s="39">
        <v>0</v>
      </c>
      <c r="P245" s="39">
        <v>0</v>
      </c>
      <c r="Q245" s="39">
        <v>0</v>
      </c>
      <c r="R245" s="39">
        <v>0</v>
      </c>
      <c r="S245" s="39">
        <v>0</v>
      </c>
      <c r="T245" s="39">
        <v>0</v>
      </c>
      <c r="U245" s="39">
        <v>0</v>
      </c>
      <c r="V245" s="39">
        <v>0</v>
      </c>
      <c r="W245" s="39">
        <v>0</v>
      </c>
      <c r="X245" s="39">
        <v>0</v>
      </c>
      <c r="Y245" s="39">
        <v>0</v>
      </c>
      <c r="Z245" s="39">
        <v>0</v>
      </c>
      <c r="AA245" s="39">
        <v>0</v>
      </c>
      <c r="AB245" s="39">
        <v>0</v>
      </c>
      <c r="AC245" s="39">
        <v>0</v>
      </c>
      <c r="AD245" s="39">
        <v>0</v>
      </c>
      <c r="AE245" s="39">
        <v>0</v>
      </c>
      <c r="AF245" s="39">
        <v>0</v>
      </c>
      <c r="AG245" s="39">
        <v>0</v>
      </c>
      <c r="AH245" s="39"/>
      <c r="AI245" s="39"/>
      <c r="AJ245" s="40"/>
      <c r="AK245" s="39">
        <f t="shared" si="20"/>
        <v>0</v>
      </c>
      <c r="AL245" s="39">
        <f t="shared" si="18"/>
        <v>0</v>
      </c>
      <c r="AM245" s="39">
        <f t="shared" si="19"/>
        <v>0</v>
      </c>
      <c r="AN245" s="39">
        <f t="shared" si="21"/>
        <v>0</v>
      </c>
      <c r="AO245" s="39">
        <f t="shared" si="22"/>
        <v>0</v>
      </c>
    </row>
    <row r="246" spans="1:41" x14ac:dyDescent="0.3">
      <c r="A246" s="20">
        <v>1000184670</v>
      </c>
      <c r="B246" s="4" t="s">
        <v>147</v>
      </c>
      <c r="C246" s="21">
        <v>1000186197</v>
      </c>
      <c r="D246" s="3" t="s">
        <v>166</v>
      </c>
      <c r="E246" s="20">
        <v>1000198600</v>
      </c>
      <c r="F246" s="4" t="s">
        <v>148</v>
      </c>
      <c r="G246" s="21">
        <v>1000198601</v>
      </c>
      <c r="H246" s="3" t="s">
        <v>149</v>
      </c>
      <c r="I246" s="21">
        <v>1000189760</v>
      </c>
      <c r="J246" s="3" t="s">
        <v>143</v>
      </c>
      <c r="K246" s="20" t="s">
        <v>26</v>
      </c>
      <c r="L246" s="39">
        <v>0</v>
      </c>
      <c r="M246" s="39">
        <v>0</v>
      </c>
      <c r="N246" s="39">
        <v>0</v>
      </c>
      <c r="O246" s="39">
        <v>0</v>
      </c>
      <c r="P246" s="39">
        <v>0</v>
      </c>
      <c r="Q246" s="39">
        <v>0</v>
      </c>
      <c r="R246" s="39">
        <v>0</v>
      </c>
      <c r="S246" s="39">
        <v>0</v>
      </c>
      <c r="T246" s="39">
        <v>0</v>
      </c>
      <c r="U246" s="39">
        <v>0</v>
      </c>
      <c r="V246" s="39">
        <v>0</v>
      </c>
      <c r="W246" s="39">
        <v>0</v>
      </c>
      <c r="X246" s="39">
        <v>0</v>
      </c>
      <c r="Y246" s="39">
        <v>0</v>
      </c>
      <c r="Z246" s="39">
        <v>0</v>
      </c>
      <c r="AA246" s="39">
        <v>0</v>
      </c>
      <c r="AB246" s="39">
        <v>0</v>
      </c>
      <c r="AC246" s="39">
        <v>0</v>
      </c>
      <c r="AD246" s="39">
        <v>0</v>
      </c>
      <c r="AE246" s="39">
        <v>0</v>
      </c>
      <c r="AF246" s="39">
        <v>0</v>
      </c>
      <c r="AG246" s="39">
        <v>0</v>
      </c>
      <c r="AH246" s="39"/>
      <c r="AI246" s="39"/>
      <c r="AJ246" s="40"/>
      <c r="AK246" s="39">
        <f t="shared" si="20"/>
        <v>0</v>
      </c>
      <c r="AL246" s="39">
        <f t="shared" si="18"/>
        <v>0</v>
      </c>
      <c r="AM246" s="39">
        <f t="shared" si="19"/>
        <v>0</v>
      </c>
      <c r="AN246" s="39">
        <f t="shared" si="21"/>
        <v>0</v>
      </c>
      <c r="AO246" s="39">
        <f t="shared" si="22"/>
        <v>0</v>
      </c>
    </row>
    <row r="247" spans="1:41" x14ac:dyDescent="0.3">
      <c r="A247" s="20">
        <v>1000184670</v>
      </c>
      <c r="B247" s="4" t="s">
        <v>147</v>
      </c>
      <c r="C247" s="21">
        <v>1000186197</v>
      </c>
      <c r="D247" s="3" t="s">
        <v>166</v>
      </c>
      <c r="E247" s="20">
        <v>1000198600</v>
      </c>
      <c r="F247" s="4" t="s">
        <v>148</v>
      </c>
      <c r="G247" s="21">
        <v>1000198601</v>
      </c>
      <c r="H247" s="3" t="s">
        <v>149</v>
      </c>
      <c r="I247" s="21">
        <v>1000189760</v>
      </c>
      <c r="J247" s="3" t="s">
        <v>143</v>
      </c>
      <c r="K247" s="20" t="s">
        <v>27</v>
      </c>
      <c r="L247" s="39">
        <v>0</v>
      </c>
      <c r="M247" s="39">
        <v>0</v>
      </c>
      <c r="N247" s="39">
        <v>0</v>
      </c>
      <c r="O247" s="39">
        <v>0</v>
      </c>
      <c r="P247" s="39">
        <v>0</v>
      </c>
      <c r="Q247" s="39">
        <v>0</v>
      </c>
      <c r="R247" s="39">
        <v>0</v>
      </c>
      <c r="S247" s="39">
        <v>0</v>
      </c>
      <c r="T247" s="39">
        <v>0</v>
      </c>
      <c r="U247" s="39">
        <v>0</v>
      </c>
      <c r="V247" s="39">
        <v>0</v>
      </c>
      <c r="W247" s="39">
        <v>0</v>
      </c>
      <c r="X247" s="39">
        <v>0</v>
      </c>
      <c r="Y247" s="39">
        <v>0</v>
      </c>
      <c r="Z247" s="39">
        <v>0</v>
      </c>
      <c r="AA247" s="39">
        <v>0</v>
      </c>
      <c r="AB247" s="39">
        <v>0</v>
      </c>
      <c r="AC247" s="39">
        <v>0</v>
      </c>
      <c r="AD247" s="39">
        <v>0</v>
      </c>
      <c r="AE247" s="39">
        <v>0</v>
      </c>
      <c r="AF247" s="39">
        <v>0</v>
      </c>
      <c r="AG247" s="39">
        <v>0</v>
      </c>
      <c r="AH247" s="39"/>
      <c r="AI247" s="39"/>
      <c r="AJ247" s="40"/>
      <c r="AK247" s="39">
        <f t="shared" si="20"/>
        <v>0</v>
      </c>
      <c r="AL247" s="39">
        <f t="shared" si="18"/>
        <v>0</v>
      </c>
      <c r="AM247" s="39">
        <f t="shared" si="19"/>
        <v>0</v>
      </c>
      <c r="AN247" s="39">
        <f t="shared" si="21"/>
        <v>0</v>
      </c>
      <c r="AO247" s="39">
        <f t="shared" si="22"/>
        <v>0</v>
      </c>
    </row>
    <row r="248" spans="1:41" x14ac:dyDescent="0.3">
      <c r="A248" s="20">
        <v>1000184670</v>
      </c>
      <c r="B248" s="4" t="s">
        <v>147</v>
      </c>
      <c r="C248" s="21">
        <v>1000186197</v>
      </c>
      <c r="D248" s="3" t="s">
        <v>166</v>
      </c>
      <c r="E248" s="20">
        <v>1000198600</v>
      </c>
      <c r="F248" s="4" t="s">
        <v>148</v>
      </c>
      <c r="G248" s="21">
        <v>1000198601</v>
      </c>
      <c r="H248" s="3" t="s">
        <v>149</v>
      </c>
      <c r="I248" s="21">
        <v>1000189760</v>
      </c>
      <c r="J248" s="3" t="s">
        <v>143</v>
      </c>
      <c r="K248" s="20" t="s">
        <v>25</v>
      </c>
      <c r="L248" s="39">
        <v>0</v>
      </c>
      <c r="M248" s="39">
        <v>0</v>
      </c>
      <c r="N248" s="39">
        <v>0</v>
      </c>
      <c r="O248" s="39">
        <v>0</v>
      </c>
      <c r="P248" s="39">
        <v>0</v>
      </c>
      <c r="Q248" s="39">
        <v>0</v>
      </c>
      <c r="R248" s="39">
        <v>0</v>
      </c>
      <c r="S248" s="39">
        <v>0</v>
      </c>
      <c r="T248" s="39">
        <v>0</v>
      </c>
      <c r="U248" s="39">
        <v>0</v>
      </c>
      <c r="V248" s="39">
        <v>0</v>
      </c>
      <c r="W248" s="39">
        <v>0</v>
      </c>
      <c r="X248" s="39">
        <v>0</v>
      </c>
      <c r="Y248" s="39">
        <v>0</v>
      </c>
      <c r="Z248" s="39">
        <v>0</v>
      </c>
      <c r="AA248" s="39">
        <v>0</v>
      </c>
      <c r="AB248" s="39">
        <v>0</v>
      </c>
      <c r="AC248" s="39">
        <v>0</v>
      </c>
      <c r="AD248" s="39">
        <v>0</v>
      </c>
      <c r="AE248" s="39">
        <v>0</v>
      </c>
      <c r="AF248" s="39">
        <v>0</v>
      </c>
      <c r="AG248" s="39">
        <v>0</v>
      </c>
      <c r="AH248" s="39"/>
      <c r="AI248" s="39"/>
      <c r="AJ248" s="40"/>
      <c r="AK248" s="39">
        <f t="shared" si="20"/>
        <v>0</v>
      </c>
      <c r="AL248" s="39">
        <f t="shared" si="18"/>
        <v>0</v>
      </c>
      <c r="AM248" s="39">
        <f t="shared" si="19"/>
        <v>0</v>
      </c>
      <c r="AN248" s="39">
        <f t="shared" si="21"/>
        <v>0</v>
      </c>
      <c r="AO248" s="39">
        <f t="shared" si="22"/>
        <v>0</v>
      </c>
    </row>
    <row r="249" spans="1:41" x14ac:dyDescent="0.3">
      <c r="A249" s="20">
        <v>1000184670</v>
      </c>
      <c r="B249" s="4" t="s">
        <v>147</v>
      </c>
      <c r="C249" s="21">
        <v>1000186197</v>
      </c>
      <c r="D249" s="3" t="s">
        <v>166</v>
      </c>
      <c r="E249" s="20">
        <v>1000198600</v>
      </c>
      <c r="F249" s="4" t="s">
        <v>148</v>
      </c>
      <c r="G249" s="21">
        <v>1000198601</v>
      </c>
      <c r="H249" s="3" t="s">
        <v>149</v>
      </c>
      <c r="I249" s="21">
        <v>1000189761</v>
      </c>
      <c r="J249" s="3" t="s">
        <v>144</v>
      </c>
      <c r="K249" s="20" t="s">
        <v>124</v>
      </c>
      <c r="L249" s="39">
        <v>0</v>
      </c>
      <c r="M249" s="39">
        <v>0</v>
      </c>
      <c r="N249" s="39">
        <v>0</v>
      </c>
      <c r="O249" s="39">
        <v>0</v>
      </c>
      <c r="P249" s="39">
        <v>0</v>
      </c>
      <c r="Q249" s="39">
        <v>0</v>
      </c>
      <c r="R249" s="39">
        <v>0</v>
      </c>
      <c r="S249" s="39">
        <v>0</v>
      </c>
      <c r="T249" s="39">
        <v>0</v>
      </c>
      <c r="U249" s="39">
        <v>0</v>
      </c>
      <c r="V249" s="39">
        <v>0</v>
      </c>
      <c r="W249" s="39">
        <v>0</v>
      </c>
      <c r="X249" s="39">
        <v>0</v>
      </c>
      <c r="Y249" s="39">
        <v>0</v>
      </c>
      <c r="Z249" s="39">
        <v>0</v>
      </c>
      <c r="AA249" s="39">
        <v>0</v>
      </c>
      <c r="AB249" s="39">
        <v>0</v>
      </c>
      <c r="AC249" s="39">
        <v>0</v>
      </c>
      <c r="AD249" s="39">
        <v>0</v>
      </c>
      <c r="AE249" s="39">
        <v>0</v>
      </c>
      <c r="AF249" s="39">
        <v>0</v>
      </c>
      <c r="AG249" s="39">
        <v>0</v>
      </c>
      <c r="AH249" s="39"/>
      <c r="AI249" s="39"/>
      <c r="AJ249" s="40"/>
      <c r="AK249" s="39">
        <f t="shared" si="20"/>
        <v>0</v>
      </c>
      <c r="AL249" s="39">
        <f t="shared" si="18"/>
        <v>0</v>
      </c>
      <c r="AM249" s="39">
        <f t="shared" si="19"/>
        <v>0</v>
      </c>
      <c r="AN249" s="39">
        <f t="shared" si="21"/>
        <v>0</v>
      </c>
      <c r="AO249" s="39">
        <f t="shared" si="22"/>
        <v>0</v>
      </c>
    </row>
    <row r="250" spans="1:41" x14ac:dyDescent="0.3">
      <c r="A250" s="20">
        <v>1000184670</v>
      </c>
      <c r="B250" s="4" t="s">
        <v>147</v>
      </c>
      <c r="C250" s="21">
        <v>1000186197</v>
      </c>
      <c r="D250" s="3" t="s">
        <v>166</v>
      </c>
      <c r="E250" s="20">
        <v>1000198600</v>
      </c>
      <c r="F250" s="4" t="s">
        <v>148</v>
      </c>
      <c r="G250" s="21">
        <v>1000198601</v>
      </c>
      <c r="H250" s="3" t="s">
        <v>149</v>
      </c>
      <c r="I250" s="21">
        <v>1000189761</v>
      </c>
      <c r="J250" s="3" t="s">
        <v>144</v>
      </c>
      <c r="K250" s="20" t="s">
        <v>13</v>
      </c>
      <c r="L250" s="39">
        <v>0</v>
      </c>
      <c r="M250" s="39">
        <v>0</v>
      </c>
      <c r="N250" s="39">
        <v>0</v>
      </c>
      <c r="O250" s="39">
        <v>0</v>
      </c>
      <c r="P250" s="39">
        <v>0</v>
      </c>
      <c r="Q250" s="39">
        <v>0</v>
      </c>
      <c r="R250" s="39">
        <v>0</v>
      </c>
      <c r="S250" s="39">
        <v>0</v>
      </c>
      <c r="T250" s="39">
        <v>0</v>
      </c>
      <c r="U250" s="39">
        <v>0</v>
      </c>
      <c r="V250" s="39">
        <v>0</v>
      </c>
      <c r="W250" s="39">
        <v>0</v>
      </c>
      <c r="X250" s="39">
        <v>0</v>
      </c>
      <c r="Y250" s="39">
        <v>0</v>
      </c>
      <c r="Z250" s="39">
        <v>0</v>
      </c>
      <c r="AA250" s="39">
        <v>0</v>
      </c>
      <c r="AB250" s="39">
        <v>0</v>
      </c>
      <c r="AC250" s="39">
        <v>0</v>
      </c>
      <c r="AD250" s="39">
        <v>0</v>
      </c>
      <c r="AE250" s="39">
        <v>0</v>
      </c>
      <c r="AF250" s="39">
        <v>0</v>
      </c>
      <c r="AG250" s="39">
        <v>0</v>
      </c>
      <c r="AH250" s="39"/>
      <c r="AI250" s="39"/>
      <c r="AJ250" s="40"/>
      <c r="AK250" s="39">
        <f t="shared" si="20"/>
        <v>0</v>
      </c>
      <c r="AL250" s="39">
        <f t="shared" si="18"/>
        <v>0</v>
      </c>
      <c r="AM250" s="39">
        <f t="shared" si="19"/>
        <v>0</v>
      </c>
      <c r="AN250" s="39">
        <f t="shared" si="21"/>
        <v>0</v>
      </c>
      <c r="AO250" s="39">
        <f t="shared" si="22"/>
        <v>0</v>
      </c>
    </row>
    <row r="251" spans="1:41" x14ac:dyDescent="0.3">
      <c r="A251" s="20">
        <v>1000184670</v>
      </c>
      <c r="B251" s="4" t="s">
        <v>147</v>
      </c>
      <c r="C251" s="21">
        <v>1000186197</v>
      </c>
      <c r="D251" s="3" t="s">
        <v>166</v>
      </c>
      <c r="E251" s="20">
        <v>1000198600</v>
      </c>
      <c r="F251" s="4" t="s">
        <v>148</v>
      </c>
      <c r="G251" s="21">
        <v>1000198601</v>
      </c>
      <c r="H251" s="3" t="s">
        <v>149</v>
      </c>
      <c r="I251" s="21">
        <v>1000189761</v>
      </c>
      <c r="J251" s="3" t="s">
        <v>144</v>
      </c>
      <c r="K251" s="20" t="s">
        <v>14</v>
      </c>
      <c r="L251" s="39">
        <v>0</v>
      </c>
      <c r="M251" s="39">
        <v>0</v>
      </c>
      <c r="N251" s="39">
        <v>0</v>
      </c>
      <c r="O251" s="39">
        <v>0</v>
      </c>
      <c r="P251" s="39">
        <v>0</v>
      </c>
      <c r="Q251" s="39">
        <v>0</v>
      </c>
      <c r="R251" s="39">
        <v>0</v>
      </c>
      <c r="S251" s="39">
        <v>0</v>
      </c>
      <c r="T251" s="39">
        <v>0</v>
      </c>
      <c r="U251" s="39">
        <v>0</v>
      </c>
      <c r="V251" s="39">
        <v>0</v>
      </c>
      <c r="W251" s="39">
        <v>0</v>
      </c>
      <c r="X251" s="39">
        <v>0</v>
      </c>
      <c r="Y251" s="39">
        <v>0</v>
      </c>
      <c r="Z251" s="39">
        <v>0</v>
      </c>
      <c r="AA251" s="39">
        <v>0</v>
      </c>
      <c r="AB251" s="39">
        <v>0</v>
      </c>
      <c r="AC251" s="39">
        <v>302.39999999999998</v>
      </c>
      <c r="AD251" s="39">
        <v>0</v>
      </c>
      <c r="AE251" s="39">
        <v>168</v>
      </c>
      <c r="AF251" s="39">
        <v>159.6</v>
      </c>
      <c r="AG251" s="39">
        <v>84</v>
      </c>
      <c r="AH251" s="39"/>
      <c r="AI251" s="39"/>
      <c r="AJ251" s="40"/>
      <c r="AK251" s="39">
        <f t="shared" si="20"/>
        <v>0</v>
      </c>
      <c r="AL251" s="39">
        <f t="shared" si="18"/>
        <v>59.5</v>
      </c>
      <c r="AM251" s="39">
        <f t="shared" si="19"/>
        <v>119</v>
      </c>
      <c r="AN251" s="39">
        <f t="shared" si="21"/>
        <v>71.400000000000006</v>
      </c>
      <c r="AO251" s="39">
        <f t="shared" si="22"/>
        <v>714</v>
      </c>
    </row>
    <row r="252" spans="1:41" x14ac:dyDescent="0.3">
      <c r="A252" s="20">
        <v>1000184670</v>
      </c>
      <c r="B252" s="4" t="s">
        <v>147</v>
      </c>
      <c r="C252" s="21">
        <v>1000186197</v>
      </c>
      <c r="D252" s="3" t="s">
        <v>166</v>
      </c>
      <c r="E252" s="20">
        <v>1000198600</v>
      </c>
      <c r="F252" s="4" t="s">
        <v>148</v>
      </c>
      <c r="G252" s="21">
        <v>1000198601</v>
      </c>
      <c r="H252" s="3" t="s">
        <v>149</v>
      </c>
      <c r="I252" s="21">
        <v>1000189761</v>
      </c>
      <c r="J252" s="3" t="s">
        <v>144</v>
      </c>
      <c r="K252" s="20" t="s">
        <v>16</v>
      </c>
      <c r="L252" s="39">
        <v>0</v>
      </c>
      <c r="M252" s="39">
        <v>0</v>
      </c>
      <c r="N252" s="39">
        <v>0</v>
      </c>
      <c r="O252" s="39">
        <v>0</v>
      </c>
      <c r="P252" s="39">
        <v>0</v>
      </c>
      <c r="Q252" s="39">
        <v>0</v>
      </c>
      <c r="R252" s="39">
        <v>0</v>
      </c>
      <c r="S252" s="39">
        <v>0</v>
      </c>
      <c r="T252" s="39">
        <v>0</v>
      </c>
      <c r="U252" s="39">
        <v>0</v>
      </c>
      <c r="V252" s="39">
        <v>0</v>
      </c>
      <c r="W252" s="39">
        <v>0</v>
      </c>
      <c r="X252" s="39">
        <v>0</v>
      </c>
      <c r="Y252" s="39">
        <v>0</v>
      </c>
      <c r="Z252" s="39">
        <v>0</v>
      </c>
      <c r="AA252" s="39">
        <v>0</v>
      </c>
      <c r="AB252" s="39">
        <v>0</v>
      </c>
      <c r="AC252" s="39">
        <v>0</v>
      </c>
      <c r="AD252" s="39">
        <v>0</v>
      </c>
      <c r="AE252" s="39">
        <v>0</v>
      </c>
      <c r="AF252" s="39">
        <v>0</v>
      </c>
      <c r="AG252" s="39">
        <v>0</v>
      </c>
      <c r="AH252" s="39"/>
      <c r="AI252" s="39"/>
      <c r="AJ252" s="40"/>
      <c r="AK252" s="39">
        <f t="shared" si="20"/>
        <v>0</v>
      </c>
      <c r="AL252" s="39">
        <f t="shared" si="18"/>
        <v>0</v>
      </c>
      <c r="AM252" s="39">
        <f t="shared" si="19"/>
        <v>0</v>
      </c>
      <c r="AN252" s="39">
        <f t="shared" si="21"/>
        <v>0</v>
      </c>
      <c r="AO252" s="39">
        <f t="shared" si="22"/>
        <v>0</v>
      </c>
    </row>
    <row r="253" spans="1:41" x14ac:dyDescent="0.3">
      <c r="A253" s="20">
        <v>1000184670</v>
      </c>
      <c r="B253" s="4" t="s">
        <v>147</v>
      </c>
      <c r="C253" s="21">
        <v>1000186197</v>
      </c>
      <c r="D253" s="3" t="s">
        <v>166</v>
      </c>
      <c r="E253" s="20">
        <v>1000198600</v>
      </c>
      <c r="F253" s="4" t="s">
        <v>148</v>
      </c>
      <c r="G253" s="21">
        <v>1000198601</v>
      </c>
      <c r="H253" s="3" t="s">
        <v>149</v>
      </c>
      <c r="I253" s="21">
        <v>1000189761</v>
      </c>
      <c r="J253" s="3" t="s">
        <v>144</v>
      </c>
      <c r="K253" s="20" t="s">
        <v>15</v>
      </c>
      <c r="L253" s="39">
        <v>0</v>
      </c>
      <c r="M253" s="39">
        <v>0</v>
      </c>
      <c r="N253" s="39">
        <v>0</v>
      </c>
      <c r="O253" s="39">
        <v>0</v>
      </c>
      <c r="P253" s="39">
        <v>0</v>
      </c>
      <c r="Q253" s="39">
        <v>0</v>
      </c>
      <c r="R253" s="39">
        <v>0</v>
      </c>
      <c r="S253" s="39">
        <v>0</v>
      </c>
      <c r="T253" s="39">
        <v>0</v>
      </c>
      <c r="U253" s="39">
        <v>0</v>
      </c>
      <c r="V253" s="39">
        <v>0</v>
      </c>
      <c r="W253" s="39">
        <v>0</v>
      </c>
      <c r="X253" s="39">
        <v>0</v>
      </c>
      <c r="Y253" s="39">
        <v>0</v>
      </c>
      <c r="Z253" s="39">
        <v>0</v>
      </c>
      <c r="AA253" s="39">
        <v>0</v>
      </c>
      <c r="AB253" s="39">
        <v>0</v>
      </c>
      <c r="AC253" s="39">
        <v>445.71</v>
      </c>
      <c r="AD253" s="39">
        <v>0</v>
      </c>
      <c r="AE253" s="39">
        <v>660.95</v>
      </c>
      <c r="AF253" s="39">
        <v>273.60000000000002</v>
      </c>
      <c r="AG253" s="39">
        <v>315.5</v>
      </c>
      <c r="AH253" s="39"/>
      <c r="AI253" s="39"/>
      <c r="AJ253" s="40"/>
      <c r="AK253" s="39">
        <f t="shared" si="20"/>
        <v>0</v>
      </c>
      <c r="AL253" s="39">
        <f t="shared" si="18"/>
        <v>141.31333333333336</v>
      </c>
      <c r="AM253" s="39">
        <f t="shared" si="19"/>
        <v>282.62666666666672</v>
      </c>
      <c r="AN253" s="39">
        <f t="shared" si="21"/>
        <v>169.57600000000002</v>
      </c>
      <c r="AO253" s="39">
        <f t="shared" si="22"/>
        <v>1695.7600000000002</v>
      </c>
    </row>
    <row r="254" spans="1:41" x14ac:dyDescent="0.3">
      <c r="A254" s="20">
        <v>1000184670</v>
      </c>
      <c r="B254" s="4" t="s">
        <v>147</v>
      </c>
      <c r="C254" s="21">
        <v>1000186197</v>
      </c>
      <c r="D254" s="3" t="s">
        <v>166</v>
      </c>
      <c r="E254" s="20">
        <v>1000198600</v>
      </c>
      <c r="F254" s="4" t="s">
        <v>148</v>
      </c>
      <c r="G254" s="21">
        <v>1000198601</v>
      </c>
      <c r="H254" s="3" t="s">
        <v>149</v>
      </c>
      <c r="I254" s="21">
        <v>1000189761</v>
      </c>
      <c r="J254" s="3" t="s">
        <v>144</v>
      </c>
      <c r="K254" s="20" t="s">
        <v>33</v>
      </c>
      <c r="L254" s="39">
        <v>0</v>
      </c>
      <c r="M254" s="39">
        <v>0</v>
      </c>
      <c r="N254" s="39">
        <v>0</v>
      </c>
      <c r="O254" s="39">
        <v>0</v>
      </c>
      <c r="P254" s="39">
        <v>0</v>
      </c>
      <c r="Q254" s="39">
        <v>0</v>
      </c>
      <c r="R254" s="39">
        <v>0</v>
      </c>
      <c r="S254" s="39">
        <v>0</v>
      </c>
      <c r="T254" s="39">
        <v>0</v>
      </c>
      <c r="U254" s="39">
        <v>0</v>
      </c>
      <c r="V254" s="39">
        <v>0</v>
      </c>
      <c r="W254" s="39">
        <v>0</v>
      </c>
      <c r="X254" s="39">
        <v>0</v>
      </c>
      <c r="Y254" s="39">
        <v>0</v>
      </c>
      <c r="Z254" s="39">
        <v>0</v>
      </c>
      <c r="AA254" s="39">
        <v>0</v>
      </c>
      <c r="AB254" s="39">
        <v>0</v>
      </c>
      <c r="AC254" s="39">
        <v>0</v>
      </c>
      <c r="AD254" s="39">
        <v>0</v>
      </c>
      <c r="AE254" s="39">
        <v>0</v>
      </c>
      <c r="AF254" s="39">
        <v>0</v>
      </c>
      <c r="AG254" s="39">
        <v>0</v>
      </c>
      <c r="AH254" s="39"/>
      <c r="AI254" s="39"/>
      <c r="AJ254" s="40"/>
      <c r="AK254" s="39">
        <f t="shared" si="20"/>
        <v>0</v>
      </c>
      <c r="AL254" s="39">
        <f t="shared" si="18"/>
        <v>0</v>
      </c>
      <c r="AM254" s="39">
        <f t="shared" si="19"/>
        <v>0</v>
      </c>
      <c r="AN254" s="39">
        <f t="shared" si="21"/>
        <v>0</v>
      </c>
      <c r="AO254" s="39">
        <f t="shared" si="22"/>
        <v>0</v>
      </c>
    </row>
    <row r="255" spans="1:41" x14ac:dyDescent="0.3">
      <c r="A255" s="20">
        <v>1000184670</v>
      </c>
      <c r="B255" s="4" t="s">
        <v>147</v>
      </c>
      <c r="C255" s="21">
        <v>1000186197</v>
      </c>
      <c r="D255" s="3" t="s">
        <v>166</v>
      </c>
      <c r="E255" s="20">
        <v>1000198600</v>
      </c>
      <c r="F255" s="4" t="s">
        <v>148</v>
      </c>
      <c r="G255" s="21">
        <v>1000198601</v>
      </c>
      <c r="H255" s="3" t="s">
        <v>149</v>
      </c>
      <c r="I255" s="21">
        <v>1000189761</v>
      </c>
      <c r="J255" s="3" t="s">
        <v>144</v>
      </c>
      <c r="K255" s="20" t="s">
        <v>19</v>
      </c>
      <c r="L255" s="39">
        <v>0</v>
      </c>
      <c r="M255" s="39">
        <v>0</v>
      </c>
      <c r="N255" s="39">
        <v>0</v>
      </c>
      <c r="O255" s="39">
        <v>0</v>
      </c>
      <c r="P255" s="39">
        <v>0</v>
      </c>
      <c r="Q255" s="39">
        <v>0</v>
      </c>
      <c r="R255" s="39">
        <v>0</v>
      </c>
      <c r="S255" s="39">
        <v>0</v>
      </c>
      <c r="T255" s="39">
        <v>0</v>
      </c>
      <c r="U255" s="39">
        <v>0</v>
      </c>
      <c r="V255" s="39">
        <v>0</v>
      </c>
      <c r="W255" s="39">
        <v>0</v>
      </c>
      <c r="X255" s="39">
        <v>0</v>
      </c>
      <c r="Y255" s="39">
        <v>0</v>
      </c>
      <c r="Z255" s="39">
        <v>0</v>
      </c>
      <c r="AA255" s="39">
        <v>0</v>
      </c>
      <c r="AB255" s="39">
        <v>0</v>
      </c>
      <c r="AC255" s="39">
        <v>0</v>
      </c>
      <c r="AD255" s="39">
        <v>0</v>
      </c>
      <c r="AE255" s="39">
        <v>0</v>
      </c>
      <c r="AF255" s="39">
        <v>0</v>
      </c>
      <c r="AG255" s="39">
        <v>0</v>
      </c>
      <c r="AH255" s="39"/>
      <c r="AI255" s="39"/>
      <c r="AJ255" s="40"/>
      <c r="AK255" s="39">
        <f t="shared" si="20"/>
        <v>0</v>
      </c>
      <c r="AL255" s="39">
        <f t="shared" si="18"/>
        <v>0</v>
      </c>
      <c r="AM255" s="39">
        <f t="shared" si="19"/>
        <v>0</v>
      </c>
      <c r="AN255" s="39">
        <f t="shared" si="21"/>
        <v>0</v>
      </c>
      <c r="AO255" s="39">
        <f t="shared" si="22"/>
        <v>0</v>
      </c>
    </row>
    <row r="256" spans="1:41" x14ac:dyDescent="0.3">
      <c r="A256" s="20">
        <v>1000184670</v>
      </c>
      <c r="B256" s="4" t="s">
        <v>147</v>
      </c>
      <c r="C256" s="21">
        <v>1000186197</v>
      </c>
      <c r="D256" s="3" t="s">
        <v>166</v>
      </c>
      <c r="E256" s="20">
        <v>1000198600</v>
      </c>
      <c r="F256" s="4" t="s">
        <v>148</v>
      </c>
      <c r="G256" s="21">
        <v>1000198601</v>
      </c>
      <c r="H256" s="3" t="s">
        <v>149</v>
      </c>
      <c r="I256" s="21">
        <v>1000189761</v>
      </c>
      <c r="J256" s="3" t="s">
        <v>144</v>
      </c>
      <c r="K256" s="20" t="s">
        <v>17</v>
      </c>
      <c r="L256" s="39">
        <v>0</v>
      </c>
      <c r="M256" s="39">
        <v>0</v>
      </c>
      <c r="N256" s="39">
        <v>0</v>
      </c>
      <c r="O256" s="39">
        <v>0</v>
      </c>
      <c r="P256" s="39">
        <v>0</v>
      </c>
      <c r="Q256" s="39">
        <v>0</v>
      </c>
      <c r="R256" s="39">
        <v>0</v>
      </c>
      <c r="S256" s="39">
        <v>0</v>
      </c>
      <c r="T256" s="39">
        <v>0</v>
      </c>
      <c r="U256" s="39">
        <v>0</v>
      </c>
      <c r="V256" s="39">
        <v>0</v>
      </c>
      <c r="W256" s="39">
        <v>0</v>
      </c>
      <c r="X256" s="39">
        <v>0</v>
      </c>
      <c r="Y256" s="39">
        <v>0</v>
      </c>
      <c r="Z256" s="39">
        <v>0</v>
      </c>
      <c r="AA256" s="39">
        <v>0</v>
      </c>
      <c r="AB256" s="39">
        <v>0</v>
      </c>
      <c r="AC256" s="39">
        <v>0</v>
      </c>
      <c r="AD256" s="39">
        <v>0</v>
      </c>
      <c r="AE256" s="39">
        <v>0</v>
      </c>
      <c r="AF256" s="39">
        <v>0</v>
      </c>
      <c r="AG256" s="39">
        <v>0</v>
      </c>
      <c r="AH256" s="39"/>
      <c r="AI256" s="39"/>
      <c r="AJ256" s="40"/>
      <c r="AK256" s="39">
        <f t="shared" si="20"/>
        <v>0</v>
      </c>
      <c r="AL256" s="39">
        <f t="shared" si="18"/>
        <v>0</v>
      </c>
      <c r="AM256" s="39">
        <f t="shared" si="19"/>
        <v>0</v>
      </c>
      <c r="AN256" s="39">
        <f t="shared" si="21"/>
        <v>0</v>
      </c>
      <c r="AO256" s="39">
        <f t="shared" si="22"/>
        <v>0</v>
      </c>
    </row>
    <row r="257" spans="1:41" x14ac:dyDescent="0.3">
      <c r="A257" s="20">
        <v>1000184670</v>
      </c>
      <c r="B257" s="4" t="s">
        <v>147</v>
      </c>
      <c r="C257" s="21">
        <v>1000186197</v>
      </c>
      <c r="D257" s="3" t="s">
        <v>166</v>
      </c>
      <c r="E257" s="20">
        <v>1000198600</v>
      </c>
      <c r="F257" s="4" t="s">
        <v>148</v>
      </c>
      <c r="G257" s="21">
        <v>1000198601</v>
      </c>
      <c r="H257" s="3" t="s">
        <v>149</v>
      </c>
      <c r="I257" s="21">
        <v>1000189761</v>
      </c>
      <c r="J257" s="3" t="s">
        <v>144</v>
      </c>
      <c r="K257" s="20" t="s">
        <v>24</v>
      </c>
      <c r="L257" s="39">
        <v>0</v>
      </c>
      <c r="M257" s="39">
        <v>0</v>
      </c>
      <c r="N257" s="39">
        <v>0</v>
      </c>
      <c r="O257" s="39">
        <v>0</v>
      </c>
      <c r="P257" s="39">
        <v>0</v>
      </c>
      <c r="Q257" s="39">
        <v>0</v>
      </c>
      <c r="R257" s="39">
        <v>0</v>
      </c>
      <c r="S257" s="39">
        <v>0</v>
      </c>
      <c r="T257" s="39">
        <v>0</v>
      </c>
      <c r="U257" s="39">
        <v>0</v>
      </c>
      <c r="V257" s="39">
        <v>0</v>
      </c>
      <c r="W257" s="39">
        <v>0</v>
      </c>
      <c r="X257" s="39">
        <v>0</v>
      </c>
      <c r="Y257" s="39">
        <v>0</v>
      </c>
      <c r="Z257" s="39">
        <v>0</v>
      </c>
      <c r="AA257" s="39">
        <v>0</v>
      </c>
      <c r="AB257" s="39">
        <v>0</v>
      </c>
      <c r="AC257" s="39">
        <v>0</v>
      </c>
      <c r="AD257" s="39">
        <v>0</v>
      </c>
      <c r="AE257" s="39">
        <v>0</v>
      </c>
      <c r="AF257" s="39">
        <v>0</v>
      </c>
      <c r="AG257" s="39">
        <v>0</v>
      </c>
      <c r="AH257" s="39"/>
      <c r="AI257" s="39"/>
      <c r="AJ257" s="40"/>
      <c r="AK257" s="39">
        <f t="shared" si="20"/>
        <v>0</v>
      </c>
      <c r="AL257" s="39">
        <f t="shared" si="18"/>
        <v>0</v>
      </c>
      <c r="AM257" s="39">
        <f t="shared" si="19"/>
        <v>0</v>
      </c>
      <c r="AN257" s="39">
        <f t="shared" si="21"/>
        <v>0</v>
      </c>
      <c r="AO257" s="39">
        <f t="shared" si="22"/>
        <v>0</v>
      </c>
    </row>
    <row r="258" spans="1:41" x14ac:dyDescent="0.3">
      <c r="A258" s="20">
        <v>1000184670</v>
      </c>
      <c r="B258" s="4" t="s">
        <v>147</v>
      </c>
      <c r="C258" s="21">
        <v>1000186197</v>
      </c>
      <c r="D258" s="3" t="s">
        <v>166</v>
      </c>
      <c r="E258" s="20">
        <v>1000198600</v>
      </c>
      <c r="F258" s="4" t="s">
        <v>148</v>
      </c>
      <c r="G258" s="21">
        <v>1000198601</v>
      </c>
      <c r="H258" s="3" t="s">
        <v>149</v>
      </c>
      <c r="I258" s="21">
        <v>1000189761</v>
      </c>
      <c r="J258" s="3" t="s">
        <v>144</v>
      </c>
      <c r="K258" s="20" t="s">
        <v>18</v>
      </c>
      <c r="L258" s="39">
        <v>0</v>
      </c>
      <c r="M258" s="39">
        <v>0</v>
      </c>
      <c r="N258" s="39">
        <v>0</v>
      </c>
      <c r="O258" s="39">
        <v>0</v>
      </c>
      <c r="P258" s="39">
        <v>0</v>
      </c>
      <c r="Q258" s="39">
        <v>0</v>
      </c>
      <c r="R258" s="39">
        <v>0</v>
      </c>
      <c r="S258" s="39">
        <v>0</v>
      </c>
      <c r="T258" s="39">
        <v>0</v>
      </c>
      <c r="U258" s="39">
        <v>0</v>
      </c>
      <c r="V258" s="39">
        <v>0</v>
      </c>
      <c r="W258" s="39">
        <v>0</v>
      </c>
      <c r="X258" s="39">
        <v>0</v>
      </c>
      <c r="Y258" s="39">
        <v>0</v>
      </c>
      <c r="Z258" s="39">
        <v>0</v>
      </c>
      <c r="AA258" s="39">
        <v>0</v>
      </c>
      <c r="AB258" s="39">
        <v>0</v>
      </c>
      <c r="AC258" s="39">
        <v>0</v>
      </c>
      <c r="AD258" s="39">
        <v>0</v>
      </c>
      <c r="AE258" s="39">
        <v>0</v>
      </c>
      <c r="AF258" s="39">
        <v>0</v>
      </c>
      <c r="AG258" s="39">
        <v>0</v>
      </c>
      <c r="AH258" s="39"/>
      <c r="AI258" s="39"/>
      <c r="AJ258" s="40"/>
      <c r="AK258" s="39">
        <f t="shared" si="20"/>
        <v>0</v>
      </c>
      <c r="AL258" s="39">
        <f t="shared" si="18"/>
        <v>0</v>
      </c>
      <c r="AM258" s="39">
        <f t="shared" si="19"/>
        <v>0</v>
      </c>
      <c r="AN258" s="39">
        <f t="shared" si="21"/>
        <v>0</v>
      </c>
      <c r="AO258" s="39">
        <f t="shared" si="22"/>
        <v>0</v>
      </c>
    </row>
    <row r="259" spans="1:41" x14ac:dyDescent="0.3">
      <c r="A259" s="20">
        <v>1000184670</v>
      </c>
      <c r="B259" s="4" t="s">
        <v>147</v>
      </c>
      <c r="C259" s="21">
        <v>1000186197</v>
      </c>
      <c r="D259" s="3" t="s">
        <v>166</v>
      </c>
      <c r="E259" s="20">
        <v>1000198600</v>
      </c>
      <c r="F259" s="4" t="s">
        <v>148</v>
      </c>
      <c r="G259" s="21">
        <v>1000198601</v>
      </c>
      <c r="H259" s="3" t="s">
        <v>149</v>
      </c>
      <c r="I259" s="21">
        <v>1000189761</v>
      </c>
      <c r="J259" s="3" t="s">
        <v>144</v>
      </c>
      <c r="K259" s="20" t="s">
        <v>29</v>
      </c>
      <c r="L259" s="39">
        <v>0</v>
      </c>
      <c r="M259" s="39">
        <v>0</v>
      </c>
      <c r="N259" s="39">
        <v>0</v>
      </c>
      <c r="O259" s="39">
        <v>0</v>
      </c>
      <c r="P259" s="39">
        <v>0</v>
      </c>
      <c r="Q259" s="39">
        <v>0</v>
      </c>
      <c r="R259" s="39">
        <v>0</v>
      </c>
      <c r="S259" s="39">
        <v>0</v>
      </c>
      <c r="T259" s="39">
        <v>0</v>
      </c>
      <c r="U259" s="39">
        <v>0</v>
      </c>
      <c r="V259" s="39">
        <v>0</v>
      </c>
      <c r="W259" s="39">
        <v>0</v>
      </c>
      <c r="X259" s="39">
        <v>0</v>
      </c>
      <c r="Y259" s="39">
        <v>0</v>
      </c>
      <c r="Z259" s="39">
        <v>0</v>
      </c>
      <c r="AA259" s="39">
        <v>0</v>
      </c>
      <c r="AB259" s="39">
        <v>0</v>
      </c>
      <c r="AC259" s="39">
        <v>0</v>
      </c>
      <c r="AD259" s="39">
        <v>0</v>
      </c>
      <c r="AE259" s="39">
        <v>8471.4</v>
      </c>
      <c r="AF259" s="39">
        <v>1005</v>
      </c>
      <c r="AG259" s="39">
        <v>5616.4</v>
      </c>
      <c r="AH259" s="39"/>
      <c r="AI259" s="39"/>
      <c r="AJ259" s="40"/>
      <c r="AK259" s="39">
        <f t="shared" si="20"/>
        <v>0</v>
      </c>
      <c r="AL259" s="39">
        <f t="shared" ref="AL259:AL322" si="23">AVERAGE(V259:AG259)</f>
        <v>1257.7333333333333</v>
      </c>
      <c r="AM259" s="39">
        <f t="shared" ref="AM259:AM322" si="24">AVERAGE(AB259:AG259)</f>
        <v>2515.4666666666667</v>
      </c>
      <c r="AN259" s="39">
        <f t="shared" si="21"/>
        <v>1509.28</v>
      </c>
      <c r="AO259" s="39">
        <f t="shared" si="22"/>
        <v>15092.8</v>
      </c>
    </row>
    <row r="260" spans="1:41" x14ac:dyDescent="0.3">
      <c r="A260" s="20">
        <v>1000184670</v>
      </c>
      <c r="B260" s="4" t="s">
        <v>147</v>
      </c>
      <c r="C260" s="21">
        <v>1000186197</v>
      </c>
      <c r="D260" s="3" t="s">
        <v>166</v>
      </c>
      <c r="E260" s="20">
        <v>1000198600</v>
      </c>
      <c r="F260" s="4" t="s">
        <v>148</v>
      </c>
      <c r="G260" s="21">
        <v>1000198601</v>
      </c>
      <c r="H260" s="3" t="s">
        <v>149</v>
      </c>
      <c r="I260" s="21">
        <v>1000189761</v>
      </c>
      <c r="J260" s="3" t="s">
        <v>144</v>
      </c>
      <c r="K260" s="20" t="s">
        <v>21</v>
      </c>
      <c r="L260" s="39">
        <v>0</v>
      </c>
      <c r="M260" s="39">
        <v>0</v>
      </c>
      <c r="N260" s="39">
        <v>0</v>
      </c>
      <c r="O260" s="39">
        <v>0</v>
      </c>
      <c r="P260" s="39">
        <v>0</v>
      </c>
      <c r="Q260" s="39">
        <v>0</v>
      </c>
      <c r="R260" s="39">
        <v>0</v>
      </c>
      <c r="S260" s="39">
        <v>0</v>
      </c>
      <c r="T260" s="39">
        <v>0</v>
      </c>
      <c r="U260" s="39">
        <v>0</v>
      </c>
      <c r="V260" s="39">
        <v>0</v>
      </c>
      <c r="W260" s="39">
        <v>0</v>
      </c>
      <c r="X260" s="39">
        <v>0</v>
      </c>
      <c r="Y260" s="39">
        <v>0</v>
      </c>
      <c r="Z260" s="39">
        <v>0</v>
      </c>
      <c r="AA260" s="39">
        <v>0</v>
      </c>
      <c r="AB260" s="39">
        <v>0</v>
      </c>
      <c r="AC260" s="39">
        <v>663.24</v>
      </c>
      <c r="AD260" s="39">
        <v>0</v>
      </c>
      <c r="AE260" s="39">
        <v>289.29000000000002</v>
      </c>
      <c r="AF260" s="39">
        <v>852.65</v>
      </c>
      <c r="AG260" s="39">
        <v>440.61</v>
      </c>
      <c r="AH260" s="39"/>
      <c r="AI260" s="39"/>
      <c r="AJ260" s="40"/>
      <c r="AK260" s="39">
        <f t="shared" si="20"/>
        <v>0</v>
      </c>
      <c r="AL260" s="39">
        <f t="shared" si="23"/>
        <v>187.14916666666667</v>
      </c>
      <c r="AM260" s="39">
        <f t="shared" si="24"/>
        <v>374.29833333333335</v>
      </c>
      <c r="AN260" s="39">
        <f t="shared" si="21"/>
        <v>224.57900000000001</v>
      </c>
      <c r="AO260" s="39">
        <f t="shared" si="22"/>
        <v>2245.79</v>
      </c>
    </row>
    <row r="261" spans="1:41" x14ac:dyDescent="0.3">
      <c r="A261" s="20">
        <v>1000184670</v>
      </c>
      <c r="B261" s="4" t="s">
        <v>147</v>
      </c>
      <c r="C261" s="21">
        <v>1000186197</v>
      </c>
      <c r="D261" s="3" t="s">
        <v>166</v>
      </c>
      <c r="E261" s="20">
        <v>1000198600</v>
      </c>
      <c r="F261" s="4" t="s">
        <v>148</v>
      </c>
      <c r="G261" s="21">
        <v>1000198601</v>
      </c>
      <c r="H261" s="3" t="s">
        <v>149</v>
      </c>
      <c r="I261" s="21">
        <v>1000189761</v>
      </c>
      <c r="J261" s="3" t="s">
        <v>144</v>
      </c>
      <c r="K261" s="20" t="s">
        <v>20</v>
      </c>
      <c r="L261" s="39">
        <v>0</v>
      </c>
      <c r="M261" s="39">
        <v>0</v>
      </c>
      <c r="N261" s="39">
        <v>0</v>
      </c>
      <c r="O261" s="39">
        <v>0</v>
      </c>
      <c r="P261" s="39">
        <v>0</v>
      </c>
      <c r="Q261" s="39">
        <v>0</v>
      </c>
      <c r="R261" s="39">
        <v>0</v>
      </c>
      <c r="S261" s="39">
        <v>0</v>
      </c>
      <c r="T261" s="39">
        <v>0</v>
      </c>
      <c r="U261" s="39">
        <v>0</v>
      </c>
      <c r="V261" s="39">
        <v>0</v>
      </c>
      <c r="W261" s="39">
        <v>0</v>
      </c>
      <c r="X261" s="39">
        <v>0</v>
      </c>
      <c r="Y261" s="39">
        <v>0</v>
      </c>
      <c r="Z261" s="39">
        <v>0</v>
      </c>
      <c r="AA261" s="39">
        <v>0</v>
      </c>
      <c r="AB261" s="39">
        <v>0</v>
      </c>
      <c r="AC261" s="39">
        <v>87.26</v>
      </c>
      <c r="AD261" s="39">
        <v>0</v>
      </c>
      <c r="AE261" s="39">
        <v>0</v>
      </c>
      <c r="AF261" s="39">
        <v>0</v>
      </c>
      <c r="AG261" s="39">
        <v>0</v>
      </c>
      <c r="AH261" s="39"/>
      <c r="AI261" s="39"/>
      <c r="AJ261" s="40"/>
      <c r="AK261" s="39">
        <f t="shared" si="20"/>
        <v>0</v>
      </c>
      <c r="AL261" s="39">
        <f t="shared" si="23"/>
        <v>7.2716666666666674</v>
      </c>
      <c r="AM261" s="39">
        <f t="shared" si="24"/>
        <v>14.543333333333335</v>
      </c>
      <c r="AN261" s="39">
        <f t="shared" si="21"/>
        <v>8.7260000000000009</v>
      </c>
      <c r="AO261" s="39">
        <f t="shared" si="22"/>
        <v>87.26</v>
      </c>
    </row>
    <row r="262" spans="1:41" x14ac:dyDescent="0.3">
      <c r="A262" s="20">
        <v>1000184670</v>
      </c>
      <c r="B262" s="4" t="s">
        <v>147</v>
      </c>
      <c r="C262" s="21">
        <v>1000186197</v>
      </c>
      <c r="D262" s="3" t="s">
        <v>166</v>
      </c>
      <c r="E262" s="20">
        <v>1000198600</v>
      </c>
      <c r="F262" s="4" t="s">
        <v>148</v>
      </c>
      <c r="G262" s="21">
        <v>1000198601</v>
      </c>
      <c r="H262" s="3" t="s">
        <v>149</v>
      </c>
      <c r="I262" s="21">
        <v>1000189761</v>
      </c>
      <c r="J262" s="3" t="s">
        <v>144</v>
      </c>
      <c r="K262" s="20" t="s">
        <v>22</v>
      </c>
      <c r="L262" s="39">
        <v>0</v>
      </c>
      <c r="M262" s="39">
        <v>0</v>
      </c>
      <c r="N262" s="39">
        <v>0</v>
      </c>
      <c r="O262" s="39">
        <v>0</v>
      </c>
      <c r="P262" s="39">
        <v>0</v>
      </c>
      <c r="Q262" s="39">
        <v>0</v>
      </c>
      <c r="R262" s="39">
        <v>0</v>
      </c>
      <c r="S262" s="39">
        <v>0</v>
      </c>
      <c r="T262" s="39">
        <v>0</v>
      </c>
      <c r="U262" s="39">
        <v>0</v>
      </c>
      <c r="V262" s="39">
        <v>0</v>
      </c>
      <c r="W262" s="39">
        <v>0</v>
      </c>
      <c r="X262" s="39">
        <v>0</v>
      </c>
      <c r="Y262" s="39">
        <v>0</v>
      </c>
      <c r="Z262" s="39">
        <v>0</v>
      </c>
      <c r="AA262" s="39">
        <v>0</v>
      </c>
      <c r="AB262" s="39">
        <v>0</v>
      </c>
      <c r="AC262" s="39">
        <v>0</v>
      </c>
      <c r="AD262" s="39">
        <v>0</v>
      </c>
      <c r="AE262" s="39">
        <v>0</v>
      </c>
      <c r="AF262" s="39">
        <v>0</v>
      </c>
      <c r="AG262" s="39">
        <v>0</v>
      </c>
      <c r="AH262" s="39"/>
      <c r="AI262" s="39"/>
      <c r="AJ262" s="40"/>
      <c r="AK262" s="39">
        <f t="shared" si="20"/>
        <v>0</v>
      </c>
      <c r="AL262" s="39">
        <f t="shared" si="23"/>
        <v>0</v>
      </c>
      <c r="AM262" s="39">
        <f t="shared" si="24"/>
        <v>0</v>
      </c>
      <c r="AN262" s="39">
        <f t="shared" si="21"/>
        <v>0</v>
      </c>
      <c r="AO262" s="39">
        <f t="shared" si="22"/>
        <v>0</v>
      </c>
    </row>
    <row r="263" spans="1:41" x14ac:dyDescent="0.3">
      <c r="A263" s="20">
        <v>1000184670</v>
      </c>
      <c r="B263" s="4" t="s">
        <v>147</v>
      </c>
      <c r="C263" s="21">
        <v>1000186197</v>
      </c>
      <c r="D263" s="3" t="s">
        <v>166</v>
      </c>
      <c r="E263" s="20">
        <v>1000198600</v>
      </c>
      <c r="F263" s="4" t="s">
        <v>148</v>
      </c>
      <c r="G263" s="21">
        <v>1000198601</v>
      </c>
      <c r="H263" s="3" t="s">
        <v>149</v>
      </c>
      <c r="I263" s="21">
        <v>1000189761</v>
      </c>
      <c r="J263" s="3" t="s">
        <v>144</v>
      </c>
      <c r="K263" s="20" t="s">
        <v>23</v>
      </c>
      <c r="L263" s="39">
        <v>0</v>
      </c>
      <c r="M263" s="39">
        <v>0</v>
      </c>
      <c r="N263" s="39">
        <v>0</v>
      </c>
      <c r="O263" s="39">
        <v>0</v>
      </c>
      <c r="P263" s="39">
        <v>0</v>
      </c>
      <c r="Q263" s="39">
        <v>0</v>
      </c>
      <c r="R263" s="39">
        <v>0</v>
      </c>
      <c r="S263" s="39">
        <v>0</v>
      </c>
      <c r="T263" s="39">
        <v>0</v>
      </c>
      <c r="U263" s="39">
        <v>0</v>
      </c>
      <c r="V263" s="39">
        <v>0</v>
      </c>
      <c r="W263" s="39">
        <v>0</v>
      </c>
      <c r="X263" s="39">
        <v>0</v>
      </c>
      <c r="Y263" s="39">
        <v>0</v>
      </c>
      <c r="Z263" s="39">
        <v>0</v>
      </c>
      <c r="AA263" s="39">
        <v>0</v>
      </c>
      <c r="AB263" s="39">
        <v>0</v>
      </c>
      <c r="AC263" s="39">
        <v>0</v>
      </c>
      <c r="AD263" s="39">
        <v>0</v>
      </c>
      <c r="AE263" s="39">
        <v>0</v>
      </c>
      <c r="AF263" s="39">
        <v>0</v>
      </c>
      <c r="AG263" s="39">
        <v>0</v>
      </c>
      <c r="AH263" s="39"/>
      <c r="AI263" s="39"/>
      <c r="AJ263" s="40"/>
      <c r="AK263" s="39">
        <f t="shared" si="20"/>
        <v>0</v>
      </c>
      <c r="AL263" s="39">
        <f t="shared" si="23"/>
        <v>0</v>
      </c>
      <c r="AM263" s="39">
        <f t="shared" si="24"/>
        <v>0</v>
      </c>
      <c r="AN263" s="39">
        <f t="shared" si="21"/>
        <v>0</v>
      </c>
      <c r="AO263" s="39">
        <f t="shared" si="22"/>
        <v>0</v>
      </c>
    </row>
    <row r="264" spans="1:41" x14ac:dyDescent="0.3">
      <c r="A264" s="20">
        <v>1000184670</v>
      </c>
      <c r="B264" s="4" t="s">
        <v>147</v>
      </c>
      <c r="C264" s="21">
        <v>1000186197</v>
      </c>
      <c r="D264" s="3" t="s">
        <v>166</v>
      </c>
      <c r="E264" s="20">
        <v>1000198600</v>
      </c>
      <c r="F264" s="4" t="s">
        <v>148</v>
      </c>
      <c r="G264" s="21">
        <v>1000198601</v>
      </c>
      <c r="H264" s="3" t="s">
        <v>149</v>
      </c>
      <c r="I264" s="21">
        <v>1000189761</v>
      </c>
      <c r="J264" s="3" t="s">
        <v>144</v>
      </c>
      <c r="K264" s="20" t="s">
        <v>28</v>
      </c>
      <c r="L264" s="39">
        <v>0</v>
      </c>
      <c r="M264" s="39">
        <v>0</v>
      </c>
      <c r="N264" s="39">
        <v>0</v>
      </c>
      <c r="O264" s="39">
        <v>0</v>
      </c>
      <c r="P264" s="39">
        <v>0</v>
      </c>
      <c r="Q264" s="39">
        <v>0</v>
      </c>
      <c r="R264" s="39">
        <v>0</v>
      </c>
      <c r="S264" s="39">
        <v>0</v>
      </c>
      <c r="T264" s="39">
        <v>0</v>
      </c>
      <c r="U264" s="39">
        <v>0</v>
      </c>
      <c r="V264" s="39">
        <v>0</v>
      </c>
      <c r="W264" s="39">
        <v>0</v>
      </c>
      <c r="X264" s="39">
        <v>0</v>
      </c>
      <c r="Y264" s="39">
        <v>0</v>
      </c>
      <c r="Z264" s="39">
        <v>0</v>
      </c>
      <c r="AA264" s="39">
        <v>0</v>
      </c>
      <c r="AB264" s="39">
        <v>0</v>
      </c>
      <c r="AC264" s="39">
        <v>0</v>
      </c>
      <c r="AD264" s="39">
        <v>0</v>
      </c>
      <c r="AE264" s="39">
        <v>0</v>
      </c>
      <c r="AF264" s="39">
        <v>0</v>
      </c>
      <c r="AG264" s="39">
        <v>0</v>
      </c>
      <c r="AH264" s="39"/>
      <c r="AI264" s="39"/>
      <c r="AJ264" s="40"/>
      <c r="AK264" s="39">
        <f t="shared" si="20"/>
        <v>0</v>
      </c>
      <c r="AL264" s="39">
        <f t="shared" si="23"/>
        <v>0</v>
      </c>
      <c r="AM264" s="39">
        <f t="shared" si="24"/>
        <v>0</v>
      </c>
      <c r="AN264" s="39">
        <f t="shared" si="21"/>
        <v>0</v>
      </c>
      <c r="AO264" s="39">
        <f t="shared" si="22"/>
        <v>0</v>
      </c>
    </row>
    <row r="265" spans="1:41" x14ac:dyDescent="0.3">
      <c r="A265" s="20">
        <v>1000184670</v>
      </c>
      <c r="B265" s="4" t="s">
        <v>147</v>
      </c>
      <c r="C265" s="21">
        <v>1000186197</v>
      </c>
      <c r="D265" s="3" t="s">
        <v>166</v>
      </c>
      <c r="E265" s="20">
        <v>1000198600</v>
      </c>
      <c r="F265" s="4" t="s">
        <v>148</v>
      </c>
      <c r="G265" s="21">
        <v>1000198601</v>
      </c>
      <c r="H265" s="3" t="s">
        <v>149</v>
      </c>
      <c r="I265" s="21">
        <v>1000189761</v>
      </c>
      <c r="J265" s="3" t="s">
        <v>144</v>
      </c>
      <c r="K265" s="20" t="s">
        <v>26</v>
      </c>
      <c r="L265" s="39">
        <v>0</v>
      </c>
      <c r="M265" s="39">
        <v>0</v>
      </c>
      <c r="N265" s="39">
        <v>0</v>
      </c>
      <c r="O265" s="39">
        <v>0</v>
      </c>
      <c r="P265" s="39">
        <v>0</v>
      </c>
      <c r="Q265" s="39">
        <v>0</v>
      </c>
      <c r="R265" s="39">
        <v>0</v>
      </c>
      <c r="S265" s="39">
        <v>0</v>
      </c>
      <c r="T265" s="39">
        <v>0</v>
      </c>
      <c r="U265" s="39">
        <v>0</v>
      </c>
      <c r="V265" s="39">
        <v>0</v>
      </c>
      <c r="W265" s="39">
        <v>0</v>
      </c>
      <c r="X265" s="39">
        <v>0</v>
      </c>
      <c r="Y265" s="39">
        <v>0</v>
      </c>
      <c r="Z265" s="39">
        <v>0</v>
      </c>
      <c r="AA265" s="39">
        <v>0</v>
      </c>
      <c r="AB265" s="39">
        <v>0</v>
      </c>
      <c r="AC265" s="39">
        <v>1942.68</v>
      </c>
      <c r="AD265" s="39">
        <v>0</v>
      </c>
      <c r="AE265" s="39">
        <v>306</v>
      </c>
      <c r="AF265" s="39">
        <v>1140</v>
      </c>
      <c r="AG265" s="39">
        <v>360</v>
      </c>
      <c r="AH265" s="39"/>
      <c r="AI265" s="39"/>
      <c r="AJ265" s="40"/>
      <c r="AK265" s="39">
        <f t="shared" si="20"/>
        <v>0</v>
      </c>
      <c r="AL265" s="39">
        <f t="shared" si="23"/>
        <v>312.39000000000004</v>
      </c>
      <c r="AM265" s="39">
        <f t="shared" si="24"/>
        <v>624.78000000000009</v>
      </c>
      <c r="AN265" s="39">
        <f t="shared" si="21"/>
        <v>374.86800000000005</v>
      </c>
      <c r="AO265" s="39">
        <f t="shared" si="22"/>
        <v>3748.6800000000003</v>
      </c>
    </row>
    <row r="266" spans="1:41" x14ac:dyDescent="0.3">
      <c r="A266" s="20">
        <v>1000184670</v>
      </c>
      <c r="B266" s="4" t="s">
        <v>147</v>
      </c>
      <c r="C266" s="21">
        <v>1000186197</v>
      </c>
      <c r="D266" s="3" t="s">
        <v>166</v>
      </c>
      <c r="E266" s="20">
        <v>1000198600</v>
      </c>
      <c r="F266" s="4" t="s">
        <v>148</v>
      </c>
      <c r="G266" s="21">
        <v>1000198601</v>
      </c>
      <c r="H266" s="3" t="s">
        <v>149</v>
      </c>
      <c r="I266" s="21">
        <v>1000189761</v>
      </c>
      <c r="J266" s="3" t="s">
        <v>144</v>
      </c>
      <c r="K266" s="20" t="s">
        <v>27</v>
      </c>
      <c r="L266" s="39">
        <v>0</v>
      </c>
      <c r="M266" s="39">
        <v>0</v>
      </c>
      <c r="N266" s="39">
        <v>0</v>
      </c>
      <c r="O266" s="39">
        <v>0</v>
      </c>
      <c r="P266" s="39">
        <v>0</v>
      </c>
      <c r="Q266" s="39">
        <v>0</v>
      </c>
      <c r="R266" s="39">
        <v>0</v>
      </c>
      <c r="S266" s="39">
        <v>0</v>
      </c>
      <c r="T266" s="39">
        <v>0</v>
      </c>
      <c r="U266" s="39">
        <v>0</v>
      </c>
      <c r="V266" s="39">
        <v>0</v>
      </c>
      <c r="W266" s="39">
        <v>0</v>
      </c>
      <c r="X266" s="39">
        <v>0</v>
      </c>
      <c r="Y266" s="39">
        <v>0</v>
      </c>
      <c r="Z266" s="39">
        <v>0</v>
      </c>
      <c r="AA266" s="39">
        <v>0</v>
      </c>
      <c r="AB266" s="39">
        <v>0</v>
      </c>
      <c r="AC266" s="39">
        <v>0</v>
      </c>
      <c r="AD266" s="39">
        <v>0</v>
      </c>
      <c r="AE266" s="39">
        <v>176.02</v>
      </c>
      <c r="AF266" s="39">
        <v>0</v>
      </c>
      <c r="AG266" s="39">
        <v>0</v>
      </c>
      <c r="AH266" s="39"/>
      <c r="AI266" s="39"/>
      <c r="AJ266" s="40"/>
      <c r="AK266" s="39">
        <f t="shared" si="20"/>
        <v>0</v>
      </c>
      <c r="AL266" s="39">
        <f t="shared" si="23"/>
        <v>14.668333333333335</v>
      </c>
      <c r="AM266" s="39">
        <f t="shared" si="24"/>
        <v>29.33666666666667</v>
      </c>
      <c r="AN266" s="39">
        <f t="shared" si="21"/>
        <v>17.602</v>
      </c>
      <c r="AO266" s="39">
        <f t="shared" si="22"/>
        <v>176.02</v>
      </c>
    </row>
    <row r="267" spans="1:41" x14ac:dyDescent="0.3">
      <c r="A267" s="20">
        <v>1000184670</v>
      </c>
      <c r="B267" s="4" t="s">
        <v>147</v>
      </c>
      <c r="C267" s="21">
        <v>1000186197</v>
      </c>
      <c r="D267" s="3" t="s">
        <v>166</v>
      </c>
      <c r="E267" s="20">
        <v>1000198600</v>
      </c>
      <c r="F267" s="4" t="s">
        <v>148</v>
      </c>
      <c r="G267" s="21">
        <v>1000198601</v>
      </c>
      <c r="H267" s="3" t="s">
        <v>149</v>
      </c>
      <c r="I267" s="21">
        <v>1000189761</v>
      </c>
      <c r="J267" s="3" t="s">
        <v>144</v>
      </c>
      <c r="K267" s="20" t="s">
        <v>25</v>
      </c>
      <c r="L267" s="39">
        <v>0</v>
      </c>
      <c r="M267" s="39">
        <v>0</v>
      </c>
      <c r="N267" s="39">
        <v>0</v>
      </c>
      <c r="O267" s="39">
        <v>0</v>
      </c>
      <c r="P267" s="39">
        <v>0</v>
      </c>
      <c r="Q267" s="39">
        <v>0</v>
      </c>
      <c r="R267" s="39">
        <v>0</v>
      </c>
      <c r="S267" s="39">
        <v>0</v>
      </c>
      <c r="T267" s="39">
        <v>0</v>
      </c>
      <c r="U267" s="39">
        <v>0</v>
      </c>
      <c r="V267" s="39">
        <v>0</v>
      </c>
      <c r="W267" s="39">
        <v>0</v>
      </c>
      <c r="X267" s="39">
        <v>0</v>
      </c>
      <c r="Y267" s="39">
        <v>0</v>
      </c>
      <c r="Z267" s="39">
        <v>0</v>
      </c>
      <c r="AA267" s="39">
        <v>0</v>
      </c>
      <c r="AB267" s="39">
        <v>0</v>
      </c>
      <c r="AC267" s="39">
        <v>133.65</v>
      </c>
      <c r="AD267" s="39">
        <v>0</v>
      </c>
      <c r="AE267" s="39">
        <v>84.15</v>
      </c>
      <c r="AF267" s="39">
        <v>235.12</v>
      </c>
      <c r="AG267" s="39">
        <v>148.5</v>
      </c>
      <c r="AH267" s="39"/>
      <c r="AI267" s="39"/>
      <c r="AJ267" s="40"/>
      <c r="AK267" s="39">
        <f t="shared" si="20"/>
        <v>0</v>
      </c>
      <c r="AL267" s="39">
        <f t="shared" si="23"/>
        <v>50.118333333333339</v>
      </c>
      <c r="AM267" s="39">
        <f t="shared" si="24"/>
        <v>100.23666666666668</v>
      </c>
      <c r="AN267" s="39">
        <f t="shared" si="21"/>
        <v>60.14200000000001</v>
      </c>
      <c r="AO267" s="39">
        <f t="shared" si="22"/>
        <v>601.42000000000007</v>
      </c>
    </row>
    <row r="268" spans="1:41" x14ac:dyDescent="0.3">
      <c r="A268" s="20">
        <v>1000184670</v>
      </c>
      <c r="B268" s="4" t="s">
        <v>147</v>
      </c>
      <c r="C268" s="21">
        <v>1000186197</v>
      </c>
      <c r="D268" s="3" t="s">
        <v>166</v>
      </c>
      <c r="E268" s="20">
        <v>1000184760</v>
      </c>
      <c r="F268" s="4" t="s">
        <v>60</v>
      </c>
      <c r="G268" s="21">
        <v>1000189796</v>
      </c>
      <c r="H268" s="3" t="s">
        <v>61</v>
      </c>
      <c r="I268" s="21">
        <v>1000189762</v>
      </c>
      <c r="J268" s="3" t="s">
        <v>158</v>
      </c>
      <c r="K268" s="20" t="s">
        <v>124</v>
      </c>
      <c r="L268" s="39">
        <v>0</v>
      </c>
      <c r="M268" s="39">
        <v>0</v>
      </c>
      <c r="N268" s="39">
        <v>0</v>
      </c>
      <c r="O268" s="39">
        <v>0</v>
      </c>
      <c r="P268" s="39">
        <v>0</v>
      </c>
      <c r="Q268" s="39">
        <v>0</v>
      </c>
      <c r="R268" s="39">
        <v>0</v>
      </c>
      <c r="S268" s="39">
        <v>0</v>
      </c>
      <c r="T268" s="39">
        <v>0</v>
      </c>
      <c r="U268" s="39">
        <v>0</v>
      </c>
      <c r="V268" s="39">
        <v>0</v>
      </c>
      <c r="W268" s="39">
        <v>0</v>
      </c>
      <c r="X268" s="39">
        <v>0</v>
      </c>
      <c r="Y268" s="39">
        <v>0</v>
      </c>
      <c r="Z268" s="39">
        <v>0</v>
      </c>
      <c r="AA268" s="39">
        <v>0</v>
      </c>
      <c r="AB268" s="39">
        <v>0</v>
      </c>
      <c r="AC268" s="39">
        <v>0</v>
      </c>
      <c r="AD268" s="39">
        <v>0</v>
      </c>
      <c r="AE268" s="39">
        <v>0</v>
      </c>
      <c r="AF268" s="39">
        <v>0</v>
      </c>
      <c r="AG268" s="39">
        <v>0</v>
      </c>
      <c r="AH268" s="39"/>
      <c r="AI268" s="39"/>
      <c r="AJ268" s="40"/>
      <c r="AK268" s="39">
        <f t="shared" si="20"/>
        <v>0</v>
      </c>
      <c r="AL268" s="39">
        <f t="shared" si="23"/>
        <v>0</v>
      </c>
      <c r="AM268" s="39">
        <f t="shared" si="24"/>
        <v>0</v>
      </c>
      <c r="AN268" s="39">
        <f t="shared" si="21"/>
        <v>0</v>
      </c>
      <c r="AO268" s="39">
        <f t="shared" si="22"/>
        <v>0</v>
      </c>
    </row>
    <row r="269" spans="1:41" x14ac:dyDescent="0.3">
      <c r="A269" s="20">
        <v>1000184670</v>
      </c>
      <c r="B269" s="4" t="s">
        <v>147</v>
      </c>
      <c r="C269" s="21">
        <v>1000186197</v>
      </c>
      <c r="D269" s="3" t="s">
        <v>166</v>
      </c>
      <c r="E269" s="20">
        <v>1000184760</v>
      </c>
      <c r="F269" s="4" t="s">
        <v>60</v>
      </c>
      <c r="G269" s="21">
        <v>1000189796</v>
      </c>
      <c r="H269" s="3" t="s">
        <v>61</v>
      </c>
      <c r="I269" s="21">
        <v>1000189762</v>
      </c>
      <c r="J269" s="3" t="s">
        <v>158</v>
      </c>
      <c r="K269" s="20" t="s">
        <v>13</v>
      </c>
      <c r="L269" s="39">
        <v>0</v>
      </c>
      <c r="M269" s="39">
        <v>0</v>
      </c>
      <c r="N269" s="39">
        <v>0</v>
      </c>
      <c r="O269" s="39">
        <v>0</v>
      </c>
      <c r="P269" s="39">
        <v>0</v>
      </c>
      <c r="Q269" s="39">
        <v>0</v>
      </c>
      <c r="R269" s="39">
        <v>0</v>
      </c>
      <c r="S269" s="39">
        <v>0</v>
      </c>
      <c r="T269" s="39">
        <v>0</v>
      </c>
      <c r="U269" s="39">
        <v>0</v>
      </c>
      <c r="V269" s="39">
        <v>0</v>
      </c>
      <c r="W269" s="39">
        <v>0</v>
      </c>
      <c r="X269" s="39">
        <v>0</v>
      </c>
      <c r="Y269" s="39">
        <v>0</v>
      </c>
      <c r="Z269" s="39">
        <v>0</v>
      </c>
      <c r="AA269" s="39">
        <v>0</v>
      </c>
      <c r="AB269" s="39">
        <v>0</v>
      </c>
      <c r="AC269" s="39">
        <v>0</v>
      </c>
      <c r="AD269" s="39">
        <v>0</v>
      </c>
      <c r="AE269" s="39">
        <v>0</v>
      </c>
      <c r="AF269" s="39">
        <v>0</v>
      </c>
      <c r="AG269" s="39">
        <v>0</v>
      </c>
      <c r="AH269" s="39"/>
      <c r="AI269" s="39"/>
      <c r="AJ269" s="40"/>
      <c r="AK269" s="39">
        <f t="shared" si="20"/>
        <v>0</v>
      </c>
      <c r="AL269" s="39">
        <f t="shared" si="23"/>
        <v>0</v>
      </c>
      <c r="AM269" s="39">
        <f t="shared" si="24"/>
        <v>0</v>
      </c>
      <c r="AN269" s="39">
        <f t="shared" si="21"/>
        <v>0</v>
      </c>
      <c r="AO269" s="39">
        <f t="shared" si="22"/>
        <v>0</v>
      </c>
    </row>
    <row r="270" spans="1:41" x14ac:dyDescent="0.3">
      <c r="A270" s="20">
        <v>1000184670</v>
      </c>
      <c r="B270" s="4" t="s">
        <v>147</v>
      </c>
      <c r="C270" s="21">
        <v>1000186197</v>
      </c>
      <c r="D270" s="3" t="s">
        <v>166</v>
      </c>
      <c r="E270" s="20">
        <v>1000184760</v>
      </c>
      <c r="F270" s="4" t="s">
        <v>60</v>
      </c>
      <c r="G270" s="21">
        <v>1000189796</v>
      </c>
      <c r="H270" s="3" t="s">
        <v>61</v>
      </c>
      <c r="I270" s="21">
        <v>1000189762</v>
      </c>
      <c r="J270" s="3" t="s">
        <v>158</v>
      </c>
      <c r="K270" s="20" t="s">
        <v>14</v>
      </c>
      <c r="L270" s="39">
        <v>0</v>
      </c>
      <c r="M270" s="39">
        <v>0</v>
      </c>
      <c r="N270" s="39">
        <v>0</v>
      </c>
      <c r="O270" s="39">
        <v>0</v>
      </c>
      <c r="P270" s="39">
        <v>0</v>
      </c>
      <c r="Q270" s="39">
        <v>0</v>
      </c>
      <c r="R270" s="39">
        <v>0</v>
      </c>
      <c r="S270" s="39">
        <v>0</v>
      </c>
      <c r="T270" s="39">
        <v>0</v>
      </c>
      <c r="U270" s="39">
        <v>0</v>
      </c>
      <c r="V270" s="39">
        <v>0</v>
      </c>
      <c r="W270" s="39">
        <v>0</v>
      </c>
      <c r="X270" s="39">
        <v>0</v>
      </c>
      <c r="Y270" s="39">
        <v>0</v>
      </c>
      <c r="Z270" s="39">
        <v>0</v>
      </c>
      <c r="AA270" s="39">
        <v>0</v>
      </c>
      <c r="AB270" s="39">
        <v>0</v>
      </c>
      <c r="AC270" s="39">
        <v>0</v>
      </c>
      <c r="AD270" s="39">
        <v>0</v>
      </c>
      <c r="AE270" s="39">
        <v>0</v>
      </c>
      <c r="AF270" s="39">
        <v>0</v>
      </c>
      <c r="AG270" s="39">
        <v>0</v>
      </c>
      <c r="AH270" s="39"/>
      <c r="AI270" s="39"/>
      <c r="AJ270" s="40"/>
      <c r="AK270" s="39">
        <f t="shared" si="20"/>
        <v>0</v>
      </c>
      <c r="AL270" s="39">
        <f t="shared" si="23"/>
        <v>0</v>
      </c>
      <c r="AM270" s="39">
        <f t="shared" si="24"/>
        <v>0</v>
      </c>
      <c r="AN270" s="39">
        <f t="shared" si="21"/>
        <v>0</v>
      </c>
      <c r="AO270" s="39">
        <f t="shared" si="22"/>
        <v>0</v>
      </c>
    </row>
    <row r="271" spans="1:41" x14ac:dyDescent="0.3">
      <c r="A271" s="20">
        <v>1000184670</v>
      </c>
      <c r="B271" s="4" t="s">
        <v>147</v>
      </c>
      <c r="C271" s="21">
        <v>1000186197</v>
      </c>
      <c r="D271" s="3" t="s">
        <v>166</v>
      </c>
      <c r="E271" s="20">
        <v>1000184760</v>
      </c>
      <c r="F271" s="4" t="s">
        <v>60</v>
      </c>
      <c r="G271" s="21">
        <v>1000189796</v>
      </c>
      <c r="H271" s="3" t="s">
        <v>61</v>
      </c>
      <c r="I271" s="21">
        <v>1000189762</v>
      </c>
      <c r="J271" s="3" t="s">
        <v>158</v>
      </c>
      <c r="K271" s="20" t="s">
        <v>16</v>
      </c>
      <c r="L271" s="39">
        <v>0</v>
      </c>
      <c r="M271" s="39">
        <v>0</v>
      </c>
      <c r="N271" s="39">
        <v>0</v>
      </c>
      <c r="O271" s="39">
        <v>0</v>
      </c>
      <c r="P271" s="39">
        <v>0</v>
      </c>
      <c r="Q271" s="39">
        <v>0</v>
      </c>
      <c r="R271" s="39">
        <v>0</v>
      </c>
      <c r="S271" s="39">
        <v>0</v>
      </c>
      <c r="T271" s="39">
        <v>0</v>
      </c>
      <c r="U271" s="39">
        <v>0</v>
      </c>
      <c r="V271" s="39">
        <v>0</v>
      </c>
      <c r="W271" s="39">
        <v>0</v>
      </c>
      <c r="X271" s="39">
        <v>0</v>
      </c>
      <c r="Y271" s="39">
        <v>0</v>
      </c>
      <c r="Z271" s="39">
        <v>0</v>
      </c>
      <c r="AA271" s="39">
        <v>0</v>
      </c>
      <c r="AB271" s="39">
        <v>0</v>
      </c>
      <c r="AC271" s="39">
        <v>0</v>
      </c>
      <c r="AD271" s="39">
        <v>0</v>
      </c>
      <c r="AE271" s="39">
        <v>0</v>
      </c>
      <c r="AF271" s="39">
        <v>0</v>
      </c>
      <c r="AG271" s="39">
        <v>0</v>
      </c>
      <c r="AH271" s="39"/>
      <c r="AI271" s="39"/>
      <c r="AJ271" s="40"/>
      <c r="AK271" s="39">
        <f t="shared" si="20"/>
        <v>0</v>
      </c>
      <c r="AL271" s="39">
        <f t="shared" si="23"/>
        <v>0</v>
      </c>
      <c r="AM271" s="39">
        <f t="shared" si="24"/>
        <v>0</v>
      </c>
      <c r="AN271" s="39">
        <f t="shared" si="21"/>
        <v>0</v>
      </c>
      <c r="AO271" s="39">
        <f t="shared" si="22"/>
        <v>0</v>
      </c>
    </row>
    <row r="272" spans="1:41" x14ac:dyDescent="0.3">
      <c r="A272" s="20">
        <v>1000184670</v>
      </c>
      <c r="B272" s="4" t="s">
        <v>147</v>
      </c>
      <c r="C272" s="21">
        <v>1000186197</v>
      </c>
      <c r="D272" s="3" t="s">
        <v>166</v>
      </c>
      <c r="E272" s="20">
        <v>1000184760</v>
      </c>
      <c r="F272" s="4" t="s">
        <v>60</v>
      </c>
      <c r="G272" s="21">
        <v>1000189796</v>
      </c>
      <c r="H272" s="3" t="s">
        <v>61</v>
      </c>
      <c r="I272" s="21">
        <v>1000189762</v>
      </c>
      <c r="J272" s="3" t="s">
        <v>158</v>
      </c>
      <c r="K272" s="20" t="s">
        <v>15</v>
      </c>
      <c r="L272" s="39">
        <v>0</v>
      </c>
      <c r="M272" s="39">
        <v>0</v>
      </c>
      <c r="N272" s="39">
        <v>0</v>
      </c>
      <c r="O272" s="39">
        <v>0</v>
      </c>
      <c r="P272" s="39">
        <v>0</v>
      </c>
      <c r="Q272" s="39">
        <v>0</v>
      </c>
      <c r="R272" s="39">
        <v>0</v>
      </c>
      <c r="S272" s="39">
        <v>0</v>
      </c>
      <c r="T272" s="39">
        <v>0</v>
      </c>
      <c r="U272" s="39">
        <v>0</v>
      </c>
      <c r="V272" s="39">
        <v>0</v>
      </c>
      <c r="W272" s="39">
        <v>0</v>
      </c>
      <c r="X272" s="39">
        <v>0</v>
      </c>
      <c r="Y272" s="39">
        <v>0</v>
      </c>
      <c r="Z272" s="39">
        <v>0</v>
      </c>
      <c r="AA272" s="39">
        <v>0</v>
      </c>
      <c r="AB272" s="39">
        <v>0</v>
      </c>
      <c r="AC272" s="39">
        <v>0</v>
      </c>
      <c r="AD272" s="39">
        <v>0</v>
      </c>
      <c r="AE272" s="39">
        <v>0</v>
      </c>
      <c r="AF272" s="39">
        <v>0</v>
      </c>
      <c r="AG272" s="39">
        <v>0</v>
      </c>
      <c r="AH272" s="39"/>
      <c r="AI272" s="39"/>
      <c r="AJ272" s="40"/>
      <c r="AK272" s="39">
        <f t="shared" si="20"/>
        <v>0</v>
      </c>
      <c r="AL272" s="39">
        <f t="shared" si="23"/>
        <v>0</v>
      </c>
      <c r="AM272" s="39">
        <f t="shared" si="24"/>
        <v>0</v>
      </c>
      <c r="AN272" s="39">
        <f t="shared" si="21"/>
        <v>0</v>
      </c>
      <c r="AO272" s="39">
        <f t="shared" si="22"/>
        <v>0</v>
      </c>
    </row>
    <row r="273" spans="1:41" x14ac:dyDescent="0.3">
      <c r="A273" s="20">
        <v>1000184670</v>
      </c>
      <c r="B273" s="4" t="s">
        <v>147</v>
      </c>
      <c r="C273" s="21">
        <v>1000186197</v>
      </c>
      <c r="D273" s="3" t="s">
        <v>166</v>
      </c>
      <c r="E273" s="20">
        <v>1000184760</v>
      </c>
      <c r="F273" s="4" t="s">
        <v>60</v>
      </c>
      <c r="G273" s="21">
        <v>1000189796</v>
      </c>
      <c r="H273" s="3" t="s">
        <v>61</v>
      </c>
      <c r="I273" s="21">
        <v>1000189762</v>
      </c>
      <c r="J273" s="3" t="s">
        <v>158</v>
      </c>
      <c r="K273" s="20" t="s">
        <v>33</v>
      </c>
      <c r="L273" s="39">
        <v>0</v>
      </c>
      <c r="M273" s="39">
        <v>0</v>
      </c>
      <c r="N273" s="39">
        <v>0</v>
      </c>
      <c r="O273" s="39">
        <v>0</v>
      </c>
      <c r="P273" s="39">
        <v>0</v>
      </c>
      <c r="Q273" s="39">
        <v>0</v>
      </c>
      <c r="R273" s="39">
        <v>0</v>
      </c>
      <c r="S273" s="39">
        <v>0</v>
      </c>
      <c r="T273" s="39">
        <v>0</v>
      </c>
      <c r="U273" s="39">
        <v>0</v>
      </c>
      <c r="V273" s="39">
        <v>0</v>
      </c>
      <c r="W273" s="39">
        <v>0</v>
      </c>
      <c r="X273" s="39">
        <v>0</v>
      </c>
      <c r="Y273" s="39">
        <v>0</v>
      </c>
      <c r="Z273" s="39">
        <v>0</v>
      </c>
      <c r="AA273" s="39">
        <v>0</v>
      </c>
      <c r="AB273" s="39">
        <v>0</v>
      </c>
      <c r="AC273" s="39">
        <v>0</v>
      </c>
      <c r="AD273" s="39">
        <v>0</v>
      </c>
      <c r="AE273" s="39">
        <v>0</v>
      </c>
      <c r="AF273" s="39">
        <v>0</v>
      </c>
      <c r="AG273" s="39">
        <v>0</v>
      </c>
      <c r="AH273" s="39"/>
      <c r="AI273" s="39"/>
      <c r="AJ273" s="40"/>
      <c r="AK273" s="39">
        <f t="shared" si="20"/>
        <v>0</v>
      </c>
      <c r="AL273" s="39">
        <f t="shared" si="23"/>
        <v>0</v>
      </c>
      <c r="AM273" s="39">
        <f t="shared" si="24"/>
        <v>0</v>
      </c>
      <c r="AN273" s="39">
        <f t="shared" si="21"/>
        <v>0</v>
      </c>
      <c r="AO273" s="39">
        <f t="shared" si="22"/>
        <v>0</v>
      </c>
    </row>
    <row r="274" spans="1:41" x14ac:dyDescent="0.3">
      <c r="A274" s="20">
        <v>1000184670</v>
      </c>
      <c r="B274" s="4" t="s">
        <v>147</v>
      </c>
      <c r="C274" s="21">
        <v>1000186197</v>
      </c>
      <c r="D274" s="3" t="s">
        <v>166</v>
      </c>
      <c r="E274" s="20">
        <v>1000184760</v>
      </c>
      <c r="F274" s="4" t="s">
        <v>60</v>
      </c>
      <c r="G274" s="21">
        <v>1000189796</v>
      </c>
      <c r="H274" s="3" t="s">
        <v>61</v>
      </c>
      <c r="I274" s="21">
        <v>1000189762</v>
      </c>
      <c r="J274" s="3" t="s">
        <v>158</v>
      </c>
      <c r="K274" s="20" t="s">
        <v>19</v>
      </c>
      <c r="L274" s="39">
        <v>0</v>
      </c>
      <c r="M274" s="39">
        <v>0</v>
      </c>
      <c r="N274" s="39">
        <v>0</v>
      </c>
      <c r="O274" s="39">
        <v>0</v>
      </c>
      <c r="P274" s="39">
        <v>0</v>
      </c>
      <c r="Q274" s="39">
        <v>0</v>
      </c>
      <c r="R274" s="39">
        <v>0</v>
      </c>
      <c r="S274" s="39">
        <v>0</v>
      </c>
      <c r="T274" s="39">
        <v>0</v>
      </c>
      <c r="U274" s="39">
        <v>0</v>
      </c>
      <c r="V274" s="39">
        <v>0</v>
      </c>
      <c r="W274" s="39">
        <v>0</v>
      </c>
      <c r="X274" s="39">
        <v>0</v>
      </c>
      <c r="Y274" s="39">
        <v>0</v>
      </c>
      <c r="Z274" s="39">
        <v>0</v>
      </c>
      <c r="AA274" s="39">
        <v>0</v>
      </c>
      <c r="AB274" s="39">
        <v>0</v>
      </c>
      <c r="AC274" s="39">
        <v>0</v>
      </c>
      <c r="AD274" s="39">
        <v>0</v>
      </c>
      <c r="AE274" s="39">
        <v>0</v>
      </c>
      <c r="AF274" s="39">
        <v>0</v>
      </c>
      <c r="AG274" s="39">
        <v>0</v>
      </c>
      <c r="AH274" s="39"/>
      <c r="AI274" s="39"/>
      <c r="AJ274" s="40"/>
      <c r="AK274" s="39">
        <f t="shared" si="20"/>
        <v>0</v>
      </c>
      <c r="AL274" s="39">
        <f t="shared" si="23"/>
        <v>0</v>
      </c>
      <c r="AM274" s="39">
        <f t="shared" si="24"/>
        <v>0</v>
      </c>
      <c r="AN274" s="39">
        <f t="shared" si="21"/>
        <v>0</v>
      </c>
      <c r="AO274" s="39">
        <f t="shared" si="22"/>
        <v>0</v>
      </c>
    </row>
    <row r="275" spans="1:41" x14ac:dyDescent="0.3">
      <c r="A275" s="20">
        <v>1000184670</v>
      </c>
      <c r="B275" s="4" t="s">
        <v>147</v>
      </c>
      <c r="C275" s="21">
        <v>1000186197</v>
      </c>
      <c r="D275" s="3" t="s">
        <v>166</v>
      </c>
      <c r="E275" s="20">
        <v>1000184760</v>
      </c>
      <c r="F275" s="4" t="s">
        <v>60</v>
      </c>
      <c r="G275" s="21">
        <v>1000189796</v>
      </c>
      <c r="H275" s="3" t="s">
        <v>61</v>
      </c>
      <c r="I275" s="21">
        <v>1000189762</v>
      </c>
      <c r="J275" s="3" t="s">
        <v>158</v>
      </c>
      <c r="K275" s="20" t="s">
        <v>17</v>
      </c>
      <c r="L275" s="39">
        <v>0</v>
      </c>
      <c r="M275" s="39">
        <v>0</v>
      </c>
      <c r="N275" s="39">
        <v>0</v>
      </c>
      <c r="O275" s="39">
        <v>0</v>
      </c>
      <c r="P275" s="39">
        <v>0</v>
      </c>
      <c r="Q275" s="39">
        <v>0</v>
      </c>
      <c r="R275" s="39">
        <v>0</v>
      </c>
      <c r="S275" s="39">
        <v>0</v>
      </c>
      <c r="T275" s="39">
        <v>0</v>
      </c>
      <c r="U275" s="39">
        <v>0</v>
      </c>
      <c r="V275" s="39">
        <v>0</v>
      </c>
      <c r="W275" s="39">
        <v>0</v>
      </c>
      <c r="X275" s="39">
        <v>0</v>
      </c>
      <c r="Y275" s="39">
        <v>0</v>
      </c>
      <c r="Z275" s="39">
        <v>0</v>
      </c>
      <c r="AA275" s="39">
        <v>0</v>
      </c>
      <c r="AB275" s="39">
        <v>0</v>
      </c>
      <c r="AC275" s="39">
        <v>0</v>
      </c>
      <c r="AD275" s="39">
        <v>0</v>
      </c>
      <c r="AE275" s="39">
        <v>0</v>
      </c>
      <c r="AF275" s="39">
        <v>0</v>
      </c>
      <c r="AG275" s="39">
        <v>0</v>
      </c>
      <c r="AH275" s="39"/>
      <c r="AI275" s="39"/>
      <c r="AJ275" s="40"/>
      <c r="AK275" s="39">
        <f t="shared" si="20"/>
        <v>0</v>
      </c>
      <c r="AL275" s="39">
        <f t="shared" si="23"/>
        <v>0</v>
      </c>
      <c r="AM275" s="39">
        <f t="shared" si="24"/>
        <v>0</v>
      </c>
      <c r="AN275" s="39">
        <f t="shared" si="21"/>
        <v>0</v>
      </c>
      <c r="AO275" s="39">
        <f t="shared" si="22"/>
        <v>0</v>
      </c>
    </row>
    <row r="276" spans="1:41" x14ac:dyDescent="0.3">
      <c r="A276" s="20">
        <v>1000184670</v>
      </c>
      <c r="B276" s="4" t="s">
        <v>147</v>
      </c>
      <c r="C276" s="21">
        <v>1000186197</v>
      </c>
      <c r="D276" s="3" t="s">
        <v>166</v>
      </c>
      <c r="E276" s="20">
        <v>1000184760</v>
      </c>
      <c r="F276" s="4" t="s">
        <v>60</v>
      </c>
      <c r="G276" s="21">
        <v>1000189796</v>
      </c>
      <c r="H276" s="3" t="s">
        <v>61</v>
      </c>
      <c r="I276" s="21">
        <v>1000189762</v>
      </c>
      <c r="J276" s="3" t="s">
        <v>158</v>
      </c>
      <c r="K276" s="20" t="s">
        <v>24</v>
      </c>
      <c r="L276" s="39">
        <v>0</v>
      </c>
      <c r="M276" s="39">
        <v>0</v>
      </c>
      <c r="N276" s="39">
        <v>0</v>
      </c>
      <c r="O276" s="39">
        <v>0</v>
      </c>
      <c r="P276" s="39">
        <v>0</v>
      </c>
      <c r="Q276" s="39">
        <v>0</v>
      </c>
      <c r="R276" s="39">
        <v>0</v>
      </c>
      <c r="S276" s="39">
        <v>0</v>
      </c>
      <c r="T276" s="39">
        <v>0</v>
      </c>
      <c r="U276" s="39">
        <v>0</v>
      </c>
      <c r="V276" s="39">
        <v>0</v>
      </c>
      <c r="W276" s="39">
        <v>0</v>
      </c>
      <c r="X276" s="39">
        <v>0</v>
      </c>
      <c r="Y276" s="39">
        <v>0</v>
      </c>
      <c r="Z276" s="39">
        <v>0</v>
      </c>
      <c r="AA276" s="39">
        <v>0</v>
      </c>
      <c r="AB276" s="39">
        <v>0</v>
      </c>
      <c r="AC276" s="39">
        <v>0</v>
      </c>
      <c r="AD276" s="39">
        <v>0</v>
      </c>
      <c r="AE276" s="39">
        <v>0</v>
      </c>
      <c r="AF276" s="39">
        <v>0</v>
      </c>
      <c r="AG276" s="39">
        <v>0</v>
      </c>
      <c r="AH276" s="39"/>
      <c r="AI276" s="39"/>
      <c r="AJ276" s="40"/>
      <c r="AK276" s="39">
        <f t="shared" si="20"/>
        <v>0</v>
      </c>
      <c r="AL276" s="39">
        <f t="shared" si="23"/>
        <v>0</v>
      </c>
      <c r="AM276" s="39">
        <f t="shared" si="24"/>
        <v>0</v>
      </c>
      <c r="AN276" s="39">
        <f t="shared" si="21"/>
        <v>0</v>
      </c>
      <c r="AO276" s="39">
        <f t="shared" si="22"/>
        <v>0</v>
      </c>
    </row>
    <row r="277" spans="1:41" x14ac:dyDescent="0.3">
      <c r="A277" s="20">
        <v>1000184670</v>
      </c>
      <c r="B277" s="4" t="s">
        <v>147</v>
      </c>
      <c r="C277" s="21">
        <v>1000186197</v>
      </c>
      <c r="D277" s="3" t="s">
        <v>166</v>
      </c>
      <c r="E277" s="20">
        <v>1000184760</v>
      </c>
      <c r="F277" s="4" t="s">
        <v>60</v>
      </c>
      <c r="G277" s="21">
        <v>1000189796</v>
      </c>
      <c r="H277" s="3" t="s">
        <v>61</v>
      </c>
      <c r="I277" s="21">
        <v>1000189762</v>
      </c>
      <c r="J277" s="3" t="s">
        <v>158</v>
      </c>
      <c r="K277" s="20" t="s">
        <v>18</v>
      </c>
      <c r="L277" s="39">
        <v>0</v>
      </c>
      <c r="M277" s="39">
        <v>0</v>
      </c>
      <c r="N277" s="39">
        <v>0</v>
      </c>
      <c r="O277" s="39">
        <v>0</v>
      </c>
      <c r="P277" s="39">
        <v>0</v>
      </c>
      <c r="Q277" s="39">
        <v>0</v>
      </c>
      <c r="R277" s="39">
        <v>0</v>
      </c>
      <c r="S277" s="39">
        <v>0</v>
      </c>
      <c r="T277" s="39">
        <v>0</v>
      </c>
      <c r="U277" s="39">
        <v>0</v>
      </c>
      <c r="V277" s="39">
        <v>0</v>
      </c>
      <c r="W277" s="39">
        <v>0</v>
      </c>
      <c r="X277" s="39">
        <v>0</v>
      </c>
      <c r="Y277" s="39">
        <v>0</v>
      </c>
      <c r="Z277" s="39">
        <v>0</v>
      </c>
      <c r="AA277" s="39">
        <v>0</v>
      </c>
      <c r="AB277" s="39">
        <v>0</v>
      </c>
      <c r="AC277" s="39">
        <v>0</v>
      </c>
      <c r="AD277" s="39">
        <v>0</v>
      </c>
      <c r="AE277" s="39">
        <v>0</v>
      </c>
      <c r="AF277" s="39">
        <v>0</v>
      </c>
      <c r="AG277" s="39">
        <v>0</v>
      </c>
      <c r="AH277" s="39"/>
      <c r="AI277" s="39"/>
      <c r="AJ277" s="40"/>
      <c r="AK277" s="39">
        <f t="shared" si="20"/>
        <v>0</v>
      </c>
      <c r="AL277" s="39">
        <f t="shared" si="23"/>
        <v>0</v>
      </c>
      <c r="AM277" s="39">
        <f t="shared" si="24"/>
        <v>0</v>
      </c>
      <c r="AN277" s="39">
        <f t="shared" si="21"/>
        <v>0</v>
      </c>
      <c r="AO277" s="39">
        <f t="shared" si="22"/>
        <v>0</v>
      </c>
    </row>
    <row r="278" spans="1:41" x14ac:dyDescent="0.3">
      <c r="A278" s="20">
        <v>1000184670</v>
      </c>
      <c r="B278" s="4" t="s">
        <v>147</v>
      </c>
      <c r="C278" s="21">
        <v>1000186197</v>
      </c>
      <c r="D278" s="3" t="s">
        <v>166</v>
      </c>
      <c r="E278" s="20">
        <v>1000184760</v>
      </c>
      <c r="F278" s="4" t="s">
        <v>60</v>
      </c>
      <c r="G278" s="21">
        <v>1000189796</v>
      </c>
      <c r="H278" s="3" t="s">
        <v>61</v>
      </c>
      <c r="I278" s="21">
        <v>1000189762</v>
      </c>
      <c r="J278" s="3" t="s">
        <v>158</v>
      </c>
      <c r="K278" s="20" t="s">
        <v>29</v>
      </c>
      <c r="L278" s="39">
        <v>0</v>
      </c>
      <c r="M278" s="39">
        <v>0</v>
      </c>
      <c r="N278" s="39">
        <v>0</v>
      </c>
      <c r="O278" s="39">
        <v>0</v>
      </c>
      <c r="P278" s="39">
        <v>0</v>
      </c>
      <c r="Q278" s="39">
        <v>0</v>
      </c>
      <c r="R278" s="39">
        <v>0</v>
      </c>
      <c r="S278" s="39">
        <v>0</v>
      </c>
      <c r="T278" s="39">
        <v>0</v>
      </c>
      <c r="U278" s="39">
        <v>0</v>
      </c>
      <c r="V278" s="39">
        <v>0</v>
      </c>
      <c r="W278" s="39">
        <v>0</v>
      </c>
      <c r="X278" s="39">
        <v>0</v>
      </c>
      <c r="Y278" s="39">
        <v>0</v>
      </c>
      <c r="Z278" s="39">
        <v>0</v>
      </c>
      <c r="AA278" s="39">
        <v>0</v>
      </c>
      <c r="AB278" s="39">
        <v>0</v>
      </c>
      <c r="AC278" s="39">
        <v>0</v>
      </c>
      <c r="AD278" s="39">
        <v>0</v>
      </c>
      <c r="AE278" s="39">
        <v>0</v>
      </c>
      <c r="AF278" s="39">
        <v>0</v>
      </c>
      <c r="AG278" s="39">
        <v>0</v>
      </c>
      <c r="AH278" s="39"/>
      <c r="AI278" s="39"/>
      <c r="AJ278" s="40"/>
      <c r="AK278" s="39">
        <f t="shared" si="20"/>
        <v>0</v>
      </c>
      <c r="AL278" s="39">
        <f t="shared" si="23"/>
        <v>0</v>
      </c>
      <c r="AM278" s="39">
        <f t="shared" si="24"/>
        <v>0</v>
      </c>
      <c r="AN278" s="39">
        <f t="shared" si="21"/>
        <v>0</v>
      </c>
      <c r="AO278" s="39">
        <f t="shared" si="22"/>
        <v>0</v>
      </c>
    </row>
    <row r="279" spans="1:41" x14ac:dyDescent="0.3">
      <c r="A279" s="20">
        <v>1000184670</v>
      </c>
      <c r="B279" s="4" t="s">
        <v>147</v>
      </c>
      <c r="C279" s="21">
        <v>1000186197</v>
      </c>
      <c r="D279" s="3" t="s">
        <v>166</v>
      </c>
      <c r="E279" s="20">
        <v>1000184760</v>
      </c>
      <c r="F279" s="4" t="s">
        <v>60</v>
      </c>
      <c r="G279" s="21">
        <v>1000189796</v>
      </c>
      <c r="H279" s="3" t="s">
        <v>61</v>
      </c>
      <c r="I279" s="21">
        <v>1000189762</v>
      </c>
      <c r="J279" s="3" t="s">
        <v>158</v>
      </c>
      <c r="K279" s="20" t="s">
        <v>21</v>
      </c>
      <c r="L279" s="39">
        <v>0</v>
      </c>
      <c r="M279" s="39">
        <v>0</v>
      </c>
      <c r="N279" s="39">
        <v>0</v>
      </c>
      <c r="O279" s="39">
        <v>0</v>
      </c>
      <c r="P279" s="39">
        <v>0</v>
      </c>
      <c r="Q279" s="39">
        <v>0</v>
      </c>
      <c r="R279" s="39">
        <v>0</v>
      </c>
      <c r="S279" s="39">
        <v>0</v>
      </c>
      <c r="T279" s="39">
        <v>0</v>
      </c>
      <c r="U279" s="39">
        <v>0</v>
      </c>
      <c r="V279" s="39">
        <v>0</v>
      </c>
      <c r="W279" s="39">
        <v>0</v>
      </c>
      <c r="X279" s="39">
        <v>0</v>
      </c>
      <c r="Y279" s="39">
        <v>0</v>
      </c>
      <c r="Z279" s="39">
        <v>0</v>
      </c>
      <c r="AA279" s="39">
        <v>0</v>
      </c>
      <c r="AB279" s="39">
        <v>0</v>
      </c>
      <c r="AC279" s="39">
        <v>0</v>
      </c>
      <c r="AD279" s="39">
        <v>0</v>
      </c>
      <c r="AE279" s="39">
        <v>0</v>
      </c>
      <c r="AF279" s="39">
        <v>0</v>
      </c>
      <c r="AG279" s="39">
        <v>0</v>
      </c>
      <c r="AH279" s="39"/>
      <c r="AI279" s="39"/>
      <c r="AJ279" s="40"/>
      <c r="AK279" s="39">
        <f t="shared" si="20"/>
        <v>0</v>
      </c>
      <c r="AL279" s="39">
        <f t="shared" si="23"/>
        <v>0</v>
      </c>
      <c r="AM279" s="39">
        <f t="shared" si="24"/>
        <v>0</v>
      </c>
      <c r="AN279" s="39">
        <f t="shared" si="21"/>
        <v>0</v>
      </c>
      <c r="AO279" s="39">
        <f t="shared" si="22"/>
        <v>0</v>
      </c>
    </row>
    <row r="280" spans="1:41" x14ac:dyDescent="0.3">
      <c r="A280" s="20">
        <v>1000184670</v>
      </c>
      <c r="B280" s="4" t="s">
        <v>147</v>
      </c>
      <c r="C280" s="21">
        <v>1000186197</v>
      </c>
      <c r="D280" s="3" t="s">
        <v>166</v>
      </c>
      <c r="E280" s="20">
        <v>1000184760</v>
      </c>
      <c r="F280" s="4" t="s">
        <v>60</v>
      </c>
      <c r="G280" s="21">
        <v>1000189796</v>
      </c>
      <c r="H280" s="3" t="s">
        <v>61</v>
      </c>
      <c r="I280" s="21">
        <v>1000189762</v>
      </c>
      <c r="J280" s="3" t="s">
        <v>158</v>
      </c>
      <c r="K280" s="20" t="s">
        <v>20</v>
      </c>
      <c r="L280" s="39">
        <v>0</v>
      </c>
      <c r="M280" s="39">
        <v>0</v>
      </c>
      <c r="N280" s="39">
        <v>0</v>
      </c>
      <c r="O280" s="39">
        <v>0</v>
      </c>
      <c r="P280" s="39">
        <v>0</v>
      </c>
      <c r="Q280" s="39">
        <v>0</v>
      </c>
      <c r="R280" s="39">
        <v>0</v>
      </c>
      <c r="S280" s="39">
        <v>0</v>
      </c>
      <c r="T280" s="39">
        <v>0</v>
      </c>
      <c r="U280" s="39">
        <v>0</v>
      </c>
      <c r="V280" s="39">
        <v>0</v>
      </c>
      <c r="W280" s="39">
        <v>0</v>
      </c>
      <c r="X280" s="39">
        <v>0</v>
      </c>
      <c r="Y280" s="39">
        <v>0</v>
      </c>
      <c r="Z280" s="39">
        <v>0</v>
      </c>
      <c r="AA280" s="39">
        <v>0</v>
      </c>
      <c r="AB280" s="39">
        <v>0</v>
      </c>
      <c r="AC280" s="39">
        <v>0</v>
      </c>
      <c r="AD280" s="39">
        <v>0</v>
      </c>
      <c r="AE280" s="39">
        <v>0</v>
      </c>
      <c r="AF280" s="39">
        <v>0</v>
      </c>
      <c r="AG280" s="39">
        <v>0</v>
      </c>
      <c r="AH280" s="39"/>
      <c r="AI280" s="39"/>
      <c r="AJ280" s="40"/>
      <c r="AK280" s="39">
        <f t="shared" si="20"/>
        <v>0</v>
      </c>
      <c r="AL280" s="39">
        <f t="shared" si="23"/>
        <v>0</v>
      </c>
      <c r="AM280" s="39">
        <f t="shared" si="24"/>
        <v>0</v>
      </c>
      <c r="AN280" s="39">
        <f t="shared" si="21"/>
        <v>0</v>
      </c>
      <c r="AO280" s="39">
        <f t="shared" si="22"/>
        <v>0</v>
      </c>
    </row>
    <row r="281" spans="1:41" x14ac:dyDescent="0.3">
      <c r="A281" s="20">
        <v>1000184670</v>
      </c>
      <c r="B281" s="4" t="s">
        <v>147</v>
      </c>
      <c r="C281" s="21">
        <v>1000186197</v>
      </c>
      <c r="D281" s="3" t="s">
        <v>166</v>
      </c>
      <c r="E281" s="20">
        <v>1000184760</v>
      </c>
      <c r="F281" s="4" t="s">
        <v>60</v>
      </c>
      <c r="G281" s="21">
        <v>1000189796</v>
      </c>
      <c r="H281" s="3" t="s">
        <v>61</v>
      </c>
      <c r="I281" s="21">
        <v>1000189762</v>
      </c>
      <c r="J281" s="3" t="s">
        <v>158</v>
      </c>
      <c r="K281" s="20" t="s">
        <v>22</v>
      </c>
      <c r="L281" s="39">
        <v>0</v>
      </c>
      <c r="M281" s="39">
        <v>0</v>
      </c>
      <c r="N281" s="39">
        <v>0</v>
      </c>
      <c r="O281" s="39">
        <v>0</v>
      </c>
      <c r="P281" s="39">
        <v>0</v>
      </c>
      <c r="Q281" s="39">
        <v>0</v>
      </c>
      <c r="R281" s="39">
        <v>0</v>
      </c>
      <c r="S281" s="39">
        <v>0</v>
      </c>
      <c r="T281" s="39">
        <v>0</v>
      </c>
      <c r="U281" s="39">
        <v>0</v>
      </c>
      <c r="V281" s="39">
        <v>0</v>
      </c>
      <c r="W281" s="39">
        <v>0</v>
      </c>
      <c r="X281" s="39">
        <v>0</v>
      </c>
      <c r="Y281" s="39">
        <v>0</v>
      </c>
      <c r="Z281" s="39">
        <v>0</v>
      </c>
      <c r="AA281" s="39">
        <v>0</v>
      </c>
      <c r="AB281" s="39">
        <v>0</v>
      </c>
      <c r="AC281" s="39">
        <v>0</v>
      </c>
      <c r="AD281" s="39">
        <v>0</v>
      </c>
      <c r="AE281" s="39">
        <v>0</v>
      </c>
      <c r="AF281" s="39">
        <v>0</v>
      </c>
      <c r="AG281" s="39">
        <v>0</v>
      </c>
      <c r="AH281" s="39"/>
      <c r="AI281" s="39"/>
      <c r="AJ281" s="40"/>
      <c r="AK281" s="39">
        <f t="shared" si="20"/>
        <v>0</v>
      </c>
      <c r="AL281" s="39">
        <f t="shared" si="23"/>
        <v>0</v>
      </c>
      <c r="AM281" s="39">
        <f t="shared" si="24"/>
        <v>0</v>
      </c>
      <c r="AN281" s="39">
        <f t="shared" si="21"/>
        <v>0</v>
      </c>
      <c r="AO281" s="39">
        <f t="shared" si="22"/>
        <v>0</v>
      </c>
    </row>
    <row r="282" spans="1:41" x14ac:dyDescent="0.3">
      <c r="A282" s="20">
        <v>1000184670</v>
      </c>
      <c r="B282" s="4" t="s">
        <v>147</v>
      </c>
      <c r="C282" s="21">
        <v>1000186197</v>
      </c>
      <c r="D282" s="3" t="s">
        <v>166</v>
      </c>
      <c r="E282" s="20">
        <v>1000184760</v>
      </c>
      <c r="F282" s="4" t="s">
        <v>60</v>
      </c>
      <c r="G282" s="21">
        <v>1000189796</v>
      </c>
      <c r="H282" s="3" t="s">
        <v>61</v>
      </c>
      <c r="I282" s="21">
        <v>1000189762</v>
      </c>
      <c r="J282" s="3" t="s">
        <v>158</v>
      </c>
      <c r="K282" s="20" t="s">
        <v>23</v>
      </c>
      <c r="L282" s="39">
        <v>0</v>
      </c>
      <c r="M282" s="39">
        <v>0</v>
      </c>
      <c r="N282" s="39">
        <v>0</v>
      </c>
      <c r="O282" s="39">
        <v>0</v>
      </c>
      <c r="P282" s="39">
        <v>0</v>
      </c>
      <c r="Q282" s="39">
        <v>0</v>
      </c>
      <c r="R282" s="39">
        <v>0</v>
      </c>
      <c r="S282" s="39">
        <v>0</v>
      </c>
      <c r="T282" s="39">
        <v>0</v>
      </c>
      <c r="U282" s="39">
        <v>0</v>
      </c>
      <c r="V282" s="39">
        <v>0</v>
      </c>
      <c r="W282" s="39">
        <v>0</v>
      </c>
      <c r="X282" s="39">
        <v>0</v>
      </c>
      <c r="Y282" s="39">
        <v>0</v>
      </c>
      <c r="Z282" s="39">
        <v>0</v>
      </c>
      <c r="AA282" s="39">
        <v>0</v>
      </c>
      <c r="AB282" s="39">
        <v>0</v>
      </c>
      <c r="AC282" s="39">
        <v>0</v>
      </c>
      <c r="AD282" s="39">
        <v>0</v>
      </c>
      <c r="AE282" s="39">
        <v>0</v>
      </c>
      <c r="AF282" s="39">
        <v>0</v>
      </c>
      <c r="AG282" s="39">
        <v>0</v>
      </c>
      <c r="AH282" s="39"/>
      <c r="AI282" s="39"/>
      <c r="AJ282" s="40"/>
      <c r="AK282" s="39">
        <f t="shared" si="20"/>
        <v>0</v>
      </c>
      <c r="AL282" s="39">
        <f t="shared" si="23"/>
        <v>0</v>
      </c>
      <c r="AM282" s="39">
        <f t="shared" si="24"/>
        <v>0</v>
      </c>
      <c r="AN282" s="39">
        <f t="shared" si="21"/>
        <v>0</v>
      </c>
      <c r="AO282" s="39">
        <f t="shared" si="22"/>
        <v>0</v>
      </c>
    </row>
    <row r="283" spans="1:41" x14ac:dyDescent="0.3">
      <c r="A283" s="20">
        <v>1000184670</v>
      </c>
      <c r="B283" s="4" t="s">
        <v>147</v>
      </c>
      <c r="C283" s="21">
        <v>1000186197</v>
      </c>
      <c r="D283" s="3" t="s">
        <v>166</v>
      </c>
      <c r="E283" s="20">
        <v>1000184760</v>
      </c>
      <c r="F283" s="4" t="s">
        <v>60</v>
      </c>
      <c r="G283" s="21">
        <v>1000189796</v>
      </c>
      <c r="H283" s="3" t="s">
        <v>61</v>
      </c>
      <c r="I283" s="21">
        <v>1000189762</v>
      </c>
      <c r="J283" s="3" t="s">
        <v>158</v>
      </c>
      <c r="K283" s="20" t="s">
        <v>28</v>
      </c>
      <c r="L283" s="39">
        <v>0</v>
      </c>
      <c r="M283" s="39">
        <v>0</v>
      </c>
      <c r="N283" s="39">
        <v>0</v>
      </c>
      <c r="O283" s="39">
        <v>0</v>
      </c>
      <c r="P283" s="39">
        <v>0</v>
      </c>
      <c r="Q283" s="39">
        <v>0</v>
      </c>
      <c r="R283" s="39">
        <v>0</v>
      </c>
      <c r="S283" s="39">
        <v>0</v>
      </c>
      <c r="T283" s="39">
        <v>0</v>
      </c>
      <c r="U283" s="39">
        <v>0</v>
      </c>
      <c r="V283" s="39">
        <v>0</v>
      </c>
      <c r="W283" s="39">
        <v>0</v>
      </c>
      <c r="X283" s="39">
        <v>0</v>
      </c>
      <c r="Y283" s="39">
        <v>0</v>
      </c>
      <c r="Z283" s="39">
        <v>0</v>
      </c>
      <c r="AA283" s="39">
        <v>0</v>
      </c>
      <c r="AB283" s="39">
        <v>0</v>
      </c>
      <c r="AC283" s="39">
        <v>0</v>
      </c>
      <c r="AD283" s="39">
        <v>0</v>
      </c>
      <c r="AE283" s="39">
        <v>0</v>
      </c>
      <c r="AF283" s="39">
        <v>0</v>
      </c>
      <c r="AG283" s="39">
        <v>0</v>
      </c>
      <c r="AH283" s="39"/>
      <c r="AI283" s="39"/>
      <c r="AJ283" s="40"/>
      <c r="AK283" s="39">
        <f t="shared" si="20"/>
        <v>0</v>
      </c>
      <c r="AL283" s="39">
        <f t="shared" si="23"/>
        <v>0</v>
      </c>
      <c r="AM283" s="39">
        <f t="shared" si="24"/>
        <v>0</v>
      </c>
      <c r="AN283" s="39">
        <f t="shared" si="21"/>
        <v>0</v>
      </c>
      <c r="AO283" s="39">
        <f t="shared" si="22"/>
        <v>0</v>
      </c>
    </row>
    <row r="284" spans="1:41" x14ac:dyDescent="0.3">
      <c r="A284" s="20">
        <v>1000184670</v>
      </c>
      <c r="B284" s="4" t="s">
        <v>147</v>
      </c>
      <c r="C284" s="21">
        <v>1000186197</v>
      </c>
      <c r="D284" s="3" t="s">
        <v>166</v>
      </c>
      <c r="E284" s="20">
        <v>1000184760</v>
      </c>
      <c r="F284" s="4" t="s">
        <v>60</v>
      </c>
      <c r="G284" s="21">
        <v>1000189796</v>
      </c>
      <c r="H284" s="3" t="s">
        <v>61</v>
      </c>
      <c r="I284" s="21">
        <v>1000189762</v>
      </c>
      <c r="J284" s="3" t="s">
        <v>158</v>
      </c>
      <c r="K284" s="20" t="s">
        <v>26</v>
      </c>
      <c r="L284" s="39">
        <v>0</v>
      </c>
      <c r="M284" s="39">
        <v>0</v>
      </c>
      <c r="N284" s="39">
        <v>0</v>
      </c>
      <c r="O284" s="39">
        <v>0</v>
      </c>
      <c r="P284" s="39">
        <v>0</v>
      </c>
      <c r="Q284" s="39">
        <v>0</v>
      </c>
      <c r="R284" s="39">
        <v>0</v>
      </c>
      <c r="S284" s="39">
        <v>0</v>
      </c>
      <c r="T284" s="39">
        <v>0</v>
      </c>
      <c r="U284" s="39">
        <v>0</v>
      </c>
      <c r="V284" s="39">
        <v>0</v>
      </c>
      <c r="W284" s="39">
        <v>0</v>
      </c>
      <c r="X284" s="39">
        <v>0</v>
      </c>
      <c r="Y284" s="39">
        <v>0</v>
      </c>
      <c r="Z284" s="39">
        <v>0</v>
      </c>
      <c r="AA284" s="39">
        <v>0</v>
      </c>
      <c r="AB284" s="39">
        <v>0</v>
      </c>
      <c r="AC284" s="39">
        <v>0</v>
      </c>
      <c r="AD284" s="39">
        <v>0</v>
      </c>
      <c r="AE284" s="39">
        <v>0</v>
      </c>
      <c r="AF284" s="39">
        <v>0</v>
      </c>
      <c r="AG284" s="39">
        <v>0</v>
      </c>
      <c r="AH284" s="39"/>
      <c r="AI284" s="39"/>
      <c r="AJ284" s="40"/>
      <c r="AK284" s="39">
        <f t="shared" si="20"/>
        <v>0</v>
      </c>
      <c r="AL284" s="39">
        <f t="shared" si="23"/>
        <v>0</v>
      </c>
      <c r="AM284" s="39">
        <f t="shared" si="24"/>
        <v>0</v>
      </c>
      <c r="AN284" s="39">
        <f t="shared" si="21"/>
        <v>0</v>
      </c>
      <c r="AO284" s="39">
        <f t="shared" si="22"/>
        <v>0</v>
      </c>
    </row>
    <row r="285" spans="1:41" x14ac:dyDescent="0.3">
      <c r="A285" s="20">
        <v>1000184670</v>
      </c>
      <c r="B285" s="4" t="s">
        <v>147</v>
      </c>
      <c r="C285" s="21">
        <v>1000186197</v>
      </c>
      <c r="D285" s="3" t="s">
        <v>166</v>
      </c>
      <c r="E285" s="20">
        <v>1000184760</v>
      </c>
      <c r="F285" s="4" t="s">
        <v>60</v>
      </c>
      <c r="G285" s="21">
        <v>1000189796</v>
      </c>
      <c r="H285" s="3" t="s">
        <v>61</v>
      </c>
      <c r="I285" s="21">
        <v>1000189762</v>
      </c>
      <c r="J285" s="3" t="s">
        <v>158</v>
      </c>
      <c r="K285" s="20" t="s">
        <v>27</v>
      </c>
      <c r="L285" s="39">
        <v>0</v>
      </c>
      <c r="M285" s="39">
        <v>0</v>
      </c>
      <c r="N285" s="39">
        <v>0</v>
      </c>
      <c r="O285" s="39">
        <v>0</v>
      </c>
      <c r="P285" s="39">
        <v>0</v>
      </c>
      <c r="Q285" s="39">
        <v>0</v>
      </c>
      <c r="R285" s="39">
        <v>0</v>
      </c>
      <c r="S285" s="39">
        <v>0</v>
      </c>
      <c r="T285" s="39">
        <v>0</v>
      </c>
      <c r="U285" s="39">
        <v>0</v>
      </c>
      <c r="V285" s="39">
        <v>0</v>
      </c>
      <c r="W285" s="39">
        <v>0</v>
      </c>
      <c r="X285" s="39">
        <v>0</v>
      </c>
      <c r="Y285" s="39">
        <v>0</v>
      </c>
      <c r="Z285" s="39">
        <v>0</v>
      </c>
      <c r="AA285" s="39">
        <v>0</v>
      </c>
      <c r="AB285" s="39">
        <v>0</v>
      </c>
      <c r="AC285" s="39">
        <v>0</v>
      </c>
      <c r="AD285" s="39">
        <v>0</v>
      </c>
      <c r="AE285" s="39">
        <v>0</v>
      </c>
      <c r="AF285" s="39">
        <v>0</v>
      </c>
      <c r="AG285" s="39">
        <v>0</v>
      </c>
      <c r="AH285" s="39"/>
      <c r="AI285" s="39"/>
      <c r="AJ285" s="40"/>
      <c r="AK285" s="39">
        <f t="shared" si="20"/>
        <v>0</v>
      </c>
      <c r="AL285" s="39">
        <f t="shared" si="23"/>
        <v>0</v>
      </c>
      <c r="AM285" s="39">
        <f t="shared" si="24"/>
        <v>0</v>
      </c>
      <c r="AN285" s="39">
        <f t="shared" si="21"/>
        <v>0</v>
      </c>
      <c r="AO285" s="39">
        <f t="shared" si="22"/>
        <v>0</v>
      </c>
    </row>
    <row r="286" spans="1:41" x14ac:dyDescent="0.3">
      <c r="A286" s="20">
        <v>1000184670</v>
      </c>
      <c r="B286" s="4" t="s">
        <v>147</v>
      </c>
      <c r="C286" s="21">
        <v>1000186197</v>
      </c>
      <c r="D286" s="3" t="s">
        <v>166</v>
      </c>
      <c r="E286" s="20">
        <v>1000184760</v>
      </c>
      <c r="F286" s="4" t="s">
        <v>60</v>
      </c>
      <c r="G286" s="21">
        <v>1000189796</v>
      </c>
      <c r="H286" s="3" t="s">
        <v>61</v>
      </c>
      <c r="I286" s="21">
        <v>1000189762</v>
      </c>
      <c r="J286" s="3" t="s">
        <v>158</v>
      </c>
      <c r="K286" s="20" t="s">
        <v>25</v>
      </c>
      <c r="L286" s="39">
        <v>0</v>
      </c>
      <c r="M286" s="39">
        <v>0</v>
      </c>
      <c r="N286" s="39">
        <v>0</v>
      </c>
      <c r="O286" s="39">
        <v>0</v>
      </c>
      <c r="P286" s="39">
        <v>0</v>
      </c>
      <c r="Q286" s="39">
        <v>0</v>
      </c>
      <c r="R286" s="39">
        <v>0</v>
      </c>
      <c r="S286" s="39">
        <v>0</v>
      </c>
      <c r="T286" s="39">
        <v>0</v>
      </c>
      <c r="U286" s="39">
        <v>0</v>
      </c>
      <c r="V286" s="39">
        <v>0</v>
      </c>
      <c r="W286" s="39">
        <v>0</v>
      </c>
      <c r="X286" s="39">
        <v>0</v>
      </c>
      <c r="Y286" s="39">
        <v>0</v>
      </c>
      <c r="Z286" s="39">
        <v>0</v>
      </c>
      <c r="AA286" s="39">
        <v>0</v>
      </c>
      <c r="AB286" s="39">
        <v>0</v>
      </c>
      <c r="AC286" s="39">
        <v>0</v>
      </c>
      <c r="AD286" s="39">
        <v>0</v>
      </c>
      <c r="AE286" s="39">
        <v>0</v>
      </c>
      <c r="AF286" s="39">
        <v>0</v>
      </c>
      <c r="AG286" s="39">
        <v>0</v>
      </c>
      <c r="AH286" s="39"/>
      <c r="AI286" s="39"/>
      <c r="AJ286" s="40"/>
      <c r="AK286" s="39">
        <f t="shared" si="20"/>
        <v>0</v>
      </c>
      <c r="AL286" s="39">
        <f t="shared" si="23"/>
        <v>0</v>
      </c>
      <c r="AM286" s="39">
        <f t="shared" si="24"/>
        <v>0</v>
      </c>
      <c r="AN286" s="39">
        <f t="shared" si="21"/>
        <v>0</v>
      </c>
      <c r="AO286" s="39">
        <f t="shared" si="22"/>
        <v>0</v>
      </c>
    </row>
    <row r="287" spans="1:41" x14ac:dyDescent="0.3">
      <c r="A287" s="20">
        <v>1000184670</v>
      </c>
      <c r="B287" s="4" t="s">
        <v>147</v>
      </c>
      <c r="C287" s="21">
        <v>1000186197</v>
      </c>
      <c r="D287" s="3" t="s">
        <v>166</v>
      </c>
      <c r="E287" s="20">
        <v>1000184758</v>
      </c>
      <c r="F287" s="4" t="s">
        <v>55</v>
      </c>
      <c r="G287" s="21">
        <v>1000189786</v>
      </c>
      <c r="H287" s="3" t="s">
        <v>104</v>
      </c>
      <c r="I287" s="21">
        <v>1000195872</v>
      </c>
      <c r="J287" s="3" t="s">
        <v>161</v>
      </c>
      <c r="K287" s="20" t="s">
        <v>124</v>
      </c>
      <c r="L287" s="39">
        <v>0</v>
      </c>
      <c r="M287" s="39">
        <v>0</v>
      </c>
      <c r="N287" s="39">
        <v>0</v>
      </c>
      <c r="O287" s="39">
        <v>0</v>
      </c>
      <c r="P287" s="39">
        <v>0</v>
      </c>
      <c r="Q287" s="39">
        <v>0</v>
      </c>
      <c r="R287" s="39">
        <v>0</v>
      </c>
      <c r="S287" s="39">
        <v>0</v>
      </c>
      <c r="T287" s="39">
        <v>0</v>
      </c>
      <c r="U287" s="39">
        <v>0</v>
      </c>
      <c r="V287" s="39">
        <v>0</v>
      </c>
      <c r="W287" s="39">
        <v>0</v>
      </c>
      <c r="X287" s="39">
        <v>0</v>
      </c>
      <c r="Y287" s="39">
        <v>0</v>
      </c>
      <c r="Z287" s="39">
        <v>0</v>
      </c>
      <c r="AA287" s="39">
        <v>0</v>
      </c>
      <c r="AB287" s="39">
        <v>0</v>
      </c>
      <c r="AC287" s="39">
        <v>0</v>
      </c>
      <c r="AD287" s="39">
        <v>0</v>
      </c>
      <c r="AE287" s="39">
        <v>0</v>
      </c>
      <c r="AF287" s="39">
        <v>0</v>
      </c>
      <c r="AG287" s="39">
        <v>0</v>
      </c>
      <c r="AH287" s="39"/>
      <c r="AI287" s="39"/>
      <c r="AJ287" s="40"/>
      <c r="AK287" s="39">
        <f t="shared" si="20"/>
        <v>0</v>
      </c>
      <c r="AL287" s="39">
        <f t="shared" si="23"/>
        <v>0</v>
      </c>
      <c r="AM287" s="39">
        <f t="shared" si="24"/>
        <v>0</v>
      </c>
      <c r="AN287" s="39">
        <f t="shared" si="21"/>
        <v>0</v>
      </c>
      <c r="AO287" s="39">
        <f t="shared" si="22"/>
        <v>0</v>
      </c>
    </row>
    <row r="288" spans="1:41" x14ac:dyDescent="0.3">
      <c r="A288" s="20">
        <v>1000184670</v>
      </c>
      <c r="B288" s="4" t="s">
        <v>147</v>
      </c>
      <c r="C288" s="21">
        <v>1000186197</v>
      </c>
      <c r="D288" s="3" t="s">
        <v>166</v>
      </c>
      <c r="E288" s="20">
        <v>1000184758</v>
      </c>
      <c r="F288" s="4" t="s">
        <v>55</v>
      </c>
      <c r="G288" s="21">
        <v>1000189786</v>
      </c>
      <c r="H288" s="3" t="s">
        <v>104</v>
      </c>
      <c r="I288" s="21">
        <v>1000195872</v>
      </c>
      <c r="J288" s="3" t="s">
        <v>161</v>
      </c>
      <c r="K288" s="20" t="s">
        <v>13</v>
      </c>
      <c r="L288" s="39">
        <v>0</v>
      </c>
      <c r="M288" s="39">
        <v>0</v>
      </c>
      <c r="N288" s="39">
        <v>0</v>
      </c>
      <c r="O288" s="39">
        <v>0</v>
      </c>
      <c r="P288" s="39">
        <v>0</v>
      </c>
      <c r="Q288" s="39">
        <v>0</v>
      </c>
      <c r="R288" s="39">
        <v>0</v>
      </c>
      <c r="S288" s="39">
        <v>0</v>
      </c>
      <c r="T288" s="39">
        <v>0</v>
      </c>
      <c r="U288" s="39">
        <v>0</v>
      </c>
      <c r="V288" s="39">
        <v>0</v>
      </c>
      <c r="W288" s="39">
        <v>0</v>
      </c>
      <c r="X288" s="39">
        <v>0</v>
      </c>
      <c r="Y288" s="39">
        <v>0</v>
      </c>
      <c r="Z288" s="39">
        <v>0</v>
      </c>
      <c r="AA288" s="39">
        <v>0</v>
      </c>
      <c r="AB288" s="39">
        <v>0</v>
      </c>
      <c r="AC288" s="39">
        <v>0</v>
      </c>
      <c r="AD288" s="39">
        <v>0</v>
      </c>
      <c r="AE288" s="39">
        <v>0</v>
      </c>
      <c r="AF288" s="39">
        <v>0</v>
      </c>
      <c r="AG288" s="39">
        <v>0</v>
      </c>
      <c r="AH288" s="39"/>
      <c r="AI288" s="39"/>
      <c r="AJ288" s="40"/>
      <c r="AK288" s="39">
        <f t="shared" si="20"/>
        <v>0</v>
      </c>
      <c r="AL288" s="39">
        <f t="shared" si="23"/>
        <v>0</v>
      </c>
      <c r="AM288" s="39">
        <f t="shared" si="24"/>
        <v>0</v>
      </c>
      <c r="AN288" s="39">
        <f t="shared" si="21"/>
        <v>0</v>
      </c>
      <c r="AO288" s="39">
        <f t="shared" si="22"/>
        <v>0</v>
      </c>
    </row>
    <row r="289" spans="1:41" x14ac:dyDescent="0.3">
      <c r="A289" s="20">
        <v>1000184670</v>
      </c>
      <c r="B289" s="4" t="s">
        <v>147</v>
      </c>
      <c r="C289" s="21">
        <v>1000186197</v>
      </c>
      <c r="D289" s="3" t="s">
        <v>166</v>
      </c>
      <c r="E289" s="20">
        <v>1000184758</v>
      </c>
      <c r="F289" s="4" t="s">
        <v>55</v>
      </c>
      <c r="G289" s="21">
        <v>1000189786</v>
      </c>
      <c r="H289" s="3" t="s">
        <v>104</v>
      </c>
      <c r="I289" s="21">
        <v>1000195872</v>
      </c>
      <c r="J289" s="3" t="s">
        <v>161</v>
      </c>
      <c r="K289" s="20" t="s">
        <v>14</v>
      </c>
      <c r="L289" s="39">
        <v>0</v>
      </c>
      <c r="M289" s="39">
        <v>0</v>
      </c>
      <c r="N289" s="39">
        <v>0</v>
      </c>
      <c r="O289" s="39">
        <v>0</v>
      </c>
      <c r="P289" s="39">
        <v>0</v>
      </c>
      <c r="Q289" s="39">
        <v>0</v>
      </c>
      <c r="R289" s="39">
        <v>0</v>
      </c>
      <c r="S289" s="39">
        <v>0</v>
      </c>
      <c r="T289" s="39">
        <v>0</v>
      </c>
      <c r="U289" s="39">
        <v>0</v>
      </c>
      <c r="V289" s="39">
        <v>0</v>
      </c>
      <c r="W289" s="39">
        <v>0</v>
      </c>
      <c r="X289" s="39">
        <v>0</v>
      </c>
      <c r="Y289" s="39">
        <v>0</v>
      </c>
      <c r="Z289" s="39">
        <v>0</v>
      </c>
      <c r="AA289" s="39">
        <v>0</v>
      </c>
      <c r="AB289" s="39">
        <v>0</v>
      </c>
      <c r="AC289" s="39">
        <v>0</v>
      </c>
      <c r="AD289" s="39">
        <v>0</v>
      </c>
      <c r="AE289" s="39">
        <v>0</v>
      </c>
      <c r="AF289" s="39">
        <v>0</v>
      </c>
      <c r="AG289" s="39">
        <v>0</v>
      </c>
      <c r="AH289" s="39"/>
      <c r="AI289" s="39"/>
      <c r="AJ289" s="40"/>
      <c r="AK289" s="39">
        <f t="shared" si="20"/>
        <v>0</v>
      </c>
      <c r="AL289" s="39">
        <f t="shared" si="23"/>
        <v>0</v>
      </c>
      <c r="AM289" s="39">
        <f t="shared" si="24"/>
        <v>0</v>
      </c>
      <c r="AN289" s="39">
        <f t="shared" si="21"/>
        <v>0</v>
      </c>
      <c r="AO289" s="39">
        <f t="shared" si="22"/>
        <v>0</v>
      </c>
    </row>
    <row r="290" spans="1:41" x14ac:dyDescent="0.3">
      <c r="A290" s="20">
        <v>1000184670</v>
      </c>
      <c r="B290" s="4" t="s">
        <v>147</v>
      </c>
      <c r="C290" s="21">
        <v>1000186197</v>
      </c>
      <c r="D290" s="3" t="s">
        <v>166</v>
      </c>
      <c r="E290" s="20">
        <v>1000184758</v>
      </c>
      <c r="F290" s="4" t="s">
        <v>55</v>
      </c>
      <c r="G290" s="21">
        <v>1000189786</v>
      </c>
      <c r="H290" s="3" t="s">
        <v>104</v>
      </c>
      <c r="I290" s="21">
        <v>1000195872</v>
      </c>
      <c r="J290" s="3" t="s">
        <v>161</v>
      </c>
      <c r="K290" s="20" t="s">
        <v>16</v>
      </c>
      <c r="L290" s="39">
        <v>0</v>
      </c>
      <c r="M290" s="39">
        <v>0</v>
      </c>
      <c r="N290" s="39">
        <v>0</v>
      </c>
      <c r="O290" s="39">
        <v>0</v>
      </c>
      <c r="P290" s="39">
        <v>0</v>
      </c>
      <c r="Q290" s="39">
        <v>0</v>
      </c>
      <c r="R290" s="39">
        <v>0</v>
      </c>
      <c r="S290" s="39">
        <v>0</v>
      </c>
      <c r="T290" s="39">
        <v>0</v>
      </c>
      <c r="U290" s="39">
        <v>0</v>
      </c>
      <c r="V290" s="39">
        <v>0</v>
      </c>
      <c r="W290" s="39">
        <v>0</v>
      </c>
      <c r="X290" s="39">
        <v>0</v>
      </c>
      <c r="Y290" s="39">
        <v>0</v>
      </c>
      <c r="Z290" s="39">
        <v>0</v>
      </c>
      <c r="AA290" s="39">
        <v>0</v>
      </c>
      <c r="AB290" s="39">
        <v>0</v>
      </c>
      <c r="AC290" s="39">
        <v>0</v>
      </c>
      <c r="AD290" s="39">
        <v>0</v>
      </c>
      <c r="AE290" s="39">
        <v>0</v>
      </c>
      <c r="AF290" s="39">
        <v>0</v>
      </c>
      <c r="AG290" s="39">
        <v>0</v>
      </c>
      <c r="AH290" s="39"/>
      <c r="AI290" s="39"/>
      <c r="AJ290" s="40"/>
      <c r="AK290" s="39">
        <f t="shared" si="20"/>
        <v>0</v>
      </c>
      <c r="AL290" s="39">
        <f t="shared" si="23"/>
        <v>0</v>
      </c>
      <c r="AM290" s="39">
        <f t="shared" si="24"/>
        <v>0</v>
      </c>
      <c r="AN290" s="39">
        <f t="shared" si="21"/>
        <v>0</v>
      </c>
      <c r="AO290" s="39">
        <f t="shared" si="22"/>
        <v>0</v>
      </c>
    </row>
    <row r="291" spans="1:41" x14ac:dyDescent="0.3">
      <c r="A291" s="20">
        <v>1000184670</v>
      </c>
      <c r="B291" s="4" t="s">
        <v>147</v>
      </c>
      <c r="C291" s="21">
        <v>1000186197</v>
      </c>
      <c r="D291" s="3" t="s">
        <v>166</v>
      </c>
      <c r="E291" s="20">
        <v>1000184758</v>
      </c>
      <c r="F291" s="4" t="s">
        <v>55</v>
      </c>
      <c r="G291" s="21">
        <v>1000189786</v>
      </c>
      <c r="H291" s="3" t="s">
        <v>104</v>
      </c>
      <c r="I291" s="21">
        <v>1000195872</v>
      </c>
      <c r="J291" s="3" t="s">
        <v>161</v>
      </c>
      <c r="K291" s="20" t="s">
        <v>15</v>
      </c>
      <c r="L291" s="39">
        <v>0</v>
      </c>
      <c r="M291" s="39">
        <v>0</v>
      </c>
      <c r="N291" s="39">
        <v>0</v>
      </c>
      <c r="O291" s="39">
        <v>0</v>
      </c>
      <c r="P291" s="39">
        <v>0</v>
      </c>
      <c r="Q291" s="39">
        <v>0</v>
      </c>
      <c r="R291" s="39">
        <v>0</v>
      </c>
      <c r="S291" s="39">
        <v>0</v>
      </c>
      <c r="T291" s="39">
        <v>0</v>
      </c>
      <c r="U291" s="39">
        <v>0</v>
      </c>
      <c r="V291" s="39">
        <v>0</v>
      </c>
      <c r="W291" s="39">
        <v>0</v>
      </c>
      <c r="X291" s="39">
        <v>0</v>
      </c>
      <c r="Y291" s="39">
        <v>0</v>
      </c>
      <c r="Z291" s="39">
        <v>0</v>
      </c>
      <c r="AA291" s="39">
        <v>228.75</v>
      </c>
      <c r="AB291" s="39">
        <v>0</v>
      </c>
      <c r="AC291" s="39">
        <v>0</v>
      </c>
      <c r="AD291" s="39">
        <v>0</v>
      </c>
      <c r="AE291" s="39">
        <v>0</v>
      </c>
      <c r="AF291" s="39">
        <v>0</v>
      </c>
      <c r="AG291" s="39">
        <v>0</v>
      </c>
      <c r="AH291" s="39"/>
      <c r="AI291" s="39"/>
      <c r="AJ291" s="40"/>
      <c r="AK291" s="39">
        <f t="shared" si="20"/>
        <v>0</v>
      </c>
      <c r="AL291" s="39">
        <f t="shared" si="23"/>
        <v>19.0625</v>
      </c>
      <c r="AM291" s="39">
        <f t="shared" si="24"/>
        <v>0</v>
      </c>
      <c r="AN291" s="39">
        <f t="shared" si="21"/>
        <v>22.875</v>
      </c>
      <c r="AO291" s="39">
        <f t="shared" si="22"/>
        <v>228.75</v>
      </c>
    </row>
    <row r="292" spans="1:41" x14ac:dyDescent="0.3">
      <c r="A292" s="20">
        <v>1000184670</v>
      </c>
      <c r="B292" s="4" t="s">
        <v>147</v>
      </c>
      <c r="C292" s="21">
        <v>1000186197</v>
      </c>
      <c r="D292" s="3" t="s">
        <v>166</v>
      </c>
      <c r="E292" s="20">
        <v>1000184758</v>
      </c>
      <c r="F292" s="4" t="s">
        <v>55</v>
      </c>
      <c r="G292" s="21">
        <v>1000189786</v>
      </c>
      <c r="H292" s="3" t="s">
        <v>104</v>
      </c>
      <c r="I292" s="21">
        <v>1000195872</v>
      </c>
      <c r="J292" s="3" t="s">
        <v>161</v>
      </c>
      <c r="K292" s="20" t="s">
        <v>33</v>
      </c>
      <c r="L292" s="39">
        <v>0</v>
      </c>
      <c r="M292" s="39">
        <v>0</v>
      </c>
      <c r="N292" s="39">
        <v>0</v>
      </c>
      <c r="O292" s="39">
        <v>0</v>
      </c>
      <c r="P292" s="39">
        <v>0</v>
      </c>
      <c r="Q292" s="39">
        <v>0</v>
      </c>
      <c r="R292" s="39">
        <v>0</v>
      </c>
      <c r="S292" s="39">
        <v>0</v>
      </c>
      <c r="T292" s="39">
        <v>0</v>
      </c>
      <c r="U292" s="39">
        <v>0</v>
      </c>
      <c r="V292" s="39">
        <v>0</v>
      </c>
      <c r="W292" s="39">
        <v>0</v>
      </c>
      <c r="X292" s="39">
        <v>0</v>
      </c>
      <c r="Y292" s="39">
        <v>0</v>
      </c>
      <c r="Z292" s="39">
        <v>0</v>
      </c>
      <c r="AA292" s="39">
        <v>0</v>
      </c>
      <c r="AB292" s="39">
        <v>0</v>
      </c>
      <c r="AC292" s="39">
        <v>0</v>
      </c>
      <c r="AD292" s="39">
        <v>0</v>
      </c>
      <c r="AE292" s="39">
        <v>0</v>
      </c>
      <c r="AF292" s="39">
        <v>0</v>
      </c>
      <c r="AG292" s="39">
        <v>0</v>
      </c>
      <c r="AH292" s="39"/>
      <c r="AI292" s="39"/>
      <c r="AJ292" s="40"/>
      <c r="AK292" s="39">
        <f t="shared" si="20"/>
        <v>0</v>
      </c>
      <c r="AL292" s="39">
        <f t="shared" si="23"/>
        <v>0</v>
      </c>
      <c r="AM292" s="39">
        <f t="shared" si="24"/>
        <v>0</v>
      </c>
      <c r="AN292" s="39">
        <f t="shared" si="21"/>
        <v>0</v>
      </c>
      <c r="AO292" s="39">
        <f t="shared" si="22"/>
        <v>0</v>
      </c>
    </row>
    <row r="293" spans="1:41" x14ac:dyDescent="0.3">
      <c r="A293" s="20">
        <v>1000184670</v>
      </c>
      <c r="B293" s="4" t="s">
        <v>147</v>
      </c>
      <c r="C293" s="21">
        <v>1000186197</v>
      </c>
      <c r="D293" s="3" t="s">
        <v>166</v>
      </c>
      <c r="E293" s="20">
        <v>1000184758</v>
      </c>
      <c r="F293" s="4" t="s">
        <v>55</v>
      </c>
      <c r="G293" s="21">
        <v>1000189786</v>
      </c>
      <c r="H293" s="3" t="s">
        <v>104</v>
      </c>
      <c r="I293" s="21">
        <v>1000195872</v>
      </c>
      <c r="J293" s="3" t="s">
        <v>161</v>
      </c>
      <c r="K293" s="20" t="s">
        <v>19</v>
      </c>
      <c r="L293" s="39">
        <v>0</v>
      </c>
      <c r="M293" s="39">
        <v>0</v>
      </c>
      <c r="N293" s="39">
        <v>0</v>
      </c>
      <c r="O293" s="39">
        <v>0</v>
      </c>
      <c r="P293" s="39">
        <v>0</v>
      </c>
      <c r="Q293" s="39">
        <v>0</v>
      </c>
      <c r="R293" s="39">
        <v>0</v>
      </c>
      <c r="S293" s="39">
        <v>0</v>
      </c>
      <c r="T293" s="39">
        <v>0</v>
      </c>
      <c r="U293" s="39">
        <v>0</v>
      </c>
      <c r="V293" s="39">
        <v>0</v>
      </c>
      <c r="W293" s="39">
        <v>0</v>
      </c>
      <c r="X293" s="39">
        <v>0</v>
      </c>
      <c r="Y293" s="39">
        <v>0</v>
      </c>
      <c r="Z293" s="39">
        <v>0</v>
      </c>
      <c r="AA293" s="39">
        <v>0</v>
      </c>
      <c r="AB293" s="39">
        <v>0</v>
      </c>
      <c r="AC293" s="39">
        <v>0</v>
      </c>
      <c r="AD293" s="39">
        <v>0</v>
      </c>
      <c r="AE293" s="39">
        <v>0</v>
      </c>
      <c r="AF293" s="39">
        <v>0</v>
      </c>
      <c r="AG293" s="39">
        <v>0</v>
      </c>
      <c r="AH293" s="39"/>
      <c r="AI293" s="39"/>
      <c r="AJ293" s="40"/>
      <c r="AK293" s="39">
        <f t="shared" si="20"/>
        <v>0</v>
      </c>
      <c r="AL293" s="39">
        <f t="shared" si="23"/>
        <v>0</v>
      </c>
      <c r="AM293" s="39">
        <f t="shared" si="24"/>
        <v>0</v>
      </c>
      <c r="AN293" s="39">
        <f t="shared" si="21"/>
        <v>0</v>
      </c>
      <c r="AO293" s="39">
        <f t="shared" si="22"/>
        <v>0</v>
      </c>
    </row>
    <row r="294" spans="1:41" x14ac:dyDescent="0.3">
      <c r="A294" s="20">
        <v>1000184670</v>
      </c>
      <c r="B294" s="4" t="s">
        <v>147</v>
      </c>
      <c r="C294" s="21">
        <v>1000186197</v>
      </c>
      <c r="D294" s="3" t="s">
        <v>166</v>
      </c>
      <c r="E294" s="20">
        <v>1000184758</v>
      </c>
      <c r="F294" s="4" t="s">
        <v>55</v>
      </c>
      <c r="G294" s="21">
        <v>1000189786</v>
      </c>
      <c r="H294" s="3" t="s">
        <v>104</v>
      </c>
      <c r="I294" s="21">
        <v>1000195872</v>
      </c>
      <c r="J294" s="3" t="s">
        <v>161</v>
      </c>
      <c r="K294" s="20" t="s">
        <v>17</v>
      </c>
      <c r="L294" s="39">
        <v>0</v>
      </c>
      <c r="M294" s="39">
        <v>0</v>
      </c>
      <c r="N294" s="39">
        <v>0</v>
      </c>
      <c r="O294" s="39">
        <v>0</v>
      </c>
      <c r="P294" s="39">
        <v>0</v>
      </c>
      <c r="Q294" s="39">
        <v>0</v>
      </c>
      <c r="R294" s="39">
        <v>0</v>
      </c>
      <c r="S294" s="39">
        <v>0</v>
      </c>
      <c r="T294" s="39">
        <v>0</v>
      </c>
      <c r="U294" s="39">
        <v>0</v>
      </c>
      <c r="V294" s="39">
        <v>0</v>
      </c>
      <c r="W294" s="39">
        <v>0</v>
      </c>
      <c r="X294" s="39">
        <v>0</v>
      </c>
      <c r="Y294" s="39">
        <v>0</v>
      </c>
      <c r="Z294" s="39">
        <v>0</v>
      </c>
      <c r="AA294" s="39">
        <v>0</v>
      </c>
      <c r="AB294" s="39">
        <v>0</v>
      </c>
      <c r="AC294" s="39">
        <v>0</v>
      </c>
      <c r="AD294" s="39">
        <v>0</v>
      </c>
      <c r="AE294" s="39">
        <v>0</v>
      </c>
      <c r="AF294" s="39">
        <v>0</v>
      </c>
      <c r="AG294" s="39">
        <v>0</v>
      </c>
      <c r="AH294" s="39"/>
      <c r="AI294" s="39"/>
      <c r="AJ294" s="40"/>
      <c r="AK294" s="39">
        <f t="shared" si="20"/>
        <v>0</v>
      </c>
      <c r="AL294" s="39">
        <f t="shared" si="23"/>
        <v>0</v>
      </c>
      <c r="AM294" s="39">
        <f t="shared" si="24"/>
        <v>0</v>
      </c>
      <c r="AN294" s="39">
        <f t="shared" si="21"/>
        <v>0</v>
      </c>
      <c r="AO294" s="39">
        <f t="shared" si="22"/>
        <v>0</v>
      </c>
    </row>
    <row r="295" spans="1:41" x14ac:dyDescent="0.3">
      <c r="A295" s="20">
        <v>1000184670</v>
      </c>
      <c r="B295" s="4" t="s">
        <v>147</v>
      </c>
      <c r="C295" s="21">
        <v>1000186197</v>
      </c>
      <c r="D295" s="3" t="s">
        <v>166</v>
      </c>
      <c r="E295" s="20">
        <v>1000184758</v>
      </c>
      <c r="F295" s="4" t="s">
        <v>55</v>
      </c>
      <c r="G295" s="21">
        <v>1000189786</v>
      </c>
      <c r="H295" s="3" t="s">
        <v>104</v>
      </c>
      <c r="I295" s="21">
        <v>1000195872</v>
      </c>
      <c r="J295" s="3" t="s">
        <v>161</v>
      </c>
      <c r="K295" s="20" t="s">
        <v>24</v>
      </c>
      <c r="L295" s="39">
        <v>0</v>
      </c>
      <c r="M295" s="39">
        <v>0</v>
      </c>
      <c r="N295" s="39">
        <v>0</v>
      </c>
      <c r="O295" s="39">
        <v>0</v>
      </c>
      <c r="P295" s="39">
        <v>0</v>
      </c>
      <c r="Q295" s="39">
        <v>0</v>
      </c>
      <c r="R295" s="39">
        <v>0</v>
      </c>
      <c r="S295" s="39">
        <v>0</v>
      </c>
      <c r="T295" s="39">
        <v>0</v>
      </c>
      <c r="U295" s="39">
        <v>0</v>
      </c>
      <c r="V295" s="39">
        <v>0</v>
      </c>
      <c r="W295" s="39">
        <v>0</v>
      </c>
      <c r="X295" s="39">
        <v>0</v>
      </c>
      <c r="Y295" s="39">
        <v>0</v>
      </c>
      <c r="Z295" s="39">
        <v>0</v>
      </c>
      <c r="AA295" s="39">
        <v>0</v>
      </c>
      <c r="AB295" s="39">
        <v>0</v>
      </c>
      <c r="AC295" s="39">
        <v>0</v>
      </c>
      <c r="AD295" s="39">
        <v>0</v>
      </c>
      <c r="AE295" s="39">
        <v>0</v>
      </c>
      <c r="AF295" s="39">
        <v>0</v>
      </c>
      <c r="AG295" s="39">
        <v>0</v>
      </c>
      <c r="AH295" s="39"/>
      <c r="AI295" s="39"/>
      <c r="AJ295" s="40"/>
      <c r="AK295" s="39">
        <f t="shared" si="20"/>
        <v>0</v>
      </c>
      <c r="AL295" s="39">
        <f t="shared" si="23"/>
        <v>0</v>
      </c>
      <c r="AM295" s="39">
        <f t="shared" si="24"/>
        <v>0</v>
      </c>
      <c r="AN295" s="39">
        <f t="shared" si="21"/>
        <v>0</v>
      </c>
      <c r="AO295" s="39">
        <f t="shared" si="22"/>
        <v>0</v>
      </c>
    </row>
    <row r="296" spans="1:41" x14ac:dyDescent="0.3">
      <c r="A296" s="20">
        <v>1000184670</v>
      </c>
      <c r="B296" s="4" t="s">
        <v>147</v>
      </c>
      <c r="C296" s="21">
        <v>1000186197</v>
      </c>
      <c r="D296" s="3" t="s">
        <v>166</v>
      </c>
      <c r="E296" s="20">
        <v>1000184758</v>
      </c>
      <c r="F296" s="4" t="s">
        <v>55</v>
      </c>
      <c r="G296" s="21">
        <v>1000189786</v>
      </c>
      <c r="H296" s="3" t="s">
        <v>104</v>
      </c>
      <c r="I296" s="21">
        <v>1000195872</v>
      </c>
      <c r="J296" s="3" t="s">
        <v>161</v>
      </c>
      <c r="K296" s="20" t="s">
        <v>18</v>
      </c>
      <c r="L296" s="39">
        <v>0</v>
      </c>
      <c r="M296" s="39">
        <v>0</v>
      </c>
      <c r="N296" s="39">
        <v>0</v>
      </c>
      <c r="O296" s="39">
        <v>0</v>
      </c>
      <c r="P296" s="39">
        <v>0</v>
      </c>
      <c r="Q296" s="39">
        <v>0</v>
      </c>
      <c r="R296" s="39">
        <v>0</v>
      </c>
      <c r="S296" s="39">
        <v>0</v>
      </c>
      <c r="T296" s="39">
        <v>0</v>
      </c>
      <c r="U296" s="39">
        <v>0</v>
      </c>
      <c r="V296" s="39">
        <v>0</v>
      </c>
      <c r="W296" s="39">
        <v>0</v>
      </c>
      <c r="X296" s="39">
        <v>0</v>
      </c>
      <c r="Y296" s="39">
        <v>0</v>
      </c>
      <c r="Z296" s="39">
        <v>0</v>
      </c>
      <c r="AA296" s="39">
        <v>0</v>
      </c>
      <c r="AB296" s="39">
        <v>0</v>
      </c>
      <c r="AC296" s="39">
        <v>0</v>
      </c>
      <c r="AD296" s="39">
        <v>0</v>
      </c>
      <c r="AE296" s="39">
        <v>0</v>
      </c>
      <c r="AF296" s="39">
        <v>0</v>
      </c>
      <c r="AG296" s="39">
        <v>0</v>
      </c>
      <c r="AH296" s="39"/>
      <c r="AI296" s="39"/>
      <c r="AJ296" s="40"/>
      <c r="AK296" s="39">
        <f t="shared" si="20"/>
        <v>0</v>
      </c>
      <c r="AL296" s="39">
        <f t="shared" si="23"/>
        <v>0</v>
      </c>
      <c r="AM296" s="39">
        <f t="shared" si="24"/>
        <v>0</v>
      </c>
      <c r="AN296" s="39">
        <f t="shared" si="21"/>
        <v>0</v>
      </c>
      <c r="AO296" s="39">
        <f t="shared" si="22"/>
        <v>0</v>
      </c>
    </row>
    <row r="297" spans="1:41" x14ac:dyDescent="0.3">
      <c r="A297" s="20">
        <v>1000184670</v>
      </c>
      <c r="B297" s="4" t="s">
        <v>147</v>
      </c>
      <c r="C297" s="21">
        <v>1000186197</v>
      </c>
      <c r="D297" s="3" t="s">
        <v>166</v>
      </c>
      <c r="E297" s="20">
        <v>1000184758</v>
      </c>
      <c r="F297" s="4" t="s">
        <v>55</v>
      </c>
      <c r="G297" s="21">
        <v>1000189786</v>
      </c>
      <c r="H297" s="3" t="s">
        <v>104</v>
      </c>
      <c r="I297" s="21">
        <v>1000195872</v>
      </c>
      <c r="J297" s="3" t="s">
        <v>161</v>
      </c>
      <c r="K297" s="20" t="s">
        <v>29</v>
      </c>
      <c r="L297" s="39">
        <v>0</v>
      </c>
      <c r="M297" s="39">
        <v>0</v>
      </c>
      <c r="N297" s="39">
        <v>0</v>
      </c>
      <c r="O297" s="39">
        <v>0</v>
      </c>
      <c r="P297" s="39">
        <v>0</v>
      </c>
      <c r="Q297" s="39">
        <v>0</v>
      </c>
      <c r="R297" s="39">
        <v>0</v>
      </c>
      <c r="S297" s="39">
        <v>0</v>
      </c>
      <c r="T297" s="39">
        <v>0</v>
      </c>
      <c r="U297" s="39">
        <v>0</v>
      </c>
      <c r="V297" s="39">
        <v>0</v>
      </c>
      <c r="W297" s="39">
        <v>0</v>
      </c>
      <c r="X297" s="39">
        <v>0</v>
      </c>
      <c r="Y297" s="39">
        <v>0</v>
      </c>
      <c r="Z297" s="39">
        <v>0</v>
      </c>
      <c r="AA297" s="39">
        <v>0</v>
      </c>
      <c r="AB297" s="39">
        <v>0</v>
      </c>
      <c r="AC297" s="39">
        <v>0</v>
      </c>
      <c r="AD297" s="39">
        <v>0</v>
      </c>
      <c r="AE297" s="39">
        <v>0</v>
      </c>
      <c r="AF297" s="39">
        <v>0</v>
      </c>
      <c r="AG297" s="39">
        <v>0</v>
      </c>
      <c r="AH297" s="39"/>
      <c r="AI297" s="39"/>
      <c r="AJ297" s="40"/>
      <c r="AK297" s="39">
        <f t="shared" si="20"/>
        <v>0</v>
      </c>
      <c r="AL297" s="39">
        <f t="shared" si="23"/>
        <v>0</v>
      </c>
      <c r="AM297" s="39">
        <f t="shared" si="24"/>
        <v>0</v>
      </c>
      <c r="AN297" s="39">
        <f t="shared" si="21"/>
        <v>0</v>
      </c>
      <c r="AO297" s="39">
        <f t="shared" si="22"/>
        <v>0</v>
      </c>
    </row>
    <row r="298" spans="1:41" x14ac:dyDescent="0.3">
      <c r="A298" s="20">
        <v>1000184670</v>
      </c>
      <c r="B298" s="4" t="s">
        <v>147</v>
      </c>
      <c r="C298" s="21">
        <v>1000186197</v>
      </c>
      <c r="D298" s="3" t="s">
        <v>166</v>
      </c>
      <c r="E298" s="20">
        <v>1000184758</v>
      </c>
      <c r="F298" s="4" t="s">
        <v>55</v>
      </c>
      <c r="G298" s="21">
        <v>1000189786</v>
      </c>
      <c r="H298" s="3" t="s">
        <v>104</v>
      </c>
      <c r="I298" s="21">
        <v>1000195872</v>
      </c>
      <c r="J298" s="3" t="s">
        <v>161</v>
      </c>
      <c r="K298" s="20" t="s">
        <v>21</v>
      </c>
      <c r="L298" s="39">
        <v>0</v>
      </c>
      <c r="M298" s="39">
        <v>0</v>
      </c>
      <c r="N298" s="39">
        <v>0</v>
      </c>
      <c r="O298" s="39">
        <v>0</v>
      </c>
      <c r="P298" s="39">
        <v>0</v>
      </c>
      <c r="Q298" s="39">
        <v>0</v>
      </c>
      <c r="R298" s="39">
        <v>0</v>
      </c>
      <c r="S298" s="39">
        <v>0</v>
      </c>
      <c r="T298" s="39">
        <v>0</v>
      </c>
      <c r="U298" s="39">
        <v>0</v>
      </c>
      <c r="V298" s="39">
        <v>0</v>
      </c>
      <c r="W298" s="39">
        <v>0</v>
      </c>
      <c r="X298" s="39">
        <v>0</v>
      </c>
      <c r="Y298" s="39">
        <v>0</v>
      </c>
      <c r="Z298" s="39">
        <v>0</v>
      </c>
      <c r="AA298" s="39">
        <v>0</v>
      </c>
      <c r="AB298" s="39">
        <v>0</v>
      </c>
      <c r="AC298" s="39">
        <v>0</v>
      </c>
      <c r="AD298" s="39">
        <v>0</v>
      </c>
      <c r="AE298" s="39">
        <v>0</v>
      </c>
      <c r="AF298" s="39">
        <v>0</v>
      </c>
      <c r="AG298" s="39">
        <v>0</v>
      </c>
      <c r="AH298" s="39"/>
      <c r="AI298" s="39"/>
      <c r="AJ298" s="40"/>
      <c r="AK298" s="39">
        <f t="shared" si="20"/>
        <v>0</v>
      </c>
      <c r="AL298" s="39">
        <f t="shared" si="23"/>
        <v>0</v>
      </c>
      <c r="AM298" s="39">
        <f t="shared" si="24"/>
        <v>0</v>
      </c>
      <c r="AN298" s="39">
        <f t="shared" si="21"/>
        <v>0</v>
      </c>
      <c r="AO298" s="39">
        <f t="shared" si="22"/>
        <v>0</v>
      </c>
    </row>
    <row r="299" spans="1:41" x14ac:dyDescent="0.3">
      <c r="A299" s="20">
        <v>1000184670</v>
      </c>
      <c r="B299" s="4" t="s">
        <v>147</v>
      </c>
      <c r="C299" s="21">
        <v>1000186197</v>
      </c>
      <c r="D299" s="3" t="s">
        <v>166</v>
      </c>
      <c r="E299" s="20">
        <v>1000184758</v>
      </c>
      <c r="F299" s="4" t="s">
        <v>55</v>
      </c>
      <c r="G299" s="21">
        <v>1000189786</v>
      </c>
      <c r="H299" s="3" t="s">
        <v>104</v>
      </c>
      <c r="I299" s="21">
        <v>1000195872</v>
      </c>
      <c r="J299" s="3" t="s">
        <v>161</v>
      </c>
      <c r="K299" s="20" t="s">
        <v>20</v>
      </c>
      <c r="L299" s="39">
        <v>0</v>
      </c>
      <c r="M299" s="39">
        <v>0</v>
      </c>
      <c r="N299" s="39">
        <v>0</v>
      </c>
      <c r="O299" s="39">
        <v>0</v>
      </c>
      <c r="P299" s="39">
        <v>0</v>
      </c>
      <c r="Q299" s="39">
        <v>0</v>
      </c>
      <c r="R299" s="39">
        <v>0</v>
      </c>
      <c r="S299" s="39">
        <v>0</v>
      </c>
      <c r="T299" s="39">
        <v>0</v>
      </c>
      <c r="U299" s="39">
        <v>0</v>
      </c>
      <c r="V299" s="39">
        <v>0</v>
      </c>
      <c r="W299" s="39">
        <v>0</v>
      </c>
      <c r="X299" s="39">
        <v>0</v>
      </c>
      <c r="Y299" s="39">
        <v>0</v>
      </c>
      <c r="Z299" s="39">
        <v>0</v>
      </c>
      <c r="AA299" s="39">
        <v>8.3800000000000008</v>
      </c>
      <c r="AB299" s="39">
        <v>0</v>
      </c>
      <c r="AC299" s="39">
        <v>0</v>
      </c>
      <c r="AD299" s="39">
        <v>0</v>
      </c>
      <c r="AE299" s="39">
        <v>0</v>
      </c>
      <c r="AF299" s="39">
        <v>0</v>
      </c>
      <c r="AG299" s="39">
        <v>0</v>
      </c>
      <c r="AH299" s="39"/>
      <c r="AI299" s="39"/>
      <c r="AJ299" s="40"/>
      <c r="AK299" s="39">
        <f t="shared" si="20"/>
        <v>0</v>
      </c>
      <c r="AL299" s="39">
        <f t="shared" si="23"/>
        <v>0.69833333333333336</v>
      </c>
      <c r="AM299" s="39">
        <f t="shared" si="24"/>
        <v>0</v>
      </c>
      <c r="AN299" s="39">
        <f t="shared" si="21"/>
        <v>0.83800000000000008</v>
      </c>
      <c r="AO299" s="39">
        <f t="shared" si="22"/>
        <v>8.3800000000000008</v>
      </c>
    </row>
    <row r="300" spans="1:41" x14ac:dyDescent="0.3">
      <c r="A300" s="20">
        <v>1000184670</v>
      </c>
      <c r="B300" s="4" t="s">
        <v>147</v>
      </c>
      <c r="C300" s="21">
        <v>1000186197</v>
      </c>
      <c r="D300" s="3" t="s">
        <v>166</v>
      </c>
      <c r="E300" s="20">
        <v>1000184758</v>
      </c>
      <c r="F300" s="4" t="s">
        <v>55</v>
      </c>
      <c r="G300" s="21">
        <v>1000189786</v>
      </c>
      <c r="H300" s="3" t="s">
        <v>104</v>
      </c>
      <c r="I300" s="21">
        <v>1000195872</v>
      </c>
      <c r="J300" s="3" t="s">
        <v>161</v>
      </c>
      <c r="K300" s="20" t="s">
        <v>22</v>
      </c>
      <c r="L300" s="39">
        <v>0</v>
      </c>
      <c r="M300" s="39">
        <v>0</v>
      </c>
      <c r="N300" s="39">
        <v>0</v>
      </c>
      <c r="O300" s="39">
        <v>0</v>
      </c>
      <c r="P300" s="39">
        <v>0</v>
      </c>
      <c r="Q300" s="39">
        <v>0</v>
      </c>
      <c r="R300" s="39">
        <v>0</v>
      </c>
      <c r="S300" s="39">
        <v>0</v>
      </c>
      <c r="T300" s="39">
        <v>0</v>
      </c>
      <c r="U300" s="39">
        <v>0</v>
      </c>
      <c r="V300" s="39">
        <v>0</v>
      </c>
      <c r="W300" s="39">
        <v>0</v>
      </c>
      <c r="X300" s="39">
        <v>0</v>
      </c>
      <c r="Y300" s="39">
        <v>0</v>
      </c>
      <c r="Z300" s="39">
        <v>0</v>
      </c>
      <c r="AA300" s="39">
        <v>0</v>
      </c>
      <c r="AB300" s="39">
        <v>0</v>
      </c>
      <c r="AC300" s="39">
        <v>0</v>
      </c>
      <c r="AD300" s="39">
        <v>0</v>
      </c>
      <c r="AE300" s="39">
        <v>0</v>
      </c>
      <c r="AF300" s="39">
        <v>0</v>
      </c>
      <c r="AG300" s="39">
        <v>0</v>
      </c>
      <c r="AH300" s="39"/>
      <c r="AI300" s="39"/>
      <c r="AJ300" s="40"/>
      <c r="AK300" s="39">
        <f t="shared" si="20"/>
        <v>0</v>
      </c>
      <c r="AL300" s="39">
        <f t="shared" si="23"/>
        <v>0</v>
      </c>
      <c r="AM300" s="39">
        <f t="shared" si="24"/>
        <v>0</v>
      </c>
      <c r="AN300" s="39">
        <f t="shared" si="21"/>
        <v>0</v>
      </c>
      <c r="AO300" s="39">
        <f t="shared" si="22"/>
        <v>0</v>
      </c>
    </row>
    <row r="301" spans="1:41" x14ac:dyDescent="0.3">
      <c r="A301" s="20">
        <v>1000184670</v>
      </c>
      <c r="B301" s="4" t="s">
        <v>147</v>
      </c>
      <c r="C301" s="21">
        <v>1000186197</v>
      </c>
      <c r="D301" s="3" t="s">
        <v>166</v>
      </c>
      <c r="E301" s="20">
        <v>1000184758</v>
      </c>
      <c r="F301" s="4" t="s">
        <v>55</v>
      </c>
      <c r="G301" s="21">
        <v>1000189786</v>
      </c>
      <c r="H301" s="3" t="s">
        <v>104</v>
      </c>
      <c r="I301" s="21">
        <v>1000195872</v>
      </c>
      <c r="J301" s="3" t="s">
        <v>161</v>
      </c>
      <c r="K301" s="20" t="s">
        <v>23</v>
      </c>
      <c r="L301" s="39">
        <v>0</v>
      </c>
      <c r="M301" s="39">
        <v>0</v>
      </c>
      <c r="N301" s="39">
        <v>0</v>
      </c>
      <c r="O301" s="39">
        <v>0</v>
      </c>
      <c r="P301" s="39">
        <v>0</v>
      </c>
      <c r="Q301" s="39">
        <v>0</v>
      </c>
      <c r="R301" s="39">
        <v>0</v>
      </c>
      <c r="S301" s="39">
        <v>0</v>
      </c>
      <c r="T301" s="39">
        <v>0</v>
      </c>
      <c r="U301" s="39">
        <v>0</v>
      </c>
      <c r="V301" s="39">
        <v>0</v>
      </c>
      <c r="W301" s="39">
        <v>0</v>
      </c>
      <c r="X301" s="39">
        <v>0</v>
      </c>
      <c r="Y301" s="39">
        <v>0</v>
      </c>
      <c r="Z301" s="39">
        <v>0</v>
      </c>
      <c r="AA301" s="39">
        <v>0</v>
      </c>
      <c r="AB301" s="39">
        <v>0</v>
      </c>
      <c r="AC301" s="39">
        <v>0</v>
      </c>
      <c r="AD301" s="39">
        <v>0</v>
      </c>
      <c r="AE301" s="39">
        <v>0</v>
      </c>
      <c r="AF301" s="39">
        <v>0</v>
      </c>
      <c r="AG301" s="39">
        <v>0</v>
      </c>
      <c r="AH301" s="39"/>
      <c r="AI301" s="39"/>
      <c r="AJ301" s="40"/>
      <c r="AK301" s="39">
        <f t="shared" si="20"/>
        <v>0</v>
      </c>
      <c r="AL301" s="39">
        <f t="shared" si="23"/>
        <v>0</v>
      </c>
      <c r="AM301" s="39">
        <f t="shared" si="24"/>
        <v>0</v>
      </c>
      <c r="AN301" s="39">
        <f t="shared" si="21"/>
        <v>0</v>
      </c>
      <c r="AO301" s="39">
        <f t="shared" si="22"/>
        <v>0</v>
      </c>
    </row>
    <row r="302" spans="1:41" x14ac:dyDescent="0.3">
      <c r="A302" s="20">
        <v>1000184670</v>
      </c>
      <c r="B302" s="4" t="s">
        <v>147</v>
      </c>
      <c r="C302" s="21">
        <v>1000186197</v>
      </c>
      <c r="D302" s="3" t="s">
        <v>166</v>
      </c>
      <c r="E302" s="20">
        <v>1000184758</v>
      </c>
      <c r="F302" s="4" t="s">
        <v>55</v>
      </c>
      <c r="G302" s="21">
        <v>1000189786</v>
      </c>
      <c r="H302" s="3" t="s">
        <v>104</v>
      </c>
      <c r="I302" s="21">
        <v>1000195872</v>
      </c>
      <c r="J302" s="3" t="s">
        <v>161</v>
      </c>
      <c r="K302" s="20" t="s">
        <v>28</v>
      </c>
      <c r="L302" s="39">
        <v>0</v>
      </c>
      <c r="M302" s="39">
        <v>0</v>
      </c>
      <c r="N302" s="39">
        <v>0</v>
      </c>
      <c r="O302" s="39">
        <v>0</v>
      </c>
      <c r="P302" s="39">
        <v>0</v>
      </c>
      <c r="Q302" s="39">
        <v>0</v>
      </c>
      <c r="R302" s="39">
        <v>0</v>
      </c>
      <c r="S302" s="39">
        <v>0</v>
      </c>
      <c r="T302" s="39">
        <v>0</v>
      </c>
      <c r="U302" s="39">
        <v>0</v>
      </c>
      <c r="V302" s="39">
        <v>0</v>
      </c>
      <c r="W302" s="39">
        <v>0</v>
      </c>
      <c r="X302" s="39">
        <v>0</v>
      </c>
      <c r="Y302" s="39">
        <v>0</v>
      </c>
      <c r="Z302" s="39">
        <v>0</v>
      </c>
      <c r="AA302" s="39">
        <v>0</v>
      </c>
      <c r="AB302" s="39">
        <v>0</v>
      </c>
      <c r="AC302" s="39">
        <v>0</v>
      </c>
      <c r="AD302" s="39">
        <v>0</v>
      </c>
      <c r="AE302" s="39">
        <v>0</v>
      </c>
      <c r="AF302" s="39">
        <v>0</v>
      </c>
      <c r="AG302" s="39">
        <v>0</v>
      </c>
      <c r="AH302" s="39"/>
      <c r="AI302" s="39"/>
      <c r="AJ302" s="40"/>
      <c r="AK302" s="39">
        <f t="shared" si="20"/>
        <v>0</v>
      </c>
      <c r="AL302" s="39">
        <f t="shared" si="23"/>
        <v>0</v>
      </c>
      <c r="AM302" s="39">
        <f t="shared" si="24"/>
        <v>0</v>
      </c>
      <c r="AN302" s="39">
        <f t="shared" si="21"/>
        <v>0</v>
      </c>
      <c r="AO302" s="39">
        <f t="shared" si="22"/>
        <v>0</v>
      </c>
    </row>
    <row r="303" spans="1:41" x14ac:dyDescent="0.3">
      <c r="A303" s="20">
        <v>1000184670</v>
      </c>
      <c r="B303" s="4" t="s">
        <v>147</v>
      </c>
      <c r="C303" s="21">
        <v>1000186197</v>
      </c>
      <c r="D303" s="3" t="s">
        <v>166</v>
      </c>
      <c r="E303" s="20">
        <v>1000184758</v>
      </c>
      <c r="F303" s="4" t="s">
        <v>55</v>
      </c>
      <c r="G303" s="21">
        <v>1000189786</v>
      </c>
      <c r="H303" s="3" t="s">
        <v>104</v>
      </c>
      <c r="I303" s="21">
        <v>1000195872</v>
      </c>
      <c r="J303" s="3" t="s">
        <v>161</v>
      </c>
      <c r="K303" s="20" t="s">
        <v>26</v>
      </c>
      <c r="L303" s="39">
        <v>0</v>
      </c>
      <c r="M303" s="39">
        <v>0</v>
      </c>
      <c r="N303" s="39">
        <v>0</v>
      </c>
      <c r="O303" s="39">
        <v>0</v>
      </c>
      <c r="P303" s="39">
        <v>0</v>
      </c>
      <c r="Q303" s="39">
        <v>0</v>
      </c>
      <c r="R303" s="39">
        <v>0</v>
      </c>
      <c r="S303" s="39">
        <v>0</v>
      </c>
      <c r="T303" s="39">
        <v>0</v>
      </c>
      <c r="U303" s="39">
        <v>0</v>
      </c>
      <c r="V303" s="39">
        <v>0</v>
      </c>
      <c r="W303" s="39">
        <v>0</v>
      </c>
      <c r="X303" s="39">
        <v>0</v>
      </c>
      <c r="Y303" s="39">
        <v>0</v>
      </c>
      <c r="Z303" s="39">
        <v>0</v>
      </c>
      <c r="AA303" s="39">
        <v>330.66</v>
      </c>
      <c r="AB303" s="39">
        <v>0</v>
      </c>
      <c r="AC303" s="39">
        <v>0</v>
      </c>
      <c r="AD303" s="39">
        <v>0</v>
      </c>
      <c r="AE303" s="39">
        <v>0</v>
      </c>
      <c r="AF303" s="39">
        <v>0</v>
      </c>
      <c r="AG303" s="39">
        <v>0</v>
      </c>
      <c r="AH303" s="39"/>
      <c r="AI303" s="39"/>
      <c r="AJ303" s="40"/>
      <c r="AK303" s="39">
        <f t="shared" si="20"/>
        <v>0</v>
      </c>
      <c r="AL303" s="39">
        <f t="shared" si="23"/>
        <v>27.555000000000003</v>
      </c>
      <c r="AM303" s="39">
        <f t="shared" si="24"/>
        <v>0</v>
      </c>
      <c r="AN303" s="39">
        <f t="shared" si="21"/>
        <v>33.066000000000003</v>
      </c>
      <c r="AO303" s="39">
        <f t="shared" si="22"/>
        <v>330.66</v>
      </c>
    </row>
    <row r="304" spans="1:41" x14ac:dyDescent="0.3">
      <c r="A304" s="20">
        <v>1000184670</v>
      </c>
      <c r="B304" s="4" t="s">
        <v>147</v>
      </c>
      <c r="C304" s="21">
        <v>1000186197</v>
      </c>
      <c r="D304" s="3" t="s">
        <v>166</v>
      </c>
      <c r="E304" s="20">
        <v>1000184758</v>
      </c>
      <c r="F304" s="4" t="s">
        <v>55</v>
      </c>
      <c r="G304" s="21">
        <v>1000189786</v>
      </c>
      <c r="H304" s="3" t="s">
        <v>104</v>
      </c>
      <c r="I304" s="21">
        <v>1000195872</v>
      </c>
      <c r="J304" s="3" t="s">
        <v>161</v>
      </c>
      <c r="K304" s="20" t="s">
        <v>27</v>
      </c>
      <c r="L304" s="39">
        <v>0</v>
      </c>
      <c r="M304" s="39">
        <v>0</v>
      </c>
      <c r="N304" s="39">
        <v>0</v>
      </c>
      <c r="O304" s="39">
        <v>0</v>
      </c>
      <c r="P304" s="39">
        <v>0</v>
      </c>
      <c r="Q304" s="39">
        <v>0</v>
      </c>
      <c r="R304" s="39">
        <v>0</v>
      </c>
      <c r="S304" s="39">
        <v>0</v>
      </c>
      <c r="T304" s="39">
        <v>0</v>
      </c>
      <c r="U304" s="39">
        <v>0</v>
      </c>
      <c r="V304" s="39">
        <v>0</v>
      </c>
      <c r="W304" s="39">
        <v>0</v>
      </c>
      <c r="X304" s="39">
        <v>0</v>
      </c>
      <c r="Y304" s="39">
        <v>0</v>
      </c>
      <c r="Z304" s="39">
        <v>0</v>
      </c>
      <c r="AA304" s="39">
        <v>0</v>
      </c>
      <c r="AB304" s="39">
        <v>0</v>
      </c>
      <c r="AC304" s="39">
        <v>0</v>
      </c>
      <c r="AD304" s="39">
        <v>0</v>
      </c>
      <c r="AE304" s="39">
        <v>0</v>
      </c>
      <c r="AF304" s="39">
        <v>0</v>
      </c>
      <c r="AG304" s="39">
        <v>0</v>
      </c>
      <c r="AH304" s="39"/>
      <c r="AI304" s="39"/>
      <c r="AJ304" s="40"/>
      <c r="AK304" s="39">
        <f t="shared" ref="AK304:AK367" si="25">AVERAGE(L304:W304)</f>
        <v>0</v>
      </c>
      <c r="AL304" s="39">
        <f t="shared" si="23"/>
        <v>0</v>
      </c>
      <c r="AM304" s="39">
        <f t="shared" si="24"/>
        <v>0</v>
      </c>
      <c r="AN304" s="39">
        <f t="shared" ref="AN304:AN367" si="26">AVERAGE(X304:AI304)</f>
        <v>0</v>
      </c>
      <c r="AO304" s="39">
        <f t="shared" ref="AO304:AO367" si="27">SUM(X304:AI304)</f>
        <v>0</v>
      </c>
    </row>
    <row r="305" spans="1:41" x14ac:dyDescent="0.3">
      <c r="A305" s="20">
        <v>1000184670</v>
      </c>
      <c r="B305" s="4" t="s">
        <v>147</v>
      </c>
      <c r="C305" s="21">
        <v>1000186197</v>
      </c>
      <c r="D305" s="3" t="s">
        <v>166</v>
      </c>
      <c r="E305" s="20">
        <v>1000184758</v>
      </c>
      <c r="F305" s="4" t="s">
        <v>55</v>
      </c>
      <c r="G305" s="21">
        <v>1000189786</v>
      </c>
      <c r="H305" s="3" t="s">
        <v>104</v>
      </c>
      <c r="I305" s="21">
        <v>1000195872</v>
      </c>
      <c r="J305" s="3" t="s">
        <v>161</v>
      </c>
      <c r="K305" s="20" t="s">
        <v>25</v>
      </c>
      <c r="L305" s="39">
        <v>0</v>
      </c>
      <c r="M305" s="39">
        <v>0</v>
      </c>
      <c r="N305" s="39">
        <v>0</v>
      </c>
      <c r="O305" s="39">
        <v>0</v>
      </c>
      <c r="P305" s="39">
        <v>0</v>
      </c>
      <c r="Q305" s="39">
        <v>0</v>
      </c>
      <c r="R305" s="39">
        <v>0</v>
      </c>
      <c r="S305" s="39">
        <v>0</v>
      </c>
      <c r="T305" s="39">
        <v>0</v>
      </c>
      <c r="U305" s="39">
        <v>0</v>
      </c>
      <c r="V305" s="39">
        <v>0</v>
      </c>
      <c r="W305" s="39">
        <v>0</v>
      </c>
      <c r="X305" s="39">
        <v>0</v>
      </c>
      <c r="Y305" s="39">
        <v>0</v>
      </c>
      <c r="Z305" s="39">
        <v>0</v>
      </c>
      <c r="AA305" s="39">
        <v>0</v>
      </c>
      <c r="AB305" s="39">
        <v>0</v>
      </c>
      <c r="AC305" s="39">
        <v>0</v>
      </c>
      <c r="AD305" s="39">
        <v>0</v>
      </c>
      <c r="AE305" s="39">
        <v>0</v>
      </c>
      <c r="AF305" s="39">
        <v>0</v>
      </c>
      <c r="AG305" s="39">
        <v>0</v>
      </c>
      <c r="AH305" s="39"/>
      <c r="AI305" s="39"/>
      <c r="AJ305" s="40"/>
      <c r="AK305" s="39">
        <f t="shared" si="25"/>
        <v>0</v>
      </c>
      <c r="AL305" s="39">
        <f t="shared" si="23"/>
        <v>0</v>
      </c>
      <c r="AM305" s="39">
        <f t="shared" si="24"/>
        <v>0</v>
      </c>
      <c r="AN305" s="39">
        <f t="shared" si="26"/>
        <v>0</v>
      </c>
      <c r="AO305" s="39">
        <f t="shared" si="27"/>
        <v>0</v>
      </c>
    </row>
    <row r="306" spans="1:41" x14ac:dyDescent="0.3">
      <c r="A306" s="20">
        <v>1000184670</v>
      </c>
      <c r="B306" s="4" t="s">
        <v>147</v>
      </c>
      <c r="C306" s="21">
        <v>1000186198</v>
      </c>
      <c r="D306" s="3" t="s">
        <v>168</v>
      </c>
      <c r="E306" s="20">
        <v>1000185288</v>
      </c>
      <c r="F306" s="4" t="s">
        <v>64</v>
      </c>
      <c r="G306" s="21">
        <v>1000189793</v>
      </c>
      <c r="H306" s="3" t="s">
        <v>85</v>
      </c>
      <c r="I306" s="21">
        <v>1000189763</v>
      </c>
      <c r="J306" s="3" t="s">
        <v>156</v>
      </c>
      <c r="K306" s="20" t="s">
        <v>124</v>
      </c>
      <c r="L306" s="39">
        <v>0</v>
      </c>
      <c r="M306" s="39">
        <v>0</v>
      </c>
      <c r="N306" s="39">
        <v>0</v>
      </c>
      <c r="O306" s="39">
        <v>0</v>
      </c>
      <c r="P306" s="39">
        <v>0</v>
      </c>
      <c r="Q306" s="39">
        <v>0</v>
      </c>
      <c r="R306" s="39">
        <v>0</v>
      </c>
      <c r="S306" s="39">
        <v>0</v>
      </c>
      <c r="T306" s="39">
        <v>0</v>
      </c>
      <c r="U306" s="39">
        <v>0</v>
      </c>
      <c r="V306" s="39">
        <v>0</v>
      </c>
      <c r="W306" s="39">
        <v>0</v>
      </c>
      <c r="X306" s="39">
        <v>0</v>
      </c>
      <c r="Y306" s="39">
        <v>0</v>
      </c>
      <c r="Z306" s="39">
        <v>0</v>
      </c>
      <c r="AA306" s="39">
        <v>0</v>
      </c>
      <c r="AB306" s="39">
        <v>0</v>
      </c>
      <c r="AC306" s="39">
        <v>0</v>
      </c>
      <c r="AD306" s="39">
        <v>0</v>
      </c>
      <c r="AE306" s="39">
        <v>0</v>
      </c>
      <c r="AF306" s="39">
        <v>0</v>
      </c>
      <c r="AG306" s="39">
        <v>0</v>
      </c>
      <c r="AH306" s="39"/>
      <c r="AI306" s="39"/>
      <c r="AJ306" s="40"/>
      <c r="AK306" s="39">
        <f t="shared" si="25"/>
        <v>0</v>
      </c>
      <c r="AL306" s="39">
        <f t="shared" si="23"/>
        <v>0</v>
      </c>
      <c r="AM306" s="39">
        <f t="shared" si="24"/>
        <v>0</v>
      </c>
      <c r="AN306" s="39">
        <f t="shared" si="26"/>
        <v>0</v>
      </c>
      <c r="AO306" s="39">
        <f t="shared" si="27"/>
        <v>0</v>
      </c>
    </row>
    <row r="307" spans="1:41" x14ac:dyDescent="0.3">
      <c r="A307" s="20">
        <v>1000184670</v>
      </c>
      <c r="B307" s="4" t="s">
        <v>147</v>
      </c>
      <c r="C307" s="21">
        <v>1000186198</v>
      </c>
      <c r="D307" s="3" t="s">
        <v>168</v>
      </c>
      <c r="E307" s="20">
        <v>1000185288</v>
      </c>
      <c r="F307" s="4" t="s">
        <v>64</v>
      </c>
      <c r="G307" s="21">
        <v>1000189793</v>
      </c>
      <c r="H307" s="3" t="s">
        <v>85</v>
      </c>
      <c r="I307" s="21">
        <v>1000189763</v>
      </c>
      <c r="J307" s="3" t="s">
        <v>156</v>
      </c>
      <c r="K307" s="20" t="s">
        <v>13</v>
      </c>
      <c r="L307" s="39">
        <v>0</v>
      </c>
      <c r="M307" s="39">
        <v>0</v>
      </c>
      <c r="N307" s="39">
        <v>0</v>
      </c>
      <c r="O307" s="39">
        <v>0</v>
      </c>
      <c r="P307" s="39">
        <v>0</v>
      </c>
      <c r="Q307" s="39">
        <v>0</v>
      </c>
      <c r="R307" s="39">
        <v>0</v>
      </c>
      <c r="S307" s="39">
        <v>0</v>
      </c>
      <c r="T307" s="39">
        <v>0</v>
      </c>
      <c r="U307" s="39">
        <v>0</v>
      </c>
      <c r="V307" s="39">
        <v>0</v>
      </c>
      <c r="W307" s="39">
        <v>0</v>
      </c>
      <c r="X307" s="39">
        <v>0</v>
      </c>
      <c r="Y307" s="39">
        <v>0</v>
      </c>
      <c r="Z307" s="39">
        <v>0</v>
      </c>
      <c r="AA307" s="39">
        <v>0</v>
      </c>
      <c r="AB307" s="39">
        <v>1302.3599999999999</v>
      </c>
      <c r="AC307" s="39">
        <v>0</v>
      </c>
      <c r="AD307" s="39">
        <v>0</v>
      </c>
      <c r="AE307" s="39">
        <v>0</v>
      </c>
      <c r="AF307" s="39">
        <v>0</v>
      </c>
      <c r="AG307" s="39">
        <v>0</v>
      </c>
      <c r="AH307" s="39"/>
      <c r="AI307" s="39"/>
      <c r="AJ307" s="40"/>
      <c r="AK307" s="39">
        <f t="shared" si="25"/>
        <v>0</v>
      </c>
      <c r="AL307" s="39">
        <f t="shared" si="23"/>
        <v>108.52999999999999</v>
      </c>
      <c r="AM307" s="39">
        <f t="shared" si="24"/>
        <v>217.05999999999997</v>
      </c>
      <c r="AN307" s="39">
        <f t="shared" si="26"/>
        <v>130.23599999999999</v>
      </c>
      <c r="AO307" s="39">
        <f t="shared" si="27"/>
        <v>1302.3599999999999</v>
      </c>
    </row>
    <row r="308" spans="1:41" x14ac:dyDescent="0.3">
      <c r="A308" s="20">
        <v>1000184670</v>
      </c>
      <c r="B308" s="4" t="s">
        <v>147</v>
      </c>
      <c r="C308" s="21">
        <v>1000186198</v>
      </c>
      <c r="D308" s="3" t="s">
        <v>168</v>
      </c>
      <c r="E308" s="20">
        <v>1000185288</v>
      </c>
      <c r="F308" s="4" t="s">
        <v>64</v>
      </c>
      <c r="G308" s="21">
        <v>1000189793</v>
      </c>
      <c r="H308" s="3" t="s">
        <v>85</v>
      </c>
      <c r="I308" s="21">
        <v>1000189763</v>
      </c>
      <c r="J308" s="3" t="s">
        <v>156</v>
      </c>
      <c r="K308" s="20" t="s">
        <v>14</v>
      </c>
      <c r="L308" s="39">
        <v>0</v>
      </c>
      <c r="M308" s="39">
        <v>0</v>
      </c>
      <c r="N308" s="39">
        <v>0</v>
      </c>
      <c r="O308" s="39">
        <v>0</v>
      </c>
      <c r="P308" s="39">
        <v>0</v>
      </c>
      <c r="Q308" s="39">
        <v>0</v>
      </c>
      <c r="R308" s="39">
        <v>0</v>
      </c>
      <c r="S308" s="39">
        <v>0</v>
      </c>
      <c r="T308" s="39">
        <v>0</v>
      </c>
      <c r="U308" s="39">
        <v>0</v>
      </c>
      <c r="V308" s="39">
        <v>0</v>
      </c>
      <c r="W308" s="39">
        <v>0</v>
      </c>
      <c r="X308" s="39">
        <v>0</v>
      </c>
      <c r="Y308" s="39">
        <v>0</v>
      </c>
      <c r="Z308" s="39">
        <v>0</v>
      </c>
      <c r="AA308" s="39">
        <v>0</v>
      </c>
      <c r="AB308" s="39">
        <v>1086</v>
      </c>
      <c r="AC308" s="39">
        <v>0</v>
      </c>
      <c r="AD308" s="39">
        <v>0</v>
      </c>
      <c r="AE308" s="39">
        <v>0</v>
      </c>
      <c r="AF308" s="39">
        <v>0</v>
      </c>
      <c r="AG308" s="39">
        <v>0</v>
      </c>
      <c r="AH308" s="39"/>
      <c r="AI308" s="39"/>
      <c r="AJ308" s="40"/>
      <c r="AK308" s="39">
        <f t="shared" si="25"/>
        <v>0</v>
      </c>
      <c r="AL308" s="39">
        <f t="shared" si="23"/>
        <v>90.5</v>
      </c>
      <c r="AM308" s="39">
        <f t="shared" si="24"/>
        <v>181</v>
      </c>
      <c r="AN308" s="39">
        <f t="shared" si="26"/>
        <v>108.6</v>
      </c>
      <c r="AO308" s="39">
        <f t="shared" si="27"/>
        <v>1086</v>
      </c>
    </row>
    <row r="309" spans="1:41" x14ac:dyDescent="0.3">
      <c r="A309" s="20">
        <v>1000184670</v>
      </c>
      <c r="B309" s="4" t="s">
        <v>147</v>
      </c>
      <c r="C309" s="21">
        <v>1000186198</v>
      </c>
      <c r="D309" s="3" t="s">
        <v>168</v>
      </c>
      <c r="E309" s="20">
        <v>1000185288</v>
      </c>
      <c r="F309" s="4" t="s">
        <v>64</v>
      </c>
      <c r="G309" s="21">
        <v>1000189793</v>
      </c>
      <c r="H309" s="3" t="s">
        <v>85</v>
      </c>
      <c r="I309" s="21">
        <v>1000189763</v>
      </c>
      <c r="J309" s="3" t="s">
        <v>156</v>
      </c>
      <c r="K309" s="20" t="s">
        <v>16</v>
      </c>
      <c r="L309" s="39">
        <v>0</v>
      </c>
      <c r="M309" s="39">
        <v>0</v>
      </c>
      <c r="N309" s="39">
        <v>0</v>
      </c>
      <c r="O309" s="39">
        <v>0</v>
      </c>
      <c r="P309" s="39">
        <v>0</v>
      </c>
      <c r="Q309" s="39">
        <v>0</v>
      </c>
      <c r="R309" s="39">
        <v>0</v>
      </c>
      <c r="S309" s="39">
        <v>0</v>
      </c>
      <c r="T309" s="39">
        <v>0</v>
      </c>
      <c r="U309" s="39">
        <v>0</v>
      </c>
      <c r="V309" s="39">
        <v>0</v>
      </c>
      <c r="W309" s="39">
        <v>0</v>
      </c>
      <c r="X309" s="39">
        <v>0</v>
      </c>
      <c r="Y309" s="39">
        <v>0</v>
      </c>
      <c r="Z309" s="39">
        <v>0</v>
      </c>
      <c r="AA309" s="39">
        <v>0</v>
      </c>
      <c r="AB309" s="39">
        <v>1011.8</v>
      </c>
      <c r="AC309" s="39">
        <v>0</v>
      </c>
      <c r="AD309" s="39">
        <v>0</v>
      </c>
      <c r="AE309" s="39">
        <v>0</v>
      </c>
      <c r="AF309" s="39">
        <v>0</v>
      </c>
      <c r="AG309" s="39">
        <v>0</v>
      </c>
      <c r="AH309" s="39"/>
      <c r="AI309" s="39"/>
      <c r="AJ309" s="40"/>
      <c r="AK309" s="39">
        <f t="shared" si="25"/>
        <v>0</v>
      </c>
      <c r="AL309" s="39">
        <f t="shared" si="23"/>
        <v>84.316666666666663</v>
      </c>
      <c r="AM309" s="39">
        <f t="shared" si="24"/>
        <v>168.63333333333333</v>
      </c>
      <c r="AN309" s="39">
        <f t="shared" si="26"/>
        <v>101.17999999999999</v>
      </c>
      <c r="AO309" s="39">
        <f t="shared" si="27"/>
        <v>1011.8</v>
      </c>
    </row>
    <row r="310" spans="1:41" x14ac:dyDescent="0.3">
      <c r="A310" s="20">
        <v>1000184670</v>
      </c>
      <c r="B310" s="4" t="s">
        <v>147</v>
      </c>
      <c r="C310" s="21">
        <v>1000186198</v>
      </c>
      <c r="D310" s="3" t="s">
        <v>168</v>
      </c>
      <c r="E310" s="20">
        <v>1000185288</v>
      </c>
      <c r="F310" s="4" t="s">
        <v>64</v>
      </c>
      <c r="G310" s="21">
        <v>1000189793</v>
      </c>
      <c r="H310" s="3" t="s">
        <v>85</v>
      </c>
      <c r="I310" s="21">
        <v>1000189763</v>
      </c>
      <c r="J310" s="3" t="s">
        <v>156</v>
      </c>
      <c r="K310" s="20" t="s">
        <v>15</v>
      </c>
      <c r="L310" s="39">
        <v>0</v>
      </c>
      <c r="M310" s="39">
        <v>0</v>
      </c>
      <c r="N310" s="39">
        <v>0</v>
      </c>
      <c r="O310" s="39">
        <v>0</v>
      </c>
      <c r="P310" s="39">
        <v>0</v>
      </c>
      <c r="Q310" s="39">
        <v>0</v>
      </c>
      <c r="R310" s="39">
        <v>0</v>
      </c>
      <c r="S310" s="39">
        <v>0</v>
      </c>
      <c r="T310" s="39">
        <v>0</v>
      </c>
      <c r="U310" s="39">
        <v>0</v>
      </c>
      <c r="V310" s="39">
        <v>0</v>
      </c>
      <c r="W310" s="39">
        <v>0</v>
      </c>
      <c r="X310" s="39">
        <v>0</v>
      </c>
      <c r="Y310" s="39">
        <v>0</v>
      </c>
      <c r="Z310" s="39">
        <v>0</v>
      </c>
      <c r="AA310" s="39">
        <v>0</v>
      </c>
      <c r="AB310" s="39">
        <v>735.57</v>
      </c>
      <c r="AC310" s="39">
        <v>0</v>
      </c>
      <c r="AD310" s="39">
        <v>0</v>
      </c>
      <c r="AE310" s="39">
        <v>0</v>
      </c>
      <c r="AF310" s="39">
        <v>0</v>
      </c>
      <c r="AG310" s="39">
        <v>0</v>
      </c>
      <c r="AH310" s="39"/>
      <c r="AI310" s="39"/>
      <c r="AJ310" s="40"/>
      <c r="AK310" s="39">
        <f t="shared" si="25"/>
        <v>0</v>
      </c>
      <c r="AL310" s="39">
        <f t="shared" si="23"/>
        <v>61.297500000000007</v>
      </c>
      <c r="AM310" s="39">
        <f t="shared" si="24"/>
        <v>122.59500000000001</v>
      </c>
      <c r="AN310" s="39">
        <f t="shared" si="26"/>
        <v>73.557000000000002</v>
      </c>
      <c r="AO310" s="39">
        <f t="shared" si="27"/>
        <v>735.57</v>
      </c>
    </row>
    <row r="311" spans="1:41" x14ac:dyDescent="0.3">
      <c r="A311" s="20">
        <v>1000184670</v>
      </c>
      <c r="B311" s="4" t="s">
        <v>147</v>
      </c>
      <c r="C311" s="21">
        <v>1000186198</v>
      </c>
      <c r="D311" s="3" t="s">
        <v>168</v>
      </c>
      <c r="E311" s="20">
        <v>1000185288</v>
      </c>
      <c r="F311" s="4" t="s">
        <v>64</v>
      </c>
      <c r="G311" s="21">
        <v>1000189793</v>
      </c>
      <c r="H311" s="3" t="s">
        <v>85</v>
      </c>
      <c r="I311" s="21">
        <v>1000189763</v>
      </c>
      <c r="J311" s="3" t="s">
        <v>156</v>
      </c>
      <c r="K311" s="20" t="s">
        <v>33</v>
      </c>
      <c r="L311" s="39">
        <v>0</v>
      </c>
      <c r="M311" s="39">
        <v>0</v>
      </c>
      <c r="N311" s="39">
        <v>0</v>
      </c>
      <c r="O311" s="39">
        <v>0</v>
      </c>
      <c r="P311" s="39">
        <v>0</v>
      </c>
      <c r="Q311" s="39">
        <v>0</v>
      </c>
      <c r="R311" s="39">
        <v>0</v>
      </c>
      <c r="S311" s="39">
        <v>0</v>
      </c>
      <c r="T311" s="39">
        <v>0</v>
      </c>
      <c r="U311" s="39">
        <v>0</v>
      </c>
      <c r="V311" s="39">
        <v>0</v>
      </c>
      <c r="W311" s="39">
        <v>0</v>
      </c>
      <c r="X311" s="39">
        <v>0</v>
      </c>
      <c r="Y311" s="39">
        <v>0</v>
      </c>
      <c r="Z311" s="39">
        <v>0</v>
      </c>
      <c r="AA311" s="39">
        <v>0</v>
      </c>
      <c r="AB311" s="39">
        <v>0</v>
      </c>
      <c r="AC311" s="39">
        <v>0</v>
      </c>
      <c r="AD311" s="39">
        <v>0</v>
      </c>
      <c r="AE311" s="39">
        <v>0</v>
      </c>
      <c r="AF311" s="39">
        <v>0</v>
      </c>
      <c r="AG311" s="39">
        <v>0</v>
      </c>
      <c r="AH311" s="39"/>
      <c r="AI311" s="39"/>
      <c r="AJ311" s="40"/>
      <c r="AK311" s="39">
        <f t="shared" si="25"/>
        <v>0</v>
      </c>
      <c r="AL311" s="39">
        <f t="shared" si="23"/>
        <v>0</v>
      </c>
      <c r="AM311" s="39">
        <f t="shared" si="24"/>
        <v>0</v>
      </c>
      <c r="AN311" s="39">
        <f t="shared" si="26"/>
        <v>0</v>
      </c>
      <c r="AO311" s="39">
        <f t="shared" si="27"/>
        <v>0</v>
      </c>
    </row>
    <row r="312" spans="1:41" x14ac:dyDescent="0.3">
      <c r="A312" s="20">
        <v>1000184670</v>
      </c>
      <c r="B312" s="4" t="s">
        <v>147</v>
      </c>
      <c r="C312" s="21">
        <v>1000186198</v>
      </c>
      <c r="D312" s="3" t="s">
        <v>168</v>
      </c>
      <c r="E312" s="20">
        <v>1000185288</v>
      </c>
      <c r="F312" s="4" t="s">
        <v>64</v>
      </c>
      <c r="G312" s="21">
        <v>1000189793</v>
      </c>
      <c r="H312" s="3" t="s">
        <v>85</v>
      </c>
      <c r="I312" s="21">
        <v>1000189763</v>
      </c>
      <c r="J312" s="3" t="s">
        <v>156</v>
      </c>
      <c r="K312" s="20" t="s">
        <v>19</v>
      </c>
      <c r="L312" s="39">
        <v>0</v>
      </c>
      <c r="M312" s="39">
        <v>0</v>
      </c>
      <c r="N312" s="39">
        <v>0</v>
      </c>
      <c r="O312" s="39">
        <v>0</v>
      </c>
      <c r="P312" s="39">
        <v>0</v>
      </c>
      <c r="Q312" s="39">
        <v>0</v>
      </c>
      <c r="R312" s="39">
        <v>0</v>
      </c>
      <c r="S312" s="39">
        <v>0</v>
      </c>
      <c r="T312" s="39">
        <v>0</v>
      </c>
      <c r="U312" s="39">
        <v>0</v>
      </c>
      <c r="V312" s="39">
        <v>0</v>
      </c>
      <c r="W312" s="39">
        <v>0</v>
      </c>
      <c r="X312" s="39">
        <v>0</v>
      </c>
      <c r="Y312" s="39">
        <v>0</v>
      </c>
      <c r="Z312" s="39">
        <v>0</v>
      </c>
      <c r="AA312" s="39">
        <v>0</v>
      </c>
      <c r="AB312" s="39">
        <v>144</v>
      </c>
      <c r="AC312" s="39">
        <v>0</v>
      </c>
      <c r="AD312" s="39">
        <v>0</v>
      </c>
      <c r="AE312" s="39">
        <v>0</v>
      </c>
      <c r="AF312" s="39">
        <v>0</v>
      </c>
      <c r="AG312" s="39">
        <v>0</v>
      </c>
      <c r="AH312" s="39"/>
      <c r="AI312" s="39"/>
      <c r="AJ312" s="40"/>
      <c r="AK312" s="39">
        <f t="shared" si="25"/>
        <v>0</v>
      </c>
      <c r="AL312" s="39">
        <f t="shared" si="23"/>
        <v>12</v>
      </c>
      <c r="AM312" s="39">
        <f t="shared" si="24"/>
        <v>24</v>
      </c>
      <c r="AN312" s="39">
        <f t="shared" si="26"/>
        <v>14.4</v>
      </c>
      <c r="AO312" s="39">
        <f t="shared" si="27"/>
        <v>144</v>
      </c>
    </row>
    <row r="313" spans="1:41" x14ac:dyDescent="0.3">
      <c r="A313" s="20">
        <v>1000184670</v>
      </c>
      <c r="B313" s="4" t="s">
        <v>147</v>
      </c>
      <c r="C313" s="21">
        <v>1000186198</v>
      </c>
      <c r="D313" s="3" t="s">
        <v>168</v>
      </c>
      <c r="E313" s="20">
        <v>1000185288</v>
      </c>
      <c r="F313" s="4" t="s">
        <v>64</v>
      </c>
      <c r="G313" s="21">
        <v>1000189793</v>
      </c>
      <c r="H313" s="3" t="s">
        <v>85</v>
      </c>
      <c r="I313" s="21">
        <v>1000189763</v>
      </c>
      <c r="J313" s="3" t="s">
        <v>156</v>
      </c>
      <c r="K313" s="20" t="s">
        <v>17</v>
      </c>
      <c r="L313" s="39">
        <v>0</v>
      </c>
      <c r="M313" s="39">
        <v>0</v>
      </c>
      <c r="N313" s="39">
        <v>0</v>
      </c>
      <c r="O313" s="39">
        <v>0</v>
      </c>
      <c r="P313" s="39">
        <v>0</v>
      </c>
      <c r="Q313" s="39">
        <v>0</v>
      </c>
      <c r="R313" s="39">
        <v>0</v>
      </c>
      <c r="S313" s="39">
        <v>0</v>
      </c>
      <c r="T313" s="39">
        <v>0</v>
      </c>
      <c r="U313" s="39">
        <v>0</v>
      </c>
      <c r="V313" s="39">
        <v>0</v>
      </c>
      <c r="W313" s="39">
        <v>0</v>
      </c>
      <c r="X313" s="39">
        <v>0</v>
      </c>
      <c r="Y313" s="39">
        <v>0</v>
      </c>
      <c r="Z313" s="39">
        <v>0</v>
      </c>
      <c r="AA313" s="39">
        <v>0</v>
      </c>
      <c r="AB313" s="39">
        <v>84.72</v>
      </c>
      <c r="AC313" s="39">
        <v>0</v>
      </c>
      <c r="AD313" s="39">
        <v>0</v>
      </c>
      <c r="AE313" s="39">
        <v>0</v>
      </c>
      <c r="AF313" s="39">
        <v>0</v>
      </c>
      <c r="AG313" s="39">
        <v>0</v>
      </c>
      <c r="AH313" s="39"/>
      <c r="AI313" s="39"/>
      <c r="AJ313" s="40"/>
      <c r="AK313" s="39">
        <f t="shared" si="25"/>
        <v>0</v>
      </c>
      <c r="AL313" s="39">
        <f t="shared" si="23"/>
        <v>7.06</v>
      </c>
      <c r="AM313" s="39">
        <f t="shared" si="24"/>
        <v>14.12</v>
      </c>
      <c r="AN313" s="39">
        <f t="shared" si="26"/>
        <v>8.4719999999999995</v>
      </c>
      <c r="AO313" s="39">
        <f t="shared" si="27"/>
        <v>84.72</v>
      </c>
    </row>
    <row r="314" spans="1:41" x14ac:dyDescent="0.3">
      <c r="A314" s="20">
        <v>1000184670</v>
      </c>
      <c r="B314" s="4" t="s">
        <v>147</v>
      </c>
      <c r="C314" s="21">
        <v>1000186198</v>
      </c>
      <c r="D314" s="3" t="s">
        <v>168</v>
      </c>
      <c r="E314" s="20">
        <v>1000185288</v>
      </c>
      <c r="F314" s="4" t="s">
        <v>64</v>
      </c>
      <c r="G314" s="21">
        <v>1000189793</v>
      </c>
      <c r="H314" s="3" t="s">
        <v>85</v>
      </c>
      <c r="I314" s="21">
        <v>1000189763</v>
      </c>
      <c r="J314" s="3" t="s">
        <v>156</v>
      </c>
      <c r="K314" s="20" t="s">
        <v>24</v>
      </c>
      <c r="L314" s="39">
        <v>0</v>
      </c>
      <c r="M314" s="39">
        <v>0</v>
      </c>
      <c r="N314" s="39">
        <v>0</v>
      </c>
      <c r="O314" s="39">
        <v>0</v>
      </c>
      <c r="P314" s="39">
        <v>0</v>
      </c>
      <c r="Q314" s="39">
        <v>0</v>
      </c>
      <c r="R314" s="39">
        <v>0</v>
      </c>
      <c r="S314" s="39">
        <v>0</v>
      </c>
      <c r="T314" s="39">
        <v>0</v>
      </c>
      <c r="U314" s="39">
        <v>0</v>
      </c>
      <c r="V314" s="39">
        <v>0</v>
      </c>
      <c r="W314" s="39">
        <v>0</v>
      </c>
      <c r="X314" s="39">
        <v>0</v>
      </c>
      <c r="Y314" s="39">
        <v>0</v>
      </c>
      <c r="Z314" s="39">
        <v>0</v>
      </c>
      <c r="AA314" s="39">
        <v>0</v>
      </c>
      <c r="AB314" s="39">
        <v>179.52</v>
      </c>
      <c r="AC314" s="39">
        <v>0</v>
      </c>
      <c r="AD314" s="39">
        <v>0</v>
      </c>
      <c r="AE314" s="39">
        <v>0</v>
      </c>
      <c r="AF314" s="39">
        <v>0</v>
      </c>
      <c r="AG314" s="39">
        <v>0</v>
      </c>
      <c r="AH314" s="39"/>
      <c r="AI314" s="39"/>
      <c r="AJ314" s="40"/>
      <c r="AK314" s="39">
        <f t="shared" si="25"/>
        <v>0</v>
      </c>
      <c r="AL314" s="39">
        <f t="shared" si="23"/>
        <v>14.96</v>
      </c>
      <c r="AM314" s="39">
        <f t="shared" si="24"/>
        <v>29.92</v>
      </c>
      <c r="AN314" s="39">
        <f t="shared" si="26"/>
        <v>17.952000000000002</v>
      </c>
      <c r="AO314" s="39">
        <f t="shared" si="27"/>
        <v>179.52</v>
      </c>
    </row>
    <row r="315" spans="1:41" x14ac:dyDescent="0.3">
      <c r="A315" s="20">
        <v>1000184670</v>
      </c>
      <c r="B315" s="4" t="s">
        <v>147</v>
      </c>
      <c r="C315" s="21">
        <v>1000186198</v>
      </c>
      <c r="D315" s="3" t="s">
        <v>168</v>
      </c>
      <c r="E315" s="20">
        <v>1000185288</v>
      </c>
      <c r="F315" s="4" t="s">
        <v>64</v>
      </c>
      <c r="G315" s="21">
        <v>1000189793</v>
      </c>
      <c r="H315" s="3" t="s">
        <v>85</v>
      </c>
      <c r="I315" s="21">
        <v>1000189763</v>
      </c>
      <c r="J315" s="3" t="s">
        <v>156</v>
      </c>
      <c r="K315" s="20" t="s">
        <v>18</v>
      </c>
      <c r="L315" s="39">
        <v>0</v>
      </c>
      <c r="M315" s="39">
        <v>0</v>
      </c>
      <c r="N315" s="39">
        <v>0</v>
      </c>
      <c r="O315" s="39">
        <v>0</v>
      </c>
      <c r="P315" s="39">
        <v>0</v>
      </c>
      <c r="Q315" s="39">
        <v>0</v>
      </c>
      <c r="R315" s="39">
        <v>0</v>
      </c>
      <c r="S315" s="39">
        <v>0</v>
      </c>
      <c r="T315" s="39">
        <v>0</v>
      </c>
      <c r="U315" s="39">
        <v>0</v>
      </c>
      <c r="V315" s="39">
        <v>0</v>
      </c>
      <c r="W315" s="39">
        <v>0</v>
      </c>
      <c r="X315" s="39">
        <v>0</v>
      </c>
      <c r="Y315" s="39">
        <v>0</v>
      </c>
      <c r="Z315" s="39">
        <v>0</v>
      </c>
      <c r="AA315" s="39">
        <v>0</v>
      </c>
      <c r="AB315" s="39">
        <v>646.79999999999995</v>
      </c>
      <c r="AC315" s="39">
        <v>0</v>
      </c>
      <c r="AD315" s="39">
        <v>0</v>
      </c>
      <c r="AE315" s="39">
        <v>0</v>
      </c>
      <c r="AF315" s="39">
        <v>0</v>
      </c>
      <c r="AG315" s="39">
        <v>0</v>
      </c>
      <c r="AH315" s="39"/>
      <c r="AI315" s="39"/>
      <c r="AJ315" s="40"/>
      <c r="AK315" s="39">
        <f t="shared" si="25"/>
        <v>0</v>
      </c>
      <c r="AL315" s="39">
        <f t="shared" si="23"/>
        <v>53.9</v>
      </c>
      <c r="AM315" s="39">
        <f t="shared" si="24"/>
        <v>107.8</v>
      </c>
      <c r="AN315" s="39">
        <f t="shared" si="26"/>
        <v>64.679999999999993</v>
      </c>
      <c r="AO315" s="39">
        <f t="shared" si="27"/>
        <v>646.79999999999995</v>
      </c>
    </row>
    <row r="316" spans="1:41" x14ac:dyDescent="0.3">
      <c r="A316" s="20">
        <v>1000184670</v>
      </c>
      <c r="B316" s="4" t="s">
        <v>147</v>
      </c>
      <c r="C316" s="21">
        <v>1000186198</v>
      </c>
      <c r="D316" s="3" t="s">
        <v>168</v>
      </c>
      <c r="E316" s="20">
        <v>1000185288</v>
      </c>
      <c r="F316" s="4" t="s">
        <v>64</v>
      </c>
      <c r="G316" s="21">
        <v>1000189793</v>
      </c>
      <c r="H316" s="3" t="s">
        <v>85</v>
      </c>
      <c r="I316" s="21">
        <v>1000189763</v>
      </c>
      <c r="J316" s="3" t="s">
        <v>156</v>
      </c>
      <c r="K316" s="20" t="s">
        <v>29</v>
      </c>
      <c r="L316" s="39">
        <v>0</v>
      </c>
      <c r="M316" s="39">
        <v>0</v>
      </c>
      <c r="N316" s="39">
        <v>0</v>
      </c>
      <c r="O316" s="39">
        <v>0</v>
      </c>
      <c r="P316" s="39">
        <v>0</v>
      </c>
      <c r="Q316" s="39">
        <v>0</v>
      </c>
      <c r="R316" s="39">
        <v>0</v>
      </c>
      <c r="S316" s="39">
        <v>0</v>
      </c>
      <c r="T316" s="39">
        <v>0</v>
      </c>
      <c r="U316" s="39">
        <v>0</v>
      </c>
      <c r="V316" s="39">
        <v>0</v>
      </c>
      <c r="W316" s="39">
        <v>0</v>
      </c>
      <c r="X316" s="39">
        <v>0</v>
      </c>
      <c r="Y316" s="39">
        <v>0</v>
      </c>
      <c r="Z316" s="39">
        <v>0</v>
      </c>
      <c r="AA316" s="39">
        <v>0</v>
      </c>
      <c r="AB316" s="39">
        <v>0</v>
      </c>
      <c r="AC316" s="39">
        <v>0</v>
      </c>
      <c r="AD316" s="39">
        <v>0</v>
      </c>
      <c r="AE316" s="39">
        <v>0</v>
      </c>
      <c r="AF316" s="39">
        <v>0</v>
      </c>
      <c r="AG316" s="39">
        <v>0</v>
      </c>
      <c r="AH316" s="39"/>
      <c r="AI316" s="39"/>
      <c r="AJ316" s="40"/>
      <c r="AK316" s="39">
        <f t="shared" si="25"/>
        <v>0</v>
      </c>
      <c r="AL316" s="39">
        <f t="shared" si="23"/>
        <v>0</v>
      </c>
      <c r="AM316" s="39">
        <f t="shared" si="24"/>
        <v>0</v>
      </c>
      <c r="AN316" s="39">
        <f t="shared" si="26"/>
        <v>0</v>
      </c>
      <c r="AO316" s="39">
        <f t="shared" si="27"/>
        <v>0</v>
      </c>
    </row>
    <row r="317" spans="1:41" x14ac:dyDescent="0.3">
      <c r="A317" s="20">
        <v>1000184670</v>
      </c>
      <c r="B317" s="4" t="s">
        <v>147</v>
      </c>
      <c r="C317" s="21">
        <v>1000186198</v>
      </c>
      <c r="D317" s="3" t="s">
        <v>168</v>
      </c>
      <c r="E317" s="20">
        <v>1000185288</v>
      </c>
      <c r="F317" s="4" t="s">
        <v>64</v>
      </c>
      <c r="G317" s="21">
        <v>1000189793</v>
      </c>
      <c r="H317" s="3" t="s">
        <v>85</v>
      </c>
      <c r="I317" s="21">
        <v>1000189763</v>
      </c>
      <c r="J317" s="3" t="s">
        <v>156</v>
      </c>
      <c r="K317" s="20" t="s">
        <v>21</v>
      </c>
      <c r="L317" s="39">
        <v>0</v>
      </c>
      <c r="M317" s="39">
        <v>0</v>
      </c>
      <c r="N317" s="39">
        <v>0</v>
      </c>
      <c r="O317" s="39">
        <v>0</v>
      </c>
      <c r="P317" s="39">
        <v>0</v>
      </c>
      <c r="Q317" s="39">
        <v>0</v>
      </c>
      <c r="R317" s="39">
        <v>0</v>
      </c>
      <c r="S317" s="39">
        <v>0</v>
      </c>
      <c r="T317" s="39">
        <v>0</v>
      </c>
      <c r="U317" s="39">
        <v>0</v>
      </c>
      <c r="V317" s="39">
        <v>0</v>
      </c>
      <c r="W317" s="39">
        <v>0</v>
      </c>
      <c r="X317" s="39">
        <v>0</v>
      </c>
      <c r="Y317" s="39">
        <v>0</v>
      </c>
      <c r="Z317" s="39">
        <v>0</v>
      </c>
      <c r="AA317" s="39">
        <v>0</v>
      </c>
      <c r="AB317" s="39">
        <v>1153.74</v>
      </c>
      <c r="AC317" s="39">
        <v>0</v>
      </c>
      <c r="AD317" s="39">
        <v>0</v>
      </c>
      <c r="AE317" s="39">
        <v>0</v>
      </c>
      <c r="AF317" s="39">
        <v>0</v>
      </c>
      <c r="AG317" s="39">
        <v>0</v>
      </c>
      <c r="AH317" s="39"/>
      <c r="AI317" s="39"/>
      <c r="AJ317" s="40"/>
      <c r="AK317" s="39">
        <f t="shared" si="25"/>
        <v>0</v>
      </c>
      <c r="AL317" s="39">
        <f t="shared" si="23"/>
        <v>96.144999999999996</v>
      </c>
      <c r="AM317" s="39">
        <f t="shared" si="24"/>
        <v>192.29</v>
      </c>
      <c r="AN317" s="39">
        <f t="shared" si="26"/>
        <v>115.374</v>
      </c>
      <c r="AO317" s="39">
        <f t="shared" si="27"/>
        <v>1153.74</v>
      </c>
    </row>
    <row r="318" spans="1:41" x14ac:dyDescent="0.3">
      <c r="A318" s="20">
        <v>1000184670</v>
      </c>
      <c r="B318" s="4" t="s">
        <v>147</v>
      </c>
      <c r="C318" s="21">
        <v>1000186198</v>
      </c>
      <c r="D318" s="3" t="s">
        <v>168</v>
      </c>
      <c r="E318" s="20">
        <v>1000185288</v>
      </c>
      <c r="F318" s="4" t="s">
        <v>64</v>
      </c>
      <c r="G318" s="21">
        <v>1000189793</v>
      </c>
      <c r="H318" s="3" t="s">
        <v>85</v>
      </c>
      <c r="I318" s="21">
        <v>1000189763</v>
      </c>
      <c r="J318" s="3" t="s">
        <v>156</v>
      </c>
      <c r="K318" s="20" t="s">
        <v>20</v>
      </c>
      <c r="L318" s="39">
        <v>0</v>
      </c>
      <c r="M318" s="39">
        <v>0</v>
      </c>
      <c r="N318" s="39">
        <v>0</v>
      </c>
      <c r="O318" s="39">
        <v>0</v>
      </c>
      <c r="P318" s="39">
        <v>0</v>
      </c>
      <c r="Q318" s="39">
        <v>0</v>
      </c>
      <c r="R318" s="39">
        <v>0</v>
      </c>
      <c r="S318" s="39">
        <v>0</v>
      </c>
      <c r="T318" s="39">
        <v>0</v>
      </c>
      <c r="U318" s="39">
        <v>0</v>
      </c>
      <c r="V318" s="39">
        <v>0</v>
      </c>
      <c r="W318" s="39">
        <v>0</v>
      </c>
      <c r="X318" s="39">
        <v>0</v>
      </c>
      <c r="Y318" s="39">
        <v>0</v>
      </c>
      <c r="Z318" s="39">
        <v>0</v>
      </c>
      <c r="AA318" s="39">
        <v>0</v>
      </c>
      <c r="AB318" s="39">
        <v>88.24</v>
      </c>
      <c r="AC318" s="39">
        <v>0</v>
      </c>
      <c r="AD318" s="39">
        <v>0</v>
      </c>
      <c r="AE318" s="39">
        <v>0</v>
      </c>
      <c r="AF318" s="39">
        <v>0</v>
      </c>
      <c r="AG318" s="39">
        <v>0</v>
      </c>
      <c r="AH318" s="39"/>
      <c r="AI318" s="39"/>
      <c r="AJ318" s="40"/>
      <c r="AK318" s="39">
        <f t="shared" si="25"/>
        <v>0</v>
      </c>
      <c r="AL318" s="39">
        <f t="shared" si="23"/>
        <v>7.3533333333333326</v>
      </c>
      <c r="AM318" s="39">
        <f t="shared" si="24"/>
        <v>14.706666666666665</v>
      </c>
      <c r="AN318" s="39">
        <f t="shared" si="26"/>
        <v>8.8239999999999998</v>
      </c>
      <c r="AO318" s="39">
        <f t="shared" si="27"/>
        <v>88.24</v>
      </c>
    </row>
    <row r="319" spans="1:41" x14ac:dyDescent="0.3">
      <c r="A319" s="20">
        <v>1000184670</v>
      </c>
      <c r="B319" s="4" t="s">
        <v>147</v>
      </c>
      <c r="C319" s="21">
        <v>1000186198</v>
      </c>
      <c r="D319" s="3" t="s">
        <v>168</v>
      </c>
      <c r="E319" s="20">
        <v>1000185288</v>
      </c>
      <c r="F319" s="4" t="s">
        <v>64</v>
      </c>
      <c r="G319" s="21">
        <v>1000189793</v>
      </c>
      <c r="H319" s="3" t="s">
        <v>85</v>
      </c>
      <c r="I319" s="21">
        <v>1000189763</v>
      </c>
      <c r="J319" s="3" t="s">
        <v>156</v>
      </c>
      <c r="K319" s="20" t="s">
        <v>22</v>
      </c>
      <c r="L319" s="39">
        <v>0</v>
      </c>
      <c r="M319" s="39">
        <v>0</v>
      </c>
      <c r="N319" s="39">
        <v>0</v>
      </c>
      <c r="O319" s="39">
        <v>0</v>
      </c>
      <c r="P319" s="39">
        <v>0</v>
      </c>
      <c r="Q319" s="39">
        <v>0</v>
      </c>
      <c r="R319" s="39">
        <v>0</v>
      </c>
      <c r="S319" s="39">
        <v>0</v>
      </c>
      <c r="T319" s="39">
        <v>0</v>
      </c>
      <c r="U319" s="39">
        <v>0</v>
      </c>
      <c r="V319" s="39">
        <v>0</v>
      </c>
      <c r="W319" s="39">
        <v>0</v>
      </c>
      <c r="X319" s="39">
        <v>0</v>
      </c>
      <c r="Y319" s="39">
        <v>0</v>
      </c>
      <c r="Z319" s="39">
        <v>0</v>
      </c>
      <c r="AA319" s="39">
        <v>0</v>
      </c>
      <c r="AB319" s="39">
        <v>0</v>
      </c>
      <c r="AC319" s="39">
        <v>0</v>
      </c>
      <c r="AD319" s="39">
        <v>0</v>
      </c>
      <c r="AE319" s="39">
        <v>0</v>
      </c>
      <c r="AF319" s="39">
        <v>0</v>
      </c>
      <c r="AG319" s="39">
        <v>0</v>
      </c>
      <c r="AH319" s="39"/>
      <c r="AI319" s="39"/>
      <c r="AJ319" s="40"/>
      <c r="AK319" s="39">
        <f t="shared" si="25"/>
        <v>0</v>
      </c>
      <c r="AL319" s="39">
        <f t="shared" si="23"/>
        <v>0</v>
      </c>
      <c r="AM319" s="39">
        <f t="shared" si="24"/>
        <v>0</v>
      </c>
      <c r="AN319" s="39">
        <f t="shared" si="26"/>
        <v>0</v>
      </c>
      <c r="AO319" s="39">
        <f t="shared" si="27"/>
        <v>0</v>
      </c>
    </row>
    <row r="320" spans="1:41" x14ac:dyDescent="0.3">
      <c r="A320" s="20">
        <v>1000184670</v>
      </c>
      <c r="B320" s="4" t="s">
        <v>147</v>
      </c>
      <c r="C320" s="21">
        <v>1000186198</v>
      </c>
      <c r="D320" s="3" t="s">
        <v>168</v>
      </c>
      <c r="E320" s="20">
        <v>1000185288</v>
      </c>
      <c r="F320" s="4" t="s">
        <v>64</v>
      </c>
      <c r="G320" s="21">
        <v>1000189793</v>
      </c>
      <c r="H320" s="3" t="s">
        <v>85</v>
      </c>
      <c r="I320" s="21">
        <v>1000189763</v>
      </c>
      <c r="J320" s="3" t="s">
        <v>156</v>
      </c>
      <c r="K320" s="20" t="s">
        <v>23</v>
      </c>
      <c r="L320" s="39">
        <v>0</v>
      </c>
      <c r="M320" s="39">
        <v>0</v>
      </c>
      <c r="N320" s="39">
        <v>0</v>
      </c>
      <c r="O320" s="39">
        <v>0</v>
      </c>
      <c r="P320" s="39">
        <v>0</v>
      </c>
      <c r="Q320" s="39">
        <v>0</v>
      </c>
      <c r="R320" s="39">
        <v>0</v>
      </c>
      <c r="S320" s="39">
        <v>0</v>
      </c>
      <c r="T320" s="39">
        <v>0</v>
      </c>
      <c r="U320" s="39">
        <v>0</v>
      </c>
      <c r="V320" s="39">
        <v>0</v>
      </c>
      <c r="W320" s="39">
        <v>0</v>
      </c>
      <c r="X320" s="39">
        <v>0</v>
      </c>
      <c r="Y320" s="39">
        <v>0</v>
      </c>
      <c r="Z320" s="39">
        <v>0</v>
      </c>
      <c r="AA320" s="39">
        <v>0</v>
      </c>
      <c r="AB320" s="39">
        <v>0</v>
      </c>
      <c r="AC320" s="39">
        <v>0</v>
      </c>
      <c r="AD320" s="39">
        <v>0</v>
      </c>
      <c r="AE320" s="39">
        <v>0</v>
      </c>
      <c r="AF320" s="39">
        <v>0</v>
      </c>
      <c r="AG320" s="39">
        <v>0</v>
      </c>
      <c r="AH320" s="39"/>
      <c r="AI320" s="39"/>
      <c r="AJ320" s="40"/>
      <c r="AK320" s="39">
        <f t="shared" si="25"/>
        <v>0</v>
      </c>
      <c r="AL320" s="39">
        <f t="shared" si="23"/>
        <v>0</v>
      </c>
      <c r="AM320" s="39">
        <f t="shared" si="24"/>
        <v>0</v>
      </c>
      <c r="AN320" s="39">
        <f t="shared" si="26"/>
        <v>0</v>
      </c>
      <c r="AO320" s="39">
        <f t="shared" si="27"/>
        <v>0</v>
      </c>
    </row>
    <row r="321" spans="1:41" x14ac:dyDescent="0.3">
      <c r="A321" s="20">
        <v>1000184670</v>
      </c>
      <c r="B321" s="4" t="s">
        <v>147</v>
      </c>
      <c r="C321" s="21">
        <v>1000186198</v>
      </c>
      <c r="D321" s="3" t="s">
        <v>168</v>
      </c>
      <c r="E321" s="20">
        <v>1000185288</v>
      </c>
      <c r="F321" s="4" t="s">
        <v>64</v>
      </c>
      <c r="G321" s="21">
        <v>1000189793</v>
      </c>
      <c r="H321" s="3" t="s">
        <v>85</v>
      </c>
      <c r="I321" s="21">
        <v>1000189763</v>
      </c>
      <c r="J321" s="3" t="s">
        <v>156</v>
      </c>
      <c r="K321" s="20" t="s">
        <v>28</v>
      </c>
      <c r="L321" s="39">
        <v>0</v>
      </c>
      <c r="M321" s="39">
        <v>0</v>
      </c>
      <c r="N321" s="39">
        <v>0</v>
      </c>
      <c r="O321" s="39">
        <v>0</v>
      </c>
      <c r="P321" s="39">
        <v>0</v>
      </c>
      <c r="Q321" s="39">
        <v>0</v>
      </c>
      <c r="R321" s="39">
        <v>0</v>
      </c>
      <c r="S321" s="39">
        <v>0</v>
      </c>
      <c r="T321" s="39">
        <v>0</v>
      </c>
      <c r="U321" s="39">
        <v>0</v>
      </c>
      <c r="V321" s="39">
        <v>0</v>
      </c>
      <c r="W321" s="39">
        <v>0</v>
      </c>
      <c r="X321" s="39">
        <v>0</v>
      </c>
      <c r="Y321" s="39">
        <v>0</v>
      </c>
      <c r="Z321" s="39">
        <v>0</v>
      </c>
      <c r="AA321" s="39">
        <v>0</v>
      </c>
      <c r="AB321" s="39">
        <v>32.619999999999997</v>
      </c>
      <c r="AC321" s="39">
        <v>0</v>
      </c>
      <c r="AD321" s="39">
        <v>0</v>
      </c>
      <c r="AE321" s="39">
        <v>0</v>
      </c>
      <c r="AF321" s="39">
        <v>0</v>
      </c>
      <c r="AG321" s="39">
        <v>0</v>
      </c>
      <c r="AH321" s="39"/>
      <c r="AI321" s="39"/>
      <c r="AJ321" s="40"/>
      <c r="AK321" s="39">
        <f t="shared" si="25"/>
        <v>0</v>
      </c>
      <c r="AL321" s="39">
        <f t="shared" si="23"/>
        <v>2.7183333333333333</v>
      </c>
      <c r="AM321" s="39">
        <f t="shared" si="24"/>
        <v>5.4366666666666665</v>
      </c>
      <c r="AN321" s="39">
        <f t="shared" si="26"/>
        <v>3.2619999999999996</v>
      </c>
      <c r="AO321" s="39">
        <f t="shared" si="27"/>
        <v>32.619999999999997</v>
      </c>
    </row>
    <row r="322" spans="1:41" x14ac:dyDescent="0.3">
      <c r="A322" s="20">
        <v>1000184670</v>
      </c>
      <c r="B322" s="4" t="s">
        <v>147</v>
      </c>
      <c r="C322" s="21">
        <v>1000186198</v>
      </c>
      <c r="D322" s="3" t="s">
        <v>168</v>
      </c>
      <c r="E322" s="20">
        <v>1000185288</v>
      </c>
      <c r="F322" s="4" t="s">
        <v>64</v>
      </c>
      <c r="G322" s="21">
        <v>1000189793</v>
      </c>
      <c r="H322" s="3" t="s">
        <v>85</v>
      </c>
      <c r="I322" s="21">
        <v>1000189763</v>
      </c>
      <c r="J322" s="3" t="s">
        <v>156</v>
      </c>
      <c r="K322" s="20" t="s">
        <v>26</v>
      </c>
      <c r="L322" s="39">
        <v>0</v>
      </c>
      <c r="M322" s="39">
        <v>0</v>
      </c>
      <c r="N322" s="39">
        <v>0</v>
      </c>
      <c r="O322" s="39">
        <v>0</v>
      </c>
      <c r="P322" s="39">
        <v>0</v>
      </c>
      <c r="Q322" s="39">
        <v>0</v>
      </c>
      <c r="R322" s="39">
        <v>0</v>
      </c>
      <c r="S322" s="39">
        <v>0</v>
      </c>
      <c r="T322" s="39">
        <v>0</v>
      </c>
      <c r="U322" s="39">
        <v>0</v>
      </c>
      <c r="V322" s="39">
        <v>0</v>
      </c>
      <c r="W322" s="39">
        <v>0</v>
      </c>
      <c r="X322" s="39">
        <v>0</v>
      </c>
      <c r="Y322" s="39">
        <v>0</v>
      </c>
      <c r="Z322" s="39">
        <v>0</v>
      </c>
      <c r="AA322" s="39">
        <v>0</v>
      </c>
      <c r="AB322" s="39">
        <v>5939.52</v>
      </c>
      <c r="AC322" s="39">
        <v>0</v>
      </c>
      <c r="AD322" s="39">
        <v>0</v>
      </c>
      <c r="AE322" s="39">
        <v>0</v>
      </c>
      <c r="AF322" s="39">
        <v>0</v>
      </c>
      <c r="AG322" s="39">
        <v>0</v>
      </c>
      <c r="AH322" s="39"/>
      <c r="AI322" s="39"/>
      <c r="AJ322" s="40"/>
      <c r="AK322" s="39">
        <f t="shared" si="25"/>
        <v>0</v>
      </c>
      <c r="AL322" s="39">
        <f t="shared" si="23"/>
        <v>494.96000000000004</v>
      </c>
      <c r="AM322" s="39">
        <f t="shared" si="24"/>
        <v>989.92000000000007</v>
      </c>
      <c r="AN322" s="39">
        <f t="shared" si="26"/>
        <v>593.952</v>
      </c>
      <c r="AO322" s="39">
        <f t="shared" si="27"/>
        <v>5939.52</v>
      </c>
    </row>
    <row r="323" spans="1:41" x14ac:dyDescent="0.3">
      <c r="A323" s="20">
        <v>1000184670</v>
      </c>
      <c r="B323" s="4" t="s">
        <v>147</v>
      </c>
      <c r="C323" s="21">
        <v>1000186198</v>
      </c>
      <c r="D323" s="3" t="s">
        <v>168</v>
      </c>
      <c r="E323" s="20">
        <v>1000185288</v>
      </c>
      <c r="F323" s="4" t="s">
        <v>64</v>
      </c>
      <c r="G323" s="21">
        <v>1000189793</v>
      </c>
      <c r="H323" s="3" t="s">
        <v>85</v>
      </c>
      <c r="I323" s="21">
        <v>1000189763</v>
      </c>
      <c r="J323" s="3" t="s">
        <v>156</v>
      </c>
      <c r="K323" s="20" t="s">
        <v>27</v>
      </c>
      <c r="L323" s="39">
        <v>0</v>
      </c>
      <c r="M323" s="39">
        <v>0</v>
      </c>
      <c r="N323" s="39">
        <v>0</v>
      </c>
      <c r="O323" s="39">
        <v>0</v>
      </c>
      <c r="P323" s="39">
        <v>0</v>
      </c>
      <c r="Q323" s="39">
        <v>0</v>
      </c>
      <c r="R323" s="39">
        <v>0</v>
      </c>
      <c r="S323" s="39">
        <v>0</v>
      </c>
      <c r="T323" s="39">
        <v>0</v>
      </c>
      <c r="U323" s="39">
        <v>0</v>
      </c>
      <c r="V323" s="39">
        <v>0</v>
      </c>
      <c r="W323" s="39">
        <v>0</v>
      </c>
      <c r="X323" s="39">
        <v>0</v>
      </c>
      <c r="Y323" s="39">
        <v>0</v>
      </c>
      <c r="Z323" s="39">
        <v>0</v>
      </c>
      <c r="AA323" s="39">
        <v>0</v>
      </c>
      <c r="AB323" s="39">
        <v>735.29</v>
      </c>
      <c r="AC323" s="39">
        <v>0</v>
      </c>
      <c r="AD323" s="39">
        <v>0</v>
      </c>
      <c r="AE323" s="39">
        <v>0</v>
      </c>
      <c r="AF323" s="39">
        <v>0</v>
      </c>
      <c r="AG323" s="39">
        <v>0</v>
      </c>
      <c r="AH323" s="39"/>
      <c r="AI323" s="39"/>
      <c r="AJ323" s="40"/>
      <c r="AK323" s="39">
        <f t="shared" si="25"/>
        <v>0</v>
      </c>
      <c r="AL323" s="39">
        <f t="shared" ref="AL323:AL386" si="28">AVERAGE(V323:AG323)</f>
        <v>61.274166666666666</v>
      </c>
      <c r="AM323" s="39">
        <f t="shared" ref="AM323:AM386" si="29">AVERAGE(AB323:AG323)</f>
        <v>122.54833333333333</v>
      </c>
      <c r="AN323" s="39">
        <f t="shared" si="26"/>
        <v>73.528999999999996</v>
      </c>
      <c r="AO323" s="39">
        <f t="shared" si="27"/>
        <v>735.29</v>
      </c>
    </row>
    <row r="324" spans="1:41" x14ac:dyDescent="0.3">
      <c r="A324" s="20">
        <v>1000184670</v>
      </c>
      <c r="B324" s="4" t="s">
        <v>147</v>
      </c>
      <c r="C324" s="21">
        <v>1000186198</v>
      </c>
      <c r="D324" s="3" t="s">
        <v>168</v>
      </c>
      <c r="E324" s="20">
        <v>1000185288</v>
      </c>
      <c r="F324" s="4" t="s">
        <v>64</v>
      </c>
      <c r="G324" s="21">
        <v>1000189793</v>
      </c>
      <c r="H324" s="3" t="s">
        <v>85</v>
      </c>
      <c r="I324" s="21">
        <v>1000189763</v>
      </c>
      <c r="J324" s="3" t="s">
        <v>156</v>
      </c>
      <c r="K324" s="20" t="s">
        <v>25</v>
      </c>
      <c r="L324" s="39">
        <v>0</v>
      </c>
      <c r="M324" s="39">
        <v>0</v>
      </c>
      <c r="N324" s="39">
        <v>0</v>
      </c>
      <c r="O324" s="39">
        <v>0</v>
      </c>
      <c r="P324" s="39">
        <v>0</v>
      </c>
      <c r="Q324" s="39">
        <v>0</v>
      </c>
      <c r="R324" s="39">
        <v>0</v>
      </c>
      <c r="S324" s="39">
        <v>0</v>
      </c>
      <c r="T324" s="39">
        <v>0</v>
      </c>
      <c r="U324" s="39">
        <v>0</v>
      </c>
      <c r="V324" s="39">
        <v>0</v>
      </c>
      <c r="W324" s="39">
        <v>0</v>
      </c>
      <c r="X324" s="39">
        <v>0</v>
      </c>
      <c r="Y324" s="39">
        <v>0</v>
      </c>
      <c r="Z324" s="39">
        <v>0</v>
      </c>
      <c r="AA324" s="39">
        <v>0</v>
      </c>
      <c r="AB324" s="39">
        <v>383.85</v>
      </c>
      <c r="AC324" s="39">
        <v>0</v>
      </c>
      <c r="AD324" s="39">
        <v>0</v>
      </c>
      <c r="AE324" s="39">
        <v>0</v>
      </c>
      <c r="AF324" s="39">
        <v>0</v>
      </c>
      <c r="AG324" s="39">
        <v>0</v>
      </c>
      <c r="AH324" s="39"/>
      <c r="AI324" s="39"/>
      <c r="AJ324" s="40"/>
      <c r="AK324" s="39">
        <f t="shared" si="25"/>
        <v>0</v>
      </c>
      <c r="AL324" s="39">
        <f t="shared" si="28"/>
        <v>31.987500000000001</v>
      </c>
      <c r="AM324" s="39">
        <f t="shared" si="29"/>
        <v>63.975000000000001</v>
      </c>
      <c r="AN324" s="39">
        <f t="shared" si="26"/>
        <v>38.385000000000005</v>
      </c>
      <c r="AO324" s="39">
        <f t="shared" si="27"/>
        <v>383.85</v>
      </c>
    </row>
    <row r="325" spans="1:41" x14ac:dyDescent="0.3">
      <c r="A325" s="20">
        <v>1000184670</v>
      </c>
      <c r="B325" s="4" t="s">
        <v>147</v>
      </c>
      <c r="C325" s="21">
        <v>1000186197</v>
      </c>
      <c r="D325" s="3" t="s">
        <v>166</v>
      </c>
      <c r="E325" s="20">
        <v>1000198600</v>
      </c>
      <c r="F325" s="4" t="s">
        <v>148</v>
      </c>
      <c r="G325" s="21">
        <v>1000198601</v>
      </c>
      <c r="H325" s="3" t="s">
        <v>149</v>
      </c>
      <c r="I325" s="21">
        <v>1000190614</v>
      </c>
      <c r="J325" s="3" t="s">
        <v>145</v>
      </c>
      <c r="K325" s="20" t="s">
        <v>124</v>
      </c>
      <c r="L325" s="39">
        <v>0</v>
      </c>
      <c r="M325" s="39">
        <v>0</v>
      </c>
      <c r="N325" s="39">
        <v>0</v>
      </c>
      <c r="O325" s="39">
        <v>0</v>
      </c>
      <c r="P325" s="39">
        <v>0</v>
      </c>
      <c r="Q325" s="39">
        <v>0</v>
      </c>
      <c r="R325" s="39">
        <v>0</v>
      </c>
      <c r="S325" s="39">
        <v>0</v>
      </c>
      <c r="T325" s="39">
        <v>0</v>
      </c>
      <c r="U325" s="39">
        <v>0</v>
      </c>
      <c r="V325" s="39">
        <v>0</v>
      </c>
      <c r="W325" s="39">
        <v>0</v>
      </c>
      <c r="X325" s="39">
        <v>0</v>
      </c>
      <c r="Y325" s="39">
        <v>0</v>
      </c>
      <c r="Z325" s="39">
        <v>0</v>
      </c>
      <c r="AA325" s="39">
        <v>0</v>
      </c>
      <c r="AB325" s="39">
        <v>0</v>
      </c>
      <c r="AC325" s="39">
        <v>0</v>
      </c>
      <c r="AD325" s="39">
        <v>0</v>
      </c>
      <c r="AE325" s="39">
        <v>0</v>
      </c>
      <c r="AF325" s="39">
        <v>0</v>
      </c>
      <c r="AG325" s="39">
        <v>0</v>
      </c>
      <c r="AH325" s="39"/>
      <c r="AI325" s="39"/>
      <c r="AJ325" s="40"/>
      <c r="AK325" s="39">
        <f t="shared" si="25"/>
        <v>0</v>
      </c>
      <c r="AL325" s="39">
        <f t="shared" si="28"/>
        <v>0</v>
      </c>
      <c r="AM325" s="39">
        <f t="shared" si="29"/>
        <v>0</v>
      </c>
      <c r="AN325" s="39">
        <f t="shared" si="26"/>
        <v>0</v>
      </c>
      <c r="AO325" s="39">
        <f t="shared" si="27"/>
        <v>0</v>
      </c>
    </row>
    <row r="326" spans="1:41" x14ac:dyDescent="0.3">
      <c r="A326" s="20">
        <v>1000184670</v>
      </c>
      <c r="B326" s="4" t="s">
        <v>147</v>
      </c>
      <c r="C326" s="21">
        <v>1000186197</v>
      </c>
      <c r="D326" s="3" t="s">
        <v>166</v>
      </c>
      <c r="E326" s="20">
        <v>1000198600</v>
      </c>
      <c r="F326" s="4" t="s">
        <v>148</v>
      </c>
      <c r="G326" s="21">
        <v>1000198601</v>
      </c>
      <c r="H326" s="3" t="s">
        <v>149</v>
      </c>
      <c r="I326" s="21">
        <v>1000190614</v>
      </c>
      <c r="J326" s="3" t="s">
        <v>145</v>
      </c>
      <c r="K326" s="20" t="s">
        <v>13</v>
      </c>
      <c r="L326" s="39">
        <v>0</v>
      </c>
      <c r="M326" s="39">
        <v>0</v>
      </c>
      <c r="N326" s="39">
        <v>0</v>
      </c>
      <c r="O326" s="39">
        <v>0</v>
      </c>
      <c r="P326" s="39">
        <v>0</v>
      </c>
      <c r="Q326" s="39">
        <v>0</v>
      </c>
      <c r="R326" s="39">
        <v>0</v>
      </c>
      <c r="S326" s="39">
        <v>0</v>
      </c>
      <c r="T326" s="39">
        <v>0</v>
      </c>
      <c r="U326" s="39">
        <v>0</v>
      </c>
      <c r="V326" s="39">
        <v>0</v>
      </c>
      <c r="W326" s="39">
        <v>0</v>
      </c>
      <c r="X326" s="39">
        <v>0</v>
      </c>
      <c r="Y326" s="39">
        <v>0</v>
      </c>
      <c r="Z326" s="39">
        <v>0</v>
      </c>
      <c r="AA326" s="39">
        <v>0</v>
      </c>
      <c r="AB326" s="39">
        <v>0</v>
      </c>
      <c r="AC326" s="39">
        <v>0</v>
      </c>
      <c r="AD326" s="39">
        <v>0</v>
      </c>
      <c r="AE326" s="39">
        <v>0</v>
      </c>
      <c r="AF326" s="39">
        <v>0</v>
      </c>
      <c r="AG326" s="39">
        <v>28.8</v>
      </c>
      <c r="AH326" s="39"/>
      <c r="AI326" s="39"/>
      <c r="AJ326" s="40"/>
      <c r="AK326" s="39">
        <f t="shared" si="25"/>
        <v>0</v>
      </c>
      <c r="AL326" s="39">
        <f t="shared" si="28"/>
        <v>2.4</v>
      </c>
      <c r="AM326" s="39">
        <f t="shared" si="29"/>
        <v>4.8</v>
      </c>
      <c r="AN326" s="39">
        <f t="shared" si="26"/>
        <v>2.88</v>
      </c>
      <c r="AO326" s="39">
        <f t="shared" si="27"/>
        <v>28.8</v>
      </c>
    </row>
    <row r="327" spans="1:41" x14ac:dyDescent="0.3">
      <c r="A327" s="20">
        <v>1000184670</v>
      </c>
      <c r="B327" s="4" t="s">
        <v>147</v>
      </c>
      <c r="C327" s="21">
        <v>1000186197</v>
      </c>
      <c r="D327" s="3" t="s">
        <v>166</v>
      </c>
      <c r="E327" s="20">
        <v>1000198600</v>
      </c>
      <c r="F327" s="4" t="s">
        <v>148</v>
      </c>
      <c r="G327" s="21">
        <v>1000198601</v>
      </c>
      <c r="H327" s="3" t="s">
        <v>149</v>
      </c>
      <c r="I327" s="21">
        <v>1000190614</v>
      </c>
      <c r="J327" s="3" t="s">
        <v>145</v>
      </c>
      <c r="K327" s="20" t="s">
        <v>14</v>
      </c>
      <c r="L327" s="39">
        <v>0</v>
      </c>
      <c r="M327" s="39">
        <v>0</v>
      </c>
      <c r="N327" s="39">
        <v>0</v>
      </c>
      <c r="O327" s="39">
        <v>0</v>
      </c>
      <c r="P327" s="39">
        <v>0</v>
      </c>
      <c r="Q327" s="39">
        <v>0</v>
      </c>
      <c r="R327" s="39">
        <v>0</v>
      </c>
      <c r="S327" s="39">
        <v>0</v>
      </c>
      <c r="T327" s="39">
        <v>0</v>
      </c>
      <c r="U327" s="39">
        <v>0</v>
      </c>
      <c r="V327" s="39">
        <v>0</v>
      </c>
      <c r="W327" s="39">
        <v>0</v>
      </c>
      <c r="X327" s="39">
        <v>0</v>
      </c>
      <c r="Y327" s="39">
        <v>0</v>
      </c>
      <c r="Z327" s="39">
        <v>0</v>
      </c>
      <c r="AA327" s="39">
        <v>0</v>
      </c>
      <c r="AB327" s="39">
        <v>0</v>
      </c>
      <c r="AC327" s="39">
        <v>0</v>
      </c>
      <c r="AD327" s="39">
        <v>0</v>
      </c>
      <c r="AE327" s="39">
        <v>0</v>
      </c>
      <c r="AF327" s="39">
        <v>0</v>
      </c>
      <c r="AG327" s="39">
        <v>0</v>
      </c>
      <c r="AH327" s="39"/>
      <c r="AI327" s="39"/>
      <c r="AJ327" s="40"/>
      <c r="AK327" s="39">
        <f t="shared" si="25"/>
        <v>0</v>
      </c>
      <c r="AL327" s="39">
        <f t="shared" si="28"/>
        <v>0</v>
      </c>
      <c r="AM327" s="39">
        <f t="shared" si="29"/>
        <v>0</v>
      </c>
      <c r="AN327" s="39">
        <f t="shared" si="26"/>
        <v>0</v>
      </c>
      <c r="AO327" s="39">
        <f t="shared" si="27"/>
        <v>0</v>
      </c>
    </row>
    <row r="328" spans="1:41" x14ac:dyDescent="0.3">
      <c r="A328" s="20">
        <v>1000184670</v>
      </c>
      <c r="B328" s="4" t="s">
        <v>147</v>
      </c>
      <c r="C328" s="21">
        <v>1000186197</v>
      </c>
      <c r="D328" s="3" t="s">
        <v>166</v>
      </c>
      <c r="E328" s="20">
        <v>1000198600</v>
      </c>
      <c r="F328" s="4" t="s">
        <v>148</v>
      </c>
      <c r="G328" s="21">
        <v>1000198601</v>
      </c>
      <c r="H328" s="3" t="s">
        <v>149</v>
      </c>
      <c r="I328" s="21">
        <v>1000190614</v>
      </c>
      <c r="J328" s="3" t="s">
        <v>145</v>
      </c>
      <c r="K328" s="20" t="s">
        <v>16</v>
      </c>
      <c r="L328" s="39">
        <v>0</v>
      </c>
      <c r="M328" s="39">
        <v>0</v>
      </c>
      <c r="N328" s="39">
        <v>0</v>
      </c>
      <c r="O328" s="39">
        <v>0</v>
      </c>
      <c r="P328" s="39">
        <v>0</v>
      </c>
      <c r="Q328" s="39">
        <v>0</v>
      </c>
      <c r="R328" s="39">
        <v>0</v>
      </c>
      <c r="S328" s="39">
        <v>0</v>
      </c>
      <c r="T328" s="39">
        <v>0</v>
      </c>
      <c r="U328" s="39">
        <v>0</v>
      </c>
      <c r="V328" s="39">
        <v>0</v>
      </c>
      <c r="W328" s="39">
        <v>0</v>
      </c>
      <c r="X328" s="39">
        <v>0</v>
      </c>
      <c r="Y328" s="39">
        <v>0</v>
      </c>
      <c r="Z328" s="39">
        <v>0</v>
      </c>
      <c r="AA328" s="39">
        <v>0</v>
      </c>
      <c r="AB328" s="39">
        <v>0</v>
      </c>
      <c r="AC328" s="39">
        <v>0</v>
      </c>
      <c r="AD328" s="39">
        <v>0</v>
      </c>
      <c r="AE328" s="39">
        <v>0</v>
      </c>
      <c r="AF328" s="39">
        <v>859.4</v>
      </c>
      <c r="AG328" s="39">
        <v>125.8</v>
      </c>
      <c r="AH328" s="39"/>
      <c r="AI328" s="39"/>
      <c r="AJ328" s="40"/>
      <c r="AK328" s="39">
        <f t="shared" si="25"/>
        <v>0</v>
      </c>
      <c r="AL328" s="39">
        <f t="shared" si="28"/>
        <v>82.1</v>
      </c>
      <c r="AM328" s="39">
        <f t="shared" si="29"/>
        <v>164.2</v>
      </c>
      <c r="AN328" s="39">
        <f t="shared" si="26"/>
        <v>98.52</v>
      </c>
      <c r="AO328" s="39">
        <f t="shared" si="27"/>
        <v>985.19999999999993</v>
      </c>
    </row>
    <row r="329" spans="1:41" x14ac:dyDescent="0.3">
      <c r="A329" s="20">
        <v>1000184670</v>
      </c>
      <c r="B329" s="4" t="s">
        <v>147</v>
      </c>
      <c r="C329" s="21">
        <v>1000186197</v>
      </c>
      <c r="D329" s="3" t="s">
        <v>166</v>
      </c>
      <c r="E329" s="20">
        <v>1000198600</v>
      </c>
      <c r="F329" s="4" t="s">
        <v>148</v>
      </c>
      <c r="G329" s="21">
        <v>1000198601</v>
      </c>
      <c r="H329" s="3" t="s">
        <v>149</v>
      </c>
      <c r="I329" s="21">
        <v>1000190614</v>
      </c>
      <c r="J329" s="3" t="s">
        <v>145</v>
      </c>
      <c r="K329" s="20" t="s">
        <v>15</v>
      </c>
      <c r="L329" s="39">
        <v>0</v>
      </c>
      <c r="M329" s="39">
        <v>0</v>
      </c>
      <c r="N329" s="39">
        <v>0</v>
      </c>
      <c r="O329" s="39">
        <v>0</v>
      </c>
      <c r="P329" s="39">
        <v>0</v>
      </c>
      <c r="Q329" s="39">
        <v>0</v>
      </c>
      <c r="R329" s="39">
        <v>0</v>
      </c>
      <c r="S329" s="39">
        <v>0</v>
      </c>
      <c r="T329" s="39">
        <v>0</v>
      </c>
      <c r="U329" s="39">
        <v>0</v>
      </c>
      <c r="V329" s="39">
        <v>0</v>
      </c>
      <c r="W329" s="39">
        <v>0</v>
      </c>
      <c r="X329" s="39">
        <v>0</v>
      </c>
      <c r="Y329" s="39">
        <v>0</v>
      </c>
      <c r="Z329" s="39">
        <v>0</v>
      </c>
      <c r="AA329" s="39">
        <v>0</v>
      </c>
      <c r="AB329" s="39">
        <v>0</v>
      </c>
      <c r="AC329" s="39">
        <v>0</v>
      </c>
      <c r="AD329" s="39">
        <v>0</v>
      </c>
      <c r="AE329" s="39">
        <v>0</v>
      </c>
      <c r="AF329" s="39">
        <v>0</v>
      </c>
      <c r="AG329" s="39">
        <v>252</v>
      </c>
      <c r="AH329" s="39"/>
      <c r="AI329" s="39"/>
      <c r="AJ329" s="40"/>
      <c r="AK329" s="39">
        <f t="shared" si="25"/>
        <v>0</v>
      </c>
      <c r="AL329" s="39">
        <f t="shared" si="28"/>
        <v>21</v>
      </c>
      <c r="AM329" s="39">
        <f t="shared" si="29"/>
        <v>42</v>
      </c>
      <c r="AN329" s="39">
        <f t="shared" si="26"/>
        <v>25.2</v>
      </c>
      <c r="AO329" s="39">
        <f t="shared" si="27"/>
        <v>252</v>
      </c>
    </row>
    <row r="330" spans="1:41" x14ac:dyDescent="0.3">
      <c r="A330" s="20">
        <v>1000184670</v>
      </c>
      <c r="B330" s="4" t="s">
        <v>147</v>
      </c>
      <c r="C330" s="21">
        <v>1000186197</v>
      </c>
      <c r="D330" s="3" t="s">
        <v>166</v>
      </c>
      <c r="E330" s="20">
        <v>1000198600</v>
      </c>
      <c r="F330" s="4" t="s">
        <v>148</v>
      </c>
      <c r="G330" s="21">
        <v>1000198601</v>
      </c>
      <c r="H330" s="3" t="s">
        <v>149</v>
      </c>
      <c r="I330" s="21">
        <v>1000190614</v>
      </c>
      <c r="J330" s="3" t="s">
        <v>145</v>
      </c>
      <c r="K330" s="20" t="s">
        <v>33</v>
      </c>
      <c r="L330" s="39">
        <v>0</v>
      </c>
      <c r="M330" s="39">
        <v>0</v>
      </c>
      <c r="N330" s="39">
        <v>0</v>
      </c>
      <c r="O330" s="39">
        <v>0</v>
      </c>
      <c r="P330" s="39">
        <v>0</v>
      </c>
      <c r="Q330" s="39">
        <v>0</v>
      </c>
      <c r="R330" s="39">
        <v>0</v>
      </c>
      <c r="S330" s="39">
        <v>0</v>
      </c>
      <c r="T330" s="39">
        <v>0</v>
      </c>
      <c r="U330" s="39">
        <v>0</v>
      </c>
      <c r="V330" s="39">
        <v>0</v>
      </c>
      <c r="W330" s="39">
        <v>0</v>
      </c>
      <c r="X330" s="39">
        <v>0</v>
      </c>
      <c r="Y330" s="39">
        <v>0</v>
      </c>
      <c r="Z330" s="39">
        <v>0</v>
      </c>
      <c r="AA330" s="39">
        <v>0</v>
      </c>
      <c r="AB330" s="39">
        <v>0</v>
      </c>
      <c r="AC330" s="39">
        <v>0</v>
      </c>
      <c r="AD330" s="39">
        <v>0</v>
      </c>
      <c r="AE330" s="39">
        <v>0</v>
      </c>
      <c r="AF330" s="39">
        <v>0</v>
      </c>
      <c r="AG330" s="39">
        <v>0</v>
      </c>
      <c r="AH330" s="39"/>
      <c r="AI330" s="39"/>
      <c r="AJ330" s="40"/>
      <c r="AK330" s="39">
        <f t="shared" si="25"/>
        <v>0</v>
      </c>
      <c r="AL330" s="39">
        <f t="shared" si="28"/>
        <v>0</v>
      </c>
      <c r="AM330" s="39">
        <f t="shared" si="29"/>
        <v>0</v>
      </c>
      <c r="AN330" s="39">
        <f t="shared" si="26"/>
        <v>0</v>
      </c>
      <c r="AO330" s="39">
        <f t="shared" si="27"/>
        <v>0</v>
      </c>
    </row>
    <row r="331" spans="1:41" x14ac:dyDescent="0.3">
      <c r="A331" s="20">
        <v>1000184670</v>
      </c>
      <c r="B331" s="4" t="s">
        <v>147</v>
      </c>
      <c r="C331" s="21">
        <v>1000186197</v>
      </c>
      <c r="D331" s="3" t="s">
        <v>166</v>
      </c>
      <c r="E331" s="20">
        <v>1000198600</v>
      </c>
      <c r="F331" s="4" t="s">
        <v>148</v>
      </c>
      <c r="G331" s="21">
        <v>1000198601</v>
      </c>
      <c r="H331" s="3" t="s">
        <v>149</v>
      </c>
      <c r="I331" s="21">
        <v>1000190614</v>
      </c>
      <c r="J331" s="3" t="s">
        <v>145</v>
      </c>
      <c r="K331" s="20" t="s">
        <v>19</v>
      </c>
      <c r="L331" s="39">
        <v>0</v>
      </c>
      <c r="M331" s="39">
        <v>0</v>
      </c>
      <c r="N331" s="39">
        <v>0</v>
      </c>
      <c r="O331" s="39">
        <v>0</v>
      </c>
      <c r="P331" s="39">
        <v>0</v>
      </c>
      <c r="Q331" s="39">
        <v>0</v>
      </c>
      <c r="R331" s="39">
        <v>0</v>
      </c>
      <c r="S331" s="39">
        <v>0</v>
      </c>
      <c r="T331" s="39">
        <v>0</v>
      </c>
      <c r="U331" s="39">
        <v>0</v>
      </c>
      <c r="V331" s="39">
        <v>0</v>
      </c>
      <c r="W331" s="39">
        <v>0</v>
      </c>
      <c r="X331" s="39">
        <v>0</v>
      </c>
      <c r="Y331" s="39">
        <v>0</v>
      </c>
      <c r="Z331" s="39">
        <v>0</v>
      </c>
      <c r="AA331" s="39">
        <v>0</v>
      </c>
      <c r="AB331" s="39">
        <v>0</v>
      </c>
      <c r="AC331" s="39">
        <v>0</v>
      </c>
      <c r="AD331" s="39">
        <v>0</v>
      </c>
      <c r="AE331" s="39">
        <v>0</v>
      </c>
      <c r="AF331" s="39">
        <v>0</v>
      </c>
      <c r="AG331" s="39">
        <v>0</v>
      </c>
      <c r="AH331" s="39"/>
      <c r="AI331" s="39"/>
      <c r="AJ331" s="40"/>
      <c r="AK331" s="39">
        <f t="shared" si="25"/>
        <v>0</v>
      </c>
      <c r="AL331" s="39">
        <f t="shared" si="28"/>
        <v>0</v>
      </c>
      <c r="AM331" s="39">
        <f t="shared" si="29"/>
        <v>0</v>
      </c>
      <c r="AN331" s="39">
        <f t="shared" si="26"/>
        <v>0</v>
      </c>
      <c r="AO331" s="39">
        <f t="shared" si="27"/>
        <v>0</v>
      </c>
    </row>
    <row r="332" spans="1:41" x14ac:dyDescent="0.3">
      <c r="A332" s="20">
        <v>1000184670</v>
      </c>
      <c r="B332" s="4" t="s">
        <v>147</v>
      </c>
      <c r="C332" s="21">
        <v>1000186197</v>
      </c>
      <c r="D332" s="3" t="s">
        <v>166</v>
      </c>
      <c r="E332" s="20">
        <v>1000198600</v>
      </c>
      <c r="F332" s="4" t="s">
        <v>148</v>
      </c>
      <c r="G332" s="21">
        <v>1000198601</v>
      </c>
      <c r="H332" s="3" t="s">
        <v>149</v>
      </c>
      <c r="I332" s="21">
        <v>1000190614</v>
      </c>
      <c r="J332" s="3" t="s">
        <v>145</v>
      </c>
      <c r="K332" s="20" t="s">
        <v>17</v>
      </c>
      <c r="L332" s="39">
        <v>0</v>
      </c>
      <c r="M332" s="39">
        <v>0</v>
      </c>
      <c r="N332" s="39">
        <v>0</v>
      </c>
      <c r="O332" s="39">
        <v>0</v>
      </c>
      <c r="P332" s="39">
        <v>0</v>
      </c>
      <c r="Q332" s="39">
        <v>0</v>
      </c>
      <c r="R332" s="39">
        <v>0</v>
      </c>
      <c r="S332" s="39">
        <v>0</v>
      </c>
      <c r="T332" s="39">
        <v>0</v>
      </c>
      <c r="U332" s="39">
        <v>0</v>
      </c>
      <c r="V332" s="39">
        <v>0</v>
      </c>
      <c r="W332" s="39">
        <v>0</v>
      </c>
      <c r="X332" s="39">
        <v>0</v>
      </c>
      <c r="Y332" s="39">
        <v>0</v>
      </c>
      <c r="Z332" s="39">
        <v>0</v>
      </c>
      <c r="AA332" s="39">
        <v>0</v>
      </c>
      <c r="AB332" s="39">
        <v>0</v>
      </c>
      <c r="AC332" s="39">
        <v>0</v>
      </c>
      <c r="AD332" s="39">
        <v>0</v>
      </c>
      <c r="AE332" s="39">
        <v>0</v>
      </c>
      <c r="AF332" s="39">
        <v>0</v>
      </c>
      <c r="AG332" s="39">
        <v>0</v>
      </c>
      <c r="AH332" s="39"/>
      <c r="AI332" s="39"/>
      <c r="AJ332" s="40"/>
      <c r="AK332" s="39">
        <f t="shared" si="25"/>
        <v>0</v>
      </c>
      <c r="AL332" s="39">
        <f t="shared" si="28"/>
        <v>0</v>
      </c>
      <c r="AM332" s="39">
        <f t="shared" si="29"/>
        <v>0</v>
      </c>
      <c r="AN332" s="39">
        <f t="shared" si="26"/>
        <v>0</v>
      </c>
      <c r="AO332" s="39">
        <f t="shared" si="27"/>
        <v>0</v>
      </c>
    </row>
    <row r="333" spans="1:41" x14ac:dyDescent="0.3">
      <c r="A333" s="20">
        <v>1000184670</v>
      </c>
      <c r="B333" s="4" t="s">
        <v>147</v>
      </c>
      <c r="C333" s="21">
        <v>1000186197</v>
      </c>
      <c r="D333" s="3" t="s">
        <v>166</v>
      </c>
      <c r="E333" s="20">
        <v>1000198600</v>
      </c>
      <c r="F333" s="4" t="s">
        <v>148</v>
      </c>
      <c r="G333" s="21">
        <v>1000198601</v>
      </c>
      <c r="H333" s="3" t="s">
        <v>149</v>
      </c>
      <c r="I333" s="21">
        <v>1000190614</v>
      </c>
      <c r="J333" s="3" t="s">
        <v>145</v>
      </c>
      <c r="K333" s="20" t="s">
        <v>24</v>
      </c>
      <c r="L333" s="39">
        <v>0</v>
      </c>
      <c r="M333" s="39">
        <v>0</v>
      </c>
      <c r="N333" s="39">
        <v>0</v>
      </c>
      <c r="O333" s="39">
        <v>0</v>
      </c>
      <c r="P333" s="39">
        <v>0</v>
      </c>
      <c r="Q333" s="39">
        <v>0</v>
      </c>
      <c r="R333" s="39">
        <v>0</v>
      </c>
      <c r="S333" s="39">
        <v>0</v>
      </c>
      <c r="T333" s="39">
        <v>0</v>
      </c>
      <c r="U333" s="39">
        <v>0</v>
      </c>
      <c r="V333" s="39">
        <v>0</v>
      </c>
      <c r="W333" s="39">
        <v>0</v>
      </c>
      <c r="X333" s="39">
        <v>0</v>
      </c>
      <c r="Y333" s="39">
        <v>0</v>
      </c>
      <c r="Z333" s="39">
        <v>0</v>
      </c>
      <c r="AA333" s="39">
        <v>0</v>
      </c>
      <c r="AB333" s="39">
        <v>0</v>
      </c>
      <c r="AC333" s="39">
        <v>0</v>
      </c>
      <c r="AD333" s="39">
        <v>0</v>
      </c>
      <c r="AE333" s="39">
        <v>0</v>
      </c>
      <c r="AF333" s="39">
        <v>0</v>
      </c>
      <c r="AG333" s="39">
        <v>0</v>
      </c>
      <c r="AH333" s="39"/>
      <c r="AI333" s="39"/>
      <c r="AJ333" s="40"/>
      <c r="AK333" s="39">
        <f t="shared" si="25"/>
        <v>0</v>
      </c>
      <c r="AL333" s="39">
        <f t="shared" si="28"/>
        <v>0</v>
      </c>
      <c r="AM333" s="39">
        <f t="shared" si="29"/>
        <v>0</v>
      </c>
      <c r="AN333" s="39">
        <f t="shared" si="26"/>
        <v>0</v>
      </c>
      <c r="AO333" s="39">
        <f t="shared" si="27"/>
        <v>0</v>
      </c>
    </row>
    <row r="334" spans="1:41" x14ac:dyDescent="0.3">
      <c r="A334" s="20">
        <v>1000184670</v>
      </c>
      <c r="B334" s="4" t="s">
        <v>147</v>
      </c>
      <c r="C334" s="21">
        <v>1000186197</v>
      </c>
      <c r="D334" s="3" t="s">
        <v>166</v>
      </c>
      <c r="E334" s="20">
        <v>1000198600</v>
      </c>
      <c r="F334" s="4" t="s">
        <v>148</v>
      </c>
      <c r="G334" s="21">
        <v>1000198601</v>
      </c>
      <c r="H334" s="3" t="s">
        <v>149</v>
      </c>
      <c r="I334" s="21">
        <v>1000190614</v>
      </c>
      <c r="J334" s="3" t="s">
        <v>145</v>
      </c>
      <c r="K334" s="20" t="s">
        <v>18</v>
      </c>
      <c r="L334" s="39">
        <v>0</v>
      </c>
      <c r="M334" s="39">
        <v>0</v>
      </c>
      <c r="N334" s="39">
        <v>0</v>
      </c>
      <c r="O334" s="39">
        <v>0</v>
      </c>
      <c r="P334" s="39">
        <v>0</v>
      </c>
      <c r="Q334" s="39">
        <v>0</v>
      </c>
      <c r="R334" s="39">
        <v>0</v>
      </c>
      <c r="S334" s="39">
        <v>0</v>
      </c>
      <c r="T334" s="39">
        <v>0</v>
      </c>
      <c r="U334" s="39">
        <v>0</v>
      </c>
      <c r="V334" s="39">
        <v>0</v>
      </c>
      <c r="W334" s="39">
        <v>0</v>
      </c>
      <c r="X334" s="39">
        <v>0</v>
      </c>
      <c r="Y334" s="39">
        <v>0</v>
      </c>
      <c r="Z334" s="39">
        <v>0</v>
      </c>
      <c r="AA334" s="39">
        <v>0</v>
      </c>
      <c r="AB334" s="39">
        <v>0</v>
      </c>
      <c r="AC334" s="39">
        <v>0</v>
      </c>
      <c r="AD334" s="39">
        <v>0</v>
      </c>
      <c r="AE334" s="39">
        <v>0</v>
      </c>
      <c r="AF334" s="39">
        <v>0</v>
      </c>
      <c r="AG334" s="39">
        <v>0</v>
      </c>
      <c r="AH334" s="39"/>
      <c r="AI334" s="39"/>
      <c r="AJ334" s="40"/>
      <c r="AK334" s="39">
        <f t="shared" si="25"/>
        <v>0</v>
      </c>
      <c r="AL334" s="39">
        <f t="shared" si="28"/>
        <v>0</v>
      </c>
      <c r="AM334" s="39">
        <f t="shared" si="29"/>
        <v>0</v>
      </c>
      <c r="AN334" s="39">
        <f t="shared" si="26"/>
        <v>0</v>
      </c>
      <c r="AO334" s="39">
        <f t="shared" si="27"/>
        <v>0</v>
      </c>
    </row>
    <row r="335" spans="1:41" x14ac:dyDescent="0.3">
      <c r="A335" s="20">
        <v>1000184670</v>
      </c>
      <c r="B335" s="4" t="s">
        <v>147</v>
      </c>
      <c r="C335" s="21">
        <v>1000186197</v>
      </c>
      <c r="D335" s="3" t="s">
        <v>166</v>
      </c>
      <c r="E335" s="20">
        <v>1000198600</v>
      </c>
      <c r="F335" s="4" t="s">
        <v>148</v>
      </c>
      <c r="G335" s="21">
        <v>1000198601</v>
      </c>
      <c r="H335" s="3" t="s">
        <v>149</v>
      </c>
      <c r="I335" s="21">
        <v>1000190614</v>
      </c>
      <c r="J335" s="3" t="s">
        <v>145</v>
      </c>
      <c r="K335" s="20" t="s">
        <v>29</v>
      </c>
      <c r="L335" s="39">
        <v>0</v>
      </c>
      <c r="M335" s="39">
        <v>0</v>
      </c>
      <c r="N335" s="39">
        <v>0</v>
      </c>
      <c r="O335" s="39">
        <v>0</v>
      </c>
      <c r="P335" s="39">
        <v>0</v>
      </c>
      <c r="Q335" s="39">
        <v>0</v>
      </c>
      <c r="R335" s="39">
        <v>0</v>
      </c>
      <c r="S335" s="39">
        <v>0</v>
      </c>
      <c r="T335" s="39">
        <v>0</v>
      </c>
      <c r="U335" s="39">
        <v>0</v>
      </c>
      <c r="V335" s="39">
        <v>0</v>
      </c>
      <c r="W335" s="39">
        <v>0</v>
      </c>
      <c r="X335" s="39">
        <v>0</v>
      </c>
      <c r="Y335" s="39">
        <v>0</v>
      </c>
      <c r="Z335" s="39">
        <v>0</v>
      </c>
      <c r="AA335" s="39">
        <v>0</v>
      </c>
      <c r="AB335" s="39">
        <v>0</v>
      </c>
      <c r="AC335" s="39">
        <v>0</v>
      </c>
      <c r="AD335" s="39">
        <v>0</v>
      </c>
      <c r="AE335" s="39">
        <v>0</v>
      </c>
      <c r="AF335" s="39">
        <v>2016.9</v>
      </c>
      <c r="AG335" s="39">
        <v>1200</v>
      </c>
      <c r="AH335" s="39"/>
      <c r="AI335" s="39"/>
      <c r="AJ335" s="40"/>
      <c r="AK335" s="39">
        <f t="shared" si="25"/>
        <v>0</v>
      </c>
      <c r="AL335" s="39">
        <f t="shared" si="28"/>
        <v>268.07499999999999</v>
      </c>
      <c r="AM335" s="39">
        <f t="shared" si="29"/>
        <v>536.15</v>
      </c>
      <c r="AN335" s="39">
        <f t="shared" si="26"/>
        <v>321.69</v>
      </c>
      <c r="AO335" s="39">
        <f t="shared" si="27"/>
        <v>3216.9</v>
      </c>
    </row>
    <row r="336" spans="1:41" x14ac:dyDescent="0.3">
      <c r="A336" s="20">
        <v>1000184670</v>
      </c>
      <c r="B336" s="4" t="s">
        <v>147</v>
      </c>
      <c r="C336" s="21">
        <v>1000186197</v>
      </c>
      <c r="D336" s="3" t="s">
        <v>166</v>
      </c>
      <c r="E336" s="20">
        <v>1000198600</v>
      </c>
      <c r="F336" s="4" t="s">
        <v>148</v>
      </c>
      <c r="G336" s="21">
        <v>1000198601</v>
      </c>
      <c r="H336" s="3" t="s">
        <v>149</v>
      </c>
      <c r="I336" s="21">
        <v>1000190614</v>
      </c>
      <c r="J336" s="3" t="s">
        <v>145</v>
      </c>
      <c r="K336" s="20" t="s">
        <v>21</v>
      </c>
      <c r="L336" s="39">
        <v>0</v>
      </c>
      <c r="M336" s="39">
        <v>0</v>
      </c>
      <c r="N336" s="39">
        <v>0</v>
      </c>
      <c r="O336" s="39">
        <v>0</v>
      </c>
      <c r="P336" s="39">
        <v>0</v>
      </c>
      <c r="Q336" s="39">
        <v>0</v>
      </c>
      <c r="R336" s="39">
        <v>0</v>
      </c>
      <c r="S336" s="39">
        <v>0</v>
      </c>
      <c r="T336" s="39">
        <v>0</v>
      </c>
      <c r="U336" s="39">
        <v>0</v>
      </c>
      <c r="V336" s="39">
        <v>0</v>
      </c>
      <c r="W336" s="39">
        <v>0</v>
      </c>
      <c r="X336" s="39">
        <v>0</v>
      </c>
      <c r="Y336" s="39">
        <v>0</v>
      </c>
      <c r="Z336" s="39">
        <v>0</v>
      </c>
      <c r="AA336" s="39">
        <v>0</v>
      </c>
      <c r="AB336" s="39">
        <v>0</v>
      </c>
      <c r="AC336" s="39">
        <v>0</v>
      </c>
      <c r="AD336" s="39">
        <v>0</v>
      </c>
      <c r="AE336" s="39">
        <v>0</v>
      </c>
      <c r="AF336" s="39">
        <v>0</v>
      </c>
      <c r="AG336" s="39">
        <v>0</v>
      </c>
      <c r="AH336" s="39"/>
      <c r="AI336" s="39"/>
      <c r="AJ336" s="40"/>
      <c r="AK336" s="39">
        <f t="shared" si="25"/>
        <v>0</v>
      </c>
      <c r="AL336" s="39">
        <f t="shared" si="28"/>
        <v>0</v>
      </c>
      <c r="AM336" s="39">
        <f t="shared" si="29"/>
        <v>0</v>
      </c>
      <c r="AN336" s="39">
        <f t="shared" si="26"/>
        <v>0</v>
      </c>
      <c r="AO336" s="39">
        <f t="shared" si="27"/>
        <v>0</v>
      </c>
    </row>
    <row r="337" spans="1:41" x14ac:dyDescent="0.3">
      <c r="A337" s="20">
        <v>1000184670</v>
      </c>
      <c r="B337" s="4" t="s">
        <v>147</v>
      </c>
      <c r="C337" s="21">
        <v>1000186197</v>
      </c>
      <c r="D337" s="3" t="s">
        <v>166</v>
      </c>
      <c r="E337" s="20">
        <v>1000198600</v>
      </c>
      <c r="F337" s="4" t="s">
        <v>148</v>
      </c>
      <c r="G337" s="21">
        <v>1000198601</v>
      </c>
      <c r="H337" s="3" t="s">
        <v>149</v>
      </c>
      <c r="I337" s="21">
        <v>1000190614</v>
      </c>
      <c r="J337" s="3" t="s">
        <v>145</v>
      </c>
      <c r="K337" s="20" t="s">
        <v>20</v>
      </c>
      <c r="L337" s="39">
        <v>0</v>
      </c>
      <c r="M337" s="39">
        <v>0</v>
      </c>
      <c r="N337" s="39">
        <v>0</v>
      </c>
      <c r="O337" s="39">
        <v>0</v>
      </c>
      <c r="P337" s="39">
        <v>0</v>
      </c>
      <c r="Q337" s="39">
        <v>0</v>
      </c>
      <c r="R337" s="39">
        <v>0</v>
      </c>
      <c r="S337" s="39">
        <v>0</v>
      </c>
      <c r="T337" s="39">
        <v>0</v>
      </c>
      <c r="U337" s="39">
        <v>0</v>
      </c>
      <c r="V337" s="39">
        <v>0</v>
      </c>
      <c r="W337" s="39">
        <v>0</v>
      </c>
      <c r="X337" s="39">
        <v>0</v>
      </c>
      <c r="Y337" s="39">
        <v>0</v>
      </c>
      <c r="Z337" s="39">
        <v>0</v>
      </c>
      <c r="AA337" s="39">
        <v>0</v>
      </c>
      <c r="AB337" s="39">
        <v>0</v>
      </c>
      <c r="AC337" s="39">
        <v>0</v>
      </c>
      <c r="AD337" s="39">
        <v>0</v>
      </c>
      <c r="AE337" s="39">
        <v>0</v>
      </c>
      <c r="AF337" s="39">
        <v>0</v>
      </c>
      <c r="AG337" s="39">
        <v>0</v>
      </c>
      <c r="AH337" s="39"/>
      <c r="AI337" s="39"/>
      <c r="AJ337" s="40"/>
      <c r="AK337" s="39">
        <f t="shared" si="25"/>
        <v>0</v>
      </c>
      <c r="AL337" s="39">
        <f t="shared" si="28"/>
        <v>0</v>
      </c>
      <c r="AM337" s="39">
        <f t="shared" si="29"/>
        <v>0</v>
      </c>
      <c r="AN337" s="39">
        <f t="shared" si="26"/>
        <v>0</v>
      </c>
      <c r="AO337" s="39">
        <f t="shared" si="27"/>
        <v>0</v>
      </c>
    </row>
    <row r="338" spans="1:41" x14ac:dyDescent="0.3">
      <c r="A338" s="20">
        <v>1000184670</v>
      </c>
      <c r="B338" s="4" t="s">
        <v>147</v>
      </c>
      <c r="C338" s="21">
        <v>1000186197</v>
      </c>
      <c r="D338" s="3" t="s">
        <v>166</v>
      </c>
      <c r="E338" s="20">
        <v>1000198600</v>
      </c>
      <c r="F338" s="4" t="s">
        <v>148</v>
      </c>
      <c r="G338" s="21">
        <v>1000198601</v>
      </c>
      <c r="H338" s="3" t="s">
        <v>149</v>
      </c>
      <c r="I338" s="21">
        <v>1000190614</v>
      </c>
      <c r="J338" s="3" t="s">
        <v>145</v>
      </c>
      <c r="K338" s="20" t="s">
        <v>22</v>
      </c>
      <c r="L338" s="39">
        <v>0</v>
      </c>
      <c r="M338" s="39">
        <v>0</v>
      </c>
      <c r="N338" s="39">
        <v>0</v>
      </c>
      <c r="O338" s="39">
        <v>0</v>
      </c>
      <c r="P338" s="39">
        <v>0</v>
      </c>
      <c r="Q338" s="39">
        <v>0</v>
      </c>
      <c r="R338" s="39">
        <v>0</v>
      </c>
      <c r="S338" s="39">
        <v>0</v>
      </c>
      <c r="T338" s="39">
        <v>0</v>
      </c>
      <c r="U338" s="39">
        <v>0</v>
      </c>
      <c r="V338" s="39">
        <v>0</v>
      </c>
      <c r="W338" s="39">
        <v>0</v>
      </c>
      <c r="X338" s="39">
        <v>0</v>
      </c>
      <c r="Y338" s="39">
        <v>0</v>
      </c>
      <c r="Z338" s="39">
        <v>0</v>
      </c>
      <c r="AA338" s="39">
        <v>0</v>
      </c>
      <c r="AB338" s="39">
        <v>0</v>
      </c>
      <c r="AC338" s="39">
        <v>0</v>
      </c>
      <c r="AD338" s="39">
        <v>0</v>
      </c>
      <c r="AE338" s="39">
        <v>0</v>
      </c>
      <c r="AF338" s="39">
        <v>0</v>
      </c>
      <c r="AG338" s="39">
        <v>43.5</v>
      </c>
      <c r="AH338" s="39"/>
      <c r="AI338" s="39"/>
      <c r="AJ338" s="40"/>
      <c r="AK338" s="39">
        <f t="shared" si="25"/>
        <v>0</v>
      </c>
      <c r="AL338" s="39">
        <f t="shared" si="28"/>
        <v>3.625</v>
      </c>
      <c r="AM338" s="39">
        <f t="shared" si="29"/>
        <v>7.25</v>
      </c>
      <c r="AN338" s="39">
        <f t="shared" si="26"/>
        <v>4.3499999999999996</v>
      </c>
      <c r="AO338" s="39">
        <f t="shared" si="27"/>
        <v>43.5</v>
      </c>
    </row>
    <row r="339" spans="1:41" x14ac:dyDescent="0.3">
      <c r="A339" s="20">
        <v>1000184670</v>
      </c>
      <c r="B339" s="4" t="s">
        <v>147</v>
      </c>
      <c r="C339" s="21">
        <v>1000186197</v>
      </c>
      <c r="D339" s="3" t="s">
        <v>166</v>
      </c>
      <c r="E339" s="20">
        <v>1000198600</v>
      </c>
      <c r="F339" s="4" t="s">
        <v>148</v>
      </c>
      <c r="G339" s="21">
        <v>1000198601</v>
      </c>
      <c r="H339" s="3" t="s">
        <v>149</v>
      </c>
      <c r="I339" s="21">
        <v>1000190614</v>
      </c>
      <c r="J339" s="3" t="s">
        <v>145</v>
      </c>
      <c r="K339" s="20" t="s">
        <v>23</v>
      </c>
      <c r="L339" s="39">
        <v>0</v>
      </c>
      <c r="M339" s="39">
        <v>0</v>
      </c>
      <c r="N339" s="39">
        <v>0</v>
      </c>
      <c r="O339" s="39">
        <v>0</v>
      </c>
      <c r="P339" s="39">
        <v>0</v>
      </c>
      <c r="Q339" s="39">
        <v>0</v>
      </c>
      <c r="R339" s="39">
        <v>0</v>
      </c>
      <c r="S339" s="39">
        <v>0</v>
      </c>
      <c r="T339" s="39">
        <v>0</v>
      </c>
      <c r="U339" s="39">
        <v>0</v>
      </c>
      <c r="V339" s="39">
        <v>0</v>
      </c>
      <c r="W339" s="39">
        <v>0</v>
      </c>
      <c r="X339" s="39">
        <v>0</v>
      </c>
      <c r="Y339" s="39">
        <v>0</v>
      </c>
      <c r="Z339" s="39">
        <v>0</v>
      </c>
      <c r="AA339" s="39">
        <v>0</v>
      </c>
      <c r="AB339" s="39">
        <v>0</v>
      </c>
      <c r="AC339" s="39">
        <v>0</v>
      </c>
      <c r="AD339" s="39">
        <v>0</v>
      </c>
      <c r="AE339" s="39">
        <v>0</v>
      </c>
      <c r="AF339" s="39">
        <v>0</v>
      </c>
      <c r="AG339" s="39">
        <v>32.799999999999997</v>
      </c>
      <c r="AH339" s="39"/>
      <c r="AI339" s="39"/>
      <c r="AJ339" s="40"/>
      <c r="AK339" s="39">
        <f t="shared" si="25"/>
        <v>0</v>
      </c>
      <c r="AL339" s="39">
        <f t="shared" si="28"/>
        <v>2.7333333333333329</v>
      </c>
      <c r="AM339" s="39">
        <f t="shared" si="29"/>
        <v>5.4666666666666659</v>
      </c>
      <c r="AN339" s="39">
        <f t="shared" si="26"/>
        <v>3.28</v>
      </c>
      <c r="AO339" s="39">
        <f t="shared" si="27"/>
        <v>32.799999999999997</v>
      </c>
    </row>
    <row r="340" spans="1:41" x14ac:dyDescent="0.3">
      <c r="A340" s="20">
        <v>1000184670</v>
      </c>
      <c r="B340" s="4" t="s">
        <v>147</v>
      </c>
      <c r="C340" s="21">
        <v>1000186197</v>
      </c>
      <c r="D340" s="3" t="s">
        <v>166</v>
      </c>
      <c r="E340" s="20">
        <v>1000198600</v>
      </c>
      <c r="F340" s="4" t="s">
        <v>148</v>
      </c>
      <c r="G340" s="21">
        <v>1000198601</v>
      </c>
      <c r="H340" s="3" t="s">
        <v>149</v>
      </c>
      <c r="I340" s="21">
        <v>1000190614</v>
      </c>
      <c r="J340" s="3" t="s">
        <v>145</v>
      </c>
      <c r="K340" s="20" t="s">
        <v>28</v>
      </c>
      <c r="L340" s="39">
        <v>0</v>
      </c>
      <c r="M340" s="39">
        <v>0</v>
      </c>
      <c r="N340" s="39">
        <v>0</v>
      </c>
      <c r="O340" s="39">
        <v>0</v>
      </c>
      <c r="P340" s="39">
        <v>0</v>
      </c>
      <c r="Q340" s="39">
        <v>0</v>
      </c>
      <c r="R340" s="39">
        <v>0</v>
      </c>
      <c r="S340" s="39">
        <v>0</v>
      </c>
      <c r="T340" s="39">
        <v>0</v>
      </c>
      <c r="U340" s="39">
        <v>0</v>
      </c>
      <c r="V340" s="39">
        <v>0</v>
      </c>
      <c r="W340" s="39">
        <v>0</v>
      </c>
      <c r="X340" s="39">
        <v>0</v>
      </c>
      <c r="Y340" s="39">
        <v>0</v>
      </c>
      <c r="Z340" s="39">
        <v>0</v>
      </c>
      <c r="AA340" s="39">
        <v>0</v>
      </c>
      <c r="AB340" s="39">
        <v>0</v>
      </c>
      <c r="AC340" s="39">
        <v>0</v>
      </c>
      <c r="AD340" s="39">
        <v>0</v>
      </c>
      <c r="AE340" s="39">
        <v>0</v>
      </c>
      <c r="AF340" s="39">
        <v>0</v>
      </c>
      <c r="AG340" s="39">
        <v>0</v>
      </c>
      <c r="AH340" s="39"/>
      <c r="AI340" s="39"/>
      <c r="AJ340" s="40"/>
      <c r="AK340" s="39">
        <f t="shared" si="25"/>
        <v>0</v>
      </c>
      <c r="AL340" s="39">
        <f t="shared" si="28"/>
        <v>0</v>
      </c>
      <c r="AM340" s="39">
        <f t="shared" si="29"/>
        <v>0</v>
      </c>
      <c r="AN340" s="39">
        <f t="shared" si="26"/>
        <v>0</v>
      </c>
      <c r="AO340" s="39">
        <f t="shared" si="27"/>
        <v>0</v>
      </c>
    </row>
    <row r="341" spans="1:41" x14ac:dyDescent="0.3">
      <c r="A341" s="20">
        <v>1000184670</v>
      </c>
      <c r="B341" s="4" t="s">
        <v>147</v>
      </c>
      <c r="C341" s="21">
        <v>1000186197</v>
      </c>
      <c r="D341" s="3" t="s">
        <v>166</v>
      </c>
      <c r="E341" s="20">
        <v>1000198600</v>
      </c>
      <c r="F341" s="4" t="s">
        <v>148</v>
      </c>
      <c r="G341" s="21">
        <v>1000198601</v>
      </c>
      <c r="H341" s="3" t="s">
        <v>149</v>
      </c>
      <c r="I341" s="21">
        <v>1000190614</v>
      </c>
      <c r="J341" s="3" t="s">
        <v>145</v>
      </c>
      <c r="K341" s="20" t="s">
        <v>26</v>
      </c>
      <c r="L341" s="39">
        <v>0</v>
      </c>
      <c r="M341" s="39">
        <v>0</v>
      </c>
      <c r="N341" s="39">
        <v>0</v>
      </c>
      <c r="O341" s="39">
        <v>0</v>
      </c>
      <c r="P341" s="39">
        <v>0</v>
      </c>
      <c r="Q341" s="39">
        <v>0</v>
      </c>
      <c r="R341" s="39">
        <v>0</v>
      </c>
      <c r="S341" s="39">
        <v>0</v>
      </c>
      <c r="T341" s="39">
        <v>0</v>
      </c>
      <c r="U341" s="39">
        <v>0</v>
      </c>
      <c r="V341" s="39">
        <v>0</v>
      </c>
      <c r="W341" s="39">
        <v>0</v>
      </c>
      <c r="X341" s="39">
        <v>0</v>
      </c>
      <c r="Y341" s="39">
        <v>0</v>
      </c>
      <c r="Z341" s="39">
        <v>0</v>
      </c>
      <c r="AA341" s="39">
        <v>0</v>
      </c>
      <c r="AB341" s="39">
        <v>0</v>
      </c>
      <c r="AC341" s="39">
        <v>0</v>
      </c>
      <c r="AD341" s="39">
        <v>0</v>
      </c>
      <c r="AE341" s="39">
        <v>0</v>
      </c>
      <c r="AF341" s="39">
        <v>0</v>
      </c>
      <c r="AG341" s="39">
        <v>0</v>
      </c>
      <c r="AH341" s="39"/>
      <c r="AI341" s="39"/>
      <c r="AJ341" s="40"/>
      <c r="AK341" s="39">
        <f t="shared" si="25"/>
        <v>0</v>
      </c>
      <c r="AL341" s="39">
        <f t="shared" si="28"/>
        <v>0</v>
      </c>
      <c r="AM341" s="39">
        <f t="shared" si="29"/>
        <v>0</v>
      </c>
      <c r="AN341" s="39">
        <f t="shared" si="26"/>
        <v>0</v>
      </c>
      <c r="AO341" s="39">
        <f t="shared" si="27"/>
        <v>0</v>
      </c>
    </row>
    <row r="342" spans="1:41" x14ac:dyDescent="0.3">
      <c r="A342" s="20">
        <v>1000184670</v>
      </c>
      <c r="B342" s="4" t="s">
        <v>147</v>
      </c>
      <c r="C342" s="21">
        <v>1000186197</v>
      </c>
      <c r="D342" s="3" t="s">
        <v>166</v>
      </c>
      <c r="E342" s="20">
        <v>1000198600</v>
      </c>
      <c r="F342" s="4" t="s">
        <v>148</v>
      </c>
      <c r="G342" s="21">
        <v>1000198601</v>
      </c>
      <c r="H342" s="3" t="s">
        <v>149</v>
      </c>
      <c r="I342" s="21">
        <v>1000190614</v>
      </c>
      <c r="J342" s="3" t="s">
        <v>145</v>
      </c>
      <c r="K342" s="20" t="s">
        <v>27</v>
      </c>
      <c r="L342" s="39">
        <v>0</v>
      </c>
      <c r="M342" s="39">
        <v>0</v>
      </c>
      <c r="N342" s="39">
        <v>0</v>
      </c>
      <c r="O342" s="39">
        <v>0</v>
      </c>
      <c r="P342" s="39">
        <v>0</v>
      </c>
      <c r="Q342" s="39">
        <v>0</v>
      </c>
      <c r="R342" s="39">
        <v>0</v>
      </c>
      <c r="S342" s="39">
        <v>0</v>
      </c>
      <c r="T342" s="39">
        <v>0</v>
      </c>
      <c r="U342" s="39">
        <v>0</v>
      </c>
      <c r="V342" s="39">
        <v>0</v>
      </c>
      <c r="W342" s="39">
        <v>0</v>
      </c>
      <c r="X342" s="39">
        <v>0</v>
      </c>
      <c r="Y342" s="39">
        <v>0</v>
      </c>
      <c r="Z342" s="39">
        <v>0</v>
      </c>
      <c r="AA342" s="39">
        <v>0</v>
      </c>
      <c r="AB342" s="39">
        <v>0</v>
      </c>
      <c r="AC342" s="39">
        <v>0</v>
      </c>
      <c r="AD342" s="39">
        <v>0</v>
      </c>
      <c r="AE342" s="39">
        <v>0</v>
      </c>
      <c r="AF342" s="39">
        <v>0</v>
      </c>
      <c r="AG342" s="39">
        <v>0</v>
      </c>
      <c r="AH342" s="39"/>
      <c r="AI342" s="39"/>
      <c r="AJ342" s="40"/>
      <c r="AK342" s="39">
        <f t="shared" si="25"/>
        <v>0</v>
      </c>
      <c r="AL342" s="39">
        <f t="shared" si="28"/>
        <v>0</v>
      </c>
      <c r="AM342" s="39">
        <f t="shared" si="29"/>
        <v>0</v>
      </c>
      <c r="AN342" s="39">
        <f t="shared" si="26"/>
        <v>0</v>
      </c>
      <c r="AO342" s="39">
        <f t="shared" si="27"/>
        <v>0</v>
      </c>
    </row>
    <row r="343" spans="1:41" x14ac:dyDescent="0.3">
      <c r="A343" s="20">
        <v>1000184670</v>
      </c>
      <c r="B343" s="4" t="s">
        <v>147</v>
      </c>
      <c r="C343" s="21">
        <v>1000186197</v>
      </c>
      <c r="D343" s="3" t="s">
        <v>166</v>
      </c>
      <c r="E343" s="20">
        <v>1000198600</v>
      </c>
      <c r="F343" s="4" t="s">
        <v>148</v>
      </c>
      <c r="G343" s="21">
        <v>1000198601</v>
      </c>
      <c r="H343" s="3" t="s">
        <v>149</v>
      </c>
      <c r="I343" s="21">
        <v>1000190614</v>
      </c>
      <c r="J343" s="3" t="s">
        <v>145</v>
      </c>
      <c r="K343" s="20" t="s">
        <v>25</v>
      </c>
      <c r="L343" s="39">
        <v>0</v>
      </c>
      <c r="M343" s="39">
        <v>0</v>
      </c>
      <c r="N343" s="39">
        <v>0</v>
      </c>
      <c r="O343" s="39">
        <v>0</v>
      </c>
      <c r="P343" s="39">
        <v>0</v>
      </c>
      <c r="Q343" s="39">
        <v>0</v>
      </c>
      <c r="R343" s="39">
        <v>0</v>
      </c>
      <c r="S343" s="39">
        <v>0</v>
      </c>
      <c r="T343" s="39">
        <v>0</v>
      </c>
      <c r="U343" s="39">
        <v>0</v>
      </c>
      <c r="V343" s="39">
        <v>0</v>
      </c>
      <c r="W343" s="39">
        <v>0</v>
      </c>
      <c r="X343" s="39">
        <v>0</v>
      </c>
      <c r="Y343" s="39">
        <v>0</v>
      </c>
      <c r="Z343" s="39">
        <v>0</v>
      </c>
      <c r="AA343" s="39">
        <v>0</v>
      </c>
      <c r="AB343" s="39">
        <v>0</v>
      </c>
      <c r="AC343" s="39">
        <v>0</v>
      </c>
      <c r="AD343" s="39">
        <v>0</v>
      </c>
      <c r="AE343" s="39">
        <v>0</v>
      </c>
      <c r="AF343" s="39">
        <v>0</v>
      </c>
      <c r="AG343" s="39">
        <v>0</v>
      </c>
      <c r="AH343" s="39"/>
      <c r="AI343" s="39"/>
      <c r="AJ343" s="40"/>
      <c r="AK343" s="39">
        <f t="shared" si="25"/>
        <v>0</v>
      </c>
      <c r="AL343" s="39">
        <f t="shared" si="28"/>
        <v>0</v>
      </c>
      <c r="AM343" s="39">
        <f t="shared" si="29"/>
        <v>0</v>
      </c>
      <c r="AN343" s="39">
        <f t="shared" si="26"/>
        <v>0</v>
      </c>
      <c r="AO343" s="39">
        <f t="shared" si="27"/>
        <v>0</v>
      </c>
    </row>
    <row r="344" spans="1:41" x14ac:dyDescent="0.3">
      <c r="A344" s="20">
        <v>1000184670</v>
      </c>
      <c r="B344" s="4" t="s">
        <v>147</v>
      </c>
      <c r="C344" s="21">
        <v>1000186197</v>
      </c>
      <c r="D344" s="3" t="s">
        <v>166</v>
      </c>
      <c r="E344" s="20">
        <v>1000198600</v>
      </c>
      <c r="F344" s="4" t="s">
        <v>148</v>
      </c>
      <c r="G344" s="21">
        <v>1000198601</v>
      </c>
      <c r="H344" s="3" t="s">
        <v>149</v>
      </c>
      <c r="I344" s="21">
        <v>1000190600</v>
      </c>
      <c r="J344" s="3" t="s">
        <v>146</v>
      </c>
      <c r="K344" s="20" t="s">
        <v>124</v>
      </c>
      <c r="L344" s="39">
        <v>0</v>
      </c>
      <c r="M344" s="39">
        <v>0</v>
      </c>
      <c r="N344" s="39">
        <v>0</v>
      </c>
      <c r="O344" s="39">
        <v>0</v>
      </c>
      <c r="P344" s="39">
        <v>0</v>
      </c>
      <c r="Q344" s="39">
        <v>0</v>
      </c>
      <c r="R344" s="39">
        <v>0</v>
      </c>
      <c r="S344" s="39">
        <v>0</v>
      </c>
      <c r="T344" s="39">
        <v>0</v>
      </c>
      <c r="U344" s="39">
        <v>0</v>
      </c>
      <c r="V344" s="39">
        <v>0</v>
      </c>
      <c r="W344" s="39">
        <v>0</v>
      </c>
      <c r="X344" s="39">
        <v>0</v>
      </c>
      <c r="Y344" s="39">
        <v>0</v>
      </c>
      <c r="Z344" s="39">
        <v>0</v>
      </c>
      <c r="AA344" s="39">
        <v>0</v>
      </c>
      <c r="AB344" s="39">
        <v>0</v>
      </c>
      <c r="AC344" s="39">
        <v>0</v>
      </c>
      <c r="AD344" s="39">
        <v>0</v>
      </c>
      <c r="AE344" s="39">
        <v>0</v>
      </c>
      <c r="AF344" s="39">
        <v>0</v>
      </c>
      <c r="AG344" s="39">
        <v>0</v>
      </c>
      <c r="AH344" s="39"/>
      <c r="AI344" s="39"/>
      <c r="AJ344" s="40"/>
      <c r="AK344" s="39">
        <f t="shared" si="25"/>
        <v>0</v>
      </c>
      <c r="AL344" s="39">
        <f t="shared" si="28"/>
        <v>0</v>
      </c>
      <c r="AM344" s="39">
        <f t="shared" si="29"/>
        <v>0</v>
      </c>
      <c r="AN344" s="39">
        <f t="shared" si="26"/>
        <v>0</v>
      </c>
      <c r="AO344" s="39">
        <f t="shared" si="27"/>
        <v>0</v>
      </c>
    </row>
    <row r="345" spans="1:41" x14ac:dyDescent="0.3">
      <c r="A345" s="20">
        <v>1000184670</v>
      </c>
      <c r="B345" s="4" t="s">
        <v>147</v>
      </c>
      <c r="C345" s="21">
        <v>1000186197</v>
      </c>
      <c r="D345" s="3" t="s">
        <v>166</v>
      </c>
      <c r="E345" s="20">
        <v>1000198600</v>
      </c>
      <c r="F345" s="4" t="s">
        <v>148</v>
      </c>
      <c r="G345" s="21">
        <v>1000198601</v>
      </c>
      <c r="H345" s="3" t="s">
        <v>149</v>
      </c>
      <c r="I345" s="21">
        <v>1000190600</v>
      </c>
      <c r="J345" s="3" t="s">
        <v>146</v>
      </c>
      <c r="K345" s="20" t="s">
        <v>13</v>
      </c>
      <c r="L345" s="39">
        <v>0</v>
      </c>
      <c r="M345" s="39">
        <v>0</v>
      </c>
      <c r="N345" s="39">
        <v>0</v>
      </c>
      <c r="O345" s="39">
        <v>0</v>
      </c>
      <c r="P345" s="39">
        <v>0</v>
      </c>
      <c r="Q345" s="39">
        <v>0</v>
      </c>
      <c r="R345" s="39">
        <v>0</v>
      </c>
      <c r="S345" s="39">
        <v>0</v>
      </c>
      <c r="T345" s="39">
        <v>0</v>
      </c>
      <c r="U345" s="39">
        <v>0</v>
      </c>
      <c r="V345" s="39">
        <v>0</v>
      </c>
      <c r="W345" s="39">
        <v>0</v>
      </c>
      <c r="X345" s="39">
        <v>0</v>
      </c>
      <c r="Y345" s="39">
        <v>0</v>
      </c>
      <c r="Z345" s="39">
        <v>0</v>
      </c>
      <c r="AA345" s="39">
        <v>0</v>
      </c>
      <c r="AB345" s="39">
        <v>0</v>
      </c>
      <c r="AC345" s="39">
        <v>0</v>
      </c>
      <c r="AD345" s="39">
        <v>0</v>
      </c>
      <c r="AE345" s="39">
        <v>0</v>
      </c>
      <c r="AF345" s="39">
        <v>0</v>
      </c>
      <c r="AG345" s="39">
        <v>183.72</v>
      </c>
      <c r="AH345" s="39"/>
      <c r="AI345" s="39"/>
      <c r="AJ345" s="40"/>
      <c r="AK345" s="39">
        <f t="shared" si="25"/>
        <v>0</v>
      </c>
      <c r="AL345" s="39">
        <f t="shared" si="28"/>
        <v>15.31</v>
      </c>
      <c r="AM345" s="39">
        <f t="shared" si="29"/>
        <v>30.62</v>
      </c>
      <c r="AN345" s="39">
        <f t="shared" si="26"/>
        <v>18.372</v>
      </c>
      <c r="AO345" s="39">
        <f t="shared" si="27"/>
        <v>183.72</v>
      </c>
    </row>
    <row r="346" spans="1:41" x14ac:dyDescent="0.3">
      <c r="A346" s="20">
        <v>1000184670</v>
      </c>
      <c r="B346" s="4" t="s">
        <v>147</v>
      </c>
      <c r="C346" s="21">
        <v>1000186197</v>
      </c>
      <c r="D346" s="3" t="s">
        <v>166</v>
      </c>
      <c r="E346" s="20">
        <v>1000198600</v>
      </c>
      <c r="F346" s="4" t="s">
        <v>148</v>
      </c>
      <c r="G346" s="21">
        <v>1000198601</v>
      </c>
      <c r="H346" s="3" t="s">
        <v>149</v>
      </c>
      <c r="I346" s="21">
        <v>1000190600</v>
      </c>
      <c r="J346" s="3" t="s">
        <v>146</v>
      </c>
      <c r="K346" s="20" t="s">
        <v>14</v>
      </c>
      <c r="L346" s="39">
        <v>0</v>
      </c>
      <c r="M346" s="39">
        <v>0</v>
      </c>
      <c r="N346" s="39">
        <v>0</v>
      </c>
      <c r="O346" s="39">
        <v>0</v>
      </c>
      <c r="P346" s="39">
        <v>0</v>
      </c>
      <c r="Q346" s="39">
        <v>0</v>
      </c>
      <c r="R346" s="39">
        <v>0</v>
      </c>
      <c r="S346" s="39">
        <v>0</v>
      </c>
      <c r="T346" s="39">
        <v>0</v>
      </c>
      <c r="U346" s="39">
        <v>0</v>
      </c>
      <c r="V346" s="39">
        <v>0</v>
      </c>
      <c r="W346" s="39">
        <v>0</v>
      </c>
      <c r="X346" s="39">
        <v>0</v>
      </c>
      <c r="Y346" s="39">
        <v>0</v>
      </c>
      <c r="Z346" s="39">
        <v>0</v>
      </c>
      <c r="AA346" s="39">
        <v>0</v>
      </c>
      <c r="AB346" s="39">
        <v>0</v>
      </c>
      <c r="AC346" s="39">
        <v>0</v>
      </c>
      <c r="AD346" s="39">
        <v>0</v>
      </c>
      <c r="AE346" s="39">
        <v>0</v>
      </c>
      <c r="AF346" s="39">
        <v>571.20000000000005</v>
      </c>
      <c r="AG346" s="39">
        <v>837.9</v>
      </c>
      <c r="AH346" s="39"/>
      <c r="AI346" s="39"/>
      <c r="AJ346" s="40"/>
      <c r="AK346" s="39">
        <f t="shared" si="25"/>
        <v>0</v>
      </c>
      <c r="AL346" s="39">
        <f t="shared" si="28"/>
        <v>117.425</v>
      </c>
      <c r="AM346" s="39">
        <f t="shared" si="29"/>
        <v>234.85</v>
      </c>
      <c r="AN346" s="39">
        <f t="shared" si="26"/>
        <v>140.91</v>
      </c>
      <c r="AO346" s="39">
        <f t="shared" si="27"/>
        <v>1409.1</v>
      </c>
    </row>
    <row r="347" spans="1:41" x14ac:dyDescent="0.3">
      <c r="A347" s="20">
        <v>1000184670</v>
      </c>
      <c r="B347" s="4" t="s">
        <v>147</v>
      </c>
      <c r="C347" s="21">
        <v>1000186197</v>
      </c>
      <c r="D347" s="3" t="s">
        <v>166</v>
      </c>
      <c r="E347" s="20">
        <v>1000198600</v>
      </c>
      <c r="F347" s="4" t="s">
        <v>148</v>
      </c>
      <c r="G347" s="21">
        <v>1000198601</v>
      </c>
      <c r="H347" s="3" t="s">
        <v>149</v>
      </c>
      <c r="I347" s="21">
        <v>1000190600</v>
      </c>
      <c r="J347" s="3" t="s">
        <v>146</v>
      </c>
      <c r="K347" s="20" t="s">
        <v>16</v>
      </c>
      <c r="L347" s="39">
        <v>0</v>
      </c>
      <c r="M347" s="39">
        <v>0</v>
      </c>
      <c r="N347" s="39">
        <v>0</v>
      </c>
      <c r="O347" s="39">
        <v>0</v>
      </c>
      <c r="P347" s="39">
        <v>0</v>
      </c>
      <c r="Q347" s="39">
        <v>0</v>
      </c>
      <c r="R347" s="39">
        <v>0</v>
      </c>
      <c r="S347" s="39">
        <v>0</v>
      </c>
      <c r="T347" s="39">
        <v>0</v>
      </c>
      <c r="U347" s="39">
        <v>0</v>
      </c>
      <c r="V347" s="39">
        <v>0</v>
      </c>
      <c r="W347" s="39">
        <v>0</v>
      </c>
      <c r="X347" s="39">
        <v>0</v>
      </c>
      <c r="Y347" s="39">
        <v>0</v>
      </c>
      <c r="Z347" s="39">
        <v>0</v>
      </c>
      <c r="AA347" s="39">
        <v>0</v>
      </c>
      <c r="AB347" s="39">
        <v>0</v>
      </c>
      <c r="AC347" s="39">
        <v>0</v>
      </c>
      <c r="AD347" s="39">
        <v>0</v>
      </c>
      <c r="AE347" s="39">
        <v>0</v>
      </c>
      <c r="AF347" s="39">
        <v>647.08000000000004</v>
      </c>
      <c r="AG347" s="39">
        <v>720.86</v>
      </c>
      <c r="AH347" s="39"/>
      <c r="AI347" s="39"/>
      <c r="AJ347" s="40"/>
      <c r="AK347" s="39">
        <f t="shared" si="25"/>
        <v>0</v>
      </c>
      <c r="AL347" s="39">
        <f t="shared" si="28"/>
        <v>113.995</v>
      </c>
      <c r="AM347" s="39">
        <f t="shared" si="29"/>
        <v>227.99</v>
      </c>
      <c r="AN347" s="39">
        <f t="shared" si="26"/>
        <v>136.79400000000001</v>
      </c>
      <c r="AO347" s="39">
        <f t="shared" si="27"/>
        <v>1367.94</v>
      </c>
    </row>
    <row r="348" spans="1:41" x14ac:dyDescent="0.3">
      <c r="A348" s="20">
        <v>1000184670</v>
      </c>
      <c r="B348" s="4" t="s">
        <v>147</v>
      </c>
      <c r="C348" s="21">
        <v>1000186197</v>
      </c>
      <c r="D348" s="3" t="s">
        <v>166</v>
      </c>
      <c r="E348" s="20">
        <v>1000198600</v>
      </c>
      <c r="F348" s="4" t="s">
        <v>148</v>
      </c>
      <c r="G348" s="21">
        <v>1000198601</v>
      </c>
      <c r="H348" s="3" t="s">
        <v>149</v>
      </c>
      <c r="I348" s="21">
        <v>1000190600</v>
      </c>
      <c r="J348" s="3" t="s">
        <v>146</v>
      </c>
      <c r="K348" s="20" t="s">
        <v>15</v>
      </c>
      <c r="L348" s="39">
        <v>0</v>
      </c>
      <c r="M348" s="39">
        <v>0</v>
      </c>
      <c r="N348" s="39">
        <v>0</v>
      </c>
      <c r="O348" s="39">
        <v>0</v>
      </c>
      <c r="P348" s="39">
        <v>0</v>
      </c>
      <c r="Q348" s="39">
        <v>0</v>
      </c>
      <c r="R348" s="39">
        <v>0</v>
      </c>
      <c r="S348" s="39">
        <v>0</v>
      </c>
      <c r="T348" s="39">
        <v>0</v>
      </c>
      <c r="U348" s="39">
        <v>0</v>
      </c>
      <c r="V348" s="39">
        <v>0</v>
      </c>
      <c r="W348" s="39">
        <v>0</v>
      </c>
      <c r="X348" s="39">
        <v>0</v>
      </c>
      <c r="Y348" s="39">
        <v>0</v>
      </c>
      <c r="Z348" s="39">
        <v>0</v>
      </c>
      <c r="AA348" s="39">
        <v>0</v>
      </c>
      <c r="AB348" s="39">
        <v>0</v>
      </c>
      <c r="AC348" s="39">
        <v>0</v>
      </c>
      <c r="AD348" s="39">
        <v>0</v>
      </c>
      <c r="AE348" s="39">
        <v>0</v>
      </c>
      <c r="AF348" s="39">
        <v>627.29999999999995</v>
      </c>
      <c r="AG348" s="39">
        <v>704.77</v>
      </c>
      <c r="AH348" s="39"/>
      <c r="AI348" s="39"/>
      <c r="AJ348" s="40"/>
      <c r="AK348" s="39">
        <f t="shared" si="25"/>
        <v>0</v>
      </c>
      <c r="AL348" s="39">
        <f t="shared" si="28"/>
        <v>111.00583333333333</v>
      </c>
      <c r="AM348" s="39">
        <f t="shared" si="29"/>
        <v>222.01166666666666</v>
      </c>
      <c r="AN348" s="39">
        <f t="shared" si="26"/>
        <v>133.20699999999999</v>
      </c>
      <c r="AO348" s="39">
        <f t="shared" si="27"/>
        <v>1332.07</v>
      </c>
    </row>
    <row r="349" spans="1:41" x14ac:dyDescent="0.3">
      <c r="A349" s="20">
        <v>1000184670</v>
      </c>
      <c r="B349" s="4" t="s">
        <v>147</v>
      </c>
      <c r="C349" s="21">
        <v>1000186197</v>
      </c>
      <c r="D349" s="3" t="s">
        <v>166</v>
      </c>
      <c r="E349" s="20">
        <v>1000198600</v>
      </c>
      <c r="F349" s="4" t="s">
        <v>148</v>
      </c>
      <c r="G349" s="21">
        <v>1000198601</v>
      </c>
      <c r="H349" s="3" t="s">
        <v>149</v>
      </c>
      <c r="I349" s="21">
        <v>1000190600</v>
      </c>
      <c r="J349" s="3" t="s">
        <v>146</v>
      </c>
      <c r="K349" s="20" t="s">
        <v>33</v>
      </c>
      <c r="L349" s="39">
        <v>0</v>
      </c>
      <c r="M349" s="39">
        <v>0</v>
      </c>
      <c r="N349" s="39">
        <v>0</v>
      </c>
      <c r="O349" s="39">
        <v>0</v>
      </c>
      <c r="P349" s="39">
        <v>0</v>
      </c>
      <c r="Q349" s="39">
        <v>0</v>
      </c>
      <c r="R349" s="39">
        <v>0</v>
      </c>
      <c r="S349" s="39">
        <v>0</v>
      </c>
      <c r="T349" s="39">
        <v>0</v>
      </c>
      <c r="U349" s="39">
        <v>0</v>
      </c>
      <c r="V349" s="39">
        <v>0</v>
      </c>
      <c r="W349" s="39">
        <v>0</v>
      </c>
      <c r="X349" s="39">
        <v>0</v>
      </c>
      <c r="Y349" s="39">
        <v>0</v>
      </c>
      <c r="Z349" s="39">
        <v>0</v>
      </c>
      <c r="AA349" s="39">
        <v>0</v>
      </c>
      <c r="AB349" s="39">
        <v>0</v>
      </c>
      <c r="AC349" s="39">
        <v>0</v>
      </c>
      <c r="AD349" s="39">
        <v>0</v>
      </c>
      <c r="AE349" s="39">
        <v>0</v>
      </c>
      <c r="AF349" s="39">
        <v>0</v>
      </c>
      <c r="AG349" s="39">
        <v>270</v>
      </c>
      <c r="AH349" s="39"/>
      <c r="AI349" s="39"/>
      <c r="AJ349" s="40"/>
      <c r="AK349" s="39">
        <f t="shared" si="25"/>
        <v>0</v>
      </c>
      <c r="AL349" s="39">
        <f t="shared" si="28"/>
        <v>22.5</v>
      </c>
      <c r="AM349" s="39">
        <f t="shared" si="29"/>
        <v>45</v>
      </c>
      <c r="AN349" s="39">
        <f t="shared" si="26"/>
        <v>27</v>
      </c>
      <c r="AO349" s="39">
        <f t="shared" si="27"/>
        <v>270</v>
      </c>
    </row>
    <row r="350" spans="1:41" x14ac:dyDescent="0.3">
      <c r="A350" s="20">
        <v>1000184670</v>
      </c>
      <c r="B350" s="4" t="s">
        <v>147</v>
      </c>
      <c r="C350" s="21">
        <v>1000186197</v>
      </c>
      <c r="D350" s="3" t="s">
        <v>166</v>
      </c>
      <c r="E350" s="20">
        <v>1000198600</v>
      </c>
      <c r="F350" s="4" t="s">
        <v>148</v>
      </c>
      <c r="G350" s="21">
        <v>1000198601</v>
      </c>
      <c r="H350" s="3" t="s">
        <v>149</v>
      </c>
      <c r="I350" s="21">
        <v>1000190600</v>
      </c>
      <c r="J350" s="3" t="s">
        <v>146</v>
      </c>
      <c r="K350" s="20" t="s">
        <v>19</v>
      </c>
      <c r="L350" s="39">
        <v>0</v>
      </c>
      <c r="M350" s="39">
        <v>0</v>
      </c>
      <c r="N350" s="39">
        <v>0</v>
      </c>
      <c r="O350" s="39">
        <v>0</v>
      </c>
      <c r="P350" s="39">
        <v>0</v>
      </c>
      <c r="Q350" s="39">
        <v>0</v>
      </c>
      <c r="R350" s="39">
        <v>0</v>
      </c>
      <c r="S350" s="39">
        <v>0</v>
      </c>
      <c r="T350" s="39">
        <v>0</v>
      </c>
      <c r="U350" s="39">
        <v>0</v>
      </c>
      <c r="V350" s="39">
        <v>0</v>
      </c>
      <c r="W350" s="39">
        <v>0</v>
      </c>
      <c r="X350" s="39">
        <v>0</v>
      </c>
      <c r="Y350" s="39">
        <v>0</v>
      </c>
      <c r="Z350" s="39">
        <v>0</v>
      </c>
      <c r="AA350" s="39">
        <v>0</v>
      </c>
      <c r="AB350" s="39">
        <v>0</v>
      </c>
      <c r="AC350" s="39">
        <v>0</v>
      </c>
      <c r="AD350" s="39">
        <v>0</v>
      </c>
      <c r="AE350" s="39">
        <v>0</v>
      </c>
      <c r="AF350" s="39">
        <v>348.31</v>
      </c>
      <c r="AG350" s="39">
        <v>358.42</v>
      </c>
      <c r="AH350" s="39"/>
      <c r="AI350" s="39"/>
      <c r="AJ350" s="40"/>
      <c r="AK350" s="39">
        <f t="shared" si="25"/>
        <v>0</v>
      </c>
      <c r="AL350" s="39">
        <f t="shared" si="28"/>
        <v>58.894166666666671</v>
      </c>
      <c r="AM350" s="39">
        <f t="shared" si="29"/>
        <v>117.78833333333334</v>
      </c>
      <c r="AN350" s="39">
        <f t="shared" si="26"/>
        <v>70.673000000000002</v>
      </c>
      <c r="AO350" s="39">
        <f t="shared" si="27"/>
        <v>706.73</v>
      </c>
    </row>
    <row r="351" spans="1:41" x14ac:dyDescent="0.3">
      <c r="A351" s="20">
        <v>1000184670</v>
      </c>
      <c r="B351" s="4" t="s">
        <v>147</v>
      </c>
      <c r="C351" s="21">
        <v>1000186197</v>
      </c>
      <c r="D351" s="3" t="s">
        <v>166</v>
      </c>
      <c r="E351" s="20">
        <v>1000198600</v>
      </c>
      <c r="F351" s="4" t="s">
        <v>148</v>
      </c>
      <c r="G351" s="21">
        <v>1000198601</v>
      </c>
      <c r="H351" s="3" t="s">
        <v>149</v>
      </c>
      <c r="I351" s="21">
        <v>1000190600</v>
      </c>
      <c r="J351" s="3" t="s">
        <v>146</v>
      </c>
      <c r="K351" s="20" t="s">
        <v>17</v>
      </c>
      <c r="L351" s="39">
        <v>0</v>
      </c>
      <c r="M351" s="39">
        <v>0</v>
      </c>
      <c r="N351" s="39">
        <v>0</v>
      </c>
      <c r="O351" s="39">
        <v>0</v>
      </c>
      <c r="P351" s="39">
        <v>0</v>
      </c>
      <c r="Q351" s="39">
        <v>0</v>
      </c>
      <c r="R351" s="39">
        <v>0</v>
      </c>
      <c r="S351" s="39">
        <v>0</v>
      </c>
      <c r="T351" s="39">
        <v>0</v>
      </c>
      <c r="U351" s="39">
        <v>0</v>
      </c>
      <c r="V351" s="39">
        <v>0</v>
      </c>
      <c r="W351" s="39">
        <v>0</v>
      </c>
      <c r="X351" s="39">
        <v>0</v>
      </c>
      <c r="Y351" s="39">
        <v>0</v>
      </c>
      <c r="Z351" s="39">
        <v>0</v>
      </c>
      <c r="AA351" s="39">
        <v>0</v>
      </c>
      <c r="AB351" s="39">
        <v>0</v>
      </c>
      <c r="AC351" s="39">
        <v>0</v>
      </c>
      <c r="AD351" s="39">
        <v>0</v>
      </c>
      <c r="AE351" s="39">
        <v>0</v>
      </c>
      <c r="AF351" s="39">
        <v>0</v>
      </c>
      <c r="AG351" s="39">
        <v>0</v>
      </c>
      <c r="AH351" s="39"/>
      <c r="AI351" s="39"/>
      <c r="AJ351" s="40"/>
      <c r="AK351" s="39">
        <f t="shared" si="25"/>
        <v>0</v>
      </c>
      <c r="AL351" s="39">
        <f t="shared" si="28"/>
        <v>0</v>
      </c>
      <c r="AM351" s="39">
        <f t="shared" si="29"/>
        <v>0</v>
      </c>
      <c r="AN351" s="39">
        <f t="shared" si="26"/>
        <v>0</v>
      </c>
      <c r="AO351" s="39">
        <f t="shared" si="27"/>
        <v>0</v>
      </c>
    </row>
    <row r="352" spans="1:41" x14ac:dyDescent="0.3">
      <c r="A352" s="20">
        <v>1000184670</v>
      </c>
      <c r="B352" s="4" t="s">
        <v>147</v>
      </c>
      <c r="C352" s="21">
        <v>1000186197</v>
      </c>
      <c r="D352" s="3" t="s">
        <v>166</v>
      </c>
      <c r="E352" s="20">
        <v>1000198600</v>
      </c>
      <c r="F352" s="4" t="s">
        <v>148</v>
      </c>
      <c r="G352" s="21">
        <v>1000198601</v>
      </c>
      <c r="H352" s="3" t="s">
        <v>149</v>
      </c>
      <c r="I352" s="21">
        <v>1000190600</v>
      </c>
      <c r="J352" s="3" t="s">
        <v>146</v>
      </c>
      <c r="K352" s="20" t="s">
        <v>24</v>
      </c>
      <c r="L352" s="39">
        <v>0</v>
      </c>
      <c r="M352" s="39">
        <v>0</v>
      </c>
      <c r="N352" s="39">
        <v>0</v>
      </c>
      <c r="O352" s="39">
        <v>0</v>
      </c>
      <c r="P352" s="39">
        <v>0</v>
      </c>
      <c r="Q352" s="39">
        <v>0</v>
      </c>
      <c r="R352" s="39">
        <v>0</v>
      </c>
      <c r="S352" s="39">
        <v>0</v>
      </c>
      <c r="T352" s="39">
        <v>0</v>
      </c>
      <c r="U352" s="39">
        <v>0</v>
      </c>
      <c r="V352" s="39">
        <v>0</v>
      </c>
      <c r="W352" s="39">
        <v>0</v>
      </c>
      <c r="X352" s="39">
        <v>0</v>
      </c>
      <c r="Y352" s="39">
        <v>0</v>
      </c>
      <c r="Z352" s="39">
        <v>0</v>
      </c>
      <c r="AA352" s="39">
        <v>0</v>
      </c>
      <c r="AB352" s="39">
        <v>0</v>
      </c>
      <c r="AC352" s="39">
        <v>0</v>
      </c>
      <c r="AD352" s="39">
        <v>0</v>
      </c>
      <c r="AE352" s="39">
        <v>0</v>
      </c>
      <c r="AF352" s="39">
        <v>0</v>
      </c>
      <c r="AG352" s="39">
        <v>314.47000000000003</v>
      </c>
      <c r="AH352" s="39"/>
      <c r="AI352" s="39"/>
      <c r="AJ352" s="40"/>
      <c r="AK352" s="39">
        <f t="shared" si="25"/>
        <v>0</v>
      </c>
      <c r="AL352" s="39">
        <f t="shared" si="28"/>
        <v>26.205833333333334</v>
      </c>
      <c r="AM352" s="39">
        <f t="shared" si="29"/>
        <v>52.411666666666669</v>
      </c>
      <c r="AN352" s="39">
        <f t="shared" si="26"/>
        <v>31.447000000000003</v>
      </c>
      <c r="AO352" s="39">
        <f t="shared" si="27"/>
        <v>314.47000000000003</v>
      </c>
    </row>
    <row r="353" spans="1:41" x14ac:dyDescent="0.3">
      <c r="A353" s="20">
        <v>1000184670</v>
      </c>
      <c r="B353" s="4" t="s">
        <v>147</v>
      </c>
      <c r="C353" s="21">
        <v>1000186197</v>
      </c>
      <c r="D353" s="3" t="s">
        <v>166</v>
      </c>
      <c r="E353" s="20">
        <v>1000198600</v>
      </c>
      <c r="F353" s="4" t="s">
        <v>148</v>
      </c>
      <c r="G353" s="21">
        <v>1000198601</v>
      </c>
      <c r="H353" s="3" t="s">
        <v>149</v>
      </c>
      <c r="I353" s="21">
        <v>1000190600</v>
      </c>
      <c r="J353" s="3" t="s">
        <v>146</v>
      </c>
      <c r="K353" s="20" t="s">
        <v>18</v>
      </c>
      <c r="L353" s="39">
        <v>0</v>
      </c>
      <c r="M353" s="39">
        <v>0</v>
      </c>
      <c r="N353" s="39">
        <v>0</v>
      </c>
      <c r="O353" s="39">
        <v>0</v>
      </c>
      <c r="P353" s="39">
        <v>0</v>
      </c>
      <c r="Q353" s="39">
        <v>0</v>
      </c>
      <c r="R353" s="39">
        <v>0</v>
      </c>
      <c r="S353" s="39">
        <v>0</v>
      </c>
      <c r="T353" s="39">
        <v>0</v>
      </c>
      <c r="U353" s="39">
        <v>0</v>
      </c>
      <c r="V353" s="39">
        <v>0</v>
      </c>
      <c r="W353" s="39">
        <v>0</v>
      </c>
      <c r="X353" s="39">
        <v>0</v>
      </c>
      <c r="Y353" s="39">
        <v>0</v>
      </c>
      <c r="Z353" s="39">
        <v>0</v>
      </c>
      <c r="AA353" s="39">
        <v>0</v>
      </c>
      <c r="AB353" s="39">
        <v>0</v>
      </c>
      <c r="AC353" s="39">
        <v>0</v>
      </c>
      <c r="AD353" s="39">
        <v>0</v>
      </c>
      <c r="AE353" s="39">
        <v>0</v>
      </c>
      <c r="AF353" s="39">
        <v>0</v>
      </c>
      <c r="AG353" s="39">
        <v>17</v>
      </c>
      <c r="AH353" s="39"/>
      <c r="AI353" s="39"/>
      <c r="AJ353" s="40"/>
      <c r="AK353" s="39">
        <f t="shared" si="25"/>
        <v>0</v>
      </c>
      <c r="AL353" s="39">
        <f t="shared" si="28"/>
        <v>1.4166666666666667</v>
      </c>
      <c r="AM353" s="39">
        <f t="shared" si="29"/>
        <v>2.8333333333333335</v>
      </c>
      <c r="AN353" s="39">
        <f t="shared" si="26"/>
        <v>1.7</v>
      </c>
      <c r="AO353" s="39">
        <f t="shared" si="27"/>
        <v>17</v>
      </c>
    </row>
    <row r="354" spans="1:41" x14ac:dyDescent="0.3">
      <c r="A354" s="20">
        <v>1000184670</v>
      </c>
      <c r="B354" s="4" t="s">
        <v>147</v>
      </c>
      <c r="C354" s="21">
        <v>1000186197</v>
      </c>
      <c r="D354" s="3" t="s">
        <v>166</v>
      </c>
      <c r="E354" s="20">
        <v>1000198600</v>
      </c>
      <c r="F354" s="4" t="s">
        <v>148</v>
      </c>
      <c r="G354" s="21">
        <v>1000198601</v>
      </c>
      <c r="H354" s="3" t="s">
        <v>149</v>
      </c>
      <c r="I354" s="21">
        <v>1000190600</v>
      </c>
      <c r="J354" s="3" t="s">
        <v>146</v>
      </c>
      <c r="K354" s="20" t="s">
        <v>29</v>
      </c>
      <c r="L354" s="39">
        <v>0</v>
      </c>
      <c r="M354" s="39">
        <v>0</v>
      </c>
      <c r="N354" s="39">
        <v>0</v>
      </c>
      <c r="O354" s="39">
        <v>0</v>
      </c>
      <c r="P354" s="39">
        <v>0</v>
      </c>
      <c r="Q354" s="39">
        <v>0</v>
      </c>
      <c r="R354" s="39">
        <v>0</v>
      </c>
      <c r="S354" s="39">
        <v>0</v>
      </c>
      <c r="T354" s="39">
        <v>0</v>
      </c>
      <c r="U354" s="39">
        <v>0</v>
      </c>
      <c r="V354" s="39">
        <v>0</v>
      </c>
      <c r="W354" s="39">
        <v>0</v>
      </c>
      <c r="X354" s="39">
        <v>0</v>
      </c>
      <c r="Y354" s="39">
        <v>0</v>
      </c>
      <c r="Z354" s="39">
        <v>0</v>
      </c>
      <c r="AA354" s="39">
        <v>0</v>
      </c>
      <c r="AB354" s="39">
        <v>0</v>
      </c>
      <c r="AC354" s="39">
        <v>0</v>
      </c>
      <c r="AD354" s="39">
        <v>0</v>
      </c>
      <c r="AE354" s="39">
        <v>0</v>
      </c>
      <c r="AF354" s="39">
        <v>8568</v>
      </c>
      <c r="AG354" s="39">
        <v>8595.4</v>
      </c>
      <c r="AH354" s="39"/>
      <c r="AI354" s="39"/>
      <c r="AJ354" s="40"/>
      <c r="AK354" s="39">
        <f t="shared" si="25"/>
        <v>0</v>
      </c>
      <c r="AL354" s="39">
        <f t="shared" si="28"/>
        <v>1430.2833333333335</v>
      </c>
      <c r="AM354" s="39">
        <f t="shared" si="29"/>
        <v>2860.5666666666671</v>
      </c>
      <c r="AN354" s="39">
        <f t="shared" si="26"/>
        <v>1716.3400000000001</v>
      </c>
      <c r="AO354" s="39">
        <f t="shared" si="27"/>
        <v>17163.400000000001</v>
      </c>
    </row>
    <row r="355" spans="1:41" x14ac:dyDescent="0.3">
      <c r="A355" s="20">
        <v>1000184670</v>
      </c>
      <c r="B355" s="4" t="s">
        <v>147</v>
      </c>
      <c r="C355" s="21">
        <v>1000186197</v>
      </c>
      <c r="D355" s="3" t="s">
        <v>166</v>
      </c>
      <c r="E355" s="20">
        <v>1000198600</v>
      </c>
      <c r="F355" s="4" t="s">
        <v>148</v>
      </c>
      <c r="G355" s="21">
        <v>1000198601</v>
      </c>
      <c r="H355" s="3" t="s">
        <v>149</v>
      </c>
      <c r="I355" s="21">
        <v>1000190600</v>
      </c>
      <c r="J355" s="3" t="s">
        <v>146</v>
      </c>
      <c r="K355" s="20" t="s">
        <v>21</v>
      </c>
      <c r="L355" s="39">
        <v>522</v>
      </c>
      <c r="M355" s="39">
        <v>0</v>
      </c>
      <c r="N355" s="39">
        <v>0</v>
      </c>
      <c r="O355" s="39">
        <v>0</v>
      </c>
      <c r="P355" s="39">
        <v>0</v>
      </c>
      <c r="Q355" s="39">
        <v>0</v>
      </c>
      <c r="R355" s="39">
        <v>0</v>
      </c>
      <c r="S355" s="39">
        <v>0</v>
      </c>
      <c r="T355" s="39">
        <v>0</v>
      </c>
      <c r="U355" s="39">
        <v>0</v>
      </c>
      <c r="V355" s="39">
        <v>0</v>
      </c>
      <c r="W355" s="39">
        <v>512.4</v>
      </c>
      <c r="X355" s="39">
        <v>0</v>
      </c>
      <c r="Y355" s="39">
        <v>0</v>
      </c>
      <c r="Z355" s="39">
        <v>0</v>
      </c>
      <c r="AA355" s="39">
        <v>0</v>
      </c>
      <c r="AB355" s="39">
        <v>0</v>
      </c>
      <c r="AC355" s="39">
        <v>0</v>
      </c>
      <c r="AD355" s="39">
        <v>0</v>
      </c>
      <c r="AE355" s="39">
        <v>0</v>
      </c>
      <c r="AF355" s="39">
        <v>321.77999999999997</v>
      </c>
      <c r="AG355" s="39">
        <v>253.92</v>
      </c>
      <c r="AH355" s="39"/>
      <c r="AI355" s="39"/>
      <c r="AJ355" s="40"/>
      <c r="AK355" s="39">
        <f t="shared" si="25"/>
        <v>86.2</v>
      </c>
      <c r="AL355" s="39">
        <f t="shared" si="28"/>
        <v>90.674999999999997</v>
      </c>
      <c r="AM355" s="39">
        <f t="shared" si="29"/>
        <v>95.949999999999989</v>
      </c>
      <c r="AN355" s="39">
        <f t="shared" si="26"/>
        <v>57.569999999999993</v>
      </c>
      <c r="AO355" s="39">
        <f t="shared" si="27"/>
        <v>575.69999999999993</v>
      </c>
    </row>
    <row r="356" spans="1:41" x14ac:dyDescent="0.3">
      <c r="A356" s="20">
        <v>1000184670</v>
      </c>
      <c r="B356" s="4" t="s">
        <v>147</v>
      </c>
      <c r="C356" s="21">
        <v>1000186197</v>
      </c>
      <c r="D356" s="3" t="s">
        <v>166</v>
      </c>
      <c r="E356" s="20">
        <v>1000198600</v>
      </c>
      <c r="F356" s="4" t="s">
        <v>148</v>
      </c>
      <c r="G356" s="21">
        <v>1000198601</v>
      </c>
      <c r="H356" s="3" t="s">
        <v>149</v>
      </c>
      <c r="I356" s="21">
        <v>1000190600</v>
      </c>
      <c r="J356" s="3" t="s">
        <v>146</v>
      </c>
      <c r="K356" s="20" t="s">
        <v>20</v>
      </c>
      <c r="L356" s="39">
        <v>0</v>
      </c>
      <c r="M356" s="39">
        <v>0</v>
      </c>
      <c r="N356" s="39">
        <v>0</v>
      </c>
      <c r="O356" s="39">
        <v>0</v>
      </c>
      <c r="P356" s="39">
        <v>0</v>
      </c>
      <c r="Q356" s="39">
        <v>0</v>
      </c>
      <c r="R356" s="39">
        <v>0</v>
      </c>
      <c r="S356" s="39">
        <v>0</v>
      </c>
      <c r="T356" s="39">
        <v>0</v>
      </c>
      <c r="U356" s="39">
        <v>0</v>
      </c>
      <c r="V356" s="39">
        <v>0</v>
      </c>
      <c r="W356" s="39">
        <v>0</v>
      </c>
      <c r="X356" s="39">
        <v>0</v>
      </c>
      <c r="Y356" s="39">
        <v>0</v>
      </c>
      <c r="Z356" s="39">
        <v>0</v>
      </c>
      <c r="AA356" s="39">
        <v>0</v>
      </c>
      <c r="AB356" s="39">
        <v>0</v>
      </c>
      <c r="AC356" s="39">
        <v>0</v>
      </c>
      <c r="AD356" s="39">
        <v>0</v>
      </c>
      <c r="AE356" s="39">
        <v>0</v>
      </c>
      <c r="AF356" s="39">
        <v>0</v>
      </c>
      <c r="AG356" s="39">
        <v>132.33000000000001</v>
      </c>
      <c r="AH356" s="39"/>
      <c r="AI356" s="39"/>
      <c r="AJ356" s="40"/>
      <c r="AK356" s="39">
        <f t="shared" si="25"/>
        <v>0</v>
      </c>
      <c r="AL356" s="39">
        <f t="shared" si="28"/>
        <v>11.027500000000002</v>
      </c>
      <c r="AM356" s="39">
        <f t="shared" si="29"/>
        <v>22.055000000000003</v>
      </c>
      <c r="AN356" s="39">
        <f t="shared" si="26"/>
        <v>13.233000000000001</v>
      </c>
      <c r="AO356" s="39">
        <f t="shared" si="27"/>
        <v>132.33000000000001</v>
      </c>
    </row>
    <row r="357" spans="1:41" x14ac:dyDescent="0.3">
      <c r="A357" s="20">
        <v>1000184670</v>
      </c>
      <c r="B357" s="4" t="s">
        <v>147</v>
      </c>
      <c r="C357" s="21">
        <v>1000186197</v>
      </c>
      <c r="D357" s="3" t="s">
        <v>166</v>
      </c>
      <c r="E357" s="20">
        <v>1000198600</v>
      </c>
      <c r="F357" s="4" t="s">
        <v>148</v>
      </c>
      <c r="G357" s="21">
        <v>1000198601</v>
      </c>
      <c r="H357" s="3" t="s">
        <v>149</v>
      </c>
      <c r="I357" s="21">
        <v>1000190600</v>
      </c>
      <c r="J357" s="3" t="s">
        <v>146</v>
      </c>
      <c r="K357" s="20" t="s">
        <v>22</v>
      </c>
      <c r="L357" s="39">
        <v>0</v>
      </c>
      <c r="M357" s="39">
        <v>0</v>
      </c>
      <c r="N357" s="39">
        <v>0</v>
      </c>
      <c r="O357" s="39">
        <v>0</v>
      </c>
      <c r="P357" s="39">
        <v>0</v>
      </c>
      <c r="Q357" s="39">
        <v>0</v>
      </c>
      <c r="R357" s="39">
        <v>0</v>
      </c>
      <c r="S357" s="39">
        <v>0</v>
      </c>
      <c r="T357" s="39">
        <v>0</v>
      </c>
      <c r="U357" s="39">
        <v>0</v>
      </c>
      <c r="V357" s="39">
        <v>0</v>
      </c>
      <c r="W357" s="39">
        <v>0</v>
      </c>
      <c r="X357" s="39">
        <v>0</v>
      </c>
      <c r="Y357" s="39">
        <v>0</v>
      </c>
      <c r="Z357" s="39">
        <v>0</v>
      </c>
      <c r="AA357" s="39">
        <v>0</v>
      </c>
      <c r="AB357" s="39">
        <v>0</v>
      </c>
      <c r="AC357" s="39">
        <v>0</v>
      </c>
      <c r="AD357" s="39">
        <v>0</v>
      </c>
      <c r="AE357" s="39">
        <v>0</v>
      </c>
      <c r="AF357" s="39">
        <v>311.10000000000002</v>
      </c>
      <c r="AG357" s="39">
        <v>563.87</v>
      </c>
      <c r="AH357" s="39"/>
      <c r="AI357" s="39"/>
      <c r="AJ357" s="40"/>
      <c r="AK357" s="39">
        <f t="shared" si="25"/>
        <v>0</v>
      </c>
      <c r="AL357" s="39">
        <f t="shared" si="28"/>
        <v>72.914166666666674</v>
      </c>
      <c r="AM357" s="39">
        <f t="shared" si="29"/>
        <v>145.82833333333335</v>
      </c>
      <c r="AN357" s="39">
        <f t="shared" si="26"/>
        <v>87.497</v>
      </c>
      <c r="AO357" s="39">
        <f t="shared" si="27"/>
        <v>874.97</v>
      </c>
    </row>
    <row r="358" spans="1:41" x14ac:dyDescent="0.3">
      <c r="A358" s="20">
        <v>1000184670</v>
      </c>
      <c r="B358" s="4" t="s">
        <v>147</v>
      </c>
      <c r="C358" s="21">
        <v>1000186197</v>
      </c>
      <c r="D358" s="3" t="s">
        <v>166</v>
      </c>
      <c r="E358" s="20">
        <v>1000198600</v>
      </c>
      <c r="F358" s="4" t="s">
        <v>148</v>
      </c>
      <c r="G358" s="21">
        <v>1000198601</v>
      </c>
      <c r="H358" s="3" t="s">
        <v>149</v>
      </c>
      <c r="I358" s="21">
        <v>1000190600</v>
      </c>
      <c r="J358" s="3" t="s">
        <v>146</v>
      </c>
      <c r="K358" s="20" t="s">
        <v>23</v>
      </c>
      <c r="L358" s="39">
        <v>0</v>
      </c>
      <c r="M358" s="39">
        <v>0</v>
      </c>
      <c r="N358" s="39">
        <v>0</v>
      </c>
      <c r="O358" s="39">
        <v>0</v>
      </c>
      <c r="P358" s="39">
        <v>0</v>
      </c>
      <c r="Q358" s="39">
        <v>0</v>
      </c>
      <c r="R358" s="39">
        <v>0</v>
      </c>
      <c r="S358" s="39">
        <v>0</v>
      </c>
      <c r="T358" s="39">
        <v>0</v>
      </c>
      <c r="U358" s="39">
        <v>0</v>
      </c>
      <c r="V358" s="39">
        <v>0</v>
      </c>
      <c r="W358" s="39">
        <v>0</v>
      </c>
      <c r="X358" s="39">
        <v>0</v>
      </c>
      <c r="Y358" s="39">
        <v>0</v>
      </c>
      <c r="Z358" s="39">
        <v>0</v>
      </c>
      <c r="AA358" s="39">
        <v>0</v>
      </c>
      <c r="AB358" s="39">
        <v>0</v>
      </c>
      <c r="AC358" s="39">
        <v>0</v>
      </c>
      <c r="AD358" s="39">
        <v>0</v>
      </c>
      <c r="AE358" s="39">
        <v>0</v>
      </c>
      <c r="AF358" s="39">
        <v>0</v>
      </c>
      <c r="AG358" s="39">
        <v>30.34</v>
      </c>
      <c r="AH358" s="39"/>
      <c r="AI358" s="39"/>
      <c r="AJ358" s="40"/>
      <c r="AK358" s="39">
        <f t="shared" si="25"/>
        <v>0</v>
      </c>
      <c r="AL358" s="39">
        <f t="shared" si="28"/>
        <v>2.5283333333333333</v>
      </c>
      <c r="AM358" s="39">
        <f t="shared" si="29"/>
        <v>5.0566666666666666</v>
      </c>
      <c r="AN358" s="39">
        <f t="shared" si="26"/>
        <v>3.0339999999999998</v>
      </c>
      <c r="AO358" s="39">
        <f t="shared" si="27"/>
        <v>30.34</v>
      </c>
    </row>
    <row r="359" spans="1:41" x14ac:dyDescent="0.3">
      <c r="A359" s="20">
        <v>1000184670</v>
      </c>
      <c r="B359" s="4" t="s">
        <v>147</v>
      </c>
      <c r="C359" s="21">
        <v>1000186197</v>
      </c>
      <c r="D359" s="3" t="s">
        <v>166</v>
      </c>
      <c r="E359" s="20">
        <v>1000198600</v>
      </c>
      <c r="F359" s="4" t="s">
        <v>148</v>
      </c>
      <c r="G359" s="21">
        <v>1000198601</v>
      </c>
      <c r="H359" s="3" t="s">
        <v>149</v>
      </c>
      <c r="I359" s="21">
        <v>1000190600</v>
      </c>
      <c r="J359" s="3" t="s">
        <v>146</v>
      </c>
      <c r="K359" s="20" t="s">
        <v>28</v>
      </c>
      <c r="L359" s="39">
        <v>0</v>
      </c>
      <c r="M359" s="39">
        <v>0</v>
      </c>
      <c r="N359" s="39">
        <v>0</v>
      </c>
      <c r="O359" s="39">
        <v>0</v>
      </c>
      <c r="P359" s="39">
        <v>0</v>
      </c>
      <c r="Q359" s="39">
        <v>0</v>
      </c>
      <c r="R359" s="39">
        <v>0</v>
      </c>
      <c r="S359" s="39">
        <v>0</v>
      </c>
      <c r="T359" s="39">
        <v>0</v>
      </c>
      <c r="U359" s="39">
        <v>0</v>
      </c>
      <c r="V359" s="39">
        <v>0</v>
      </c>
      <c r="W359" s="39">
        <v>0</v>
      </c>
      <c r="X359" s="39">
        <v>0</v>
      </c>
      <c r="Y359" s="39">
        <v>0</v>
      </c>
      <c r="Z359" s="39">
        <v>0</v>
      </c>
      <c r="AA359" s="39">
        <v>0</v>
      </c>
      <c r="AB359" s="39">
        <v>0</v>
      </c>
      <c r="AC359" s="39">
        <v>0</v>
      </c>
      <c r="AD359" s="39">
        <v>0</v>
      </c>
      <c r="AE359" s="39">
        <v>0</v>
      </c>
      <c r="AF359" s="39">
        <v>0</v>
      </c>
      <c r="AG359" s="39">
        <v>0</v>
      </c>
      <c r="AH359" s="39"/>
      <c r="AI359" s="39"/>
      <c r="AJ359" s="40"/>
      <c r="AK359" s="39">
        <f t="shared" si="25"/>
        <v>0</v>
      </c>
      <c r="AL359" s="39">
        <f t="shared" si="28"/>
        <v>0</v>
      </c>
      <c r="AM359" s="39">
        <f t="shared" si="29"/>
        <v>0</v>
      </c>
      <c r="AN359" s="39">
        <f t="shared" si="26"/>
        <v>0</v>
      </c>
      <c r="AO359" s="39">
        <f t="shared" si="27"/>
        <v>0</v>
      </c>
    </row>
    <row r="360" spans="1:41" x14ac:dyDescent="0.3">
      <c r="A360" s="20">
        <v>1000184670</v>
      </c>
      <c r="B360" s="4" t="s">
        <v>147</v>
      </c>
      <c r="C360" s="21">
        <v>1000186197</v>
      </c>
      <c r="D360" s="3" t="s">
        <v>166</v>
      </c>
      <c r="E360" s="20">
        <v>1000198600</v>
      </c>
      <c r="F360" s="4" t="s">
        <v>148</v>
      </c>
      <c r="G360" s="21">
        <v>1000198601</v>
      </c>
      <c r="H360" s="3" t="s">
        <v>149</v>
      </c>
      <c r="I360" s="21">
        <v>1000190600</v>
      </c>
      <c r="J360" s="3" t="s">
        <v>146</v>
      </c>
      <c r="K360" s="20" t="s">
        <v>26</v>
      </c>
      <c r="L360" s="39">
        <v>0</v>
      </c>
      <c r="M360" s="39">
        <v>0</v>
      </c>
      <c r="N360" s="39">
        <v>0</v>
      </c>
      <c r="O360" s="39">
        <v>0</v>
      </c>
      <c r="P360" s="39">
        <v>0</v>
      </c>
      <c r="Q360" s="39">
        <v>0</v>
      </c>
      <c r="R360" s="39">
        <v>0</v>
      </c>
      <c r="S360" s="39">
        <v>0</v>
      </c>
      <c r="T360" s="39">
        <v>0</v>
      </c>
      <c r="U360" s="39">
        <v>0</v>
      </c>
      <c r="V360" s="39">
        <v>0</v>
      </c>
      <c r="W360" s="39">
        <v>0</v>
      </c>
      <c r="X360" s="39">
        <v>0</v>
      </c>
      <c r="Y360" s="39">
        <v>0</v>
      </c>
      <c r="Z360" s="39">
        <v>0</v>
      </c>
      <c r="AA360" s="39">
        <v>0</v>
      </c>
      <c r="AB360" s="39">
        <v>0</v>
      </c>
      <c r="AC360" s="39">
        <v>0</v>
      </c>
      <c r="AD360" s="39">
        <v>0</v>
      </c>
      <c r="AE360" s="39">
        <v>0</v>
      </c>
      <c r="AF360" s="39">
        <v>612</v>
      </c>
      <c r="AG360" s="39">
        <v>1078.8</v>
      </c>
      <c r="AH360" s="39"/>
      <c r="AI360" s="39"/>
      <c r="AJ360" s="40"/>
      <c r="AK360" s="39">
        <f t="shared" si="25"/>
        <v>0</v>
      </c>
      <c r="AL360" s="39">
        <f t="shared" si="28"/>
        <v>140.9</v>
      </c>
      <c r="AM360" s="39">
        <f t="shared" si="29"/>
        <v>281.8</v>
      </c>
      <c r="AN360" s="39">
        <f t="shared" si="26"/>
        <v>169.07999999999998</v>
      </c>
      <c r="AO360" s="39">
        <f t="shared" si="27"/>
        <v>1690.8</v>
      </c>
    </row>
    <row r="361" spans="1:41" x14ac:dyDescent="0.3">
      <c r="A361" s="20">
        <v>1000184670</v>
      </c>
      <c r="B361" s="4" t="s">
        <v>147</v>
      </c>
      <c r="C361" s="21">
        <v>1000186197</v>
      </c>
      <c r="D361" s="3" t="s">
        <v>166</v>
      </c>
      <c r="E361" s="20">
        <v>1000198600</v>
      </c>
      <c r="F361" s="4" t="s">
        <v>148</v>
      </c>
      <c r="G361" s="21">
        <v>1000198601</v>
      </c>
      <c r="H361" s="3" t="s">
        <v>149</v>
      </c>
      <c r="I361" s="21">
        <v>1000190600</v>
      </c>
      <c r="J361" s="3" t="s">
        <v>146</v>
      </c>
      <c r="K361" s="20" t="s">
        <v>27</v>
      </c>
      <c r="L361" s="39">
        <v>0</v>
      </c>
      <c r="M361" s="39">
        <v>0</v>
      </c>
      <c r="N361" s="39">
        <v>0</v>
      </c>
      <c r="O361" s="39">
        <v>0</v>
      </c>
      <c r="P361" s="39">
        <v>0</v>
      </c>
      <c r="Q361" s="39">
        <v>0</v>
      </c>
      <c r="R361" s="39">
        <v>0</v>
      </c>
      <c r="S361" s="39">
        <v>0</v>
      </c>
      <c r="T361" s="39">
        <v>0</v>
      </c>
      <c r="U361" s="39">
        <v>0</v>
      </c>
      <c r="V361" s="39">
        <v>0</v>
      </c>
      <c r="W361" s="39">
        <v>0</v>
      </c>
      <c r="X361" s="39">
        <v>0</v>
      </c>
      <c r="Y361" s="39">
        <v>0</v>
      </c>
      <c r="Z361" s="39">
        <v>0</v>
      </c>
      <c r="AA361" s="39">
        <v>0</v>
      </c>
      <c r="AB361" s="39">
        <v>0</v>
      </c>
      <c r="AC361" s="39">
        <v>0</v>
      </c>
      <c r="AD361" s="39">
        <v>0</v>
      </c>
      <c r="AE361" s="39">
        <v>0</v>
      </c>
      <c r="AF361" s="39">
        <v>0</v>
      </c>
      <c r="AG361" s="39">
        <v>111.99</v>
      </c>
      <c r="AH361" s="39"/>
      <c r="AI361" s="39"/>
      <c r="AJ361" s="40"/>
      <c r="AK361" s="39">
        <f t="shared" si="25"/>
        <v>0</v>
      </c>
      <c r="AL361" s="39">
        <f t="shared" si="28"/>
        <v>9.3324999999999996</v>
      </c>
      <c r="AM361" s="39">
        <f t="shared" si="29"/>
        <v>18.664999999999999</v>
      </c>
      <c r="AN361" s="39">
        <f t="shared" si="26"/>
        <v>11.199</v>
      </c>
      <c r="AO361" s="39">
        <f t="shared" si="27"/>
        <v>111.99</v>
      </c>
    </row>
    <row r="362" spans="1:41" x14ac:dyDescent="0.3">
      <c r="A362" s="20">
        <v>1000184670</v>
      </c>
      <c r="B362" s="4" t="s">
        <v>147</v>
      </c>
      <c r="C362" s="21">
        <v>1000186197</v>
      </c>
      <c r="D362" s="3" t="s">
        <v>166</v>
      </c>
      <c r="E362" s="20">
        <v>1000198600</v>
      </c>
      <c r="F362" s="4" t="s">
        <v>148</v>
      </c>
      <c r="G362" s="21">
        <v>1000198601</v>
      </c>
      <c r="H362" s="3" t="s">
        <v>149</v>
      </c>
      <c r="I362" s="21">
        <v>1000190600</v>
      </c>
      <c r="J362" s="3" t="s">
        <v>146</v>
      </c>
      <c r="K362" s="20" t="s">
        <v>25</v>
      </c>
      <c r="L362" s="39">
        <v>0</v>
      </c>
      <c r="M362" s="39">
        <v>0</v>
      </c>
      <c r="N362" s="39">
        <v>0</v>
      </c>
      <c r="O362" s="39">
        <v>0</v>
      </c>
      <c r="P362" s="39">
        <v>0</v>
      </c>
      <c r="Q362" s="39">
        <v>0</v>
      </c>
      <c r="R362" s="39">
        <v>0</v>
      </c>
      <c r="S362" s="39">
        <v>0</v>
      </c>
      <c r="T362" s="39">
        <v>0</v>
      </c>
      <c r="U362" s="39">
        <v>0</v>
      </c>
      <c r="V362" s="39">
        <v>0</v>
      </c>
      <c r="W362" s="39">
        <v>0</v>
      </c>
      <c r="X362" s="39">
        <v>0</v>
      </c>
      <c r="Y362" s="39">
        <v>0</v>
      </c>
      <c r="Z362" s="39">
        <v>0</v>
      </c>
      <c r="AA362" s="39">
        <v>0</v>
      </c>
      <c r="AB362" s="39">
        <v>0</v>
      </c>
      <c r="AC362" s="39">
        <v>0</v>
      </c>
      <c r="AD362" s="39">
        <v>0</v>
      </c>
      <c r="AE362" s="39">
        <v>0</v>
      </c>
      <c r="AF362" s="39">
        <v>252.42</v>
      </c>
      <c r="AG362" s="39">
        <v>306.87</v>
      </c>
      <c r="AH362" s="39"/>
      <c r="AI362" s="39"/>
      <c r="AJ362" s="40"/>
      <c r="AK362" s="39">
        <f t="shared" si="25"/>
        <v>0</v>
      </c>
      <c r="AL362" s="39">
        <f t="shared" si="28"/>
        <v>46.607499999999995</v>
      </c>
      <c r="AM362" s="39">
        <f t="shared" si="29"/>
        <v>93.214999999999989</v>
      </c>
      <c r="AN362" s="39">
        <f t="shared" si="26"/>
        <v>55.928999999999995</v>
      </c>
      <c r="AO362" s="39">
        <f t="shared" si="27"/>
        <v>559.29</v>
      </c>
    </row>
    <row r="363" spans="1:41" x14ac:dyDescent="0.3">
      <c r="A363" s="20">
        <v>1000184670</v>
      </c>
      <c r="B363" s="4" t="s">
        <v>147</v>
      </c>
      <c r="C363" s="21"/>
      <c r="D363" s="3"/>
      <c r="E363" s="20">
        <v>1000184758</v>
      </c>
      <c r="F363" s="4" t="s">
        <v>55</v>
      </c>
      <c r="G363" s="19">
        <v>1000189764</v>
      </c>
      <c r="H363" s="3" t="s">
        <v>83</v>
      </c>
      <c r="I363" s="21">
        <v>1000189270</v>
      </c>
      <c r="J363" s="3" t="s">
        <v>34</v>
      </c>
      <c r="K363" s="20" t="s">
        <v>124</v>
      </c>
      <c r="L363" s="39">
        <v>0</v>
      </c>
      <c r="M363" s="39">
        <v>0</v>
      </c>
      <c r="N363" s="39">
        <v>0</v>
      </c>
      <c r="O363" s="39">
        <v>0</v>
      </c>
      <c r="P363" s="39">
        <v>0</v>
      </c>
      <c r="Q363" s="39">
        <v>0</v>
      </c>
      <c r="R363" s="39">
        <v>0</v>
      </c>
      <c r="S363" s="39">
        <v>0</v>
      </c>
      <c r="T363" s="39">
        <v>0</v>
      </c>
      <c r="U363" s="39">
        <v>0</v>
      </c>
      <c r="V363" s="39">
        <v>0</v>
      </c>
      <c r="W363" s="39">
        <v>0</v>
      </c>
      <c r="X363" s="39">
        <v>0</v>
      </c>
      <c r="Y363" s="39">
        <v>0</v>
      </c>
      <c r="Z363" s="39">
        <v>0</v>
      </c>
      <c r="AA363" s="39">
        <v>0</v>
      </c>
      <c r="AB363" s="39">
        <v>0</v>
      </c>
      <c r="AC363" s="39">
        <v>0</v>
      </c>
      <c r="AD363" s="39">
        <v>0</v>
      </c>
      <c r="AE363" s="39">
        <v>0</v>
      </c>
      <c r="AF363" s="39">
        <v>0</v>
      </c>
      <c r="AG363" s="39">
        <v>0</v>
      </c>
      <c r="AH363" s="39"/>
      <c r="AI363" s="39"/>
      <c r="AJ363" s="40"/>
      <c r="AK363" s="39">
        <f t="shared" si="25"/>
        <v>0</v>
      </c>
      <c r="AL363" s="39">
        <f t="shared" si="28"/>
        <v>0</v>
      </c>
      <c r="AM363" s="39">
        <f t="shared" si="29"/>
        <v>0</v>
      </c>
      <c r="AN363" s="39">
        <f t="shared" si="26"/>
        <v>0</v>
      </c>
      <c r="AO363" s="39">
        <f t="shared" si="27"/>
        <v>0</v>
      </c>
    </row>
    <row r="364" spans="1:41" x14ac:dyDescent="0.3">
      <c r="A364" s="20">
        <v>1000184670</v>
      </c>
      <c r="B364" s="4" t="s">
        <v>147</v>
      </c>
      <c r="C364" s="21"/>
      <c r="D364" s="3"/>
      <c r="E364" s="20">
        <v>1000184758</v>
      </c>
      <c r="F364" s="4" t="s">
        <v>55</v>
      </c>
      <c r="G364" s="19">
        <v>1000189764</v>
      </c>
      <c r="H364" s="3" t="s">
        <v>83</v>
      </c>
      <c r="I364" s="21">
        <v>1000189270</v>
      </c>
      <c r="J364" s="3" t="s">
        <v>34</v>
      </c>
      <c r="K364" s="20" t="s">
        <v>13</v>
      </c>
      <c r="L364" s="39">
        <v>0</v>
      </c>
      <c r="M364" s="39">
        <v>0</v>
      </c>
      <c r="N364" s="39">
        <v>0</v>
      </c>
      <c r="O364" s="39">
        <v>0</v>
      </c>
      <c r="P364" s="39">
        <v>0</v>
      </c>
      <c r="Q364" s="39">
        <v>0</v>
      </c>
      <c r="R364" s="39">
        <v>0</v>
      </c>
      <c r="S364" s="39">
        <v>0</v>
      </c>
      <c r="T364" s="39">
        <v>0</v>
      </c>
      <c r="U364" s="39">
        <v>0</v>
      </c>
      <c r="V364" s="39">
        <v>0</v>
      </c>
      <c r="W364" s="39">
        <v>0</v>
      </c>
      <c r="X364" s="39">
        <v>0</v>
      </c>
      <c r="Y364" s="39">
        <v>0</v>
      </c>
      <c r="Z364" s="39">
        <v>0</v>
      </c>
      <c r="AA364" s="39">
        <v>0</v>
      </c>
      <c r="AB364" s="39">
        <v>0</v>
      </c>
      <c r="AC364" s="39">
        <v>0</v>
      </c>
      <c r="AD364" s="39">
        <v>0</v>
      </c>
      <c r="AE364" s="39">
        <v>0</v>
      </c>
      <c r="AF364" s="39">
        <v>0</v>
      </c>
      <c r="AG364" s="39">
        <v>0</v>
      </c>
      <c r="AH364" s="39"/>
      <c r="AI364" s="39"/>
      <c r="AJ364" s="40"/>
      <c r="AK364" s="39">
        <f t="shared" si="25"/>
        <v>0</v>
      </c>
      <c r="AL364" s="39">
        <f t="shared" si="28"/>
        <v>0</v>
      </c>
      <c r="AM364" s="39">
        <f t="shared" si="29"/>
        <v>0</v>
      </c>
      <c r="AN364" s="39">
        <f t="shared" si="26"/>
        <v>0</v>
      </c>
      <c r="AO364" s="39">
        <f t="shared" si="27"/>
        <v>0</v>
      </c>
    </row>
    <row r="365" spans="1:41" x14ac:dyDescent="0.3">
      <c r="A365" s="20">
        <v>1000184670</v>
      </c>
      <c r="B365" s="4" t="s">
        <v>147</v>
      </c>
      <c r="C365" s="21"/>
      <c r="D365" s="3"/>
      <c r="E365" s="20">
        <v>1000184758</v>
      </c>
      <c r="F365" s="4" t="s">
        <v>55</v>
      </c>
      <c r="G365" s="19">
        <v>1000189764</v>
      </c>
      <c r="H365" s="3" t="s">
        <v>83</v>
      </c>
      <c r="I365" s="21">
        <v>1000189270</v>
      </c>
      <c r="J365" s="3" t="s">
        <v>34</v>
      </c>
      <c r="K365" s="20" t="s">
        <v>14</v>
      </c>
      <c r="L365" s="39">
        <v>0</v>
      </c>
      <c r="M365" s="39">
        <v>0</v>
      </c>
      <c r="N365" s="39">
        <v>0</v>
      </c>
      <c r="O365" s="39">
        <v>0</v>
      </c>
      <c r="P365" s="39">
        <v>0</v>
      </c>
      <c r="Q365" s="39">
        <v>0</v>
      </c>
      <c r="R365" s="39">
        <v>0</v>
      </c>
      <c r="S365" s="39">
        <v>0</v>
      </c>
      <c r="T365" s="39">
        <v>0</v>
      </c>
      <c r="U365" s="39">
        <v>0</v>
      </c>
      <c r="V365" s="39">
        <v>0</v>
      </c>
      <c r="W365" s="39">
        <v>0</v>
      </c>
      <c r="X365" s="39">
        <v>0</v>
      </c>
      <c r="Y365" s="39">
        <v>0</v>
      </c>
      <c r="Z365" s="39">
        <v>0</v>
      </c>
      <c r="AA365" s="39">
        <v>0</v>
      </c>
      <c r="AB365" s="39">
        <v>0</v>
      </c>
      <c r="AC365" s="39">
        <v>0</v>
      </c>
      <c r="AD365" s="39">
        <v>0</v>
      </c>
      <c r="AE365" s="39">
        <v>0</v>
      </c>
      <c r="AF365" s="39">
        <v>0</v>
      </c>
      <c r="AG365" s="39">
        <v>0</v>
      </c>
      <c r="AH365" s="39"/>
      <c r="AI365" s="39"/>
      <c r="AJ365" s="40"/>
      <c r="AK365" s="39">
        <f t="shared" si="25"/>
        <v>0</v>
      </c>
      <c r="AL365" s="39">
        <f t="shared" si="28"/>
        <v>0</v>
      </c>
      <c r="AM365" s="39">
        <f t="shared" si="29"/>
        <v>0</v>
      </c>
      <c r="AN365" s="39">
        <f t="shared" si="26"/>
        <v>0</v>
      </c>
      <c r="AO365" s="39">
        <f t="shared" si="27"/>
        <v>0</v>
      </c>
    </row>
    <row r="366" spans="1:41" x14ac:dyDescent="0.3">
      <c r="A366" s="20">
        <v>1000184670</v>
      </c>
      <c r="B366" s="4" t="s">
        <v>147</v>
      </c>
      <c r="C366" s="21"/>
      <c r="D366" s="3"/>
      <c r="E366" s="20">
        <v>1000184758</v>
      </c>
      <c r="F366" s="4" t="s">
        <v>55</v>
      </c>
      <c r="G366" s="19">
        <v>1000189764</v>
      </c>
      <c r="H366" s="3" t="s">
        <v>83</v>
      </c>
      <c r="I366" s="21">
        <v>1000189270</v>
      </c>
      <c r="J366" s="3" t="s">
        <v>34</v>
      </c>
      <c r="K366" s="20" t="s">
        <v>16</v>
      </c>
      <c r="L366" s="39">
        <v>0</v>
      </c>
      <c r="M366" s="39">
        <v>0</v>
      </c>
      <c r="N366" s="39">
        <v>0</v>
      </c>
      <c r="O366" s="39">
        <v>0</v>
      </c>
      <c r="P366" s="39">
        <v>0</v>
      </c>
      <c r="Q366" s="39">
        <v>0</v>
      </c>
      <c r="R366" s="39">
        <v>0</v>
      </c>
      <c r="S366" s="39">
        <v>0</v>
      </c>
      <c r="T366" s="39">
        <v>0</v>
      </c>
      <c r="U366" s="39">
        <v>0</v>
      </c>
      <c r="V366" s="39">
        <v>0</v>
      </c>
      <c r="W366" s="39">
        <v>0</v>
      </c>
      <c r="X366" s="39">
        <v>0</v>
      </c>
      <c r="Y366" s="39">
        <v>0</v>
      </c>
      <c r="Z366" s="39">
        <v>0</v>
      </c>
      <c r="AA366" s="39">
        <v>0</v>
      </c>
      <c r="AB366" s="39">
        <v>0</v>
      </c>
      <c r="AC366" s="39">
        <v>0</v>
      </c>
      <c r="AD366" s="39">
        <v>0</v>
      </c>
      <c r="AE366" s="39">
        <v>0</v>
      </c>
      <c r="AF366" s="39">
        <v>0</v>
      </c>
      <c r="AG366" s="39">
        <v>0</v>
      </c>
      <c r="AH366" s="39"/>
      <c r="AI366" s="39"/>
      <c r="AJ366" s="40"/>
      <c r="AK366" s="39">
        <f t="shared" si="25"/>
        <v>0</v>
      </c>
      <c r="AL366" s="39">
        <f t="shared" si="28"/>
        <v>0</v>
      </c>
      <c r="AM366" s="39">
        <f t="shared" si="29"/>
        <v>0</v>
      </c>
      <c r="AN366" s="39">
        <f t="shared" si="26"/>
        <v>0</v>
      </c>
      <c r="AO366" s="39">
        <f t="shared" si="27"/>
        <v>0</v>
      </c>
    </row>
    <row r="367" spans="1:41" x14ac:dyDescent="0.3">
      <c r="A367" s="20">
        <v>1000184670</v>
      </c>
      <c r="B367" s="4" t="s">
        <v>147</v>
      </c>
      <c r="C367" s="21"/>
      <c r="D367" s="3"/>
      <c r="E367" s="20">
        <v>1000184758</v>
      </c>
      <c r="F367" s="4" t="s">
        <v>55</v>
      </c>
      <c r="G367" s="21">
        <v>1000189764</v>
      </c>
      <c r="H367" s="3" t="s">
        <v>83</v>
      </c>
      <c r="I367" s="21">
        <v>1000189270</v>
      </c>
      <c r="J367" s="3" t="s">
        <v>34</v>
      </c>
      <c r="K367" s="20" t="s">
        <v>15</v>
      </c>
      <c r="L367" s="39">
        <v>0</v>
      </c>
      <c r="M367" s="39">
        <v>0</v>
      </c>
      <c r="N367" s="39">
        <v>0</v>
      </c>
      <c r="O367" s="39">
        <v>0</v>
      </c>
      <c r="P367" s="39">
        <v>0</v>
      </c>
      <c r="Q367" s="39">
        <v>0</v>
      </c>
      <c r="R367" s="39">
        <v>0</v>
      </c>
      <c r="S367" s="39">
        <v>0</v>
      </c>
      <c r="T367" s="39">
        <v>0</v>
      </c>
      <c r="U367" s="39">
        <v>0</v>
      </c>
      <c r="V367" s="39">
        <v>0</v>
      </c>
      <c r="W367" s="39">
        <v>0</v>
      </c>
      <c r="X367" s="39">
        <v>0</v>
      </c>
      <c r="Y367" s="39">
        <v>0</v>
      </c>
      <c r="Z367" s="39">
        <v>0</v>
      </c>
      <c r="AA367" s="39">
        <v>0</v>
      </c>
      <c r="AB367" s="39">
        <v>0</v>
      </c>
      <c r="AC367" s="39">
        <v>0</v>
      </c>
      <c r="AD367" s="39">
        <v>0</v>
      </c>
      <c r="AE367" s="39">
        <v>0</v>
      </c>
      <c r="AF367" s="39">
        <v>0</v>
      </c>
      <c r="AG367" s="39">
        <v>0</v>
      </c>
      <c r="AH367" s="39"/>
      <c r="AI367" s="39"/>
      <c r="AJ367" s="40"/>
      <c r="AK367" s="39">
        <f t="shared" si="25"/>
        <v>0</v>
      </c>
      <c r="AL367" s="39">
        <f t="shared" si="28"/>
        <v>0</v>
      </c>
      <c r="AM367" s="39">
        <f t="shared" si="29"/>
        <v>0</v>
      </c>
      <c r="AN367" s="39">
        <f t="shared" si="26"/>
        <v>0</v>
      </c>
      <c r="AO367" s="39">
        <f t="shared" si="27"/>
        <v>0</v>
      </c>
    </row>
    <row r="368" spans="1:41" x14ac:dyDescent="0.3">
      <c r="A368" s="20">
        <v>1000184670</v>
      </c>
      <c r="B368" s="4" t="s">
        <v>147</v>
      </c>
      <c r="C368" s="21"/>
      <c r="D368" s="3"/>
      <c r="E368" s="20">
        <v>1000184758</v>
      </c>
      <c r="F368" s="4" t="s">
        <v>55</v>
      </c>
      <c r="G368" s="21">
        <v>1000189764</v>
      </c>
      <c r="H368" s="3" t="s">
        <v>83</v>
      </c>
      <c r="I368" s="21">
        <v>1000189270</v>
      </c>
      <c r="J368" s="3" t="s">
        <v>34</v>
      </c>
      <c r="K368" s="20" t="s">
        <v>33</v>
      </c>
      <c r="L368" s="39">
        <v>0</v>
      </c>
      <c r="M368" s="39">
        <v>0</v>
      </c>
      <c r="N368" s="39">
        <v>0</v>
      </c>
      <c r="O368" s="39">
        <v>0</v>
      </c>
      <c r="P368" s="39">
        <v>0</v>
      </c>
      <c r="Q368" s="39">
        <v>0</v>
      </c>
      <c r="R368" s="39">
        <v>0</v>
      </c>
      <c r="S368" s="39">
        <v>0</v>
      </c>
      <c r="T368" s="39">
        <v>0</v>
      </c>
      <c r="U368" s="39">
        <v>0</v>
      </c>
      <c r="V368" s="39">
        <v>0</v>
      </c>
      <c r="W368" s="39">
        <v>0</v>
      </c>
      <c r="X368" s="39">
        <v>0</v>
      </c>
      <c r="Y368" s="39">
        <v>0</v>
      </c>
      <c r="Z368" s="39">
        <v>0</v>
      </c>
      <c r="AA368" s="39">
        <v>0</v>
      </c>
      <c r="AB368" s="39">
        <v>0</v>
      </c>
      <c r="AC368" s="39">
        <v>0</v>
      </c>
      <c r="AD368" s="39">
        <v>0</v>
      </c>
      <c r="AE368" s="39">
        <v>0</v>
      </c>
      <c r="AF368" s="39">
        <v>0</v>
      </c>
      <c r="AG368" s="39">
        <v>0</v>
      </c>
      <c r="AH368" s="39"/>
      <c r="AI368" s="39"/>
      <c r="AJ368" s="40"/>
      <c r="AK368" s="39">
        <f t="shared" ref="AK368:AK431" si="30">AVERAGE(L368:W368)</f>
        <v>0</v>
      </c>
      <c r="AL368" s="39">
        <f t="shared" si="28"/>
        <v>0</v>
      </c>
      <c r="AM368" s="39">
        <f t="shared" si="29"/>
        <v>0</v>
      </c>
      <c r="AN368" s="39">
        <f t="shared" ref="AN368:AN431" si="31">AVERAGE(X368:AI368)</f>
        <v>0</v>
      </c>
      <c r="AO368" s="39">
        <f t="shared" ref="AO368:AO431" si="32">SUM(X368:AI368)</f>
        <v>0</v>
      </c>
    </row>
    <row r="369" spans="1:41" x14ac:dyDescent="0.3">
      <c r="A369" s="20">
        <v>1000184670</v>
      </c>
      <c r="B369" s="4" t="s">
        <v>147</v>
      </c>
      <c r="C369" s="21"/>
      <c r="D369" s="3"/>
      <c r="E369" s="20">
        <v>1000184758</v>
      </c>
      <c r="F369" s="4" t="s">
        <v>55</v>
      </c>
      <c r="G369" s="21">
        <v>1000189764</v>
      </c>
      <c r="H369" s="3" t="s">
        <v>83</v>
      </c>
      <c r="I369" s="21">
        <v>1000189270</v>
      </c>
      <c r="J369" s="3" t="s">
        <v>34</v>
      </c>
      <c r="K369" s="20" t="s">
        <v>19</v>
      </c>
      <c r="L369" s="39">
        <v>0</v>
      </c>
      <c r="M369" s="39">
        <v>0</v>
      </c>
      <c r="N369" s="39">
        <v>0</v>
      </c>
      <c r="O369" s="39">
        <v>0</v>
      </c>
      <c r="P369" s="39">
        <v>0</v>
      </c>
      <c r="Q369" s="39">
        <v>0</v>
      </c>
      <c r="R369" s="39">
        <v>0</v>
      </c>
      <c r="S369" s="39">
        <v>0</v>
      </c>
      <c r="T369" s="39">
        <v>0</v>
      </c>
      <c r="U369" s="39">
        <v>0</v>
      </c>
      <c r="V369" s="39">
        <v>0</v>
      </c>
      <c r="W369" s="39">
        <v>0</v>
      </c>
      <c r="X369" s="39">
        <v>0</v>
      </c>
      <c r="Y369" s="39">
        <v>0</v>
      </c>
      <c r="Z369" s="39">
        <v>0</v>
      </c>
      <c r="AA369" s="39">
        <v>0</v>
      </c>
      <c r="AB369" s="39">
        <v>0</v>
      </c>
      <c r="AC369" s="39">
        <v>0</v>
      </c>
      <c r="AD369" s="39">
        <v>0</v>
      </c>
      <c r="AE369" s="39">
        <v>0</v>
      </c>
      <c r="AF369" s="39">
        <v>0</v>
      </c>
      <c r="AG369" s="39">
        <v>0</v>
      </c>
      <c r="AH369" s="39"/>
      <c r="AI369" s="39"/>
      <c r="AJ369" s="40"/>
      <c r="AK369" s="39">
        <f t="shared" si="30"/>
        <v>0</v>
      </c>
      <c r="AL369" s="39">
        <f t="shared" si="28"/>
        <v>0</v>
      </c>
      <c r="AM369" s="39">
        <f t="shared" si="29"/>
        <v>0</v>
      </c>
      <c r="AN369" s="39">
        <f t="shared" si="31"/>
        <v>0</v>
      </c>
      <c r="AO369" s="39">
        <f t="shared" si="32"/>
        <v>0</v>
      </c>
    </row>
    <row r="370" spans="1:41" x14ac:dyDescent="0.3">
      <c r="A370" s="20">
        <v>1000184670</v>
      </c>
      <c r="B370" s="4" t="s">
        <v>147</v>
      </c>
      <c r="C370" s="21"/>
      <c r="D370" s="3"/>
      <c r="E370" s="20">
        <v>1000184758</v>
      </c>
      <c r="F370" s="4" t="s">
        <v>55</v>
      </c>
      <c r="G370" s="21">
        <v>1000189764</v>
      </c>
      <c r="H370" s="3" t="s">
        <v>83</v>
      </c>
      <c r="I370" s="21">
        <v>1000189270</v>
      </c>
      <c r="J370" s="3" t="s">
        <v>34</v>
      </c>
      <c r="K370" s="20" t="s">
        <v>17</v>
      </c>
      <c r="L370" s="39">
        <v>0</v>
      </c>
      <c r="M370" s="39">
        <v>0</v>
      </c>
      <c r="N370" s="39">
        <v>0</v>
      </c>
      <c r="O370" s="39">
        <v>0</v>
      </c>
      <c r="P370" s="39">
        <v>0</v>
      </c>
      <c r="Q370" s="39">
        <v>0</v>
      </c>
      <c r="R370" s="39">
        <v>0</v>
      </c>
      <c r="S370" s="39">
        <v>0</v>
      </c>
      <c r="T370" s="39">
        <v>0</v>
      </c>
      <c r="U370" s="39">
        <v>0</v>
      </c>
      <c r="V370" s="39">
        <v>0</v>
      </c>
      <c r="W370" s="39">
        <v>0</v>
      </c>
      <c r="X370" s="39">
        <v>0</v>
      </c>
      <c r="Y370" s="39">
        <v>0</v>
      </c>
      <c r="Z370" s="39">
        <v>0</v>
      </c>
      <c r="AA370" s="39">
        <v>0</v>
      </c>
      <c r="AB370" s="39">
        <v>0</v>
      </c>
      <c r="AC370" s="39">
        <v>0</v>
      </c>
      <c r="AD370" s="39">
        <v>0</v>
      </c>
      <c r="AE370" s="39">
        <v>0</v>
      </c>
      <c r="AF370" s="39">
        <v>0</v>
      </c>
      <c r="AG370" s="39">
        <v>0</v>
      </c>
      <c r="AH370" s="39"/>
      <c r="AI370" s="39"/>
      <c r="AJ370" s="40"/>
      <c r="AK370" s="39">
        <f t="shared" si="30"/>
        <v>0</v>
      </c>
      <c r="AL370" s="39">
        <f t="shared" si="28"/>
        <v>0</v>
      </c>
      <c r="AM370" s="39">
        <f t="shared" si="29"/>
        <v>0</v>
      </c>
      <c r="AN370" s="39">
        <f t="shared" si="31"/>
        <v>0</v>
      </c>
      <c r="AO370" s="39">
        <f t="shared" si="32"/>
        <v>0</v>
      </c>
    </row>
    <row r="371" spans="1:41" x14ac:dyDescent="0.3">
      <c r="A371" s="20">
        <v>1000184670</v>
      </c>
      <c r="B371" s="4" t="s">
        <v>147</v>
      </c>
      <c r="C371" s="21"/>
      <c r="D371" s="3"/>
      <c r="E371" s="20">
        <v>1000184758</v>
      </c>
      <c r="F371" s="4" t="s">
        <v>55</v>
      </c>
      <c r="G371" s="21">
        <v>1000189764</v>
      </c>
      <c r="H371" s="3" t="s">
        <v>83</v>
      </c>
      <c r="I371" s="21">
        <v>1000189270</v>
      </c>
      <c r="J371" s="3" t="s">
        <v>34</v>
      </c>
      <c r="K371" s="20" t="s">
        <v>24</v>
      </c>
      <c r="L371" s="39">
        <v>0</v>
      </c>
      <c r="M371" s="39">
        <v>0</v>
      </c>
      <c r="N371" s="39">
        <v>0</v>
      </c>
      <c r="O371" s="39">
        <v>0</v>
      </c>
      <c r="P371" s="39">
        <v>0</v>
      </c>
      <c r="Q371" s="39">
        <v>0</v>
      </c>
      <c r="R371" s="39">
        <v>0</v>
      </c>
      <c r="S371" s="39">
        <v>0</v>
      </c>
      <c r="T371" s="39">
        <v>0</v>
      </c>
      <c r="U371" s="39">
        <v>0</v>
      </c>
      <c r="V371" s="39">
        <v>0</v>
      </c>
      <c r="W371" s="39">
        <v>0</v>
      </c>
      <c r="X371" s="39">
        <v>0</v>
      </c>
      <c r="Y371" s="39">
        <v>0</v>
      </c>
      <c r="Z371" s="39">
        <v>0</v>
      </c>
      <c r="AA371" s="39">
        <v>0</v>
      </c>
      <c r="AB371" s="39">
        <v>0</v>
      </c>
      <c r="AC371" s="39">
        <v>0</v>
      </c>
      <c r="AD371" s="39">
        <v>0</v>
      </c>
      <c r="AE371" s="39">
        <v>0</v>
      </c>
      <c r="AF371" s="39">
        <v>0</v>
      </c>
      <c r="AG371" s="39">
        <v>0</v>
      </c>
      <c r="AH371" s="39"/>
      <c r="AI371" s="39"/>
      <c r="AJ371" s="40"/>
      <c r="AK371" s="39">
        <f t="shared" si="30"/>
        <v>0</v>
      </c>
      <c r="AL371" s="39">
        <f t="shared" si="28"/>
        <v>0</v>
      </c>
      <c r="AM371" s="39">
        <f t="shared" si="29"/>
        <v>0</v>
      </c>
      <c r="AN371" s="39">
        <f t="shared" si="31"/>
        <v>0</v>
      </c>
      <c r="AO371" s="39">
        <f t="shared" si="32"/>
        <v>0</v>
      </c>
    </row>
    <row r="372" spans="1:41" x14ac:dyDescent="0.3">
      <c r="A372" s="20">
        <v>1000184670</v>
      </c>
      <c r="B372" s="4" t="s">
        <v>147</v>
      </c>
      <c r="C372" s="21"/>
      <c r="D372" s="3"/>
      <c r="E372" s="20">
        <v>1000184758</v>
      </c>
      <c r="F372" s="4" t="s">
        <v>55</v>
      </c>
      <c r="G372" s="21">
        <v>1000189764</v>
      </c>
      <c r="H372" s="3" t="s">
        <v>83</v>
      </c>
      <c r="I372" s="21">
        <v>1000189270</v>
      </c>
      <c r="J372" s="3" t="s">
        <v>34</v>
      </c>
      <c r="K372" s="20" t="s">
        <v>18</v>
      </c>
      <c r="L372" s="39">
        <v>0</v>
      </c>
      <c r="M372" s="39">
        <v>0</v>
      </c>
      <c r="N372" s="39">
        <v>0</v>
      </c>
      <c r="O372" s="39">
        <v>0</v>
      </c>
      <c r="P372" s="39">
        <v>0</v>
      </c>
      <c r="Q372" s="39">
        <v>0</v>
      </c>
      <c r="R372" s="39">
        <v>0</v>
      </c>
      <c r="S372" s="39">
        <v>0</v>
      </c>
      <c r="T372" s="39">
        <v>0</v>
      </c>
      <c r="U372" s="39">
        <v>0</v>
      </c>
      <c r="V372" s="39">
        <v>0</v>
      </c>
      <c r="W372" s="39">
        <v>0</v>
      </c>
      <c r="X372" s="39">
        <v>0</v>
      </c>
      <c r="Y372" s="39">
        <v>0</v>
      </c>
      <c r="Z372" s="39">
        <v>0</v>
      </c>
      <c r="AA372" s="39">
        <v>0</v>
      </c>
      <c r="AB372" s="39">
        <v>0</v>
      </c>
      <c r="AC372" s="39">
        <v>0</v>
      </c>
      <c r="AD372" s="39">
        <v>0</v>
      </c>
      <c r="AE372" s="39">
        <v>0</v>
      </c>
      <c r="AF372" s="39">
        <v>0</v>
      </c>
      <c r="AG372" s="39">
        <v>0</v>
      </c>
      <c r="AH372" s="39"/>
      <c r="AI372" s="39"/>
      <c r="AJ372" s="40"/>
      <c r="AK372" s="39">
        <f t="shared" si="30"/>
        <v>0</v>
      </c>
      <c r="AL372" s="39">
        <f t="shared" si="28"/>
        <v>0</v>
      </c>
      <c r="AM372" s="39">
        <f t="shared" si="29"/>
        <v>0</v>
      </c>
      <c r="AN372" s="39">
        <f t="shared" si="31"/>
        <v>0</v>
      </c>
      <c r="AO372" s="39">
        <f t="shared" si="32"/>
        <v>0</v>
      </c>
    </row>
    <row r="373" spans="1:41" x14ac:dyDescent="0.3">
      <c r="A373" s="20">
        <v>1000184670</v>
      </c>
      <c r="B373" s="4" t="s">
        <v>147</v>
      </c>
      <c r="C373" s="21"/>
      <c r="D373" s="3"/>
      <c r="E373" s="20">
        <v>1000184758</v>
      </c>
      <c r="F373" s="4" t="s">
        <v>55</v>
      </c>
      <c r="G373" s="21">
        <v>1000189764</v>
      </c>
      <c r="H373" s="3" t="s">
        <v>83</v>
      </c>
      <c r="I373" s="21">
        <v>1000189270</v>
      </c>
      <c r="J373" s="3" t="s">
        <v>34</v>
      </c>
      <c r="K373" s="20" t="s">
        <v>29</v>
      </c>
      <c r="L373" s="39">
        <v>0</v>
      </c>
      <c r="M373" s="39">
        <v>0</v>
      </c>
      <c r="N373" s="39">
        <v>0</v>
      </c>
      <c r="O373" s="39">
        <v>0</v>
      </c>
      <c r="P373" s="39">
        <v>0</v>
      </c>
      <c r="Q373" s="39">
        <v>0</v>
      </c>
      <c r="R373" s="39">
        <v>0</v>
      </c>
      <c r="S373" s="39">
        <v>0</v>
      </c>
      <c r="T373" s="39">
        <v>0</v>
      </c>
      <c r="U373" s="39">
        <v>0</v>
      </c>
      <c r="V373" s="39">
        <v>0</v>
      </c>
      <c r="W373" s="39">
        <v>0</v>
      </c>
      <c r="X373" s="39">
        <v>0</v>
      </c>
      <c r="Y373" s="39">
        <v>0</v>
      </c>
      <c r="Z373" s="39">
        <v>0</v>
      </c>
      <c r="AA373" s="39">
        <v>0</v>
      </c>
      <c r="AB373" s="39">
        <v>0</v>
      </c>
      <c r="AC373" s="39">
        <v>0</v>
      </c>
      <c r="AD373" s="39">
        <v>0</v>
      </c>
      <c r="AE373" s="39">
        <v>0</v>
      </c>
      <c r="AF373" s="39">
        <v>0</v>
      </c>
      <c r="AG373" s="39">
        <v>0</v>
      </c>
      <c r="AH373" s="39"/>
      <c r="AI373" s="39"/>
      <c r="AJ373" s="40"/>
      <c r="AK373" s="39">
        <f t="shared" si="30"/>
        <v>0</v>
      </c>
      <c r="AL373" s="39">
        <f t="shared" si="28"/>
        <v>0</v>
      </c>
      <c r="AM373" s="39">
        <f t="shared" si="29"/>
        <v>0</v>
      </c>
      <c r="AN373" s="39">
        <f t="shared" si="31"/>
        <v>0</v>
      </c>
      <c r="AO373" s="39">
        <f t="shared" si="32"/>
        <v>0</v>
      </c>
    </row>
    <row r="374" spans="1:41" x14ac:dyDescent="0.3">
      <c r="A374" s="20">
        <v>1000184670</v>
      </c>
      <c r="B374" s="4" t="s">
        <v>147</v>
      </c>
      <c r="C374" s="21"/>
      <c r="D374" s="3"/>
      <c r="E374" s="20">
        <v>1000184758</v>
      </c>
      <c r="F374" s="4" t="s">
        <v>55</v>
      </c>
      <c r="G374" s="21">
        <v>1000189764</v>
      </c>
      <c r="H374" s="3" t="s">
        <v>83</v>
      </c>
      <c r="I374" s="21">
        <v>1000189270</v>
      </c>
      <c r="J374" s="3" t="s">
        <v>34</v>
      </c>
      <c r="K374" s="20" t="s">
        <v>21</v>
      </c>
      <c r="L374" s="39">
        <v>0</v>
      </c>
      <c r="M374" s="39">
        <v>0</v>
      </c>
      <c r="N374" s="39">
        <v>0</v>
      </c>
      <c r="O374" s="39">
        <v>0</v>
      </c>
      <c r="P374" s="39">
        <v>0</v>
      </c>
      <c r="Q374" s="39">
        <v>0</v>
      </c>
      <c r="R374" s="39">
        <v>0</v>
      </c>
      <c r="S374" s="39">
        <v>0</v>
      </c>
      <c r="T374" s="39">
        <v>0</v>
      </c>
      <c r="U374" s="39">
        <v>0</v>
      </c>
      <c r="V374" s="39">
        <v>0</v>
      </c>
      <c r="W374" s="39">
        <v>0</v>
      </c>
      <c r="X374" s="39">
        <v>0</v>
      </c>
      <c r="Y374" s="39">
        <v>0</v>
      </c>
      <c r="Z374" s="39">
        <v>0</v>
      </c>
      <c r="AA374" s="39">
        <v>0</v>
      </c>
      <c r="AB374" s="39">
        <v>0</v>
      </c>
      <c r="AC374" s="39">
        <v>0</v>
      </c>
      <c r="AD374" s="39">
        <v>0</v>
      </c>
      <c r="AE374" s="39">
        <v>0</v>
      </c>
      <c r="AF374" s="39">
        <v>0</v>
      </c>
      <c r="AG374" s="39">
        <v>0</v>
      </c>
      <c r="AH374" s="39"/>
      <c r="AI374" s="39"/>
      <c r="AJ374" s="40"/>
      <c r="AK374" s="39">
        <f t="shared" si="30"/>
        <v>0</v>
      </c>
      <c r="AL374" s="39">
        <f t="shared" si="28"/>
        <v>0</v>
      </c>
      <c r="AM374" s="39">
        <f t="shared" si="29"/>
        <v>0</v>
      </c>
      <c r="AN374" s="39">
        <f t="shared" si="31"/>
        <v>0</v>
      </c>
      <c r="AO374" s="39">
        <f t="shared" si="32"/>
        <v>0</v>
      </c>
    </row>
    <row r="375" spans="1:41" x14ac:dyDescent="0.3">
      <c r="A375" s="20">
        <v>1000184670</v>
      </c>
      <c r="B375" s="4" t="s">
        <v>147</v>
      </c>
      <c r="C375" s="21"/>
      <c r="D375" s="3"/>
      <c r="E375" s="20">
        <v>1000184758</v>
      </c>
      <c r="F375" s="4" t="s">
        <v>55</v>
      </c>
      <c r="G375" s="21">
        <v>1000189764</v>
      </c>
      <c r="H375" s="3" t="s">
        <v>83</v>
      </c>
      <c r="I375" s="21">
        <v>1000189270</v>
      </c>
      <c r="J375" s="3" t="s">
        <v>34</v>
      </c>
      <c r="K375" s="20" t="s">
        <v>20</v>
      </c>
      <c r="L375" s="39">
        <v>0</v>
      </c>
      <c r="M375" s="39">
        <v>0</v>
      </c>
      <c r="N375" s="39">
        <v>0</v>
      </c>
      <c r="O375" s="39">
        <v>0</v>
      </c>
      <c r="P375" s="39">
        <v>0</v>
      </c>
      <c r="Q375" s="39">
        <v>0</v>
      </c>
      <c r="R375" s="39">
        <v>0</v>
      </c>
      <c r="S375" s="39">
        <v>0</v>
      </c>
      <c r="T375" s="39">
        <v>0</v>
      </c>
      <c r="U375" s="39">
        <v>0</v>
      </c>
      <c r="V375" s="39">
        <v>0</v>
      </c>
      <c r="W375" s="39">
        <v>0</v>
      </c>
      <c r="X375" s="39">
        <v>0</v>
      </c>
      <c r="Y375" s="39">
        <v>0</v>
      </c>
      <c r="Z375" s="39">
        <v>0</v>
      </c>
      <c r="AA375" s="39">
        <v>0</v>
      </c>
      <c r="AB375" s="39">
        <v>0</v>
      </c>
      <c r="AC375" s="39">
        <v>0</v>
      </c>
      <c r="AD375" s="39">
        <v>0</v>
      </c>
      <c r="AE375" s="39">
        <v>0</v>
      </c>
      <c r="AF375" s="39">
        <v>0</v>
      </c>
      <c r="AG375" s="39">
        <v>0</v>
      </c>
      <c r="AH375" s="39"/>
      <c r="AI375" s="39"/>
      <c r="AJ375" s="40"/>
      <c r="AK375" s="39">
        <f t="shared" si="30"/>
        <v>0</v>
      </c>
      <c r="AL375" s="39">
        <f t="shared" si="28"/>
        <v>0</v>
      </c>
      <c r="AM375" s="39">
        <f t="shared" si="29"/>
        <v>0</v>
      </c>
      <c r="AN375" s="39">
        <f t="shared" si="31"/>
        <v>0</v>
      </c>
      <c r="AO375" s="39">
        <f t="shared" si="32"/>
        <v>0</v>
      </c>
    </row>
    <row r="376" spans="1:41" x14ac:dyDescent="0.3">
      <c r="A376" s="20">
        <v>1000184670</v>
      </c>
      <c r="B376" s="4" t="s">
        <v>147</v>
      </c>
      <c r="C376" s="21"/>
      <c r="D376" s="3"/>
      <c r="E376" s="20">
        <v>1000184758</v>
      </c>
      <c r="F376" s="4" t="s">
        <v>55</v>
      </c>
      <c r="G376" s="21">
        <v>1000189764</v>
      </c>
      <c r="H376" s="3" t="s">
        <v>83</v>
      </c>
      <c r="I376" s="21">
        <v>1000189270</v>
      </c>
      <c r="J376" s="3" t="s">
        <v>34</v>
      </c>
      <c r="K376" s="20" t="s">
        <v>22</v>
      </c>
      <c r="L376" s="39">
        <v>0</v>
      </c>
      <c r="M376" s="39">
        <v>0</v>
      </c>
      <c r="N376" s="39">
        <v>0</v>
      </c>
      <c r="O376" s="39">
        <v>0</v>
      </c>
      <c r="P376" s="39">
        <v>0</v>
      </c>
      <c r="Q376" s="39">
        <v>0</v>
      </c>
      <c r="R376" s="39">
        <v>0</v>
      </c>
      <c r="S376" s="39">
        <v>0</v>
      </c>
      <c r="T376" s="39">
        <v>0</v>
      </c>
      <c r="U376" s="39">
        <v>0</v>
      </c>
      <c r="V376" s="39">
        <v>0</v>
      </c>
      <c r="W376" s="39">
        <v>0</v>
      </c>
      <c r="X376" s="39">
        <v>0</v>
      </c>
      <c r="Y376" s="39">
        <v>0</v>
      </c>
      <c r="Z376" s="39">
        <v>0</v>
      </c>
      <c r="AA376" s="39">
        <v>0</v>
      </c>
      <c r="AB376" s="39">
        <v>0</v>
      </c>
      <c r="AC376" s="39">
        <v>0</v>
      </c>
      <c r="AD376" s="39">
        <v>0</v>
      </c>
      <c r="AE376" s="39">
        <v>0</v>
      </c>
      <c r="AF376" s="39">
        <v>0</v>
      </c>
      <c r="AG376" s="39">
        <v>0</v>
      </c>
      <c r="AH376" s="39"/>
      <c r="AI376" s="39"/>
      <c r="AJ376" s="40"/>
      <c r="AK376" s="39">
        <f t="shared" si="30"/>
        <v>0</v>
      </c>
      <c r="AL376" s="39">
        <f t="shared" si="28"/>
        <v>0</v>
      </c>
      <c r="AM376" s="39">
        <f t="shared" si="29"/>
        <v>0</v>
      </c>
      <c r="AN376" s="39">
        <f t="shared" si="31"/>
        <v>0</v>
      </c>
      <c r="AO376" s="39">
        <f t="shared" si="32"/>
        <v>0</v>
      </c>
    </row>
    <row r="377" spans="1:41" x14ac:dyDescent="0.3">
      <c r="A377" s="20">
        <v>1000184670</v>
      </c>
      <c r="B377" s="4" t="s">
        <v>147</v>
      </c>
      <c r="C377" s="21"/>
      <c r="D377" s="3"/>
      <c r="E377" s="20">
        <v>1000184758</v>
      </c>
      <c r="F377" s="4" t="s">
        <v>55</v>
      </c>
      <c r="G377" s="21">
        <v>1000189764</v>
      </c>
      <c r="H377" s="3" t="s">
        <v>83</v>
      </c>
      <c r="I377" s="21">
        <v>1000189270</v>
      </c>
      <c r="J377" s="3" t="s">
        <v>34</v>
      </c>
      <c r="K377" s="20" t="s">
        <v>23</v>
      </c>
      <c r="L377" s="39">
        <v>0</v>
      </c>
      <c r="M377" s="39">
        <v>0</v>
      </c>
      <c r="N377" s="39">
        <v>0</v>
      </c>
      <c r="O377" s="39">
        <v>0</v>
      </c>
      <c r="P377" s="39">
        <v>0</v>
      </c>
      <c r="Q377" s="39">
        <v>0</v>
      </c>
      <c r="R377" s="39">
        <v>0</v>
      </c>
      <c r="S377" s="39">
        <v>0</v>
      </c>
      <c r="T377" s="39">
        <v>0</v>
      </c>
      <c r="U377" s="39">
        <v>0</v>
      </c>
      <c r="V377" s="39">
        <v>0</v>
      </c>
      <c r="W377" s="39">
        <v>0</v>
      </c>
      <c r="X377" s="39">
        <v>0</v>
      </c>
      <c r="Y377" s="39">
        <v>0</v>
      </c>
      <c r="Z377" s="39">
        <v>0</v>
      </c>
      <c r="AA377" s="39">
        <v>0</v>
      </c>
      <c r="AB377" s="39">
        <v>0</v>
      </c>
      <c r="AC377" s="39">
        <v>0</v>
      </c>
      <c r="AD377" s="39">
        <v>0</v>
      </c>
      <c r="AE377" s="39">
        <v>0</v>
      </c>
      <c r="AF377" s="39">
        <v>0</v>
      </c>
      <c r="AG377" s="39">
        <v>0</v>
      </c>
      <c r="AH377" s="39"/>
      <c r="AI377" s="39"/>
      <c r="AJ377" s="40"/>
      <c r="AK377" s="39">
        <f t="shared" si="30"/>
        <v>0</v>
      </c>
      <c r="AL377" s="39">
        <f t="shared" si="28"/>
        <v>0</v>
      </c>
      <c r="AM377" s="39">
        <f t="shared" si="29"/>
        <v>0</v>
      </c>
      <c r="AN377" s="39">
        <f t="shared" si="31"/>
        <v>0</v>
      </c>
      <c r="AO377" s="39">
        <f t="shared" si="32"/>
        <v>0</v>
      </c>
    </row>
    <row r="378" spans="1:41" x14ac:dyDescent="0.3">
      <c r="A378" s="20">
        <v>1000184670</v>
      </c>
      <c r="B378" s="4" t="s">
        <v>147</v>
      </c>
      <c r="C378" s="21"/>
      <c r="D378" s="3"/>
      <c r="E378" s="20">
        <v>1000184758</v>
      </c>
      <c r="F378" s="4" t="s">
        <v>55</v>
      </c>
      <c r="G378" s="21">
        <v>1000189764</v>
      </c>
      <c r="H378" s="3" t="s">
        <v>83</v>
      </c>
      <c r="I378" s="21">
        <v>1000189270</v>
      </c>
      <c r="J378" s="3" t="s">
        <v>34</v>
      </c>
      <c r="K378" s="20" t="s">
        <v>28</v>
      </c>
      <c r="L378" s="39">
        <v>0</v>
      </c>
      <c r="M378" s="39">
        <v>0</v>
      </c>
      <c r="N378" s="39">
        <v>0</v>
      </c>
      <c r="O378" s="39">
        <v>0</v>
      </c>
      <c r="P378" s="39">
        <v>0</v>
      </c>
      <c r="Q378" s="39">
        <v>0</v>
      </c>
      <c r="R378" s="39">
        <v>0</v>
      </c>
      <c r="S378" s="39">
        <v>0</v>
      </c>
      <c r="T378" s="39">
        <v>0</v>
      </c>
      <c r="U378" s="39">
        <v>0</v>
      </c>
      <c r="V378" s="39">
        <v>0</v>
      </c>
      <c r="W378" s="39">
        <v>0</v>
      </c>
      <c r="X378" s="39">
        <v>0</v>
      </c>
      <c r="Y378" s="39">
        <v>0</v>
      </c>
      <c r="Z378" s="39">
        <v>0</v>
      </c>
      <c r="AA378" s="39">
        <v>0</v>
      </c>
      <c r="AB378" s="39">
        <v>0</v>
      </c>
      <c r="AC378" s="39">
        <v>0</v>
      </c>
      <c r="AD378" s="39">
        <v>0</v>
      </c>
      <c r="AE378" s="39">
        <v>0</v>
      </c>
      <c r="AF378" s="39">
        <v>0</v>
      </c>
      <c r="AG378" s="39">
        <v>0</v>
      </c>
      <c r="AH378" s="39"/>
      <c r="AI378" s="39"/>
      <c r="AJ378" s="40"/>
      <c r="AK378" s="39">
        <f t="shared" si="30"/>
        <v>0</v>
      </c>
      <c r="AL378" s="39">
        <f t="shared" si="28"/>
        <v>0</v>
      </c>
      <c r="AM378" s="39">
        <f t="shared" si="29"/>
        <v>0</v>
      </c>
      <c r="AN378" s="39">
        <f t="shared" si="31"/>
        <v>0</v>
      </c>
      <c r="AO378" s="39">
        <f t="shared" si="32"/>
        <v>0</v>
      </c>
    </row>
    <row r="379" spans="1:41" x14ac:dyDescent="0.3">
      <c r="A379" s="20">
        <v>1000184670</v>
      </c>
      <c r="B379" s="4" t="s">
        <v>147</v>
      </c>
      <c r="C379" s="21"/>
      <c r="D379" s="3"/>
      <c r="E379" s="20">
        <v>1000184758</v>
      </c>
      <c r="F379" s="4" t="s">
        <v>55</v>
      </c>
      <c r="G379" s="21">
        <v>1000189764</v>
      </c>
      <c r="H379" s="3" t="s">
        <v>83</v>
      </c>
      <c r="I379" s="21">
        <v>1000189270</v>
      </c>
      <c r="J379" s="3" t="s">
        <v>34</v>
      </c>
      <c r="K379" s="20" t="s">
        <v>26</v>
      </c>
      <c r="L379" s="39">
        <v>0</v>
      </c>
      <c r="M379" s="39">
        <v>0</v>
      </c>
      <c r="N379" s="39">
        <v>0</v>
      </c>
      <c r="O379" s="39">
        <v>0</v>
      </c>
      <c r="P379" s="39">
        <v>0</v>
      </c>
      <c r="Q379" s="39">
        <v>0</v>
      </c>
      <c r="R379" s="39">
        <v>0</v>
      </c>
      <c r="S379" s="39">
        <v>0</v>
      </c>
      <c r="T379" s="39">
        <v>0</v>
      </c>
      <c r="U379" s="39">
        <v>0</v>
      </c>
      <c r="V379" s="39">
        <v>0</v>
      </c>
      <c r="W379" s="39">
        <v>0</v>
      </c>
      <c r="X379" s="39">
        <v>0</v>
      </c>
      <c r="Y379" s="39">
        <v>0</v>
      </c>
      <c r="Z379" s="39">
        <v>0</v>
      </c>
      <c r="AA379" s="39">
        <v>0</v>
      </c>
      <c r="AB379" s="39">
        <v>0</v>
      </c>
      <c r="AC379" s="39">
        <v>0</v>
      </c>
      <c r="AD379" s="39">
        <v>0</v>
      </c>
      <c r="AE379" s="39">
        <v>0</v>
      </c>
      <c r="AF379" s="39">
        <v>0</v>
      </c>
      <c r="AG379" s="39">
        <v>0</v>
      </c>
      <c r="AH379" s="39"/>
      <c r="AI379" s="39"/>
      <c r="AJ379" s="40"/>
      <c r="AK379" s="39">
        <f t="shared" si="30"/>
        <v>0</v>
      </c>
      <c r="AL379" s="39">
        <f t="shared" si="28"/>
        <v>0</v>
      </c>
      <c r="AM379" s="39">
        <f t="shared" si="29"/>
        <v>0</v>
      </c>
      <c r="AN379" s="39">
        <f t="shared" si="31"/>
        <v>0</v>
      </c>
      <c r="AO379" s="39">
        <f t="shared" si="32"/>
        <v>0</v>
      </c>
    </row>
    <row r="380" spans="1:41" x14ac:dyDescent="0.3">
      <c r="A380" s="20">
        <v>1000184670</v>
      </c>
      <c r="B380" s="4" t="s">
        <v>147</v>
      </c>
      <c r="C380" s="21"/>
      <c r="D380" s="3"/>
      <c r="E380" s="20">
        <v>1000184758</v>
      </c>
      <c r="F380" s="4" t="s">
        <v>55</v>
      </c>
      <c r="G380" s="21">
        <v>1000189764</v>
      </c>
      <c r="H380" s="3" t="s">
        <v>83</v>
      </c>
      <c r="I380" s="21">
        <v>1000189270</v>
      </c>
      <c r="J380" s="3" t="s">
        <v>34</v>
      </c>
      <c r="K380" s="20" t="s">
        <v>27</v>
      </c>
      <c r="L380" s="39">
        <v>0</v>
      </c>
      <c r="M380" s="39">
        <v>0</v>
      </c>
      <c r="N380" s="39">
        <v>0</v>
      </c>
      <c r="O380" s="39">
        <v>0</v>
      </c>
      <c r="P380" s="39">
        <v>0</v>
      </c>
      <c r="Q380" s="39">
        <v>0</v>
      </c>
      <c r="R380" s="39">
        <v>0</v>
      </c>
      <c r="S380" s="39">
        <v>0</v>
      </c>
      <c r="T380" s="39">
        <v>0</v>
      </c>
      <c r="U380" s="39">
        <v>0</v>
      </c>
      <c r="V380" s="39">
        <v>0</v>
      </c>
      <c r="W380" s="39">
        <v>0</v>
      </c>
      <c r="X380" s="39">
        <v>0</v>
      </c>
      <c r="Y380" s="39">
        <v>0</v>
      </c>
      <c r="Z380" s="39">
        <v>0</v>
      </c>
      <c r="AA380" s="39">
        <v>0</v>
      </c>
      <c r="AB380" s="39">
        <v>0</v>
      </c>
      <c r="AC380" s="39">
        <v>0</v>
      </c>
      <c r="AD380" s="39">
        <v>0</v>
      </c>
      <c r="AE380" s="39">
        <v>0</v>
      </c>
      <c r="AF380" s="39">
        <v>0</v>
      </c>
      <c r="AG380" s="39">
        <v>0</v>
      </c>
      <c r="AH380" s="39"/>
      <c r="AI380" s="39"/>
      <c r="AJ380" s="40"/>
      <c r="AK380" s="39">
        <f t="shared" si="30"/>
        <v>0</v>
      </c>
      <c r="AL380" s="39">
        <f t="shared" si="28"/>
        <v>0</v>
      </c>
      <c r="AM380" s="39">
        <f t="shared" si="29"/>
        <v>0</v>
      </c>
      <c r="AN380" s="39">
        <f t="shared" si="31"/>
        <v>0</v>
      </c>
      <c r="AO380" s="39">
        <f t="shared" si="32"/>
        <v>0</v>
      </c>
    </row>
    <row r="381" spans="1:41" x14ac:dyDescent="0.3">
      <c r="A381" s="20">
        <v>1000184670</v>
      </c>
      <c r="B381" s="4" t="s">
        <v>147</v>
      </c>
      <c r="C381" s="21"/>
      <c r="D381" s="3"/>
      <c r="E381" s="20">
        <v>1000184758</v>
      </c>
      <c r="F381" s="4" t="s">
        <v>55</v>
      </c>
      <c r="G381" s="21">
        <v>1000189764</v>
      </c>
      <c r="H381" s="3" t="s">
        <v>83</v>
      </c>
      <c r="I381" s="21">
        <v>1000189270</v>
      </c>
      <c r="J381" s="3" t="s">
        <v>34</v>
      </c>
      <c r="K381" s="20" t="s">
        <v>25</v>
      </c>
      <c r="L381" s="39">
        <v>0</v>
      </c>
      <c r="M381" s="39">
        <v>0</v>
      </c>
      <c r="N381" s="39">
        <v>0</v>
      </c>
      <c r="O381" s="39">
        <v>0</v>
      </c>
      <c r="P381" s="39">
        <v>0</v>
      </c>
      <c r="Q381" s="39">
        <v>0</v>
      </c>
      <c r="R381" s="39">
        <v>0</v>
      </c>
      <c r="S381" s="39">
        <v>0</v>
      </c>
      <c r="T381" s="39">
        <v>0</v>
      </c>
      <c r="U381" s="39">
        <v>0</v>
      </c>
      <c r="V381" s="39">
        <v>0</v>
      </c>
      <c r="W381" s="39">
        <v>0</v>
      </c>
      <c r="X381" s="39">
        <v>0</v>
      </c>
      <c r="Y381" s="39">
        <v>0</v>
      </c>
      <c r="Z381" s="39">
        <v>0</v>
      </c>
      <c r="AA381" s="39">
        <v>0</v>
      </c>
      <c r="AB381" s="39">
        <v>0</v>
      </c>
      <c r="AC381" s="39">
        <v>0</v>
      </c>
      <c r="AD381" s="39">
        <v>0</v>
      </c>
      <c r="AE381" s="39">
        <v>0</v>
      </c>
      <c r="AF381" s="39">
        <v>0</v>
      </c>
      <c r="AG381" s="39">
        <v>0</v>
      </c>
      <c r="AH381" s="39"/>
      <c r="AI381" s="39"/>
      <c r="AJ381" s="40"/>
      <c r="AK381" s="39">
        <f t="shared" si="30"/>
        <v>0</v>
      </c>
      <c r="AL381" s="39">
        <f t="shared" si="28"/>
        <v>0</v>
      </c>
      <c r="AM381" s="39">
        <f t="shared" si="29"/>
        <v>0</v>
      </c>
      <c r="AN381" s="39">
        <f t="shared" si="31"/>
        <v>0</v>
      </c>
      <c r="AO381" s="39">
        <f t="shared" si="32"/>
        <v>0</v>
      </c>
    </row>
    <row r="382" spans="1:41" x14ac:dyDescent="0.3">
      <c r="A382" s="20">
        <v>1000184670</v>
      </c>
      <c r="B382" s="4" t="s">
        <v>147</v>
      </c>
      <c r="C382" s="21"/>
      <c r="D382" s="3"/>
      <c r="E382" s="20">
        <v>1000184757</v>
      </c>
      <c r="F382" s="4" t="s">
        <v>62</v>
      </c>
      <c r="G382" s="21">
        <v>1000189765</v>
      </c>
      <c r="H382" s="3" t="s">
        <v>99</v>
      </c>
      <c r="I382" s="21">
        <v>1000189270</v>
      </c>
      <c r="J382" s="3" t="s">
        <v>34</v>
      </c>
      <c r="K382" s="20" t="s">
        <v>124</v>
      </c>
      <c r="L382" s="39">
        <v>0</v>
      </c>
      <c r="M382" s="39">
        <v>0</v>
      </c>
      <c r="N382" s="39">
        <v>0</v>
      </c>
      <c r="O382" s="39">
        <v>0</v>
      </c>
      <c r="P382" s="39">
        <v>0</v>
      </c>
      <c r="Q382" s="39">
        <v>0</v>
      </c>
      <c r="R382" s="39">
        <v>0</v>
      </c>
      <c r="S382" s="39">
        <v>0</v>
      </c>
      <c r="T382" s="39">
        <v>0</v>
      </c>
      <c r="U382" s="39">
        <v>0</v>
      </c>
      <c r="V382" s="39">
        <v>0</v>
      </c>
      <c r="W382" s="39">
        <v>0</v>
      </c>
      <c r="X382" s="39">
        <v>0</v>
      </c>
      <c r="Y382" s="39">
        <v>0</v>
      </c>
      <c r="Z382" s="39">
        <v>0</v>
      </c>
      <c r="AA382" s="39">
        <v>0</v>
      </c>
      <c r="AB382" s="39">
        <v>0</v>
      </c>
      <c r="AC382" s="39">
        <v>0</v>
      </c>
      <c r="AD382" s="39">
        <v>0</v>
      </c>
      <c r="AE382" s="39">
        <v>0</v>
      </c>
      <c r="AF382" s="39">
        <v>0</v>
      </c>
      <c r="AG382" s="39">
        <v>0</v>
      </c>
      <c r="AH382" s="39"/>
      <c r="AI382" s="39"/>
      <c r="AJ382" s="40"/>
      <c r="AK382" s="39">
        <f t="shared" si="30"/>
        <v>0</v>
      </c>
      <c r="AL382" s="39">
        <f t="shared" si="28"/>
        <v>0</v>
      </c>
      <c r="AM382" s="39">
        <f t="shared" si="29"/>
        <v>0</v>
      </c>
      <c r="AN382" s="39">
        <f t="shared" si="31"/>
        <v>0</v>
      </c>
      <c r="AO382" s="39">
        <f t="shared" si="32"/>
        <v>0</v>
      </c>
    </row>
    <row r="383" spans="1:41" x14ac:dyDescent="0.3">
      <c r="A383" s="20">
        <v>1000184670</v>
      </c>
      <c r="B383" s="4" t="s">
        <v>147</v>
      </c>
      <c r="C383" s="21"/>
      <c r="D383" s="3"/>
      <c r="E383" s="20">
        <v>1000184757</v>
      </c>
      <c r="F383" s="4" t="s">
        <v>62</v>
      </c>
      <c r="G383" s="21">
        <v>1000189765</v>
      </c>
      <c r="H383" s="3" t="s">
        <v>99</v>
      </c>
      <c r="I383" s="21">
        <v>1000189270</v>
      </c>
      <c r="J383" s="3" t="s">
        <v>34</v>
      </c>
      <c r="K383" s="20" t="s">
        <v>13</v>
      </c>
      <c r="L383" s="39">
        <v>0</v>
      </c>
      <c r="M383" s="39">
        <v>0</v>
      </c>
      <c r="N383" s="39">
        <v>0</v>
      </c>
      <c r="O383" s="39">
        <v>0</v>
      </c>
      <c r="P383" s="39">
        <v>0</v>
      </c>
      <c r="Q383" s="39">
        <v>0</v>
      </c>
      <c r="R383" s="39">
        <v>0</v>
      </c>
      <c r="S383" s="39">
        <v>0</v>
      </c>
      <c r="T383" s="39">
        <v>0</v>
      </c>
      <c r="U383" s="39">
        <v>0</v>
      </c>
      <c r="V383" s="39">
        <v>0</v>
      </c>
      <c r="W383" s="39">
        <v>0</v>
      </c>
      <c r="X383" s="39">
        <v>0</v>
      </c>
      <c r="Y383" s="39">
        <v>0</v>
      </c>
      <c r="Z383" s="39">
        <v>0</v>
      </c>
      <c r="AA383" s="39">
        <v>0</v>
      </c>
      <c r="AB383" s="39">
        <v>272.68</v>
      </c>
      <c r="AC383" s="39">
        <v>0</v>
      </c>
      <c r="AD383" s="39">
        <v>0</v>
      </c>
      <c r="AE383" s="39">
        <v>407.7</v>
      </c>
      <c r="AF383" s="39">
        <v>0</v>
      </c>
      <c r="AG383" s="39">
        <v>0</v>
      </c>
      <c r="AH383" s="39"/>
      <c r="AI383" s="39"/>
      <c r="AJ383" s="40"/>
      <c r="AK383" s="39">
        <f t="shared" si="30"/>
        <v>0</v>
      </c>
      <c r="AL383" s="39">
        <f t="shared" si="28"/>
        <v>56.698333333333331</v>
      </c>
      <c r="AM383" s="39">
        <f t="shared" si="29"/>
        <v>113.39666666666666</v>
      </c>
      <c r="AN383" s="39">
        <f t="shared" si="31"/>
        <v>68.037999999999997</v>
      </c>
      <c r="AO383" s="39">
        <f t="shared" si="32"/>
        <v>680.38</v>
      </c>
    </row>
    <row r="384" spans="1:41" x14ac:dyDescent="0.3">
      <c r="A384" s="20">
        <v>1000184670</v>
      </c>
      <c r="B384" s="4" t="s">
        <v>147</v>
      </c>
      <c r="C384" s="21"/>
      <c r="D384" s="3"/>
      <c r="E384" s="20">
        <v>1000184757</v>
      </c>
      <c r="F384" s="4" t="s">
        <v>62</v>
      </c>
      <c r="G384" s="21">
        <v>1000189765</v>
      </c>
      <c r="H384" s="3" t="s">
        <v>99</v>
      </c>
      <c r="I384" s="21">
        <v>1000189270</v>
      </c>
      <c r="J384" s="3" t="s">
        <v>34</v>
      </c>
      <c r="K384" s="20" t="s">
        <v>14</v>
      </c>
      <c r="L384" s="39">
        <v>0</v>
      </c>
      <c r="M384" s="39">
        <v>0</v>
      </c>
      <c r="N384" s="39">
        <v>0</v>
      </c>
      <c r="O384" s="39">
        <v>0</v>
      </c>
      <c r="P384" s="39">
        <v>0</v>
      </c>
      <c r="Q384" s="39">
        <v>0</v>
      </c>
      <c r="R384" s="39">
        <v>0</v>
      </c>
      <c r="S384" s="39">
        <v>0</v>
      </c>
      <c r="T384" s="39">
        <v>0</v>
      </c>
      <c r="U384" s="39">
        <v>0</v>
      </c>
      <c r="V384" s="39">
        <v>0</v>
      </c>
      <c r="W384" s="39">
        <v>0</v>
      </c>
      <c r="X384" s="39">
        <v>0</v>
      </c>
      <c r="Y384" s="39">
        <v>0</v>
      </c>
      <c r="Z384" s="39">
        <v>0</v>
      </c>
      <c r="AA384" s="39">
        <v>0</v>
      </c>
      <c r="AB384" s="39">
        <v>96.9</v>
      </c>
      <c r="AC384" s="39">
        <v>0</v>
      </c>
      <c r="AD384" s="39">
        <v>0</v>
      </c>
      <c r="AE384" s="39">
        <v>509</v>
      </c>
      <c r="AF384" s="39">
        <v>0</v>
      </c>
      <c r="AG384" s="39">
        <v>0</v>
      </c>
      <c r="AH384" s="39"/>
      <c r="AI384" s="39"/>
      <c r="AJ384" s="40"/>
      <c r="AK384" s="39">
        <f t="shared" si="30"/>
        <v>0</v>
      </c>
      <c r="AL384" s="39">
        <f t="shared" si="28"/>
        <v>50.491666666666667</v>
      </c>
      <c r="AM384" s="39">
        <f t="shared" si="29"/>
        <v>100.98333333333333</v>
      </c>
      <c r="AN384" s="39">
        <f t="shared" si="31"/>
        <v>60.589999999999996</v>
      </c>
      <c r="AO384" s="39">
        <f t="shared" si="32"/>
        <v>605.9</v>
      </c>
    </row>
    <row r="385" spans="1:41" x14ac:dyDescent="0.3">
      <c r="A385" s="20">
        <v>1000184670</v>
      </c>
      <c r="B385" s="4" t="s">
        <v>147</v>
      </c>
      <c r="C385" s="21"/>
      <c r="D385" s="3"/>
      <c r="E385" s="20">
        <v>1000184757</v>
      </c>
      <c r="F385" s="4" t="s">
        <v>62</v>
      </c>
      <c r="G385" s="21">
        <v>1000189765</v>
      </c>
      <c r="H385" s="3" t="s">
        <v>99</v>
      </c>
      <c r="I385" s="21">
        <v>1000189270</v>
      </c>
      <c r="J385" s="3" t="s">
        <v>34</v>
      </c>
      <c r="K385" s="20" t="s">
        <v>16</v>
      </c>
      <c r="L385" s="39">
        <v>0</v>
      </c>
      <c r="M385" s="39">
        <v>0</v>
      </c>
      <c r="N385" s="39">
        <v>0</v>
      </c>
      <c r="O385" s="39">
        <v>0</v>
      </c>
      <c r="P385" s="39">
        <v>0</v>
      </c>
      <c r="Q385" s="39">
        <v>0</v>
      </c>
      <c r="R385" s="39">
        <v>0</v>
      </c>
      <c r="S385" s="39">
        <v>0</v>
      </c>
      <c r="T385" s="39">
        <v>0</v>
      </c>
      <c r="U385" s="39">
        <v>0</v>
      </c>
      <c r="V385" s="39">
        <v>0</v>
      </c>
      <c r="W385" s="39">
        <v>0</v>
      </c>
      <c r="X385" s="39">
        <v>0</v>
      </c>
      <c r="Y385" s="39">
        <v>0</v>
      </c>
      <c r="Z385" s="39">
        <v>0</v>
      </c>
      <c r="AA385" s="39">
        <v>0</v>
      </c>
      <c r="AB385" s="39">
        <v>367.13</v>
      </c>
      <c r="AC385" s="39">
        <v>0</v>
      </c>
      <c r="AD385" s="39">
        <v>0</v>
      </c>
      <c r="AE385" s="39">
        <v>233.86</v>
      </c>
      <c r="AF385" s="39">
        <v>0</v>
      </c>
      <c r="AG385" s="39">
        <v>0</v>
      </c>
      <c r="AH385" s="39"/>
      <c r="AI385" s="39"/>
      <c r="AJ385" s="40"/>
      <c r="AK385" s="39">
        <f t="shared" si="30"/>
        <v>0</v>
      </c>
      <c r="AL385" s="39">
        <f t="shared" si="28"/>
        <v>50.082500000000003</v>
      </c>
      <c r="AM385" s="39">
        <f t="shared" si="29"/>
        <v>100.16500000000001</v>
      </c>
      <c r="AN385" s="39">
        <f t="shared" si="31"/>
        <v>60.099000000000004</v>
      </c>
      <c r="AO385" s="39">
        <f t="shared" si="32"/>
        <v>600.99</v>
      </c>
    </row>
    <row r="386" spans="1:41" x14ac:dyDescent="0.3">
      <c r="A386" s="20">
        <v>1000184670</v>
      </c>
      <c r="B386" s="4" t="s">
        <v>147</v>
      </c>
      <c r="C386" s="21"/>
      <c r="D386" s="3"/>
      <c r="E386" s="20">
        <v>1000184757</v>
      </c>
      <c r="F386" s="4" t="s">
        <v>62</v>
      </c>
      <c r="G386" s="21">
        <v>1000189765</v>
      </c>
      <c r="H386" s="3" t="s">
        <v>99</v>
      </c>
      <c r="I386" s="21">
        <v>1000189270</v>
      </c>
      <c r="J386" s="3" t="s">
        <v>34</v>
      </c>
      <c r="K386" s="20" t="s">
        <v>15</v>
      </c>
      <c r="L386" s="39">
        <v>0</v>
      </c>
      <c r="M386" s="39">
        <v>0</v>
      </c>
      <c r="N386" s="39">
        <v>0</v>
      </c>
      <c r="O386" s="39">
        <v>0</v>
      </c>
      <c r="P386" s="39">
        <v>0</v>
      </c>
      <c r="Q386" s="39">
        <v>0</v>
      </c>
      <c r="R386" s="39">
        <v>0</v>
      </c>
      <c r="S386" s="39">
        <v>0</v>
      </c>
      <c r="T386" s="39">
        <v>0</v>
      </c>
      <c r="U386" s="39">
        <v>0</v>
      </c>
      <c r="V386" s="39">
        <v>0</v>
      </c>
      <c r="W386" s="39">
        <v>0</v>
      </c>
      <c r="X386" s="39">
        <v>0</v>
      </c>
      <c r="Y386" s="39">
        <v>0</v>
      </c>
      <c r="Z386" s="39">
        <v>0</v>
      </c>
      <c r="AA386" s="39">
        <v>0</v>
      </c>
      <c r="AB386" s="39">
        <v>0</v>
      </c>
      <c r="AC386" s="39">
        <v>0</v>
      </c>
      <c r="AD386" s="39">
        <v>0</v>
      </c>
      <c r="AE386" s="39">
        <v>0</v>
      </c>
      <c r="AF386" s="39">
        <v>0</v>
      </c>
      <c r="AG386" s="39">
        <v>0</v>
      </c>
      <c r="AH386" s="39"/>
      <c r="AI386" s="39"/>
      <c r="AJ386" s="40"/>
      <c r="AK386" s="39">
        <f t="shared" si="30"/>
        <v>0</v>
      </c>
      <c r="AL386" s="39">
        <f t="shared" si="28"/>
        <v>0</v>
      </c>
      <c r="AM386" s="39">
        <f t="shared" si="29"/>
        <v>0</v>
      </c>
      <c r="AN386" s="39">
        <f t="shared" si="31"/>
        <v>0</v>
      </c>
      <c r="AO386" s="39">
        <f t="shared" si="32"/>
        <v>0</v>
      </c>
    </row>
    <row r="387" spans="1:41" x14ac:dyDescent="0.3">
      <c r="A387" s="20">
        <v>1000184670</v>
      </c>
      <c r="B387" s="4" t="s">
        <v>147</v>
      </c>
      <c r="C387" s="21"/>
      <c r="D387" s="3"/>
      <c r="E387" s="20">
        <v>1000184757</v>
      </c>
      <c r="F387" s="4" t="s">
        <v>62</v>
      </c>
      <c r="G387" s="21">
        <v>1000189765</v>
      </c>
      <c r="H387" s="3" t="s">
        <v>99</v>
      </c>
      <c r="I387" s="21">
        <v>1000189270</v>
      </c>
      <c r="J387" s="3" t="s">
        <v>34</v>
      </c>
      <c r="K387" s="20" t="s">
        <v>33</v>
      </c>
      <c r="L387" s="39">
        <v>0</v>
      </c>
      <c r="M387" s="39">
        <v>0</v>
      </c>
      <c r="N387" s="39">
        <v>0</v>
      </c>
      <c r="O387" s="39">
        <v>0</v>
      </c>
      <c r="P387" s="39">
        <v>0</v>
      </c>
      <c r="Q387" s="39">
        <v>0</v>
      </c>
      <c r="R387" s="39">
        <v>0</v>
      </c>
      <c r="S387" s="39">
        <v>0</v>
      </c>
      <c r="T387" s="39">
        <v>0</v>
      </c>
      <c r="U387" s="39">
        <v>0</v>
      </c>
      <c r="V387" s="39">
        <v>0</v>
      </c>
      <c r="W387" s="39">
        <v>0</v>
      </c>
      <c r="X387" s="39">
        <v>0</v>
      </c>
      <c r="Y387" s="39">
        <v>0</v>
      </c>
      <c r="Z387" s="39">
        <v>0</v>
      </c>
      <c r="AA387" s="39">
        <v>0</v>
      </c>
      <c r="AB387" s="39">
        <v>0</v>
      </c>
      <c r="AC387" s="39">
        <v>0</v>
      </c>
      <c r="AD387" s="39">
        <v>0</v>
      </c>
      <c r="AE387" s="39">
        <v>0</v>
      </c>
      <c r="AF387" s="39">
        <v>0</v>
      </c>
      <c r="AG387" s="39">
        <v>0</v>
      </c>
      <c r="AH387" s="39"/>
      <c r="AI387" s="39"/>
      <c r="AJ387" s="40"/>
      <c r="AK387" s="39">
        <f t="shared" si="30"/>
        <v>0</v>
      </c>
      <c r="AL387" s="39">
        <f t="shared" ref="AL387:AL450" si="33">AVERAGE(V387:AG387)</f>
        <v>0</v>
      </c>
      <c r="AM387" s="39">
        <f t="shared" ref="AM387:AM450" si="34">AVERAGE(AB387:AG387)</f>
        <v>0</v>
      </c>
      <c r="AN387" s="39">
        <f t="shared" si="31"/>
        <v>0</v>
      </c>
      <c r="AO387" s="39">
        <f t="shared" si="32"/>
        <v>0</v>
      </c>
    </row>
    <row r="388" spans="1:41" x14ac:dyDescent="0.3">
      <c r="A388" s="20">
        <v>1000184670</v>
      </c>
      <c r="B388" s="4" t="s">
        <v>147</v>
      </c>
      <c r="C388" s="21"/>
      <c r="D388" s="3"/>
      <c r="E388" s="20">
        <v>1000184757</v>
      </c>
      <c r="F388" s="4" t="s">
        <v>62</v>
      </c>
      <c r="G388" s="21">
        <v>1000189765</v>
      </c>
      <c r="H388" s="3" t="s">
        <v>99</v>
      </c>
      <c r="I388" s="21">
        <v>1000189270</v>
      </c>
      <c r="J388" s="3" t="s">
        <v>34</v>
      </c>
      <c r="K388" s="20" t="s">
        <v>19</v>
      </c>
      <c r="L388" s="39">
        <v>0</v>
      </c>
      <c r="M388" s="39">
        <v>0</v>
      </c>
      <c r="N388" s="39">
        <v>0</v>
      </c>
      <c r="O388" s="39">
        <v>0</v>
      </c>
      <c r="P388" s="39">
        <v>0</v>
      </c>
      <c r="Q388" s="39">
        <v>0</v>
      </c>
      <c r="R388" s="39">
        <v>0</v>
      </c>
      <c r="S388" s="39">
        <v>0</v>
      </c>
      <c r="T388" s="39">
        <v>0</v>
      </c>
      <c r="U388" s="39">
        <v>0</v>
      </c>
      <c r="V388" s="39">
        <v>0</v>
      </c>
      <c r="W388" s="39">
        <v>0</v>
      </c>
      <c r="X388" s="39">
        <v>0</v>
      </c>
      <c r="Y388" s="39">
        <v>0</v>
      </c>
      <c r="Z388" s="39">
        <v>0</v>
      </c>
      <c r="AA388" s="39">
        <v>0</v>
      </c>
      <c r="AB388" s="39">
        <v>0</v>
      </c>
      <c r="AC388" s="39">
        <v>0</v>
      </c>
      <c r="AD388" s="39">
        <v>0</v>
      </c>
      <c r="AE388" s="39">
        <v>0</v>
      </c>
      <c r="AF388" s="39">
        <v>0</v>
      </c>
      <c r="AG388" s="39">
        <v>0</v>
      </c>
      <c r="AH388" s="39"/>
      <c r="AI388" s="39"/>
      <c r="AJ388" s="40"/>
      <c r="AK388" s="39">
        <f t="shared" si="30"/>
        <v>0</v>
      </c>
      <c r="AL388" s="39">
        <f t="shared" si="33"/>
        <v>0</v>
      </c>
      <c r="AM388" s="39">
        <f t="shared" si="34"/>
        <v>0</v>
      </c>
      <c r="AN388" s="39">
        <f t="shared" si="31"/>
        <v>0</v>
      </c>
      <c r="AO388" s="39">
        <f t="shared" si="32"/>
        <v>0</v>
      </c>
    </row>
    <row r="389" spans="1:41" x14ac:dyDescent="0.3">
      <c r="A389" s="20">
        <v>1000184670</v>
      </c>
      <c r="B389" s="4" t="s">
        <v>147</v>
      </c>
      <c r="C389" s="21"/>
      <c r="D389" s="3"/>
      <c r="E389" s="20">
        <v>1000184757</v>
      </c>
      <c r="F389" s="4" t="s">
        <v>62</v>
      </c>
      <c r="G389" s="21">
        <v>1000189765</v>
      </c>
      <c r="H389" s="3" t="s">
        <v>99</v>
      </c>
      <c r="I389" s="21">
        <v>1000189270</v>
      </c>
      <c r="J389" s="3" t="s">
        <v>34</v>
      </c>
      <c r="K389" s="20" t="s">
        <v>17</v>
      </c>
      <c r="L389" s="39">
        <v>0</v>
      </c>
      <c r="M389" s="39">
        <v>0</v>
      </c>
      <c r="N389" s="39">
        <v>0</v>
      </c>
      <c r="O389" s="39">
        <v>0</v>
      </c>
      <c r="P389" s="39">
        <v>0</v>
      </c>
      <c r="Q389" s="39">
        <v>0</v>
      </c>
      <c r="R389" s="39">
        <v>0</v>
      </c>
      <c r="S389" s="39">
        <v>0</v>
      </c>
      <c r="T389" s="39">
        <v>0</v>
      </c>
      <c r="U389" s="39">
        <v>0</v>
      </c>
      <c r="V389" s="39">
        <v>0</v>
      </c>
      <c r="W389" s="39">
        <v>0</v>
      </c>
      <c r="X389" s="39">
        <v>0</v>
      </c>
      <c r="Y389" s="39">
        <v>0</v>
      </c>
      <c r="Z389" s="39">
        <v>0</v>
      </c>
      <c r="AA389" s="39">
        <v>0</v>
      </c>
      <c r="AB389" s="39">
        <v>0</v>
      </c>
      <c r="AC389" s="39">
        <v>0</v>
      </c>
      <c r="AD389" s="39">
        <v>0</v>
      </c>
      <c r="AE389" s="39">
        <v>0</v>
      </c>
      <c r="AF389" s="39">
        <v>0</v>
      </c>
      <c r="AG389" s="39">
        <v>0</v>
      </c>
      <c r="AH389" s="39"/>
      <c r="AI389" s="39"/>
      <c r="AJ389" s="40"/>
      <c r="AK389" s="39">
        <f t="shared" si="30"/>
        <v>0</v>
      </c>
      <c r="AL389" s="39">
        <f t="shared" si="33"/>
        <v>0</v>
      </c>
      <c r="AM389" s="39">
        <f t="shared" si="34"/>
        <v>0</v>
      </c>
      <c r="AN389" s="39">
        <f t="shared" si="31"/>
        <v>0</v>
      </c>
      <c r="AO389" s="39">
        <f t="shared" si="32"/>
        <v>0</v>
      </c>
    </row>
    <row r="390" spans="1:41" x14ac:dyDescent="0.3">
      <c r="A390" s="20">
        <v>1000184670</v>
      </c>
      <c r="B390" s="4" t="s">
        <v>147</v>
      </c>
      <c r="C390" s="21"/>
      <c r="D390" s="3"/>
      <c r="E390" s="20">
        <v>1000184757</v>
      </c>
      <c r="F390" s="4" t="s">
        <v>62</v>
      </c>
      <c r="G390" s="21">
        <v>1000189765</v>
      </c>
      <c r="H390" s="3" t="s">
        <v>99</v>
      </c>
      <c r="I390" s="21">
        <v>1000189270</v>
      </c>
      <c r="J390" s="3" t="s">
        <v>34</v>
      </c>
      <c r="K390" s="20" t="s">
        <v>24</v>
      </c>
      <c r="L390" s="39">
        <v>0</v>
      </c>
      <c r="M390" s="39">
        <v>0</v>
      </c>
      <c r="N390" s="39">
        <v>0</v>
      </c>
      <c r="O390" s="39">
        <v>0</v>
      </c>
      <c r="P390" s="39">
        <v>0</v>
      </c>
      <c r="Q390" s="39">
        <v>0</v>
      </c>
      <c r="R390" s="39">
        <v>0</v>
      </c>
      <c r="S390" s="39">
        <v>0</v>
      </c>
      <c r="T390" s="39">
        <v>0</v>
      </c>
      <c r="U390" s="39">
        <v>0</v>
      </c>
      <c r="V390" s="39">
        <v>0</v>
      </c>
      <c r="W390" s="39">
        <v>0</v>
      </c>
      <c r="X390" s="39">
        <v>0</v>
      </c>
      <c r="Y390" s="39">
        <v>0</v>
      </c>
      <c r="Z390" s="39">
        <v>0</v>
      </c>
      <c r="AA390" s="39">
        <v>0</v>
      </c>
      <c r="AB390" s="39">
        <v>124.38</v>
      </c>
      <c r="AC390" s="39">
        <v>0</v>
      </c>
      <c r="AD390" s="39">
        <v>0</v>
      </c>
      <c r="AE390" s="39">
        <v>0</v>
      </c>
      <c r="AF390" s="39">
        <v>0</v>
      </c>
      <c r="AG390" s="39">
        <v>0</v>
      </c>
      <c r="AH390" s="39"/>
      <c r="AI390" s="39"/>
      <c r="AJ390" s="40"/>
      <c r="AK390" s="39">
        <f t="shared" si="30"/>
        <v>0</v>
      </c>
      <c r="AL390" s="39">
        <f t="shared" si="33"/>
        <v>10.365</v>
      </c>
      <c r="AM390" s="39">
        <f t="shared" si="34"/>
        <v>20.73</v>
      </c>
      <c r="AN390" s="39">
        <f t="shared" si="31"/>
        <v>12.437999999999999</v>
      </c>
      <c r="AO390" s="39">
        <f t="shared" si="32"/>
        <v>124.38</v>
      </c>
    </row>
    <row r="391" spans="1:41" x14ac:dyDescent="0.3">
      <c r="A391" s="20">
        <v>1000184670</v>
      </c>
      <c r="B391" s="4" t="s">
        <v>147</v>
      </c>
      <c r="C391" s="21"/>
      <c r="D391" s="3"/>
      <c r="E391" s="20">
        <v>1000184757</v>
      </c>
      <c r="F391" s="4" t="s">
        <v>62</v>
      </c>
      <c r="G391" s="21">
        <v>1000189765</v>
      </c>
      <c r="H391" s="3" t="s">
        <v>99</v>
      </c>
      <c r="I391" s="21">
        <v>1000189270</v>
      </c>
      <c r="J391" s="3" t="s">
        <v>34</v>
      </c>
      <c r="K391" s="20" t="s">
        <v>18</v>
      </c>
      <c r="L391" s="39">
        <v>0</v>
      </c>
      <c r="M391" s="39">
        <v>0</v>
      </c>
      <c r="N391" s="39">
        <v>0</v>
      </c>
      <c r="O391" s="39">
        <v>0</v>
      </c>
      <c r="P391" s="39">
        <v>0</v>
      </c>
      <c r="Q391" s="39">
        <v>0</v>
      </c>
      <c r="R391" s="39">
        <v>0</v>
      </c>
      <c r="S391" s="39">
        <v>0</v>
      </c>
      <c r="T391" s="39">
        <v>0</v>
      </c>
      <c r="U391" s="39">
        <v>0</v>
      </c>
      <c r="V391" s="39">
        <v>0</v>
      </c>
      <c r="W391" s="39">
        <v>0</v>
      </c>
      <c r="X391" s="39">
        <v>0</v>
      </c>
      <c r="Y391" s="39">
        <v>0</v>
      </c>
      <c r="Z391" s="39">
        <v>0</v>
      </c>
      <c r="AA391" s="39">
        <v>0</v>
      </c>
      <c r="AB391" s="39">
        <v>102.52</v>
      </c>
      <c r="AC391" s="39">
        <v>0</v>
      </c>
      <c r="AD391" s="39">
        <v>0</v>
      </c>
      <c r="AE391" s="39">
        <v>0</v>
      </c>
      <c r="AF391" s="39">
        <v>0</v>
      </c>
      <c r="AG391" s="39">
        <v>0</v>
      </c>
      <c r="AH391" s="39"/>
      <c r="AI391" s="39"/>
      <c r="AJ391" s="40"/>
      <c r="AK391" s="39">
        <f t="shared" si="30"/>
        <v>0</v>
      </c>
      <c r="AL391" s="39">
        <f t="shared" si="33"/>
        <v>8.543333333333333</v>
      </c>
      <c r="AM391" s="39">
        <f t="shared" si="34"/>
        <v>17.086666666666666</v>
      </c>
      <c r="AN391" s="39">
        <f t="shared" si="31"/>
        <v>10.251999999999999</v>
      </c>
      <c r="AO391" s="39">
        <f t="shared" si="32"/>
        <v>102.52</v>
      </c>
    </row>
    <row r="392" spans="1:41" x14ac:dyDescent="0.3">
      <c r="A392" s="20">
        <v>1000184670</v>
      </c>
      <c r="B392" s="4" t="s">
        <v>147</v>
      </c>
      <c r="C392" s="21"/>
      <c r="D392" s="3"/>
      <c r="E392" s="20">
        <v>1000184757</v>
      </c>
      <c r="F392" s="4" t="s">
        <v>62</v>
      </c>
      <c r="G392" s="21">
        <v>1000189765</v>
      </c>
      <c r="H392" s="3" t="s">
        <v>99</v>
      </c>
      <c r="I392" s="21">
        <v>1000189270</v>
      </c>
      <c r="J392" s="3" t="s">
        <v>34</v>
      </c>
      <c r="K392" s="20" t="s">
        <v>29</v>
      </c>
      <c r="L392" s="39">
        <v>0</v>
      </c>
      <c r="M392" s="39">
        <v>0</v>
      </c>
      <c r="N392" s="39">
        <v>0</v>
      </c>
      <c r="O392" s="39">
        <v>0</v>
      </c>
      <c r="P392" s="39">
        <v>0</v>
      </c>
      <c r="Q392" s="39">
        <v>0</v>
      </c>
      <c r="R392" s="39">
        <v>0</v>
      </c>
      <c r="S392" s="39">
        <v>0</v>
      </c>
      <c r="T392" s="39">
        <v>0</v>
      </c>
      <c r="U392" s="39">
        <v>0</v>
      </c>
      <c r="V392" s="39">
        <v>0</v>
      </c>
      <c r="W392" s="39">
        <v>0</v>
      </c>
      <c r="X392" s="39">
        <v>0</v>
      </c>
      <c r="Y392" s="39">
        <v>0</v>
      </c>
      <c r="Z392" s="39">
        <v>0</v>
      </c>
      <c r="AA392" s="39">
        <v>0</v>
      </c>
      <c r="AB392" s="39">
        <v>0</v>
      </c>
      <c r="AC392" s="39">
        <v>0</v>
      </c>
      <c r="AD392" s="39">
        <v>0</v>
      </c>
      <c r="AE392" s="39">
        <v>0</v>
      </c>
      <c r="AF392" s="39">
        <v>0</v>
      </c>
      <c r="AG392" s="39">
        <v>0</v>
      </c>
      <c r="AH392" s="39"/>
      <c r="AI392" s="39"/>
      <c r="AJ392" s="40"/>
      <c r="AK392" s="39">
        <f t="shared" si="30"/>
        <v>0</v>
      </c>
      <c r="AL392" s="39">
        <f t="shared" si="33"/>
        <v>0</v>
      </c>
      <c r="AM392" s="39">
        <f t="shared" si="34"/>
        <v>0</v>
      </c>
      <c r="AN392" s="39">
        <f t="shared" si="31"/>
        <v>0</v>
      </c>
      <c r="AO392" s="39">
        <f t="shared" si="32"/>
        <v>0</v>
      </c>
    </row>
    <row r="393" spans="1:41" x14ac:dyDescent="0.3">
      <c r="A393" s="20">
        <v>1000184670</v>
      </c>
      <c r="B393" s="4" t="s">
        <v>147</v>
      </c>
      <c r="C393" s="21"/>
      <c r="D393" s="3"/>
      <c r="E393" s="20">
        <v>1000184757</v>
      </c>
      <c r="F393" s="4" t="s">
        <v>62</v>
      </c>
      <c r="G393" s="21">
        <v>1000189765</v>
      </c>
      <c r="H393" s="3" t="s">
        <v>99</v>
      </c>
      <c r="I393" s="21">
        <v>1000189270</v>
      </c>
      <c r="J393" s="3" t="s">
        <v>34</v>
      </c>
      <c r="K393" s="20" t="s">
        <v>21</v>
      </c>
      <c r="L393" s="39">
        <v>0</v>
      </c>
      <c r="M393" s="39">
        <v>0</v>
      </c>
      <c r="N393" s="39">
        <v>0</v>
      </c>
      <c r="O393" s="39">
        <v>0</v>
      </c>
      <c r="P393" s="39">
        <v>0</v>
      </c>
      <c r="Q393" s="39">
        <v>0</v>
      </c>
      <c r="R393" s="39">
        <v>0</v>
      </c>
      <c r="S393" s="39">
        <v>0</v>
      </c>
      <c r="T393" s="39">
        <v>0</v>
      </c>
      <c r="U393" s="39">
        <v>0</v>
      </c>
      <c r="V393" s="39">
        <v>0</v>
      </c>
      <c r="W393" s="39">
        <v>0</v>
      </c>
      <c r="X393" s="39">
        <v>0</v>
      </c>
      <c r="Y393" s="39">
        <v>0</v>
      </c>
      <c r="Z393" s="39">
        <v>0</v>
      </c>
      <c r="AA393" s="39">
        <v>0</v>
      </c>
      <c r="AB393" s="39">
        <v>185.52</v>
      </c>
      <c r="AC393" s="39">
        <v>0</v>
      </c>
      <c r="AD393" s="39">
        <v>0</v>
      </c>
      <c r="AE393" s="39">
        <v>94.04</v>
      </c>
      <c r="AF393" s="39">
        <v>0</v>
      </c>
      <c r="AG393" s="39">
        <v>0</v>
      </c>
      <c r="AH393" s="39"/>
      <c r="AI393" s="39"/>
      <c r="AJ393" s="40"/>
      <c r="AK393" s="39">
        <f t="shared" si="30"/>
        <v>0</v>
      </c>
      <c r="AL393" s="39">
        <f t="shared" si="33"/>
        <v>23.296666666666667</v>
      </c>
      <c r="AM393" s="39">
        <f t="shared" si="34"/>
        <v>46.593333333333334</v>
      </c>
      <c r="AN393" s="39">
        <f t="shared" si="31"/>
        <v>27.956</v>
      </c>
      <c r="AO393" s="39">
        <f t="shared" si="32"/>
        <v>279.56</v>
      </c>
    </row>
    <row r="394" spans="1:41" x14ac:dyDescent="0.3">
      <c r="A394" s="20">
        <v>1000184670</v>
      </c>
      <c r="B394" s="4" t="s">
        <v>147</v>
      </c>
      <c r="C394" s="21"/>
      <c r="D394" s="3"/>
      <c r="E394" s="20">
        <v>1000184757</v>
      </c>
      <c r="F394" s="4" t="s">
        <v>62</v>
      </c>
      <c r="G394" s="21">
        <v>1000189765</v>
      </c>
      <c r="H394" s="3" t="s">
        <v>99</v>
      </c>
      <c r="I394" s="21">
        <v>1000189270</v>
      </c>
      <c r="J394" s="3" t="s">
        <v>34</v>
      </c>
      <c r="K394" s="20" t="s">
        <v>20</v>
      </c>
      <c r="L394" s="39">
        <v>0</v>
      </c>
      <c r="M394" s="39">
        <v>0</v>
      </c>
      <c r="N394" s="39">
        <v>0</v>
      </c>
      <c r="O394" s="39">
        <v>0</v>
      </c>
      <c r="P394" s="39">
        <v>0</v>
      </c>
      <c r="Q394" s="39">
        <v>0</v>
      </c>
      <c r="R394" s="39">
        <v>0</v>
      </c>
      <c r="S394" s="39">
        <v>0</v>
      </c>
      <c r="T394" s="39">
        <v>0</v>
      </c>
      <c r="U394" s="39">
        <v>0</v>
      </c>
      <c r="V394" s="39">
        <v>0</v>
      </c>
      <c r="W394" s="39">
        <v>0</v>
      </c>
      <c r="X394" s="39">
        <v>0</v>
      </c>
      <c r="Y394" s="39">
        <v>0</v>
      </c>
      <c r="Z394" s="39">
        <v>0</v>
      </c>
      <c r="AA394" s="39">
        <v>0</v>
      </c>
      <c r="AB394" s="39">
        <v>0</v>
      </c>
      <c r="AC394" s="39">
        <v>0</v>
      </c>
      <c r="AD394" s="39">
        <v>0</v>
      </c>
      <c r="AE394" s="39">
        <v>0</v>
      </c>
      <c r="AF394" s="39">
        <v>0</v>
      </c>
      <c r="AG394" s="39">
        <v>0</v>
      </c>
      <c r="AH394" s="39"/>
      <c r="AI394" s="39"/>
      <c r="AJ394" s="40"/>
      <c r="AK394" s="39">
        <f t="shared" si="30"/>
        <v>0</v>
      </c>
      <c r="AL394" s="39">
        <f t="shared" si="33"/>
        <v>0</v>
      </c>
      <c r="AM394" s="39">
        <f t="shared" si="34"/>
        <v>0</v>
      </c>
      <c r="AN394" s="39">
        <f t="shared" si="31"/>
        <v>0</v>
      </c>
      <c r="AO394" s="39">
        <f t="shared" si="32"/>
        <v>0</v>
      </c>
    </row>
    <row r="395" spans="1:41" x14ac:dyDescent="0.3">
      <c r="A395" s="20">
        <v>1000184670</v>
      </c>
      <c r="B395" s="4" t="s">
        <v>147</v>
      </c>
      <c r="C395" s="21"/>
      <c r="D395" s="3"/>
      <c r="E395" s="20">
        <v>1000184757</v>
      </c>
      <c r="F395" s="4" t="s">
        <v>62</v>
      </c>
      <c r="G395" s="21">
        <v>1000189765</v>
      </c>
      <c r="H395" s="3" t="s">
        <v>99</v>
      </c>
      <c r="I395" s="21">
        <v>1000189270</v>
      </c>
      <c r="J395" s="3" t="s">
        <v>34</v>
      </c>
      <c r="K395" s="20" t="s">
        <v>22</v>
      </c>
      <c r="L395" s="39">
        <v>0</v>
      </c>
      <c r="M395" s="39">
        <v>0</v>
      </c>
      <c r="N395" s="39">
        <v>0</v>
      </c>
      <c r="O395" s="39">
        <v>0</v>
      </c>
      <c r="P395" s="39">
        <v>0</v>
      </c>
      <c r="Q395" s="39">
        <v>0</v>
      </c>
      <c r="R395" s="39">
        <v>0</v>
      </c>
      <c r="S395" s="39">
        <v>0</v>
      </c>
      <c r="T395" s="39">
        <v>0</v>
      </c>
      <c r="U395" s="39">
        <v>0</v>
      </c>
      <c r="V395" s="39">
        <v>0</v>
      </c>
      <c r="W395" s="39">
        <v>0</v>
      </c>
      <c r="X395" s="39">
        <v>0</v>
      </c>
      <c r="Y395" s="39">
        <v>0</v>
      </c>
      <c r="Z395" s="39">
        <v>0</v>
      </c>
      <c r="AA395" s="39">
        <v>0</v>
      </c>
      <c r="AB395" s="39">
        <v>0</v>
      </c>
      <c r="AC395" s="39">
        <v>0</v>
      </c>
      <c r="AD395" s="39">
        <v>0</v>
      </c>
      <c r="AE395" s="39">
        <v>209.94</v>
      </c>
      <c r="AF395" s="39">
        <v>0</v>
      </c>
      <c r="AG395" s="39">
        <v>0</v>
      </c>
      <c r="AH395" s="39"/>
      <c r="AI395" s="39"/>
      <c r="AJ395" s="40"/>
      <c r="AK395" s="39">
        <f t="shared" si="30"/>
        <v>0</v>
      </c>
      <c r="AL395" s="39">
        <f t="shared" si="33"/>
        <v>17.495000000000001</v>
      </c>
      <c r="AM395" s="39">
        <f t="shared" si="34"/>
        <v>34.99</v>
      </c>
      <c r="AN395" s="39">
        <f t="shared" si="31"/>
        <v>20.994</v>
      </c>
      <c r="AO395" s="39">
        <f t="shared" si="32"/>
        <v>209.94</v>
      </c>
    </row>
    <row r="396" spans="1:41" x14ac:dyDescent="0.3">
      <c r="A396" s="20">
        <v>1000184670</v>
      </c>
      <c r="B396" s="4" t="s">
        <v>147</v>
      </c>
      <c r="C396" s="21"/>
      <c r="D396" s="3"/>
      <c r="E396" s="20">
        <v>1000184757</v>
      </c>
      <c r="F396" s="4" t="s">
        <v>62</v>
      </c>
      <c r="G396" s="21">
        <v>1000189765</v>
      </c>
      <c r="H396" s="3" t="s">
        <v>99</v>
      </c>
      <c r="I396" s="21">
        <v>1000189270</v>
      </c>
      <c r="J396" s="3" t="s">
        <v>34</v>
      </c>
      <c r="K396" s="20" t="s">
        <v>23</v>
      </c>
      <c r="L396" s="39">
        <v>0</v>
      </c>
      <c r="M396" s="39">
        <v>0</v>
      </c>
      <c r="N396" s="39">
        <v>0</v>
      </c>
      <c r="O396" s="39">
        <v>0</v>
      </c>
      <c r="P396" s="39">
        <v>0</v>
      </c>
      <c r="Q396" s="39">
        <v>0</v>
      </c>
      <c r="R396" s="39">
        <v>0</v>
      </c>
      <c r="S396" s="39">
        <v>0</v>
      </c>
      <c r="T396" s="39">
        <v>0</v>
      </c>
      <c r="U396" s="39">
        <v>0</v>
      </c>
      <c r="V396" s="39">
        <v>0</v>
      </c>
      <c r="W396" s="39">
        <v>0</v>
      </c>
      <c r="X396" s="39">
        <v>0</v>
      </c>
      <c r="Y396" s="39">
        <v>0</v>
      </c>
      <c r="Z396" s="39">
        <v>0</v>
      </c>
      <c r="AA396" s="39">
        <v>0</v>
      </c>
      <c r="AB396" s="39">
        <v>0</v>
      </c>
      <c r="AC396" s="39">
        <v>0</v>
      </c>
      <c r="AD396" s="39">
        <v>0</v>
      </c>
      <c r="AE396" s="39">
        <v>0</v>
      </c>
      <c r="AF396" s="39">
        <v>0</v>
      </c>
      <c r="AG396" s="39">
        <v>0</v>
      </c>
      <c r="AH396" s="39"/>
      <c r="AI396" s="39"/>
      <c r="AJ396" s="40"/>
      <c r="AK396" s="39">
        <f t="shared" si="30"/>
        <v>0</v>
      </c>
      <c r="AL396" s="39">
        <f t="shared" si="33"/>
        <v>0</v>
      </c>
      <c r="AM396" s="39">
        <f t="shared" si="34"/>
        <v>0</v>
      </c>
      <c r="AN396" s="39">
        <f t="shared" si="31"/>
        <v>0</v>
      </c>
      <c r="AO396" s="39">
        <f t="shared" si="32"/>
        <v>0</v>
      </c>
    </row>
    <row r="397" spans="1:41" x14ac:dyDescent="0.3">
      <c r="A397" s="20">
        <v>1000184670</v>
      </c>
      <c r="B397" s="4" t="s">
        <v>147</v>
      </c>
      <c r="C397" s="21"/>
      <c r="D397" s="3"/>
      <c r="E397" s="20">
        <v>1000184757</v>
      </c>
      <c r="F397" s="4" t="s">
        <v>62</v>
      </c>
      <c r="G397" s="21">
        <v>1000189765</v>
      </c>
      <c r="H397" s="3" t="s">
        <v>99</v>
      </c>
      <c r="I397" s="21">
        <v>1000189270</v>
      </c>
      <c r="J397" s="3" t="s">
        <v>34</v>
      </c>
      <c r="K397" s="20" t="s">
        <v>28</v>
      </c>
      <c r="L397" s="39">
        <v>0</v>
      </c>
      <c r="M397" s="39">
        <v>0</v>
      </c>
      <c r="N397" s="39">
        <v>0</v>
      </c>
      <c r="O397" s="39">
        <v>0</v>
      </c>
      <c r="P397" s="39">
        <v>0</v>
      </c>
      <c r="Q397" s="39">
        <v>0</v>
      </c>
      <c r="R397" s="39">
        <v>0</v>
      </c>
      <c r="S397" s="39">
        <v>0</v>
      </c>
      <c r="T397" s="39">
        <v>0</v>
      </c>
      <c r="U397" s="39">
        <v>0</v>
      </c>
      <c r="V397" s="39">
        <v>0</v>
      </c>
      <c r="W397" s="39">
        <v>0</v>
      </c>
      <c r="X397" s="39">
        <v>0</v>
      </c>
      <c r="Y397" s="39">
        <v>0</v>
      </c>
      <c r="Z397" s="39">
        <v>0</v>
      </c>
      <c r="AA397" s="39">
        <v>0</v>
      </c>
      <c r="AB397" s="39">
        <v>0</v>
      </c>
      <c r="AC397" s="39">
        <v>0</v>
      </c>
      <c r="AD397" s="39">
        <v>0</v>
      </c>
      <c r="AE397" s="39">
        <v>0</v>
      </c>
      <c r="AF397" s="39">
        <v>0</v>
      </c>
      <c r="AG397" s="39">
        <v>0</v>
      </c>
      <c r="AH397" s="39"/>
      <c r="AI397" s="39"/>
      <c r="AJ397" s="40"/>
      <c r="AK397" s="39">
        <f t="shared" si="30"/>
        <v>0</v>
      </c>
      <c r="AL397" s="39">
        <f t="shared" si="33"/>
        <v>0</v>
      </c>
      <c r="AM397" s="39">
        <f t="shared" si="34"/>
        <v>0</v>
      </c>
      <c r="AN397" s="39">
        <f t="shared" si="31"/>
        <v>0</v>
      </c>
      <c r="AO397" s="39">
        <f t="shared" si="32"/>
        <v>0</v>
      </c>
    </row>
    <row r="398" spans="1:41" x14ac:dyDescent="0.3">
      <c r="A398" s="20">
        <v>1000184670</v>
      </c>
      <c r="B398" s="4" t="s">
        <v>147</v>
      </c>
      <c r="C398" s="21"/>
      <c r="D398" s="3"/>
      <c r="E398" s="20">
        <v>1000184757</v>
      </c>
      <c r="F398" s="4" t="s">
        <v>62</v>
      </c>
      <c r="G398" s="21">
        <v>1000189765</v>
      </c>
      <c r="H398" s="3" t="s">
        <v>99</v>
      </c>
      <c r="I398" s="21">
        <v>1000189270</v>
      </c>
      <c r="J398" s="3" t="s">
        <v>34</v>
      </c>
      <c r="K398" s="20" t="s">
        <v>26</v>
      </c>
      <c r="L398" s="39">
        <v>0</v>
      </c>
      <c r="M398" s="39">
        <v>0</v>
      </c>
      <c r="N398" s="39">
        <v>0</v>
      </c>
      <c r="O398" s="39">
        <v>0</v>
      </c>
      <c r="P398" s="39">
        <v>0</v>
      </c>
      <c r="Q398" s="39">
        <v>0</v>
      </c>
      <c r="R398" s="39">
        <v>0</v>
      </c>
      <c r="S398" s="39">
        <v>0</v>
      </c>
      <c r="T398" s="39">
        <v>0</v>
      </c>
      <c r="U398" s="39">
        <v>0</v>
      </c>
      <c r="V398" s="39">
        <v>0</v>
      </c>
      <c r="W398" s="39">
        <v>0</v>
      </c>
      <c r="X398" s="39">
        <v>0</v>
      </c>
      <c r="Y398" s="39">
        <v>0</v>
      </c>
      <c r="Z398" s="39">
        <v>0</v>
      </c>
      <c r="AA398" s="39">
        <v>0</v>
      </c>
      <c r="AB398" s="39">
        <v>0</v>
      </c>
      <c r="AC398" s="39">
        <v>0</v>
      </c>
      <c r="AD398" s="39">
        <v>0</v>
      </c>
      <c r="AE398" s="39">
        <v>0</v>
      </c>
      <c r="AF398" s="39">
        <v>0</v>
      </c>
      <c r="AG398" s="39">
        <v>0</v>
      </c>
      <c r="AH398" s="39"/>
      <c r="AI398" s="39"/>
      <c r="AJ398" s="40"/>
      <c r="AK398" s="39">
        <f t="shared" si="30"/>
        <v>0</v>
      </c>
      <c r="AL398" s="39">
        <f t="shared" si="33"/>
        <v>0</v>
      </c>
      <c r="AM398" s="39">
        <f t="shared" si="34"/>
        <v>0</v>
      </c>
      <c r="AN398" s="39">
        <f t="shared" si="31"/>
        <v>0</v>
      </c>
      <c r="AO398" s="39">
        <f t="shared" si="32"/>
        <v>0</v>
      </c>
    </row>
    <row r="399" spans="1:41" x14ac:dyDescent="0.3">
      <c r="A399" s="20">
        <v>1000184670</v>
      </c>
      <c r="B399" s="4" t="s">
        <v>147</v>
      </c>
      <c r="C399" s="21"/>
      <c r="D399" s="3"/>
      <c r="E399" s="20">
        <v>1000184757</v>
      </c>
      <c r="F399" s="4" t="s">
        <v>62</v>
      </c>
      <c r="G399" s="21">
        <v>1000189765</v>
      </c>
      <c r="H399" s="3" t="s">
        <v>99</v>
      </c>
      <c r="I399" s="21">
        <v>1000189270</v>
      </c>
      <c r="J399" s="3" t="s">
        <v>34</v>
      </c>
      <c r="K399" s="20" t="s">
        <v>27</v>
      </c>
      <c r="L399" s="39">
        <v>0</v>
      </c>
      <c r="M399" s="39">
        <v>0</v>
      </c>
      <c r="N399" s="39">
        <v>0</v>
      </c>
      <c r="O399" s="39">
        <v>0</v>
      </c>
      <c r="P399" s="39">
        <v>0</v>
      </c>
      <c r="Q399" s="39">
        <v>0</v>
      </c>
      <c r="R399" s="39">
        <v>0</v>
      </c>
      <c r="S399" s="39">
        <v>0</v>
      </c>
      <c r="T399" s="39">
        <v>0</v>
      </c>
      <c r="U399" s="39">
        <v>0</v>
      </c>
      <c r="V399" s="39">
        <v>0</v>
      </c>
      <c r="W399" s="39">
        <v>0</v>
      </c>
      <c r="X399" s="39">
        <v>0</v>
      </c>
      <c r="Y399" s="39">
        <v>0</v>
      </c>
      <c r="Z399" s="39">
        <v>0</v>
      </c>
      <c r="AA399" s="39">
        <v>0</v>
      </c>
      <c r="AB399" s="39">
        <v>0</v>
      </c>
      <c r="AC399" s="39">
        <v>0</v>
      </c>
      <c r="AD399" s="39">
        <v>0</v>
      </c>
      <c r="AE399" s="39">
        <v>0</v>
      </c>
      <c r="AF399" s="39">
        <v>0</v>
      </c>
      <c r="AG399" s="39">
        <v>0</v>
      </c>
      <c r="AH399" s="39"/>
      <c r="AI399" s="39"/>
      <c r="AJ399" s="40"/>
      <c r="AK399" s="39">
        <f t="shared" si="30"/>
        <v>0</v>
      </c>
      <c r="AL399" s="39">
        <f t="shared" si="33"/>
        <v>0</v>
      </c>
      <c r="AM399" s="39">
        <f t="shared" si="34"/>
        <v>0</v>
      </c>
      <c r="AN399" s="39">
        <f t="shared" si="31"/>
        <v>0</v>
      </c>
      <c r="AO399" s="39">
        <f t="shared" si="32"/>
        <v>0</v>
      </c>
    </row>
    <row r="400" spans="1:41" x14ac:dyDescent="0.3">
      <c r="A400" s="20">
        <v>1000184670</v>
      </c>
      <c r="B400" s="4" t="s">
        <v>147</v>
      </c>
      <c r="C400" s="21"/>
      <c r="D400" s="3"/>
      <c r="E400" s="20">
        <v>1000184757</v>
      </c>
      <c r="F400" s="4" t="s">
        <v>62</v>
      </c>
      <c r="G400" s="21">
        <v>1000189765</v>
      </c>
      <c r="H400" s="3" t="s">
        <v>99</v>
      </c>
      <c r="I400" s="21">
        <v>1000189270</v>
      </c>
      <c r="J400" s="3" t="s">
        <v>34</v>
      </c>
      <c r="K400" s="20" t="s">
        <v>25</v>
      </c>
      <c r="L400" s="39">
        <v>0</v>
      </c>
      <c r="M400" s="39">
        <v>0</v>
      </c>
      <c r="N400" s="39">
        <v>0</v>
      </c>
      <c r="O400" s="39">
        <v>0</v>
      </c>
      <c r="P400" s="39">
        <v>0</v>
      </c>
      <c r="Q400" s="39">
        <v>0</v>
      </c>
      <c r="R400" s="39">
        <v>0</v>
      </c>
      <c r="S400" s="39">
        <v>0</v>
      </c>
      <c r="T400" s="39">
        <v>0</v>
      </c>
      <c r="U400" s="39">
        <v>0</v>
      </c>
      <c r="V400" s="39">
        <v>0</v>
      </c>
      <c r="W400" s="39">
        <v>0</v>
      </c>
      <c r="X400" s="39">
        <v>0</v>
      </c>
      <c r="Y400" s="39">
        <v>0</v>
      </c>
      <c r="Z400" s="39">
        <v>0</v>
      </c>
      <c r="AA400" s="39">
        <v>0</v>
      </c>
      <c r="AB400" s="39">
        <v>128.25</v>
      </c>
      <c r="AC400" s="39">
        <v>0</v>
      </c>
      <c r="AD400" s="39">
        <v>0</v>
      </c>
      <c r="AE400" s="39">
        <v>133.65</v>
      </c>
      <c r="AF400" s="39">
        <v>0</v>
      </c>
      <c r="AG400" s="39">
        <v>0</v>
      </c>
      <c r="AH400" s="39"/>
      <c r="AI400" s="39"/>
      <c r="AJ400" s="40"/>
      <c r="AK400" s="39">
        <f t="shared" si="30"/>
        <v>0</v>
      </c>
      <c r="AL400" s="39">
        <f t="shared" si="33"/>
        <v>21.824999999999999</v>
      </c>
      <c r="AM400" s="39">
        <f t="shared" si="34"/>
        <v>43.65</v>
      </c>
      <c r="AN400" s="39">
        <f t="shared" si="31"/>
        <v>26.189999999999998</v>
      </c>
      <c r="AO400" s="39">
        <f t="shared" si="32"/>
        <v>261.89999999999998</v>
      </c>
    </row>
    <row r="401" spans="1:41" x14ac:dyDescent="0.3">
      <c r="A401" s="20">
        <v>1000184670</v>
      </c>
      <c r="B401" s="4" t="s">
        <v>147</v>
      </c>
      <c r="C401" s="21"/>
      <c r="D401" s="3"/>
      <c r="E401" s="20">
        <v>1000184758</v>
      </c>
      <c r="F401" s="4" t="s">
        <v>55</v>
      </c>
      <c r="G401" s="21">
        <v>1000189766</v>
      </c>
      <c r="H401" s="3" t="s">
        <v>69</v>
      </c>
      <c r="I401" s="21">
        <v>1000189270</v>
      </c>
      <c r="J401" s="3" t="s">
        <v>34</v>
      </c>
      <c r="K401" s="20" t="s">
        <v>124</v>
      </c>
      <c r="L401" s="39">
        <v>0</v>
      </c>
      <c r="M401" s="39">
        <v>0</v>
      </c>
      <c r="N401" s="39">
        <v>0</v>
      </c>
      <c r="O401" s="39">
        <v>0</v>
      </c>
      <c r="P401" s="39">
        <v>0</v>
      </c>
      <c r="Q401" s="39">
        <v>0</v>
      </c>
      <c r="R401" s="39">
        <v>0</v>
      </c>
      <c r="S401" s="39">
        <v>0</v>
      </c>
      <c r="T401" s="39">
        <v>0</v>
      </c>
      <c r="U401" s="39">
        <v>0</v>
      </c>
      <c r="V401" s="39">
        <v>0</v>
      </c>
      <c r="W401" s="39">
        <v>0</v>
      </c>
      <c r="X401" s="39">
        <v>0</v>
      </c>
      <c r="Y401" s="39">
        <v>0</v>
      </c>
      <c r="Z401" s="39">
        <v>0</v>
      </c>
      <c r="AA401" s="39">
        <v>0</v>
      </c>
      <c r="AB401" s="39">
        <v>0</v>
      </c>
      <c r="AC401" s="39">
        <v>0</v>
      </c>
      <c r="AD401" s="39">
        <v>0</v>
      </c>
      <c r="AE401" s="39">
        <v>0</v>
      </c>
      <c r="AF401" s="39">
        <v>0</v>
      </c>
      <c r="AG401" s="39">
        <v>0</v>
      </c>
      <c r="AH401" s="39"/>
      <c r="AI401" s="39"/>
      <c r="AJ401" s="40"/>
      <c r="AK401" s="39">
        <f t="shared" si="30"/>
        <v>0</v>
      </c>
      <c r="AL401" s="39">
        <f t="shared" si="33"/>
        <v>0</v>
      </c>
      <c r="AM401" s="39">
        <f t="shared" si="34"/>
        <v>0</v>
      </c>
      <c r="AN401" s="39">
        <f t="shared" si="31"/>
        <v>0</v>
      </c>
      <c r="AO401" s="39">
        <f t="shared" si="32"/>
        <v>0</v>
      </c>
    </row>
    <row r="402" spans="1:41" x14ac:dyDescent="0.3">
      <c r="A402" s="20">
        <v>1000184670</v>
      </c>
      <c r="B402" s="4" t="s">
        <v>147</v>
      </c>
      <c r="C402" s="21"/>
      <c r="D402" s="3"/>
      <c r="E402" s="20">
        <v>1000184758</v>
      </c>
      <c r="F402" s="4" t="s">
        <v>55</v>
      </c>
      <c r="G402" s="21">
        <v>1000189766</v>
      </c>
      <c r="H402" s="3" t="s">
        <v>69</v>
      </c>
      <c r="I402" s="21">
        <v>1000189270</v>
      </c>
      <c r="J402" s="3" t="s">
        <v>34</v>
      </c>
      <c r="K402" s="20" t="s">
        <v>13</v>
      </c>
      <c r="L402" s="39">
        <v>0</v>
      </c>
      <c r="M402" s="39">
        <v>0</v>
      </c>
      <c r="N402" s="39">
        <v>0</v>
      </c>
      <c r="O402" s="39">
        <v>0</v>
      </c>
      <c r="P402" s="39">
        <v>0</v>
      </c>
      <c r="Q402" s="39">
        <v>0</v>
      </c>
      <c r="R402" s="39">
        <v>0</v>
      </c>
      <c r="S402" s="39">
        <v>0</v>
      </c>
      <c r="T402" s="39">
        <v>0</v>
      </c>
      <c r="U402" s="39">
        <v>0</v>
      </c>
      <c r="V402" s="39">
        <v>0</v>
      </c>
      <c r="W402" s="39">
        <v>0</v>
      </c>
      <c r="X402" s="39">
        <v>0</v>
      </c>
      <c r="Y402" s="39">
        <v>0</v>
      </c>
      <c r="Z402" s="39">
        <v>0</v>
      </c>
      <c r="AA402" s="39">
        <v>0</v>
      </c>
      <c r="AB402" s="39">
        <v>0</v>
      </c>
      <c r="AC402" s="39">
        <v>0</v>
      </c>
      <c r="AD402" s="39">
        <v>0</v>
      </c>
      <c r="AE402" s="39">
        <v>0</v>
      </c>
      <c r="AF402" s="39">
        <v>0</v>
      </c>
      <c r="AG402" s="39">
        <v>0</v>
      </c>
      <c r="AH402" s="39"/>
      <c r="AI402" s="39"/>
      <c r="AJ402" s="40"/>
      <c r="AK402" s="39">
        <f t="shared" si="30"/>
        <v>0</v>
      </c>
      <c r="AL402" s="39">
        <f t="shared" si="33"/>
        <v>0</v>
      </c>
      <c r="AM402" s="39">
        <f t="shared" si="34"/>
        <v>0</v>
      </c>
      <c r="AN402" s="39">
        <f t="shared" si="31"/>
        <v>0</v>
      </c>
      <c r="AO402" s="39">
        <f t="shared" si="32"/>
        <v>0</v>
      </c>
    </row>
    <row r="403" spans="1:41" x14ac:dyDescent="0.3">
      <c r="A403" s="20">
        <v>1000184670</v>
      </c>
      <c r="B403" s="4" t="s">
        <v>147</v>
      </c>
      <c r="C403" s="21"/>
      <c r="D403" s="3"/>
      <c r="E403" s="20">
        <v>1000184758</v>
      </c>
      <c r="F403" s="4" t="s">
        <v>55</v>
      </c>
      <c r="G403" s="21">
        <v>1000189766</v>
      </c>
      <c r="H403" s="3" t="s">
        <v>69</v>
      </c>
      <c r="I403" s="21">
        <v>1000189270</v>
      </c>
      <c r="J403" s="3" t="s">
        <v>34</v>
      </c>
      <c r="K403" s="20" t="s">
        <v>14</v>
      </c>
      <c r="L403" s="39">
        <v>0</v>
      </c>
      <c r="M403" s="39">
        <v>0</v>
      </c>
      <c r="N403" s="39">
        <v>0</v>
      </c>
      <c r="O403" s="39">
        <v>0</v>
      </c>
      <c r="P403" s="39">
        <v>0</v>
      </c>
      <c r="Q403" s="39">
        <v>0</v>
      </c>
      <c r="R403" s="39">
        <v>0</v>
      </c>
      <c r="S403" s="39">
        <v>0</v>
      </c>
      <c r="T403" s="39">
        <v>0</v>
      </c>
      <c r="U403" s="39">
        <v>0</v>
      </c>
      <c r="V403" s="39">
        <v>0</v>
      </c>
      <c r="W403" s="39">
        <v>0</v>
      </c>
      <c r="X403" s="39">
        <v>0</v>
      </c>
      <c r="Y403" s="39">
        <v>0</v>
      </c>
      <c r="Z403" s="39">
        <v>0</v>
      </c>
      <c r="AA403" s="39">
        <v>0</v>
      </c>
      <c r="AB403" s="39">
        <v>0</v>
      </c>
      <c r="AC403" s="39">
        <v>0</v>
      </c>
      <c r="AD403" s="39">
        <v>0</v>
      </c>
      <c r="AE403" s="39">
        <v>0</v>
      </c>
      <c r="AF403" s="39">
        <v>0</v>
      </c>
      <c r="AG403" s="39">
        <v>0</v>
      </c>
      <c r="AH403" s="39"/>
      <c r="AI403" s="39"/>
      <c r="AJ403" s="40"/>
      <c r="AK403" s="39">
        <f t="shared" si="30"/>
        <v>0</v>
      </c>
      <c r="AL403" s="39">
        <f t="shared" si="33"/>
        <v>0</v>
      </c>
      <c r="AM403" s="39">
        <f t="shared" si="34"/>
        <v>0</v>
      </c>
      <c r="AN403" s="39">
        <f t="shared" si="31"/>
        <v>0</v>
      </c>
      <c r="AO403" s="39">
        <f t="shared" si="32"/>
        <v>0</v>
      </c>
    </row>
    <row r="404" spans="1:41" x14ac:dyDescent="0.3">
      <c r="A404" s="20">
        <v>1000184670</v>
      </c>
      <c r="B404" s="4" t="s">
        <v>147</v>
      </c>
      <c r="C404" s="21"/>
      <c r="D404" s="3"/>
      <c r="E404" s="20">
        <v>1000184758</v>
      </c>
      <c r="F404" s="4" t="s">
        <v>55</v>
      </c>
      <c r="G404" s="21">
        <v>1000189766</v>
      </c>
      <c r="H404" s="3" t="s">
        <v>69</v>
      </c>
      <c r="I404" s="21">
        <v>1000189270</v>
      </c>
      <c r="J404" s="3" t="s">
        <v>34</v>
      </c>
      <c r="K404" s="20" t="s">
        <v>16</v>
      </c>
      <c r="L404" s="39">
        <v>0</v>
      </c>
      <c r="M404" s="39">
        <v>0</v>
      </c>
      <c r="N404" s="39">
        <v>0</v>
      </c>
      <c r="O404" s="39">
        <v>0</v>
      </c>
      <c r="P404" s="39">
        <v>0</v>
      </c>
      <c r="Q404" s="39">
        <v>0</v>
      </c>
      <c r="R404" s="39">
        <v>0</v>
      </c>
      <c r="S404" s="39">
        <v>0</v>
      </c>
      <c r="T404" s="39">
        <v>0</v>
      </c>
      <c r="U404" s="39">
        <v>0</v>
      </c>
      <c r="V404" s="39">
        <v>0</v>
      </c>
      <c r="W404" s="39">
        <v>0</v>
      </c>
      <c r="X404" s="39">
        <v>0</v>
      </c>
      <c r="Y404" s="39">
        <v>0</v>
      </c>
      <c r="Z404" s="39">
        <v>0</v>
      </c>
      <c r="AA404" s="39">
        <v>0</v>
      </c>
      <c r="AB404" s="39">
        <v>0</v>
      </c>
      <c r="AC404" s="39">
        <v>0</v>
      </c>
      <c r="AD404" s="39">
        <v>0</v>
      </c>
      <c r="AE404" s="39">
        <v>0</v>
      </c>
      <c r="AF404" s="39">
        <v>0</v>
      </c>
      <c r="AG404" s="39">
        <v>0</v>
      </c>
      <c r="AH404" s="39"/>
      <c r="AI404" s="39"/>
      <c r="AJ404" s="40"/>
      <c r="AK404" s="39">
        <f t="shared" si="30"/>
        <v>0</v>
      </c>
      <c r="AL404" s="39">
        <f t="shared" si="33"/>
        <v>0</v>
      </c>
      <c r="AM404" s="39">
        <f t="shared" si="34"/>
        <v>0</v>
      </c>
      <c r="AN404" s="39">
        <f t="shared" si="31"/>
        <v>0</v>
      </c>
      <c r="AO404" s="39">
        <f t="shared" si="32"/>
        <v>0</v>
      </c>
    </row>
    <row r="405" spans="1:41" x14ac:dyDescent="0.3">
      <c r="A405" s="20">
        <v>1000184670</v>
      </c>
      <c r="B405" s="4" t="s">
        <v>147</v>
      </c>
      <c r="C405" s="21"/>
      <c r="D405" s="3"/>
      <c r="E405" s="20">
        <v>1000184758</v>
      </c>
      <c r="F405" s="4" t="s">
        <v>55</v>
      </c>
      <c r="G405" s="21">
        <v>1000189766</v>
      </c>
      <c r="H405" s="3" t="s">
        <v>69</v>
      </c>
      <c r="I405" s="21">
        <v>1000189270</v>
      </c>
      <c r="J405" s="3" t="s">
        <v>34</v>
      </c>
      <c r="K405" s="20" t="s">
        <v>15</v>
      </c>
      <c r="L405" s="39">
        <v>0</v>
      </c>
      <c r="M405" s="39">
        <v>0</v>
      </c>
      <c r="N405" s="39">
        <v>0</v>
      </c>
      <c r="O405" s="39">
        <v>0</v>
      </c>
      <c r="P405" s="39">
        <v>0</v>
      </c>
      <c r="Q405" s="39">
        <v>0</v>
      </c>
      <c r="R405" s="39">
        <v>0</v>
      </c>
      <c r="S405" s="39">
        <v>0</v>
      </c>
      <c r="T405" s="39">
        <v>0</v>
      </c>
      <c r="U405" s="39">
        <v>0</v>
      </c>
      <c r="V405" s="39">
        <v>0</v>
      </c>
      <c r="W405" s="39">
        <v>0</v>
      </c>
      <c r="X405" s="39">
        <v>0</v>
      </c>
      <c r="Y405" s="39">
        <v>0</v>
      </c>
      <c r="Z405" s="39">
        <v>0</v>
      </c>
      <c r="AA405" s="39">
        <v>0</v>
      </c>
      <c r="AB405" s="39">
        <v>0</v>
      </c>
      <c r="AC405" s="39">
        <v>0</v>
      </c>
      <c r="AD405" s="39">
        <v>0</v>
      </c>
      <c r="AE405" s="39">
        <v>0</v>
      </c>
      <c r="AF405" s="39">
        <v>0</v>
      </c>
      <c r="AG405" s="39">
        <v>0</v>
      </c>
      <c r="AH405" s="39"/>
      <c r="AI405" s="39"/>
      <c r="AJ405" s="40"/>
      <c r="AK405" s="39">
        <f t="shared" si="30"/>
        <v>0</v>
      </c>
      <c r="AL405" s="39">
        <f t="shared" si="33"/>
        <v>0</v>
      </c>
      <c r="AM405" s="39">
        <f t="shared" si="34"/>
        <v>0</v>
      </c>
      <c r="AN405" s="39">
        <f t="shared" si="31"/>
        <v>0</v>
      </c>
      <c r="AO405" s="39">
        <f t="shared" si="32"/>
        <v>0</v>
      </c>
    </row>
    <row r="406" spans="1:41" x14ac:dyDescent="0.3">
      <c r="A406" s="20">
        <v>1000184670</v>
      </c>
      <c r="B406" s="4" t="s">
        <v>147</v>
      </c>
      <c r="C406" s="21"/>
      <c r="D406" s="3"/>
      <c r="E406" s="20">
        <v>1000184758</v>
      </c>
      <c r="F406" s="4" t="s">
        <v>55</v>
      </c>
      <c r="G406" s="21">
        <v>1000189766</v>
      </c>
      <c r="H406" s="3" t="s">
        <v>69</v>
      </c>
      <c r="I406" s="21">
        <v>1000189270</v>
      </c>
      <c r="J406" s="3" t="s">
        <v>34</v>
      </c>
      <c r="K406" s="20" t="s">
        <v>33</v>
      </c>
      <c r="L406" s="39">
        <v>0</v>
      </c>
      <c r="M406" s="39">
        <v>0</v>
      </c>
      <c r="N406" s="39">
        <v>0</v>
      </c>
      <c r="O406" s="39">
        <v>0</v>
      </c>
      <c r="P406" s="39">
        <v>0</v>
      </c>
      <c r="Q406" s="39">
        <v>0</v>
      </c>
      <c r="R406" s="39">
        <v>0</v>
      </c>
      <c r="S406" s="39">
        <v>0</v>
      </c>
      <c r="T406" s="39">
        <v>0</v>
      </c>
      <c r="U406" s="39">
        <v>0</v>
      </c>
      <c r="V406" s="39">
        <v>0</v>
      </c>
      <c r="W406" s="39">
        <v>0</v>
      </c>
      <c r="X406" s="39">
        <v>0</v>
      </c>
      <c r="Y406" s="39">
        <v>0</v>
      </c>
      <c r="Z406" s="39">
        <v>0</v>
      </c>
      <c r="AA406" s="39">
        <v>0</v>
      </c>
      <c r="AB406" s="39">
        <v>0</v>
      </c>
      <c r="AC406" s="39">
        <v>0</v>
      </c>
      <c r="AD406" s="39">
        <v>0</v>
      </c>
      <c r="AE406" s="39">
        <v>0</v>
      </c>
      <c r="AF406" s="39">
        <v>0</v>
      </c>
      <c r="AG406" s="39">
        <v>0</v>
      </c>
      <c r="AH406" s="39"/>
      <c r="AI406" s="39"/>
      <c r="AJ406" s="40"/>
      <c r="AK406" s="39">
        <f t="shared" si="30"/>
        <v>0</v>
      </c>
      <c r="AL406" s="39">
        <f t="shared" si="33"/>
        <v>0</v>
      </c>
      <c r="AM406" s="39">
        <f t="shared" si="34"/>
        <v>0</v>
      </c>
      <c r="AN406" s="39">
        <f t="shared" si="31"/>
        <v>0</v>
      </c>
      <c r="AO406" s="39">
        <f t="shared" si="32"/>
        <v>0</v>
      </c>
    </row>
    <row r="407" spans="1:41" x14ac:dyDescent="0.3">
      <c r="A407" s="20">
        <v>1000184670</v>
      </c>
      <c r="B407" s="4" t="s">
        <v>147</v>
      </c>
      <c r="C407" s="21"/>
      <c r="D407" s="3"/>
      <c r="E407" s="20">
        <v>1000184758</v>
      </c>
      <c r="F407" s="4" t="s">
        <v>55</v>
      </c>
      <c r="G407" s="21">
        <v>1000189766</v>
      </c>
      <c r="H407" s="3" t="s">
        <v>69</v>
      </c>
      <c r="I407" s="21">
        <v>1000189270</v>
      </c>
      <c r="J407" s="3" t="s">
        <v>34</v>
      </c>
      <c r="K407" s="20" t="s">
        <v>19</v>
      </c>
      <c r="L407" s="39">
        <v>0</v>
      </c>
      <c r="M407" s="39">
        <v>0</v>
      </c>
      <c r="N407" s="39">
        <v>0</v>
      </c>
      <c r="O407" s="39">
        <v>0</v>
      </c>
      <c r="P407" s="39">
        <v>0</v>
      </c>
      <c r="Q407" s="39">
        <v>0</v>
      </c>
      <c r="R407" s="39">
        <v>0</v>
      </c>
      <c r="S407" s="39">
        <v>0</v>
      </c>
      <c r="T407" s="39">
        <v>0</v>
      </c>
      <c r="U407" s="39">
        <v>0</v>
      </c>
      <c r="V407" s="39">
        <v>0</v>
      </c>
      <c r="W407" s="39">
        <v>0</v>
      </c>
      <c r="X407" s="39">
        <v>0</v>
      </c>
      <c r="Y407" s="39">
        <v>0</v>
      </c>
      <c r="Z407" s="39">
        <v>0</v>
      </c>
      <c r="AA407" s="39">
        <v>0</v>
      </c>
      <c r="AB407" s="39">
        <v>0</v>
      </c>
      <c r="AC407" s="39">
        <v>0</v>
      </c>
      <c r="AD407" s="39">
        <v>0</v>
      </c>
      <c r="AE407" s="39">
        <v>0</v>
      </c>
      <c r="AF407" s="39">
        <v>0</v>
      </c>
      <c r="AG407" s="39">
        <v>0</v>
      </c>
      <c r="AH407" s="39"/>
      <c r="AI407" s="39"/>
      <c r="AJ407" s="40"/>
      <c r="AK407" s="39">
        <f t="shared" si="30"/>
        <v>0</v>
      </c>
      <c r="AL407" s="39">
        <f t="shared" si="33"/>
        <v>0</v>
      </c>
      <c r="AM407" s="39">
        <f t="shared" si="34"/>
        <v>0</v>
      </c>
      <c r="AN407" s="39">
        <f t="shared" si="31"/>
        <v>0</v>
      </c>
      <c r="AO407" s="39">
        <f t="shared" si="32"/>
        <v>0</v>
      </c>
    </row>
    <row r="408" spans="1:41" x14ac:dyDescent="0.3">
      <c r="A408" s="20">
        <v>1000184670</v>
      </c>
      <c r="B408" s="4" t="s">
        <v>147</v>
      </c>
      <c r="C408" s="21"/>
      <c r="D408" s="3"/>
      <c r="E408" s="20">
        <v>1000184758</v>
      </c>
      <c r="F408" s="4" t="s">
        <v>55</v>
      </c>
      <c r="G408" s="21">
        <v>1000189766</v>
      </c>
      <c r="H408" s="3" t="s">
        <v>69</v>
      </c>
      <c r="I408" s="21">
        <v>1000189270</v>
      </c>
      <c r="J408" s="3" t="s">
        <v>34</v>
      </c>
      <c r="K408" s="20" t="s">
        <v>17</v>
      </c>
      <c r="L408" s="39">
        <v>0</v>
      </c>
      <c r="M408" s="39">
        <v>0</v>
      </c>
      <c r="N408" s="39">
        <v>0</v>
      </c>
      <c r="O408" s="39">
        <v>0</v>
      </c>
      <c r="P408" s="39">
        <v>0</v>
      </c>
      <c r="Q408" s="39">
        <v>0</v>
      </c>
      <c r="R408" s="39">
        <v>0</v>
      </c>
      <c r="S408" s="39">
        <v>0</v>
      </c>
      <c r="T408" s="39">
        <v>0</v>
      </c>
      <c r="U408" s="39">
        <v>0</v>
      </c>
      <c r="V408" s="39">
        <v>0</v>
      </c>
      <c r="W408" s="39">
        <v>0</v>
      </c>
      <c r="X408" s="39">
        <v>0</v>
      </c>
      <c r="Y408" s="39">
        <v>0</v>
      </c>
      <c r="Z408" s="39">
        <v>0</v>
      </c>
      <c r="AA408" s="39">
        <v>0</v>
      </c>
      <c r="AB408" s="39">
        <v>0</v>
      </c>
      <c r="AC408" s="39">
        <v>0</v>
      </c>
      <c r="AD408" s="39">
        <v>0</v>
      </c>
      <c r="AE408" s="39">
        <v>0</v>
      </c>
      <c r="AF408" s="39">
        <v>0</v>
      </c>
      <c r="AG408" s="39">
        <v>0</v>
      </c>
      <c r="AH408" s="39"/>
      <c r="AI408" s="39"/>
      <c r="AJ408" s="40"/>
      <c r="AK408" s="39">
        <f t="shared" si="30"/>
        <v>0</v>
      </c>
      <c r="AL408" s="39">
        <f t="shared" si="33"/>
        <v>0</v>
      </c>
      <c r="AM408" s="39">
        <f t="shared" si="34"/>
        <v>0</v>
      </c>
      <c r="AN408" s="39">
        <f t="shared" si="31"/>
        <v>0</v>
      </c>
      <c r="AO408" s="39">
        <f t="shared" si="32"/>
        <v>0</v>
      </c>
    </row>
    <row r="409" spans="1:41" x14ac:dyDescent="0.3">
      <c r="A409" s="20">
        <v>1000184670</v>
      </c>
      <c r="B409" s="4" t="s">
        <v>147</v>
      </c>
      <c r="C409" s="21"/>
      <c r="D409" s="3"/>
      <c r="E409" s="20">
        <v>1000184758</v>
      </c>
      <c r="F409" s="4" t="s">
        <v>55</v>
      </c>
      <c r="G409" s="21">
        <v>1000189766</v>
      </c>
      <c r="H409" s="3" t="s">
        <v>69</v>
      </c>
      <c r="I409" s="21">
        <v>1000189270</v>
      </c>
      <c r="J409" s="3" t="s">
        <v>34</v>
      </c>
      <c r="K409" s="20" t="s">
        <v>24</v>
      </c>
      <c r="L409" s="39">
        <v>0</v>
      </c>
      <c r="M409" s="39">
        <v>0</v>
      </c>
      <c r="N409" s="39">
        <v>0</v>
      </c>
      <c r="O409" s="39">
        <v>0</v>
      </c>
      <c r="P409" s="39">
        <v>0</v>
      </c>
      <c r="Q409" s="39">
        <v>0</v>
      </c>
      <c r="R409" s="39">
        <v>0</v>
      </c>
      <c r="S409" s="39">
        <v>0</v>
      </c>
      <c r="T409" s="39">
        <v>0</v>
      </c>
      <c r="U409" s="39">
        <v>0</v>
      </c>
      <c r="V409" s="39">
        <v>0</v>
      </c>
      <c r="W409" s="39">
        <v>0</v>
      </c>
      <c r="X409" s="39">
        <v>0</v>
      </c>
      <c r="Y409" s="39">
        <v>0</v>
      </c>
      <c r="Z409" s="39">
        <v>0</v>
      </c>
      <c r="AA409" s="39">
        <v>0</v>
      </c>
      <c r="AB409" s="39">
        <v>0</v>
      </c>
      <c r="AC409" s="39">
        <v>0</v>
      </c>
      <c r="AD409" s="39">
        <v>0</v>
      </c>
      <c r="AE409" s="39">
        <v>0</v>
      </c>
      <c r="AF409" s="39">
        <v>0</v>
      </c>
      <c r="AG409" s="39">
        <v>0</v>
      </c>
      <c r="AH409" s="39"/>
      <c r="AI409" s="39"/>
      <c r="AJ409" s="40"/>
      <c r="AK409" s="39">
        <f t="shared" si="30"/>
        <v>0</v>
      </c>
      <c r="AL409" s="39">
        <f t="shared" si="33"/>
        <v>0</v>
      </c>
      <c r="AM409" s="39">
        <f t="shared" si="34"/>
        <v>0</v>
      </c>
      <c r="AN409" s="39">
        <f t="shared" si="31"/>
        <v>0</v>
      </c>
      <c r="AO409" s="39">
        <f t="shared" si="32"/>
        <v>0</v>
      </c>
    </row>
    <row r="410" spans="1:41" x14ac:dyDescent="0.3">
      <c r="A410" s="20">
        <v>1000184670</v>
      </c>
      <c r="B410" s="4" t="s">
        <v>147</v>
      </c>
      <c r="C410" s="21"/>
      <c r="D410" s="3"/>
      <c r="E410" s="20">
        <v>1000184758</v>
      </c>
      <c r="F410" s="4" t="s">
        <v>55</v>
      </c>
      <c r="G410" s="21">
        <v>1000189766</v>
      </c>
      <c r="H410" s="3" t="s">
        <v>69</v>
      </c>
      <c r="I410" s="21">
        <v>1000189270</v>
      </c>
      <c r="J410" s="3" t="s">
        <v>34</v>
      </c>
      <c r="K410" s="20" t="s">
        <v>18</v>
      </c>
      <c r="L410" s="39">
        <v>0</v>
      </c>
      <c r="M410" s="39">
        <v>0</v>
      </c>
      <c r="N410" s="39">
        <v>0</v>
      </c>
      <c r="O410" s="39">
        <v>0</v>
      </c>
      <c r="P410" s="39">
        <v>0</v>
      </c>
      <c r="Q410" s="39">
        <v>0</v>
      </c>
      <c r="R410" s="39">
        <v>0</v>
      </c>
      <c r="S410" s="39">
        <v>0</v>
      </c>
      <c r="T410" s="39">
        <v>0</v>
      </c>
      <c r="U410" s="39">
        <v>0</v>
      </c>
      <c r="V410" s="39">
        <v>0</v>
      </c>
      <c r="W410" s="39">
        <v>0</v>
      </c>
      <c r="X410" s="39">
        <v>0</v>
      </c>
      <c r="Y410" s="39">
        <v>0</v>
      </c>
      <c r="Z410" s="39">
        <v>0</v>
      </c>
      <c r="AA410" s="39">
        <v>0</v>
      </c>
      <c r="AB410" s="39">
        <v>0</v>
      </c>
      <c r="AC410" s="39">
        <v>0</v>
      </c>
      <c r="AD410" s="39">
        <v>0</v>
      </c>
      <c r="AE410" s="39">
        <v>0</v>
      </c>
      <c r="AF410" s="39">
        <v>0</v>
      </c>
      <c r="AG410" s="39">
        <v>0</v>
      </c>
      <c r="AH410" s="39"/>
      <c r="AI410" s="39"/>
      <c r="AJ410" s="40"/>
      <c r="AK410" s="39">
        <f t="shared" si="30"/>
        <v>0</v>
      </c>
      <c r="AL410" s="39">
        <f t="shared" si="33"/>
        <v>0</v>
      </c>
      <c r="AM410" s="39">
        <f t="shared" si="34"/>
        <v>0</v>
      </c>
      <c r="AN410" s="39">
        <f t="shared" si="31"/>
        <v>0</v>
      </c>
      <c r="AO410" s="39">
        <f t="shared" si="32"/>
        <v>0</v>
      </c>
    </row>
    <row r="411" spans="1:41" x14ac:dyDescent="0.3">
      <c r="A411" s="20">
        <v>1000184670</v>
      </c>
      <c r="B411" s="4" t="s">
        <v>147</v>
      </c>
      <c r="C411" s="21"/>
      <c r="D411" s="3"/>
      <c r="E411" s="20">
        <v>1000184758</v>
      </c>
      <c r="F411" s="4" t="s">
        <v>55</v>
      </c>
      <c r="G411" s="21">
        <v>1000189766</v>
      </c>
      <c r="H411" s="3" t="s">
        <v>69</v>
      </c>
      <c r="I411" s="21">
        <v>1000189270</v>
      </c>
      <c r="J411" s="3" t="s">
        <v>34</v>
      </c>
      <c r="K411" s="20" t="s">
        <v>29</v>
      </c>
      <c r="L411" s="39">
        <v>0</v>
      </c>
      <c r="M411" s="39">
        <v>0</v>
      </c>
      <c r="N411" s="39">
        <v>0</v>
      </c>
      <c r="O411" s="39">
        <v>0</v>
      </c>
      <c r="P411" s="39">
        <v>0</v>
      </c>
      <c r="Q411" s="39">
        <v>0</v>
      </c>
      <c r="R411" s="39">
        <v>0</v>
      </c>
      <c r="S411" s="39">
        <v>0</v>
      </c>
      <c r="T411" s="39">
        <v>0</v>
      </c>
      <c r="U411" s="39">
        <v>0</v>
      </c>
      <c r="V411" s="39">
        <v>0</v>
      </c>
      <c r="W411" s="39">
        <v>0</v>
      </c>
      <c r="X411" s="39">
        <v>0</v>
      </c>
      <c r="Y411" s="39">
        <v>0</v>
      </c>
      <c r="Z411" s="39">
        <v>0</v>
      </c>
      <c r="AA411" s="39">
        <v>0</v>
      </c>
      <c r="AB411" s="39">
        <v>0</v>
      </c>
      <c r="AC411" s="39">
        <v>0</v>
      </c>
      <c r="AD411" s="39">
        <v>0</v>
      </c>
      <c r="AE411" s="39">
        <v>0</v>
      </c>
      <c r="AF411" s="39">
        <v>0</v>
      </c>
      <c r="AG411" s="39">
        <v>0</v>
      </c>
      <c r="AH411" s="39"/>
      <c r="AI411" s="39"/>
      <c r="AJ411" s="40"/>
      <c r="AK411" s="39">
        <f t="shared" si="30"/>
        <v>0</v>
      </c>
      <c r="AL411" s="39">
        <f t="shared" si="33"/>
        <v>0</v>
      </c>
      <c r="AM411" s="39">
        <f t="shared" si="34"/>
        <v>0</v>
      </c>
      <c r="AN411" s="39">
        <f t="shared" si="31"/>
        <v>0</v>
      </c>
      <c r="AO411" s="39">
        <f t="shared" si="32"/>
        <v>0</v>
      </c>
    </row>
    <row r="412" spans="1:41" x14ac:dyDescent="0.3">
      <c r="A412" s="20">
        <v>1000184670</v>
      </c>
      <c r="B412" s="4" t="s">
        <v>147</v>
      </c>
      <c r="C412" s="21"/>
      <c r="D412" s="3"/>
      <c r="E412" s="20">
        <v>1000184758</v>
      </c>
      <c r="F412" s="4" t="s">
        <v>55</v>
      </c>
      <c r="G412" s="21">
        <v>1000189766</v>
      </c>
      <c r="H412" s="3" t="s">
        <v>69</v>
      </c>
      <c r="I412" s="21">
        <v>1000189270</v>
      </c>
      <c r="J412" s="3" t="s">
        <v>34</v>
      </c>
      <c r="K412" s="20" t="s">
        <v>21</v>
      </c>
      <c r="L412" s="39">
        <v>0</v>
      </c>
      <c r="M412" s="39">
        <v>0</v>
      </c>
      <c r="N412" s="39">
        <v>0</v>
      </c>
      <c r="O412" s="39">
        <v>0</v>
      </c>
      <c r="P412" s="39">
        <v>0</v>
      </c>
      <c r="Q412" s="39">
        <v>0</v>
      </c>
      <c r="R412" s="39">
        <v>0</v>
      </c>
      <c r="S412" s="39">
        <v>0</v>
      </c>
      <c r="T412" s="39">
        <v>0</v>
      </c>
      <c r="U412" s="39">
        <v>0</v>
      </c>
      <c r="V412" s="39">
        <v>0</v>
      </c>
      <c r="W412" s="39">
        <v>0</v>
      </c>
      <c r="X412" s="39">
        <v>0</v>
      </c>
      <c r="Y412" s="39">
        <v>0</v>
      </c>
      <c r="Z412" s="39">
        <v>0</v>
      </c>
      <c r="AA412" s="39">
        <v>0</v>
      </c>
      <c r="AB412" s="39">
        <v>0</v>
      </c>
      <c r="AC412" s="39">
        <v>0</v>
      </c>
      <c r="AD412" s="39">
        <v>0</v>
      </c>
      <c r="AE412" s="39">
        <v>0</v>
      </c>
      <c r="AF412" s="39">
        <v>0</v>
      </c>
      <c r="AG412" s="39">
        <v>0</v>
      </c>
      <c r="AH412" s="39"/>
      <c r="AI412" s="39"/>
      <c r="AJ412" s="40"/>
      <c r="AK412" s="39">
        <f t="shared" si="30"/>
        <v>0</v>
      </c>
      <c r="AL412" s="39">
        <f t="shared" si="33"/>
        <v>0</v>
      </c>
      <c r="AM412" s="39">
        <f t="shared" si="34"/>
        <v>0</v>
      </c>
      <c r="AN412" s="39">
        <f t="shared" si="31"/>
        <v>0</v>
      </c>
      <c r="AO412" s="39">
        <f t="shared" si="32"/>
        <v>0</v>
      </c>
    </row>
    <row r="413" spans="1:41" x14ac:dyDescent="0.3">
      <c r="A413" s="20">
        <v>1000184670</v>
      </c>
      <c r="B413" s="4" t="s">
        <v>147</v>
      </c>
      <c r="C413" s="21"/>
      <c r="D413" s="3"/>
      <c r="E413" s="20">
        <v>1000184758</v>
      </c>
      <c r="F413" s="4" t="s">
        <v>55</v>
      </c>
      <c r="G413" s="21">
        <v>1000189766</v>
      </c>
      <c r="H413" s="3" t="s">
        <v>69</v>
      </c>
      <c r="I413" s="21">
        <v>1000189270</v>
      </c>
      <c r="J413" s="3" t="s">
        <v>34</v>
      </c>
      <c r="K413" s="20" t="s">
        <v>20</v>
      </c>
      <c r="L413" s="39">
        <v>0</v>
      </c>
      <c r="M413" s="39">
        <v>0</v>
      </c>
      <c r="N413" s="39">
        <v>0</v>
      </c>
      <c r="O413" s="39">
        <v>0</v>
      </c>
      <c r="P413" s="39">
        <v>0</v>
      </c>
      <c r="Q413" s="39">
        <v>0</v>
      </c>
      <c r="R413" s="39">
        <v>0</v>
      </c>
      <c r="S413" s="39">
        <v>0</v>
      </c>
      <c r="T413" s="39">
        <v>0</v>
      </c>
      <c r="U413" s="39">
        <v>0</v>
      </c>
      <c r="V413" s="39">
        <v>0</v>
      </c>
      <c r="W413" s="39">
        <v>0</v>
      </c>
      <c r="X413" s="39">
        <v>0</v>
      </c>
      <c r="Y413" s="39">
        <v>0</v>
      </c>
      <c r="Z413" s="39">
        <v>0</v>
      </c>
      <c r="AA413" s="39">
        <v>0</v>
      </c>
      <c r="AB413" s="39">
        <v>0</v>
      </c>
      <c r="AC413" s="39">
        <v>0</v>
      </c>
      <c r="AD413" s="39">
        <v>0</v>
      </c>
      <c r="AE413" s="39">
        <v>0</v>
      </c>
      <c r="AF413" s="39">
        <v>0</v>
      </c>
      <c r="AG413" s="39">
        <v>0</v>
      </c>
      <c r="AH413" s="39"/>
      <c r="AI413" s="39"/>
      <c r="AJ413" s="40"/>
      <c r="AK413" s="39">
        <f t="shared" si="30"/>
        <v>0</v>
      </c>
      <c r="AL413" s="39">
        <f t="shared" si="33"/>
        <v>0</v>
      </c>
      <c r="AM413" s="39">
        <f t="shared" si="34"/>
        <v>0</v>
      </c>
      <c r="AN413" s="39">
        <f t="shared" si="31"/>
        <v>0</v>
      </c>
      <c r="AO413" s="39">
        <f t="shared" si="32"/>
        <v>0</v>
      </c>
    </row>
    <row r="414" spans="1:41" x14ac:dyDescent="0.3">
      <c r="A414" s="20">
        <v>1000184670</v>
      </c>
      <c r="B414" s="4" t="s">
        <v>147</v>
      </c>
      <c r="C414" s="21"/>
      <c r="D414" s="3"/>
      <c r="E414" s="20">
        <v>1000184758</v>
      </c>
      <c r="F414" s="4" t="s">
        <v>55</v>
      </c>
      <c r="G414" s="21">
        <v>1000189766</v>
      </c>
      <c r="H414" s="3" t="s">
        <v>69</v>
      </c>
      <c r="I414" s="21">
        <v>1000189270</v>
      </c>
      <c r="J414" s="3" t="s">
        <v>34</v>
      </c>
      <c r="K414" s="20" t="s">
        <v>22</v>
      </c>
      <c r="L414" s="39">
        <v>0</v>
      </c>
      <c r="M414" s="39">
        <v>0</v>
      </c>
      <c r="N414" s="39">
        <v>0</v>
      </c>
      <c r="O414" s="39">
        <v>0</v>
      </c>
      <c r="P414" s="39">
        <v>0</v>
      </c>
      <c r="Q414" s="39">
        <v>0</v>
      </c>
      <c r="R414" s="39">
        <v>0</v>
      </c>
      <c r="S414" s="39">
        <v>0</v>
      </c>
      <c r="T414" s="39">
        <v>0</v>
      </c>
      <c r="U414" s="39">
        <v>0</v>
      </c>
      <c r="V414" s="39">
        <v>0</v>
      </c>
      <c r="W414" s="39">
        <v>0</v>
      </c>
      <c r="X414" s="39">
        <v>0</v>
      </c>
      <c r="Y414" s="39">
        <v>0</v>
      </c>
      <c r="Z414" s="39">
        <v>0</v>
      </c>
      <c r="AA414" s="39">
        <v>0</v>
      </c>
      <c r="AB414" s="39">
        <v>0</v>
      </c>
      <c r="AC414" s="39">
        <v>0</v>
      </c>
      <c r="AD414" s="39">
        <v>0</v>
      </c>
      <c r="AE414" s="39">
        <v>0</v>
      </c>
      <c r="AF414" s="39">
        <v>0</v>
      </c>
      <c r="AG414" s="39">
        <v>0</v>
      </c>
      <c r="AH414" s="39"/>
      <c r="AI414" s="39"/>
      <c r="AJ414" s="40"/>
      <c r="AK414" s="39">
        <f t="shared" si="30"/>
        <v>0</v>
      </c>
      <c r="AL414" s="39">
        <f t="shared" si="33"/>
        <v>0</v>
      </c>
      <c r="AM414" s="39">
        <f t="shared" si="34"/>
        <v>0</v>
      </c>
      <c r="AN414" s="39">
        <f t="shared" si="31"/>
        <v>0</v>
      </c>
      <c r="AO414" s="39">
        <f t="shared" si="32"/>
        <v>0</v>
      </c>
    </row>
    <row r="415" spans="1:41" x14ac:dyDescent="0.3">
      <c r="A415" s="20">
        <v>1000184670</v>
      </c>
      <c r="B415" s="4" t="s">
        <v>147</v>
      </c>
      <c r="C415" s="21"/>
      <c r="D415" s="3"/>
      <c r="E415" s="20">
        <v>1000184758</v>
      </c>
      <c r="F415" s="4" t="s">
        <v>55</v>
      </c>
      <c r="G415" s="21">
        <v>1000189766</v>
      </c>
      <c r="H415" s="3" t="s">
        <v>69</v>
      </c>
      <c r="I415" s="21">
        <v>1000189270</v>
      </c>
      <c r="J415" s="3" t="s">
        <v>34</v>
      </c>
      <c r="K415" s="20" t="s">
        <v>23</v>
      </c>
      <c r="L415" s="39">
        <v>0</v>
      </c>
      <c r="M415" s="39">
        <v>0</v>
      </c>
      <c r="N415" s="39">
        <v>0</v>
      </c>
      <c r="O415" s="39">
        <v>0</v>
      </c>
      <c r="P415" s="39">
        <v>0</v>
      </c>
      <c r="Q415" s="39">
        <v>0</v>
      </c>
      <c r="R415" s="39">
        <v>0</v>
      </c>
      <c r="S415" s="39">
        <v>0</v>
      </c>
      <c r="T415" s="39">
        <v>0</v>
      </c>
      <c r="U415" s="39">
        <v>0</v>
      </c>
      <c r="V415" s="39">
        <v>0</v>
      </c>
      <c r="W415" s="39">
        <v>0</v>
      </c>
      <c r="X415" s="39">
        <v>0</v>
      </c>
      <c r="Y415" s="39">
        <v>0</v>
      </c>
      <c r="Z415" s="39">
        <v>0</v>
      </c>
      <c r="AA415" s="39">
        <v>0</v>
      </c>
      <c r="AB415" s="39">
        <v>0</v>
      </c>
      <c r="AC415" s="39">
        <v>0</v>
      </c>
      <c r="AD415" s="39">
        <v>0</v>
      </c>
      <c r="AE415" s="39">
        <v>0</v>
      </c>
      <c r="AF415" s="39">
        <v>0</v>
      </c>
      <c r="AG415" s="39">
        <v>0</v>
      </c>
      <c r="AH415" s="39"/>
      <c r="AI415" s="39"/>
      <c r="AJ415" s="40"/>
      <c r="AK415" s="39">
        <f t="shared" si="30"/>
        <v>0</v>
      </c>
      <c r="AL415" s="39">
        <f t="shared" si="33"/>
        <v>0</v>
      </c>
      <c r="AM415" s="39">
        <f t="shared" si="34"/>
        <v>0</v>
      </c>
      <c r="AN415" s="39">
        <f t="shared" si="31"/>
        <v>0</v>
      </c>
      <c r="AO415" s="39">
        <f t="shared" si="32"/>
        <v>0</v>
      </c>
    </row>
    <row r="416" spans="1:41" x14ac:dyDescent="0.3">
      <c r="A416" s="20">
        <v>1000184670</v>
      </c>
      <c r="B416" s="4" t="s">
        <v>147</v>
      </c>
      <c r="C416" s="21"/>
      <c r="D416" s="3"/>
      <c r="E416" s="20">
        <v>1000184758</v>
      </c>
      <c r="F416" s="4" t="s">
        <v>55</v>
      </c>
      <c r="G416" s="21">
        <v>1000189766</v>
      </c>
      <c r="H416" s="3" t="s">
        <v>69</v>
      </c>
      <c r="I416" s="21">
        <v>1000189270</v>
      </c>
      <c r="J416" s="3" t="s">
        <v>34</v>
      </c>
      <c r="K416" s="20" t="s">
        <v>28</v>
      </c>
      <c r="L416" s="39">
        <v>0</v>
      </c>
      <c r="M416" s="39">
        <v>0</v>
      </c>
      <c r="N416" s="39">
        <v>0</v>
      </c>
      <c r="O416" s="39">
        <v>0</v>
      </c>
      <c r="P416" s="39">
        <v>0</v>
      </c>
      <c r="Q416" s="39">
        <v>0</v>
      </c>
      <c r="R416" s="39">
        <v>0</v>
      </c>
      <c r="S416" s="39">
        <v>0</v>
      </c>
      <c r="T416" s="39">
        <v>0</v>
      </c>
      <c r="U416" s="39">
        <v>0</v>
      </c>
      <c r="V416" s="39">
        <v>0</v>
      </c>
      <c r="W416" s="39">
        <v>0</v>
      </c>
      <c r="X416" s="39">
        <v>0</v>
      </c>
      <c r="Y416" s="39">
        <v>0</v>
      </c>
      <c r="Z416" s="39">
        <v>0</v>
      </c>
      <c r="AA416" s="39">
        <v>0</v>
      </c>
      <c r="AB416" s="39">
        <v>0</v>
      </c>
      <c r="AC416" s="39">
        <v>0</v>
      </c>
      <c r="AD416" s="39">
        <v>0</v>
      </c>
      <c r="AE416" s="39">
        <v>0</v>
      </c>
      <c r="AF416" s="39">
        <v>0</v>
      </c>
      <c r="AG416" s="39">
        <v>0</v>
      </c>
      <c r="AH416" s="39"/>
      <c r="AI416" s="39"/>
      <c r="AJ416" s="40"/>
      <c r="AK416" s="39">
        <f t="shared" si="30"/>
        <v>0</v>
      </c>
      <c r="AL416" s="39">
        <f t="shared" si="33"/>
        <v>0</v>
      </c>
      <c r="AM416" s="39">
        <f t="shared" si="34"/>
        <v>0</v>
      </c>
      <c r="AN416" s="39">
        <f t="shared" si="31"/>
        <v>0</v>
      </c>
      <c r="AO416" s="39">
        <f t="shared" si="32"/>
        <v>0</v>
      </c>
    </row>
    <row r="417" spans="1:41" x14ac:dyDescent="0.3">
      <c r="A417" s="20">
        <v>1000184670</v>
      </c>
      <c r="B417" s="4" t="s">
        <v>147</v>
      </c>
      <c r="C417" s="21"/>
      <c r="D417" s="3"/>
      <c r="E417" s="20">
        <v>1000184758</v>
      </c>
      <c r="F417" s="4" t="s">
        <v>55</v>
      </c>
      <c r="G417" s="21">
        <v>1000189766</v>
      </c>
      <c r="H417" s="3" t="s">
        <v>69</v>
      </c>
      <c r="I417" s="21">
        <v>1000189270</v>
      </c>
      <c r="J417" s="3" t="s">
        <v>34</v>
      </c>
      <c r="K417" s="20" t="s">
        <v>26</v>
      </c>
      <c r="L417" s="39">
        <v>0</v>
      </c>
      <c r="M417" s="39">
        <v>0</v>
      </c>
      <c r="N417" s="39">
        <v>0</v>
      </c>
      <c r="O417" s="39">
        <v>0</v>
      </c>
      <c r="P417" s="39">
        <v>0</v>
      </c>
      <c r="Q417" s="39">
        <v>0</v>
      </c>
      <c r="R417" s="39">
        <v>0</v>
      </c>
      <c r="S417" s="39">
        <v>0</v>
      </c>
      <c r="T417" s="39">
        <v>0</v>
      </c>
      <c r="U417" s="39">
        <v>0</v>
      </c>
      <c r="V417" s="39">
        <v>0</v>
      </c>
      <c r="W417" s="39">
        <v>0</v>
      </c>
      <c r="X417" s="39">
        <v>0</v>
      </c>
      <c r="Y417" s="39">
        <v>0</v>
      </c>
      <c r="Z417" s="39">
        <v>0</v>
      </c>
      <c r="AA417" s="39">
        <v>0</v>
      </c>
      <c r="AB417" s="39">
        <v>0</v>
      </c>
      <c r="AC417" s="39">
        <v>0</v>
      </c>
      <c r="AD417" s="39">
        <v>0</v>
      </c>
      <c r="AE417" s="39">
        <v>0</v>
      </c>
      <c r="AF417" s="39">
        <v>0</v>
      </c>
      <c r="AG417" s="39">
        <v>0</v>
      </c>
      <c r="AH417" s="39"/>
      <c r="AI417" s="39"/>
      <c r="AJ417" s="40"/>
      <c r="AK417" s="39">
        <f t="shared" si="30"/>
        <v>0</v>
      </c>
      <c r="AL417" s="39">
        <f t="shared" si="33"/>
        <v>0</v>
      </c>
      <c r="AM417" s="39">
        <f t="shared" si="34"/>
        <v>0</v>
      </c>
      <c r="AN417" s="39">
        <f t="shared" si="31"/>
        <v>0</v>
      </c>
      <c r="AO417" s="39">
        <f t="shared" si="32"/>
        <v>0</v>
      </c>
    </row>
    <row r="418" spans="1:41" x14ac:dyDescent="0.3">
      <c r="A418" s="20">
        <v>1000184670</v>
      </c>
      <c r="B418" s="4" t="s">
        <v>147</v>
      </c>
      <c r="C418" s="21"/>
      <c r="D418" s="3"/>
      <c r="E418" s="20">
        <v>1000184758</v>
      </c>
      <c r="F418" s="4" t="s">
        <v>55</v>
      </c>
      <c r="G418" s="21">
        <v>1000189766</v>
      </c>
      <c r="H418" s="3" t="s">
        <v>69</v>
      </c>
      <c r="I418" s="21">
        <v>1000189270</v>
      </c>
      <c r="J418" s="3" t="s">
        <v>34</v>
      </c>
      <c r="K418" s="20" t="s">
        <v>27</v>
      </c>
      <c r="L418" s="39">
        <v>0</v>
      </c>
      <c r="M418" s="39">
        <v>0</v>
      </c>
      <c r="N418" s="39">
        <v>0</v>
      </c>
      <c r="O418" s="39">
        <v>0</v>
      </c>
      <c r="P418" s="39">
        <v>0</v>
      </c>
      <c r="Q418" s="39">
        <v>0</v>
      </c>
      <c r="R418" s="39">
        <v>0</v>
      </c>
      <c r="S418" s="39">
        <v>0</v>
      </c>
      <c r="T418" s="39">
        <v>0</v>
      </c>
      <c r="U418" s="39">
        <v>0</v>
      </c>
      <c r="V418" s="39">
        <v>0</v>
      </c>
      <c r="W418" s="39">
        <v>0</v>
      </c>
      <c r="X418" s="39">
        <v>0</v>
      </c>
      <c r="Y418" s="39">
        <v>0</v>
      </c>
      <c r="Z418" s="39">
        <v>0</v>
      </c>
      <c r="AA418" s="39">
        <v>0</v>
      </c>
      <c r="AB418" s="39">
        <v>0</v>
      </c>
      <c r="AC418" s="39">
        <v>0</v>
      </c>
      <c r="AD418" s="39">
        <v>0</v>
      </c>
      <c r="AE418" s="39">
        <v>0</v>
      </c>
      <c r="AF418" s="39">
        <v>0</v>
      </c>
      <c r="AG418" s="39">
        <v>0</v>
      </c>
      <c r="AH418" s="39"/>
      <c r="AI418" s="39"/>
      <c r="AJ418" s="40"/>
      <c r="AK418" s="39">
        <f t="shared" si="30"/>
        <v>0</v>
      </c>
      <c r="AL418" s="39">
        <f t="shared" si="33"/>
        <v>0</v>
      </c>
      <c r="AM418" s="39">
        <f t="shared" si="34"/>
        <v>0</v>
      </c>
      <c r="AN418" s="39">
        <f t="shared" si="31"/>
        <v>0</v>
      </c>
      <c r="AO418" s="39">
        <f t="shared" si="32"/>
        <v>0</v>
      </c>
    </row>
    <row r="419" spans="1:41" x14ac:dyDescent="0.3">
      <c r="A419" s="20">
        <v>1000184670</v>
      </c>
      <c r="B419" s="4" t="s">
        <v>147</v>
      </c>
      <c r="C419" s="21"/>
      <c r="D419" s="3"/>
      <c r="E419" s="20">
        <v>1000184758</v>
      </c>
      <c r="F419" s="4" t="s">
        <v>55</v>
      </c>
      <c r="G419" s="21">
        <v>1000189766</v>
      </c>
      <c r="H419" s="3" t="s">
        <v>69</v>
      </c>
      <c r="I419" s="21">
        <v>1000189270</v>
      </c>
      <c r="J419" s="3" t="s">
        <v>34</v>
      </c>
      <c r="K419" s="20" t="s">
        <v>25</v>
      </c>
      <c r="L419" s="39">
        <v>0</v>
      </c>
      <c r="M419" s="39">
        <v>0</v>
      </c>
      <c r="N419" s="39">
        <v>0</v>
      </c>
      <c r="O419" s="39">
        <v>0</v>
      </c>
      <c r="P419" s="39">
        <v>0</v>
      </c>
      <c r="Q419" s="39">
        <v>0</v>
      </c>
      <c r="R419" s="39">
        <v>0</v>
      </c>
      <c r="S419" s="39">
        <v>0</v>
      </c>
      <c r="T419" s="39">
        <v>0</v>
      </c>
      <c r="U419" s="39">
        <v>0</v>
      </c>
      <c r="V419" s="39">
        <v>0</v>
      </c>
      <c r="W419" s="39">
        <v>0</v>
      </c>
      <c r="X419" s="39">
        <v>0</v>
      </c>
      <c r="Y419" s="39">
        <v>0</v>
      </c>
      <c r="Z419" s="39">
        <v>0</v>
      </c>
      <c r="AA419" s="39">
        <v>0</v>
      </c>
      <c r="AB419" s="39">
        <v>0</v>
      </c>
      <c r="AC419" s="39">
        <v>0</v>
      </c>
      <c r="AD419" s="39">
        <v>0</v>
      </c>
      <c r="AE419" s="39">
        <v>0</v>
      </c>
      <c r="AF419" s="39">
        <v>0</v>
      </c>
      <c r="AG419" s="39">
        <v>0</v>
      </c>
      <c r="AH419" s="39"/>
      <c r="AI419" s="39"/>
      <c r="AJ419" s="40"/>
      <c r="AK419" s="39">
        <f t="shared" si="30"/>
        <v>0</v>
      </c>
      <c r="AL419" s="39">
        <f t="shared" si="33"/>
        <v>0</v>
      </c>
      <c r="AM419" s="39">
        <f t="shared" si="34"/>
        <v>0</v>
      </c>
      <c r="AN419" s="39">
        <f t="shared" si="31"/>
        <v>0</v>
      </c>
      <c r="AO419" s="39">
        <f t="shared" si="32"/>
        <v>0</v>
      </c>
    </row>
    <row r="420" spans="1:41" x14ac:dyDescent="0.3">
      <c r="A420" s="20">
        <v>1000184670</v>
      </c>
      <c r="B420" s="4" t="s">
        <v>147</v>
      </c>
      <c r="C420" s="21"/>
      <c r="D420" s="3"/>
      <c r="E420" s="20">
        <v>1000184758</v>
      </c>
      <c r="F420" s="4" t="s">
        <v>55</v>
      </c>
      <c r="G420" s="21">
        <v>1000189767</v>
      </c>
      <c r="H420" s="3" t="s">
        <v>90</v>
      </c>
      <c r="I420" s="21">
        <v>1000189270</v>
      </c>
      <c r="J420" s="3" t="s">
        <v>34</v>
      </c>
      <c r="K420" s="20" t="s">
        <v>124</v>
      </c>
      <c r="L420" s="39">
        <v>0</v>
      </c>
      <c r="M420" s="39">
        <v>0</v>
      </c>
      <c r="N420" s="39">
        <v>0</v>
      </c>
      <c r="O420" s="39">
        <v>0</v>
      </c>
      <c r="P420" s="39">
        <v>0</v>
      </c>
      <c r="Q420" s="39">
        <v>0</v>
      </c>
      <c r="R420" s="39">
        <v>0</v>
      </c>
      <c r="S420" s="39">
        <v>0</v>
      </c>
      <c r="T420" s="39">
        <v>0</v>
      </c>
      <c r="U420" s="39">
        <v>0</v>
      </c>
      <c r="V420" s="39">
        <v>0</v>
      </c>
      <c r="W420" s="39">
        <v>0</v>
      </c>
      <c r="X420" s="39">
        <v>0</v>
      </c>
      <c r="Y420" s="39">
        <v>0</v>
      </c>
      <c r="Z420" s="39">
        <v>0</v>
      </c>
      <c r="AA420" s="39">
        <v>0</v>
      </c>
      <c r="AB420" s="39">
        <v>0</v>
      </c>
      <c r="AC420" s="39">
        <v>0</v>
      </c>
      <c r="AD420" s="39">
        <v>0</v>
      </c>
      <c r="AE420" s="39">
        <v>0</v>
      </c>
      <c r="AF420" s="39">
        <v>0</v>
      </c>
      <c r="AG420" s="39">
        <v>0</v>
      </c>
      <c r="AH420" s="39"/>
      <c r="AI420" s="39"/>
      <c r="AJ420" s="40"/>
      <c r="AK420" s="39">
        <f t="shared" si="30"/>
        <v>0</v>
      </c>
      <c r="AL420" s="39">
        <f t="shared" si="33"/>
        <v>0</v>
      </c>
      <c r="AM420" s="39">
        <f t="shared" si="34"/>
        <v>0</v>
      </c>
      <c r="AN420" s="39">
        <f t="shared" si="31"/>
        <v>0</v>
      </c>
      <c r="AO420" s="39">
        <f t="shared" si="32"/>
        <v>0</v>
      </c>
    </row>
    <row r="421" spans="1:41" x14ac:dyDescent="0.3">
      <c r="A421" s="20">
        <v>1000184670</v>
      </c>
      <c r="B421" s="4" t="s">
        <v>147</v>
      </c>
      <c r="C421" s="21"/>
      <c r="D421" s="3"/>
      <c r="E421" s="20">
        <v>1000184758</v>
      </c>
      <c r="F421" s="4" t="s">
        <v>55</v>
      </c>
      <c r="G421" s="21">
        <v>1000189767</v>
      </c>
      <c r="H421" s="3" t="s">
        <v>90</v>
      </c>
      <c r="I421" s="21">
        <v>1000189270</v>
      </c>
      <c r="J421" s="3" t="s">
        <v>34</v>
      </c>
      <c r="K421" s="20" t="s">
        <v>13</v>
      </c>
      <c r="L421" s="39">
        <v>0</v>
      </c>
      <c r="M421" s="39">
        <v>0</v>
      </c>
      <c r="N421" s="39">
        <v>0</v>
      </c>
      <c r="O421" s="39">
        <v>0</v>
      </c>
      <c r="P421" s="39">
        <v>0</v>
      </c>
      <c r="Q421" s="39">
        <v>0</v>
      </c>
      <c r="R421" s="39">
        <v>0</v>
      </c>
      <c r="S421" s="39">
        <v>0</v>
      </c>
      <c r="T421" s="39">
        <v>0</v>
      </c>
      <c r="U421" s="39">
        <v>0</v>
      </c>
      <c r="V421" s="39">
        <v>0</v>
      </c>
      <c r="W421" s="39">
        <v>0</v>
      </c>
      <c r="X421" s="39">
        <v>0</v>
      </c>
      <c r="Y421" s="39">
        <v>0</v>
      </c>
      <c r="Z421" s="39">
        <v>0</v>
      </c>
      <c r="AA421" s="39">
        <v>0</v>
      </c>
      <c r="AB421" s="39">
        <v>0</v>
      </c>
      <c r="AC421" s="39">
        <v>0</v>
      </c>
      <c r="AD421" s="39">
        <v>0</v>
      </c>
      <c r="AE421" s="39">
        <v>0</v>
      </c>
      <c r="AF421" s="39">
        <v>0</v>
      </c>
      <c r="AG421" s="39">
        <v>0</v>
      </c>
      <c r="AH421" s="39"/>
      <c r="AI421" s="39"/>
      <c r="AJ421" s="40"/>
      <c r="AK421" s="39">
        <f t="shared" si="30"/>
        <v>0</v>
      </c>
      <c r="AL421" s="39">
        <f t="shared" si="33"/>
        <v>0</v>
      </c>
      <c r="AM421" s="39">
        <f t="shared" si="34"/>
        <v>0</v>
      </c>
      <c r="AN421" s="39">
        <f t="shared" si="31"/>
        <v>0</v>
      </c>
      <c r="AO421" s="39">
        <f t="shared" si="32"/>
        <v>0</v>
      </c>
    </row>
    <row r="422" spans="1:41" x14ac:dyDescent="0.3">
      <c r="A422" s="20">
        <v>1000184670</v>
      </c>
      <c r="B422" s="4" t="s">
        <v>147</v>
      </c>
      <c r="C422" s="21"/>
      <c r="D422" s="3"/>
      <c r="E422" s="20">
        <v>1000184758</v>
      </c>
      <c r="F422" s="4" t="s">
        <v>55</v>
      </c>
      <c r="G422" s="21">
        <v>1000189767</v>
      </c>
      <c r="H422" s="3" t="s">
        <v>90</v>
      </c>
      <c r="I422" s="21">
        <v>1000189270</v>
      </c>
      <c r="J422" s="3" t="s">
        <v>34</v>
      </c>
      <c r="K422" s="20" t="s">
        <v>14</v>
      </c>
      <c r="L422" s="39">
        <v>0</v>
      </c>
      <c r="M422" s="39">
        <v>0</v>
      </c>
      <c r="N422" s="39">
        <v>0</v>
      </c>
      <c r="O422" s="39">
        <v>0</v>
      </c>
      <c r="P422" s="39">
        <v>0</v>
      </c>
      <c r="Q422" s="39">
        <v>0</v>
      </c>
      <c r="R422" s="39">
        <v>0</v>
      </c>
      <c r="S422" s="39">
        <v>0</v>
      </c>
      <c r="T422" s="39">
        <v>0</v>
      </c>
      <c r="U422" s="39">
        <v>0</v>
      </c>
      <c r="V422" s="39">
        <v>0</v>
      </c>
      <c r="W422" s="39">
        <v>0</v>
      </c>
      <c r="X422" s="39">
        <v>0</v>
      </c>
      <c r="Y422" s="39">
        <v>0</v>
      </c>
      <c r="Z422" s="39">
        <v>0</v>
      </c>
      <c r="AA422" s="39">
        <v>0</v>
      </c>
      <c r="AB422" s="39">
        <v>0</v>
      </c>
      <c r="AC422" s="39">
        <v>0</v>
      </c>
      <c r="AD422" s="39">
        <v>0</v>
      </c>
      <c r="AE422" s="39">
        <v>0</v>
      </c>
      <c r="AF422" s="39">
        <v>0</v>
      </c>
      <c r="AG422" s="39">
        <v>0</v>
      </c>
      <c r="AH422" s="39"/>
      <c r="AI422" s="39"/>
      <c r="AJ422" s="40"/>
      <c r="AK422" s="39">
        <f t="shared" si="30"/>
        <v>0</v>
      </c>
      <c r="AL422" s="39">
        <f t="shared" si="33"/>
        <v>0</v>
      </c>
      <c r="AM422" s="39">
        <f t="shared" si="34"/>
        <v>0</v>
      </c>
      <c r="AN422" s="39">
        <f t="shared" si="31"/>
        <v>0</v>
      </c>
      <c r="AO422" s="39">
        <f t="shared" si="32"/>
        <v>0</v>
      </c>
    </row>
    <row r="423" spans="1:41" x14ac:dyDescent="0.3">
      <c r="A423" s="20">
        <v>1000184670</v>
      </c>
      <c r="B423" s="4" t="s">
        <v>147</v>
      </c>
      <c r="C423" s="21"/>
      <c r="D423" s="3"/>
      <c r="E423" s="20">
        <v>1000184758</v>
      </c>
      <c r="F423" s="4" t="s">
        <v>55</v>
      </c>
      <c r="G423" s="21">
        <v>1000189767</v>
      </c>
      <c r="H423" s="3" t="s">
        <v>90</v>
      </c>
      <c r="I423" s="21">
        <v>1000189270</v>
      </c>
      <c r="J423" s="3" t="s">
        <v>34</v>
      </c>
      <c r="K423" s="20" t="s">
        <v>16</v>
      </c>
      <c r="L423" s="39">
        <v>0</v>
      </c>
      <c r="M423" s="39">
        <v>0</v>
      </c>
      <c r="N423" s="39">
        <v>0</v>
      </c>
      <c r="O423" s="39">
        <v>0</v>
      </c>
      <c r="P423" s="39">
        <v>0</v>
      </c>
      <c r="Q423" s="39">
        <v>0</v>
      </c>
      <c r="R423" s="39">
        <v>0</v>
      </c>
      <c r="S423" s="39">
        <v>0</v>
      </c>
      <c r="T423" s="39">
        <v>0</v>
      </c>
      <c r="U423" s="39">
        <v>0</v>
      </c>
      <c r="V423" s="39">
        <v>0</v>
      </c>
      <c r="W423" s="39">
        <v>0</v>
      </c>
      <c r="X423" s="39">
        <v>0</v>
      </c>
      <c r="Y423" s="39">
        <v>0</v>
      </c>
      <c r="Z423" s="39">
        <v>0</v>
      </c>
      <c r="AA423" s="39">
        <v>0</v>
      </c>
      <c r="AB423" s="39">
        <v>0</v>
      </c>
      <c r="AC423" s="39">
        <v>0</v>
      </c>
      <c r="AD423" s="39">
        <v>0</v>
      </c>
      <c r="AE423" s="39">
        <v>0</v>
      </c>
      <c r="AF423" s="39">
        <v>0</v>
      </c>
      <c r="AG423" s="39">
        <v>0</v>
      </c>
      <c r="AH423" s="39"/>
      <c r="AI423" s="39"/>
      <c r="AJ423" s="40"/>
      <c r="AK423" s="39">
        <f t="shared" si="30"/>
        <v>0</v>
      </c>
      <c r="AL423" s="39">
        <f t="shared" si="33"/>
        <v>0</v>
      </c>
      <c r="AM423" s="39">
        <f t="shared" si="34"/>
        <v>0</v>
      </c>
      <c r="AN423" s="39">
        <f t="shared" si="31"/>
        <v>0</v>
      </c>
      <c r="AO423" s="39">
        <f t="shared" si="32"/>
        <v>0</v>
      </c>
    </row>
    <row r="424" spans="1:41" x14ac:dyDescent="0.3">
      <c r="A424" s="20">
        <v>1000184670</v>
      </c>
      <c r="B424" s="4" t="s">
        <v>147</v>
      </c>
      <c r="C424" s="21"/>
      <c r="D424" s="3"/>
      <c r="E424" s="20">
        <v>1000184758</v>
      </c>
      <c r="F424" s="4" t="s">
        <v>55</v>
      </c>
      <c r="G424" s="21">
        <v>1000189767</v>
      </c>
      <c r="H424" s="3" t="s">
        <v>90</v>
      </c>
      <c r="I424" s="21">
        <v>1000189270</v>
      </c>
      <c r="J424" s="3" t="s">
        <v>34</v>
      </c>
      <c r="K424" s="20" t="s">
        <v>15</v>
      </c>
      <c r="L424" s="39">
        <v>0</v>
      </c>
      <c r="M424" s="39">
        <v>0</v>
      </c>
      <c r="N424" s="39">
        <v>0</v>
      </c>
      <c r="O424" s="39">
        <v>0</v>
      </c>
      <c r="P424" s="39">
        <v>0</v>
      </c>
      <c r="Q424" s="39">
        <v>0</v>
      </c>
      <c r="R424" s="39">
        <v>0</v>
      </c>
      <c r="S424" s="39">
        <v>0</v>
      </c>
      <c r="T424" s="39">
        <v>0</v>
      </c>
      <c r="U424" s="39">
        <v>0</v>
      </c>
      <c r="V424" s="39">
        <v>0</v>
      </c>
      <c r="W424" s="39">
        <v>0</v>
      </c>
      <c r="X424" s="39">
        <v>0</v>
      </c>
      <c r="Y424" s="39">
        <v>0</v>
      </c>
      <c r="Z424" s="39">
        <v>0</v>
      </c>
      <c r="AA424" s="39">
        <v>0</v>
      </c>
      <c r="AB424" s="39">
        <v>0</v>
      </c>
      <c r="AC424" s="39">
        <v>0</v>
      </c>
      <c r="AD424" s="39">
        <v>0</v>
      </c>
      <c r="AE424" s="39">
        <v>0</v>
      </c>
      <c r="AF424" s="39">
        <v>0</v>
      </c>
      <c r="AG424" s="39">
        <v>0</v>
      </c>
      <c r="AH424" s="39"/>
      <c r="AI424" s="39"/>
      <c r="AJ424" s="40"/>
      <c r="AK424" s="39">
        <f t="shared" si="30"/>
        <v>0</v>
      </c>
      <c r="AL424" s="39">
        <f t="shared" si="33"/>
        <v>0</v>
      </c>
      <c r="AM424" s="39">
        <f t="shared" si="34"/>
        <v>0</v>
      </c>
      <c r="AN424" s="39">
        <f t="shared" si="31"/>
        <v>0</v>
      </c>
      <c r="AO424" s="39">
        <f t="shared" si="32"/>
        <v>0</v>
      </c>
    </row>
    <row r="425" spans="1:41" x14ac:dyDescent="0.3">
      <c r="A425" s="20">
        <v>1000184670</v>
      </c>
      <c r="B425" s="4" t="s">
        <v>147</v>
      </c>
      <c r="C425" s="21"/>
      <c r="D425" s="3"/>
      <c r="E425" s="20">
        <v>1000184758</v>
      </c>
      <c r="F425" s="4" t="s">
        <v>55</v>
      </c>
      <c r="G425" s="21">
        <v>1000189767</v>
      </c>
      <c r="H425" s="3" t="s">
        <v>90</v>
      </c>
      <c r="I425" s="21">
        <v>1000189270</v>
      </c>
      <c r="J425" s="3" t="s">
        <v>34</v>
      </c>
      <c r="K425" s="20" t="s">
        <v>33</v>
      </c>
      <c r="L425" s="39">
        <v>0</v>
      </c>
      <c r="M425" s="39">
        <v>0</v>
      </c>
      <c r="N425" s="39">
        <v>0</v>
      </c>
      <c r="O425" s="39">
        <v>0</v>
      </c>
      <c r="P425" s="39">
        <v>0</v>
      </c>
      <c r="Q425" s="39">
        <v>0</v>
      </c>
      <c r="R425" s="39">
        <v>0</v>
      </c>
      <c r="S425" s="39">
        <v>0</v>
      </c>
      <c r="T425" s="39">
        <v>0</v>
      </c>
      <c r="U425" s="39">
        <v>0</v>
      </c>
      <c r="V425" s="39">
        <v>0</v>
      </c>
      <c r="W425" s="39">
        <v>0</v>
      </c>
      <c r="X425" s="39">
        <v>0</v>
      </c>
      <c r="Y425" s="39">
        <v>0</v>
      </c>
      <c r="Z425" s="39">
        <v>0</v>
      </c>
      <c r="AA425" s="39">
        <v>0</v>
      </c>
      <c r="AB425" s="39">
        <v>0</v>
      </c>
      <c r="AC425" s="39">
        <v>0</v>
      </c>
      <c r="AD425" s="39">
        <v>0</v>
      </c>
      <c r="AE425" s="39">
        <v>0</v>
      </c>
      <c r="AF425" s="39">
        <v>0</v>
      </c>
      <c r="AG425" s="39">
        <v>0</v>
      </c>
      <c r="AH425" s="39"/>
      <c r="AI425" s="39"/>
      <c r="AJ425" s="40"/>
      <c r="AK425" s="39">
        <f t="shared" si="30"/>
        <v>0</v>
      </c>
      <c r="AL425" s="39">
        <f t="shared" si="33"/>
        <v>0</v>
      </c>
      <c r="AM425" s="39">
        <f t="shared" si="34"/>
        <v>0</v>
      </c>
      <c r="AN425" s="39">
        <f t="shared" si="31"/>
        <v>0</v>
      </c>
      <c r="AO425" s="39">
        <f t="shared" si="32"/>
        <v>0</v>
      </c>
    </row>
    <row r="426" spans="1:41" x14ac:dyDescent="0.3">
      <c r="A426" s="20">
        <v>1000184670</v>
      </c>
      <c r="B426" s="4" t="s">
        <v>147</v>
      </c>
      <c r="C426" s="21"/>
      <c r="D426" s="3"/>
      <c r="E426" s="20">
        <v>1000184758</v>
      </c>
      <c r="F426" s="4" t="s">
        <v>55</v>
      </c>
      <c r="G426" s="21">
        <v>1000189767</v>
      </c>
      <c r="H426" s="3" t="s">
        <v>90</v>
      </c>
      <c r="I426" s="21">
        <v>1000189270</v>
      </c>
      <c r="J426" s="3" t="s">
        <v>34</v>
      </c>
      <c r="K426" s="20" t="s">
        <v>19</v>
      </c>
      <c r="L426" s="39">
        <v>0</v>
      </c>
      <c r="M426" s="39">
        <v>0</v>
      </c>
      <c r="N426" s="39">
        <v>0</v>
      </c>
      <c r="O426" s="39">
        <v>0</v>
      </c>
      <c r="P426" s="39">
        <v>0</v>
      </c>
      <c r="Q426" s="39">
        <v>0</v>
      </c>
      <c r="R426" s="39">
        <v>0</v>
      </c>
      <c r="S426" s="39">
        <v>0</v>
      </c>
      <c r="T426" s="39">
        <v>0</v>
      </c>
      <c r="U426" s="39">
        <v>0</v>
      </c>
      <c r="V426" s="39">
        <v>0</v>
      </c>
      <c r="W426" s="39">
        <v>0</v>
      </c>
      <c r="X426" s="39">
        <v>0</v>
      </c>
      <c r="Y426" s="39">
        <v>0</v>
      </c>
      <c r="Z426" s="39">
        <v>0</v>
      </c>
      <c r="AA426" s="39">
        <v>0</v>
      </c>
      <c r="AB426" s="39">
        <v>0</v>
      </c>
      <c r="AC426" s="39">
        <v>0</v>
      </c>
      <c r="AD426" s="39">
        <v>0</v>
      </c>
      <c r="AE426" s="39">
        <v>0</v>
      </c>
      <c r="AF426" s="39">
        <v>0</v>
      </c>
      <c r="AG426" s="39">
        <v>0</v>
      </c>
      <c r="AH426" s="39"/>
      <c r="AI426" s="39"/>
      <c r="AJ426" s="40"/>
      <c r="AK426" s="39">
        <f t="shared" si="30"/>
        <v>0</v>
      </c>
      <c r="AL426" s="39">
        <f t="shared" si="33"/>
        <v>0</v>
      </c>
      <c r="AM426" s="39">
        <f t="shared" si="34"/>
        <v>0</v>
      </c>
      <c r="AN426" s="39">
        <f t="shared" si="31"/>
        <v>0</v>
      </c>
      <c r="AO426" s="39">
        <f t="shared" si="32"/>
        <v>0</v>
      </c>
    </row>
    <row r="427" spans="1:41" x14ac:dyDescent="0.3">
      <c r="A427" s="20">
        <v>1000184670</v>
      </c>
      <c r="B427" s="4" t="s">
        <v>147</v>
      </c>
      <c r="C427" s="21"/>
      <c r="D427" s="3"/>
      <c r="E427" s="20">
        <v>1000184758</v>
      </c>
      <c r="F427" s="4" t="s">
        <v>55</v>
      </c>
      <c r="G427" s="21">
        <v>1000189767</v>
      </c>
      <c r="H427" s="3" t="s">
        <v>90</v>
      </c>
      <c r="I427" s="21">
        <v>1000189270</v>
      </c>
      <c r="J427" s="3" t="s">
        <v>34</v>
      </c>
      <c r="K427" s="20" t="s">
        <v>17</v>
      </c>
      <c r="L427" s="39">
        <v>0</v>
      </c>
      <c r="M427" s="39">
        <v>0</v>
      </c>
      <c r="N427" s="39">
        <v>0</v>
      </c>
      <c r="O427" s="39">
        <v>0</v>
      </c>
      <c r="P427" s="39">
        <v>0</v>
      </c>
      <c r="Q427" s="39">
        <v>0</v>
      </c>
      <c r="R427" s="39">
        <v>0</v>
      </c>
      <c r="S427" s="39">
        <v>0</v>
      </c>
      <c r="T427" s="39">
        <v>0</v>
      </c>
      <c r="U427" s="39">
        <v>0</v>
      </c>
      <c r="V427" s="39">
        <v>0</v>
      </c>
      <c r="W427" s="39">
        <v>0</v>
      </c>
      <c r="X427" s="39">
        <v>0</v>
      </c>
      <c r="Y427" s="39">
        <v>0</v>
      </c>
      <c r="Z427" s="39">
        <v>0</v>
      </c>
      <c r="AA427" s="39">
        <v>0</v>
      </c>
      <c r="AB427" s="39">
        <v>0</v>
      </c>
      <c r="AC427" s="39">
        <v>0</v>
      </c>
      <c r="AD427" s="39">
        <v>0</v>
      </c>
      <c r="AE427" s="39">
        <v>0</v>
      </c>
      <c r="AF427" s="39">
        <v>0</v>
      </c>
      <c r="AG427" s="39">
        <v>0</v>
      </c>
      <c r="AH427" s="39"/>
      <c r="AI427" s="39"/>
      <c r="AJ427" s="40"/>
      <c r="AK427" s="39">
        <f t="shared" si="30"/>
        <v>0</v>
      </c>
      <c r="AL427" s="39">
        <f t="shared" si="33"/>
        <v>0</v>
      </c>
      <c r="AM427" s="39">
        <f t="shared" si="34"/>
        <v>0</v>
      </c>
      <c r="AN427" s="39">
        <f t="shared" si="31"/>
        <v>0</v>
      </c>
      <c r="AO427" s="39">
        <f t="shared" si="32"/>
        <v>0</v>
      </c>
    </row>
    <row r="428" spans="1:41" x14ac:dyDescent="0.3">
      <c r="A428" s="20">
        <v>1000184670</v>
      </c>
      <c r="B428" s="4" t="s">
        <v>147</v>
      </c>
      <c r="C428" s="21"/>
      <c r="D428" s="3"/>
      <c r="E428" s="20">
        <v>1000184758</v>
      </c>
      <c r="F428" s="4" t="s">
        <v>55</v>
      </c>
      <c r="G428" s="21">
        <v>1000189767</v>
      </c>
      <c r="H428" s="3" t="s">
        <v>90</v>
      </c>
      <c r="I428" s="21">
        <v>1000189270</v>
      </c>
      <c r="J428" s="3" t="s">
        <v>34</v>
      </c>
      <c r="K428" s="20" t="s">
        <v>24</v>
      </c>
      <c r="L428" s="39">
        <v>0</v>
      </c>
      <c r="M428" s="39">
        <v>0</v>
      </c>
      <c r="N428" s="39">
        <v>0</v>
      </c>
      <c r="O428" s="39">
        <v>0</v>
      </c>
      <c r="P428" s="39">
        <v>0</v>
      </c>
      <c r="Q428" s="39">
        <v>0</v>
      </c>
      <c r="R428" s="39">
        <v>0</v>
      </c>
      <c r="S428" s="39">
        <v>0</v>
      </c>
      <c r="T428" s="39">
        <v>0</v>
      </c>
      <c r="U428" s="39">
        <v>0</v>
      </c>
      <c r="V428" s="39">
        <v>0</v>
      </c>
      <c r="W428" s="39">
        <v>0</v>
      </c>
      <c r="X428" s="39">
        <v>0</v>
      </c>
      <c r="Y428" s="39">
        <v>0</v>
      </c>
      <c r="Z428" s="39">
        <v>0</v>
      </c>
      <c r="AA428" s="39">
        <v>0</v>
      </c>
      <c r="AB428" s="39">
        <v>0</v>
      </c>
      <c r="AC428" s="39">
        <v>0</v>
      </c>
      <c r="AD428" s="39">
        <v>0</v>
      </c>
      <c r="AE428" s="39">
        <v>0</v>
      </c>
      <c r="AF428" s="39">
        <v>0</v>
      </c>
      <c r="AG428" s="39">
        <v>0</v>
      </c>
      <c r="AH428" s="39"/>
      <c r="AI428" s="39"/>
      <c r="AJ428" s="40"/>
      <c r="AK428" s="39">
        <f t="shared" si="30"/>
        <v>0</v>
      </c>
      <c r="AL428" s="39">
        <f t="shared" si="33"/>
        <v>0</v>
      </c>
      <c r="AM428" s="39">
        <f t="shared" si="34"/>
        <v>0</v>
      </c>
      <c r="AN428" s="39">
        <f t="shared" si="31"/>
        <v>0</v>
      </c>
      <c r="AO428" s="39">
        <f t="shared" si="32"/>
        <v>0</v>
      </c>
    </row>
    <row r="429" spans="1:41" x14ac:dyDescent="0.3">
      <c r="A429" s="20">
        <v>1000184670</v>
      </c>
      <c r="B429" s="4" t="s">
        <v>147</v>
      </c>
      <c r="C429" s="21"/>
      <c r="D429" s="3"/>
      <c r="E429" s="20">
        <v>1000184758</v>
      </c>
      <c r="F429" s="4" t="s">
        <v>55</v>
      </c>
      <c r="G429" s="21">
        <v>1000189767</v>
      </c>
      <c r="H429" s="3" t="s">
        <v>90</v>
      </c>
      <c r="I429" s="21">
        <v>1000189270</v>
      </c>
      <c r="J429" s="3" t="s">
        <v>34</v>
      </c>
      <c r="K429" s="20" t="s">
        <v>18</v>
      </c>
      <c r="L429" s="39">
        <v>0</v>
      </c>
      <c r="M429" s="39">
        <v>0</v>
      </c>
      <c r="N429" s="39">
        <v>0</v>
      </c>
      <c r="O429" s="39">
        <v>0</v>
      </c>
      <c r="P429" s="39">
        <v>0</v>
      </c>
      <c r="Q429" s="39">
        <v>0</v>
      </c>
      <c r="R429" s="39">
        <v>0</v>
      </c>
      <c r="S429" s="39">
        <v>0</v>
      </c>
      <c r="T429" s="39">
        <v>0</v>
      </c>
      <c r="U429" s="39">
        <v>0</v>
      </c>
      <c r="V429" s="39">
        <v>0</v>
      </c>
      <c r="W429" s="39">
        <v>0</v>
      </c>
      <c r="X429" s="39">
        <v>0</v>
      </c>
      <c r="Y429" s="39">
        <v>0</v>
      </c>
      <c r="Z429" s="39">
        <v>0</v>
      </c>
      <c r="AA429" s="39">
        <v>0</v>
      </c>
      <c r="AB429" s="39">
        <v>0</v>
      </c>
      <c r="AC429" s="39">
        <v>0</v>
      </c>
      <c r="AD429" s="39">
        <v>0</v>
      </c>
      <c r="AE429" s="39">
        <v>0</v>
      </c>
      <c r="AF429" s="39">
        <v>0</v>
      </c>
      <c r="AG429" s="39">
        <v>0</v>
      </c>
      <c r="AH429" s="39"/>
      <c r="AI429" s="39"/>
      <c r="AJ429" s="40"/>
      <c r="AK429" s="39">
        <f t="shared" si="30"/>
        <v>0</v>
      </c>
      <c r="AL429" s="39">
        <f t="shared" si="33"/>
        <v>0</v>
      </c>
      <c r="AM429" s="39">
        <f t="shared" si="34"/>
        <v>0</v>
      </c>
      <c r="AN429" s="39">
        <f t="shared" si="31"/>
        <v>0</v>
      </c>
      <c r="AO429" s="39">
        <f t="shared" si="32"/>
        <v>0</v>
      </c>
    </row>
    <row r="430" spans="1:41" x14ac:dyDescent="0.3">
      <c r="A430" s="20">
        <v>1000184670</v>
      </c>
      <c r="B430" s="4" t="s">
        <v>147</v>
      </c>
      <c r="C430" s="21"/>
      <c r="D430" s="3"/>
      <c r="E430" s="20">
        <v>1000184758</v>
      </c>
      <c r="F430" s="4" t="s">
        <v>55</v>
      </c>
      <c r="G430" s="21">
        <v>1000189767</v>
      </c>
      <c r="H430" s="3" t="s">
        <v>90</v>
      </c>
      <c r="I430" s="21">
        <v>1000189270</v>
      </c>
      <c r="J430" s="3" t="s">
        <v>34</v>
      </c>
      <c r="K430" s="20" t="s">
        <v>29</v>
      </c>
      <c r="L430" s="39">
        <v>0</v>
      </c>
      <c r="M430" s="39">
        <v>0</v>
      </c>
      <c r="N430" s="39">
        <v>0</v>
      </c>
      <c r="O430" s="39">
        <v>0</v>
      </c>
      <c r="P430" s="39">
        <v>0</v>
      </c>
      <c r="Q430" s="39">
        <v>0</v>
      </c>
      <c r="R430" s="39">
        <v>0</v>
      </c>
      <c r="S430" s="39">
        <v>0</v>
      </c>
      <c r="T430" s="39">
        <v>0</v>
      </c>
      <c r="U430" s="39">
        <v>0</v>
      </c>
      <c r="V430" s="39">
        <v>0</v>
      </c>
      <c r="W430" s="39">
        <v>0</v>
      </c>
      <c r="X430" s="39">
        <v>0</v>
      </c>
      <c r="Y430" s="39">
        <v>0</v>
      </c>
      <c r="Z430" s="39">
        <v>0</v>
      </c>
      <c r="AA430" s="39">
        <v>0</v>
      </c>
      <c r="AB430" s="39">
        <v>0</v>
      </c>
      <c r="AC430" s="39">
        <v>0</v>
      </c>
      <c r="AD430" s="39">
        <v>0</v>
      </c>
      <c r="AE430" s="39">
        <v>0</v>
      </c>
      <c r="AF430" s="39">
        <v>0</v>
      </c>
      <c r="AG430" s="39">
        <v>0</v>
      </c>
      <c r="AH430" s="39"/>
      <c r="AI430" s="39"/>
      <c r="AJ430" s="40"/>
      <c r="AK430" s="39">
        <f t="shared" si="30"/>
        <v>0</v>
      </c>
      <c r="AL430" s="39">
        <f t="shared" si="33"/>
        <v>0</v>
      </c>
      <c r="AM430" s="39">
        <f t="shared" si="34"/>
        <v>0</v>
      </c>
      <c r="AN430" s="39">
        <f t="shared" si="31"/>
        <v>0</v>
      </c>
      <c r="AO430" s="39">
        <f t="shared" si="32"/>
        <v>0</v>
      </c>
    </row>
    <row r="431" spans="1:41" x14ac:dyDescent="0.3">
      <c r="A431" s="20">
        <v>1000184670</v>
      </c>
      <c r="B431" s="4" t="s">
        <v>147</v>
      </c>
      <c r="C431" s="21"/>
      <c r="D431" s="3"/>
      <c r="E431" s="20">
        <v>1000184758</v>
      </c>
      <c r="F431" s="4" t="s">
        <v>55</v>
      </c>
      <c r="G431" s="21">
        <v>1000189767</v>
      </c>
      <c r="H431" s="3" t="s">
        <v>90</v>
      </c>
      <c r="I431" s="21">
        <v>1000189270</v>
      </c>
      <c r="J431" s="3" t="s">
        <v>34</v>
      </c>
      <c r="K431" s="20" t="s">
        <v>21</v>
      </c>
      <c r="L431" s="39">
        <v>0</v>
      </c>
      <c r="M431" s="39">
        <v>0</v>
      </c>
      <c r="N431" s="39">
        <v>0</v>
      </c>
      <c r="O431" s="39">
        <v>0</v>
      </c>
      <c r="P431" s="39">
        <v>0</v>
      </c>
      <c r="Q431" s="39">
        <v>0</v>
      </c>
      <c r="R431" s="39">
        <v>0</v>
      </c>
      <c r="S431" s="39">
        <v>0</v>
      </c>
      <c r="T431" s="39">
        <v>0</v>
      </c>
      <c r="U431" s="39">
        <v>0</v>
      </c>
      <c r="V431" s="39">
        <v>0</v>
      </c>
      <c r="W431" s="39">
        <v>0</v>
      </c>
      <c r="X431" s="39">
        <v>0</v>
      </c>
      <c r="Y431" s="39">
        <v>0</v>
      </c>
      <c r="Z431" s="39">
        <v>0</v>
      </c>
      <c r="AA431" s="39">
        <v>0</v>
      </c>
      <c r="AB431" s="39">
        <v>0</v>
      </c>
      <c r="AC431" s="39">
        <v>0</v>
      </c>
      <c r="AD431" s="39">
        <v>0</v>
      </c>
      <c r="AE431" s="39">
        <v>0</v>
      </c>
      <c r="AF431" s="39">
        <v>0</v>
      </c>
      <c r="AG431" s="39">
        <v>0</v>
      </c>
      <c r="AH431" s="39"/>
      <c r="AI431" s="39"/>
      <c r="AJ431" s="40"/>
      <c r="AK431" s="39">
        <f t="shared" si="30"/>
        <v>0</v>
      </c>
      <c r="AL431" s="39">
        <f t="shared" si="33"/>
        <v>0</v>
      </c>
      <c r="AM431" s="39">
        <f t="shared" si="34"/>
        <v>0</v>
      </c>
      <c r="AN431" s="39">
        <f t="shared" si="31"/>
        <v>0</v>
      </c>
      <c r="AO431" s="39">
        <f t="shared" si="32"/>
        <v>0</v>
      </c>
    </row>
    <row r="432" spans="1:41" x14ac:dyDescent="0.3">
      <c r="A432" s="20">
        <v>1000184670</v>
      </c>
      <c r="B432" s="4" t="s">
        <v>147</v>
      </c>
      <c r="C432" s="21"/>
      <c r="D432" s="3"/>
      <c r="E432" s="20">
        <v>1000184758</v>
      </c>
      <c r="F432" s="4" t="s">
        <v>55</v>
      </c>
      <c r="G432" s="21">
        <v>1000189767</v>
      </c>
      <c r="H432" s="3" t="s">
        <v>90</v>
      </c>
      <c r="I432" s="21">
        <v>1000189270</v>
      </c>
      <c r="J432" s="3" t="s">
        <v>34</v>
      </c>
      <c r="K432" s="20" t="s">
        <v>20</v>
      </c>
      <c r="L432" s="39">
        <v>0</v>
      </c>
      <c r="M432" s="39">
        <v>0</v>
      </c>
      <c r="N432" s="39">
        <v>0</v>
      </c>
      <c r="O432" s="39">
        <v>0</v>
      </c>
      <c r="P432" s="39">
        <v>0</v>
      </c>
      <c r="Q432" s="39">
        <v>0</v>
      </c>
      <c r="R432" s="39">
        <v>0</v>
      </c>
      <c r="S432" s="39">
        <v>0</v>
      </c>
      <c r="T432" s="39">
        <v>0</v>
      </c>
      <c r="U432" s="39">
        <v>0</v>
      </c>
      <c r="V432" s="39">
        <v>0</v>
      </c>
      <c r="W432" s="39">
        <v>0</v>
      </c>
      <c r="X432" s="39">
        <v>0</v>
      </c>
      <c r="Y432" s="39">
        <v>0</v>
      </c>
      <c r="Z432" s="39">
        <v>0</v>
      </c>
      <c r="AA432" s="39">
        <v>0</v>
      </c>
      <c r="AB432" s="39">
        <v>0</v>
      </c>
      <c r="AC432" s="39">
        <v>0</v>
      </c>
      <c r="AD432" s="39">
        <v>0</v>
      </c>
      <c r="AE432" s="39">
        <v>0</v>
      </c>
      <c r="AF432" s="39">
        <v>0</v>
      </c>
      <c r="AG432" s="39">
        <v>0</v>
      </c>
      <c r="AH432" s="39"/>
      <c r="AI432" s="39"/>
      <c r="AJ432" s="40"/>
      <c r="AK432" s="39">
        <f t="shared" ref="AK432:AK495" si="35">AVERAGE(L432:W432)</f>
        <v>0</v>
      </c>
      <c r="AL432" s="39">
        <f t="shared" si="33"/>
        <v>0</v>
      </c>
      <c r="AM432" s="39">
        <f t="shared" si="34"/>
        <v>0</v>
      </c>
      <c r="AN432" s="39">
        <f t="shared" ref="AN432:AN495" si="36">AVERAGE(X432:AI432)</f>
        <v>0</v>
      </c>
      <c r="AO432" s="39">
        <f t="shared" ref="AO432:AO495" si="37">SUM(X432:AI432)</f>
        <v>0</v>
      </c>
    </row>
    <row r="433" spans="1:41" x14ac:dyDescent="0.3">
      <c r="A433" s="20">
        <v>1000184670</v>
      </c>
      <c r="B433" s="4" t="s">
        <v>147</v>
      </c>
      <c r="C433" s="21"/>
      <c r="D433" s="3"/>
      <c r="E433" s="20">
        <v>1000184758</v>
      </c>
      <c r="F433" s="4" t="s">
        <v>55</v>
      </c>
      <c r="G433" s="21">
        <v>1000189767</v>
      </c>
      <c r="H433" s="3" t="s">
        <v>90</v>
      </c>
      <c r="I433" s="21">
        <v>1000189270</v>
      </c>
      <c r="J433" s="3" t="s">
        <v>34</v>
      </c>
      <c r="K433" s="20" t="s">
        <v>22</v>
      </c>
      <c r="L433" s="39">
        <v>0</v>
      </c>
      <c r="M433" s="39">
        <v>0</v>
      </c>
      <c r="N433" s="39">
        <v>0</v>
      </c>
      <c r="O433" s="39">
        <v>0</v>
      </c>
      <c r="P433" s="39">
        <v>0</v>
      </c>
      <c r="Q433" s="39">
        <v>0</v>
      </c>
      <c r="R433" s="39">
        <v>0</v>
      </c>
      <c r="S433" s="39">
        <v>0</v>
      </c>
      <c r="T433" s="39">
        <v>0</v>
      </c>
      <c r="U433" s="39">
        <v>0</v>
      </c>
      <c r="V433" s="39">
        <v>0</v>
      </c>
      <c r="W433" s="39">
        <v>0</v>
      </c>
      <c r="X433" s="39">
        <v>0</v>
      </c>
      <c r="Y433" s="39">
        <v>0</v>
      </c>
      <c r="Z433" s="39">
        <v>0</v>
      </c>
      <c r="AA433" s="39">
        <v>0</v>
      </c>
      <c r="AB433" s="39">
        <v>0</v>
      </c>
      <c r="AC433" s="39">
        <v>0</v>
      </c>
      <c r="AD433" s="39">
        <v>0</v>
      </c>
      <c r="AE433" s="39">
        <v>0</v>
      </c>
      <c r="AF433" s="39">
        <v>0</v>
      </c>
      <c r="AG433" s="39">
        <v>0</v>
      </c>
      <c r="AH433" s="39"/>
      <c r="AI433" s="39"/>
      <c r="AJ433" s="40"/>
      <c r="AK433" s="39">
        <f t="shared" si="35"/>
        <v>0</v>
      </c>
      <c r="AL433" s="39">
        <f t="shared" si="33"/>
        <v>0</v>
      </c>
      <c r="AM433" s="39">
        <f t="shared" si="34"/>
        <v>0</v>
      </c>
      <c r="AN433" s="39">
        <f t="shared" si="36"/>
        <v>0</v>
      </c>
      <c r="AO433" s="39">
        <f t="shared" si="37"/>
        <v>0</v>
      </c>
    </row>
    <row r="434" spans="1:41" x14ac:dyDescent="0.3">
      <c r="A434" s="20">
        <v>1000184670</v>
      </c>
      <c r="B434" s="4" t="s">
        <v>147</v>
      </c>
      <c r="C434" s="21"/>
      <c r="D434" s="3"/>
      <c r="E434" s="20">
        <v>1000184758</v>
      </c>
      <c r="F434" s="4" t="s">
        <v>55</v>
      </c>
      <c r="G434" s="21">
        <v>1000189767</v>
      </c>
      <c r="H434" s="3" t="s">
        <v>90</v>
      </c>
      <c r="I434" s="21">
        <v>1000189270</v>
      </c>
      <c r="J434" s="3" t="s">
        <v>34</v>
      </c>
      <c r="K434" s="20" t="s">
        <v>23</v>
      </c>
      <c r="L434" s="39">
        <v>0</v>
      </c>
      <c r="M434" s="39">
        <v>0</v>
      </c>
      <c r="N434" s="39">
        <v>0</v>
      </c>
      <c r="O434" s="39">
        <v>0</v>
      </c>
      <c r="P434" s="39">
        <v>0</v>
      </c>
      <c r="Q434" s="39">
        <v>0</v>
      </c>
      <c r="R434" s="39">
        <v>0</v>
      </c>
      <c r="S434" s="39">
        <v>0</v>
      </c>
      <c r="T434" s="39">
        <v>0</v>
      </c>
      <c r="U434" s="39">
        <v>0</v>
      </c>
      <c r="V434" s="39">
        <v>0</v>
      </c>
      <c r="W434" s="39">
        <v>0</v>
      </c>
      <c r="X434" s="39">
        <v>0</v>
      </c>
      <c r="Y434" s="39">
        <v>0</v>
      </c>
      <c r="Z434" s="39">
        <v>0</v>
      </c>
      <c r="AA434" s="39">
        <v>0</v>
      </c>
      <c r="AB434" s="39">
        <v>0</v>
      </c>
      <c r="AC434" s="39">
        <v>0</v>
      </c>
      <c r="AD434" s="39">
        <v>0</v>
      </c>
      <c r="AE434" s="39">
        <v>0</v>
      </c>
      <c r="AF434" s="39">
        <v>0</v>
      </c>
      <c r="AG434" s="39">
        <v>0</v>
      </c>
      <c r="AH434" s="39"/>
      <c r="AI434" s="39"/>
      <c r="AJ434" s="40"/>
      <c r="AK434" s="39">
        <f t="shared" si="35"/>
        <v>0</v>
      </c>
      <c r="AL434" s="39">
        <f t="shared" si="33"/>
        <v>0</v>
      </c>
      <c r="AM434" s="39">
        <f t="shared" si="34"/>
        <v>0</v>
      </c>
      <c r="AN434" s="39">
        <f t="shared" si="36"/>
        <v>0</v>
      </c>
      <c r="AO434" s="39">
        <f t="shared" si="37"/>
        <v>0</v>
      </c>
    </row>
    <row r="435" spans="1:41" x14ac:dyDescent="0.3">
      <c r="A435" s="20">
        <v>1000184670</v>
      </c>
      <c r="B435" s="4" t="s">
        <v>147</v>
      </c>
      <c r="C435" s="21"/>
      <c r="D435" s="3"/>
      <c r="E435" s="20">
        <v>1000184758</v>
      </c>
      <c r="F435" s="4" t="s">
        <v>55</v>
      </c>
      <c r="G435" s="21">
        <v>1000189767</v>
      </c>
      <c r="H435" s="3" t="s">
        <v>90</v>
      </c>
      <c r="I435" s="21">
        <v>1000189270</v>
      </c>
      <c r="J435" s="3" t="s">
        <v>34</v>
      </c>
      <c r="K435" s="20" t="s">
        <v>28</v>
      </c>
      <c r="L435" s="39">
        <v>0</v>
      </c>
      <c r="M435" s="39">
        <v>0</v>
      </c>
      <c r="N435" s="39">
        <v>0</v>
      </c>
      <c r="O435" s="39">
        <v>0</v>
      </c>
      <c r="P435" s="39">
        <v>0</v>
      </c>
      <c r="Q435" s="39">
        <v>0</v>
      </c>
      <c r="R435" s="39">
        <v>0</v>
      </c>
      <c r="S435" s="39">
        <v>0</v>
      </c>
      <c r="T435" s="39">
        <v>0</v>
      </c>
      <c r="U435" s="39">
        <v>0</v>
      </c>
      <c r="V435" s="39">
        <v>0</v>
      </c>
      <c r="W435" s="39">
        <v>0</v>
      </c>
      <c r="X435" s="39">
        <v>0</v>
      </c>
      <c r="Y435" s="39">
        <v>0</v>
      </c>
      <c r="Z435" s="39">
        <v>0</v>
      </c>
      <c r="AA435" s="39">
        <v>0</v>
      </c>
      <c r="AB435" s="39">
        <v>0</v>
      </c>
      <c r="AC435" s="39">
        <v>0</v>
      </c>
      <c r="AD435" s="39">
        <v>0</v>
      </c>
      <c r="AE435" s="39">
        <v>0</v>
      </c>
      <c r="AF435" s="39">
        <v>0</v>
      </c>
      <c r="AG435" s="39">
        <v>0</v>
      </c>
      <c r="AH435" s="39"/>
      <c r="AI435" s="39"/>
      <c r="AJ435" s="40"/>
      <c r="AK435" s="39">
        <f t="shared" si="35"/>
        <v>0</v>
      </c>
      <c r="AL435" s="39">
        <f t="shared" si="33"/>
        <v>0</v>
      </c>
      <c r="AM435" s="39">
        <f t="shared" si="34"/>
        <v>0</v>
      </c>
      <c r="AN435" s="39">
        <f t="shared" si="36"/>
        <v>0</v>
      </c>
      <c r="AO435" s="39">
        <f t="shared" si="37"/>
        <v>0</v>
      </c>
    </row>
    <row r="436" spans="1:41" x14ac:dyDescent="0.3">
      <c r="A436" s="20">
        <v>1000184670</v>
      </c>
      <c r="B436" s="4" t="s">
        <v>147</v>
      </c>
      <c r="C436" s="21"/>
      <c r="D436" s="3"/>
      <c r="E436" s="20">
        <v>1000184758</v>
      </c>
      <c r="F436" s="4" t="s">
        <v>55</v>
      </c>
      <c r="G436" s="21">
        <v>1000189767</v>
      </c>
      <c r="H436" s="3" t="s">
        <v>90</v>
      </c>
      <c r="I436" s="21">
        <v>1000189270</v>
      </c>
      <c r="J436" s="3" t="s">
        <v>34</v>
      </c>
      <c r="K436" s="20" t="s">
        <v>26</v>
      </c>
      <c r="L436" s="39">
        <v>0</v>
      </c>
      <c r="M436" s="39">
        <v>0</v>
      </c>
      <c r="N436" s="39">
        <v>0</v>
      </c>
      <c r="O436" s="39">
        <v>0</v>
      </c>
      <c r="P436" s="39">
        <v>0</v>
      </c>
      <c r="Q436" s="39">
        <v>0</v>
      </c>
      <c r="R436" s="39">
        <v>0</v>
      </c>
      <c r="S436" s="39">
        <v>0</v>
      </c>
      <c r="T436" s="39">
        <v>0</v>
      </c>
      <c r="U436" s="39">
        <v>0</v>
      </c>
      <c r="V436" s="39">
        <v>0</v>
      </c>
      <c r="W436" s="39">
        <v>0</v>
      </c>
      <c r="X436" s="39">
        <v>0</v>
      </c>
      <c r="Y436" s="39">
        <v>0</v>
      </c>
      <c r="Z436" s="39">
        <v>0</v>
      </c>
      <c r="AA436" s="39">
        <v>0</v>
      </c>
      <c r="AB436" s="39">
        <v>0</v>
      </c>
      <c r="AC436" s="39">
        <v>0</v>
      </c>
      <c r="AD436" s="39">
        <v>0</v>
      </c>
      <c r="AE436" s="39">
        <v>0</v>
      </c>
      <c r="AF436" s="39">
        <v>0</v>
      </c>
      <c r="AG436" s="39">
        <v>0</v>
      </c>
      <c r="AH436" s="39"/>
      <c r="AI436" s="39"/>
      <c r="AJ436" s="40"/>
      <c r="AK436" s="39">
        <f t="shared" si="35"/>
        <v>0</v>
      </c>
      <c r="AL436" s="39">
        <f t="shared" si="33"/>
        <v>0</v>
      </c>
      <c r="AM436" s="39">
        <f t="shared" si="34"/>
        <v>0</v>
      </c>
      <c r="AN436" s="39">
        <f t="shared" si="36"/>
        <v>0</v>
      </c>
      <c r="AO436" s="39">
        <f t="shared" si="37"/>
        <v>0</v>
      </c>
    </row>
    <row r="437" spans="1:41" x14ac:dyDescent="0.3">
      <c r="A437" s="20">
        <v>1000184670</v>
      </c>
      <c r="B437" s="4" t="s">
        <v>147</v>
      </c>
      <c r="C437" s="21"/>
      <c r="D437" s="3"/>
      <c r="E437" s="20">
        <v>1000184758</v>
      </c>
      <c r="F437" s="4" t="s">
        <v>55</v>
      </c>
      <c r="G437" s="21">
        <v>1000189767</v>
      </c>
      <c r="H437" s="3" t="s">
        <v>90</v>
      </c>
      <c r="I437" s="21">
        <v>1000189270</v>
      </c>
      <c r="J437" s="3" t="s">
        <v>34</v>
      </c>
      <c r="K437" s="20" t="s">
        <v>27</v>
      </c>
      <c r="L437" s="39">
        <v>0</v>
      </c>
      <c r="M437" s="39">
        <v>0</v>
      </c>
      <c r="N437" s="39">
        <v>0</v>
      </c>
      <c r="O437" s="39">
        <v>0</v>
      </c>
      <c r="P437" s="39">
        <v>0</v>
      </c>
      <c r="Q437" s="39">
        <v>0</v>
      </c>
      <c r="R437" s="39">
        <v>0</v>
      </c>
      <c r="S437" s="39">
        <v>0</v>
      </c>
      <c r="T437" s="39">
        <v>0</v>
      </c>
      <c r="U437" s="39">
        <v>0</v>
      </c>
      <c r="V437" s="39">
        <v>0</v>
      </c>
      <c r="W437" s="39">
        <v>0</v>
      </c>
      <c r="X437" s="39">
        <v>0</v>
      </c>
      <c r="Y437" s="39">
        <v>0</v>
      </c>
      <c r="Z437" s="39">
        <v>0</v>
      </c>
      <c r="AA437" s="39">
        <v>0</v>
      </c>
      <c r="AB437" s="39">
        <v>0</v>
      </c>
      <c r="AC437" s="39">
        <v>0</v>
      </c>
      <c r="AD437" s="39">
        <v>0</v>
      </c>
      <c r="AE437" s="39">
        <v>0</v>
      </c>
      <c r="AF437" s="39">
        <v>0</v>
      </c>
      <c r="AG437" s="39">
        <v>0</v>
      </c>
      <c r="AH437" s="39"/>
      <c r="AI437" s="39"/>
      <c r="AJ437" s="40"/>
      <c r="AK437" s="39">
        <f t="shared" si="35"/>
        <v>0</v>
      </c>
      <c r="AL437" s="39">
        <f t="shared" si="33"/>
        <v>0</v>
      </c>
      <c r="AM437" s="39">
        <f t="shared" si="34"/>
        <v>0</v>
      </c>
      <c r="AN437" s="39">
        <f t="shared" si="36"/>
        <v>0</v>
      </c>
      <c r="AO437" s="39">
        <f t="shared" si="37"/>
        <v>0</v>
      </c>
    </row>
    <row r="438" spans="1:41" x14ac:dyDescent="0.3">
      <c r="A438" s="20">
        <v>1000184670</v>
      </c>
      <c r="B438" s="4" t="s">
        <v>147</v>
      </c>
      <c r="C438" s="21"/>
      <c r="D438" s="3"/>
      <c r="E438" s="20">
        <v>1000184758</v>
      </c>
      <c r="F438" s="4" t="s">
        <v>55</v>
      </c>
      <c r="G438" s="21">
        <v>1000189767</v>
      </c>
      <c r="H438" s="3" t="s">
        <v>90</v>
      </c>
      <c r="I438" s="21">
        <v>1000189270</v>
      </c>
      <c r="J438" s="3" t="s">
        <v>34</v>
      </c>
      <c r="K438" s="20" t="s">
        <v>25</v>
      </c>
      <c r="L438" s="39">
        <v>0</v>
      </c>
      <c r="M438" s="39">
        <v>0</v>
      </c>
      <c r="N438" s="39">
        <v>0</v>
      </c>
      <c r="O438" s="39">
        <v>0</v>
      </c>
      <c r="P438" s="39">
        <v>0</v>
      </c>
      <c r="Q438" s="39">
        <v>0</v>
      </c>
      <c r="R438" s="39">
        <v>0</v>
      </c>
      <c r="S438" s="39">
        <v>0</v>
      </c>
      <c r="T438" s="39">
        <v>0</v>
      </c>
      <c r="U438" s="39">
        <v>0</v>
      </c>
      <c r="V438" s="39">
        <v>0</v>
      </c>
      <c r="W438" s="39">
        <v>0</v>
      </c>
      <c r="X438" s="39">
        <v>0</v>
      </c>
      <c r="Y438" s="39">
        <v>0</v>
      </c>
      <c r="Z438" s="39">
        <v>0</v>
      </c>
      <c r="AA438" s="39">
        <v>0</v>
      </c>
      <c r="AB438" s="39">
        <v>0</v>
      </c>
      <c r="AC438" s="39">
        <v>0</v>
      </c>
      <c r="AD438" s="39">
        <v>0</v>
      </c>
      <c r="AE438" s="39">
        <v>0</v>
      </c>
      <c r="AF438" s="39">
        <v>0</v>
      </c>
      <c r="AG438" s="39">
        <v>0</v>
      </c>
      <c r="AH438" s="39"/>
      <c r="AI438" s="39"/>
      <c r="AJ438" s="40"/>
      <c r="AK438" s="39">
        <f t="shared" si="35"/>
        <v>0</v>
      </c>
      <c r="AL438" s="39">
        <f t="shared" si="33"/>
        <v>0</v>
      </c>
      <c r="AM438" s="39">
        <f t="shared" si="34"/>
        <v>0</v>
      </c>
      <c r="AN438" s="39">
        <f t="shared" si="36"/>
        <v>0</v>
      </c>
      <c r="AO438" s="39">
        <f t="shared" si="37"/>
        <v>0</v>
      </c>
    </row>
    <row r="439" spans="1:41" x14ac:dyDescent="0.3">
      <c r="A439" s="20">
        <v>1000184670</v>
      </c>
      <c r="B439" s="4" t="s">
        <v>147</v>
      </c>
      <c r="C439" s="21"/>
      <c r="D439" s="3"/>
      <c r="E439" s="20">
        <v>1000184757</v>
      </c>
      <c r="F439" s="4" t="s">
        <v>62</v>
      </c>
      <c r="G439" s="21">
        <v>1000189768</v>
      </c>
      <c r="H439" s="3" t="s">
        <v>88</v>
      </c>
      <c r="I439" s="21">
        <v>1000189270</v>
      </c>
      <c r="J439" s="3" t="s">
        <v>34</v>
      </c>
      <c r="K439" s="20" t="s">
        <v>124</v>
      </c>
      <c r="L439" s="39">
        <v>0</v>
      </c>
      <c r="M439" s="39">
        <v>0</v>
      </c>
      <c r="N439" s="39">
        <v>0</v>
      </c>
      <c r="O439" s="39">
        <v>0</v>
      </c>
      <c r="P439" s="39">
        <v>0</v>
      </c>
      <c r="Q439" s="39">
        <v>0</v>
      </c>
      <c r="R439" s="39">
        <v>0</v>
      </c>
      <c r="S439" s="39">
        <v>0</v>
      </c>
      <c r="T439" s="39">
        <v>0</v>
      </c>
      <c r="U439" s="39">
        <v>0</v>
      </c>
      <c r="V439" s="39">
        <v>0</v>
      </c>
      <c r="W439" s="39">
        <v>0</v>
      </c>
      <c r="X439" s="39">
        <v>0</v>
      </c>
      <c r="Y439" s="39">
        <v>0</v>
      </c>
      <c r="Z439" s="39">
        <v>0</v>
      </c>
      <c r="AA439" s="39">
        <v>0</v>
      </c>
      <c r="AB439" s="39">
        <v>0</v>
      </c>
      <c r="AC439" s="39">
        <v>0</v>
      </c>
      <c r="AD439" s="39">
        <v>0</v>
      </c>
      <c r="AE439" s="39">
        <v>0</v>
      </c>
      <c r="AF439" s="39">
        <v>0</v>
      </c>
      <c r="AG439" s="39">
        <v>0</v>
      </c>
      <c r="AH439" s="39"/>
      <c r="AI439" s="39"/>
      <c r="AJ439" s="40"/>
      <c r="AK439" s="39">
        <f t="shared" si="35"/>
        <v>0</v>
      </c>
      <c r="AL439" s="39">
        <f t="shared" si="33"/>
        <v>0</v>
      </c>
      <c r="AM439" s="39">
        <f t="shared" si="34"/>
        <v>0</v>
      </c>
      <c r="AN439" s="39">
        <f t="shared" si="36"/>
        <v>0</v>
      </c>
      <c r="AO439" s="39">
        <f t="shared" si="37"/>
        <v>0</v>
      </c>
    </row>
    <row r="440" spans="1:41" x14ac:dyDescent="0.3">
      <c r="A440" s="20">
        <v>1000184670</v>
      </c>
      <c r="B440" s="4" t="s">
        <v>147</v>
      </c>
      <c r="C440" s="21"/>
      <c r="D440" s="3"/>
      <c r="E440" s="20">
        <v>1000184757</v>
      </c>
      <c r="F440" s="4" t="s">
        <v>62</v>
      </c>
      <c r="G440" s="21">
        <v>1000189768</v>
      </c>
      <c r="H440" s="3" t="s">
        <v>88</v>
      </c>
      <c r="I440" s="21">
        <v>1000189270</v>
      </c>
      <c r="J440" s="3" t="s">
        <v>34</v>
      </c>
      <c r="K440" s="20" t="s">
        <v>13</v>
      </c>
      <c r="L440" s="39">
        <v>0</v>
      </c>
      <c r="M440" s="39">
        <v>0</v>
      </c>
      <c r="N440" s="39">
        <v>0</v>
      </c>
      <c r="O440" s="39">
        <v>0</v>
      </c>
      <c r="P440" s="39">
        <v>0</v>
      </c>
      <c r="Q440" s="39">
        <v>0</v>
      </c>
      <c r="R440" s="39">
        <v>0</v>
      </c>
      <c r="S440" s="39">
        <v>0</v>
      </c>
      <c r="T440" s="39">
        <v>183.6</v>
      </c>
      <c r="U440" s="39">
        <v>0</v>
      </c>
      <c r="V440" s="39">
        <v>0</v>
      </c>
      <c r="W440" s="39">
        <v>0</v>
      </c>
      <c r="X440" s="39">
        <v>0</v>
      </c>
      <c r="Y440" s="39">
        <v>0</v>
      </c>
      <c r="Z440" s="39">
        <v>0</v>
      </c>
      <c r="AA440" s="39">
        <v>0</v>
      </c>
      <c r="AB440" s="39">
        <v>0</v>
      </c>
      <c r="AC440" s="39">
        <v>0</v>
      </c>
      <c r="AD440" s="39">
        <v>0</v>
      </c>
      <c r="AE440" s="39">
        <v>0</v>
      </c>
      <c r="AF440" s="39">
        <v>0</v>
      </c>
      <c r="AG440" s="39">
        <v>0</v>
      </c>
      <c r="AH440" s="39"/>
      <c r="AI440" s="39"/>
      <c r="AJ440" s="40"/>
      <c r="AK440" s="39">
        <f t="shared" si="35"/>
        <v>15.299999999999999</v>
      </c>
      <c r="AL440" s="39">
        <f t="shared" si="33"/>
        <v>0</v>
      </c>
      <c r="AM440" s="39">
        <f t="shared" si="34"/>
        <v>0</v>
      </c>
      <c r="AN440" s="39">
        <f t="shared" si="36"/>
        <v>0</v>
      </c>
      <c r="AO440" s="39">
        <f t="shared" si="37"/>
        <v>0</v>
      </c>
    </row>
    <row r="441" spans="1:41" x14ac:dyDescent="0.3">
      <c r="A441" s="20">
        <v>1000184670</v>
      </c>
      <c r="B441" s="4" t="s">
        <v>147</v>
      </c>
      <c r="C441" s="21"/>
      <c r="D441" s="3"/>
      <c r="E441" s="20">
        <v>1000184757</v>
      </c>
      <c r="F441" s="4" t="s">
        <v>62</v>
      </c>
      <c r="G441" s="21">
        <v>1000189768</v>
      </c>
      <c r="H441" s="3" t="s">
        <v>88</v>
      </c>
      <c r="I441" s="21">
        <v>1000189270</v>
      </c>
      <c r="J441" s="3" t="s">
        <v>34</v>
      </c>
      <c r="K441" s="20" t="s">
        <v>14</v>
      </c>
      <c r="L441" s="39">
        <v>0</v>
      </c>
      <c r="M441" s="39">
        <v>0</v>
      </c>
      <c r="N441" s="39">
        <v>0</v>
      </c>
      <c r="O441" s="39">
        <v>0</v>
      </c>
      <c r="P441" s="39">
        <v>0</v>
      </c>
      <c r="Q441" s="39">
        <v>0</v>
      </c>
      <c r="R441" s="39">
        <v>0</v>
      </c>
      <c r="S441" s="39">
        <v>0</v>
      </c>
      <c r="T441" s="39">
        <v>0</v>
      </c>
      <c r="U441" s="39">
        <v>0</v>
      </c>
      <c r="V441" s="39">
        <v>0</v>
      </c>
      <c r="W441" s="39">
        <v>0</v>
      </c>
      <c r="X441" s="39">
        <v>0</v>
      </c>
      <c r="Y441" s="39">
        <v>0</v>
      </c>
      <c r="Z441" s="39">
        <v>0</v>
      </c>
      <c r="AA441" s="39">
        <v>0</v>
      </c>
      <c r="AB441" s="39">
        <v>0</v>
      </c>
      <c r="AC441" s="39">
        <v>0</v>
      </c>
      <c r="AD441" s="39">
        <v>0</v>
      </c>
      <c r="AE441" s="39">
        <v>0</v>
      </c>
      <c r="AF441" s="39">
        <v>0</v>
      </c>
      <c r="AG441" s="39">
        <v>0</v>
      </c>
      <c r="AH441" s="39"/>
      <c r="AI441" s="39"/>
      <c r="AJ441" s="40"/>
      <c r="AK441" s="39">
        <f t="shared" si="35"/>
        <v>0</v>
      </c>
      <c r="AL441" s="39">
        <f t="shared" si="33"/>
        <v>0</v>
      </c>
      <c r="AM441" s="39">
        <f t="shared" si="34"/>
        <v>0</v>
      </c>
      <c r="AN441" s="39">
        <f t="shared" si="36"/>
        <v>0</v>
      </c>
      <c r="AO441" s="39">
        <f t="shared" si="37"/>
        <v>0</v>
      </c>
    </row>
    <row r="442" spans="1:41" x14ac:dyDescent="0.3">
      <c r="A442" s="20">
        <v>1000184670</v>
      </c>
      <c r="B442" s="4" t="s">
        <v>147</v>
      </c>
      <c r="C442" s="21"/>
      <c r="D442" s="3"/>
      <c r="E442" s="20">
        <v>1000184757</v>
      </c>
      <c r="F442" s="4" t="s">
        <v>62</v>
      </c>
      <c r="G442" s="21">
        <v>1000189768</v>
      </c>
      <c r="H442" s="3" t="s">
        <v>88</v>
      </c>
      <c r="I442" s="21">
        <v>1000189270</v>
      </c>
      <c r="J442" s="3" t="s">
        <v>34</v>
      </c>
      <c r="K442" s="20" t="s">
        <v>16</v>
      </c>
      <c r="L442" s="39">
        <v>0</v>
      </c>
      <c r="M442" s="39">
        <v>0</v>
      </c>
      <c r="N442" s="39">
        <v>0</v>
      </c>
      <c r="O442" s="39">
        <v>0</v>
      </c>
      <c r="P442" s="39">
        <v>0</v>
      </c>
      <c r="Q442" s="39">
        <v>0</v>
      </c>
      <c r="R442" s="39">
        <v>0</v>
      </c>
      <c r="S442" s="39">
        <v>0</v>
      </c>
      <c r="T442" s="39">
        <v>0</v>
      </c>
      <c r="U442" s="39">
        <v>0</v>
      </c>
      <c r="V442" s="39">
        <v>0</v>
      </c>
      <c r="W442" s="39">
        <v>0</v>
      </c>
      <c r="X442" s="39">
        <v>0</v>
      </c>
      <c r="Y442" s="39">
        <v>0</v>
      </c>
      <c r="Z442" s="39">
        <v>0</v>
      </c>
      <c r="AA442" s="39">
        <v>0</v>
      </c>
      <c r="AB442" s="39">
        <v>0</v>
      </c>
      <c r="AC442" s="39">
        <v>0</v>
      </c>
      <c r="AD442" s="39">
        <v>0</v>
      </c>
      <c r="AE442" s="39">
        <v>0</v>
      </c>
      <c r="AF442" s="39">
        <v>0</v>
      </c>
      <c r="AG442" s="39">
        <v>0</v>
      </c>
      <c r="AH442" s="39"/>
      <c r="AI442" s="39"/>
      <c r="AJ442" s="40"/>
      <c r="AK442" s="39">
        <f t="shared" si="35"/>
        <v>0</v>
      </c>
      <c r="AL442" s="39">
        <f t="shared" si="33"/>
        <v>0</v>
      </c>
      <c r="AM442" s="39">
        <f t="shared" si="34"/>
        <v>0</v>
      </c>
      <c r="AN442" s="39">
        <f t="shared" si="36"/>
        <v>0</v>
      </c>
      <c r="AO442" s="39">
        <f t="shared" si="37"/>
        <v>0</v>
      </c>
    </row>
    <row r="443" spans="1:41" x14ac:dyDescent="0.3">
      <c r="A443" s="20">
        <v>1000184670</v>
      </c>
      <c r="B443" s="4" t="s">
        <v>147</v>
      </c>
      <c r="C443" s="21"/>
      <c r="D443" s="3"/>
      <c r="E443" s="20">
        <v>1000184757</v>
      </c>
      <c r="F443" s="4" t="s">
        <v>62</v>
      </c>
      <c r="G443" s="21">
        <v>1000189768</v>
      </c>
      <c r="H443" s="3" t="s">
        <v>88</v>
      </c>
      <c r="I443" s="21">
        <v>1000189270</v>
      </c>
      <c r="J443" s="3" t="s">
        <v>34</v>
      </c>
      <c r="K443" s="20" t="s">
        <v>15</v>
      </c>
      <c r="L443" s="39">
        <v>0</v>
      </c>
      <c r="M443" s="39">
        <v>0</v>
      </c>
      <c r="N443" s="39">
        <v>0</v>
      </c>
      <c r="O443" s="39">
        <v>0</v>
      </c>
      <c r="P443" s="39">
        <v>0</v>
      </c>
      <c r="Q443" s="39">
        <v>0</v>
      </c>
      <c r="R443" s="39">
        <v>0</v>
      </c>
      <c r="S443" s="39">
        <v>0</v>
      </c>
      <c r="T443" s="39">
        <v>474.41</v>
      </c>
      <c r="U443" s="39">
        <v>0</v>
      </c>
      <c r="V443" s="39">
        <v>0</v>
      </c>
      <c r="W443" s="39">
        <v>0</v>
      </c>
      <c r="X443" s="39">
        <v>0</v>
      </c>
      <c r="Y443" s="39">
        <v>0</v>
      </c>
      <c r="Z443" s="39">
        <v>0</v>
      </c>
      <c r="AA443" s="39">
        <v>0</v>
      </c>
      <c r="AB443" s="39">
        <v>0</v>
      </c>
      <c r="AC443" s="39">
        <v>0</v>
      </c>
      <c r="AD443" s="39">
        <v>0</v>
      </c>
      <c r="AE443" s="39">
        <v>0</v>
      </c>
      <c r="AF443" s="39">
        <v>0</v>
      </c>
      <c r="AG443" s="39">
        <v>0</v>
      </c>
      <c r="AH443" s="39"/>
      <c r="AI443" s="39"/>
      <c r="AJ443" s="40"/>
      <c r="AK443" s="39">
        <f t="shared" si="35"/>
        <v>39.534166666666671</v>
      </c>
      <c r="AL443" s="39">
        <f t="shared" si="33"/>
        <v>0</v>
      </c>
      <c r="AM443" s="39">
        <f t="shared" si="34"/>
        <v>0</v>
      </c>
      <c r="AN443" s="39">
        <f t="shared" si="36"/>
        <v>0</v>
      </c>
      <c r="AO443" s="39">
        <f t="shared" si="37"/>
        <v>0</v>
      </c>
    </row>
    <row r="444" spans="1:41" x14ac:dyDescent="0.3">
      <c r="A444" s="20">
        <v>1000184670</v>
      </c>
      <c r="B444" s="4" t="s">
        <v>147</v>
      </c>
      <c r="C444" s="21"/>
      <c r="D444" s="3"/>
      <c r="E444" s="20">
        <v>1000184757</v>
      </c>
      <c r="F444" s="4" t="s">
        <v>62</v>
      </c>
      <c r="G444" s="21">
        <v>1000189768</v>
      </c>
      <c r="H444" s="3" t="s">
        <v>88</v>
      </c>
      <c r="I444" s="21">
        <v>1000189270</v>
      </c>
      <c r="J444" s="3" t="s">
        <v>34</v>
      </c>
      <c r="K444" s="20" t="s">
        <v>33</v>
      </c>
      <c r="L444" s="39">
        <v>0</v>
      </c>
      <c r="M444" s="39">
        <v>0</v>
      </c>
      <c r="N444" s="39">
        <v>0</v>
      </c>
      <c r="O444" s="39">
        <v>0</v>
      </c>
      <c r="P444" s="39">
        <v>0</v>
      </c>
      <c r="Q444" s="39">
        <v>0</v>
      </c>
      <c r="R444" s="39">
        <v>0</v>
      </c>
      <c r="S444" s="39">
        <v>0</v>
      </c>
      <c r="T444" s="39">
        <v>0</v>
      </c>
      <c r="U444" s="39">
        <v>0</v>
      </c>
      <c r="V444" s="39">
        <v>0</v>
      </c>
      <c r="W444" s="39">
        <v>0</v>
      </c>
      <c r="X444" s="39">
        <v>0</v>
      </c>
      <c r="Y444" s="39">
        <v>0</v>
      </c>
      <c r="Z444" s="39">
        <v>0</v>
      </c>
      <c r="AA444" s="39">
        <v>0</v>
      </c>
      <c r="AB444" s="39">
        <v>559.6</v>
      </c>
      <c r="AC444" s="39">
        <v>0</v>
      </c>
      <c r="AD444" s="39">
        <v>0</v>
      </c>
      <c r="AE444" s="39">
        <v>0</v>
      </c>
      <c r="AF444" s="39">
        <v>0</v>
      </c>
      <c r="AG444" s="39">
        <v>0</v>
      </c>
      <c r="AH444" s="39"/>
      <c r="AI444" s="39"/>
      <c r="AJ444" s="40"/>
      <c r="AK444" s="39">
        <f t="shared" si="35"/>
        <v>0</v>
      </c>
      <c r="AL444" s="39">
        <f t="shared" si="33"/>
        <v>46.633333333333333</v>
      </c>
      <c r="AM444" s="39">
        <f t="shared" si="34"/>
        <v>93.266666666666666</v>
      </c>
      <c r="AN444" s="39">
        <f t="shared" si="36"/>
        <v>55.96</v>
      </c>
      <c r="AO444" s="39">
        <f t="shared" si="37"/>
        <v>559.6</v>
      </c>
    </row>
    <row r="445" spans="1:41" x14ac:dyDescent="0.3">
      <c r="A445" s="20">
        <v>1000184670</v>
      </c>
      <c r="B445" s="4" t="s">
        <v>147</v>
      </c>
      <c r="C445" s="21"/>
      <c r="D445" s="3"/>
      <c r="E445" s="20">
        <v>1000184757</v>
      </c>
      <c r="F445" s="4" t="s">
        <v>62</v>
      </c>
      <c r="G445" s="21">
        <v>1000189768</v>
      </c>
      <c r="H445" s="3" t="s">
        <v>88</v>
      </c>
      <c r="I445" s="21">
        <v>1000189270</v>
      </c>
      <c r="J445" s="3" t="s">
        <v>34</v>
      </c>
      <c r="K445" s="20" t="s">
        <v>19</v>
      </c>
      <c r="L445" s="39">
        <v>0</v>
      </c>
      <c r="M445" s="39">
        <v>0</v>
      </c>
      <c r="N445" s="39">
        <v>0</v>
      </c>
      <c r="O445" s="39">
        <v>0</v>
      </c>
      <c r="P445" s="39">
        <v>0</v>
      </c>
      <c r="Q445" s="39">
        <v>0</v>
      </c>
      <c r="R445" s="39">
        <v>0</v>
      </c>
      <c r="S445" s="39">
        <v>0</v>
      </c>
      <c r="T445" s="39">
        <v>0</v>
      </c>
      <c r="U445" s="39">
        <v>0</v>
      </c>
      <c r="V445" s="39">
        <v>0</v>
      </c>
      <c r="W445" s="39">
        <v>0</v>
      </c>
      <c r="X445" s="39">
        <v>0</v>
      </c>
      <c r="Y445" s="39">
        <v>0</v>
      </c>
      <c r="Z445" s="39">
        <v>0</v>
      </c>
      <c r="AA445" s="39">
        <v>0</v>
      </c>
      <c r="AB445" s="39">
        <v>0</v>
      </c>
      <c r="AC445" s="39">
        <v>0</v>
      </c>
      <c r="AD445" s="39">
        <v>0</v>
      </c>
      <c r="AE445" s="39">
        <v>0</v>
      </c>
      <c r="AF445" s="39">
        <v>0</v>
      </c>
      <c r="AG445" s="39">
        <v>0</v>
      </c>
      <c r="AH445" s="39"/>
      <c r="AI445" s="39"/>
      <c r="AJ445" s="40"/>
      <c r="AK445" s="39">
        <f t="shared" si="35"/>
        <v>0</v>
      </c>
      <c r="AL445" s="39">
        <f t="shared" si="33"/>
        <v>0</v>
      </c>
      <c r="AM445" s="39">
        <f t="shared" si="34"/>
        <v>0</v>
      </c>
      <c r="AN445" s="39">
        <f t="shared" si="36"/>
        <v>0</v>
      </c>
      <c r="AO445" s="39">
        <f t="shared" si="37"/>
        <v>0</v>
      </c>
    </row>
    <row r="446" spans="1:41" x14ac:dyDescent="0.3">
      <c r="A446" s="20">
        <v>1000184670</v>
      </c>
      <c r="B446" s="4" t="s">
        <v>147</v>
      </c>
      <c r="C446" s="21"/>
      <c r="D446" s="3"/>
      <c r="E446" s="20">
        <v>1000184757</v>
      </c>
      <c r="F446" s="4" t="s">
        <v>62</v>
      </c>
      <c r="G446" s="21">
        <v>1000189768</v>
      </c>
      <c r="H446" s="3" t="s">
        <v>88</v>
      </c>
      <c r="I446" s="21">
        <v>1000189270</v>
      </c>
      <c r="J446" s="3" t="s">
        <v>34</v>
      </c>
      <c r="K446" s="20" t="s">
        <v>17</v>
      </c>
      <c r="L446" s="39">
        <v>0</v>
      </c>
      <c r="M446" s="39">
        <v>0</v>
      </c>
      <c r="N446" s="39">
        <v>0</v>
      </c>
      <c r="O446" s="39">
        <v>0</v>
      </c>
      <c r="P446" s="39">
        <v>0</v>
      </c>
      <c r="Q446" s="39">
        <v>0</v>
      </c>
      <c r="R446" s="39">
        <v>0</v>
      </c>
      <c r="S446" s="39">
        <v>0</v>
      </c>
      <c r="T446" s="39">
        <v>0</v>
      </c>
      <c r="U446" s="39">
        <v>0</v>
      </c>
      <c r="V446" s="39">
        <v>0</v>
      </c>
      <c r="W446" s="39">
        <v>0</v>
      </c>
      <c r="X446" s="39">
        <v>0</v>
      </c>
      <c r="Y446" s="39">
        <v>0</v>
      </c>
      <c r="Z446" s="39">
        <v>0</v>
      </c>
      <c r="AA446" s="39">
        <v>0</v>
      </c>
      <c r="AB446" s="39">
        <v>0</v>
      </c>
      <c r="AC446" s="39">
        <v>0</v>
      </c>
      <c r="AD446" s="39">
        <v>0</v>
      </c>
      <c r="AE446" s="39">
        <v>0</v>
      </c>
      <c r="AF446" s="39">
        <v>0</v>
      </c>
      <c r="AG446" s="39">
        <v>0</v>
      </c>
      <c r="AH446" s="39"/>
      <c r="AI446" s="39"/>
      <c r="AJ446" s="40"/>
      <c r="AK446" s="39">
        <f t="shared" si="35"/>
        <v>0</v>
      </c>
      <c r="AL446" s="39">
        <f t="shared" si="33"/>
        <v>0</v>
      </c>
      <c r="AM446" s="39">
        <f t="shared" si="34"/>
        <v>0</v>
      </c>
      <c r="AN446" s="39">
        <f t="shared" si="36"/>
        <v>0</v>
      </c>
      <c r="AO446" s="39">
        <f t="shared" si="37"/>
        <v>0</v>
      </c>
    </row>
    <row r="447" spans="1:41" x14ac:dyDescent="0.3">
      <c r="A447" s="20">
        <v>1000184670</v>
      </c>
      <c r="B447" s="4" t="s">
        <v>147</v>
      </c>
      <c r="C447" s="21"/>
      <c r="D447" s="3"/>
      <c r="E447" s="20">
        <v>1000184757</v>
      </c>
      <c r="F447" s="4" t="s">
        <v>62</v>
      </c>
      <c r="G447" s="21">
        <v>1000189768</v>
      </c>
      <c r="H447" s="3" t="s">
        <v>88</v>
      </c>
      <c r="I447" s="21">
        <v>1000189270</v>
      </c>
      <c r="J447" s="3" t="s">
        <v>34</v>
      </c>
      <c r="K447" s="20" t="s">
        <v>24</v>
      </c>
      <c r="L447" s="39">
        <v>0</v>
      </c>
      <c r="M447" s="39">
        <v>0</v>
      </c>
      <c r="N447" s="39">
        <v>0</v>
      </c>
      <c r="O447" s="39">
        <v>0</v>
      </c>
      <c r="P447" s="39">
        <v>0</v>
      </c>
      <c r="Q447" s="39">
        <v>0</v>
      </c>
      <c r="R447" s="39">
        <v>0</v>
      </c>
      <c r="S447" s="39">
        <v>0</v>
      </c>
      <c r="T447" s="39">
        <v>0</v>
      </c>
      <c r="U447" s="39">
        <v>0</v>
      </c>
      <c r="V447" s="39">
        <v>0</v>
      </c>
      <c r="W447" s="39">
        <v>0</v>
      </c>
      <c r="X447" s="39">
        <v>0</v>
      </c>
      <c r="Y447" s="39">
        <v>0</v>
      </c>
      <c r="Z447" s="39">
        <v>0</v>
      </c>
      <c r="AA447" s="39">
        <v>0</v>
      </c>
      <c r="AB447" s="39">
        <v>0</v>
      </c>
      <c r="AC447" s="39">
        <v>0</v>
      </c>
      <c r="AD447" s="39">
        <v>0</v>
      </c>
      <c r="AE447" s="39">
        <v>0</v>
      </c>
      <c r="AF447" s="39">
        <v>0</v>
      </c>
      <c r="AG447" s="39">
        <v>0</v>
      </c>
      <c r="AH447" s="39"/>
      <c r="AI447" s="39"/>
      <c r="AJ447" s="40"/>
      <c r="AK447" s="39">
        <f t="shared" si="35"/>
        <v>0</v>
      </c>
      <c r="AL447" s="39">
        <f t="shared" si="33"/>
        <v>0</v>
      </c>
      <c r="AM447" s="39">
        <f t="shared" si="34"/>
        <v>0</v>
      </c>
      <c r="AN447" s="39">
        <f t="shared" si="36"/>
        <v>0</v>
      </c>
      <c r="AO447" s="39">
        <f t="shared" si="37"/>
        <v>0</v>
      </c>
    </row>
    <row r="448" spans="1:41" x14ac:dyDescent="0.3">
      <c r="A448" s="20">
        <v>1000184670</v>
      </c>
      <c r="B448" s="4" t="s">
        <v>147</v>
      </c>
      <c r="C448" s="21"/>
      <c r="D448" s="3"/>
      <c r="E448" s="20">
        <v>1000184757</v>
      </c>
      <c r="F448" s="4" t="s">
        <v>62</v>
      </c>
      <c r="G448" s="21">
        <v>1000189768</v>
      </c>
      <c r="H448" s="3" t="s">
        <v>88</v>
      </c>
      <c r="I448" s="21">
        <v>1000189270</v>
      </c>
      <c r="J448" s="3" t="s">
        <v>34</v>
      </c>
      <c r="K448" s="20" t="s">
        <v>18</v>
      </c>
      <c r="L448" s="39">
        <v>0</v>
      </c>
      <c r="M448" s="39">
        <v>0</v>
      </c>
      <c r="N448" s="39">
        <v>0</v>
      </c>
      <c r="O448" s="39">
        <v>0</v>
      </c>
      <c r="P448" s="39">
        <v>0</v>
      </c>
      <c r="Q448" s="39">
        <v>0</v>
      </c>
      <c r="R448" s="39">
        <v>0</v>
      </c>
      <c r="S448" s="39">
        <v>0</v>
      </c>
      <c r="T448" s="39">
        <v>0</v>
      </c>
      <c r="U448" s="39">
        <v>0</v>
      </c>
      <c r="V448" s="39">
        <v>0</v>
      </c>
      <c r="W448" s="39">
        <v>0</v>
      </c>
      <c r="X448" s="39">
        <v>0</v>
      </c>
      <c r="Y448" s="39">
        <v>0</v>
      </c>
      <c r="Z448" s="39">
        <v>0</v>
      </c>
      <c r="AA448" s="39">
        <v>0</v>
      </c>
      <c r="AB448" s="39">
        <v>0</v>
      </c>
      <c r="AC448" s="39">
        <v>0</v>
      </c>
      <c r="AD448" s="39">
        <v>0</v>
      </c>
      <c r="AE448" s="39">
        <v>0</v>
      </c>
      <c r="AF448" s="39">
        <v>0</v>
      </c>
      <c r="AG448" s="39">
        <v>0</v>
      </c>
      <c r="AH448" s="39"/>
      <c r="AI448" s="39"/>
      <c r="AJ448" s="40"/>
      <c r="AK448" s="39">
        <f t="shared" si="35"/>
        <v>0</v>
      </c>
      <c r="AL448" s="39">
        <f t="shared" si="33"/>
        <v>0</v>
      </c>
      <c r="AM448" s="39">
        <f t="shared" si="34"/>
        <v>0</v>
      </c>
      <c r="AN448" s="39">
        <f t="shared" si="36"/>
        <v>0</v>
      </c>
      <c r="AO448" s="39">
        <f t="shared" si="37"/>
        <v>0</v>
      </c>
    </row>
    <row r="449" spans="1:41" x14ac:dyDescent="0.3">
      <c r="A449" s="20">
        <v>1000184670</v>
      </c>
      <c r="B449" s="4" t="s">
        <v>147</v>
      </c>
      <c r="C449" s="21"/>
      <c r="D449" s="3"/>
      <c r="E449" s="20">
        <v>1000184757</v>
      </c>
      <c r="F449" s="4" t="s">
        <v>62</v>
      </c>
      <c r="G449" s="21">
        <v>1000189768</v>
      </c>
      <c r="H449" s="3" t="s">
        <v>88</v>
      </c>
      <c r="I449" s="21">
        <v>1000189270</v>
      </c>
      <c r="J449" s="3" t="s">
        <v>34</v>
      </c>
      <c r="K449" s="20" t="s">
        <v>29</v>
      </c>
      <c r="L449" s="39">
        <v>0</v>
      </c>
      <c r="M449" s="39">
        <v>0</v>
      </c>
      <c r="N449" s="39">
        <v>0</v>
      </c>
      <c r="O449" s="39">
        <v>0</v>
      </c>
      <c r="P449" s="39">
        <v>0</v>
      </c>
      <c r="Q449" s="39">
        <v>0</v>
      </c>
      <c r="R449" s="39">
        <v>0</v>
      </c>
      <c r="S449" s="39">
        <v>0</v>
      </c>
      <c r="T449" s="39">
        <v>0</v>
      </c>
      <c r="U449" s="39">
        <v>0</v>
      </c>
      <c r="V449" s="39">
        <v>0</v>
      </c>
      <c r="W449" s="39">
        <v>0</v>
      </c>
      <c r="X449" s="39">
        <v>0</v>
      </c>
      <c r="Y449" s="39">
        <v>0</v>
      </c>
      <c r="Z449" s="39">
        <v>0</v>
      </c>
      <c r="AA449" s="39">
        <v>0</v>
      </c>
      <c r="AB449" s="39">
        <v>0</v>
      </c>
      <c r="AC449" s="39">
        <v>0</v>
      </c>
      <c r="AD449" s="39">
        <v>0</v>
      </c>
      <c r="AE449" s="39">
        <v>0</v>
      </c>
      <c r="AF449" s="39">
        <v>0</v>
      </c>
      <c r="AG449" s="39">
        <v>0</v>
      </c>
      <c r="AH449" s="39"/>
      <c r="AI449" s="39"/>
      <c r="AJ449" s="40"/>
      <c r="AK449" s="39">
        <f t="shared" si="35"/>
        <v>0</v>
      </c>
      <c r="AL449" s="39">
        <f t="shared" si="33"/>
        <v>0</v>
      </c>
      <c r="AM449" s="39">
        <f t="shared" si="34"/>
        <v>0</v>
      </c>
      <c r="AN449" s="39">
        <f t="shared" si="36"/>
        <v>0</v>
      </c>
      <c r="AO449" s="39">
        <f t="shared" si="37"/>
        <v>0</v>
      </c>
    </row>
    <row r="450" spans="1:41" x14ac:dyDescent="0.3">
      <c r="A450" s="20">
        <v>1000184670</v>
      </c>
      <c r="B450" s="4" t="s">
        <v>147</v>
      </c>
      <c r="C450" s="21"/>
      <c r="D450" s="3"/>
      <c r="E450" s="20">
        <v>1000184757</v>
      </c>
      <c r="F450" s="4" t="s">
        <v>62</v>
      </c>
      <c r="G450" s="21">
        <v>1000189768</v>
      </c>
      <c r="H450" s="3" t="s">
        <v>88</v>
      </c>
      <c r="I450" s="21">
        <v>1000189270</v>
      </c>
      <c r="J450" s="3" t="s">
        <v>34</v>
      </c>
      <c r="K450" s="20" t="s">
        <v>21</v>
      </c>
      <c r="L450" s="39">
        <v>0</v>
      </c>
      <c r="M450" s="39">
        <v>0</v>
      </c>
      <c r="N450" s="39">
        <v>0</v>
      </c>
      <c r="O450" s="39">
        <v>0</v>
      </c>
      <c r="P450" s="39">
        <v>0</v>
      </c>
      <c r="Q450" s="39">
        <v>0</v>
      </c>
      <c r="R450" s="39">
        <v>0</v>
      </c>
      <c r="S450" s="39">
        <v>0</v>
      </c>
      <c r="T450" s="39">
        <v>787.5</v>
      </c>
      <c r="U450" s="39">
        <v>0</v>
      </c>
      <c r="V450" s="39">
        <v>0</v>
      </c>
      <c r="W450" s="39">
        <v>0</v>
      </c>
      <c r="X450" s="39">
        <v>0</v>
      </c>
      <c r="Y450" s="39">
        <v>0</v>
      </c>
      <c r="Z450" s="39">
        <v>0</v>
      </c>
      <c r="AA450" s="39">
        <v>0</v>
      </c>
      <c r="AB450" s="39">
        <v>0</v>
      </c>
      <c r="AC450" s="39">
        <v>0</v>
      </c>
      <c r="AD450" s="39">
        <v>0</v>
      </c>
      <c r="AE450" s="39">
        <v>0</v>
      </c>
      <c r="AF450" s="39">
        <v>0</v>
      </c>
      <c r="AG450" s="39">
        <v>0</v>
      </c>
      <c r="AH450" s="39"/>
      <c r="AI450" s="39"/>
      <c r="AJ450" s="40"/>
      <c r="AK450" s="39">
        <f t="shared" si="35"/>
        <v>65.625</v>
      </c>
      <c r="AL450" s="39">
        <f t="shared" si="33"/>
        <v>0</v>
      </c>
      <c r="AM450" s="39">
        <f t="shared" si="34"/>
        <v>0</v>
      </c>
      <c r="AN450" s="39">
        <f t="shared" si="36"/>
        <v>0</v>
      </c>
      <c r="AO450" s="39">
        <f t="shared" si="37"/>
        <v>0</v>
      </c>
    </row>
    <row r="451" spans="1:41" x14ac:dyDescent="0.3">
      <c r="A451" s="20">
        <v>1000184670</v>
      </c>
      <c r="B451" s="4" t="s">
        <v>147</v>
      </c>
      <c r="C451" s="21"/>
      <c r="D451" s="3"/>
      <c r="E451" s="20">
        <v>1000184757</v>
      </c>
      <c r="F451" s="4" t="s">
        <v>62</v>
      </c>
      <c r="G451" s="21">
        <v>1000189768</v>
      </c>
      <c r="H451" s="3" t="s">
        <v>88</v>
      </c>
      <c r="I451" s="21">
        <v>1000189270</v>
      </c>
      <c r="J451" s="3" t="s">
        <v>34</v>
      </c>
      <c r="K451" s="20" t="s">
        <v>20</v>
      </c>
      <c r="L451" s="39">
        <v>0</v>
      </c>
      <c r="M451" s="39">
        <v>0</v>
      </c>
      <c r="N451" s="39">
        <v>0</v>
      </c>
      <c r="O451" s="39">
        <v>0</v>
      </c>
      <c r="P451" s="39">
        <v>0</v>
      </c>
      <c r="Q451" s="39">
        <v>0</v>
      </c>
      <c r="R451" s="39">
        <v>0</v>
      </c>
      <c r="S451" s="39">
        <v>0</v>
      </c>
      <c r="T451" s="39">
        <v>0</v>
      </c>
      <c r="U451" s="39">
        <v>0</v>
      </c>
      <c r="V451" s="39">
        <v>0</v>
      </c>
      <c r="W451" s="39">
        <v>0</v>
      </c>
      <c r="X451" s="39">
        <v>0</v>
      </c>
      <c r="Y451" s="39">
        <v>0</v>
      </c>
      <c r="Z451" s="39">
        <v>0</v>
      </c>
      <c r="AA451" s="39">
        <v>0</v>
      </c>
      <c r="AB451" s="39">
        <v>0</v>
      </c>
      <c r="AC451" s="39">
        <v>0</v>
      </c>
      <c r="AD451" s="39">
        <v>0</v>
      </c>
      <c r="AE451" s="39">
        <v>0</v>
      </c>
      <c r="AF451" s="39">
        <v>0</v>
      </c>
      <c r="AG451" s="39">
        <v>0</v>
      </c>
      <c r="AH451" s="39"/>
      <c r="AI451" s="39"/>
      <c r="AJ451" s="40"/>
      <c r="AK451" s="39">
        <f t="shared" si="35"/>
        <v>0</v>
      </c>
      <c r="AL451" s="39">
        <f t="shared" ref="AL451:AL514" si="38">AVERAGE(V451:AG451)</f>
        <v>0</v>
      </c>
      <c r="AM451" s="39">
        <f t="shared" ref="AM451:AM514" si="39">AVERAGE(AB451:AG451)</f>
        <v>0</v>
      </c>
      <c r="AN451" s="39">
        <f t="shared" si="36"/>
        <v>0</v>
      </c>
      <c r="AO451" s="39">
        <f t="shared" si="37"/>
        <v>0</v>
      </c>
    </row>
    <row r="452" spans="1:41" x14ac:dyDescent="0.3">
      <c r="A452" s="20">
        <v>1000184670</v>
      </c>
      <c r="B452" s="4" t="s">
        <v>147</v>
      </c>
      <c r="C452" s="21"/>
      <c r="D452" s="3"/>
      <c r="E452" s="20">
        <v>1000184757</v>
      </c>
      <c r="F452" s="4" t="s">
        <v>62</v>
      </c>
      <c r="G452" s="21">
        <v>1000189768</v>
      </c>
      <c r="H452" s="3" t="s">
        <v>88</v>
      </c>
      <c r="I452" s="21">
        <v>1000189270</v>
      </c>
      <c r="J452" s="3" t="s">
        <v>34</v>
      </c>
      <c r="K452" s="20" t="s">
        <v>22</v>
      </c>
      <c r="L452" s="39">
        <v>0</v>
      </c>
      <c r="M452" s="39">
        <v>0</v>
      </c>
      <c r="N452" s="39">
        <v>0</v>
      </c>
      <c r="O452" s="39">
        <v>0</v>
      </c>
      <c r="P452" s="39">
        <v>0</v>
      </c>
      <c r="Q452" s="39">
        <v>0</v>
      </c>
      <c r="R452" s="39">
        <v>0</v>
      </c>
      <c r="S452" s="39">
        <v>0</v>
      </c>
      <c r="T452" s="39">
        <v>0</v>
      </c>
      <c r="U452" s="39">
        <v>0</v>
      </c>
      <c r="V452" s="39">
        <v>0</v>
      </c>
      <c r="W452" s="39">
        <v>0</v>
      </c>
      <c r="X452" s="39">
        <v>0</v>
      </c>
      <c r="Y452" s="39">
        <v>0</v>
      </c>
      <c r="Z452" s="39">
        <v>0</v>
      </c>
      <c r="AA452" s="39">
        <v>0</v>
      </c>
      <c r="AB452" s="39">
        <v>0</v>
      </c>
      <c r="AC452" s="39">
        <v>0</v>
      </c>
      <c r="AD452" s="39">
        <v>0</v>
      </c>
      <c r="AE452" s="39">
        <v>0</v>
      </c>
      <c r="AF452" s="39">
        <v>0</v>
      </c>
      <c r="AG452" s="39">
        <v>0</v>
      </c>
      <c r="AH452" s="39"/>
      <c r="AI452" s="39"/>
      <c r="AJ452" s="40"/>
      <c r="AK452" s="39">
        <f t="shared" si="35"/>
        <v>0</v>
      </c>
      <c r="AL452" s="39">
        <f t="shared" si="38"/>
        <v>0</v>
      </c>
      <c r="AM452" s="39">
        <f t="shared" si="39"/>
        <v>0</v>
      </c>
      <c r="AN452" s="39">
        <f t="shared" si="36"/>
        <v>0</v>
      </c>
      <c r="AO452" s="39">
        <f t="shared" si="37"/>
        <v>0</v>
      </c>
    </row>
    <row r="453" spans="1:41" x14ac:dyDescent="0.3">
      <c r="A453" s="20">
        <v>1000184670</v>
      </c>
      <c r="B453" s="4" t="s">
        <v>147</v>
      </c>
      <c r="C453" s="21"/>
      <c r="D453" s="3"/>
      <c r="E453" s="20">
        <v>1000184757</v>
      </c>
      <c r="F453" s="4" t="s">
        <v>62</v>
      </c>
      <c r="G453" s="21">
        <v>1000189768</v>
      </c>
      <c r="H453" s="3" t="s">
        <v>88</v>
      </c>
      <c r="I453" s="21">
        <v>1000189270</v>
      </c>
      <c r="J453" s="3" t="s">
        <v>34</v>
      </c>
      <c r="K453" s="20" t="s">
        <v>23</v>
      </c>
      <c r="L453" s="39">
        <v>0</v>
      </c>
      <c r="M453" s="39">
        <v>0</v>
      </c>
      <c r="N453" s="39">
        <v>0</v>
      </c>
      <c r="O453" s="39">
        <v>0</v>
      </c>
      <c r="P453" s="39">
        <v>0</v>
      </c>
      <c r="Q453" s="39">
        <v>0</v>
      </c>
      <c r="R453" s="39">
        <v>0</v>
      </c>
      <c r="S453" s="39">
        <v>0</v>
      </c>
      <c r="T453" s="39">
        <v>0</v>
      </c>
      <c r="U453" s="39">
        <v>0</v>
      </c>
      <c r="V453" s="39">
        <v>0</v>
      </c>
      <c r="W453" s="39">
        <v>0</v>
      </c>
      <c r="X453" s="39">
        <v>0</v>
      </c>
      <c r="Y453" s="39">
        <v>0</v>
      </c>
      <c r="Z453" s="39">
        <v>0</v>
      </c>
      <c r="AA453" s="39">
        <v>0</v>
      </c>
      <c r="AB453" s="39">
        <v>0</v>
      </c>
      <c r="AC453" s="39">
        <v>0</v>
      </c>
      <c r="AD453" s="39">
        <v>0</v>
      </c>
      <c r="AE453" s="39">
        <v>0</v>
      </c>
      <c r="AF453" s="39">
        <v>0</v>
      </c>
      <c r="AG453" s="39">
        <v>0</v>
      </c>
      <c r="AH453" s="39"/>
      <c r="AI453" s="39"/>
      <c r="AJ453" s="40"/>
      <c r="AK453" s="39">
        <f t="shared" si="35"/>
        <v>0</v>
      </c>
      <c r="AL453" s="39">
        <f t="shared" si="38"/>
        <v>0</v>
      </c>
      <c r="AM453" s="39">
        <f t="shared" si="39"/>
        <v>0</v>
      </c>
      <c r="AN453" s="39">
        <f t="shared" si="36"/>
        <v>0</v>
      </c>
      <c r="AO453" s="39">
        <f t="shared" si="37"/>
        <v>0</v>
      </c>
    </row>
    <row r="454" spans="1:41" x14ac:dyDescent="0.3">
      <c r="A454" s="20">
        <v>1000184670</v>
      </c>
      <c r="B454" s="4" t="s">
        <v>147</v>
      </c>
      <c r="C454" s="21"/>
      <c r="D454" s="3"/>
      <c r="E454" s="20">
        <v>1000184757</v>
      </c>
      <c r="F454" s="4" t="s">
        <v>62</v>
      </c>
      <c r="G454" s="21">
        <v>1000189768</v>
      </c>
      <c r="H454" s="3" t="s">
        <v>88</v>
      </c>
      <c r="I454" s="21">
        <v>1000189270</v>
      </c>
      <c r="J454" s="3" t="s">
        <v>34</v>
      </c>
      <c r="K454" s="20" t="s">
        <v>28</v>
      </c>
      <c r="L454" s="39">
        <v>0</v>
      </c>
      <c r="M454" s="39">
        <v>0</v>
      </c>
      <c r="N454" s="39">
        <v>0</v>
      </c>
      <c r="O454" s="39">
        <v>0</v>
      </c>
      <c r="P454" s="39">
        <v>0</v>
      </c>
      <c r="Q454" s="39">
        <v>0</v>
      </c>
      <c r="R454" s="39">
        <v>0</v>
      </c>
      <c r="S454" s="39">
        <v>0</v>
      </c>
      <c r="T454" s="39">
        <v>0</v>
      </c>
      <c r="U454" s="39">
        <v>0</v>
      </c>
      <c r="V454" s="39">
        <v>0</v>
      </c>
      <c r="W454" s="39">
        <v>0</v>
      </c>
      <c r="X454" s="39">
        <v>0</v>
      </c>
      <c r="Y454" s="39">
        <v>0</v>
      </c>
      <c r="Z454" s="39">
        <v>0</v>
      </c>
      <c r="AA454" s="39">
        <v>0</v>
      </c>
      <c r="AB454" s="39">
        <v>0</v>
      </c>
      <c r="AC454" s="39">
        <v>0</v>
      </c>
      <c r="AD454" s="39">
        <v>0</v>
      </c>
      <c r="AE454" s="39">
        <v>0</v>
      </c>
      <c r="AF454" s="39">
        <v>0</v>
      </c>
      <c r="AG454" s="39">
        <v>0</v>
      </c>
      <c r="AH454" s="39"/>
      <c r="AI454" s="39"/>
      <c r="AJ454" s="40"/>
      <c r="AK454" s="39">
        <f t="shared" si="35"/>
        <v>0</v>
      </c>
      <c r="AL454" s="39">
        <f t="shared" si="38"/>
        <v>0</v>
      </c>
      <c r="AM454" s="39">
        <f t="shared" si="39"/>
        <v>0</v>
      </c>
      <c r="AN454" s="39">
        <f t="shared" si="36"/>
        <v>0</v>
      </c>
      <c r="AO454" s="39">
        <f t="shared" si="37"/>
        <v>0</v>
      </c>
    </row>
    <row r="455" spans="1:41" x14ac:dyDescent="0.3">
      <c r="A455" s="20">
        <v>1000184670</v>
      </c>
      <c r="B455" s="4" t="s">
        <v>147</v>
      </c>
      <c r="C455" s="21"/>
      <c r="D455" s="3"/>
      <c r="E455" s="20">
        <v>1000184757</v>
      </c>
      <c r="F455" s="4" t="s">
        <v>62</v>
      </c>
      <c r="G455" s="21">
        <v>1000189768</v>
      </c>
      <c r="H455" s="3" t="s">
        <v>88</v>
      </c>
      <c r="I455" s="21">
        <v>1000189270</v>
      </c>
      <c r="J455" s="3" t="s">
        <v>34</v>
      </c>
      <c r="K455" s="20" t="s">
        <v>26</v>
      </c>
      <c r="L455" s="39">
        <v>0</v>
      </c>
      <c r="M455" s="39">
        <v>0</v>
      </c>
      <c r="N455" s="39">
        <v>0</v>
      </c>
      <c r="O455" s="39">
        <v>0</v>
      </c>
      <c r="P455" s="39">
        <v>0</v>
      </c>
      <c r="Q455" s="39">
        <v>0</v>
      </c>
      <c r="R455" s="39">
        <v>0</v>
      </c>
      <c r="S455" s="39">
        <v>0</v>
      </c>
      <c r="T455" s="39">
        <v>760.32</v>
      </c>
      <c r="U455" s="39">
        <v>0</v>
      </c>
      <c r="V455" s="39">
        <v>0</v>
      </c>
      <c r="W455" s="39">
        <v>0</v>
      </c>
      <c r="X455" s="39">
        <v>0</v>
      </c>
      <c r="Y455" s="39">
        <v>0</v>
      </c>
      <c r="Z455" s="39">
        <v>0</v>
      </c>
      <c r="AA455" s="39">
        <v>0</v>
      </c>
      <c r="AB455" s="39">
        <v>0</v>
      </c>
      <c r="AC455" s="39">
        <v>0</v>
      </c>
      <c r="AD455" s="39">
        <v>0</v>
      </c>
      <c r="AE455" s="39">
        <v>0</v>
      </c>
      <c r="AF455" s="39">
        <v>0</v>
      </c>
      <c r="AG455" s="39">
        <v>0</v>
      </c>
      <c r="AH455" s="39"/>
      <c r="AI455" s="39"/>
      <c r="AJ455" s="40"/>
      <c r="AK455" s="39">
        <f t="shared" si="35"/>
        <v>63.360000000000007</v>
      </c>
      <c r="AL455" s="39">
        <f t="shared" si="38"/>
        <v>0</v>
      </c>
      <c r="AM455" s="39">
        <f t="shared" si="39"/>
        <v>0</v>
      </c>
      <c r="AN455" s="39">
        <f t="shared" si="36"/>
        <v>0</v>
      </c>
      <c r="AO455" s="39">
        <f t="shared" si="37"/>
        <v>0</v>
      </c>
    </row>
    <row r="456" spans="1:41" x14ac:dyDescent="0.3">
      <c r="A456" s="20">
        <v>1000184670</v>
      </c>
      <c r="B456" s="4" t="s">
        <v>147</v>
      </c>
      <c r="C456" s="21"/>
      <c r="D456" s="3"/>
      <c r="E456" s="20">
        <v>1000184757</v>
      </c>
      <c r="F456" s="4" t="s">
        <v>62</v>
      </c>
      <c r="G456" s="21">
        <v>1000189768</v>
      </c>
      <c r="H456" s="3" t="s">
        <v>88</v>
      </c>
      <c r="I456" s="21">
        <v>1000189270</v>
      </c>
      <c r="J456" s="3" t="s">
        <v>34</v>
      </c>
      <c r="K456" s="20" t="s">
        <v>27</v>
      </c>
      <c r="L456" s="39">
        <v>0</v>
      </c>
      <c r="M456" s="39">
        <v>0</v>
      </c>
      <c r="N456" s="39">
        <v>0</v>
      </c>
      <c r="O456" s="39">
        <v>0</v>
      </c>
      <c r="P456" s="39">
        <v>0</v>
      </c>
      <c r="Q456" s="39">
        <v>0</v>
      </c>
      <c r="R456" s="39">
        <v>0</v>
      </c>
      <c r="S456" s="39">
        <v>0</v>
      </c>
      <c r="T456" s="39">
        <v>0</v>
      </c>
      <c r="U456" s="39">
        <v>0</v>
      </c>
      <c r="V456" s="39">
        <v>0</v>
      </c>
      <c r="W456" s="39">
        <v>0</v>
      </c>
      <c r="X456" s="39">
        <v>0</v>
      </c>
      <c r="Y456" s="39">
        <v>0</v>
      </c>
      <c r="Z456" s="39">
        <v>0</v>
      </c>
      <c r="AA456" s="39">
        <v>0</v>
      </c>
      <c r="AB456" s="39">
        <v>0</v>
      </c>
      <c r="AC456" s="39">
        <v>0</v>
      </c>
      <c r="AD456" s="39">
        <v>0</v>
      </c>
      <c r="AE456" s="39">
        <v>0</v>
      </c>
      <c r="AF456" s="39">
        <v>0</v>
      </c>
      <c r="AG456" s="39">
        <v>0</v>
      </c>
      <c r="AH456" s="39"/>
      <c r="AI456" s="39"/>
      <c r="AJ456" s="40"/>
      <c r="AK456" s="39">
        <f t="shared" si="35"/>
        <v>0</v>
      </c>
      <c r="AL456" s="39">
        <f t="shared" si="38"/>
        <v>0</v>
      </c>
      <c r="AM456" s="39">
        <f t="shared" si="39"/>
        <v>0</v>
      </c>
      <c r="AN456" s="39">
        <f t="shared" si="36"/>
        <v>0</v>
      </c>
      <c r="AO456" s="39">
        <f t="shared" si="37"/>
        <v>0</v>
      </c>
    </row>
    <row r="457" spans="1:41" x14ac:dyDescent="0.3">
      <c r="A457" s="20">
        <v>1000184670</v>
      </c>
      <c r="B457" s="4" t="s">
        <v>147</v>
      </c>
      <c r="C457" s="21"/>
      <c r="D457" s="3"/>
      <c r="E457" s="20">
        <v>1000184757</v>
      </c>
      <c r="F457" s="4" t="s">
        <v>62</v>
      </c>
      <c r="G457" s="21">
        <v>1000189768</v>
      </c>
      <c r="H457" s="3" t="s">
        <v>88</v>
      </c>
      <c r="I457" s="21">
        <v>1000189270</v>
      </c>
      <c r="J457" s="3" t="s">
        <v>34</v>
      </c>
      <c r="K457" s="20" t="s">
        <v>25</v>
      </c>
      <c r="L457" s="39">
        <v>0</v>
      </c>
      <c r="M457" s="39">
        <v>0</v>
      </c>
      <c r="N457" s="39">
        <v>0</v>
      </c>
      <c r="O457" s="39">
        <v>0</v>
      </c>
      <c r="P457" s="39">
        <v>0</v>
      </c>
      <c r="Q457" s="39">
        <v>0</v>
      </c>
      <c r="R457" s="39">
        <v>0</v>
      </c>
      <c r="S457" s="39">
        <v>0</v>
      </c>
      <c r="T457" s="39">
        <v>0</v>
      </c>
      <c r="U457" s="39">
        <v>0</v>
      </c>
      <c r="V457" s="39">
        <v>0</v>
      </c>
      <c r="W457" s="39">
        <v>0</v>
      </c>
      <c r="X457" s="39">
        <v>0</v>
      </c>
      <c r="Y457" s="39">
        <v>0</v>
      </c>
      <c r="Z457" s="39">
        <v>0</v>
      </c>
      <c r="AA457" s="39">
        <v>0</v>
      </c>
      <c r="AB457" s="39">
        <v>0</v>
      </c>
      <c r="AC457" s="39">
        <v>0</v>
      </c>
      <c r="AD457" s="39">
        <v>0</v>
      </c>
      <c r="AE457" s="39">
        <v>0</v>
      </c>
      <c r="AF457" s="39">
        <v>0</v>
      </c>
      <c r="AG457" s="39">
        <v>0</v>
      </c>
      <c r="AH457" s="39"/>
      <c r="AI457" s="39"/>
      <c r="AJ457" s="40"/>
      <c r="AK457" s="39">
        <f t="shared" si="35"/>
        <v>0</v>
      </c>
      <c r="AL457" s="39">
        <f t="shared" si="38"/>
        <v>0</v>
      </c>
      <c r="AM457" s="39">
        <f t="shared" si="39"/>
        <v>0</v>
      </c>
      <c r="AN457" s="39">
        <f t="shared" si="36"/>
        <v>0</v>
      </c>
      <c r="AO457" s="39">
        <f t="shared" si="37"/>
        <v>0</v>
      </c>
    </row>
    <row r="458" spans="1:41" x14ac:dyDescent="0.3">
      <c r="A458" s="20">
        <v>1000184670</v>
      </c>
      <c r="B458" s="4" t="s">
        <v>147</v>
      </c>
      <c r="C458" s="21"/>
      <c r="D458" s="3"/>
      <c r="E458" s="20">
        <v>1000184757</v>
      </c>
      <c r="F458" s="4" t="s">
        <v>62</v>
      </c>
      <c r="G458" s="21">
        <v>1000189769</v>
      </c>
      <c r="H458" s="3" t="s">
        <v>67</v>
      </c>
      <c r="I458" s="21">
        <v>1000189270</v>
      </c>
      <c r="J458" s="3" t="s">
        <v>34</v>
      </c>
      <c r="K458" s="20" t="s">
        <v>124</v>
      </c>
      <c r="L458" s="39">
        <v>0</v>
      </c>
      <c r="M458" s="39">
        <v>0</v>
      </c>
      <c r="N458" s="39">
        <v>0</v>
      </c>
      <c r="O458" s="39">
        <v>0</v>
      </c>
      <c r="P458" s="39">
        <v>0</v>
      </c>
      <c r="Q458" s="39">
        <v>0</v>
      </c>
      <c r="R458" s="39">
        <v>0</v>
      </c>
      <c r="S458" s="39">
        <v>0</v>
      </c>
      <c r="T458" s="39">
        <v>0</v>
      </c>
      <c r="U458" s="39">
        <v>0</v>
      </c>
      <c r="V458" s="39">
        <v>0</v>
      </c>
      <c r="W458" s="39">
        <v>0</v>
      </c>
      <c r="X458" s="39">
        <v>0</v>
      </c>
      <c r="Y458" s="39">
        <v>0</v>
      </c>
      <c r="Z458" s="39">
        <v>0</v>
      </c>
      <c r="AA458" s="39">
        <v>0</v>
      </c>
      <c r="AB458" s="39">
        <v>0</v>
      </c>
      <c r="AC458" s="39">
        <v>0</v>
      </c>
      <c r="AD458" s="39">
        <v>0</v>
      </c>
      <c r="AE458" s="39">
        <v>0</v>
      </c>
      <c r="AF458" s="39">
        <v>0</v>
      </c>
      <c r="AG458" s="39">
        <v>0</v>
      </c>
      <c r="AH458" s="39"/>
      <c r="AI458" s="39"/>
      <c r="AJ458" s="40"/>
      <c r="AK458" s="39">
        <f t="shared" si="35"/>
        <v>0</v>
      </c>
      <c r="AL458" s="39">
        <f t="shared" si="38"/>
        <v>0</v>
      </c>
      <c r="AM458" s="39">
        <f t="shared" si="39"/>
        <v>0</v>
      </c>
      <c r="AN458" s="39">
        <f t="shared" si="36"/>
        <v>0</v>
      </c>
      <c r="AO458" s="39">
        <f t="shared" si="37"/>
        <v>0</v>
      </c>
    </row>
    <row r="459" spans="1:41" x14ac:dyDescent="0.3">
      <c r="A459" s="20">
        <v>1000184670</v>
      </c>
      <c r="B459" s="4" t="s">
        <v>147</v>
      </c>
      <c r="C459" s="21"/>
      <c r="D459" s="3"/>
      <c r="E459" s="20">
        <v>1000184757</v>
      </c>
      <c r="F459" s="4" t="s">
        <v>62</v>
      </c>
      <c r="G459" s="21">
        <v>1000189769</v>
      </c>
      <c r="H459" s="3" t="s">
        <v>67</v>
      </c>
      <c r="I459" s="21">
        <v>1000189270</v>
      </c>
      <c r="J459" s="3" t="s">
        <v>34</v>
      </c>
      <c r="K459" s="20" t="s">
        <v>13</v>
      </c>
      <c r="L459" s="39">
        <v>0</v>
      </c>
      <c r="M459" s="39">
        <v>0</v>
      </c>
      <c r="N459" s="39">
        <v>0</v>
      </c>
      <c r="O459" s="39">
        <v>0</v>
      </c>
      <c r="P459" s="39">
        <v>0</v>
      </c>
      <c r="Q459" s="39">
        <v>0</v>
      </c>
      <c r="R459" s="39">
        <v>0</v>
      </c>
      <c r="S459" s="39">
        <v>0</v>
      </c>
      <c r="T459" s="39">
        <v>0</v>
      </c>
      <c r="U459" s="39">
        <v>0</v>
      </c>
      <c r="V459" s="39">
        <v>0</v>
      </c>
      <c r="W459" s="39">
        <v>0</v>
      </c>
      <c r="X459" s="39">
        <v>0</v>
      </c>
      <c r="Y459" s="39">
        <v>0</v>
      </c>
      <c r="Z459" s="39">
        <v>0</v>
      </c>
      <c r="AA459" s="39">
        <v>0</v>
      </c>
      <c r="AB459" s="39">
        <v>0</v>
      </c>
      <c r="AC459" s="39">
        <v>174.13</v>
      </c>
      <c r="AD459" s="39">
        <v>0</v>
      </c>
      <c r="AE459" s="39">
        <v>265.29000000000002</v>
      </c>
      <c r="AF459" s="39">
        <v>0</v>
      </c>
      <c r="AG459" s="39">
        <v>0</v>
      </c>
      <c r="AH459" s="39"/>
      <c r="AI459" s="39"/>
      <c r="AJ459" s="40"/>
      <c r="AK459" s="39">
        <f t="shared" si="35"/>
        <v>0</v>
      </c>
      <c r="AL459" s="39">
        <f t="shared" si="38"/>
        <v>36.618333333333332</v>
      </c>
      <c r="AM459" s="39">
        <f t="shared" si="39"/>
        <v>73.236666666666665</v>
      </c>
      <c r="AN459" s="39">
        <f t="shared" si="36"/>
        <v>43.942</v>
      </c>
      <c r="AO459" s="39">
        <f t="shared" si="37"/>
        <v>439.42</v>
      </c>
    </row>
    <row r="460" spans="1:41" x14ac:dyDescent="0.3">
      <c r="A460" s="20">
        <v>1000184670</v>
      </c>
      <c r="B460" s="4" t="s">
        <v>147</v>
      </c>
      <c r="C460" s="21"/>
      <c r="D460" s="3"/>
      <c r="E460" s="20">
        <v>1000184757</v>
      </c>
      <c r="F460" s="4" t="s">
        <v>62</v>
      </c>
      <c r="G460" s="21">
        <v>1000189769</v>
      </c>
      <c r="H460" s="3" t="s">
        <v>67</v>
      </c>
      <c r="I460" s="21">
        <v>1000189270</v>
      </c>
      <c r="J460" s="3" t="s">
        <v>34</v>
      </c>
      <c r="K460" s="20" t="s">
        <v>14</v>
      </c>
      <c r="L460" s="39">
        <v>0</v>
      </c>
      <c r="M460" s="39">
        <v>0</v>
      </c>
      <c r="N460" s="39">
        <v>0</v>
      </c>
      <c r="O460" s="39">
        <v>0</v>
      </c>
      <c r="P460" s="39">
        <v>0</v>
      </c>
      <c r="Q460" s="39">
        <v>0</v>
      </c>
      <c r="R460" s="39">
        <v>0</v>
      </c>
      <c r="S460" s="39">
        <v>0</v>
      </c>
      <c r="T460" s="39">
        <v>0</v>
      </c>
      <c r="U460" s="39">
        <v>0</v>
      </c>
      <c r="V460" s="39">
        <v>0</v>
      </c>
      <c r="W460" s="39">
        <v>0</v>
      </c>
      <c r="X460" s="39">
        <v>0</v>
      </c>
      <c r="Y460" s="39">
        <v>0</v>
      </c>
      <c r="Z460" s="39">
        <v>0</v>
      </c>
      <c r="AA460" s="39">
        <v>0</v>
      </c>
      <c r="AB460" s="39">
        <v>0</v>
      </c>
      <c r="AC460" s="39">
        <v>0</v>
      </c>
      <c r="AD460" s="39">
        <v>0</v>
      </c>
      <c r="AE460" s="39">
        <v>464.94</v>
      </c>
      <c r="AF460" s="39">
        <v>0</v>
      </c>
      <c r="AG460" s="39">
        <v>0</v>
      </c>
      <c r="AH460" s="39"/>
      <c r="AI460" s="39"/>
      <c r="AJ460" s="40"/>
      <c r="AK460" s="39">
        <f t="shared" si="35"/>
        <v>0</v>
      </c>
      <c r="AL460" s="39">
        <f t="shared" si="38"/>
        <v>38.744999999999997</v>
      </c>
      <c r="AM460" s="39">
        <f t="shared" si="39"/>
        <v>77.489999999999995</v>
      </c>
      <c r="AN460" s="39">
        <f t="shared" si="36"/>
        <v>46.494</v>
      </c>
      <c r="AO460" s="39">
        <f t="shared" si="37"/>
        <v>464.94</v>
      </c>
    </row>
    <row r="461" spans="1:41" x14ac:dyDescent="0.3">
      <c r="A461" s="20">
        <v>1000184670</v>
      </c>
      <c r="B461" s="4" t="s">
        <v>147</v>
      </c>
      <c r="C461" s="21"/>
      <c r="D461" s="3"/>
      <c r="E461" s="20">
        <v>1000184757</v>
      </c>
      <c r="F461" s="4" t="s">
        <v>62</v>
      </c>
      <c r="G461" s="21">
        <v>1000189769</v>
      </c>
      <c r="H461" s="3" t="s">
        <v>67</v>
      </c>
      <c r="I461" s="21">
        <v>1000189270</v>
      </c>
      <c r="J461" s="3" t="s">
        <v>34</v>
      </c>
      <c r="K461" s="20" t="s">
        <v>16</v>
      </c>
      <c r="L461" s="39">
        <v>0</v>
      </c>
      <c r="M461" s="39">
        <v>0</v>
      </c>
      <c r="N461" s="39">
        <v>0</v>
      </c>
      <c r="O461" s="39">
        <v>0</v>
      </c>
      <c r="P461" s="39">
        <v>0</v>
      </c>
      <c r="Q461" s="39">
        <v>0</v>
      </c>
      <c r="R461" s="39">
        <v>0</v>
      </c>
      <c r="S461" s="39">
        <v>0</v>
      </c>
      <c r="T461" s="39">
        <v>0</v>
      </c>
      <c r="U461" s="39">
        <v>0</v>
      </c>
      <c r="V461" s="39">
        <v>0</v>
      </c>
      <c r="W461" s="39">
        <v>0</v>
      </c>
      <c r="X461" s="39">
        <v>0</v>
      </c>
      <c r="Y461" s="39">
        <v>0</v>
      </c>
      <c r="Z461" s="39">
        <v>0</v>
      </c>
      <c r="AA461" s="39">
        <v>0</v>
      </c>
      <c r="AB461" s="39">
        <v>0</v>
      </c>
      <c r="AC461" s="39">
        <v>0</v>
      </c>
      <c r="AD461" s="39">
        <v>0</v>
      </c>
      <c r="AE461" s="39">
        <v>54.81</v>
      </c>
      <c r="AF461" s="39">
        <v>0</v>
      </c>
      <c r="AG461" s="39">
        <v>0</v>
      </c>
      <c r="AH461" s="39"/>
      <c r="AI461" s="39"/>
      <c r="AJ461" s="40"/>
      <c r="AK461" s="39">
        <f t="shared" si="35"/>
        <v>0</v>
      </c>
      <c r="AL461" s="39">
        <f t="shared" si="38"/>
        <v>4.5674999999999999</v>
      </c>
      <c r="AM461" s="39">
        <f t="shared" si="39"/>
        <v>9.1349999999999998</v>
      </c>
      <c r="AN461" s="39">
        <f t="shared" si="36"/>
        <v>5.4809999999999999</v>
      </c>
      <c r="AO461" s="39">
        <f t="shared" si="37"/>
        <v>54.81</v>
      </c>
    </row>
    <row r="462" spans="1:41" x14ac:dyDescent="0.3">
      <c r="A462" s="20">
        <v>1000184670</v>
      </c>
      <c r="B462" s="4" t="s">
        <v>147</v>
      </c>
      <c r="C462" s="21"/>
      <c r="D462" s="3"/>
      <c r="E462" s="20">
        <v>1000184757</v>
      </c>
      <c r="F462" s="4" t="s">
        <v>62</v>
      </c>
      <c r="G462" s="21">
        <v>1000189769</v>
      </c>
      <c r="H462" s="3" t="s">
        <v>67</v>
      </c>
      <c r="I462" s="21">
        <v>1000189270</v>
      </c>
      <c r="J462" s="3" t="s">
        <v>34</v>
      </c>
      <c r="K462" s="20" t="s">
        <v>15</v>
      </c>
      <c r="L462" s="39">
        <v>0</v>
      </c>
      <c r="M462" s="39">
        <v>0</v>
      </c>
      <c r="N462" s="39">
        <v>0</v>
      </c>
      <c r="O462" s="39">
        <v>0</v>
      </c>
      <c r="P462" s="39">
        <v>0</v>
      </c>
      <c r="Q462" s="39">
        <v>0</v>
      </c>
      <c r="R462" s="39">
        <v>0</v>
      </c>
      <c r="S462" s="39">
        <v>0</v>
      </c>
      <c r="T462" s="39">
        <v>0</v>
      </c>
      <c r="U462" s="39">
        <v>0</v>
      </c>
      <c r="V462" s="39">
        <v>0</v>
      </c>
      <c r="W462" s="39">
        <v>0</v>
      </c>
      <c r="X462" s="39">
        <v>0</v>
      </c>
      <c r="Y462" s="39">
        <v>0</v>
      </c>
      <c r="Z462" s="39">
        <v>0</v>
      </c>
      <c r="AA462" s="39">
        <v>0</v>
      </c>
      <c r="AB462" s="39">
        <v>0</v>
      </c>
      <c r="AC462" s="39">
        <v>0</v>
      </c>
      <c r="AD462" s="39">
        <v>0</v>
      </c>
      <c r="AE462" s="39">
        <v>758.91</v>
      </c>
      <c r="AF462" s="39">
        <v>0</v>
      </c>
      <c r="AG462" s="39">
        <v>0</v>
      </c>
      <c r="AH462" s="39"/>
      <c r="AI462" s="39"/>
      <c r="AJ462" s="40"/>
      <c r="AK462" s="39">
        <f t="shared" si="35"/>
        <v>0</v>
      </c>
      <c r="AL462" s="39">
        <f t="shared" si="38"/>
        <v>63.2425</v>
      </c>
      <c r="AM462" s="39">
        <f t="shared" si="39"/>
        <v>126.485</v>
      </c>
      <c r="AN462" s="39">
        <f t="shared" si="36"/>
        <v>75.890999999999991</v>
      </c>
      <c r="AO462" s="39">
        <f t="shared" si="37"/>
        <v>758.91</v>
      </c>
    </row>
    <row r="463" spans="1:41" x14ac:dyDescent="0.3">
      <c r="A463" s="20">
        <v>1000184670</v>
      </c>
      <c r="B463" s="4" t="s">
        <v>147</v>
      </c>
      <c r="C463" s="21"/>
      <c r="D463" s="3"/>
      <c r="E463" s="20">
        <v>1000184757</v>
      </c>
      <c r="F463" s="4" t="s">
        <v>62</v>
      </c>
      <c r="G463" s="21">
        <v>1000189769</v>
      </c>
      <c r="H463" s="3" t="s">
        <v>67</v>
      </c>
      <c r="I463" s="21">
        <v>1000189270</v>
      </c>
      <c r="J463" s="3" t="s">
        <v>34</v>
      </c>
      <c r="K463" s="20" t="s">
        <v>33</v>
      </c>
      <c r="L463" s="39">
        <v>0</v>
      </c>
      <c r="M463" s="39">
        <v>0</v>
      </c>
      <c r="N463" s="39">
        <v>0</v>
      </c>
      <c r="O463" s="39">
        <v>0</v>
      </c>
      <c r="P463" s="39">
        <v>0</v>
      </c>
      <c r="Q463" s="39">
        <v>0</v>
      </c>
      <c r="R463" s="39">
        <v>0</v>
      </c>
      <c r="S463" s="39">
        <v>0</v>
      </c>
      <c r="T463" s="39">
        <v>0</v>
      </c>
      <c r="U463" s="39">
        <v>0</v>
      </c>
      <c r="V463" s="39">
        <v>0</v>
      </c>
      <c r="W463" s="39">
        <v>0</v>
      </c>
      <c r="X463" s="39">
        <v>0</v>
      </c>
      <c r="Y463" s="39">
        <v>0</v>
      </c>
      <c r="Z463" s="39">
        <v>0</v>
      </c>
      <c r="AA463" s="39">
        <v>0</v>
      </c>
      <c r="AB463" s="39">
        <v>0</v>
      </c>
      <c r="AC463" s="39">
        <v>0</v>
      </c>
      <c r="AD463" s="39">
        <v>0</v>
      </c>
      <c r="AE463" s="39">
        <v>0</v>
      </c>
      <c r="AF463" s="39">
        <v>0</v>
      </c>
      <c r="AG463" s="39">
        <v>0</v>
      </c>
      <c r="AH463" s="39"/>
      <c r="AI463" s="39"/>
      <c r="AJ463" s="40"/>
      <c r="AK463" s="39">
        <f t="shared" si="35"/>
        <v>0</v>
      </c>
      <c r="AL463" s="39">
        <f t="shared" si="38"/>
        <v>0</v>
      </c>
      <c r="AM463" s="39">
        <f t="shared" si="39"/>
        <v>0</v>
      </c>
      <c r="AN463" s="39">
        <f t="shared" si="36"/>
        <v>0</v>
      </c>
      <c r="AO463" s="39">
        <f t="shared" si="37"/>
        <v>0</v>
      </c>
    </row>
    <row r="464" spans="1:41" x14ac:dyDescent="0.3">
      <c r="A464" s="20">
        <v>1000184670</v>
      </c>
      <c r="B464" s="4" t="s">
        <v>147</v>
      </c>
      <c r="C464" s="21"/>
      <c r="D464" s="3"/>
      <c r="E464" s="20">
        <v>1000184757</v>
      </c>
      <c r="F464" s="4" t="s">
        <v>62</v>
      </c>
      <c r="G464" s="19">
        <v>1000189769</v>
      </c>
      <c r="H464" s="3" t="s">
        <v>67</v>
      </c>
      <c r="I464" s="21">
        <v>1000189270</v>
      </c>
      <c r="J464" s="3" t="s">
        <v>34</v>
      </c>
      <c r="K464" s="20" t="s">
        <v>19</v>
      </c>
      <c r="L464" s="39">
        <v>0</v>
      </c>
      <c r="M464" s="39">
        <v>0</v>
      </c>
      <c r="N464" s="39">
        <v>0</v>
      </c>
      <c r="O464" s="39">
        <v>0</v>
      </c>
      <c r="P464" s="39">
        <v>0</v>
      </c>
      <c r="Q464" s="39">
        <v>0</v>
      </c>
      <c r="R464" s="39">
        <v>0</v>
      </c>
      <c r="S464" s="39">
        <v>0</v>
      </c>
      <c r="T464" s="39">
        <v>0</v>
      </c>
      <c r="U464" s="39">
        <v>0</v>
      </c>
      <c r="V464" s="39">
        <v>0</v>
      </c>
      <c r="W464" s="39">
        <v>0</v>
      </c>
      <c r="X464" s="39">
        <v>0</v>
      </c>
      <c r="Y464" s="39">
        <v>0</v>
      </c>
      <c r="Z464" s="39">
        <v>0</v>
      </c>
      <c r="AA464" s="39">
        <v>0</v>
      </c>
      <c r="AB464" s="39">
        <v>0</v>
      </c>
      <c r="AC464" s="39">
        <v>282.42</v>
      </c>
      <c r="AD464" s="39">
        <v>0</v>
      </c>
      <c r="AE464" s="39">
        <v>365.31</v>
      </c>
      <c r="AF464" s="39">
        <v>0</v>
      </c>
      <c r="AG464" s="39">
        <v>0</v>
      </c>
      <c r="AH464" s="39"/>
      <c r="AI464" s="39"/>
      <c r="AJ464" s="40"/>
      <c r="AK464" s="39">
        <f t="shared" si="35"/>
        <v>0</v>
      </c>
      <c r="AL464" s="39">
        <f t="shared" si="38"/>
        <v>53.977499999999999</v>
      </c>
      <c r="AM464" s="39">
        <f t="shared" si="39"/>
        <v>107.955</v>
      </c>
      <c r="AN464" s="39">
        <f t="shared" si="36"/>
        <v>64.772999999999996</v>
      </c>
      <c r="AO464" s="39">
        <f t="shared" si="37"/>
        <v>647.73</v>
      </c>
    </row>
    <row r="465" spans="1:41" x14ac:dyDescent="0.3">
      <c r="A465" s="20">
        <v>1000184670</v>
      </c>
      <c r="B465" s="4" t="s">
        <v>147</v>
      </c>
      <c r="C465" s="21"/>
      <c r="D465" s="3"/>
      <c r="E465" s="20">
        <v>1000184757</v>
      </c>
      <c r="F465" s="4" t="s">
        <v>62</v>
      </c>
      <c r="G465" s="19">
        <v>1000189769</v>
      </c>
      <c r="H465" s="3" t="s">
        <v>67</v>
      </c>
      <c r="I465" s="21">
        <v>1000189270</v>
      </c>
      <c r="J465" s="3" t="s">
        <v>34</v>
      </c>
      <c r="K465" s="20" t="s">
        <v>17</v>
      </c>
      <c r="L465" s="39">
        <v>0</v>
      </c>
      <c r="M465" s="39">
        <v>0</v>
      </c>
      <c r="N465" s="39">
        <v>0</v>
      </c>
      <c r="O465" s="39">
        <v>0</v>
      </c>
      <c r="P465" s="39">
        <v>0</v>
      </c>
      <c r="Q465" s="39">
        <v>0</v>
      </c>
      <c r="R465" s="39">
        <v>0</v>
      </c>
      <c r="S465" s="39">
        <v>0</v>
      </c>
      <c r="T465" s="39">
        <v>0</v>
      </c>
      <c r="U465" s="39">
        <v>0</v>
      </c>
      <c r="V465" s="39">
        <v>0</v>
      </c>
      <c r="W465" s="39">
        <v>0</v>
      </c>
      <c r="X465" s="39">
        <v>0</v>
      </c>
      <c r="Y465" s="39">
        <v>0</v>
      </c>
      <c r="Z465" s="39">
        <v>0</v>
      </c>
      <c r="AA465" s="39">
        <v>0</v>
      </c>
      <c r="AB465" s="39">
        <v>0</v>
      </c>
      <c r="AC465" s="39">
        <v>91.8</v>
      </c>
      <c r="AD465" s="39">
        <v>0</v>
      </c>
      <c r="AE465" s="39">
        <v>0</v>
      </c>
      <c r="AF465" s="39">
        <v>0</v>
      </c>
      <c r="AG465" s="39">
        <v>0</v>
      </c>
      <c r="AH465" s="39"/>
      <c r="AI465" s="39"/>
      <c r="AJ465" s="40"/>
      <c r="AK465" s="39">
        <f t="shared" si="35"/>
        <v>0</v>
      </c>
      <c r="AL465" s="39">
        <f t="shared" si="38"/>
        <v>7.6499999999999995</v>
      </c>
      <c r="AM465" s="39">
        <f t="shared" si="39"/>
        <v>15.299999999999999</v>
      </c>
      <c r="AN465" s="39">
        <f t="shared" si="36"/>
        <v>9.18</v>
      </c>
      <c r="AO465" s="39">
        <f t="shared" si="37"/>
        <v>91.8</v>
      </c>
    </row>
    <row r="466" spans="1:41" x14ac:dyDescent="0.3">
      <c r="A466" s="20">
        <v>1000184670</v>
      </c>
      <c r="B466" s="4" t="s">
        <v>147</v>
      </c>
      <c r="C466" s="21"/>
      <c r="D466" s="3"/>
      <c r="E466" s="20">
        <v>1000184757</v>
      </c>
      <c r="F466" s="4" t="s">
        <v>62</v>
      </c>
      <c r="G466" s="19">
        <v>1000189769</v>
      </c>
      <c r="H466" s="3" t="s">
        <v>67</v>
      </c>
      <c r="I466" s="21">
        <v>1000189270</v>
      </c>
      <c r="J466" s="3" t="s">
        <v>34</v>
      </c>
      <c r="K466" s="20" t="s">
        <v>24</v>
      </c>
      <c r="L466" s="39">
        <v>0</v>
      </c>
      <c r="M466" s="39">
        <v>0</v>
      </c>
      <c r="N466" s="39">
        <v>0</v>
      </c>
      <c r="O466" s="39">
        <v>0</v>
      </c>
      <c r="P466" s="39">
        <v>0</v>
      </c>
      <c r="Q466" s="39">
        <v>0</v>
      </c>
      <c r="R466" s="39">
        <v>0</v>
      </c>
      <c r="S466" s="39">
        <v>0</v>
      </c>
      <c r="T466" s="39">
        <v>0</v>
      </c>
      <c r="U466" s="39">
        <v>0</v>
      </c>
      <c r="V466" s="39">
        <v>0</v>
      </c>
      <c r="W466" s="39">
        <v>0</v>
      </c>
      <c r="X466" s="39">
        <v>0</v>
      </c>
      <c r="Y466" s="39">
        <v>0</v>
      </c>
      <c r="Z466" s="39">
        <v>0</v>
      </c>
      <c r="AA466" s="39">
        <v>0</v>
      </c>
      <c r="AB466" s="39">
        <v>0</v>
      </c>
      <c r="AC466" s="39">
        <v>0</v>
      </c>
      <c r="AD466" s="39">
        <v>0</v>
      </c>
      <c r="AE466" s="39">
        <v>0</v>
      </c>
      <c r="AF466" s="39">
        <v>0</v>
      </c>
      <c r="AG466" s="39">
        <v>0</v>
      </c>
      <c r="AH466" s="39"/>
      <c r="AI466" s="39"/>
      <c r="AJ466" s="40"/>
      <c r="AK466" s="39">
        <f t="shared" si="35"/>
        <v>0</v>
      </c>
      <c r="AL466" s="39">
        <f t="shared" si="38"/>
        <v>0</v>
      </c>
      <c r="AM466" s="39">
        <f t="shared" si="39"/>
        <v>0</v>
      </c>
      <c r="AN466" s="39">
        <f t="shared" si="36"/>
        <v>0</v>
      </c>
      <c r="AO466" s="39">
        <f t="shared" si="37"/>
        <v>0</v>
      </c>
    </row>
    <row r="467" spans="1:41" x14ac:dyDescent="0.3">
      <c r="A467" s="20">
        <v>1000184670</v>
      </c>
      <c r="B467" s="4" t="s">
        <v>147</v>
      </c>
      <c r="C467" s="21"/>
      <c r="D467" s="3"/>
      <c r="E467" s="20">
        <v>1000184757</v>
      </c>
      <c r="F467" s="4" t="s">
        <v>62</v>
      </c>
      <c r="G467" s="21">
        <v>1000189769</v>
      </c>
      <c r="H467" s="3" t="s">
        <v>67</v>
      </c>
      <c r="I467" s="21">
        <v>1000189270</v>
      </c>
      <c r="J467" s="3" t="s">
        <v>34</v>
      </c>
      <c r="K467" s="20" t="s">
        <v>18</v>
      </c>
      <c r="L467" s="39">
        <v>0</v>
      </c>
      <c r="M467" s="39">
        <v>0</v>
      </c>
      <c r="N467" s="39">
        <v>0</v>
      </c>
      <c r="O467" s="39">
        <v>0</v>
      </c>
      <c r="P467" s="39">
        <v>0</v>
      </c>
      <c r="Q467" s="39">
        <v>0</v>
      </c>
      <c r="R467" s="39">
        <v>0</v>
      </c>
      <c r="S467" s="39">
        <v>0</v>
      </c>
      <c r="T467" s="39">
        <v>0</v>
      </c>
      <c r="U467" s="39">
        <v>0</v>
      </c>
      <c r="V467" s="39">
        <v>0</v>
      </c>
      <c r="W467" s="39">
        <v>0</v>
      </c>
      <c r="X467" s="39">
        <v>0</v>
      </c>
      <c r="Y467" s="39">
        <v>0</v>
      </c>
      <c r="Z467" s="39">
        <v>0</v>
      </c>
      <c r="AA467" s="39">
        <v>0</v>
      </c>
      <c r="AB467" s="39">
        <v>0</v>
      </c>
      <c r="AC467" s="39">
        <v>118.71</v>
      </c>
      <c r="AD467" s="39">
        <v>0</v>
      </c>
      <c r="AE467" s="39">
        <v>0</v>
      </c>
      <c r="AF467" s="39">
        <v>0</v>
      </c>
      <c r="AG467" s="39">
        <v>0</v>
      </c>
      <c r="AH467" s="39"/>
      <c r="AI467" s="39"/>
      <c r="AJ467" s="40"/>
      <c r="AK467" s="39">
        <f t="shared" si="35"/>
        <v>0</v>
      </c>
      <c r="AL467" s="39">
        <f t="shared" si="38"/>
        <v>9.8925000000000001</v>
      </c>
      <c r="AM467" s="39">
        <f t="shared" si="39"/>
        <v>19.785</v>
      </c>
      <c r="AN467" s="39">
        <f t="shared" si="36"/>
        <v>11.870999999999999</v>
      </c>
      <c r="AO467" s="39">
        <f t="shared" si="37"/>
        <v>118.71</v>
      </c>
    </row>
    <row r="468" spans="1:41" x14ac:dyDescent="0.3">
      <c r="A468" s="20">
        <v>1000184670</v>
      </c>
      <c r="B468" s="4" t="s">
        <v>147</v>
      </c>
      <c r="C468" s="21"/>
      <c r="D468" s="3"/>
      <c r="E468" s="20">
        <v>1000184757</v>
      </c>
      <c r="F468" s="4" t="s">
        <v>62</v>
      </c>
      <c r="G468" s="21">
        <v>1000189769</v>
      </c>
      <c r="H468" s="3" t="s">
        <v>67</v>
      </c>
      <c r="I468" s="21">
        <v>1000189270</v>
      </c>
      <c r="J468" s="3" t="s">
        <v>34</v>
      </c>
      <c r="K468" s="20" t="s">
        <v>29</v>
      </c>
      <c r="L468" s="39">
        <v>0</v>
      </c>
      <c r="M468" s="39">
        <v>0</v>
      </c>
      <c r="N468" s="39">
        <v>0</v>
      </c>
      <c r="O468" s="39">
        <v>0</v>
      </c>
      <c r="P468" s="39">
        <v>0</v>
      </c>
      <c r="Q468" s="39">
        <v>0</v>
      </c>
      <c r="R468" s="39">
        <v>0</v>
      </c>
      <c r="S468" s="39">
        <v>0</v>
      </c>
      <c r="T468" s="39">
        <v>0</v>
      </c>
      <c r="U468" s="39">
        <v>0</v>
      </c>
      <c r="V468" s="39">
        <v>0</v>
      </c>
      <c r="W468" s="39">
        <v>0</v>
      </c>
      <c r="X468" s="39">
        <v>0</v>
      </c>
      <c r="Y468" s="39">
        <v>0</v>
      </c>
      <c r="Z468" s="39">
        <v>0</v>
      </c>
      <c r="AA468" s="39">
        <v>0</v>
      </c>
      <c r="AB468" s="39">
        <v>0</v>
      </c>
      <c r="AC468" s="39">
        <v>0</v>
      </c>
      <c r="AD468" s="39">
        <v>1425</v>
      </c>
      <c r="AE468" s="39">
        <v>686.36</v>
      </c>
      <c r="AF468" s="39">
        <v>1380</v>
      </c>
      <c r="AG468" s="39">
        <v>0</v>
      </c>
      <c r="AH468" s="39"/>
      <c r="AI468" s="39"/>
      <c r="AJ468" s="40"/>
      <c r="AK468" s="39">
        <f t="shared" si="35"/>
        <v>0</v>
      </c>
      <c r="AL468" s="39">
        <f t="shared" si="38"/>
        <v>290.94666666666666</v>
      </c>
      <c r="AM468" s="39">
        <f t="shared" si="39"/>
        <v>581.89333333333332</v>
      </c>
      <c r="AN468" s="39">
        <f t="shared" si="36"/>
        <v>349.13600000000002</v>
      </c>
      <c r="AO468" s="39">
        <f t="shared" si="37"/>
        <v>3491.36</v>
      </c>
    </row>
    <row r="469" spans="1:41" x14ac:dyDescent="0.3">
      <c r="A469" s="20">
        <v>1000184670</v>
      </c>
      <c r="B469" s="4" t="s">
        <v>147</v>
      </c>
      <c r="C469" s="21"/>
      <c r="D469" s="3"/>
      <c r="E469" s="20">
        <v>1000184757</v>
      </c>
      <c r="F469" s="4" t="s">
        <v>62</v>
      </c>
      <c r="G469" s="21">
        <v>1000189769</v>
      </c>
      <c r="H469" s="3" t="s">
        <v>67</v>
      </c>
      <c r="I469" s="21">
        <v>1000189270</v>
      </c>
      <c r="J469" s="3" t="s">
        <v>34</v>
      </c>
      <c r="K469" s="20" t="s">
        <v>21</v>
      </c>
      <c r="L469" s="39">
        <v>0</v>
      </c>
      <c r="M469" s="39">
        <v>0</v>
      </c>
      <c r="N469" s="39">
        <v>0</v>
      </c>
      <c r="O469" s="39">
        <v>0</v>
      </c>
      <c r="P469" s="39">
        <v>0</v>
      </c>
      <c r="Q469" s="39">
        <v>0</v>
      </c>
      <c r="R469" s="39">
        <v>0</v>
      </c>
      <c r="S469" s="39">
        <v>0</v>
      </c>
      <c r="T469" s="39">
        <v>0</v>
      </c>
      <c r="U469" s="39">
        <v>0</v>
      </c>
      <c r="V469" s="39">
        <v>0</v>
      </c>
      <c r="W469" s="39">
        <v>0</v>
      </c>
      <c r="X469" s="39">
        <v>0</v>
      </c>
      <c r="Y469" s="39">
        <v>0</v>
      </c>
      <c r="Z469" s="39">
        <v>0</v>
      </c>
      <c r="AA469" s="39">
        <v>0</v>
      </c>
      <c r="AB469" s="39">
        <v>0</v>
      </c>
      <c r="AC469" s="39">
        <v>0</v>
      </c>
      <c r="AD469" s="39">
        <v>0</v>
      </c>
      <c r="AE469" s="39">
        <v>0</v>
      </c>
      <c r="AF469" s="39">
        <v>0</v>
      </c>
      <c r="AG469" s="39">
        <v>0</v>
      </c>
      <c r="AH469" s="39"/>
      <c r="AI469" s="39"/>
      <c r="AJ469" s="40"/>
      <c r="AK469" s="39">
        <f t="shared" si="35"/>
        <v>0</v>
      </c>
      <c r="AL469" s="39">
        <f t="shared" si="38"/>
        <v>0</v>
      </c>
      <c r="AM469" s="39">
        <f t="shared" si="39"/>
        <v>0</v>
      </c>
      <c r="AN469" s="39">
        <f t="shared" si="36"/>
        <v>0</v>
      </c>
      <c r="AO469" s="39">
        <f t="shared" si="37"/>
        <v>0</v>
      </c>
    </row>
    <row r="470" spans="1:41" x14ac:dyDescent="0.3">
      <c r="A470" s="20">
        <v>1000184670</v>
      </c>
      <c r="B470" s="4" t="s">
        <v>147</v>
      </c>
      <c r="C470" s="21"/>
      <c r="D470" s="3"/>
      <c r="E470" s="20">
        <v>1000184757</v>
      </c>
      <c r="F470" s="4" t="s">
        <v>62</v>
      </c>
      <c r="G470" s="21">
        <v>1000189769</v>
      </c>
      <c r="H470" s="3" t="s">
        <v>67</v>
      </c>
      <c r="I470" s="21">
        <v>1000189270</v>
      </c>
      <c r="J470" s="3" t="s">
        <v>34</v>
      </c>
      <c r="K470" s="20" t="s">
        <v>20</v>
      </c>
      <c r="L470" s="39">
        <v>0</v>
      </c>
      <c r="M470" s="39">
        <v>0</v>
      </c>
      <c r="N470" s="39">
        <v>0</v>
      </c>
      <c r="O470" s="39">
        <v>0</v>
      </c>
      <c r="P470" s="39">
        <v>0</v>
      </c>
      <c r="Q470" s="39">
        <v>0</v>
      </c>
      <c r="R470" s="39">
        <v>0</v>
      </c>
      <c r="S470" s="39">
        <v>0</v>
      </c>
      <c r="T470" s="39">
        <v>0</v>
      </c>
      <c r="U470" s="39">
        <v>0</v>
      </c>
      <c r="V470" s="39">
        <v>0</v>
      </c>
      <c r="W470" s="39">
        <v>0</v>
      </c>
      <c r="X470" s="39">
        <v>0</v>
      </c>
      <c r="Y470" s="39">
        <v>0</v>
      </c>
      <c r="Z470" s="39">
        <v>0</v>
      </c>
      <c r="AA470" s="39">
        <v>0</v>
      </c>
      <c r="AB470" s="39">
        <v>0</v>
      </c>
      <c r="AC470" s="39">
        <v>0</v>
      </c>
      <c r="AD470" s="39">
        <v>0</v>
      </c>
      <c r="AE470" s="39">
        <v>130.88</v>
      </c>
      <c r="AF470" s="39">
        <v>0</v>
      </c>
      <c r="AG470" s="39">
        <v>0</v>
      </c>
      <c r="AH470" s="39"/>
      <c r="AI470" s="39"/>
      <c r="AJ470" s="40"/>
      <c r="AK470" s="39">
        <f t="shared" si="35"/>
        <v>0</v>
      </c>
      <c r="AL470" s="39">
        <f t="shared" si="38"/>
        <v>10.906666666666666</v>
      </c>
      <c r="AM470" s="39">
        <f t="shared" si="39"/>
        <v>21.813333333333333</v>
      </c>
      <c r="AN470" s="39">
        <f t="shared" si="36"/>
        <v>13.087999999999999</v>
      </c>
      <c r="AO470" s="39">
        <f t="shared" si="37"/>
        <v>130.88</v>
      </c>
    </row>
    <row r="471" spans="1:41" x14ac:dyDescent="0.3">
      <c r="A471" s="20">
        <v>1000184670</v>
      </c>
      <c r="B471" s="4" t="s">
        <v>147</v>
      </c>
      <c r="C471" s="21"/>
      <c r="D471" s="3"/>
      <c r="E471" s="20">
        <v>1000184757</v>
      </c>
      <c r="F471" s="4" t="s">
        <v>62</v>
      </c>
      <c r="G471" s="21">
        <v>1000189769</v>
      </c>
      <c r="H471" s="3" t="s">
        <v>67</v>
      </c>
      <c r="I471" s="21">
        <v>1000189270</v>
      </c>
      <c r="J471" s="3" t="s">
        <v>34</v>
      </c>
      <c r="K471" s="20" t="s">
        <v>22</v>
      </c>
      <c r="L471" s="39">
        <v>0</v>
      </c>
      <c r="M471" s="39">
        <v>0</v>
      </c>
      <c r="N471" s="39">
        <v>0</v>
      </c>
      <c r="O471" s="39">
        <v>0</v>
      </c>
      <c r="P471" s="39">
        <v>0</v>
      </c>
      <c r="Q471" s="39">
        <v>0</v>
      </c>
      <c r="R471" s="39">
        <v>0</v>
      </c>
      <c r="S471" s="39">
        <v>0</v>
      </c>
      <c r="T471" s="39">
        <v>0</v>
      </c>
      <c r="U471" s="39">
        <v>0</v>
      </c>
      <c r="V471" s="39">
        <v>0</v>
      </c>
      <c r="W471" s="39">
        <v>0</v>
      </c>
      <c r="X471" s="39">
        <v>0</v>
      </c>
      <c r="Y471" s="39">
        <v>0</v>
      </c>
      <c r="Z471" s="39">
        <v>0</v>
      </c>
      <c r="AA471" s="39">
        <v>0</v>
      </c>
      <c r="AB471" s="39">
        <v>0</v>
      </c>
      <c r="AC471" s="39">
        <v>0</v>
      </c>
      <c r="AD471" s="39">
        <v>0</v>
      </c>
      <c r="AE471" s="39">
        <v>146.62</v>
      </c>
      <c r="AF471" s="39">
        <v>0</v>
      </c>
      <c r="AG471" s="39">
        <v>0</v>
      </c>
      <c r="AH471" s="39"/>
      <c r="AI471" s="39"/>
      <c r="AJ471" s="40"/>
      <c r="AK471" s="39">
        <f t="shared" si="35"/>
        <v>0</v>
      </c>
      <c r="AL471" s="39">
        <f t="shared" si="38"/>
        <v>12.218333333333334</v>
      </c>
      <c r="AM471" s="39">
        <f t="shared" si="39"/>
        <v>24.436666666666667</v>
      </c>
      <c r="AN471" s="39">
        <f t="shared" si="36"/>
        <v>14.662000000000001</v>
      </c>
      <c r="AO471" s="39">
        <f t="shared" si="37"/>
        <v>146.62</v>
      </c>
    </row>
    <row r="472" spans="1:41" x14ac:dyDescent="0.3">
      <c r="A472" s="20">
        <v>1000184670</v>
      </c>
      <c r="B472" s="4" t="s">
        <v>147</v>
      </c>
      <c r="C472" s="21"/>
      <c r="D472" s="3"/>
      <c r="E472" s="20">
        <v>1000184757</v>
      </c>
      <c r="F472" s="4" t="s">
        <v>62</v>
      </c>
      <c r="G472" s="21">
        <v>1000189769</v>
      </c>
      <c r="H472" s="3" t="s">
        <v>67</v>
      </c>
      <c r="I472" s="21">
        <v>1000189270</v>
      </c>
      <c r="J472" s="3" t="s">
        <v>34</v>
      </c>
      <c r="K472" s="20" t="s">
        <v>23</v>
      </c>
      <c r="L472" s="39">
        <v>0</v>
      </c>
      <c r="M472" s="39">
        <v>0</v>
      </c>
      <c r="N472" s="39">
        <v>0</v>
      </c>
      <c r="O472" s="39">
        <v>0</v>
      </c>
      <c r="P472" s="39">
        <v>0</v>
      </c>
      <c r="Q472" s="39">
        <v>0</v>
      </c>
      <c r="R472" s="39">
        <v>0</v>
      </c>
      <c r="S472" s="39">
        <v>0</v>
      </c>
      <c r="T472" s="39">
        <v>0</v>
      </c>
      <c r="U472" s="39">
        <v>0</v>
      </c>
      <c r="V472" s="39">
        <v>0</v>
      </c>
      <c r="W472" s="39">
        <v>0</v>
      </c>
      <c r="X472" s="39">
        <v>0</v>
      </c>
      <c r="Y472" s="39">
        <v>0</v>
      </c>
      <c r="Z472" s="39">
        <v>0</v>
      </c>
      <c r="AA472" s="39">
        <v>0</v>
      </c>
      <c r="AB472" s="39">
        <v>0</v>
      </c>
      <c r="AC472" s="39">
        <v>0</v>
      </c>
      <c r="AD472" s="39">
        <v>0</v>
      </c>
      <c r="AE472" s="39">
        <v>0</v>
      </c>
      <c r="AF472" s="39">
        <v>0</v>
      </c>
      <c r="AG472" s="39">
        <v>0</v>
      </c>
      <c r="AH472" s="39"/>
      <c r="AI472" s="39"/>
      <c r="AJ472" s="40"/>
      <c r="AK472" s="39">
        <f t="shared" si="35"/>
        <v>0</v>
      </c>
      <c r="AL472" s="39">
        <f t="shared" si="38"/>
        <v>0</v>
      </c>
      <c r="AM472" s="39">
        <f t="shared" si="39"/>
        <v>0</v>
      </c>
      <c r="AN472" s="39">
        <f t="shared" si="36"/>
        <v>0</v>
      </c>
      <c r="AO472" s="39">
        <f t="shared" si="37"/>
        <v>0</v>
      </c>
    </row>
    <row r="473" spans="1:41" x14ac:dyDescent="0.3">
      <c r="A473" s="20">
        <v>1000184670</v>
      </c>
      <c r="B473" s="4" t="s">
        <v>147</v>
      </c>
      <c r="C473" s="21"/>
      <c r="D473" s="3"/>
      <c r="E473" s="20">
        <v>1000184757</v>
      </c>
      <c r="F473" s="4" t="s">
        <v>62</v>
      </c>
      <c r="G473" s="21">
        <v>1000189769</v>
      </c>
      <c r="H473" s="3" t="s">
        <v>67</v>
      </c>
      <c r="I473" s="21">
        <v>1000189270</v>
      </c>
      <c r="J473" s="3" t="s">
        <v>34</v>
      </c>
      <c r="K473" s="20" t="s">
        <v>28</v>
      </c>
      <c r="L473" s="39">
        <v>0</v>
      </c>
      <c r="M473" s="39">
        <v>0</v>
      </c>
      <c r="N473" s="39">
        <v>0</v>
      </c>
      <c r="O473" s="39">
        <v>0</v>
      </c>
      <c r="P473" s="39">
        <v>0</v>
      </c>
      <c r="Q473" s="39">
        <v>0</v>
      </c>
      <c r="R473" s="39">
        <v>0</v>
      </c>
      <c r="S473" s="39">
        <v>0</v>
      </c>
      <c r="T473" s="39">
        <v>0</v>
      </c>
      <c r="U473" s="39">
        <v>0</v>
      </c>
      <c r="V473" s="39">
        <v>0</v>
      </c>
      <c r="W473" s="39">
        <v>0</v>
      </c>
      <c r="X473" s="39">
        <v>0</v>
      </c>
      <c r="Y473" s="39">
        <v>0</v>
      </c>
      <c r="Z473" s="39">
        <v>0</v>
      </c>
      <c r="AA473" s="39">
        <v>0</v>
      </c>
      <c r="AB473" s="39">
        <v>0</v>
      </c>
      <c r="AC473" s="39">
        <v>0</v>
      </c>
      <c r="AD473" s="39">
        <v>0</v>
      </c>
      <c r="AE473" s="39">
        <v>133.82</v>
      </c>
      <c r="AF473" s="39">
        <v>0</v>
      </c>
      <c r="AG473" s="39">
        <v>0</v>
      </c>
      <c r="AH473" s="39"/>
      <c r="AI473" s="39"/>
      <c r="AJ473" s="40"/>
      <c r="AK473" s="39">
        <f t="shared" si="35"/>
        <v>0</v>
      </c>
      <c r="AL473" s="39">
        <f t="shared" si="38"/>
        <v>11.151666666666666</v>
      </c>
      <c r="AM473" s="39">
        <f t="shared" si="39"/>
        <v>22.303333333333331</v>
      </c>
      <c r="AN473" s="39">
        <f t="shared" si="36"/>
        <v>13.382</v>
      </c>
      <c r="AO473" s="39">
        <f t="shared" si="37"/>
        <v>133.82</v>
      </c>
    </row>
    <row r="474" spans="1:41" x14ac:dyDescent="0.3">
      <c r="A474" s="20">
        <v>1000184670</v>
      </c>
      <c r="B474" s="4" t="s">
        <v>147</v>
      </c>
      <c r="C474" s="21"/>
      <c r="D474" s="3"/>
      <c r="E474" s="20">
        <v>1000184757</v>
      </c>
      <c r="F474" s="4" t="s">
        <v>62</v>
      </c>
      <c r="G474" s="21">
        <v>1000189769</v>
      </c>
      <c r="H474" s="3" t="s">
        <v>67</v>
      </c>
      <c r="I474" s="21">
        <v>1000189270</v>
      </c>
      <c r="J474" s="3" t="s">
        <v>34</v>
      </c>
      <c r="K474" s="20" t="s">
        <v>26</v>
      </c>
      <c r="L474" s="39">
        <v>0</v>
      </c>
      <c r="M474" s="39">
        <v>0</v>
      </c>
      <c r="N474" s="39">
        <v>0</v>
      </c>
      <c r="O474" s="39">
        <v>0</v>
      </c>
      <c r="P474" s="39">
        <v>0</v>
      </c>
      <c r="Q474" s="39">
        <v>0</v>
      </c>
      <c r="R474" s="39">
        <v>0</v>
      </c>
      <c r="S474" s="39">
        <v>0</v>
      </c>
      <c r="T474" s="39">
        <v>0</v>
      </c>
      <c r="U474" s="39">
        <v>0</v>
      </c>
      <c r="V474" s="39">
        <v>0</v>
      </c>
      <c r="W474" s="39">
        <v>0</v>
      </c>
      <c r="X474" s="39">
        <v>0</v>
      </c>
      <c r="Y474" s="39">
        <v>0</v>
      </c>
      <c r="Z474" s="39">
        <v>0</v>
      </c>
      <c r="AA474" s="39">
        <v>0</v>
      </c>
      <c r="AB474" s="39">
        <v>0</v>
      </c>
      <c r="AC474" s="39">
        <v>0</v>
      </c>
      <c r="AD474" s="39">
        <v>0</v>
      </c>
      <c r="AE474" s="39">
        <v>688.8</v>
      </c>
      <c r="AF474" s="39">
        <v>0</v>
      </c>
      <c r="AG474" s="39">
        <v>0</v>
      </c>
      <c r="AH474" s="39"/>
      <c r="AI474" s="39"/>
      <c r="AJ474" s="40"/>
      <c r="AK474" s="39">
        <f t="shared" si="35"/>
        <v>0</v>
      </c>
      <c r="AL474" s="39">
        <f t="shared" si="38"/>
        <v>57.4</v>
      </c>
      <c r="AM474" s="39">
        <f t="shared" si="39"/>
        <v>114.8</v>
      </c>
      <c r="AN474" s="39">
        <f t="shared" si="36"/>
        <v>68.88</v>
      </c>
      <c r="AO474" s="39">
        <f t="shared" si="37"/>
        <v>688.8</v>
      </c>
    </row>
    <row r="475" spans="1:41" x14ac:dyDescent="0.3">
      <c r="A475" s="20">
        <v>1000184670</v>
      </c>
      <c r="B475" s="4" t="s">
        <v>147</v>
      </c>
      <c r="C475" s="21"/>
      <c r="D475" s="3"/>
      <c r="E475" s="20">
        <v>1000184757</v>
      </c>
      <c r="F475" s="4" t="s">
        <v>62</v>
      </c>
      <c r="G475" s="21">
        <v>1000189769</v>
      </c>
      <c r="H475" s="3" t="s">
        <v>67</v>
      </c>
      <c r="I475" s="21">
        <v>1000189270</v>
      </c>
      <c r="J475" s="3" t="s">
        <v>34</v>
      </c>
      <c r="K475" s="20" t="s">
        <v>27</v>
      </c>
      <c r="L475" s="39">
        <v>0</v>
      </c>
      <c r="M475" s="39">
        <v>0</v>
      </c>
      <c r="N475" s="39">
        <v>0</v>
      </c>
      <c r="O475" s="39">
        <v>0</v>
      </c>
      <c r="P475" s="39">
        <v>0</v>
      </c>
      <c r="Q475" s="39">
        <v>0</v>
      </c>
      <c r="R475" s="39">
        <v>0</v>
      </c>
      <c r="S475" s="39">
        <v>0</v>
      </c>
      <c r="T475" s="39">
        <v>0</v>
      </c>
      <c r="U475" s="39">
        <v>0</v>
      </c>
      <c r="V475" s="39">
        <v>0</v>
      </c>
      <c r="W475" s="39">
        <v>0</v>
      </c>
      <c r="X475" s="39">
        <v>0</v>
      </c>
      <c r="Y475" s="39">
        <v>0</v>
      </c>
      <c r="Z475" s="39">
        <v>0</v>
      </c>
      <c r="AA475" s="39">
        <v>0</v>
      </c>
      <c r="AB475" s="39">
        <v>0</v>
      </c>
      <c r="AC475" s="39">
        <v>0</v>
      </c>
      <c r="AD475" s="39">
        <v>0</v>
      </c>
      <c r="AE475" s="39">
        <v>159.9</v>
      </c>
      <c r="AF475" s="39">
        <v>0</v>
      </c>
      <c r="AG475" s="39">
        <v>0</v>
      </c>
      <c r="AH475" s="39"/>
      <c r="AI475" s="39"/>
      <c r="AJ475" s="40"/>
      <c r="AK475" s="39">
        <f t="shared" si="35"/>
        <v>0</v>
      </c>
      <c r="AL475" s="39">
        <f t="shared" si="38"/>
        <v>13.325000000000001</v>
      </c>
      <c r="AM475" s="39">
        <f t="shared" si="39"/>
        <v>26.650000000000002</v>
      </c>
      <c r="AN475" s="39">
        <f t="shared" si="36"/>
        <v>15.99</v>
      </c>
      <c r="AO475" s="39">
        <f t="shared" si="37"/>
        <v>159.9</v>
      </c>
    </row>
    <row r="476" spans="1:41" x14ac:dyDescent="0.3">
      <c r="A476" s="20">
        <v>1000184670</v>
      </c>
      <c r="B476" s="4" t="s">
        <v>147</v>
      </c>
      <c r="C476" s="21"/>
      <c r="D476" s="3"/>
      <c r="E476" s="20">
        <v>1000184757</v>
      </c>
      <c r="F476" s="4" t="s">
        <v>62</v>
      </c>
      <c r="G476" s="21">
        <v>1000189769</v>
      </c>
      <c r="H476" s="3" t="s">
        <v>67</v>
      </c>
      <c r="I476" s="21">
        <v>1000189270</v>
      </c>
      <c r="J476" s="3" t="s">
        <v>34</v>
      </c>
      <c r="K476" s="20" t="s">
        <v>25</v>
      </c>
      <c r="L476" s="39">
        <v>0</v>
      </c>
      <c r="M476" s="39">
        <v>0</v>
      </c>
      <c r="N476" s="39">
        <v>0</v>
      </c>
      <c r="O476" s="39">
        <v>0</v>
      </c>
      <c r="P476" s="39">
        <v>0</v>
      </c>
      <c r="Q476" s="39">
        <v>0</v>
      </c>
      <c r="R476" s="39">
        <v>0</v>
      </c>
      <c r="S476" s="39">
        <v>0</v>
      </c>
      <c r="T476" s="39">
        <v>0</v>
      </c>
      <c r="U476" s="39">
        <v>0</v>
      </c>
      <c r="V476" s="39">
        <v>0</v>
      </c>
      <c r="W476" s="39">
        <v>0</v>
      </c>
      <c r="X476" s="39">
        <v>0</v>
      </c>
      <c r="Y476" s="39">
        <v>0</v>
      </c>
      <c r="Z476" s="39">
        <v>0</v>
      </c>
      <c r="AA476" s="39">
        <v>0</v>
      </c>
      <c r="AB476" s="39">
        <v>0</v>
      </c>
      <c r="AC476" s="39">
        <v>0</v>
      </c>
      <c r="AD476" s="39">
        <v>0</v>
      </c>
      <c r="AE476" s="39">
        <v>81.180000000000007</v>
      </c>
      <c r="AF476" s="39">
        <v>0</v>
      </c>
      <c r="AG476" s="39">
        <v>0</v>
      </c>
      <c r="AH476" s="39"/>
      <c r="AI476" s="39"/>
      <c r="AJ476" s="40"/>
      <c r="AK476" s="39">
        <f t="shared" si="35"/>
        <v>0</v>
      </c>
      <c r="AL476" s="39">
        <f t="shared" si="38"/>
        <v>6.7650000000000006</v>
      </c>
      <c r="AM476" s="39">
        <f t="shared" si="39"/>
        <v>13.530000000000001</v>
      </c>
      <c r="AN476" s="39">
        <f t="shared" si="36"/>
        <v>8.1180000000000003</v>
      </c>
      <c r="AO476" s="39">
        <f t="shared" si="37"/>
        <v>81.180000000000007</v>
      </c>
    </row>
    <row r="477" spans="1:41" x14ac:dyDescent="0.3">
      <c r="A477" s="20">
        <v>1000184670</v>
      </c>
      <c r="B477" s="4" t="s">
        <v>147</v>
      </c>
      <c r="C477" s="21"/>
      <c r="D477" s="3"/>
      <c r="E477" s="20">
        <v>1000184757</v>
      </c>
      <c r="F477" s="4" t="s">
        <v>62</v>
      </c>
      <c r="G477" s="21">
        <v>1000189770</v>
      </c>
      <c r="H477" s="3" t="s">
        <v>75</v>
      </c>
      <c r="I477" s="21">
        <v>1000189270</v>
      </c>
      <c r="J477" s="3" t="s">
        <v>34</v>
      </c>
      <c r="K477" s="20" t="s">
        <v>124</v>
      </c>
      <c r="L477" s="39">
        <v>0</v>
      </c>
      <c r="M477" s="39">
        <v>0</v>
      </c>
      <c r="N477" s="39">
        <v>0</v>
      </c>
      <c r="O477" s="39">
        <v>0</v>
      </c>
      <c r="P477" s="39">
        <v>0</v>
      </c>
      <c r="Q477" s="39">
        <v>0</v>
      </c>
      <c r="R477" s="39">
        <v>0</v>
      </c>
      <c r="S477" s="39">
        <v>0</v>
      </c>
      <c r="T477" s="39">
        <v>0</v>
      </c>
      <c r="U477" s="39">
        <v>0</v>
      </c>
      <c r="V477" s="39">
        <v>0</v>
      </c>
      <c r="W477" s="39">
        <v>0</v>
      </c>
      <c r="X477" s="39">
        <v>0</v>
      </c>
      <c r="Y477" s="39">
        <v>0</v>
      </c>
      <c r="Z477" s="39">
        <v>0</v>
      </c>
      <c r="AA477" s="39">
        <v>0</v>
      </c>
      <c r="AB477" s="39">
        <v>0</v>
      </c>
      <c r="AC477" s="39">
        <v>0</v>
      </c>
      <c r="AD477" s="39">
        <v>0</v>
      </c>
      <c r="AE477" s="39">
        <v>0</v>
      </c>
      <c r="AF477" s="39">
        <v>0</v>
      </c>
      <c r="AG477" s="39">
        <v>0</v>
      </c>
      <c r="AH477" s="39"/>
      <c r="AI477" s="39"/>
      <c r="AJ477" s="40"/>
      <c r="AK477" s="39">
        <f t="shared" si="35"/>
        <v>0</v>
      </c>
      <c r="AL477" s="39">
        <f t="shared" si="38"/>
        <v>0</v>
      </c>
      <c r="AM477" s="39">
        <f t="shared" si="39"/>
        <v>0</v>
      </c>
      <c r="AN477" s="39">
        <f t="shared" si="36"/>
        <v>0</v>
      </c>
      <c r="AO477" s="39">
        <f t="shared" si="37"/>
        <v>0</v>
      </c>
    </row>
    <row r="478" spans="1:41" x14ac:dyDescent="0.3">
      <c r="A478" s="20">
        <v>1000184670</v>
      </c>
      <c r="B478" s="4" t="s">
        <v>147</v>
      </c>
      <c r="C478" s="21"/>
      <c r="D478" s="3"/>
      <c r="E478" s="20">
        <v>1000184757</v>
      </c>
      <c r="F478" s="4" t="s">
        <v>62</v>
      </c>
      <c r="G478" s="21">
        <v>1000189770</v>
      </c>
      <c r="H478" s="3" t="s">
        <v>75</v>
      </c>
      <c r="I478" s="21">
        <v>1000189270</v>
      </c>
      <c r="J478" s="3" t="s">
        <v>34</v>
      </c>
      <c r="K478" s="20" t="s">
        <v>13</v>
      </c>
      <c r="L478" s="39">
        <v>0</v>
      </c>
      <c r="M478" s="39">
        <v>0</v>
      </c>
      <c r="N478" s="39">
        <v>0</v>
      </c>
      <c r="O478" s="39">
        <v>0</v>
      </c>
      <c r="P478" s="39">
        <v>0</v>
      </c>
      <c r="Q478" s="39">
        <v>0</v>
      </c>
      <c r="R478" s="39">
        <v>0</v>
      </c>
      <c r="S478" s="39">
        <v>0</v>
      </c>
      <c r="T478" s="39">
        <v>0</v>
      </c>
      <c r="U478" s="39">
        <v>0</v>
      </c>
      <c r="V478" s="39">
        <v>0</v>
      </c>
      <c r="W478" s="39">
        <v>0</v>
      </c>
      <c r="X478" s="39">
        <v>0</v>
      </c>
      <c r="Y478" s="39">
        <v>0</v>
      </c>
      <c r="Z478" s="39">
        <v>0</v>
      </c>
      <c r="AA478" s="39">
        <v>0</v>
      </c>
      <c r="AB478" s="39">
        <v>0</v>
      </c>
      <c r="AC478" s="39">
        <v>0</v>
      </c>
      <c r="AD478" s="39">
        <v>0</v>
      </c>
      <c r="AE478" s="39">
        <v>0</v>
      </c>
      <c r="AF478" s="39">
        <v>0</v>
      </c>
      <c r="AG478" s="39">
        <v>0</v>
      </c>
      <c r="AH478" s="39"/>
      <c r="AI478" s="39"/>
      <c r="AJ478" s="40"/>
      <c r="AK478" s="39">
        <f t="shared" si="35"/>
        <v>0</v>
      </c>
      <c r="AL478" s="39">
        <f t="shared" si="38"/>
        <v>0</v>
      </c>
      <c r="AM478" s="39">
        <f t="shared" si="39"/>
        <v>0</v>
      </c>
      <c r="AN478" s="39">
        <f t="shared" si="36"/>
        <v>0</v>
      </c>
      <c r="AO478" s="39">
        <f t="shared" si="37"/>
        <v>0</v>
      </c>
    </row>
    <row r="479" spans="1:41" x14ac:dyDescent="0.3">
      <c r="A479" s="20">
        <v>1000184670</v>
      </c>
      <c r="B479" s="4" t="s">
        <v>147</v>
      </c>
      <c r="C479" s="21"/>
      <c r="D479" s="3"/>
      <c r="E479" s="20">
        <v>1000184757</v>
      </c>
      <c r="F479" s="4" t="s">
        <v>62</v>
      </c>
      <c r="G479" s="21">
        <v>1000189770</v>
      </c>
      <c r="H479" s="3" t="s">
        <v>75</v>
      </c>
      <c r="I479" s="21">
        <v>1000189270</v>
      </c>
      <c r="J479" s="3" t="s">
        <v>34</v>
      </c>
      <c r="K479" s="20" t="s">
        <v>14</v>
      </c>
      <c r="L479" s="39">
        <v>0</v>
      </c>
      <c r="M479" s="39">
        <v>0</v>
      </c>
      <c r="N479" s="39">
        <v>0</v>
      </c>
      <c r="O479" s="39">
        <v>0</v>
      </c>
      <c r="P479" s="39">
        <v>0</v>
      </c>
      <c r="Q479" s="39">
        <v>0</v>
      </c>
      <c r="R479" s="39">
        <v>0</v>
      </c>
      <c r="S479" s="39">
        <v>0</v>
      </c>
      <c r="T479" s="39">
        <v>0</v>
      </c>
      <c r="U479" s="39">
        <v>0</v>
      </c>
      <c r="V479" s="39">
        <v>0</v>
      </c>
      <c r="W479" s="39">
        <v>0</v>
      </c>
      <c r="X479" s="39">
        <v>0</v>
      </c>
      <c r="Y479" s="39">
        <v>0</v>
      </c>
      <c r="Z479" s="39">
        <v>0</v>
      </c>
      <c r="AA479" s="39">
        <v>0</v>
      </c>
      <c r="AB479" s="39">
        <v>0</v>
      </c>
      <c r="AC479" s="39">
        <v>0</v>
      </c>
      <c r="AD479" s="39">
        <v>0</v>
      </c>
      <c r="AE479" s="39">
        <v>0</v>
      </c>
      <c r="AF479" s="39">
        <v>0</v>
      </c>
      <c r="AG479" s="39">
        <v>0</v>
      </c>
      <c r="AH479" s="39"/>
      <c r="AI479" s="39"/>
      <c r="AJ479" s="40"/>
      <c r="AK479" s="39">
        <f t="shared" si="35"/>
        <v>0</v>
      </c>
      <c r="AL479" s="39">
        <f t="shared" si="38"/>
        <v>0</v>
      </c>
      <c r="AM479" s="39">
        <f t="shared" si="39"/>
        <v>0</v>
      </c>
      <c r="AN479" s="39">
        <f t="shared" si="36"/>
        <v>0</v>
      </c>
      <c r="AO479" s="39">
        <f t="shared" si="37"/>
        <v>0</v>
      </c>
    </row>
    <row r="480" spans="1:41" x14ac:dyDescent="0.3">
      <c r="A480" s="20">
        <v>1000184670</v>
      </c>
      <c r="B480" s="4" t="s">
        <v>147</v>
      </c>
      <c r="C480" s="21"/>
      <c r="D480" s="3"/>
      <c r="E480" s="20">
        <v>1000184757</v>
      </c>
      <c r="F480" s="4" t="s">
        <v>62</v>
      </c>
      <c r="G480" s="21">
        <v>1000189770</v>
      </c>
      <c r="H480" s="3" t="s">
        <v>75</v>
      </c>
      <c r="I480" s="21">
        <v>1000189270</v>
      </c>
      <c r="J480" s="3" t="s">
        <v>34</v>
      </c>
      <c r="K480" s="20" t="s">
        <v>16</v>
      </c>
      <c r="L480" s="39">
        <v>0</v>
      </c>
      <c r="M480" s="39">
        <v>0</v>
      </c>
      <c r="N480" s="39">
        <v>0</v>
      </c>
      <c r="O480" s="39">
        <v>0</v>
      </c>
      <c r="P480" s="39">
        <v>0</v>
      </c>
      <c r="Q480" s="39">
        <v>0</v>
      </c>
      <c r="R480" s="39">
        <v>0</v>
      </c>
      <c r="S480" s="39">
        <v>0</v>
      </c>
      <c r="T480" s="39">
        <v>0</v>
      </c>
      <c r="U480" s="39">
        <v>0</v>
      </c>
      <c r="V480" s="39">
        <v>0</v>
      </c>
      <c r="W480" s="39">
        <v>0</v>
      </c>
      <c r="X480" s="39">
        <v>0</v>
      </c>
      <c r="Y480" s="39">
        <v>0</v>
      </c>
      <c r="Z480" s="39">
        <v>0</v>
      </c>
      <c r="AA480" s="39">
        <v>0</v>
      </c>
      <c r="AB480" s="39">
        <v>0</v>
      </c>
      <c r="AC480" s="39">
        <v>0</v>
      </c>
      <c r="AD480" s="39">
        <v>0</v>
      </c>
      <c r="AE480" s="39">
        <v>0</v>
      </c>
      <c r="AF480" s="39">
        <v>0</v>
      </c>
      <c r="AG480" s="39">
        <v>0</v>
      </c>
      <c r="AH480" s="39"/>
      <c r="AI480" s="39"/>
      <c r="AJ480" s="40"/>
      <c r="AK480" s="39">
        <f t="shared" si="35"/>
        <v>0</v>
      </c>
      <c r="AL480" s="39">
        <f t="shared" si="38"/>
        <v>0</v>
      </c>
      <c r="AM480" s="39">
        <f t="shared" si="39"/>
        <v>0</v>
      </c>
      <c r="AN480" s="39">
        <f t="shared" si="36"/>
        <v>0</v>
      </c>
      <c r="AO480" s="39">
        <f t="shared" si="37"/>
        <v>0</v>
      </c>
    </row>
    <row r="481" spans="1:41" x14ac:dyDescent="0.3">
      <c r="A481" s="20">
        <v>1000184670</v>
      </c>
      <c r="B481" s="4" t="s">
        <v>147</v>
      </c>
      <c r="C481" s="21"/>
      <c r="D481" s="3"/>
      <c r="E481" s="20">
        <v>1000184757</v>
      </c>
      <c r="F481" s="4" t="s">
        <v>62</v>
      </c>
      <c r="G481" s="21">
        <v>1000189770</v>
      </c>
      <c r="H481" s="3" t="s">
        <v>75</v>
      </c>
      <c r="I481" s="21">
        <v>1000189270</v>
      </c>
      <c r="J481" s="3" t="s">
        <v>34</v>
      </c>
      <c r="K481" s="20" t="s">
        <v>15</v>
      </c>
      <c r="L481" s="39">
        <v>0</v>
      </c>
      <c r="M481" s="39">
        <v>0</v>
      </c>
      <c r="N481" s="39">
        <v>0</v>
      </c>
      <c r="O481" s="39">
        <v>0</v>
      </c>
      <c r="P481" s="39">
        <v>0</v>
      </c>
      <c r="Q481" s="39">
        <v>0</v>
      </c>
      <c r="R481" s="39">
        <v>0</v>
      </c>
      <c r="S481" s="39">
        <v>0</v>
      </c>
      <c r="T481" s="39">
        <v>0</v>
      </c>
      <c r="U481" s="39">
        <v>0</v>
      </c>
      <c r="V481" s="39">
        <v>0</v>
      </c>
      <c r="W481" s="39">
        <v>0</v>
      </c>
      <c r="X481" s="39">
        <v>0</v>
      </c>
      <c r="Y481" s="39">
        <v>0</v>
      </c>
      <c r="Z481" s="39">
        <v>0</v>
      </c>
      <c r="AA481" s="39">
        <v>0</v>
      </c>
      <c r="AB481" s="39">
        <v>450.03</v>
      </c>
      <c r="AC481" s="39">
        <v>0</v>
      </c>
      <c r="AD481" s="39">
        <v>0</v>
      </c>
      <c r="AE481" s="39">
        <v>0</v>
      </c>
      <c r="AF481" s="39">
        <v>0</v>
      </c>
      <c r="AG481" s="39">
        <v>0</v>
      </c>
      <c r="AH481" s="39"/>
      <c r="AI481" s="39"/>
      <c r="AJ481" s="40"/>
      <c r="AK481" s="39">
        <f t="shared" si="35"/>
        <v>0</v>
      </c>
      <c r="AL481" s="39">
        <f t="shared" si="38"/>
        <v>37.502499999999998</v>
      </c>
      <c r="AM481" s="39">
        <f t="shared" si="39"/>
        <v>75.004999999999995</v>
      </c>
      <c r="AN481" s="39">
        <f t="shared" si="36"/>
        <v>45.003</v>
      </c>
      <c r="AO481" s="39">
        <f t="shared" si="37"/>
        <v>450.03</v>
      </c>
    </row>
    <row r="482" spans="1:41" x14ac:dyDescent="0.3">
      <c r="A482" s="20">
        <v>1000184670</v>
      </c>
      <c r="B482" s="4" t="s">
        <v>147</v>
      </c>
      <c r="C482" s="21"/>
      <c r="D482" s="3"/>
      <c r="E482" s="20">
        <v>1000184757</v>
      </c>
      <c r="F482" s="4" t="s">
        <v>62</v>
      </c>
      <c r="G482" s="21">
        <v>1000189770</v>
      </c>
      <c r="H482" s="3" t="s">
        <v>75</v>
      </c>
      <c r="I482" s="21">
        <v>1000189270</v>
      </c>
      <c r="J482" s="3" t="s">
        <v>34</v>
      </c>
      <c r="K482" s="20" t="s">
        <v>33</v>
      </c>
      <c r="L482" s="39">
        <v>0</v>
      </c>
      <c r="M482" s="39">
        <v>0</v>
      </c>
      <c r="N482" s="39">
        <v>0</v>
      </c>
      <c r="O482" s="39">
        <v>0</v>
      </c>
      <c r="P482" s="39">
        <v>0</v>
      </c>
      <c r="Q482" s="39">
        <v>0</v>
      </c>
      <c r="R482" s="39">
        <v>0</v>
      </c>
      <c r="S482" s="39">
        <v>0</v>
      </c>
      <c r="T482" s="39">
        <v>0</v>
      </c>
      <c r="U482" s="39">
        <v>0</v>
      </c>
      <c r="V482" s="39">
        <v>0</v>
      </c>
      <c r="W482" s="39">
        <v>0</v>
      </c>
      <c r="X482" s="39">
        <v>0</v>
      </c>
      <c r="Y482" s="39">
        <v>0</v>
      </c>
      <c r="Z482" s="39">
        <v>0</v>
      </c>
      <c r="AA482" s="39">
        <v>0</v>
      </c>
      <c r="AB482" s="39">
        <v>0</v>
      </c>
      <c r="AC482" s="39">
        <v>0</v>
      </c>
      <c r="AD482" s="39">
        <v>0</v>
      </c>
      <c r="AE482" s="39">
        <v>0</v>
      </c>
      <c r="AF482" s="39">
        <v>0</v>
      </c>
      <c r="AG482" s="39">
        <v>0</v>
      </c>
      <c r="AH482" s="39"/>
      <c r="AI482" s="39"/>
      <c r="AJ482" s="40"/>
      <c r="AK482" s="39">
        <f t="shared" si="35"/>
        <v>0</v>
      </c>
      <c r="AL482" s="39">
        <f t="shared" si="38"/>
        <v>0</v>
      </c>
      <c r="AM482" s="39">
        <f t="shared" si="39"/>
        <v>0</v>
      </c>
      <c r="AN482" s="39">
        <f t="shared" si="36"/>
        <v>0</v>
      </c>
      <c r="AO482" s="39">
        <f t="shared" si="37"/>
        <v>0</v>
      </c>
    </row>
    <row r="483" spans="1:41" x14ac:dyDescent="0.3">
      <c r="A483" s="20">
        <v>1000184670</v>
      </c>
      <c r="B483" s="4" t="s">
        <v>147</v>
      </c>
      <c r="C483" s="21"/>
      <c r="D483" s="3"/>
      <c r="E483" s="20">
        <v>1000184757</v>
      </c>
      <c r="F483" s="4" t="s">
        <v>62</v>
      </c>
      <c r="G483" s="21">
        <v>1000189770</v>
      </c>
      <c r="H483" s="3" t="s">
        <v>75</v>
      </c>
      <c r="I483" s="21">
        <v>1000189270</v>
      </c>
      <c r="J483" s="3" t="s">
        <v>34</v>
      </c>
      <c r="K483" s="20" t="s">
        <v>19</v>
      </c>
      <c r="L483" s="39">
        <v>0</v>
      </c>
      <c r="M483" s="39">
        <v>0</v>
      </c>
      <c r="N483" s="39">
        <v>0</v>
      </c>
      <c r="O483" s="39">
        <v>0</v>
      </c>
      <c r="P483" s="39">
        <v>0</v>
      </c>
      <c r="Q483" s="39">
        <v>0</v>
      </c>
      <c r="R483" s="39">
        <v>0</v>
      </c>
      <c r="S483" s="39">
        <v>0</v>
      </c>
      <c r="T483" s="39">
        <v>0</v>
      </c>
      <c r="U483" s="39">
        <v>0</v>
      </c>
      <c r="V483" s="39">
        <v>0</v>
      </c>
      <c r="W483" s="39">
        <v>0</v>
      </c>
      <c r="X483" s="39">
        <v>0</v>
      </c>
      <c r="Y483" s="39">
        <v>0</v>
      </c>
      <c r="Z483" s="39">
        <v>0</v>
      </c>
      <c r="AA483" s="39">
        <v>0</v>
      </c>
      <c r="AB483" s="39">
        <v>72</v>
      </c>
      <c r="AC483" s="39">
        <v>0</v>
      </c>
      <c r="AD483" s="39">
        <v>0</v>
      </c>
      <c r="AE483" s="39">
        <v>0</v>
      </c>
      <c r="AF483" s="39">
        <v>0</v>
      </c>
      <c r="AG483" s="39">
        <v>0</v>
      </c>
      <c r="AH483" s="39"/>
      <c r="AI483" s="39"/>
      <c r="AJ483" s="40"/>
      <c r="AK483" s="39">
        <f t="shared" si="35"/>
        <v>0</v>
      </c>
      <c r="AL483" s="39">
        <f t="shared" si="38"/>
        <v>6</v>
      </c>
      <c r="AM483" s="39">
        <f t="shared" si="39"/>
        <v>12</v>
      </c>
      <c r="AN483" s="39">
        <f t="shared" si="36"/>
        <v>7.2</v>
      </c>
      <c r="AO483" s="39">
        <f t="shared" si="37"/>
        <v>72</v>
      </c>
    </row>
    <row r="484" spans="1:41" x14ac:dyDescent="0.3">
      <c r="A484" s="20">
        <v>1000184670</v>
      </c>
      <c r="B484" s="4" t="s">
        <v>147</v>
      </c>
      <c r="C484" s="21"/>
      <c r="D484" s="3"/>
      <c r="E484" s="20">
        <v>1000184757</v>
      </c>
      <c r="F484" s="4" t="s">
        <v>62</v>
      </c>
      <c r="G484" s="21">
        <v>1000189770</v>
      </c>
      <c r="H484" s="3" t="s">
        <v>75</v>
      </c>
      <c r="I484" s="21">
        <v>1000189270</v>
      </c>
      <c r="J484" s="3" t="s">
        <v>34</v>
      </c>
      <c r="K484" s="20" t="s">
        <v>17</v>
      </c>
      <c r="L484" s="39">
        <v>0</v>
      </c>
      <c r="M484" s="39">
        <v>0</v>
      </c>
      <c r="N484" s="39">
        <v>0</v>
      </c>
      <c r="O484" s="39">
        <v>0</v>
      </c>
      <c r="P484" s="39">
        <v>0</v>
      </c>
      <c r="Q484" s="39">
        <v>0</v>
      </c>
      <c r="R484" s="39">
        <v>0</v>
      </c>
      <c r="S484" s="39">
        <v>0</v>
      </c>
      <c r="T484" s="39">
        <v>0</v>
      </c>
      <c r="U484" s="39">
        <v>0</v>
      </c>
      <c r="V484" s="39">
        <v>0</v>
      </c>
      <c r="W484" s="39">
        <v>0</v>
      </c>
      <c r="X484" s="39">
        <v>0</v>
      </c>
      <c r="Y484" s="39">
        <v>0</v>
      </c>
      <c r="Z484" s="39">
        <v>0</v>
      </c>
      <c r="AA484" s="39">
        <v>0</v>
      </c>
      <c r="AB484" s="39">
        <v>0</v>
      </c>
      <c r="AC484" s="39">
        <v>0</v>
      </c>
      <c r="AD484" s="39">
        <v>0</v>
      </c>
      <c r="AE484" s="39">
        <v>0</v>
      </c>
      <c r="AF484" s="39">
        <v>0</v>
      </c>
      <c r="AG484" s="39">
        <v>0</v>
      </c>
      <c r="AH484" s="39"/>
      <c r="AI484" s="39"/>
      <c r="AJ484" s="40"/>
      <c r="AK484" s="39">
        <f t="shared" si="35"/>
        <v>0</v>
      </c>
      <c r="AL484" s="39">
        <f t="shared" si="38"/>
        <v>0</v>
      </c>
      <c r="AM484" s="39">
        <f t="shared" si="39"/>
        <v>0</v>
      </c>
      <c r="AN484" s="39">
        <f t="shared" si="36"/>
        <v>0</v>
      </c>
      <c r="AO484" s="39">
        <f t="shared" si="37"/>
        <v>0</v>
      </c>
    </row>
    <row r="485" spans="1:41" x14ac:dyDescent="0.3">
      <c r="A485" s="20">
        <v>1000184670</v>
      </c>
      <c r="B485" s="4" t="s">
        <v>147</v>
      </c>
      <c r="C485" s="21"/>
      <c r="D485" s="3"/>
      <c r="E485" s="20">
        <v>1000184757</v>
      </c>
      <c r="F485" s="4" t="s">
        <v>62</v>
      </c>
      <c r="G485" s="21">
        <v>1000189770</v>
      </c>
      <c r="H485" s="3" t="s">
        <v>75</v>
      </c>
      <c r="I485" s="21">
        <v>1000189270</v>
      </c>
      <c r="J485" s="3" t="s">
        <v>34</v>
      </c>
      <c r="K485" s="20" t="s">
        <v>24</v>
      </c>
      <c r="L485" s="39">
        <v>0</v>
      </c>
      <c r="M485" s="39">
        <v>0</v>
      </c>
      <c r="N485" s="39">
        <v>0</v>
      </c>
      <c r="O485" s="39">
        <v>0</v>
      </c>
      <c r="P485" s="39">
        <v>0</v>
      </c>
      <c r="Q485" s="39">
        <v>0</v>
      </c>
      <c r="R485" s="39">
        <v>0</v>
      </c>
      <c r="S485" s="39">
        <v>0</v>
      </c>
      <c r="T485" s="39">
        <v>0</v>
      </c>
      <c r="U485" s="39">
        <v>0</v>
      </c>
      <c r="V485" s="39">
        <v>0</v>
      </c>
      <c r="W485" s="39">
        <v>0</v>
      </c>
      <c r="X485" s="39">
        <v>0</v>
      </c>
      <c r="Y485" s="39">
        <v>0</v>
      </c>
      <c r="Z485" s="39">
        <v>0</v>
      </c>
      <c r="AA485" s="39">
        <v>0</v>
      </c>
      <c r="AB485" s="39">
        <v>0</v>
      </c>
      <c r="AC485" s="39">
        <v>0</v>
      </c>
      <c r="AD485" s="39">
        <v>0</v>
      </c>
      <c r="AE485" s="39">
        <v>0</v>
      </c>
      <c r="AF485" s="39">
        <v>0</v>
      </c>
      <c r="AG485" s="39">
        <v>0</v>
      </c>
      <c r="AH485" s="39"/>
      <c r="AI485" s="39"/>
      <c r="AJ485" s="40"/>
      <c r="AK485" s="39">
        <f t="shared" si="35"/>
        <v>0</v>
      </c>
      <c r="AL485" s="39">
        <f t="shared" si="38"/>
        <v>0</v>
      </c>
      <c r="AM485" s="39">
        <f t="shared" si="39"/>
        <v>0</v>
      </c>
      <c r="AN485" s="39">
        <f t="shared" si="36"/>
        <v>0</v>
      </c>
      <c r="AO485" s="39">
        <f t="shared" si="37"/>
        <v>0</v>
      </c>
    </row>
    <row r="486" spans="1:41" x14ac:dyDescent="0.3">
      <c r="A486" s="20">
        <v>1000184670</v>
      </c>
      <c r="B486" s="4" t="s">
        <v>147</v>
      </c>
      <c r="C486" s="21"/>
      <c r="D486" s="3"/>
      <c r="E486" s="20">
        <v>1000184757</v>
      </c>
      <c r="F486" s="4" t="s">
        <v>62</v>
      </c>
      <c r="G486" s="21">
        <v>1000189770</v>
      </c>
      <c r="H486" s="3" t="s">
        <v>75</v>
      </c>
      <c r="I486" s="21">
        <v>1000189270</v>
      </c>
      <c r="J486" s="3" t="s">
        <v>34</v>
      </c>
      <c r="K486" s="20" t="s">
        <v>18</v>
      </c>
      <c r="L486" s="39">
        <v>0</v>
      </c>
      <c r="M486" s="39">
        <v>0</v>
      </c>
      <c r="N486" s="39">
        <v>0</v>
      </c>
      <c r="O486" s="39">
        <v>0</v>
      </c>
      <c r="P486" s="39">
        <v>0</v>
      </c>
      <c r="Q486" s="39">
        <v>0</v>
      </c>
      <c r="R486" s="39">
        <v>0</v>
      </c>
      <c r="S486" s="39">
        <v>0</v>
      </c>
      <c r="T486" s="39">
        <v>0</v>
      </c>
      <c r="U486" s="39">
        <v>0</v>
      </c>
      <c r="V486" s="39">
        <v>0</v>
      </c>
      <c r="W486" s="39">
        <v>0</v>
      </c>
      <c r="X486" s="39">
        <v>0</v>
      </c>
      <c r="Y486" s="39">
        <v>0</v>
      </c>
      <c r="Z486" s="39">
        <v>0</v>
      </c>
      <c r="AA486" s="39">
        <v>0</v>
      </c>
      <c r="AB486" s="39">
        <v>0</v>
      </c>
      <c r="AC486" s="39">
        <v>0</v>
      </c>
      <c r="AD486" s="39">
        <v>0</v>
      </c>
      <c r="AE486" s="39">
        <v>0</v>
      </c>
      <c r="AF486" s="39">
        <v>0</v>
      </c>
      <c r="AG486" s="39">
        <v>0</v>
      </c>
      <c r="AH486" s="39"/>
      <c r="AI486" s="39"/>
      <c r="AJ486" s="40"/>
      <c r="AK486" s="39">
        <f t="shared" si="35"/>
        <v>0</v>
      </c>
      <c r="AL486" s="39">
        <f t="shared" si="38"/>
        <v>0</v>
      </c>
      <c r="AM486" s="39">
        <f t="shared" si="39"/>
        <v>0</v>
      </c>
      <c r="AN486" s="39">
        <f t="shared" si="36"/>
        <v>0</v>
      </c>
      <c r="AO486" s="39">
        <f t="shared" si="37"/>
        <v>0</v>
      </c>
    </row>
    <row r="487" spans="1:41" x14ac:dyDescent="0.3">
      <c r="A487" s="20">
        <v>1000184670</v>
      </c>
      <c r="B487" s="4" t="s">
        <v>147</v>
      </c>
      <c r="C487" s="21"/>
      <c r="D487" s="3"/>
      <c r="E487" s="20">
        <v>1000184757</v>
      </c>
      <c r="F487" s="4" t="s">
        <v>62</v>
      </c>
      <c r="G487" s="21">
        <v>1000189770</v>
      </c>
      <c r="H487" s="3" t="s">
        <v>75</v>
      </c>
      <c r="I487" s="21">
        <v>1000189270</v>
      </c>
      <c r="J487" s="3" t="s">
        <v>34</v>
      </c>
      <c r="K487" s="20" t="s">
        <v>29</v>
      </c>
      <c r="L487" s="39">
        <v>0</v>
      </c>
      <c r="M487" s="39">
        <v>0</v>
      </c>
      <c r="N487" s="39">
        <v>0</v>
      </c>
      <c r="O487" s="39">
        <v>0</v>
      </c>
      <c r="P487" s="39">
        <v>0</v>
      </c>
      <c r="Q487" s="39">
        <v>0</v>
      </c>
      <c r="R487" s="39">
        <v>0</v>
      </c>
      <c r="S487" s="39">
        <v>0</v>
      </c>
      <c r="T487" s="39">
        <v>0</v>
      </c>
      <c r="U487" s="39">
        <v>0</v>
      </c>
      <c r="V487" s="39">
        <v>0</v>
      </c>
      <c r="W487" s="39">
        <v>0</v>
      </c>
      <c r="X487" s="39">
        <v>0</v>
      </c>
      <c r="Y487" s="39">
        <v>0</v>
      </c>
      <c r="Z487" s="39">
        <v>0</v>
      </c>
      <c r="AA487" s="39">
        <v>0</v>
      </c>
      <c r="AB487" s="39">
        <v>0</v>
      </c>
      <c r="AC487" s="39">
        <v>0</v>
      </c>
      <c r="AD487" s="39">
        <v>0</v>
      </c>
      <c r="AE487" s="39">
        <v>0</v>
      </c>
      <c r="AF487" s="39">
        <v>0</v>
      </c>
      <c r="AG487" s="39">
        <v>0</v>
      </c>
      <c r="AH487" s="39"/>
      <c r="AI487" s="39"/>
      <c r="AJ487" s="40"/>
      <c r="AK487" s="39">
        <f t="shared" si="35"/>
        <v>0</v>
      </c>
      <c r="AL487" s="39">
        <f t="shared" si="38"/>
        <v>0</v>
      </c>
      <c r="AM487" s="39">
        <f t="shared" si="39"/>
        <v>0</v>
      </c>
      <c r="AN487" s="39">
        <f t="shared" si="36"/>
        <v>0</v>
      </c>
      <c r="AO487" s="39">
        <f t="shared" si="37"/>
        <v>0</v>
      </c>
    </row>
    <row r="488" spans="1:41" x14ac:dyDescent="0.3">
      <c r="A488" s="20">
        <v>1000184670</v>
      </c>
      <c r="B488" s="4" t="s">
        <v>147</v>
      </c>
      <c r="C488" s="21"/>
      <c r="D488" s="3"/>
      <c r="E488" s="20">
        <v>1000184757</v>
      </c>
      <c r="F488" s="4" t="s">
        <v>62</v>
      </c>
      <c r="G488" s="21">
        <v>1000189770</v>
      </c>
      <c r="H488" s="3" t="s">
        <v>75</v>
      </c>
      <c r="I488" s="21">
        <v>1000189270</v>
      </c>
      <c r="J488" s="3" t="s">
        <v>34</v>
      </c>
      <c r="K488" s="20" t="s">
        <v>21</v>
      </c>
      <c r="L488" s="39">
        <v>0</v>
      </c>
      <c r="M488" s="39">
        <v>0</v>
      </c>
      <c r="N488" s="39">
        <v>0</v>
      </c>
      <c r="O488" s="39">
        <v>0</v>
      </c>
      <c r="P488" s="39">
        <v>0</v>
      </c>
      <c r="Q488" s="39">
        <v>0</v>
      </c>
      <c r="R488" s="39">
        <v>0</v>
      </c>
      <c r="S488" s="39">
        <v>0</v>
      </c>
      <c r="T488" s="39">
        <v>0</v>
      </c>
      <c r="U488" s="39">
        <v>0</v>
      </c>
      <c r="V488" s="39">
        <v>0</v>
      </c>
      <c r="W488" s="39">
        <v>0</v>
      </c>
      <c r="X488" s="39">
        <v>0</v>
      </c>
      <c r="Y488" s="39">
        <v>0</v>
      </c>
      <c r="Z488" s="39">
        <v>0</v>
      </c>
      <c r="AA488" s="39">
        <v>0</v>
      </c>
      <c r="AB488" s="39">
        <v>0</v>
      </c>
      <c r="AC488" s="39">
        <v>0</v>
      </c>
      <c r="AD488" s="39">
        <v>0</v>
      </c>
      <c r="AE488" s="39">
        <v>0</v>
      </c>
      <c r="AF488" s="39">
        <v>0</v>
      </c>
      <c r="AG488" s="39">
        <v>0</v>
      </c>
      <c r="AH488" s="39"/>
      <c r="AI488" s="39"/>
      <c r="AJ488" s="40"/>
      <c r="AK488" s="39">
        <f t="shared" si="35"/>
        <v>0</v>
      </c>
      <c r="AL488" s="39">
        <f t="shared" si="38"/>
        <v>0</v>
      </c>
      <c r="AM488" s="39">
        <f t="shared" si="39"/>
        <v>0</v>
      </c>
      <c r="AN488" s="39">
        <f t="shared" si="36"/>
        <v>0</v>
      </c>
      <c r="AO488" s="39">
        <f t="shared" si="37"/>
        <v>0</v>
      </c>
    </row>
    <row r="489" spans="1:41" x14ac:dyDescent="0.3">
      <c r="A489" s="20">
        <v>1000184670</v>
      </c>
      <c r="B489" s="4" t="s">
        <v>147</v>
      </c>
      <c r="C489" s="21"/>
      <c r="D489" s="3"/>
      <c r="E489" s="20">
        <v>1000184757</v>
      </c>
      <c r="F489" s="4" t="s">
        <v>62</v>
      </c>
      <c r="G489" s="21">
        <v>1000189770</v>
      </c>
      <c r="H489" s="3" t="s">
        <v>75</v>
      </c>
      <c r="I489" s="21">
        <v>1000189270</v>
      </c>
      <c r="J489" s="3" t="s">
        <v>34</v>
      </c>
      <c r="K489" s="20" t="s">
        <v>20</v>
      </c>
      <c r="L489" s="39">
        <v>0</v>
      </c>
      <c r="M489" s="39">
        <v>0</v>
      </c>
      <c r="N489" s="39">
        <v>0</v>
      </c>
      <c r="O489" s="39">
        <v>0</v>
      </c>
      <c r="P489" s="39">
        <v>0</v>
      </c>
      <c r="Q489" s="39">
        <v>0</v>
      </c>
      <c r="R489" s="39">
        <v>0</v>
      </c>
      <c r="S489" s="39">
        <v>0</v>
      </c>
      <c r="T489" s="39">
        <v>0</v>
      </c>
      <c r="U489" s="39">
        <v>0</v>
      </c>
      <c r="V489" s="39">
        <v>0</v>
      </c>
      <c r="W489" s="39">
        <v>0</v>
      </c>
      <c r="X489" s="39">
        <v>0</v>
      </c>
      <c r="Y489" s="39">
        <v>0</v>
      </c>
      <c r="Z489" s="39">
        <v>0</v>
      </c>
      <c r="AA489" s="39">
        <v>0</v>
      </c>
      <c r="AB489" s="39">
        <v>0</v>
      </c>
      <c r="AC489" s="39">
        <v>0</v>
      </c>
      <c r="AD489" s="39">
        <v>0</v>
      </c>
      <c r="AE489" s="39">
        <v>0</v>
      </c>
      <c r="AF489" s="39">
        <v>0</v>
      </c>
      <c r="AG489" s="39">
        <v>0</v>
      </c>
      <c r="AH489" s="39"/>
      <c r="AI489" s="39"/>
      <c r="AJ489" s="40"/>
      <c r="AK489" s="39">
        <f t="shared" si="35"/>
        <v>0</v>
      </c>
      <c r="AL489" s="39">
        <f t="shared" si="38"/>
        <v>0</v>
      </c>
      <c r="AM489" s="39">
        <f t="shared" si="39"/>
        <v>0</v>
      </c>
      <c r="AN489" s="39">
        <f t="shared" si="36"/>
        <v>0</v>
      </c>
      <c r="AO489" s="39">
        <f t="shared" si="37"/>
        <v>0</v>
      </c>
    </row>
    <row r="490" spans="1:41" x14ac:dyDescent="0.3">
      <c r="A490" s="20">
        <v>1000184670</v>
      </c>
      <c r="B490" s="4" t="s">
        <v>147</v>
      </c>
      <c r="C490" s="21"/>
      <c r="D490" s="3"/>
      <c r="E490" s="20">
        <v>1000184757</v>
      </c>
      <c r="F490" s="4" t="s">
        <v>62</v>
      </c>
      <c r="G490" s="21">
        <v>1000189770</v>
      </c>
      <c r="H490" s="3" t="s">
        <v>75</v>
      </c>
      <c r="I490" s="21">
        <v>1000189270</v>
      </c>
      <c r="J490" s="3" t="s">
        <v>34</v>
      </c>
      <c r="K490" s="20" t="s">
        <v>22</v>
      </c>
      <c r="L490" s="39">
        <v>0</v>
      </c>
      <c r="M490" s="39">
        <v>0</v>
      </c>
      <c r="N490" s="39">
        <v>0</v>
      </c>
      <c r="O490" s="39">
        <v>0</v>
      </c>
      <c r="P490" s="39">
        <v>0</v>
      </c>
      <c r="Q490" s="39">
        <v>0</v>
      </c>
      <c r="R490" s="39">
        <v>0</v>
      </c>
      <c r="S490" s="39">
        <v>0</v>
      </c>
      <c r="T490" s="39">
        <v>0</v>
      </c>
      <c r="U490" s="39">
        <v>0</v>
      </c>
      <c r="V490" s="39">
        <v>0</v>
      </c>
      <c r="W490" s="39">
        <v>0</v>
      </c>
      <c r="X490" s="39">
        <v>0</v>
      </c>
      <c r="Y490" s="39">
        <v>0</v>
      </c>
      <c r="Z490" s="39">
        <v>0</v>
      </c>
      <c r="AA490" s="39">
        <v>0</v>
      </c>
      <c r="AB490" s="39">
        <v>0</v>
      </c>
      <c r="AC490" s="39">
        <v>0</v>
      </c>
      <c r="AD490" s="39">
        <v>0</v>
      </c>
      <c r="AE490" s="39">
        <v>0</v>
      </c>
      <c r="AF490" s="39">
        <v>0</v>
      </c>
      <c r="AG490" s="39">
        <v>0</v>
      </c>
      <c r="AH490" s="39"/>
      <c r="AI490" s="39"/>
      <c r="AJ490" s="40"/>
      <c r="AK490" s="39">
        <f t="shared" si="35"/>
        <v>0</v>
      </c>
      <c r="AL490" s="39">
        <f t="shared" si="38"/>
        <v>0</v>
      </c>
      <c r="AM490" s="39">
        <f t="shared" si="39"/>
        <v>0</v>
      </c>
      <c r="AN490" s="39">
        <f t="shared" si="36"/>
        <v>0</v>
      </c>
      <c r="AO490" s="39">
        <f t="shared" si="37"/>
        <v>0</v>
      </c>
    </row>
    <row r="491" spans="1:41" x14ac:dyDescent="0.3">
      <c r="A491" s="20">
        <v>1000184670</v>
      </c>
      <c r="B491" s="4" t="s">
        <v>147</v>
      </c>
      <c r="C491" s="21"/>
      <c r="D491" s="3"/>
      <c r="E491" s="20">
        <v>1000184757</v>
      </c>
      <c r="F491" s="4" t="s">
        <v>62</v>
      </c>
      <c r="G491" s="21">
        <v>1000189770</v>
      </c>
      <c r="H491" s="3" t="s">
        <v>75</v>
      </c>
      <c r="I491" s="21">
        <v>1000189270</v>
      </c>
      <c r="J491" s="3" t="s">
        <v>34</v>
      </c>
      <c r="K491" s="20" t="s">
        <v>23</v>
      </c>
      <c r="L491" s="39">
        <v>0</v>
      </c>
      <c r="M491" s="39">
        <v>0</v>
      </c>
      <c r="N491" s="39">
        <v>0</v>
      </c>
      <c r="O491" s="39">
        <v>0</v>
      </c>
      <c r="P491" s="39">
        <v>0</v>
      </c>
      <c r="Q491" s="39">
        <v>0</v>
      </c>
      <c r="R491" s="39">
        <v>0</v>
      </c>
      <c r="S491" s="39">
        <v>0</v>
      </c>
      <c r="T491" s="39">
        <v>0</v>
      </c>
      <c r="U491" s="39">
        <v>0</v>
      </c>
      <c r="V491" s="39">
        <v>0</v>
      </c>
      <c r="W491" s="39">
        <v>0</v>
      </c>
      <c r="X491" s="39">
        <v>0</v>
      </c>
      <c r="Y491" s="39">
        <v>0</v>
      </c>
      <c r="Z491" s="39">
        <v>0</v>
      </c>
      <c r="AA491" s="39">
        <v>0</v>
      </c>
      <c r="AB491" s="39">
        <v>0</v>
      </c>
      <c r="AC491" s="39">
        <v>0</v>
      </c>
      <c r="AD491" s="39">
        <v>0</v>
      </c>
      <c r="AE491" s="39">
        <v>0</v>
      </c>
      <c r="AF491" s="39">
        <v>0</v>
      </c>
      <c r="AG491" s="39">
        <v>0</v>
      </c>
      <c r="AH491" s="39"/>
      <c r="AI491" s="39"/>
      <c r="AJ491" s="40"/>
      <c r="AK491" s="39">
        <f t="shared" si="35"/>
        <v>0</v>
      </c>
      <c r="AL491" s="39">
        <f t="shared" si="38"/>
        <v>0</v>
      </c>
      <c r="AM491" s="39">
        <f t="shared" si="39"/>
        <v>0</v>
      </c>
      <c r="AN491" s="39">
        <f t="shared" si="36"/>
        <v>0</v>
      </c>
      <c r="AO491" s="39">
        <f t="shared" si="37"/>
        <v>0</v>
      </c>
    </row>
    <row r="492" spans="1:41" x14ac:dyDescent="0.3">
      <c r="A492" s="20">
        <v>1000184670</v>
      </c>
      <c r="B492" s="4" t="s">
        <v>147</v>
      </c>
      <c r="C492" s="21"/>
      <c r="D492" s="3"/>
      <c r="E492" s="20">
        <v>1000184757</v>
      </c>
      <c r="F492" s="4" t="s">
        <v>62</v>
      </c>
      <c r="G492" s="21">
        <v>1000189770</v>
      </c>
      <c r="H492" s="3" t="s">
        <v>75</v>
      </c>
      <c r="I492" s="21">
        <v>1000189270</v>
      </c>
      <c r="J492" s="3" t="s">
        <v>34</v>
      </c>
      <c r="K492" s="20" t="s">
        <v>28</v>
      </c>
      <c r="L492" s="39">
        <v>0</v>
      </c>
      <c r="M492" s="39">
        <v>0</v>
      </c>
      <c r="N492" s="39">
        <v>0</v>
      </c>
      <c r="O492" s="39">
        <v>0</v>
      </c>
      <c r="P492" s="39">
        <v>0</v>
      </c>
      <c r="Q492" s="39">
        <v>0</v>
      </c>
      <c r="R492" s="39">
        <v>0</v>
      </c>
      <c r="S492" s="39">
        <v>0</v>
      </c>
      <c r="T492" s="39">
        <v>0</v>
      </c>
      <c r="U492" s="39">
        <v>0</v>
      </c>
      <c r="V492" s="39">
        <v>0</v>
      </c>
      <c r="W492" s="39">
        <v>0</v>
      </c>
      <c r="X492" s="39">
        <v>0</v>
      </c>
      <c r="Y492" s="39">
        <v>0</v>
      </c>
      <c r="Z492" s="39">
        <v>0</v>
      </c>
      <c r="AA492" s="39">
        <v>0</v>
      </c>
      <c r="AB492" s="39">
        <v>0</v>
      </c>
      <c r="AC492" s="39">
        <v>0</v>
      </c>
      <c r="AD492" s="39">
        <v>0</v>
      </c>
      <c r="AE492" s="39">
        <v>0</v>
      </c>
      <c r="AF492" s="39">
        <v>0</v>
      </c>
      <c r="AG492" s="39">
        <v>0</v>
      </c>
      <c r="AH492" s="39"/>
      <c r="AI492" s="39"/>
      <c r="AJ492" s="40"/>
      <c r="AK492" s="39">
        <f t="shared" si="35"/>
        <v>0</v>
      </c>
      <c r="AL492" s="39">
        <f t="shared" si="38"/>
        <v>0</v>
      </c>
      <c r="AM492" s="39">
        <f t="shared" si="39"/>
        <v>0</v>
      </c>
      <c r="AN492" s="39">
        <f t="shared" si="36"/>
        <v>0</v>
      </c>
      <c r="AO492" s="39">
        <f t="shared" si="37"/>
        <v>0</v>
      </c>
    </row>
    <row r="493" spans="1:41" x14ac:dyDescent="0.3">
      <c r="A493" s="20">
        <v>1000184670</v>
      </c>
      <c r="B493" s="4" t="s">
        <v>147</v>
      </c>
      <c r="C493" s="21"/>
      <c r="D493" s="3"/>
      <c r="E493" s="20">
        <v>1000184757</v>
      </c>
      <c r="F493" s="4" t="s">
        <v>62</v>
      </c>
      <c r="G493" s="21">
        <v>1000189770</v>
      </c>
      <c r="H493" s="3" t="s">
        <v>75</v>
      </c>
      <c r="I493" s="21">
        <v>1000189270</v>
      </c>
      <c r="J493" s="3" t="s">
        <v>34</v>
      </c>
      <c r="K493" s="20" t="s">
        <v>26</v>
      </c>
      <c r="L493" s="39">
        <v>0</v>
      </c>
      <c r="M493" s="39">
        <v>0</v>
      </c>
      <c r="N493" s="39">
        <v>0</v>
      </c>
      <c r="O493" s="39">
        <v>0</v>
      </c>
      <c r="P493" s="39">
        <v>0</v>
      </c>
      <c r="Q493" s="39">
        <v>0</v>
      </c>
      <c r="R493" s="39">
        <v>0</v>
      </c>
      <c r="S493" s="39">
        <v>0</v>
      </c>
      <c r="T493" s="39">
        <v>0</v>
      </c>
      <c r="U493" s="39">
        <v>0</v>
      </c>
      <c r="V493" s="39">
        <v>0</v>
      </c>
      <c r="W493" s="39">
        <v>0</v>
      </c>
      <c r="X493" s="39">
        <v>0</v>
      </c>
      <c r="Y493" s="39">
        <v>0</v>
      </c>
      <c r="Z493" s="39">
        <v>0</v>
      </c>
      <c r="AA493" s="39">
        <v>0</v>
      </c>
      <c r="AB493" s="39">
        <v>0</v>
      </c>
      <c r="AC493" s="39">
        <v>0</v>
      </c>
      <c r="AD493" s="39">
        <v>0</v>
      </c>
      <c r="AE493" s="39">
        <v>0</v>
      </c>
      <c r="AF493" s="39">
        <v>0</v>
      </c>
      <c r="AG493" s="39">
        <v>0</v>
      </c>
      <c r="AH493" s="39"/>
      <c r="AI493" s="39"/>
      <c r="AJ493" s="40"/>
      <c r="AK493" s="39">
        <f t="shared" si="35"/>
        <v>0</v>
      </c>
      <c r="AL493" s="39">
        <f t="shared" si="38"/>
        <v>0</v>
      </c>
      <c r="AM493" s="39">
        <f t="shared" si="39"/>
        <v>0</v>
      </c>
      <c r="AN493" s="39">
        <f t="shared" si="36"/>
        <v>0</v>
      </c>
      <c r="AO493" s="39">
        <f t="shared" si="37"/>
        <v>0</v>
      </c>
    </row>
    <row r="494" spans="1:41" x14ac:dyDescent="0.3">
      <c r="A494" s="20">
        <v>1000184670</v>
      </c>
      <c r="B494" s="4" t="s">
        <v>147</v>
      </c>
      <c r="C494" s="21"/>
      <c r="D494" s="3"/>
      <c r="E494" s="20">
        <v>1000184757</v>
      </c>
      <c r="F494" s="4" t="s">
        <v>62</v>
      </c>
      <c r="G494" s="21">
        <v>1000189770</v>
      </c>
      <c r="H494" s="3" t="s">
        <v>75</v>
      </c>
      <c r="I494" s="21">
        <v>1000189270</v>
      </c>
      <c r="J494" s="3" t="s">
        <v>34</v>
      </c>
      <c r="K494" s="20" t="s">
        <v>27</v>
      </c>
      <c r="L494" s="39">
        <v>0</v>
      </c>
      <c r="M494" s="39">
        <v>0</v>
      </c>
      <c r="N494" s="39">
        <v>0</v>
      </c>
      <c r="O494" s="39">
        <v>0</v>
      </c>
      <c r="P494" s="39">
        <v>0</v>
      </c>
      <c r="Q494" s="39">
        <v>0</v>
      </c>
      <c r="R494" s="39">
        <v>0</v>
      </c>
      <c r="S494" s="39">
        <v>0</v>
      </c>
      <c r="T494" s="39">
        <v>0</v>
      </c>
      <c r="U494" s="39">
        <v>0</v>
      </c>
      <c r="V494" s="39">
        <v>0</v>
      </c>
      <c r="W494" s="39">
        <v>0</v>
      </c>
      <c r="X494" s="39">
        <v>0</v>
      </c>
      <c r="Y494" s="39">
        <v>0</v>
      </c>
      <c r="Z494" s="39">
        <v>0</v>
      </c>
      <c r="AA494" s="39">
        <v>0</v>
      </c>
      <c r="AB494" s="39">
        <v>148.80000000000001</v>
      </c>
      <c r="AC494" s="39">
        <v>0</v>
      </c>
      <c r="AD494" s="39">
        <v>0</v>
      </c>
      <c r="AE494" s="39">
        <v>0</v>
      </c>
      <c r="AF494" s="39">
        <v>0</v>
      </c>
      <c r="AG494" s="39">
        <v>0</v>
      </c>
      <c r="AH494" s="39"/>
      <c r="AI494" s="39"/>
      <c r="AJ494" s="40"/>
      <c r="AK494" s="39">
        <f t="shared" si="35"/>
        <v>0</v>
      </c>
      <c r="AL494" s="39">
        <f t="shared" si="38"/>
        <v>12.4</v>
      </c>
      <c r="AM494" s="39">
        <f t="shared" si="39"/>
        <v>24.8</v>
      </c>
      <c r="AN494" s="39">
        <f t="shared" si="36"/>
        <v>14.88</v>
      </c>
      <c r="AO494" s="39">
        <f t="shared" si="37"/>
        <v>148.80000000000001</v>
      </c>
    </row>
    <row r="495" spans="1:41" x14ac:dyDescent="0.3">
      <c r="A495" s="20">
        <v>1000184670</v>
      </c>
      <c r="B495" s="4" t="s">
        <v>147</v>
      </c>
      <c r="C495" s="21"/>
      <c r="D495" s="3"/>
      <c r="E495" s="20">
        <v>1000184757</v>
      </c>
      <c r="F495" s="4" t="s">
        <v>62</v>
      </c>
      <c r="G495" s="21">
        <v>1000189770</v>
      </c>
      <c r="H495" s="3" t="s">
        <v>75</v>
      </c>
      <c r="I495" s="21">
        <v>1000189270</v>
      </c>
      <c r="J495" s="3" t="s">
        <v>34</v>
      </c>
      <c r="K495" s="20" t="s">
        <v>25</v>
      </c>
      <c r="L495" s="39">
        <v>0</v>
      </c>
      <c r="M495" s="39">
        <v>0</v>
      </c>
      <c r="N495" s="39">
        <v>0</v>
      </c>
      <c r="O495" s="39">
        <v>0</v>
      </c>
      <c r="P495" s="39">
        <v>0</v>
      </c>
      <c r="Q495" s="39">
        <v>0</v>
      </c>
      <c r="R495" s="39">
        <v>0</v>
      </c>
      <c r="S495" s="39">
        <v>0</v>
      </c>
      <c r="T495" s="39">
        <v>0</v>
      </c>
      <c r="U495" s="39">
        <v>0</v>
      </c>
      <c r="V495" s="39">
        <v>0</v>
      </c>
      <c r="W495" s="39">
        <v>0</v>
      </c>
      <c r="X495" s="39">
        <v>0</v>
      </c>
      <c r="Y495" s="39">
        <v>0</v>
      </c>
      <c r="Z495" s="39">
        <v>0</v>
      </c>
      <c r="AA495" s="39">
        <v>0</v>
      </c>
      <c r="AB495" s="39">
        <v>0</v>
      </c>
      <c r="AC495" s="39">
        <v>0</v>
      </c>
      <c r="AD495" s="39">
        <v>0</v>
      </c>
      <c r="AE495" s="39">
        <v>0</v>
      </c>
      <c r="AF495" s="39">
        <v>0</v>
      </c>
      <c r="AG495" s="39">
        <v>0</v>
      </c>
      <c r="AH495" s="39"/>
      <c r="AI495" s="39"/>
      <c r="AJ495" s="40"/>
      <c r="AK495" s="39">
        <f t="shared" si="35"/>
        <v>0</v>
      </c>
      <c r="AL495" s="39">
        <f t="shared" si="38"/>
        <v>0</v>
      </c>
      <c r="AM495" s="39">
        <f t="shared" si="39"/>
        <v>0</v>
      </c>
      <c r="AN495" s="39">
        <f t="shared" si="36"/>
        <v>0</v>
      </c>
      <c r="AO495" s="39">
        <f t="shared" si="37"/>
        <v>0</v>
      </c>
    </row>
    <row r="496" spans="1:41" x14ac:dyDescent="0.3">
      <c r="A496" s="20">
        <v>1000184670</v>
      </c>
      <c r="B496" s="4" t="s">
        <v>147</v>
      </c>
      <c r="C496" s="21"/>
      <c r="D496" s="3"/>
      <c r="E496" s="20">
        <v>1000184757</v>
      </c>
      <c r="F496" s="4" t="s">
        <v>62</v>
      </c>
      <c r="G496" s="21">
        <v>1000189771</v>
      </c>
      <c r="H496" s="3" t="s">
        <v>101</v>
      </c>
      <c r="I496" s="21">
        <v>1000189270</v>
      </c>
      <c r="J496" s="3" t="s">
        <v>34</v>
      </c>
      <c r="K496" s="20" t="s">
        <v>124</v>
      </c>
      <c r="L496" s="39">
        <v>0</v>
      </c>
      <c r="M496" s="39">
        <v>0</v>
      </c>
      <c r="N496" s="39">
        <v>0</v>
      </c>
      <c r="O496" s="39">
        <v>0</v>
      </c>
      <c r="P496" s="39">
        <v>0</v>
      </c>
      <c r="Q496" s="39">
        <v>0</v>
      </c>
      <c r="R496" s="39">
        <v>0</v>
      </c>
      <c r="S496" s="39">
        <v>0</v>
      </c>
      <c r="T496" s="39">
        <v>0</v>
      </c>
      <c r="U496" s="39">
        <v>0</v>
      </c>
      <c r="V496" s="39">
        <v>0</v>
      </c>
      <c r="W496" s="39">
        <v>0</v>
      </c>
      <c r="X496" s="39">
        <v>0</v>
      </c>
      <c r="Y496" s="39">
        <v>0</v>
      </c>
      <c r="Z496" s="39">
        <v>0</v>
      </c>
      <c r="AA496" s="39">
        <v>0</v>
      </c>
      <c r="AB496" s="39">
        <v>0</v>
      </c>
      <c r="AC496" s="39">
        <v>0</v>
      </c>
      <c r="AD496" s="39">
        <v>0</v>
      </c>
      <c r="AE496" s="39">
        <v>0</v>
      </c>
      <c r="AF496" s="39">
        <v>0</v>
      </c>
      <c r="AG496" s="39">
        <v>0</v>
      </c>
      <c r="AH496" s="39"/>
      <c r="AI496" s="39"/>
      <c r="AJ496" s="40"/>
      <c r="AK496" s="39">
        <f t="shared" ref="AK496:AK559" si="40">AVERAGE(L496:W496)</f>
        <v>0</v>
      </c>
      <c r="AL496" s="39">
        <f t="shared" si="38"/>
        <v>0</v>
      </c>
      <c r="AM496" s="39">
        <f t="shared" si="39"/>
        <v>0</v>
      </c>
      <c r="AN496" s="39">
        <f t="shared" ref="AN496:AN559" si="41">AVERAGE(X496:AI496)</f>
        <v>0</v>
      </c>
      <c r="AO496" s="39">
        <f t="shared" ref="AO496:AO559" si="42">SUM(X496:AI496)</f>
        <v>0</v>
      </c>
    </row>
    <row r="497" spans="1:41" x14ac:dyDescent="0.3">
      <c r="A497" s="20">
        <v>1000184670</v>
      </c>
      <c r="B497" s="4" t="s">
        <v>147</v>
      </c>
      <c r="C497" s="21"/>
      <c r="D497" s="3"/>
      <c r="E497" s="20">
        <v>1000184757</v>
      </c>
      <c r="F497" s="4" t="s">
        <v>62</v>
      </c>
      <c r="G497" s="21">
        <v>1000189771</v>
      </c>
      <c r="H497" s="3" t="s">
        <v>101</v>
      </c>
      <c r="I497" s="21">
        <v>1000189270</v>
      </c>
      <c r="J497" s="3" t="s">
        <v>34</v>
      </c>
      <c r="K497" s="20" t="s">
        <v>13</v>
      </c>
      <c r="L497" s="39">
        <v>0</v>
      </c>
      <c r="M497" s="39">
        <v>0</v>
      </c>
      <c r="N497" s="39">
        <v>0</v>
      </c>
      <c r="O497" s="39">
        <v>0</v>
      </c>
      <c r="P497" s="39">
        <v>0</v>
      </c>
      <c r="Q497" s="39">
        <v>0</v>
      </c>
      <c r="R497" s="39">
        <v>641.64</v>
      </c>
      <c r="S497" s="39">
        <v>0</v>
      </c>
      <c r="T497" s="39">
        <v>0</v>
      </c>
      <c r="U497" s="39">
        <v>0</v>
      </c>
      <c r="V497" s="39">
        <v>0</v>
      </c>
      <c r="W497" s="39">
        <v>0</v>
      </c>
      <c r="X497" s="39">
        <v>575</v>
      </c>
      <c r="Y497" s="39">
        <v>0</v>
      </c>
      <c r="Z497" s="39">
        <v>0</v>
      </c>
      <c r="AA497" s="39">
        <v>0</v>
      </c>
      <c r="AB497" s="39">
        <v>0</v>
      </c>
      <c r="AC497" s="39">
        <v>0</v>
      </c>
      <c r="AD497" s="39">
        <v>0</v>
      </c>
      <c r="AE497" s="39">
        <v>0</v>
      </c>
      <c r="AF497" s="39">
        <v>1188</v>
      </c>
      <c r="AG497" s="39">
        <v>0</v>
      </c>
      <c r="AH497" s="39"/>
      <c r="AI497" s="39"/>
      <c r="AJ497" s="40"/>
      <c r="AK497" s="39">
        <f t="shared" si="40"/>
        <v>53.47</v>
      </c>
      <c r="AL497" s="39">
        <f t="shared" si="38"/>
        <v>146.91666666666666</v>
      </c>
      <c r="AM497" s="39">
        <f t="shared" si="39"/>
        <v>198</v>
      </c>
      <c r="AN497" s="39">
        <f t="shared" si="41"/>
        <v>176.3</v>
      </c>
      <c r="AO497" s="39">
        <f t="shared" si="42"/>
        <v>1763</v>
      </c>
    </row>
    <row r="498" spans="1:41" x14ac:dyDescent="0.3">
      <c r="A498" s="20">
        <v>1000184670</v>
      </c>
      <c r="B498" s="4" t="s">
        <v>147</v>
      </c>
      <c r="C498" s="21"/>
      <c r="D498" s="3"/>
      <c r="E498" s="20">
        <v>1000184757</v>
      </c>
      <c r="F498" s="4" t="s">
        <v>62</v>
      </c>
      <c r="G498" s="21">
        <v>1000189771</v>
      </c>
      <c r="H498" s="3" t="s">
        <v>101</v>
      </c>
      <c r="I498" s="21">
        <v>1000189270</v>
      </c>
      <c r="J498" s="3" t="s">
        <v>34</v>
      </c>
      <c r="K498" s="20" t="s">
        <v>14</v>
      </c>
      <c r="L498" s="39">
        <v>0</v>
      </c>
      <c r="M498" s="39">
        <v>0</v>
      </c>
      <c r="N498" s="39">
        <v>0</v>
      </c>
      <c r="O498" s="39">
        <v>0</v>
      </c>
      <c r="P498" s="39">
        <v>0</v>
      </c>
      <c r="Q498" s="39">
        <v>0</v>
      </c>
      <c r="R498" s="39">
        <v>1056</v>
      </c>
      <c r="S498" s="39">
        <v>0</v>
      </c>
      <c r="T498" s="39">
        <v>0</v>
      </c>
      <c r="U498" s="39">
        <v>0</v>
      </c>
      <c r="V498" s="39">
        <v>0</v>
      </c>
      <c r="W498" s="39">
        <v>0</v>
      </c>
      <c r="X498" s="39">
        <v>644</v>
      </c>
      <c r="Y498" s="39">
        <v>0</v>
      </c>
      <c r="Z498" s="39">
        <v>0</v>
      </c>
      <c r="AA498" s="39">
        <v>0</v>
      </c>
      <c r="AB498" s="39">
        <v>0</v>
      </c>
      <c r="AC498" s="39">
        <v>0</v>
      </c>
      <c r="AD498" s="39">
        <v>0</v>
      </c>
      <c r="AE498" s="39">
        <v>0</v>
      </c>
      <c r="AF498" s="39">
        <v>672</v>
      </c>
      <c r="AG498" s="39">
        <v>0</v>
      </c>
      <c r="AH498" s="39"/>
      <c r="AI498" s="39"/>
      <c r="AJ498" s="40"/>
      <c r="AK498" s="39">
        <f t="shared" si="40"/>
        <v>88</v>
      </c>
      <c r="AL498" s="39">
        <f t="shared" si="38"/>
        <v>109.66666666666667</v>
      </c>
      <c r="AM498" s="39">
        <f t="shared" si="39"/>
        <v>112</v>
      </c>
      <c r="AN498" s="39">
        <f t="shared" si="41"/>
        <v>131.6</v>
      </c>
      <c r="AO498" s="39">
        <f t="shared" si="42"/>
        <v>1316</v>
      </c>
    </row>
    <row r="499" spans="1:41" x14ac:dyDescent="0.3">
      <c r="A499" s="20">
        <v>1000184670</v>
      </c>
      <c r="B499" s="4" t="s">
        <v>147</v>
      </c>
      <c r="C499" s="21"/>
      <c r="D499" s="3"/>
      <c r="E499" s="20">
        <v>1000184757</v>
      </c>
      <c r="F499" s="4" t="s">
        <v>62</v>
      </c>
      <c r="G499" s="21">
        <v>1000189771</v>
      </c>
      <c r="H499" s="3" t="s">
        <v>101</v>
      </c>
      <c r="I499" s="21">
        <v>1000189270</v>
      </c>
      <c r="J499" s="3" t="s">
        <v>34</v>
      </c>
      <c r="K499" s="20" t="s">
        <v>16</v>
      </c>
      <c r="L499" s="39">
        <v>0</v>
      </c>
      <c r="M499" s="39">
        <v>0</v>
      </c>
      <c r="N499" s="39">
        <v>0</v>
      </c>
      <c r="O499" s="39">
        <v>0</v>
      </c>
      <c r="P499" s="39">
        <v>0</v>
      </c>
      <c r="Q499" s="39">
        <v>0</v>
      </c>
      <c r="R499" s="39">
        <v>611.32000000000005</v>
      </c>
      <c r="S499" s="39">
        <v>0</v>
      </c>
      <c r="T499" s="39">
        <v>0</v>
      </c>
      <c r="U499" s="39">
        <v>0</v>
      </c>
      <c r="V499" s="39">
        <v>0</v>
      </c>
      <c r="W499" s="39">
        <v>0</v>
      </c>
      <c r="X499" s="39">
        <v>885.5</v>
      </c>
      <c r="Y499" s="39">
        <v>0</v>
      </c>
      <c r="Z499" s="39">
        <v>0</v>
      </c>
      <c r="AA499" s="39">
        <v>0</v>
      </c>
      <c r="AB499" s="39">
        <v>0</v>
      </c>
      <c r="AC499" s="39">
        <v>0</v>
      </c>
      <c r="AD499" s="39">
        <v>0</v>
      </c>
      <c r="AE499" s="39">
        <v>0</v>
      </c>
      <c r="AF499" s="39">
        <v>326.39999999999998</v>
      </c>
      <c r="AG499" s="39">
        <v>0</v>
      </c>
      <c r="AH499" s="39"/>
      <c r="AI499" s="39"/>
      <c r="AJ499" s="40"/>
      <c r="AK499" s="39">
        <f t="shared" si="40"/>
        <v>50.943333333333335</v>
      </c>
      <c r="AL499" s="39">
        <f t="shared" si="38"/>
        <v>100.99166666666667</v>
      </c>
      <c r="AM499" s="39">
        <f t="shared" si="39"/>
        <v>54.4</v>
      </c>
      <c r="AN499" s="39">
        <f t="shared" si="41"/>
        <v>121.19000000000001</v>
      </c>
      <c r="AO499" s="39">
        <f t="shared" si="42"/>
        <v>1211.9000000000001</v>
      </c>
    </row>
    <row r="500" spans="1:41" x14ac:dyDescent="0.3">
      <c r="A500" s="20">
        <v>1000184670</v>
      </c>
      <c r="B500" s="4" t="s">
        <v>147</v>
      </c>
      <c r="C500" s="21"/>
      <c r="D500" s="3"/>
      <c r="E500" s="20">
        <v>1000184757</v>
      </c>
      <c r="F500" s="4" t="s">
        <v>62</v>
      </c>
      <c r="G500" s="21">
        <v>1000189771</v>
      </c>
      <c r="H500" s="3" t="s">
        <v>101</v>
      </c>
      <c r="I500" s="21">
        <v>1000189270</v>
      </c>
      <c r="J500" s="3" t="s">
        <v>34</v>
      </c>
      <c r="K500" s="20" t="s">
        <v>15</v>
      </c>
      <c r="L500" s="39">
        <v>0</v>
      </c>
      <c r="M500" s="39">
        <v>0</v>
      </c>
      <c r="N500" s="39">
        <v>0</v>
      </c>
      <c r="O500" s="39">
        <v>0</v>
      </c>
      <c r="P500" s="39">
        <v>0</v>
      </c>
      <c r="Q500" s="39">
        <v>0</v>
      </c>
      <c r="R500" s="39">
        <v>396.36</v>
      </c>
      <c r="S500" s="39">
        <v>0</v>
      </c>
      <c r="T500" s="39">
        <v>0</v>
      </c>
      <c r="U500" s="39">
        <v>0</v>
      </c>
      <c r="V500" s="39">
        <v>0</v>
      </c>
      <c r="W500" s="39">
        <v>0</v>
      </c>
      <c r="X500" s="39">
        <v>816.5</v>
      </c>
      <c r="Y500" s="39">
        <v>0</v>
      </c>
      <c r="Z500" s="39">
        <v>0</v>
      </c>
      <c r="AA500" s="39">
        <v>0</v>
      </c>
      <c r="AB500" s="39">
        <v>0</v>
      </c>
      <c r="AC500" s="39">
        <v>0</v>
      </c>
      <c r="AD500" s="39">
        <v>0</v>
      </c>
      <c r="AE500" s="39">
        <v>0</v>
      </c>
      <c r="AF500" s="39">
        <v>888</v>
      </c>
      <c r="AG500" s="39">
        <v>0</v>
      </c>
      <c r="AH500" s="39"/>
      <c r="AI500" s="39"/>
      <c r="AJ500" s="40"/>
      <c r="AK500" s="39">
        <f t="shared" si="40"/>
        <v>33.03</v>
      </c>
      <c r="AL500" s="39">
        <f t="shared" si="38"/>
        <v>142.04166666666666</v>
      </c>
      <c r="AM500" s="39">
        <f t="shared" si="39"/>
        <v>148</v>
      </c>
      <c r="AN500" s="39">
        <f t="shared" si="41"/>
        <v>170.45</v>
      </c>
      <c r="AO500" s="39">
        <f t="shared" si="42"/>
        <v>1704.5</v>
      </c>
    </row>
    <row r="501" spans="1:41" x14ac:dyDescent="0.3">
      <c r="A501" s="20">
        <v>1000184670</v>
      </c>
      <c r="B501" s="4" t="s">
        <v>147</v>
      </c>
      <c r="C501" s="21"/>
      <c r="D501" s="3"/>
      <c r="E501" s="20">
        <v>1000184757</v>
      </c>
      <c r="F501" s="4" t="s">
        <v>62</v>
      </c>
      <c r="G501" s="21">
        <v>1000189771</v>
      </c>
      <c r="H501" s="3" t="s">
        <v>101</v>
      </c>
      <c r="I501" s="21">
        <v>1000189270</v>
      </c>
      <c r="J501" s="3" t="s">
        <v>34</v>
      </c>
      <c r="K501" s="20" t="s">
        <v>33</v>
      </c>
      <c r="L501" s="39">
        <v>0</v>
      </c>
      <c r="M501" s="39">
        <v>0</v>
      </c>
      <c r="N501" s="39">
        <v>0</v>
      </c>
      <c r="O501" s="39">
        <v>0</v>
      </c>
      <c r="P501" s="39">
        <v>0</v>
      </c>
      <c r="Q501" s="39">
        <v>0</v>
      </c>
      <c r="R501" s="39">
        <v>0</v>
      </c>
      <c r="S501" s="39">
        <v>0</v>
      </c>
      <c r="T501" s="39">
        <v>0</v>
      </c>
      <c r="U501" s="39">
        <v>0</v>
      </c>
      <c r="V501" s="39">
        <v>0</v>
      </c>
      <c r="W501" s="39">
        <v>0</v>
      </c>
      <c r="X501" s="39">
        <v>0</v>
      </c>
      <c r="Y501" s="39">
        <v>0</v>
      </c>
      <c r="Z501" s="39">
        <v>0</v>
      </c>
      <c r="AA501" s="39">
        <v>0</v>
      </c>
      <c r="AB501" s="39">
        <v>0</v>
      </c>
      <c r="AC501" s="39">
        <v>0</v>
      </c>
      <c r="AD501" s="39">
        <v>0</v>
      </c>
      <c r="AE501" s="39">
        <v>0</v>
      </c>
      <c r="AF501" s="39">
        <v>0</v>
      </c>
      <c r="AG501" s="39">
        <v>0</v>
      </c>
      <c r="AH501" s="39"/>
      <c r="AI501" s="39"/>
      <c r="AJ501" s="40"/>
      <c r="AK501" s="39">
        <f t="shared" si="40"/>
        <v>0</v>
      </c>
      <c r="AL501" s="39">
        <f t="shared" si="38"/>
        <v>0</v>
      </c>
      <c r="AM501" s="39">
        <f t="shared" si="39"/>
        <v>0</v>
      </c>
      <c r="AN501" s="39">
        <f t="shared" si="41"/>
        <v>0</v>
      </c>
      <c r="AO501" s="39">
        <f t="shared" si="42"/>
        <v>0</v>
      </c>
    </row>
    <row r="502" spans="1:41" x14ac:dyDescent="0.3">
      <c r="A502" s="20">
        <v>1000184670</v>
      </c>
      <c r="B502" s="4" t="s">
        <v>147</v>
      </c>
      <c r="C502" s="21"/>
      <c r="D502" s="3"/>
      <c r="E502" s="20">
        <v>1000184757</v>
      </c>
      <c r="F502" s="4" t="s">
        <v>62</v>
      </c>
      <c r="G502" s="21">
        <v>1000189771</v>
      </c>
      <c r="H502" s="3" t="s">
        <v>101</v>
      </c>
      <c r="I502" s="21">
        <v>1000189270</v>
      </c>
      <c r="J502" s="3" t="s">
        <v>34</v>
      </c>
      <c r="K502" s="20" t="s">
        <v>19</v>
      </c>
      <c r="L502" s="39">
        <v>0</v>
      </c>
      <c r="M502" s="39">
        <v>0</v>
      </c>
      <c r="N502" s="39">
        <v>0</v>
      </c>
      <c r="O502" s="39">
        <v>0</v>
      </c>
      <c r="P502" s="39">
        <v>0</v>
      </c>
      <c r="Q502" s="39">
        <v>0</v>
      </c>
      <c r="R502" s="39">
        <v>441.72</v>
      </c>
      <c r="S502" s="39">
        <v>0</v>
      </c>
      <c r="T502" s="39">
        <v>0</v>
      </c>
      <c r="U502" s="39">
        <v>0</v>
      </c>
      <c r="V502" s="39">
        <v>0</v>
      </c>
      <c r="W502" s="39">
        <v>0</v>
      </c>
      <c r="X502" s="39">
        <v>621</v>
      </c>
      <c r="Y502" s="39">
        <v>0</v>
      </c>
      <c r="Z502" s="39">
        <v>0</v>
      </c>
      <c r="AA502" s="39">
        <v>0</v>
      </c>
      <c r="AB502" s="39">
        <v>0</v>
      </c>
      <c r="AC502" s="39">
        <v>0</v>
      </c>
      <c r="AD502" s="39">
        <v>0</v>
      </c>
      <c r="AE502" s="39">
        <v>0</v>
      </c>
      <c r="AF502" s="39">
        <v>0</v>
      </c>
      <c r="AG502" s="39">
        <v>0</v>
      </c>
      <c r="AH502" s="39"/>
      <c r="AI502" s="39"/>
      <c r="AJ502" s="40"/>
      <c r="AK502" s="39">
        <f t="shared" si="40"/>
        <v>36.81</v>
      </c>
      <c r="AL502" s="39">
        <f t="shared" si="38"/>
        <v>51.75</v>
      </c>
      <c r="AM502" s="39">
        <f t="shared" si="39"/>
        <v>0</v>
      </c>
      <c r="AN502" s="39">
        <f t="shared" si="41"/>
        <v>62.1</v>
      </c>
      <c r="AO502" s="39">
        <f t="shared" si="42"/>
        <v>621</v>
      </c>
    </row>
    <row r="503" spans="1:41" x14ac:dyDescent="0.3">
      <c r="A503" s="20">
        <v>1000184670</v>
      </c>
      <c r="B503" s="4" t="s">
        <v>147</v>
      </c>
      <c r="C503" s="21"/>
      <c r="D503" s="3"/>
      <c r="E503" s="20">
        <v>1000184757</v>
      </c>
      <c r="F503" s="4" t="s">
        <v>62</v>
      </c>
      <c r="G503" s="21">
        <v>1000189771</v>
      </c>
      <c r="H503" s="3" t="s">
        <v>101</v>
      </c>
      <c r="I503" s="21">
        <v>1000189270</v>
      </c>
      <c r="J503" s="3" t="s">
        <v>34</v>
      </c>
      <c r="K503" s="20" t="s">
        <v>17</v>
      </c>
      <c r="L503" s="39">
        <v>0</v>
      </c>
      <c r="M503" s="39">
        <v>0</v>
      </c>
      <c r="N503" s="39">
        <v>0</v>
      </c>
      <c r="O503" s="39">
        <v>0</v>
      </c>
      <c r="P503" s="39">
        <v>0</v>
      </c>
      <c r="Q503" s="39">
        <v>0</v>
      </c>
      <c r="R503" s="39">
        <v>499.2</v>
      </c>
      <c r="S503" s="39">
        <v>0</v>
      </c>
      <c r="T503" s="39">
        <v>0</v>
      </c>
      <c r="U503" s="39">
        <v>0</v>
      </c>
      <c r="V503" s="39">
        <v>0</v>
      </c>
      <c r="W503" s="39">
        <v>0</v>
      </c>
      <c r="X503" s="39">
        <v>379.5</v>
      </c>
      <c r="Y503" s="39">
        <v>0</v>
      </c>
      <c r="Z503" s="39">
        <v>0</v>
      </c>
      <c r="AA503" s="39">
        <v>0</v>
      </c>
      <c r="AB503" s="39">
        <v>0</v>
      </c>
      <c r="AC503" s="39">
        <v>0</v>
      </c>
      <c r="AD503" s="39">
        <v>0</v>
      </c>
      <c r="AE503" s="39">
        <v>0</v>
      </c>
      <c r="AF503" s="39">
        <v>684</v>
      </c>
      <c r="AG503" s="39">
        <v>0</v>
      </c>
      <c r="AH503" s="39"/>
      <c r="AI503" s="39"/>
      <c r="AJ503" s="40"/>
      <c r="AK503" s="39">
        <f t="shared" si="40"/>
        <v>41.6</v>
      </c>
      <c r="AL503" s="39">
        <f t="shared" si="38"/>
        <v>88.625</v>
      </c>
      <c r="AM503" s="39">
        <f t="shared" si="39"/>
        <v>114</v>
      </c>
      <c r="AN503" s="39">
        <f t="shared" si="41"/>
        <v>106.35</v>
      </c>
      <c r="AO503" s="39">
        <f t="shared" si="42"/>
        <v>1063.5</v>
      </c>
    </row>
    <row r="504" spans="1:41" x14ac:dyDescent="0.3">
      <c r="A504" s="20">
        <v>1000184670</v>
      </c>
      <c r="B504" s="4" t="s">
        <v>147</v>
      </c>
      <c r="C504" s="21"/>
      <c r="D504" s="3"/>
      <c r="E504" s="20">
        <v>1000184757</v>
      </c>
      <c r="F504" s="4" t="s">
        <v>62</v>
      </c>
      <c r="G504" s="21">
        <v>1000189771</v>
      </c>
      <c r="H504" s="3" t="s">
        <v>101</v>
      </c>
      <c r="I504" s="21">
        <v>1000189270</v>
      </c>
      <c r="J504" s="3" t="s">
        <v>34</v>
      </c>
      <c r="K504" s="20" t="s">
        <v>24</v>
      </c>
      <c r="L504" s="39">
        <v>0</v>
      </c>
      <c r="M504" s="39">
        <v>0</v>
      </c>
      <c r="N504" s="39">
        <v>0</v>
      </c>
      <c r="O504" s="39">
        <v>0</v>
      </c>
      <c r="P504" s="39">
        <v>0</v>
      </c>
      <c r="Q504" s="39">
        <v>0</v>
      </c>
      <c r="R504" s="39">
        <v>364.8</v>
      </c>
      <c r="S504" s="39">
        <v>0</v>
      </c>
      <c r="T504" s="39">
        <v>0</v>
      </c>
      <c r="U504" s="39">
        <v>0</v>
      </c>
      <c r="V504" s="39">
        <v>0</v>
      </c>
      <c r="W504" s="39">
        <v>0</v>
      </c>
      <c r="X504" s="39">
        <v>716.22</v>
      </c>
      <c r="Y504" s="39">
        <v>0</v>
      </c>
      <c r="Z504" s="39">
        <v>0</v>
      </c>
      <c r="AA504" s="39">
        <v>0</v>
      </c>
      <c r="AB504" s="39">
        <v>0</v>
      </c>
      <c r="AC504" s="39">
        <v>0</v>
      </c>
      <c r="AD504" s="39">
        <v>0</v>
      </c>
      <c r="AE504" s="39">
        <v>0</v>
      </c>
      <c r="AF504" s="39">
        <v>684.96</v>
      </c>
      <c r="AG504" s="39">
        <v>0</v>
      </c>
      <c r="AH504" s="39"/>
      <c r="AI504" s="39"/>
      <c r="AJ504" s="40"/>
      <c r="AK504" s="39">
        <f t="shared" si="40"/>
        <v>30.400000000000002</v>
      </c>
      <c r="AL504" s="39">
        <f t="shared" si="38"/>
        <v>116.765</v>
      </c>
      <c r="AM504" s="39">
        <f t="shared" si="39"/>
        <v>114.16000000000001</v>
      </c>
      <c r="AN504" s="39">
        <f t="shared" si="41"/>
        <v>140.11799999999999</v>
      </c>
      <c r="AO504" s="39">
        <f t="shared" si="42"/>
        <v>1401.18</v>
      </c>
    </row>
    <row r="505" spans="1:41" x14ac:dyDescent="0.3">
      <c r="A505" s="20">
        <v>1000184670</v>
      </c>
      <c r="B505" s="4" t="s">
        <v>147</v>
      </c>
      <c r="C505" s="21"/>
      <c r="D505" s="3"/>
      <c r="E505" s="20">
        <v>1000184757</v>
      </c>
      <c r="F505" s="4" t="s">
        <v>62</v>
      </c>
      <c r="G505" s="21">
        <v>1000189771</v>
      </c>
      <c r="H505" s="3" t="s">
        <v>101</v>
      </c>
      <c r="I505" s="21">
        <v>1000189270</v>
      </c>
      <c r="J505" s="3" t="s">
        <v>34</v>
      </c>
      <c r="K505" s="20" t="s">
        <v>18</v>
      </c>
      <c r="L505" s="39">
        <v>0</v>
      </c>
      <c r="M505" s="39">
        <v>0</v>
      </c>
      <c r="N505" s="39">
        <v>0</v>
      </c>
      <c r="O505" s="39">
        <v>0</v>
      </c>
      <c r="P505" s="39">
        <v>0</v>
      </c>
      <c r="Q505" s="39">
        <v>0</v>
      </c>
      <c r="R505" s="39">
        <v>0</v>
      </c>
      <c r="S505" s="39">
        <v>0</v>
      </c>
      <c r="T505" s="39">
        <v>0</v>
      </c>
      <c r="U505" s="39">
        <v>0</v>
      </c>
      <c r="V505" s="39">
        <v>0</v>
      </c>
      <c r="W505" s="39">
        <v>0</v>
      </c>
      <c r="X505" s="39">
        <v>0</v>
      </c>
      <c r="Y505" s="39">
        <v>0</v>
      </c>
      <c r="Z505" s="39">
        <v>0</v>
      </c>
      <c r="AA505" s="39">
        <v>0</v>
      </c>
      <c r="AB505" s="39">
        <v>0</v>
      </c>
      <c r="AC505" s="39">
        <v>0</v>
      </c>
      <c r="AD505" s="39">
        <v>0</v>
      </c>
      <c r="AE505" s="39">
        <v>0</v>
      </c>
      <c r="AF505" s="39">
        <v>0</v>
      </c>
      <c r="AG505" s="39">
        <v>0</v>
      </c>
      <c r="AH505" s="39"/>
      <c r="AI505" s="39"/>
      <c r="AJ505" s="40"/>
      <c r="AK505" s="39">
        <f t="shared" si="40"/>
        <v>0</v>
      </c>
      <c r="AL505" s="39">
        <f t="shared" si="38"/>
        <v>0</v>
      </c>
      <c r="AM505" s="39">
        <f t="shared" si="39"/>
        <v>0</v>
      </c>
      <c r="AN505" s="39">
        <f t="shared" si="41"/>
        <v>0</v>
      </c>
      <c r="AO505" s="39">
        <f t="shared" si="42"/>
        <v>0</v>
      </c>
    </row>
    <row r="506" spans="1:41" x14ac:dyDescent="0.3">
      <c r="A506" s="20">
        <v>1000184670</v>
      </c>
      <c r="B506" s="4" t="s">
        <v>147</v>
      </c>
      <c r="C506" s="21"/>
      <c r="D506" s="3"/>
      <c r="E506" s="20">
        <v>1000184757</v>
      </c>
      <c r="F506" s="4" t="s">
        <v>62</v>
      </c>
      <c r="G506" s="21">
        <v>1000189771</v>
      </c>
      <c r="H506" s="3" t="s">
        <v>101</v>
      </c>
      <c r="I506" s="21">
        <v>1000189270</v>
      </c>
      <c r="J506" s="3" t="s">
        <v>34</v>
      </c>
      <c r="K506" s="20" t="s">
        <v>29</v>
      </c>
      <c r="L506" s="39">
        <v>0</v>
      </c>
      <c r="M506" s="39">
        <v>0</v>
      </c>
      <c r="N506" s="39">
        <v>0</v>
      </c>
      <c r="O506" s="39">
        <v>0</v>
      </c>
      <c r="P506" s="39">
        <v>0</v>
      </c>
      <c r="Q506" s="39">
        <v>0</v>
      </c>
      <c r="R506" s="39">
        <v>0</v>
      </c>
      <c r="S506" s="39">
        <v>0</v>
      </c>
      <c r="T506" s="39">
        <v>0</v>
      </c>
      <c r="U506" s="39">
        <v>0</v>
      </c>
      <c r="V506" s="39">
        <v>0</v>
      </c>
      <c r="W506" s="39">
        <v>0</v>
      </c>
      <c r="X506" s="39">
        <v>0</v>
      </c>
      <c r="Y506" s="39">
        <v>0</v>
      </c>
      <c r="Z506" s="39">
        <v>0</v>
      </c>
      <c r="AA506" s="39">
        <v>0</v>
      </c>
      <c r="AB506" s="39">
        <v>0</v>
      </c>
      <c r="AC506" s="39">
        <v>0</v>
      </c>
      <c r="AD506" s="39">
        <v>0</v>
      </c>
      <c r="AE506" s="39">
        <v>0</v>
      </c>
      <c r="AF506" s="39">
        <v>1279</v>
      </c>
      <c r="AG506" s="39">
        <v>989.1</v>
      </c>
      <c r="AH506" s="39"/>
      <c r="AI506" s="39"/>
      <c r="AJ506" s="40"/>
      <c r="AK506" s="39">
        <f t="shared" si="40"/>
        <v>0</v>
      </c>
      <c r="AL506" s="39">
        <f t="shared" si="38"/>
        <v>189.00833333333333</v>
      </c>
      <c r="AM506" s="39">
        <f t="shared" si="39"/>
        <v>378.01666666666665</v>
      </c>
      <c r="AN506" s="39">
        <f t="shared" si="41"/>
        <v>226.81</v>
      </c>
      <c r="AO506" s="39">
        <f t="shared" si="42"/>
        <v>2268.1</v>
      </c>
    </row>
    <row r="507" spans="1:41" x14ac:dyDescent="0.3">
      <c r="A507" s="20">
        <v>1000184670</v>
      </c>
      <c r="B507" s="4" t="s">
        <v>147</v>
      </c>
      <c r="C507" s="21"/>
      <c r="D507" s="3"/>
      <c r="E507" s="20">
        <v>1000184757</v>
      </c>
      <c r="F507" s="4" t="s">
        <v>62</v>
      </c>
      <c r="G507" s="21">
        <v>1000189771</v>
      </c>
      <c r="H507" s="3" t="s">
        <v>101</v>
      </c>
      <c r="I507" s="21">
        <v>1000189270</v>
      </c>
      <c r="J507" s="3" t="s">
        <v>34</v>
      </c>
      <c r="K507" s="20" t="s">
        <v>21</v>
      </c>
      <c r="L507" s="39">
        <v>0</v>
      </c>
      <c r="M507" s="39">
        <v>0</v>
      </c>
      <c r="N507" s="39">
        <v>0</v>
      </c>
      <c r="O507" s="39">
        <v>0</v>
      </c>
      <c r="P507" s="39">
        <v>0</v>
      </c>
      <c r="Q507" s="39">
        <v>0</v>
      </c>
      <c r="R507" s="39">
        <v>0</v>
      </c>
      <c r="S507" s="39">
        <v>0</v>
      </c>
      <c r="T507" s="39">
        <v>0</v>
      </c>
      <c r="U507" s="39">
        <v>0</v>
      </c>
      <c r="V507" s="39">
        <v>0</v>
      </c>
      <c r="W507" s="39">
        <v>0</v>
      </c>
      <c r="X507" s="39">
        <v>0</v>
      </c>
      <c r="Y507" s="39">
        <v>0</v>
      </c>
      <c r="Z507" s="39">
        <v>0</v>
      </c>
      <c r="AA507" s="39">
        <v>0</v>
      </c>
      <c r="AB507" s="39">
        <v>0</v>
      </c>
      <c r="AC507" s="39">
        <v>0</v>
      </c>
      <c r="AD507" s="39">
        <v>0</v>
      </c>
      <c r="AE507" s="39">
        <v>0</v>
      </c>
      <c r="AF507" s="39">
        <v>0</v>
      </c>
      <c r="AG507" s="39">
        <v>0</v>
      </c>
      <c r="AH507" s="39"/>
      <c r="AI507" s="39"/>
      <c r="AJ507" s="40"/>
      <c r="AK507" s="39">
        <f t="shared" si="40"/>
        <v>0</v>
      </c>
      <c r="AL507" s="39">
        <f t="shared" si="38"/>
        <v>0</v>
      </c>
      <c r="AM507" s="39">
        <f t="shared" si="39"/>
        <v>0</v>
      </c>
      <c r="AN507" s="39">
        <f t="shared" si="41"/>
        <v>0</v>
      </c>
      <c r="AO507" s="39">
        <f t="shared" si="42"/>
        <v>0</v>
      </c>
    </row>
    <row r="508" spans="1:41" x14ac:dyDescent="0.3">
      <c r="A508" s="20">
        <v>1000184670</v>
      </c>
      <c r="B508" s="4" t="s">
        <v>147</v>
      </c>
      <c r="C508" s="21"/>
      <c r="D508" s="3"/>
      <c r="E508" s="20">
        <v>1000184757</v>
      </c>
      <c r="F508" s="4" t="s">
        <v>62</v>
      </c>
      <c r="G508" s="21">
        <v>1000189771</v>
      </c>
      <c r="H508" s="3" t="s">
        <v>101</v>
      </c>
      <c r="I508" s="21">
        <v>1000189270</v>
      </c>
      <c r="J508" s="3" t="s">
        <v>34</v>
      </c>
      <c r="K508" s="20" t="s">
        <v>20</v>
      </c>
      <c r="L508" s="39">
        <v>0</v>
      </c>
      <c r="M508" s="39">
        <v>0</v>
      </c>
      <c r="N508" s="39">
        <v>0</v>
      </c>
      <c r="O508" s="39">
        <v>0</v>
      </c>
      <c r="P508" s="39">
        <v>0</v>
      </c>
      <c r="Q508" s="39">
        <v>0</v>
      </c>
      <c r="R508" s="39">
        <v>1260.48</v>
      </c>
      <c r="S508" s="39">
        <v>0</v>
      </c>
      <c r="T508" s="39">
        <v>0</v>
      </c>
      <c r="U508" s="39">
        <v>0</v>
      </c>
      <c r="V508" s="39">
        <v>0</v>
      </c>
      <c r="W508" s="39">
        <v>0</v>
      </c>
      <c r="X508" s="39">
        <v>1800.03</v>
      </c>
      <c r="Y508" s="39">
        <v>0</v>
      </c>
      <c r="Z508" s="39">
        <v>0</v>
      </c>
      <c r="AA508" s="39">
        <v>0</v>
      </c>
      <c r="AB508" s="39">
        <v>0</v>
      </c>
      <c r="AC508" s="39">
        <v>0</v>
      </c>
      <c r="AD508" s="39">
        <v>0</v>
      </c>
      <c r="AE508" s="39">
        <v>0</v>
      </c>
      <c r="AF508" s="39">
        <v>2138.34</v>
      </c>
      <c r="AG508" s="39">
        <v>0</v>
      </c>
      <c r="AH508" s="39"/>
      <c r="AI508" s="39"/>
      <c r="AJ508" s="40"/>
      <c r="AK508" s="39">
        <f t="shared" si="40"/>
        <v>105.04</v>
      </c>
      <c r="AL508" s="39">
        <f t="shared" si="38"/>
        <v>328.19749999999999</v>
      </c>
      <c r="AM508" s="39">
        <f t="shared" si="39"/>
        <v>356.39000000000004</v>
      </c>
      <c r="AN508" s="39">
        <f t="shared" si="41"/>
        <v>393.83699999999999</v>
      </c>
      <c r="AO508" s="39">
        <f t="shared" si="42"/>
        <v>3938.37</v>
      </c>
    </row>
    <row r="509" spans="1:41" x14ac:dyDescent="0.3">
      <c r="A509" s="20">
        <v>1000184670</v>
      </c>
      <c r="B509" s="4" t="s">
        <v>147</v>
      </c>
      <c r="C509" s="21"/>
      <c r="D509" s="3"/>
      <c r="E509" s="20">
        <v>1000184757</v>
      </c>
      <c r="F509" s="4" t="s">
        <v>62</v>
      </c>
      <c r="G509" s="21">
        <v>1000189771</v>
      </c>
      <c r="H509" s="3" t="s">
        <v>101</v>
      </c>
      <c r="I509" s="21">
        <v>1000189270</v>
      </c>
      <c r="J509" s="3" t="s">
        <v>34</v>
      </c>
      <c r="K509" s="20" t="s">
        <v>22</v>
      </c>
      <c r="L509" s="39">
        <v>0</v>
      </c>
      <c r="M509" s="39">
        <v>0</v>
      </c>
      <c r="N509" s="39">
        <v>0</v>
      </c>
      <c r="O509" s="39">
        <v>0</v>
      </c>
      <c r="P509" s="39">
        <v>0</v>
      </c>
      <c r="Q509" s="39">
        <v>0</v>
      </c>
      <c r="R509" s="39">
        <v>0</v>
      </c>
      <c r="S509" s="39">
        <v>0</v>
      </c>
      <c r="T509" s="39">
        <v>0</v>
      </c>
      <c r="U509" s="39">
        <v>0</v>
      </c>
      <c r="V509" s="39">
        <v>0</v>
      </c>
      <c r="W509" s="39">
        <v>0</v>
      </c>
      <c r="X509" s="39">
        <v>0</v>
      </c>
      <c r="Y509" s="39">
        <v>0</v>
      </c>
      <c r="Z509" s="39">
        <v>0</v>
      </c>
      <c r="AA509" s="39">
        <v>0</v>
      </c>
      <c r="AB509" s="39">
        <v>0</v>
      </c>
      <c r="AC509" s="39">
        <v>0</v>
      </c>
      <c r="AD509" s="39">
        <v>0</v>
      </c>
      <c r="AE509" s="39">
        <v>0</v>
      </c>
      <c r="AF509" s="39">
        <v>0</v>
      </c>
      <c r="AG509" s="39">
        <v>0</v>
      </c>
      <c r="AH509" s="39"/>
      <c r="AI509" s="39"/>
      <c r="AJ509" s="40"/>
      <c r="AK509" s="39">
        <f t="shared" si="40"/>
        <v>0</v>
      </c>
      <c r="AL509" s="39">
        <f t="shared" si="38"/>
        <v>0</v>
      </c>
      <c r="AM509" s="39">
        <f t="shared" si="39"/>
        <v>0</v>
      </c>
      <c r="AN509" s="39">
        <f t="shared" si="41"/>
        <v>0</v>
      </c>
      <c r="AO509" s="39">
        <f t="shared" si="42"/>
        <v>0</v>
      </c>
    </row>
    <row r="510" spans="1:41" x14ac:dyDescent="0.3">
      <c r="A510" s="20">
        <v>1000184670</v>
      </c>
      <c r="B510" s="4" t="s">
        <v>147</v>
      </c>
      <c r="C510" s="21"/>
      <c r="D510" s="3"/>
      <c r="E510" s="20">
        <v>1000184757</v>
      </c>
      <c r="F510" s="4" t="s">
        <v>62</v>
      </c>
      <c r="G510" s="21">
        <v>1000189771</v>
      </c>
      <c r="H510" s="3" t="s">
        <v>101</v>
      </c>
      <c r="I510" s="21">
        <v>1000189270</v>
      </c>
      <c r="J510" s="3" t="s">
        <v>34</v>
      </c>
      <c r="K510" s="20" t="s">
        <v>23</v>
      </c>
      <c r="L510" s="39">
        <v>0</v>
      </c>
      <c r="M510" s="39">
        <v>0</v>
      </c>
      <c r="N510" s="39">
        <v>0</v>
      </c>
      <c r="O510" s="39">
        <v>0</v>
      </c>
      <c r="P510" s="39">
        <v>0</v>
      </c>
      <c r="Q510" s="39">
        <v>0</v>
      </c>
      <c r="R510" s="39">
        <v>0</v>
      </c>
      <c r="S510" s="39">
        <v>0</v>
      </c>
      <c r="T510" s="39">
        <v>0</v>
      </c>
      <c r="U510" s="39">
        <v>0</v>
      </c>
      <c r="V510" s="39">
        <v>0</v>
      </c>
      <c r="W510" s="39">
        <v>0</v>
      </c>
      <c r="X510" s="39">
        <v>0</v>
      </c>
      <c r="Y510" s="39">
        <v>0</v>
      </c>
      <c r="Z510" s="39">
        <v>0</v>
      </c>
      <c r="AA510" s="39">
        <v>0</v>
      </c>
      <c r="AB510" s="39">
        <v>0</v>
      </c>
      <c r="AC510" s="39">
        <v>0</v>
      </c>
      <c r="AD510" s="39">
        <v>0</v>
      </c>
      <c r="AE510" s="39">
        <v>0</v>
      </c>
      <c r="AF510" s="39">
        <v>0</v>
      </c>
      <c r="AG510" s="39">
        <v>0</v>
      </c>
      <c r="AH510" s="39"/>
      <c r="AI510" s="39"/>
      <c r="AJ510" s="40"/>
      <c r="AK510" s="39">
        <f t="shared" si="40"/>
        <v>0</v>
      </c>
      <c r="AL510" s="39">
        <f t="shared" si="38"/>
        <v>0</v>
      </c>
      <c r="AM510" s="39">
        <f t="shared" si="39"/>
        <v>0</v>
      </c>
      <c r="AN510" s="39">
        <f t="shared" si="41"/>
        <v>0</v>
      </c>
      <c r="AO510" s="39">
        <f t="shared" si="42"/>
        <v>0</v>
      </c>
    </row>
    <row r="511" spans="1:41" x14ac:dyDescent="0.3">
      <c r="A511" s="20">
        <v>1000184670</v>
      </c>
      <c r="B511" s="4" t="s">
        <v>147</v>
      </c>
      <c r="C511" s="21"/>
      <c r="D511" s="3"/>
      <c r="E511" s="20">
        <v>1000184757</v>
      </c>
      <c r="F511" s="4" t="s">
        <v>62</v>
      </c>
      <c r="G511" s="21">
        <v>1000189771</v>
      </c>
      <c r="H511" s="3" t="s">
        <v>101</v>
      </c>
      <c r="I511" s="21">
        <v>1000189270</v>
      </c>
      <c r="J511" s="3" t="s">
        <v>34</v>
      </c>
      <c r="K511" s="20" t="s">
        <v>28</v>
      </c>
      <c r="L511" s="39">
        <v>0</v>
      </c>
      <c r="M511" s="39">
        <v>0</v>
      </c>
      <c r="N511" s="39">
        <v>0</v>
      </c>
      <c r="O511" s="39">
        <v>0</v>
      </c>
      <c r="P511" s="39">
        <v>0</v>
      </c>
      <c r="Q511" s="39">
        <v>0</v>
      </c>
      <c r="R511" s="39">
        <v>1087.2</v>
      </c>
      <c r="S511" s="39">
        <v>0</v>
      </c>
      <c r="T511" s="39">
        <v>0</v>
      </c>
      <c r="U511" s="39">
        <v>0</v>
      </c>
      <c r="V511" s="39">
        <v>0</v>
      </c>
      <c r="W511" s="39">
        <v>0</v>
      </c>
      <c r="X511" s="39">
        <v>781.5</v>
      </c>
      <c r="Y511" s="39">
        <v>0</v>
      </c>
      <c r="Z511" s="39">
        <v>0</v>
      </c>
      <c r="AA511" s="39">
        <v>0</v>
      </c>
      <c r="AB511" s="39">
        <v>0</v>
      </c>
      <c r="AC511" s="39">
        <v>0</v>
      </c>
      <c r="AD511" s="39">
        <v>0</v>
      </c>
      <c r="AE511" s="39">
        <v>0</v>
      </c>
      <c r="AF511" s="39">
        <v>543.6</v>
      </c>
      <c r="AG511" s="39">
        <v>0</v>
      </c>
      <c r="AH511" s="39"/>
      <c r="AI511" s="39"/>
      <c r="AJ511" s="40"/>
      <c r="AK511" s="39">
        <f t="shared" si="40"/>
        <v>90.600000000000009</v>
      </c>
      <c r="AL511" s="39">
        <f t="shared" si="38"/>
        <v>110.425</v>
      </c>
      <c r="AM511" s="39">
        <f t="shared" si="39"/>
        <v>90.600000000000009</v>
      </c>
      <c r="AN511" s="39">
        <f t="shared" si="41"/>
        <v>132.51</v>
      </c>
      <c r="AO511" s="39">
        <f t="shared" si="42"/>
        <v>1325.1</v>
      </c>
    </row>
    <row r="512" spans="1:41" x14ac:dyDescent="0.3">
      <c r="A512" s="20">
        <v>1000184670</v>
      </c>
      <c r="B512" s="4" t="s">
        <v>147</v>
      </c>
      <c r="C512" s="21"/>
      <c r="D512" s="3"/>
      <c r="E512" s="20">
        <v>1000184757</v>
      </c>
      <c r="F512" s="4" t="s">
        <v>62</v>
      </c>
      <c r="G512" s="21">
        <v>1000189771</v>
      </c>
      <c r="H512" s="3" t="s">
        <v>101</v>
      </c>
      <c r="I512" s="21">
        <v>1000189270</v>
      </c>
      <c r="J512" s="3" t="s">
        <v>34</v>
      </c>
      <c r="K512" s="20" t="s">
        <v>26</v>
      </c>
      <c r="L512" s="39">
        <v>0</v>
      </c>
      <c r="M512" s="39">
        <v>0</v>
      </c>
      <c r="N512" s="39">
        <v>0</v>
      </c>
      <c r="O512" s="39">
        <v>0</v>
      </c>
      <c r="P512" s="39">
        <v>0</v>
      </c>
      <c r="Q512" s="39">
        <v>0</v>
      </c>
      <c r="R512" s="39">
        <v>0</v>
      </c>
      <c r="S512" s="39">
        <v>0</v>
      </c>
      <c r="T512" s="39">
        <v>0</v>
      </c>
      <c r="U512" s="39">
        <v>0</v>
      </c>
      <c r="V512" s="39">
        <v>0</v>
      </c>
      <c r="W512" s="39">
        <v>0</v>
      </c>
      <c r="X512" s="39">
        <v>0</v>
      </c>
      <c r="Y512" s="39">
        <v>0</v>
      </c>
      <c r="Z512" s="39">
        <v>0</v>
      </c>
      <c r="AA512" s="39">
        <v>0</v>
      </c>
      <c r="AB512" s="39">
        <v>0</v>
      </c>
      <c r="AC512" s="39">
        <v>0</v>
      </c>
      <c r="AD512" s="39">
        <v>0</v>
      </c>
      <c r="AE512" s="39">
        <v>0</v>
      </c>
      <c r="AF512" s="39">
        <v>0</v>
      </c>
      <c r="AG512" s="39">
        <v>0</v>
      </c>
      <c r="AH512" s="39"/>
      <c r="AI512" s="39"/>
      <c r="AJ512" s="40"/>
      <c r="AK512" s="39">
        <f t="shared" si="40"/>
        <v>0</v>
      </c>
      <c r="AL512" s="39">
        <f t="shared" si="38"/>
        <v>0</v>
      </c>
      <c r="AM512" s="39">
        <f t="shared" si="39"/>
        <v>0</v>
      </c>
      <c r="AN512" s="39">
        <f t="shared" si="41"/>
        <v>0</v>
      </c>
      <c r="AO512" s="39">
        <f t="shared" si="42"/>
        <v>0</v>
      </c>
    </row>
    <row r="513" spans="1:41" x14ac:dyDescent="0.3">
      <c r="A513" s="20">
        <v>1000184670</v>
      </c>
      <c r="B513" s="4" t="s">
        <v>147</v>
      </c>
      <c r="C513" s="21"/>
      <c r="D513" s="3"/>
      <c r="E513" s="20">
        <v>1000184757</v>
      </c>
      <c r="F513" s="4" t="s">
        <v>62</v>
      </c>
      <c r="G513" s="21">
        <v>1000189771</v>
      </c>
      <c r="H513" s="3" t="s">
        <v>101</v>
      </c>
      <c r="I513" s="21">
        <v>1000189270</v>
      </c>
      <c r="J513" s="3" t="s">
        <v>34</v>
      </c>
      <c r="K513" s="20" t="s">
        <v>27</v>
      </c>
      <c r="L513" s="39">
        <v>0</v>
      </c>
      <c r="M513" s="39">
        <v>0</v>
      </c>
      <c r="N513" s="39">
        <v>0</v>
      </c>
      <c r="O513" s="39">
        <v>0</v>
      </c>
      <c r="P513" s="39">
        <v>0</v>
      </c>
      <c r="Q513" s="39">
        <v>0</v>
      </c>
      <c r="R513" s="39">
        <v>0</v>
      </c>
      <c r="S513" s="39">
        <v>0</v>
      </c>
      <c r="T513" s="39">
        <v>0</v>
      </c>
      <c r="U513" s="39">
        <v>0</v>
      </c>
      <c r="V513" s="39">
        <v>0</v>
      </c>
      <c r="W513" s="39">
        <v>0</v>
      </c>
      <c r="X513" s="39">
        <v>0</v>
      </c>
      <c r="Y513" s="39">
        <v>0</v>
      </c>
      <c r="Z513" s="39">
        <v>0</v>
      </c>
      <c r="AA513" s="39">
        <v>0</v>
      </c>
      <c r="AB513" s="39">
        <v>0</v>
      </c>
      <c r="AC513" s="39">
        <v>0</v>
      </c>
      <c r="AD513" s="39">
        <v>0</v>
      </c>
      <c r="AE513" s="39">
        <v>0</v>
      </c>
      <c r="AF513" s="39">
        <v>0</v>
      </c>
      <c r="AG513" s="39">
        <v>0</v>
      </c>
      <c r="AH513" s="39"/>
      <c r="AI513" s="39"/>
      <c r="AJ513" s="40"/>
      <c r="AK513" s="39">
        <f t="shared" si="40"/>
        <v>0</v>
      </c>
      <c r="AL513" s="39">
        <f t="shared" si="38"/>
        <v>0</v>
      </c>
      <c r="AM513" s="39">
        <f t="shared" si="39"/>
        <v>0</v>
      </c>
      <c r="AN513" s="39">
        <f t="shared" si="41"/>
        <v>0</v>
      </c>
      <c r="AO513" s="39">
        <f t="shared" si="42"/>
        <v>0</v>
      </c>
    </row>
    <row r="514" spans="1:41" x14ac:dyDescent="0.3">
      <c r="A514" s="20">
        <v>1000184670</v>
      </c>
      <c r="B514" s="4" t="s">
        <v>147</v>
      </c>
      <c r="C514" s="21"/>
      <c r="D514" s="3"/>
      <c r="E514" s="20">
        <v>1000184757</v>
      </c>
      <c r="F514" s="4" t="s">
        <v>62</v>
      </c>
      <c r="G514" s="21">
        <v>1000189771</v>
      </c>
      <c r="H514" s="3" t="s">
        <v>101</v>
      </c>
      <c r="I514" s="21">
        <v>1000189270</v>
      </c>
      <c r="J514" s="3" t="s">
        <v>34</v>
      </c>
      <c r="K514" s="20" t="s">
        <v>25</v>
      </c>
      <c r="L514" s="39">
        <v>0</v>
      </c>
      <c r="M514" s="39">
        <v>0</v>
      </c>
      <c r="N514" s="39">
        <v>0</v>
      </c>
      <c r="O514" s="39">
        <v>0</v>
      </c>
      <c r="P514" s="39">
        <v>0</v>
      </c>
      <c r="Q514" s="39">
        <v>0</v>
      </c>
      <c r="R514" s="39">
        <v>0</v>
      </c>
      <c r="S514" s="39">
        <v>0</v>
      </c>
      <c r="T514" s="39">
        <v>0</v>
      </c>
      <c r="U514" s="39">
        <v>0</v>
      </c>
      <c r="V514" s="39">
        <v>0</v>
      </c>
      <c r="W514" s="39">
        <v>0</v>
      </c>
      <c r="X514" s="39">
        <v>0</v>
      </c>
      <c r="Y514" s="39">
        <v>0</v>
      </c>
      <c r="Z514" s="39">
        <v>0</v>
      </c>
      <c r="AA514" s="39">
        <v>0</v>
      </c>
      <c r="AB514" s="39">
        <v>0</v>
      </c>
      <c r="AC514" s="39">
        <v>0</v>
      </c>
      <c r="AD514" s="39">
        <v>0</v>
      </c>
      <c r="AE514" s="39">
        <v>0</v>
      </c>
      <c r="AF514" s="39">
        <v>99</v>
      </c>
      <c r="AG514" s="39">
        <v>0</v>
      </c>
      <c r="AH514" s="39"/>
      <c r="AI514" s="39"/>
      <c r="AJ514" s="40"/>
      <c r="AK514" s="39">
        <f t="shared" si="40"/>
        <v>0</v>
      </c>
      <c r="AL514" s="39">
        <f t="shared" si="38"/>
        <v>8.25</v>
      </c>
      <c r="AM514" s="39">
        <f t="shared" si="39"/>
        <v>16.5</v>
      </c>
      <c r="AN514" s="39">
        <f t="shared" si="41"/>
        <v>9.9</v>
      </c>
      <c r="AO514" s="39">
        <f t="shared" si="42"/>
        <v>99</v>
      </c>
    </row>
    <row r="515" spans="1:41" x14ac:dyDescent="0.3">
      <c r="A515" s="20">
        <v>1000184670</v>
      </c>
      <c r="B515" s="4" t="s">
        <v>147</v>
      </c>
      <c r="C515" s="21"/>
      <c r="D515" s="3"/>
      <c r="E515" s="20">
        <v>1000184757</v>
      </c>
      <c r="F515" s="4" t="s">
        <v>62</v>
      </c>
      <c r="G515" s="21">
        <v>1000189772</v>
      </c>
      <c r="H515" s="3" t="s">
        <v>98</v>
      </c>
      <c r="I515" s="21">
        <v>1000189270</v>
      </c>
      <c r="J515" s="3" t="s">
        <v>34</v>
      </c>
      <c r="K515" s="20" t="s">
        <v>124</v>
      </c>
      <c r="L515" s="39">
        <v>0</v>
      </c>
      <c r="M515" s="39">
        <v>0</v>
      </c>
      <c r="N515" s="39">
        <v>0</v>
      </c>
      <c r="O515" s="39">
        <v>0</v>
      </c>
      <c r="P515" s="39">
        <v>0</v>
      </c>
      <c r="Q515" s="39">
        <v>0</v>
      </c>
      <c r="R515" s="39">
        <v>0</v>
      </c>
      <c r="S515" s="39">
        <v>0</v>
      </c>
      <c r="T515" s="39">
        <v>0</v>
      </c>
      <c r="U515" s="39">
        <v>0</v>
      </c>
      <c r="V515" s="39">
        <v>0</v>
      </c>
      <c r="W515" s="39">
        <v>0</v>
      </c>
      <c r="X515" s="39">
        <v>0</v>
      </c>
      <c r="Y515" s="39">
        <v>0</v>
      </c>
      <c r="Z515" s="39">
        <v>0</v>
      </c>
      <c r="AA515" s="39">
        <v>0</v>
      </c>
      <c r="AB515" s="39">
        <v>0</v>
      </c>
      <c r="AC515" s="39">
        <v>0</v>
      </c>
      <c r="AD515" s="39">
        <v>0</v>
      </c>
      <c r="AE515" s="39">
        <v>0</v>
      </c>
      <c r="AF515" s="39">
        <v>0</v>
      </c>
      <c r="AG515" s="39">
        <v>0</v>
      </c>
      <c r="AH515" s="39"/>
      <c r="AI515" s="39"/>
      <c r="AJ515" s="40"/>
      <c r="AK515" s="39">
        <f t="shared" si="40"/>
        <v>0</v>
      </c>
      <c r="AL515" s="39">
        <f t="shared" ref="AL515:AL578" si="43">AVERAGE(V515:AG515)</f>
        <v>0</v>
      </c>
      <c r="AM515" s="39">
        <f t="shared" ref="AM515:AM578" si="44">AVERAGE(AB515:AG515)</f>
        <v>0</v>
      </c>
      <c r="AN515" s="39">
        <f t="shared" si="41"/>
        <v>0</v>
      </c>
      <c r="AO515" s="39">
        <f t="shared" si="42"/>
        <v>0</v>
      </c>
    </row>
    <row r="516" spans="1:41" x14ac:dyDescent="0.3">
      <c r="A516" s="20">
        <v>1000184670</v>
      </c>
      <c r="B516" s="4" t="s">
        <v>147</v>
      </c>
      <c r="C516" s="21"/>
      <c r="D516" s="3"/>
      <c r="E516" s="20">
        <v>1000184757</v>
      </c>
      <c r="F516" s="4" t="s">
        <v>62</v>
      </c>
      <c r="G516" s="21">
        <v>1000189772</v>
      </c>
      <c r="H516" s="3" t="s">
        <v>98</v>
      </c>
      <c r="I516" s="21">
        <v>1000189270</v>
      </c>
      <c r="J516" s="3" t="s">
        <v>34</v>
      </c>
      <c r="K516" s="20" t="s">
        <v>13</v>
      </c>
      <c r="L516" s="39">
        <v>506.17</v>
      </c>
      <c r="M516" s="39">
        <v>0</v>
      </c>
      <c r="N516" s="39">
        <v>0</v>
      </c>
      <c r="O516" s="39">
        <v>0</v>
      </c>
      <c r="P516" s="39">
        <v>517.98</v>
      </c>
      <c r="Q516" s="39">
        <v>0</v>
      </c>
      <c r="R516" s="39">
        <v>0</v>
      </c>
      <c r="S516" s="39">
        <v>0</v>
      </c>
      <c r="T516" s="39">
        <v>0</v>
      </c>
      <c r="U516" s="39">
        <v>0</v>
      </c>
      <c r="V516" s="39">
        <v>0</v>
      </c>
      <c r="W516" s="39">
        <v>0</v>
      </c>
      <c r="X516" s="39">
        <v>0</v>
      </c>
      <c r="Y516" s="39">
        <v>0</v>
      </c>
      <c r="Z516" s="39">
        <v>277.52</v>
      </c>
      <c r="AA516" s="39">
        <v>0</v>
      </c>
      <c r="AB516" s="39">
        <v>0</v>
      </c>
      <c r="AC516" s="39">
        <v>0</v>
      </c>
      <c r="AD516" s="39">
        <v>0</v>
      </c>
      <c r="AE516" s="39">
        <v>0</v>
      </c>
      <c r="AF516" s="39">
        <v>0</v>
      </c>
      <c r="AG516" s="39">
        <v>0</v>
      </c>
      <c r="AH516" s="39"/>
      <c r="AI516" s="39"/>
      <c r="AJ516" s="40"/>
      <c r="AK516" s="39">
        <f t="shared" si="40"/>
        <v>85.345833333333346</v>
      </c>
      <c r="AL516" s="39">
        <f t="shared" si="43"/>
        <v>23.126666666666665</v>
      </c>
      <c r="AM516" s="39">
        <f t="shared" si="44"/>
        <v>0</v>
      </c>
      <c r="AN516" s="39">
        <f t="shared" si="41"/>
        <v>27.751999999999999</v>
      </c>
      <c r="AO516" s="39">
        <f t="shared" si="42"/>
        <v>277.52</v>
      </c>
    </row>
    <row r="517" spans="1:41" x14ac:dyDescent="0.3">
      <c r="A517" s="20">
        <v>1000184670</v>
      </c>
      <c r="B517" s="4" t="s">
        <v>147</v>
      </c>
      <c r="C517" s="21"/>
      <c r="D517" s="3"/>
      <c r="E517" s="20">
        <v>1000184757</v>
      </c>
      <c r="F517" s="4" t="s">
        <v>62</v>
      </c>
      <c r="G517" s="21">
        <v>1000189772</v>
      </c>
      <c r="H517" s="3" t="s">
        <v>98</v>
      </c>
      <c r="I517" s="21">
        <v>1000189270</v>
      </c>
      <c r="J517" s="3" t="s">
        <v>34</v>
      </c>
      <c r="K517" s="20" t="s">
        <v>14</v>
      </c>
      <c r="L517" s="39">
        <v>0</v>
      </c>
      <c r="M517" s="39">
        <v>0</v>
      </c>
      <c r="N517" s="39">
        <v>0</v>
      </c>
      <c r="O517" s="39">
        <v>0</v>
      </c>
      <c r="P517" s="39">
        <v>0</v>
      </c>
      <c r="Q517" s="39">
        <v>0</v>
      </c>
      <c r="R517" s="39">
        <v>0</v>
      </c>
      <c r="S517" s="39">
        <v>0</v>
      </c>
      <c r="T517" s="39">
        <v>0</v>
      </c>
      <c r="U517" s="39">
        <v>0</v>
      </c>
      <c r="V517" s="39">
        <v>0</v>
      </c>
      <c r="W517" s="39">
        <v>0</v>
      </c>
      <c r="X517" s="39">
        <v>0</v>
      </c>
      <c r="Y517" s="39">
        <v>0</v>
      </c>
      <c r="Z517" s="39">
        <v>0</v>
      </c>
      <c r="AA517" s="39">
        <v>0</v>
      </c>
      <c r="AB517" s="39">
        <v>0</v>
      </c>
      <c r="AC517" s="39">
        <v>0</v>
      </c>
      <c r="AD517" s="39">
        <v>0</v>
      </c>
      <c r="AE517" s="39">
        <v>0</v>
      </c>
      <c r="AF517" s="39">
        <v>0</v>
      </c>
      <c r="AG517" s="39">
        <v>0</v>
      </c>
      <c r="AH517" s="39"/>
      <c r="AI517" s="39"/>
      <c r="AJ517" s="40"/>
      <c r="AK517" s="39">
        <f t="shared" si="40"/>
        <v>0</v>
      </c>
      <c r="AL517" s="39">
        <f t="shared" si="43"/>
        <v>0</v>
      </c>
      <c r="AM517" s="39">
        <f t="shared" si="44"/>
        <v>0</v>
      </c>
      <c r="AN517" s="39">
        <f t="shared" si="41"/>
        <v>0</v>
      </c>
      <c r="AO517" s="39">
        <f t="shared" si="42"/>
        <v>0</v>
      </c>
    </row>
    <row r="518" spans="1:41" x14ac:dyDescent="0.3">
      <c r="A518" s="20">
        <v>1000184670</v>
      </c>
      <c r="B518" s="4" t="s">
        <v>147</v>
      </c>
      <c r="C518" s="21"/>
      <c r="D518" s="3"/>
      <c r="E518" s="20">
        <v>1000184757</v>
      </c>
      <c r="F518" s="4" t="s">
        <v>62</v>
      </c>
      <c r="G518" s="21">
        <v>1000189772</v>
      </c>
      <c r="H518" s="3" t="s">
        <v>98</v>
      </c>
      <c r="I518" s="21">
        <v>1000189270</v>
      </c>
      <c r="J518" s="3" t="s">
        <v>34</v>
      </c>
      <c r="K518" s="20" t="s">
        <v>16</v>
      </c>
      <c r="L518" s="39">
        <v>0</v>
      </c>
      <c r="M518" s="39">
        <v>0</v>
      </c>
      <c r="N518" s="39">
        <v>0</v>
      </c>
      <c r="O518" s="39">
        <v>0</v>
      </c>
      <c r="P518" s="39">
        <v>0</v>
      </c>
      <c r="Q518" s="39">
        <v>0</v>
      </c>
      <c r="R518" s="39">
        <v>0</v>
      </c>
      <c r="S518" s="39">
        <v>0</v>
      </c>
      <c r="T518" s="39">
        <v>0</v>
      </c>
      <c r="U518" s="39">
        <v>0</v>
      </c>
      <c r="V518" s="39">
        <v>0</v>
      </c>
      <c r="W518" s="39">
        <v>0</v>
      </c>
      <c r="X518" s="39">
        <v>0</v>
      </c>
      <c r="Y518" s="39">
        <v>0</v>
      </c>
      <c r="Z518" s="39">
        <v>573</v>
      </c>
      <c r="AA518" s="39">
        <v>0</v>
      </c>
      <c r="AB518" s="39">
        <v>0</v>
      </c>
      <c r="AC518" s="39">
        <v>0</v>
      </c>
      <c r="AD518" s="39">
        <v>0</v>
      </c>
      <c r="AE518" s="39">
        <v>0</v>
      </c>
      <c r="AF518" s="39">
        <v>0</v>
      </c>
      <c r="AG518" s="39">
        <v>0</v>
      </c>
      <c r="AH518" s="39"/>
      <c r="AI518" s="39"/>
      <c r="AJ518" s="40"/>
      <c r="AK518" s="39">
        <f t="shared" si="40"/>
        <v>0</v>
      </c>
      <c r="AL518" s="39">
        <f t="shared" si="43"/>
        <v>47.75</v>
      </c>
      <c r="AM518" s="39">
        <f t="shared" si="44"/>
        <v>0</v>
      </c>
      <c r="AN518" s="39">
        <f t="shared" si="41"/>
        <v>57.3</v>
      </c>
      <c r="AO518" s="39">
        <f t="shared" si="42"/>
        <v>573</v>
      </c>
    </row>
    <row r="519" spans="1:41" x14ac:dyDescent="0.3">
      <c r="A519" s="20">
        <v>1000184670</v>
      </c>
      <c r="B519" s="4" t="s">
        <v>147</v>
      </c>
      <c r="C519" s="21"/>
      <c r="D519" s="3"/>
      <c r="E519" s="20">
        <v>1000184757</v>
      </c>
      <c r="F519" s="4" t="s">
        <v>62</v>
      </c>
      <c r="G519" s="21">
        <v>1000189772</v>
      </c>
      <c r="H519" s="3" t="s">
        <v>98</v>
      </c>
      <c r="I519" s="21">
        <v>1000189270</v>
      </c>
      <c r="J519" s="3" t="s">
        <v>34</v>
      </c>
      <c r="K519" s="20" t="s">
        <v>15</v>
      </c>
      <c r="L519" s="39">
        <v>162.56</v>
      </c>
      <c r="M519" s="39">
        <v>165.3</v>
      </c>
      <c r="N519" s="39">
        <v>0</v>
      </c>
      <c r="O519" s="39">
        <v>0</v>
      </c>
      <c r="P519" s="39">
        <v>156.6</v>
      </c>
      <c r="Q519" s="39">
        <v>0</v>
      </c>
      <c r="R519" s="39">
        <v>0</v>
      </c>
      <c r="S519" s="39">
        <v>0</v>
      </c>
      <c r="T519" s="39">
        <v>0</v>
      </c>
      <c r="U519" s="39">
        <v>0</v>
      </c>
      <c r="V519" s="39">
        <v>0</v>
      </c>
      <c r="W519" s="39">
        <v>0</v>
      </c>
      <c r="X519" s="39">
        <v>0</v>
      </c>
      <c r="Y519" s="39">
        <v>0</v>
      </c>
      <c r="Z519" s="39">
        <v>107.62</v>
      </c>
      <c r="AA519" s="39">
        <v>0</v>
      </c>
      <c r="AB519" s="39">
        <v>0</v>
      </c>
      <c r="AC519" s="39">
        <v>0</v>
      </c>
      <c r="AD519" s="39">
        <v>0</v>
      </c>
      <c r="AE519" s="39">
        <v>0</v>
      </c>
      <c r="AF519" s="39">
        <v>0</v>
      </c>
      <c r="AG519" s="39">
        <v>0</v>
      </c>
      <c r="AH519" s="39"/>
      <c r="AI519" s="39"/>
      <c r="AJ519" s="40"/>
      <c r="AK519" s="39">
        <f t="shared" si="40"/>
        <v>40.37166666666667</v>
      </c>
      <c r="AL519" s="39">
        <f t="shared" si="43"/>
        <v>8.9683333333333337</v>
      </c>
      <c r="AM519" s="39">
        <f t="shared" si="44"/>
        <v>0</v>
      </c>
      <c r="AN519" s="39">
        <f t="shared" si="41"/>
        <v>10.762</v>
      </c>
      <c r="AO519" s="39">
        <f t="shared" si="42"/>
        <v>107.62</v>
      </c>
    </row>
    <row r="520" spans="1:41" x14ac:dyDescent="0.3">
      <c r="A520" s="20">
        <v>1000184670</v>
      </c>
      <c r="B520" s="4" t="s">
        <v>147</v>
      </c>
      <c r="C520" s="21"/>
      <c r="D520" s="3"/>
      <c r="E520" s="20">
        <v>1000184757</v>
      </c>
      <c r="F520" s="4" t="s">
        <v>62</v>
      </c>
      <c r="G520" s="21">
        <v>1000189772</v>
      </c>
      <c r="H520" s="3" t="s">
        <v>98</v>
      </c>
      <c r="I520" s="21">
        <v>1000189270</v>
      </c>
      <c r="J520" s="3" t="s">
        <v>34</v>
      </c>
      <c r="K520" s="20" t="s">
        <v>33</v>
      </c>
      <c r="L520" s="39">
        <v>0</v>
      </c>
      <c r="M520" s="39">
        <v>0</v>
      </c>
      <c r="N520" s="39">
        <v>0</v>
      </c>
      <c r="O520" s="39">
        <v>0</v>
      </c>
      <c r="P520" s="39">
        <v>0</v>
      </c>
      <c r="Q520" s="39">
        <v>0</v>
      </c>
      <c r="R520" s="39">
        <v>0</v>
      </c>
      <c r="S520" s="39">
        <v>0</v>
      </c>
      <c r="T520" s="39">
        <v>0</v>
      </c>
      <c r="U520" s="39">
        <v>0</v>
      </c>
      <c r="V520" s="39">
        <v>0</v>
      </c>
      <c r="W520" s="39">
        <v>0</v>
      </c>
      <c r="X520" s="39">
        <v>0</v>
      </c>
      <c r="Y520" s="39">
        <v>0</v>
      </c>
      <c r="Z520" s="39">
        <v>0</v>
      </c>
      <c r="AA520" s="39">
        <v>0</v>
      </c>
      <c r="AB520" s="39">
        <v>0</v>
      </c>
      <c r="AC520" s="39">
        <v>0</v>
      </c>
      <c r="AD520" s="39">
        <v>0</v>
      </c>
      <c r="AE520" s="39">
        <v>0</v>
      </c>
      <c r="AF520" s="39">
        <v>0</v>
      </c>
      <c r="AG520" s="39">
        <v>0</v>
      </c>
      <c r="AH520" s="39"/>
      <c r="AI520" s="39"/>
      <c r="AJ520" s="40"/>
      <c r="AK520" s="39">
        <f t="shared" si="40"/>
        <v>0</v>
      </c>
      <c r="AL520" s="39">
        <f t="shared" si="43"/>
        <v>0</v>
      </c>
      <c r="AM520" s="39">
        <f t="shared" si="44"/>
        <v>0</v>
      </c>
      <c r="AN520" s="39">
        <f t="shared" si="41"/>
        <v>0</v>
      </c>
      <c r="AO520" s="39">
        <f t="shared" si="42"/>
        <v>0</v>
      </c>
    </row>
    <row r="521" spans="1:41" x14ac:dyDescent="0.3">
      <c r="A521" s="20">
        <v>1000184670</v>
      </c>
      <c r="B521" s="4" t="s">
        <v>147</v>
      </c>
      <c r="C521" s="21"/>
      <c r="D521" s="3"/>
      <c r="E521" s="20">
        <v>1000184757</v>
      </c>
      <c r="F521" s="4" t="s">
        <v>62</v>
      </c>
      <c r="G521" s="21">
        <v>1000189772</v>
      </c>
      <c r="H521" s="3" t="s">
        <v>98</v>
      </c>
      <c r="I521" s="21">
        <v>1000189270</v>
      </c>
      <c r="J521" s="3" t="s">
        <v>34</v>
      </c>
      <c r="K521" s="20" t="s">
        <v>19</v>
      </c>
      <c r="L521" s="39">
        <v>0</v>
      </c>
      <c r="M521" s="39">
        <v>0</v>
      </c>
      <c r="N521" s="39">
        <v>0</v>
      </c>
      <c r="O521" s="39">
        <v>0</v>
      </c>
      <c r="P521" s="39">
        <v>0</v>
      </c>
      <c r="Q521" s="39">
        <v>0</v>
      </c>
      <c r="R521" s="39">
        <v>0</v>
      </c>
      <c r="S521" s="39">
        <v>0</v>
      </c>
      <c r="T521" s="39">
        <v>0</v>
      </c>
      <c r="U521" s="39">
        <v>0</v>
      </c>
      <c r="V521" s="39">
        <v>0</v>
      </c>
      <c r="W521" s="39">
        <v>0</v>
      </c>
      <c r="X521" s="39">
        <v>0</v>
      </c>
      <c r="Y521" s="39">
        <v>0</v>
      </c>
      <c r="Z521" s="39">
        <v>0</v>
      </c>
      <c r="AA521" s="39">
        <v>0</v>
      </c>
      <c r="AB521" s="39">
        <v>0</v>
      </c>
      <c r="AC521" s="39">
        <v>0</v>
      </c>
      <c r="AD521" s="39">
        <v>0</v>
      </c>
      <c r="AE521" s="39">
        <v>0</v>
      </c>
      <c r="AF521" s="39">
        <v>0</v>
      </c>
      <c r="AG521" s="39">
        <v>0</v>
      </c>
      <c r="AH521" s="39"/>
      <c r="AI521" s="39"/>
      <c r="AJ521" s="40"/>
      <c r="AK521" s="39">
        <f t="shared" si="40"/>
        <v>0</v>
      </c>
      <c r="AL521" s="39">
        <f t="shared" si="43"/>
        <v>0</v>
      </c>
      <c r="AM521" s="39">
        <f t="shared" si="44"/>
        <v>0</v>
      </c>
      <c r="AN521" s="39">
        <f t="shared" si="41"/>
        <v>0</v>
      </c>
      <c r="AO521" s="39">
        <f t="shared" si="42"/>
        <v>0</v>
      </c>
    </row>
    <row r="522" spans="1:41" x14ac:dyDescent="0.3">
      <c r="A522" s="20">
        <v>1000184670</v>
      </c>
      <c r="B522" s="4" t="s">
        <v>147</v>
      </c>
      <c r="C522" s="21"/>
      <c r="D522" s="3"/>
      <c r="E522" s="20">
        <v>1000184757</v>
      </c>
      <c r="F522" s="4" t="s">
        <v>62</v>
      </c>
      <c r="G522" s="21">
        <v>1000189772</v>
      </c>
      <c r="H522" s="3" t="s">
        <v>98</v>
      </c>
      <c r="I522" s="21">
        <v>1000189270</v>
      </c>
      <c r="J522" s="3" t="s">
        <v>34</v>
      </c>
      <c r="K522" s="20" t="s">
        <v>17</v>
      </c>
      <c r="L522" s="39">
        <v>0</v>
      </c>
      <c r="M522" s="39">
        <v>114</v>
      </c>
      <c r="N522" s="39">
        <v>0</v>
      </c>
      <c r="O522" s="39">
        <v>0</v>
      </c>
      <c r="P522" s="39">
        <v>0</v>
      </c>
      <c r="Q522" s="39">
        <v>0</v>
      </c>
      <c r="R522" s="39">
        <v>0</v>
      </c>
      <c r="S522" s="39">
        <v>0</v>
      </c>
      <c r="T522" s="39">
        <v>0</v>
      </c>
      <c r="U522" s="39">
        <v>0</v>
      </c>
      <c r="V522" s="39">
        <v>0</v>
      </c>
      <c r="W522" s="39">
        <v>0</v>
      </c>
      <c r="X522" s="39">
        <v>0</v>
      </c>
      <c r="Y522" s="39">
        <v>0</v>
      </c>
      <c r="Z522" s="39">
        <v>0</v>
      </c>
      <c r="AA522" s="39">
        <v>0</v>
      </c>
      <c r="AB522" s="39">
        <v>0</v>
      </c>
      <c r="AC522" s="39">
        <v>0</v>
      </c>
      <c r="AD522" s="39">
        <v>0</v>
      </c>
      <c r="AE522" s="39">
        <v>0</v>
      </c>
      <c r="AF522" s="39">
        <v>0</v>
      </c>
      <c r="AG522" s="39">
        <v>0</v>
      </c>
      <c r="AH522" s="39"/>
      <c r="AI522" s="39"/>
      <c r="AJ522" s="40"/>
      <c r="AK522" s="39">
        <f t="shared" si="40"/>
        <v>9.5</v>
      </c>
      <c r="AL522" s="39">
        <f t="shared" si="43"/>
        <v>0</v>
      </c>
      <c r="AM522" s="39">
        <f t="shared" si="44"/>
        <v>0</v>
      </c>
      <c r="AN522" s="39">
        <f t="shared" si="41"/>
        <v>0</v>
      </c>
      <c r="AO522" s="39">
        <f t="shared" si="42"/>
        <v>0</v>
      </c>
    </row>
    <row r="523" spans="1:41" x14ac:dyDescent="0.3">
      <c r="A523" s="20">
        <v>1000184670</v>
      </c>
      <c r="B523" s="4" t="s">
        <v>147</v>
      </c>
      <c r="C523" s="21"/>
      <c r="D523" s="3"/>
      <c r="E523" s="20">
        <v>1000184757</v>
      </c>
      <c r="F523" s="4" t="s">
        <v>62</v>
      </c>
      <c r="G523" s="21">
        <v>1000189772</v>
      </c>
      <c r="H523" s="3" t="s">
        <v>98</v>
      </c>
      <c r="I523" s="21">
        <v>1000189270</v>
      </c>
      <c r="J523" s="3" t="s">
        <v>34</v>
      </c>
      <c r="K523" s="20" t="s">
        <v>24</v>
      </c>
      <c r="L523" s="39">
        <v>228.64</v>
      </c>
      <c r="M523" s="39">
        <v>519.15</v>
      </c>
      <c r="N523" s="39">
        <v>0</v>
      </c>
      <c r="O523" s="39">
        <v>0</v>
      </c>
      <c r="P523" s="39">
        <v>212.4</v>
      </c>
      <c r="Q523" s="39">
        <v>0</v>
      </c>
      <c r="R523" s="39">
        <v>0</v>
      </c>
      <c r="S523" s="39">
        <v>0</v>
      </c>
      <c r="T523" s="39">
        <v>0</v>
      </c>
      <c r="U523" s="39">
        <v>0</v>
      </c>
      <c r="V523" s="39">
        <v>0</v>
      </c>
      <c r="W523" s="39">
        <v>0</v>
      </c>
      <c r="X523" s="39">
        <v>0</v>
      </c>
      <c r="Y523" s="39">
        <v>0</v>
      </c>
      <c r="Z523" s="39">
        <v>260.25</v>
      </c>
      <c r="AA523" s="39">
        <v>0</v>
      </c>
      <c r="AB523" s="39">
        <v>0</v>
      </c>
      <c r="AC523" s="39">
        <v>0</v>
      </c>
      <c r="AD523" s="39">
        <v>0</v>
      </c>
      <c r="AE523" s="39">
        <v>0</v>
      </c>
      <c r="AF523" s="39">
        <v>0</v>
      </c>
      <c r="AG523" s="39">
        <v>0</v>
      </c>
      <c r="AH523" s="39"/>
      <c r="AI523" s="39"/>
      <c r="AJ523" s="40"/>
      <c r="AK523" s="39">
        <f t="shared" si="40"/>
        <v>80.015833333333333</v>
      </c>
      <c r="AL523" s="39">
        <f t="shared" si="43"/>
        <v>21.6875</v>
      </c>
      <c r="AM523" s="39">
        <f t="shared" si="44"/>
        <v>0</v>
      </c>
      <c r="AN523" s="39">
        <f t="shared" si="41"/>
        <v>26.024999999999999</v>
      </c>
      <c r="AO523" s="39">
        <f t="shared" si="42"/>
        <v>260.25</v>
      </c>
    </row>
    <row r="524" spans="1:41" x14ac:dyDescent="0.3">
      <c r="A524" s="20">
        <v>1000184670</v>
      </c>
      <c r="B524" s="4" t="s">
        <v>147</v>
      </c>
      <c r="C524" s="21"/>
      <c r="D524" s="3"/>
      <c r="E524" s="20">
        <v>1000184757</v>
      </c>
      <c r="F524" s="4" t="s">
        <v>62</v>
      </c>
      <c r="G524" s="21">
        <v>1000189772</v>
      </c>
      <c r="H524" s="3" t="s">
        <v>98</v>
      </c>
      <c r="I524" s="21">
        <v>1000189270</v>
      </c>
      <c r="J524" s="3" t="s">
        <v>34</v>
      </c>
      <c r="K524" s="20" t="s">
        <v>18</v>
      </c>
      <c r="L524" s="39">
        <v>176.22</v>
      </c>
      <c r="M524" s="39">
        <v>0</v>
      </c>
      <c r="N524" s="39">
        <v>0</v>
      </c>
      <c r="O524" s="39">
        <v>0</v>
      </c>
      <c r="P524" s="39">
        <v>184.8</v>
      </c>
      <c r="Q524" s="39">
        <v>0</v>
      </c>
      <c r="R524" s="39">
        <v>0</v>
      </c>
      <c r="S524" s="39">
        <v>0</v>
      </c>
      <c r="T524" s="39">
        <v>0</v>
      </c>
      <c r="U524" s="39">
        <v>0</v>
      </c>
      <c r="V524" s="39">
        <v>0</v>
      </c>
      <c r="W524" s="39">
        <v>0</v>
      </c>
      <c r="X524" s="39">
        <v>0</v>
      </c>
      <c r="Y524" s="39">
        <v>0</v>
      </c>
      <c r="Z524" s="39">
        <v>0</v>
      </c>
      <c r="AA524" s="39">
        <v>0</v>
      </c>
      <c r="AB524" s="39">
        <v>0</v>
      </c>
      <c r="AC524" s="39">
        <v>0</v>
      </c>
      <c r="AD524" s="39">
        <v>0</v>
      </c>
      <c r="AE524" s="39">
        <v>0</v>
      </c>
      <c r="AF524" s="39">
        <v>0</v>
      </c>
      <c r="AG524" s="39">
        <v>0</v>
      </c>
      <c r="AH524" s="39"/>
      <c r="AI524" s="39"/>
      <c r="AJ524" s="40"/>
      <c r="AK524" s="39">
        <f t="shared" si="40"/>
        <v>30.084999999999997</v>
      </c>
      <c r="AL524" s="39">
        <f t="shared" si="43"/>
        <v>0</v>
      </c>
      <c r="AM524" s="39">
        <f t="shared" si="44"/>
        <v>0</v>
      </c>
      <c r="AN524" s="39">
        <f t="shared" si="41"/>
        <v>0</v>
      </c>
      <c r="AO524" s="39">
        <f t="shared" si="42"/>
        <v>0</v>
      </c>
    </row>
    <row r="525" spans="1:41" x14ac:dyDescent="0.3">
      <c r="A525" s="20">
        <v>1000184670</v>
      </c>
      <c r="B525" s="4" t="s">
        <v>147</v>
      </c>
      <c r="C525" s="21"/>
      <c r="D525" s="3"/>
      <c r="E525" s="20">
        <v>1000184757</v>
      </c>
      <c r="F525" s="4" t="s">
        <v>62</v>
      </c>
      <c r="G525" s="21">
        <v>1000189772</v>
      </c>
      <c r="H525" s="3" t="s">
        <v>98</v>
      </c>
      <c r="I525" s="21">
        <v>1000189270</v>
      </c>
      <c r="J525" s="3" t="s">
        <v>34</v>
      </c>
      <c r="K525" s="20" t="s">
        <v>29</v>
      </c>
      <c r="L525" s="39">
        <v>0</v>
      </c>
      <c r="M525" s="39">
        <v>0</v>
      </c>
      <c r="N525" s="39">
        <v>0</v>
      </c>
      <c r="O525" s="39">
        <v>0</v>
      </c>
      <c r="P525" s="39">
        <v>0</v>
      </c>
      <c r="Q525" s="39">
        <v>0</v>
      </c>
      <c r="R525" s="39">
        <v>0</v>
      </c>
      <c r="S525" s="39">
        <v>0</v>
      </c>
      <c r="T525" s="39">
        <v>0</v>
      </c>
      <c r="U525" s="39">
        <v>0</v>
      </c>
      <c r="V525" s="39">
        <v>0</v>
      </c>
      <c r="W525" s="39">
        <v>0</v>
      </c>
      <c r="X525" s="39">
        <v>0</v>
      </c>
      <c r="Y525" s="39">
        <v>0</v>
      </c>
      <c r="Z525" s="39">
        <v>0</v>
      </c>
      <c r="AA525" s="39">
        <v>0</v>
      </c>
      <c r="AB525" s="39">
        <v>0</v>
      </c>
      <c r="AC525" s="39">
        <v>0</v>
      </c>
      <c r="AD525" s="39">
        <v>0</v>
      </c>
      <c r="AE525" s="39">
        <v>0</v>
      </c>
      <c r="AF525" s="39">
        <v>0</v>
      </c>
      <c r="AG525" s="39">
        <v>0</v>
      </c>
      <c r="AH525" s="39"/>
      <c r="AI525" s="39"/>
      <c r="AJ525" s="40"/>
      <c r="AK525" s="39">
        <f t="shared" si="40"/>
        <v>0</v>
      </c>
      <c r="AL525" s="39">
        <f t="shared" si="43"/>
        <v>0</v>
      </c>
      <c r="AM525" s="39">
        <f t="shared" si="44"/>
        <v>0</v>
      </c>
      <c r="AN525" s="39">
        <f t="shared" si="41"/>
        <v>0</v>
      </c>
      <c r="AO525" s="39">
        <f t="shared" si="42"/>
        <v>0</v>
      </c>
    </row>
    <row r="526" spans="1:41" x14ac:dyDescent="0.3">
      <c r="A526" s="20">
        <v>1000184670</v>
      </c>
      <c r="B526" s="4" t="s">
        <v>147</v>
      </c>
      <c r="C526" s="21"/>
      <c r="D526" s="3"/>
      <c r="E526" s="20">
        <v>1000184757</v>
      </c>
      <c r="F526" s="4" t="s">
        <v>62</v>
      </c>
      <c r="G526" s="21">
        <v>1000189772</v>
      </c>
      <c r="H526" s="3" t="s">
        <v>98</v>
      </c>
      <c r="I526" s="21">
        <v>1000189270</v>
      </c>
      <c r="J526" s="3" t="s">
        <v>34</v>
      </c>
      <c r="K526" s="20" t="s">
        <v>21</v>
      </c>
      <c r="L526" s="39">
        <v>0</v>
      </c>
      <c r="M526" s="39">
        <v>0</v>
      </c>
      <c r="N526" s="39">
        <v>0</v>
      </c>
      <c r="O526" s="39">
        <v>0</v>
      </c>
      <c r="P526" s="39">
        <v>0</v>
      </c>
      <c r="Q526" s="39">
        <v>0</v>
      </c>
      <c r="R526" s="39">
        <v>0</v>
      </c>
      <c r="S526" s="39">
        <v>0</v>
      </c>
      <c r="T526" s="39">
        <v>0</v>
      </c>
      <c r="U526" s="39">
        <v>0</v>
      </c>
      <c r="V526" s="39">
        <v>0</v>
      </c>
      <c r="W526" s="39">
        <v>0</v>
      </c>
      <c r="X526" s="39">
        <v>0</v>
      </c>
      <c r="Y526" s="39">
        <v>0</v>
      </c>
      <c r="Z526" s="39">
        <v>172.66</v>
      </c>
      <c r="AA526" s="39">
        <v>0</v>
      </c>
      <c r="AB526" s="39">
        <v>0</v>
      </c>
      <c r="AC526" s="39">
        <v>0</v>
      </c>
      <c r="AD526" s="39">
        <v>0</v>
      </c>
      <c r="AE526" s="39">
        <v>0</v>
      </c>
      <c r="AF526" s="39">
        <v>0</v>
      </c>
      <c r="AG526" s="39">
        <v>0</v>
      </c>
      <c r="AH526" s="39"/>
      <c r="AI526" s="39"/>
      <c r="AJ526" s="40"/>
      <c r="AK526" s="39">
        <f t="shared" si="40"/>
        <v>0</v>
      </c>
      <c r="AL526" s="39">
        <f t="shared" si="43"/>
        <v>14.388333333333334</v>
      </c>
      <c r="AM526" s="39">
        <f t="shared" si="44"/>
        <v>0</v>
      </c>
      <c r="AN526" s="39">
        <f t="shared" si="41"/>
        <v>17.265999999999998</v>
      </c>
      <c r="AO526" s="39">
        <f t="shared" si="42"/>
        <v>172.66</v>
      </c>
    </row>
    <row r="527" spans="1:41" x14ac:dyDescent="0.3">
      <c r="A527" s="20">
        <v>1000184670</v>
      </c>
      <c r="B527" s="4" t="s">
        <v>147</v>
      </c>
      <c r="C527" s="21"/>
      <c r="D527" s="3"/>
      <c r="E527" s="20">
        <v>1000184757</v>
      </c>
      <c r="F527" s="4" t="s">
        <v>62</v>
      </c>
      <c r="G527" s="21">
        <v>1000189772</v>
      </c>
      <c r="H527" s="3" t="s">
        <v>98</v>
      </c>
      <c r="I527" s="21">
        <v>1000189270</v>
      </c>
      <c r="J527" s="3" t="s">
        <v>34</v>
      </c>
      <c r="K527" s="20" t="s">
        <v>20</v>
      </c>
      <c r="L527" s="39">
        <v>0</v>
      </c>
      <c r="M527" s="39">
        <v>0</v>
      </c>
      <c r="N527" s="39">
        <v>0</v>
      </c>
      <c r="O527" s="39">
        <v>0</v>
      </c>
      <c r="P527" s="39">
        <v>0</v>
      </c>
      <c r="Q527" s="39">
        <v>0</v>
      </c>
      <c r="R527" s="39">
        <v>0</v>
      </c>
      <c r="S527" s="39">
        <v>0</v>
      </c>
      <c r="T527" s="39">
        <v>0</v>
      </c>
      <c r="U527" s="39">
        <v>0</v>
      </c>
      <c r="V527" s="39">
        <v>0</v>
      </c>
      <c r="W527" s="39">
        <v>0</v>
      </c>
      <c r="X527" s="39">
        <v>0</v>
      </c>
      <c r="Y527" s="39">
        <v>0</v>
      </c>
      <c r="Z527" s="39">
        <v>0</v>
      </c>
      <c r="AA527" s="39">
        <v>0</v>
      </c>
      <c r="AB527" s="39">
        <v>0</v>
      </c>
      <c r="AC527" s="39">
        <v>0</v>
      </c>
      <c r="AD527" s="39">
        <v>0</v>
      </c>
      <c r="AE527" s="39">
        <v>0</v>
      </c>
      <c r="AF527" s="39">
        <v>0</v>
      </c>
      <c r="AG527" s="39">
        <v>0</v>
      </c>
      <c r="AH527" s="39"/>
      <c r="AI527" s="39"/>
      <c r="AJ527" s="40"/>
      <c r="AK527" s="39">
        <f t="shared" si="40"/>
        <v>0</v>
      </c>
      <c r="AL527" s="39">
        <f t="shared" si="43"/>
        <v>0</v>
      </c>
      <c r="AM527" s="39">
        <f t="shared" si="44"/>
        <v>0</v>
      </c>
      <c r="AN527" s="39">
        <f t="shared" si="41"/>
        <v>0</v>
      </c>
      <c r="AO527" s="39">
        <f t="shared" si="42"/>
        <v>0</v>
      </c>
    </row>
    <row r="528" spans="1:41" x14ac:dyDescent="0.3">
      <c r="A528" s="20">
        <v>1000184670</v>
      </c>
      <c r="B528" s="4" t="s">
        <v>147</v>
      </c>
      <c r="C528" s="21"/>
      <c r="D528" s="3"/>
      <c r="E528" s="20">
        <v>1000184757</v>
      </c>
      <c r="F528" s="4" t="s">
        <v>62</v>
      </c>
      <c r="G528" s="21">
        <v>1000189772</v>
      </c>
      <c r="H528" s="3" t="s">
        <v>98</v>
      </c>
      <c r="I528" s="21">
        <v>1000189270</v>
      </c>
      <c r="J528" s="3" t="s">
        <v>34</v>
      </c>
      <c r="K528" s="20" t="s">
        <v>22</v>
      </c>
      <c r="L528" s="39">
        <v>0</v>
      </c>
      <c r="M528" s="39">
        <v>0</v>
      </c>
      <c r="N528" s="39">
        <v>0</v>
      </c>
      <c r="O528" s="39">
        <v>0</v>
      </c>
      <c r="P528" s="39">
        <v>0</v>
      </c>
      <c r="Q528" s="39">
        <v>0</v>
      </c>
      <c r="R528" s="39">
        <v>0</v>
      </c>
      <c r="S528" s="39">
        <v>0</v>
      </c>
      <c r="T528" s="39">
        <v>0</v>
      </c>
      <c r="U528" s="39">
        <v>0</v>
      </c>
      <c r="V528" s="39">
        <v>0</v>
      </c>
      <c r="W528" s="39">
        <v>0</v>
      </c>
      <c r="X528" s="39">
        <v>0</v>
      </c>
      <c r="Y528" s="39">
        <v>0</v>
      </c>
      <c r="Z528" s="39">
        <v>0</v>
      </c>
      <c r="AA528" s="39">
        <v>0</v>
      </c>
      <c r="AB528" s="39">
        <v>0</v>
      </c>
      <c r="AC528" s="39">
        <v>0</v>
      </c>
      <c r="AD528" s="39">
        <v>0</v>
      </c>
      <c r="AE528" s="39">
        <v>0</v>
      </c>
      <c r="AF528" s="39">
        <v>0</v>
      </c>
      <c r="AG528" s="39">
        <v>0</v>
      </c>
      <c r="AH528" s="39"/>
      <c r="AI528" s="39"/>
      <c r="AJ528" s="40"/>
      <c r="AK528" s="39">
        <f t="shared" si="40"/>
        <v>0</v>
      </c>
      <c r="AL528" s="39">
        <f t="shared" si="43"/>
        <v>0</v>
      </c>
      <c r="AM528" s="39">
        <f t="shared" si="44"/>
        <v>0</v>
      </c>
      <c r="AN528" s="39">
        <f t="shared" si="41"/>
        <v>0</v>
      </c>
      <c r="AO528" s="39">
        <f t="shared" si="42"/>
        <v>0</v>
      </c>
    </row>
    <row r="529" spans="1:41" x14ac:dyDescent="0.3">
      <c r="A529" s="20">
        <v>1000184670</v>
      </c>
      <c r="B529" s="4" t="s">
        <v>147</v>
      </c>
      <c r="C529" s="21"/>
      <c r="D529" s="3"/>
      <c r="E529" s="20">
        <v>1000184757</v>
      </c>
      <c r="F529" s="4" t="s">
        <v>62</v>
      </c>
      <c r="G529" s="21">
        <v>1000189772</v>
      </c>
      <c r="H529" s="3" t="s">
        <v>98</v>
      </c>
      <c r="I529" s="21">
        <v>1000189270</v>
      </c>
      <c r="J529" s="3" t="s">
        <v>34</v>
      </c>
      <c r="K529" s="20" t="s">
        <v>23</v>
      </c>
      <c r="L529" s="39">
        <v>0</v>
      </c>
      <c r="M529" s="39">
        <v>0</v>
      </c>
      <c r="N529" s="39">
        <v>0</v>
      </c>
      <c r="O529" s="39">
        <v>0</v>
      </c>
      <c r="P529" s="39">
        <v>0</v>
      </c>
      <c r="Q529" s="39">
        <v>0</v>
      </c>
      <c r="R529" s="39">
        <v>0</v>
      </c>
      <c r="S529" s="39">
        <v>0</v>
      </c>
      <c r="T529" s="39">
        <v>0</v>
      </c>
      <c r="U529" s="39">
        <v>0</v>
      </c>
      <c r="V529" s="39">
        <v>0</v>
      </c>
      <c r="W529" s="39">
        <v>0</v>
      </c>
      <c r="X529" s="39">
        <v>0</v>
      </c>
      <c r="Y529" s="39">
        <v>0</v>
      </c>
      <c r="Z529" s="39">
        <v>0</v>
      </c>
      <c r="AA529" s="39">
        <v>0</v>
      </c>
      <c r="AB529" s="39">
        <v>0</v>
      </c>
      <c r="AC529" s="39">
        <v>0</v>
      </c>
      <c r="AD529" s="39">
        <v>0</v>
      </c>
      <c r="AE529" s="39">
        <v>0</v>
      </c>
      <c r="AF529" s="39">
        <v>0</v>
      </c>
      <c r="AG529" s="39">
        <v>0</v>
      </c>
      <c r="AH529" s="39"/>
      <c r="AI529" s="39"/>
      <c r="AJ529" s="40"/>
      <c r="AK529" s="39">
        <f t="shared" si="40"/>
        <v>0</v>
      </c>
      <c r="AL529" s="39">
        <f t="shared" si="43"/>
        <v>0</v>
      </c>
      <c r="AM529" s="39">
        <f t="shared" si="44"/>
        <v>0</v>
      </c>
      <c r="AN529" s="39">
        <f t="shared" si="41"/>
        <v>0</v>
      </c>
      <c r="AO529" s="39">
        <f t="shared" si="42"/>
        <v>0</v>
      </c>
    </row>
    <row r="530" spans="1:41" x14ac:dyDescent="0.3">
      <c r="A530" s="20">
        <v>1000184670</v>
      </c>
      <c r="B530" s="4" t="s">
        <v>147</v>
      </c>
      <c r="C530" s="21"/>
      <c r="D530" s="3"/>
      <c r="E530" s="20">
        <v>1000184757</v>
      </c>
      <c r="F530" s="4" t="s">
        <v>62</v>
      </c>
      <c r="G530" s="21">
        <v>1000189772</v>
      </c>
      <c r="H530" s="3" t="s">
        <v>98</v>
      </c>
      <c r="I530" s="21">
        <v>1000189270</v>
      </c>
      <c r="J530" s="3" t="s">
        <v>34</v>
      </c>
      <c r="K530" s="20" t="s">
        <v>28</v>
      </c>
      <c r="L530" s="39">
        <v>0</v>
      </c>
      <c r="M530" s="39">
        <v>0</v>
      </c>
      <c r="N530" s="39">
        <v>0</v>
      </c>
      <c r="O530" s="39">
        <v>0</v>
      </c>
      <c r="P530" s="39">
        <v>0</v>
      </c>
      <c r="Q530" s="39">
        <v>0</v>
      </c>
      <c r="R530" s="39">
        <v>0</v>
      </c>
      <c r="S530" s="39">
        <v>0</v>
      </c>
      <c r="T530" s="39">
        <v>0</v>
      </c>
      <c r="U530" s="39">
        <v>0</v>
      </c>
      <c r="V530" s="39">
        <v>0</v>
      </c>
      <c r="W530" s="39">
        <v>0</v>
      </c>
      <c r="X530" s="39">
        <v>0</v>
      </c>
      <c r="Y530" s="39">
        <v>0</v>
      </c>
      <c r="Z530" s="39">
        <v>0</v>
      </c>
      <c r="AA530" s="39">
        <v>0</v>
      </c>
      <c r="AB530" s="39">
        <v>0</v>
      </c>
      <c r="AC530" s="39">
        <v>0</v>
      </c>
      <c r="AD530" s="39">
        <v>0</v>
      </c>
      <c r="AE530" s="39">
        <v>0</v>
      </c>
      <c r="AF530" s="39">
        <v>0</v>
      </c>
      <c r="AG530" s="39">
        <v>0</v>
      </c>
      <c r="AH530" s="39"/>
      <c r="AI530" s="39"/>
      <c r="AJ530" s="40"/>
      <c r="AK530" s="39">
        <f t="shared" si="40"/>
        <v>0</v>
      </c>
      <c r="AL530" s="39">
        <f t="shared" si="43"/>
        <v>0</v>
      </c>
      <c r="AM530" s="39">
        <f t="shared" si="44"/>
        <v>0</v>
      </c>
      <c r="AN530" s="39">
        <f t="shared" si="41"/>
        <v>0</v>
      </c>
      <c r="AO530" s="39">
        <f t="shared" si="42"/>
        <v>0</v>
      </c>
    </row>
    <row r="531" spans="1:41" x14ac:dyDescent="0.3">
      <c r="A531" s="20">
        <v>1000184670</v>
      </c>
      <c r="B531" s="4" t="s">
        <v>147</v>
      </c>
      <c r="C531" s="21"/>
      <c r="D531" s="3"/>
      <c r="E531" s="20">
        <v>1000184757</v>
      </c>
      <c r="F531" s="4" t="s">
        <v>62</v>
      </c>
      <c r="G531" s="21">
        <v>1000189772</v>
      </c>
      <c r="H531" s="3" t="s">
        <v>98</v>
      </c>
      <c r="I531" s="21">
        <v>1000189270</v>
      </c>
      <c r="J531" s="3" t="s">
        <v>34</v>
      </c>
      <c r="K531" s="20" t="s">
        <v>26</v>
      </c>
      <c r="L531" s="39">
        <v>0</v>
      </c>
      <c r="M531" s="39">
        <v>0</v>
      </c>
      <c r="N531" s="39">
        <v>0</v>
      </c>
      <c r="O531" s="39">
        <v>0</v>
      </c>
      <c r="P531" s="39">
        <v>0</v>
      </c>
      <c r="Q531" s="39">
        <v>0</v>
      </c>
      <c r="R531" s="39">
        <v>0</v>
      </c>
      <c r="S531" s="39">
        <v>0</v>
      </c>
      <c r="T531" s="39">
        <v>0</v>
      </c>
      <c r="U531" s="39">
        <v>0</v>
      </c>
      <c r="V531" s="39">
        <v>0</v>
      </c>
      <c r="W531" s="39">
        <v>0</v>
      </c>
      <c r="X531" s="39">
        <v>0</v>
      </c>
      <c r="Y531" s="39">
        <v>0</v>
      </c>
      <c r="Z531" s="39">
        <v>0</v>
      </c>
      <c r="AA531" s="39">
        <v>0</v>
      </c>
      <c r="AB531" s="39">
        <v>0</v>
      </c>
      <c r="AC531" s="39">
        <v>0</v>
      </c>
      <c r="AD531" s="39">
        <v>0</v>
      </c>
      <c r="AE531" s="39">
        <v>0</v>
      </c>
      <c r="AF531" s="39">
        <v>0</v>
      </c>
      <c r="AG531" s="39">
        <v>0</v>
      </c>
      <c r="AH531" s="39"/>
      <c r="AI531" s="39"/>
      <c r="AJ531" s="40"/>
      <c r="AK531" s="39">
        <f t="shared" si="40"/>
        <v>0</v>
      </c>
      <c r="AL531" s="39">
        <f t="shared" si="43"/>
        <v>0</v>
      </c>
      <c r="AM531" s="39">
        <f t="shared" si="44"/>
        <v>0</v>
      </c>
      <c r="AN531" s="39">
        <f t="shared" si="41"/>
        <v>0</v>
      </c>
      <c r="AO531" s="39">
        <f t="shared" si="42"/>
        <v>0</v>
      </c>
    </row>
    <row r="532" spans="1:41" x14ac:dyDescent="0.3">
      <c r="A532" s="20">
        <v>1000184670</v>
      </c>
      <c r="B532" s="4" t="s">
        <v>147</v>
      </c>
      <c r="C532" s="21"/>
      <c r="D532" s="3"/>
      <c r="E532" s="20">
        <v>1000184757</v>
      </c>
      <c r="F532" s="4" t="s">
        <v>62</v>
      </c>
      <c r="G532" s="21">
        <v>1000189772</v>
      </c>
      <c r="H532" s="3" t="s">
        <v>98</v>
      </c>
      <c r="I532" s="21">
        <v>1000189270</v>
      </c>
      <c r="J532" s="3" t="s">
        <v>34</v>
      </c>
      <c r="K532" s="20" t="s">
        <v>27</v>
      </c>
      <c r="L532" s="39">
        <v>0</v>
      </c>
      <c r="M532" s="39">
        <v>0</v>
      </c>
      <c r="N532" s="39">
        <v>0</v>
      </c>
      <c r="O532" s="39">
        <v>0</v>
      </c>
      <c r="P532" s="39">
        <v>0</v>
      </c>
      <c r="Q532" s="39">
        <v>0</v>
      </c>
      <c r="R532" s="39">
        <v>0</v>
      </c>
      <c r="S532" s="39">
        <v>0</v>
      </c>
      <c r="T532" s="39">
        <v>0</v>
      </c>
      <c r="U532" s="39">
        <v>0</v>
      </c>
      <c r="V532" s="39">
        <v>0</v>
      </c>
      <c r="W532" s="39">
        <v>0</v>
      </c>
      <c r="X532" s="39">
        <v>0</v>
      </c>
      <c r="Y532" s="39">
        <v>0</v>
      </c>
      <c r="Z532" s="39">
        <v>0</v>
      </c>
      <c r="AA532" s="39">
        <v>0</v>
      </c>
      <c r="AB532" s="39">
        <v>0</v>
      </c>
      <c r="AC532" s="39">
        <v>0</v>
      </c>
      <c r="AD532" s="39">
        <v>0</v>
      </c>
      <c r="AE532" s="39">
        <v>0</v>
      </c>
      <c r="AF532" s="39">
        <v>0</v>
      </c>
      <c r="AG532" s="39">
        <v>0</v>
      </c>
      <c r="AH532" s="39"/>
      <c r="AI532" s="39"/>
      <c r="AJ532" s="40"/>
      <c r="AK532" s="39">
        <f t="shared" si="40"/>
        <v>0</v>
      </c>
      <c r="AL532" s="39">
        <f t="shared" si="43"/>
        <v>0</v>
      </c>
      <c r="AM532" s="39">
        <f t="shared" si="44"/>
        <v>0</v>
      </c>
      <c r="AN532" s="39">
        <f t="shared" si="41"/>
        <v>0</v>
      </c>
      <c r="AO532" s="39">
        <f t="shared" si="42"/>
        <v>0</v>
      </c>
    </row>
    <row r="533" spans="1:41" x14ac:dyDescent="0.3">
      <c r="A533" s="20">
        <v>1000184670</v>
      </c>
      <c r="B533" s="4" t="s">
        <v>147</v>
      </c>
      <c r="C533" s="21"/>
      <c r="D533" s="3"/>
      <c r="E533" s="20">
        <v>1000184757</v>
      </c>
      <c r="F533" s="4" t="s">
        <v>62</v>
      </c>
      <c r="G533" s="21">
        <v>1000189772</v>
      </c>
      <c r="H533" s="3" t="s">
        <v>98</v>
      </c>
      <c r="I533" s="21">
        <v>1000189270</v>
      </c>
      <c r="J533" s="3" t="s">
        <v>34</v>
      </c>
      <c r="K533" s="20" t="s">
        <v>25</v>
      </c>
      <c r="L533" s="39">
        <v>0</v>
      </c>
      <c r="M533" s="39">
        <v>0</v>
      </c>
      <c r="N533" s="39">
        <v>0</v>
      </c>
      <c r="O533" s="39">
        <v>0</v>
      </c>
      <c r="P533" s="39">
        <v>0</v>
      </c>
      <c r="Q533" s="39">
        <v>0</v>
      </c>
      <c r="R533" s="39">
        <v>0</v>
      </c>
      <c r="S533" s="39">
        <v>0</v>
      </c>
      <c r="T533" s="39">
        <v>0</v>
      </c>
      <c r="U533" s="39">
        <v>0</v>
      </c>
      <c r="V533" s="39">
        <v>0</v>
      </c>
      <c r="W533" s="39">
        <v>0</v>
      </c>
      <c r="X533" s="39">
        <v>0</v>
      </c>
      <c r="Y533" s="39">
        <v>0</v>
      </c>
      <c r="Z533" s="39">
        <v>135</v>
      </c>
      <c r="AA533" s="39">
        <v>0</v>
      </c>
      <c r="AB533" s="39">
        <v>0</v>
      </c>
      <c r="AC533" s="39">
        <v>0</v>
      </c>
      <c r="AD533" s="39">
        <v>0</v>
      </c>
      <c r="AE533" s="39">
        <v>0</v>
      </c>
      <c r="AF533" s="39">
        <v>0</v>
      </c>
      <c r="AG533" s="39">
        <v>0</v>
      </c>
      <c r="AH533" s="39"/>
      <c r="AI533" s="39"/>
      <c r="AJ533" s="40"/>
      <c r="AK533" s="39">
        <f t="shared" si="40"/>
        <v>0</v>
      </c>
      <c r="AL533" s="39">
        <f t="shared" si="43"/>
        <v>11.25</v>
      </c>
      <c r="AM533" s="39">
        <f t="shared" si="44"/>
        <v>0</v>
      </c>
      <c r="AN533" s="39">
        <f t="shared" si="41"/>
        <v>13.5</v>
      </c>
      <c r="AO533" s="39">
        <f t="shared" si="42"/>
        <v>135</v>
      </c>
    </row>
    <row r="534" spans="1:41" x14ac:dyDescent="0.3">
      <c r="A534" s="20">
        <v>1000184670</v>
      </c>
      <c r="B534" s="4" t="s">
        <v>147</v>
      </c>
      <c r="C534" s="21"/>
      <c r="D534" s="3"/>
      <c r="E534" s="20">
        <v>1000184756</v>
      </c>
      <c r="F534" s="4" t="s">
        <v>53</v>
      </c>
      <c r="G534" s="21">
        <v>1000189773</v>
      </c>
      <c r="H534" s="3" t="s">
        <v>93</v>
      </c>
      <c r="I534" s="21">
        <v>1000189270</v>
      </c>
      <c r="J534" s="3" t="s">
        <v>34</v>
      </c>
      <c r="K534" s="20" t="s">
        <v>124</v>
      </c>
      <c r="L534" s="39">
        <v>0</v>
      </c>
      <c r="M534" s="39">
        <v>0</v>
      </c>
      <c r="N534" s="39">
        <v>0</v>
      </c>
      <c r="O534" s="39">
        <v>0</v>
      </c>
      <c r="P534" s="39">
        <v>0</v>
      </c>
      <c r="Q534" s="39">
        <v>0</v>
      </c>
      <c r="R534" s="39">
        <v>0</v>
      </c>
      <c r="S534" s="39">
        <v>0</v>
      </c>
      <c r="T534" s="39">
        <v>0</v>
      </c>
      <c r="U534" s="39">
        <v>0</v>
      </c>
      <c r="V534" s="39">
        <v>0</v>
      </c>
      <c r="W534" s="39">
        <v>0</v>
      </c>
      <c r="X534" s="39">
        <v>0</v>
      </c>
      <c r="Y534" s="39">
        <v>0</v>
      </c>
      <c r="Z534" s="39">
        <v>0</v>
      </c>
      <c r="AA534" s="39">
        <v>0</v>
      </c>
      <c r="AB534" s="39">
        <v>0</v>
      </c>
      <c r="AC534" s="39">
        <v>0</v>
      </c>
      <c r="AD534" s="39">
        <v>0</v>
      </c>
      <c r="AE534" s="39">
        <v>0</v>
      </c>
      <c r="AF534" s="39">
        <v>0</v>
      </c>
      <c r="AG534" s="39">
        <v>0</v>
      </c>
      <c r="AH534" s="39"/>
      <c r="AI534" s="39"/>
      <c r="AJ534" s="40"/>
      <c r="AK534" s="39">
        <f t="shared" si="40"/>
        <v>0</v>
      </c>
      <c r="AL534" s="39">
        <f t="shared" si="43"/>
        <v>0</v>
      </c>
      <c r="AM534" s="39">
        <f t="shared" si="44"/>
        <v>0</v>
      </c>
      <c r="AN534" s="39">
        <f t="shared" si="41"/>
        <v>0</v>
      </c>
      <c r="AO534" s="39">
        <f t="shared" si="42"/>
        <v>0</v>
      </c>
    </row>
    <row r="535" spans="1:41" x14ac:dyDescent="0.3">
      <c r="A535" s="20">
        <v>1000184670</v>
      </c>
      <c r="B535" s="4" t="s">
        <v>147</v>
      </c>
      <c r="C535" s="21"/>
      <c r="D535" s="3"/>
      <c r="E535" s="20">
        <v>1000184756</v>
      </c>
      <c r="F535" s="4" t="s">
        <v>53</v>
      </c>
      <c r="G535" s="21">
        <v>1000189773</v>
      </c>
      <c r="H535" s="3" t="s">
        <v>93</v>
      </c>
      <c r="I535" s="21">
        <v>1000189270</v>
      </c>
      <c r="J535" s="3" t="s">
        <v>34</v>
      </c>
      <c r="K535" s="20" t="s">
        <v>13</v>
      </c>
      <c r="L535" s="39">
        <v>0</v>
      </c>
      <c r="M535" s="39">
        <v>0</v>
      </c>
      <c r="N535" s="39">
        <v>0</v>
      </c>
      <c r="O535" s="39">
        <v>0</v>
      </c>
      <c r="P535" s="39">
        <v>0</v>
      </c>
      <c r="Q535" s="39">
        <v>0</v>
      </c>
      <c r="R535" s="39">
        <v>0</v>
      </c>
      <c r="S535" s="39">
        <v>0</v>
      </c>
      <c r="T535" s="39">
        <v>0</v>
      </c>
      <c r="U535" s="39">
        <v>0</v>
      </c>
      <c r="V535" s="39">
        <v>0</v>
      </c>
      <c r="W535" s="39">
        <v>0</v>
      </c>
      <c r="X535" s="39">
        <v>0</v>
      </c>
      <c r="Y535" s="39">
        <v>0</v>
      </c>
      <c r="Z535" s="39">
        <v>0</v>
      </c>
      <c r="AA535" s="39">
        <v>0</v>
      </c>
      <c r="AB535" s="39">
        <v>0</v>
      </c>
      <c r="AC535" s="39">
        <v>695.18</v>
      </c>
      <c r="AD535" s="39">
        <v>0</v>
      </c>
      <c r="AE535" s="39">
        <v>222.3</v>
      </c>
      <c r="AF535" s="39">
        <v>0</v>
      </c>
      <c r="AG535" s="39">
        <v>0</v>
      </c>
      <c r="AH535" s="39"/>
      <c r="AI535" s="39"/>
      <c r="AJ535" s="40"/>
      <c r="AK535" s="39">
        <f t="shared" si="40"/>
        <v>0</v>
      </c>
      <c r="AL535" s="39">
        <f t="shared" si="43"/>
        <v>76.456666666666663</v>
      </c>
      <c r="AM535" s="39">
        <f t="shared" si="44"/>
        <v>152.91333333333333</v>
      </c>
      <c r="AN535" s="39">
        <f t="shared" si="41"/>
        <v>91.748000000000005</v>
      </c>
      <c r="AO535" s="39">
        <f t="shared" si="42"/>
        <v>917.48</v>
      </c>
    </row>
    <row r="536" spans="1:41" x14ac:dyDescent="0.3">
      <c r="A536" s="20">
        <v>1000184670</v>
      </c>
      <c r="B536" s="4" t="s">
        <v>147</v>
      </c>
      <c r="C536" s="21"/>
      <c r="D536" s="3"/>
      <c r="E536" s="20">
        <v>1000184756</v>
      </c>
      <c r="F536" s="4" t="s">
        <v>53</v>
      </c>
      <c r="G536" s="21">
        <v>1000189773</v>
      </c>
      <c r="H536" s="3" t="s">
        <v>93</v>
      </c>
      <c r="I536" s="21">
        <v>1000189270</v>
      </c>
      <c r="J536" s="3" t="s">
        <v>34</v>
      </c>
      <c r="K536" s="20" t="s">
        <v>14</v>
      </c>
      <c r="L536" s="39">
        <v>0</v>
      </c>
      <c r="M536" s="39">
        <v>0</v>
      </c>
      <c r="N536" s="39">
        <v>0</v>
      </c>
      <c r="O536" s="39">
        <v>0</v>
      </c>
      <c r="P536" s="39">
        <v>0</v>
      </c>
      <c r="Q536" s="39">
        <v>0</v>
      </c>
      <c r="R536" s="39">
        <v>0</v>
      </c>
      <c r="S536" s="39">
        <v>0</v>
      </c>
      <c r="T536" s="39">
        <v>0</v>
      </c>
      <c r="U536" s="39">
        <v>0</v>
      </c>
      <c r="V536" s="39">
        <v>0</v>
      </c>
      <c r="W536" s="39">
        <v>0</v>
      </c>
      <c r="X536" s="39">
        <v>0</v>
      </c>
      <c r="Y536" s="39">
        <v>0</v>
      </c>
      <c r="Z536" s="39">
        <v>0</v>
      </c>
      <c r="AA536" s="39">
        <v>0</v>
      </c>
      <c r="AB536" s="39">
        <v>0</v>
      </c>
      <c r="AC536" s="39">
        <v>0</v>
      </c>
      <c r="AD536" s="39">
        <v>0</v>
      </c>
      <c r="AE536" s="39">
        <v>2687.7</v>
      </c>
      <c r="AF536" s="39">
        <v>0</v>
      </c>
      <c r="AG536" s="39">
        <v>0</v>
      </c>
      <c r="AH536" s="39"/>
      <c r="AI536" s="39"/>
      <c r="AJ536" s="40"/>
      <c r="AK536" s="39">
        <f t="shared" si="40"/>
        <v>0</v>
      </c>
      <c r="AL536" s="39">
        <f t="shared" si="43"/>
        <v>223.97499999999999</v>
      </c>
      <c r="AM536" s="39">
        <f t="shared" si="44"/>
        <v>447.95</v>
      </c>
      <c r="AN536" s="39">
        <f t="shared" si="41"/>
        <v>268.77</v>
      </c>
      <c r="AO536" s="39">
        <f t="shared" si="42"/>
        <v>2687.7</v>
      </c>
    </row>
    <row r="537" spans="1:41" x14ac:dyDescent="0.3">
      <c r="A537" s="20">
        <v>1000184670</v>
      </c>
      <c r="B537" s="4" t="s">
        <v>147</v>
      </c>
      <c r="C537" s="21"/>
      <c r="D537" s="3"/>
      <c r="E537" s="20">
        <v>1000184756</v>
      </c>
      <c r="F537" s="4" t="s">
        <v>53</v>
      </c>
      <c r="G537" s="21">
        <v>1000189773</v>
      </c>
      <c r="H537" s="3" t="s">
        <v>93</v>
      </c>
      <c r="I537" s="21">
        <v>1000189270</v>
      </c>
      <c r="J537" s="3" t="s">
        <v>34</v>
      </c>
      <c r="K537" s="20" t="s">
        <v>16</v>
      </c>
      <c r="L537" s="39">
        <v>0</v>
      </c>
      <c r="M537" s="39">
        <v>0</v>
      </c>
      <c r="N537" s="39">
        <v>0</v>
      </c>
      <c r="O537" s="39">
        <v>0</v>
      </c>
      <c r="P537" s="39">
        <v>0</v>
      </c>
      <c r="Q537" s="39">
        <v>0</v>
      </c>
      <c r="R537" s="39">
        <v>0</v>
      </c>
      <c r="S537" s="39">
        <v>0</v>
      </c>
      <c r="T537" s="39">
        <v>0</v>
      </c>
      <c r="U537" s="39">
        <v>0</v>
      </c>
      <c r="V537" s="39">
        <v>0</v>
      </c>
      <c r="W537" s="39">
        <v>0</v>
      </c>
      <c r="X537" s="39">
        <v>0</v>
      </c>
      <c r="Y537" s="39">
        <v>0</v>
      </c>
      <c r="Z537" s="39">
        <v>0</v>
      </c>
      <c r="AA537" s="39">
        <v>0</v>
      </c>
      <c r="AB537" s="39">
        <v>0</v>
      </c>
      <c r="AC537" s="39">
        <v>192.52</v>
      </c>
      <c r="AD537" s="39">
        <v>0</v>
      </c>
      <c r="AE537" s="39">
        <v>153</v>
      </c>
      <c r="AF537" s="39">
        <v>0</v>
      </c>
      <c r="AG537" s="39">
        <v>0</v>
      </c>
      <c r="AH537" s="39"/>
      <c r="AI537" s="39"/>
      <c r="AJ537" s="40"/>
      <c r="AK537" s="39">
        <f t="shared" si="40"/>
        <v>0</v>
      </c>
      <c r="AL537" s="39">
        <f t="shared" si="43"/>
        <v>28.793333333333333</v>
      </c>
      <c r="AM537" s="39">
        <f t="shared" si="44"/>
        <v>57.586666666666666</v>
      </c>
      <c r="AN537" s="39">
        <f t="shared" si="41"/>
        <v>34.552</v>
      </c>
      <c r="AO537" s="39">
        <f t="shared" si="42"/>
        <v>345.52</v>
      </c>
    </row>
    <row r="538" spans="1:41" x14ac:dyDescent="0.3">
      <c r="A538" s="20">
        <v>1000184670</v>
      </c>
      <c r="B538" s="4" t="s">
        <v>147</v>
      </c>
      <c r="C538" s="21"/>
      <c r="D538" s="3"/>
      <c r="E538" s="20">
        <v>1000184756</v>
      </c>
      <c r="F538" s="4" t="s">
        <v>53</v>
      </c>
      <c r="G538" s="21">
        <v>1000189773</v>
      </c>
      <c r="H538" s="3" t="s">
        <v>93</v>
      </c>
      <c r="I538" s="21">
        <v>1000189270</v>
      </c>
      <c r="J538" s="3" t="s">
        <v>34</v>
      </c>
      <c r="K538" s="20" t="s">
        <v>15</v>
      </c>
      <c r="L538" s="39">
        <v>0</v>
      </c>
      <c r="M538" s="39">
        <v>0</v>
      </c>
      <c r="N538" s="39">
        <v>0</v>
      </c>
      <c r="O538" s="39">
        <v>0</v>
      </c>
      <c r="P538" s="39">
        <v>0</v>
      </c>
      <c r="Q538" s="39">
        <v>0</v>
      </c>
      <c r="R538" s="39">
        <v>0</v>
      </c>
      <c r="S538" s="39">
        <v>0</v>
      </c>
      <c r="T538" s="39">
        <v>0</v>
      </c>
      <c r="U538" s="39">
        <v>0</v>
      </c>
      <c r="V538" s="39">
        <v>0</v>
      </c>
      <c r="W538" s="39">
        <v>0</v>
      </c>
      <c r="X538" s="39">
        <v>0</v>
      </c>
      <c r="Y538" s="39">
        <v>0</v>
      </c>
      <c r="Z538" s="39">
        <v>0</v>
      </c>
      <c r="AA538" s="39">
        <v>0</v>
      </c>
      <c r="AB538" s="39">
        <v>0</v>
      </c>
      <c r="AC538" s="39">
        <v>3334.89</v>
      </c>
      <c r="AD538" s="39">
        <v>0</v>
      </c>
      <c r="AE538" s="39">
        <v>357.9</v>
      </c>
      <c r="AF538" s="39">
        <v>0</v>
      </c>
      <c r="AG538" s="39">
        <v>0</v>
      </c>
      <c r="AH538" s="39"/>
      <c r="AI538" s="39"/>
      <c r="AJ538" s="40"/>
      <c r="AK538" s="39">
        <f t="shared" si="40"/>
        <v>0</v>
      </c>
      <c r="AL538" s="39">
        <f t="shared" si="43"/>
        <v>307.73250000000002</v>
      </c>
      <c r="AM538" s="39">
        <f t="shared" si="44"/>
        <v>615.46500000000003</v>
      </c>
      <c r="AN538" s="39">
        <f t="shared" si="41"/>
        <v>369.279</v>
      </c>
      <c r="AO538" s="39">
        <f t="shared" si="42"/>
        <v>3692.79</v>
      </c>
    </row>
    <row r="539" spans="1:41" x14ac:dyDescent="0.3">
      <c r="A539" s="20">
        <v>1000184670</v>
      </c>
      <c r="B539" s="4" t="s">
        <v>147</v>
      </c>
      <c r="C539" s="21"/>
      <c r="D539" s="3"/>
      <c r="E539" s="20">
        <v>1000184756</v>
      </c>
      <c r="F539" s="4" t="s">
        <v>53</v>
      </c>
      <c r="G539" s="21">
        <v>1000189773</v>
      </c>
      <c r="H539" s="3" t="s">
        <v>93</v>
      </c>
      <c r="I539" s="21">
        <v>1000189270</v>
      </c>
      <c r="J539" s="3" t="s">
        <v>34</v>
      </c>
      <c r="K539" s="20" t="s">
        <v>33</v>
      </c>
      <c r="L539" s="39">
        <v>0</v>
      </c>
      <c r="M539" s="39">
        <v>0</v>
      </c>
      <c r="N539" s="39">
        <v>0</v>
      </c>
      <c r="O539" s="39">
        <v>0</v>
      </c>
      <c r="P539" s="39">
        <v>0</v>
      </c>
      <c r="Q539" s="39">
        <v>0</v>
      </c>
      <c r="R539" s="39">
        <v>0</v>
      </c>
      <c r="S539" s="39">
        <v>0</v>
      </c>
      <c r="T539" s="39">
        <v>0</v>
      </c>
      <c r="U539" s="39">
        <v>0</v>
      </c>
      <c r="V539" s="39">
        <v>0</v>
      </c>
      <c r="W539" s="39">
        <v>0</v>
      </c>
      <c r="X539" s="39">
        <v>0</v>
      </c>
      <c r="Y539" s="39">
        <v>0</v>
      </c>
      <c r="Z539" s="39">
        <v>0</v>
      </c>
      <c r="AA539" s="39">
        <v>0</v>
      </c>
      <c r="AB539" s="39">
        <v>0</v>
      </c>
      <c r="AC539" s="39">
        <v>0</v>
      </c>
      <c r="AD539" s="39">
        <v>0</v>
      </c>
      <c r="AE539" s="39">
        <v>0</v>
      </c>
      <c r="AF539" s="39">
        <v>0</v>
      </c>
      <c r="AG539" s="39">
        <v>0</v>
      </c>
      <c r="AH539" s="39"/>
      <c r="AI539" s="39"/>
      <c r="AJ539" s="40"/>
      <c r="AK539" s="39">
        <f t="shared" si="40"/>
        <v>0</v>
      </c>
      <c r="AL539" s="39">
        <f t="shared" si="43"/>
        <v>0</v>
      </c>
      <c r="AM539" s="39">
        <f t="shared" si="44"/>
        <v>0</v>
      </c>
      <c r="AN539" s="39">
        <f t="shared" si="41"/>
        <v>0</v>
      </c>
      <c r="AO539" s="39">
        <f t="shared" si="42"/>
        <v>0</v>
      </c>
    </row>
    <row r="540" spans="1:41" x14ac:dyDescent="0.3">
      <c r="A540" s="20">
        <v>1000184670</v>
      </c>
      <c r="B540" s="4" t="s">
        <v>147</v>
      </c>
      <c r="C540" s="21"/>
      <c r="D540" s="3"/>
      <c r="E540" s="20">
        <v>1000184756</v>
      </c>
      <c r="F540" s="4" t="s">
        <v>53</v>
      </c>
      <c r="G540" s="21">
        <v>1000189773</v>
      </c>
      <c r="H540" s="3" t="s">
        <v>93</v>
      </c>
      <c r="I540" s="21">
        <v>1000189270</v>
      </c>
      <c r="J540" s="3" t="s">
        <v>34</v>
      </c>
      <c r="K540" s="20" t="s">
        <v>19</v>
      </c>
      <c r="L540" s="39">
        <v>0</v>
      </c>
      <c r="M540" s="39">
        <v>0</v>
      </c>
      <c r="N540" s="39">
        <v>0</v>
      </c>
      <c r="O540" s="39">
        <v>0</v>
      </c>
      <c r="P540" s="39">
        <v>0</v>
      </c>
      <c r="Q540" s="39">
        <v>0</v>
      </c>
      <c r="R540" s="39">
        <v>0</v>
      </c>
      <c r="S540" s="39">
        <v>0</v>
      </c>
      <c r="T540" s="39">
        <v>0</v>
      </c>
      <c r="U540" s="39">
        <v>0</v>
      </c>
      <c r="V540" s="39">
        <v>0</v>
      </c>
      <c r="W540" s="39">
        <v>0</v>
      </c>
      <c r="X540" s="39">
        <v>0</v>
      </c>
      <c r="Y540" s="39">
        <v>0</v>
      </c>
      <c r="Z540" s="39">
        <v>0</v>
      </c>
      <c r="AA540" s="39">
        <v>0</v>
      </c>
      <c r="AB540" s="39">
        <v>0</v>
      </c>
      <c r="AC540" s="39">
        <v>576</v>
      </c>
      <c r="AD540" s="39">
        <v>0</v>
      </c>
      <c r="AE540" s="39">
        <v>137.69999999999999</v>
      </c>
      <c r="AF540" s="39">
        <v>0</v>
      </c>
      <c r="AG540" s="39">
        <v>0</v>
      </c>
      <c r="AH540" s="39"/>
      <c r="AI540" s="39"/>
      <c r="AJ540" s="40"/>
      <c r="AK540" s="39">
        <f t="shared" si="40"/>
        <v>0</v>
      </c>
      <c r="AL540" s="39">
        <f t="shared" si="43"/>
        <v>59.475000000000001</v>
      </c>
      <c r="AM540" s="39">
        <f t="shared" si="44"/>
        <v>118.95</v>
      </c>
      <c r="AN540" s="39">
        <f t="shared" si="41"/>
        <v>71.37</v>
      </c>
      <c r="AO540" s="39">
        <f t="shared" si="42"/>
        <v>713.7</v>
      </c>
    </row>
    <row r="541" spans="1:41" x14ac:dyDescent="0.3">
      <c r="A541" s="20">
        <v>1000184670</v>
      </c>
      <c r="B541" s="4" t="s">
        <v>147</v>
      </c>
      <c r="C541" s="21"/>
      <c r="D541" s="3"/>
      <c r="E541" s="20">
        <v>1000184756</v>
      </c>
      <c r="F541" s="4" t="s">
        <v>53</v>
      </c>
      <c r="G541" s="21">
        <v>1000189773</v>
      </c>
      <c r="H541" s="3" t="s">
        <v>93</v>
      </c>
      <c r="I541" s="21">
        <v>1000189270</v>
      </c>
      <c r="J541" s="3" t="s">
        <v>34</v>
      </c>
      <c r="K541" s="20" t="s">
        <v>17</v>
      </c>
      <c r="L541" s="39">
        <v>0</v>
      </c>
      <c r="M541" s="39">
        <v>0</v>
      </c>
      <c r="N541" s="39">
        <v>0</v>
      </c>
      <c r="O541" s="39">
        <v>0</v>
      </c>
      <c r="P541" s="39">
        <v>0</v>
      </c>
      <c r="Q541" s="39">
        <v>0</v>
      </c>
      <c r="R541" s="39">
        <v>0</v>
      </c>
      <c r="S541" s="39">
        <v>0</v>
      </c>
      <c r="T541" s="39">
        <v>0</v>
      </c>
      <c r="U541" s="39">
        <v>0</v>
      </c>
      <c r="V541" s="39">
        <v>0</v>
      </c>
      <c r="W541" s="39">
        <v>0</v>
      </c>
      <c r="X541" s="39">
        <v>0</v>
      </c>
      <c r="Y541" s="39">
        <v>0</v>
      </c>
      <c r="Z541" s="39">
        <v>0</v>
      </c>
      <c r="AA541" s="39">
        <v>0</v>
      </c>
      <c r="AB541" s="39">
        <v>0</v>
      </c>
      <c r="AC541" s="39">
        <v>0</v>
      </c>
      <c r="AD541" s="39">
        <v>0</v>
      </c>
      <c r="AE541" s="39">
        <v>0</v>
      </c>
      <c r="AF541" s="39">
        <v>0</v>
      </c>
      <c r="AG541" s="39">
        <v>0</v>
      </c>
      <c r="AH541" s="39"/>
      <c r="AI541" s="39"/>
      <c r="AJ541" s="40"/>
      <c r="AK541" s="39">
        <f t="shared" si="40"/>
        <v>0</v>
      </c>
      <c r="AL541" s="39">
        <f t="shared" si="43"/>
        <v>0</v>
      </c>
      <c r="AM541" s="39">
        <f t="shared" si="44"/>
        <v>0</v>
      </c>
      <c r="AN541" s="39">
        <f t="shared" si="41"/>
        <v>0</v>
      </c>
      <c r="AO541" s="39">
        <f t="shared" si="42"/>
        <v>0</v>
      </c>
    </row>
    <row r="542" spans="1:41" x14ac:dyDescent="0.3">
      <c r="A542" s="20">
        <v>1000184670</v>
      </c>
      <c r="B542" s="4" t="s">
        <v>147</v>
      </c>
      <c r="C542" s="21"/>
      <c r="D542" s="3"/>
      <c r="E542" s="20">
        <v>1000184756</v>
      </c>
      <c r="F542" s="4" t="s">
        <v>53</v>
      </c>
      <c r="G542" s="21">
        <v>1000189773</v>
      </c>
      <c r="H542" s="3" t="s">
        <v>93</v>
      </c>
      <c r="I542" s="21">
        <v>1000189270</v>
      </c>
      <c r="J542" s="3" t="s">
        <v>34</v>
      </c>
      <c r="K542" s="20" t="s">
        <v>24</v>
      </c>
      <c r="L542" s="39">
        <v>0</v>
      </c>
      <c r="M542" s="39">
        <v>0</v>
      </c>
      <c r="N542" s="39">
        <v>0</v>
      </c>
      <c r="O542" s="39">
        <v>0</v>
      </c>
      <c r="P542" s="39">
        <v>0</v>
      </c>
      <c r="Q542" s="39">
        <v>0</v>
      </c>
      <c r="R542" s="39">
        <v>0</v>
      </c>
      <c r="S542" s="39">
        <v>0</v>
      </c>
      <c r="T542" s="39">
        <v>0</v>
      </c>
      <c r="U542" s="39">
        <v>0</v>
      </c>
      <c r="V542" s="39">
        <v>0</v>
      </c>
      <c r="W542" s="39">
        <v>0</v>
      </c>
      <c r="X542" s="39">
        <v>0</v>
      </c>
      <c r="Y542" s="39">
        <v>0</v>
      </c>
      <c r="Z542" s="39">
        <v>0</v>
      </c>
      <c r="AA542" s="39">
        <v>0</v>
      </c>
      <c r="AB542" s="39">
        <v>0</v>
      </c>
      <c r="AC542" s="39">
        <v>0</v>
      </c>
      <c r="AD542" s="39">
        <v>0</v>
      </c>
      <c r="AE542" s="39">
        <v>0</v>
      </c>
      <c r="AF542" s="39">
        <v>0</v>
      </c>
      <c r="AG542" s="39">
        <v>0</v>
      </c>
      <c r="AH542" s="39"/>
      <c r="AI542" s="39"/>
      <c r="AJ542" s="40"/>
      <c r="AK542" s="39">
        <f t="shared" si="40"/>
        <v>0</v>
      </c>
      <c r="AL542" s="39">
        <f t="shared" si="43"/>
        <v>0</v>
      </c>
      <c r="AM542" s="39">
        <f t="shared" si="44"/>
        <v>0</v>
      </c>
      <c r="AN542" s="39">
        <f t="shared" si="41"/>
        <v>0</v>
      </c>
      <c r="AO542" s="39">
        <f t="shared" si="42"/>
        <v>0</v>
      </c>
    </row>
    <row r="543" spans="1:41" x14ac:dyDescent="0.3">
      <c r="A543" s="20">
        <v>1000184670</v>
      </c>
      <c r="B543" s="4" t="s">
        <v>147</v>
      </c>
      <c r="C543" s="21"/>
      <c r="D543" s="3"/>
      <c r="E543" s="20">
        <v>1000184756</v>
      </c>
      <c r="F543" s="4" t="s">
        <v>53</v>
      </c>
      <c r="G543" s="21">
        <v>1000189773</v>
      </c>
      <c r="H543" s="3" t="s">
        <v>93</v>
      </c>
      <c r="I543" s="21">
        <v>1000189270</v>
      </c>
      <c r="J543" s="3" t="s">
        <v>34</v>
      </c>
      <c r="K543" s="20" t="s">
        <v>18</v>
      </c>
      <c r="L543" s="39">
        <v>0</v>
      </c>
      <c r="M543" s="39">
        <v>0</v>
      </c>
      <c r="N543" s="39">
        <v>0</v>
      </c>
      <c r="O543" s="39">
        <v>0</v>
      </c>
      <c r="P543" s="39">
        <v>0</v>
      </c>
      <c r="Q543" s="39">
        <v>0</v>
      </c>
      <c r="R543" s="39">
        <v>0</v>
      </c>
      <c r="S543" s="39">
        <v>0</v>
      </c>
      <c r="T543" s="39">
        <v>0</v>
      </c>
      <c r="U543" s="39">
        <v>0</v>
      </c>
      <c r="V543" s="39">
        <v>0</v>
      </c>
      <c r="W543" s="39">
        <v>0</v>
      </c>
      <c r="X543" s="39">
        <v>0</v>
      </c>
      <c r="Y543" s="39">
        <v>0</v>
      </c>
      <c r="Z543" s="39">
        <v>0</v>
      </c>
      <c r="AA543" s="39">
        <v>0</v>
      </c>
      <c r="AB543" s="39">
        <v>0</v>
      </c>
      <c r="AC543" s="39">
        <v>0</v>
      </c>
      <c r="AD543" s="39">
        <v>0</v>
      </c>
      <c r="AE543" s="39">
        <v>0</v>
      </c>
      <c r="AF543" s="39">
        <v>0</v>
      </c>
      <c r="AG543" s="39">
        <v>0</v>
      </c>
      <c r="AH543" s="39"/>
      <c r="AI543" s="39"/>
      <c r="AJ543" s="40"/>
      <c r="AK543" s="39">
        <f t="shared" si="40"/>
        <v>0</v>
      </c>
      <c r="AL543" s="39">
        <f t="shared" si="43"/>
        <v>0</v>
      </c>
      <c r="AM543" s="39">
        <f t="shared" si="44"/>
        <v>0</v>
      </c>
      <c r="AN543" s="39">
        <f t="shared" si="41"/>
        <v>0</v>
      </c>
      <c r="AO543" s="39">
        <f t="shared" si="42"/>
        <v>0</v>
      </c>
    </row>
    <row r="544" spans="1:41" x14ac:dyDescent="0.3">
      <c r="A544" s="20">
        <v>1000184670</v>
      </c>
      <c r="B544" s="4" t="s">
        <v>147</v>
      </c>
      <c r="C544" s="21"/>
      <c r="D544" s="3"/>
      <c r="E544" s="20">
        <v>1000184756</v>
      </c>
      <c r="F544" s="4" t="s">
        <v>53</v>
      </c>
      <c r="G544" s="21">
        <v>1000189773</v>
      </c>
      <c r="H544" s="3" t="s">
        <v>93</v>
      </c>
      <c r="I544" s="21">
        <v>1000189270</v>
      </c>
      <c r="J544" s="3" t="s">
        <v>34</v>
      </c>
      <c r="K544" s="20" t="s">
        <v>29</v>
      </c>
      <c r="L544" s="39">
        <v>0</v>
      </c>
      <c r="M544" s="39">
        <v>0</v>
      </c>
      <c r="N544" s="39">
        <v>0</v>
      </c>
      <c r="O544" s="39">
        <v>0</v>
      </c>
      <c r="P544" s="39">
        <v>0</v>
      </c>
      <c r="Q544" s="39">
        <v>0</v>
      </c>
      <c r="R544" s="39">
        <v>0</v>
      </c>
      <c r="S544" s="39">
        <v>0</v>
      </c>
      <c r="T544" s="39">
        <v>0</v>
      </c>
      <c r="U544" s="39">
        <v>0</v>
      </c>
      <c r="V544" s="39">
        <v>0</v>
      </c>
      <c r="W544" s="39">
        <v>0</v>
      </c>
      <c r="X544" s="39">
        <v>0</v>
      </c>
      <c r="Y544" s="39">
        <v>0</v>
      </c>
      <c r="Z544" s="39">
        <v>0</v>
      </c>
      <c r="AA544" s="39">
        <v>0</v>
      </c>
      <c r="AB544" s="39">
        <v>0</v>
      </c>
      <c r="AC544" s="39">
        <v>0</v>
      </c>
      <c r="AD544" s="39">
        <v>0</v>
      </c>
      <c r="AE544" s="39">
        <v>1887.3</v>
      </c>
      <c r="AF544" s="39">
        <v>0</v>
      </c>
      <c r="AG544" s="39">
        <v>0</v>
      </c>
      <c r="AH544" s="39"/>
      <c r="AI544" s="39"/>
      <c r="AJ544" s="40"/>
      <c r="AK544" s="39">
        <f t="shared" si="40"/>
        <v>0</v>
      </c>
      <c r="AL544" s="39">
        <f t="shared" si="43"/>
        <v>157.27500000000001</v>
      </c>
      <c r="AM544" s="39">
        <f t="shared" si="44"/>
        <v>314.55</v>
      </c>
      <c r="AN544" s="39">
        <f t="shared" si="41"/>
        <v>188.73</v>
      </c>
      <c r="AO544" s="39">
        <f t="shared" si="42"/>
        <v>1887.3</v>
      </c>
    </row>
    <row r="545" spans="1:41" x14ac:dyDescent="0.3">
      <c r="A545" s="20">
        <v>1000184670</v>
      </c>
      <c r="B545" s="4" t="s">
        <v>147</v>
      </c>
      <c r="C545" s="21"/>
      <c r="D545" s="3"/>
      <c r="E545" s="20">
        <v>1000184756</v>
      </c>
      <c r="F545" s="4" t="s">
        <v>53</v>
      </c>
      <c r="G545" s="21">
        <v>1000189773</v>
      </c>
      <c r="H545" s="3" t="s">
        <v>93</v>
      </c>
      <c r="I545" s="21">
        <v>1000189270</v>
      </c>
      <c r="J545" s="3" t="s">
        <v>34</v>
      </c>
      <c r="K545" s="20" t="s">
        <v>21</v>
      </c>
      <c r="L545" s="39">
        <v>0</v>
      </c>
      <c r="M545" s="39">
        <v>0</v>
      </c>
      <c r="N545" s="39">
        <v>0</v>
      </c>
      <c r="O545" s="39">
        <v>0</v>
      </c>
      <c r="P545" s="39">
        <v>0</v>
      </c>
      <c r="Q545" s="39">
        <v>0</v>
      </c>
      <c r="R545" s="39">
        <v>0</v>
      </c>
      <c r="S545" s="39">
        <v>0</v>
      </c>
      <c r="T545" s="39">
        <v>0</v>
      </c>
      <c r="U545" s="39">
        <v>0</v>
      </c>
      <c r="V545" s="39">
        <v>0</v>
      </c>
      <c r="W545" s="39">
        <v>0</v>
      </c>
      <c r="X545" s="39">
        <v>0</v>
      </c>
      <c r="Y545" s="39">
        <v>0</v>
      </c>
      <c r="Z545" s="39">
        <v>0</v>
      </c>
      <c r="AA545" s="39">
        <v>0</v>
      </c>
      <c r="AB545" s="39">
        <v>0</v>
      </c>
      <c r="AC545" s="39">
        <v>0</v>
      </c>
      <c r="AD545" s="39">
        <v>0</v>
      </c>
      <c r="AE545" s="39">
        <v>214.2</v>
      </c>
      <c r="AF545" s="39">
        <v>0</v>
      </c>
      <c r="AG545" s="39">
        <v>0</v>
      </c>
      <c r="AH545" s="39"/>
      <c r="AI545" s="39"/>
      <c r="AJ545" s="40"/>
      <c r="AK545" s="39">
        <f t="shared" si="40"/>
        <v>0</v>
      </c>
      <c r="AL545" s="39">
        <f t="shared" si="43"/>
        <v>17.849999999999998</v>
      </c>
      <c r="AM545" s="39">
        <f t="shared" si="44"/>
        <v>35.699999999999996</v>
      </c>
      <c r="AN545" s="39">
        <f t="shared" si="41"/>
        <v>21.419999999999998</v>
      </c>
      <c r="AO545" s="39">
        <f t="shared" si="42"/>
        <v>214.2</v>
      </c>
    </row>
    <row r="546" spans="1:41" x14ac:dyDescent="0.3">
      <c r="A546" s="20">
        <v>1000184670</v>
      </c>
      <c r="B546" s="4" t="s">
        <v>147</v>
      </c>
      <c r="C546" s="21"/>
      <c r="D546" s="3"/>
      <c r="E546" s="20">
        <v>1000184756</v>
      </c>
      <c r="F546" s="4" t="s">
        <v>53</v>
      </c>
      <c r="G546" s="21">
        <v>1000189773</v>
      </c>
      <c r="H546" s="3" t="s">
        <v>93</v>
      </c>
      <c r="I546" s="21">
        <v>1000189270</v>
      </c>
      <c r="J546" s="3" t="s">
        <v>34</v>
      </c>
      <c r="K546" s="20" t="s">
        <v>20</v>
      </c>
      <c r="L546" s="39">
        <v>0</v>
      </c>
      <c r="M546" s="39">
        <v>0</v>
      </c>
      <c r="N546" s="39">
        <v>0</v>
      </c>
      <c r="O546" s="39">
        <v>0</v>
      </c>
      <c r="P546" s="39">
        <v>0</v>
      </c>
      <c r="Q546" s="39">
        <v>0</v>
      </c>
      <c r="R546" s="39">
        <v>0</v>
      </c>
      <c r="S546" s="39">
        <v>0</v>
      </c>
      <c r="T546" s="39">
        <v>0</v>
      </c>
      <c r="U546" s="39">
        <v>0</v>
      </c>
      <c r="V546" s="39">
        <v>0</v>
      </c>
      <c r="W546" s="39">
        <v>0</v>
      </c>
      <c r="X546" s="39">
        <v>0</v>
      </c>
      <c r="Y546" s="39">
        <v>0</v>
      </c>
      <c r="Z546" s="39">
        <v>0</v>
      </c>
      <c r="AA546" s="39">
        <v>0</v>
      </c>
      <c r="AB546" s="39">
        <v>0</v>
      </c>
      <c r="AC546" s="39">
        <v>0</v>
      </c>
      <c r="AD546" s="39">
        <v>0</v>
      </c>
      <c r="AE546" s="39">
        <v>0</v>
      </c>
      <c r="AF546" s="39">
        <v>0</v>
      </c>
      <c r="AG546" s="39">
        <v>0</v>
      </c>
      <c r="AH546" s="39"/>
      <c r="AI546" s="39"/>
      <c r="AJ546" s="40"/>
      <c r="AK546" s="39">
        <f t="shared" si="40"/>
        <v>0</v>
      </c>
      <c r="AL546" s="39">
        <f t="shared" si="43"/>
        <v>0</v>
      </c>
      <c r="AM546" s="39">
        <f t="shared" si="44"/>
        <v>0</v>
      </c>
      <c r="AN546" s="39">
        <f t="shared" si="41"/>
        <v>0</v>
      </c>
      <c r="AO546" s="39">
        <f t="shared" si="42"/>
        <v>0</v>
      </c>
    </row>
    <row r="547" spans="1:41" x14ac:dyDescent="0.3">
      <c r="A547" s="20">
        <v>1000184670</v>
      </c>
      <c r="B547" s="4" t="s">
        <v>147</v>
      </c>
      <c r="C547" s="21"/>
      <c r="D547" s="3"/>
      <c r="E547" s="20">
        <v>1000184756</v>
      </c>
      <c r="F547" s="4" t="s">
        <v>53</v>
      </c>
      <c r="G547" s="21">
        <v>1000189773</v>
      </c>
      <c r="H547" s="3" t="s">
        <v>93</v>
      </c>
      <c r="I547" s="21">
        <v>1000189270</v>
      </c>
      <c r="J547" s="3" t="s">
        <v>34</v>
      </c>
      <c r="K547" s="20" t="s">
        <v>22</v>
      </c>
      <c r="L547" s="39">
        <v>0</v>
      </c>
      <c r="M547" s="39">
        <v>0</v>
      </c>
      <c r="N547" s="39">
        <v>0</v>
      </c>
      <c r="O547" s="39">
        <v>0</v>
      </c>
      <c r="P547" s="39">
        <v>0</v>
      </c>
      <c r="Q547" s="39">
        <v>0</v>
      </c>
      <c r="R547" s="39">
        <v>0</v>
      </c>
      <c r="S547" s="39">
        <v>0</v>
      </c>
      <c r="T547" s="39">
        <v>0</v>
      </c>
      <c r="U547" s="39">
        <v>0</v>
      </c>
      <c r="V547" s="39">
        <v>0</v>
      </c>
      <c r="W547" s="39">
        <v>0</v>
      </c>
      <c r="X547" s="39">
        <v>0</v>
      </c>
      <c r="Y547" s="39">
        <v>0</v>
      </c>
      <c r="Z547" s="39">
        <v>0</v>
      </c>
      <c r="AA547" s="39">
        <v>0</v>
      </c>
      <c r="AB547" s="39">
        <v>0</v>
      </c>
      <c r="AC547" s="39">
        <v>588</v>
      </c>
      <c r="AD547" s="39">
        <v>0</v>
      </c>
      <c r="AE547" s="39">
        <v>0</v>
      </c>
      <c r="AF547" s="39">
        <v>0</v>
      </c>
      <c r="AG547" s="39">
        <v>0</v>
      </c>
      <c r="AH547" s="39"/>
      <c r="AI547" s="39"/>
      <c r="AJ547" s="40"/>
      <c r="AK547" s="39">
        <f t="shared" si="40"/>
        <v>0</v>
      </c>
      <c r="AL547" s="39">
        <f t="shared" si="43"/>
        <v>49</v>
      </c>
      <c r="AM547" s="39">
        <f t="shared" si="44"/>
        <v>98</v>
      </c>
      <c r="AN547" s="39">
        <f t="shared" si="41"/>
        <v>58.8</v>
      </c>
      <c r="AO547" s="39">
        <f t="shared" si="42"/>
        <v>588</v>
      </c>
    </row>
    <row r="548" spans="1:41" x14ac:dyDescent="0.3">
      <c r="A548" s="20">
        <v>1000184670</v>
      </c>
      <c r="B548" s="4" t="s">
        <v>147</v>
      </c>
      <c r="C548" s="21"/>
      <c r="D548" s="3"/>
      <c r="E548" s="20">
        <v>1000184756</v>
      </c>
      <c r="F548" s="4" t="s">
        <v>53</v>
      </c>
      <c r="G548" s="21">
        <v>1000189773</v>
      </c>
      <c r="H548" s="3" t="s">
        <v>93</v>
      </c>
      <c r="I548" s="21">
        <v>1000189270</v>
      </c>
      <c r="J548" s="3" t="s">
        <v>34</v>
      </c>
      <c r="K548" s="20" t="s">
        <v>23</v>
      </c>
      <c r="L548" s="39">
        <v>0</v>
      </c>
      <c r="M548" s="39">
        <v>0</v>
      </c>
      <c r="N548" s="39">
        <v>0</v>
      </c>
      <c r="O548" s="39">
        <v>0</v>
      </c>
      <c r="P548" s="39">
        <v>0</v>
      </c>
      <c r="Q548" s="39">
        <v>0</v>
      </c>
      <c r="R548" s="39">
        <v>0</v>
      </c>
      <c r="S548" s="39">
        <v>0</v>
      </c>
      <c r="T548" s="39">
        <v>0</v>
      </c>
      <c r="U548" s="39">
        <v>0</v>
      </c>
      <c r="V548" s="39">
        <v>0</v>
      </c>
      <c r="W548" s="39">
        <v>0</v>
      </c>
      <c r="X548" s="39">
        <v>0</v>
      </c>
      <c r="Y548" s="39">
        <v>0</v>
      </c>
      <c r="Z548" s="39">
        <v>0</v>
      </c>
      <c r="AA548" s="39">
        <v>0</v>
      </c>
      <c r="AB548" s="39">
        <v>0</v>
      </c>
      <c r="AC548" s="39">
        <v>777.14</v>
      </c>
      <c r="AD548" s="39">
        <v>0</v>
      </c>
      <c r="AE548" s="39">
        <v>0</v>
      </c>
      <c r="AF548" s="39">
        <v>0</v>
      </c>
      <c r="AG548" s="39">
        <v>0</v>
      </c>
      <c r="AH548" s="39"/>
      <c r="AI548" s="39"/>
      <c r="AJ548" s="40"/>
      <c r="AK548" s="39">
        <f t="shared" si="40"/>
        <v>0</v>
      </c>
      <c r="AL548" s="39">
        <f t="shared" si="43"/>
        <v>64.76166666666667</v>
      </c>
      <c r="AM548" s="39">
        <f t="shared" si="44"/>
        <v>129.52333333333334</v>
      </c>
      <c r="AN548" s="39">
        <f t="shared" si="41"/>
        <v>77.713999999999999</v>
      </c>
      <c r="AO548" s="39">
        <f t="shared" si="42"/>
        <v>777.14</v>
      </c>
    </row>
    <row r="549" spans="1:41" x14ac:dyDescent="0.3">
      <c r="A549" s="20">
        <v>1000184670</v>
      </c>
      <c r="B549" s="4" t="s">
        <v>147</v>
      </c>
      <c r="C549" s="21"/>
      <c r="D549" s="3"/>
      <c r="E549" s="20">
        <v>1000184756</v>
      </c>
      <c r="F549" s="4" t="s">
        <v>53</v>
      </c>
      <c r="G549" s="21">
        <v>1000189773</v>
      </c>
      <c r="H549" s="3" t="s">
        <v>93</v>
      </c>
      <c r="I549" s="21">
        <v>1000189270</v>
      </c>
      <c r="J549" s="3" t="s">
        <v>34</v>
      </c>
      <c r="K549" s="20" t="s">
        <v>28</v>
      </c>
      <c r="L549" s="39">
        <v>0</v>
      </c>
      <c r="M549" s="39">
        <v>0</v>
      </c>
      <c r="N549" s="39">
        <v>0</v>
      </c>
      <c r="O549" s="39">
        <v>0</v>
      </c>
      <c r="P549" s="39">
        <v>0</v>
      </c>
      <c r="Q549" s="39">
        <v>0</v>
      </c>
      <c r="R549" s="39">
        <v>0</v>
      </c>
      <c r="S549" s="39">
        <v>0</v>
      </c>
      <c r="T549" s="39">
        <v>0</v>
      </c>
      <c r="U549" s="39">
        <v>0</v>
      </c>
      <c r="V549" s="39">
        <v>0</v>
      </c>
      <c r="W549" s="39">
        <v>0</v>
      </c>
      <c r="X549" s="39">
        <v>0</v>
      </c>
      <c r="Y549" s="39">
        <v>0</v>
      </c>
      <c r="Z549" s="39">
        <v>0</v>
      </c>
      <c r="AA549" s="39">
        <v>0</v>
      </c>
      <c r="AB549" s="39">
        <v>0</v>
      </c>
      <c r="AC549" s="39">
        <v>0</v>
      </c>
      <c r="AD549" s="39">
        <v>0</v>
      </c>
      <c r="AE549" s="39">
        <v>0</v>
      </c>
      <c r="AF549" s="39">
        <v>0</v>
      </c>
      <c r="AG549" s="39">
        <v>0</v>
      </c>
      <c r="AH549" s="39"/>
      <c r="AI549" s="39"/>
      <c r="AJ549" s="40"/>
      <c r="AK549" s="39">
        <f t="shared" si="40"/>
        <v>0</v>
      </c>
      <c r="AL549" s="39">
        <f t="shared" si="43"/>
        <v>0</v>
      </c>
      <c r="AM549" s="39">
        <f t="shared" si="44"/>
        <v>0</v>
      </c>
      <c r="AN549" s="39">
        <f t="shared" si="41"/>
        <v>0</v>
      </c>
      <c r="AO549" s="39">
        <f t="shared" si="42"/>
        <v>0</v>
      </c>
    </row>
    <row r="550" spans="1:41" x14ac:dyDescent="0.3">
      <c r="A550" s="20">
        <v>1000184670</v>
      </c>
      <c r="B550" s="4" t="s">
        <v>147</v>
      </c>
      <c r="C550" s="21"/>
      <c r="D550" s="3"/>
      <c r="E550" s="20">
        <v>1000184756</v>
      </c>
      <c r="F550" s="4" t="s">
        <v>53</v>
      </c>
      <c r="G550" s="21">
        <v>1000189773</v>
      </c>
      <c r="H550" s="3" t="s">
        <v>93</v>
      </c>
      <c r="I550" s="21">
        <v>1000189270</v>
      </c>
      <c r="J550" s="3" t="s">
        <v>34</v>
      </c>
      <c r="K550" s="20" t="s">
        <v>26</v>
      </c>
      <c r="L550" s="39">
        <v>0</v>
      </c>
      <c r="M550" s="39">
        <v>0</v>
      </c>
      <c r="N550" s="39">
        <v>0</v>
      </c>
      <c r="O550" s="39">
        <v>0</v>
      </c>
      <c r="P550" s="39">
        <v>0</v>
      </c>
      <c r="Q550" s="39">
        <v>0</v>
      </c>
      <c r="R550" s="39">
        <v>0</v>
      </c>
      <c r="S550" s="39">
        <v>0</v>
      </c>
      <c r="T550" s="39">
        <v>0</v>
      </c>
      <c r="U550" s="39">
        <v>0</v>
      </c>
      <c r="V550" s="39">
        <v>0</v>
      </c>
      <c r="W550" s="39">
        <v>0</v>
      </c>
      <c r="X550" s="39">
        <v>0</v>
      </c>
      <c r="Y550" s="39">
        <v>0</v>
      </c>
      <c r="Z550" s="39">
        <v>0</v>
      </c>
      <c r="AA550" s="39">
        <v>0</v>
      </c>
      <c r="AB550" s="39">
        <v>0</v>
      </c>
      <c r="AC550" s="39">
        <v>0</v>
      </c>
      <c r="AD550" s="39">
        <v>0</v>
      </c>
      <c r="AE550" s="39">
        <v>0</v>
      </c>
      <c r="AF550" s="39">
        <v>0</v>
      </c>
      <c r="AG550" s="39">
        <v>0</v>
      </c>
      <c r="AH550" s="39"/>
      <c r="AI550" s="39"/>
      <c r="AJ550" s="40"/>
      <c r="AK550" s="39">
        <f t="shared" si="40"/>
        <v>0</v>
      </c>
      <c r="AL550" s="39">
        <f t="shared" si="43"/>
        <v>0</v>
      </c>
      <c r="AM550" s="39">
        <f t="shared" si="44"/>
        <v>0</v>
      </c>
      <c r="AN550" s="39">
        <f t="shared" si="41"/>
        <v>0</v>
      </c>
      <c r="AO550" s="39">
        <f t="shared" si="42"/>
        <v>0</v>
      </c>
    </row>
    <row r="551" spans="1:41" x14ac:dyDescent="0.3">
      <c r="A551" s="20">
        <v>1000184670</v>
      </c>
      <c r="B551" s="4" t="s">
        <v>147</v>
      </c>
      <c r="C551" s="21"/>
      <c r="D551" s="3"/>
      <c r="E551" s="20">
        <v>1000184756</v>
      </c>
      <c r="F551" s="4" t="s">
        <v>53</v>
      </c>
      <c r="G551" s="21">
        <v>1000189773</v>
      </c>
      <c r="H551" s="3" t="s">
        <v>93</v>
      </c>
      <c r="I551" s="21">
        <v>1000189270</v>
      </c>
      <c r="J551" s="3" t="s">
        <v>34</v>
      </c>
      <c r="K551" s="20" t="s">
        <v>27</v>
      </c>
      <c r="L551" s="39">
        <v>0</v>
      </c>
      <c r="M551" s="39">
        <v>0</v>
      </c>
      <c r="N551" s="39">
        <v>0</v>
      </c>
      <c r="O551" s="39">
        <v>0</v>
      </c>
      <c r="P551" s="39">
        <v>0</v>
      </c>
      <c r="Q551" s="39">
        <v>0</v>
      </c>
      <c r="R551" s="39">
        <v>0</v>
      </c>
      <c r="S551" s="39">
        <v>0</v>
      </c>
      <c r="T551" s="39">
        <v>0</v>
      </c>
      <c r="U551" s="39">
        <v>0</v>
      </c>
      <c r="V551" s="39">
        <v>0</v>
      </c>
      <c r="W551" s="39">
        <v>0</v>
      </c>
      <c r="X551" s="39">
        <v>0</v>
      </c>
      <c r="Y551" s="39">
        <v>0</v>
      </c>
      <c r="Z551" s="39">
        <v>0</v>
      </c>
      <c r="AA551" s="39">
        <v>0</v>
      </c>
      <c r="AB551" s="39">
        <v>0</v>
      </c>
      <c r="AC551" s="39">
        <v>894.78</v>
      </c>
      <c r="AD551" s="39">
        <v>0</v>
      </c>
      <c r="AE551" s="39">
        <v>509.2</v>
      </c>
      <c r="AF551" s="39">
        <v>0</v>
      </c>
      <c r="AG551" s="39">
        <v>0</v>
      </c>
      <c r="AH551" s="39"/>
      <c r="AI551" s="39"/>
      <c r="AJ551" s="40"/>
      <c r="AK551" s="39">
        <f t="shared" si="40"/>
        <v>0</v>
      </c>
      <c r="AL551" s="39">
        <f t="shared" si="43"/>
        <v>116.99833333333333</v>
      </c>
      <c r="AM551" s="39">
        <f t="shared" si="44"/>
        <v>233.99666666666667</v>
      </c>
      <c r="AN551" s="39">
        <f t="shared" si="41"/>
        <v>140.398</v>
      </c>
      <c r="AO551" s="39">
        <f t="shared" si="42"/>
        <v>1403.98</v>
      </c>
    </row>
    <row r="552" spans="1:41" x14ac:dyDescent="0.3">
      <c r="A552" s="20">
        <v>1000184670</v>
      </c>
      <c r="B552" s="4" t="s">
        <v>147</v>
      </c>
      <c r="C552" s="21"/>
      <c r="D552" s="3"/>
      <c r="E552" s="20">
        <v>1000184756</v>
      </c>
      <c r="F552" s="4" t="s">
        <v>53</v>
      </c>
      <c r="G552" s="21">
        <v>1000189773</v>
      </c>
      <c r="H552" s="3" t="s">
        <v>93</v>
      </c>
      <c r="I552" s="21">
        <v>1000189270</v>
      </c>
      <c r="J552" s="3" t="s">
        <v>34</v>
      </c>
      <c r="K552" s="20" t="s">
        <v>25</v>
      </c>
      <c r="L552" s="39">
        <v>0</v>
      </c>
      <c r="M552" s="39">
        <v>0</v>
      </c>
      <c r="N552" s="39">
        <v>0</v>
      </c>
      <c r="O552" s="39">
        <v>0</v>
      </c>
      <c r="P552" s="39">
        <v>0</v>
      </c>
      <c r="Q552" s="39">
        <v>0</v>
      </c>
      <c r="R552" s="39">
        <v>0</v>
      </c>
      <c r="S552" s="39">
        <v>0</v>
      </c>
      <c r="T552" s="39">
        <v>0</v>
      </c>
      <c r="U552" s="39">
        <v>0</v>
      </c>
      <c r="V552" s="39">
        <v>0</v>
      </c>
      <c r="W552" s="39">
        <v>0</v>
      </c>
      <c r="X552" s="39">
        <v>0</v>
      </c>
      <c r="Y552" s="39">
        <v>0</v>
      </c>
      <c r="Z552" s="39">
        <v>0</v>
      </c>
      <c r="AA552" s="39">
        <v>0</v>
      </c>
      <c r="AB552" s="39">
        <v>0</v>
      </c>
      <c r="AC552" s="39">
        <v>0</v>
      </c>
      <c r="AD552" s="39">
        <v>0</v>
      </c>
      <c r="AE552" s="39">
        <v>504.9</v>
      </c>
      <c r="AF552" s="39">
        <v>0</v>
      </c>
      <c r="AG552" s="39">
        <v>0</v>
      </c>
      <c r="AH552" s="39"/>
      <c r="AI552" s="39"/>
      <c r="AJ552" s="40"/>
      <c r="AK552" s="39">
        <f t="shared" si="40"/>
        <v>0</v>
      </c>
      <c r="AL552" s="39">
        <f t="shared" si="43"/>
        <v>42.074999999999996</v>
      </c>
      <c r="AM552" s="39">
        <f t="shared" si="44"/>
        <v>84.149999999999991</v>
      </c>
      <c r="AN552" s="39">
        <f t="shared" si="41"/>
        <v>50.489999999999995</v>
      </c>
      <c r="AO552" s="39">
        <f t="shared" si="42"/>
        <v>504.9</v>
      </c>
    </row>
    <row r="553" spans="1:41" x14ac:dyDescent="0.3">
      <c r="A553" s="20">
        <v>1000184670</v>
      </c>
      <c r="B553" s="4" t="s">
        <v>147</v>
      </c>
      <c r="C553" s="21"/>
      <c r="D553" s="3"/>
      <c r="E553" s="20">
        <v>1000184760</v>
      </c>
      <c r="F553" s="4" t="s">
        <v>60</v>
      </c>
      <c r="G553" s="21">
        <v>1000189774</v>
      </c>
      <c r="H553" s="3" t="s">
        <v>68</v>
      </c>
      <c r="I553" s="21">
        <v>1000189270</v>
      </c>
      <c r="J553" s="3" t="s">
        <v>34</v>
      </c>
      <c r="K553" s="20" t="s">
        <v>124</v>
      </c>
      <c r="L553" s="39">
        <v>0</v>
      </c>
      <c r="M553" s="39">
        <v>0</v>
      </c>
      <c r="N553" s="39">
        <v>0</v>
      </c>
      <c r="O553" s="39">
        <v>0</v>
      </c>
      <c r="P553" s="39">
        <v>0</v>
      </c>
      <c r="Q553" s="39">
        <v>0</v>
      </c>
      <c r="R553" s="39">
        <v>0</v>
      </c>
      <c r="S553" s="39">
        <v>0</v>
      </c>
      <c r="T553" s="39">
        <v>0</v>
      </c>
      <c r="U553" s="39">
        <v>0</v>
      </c>
      <c r="V553" s="39">
        <v>0</v>
      </c>
      <c r="W553" s="39">
        <v>0</v>
      </c>
      <c r="X553" s="39">
        <v>0</v>
      </c>
      <c r="Y553" s="39">
        <v>0</v>
      </c>
      <c r="Z553" s="39">
        <v>0</v>
      </c>
      <c r="AA553" s="39">
        <v>0</v>
      </c>
      <c r="AB553" s="39">
        <v>0</v>
      </c>
      <c r="AC553" s="39">
        <v>0</v>
      </c>
      <c r="AD553" s="39">
        <v>0</v>
      </c>
      <c r="AE553" s="39">
        <v>0</v>
      </c>
      <c r="AF553" s="39">
        <v>0</v>
      </c>
      <c r="AG553" s="39">
        <v>0</v>
      </c>
      <c r="AH553" s="39"/>
      <c r="AI553" s="39"/>
      <c r="AJ553" s="40"/>
      <c r="AK553" s="39">
        <f t="shared" si="40"/>
        <v>0</v>
      </c>
      <c r="AL553" s="39">
        <f t="shared" si="43"/>
        <v>0</v>
      </c>
      <c r="AM553" s="39">
        <f t="shared" si="44"/>
        <v>0</v>
      </c>
      <c r="AN553" s="39">
        <f t="shared" si="41"/>
        <v>0</v>
      </c>
      <c r="AO553" s="39">
        <f t="shared" si="42"/>
        <v>0</v>
      </c>
    </row>
    <row r="554" spans="1:41" x14ac:dyDescent="0.3">
      <c r="A554" s="20">
        <v>1000184670</v>
      </c>
      <c r="B554" s="4" t="s">
        <v>147</v>
      </c>
      <c r="C554" s="21"/>
      <c r="D554" s="3"/>
      <c r="E554" s="20">
        <v>1000184760</v>
      </c>
      <c r="F554" s="4" t="s">
        <v>60</v>
      </c>
      <c r="G554" s="21">
        <v>1000189774</v>
      </c>
      <c r="H554" s="3" t="s">
        <v>68</v>
      </c>
      <c r="I554" s="21">
        <v>1000189270</v>
      </c>
      <c r="J554" s="3" t="s">
        <v>34</v>
      </c>
      <c r="K554" s="20" t="s">
        <v>13</v>
      </c>
      <c r="L554" s="39">
        <v>0</v>
      </c>
      <c r="M554" s="39">
        <v>0</v>
      </c>
      <c r="N554" s="39">
        <v>0</v>
      </c>
      <c r="O554" s="39">
        <v>0</v>
      </c>
      <c r="P554" s="39">
        <v>0</v>
      </c>
      <c r="Q554" s="39">
        <v>0</v>
      </c>
      <c r="R554" s="39">
        <v>0</v>
      </c>
      <c r="S554" s="39">
        <v>0</v>
      </c>
      <c r="T554" s="39">
        <v>0</v>
      </c>
      <c r="U554" s="39">
        <v>0</v>
      </c>
      <c r="V554" s="39">
        <v>0</v>
      </c>
      <c r="W554" s="39">
        <v>0</v>
      </c>
      <c r="X554" s="39">
        <v>0</v>
      </c>
      <c r="Y554" s="39">
        <v>0</v>
      </c>
      <c r="Z554" s="39">
        <v>0</v>
      </c>
      <c r="AA554" s="39">
        <v>0</v>
      </c>
      <c r="AB554" s="39">
        <v>112.02</v>
      </c>
      <c r="AC554" s="39">
        <v>0</v>
      </c>
      <c r="AD554" s="39">
        <v>53.4</v>
      </c>
      <c r="AE554" s="39">
        <v>0</v>
      </c>
      <c r="AF554" s="39">
        <v>57.6</v>
      </c>
      <c r="AG554" s="39">
        <v>299.39999999999998</v>
      </c>
      <c r="AH554" s="39"/>
      <c r="AI554" s="39"/>
      <c r="AJ554" s="40"/>
      <c r="AK554" s="39">
        <f t="shared" si="40"/>
        <v>0</v>
      </c>
      <c r="AL554" s="39">
        <f t="shared" si="43"/>
        <v>43.534999999999997</v>
      </c>
      <c r="AM554" s="39">
        <f t="shared" si="44"/>
        <v>87.07</v>
      </c>
      <c r="AN554" s="39">
        <f t="shared" si="41"/>
        <v>52.241999999999997</v>
      </c>
      <c r="AO554" s="39">
        <f t="shared" si="42"/>
        <v>522.41999999999996</v>
      </c>
    </row>
    <row r="555" spans="1:41" x14ac:dyDescent="0.3">
      <c r="A555" s="20">
        <v>1000184670</v>
      </c>
      <c r="B555" s="4" t="s">
        <v>147</v>
      </c>
      <c r="C555" s="21"/>
      <c r="D555" s="3"/>
      <c r="E555" s="20">
        <v>1000184760</v>
      </c>
      <c r="F555" s="4" t="s">
        <v>60</v>
      </c>
      <c r="G555" s="21">
        <v>1000189774</v>
      </c>
      <c r="H555" s="3" t="s">
        <v>68</v>
      </c>
      <c r="I555" s="21">
        <v>1000189270</v>
      </c>
      <c r="J555" s="3" t="s">
        <v>34</v>
      </c>
      <c r="K555" s="20" t="s">
        <v>14</v>
      </c>
      <c r="L555" s="39">
        <v>0</v>
      </c>
      <c r="M555" s="39">
        <v>0</v>
      </c>
      <c r="N555" s="39">
        <v>0</v>
      </c>
      <c r="O555" s="39">
        <v>0</v>
      </c>
      <c r="P555" s="39">
        <v>0</v>
      </c>
      <c r="Q555" s="39">
        <v>0</v>
      </c>
      <c r="R555" s="39">
        <v>0</v>
      </c>
      <c r="S555" s="39">
        <v>0</v>
      </c>
      <c r="T555" s="39">
        <v>0</v>
      </c>
      <c r="U555" s="39">
        <v>0</v>
      </c>
      <c r="V555" s="39">
        <v>0</v>
      </c>
      <c r="W555" s="39">
        <v>0</v>
      </c>
      <c r="X555" s="39">
        <v>0</v>
      </c>
      <c r="Y555" s="39">
        <v>0</v>
      </c>
      <c r="Z555" s="39">
        <v>0</v>
      </c>
      <c r="AA555" s="39">
        <v>0</v>
      </c>
      <c r="AB555" s="39">
        <v>51</v>
      </c>
      <c r="AC555" s="39">
        <v>0</v>
      </c>
      <c r="AD555" s="39">
        <v>114</v>
      </c>
      <c r="AE555" s="39">
        <v>0</v>
      </c>
      <c r="AF555" s="39">
        <v>114</v>
      </c>
      <c r="AG555" s="39">
        <v>228</v>
      </c>
      <c r="AH555" s="39"/>
      <c r="AI555" s="39"/>
      <c r="AJ555" s="40"/>
      <c r="AK555" s="39">
        <f t="shared" si="40"/>
        <v>0</v>
      </c>
      <c r="AL555" s="39">
        <f t="shared" si="43"/>
        <v>42.25</v>
      </c>
      <c r="AM555" s="39">
        <f t="shared" si="44"/>
        <v>84.5</v>
      </c>
      <c r="AN555" s="39">
        <f t="shared" si="41"/>
        <v>50.7</v>
      </c>
      <c r="AO555" s="39">
        <f t="shared" si="42"/>
        <v>507</v>
      </c>
    </row>
    <row r="556" spans="1:41" x14ac:dyDescent="0.3">
      <c r="A556" s="20">
        <v>1000184670</v>
      </c>
      <c r="B556" s="4" t="s">
        <v>147</v>
      </c>
      <c r="C556" s="21"/>
      <c r="D556" s="3"/>
      <c r="E556" s="20">
        <v>1000184760</v>
      </c>
      <c r="F556" s="4" t="s">
        <v>60</v>
      </c>
      <c r="G556" s="21">
        <v>1000189774</v>
      </c>
      <c r="H556" s="3" t="s">
        <v>68</v>
      </c>
      <c r="I556" s="21">
        <v>1000189270</v>
      </c>
      <c r="J556" s="3" t="s">
        <v>34</v>
      </c>
      <c r="K556" s="20" t="s">
        <v>16</v>
      </c>
      <c r="L556" s="39">
        <v>0</v>
      </c>
      <c r="M556" s="39">
        <v>0</v>
      </c>
      <c r="N556" s="39">
        <v>0</v>
      </c>
      <c r="O556" s="39">
        <v>0</v>
      </c>
      <c r="P556" s="39">
        <v>0</v>
      </c>
      <c r="Q556" s="39">
        <v>0</v>
      </c>
      <c r="R556" s="39">
        <v>0</v>
      </c>
      <c r="S556" s="39">
        <v>0</v>
      </c>
      <c r="T556" s="39">
        <v>0</v>
      </c>
      <c r="U556" s="39">
        <v>0</v>
      </c>
      <c r="V556" s="39">
        <v>0</v>
      </c>
      <c r="W556" s="39">
        <v>0</v>
      </c>
      <c r="X556" s="39">
        <v>0</v>
      </c>
      <c r="Y556" s="39">
        <v>0</v>
      </c>
      <c r="Z556" s="39">
        <v>0</v>
      </c>
      <c r="AA556" s="39">
        <v>0</v>
      </c>
      <c r="AB556" s="39">
        <v>132.63999999999999</v>
      </c>
      <c r="AC556" s="39">
        <v>0</v>
      </c>
      <c r="AD556" s="39">
        <v>99.6</v>
      </c>
      <c r="AE556" s="39">
        <v>0</v>
      </c>
      <c r="AF556" s="39">
        <v>40.799999999999997</v>
      </c>
      <c r="AG556" s="39">
        <v>265.95999999999998</v>
      </c>
      <c r="AH556" s="39"/>
      <c r="AI556" s="39"/>
      <c r="AJ556" s="40"/>
      <c r="AK556" s="39">
        <f t="shared" si="40"/>
        <v>0</v>
      </c>
      <c r="AL556" s="39">
        <f t="shared" si="43"/>
        <v>44.916666666666664</v>
      </c>
      <c r="AM556" s="39">
        <f t="shared" si="44"/>
        <v>89.833333333333329</v>
      </c>
      <c r="AN556" s="39">
        <f t="shared" si="41"/>
        <v>53.9</v>
      </c>
      <c r="AO556" s="39">
        <f t="shared" si="42"/>
        <v>539</v>
      </c>
    </row>
    <row r="557" spans="1:41" x14ac:dyDescent="0.3">
      <c r="A557" s="20">
        <v>1000184670</v>
      </c>
      <c r="B557" s="4" t="s">
        <v>147</v>
      </c>
      <c r="C557" s="21"/>
      <c r="D557" s="3"/>
      <c r="E557" s="20">
        <v>1000184760</v>
      </c>
      <c r="F557" s="4" t="s">
        <v>60</v>
      </c>
      <c r="G557" s="21">
        <v>1000189774</v>
      </c>
      <c r="H557" s="3" t="s">
        <v>68</v>
      </c>
      <c r="I557" s="21">
        <v>1000189270</v>
      </c>
      <c r="J557" s="3" t="s">
        <v>34</v>
      </c>
      <c r="K557" s="20" t="s">
        <v>15</v>
      </c>
      <c r="L557" s="39">
        <v>0</v>
      </c>
      <c r="M557" s="39">
        <v>0</v>
      </c>
      <c r="N557" s="39">
        <v>0</v>
      </c>
      <c r="O557" s="39">
        <v>0</v>
      </c>
      <c r="P557" s="39">
        <v>0</v>
      </c>
      <c r="Q557" s="39">
        <v>0</v>
      </c>
      <c r="R557" s="39">
        <v>0</v>
      </c>
      <c r="S557" s="39">
        <v>0</v>
      </c>
      <c r="T557" s="39">
        <v>0</v>
      </c>
      <c r="U557" s="39">
        <v>0</v>
      </c>
      <c r="V557" s="39">
        <v>0</v>
      </c>
      <c r="W557" s="39">
        <v>0</v>
      </c>
      <c r="X557" s="39">
        <v>0</v>
      </c>
      <c r="Y557" s="39">
        <v>0</v>
      </c>
      <c r="Z557" s="39">
        <v>0</v>
      </c>
      <c r="AA557" s="39">
        <v>0</v>
      </c>
      <c r="AB557" s="39">
        <v>421.03</v>
      </c>
      <c r="AC557" s="39">
        <v>0</v>
      </c>
      <c r="AD557" s="39">
        <v>255</v>
      </c>
      <c r="AE557" s="39">
        <v>0</v>
      </c>
      <c r="AF557" s="39">
        <v>129</v>
      </c>
      <c r="AG557" s="39">
        <v>102</v>
      </c>
      <c r="AH557" s="39"/>
      <c r="AI557" s="39"/>
      <c r="AJ557" s="40"/>
      <c r="AK557" s="39">
        <f t="shared" si="40"/>
        <v>0</v>
      </c>
      <c r="AL557" s="39">
        <f t="shared" si="43"/>
        <v>75.585833333333326</v>
      </c>
      <c r="AM557" s="39">
        <f t="shared" si="44"/>
        <v>151.17166666666665</v>
      </c>
      <c r="AN557" s="39">
        <f t="shared" si="41"/>
        <v>90.703000000000003</v>
      </c>
      <c r="AO557" s="39">
        <f t="shared" si="42"/>
        <v>907.03</v>
      </c>
    </row>
    <row r="558" spans="1:41" x14ac:dyDescent="0.3">
      <c r="A558" s="20">
        <v>1000184670</v>
      </c>
      <c r="B558" s="4" t="s">
        <v>147</v>
      </c>
      <c r="C558" s="21"/>
      <c r="D558" s="3"/>
      <c r="E558" s="20">
        <v>1000184760</v>
      </c>
      <c r="F558" s="4" t="s">
        <v>60</v>
      </c>
      <c r="G558" s="21">
        <v>1000189774</v>
      </c>
      <c r="H558" s="3" t="s">
        <v>68</v>
      </c>
      <c r="I558" s="21">
        <v>1000189270</v>
      </c>
      <c r="J558" s="3" t="s">
        <v>34</v>
      </c>
      <c r="K558" s="20" t="s">
        <v>33</v>
      </c>
      <c r="L558" s="39">
        <v>0</v>
      </c>
      <c r="M558" s="39">
        <v>0</v>
      </c>
      <c r="N558" s="39">
        <v>0</v>
      </c>
      <c r="O558" s="39">
        <v>0</v>
      </c>
      <c r="P558" s="39">
        <v>0</v>
      </c>
      <c r="Q558" s="39">
        <v>0</v>
      </c>
      <c r="R558" s="39">
        <v>0</v>
      </c>
      <c r="S558" s="39">
        <v>0</v>
      </c>
      <c r="T558" s="39">
        <v>0</v>
      </c>
      <c r="U558" s="39">
        <v>0</v>
      </c>
      <c r="V558" s="39">
        <v>0</v>
      </c>
      <c r="W558" s="39">
        <v>0</v>
      </c>
      <c r="X558" s="39">
        <v>0</v>
      </c>
      <c r="Y558" s="39">
        <v>0</v>
      </c>
      <c r="Z558" s="39">
        <v>0</v>
      </c>
      <c r="AA558" s="39">
        <v>0</v>
      </c>
      <c r="AB558" s="39">
        <v>0</v>
      </c>
      <c r="AC558" s="39">
        <v>0</v>
      </c>
      <c r="AD558" s="39">
        <v>0</v>
      </c>
      <c r="AE558" s="39">
        <v>0</v>
      </c>
      <c r="AF558" s="39">
        <v>0</v>
      </c>
      <c r="AG558" s="39">
        <v>0</v>
      </c>
      <c r="AH558" s="39"/>
      <c r="AI558" s="39"/>
      <c r="AJ558" s="40"/>
      <c r="AK558" s="39">
        <f t="shared" si="40"/>
        <v>0</v>
      </c>
      <c r="AL558" s="39">
        <f t="shared" si="43"/>
        <v>0</v>
      </c>
      <c r="AM558" s="39">
        <f t="shared" si="44"/>
        <v>0</v>
      </c>
      <c r="AN558" s="39">
        <f t="shared" si="41"/>
        <v>0</v>
      </c>
      <c r="AO558" s="39">
        <f t="shared" si="42"/>
        <v>0</v>
      </c>
    </row>
    <row r="559" spans="1:41" x14ac:dyDescent="0.3">
      <c r="A559" s="20">
        <v>1000184670</v>
      </c>
      <c r="B559" s="4" t="s">
        <v>147</v>
      </c>
      <c r="C559" s="21"/>
      <c r="D559" s="3"/>
      <c r="E559" s="20">
        <v>1000184760</v>
      </c>
      <c r="F559" s="4" t="s">
        <v>60</v>
      </c>
      <c r="G559" s="21">
        <v>1000189774</v>
      </c>
      <c r="H559" s="3" t="s">
        <v>68</v>
      </c>
      <c r="I559" s="21">
        <v>1000189270</v>
      </c>
      <c r="J559" s="3" t="s">
        <v>34</v>
      </c>
      <c r="K559" s="20" t="s">
        <v>19</v>
      </c>
      <c r="L559" s="39">
        <v>0</v>
      </c>
      <c r="M559" s="39">
        <v>0</v>
      </c>
      <c r="N559" s="39">
        <v>0</v>
      </c>
      <c r="O559" s="39">
        <v>0</v>
      </c>
      <c r="P559" s="39">
        <v>0</v>
      </c>
      <c r="Q559" s="39">
        <v>0</v>
      </c>
      <c r="R559" s="39">
        <v>0</v>
      </c>
      <c r="S559" s="39">
        <v>0</v>
      </c>
      <c r="T559" s="39">
        <v>0</v>
      </c>
      <c r="U559" s="39">
        <v>0</v>
      </c>
      <c r="V559" s="39">
        <v>0</v>
      </c>
      <c r="W559" s="39">
        <v>0</v>
      </c>
      <c r="X559" s="39">
        <v>0</v>
      </c>
      <c r="Y559" s="39">
        <v>0</v>
      </c>
      <c r="Z559" s="39">
        <v>0</v>
      </c>
      <c r="AA559" s="39">
        <v>0</v>
      </c>
      <c r="AB559" s="39">
        <v>0</v>
      </c>
      <c r="AC559" s="39">
        <v>0</v>
      </c>
      <c r="AD559" s="39">
        <v>40.5</v>
      </c>
      <c r="AE559" s="39">
        <v>0</v>
      </c>
      <c r="AF559" s="39">
        <v>0</v>
      </c>
      <c r="AG559" s="39">
        <v>0</v>
      </c>
      <c r="AH559" s="39"/>
      <c r="AI559" s="39"/>
      <c r="AJ559" s="40"/>
      <c r="AK559" s="39">
        <f t="shared" si="40"/>
        <v>0</v>
      </c>
      <c r="AL559" s="39">
        <f t="shared" si="43"/>
        <v>3.375</v>
      </c>
      <c r="AM559" s="39">
        <f t="shared" si="44"/>
        <v>6.75</v>
      </c>
      <c r="AN559" s="39">
        <f t="shared" si="41"/>
        <v>4.05</v>
      </c>
      <c r="AO559" s="39">
        <f t="shared" si="42"/>
        <v>40.5</v>
      </c>
    </row>
    <row r="560" spans="1:41" x14ac:dyDescent="0.3">
      <c r="A560" s="20">
        <v>1000184670</v>
      </c>
      <c r="B560" s="4" t="s">
        <v>147</v>
      </c>
      <c r="C560" s="21"/>
      <c r="D560" s="3"/>
      <c r="E560" s="20">
        <v>1000184760</v>
      </c>
      <c r="F560" s="4" t="s">
        <v>60</v>
      </c>
      <c r="G560" s="21">
        <v>1000189774</v>
      </c>
      <c r="H560" s="3" t="s">
        <v>68</v>
      </c>
      <c r="I560" s="21">
        <v>1000189270</v>
      </c>
      <c r="J560" s="3" t="s">
        <v>34</v>
      </c>
      <c r="K560" s="20" t="s">
        <v>17</v>
      </c>
      <c r="L560" s="39">
        <v>0</v>
      </c>
      <c r="M560" s="39">
        <v>0</v>
      </c>
      <c r="N560" s="39">
        <v>0</v>
      </c>
      <c r="O560" s="39">
        <v>0</v>
      </c>
      <c r="P560" s="39">
        <v>0</v>
      </c>
      <c r="Q560" s="39">
        <v>0</v>
      </c>
      <c r="R560" s="39">
        <v>0</v>
      </c>
      <c r="S560" s="39">
        <v>0</v>
      </c>
      <c r="T560" s="39">
        <v>0</v>
      </c>
      <c r="U560" s="39">
        <v>0</v>
      </c>
      <c r="V560" s="39">
        <v>0</v>
      </c>
      <c r="W560" s="39">
        <v>0</v>
      </c>
      <c r="X560" s="39">
        <v>0</v>
      </c>
      <c r="Y560" s="39">
        <v>0</v>
      </c>
      <c r="Z560" s="39">
        <v>0</v>
      </c>
      <c r="AA560" s="39">
        <v>0</v>
      </c>
      <c r="AB560" s="39">
        <v>21.12</v>
      </c>
      <c r="AC560" s="39">
        <v>0</v>
      </c>
      <c r="AD560" s="39">
        <v>68.73</v>
      </c>
      <c r="AE560" s="39">
        <v>0</v>
      </c>
      <c r="AF560" s="39">
        <v>0</v>
      </c>
      <c r="AG560" s="39">
        <v>0</v>
      </c>
      <c r="AH560" s="39"/>
      <c r="AI560" s="39"/>
      <c r="AJ560" s="40"/>
      <c r="AK560" s="39">
        <f t="shared" ref="AK560:AK623" si="45">AVERAGE(L560:W560)</f>
        <v>0</v>
      </c>
      <c r="AL560" s="39">
        <f t="shared" si="43"/>
        <v>7.4875000000000007</v>
      </c>
      <c r="AM560" s="39">
        <f t="shared" si="44"/>
        <v>14.975000000000001</v>
      </c>
      <c r="AN560" s="39">
        <f t="shared" ref="AN560:AN623" si="46">AVERAGE(X560:AI560)</f>
        <v>8.9850000000000012</v>
      </c>
      <c r="AO560" s="39">
        <f t="shared" ref="AO560:AO623" si="47">SUM(X560:AI560)</f>
        <v>89.850000000000009</v>
      </c>
    </row>
    <row r="561" spans="1:41" x14ac:dyDescent="0.3">
      <c r="A561" s="20">
        <v>1000184670</v>
      </c>
      <c r="B561" s="4" t="s">
        <v>147</v>
      </c>
      <c r="C561" s="21"/>
      <c r="D561" s="3"/>
      <c r="E561" s="20">
        <v>1000184760</v>
      </c>
      <c r="F561" s="4" t="s">
        <v>60</v>
      </c>
      <c r="G561" s="21">
        <v>1000189774</v>
      </c>
      <c r="H561" s="3" t="s">
        <v>68</v>
      </c>
      <c r="I561" s="21">
        <v>1000189270</v>
      </c>
      <c r="J561" s="3" t="s">
        <v>34</v>
      </c>
      <c r="K561" s="20" t="s">
        <v>24</v>
      </c>
      <c r="L561" s="39">
        <v>0</v>
      </c>
      <c r="M561" s="39">
        <v>0</v>
      </c>
      <c r="N561" s="39">
        <v>0</v>
      </c>
      <c r="O561" s="39">
        <v>0</v>
      </c>
      <c r="P561" s="39">
        <v>0</v>
      </c>
      <c r="Q561" s="39">
        <v>0</v>
      </c>
      <c r="R561" s="39">
        <v>0</v>
      </c>
      <c r="S561" s="39">
        <v>0</v>
      </c>
      <c r="T561" s="39">
        <v>0</v>
      </c>
      <c r="U561" s="39">
        <v>0</v>
      </c>
      <c r="V561" s="39">
        <v>0</v>
      </c>
      <c r="W561" s="39">
        <v>0</v>
      </c>
      <c r="X561" s="39">
        <v>0</v>
      </c>
      <c r="Y561" s="39">
        <v>0</v>
      </c>
      <c r="Z561" s="39">
        <v>0</v>
      </c>
      <c r="AA561" s="39">
        <v>0</v>
      </c>
      <c r="AB561" s="39">
        <v>22.35</v>
      </c>
      <c r="AC561" s="39">
        <v>0</v>
      </c>
      <c r="AD561" s="39">
        <v>27.23</v>
      </c>
      <c r="AE561" s="39">
        <v>0</v>
      </c>
      <c r="AF561" s="39">
        <v>7.78</v>
      </c>
      <c r="AG561" s="39">
        <v>0</v>
      </c>
      <c r="AH561" s="39"/>
      <c r="AI561" s="39"/>
      <c r="AJ561" s="40"/>
      <c r="AK561" s="39">
        <f t="shared" si="45"/>
        <v>0</v>
      </c>
      <c r="AL561" s="39">
        <f t="shared" si="43"/>
        <v>4.78</v>
      </c>
      <c r="AM561" s="39">
        <f t="shared" si="44"/>
        <v>9.56</v>
      </c>
      <c r="AN561" s="39">
        <f t="shared" si="46"/>
        <v>5.7359999999999998</v>
      </c>
      <c r="AO561" s="39">
        <f t="shared" si="47"/>
        <v>57.36</v>
      </c>
    </row>
    <row r="562" spans="1:41" x14ac:dyDescent="0.3">
      <c r="A562" s="20">
        <v>1000184670</v>
      </c>
      <c r="B562" s="4" t="s">
        <v>147</v>
      </c>
      <c r="C562" s="21"/>
      <c r="D562" s="3"/>
      <c r="E562" s="20">
        <v>1000184760</v>
      </c>
      <c r="F562" s="4" t="s">
        <v>60</v>
      </c>
      <c r="G562" s="21">
        <v>1000189774</v>
      </c>
      <c r="H562" s="3" t="s">
        <v>68</v>
      </c>
      <c r="I562" s="21">
        <v>1000189270</v>
      </c>
      <c r="J562" s="3" t="s">
        <v>34</v>
      </c>
      <c r="K562" s="20" t="s">
        <v>18</v>
      </c>
      <c r="L562" s="39">
        <v>0</v>
      </c>
      <c r="M562" s="39">
        <v>0</v>
      </c>
      <c r="N562" s="39">
        <v>0</v>
      </c>
      <c r="O562" s="39">
        <v>0</v>
      </c>
      <c r="P562" s="39">
        <v>0</v>
      </c>
      <c r="Q562" s="39">
        <v>0</v>
      </c>
      <c r="R562" s="39">
        <v>0</v>
      </c>
      <c r="S562" s="39">
        <v>0</v>
      </c>
      <c r="T562" s="39">
        <v>0</v>
      </c>
      <c r="U562" s="39">
        <v>0</v>
      </c>
      <c r="V562" s="39">
        <v>0</v>
      </c>
      <c r="W562" s="39">
        <v>0</v>
      </c>
      <c r="X562" s="39">
        <v>0</v>
      </c>
      <c r="Y562" s="39">
        <v>0</v>
      </c>
      <c r="Z562" s="39">
        <v>0</v>
      </c>
      <c r="AA562" s="39">
        <v>0</v>
      </c>
      <c r="AB562" s="39">
        <v>30.68</v>
      </c>
      <c r="AC562" s="39">
        <v>0</v>
      </c>
      <c r="AD562" s="39">
        <v>24.06</v>
      </c>
      <c r="AE562" s="39">
        <v>0</v>
      </c>
      <c r="AF562" s="39">
        <v>24</v>
      </c>
      <c r="AG562" s="39">
        <v>368.4</v>
      </c>
      <c r="AH562" s="39"/>
      <c r="AI562" s="39"/>
      <c r="AJ562" s="40"/>
      <c r="AK562" s="39">
        <f t="shared" si="45"/>
        <v>0</v>
      </c>
      <c r="AL562" s="39">
        <f t="shared" si="43"/>
        <v>37.261666666666663</v>
      </c>
      <c r="AM562" s="39">
        <f t="shared" si="44"/>
        <v>74.523333333333326</v>
      </c>
      <c r="AN562" s="39">
        <f t="shared" si="46"/>
        <v>44.713999999999999</v>
      </c>
      <c r="AO562" s="39">
        <f t="shared" si="47"/>
        <v>447.14</v>
      </c>
    </row>
    <row r="563" spans="1:41" x14ac:dyDescent="0.3">
      <c r="A563" s="20">
        <v>1000184670</v>
      </c>
      <c r="B563" s="4" t="s">
        <v>147</v>
      </c>
      <c r="C563" s="21"/>
      <c r="D563" s="3"/>
      <c r="E563" s="20">
        <v>1000184760</v>
      </c>
      <c r="F563" s="4" t="s">
        <v>60</v>
      </c>
      <c r="G563" s="21">
        <v>1000189774</v>
      </c>
      <c r="H563" s="3" t="s">
        <v>68</v>
      </c>
      <c r="I563" s="21">
        <v>1000189270</v>
      </c>
      <c r="J563" s="3" t="s">
        <v>34</v>
      </c>
      <c r="K563" s="20" t="s">
        <v>29</v>
      </c>
      <c r="L563" s="39">
        <v>0</v>
      </c>
      <c r="M563" s="39">
        <v>0</v>
      </c>
      <c r="N563" s="39">
        <v>0</v>
      </c>
      <c r="O563" s="39">
        <v>0</v>
      </c>
      <c r="P563" s="39">
        <v>0</v>
      </c>
      <c r="Q563" s="39">
        <v>0</v>
      </c>
      <c r="R563" s="39">
        <v>0</v>
      </c>
      <c r="S563" s="39">
        <v>0</v>
      </c>
      <c r="T563" s="39">
        <v>0</v>
      </c>
      <c r="U563" s="39">
        <v>0</v>
      </c>
      <c r="V563" s="39">
        <v>0</v>
      </c>
      <c r="W563" s="39">
        <v>0</v>
      </c>
      <c r="X563" s="39">
        <v>0</v>
      </c>
      <c r="Y563" s="39">
        <v>0</v>
      </c>
      <c r="Z563" s="39">
        <v>0</v>
      </c>
      <c r="AA563" s="39">
        <v>0</v>
      </c>
      <c r="AB563" s="39">
        <v>1013.28</v>
      </c>
      <c r="AC563" s="39">
        <v>0</v>
      </c>
      <c r="AD563" s="39">
        <v>1253</v>
      </c>
      <c r="AE563" s="39">
        <v>0</v>
      </c>
      <c r="AF563" s="39">
        <v>773</v>
      </c>
      <c r="AG563" s="39">
        <v>833</v>
      </c>
      <c r="AH563" s="39"/>
      <c r="AI563" s="39"/>
      <c r="AJ563" s="40"/>
      <c r="AK563" s="39">
        <f t="shared" si="45"/>
        <v>0</v>
      </c>
      <c r="AL563" s="39">
        <f t="shared" si="43"/>
        <v>322.69</v>
      </c>
      <c r="AM563" s="39">
        <f t="shared" si="44"/>
        <v>645.38</v>
      </c>
      <c r="AN563" s="39">
        <f t="shared" si="46"/>
        <v>387.22799999999995</v>
      </c>
      <c r="AO563" s="39">
        <f t="shared" si="47"/>
        <v>3872.2799999999997</v>
      </c>
    </row>
    <row r="564" spans="1:41" x14ac:dyDescent="0.3">
      <c r="A564" s="20">
        <v>1000184670</v>
      </c>
      <c r="B564" s="4" t="s">
        <v>147</v>
      </c>
      <c r="C564" s="21"/>
      <c r="D564" s="3"/>
      <c r="E564" s="20">
        <v>1000184760</v>
      </c>
      <c r="F564" s="4" t="s">
        <v>60</v>
      </c>
      <c r="G564" s="21">
        <v>1000189774</v>
      </c>
      <c r="H564" s="3" t="s">
        <v>68</v>
      </c>
      <c r="I564" s="21">
        <v>1000189270</v>
      </c>
      <c r="J564" s="3" t="s">
        <v>34</v>
      </c>
      <c r="K564" s="20" t="s">
        <v>21</v>
      </c>
      <c r="L564" s="39">
        <v>0</v>
      </c>
      <c r="M564" s="39">
        <v>0</v>
      </c>
      <c r="N564" s="39">
        <v>0</v>
      </c>
      <c r="O564" s="39">
        <v>0</v>
      </c>
      <c r="P564" s="39">
        <v>0</v>
      </c>
      <c r="Q564" s="39">
        <v>0</v>
      </c>
      <c r="R564" s="39">
        <v>0</v>
      </c>
      <c r="S564" s="39">
        <v>0</v>
      </c>
      <c r="T564" s="39">
        <v>0</v>
      </c>
      <c r="U564" s="39">
        <v>0</v>
      </c>
      <c r="V564" s="39">
        <v>0</v>
      </c>
      <c r="W564" s="39">
        <v>0</v>
      </c>
      <c r="X564" s="39">
        <v>0</v>
      </c>
      <c r="Y564" s="39">
        <v>0</v>
      </c>
      <c r="Z564" s="39">
        <v>0</v>
      </c>
      <c r="AA564" s="39">
        <v>0</v>
      </c>
      <c r="AB564" s="39">
        <v>146.93</v>
      </c>
      <c r="AC564" s="39">
        <v>0</v>
      </c>
      <c r="AD564" s="39">
        <v>113.7</v>
      </c>
      <c r="AE564" s="39">
        <v>0</v>
      </c>
      <c r="AF564" s="39">
        <v>86.16</v>
      </c>
      <c r="AG564" s="39">
        <v>405.69</v>
      </c>
      <c r="AH564" s="39"/>
      <c r="AI564" s="39"/>
      <c r="AJ564" s="40"/>
      <c r="AK564" s="39">
        <f t="shared" si="45"/>
        <v>0</v>
      </c>
      <c r="AL564" s="39">
        <f t="shared" si="43"/>
        <v>62.706666666666671</v>
      </c>
      <c r="AM564" s="39">
        <f t="shared" si="44"/>
        <v>125.41333333333334</v>
      </c>
      <c r="AN564" s="39">
        <f t="shared" si="46"/>
        <v>75.248000000000005</v>
      </c>
      <c r="AO564" s="39">
        <f t="shared" si="47"/>
        <v>752.48</v>
      </c>
    </row>
    <row r="565" spans="1:41" x14ac:dyDescent="0.3">
      <c r="A565" s="20">
        <v>1000184670</v>
      </c>
      <c r="B565" s="4" t="s">
        <v>147</v>
      </c>
      <c r="C565" s="21"/>
      <c r="D565" s="3"/>
      <c r="E565" s="20">
        <v>1000184760</v>
      </c>
      <c r="F565" s="4" t="s">
        <v>60</v>
      </c>
      <c r="G565" s="21">
        <v>1000189774</v>
      </c>
      <c r="H565" s="3" t="s">
        <v>68</v>
      </c>
      <c r="I565" s="21">
        <v>1000189270</v>
      </c>
      <c r="J565" s="3" t="s">
        <v>34</v>
      </c>
      <c r="K565" s="20" t="s">
        <v>20</v>
      </c>
      <c r="L565" s="39">
        <v>0</v>
      </c>
      <c r="M565" s="39">
        <v>0</v>
      </c>
      <c r="N565" s="39">
        <v>0</v>
      </c>
      <c r="O565" s="39">
        <v>0</v>
      </c>
      <c r="P565" s="39">
        <v>0</v>
      </c>
      <c r="Q565" s="39">
        <v>0</v>
      </c>
      <c r="R565" s="39">
        <v>0</v>
      </c>
      <c r="S565" s="39">
        <v>0</v>
      </c>
      <c r="T565" s="39">
        <v>0</v>
      </c>
      <c r="U565" s="39">
        <v>0</v>
      </c>
      <c r="V565" s="39">
        <v>0</v>
      </c>
      <c r="W565" s="39">
        <v>0</v>
      </c>
      <c r="X565" s="39">
        <v>0</v>
      </c>
      <c r="Y565" s="39">
        <v>0</v>
      </c>
      <c r="Z565" s="39">
        <v>0</v>
      </c>
      <c r="AA565" s="39">
        <v>187.2</v>
      </c>
      <c r="AB565" s="39">
        <v>0</v>
      </c>
      <c r="AC565" s="39">
        <v>0</v>
      </c>
      <c r="AD565" s="39">
        <v>0</v>
      </c>
      <c r="AE565" s="39">
        <v>0</v>
      </c>
      <c r="AF565" s="39">
        <v>0</v>
      </c>
      <c r="AG565" s="39">
        <v>855.65</v>
      </c>
      <c r="AH565" s="39"/>
      <c r="AI565" s="39"/>
      <c r="AJ565" s="40"/>
      <c r="AK565" s="39">
        <f t="shared" si="45"/>
        <v>0</v>
      </c>
      <c r="AL565" s="39">
        <f t="shared" si="43"/>
        <v>86.904166666666654</v>
      </c>
      <c r="AM565" s="39">
        <f t="shared" si="44"/>
        <v>142.60833333333332</v>
      </c>
      <c r="AN565" s="39">
        <f t="shared" si="46"/>
        <v>104.285</v>
      </c>
      <c r="AO565" s="39">
        <f t="shared" si="47"/>
        <v>1042.8499999999999</v>
      </c>
    </row>
    <row r="566" spans="1:41" x14ac:dyDescent="0.3">
      <c r="A566" s="20">
        <v>1000184670</v>
      </c>
      <c r="B566" s="4" t="s">
        <v>147</v>
      </c>
      <c r="C566" s="21"/>
      <c r="D566" s="3"/>
      <c r="E566" s="20">
        <v>1000184760</v>
      </c>
      <c r="F566" s="4" t="s">
        <v>60</v>
      </c>
      <c r="G566" s="21">
        <v>1000189774</v>
      </c>
      <c r="H566" s="3" t="s">
        <v>68</v>
      </c>
      <c r="I566" s="21">
        <v>1000189270</v>
      </c>
      <c r="J566" s="3" t="s">
        <v>34</v>
      </c>
      <c r="K566" s="20" t="s">
        <v>22</v>
      </c>
      <c r="L566" s="39">
        <v>0</v>
      </c>
      <c r="M566" s="39">
        <v>0</v>
      </c>
      <c r="N566" s="39">
        <v>0</v>
      </c>
      <c r="O566" s="39">
        <v>0</v>
      </c>
      <c r="P566" s="39">
        <v>0</v>
      </c>
      <c r="Q566" s="39">
        <v>0</v>
      </c>
      <c r="R566" s="39">
        <v>0</v>
      </c>
      <c r="S566" s="39">
        <v>0</v>
      </c>
      <c r="T566" s="39">
        <v>0</v>
      </c>
      <c r="U566" s="39">
        <v>0</v>
      </c>
      <c r="V566" s="39">
        <v>0</v>
      </c>
      <c r="W566" s="39">
        <v>0</v>
      </c>
      <c r="X566" s="39">
        <v>0</v>
      </c>
      <c r="Y566" s="39">
        <v>0</v>
      </c>
      <c r="Z566" s="39">
        <v>0</v>
      </c>
      <c r="AA566" s="39">
        <v>510</v>
      </c>
      <c r="AB566" s="39">
        <v>189.87</v>
      </c>
      <c r="AC566" s="39">
        <v>0</v>
      </c>
      <c r="AD566" s="39">
        <v>579.54999999999995</v>
      </c>
      <c r="AE566" s="39">
        <v>0</v>
      </c>
      <c r="AF566" s="39">
        <v>1495.1</v>
      </c>
      <c r="AG566" s="39">
        <v>251</v>
      </c>
      <c r="AH566" s="39"/>
      <c r="AI566" s="39"/>
      <c r="AJ566" s="40"/>
      <c r="AK566" s="39">
        <f t="shared" si="45"/>
        <v>0</v>
      </c>
      <c r="AL566" s="39">
        <f t="shared" si="43"/>
        <v>252.12666666666667</v>
      </c>
      <c r="AM566" s="39">
        <f t="shared" si="44"/>
        <v>419.25333333333333</v>
      </c>
      <c r="AN566" s="39">
        <f t="shared" si="46"/>
        <v>302.55200000000002</v>
      </c>
      <c r="AO566" s="39">
        <f t="shared" si="47"/>
        <v>3025.52</v>
      </c>
    </row>
    <row r="567" spans="1:41" x14ac:dyDescent="0.3">
      <c r="A567" s="20">
        <v>1000184670</v>
      </c>
      <c r="B567" s="4" t="s">
        <v>147</v>
      </c>
      <c r="C567" s="21"/>
      <c r="D567" s="3"/>
      <c r="E567" s="20">
        <v>1000184760</v>
      </c>
      <c r="F567" s="4" t="s">
        <v>60</v>
      </c>
      <c r="G567" s="21">
        <v>1000189774</v>
      </c>
      <c r="H567" s="3" t="s">
        <v>68</v>
      </c>
      <c r="I567" s="21">
        <v>1000189270</v>
      </c>
      <c r="J567" s="3" t="s">
        <v>34</v>
      </c>
      <c r="K567" s="20" t="s">
        <v>23</v>
      </c>
      <c r="L567" s="39">
        <v>0</v>
      </c>
      <c r="M567" s="39">
        <v>0</v>
      </c>
      <c r="N567" s="39">
        <v>0</v>
      </c>
      <c r="O567" s="39">
        <v>0</v>
      </c>
      <c r="P567" s="39">
        <v>0</v>
      </c>
      <c r="Q567" s="39">
        <v>0</v>
      </c>
      <c r="R567" s="39">
        <v>0</v>
      </c>
      <c r="S567" s="39">
        <v>0</v>
      </c>
      <c r="T567" s="39">
        <v>0</v>
      </c>
      <c r="U567" s="39">
        <v>0</v>
      </c>
      <c r="V567" s="39">
        <v>0</v>
      </c>
      <c r="W567" s="39">
        <v>0</v>
      </c>
      <c r="X567" s="39">
        <v>0</v>
      </c>
      <c r="Y567" s="39">
        <v>0</v>
      </c>
      <c r="Z567" s="39">
        <v>0</v>
      </c>
      <c r="AA567" s="39">
        <v>0</v>
      </c>
      <c r="AB567" s="39">
        <v>0</v>
      </c>
      <c r="AC567" s="39">
        <v>0</v>
      </c>
      <c r="AD567" s="39">
        <v>0</v>
      </c>
      <c r="AE567" s="39">
        <v>0</v>
      </c>
      <c r="AF567" s="39">
        <v>0</v>
      </c>
      <c r="AG567" s="39">
        <v>0</v>
      </c>
      <c r="AH567" s="39"/>
      <c r="AI567" s="39"/>
      <c r="AJ567" s="40"/>
      <c r="AK567" s="39">
        <f t="shared" si="45"/>
        <v>0</v>
      </c>
      <c r="AL567" s="39">
        <f t="shared" si="43"/>
        <v>0</v>
      </c>
      <c r="AM567" s="39">
        <f t="shared" si="44"/>
        <v>0</v>
      </c>
      <c r="AN567" s="39">
        <f t="shared" si="46"/>
        <v>0</v>
      </c>
      <c r="AO567" s="39">
        <f t="shared" si="47"/>
        <v>0</v>
      </c>
    </row>
    <row r="568" spans="1:41" x14ac:dyDescent="0.3">
      <c r="A568" s="20">
        <v>1000184670</v>
      </c>
      <c r="B568" s="4" t="s">
        <v>147</v>
      </c>
      <c r="C568" s="21"/>
      <c r="D568" s="3"/>
      <c r="E568" s="20">
        <v>1000184760</v>
      </c>
      <c r="F568" s="4" t="s">
        <v>60</v>
      </c>
      <c r="G568" s="21">
        <v>1000189774</v>
      </c>
      <c r="H568" s="3" t="s">
        <v>68</v>
      </c>
      <c r="I568" s="21">
        <v>1000189270</v>
      </c>
      <c r="J568" s="3" t="s">
        <v>34</v>
      </c>
      <c r="K568" s="20" t="s">
        <v>28</v>
      </c>
      <c r="L568" s="39">
        <v>0</v>
      </c>
      <c r="M568" s="39">
        <v>0</v>
      </c>
      <c r="N568" s="39">
        <v>0</v>
      </c>
      <c r="O568" s="39">
        <v>0</v>
      </c>
      <c r="P568" s="39">
        <v>0</v>
      </c>
      <c r="Q568" s="39">
        <v>0</v>
      </c>
      <c r="R568" s="39">
        <v>0</v>
      </c>
      <c r="S568" s="39">
        <v>0</v>
      </c>
      <c r="T568" s="39">
        <v>0</v>
      </c>
      <c r="U568" s="39">
        <v>0</v>
      </c>
      <c r="V568" s="39">
        <v>0</v>
      </c>
      <c r="W568" s="39">
        <v>0</v>
      </c>
      <c r="X568" s="39">
        <v>0</v>
      </c>
      <c r="Y568" s="39">
        <v>0</v>
      </c>
      <c r="Z568" s="39">
        <v>0</v>
      </c>
      <c r="AA568" s="39">
        <v>0</v>
      </c>
      <c r="AB568" s="39">
        <v>0</v>
      </c>
      <c r="AC568" s="39">
        <v>0</v>
      </c>
      <c r="AD568" s="39">
        <v>0</v>
      </c>
      <c r="AE568" s="39">
        <v>0</v>
      </c>
      <c r="AF568" s="39">
        <v>0</v>
      </c>
      <c r="AG568" s="39">
        <v>122.4</v>
      </c>
      <c r="AH568" s="39"/>
      <c r="AI568" s="39"/>
      <c r="AJ568" s="40"/>
      <c r="AK568" s="39">
        <f t="shared" si="45"/>
        <v>0</v>
      </c>
      <c r="AL568" s="39">
        <f t="shared" si="43"/>
        <v>10.200000000000001</v>
      </c>
      <c r="AM568" s="39">
        <f t="shared" si="44"/>
        <v>20.400000000000002</v>
      </c>
      <c r="AN568" s="39">
        <f t="shared" si="46"/>
        <v>12.24</v>
      </c>
      <c r="AO568" s="39">
        <f t="shared" si="47"/>
        <v>122.4</v>
      </c>
    </row>
    <row r="569" spans="1:41" x14ac:dyDescent="0.3">
      <c r="A569" s="20">
        <v>1000184670</v>
      </c>
      <c r="B569" s="4" t="s">
        <v>147</v>
      </c>
      <c r="C569" s="21"/>
      <c r="D569" s="3"/>
      <c r="E569" s="20">
        <v>1000184760</v>
      </c>
      <c r="F569" s="4" t="s">
        <v>60</v>
      </c>
      <c r="G569" s="21">
        <v>1000189774</v>
      </c>
      <c r="H569" s="3" t="s">
        <v>68</v>
      </c>
      <c r="I569" s="21">
        <v>1000189270</v>
      </c>
      <c r="J569" s="3" t="s">
        <v>34</v>
      </c>
      <c r="K569" s="20" t="s">
        <v>26</v>
      </c>
      <c r="L569" s="39">
        <v>0</v>
      </c>
      <c r="M569" s="39">
        <v>0</v>
      </c>
      <c r="N569" s="39">
        <v>0</v>
      </c>
      <c r="O569" s="39">
        <v>0</v>
      </c>
      <c r="P569" s="39">
        <v>0</v>
      </c>
      <c r="Q569" s="39">
        <v>0</v>
      </c>
      <c r="R569" s="39">
        <v>0</v>
      </c>
      <c r="S569" s="39">
        <v>0</v>
      </c>
      <c r="T569" s="39">
        <v>0</v>
      </c>
      <c r="U569" s="39">
        <v>0</v>
      </c>
      <c r="V569" s="39">
        <v>0</v>
      </c>
      <c r="W569" s="39">
        <v>0</v>
      </c>
      <c r="X569" s="39">
        <v>0</v>
      </c>
      <c r="Y569" s="39">
        <v>0</v>
      </c>
      <c r="Z569" s="39">
        <v>0</v>
      </c>
      <c r="AA569" s="39">
        <v>0</v>
      </c>
      <c r="AB569" s="39">
        <v>0</v>
      </c>
      <c r="AC569" s="39">
        <v>0</v>
      </c>
      <c r="AD569" s="39">
        <v>0</v>
      </c>
      <c r="AE569" s="39">
        <v>0</v>
      </c>
      <c r="AF569" s="39">
        <v>0</v>
      </c>
      <c r="AG569" s="39">
        <v>0</v>
      </c>
      <c r="AH569" s="39"/>
      <c r="AI569" s="39"/>
      <c r="AJ569" s="40"/>
      <c r="AK569" s="39">
        <f t="shared" si="45"/>
        <v>0</v>
      </c>
      <c r="AL569" s="39">
        <f t="shared" si="43"/>
        <v>0</v>
      </c>
      <c r="AM569" s="39">
        <f t="shared" si="44"/>
        <v>0</v>
      </c>
      <c r="AN569" s="39">
        <f t="shared" si="46"/>
        <v>0</v>
      </c>
      <c r="AO569" s="39">
        <f t="shared" si="47"/>
        <v>0</v>
      </c>
    </row>
    <row r="570" spans="1:41" x14ac:dyDescent="0.3">
      <c r="A570" s="20">
        <v>1000184670</v>
      </c>
      <c r="B570" s="4" t="s">
        <v>147</v>
      </c>
      <c r="C570" s="21"/>
      <c r="D570" s="3"/>
      <c r="E570" s="20">
        <v>1000184760</v>
      </c>
      <c r="F570" s="4" t="s">
        <v>60</v>
      </c>
      <c r="G570" s="21">
        <v>1000189774</v>
      </c>
      <c r="H570" s="3" t="s">
        <v>68</v>
      </c>
      <c r="I570" s="21">
        <v>1000189270</v>
      </c>
      <c r="J570" s="3" t="s">
        <v>34</v>
      </c>
      <c r="K570" s="20" t="s">
        <v>27</v>
      </c>
      <c r="L570" s="39">
        <v>0</v>
      </c>
      <c r="M570" s="39">
        <v>0</v>
      </c>
      <c r="N570" s="39">
        <v>0</v>
      </c>
      <c r="O570" s="39">
        <v>0</v>
      </c>
      <c r="P570" s="39">
        <v>0</v>
      </c>
      <c r="Q570" s="39">
        <v>0</v>
      </c>
      <c r="R570" s="39">
        <v>0</v>
      </c>
      <c r="S570" s="39">
        <v>0</v>
      </c>
      <c r="T570" s="39">
        <v>0</v>
      </c>
      <c r="U570" s="39">
        <v>0</v>
      </c>
      <c r="V570" s="39">
        <v>0</v>
      </c>
      <c r="W570" s="39">
        <v>0</v>
      </c>
      <c r="X570" s="39">
        <v>0</v>
      </c>
      <c r="Y570" s="39">
        <v>0</v>
      </c>
      <c r="Z570" s="39">
        <v>0</v>
      </c>
      <c r="AA570" s="39">
        <v>0</v>
      </c>
      <c r="AB570" s="39">
        <v>0</v>
      </c>
      <c r="AC570" s="39">
        <v>0</v>
      </c>
      <c r="AD570" s="39">
        <v>0</v>
      </c>
      <c r="AE570" s="39">
        <v>0</v>
      </c>
      <c r="AF570" s="39">
        <v>0</v>
      </c>
      <c r="AG570" s="39">
        <v>1792.52</v>
      </c>
      <c r="AH570" s="39"/>
      <c r="AI570" s="39"/>
      <c r="AJ570" s="40"/>
      <c r="AK570" s="39">
        <f t="shared" si="45"/>
        <v>0</v>
      </c>
      <c r="AL570" s="39">
        <f t="shared" si="43"/>
        <v>149.37666666666667</v>
      </c>
      <c r="AM570" s="39">
        <f t="shared" si="44"/>
        <v>298.75333333333333</v>
      </c>
      <c r="AN570" s="39">
        <f t="shared" si="46"/>
        <v>179.25200000000001</v>
      </c>
      <c r="AO570" s="39">
        <f t="shared" si="47"/>
        <v>1792.52</v>
      </c>
    </row>
    <row r="571" spans="1:41" x14ac:dyDescent="0.3">
      <c r="A571" s="20">
        <v>1000184670</v>
      </c>
      <c r="B571" s="4" t="s">
        <v>147</v>
      </c>
      <c r="C571" s="21"/>
      <c r="D571" s="3"/>
      <c r="E571" s="20">
        <v>1000184760</v>
      </c>
      <c r="F571" s="4" t="s">
        <v>60</v>
      </c>
      <c r="G571" s="21">
        <v>1000189774</v>
      </c>
      <c r="H571" s="3" t="s">
        <v>68</v>
      </c>
      <c r="I571" s="21">
        <v>1000189270</v>
      </c>
      <c r="J571" s="3" t="s">
        <v>34</v>
      </c>
      <c r="K571" s="20" t="s">
        <v>25</v>
      </c>
      <c r="L571" s="39">
        <v>0</v>
      </c>
      <c r="M571" s="39">
        <v>0</v>
      </c>
      <c r="N571" s="39">
        <v>0</v>
      </c>
      <c r="O571" s="39">
        <v>0</v>
      </c>
      <c r="P571" s="39">
        <v>0</v>
      </c>
      <c r="Q571" s="39">
        <v>0</v>
      </c>
      <c r="R571" s="39">
        <v>0</v>
      </c>
      <c r="S571" s="39">
        <v>0</v>
      </c>
      <c r="T571" s="39">
        <v>0</v>
      </c>
      <c r="U571" s="39">
        <v>0</v>
      </c>
      <c r="V571" s="39">
        <v>0</v>
      </c>
      <c r="W571" s="39">
        <v>0</v>
      </c>
      <c r="X571" s="39">
        <v>0</v>
      </c>
      <c r="Y571" s="39">
        <v>0</v>
      </c>
      <c r="Z571" s="39">
        <v>0</v>
      </c>
      <c r="AA571" s="39">
        <v>0</v>
      </c>
      <c r="AB571" s="39">
        <v>42.75</v>
      </c>
      <c r="AC571" s="39">
        <v>0</v>
      </c>
      <c r="AD571" s="39">
        <v>148.5</v>
      </c>
      <c r="AE571" s="39">
        <v>0</v>
      </c>
      <c r="AF571" s="39">
        <v>0</v>
      </c>
      <c r="AG571" s="39">
        <v>0</v>
      </c>
      <c r="AH571" s="39"/>
      <c r="AI571" s="39"/>
      <c r="AJ571" s="40"/>
      <c r="AK571" s="39">
        <f t="shared" si="45"/>
        <v>0</v>
      </c>
      <c r="AL571" s="39">
        <f t="shared" si="43"/>
        <v>15.9375</v>
      </c>
      <c r="AM571" s="39">
        <f t="shared" si="44"/>
        <v>31.875</v>
      </c>
      <c r="AN571" s="39">
        <f t="shared" si="46"/>
        <v>19.125</v>
      </c>
      <c r="AO571" s="39">
        <f t="shared" si="47"/>
        <v>191.25</v>
      </c>
    </row>
    <row r="572" spans="1:41" x14ac:dyDescent="0.3">
      <c r="A572" s="20">
        <v>1000184670</v>
      </c>
      <c r="B572" s="4" t="s">
        <v>147</v>
      </c>
      <c r="C572" s="21"/>
      <c r="D572" s="3"/>
      <c r="E572" s="20">
        <v>1000184756</v>
      </c>
      <c r="F572" s="4" t="s">
        <v>53</v>
      </c>
      <c r="G572" s="21">
        <v>1000189775</v>
      </c>
      <c r="H572" s="3" t="s">
        <v>66</v>
      </c>
      <c r="I572" s="21">
        <v>1000189270</v>
      </c>
      <c r="J572" s="3" t="s">
        <v>34</v>
      </c>
      <c r="K572" s="20" t="s">
        <v>124</v>
      </c>
      <c r="L572" s="39">
        <v>0</v>
      </c>
      <c r="M572" s="39">
        <v>0</v>
      </c>
      <c r="N572" s="39">
        <v>0</v>
      </c>
      <c r="O572" s="39">
        <v>0</v>
      </c>
      <c r="P572" s="39">
        <v>0</v>
      </c>
      <c r="Q572" s="39">
        <v>0</v>
      </c>
      <c r="R572" s="39">
        <v>0</v>
      </c>
      <c r="S572" s="39">
        <v>0</v>
      </c>
      <c r="T572" s="39">
        <v>0</v>
      </c>
      <c r="U572" s="39">
        <v>0</v>
      </c>
      <c r="V572" s="39">
        <v>0</v>
      </c>
      <c r="W572" s="39">
        <v>0</v>
      </c>
      <c r="X572" s="39">
        <v>0</v>
      </c>
      <c r="Y572" s="39">
        <v>0</v>
      </c>
      <c r="Z572" s="39">
        <v>0</v>
      </c>
      <c r="AA572" s="39">
        <v>0</v>
      </c>
      <c r="AB572" s="39">
        <v>0</v>
      </c>
      <c r="AC572" s="39">
        <v>0</v>
      </c>
      <c r="AD572" s="39">
        <v>0</v>
      </c>
      <c r="AE572" s="39">
        <v>0</v>
      </c>
      <c r="AF572" s="39">
        <v>0</v>
      </c>
      <c r="AG572" s="39">
        <v>0</v>
      </c>
      <c r="AH572" s="39"/>
      <c r="AI572" s="39"/>
      <c r="AJ572" s="40"/>
      <c r="AK572" s="39">
        <f t="shared" si="45"/>
        <v>0</v>
      </c>
      <c r="AL572" s="39">
        <f t="shared" si="43"/>
        <v>0</v>
      </c>
      <c r="AM572" s="39">
        <f t="shared" si="44"/>
        <v>0</v>
      </c>
      <c r="AN572" s="39">
        <f t="shared" si="46"/>
        <v>0</v>
      </c>
      <c r="AO572" s="39">
        <f t="shared" si="47"/>
        <v>0</v>
      </c>
    </row>
    <row r="573" spans="1:41" x14ac:dyDescent="0.3">
      <c r="A573" s="20">
        <v>1000184670</v>
      </c>
      <c r="B573" s="4" t="s">
        <v>147</v>
      </c>
      <c r="C573" s="21"/>
      <c r="D573" s="3"/>
      <c r="E573" s="20">
        <v>1000184756</v>
      </c>
      <c r="F573" s="4" t="s">
        <v>53</v>
      </c>
      <c r="G573" s="21">
        <v>1000189775</v>
      </c>
      <c r="H573" s="3" t="s">
        <v>66</v>
      </c>
      <c r="I573" s="21">
        <v>1000189270</v>
      </c>
      <c r="J573" s="3" t="s">
        <v>34</v>
      </c>
      <c r="K573" s="20" t="s">
        <v>13</v>
      </c>
      <c r="L573" s="39">
        <v>0</v>
      </c>
      <c r="M573" s="39">
        <v>0</v>
      </c>
      <c r="N573" s="39">
        <v>0</v>
      </c>
      <c r="O573" s="39">
        <v>0</v>
      </c>
      <c r="P573" s="39">
        <v>0</v>
      </c>
      <c r="Q573" s="39">
        <v>0</v>
      </c>
      <c r="R573" s="39">
        <v>0</v>
      </c>
      <c r="S573" s="39">
        <v>0</v>
      </c>
      <c r="T573" s="39">
        <v>0</v>
      </c>
      <c r="U573" s="39">
        <v>0</v>
      </c>
      <c r="V573" s="39">
        <v>0</v>
      </c>
      <c r="W573" s="39">
        <v>0</v>
      </c>
      <c r="X573" s="39">
        <v>0</v>
      </c>
      <c r="Y573" s="39">
        <v>0</v>
      </c>
      <c r="Z573" s="39">
        <v>50.4</v>
      </c>
      <c r="AA573" s="39">
        <v>1494.36</v>
      </c>
      <c r="AB573" s="39">
        <v>0</v>
      </c>
      <c r="AC573" s="39">
        <v>0</v>
      </c>
      <c r="AD573" s="39">
        <v>0</v>
      </c>
      <c r="AE573" s="39">
        <v>0</v>
      </c>
      <c r="AF573" s="39">
        <v>359.1</v>
      </c>
      <c r="AG573" s="39">
        <v>252.97</v>
      </c>
      <c r="AH573" s="39"/>
      <c r="AI573" s="39"/>
      <c r="AJ573" s="40"/>
      <c r="AK573" s="39">
        <f t="shared" si="45"/>
        <v>0</v>
      </c>
      <c r="AL573" s="39">
        <f t="shared" si="43"/>
        <v>179.73583333333332</v>
      </c>
      <c r="AM573" s="39">
        <f t="shared" si="44"/>
        <v>102.01166666666667</v>
      </c>
      <c r="AN573" s="39">
        <f t="shared" si="46"/>
        <v>215.68299999999999</v>
      </c>
      <c r="AO573" s="39">
        <f t="shared" si="47"/>
        <v>2156.83</v>
      </c>
    </row>
    <row r="574" spans="1:41" x14ac:dyDescent="0.3">
      <c r="A574" s="20">
        <v>1000184670</v>
      </c>
      <c r="B574" s="4" t="s">
        <v>147</v>
      </c>
      <c r="C574" s="21"/>
      <c r="D574" s="3"/>
      <c r="E574" s="20">
        <v>1000184756</v>
      </c>
      <c r="F574" s="4" t="s">
        <v>53</v>
      </c>
      <c r="G574" s="21">
        <v>1000189775</v>
      </c>
      <c r="H574" s="3" t="s">
        <v>66</v>
      </c>
      <c r="I574" s="21">
        <v>1000189270</v>
      </c>
      <c r="J574" s="3" t="s">
        <v>34</v>
      </c>
      <c r="K574" s="20" t="s">
        <v>14</v>
      </c>
      <c r="L574" s="39">
        <v>0</v>
      </c>
      <c r="M574" s="39">
        <v>0</v>
      </c>
      <c r="N574" s="39">
        <v>0</v>
      </c>
      <c r="O574" s="39">
        <v>0</v>
      </c>
      <c r="P574" s="39">
        <v>0</v>
      </c>
      <c r="Q574" s="39">
        <v>0</v>
      </c>
      <c r="R574" s="39">
        <v>0</v>
      </c>
      <c r="S574" s="39">
        <v>0</v>
      </c>
      <c r="T574" s="39">
        <v>0</v>
      </c>
      <c r="U574" s="39">
        <v>0</v>
      </c>
      <c r="V574" s="39">
        <v>0</v>
      </c>
      <c r="W574" s="39">
        <v>0</v>
      </c>
      <c r="X574" s="39">
        <v>0</v>
      </c>
      <c r="Y574" s="39">
        <v>0</v>
      </c>
      <c r="Z574" s="39">
        <v>0</v>
      </c>
      <c r="AA574" s="39">
        <v>556.15</v>
      </c>
      <c r="AB574" s="39">
        <v>0</v>
      </c>
      <c r="AC574" s="39">
        <v>220.5</v>
      </c>
      <c r="AD574" s="39">
        <v>0</v>
      </c>
      <c r="AE574" s="39">
        <v>252</v>
      </c>
      <c r="AF574" s="39">
        <v>0</v>
      </c>
      <c r="AG574" s="39">
        <v>755.59</v>
      </c>
      <c r="AH574" s="39"/>
      <c r="AI574" s="39"/>
      <c r="AJ574" s="40"/>
      <c r="AK574" s="39">
        <f t="shared" si="45"/>
        <v>0</v>
      </c>
      <c r="AL574" s="39">
        <f t="shared" si="43"/>
        <v>148.6866666666667</v>
      </c>
      <c r="AM574" s="39">
        <f t="shared" si="44"/>
        <v>204.6816666666667</v>
      </c>
      <c r="AN574" s="39">
        <f t="shared" si="46"/>
        <v>178.42400000000004</v>
      </c>
      <c r="AO574" s="39">
        <f t="shared" si="47"/>
        <v>1784.2400000000002</v>
      </c>
    </row>
    <row r="575" spans="1:41" x14ac:dyDescent="0.3">
      <c r="A575" s="20">
        <v>1000184670</v>
      </c>
      <c r="B575" s="4" t="s">
        <v>147</v>
      </c>
      <c r="C575" s="21"/>
      <c r="D575" s="3"/>
      <c r="E575" s="20">
        <v>1000184756</v>
      </c>
      <c r="F575" s="4" t="s">
        <v>53</v>
      </c>
      <c r="G575" s="21">
        <v>1000189775</v>
      </c>
      <c r="H575" s="3" t="s">
        <v>66</v>
      </c>
      <c r="I575" s="21">
        <v>1000189270</v>
      </c>
      <c r="J575" s="3" t="s">
        <v>34</v>
      </c>
      <c r="K575" s="20" t="s">
        <v>16</v>
      </c>
      <c r="L575" s="39">
        <v>0</v>
      </c>
      <c r="M575" s="39">
        <v>0</v>
      </c>
      <c r="N575" s="39">
        <v>0</v>
      </c>
      <c r="O575" s="39">
        <v>0</v>
      </c>
      <c r="P575" s="39">
        <v>0</v>
      </c>
      <c r="Q575" s="39">
        <v>0</v>
      </c>
      <c r="R575" s="39">
        <v>0</v>
      </c>
      <c r="S575" s="39">
        <v>0</v>
      </c>
      <c r="T575" s="39">
        <v>0</v>
      </c>
      <c r="U575" s="39">
        <v>0</v>
      </c>
      <c r="V575" s="39">
        <v>0</v>
      </c>
      <c r="W575" s="39">
        <v>0</v>
      </c>
      <c r="X575" s="39">
        <v>0</v>
      </c>
      <c r="Y575" s="39">
        <v>0</v>
      </c>
      <c r="Z575" s="39">
        <v>98.58</v>
      </c>
      <c r="AA575" s="39">
        <v>116.6</v>
      </c>
      <c r="AB575" s="39">
        <v>0</v>
      </c>
      <c r="AC575" s="39">
        <v>249.67</v>
      </c>
      <c r="AD575" s="39">
        <v>0</v>
      </c>
      <c r="AE575" s="39">
        <v>104.8</v>
      </c>
      <c r="AF575" s="39">
        <v>263.8</v>
      </c>
      <c r="AG575" s="39">
        <v>164.27</v>
      </c>
      <c r="AH575" s="39"/>
      <c r="AI575" s="39"/>
      <c r="AJ575" s="40"/>
      <c r="AK575" s="39">
        <f t="shared" si="45"/>
        <v>0</v>
      </c>
      <c r="AL575" s="39">
        <f t="shared" si="43"/>
        <v>83.143333333333331</v>
      </c>
      <c r="AM575" s="39">
        <f t="shared" si="44"/>
        <v>130.42333333333332</v>
      </c>
      <c r="AN575" s="39">
        <f t="shared" si="46"/>
        <v>99.772000000000006</v>
      </c>
      <c r="AO575" s="39">
        <f t="shared" si="47"/>
        <v>997.72</v>
      </c>
    </row>
    <row r="576" spans="1:41" x14ac:dyDescent="0.3">
      <c r="A576" s="20">
        <v>1000184670</v>
      </c>
      <c r="B576" s="4" t="s">
        <v>147</v>
      </c>
      <c r="C576" s="21"/>
      <c r="D576" s="3"/>
      <c r="E576" s="20">
        <v>1000184756</v>
      </c>
      <c r="F576" s="4" t="s">
        <v>53</v>
      </c>
      <c r="G576" s="21">
        <v>1000189775</v>
      </c>
      <c r="H576" s="3" t="s">
        <v>66</v>
      </c>
      <c r="I576" s="21">
        <v>1000189270</v>
      </c>
      <c r="J576" s="3" t="s">
        <v>34</v>
      </c>
      <c r="K576" s="20" t="s">
        <v>15</v>
      </c>
      <c r="L576" s="39">
        <v>0</v>
      </c>
      <c r="M576" s="39">
        <v>0</v>
      </c>
      <c r="N576" s="39">
        <v>0</v>
      </c>
      <c r="O576" s="39">
        <v>0</v>
      </c>
      <c r="P576" s="39">
        <v>0</v>
      </c>
      <c r="Q576" s="39">
        <v>0</v>
      </c>
      <c r="R576" s="39">
        <v>0</v>
      </c>
      <c r="S576" s="39">
        <v>0</v>
      </c>
      <c r="T576" s="39">
        <v>0</v>
      </c>
      <c r="U576" s="39">
        <v>0</v>
      </c>
      <c r="V576" s="39">
        <v>0</v>
      </c>
      <c r="W576" s="39">
        <v>0</v>
      </c>
      <c r="X576" s="39">
        <v>0</v>
      </c>
      <c r="Y576" s="39">
        <v>0</v>
      </c>
      <c r="Z576" s="39">
        <v>201</v>
      </c>
      <c r="AA576" s="39">
        <v>1429.54</v>
      </c>
      <c r="AB576" s="39">
        <v>0</v>
      </c>
      <c r="AC576" s="39">
        <v>199.5</v>
      </c>
      <c r="AD576" s="39">
        <v>0</v>
      </c>
      <c r="AE576" s="39">
        <v>97.5</v>
      </c>
      <c r="AF576" s="39">
        <v>586.79999999999995</v>
      </c>
      <c r="AG576" s="39">
        <v>170.27</v>
      </c>
      <c r="AH576" s="39"/>
      <c r="AI576" s="39"/>
      <c r="AJ576" s="40"/>
      <c r="AK576" s="39">
        <f t="shared" si="45"/>
        <v>0</v>
      </c>
      <c r="AL576" s="39">
        <f t="shared" si="43"/>
        <v>223.7175</v>
      </c>
      <c r="AM576" s="39">
        <f t="shared" si="44"/>
        <v>175.67833333333331</v>
      </c>
      <c r="AN576" s="39">
        <f t="shared" si="46"/>
        <v>268.46100000000001</v>
      </c>
      <c r="AO576" s="39">
        <f t="shared" si="47"/>
        <v>2684.61</v>
      </c>
    </row>
    <row r="577" spans="1:41" x14ac:dyDescent="0.3">
      <c r="A577" s="20">
        <v>1000184670</v>
      </c>
      <c r="B577" s="4" t="s">
        <v>147</v>
      </c>
      <c r="C577" s="21"/>
      <c r="D577" s="3"/>
      <c r="E577" s="20">
        <v>1000184756</v>
      </c>
      <c r="F577" s="4" t="s">
        <v>53</v>
      </c>
      <c r="G577" s="21">
        <v>1000189775</v>
      </c>
      <c r="H577" s="3" t="s">
        <v>66</v>
      </c>
      <c r="I577" s="21">
        <v>1000189270</v>
      </c>
      <c r="J577" s="3" t="s">
        <v>34</v>
      </c>
      <c r="K577" s="20" t="s">
        <v>33</v>
      </c>
      <c r="L577" s="39">
        <v>0</v>
      </c>
      <c r="M577" s="39">
        <v>0</v>
      </c>
      <c r="N577" s="39">
        <v>0</v>
      </c>
      <c r="O577" s="39">
        <v>0</v>
      </c>
      <c r="P577" s="39">
        <v>0</v>
      </c>
      <c r="Q577" s="39">
        <v>0</v>
      </c>
      <c r="R577" s="39">
        <v>0</v>
      </c>
      <c r="S577" s="39">
        <v>0</v>
      </c>
      <c r="T577" s="39">
        <v>0</v>
      </c>
      <c r="U577" s="39">
        <v>0</v>
      </c>
      <c r="V577" s="39">
        <v>0</v>
      </c>
      <c r="W577" s="39">
        <v>0</v>
      </c>
      <c r="X577" s="39">
        <v>0</v>
      </c>
      <c r="Y577" s="39">
        <v>0</v>
      </c>
      <c r="Z577" s="39">
        <v>0</v>
      </c>
      <c r="AA577" s="39">
        <v>0</v>
      </c>
      <c r="AB577" s="39">
        <v>0</v>
      </c>
      <c r="AC577" s="39">
        <v>0</v>
      </c>
      <c r="AD577" s="39">
        <v>0</v>
      </c>
      <c r="AE577" s="39">
        <v>0</v>
      </c>
      <c r="AF577" s="39">
        <v>0</v>
      </c>
      <c r="AG577" s="39">
        <v>57</v>
      </c>
      <c r="AH577" s="39"/>
      <c r="AI577" s="39"/>
      <c r="AJ577" s="40"/>
      <c r="AK577" s="39">
        <f t="shared" si="45"/>
        <v>0</v>
      </c>
      <c r="AL577" s="39">
        <f t="shared" si="43"/>
        <v>4.75</v>
      </c>
      <c r="AM577" s="39">
        <f t="shared" si="44"/>
        <v>9.5</v>
      </c>
      <c r="AN577" s="39">
        <f t="shared" si="46"/>
        <v>5.7</v>
      </c>
      <c r="AO577" s="39">
        <f t="shared" si="47"/>
        <v>57</v>
      </c>
    </row>
    <row r="578" spans="1:41" x14ac:dyDescent="0.3">
      <c r="A578" s="20">
        <v>1000184670</v>
      </c>
      <c r="B578" s="4" t="s">
        <v>147</v>
      </c>
      <c r="C578" s="21"/>
      <c r="D578" s="3"/>
      <c r="E578" s="20">
        <v>1000184756</v>
      </c>
      <c r="F578" s="4" t="s">
        <v>53</v>
      </c>
      <c r="G578" s="21">
        <v>1000189775</v>
      </c>
      <c r="H578" s="3" t="s">
        <v>66</v>
      </c>
      <c r="I578" s="21">
        <v>1000189270</v>
      </c>
      <c r="J578" s="3" t="s">
        <v>34</v>
      </c>
      <c r="K578" s="20" t="s">
        <v>19</v>
      </c>
      <c r="L578" s="39">
        <v>0</v>
      </c>
      <c r="M578" s="39">
        <v>0</v>
      </c>
      <c r="N578" s="39">
        <v>0</v>
      </c>
      <c r="O578" s="39">
        <v>0</v>
      </c>
      <c r="P578" s="39">
        <v>0</v>
      </c>
      <c r="Q578" s="39">
        <v>0</v>
      </c>
      <c r="R578" s="39">
        <v>0</v>
      </c>
      <c r="S578" s="39">
        <v>0</v>
      </c>
      <c r="T578" s="39">
        <v>0</v>
      </c>
      <c r="U578" s="39">
        <v>0</v>
      </c>
      <c r="V578" s="39">
        <v>0</v>
      </c>
      <c r="W578" s="39">
        <v>0</v>
      </c>
      <c r="X578" s="39">
        <v>0</v>
      </c>
      <c r="Y578" s="39">
        <v>0</v>
      </c>
      <c r="Z578" s="39">
        <v>0</v>
      </c>
      <c r="AA578" s="39">
        <v>241.65</v>
      </c>
      <c r="AB578" s="39">
        <v>0</v>
      </c>
      <c r="AC578" s="39">
        <v>136.80000000000001</v>
      </c>
      <c r="AD578" s="39">
        <v>0</v>
      </c>
      <c r="AE578" s="39">
        <v>156.9</v>
      </c>
      <c r="AF578" s="39">
        <v>0</v>
      </c>
      <c r="AG578" s="39">
        <v>57.71</v>
      </c>
      <c r="AH578" s="39"/>
      <c r="AI578" s="39"/>
      <c r="AJ578" s="40"/>
      <c r="AK578" s="39">
        <f t="shared" si="45"/>
        <v>0</v>
      </c>
      <c r="AL578" s="39">
        <f t="shared" si="43"/>
        <v>49.421666666666674</v>
      </c>
      <c r="AM578" s="39">
        <f t="shared" si="44"/>
        <v>58.568333333333335</v>
      </c>
      <c r="AN578" s="39">
        <f t="shared" si="46"/>
        <v>59.306000000000004</v>
      </c>
      <c r="AO578" s="39">
        <f t="shared" si="47"/>
        <v>593.06000000000006</v>
      </c>
    </row>
    <row r="579" spans="1:41" x14ac:dyDescent="0.3">
      <c r="A579" s="20">
        <v>1000184670</v>
      </c>
      <c r="B579" s="4" t="s">
        <v>147</v>
      </c>
      <c r="C579" s="21"/>
      <c r="D579" s="3"/>
      <c r="E579" s="20">
        <v>1000184756</v>
      </c>
      <c r="F579" s="4" t="s">
        <v>53</v>
      </c>
      <c r="G579" s="21">
        <v>1000189775</v>
      </c>
      <c r="H579" s="3" t="s">
        <v>66</v>
      </c>
      <c r="I579" s="21">
        <v>1000189270</v>
      </c>
      <c r="J579" s="3" t="s">
        <v>34</v>
      </c>
      <c r="K579" s="20" t="s">
        <v>17</v>
      </c>
      <c r="L579" s="39">
        <v>0</v>
      </c>
      <c r="M579" s="39">
        <v>0</v>
      </c>
      <c r="N579" s="39">
        <v>0</v>
      </c>
      <c r="O579" s="39">
        <v>0</v>
      </c>
      <c r="P579" s="39">
        <v>0</v>
      </c>
      <c r="Q579" s="39">
        <v>0</v>
      </c>
      <c r="R579" s="39">
        <v>0</v>
      </c>
      <c r="S579" s="39">
        <v>0</v>
      </c>
      <c r="T579" s="39">
        <v>0</v>
      </c>
      <c r="U579" s="39">
        <v>0</v>
      </c>
      <c r="V579" s="39">
        <v>0</v>
      </c>
      <c r="W579" s="39">
        <v>0</v>
      </c>
      <c r="X579" s="39">
        <v>0</v>
      </c>
      <c r="Y579" s="39">
        <v>0</v>
      </c>
      <c r="Z579" s="39">
        <v>0</v>
      </c>
      <c r="AA579" s="39">
        <v>373.3</v>
      </c>
      <c r="AB579" s="39">
        <v>0</v>
      </c>
      <c r="AC579" s="39">
        <v>0</v>
      </c>
      <c r="AD579" s="39">
        <v>0</v>
      </c>
      <c r="AE579" s="39">
        <v>0</v>
      </c>
      <c r="AF579" s="39">
        <v>0</v>
      </c>
      <c r="AG579" s="39">
        <v>22.8</v>
      </c>
      <c r="AH579" s="39"/>
      <c r="AI579" s="39"/>
      <c r="AJ579" s="40"/>
      <c r="AK579" s="39">
        <f t="shared" si="45"/>
        <v>0</v>
      </c>
      <c r="AL579" s="39">
        <f t="shared" ref="AL579:AL642" si="48">AVERAGE(V579:AG579)</f>
        <v>33.008333333333333</v>
      </c>
      <c r="AM579" s="39">
        <f t="shared" ref="AM579:AM642" si="49">AVERAGE(AB579:AG579)</f>
        <v>3.8000000000000003</v>
      </c>
      <c r="AN579" s="39">
        <f t="shared" si="46"/>
        <v>39.61</v>
      </c>
      <c r="AO579" s="39">
        <f t="shared" si="47"/>
        <v>396.1</v>
      </c>
    </row>
    <row r="580" spans="1:41" x14ac:dyDescent="0.3">
      <c r="A580" s="20">
        <v>1000184670</v>
      </c>
      <c r="B580" s="4" t="s">
        <v>147</v>
      </c>
      <c r="C580" s="21"/>
      <c r="D580" s="3"/>
      <c r="E580" s="20">
        <v>1000184756</v>
      </c>
      <c r="F580" s="4" t="s">
        <v>53</v>
      </c>
      <c r="G580" s="21">
        <v>1000189775</v>
      </c>
      <c r="H580" s="3" t="s">
        <v>66</v>
      </c>
      <c r="I580" s="21">
        <v>1000189270</v>
      </c>
      <c r="J580" s="3" t="s">
        <v>34</v>
      </c>
      <c r="K580" s="20" t="s">
        <v>24</v>
      </c>
      <c r="L580" s="39">
        <v>0</v>
      </c>
      <c r="M580" s="39">
        <v>0</v>
      </c>
      <c r="N580" s="39">
        <v>0</v>
      </c>
      <c r="O580" s="39">
        <v>0</v>
      </c>
      <c r="P580" s="39">
        <v>0</v>
      </c>
      <c r="Q580" s="39">
        <v>0</v>
      </c>
      <c r="R580" s="39">
        <v>0</v>
      </c>
      <c r="S580" s="39">
        <v>0</v>
      </c>
      <c r="T580" s="39">
        <v>0</v>
      </c>
      <c r="U580" s="39">
        <v>0</v>
      </c>
      <c r="V580" s="39">
        <v>0</v>
      </c>
      <c r="W580" s="39">
        <v>0</v>
      </c>
      <c r="X580" s="39">
        <v>0</v>
      </c>
      <c r="Y580" s="39">
        <v>0</v>
      </c>
      <c r="Z580" s="39">
        <v>0</v>
      </c>
      <c r="AA580" s="39">
        <v>111.63</v>
      </c>
      <c r="AB580" s="39">
        <v>0</v>
      </c>
      <c r="AC580" s="39">
        <v>0</v>
      </c>
      <c r="AD580" s="39">
        <v>0</v>
      </c>
      <c r="AE580" s="39">
        <v>0</v>
      </c>
      <c r="AF580" s="39">
        <v>0</v>
      </c>
      <c r="AG580" s="39">
        <v>14.78</v>
      </c>
      <c r="AH580" s="39"/>
      <c r="AI580" s="39"/>
      <c r="AJ580" s="40"/>
      <c r="AK580" s="39">
        <f t="shared" si="45"/>
        <v>0</v>
      </c>
      <c r="AL580" s="39">
        <f t="shared" si="48"/>
        <v>10.534166666666666</v>
      </c>
      <c r="AM580" s="39">
        <f t="shared" si="49"/>
        <v>2.4633333333333334</v>
      </c>
      <c r="AN580" s="39">
        <f t="shared" si="46"/>
        <v>12.641</v>
      </c>
      <c r="AO580" s="39">
        <f t="shared" si="47"/>
        <v>126.41</v>
      </c>
    </row>
    <row r="581" spans="1:41" x14ac:dyDescent="0.3">
      <c r="A581" s="20">
        <v>1000184670</v>
      </c>
      <c r="B581" s="4" t="s">
        <v>147</v>
      </c>
      <c r="C581" s="21"/>
      <c r="D581" s="3"/>
      <c r="E581" s="20">
        <v>1000184756</v>
      </c>
      <c r="F581" s="4" t="s">
        <v>53</v>
      </c>
      <c r="G581" s="21">
        <v>1000189775</v>
      </c>
      <c r="H581" s="3" t="s">
        <v>66</v>
      </c>
      <c r="I581" s="21">
        <v>1000189270</v>
      </c>
      <c r="J581" s="3" t="s">
        <v>34</v>
      </c>
      <c r="K581" s="20" t="s">
        <v>18</v>
      </c>
      <c r="L581" s="39">
        <v>0</v>
      </c>
      <c r="M581" s="39">
        <v>0</v>
      </c>
      <c r="N581" s="39">
        <v>0</v>
      </c>
      <c r="O581" s="39">
        <v>0</v>
      </c>
      <c r="P581" s="39">
        <v>0</v>
      </c>
      <c r="Q581" s="39">
        <v>0</v>
      </c>
      <c r="R581" s="39">
        <v>0</v>
      </c>
      <c r="S581" s="39">
        <v>0</v>
      </c>
      <c r="T581" s="39">
        <v>0</v>
      </c>
      <c r="U581" s="39">
        <v>0</v>
      </c>
      <c r="V581" s="39">
        <v>0</v>
      </c>
      <c r="W581" s="39">
        <v>0</v>
      </c>
      <c r="X581" s="39">
        <v>0</v>
      </c>
      <c r="Y581" s="39">
        <v>0</v>
      </c>
      <c r="Z581" s="39">
        <v>23.28</v>
      </c>
      <c r="AA581" s="39">
        <v>0</v>
      </c>
      <c r="AB581" s="39">
        <v>0</v>
      </c>
      <c r="AC581" s="39">
        <v>0</v>
      </c>
      <c r="AD581" s="39">
        <v>0</v>
      </c>
      <c r="AE581" s="39">
        <v>0</v>
      </c>
      <c r="AF581" s="39">
        <v>0</v>
      </c>
      <c r="AG581" s="39">
        <v>7.6</v>
      </c>
      <c r="AH581" s="39"/>
      <c r="AI581" s="39"/>
      <c r="AJ581" s="40"/>
      <c r="AK581" s="39">
        <f t="shared" si="45"/>
        <v>0</v>
      </c>
      <c r="AL581" s="39">
        <f t="shared" si="48"/>
        <v>2.5733333333333337</v>
      </c>
      <c r="AM581" s="39">
        <f t="shared" si="49"/>
        <v>1.2666666666666666</v>
      </c>
      <c r="AN581" s="39">
        <f t="shared" si="46"/>
        <v>3.0880000000000001</v>
      </c>
      <c r="AO581" s="39">
        <f t="shared" si="47"/>
        <v>30.880000000000003</v>
      </c>
    </row>
    <row r="582" spans="1:41" x14ac:dyDescent="0.3">
      <c r="A582" s="20">
        <v>1000184670</v>
      </c>
      <c r="B582" s="4" t="s">
        <v>147</v>
      </c>
      <c r="C582" s="21"/>
      <c r="D582" s="3"/>
      <c r="E582" s="20">
        <v>1000184756</v>
      </c>
      <c r="F582" s="4" t="s">
        <v>53</v>
      </c>
      <c r="G582" s="21">
        <v>1000189775</v>
      </c>
      <c r="H582" s="3" t="s">
        <v>66</v>
      </c>
      <c r="I582" s="21">
        <v>1000189270</v>
      </c>
      <c r="J582" s="3" t="s">
        <v>34</v>
      </c>
      <c r="K582" s="20" t="s">
        <v>29</v>
      </c>
      <c r="L582" s="39">
        <v>0</v>
      </c>
      <c r="M582" s="39">
        <v>0</v>
      </c>
      <c r="N582" s="39">
        <v>0</v>
      </c>
      <c r="O582" s="39">
        <v>0</v>
      </c>
      <c r="P582" s="39">
        <v>0</v>
      </c>
      <c r="Q582" s="39">
        <v>0</v>
      </c>
      <c r="R582" s="39">
        <v>0</v>
      </c>
      <c r="S582" s="39">
        <v>0</v>
      </c>
      <c r="T582" s="39">
        <v>0</v>
      </c>
      <c r="U582" s="39">
        <v>0</v>
      </c>
      <c r="V582" s="39">
        <v>0</v>
      </c>
      <c r="W582" s="39">
        <v>0</v>
      </c>
      <c r="X582" s="39">
        <v>0</v>
      </c>
      <c r="Y582" s="39">
        <v>0</v>
      </c>
      <c r="Z582" s="39">
        <v>0</v>
      </c>
      <c r="AA582" s="39">
        <v>1049.57</v>
      </c>
      <c r="AB582" s="39">
        <v>0</v>
      </c>
      <c r="AC582" s="39">
        <v>2565</v>
      </c>
      <c r="AD582" s="39">
        <v>3654.06</v>
      </c>
      <c r="AE582" s="39">
        <v>10550</v>
      </c>
      <c r="AF582" s="39">
        <v>8398.9</v>
      </c>
      <c r="AG582" s="39">
        <v>4644.05</v>
      </c>
      <c r="AH582" s="39"/>
      <c r="AI582" s="39"/>
      <c r="AJ582" s="40"/>
      <c r="AK582" s="39">
        <f t="shared" si="45"/>
        <v>0</v>
      </c>
      <c r="AL582" s="39">
        <f t="shared" si="48"/>
        <v>2571.7983333333332</v>
      </c>
      <c r="AM582" s="39">
        <f t="shared" si="49"/>
        <v>4968.6683333333331</v>
      </c>
      <c r="AN582" s="39">
        <f t="shared" si="46"/>
        <v>3086.1579999999999</v>
      </c>
      <c r="AO582" s="39">
        <f t="shared" si="47"/>
        <v>30861.579999999998</v>
      </c>
    </row>
    <row r="583" spans="1:41" x14ac:dyDescent="0.3">
      <c r="A583" s="20">
        <v>1000184670</v>
      </c>
      <c r="B583" s="4" t="s">
        <v>147</v>
      </c>
      <c r="C583" s="21"/>
      <c r="D583" s="3"/>
      <c r="E583" s="20">
        <v>1000184756</v>
      </c>
      <c r="F583" s="4" t="s">
        <v>53</v>
      </c>
      <c r="G583" s="21">
        <v>1000189775</v>
      </c>
      <c r="H583" s="3" t="s">
        <v>66</v>
      </c>
      <c r="I583" s="21">
        <v>1000189270</v>
      </c>
      <c r="J583" s="3" t="s">
        <v>34</v>
      </c>
      <c r="K583" s="20" t="s">
        <v>21</v>
      </c>
      <c r="L583" s="39">
        <v>0</v>
      </c>
      <c r="M583" s="39">
        <v>0</v>
      </c>
      <c r="N583" s="39">
        <v>0</v>
      </c>
      <c r="O583" s="39">
        <v>0</v>
      </c>
      <c r="P583" s="39">
        <v>0</v>
      </c>
      <c r="Q583" s="39">
        <v>0</v>
      </c>
      <c r="R583" s="39">
        <v>0</v>
      </c>
      <c r="S583" s="39">
        <v>0</v>
      </c>
      <c r="T583" s="39">
        <v>0</v>
      </c>
      <c r="U583" s="39">
        <v>0</v>
      </c>
      <c r="V583" s="39">
        <v>0</v>
      </c>
      <c r="W583" s="39">
        <v>0</v>
      </c>
      <c r="X583" s="39">
        <v>0</v>
      </c>
      <c r="Y583" s="39">
        <v>0</v>
      </c>
      <c r="Z583" s="39">
        <v>0</v>
      </c>
      <c r="AA583" s="39">
        <v>355.08</v>
      </c>
      <c r="AB583" s="39">
        <v>0</v>
      </c>
      <c r="AC583" s="39">
        <v>0</v>
      </c>
      <c r="AD583" s="39">
        <v>0</v>
      </c>
      <c r="AE583" s="39">
        <v>0</v>
      </c>
      <c r="AF583" s="39">
        <v>259.52</v>
      </c>
      <c r="AG583" s="39">
        <v>59.96</v>
      </c>
      <c r="AH583" s="39"/>
      <c r="AI583" s="39"/>
      <c r="AJ583" s="40"/>
      <c r="AK583" s="39">
        <f t="shared" si="45"/>
        <v>0</v>
      </c>
      <c r="AL583" s="39">
        <f t="shared" si="48"/>
        <v>56.213333333333331</v>
      </c>
      <c r="AM583" s="39">
        <f t="shared" si="49"/>
        <v>53.246666666666663</v>
      </c>
      <c r="AN583" s="39">
        <f t="shared" si="46"/>
        <v>67.455999999999989</v>
      </c>
      <c r="AO583" s="39">
        <f t="shared" si="47"/>
        <v>674.56</v>
      </c>
    </row>
    <row r="584" spans="1:41" x14ac:dyDescent="0.3">
      <c r="A584" s="20">
        <v>1000184670</v>
      </c>
      <c r="B584" s="4" t="s">
        <v>147</v>
      </c>
      <c r="C584" s="21"/>
      <c r="D584" s="3"/>
      <c r="E584" s="20">
        <v>1000184756</v>
      </c>
      <c r="F584" s="4" t="s">
        <v>53</v>
      </c>
      <c r="G584" s="21">
        <v>1000189775</v>
      </c>
      <c r="H584" s="3" t="s">
        <v>66</v>
      </c>
      <c r="I584" s="21">
        <v>1000189270</v>
      </c>
      <c r="J584" s="3" t="s">
        <v>34</v>
      </c>
      <c r="K584" s="20" t="s">
        <v>20</v>
      </c>
      <c r="L584" s="39">
        <v>0</v>
      </c>
      <c r="M584" s="39">
        <v>0</v>
      </c>
      <c r="N584" s="39">
        <v>0</v>
      </c>
      <c r="O584" s="39">
        <v>0</v>
      </c>
      <c r="P584" s="39">
        <v>0</v>
      </c>
      <c r="Q584" s="39">
        <v>0</v>
      </c>
      <c r="R584" s="39">
        <v>0</v>
      </c>
      <c r="S584" s="39">
        <v>0</v>
      </c>
      <c r="T584" s="39">
        <v>0</v>
      </c>
      <c r="U584" s="39">
        <v>0</v>
      </c>
      <c r="V584" s="39">
        <v>0</v>
      </c>
      <c r="W584" s="39">
        <v>0</v>
      </c>
      <c r="X584" s="39">
        <v>0</v>
      </c>
      <c r="Y584" s="39">
        <v>0</v>
      </c>
      <c r="Z584" s="39">
        <v>378.74</v>
      </c>
      <c r="AA584" s="39">
        <v>40.14</v>
      </c>
      <c r="AB584" s="39">
        <v>20.07</v>
      </c>
      <c r="AC584" s="39">
        <v>0</v>
      </c>
      <c r="AD584" s="39">
        <v>0</v>
      </c>
      <c r="AE584" s="39">
        <v>0</v>
      </c>
      <c r="AF584" s="39">
        <v>22.73</v>
      </c>
      <c r="AG584" s="39">
        <v>155.47999999999999</v>
      </c>
      <c r="AH584" s="39"/>
      <c r="AI584" s="39"/>
      <c r="AJ584" s="40"/>
      <c r="AK584" s="39">
        <f t="shared" si="45"/>
        <v>0</v>
      </c>
      <c r="AL584" s="39">
        <f t="shared" si="48"/>
        <v>51.43</v>
      </c>
      <c r="AM584" s="39">
        <f t="shared" si="49"/>
        <v>33.04666666666666</v>
      </c>
      <c r="AN584" s="39">
        <f t="shared" si="46"/>
        <v>61.715999999999994</v>
      </c>
      <c r="AO584" s="39">
        <f t="shared" si="47"/>
        <v>617.16</v>
      </c>
    </row>
    <row r="585" spans="1:41" x14ac:dyDescent="0.3">
      <c r="A585" s="20">
        <v>1000184670</v>
      </c>
      <c r="B585" s="4" t="s">
        <v>147</v>
      </c>
      <c r="C585" s="21"/>
      <c r="D585" s="3"/>
      <c r="E585" s="20">
        <v>1000184756</v>
      </c>
      <c r="F585" s="4" t="s">
        <v>53</v>
      </c>
      <c r="G585" s="21">
        <v>1000189775</v>
      </c>
      <c r="H585" s="3" t="s">
        <v>66</v>
      </c>
      <c r="I585" s="21">
        <v>1000189270</v>
      </c>
      <c r="J585" s="3" t="s">
        <v>34</v>
      </c>
      <c r="K585" s="20" t="s">
        <v>22</v>
      </c>
      <c r="L585" s="39">
        <v>0</v>
      </c>
      <c r="M585" s="39">
        <v>0</v>
      </c>
      <c r="N585" s="39">
        <v>0</v>
      </c>
      <c r="O585" s="39">
        <v>0</v>
      </c>
      <c r="P585" s="39">
        <v>0</v>
      </c>
      <c r="Q585" s="39">
        <v>0</v>
      </c>
      <c r="R585" s="39">
        <v>0</v>
      </c>
      <c r="S585" s="39">
        <v>0</v>
      </c>
      <c r="T585" s="39">
        <v>0</v>
      </c>
      <c r="U585" s="39">
        <v>0</v>
      </c>
      <c r="V585" s="39">
        <v>0</v>
      </c>
      <c r="W585" s="39">
        <v>0</v>
      </c>
      <c r="X585" s="39">
        <v>0</v>
      </c>
      <c r="Y585" s="39">
        <v>0</v>
      </c>
      <c r="Z585" s="39">
        <v>121.56</v>
      </c>
      <c r="AA585" s="39">
        <v>92.35</v>
      </c>
      <c r="AB585" s="39">
        <v>0</v>
      </c>
      <c r="AC585" s="39">
        <v>0</v>
      </c>
      <c r="AD585" s="39">
        <v>0</v>
      </c>
      <c r="AE585" s="39">
        <v>0</v>
      </c>
      <c r="AF585" s="39">
        <v>32.04</v>
      </c>
      <c r="AG585" s="39">
        <v>400.47</v>
      </c>
      <c r="AH585" s="39"/>
      <c r="AI585" s="39"/>
      <c r="AJ585" s="40"/>
      <c r="AK585" s="39">
        <f t="shared" si="45"/>
        <v>0</v>
      </c>
      <c r="AL585" s="39">
        <f t="shared" si="48"/>
        <v>53.868333333333339</v>
      </c>
      <c r="AM585" s="39">
        <f t="shared" si="49"/>
        <v>72.085000000000008</v>
      </c>
      <c r="AN585" s="39">
        <f t="shared" si="46"/>
        <v>64.64200000000001</v>
      </c>
      <c r="AO585" s="39">
        <f t="shared" si="47"/>
        <v>646.42000000000007</v>
      </c>
    </row>
    <row r="586" spans="1:41" x14ac:dyDescent="0.3">
      <c r="A586" s="20">
        <v>1000184670</v>
      </c>
      <c r="B586" s="4" t="s">
        <v>147</v>
      </c>
      <c r="C586" s="21"/>
      <c r="D586" s="3"/>
      <c r="E586" s="20">
        <v>1000184756</v>
      </c>
      <c r="F586" s="4" t="s">
        <v>53</v>
      </c>
      <c r="G586" s="21">
        <v>1000189775</v>
      </c>
      <c r="H586" s="3" t="s">
        <v>66</v>
      </c>
      <c r="I586" s="21">
        <v>1000189270</v>
      </c>
      <c r="J586" s="3" t="s">
        <v>34</v>
      </c>
      <c r="K586" s="20" t="s">
        <v>23</v>
      </c>
      <c r="L586" s="39">
        <v>0</v>
      </c>
      <c r="M586" s="39">
        <v>0</v>
      </c>
      <c r="N586" s="39">
        <v>0</v>
      </c>
      <c r="O586" s="39">
        <v>0</v>
      </c>
      <c r="P586" s="39">
        <v>0</v>
      </c>
      <c r="Q586" s="39">
        <v>0</v>
      </c>
      <c r="R586" s="39">
        <v>0</v>
      </c>
      <c r="S586" s="39">
        <v>0</v>
      </c>
      <c r="T586" s="39">
        <v>0</v>
      </c>
      <c r="U586" s="39">
        <v>0</v>
      </c>
      <c r="V586" s="39">
        <v>0</v>
      </c>
      <c r="W586" s="39">
        <v>0</v>
      </c>
      <c r="X586" s="39">
        <v>0</v>
      </c>
      <c r="Y586" s="39">
        <v>0</v>
      </c>
      <c r="Z586" s="39">
        <v>0</v>
      </c>
      <c r="AA586" s="39">
        <v>0</v>
      </c>
      <c r="AB586" s="39">
        <v>0</v>
      </c>
      <c r="AC586" s="39">
        <v>0</v>
      </c>
      <c r="AD586" s="39">
        <v>0</v>
      </c>
      <c r="AE586" s="39">
        <v>0</v>
      </c>
      <c r="AF586" s="39">
        <v>0</v>
      </c>
      <c r="AG586" s="39">
        <v>0</v>
      </c>
      <c r="AH586" s="39"/>
      <c r="AI586" s="39"/>
      <c r="AJ586" s="40"/>
      <c r="AK586" s="39">
        <f t="shared" si="45"/>
        <v>0</v>
      </c>
      <c r="AL586" s="39">
        <f t="shared" si="48"/>
        <v>0</v>
      </c>
      <c r="AM586" s="39">
        <f t="shared" si="49"/>
        <v>0</v>
      </c>
      <c r="AN586" s="39">
        <f t="shared" si="46"/>
        <v>0</v>
      </c>
      <c r="AO586" s="39">
        <f t="shared" si="47"/>
        <v>0</v>
      </c>
    </row>
    <row r="587" spans="1:41" x14ac:dyDescent="0.3">
      <c r="A587" s="20">
        <v>1000184670</v>
      </c>
      <c r="B587" s="4" t="s">
        <v>147</v>
      </c>
      <c r="C587" s="21"/>
      <c r="D587" s="3"/>
      <c r="E587" s="20">
        <v>1000184756</v>
      </c>
      <c r="F587" s="4" t="s">
        <v>53</v>
      </c>
      <c r="G587" s="21">
        <v>1000189775</v>
      </c>
      <c r="H587" s="3" t="s">
        <v>66</v>
      </c>
      <c r="I587" s="21">
        <v>1000189270</v>
      </c>
      <c r="J587" s="3" t="s">
        <v>34</v>
      </c>
      <c r="K587" s="20" t="s">
        <v>28</v>
      </c>
      <c r="L587" s="39">
        <v>0</v>
      </c>
      <c r="M587" s="39">
        <v>0</v>
      </c>
      <c r="N587" s="39">
        <v>0</v>
      </c>
      <c r="O587" s="39">
        <v>0</v>
      </c>
      <c r="P587" s="39">
        <v>0</v>
      </c>
      <c r="Q587" s="39">
        <v>0</v>
      </c>
      <c r="R587" s="39">
        <v>0</v>
      </c>
      <c r="S587" s="39">
        <v>0</v>
      </c>
      <c r="T587" s="39">
        <v>0</v>
      </c>
      <c r="U587" s="39">
        <v>0</v>
      </c>
      <c r="V587" s="39">
        <v>0</v>
      </c>
      <c r="W587" s="39">
        <v>0</v>
      </c>
      <c r="X587" s="39">
        <v>0</v>
      </c>
      <c r="Y587" s="39">
        <v>0</v>
      </c>
      <c r="Z587" s="39">
        <v>21.76</v>
      </c>
      <c r="AA587" s="39">
        <v>0</v>
      </c>
      <c r="AB587" s="39">
        <v>0</v>
      </c>
      <c r="AC587" s="39">
        <v>0</v>
      </c>
      <c r="AD587" s="39">
        <v>0</v>
      </c>
      <c r="AE587" s="39">
        <v>0</v>
      </c>
      <c r="AF587" s="39">
        <v>0</v>
      </c>
      <c r="AG587" s="39">
        <v>0</v>
      </c>
      <c r="AH587" s="39"/>
      <c r="AI587" s="39"/>
      <c r="AJ587" s="40"/>
      <c r="AK587" s="39">
        <f t="shared" si="45"/>
        <v>0</v>
      </c>
      <c r="AL587" s="39">
        <f t="shared" si="48"/>
        <v>1.8133333333333335</v>
      </c>
      <c r="AM587" s="39">
        <f t="shared" si="49"/>
        <v>0</v>
      </c>
      <c r="AN587" s="39">
        <f t="shared" si="46"/>
        <v>2.1760000000000002</v>
      </c>
      <c r="AO587" s="39">
        <f t="shared" si="47"/>
        <v>21.76</v>
      </c>
    </row>
    <row r="588" spans="1:41" x14ac:dyDescent="0.3">
      <c r="A588" s="20">
        <v>1000184670</v>
      </c>
      <c r="B588" s="4" t="s">
        <v>147</v>
      </c>
      <c r="C588" s="21"/>
      <c r="D588" s="3"/>
      <c r="E588" s="20">
        <v>1000184756</v>
      </c>
      <c r="F588" s="4" t="s">
        <v>53</v>
      </c>
      <c r="G588" s="21">
        <v>1000189775</v>
      </c>
      <c r="H588" s="3" t="s">
        <v>66</v>
      </c>
      <c r="I588" s="21">
        <v>1000189270</v>
      </c>
      <c r="J588" s="3" t="s">
        <v>34</v>
      </c>
      <c r="K588" s="20" t="s">
        <v>26</v>
      </c>
      <c r="L588" s="39">
        <v>0</v>
      </c>
      <c r="M588" s="39">
        <v>0</v>
      </c>
      <c r="N588" s="39">
        <v>0</v>
      </c>
      <c r="O588" s="39">
        <v>0</v>
      </c>
      <c r="P588" s="39">
        <v>0</v>
      </c>
      <c r="Q588" s="39">
        <v>0</v>
      </c>
      <c r="R588" s="39">
        <v>0</v>
      </c>
      <c r="S588" s="39">
        <v>0</v>
      </c>
      <c r="T588" s="39">
        <v>0</v>
      </c>
      <c r="U588" s="39">
        <v>0</v>
      </c>
      <c r="V588" s="39">
        <v>0</v>
      </c>
      <c r="W588" s="39">
        <v>0</v>
      </c>
      <c r="X588" s="39">
        <v>0</v>
      </c>
      <c r="Y588" s="39">
        <v>0</v>
      </c>
      <c r="Z588" s="39">
        <v>110.88</v>
      </c>
      <c r="AA588" s="39">
        <v>3342.08</v>
      </c>
      <c r="AB588" s="39">
        <v>0</v>
      </c>
      <c r="AC588" s="39">
        <v>110.22</v>
      </c>
      <c r="AD588" s="39">
        <v>0</v>
      </c>
      <c r="AE588" s="39">
        <v>0</v>
      </c>
      <c r="AF588" s="39">
        <v>216</v>
      </c>
      <c r="AG588" s="39">
        <v>0</v>
      </c>
      <c r="AH588" s="39"/>
      <c r="AI588" s="39"/>
      <c r="AJ588" s="40"/>
      <c r="AK588" s="39">
        <f t="shared" si="45"/>
        <v>0</v>
      </c>
      <c r="AL588" s="39">
        <f t="shared" si="48"/>
        <v>314.93166666666667</v>
      </c>
      <c r="AM588" s="39">
        <f t="shared" si="49"/>
        <v>54.370000000000005</v>
      </c>
      <c r="AN588" s="39">
        <f t="shared" si="46"/>
        <v>377.91800000000001</v>
      </c>
      <c r="AO588" s="39">
        <f t="shared" si="47"/>
        <v>3779.18</v>
      </c>
    </row>
    <row r="589" spans="1:41" x14ac:dyDescent="0.3">
      <c r="A589" s="20">
        <v>1000184670</v>
      </c>
      <c r="B589" s="4" t="s">
        <v>147</v>
      </c>
      <c r="C589" s="21"/>
      <c r="D589" s="3"/>
      <c r="E589" s="20">
        <v>1000184756</v>
      </c>
      <c r="F589" s="4" t="s">
        <v>53</v>
      </c>
      <c r="G589" s="21">
        <v>1000189775</v>
      </c>
      <c r="H589" s="3" t="s">
        <v>66</v>
      </c>
      <c r="I589" s="21">
        <v>1000189270</v>
      </c>
      <c r="J589" s="3" t="s">
        <v>34</v>
      </c>
      <c r="K589" s="20" t="s">
        <v>27</v>
      </c>
      <c r="L589" s="39">
        <v>0</v>
      </c>
      <c r="M589" s="39">
        <v>0</v>
      </c>
      <c r="N589" s="39">
        <v>0</v>
      </c>
      <c r="O589" s="39">
        <v>0</v>
      </c>
      <c r="P589" s="39">
        <v>0</v>
      </c>
      <c r="Q589" s="39">
        <v>0</v>
      </c>
      <c r="R589" s="39">
        <v>0</v>
      </c>
      <c r="S589" s="39">
        <v>0</v>
      </c>
      <c r="T589" s="39">
        <v>0</v>
      </c>
      <c r="U589" s="39">
        <v>0</v>
      </c>
      <c r="V589" s="39">
        <v>0</v>
      </c>
      <c r="W589" s="39">
        <v>0</v>
      </c>
      <c r="X589" s="39">
        <v>0</v>
      </c>
      <c r="Y589" s="39">
        <v>0</v>
      </c>
      <c r="Z589" s="39">
        <v>0</v>
      </c>
      <c r="AA589" s="39">
        <v>0</v>
      </c>
      <c r="AB589" s="39">
        <v>0</v>
      </c>
      <c r="AC589" s="39">
        <v>0</v>
      </c>
      <c r="AD589" s="39">
        <v>0</v>
      </c>
      <c r="AE589" s="39">
        <v>0</v>
      </c>
      <c r="AF589" s="39">
        <v>117</v>
      </c>
      <c r="AG589" s="39">
        <v>0</v>
      </c>
      <c r="AH589" s="39"/>
      <c r="AI589" s="39"/>
      <c r="AJ589" s="40"/>
      <c r="AK589" s="39">
        <f t="shared" si="45"/>
        <v>0</v>
      </c>
      <c r="AL589" s="39">
        <f t="shared" si="48"/>
        <v>9.75</v>
      </c>
      <c r="AM589" s="39">
        <f t="shared" si="49"/>
        <v>19.5</v>
      </c>
      <c r="AN589" s="39">
        <f t="shared" si="46"/>
        <v>11.7</v>
      </c>
      <c r="AO589" s="39">
        <f t="shared" si="47"/>
        <v>117</v>
      </c>
    </row>
    <row r="590" spans="1:41" x14ac:dyDescent="0.3">
      <c r="A590" s="20">
        <v>1000184670</v>
      </c>
      <c r="B590" s="4" t="s">
        <v>147</v>
      </c>
      <c r="C590" s="21"/>
      <c r="D590" s="3"/>
      <c r="E590" s="20">
        <v>1000184756</v>
      </c>
      <c r="F590" s="4" t="s">
        <v>53</v>
      </c>
      <c r="G590" s="21">
        <v>1000189775</v>
      </c>
      <c r="H590" s="3" t="s">
        <v>66</v>
      </c>
      <c r="I590" s="21">
        <v>1000189270</v>
      </c>
      <c r="J590" s="3" t="s">
        <v>34</v>
      </c>
      <c r="K590" s="20" t="s">
        <v>25</v>
      </c>
      <c r="L590" s="39">
        <v>0</v>
      </c>
      <c r="M590" s="39">
        <v>0</v>
      </c>
      <c r="N590" s="39">
        <v>0</v>
      </c>
      <c r="O590" s="39">
        <v>0</v>
      </c>
      <c r="P590" s="39">
        <v>0</v>
      </c>
      <c r="Q590" s="39">
        <v>0</v>
      </c>
      <c r="R590" s="39">
        <v>0</v>
      </c>
      <c r="S590" s="39">
        <v>0</v>
      </c>
      <c r="T590" s="39">
        <v>0</v>
      </c>
      <c r="U590" s="39">
        <v>0</v>
      </c>
      <c r="V590" s="39">
        <v>0</v>
      </c>
      <c r="W590" s="39">
        <v>0</v>
      </c>
      <c r="X590" s="39">
        <v>0</v>
      </c>
      <c r="Y590" s="39">
        <v>0</v>
      </c>
      <c r="Z590" s="39">
        <v>0</v>
      </c>
      <c r="AA590" s="39">
        <v>636.29999999999995</v>
      </c>
      <c r="AB590" s="39">
        <v>0</v>
      </c>
      <c r="AC590" s="39">
        <v>128.25</v>
      </c>
      <c r="AD590" s="39">
        <v>0</v>
      </c>
      <c r="AE590" s="39">
        <v>0</v>
      </c>
      <c r="AF590" s="39">
        <v>133.65</v>
      </c>
      <c r="AG590" s="39">
        <v>0</v>
      </c>
      <c r="AH590" s="39"/>
      <c r="AI590" s="39"/>
      <c r="AJ590" s="40"/>
      <c r="AK590" s="39">
        <f t="shared" si="45"/>
        <v>0</v>
      </c>
      <c r="AL590" s="39">
        <f t="shared" si="48"/>
        <v>74.849999999999994</v>
      </c>
      <c r="AM590" s="39">
        <f t="shared" si="49"/>
        <v>43.65</v>
      </c>
      <c r="AN590" s="39">
        <f t="shared" si="46"/>
        <v>89.82</v>
      </c>
      <c r="AO590" s="39">
        <f t="shared" si="47"/>
        <v>898.19999999999993</v>
      </c>
    </row>
    <row r="591" spans="1:41" x14ac:dyDescent="0.3">
      <c r="A591" s="20">
        <v>1000184670</v>
      </c>
      <c r="B591" s="4" t="s">
        <v>147</v>
      </c>
      <c r="C591" s="21"/>
      <c r="D591" s="3"/>
      <c r="E591" s="20">
        <v>1000184758</v>
      </c>
      <c r="F591" s="4" t="s">
        <v>55</v>
      </c>
      <c r="G591" s="21">
        <v>1000189776</v>
      </c>
      <c r="H591" s="3" t="s">
        <v>79</v>
      </c>
      <c r="I591" s="21">
        <v>1000189270</v>
      </c>
      <c r="J591" s="3" t="s">
        <v>34</v>
      </c>
      <c r="K591" s="20" t="s">
        <v>124</v>
      </c>
      <c r="L591" s="39">
        <v>0</v>
      </c>
      <c r="M591" s="39">
        <v>0</v>
      </c>
      <c r="N591" s="39">
        <v>0</v>
      </c>
      <c r="O591" s="39">
        <v>0</v>
      </c>
      <c r="P591" s="39">
        <v>0</v>
      </c>
      <c r="Q591" s="39">
        <v>0</v>
      </c>
      <c r="R591" s="39">
        <v>0</v>
      </c>
      <c r="S591" s="39">
        <v>0</v>
      </c>
      <c r="T591" s="39">
        <v>0</v>
      </c>
      <c r="U591" s="39">
        <v>0</v>
      </c>
      <c r="V591" s="39">
        <v>0</v>
      </c>
      <c r="W591" s="39">
        <v>0</v>
      </c>
      <c r="X591" s="39">
        <v>0</v>
      </c>
      <c r="Y591" s="39">
        <v>0</v>
      </c>
      <c r="Z591" s="39">
        <v>0</v>
      </c>
      <c r="AA591" s="39">
        <v>0</v>
      </c>
      <c r="AB591" s="39">
        <v>0</v>
      </c>
      <c r="AC591" s="39">
        <v>0</v>
      </c>
      <c r="AD591" s="39">
        <v>0</v>
      </c>
      <c r="AE591" s="39">
        <v>0</v>
      </c>
      <c r="AF591" s="39">
        <v>0</v>
      </c>
      <c r="AG591" s="39">
        <v>0</v>
      </c>
      <c r="AH591" s="39"/>
      <c r="AI591" s="39"/>
      <c r="AJ591" s="40"/>
      <c r="AK591" s="39">
        <f t="shared" si="45"/>
        <v>0</v>
      </c>
      <c r="AL591" s="39">
        <f t="shared" si="48"/>
        <v>0</v>
      </c>
      <c r="AM591" s="39">
        <f t="shared" si="49"/>
        <v>0</v>
      </c>
      <c r="AN591" s="39">
        <f t="shared" si="46"/>
        <v>0</v>
      </c>
      <c r="AO591" s="39">
        <f t="shared" si="47"/>
        <v>0</v>
      </c>
    </row>
    <row r="592" spans="1:41" x14ac:dyDescent="0.3">
      <c r="A592" s="20">
        <v>1000184670</v>
      </c>
      <c r="B592" s="4" t="s">
        <v>147</v>
      </c>
      <c r="C592" s="21"/>
      <c r="D592" s="3"/>
      <c r="E592" s="20">
        <v>1000184758</v>
      </c>
      <c r="F592" s="4" t="s">
        <v>55</v>
      </c>
      <c r="G592" s="21">
        <v>1000189776</v>
      </c>
      <c r="H592" s="3" t="s">
        <v>79</v>
      </c>
      <c r="I592" s="21">
        <v>1000189270</v>
      </c>
      <c r="J592" s="3" t="s">
        <v>34</v>
      </c>
      <c r="K592" s="20" t="s">
        <v>13</v>
      </c>
      <c r="L592" s="39">
        <v>0</v>
      </c>
      <c r="M592" s="39">
        <v>0</v>
      </c>
      <c r="N592" s="39">
        <v>0</v>
      </c>
      <c r="O592" s="39">
        <v>0</v>
      </c>
      <c r="P592" s="39">
        <v>0</v>
      </c>
      <c r="Q592" s="39">
        <v>0</v>
      </c>
      <c r="R592" s="39">
        <v>0</v>
      </c>
      <c r="S592" s="39">
        <v>0</v>
      </c>
      <c r="T592" s="39">
        <v>0</v>
      </c>
      <c r="U592" s="39">
        <v>0</v>
      </c>
      <c r="V592" s="39">
        <v>0</v>
      </c>
      <c r="W592" s="39">
        <v>0</v>
      </c>
      <c r="X592" s="39">
        <v>0</v>
      </c>
      <c r="Y592" s="39">
        <v>0</v>
      </c>
      <c r="Z592" s="39">
        <v>0</v>
      </c>
      <c r="AA592" s="39">
        <v>0</v>
      </c>
      <c r="AB592" s="39">
        <v>180.42</v>
      </c>
      <c r="AC592" s="39">
        <v>68.849999999999994</v>
      </c>
      <c r="AD592" s="39">
        <v>0</v>
      </c>
      <c r="AE592" s="39">
        <v>129.6</v>
      </c>
      <c r="AF592" s="39">
        <v>0</v>
      </c>
      <c r="AG592" s="39">
        <v>180.93</v>
      </c>
      <c r="AH592" s="39"/>
      <c r="AI592" s="39"/>
      <c r="AJ592" s="40"/>
      <c r="AK592" s="39">
        <f t="shared" si="45"/>
        <v>0</v>
      </c>
      <c r="AL592" s="39">
        <f t="shared" si="48"/>
        <v>46.65</v>
      </c>
      <c r="AM592" s="39">
        <f t="shared" si="49"/>
        <v>93.3</v>
      </c>
      <c r="AN592" s="39">
        <f t="shared" si="46"/>
        <v>55.98</v>
      </c>
      <c r="AO592" s="39">
        <f t="shared" si="47"/>
        <v>559.79999999999995</v>
      </c>
    </row>
    <row r="593" spans="1:41" x14ac:dyDescent="0.3">
      <c r="A593" s="20">
        <v>1000184670</v>
      </c>
      <c r="B593" s="4" t="s">
        <v>147</v>
      </c>
      <c r="C593" s="21"/>
      <c r="D593" s="3"/>
      <c r="E593" s="20">
        <v>1000184758</v>
      </c>
      <c r="F593" s="4" t="s">
        <v>55</v>
      </c>
      <c r="G593" s="21">
        <v>1000189776</v>
      </c>
      <c r="H593" s="3" t="s">
        <v>79</v>
      </c>
      <c r="I593" s="21">
        <v>1000189270</v>
      </c>
      <c r="J593" s="3" t="s">
        <v>34</v>
      </c>
      <c r="K593" s="20" t="s">
        <v>14</v>
      </c>
      <c r="L593" s="39">
        <v>0</v>
      </c>
      <c r="M593" s="39">
        <v>0</v>
      </c>
      <c r="N593" s="39">
        <v>0</v>
      </c>
      <c r="O593" s="39">
        <v>0</v>
      </c>
      <c r="P593" s="39">
        <v>0</v>
      </c>
      <c r="Q593" s="39">
        <v>0</v>
      </c>
      <c r="R593" s="39">
        <v>0</v>
      </c>
      <c r="S593" s="39">
        <v>0</v>
      </c>
      <c r="T593" s="39">
        <v>0</v>
      </c>
      <c r="U593" s="39">
        <v>0</v>
      </c>
      <c r="V593" s="39">
        <v>0</v>
      </c>
      <c r="W593" s="39">
        <v>0</v>
      </c>
      <c r="X593" s="39">
        <v>0</v>
      </c>
      <c r="Y593" s="39">
        <v>0</v>
      </c>
      <c r="Z593" s="39">
        <v>0</v>
      </c>
      <c r="AA593" s="39">
        <v>0</v>
      </c>
      <c r="AB593" s="39">
        <v>0</v>
      </c>
      <c r="AC593" s="39">
        <v>0</v>
      </c>
      <c r="AD593" s="39">
        <v>0</v>
      </c>
      <c r="AE593" s="39">
        <v>0</v>
      </c>
      <c r="AF593" s="39">
        <v>0</v>
      </c>
      <c r="AG593" s="39">
        <v>510.15</v>
      </c>
      <c r="AH593" s="39"/>
      <c r="AI593" s="39"/>
      <c r="AJ593" s="40"/>
      <c r="AK593" s="39">
        <f t="shared" si="45"/>
        <v>0</v>
      </c>
      <c r="AL593" s="39">
        <f t="shared" si="48"/>
        <v>42.512499999999996</v>
      </c>
      <c r="AM593" s="39">
        <f t="shared" si="49"/>
        <v>85.024999999999991</v>
      </c>
      <c r="AN593" s="39">
        <f t="shared" si="46"/>
        <v>51.015000000000001</v>
      </c>
      <c r="AO593" s="39">
        <f t="shared" si="47"/>
        <v>510.15</v>
      </c>
    </row>
    <row r="594" spans="1:41" x14ac:dyDescent="0.3">
      <c r="A594" s="20">
        <v>1000184670</v>
      </c>
      <c r="B594" s="4" t="s">
        <v>147</v>
      </c>
      <c r="C594" s="21"/>
      <c r="D594" s="3"/>
      <c r="E594" s="20">
        <v>1000184758</v>
      </c>
      <c r="F594" s="4" t="s">
        <v>55</v>
      </c>
      <c r="G594" s="21">
        <v>1000189776</v>
      </c>
      <c r="H594" s="3" t="s">
        <v>79</v>
      </c>
      <c r="I594" s="21">
        <v>1000189270</v>
      </c>
      <c r="J594" s="3" t="s">
        <v>34</v>
      </c>
      <c r="K594" s="20" t="s">
        <v>16</v>
      </c>
      <c r="L594" s="39">
        <v>0</v>
      </c>
      <c r="M594" s="39">
        <v>0</v>
      </c>
      <c r="N594" s="39">
        <v>0</v>
      </c>
      <c r="O594" s="39">
        <v>0</v>
      </c>
      <c r="P594" s="39">
        <v>0</v>
      </c>
      <c r="Q594" s="39">
        <v>0</v>
      </c>
      <c r="R594" s="39">
        <v>0</v>
      </c>
      <c r="S594" s="39">
        <v>0</v>
      </c>
      <c r="T594" s="39">
        <v>0</v>
      </c>
      <c r="U594" s="39">
        <v>0</v>
      </c>
      <c r="V594" s="39">
        <v>0</v>
      </c>
      <c r="W594" s="39">
        <v>0</v>
      </c>
      <c r="X594" s="39">
        <v>0</v>
      </c>
      <c r="Y594" s="39">
        <v>0</v>
      </c>
      <c r="Z594" s="39">
        <v>0</v>
      </c>
      <c r="AA594" s="39">
        <v>0</v>
      </c>
      <c r="AB594" s="39">
        <v>297.10000000000002</v>
      </c>
      <c r="AC594" s="39">
        <v>927.27</v>
      </c>
      <c r="AD594" s="39">
        <v>0</v>
      </c>
      <c r="AE594" s="39">
        <v>1001.16</v>
      </c>
      <c r="AF594" s="39">
        <v>0</v>
      </c>
      <c r="AG594" s="39">
        <v>56.78</v>
      </c>
      <c r="AH594" s="39"/>
      <c r="AI594" s="39"/>
      <c r="AJ594" s="40"/>
      <c r="AK594" s="39">
        <f t="shared" si="45"/>
        <v>0</v>
      </c>
      <c r="AL594" s="39">
        <f t="shared" si="48"/>
        <v>190.1925</v>
      </c>
      <c r="AM594" s="39">
        <f t="shared" si="49"/>
        <v>380.38499999999999</v>
      </c>
      <c r="AN594" s="39">
        <f t="shared" si="46"/>
        <v>228.23099999999999</v>
      </c>
      <c r="AO594" s="39">
        <f t="shared" si="47"/>
        <v>2282.31</v>
      </c>
    </row>
    <row r="595" spans="1:41" x14ac:dyDescent="0.3">
      <c r="A595" s="20">
        <v>1000184670</v>
      </c>
      <c r="B595" s="4" t="s">
        <v>147</v>
      </c>
      <c r="C595" s="21"/>
      <c r="D595" s="3"/>
      <c r="E595" s="20">
        <v>1000184758</v>
      </c>
      <c r="F595" s="4" t="s">
        <v>55</v>
      </c>
      <c r="G595" s="21">
        <v>1000189776</v>
      </c>
      <c r="H595" s="3" t="s">
        <v>79</v>
      </c>
      <c r="I595" s="21">
        <v>1000189270</v>
      </c>
      <c r="J595" s="3" t="s">
        <v>34</v>
      </c>
      <c r="K595" s="20" t="s">
        <v>15</v>
      </c>
      <c r="L595" s="39">
        <v>0</v>
      </c>
      <c r="M595" s="39">
        <v>0</v>
      </c>
      <c r="N595" s="39">
        <v>0</v>
      </c>
      <c r="O595" s="39">
        <v>0</v>
      </c>
      <c r="P595" s="39">
        <v>0</v>
      </c>
      <c r="Q595" s="39">
        <v>0</v>
      </c>
      <c r="R595" s="39">
        <v>0</v>
      </c>
      <c r="S595" s="39">
        <v>0</v>
      </c>
      <c r="T595" s="39">
        <v>0</v>
      </c>
      <c r="U595" s="39">
        <v>0</v>
      </c>
      <c r="V595" s="39">
        <v>0</v>
      </c>
      <c r="W595" s="39">
        <v>0</v>
      </c>
      <c r="X595" s="39">
        <v>0</v>
      </c>
      <c r="Y595" s="39">
        <v>0</v>
      </c>
      <c r="Z595" s="39">
        <v>0</v>
      </c>
      <c r="AA595" s="39">
        <v>0</v>
      </c>
      <c r="AB595" s="39">
        <v>181.32</v>
      </c>
      <c r="AC595" s="39">
        <v>160.80000000000001</v>
      </c>
      <c r="AD595" s="39">
        <v>0</v>
      </c>
      <c r="AE595" s="39">
        <v>0</v>
      </c>
      <c r="AF595" s="39">
        <v>0</v>
      </c>
      <c r="AG595" s="39">
        <v>79.8</v>
      </c>
      <c r="AH595" s="39"/>
      <c r="AI595" s="39"/>
      <c r="AJ595" s="40"/>
      <c r="AK595" s="39">
        <f t="shared" si="45"/>
        <v>0</v>
      </c>
      <c r="AL595" s="39">
        <f t="shared" si="48"/>
        <v>35.160000000000004</v>
      </c>
      <c r="AM595" s="39">
        <f t="shared" si="49"/>
        <v>70.320000000000007</v>
      </c>
      <c r="AN595" s="39">
        <f t="shared" si="46"/>
        <v>42.192</v>
      </c>
      <c r="AO595" s="39">
        <f t="shared" si="47"/>
        <v>421.92</v>
      </c>
    </row>
    <row r="596" spans="1:41" x14ac:dyDescent="0.3">
      <c r="A596" s="20">
        <v>1000184670</v>
      </c>
      <c r="B596" s="4" t="s">
        <v>147</v>
      </c>
      <c r="C596" s="21"/>
      <c r="D596" s="3"/>
      <c r="E596" s="20">
        <v>1000184758</v>
      </c>
      <c r="F596" s="4" t="s">
        <v>55</v>
      </c>
      <c r="G596" s="21">
        <v>1000189776</v>
      </c>
      <c r="H596" s="3" t="s">
        <v>79</v>
      </c>
      <c r="I596" s="21">
        <v>1000189270</v>
      </c>
      <c r="J596" s="3" t="s">
        <v>34</v>
      </c>
      <c r="K596" s="20" t="s">
        <v>33</v>
      </c>
      <c r="L596" s="39">
        <v>0</v>
      </c>
      <c r="M596" s="39">
        <v>0</v>
      </c>
      <c r="N596" s="39">
        <v>0</v>
      </c>
      <c r="O596" s="39">
        <v>0</v>
      </c>
      <c r="P596" s="39">
        <v>0</v>
      </c>
      <c r="Q596" s="39">
        <v>0</v>
      </c>
      <c r="R596" s="39">
        <v>0</v>
      </c>
      <c r="S596" s="39">
        <v>0</v>
      </c>
      <c r="T596" s="39">
        <v>0</v>
      </c>
      <c r="U596" s="39">
        <v>0</v>
      </c>
      <c r="V596" s="39">
        <v>0</v>
      </c>
      <c r="W596" s="39">
        <v>0</v>
      </c>
      <c r="X596" s="39">
        <v>0</v>
      </c>
      <c r="Y596" s="39">
        <v>0</v>
      </c>
      <c r="Z596" s="39">
        <v>0</v>
      </c>
      <c r="AA596" s="39">
        <v>0</v>
      </c>
      <c r="AB596" s="39">
        <v>0</v>
      </c>
      <c r="AC596" s="39">
        <v>0</v>
      </c>
      <c r="AD596" s="39">
        <v>0</v>
      </c>
      <c r="AE596" s="39">
        <v>0</v>
      </c>
      <c r="AF596" s="39">
        <v>0</v>
      </c>
      <c r="AG596" s="39">
        <v>0</v>
      </c>
      <c r="AH596" s="39"/>
      <c r="AI596" s="39"/>
      <c r="AJ596" s="40"/>
      <c r="AK596" s="39">
        <f t="shared" si="45"/>
        <v>0</v>
      </c>
      <c r="AL596" s="39">
        <f t="shared" si="48"/>
        <v>0</v>
      </c>
      <c r="AM596" s="39">
        <f t="shared" si="49"/>
        <v>0</v>
      </c>
      <c r="AN596" s="39">
        <f t="shared" si="46"/>
        <v>0</v>
      </c>
      <c r="AO596" s="39">
        <f t="shared" si="47"/>
        <v>0</v>
      </c>
    </row>
    <row r="597" spans="1:41" x14ac:dyDescent="0.3">
      <c r="A597" s="20">
        <v>1000184670</v>
      </c>
      <c r="B597" s="4" t="s">
        <v>147</v>
      </c>
      <c r="C597" s="21"/>
      <c r="D597" s="3"/>
      <c r="E597" s="20">
        <v>1000184758</v>
      </c>
      <c r="F597" s="4" t="s">
        <v>55</v>
      </c>
      <c r="G597" s="21">
        <v>1000189776</v>
      </c>
      <c r="H597" s="3" t="s">
        <v>79</v>
      </c>
      <c r="I597" s="21">
        <v>1000189270</v>
      </c>
      <c r="J597" s="3" t="s">
        <v>34</v>
      </c>
      <c r="K597" s="20" t="s">
        <v>19</v>
      </c>
      <c r="L597" s="39">
        <v>0</v>
      </c>
      <c r="M597" s="39">
        <v>0</v>
      </c>
      <c r="N597" s="39">
        <v>0</v>
      </c>
      <c r="O597" s="39">
        <v>0</v>
      </c>
      <c r="P597" s="39">
        <v>0</v>
      </c>
      <c r="Q597" s="39">
        <v>0</v>
      </c>
      <c r="R597" s="39">
        <v>0</v>
      </c>
      <c r="S597" s="39">
        <v>0</v>
      </c>
      <c r="T597" s="39">
        <v>0</v>
      </c>
      <c r="U597" s="39">
        <v>0</v>
      </c>
      <c r="V597" s="39">
        <v>0</v>
      </c>
      <c r="W597" s="39">
        <v>0</v>
      </c>
      <c r="X597" s="39">
        <v>0</v>
      </c>
      <c r="Y597" s="39">
        <v>0</v>
      </c>
      <c r="Z597" s="39">
        <v>0</v>
      </c>
      <c r="AA597" s="39">
        <v>0</v>
      </c>
      <c r="AB597" s="39">
        <v>72</v>
      </c>
      <c r="AC597" s="39">
        <v>36.450000000000003</v>
      </c>
      <c r="AD597" s="39">
        <v>0</v>
      </c>
      <c r="AE597" s="39">
        <v>109.35</v>
      </c>
      <c r="AF597" s="39">
        <v>0</v>
      </c>
      <c r="AG597" s="39">
        <v>0</v>
      </c>
      <c r="AH597" s="39"/>
      <c r="AI597" s="39"/>
      <c r="AJ597" s="40"/>
      <c r="AK597" s="39">
        <f t="shared" si="45"/>
        <v>0</v>
      </c>
      <c r="AL597" s="39">
        <f t="shared" si="48"/>
        <v>18.150000000000002</v>
      </c>
      <c r="AM597" s="39">
        <f t="shared" si="49"/>
        <v>36.300000000000004</v>
      </c>
      <c r="AN597" s="39">
        <f t="shared" si="46"/>
        <v>21.78</v>
      </c>
      <c r="AO597" s="39">
        <f t="shared" si="47"/>
        <v>217.8</v>
      </c>
    </row>
    <row r="598" spans="1:41" x14ac:dyDescent="0.3">
      <c r="A598" s="20">
        <v>1000184670</v>
      </c>
      <c r="B598" s="4" t="s">
        <v>147</v>
      </c>
      <c r="C598" s="21"/>
      <c r="D598" s="3"/>
      <c r="E598" s="20">
        <v>1000184758</v>
      </c>
      <c r="F598" s="4" t="s">
        <v>55</v>
      </c>
      <c r="G598" s="21">
        <v>1000189776</v>
      </c>
      <c r="H598" s="3" t="s">
        <v>79</v>
      </c>
      <c r="I598" s="21">
        <v>1000189270</v>
      </c>
      <c r="J598" s="3" t="s">
        <v>34</v>
      </c>
      <c r="K598" s="20" t="s">
        <v>17</v>
      </c>
      <c r="L598" s="39">
        <v>0</v>
      </c>
      <c r="M598" s="39">
        <v>0</v>
      </c>
      <c r="N598" s="39">
        <v>0</v>
      </c>
      <c r="O598" s="39">
        <v>0</v>
      </c>
      <c r="P598" s="39">
        <v>0</v>
      </c>
      <c r="Q598" s="39">
        <v>0</v>
      </c>
      <c r="R598" s="39">
        <v>0</v>
      </c>
      <c r="S598" s="39">
        <v>0</v>
      </c>
      <c r="T598" s="39">
        <v>0</v>
      </c>
      <c r="U598" s="39">
        <v>0</v>
      </c>
      <c r="V598" s="39">
        <v>0</v>
      </c>
      <c r="W598" s="39">
        <v>0</v>
      </c>
      <c r="X598" s="39">
        <v>0</v>
      </c>
      <c r="Y598" s="39">
        <v>0</v>
      </c>
      <c r="Z598" s="39">
        <v>0</v>
      </c>
      <c r="AA598" s="39">
        <v>0</v>
      </c>
      <c r="AB598" s="39">
        <v>0</v>
      </c>
      <c r="AC598" s="39">
        <v>0</v>
      </c>
      <c r="AD598" s="39">
        <v>0</v>
      </c>
      <c r="AE598" s="39">
        <v>0</v>
      </c>
      <c r="AF598" s="39">
        <v>0</v>
      </c>
      <c r="AG598" s="39">
        <v>2046.6</v>
      </c>
      <c r="AH598" s="39"/>
      <c r="AI598" s="39"/>
      <c r="AJ598" s="40"/>
      <c r="AK598" s="39">
        <f t="shared" si="45"/>
        <v>0</v>
      </c>
      <c r="AL598" s="39">
        <f t="shared" si="48"/>
        <v>170.54999999999998</v>
      </c>
      <c r="AM598" s="39">
        <f t="shared" si="49"/>
        <v>341.09999999999997</v>
      </c>
      <c r="AN598" s="39">
        <f t="shared" si="46"/>
        <v>204.66</v>
      </c>
      <c r="AO598" s="39">
        <f t="shared" si="47"/>
        <v>2046.6</v>
      </c>
    </row>
    <row r="599" spans="1:41" x14ac:dyDescent="0.3">
      <c r="A599" s="20">
        <v>1000184670</v>
      </c>
      <c r="B599" s="4" t="s">
        <v>147</v>
      </c>
      <c r="C599" s="21"/>
      <c r="D599" s="3"/>
      <c r="E599" s="20">
        <v>1000184758</v>
      </c>
      <c r="F599" s="4" t="s">
        <v>55</v>
      </c>
      <c r="G599" s="21">
        <v>1000189776</v>
      </c>
      <c r="H599" s="3" t="s">
        <v>79</v>
      </c>
      <c r="I599" s="21">
        <v>1000189270</v>
      </c>
      <c r="J599" s="3" t="s">
        <v>34</v>
      </c>
      <c r="K599" s="20" t="s">
        <v>24</v>
      </c>
      <c r="L599" s="39">
        <v>0</v>
      </c>
      <c r="M599" s="39">
        <v>0</v>
      </c>
      <c r="N599" s="39">
        <v>0</v>
      </c>
      <c r="O599" s="39">
        <v>0</v>
      </c>
      <c r="P599" s="39">
        <v>0</v>
      </c>
      <c r="Q599" s="39">
        <v>0</v>
      </c>
      <c r="R599" s="39">
        <v>0</v>
      </c>
      <c r="S599" s="39">
        <v>0</v>
      </c>
      <c r="T599" s="39">
        <v>0</v>
      </c>
      <c r="U599" s="39">
        <v>0</v>
      </c>
      <c r="V599" s="39">
        <v>0</v>
      </c>
      <c r="W599" s="39">
        <v>0</v>
      </c>
      <c r="X599" s="39">
        <v>0</v>
      </c>
      <c r="Y599" s="39">
        <v>0</v>
      </c>
      <c r="Z599" s="39">
        <v>0</v>
      </c>
      <c r="AA599" s="39">
        <v>0</v>
      </c>
      <c r="AB599" s="39">
        <v>14.99</v>
      </c>
      <c r="AC599" s="39">
        <v>555.63</v>
      </c>
      <c r="AD599" s="39">
        <v>0</v>
      </c>
      <c r="AE599" s="39">
        <v>983.34</v>
      </c>
      <c r="AF599" s="39">
        <v>0</v>
      </c>
      <c r="AG599" s="39">
        <v>48.04</v>
      </c>
      <c r="AH599" s="39"/>
      <c r="AI599" s="39"/>
      <c r="AJ599" s="40"/>
      <c r="AK599" s="39">
        <f t="shared" si="45"/>
        <v>0</v>
      </c>
      <c r="AL599" s="39">
        <f t="shared" si="48"/>
        <v>133.5</v>
      </c>
      <c r="AM599" s="39">
        <f t="shared" si="49"/>
        <v>267</v>
      </c>
      <c r="AN599" s="39">
        <f t="shared" si="46"/>
        <v>160.19999999999999</v>
      </c>
      <c r="AO599" s="39">
        <f t="shared" si="47"/>
        <v>1602</v>
      </c>
    </row>
    <row r="600" spans="1:41" x14ac:dyDescent="0.3">
      <c r="A600" s="20">
        <v>1000184670</v>
      </c>
      <c r="B600" s="4" t="s">
        <v>147</v>
      </c>
      <c r="C600" s="21"/>
      <c r="D600" s="3"/>
      <c r="E600" s="20">
        <v>1000184758</v>
      </c>
      <c r="F600" s="4" t="s">
        <v>55</v>
      </c>
      <c r="G600" s="21">
        <v>1000189776</v>
      </c>
      <c r="H600" s="3" t="s">
        <v>79</v>
      </c>
      <c r="I600" s="21">
        <v>1000189270</v>
      </c>
      <c r="J600" s="3" t="s">
        <v>34</v>
      </c>
      <c r="K600" s="20" t="s">
        <v>18</v>
      </c>
      <c r="L600" s="39">
        <v>0</v>
      </c>
      <c r="M600" s="39">
        <v>0</v>
      </c>
      <c r="N600" s="39">
        <v>0</v>
      </c>
      <c r="O600" s="39">
        <v>0</v>
      </c>
      <c r="P600" s="39">
        <v>0</v>
      </c>
      <c r="Q600" s="39">
        <v>0</v>
      </c>
      <c r="R600" s="39">
        <v>0</v>
      </c>
      <c r="S600" s="39">
        <v>0</v>
      </c>
      <c r="T600" s="39">
        <v>0</v>
      </c>
      <c r="U600" s="39">
        <v>0</v>
      </c>
      <c r="V600" s="39">
        <v>0</v>
      </c>
      <c r="W600" s="39">
        <v>0</v>
      </c>
      <c r="X600" s="39">
        <v>0</v>
      </c>
      <c r="Y600" s="39">
        <v>0</v>
      </c>
      <c r="Z600" s="39">
        <v>0</v>
      </c>
      <c r="AA600" s="39">
        <v>0</v>
      </c>
      <c r="AB600" s="39">
        <v>11.55</v>
      </c>
      <c r="AC600" s="39">
        <v>322.89</v>
      </c>
      <c r="AD600" s="39">
        <v>0</v>
      </c>
      <c r="AE600" s="39">
        <v>144</v>
      </c>
      <c r="AF600" s="39">
        <v>0</v>
      </c>
      <c r="AG600" s="39">
        <v>76</v>
      </c>
      <c r="AH600" s="39"/>
      <c r="AI600" s="39"/>
      <c r="AJ600" s="40"/>
      <c r="AK600" s="39">
        <f t="shared" si="45"/>
        <v>0</v>
      </c>
      <c r="AL600" s="39">
        <f t="shared" si="48"/>
        <v>46.20333333333334</v>
      </c>
      <c r="AM600" s="39">
        <f t="shared" si="49"/>
        <v>92.40666666666668</v>
      </c>
      <c r="AN600" s="39">
        <f t="shared" si="46"/>
        <v>55.444000000000003</v>
      </c>
      <c r="AO600" s="39">
        <f t="shared" si="47"/>
        <v>554.44000000000005</v>
      </c>
    </row>
    <row r="601" spans="1:41" x14ac:dyDescent="0.3">
      <c r="A601" s="20">
        <v>1000184670</v>
      </c>
      <c r="B601" s="4" t="s">
        <v>147</v>
      </c>
      <c r="C601" s="21"/>
      <c r="D601" s="3"/>
      <c r="E601" s="20">
        <v>1000184758</v>
      </c>
      <c r="F601" s="4" t="s">
        <v>55</v>
      </c>
      <c r="G601" s="21">
        <v>1000189776</v>
      </c>
      <c r="H601" s="3" t="s">
        <v>79</v>
      </c>
      <c r="I601" s="21">
        <v>1000189270</v>
      </c>
      <c r="J601" s="3" t="s">
        <v>34</v>
      </c>
      <c r="K601" s="20" t="s">
        <v>29</v>
      </c>
      <c r="L601" s="39">
        <v>0</v>
      </c>
      <c r="M601" s="39">
        <v>0</v>
      </c>
      <c r="N601" s="39">
        <v>0</v>
      </c>
      <c r="O601" s="39">
        <v>0</v>
      </c>
      <c r="P601" s="39">
        <v>0</v>
      </c>
      <c r="Q601" s="39">
        <v>0</v>
      </c>
      <c r="R601" s="39">
        <v>0</v>
      </c>
      <c r="S601" s="39">
        <v>0</v>
      </c>
      <c r="T601" s="39">
        <v>0</v>
      </c>
      <c r="U601" s="39">
        <v>0</v>
      </c>
      <c r="V601" s="39">
        <v>0</v>
      </c>
      <c r="W601" s="39">
        <v>0</v>
      </c>
      <c r="X601" s="39">
        <v>0</v>
      </c>
      <c r="Y601" s="39">
        <v>0</v>
      </c>
      <c r="Z601" s="39">
        <v>0</v>
      </c>
      <c r="AA601" s="39">
        <v>0</v>
      </c>
      <c r="AB601" s="39">
        <v>0</v>
      </c>
      <c r="AC601" s="39">
        <v>0</v>
      </c>
      <c r="AD601" s="39">
        <v>0</v>
      </c>
      <c r="AE601" s="39">
        <v>0</v>
      </c>
      <c r="AF601" s="39">
        <v>0</v>
      </c>
      <c r="AG601" s="39">
        <v>0</v>
      </c>
      <c r="AH601" s="39"/>
      <c r="AI601" s="39"/>
      <c r="AJ601" s="40"/>
      <c r="AK601" s="39">
        <f t="shared" si="45"/>
        <v>0</v>
      </c>
      <c r="AL601" s="39">
        <f t="shared" si="48"/>
        <v>0</v>
      </c>
      <c r="AM601" s="39">
        <f t="shared" si="49"/>
        <v>0</v>
      </c>
      <c r="AN601" s="39">
        <f t="shared" si="46"/>
        <v>0</v>
      </c>
      <c r="AO601" s="39">
        <f t="shared" si="47"/>
        <v>0</v>
      </c>
    </row>
    <row r="602" spans="1:41" x14ac:dyDescent="0.3">
      <c r="A602" s="20">
        <v>1000184670</v>
      </c>
      <c r="B602" s="4" t="s">
        <v>147</v>
      </c>
      <c r="C602" s="21"/>
      <c r="D602" s="3"/>
      <c r="E602" s="20">
        <v>1000184758</v>
      </c>
      <c r="F602" s="4" t="s">
        <v>55</v>
      </c>
      <c r="G602" s="21">
        <v>1000189776</v>
      </c>
      <c r="H602" s="3" t="s">
        <v>79</v>
      </c>
      <c r="I602" s="21">
        <v>1000189270</v>
      </c>
      <c r="J602" s="3" t="s">
        <v>34</v>
      </c>
      <c r="K602" s="20" t="s">
        <v>21</v>
      </c>
      <c r="L602" s="39">
        <v>0</v>
      </c>
      <c r="M602" s="39">
        <v>0</v>
      </c>
      <c r="N602" s="39">
        <v>0</v>
      </c>
      <c r="O602" s="39">
        <v>0</v>
      </c>
      <c r="P602" s="39">
        <v>0</v>
      </c>
      <c r="Q602" s="39">
        <v>0</v>
      </c>
      <c r="R602" s="39">
        <v>0</v>
      </c>
      <c r="S602" s="39">
        <v>0</v>
      </c>
      <c r="T602" s="39">
        <v>0</v>
      </c>
      <c r="U602" s="39">
        <v>0</v>
      </c>
      <c r="V602" s="39">
        <v>0</v>
      </c>
      <c r="W602" s="39">
        <v>0</v>
      </c>
      <c r="X602" s="39">
        <v>0</v>
      </c>
      <c r="Y602" s="39">
        <v>0</v>
      </c>
      <c r="Z602" s="39">
        <v>0</v>
      </c>
      <c r="AA602" s="39">
        <v>0</v>
      </c>
      <c r="AB602" s="39">
        <v>72.680000000000007</v>
      </c>
      <c r="AC602" s="39">
        <v>243.14</v>
      </c>
      <c r="AD602" s="39">
        <v>0</v>
      </c>
      <c r="AE602" s="39">
        <v>0</v>
      </c>
      <c r="AF602" s="39">
        <v>0</v>
      </c>
      <c r="AG602" s="39">
        <v>133.22999999999999</v>
      </c>
      <c r="AH602" s="39"/>
      <c r="AI602" s="39"/>
      <c r="AJ602" s="40"/>
      <c r="AK602" s="39">
        <f t="shared" si="45"/>
        <v>0</v>
      </c>
      <c r="AL602" s="39">
        <f t="shared" si="48"/>
        <v>37.420833333333327</v>
      </c>
      <c r="AM602" s="39">
        <f t="shared" si="49"/>
        <v>74.841666666666654</v>
      </c>
      <c r="AN602" s="39">
        <f t="shared" si="46"/>
        <v>44.904999999999994</v>
      </c>
      <c r="AO602" s="39">
        <f t="shared" si="47"/>
        <v>449.04999999999995</v>
      </c>
    </row>
    <row r="603" spans="1:41" x14ac:dyDescent="0.3">
      <c r="A603" s="20">
        <v>1000184670</v>
      </c>
      <c r="B603" s="4" t="s">
        <v>147</v>
      </c>
      <c r="C603" s="21"/>
      <c r="D603" s="3"/>
      <c r="E603" s="20">
        <v>1000184758</v>
      </c>
      <c r="F603" s="4" t="s">
        <v>55</v>
      </c>
      <c r="G603" s="21">
        <v>1000189776</v>
      </c>
      <c r="H603" s="3" t="s">
        <v>79</v>
      </c>
      <c r="I603" s="21">
        <v>1000189270</v>
      </c>
      <c r="J603" s="3" t="s">
        <v>34</v>
      </c>
      <c r="K603" s="20" t="s">
        <v>20</v>
      </c>
      <c r="L603" s="39">
        <v>0</v>
      </c>
      <c r="M603" s="39">
        <v>0</v>
      </c>
      <c r="N603" s="39">
        <v>0</v>
      </c>
      <c r="O603" s="39">
        <v>0</v>
      </c>
      <c r="P603" s="39">
        <v>0</v>
      </c>
      <c r="Q603" s="39">
        <v>0</v>
      </c>
      <c r="R603" s="39">
        <v>0</v>
      </c>
      <c r="S603" s="39">
        <v>0</v>
      </c>
      <c r="T603" s="39">
        <v>0</v>
      </c>
      <c r="U603" s="39">
        <v>0</v>
      </c>
      <c r="V603" s="39">
        <v>0</v>
      </c>
      <c r="W603" s="39">
        <v>0</v>
      </c>
      <c r="X603" s="39">
        <v>0</v>
      </c>
      <c r="Y603" s="39">
        <v>0</v>
      </c>
      <c r="Z603" s="39">
        <v>0</v>
      </c>
      <c r="AA603" s="39">
        <v>0</v>
      </c>
      <c r="AB603" s="39">
        <v>132.59</v>
      </c>
      <c r="AC603" s="39">
        <v>25.11</v>
      </c>
      <c r="AD603" s="39">
        <v>0</v>
      </c>
      <c r="AE603" s="39">
        <v>0</v>
      </c>
      <c r="AF603" s="39">
        <v>0</v>
      </c>
      <c r="AG603" s="39">
        <v>73.34</v>
      </c>
      <c r="AH603" s="39"/>
      <c r="AI603" s="39"/>
      <c r="AJ603" s="40"/>
      <c r="AK603" s="39">
        <f t="shared" si="45"/>
        <v>0</v>
      </c>
      <c r="AL603" s="39">
        <f t="shared" si="48"/>
        <v>19.253333333333334</v>
      </c>
      <c r="AM603" s="39">
        <f t="shared" si="49"/>
        <v>38.506666666666668</v>
      </c>
      <c r="AN603" s="39">
        <f t="shared" si="46"/>
        <v>23.103999999999999</v>
      </c>
      <c r="AO603" s="39">
        <f t="shared" si="47"/>
        <v>231.04</v>
      </c>
    </row>
    <row r="604" spans="1:41" x14ac:dyDescent="0.3">
      <c r="A604" s="20">
        <v>1000184670</v>
      </c>
      <c r="B604" s="4" t="s">
        <v>147</v>
      </c>
      <c r="C604" s="21"/>
      <c r="D604" s="3"/>
      <c r="E604" s="20">
        <v>1000184758</v>
      </c>
      <c r="F604" s="4" t="s">
        <v>55</v>
      </c>
      <c r="G604" s="21">
        <v>1000189776</v>
      </c>
      <c r="H604" s="3" t="s">
        <v>79</v>
      </c>
      <c r="I604" s="21">
        <v>1000189270</v>
      </c>
      <c r="J604" s="3" t="s">
        <v>34</v>
      </c>
      <c r="K604" s="20" t="s">
        <v>22</v>
      </c>
      <c r="L604" s="39">
        <v>0</v>
      </c>
      <c r="M604" s="39">
        <v>0</v>
      </c>
      <c r="N604" s="39">
        <v>0</v>
      </c>
      <c r="O604" s="39">
        <v>0</v>
      </c>
      <c r="P604" s="39">
        <v>0</v>
      </c>
      <c r="Q604" s="39">
        <v>0</v>
      </c>
      <c r="R604" s="39">
        <v>0</v>
      </c>
      <c r="S604" s="39">
        <v>0</v>
      </c>
      <c r="T604" s="39">
        <v>0</v>
      </c>
      <c r="U604" s="39">
        <v>0</v>
      </c>
      <c r="V604" s="39">
        <v>0</v>
      </c>
      <c r="W604" s="39">
        <v>0</v>
      </c>
      <c r="X604" s="39">
        <v>0</v>
      </c>
      <c r="Y604" s="39">
        <v>0</v>
      </c>
      <c r="Z604" s="39">
        <v>0</v>
      </c>
      <c r="AA604" s="39">
        <v>0</v>
      </c>
      <c r="AB604" s="39">
        <v>0</v>
      </c>
      <c r="AC604" s="39">
        <v>133.53</v>
      </c>
      <c r="AD604" s="39">
        <v>0</v>
      </c>
      <c r="AE604" s="39">
        <v>219.6</v>
      </c>
      <c r="AF604" s="39">
        <v>0</v>
      </c>
      <c r="AG604" s="39">
        <v>146.30000000000001</v>
      </c>
      <c r="AH604" s="39"/>
      <c r="AI604" s="39"/>
      <c r="AJ604" s="40"/>
      <c r="AK604" s="39">
        <f t="shared" si="45"/>
        <v>0</v>
      </c>
      <c r="AL604" s="39">
        <f t="shared" si="48"/>
        <v>41.619166666666665</v>
      </c>
      <c r="AM604" s="39">
        <f t="shared" si="49"/>
        <v>83.23833333333333</v>
      </c>
      <c r="AN604" s="39">
        <f t="shared" si="46"/>
        <v>49.942999999999998</v>
      </c>
      <c r="AO604" s="39">
        <f t="shared" si="47"/>
        <v>499.43</v>
      </c>
    </row>
    <row r="605" spans="1:41" x14ac:dyDescent="0.3">
      <c r="A605" s="20">
        <v>1000184670</v>
      </c>
      <c r="B605" s="4" t="s">
        <v>147</v>
      </c>
      <c r="C605" s="21"/>
      <c r="D605" s="3"/>
      <c r="E605" s="20">
        <v>1000184758</v>
      </c>
      <c r="F605" s="4" t="s">
        <v>55</v>
      </c>
      <c r="G605" s="21">
        <v>1000189776</v>
      </c>
      <c r="H605" s="3" t="s">
        <v>79</v>
      </c>
      <c r="I605" s="21">
        <v>1000189270</v>
      </c>
      <c r="J605" s="3" t="s">
        <v>34</v>
      </c>
      <c r="K605" s="20" t="s">
        <v>23</v>
      </c>
      <c r="L605" s="39">
        <v>4822.6499999999996</v>
      </c>
      <c r="M605" s="39">
        <v>4185</v>
      </c>
      <c r="N605" s="39">
        <v>0</v>
      </c>
      <c r="O605" s="39">
        <v>0</v>
      </c>
      <c r="P605" s="39">
        <v>5064.66</v>
      </c>
      <c r="Q605" s="39">
        <v>5440.5</v>
      </c>
      <c r="R605" s="39">
        <v>0</v>
      </c>
      <c r="S605" s="39">
        <v>5025.24</v>
      </c>
      <c r="T605" s="39">
        <v>0</v>
      </c>
      <c r="U605" s="39">
        <v>0</v>
      </c>
      <c r="V605" s="39">
        <v>0</v>
      </c>
      <c r="W605" s="39">
        <v>0</v>
      </c>
      <c r="X605" s="39">
        <v>0</v>
      </c>
      <c r="Y605" s="39">
        <v>0</v>
      </c>
      <c r="Z605" s="39">
        <v>0</v>
      </c>
      <c r="AA605" s="39">
        <v>0</v>
      </c>
      <c r="AB605" s="39">
        <v>0</v>
      </c>
      <c r="AC605" s="39">
        <v>0</v>
      </c>
      <c r="AD605" s="39">
        <v>0</v>
      </c>
      <c r="AE605" s="39">
        <v>0</v>
      </c>
      <c r="AF605" s="39">
        <v>0</v>
      </c>
      <c r="AG605" s="39">
        <v>0</v>
      </c>
      <c r="AH605" s="39"/>
      <c r="AI605" s="39"/>
      <c r="AJ605" s="40"/>
      <c r="AK605" s="39">
        <f t="shared" si="45"/>
        <v>2044.8374999999996</v>
      </c>
      <c r="AL605" s="39">
        <f t="shared" si="48"/>
        <v>0</v>
      </c>
      <c r="AM605" s="39">
        <f t="shared" si="49"/>
        <v>0</v>
      </c>
      <c r="AN605" s="39">
        <f t="shared" si="46"/>
        <v>0</v>
      </c>
      <c r="AO605" s="39">
        <f t="shared" si="47"/>
        <v>0</v>
      </c>
    </row>
    <row r="606" spans="1:41" x14ac:dyDescent="0.3">
      <c r="A606" s="20">
        <v>1000184670</v>
      </c>
      <c r="B606" s="4" t="s">
        <v>147</v>
      </c>
      <c r="C606" s="21"/>
      <c r="D606" s="3"/>
      <c r="E606" s="20">
        <v>1000184758</v>
      </c>
      <c r="F606" s="4" t="s">
        <v>55</v>
      </c>
      <c r="G606" s="21">
        <v>1000189776</v>
      </c>
      <c r="H606" s="3" t="s">
        <v>79</v>
      </c>
      <c r="I606" s="21">
        <v>1000189270</v>
      </c>
      <c r="J606" s="3" t="s">
        <v>34</v>
      </c>
      <c r="K606" s="20" t="s">
        <v>28</v>
      </c>
      <c r="L606" s="39">
        <v>0</v>
      </c>
      <c r="M606" s="39">
        <v>0</v>
      </c>
      <c r="N606" s="39">
        <v>0</v>
      </c>
      <c r="O606" s="39">
        <v>0</v>
      </c>
      <c r="P606" s="39">
        <v>0</v>
      </c>
      <c r="Q606" s="39">
        <v>0</v>
      </c>
      <c r="R606" s="39">
        <v>0</v>
      </c>
      <c r="S606" s="39">
        <v>0</v>
      </c>
      <c r="T606" s="39">
        <v>0</v>
      </c>
      <c r="U606" s="39">
        <v>0</v>
      </c>
      <c r="V606" s="39">
        <v>0</v>
      </c>
      <c r="W606" s="39">
        <v>0</v>
      </c>
      <c r="X606" s="39">
        <v>0</v>
      </c>
      <c r="Y606" s="39">
        <v>0</v>
      </c>
      <c r="Z606" s="39">
        <v>0</v>
      </c>
      <c r="AA606" s="39">
        <v>0</v>
      </c>
      <c r="AB606" s="39">
        <v>0</v>
      </c>
      <c r="AC606" s="39">
        <v>0</v>
      </c>
      <c r="AD606" s="39">
        <v>0</v>
      </c>
      <c r="AE606" s="39">
        <v>0</v>
      </c>
      <c r="AF606" s="39">
        <v>0</v>
      </c>
      <c r="AG606" s="39">
        <v>0</v>
      </c>
      <c r="AH606" s="39"/>
      <c r="AI606" s="39"/>
      <c r="AJ606" s="40"/>
      <c r="AK606" s="39">
        <f t="shared" si="45"/>
        <v>0</v>
      </c>
      <c r="AL606" s="39">
        <f t="shared" si="48"/>
        <v>0</v>
      </c>
      <c r="AM606" s="39">
        <f t="shared" si="49"/>
        <v>0</v>
      </c>
      <c r="AN606" s="39">
        <f t="shared" si="46"/>
        <v>0</v>
      </c>
      <c r="AO606" s="39">
        <f t="shared" si="47"/>
        <v>0</v>
      </c>
    </row>
    <row r="607" spans="1:41" x14ac:dyDescent="0.3">
      <c r="A607" s="20">
        <v>1000184670</v>
      </c>
      <c r="B607" s="4" t="s">
        <v>147</v>
      </c>
      <c r="C607" s="21"/>
      <c r="D607" s="3"/>
      <c r="E607" s="20">
        <v>1000184758</v>
      </c>
      <c r="F607" s="4" t="s">
        <v>55</v>
      </c>
      <c r="G607" s="21">
        <v>1000189776</v>
      </c>
      <c r="H607" s="3" t="s">
        <v>79</v>
      </c>
      <c r="I607" s="21">
        <v>1000189270</v>
      </c>
      <c r="J607" s="3" t="s">
        <v>34</v>
      </c>
      <c r="K607" s="20" t="s">
        <v>26</v>
      </c>
      <c r="L607" s="39">
        <v>0</v>
      </c>
      <c r="M607" s="39">
        <v>0</v>
      </c>
      <c r="N607" s="39">
        <v>0</v>
      </c>
      <c r="O607" s="39">
        <v>0</v>
      </c>
      <c r="P607" s="39">
        <v>0</v>
      </c>
      <c r="Q607" s="39">
        <v>0</v>
      </c>
      <c r="R607" s="39">
        <v>0</v>
      </c>
      <c r="S607" s="39">
        <v>0</v>
      </c>
      <c r="T607" s="39">
        <v>0</v>
      </c>
      <c r="U607" s="39">
        <v>0</v>
      </c>
      <c r="V607" s="39">
        <v>0</v>
      </c>
      <c r="W607" s="39">
        <v>0</v>
      </c>
      <c r="X607" s="39">
        <v>0</v>
      </c>
      <c r="Y607" s="39">
        <v>0</v>
      </c>
      <c r="Z607" s="39">
        <v>0</v>
      </c>
      <c r="AA607" s="39">
        <v>0</v>
      </c>
      <c r="AB607" s="39">
        <v>0</v>
      </c>
      <c r="AC607" s="39">
        <v>0</v>
      </c>
      <c r="AD607" s="39">
        <v>0</v>
      </c>
      <c r="AE607" s="39">
        <v>0</v>
      </c>
      <c r="AF607" s="39">
        <v>0</v>
      </c>
      <c r="AG607" s="39">
        <v>0</v>
      </c>
      <c r="AH607" s="39"/>
      <c r="AI607" s="39"/>
      <c r="AJ607" s="40"/>
      <c r="AK607" s="39">
        <f t="shared" si="45"/>
        <v>0</v>
      </c>
      <c r="AL607" s="39">
        <f t="shared" si="48"/>
        <v>0</v>
      </c>
      <c r="AM607" s="39">
        <f t="shared" si="49"/>
        <v>0</v>
      </c>
      <c r="AN607" s="39">
        <f t="shared" si="46"/>
        <v>0</v>
      </c>
      <c r="AO607" s="39">
        <f t="shared" si="47"/>
        <v>0</v>
      </c>
    </row>
    <row r="608" spans="1:41" x14ac:dyDescent="0.3">
      <c r="A608" s="20">
        <v>1000184670</v>
      </c>
      <c r="B608" s="4" t="s">
        <v>147</v>
      </c>
      <c r="C608" s="21"/>
      <c r="D608" s="3"/>
      <c r="E608" s="20">
        <v>1000184758</v>
      </c>
      <c r="F608" s="4" t="s">
        <v>55</v>
      </c>
      <c r="G608" s="21">
        <v>1000189776</v>
      </c>
      <c r="H608" s="3" t="s">
        <v>79</v>
      </c>
      <c r="I608" s="21">
        <v>1000189270</v>
      </c>
      <c r="J608" s="3" t="s">
        <v>34</v>
      </c>
      <c r="K608" s="20" t="s">
        <v>27</v>
      </c>
      <c r="L608" s="39">
        <v>0</v>
      </c>
      <c r="M608" s="39">
        <v>0</v>
      </c>
      <c r="N608" s="39">
        <v>0</v>
      </c>
      <c r="O608" s="39">
        <v>0</v>
      </c>
      <c r="P608" s="39">
        <v>0</v>
      </c>
      <c r="Q608" s="39">
        <v>0</v>
      </c>
      <c r="R608" s="39">
        <v>0</v>
      </c>
      <c r="S608" s="39">
        <v>0</v>
      </c>
      <c r="T608" s="39">
        <v>0</v>
      </c>
      <c r="U608" s="39">
        <v>0</v>
      </c>
      <c r="V608" s="39">
        <v>0</v>
      </c>
      <c r="W608" s="39">
        <v>0</v>
      </c>
      <c r="X608" s="39">
        <v>0</v>
      </c>
      <c r="Y608" s="39">
        <v>0</v>
      </c>
      <c r="Z608" s="39">
        <v>0</v>
      </c>
      <c r="AA608" s="39">
        <v>0</v>
      </c>
      <c r="AB608" s="39">
        <v>0</v>
      </c>
      <c r="AC608" s="39">
        <v>148.80000000000001</v>
      </c>
      <c r="AD608" s="39">
        <v>0</v>
      </c>
      <c r="AE608" s="39">
        <v>0</v>
      </c>
      <c r="AF608" s="39">
        <v>0</v>
      </c>
      <c r="AG608" s="39">
        <v>46.17</v>
      </c>
      <c r="AH608" s="39"/>
      <c r="AI608" s="39"/>
      <c r="AJ608" s="40"/>
      <c r="AK608" s="39">
        <f t="shared" si="45"/>
        <v>0</v>
      </c>
      <c r="AL608" s="39">
        <f t="shared" si="48"/>
        <v>16.247500000000002</v>
      </c>
      <c r="AM608" s="39">
        <f t="shared" si="49"/>
        <v>32.495000000000005</v>
      </c>
      <c r="AN608" s="39">
        <f t="shared" si="46"/>
        <v>19.497000000000003</v>
      </c>
      <c r="AO608" s="39">
        <f t="shared" si="47"/>
        <v>194.97000000000003</v>
      </c>
    </row>
    <row r="609" spans="1:41" x14ac:dyDescent="0.3">
      <c r="A609" s="20">
        <v>1000184670</v>
      </c>
      <c r="B609" s="4" t="s">
        <v>147</v>
      </c>
      <c r="C609" s="21"/>
      <c r="D609" s="3"/>
      <c r="E609" s="20">
        <v>1000184758</v>
      </c>
      <c r="F609" s="4" t="s">
        <v>55</v>
      </c>
      <c r="G609" s="21">
        <v>1000189776</v>
      </c>
      <c r="H609" s="3" t="s">
        <v>79</v>
      </c>
      <c r="I609" s="21">
        <v>1000189270</v>
      </c>
      <c r="J609" s="3" t="s">
        <v>34</v>
      </c>
      <c r="K609" s="20" t="s">
        <v>25</v>
      </c>
      <c r="L609" s="39">
        <v>0</v>
      </c>
      <c r="M609" s="39">
        <v>0</v>
      </c>
      <c r="N609" s="39">
        <v>0</v>
      </c>
      <c r="O609" s="39">
        <v>0</v>
      </c>
      <c r="P609" s="39">
        <v>0</v>
      </c>
      <c r="Q609" s="39">
        <v>0</v>
      </c>
      <c r="R609" s="39">
        <v>0</v>
      </c>
      <c r="S609" s="39">
        <v>0</v>
      </c>
      <c r="T609" s="39">
        <v>0</v>
      </c>
      <c r="U609" s="39">
        <v>0</v>
      </c>
      <c r="V609" s="39">
        <v>0</v>
      </c>
      <c r="W609" s="39">
        <v>0</v>
      </c>
      <c r="X609" s="39">
        <v>0</v>
      </c>
      <c r="Y609" s="39">
        <v>0</v>
      </c>
      <c r="Z609" s="39">
        <v>0</v>
      </c>
      <c r="AA609" s="39">
        <v>0</v>
      </c>
      <c r="AB609" s="39">
        <v>0</v>
      </c>
      <c r="AC609" s="39">
        <v>0</v>
      </c>
      <c r="AD609" s="39">
        <v>0</v>
      </c>
      <c r="AE609" s="39">
        <v>0</v>
      </c>
      <c r="AF609" s="39">
        <v>0</v>
      </c>
      <c r="AG609" s="39">
        <v>141.06</v>
      </c>
      <c r="AH609" s="39"/>
      <c r="AI609" s="39"/>
      <c r="AJ609" s="40"/>
      <c r="AK609" s="39">
        <f t="shared" si="45"/>
        <v>0</v>
      </c>
      <c r="AL609" s="39">
        <f t="shared" si="48"/>
        <v>11.755000000000001</v>
      </c>
      <c r="AM609" s="39">
        <f t="shared" si="49"/>
        <v>23.51</v>
      </c>
      <c r="AN609" s="39">
        <f t="shared" si="46"/>
        <v>14.106</v>
      </c>
      <c r="AO609" s="39">
        <f t="shared" si="47"/>
        <v>141.06</v>
      </c>
    </row>
    <row r="610" spans="1:41" x14ac:dyDescent="0.3">
      <c r="A610" s="20">
        <v>1000184670</v>
      </c>
      <c r="B610" s="4" t="s">
        <v>147</v>
      </c>
      <c r="C610" s="21"/>
      <c r="D610" s="3"/>
      <c r="E610" s="20">
        <v>1000184758</v>
      </c>
      <c r="F610" s="4" t="s">
        <v>55</v>
      </c>
      <c r="G610" s="21">
        <v>1000189777</v>
      </c>
      <c r="H610" s="3" t="s">
        <v>56</v>
      </c>
      <c r="I610" s="21">
        <v>1000189270</v>
      </c>
      <c r="J610" s="3" t="s">
        <v>34</v>
      </c>
      <c r="K610" s="20" t="s">
        <v>124</v>
      </c>
      <c r="L610" s="39">
        <v>0</v>
      </c>
      <c r="M610" s="39">
        <v>0</v>
      </c>
      <c r="N610" s="39">
        <v>0</v>
      </c>
      <c r="O610" s="39">
        <v>0</v>
      </c>
      <c r="P610" s="39">
        <v>0</v>
      </c>
      <c r="Q610" s="39">
        <v>0</v>
      </c>
      <c r="R610" s="39">
        <v>0</v>
      </c>
      <c r="S610" s="39">
        <v>0</v>
      </c>
      <c r="T610" s="39">
        <v>0</v>
      </c>
      <c r="U610" s="39">
        <v>0</v>
      </c>
      <c r="V610" s="39">
        <v>0</v>
      </c>
      <c r="W610" s="39">
        <v>0</v>
      </c>
      <c r="X610" s="39">
        <v>0</v>
      </c>
      <c r="Y610" s="39">
        <v>0</v>
      </c>
      <c r="Z610" s="39">
        <v>0</v>
      </c>
      <c r="AA610" s="39">
        <v>0</v>
      </c>
      <c r="AB610" s="39">
        <v>0</v>
      </c>
      <c r="AC610" s="39">
        <v>0</v>
      </c>
      <c r="AD610" s="39">
        <v>0</v>
      </c>
      <c r="AE610" s="39">
        <v>0</v>
      </c>
      <c r="AF610" s="39">
        <v>0</v>
      </c>
      <c r="AG610" s="39">
        <v>0</v>
      </c>
      <c r="AH610" s="39"/>
      <c r="AI610" s="39"/>
      <c r="AJ610" s="40"/>
      <c r="AK610" s="39">
        <f t="shared" si="45"/>
        <v>0</v>
      </c>
      <c r="AL610" s="39">
        <f t="shared" si="48"/>
        <v>0</v>
      </c>
      <c r="AM610" s="39">
        <f t="shared" si="49"/>
        <v>0</v>
      </c>
      <c r="AN610" s="39">
        <f t="shared" si="46"/>
        <v>0</v>
      </c>
      <c r="AO610" s="39">
        <f t="shared" si="47"/>
        <v>0</v>
      </c>
    </row>
    <row r="611" spans="1:41" x14ac:dyDescent="0.3">
      <c r="A611" s="20">
        <v>1000184670</v>
      </c>
      <c r="B611" s="4" t="s">
        <v>147</v>
      </c>
      <c r="C611" s="21"/>
      <c r="D611" s="3"/>
      <c r="E611" s="20">
        <v>1000184758</v>
      </c>
      <c r="F611" s="4" t="s">
        <v>55</v>
      </c>
      <c r="G611" s="21">
        <v>1000189777</v>
      </c>
      <c r="H611" s="3" t="s">
        <v>56</v>
      </c>
      <c r="I611" s="21">
        <v>1000189270</v>
      </c>
      <c r="J611" s="3" t="s">
        <v>34</v>
      </c>
      <c r="K611" s="20" t="s">
        <v>13</v>
      </c>
      <c r="L611" s="39">
        <v>0</v>
      </c>
      <c r="M611" s="39">
        <v>0</v>
      </c>
      <c r="N611" s="39">
        <v>0</v>
      </c>
      <c r="O611" s="39">
        <v>0</v>
      </c>
      <c r="P611" s="39">
        <v>0</v>
      </c>
      <c r="Q611" s="39">
        <v>0</v>
      </c>
      <c r="R611" s="39">
        <v>0</v>
      </c>
      <c r="S611" s="39">
        <v>0</v>
      </c>
      <c r="T611" s="39">
        <v>0</v>
      </c>
      <c r="U611" s="39">
        <v>0</v>
      </c>
      <c r="V611" s="39">
        <v>0</v>
      </c>
      <c r="W611" s="39">
        <v>0</v>
      </c>
      <c r="X611" s="39">
        <v>0</v>
      </c>
      <c r="Y611" s="39">
        <v>170.7</v>
      </c>
      <c r="Z611" s="39">
        <v>0</v>
      </c>
      <c r="AA611" s="39">
        <v>0</v>
      </c>
      <c r="AB611" s="39">
        <v>0</v>
      </c>
      <c r="AC611" s="39">
        <v>136.32</v>
      </c>
      <c r="AD611" s="39">
        <v>0</v>
      </c>
      <c r="AE611" s="39">
        <v>0</v>
      </c>
      <c r="AF611" s="39">
        <v>0</v>
      </c>
      <c r="AG611" s="39">
        <v>0</v>
      </c>
      <c r="AH611" s="39"/>
      <c r="AI611" s="39"/>
      <c r="AJ611" s="40"/>
      <c r="AK611" s="39">
        <f t="shared" si="45"/>
        <v>0</v>
      </c>
      <c r="AL611" s="39">
        <f t="shared" si="48"/>
        <v>25.584999999999997</v>
      </c>
      <c r="AM611" s="39">
        <f t="shared" si="49"/>
        <v>22.72</v>
      </c>
      <c r="AN611" s="39">
        <f t="shared" si="46"/>
        <v>30.701999999999998</v>
      </c>
      <c r="AO611" s="39">
        <f t="shared" si="47"/>
        <v>307.02</v>
      </c>
    </row>
    <row r="612" spans="1:41" x14ac:dyDescent="0.3">
      <c r="A612" s="20">
        <v>1000184670</v>
      </c>
      <c r="B612" s="4" t="s">
        <v>147</v>
      </c>
      <c r="C612" s="21"/>
      <c r="D612" s="3"/>
      <c r="E612" s="20">
        <v>1000184758</v>
      </c>
      <c r="F612" s="4" t="s">
        <v>55</v>
      </c>
      <c r="G612" s="21">
        <v>1000189777</v>
      </c>
      <c r="H612" s="3" t="s">
        <v>56</v>
      </c>
      <c r="I612" s="21">
        <v>1000189270</v>
      </c>
      <c r="J612" s="3" t="s">
        <v>34</v>
      </c>
      <c r="K612" s="20" t="s">
        <v>14</v>
      </c>
      <c r="L612" s="39">
        <v>0</v>
      </c>
      <c r="M612" s="39">
        <v>0</v>
      </c>
      <c r="N612" s="39">
        <v>0</v>
      </c>
      <c r="O612" s="39">
        <v>0</v>
      </c>
      <c r="P612" s="39">
        <v>0</v>
      </c>
      <c r="Q612" s="39">
        <v>0</v>
      </c>
      <c r="R612" s="39">
        <v>0</v>
      </c>
      <c r="S612" s="39">
        <v>0</v>
      </c>
      <c r="T612" s="39">
        <v>0</v>
      </c>
      <c r="U612" s="39">
        <v>0</v>
      </c>
      <c r="V612" s="39">
        <v>0</v>
      </c>
      <c r="W612" s="39">
        <v>188.04</v>
      </c>
      <c r="X612" s="39">
        <v>0</v>
      </c>
      <c r="Y612" s="39">
        <v>367.5</v>
      </c>
      <c r="Z612" s="39">
        <v>0</v>
      </c>
      <c r="AA612" s="39">
        <v>0</v>
      </c>
      <c r="AB612" s="39">
        <v>0</v>
      </c>
      <c r="AC612" s="39">
        <v>0</v>
      </c>
      <c r="AD612" s="39">
        <v>0</v>
      </c>
      <c r="AE612" s="39">
        <v>0</v>
      </c>
      <c r="AF612" s="39">
        <v>0</v>
      </c>
      <c r="AG612" s="39">
        <v>0</v>
      </c>
      <c r="AH612" s="39"/>
      <c r="AI612" s="39"/>
      <c r="AJ612" s="40"/>
      <c r="AK612" s="39">
        <f t="shared" si="45"/>
        <v>15.67</v>
      </c>
      <c r="AL612" s="39">
        <f t="shared" si="48"/>
        <v>46.294999999999995</v>
      </c>
      <c r="AM612" s="39">
        <f t="shared" si="49"/>
        <v>0</v>
      </c>
      <c r="AN612" s="39">
        <f t="shared" si="46"/>
        <v>36.75</v>
      </c>
      <c r="AO612" s="39">
        <f t="shared" si="47"/>
        <v>367.5</v>
      </c>
    </row>
    <row r="613" spans="1:41" x14ac:dyDescent="0.3">
      <c r="A613" s="20">
        <v>1000184670</v>
      </c>
      <c r="B613" s="4" t="s">
        <v>147</v>
      </c>
      <c r="C613" s="21"/>
      <c r="D613" s="3"/>
      <c r="E613" s="20">
        <v>1000184758</v>
      </c>
      <c r="F613" s="4" t="s">
        <v>55</v>
      </c>
      <c r="G613" s="21">
        <v>1000189777</v>
      </c>
      <c r="H613" s="3" t="s">
        <v>56</v>
      </c>
      <c r="I613" s="21">
        <v>1000189270</v>
      </c>
      <c r="J613" s="3" t="s">
        <v>34</v>
      </c>
      <c r="K613" s="20" t="s">
        <v>16</v>
      </c>
      <c r="L613" s="39">
        <v>0</v>
      </c>
      <c r="M613" s="39">
        <v>0</v>
      </c>
      <c r="N613" s="39">
        <v>0</v>
      </c>
      <c r="O613" s="39">
        <v>0</v>
      </c>
      <c r="P613" s="39">
        <v>0</v>
      </c>
      <c r="Q613" s="39">
        <v>0</v>
      </c>
      <c r="R613" s="39">
        <v>0</v>
      </c>
      <c r="S613" s="39">
        <v>0</v>
      </c>
      <c r="T613" s="39">
        <v>0</v>
      </c>
      <c r="U613" s="39">
        <v>0</v>
      </c>
      <c r="V613" s="39">
        <v>0</v>
      </c>
      <c r="W613" s="39">
        <v>0</v>
      </c>
      <c r="X613" s="39">
        <v>0</v>
      </c>
      <c r="Y613" s="39">
        <v>85.71</v>
      </c>
      <c r="Z613" s="39">
        <v>0</v>
      </c>
      <c r="AA613" s="39">
        <v>0</v>
      </c>
      <c r="AB613" s="39">
        <v>0</v>
      </c>
      <c r="AC613" s="39">
        <v>0</v>
      </c>
      <c r="AD613" s="39">
        <v>0</v>
      </c>
      <c r="AE613" s="39">
        <v>0</v>
      </c>
      <c r="AF613" s="39">
        <v>0</v>
      </c>
      <c r="AG613" s="39">
        <v>0</v>
      </c>
      <c r="AH613" s="39"/>
      <c r="AI613" s="39"/>
      <c r="AJ613" s="40"/>
      <c r="AK613" s="39">
        <f t="shared" si="45"/>
        <v>0</v>
      </c>
      <c r="AL613" s="39">
        <f t="shared" si="48"/>
        <v>7.1424999999999992</v>
      </c>
      <c r="AM613" s="39">
        <f t="shared" si="49"/>
        <v>0</v>
      </c>
      <c r="AN613" s="39">
        <f t="shared" si="46"/>
        <v>8.5709999999999997</v>
      </c>
      <c r="AO613" s="39">
        <f t="shared" si="47"/>
        <v>85.71</v>
      </c>
    </row>
    <row r="614" spans="1:41" x14ac:dyDescent="0.3">
      <c r="A614" s="20">
        <v>1000184670</v>
      </c>
      <c r="B614" s="4" t="s">
        <v>147</v>
      </c>
      <c r="C614" s="21"/>
      <c r="D614" s="3"/>
      <c r="E614" s="20">
        <v>1000184758</v>
      </c>
      <c r="F614" s="4" t="s">
        <v>55</v>
      </c>
      <c r="G614" s="21">
        <v>1000189777</v>
      </c>
      <c r="H614" s="3" t="s">
        <v>56</v>
      </c>
      <c r="I614" s="21">
        <v>1000189270</v>
      </c>
      <c r="J614" s="3" t="s">
        <v>34</v>
      </c>
      <c r="K614" s="20" t="s">
        <v>15</v>
      </c>
      <c r="L614" s="39">
        <v>0</v>
      </c>
      <c r="M614" s="39">
        <v>0</v>
      </c>
      <c r="N614" s="39">
        <v>0</v>
      </c>
      <c r="O614" s="39">
        <v>0</v>
      </c>
      <c r="P614" s="39">
        <v>0</v>
      </c>
      <c r="Q614" s="39">
        <v>0</v>
      </c>
      <c r="R614" s="39">
        <v>0</v>
      </c>
      <c r="S614" s="39">
        <v>0</v>
      </c>
      <c r="T614" s="39">
        <v>0</v>
      </c>
      <c r="U614" s="39">
        <v>0</v>
      </c>
      <c r="V614" s="39">
        <v>0</v>
      </c>
      <c r="W614" s="39">
        <v>0</v>
      </c>
      <c r="X614" s="39">
        <v>0</v>
      </c>
      <c r="Y614" s="39">
        <v>315.14999999999998</v>
      </c>
      <c r="Z614" s="39">
        <v>0</v>
      </c>
      <c r="AA614" s="39">
        <v>0</v>
      </c>
      <c r="AB614" s="39">
        <v>0</v>
      </c>
      <c r="AC614" s="39">
        <v>695.1</v>
      </c>
      <c r="AD614" s="39">
        <v>0</v>
      </c>
      <c r="AE614" s="39">
        <v>0</v>
      </c>
      <c r="AF614" s="39">
        <v>0</v>
      </c>
      <c r="AG614" s="39">
        <v>0</v>
      </c>
      <c r="AH614" s="39"/>
      <c r="AI614" s="39"/>
      <c r="AJ614" s="40"/>
      <c r="AK614" s="39">
        <f t="shared" si="45"/>
        <v>0</v>
      </c>
      <c r="AL614" s="39">
        <f t="shared" si="48"/>
        <v>84.1875</v>
      </c>
      <c r="AM614" s="39">
        <f t="shared" si="49"/>
        <v>115.85000000000001</v>
      </c>
      <c r="AN614" s="39">
        <f t="shared" si="46"/>
        <v>101.02500000000001</v>
      </c>
      <c r="AO614" s="39">
        <f t="shared" si="47"/>
        <v>1010.25</v>
      </c>
    </row>
    <row r="615" spans="1:41" x14ac:dyDescent="0.3">
      <c r="A615" s="20">
        <v>1000184670</v>
      </c>
      <c r="B615" s="4" t="s">
        <v>147</v>
      </c>
      <c r="C615" s="21"/>
      <c r="D615" s="3"/>
      <c r="E615" s="20">
        <v>1000184758</v>
      </c>
      <c r="F615" s="4" t="s">
        <v>55</v>
      </c>
      <c r="G615" s="21">
        <v>1000189777</v>
      </c>
      <c r="H615" s="3" t="s">
        <v>56</v>
      </c>
      <c r="I615" s="21">
        <v>1000189270</v>
      </c>
      <c r="J615" s="3" t="s">
        <v>34</v>
      </c>
      <c r="K615" s="20" t="s">
        <v>33</v>
      </c>
      <c r="L615" s="39">
        <v>0</v>
      </c>
      <c r="M615" s="39">
        <v>0</v>
      </c>
      <c r="N615" s="39">
        <v>0</v>
      </c>
      <c r="O615" s="39">
        <v>0</v>
      </c>
      <c r="P615" s="39">
        <v>0</v>
      </c>
      <c r="Q615" s="39">
        <v>0</v>
      </c>
      <c r="R615" s="39">
        <v>0</v>
      </c>
      <c r="S615" s="39">
        <v>0</v>
      </c>
      <c r="T615" s="39">
        <v>0</v>
      </c>
      <c r="U615" s="39">
        <v>0</v>
      </c>
      <c r="V615" s="39">
        <v>0</v>
      </c>
      <c r="W615" s="39">
        <v>0</v>
      </c>
      <c r="X615" s="39">
        <v>0</v>
      </c>
      <c r="Y615" s="39">
        <v>0</v>
      </c>
      <c r="Z615" s="39">
        <v>0</v>
      </c>
      <c r="AA615" s="39">
        <v>0</v>
      </c>
      <c r="AB615" s="39">
        <v>0</v>
      </c>
      <c r="AC615" s="39">
        <v>0</v>
      </c>
      <c r="AD615" s="39">
        <v>0</v>
      </c>
      <c r="AE615" s="39">
        <v>0</v>
      </c>
      <c r="AF615" s="39">
        <v>0</v>
      </c>
      <c r="AG615" s="39">
        <v>0</v>
      </c>
      <c r="AH615" s="39"/>
      <c r="AI615" s="39"/>
      <c r="AJ615" s="40"/>
      <c r="AK615" s="39">
        <f t="shared" si="45"/>
        <v>0</v>
      </c>
      <c r="AL615" s="39">
        <f t="shared" si="48"/>
        <v>0</v>
      </c>
      <c r="AM615" s="39">
        <f t="shared" si="49"/>
        <v>0</v>
      </c>
      <c r="AN615" s="39">
        <f t="shared" si="46"/>
        <v>0</v>
      </c>
      <c r="AO615" s="39">
        <f t="shared" si="47"/>
        <v>0</v>
      </c>
    </row>
    <row r="616" spans="1:41" x14ac:dyDescent="0.3">
      <c r="A616" s="20">
        <v>1000184670</v>
      </c>
      <c r="B616" s="4" t="s">
        <v>147</v>
      </c>
      <c r="C616" s="21"/>
      <c r="D616" s="3"/>
      <c r="E616" s="20">
        <v>1000184758</v>
      </c>
      <c r="F616" s="4" t="s">
        <v>55</v>
      </c>
      <c r="G616" s="21">
        <v>1000189777</v>
      </c>
      <c r="H616" s="3" t="s">
        <v>56</v>
      </c>
      <c r="I616" s="21">
        <v>1000189270</v>
      </c>
      <c r="J616" s="3" t="s">
        <v>34</v>
      </c>
      <c r="K616" s="20" t="s">
        <v>19</v>
      </c>
      <c r="L616" s="39">
        <v>0</v>
      </c>
      <c r="M616" s="39">
        <v>0</v>
      </c>
      <c r="N616" s="39">
        <v>0</v>
      </c>
      <c r="O616" s="39">
        <v>0</v>
      </c>
      <c r="P616" s="39">
        <v>0</v>
      </c>
      <c r="Q616" s="39">
        <v>0</v>
      </c>
      <c r="R616" s="39">
        <v>0</v>
      </c>
      <c r="S616" s="39">
        <v>0</v>
      </c>
      <c r="T616" s="39">
        <v>0</v>
      </c>
      <c r="U616" s="39">
        <v>0</v>
      </c>
      <c r="V616" s="39">
        <v>0</v>
      </c>
      <c r="W616" s="39">
        <v>0</v>
      </c>
      <c r="X616" s="39">
        <v>0</v>
      </c>
      <c r="Y616" s="39">
        <v>108</v>
      </c>
      <c r="Z616" s="39">
        <v>0</v>
      </c>
      <c r="AA616" s="39">
        <v>0</v>
      </c>
      <c r="AB616" s="39">
        <v>0</v>
      </c>
      <c r="AC616" s="39">
        <v>0</v>
      </c>
      <c r="AD616" s="39">
        <v>0</v>
      </c>
      <c r="AE616" s="39">
        <v>0</v>
      </c>
      <c r="AF616" s="39">
        <v>0</v>
      </c>
      <c r="AG616" s="39">
        <v>0</v>
      </c>
      <c r="AH616" s="39"/>
      <c r="AI616" s="39"/>
      <c r="AJ616" s="40"/>
      <c r="AK616" s="39">
        <f t="shared" si="45"/>
        <v>0</v>
      </c>
      <c r="AL616" s="39">
        <f t="shared" si="48"/>
        <v>9</v>
      </c>
      <c r="AM616" s="39">
        <f t="shared" si="49"/>
        <v>0</v>
      </c>
      <c r="AN616" s="39">
        <f t="shared" si="46"/>
        <v>10.8</v>
      </c>
      <c r="AO616" s="39">
        <f t="shared" si="47"/>
        <v>108</v>
      </c>
    </row>
    <row r="617" spans="1:41" x14ac:dyDescent="0.3">
      <c r="A617" s="20">
        <v>1000184670</v>
      </c>
      <c r="B617" s="4" t="s">
        <v>147</v>
      </c>
      <c r="C617" s="21"/>
      <c r="D617" s="3"/>
      <c r="E617" s="20">
        <v>1000184758</v>
      </c>
      <c r="F617" s="4" t="s">
        <v>55</v>
      </c>
      <c r="G617" s="21">
        <v>1000189777</v>
      </c>
      <c r="H617" s="3" t="s">
        <v>56</v>
      </c>
      <c r="I617" s="21">
        <v>1000189270</v>
      </c>
      <c r="J617" s="3" t="s">
        <v>34</v>
      </c>
      <c r="K617" s="20" t="s">
        <v>17</v>
      </c>
      <c r="L617" s="39">
        <v>0</v>
      </c>
      <c r="M617" s="39">
        <v>0</v>
      </c>
      <c r="N617" s="39">
        <v>0</v>
      </c>
      <c r="O617" s="39">
        <v>0</v>
      </c>
      <c r="P617" s="39">
        <v>0</v>
      </c>
      <c r="Q617" s="39">
        <v>0</v>
      </c>
      <c r="R617" s="39">
        <v>0</v>
      </c>
      <c r="S617" s="39">
        <v>0</v>
      </c>
      <c r="T617" s="39">
        <v>0</v>
      </c>
      <c r="U617" s="39">
        <v>0</v>
      </c>
      <c r="V617" s="39">
        <v>0</v>
      </c>
      <c r="W617" s="39">
        <v>0</v>
      </c>
      <c r="X617" s="39">
        <v>0</v>
      </c>
      <c r="Y617" s="39">
        <v>69</v>
      </c>
      <c r="Z617" s="39">
        <v>0</v>
      </c>
      <c r="AA617" s="39">
        <v>0</v>
      </c>
      <c r="AB617" s="39">
        <v>0</v>
      </c>
      <c r="AC617" s="39">
        <v>0</v>
      </c>
      <c r="AD617" s="39">
        <v>0</v>
      </c>
      <c r="AE617" s="39">
        <v>0</v>
      </c>
      <c r="AF617" s="39">
        <v>0</v>
      </c>
      <c r="AG617" s="39">
        <v>0</v>
      </c>
      <c r="AH617" s="39"/>
      <c r="AI617" s="39"/>
      <c r="AJ617" s="40"/>
      <c r="AK617" s="39">
        <f t="shared" si="45"/>
        <v>0</v>
      </c>
      <c r="AL617" s="39">
        <f t="shared" si="48"/>
        <v>5.75</v>
      </c>
      <c r="AM617" s="39">
        <f t="shared" si="49"/>
        <v>0</v>
      </c>
      <c r="AN617" s="39">
        <f t="shared" si="46"/>
        <v>6.9</v>
      </c>
      <c r="AO617" s="39">
        <f t="shared" si="47"/>
        <v>69</v>
      </c>
    </row>
    <row r="618" spans="1:41" x14ac:dyDescent="0.3">
      <c r="A618" s="20">
        <v>1000184670</v>
      </c>
      <c r="B618" s="4" t="s">
        <v>147</v>
      </c>
      <c r="C618" s="21"/>
      <c r="D618" s="3"/>
      <c r="E618" s="20">
        <v>1000184758</v>
      </c>
      <c r="F618" s="4" t="s">
        <v>55</v>
      </c>
      <c r="G618" s="21">
        <v>1000189777</v>
      </c>
      <c r="H618" s="3" t="s">
        <v>56</v>
      </c>
      <c r="I618" s="21">
        <v>1000189270</v>
      </c>
      <c r="J618" s="3" t="s">
        <v>34</v>
      </c>
      <c r="K618" s="20" t="s">
        <v>24</v>
      </c>
      <c r="L618" s="39">
        <v>0</v>
      </c>
      <c r="M618" s="39">
        <v>0</v>
      </c>
      <c r="N618" s="39">
        <v>0</v>
      </c>
      <c r="O618" s="39">
        <v>0</v>
      </c>
      <c r="P618" s="39">
        <v>0</v>
      </c>
      <c r="Q618" s="39">
        <v>0</v>
      </c>
      <c r="R618" s="39">
        <v>0</v>
      </c>
      <c r="S618" s="39">
        <v>0</v>
      </c>
      <c r="T618" s="39">
        <v>0</v>
      </c>
      <c r="U618" s="39">
        <v>0</v>
      </c>
      <c r="V618" s="39">
        <v>0</v>
      </c>
      <c r="W618" s="39">
        <v>0</v>
      </c>
      <c r="X618" s="39">
        <v>0</v>
      </c>
      <c r="Y618" s="39">
        <v>49.38</v>
      </c>
      <c r="Z618" s="39">
        <v>0</v>
      </c>
      <c r="AA618" s="39">
        <v>0</v>
      </c>
      <c r="AB618" s="39">
        <v>0</v>
      </c>
      <c r="AC618" s="39">
        <v>0</v>
      </c>
      <c r="AD618" s="39">
        <v>0</v>
      </c>
      <c r="AE618" s="39">
        <v>0</v>
      </c>
      <c r="AF618" s="39">
        <v>0</v>
      </c>
      <c r="AG618" s="39">
        <v>0</v>
      </c>
      <c r="AH618" s="39"/>
      <c r="AI618" s="39"/>
      <c r="AJ618" s="40"/>
      <c r="AK618" s="39">
        <f t="shared" si="45"/>
        <v>0</v>
      </c>
      <c r="AL618" s="39">
        <f t="shared" si="48"/>
        <v>4.1150000000000002</v>
      </c>
      <c r="AM618" s="39">
        <f t="shared" si="49"/>
        <v>0</v>
      </c>
      <c r="AN618" s="39">
        <f t="shared" si="46"/>
        <v>4.9380000000000006</v>
      </c>
      <c r="AO618" s="39">
        <f t="shared" si="47"/>
        <v>49.38</v>
      </c>
    </row>
    <row r="619" spans="1:41" x14ac:dyDescent="0.3">
      <c r="A619" s="20">
        <v>1000184670</v>
      </c>
      <c r="B619" s="4" t="s">
        <v>147</v>
      </c>
      <c r="C619" s="21"/>
      <c r="D619" s="3"/>
      <c r="E619" s="20">
        <v>1000184758</v>
      </c>
      <c r="F619" s="4" t="s">
        <v>55</v>
      </c>
      <c r="G619" s="21">
        <v>1000189777</v>
      </c>
      <c r="H619" s="3" t="s">
        <v>56</v>
      </c>
      <c r="I619" s="21">
        <v>1000189270</v>
      </c>
      <c r="J619" s="3" t="s">
        <v>34</v>
      </c>
      <c r="K619" s="20" t="s">
        <v>18</v>
      </c>
      <c r="L619" s="39">
        <v>0</v>
      </c>
      <c r="M619" s="39">
        <v>0</v>
      </c>
      <c r="N619" s="39">
        <v>0</v>
      </c>
      <c r="O619" s="39">
        <v>0</v>
      </c>
      <c r="P619" s="39">
        <v>0</v>
      </c>
      <c r="Q619" s="39">
        <v>0</v>
      </c>
      <c r="R619" s="39">
        <v>0</v>
      </c>
      <c r="S619" s="39">
        <v>0</v>
      </c>
      <c r="T619" s="39">
        <v>0</v>
      </c>
      <c r="U619" s="39">
        <v>0</v>
      </c>
      <c r="V619" s="39">
        <v>0</v>
      </c>
      <c r="W619" s="39">
        <v>0</v>
      </c>
      <c r="X619" s="39">
        <v>0</v>
      </c>
      <c r="Y619" s="39">
        <v>23.1</v>
      </c>
      <c r="Z619" s="39">
        <v>0</v>
      </c>
      <c r="AA619" s="39">
        <v>0</v>
      </c>
      <c r="AB619" s="39">
        <v>0</v>
      </c>
      <c r="AC619" s="39">
        <v>0</v>
      </c>
      <c r="AD619" s="39">
        <v>0</v>
      </c>
      <c r="AE619" s="39">
        <v>0</v>
      </c>
      <c r="AF619" s="39">
        <v>0</v>
      </c>
      <c r="AG619" s="39">
        <v>0</v>
      </c>
      <c r="AH619" s="39"/>
      <c r="AI619" s="39"/>
      <c r="AJ619" s="40"/>
      <c r="AK619" s="39">
        <f t="shared" si="45"/>
        <v>0</v>
      </c>
      <c r="AL619" s="39">
        <f t="shared" si="48"/>
        <v>1.925</v>
      </c>
      <c r="AM619" s="39">
        <f t="shared" si="49"/>
        <v>0</v>
      </c>
      <c r="AN619" s="39">
        <f t="shared" si="46"/>
        <v>2.31</v>
      </c>
      <c r="AO619" s="39">
        <f t="shared" si="47"/>
        <v>23.1</v>
      </c>
    </row>
    <row r="620" spans="1:41" x14ac:dyDescent="0.3">
      <c r="A620" s="20">
        <v>1000184670</v>
      </c>
      <c r="B620" s="4" t="s">
        <v>147</v>
      </c>
      <c r="C620" s="21"/>
      <c r="D620" s="3"/>
      <c r="E620" s="20">
        <v>1000184758</v>
      </c>
      <c r="F620" s="4" t="s">
        <v>55</v>
      </c>
      <c r="G620" s="21">
        <v>1000189777</v>
      </c>
      <c r="H620" s="3" t="s">
        <v>56</v>
      </c>
      <c r="I620" s="21">
        <v>1000189270</v>
      </c>
      <c r="J620" s="3" t="s">
        <v>34</v>
      </c>
      <c r="K620" s="20" t="s">
        <v>29</v>
      </c>
      <c r="L620" s="39">
        <v>0</v>
      </c>
      <c r="M620" s="39">
        <v>0</v>
      </c>
      <c r="N620" s="39">
        <v>0</v>
      </c>
      <c r="O620" s="39">
        <v>0</v>
      </c>
      <c r="P620" s="39">
        <v>0</v>
      </c>
      <c r="Q620" s="39">
        <v>0</v>
      </c>
      <c r="R620" s="39">
        <v>0</v>
      </c>
      <c r="S620" s="39">
        <v>0</v>
      </c>
      <c r="T620" s="39">
        <v>0</v>
      </c>
      <c r="U620" s="39">
        <v>0</v>
      </c>
      <c r="V620" s="39">
        <v>0</v>
      </c>
      <c r="W620" s="39">
        <v>0</v>
      </c>
      <c r="X620" s="39">
        <v>0</v>
      </c>
      <c r="Y620" s="39">
        <v>0</v>
      </c>
      <c r="Z620" s="39">
        <v>0</v>
      </c>
      <c r="AA620" s="39">
        <v>0</v>
      </c>
      <c r="AB620" s="39">
        <v>0</v>
      </c>
      <c r="AC620" s="39">
        <v>1857.96</v>
      </c>
      <c r="AD620" s="39">
        <v>0</v>
      </c>
      <c r="AE620" s="39">
        <v>0</v>
      </c>
      <c r="AF620" s="39">
        <v>0</v>
      </c>
      <c r="AG620" s="39">
        <v>0</v>
      </c>
      <c r="AH620" s="39"/>
      <c r="AI620" s="39"/>
      <c r="AJ620" s="40"/>
      <c r="AK620" s="39">
        <f t="shared" si="45"/>
        <v>0</v>
      </c>
      <c r="AL620" s="39">
        <f t="shared" si="48"/>
        <v>154.83000000000001</v>
      </c>
      <c r="AM620" s="39">
        <f t="shared" si="49"/>
        <v>309.66000000000003</v>
      </c>
      <c r="AN620" s="39">
        <f t="shared" si="46"/>
        <v>185.79599999999999</v>
      </c>
      <c r="AO620" s="39">
        <f t="shared" si="47"/>
        <v>1857.96</v>
      </c>
    </row>
    <row r="621" spans="1:41" x14ac:dyDescent="0.3">
      <c r="A621" s="20">
        <v>1000184670</v>
      </c>
      <c r="B621" s="4" t="s">
        <v>147</v>
      </c>
      <c r="C621" s="21"/>
      <c r="D621" s="3"/>
      <c r="E621" s="20">
        <v>1000184758</v>
      </c>
      <c r="F621" s="4" t="s">
        <v>55</v>
      </c>
      <c r="G621" s="21">
        <v>1000189777</v>
      </c>
      <c r="H621" s="3" t="s">
        <v>56</v>
      </c>
      <c r="I621" s="21">
        <v>1000189270</v>
      </c>
      <c r="J621" s="3" t="s">
        <v>34</v>
      </c>
      <c r="K621" s="20" t="s">
        <v>21</v>
      </c>
      <c r="L621" s="39">
        <v>0</v>
      </c>
      <c r="M621" s="39">
        <v>0</v>
      </c>
      <c r="N621" s="39">
        <v>0</v>
      </c>
      <c r="O621" s="39">
        <v>0</v>
      </c>
      <c r="P621" s="39">
        <v>0</v>
      </c>
      <c r="Q621" s="39">
        <v>0</v>
      </c>
      <c r="R621" s="39">
        <v>0</v>
      </c>
      <c r="S621" s="39">
        <v>0</v>
      </c>
      <c r="T621" s="39">
        <v>0</v>
      </c>
      <c r="U621" s="39">
        <v>0</v>
      </c>
      <c r="V621" s="39">
        <v>0</v>
      </c>
      <c r="W621" s="39">
        <v>0</v>
      </c>
      <c r="X621" s="39">
        <v>0</v>
      </c>
      <c r="Y621" s="39">
        <v>253.5</v>
      </c>
      <c r="Z621" s="39">
        <v>0</v>
      </c>
      <c r="AA621" s="39">
        <v>0</v>
      </c>
      <c r="AB621" s="39">
        <v>0</v>
      </c>
      <c r="AC621" s="39">
        <v>0</v>
      </c>
      <c r="AD621" s="39">
        <v>0</v>
      </c>
      <c r="AE621" s="39">
        <v>0</v>
      </c>
      <c r="AF621" s="39">
        <v>0</v>
      </c>
      <c r="AG621" s="39">
        <v>0</v>
      </c>
      <c r="AH621" s="39"/>
      <c r="AI621" s="39"/>
      <c r="AJ621" s="40"/>
      <c r="AK621" s="39">
        <f t="shared" si="45"/>
        <v>0</v>
      </c>
      <c r="AL621" s="39">
        <f t="shared" si="48"/>
        <v>21.125</v>
      </c>
      <c r="AM621" s="39">
        <f t="shared" si="49"/>
        <v>0</v>
      </c>
      <c r="AN621" s="39">
        <f t="shared" si="46"/>
        <v>25.35</v>
      </c>
      <c r="AO621" s="39">
        <f t="shared" si="47"/>
        <v>253.5</v>
      </c>
    </row>
    <row r="622" spans="1:41" x14ac:dyDescent="0.3">
      <c r="A622" s="20">
        <v>1000184670</v>
      </c>
      <c r="B622" s="4" t="s">
        <v>147</v>
      </c>
      <c r="C622" s="21"/>
      <c r="D622" s="3"/>
      <c r="E622" s="20">
        <v>1000184758</v>
      </c>
      <c r="F622" s="4" t="s">
        <v>55</v>
      </c>
      <c r="G622" s="21">
        <v>1000189777</v>
      </c>
      <c r="H622" s="3" t="s">
        <v>56</v>
      </c>
      <c r="I622" s="21">
        <v>1000189270</v>
      </c>
      <c r="J622" s="3" t="s">
        <v>34</v>
      </c>
      <c r="K622" s="20" t="s">
        <v>20</v>
      </c>
      <c r="L622" s="39">
        <v>0</v>
      </c>
      <c r="M622" s="39">
        <v>0</v>
      </c>
      <c r="N622" s="39">
        <v>0</v>
      </c>
      <c r="O622" s="39">
        <v>0</v>
      </c>
      <c r="P622" s="39">
        <v>0</v>
      </c>
      <c r="Q622" s="39">
        <v>0</v>
      </c>
      <c r="R622" s="39">
        <v>0</v>
      </c>
      <c r="S622" s="39">
        <v>0</v>
      </c>
      <c r="T622" s="39">
        <v>0</v>
      </c>
      <c r="U622" s="39">
        <v>0</v>
      </c>
      <c r="V622" s="39">
        <v>0</v>
      </c>
      <c r="W622" s="39">
        <v>0</v>
      </c>
      <c r="X622" s="39">
        <v>0</v>
      </c>
      <c r="Y622" s="39">
        <v>20.149999999999999</v>
      </c>
      <c r="Z622" s="39">
        <v>0</v>
      </c>
      <c r="AA622" s="39">
        <v>0</v>
      </c>
      <c r="AB622" s="39">
        <v>0</v>
      </c>
      <c r="AC622" s="39">
        <v>0</v>
      </c>
      <c r="AD622" s="39">
        <v>0</v>
      </c>
      <c r="AE622" s="39">
        <v>0</v>
      </c>
      <c r="AF622" s="39">
        <v>0</v>
      </c>
      <c r="AG622" s="39">
        <v>0</v>
      </c>
      <c r="AH622" s="39"/>
      <c r="AI622" s="39"/>
      <c r="AJ622" s="40"/>
      <c r="AK622" s="39">
        <f t="shared" si="45"/>
        <v>0</v>
      </c>
      <c r="AL622" s="39">
        <f t="shared" si="48"/>
        <v>1.6791666666666665</v>
      </c>
      <c r="AM622" s="39">
        <f t="shared" si="49"/>
        <v>0</v>
      </c>
      <c r="AN622" s="39">
        <f t="shared" si="46"/>
        <v>2.0149999999999997</v>
      </c>
      <c r="AO622" s="39">
        <f t="shared" si="47"/>
        <v>20.149999999999999</v>
      </c>
    </row>
    <row r="623" spans="1:41" x14ac:dyDescent="0.3">
      <c r="A623" s="20">
        <v>1000184670</v>
      </c>
      <c r="B623" s="4" t="s">
        <v>147</v>
      </c>
      <c r="C623" s="21"/>
      <c r="D623" s="3"/>
      <c r="E623" s="20">
        <v>1000184758</v>
      </c>
      <c r="F623" s="4" t="s">
        <v>55</v>
      </c>
      <c r="G623" s="21">
        <v>1000189777</v>
      </c>
      <c r="H623" s="3" t="s">
        <v>56</v>
      </c>
      <c r="I623" s="21">
        <v>1000189270</v>
      </c>
      <c r="J623" s="3" t="s">
        <v>34</v>
      </c>
      <c r="K623" s="20" t="s">
        <v>22</v>
      </c>
      <c r="L623" s="39">
        <v>0</v>
      </c>
      <c r="M623" s="39">
        <v>0</v>
      </c>
      <c r="N623" s="39">
        <v>0</v>
      </c>
      <c r="O623" s="39">
        <v>0</v>
      </c>
      <c r="P623" s="39">
        <v>0</v>
      </c>
      <c r="Q623" s="39">
        <v>0</v>
      </c>
      <c r="R623" s="39">
        <v>0</v>
      </c>
      <c r="S623" s="39">
        <v>0</v>
      </c>
      <c r="T623" s="39">
        <v>0</v>
      </c>
      <c r="U623" s="39">
        <v>0</v>
      </c>
      <c r="V623" s="39">
        <v>0</v>
      </c>
      <c r="W623" s="39">
        <v>0</v>
      </c>
      <c r="X623" s="39">
        <v>0</v>
      </c>
      <c r="Y623" s="39">
        <v>310.2</v>
      </c>
      <c r="Z623" s="39">
        <v>0</v>
      </c>
      <c r="AA623" s="39">
        <v>0</v>
      </c>
      <c r="AB623" s="39">
        <v>0</v>
      </c>
      <c r="AC623" s="39">
        <v>0</v>
      </c>
      <c r="AD623" s="39">
        <v>0</v>
      </c>
      <c r="AE623" s="39">
        <v>0</v>
      </c>
      <c r="AF623" s="39">
        <v>0</v>
      </c>
      <c r="AG623" s="39">
        <v>0</v>
      </c>
      <c r="AH623" s="39"/>
      <c r="AI623" s="39"/>
      <c r="AJ623" s="40"/>
      <c r="AK623" s="39">
        <f t="shared" si="45"/>
        <v>0</v>
      </c>
      <c r="AL623" s="39">
        <f t="shared" si="48"/>
        <v>25.849999999999998</v>
      </c>
      <c r="AM623" s="39">
        <f t="shared" si="49"/>
        <v>0</v>
      </c>
      <c r="AN623" s="39">
        <f t="shared" si="46"/>
        <v>31.02</v>
      </c>
      <c r="AO623" s="39">
        <f t="shared" si="47"/>
        <v>310.2</v>
      </c>
    </row>
    <row r="624" spans="1:41" x14ac:dyDescent="0.3">
      <c r="A624" s="20">
        <v>1000184670</v>
      </c>
      <c r="B624" s="4" t="s">
        <v>147</v>
      </c>
      <c r="C624" s="21"/>
      <c r="D624" s="3"/>
      <c r="E624" s="20">
        <v>1000184758</v>
      </c>
      <c r="F624" s="4" t="s">
        <v>55</v>
      </c>
      <c r="G624" s="21">
        <v>1000189777</v>
      </c>
      <c r="H624" s="3" t="s">
        <v>56</v>
      </c>
      <c r="I624" s="21">
        <v>1000189270</v>
      </c>
      <c r="J624" s="3" t="s">
        <v>34</v>
      </c>
      <c r="K624" s="20" t="s">
        <v>23</v>
      </c>
      <c r="L624" s="39">
        <v>0</v>
      </c>
      <c r="M624" s="39">
        <v>0</v>
      </c>
      <c r="N624" s="39">
        <v>0</v>
      </c>
      <c r="O624" s="39">
        <v>0</v>
      </c>
      <c r="P624" s="39">
        <v>0</v>
      </c>
      <c r="Q624" s="39">
        <v>0</v>
      </c>
      <c r="R624" s="39">
        <v>0</v>
      </c>
      <c r="S624" s="39">
        <v>0</v>
      </c>
      <c r="T624" s="39">
        <v>0</v>
      </c>
      <c r="U624" s="39">
        <v>0</v>
      </c>
      <c r="V624" s="39">
        <v>0</v>
      </c>
      <c r="W624" s="39">
        <v>0</v>
      </c>
      <c r="X624" s="39">
        <v>0</v>
      </c>
      <c r="Y624" s="39">
        <v>22.51</v>
      </c>
      <c r="Z624" s="39">
        <v>0</v>
      </c>
      <c r="AA624" s="39">
        <v>0</v>
      </c>
      <c r="AB624" s="39">
        <v>0</v>
      </c>
      <c r="AC624" s="39">
        <v>0</v>
      </c>
      <c r="AD624" s="39">
        <v>0</v>
      </c>
      <c r="AE624" s="39">
        <v>0</v>
      </c>
      <c r="AF624" s="39">
        <v>0</v>
      </c>
      <c r="AG624" s="39">
        <v>0</v>
      </c>
      <c r="AH624" s="39"/>
      <c r="AI624" s="39"/>
      <c r="AJ624" s="40"/>
      <c r="AK624" s="39">
        <f t="shared" ref="AK624:AK687" si="50">AVERAGE(L624:W624)</f>
        <v>0</v>
      </c>
      <c r="AL624" s="39">
        <f t="shared" si="48"/>
        <v>1.8758333333333335</v>
      </c>
      <c r="AM624" s="39">
        <f t="shared" si="49"/>
        <v>0</v>
      </c>
      <c r="AN624" s="39">
        <f t="shared" ref="AN624:AN687" si="51">AVERAGE(X624:AI624)</f>
        <v>2.2510000000000003</v>
      </c>
      <c r="AO624" s="39">
        <f t="shared" ref="AO624:AO687" si="52">SUM(X624:AI624)</f>
        <v>22.51</v>
      </c>
    </row>
    <row r="625" spans="1:41" x14ac:dyDescent="0.3">
      <c r="A625" s="20">
        <v>1000184670</v>
      </c>
      <c r="B625" s="4" t="s">
        <v>147</v>
      </c>
      <c r="C625" s="21"/>
      <c r="D625" s="3"/>
      <c r="E625" s="20">
        <v>1000184758</v>
      </c>
      <c r="F625" s="4" t="s">
        <v>55</v>
      </c>
      <c r="G625" s="21">
        <v>1000189777</v>
      </c>
      <c r="H625" s="3" t="s">
        <v>56</v>
      </c>
      <c r="I625" s="21">
        <v>1000189270</v>
      </c>
      <c r="J625" s="3" t="s">
        <v>34</v>
      </c>
      <c r="K625" s="20" t="s">
        <v>28</v>
      </c>
      <c r="L625" s="39">
        <v>0</v>
      </c>
      <c r="M625" s="39">
        <v>0</v>
      </c>
      <c r="N625" s="39">
        <v>0</v>
      </c>
      <c r="O625" s="39">
        <v>0</v>
      </c>
      <c r="P625" s="39">
        <v>0</v>
      </c>
      <c r="Q625" s="39">
        <v>0</v>
      </c>
      <c r="R625" s="39">
        <v>0</v>
      </c>
      <c r="S625" s="39">
        <v>0</v>
      </c>
      <c r="T625" s="39">
        <v>0</v>
      </c>
      <c r="U625" s="39">
        <v>0</v>
      </c>
      <c r="V625" s="39">
        <v>0</v>
      </c>
      <c r="W625" s="39">
        <v>0</v>
      </c>
      <c r="X625" s="39">
        <v>0</v>
      </c>
      <c r="Y625" s="39">
        <v>0</v>
      </c>
      <c r="Z625" s="39">
        <v>0</v>
      </c>
      <c r="AA625" s="39">
        <v>0</v>
      </c>
      <c r="AB625" s="39">
        <v>0</v>
      </c>
      <c r="AC625" s="39">
        <v>0</v>
      </c>
      <c r="AD625" s="39">
        <v>0</v>
      </c>
      <c r="AE625" s="39">
        <v>0</v>
      </c>
      <c r="AF625" s="39">
        <v>0</v>
      </c>
      <c r="AG625" s="39">
        <v>0</v>
      </c>
      <c r="AH625" s="39"/>
      <c r="AI625" s="39"/>
      <c r="AJ625" s="40"/>
      <c r="AK625" s="39">
        <f t="shared" si="50"/>
        <v>0</v>
      </c>
      <c r="AL625" s="39">
        <f t="shared" si="48"/>
        <v>0</v>
      </c>
      <c r="AM625" s="39">
        <f t="shared" si="49"/>
        <v>0</v>
      </c>
      <c r="AN625" s="39">
        <f t="shared" si="51"/>
        <v>0</v>
      </c>
      <c r="AO625" s="39">
        <f t="shared" si="52"/>
        <v>0</v>
      </c>
    </row>
    <row r="626" spans="1:41" x14ac:dyDescent="0.3">
      <c r="A626" s="20">
        <v>1000184670</v>
      </c>
      <c r="B626" s="4" t="s">
        <v>147</v>
      </c>
      <c r="C626" s="21"/>
      <c r="D626" s="3"/>
      <c r="E626" s="20">
        <v>1000184758</v>
      </c>
      <c r="F626" s="4" t="s">
        <v>55</v>
      </c>
      <c r="G626" s="21">
        <v>1000189777</v>
      </c>
      <c r="H626" s="3" t="s">
        <v>56</v>
      </c>
      <c r="I626" s="21">
        <v>1000189270</v>
      </c>
      <c r="J626" s="3" t="s">
        <v>34</v>
      </c>
      <c r="K626" s="20" t="s">
        <v>26</v>
      </c>
      <c r="L626" s="39">
        <v>0</v>
      </c>
      <c r="M626" s="39">
        <v>0</v>
      </c>
      <c r="N626" s="39">
        <v>0</v>
      </c>
      <c r="O626" s="39">
        <v>0</v>
      </c>
      <c r="P626" s="39">
        <v>0</v>
      </c>
      <c r="Q626" s="39">
        <v>0</v>
      </c>
      <c r="R626" s="39">
        <v>0</v>
      </c>
      <c r="S626" s="39">
        <v>0</v>
      </c>
      <c r="T626" s="39">
        <v>0</v>
      </c>
      <c r="U626" s="39">
        <v>0</v>
      </c>
      <c r="V626" s="39">
        <v>0</v>
      </c>
      <c r="W626" s="39">
        <v>0</v>
      </c>
      <c r="X626" s="39">
        <v>0</v>
      </c>
      <c r="Y626" s="39">
        <v>378.66</v>
      </c>
      <c r="Z626" s="39">
        <v>0</v>
      </c>
      <c r="AA626" s="39">
        <v>0</v>
      </c>
      <c r="AB626" s="39">
        <v>0</v>
      </c>
      <c r="AC626" s="39">
        <v>713.6</v>
      </c>
      <c r="AD626" s="39">
        <v>0</v>
      </c>
      <c r="AE626" s="39">
        <v>0</v>
      </c>
      <c r="AF626" s="39">
        <v>0</v>
      </c>
      <c r="AG626" s="39">
        <v>0</v>
      </c>
      <c r="AH626" s="39"/>
      <c r="AI626" s="39"/>
      <c r="AJ626" s="40"/>
      <c r="AK626" s="39">
        <f t="shared" si="50"/>
        <v>0</v>
      </c>
      <c r="AL626" s="39">
        <f t="shared" si="48"/>
        <v>91.021666666666661</v>
      </c>
      <c r="AM626" s="39">
        <f t="shared" si="49"/>
        <v>118.93333333333334</v>
      </c>
      <c r="AN626" s="39">
        <f t="shared" si="51"/>
        <v>109.226</v>
      </c>
      <c r="AO626" s="39">
        <f t="shared" si="52"/>
        <v>1092.26</v>
      </c>
    </row>
    <row r="627" spans="1:41" x14ac:dyDescent="0.3">
      <c r="A627" s="20">
        <v>1000184670</v>
      </c>
      <c r="B627" s="4" t="s">
        <v>147</v>
      </c>
      <c r="C627" s="21"/>
      <c r="D627" s="3"/>
      <c r="E627" s="20">
        <v>1000184758</v>
      </c>
      <c r="F627" s="4" t="s">
        <v>55</v>
      </c>
      <c r="G627" s="21">
        <v>1000189777</v>
      </c>
      <c r="H627" s="3" t="s">
        <v>56</v>
      </c>
      <c r="I627" s="21">
        <v>1000189270</v>
      </c>
      <c r="J627" s="3" t="s">
        <v>34</v>
      </c>
      <c r="K627" s="20" t="s">
        <v>27</v>
      </c>
      <c r="L627" s="39">
        <v>0</v>
      </c>
      <c r="M627" s="39">
        <v>0</v>
      </c>
      <c r="N627" s="39">
        <v>0</v>
      </c>
      <c r="O627" s="39">
        <v>0</v>
      </c>
      <c r="P627" s="39">
        <v>0</v>
      </c>
      <c r="Q627" s="39">
        <v>0</v>
      </c>
      <c r="R627" s="39">
        <v>0</v>
      </c>
      <c r="S627" s="39">
        <v>0</v>
      </c>
      <c r="T627" s="39">
        <v>0</v>
      </c>
      <c r="U627" s="39">
        <v>0</v>
      </c>
      <c r="V627" s="39">
        <v>0</v>
      </c>
      <c r="W627" s="39">
        <v>0</v>
      </c>
      <c r="X627" s="39">
        <v>0</v>
      </c>
      <c r="Y627" s="39">
        <v>0</v>
      </c>
      <c r="Z627" s="39">
        <v>0</v>
      </c>
      <c r="AA627" s="39">
        <v>0</v>
      </c>
      <c r="AB627" s="39">
        <v>0</v>
      </c>
      <c r="AC627" s="39">
        <v>0</v>
      </c>
      <c r="AD627" s="39">
        <v>0</v>
      </c>
      <c r="AE627" s="39">
        <v>0</v>
      </c>
      <c r="AF627" s="39">
        <v>0</v>
      </c>
      <c r="AG627" s="39">
        <v>0</v>
      </c>
      <c r="AH627" s="39"/>
      <c r="AI627" s="39"/>
      <c r="AJ627" s="40"/>
      <c r="AK627" s="39">
        <f t="shared" si="50"/>
        <v>0</v>
      </c>
      <c r="AL627" s="39">
        <f t="shared" si="48"/>
        <v>0</v>
      </c>
      <c r="AM627" s="39">
        <f t="shared" si="49"/>
        <v>0</v>
      </c>
      <c r="AN627" s="39">
        <f t="shared" si="51"/>
        <v>0</v>
      </c>
      <c r="AO627" s="39">
        <f t="shared" si="52"/>
        <v>0</v>
      </c>
    </row>
    <row r="628" spans="1:41" x14ac:dyDescent="0.3">
      <c r="A628" s="20">
        <v>1000184670</v>
      </c>
      <c r="B628" s="4" t="s">
        <v>147</v>
      </c>
      <c r="C628" s="21"/>
      <c r="D628" s="3"/>
      <c r="E628" s="20">
        <v>1000184758</v>
      </c>
      <c r="F628" s="4" t="s">
        <v>55</v>
      </c>
      <c r="G628" s="21">
        <v>1000189777</v>
      </c>
      <c r="H628" s="3" t="s">
        <v>56</v>
      </c>
      <c r="I628" s="21">
        <v>1000189270</v>
      </c>
      <c r="J628" s="3" t="s">
        <v>34</v>
      </c>
      <c r="K628" s="20" t="s">
        <v>25</v>
      </c>
      <c r="L628" s="39">
        <v>0</v>
      </c>
      <c r="M628" s="39">
        <v>0</v>
      </c>
      <c r="N628" s="39">
        <v>0</v>
      </c>
      <c r="O628" s="39">
        <v>0</v>
      </c>
      <c r="P628" s="39">
        <v>0</v>
      </c>
      <c r="Q628" s="39">
        <v>0</v>
      </c>
      <c r="R628" s="39">
        <v>0</v>
      </c>
      <c r="S628" s="39">
        <v>0</v>
      </c>
      <c r="T628" s="39">
        <v>0</v>
      </c>
      <c r="U628" s="39">
        <v>0</v>
      </c>
      <c r="V628" s="39">
        <v>0</v>
      </c>
      <c r="W628" s="39">
        <v>0</v>
      </c>
      <c r="X628" s="39">
        <v>0</v>
      </c>
      <c r="Y628" s="39">
        <v>135</v>
      </c>
      <c r="Z628" s="39">
        <v>0</v>
      </c>
      <c r="AA628" s="39">
        <v>0</v>
      </c>
      <c r="AB628" s="39">
        <v>0</v>
      </c>
      <c r="AC628" s="39">
        <v>0</v>
      </c>
      <c r="AD628" s="39">
        <v>0</v>
      </c>
      <c r="AE628" s="39">
        <v>0</v>
      </c>
      <c r="AF628" s="39">
        <v>0</v>
      </c>
      <c r="AG628" s="39">
        <v>0</v>
      </c>
      <c r="AH628" s="39"/>
      <c r="AI628" s="39"/>
      <c r="AJ628" s="40"/>
      <c r="AK628" s="39">
        <f t="shared" si="50"/>
        <v>0</v>
      </c>
      <c r="AL628" s="39">
        <f t="shared" si="48"/>
        <v>11.25</v>
      </c>
      <c r="AM628" s="39">
        <f t="shared" si="49"/>
        <v>0</v>
      </c>
      <c r="AN628" s="39">
        <f t="shared" si="51"/>
        <v>13.5</v>
      </c>
      <c r="AO628" s="39">
        <f t="shared" si="52"/>
        <v>135</v>
      </c>
    </row>
    <row r="629" spans="1:41" x14ac:dyDescent="0.3">
      <c r="A629" s="20">
        <v>1000184670</v>
      </c>
      <c r="B629" s="4" t="s">
        <v>147</v>
      </c>
      <c r="C629" s="21"/>
      <c r="D629" s="3"/>
      <c r="E629" s="20">
        <v>1000184760</v>
      </c>
      <c r="F629" s="4" t="s">
        <v>60</v>
      </c>
      <c r="G629" s="21">
        <v>1000189778</v>
      </c>
      <c r="H629" s="3" t="s">
        <v>84</v>
      </c>
      <c r="I629" s="21">
        <v>1000189270</v>
      </c>
      <c r="J629" s="3" t="s">
        <v>34</v>
      </c>
      <c r="K629" s="20" t="s">
        <v>124</v>
      </c>
      <c r="L629" s="39">
        <v>0</v>
      </c>
      <c r="M629" s="39">
        <v>0</v>
      </c>
      <c r="N629" s="39">
        <v>0</v>
      </c>
      <c r="O629" s="39">
        <v>0</v>
      </c>
      <c r="P629" s="39">
        <v>0</v>
      </c>
      <c r="Q629" s="39">
        <v>0</v>
      </c>
      <c r="R629" s="39">
        <v>0</v>
      </c>
      <c r="S629" s="39">
        <v>0</v>
      </c>
      <c r="T629" s="39">
        <v>0</v>
      </c>
      <c r="U629" s="39">
        <v>0</v>
      </c>
      <c r="V629" s="39">
        <v>0</v>
      </c>
      <c r="W629" s="39">
        <v>0</v>
      </c>
      <c r="X629" s="39">
        <v>0</v>
      </c>
      <c r="Y629" s="39">
        <v>0</v>
      </c>
      <c r="Z629" s="39">
        <v>0</v>
      </c>
      <c r="AA629" s="39">
        <v>0</v>
      </c>
      <c r="AB629" s="39">
        <v>0</v>
      </c>
      <c r="AC629" s="39">
        <v>0</v>
      </c>
      <c r="AD629" s="39">
        <v>0</v>
      </c>
      <c r="AE629" s="39">
        <v>0</v>
      </c>
      <c r="AF629" s="39">
        <v>0</v>
      </c>
      <c r="AG629" s="39">
        <v>0</v>
      </c>
      <c r="AH629" s="39"/>
      <c r="AI629" s="39"/>
      <c r="AJ629" s="40"/>
      <c r="AK629" s="39">
        <f t="shared" si="50"/>
        <v>0</v>
      </c>
      <c r="AL629" s="39">
        <f t="shared" si="48"/>
        <v>0</v>
      </c>
      <c r="AM629" s="39">
        <f t="shared" si="49"/>
        <v>0</v>
      </c>
      <c r="AN629" s="39">
        <f t="shared" si="51"/>
        <v>0</v>
      </c>
      <c r="AO629" s="39">
        <f t="shared" si="52"/>
        <v>0</v>
      </c>
    </row>
    <row r="630" spans="1:41" x14ac:dyDescent="0.3">
      <c r="A630" s="20">
        <v>1000184670</v>
      </c>
      <c r="B630" s="4" t="s">
        <v>147</v>
      </c>
      <c r="C630" s="21"/>
      <c r="D630" s="3"/>
      <c r="E630" s="20">
        <v>1000184760</v>
      </c>
      <c r="F630" s="4" t="s">
        <v>60</v>
      </c>
      <c r="G630" s="21">
        <v>1000189778</v>
      </c>
      <c r="H630" s="3" t="s">
        <v>84</v>
      </c>
      <c r="I630" s="21">
        <v>1000189270</v>
      </c>
      <c r="J630" s="3" t="s">
        <v>34</v>
      </c>
      <c r="K630" s="20" t="s">
        <v>13</v>
      </c>
      <c r="L630" s="39">
        <v>0</v>
      </c>
      <c r="M630" s="39">
        <v>0</v>
      </c>
      <c r="N630" s="39">
        <v>826.88</v>
      </c>
      <c r="O630" s="39">
        <v>0</v>
      </c>
      <c r="P630" s="39">
        <v>0</v>
      </c>
      <c r="Q630" s="39">
        <v>3225</v>
      </c>
      <c r="R630" s="39">
        <v>0</v>
      </c>
      <c r="S630" s="39">
        <v>0</v>
      </c>
      <c r="T630" s="39">
        <v>0</v>
      </c>
      <c r="U630" s="39">
        <v>0</v>
      </c>
      <c r="V630" s="39">
        <v>0</v>
      </c>
      <c r="W630" s="39">
        <v>0</v>
      </c>
      <c r="X630" s="39">
        <v>0</v>
      </c>
      <c r="Y630" s="39">
        <v>0</v>
      </c>
      <c r="Z630" s="39">
        <v>0</v>
      </c>
      <c r="AA630" s="39">
        <v>0</v>
      </c>
      <c r="AB630" s="39">
        <v>323.64</v>
      </c>
      <c r="AC630" s="39">
        <v>0</v>
      </c>
      <c r="AD630" s="39">
        <v>0</v>
      </c>
      <c r="AE630" s="39">
        <v>61.2</v>
      </c>
      <c r="AF630" s="39">
        <v>0</v>
      </c>
      <c r="AG630" s="39">
        <v>0</v>
      </c>
      <c r="AH630" s="39"/>
      <c r="AI630" s="39"/>
      <c r="AJ630" s="40"/>
      <c r="AK630" s="39">
        <f t="shared" si="50"/>
        <v>337.65666666666669</v>
      </c>
      <c r="AL630" s="39">
        <f t="shared" si="48"/>
        <v>32.07</v>
      </c>
      <c r="AM630" s="39">
        <f t="shared" si="49"/>
        <v>64.14</v>
      </c>
      <c r="AN630" s="39">
        <f t="shared" si="51"/>
        <v>38.483999999999995</v>
      </c>
      <c r="AO630" s="39">
        <f t="shared" si="52"/>
        <v>384.84</v>
      </c>
    </row>
    <row r="631" spans="1:41" x14ac:dyDescent="0.3">
      <c r="A631" s="20">
        <v>1000184670</v>
      </c>
      <c r="B631" s="4" t="s">
        <v>147</v>
      </c>
      <c r="C631" s="21"/>
      <c r="D631" s="3"/>
      <c r="E631" s="20">
        <v>1000184760</v>
      </c>
      <c r="F631" s="4" t="s">
        <v>60</v>
      </c>
      <c r="G631" s="21">
        <v>1000189778</v>
      </c>
      <c r="H631" s="3" t="s">
        <v>84</v>
      </c>
      <c r="I631" s="21">
        <v>1000189270</v>
      </c>
      <c r="J631" s="3" t="s">
        <v>34</v>
      </c>
      <c r="K631" s="20" t="s">
        <v>14</v>
      </c>
      <c r="L631" s="39">
        <v>0</v>
      </c>
      <c r="M631" s="39">
        <v>0</v>
      </c>
      <c r="N631" s="39">
        <v>0</v>
      </c>
      <c r="O631" s="39">
        <v>0</v>
      </c>
      <c r="P631" s="39">
        <v>0</v>
      </c>
      <c r="Q631" s="39">
        <v>0</v>
      </c>
      <c r="R631" s="39">
        <v>0</v>
      </c>
      <c r="S631" s="39">
        <v>0</v>
      </c>
      <c r="T631" s="39">
        <v>0</v>
      </c>
      <c r="U631" s="39">
        <v>0</v>
      </c>
      <c r="V631" s="39">
        <v>0</v>
      </c>
      <c r="W631" s="39">
        <v>0</v>
      </c>
      <c r="X631" s="39">
        <v>0</v>
      </c>
      <c r="Y631" s="39">
        <v>0</v>
      </c>
      <c r="Z631" s="39">
        <v>0</v>
      </c>
      <c r="AA631" s="39">
        <v>0</v>
      </c>
      <c r="AB631" s="39">
        <v>102</v>
      </c>
      <c r="AC631" s="39">
        <v>147</v>
      </c>
      <c r="AD631" s="39">
        <v>0</v>
      </c>
      <c r="AE631" s="39">
        <v>0</v>
      </c>
      <c r="AF631" s="39">
        <v>0</v>
      </c>
      <c r="AG631" s="39">
        <v>0</v>
      </c>
      <c r="AH631" s="39"/>
      <c r="AI631" s="39"/>
      <c r="AJ631" s="40"/>
      <c r="AK631" s="39">
        <f t="shared" si="50"/>
        <v>0</v>
      </c>
      <c r="AL631" s="39">
        <f t="shared" si="48"/>
        <v>20.75</v>
      </c>
      <c r="AM631" s="39">
        <f t="shared" si="49"/>
        <v>41.5</v>
      </c>
      <c r="AN631" s="39">
        <f t="shared" si="51"/>
        <v>24.9</v>
      </c>
      <c r="AO631" s="39">
        <f t="shared" si="52"/>
        <v>249</v>
      </c>
    </row>
    <row r="632" spans="1:41" x14ac:dyDescent="0.3">
      <c r="A632" s="20">
        <v>1000184670</v>
      </c>
      <c r="B632" s="4" t="s">
        <v>147</v>
      </c>
      <c r="C632" s="21"/>
      <c r="D632" s="3"/>
      <c r="E632" s="20">
        <v>1000184760</v>
      </c>
      <c r="F632" s="4" t="s">
        <v>60</v>
      </c>
      <c r="G632" s="21">
        <v>1000189778</v>
      </c>
      <c r="H632" s="3" t="s">
        <v>84</v>
      </c>
      <c r="I632" s="21">
        <v>1000189270</v>
      </c>
      <c r="J632" s="3" t="s">
        <v>34</v>
      </c>
      <c r="K632" s="20" t="s">
        <v>16</v>
      </c>
      <c r="L632" s="39">
        <v>0</v>
      </c>
      <c r="M632" s="39">
        <v>0</v>
      </c>
      <c r="N632" s="39">
        <v>0</v>
      </c>
      <c r="O632" s="39">
        <v>0</v>
      </c>
      <c r="P632" s="39">
        <v>0</v>
      </c>
      <c r="Q632" s="39">
        <v>0</v>
      </c>
      <c r="R632" s="39">
        <v>0</v>
      </c>
      <c r="S632" s="39">
        <v>0</v>
      </c>
      <c r="T632" s="39">
        <v>0</v>
      </c>
      <c r="U632" s="39">
        <v>0</v>
      </c>
      <c r="V632" s="39">
        <v>0</v>
      </c>
      <c r="W632" s="39">
        <v>0</v>
      </c>
      <c r="X632" s="39">
        <v>0</v>
      </c>
      <c r="Y632" s="39">
        <v>0</v>
      </c>
      <c r="Z632" s="39">
        <v>0</v>
      </c>
      <c r="AA632" s="39">
        <v>0</v>
      </c>
      <c r="AB632" s="39">
        <v>0</v>
      </c>
      <c r="AC632" s="39">
        <v>30.46</v>
      </c>
      <c r="AD632" s="39">
        <v>102</v>
      </c>
      <c r="AE632" s="39">
        <v>0</v>
      </c>
      <c r="AF632" s="39">
        <v>0</v>
      </c>
      <c r="AG632" s="39">
        <v>0</v>
      </c>
      <c r="AH632" s="39"/>
      <c r="AI632" s="39"/>
      <c r="AJ632" s="40"/>
      <c r="AK632" s="39">
        <f t="shared" si="50"/>
        <v>0</v>
      </c>
      <c r="AL632" s="39">
        <f t="shared" si="48"/>
        <v>11.038333333333334</v>
      </c>
      <c r="AM632" s="39">
        <f t="shared" si="49"/>
        <v>22.076666666666668</v>
      </c>
      <c r="AN632" s="39">
        <f t="shared" si="51"/>
        <v>13.246</v>
      </c>
      <c r="AO632" s="39">
        <f t="shared" si="52"/>
        <v>132.46</v>
      </c>
    </row>
    <row r="633" spans="1:41" x14ac:dyDescent="0.3">
      <c r="A633" s="20">
        <v>1000184670</v>
      </c>
      <c r="B633" s="4" t="s">
        <v>147</v>
      </c>
      <c r="C633" s="21"/>
      <c r="D633" s="3"/>
      <c r="E633" s="20">
        <v>1000184760</v>
      </c>
      <c r="F633" s="4" t="s">
        <v>60</v>
      </c>
      <c r="G633" s="21">
        <v>1000189778</v>
      </c>
      <c r="H633" s="3" t="s">
        <v>84</v>
      </c>
      <c r="I633" s="21">
        <v>1000189270</v>
      </c>
      <c r="J633" s="3" t="s">
        <v>34</v>
      </c>
      <c r="K633" s="20" t="s">
        <v>15</v>
      </c>
      <c r="L633" s="39">
        <v>0</v>
      </c>
      <c r="M633" s="39">
        <v>0</v>
      </c>
      <c r="N633" s="39">
        <v>0</v>
      </c>
      <c r="O633" s="39">
        <v>0</v>
      </c>
      <c r="P633" s="39">
        <v>0</v>
      </c>
      <c r="Q633" s="39">
        <v>0</v>
      </c>
      <c r="R633" s="39">
        <v>0</v>
      </c>
      <c r="S633" s="39">
        <v>0</v>
      </c>
      <c r="T633" s="39">
        <v>0</v>
      </c>
      <c r="U633" s="39">
        <v>0</v>
      </c>
      <c r="V633" s="39">
        <v>0</v>
      </c>
      <c r="W633" s="39">
        <v>0</v>
      </c>
      <c r="X633" s="39">
        <v>0</v>
      </c>
      <c r="Y633" s="39">
        <v>0</v>
      </c>
      <c r="Z633" s="39">
        <v>0</v>
      </c>
      <c r="AA633" s="39">
        <v>0</v>
      </c>
      <c r="AB633" s="39">
        <v>213.74</v>
      </c>
      <c r="AC633" s="39">
        <v>0</v>
      </c>
      <c r="AD633" s="39">
        <v>0</v>
      </c>
      <c r="AE633" s="39">
        <v>144.44999999999999</v>
      </c>
      <c r="AF633" s="39">
        <v>160.5</v>
      </c>
      <c r="AG633" s="39">
        <v>0</v>
      </c>
      <c r="AH633" s="39"/>
      <c r="AI633" s="39"/>
      <c r="AJ633" s="40"/>
      <c r="AK633" s="39">
        <f t="shared" si="50"/>
        <v>0</v>
      </c>
      <c r="AL633" s="39">
        <f t="shared" si="48"/>
        <v>43.224166666666669</v>
      </c>
      <c r="AM633" s="39">
        <f t="shared" si="49"/>
        <v>86.448333333333338</v>
      </c>
      <c r="AN633" s="39">
        <f t="shared" si="51"/>
        <v>51.869000000000007</v>
      </c>
      <c r="AO633" s="39">
        <f t="shared" si="52"/>
        <v>518.69000000000005</v>
      </c>
    </row>
    <row r="634" spans="1:41" x14ac:dyDescent="0.3">
      <c r="A634" s="20">
        <v>1000184670</v>
      </c>
      <c r="B634" s="4" t="s">
        <v>147</v>
      </c>
      <c r="C634" s="21"/>
      <c r="D634" s="3"/>
      <c r="E634" s="20">
        <v>1000184760</v>
      </c>
      <c r="F634" s="4" t="s">
        <v>60</v>
      </c>
      <c r="G634" s="21">
        <v>1000189778</v>
      </c>
      <c r="H634" s="3" t="s">
        <v>84</v>
      </c>
      <c r="I634" s="21">
        <v>1000189270</v>
      </c>
      <c r="J634" s="3" t="s">
        <v>34</v>
      </c>
      <c r="K634" s="20" t="s">
        <v>33</v>
      </c>
      <c r="L634" s="39">
        <v>0</v>
      </c>
      <c r="M634" s="39">
        <v>0</v>
      </c>
      <c r="N634" s="39">
        <v>0</v>
      </c>
      <c r="O634" s="39">
        <v>0</v>
      </c>
      <c r="P634" s="39">
        <v>0</v>
      </c>
      <c r="Q634" s="39">
        <v>0</v>
      </c>
      <c r="R634" s="39">
        <v>0</v>
      </c>
      <c r="S634" s="39">
        <v>0</v>
      </c>
      <c r="T634" s="39">
        <v>0</v>
      </c>
      <c r="U634" s="39">
        <v>0</v>
      </c>
      <c r="V634" s="39">
        <v>0</v>
      </c>
      <c r="W634" s="39">
        <v>0</v>
      </c>
      <c r="X634" s="39">
        <v>0</v>
      </c>
      <c r="Y634" s="39">
        <v>0</v>
      </c>
      <c r="Z634" s="39">
        <v>0</v>
      </c>
      <c r="AA634" s="39">
        <v>0</v>
      </c>
      <c r="AB634" s="39">
        <v>0</v>
      </c>
      <c r="AC634" s="39">
        <v>0</v>
      </c>
      <c r="AD634" s="39">
        <v>0</v>
      </c>
      <c r="AE634" s="39">
        <v>0</v>
      </c>
      <c r="AF634" s="39">
        <v>0</v>
      </c>
      <c r="AG634" s="39">
        <v>0</v>
      </c>
      <c r="AH634" s="39"/>
      <c r="AI634" s="39"/>
      <c r="AJ634" s="40"/>
      <c r="AK634" s="39">
        <f t="shared" si="50"/>
        <v>0</v>
      </c>
      <c r="AL634" s="39">
        <f t="shared" si="48"/>
        <v>0</v>
      </c>
      <c r="AM634" s="39">
        <f t="shared" si="49"/>
        <v>0</v>
      </c>
      <c r="AN634" s="39">
        <f t="shared" si="51"/>
        <v>0</v>
      </c>
      <c r="AO634" s="39">
        <f t="shared" si="52"/>
        <v>0</v>
      </c>
    </row>
    <row r="635" spans="1:41" x14ac:dyDescent="0.3">
      <c r="A635" s="20">
        <v>1000184670</v>
      </c>
      <c r="B635" s="4" t="s">
        <v>147</v>
      </c>
      <c r="C635" s="21"/>
      <c r="D635" s="3"/>
      <c r="E635" s="20">
        <v>1000184760</v>
      </c>
      <c r="F635" s="4" t="s">
        <v>60</v>
      </c>
      <c r="G635" s="21">
        <v>1000189778</v>
      </c>
      <c r="H635" s="3" t="s">
        <v>84</v>
      </c>
      <c r="I635" s="21">
        <v>1000189270</v>
      </c>
      <c r="J635" s="3" t="s">
        <v>34</v>
      </c>
      <c r="K635" s="20" t="s">
        <v>19</v>
      </c>
      <c r="L635" s="39">
        <v>0</v>
      </c>
      <c r="M635" s="39">
        <v>0</v>
      </c>
      <c r="N635" s="39">
        <v>0</v>
      </c>
      <c r="O635" s="39">
        <v>0</v>
      </c>
      <c r="P635" s="39">
        <v>0</v>
      </c>
      <c r="Q635" s="39">
        <v>0</v>
      </c>
      <c r="R635" s="39">
        <v>0</v>
      </c>
      <c r="S635" s="39">
        <v>0</v>
      </c>
      <c r="T635" s="39">
        <v>0</v>
      </c>
      <c r="U635" s="39">
        <v>0</v>
      </c>
      <c r="V635" s="39">
        <v>0</v>
      </c>
      <c r="W635" s="39">
        <v>0</v>
      </c>
      <c r="X635" s="39">
        <v>0</v>
      </c>
      <c r="Y635" s="39">
        <v>0</v>
      </c>
      <c r="Z635" s="39">
        <v>0</v>
      </c>
      <c r="AA635" s="39">
        <v>0</v>
      </c>
      <c r="AB635" s="39">
        <v>205.2</v>
      </c>
      <c r="AC635" s="39">
        <v>0</v>
      </c>
      <c r="AD635" s="39">
        <v>40.5</v>
      </c>
      <c r="AE635" s="39">
        <v>0</v>
      </c>
      <c r="AF635" s="39">
        <v>0</v>
      </c>
      <c r="AG635" s="39">
        <v>0</v>
      </c>
      <c r="AH635" s="39"/>
      <c r="AI635" s="39"/>
      <c r="AJ635" s="40"/>
      <c r="AK635" s="39">
        <f t="shared" si="50"/>
        <v>0</v>
      </c>
      <c r="AL635" s="39">
        <f t="shared" si="48"/>
        <v>20.474999999999998</v>
      </c>
      <c r="AM635" s="39">
        <f t="shared" si="49"/>
        <v>40.949999999999996</v>
      </c>
      <c r="AN635" s="39">
        <f t="shared" si="51"/>
        <v>24.57</v>
      </c>
      <c r="AO635" s="39">
        <f t="shared" si="52"/>
        <v>245.7</v>
      </c>
    </row>
    <row r="636" spans="1:41" x14ac:dyDescent="0.3">
      <c r="A636" s="20">
        <v>1000184670</v>
      </c>
      <c r="B636" s="4" t="s">
        <v>147</v>
      </c>
      <c r="C636" s="21"/>
      <c r="D636" s="3"/>
      <c r="E636" s="20">
        <v>1000184760</v>
      </c>
      <c r="F636" s="4" t="s">
        <v>60</v>
      </c>
      <c r="G636" s="21">
        <v>1000189778</v>
      </c>
      <c r="H636" s="3" t="s">
        <v>84</v>
      </c>
      <c r="I636" s="21">
        <v>1000189270</v>
      </c>
      <c r="J636" s="3" t="s">
        <v>34</v>
      </c>
      <c r="K636" s="20" t="s">
        <v>17</v>
      </c>
      <c r="L636" s="39">
        <v>0</v>
      </c>
      <c r="M636" s="39">
        <v>0</v>
      </c>
      <c r="N636" s="39">
        <v>369.6</v>
      </c>
      <c r="O636" s="39">
        <v>0</v>
      </c>
      <c r="P636" s="39">
        <v>0</v>
      </c>
      <c r="Q636" s="39">
        <v>0</v>
      </c>
      <c r="R636" s="39">
        <v>0</v>
      </c>
      <c r="S636" s="39">
        <v>0</v>
      </c>
      <c r="T636" s="39">
        <v>0</v>
      </c>
      <c r="U636" s="39">
        <v>0</v>
      </c>
      <c r="V636" s="39">
        <v>0</v>
      </c>
      <c r="W636" s="39">
        <v>0</v>
      </c>
      <c r="X636" s="39">
        <v>0</v>
      </c>
      <c r="Y636" s="39">
        <v>0</v>
      </c>
      <c r="Z636" s="39">
        <v>0</v>
      </c>
      <c r="AA636" s="39">
        <v>0</v>
      </c>
      <c r="AB636" s="39">
        <v>192</v>
      </c>
      <c r="AC636" s="39">
        <v>0</v>
      </c>
      <c r="AD636" s="39">
        <v>0</v>
      </c>
      <c r="AE636" s="39">
        <v>0</v>
      </c>
      <c r="AF636" s="39">
        <v>0</v>
      </c>
      <c r="AG636" s="39">
        <v>0</v>
      </c>
      <c r="AH636" s="39"/>
      <c r="AI636" s="39"/>
      <c r="AJ636" s="40"/>
      <c r="AK636" s="39">
        <f t="shared" si="50"/>
        <v>30.8</v>
      </c>
      <c r="AL636" s="39">
        <f t="shared" si="48"/>
        <v>16</v>
      </c>
      <c r="AM636" s="39">
        <f t="shared" si="49"/>
        <v>32</v>
      </c>
      <c r="AN636" s="39">
        <f t="shared" si="51"/>
        <v>19.2</v>
      </c>
      <c r="AO636" s="39">
        <f t="shared" si="52"/>
        <v>192</v>
      </c>
    </row>
    <row r="637" spans="1:41" x14ac:dyDescent="0.3">
      <c r="A637" s="20">
        <v>1000184670</v>
      </c>
      <c r="B637" s="4" t="s">
        <v>147</v>
      </c>
      <c r="C637" s="21"/>
      <c r="D637" s="3"/>
      <c r="E637" s="20">
        <v>1000184760</v>
      </c>
      <c r="F637" s="4" t="s">
        <v>60</v>
      </c>
      <c r="G637" s="21">
        <v>1000189778</v>
      </c>
      <c r="H637" s="3" t="s">
        <v>84</v>
      </c>
      <c r="I637" s="21">
        <v>1000189270</v>
      </c>
      <c r="J637" s="3" t="s">
        <v>34</v>
      </c>
      <c r="K637" s="20" t="s">
        <v>24</v>
      </c>
      <c r="L637" s="39">
        <v>0</v>
      </c>
      <c r="M637" s="39">
        <v>0</v>
      </c>
      <c r="N637" s="39">
        <v>0</v>
      </c>
      <c r="O637" s="39">
        <v>0</v>
      </c>
      <c r="P637" s="39">
        <v>0</v>
      </c>
      <c r="Q637" s="39">
        <v>0</v>
      </c>
      <c r="R637" s="39">
        <v>0</v>
      </c>
      <c r="S637" s="39">
        <v>0</v>
      </c>
      <c r="T637" s="39">
        <v>0</v>
      </c>
      <c r="U637" s="39">
        <v>0</v>
      </c>
      <c r="V637" s="39">
        <v>0</v>
      </c>
      <c r="W637" s="39">
        <v>0</v>
      </c>
      <c r="X637" s="39">
        <v>0</v>
      </c>
      <c r="Y637" s="39">
        <v>0</v>
      </c>
      <c r="Z637" s="39">
        <v>0</v>
      </c>
      <c r="AA637" s="39">
        <v>0</v>
      </c>
      <c r="AB637" s="39">
        <v>0</v>
      </c>
      <c r="AC637" s="39">
        <v>0</v>
      </c>
      <c r="AD637" s="39">
        <v>0</v>
      </c>
      <c r="AE637" s="39">
        <v>0</v>
      </c>
      <c r="AF637" s="39">
        <v>0</v>
      </c>
      <c r="AG637" s="39">
        <v>0</v>
      </c>
      <c r="AH637" s="39"/>
      <c r="AI637" s="39"/>
      <c r="AJ637" s="40"/>
      <c r="AK637" s="39">
        <f t="shared" si="50"/>
        <v>0</v>
      </c>
      <c r="AL637" s="39">
        <f t="shared" si="48"/>
        <v>0</v>
      </c>
      <c r="AM637" s="39">
        <f t="shared" si="49"/>
        <v>0</v>
      </c>
      <c r="AN637" s="39">
        <f t="shared" si="51"/>
        <v>0</v>
      </c>
      <c r="AO637" s="39">
        <f t="shared" si="52"/>
        <v>0</v>
      </c>
    </row>
    <row r="638" spans="1:41" x14ac:dyDescent="0.3">
      <c r="A638" s="20">
        <v>1000184670</v>
      </c>
      <c r="B638" s="4" t="s">
        <v>147</v>
      </c>
      <c r="C638" s="21"/>
      <c r="D638" s="3"/>
      <c r="E638" s="20">
        <v>1000184760</v>
      </c>
      <c r="F638" s="4" t="s">
        <v>60</v>
      </c>
      <c r="G638" s="21">
        <v>1000189778</v>
      </c>
      <c r="H638" s="3" t="s">
        <v>84</v>
      </c>
      <c r="I638" s="21">
        <v>1000189270</v>
      </c>
      <c r="J638" s="3" t="s">
        <v>34</v>
      </c>
      <c r="K638" s="20" t="s">
        <v>18</v>
      </c>
      <c r="L638" s="39">
        <v>0</v>
      </c>
      <c r="M638" s="39">
        <v>0</v>
      </c>
      <c r="N638" s="39">
        <v>184.8</v>
      </c>
      <c r="O638" s="39">
        <v>0</v>
      </c>
      <c r="P638" s="39">
        <v>0</v>
      </c>
      <c r="Q638" s="39">
        <v>0</v>
      </c>
      <c r="R638" s="39">
        <v>0</v>
      </c>
      <c r="S638" s="39">
        <v>0</v>
      </c>
      <c r="T638" s="39">
        <v>0</v>
      </c>
      <c r="U638" s="39">
        <v>0</v>
      </c>
      <c r="V638" s="39">
        <v>0</v>
      </c>
      <c r="W638" s="39">
        <v>0</v>
      </c>
      <c r="X638" s="39">
        <v>0</v>
      </c>
      <c r="Y638" s="39">
        <v>0</v>
      </c>
      <c r="Z638" s="39">
        <v>0</v>
      </c>
      <c r="AA638" s="39">
        <v>0</v>
      </c>
      <c r="AB638" s="39">
        <v>0</v>
      </c>
      <c r="AC638" s="39">
        <v>0</v>
      </c>
      <c r="AD638" s="39">
        <v>0</v>
      </c>
      <c r="AE638" s="39">
        <v>0</v>
      </c>
      <c r="AF638" s="39">
        <v>0</v>
      </c>
      <c r="AG638" s="39">
        <v>0</v>
      </c>
      <c r="AH638" s="39"/>
      <c r="AI638" s="39"/>
      <c r="AJ638" s="40"/>
      <c r="AK638" s="39">
        <f t="shared" si="50"/>
        <v>15.4</v>
      </c>
      <c r="AL638" s="39">
        <f t="shared" si="48"/>
        <v>0</v>
      </c>
      <c r="AM638" s="39">
        <f t="shared" si="49"/>
        <v>0</v>
      </c>
      <c r="AN638" s="39">
        <f t="shared" si="51"/>
        <v>0</v>
      </c>
      <c r="AO638" s="39">
        <f t="shared" si="52"/>
        <v>0</v>
      </c>
    </row>
    <row r="639" spans="1:41" x14ac:dyDescent="0.3">
      <c r="A639" s="20">
        <v>1000184670</v>
      </c>
      <c r="B639" s="4" t="s">
        <v>147</v>
      </c>
      <c r="C639" s="21"/>
      <c r="D639" s="3"/>
      <c r="E639" s="20">
        <v>1000184760</v>
      </c>
      <c r="F639" s="4" t="s">
        <v>60</v>
      </c>
      <c r="G639" s="21">
        <v>1000189778</v>
      </c>
      <c r="H639" s="3" t="s">
        <v>84</v>
      </c>
      <c r="I639" s="21">
        <v>1000189270</v>
      </c>
      <c r="J639" s="3" t="s">
        <v>34</v>
      </c>
      <c r="K639" s="20" t="s">
        <v>29</v>
      </c>
      <c r="L639" s="39">
        <v>0</v>
      </c>
      <c r="M639" s="39">
        <v>0</v>
      </c>
      <c r="N639" s="39">
        <v>0</v>
      </c>
      <c r="O639" s="39">
        <v>0</v>
      </c>
      <c r="P639" s="39">
        <v>0</v>
      </c>
      <c r="Q639" s="39">
        <v>0</v>
      </c>
      <c r="R639" s="39">
        <v>0</v>
      </c>
      <c r="S639" s="39">
        <v>0</v>
      </c>
      <c r="T639" s="39">
        <v>0</v>
      </c>
      <c r="U639" s="39">
        <v>0</v>
      </c>
      <c r="V639" s="39">
        <v>0</v>
      </c>
      <c r="W639" s="39">
        <v>0</v>
      </c>
      <c r="X639" s="39">
        <v>0</v>
      </c>
      <c r="Y639" s="39">
        <v>0</v>
      </c>
      <c r="Z639" s="39">
        <v>0</v>
      </c>
      <c r="AA639" s="39">
        <v>0</v>
      </c>
      <c r="AB639" s="39">
        <v>0</v>
      </c>
      <c r="AC639" s="39">
        <v>1140</v>
      </c>
      <c r="AD639" s="39">
        <v>2884.2</v>
      </c>
      <c r="AE639" s="39">
        <v>2796.3</v>
      </c>
      <c r="AF639" s="39">
        <v>1303</v>
      </c>
      <c r="AG639" s="39">
        <v>0</v>
      </c>
      <c r="AH639" s="39"/>
      <c r="AI639" s="39"/>
      <c r="AJ639" s="40"/>
      <c r="AK639" s="39">
        <f t="shared" si="50"/>
        <v>0</v>
      </c>
      <c r="AL639" s="39">
        <f t="shared" si="48"/>
        <v>676.95833333333337</v>
      </c>
      <c r="AM639" s="39">
        <f t="shared" si="49"/>
        <v>1353.9166666666667</v>
      </c>
      <c r="AN639" s="39">
        <f t="shared" si="51"/>
        <v>812.35</v>
      </c>
      <c r="AO639" s="39">
        <f t="shared" si="52"/>
        <v>8123.5</v>
      </c>
    </row>
    <row r="640" spans="1:41" x14ac:dyDescent="0.3">
      <c r="A640" s="20">
        <v>1000184670</v>
      </c>
      <c r="B640" s="4" t="s">
        <v>147</v>
      </c>
      <c r="C640" s="21"/>
      <c r="D640" s="3"/>
      <c r="E640" s="20">
        <v>1000184760</v>
      </c>
      <c r="F640" s="4" t="s">
        <v>60</v>
      </c>
      <c r="G640" s="21">
        <v>1000189778</v>
      </c>
      <c r="H640" s="3" t="s">
        <v>84</v>
      </c>
      <c r="I640" s="21">
        <v>1000189270</v>
      </c>
      <c r="J640" s="3" t="s">
        <v>34</v>
      </c>
      <c r="K640" s="20" t="s">
        <v>21</v>
      </c>
      <c r="L640" s="39">
        <v>0</v>
      </c>
      <c r="M640" s="39">
        <v>912</v>
      </c>
      <c r="N640" s="39">
        <v>0</v>
      </c>
      <c r="O640" s="39">
        <v>0</v>
      </c>
      <c r="P640" s="39">
        <v>0</v>
      </c>
      <c r="Q640" s="39">
        <v>0</v>
      </c>
      <c r="R640" s="39">
        <v>0</v>
      </c>
      <c r="S640" s="39">
        <v>0</v>
      </c>
      <c r="T640" s="39">
        <v>0</v>
      </c>
      <c r="U640" s="39">
        <v>0</v>
      </c>
      <c r="V640" s="39">
        <v>0</v>
      </c>
      <c r="W640" s="39">
        <v>0</v>
      </c>
      <c r="X640" s="39">
        <v>0</v>
      </c>
      <c r="Y640" s="39">
        <v>0</v>
      </c>
      <c r="Z640" s="39">
        <v>0</v>
      </c>
      <c r="AA640" s="39">
        <v>0</v>
      </c>
      <c r="AB640" s="39">
        <v>0</v>
      </c>
      <c r="AC640" s="39">
        <v>49.5</v>
      </c>
      <c r="AD640" s="39">
        <v>0</v>
      </c>
      <c r="AE640" s="39">
        <v>41.25</v>
      </c>
      <c r="AF640" s="39">
        <v>0</v>
      </c>
      <c r="AG640" s="39">
        <v>0</v>
      </c>
      <c r="AH640" s="39"/>
      <c r="AI640" s="39"/>
      <c r="AJ640" s="40"/>
      <c r="AK640" s="39">
        <f t="shared" si="50"/>
        <v>76</v>
      </c>
      <c r="AL640" s="39">
        <f t="shared" si="48"/>
        <v>7.5625</v>
      </c>
      <c r="AM640" s="39">
        <f t="shared" si="49"/>
        <v>15.125</v>
      </c>
      <c r="AN640" s="39">
        <f t="shared" si="51"/>
        <v>9.0749999999999993</v>
      </c>
      <c r="AO640" s="39">
        <f t="shared" si="52"/>
        <v>90.75</v>
      </c>
    </row>
    <row r="641" spans="1:41" x14ac:dyDescent="0.3">
      <c r="A641" s="20">
        <v>1000184670</v>
      </c>
      <c r="B641" s="4" t="s">
        <v>147</v>
      </c>
      <c r="C641" s="21"/>
      <c r="D641" s="3"/>
      <c r="E641" s="20">
        <v>1000184760</v>
      </c>
      <c r="F641" s="4" t="s">
        <v>60</v>
      </c>
      <c r="G641" s="21">
        <v>1000189778</v>
      </c>
      <c r="H641" s="3" t="s">
        <v>84</v>
      </c>
      <c r="I641" s="21">
        <v>1000189270</v>
      </c>
      <c r="J641" s="3" t="s">
        <v>34</v>
      </c>
      <c r="K641" s="20" t="s">
        <v>20</v>
      </c>
      <c r="L641" s="39">
        <v>0</v>
      </c>
      <c r="M641" s="39">
        <v>0</v>
      </c>
      <c r="N641" s="39">
        <v>0</v>
      </c>
      <c r="O641" s="39">
        <v>0</v>
      </c>
      <c r="P641" s="39">
        <v>0</v>
      </c>
      <c r="Q641" s="39">
        <v>0</v>
      </c>
      <c r="R641" s="39">
        <v>0</v>
      </c>
      <c r="S641" s="39">
        <v>0</v>
      </c>
      <c r="T641" s="39">
        <v>0</v>
      </c>
      <c r="U641" s="39">
        <v>0</v>
      </c>
      <c r="V641" s="39">
        <v>0</v>
      </c>
      <c r="W641" s="39">
        <v>0</v>
      </c>
      <c r="X641" s="39">
        <v>0</v>
      </c>
      <c r="Y641" s="39">
        <v>0</v>
      </c>
      <c r="Z641" s="39">
        <v>0</v>
      </c>
      <c r="AA641" s="39">
        <v>0</v>
      </c>
      <c r="AB641" s="39">
        <v>201.96</v>
      </c>
      <c r="AC641" s="39">
        <v>25.25</v>
      </c>
      <c r="AD641" s="39">
        <v>81.599999999999994</v>
      </c>
      <c r="AE641" s="39">
        <v>265.95</v>
      </c>
      <c r="AF641" s="39">
        <v>33.68</v>
      </c>
      <c r="AG641" s="39">
        <v>0</v>
      </c>
      <c r="AH641" s="39"/>
      <c r="AI641" s="39"/>
      <c r="AJ641" s="40"/>
      <c r="AK641" s="39">
        <f t="shared" si="50"/>
        <v>0</v>
      </c>
      <c r="AL641" s="39">
        <f t="shared" si="48"/>
        <v>50.703333333333326</v>
      </c>
      <c r="AM641" s="39">
        <f t="shared" si="49"/>
        <v>101.40666666666665</v>
      </c>
      <c r="AN641" s="39">
        <f t="shared" si="51"/>
        <v>60.843999999999994</v>
      </c>
      <c r="AO641" s="39">
        <f t="shared" si="52"/>
        <v>608.43999999999994</v>
      </c>
    </row>
    <row r="642" spans="1:41" x14ac:dyDescent="0.3">
      <c r="A642" s="20">
        <v>1000184670</v>
      </c>
      <c r="B642" s="4" t="s">
        <v>147</v>
      </c>
      <c r="C642" s="21"/>
      <c r="D642" s="3"/>
      <c r="E642" s="20">
        <v>1000184760</v>
      </c>
      <c r="F642" s="4" t="s">
        <v>60</v>
      </c>
      <c r="G642" s="21">
        <v>1000189778</v>
      </c>
      <c r="H642" s="3" t="s">
        <v>84</v>
      </c>
      <c r="I642" s="21">
        <v>1000189270</v>
      </c>
      <c r="J642" s="3" t="s">
        <v>34</v>
      </c>
      <c r="K642" s="20" t="s">
        <v>22</v>
      </c>
      <c r="L642" s="39">
        <v>0</v>
      </c>
      <c r="M642" s="39">
        <v>0</v>
      </c>
      <c r="N642" s="39">
        <v>323.39999999999998</v>
      </c>
      <c r="O642" s="39">
        <v>0</v>
      </c>
      <c r="P642" s="39">
        <v>0</v>
      </c>
      <c r="Q642" s="39">
        <v>0</v>
      </c>
      <c r="R642" s="39">
        <v>0</v>
      </c>
      <c r="S642" s="39">
        <v>0</v>
      </c>
      <c r="T642" s="39">
        <v>0</v>
      </c>
      <c r="U642" s="39">
        <v>0</v>
      </c>
      <c r="V642" s="39">
        <v>0</v>
      </c>
      <c r="W642" s="39">
        <v>0</v>
      </c>
      <c r="X642" s="39">
        <v>0</v>
      </c>
      <c r="Y642" s="39">
        <v>0</v>
      </c>
      <c r="Z642" s="39">
        <v>0</v>
      </c>
      <c r="AA642" s="39">
        <v>0</v>
      </c>
      <c r="AB642" s="39">
        <v>0</v>
      </c>
      <c r="AC642" s="39">
        <v>0</v>
      </c>
      <c r="AD642" s="39">
        <v>43.83</v>
      </c>
      <c r="AE642" s="39">
        <v>72.959999999999994</v>
      </c>
      <c r="AF642" s="39">
        <v>0</v>
      </c>
      <c r="AG642" s="39">
        <v>0</v>
      </c>
      <c r="AH642" s="39"/>
      <c r="AI642" s="39"/>
      <c r="AJ642" s="40"/>
      <c r="AK642" s="39">
        <f t="shared" si="50"/>
        <v>26.95</v>
      </c>
      <c r="AL642" s="39">
        <f t="shared" si="48"/>
        <v>9.7324999999999999</v>
      </c>
      <c r="AM642" s="39">
        <f t="shared" si="49"/>
        <v>19.465</v>
      </c>
      <c r="AN642" s="39">
        <f t="shared" si="51"/>
        <v>11.678999999999998</v>
      </c>
      <c r="AO642" s="39">
        <f t="shared" si="52"/>
        <v>116.78999999999999</v>
      </c>
    </row>
    <row r="643" spans="1:41" x14ac:dyDescent="0.3">
      <c r="A643" s="20">
        <v>1000184670</v>
      </c>
      <c r="B643" s="4" t="s">
        <v>147</v>
      </c>
      <c r="C643" s="21"/>
      <c r="D643" s="3"/>
      <c r="E643" s="20">
        <v>1000184760</v>
      </c>
      <c r="F643" s="4" t="s">
        <v>60</v>
      </c>
      <c r="G643" s="21">
        <v>1000189778</v>
      </c>
      <c r="H643" s="3" t="s">
        <v>84</v>
      </c>
      <c r="I643" s="21">
        <v>1000189270</v>
      </c>
      <c r="J643" s="3" t="s">
        <v>34</v>
      </c>
      <c r="K643" s="20" t="s">
        <v>23</v>
      </c>
      <c r="L643" s="39">
        <v>0</v>
      </c>
      <c r="M643" s="39">
        <v>0</v>
      </c>
      <c r="N643" s="39">
        <v>90.06</v>
      </c>
      <c r="O643" s="39">
        <v>0</v>
      </c>
      <c r="P643" s="39">
        <v>0</v>
      </c>
      <c r="Q643" s="39">
        <v>0</v>
      </c>
      <c r="R643" s="39">
        <v>0</v>
      </c>
      <c r="S643" s="39">
        <v>0</v>
      </c>
      <c r="T643" s="39">
        <v>0</v>
      </c>
      <c r="U643" s="39">
        <v>0</v>
      </c>
      <c r="V643" s="39">
        <v>0</v>
      </c>
      <c r="W643" s="39">
        <v>0</v>
      </c>
      <c r="X643" s="39">
        <v>0</v>
      </c>
      <c r="Y643" s="39">
        <v>0</v>
      </c>
      <c r="Z643" s="39">
        <v>0</v>
      </c>
      <c r="AA643" s="39">
        <v>0</v>
      </c>
      <c r="AB643" s="39">
        <v>90.05</v>
      </c>
      <c r="AC643" s="39">
        <v>0</v>
      </c>
      <c r="AD643" s="39">
        <v>0</v>
      </c>
      <c r="AE643" s="39">
        <v>0</v>
      </c>
      <c r="AF643" s="39">
        <v>0</v>
      </c>
      <c r="AG643" s="39">
        <v>0</v>
      </c>
      <c r="AH643" s="39"/>
      <c r="AI643" s="39"/>
      <c r="AJ643" s="40"/>
      <c r="AK643" s="39">
        <f t="shared" si="50"/>
        <v>7.5049999999999999</v>
      </c>
      <c r="AL643" s="39">
        <f t="shared" ref="AL643:AL706" si="53">AVERAGE(V643:AG643)</f>
        <v>7.5041666666666664</v>
      </c>
      <c r="AM643" s="39">
        <f t="shared" ref="AM643:AM706" si="54">AVERAGE(AB643:AG643)</f>
        <v>15.008333333333333</v>
      </c>
      <c r="AN643" s="39">
        <f t="shared" si="51"/>
        <v>9.004999999999999</v>
      </c>
      <c r="AO643" s="39">
        <f t="shared" si="52"/>
        <v>90.05</v>
      </c>
    </row>
    <row r="644" spans="1:41" x14ac:dyDescent="0.3">
      <c r="A644" s="20">
        <v>1000184670</v>
      </c>
      <c r="B644" s="4" t="s">
        <v>147</v>
      </c>
      <c r="C644" s="21"/>
      <c r="D644" s="3"/>
      <c r="E644" s="20">
        <v>1000184760</v>
      </c>
      <c r="F644" s="4" t="s">
        <v>60</v>
      </c>
      <c r="G644" s="21">
        <v>1000189778</v>
      </c>
      <c r="H644" s="3" t="s">
        <v>84</v>
      </c>
      <c r="I644" s="21">
        <v>1000189270</v>
      </c>
      <c r="J644" s="3" t="s">
        <v>34</v>
      </c>
      <c r="K644" s="20" t="s">
        <v>28</v>
      </c>
      <c r="L644" s="39">
        <v>0</v>
      </c>
      <c r="M644" s="39">
        <v>0</v>
      </c>
      <c r="N644" s="39">
        <v>217.44</v>
      </c>
      <c r="O644" s="39">
        <v>0</v>
      </c>
      <c r="P644" s="39">
        <v>0</v>
      </c>
      <c r="Q644" s="39">
        <v>0</v>
      </c>
      <c r="R644" s="39">
        <v>0</v>
      </c>
      <c r="S644" s="39">
        <v>0</v>
      </c>
      <c r="T644" s="39">
        <v>0</v>
      </c>
      <c r="U644" s="39">
        <v>0</v>
      </c>
      <c r="V644" s="39">
        <v>0</v>
      </c>
      <c r="W644" s="39">
        <v>0</v>
      </c>
      <c r="X644" s="39">
        <v>0</v>
      </c>
      <c r="Y644" s="39">
        <v>0</v>
      </c>
      <c r="Z644" s="39">
        <v>0</v>
      </c>
      <c r="AA644" s="39">
        <v>0</v>
      </c>
      <c r="AB644" s="39">
        <v>0</v>
      </c>
      <c r="AC644" s="39">
        <v>0</v>
      </c>
      <c r="AD644" s="39">
        <v>0</v>
      </c>
      <c r="AE644" s="39">
        <v>0</v>
      </c>
      <c r="AF644" s="39">
        <v>0</v>
      </c>
      <c r="AG644" s="39">
        <v>0</v>
      </c>
      <c r="AH644" s="39"/>
      <c r="AI644" s="39"/>
      <c r="AJ644" s="40"/>
      <c r="AK644" s="39">
        <f t="shared" si="50"/>
        <v>18.12</v>
      </c>
      <c r="AL644" s="39">
        <f t="shared" si="53"/>
        <v>0</v>
      </c>
      <c r="AM644" s="39">
        <f t="shared" si="54"/>
        <v>0</v>
      </c>
      <c r="AN644" s="39">
        <f t="shared" si="51"/>
        <v>0</v>
      </c>
      <c r="AO644" s="39">
        <f t="shared" si="52"/>
        <v>0</v>
      </c>
    </row>
    <row r="645" spans="1:41" x14ac:dyDescent="0.3">
      <c r="A645" s="20">
        <v>1000184670</v>
      </c>
      <c r="B645" s="4" t="s">
        <v>147</v>
      </c>
      <c r="C645" s="21"/>
      <c r="D645" s="3"/>
      <c r="E645" s="20">
        <v>1000184760</v>
      </c>
      <c r="F645" s="4" t="s">
        <v>60</v>
      </c>
      <c r="G645" s="21">
        <v>1000189778</v>
      </c>
      <c r="H645" s="3" t="s">
        <v>84</v>
      </c>
      <c r="I645" s="21">
        <v>1000189270</v>
      </c>
      <c r="J645" s="3" t="s">
        <v>34</v>
      </c>
      <c r="K645" s="20" t="s">
        <v>26</v>
      </c>
      <c r="L645" s="39">
        <v>0</v>
      </c>
      <c r="M645" s="39">
        <v>0</v>
      </c>
      <c r="N645" s="39">
        <v>0</v>
      </c>
      <c r="O645" s="39">
        <v>0</v>
      </c>
      <c r="P645" s="39">
        <v>0</v>
      </c>
      <c r="Q645" s="39">
        <v>0</v>
      </c>
      <c r="R645" s="39">
        <v>0</v>
      </c>
      <c r="S645" s="39">
        <v>0</v>
      </c>
      <c r="T645" s="39">
        <v>0</v>
      </c>
      <c r="U645" s="39">
        <v>0</v>
      </c>
      <c r="V645" s="39">
        <v>0</v>
      </c>
      <c r="W645" s="39">
        <v>0</v>
      </c>
      <c r="X645" s="39">
        <v>0</v>
      </c>
      <c r="Y645" s="39">
        <v>0</v>
      </c>
      <c r="Z645" s="39">
        <v>0</v>
      </c>
      <c r="AA645" s="39">
        <v>0</v>
      </c>
      <c r="AB645" s="39">
        <v>0</v>
      </c>
      <c r="AC645" s="39">
        <v>104.71</v>
      </c>
      <c r="AD645" s="39">
        <v>0</v>
      </c>
      <c r="AE645" s="39">
        <v>0</v>
      </c>
      <c r="AF645" s="39">
        <v>0</v>
      </c>
      <c r="AG645" s="39">
        <v>0</v>
      </c>
      <c r="AH645" s="39"/>
      <c r="AI645" s="39"/>
      <c r="AJ645" s="40"/>
      <c r="AK645" s="39">
        <f t="shared" si="50"/>
        <v>0</v>
      </c>
      <c r="AL645" s="39">
        <f t="shared" si="53"/>
        <v>8.7258333333333322</v>
      </c>
      <c r="AM645" s="39">
        <f t="shared" si="54"/>
        <v>17.451666666666664</v>
      </c>
      <c r="AN645" s="39">
        <f t="shared" si="51"/>
        <v>10.471</v>
      </c>
      <c r="AO645" s="39">
        <f t="shared" si="52"/>
        <v>104.71</v>
      </c>
    </row>
    <row r="646" spans="1:41" x14ac:dyDescent="0.3">
      <c r="A646" s="20">
        <v>1000184670</v>
      </c>
      <c r="B646" s="4" t="s">
        <v>147</v>
      </c>
      <c r="C646" s="21"/>
      <c r="D646" s="3"/>
      <c r="E646" s="20">
        <v>1000184760</v>
      </c>
      <c r="F646" s="4" t="s">
        <v>60</v>
      </c>
      <c r="G646" s="21">
        <v>1000189778</v>
      </c>
      <c r="H646" s="3" t="s">
        <v>84</v>
      </c>
      <c r="I646" s="21">
        <v>1000189270</v>
      </c>
      <c r="J646" s="3" t="s">
        <v>34</v>
      </c>
      <c r="K646" s="20" t="s">
        <v>27</v>
      </c>
      <c r="L646" s="39">
        <v>0</v>
      </c>
      <c r="M646" s="39">
        <v>0</v>
      </c>
      <c r="N646" s="39">
        <v>0</v>
      </c>
      <c r="O646" s="39">
        <v>0</v>
      </c>
      <c r="P646" s="39">
        <v>0</v>
      </c>
      <c r="Q646" s="39">
        <v>0</v>
      </c>
      <c r="R646" s="39">
        <v>0</v>
      </c>
      <c r="S646" s="39">
        <v>0</v>
      </c>
      <c r="T646" s="39">
        <v>0</v>
      </c>
      <c r="U646" s="39">
        <v>0</v>
      </c>
      <c r="V646" s="39">
        <v>0</v>
      </c>
      <c r="W646" s="39">
        <v>0</v>
      </c>
      <c r="X646" s="39">
        <v>0</v>
      </c>
      <c r="Y646" s="39">
        <v>0</v>
      </c>
      <c r="Z646" s="39">
        <v>0</v>
      </c>
      <c r="AA646" s="39">
        <v>0</v>
      </c>
      <c r="AB646" s="39">
        <v>0</v>
      </c>
      <c r="AC646" s="39">
        <v>0</v>
      </c>
      <c r="AD646" s="39">
        <v>0</v>
      </c>
      <c r="AE646" s="39">
        <v>0</v>
      </c>
      <c r="AF646" s="39">
        <v>0</v>
      </c>
      <c r="AG646" s="39">
        <v>0</v>
      </c>
      <c r="AH646" s="39"/>
      <c r="AI646" s="39"/>
      <c r="AJ646" s="40"/>
      <c r="AK646" s="39">
        <f t="shared" si="50"/>
        <v>0</v>
      </c>
      <c r="AL646" s="39">
        <f t="shared" si="53"/>
        <v>0</v>
      </c>
      <c r="AM646" s="39">
        <f t="shared" si="54"/>
        <v>0</v>
      </c>
      <c r="AN646" s="39">
        <f t="shared" si="51"/>
        <v>0</v>
      </c>
      <c r="AO646" s="39">
        <f t="shared" si="52"/>
        <v>0</v>
      </c>
    </row>
    <row r="647" spans="1:41" x14ac:dyDescent="0.3">
      <c r="A647" s="20">
        <v>1000184670</v>
      </c>
      <c r="B647" s="4" t="s">
        <v>147</v>
      </c>
      <c r="C647" s="21"/>
      <c r="D647" s="3"/>
      <c r="E647" s="20">
        <v>1000184760</v>
      </c>
      <c r="F647" s="4" t="s">
        <v>60</v>
      </c>
      <c r="G647" s="21">
        <v>1000189778</v>
      </c>
      <c r="H647" s="3" t="s">
        <v>84</v>
      </c>
      <c r="I647" s="21">
        <v>1000189270</v>
      </c>
      <c r="J647" s="3" t="s">
        <v>34</v>
      </c>
      <c r="K647" s="20" t="s">
        <v>25</v>
      </c>
      <c r="L647" s="39">
        <v>0</v>
      </c>
      <c r="M647" s="39">
        <v>0</v>
      </c>
      <c r="N647" s="39">
        <v>316.8</v>
      </c>
      <c r="O647" s="39">
        <v>0</v>
      </c>
      <c r="P647" s="39">
        <v>0</v>
      </c>
      <c r="Q647" s="39">
        <v>0</v>
      </c>
      <c r="R647" s="39">
        <v>0</v>
      </c>
      <c r="S647" s="39">
        <v>0</v>
      </c>
      <c r="T647" s="39">
        <v>0</v>
      </c>
      <c r="U647" s="39">
        <v>0</v>
      </c>
      <c r="V647" s="39">
        <v>0</v>
      </c>
      <c r="W647" s="39">
        <v>0</v>
      </c>
      <c r="X647" s="39">
        <v>0</v>
      </c>
      <c r="Y647" s="39">
        <v>0</v>
      </c>
      <c r="Z647" s="39">
        <v>0</v>
      </c>
      <c r="AA647" s="39">
        <v>0</v>
      </c>
      <c r="AB647" s="39">
        <v>0</v>
      </c>
      <c r="AC647" s="39">
        <v>0</v>
      </c>
      <c r="AD647" s="39">
        <v>0</v>
      </c>
      <c r="AE647" s="39">
        <v>0</v>
      </c>
      <c r="AF647" s="39">
        <v>0</v>
      </c>
      <c r="AG647" s="39">
        <v>0</v>
      </c>
      <c r="AH647" s="39"/>
      <c r="AI647" s="39"/>
      <c r="AJ647" s="40"/>
      <c r="AK647" s="39">
        <f t="shared" si="50"/>
        <v>26.400000000000002</v>
      </c>
      <c r="AL647" s="39">
        <f t="shared" si="53"/>
        <v>0</v>
      </c>
      <c r="AM647" s="39">
        <f t="shared" si="54"/>
        <v>0</v>
      </c>
      <c r="AN647" s="39">
        <f t="shared" si="51"/>
        <v>0</v>
      </c>
      <c r="AO647" s="39">
        <f t="shared" si="52"/>
        <v>0</v>
      </c>
    </row>
    <row r="648" spans="1:41" x14ac:dyDescent="0.3">
      <c r="A648" s="20">
        <v>1000184670</v>
      </c>
      <c r="B648" s="4" t="s">
        <v>147</v>
      </c>
      <c r="C648" s="21"/>
      <c r="D648" s="3"/>
      <c r="E648" s="20">
        <v>1000184760</v>
      </c>
      <c r="F648" s="4" t="s">
        <v>60</v>
      </c>
      <c r="G648" s="21">
        <v>1000189779</v>
      </c>
      <c r="H648" s="3" t="s">
        <v>106</v>
      </c>
      <c r="I648" s="21">
        <v>1000189270</v>
      </c>
      <c r="J648" s="3" t="s">
        <v>34</v>
      </c>
      <c r="K648" s="20" t="s">
        <v>124</v>
      </c>
      <c r="L648" s="39">
        <v>0</v>
      </c>
      <c r="M648" s="39">
        <v>0</v>
      </c>
      <c r="N648" s="39">
        <v>0</v>
      </c>
      <c r="O648" s="39">
        <v>0</v>
      </c>
      <c r="P648" s="39">
        <v>0</v>
      </c>
      <c r="Q648" s="39">
        <v>0</v>
      </c>
      <c r="R648" s="39">
        <v>0</v>
      </c>
      <c r="S648" s="39">
        <v>0</v>
      </c>
      <c r="T648" s="39">
        <v>0</v>
      </c>
      <c r="U648" s="39">
        <v>0</v>
      </c>
      <c r="V648" s="39">
        <v>0</v>
      </c>
      <c r="W648" s="39">
        <v>0</v>
      </c>
      <c r="X648" s="39">
        <v>0</v>
      </c>
      <c r="Y648" s="39">
        <v>0</v>
      </c>
      <c r="Z648" s="39">
        <v>0</v>
      </c>
      <c r="AA648" s="39">
        <v>0</v>
      </c>
      <c r="AB648" s="39">
        <v>0</v>
      </c>
      <c r="AC648" s="39">
        <v>0</v>
      </c>
      <c r="AD648" s="39">
        <v>0</v>
      </c>
      <c r="AE648" s="39">
        <v>0</v>
      </c>
      <c r="AF648" s="39">
        <v>0</v>
      </c>
      <c r="AG648" s="39">
        <v>0</v>
      </c>
      <c r="AH648" s="39"/>
      <c r="AI648" s="39"/>
      <c r="AJ648" s="40"/>
      <c r="AK648" s="39">
        <f t="shared" si="50"/>
        <v>0</v>
      </c>
      <c r="AL648" s="39">
        <f t="shared" si="53"/>
        <v>0</v>
      </c>
      <c r="AM648" s="39">
        <f t="shared" si="54"/>
        <v>0</v>
      </c>
      <c r="AN648" s="39">
        <f t="shared" si="51"/>
        <v>0</v>
      </c>
      <c r="AO648" s="39">
        <f t="shared" si="52"/>
        <v>0</v>
      </c>
    </row>
    <row r="649" spans="1:41" x14ac:dyDescent="0.3">
      <c r="A649" s="20">
        <v>1000184670</v>
      </c>
      <c r="B649" s="4" t="s">
        <v>147</v>
      </c>
      <c r="C649" s="21"/>
      <c r="D649" s="3"/>
      <c r="E649" s="20">
        <v>1000184760</v>
      </c>
      <c r="F649" s="4" t="s">
        <v>60</v>
      </c>
      <c r="G649" s="21">
        <v>1000189779</v>
      </c>
      <c r="H649" s="3" t="s">
        <v>106</v>
      </c>
      <c r="I649" s="21">
        <v>1000189270</v>
      </c>
      <c r="J649" s="3" t="s">
        <v>34</v>
      </c>
      <c r="K649" s="20" t="s">
        <v>13</v>
      </c>
      <c r="L649" s="39">
        <v>0</v>
      </c>
      <c r="M649" s="39">
        <v>815.35</v>
      </c>
      <c r="N649" s="39">
        <v>1572.36</v>
      </c>
      <c r="O649" s="39">
        <v>0</v>
      </c>
      <c r="P649" s="39">
        <v>812.1</v>
      </c>
      <c r="Q649" s="39">
        <v>0</v>
      </c>
      <c r="R649" s="39">
        <v>0</v>
      </c>
      <c r="S649" s="39">
        <v>1626.05</v>
      </c>
      <c r="T649" s="39">
        <v>-894.86</v>
      </c>
      <c r="U649" s="39">
        <v>0</v>
      </c>
      <c r="V649" s="39">
        <v>1009.2</v>
      </c>
      <c r="W649" s="39">
        <v>0</v>
      </c>
      <c r="X649" s="39">
        <v>603.49</v>
      </c>
      <c r="Y649" s="39">
        <v>0</v>
      </c>
      <c r="Z649" s="39">
        <v>0</v>
      </c>
      <c r="AA649" s="39">
        <v>1701</v>
      </c>
      <c r="AB649" s="39">
        <v>0</v>
      </c>
      <c r="AC649" s="39">
        <v>186.6</v>
      </c>
      <c r="AD649" s="39">
        <v>0</v>
      </c>
      <c r="AE649" s="39">
        <v>1657.09</v>
      </c>
      <c r="AF649" s="39">
        <v>15573.1</v>
      </c>
      <c r="AG649" s="39">
        <v>0</v>
      </c>
      <c r="AH649" s="39"/>
      <c r="AI649" s="39"/>
      <c r="AJ649" s="40"/>
      <c r="AK649" s="39">
        <f t="shared" si="50"/>
        <v>411.68333333333334</v>
      </c>
      <c r="AL649" s="39">
        <f t="shared" si="53"/>
        <v>1727.54</v>
      </c>
      <c r="AM649" s="39">
        <f t="shared" si="54"/>
        <v>2902.7983333333336</v>
      </c>
      <c r="AN649" s="39">
        <f t="shared" si="51"/>
        <v>1972.1279999999999</v>
      </c>
      <c r="AO649" s="39">
        <f t="shared" si="52"/>
        <v>19721.28</v>
      </c>
    </row>
    <row r="650" spans="1:41" x14ac:dyDescent="0.3">
      <c r="A650" s="20">
        <v>1000184670</v>
      </c>
      <c r="B650" s="4" t="s">
        <v>147</v>
      </c>
      <c r="C650" s="21"/>
      <c r="D650" s="3"/>
      <c r="E650" s="20">
        <v>1000184760</v>
      </c>
      <c r="F650" s="4" t="s">
        <v>60</v>
      </c>
      <c r="G650" s="21">
        <v>1000189779</v>
      </c>
      <c r="H650" s="3" t="s">
        <v>106</v>
      </c>
      <c r="I650" s="21">
        <v>1000189270</v>
      </c>
      <c r="J650" s="3" t="s">
        <v>34</v>
      </c>
      <c r="K650" s="20" t="s">
        <v>14</v>
      </c>
      <c r="L650" s="39">
        <v>0</v>
      </c>
      <c r="M650" s="39">
        <v>0</v>
      </c>
      <c r="N650" s="39">
        <v>0</v>
      </c>
      <c r="O650" s="39">
        <v>0</v>
      </c>
      <c r="P650" s="39">
        <v>0</v>
      </c>
      <c r="Q650" s="39">
        <v>0</v>
      </c>
      <c r="R650" s="39">
        <v>0</v>
      </c>
      <c r="S650" s="39">
        <v>0</v>
      </c>
      <c r="T650" s="39">
        <v>528</v>
      </c>
      <c r="U650" s="39">
        <v>0</v>
      </c>
      <c r="V650" s="39">
        <v>816</v>
      </c>
      <c r="W650" s="39">
        <v>0</v>
      </c>
      <c r="X650" s="39">
        <v>0</v>
      </c>
      <c r="Y650" s="39">
        <v>0</v>
      </c>
      <c r="Z650" s="39">
        <v>0</v>
      </c>
      <c r="AA650" s="39">
        <v>612</v>
      </c>
      <c r="AB650" s="39">
        <v>0</v>
      </c>
      <c r="AC650" s="39">
        <v>453</v>
      </c>
      <c r="AD650" s="39">
        <v>0</v>
      </c>
      <c r="AE650" s="39">
        <v>931.68</v>
      </c>
      <c r="AF650" s="39">
        <v>0</v>
      </c>
      <c r="AG650" s="39">
        <v>-302.39999999999998</v>
      </c>
      <c r="AH650" s="39"/>
      <c r="AI650" s="39"/>
      <c r="AJ650" s="40"/>
      <c r="AK650" s="39">
        <f t="shared" si="50"/>
        <v>112</v>
      </c>
      <c r="AL650" s="39">
        <f t="shared" si="53"/>
        <v>209.18999999999997</v>
      </c>
      <c r="AM650" s="39">
        <f t="shared" si="54"/>
        <v>180.37999999999997</v>
      </c>
      <c r="AN650" s="39">
        <f t="shared" si="51"/>
        <v>169.42799999999997</v>
      </c>
      <c r="AO650" s="39">
        <f t="shared" si="52"/>
        <v>1694.2799999999997</v>
      </c>
    </row>
    <row r="651" spans="1:41" x14ac:dyDescent="0.3">
      <c r="A651" s="20">
        <v>1000184670</v>
      </c>
      <c r="B651" s="4" t="s">
        <v>147</v>
      </c>
      <c r="C651" s="21"/>
      <c r="D651" s="3"/>
      <c r="E651" s="20">
        <v>1000184760</v>
      </c>
      <c r="F651" s="4" t="s">
        <v>60</v>
      </c>
      <c r="G651" s="21">
        <v>1000189779</v>
      </c>
      <c r="H651" s="3" t="s">
        <v>106</v>
      </c>
      <c r="I651" s="21">
        <v>1000189270</v>
      </c>
      <c r="J651" s="3" t="s">
        <v>34</v>
      </c>
      <c r="K651" s="20" t="s">
        <v>16</v>
      </c>
      <c r="L651" s="39">
        <v>0</v>
      </c>
      <c r="M651" s="39">
        <v>0</v>
      </c>
      <c r="N651" s="39">
        <v>0</v>
      </c>
      <c r="O651" s="39">
        <v>0</v>
      </c>
      <c r="P651" s="39">
        <v>0</v>
      </c>
      <c r="Q651" s="39">
        <v>0</v>
      </c>
      <c r="R651" s="39">
        <v>0</v>
      </c>
      <c r="S651" s="39">
        <v>0</v>
      </c>
      <c r="T651" s="39">
        <v>0</v>
      </c>
      <c r="U651" s="39">
        <v>0</v>
      </c>
      <c r="V651" s="39">
        <v>0</v>
      </c>
      <c r="W651" s="39">
        <v>0</v>
      </c>
      <c r="X651" s="39">
        <v>0</v>
      </c>
      <c r="Y651" s="39">
        <v>0</v>
      </c>
      <c r="Z651" s="39">
        <v>0</v>
      </c>
      <c r="AA651" s="39">
        <v>0</v>
      </c>
      <c r="AB651" s="39">
        <v>0</v>
      </c>
      <c r="AC651" s="39">
        <v>200.84</v>
      </c>
      <c r="AD651" s="39">
        <v>0</v>
      </c>
      <c r="AE651" s="39">
        <v>0</v>
      </c>
      <c r="AF651" s="39">
        <v>0</v>
      </c>
      <c r="AG651" s="39">
        <v>0</v>
      </c>
      <c r="AH651" s="39"/>
      <c r="AI651" s="39"/>
      <c r="AJ651" s="40"/>
      <c r="AK651" s="39">
        <f t="shared" si="50"/>
        <v>0</v>
      </c>
      <c r="AL651" s="39">
        <f t="shared" si="53"/>
        <v>16.736666666666668</v>
      </c>
      <c r="AM651" s="39">
        <f t="shared" si="54"/>
        <v>33.473333333333336</v>
      </c>
      <c r="AN651" s="39">
        <f t="shared" si="51"/>
        <v>20.084</v>
      </c>
      <c r="AO651" s="39">
        <f t="shared" si="52"/>
        <v>200.84</v>
      </c>
    </row>
    <row r="652" spans="1:41" x14ac:dyDescent="0.3">
      <c r="A652" s="20">
        <v>1000184670</v>
      </c>
      <c r="B652" s="4" t="s">
        <v>147</v>
      </c>
      <c r="C652" s="21"/>
      <c r="D652" s="3"/>
      <c r="E652" s="20">
        <v>1000184760</v>
      </c>
      <c r="F652" s="4" t="s">
        <v>60</v>
      </c>
      <c r="G652" s="21">
        <v>1000189779</v>
      </c>
      <c r="H652" s="3" t="s">
        <v>106</v>
      </c>
      <c r="I652" s="21">
        <v>1000189270</v>
      </c>
      <c r="J652" s="3" t="s">
        <v>34</v>
      </c>
      <c r="K652" s="20" t="s">
        <v>15</v>
      </c>
      <c r="L652" s="39">
        <v>0</v>
      </c>
      <c r="M652" s="39">
        <v>402.42</v>
      </c>
      <c r="N652" s="39">
        <v>868.8</v>
      </c>
      <c r="O652" s="39">
        <v>0</v>
      </c>
      <c r="P652" s="39">
        <v>296.39999999999998</v>
      </c>
      <c r="Q652" s="39">
        <v>0</v>
      </c>
      <c r="R652" s="39">
        <v>0</v>
      </c>
      <c r="S652" s="39">
        <v>1404</v>
      </c>
      <c r="T652" s="39">
        <v>-298.08</v>
      </c>
      <c r="U652" s="39">
        <v>0</v>
      </c>
      <c r="V652" s="39">
        <v>939.6</v>
      </c>
      <c r="W652" s="39">
        <v>0</v>
      </c>
      <c r="X652" s="39">
        <v>156.16999999999999</v>
      </c>
      <c r="Y652" s="39">
        <v>0</v>
      </c>
      <c r="Z652" s="39">
        <v>0</v>
      </c>
      <c r="AA652" s="39">
        <v>300</v>
      </c>
      <c r="AB652" s="39">
        <v>0</v>
      </c>
      <c r="AC652" s="39">
        <v>1320.75</v>
      </c>
      <c r="AD652" s="39">
        <v>0</v>
      </c>
      <c r="AE652" s="39">
        <v>1274.07</v>
      </c>
      <c r="AF652" s="39">
        <v>0</v>
      </c>
      <c r="AG652" s="39">
        <v>-247.35</v>
      </c>
      <c r="AH652" s="39"/>
      <c r="AI652" s="39"/>
      <c r="AJ652" s="40"/>
      <c r="AK652" s="39">
        <f t="shared" si="50"/>
        <v>301.09499999999997</v>
      </c>
      <c r="AL652" s="39">
        <f t="shared" si="53"/>
        <v>311.93666666666667</v>
      </c>
      <c r="AM652" s="39">
        <f t="shared" si="54"/>
        <v>391.24499999999995</v>
      </c>
      <c r="AN652" s="39">
        <f t="shared" si="51"/>
        <v>280.36399999999998</v>
      </c>
      <c r="AO652" s="39">
        <f t="shared" si="52"/>
        <v>2803.64</v>
      </c>
    </row>
    <row r="653" spans="1:41" x14ac:dyDescent="0.3">
      <c r="A653" s="20">
        <v>1000184670</v>
      </c>
      <c r="B653" s="4" t="s">
        <v>147</v>
      </c>
      <c r="C653" s="21"/>
      <c r="D653" s="3"/>
      <c r="E653" s="20">
        <v>1000184760</v>
      </c>
      <c r="F653" s="4" t="s">
        <v>60</v>
      </c>
      <c r="G653" s="21">
        <v>1000189779</v>
      </c>
      <c r="H653" s="3" t="s">
        <v>106</v>
      </c>
      <c r="I653" s="21">
        <v>1000189270</v>
      </c>
      <c r="J653" s="3" t="s">
        <v>34</v>
      </c>
      <c r="K653" s="20" t="s">
        <v>33</v>
      </c>
      <c r="L653" s="39">
        <v>0</v>
      </c>
      <c r="M653" s="39">
        <v>0</v>
      </c>
      <c r="N653" s="39">
        <v>0</v>
      </c>
      <c r="O653" s="39">
        <v>0</v>
      </c>
      <c r="P653" s="39">
        <v>0</v>
      </c>
      <c r="Q653" s="39">
        <v>0</v>
      </c>
      <c r="R653" s="39">
        <v>0</v>
      </c>
      <c r="S653" s="39">
        <v>0</v>
      </c>
      <c r="T653" s="39">
        <v>0</v>
      </c>
      <c r="U653" s="39">
        <v>0</v>
      </c>
      <c r="V653" s="39">
        <v>0</v>
      </c>
      <c r="W653" s="39">
        <v>0</v>
      </c>
      <c r="X653" s="39">
        <v>0</v>
      </c>
      <c r="Y653" s="39">
        <v>0</v>
      </c>
      <c r="Z653" s="39">
        <v>0</v>
      </c>
      <c r="AA653" s="39">
        <v>0</v>
      </c>
      <c r="AB653" s="39">
        <v>0</v>
      </c>
      <c r="AC653" s="39">
        <v>0</v>
      </c>
      <c r="AD653" s="39">
        <v>0</v>
      </c>
      <c r="AE653" s="39">
        <v>0</v>
      </c>
      <c r="AF653" s="39">
        <v>0</v>
      </c>
      <c r="AG653" s="39">
        <v>0</v>
      </c>
      <c r="AH653" s="39"/>
      <c r="AI653" s="39"/>
      <c r="AJ653" s="40"/>
      <c r="AK653" s="39">
        <f t="shared" si="50"/>
        <v>0</v>
      </c>
      <c r="AL653" s="39">
        <f t="shared" si="53"/>
        <v>0</v>
      </c>
      <c r="AM653" s="39">
        <f t="shared" si="54"/>
        <v>0</v>
      </c>
      <c r="AN653" s="39">
        <f t="shared" si="51"/>
        <v>0</v>
      </c>
      <c r="AO653" s="39">
        <f t="shared" si="52"/>
        <v>0</v>
      </c>
    </row>
    <row r="654" spans="1:41" x14ac:dyDescent="0.3">
      <c r="A654" s="20">
        <v>1000184670</v>
      </c>
      <c r="B654" s="4" t="s">
        <v>147</v>
      </c>
      <c r="C654" s="21"/>
      <c r="D654" s="3"/>
      <c r="E654" s="20">
        <v>1000184760</v>
      </c>
      <c r="F654" s="4" t="s">
        <v>60</v>
      </c>
      <c r="G654" s="21">
        <v>1000189779</v>
      </c>
      <c r="H654" s="3" t="s">
        <v>106</v>
      </c>
      <c r="I654" s="21">
        <v>1000189270</v>
      </c>
      <c r="J654" s="3" t="s">
        <v>34</v>
      </c>
      <c r="K654" s="20" t="s">
        <v>19</v>
      </c>
      <c r="L654" s="39">
        <v>0</v>
      </c>
      <c r="M654" s="39">
        <v>376.2</v>
      </c>
      <c r="N654" s="39">
        <v>226.8</v>
      </c>
      <c r="O654" s="39">
        <v>0</v>
      </c>
      <c r="P654" s="39">
        <v>226.8</v>
      </c>
      <c r="Q654" s="39">
        <v>0</v>
      </c>
      <c r="R654" s="39">
        <v>0</v>
      </c>
      <c r="S654" s="39">
        <v>816.48</v>
      </c>
      <c r="T654" s="39">
        <v>-187.38</v>
      </c>
      <c r="U654" s="39">
        <v>0</v>
      </c>
      <c r="V654" s="39">
        <v>288</v>
      </c>
      <c r="W654" s="39">
        <v>0</v>
      </c>
      <c r="X654" s="39">
        <v>150.59</v>
      </c>
      <c r="Y654" s="39">
        <v>0</v>
      </c>
      <c r="Z654" s="39">
        <v>0</v>
      </c>
      <c r="AA654" s="39">
        <v>0</v>
      </c>
      <c r="AB654" s="39">
        <v>0</v>
      </c>
      <c r="AC654" s="39">
        <v>0</v>
      </c>
      <c r="AD654" s="39">
        <v>0</v>
      </c>
      <c r="AE654" s="39">
        <v>232.8</v>
      </c>
      <c r="AF654" s="39">
        <v>0</v>
      </c>
      <c r="AG654" s="39">
        <v>0</v>
      </c>
      <c r="AH654" s="39"/>
      <c r="AI654" s="39"/>
      <c r="AJ654" s="40"/>
      <c r="AK654" s="39">
        <f t="shared" si="50"/>
        <v>145.57500000000002</v>
      </c>
      <c r="AL654" s="39">
        <f t="shared" si="53"/>
        <v>55.949166666666677</v>
      </c>
      <c r="AM654" s="39">
        <f t="shared" si="54"/>
        <v>38.800000000000004</v>
      </c>
      <c r="AN654" s="39">
        <f t="shared" si="51"/>
        <v>38.338999999999999</v>
      </c>
      <c r="AO654" s="39">
        <f t="shared" si="52"/>
        <v>383.39</v>
      </c>
    </row>
    <row r="655" spans="1:41" x14ac:dyDescent="0.3">
      <c r="A655" s="20">
        <v>1000184670</v>
      </c>
      <c r="B655" s="4" t="s">
        <v>147</v>
      </c>
      <c r="C655" s="21"/>
      <c r="D655" s="3"/>
      <c r="E655" s="20">
        <v>1000184760</v>
      </c>
      <c r="F655" s="4" t="s">
        <v>60</v>
      </c>
      <c r="G655" s="21">
        <v>1000189779</v>
      </c>
      <c r="H655" s="3" t="s">
        <v>106</v>
      </c>
      <c r="I655" s="21">
        <v>1000189270</v>
      </c>
      <c r="J655" s="3" t="s">
        <v>34</v>
      </c>
      <c r="K655" s="20" t="s">
        <v>17</v>
      </c>
      <c r="L655" s="39">
        <v>0</v>
      </c>
      <c r="M655" s="39">
        <v>360.24</v>
      </c>
      <c r="N655" s="39">
        <v>949.8</v>
      </c>
      <c r="O655" s="39">
        <v>0</v>
      </c>
      <c r="P655" s="39">
        <v>369.6</v>
      </c>
      <c r="Q655" s="39">
        <v>0</v>
      </c>
      <c r="R655" s="39">
        <v>0</v>
      </c>
      <c r="S655" s="39">
        <v>998.4</v>
      </c>
      <c r="T655" s="39">
        <v>-191.4</v>
      </c>
      <c r="U655" s="39">
        <v>0</v>
      </c>
      <c r="V655" s="39">
        <v>646.79999999999995</v>
      </c>
      <c r="W655" s="39">
        <v>0</v>
      </c>
      <c r="X655" s="39">
        <v>0</v>
      </c>
      <c r="Y655" s="39">
        <v>0</v>
      </c>
      <c r="Z655" s="39">
        <v>0</v>
      </c>
      <c r="AA655" s="39">
        <v>328.56</v>
      </c>
      <c r="AB655" s="39">
        <v>0</v>
      </c>
      <c r="AC655" s="39">
        <v>494</v>
      </c>
      <c r="AD655" s="39">
        <v>0</v>
      </c>
      <c r="AE655" s="39">
        <v>496.8</v>
      </c>
      <c r="AF655" s="39">
        <v>0</v>
      </c>
      <c r="AG655" s="39">
        <v>0</v>
      </c>
      <c r="AH655" s="39"/>
      <c r="AI655" s="39"/>
      <c r="AJ655" s="40"/>
      <c r="AK655" s="39">
        <f t="shared" si="50"/>
        <v>261.11999999999995</v>
      </c>
      <c r="AL655" s="39">
        <f t="shared" si="53"/>
        <v>163.84666666666666</v>
      </c>
      <c r="AM655" s="39">
        <f t="shared" si="54"/>
        <v>165.13333333333333</v>
      </c>
      <c r="AN655" s="39">
        <f t="shared" si="51"/>
        <v>131.93599999999998</v>
      </c>
      <c r="AO655" s="39">
        <f t="shared" si="52"/>
        <v>1319.36</v>
      </c>
    </row>
    <row r="656" spans="1:41" x14ac:dyDescent="0.3">
      <c r="A656" s="20">
        <v>1000184670</v>
      </c>
      <c r="B656" s="4" t="s">
        <v>147</v>
      </c>
      <c r="C656" s="21"/>
      <c r="D656" s="3"/>
      <c r="E656" s="20">
        <v>1000184760</v>
      </c>
      <c r="F656" s="4" t="s">
        <v>60</v>
      </c>
      <c r="G656" s="21">
        <v>1000189779</v>
      </c>
      <c r="H656" s="3" t="s">
        <v>106</v>
      </c>
      <c r="I656" s="21">
        <v>1000189270</v>
      </c>
      <c r="J656" s="3" t="s">
        <v>34</v>
      </c>
      <c r="K656" s="20" t="s">
        <v>24</v>
      </c>
      <c r="L656" s="39">
        <v>0</v>
      </c>
      <c r="M656" s="39">
        <v>45.37</v>
      </c>
      <c r="N656" s="39">
        <v>740.76</v>
      </c>
      <c r="O656" s="39">
        <v>0</v>
      </c>
      <c r="P656" s="39">
        <v>557.76</v>
      </c>
      <c r="Q656" s="39">
        <v>0</v>
      </c>
      <c r="R656" s="39">
        <v>0</v>
      </c>
      <c r="S656" s="39">
        <v>613.44000000000005</v>
      </c>
      <c r="T656" s="39">
        <v>-306.72000000000003</v>
      </c>
      <c r="U656" s="39">
        <v>0</v>
      </c>
      <c r="V656" s="39">
        <v>269.27999999999997</v>
      </c>
      <c r="W656" s="39">
        <v>0</v>
      </c>
      <c r="X656" s="39">
        <v>343.14</v>
      </c>
      <c r="Y656" s="39">
        <v>0</v>
      </c>
      <c r="Z656" s="39">
        <v>0</v>
      </c>
      <c r="AA656" s="39">
        <v>297.60000000000002</v>
      </c>
      <c r="AB656" s="39">
        <v>0</v>
      </c>
      <c r="AC656" s="39">
        <v>57.42</v>
      </c>
      <c r="AD656" s="39">
        <v>0</v>
      </c>
      <c r="AE656" s="39">
        <v>748.07</v>
      </c>
      <c r="AF656" s="39">
        <v>0</v>
      </c>
      <c r="AG656" s="39">
        <v>0</v>
      </c>
      <c r="AH656" s="39"/>
      <c r="AI656" s="39"/>
      <c r="AJ656" s="40"/>
      <c r="AK656" s="39">
        <f t="shared" si="50"/>
        <v>159.99083333333331</v>
      </c>
      <c r="AL656" s="39">
        <f t="shared" si="53"/>
        <v>142.95916666666668</v>
      </c>
      <c r="AM656" s="39">
        <f t="shared" si="54"/>
        <v>134.24833333333333</v>
      </c>
      <c r="AN656" s="39">
        <f t="shared" si="51"/>
        <v>144.62299999999999</v>
      </c>
      <c r="AO656" s="39">
        <f t="shared" si="52"/>
        <v>1446.23</v>
      </c>
    </row>
    <row r="657" spans="1:41" x14ac:dyDescent="0.3">
      <c r="A657" s="20">
        <v>1000184670</v>
      </c>
      <c r="B657" s="4" t="s">
        <v>147</v>
      </c>
      <c r="C657" s="21"/>
      <c r="D657" s="3"/>
      <c r="E657" s="20">
        <v>1000184760</v>
      </c>
      <c r="F657" s="4" t="s">
        <v>60</v>
      </c>
      <c r="G657" s="21">
        <v>1000189779</v>
      </c>
      <c r="H657" s="3" t="s">
        <v>106</v>
      </c>
      <c r="I657" s="21">
        <v>1000189270</v>
      </c>
      <c r="J657" s="3" t="s">
        <v>34</v>
      </c>
      <c r="K657" s="20" t="s">
        <v>18</v>
      </c>
      <c r="L657" s="39">
        <v>0</v>
      </c>
      <c r="M657" s="39">
        <v>0</v>
      </c>
      <c r="N657" s="39">
        <v>0</v>
      </c>
      <c r="O657" s="39">
        <v>0</v>
      </c>
      <c r="P657" s="39">
        <v>0</v>
      </c>
      <c r="Q657" s="39">
        <v>0</v>
      </c>
      <c r="R657" s="39">
        <v>0</v>
      </c>
      <c r="S657" s="39">
        <v>0</v>
      </c>
      <c r="T657" s="39">
        <v>0</v>
      </c>
      <c r="U657" s="39">
        <v>0</v>
      </c>
      <c r="V657" s="39">
        <v>0</v>
      </c>
      <c r="W657" s="39">
        <v>0</v>
      </c>
      <c r="X657" s="39">
        <v>0</v>
      </c>
      <c r="Y657" s="39">
        <v>0</v>
      </c>
      <c r="Z657" s="39">
        <v>0</v>
      </c>
      <c r="AA657" s="39">
        <v>0</v>
      </c>
      <c r="AB657" s="39">
        <v>0</v>
      </c>
      <c r="AC657" s="39">
        <v>0</v>
      </c>
      <c r="AD657" s="39">
        <v>0</v>
      </c>
      <c r="AE657" s="39">
        <v>171.6</v>
      </c>
      <c r="AF657" s="39">
        <v>0</v>
      </c>
      <c r="AG657" s="39">
        <v>-75.599999999999994</v>
      </c>
      <c r="AH657" s="39"/>
      <c r="AI657" s="39"/>
      <c r="AJ657" s="40"/>
      <c r="AK657" s="39">
        <f t="shared" si="50"/>
        <v>0</v>
      </c>
      <c r="AL657" s="39">
        <f t="shared" si="53"/>
        <v>8</v>
      </c>
      <c r="AM657" s="39">
        <f t="shared" si="54"/>
        <v>16</v>
      </c>
      <c r="AN657" s="39">
        <f t="shared" si="51"/>
        <v>9.6</v>
      </c>
      <c r="AO657" s="39">
        <f t="shared" si="52"/>
        <v>96</v>
      </c>
    </row>
    <row r="658" spans="1:41" x14ac:dyDescent="0.3">
      <c r="A658" s="20">
        <v>1000184670</v>
      </c>
      <c r="B658" s="4" t="s">
        <v>147</v>
      </c>
      <c r="C658" s="21"/>
      <c r="D658" s="3"/>
      <c r="E658" s="20">
        <v>1000184760</v>
      </c>
      <c r="F658" s="4" t="s">
        <v>60</v>
      </c>
      <c r="G658" s="21">
        <v>1000189779</v>
      </c>
      <c r="H658" s="3" t="s">
        <v>106</v>
      </c>
      <c r="I658" s="21">
        <v>1000189270</v>
      </c>
      <c r="J658" s="3" t="s">
        <v>34</v>
      </c>
      <c r="K658" s="20" t="s">
        <v>29</v>
      </c>
      <c r="L658" s="39">
        <v>0</v>
      </c>
      <c r="M658" s="39">
        <v>0</v>
      </c>
      <c r="N658" s="39">
        <v>0</v>
      </c>
      <c r="O658" s="39">
        <v>0</v>
      </c>
      <c r="P658" s="39">
        <v>0</v>
      </c>
      <c r="Q658" s="39">
        <v>0</v>
      </c>
      <c r="R658" s="39">
        <v>0</v>
      </c>
      <c r="S658" s="39">
        <v>0</v>
      </c>
      <c r="T658" s="39">
        <v>0</v>
      </c>
      <c r="U658" s="39">
        <v>0</v>
      </c>
      <c r="V658" s="39">
        <v>0</v>
      </c>
      <c r="W658" s="39">
        <v>0</v>
      </c>
      <c r="X658" s="39">
        <v>0</v>
      </c>
      <c r="Y658" s="39">
        <v>0</v>
      </c>
      <c r="Z658" s="39">
        <v>0</v>
      </c>
      <c r="AA658" s="39">
        <v>0</v>
      </c>
      <c r="AB658" s="39">
        <v>0</v>
      </c>
      <c r="AC658" s="39">
        <v>873.96</v>
      </c>
      <c r="AD658" s="39">
        <v>0</v>
      </c>
      <c r="AE658" s="39">
        <v>199</v>
      </c>
      <c r="AF658" s="39">
        <v>0</v>
      </c>
      <c r="AG658" s="39">
        <v>0</v>
      </c>
      <c r="AH658" s="39"/>
      <c r="AI658" s="39"/>
      <c r="AJ658" s="40"/>
      <c r="AK658" s="39">
        <f t="shared" si="50"/>
        <v>0</v>
      </c>
      <c r="AL658" s="39">
        <f t="shared" si="53"/>
        <v>89.413333333333341</v>
      </c>
      <c r="AM658" s="39">
        <f t="shared" si="54"/>
        <v>178.82666666666668</v>
      </c>
      <c r="AN658" s="39">
        <f t="shared" si="51"/>
        <v>107.29600000000001</v>
      </c>
      <c r="AO658" s="39">
        <f t="shared" si="52"/>
        <v>1072.96</v>
      </c>
    </row>
    <row r="659" spans="1:41" x14ac:dyDescent="0.3">
      <c r="A659" s="20">
        <v>1000184670</v>
      </c>
      <c r="B659" s="4" t="s">
        <v>147</v>
      </c>
      <c r="C659" s="21"/>
      <c r="D659" s="3"/>
      <c r="E659" s="20">
        <v>1000184760</v>
      </c>
      <c r="F659" s="4" t="s">
        <v>60</v>
      </c>
      <c r="G659" s="21">
        <v>1000189779</v>
      </c>
      <c r="H659" s="3" t="s">
        <v>106</v>
      </c>
      <c r="I659" s="21">
        <v>1000189270</v>
      </c>
      <c r="J659" s="3" t="s">
        <v>34</v>
      </c>
      <c r="K659" s="20" t="s">
        <v>21</v>
      </c>
      <c r="L659" s="39">
        <v>0</v>
      </c>
      <c r="M659" s="39">
        <v>0</v>
      </c>
      <c r="N659" s="39">
        <v>0</v>
      </c>
      <c r="O659" s="39">
        <v>0</v>
      </c>
      <c r="P659" s="39">
        <v>0</v>
      </c>
      <c r="Q659" s="39">
        <v>0</v>
      </c>
      <c r="R659" s="39">
        <v>0</v>
      </c>
      <c r="S659" s="39">
        <v>0</v>
      </c>
      <c r="T659" s="39">
        <v>0</v>
      </c>
      <c r="U659" s="39">
        <v>0</v>
      </c>
      <c r="V659" s="39">
        <v>0</v>
      </c>
      <c r="W659" s="39">
        <v>0</v>
      </c>
      <c r="X659" s="39">
        <v>0</v>
      </c>
      <c r="Y659" s="39">
        <v>0</v>
      </c>
      <c r="Z659" s="39">
        <v>0</v>
      </c>
      <c r="AA659" s="39">
        <v>0</v>
      </c>
      <c r="AB659" s="39">
        <v>0</v>
      </c>
      <c r="AC659" s="39">
        <v>338.75</v>
      </c>
      <c r="AD659" s="39">
        <v>892.8</v>
      </c>
      <c r="AE659" s="39">
        <v>367.57</v>
      </c>
      <c r="AF659" s="39">
        <v>0</v>
      </c>
      <c r="AG659" s="39">
        <v>-336.37</v>
      </c>
      <c r="AH659" s="39"/>
      <c r="AI659" s="39"/>
      <c r="AJ659" s="40"/>
      <c r="AK659" s="39">
        <f t="shared" si="50"/>
        <v>0</v>
      </c>
      <c r="AL659" s="39">
        <f t="shared" si="53"/>
        <v>105.22916666666667</v>
      </c>
      <c r="AM659" s="39">
        <f t="shared" si="54"/>
        <v>210.45833333333334</v>
      </c>
      <c r="AN659" s="39">
        <f t="shared" si="51"/>
        <v>126.27500000000001</v>
      </c>
      <c r="AO659" s="39">
        <f t="shared" si="52"/>
        <v>1262.75</v>
      </c>
    </row>
    <row r="660" spans="1:41" x14ac:dyDescent="0.3">
      <c r="A660" s="20">
        <v>1000184670</v>
      </c>
      <c r="B660" s="4" t="s">
        <v>147</v>
      </c>
      <c r="C660" s="21"/>
      <c r="D660" s="3"/>
      <c r="E660" s="20">
        <v>1000184760</v>
      </c>
      <c r="F660" s="4" t="s">
        <v>60</v>
      </c>
      <c r="G660" s="21">
        <v>1000189779</v>
      </c>
      <c r="H660" s="3" t="s">
        <v>106</v>
      </c>
      <c r="I660" s="21">
        <v>1000189270</v>
      </c>
      <c r="J660" s="3" t="s">
        <v>34</v>
      </c>
      <c r="K660" s="20" t="s">
        <v>20</v>
      </c>
      <c r="L660" s="39">
        <v>0</v>
      </c>
      <c r="M660" s="39">
        <v>728.39</v>
      </c>
      <c r="N660" s="39">
        <v>0</v>
      </c>
      <c r="O660" s="39">
        <v>0</v>
      </c>
      <c r="P660" s="39">
        <v>81.36</v>
      </c>
      <c r="Q660" s="39">
        <v>0</v>
      </c>
      <c r="R660" s="39">
        <v>0</v>
      </c>
      <c r="S660" s="39">
        <v>325.44</v>
      </c>
      <c r="T660" s="39">
        <v>758.1</v>
      </c>
      <c r="U660" s="39">
        <v>0</v>
      </c>
      <c r="V660" s="39">
        <v>80.58</v>
      </c>
      <c r="W660" s="39">
        <v>0</v>
      </c>
      <c r="X660" s="39">
        <v>0</v>
      </c>
      <c r="Y660" s="39">
        <v>0</v>
      </c>
      <c r="Z660" s="39">
        <v>0</v>
      </c>
      <c r="AA660" s="39">
        <v>0</v>
      </c>
      <c r="AB660" s="39">
        <v>0</v>
      </c>
      <c r="AC660" s="39">
        <v>750.47</v>
      </c>
      <c r="AD660" s="39">
        <v>0</v>
      </c>
      <c r="AE660" s="39">
        <v>139.01</v>
      </c>
      <c r="AF660" s="39">
        <v>0</v>
      </c>
      <c r="AG660" s="39">
        <v>0</v>
      </c>
      <c r="AH660" s="39"/>
      <c r="AI660" s="39"/>
      <c r="AJ660" s="40"/>
      <c r="AK660" s="39">
        <f t="shared" si="50"/>
        <v>164.48916666666665</v>
      </c>
      <c r="AL660" s="39">
        <f t="shared" si="53"/>
        <v>80.838333333333338</v>
      </c>
      <c r="AM660" s="39">
        <f t="shared" si="54"/>
        <v>148.24666666666667</v>
      </c>
      <c r="AN660" s="39">
        <f t="shared" si="51"/>
        <v>88.948000000000008</v>
      </c>
      <c r="AO660" s="39">
        <f t="shared" si="52"/>
        <v>889.48</v>
      </c>
    </row>
    <row r="661" spans="1:41" x14ac:dyDescent="0.3">
      <c r="A661" s="20">
        <v>1000184670</v>
      </c>
      <c r="B661" s="4" t="s">
        <v>147</v>
      </c>
      <c r="C661" s="21"/>
      <c r="D661" s="3"/>
      <c r="E661" s="20">
        <v>1000184760</v>
      </c>
      <c r="F661" s="4" t="s">
        <v>60</v>
      </c>
      <c r="G661" s="21">
        <v>1000189779</v>
      </c>
      <c r="H661" s="3" t="s">
        <v>106</v>
      </c>
      <c r="I661" s="21">
        <v>1000189270</v>
      </c>
      <c r="J661" s="3" t="s">
        <v>34</v>
      </c>
      <c r="K661" s="20" t="s">
        <v>22</v>
      </c>
      <c r="L661" s="39">
        <v>0</v>
      </c>
      <c r="M661" s="39">
        <v>322.62</v>
      </c>
      <c r="N661" s="39">
        <v>276</v>
      </c>
      <c r="O661" s="39">
        <v>0</v>
      </c>
      <c r="P661" s="39">
        <v>446.4</v>
      </c>
      <c r="Q661" s="39">
        <v>0</v>
      </c>
      <c r="R661" s="39">
        <v>0</v>
      </c>
      <c r="S661" s="39">
        <v>2644.8</v>
      </c>
      <c r="T661" s="39">
        <v>-1322.4</v>
      </c>
      <c r="U661" s="39">
        <v>0</v>
      </c>
      <c r="V661" s="39">
        <v>976.8</v>
      </c>
      <c r="W661" s="39">
        <v>0</v>
      </c>
      <c r="X661" s="39">
        <v>0</v>
      </c>
      <c r="Y661" s="39">
        <v>0</v>
      </c>
      <c r="Z661" s="39">
        <v>0</v>
      </c>
      <c r="AA661" s="39">
        <v>475.25</v>
      </c>
      <c r="AB661" s="39">
        <v>0</v>
      </c>
      <c r="AC661" s="39">
        <v>171.62</v>
      </c>
      <c r="AD661" s="39">
        <v>0</v>
      </c>
      <c r="AE661" s="39">
        <v>1345.68</v>
      </c>
      <c r="AF661" s="39">
        <v>0</v>
      </c>
      <c r="AG661" s="39">
        <v>0</v>
      </c>
      <c r="AH661" s="39"/>
      <c r="AI661" s="39"/>
      <c r="AJ661" s="40"/>
      <c r="AK661" s="39">
        <f t="shared" si="50"/>
        <v>278.685</v>
      </c>
      <c r="AL661" s="39">
        <f t="shared" si="53"/>
        <v>247.44583333333335</v>
      </c>
      <c r="AM661" s="39">
        <f t="shared" si="54"/>
        <v>252.88333333333335</v>
      </c>
      <c r="AN661" s="39">
        <f t="shared" si="51"/>
        <v>199.25500000000002</v>
      </c>
      <c r="AO661" s="39">
        <f t="shared" si="52"/>
        <v>1992.5500000000002</v>
      </c>
    </row>
    <row r="662" spans="1:41" x14ac:dyDescent="0.3">
      <c r="A662" s="20">
        <v>1000184670</v>
      </c>
      <c r="B662" s="4" t="s">
        <v>147</v>
      </c>
      <c r="C662" s="21"/>
      <c r="D662" s="3"/>
      <c r="E662" s="20">
        <v>1000184760</v>
      </c>
      <c r="F662" s="4" t="s">
        <v>60</v>
      </c>
      <c r="G662" s="21">
        <v>1000189779</v>
      </c>
      <c r="H662" s="3" t="s">
        <v>106</v>
      </c>
      <c r="I662" s="21">
        <v>1000189270</v>
      </c>
      <c r="J662" s="3" t="s">
        <v>34</v>
      </c>
      <c r="K662" s="20" t="s">
        <v>23</v>
      </c>
      <c r="L662" s="39">
        <v>0</v>
      </c>
      <c r="M662" s="39">
        <v>0</v>
      </c>
      <c r="N662" s="39">
        <v>0</v>
      </c>
      <c r="O662" s="39">
        <v>0</v>
      </c>
      <c r="P662" s="39">
        <v>0</v>
      </c>
      <c r="Q662" s="39">
        <v>0</v>
      </c>
      <c r="R662" s="39">
        <v>0</v>
      </c>
      <c r="S662" s="39">
        <v>0</v>
      </c>
      <c r="T662" s="39">
        <v>158.4</v>
      </c>
      <c r="U662" s="39">
        <v>0</v>
      </c>
      <c r="V662" s="39">
        <v>0</v>
      </c>
      <c r="W662" s="39">
        <v>0</v>
      </c>
      <c r="X662" s="39">
        <v>0</v>
      </c>
      <c r="Y662" s="39">
        <v>0</v>
      </c>
      <c r="Z662" s="39">
        <v>0</v>
      </c>
      <c r="AA662" s="39">
        <v>0</v>
      </c>
      <c r="AB662" s="39">
        <v>0</v>
      </c>
      <c r="AC662" s="39">
        <v>515.98</v>
      </c>
      <c r="AD662" s="39">
        <v>0</v>
      </c>
      <c r="AE662" s="39">
        <v>147.19999999999999</v>
      </c>
      <c r="AF662" s="39">
        <v>0</v>
      </c>
      <c r="AG662" s="39">
        <v>0</v>
      </c>
      <c r="AH662" s="39"/>
      <c r="AI662" s="39"/>
      <c r="AJ662" s="40"/>
      <c r="AK662" s="39">
        <f t="shared" si="50"/>
        <v>13.200000000000001</v>
      </c>
      <c r="AL662" s="39">
        <f t="shared" si="53"/>
        <v>55.265000000000008</v>
      </c>
      <c r="AM662" s="39">
        <f t="shared" si="54"/>
        <v>110.53000000000002</v>
      </c>
      <c r="AN662" s="39">
        <f t="shared" si="51"/>
        <v>66.318000000000012</v>
      </c>
      <c r="AO662" s="39">
        <f t="shared" si="52"/>
        <v>663.18000000000006</v>
      </c>
    </row>
    <row r="663" spans="1:41" x14ac:dyDescent="0.3">
      <c r="A663" s="20">
        <v>1000184670</v>
      </c>
      <c r="B663" s="4" t="s">
        <v>147</v>
      </c>
      <c r="C663" s="21"/>
      <c r="D663" s="3"/>
      <c r="E663" s="20">
        <v>1000184760</v>
      </c>
      <c r="F663" s="4" t="s">
        <v>60</v>
      </c>
      <c r="G663" s="21">
        <v>1000189779</v>
      </c>
      <c r="H663" s="3" t="s">
        <v>106</v>
      </c>
      <c r="I663" s="21">
        <v>1000189270</v>
      </c>
      <c r="J663" s="3" t="s">
        <v>34</v>
      </c>
      <c r="K663" s="20" t="s">
        <v>28</v>
      </c>
      <c r="L663" s="39">
        <v>0</v>
      </c>
      <c r="M663" s="39">
        <v>0</v>
      </c>
      <c r="N663" s="39">
        <v>0</v>
      </c>
      <c r="O663" s="39">
        <v>0</v>
      </c>
      <c r="P663" s="39">
        <v>0</v>
      </c>
      <c r="Q663" s="39">
        <v>0</v>
      </c>
      <c r="R663" s="39">
        <v>0</v>
      </c>
      <c r="S663" s="39">
        <v>0</v>
      </c>
      <c r="T663" s="39">
        <v>54.36</v>
      </c>
      <c r="U663" s="39">
        <v>0</v>
      </c>
      <c r="V663" s="39">
        <v>0</v>
      </c>
      <c r="W663" s="39">
        <v>0</v>
      </c>
      <c r="X663" s="39">
        <v>0</v>
      </c>
      <c r="Y663" s="39">
        <v>0</v>
      </c>
      <c r="Z663" s="39">
        <v>0</v>
      </c>
      <c r="AA663" s="39">
        <v>0</v>
      </c>
      <c r="AB663" s="39">
        <v>0</v>
      </c>
      <c r="AC663" s="39">
        <v>11.19</v>
      </c>
      <c r="AD663" s="39">
        <v>0</v>
      </c>
      <c r="AE663" s="39">
        <v>32.64</v>
      </c>
      <c r="AF663" s="39">
        <v>0</v>
      </c>
      <c r="AG663" s="39">
        <v>0</v>
      </c>
      <c r="AH663" s="39"/>
      <c r="AI663" s="39"/>
      <c r="AJ663" s="40"/>
      <c r="AK663" s="39">
        <f t="shared" si="50"/>
        <v>4.53</v>
      </c>
      <c r="AL663" s="39">
        <f t="shared" si="53"/>
        <v>3.6524999999999999</v>
      </c>
      <c r="AM663" s="39">
        <f t="shared" si="54"/>
        <v>7.3049999999999997</v>
      </c>
      <c r="AN663" s="39">
        <f t="shared" si="51"/>
        <v>4.383</v>
      </c>
      <c r="AO663" s="39">
        <f t="shared" si="52"/>
        <v>43.83</v>
      </c>
    </row>
    <row r="664" spans="1:41" x14ac:dyDescent="0.3">
      <c r="A664" s="20">
        <v>1000184670</v>
      </c>
      <c r="B664" s="4" t="s">
        <v>147</v>
      </c>
      <c r="C664" s="21"/>
      <c r="D664" s="3"/>
      <c r="E664" s="20">
        <v>1000184760</v>
      </c>
      <c r="F664" s="4" t="s">
        <v>60</v>
      </c>
      <c r="G664" s="21">
        <v>1000189779</v>
      </c>
      <c r="H664" s="3" t="s">
        <v>106</v>
      </c>
      <c r="I664" s="21">
        <v>1000189270</v>
      </c>
      <c r="J664" s="3" t="s">
        <v>34</v>
      </c>
      <c r="K664" s="20" t="s">
        <v>26</v>
      </c>
      <c r="L664" s="39">
        <v>0</v>
      </c>
      <c r="M664" s="39">
        <v>0</v>
      </c>
      <c r="N664" s="39">
        <v>0</v>
      </c>
      <c r="O664" s="39">
        <v>0</v>
      </c>
      <c r="P664" s="39">
        <v>0</v>
      </c>
      <c r="Q664" s="39">
        <v>0</v>
      </c>
      <c r="R664" s="39">
        <v>0</v>
      </c>
      <c r="S664" s="39">
        <v>0</v>
      </c>
      <c r="T664" s="39">
        <v>1200</v>
      </c>
      <c r="U664" s="39">
        <v>0</v>
      </c>
      <c r="V664" s="39">
        <v>0</v>
      </c>
      <c r="W664" s="39">
        <v>0</v>
      </c>
      <c r="X664" s="39">
        <v>0</v>
      </c>
      <c r="Y664" s="39">
        <v>0</v>
      </c>
      <c r="Z664" s="39">
        <v>0</v>
      </c>
      <c r="AA664" s="39">
        <v>0</v>
      </c>
      <c r="AB664" s="39">
        <v>0</v>
      </c>
      <c r="AC664" s="39">
        <v>0</v>
      </c>
      <c r="AD664" s="39">
        <v>324</v>
      </c>
      <c r="AE664" s="39">
        <v>396</v>
      </c>
      <c r="AF664" s="39">
        <v>0</v>
      </c>
      <c r="AG664" s="39">
        <v>-324</v>
      </c>
      <c r="AH664" s="39"/>
      <c r="AI664" s="39"/>
      <c r="AJ664" s="40"/>
      <c r="AK664" s="39">
        <f t="shared" si="50"/>
        <v>100</v>
      </c>
      <c r="AL664" s="39">
        <f t="shared" si="53"/>
        <v>33</v>
      </c>
      <c r="AM664" s="39">
        <f t="shared" si="54"/>
        <v>66</v>
      </c>
      <c r="AN664" s="39">
        <f t="shared" si="51"/>
        <v>39.6</v>
      </c>
      <c r="AO664" s="39">
        <f t="shared" si="52"/>
        <v>396</v>
      </c>
    </row>
    <row r="665" spans="1:41" x14ac:dyDescent="0.3">
      <c r="A665" s="20">
        <v>1000184670</v>
      </c>
      <c r="B665" s="4" t="s">
        <v>147</v>
      </c>
      <c r="C665" s="21"/>
      <c r="D665" s="3"/>
      <c r="E665" s="20">
        <v>1000184760</v>
      </c>
      <c r="F665" s="4" t="s">
        <v>60</v>
      </c>
      <c r="G665" s="21">
        <v>1000189779</v>
      </c>
      <c r="H665" s="3" t="s">
        <v>106</v>
      </c>
      <c r="I665" s="21">
        <v>1000189270</v>
      </c>
      <c r="J665" s="3" t="s">
        <v>34</v>
      </c>
      <c r="K665" s="20" t="s">
        <v>27</v>
      </c>
      <c r="L665" s="39">
        <v>0</v>
      </c>
      <c r="M665" s="39">
        <v>0</v>
      </c>
      <c r="N665" s="39">
        <v>0</v>
      </c>
      <c r="O665" s="39">
        <v>0</v>
      </c>
      <c r="P665" s="39">
        <v>0</v>
      </c>
      <c r="Q665" s="39">
        <v>0</v>
      </c>
      <c r="R665" s="39">
        <v>0</v>
      </c>
      <c r="S665" s="39">
        <v>0</v>
      </c>
      <c r="T665" s="39">
        <v>0</v>
      </c>
      <c r="U665" s="39">
        <v>0</v>
      </c>
      <c r="V665" s="39">
        <v>0</v>
      </c>
      <c r="W665" s="39">
        <v>0</v>
      </c>
      <c r="X665" s="39">
        <v>0</v>
      </c>
      <c r="Y665" s="39">
        <v>0</v>
      </c>
      <c r="Z665" s="39">
        <v>0</v>
      </c>
      <c r="AA665" s="39">
        <v>0</v>
      </c>
      <c r="AB665" s="39">
        <v>0</v>
      </c>
      <c r="AC665" s="39">
        <v>258.3</v>
      </c>
      <c r="AD665" s="39">
        <v>0</v>
      </c>
      <c r="AE665" s="39">
        <v>100.44</v>
      </c>
      <c r="AF665" s="39">
        <v>0</v>
      </c>
      <c r="AG665" s="39">
        <v>-100.44</v>
      </c>
      <c r="AH665" s="39"/>
      <c r="AI665" s="39"/>
      <c r="AJ665" s="40"/>
      <c r="AK665" s="39">
        <f t="shared" si="50"/>
        <v>0</v>
      </c>
      <c r="AL665" s="39">
        <f t="shared" si="53"/>
        <v>21.525000000000002</v>
      </c>
      <c r="AM665" s="39">
        <f t="shared" si="54"/>
        <v>43.050000000000004</v>
      </c>
      <c r="AN665" s="39">
        <f t="shared" si="51"/>
        <v>25.830000000000002</v>
      </c>
      <c r="AO665" s="39">
        <f t="shared" si="52"/>
        <v>258.3</v>
      </c>
    </row>
    <row r="666" spans="1:41" x14ac:dyDescent="0.3">
      <c r="A666" s="20">
        <v>1000184670</v>
      </c>
      <c r="B666" s="4" t="s">
        <v>147</v>
      </c>
      <c r="C666" s="21"/>
      <c r="D666" s="3"/>
      <c r="E666" s="20">
        <v>1000184760</v>
      </c>
      <c r="F666" s="4" t="s">
        <v>60</v>
      </c>
      <c r="G666" s="21">
        <v>1000189779</v>
      </c>
      <c r="H666" s="3" t="s">
        <v>106</v>
      </c>
      <c r="I666" s="21">
        <v>1000189270</v>
      </c>
      <c r="J666" s="3" t="s">
        <v>34</v>
      </c>
      <c r="K666" s="20" t="s">
        <v>25</v>
      </c>
      <c r="L666" s="39">
        <v>0</v>
      </c>
      <c r="M666" s="39">
        <v>0</v>
      </c>
      <c r="N666" s="39">
        <v>0</v>
      </c>
      <c r="O666" s="39">
        <v>0</v>
      </c>
      <c r="P666" s="39">
        <v>0</v>
      </c>
      <c r="Q666" s="39">
        <v>0</v>
      </c>
      <c r="R666" s="39">
        <v>0</v>
      </c>
      <c r="S666" s="39">
        <v>0</v>
      </c>
      <c r="T666" s="39">
        <v>0</v>
      </c>
      <c r="U666" s="39">
        <v>0</v>
      </c>
      <c r="V666" s="39">
        <v>0</v>
      </c>
      <c r="W666" s="39">
        <v>0</v>
      </c>
      <c r="X666" s="39">
        <v>0</v>
      </c>
      <c r="Y666" s="39">
        <v>0</v>
      </c>
      <c r="Z666" s="39">
        <v>0</v>
      </c>
      <c r="AA666" s="39">
        <v>0</v>
      </c>
      <c r="AB666" s="39">
        <v>0</v>
      </c>
      <c r="AC666" s="39">
        <v>85.5</v>
      </c>
      <c r="AD666" s="39">
        <v>148.5</v>
      </c>
      <c r="AE666" s="39">
        <v>277.2</v>
      </c>
      <c r="AF666" s="39">
        <v>0</v>
      </c>
      <c r="AG666" s="39">
        <v>-178.2</v>
      </c>
      <c r="AH666" s="39"/>
      <c r="AI666" s="39"/>
      <c r="AJ666" s="40"/>
      <c r="AK666" s="39">
        <f t="shared" si="50"/>
        <v>0</v>
      </c>
      <c r="AL666" s="39">
        <f t="shared" si="53"/>
        <v>27.75</v>
      </c>
      <c r="AM666" s="39">
        <f t="shared" si="54"/>
        <v>55.5</v>
      </c>
      <c r="AN666" s="39">
        <f t="shared" si="51"/>
        <v>33.299999999999997</v>
      </c>
      <c r="AO666" s="39">
        <f t="shared" si="52"/>
        <v>333</v>
      </c>
    </row>
    <row r="667" spans="1:41" x14ac:dyDescent="0.3">
      <c r="A667" s="20">
        <v>1000184670</v>
      </c>
      <c r="B667" s="4" t="s">
        <v>147</v>
      </c>
      <c r="C667" s="21"/>
      <c r="D667" s="3"/>
      <c r="E667" s="20">
        <v>1000184760</v>
      </c>
      <c r="F667" s="4" t="s">
        <v>60</v>
      </c>
      <c r="G667" s="21">
        <v>1000189780</v>
      </c>
      <c r="H667" s="3" t="s">
        <v>107</v>
      </c>
      <c r="I667" s="21">
        <v>1000189270</v>
      </c>
      <c r="J667" s="3" t="s">
        <v>34</v>
      </c>
      <c r="K667" s="20" t="s">
        <v>124</v>
      </c>
      <c r="L667" s="39">
        <v>0</v>
      </c>
      <c r="M667" s="39">
        <v>0</v>
      </c>
      <c r="N667" s="39">
        <v>0</v>
      </c>
      <c r="O667" s="39">
        <v>0</v>
      </c>
      <c r="P667" s="39">
        <v>0</v>
      </c>
      <c r="Q667" s="39">
        <v>0</v>
      </c>
      <c r="R667" s="39">
        <v>0</v>
      </c>
      <c r="S667" s="39">
        <v>0</v>
      </c>
      <c r="T667" s="39">
        <v>0</v>
      </c>
      <c r="U667" s="39">
        <v>0</v>
      </c>
      <c r="V667" s="39">
        <v>0</v>
      </c>
      <c r="W667" s="39">
        <v>0</v>
      </c>
      <c r="X667" s="39">
        <v>0</v>
      </c>
      <c r="Y667" s="39">
        <v>0</v>
      </c>
      <c r="Z667" s="39">
        <v>0</v>
      </c>
      <c r="AA667" s="39">
        <v>0</v>
      </c>
      <c r="AB667" s="39">
        <v>0</v>
      </c>
      <c r="AC667" s="39">
        <v>0</v>
      </c>
      <c r="AD667" s="39">
        <v>0</v>
      </c>
      <c r="AE667" s="39">
        <v>0</v>
      </c>
      <c r="AF667" s="39">
        <v>0</v>
      </c>
      <c r="AG667" s="39">
        <v>0</v>
      </c>
      <c r="AH667" s="39"/>
      <c r="AI667" s="39"/>
      <c r="AJ667" s="40"/>
      <c r="AK667" s="39">
        <f t="shared" si="50"/>
        <v>0</v>
      </c>
      <c r="AL667" s="39">
        <f t="shared" si="53"/>
        <v>0</v>
      </c>
      <c r="AM667" s="39">
        <f t="shared" si="54"/>
        <v>0</v>
      </c>
      <c r="AN667" s="39">
        <f t="shared" si="51"/>
        <v>0</v>
      </c>
      <c r="AO667" s="39">
        <f t="shared" si="52"/>
        <v>0</v>
      </c>
    </row>
    <row r="668" spans="1:41" x14ac:dyDescent="0.3">
      <c r="A668" s="20">
        <v>1000184670</v>
      </c>
      <c r="B668" s="4" t="s">
        <v>147</v>
      </c>
      <c r="C668" s="21"/>
      <c r="D668" s="3"/>
      <c r="E668" s="20">
        <v>1000184760</v>
      </c>
      <c r="F668" s="4" t="s">
        <v>60</v>
      </c>
      <c r="G668" s="21">
        <v>1000189780</v>
      </c>
      <c r="H668" s="3" t="s">
        <v>107</v>
      </c>
      <c r="I668" s="21">
        <v>1000189270</v>
      </c>
      <c r="J668" s="3" t="s">
        <v>34</v>
      </c>
      <c r="K668" s="20" t="s">
        <v>13</v>
      </c>
      <c r="L668" s="39">
        <v>0</v>
      </c>
      <c r="M668" s="39">
        <v>579.57000000000005</v>
      </c>
      <c r="N668" s="39">
        <v>0</v>
      </c>
      <c r="O668" s="39">
        <v>125.73</v>
      </c>
      <c r="P668" s="39">
        <v>0</v>
      </c>
      <c r="Q668" s="39">
        <v>350.28</v>
      </c>
      <c r="R668" s="39">
        <v>0</v>
      </c>
      <c r="S668" s="39">
        <v>0</v>
      </c>
      <c r="T668" s="39">
        <v>328.8</v>
      </c>
      <c r="U668" s="39">
        <v>0</v>
      </c>
      <c r="V668" s="39">
        <v>0</v>
      </c>
      <c r="W668" s="39">
        <v>0</v>
      </c>
      <c r="X668" s="39">
        <v>0</v>
      </c>
      <c r="Y668" s="39">
        <v>0</v>
      </c>
      <c r="Z668" s="39">
        <v>396</v>
      </c>
      <c r="AA668" s="39">
        <v>0</v>
      </c>
      <c r="AB668" s="39">
        <v>0</v>
      </c>
      <c r="AC668" s="39">
        <v>278.62</v>
      </c>
      <c r="AD668" s="39">
        <v>0</v>
      </c>
      <c r="AE668" s="39">
        <v>312.66000000000003</v>
      </c>
      <c r="AF668" s="39">
        <v>145.80000000000001</v>
      </c>
      <c r="AG668" s="39">
        <v>0</v>
      </c>
      <c r="AH668" s="39"/>
      <c r="AI668" s="39"/>
      <c r="AJ668" s="40"/>
      <c r="AK668" s="39">
        <f t="shared" si="50"/>
        <v>115.36499999999999</v>
      </c>
      <c r="AL668" s="39">
        <f t="shared" si="53"/>
        <v>94.423333333333332</v>
      </c>
      <c r="AM668" s="39">
        <f t="shared" si="54"/>
        <v>122.84666666666665</v>
      </c>
      <c r="AN668" s="39">
        <f t="shared" si="51"/>
        <v>113.30799999999999</v>
      </c>
      <c r="AO668" s="39">
        <f t="shared" si="52"/>
        <v>1133.08</v>
      </c>
    </row>
    <row r="669" spans="1:41" x14ac:dyDescent="0.3">
      <c r="A669" s="20">
        <v>1000184670</v>
      </c>
      <c r="B669" s="4" t="s">
        <v>147</v>
      </c>
      <c r="C669" s="21"/>
      <c r="D669" s="3"/>
      <c r="E669" s="20">
        <v>1000184760</v>
      </c>
      <c r="F669" s="4" t="s">
        <v>60</v>
      </c>
      <c r="G669" s="21">
        <v>1000189780</v>
      </c>
      <c r="H669" s="3" t="s">
        <v>107</v>
      </c>
      <c r="I669" s="21">
        <v>1000189270</v>
      </c>
      <c r="J669" s="3" t="s">
        <v>34</v>
      </c>
      <c r="K669" s="20" t="s">
        <v>14</v>
      </c>
      <c r="L669" s="39">
        <v>0</v>
      </c>
      <c r="M669" s="39">
        <v>559.74</v>
      </c>
      <c r="N669" s="39">
        <v>0</v>
      </c>
      <c r="O669" s="39">
        <v>438.75</v>
      </c>
      <c r="P669" s="39">
        <v>0</v>
      </c>
      <c r="Q669" s="39">
        <v>0</v>
      </c>
      <c r="R669" s="39">
        <v>0</v>
      </c>
      <c r="S669" s="39">
        <v>0</v>
      </c>
      <c r="T669" s="39">
        <v>805.2</v>
      </c>
      <c r="U669" s="39">
        <v>0</v>
      </c>
      <c r="V669" s="39">
        <v>0</v>
      </c>
      <c r="W669" s="39">
        <v>0</v>
      </c>
      <c r="X669" s="39">
        <v>0</v>
      </c>
      <c r="Y669" s="39">
        <v>0</v>
      </c>
      <c r="Z669" s="39">
        <v>0</v>
      </c>
      <c r="AA669" s="39">
        <v>0</v>
      </c>
      <c r="AB669" s="39">
        <v>0</v>
      </c>
      <c r="AC669" s="39">
        <v>0</v>
      </c>
      <c r="AD669" s="39">
        <v>0</v>
      </c>
      <c r="AE669" s="39">
        <v>0</v>
      </c>
      <c r="AF669" s="39">
        <v>0</v>
      </c>
      <c r="AG669" s="39">
        <v>239.4</v>
      </c>
      <c r="AH669" s="39"/>
      <c r="AI669" s="39"/>
      <c r="AJ669" s="40"/>
      <c r="AK669" s="39">
        <f t="shared" si="50"/>
        <v>150.3075</v>
      </c>
      <c r="AL669" s="39">
        <f t="shared" si="53"/>
        <v>19.95</v>
      </c>
      <c r="AM669" s="39">
        <f t="shared" si="54"/>
        <v>39.9</v>
      </c>
      <c r="AN669" s="39">
        <f t="shared" si="51"/>
        <v>23.94</v>
      </c>
      <c r="AO669" s="39">
        <f t="shared" si="52"/>
        <v>239.4</v>
      </c>
    </row>
    <row r="670" spans="1:41" x14ac:dyDescent="0.3">
      <c r="A670" s="20">
        <v>1000184670</v>
      </c>
      <c r="B670" s="4" t="s">
        <v>147</v>
      </c>
      <c r="C670" s="21"/>
      <c r="D670" s="3"/>
      <c r="E670" s="20">
        <v>1000184760</v>
      </c>
      <c r="F670" s="4" t="s">
        <v>60</v>
      </c>
      <c r="G670" s="21">
        <v>1000189780</v>
      </c>
      <c r="H670" s="3" t="s">
        <v>107</v>
      </c>
      <c r="I670" s="21">
        <v>1000189270</v>
      </c>
      <c r="J670" s="3" t="s">
        <v>34</v>
      </c>
      <c r="K670" s="20" t="s">
        <v>16</v>
      </c>
      <c r="L670" s="39">
        <v>0</v>
      </c>
      <c r="M670" s="39">
        <v>0</v>
      </c>
      <c r="N670" s="39">
        <v>0</v>
      </c>
      <c r="O670" s="39">
        <v>0</v>
      </c>
      <c r="P670" s="39">
        <v>0</v>
      </c>
      <c r="Q670" s="39">
        <v>0</v>
      </c>
      <c r="R670" s="39">
        <v>0</v>
      </c>
      <c r="S670" s="39">
        <v>0</v>
      </c>
      <c r="T670" s="39">
        <v>0</v>
      </c>
      <c r="U670" s="39">
        <v>0</v>
      </c>
      <c r="V670" s="39">
        <v>0</v>
      </c>
      <c r="W670" s="39">
        <v>0</v>
      </c>
      <c r="X670" s="39">
        <v>0</v>
      </c>
      <c r="Y670" s="39">
        <v>0</v>
      </c>
      <c r="Z670" s="39">
        <v>76.14</v>
      </c>
      <c r="AA670" s="39">
        <v>0</v>
      </c>
      <c r="AB670" s="39">
        <v>0</v>
      </c>
      <c r="AC670" s="39">
        <v>124.92</v>
      </c>
      <c r="AD670" s="39">
        <v>0</v>
      </c>
      <c r="AE670" s="39">
        <v>141.36000000000001</v>
      </c>
      <c r="AF670" s="39">
        <v>0</v>
      </c>
      <c r="AG670" s="39">
        <v>483.08</v>
      </c>
      <c r="AH670" s="39"/>
      <c r="AI670" s="39"/>
      <c r="AJ670" s="40"/>
      <c r="AK670" s="39">
        <f t="shared" si="50"/>
        <v>0</v>
      </c>
      <c r="AL670" s="39">
        <f t="shared" si="53"/>
        <v>68.791666666666671</v>
      </c>
      <c r="AM670" s="39">
        <f t="shared" si="54"/>
        <v>124.89333333333333</v>
      </c>
      <c r="AN670" s="39">
        <f t="shared" si="51"/>
        <v>82.55</v>
      </c>
      <c r="AO670" s="39">
        <f t="shared" si="52"/>
        <v>825.5</v>
      </c>
    </row>
    <row r="671" spans="1:41" x14ac:dyDescent="0.3">
      <c r="A671" s="20">
        <v>1000184670</v>
      </c>
      <c r="B671" s="4" t="s">
        <v>147</v>
      </c>
      <c r="C671" s="21"/>
      <c r="D671" s="3"/>
      <c r="E671" s="20">
        <v>1000184760</v>
      </c>
      <c r="F671" s="4" t="s">
        <v>60</v>
      </c>
      <c r="G671" s="21">
        <v>1000189780</v>
      </c>
      <c r="H671" s="3" t="s">
        <v>107</v>
      </c>
      <c r="I671" s="21">
        <v>1000189270</v>
      </c>
      <c r="J671" s="3" t="s">
        <v>34</v>
      </c>
      <c r="K671" s="20" t="s">
        <v>15</v>
      </c>
      <c r="L671" s="39">
        <v>0</v>
      </c>
      <c r="M671" s="39">
        <v>0</v>
      </c>
      <c r="N671" s="39">
        <v>0</v>
      </c>
      <c r="O671" s="39">
        <v>230.61</v>
      </c>
      <c r="P671" s="39">
        <v>0</v>
      </c>
      <c r="Q671" s="39">
        <v>430.92</v>
      </c>
      <c r="R671" s="39">
        <v>0</v>
      </c>
      <c r="S671" s="39">
        <v>0</v>
      </c>
      <c r="T671" s="39">
        <v>0</v>
      </c>
      <c r="U671" s="39">
        <v>0</v>
      </c>
      <c r="V671" s="39">
        <v>0</v>
      </c>
      <c r="W671" s="39">
        <v>0</v>
      </c>
      <c r="X671" s="39">
        <v>0</v>
      </c>
      <c r="Y671" s="39">
        <v>0</v>
      </c>
      <c r="Z671" s="39">
        <v>0</v>
      </c>
      <c r="AA671" s="39">
        <v>545.4</v>
      </c>
      <c r="AB671" s="39">
        <v>0</v>
      </c>
      <c r="AC671" s="39">
        <v>221.28</v>
      </c>
      <c r="AD671" s="39">
        <v>0</v>
      </c>
      <c r="AE671" s="39">
        <v>174</v>
      </c>
      <c r="AF671" s="39">
        <v>576.45000000000005</v>
      </c>
      <c r="AG671" s="39">
        <v>51.5</v>
      </c>
      <c r="AH671" s="39"/>
      <c r="AI671" s="39"/>
      <c r="AJ671" s="40"/>
      <c r="AK671" s="39">
        <f t="shared" si="50"/>
        <v>55.127499999999998</v>
      </c>
      <c r="AL671" s="39">
        <f t="shared" si="53"/>
        <v>130.71916666666667</v>
      </c>
      <c r="AM671" s="39">
        <f t="shared" si="54"/>
        <v>170.53833333333333</v>
      </c>
      <c r="AN671" s="39">
        <f t="shared" si="51"/>
        <v>156.863</v>
      </c>
      <c r="AO671" s="39">
        <f t="shared" si="52"/>
        <v>1568.63</v>
      </c>
    </row>
    <row r="672" spans="1:41" x14ac:dyDescent="0.3">
      <c r="A672" s="20">
        <v>1000184670</v>
      </c>
      <c r="B672" s="4" t="s">
        <v>147</v>
      </c>
      <c r="C672" s="21"/>
      <c r="D672" s="3"/>
      <c r="E672" s="20">
        <v>1000184760</v>
      </c>
      <c r="F672" s="4" t="s">
        <v>60</v>
      </c>
      <c r="G672" s="21">
        <v>1000189780</v>
      </c>
      <c r="H672" s="3" t="s">
        <v>107</v>
      </c>
      <c r="I672" s="21">
        <v>1000189270</v>
      </c>
      <c r="J672" s="3" t="s">
        <v>34</v>
      </c>
      <c r="K672" s="20" t="s">
        <v>33</v>
      </c>
      <c r="L672" s="39">
        <v>0</v>
      </c>
      <c r="M672" s="39">
        <v>0</v>
      </c>
      <c r="N672" s="39">
        <v>0</v>
      </c>
      <c r="O672" s="39">
        <v>0</v>
      </c>
      <c r="P672" s="39">
        <v>0</v>
      </c>
      <c r="Q672" s="39">
        <v>0</v>
      </c>
      <c r="R672" s="39">
        <v>0</v>
      </c>
      <c r="S672" s="39">
        <v>0</v>
      </c>
      <c r="T672" s="39">
        <v>0</v>
      </c>
      <c r="U672" s="39">
        <v>0</v>
      </c>
      <c r="V672" s="39">
        <v>0</v>
      </c>
      <c r="W672" s="39">
        <v>0</v>
      </c>
      <c r="X672" s="39">
        <v>0</v>
      </c>
      <c r="Y672" s="39">
        <v>0</v>
      </c>
      <c r="Z672" s="39">
        <v>0</v>
      </c>
      <c r="AA672" s="39">
        <v>0</v>
      </c>
      <c r="AB672" s="39">
        <v>0</v>
      </c>
      <c r="AC672" s="39">
        <v>0</v>
      </c>
      <c r="AD672" s="39">
        <v>0</v>
      </c>
      <c r="AE672" s="39">
        <v>0</v>
      </c>
      <c r="AF672" s="39">
        <v>0</v>
      </c>
      <c r="AG672" s="39">
        <v>0</v>
      </c>
      <c r="AH672" s="39"/>
      <c r="AI672" s="39"/>
      <c r="AJ672" s="40"/>
      <c r="AK672" s="39">
        <f t="shared" si="50"/>
        <v>0</v>
      </c>
      <c r="AL672" s="39">
        <f t="shared" si="53"/>
        <v>0</v>
      </c>
      <c r="AM672" s="39">
        <f t="shared" si="54"/>
        <v>0</v>
      </c>
      <c r="AN672" s="39">
        <f t="shared" si="51"/>
        <v>0</v>
      </c>
      <c r="AO672" s="39">
        <f t="shared" si="52"/>
        <v>0</v>
      </c>
    </row>
    <row r="673" spans="1:41" x14ac:dyDescent="0.3">
      <c r="A673" s="20">
        <v>1000184670</v>
      </c>
      <c r="B673" s="4" t="s">
        <v>147</v>
      </c>
      <c r="C673" s="21"/>
      <c r="D673" s="3"/>
      <c r="E673" s="20">
        <v>1000184760</v>
      </c>
      <c r="F673" s="4" t="s">
        <v>60</v>
      </c>
      <c r="G673" s="21">
        <v>1000189780</v>
      </c>
      <c r="H673" s="3" t="s">
        <v>107</v>
      </c>
      <c r="I673" s="21">
        <v>1000189270</v>
      </c>
      <c r="J673" s="3" t="s">
        <v>34</v>
      </c>
      <c r="K673" s="20" t="s">
        <v>19</v>
      </c>
      <c r="L673" s="39">
        <v>0</v>
      </c>
      <c r="M673" s="39">
        <v>0</v>
      </c>
      <c r="N673" s="39">
        <v>0</v>
      </c>
      <c r="O673" s="39">
        <v>115.83</v>
      </c>
      <c r="P673" s="39">
        <v>0</v>
      </c>
      <c r="Q673" s="39">
        <v>102.06</v>
      </c>
      <c r="R673" s="39">
        <v>0</v>
      </c>
      <c r="S673" s="39">
        <v>0</v>
      </c>
      <c r="T673" s="39">
        <v>0</v>
      </c>
      <c r="U673" s="39">
        <v>0</v>
      </c>
      <c r="V673" s="39">
        <v>0</v>
      </c>
      <c r="W673" s="39">
        <v>0</v>
      </c>
      <c r="X673" s="39">
        <v>0</v>
      </c>
      <c r="Y673" s="39">
        <v>0</v>
      </c>
      <c r="Z673" s="39">
        <v>144</v>
      </c>
      <c r="AA673" s="39">
        <v>0</v>
      </c>
      <c r="AB673" s="39">
        <v>0</v>
      </c>
      <c r="AC673" s="39">
        <v>0</v>
      </c>
      <c r="AD673" s="39">
        <v>0</v>
      </c>
      <c r="AE673" s="39">
        <v>0</v>
      </c>
      <c r="AF673" s="39">
        <v>0</v>
      </c>
      <c r="AG673" s="39">
        <v>269.32</v>
      </c>
      <c r="AH673" s="39"/>
      <c r="AI673" s="39"/>
      <c r="AJ673" s="40"/>
      <c r="AK673" s="39">
        <f t="shared" si="50"/>
        <v>18.157499999999999</v>
      </c>
      <c r="AL673" s="39">
        <f t="shared" si="53"/>
        <v>34.443333333333335</v>
      </c>
      <c r="AM673" s="39">
        <f t="shared" si="54"/>
        <v>44.886666666666663</v>
      </c>
      <c r="AN673" s="39">
        <f t="shared" si="51"/>
        <v>41.332000000000001</v>
      </c>
      <c r="AO673" s="39">
        <f t="shared" si="52"/>
        <v>413.32</v>
      </c>
    </row>
    <row r="674" spans="1:41" x14ac:dyDescent="0.3">
      <c r="A674" s="20">
        <v>1000184670</v>
      </c>
      <c r="B674" s="4" t="s">
        <v>147</v>
      </c>
      <c r="C674" s="21"/>
      <c r="D674" s="3"/>
      <c r="E674" s="20">
        <v>1000184760</v>
      </c>
      <c r="F674" s="4" t="s">
        <v>60</v>
      </c>
      <c r="G674" s="21">
        <v>1000189780</v>
      </c>
      <c r="H674" s="3" t="s">
        <v>107</v>
      </c>
      <c r="I674" s="21">
        <v>1000189270</v>
      </c>
      <c r="J674" s="3" t="s">
        <v>34</v>
      </c>
      <c r="K674" s="20" t="s">
        <v>17</v>
      </c>
      <c r="L674" s="39">
        <v>0</v>
      </c>
      <c r="M674" s="39">
        <v>123.12</v>
      </c>
      <c r="N674" s="39">
        <v>0</v>
      </c>
      <c r="O674" s="39">
        <v>173.75</v>
      </c>
      <c r="P674" s="39">
        <v>0</v>
      </c>
      <c r="Q674" s="39">
        <v>129.6</v>
      </c>
      <c r="R674" s="39">
        <v>0</v>
      </c>
      <c r="S674" s="39">
        <v>0</v>
      </c>
      <c r="T674" s="39">
        <v>0</v>
      </c>
      <c r="U674" s="39">
        <v>0</v>
      </c>
      <c r="V674" s="39">
        <v>0</v>
      </c>
      <c r="W674" s="39">
        <v>0</v>
      </c>
      <c r="X674" s="39">
        <v>0</v>
      </c>
      <c r="Y674" s="39">
        <v>0</v>
      </c>
      <c r="Z674" s="39">
        <v>0</v>
      </c>
      <c r="AA674" s="39">
        <v>0</v>
      </c>
      <c r="AB674" s="39">
        <v>0</v>
      </c>
      <c r="AC674" s="39">
        <v>131.04</v>
      </c>
      <c r="AD674" s="39">
        <v>486</v>
      </c>
      <c r="AE674" s="39">
        <v>0</v>
      </c>
      <c r="AF674" s="39">
        <v>0</v>
      </c>
      <c r="AG674" s="39">
        <v>0</v>
      </c>
      <c r="AH674" s="39"/>
      <c r="AI674" s="39"/>
      <c r="AJ674" s="40"/>
      <c r="AK674" s="39">
        <f t="shared" si="50"/>
        <v>35.539166666666667</v>
      </c>
      <c r="AL674" s="39">
        <f t="shared" si="53"/>
        <v>51.419999999999995</v>
      </c>
      <c r="AM674" s="39">
        <f t="shared" si="54"/>
        <v>102.83999999999999</v>
      </c>
      <c r="AN674" s="39">
        <f t="shared" si="51"/>
        <v>61.703999999999994</v>
      </c>
      <c r="AO674" s="39">
        <f t="shared" si="52"/>
        <v>617.04</v>
      </c>
    </row>
    <row r="675" spans="1:41" x14ac:dyDescent="0.3">
      <c r="A675" s="20">
        <v>1000184670</v>
      </c>
      <c r="B675" s="4" t="s">
        <v>147</v>
      </c>
      <c r="C675" s="21"/>
      <c r="D675" s="3"/>
      <c r="E675" s="20">
        <v>1000184760</v>
      </c>
      <c r="F675" s="4" t="s">
        <v>60</v>
      </c>
      <c r="G675" s="21">
        <v>1000189780</v>
      </c>
      <c r="H675" s="3" t="s">
        <v>107</v>
      </c>
      <c r="I675" s="21">
        <v>1000189270</v>
      </c>
      <c r="J675" s="3" t="s">
        <v>34</v>
      </c>
      <c r="K675" s="20" t="s">
        <v>24</v>
      </c>
      <c r="L675" s="39">
        <v>0</v>
      </c>
      <c r="M675" s="39">
        <v>0</v>
      </c>
      <c r="N675" s="39">
        <v>0</v>
      </c>
      <c r="O675" s="39">
        <v>0</v>
      </c>
      <c r="P675" s="39">
        <v>0</v>
      </c>
      <c r="Q675" s="39">
        <v>0</v>
      </c>
      <c r="R675" s="39">
        <v>0</v>
      </c>
      <c r="S675" s="39">
        <v>0</v>
      </c>
      <c r="T675" s="39">
        <v>0</v>
      </c>
      <c r="U675" s="39">
        <v>0</v>
      </c>
      <c r="V675" s="39">
        <v>0</v>
      </c>
      <c r="W675" s="39">
        <v>0</v>
      </c>
      <c r="X675" s="39">
        <v>0</v>
      </c>
      <c r="Y675" s="39">
        <v>0</v>
      </c>
      <c r="Z675" s="39">
        <v>0</v>
      </c>
      <c r="AA675" s="39">
        <v>0</v>
      </c>
      <c r="AB675" s="39">
        <v>0</v>
      </c>
      <c r="AC675" s="39">
        <v>0</v>
      </c>
      <c r="AD675" s="39">
        <v>0</v>
      </c>
      <c r="AE675" s="39">
        <v>46.68</v>
      </c>
      <c r="AF675" s="39">
        <v>0</v>
      </c>
      <c r="AG675" s="39">
        <v>0</v>
      </c>
      <c r="AH675" s="39"/>
      <c r="AI675" s="39"/>
      <c r="AJ675" s="40"/>
      <c r="AK675" s="39">
        <f t="shared" si="50"/>
        <v>0</v>
      </c>
      <c r="AL675" s="39">
        <f t="shared" si="53"/>
        <v>3.89</v>
      </c>
      <c r="AM675" s="39">
        <f t="shared" si="54"/>
        <v>7.78</v>
      </c>
      <c r="AN675" s="39">
        <f t="shared" si="51"/>
        <v>4.6680000000000001</v>
      </c>
      <c r="AO675" s="39">
        <f t="shared" si="52"/>
        <v>46.68</v>
      </c>
    </row>
    <row r="676" spans="1:41" x14ac:dyDescent="0.3">
      <c r="A676" s="20">
        <v>1000184670</v>
      </c>
      <c r="B676" s="4" t="s">
        <v>147</v>
      </c>
      <c r="C676" s="21"/>
      <c r="D676" s="3"/>
      <c r="E676" s="20">
        <v>1000184760</v>
      </c>
      <c r="F676" s="4" t="s">
        <v>60</v>
      </c>
      <c r="G676" s="19">
        <v>1000189780</v>
      </c>
      <c r="H676" s="3" t="s">
        <v>107</v>
      </c>
      <c r="I676" s="21">
        <v>1000189270</v>
      </c>
      <c r="J676" s="3" t="s">
        <v>34</v>
      </c>
      <c r="K676" s="20" t="s">
        <v>18</v>
      </c>
      <c r="L676" s="39">
        <v>0</v>
      </c>
      <c r="M676" s="39">
        <v>74.099999999999994</v>
      </c>
      <c r="N676" s="39">
        <v>0</v>
      </c>
      <c r="O676" s="39">
        <v>0</v>
      </c>
      <c r="P676" s="39">
        <v>0</v>
      </c>
      <c r="Q676" s="39">
        <v>0</v>
      </c>
      <c r="R676" s="39">
        <v>0</v>
      </c>
      <c r="S676" s="39">
        <v>0</v>
      </c>
      <c r="T676" s="39">
        <v>0</v>
      </c>
      <c r="U676" s="39">
        <v>0</v>
      </c>
      <c r="V676" s="39">
        <v>0</v>
      </c>
      <c r="W676" s="39">
        <v>0</v>
      </c>
      <c r="X676" s="39">
        <v>0</v>
      </c>
      <c r="Y676" s="39">
        <v>0</v>
      </c>
      <c r="Z676" s="39">
        <v>78</v>
      </c>
      <c r="AA676" s="39">
        <v>0</v>
      </c>
      <c r="AB676" s="39">
        <v>0</v>
      </c>
      <c r="AC676" s="39">
        <v>0</v>
      </c>
      <c r="AD676" s="39">
        <v>25.54</v>
      </c>
      <c r="AE676" s="39">
        <v>0</v>
      </c>
      <c r="AF676" s="39">
        <v>53.92</v>
      </c>
      <c r="AG676" s="39">
        <v>0</v>
      </c>
      <c r="AH676" s="39"/>
      <c r="AI676" s="39"/>
      <c r="AJ676" s="40"/>
      <c r="AK676" s="39">
        <f t="shared" si="50"/>
        <v>6.1749999999999998</v>
      </c>
      <c r="AL676" s="39">
        <f t="shared" si="53"/>
        <v>13.121666666666664</v>
      </c>
      <c r="AM676" s="39">
        <f t="shared" si="54"/>
        <v>13.243333333333334</v>
      </c>
      <c r="AN676" s="39">
        <f t="shared" si="51"/>
        <v>15.745999999999999</v>
      </c>
      <c r="AO676" s="39">
        <f t="shared" si="52"/>
        <v>157.45999999999998</v>
      </c>
    </row>
    <row r="677" spans="1:41" x14ac:dyDescent="0.3">
      <c r="A677" s="20">
        <v>1000184670</v>
      </c>
      <c r="B677" s="4" t="s">
        <v>147</v>
      </c>
      <c r="C677" s="21"/>
      <c r="D677" s="3"/>
      <c r="E677" s="20">
        <v>1000184760</v>
      </c>
      <c r="F677" s="4" t="s">
        <v>60</v>
      </c>
      <c r="G677" s="19">
        <v>1000189780</v>
      </c>
      <c r="H677" s="3" t="s">
        <v>107</v>
      </c>
      <c r="I677" s="21">
        <v>1000189270</v>
      </c>
      <c r="J677" s="3" t="s">
        <v>34</v>
      </c>
      <c r="K677" s="20" t="s">
        <v>29</v>
      </c>
      <c r="L677" s="39">
        <v>0</v>
      </c>
      <c r="M677" s="39">
        <v>0</v>
      </c>
      <c r="N677" s="39">
        <v>0</v>
      </c>
      <c r="O677" s="39">
        <v>0</v>
      </c>
      <c r="P677" s="39">
        <v>0</v>
      </c>
      <c r="Q677" s="39">
        <v>0</v>
      </c>
      <c r="R677" s="39">
        <v>0</v>
      </c>
      <c r="S677" s="39">
        <v>0</v>
      </c>
      <c r="T677" s="39">
        <v>0</v>
      </c>
      <c r="U677" s="39">
        <v>0</v>
      </c>
      <c r="V677" s="39">
        <v>0</v>
      </c>
      <c r="W677" s="39">
        <v>0</v>
      </c>
      <c r="X677" s="39">
        <v>0</v>
      </c>
      <c r="Y677" s="39">
        <v>0</v>
      </c>
      <c r="Z677" s="39">
        <v>0</v>
      </c>
      <c r="AA677" s="39">
        <v>0</v>
      </c>
      <c r="AB677" s="39">
        <v>0</v>
      </c>
      <c r="AC677" s="39">
        <v>0</v>
      </c>
      <c r="AD677" s="39">
        <v>0</v>
      </c>
      <c r="AE677" s="39">
        <v>180</v>
      </c>
      <c r="AF677" s="39">
        <v>0</v>
      </c>
      <c r="AG677" s="39">
        <v>0</v>
      </c>
      <c r="AH677" s="39"/>
      <c r="AI677" s="39"/>
      <c r="AJ677" s="40"/>
      <c r="AK677" s="39">
        <f t="shared" si="50"/>
        <v>0</v>
      </c>
      <c r="AL677" s="39">
        <f t="shared" si="53"/>
        <v>15</v>
      </c>
      <c r="AM677" s="39">
        <f t="shared" si="54"/>
        <v>30</v>
      </c>
      <c r="AN677" s="39">
        <f t="shared" si="51"/>
        <v>18</v>
      </c>
      <c r="AO677" s="39">
        <f t="shared" si="52"/>
        <v>180</v>
      </c>
    </row>
    <row r="678" spans="1:41" x14ac:dyDescent="0.3">
      <c r="A678" s="20">
        <v>1000184670</v>
      </c>
      <c r="B678" s="4" t="s">
        <v>147</v>
      </c>
      <c r="C678" s="21"/>
      <c r="D678" s="3"/>
      <c r="E678" s="20">
        <v>1000184760</v>
      </c>
      <c r="F678" s="4" t="s">
        <v>60</v>
      </c>
      <c r="G678" s="19">
        <v>1000189780</v>
      </c>
      <c r="H678" s="3" t="s">
        <v>107</v>
      </c>
      <c r="I678" s="21">
        <v>1000189270</v>
      </c>
      <c r="J678" s="3" t="s">
        <v>34</v>
      </c>
      <c r="K678" s="20" t="s">
        <v>21</v>
      </c>
      <c r="L678" s="39">
        <v>0</v>
      </c>
      <c r="M678" s="39">
        <v>0</v>
      </c>
      <c r="N678" s="39">
        <v>0</v>
      </c>
      <c r="O678" s="39">
        <v>0</v>
      </c>
      <c r="P678" s="39">
        <v>0</v>
      </c>
      <c r="Q678" s="39">
        <v>0</v>
      </c>
      <c r="R678" s="39">
        <v>0</v>
      </c>
      <c r="S678" s="39">
        <v>0</v>
      </c>
      <c r="T678" s="39">
        <v>0</v>
      </c>
      <c r="U678" s="39">
        <v>0</v>
      </c>
      <c r="V678" s="39">
        <v>0</v>
      </c>
      <c r="W678" s="39">
        <v>0</v>
      </c>
      <c r="X678" s="39">
        <v>0</v>
      </c>
      <c r="Y678" s="39">
        <v>0</v>
      </c>
      <c r="Z678" s="39">
        <v>0</v>
      </c>
      <c r="AA678" s="39">
        <v>0</v>
      </c>
      <c r="AB678" s="39">
        <v>0</v>
      </c>
      <c r="AC678" s="39">
        <v>31.22</v>
      </c>
      <c r="AD678" s="39">
        <v>138.63999999999999</v>
      </c>
      <c r="AE678" s="39">
        <v>0</v>
      </c>
      <c r="AF678" s="39">
        <v>0</v>
      </c>
      <c r="AG678" s="39">
        <v>63.5</v>
      </c>
      <c r="AH678" s="39"/>
      <c r="AI678" s="39"/>
      <c r="AJ678" s="40"/>
      <c r="AK678" s="39">
        <f t="shared" si="50"/>
        <v>0</v>
      </c>
      <c r="AL678" s="39">
        <f t="shared" si="53"/>
        <v>19.446666666666665</v>
      </c>
      <c r="AM678" s="39">
        <f t="shared" si="54"/>
        <v>38.893333333333331</v>
      </c>
      <c r="AN678" s="39">
        <f t="shared" si="51"/>
        <v>23.335999999999999</v>
      </c>
      <c r="AO678" s="39">
        <f t="shared" si="52"/>
        <v>233.35999999999999</v>
      </c>
    </row>
    <row r="679" spans="1:41" x14ac:dyDescent="0.3">
      <c r="A679" s="20">
        <v>1000184670</v>
      </c>
      <c r="B679" s="4" t="s">
        <v>147</v>
      </c>
      <c r="C679" s="21"/>
      <c r="D679" s="3"/>
      <c r="E679" s="20">
        <v>1000184760</v>
      </c>
      <c r="F679" s="4" t="s">
        <v>60</v>
      </c>
      <c r="G679" s="21">
        <v>1000189780</v>
      </c>
      <c r="H679" s="3" t="s">
        <v>107</v>
      </c>
      <c r="I679" s="21">
        <v>1000189270</v>
      </c>
      <c r="J679" s="3" t="s">
        <v>34</v>
      </c>
      <c r="K679" s="20" t="s">
        <v>20</v>
      </c>
      <c r="L679" s="39">
        <v>0</v>
      </c>
      <c r="M679" s="39">
        <v>532.37</v>
      </c>
      <c r="N679" s="39">
        <v>0</v>
      </c>
      <c r="O679" s="39">
        <v>79.56</v>
      </c>
      <c r="P679" s="39">
        <v>0</v>
      </c>
      <c r="Q679" s="39">
        <v>778.62</v>
      </c>
      <c r="R679" s="39">
        <v>0</v>
      </c>
      <c r="S679" s="39">
        <v>0</v>
      </c>
      <c r="T679" s="39">
        <v>715.74</v>
      </c>
      <c r="U679" s="39">
        <v>0</v>
      </c>
      <c r="V679" s="39">
        <v>0</v>
      </c>
      <c r="W679" s="39">
        <v>0</v>
      </c>
      <c r="X679" s="39">
        <v>0</v>
      </c>
      <c r="Y679" s="39">
        <v>0</v>
      </c>
      <c r="Z679" s="39">
        <v>1100.7</v>
      </c>
      <c r="AA679" s="39">
        <v>0</v>
      </c>
      <c r="AB679" s="39">
        <v>0</v>
      </c>
      <c r="AC679" s="39">
        <v>1024.8699999999999</v>
      </c>
      <c r="AD679" s="39">
        <v>542</v>
      </c>
      <c r="AE679" s="39">
        <v>50.52</v>
      </c>
      <c r="AF679" s="39">
        <v>334.43</v>
      </c>
      <c r="AG679" s="39">
        <v>0</v>
      </c>
      <c r="AH679" s="39"/>
      <c r="AI679" s="39"/>
      <c r="AJ679" s="40"/>
      <c r="AK679" s="39">
        <f t="shared" si="50"/>
        <v>175.52416666666667</v>
      </c>
      <c r="AL679" s="39">
        <f t="shared" si="53"/>
        <v>254.37666666666664</v>
      </c>
      <c r="AM679" s="39">
        <f t="shared" si="54"/>
        <v>325.30333333333334</v>
      </c>
      <c r="AN679" s="39">
        <f t="shared" si="51"/>
        <v>305.25199999999995</v>
      </c>
      <c r="AO679" s="39">
        <f t="shared" si="52"/>
        <v>3052.5199999999995</v>
      </c>
    </row>
    <row r="680" spans="1:41" x14ac:dyDescent="0.3">
      <c r="A680" s="20">
        <v>1000184670</v>
      </c>
      <c r="B680" s="4" t="s">
        <v>147</v>
      </c>
      <c r="C680" s="21"/>
      <c r="D680" s="3"/>
      <c r="E680" s="20">
        <v>1000184760</v>
      </c>
      <c r="F680" s="4" t="s">
        <v>60</v>
      </c>
      <c r="G680" s="21">
        <v>1000189780</v>
      </c>
      <c r="H680" s="3" t="s">
        <v>107</v>
      </c>
      <c r="I680" s="21">
        <v>1000189270</v>
      </c>
      <c r="J680" s="3" t="s">
        <v>34</v>
      </c>
      <c r="K680" s="20" t="s">
        <v>22</v>
      </c>
      <c r="L680" s="39">
        <v>0</v>
      </c>
      <c r="M680" s="39">
        <v>153.9</v>
      </c>
      <c r="N680" s="39">
        <v>0</v>
      </c>
      <c r="O680" s="39">
        <v>111.15</v>
      </c>
      <c r="P680" s="39">
        <v>0</v>
      </c>
      <c r="Q680" s="39">
        <v>114</v>
      </c>
      <c r="R680" s="39">
        <v>0</v>
      </c>
      <c r="S680" s="39">
        <v>0</v>
      </c>
      <c r="T680" s="39">
        <v>447.6</v>
      </c>
      <c r="U680" s="39">
        <v>0</v>
      </c>
      <c r="V680" s="39">
        <v>0</v>
      </c>
      <c r="W680" s="39">
        <v>0</v>
      </c>
      <c r="X680" s="39">
        <v>0</v>
      </c>
      <c r="Y680" s="39">
        <v>0</v>
      </c>
      <c r="Z680" s="39">
        <v>260.39999999999998</v>
      </c>
      <c r="AA680" s="39">
        <v>0</v>
      </c>
      <c r="AB680" s="39">
        <v>0</v>
      </c>
      <c r="AC680" s="39">
        <v>152.88</v>
      </c>
      <c r="AD680" s="39">
        <v>249.7</v>
      </c>
      <c r="AE680" s="39">
        <v>0</v>
      </c>
      <c r="AF680" s="39">
        <v>119.7</v>
      </c>
      <c r="AG680" s="39">
        <v>0</v>
      </c>
      <c r="AH680" s="39"/>
      <c r="AI680" s="39"/>
      <c r="AJ680" s="40"/>
      <c r="AK680" s="39">
        <f t="shared" si="50"/>
        <v>68.887500000000003</v>
      </c>
      <c r="AL680" s="39">
        <f t="shared" si="53"/>
        <v>65.223333333333343</v>
      </c>
      <c r="AM680" s="39">
        <f t="shared" si="54"/>
        <v>87.046666666666667</v>
      </c>
      <c r="AN680" s="39">
        <f t="shared" si="51"/>
        <v>78.268000000000001</v>
      </c>
      <c r="AO680" s="39">
        <f t="shared" si="52"/>
        <v>782.68000000000006</v>
      </c>
    </row>
    <row r="681" spans="1:41" x14ac:dyDescent="0.3">
      <c r="A681" s="20">
        <v>1000184670</v>
      </c>
      <c r="B681" s="4" t="s">
        <v>147</v>
      </c>
      <c r="C681" s="21"/>
      <c r="D681" s="3"/>
      <c r="E681" s="20">
        <v>1000184760</v>
      </c>
      <c r="F681" s="4" t="s">
        <v>60</v>
      </c>
      <c r="G681" s="21">
        <v>1000189780</v>
      </c>
      <c r="H681" s="3" t="s">
        <v>107</v>
      </c>
      <c r="I681" s="21">
        <v>1000189270</v>
      </c>
      <c r="J681" s="3" t="s">
        <v>34</v>
      </c>
      <c r="K681" s="20" t="s">
        <v>23</v>
      </c>
      <c r="L681" s="39">
        <v>0</v>
      </c>
      <c r="M681" s="39">
        <v>0</v>
      </c>
      <c r="N681" s="39">
        <v>0</v>
      </c>
      <c r="O681" s="39">
        <v>0</v>
      </c>
      <c r="P681" s="39">
        <v>0</v>
      </c>
      <c r="Q681" s="39">
        <v>0</v>
      </c>
      <c r="R681" s="39">
        <v>0</v>
      </c>
      <c r="S681" s="39">
        <v>0</v>
      </c>
      <c r="T681" s="39">
        <v>0</v>
      </c>
      <c r="U681" s="39">
        <v>0</v>
      </c>
      <c r="V681" s="39">
        <v>0</v>
      </c>
      <c r="W681" s="39">
        <v>0</v>
      </c>
      <c r="X681" s="39">
        <v>0</v>
      </c>
      <c r="Y681" s="39">
        <v>0</v>
      </c>
      <c r="Z681" s="39">
        <v>0</v>
      </c>
      <c r="AA681" s="39">
        <v>0</v>
      </c>
      <c r="AB681" s="39">
        <v>0</v>
      </c>
      <c r="AC681" s="39">
        <v>0</v>
      </c>
      <c r="AD681" s="39">
        <v>44.28</v>
      </c>
      <c r="AE681" s="39">
        <v>0</v>
      </c>
      <c r="AF681" s="39">
        <v>0</v>
      </c>
      <c r="AG681" s="39">
        <v>0</v>
      </c>
      <c r="AH681" s="39"/>
      <c r="AI681" s="39"/>
      <c r="AJ681" s="40"/>
      <c r="AK681" s="39">
        <f t="shared" si="50"/>
        <v>0</v>
      </c>
      <c r="AL681" s="39">
        <f t="shared" si="53"/>
        <v>3.69</v>
      </c>
      <c r="AM681" s="39">
        <f t="shared" si="54"/>
        <v>7.38</v>
      </c>
      <c r="AN681" s="39">
        <f t="shared" si="51"/>
        <v>4.4279999999999999</v>
      </c>
      <c r="AO681" s="39">
        <f t="shared" si="52"/>
        <v>44.28</v>
      </c>
    </row>
    <row r="682" spans="1:41" x14ac:dyDescent="0.3">
      <c r="A682" s="20">
        <v>1000184670</v>
      </c>
      <c r="B682" s="4" t="s">
        <v>147</v>
      </c>
      <c r="C682" s="21"/>
      <c r="D682" s="3"/>
      <c r="E682" s="20">
        <v>1000184760</v>
      </c>
      <c r="F682" s="4" t="s">
        <v>60</v>
      </c>
      <c r="G682" s="21">
        <v>1000189780</v>
      </c>
      <c r="H682" s="3" t="s">
        <v>107</v>
      </c>
      <c r="I682" s="21">
        <v>1000189270</v>
      </c>
      <c r="J682" s="3" t="s">
        <v>34</v>
      </c>
      <c r="K682" s="20" t="s">
        <v>28</v>
      </c>
      <c r="L682" s="39">
        <v>0</v>
      </c>
      <c r="M682" s="39">
        <v>103.28</v>
      </c>
      <c r="N682" s="39">
        <v>0</v>
      </c>
      <c r="O682" s="39">
        <v>53</v>
      </c>
      <c r="P682" s="39">
        <v>0</v>
      </c>
      <c r="Q682" s="39">
        <v>54.36</v>
      </c>
      <c r="R682" s="39">
        <v>0</v>
      </c>
      <c r="S682" s="39">
        <v>0</v>
      </c>
      <c r="T682" s="39">
        <v>108.72</v>
      </c>
      <c r="U682" s="39">
        <v>0</v>
      </c>
      <c r="V682" s="39">
        <v>0</v>
      </c>
      <c r="W682" s="39">
        <v>0</v>
      </c>
      <c r="X682" s="39">
        <v>0</v>
      </c>
      <c r="Y682" s="39">
        <v>0</v>
      </c>
      <c r="Z682" s="39">
        <v>0</v>
      </c>
      <c r="AA682" s="39">
        <v>0</v>
      </c>
      <c r="AB682" s="39">
        <v>0</v>
      </c>
      <c r="AC682" s="39">
        <v>98.94</v>
      </c>
      <c r="AD682" s="39">
        <v>0</v>
      </c>
      <c r="AE682" s="39">
        <v>0</v>
      </c>
      <c r="AF682" s="39">
        <v>206.72</v>
      </c>
      <c r="AG682" s="39">
        <v>0</v>
      </c>
      <c r="AH682" s="39"/>
      <c r="AI682" s="39"/>
      <c r="AJ682" s="40"/>
      <c r="AK682" s="39">
        <f t="shared" si="50"/>
        <v>26.613333333333333</v>
      </c>
      <c r="AL682" s="39">
        <f t="shared" si="53"/>
        <v>25.471666666666664</v>
      </c>
      <c r="AM682" s="39">
        <f t="shared" si="54"/>
        <v>50.943333333333328</v>
      </c>
      <c r="AN682" s="39">
        <f t="shared" si="51"/>
        <v>30.565999999999995</v>
      </c>
      <c r="AO682" s="39">
        <f t="shared" si="52"/>
        <v>305.65999999999997</v>
      </c>
    </row>
    <row r="683" spans="1:41" x14ac:dyDescent="0.3">
      <c r="A683" s="20">
        <v>1000184670</v>
      </c>
      <c r="B683" s="4" t="s">
        <v>147</v>
      </c>
      <c r="C683" s="21"/>
      <c r="D683" s="3"/>
      <c r="E683" s="20">
        <v>1000184760</v>
      </c>
      <c r="F683" s="4" t="s">
        <v>60</v>
      </c>
      <c r="G683" s="21">
        <v>1000189780</v>
      </c>
      <c r="H683" s="3" t="s">
        <v>107</v>
      </c>
      <c r="I683" s="21">
        <v>1000189270</v>
      </c>
      <c r="J683" s="3" t="s">
        <v>34</v>
      </c>
      <c r="K683" s="20" t="s">
        <v>26</v>
      </c>
      <c r="L683" s="39">
        <v>0</v>
      </c>
      <c r="M683" s="39">
        <v>0</v>
      </c>
      <c r="N683" s="39">
        <v>0</v>
      </c>
      <c r="O683" s="39">
        <v>0</v>
      </c>
      <c r="P683" s="39">
        <v>0</v>
      </c>
      <c r="Q683" s="39">
        <v>0</v>
      </c>
      <c r="R683" s="39">
        <v>0</v>
      </c>
      <c r="S683" s="39">
        <v>0</v>
      </c>
      <c r="T683" s="39">
        <v>0</v>
      </c>
      <c r="U683" s="39">
        <v>0</v>
      </c>
      <c r="V683" s="39">
        <v>0</v>
      </c>
      <c r="W683" s="39">
        <v>0</v>
      </c>
      <c r="X683" s="39">
        <v>0</v>
      </c>
      <c r="Y683" s="39">
        <v>0</v>
      </c>
      <c r="Z683" s="39">
        <v>0</v>
      </c>
      <c r="AA683" s="39">
        <v>0</v>
      </c>
      <c r="AB683" s="39">
        <v>0</v>
      </c>
      <c r="AC683" s="39">
        <v>0</v>
      </c>
      <c r="AD683" s="39">
        <v>0</v>
      </c>
      <c r="AE683" s="39">
        <v>0</v>
      </c>
      <c r="AF683" s="39">
        <v>0</v>
      </c>
      <c r="AG683" s="39">
        <v>102.6</v>
      </c>
      <c r="AH683" s="39"/>
      <c r="AI683" s="39"/>
      <c r="AJ683" s="40"/>
      <c r="AK683" s="39">
        <f t="shared" si="50"/>
        <v>0</v>
      </c>
      <c r="AL683" s="39">
        <f t="shared" si="53"/>
        <v>8.5499999999999989</v>
      </c>
      <c r="AM683" s="39">
        <f t="shared" si="54"/>
        <v>17.099999999999998</v>
      </c>
      <c r="AN683" s="39">
        <f t="shared" si="51"/>
        <v>10.26</v>
      </c>
      <c r="AO683" s="39">
        <f t="shared" si="52"/>
        <v>102.6</v>
      </c>
    </row>
    <row r="684" spans="1:41" x14ac:dyDescent="0.3">
      <c r="A684" s="20">
        <v>1000184670</v>
      </c>
      <c r="B684" s="4" t="s">
        <v>147</v>
      </c>
      <c r="C684" s="21"/>
      <c r="D684" s="3"/>
      <c r="E684" s="20">
        <v>1000184760</v>
      </c>
      <c r="F684" s="4" t="s">
        <v>60</v>
      </c>
      <c r="G684" s="21">
        <v>1000189780</v>
      </c>
      <c r="H684" s="3" t="s">
        <v>107</v>
      </c>
      <c r="I684" s="21">
        <v>1000189270</v>
      </c>
      <c r="J684" s="3" t="s">
        <v>34</v>
      </c>
      <c r="K684" s="20" t="s">
        <v>27</v>
      </c>
      <c r="L684" s="39">
        <v>0</v>
      </c>
      <c r="M684" s="39">
        <v>0</v>
      </c>
      <c r="N684" s="39">
        <v>0</v>
      </c>
      <c r="O684" s="39">
        <v>413.4</v>
      </c>
      <c r="P684" s="39">
        <v>0</v>
      </c>
      <c r="Q684" s="39">
        <v>0</v>
      </c>
      <c r="R684" s="39">
        <v>0</v>
      </c>
      <c r="S684" s="39">
        <v>0</v>
      </c>
      <c r="T684" s="39">
        <v>0</v>
      </c>
      <c r="U684" s="39">
        <v>0</v>
      </c>
      <c r="V684" s="39">
        <v>0</v>
      </c>
      <c r="W684" s="39">
        <v>0</v>
      </c>
      <c r="X684" s="39">
        <v>0</v>
      </c>
      <c r="Y684" s="39">
        <v>0</v>
      </c>
      <c r="Z684" s="39">
        <v>818.4</v>
      </c>
      <c r="AA684" s="39">
        <v>0</v>
      </c>
      <c r="AB684" s="39">
        <v>0</v>
      </c>
      <c r="AC684" s="39">
        <v>0</v>
      </c>
      <c r="AD684" s="39">
        <v>0</v>
      </c>
      <c r="AE684" s="39">
        <v>0</v>
      </c>
      <c r="AF684" s="39">
        <v>0</v>
      </c>
      <c r="AG684" s="39">
        <v>69.25</v>
      </c>
      <c r="AH684" s="39"/>
      <c r="AI684" s="39"/>
      <c r="AJ684" s="40"/>
      <c r="AK684" s="39">
        <f t="shared" si="50"/>
        <v>34.449999999999996</v>
      </c>
      <c r="AL684" s="39">
        <f t="shared" si="53"/>
        <v>73.970833333333331</v>
      </c>
      <c r="AM684" s="39">
        <f t="shared" si="54"/>
        <v>11.541666666666666</v>
      </c>
      <c r="AN684" s="39">
        <f t="shared" si="51"/>
        <v>88.765000000000001</v>
      </c>
      <c r="AO684" s="39">
        <f t="shared" si="52"/>
        <v>887.65</v>
      </c>
    </row>
    <row r="685" spans="1:41" x14ac:dyDescent="0.3">
      <c r="A685" s="20">
        <v>1000184670</v>
      </c>
      <c r="B685" s="4" t="s">
        <v>147</v>
      </c>
      <c r="C685" s="21"/>
      <c r="D685" s="3"/>
      <c r="E685" s="20">
        <v>1000184760</v>
      </c>
      <c r="F685" s="4" t="s">
        <v>60</v>
      </c>
      <c r="G685" s="21">
        <v>1000189780</v>
      </c>
      <c r="H685" s="3" t="s">
        <v>107</v>
      </c>
      <c r="I685" s="21">
        <v>1000189270</v>
      </c>
      <c r="J685" s="3" t="s">
        <v>34</v>
      </c>
      <c r="K685" s="20" t="s">
        <v>25</v>
      </c>
      <c r="L685" s="39">
        <v>0</v>
      </c>
      <c r="M685" s="39">
        <v>0</v>
      </c>
      <c r="N685" s="39">
        <v>0</v>
      </c>
      <c r="O685" s="39">
        <v>0</v>
      </c>
      <c r="P685" s="39">
        <v>0</v>
      </c>
      <c r="Q685" s="39">
        <v>0</v>
      </c>
      <c r="R685" s="39">
        <v>0</v>
      </c>
      <c r="S685" s="39">
        <v>0</v>
      </c>
      <c r="T685" s="39">
        <v>0</v>
      </c>
      <c r="U685" s="39">
        <v>0</v>
      </c>
      <c r="V685" s="39">
        <v>0</v>
      </c>
      <c r="W685" s="39">
        <v>0</v>
      </c>
      <c r="X685" s="39">
        <v>0</v>
      </c>
      <c r="Y685" s="39">
        <v>0</v>
      </c>
      <c r="Z685" s="39">
        <v>0</v>
      </c>
      <c r="AA685" s="39">
        <v>0</v>
      </c>
      <c r="AB685" s="39">
        <v>0</v>
      </c>
      <c r="AC685" s="39">
        <v>0</v>
      </c>
      <c r="AD685" s="39">
        <v>0</v>
      </c>
      <c r="AE685" s="39">
        <v>0</v>
      </c>
      <c r="AF685" s="39">
        <v>0</v>
      </c>
      <c r="AG685" s="39">
        <v>0</v>
      </c>
      <c r="AH685" s="39"/>
      <c r="AI685" s="39"/>
      <c r="AJ685" s="40"/>
      <c r="AK685" s="39">
        <f t="shared" si="50"/>
        <v>0</v>
      </c>
      <c r="AL685" s="39">
        <f t="shared" si="53"/>
        <v>0</v>
      </c>
      <c r="AM685" s="39">
        <f t="shared" si="54"/>
        <v>0</v>
      </c>
      <c r="AN685" s="39">
        <f t="shared" si="51"/>
        <v>0</v>
      </c>
      <c r="AO685" s="39">
        <f t="shared" si="52"/>
        <v>0</v>
      </c>
    </row>
    <row r="686" spans="1:41" x14ac:dyDescent="0.3">
      <c r="A686" s="20">
        <v>1000184670</v>
      </c>
      <c r="B686" s="4" t="s">
        <v>147</v>
      </c>
      <c r="C686" s="21"/>
      <c r="D686" s="3"/>
      <c r="E686" s="20">
        <v>1000184760</v>
      </c>
      <c r="F686" s="4" t="s">
        <v>60</v>
      </c>
      <c r="G686" s="21">
        <v>1000189781</v>
      </c>
      <c r="H686" s="3" t="s">
        <v>108</v>
      </c>
      <c r="I686" s="21">
        <v>1000189270</v>
      </c>
      <c r="J686" s="3" t="s">
        <v>34</v>
      </c>
      <c r="K686" s="20" t="s">
        <v>124</v>
      </c>
      <c r="L686" s="39">
        <v>0</v>
      </c>
      <c r="M686" s="39">
        <v>0</v>
      </c>
      <c r="N686" s="39">
        <v>0</v>
      </c>
      <c r="O686" s="39">
        <v>0</v>
      </c>
      <c r="P686" s="39">
        <v>0</v>
      </c>
      <c r="Q686" s="39">
        <v>0</v>
      </c>
      <c r="R686" s="39">
        <v>0</v>
      </c>
      <c r="S686" s="39">
        <v>0</v>
      </c>
      <c r="T686" s="39">
        <v>0</v>
      </c>
      <c r="U686" s="39">
        <v>0</v>
      </c>
      <c r="V686" s="39">
        <v>0</v>
      </c>
      <c r="W686" s="39">
        <v>0</v>
      </c>
      <c r="X686" s="39">
        <v>0</v>
      </c>
      <c r="Y686" s="39">
        <v>0</v>
      </c>
      <c r="Z686" s="39">
        <v>0</v>
      </c>
      <c r="AA686" s="39">
        <v>0</v>
      </c>
      <c r="AB686" s="39">
        <v>0</v>
      </c>
      <c r="AC686" s="39">
        <v>0</v>
      </c>
      <c r="AD686" s="39">
        <v>0</v>
      </c>
      <c r="AE686" s="39">
        <v>0</v>
      </c>
      <c r="AF686" s="39">
        <v>0</v>
      </c>
      <c r="AG686" s="39">
        <v>0</v>
      </c>
      <c r="AH686" s="39"/>
      <c r="AI686" s="39"/>
      <c r="AJ686" s="40"/>
      <c r="AK686" s="39">
        <f t="shared" si="50"/>
        <v>0</v>
      </c>
      <c r="AL686" s="39">
        <f t="shared" si="53"/>
        <v>0</v>
      </c>
      <c r="AM686" s="39">
        <f t="shared" si="54"/>
        <v>0</v>
      </c>
      <c r="AN686" s="39">
        <f t="shared" si="51"/>
        <v>0</v>
      </c>
      <c r="AO686" s="39">
        <f t="shared" si="52"/>
        <v>0</v>
      </c>
    </row>
    <row r="687" spans="1:41" x14ac:dyDescent="0.3">
      <c r="A687" s="20">
        <v>1000184670</v>
      </c>
      <c r="B687" s="4" t="s">
        <v>147</v>
      </c>
      <c r="C687" s="21"/>
      <c r="D687" s="3"/>
      <c r="E687" s="20">
        <v>1000184760</v>
      </c>
      <c r="F687" s="4" t="s">
        <v>60</v>
      </c>
      <c r="G687" s="21">
        <v>1000189781</v>
      </c>
      <c r="H687" s="3" t="s">
        <v>108</v>
      </c>
      <c r="I687" s="21">
        <v>1000189270</v>
      </c>
      <c r="J687" s="3" t="s">
        <v>34</v>
      </c>
      <c r="K687" s="20" t="s">
        <v>13</v>
      </c>
      <c r="L687" s="39">
        <v>1021.52</v>
      </c>
      <c r="M687" s="39">
        <v>0</v>
      </c>
      <c r="N687" s="39">
        <v>0</v>
      </c>
      <c r="O687" s="39">
        <v>0</v>
      </c>
      <c r="P687" s="39">
        <v>0</v>
      </c>
      <c r="Q687" s="39">
        <v>0</v>
      </c>
      <c r="R687" s="39">
        <v>0</v>
      </c>
      <c r="S687" s="39">
        <v>0</v>
      </c>
      <c r="T687" s="39">
        <v>0</v>
      </c>
      <c r="U687" s="39">
        <v>0</v>
      </c>
      <c r="V687" s="39">
        <v>0</v>
      </c>
      <c r="W687" s="39">
        <v>0</v>
      </c>
      <c r="X687" s="39">
        <v>0</v>
      </c>
      <c r="Y687" s="39">
        <v>0</v>
      </c>
      <c r="Z687" s="39">
        <v>341.29</v>
      </c>
      <c r="AA687" s="39">
        <v>0</v>
      </c>
      <c r="AB687" s="39">
        <v>0</v>
      </c>
      <c r="AC687" s="39">
        <v>116.48</v>
      </c>
      <c r="AD687" s="39">
        <v>0</v>
      </c>
      <c r="AE687" s="39">
        <v>116.77</v>
      </c>
      <c r="AF687" s="39">
        <v>0</v>
      </c>
      <c r="AG687" s="39">
        <v>0</v>
      </c>
      <c r="AH687" s="39"/>
      <c r="AI687" s="39"/>
      <c r="AJ687" s="40"/>
      <c r="AK687" s="39">
        <f t="shared" si="50"/>
        <v>85.126666666666665</v>
      </c>
      <c r="AL687" s="39">
        <f t="shared" si="53"/>
        <v>47.878333333333337</v>
      </c>
      <c r="AM687" s="39">
        <f t="shared" si="54"/>
        <v>38.875</v>
      </c>
      <c r="AN687" s="39">
        <f t="shared" si="51"/>
        <v>57.454000000000008</v>
      </c>
      <c r="AO687" s="39">
        <f t="shared" si="52"/>
        <v>574.54000000000008</v>
      </c>
    </row>
    <row r="688" spans="1:41" x14ac:dyDescent="0.3">
      <c r="A688" s="20">
        <v>1000184670</v>
      </c>
      <c r="B688" s="4" t="s">
        <v>147</v>
      </c>
      <c r="C688" s="21"/>
      <c r="D688" s="3"/>
      <c r="E688" s="20">
        <v>1000184760</v>
      </c>
      <c r="F688" s="4" t="s">
        <v>60</v>
      </c>
      <c r="G688" s="21">
        <v>1000189781</v>
      </c>
      <c r="H688" s="3" t="s">
        <v>108</v>
      </c>
      <c r="I688" s="21">
        <v>1000189270</v>
      </c>
      <c r="J688" s="3" t="s">
        <v>34</v>
      </c>
      <c r="K688" s="20" t="s">
        <v>14</v>
      </c>
      <c r="L688" s="39">
        <v>0</v>
      </c>
      <c r="M688" s="39">
        <v>0</v>
      </c>
      <c r="N688" s="39">
        <v>0</v>
      </c>
      <c r="O688" s="39">
        <v>0</v>
      </c>
      <c r="P688" s="39">
        <v>0</v>
      </c>
      <c r="Q688" s="39">
        <v>0</v>
      </c>
      <c r="R688" s="39">
        <v>0</v>
      </c>
      <c r="S688" s="39">
        <v>0</v>
      </c>
      <c r="T688" s="39">
        <v>0</v>
      </c>
      <c r="U688" s="39">
        <v>0</v>
      </c>
      <c r="V688" s="39">
        <v>0</v>
      </c>
      <c r="W688" s="39">
        <v>0</v>
      </c>
      <c r="X688" s="39">
        <v>0</v>
      </c>
      <c r="Y688" s="39">
        <v>0</v>
      </c>
      <c r="Z688" s="39">
        <v>440.96</v>
      </c>
      <c r="AA688" s="39">
        <v>0</v>
      </c>
      <c r="AB688" s="39">
        <v>0</v>
      </c>
      <c r="AC688" s="39">
        <v>0</v>
      </c>
      <c r="AD688" s="39">
        <v>0</v>
      </c>
      <c r="AE688" s="39">
        <v>0</v>
      </c>
      <c r="AF688" s="39">
        <v>0</v>
      </c>
      <c r="AG688" s="39">
        <v>0</v>
      </c>
      <c r="AH688" s="39"/>
      <c r="AI688" s="39"/>
      <c r="AJ688" s="40"/>
      <c r="AK688" s="39">
        <f t="shared" ref="AK688:AK751" si="55">AVERAGE(L688:W688)</f>
        <v>0</v>
      </c>
      <c r="AL688" s="39">
        <f t="shared" si="53"/>
        <v>36.746666666666663</v>
      </c>
      <c r="AM688" s="39">
        <f t="shared" si="54"/>
        <v>0</v>
      </c>
      <c r="AN688" s="39">
        <f t="shared" ref="AN688:AN751" si="56">AVERAGE(X688:AI688)</f>
        <v>44.095999999999997</v>
      </c>
      <c r="AO688" s="39">
        <f t="shared" ref="AO688:AO751" si="57">SUM(X688:AI688)</f>
        <v>440.96</v>
      </c>
    </row>
    <row r="689" spans="1:41" x14ac:dyDescent="0.3">
      <c r="A689" s="20">
        <v>1000184670</v>
      </c>
      <c r="B689" s="4" t="s">
        <v>147</v>
      </c>
      <c r="C689" s="21"/>
      <c r="D689" s="3"/>
      <c r="E689" s="20">
        <v>1000184760</v>
      </c>
      <c r="F689" s="4" t="s">
        <v>60</v>
      </c>
      <c r="G689" s="21">
        <v>1000189781</v>
      </c>
      <c r="H689" s="3" t="s">
        <v>108</v>
      </c>
      <c r="I689" s="21">
        <v>1000189270</v>
      </c>
      <c r="J689" s="3" t="s">
        <v>34</v>
      </c>
      <c r="K689" s="20" t="s">
        <v>16</v>
      </c>
      <c r="L689" s="39">
        <v>0</v>
      </c>
      <c r="M689" s="39">
        <v>0</v>
      </c>
      <c r="N689" s="39">
        <v>0</v>
      </c>
      <c r="O689" s="39">
        <v>0</v>
      </c>
      <c r="P689" s="39">
        <v>0</v>
      </c>
      <c r="Q689" s="39">
        <v>0</v>
      </c>
      <c r="R689" s="39">
        <v>0</v>
      </c>
      <c r="S689" s="39">
        <v>0</v>
      </c>
      <c r="T689" s="39">
        <v>0</v>
      </c>
      <c r="U689" s="39">
        <v>0</v>
      </c>
      <c r="V689" s="39">
        <v>0</v>
      </c>
      <c r="W689" s="39">
        <v>0</v>
      </c>
      <c r="X689" s="39">
        <v>0</v>
      </c>
      <c r="Y689" s="39">
        <v>0</v>
      </c>
      <c r="Z689" s="39">
        <v>663.15</v>
      </c>
      <c r="AA689" s="39">
        <v>0</v>
      </c>
      <c r="AB689" s="39">
        <v>0</v>
      </c>
      <c r="AC689" s="39">
        <v>327.10000000000002</v>
      </c>
      <c r="AD689" s="39">
        <v>0</v>
      </c>
      <c r="AE689" s="39">
        <v>194.87</v>
      </c>
      <c r="AF689" s="39">
        <v>0</v>
      </c>
      <c r="AG689" s="39">
        <v>0</v>
      </c>
      <c r="AH689" s="39"/>
      <c r="AI689" s="39"/>
      <c r="AJ689" s="40"/>
      <c r="AK689" s="39">
        <f t="shared" si="55"/>
        <v>0</v>
      </c>
      <c r="AL689" s="39">
        <f t="shared" si="53"/>
        <v>98.759999999999991</v>
      </c>
      <c r="AM689" s="39">
        <f t="shared" si="54"/>
        <v>86.995000000000005</v>
      </c>
      <c r="AN689" s="39">
        <f t="shared" si="56"/>
        <v>118.51199999999999</v>
      </c>
      <c r="AO689" s="39">
        <f t="shared" si="57"/>
        <v>1185.1199999999999</v>
      </c>
    </row>
    <row r="690" spans="1:41" x14ac:dyDescent="0.3">
      <c r="A690" s="20">
        <v>1000184670</v>
      </c>
      <c r="B690" s="4" t="s">
        <v>147</v>
      </c>
      <c r="C690" s="21"/>
      <c r="D690" s="3"/>
      <c r="E690" s="20">
        <v>1000184760</v>
      </c>
      <c r="F690" s="4" t="s">
        <v>60</v>
      </c>
      <c r="G690" s="21">
        <v>1000189781</v>
      </c>
      <c r="H690" s="3" t="s">
        <v>108</v>
      </c>
      <c r="I690" s="21">
        <v>1000189270</v>
      </c>
      <c r="J690" s="3" t="s">
        <v>34</v>
      </c>
      <c r="K690" s="20" t="s">
        <v>15</v>
      </c>
      <c r="L690" s="39">
        <v>0</v>
      </c>
      <c r="M690" s="39">
        <v>0</v>
      </c>
      <c r="N690" s="39">
        <v>0</v>
      </c>
      <c r="O690" s="39">
        <v>0</v>
      </c>
      <c r="P690" s="39">
        <v>0</v>
      </c>
      <c r="Q690" s="39">
        <v>0</v>
      </c>
      <c r="R690" s="39">
        <v>0</v>
      </c>
      <c r="S690" s="39">
        <v>0</v>
      </c>
      <c r="T690" s="39">
        <v>0</v>
      </c>
      <c r="U690" s="39">
        <v>0</v>
      </c>
      <c r="V690" s="39">
        <v>0</v>
      </c>
      <c r="W690" s="39">
        <v>0</v>
      </c>
      <c r="X690" s="39">
        <v>0</v>
      </c>
      <c r="Y690" s="39">
        <v>0</v>
      </c>
      <c r="Z690" s="39">
        <v>646.21</v>
      </c>
      <c r="AA690" s="39">
        <v>0</v>
      </c>
      <c r="AB690" s="39">
        <v>0</v>
      </c>
      <c r="AC690" s="39">
        <v>444.36</v>
      </c>
      <c r="AD690" s="39">
        <v>0</v>
      </c>
      <c r="AE690" s="39">
        <v>430.65</v>
      </c>
      <c r="AF690" s="39">
        <v>0</v>
      </c>
      <c r="AG690" s="39">
        <v>0</v>
      </c>
      <c r="AH690" s="39"/>
      <c r="AI690" s="39"/>
      <c r="AJ690" s="40"/>
      <c r="AK690" s="39">
        <f t="shared" si="55"/>
        <v>0</v>
      </c>
      <c r="AL690" s="39">
        <f t="shared" si="53"/>
        <v>126.76833333333336</v>
      </c>
      <c r="AM690" s="39">
        <f t="shared" si="54"/>
        <v>145.83500000000001</v>
      </c>
      <c r="AN690" s="39">
        <f t="shared" si="56"/>
        <v>152.12200000000001</v>
      </c>
      <c r="AO690" s="39">
        <f t="shared" si="57"/>
        <v>1521.2200000000003</v>
      </c>
    </row>
    <row r="691" spans="1:41" x14ac:dyDescent="0.3">
      <c r="A691" s="20">
        <v>1000184670</v>
      </c>
      <c r="B691" s="4" t="s">
        <v>147</v>
      </c>
      <c r="C691" s="21"/>
      <c r="D691" s="3"/>
      <c r="E691" s="20">
        <v>1000184760</v>
      </c>
      <c r="F691" s="4" t="s">
        <v>60</v>
      </c>
      <c r="G691" s="21">
        <v>1000189781</v>
      </c>
      <c r="H691" s="3" t="s">
        <v>108</v>
      </c>
      <c r="I691" s="21">
        <v>1000189270</v>
      </c>
      <c r="J691" s="3" t="s">
        <v>34</v>
      </c>
      <c r="K691" s="20" t="s">
        <v>33</v>
      </c>
      <c r="L691" s="39">
        <v>0</v>
      </c>
      <c r="M691" s="39">
        <v>0</v>
      </c>
      <c r="N691" s="39">
        <v>0</v>
      </c>
      <c r="O691" s="39">
        <v>0</v>
      </c>
      <c r="P691" s="39">
        <v>0</v>
      </c>
      <c r="Q691" s="39">
        <v>0</v>
      </c>
      <c r="R691" s="39">
        <v>0</v>
      </c>
      <c r="S691" s="39">
        <v>0</v>
      </c>
      <c r="T691" s="39">
        <v>0</v>
      </c>
      <c r="U691" s="39">
        <v>0</v>
      </c>
      <c r="V691" s="39">
        <v>0</v>
      </c>
      <c r="W691" s="39">
        <v>0</v>
      </c>
      <c r="X691" s="39">
        <v>0</v>
      </c>
      <c r="Y691" s="39">
        <v>0</v>
      </c>
      <c r="Z691" s="39">
        <v>0</v>
      </c>
      <c r="AA691" s="39">
        <v>0</v>
      </c>
      <c r="AB691" s="39">
        <v>0</v>
      </c>
      <c r="AC691" s="39">
        <v>0</v>
      </c>
      <c r="AD691" s="39">
        <v>0</v>
      </c>
      <c r="AE691" s="39">
        <v>0</v>
      </c>
      <c r="AF691" s="39">
        <v>0</v>
      </c>
      <c r="AG691" s="39">
        <v>0</v>
      </c>
      <c r="AH691" s="39"/>
      <c r="AI691" s="39"/>
      <c r="AJ691" s="40"/>
      <c r="AK691" s="39">
        <f t="shared" si="55"/>
        <v>0</v>
      </c>
      <c r="AL691" s="39">
        <f t="shared" si="53"/>
        <v>0</v>
      </c>
      <c r="AM691" s="39">
        <f t="shared" si="54"/>
        <v>0</v>
      </c>
      <c r="AN691" s="39">
        <f t="shared" si="56"/>
        <v>0</v>
      </c>
      <c r="AO691" s="39">
        <f t="shared" si="57"/>
        <v>0</v>
      </c>
    </row>
    <row r="692" spans="1:41" x14ac:dyDescent="0.3">
      <c r="A692" s="20">
        <v>1000184670</v>
      </c>
      <c r="B692" s="4" t="s">
        <v>147</v>
      </c>
      <c r="C692" s="21"/>
      <c r="D692" s="3"/>
      <c r="E692" s="20">
        <v>1000184760</v>
      </c>
      <c r="F692" s="4" t="s">
        <v>60</v>
      </c>
      <c r="G692" s="21">
        <v>1000189781</v>
      </c>
      <c r="H692" s="3" t="s">
        <v>108</v>
      </c>
      <c r="I692" s="21">
        <v>1000189270</v>
      </c>
      <c r="J692" s="3" t="s">
        <v>34</v>
      </c>
      <c r="K692" s="20" t="s">
        <v>19</v>
      </c>
      <c r="L692" s="39">
        <v>0</v>
      </c>
      <c r="M692" s="39">
        <v>0</v>
      </c>
      <c r="N692" s="39">
        <v>0</v>
      </c>
      <c r="O692" s="39">
        <v>0</v>
      </c>
      <c r="P692" s="39">
        <v>0</v>
      </c>
      <c r="Q692" s="39">
        <v>0</v>
      </c>
      <c r="R692" s="39">
        <v>0</v>
      </c>
      <c r="S692" s="39">
        <v>0</v>
      </c>
      <c r="T692" s="39">
        <v>0</v>
      </c>
      <c r="U692" s="39">
        <v>0</v>
      </c>
      <c r="V692" s="39">
        <v>0</v>
      </c>
      <c r="W692" s="39">
        <v>0</v>
      </c>
      <c r="X692" s="39">
        <v>0</v>
      </c>
      <c r="Y692" s="39">
        <v>0</v>
      </c>
      <c r="Z692" s="39">
        <v>0</v>
      </c>
      <c r="AA692" s="39">
        <v>0</v>
      </c>
      <c r="AB692" s="39">
        <v>0</v>
      </c>
      <c r="AC692" s="39">
        <v>0</v>
      </c>
      <c r="AD692" s="39">
        <v>0</v>
      </c>
      <c r="AE692" s="39">
        <v>0</v>
      </c>
      <c r="AF692" s="39">
        <v>0</v>
      </c>
      <c r="AG692" s="39">
        <v>0</v>
      </c>
      <c r="AH692" s="39"/>
      <c r="AI692" s="39"/>
      <c r="AJ692" s="40"/>
      <c r="AK692" s="39">
        <f t="shared" si="55"/>
        <v>0</v>
      </c>
      <c r="AL692" s="39">
        <f t="shared" si="53"/>
        <v>0</v>
      </c>
      <c r="AM692" s="39">
        <f t="shared" si="54"/>
        <v>0</v>
      </c>
      <c r="AN692" s="39">
        <f t="shared" si="56"/>
        <v>0</v>
      </c>
      <c r="AO692" s="39">
        <f t="shared" si="57"/>
        <v>0</v>
      </c>
    </row>
    <row r="693" spans="1:41" x14ac:dyDescent="0.3">
      <c r="A693" s="20">
        <v>1000184670</v>
      </c>
      <c r="B693" s="4" t="s">
        <v>147</v>
      </c>
      <c r="C693" s="21"/>
      <c r="D693" s="3"/>
      <c r="E693" s="20">
        <v>1000184760</v>
      </c>
      <c r="F693" s="4" t="s">
        <v>60</v>
      </c>
      <c r="G693" s="21">
        <v>1000189781</v>
      </c>
      <c r="H693" s="3" t="s">
        <v>108</v>
      </c>
      <c r="I693" s="21">
        <v>1000189270</v>
      </c>
      <c r="J693" s="3" t="s">
        <v>34</v>
      </c>
      <c r="K693" s="20" t="s">
        <v>17</v>
      </c>
      <c r="L693" s="39">
        <v>0</v>
      </c>
      <c r="M693" s="39">
        <v>0</v>
      </c>
      <c r="N693" s="39">
        <v>0</v>
      </c>
      <c r="O693" s="39">
        <v>0</v>
      </c>
      <c r="P693" s="39">
        <v>0</v>
      </c>
      <c r="Q693" s="39">
        <v>0</v>
      </c>
      <c r="R693" s="39">
        <v>0</v>
      </c>
      <c r="S693" s="39">
        <v>0</v>
      </c>
      <c r="T693" s="39">
        <v>0</v>
      </c>
      <c r="U693" s="39">
        <v>0</v>
      </c>
      <c r="V693" s="39">
        <v>0</v>
      </c>
      <c r="W693" s="39">
        <v>0</v>
      </c>
      <c r="X693" s="39">
        <v>0</v>
      </c>
      <c r="Y693" s="39">
        <v>0</v>
      </c>
      <c r="Z693" s="39">
        <v>0</v>
      </c>
      <c r="AA693" s="39">
        <v>0</v>
      </c>
      <c r="AB693" s="39">
        <v>0</v>
      </c>
      <c r="AC693" s="39">
        <v>0</v>
      </c>
      <c r="AD693" s="39">
        <v>0</v>
      </c>
      <c r="AE693" s="39">
        <v>0</v>
      </c>
      <c r="AF693" s="39">
        <v>0</v>
      </c>
      <c r="AG693" s="39">
        <v>0</v>
      </c>
      <c r="AH693" s="39"/>
      <c r="AI693" s="39"/>
      <c r="AJ693" s="40"/>
      <c r="AK693" s="39">
        <f t="shared" si="55"/>
        <v>0</v>
      </c>
      <c r="AL693" s="39">
        <f t="shared" si="53"/>
        <v>0</v>
      </c>
      <c r="AM693" s="39">
        <f t="shared" si="54"/>
        <v>0</v>
      </c>
      <c r="AN693" s="39">
        <f t="shared" si="56"/>
        <v>0</v>
      </c>
      <c r="AO693" s="39">
        <f t="shared" si="57"/>
        <v>0</v>
      </c>
    </row>
    <row r="694" spans="1:41" x14ac:dyDescent="0.3">
      <c r="A694" s="20">
        <v>1000184670</v>
      </c>
      <c r="B694" s="4" t="s">
        <v>147</v>
      </c>
      <c r="C694" s="21"/>
      <c r="D694" s="3"/>
      <c r="E694" s="20">
        <v>1000184760</v>
      </c>
      <c r="F694" s="4" t="s">
        <v>60</v>
      </c>
      <c r="G694" s="21">
        <v>1000189781</v>
      </c>
      <c r="H694" s="3" t="s">
        <v>108</v>
      </c>
      <c r="I694" s="21">
        <v>1000189270</v>
      </c>
      <c r="J694" s="3" t="s">
        <v>34</v>
      </c>
      <c r="K694" s="20" t="s">
        <v>24</v>
      </c>
      <c r="L694" s="39">
        <v>0</v>
      </c>
      <c r="M694" s="39">
        <v>0</v>
      </c>
      <c r="N694" s="39">
        <v>0</v>
      </c>
      <c r="O694" s="39">
        <v>0</v>
      </c>
      <c r="P694" s="39">
        <v>0</v>
      </c>
      <c r="Q694" s="39">
        <v>0</v>
      </c>
      <c r="R694" s="39">
        <v>0</v>
      </c>
      <c r="S694" s="39">
        <v>0</v>
      </c>
      <c r="T694" s="39">
        <v>0</v>
      </c>
      <c r="U694" s="39">
        <v>0</v>
      </c>
      <c r="V694" s="39">
        <v>0</v>
      </c>
      <c r="W694" s="39">
        <v>0</v>
      </c>
      <c r="X694" s="39">
        <v>0</v>
      </c>
      <c r="Y694" s="39">
        <v>0</v>
      </c>
      <c r="Z694" s="39">
        <v>318.94</v>
      </c>
      <c r="AA694" s="39">
        <v>0</v>
      </c>
      <c r="AB694" s="39">
        <v>0</v>
      </c>
      <c r="AC694" s="39">
        <v>147.57</v>
      </c>
      <c r="AD694" s="39">
        <v>0</v>
      </c>
      <c r="AE694" s="39">
        <v>130.31</v>
      </c>
      <c r="AF694" s="39">
        <v>0</v>
      </c>
      <c r="AG694" s="39">
        <v>0</v>
      </c>
      <c r="AH694" s="39"/>
      <c r="AI694" s="39"/>
      <c r="AJ694" s="40"/>
      <c r="AK694" s="39">
        <f t="shared" si="55"/>
        <v>0</v>
      </c>
      <c r="AL694" s="39">
        <f t="shared" si="53"/>
        <v>49.734999999999992</v>
      </c>
      <c r="AM694" s="39">
        <f t="shared" si="54"/>
        <v>46.313333333333333</v>
      </c>
      <c r="AN694" s="39">
        <f t="shared" si="56"/>
        <v>59.681999999999995</v>
      </c>
      <c r="AO694" s="39">
        <f t="shared" si="57"/>
        <v>596.81999999999994</v>
      </c>
    </row>
    <row r="695" spans="1:41" x14ac:dyDescent="0.3">
      <c r="A695" s="20">
        <v>1000184670</v>
      </c>
      <c r="B695" s="4" t="s">
        <v>147</v>
      </c>
      <c r="C695" s="21"/>
      <c r="D695" s="3"/>
      <c r="E695" s="20">
        <v>1000184760</v>
      </c>
      <c r="F695" s="4" t="s">
        <v>60</v>
      </c>
      <c r="G695" s="21">
        <v>1000189781</v>
      </c>
      <c r="H695" s="3" t="s">
        <v>108</v>
      </c>
      <c r="I695" s="21">
        <v>1000189270</v>
      </c>
      <c r="J695" s="3" t="s">
        <v>34</v>
      </c>
      <c r="K695" s="20" t="s">
        <v>18</v>
      </c>
      <c r="L695" s="39">
        <v>0</v>
      </c>
      <c r="M695" s="39">
        <v>0</v>
      </c>
      <c r="N695" s="39">
        <v>0</v>
      </c>
      <c r="O695" s="39">
        <v>0</v>
      </c>
      <c r="P695" s="39">
        <v>0</v>
      </c>
      <c r="Q695" s="39">
        <v>0</v>
      </c>
      <c r="R695" s="39">
        <v>0</v>
      </c>
      <c r="S695" s="39">
        <v>0</v>
      </c>
      <c r="T695" s="39">
        <v>0</v>
      </c>
      <c r="U695" s="39">
        <v>0</v>
      </c>
      <c r="V695" s="39">
        <v>0</v>
      </c>
      <c r="W695" s="39">
        <v>0</v>
      </c>
      <c r="X695" s="39">
        <v>0</v>
      </c>
      <c r="Y695" s="39">
        <v>0</v>
      </c>
      <c r="Z695" s="39">
        <v>138.63999999999999</v>
      </c>
      <c r="AA695" s="39">
        <v>0</v>
      </c>
      <c r="AB695" s="39">
        <v>0</v>
      </c>
      <c r="AC695" s="39">
        <v>58.82</v>
      </c>
      <c r="AD695" s="39">
        <v>0</v>
      </c>
      <c r="AE695" s="39">
        <v>72</v>
      </c>
      <c r="AF695" s="39">
        <v>0</v>
      </c>
      <c r="AG695" s="39">
        <v>0</v>
      </c>
      <c r="AH695" s="39"/>
      <c r="AI695" s="39"/>
      <c r="AJ695" s="40"/>
      <c r="AK695" s="39">
        <f t="shared" si="55"/>
        <v>0</v>
      </c>
      <c r="AL695" s="39">
        <f t="shared" si="53"/>
        <v>22.454999999999998</v>
      </c>
      <c r="AM695" s="39">
        <f t="shared" si="54"/>
        <v>21.803333333333331</v>
      </c>
      <c r="AN695" s="39">
        <f t="shared" si="56"/>
        <v>26.945999999999998</v>
      </c>
      <c r="AO695" s="39">
        <f t="shared" si="57"/>
        <v>269.45999999999998</v>
      </c>
    </row>
    <row r="696" spans="1:41" x14ac:dyDescent="0.3">
      <c r="A696" s="20">
        <v>1000184670</v>
      </c>
      <c r="B696" s="4" t="s">
        <v>147</v>
      </c>
      <c r="C696" s="21"/>
      <c r="D696" s="3"/>
      <c r="E696" s="20">
        <v>1000184760</v>
      </c>
      <c r="F696" s="4" t="s">
        <v>60</v>
      </c>
      <c r="G696" s="21">
        <v>1000189781</v>
      </c>
      <c r="H696" s="3" t="s">
        <v>108</v>
      </c>
      <c r="I696" s="21">
        <v>1000189270</v>
      </c>
      <c r="J696" s="3" t="s">
        <v>34</v>
      </c>
      <c r="K696" s="20" t="s">
        <v>29</v>
      </c>
      <c r="L696" s="39">
        <v>0</v>
      </c>
      <c r="M696" s="39">
        <v>0</v>
      </c>
      <c r="N696" s="39">
        <v>0</v>
      </c>
      <c r="O696" s="39">
        <v>0</v>
      </c>
      <c r="P696" s="39">
        <v>0</v>
      </c>
      <c r="Q696" s="39">
        <v>0</v>
      </c>
      <c r="R696" s="39">
        <v>0</v>
      </c>
      <c r="S696" s="39">
        <v>0</v>
      </c>
      <c r="T696" s="39">
        <v>0</v>
      </c>
      <c r="U696" s="39">
        <v>0</v>
      </c>
      <c r="V696" s="39">
        <v>0</v>
      </c>
      <c r="W696" s="39">
        <v>0</v>
      </c>
      <c r="X696" s="39">
        <v>0</v>
      </c>
      <c r="Y696" s="39">
        <v>0</v>
      </c>
      <c r="Z696" s="39">
        <v>1324.8</v>
      </c>
      <c r="AA696" s="39">
        <v>0</v>
      </c>
      <c r="AB696" s="39">
        <v>0</v>
      </c>
      <c r="AC696" s="39">
        <v>0</v>
      </c>
      <c r="AD696" s="39">
        <v>0</v>
      </c>
      <c r="AE696" s="39">
        <v>0</v>
      </c>
      <c r="AF696" s="39">
        <v>0</v>
      </c>
      <c r="AG696" s="39">
        <v>0</v>
      </c>
      <c r="AH696" s="39"/>
      <c r="AI696" s="39"/>
      <c r="AJ696" s="40"/>
      <c r="AK696" s="39">
        <f t="shared" si="55"/>
        <v>0</v>
      </c>
      <c r="AL696" s="39">
        <f t="shared" si="53"/>
        <v>110.39999999999999</v>
      </c>
      <c r="AM696" s="39">
        <f t="shared" si="54"/>
        <v>0</v>
      </c>
      <c r="AN696" s="39">
        <f t="shared" si="56"/>
        <v>132.47999999999999</v>
      </c>
      <c r="AO696" s="39">
        <f t="shared" si="57"/>
        <v>1324.8</v>
      </c>
    </row>
    <row r="697" spans="1:41" x14ac:dyDescent="0.3">
      <c r="A697" s="20">
        <v>1000184670</v>
      </c>
      <c r="B697" s="4" t="s">
        <v>147</v>
      </c>
      <c r="C697" s="21"/>
      <c r="D697" s="3"/>
      <c r="E697" s="20">
        <v>1000184760</v>
      </c>
      <c r="F697" s="4" t="s">
        <v>60</v>
      </c>
      <c r="G697" s="21">
        <v>1000189781</v>
      </c>
      <c r="H697" s="3" t="s">
        <v>108</v>
      </c>
      <c r="I697" s="21">
        <v>1000189270</v>
      </c>
      <c r="J697" s="3" t="s">
        <v>34</v>
      </c>
      <c r="K697" s="20" t="s">
        <v>21</v>
      </c>
      <c r="L697" s="39">
        <v>1209</v>
      </c>
      <c r="M697" s="39">
        <v>0</v>
      </c>
      <c r="N697" s="39">
        <v>0</v>
      </c>
      <c r="O697" s="39">
        <v>794.38</v>
      </c>
      <c r="P697" s="39">
        <v>1481.03</v>
      </c>
      <c r="Q697" s="39">
        <v>0</v>
      </c>
      <c r="R697" s="39">
        <v>0</v>
      </c>
      <c r="S697" s="39">
        <v>0</v>
      </c>
      <c r="T697" s="39">
        <v>0</v>
      </c>
      <c r="U697" s="39">
        <v>0</v>
      </c>
      <c r="V697" s="39">
        <v>0</v>
      </c>
      <c r="W697" s="39">
        <v>0</v>
      </c>
      <c r="X697" s="39">
        <v>0</v>
      </c>
      <c r="Y697" s="39">
        <v>0</v>
      </c>
      <c r="Z697" s="39">
        <v>0</v>
      </c>
      <c r="AA697" s="39">
        <v>0</v>
      </c>
      <c r="AB697" s="39">
        <v>0</v>
      </c>
      <c r="AC697" s="39">
        <v>180.07</v>
      </c>
      <c r="AD697" s="39">
        <v>0</v>
      </c>
      <c r="AE697" s="39">
        <v>146.07</v>
      </c>
      <c r="AF697" s="39">
        <v>0</v>
      </c>
      <c r="AG697" s="39">
        <v>0</v>
      </c>
      <c r="AH697" s="39"/>
      <c r="AI697" s="39"/>
      <c r="AJ697" s="40"/>
      <c r="AK697" s="39">
        <f t="shared" si="55"/>
        <v>290.36750000000001</v>
      </c>
      <c r="AL697" s="39">
        <f t="shared" si="53"/>
        <v>27.178333333333331</v>
      </c>
      <c r="AM697" s="39">
        <f t="shared" si="54"/>
        <v>54.356666666666662</v>
      </c>
      <c r="AN697" s="39">
        <f t="shared" si="56"/>
        <v>32.613999999999997</v>
      </c>
      <c r="AO697" s="39">
        <f t="shared" si="57"/>
        <v>326.14</v>
      </c>
    </row>
    <row r="698" spans="1:41" x14ac:dyDescent="0.3">
      <c r="A698" s="20">
        <v>1000184670</v>
      </c>
      <c r="B698" s="4" t="s">
        <v>147</v>
      </c>
      <c r="C698" s="21"/>
      <c r="D698" s="3"/>
      <c r="E698" s="20">
        <v>1000184760</v>
      </c>
      <c r="F698" s="4" t="s">
        <v>60</v>
      </c>
      <c r="G698" s="21">
        <v>1000189781</v>
      </c>
      <c r="H698" s="3" t="s">
        <v>108</v>
      </c>
      <c r="I698" s="21">
        <v>1000189270</v>
      </c>
      <c r="J698" s="3" t="s">
        <v>34</v>
      </c>
      <c r="K698" s="20" t="s">
        <v>20</v>
      </c>
      <c r="L698" s="39">
        <v>0</v>
      </c>
      <c r="M698" s="39">
        <v>0</v>
      </c>
      <c r="N698" s="39">
        <v>0</v>
      </c>
      <c r="O698" s="39">
        <v>0</v>
      </c>
      <c r="P698" s="39">
        <v>0</v>
      </c>
      <c r="Q698" s="39">
        <v>0</v>
      </c>
      <c r="R698" s="39">
        <v>0</v>
      </c>
      <c r="S698" s="39">
        <v>0</v>
      </c>
      <c r="T698" s="39">
        <v>0</v>
      </c>
      <c r="U698" s="39">
        <v>0</v>
      </c>
      <c r="V698" s="39">
        <v>0</v>
      </c>
      <c r="W698" s="39">
        <v>0</v>
      </c>
      <c r="X698" s="39">
        <v>0</v>
      </c>
      <c r="Y698" s="39">
        <v>0</v>
      </c>
      <c r="Z698" s="39">
        <v>0</v>
      </c>
      <c r="AA698" s="39">
        <v>0</v>
      </c>
      <c r="AB698" s="39">
        <v>0</v>
      </c>
      <c r="AC698" s="39">
        <v>0</v>
      </c>
      <c r="AD698" s="39">
        <v>0</v>
      </c>
      <c r="AE698" s="39">
        <v>0</v>
      </c>
      <c r="AF698" s="39">
        <v>0</v>
      </c>
      <c r="AG698" s="39">
        <v>0</v>
      </c>
      <c r="AH698" s="39"/>
      <c r="AI698" s="39"/>
      <c r="AJ698" s="40"/>
      <c r="AK698" s="39">
        <f t="shared" si="55"/>
        <v>0</v>
      </c>
      <c r="AL698" s="39">
        <f t="shared" si="53"/>
        <v>0</v>
      </c>
      <c r="AM698" s="39">
        <f t="shared" si="54"/>
        <v>0</v>
      </c>
      <c r="AN698" s="39">
        <f t="shared" si="56"/>
        <v>0</v>
      </c>
      <c r="AO698" s="39">
        <f t="shared" si="57"/>
        <v>0</v>
      </c>
    </row>
    <row r="699" spans="1:41" x14ac:dyDescent="0.3">
      <c r="A699" s="20">
        <v>1000184670</v>
      </c>
      <c r="B699" s="4" t="s">
        <v>147</v>
      </c>
      <c r="C699" s="21"/>
      <c r="D699" s="3"/>
      <c r="E699" s="20">
        <v>1000184760</v>
      </c>
      <c r="F699" s="4" t="s">
        <v>60</v>
      </c>
      <c r="G699" s="21">
        <v>1000189781</v>
      </c>
      <c r="H699" s="3" t="s">
        <v>108</v>
      </c>
      <c r="I699" s="21">
        <v>1000189270</v>
      </c>
      <c r="J699" s="3" t="s">
        <v>34</v>
      </c>
      <c r="K699" s="20" t="s">
        <v>22</v>
      </c>
      <c r="L699" s="39">
        <v>0</v>
      </c>
      <c r="M699" s="39">
        <v>0</v>
      </c>
      <c r="N699" s="39">
        <v>0</v>
      </c>
      <c r="O699" s="39">
        <v>0</v>
      </c>
      <c r="P699" s="39">
        <v>0</v>
      </c>
      <c r="Q699" s="39">
        <v>0</v>
      </c>
      <c r="R699" s="39">
        <v>0</v>
      </c>
      <c r="S699" s="39">
        <v>0</v>
      </c>
      <c r="T699" s="39">
        <v>0</v>
      </c>
      <c r="U699" s="39">
        <v>0</v>
      </c>
      <c r="V699" s="39">
        <v>0</v>
      </c>
      <c r="W699" s="39">
        <v>0</v>
      </c>
      <c r="X699" s="39">
        <v>0</v>
      </c>
      <c r="Y699" s="39">
        <v>0</v>
      </c>
      <c r="Z699" s="39">
        <v>560.91999999999996</v>
      </c>
      <c r="AA699" s="39">
        <v>0</v>
      </c>
      <c r="AB699" s="39">
        <v>0</v>
      </c>
      <c r="AC699" s="39">
        <v>299.17</v>
      </c>
      <c r="AD699" s="39">
        <v>0</v>
      </c>
      <c r="AE699" s="39">
        <v>839.7</v>
      </c>
      <c r="AF699" s="39">
        <v>0</v>
      </c>
      <c r="AG699" s="39">
        <v>0</v>
      </c>
      <c r="AH699" s="39"/>
      <c r="AI699" s="39"/>
      <c r="AJ699" s="40"/>
      <c r="AK699" s="39">
        <f t="shared" si="55"/>
        <v>0</v>
      </c>
      <c r="AL699" s="39">
        <f t="shared" si="53"/>
        <v>141.64916666666667</v>
      </c>
      <c r="AM699" s="39">
        <f t="shared" si="54"/>
        <v>189.8116666666667</v>
      </c>
      <c r="AN699" s="39">
        <f t="shared" si="56"/>
        <v>169.97899999999998</v>
      </c>
      <c r="AO699" s="39">
        <f t="shared" si="57"/>
        <v>1699.79</v>
      </c>
    </row>
    <row r="700" spans="1:41" x14ac:dyDescent="0.3">
      <c r="A700" s="20">
        <v>1000184670</v>
      </c>
      <c r="B700" s="4" t="s">
        <v>147</v>
      </c>
      <c r="C700" s="21"/>
      <c r="D700" s="3"/>
      <c r="E700" s="20">
        <v>1000184760</v>
      </c>
      <c r="F700" s="4" t="s">
        <v>60</v>
      </c>
      <c r="G700" s="21">
        <v>1000189781</v>
      </c>
      <c r="H700" s="3" t="s">
        <v>108</v>
      </c>
      <c r="I700" s="21">
        <v>1000189270</v>
      </c>
      <c r="J700" s="3" t="s">
        <v>34</v>
      </c>
      <c r="K700" s="20" t="s">
        <v>23</v>
      </c>
      <c r="L700" s="39">
        <v>0</v>
      </c>
      <c r="M700" s="39">
        <v>0</v>
      </c>
      <c r="N700" s="39">
        <v>0</v>
      </c>
      <c r="O700" s="39">
        <v>0</v>
      </c>
      <c r="P700" s="39">
        <v>0</v>
      </c>
      <c r="Q700" s="39">
        <v>0</v>
      </c>
      <c r="R700" s="39">
        <v>0</v>
      </c>
      <c r="S700" s="39">
        <v>0</v>
      </c>
      <c r="T700" s="39">
        <v>0</v>
      </c>
      <c r="U700" s="39">
        <v>0</v>
      </c>
      <c r="V700" s="39">
        <v>0</v>
      </c>
      <c r="W700" s="39">
        <v>0</v>
      </c>
      <c r="X700" s="39">
        <v>0</v>
      </c>
      <c r="Y700" s="39">
        <v>0</v>
      </c>
      <c r="Z700" s="39">
        <v>0</v>
      </c>
      <c r="AA700" s="39">
        <v>0</v>
      </c>
      <c r="AB700" s="39">
        <v>0</v>
      </c>
      <c r="AC700" s="39">
        <v>0</v>
      </c>
      <c r="AD700" s="39">
        <v>0</v>
      </c>
      <c r="AE700" s="39">
        <v>0</v>
      </c>
      <c r="AF700" s="39">
        <v>0</v>
      </c>
      <c r="AG700" s="39">
        <v>0</v>
      </c>
      <c r="AH700" s="39"/>
      <c r="AI700" s="39"/>
      <c r="AJ700" s="40"/>
      <c r="AK700" s="39">
        <f t="shared" si="55"/>
        <v>0</v>
      </c>
      <c r="AL700" s="39">
        <f t="shared" si="53"/>
        <v>0</v>
      </c>
      <c r="AM700" s="39">
        <f t="shared" si="54"/>
        <v>0</v>
      </c>
      <c r="AN700" s="39">
        <f t="shared" si="56"/>
        <v>0</v>
      </c>
      <c r="AO700" s="39">
        <f t="shared" si="57"/>
        <v>0</v>
      </c>
    </row>
    <row r="701" spans="1:41" x14ac:dyDescent="0.3">
      <c r="A701" s="20">
        <v>1000184670</v>
      </c>
      <c r="B701" s="4" t="s">
        <v>147</v>
      </c>
      <c r="C701" s="21"/>
      <c r="D701" s="3"/>
      <c r="E701" s="20">
        <v>1000184760</v>
      </c>
      <c r="F701" s="4" t="s">
        <v>60</v>
      </c>
      <c r="G701" s="21">
        <v>1000189781</v>
      </c>
      <c r="H701" s="3" t="s">
        <v>108</v>
      </c>
      <c r="I701" s="21">
        <v>1000189270</v>
      </c>
      <c r="J701" s="3" t="s">
        <v>34</v>
      </c>
      <c r="K701" s="20" t="s">
        <v>28</v>
      </c>
      <c r="L701" s="39">
        <v>0</v>
      </c>
      <c r="M701" s="39">
        <v>0</v>
      </c>
      <c r="N701" s="39">
        <v>0</v>
      </c>
      <c r="O701" s="39">
        <v>0</v>
      </c>
      <c r="P701" s="39">
        <v>0</v>
      </c>
      <c r="Q701" s="39">
        <v>0</v>
      </c>
      <c r="R701" s="39">
        <v>0</v>
      </c>
      <c r="S701" s="39">
        <v>0</v>
      </c>
      <c r="T701" s="39">
        <v>0</v>
      </c>
      <c r="U701" s="39">
        <v>0</v>
      </c>
      <c r="V701" s="39">
        <v>0</v>
      </c>
      <c r="W701" s="39">
        <v>0</v>
      </c>
      <c r="X701" s="39">
        <v>0</v>
      </c>
      <c r="Y701" s="39">
        <v>0</v>
      </c>
      <c r="Z701" s="39">
        <v>0</v>
      </c>
      <c r="AA701" s="39">
        <v>0</v>
      </c>
      <c r="AB701" s="39">
        <v>0</v>
      </c>
      <c r="AC701" s="39">
        <v>0</v>
      </c>
      <c r="AD701" s="39">
        <v>0</v>
      </c>
      <c r="AE701" s="39">
        <v>0</v>
      </c>
      <c r="AF701" s="39">
        <v>0</v>
      </c>
      <c r="AG701" s="39">
        <v>0</v>
      </c>
      <c r="AH701" s="39"/>
      <c r="AI701" s="39"/>
      <c r="AJ701" s="40"/>
      <c r="AK701" s="39">
        <f t="shared" si="55"/>
        <v>0</v>
      </c>
      <c r="AL701" s="39">
        <f t="shared" si="53"/>
        <v>0</v>
      </c>
      <c r="AM701" s="39">
        <f t="shared" si="54"/>
        <v>0</v>
      </c>
      <c r="AN701" s="39">
        <f t="shared" si="56"/>
        <v>0</v>
      </c>
      <c r="AO701" s="39">
        <f t="shared" si="57"/>
        <v>0</v>
      </c>
    </row>
    <row r="702" spans="1:41" x14ac:dyDescent="0.3">
      <c r="A702" s="20">
        <v>1000184670</v>
      </c>
      <c r="B702" s="4" t="s">
        <v>147</v>
      </c>
      <c r="C702" s="21"/>
      <c r="D702" s="3"/>
      <c r="E702" s="20">
        <v>1000184760</v>
      </c>
      <c r="F702" s="4" t="s">
        <v>60</v>
      </c>
      <c r="G702" s="21">
        <v>1000189781</v>
      </c>
      <c r="H702" s="3" t="s">
        <v>108</v>
      </c>
      <c r="I702" s="21">
        <v>1000189270</v>
      </c>
      <c r="J702" s="3" t="s">
        <v>34</v>
      </c>
      <c r="K702" s="20" t="s">
        <v>26</v>
      </c>
      <c r="L702" s="39">
        <v>0</v>
      </c>
      <c r="M702" s="39">
        <v>0</v>
      </c>
      <c r="N702" s="39">
        <v>0</v>
      </c>
      <c r="O702" s="39">
        <v>0</v>
      </c>
      <c r="P702" s="39">
        <v>0</v>
      </c>
      <c r="Q702" s="39">
        <v>0</v>
      </c>
      <c r="R702" s="39">
        <v>0</v>
      </c>
      <c r="S702" s="39">
        <v>0</v>
      </c>
      <c r="T702" s="39">
        <v>0</v>
      </c>
      <c r="U702" s="39">
        <v>1200</v>
      </c>
      <c r="V702" s="39">
        <v>0</v>
      </c>
      <c r="W702" s="39">
        <v>0</v>
      </c>
      <c r="X702" s="39">
        <v>0</v>
      </c>
      <c r="Y702" s="39">
        <v>0</v>
      </c>
      <c r="Z702" s="39">
        <v>0</v>
      </c>
      <c r="AA702" s="39">
        <v>1623.6</v>
      </c>
      <c r="AB702" s="39">
        <v>0</v>
      </c>
      <c r="AC702" s="39">
        <v>0</v>
      </c>
      <c r="AD702" s="39">
        <v>0</v>
      </c>
      <c r="AE702" s="39">
        <v>9180</v>
      </c>
      <c r="AF702" s="39">
        <v>0</v>
      </c>
      <c r="AG702" s="39">
        <v>0</v>
      </c>
      <c r="AH702" s="39"/>
      <c r="AI702" s="39"/>
      <c r="AJ702" s="40"/>
      <c r="AK702" s="39">
        <f t="shared" si="55"/>
        <v>100</v>
      </c>
      <c r="AL702" s="39">
        <f t="shared" si="53"/>
        <v>900.30000000000007</v>
      </c>
      <c r="AM702" s="39">
        <f t="shared" si="54"/>
        <v>1530</v>
      </c>
      <c r="AN702" s="39">
        <f t="shared" si="56"/>
        <v>1080.3600000000001</v>
      </c>
      <c r="AO702" s="39">
        <f t="shared" si="57"/>
        <v>10803.6</v>
      </c>
    </row>
    <row r="703" spans="1:41" x14ac:dyDescent="0.3">
      <c r="A703" s="20">
        <v>1000184670</v>
      </c>
      <c r="B703" s="4" t="s">
        <v>147</v>
      </c>
      <c r="C703" s="21"/>
      <c r="D703" s="3"/>
      <c r="E703" s="20">
        <v>1000184760</v>
      </c>
      <c r="F703" s="4" t="s">
        <v>60</v>
      </c>
      <c r="G703" s="21">
        <v>1000189781</v>
      </c>
      <c r="H703" s="3" t="s">
        <v>108</v>
      </c>
      <c r="I703" s="21">
        <v>1000189270</v>
      </c>
      <c r="J703" s="3" t="s">
        <v>34</v>
      </c>
      <c r="K703" s="20" t="s">
        <v>27</v>
      </c>
      <c r="L703" s="39">
        <v>0</v>
      </c>
      <c r="M703" s="39">
        <v>0</v>
      </c>
      <c r="N703" s="39">
        <v>0</v>
      </c>
      <c r="O703" s="39">
        <v>0</v>
      </c>
      <c r="P703" s="39">
        <v>0</v>
      </c>
      <c r="Q703" s="39">
        <v>0</v>
      </c>
      <c r="R703" s="39">
        <v>0</v>
      </c>
      <c r="S703" s="39">
        <v>0</v>
      </c>
      <c r="T703" s="39">
        <v>0</v>
      </c>
      <c r="U703" s="39">
        <v>0</v>
      </c>
      <c r="V703" s="39">
        <v>0</v>
      </c>
      <c r="W703" s="39">
        <v>0</v>
      </c>
      <c r="X703" s="39">
        <v>0</v>
      </c>
      <c r="Y703" s="39">
        <v>0</v>
      </c>
      <c r="Z703" s="39">
        <v>663.24</v>
      </c>
      <c r="AA703" s="39">
        <v>0</v>
      </c>
      <c r="AB703" s="39">
        <v>0</v>
      </c>
      <c r="AC703" s="39">
        <v>0</v>
      </c>
      <c r="AD703" s="39">
        <v>0</v>
      </c>
      <c r="AE703" s="39">
        <v>0</v>
      </c>
      <c r="AF703" s="39">
        <v>0</v>
      </c>
      <c r="AG703" s="39">
        <v>0</v>
      </c>
      <c r="AH703" s="39"/>
      <c r="AI703" s="39"/>
      <c r="AJ703" s="40"/>
      <c r="AK703" s="39">
        <f t="shared" si="55"/>
        <v>0</v>
      </c>
      <c r="AL703" s="39">
        <f t="shared" si="53"/>
        <v>55.27</v>
      </c>
      <c r="AM703" s="39">
        <f t="shared" si="54"/>
        <v>0</v>
      </c>
      <c r="AN703" s="39">
        <f t="shared" si="56"/>
        <v>66.323999999999998</v>
      </c>
      <c r="AO703" s="39">
        <f t="shared" si="57"/>
        <v>663.24</v>
      </c>
    </row>
    <row r="704" spans="1:41" x14ac:dyDescent="0.3">
      <c r="A704" s="20">
        <v>1000184670</v>
      </c>
      <c r="B704" s="4" t="s">
        <v>147</v>
      </c>
      <c r="C704" s="21"/>
      <c r="D704" s="3"/>
      <c r="E704" s="20">
        <v>1000184760</v>
      </c>
      <c r="F704" s="4" t="s">
        <v>60</v>
      </c>
      <c r="G704" s="21">
        <v>1000189781</v>
      </c>
      <c r="H704" s="3" t="s">
        <v>108</v>
      </c>
      <c r="I704" s="21">
        <v>1000189270</v>
      </c>
      <c r="J704" s="3" t="s">
        <v>34</v>
      </c>
      <c r="K704" s="20" t="s">
        <v>25</v>
      </c>
      <c r="L704" s="39">
        <v>0</v>
      </c>
      <c r="M704" s="39">
        <v>0</v>
      </c>
      <c r="N704" s="39">
        <v>0</v>
      </c>
      <c r="O704" s="39">
        <v>0</v>
      </c>
      <c r="P704" s="39">
        <v>0</v>
      </c>
      <c r="Q704" s="39">
        <v>0</v>
      </c>
      <c r="R704" s="39">
        <v>0</v>
      </c>
      <c r="S704" s="39">
        <v>0</v>
      </c>
      <c r="T704" s="39">
        <v>0</v>
      </c>
      <c r="U704" s="39">
        <v>0</v>
      </c>
      <c r="V704" s="39">
        <v>0</v>
      </c>
      <c r="W704" s="39">
        <v>0</v>
      </c>
      <c r="X704" s="39">
        <v>0</v>
      </c>
      <c r="Y704" s="39">
        <v>0</v>
      </c>
      <c r="Z704" s="39">
        <v>127.05</v>
      </c>
      <c r="AA704" s="39">
        <v>0</v>
      </c>
      <c r="AB704" s="39">
        <v>0</v>
      </c>
      <c r="AC704" s="39">
        <v>0</v>
      </c>
      <c r="AD704" s="39">
        <v>0</v>
      </c>
      <c r="AE704" s="39">
        <v>133.65</v>
      </c>
      <c r="AF704" s="39">
        <v>0</v>
      </c>
      <c r="AG704" s="39">
        <v>0</v>
      </c>
      <c r="AH704" s="39"/>
      <c r="AI704" s="39"/>
      <c r="AJ704" s="40"/>
      <c r="AK704" s="39">
        <f t="shared" si="55"/>
        <v>0</v>
      </c>
      <c r="AL704" s="39">
        <f t="shared" si="53"/>
        <v>21.724999999999998</v>
      </c>
      <c r="AM704" s="39">
        <f t="shared" si="54"/>
        <v>22.275000000000002</v>
      </c>
      <c r="AN704" s="39">
        <f t="shared" si="56"/>
        <v>26.07</v>
      </c>
      <c r="AO704" s="39">
        <f t="shared" si="57"/>
        <v>260.7</v>
      </c>
    </row>
    <row r="705" spans="1:41" x14ac:dyDescent="0.3">
      <c r="A705" s="20">
        <v>1000184670</v>
      </c>
      <c r="B705" s="4" t="s">
        <v>147</v>
      </c>
      <c r="C705" s="21"/>
      <c r="D705" s="3"/>
      <c r="E705" s="20">
        <v>1000184760</v>
      </c>
      <c r="F705" s="4" t="s">
        <v>60</v>
      </c>
      <c r="G705" s="21">
        <v>1000189782</v>
      </c>
      <c r="H705" s="3" t="s">
        <v>109</v>
      </c>
      <c r="I705" s="21">
        <v>1000189270</v>
      </c>
      <c r="J705" s="3" t="s">
        <v>34</v>
      </c>
      <c r="K705" s="20" t="s">
        <v>124</v>
      </c>
      <c r="L705" s="39">
        <v>0</v>
      </c>
      <c r="M705" s="39">
        <v>0</v>
      </c>
      <c r="N705" s="39">
        <v>0</v>
      </c>
      <c r="O705" s="39">
        <v>0</v>
      </c>
      <c r="P705" s="39">
        <v>0</v>
      </c>
      <c r="Q705" s="39">
        <v>0</v>
      </c>
      <c r="R705" s="39">
        <v>0</v>
      </c>
      <c r="S705" s="39">
        <v>0</v>
      </c>
      <c r="T705" s="39">
        <v>0</v>
      </c>
      <c r="U705" s="39">
        <v>0</v>
      </c>
      <c r="V705" s="39">
        <v>0</v>
      </c>
      <c r="W705" s="39">
        <v>0</v>
      </c>
      <c r="X705" s="39">
        <v>0</v>
      </c>
      <c r="Y705" s="39">
        <v>0</v>
      </c>
      <c r="Z705" s="39">
        <v>0</v>
      </c>
      <c r="AA705" s="39">
        <v>0</v>
      </c>
      <c r="AB705" s="39">
        <v>0</v>
      </c>
      <c r="AC705" s="39">
        <v>0</v>
      </c>
      <c r="AD705" s="39">
        <v>0</v>
      </c>
      <c r="AE705" s="39">
        <v>0</v>
      </c>
      <c r="AF705" s="39">
        <v>0</v>
      </c>
      <c r="AG705" s="39">
        <v>0</v>
      </c>
      <c r="AH705" s="39"/>
      <c r="AI705" s="39"/>
      <c r="AJ705" s="40"/>
      <c r="AK705" s="39">
        <f t="shared" si="55"/>
        <v>0</v>
      </c>
      <c r="AL705" s="39">
        <f t="shared" si="53"/>
        <v>0</v>
      </c>
      <c r="AM705" s="39">
        <f t="shared" si="54"/>
        <v>0</v>
      </c>
      <c r="AN705" s="39">
        <f t="shared" si="56"/>
        <v>0</v>
      </c>
      <c r="AO705" s="39">
        <f t="shared" si="57"/>
        <v>0</v>
      </c>
    </row>
    <row r="706" spans="1:41" x14ac:dyDescent="0.3">
      <c r="A706" s="20">
        <v>1000184670</v>
      </c>
      <c r="B706" s="4" t="s">
        <v>147</v>
      </c>
      <c r="C706" s="21"/>
      <c r="D706" s="3"/>
      <c r="E706" s="20">
        <v>1000184760</v>
      </c>
      <c r="F706" s="4" t="s">
        <v>60</v>
      </c>
      <c r="G706" s="21">
        <v>1000189782</v>
      </c>
      <c r="H706" s="3" t="s">
        <v>109</v>
      </c>
      <c r="I706" s="21">
        <v>1000189270</v>
      </c>
      <c r="J706" s="3" t="s">
        <v>34</v>
      </c>
      <c r="K706" s="20" t="s">
        <v>13</v>
      </c>
      <c r="L706" s="39">
        <v>0</v>
      </c>
      <c r="M706" s="39">
        <v>0</v>
      </c>
      <c r="N706" s="39">
        <v>0</v>
      </c>
      <c r="O706" s="39">
        <v>583.20000000000005</v>
      </c>
      <c r="P706" s="39">
        <v>0</v>
      </c>
      <c r="Q706" s="39">
        <v>0</v>
      </c>
      <c r="R706" s="39">
        <v>0</v>
      </c>
      <c r="S706" s="39">
        <v>0</v>
      </c>
      <c r="T706" s="39">
        <v>0</v>
      </c>
      <c r="U706" s="39">
        <v>0</v>
      </c>
      <c r="V706" s="39">
        <v>0</v>
      </c>
      <c r="W706" s="39">
        <v>0</v>
      </c>
      <c r="X706" s="39">
        <v>149.5</v>
      </c>
      <c r="Y706" s="39">
        <v>0</v>
      </c>
      <c r="Z706" s="39">
        <v>0</v>
      </c>
      <c r="AA706" s="39">
        <v>0</v>
      </c>
      <c r="AB706" s="39">
        <v>0</v>
      </c>
      <c r="AC706" s="39">
        <v>0</v>
      </c>
      <c r="AD706" s="39">
        <v>135.66</v>
      </c>
      <c r="AE706" s="39">
        <v>0</v>
      </c>
      <c r="AF706" s="39">
        <v>0</v>
      </c>
      <c r="AG706" s="39">
        <v>0</v>
      </c>
      <c r="AH706" s="39"/>
      <c r="AI706" s="39"/>
      <c r="AJ706" s="40"/>
      <c r="AK706" s="39">
        <f t="shared" si="55"/>
        <v>48.6</v>
      </c>
      <c r="AL706" s="39">
        <f t="shared" si="53"/>
        <v>23.763333333333332</v>
      </c>
      <c r="AM706" s="39">
        <f t="shared" si="54"/>
        <v>22.61</v>
      </c>
      <c r="AN706" s="39">
        <f t="shared" si="56"/>
        <v>28.515999999999998</v>
      </c>
      <c r="AO706" s="39">
        <f t="shared" si="57"/>
        <v>285.15999999999997</v>
      </c>
    </row>
    <row r="707" spans="1:41" x14ac:dyDescent="0.3">
      <c r="A707" s="20">
        <v>1000184670</v>
      </c>
      <c r="B707" s="4" t="s">
        <v>147</v>
      </c>
      <c r="C707" s="21"/>
      <c r="D707" s="3"/>
      <c r="E707" s="20">
        <v>1000184760</v>
      </c>
      <c r="F707" s="4" t="s">
        <v>60</v>
      </c>
      <c r="G707" s="21">
        <v>1000189782</v>
      </c>
      <c r="H707" s="3" t="s">
        <v>109</v>
      </c>
      <c r="I707" s="21">
        <v>1000189270</v>
      </c>
      <c r="J707" s="3" t="s">
        <v>34</v>
      </c>
      <c r="K707" s="20" t="s">
        <v>14</v>
      </c>
      <c r="L707" s="39">
        <v>0</v>
      </c>
      <c r="M707" s="39">
        <v>0</v>
      </c>
      <c r="N707" s="39">
        <v>0</v>
      </c>
      <c r="O707" s="39">
        <v>998.2</v>
      </c>
      <c r="P707" s="39">
        <v>0</v>
      </c>
      <c r="Q707" s="39">
        <v>0</v>
      </c>
      <c r="R707" s="39">
        <v>0</v>
      </c>
      <c r="S707" s="39">
        <v>0</v>
      </c>
      <c r="T707" s="39">
        <v>0</v>
      </c>
      <c r="U707" s="39">
        <v>0</v>
      </c>
      <c r="V707" s="39">
        <v>0</v>
      </c>
      <c r="W707" s="39">
        <v>0</v>
      </c>
      <c r="X707" s="39">
        <v>0</v>
      </c>
      <c r="Y707" s="39">
        <v>0</v>
      </c>
      <c r="Z707" s="39">
        <v>0</v>
      </c>
      <c r="AA707" s="39">
        <v>0</v>
      </c>
      <c r="AB707" s="39">
        <v>0</v>
      </c>
      <c r="AC707" s="39">
        <v>0</v>
      </c>
      <c r="AD707" s="39">
        <v>0</v>
      </c>
      <c r="AE707" s="39">
        <v>0</v>
      </c>
      <c r="AF707" s="39">
        <v>0</v>
      </c>
      <c r="AG707" s="39">
        <v>0</v>
      </c>
      <c r="AH707" s="39"/>
      <c r="AI707" s="39"/>
      <c r="AJ707" s="40"/>
      <c r="AK707" s="39">
        <f t="shared" si="55"/>
        <v>83.183333333333337</v>
      </c>
      <c r="AL707" s="39">
        <f t="shared" ref="AL707:AL770" si="58">AVERAGE(V707:AG707)</f>
        <v>0</v>
      </c>
      <c r="AM707" s="39">
        <f t="shared" ref="AM707:AM770" si="59">AVERAGE(AB707:AG707)</f>
        <v>0</v>
      </c>
      <c r="AN707" s="39">
        <f t="shared" si="56"/>
        <v>0</v>
      </c>
      <c r="AO707" s="39">
        <f t="shared" si="57"/>
        <v>0</v>
      </c>
    </row>
    <row r="708" spans="1:41" x14ac:dyDescent="0.3">
      <c r="A708" s="20">
        <v>1000184670</v>
      </c>
      <c r="B708" s="4" t="s">
        <v>147</v>
      </c>
      <c r="C708" s="21"/>
      <c r="D708" s="3"/>
      <c r="E708" s="20">
        <v>1000184760</v>
      </c>
      <c r="F708" s="4" t="s">
        <v>60</v>
      </c>
      <c r="G708" s="21">
        <v>1000189782</v>
      </c>
      <c r="H708" s="3" t="s">
        <v>109</v>
      </c>
      <c r="I708" s="21">
        <v>1000189270</v>
      </c>
      <c r="J708" s="3" t="s">
        <v>34</v>
      </c>
      <c r="K708" s="20" t="s">
        <v>16</v>
      </c>
      <c r="L708" s="39">
        <v>0</v>
      </c>
      <c r="M708" s="39">
        <v>0</v>
      </c>
      <c r="N708" s="39">
        <v>0</v>
      </c>
      <c r="O708" s="39">
        <v>0</v>
      </c>
      <c r="P708" s="39">
        <v>0</v>
      </c>
      <c r="Q708" s="39">
        <v>0</v>
      </c>
      <c r="R708" s="39">
        <v>0</v>
      </c>
      <c r="S708" s="39">
        <v>0</v>
      </c>
      <c r="T708" s="39">
        <v>0</v>
      </c>
      <c r="U708" s="39">
        <v>0</v>
      </c>
      <c r="V708" s="39">
        <v>0</v>
      </c>
      <c r="W708" s="39">
        <v>0</v>
      </c>
      <c r="X708" s="39">
        <v>0</v>
      </c>
      <c r="Y708" s="39">
        <v>0</v>
      </c>
      <c r="Z708" s="39">
        <v>0</v>
      </c>
      <c r="AA708" s="39">
        <v>0</v>
      </c>
      <c r="AB708" s="39">
        <v>0</v>
      </c>
      <c r="AC708" s="39">
        <v>0</v>
      </c>
      <c r="AD708" s="39">
        <v>0</v>
      </c>
      <c r="AE708" s="39">
        <v>0</v>
      </c>
      <c r="AF708" s="39">
        <v>0</v>
      </c>
      <c r="AG708" s="39">
        <v>0</v>
      </c>
      <c r="AH708" s="39"/>
      <c r="AI708" s="39"/>
      <c r="AJ708" s="40"/>
      <c r="AK708" s="39">
        <f t="shared" si="55"/>
        <v>0</v>
      </c>
      <c r="AL708" s="39">
        <f t="shared" si="58"/>
        <v>0</v>
      </c>
      <c r="AM708" s="39">
        <f t="shared" si="59"/>
        <v>0</v>
      </c>
      <c r="AN708" s="39">
        <f t="shared" si="56"/>
        <v>0</v>
      </c>
      <c r="AO708" s="39">
        <f t="shared" si="57"/>
        <v>0</v>
      </c>
    </row>
    <row r="709" spans="1:41" x14ac:dyDescent="0.3">
      <c r="A709" s="20">
        <v>1000184670</v>
      </c>
      <c r="B709" s="4" t="s">
        <v>147</v>
      </c>
      <c r="C709" s="21"/>
      <c r="D709" s="3"/>
      <c r="E709" s="20">
        <v>1000184760</v>
      </c>
      <c r="F709" s="4" t="s">
        <v>60</v>
      </c>
      <c r="G709" s="21">
        <v>1000189782</v>
      </c>
      <c r="H709" s="3" t="s">
        <v>109</v>
      </c>
      <c r="I709" s="21">
        <v>1000189270</v>
      </c>
      <c r="J709" s="3" t="s">
        <v>34</v>
      </c>
      <c r="K709" s="20" t="s">
        <v>15</v>
      </c>
      <c r="L709" s="39">
        <v>0</v>
      </c>
      <c r="M709" s="39">
        <v>0</v>
      </c>
      <c r="N709" s="39">
        <v>0</v>
      </c>
      <c r="O709" s="39">
        <v>0</v>
      </c>
      <c r="P709" s="39">
        <v>0</v>
      </c>
      <c r="Q709" s="39">
        <v>0</v>
      </c>
      <c r="R709" s="39">
        <v>0</v>
      </c>
      <c r="S709" s="39">
        <v>0</v>
      </c>
      <c r="T709" s="39">
        <v>0</v>
      </c>
      <c r="U709" s="39">
        <v>0</v>
      </c>
      <c r="V709" s="39">
        <v>0</v>
      </c>
      <c r="W709" s="39">
        <v>0</v>
      </c>
      <c r="X709" s="39">
        <v>161</v>
      </c>
      <c r="Y709" s="39">
        <v>0</v>
      </c>
      <c r="Z709" s="39">
        <v>0</v>
      </c>
      <c r="AA709" s="39">
        <v>0</v>
      </c>
      <c r="AB709" s="39">
        <v>0</v>
      </c>
      <c r="AC709" s="39">
        <v>0</v>
      </c>
      <c r="AD709" s="39">
        <v>0</v>
      </c>
      <c r="AE709" s="39">
        <v>0</v>
      </c>
      <c r="AF709" s="39">
        <v>0</v>
      </c>
      <c r="AG709" s="39">
        <v>370.25</v>
      </c>
      <c r="AH709" s="39"/>
      <c r="AI709" s="39"/>
      <c r="AJ709" s="40"/>
      <c r="AK709" s="39">
        <f t="shared" si="55"/>
        <v>0</v>
      </c>
      <c r="AL709" s="39">
        <f t="shared" si="58"/>
        <v>44.270833333333336</v>
      </c>
      <c r="AM709" s="39">
        <f t="shared" si="59"/>
        <v>61.708333333333336</v>
      </c>
      <c r="AN709" s="39">
        <f t="shared" si="56"/>
        <v>53.125</v>
      </c>
      <c r="AO709" s="39">
        <f t="shared" si="57"/>
        <v>531.25</v>
      </c>
    </row>
    <row r="710" spans="1:41" x14ac:dyDescent="0.3">
      <c r="A710" s="20">
        <v>1000184670</v>
      </c>
      <c r="B710" s="4" t="s">
        <v>147</v>
      </c>
      <c r="C710" s="21"/>
      <c r="D710" s="3"/>
      <c r="E710" s="20">
        <v>1000184760</v>
      </c>
      <c r="F710" s="4" t="s">
        <v>60</v>
      </c>
      <c r="G710" s="21">
        <v>1000189782</v>
      </c>
      <c r="H710" s="3" t="s">
        <v>109</v>
      </c>
      <c r="I710" s="21">
        <v>1000189270</v>
      </c>
      <c r="J710" s="3" t="s">
        <v>34</v>
      </c>
      <c r="K710" s="20" t="s">
        <v>33</v>
      </c>
      <c r="L710" s="39">
        <v>0</v>
      </c>
      <c r="M710" s="39">
        <v>0</v>
      </c>
      <c r="N710" s="39">
        <v>0</v>
      </c>
      <c r="O710" s="39">
        <v>0</v>
      </c>
      <c r="P710" s="39">
        <v>0</v>
      </c>
      <c r="Q710" s="39">
        <v>0</v>
      </c>
      <c r="R710" s="39">
        <v>0</v>
      </c>
      <c r="S710" s="39">
        <v>0</v>
      </c>
      <c r="T710" s="39">
        <v>0</v>
      </c>
      <c r="U710" s="39">
        <v>0</v>
      </c>
      <c r="V710" s="39">
        <v>0</v>
      </c>
      <c r="W710" s="39">
        <v>0</v>
      </c>
      <c r="X710" s="39">
        <v>0</v>
      </c>
      <c r="Y710" s="39">
        <v>0</v>
      </c>
      <c r="Z710" s="39">
        <v>0</v>
      </c>
      <c r="AA710" s="39">
        <v>0</v>
      </c>
      <c r="AB710" s="39">
        <v>0</v>
      </c>
      <c r="AC710" s="39">
        <v>0</v>
      </c>
      <c r="AD710" s="39">
        <v>0</v>
      </c>
      <c r="AE710" s="39">
        <v>0</v>
      </c>
      <c r="AF710" s="39">
        <v>0</v>
      </c>
      <c r="AG710" s="39">
        <v>0</v>
      </c>
      <c r="AH710" s="39"/>
      <c r="AI710" s="39"/>
      <c r="AJ710" s="40"/>
      <c r="AK710" s="39">
        <f t="shared" si="55"/>
        <v>0</v>
      </c>
      <c r="AL710" s="39">
        <f t="shared" si="58"/>
        <v>0</v>
      </c>
      <c r="AM710" s="39">
        <f t="shared" si="59"/>
        <v>0</v>
      </c>
      <c r="AN710" s="39">
        <f t="shared" si="56"/>
        <v>0</v>
      </c>
      <c r="AO710" s="39">
        <f t="shared" si="57"/>
        <v>0</v>
      </c>
    </row>
    <row r="711" spans="1:41" x14ac:dyDescent="0.3">
      <c r="A711" s="20">
        <v>1000184670</v>
      </c>
      <c r="B711" s="4" t="s">
        <v>147</v>
      </c>
      <c r="C711" s="21"/>
      <c r="D711" s="3"/>
      <c r="E711" s="20">
        <v>1000184760</v>
      </c>
      <c r="F711" s="4" t="s">
        <v>60</v>
      </c>
      <c r="G711" s="21">
        <v>1000189782</v>
      </c>
      <c r="H711" s="3" t="s">
        <v>109</v>
      </c>
      <c r="I711" s="21">
        <v>1000189270</v>
      </c>
      <c r="J711" s="3" t="s">
        <v>34</v>
      </c>
      <c r="K711" s="20" t="s">
        <v>19</v>
      </c>
      <c r="L711" s="39">
        <v>0</v>
      </c>
      <c r="M711" s="39">
        <v>0</v>
      </c>
      <c r="N711" s="39">
        <v>0</v>
      </c>
      <c r="O711" s="39">
        <v>267.3</v>
      </c>
      <c r="P711" s="39">
        <v>0</v>
      </c>
      <c r="Q711" s="39">
        <v>0</v>
      </c>
      <c r="R711" s="39">
        <v>0</v>
      </c>
      <c r="S711" s="39">
        <v>0</v>
      </c>
      <c r="T711" s="39">
        <v>0</v>
      </c>
      <c r="U711" s="39">
        <v>0</v>
      </c>
      <c r="V711" s="39">
        <v>0</v>
      </c>
      <c r="W711" s="39">
        <v>0</v>
      </c>
      <c r="X711" s="39">
        <v>0</v>
      </c>
      <c r="Y711" s="39">
        <v>0</v>
      </c>
      <c r="Z711" s="39">
        <v>0</v>
      </c>
      <c r="AA711" s="39">
        <v>0</v>
      </c>
      <c r="AB711" s="39">
        <v>0</v>
      </c>
      <c r="AC711" s="39">
        <v>0</v>
      </c>
      <c r="AD711" s="39">
        <v>0</v>
      </c>
      <c r="AE711" s="39">
        <v>0</v>
      </c>
      <c r="AF711" s="39">
        <v>0</v>
      </c>
      <c r="AG711" s="39">
        <v>40.5</v>
      </c>
      <c r="AH711" s="39"/>
      <c r="AI711" s="39"/>
      <c r="AJ711" s="40"/>
      <c r="AK711" s="39">
        <f t="shared" si="55"/>
        <v>22.275000000000002</v>
      </c>
      <c r="AL711" s="39">
        <f t="shared" si="58"/>
        <v>3.375</v>
      </c>
      <c r="AM711" s="39">
        <f t="shared" si="59"/>
        <v>6.75</v>
      </c>
      <c r="AN711" s="39">
        <f t="shared" si="56"/>
        <v>4.05</v>
      </c>
      <c r="AO711" s="39">
        <f t="shared" si="57"/>
        <v>40.5</v>
      </c>
    </row>
    <row r="712" spans="1:41" x14ac:dyDescent="0.3">
      <c r="A712" s="20">
        <v>1000184670</v>
      </c>
      <c r="B712" s="4" t="s">
        <v>147</v>
      </c>
      <c r="C712" s="21"/>
      <c r="D712" s="3"/>
      <c r="E712" s="20">
        <v>1000184760</v>
      </c>
      <c r="F712" s="4" t="s">
        <v>60</v>
      </c>
      <c r="G712" s="21">
        <v>1000189782</v>
      </c>
      <c r="H712" s="3" t="s">
        <v>109</v>
      </c>
      <c r="I712" s="21">
        <v>1000189270</v>
      </c>
      <c r="J712" s="3" t="s">
        <v>34</v>
      </c>
      <c r="K712" s="20" t="s">
        <v>17</v>
      </c>
      <c r="L712" s="39">
        <v>0</v>
      </c>
      <c r="M712" s="39">
        <v>0</v>
      </c>
      <c r="N712" s="39">
        <v>0</v>
      </c>
      <c r="O712" s="39">
        <v>0</v>
      </c>
      <c r="P712" s="39">
        <v>0</v>
      </c>
      <c r="Q712" s="39">
        <v>0</v>
      </c>
      <c r="R712" s="39">
        <v>0</v>
      </c>
      <c r="S712" s="39">
        <v>0</v>
      </c>
      <c r="T712" s="39">
        <v>0</v>
      </c>
      <c r="U712" s="39">
        <v>0</v>
      </c>
      <c r="V712" s="39">
        <v>0</v>
      </c>
      <c r="W712" s="39">
        <v>0</v>
      </c>
      <c r="X712" s="39">
        <v>0</v>
      </c>
      <c r="Y712" s="39">
        <v>0</v>
      </c>
      <c r="Z712" s="39">
        <v>0</v>
      </c>
      <c r="AA712" s="39">
        <v>0</v>
      </c>
      <c r="AB712" s="39">
        <v>0</v>
      </c>
      <c r="AC712" s="39">
        <v>0</v>
      </c>
      <c r="AD712" s="39">
        <v>120</v>
      </c>
      <c r="AE712" s="39">
        <v>0</v>
      </c>
      <c r="AF712" s="39">
        <v>0</v>
      </c>
      <c r="AG712" s="39">
        <v>0</v>
      </c>
      <c r="AH712" s="39"/>
      <c r="AI712" s="39"/>
      <c r="AJ712" s="40"/>
      <c r="AK712" s="39">
        <f t="shared" si="55"/>
        <v>0</v>
      </c>
      <c r="AL712" s="39">
        <f t="shared" si="58"/>
        <v>10</v>
      </c>
      <c r="AM712" s="39">
        <f t="shared" si="59"/>
        <v>20</v>
      </c>
      <c r="AN712" s="39">
        <f t="shared" si="56"/>
        <v>12</v>
      </c>
      <c r="AO712" s="39">
        <f t="shared" si="57"/>
        <v>120</v>
      </c>
    </row>
    <row r="713" spans="1:41" x14ac:dyDescent="0.3">
      <c r="A713" s="20">
        <v>1000184670</v>
      </c>
      <c r="B713" s="4" t="s">
        <v>147</v>
      </c>
      <c r="C713" s="21"/>
      <c r="D713" s="3"/>
      <c r="E713" s="20">
        <v>1000184760</v>
      </c>
      <c r="F713" s="4" t="s">
        <v>60</v>
      </c>
      <c r="G713" s="21">
        <v>1000189782</v>
      </c>
      <c r="H713" s="3" t="s">
        <v>109</v>
      </c>
      <c r="I713" s="21">
        <v>1000189270</v>
      </c>
      <c r="J713" s="3" t="s">
        <v>34</v>
      </c>
      <c r="K713" s="20" t="s">
        <v>24</v>
      </c>
      <c r="L713" s="39">
        <v>0</v>
      </c>
      <c r="M713" s="39">
        <v>0</v>
      </c>
      <c r="N713" s="39">
        <v>0</v>
      </c>
      <c r="O713" s="39">
        <v>0</v>
      </c>
      <c r="P713" s="39">
        <v>0</v>
      </c>
      <c r="Q713" s="39">
        <v>0</v>
      </c>
      <c r="R713" s="39">
        <v>0</v>
      </c>
      <c r="S713" s="39">
        <v>0</v>
      </c>
      <c r="T713" s="39">
        <v>0</v>
      </c>
      <c r="U713" s="39">
        <v>0</v>
      </c>
      <c r="V713" s="39">
        <v>0</v>
      </c>
      <c r="W713" s="39">
        <v>0</v>
      </c>
      <c r="X713" s="39">
        <v>223.79</v>
      </c>
      <c r="Y713" s="39">
        <v>0</v>
      </c>
      <c r="Z713" s="39">
        <v>0</v>
      </c>
      <c r="AA713" s="39">
        <v>0</v>
      </c>
      <c r="AB713" s="39">
        <v>0</v>
      </c>
      <c r="AC713" s="39">
        <v>0</v>
      </c>
      <c r="AD713" s="39">
        <v>0</v>
      </c>
      <c r="AE713" s="39">
        <v>0</v>
      </c>
      <c r="AF713" s="39">
        <v>0</v>
      </c>
      <c r="AG713" s="39">
        <v>0</v>
      </c>
      <c r="AH713" s="39"/>
      <c r="AI713" s="39"/>
      <c r="AJ713" s="40"/>
      <c r="AK713" s="39">
        <f t="shared" si="55"/>
        <v>0</v>
      </c>
      <c r="AL713" s="39">
        <f t="shared" si="58"/>
        <v>18.649166666666666</v>
      </c>
      <c r="AM713" s="39">
        <f t="shared" si="59"/>
        <v>0</v>
      </c>
      <c r="AN713" s="39">
        <f t="shared" si="56"/>
        <v>22.378999999999998</v>
      </c>
      <c r="AO713" s="39">
        <f t="shared" si="57"/>
        <v>223.79</v>
      </c>
    </row>
    <row r="714" spans="1:41" x14ac:dyDescent="0.3">
      <c r="A714" s="20">
        <v>1000184670</v>
      </c>
      <c r="B714" s="4" t="s">
        <v>147</v>
      </c>
      <c r="C714" s="21"/>
      <c r="D714" s="3"/>
      <c r="E714" s="20">
        <v>1000184760</v>
      </c>
      <c r="F714" s="4" t="s">
        <v>60</v>
      </c>
      <c r="G714" s="21">
        <v>1000189782</v>
      </c>
      <c r="H714" s="3" t="s">
        <v>109</v>
      </c>
      <c r="I714" s="21">
        <v>1000189270</v>
      </c>
      <c r="J714" s="3" t="s">
        <v>34</v>
      </c>
      <c r="K714" s="20" t="s">
        <v>18</v>
      </c>
      <c r="L714" s="39">
        <v>0</v>
      </c>
      <c r="M714" s="39">
        <v>0</v>
      </c>
      <c r="N714" s="39">
        <v>0</v>
      </c>
      <c r="O714" s="39">
        <v>0</v>
      </c>
      <c r="P714" s="39">
        <v>0</v>
      </c>
      <c r="Q714" s="39">
        <v>0</v>
      </c>
      <c r="R714" s="39">
        <v>0</v>
      </c>
      <c r="S714" s="39">
        <v>0</v>
      </c>
      <c r="T714" s="39">
        <v>0</v>
      </c>
      <c r="U714" s="39">
        <v>0</v>
      </c>
      <c r="V714" s="39">
        <v>0</v>
      </c>
      <c r="W714" s="39">
        <v>0</v>
      </c>
      <c r="X714" s="39">
        <v>0</v>
      </c>
      <c r="Y714" s="39">
        <v>0</v>
      </c>
      <c r="Z714" s="39">
        <v>0</v>
      </c>
      <c r="AA714" s="39">
        <v>0</v>
      </c>
      <c r="AB714" s="39">
        <v>0</v>
      </c>
      <c r="AC714" s="39">
        <v>0</v>
      </c>
      <c r="AD714" s="39">
        <v>0</v>
      </c>
      <c r="AE714" s="39">
        <v>0</v>
      </c>
      <c r="AF714" s="39">
        <v>0</v>
      </c>
      <c r="AG714" s="39">
        <v>0</v>
      </c>
      <c r="AH714" s="39"/>
      <c r="AI714" s="39"/>
      <c r="AJ714" s="40"/>
      <c r="AK714" s="39">
        <f t="shared" si="55"/>
        <v>0</v>
      </c>
      <c r="AL714" s="39">
        <f t="shared" si="58"/>
        <v>0</v>
      </c>
      <c r="AM714" s="39">
        <f t="shared" si="59"/>
        <v>0</v>
      </c>
      <c r="AN714" s="39">
        <f t="shared" si="56"/>
        <v>0</v>
      </c>
      <c r="AO714" s="39">
        <f t="shared" si="57"/>
        <v>0</v>
      </c>
    </row>
    <row r="715" spans="1:41" x14ac:dyDescent="0.3">
      <c r="A715" s="20">
        <v>1000184670</v>
      </c>
      <c r="B715" s="4" t="s">
        <v>147</v>
      </c>
      <c r="C715" s="21"/>
      <c r="D715" s="3"/>
      <c r="E715" s="20">
        <v>1000184760</v>
      </c>
      <c r="F715" s="4" t="s">
        <v>60</v>
      </c>
      <c r="G715" s="21">
        <v>1000189782</v>
      </c>
      <c r="H715" s="3" t="s">
        <v>109</v>
      </c>
      <c r="I715" s="21">
        <v>1000189270</v>
      </c>
      <c r="J715" s="3" t="s">
        <v>34</v>
      </c>
      <c r="K715" s="20" t="s">
        <v>29</v>
      </c>
      <c r="L715" s="39">
        <v>0</v>
      </c>
      <c r="M715" s="39">
        <v>0</v>
      </c>
      <c r="N715" s="39">
        <v>0</v>
      </c>
      <c r="O715" s="39">
        <v>0</v>
      </c>
      <c r="P715" s="39">
        <v>0</v>
      </c>
      <c r="Q715" s="39">
        <v>0</v>
      </c>
      <c r="R715" s="39">
        <v>0</v>
      </c>
      <c r="S715" s="39">
        <v>0</v>
      </c>
      <c r="T715" s="39">
        <v>0</v>
      </c>
      <c r="U715" s="39">
        <v>0</v>
      </c>
      <c r="V715" s="39">
        <v>0</v>
      </c>
      <c r="W715" s="39">
        <v>0</v>
      </c>
      <c r="X715" s="39">
        <v>0</v>
      </c>
      <c r="Y715" s="39">
        <v>0</v>
      </c>
      <c r="Z715" s="39">
        <v>0</v>
      </c>
      <c r="AA715" s="39">
        <v>0</v>
      </c>
      <c r="AB715" s="39">
        <v>0</v>
      </c>
      <c r="AC715" s="39">
        <v>0</v>
      </c>
      <c r="AD715" s="39">
        <v>0</v>
      </c>
      <c r="AE715" s="39">
        <v>0</v>
      </c>
      <c r="AF715" s="39">
        <v>0</v>
      </c>
      <c r="AG715" s="39">
        <v>2198</v>
      </c>
      <c r="AH715" s="39"/>
      <c r="AI715" s="39"/>
      <c r="AJ715" s="40"/>
      <c r="AK715" s="39">
        <f t="shared" si="55"/>
        <v>0</v>
      </c>
      <c r="AL715" s="39">
        <f t="shared" si="58"/>
        <v>183.16666666666666</v>
      </c>
      <c r="AM715" s="39">
        <f t="shared" si="59"/>
        <v>366.33333333333331</v>
      </c>
      <c r="AN715" s="39">
        <f t="shared" si="56"/>
        <v>219.8</v>
      </c>
      <c r="AO715" s="39">
        <f t="shared" si="57"/>
        <v>2198</v>
      </c>
    </row>
    <row r="716" spans="1:41" x14ac:dyDescent="0.3">
      <c r="A716" s="20">
        <v>1000184670</v>
      </c>
      <c r="B716" s="4" t="s">
        <v>147</v>
      </c>
      <c r="C716" s="21"/>
      <c r="D716" s="3"/>
      <c r="E716" s="20">
        <v>1000184760</v>
      </c>
      <c r="F716" s="4" t="s">
        <v>60</v>
      </c>
      <c r="G716" s="21">
        <v>1000189782</v>
      </c>
      <c r="H716" s="3" t="s">
        <v>109</v>
      </c>
      <c r="I716" s="21">
        <v>1000189270</v>
      </c>
      <c r="J716" s="3" t="s">
        <v>34</v>
      </c>
      <c r="K716" s="20" t="s">
        <v>21</v>
      </c>
      <c r="L716" s="39">
        <v>0</v>
      </c>
      <c r="M716" s="39">
        <v>0</v>
      </c>
      <c r="N716" s="39">
        <v>0</v>
      </c>
      <c r="O716" s="39">
        <v>0</v>
      </c>
      <c r="P716" s="39">
        <v>0</v>
      </c>
      <c r="Q716" s="39">
        <v>0</v>
      </c>
      <c r="R716" s="39">
        <v>0</v>
      </c>
      <c r="S716" s="39">
        <v>0</v>
      </c>
      <c r="T716" s="39">
        <v>0</v>
      </c>
      <c r="U716" s="39">
        <v>0</v>
      </c>
      <c r="V716" s="39">
        <v>0</v>
      </c>
      <c r="W716" s="39">
        <v>0</v>
      </c>
      <c r="X716" s="39">
        <v>0</v>
      </c>
      <c r="Y716" s="39">
        <v>0</v>
      </c>
      <c r="Z716" s="39">
        <v>0</v>
      </c>
      <c r="AA716" s="39">
        <v>0</v>
      </c>
      <c r="AB716" s="39">
        <v>0</v>
      </c>
      <c r="AC716" s="39">
        <v>0</v>
      </c>
      <c r="AD716" s="39">
        <v>47.02</v>
      </c>
      <c r="AE716" s="39">
        <v>0</v>
      </c>
      <c r="AF716" s="39">
        <v>0</v>
      </c>
      <c r="AG716" s="39">
        <v>0</v>
      </c>
      <c r="AH716" s="39"/>
      <c r="AI716" s="39"/>
      <c r="AJ716" s="40"/>
      <c r="AK716" s="39">
        <f t="shared" si="55"/>
        <v>0</v>
      </c>
      <c r="AL716" s="39">
        <f t="shared" si="58"/>
        <v>3.9183333333333334</v>
      </c>
      <c r="AM716" s="39">
        <f t="shared" si="59"/>
        <v>7.8366666666666669</v>
      </c>
      <c r="AN716" s="39">
        <f t="shared" si="56"/>
        <v>4.702</v>
      </c>
      <c r="AO716" s="39">
        <f t="shared" si="57"/>
        <v>47.02</v>
      </c>
    </row>
    <row r="717" spans="1:41" x14ac:dyDescent="0.3">
      <c r="A717" s="20">
        <v>1000184670</v>
      </c>
      <c r="B717" s="4" t="s">
        <v>147</v>
      </c>
      <c r="C717" s="21"/>
      <c r="D717" s="3"/>
      <c r="E717" s="20">
        <v>1000184760</v>
      </c>
      <c r="F717" s="4" t="s">
        <v>60</v>
      </c>
      <c r="G717" s="21">
        <v>1000189782</v>
      </c>
      <c r="H717" s="3" t="s">
        <v>109</v>
      </c>
      <c r="I717" s="21">
        <v>1000189270</v>
      </c>
      <c r="J717" s="3" t="s">
        <v>34</v>
      </c>
      <c r="K717" s="20" t="s">
        <v>20</v>
      </c>
      <c r="L717" s="39">
        <v>0</v>
      </c>
      <c r="M717" s="39">
        <v>0</v>
      </c>
      <c r="N717" s="39">
        <v>0</v>
      </c>
      <c r="O717" s="39">
        <v>0</v>
      </c>
      <c r="P717" s="39">
        <v>0</v>
      </c>
      <c r="Q717" s="39">
        <v>0</v>
      </c>
      <c r="R717" s="39">
        <v>0</v>
      </c>
      <c r="S717" s="39">
        <v>0</v>
      </c>
      <c r="T717" s="39">
        <v>0</v>
      </c>
      <c r="U717" s="39">
        <v>0</v>
      </c>
      <c r="V717" s="39">
        <v>0</v>
      </c>
      <c r="W717" s="39">
        <v>0</v>
      </c>
      <c r="X717" s="39">
        <v>0</v>
      </c>
      <c r="Y717" s="39">
        <v>0</v>
      </c>
      <c r="Z717" s="39">
        <v>0</v>
      </c>
      <c r="AA717" s="39">
        <v>0</v>
      </c>
      <c r="AB717" s="39">
        <v>0</v>
      </c>
      <c r="AC717" s="39">
        <v>0</v>
      </c>
      <c r="AD717" s="39">
        <v>75.31</v>
      </c>
      <c r="AE717" s="39">
        <v>0</v>
      </c>
      <c r="AF717" s="39">
        <v>0</v>
      </c>
      <c r="AG717" s="39">
        <v>0</v>
      </c>
      <c r="AH717" s="39"/>
      <c r="AI717" s="39"/>
      <c r="AJ717" s="40"/>
      <c r="AK717" s="39">
        <f t="shared" si="55"/>
        <v>0</v>
      </c>
      <c r="AL717" s="39">
        <f t="shared" si="58"/>
        <v>6.2758333333333338</v>
      </c>
      <c r="AM717" s="39">
        <f t="shared" si="59"/>
        <v>12.551666666666668</v>
      </c>
      <c r="AN717" s="39">
        <f t="shared" si="56"/>
        <v>7.5310000000000006</v>
      </c>
      <c r="AO717" s="39">
        <f t="shared" si="57"/>
        <v>75.31</v>
      </c>
    </row>
    <row r="718" spans="1:41" x14ac:dyDescent="0.3">
      <c r="A718" s="20">
        <v>1000184670</v>
      </c>
      <c r="B718" s="4" t="s">
        <v>147</v>
      </c>
      <c r="C718" s="21"/>
      <c r="D718" s="3"/>
      <c r="E718" s="20">
        <v>1000184760</v>
      </c>
      <c r="F718" s="4" t="s">
        <v>60</v>
      </c>
      <c r="G718" s="21">
        <v>1000189782</v>
      </c>
      <c r="H718" s="3" t="s">
        <v>109</v>
      </c>
      <c r="I718" s="21">
        <v>1000189270</v>
      </c>
      <c r="J718" s="3" t="s">
        <v>34</v>
      </c>
      <c r="K718" s="20" t="s">
        <v>22</v>
      </c>
      <c r="L718" s="39">
        <v>0</v>
      </c>
      <c r="M718" s="39">
        <v>0</v>
      </c>
      <c r="N718" s="39">
        <v>0</v>
      </c>
      <c r="O718" s="39">
        <v>0</v>
      </c>
      <c r="P718" s="39">
        <v>0</v>
      </c>
      <c r="Q718" s="39">
        <v>0</v>
      </c>
      <c r="R718" s="39">
        <v>0</v>
      </c>
      <c r="S718" s="39">
        <v>0</v>
      </c>
      <c r="T718" s="39">
        <v>0</v>
      </c>
      <c r="U718" s="39">
        <v>0</v>
      </c>
      <c r="V718" s="39">
        <v>0</v>
      </c>
      <c r="W718" s="39">
        <v>0</v>
      </c>
      <c r="X718" s="39">
        <v>663.55</v>
      </c>
      <c r="Y718" s="39">
        <v>0</v>
      </c>
      <c r="Z718" s="39">
        <v>0</v>
      </c>
      <c r="AA718" s="39">
        <v>0</v>
      </c>
      <c r="AB718" s="39">
        <v>0</v>
      </c>
      <c r="AC718" s="39">
        <v>0</v>
      </c>
      <c r="AD718" s="39">
        <v>0</v>
      </c>
      <c r="AE718" s="39">
        <v>0</v>
      </c>
      <c r="AF718" s="39">
        <v>0</v>
      </c>
      <c r="AG718" s="39">
        <v>204</v>
      </c>
      <c r="AH718" s="39"/>
      <c r="AI718" s="39"/>
      <c r="AJ718" s="40"/>
      <c r="AK718" s="39">
        <f t="shared" si="55"/>
        <v>0</v>
      </c>
      <c r="AL718" s="39">
        <f t="shared" si="58"/>
        <v>72.295833333333334</v>
      </c>
      <c r="AM718" s="39">
        <f t="shared" si="59"/>
        <v>34</v>
      </c>
      <c r="AN718" s="39">
        <f t="shared" si="56"/>
        <v>86.754999999999995</v>
      </c>
      <c r="AO718" s="39">
        <f t="shared" si="57"/>
        <v>867.55</v>
      </c>
    </row>
    <row r="719" spans="1:41" x14ac:dyDescent="0.3">
      <c r="A719" s="20">
        <v>1000184670</v>
      </c>
      <c r="B719" s="4" t="s">
        <v>147</v>
      </c>
      <c r="C719" s="21"/>
      <c r="D719" s="3"/>
      <c r="E719" s="20">
        <v>1000184760</v>
      </c>
      <c r="F719" s="4" t="s">
        <v>60</v>
      </c>
      <c r="G719" s="21">
        <v>1000189782</v>
      </c>
      <c r="H719" s="3" t="s">
        <v>109</v>
      </c>
      <c r="I719" s="21">
        <v>1000189270</v>
      </c>
      <c r="J719" s="3" t="s">
        <v>34</v>
      </c>
      <c r="K719" s="20" t="s">
        <v>23</v>
      </c>
      <c r="L719" s="39">
        <v>0</v>
      </c>
      <c r="M719" s="39">
        <v>0</v>
      </c>
      <c r="N719" s="39">
        <v>0</v>
      </c>
      <c r="O719" s="39">
        <v>0</v>
      </c>
      <c r="P719" s="39">
        <v>0</v>
      </c>
      <c r="Q719" s="39">
        <v>0</v>
      </c>
      <c r="R719" s="39">
        <v>0</v>
      </c>
      <c r="S719" s="39">
        <v>0</v>
      </c>
      <c r="T719" s="39">
        <v>0</v>
      </c>
      <c r="U719" s="39">
        <v>0</v>
      </c>
      <c r="V719" s="39">
        <v>0</v>
      </c>
      <c r="W719" s="39">
        <v>0</v>
      </c>
      <c r="X719" s="39">
        <v>0</v>
      </c>
      <c r="Y719" s="39">
        <v>0</v>
      </c>
      <c r="Z719" s="39">
        <v>0</v>
      </c>
      <c r="AA719" s="39">
        <v>0</v>
      </c>
      <c r="AB719" s="39">
        <v>0</v>
      </c>
      <c r="AC719" s="39">
        <v>0</v>
      </c>
      <c r="AD719" s="39">
        <v>0</v>
      </c>
      <c r="AE719" s="39">
        <v>0</v>
      </c>
      <c r="AF719" s="39">
        <v>0</v>
      </c>
      <c r="AG719" s="39">
        <v>0</v>
      </c>
      <c r="AH719" s="39"/>
      <c r="AI719" s="39"/>
      <c r="AJ719" s="40"/>
      <c r="AK719" s="39">
        <f t="shared" si="55"/>
        <v>0</v>
      </c>
      <c r="AL719" s="39">
        <f t="shared" si="58"/>
        <v>0</v>
      </c>
      <c r="AM719" s="39">
        <f t="shared" si="59"/>
        <v>0</v>
      </c>
      <c r="AN719" s="39">
        <f t="shared" si="56"/>
        <v>0</v>
      </c>
      <c r="AO719" s="39">
        <f t="shared" si="57"/>
        <v>0</v>
      </c>
    </row>
    <row r="720" spans="1:41" x14ac:dyDescent="0.3">
      <c r="A720" s="20">
        <v>1000184670</v>
      </c>
      <c r="B720" s="4" t="s">
        <v>147</v>
      </c>
      <c r="C720" s="21"/>
      <c r="D720" s="3"/>
      <c r="E720" s="20">
        <v>1000184760</v>
      </c>
      <c r="F720" s="4" t="s">
        <v>60</v>
      </c>
      <c r="G720" s="21">
        <v>1000189782</v>
      </c>
      <c r="H720" s="3" t="s">
        <v>109</v>
      </c>
      <c r="I720" s="21">
        <v>1000189270</v>
      </c>
      <c r="J720" s="3" t="s">
        <v>34</v>
      </c>
      <c r="K720" s="20" t="s">
        <v>28</v>
      </c>
      <c r="L720" s="39">
        <v>0</v>
      </c>
      <c r="M720" s="39">
        <v>0</v>
      </c>
      <c r="N720" s="39">
        <v>0</v>
      </c>
      <c r="O720" s="39">
        <v>0</v>
      </c>
      <c r="P720" s="39">
        <v>0</v>
      </c>
      <c r="Q720" s="39">
        <v>0</v>
      </c>
      <c r="R720" s="39">
        <v>0</v>
      </c>
      <c r="S720" s="39">
        <v>0</v>
      </c>
      <c r="T720" s="39">
        <v>0</v>
      </c>
      <c r="U720" s="39">
        <v>0</v>
      </c>
      <c r="V720" s="39">
        <v>0</v>
      </c>
      <c r="W720" s="39">
        <v>0</v>
      </c>
      <c r="X720" s="39">
        <v>0</v>
      </c>
      <c r="Y720" s="39">
        <v>0</v>
      </c>
      <c r="Z720" s="39">
        <v>0</v>
      </c>
      <c r="AA720" s="39">
        <v>0</v>
      </c>
      <c r="AB720" s="39">
        <v>0</v>
      </c>
      <c r="AC720" s="39">
        <v>0</v>
      </c>
      <c r="AD720" s="39">
        <v>0</v>
      </c>
      <c r="AE720" s="39">
        <v>0</v>
      </c>
      <c r="AF720" s="39">
        <v>0</v>
      </c>
      <c r="AG720" s="39">
        <v>0</v>
      </c>
      <c r="AH720" s="39"/>
      <c r="AI720" s="39"/>
      <c r="AJ720" s="40"/>
      <c r="AK720" s="39">
        <f t="shared" si="55"/>
        <v>0</v>
      </c>
      <c r="AL720" s="39">
        <f t="shared" si="58"/>
        <v>0</v>
      </c>
      <c r="AM720" s="39">
        <f t="shared" si="59"/>
        <v>0</v>
      </c>
      <c r="AN720" s="39">
        <f t="shared" si="56"/>
        <v>0</v>
      </c>
      <c r="AO720" s="39">
        <f t="shared" si="57"/>
        <v>0</v>
      </c>
    </row>
    <row r="721" spans="1:41" x14ac:dyDescent="0.3">
      <c r="A721" s="20">
        <v>1000184670</v>
      </c>
      <c r="B721" s="4" t="s">
        <v>147</v>
      </c>
      <c r="C721" s="21"/>
      <c r="D721" s="3"/>
      <c r="E721" s="20">
        <v>1000184760</v>
      </c>
      <c r="F721" s="4" t="s">
        <v>60</v>
      </c>
      <c r="G721" s="21">
        <v>1000189782</v>
      </c>
      <c r="H721" s="3" t="s">
        <v>109</v>
      </c>
      <c r="I721" s="21">
        <v>1000189270</v>
      </c>
      <c r="J721" s="3" t="s">
        <v>34</v>
      </c>
      <c r="K721" s="20" t="s">
        <v>26</v>
      </c>
      <c r="L721" s="39">
        <v>0</v>
      </c>
      <c r="M721" s="39">
        <v>0</v>
      </c>
      <c r="N721" s="39">
        <v>0</v>
      </c>
      <c r="O721" s="39">
        <v>1380</v>
      </c>
      <c r="P721" s="39">
        <v>0</v>
      </c>
      <c r="Q721" s="39">
        <v>0</v>
      </c>
      <c r="R721" s="39">
        <v>0</v>
      </c>
      <c r="S721" s="39">
        <v>0</v>
      </c>
      <c r="T721" s="39">
        <v>0</v>
      </c>
      <c r="U721" s="39">
        <v>0</v>
      </c>
      <c r="V721" s="39">
        <v>0</v>
      </c>
      <c r="W721" s="39">
        <v>0</v>
      </c>
      <c r="X721" s="39">
        <v>0</v>
      </c>
      <c r="Y721" s="39">
        <v>0</v>
      </c>
      <c r="Z721" s="39">
        <v>0</v>
      </c>
      <c r="AA721" s="39">
        <v>0</v>
      </c>
      <c r="AB721" s="39">
        <v>0</v>
      </c>
      <c r="AC721" s="39">
        <v>0</v>
      </c>
      <c r="AD721" s="39">
        <v>180</v>
      </c>
      <c r="AE721" s="39">
        <v>0</v>
      </c>
      <c r="AF721" s="39">
        <v>0</v>
      </c>
      <c r="AG721" s="39">
        <v>0</v>
      </c>
      <c r="AH721" s="39"/>
      <c r="AI721" s="39"/>
      <c r="AJ721" s="40"/>
      <c r="AK721" s="39">
        <f t="shared" si="55"/>
        <v>115</v>
      </c>
      <c r="AL721" s="39">
        <f t="shared" si="58"/>
        <v>15</v>
      </c>
      <c r="AM721" s="39">
        <f t="shared" si="59"/>
        <v>30</v>
      </c>
      <c r="AN721" s="39">
        <f t="shared" si="56"/>
        <v>18</v>
      </c>
      <c r="AO721" s="39">
        <f t="shared" si="57"/>
        <v>180</v>
      </c>
    </row>
    <row r="722" spans="1:41" x14ac:dyDescent="0.3">
      <c r="A722" s="20">
        <v>1000184670</v>
      </c>
      <c r="B722" s="4" t="s">
        <v>147</v>
      </c>
      <c r="C722" s="21"/>
      <c r="D722" s="3"/>
      <c r="E722" s="20">
        <v>1000184760</v>
      </c>
      <c r="F722" s="4" t="s">
        <v>60</v>
      </c>
      <c r="G722" s="21">
        <v>1000189782</v>
      </c>
      <c r="H722" s="3" t="s">
        <v>109</v>
      </c>
      <c r="I722" s="21">
        <v>1000189270</v>
      </c>
      <c r="J722" s="3" t="s">
        <v>34</v>
      </c>
      <c r="K722" s="20" t="s">
        <v>27</v>
      </c>
      <c r="L722" s="39">
        <v>0</v>
      </c>
      <c r="M722" s="39">
        <v>0</v>
      </c>
      <c r="N722" s="39">
        <v>0</v>
      </c>
      <c r="O722" s="39">
        <v>0</v>
      </c>
      <c r="P722" s="39">
        <v>0</v>
      </c>
      <c r="Q722" s="39">
        <v>0</v>
      </c>
      <c r="R722" s="39">
        <v>0</v>
      </c>
      <c r="S722" s="39">
        <v>0</v>
      </c>
      <c r="T722" s="39">
        <v>0</v>
      </c>
      <c r="U722" s="39">
        <v>0</v>
      </c>
      <c r="V722" s="39">
        <v>0</v>
      </c>
      <c r="W722" s="39">
        <v>0</v>
      </c>
      <c r="X722" s="39">
        <v>0</v>
      </c>
      <c r="Y722" s="39">
        <v>0</v>
      </c>
      <c r="Z722" s="39">
        <v>0</v>
      </c>
      <c r="AA722" s="39">
        <v>0</v>
      </c>
      <c r="AB722" s="39">
        <v>0</v>
      </c>
      <c r="AC722" s="39">
        <v>0</v>
      </c>
      <c r="AD722" s="39">
        <v>72.540000000000006</v>
      </c>
      <c r="AE722" s="39">
        <v>0</v>
      </c>
      <c r="AF722" s="39">
        <v>0</v>
      </c>
      <c r="AG722" s="39">
        <v>0</v>
      </c>
      <c r="AH722" s="39"/>
      <c r="AI722" s="39"/>
      <c r="AJ722" s="40"/>
      <c r="AK722" s="39">
        <f t="shared" si="55"/>
        <v>0</v>
      </c>
      <c r="AL722" s="39">
        <f t="shared" si="58"/>
        <v>6.0450000000000008</v>
      </c>
      <c r="AM722" s="39">
        <f t="shared" si="59"/>
        <v>12.090000000000002</v>
      </c>
      <c r="AN722" s="39">
        <f t="shared" si="56"/>
        <v>7.2540000000000004</v>
      </c>
      <c r="AO722" s="39">
        <f t="shared" si="57"/>
        <v>72.540000000000006</v>
      </c>
    </row>
    <row r="723" spans="1:41" x14ac:dyDescent="0.3">
      <c r="A723" s="20">
        <v>1000184670</v>
      </c>
      <c r="B723" s="4" t="s">
        <v>147</v>
      </c>
      <c r="C723" s="21"/>
      <c r="D723" s="3"/>
      <c r="E723" s="20">
        <v>1000184760</v>
      </c>
      <c r="F723" s="4" t="s">
        <v>60</v>
      </c>
      <c r="G723" s="21">
        <v>1000189782</v>
      </c>
      <c r="H723" s="3" t="s">
        <v>109</v>
      </c>
      <c r="I723" s="21">
        <v>1000189270</v>
      </c>
      <c r="J723" s="3" t="s">
        <v>34</v>
      </c>
      <c r="K723" s="20" t="s">
        <v>25</v>
      </c>
      <c r="L723" s="39">
        <v>0</v>
      </c>
      <c r="M723" s="39">
        <v>0</v>
      </c>
      <c r="N723" s="39">
        <v>0</v>
      </c>
      <c r="O723" s="39">
        <v>248.4</v>
      </c>
      <c r="P723" s="39">
        <v>0</v>
      </c>
      <c r="Q723" s="39">
        <v>0</v>
      </c>
      <c r="R723" s="39">
        <v>0</v>
      </c>
      <c r="S723" s="39">
        <v>0</v>
      </c>
      <c r="T723" s="39">
        <v>0</v>
      </c>
      <c r="U723" s="39">
        <v>0</v>
      </c>
      <c r="V723" s="39">
        <v>0</v>
      </c>
      <c r="W723" s="39">
        <v>0</v>
      </c>
      <c r="X723" s="39">
        <v>0</v>
      </c>
      <c r="Y723" s="39">
        <v>0</v>
      </c>
      <c r="Z723" s="39">
        <v>0</v>
      </c>
      <c r="AA723" s="39">
        <v>0</v>
      </c>
      <c r="AB723" s="39">
        <v>0</v>
      </c>
      <c r="AC723" s="39">
        <v>0</v>
      </c>
      <c r="AD723" s="39">
        <v>0</v>
      </c>
      <c r="AE723" s="39">
        <v>0</v>
      </c>
      <c r="AF723" s="39">
        <v>0</v>
      </c>
      <c r="AG723" s="39">
        <v>0</v>
      </c>
      <c r="AH723" s="39"/>
      <c r="AI723" s="39"/>
      <c r="AJ723" s="40"/>
      <c r="AK723" s="39">
        <f t="shared" si="55"/>
        <v>20.7</v>
      </c>
      <c r="AL723" s="39">
        <f t="shared" si="58"/>
        <v>0</v>
      </c>
      <c r="AM723" s="39">
        <f t="shared" si="59"/>
        <v>0</v>
      </c>
      <c r="AN723" s="39">
        <f t="shared" si="56"/>
        <v>0</v>
      </c>
      <c r="AO723" s="39">
        <f t="shared" si="57"/>
        <v>0</v>
      </c>
    </row>
    <row r="724" spans="1:41" x14ac:dyDescent="0.3">
      <c r="A724" s="20">
        <v>1000184670</v>
      </c>
      <c r="B724" s="4" t="s">
        <v>147</v>
      </c>
      <c r="C724" s="21"/>
      <c r="D724" s="3"/>
      <c r="E724" s="20">
        <v>1000184756</v>
      </c>
      <c r="F724" s="4" t="s">
        <v>53</v>
      </c>
      <c r="G724" s="21">
        <v>1000189783</v>
      </c>
      <c r="H724" s="3" t="s">
        <v>86</v>
      </c>
      <c r="I724" s="21">
        <v>1000189270</v>
      </c>
      <c r="J724" s="3" t="s">
        <v>34</v>
      </c>
      <c r="K724" s="20" t="s">
        <v>124</v>
      </c>
      <c r="L724" s="39">
        <v>0</v>
      </c>
      <c r="M724" s="39">
        <v>0</v>
      </c>
      <c r="N724" s="39">
        <v>0</v>
      </c>
      <c r="O724" s="39">
        <v>0</v>
      </c>
      <c r="P724" s="39">
        <v>0</v>
      </c>
      <c r="Q724" s="39">
        <v>0</v>
      </c>
      <c r="R724" s="39">
        <v>0</v>
      </c>
      <c r="S724" s="39">
        <v>0</v>
      </c>
      <c r="T724" s="39">
        <v>0</v>
      </c>
      <c r="U724" s="39">
        <v>0</v>
      </c>
      <c r="V724" s="39">
        <v>0</v>
      </c>
      <c r="W724" s="39">
        <v>0</v>
      </c>
      <c r="X724" s="39">
        <v>0</v>
      </c>
      <c r="Y724" s="39">
        <v>0</v>
      </c>
      <c r="Z724" s="39">
        <v>0</v>
      </c>
      <c r="AA724" s="39">
        <v>0</v>
      </c>
      <c r="AB724" s="39">
        <v>0</v>
      </c>
      <c r="AC724" s="39">
        <v>0</v>
      </c>
      <c r="AD724" s="39">
        <v>0</v>
      </c>
      <c r="AE724" s="39">
        <v>0</v>
      </c>
      <c r="AF724" s="39">
        <v>0</v>
      </c>
      <c r="AG724" s="39">
        <v>0</v>
      </c>
      <c r="AH724" s="39"/>
      <c r="AI724" s="39"/>
      <c r="AJ724" s="40"/>
      <c r="AK724" s="39">
        <f t="shared" si="55"/>
        <v>0</v>
      </c>
      <c r="AL724" s="39">
        <f t="shared" si="58"/>
        <v>0</v>
      </c>
      <c r="AM724" s="39">
        <f t="shared" si="59"/>
        <v>0</v>
      </c>
      <c r="AN724" s="39">
        <f t="shared" si="56"/>
        <v>0</v>
      </c>
      <c r="AO724" s="39">
        <f t="shared" si="57"/>
        <v>0</v>
      </c>
    </row>
    <row r="725" spans="1:41" x14ac:dyDescent="0.3">
      <c r="A725" s="20">
        <v>1000184670</v>
      </c>
      <c r="B725" s="4" t="s">
        <v>147</v>
      </c>
      <c r="C725" s="21"/>
      <c r="D725" s="3"/>
      <c r="E725" s="20">
        <v>1000184756</v>
      </c>
      <c r="F725" s="4" t="s">
        <v>53</v>
      </c>
      <c r="G725" s="21">
        <v>1000189783</v>
      </c>
      <c r="H725" s="3" t="s">
        <v>86</v>
      </c>
      <c r="I725" s="21">
        <v>1000189270</v>
      </c>
      <c r="J725" s="3" t="s">
        <v>34</v>
      </c>
      <c r="K725" s="20" t="s">
        <v>13</v>
      </c>
      <c r="L725" s="39">
        <v>0</v>
      </c>
      <c r="M725" s="39">
        <v>0</v>
      </c>
      <c r="N725" s="39">
        <v>0</v>
      </c>
      <c r="O725" s="39">
        <v>0</v>
      </c>
      <c r="P725" s="39">
        <v>0</v>
      </c>
      <c r="Q725" s="39">
        <v>0</v>
      </c>
      <c r="R725" s="39">
        <v>0</v>
      </c>
      <c r="S725" s="39">
        <v>0</v>
      </c>
      <c r="T725" s="39">
        <v>0</v>
      </c>
      <c r="U725" s="39">
        <v>0</v>
      </c>
      <c r="V725" s="39">
        <v>0</v>
      </c>
      <c r="W725" s="39">
        <v>0</v>
      </c>
      <c r="X725" s="39">
        <v>0</v>
      </c>
      <c r="Y725" s="39">
        <v>0</v>
      </c>
      <c r="Z725" s="39">
        <v>0</v>
      </c>
      <c r="AA725" s="39">
        <v>411.02</v>
      </c>
      <c r="AB725" s="39">
        <v>0</v>
      </c>
      <c r="AC725" s="39">
        <v>0</v>
      </c>
      <c r="AD725" s="39">
        <v>0</v>
      </c>
      <c r="AE725" s="39">
        <v>193.59</v>
      </c>
      <c r="AF725" s="39">
        <v>0</v>
      </c>
      <c r="AG725" s="39">
        <v>0</v>
      </c>
      <c r="AH725" s="39"/>
      <c r="AI725" s="39"/>
      <c r="AJ725" s="40"/>
      <c r="AK725" s="39">
        <f t="shared" si="55"/>
        <v>0</v>
      </c>
      <c r="AL725" s="39">
        <f t="shared" si="58"/>
        <v>50.384166666666665</v>
      </c>
      <c r="AM725" s="39">
        <f t="shared" si="59"/>
        <v>32.265000000000001</v>
      </c>
      <c r="AN725" s="39">
        <f t="shared" si="56"/>
        <v>60.460999999999999</v>
      </c>
      <c r="AO725" s="39">
        <f t="shared" si="57"/>
        <v>604.61</v>
      </c>
    </row>
    <row r="726" spans="1:41" x14ac:dyDescent="0.3">
      <c r="A726" s="20">
        <v>1000184670</v>
      </c>
      <c r="B726" s="4" t="s">
        <v>147</v>
      </c>
      <c r="C726" s="21"/>
      <c r="D726" s="3"/>
      <c r="E726" s="20">
        <v>1000184756</v>
      </c>
      <c r="F726" s="4" t="s">
        <v>53</v>
      </c>
      <c r="G726" s="21">
        <v>1000189783</v>
      </c>
      <c r="H726" s="3" t="s">
        <v>86</v>
      </c>
      <c r="I726" s="21">
        <v>1000189270</v>
      </c>
      <c r="J726" s="3" t="s">
        <v>34</v>
      </c>
      <c r="K726" s="20" t="s">
        <v>14</v>
      </c>
      <c r="L726" s="39">
        <v>0</v>
      </c>
      <c r="M726" s="39">
        <v>0</v>
      </c>
      <c r="N726" s="39">
        <v>0</v>
      </c>
      <c r="O726" s="39">
        <v>0</v>
      </c>
      <c r="P726" s="39">
        <v>0</v>
      </c>
      <c r="Q726" s="39">
        <v>0</v>
      </c>
      <c r="R726" s="39">
        <v>0</v>
      </c>
      <c r="S726" s="39">
        <v>0</v>
      </c>
      <c r="T726" s="39">
        <v>0</v>
      </c>
      <c r="U726" s="39">
        <v>0</v>
      </c>
      <c r="V726" s="39">
        <v>0</v>
      </c>
      <c r="W726" s="39">
        <v>0</v>
      </c>
      <c r="X726" s="39">
        <v>0</v>
      </c>
      <c r="Y726" s="39">
        <v>0</v>
      </c>
      <c r="Z726" s="39">
        <v>0</v>
      </c>
      <c r="AA726" s="39">
        <v>148.41</v>
      </c>
      <c r="AB726" s="39">
        <v>0</v>
      </c>
      <c r="AC726" s="39">
        <v>0</v>
      </c>
      <c r="AD726" s="39">
        <v>0</v>
      </c>
      <c r="AE726" s="39">
        <v>51.3</v>
      </c>
      <c r="AF726" s="39">
        <v>0</v>
      </c>
      <c r="AG726" s="39">
        <v>0</v>
      </c>
      <c r="AH726" s="39"/>
      <c r="AI726" s="39"/>
      <c r="AJ726" s="40"/>
      <c r="AK726" s="39">
        <f t="shared" si="55"/>
        <v>0</v>
      </c>
      <c r="AL726" s="39">
        <f t="shared" si="58"/>
        <v>16.642499999999998</v>
      </c>
      <c r="AM726" s="39">
        <f t="shared" si="59"/>
        <v>8.5499999999999989</v>
      </c>
      <c r="AN726" s="39">
        <f t="shared" si="56"/>
        <v>19.970999999999997</v>
      </c>
      <c r="AO726" s="39">
        <f t="shared" si="57"/>
        <v>199.70999999999998</v>
      </c>
    </row>
    <row r="727" spans="1:41" x14ac:dyDescent="0.3">
      <c r="A727" s="20">
        <v>1000184670</v>
      </c>
      <c r="B727" s="4" t="s">
        <v>147</v>
      </c>
      <c r="C727" s="21"/>
      <c r="D727" s="3"/>
      <c r="E727" s="20">
        <v>1000184756</v>
      </c>
      <c r="F727" s="4" t="s">
        <v>53</v>
      </c>
      <c r="G727" s="21">
        <v>1000189783</v>
      </c>
      <c r="H727" s="3" t="s">
        <v>86</v>
      </c>
      <c r="I727" s="21">
        <v>1000189270</v>
      </c>
      <c r="J727" s="3" t="s">
        <v>34</v>
      </c>
      <c r="K727" s="20" t="s">
        <v>16</v>
      </c>
      <c r="L727" s="39">
        <v>0</v>
      </c>
      <c r="M727" s="39">
        <v>0</v>
      </c>
      <c r="N727" s="39">
        <v>0</v>
      </c>
      <c r="O727" s="39">
        <v>0</v>
      </c>
      <c r="P727" s="39">
        <v>0</v>
      </c>
      <c r="Q727" s="39">
        <v>0</v>
      </c>
      <c r="R727" s="39">
        <v>0</v>
      </c>
      <c r="S727" s="39">
        <v>0</v>
      </c>
      <c r="T727" s="39">
        <v>0</v>
      </c>
      <c r="U727" s="39">
        <v>0</v>
      </c>
      <c r="V727" s="39">
        <v>0</v>
      </c>
      <c r="W727" s="39">
        <v>0</v>
      </c>
      <c r="X727" s="39">
        <v>0</v>
      </c>
      <c r="Y727" s="39">
        <v>388.64</v>
      </c>
      <c r="Z727" s="39">
        <v>0</v>
      </c>
      <c r="AA727" s="39">
        <v>461.25</v>
      </c>
      <c r="AB727" s="39">
        <v>241.52</v>
      </c>
      <c r="AC727" s="39">
        <v>0</v>
      </c>
      <c r="AD727" s="39">
        <v>0</v>
      </c>
      <c r="AE727" s="39">
        <v>290.02</v>
      </c>
      <c r="AF727" s="39">
        <v>0</v>
      </c>
      <c r="AG727" s="39">
        <v>0</v>
      </c>
      <c r="AH727" s="39"/>
      <c r="AI727" s="39"/>
      <c r="AJ727" s="40"/>
      <c r="AK727" s="39">
        <f t="shared" si="55"/>
        <v>0</v>
      </c>
      <c r="AL727" s="39">
        <f t="shared" si="58"/>
        <v>115.11916666666667</v>
      </c>
      <c r="AM727" s="39">
        <f t="shared" si="59"/>
        <v>88.589999999999989</v>
      </c>
      <c r="AN727" s="39">
        <f t="shared" si="56"/>
        <v>138.143</v>
      </c>
      <c r="AO727" s="39">
        <f t="shared" si="57"/>
        <v>1381.43</v>
      </c>
    </row>
    <row r="728" spans="1:41" x14ac:dyDescent="0.3">
      <c r="A728" s="20">
        <v>1000184670</v>
      </c>
      <c r="B728" s="4" t="s">
        <v>147</v>
      </c>
      <c r="C728" s="21"/>
      <c r="D728" s="3"/>
      <c r="E728" s="20">
        <v>1000184756</v>
      </c>
      <c r="F728" s="4" t="s">
        <v>53</v>
      </c>
      <c r="G728" s="21">
        <v>1000189783</v>
      </c>
      <c r="H728" s="3" t="s">
        <v>86</v>
      </c>
      <c r="I728" s="21">
        <v>1000189270</v>
      </c>
      <c r="J728" s="3" t="s">
        <v>34</v>
      </c>
      <c r="K728" s="20" t="s">
        <v>15</v>
      </c>
      <c r="L728" s="39">
        <v>0</v>
      </c>
      <c r="M728" s="39">
        <v>0</v>
      </c>
      <c r="N728" s="39">
        <v>0</v>
      </c>
      <c r="O728" s="39">
        <v>0</v>
      </c>
      <c r="P728" s="39">
        <v>0</v>
      </c>
      <c r="Q728" s="39">
        <v>0</v>
      </c>
      <c r="R728" s="39">
        <v>0</v>
      </c>
      <c r="S728" s="39">
        <v>0</v>
      </c>
      <c r="T728" s="39">
        <v>0</v>
      </c>
      <c r="U728" s="39">
        <v>0</v>
      </c>
      <c r="V728" s="39">
        <v>0</v>
      </c>
      <c r="W728" s="39">
        <v>0</v>
      </c>
      <c r="X728" s="39">
        <v>0</v>
      </c>
      <c r="Y728" s="39">
        <v>148.5</v>
      </c>
      <c r="Z728" s="39">
        <v>0</v>
      </c>
      <c r="AA728" s="39">
        <v>416.76</v>
      </c>
      <c r="AB728" s="39">
        <v>196.64</v>
      </c>
      <c r="AC728" s="39">
        <v>0</v>
      </c>
      <c r="AD728" s="39">
        <v>0</v>
      </c>
      <c r="AE728" s="39">
        <v>666.55</v>
      </c>
      <c r="AF728" s="39">
        <v>0</v>
      </c>
      <c r="AG728" s="39">
        <v>0</v>
      </c>
      <c r="AH728" s="39"/>
      <c r="AI728" s="39"/>
      <c r="AJ728" s="40"/>
      <c r="AK728" s="39">
        <f t="shared" si="55"/>
        <v>0</v>
      </c>
      <c r="AL728" s="39">
        <f t="shared" si="58"/>
        <v>119.03749999999998</v>
      </c>
      <c r="AM728" s="39">
        <f t="shared" si="59"/>
        <v>143.86499999999998</v>
      </c>
      <c r="AN728" s="39">
        <f t="shared" si="56"/>
        <v>142.84499999999997</v>
      </c>
      <c r="AO728" s="39">
        <f t="shared" si="57"/>
        <v>1428.4499999999998</v>
      </c>
    </row>
    <row r="729" spans="1:41" x14ac:dyDescent="0.3">
      <c r="A729" s="20">
        <v>1000184670</v>
      </c>
      <c r="B729" s="4" t="s">
        <v>147</v>
      </c>
      <c r="C729" s="21"/>
      <c r="D729" s="3"/>
      <c r="E729" s="20">
        <v>1000184756</v>
      </c>
      <c r="F729" s="4" t="s">
        <v>53</v>
      </c>
      <c r="G729" s="21">
        <v>1000189783</v>
      </c>
      <c r="H729" s="3" t="s">
        <v>86</v>
      </c>
      <c r="I729" s="21">
        <v>1000189270</v>
      </c>
      <c r="J729" s="3" t="s">
        <v>34</v>
      </c>
      <c r="K729" s="20" t="s">
        <v>33</v>
      </c>
      <c r="L729" s="39">
        <v>0</v>
      </c>
      <c r="M729" s="39">
        <v>0</v>
      </c>
      <c r="N729" s="39">
        <v>0</v>
      </c>
      <c r="O729" s="39">
        <v>0</v>
      </c>
      <c r="P729" s="39">
        <v>0</v>
      </c>
      <c r="Q729" s="39">
        <v>0</v>
      </c>
      <c r="R729" s="39">
        <v>0</v>
      </c>
      <c r="S729" s="39">
        <v>0</v>
      </c>
      <c r="T729" s="39">
        <v>0</v>
      </c>
      <c r="U729" s="39">
        <v>0</v>
      </c>
      <c r="V729" s="39">
        <v>0</v>
      </c>
      <c r="W729" s="39">
        <v>0</v>
      </c>
      <c r="X729" s="39">
        <v>0</v>
      </c>
      <c r="Y729" s="39">
        <v>0</v>
      </c>
      <c r="Z729" s="39">
        <v>0</v>
      </c>
      <c r="AA729" s="39">
        <v>0</v>
      </c>
      <c r="AB729" s="39">
        <v>0</v>
      </c>
      <c r="AC729" s="39">
        <v>0</v>
      </c>
      <c r="AD729" s="39">
        <v>0</v>
      </c>
      <c r="AE729" s="39">
        <v>0</v>
      </c>
      <c r="AF729" s="39">
        <v>0</v>
      </c>
      <c r="AG729" s="39">
        <v>0</v>
      </c>
      <c r="AH729" s="39"/>
      <c r="AI729" s="39"/>
      <c r="AJ729" s="40"/>
      <c r="AK729" s="39">
        <f t="shared" si="55"/>
        <v>0</v>
      </c>
      <c r="AL729" s="39">
        <f t="shared" si="58"/>
        <v>0</v>
      </c>
      <c r="AM729" s="39">
        <f t="shared" si="59"/>
        <v>0</v>
      </c>
      <c r="AN729" s="39">
        <f t="shared" si="56"/>
        <v>0</v>
      </c>
      <c r="AO729" s="39">
        <f t="shared" si="57"/>
        <v>0</v>
      </c>
    </row>
    <row r="730" spans="1:41" x14ac:dyDescent="0.3">
      <c r="A730" s="20">
        <v>1000184670</v>
      </c>
      <c r="B730" s="4" t="s">
        <v>147</v>
      </c>
      <c r="C730" s="21"/>
      <c r="D730" s="3"/>
      <c r="E730" s="20">
        <v>1000184756</v>
      </c>
      <c r="F730" s="4" t="s">
        <v>53</v>
      </c>
      <c r="G730" s="21">
        <v>1000189783</v>
      </c>
      <c r="H730" s="3" t="s">
        <v>86</v>
      </c>
      <c r="I730" s="21">
        <v>1000189270</v>
      </c>
      <c r="J730" s="3" t="s">
        <v>34</v>
      </c>
      <c r="K730" s="20" t="s">
        <v>19</v>
      </c>
      <c r="L730" s="39">
        <v>0</v>
      </c>
      <c r="M730" s="39">
        <v>0</v>
      </c>
      <c r="N730" s="39">
        <v>0</v>
      </c>
      <c r="O730" s="39">
        <v>0</v>
      </c>
      <c r="P730" s="39">
        <v>0</v>
      </c>
      <c r="Q730" s="39">
        <v>0</v>
      </c>
      <c r="R730" s="39">
        <v>0</v>
      </c>
      <c r="S730" s="39">
        <v>0</v>
      </c>
      <c r="T730" s="39">
        <v>0</v>
      </c>
      <c r="U730" s="39">
        <v>0</v>
      </c>
      <c r="V730" s="39">
        <v>0</v>
      </c>
      <c r="W730" s="39">
        <v>0</v>
      </c>
      <c r="X730" s="39">
        <v>0</v>
      </c>
      <c r="Y730" s="39">
        <v>0</v>
      </c>
      <c r="Z730" s="39">
        <v>0</v>
      </c>
      <c r="AA730" s="39">
        <v>0</v>
      </c>
      <c r="AB730" s="39">
        <v>0</v>
      </c>
      <c r="AC730" s="39">
        <v>0</v>
      </c>
      <c r="AD730" s="39">
        <v>0</v>
      </c>
      <c r="AE730" s="39">
        <v>0</v>
      </c>
      <c r="AF730" s="39">
        <v>0</v>
      </c>
      <c r="AG730" s="39">
        <v>0</v>
      </c>
      <c r="AH730" s="39"/>
      <c r="AI730" s="39"/>
      <c r="AJ730" s="40"/>
      <c r="AK730" s="39">
        <f t="shared" si="55"/>
        <v>0</v>
      </c>
      <c r="AL730" s="39">
        <f t="shared" si="58"/>
        <v>0</v>
      </c>
      <c r="AM730" s="39">
        <f t="shared" si="59"/>
        <v>0</v>
      </c>
      <c r="AN730" s="39">
        <f t="shared" si="56"/>
        <v>0</v>
      </c>
      <c r="AO730" s="39">
        <f t="shared" si="57"/>
        <v>0</v>
      </c>
    </row>
    <row r="731" spans="1:41" x14ac:dyDescent="0.3">
      <c r="A731" s="20">
        <v>1000184670</v>
      </c>
      <c r="B731" s="4" t="s">
        <v>147</v>
      </c>
      <c r="C731" s="21"/>
      <c r="D731" s="3"/>
      <c r="E731" s="20">
        <v>1000184756</v>
      </c>
      <c r="F731" s="4" t="s">
        <v>53</v>
      </c>
      <c r="G731" s="21">
        <v>1000189783</v>
      </c>
      <c r="H731" s="3" t="s">
        <v>86</v>
      </c>
      <c r="I731" s="21">
        <v>1000189270</v>
      </c>
      <c r="J731" s="3" t="s">
        <v>34</v>
      </c>
      <c r="K731" s="20" t="s">
        <v>17</v>
      </c>
      <c r="L731" s="39">
        <v>0</v>
      </c>
      <c r="M731" s="39">
        <v>0</v>
      </c>
      <c r="N731" s="39">
        <v>0</v>
      </c>
      <c r="O731" s="39">
        <v>0</v>
      </c>
      <c r="P731" s="39">
        <v>0</v>
      </c>
      <c r="Q731" s="39">
        <v>0</v>
      </c>
      <c r="R731" s="39">
        <v>0</v>
      </c>
      <c r="S731" s="39">
        <v>0</v>
      </c>
      <c r="T731" s="39">
        <v>0</v>
      </c>
      <c r="U731" s="39">
        <v>0</v>
      </c>
      <c r="V731" s="39">
        <v>0</v>
      </c>
      <c r="W731" s="39">
        <v>0</v>
      </c>
      <c r="X731" s="39">
        <v>0</v>
      </c>
      <c r="Y731" s="39">
        <v>0</v>
      </c>
      <c r="Z731" s="39">
        <v>0</v>
      </c>
      <c r="AA731" s="39">
        <v>0</v>
      </c>
      <c r="AB731" s="39">
        <v>0</v>
      </c>
      <c r="AC731" s="39">
        <v>0</v>
      </c>
      <c r="AD731" s="39">
        <v>0</v>
      </c>
      <c r="AE731" s="39">
        <v>0</v>
      </c>
      <c r="AF731" s="39">
        <v>0</v>
      </c>
      <c r="AG731" s="39">
        <v>0</v>
      </c>
      <c r="AH731" s="39"/>
      <c r="AI731" s="39"/>
      <c r="AJ731" s="40"/>
      <c r="AK731" s="39">
        <f t="shared" si="55"/>
        <v>0</v>
      </c>
      <c r="AL731" s="39">
        <f t="shared" si="58"/>
        <v>0</v>
      </c>
      <c r="AM731" s="39">
        <f t="shared" si="59"/>
        <v>0</v>
      </c>
      <c r="AN731" s="39">
        <f t="shared" si="56"/>
        <v>0</v>
      </c>
      <c r="AO731" s="39">
        <f t="shared" si="57"/>
        <v>0</v>
      </c>
    </row>
    <row r="732" spans="1:41" x14ac:dyDescent="0.3">
      <c r="A732" s="20">
        <v>1000184670</v>
      </c>
      <c r="B732" s="4" t="s">
        <v>147</v>
      </c>
      <c r="C732" s="21"/>
      <c r="D732" s="3"/>
      <c r="E732" s="20">
        <v>1000184756</v>
      </c>
      <c r="F732" s="4" t="s">
        <v>53</v>
      </c>
      <c r="G732" s="21">
        <v>1000189783</v>
      </c>
      <c r="H732" s="3" t="s">
        <v>86</v>
      </c>
      <c r="I732" s="21">
        <v>1000189270</v>
      </c>
      <c r="J732" s="3" t="s">
        <v>34</v>
      </c>
      <c r="K732" s="20" t="s">
        <v>24</v>
      </c>
      <c r="L732" s="39">
        <v>0</v>
      </c>
      <c r="M732" s="39">
        <v>0</v>
      </c>
      <c r="N732" s="39">
        <v>0</v>
      </c>
      <c r="O732" s="39">
        <v>0</v>
      </c>
      <c r="P732" s="39">
        <v>0</v>
      </c>
      <c r="Q732" s="39">
        <v>0</v>
      </c>
      <c r="R732" s="39">
        <v>0</v>
      </c>
      <c r="S732" s="39">
        <v>0</v>
      </c>
      <c r="T732" s="39">
        <v>0</v>
      </c>
      <c r="U732" s="39">
        <v>0</v>
      </c>
      <c r="V732" s="39">
        <v>0</v>
      </c>
      <c r="W732" s="39">
        <v>0</v>
      </c>
      <c r="X732" s="39">
        <v>0</v>
      </c>
      <c r="Y732" s="39">
        <v>0</v>
      </c>
      <c r="Z732" s="39">
        <v>0</v>
      </c>
      <c r="AA732" s="39">
        <v>145.38999999999999</v>
      </c>
      <c r="AB732" s="39">
        <v>61.32</v>
      </c>
      <c r="AC732" s="39">
        <v>0</v>
      </c>
      <c r="AD732" s="39">
        <v>0</v>
      </c>
      <c r="AE732" s="39">
        <v>145.38999999999999</v>
      </c>
      <c r="AF732" s="39">
        <v>0</v>
      </c>
      <c r="AG732" s="39">
        <v>0</v>
      </c>
      <c r="AH732" s="39"/>
      <c r="AI732" s="39"/>
      <c r="AJ732" s="40"/>
      <c r="AK732" s="39">
        <f t="shared" si="55"/>
        <v>0</v>
      </c>
      <c r="AL732" s="39">
        <f t="shared" si="58"/>
        <v>29.341666666666665</v>
      </c>
      <c r="AM732" s="39">
        <f t="shared" si="59"/>
        <v>34.451666666666661</v>
      </c>
      <c r="AN732" s="39">
        <f t="shared" si="56"/>
        <v>35.209999999999994</v>
      </c>
      <c r="AO732" s="39">
        <f t="shared" si="57"/>
        <v>352.09999999999997</v>
      </c>
    </row>
    <row r="733" spans="1:41" x14ac:dyDescent="0.3">
      <c r="A733" s="20">
        <v>1000184670</v>
      </c>
      <c r="B733" s="4" t="s">
        <v>147</v>
      </c>
      <c r="C733" s="21"/>
      <c r="D733" s="3"/>
      <c r="E733" s="20">
        <v>1000184756</v>
      </c>
      <c r="F733" s="4" t="s">
        <v>53</v>
      </c>
      <c r="G733" s="21">
        <v>1000189783</v>
      </c>
      <c r="H733" s="3" t="s">
        <v>86</v>
      </c>
      <c r="I733" s="21">
        <v>1000189270</v>
      </c>
      <c r="J733" s="3" t="s">
        <v>34</v>
      </c>
      <c r="K733" s="20" t="s">
        <v>18</v>
      </c>
      <c r="L733" s="39">
        <v>0</v>
      </c>
      <c r="M733" s="39">
        <v>0</v>
      </c>
      <c r="N733" s="39">
        <v>0</v>
      </c>
      <c r="O733" s="39">
        <v>0</v>
      </c>
      <c r="P733" s="39">
        <v>0</v>
      </c>
      <c r="Q733" s="39">
        <v>0</v>
      </c>
      <c r="R733" s="39">
        <v>0</v>
      </c>
      <c r="S733" s="39">
        <v>0</v>
      </c>
      <c r="T733" s="39">
        <v>0</v>
      </c>
      <c r="U733" s="39">
        <v>0</v>
      </c>
      <c r="V733" s="39">
        <v>0</v>
      </c>
      <c r="W733" s="39">
        <v>0</v>
      </c>
      <c r="X733" s="39">
        <v>0</v>
      </c>
      <c r="Y733" s="39">
        <v>0</v>
      </c>
      <c r="Z733" s="39">
        <v>0</v>
      </c>
      <c r="AA733" s="39">
        <v>26.7</v>
      </c>
      <c r="AB733" s="39">
        <v>0</v>
      </c>
      <c r="AC733" s="39">
        <v>0</v>
      </c>
      <c r="AD733" s="39">
        <v>0</v>
      </c>
      <c r="AE733" s="39">
        <v>144.06</v>
      </c>
      <c r="AF733" s="39">
        <v>0</v>
      </c>
      <c r="AG733" s="39">
        <v>0</v>
      </c>
      <c r="AH733" s="39"/>
      <c r="AI733" s="39"/>
      <c r="AJ733" s="40"/>
      <c r="AK733" s="39">
        <f t="shared" si="55"/>
        <v>0</v>
      </c>
      <c r="AL733" s="39">
        <f t="shared" si="58"/>
        <v>14.229999999999999</v>
      </c>
      <c r="AM733" s="39">
        <f t="shared" si="59"/>
        <v>24.01</v>
      </c>
      <c r="AN733" s="39">
        <f t="shared" si="56"/>
        <v>17.076000000000001</v>
      </c>
      <c r="AO733" s="39">
        <f t="shared" si="57"/>
        <v>170.76</v>
      </c>
    </row>
    <row r="734" spans="1:41" x14ac:dyDescent="0.3">
      <c r="A734" s="20">
        <v>1000184670</v>
      </c>
      <c r="B734" s="4" t="s">
        <v>147</v>
      </c>
      <c r="C734" s="21"/>
      <c r="D734" s="3"/>
      <c r="E734" s="20">
        <v>1000184756</v>
      </c>
      <c r="F734" s="4" t="s">
        <v>53</v>
      </c>
      <c r="G734" s="21">
        <v>1000189783</v>
      </c>
      <c r="H734" s="3" t="s">
        <v>86</v>
      </c>
      <c r="I734" s="21">
        <v>1000189270</v>
      </c>
      <c r="J734" s="3" t="s">
        <v>34</v>
      </c>
      <c r="K734" s="20" t="s">
        <v>29</v>
      </c>
      <c r="L734" s="39">
        <v>0</v>
      </c>
      <c r="M734" s="39">
        <v>0</v>
      </c>
      <c r="N734" s="39">
        <v>0</v>
      </c>
      <c r="O734" s="39">
        <v>0</v>
      </c>
      <c r="P734" s="39">
        <v>0</v>
      </c>
      <c r="Q734" s="39">
        <v>0</v>
      </c>
      <c r="R734" s="39">
        <v>0</v>
      </c>
      <c r="S734" s="39">
        <v>0</v>
      </c>
      <c r="T734" s="39">
        <v>0</v>
      </c>
      <c r="U734" s="39">
        <v>0</v>
      </c>
      <c r="V734" s="39">
        <v>0</v>
      </c>
      <c r="W734" s="39">
        <v>0</v>
      </c>
      <c r="X734" s="39">
        <v>0</v>
      </c>
      <c r="Y734" s="39">
        <v>0</v>
      </c>
      <c r="Z734" s="39">
        <v>0</v>
      </c>
      <c r="AA734" s="39">
        <v>0</v>
      </c>
      <c r="AB734" s="39">
        <v>1395</v>
      </c>
      <c r="AC734" s="39">
        <v>0</v>
      </c>
      <c r="AD734" s="39">
        <v>0</v>
      </c>
      <c r="AE734" s="39">
        <v>1950</v>
      </c>
      <c r="AF734" s="39">
        <v>0</v>
      </c>
      <c r="AG734" s="39">
        <v>0</v>
      </c>
      <c r="AH734" s="39"/>
      <c r="AI734" s="39"/>
      <c r="AJ734" s="40"/>
      <c r="AK734" s="39">
        <f t="shared" si="55"/>
        <v>0</v>
      </c>
      <c r="AL734" s="39">
        <f t="shared" si="58"/>
        <v>278.75</v>
      </c>
      <c r="AM734" s="39">
        <f t="shared" si="59"/>
        <v>557.5</v>
      </c>
      <c r="AN734" s="39">
        <f t="shared" si="56"/>
        <v>334.5</v>
      </c>
      <c r="AO734" s="39">
        <f t="shared" si="57"/>
        <v>3345</v>
      </c>
    </row>
    <row r="735" spans="1:41" x14ac:dyDescent="0.3">
      <c r="A735" s="20">
        <v>1000184670</v>
      </c>
      <c r="B735" s="4" t="s">
        <v>147</v>
      </c>
      <c r="C735" s="21"/>
      <c r="D735" s="3"/>
      <c r="E735" s="20">
        <v>1000184756</v>
      </c>
      <c r="F735" s="4" t="s">
        <v>53</v>
      </c>
      <c r="G735" s="21">
        <v>1000189783</v>
      </c>
      <c r="H735" s="3" t="s">
        <v>86</v>
      </c>
      <c r="I735" s="21">
        <v>1000189270</v>
      </c>
      <c r="J735" s="3" t="s">
        <v>34</v>
      </c>
      <c r="K735" s="20" t="s">
        <v>21</v>
      </c>
      <c r="L735" s="39">
        <v>0</v>
      </c>
      <c r="M735" s="39">
        <v>0</v>
      </c>
      <c r="N735" s="39">
        <v>0</v>
      </c>
      <c r="O735" s="39">
        <v>0</v>
      </c>
      <c r="P735" s="39">
        <v>0</v>
      </c>
      <c r="Q735" s="39">
        <v>0</v>
      </c>
      <c r="R735" s="39">
        <v>0</v>
      </c>
      <c r="S735" s="39">
        <v>0</v>
      </c>
      <c r="T735" s="39">
        <v>0</v>
      </c>
      <c r="U735" s="39">
        <v>0</v>
      </c>
      <c r="V735" s="39">
        <v>0</v>
      </c>
      <c r="W735" s="39">
        <v>0</v>
      </c>
      <c r="X735" s="39">
        <v>0</v>
      </c>
      <c r="Y735" s="39">
        <v>0</v>
      </c>
      <c r="Z735" s="39">
        <v>0</v>
      </c>
      <c r="AA735" s="39">
        <v>303.20999999999998</v>
      </c>
      <c r="AB735" s="39">
        <v>0</v>
      </c>
      <c r="AC735" s="39">
        <v>0</v>
      </c>
      <c r="AD735" s="39">
        <v>0</v>
      </c>
      <c r="AE735" s="39">
        <v>709.72</v>
      </c>
      <c r="AF735" s="39">
        <v>0</v>
      </c>
      <c r="AG735" s="39">
        <v>0</v>
      </c>
      <c r="AH735" s="39"/>
      <c r="AI735" s="39"/>
      <c r="AJ735" s="40"/>
      <c r="AK735" s="39">
        <f t="shared" si="55"/>
        <v>0</v>
      </c>
      <c r="AL735" s="39">
        <f t="shared" si="58"/>
        <v>84.410833333333343</v>
      </c>
      <c r="AM735" s="39">
        <f t="shared" si="59"/>
        <v>118.28666666666668</v>
      </c>
      <c r="AN735" s="39">
        <f t="shared" si="56"/>
        <v>101.29300000000001</v>
      </c>
      <c r="AO735" s="39">
        <f t="shared" si="57"/>
        <v>1012.9300000000001</v>
      </c>
    </row>
    <row r="736" spans="1:41" x14ac:dyDescent="0.3">
      <c r="A736" s="20">
        <v>1000184670</v>
      </c>
      <c r="B736" s="4" t="s">
        <v>147</v>
      </c>
      <c r="C736" s="21"/>
      <c r="D736" s="3"/>
      <c r="E736" s="20">
        <v>1000184756</v>
      </c>
      <c r="F736" s="4" t="s">
        <v>53</v>
      </c>
      <c r="G736" s="21">
        <v>1000189783</v>
      </c>
      <c r="H736" s="3" t="s">
        <v>86</v>
      </c>
      <c r="I736" s="21">
        <v>1000189270</v>
      </c>
      <c r="J736" s="3" t="s">
        <v>34</v>
      </c>
      <c r="K736" s="20" t="s">
        <v>20</v>
      </c>
      <c r="L736" s="39">
        <v>0</v>
      </c>
      <c r="M736" s="39">
        <v>0</v>
      </c>
      <c r="N736" s="39">
        <v>0</v>
      </c>
      <c r="O736" s="39">
        <v>0</v>
      </c>
      <c r="P736" s="39">
        <v>0</v>
      </c>
      <c r="Q736" s="39">
        <v>0</v>
      </c>
      <c r="R736" s="39">
        <v>0</v>
      </c>
      <c r="S736" s="39">
        <v>0</v>
      </c>
      <c r="T736" s="39">
        <v>0</v>
      </c>
      <c r="U736" s="39">
        <v>0</v>
      </c>
      <c r="V736" s="39">
        <v>0</v>
      </c>
      <c r="W736" s="39">
        <v>0</v>
      </c>
      <c r="X736" s="39">
        <v>0</v>
      </c>
      <c r="Y736" s="39">
        <v>0</v>
      </c>
      <c r="Z736" s="39">
        <v>0</v>
      </c>
      <c r="AA736" s="39">
        <v>329.29</v>
      </c>
      <c r="AB736" s="39">
        <v>0</v>
      </c>
      <c r="AC736" s="39">
        <v>0</v>
      </c>
      <c r="AD736" s="39">
        <v>0</v>
      </c>
      <c r="AE736" s="39">
        <v>294.88</v>
      </c>
      <c r="AF736" s="39">
        <v>0</v>
      </c>
      <c r="AG736" s="39">
        <v>0</v>
      </c>
      <c r="AH736" s="39"/>
      <c r="AI736" s="39"/>
      <c r="AJ736" s="40"/>
      <c r="AK736" s="39">
        <f t="shared" si="55"/>
        <v>0</v>
      </c>
      <c r="AL736" s="39">
        <f t="shared" si="58"/>
        <v>52.014166666666675</v>
      </c>
      <c r="AM736" s="39">
        <f t="shared" si="59"/>
        <v>49.146666666666668</v>
      </c>
      <c r="AN736" s="39">
        <f t="shared" si="56"/>
        <v>62.417000000000009</v>
      </c>
      <c r="AO736" s="39">
        <f t="shared" si="57"/>
        <v>624.17000000000007</v>
      </c>
    </row>
    <row r="737" spans="1:41" x14ac:dyDescent="0.3">
      <c r="A737" s="20">
        <v>1000184670</v>
      </c>
      <c r="B737" s="4" t="s">
        <v>147</v>
      </c>
      <c r="C737" s="21"/>
      <c r="D737" s="3"/>
      <c r="E737" s="20">
        <v>1000184756</v>
      </c>
      <c r="F737" s="4" t="s">
        <v>53</v>
      </c>
      <c r="G737" s="21">
        <v>1000189783</v>
      </c>
      <c r="H737" s="3" t="s">
        <v>86</v>
      </c>
      <c r="I737" s="21">
        <v>1000189270</v>
      </c>
      <c r="J737" s="3" t="s">
        <v>34</v>
      </c>
      <c r="K737" s="20" t="s">
        <v>22</v>
      </c>
      <c r="L737" s="39">
        <v>0</v>
      </c>
      <c r="M737" s="39">
        <v>0</v>
      </c>
      <c r="N737" s="39">
        <v>0</v>
      </c>
      <c r="O737" s="39">
        <v>0</v>
      </c>
      <c r="P737" s="39">
        <v>0</v>
      </c>
      <c r="Q737" s="39">
        <v>0</v>
      </c>
      <c r="R737" s="39">
        <v>0</v>
      </c>
      <c r="S737" s="39">
        <v>0</v>
      </c>
      <c r="T737" s="39">
        <v>0</v>
      </c>
      <c r="U737" s="39">
        <v>0</v>
      </c>
      <c r="V737" s="39">
        <v>0</v>
      </c>
      <c r="W737" s="39">
        <v>0</v>
      </c>
      <c r="X737" s="39">
        <v>0</v>
      </c>
      <c r="Y737" s="39">
        <v>0</v>
      </c>
      <c r="Z737" s="39">
        <v>0</v>
      </c>
      <c r="AA737" s="39">
        <v>666.32</v>
      </c>
      <c r="AB737" s="39">
        <v>0</v>
      </c>
      <c r="AC737" s="39">
        <v>0</v>
      </c>
      <c r="AD737" s="39">
        <v>0</v>
      </c>
      <c r="AE737" s="39">
        <v>64</v>
      </c>
      <c r="AF737" s="39">
        <v>0</v>
      </c>
      <c r="AG737" s="39">
        <v>0</v>
      </c>
      <c r="AH737" s="39"/>
      <c r="AI737" s="39"/>
      <c r="AJ737" s="40"/>
      <c r="AK737" s="39">
        <f t="shared" si="55"/>
        <v>0</v>
      </c>
      <c r="AL737" s="39">
        <f t="shared" si="58"/>
        <v>60.860000000000007</v>
      </c>
      <c r="AM737" s="39">
        <f t="shared" si="59"/>
        <v>10.666666666666666</v>
      </c>
      <c r="AN737" s="39">
        <f t="shared" si="56"/>
        <v>73.032000000000011</v>
      </c>
      <c r="AO737" s="39">
        <f t="shared" si="57"/>
        <v>730.32</v>
      </c>
    </row>
    <row r="738" spans="1:41" x14ac:dyDescent="0.3">
      <c r="A738" s="20">
        <v>1000184670</v>
      </c>
      <c r="B738" s="4" t="s">
        <v>147</v>
      </c>
      <c r="C738" s="21"/>
      <c r="D738" s="3"/>
      <c r="E738" s="20">
        <v>1000184756</v>
      </c>
      <c r="F738" s="4" t="s">
        <v>53</v>
      </c>
      <c r="G738" s="21">
        <v>1000189783</v>
      </c>
      <c r="H738" s="3" t="s">
        <v>86</v>
      </c>
      <c r="I738" s="21">
        <v>1000189270</v>
      </c>
      <c r="J738" s="3" t="s">
        <v>34</v>
      </c>
      <c r="K738" s="20" t="s">
        <v>23</v>
      </c>
      <c r="L738" s="39">
        <v>0</v>
      </c>
      <c r="M738" s="39">
        <v>0</v>
      </c>
      <c r="N738" s="39">
        <v>0</v>
      </c>
      <c r="O738" s="39">
        <v>0</v>
      </c>
      <c r="P738" s="39">
        <v>0</v>
      </c>
      <c r="Q738" s="39">
        <v>0</v>
      </c>
      <c r="R738" s="39">
        <v>0</v>
      </c>
      <c r="S738" s="39">
        <v>0</v>
      </c>
      <c r="T738" s="39">
        <v>0</v>
      </c>
      <c r="U738" s="39">
        <v>0</v>
      </c>
      <c r="V738" s="39">
        <v>0</v>
      </c>
      <c r="W738" s="39">
        <v>0</v>
      </c>
      <c r="X738" s="39">
        <v>0</v>
      </c>
      <c r="Y738" s="39">
        <v>0</v>
      </c>
      <c r="Z738" s="39">
        <v>0</v>
      </c>
      <c r="AA738" s="39">
        <v>0</v>
      </c>
      <c r="AB738" s="39">
        <v>0</v>
      </c>
      <c r="AC738" s="39">
        <v>0</v>
      </c>
      <c r="AD738" s="39">
        <v>0</v>
      </c>
      <c r="AE738" s="39">
        <v>0</v>
      </c>
      <c r="AF738" s="39">
        <v>0</v>
      </c>
      <c r="AG738" s="39">
        <v>0</v>
      </c>
      <c r="AH738" s="39"/>
      <c r="AI738" s="39"/>
      <c r="AJ738" s="40"/>
      <c r="AK738" s="39">
        <f t="shared" si="55"/>
        <v>0</v>
      </c>
      <c r="AL738" s="39">
        <f t="shared" si="58"/>
        <v>0</v>
      </c>
      <c r="AM738" s="39">
        <f t="shared" si="59"/>
        <v>0</v>
      </c>
      <c r="AN738" s="39">
        <f t="shared" si="56"/>
        <v>0</v>
      </c>
      <c r="AO738" s="39">
        <f t="shared" si="57"/>
        <v>0</v>
      </c>
    </row>
    <row r="739" spans="1:41" x14ac:dyDescent="0.3">
      <c r="A739" s="20">
        <v>1000184670</v>
      </c>
      <c r="B739" s="4" t="s">
        <v>147</v>
      </c>
      <c r="C739" s="21"/>
      <c r="D739" s="3"/>
      <c r="E739" s="20">
        <v>1000184756</v>
      </c>
      <c r="F739" s="4" t="s">
        <v>53</v>
      </c>
      <c r="G739" s="21">
        <v>1000189783</v>
      </c>
      <c r="H739" s="3" t="s">
        <v>86</v>
      </c>
      <c r="I739" s="21">
        <v>1000189270</v>
      </c>
      <c r="J739" s="3" t="s">
        <v>34</v>
      </c>
      <c r="K739" s="20" t="s">
        <v>28</v>
      </c>
      <c r="L739" s="39">
        <v>0</v>
      </c>
      <c r="M739" s="39">
        <v>0</v>
      </c>
      <c r="N739" s="39">
        <v>0</v>
      </c>
      <c r="O739" s="39">
        <v>0</v>
      </c>
      <c r="P739" s="39">
        <v>0</v>
      </c>
      <c r="Q739" s="39">
        <v>0</v>
      </c>
      <c r="R739" s="39">
        <v>0</v>
      </c>
      <c r="S739" s="39">
        <v>0</v>
      </c>
      <c r="T739" s="39">
        <v>0</v>
      </c>
      <c r="U739" s="39">
        <v>0</v>
      </c>
      <c r="V739" s="39">
        <v>0</v>
      </c>
      <c r="W739" s="39">
        <v>0</v>
      </c>
      <c r="X739" s="39">
        <v>0</v>
      </c>
      <c r="Y739" s="39">
        <v>0</v>
      </c>
      <c r="Z739" s="39">
        <v>0</v>
      </c>
      <c r="AA739" s="39">
        <v>0</v>
      </c>
      <c r="AB739" s="39">
        <v>0</v>
      </c>
      <c r="AC739" s="39">
        <v>0</v>
      </c>
      <c r="AD739" s="39">
        <v>0</v>
      </c>
      <c r="AE739" s="39">
        <v>0</v>
      </c>
      <c r="AF739" s="39">
        <v>0</v>
      </c>
      <c r="AG739" s="39">
        <v>0</v>
      </c>
      <c r="AH739" s="39"/>
      <c r="AI739" s="39"/>
      <c r="AJ739" s="40"/>
      <c r="AK739" s="39">
        <f t="shared" si="55"/>
        <v>0</v>
      </c>
      <c r="AL739" s="39">
        <f t="shared" si="58"/>
        <v>0</v>
      </c>
      <c r="AM739" s="39">
        <f t="shared" si="59"/>
        <v>0</v>
      </c>
      <c r="AN739" s="39">
        <f t="shared" si="56"/>
        <v>0</v>
      </c>
      <c r="AO739" s="39">
        <f t="shared" si="57"/>
        <v>0</v>
      </c>
    </row>
    <row r="740" spans="1:41" x14ac:dyDescent="0.3">
      <c r="A740" s="20">
        <v>1000184670</v>
      </c>
      <c r="B740" s="4" t="s">
        <v>147</v>
      </c>
      <c r="C740" s="21"/>
      <c r="D740" s="3"/>
      <c r="E740" s="20">
        <v>1000184756</v>
      </c>
      <c r="F740" s="4" t="s">
        <v>53</v>
      </c>
      <c r="G740" s="21">
        <v>1000189783</v>
      </c>
      <c r="H740" s="3" t="s">
        <v>86</v>
      </c>
      <c r="I740" s="21">
        <v>1000189270</v>
      </c>
      <c r="J740" s="3" t="s">
        <v>34</v>
      </c>
      <c r="K740" s="20" t="s">
        <v>26</v>
      </c>
      <c r="L740" s="39">
        <v>0</v>
      </c>
      <c r="M740" s="39">
        <v>0</v>
      </c>
      <c r="N740" s="39">
        <v>0</v>
      </c>
      <c r="O740" s="39">
        <v>0</v>
      </c>
      <c r="P740" s="39">
        <v>0</v>
      </c>
      <c r="Q740" s="39">
        <v>0</v>
      </c>
      <c r="R740" s="39">
        <v>0</v>
      </c>
      <c r="S740" s="39">
        <v>0</v>
      </c>
      <c r="T740" s="39">
        <v>0</v>
      </c>
      <c r="U740" s="39">
        <v>0</v>
      </c>
      <c r="V740" s="39">
        <v>0</v>
      </c>
      <c r="W740" s="39">
        <v>0</v>
      </c>
      <c r="X740" s="39">
        <v>0</v>
      </c>
      <c r="Y740" s="39">
        <v>0</v>
      </c>
      <c r="Z740" s="39">
        <v>0</v>
      </c>
      <c r="AA740" s="39">
        <v>0</v>
      </c>
      <c r="AB740" s="39">
        <v>0</v>
      </c>
      <c r="AC740" s="39">
        <v>0</v>
      </c>
      <c r="AD740" s="39">
        <v>0</v>
      </c>
      <c r="AE740" s="39">
        <v>0</v>
      </c>
      <c r="AF740" s="39">
        <v>0</v>
      </c>
      <c r="AG740" s="39">
        <v>0</v>
      </c>
      <c r="AH740" s="39"/>
      <c r="AI740" s="39"/>
      <c r="AJ740" s="40"/>
      <c r="AK740" s="39">
        <f t="shared" si="55"/>
        <v>0</v>
      </c>
      <c r="AL740" s="39">
        <f t="shared" si="58"/>
        <v>0</v>
      </c>
      <c r="AM740" s="39">
        <f t="shared" si="59"/>
        <v>0</v>
      </c>
      <c r="AN740" s="39">
        <f t="shared" si="56"/>
        <v>0</v>
      </c>
      <c r="AO740" s="39">
        <f t="shared" si="57"/>
        <v>0</v>
      </c>
    </row>
    <row r="741" spans="1:41" x14ac:dyDescent="0.3">
      <c r="A741" s="20">
        <v>1000184670</v>
      </c>
      <c r="B741" s="4" t="s">
        <v>147</v>
      </c>
      <c r="C741" s="21"/>
      <c r="D741" s="3"/>
      <c r="E741" s="20">
        <v>1000184756</v>
      </c>
      <c r="F741" s="4" t="s">
        <v>53</v>
      </c>
      <c r="G741" s="21">
        <v>1000189783</v>
      </c>
      <c r="H741" s="3" t="s">
        <v>86</v>
      </c>
      <c r="I741" s="21">
        <v>1000189270</v>
      </c>
      <c r="J741" s="3" t="s">
        <v>34</v>
      </c>
      <c r="K741" s="20" t="s">
        <v>27</v>
      </c>
      <c r="L741" s="39">
        <v>0</v>
      </c>
      <c r="M741" s="39">
        <v>0</v>
      </c>
      <c r="N741" s="39">
        <v>0</v>
      </c>
      <c r="O741" s="39">
        <v>0</v>
      </c>
      <c r="P741" s="39">
        <v>0</v>
      </c>
      <c r="Q741" s="39">
        <v>0</v>
      </c>
      <c r="R741" s="39">
        <v>0</v>
      </c>
      <c r="S741" s="39">
        <v>0</v>
      </c>
      <c r="T741" s="39">
        <v>0</v>
      </c>
      <c r="U741" s="39">
        <v>0</v>
      </c>
      <c r="V741" s="39">
        <v>0</v>
      </c>
      <c r="W741" s="39">
        <v>0</v>
      </c>
      <c r="X741" s="39">
        <v>0</v>
      </c>
      <c r="Y741" s="39">
        <v>2600.84</v>
      </c>
      <c r="Z741" s="39">
        <v>360.69</v>
      </c>
      <c r="AA741" s="39">
        <v>0</v>
      </c>
      <c r="AB741" s="39">
        <v>1174.5899999999999</v>
      </c>
      <c r="AC741" s="39">
        <v>0</v>
      </c>
      <c r="AD741" s="39">
        <v>0</v>
      </c>
      <c r="AE741" s="39">
        <v>0</v>
      </c>
      <c r="AF741" s="39">
        <v>0</v>
      </c>
      <c r="AG741" s="39">
        <v>0</v>
      </c>
      <c r="AH741" s="39"/>
      <c r="AI741" s="39"/>
      <c r="AJ741" s="40"/>
      <c r="AK741" s="39">
        <f t="shared" si="55"/>
        <v>0</v>
      </c>
      <c r="AL741" s="39">
        <f t="shared" si="58"/>
        <v>344.67666666666668</v>
      </c>
      <c r="AM741" s="39">
        <f t="shared" si="59"/>
        <v>195.76499999999999</v>
      </c>
      <c r="AN741" s="39">
        <f t="shared" si="56"/>
        <v>413.61199999999997</v>
      </c>
      <c r="AO741" s="39">
        <f t="shared" si="57"/>
        <v>4136.12</v>
      </c>
    </row>
    <row r="742" spans="1:41" x14ac:dyDescent="0.3">
      <c r="A742" s="20">
        <v>1000184670</v>
      </c>
      <c r="B742" s="4" t="s">
        <v>147</v>
      </c>
      <c r="C742" s="21"/>
      <c r="D742" s="3"/>
      <c r="E742" s="20">
        <v>1000184756</v>
      </c>
      <c r="F742" s="4" t="s">
        <v>53</v>
      </c>
      <c r="G742" s="21">
        <v>1000189783</v>
      </c>
      <c r="H742" s="3" t="s">
        <v>86</v>
      </c>
      <c r="I742" s="21">
        <v>1000189270</v>
      </c>
      <c r="J742" s="3" t="s">
        <v>34</v>
      </c>
      <c r="K742" s="20" t="s">
        <v>25</v>
      </c>
      <c r="L742" s="39">
        <v>0</v>
      </c>
      <c r="M742" s="39">
        <v>0</v>
      </c>
      <c r="N742" s="39">
        <v>0</v>
      </c>
      <c r="O742" s="39">
        <v>0</v>
      </c>
      <c r="P742" s="39">
        <v>0</v>
      </c>
      <c r="Q742" s="39">
        <v>0</v>
      </c>
      <c r="R742" s="39">
        <v>0</v>
      </c>
      <c r="S742" s="39">
        <v>0</v>
      </c>
      <c r="T742" s="39">
        <v>0</v>
      </c>
      <c r="U742" s="39">
        <v>0</v>
      </c>
      <c r="V742" s="39">
        <v>0</v>
      </c>
      <c r="W742" s="39">
        <v>0</v>
      </c>
      <c r="X742" s="39">
        <v>0</v>
      </c>
      <c r="Y742" s="39">
        <v>0</v>
      </c>
      <c r="Z742" s="39">
        <v>289.8</v>
      </c>
      <c r="AA742" s="39">
        <v>0</v>
      </c>
      <c r="AB742" s="39">
        <v>0</v>
      </c>
      <c r="AC742" s="39">
        <v>0</v>
      </c>
      <c r="AD742" s="39">
        <v>0</v>
      </c>
      <c r="AE742" s="39">
        <v>0</v>
      </c>
      <c r="AF742" s="39">
        <v>0</v>
      </c>
      <c r="AG742" s="39">
        <v>0</v>
      </c>
      <c r="AH742" s="39"/>
      <c r="AI742" s="39"/>
      <c r="AJ742" s="40"/>
      <c r="AK742" s="39">
        <f t="shared" si="55"/>
        <v>0</v>
      </c>
      <c r="AL742" s="39">
        <f t="shared" si="58"/>
        <v>24.150000000000002</v>
      </c>
      <c r="AM742" s="39">
        <f t="shared" si="59"/>
        <v>0</v>
      </c>
      <c r="AN742" s="39">
        <f t="shared" si="56"/>
        <v>28.98</v>
      </c>
      <c r="AO742" s="39">
        <f t="shared" si="57"/>
        <v>289.8</v>
      </c>
    </row>
    <row r="743" spans="1:41" x14ac:dyDescent="0.3">
      <c r="A743" s="20">
        <v>1000184670</v>
      </c>
      <c r="B743" s="4" t="s">
        <v>147</v>
      </c>
      <c r="C743" s="21"/>
      <c r="D743" s="3"/>
      <c r="E743" s="20">
        <v>1000184756</v>
      </c>
      <c r="F743" s="4" t="s">
        <v>53</v>
      </c>
      <c r="G743" s="21">
        <v>1000189784</v>
      </c>
      <c r="H743" s="3" t="s">
        <v>54</v>
      </c>
      <c r="I743" s="21">
        <v>1000189270</v>
      </c>
      <c r="J743" s="3" t="s">
        <v>34</v>
      </c>
      <c r="K743" s="20" t="s">
        <v>124</v>
      </c>
      <c r="L743" s="39">
        <v>0</v>
      </c>
      <c r="M743" s="39">
        <v>0</v>
      </c>
      <c r="N743" s="39">
        <v>0</v>
      </c>
      <c r="O743" s="39">
        <v>0</v>
      </c>
      <c r="P743" s="39">
        <v>0</v>
      </c>
      <c r="Q743" s="39">
        <v>0</v>
      </c>
      <c r="R743" s="39">
        <v>0</v>
      </c>
      <c r="S743" s="39">
        <v>0</v>
      </c>
      <c r="T743" s="39">
        <v>0</v>
      </c>
      <c r="U743" s="39">
        <v>0</v>
      </c>
      <c r="V743" s="39">
        <v>0</v>
      </c>
      <c r="W743" s="39">
        <v>0</v>
      </c>
      <c r="X743" s="39">
        <v>0</v>
      </c>
      <c r="Y743" s="39">
        <v>0</v>
      </c>
      <c r="Z743" s="39">
        <v>0</v>
      </c>
      <c r="AA743" s="39">
        <v>0</v>
      </c>
      <c r="AB743" s="39">
        <v>0</v>
      </c>
      <c r="AC743" s="39">
        <v>0</v>
      </c>
      <c r="AD743" s="39">
        <v>0</v>
      </c>
      <c r="AE743" s="39">
        <v>0</v>
      </c>
      <c r="AF743" s="39">
        <v>0</v>
      </c>
      <c r="AG743" s="39">
        <v>0</v>
      </c>
      <c r="AH743" s="39"/>
      <c r="AI743" s="39"/>
      <c r="AJ743" s="40"/>
      <c r="AK743" s="39">
        <f t="shared" si="55"/>
        <v>0</v>
      </c>
      <c r="AL743" s="39">
        <f t="shared" si="58"/>
        <v>0</v>
      </c>
      <c r="AM743" s="39">
        <f t="shared" si="59"/>
        <v>0</v>
      </c>
      <c r="AN743" s="39">
        <f t="shared" si="56"/>
        <v>0</v>
      </c>
      <c r="AO743" s="39">
        <f t="shared" si="57"/>
        <v>0</v>
      </c>
    </row>
    <row r="744" spans="1:41" x14ac:dyDescent="0.3">
      <c r="A744" s="20">
        <v>1000184670</v>
      </c>
      <c r="B744" s="4" t="s">
        <v>147</v>
      </c>
      <c r="C744" s="21"/>
      <c r="D744" s="3"/>
      <c r="E744" s="20">
        <v>1000184756</v>
      </c>
      <c r="F744" s="4" t="s">
        <v>53</v>
      </c>
      <c r="G744" s="21">
        <v>1000189784</v>
      </c>
      <c r="H744" s="3" t="s">
        <v>54</v>
      </c>
      <c r="I744" s="21">
        <v>1000189270</v>
      </c>
      <c r="J744" s="3" t="s">
        <v>34</v>
      </c>
      <c r="K744" s="20" t="s">
        <v>13</v>
      </c>
      <c r="L744" s="39">
        <v>0</v>
      </c>
      <c r="M744" s="39">
        <v>0</v>
      </c>
      <c r="N744" s="39">
        <v>0</v>
      </c>
      <c r="O744" s="39">
        <v>0</v>
      </c>
      <c r="P744" s="39">
        <v>0</v>
      </c>
      <c r="Q744" s="39">
        <v>0</v>
      </c>
      <c r="R744" s="39">
        <v>0</v>
      </c>
      <c r="S744" s="39">
        <v>0</v>
      </c>
      <c r="T744" s="39">
        <v>0</v>
      </c>
      <c r="U744" s="39">
        <v>0</v>
      </c>
      <c r="V744" s="39">
        <v>0</v>
      </c>
      <c r="W744" s="39">
        <v>0</v>
      </c>
      <c r="X744" s="39">
        <v>0</v>
      </c>
      <c r="Y744" s="39">
        <v>0</v>
      </c>
      <c r="Z744" s="39">
        <v>58.25</v>
      </c>
      <c r="AA744" s="39">
        <v>83.4</v>
      </c>
      <c r="AB744" s="39">
        <v>14424</v>
      </c>
      <c r="AC744" s="39">
        <v>213.24</v>
      </c>
      <c r="AD744" s="39">
        <v>259.2</v>
      </c>
      <c r="AE744" s="39">
        <v>2821.06</v>
      </c>
      <c r="AF744" s="39">
        <v>273.60000000000002</v>
      </c>
      <c r="AG744" s="39">
        <v>0</v>
      </c>
      <c r="AH744" s="39"/>
      <c r="AI744" s="39"/>
      <c r="AJ744" s="40"/>
      <c r="AK744" s="39">
        <f t="shared" si="55"/>
        <v>0</v>
      </c>
      <c r="AL744" s="39">
        <f t="shared" si="58"/>
        <v>1511.0625</v>
      </c>
      <c r="AM744" s="39">
        <f t="shared" si="59"/>
        <v>2998.5166666666664</v>
      </c>
      <c r="AN744" s="39">
        <f t="shared" si="56"/>
        <v>1813.2750000000001</v>
      </c>
      <c r="AO744" s="39">
        <f t="shared" si="57"/>
        <v>18132.75</v>
      </c>
    </row>
    <row r="745" spans="1:41" x14ac:dyDescent="0.3">
      <c r="A745" s="20">
        <v>1000184670</v>
      </c>
      <c r="B745" s="4" t="s">
        <v>147</v>
      </c>
      <c r="C745" s="21"/>
      <c r="D745" s="3"/>
      <c r="E745" s="20">
        <v>1000184756</v>
      </c>
      <c r="F745" s="4" t="s">
        <v>53</v>
      </c>
      <c r="G745" s="21">
        <v>1000189784</v>
      </c>
      <c r="H745" s="3" t="s">
        <v>54</v>
      </c>
      <c r="I745" s="21">
        <v>1000189270</v>
      </c>
      <c r="J745" s="3" t="s">
        <v>34</v>
      </c>
      <c r="K745" s="20" t="s">
        <v>14</v>
      </c>
      <c r="L745" s="39">
        <v>0</v>
      </c>
      <c r="M745" s="39">
        <v>0</v>
      </c>
      <c r="N745" s="39">
        <v>0</v>
      </c>
      <c r="O745" s="39">
        <v>0</v>
      </c>
      <c r="P745" s="39">
        <v>0</v>
      </c>
      <c r="Q745" s="39">
        <v>0</v>
      </c>
      <c r="R745" s="39">
        <v>0</v>
      </c>
      <c r="S745" s="39">
        <v>0</v>
      </c>
      <c r="T745" s="39">
        <v>0</v>
      </c>
      <c r="U745" s="39">
        <v>0</v>
      </c>
      <c r="V745" s="39">
        <v>0</v>
      </c>
      <c r="W745" s="39">
        <v>0</v>
      </c>
      <c r="X745" s="39">
        <v>0</v>
      </c>
      <c r="Y745" s="39">
        <v>0</v>
      </c>
      <c r="Z745" s="39">
        <v>124.47</v>
      </c>
      <c r="AA745" s="39">
        <v>441</v>
      </c>
      <c r="AB745" s="39">
        <v>2588.54</v>
      </c>
      <c r="AC745" s="39">
        <v>302.39999999999998</v>
      </c>
      <c r="AD745" s="39">
        <v>114</v>
      </c>
      <c r="AE745" s="39">
        <v>571.20000000000005</v>
      </c>
      <c r="AF745" s="39">
        <v>336</v>
      </c>
      <c r="AG745" s="39">
        <v>0</v>
      </c>
      <c r="AH745" s="39"/>
      <c r="AI745" s="39"/>
      <c r="AJ745" s="40"/>
      <c r="AK745" s="39">
        <f t="shared" si="55"/>
        <v>0</v>
      </c>
      <c r="AL745" s="39">
        <f t="shared" si="58"/>
        <v>373.13416666666672</v>
      </c>
      <c r="AM745" s="39">
        <f t="shared" si="59"/>
        <v>652.02333333333343</v>
      </c>
      <c r="AN745" s="39">
        <f t="shared" si="56"/>
        <v>447.76100000000008</v>
      </c>
      <c r="AO745" s="39">
        <f t="shared" si="57"/>
        <v>4477.6100000000006</v>
      </c>
    </row>
    <row r="746" spans="1:41" x14ac:dyDescent="0.3">
      <c r="A746" s="20">
        <v>1000184670</v>
      </c>
      <c r="B746" s="4" t="s">
        <v>147</v>
      </c>
      <c r="C746" s="21"/>
      <c r="D746" s="3"/>
      <c r="E746" s="20">
        <v>1000184756</v>
      </c>
      <c r="F746" s="4" t="s">
        <v>53</v>
      </c>
      <c r="G746" s="21">
        <v>1000189784</v>
      </c>
      <c r="H746" s="3" t="s">
        <v>54</v>
      </c>
      <c r="I746" s="21">
        <v>1000189270</v>
      </c>
      <c r="J746" s="3" t="s">
        <v>34</v>
      </c>
      <c r="K746" s="20" t="s">
        <v>16</v>
      </c>
      <c r="L746" s="39">
        <v>0</v>
      </c>
      <c r="M746" s="39">
        <v>0</v>
      </c>
      <c r="N746" s="39">
        <v>0</v>
      </c>
      <c r="O746" s="39">
        <v>0</v>
      </c>
      <c r="P746" s="39">
        <v>0</v>
      </c>
      <c r="Q746" s="39">
        <v>0</v>
      </c>
      <c r="R746" s="39">
        <v>0</v>
      </c>
      <c r="S746" s="39">
        <v>0</v>
      </c>
      <c r="T746" s="39">
        <v>0</v>
      </c>
      <c r="U746" s="39">
        <v>0</v>
      </c>
      <c r="V746" s="39">
        <v>0</v>
      </c>
      <c r="W746" s="39">
        <v>0</v>
      </c>
      <c r="X746" s="39">
        <v>0</v>
      </c>
      <c r="Y746" s="39">
        <v>0</v>
      </c>
      <c r="Z746" s="39">
        <v>58.92</v>
      </c>
      <c r="AA746" s="39">
        <v>76.739999999999995</v>
      </c>
      <c r="AB746" s="39">
        <v>2686.6</v>
      </c>
      <c r="AC746" s="39">
        <v>163.08000000000001</v>
      </c>
      <c r="AD746" s="39">
        <v>0</v>
      </c>
      <c r="AE746" s="39">
        <v>1150.8399999999999</v>
      </c>
      <c r="AF746" s="39">
        <v>278.22000000000003</v>
      </c>
      <c r="AG746" s="39">
        <v>0</v>
      </c>
      <c r="AH746" s="39"/>
      <c r="AI746" s="39"/>
      <c r="AJ746" s="40"/>
      <c r="AK746" s="39">
        <f t="shared" si="55"/>
        <v>0</v>
      </c>
      <c r="AL746" s="39">
        <f t="shared" si="58"/>
        <v>367.86666666666662</v>
      </c>
      <c r="AM746" s="39">
        <f t="shared" si="59"/>
        <v>713.12333333333333</v>
      </c>
      <c r="AN746" s="39">
        <f t="shared" si="56"/>
        <v>441.43999999999994</v>
      </c>
      <c r="AO746" s="39">
        <f t="shared" si="57"/>
        <v>4414.3999999999996</v>
      </c>
    </row>
    <row r="747" spans="1:41" x14ac:dyDescent="0.3">
      <c r="A747" s="20">
        <v>1000184670</v>
      </c>
      <c r="B747" s="4" t="s">
        <v>147</v>
      </c>
      <c r="C747" s="21"/>
      <c r="D747" s="3"/>
      <c r="E747" s="20">
        <v>1000184756</v>
      </c>
      <c r="F747" s="4" t="s">
        <v>53</v>
      </c>
      <c r="G747" s="21">
        <v>1000189784</v>
      </c>
      <c r="H747" s="3" t="s">
        <v>54</v>
      </c>
      <c r="I747" s="21">
        <v>1000189270</v>
      </c>
      <c r="J747" s="3" t="s">
        <v>34</v>
      </c>
      <c r="K747" s="20" t="s">
        <v>15</v>
      </c>
      <c r="L747" s="39">
        <v>0</v>
      </c>
      <c r="M747" s="39">
        <v>0</v>
      </c>
      <c r="N747" s="39">
        <v>0</v>
      </c>
      <c r="O747" s="39">
        <v>0</v>
      </c>
      <c r="P747" s="39">
        <v>0</v>
      </c>
      <c r="Q747" s="39">
        <v>0</v>
      </c>
      <c r="R747" s="39">
        <v>0</v>
      </c>
      <c r="S747" s="39">
        <v>0</v>
      </c>
      <c r="T747" s="39">
        <v>0</v>
      </c>
      <c r="U747" s="39">
        <v>0</v>
      </c>
      <c r="V747" s="39">
        <v>0</v>
      </c>
      <c r="W747" s="39">
        <v>0</v>
      </c>
      <c r="X747" s="39">
        <v>0</v>
      </c>
      <c r="Y747" s="39">
        <v>0</v>
      </c>
      <c r="Z747" s="39">
        <v>367.37</v>
      </c>
      <c r="AA747" s="39">
        <v>171</v>
      </c>
      <c r="AB747" s="39">
        <v>3377.4</v>
      </c>
      <c r="AC747" s="39">
        <v>168</v>
      </c>
      <c r="AD747" s="39">
        <v>1205.4000000000001</v>
      </c>
      <c r="AE747" s="39">
        <v>1083</v>
      </c>
      <c r="AF747" s="39">
        <v>0</v>
      </c>
      <c r="AG747" s="39">
        <v>0</v>
      </c>
      <c r="AH747" s="39"/>
      <c r="AI747" s="39"/>
      <c r="AJ747" s="40"/>
      <c r="AK747" s="39">
        <f t="shared" si="55"/>
        <v>0</v>
      </c>
      <c r="AL747" s="39">
        <f t="shared" si="58"/>
        <v>531.01416666666671</v>
      </c>
      <c r="AM747" s="39">
        <f t="shared" si="59"/>
        <v>972.30000000000007</v>
      </c>
      <c r="AN747" s="39">
        <f t="shared" si="56"/>
        <v>637.21699999999998</v>
      </c>
      <c r="AO747" s="39">
        <f t="shared" si="57"/>
        <v>6372.17</v>
      </c>
    </row>
    <row r="748" spans="1:41" x14ac:dyDescent="0.3">
      <c r="A748" s="20">
        <v>1000184670</v>
      </c>
      <c r="B748" s="4" t="s">
        <v>147</v>
      </c>
      <c r="C748" s="21"/>
      <c r="D748" s="3"/>
      <c r="E748" s="20">
        <v>1000184756</v>
      </c>
      <c r="F748" s="4" t="s">
        <v>53</v>
      </c>
      <c r="G748" s="21">
        <v>1000189784</v>
      </c>
      <c r="H748" s="3" t="s">
        <v>54</v>
      </c>
      <c r="I748" s="21">
        <v>1000189270</v>
      </c>
      <c r="J748" s="3" t="s">
        <v>34</v>
      </c>
      <c r="K748" s="20" t="s">
        <v>33</v>
      </c>
      <c r="L748" s="39">
        <v>0</v>
      </c>
      <c r="M748" s="39">
        <v>0</v>
      </c>
      <c r="N748" s="39">
        <v>0</v>
      </c>
      <c r="O748" s="39">
        <v>0</v>
      </c>
      <c r="P748" s="39">
        <v>0</v>
      </c>
      <c r="Q748" s="39">
        <v>0</v>
      </c>
      <c r="R748" s="39">
        <v>0</v>
      </c>
      <c r="S748" s="39">
        <v>0</v>
      </c>
      <c r="T748" s="39">
        <v>0</v>
      </c>
      <c r="U748" s="39">
        <v>0</v>
      </c>
      <c r="V748" s="39">
        <v>0</v>
      </c>
      <c r="W748" s="39">
        <v>0</v>
      </c>
      <c r="X748" s="39">
        <v>0</v>
      </c>
      <c r="Y748" s="39">
        <v>0</v>
      </c>
      <c r="Z748" s="39">
        <v>0</v>
      </c>
      <c r="AA748" s="39">
        <v>0</v>
      </c>
      <c r="AB748" s="39">
        <v>0</v>
      </c>
      <c r="AC748" s="39">
        <v>0</v>
      </c>
      <c r="AD748" s="39">
        <v>0</v>
      </c>
      <c r="AE748" s="39">
        <v>0</v>
      </c>
      <c r="AF748" s="39">
        <v>0</v>
      </c>
      <c r="AG748" s="39">
        <v>0</v>
      </c>
      <c r="AH748" s="39"/>
      <c r="AI748" s="39"/>
      <c r="AJ748" s="40"/>
      <c r="AK748" s="39">
        <f t="shared" si="55"/>
        <v>0</v>
      </c>
      <c r="AL748" s="39">
        <f t="shared" si="58"/>
        <v>0</v>
      </c>
      <c r="AM748" s="39">
        <f t="shared" si="59"/>
        <v>0</v>
      </c>
      <c r="AN748" s="39">
        <f t="shared" si="56"/>
        <v>0</v>
      </c>
      <c r="AO748" s="39">
        <f t="shared" si="57"/>
        <v>0</v>
      </c>
    </row>
    <row r="749" spans="1:41" x14ac:dyDescent="0.3">
      <c r="A749" s="20">
        <v>1000184670</v>
      </c>
      <c r="B749" s="4" t="s">
        <v>147</v>
      </c>
      <c r="C749" s="21"/>
      <c r="D749" s="3"/>
      <c r="E749" s="20">
        <v>1000184756</v>
      </c>
      <c r="F749" s="4" t="s">
        <v>53</v>
      </c>
      <c r="G749" s="21">
        <v>1000189784</v>
      </c>
      <c r="H749" s="3" t="s">
        <v>54</v>
      </c>
      <c r="I749" s="21">
        <v>1000189270</v>
      </c>
      <c r="J749" s="3" t="s">
        <v>34</v>
      </c>
      <c r="K749" s="20" t="s">
        <v>19</v>
      </c>
      <c r="L749" s="39">
        <v>0</v>
      </c>
      <c r="M749" s="39">
        <v>0</v>
      </c>
      <c r="N749" s="39">
        <v>0</v>
      </c>
      <c r="O749" s="39">
        <v>0</v>
      </c>
      <c r="P749" s="39">
        <v>0</v>
      </c>
      <c r="Q749" s="39">
        <v>0</v>
      </c>
      <c r="R749" s="39">
        <v>0</v>
      </c>
      <c r="S749" s="39">
        <v>0</v>
      </c>
      <c r="T749" s="39">
        <v>0</v>
      </c>
      <c r="U749" s="39">
        <v>0</v>
      </c>
      <c r="V749" s="39">
        <v>0</v>
      </c>
      <c r="W749" s="39">
        <v>0</v>
      </c>
      <c r="X749" s="39">
        <v>0</v>
      </c>
      <c r="Y749" s="39">
        <v>0</v>
      </c>
      <c r="Z749" s="39">
        <v>0</v>
      </c>
      <c r="AA749" s="39">
        <v>0</v>
      </c>
      <c r="AB749" s="39">
        <v>2880</v>
      </c>
      <c r="AC749" s="39">
        <v>0</v>
      </c>
      <c r="AD749" s="39">
        <v>0</v>
      </c>
      <c r="AE749" s="39">
        <v>0</v>
      </c>
      <c r="AF749" s="39">
        <v>0</v>
      </c>
      <c r="AG749" s="39">
        <v>0</v>
      </c>
      <c r="AH749" s="39"/>
      <c r="AI749" s="39"/>
      <c r="AJ749" s="40"/>
      <c r="AK749" s="39">
        <f t="shared" si="55"/>
        <v>0</v>
      </c>
      <c r="AL749" s="39">
        <f t="shared" si="58"/>
        <v>240</v>
      </c>
      <c r="AM749" s="39">
        <f t="shared" si="59"/>
        <v>480</v>
      </c>
      <c r="AN749" s="39">
        <f t="shared" si="56"/>
        <v>288</v>
      </c>
      <c r="AO749" s="39">
        <f t="shared" si="57"/>
        <v>2880</v>
      </c>
    </row>
    <row r="750" spans="1:41" x14ac:dyDescent="0.3">
      <c r="A750" s="20">
        <v>1000184670</v>
      </c>
      <c r="B750" s="4" t="s">
        <v>147</v>
      </c>
      <c r="C750" s="21"/>
      <c r="D750" s="3"/>
      <c r="E750" s="20">
        <v>1000184756</v>
      </c>
      <c r="F750" s="4" t="s">
        <v>53</v>
      </c>
      <c r="G750" s="21">
        <v>1000189784</v>
      </c>
      <c r="H750" s="3" t="s">
        <v>54</v>
      </c>
      <c r="I750" s="21">
        <v>1000189270</v>
      </c>
      <c r="J750" s="3" t="s">
        <v>34</v>
      </c>
      <c r="K750" s="20" t="s">
        <v>17</v>
      </c>
      <c r="L750" s="39">
        <v>0</v>
      </c>
      <c r="M750" s="39">
        <v>0</v>
      </c>
      <c r="N750" s="39">
        <v>0</v>
      </c>
      <c r="O750" s="39">
        <v>0</v>
      </c>
      <c r="P750" s="39">
        <v>0</v>
      </c>
      <c r="Q750" s="39">
        <v>0</v>
      </c>
      <c r="R750" s="39">
        <v>0</v>
      </c>
      <c r="S750" s="39">
        <v>0</v>
      </c>
      <c r="T750" s="39">
        <v>0</v>
      </c>
      <c r="U750" s="39">
        <v>0</v>
      </c>
      <c r="V750" s="39">
        <v>0</v>
      </c>
      <c r="W750" s="39">
        <v>0</v>
      </c>
      <c r="X750" s="39">
        <v>0</v>
      </c>
      <c r="Y750" s="39">
        <v>0</v>
      </c>
      <c r="Z750" s="39">
        <v>0</v>
      </c>
      <c r="AA750" s="39">
        <v>0</v>
      </c>
      <c r="AB750" s="39">
        <v>3247.2</v>
      </c>
      <c r="AC750" s="39">
        <v>840</v>
      </c>
      <c r="AD750" s="39">
        <v>421.2</v>
      </c>
      <c r="AE750" s="39">
        <v>936.96</v>
      </c>
      <c r="AF750" s="39">
        <v>535.79999999999995</v>
      </c>
      <c r="AG750" s="39">
        <v>0</v>
      </c>
      <c r="AH750" s="39"/>
      <c r="AI750" s="39"/>
      <c r="AJ750" s="40"/>
      <c r="AK750" s="39">
        <f t="shared" si="55"/>
        <v>0</v>
      </c>
      <c r="AL750" s="39">
        <f t="shared" si="58"/>
        <v>498.43</v>
      </c>
      <c r="AM750" s="39">
        <f t="shared" si="59"/>
        <v>996.86</v>
      </c>
      <c r="AN750" s="39">
        <f t="shared" si="56"/>
        <v>598.11599999999999</v>
      </c>
      <c r="AO750" s="39">
        <f t="shared" si="57"/>
        <v>5981.16</v>
      </c>
    </row>
    <row r="751" spans="1:41" x14ac:dyDescent="0.3">
      <c r="A751" s="20">
        <v>1000184670</v>
      </c>
      <c r="B751" s="4" t="s">
        <v>147</v>
      </c>
      <c r="C751" s="21"/>
      <c r="D751" s="3"/>
      <c r="E751" s="20">
        <v>1000184756</v>
      </c>
      <c r="F751" s="4" t="s">
        <v>53</v>
      </c>
      <c r="G751" s="21">
        <v>1000189784</v>
      </c>
      <c r="H751" s="3" t="s">
        <v>54</v>
      </c>
      <c r="I751" s="21">
        <v>1000189270</v>
      </c>
      <c r="J751" s="3" t="s">
        <v>34</v>
      </c>
      <c r="K751" s="20" t="s">
        <v>24</v>
      </c>
      <c r="L751" s="39">
        <v>0</v>
      </c>
      <c r="M751" s="39">
        <v>0</v>
      </c>
      <c r="N751" s="39">
        <v>0</v>
      </c>
      <c r="O751" s="39">
        <v>0</v>
      </c>
      <c r="P751" s="39">
        <v>0</v>
      </c>
      <c r="Q751" s="39">
        <v>0</v>
      </c>
      <c r="R751" s="39">
        <v>0</v>
      </c>
      <c r="S751" s="39">
        <v>0</v>
      </c>
      <c r="T751" s="39">
        <v>0</v>
      </c>
      <c r="U751" s="39">
        <v>0</v>
      </c>
      <c r="V751" s="39">
        <v>0</v>
      </c>
      <c r="W751" s="39">
        <v>0</v>
      </c>
      <c r="X751" s="39">
        <v>0</v>
      </c>
      <c r="Y751" s="39">
        <v>0</v>
      </c>
      <c r="Z751" s="39">
        <v>194</v>
      </c>
      <c r="AA751" s="39">
        <v>33.659999999999997</v>
      </c>
      <c r="AB751" s="39">
        <v>2948.16</v>
      </c>
      <c r="AC751" s="39">
        <v>151.41</v>
      </c>
      <c r="AD751" s="39">
        <v>0</v>
      </c>
      <c r="AE751" s="39">
        <v>148.62</v>
      </c>
      <c r="AF751" s="39">
        <v>0</v>
      </c>
      <c r="AG751" s="39">
        <v>0</v>
      </c>
      <c r="AH751" s="39"/>
      <c r="AI751" s="39"/>
      <c r="AJ751" s="40"/>
      <c r="AK751" s="39">
        <f t="shared" si="55"/>
        <v>0</v>
      </c>
      <c r="AL751" s="39">
        <f t="shared" si="58"/>
        <v>289.65416666666664</v>
      </c>
      <c r="AM751" s="39">
        <f t="shared" si="59"/>
        <v>541.3649999999999</v>
      </c>
      <c r="AN751" s="39">
        <f t="shared" si="56"/>
        <v>347.58499999999992</v>
      </c>
      <c r="AO751" s="39">
        <f t="shared" si="57"/>
        <v>3475.8499999999995</v>
      </c>
    </row>
    <row r="752" spans="1:41" x14ac:dyDescent="0.3">
      <c r="A752" s="20">
        <v>1000184670</v>
      </c>
      <c r="B752" s="4" t="s">
        <v>147</v>
      </c>
      <c r="C752" s="21"/>
      <c r="D752" s="3"/>
      <c r="E752" s="20">
        <v>1000184756</v>
      </c>
      <c r="F752" s="4" t="s">
        <v>53</v>
      </c>
      <c r="G752" s="21">
        <v>1000189784</v>
      </c>
      <c r="H752" s="3" t="s">
        <v>54</v>
      </c>
      <c r="I752" s="21">
        <v>1000189270</v>
      </c>
      <c r="J752" s="3" t="s">
        <v>34</v>
      </c>
      <c r="K752" s="20" t="s">
        <v>18</v>
      </c>
      <c r="L752" s="39">
        <v>0</v>
      </c>
      <c r="M752" s="39">
        <v>0</v>
      </c>
      <c r="N752" s="39">
        <v>0</v>
      </c>
      <c r="O752" s="39">
        <v>0</v>
      </c>
      <c r="P752" s="39">
        <v>0</v>
      </c>
      <c r="Q752" s="39">
        <v>0</v>
      </c>
      <c r="R752" s="39">
        <v>0</v>
      </c>
      <c r="S752" s="39">
        <v>0</v>
      </c>
      <c r="T752" s="39">
        <v>0</v>
      </c>
      <c r="U752" s="39">
        <v>0</v>
      </c>
      <c r="V752" s="39">
        <v>0</v>
      </c>
      <c r="W752" s="39">
        <v>0</v>
      </c>
      <c r="X752" s="39">
        <v>0</v>
      </c>
      <c r="Y752" s="39">
        <v>0</v>
      </c>
      <c r="Z752" s="39">
        <v>7.7</v>
      </c>
      <c r="AA752" s="39">
        <v>184.8</v>
      </c>
      <c r="AB752" s="39">
        <v>702</v>
      </c>
      <c r="AC752" s="39">
        <v>43.2</v>
      </c>
      <c r="AD752" s="39">
        <v>0</v>
      </c>
      <c r="AE752" s="39">
        <v>76.38</v>
      </c>
      <c r="AF752" s="39">
        <v>0</v>
      </c>
      <c r="AG752" s="39">
        <v>0</v>
      </c>
      <c r="AH752" s="39"/>
      <c r="AI752" s="39"/>
      <c r="AJ752" s="40"/>
      <c r="AK752" s="39">
        <f t="shared" ref="AK752:AK815" si="60">AVERAGE(L752:W752)</f>
        <v>0</v>
      </c>
      <c r="AL752" s="39">
        <f t="shared" si="58"/>
        <v>84.506666666666675</v>
      </c>
      <c r="AM752" s="39">
        <f t="shared" si="59"/>
        <v>136.93</v>
      </c>
      <c r="AN752" s="39">
        <f t="shared" ref="AN752:AN815" si="61">AVERAGE(X752:AI752)</f>
        <v>101.408</v>
      </c>
      <c r="AO752" s="39">
        <f t="shared" ref="AO752:AO815" si="62">SUM(X752:AI752)</f>
        <v>1014.08</v>
      </c>
    </row>
    <row r="753" spans="1:41" x14ac:dyDescent="0.3">
      <c r="A753" s="20">
        <v>1000184670</v>
      </c>
      <c r="B753" s="4" t="s">
        <v>147</v>
      </c>
      <c r="C753" s="21"/>
      <c r="D753" s="3"/>
      <c r="E753" s="20">
        <v>1000184756</v>
      </c>
      <c r="F753" s="4" t="s">
        <v>53</v>
      </c>
      <c r="G753" s="21">
        <v>1000189784</v>
      </c>
      <c r="H753" s="3" t="s">
        <v>54</v>
      </c>
      <c r="I753" s="21">
        <v>1000189270</v>
      </c>
      <c r="J753" s="3" t="s">
        <v>34</v>
      </c>
      <c r="K753" s="20" t="s">
        <v>29</v>
      </c>
      <c r="L753" s="39">
        <v>0</v>
      </c>
      <c r="M753" s="39">
        <v>0</v>
      </c>
      <c r="N753" s="39">
        <v>0</v>
      </c>
      <c r="O753" s="39">
        <v>0</v>
      </c>
      <c r="P753" s="39">
        <v>0</v>
      </c>
      <c r="Q753" s="39">
        <v>0</v>
      </c>
      <c r="R753" s="39">
        <v>0</v>
      </c>
      <c r="S753" s="39">
        <v>0</v>
      </c>
      <c r="T753" s="39">
        <v>0</v>
      </c>
      <c r="U753" s="39">
        <v>0</v>
      </c>
      <c r="V753" s="39">
        <v>0</v>
      </c>
      <c r="W753" s="39">
        <v>0</v>
      </c>
      <c r="X753" s="39">
        <v>0</v>
      </c>
      <c r="Y753" s="39">
        <v>0</v>
      </c>
      <c r="Z753" s="39">
        <v>0</v>
      </c>
      <c r="AA753" s="39">
        <v>4454.0600000000004</v>
      </c>
      <c r="AB753" s="39">
        <v>0</v>
      </c>
      <c r="AC753" s="39">
        <v>0</v>
      </c>
      <c r="AD753" s="39">
        <v>2232</v>
      </c>
      <c r="AE753" s="39">
        <v>2055</v>
      </c>
      <c r="AF753" s="39">
        <v>372</v>
      </c>
      <c r="AG753" s="39">
        <v>0</v>
      </c>
      <c r="AH753" s="39"/>
      <c r="AI753" s="39"/>
      <c r="AJ753" s="40"/>
      <c r="AK753" s="39">
        <f t="shared" si="60"/>
        <v>0</v>
      </c>
      <c r="AL753" s="39">
        <f t="shared" si="58"/>
        <v>759.42166666666674</v>
      </c>
      <c r="AM753" s="39">
        <f t="shared" si="59"/>
        <v>776.5</v>
      </c>
      <c r="AN753" s="39">
        <f t="shared" si="61"/>
        <v>911.30600000000015</v>
      </c>
      <c r="AO753" s="39">
        <f t="shared" si="62"/>
        <v>9113.0600000000013</v>
      </c>
    </row>
    <row r="754" spans="1:41" x14ac:dyDescent="0.3">
      <c r="A754" s="20">
        <v>1000184670</v>
      </c>
      <c r="B754" s="4" t="s">
        <v>147</v>
      </c>
      <c r="C754" s="21"/>
      <c r="D754" s="3"/>
      <c r="E754" s="20">
        <v>1000184756</v>
      </c>
      <c r="F754" s="4" t="s">
        <v>53</v>
      </c>
      <c r="G754" s="21">
        <v>1000189784</v>
      </c>
      <c r="H754" s="3" t="s">
        <v>54</v>
      </c>
      <c r="I754" s="21">
        <v>1000189270</v>
      </c>
      <c r="J754" s="3" t="s">
        <v>34</v>
      </c>
      <c r="K754" s="20" t="s">
        <v>21</v>
      </c>
      <c r="L754" s="39">
        <v>0</v>
      </c>
      <c r="M754" s="39">
        <v>0</v>
      </c>
      <c r="N754" s="39">
        <v>0</v>
      </c>
      <c r="O754" s="39">
        <v>0</v>
      </c>
      <c r="P754" s="39">
        <v>0</v>
      </c>
      <c r="Q754" s="39">
        <v>0</v>
      </c>
      <c r="R754" s="39">
        <v>0</v>
      </c>
      <c r="S754" s="39">
        <v>0</v>
      </c>
      <c r="T754" s="39">
        <v>0</v>
      </c>
      <c r="U754" s="39">
        <v>0</v>
      </c>
      <c r="V754" s="39">
        <v>0</v>
      </c>
      <c r="W754" s="39">
        <v>0</v>
      </c>
      <c r="X754" s="39">
        <v>0</v>
      </c>
      <c r="Y754" s="39">
        <v>0</v>
      </c>
      <c r="Z754" s="39">
        <v>111.74</v>
      </c>
      <c r="AA754" s="39">
        <v>31.5</v>
      </c>
      <c r="AB754" s="39">
        <v>376.2</v>
      </c>
      <c r="AC754" s="39">
        <v>63.45</v>
      </c>
      <c r="AD754" s="39">
        <v>0</v>
      </c>
      <c r="AE754" s="39">
        <v>336.6</v>
      </c>
      <c r="AF754" s="39">
        <v>0</v>
      </c>
      <c r="AG754" s="39">
        <v>0</v>
      </c>
      <c r="AH754" s="39"/>
      <c r="AI754" s="39"/>
      <c r="AJ754" s="40"/>
      <c r="AK754" s="39">
        <f t="shared" si="60"/>
        <v>0</v>
      </c>
      <c r="AL754" s="39">
        <f t="shared" si="58"/>
        <v>76.624166666666682</v>
      </c>
      <c r="AM754" s="39">
        <f t="shared" si="59"/>
        <v>129.375</v>
      </c>
      <c r="AN754" s="39">
        <f t="shared" si="61"/>
        <v>91.949000000000012</v>
      </c>
      <c r="AO754" s="39">
        <f t="shared" si="62"/>
        <v>919.49000000000012</v>
      </c>
    </row>
    <row r="755" spans="1:41" x14ac:dyDescent="0.3">
      <c r="A755" s="20">
        <v>1000184670</v>
      </c>
      <c r="B755" s="4" t="s">
        <v>147</v>
      </c>
      <c r="C755" s="21"/>
      <c r="D755" s="3"/>
      <c r="E755" s="20">
        <v>1000184756</v>
      </c>
      <c r="F755" s="4" t="s">
        <v>53</v>
      </c>
      <c r="G755" s="21">
        <v>1000189784</v>
      </c>
      <c r="H755" s="3" t="s">
        <v>54</v>
      </c>
      <c r="I755" s="21">
        <v>1000189270</v>
      </c>
      <c r="J755" s="3" t="s">
        <v>34</v>
      </c>
      <c r="K755" s="20" t="s">
        <v>20</v>
      </c>
      <c r="L755" s="39">
        <v>0</v>
      </c>
      <c r="M755" s="39">
        <v>0</v>
      </c>
      <c r="N755" s="39">
        <v>0</v>
      </c>
      <c r="O755" s="39">
        <v>0</v>
      </c>
      <c r="P755" s="39">
        <v>0</v>
      </c>
      <c r="Q755" s="39">
        <v>0</v>
      </c>
      <c r="R755" s="39">
        <v>0</v>
      </c>
      <c r="S755" s="39">
        <v>0</v>
      </c>
      <c r="T755" s="39">
        <v>0</v>
      </c>
      <c r="U755" s="39">
        <v>0</v>
      </c>
      <c r="V755" s="39">
        <v>0</v>
      </c>
      <c r="W755" s="39">
        <v>0</v>
      </c>
      <c r="X755" s="39">
        <v>0</v>
      </c>
      <c r="Y755" s="39">
        <v>0</v>
      </c>
      <c r="Z755" s="39">
        <v>0</v>
      </c>
      <c r="AA755" s="39">
        <v>0</v>
      </c>
      <c r="AB755" s="39">
        <v>8006.04</v>
      </c>
      <c r="AC755" s="39">
        <v>1617.14</v>
      </c>
      <c r="AD755" s="39">
        <v>1718.29</v>
      </c>
      <c r="AE755" s="39">
        <v>5740.77</v>
      </c>
      <c r="AF755" s="39">
        <v>1219.44</v>
      </c>
      <c r="AG755" s="39">
        <v>0</v>
      </c>
      <c r="AH755" s="39"/>
      <c r="AI755" s="39"/>
      <c r="AJ755" s="40"/>
      <c r="AK755" s="39">
        <f t="shared" si="60"/>
        <v>0</v>
      </c>
      <c r="AL755" s="39">
        <f t="shared" si="58"/>
        <v>1525.14</v>
      </c>
      <c r="AM755" s="39">
        <f t="shared" si="59"/>
        <v>3050.28</v>
      </c>
      <c r="AN755" s="39">
        <f t="shared" si="61"/>
        <v>1830.1680000000001</v>
      </c>
      <c r="AO755" s="39">
        <f t="shared" si="62"/>
        <v>18301.68</v>
      </c>
    </row>
    <row r="756" spans="1:41" x14ac:dyDescent="0.3">
      <c r="A756" s="20">
        <v>1000184670</v>
      </c>
      <c r="B756" s="4" t="s">
        <v>147</v>
      </c>
      <c r="C756" s="21"/>
      <c r="D756" s="3"/>
      <c r="E756" s="20">
        <v>1000184756</v>
      </c>
      <c r="F756" s="4" t="s">
        <v>53</v>
      </c>
      <c r="G756" s="21">
        <v>1000189784</v>
      </c>
      <c r="H756" s="3" t="s">
        <v>54</v>
      </c>
      <c r="I756" s="21">
        <v>1000189270</v>
      </c>
      <c r="J756" s="3" t="s">
        <v>34</v>
      </c>
      <c r="K756" s="20" t="s">
        <v>22</v>
      </c>
      <c r="L756" s="39">
        <v>0</v>
      </c>
      <c r="M756" s="39">
        <v>0</v>
      </c>
      <c r="N756" s="39">
        <v>0</v>
      </c>
      <c r="O756" s="39">
        <v>0</v>
      </c>
      <c r="P756" s="39">
        <v>0</v>
      </c>
      <c r="Q756" s="39">
        <v>0</v>
      </c>
      <c r="R756" s="39">
        <v>0</v>
      </c>
      <c r="S756" s="39">
        <v>0</v>
      </c>
      <c r="T756" s="39">
        <v>0</v>
      </c>
      <c r="U756" s="39">
        <v>0</v>
      </c>
      <c r="V756" s="39">
        <v>0</v>
      </c>
      <c r="W756" s="39">
        <v>0</v>
      </c>
      <c r="X756" s="39">
        <v>0</v>
      </c>
      <c r="Y756" s="39">
        <v>0</v>
      </c>
      <c r="Z756" s="39">
        <v>55.03</v>
      </c>
      <c r="AA756" s="39">
        <v>145.26</v>
      </c>
      <c r="AB756" s="39">
        <v>4506.6000000000004</v>
      </c>
      <c r="AC756" s="39">
        <v>480.6</v>
      </c>
      <c r="AD756" s="39">
        <v>620.42999999999995</v>
      </c>
      <c r="AE756" s="39">
        <v>1235.18</v>
      </c>
      <c r="AF756" s="39">
        <v>456</v>
      </c>
      <c r="AG756" s="39">
        <v>0</v>
      </c>
      <c r="AH756" s="39"/>
      <c r="AI756" s="39"/>
      <c r="AJ756" s="40"/>
      <c r="AK756" s="39">
        <f t="shared" si="60"/>
        <v>0</v>
      </c>
      <c r="AL756" s="39">
        <f t="shared" si="58"/>
        <v>624.92500000000007</v>
      </c>
      <c r="AM756" s="39">
        <f t="shared" si="59"/>
        <v>1216.4683333333335</v>
      </c>
      <c r="AN756" s="39">
        <f t="shared" si="61"/>
        <v>749.91000000000008</v>
      </c>
      <c r="AO756" s="39">
        <f t="shared" si="62"/>
        <v>7499.1000000000013</v>
      </c>
    </row>
    <row r="757" spans="1:41" x14ac:dyDescent="0.3">
      <c r="A757" s="20">
        <v>1000184670</v>
      </c>
      <c r="B757" s="4" t="s">
        <v>147</v>
      </c>
      <c r="C757" s="21"/>
      <c r="D757" s="3"/>
      <c r="E757" s="20">
        <v>1000184756</v>
      </c>
      <c r="F757" s="4" t="s">
        <v>53</v>
      </c>
      <c r="G757" s="21">
        <v>1000189784</v>
      </c>
      <c r="H757" s="3" t="s">
        <v>54</v>
      </c>
      <c r="I757" s="21">
        <v>1000189270</v>
      </c>
      <c r="J757" s="3" t="s">
        <v>34</v>
      </c>
      <c r="K757" s="20" t="s">
        <v>23</v>
      </c>
      <c r="L757" s="39">
        <v>0</v>
      </c>
      <c r="M757" s="39">
        <v>0</v>
      </c>
      <c r="N757" s="39">
        <v>0</v>
      </c>
      <c r="O757" s="39">
        <v>0</v>
      </c>
      <c r="P757" s="39">
        <v>0</v>
      </c>
      <c r="Q757" s="39">
        <v>0</v>
      </c>
      <c r="R757" s="39">
        <v>0</v>
      </c>
      <c r="S757" s="39">
        <v>0</v>
      </c>
      <c r="T757" s="39">
        <v>0</v>
      </c>
      <c r="U757" s="39">
        <v>0</v>
      </c>
      <c r="V757" s="39">
        <v>0</v>
      </c>
      <c r="W757" s="39">
        <v>0</v>
      </c>
      <c r="X757" s="39">
        <v>0</v>
      </c>
      <c r="Y757" s="39">
        <v>0</v>
      </c>
      <c r="Z757" s="39">
        <v>0</v>
      </c>
      <c r="AA757" s="39">
        <v>0</v>
      </c>
      <c r="AB757" s="39">
        <v>1785.33</v>
      </c>
      <c r="AC757" s="39">
        <v>2166.7199999999998</v>
      </c>
      <c r="AD757" s="39">
        <v>1114.04</v>
      </c>
      <c r="AE757" s="39">
        <v>914.14</v>
      </c>
      <c r="AF757" s="39">
        <v>1329.7</v>
      </c>
      <c r="AG757" s="39">
        <v>0</v>
      </c>
      <c r="AH757" s="39"/>
      <c r="AI757" s="39"/>
      <c r="AJ757" s="40"/>
      <c r="AK757" s="39">
        <f t="shared" si="60"/>
        <v>0</v>
      </c>
      <c r="AL757" s="39">
        <f t="shared" si="58"/>
        <v>609.16083333333336</v>
      </c>
      <c r="AM757" s="39">
        <f t="shared" si="59"/>
        <v>1218.3216666666667</v>
      </c>
      <c r="AN757" s="39">
        <f t="shared" si="61"/>
        <v>730.99300000000005</v>
      </c>
      <c r="AO757" s="39">
        <f t="shared" si="62"/>
        <v>7309.93</v>
      </c>
    </row>
    <row r="758" spans="1:41" x14ac:dyDescent="0.3">
      <c r="A758" s="20">
        <v>1000184670</v>
      </c>
      <c r="B758" s="4" t="s">
        <v>147</v>
      </c>
      <c r="C758" s="21"/>
      <c r="D758" s="3"/>
      <c r="E758" s="20">
        <v>1000184756</v>
      </c>
      <c r="F758" s="4" t="s">
        <v>53</v>
      </c>
      <c r="G758" s="21">
        <v>1000189784</v>
      </c>
      <c r="H758" s="3" t="s">
        <v>54</v>
      </c>
      <c r="I758" s="21">
        <v>1000189270</v>
      </c>
      <c r="J758" s="3" t="s">
        <v>34</v>
      </c>
      <c r="K758" s="20" t="s">
        <v>28</v>
      </c>
      <c r="L758" s="39">
        <v>0</v>
      </c>
      <c r="M758" s="39">
        <v>0</v>
      </c>
      <c r="N758" s="39">
        <v>0</v>
      </c>
      <c r="O758" s="39">
        <v>0</v>
      </c>
      <c r="P758" s="39">
        <v>0</v>
      </c>
      <c r="Q758" s="39">
        <v>0</v>
      </c>
      <c r="R758" s="39">
        <v>0</v>
      </c>
      <c r="S758" s="39">
        <v>0</v>
      </c>
      <c r="T758" s="39">
        <v>0</v>
      </c>
      <c r="U758" s="39">
        <v>0</v>
      </c>
      <c r="V758" s="39">
        <v>0</v>
      </c>
      <c r="W758" s="39">
        <v>0</v>
      </c>
      <c r="X758" s="39">
        <v>0</v>
      </c>
      <c r="Y758" s="39">
        <v>0</v>
      </c>
      <c r="Z758" s="39">
        <v>0</v>
      </c>
      <c r="AA758" s="39">
        <v>0</v>
      </c>
      <c r="AB758" s="39">
        <v>695.8</v>
      </c>
      <c r="AC758" s="39">
        <v>2185.27</v>
      </c>
      <c r="AD758" s="39">
        <v>167.87</v>
      </c>
      <c r="AE758" s="39">
        <v>361.5</v>
      </c>
      <c r="AF758" s="39">
        <v>1581.88</v>
      </c>
      <c r="AG758" s="39">
        <v>0</v>
      </c>
      <c r="AH758" s="39"/>
      <c r="AI758" s="39"/>
      <c r="AJ758" s="40"/>
      <c r="AK758" s="39">
        <f t="shared" si="60"/>
        <v>0</v>
      </c>
      <c r="AL758" s="39">
        <f t="shared" si="58"/>
        <v>416.02666666666664</v>
      </c>
      <c r="AM758" s="39">
        <f t="shared" si="59"/>
        <v>832.05333333333328</v>
      </c>
      <c r="AN758" s="39">
        <f t="shared" si="61"/>
        <v>499.23199999999997</v>
      </c>
      <c r="AO758" s="39">
        <f t="shared" si="62"/>
        <v>4992.32</v>
      </c>
    </row>
    <row r="759" spans="1:41" x14ac:dyDescent="0.3">
      <c r="A759" s="20">
        <v>1000184670</v>
      </c>
      <c r="B759" s="4" t="s">
        <v>147</v>
      </c>
      <c r="C759" s="21"/>
      <c r="D759" s="3"/>
      <c r="E759" s="20">
        <v>1000184756</v>
      </c>
      <c r="F759" s="4" t="s">
        <v>53</v>
      </c>
      <c r="G759" s="21">
        <v>1000189784</v>
      </c>
      <c r="H759" s="3" t="s">
        <v>54</v>
      </c>
      <c r="I759" s="21">
        <v>1000189270</v>
      </c>
      <c r="J759" s="3" t="s">
        <v>34</v>
      </c>
      <c r="K759" s="20" t="s">
        <v>26</v>
      </c>
      <c r="L759" s="39">
        <v>0</v>
      </c>
      <c r="M759" s="39">
        <v>0</v>
      </c>
      <c r="N759" s="39">
        <v>0</v>
      </c>
      <c r="O759" s="39">
        <v>0</v>
      </c>
      <c r="P759" s="39">
        <v>0</v>
      </c>
      <c r="Q759" s="39">
        <v>0</v>
      </c>
      <c r="R759" s="39">
        <v>0</v>
      </c>
      <c r="S759" s="39">
        <v>0</v>
      </c>
      <c r="T759" s="39">
        <v>0</v>
      </c>
      <c r="U759" s="39">
        <v>0</v>
      </c>
      <c r="V759" s="39">
        <v>0</v>
      </c>
      <c r="W759" s="39">
        <v>0</v>
      </c>
      <c r="X759" s="39">
        <v>379.94</v>
      </c>
      <c r="Y759" s="39">
        <v>0</v>
      </c>
      <c r="Z759" s="39">
        <v>220</v>
      </c>
      <c r="AA759" s="39">
        <v>110.22</v>
      </c>
      <c r="AB759" s="39">
        <v>2084.08</v>
      </c>
      <c r="AC759" s="39">
        <v>0</v>
      </c>
      <c r="AD759" s="39">
        <v>0</v>
      </c>
      <c r="AE759" s="39">
        <v>0</v>
      </c>
      <c r="AF759" s="39">
        <v>0</v>
      </c>
      <c r="AG759" s="39">
        <v>0</v>
      </c>
      <c r="AH759" s="39"/>
      <c r="AI759" s="39"/>
      <c r="AJ759" s="40"/>
      <c r="AK759" s="39">
        <f t="shared" si="60"/>
        <v>0</v>
      </c>
      <c r="AL759" s="39">
        <f t="shared" si="58"/>
        <v>232.85333333333332</v>
      </c>
      <c r="AM759" s="39">
        <f t="shared" si="59"/>
        <v>347.34666666666664</v>
      </c>
      <c r="AN759" s="39">
        <f t="shared" si="61"/>
        <v>279.42399999999998</v>
      </c>
      <c r="AO759" s="39">
        <f t="shared" si="62"/>
        <v>2794.24</v>
      </c>
    </row>
    <row r="760" spans="1:41" x14ac:dyDescent="0.3">
      <c r="A760" s="20">
        <v>1000184670</v>
      </c>
      <c r="B760" s="4" t="s">
        <v>147</v>
      </c>
      <c r="C760" s="21"/>
      <c r="D760" s="3"/>
      <c r="E760" s="20">
        <v>1000184756</v>
      </c>
      <c r="F760" s="4" t="s">
        <v>53</v>
      </c>
      <c r="G760" s="21">
        <v>1000189784</v>
      </c>
      <c r="H760" s="3" t="s">
        <v>54</v>
      </c>
      <c r="I760" s="21">
        <v>1000189270</v>
      </c>
      <c r="J760" s="3" t="s">
        <v>34</v>
      </c>
      <c r="K760" s="20" t="s">
        <v>27</v>
      </c>
      <c r="L760" s="39">
        <v>0</v>
      </c>
      <c r="M760" s="39">
        <v>0</v>
      </c>
      <c r="N760" s="39">
        <v>0</v>
      </c>
      <c r="O760" s="39">
        <v>0</v>
      </c>
      <c r="P760" s="39">
        <v>0</v>
      </c>
      <c r="Q760" s="39">
        <v>0</v>
      </c>
      <c r="R760" s="39">
        <v>0</v>
      </c>
      <c r="S760" s="39">
        <v>0</v>
      </c>
      <c r="T760" s="39">
        <v>0</v>
      </c>
      <c r="U760" s="39">
        <v>0</v>
      </c>
      <c r="V760" s="39">
        <v>0</v>
      </c>
      <c r="W760" s="39">
        <v>0</v>
      </c>
      <c r="X760" s="39">
        <v>0</v>
      </c>
      <c r="Y760" s="39">
        <v>0</v>
      </c>
      <c r="Z760" s="39">
        <v>0</v>
      </c>
      <c r="AA760" s="39">
        <v>0</v>
      </c>
      <c r="AB760" s="39">
        <v>0</v>
      </c>
      <c r="AC760" s="39">
        <v>0</v>
      </c>
      <c r="AD760" s="39">
        <v>0</v>
      </c>
      <c r="AE760" s="39">
        <v>0</v>
      </c>
      <c r="AF760" s="39">
        <v>0</v>
      </c>
      <c r="AG760" s="39">
        <v>0</v>
      </c>
      <c r="AH760" s="39"/>
      <c r="AI760" s="39"/>
      <c r="AJ760" s="40"/>
      <c r="AK760" s="39">
        <f t="shared" si="60"/>
        <v>0</v>
      </c>
      <c r="AL760" s="39">
        <f t="shared" si="58"/>
        <v>0</v>
      </c>
      <c r="AM760" s="39">
        <f t="shared" si="59"/>
        <v>0</v>
      </c>
      <c r="AN760" s="39">
        <f t="shared" si="61"/>
        <v>0</v>
      </c>
      <c r="AO760" s="39">
        <f t="shared" si="62"/>
        <v>0</v>
      </c>
    </row>
    <row r="761" spans="1:41" x14ac:dyDescent="0.3">
      <c r="A761" s="20">
        <v>1000184670</v>
      </c>
      <c r="B761" s="4" t="s">
        <v>147</v>
      </c>
      <c r="C761" s="21"/>
      <c r="D761" s="3"/>
      <c r="E761" s="20">
        <v>1000184756</v>
      </c>
      <c r="F761" s="4" t="s">
        <v>53</v>
      </c>
      <c r="G761" s="21">
        <v>1000189784</v>
      </c>
      <c r="H761" s="3" t="s">
        <v>54</v>
      </c>
      <c r="I761" s="21">
        <v>1000189270</v>
      </c>
      <c r="J761" s="3" t="s">
        <v>34</v>
      </c>
      <c r="K761" s="20" t="s">
        <v>25</v>
      </c>
      <c r="L761" s="39">
        <v>0</v>
      </c>
      <c r="M761" s="39">
        <v>0</v>
      </c>
      <c r="N761" s="39">
        <v>0</v>
      </c>
      <c r="O761" s="39">
        <v>0</v>
      </c>
      <c r="P761" s="39">
        <v>0</v>
      </c>
      <c r="Q761" s="39">
        <v>0</v>
      </c>
      <c r="R761" s="39">
        <v>0</v>
      </c>
      <c r="S761" s="39">
        <v>0</v>
      </c>
      <c r="T761" s="39">
        <v>0</v>
      </c>
      <c r="U761" s="39">
        <v>0</v>
      </c>
      <c r="V761" s="39">
        <v>0</v>
      </c>
      <c r="W761" s="39">
        <v>0</v>
      </c>
      <c r="X761" s="39">
        <v>0</v>
      </c>
      <c r="Y761" s="39">
        <v>0</v>
      </c>
      <c r="Z761" s="39">
        <v>0</v>
      </c>
      <c r="AA761" s="39">
        <v>135</v>
      </c>
      <c r="AB761" s="39">
        <v>0</v>
      </c>
      <c r="AC761" s="39">
        <v>0</v>
      </c>
      <c r="AD761" s="39">
        <v>0</v>
      </c>
      <c r="AE761" s="39">
        <v>0</v>
      </c>
      <c r="AF761" s="39">
        <v>0</v>
      </c>
      <c r="AG761" s="39">
        <v>0</v>
      </c>
      <c r="AH761" s="39"/>
      <c r="AI761" s="39"/>
      <c r="AJ761" s="40"/>
      <c r="AK761" s="39">
        <f t="shared" si="60"/>
        <v>0</v>
      </c>
      <c r="AL761" s="39">
        <f t="shared" si="58"/>
        <v>11.25</v>
      </c>
      <c r="AM761" s="39">
        <f t="shared" si="59"/>
        <v>0</v>
      </c>
      <c r="AN761" s="39">
        <f t="shared" si="61"/>
        <v>13.5</v>
      </c>
      <c r="AO761" s="39">
        <f t="shared" si="62"/>
        <v>135</v>
      </c>
    </row>
    <row r="762" spans="1:41" x14ac:dyDescent="0.3">
      <c r="A762" s="20">
        <v>1000184670</v>
      </c>
      <c r="B762" s="4" t="s">
        <v>147</v>
      </c>
      <c r="C762" s="21"/>
      <c r="D762" s="3"/>
      <c r="E762" s="20">
        <v>1000184758</v>
      </c>
      <c r="F762" s="4" t="s">
        <v>55</v>
      </c>
      <c r="G762" s="21">
        <v>1000189785</v>
      </c>
      <c r="H762" s="3" t="s">
        <v>57</v>
      </c>
      <c r="I762" s="21">
        <v>1000189270</v>
      </c>
      <c r="J762" s="3" t="s">
        <v>34</v>
      </c>
      <c r="K762" s="20" t="s">
        <v>124</v>
      </c>
      <c r="L762" s="39">
        <v>0</v>
      </c>
      <c r="M762" s="39">
        <v>0</v>
      </c>
      <c r="N762" s="39">
        <v>0</v>
      </c>
      <c r="O762" s="39">
        <v>0</v>
      </c>
      <c r="P762" s="39">
        <v>0</v>
      </c>
      <c r="Q762" s="39">
        <v>0</v>
      </c>
      <c r="R762" s="39">
        <v>0</v>
      </c>
      <c r="S762" s="39">
        <v>0</v>
      </c>
      <c r="T762" s="39">
        <v>0</v>
      </c>
      <c r="U762" s="39">
        <v>0</v>
      </c>
      <c r="V762" s="39">
        <v>0</v>
      </c>
      <c r="W762" s="39">
        <v>0</v>
      </c>
      <c r="X762" s="39">
        <v>0</v>
      </c>
      <c r="Y762" s="39">
        <v>0</v>
      </c>
      <c r="Z762" s="39">
        <v>0</v>
      </c>
      <c r="AA762" s="39">
        <v>0</v>
      </c>
      <c r="AB762" s="39">
        <v>0</v>
      </c>
      <c r="AC762" s="39">
        <v>0</v>
      </c>
      <c r="AD762" s="39">
        <v>0</v>
      </c>
      <c r="AE762" s="39">
        <v>0</v>
      </c>
      <c r="AF762" s="39">
        <v>0</v>
      </c>
      <c r="AG762" s="39">
        <v>0</v>
      </c>
      <c r="AH762" s="39"/>
      <c r="AI762" s="39"/>
      <c r="AJ762" s="40"/>
      <c r="AK762" s="39">
        <f t="shared" si="60"/>
        <v>0</v>
      </c>
      <c r="AL762" s="39">
        <f t="shared" si="58"/>
        <v>0</v>
      </c>
      <c r="AM762" s="39">
        <f t="shared" si="59"/>
        <v>0</v>
      </c>
      <c r="AN762" s="39">
        <f t="shared" si="61"/>
        <v>0</v>
      </c>
      <c r="AO762" s="39">
        <f t="shared" si="62"/>
        <v>0</v>
      </c>
    </row>
    <row r="763" spans="1:41" x14ac:dyDescent="0.3">
      <c r="A763" s="20">
        <v>1000184670</v>
      </c>
      <c r="B763" s="4" t="s">
        <v>147</v>
      </c>
      <c r="C763" s="21"/>
      <c r="D763" s="3"/>
      <c r="E763" s="20">
        <v>1000184758</v>
      </c>
      <c r="F763" s="4" t="s">
        <v>55</v>
      </c>
      <c r="G763" s="21">
        <v>1000189785</v>
      </c>
      <c r="H763" s="3" t="s">
        <v>57</v>
      </c>
      <c r="I763" s="21">
        <v>1000189270</v>
      </c>
      <c r="J763" s="3" t="s">
        <v>34</v>
      </c>
      <c r="K763" s="20" t="s">
        <v>13</v>
      </c>
      <c r="L763" s="39">
        <v>0</v>
      </c>
      <c r="M763" s="39">
        <v>0</v>
      </c>
      <c r="N763" s="39">
        <v>0</v>
      </c>
      <c r="O763" s="39">
        <v>0</v>
      </c>
      <c r="P763" s="39">
        <v>0</v>
      </c>
      <c r="Q763" s="39">
        <v>0</v>
      </c>
      <c r="R763" s="39">
        <v>0</v>
      </c>
      <c r="S763" s="39">
        <v>0</v>
      </c>
      <c r="T763" s="39">
        <v>0</v>
      </c>
      <c r="U763" s="39">
        <v>0</v>
      </c>
      <c r="V763" s="39">
        <v>0</v>
      </c>
      <c r="W763" s="39">
        <v>0</v>
      </c>
      <c r="X763" s="39">
        <v>0</v>
      </c>
      <c r="Y763" s="39">
        <v>0</v>
      </c>
      <c r="Z763" s="39">
        <v>526.44000000000005</v>
      </c>
      <c r="AA763" s="39">
        <v>0</v>
      </c>
      <c r="AB763" s="39">
        <v>0</v>
      </c>
      <c r="AC763" s="39">
        <v>0</v>
      </c>
      <c r="AD763" s="39">
        <v>1692.6</v>
      </c>
      <c r="AE763" s="39">
        <v>601.79</v>
      </c>
      <c r="AF763" s="39">
        <v>0</v>
      </c>
      <c r="AG763" s="39">
        <v>0</v>
      </c>
      <c r="AH763" s="39"/>
      <c r="AI763" s="39"/>
      <c r="AJ763" s="40"/>
      <c r="AK763" s="39">
        <f t="shared" si="60"/>
        <v>0</v>
      </c>
      <c r="AL763" s="39">
        <f t="shared" si="58"/>
        <v>235.06916666666666</v>
      </c>
      <c r="AM763" s="39">
        <f t="shared" si="59"/>
        <v>382.39833333333331</v>
      </c>
      <c r="AN763" s="39">
        <f t="shared" si="61"/>
        <v>282.08299999999997</v>
      </c>
      <c r="AO763" s="39">
        <f t="shared" si="62"/>
        <v>2820.83</v>
      </c>
    </row>
    <row r="764" spans="1:41" x14ac:dyDescent="0.3">
      <c r="A764" s="20">
        <v>1000184670</v>
      </c>
      <c r="B764" s="4" t="s">
        <v>147</v>
      </c>
      <c r="C764" s="21"/>
      <c r="D764" s="3"/>
      <c r="E764" s="20">
        <v>1000184758</v>
      </c>
      <c r="F764" s="4" t="s">
        <v>55</v>
      </c>
      <c r="G764" s="21">
        <v>1000189785</v>
      </c>
      <c r="H764" s="3" t="s">
        <v>57</v>
      </c>
      <c r="I764" s="21">
        <v>1000189270</v>
      </c>
      <c r="J764" s="3" t="s">
        <v>34</v>
      </c>
      <c r="K764" s="20" t="s">
        <v>14</v>
      </c>
      <c r="L764" s="39">
        <v>0</v>
      </c>
      <c r="M764" s="39">
        <v>0</v>
      </c>
      <c r="N764" s="39">
        <v>0</v>
      </c>
      <c r="O764" s="39">
        <v>0</v>
      </c>
      <c r="P764" s="39">
        <v>0</v>
      </c>
      <c r="Q764" s="39">
        <v>0</v>
      </c>
      <c r="R764" s="39">
        <v>0</v>
      </c>
      <c r="S764" s="39">
        <v>0</v>
      </c>
      <c r="T764" s="39">
        <v>0</v>
      </c>
      <c r="U764" s="39">
        <v>0</v>
      </c>
      <c r="V764" s="39">
        <v>0</v>
      </c>
      <c r="W764" s="39">
        <v>0</v>
      </c>
      <c r="X764" s="39">
        <v>0</v>
      </c>
      <c r="Y764" s="39">
        <v>0</v>
      </c>
      <c r="Z764" s="39">
        <v>0</v>
      </c>
      <c r="AA764" s="39">
        <v>0</v>
      </c>
      <c r="AB764" s="39">
        <v>0</v>
      </c>
      <c r="AC764" s="39">
        <v>0</v>
      </c>
      <c r="AD764" s="39">
        <v>481.5</v>
      </c>
      <c r="AE764" s="39">
        <v>487.2</v>
      </c>
      <c r="AF764" s="39">
        <v>0</v>
      </c>
      <c r="AG764" s="39">
        <v>0</v>
      </c>
      <c r="AH764" s="39"/>
      <c r="AI764" s="39"/>
      <c r="AJ764" s="40"/>
      <c r="AK764" s="39">
        <f t="shared" si="60"/>
        <v>0</v>
      </c>
      <c r="AL764" s="39">
        <f t="shared" si="58"/>
        <v>80.725000000000009</v>
      </c>
      <c r="AM764" s="39">
        <f t="shared" si="59"/>
        <v>161.45000000000002</v>
      </c>
      <c r="AN764" s="39">
        <f t="shared" si="61"/>
        <v>96.87</v>
      </c>
      <c r="AO764" s="39">
        <f t="shared" si="62"/>
        <v>968.7</v>
      </c>
    </row>
    <row r="765" spans="1:41" x14ac:dyDescent="0.3">
      <c r="A765" s="20">
        <v>1000184670</v>
      </c>
      <c r="B765" s="4" t="s">
        <v>147</v>
      </c>
      <c r="C765" s="21"/>
      <c r="D765" s="3"/>
      <c r="E765" s="20">
        <v>1000184758</v>
      </c>
      <c r="F765" s="4" t="s">
        <v>55</v>
      </c>
      <c r="G765" s="21">
        <v>1000189785</v>
      </c>
      <c r="H765" s="3" t="s">
        <v>57</v>
      </c>
      <c r="I765" s="21">
        <v>1000189270</v>
      </c>
      <c r="J765" s="3" t="s">
        <v>34</v>
      </c>
      <c r="K765" s="20" t="s">
        <v>16</v>
      </c>
      <c r="L765" s="39">
        <v>0</v>
      </c>
      <c r="M765" s="39">
        <v>0</v>
      </c>
      <c r="N765" s="39">
        <v>0</v>
      </c>
      <c r="O765" s="39">
        <v>0</v>
      </c>
      <c r="P765" s="39">
        <v>0</v>
      </c>
      <c r="Q765" s="39">
        <v>0</v>
      </c>
      <c r="R765" s="39">
        <v>0</v>
      </c>
      <c r="S765" s="39">
        <v>0</v>
      </c>
      <c r="T765" s="39">
        <v>0</v>
      </c>
      <c r="U765" s="39">
        <v>0</v>
      </c>
      <c r="V765" s="39">
        <v>0</v>
      </c>
      <c r="W765" s="39">
        <v>0</v>
      </c>
      <c r="X765" s="39">
        <v>0</v>
      </c>
      <c r="Y765" s="39">
        <v>0</v>
      </c>
      <c r="Z765" s="39">
        <v>202.5</v>
      </c>
      <c r="AA765" s="39">
        <v>0</v>
      </c>
      <c r="AB765" s="39">
        <v>0</v>
      </c>
      <c r="AC765" s="39">
        <v>0</v>
      </c>
      <c r="AD765" s="39">
        <v>120.81</v>
      </c>
      <c r="AE765" s="39">
        <v>53.78</v>
      </c>
      <c r="AF765" s="39">
        <v>0</v>
      </c>
      <c r="AG765" s="39">
        <v>0</v>
      </c>
      <c r="AH765" s="39"/>
      <c r="AI765" s="39"/>
      <c r="AJ765" s="40"/>
      <c r="AK765" s="39">
        <f t="shared" si="60"/>
        <v>0</v>
      </c>
      <c r="AL765" s="39">
        <f t="shared" si="58"/>
        <v>31.424166666666668</v>
      </c>
      <c r="AM765" s="39">
        <f t="shared" si="59"/>
        <v>29.098333333333333</v>
      </c>
      <c r="AN765" s="39">
        <f t="shared" si="61"/>
        <v>37.709000000000003</v>
      </c>
      <c r="AO765" s="39">
        <f t="shared" si="62"/>
        <v>377.09000000000003</v>
      </c>
    </row>
    <row r="766" spans="1:41" x14ac:dyDescent="0.3">
      <c r="A766" s="20">
        <v>1000184670</v>
      </c>
      <c r="B766" s="4" t="s">
        <v>147</v>
      </c>
      <c r="C766" s="21"/>
      <c r="D766" s="3"/>
      <c r="E766" s="20">
        <v>1000184758</v>
      </c>
      <c r="F766" s="4" t="s">
        <v>55</v>
      </c>
      <c r="G766" s="21">
        <v>1000189785</v>
      </c>
      <c r="H766" s="3" t="s">
        <v>57</v>
      </c>
      <c r="I766" s="21">
        <v>1000189270</v>
      </c>
      <c r="J766" s="3" t="s">
        <v>34</v>
      </c>
      <c r="K766" s="20" t="s">
        <v>15</v>
      </c>
      <c r="L766" s="39">
        <v>0</v>
      </c>
      <c r="M766" s="39">
        <v>0</v>
      </c>
      <c r="N766" s="39">
        <v>0</v>
      </c>
      <c r="O766" s="39">
        <v>0</v>
      </c>
      <c r="P766" s="39">
        <v>0</v>
      </c>
      <c r="Q766" s="39">
        <v>0</v>
      </c>
      <c r="R766" s="39">
        <v>0</v>
      </c>
      <c r="S766" s="39">
        <v>0</v>
      </c>
      <c r="T766" s="39">
        <v>0</v>
      </c>
      <c r="U766" s="39">
        <v>0</v>
      </c>
      <c r="V766" s="39">
        <v>0</v>
      </c>
      <c r="W766" s="39">
        <v>0</v>
      </c>
      <c r="X766" s="39">
        <v>0</v>
      </c>
      <c r="Y766" s="39">
        <v>0</v>
      </c>
      <c r="Z766" s="39">
        <v>330.9</v>
      </c>
      <c r="AA766" s="39">
        <v>0</v>
      </c>
      <c r="AB766" s="39">
        <v>0</v>
      </c>
      <c r="AC766" s="39">
        <v>0</v>
      </c>
      <c r="AD766" s="39">
        <v>1674.69</v>
      </c>
      <c r="AE766" s="39">
        <v>928.6</v>
      </c>
      <c r="AF766" s="39">
        <v>0</v>
      </c>
      <c r="AG766" s="39">
        <v>0</v>
      </c>
      <c r="AH766" s="39"/>
      <c r="AI766" s="39"/>
      <c r="AJ766" s="40"/>
      <c r="AK766" s="39">
        <f t="shared" si="60"/>
        <v>0</v>
      </c>
      <c r="AL766" s="39">
        <f t="shared" si="58"/>
        <v>244.51583333333335</v>
      </c>
      <c r="AM766" s="39">
        <f t="shared" si="59"/>
        <v>433.88166666666666</v>
      </c>
      <c r="AN766" s="39">
        <f t="shared" si="61"/>
        <v>293.41899999999998</v>
      </c>
      <c r="AO766" s="39">
        <f t="shared" si="62"/>
        <v>2934.19</v>
      </c>
    </row>
    <row r="767" spans="1:41" x14ac:dyDescent="0.3">
      <c r="A767" s="20">
        <v>1000184670</v>
      </c>
      <c r="B767" s="4" t="s">
        <v>147</v>
      </c>
      <c r="C767" s="21"/>
      <c r="D767" s="3"/>
      <c r="E767" s="20">
        <v>1000184758</v>
      </c>
      <c r="F767" s="4" t="s">
        <v>55</v>
      </c>
      <c r="G767" s="21">
        <v>1000189785</v>
      </c>
      <c r="H767" s="3" t="s">
        <v>57</v>
      </c>
      <c r="I767" s="21">
        <v>1000189270</v>
      </c>
      <c r="J767" s="3" t="s">
        <v>34</v>
      </c>
      <c r="K767" s="20" t="s">
        <v>33</v>
      </c>
      <c r="L767" s="39">
        <v>0</v>
      </c>
      <c r="M767" s="39">
        <v>0</v>
      </c>
      <c r="N767" s="39">
        <v>0</v>
      </c>
      <c r="O767" s="39">
        <v>0</v>
      </c>
      <c r="P767" s="39">
        <v>0</v>
      </c>
      <c r="Q767" s="39">
        <v>0</v>
      </c>
      <c r="R767" s="39">
        <v>0</v>
      </c>
      <c r="S767" s="39">
        <v>0</v>
      </c>
      <c r="T767" s="39">
        <v>0</v>
      </c>
      <c r="U767" s="39">
        <v>0</v>
      </c>
      <c r="V767" s="39">
        <v>0</v>
      </c>
      <c r="W767" s="39">
        <v>0</v>
      </c>
      <c r="X767" s="39">
        <v>0</v>
      </c>
      <c r="Y767" s="39">
        <v>0</v>
      </c>
      <c r="Z767" s="39">
        <v>248.01</v>
      </c>
      <c r="AA767" s="39">
        <v>0</v>
      </c>
      <c r="AB767" s="39">
        <v>0</v>
      </c>
      <c r="AC767" s="39">
        <v>0</v>
      </c>
      <c r="AD767" s="39">
        <v>0</v>
      </c>
      <c r="AE767" s="39">
        <v>0</v>
      </c>
      <c r="AF767" s="39">
        <v>0</v>
      </c>
      <c r="AG767" s="39">
        <v>0</v>
      </c>
      <c r="AH767" s="39"/>
      <c r="AI767" s="39"/>
      <c r="AJ767" s="40"/>
      <c r="AK767" s="39">
        <f t="shared" si="60"/>
        <v>0</v>
      </c>
      <c r="AL767" s="39">
        <f t="shared" si="58"/>
        <v>20.6675</v>
      </c>
      <c r="AM767" s="39">
        <f t="shared" si="59"/>
        <v>0</v>
      </c>
      <c r="AN767" s="39">
        <f t="shared" si="61"/>
        <v>24.800999999999998</v>
      </c>
      <c r="AO767" s="39">
        <f t="shared" si="62"/>
        <v>248.01</v>
      </c>
    </row>
    <row r="768" spans="1:41" x14ac:dyDescent="0.3">
      <c r="A768" s="20">
        <v>1000184670</v>
      </c>
      <c r="B768" s="4" t="s">
        <v>147</v>
      </c>
      <c r="C768" s="21"/>
      <c r="D768" s="3"/>
      <c r="E768" s="20">
        <v>1000184758</v>
      </c>
      <c r="F768" s="4" t="s">
        <v>55</v>
      </c>
      <c r="G768" s="21">
        <v>1000189785</v>
      </c>
      <c r="H768" s="3" t="s">
        <v>57</v>
      </c>
      <c r="I768" s="21">
        <v>1000189270</v>
      </c>
      <c r="J768" s="3" t="s">
        <v>34</v>
      </c>
      <c r="K768" s="20" t="s">
        <v>19</v>
      </c>
      <c r="L768" s="39">
        <v>0</v>
      </c>
      <c r="M768" s="39">
        <v>0</v>
      </c>
      <c r="N768" s="39">
        <v>0</v>
      </c>
      <c r="O768" s="39">
        <v>0</v>
      </c>
      <c r="P768" s="39">
        <v>0</v>
      </c>
      <c r="Q768" s="39">
        <v>0</v>
      </c>
      <c r="R768" s="39">
        <v>0</v>
      </c>
      <c r="S768" s="39">
        <v>0</v>
      </c>
      <c r="T768" s="39">
        <v>0</v>
      </c>
      <c r="U768" s="39">
        <v>0</v>
      </c>
      <c r="V768" s="39">
        <v>0</v>
      </c>
      <c r="W768" s="39">
        <v>0</v>
      </c>
      <c r="X768" s="39">
        <v>0</v>
      </c>
      <c r="Y768" s="39">
        <v>0</v>
      </c>
      <c r="Z768" s="39">
        <v>0</v>
      </c>
      <c r="AA768" s="39">
        <v>0</v>
      </c>
      <c r="AB768" s="39">
        <v>0</v>
      </c>
      <c r="AC768" s="39">
        <v>0</v>
      </c>
      <c r="AD768" s="39">
        <v>0</v>
      </c>
      <c r="AE768" s="39">
        <v>81</v>
      </c>
      <c r="AF768" s="39">
        <v>0</v>
      </c>
      <c r="AG768" s="39">
        <v>0</v>
      </c>
      <c r="AH768" s="39"/>
      <c r="AI768" s="39"/>
      <c r="AJ768" s="40"/>
      <c r="AK768" s="39">
        <f t="shared" si="60"/>
        <v>0</v>
      </c>
      <c r="AL768" s="39">
        <f t="shared" si="58"/>
        <v>6.75</v>
      </c>
      <c r="AM768" s="39">
        <f t="shared" si="59"/>
        <v>13.5</v>
      </c>
      <c r="AN768" s="39">
        <f t="shared" si="61"/>
        <v>8.1</v>
      </c>
      <c r="AO768" s="39">
        <f t="shared" si="62"/>
        <v>81</v>
      </c>
    </row>
    <row r="769" spans="1:41" x14ac:dyDescent="0.3">
      <c r="A769" s="20">
        <v>1000184670</v>
      </c>
      <c r="B769" s="4" t="s">
        <v>147</v>
      </c>
      <c r="C769" s="21"/>
      <c r="D769" s="3"/>
      <c r="E769" s="20">
        <v>1000184758</v>
      </c>
      <c r="F769" s="4" t="s">
        <v>55</v>
      </c>
      <c r="G769" s="21">
        <v>1000189785</v>
      </c>
      <c r="H769" s="3" t="s">
        <v>57</v>
      </c>
      <c r="I769" s="21">
        <v>1000189270</v>
      </c>
      <c r="J769" s="3" t="s">
        <v>34</v>
      </c>
      <c r="K769" s="20" t="s">
        <v>17</v>
      </c>
      <c r="L769" s="39">
        <v>0</v>
      </c>
      <c r="M769" s="39">
        <v>0</v>
      </c>
      <c r="N769" s="39">
        <v>0</v>
      </c>
      <c r="O769" s="39">
        <v>0</v>
      </c>
      <c r="P769" s="39">
        <v>0</v>
      </c>
      <c r="Q769" s="39">
        <v>0</v>
      </c>
      <c r="R769" s="39">
        <v>0</v>
      </c>
      <c r="S769" s="39">
        <v>0</v>
      </c>
      <c r="T769" s="39">
        <v>0</v>
      </c>
      <c r="U769" s="39">
        <v>0</v>
      </c>
      <c r="V769" s="39">
        <v>0</v>
      </c>
      <c r="W769" s="39">
        <v>0</v>
      </c>
      <c r="X769" s="39">
        <v>0</v>
      </c>
      <c r="Y769" s="39">
        <v>0</v>
      </c>
      <c r="Z769" s="39">
        <v>0</v>
      </c>
      <c r="AA769" s="39">
        <v>0</v>
      </c>
      <c r="AB769" s="39">
        <v>0</v>
      </c>
      <c r="AC769" s="39">
        <v>0</v>
      </c>
      <c r="AD769" s="39">
        <v>0</v>
      </c>
      <c r="AE769" s="39">
        <v>0</v>
      </c>
      <c r="AF769" s="39">
        <v>0</v>
      </c>
      <c r="AG769" s="39">
        <v>0</v>
      </c>
      <c r="AH769" s="39"/>
      <c r="AI769" s="39"/>
      <c r="AJ769" s="40"/>
      <c r="AK769" s="39">
        <f t="shared" si="60"/>
        <v>0</v>
      </c>
      <c r="AL769" s="39">
        <f t="shared" si="58"/>
        <v>0</v>
      </c>
      <c r="AM769" s="39">
        <f t="shared" si="59"/>
        <v>0</v>
      </c>
      <c r="AN769" s="39">
        <f t="shared" si="61"/>
        <v>0</v>
      </c>
      <c r="AO769" s="39">
        <f t="shared" si="62"/>
        <v>0</v>
      </c>
    </row>
    <row r="770" spans="1:41" x14ac:dyDescent="0.3">
      <c r="A770" s="20">
        <v>1000184670</v>
      </c>
      <c r="B770" s="4" t="s">
        <v>147</v>
      </c>
      <c r="C770" s="21"/>
      <c r="D770" s="3"/>
      <c r="E770" s="20">
        <v>1000184758</v>
      </c>
      <c r="F770" s="4" t="s">
        <v>55</v>
      </c>
      <c r="G770" s="21">
        <v>1000189785</v>
      </c>
      <c r="H770" s="3" t="s">
        <v>57</v>
      </c>
      <c r="I770" s="21">
        <v>1000189270</v>
      </c>
      <c r="J770" s="3" t="s">
        <v>34</v>
      </c>
      <c r="K770" s="20" t="s">
        <v>24</v>
      </c>
      <c r="L770" s="39">
        <v>0</v>
      </c>
      <c r="M770" s="39">
        <v>0</v>
      </c>
      <c r="N770" s="39">
        <v>0</v>
      </c>
      <c r="O770" s="39">
        <v>0</v>
      </c>
      <c r="P770" s="39">
        <v>0</v>
      </c>
      <c r="Q770" s="39">
        <v>0</v>
      </c>
      <c r="R770" s="39">
        <v>0</v>
      </c>
      <c r="S770" s="39">
        <v>0</v>
      </c>
      <c r="T770" s="39">
        <v>0</v>
      </c>
      <c r="U770" s="39">
        <v>0</v>
      </c>
      <c r="V770" s="39">
        <v>0</v>
      </c>
      <c r="W770" s="39">
        <v>0</v>
      </c>
      <c r="X770" s="39">
        <v>0</v>
      </c>
      <c r="Y770" s="39">
        <v>0</v>
      </c>
      <c r="Z770" s="39">
        <v>226.2</v>
      </c>
      <c r="AA770" s="39">
        <v>0</v>
      </c>
      <c r="AB770" s="39">
        <v>0</v>
      </c>
      <c r="AC770" s="39">
        <v>0</v>
      </c>
      <c r="AD770" s="39">
        <v>440.43</v>
      </c>
      <c r="AE770" s="39">
        <v>0</v>
      </c>
      <c r="AF770" s="39">
        <v>0</v>
      </c>
      <c r="AG770" s="39">
        <v>0</v>
      </c>
      <c r="AH770" s="39"/>
      <c r="AI770" s="39"/>
      <c r="AJ770" s="40"/>
      <c r="AK770" s="39">
        <f t="shared" si="60"/>
        <v>0</v>
      </c>
      <c r="AL770" s="39">
        <f t="shared" si="58"/>
        <v>55.552500000000002</v>
      </c>
      <c r="AM770" s="39">
        <f t="shared" si="59"/>
        <v>73.405000000000001</v>
      </c>
      <c r="AN770" s="39">
        <f t="shared" si="61"/>
        <v>66.662999999999997</v>
      </c>
      <c r="AO770" s="39">
        <f t="shared" si="62"/>
        <v>666.63</v>
      </c>
    </row>
    <row r="771" spans="1:41" x14ac:dyDescent="0.3">
      <c r="A771" s="20">
        <v>1000184670</v>
      </c>
      <c r="B771" s="4" t="s">
        <v>147</v>
      </c>
      <c r="C771" s="21"/>
      <c r="D771" s="3"/>
      <c r="E771" s="20">
        <v>1000184758</v>
      </c>
      <c r="F771" s="4" t="s">
        <v>55</v>
      </c>
      <c r="G771" s="21">
        <v>1000189785</v>
      </c>
      <c r="H771" s="3" t="s">
        <v>57</v>
      </c>
      <c r="I771" s="21">
        <v>1000189270</v>
      </c>
      <c r="J771" s="3" t="s">
        <v>34</v>
      </c>
      <c r="K771" s="20" t="s">
        <v>18</v>
      </c>
      <c r="L771" s="39">
        <v>0</v>
      </c>
      <c r="M771" s="39">
        <v>0</v>
      </c>
      <c r="N771" s="39">
        <v>0</v>
      </c>
      <c r="O771" s="39">
        <v>0</v>
      </c>
      <c r="P771" s="39">
        <v>0</v>
      </c>
      <c r="Q771" s="39">
        <v>0</v>
      </c>
      <c r="R771" s="39">
        <v>0</v>
      </c>
      <c r="S771" s="39">
        <v>0</v>
      </c>
      <c r="T771" s="39">
        <v>0</v>
      </c>
      <c r="U771" s="39">
        <v>0</v>
      </c>
      <c r="V771" s="39">
        <v>0</v>
      </c>
      <c r="W771" s="39">
        <v>0</v>
      </c>
      <c r="X771" s="39">
        <v>0</v>
      </c>
      <c r="Y771" s="39">
        <v>0</v>
      </c>
      <c r="Z771" s="39">
        <v>155.19999999999999</v>
      </c>
      <c r="AA771" s="39">
        <v>0</v>
      </c>
      <c r="AB771" s="39">
        <v>0</v>
      </c>
      <c r="AC771" s="39">
        <v>0</v>
      </c>
      <c r="AD771" s="39">
        <v>344.93</v>
      </c>
      <c r="AE771" s="39">
        <v>32.99</v>
      </c>
      <c r="AF771" s="39">
        <v>0</v>
      </c>
      <c r="AG771" s="39">
        <v>0</v>
      </c>
      <c r="AH771" s="39"/>
      <c r="AI771" s="39"/>
      <c r="AJ771" s="40"/>
      <c r="AK771" s="39">
        <f t="shared" si="60"/>
        <v>0</v>
      </c>
      <c r="AL771" s="39">
        <f t="shared" ref="AL771:AL834" si="63">AVERAGE(V771:AG771)</f>
        <v>44.426666666666669</v>
      </c>
      <c r="AM771" s="39">
        <f t="shared" ref="AM771:AM834" si="64">AVERAGE(AB771:AG771)</f>
        <v>62.986666666666672</v>
      </c>
      <c r="AN771" s="39">
        <f t="shared" si="61"/>
        <v>53.311999999999998</v>
      </c>
      <c r="AO771" s="39">
        <f t="shared" si="62"/>
        <v>533.12</v>
      </c>
    </row>
    <row r="772" spans="1:41" x14ac:dyDescent="0.3">
      <c r="A772" s="20">
        <v>1000184670</v>
      </c>
      <c r="B772" s="4" t="s">
        <v>147</v>
      </c>
      <c r="C772" s="21"/>
      <c r="D772" s="3"/>
      <c r="E772" s="20">
        <v>1000184758</v>
      </c>
      <c r="F772" s="4" t="s">
        <v>55</v>
      </c>
      <c r="G772" s="21">
        <v>1000189785</v>
      </c>
      <c r="H772" s="3" t="s">
        <v>57</v>
      </c>
      <c r="I772" s="21">
        <v>1000189270</v>
      </c>
      <c r="J772" s="3" t="s">
        <v>34</v>
      </c>
      <c r="K772" s="20" t="s">
        <v>29</v>
      </c>
      <c r="L772" s="39">
        <v>0</v>
      </c>
      <c r="M772" s="39">
        <v>0</v>
      </c>
      <c r="N772" s="39">
        <v>0</v>
      </c>
      <c r="O772" s="39">
        <v>0</v>
      </c>
      <c r="P772" s="39">
        <v>0</v>
      </c>
      <c r="Q772" s="39">
        <v>0</v>
      </c>
      <c r="R772" s="39">
        <v>0</v>
      </c>
      <c r="S772" s="39">
        <v>0</v>
      </c>
      <c r="T772" s="39">
        <v>0</v>
      </c>
      <c r="U772" s="39">
        <v>0</v>
      </c>
      <c r="V772" s="39">
        <v>0</v>
      </c>
      <c r="W772" s="39">
        <v>0</v>
      </c>
      <c r="X772" s="39">
        <v>0</v>
      </c>
      <c r="Y772" s="39">
        <v>0</v>
      </c>
      <c r="Z772" s="39">
        <v>2283.31</v>
      </c>
      <c r="AA772" s="39">
        <v>0</v>
      </c>
      <c r="AB772" s="39">
        <v>0</v>
      </c>
      <c r="AC772" s="39">
        <v>0</v>
      </c>
      <c r="AD772" s="39">
        <v>1995</v>
      </c>
      <c r="AE772" s="39">
        <v>0</v>
      </c>
      <c r="AF772" s="39">
        <v>0</v>
      </c>
      <c r="AG772" s="39">
        <v>0</v>
      </c>
      <c r="AH772" s="39"/>
      <c r="AI772" s="39"/>
      <c r="AJ772" s="40"/>
      <c r="AK772" s="39">
        <f t="shared" si="60"/>
        <v>0</v>
      </c>
      <c r="AL772" s="39">
        <f t="shared" si="63"/>
        <v>356.52583333333331</v>
      </c>
      <c r="AM772" s="39">
        <f t="shared" si="64"/>
        <v>332.5</v>
      </c>
      <c r="AN772" s="39">
        <f t="shared" si="61"/>
        <v>427.83099999999996</v>
      </c>
      <c r="AO772" s="39">
        <f t="shared" si="62"/>
        <v>4278.3099999999995</v>
      </c>
    </row>
    <row r="773" spans="1:41" x14ac:dyDescent="0.3">
      <c r="A773" s="20">
        <v>1000184670</v>
      </c>
      <c r="B773" s="4" t="s">
        <v>147</v>
      </c>
      <c r="C773" s="21"/>
      <c r="D773" s="3"/>
      <c r="E773" s="20">
        <v>1000184758</v>
      </c>
      <c r="F773" s="4" t="s">
        <v>55</v>
      </c>
      <c r="G773" s="21">
        <v>1000189785</v>
      </c>
      <c r="H773" s="3" t="s">
        <v>57</v>
      </c>
      <c r="I773" s="21">
        <v>1000189270</v>
      </c>
      <c r="J773" s="3" t="s">
        <v>34</v>
      </c>
      <c r="K773" s="20" t="s">
        <v>21</v>
      </c>
      <c r="L773" s="39">
        <v>0</v>
      </c>
      <c r="M773" s="39">
        <v>0</v>
      </c>
      <c r="N773" s="39">
        <v>0</v>
      </c>
      <c r="O773" s="39">
        <v>0</v>
      </c>
      <c r="P773" s="39">
        <v>0</v>
      </c>
      <c r="Q773" s="39">
        <v>0</v>
      </c>
      <c r="R773" s="39">
        <v>0</v>
      </c>
      <c r="S773" s="39">
        <v>0</v>
      </c>
      <c r="T773" s="39">
        <v>0</v>
      </c>
      <c r="U773" s="39">
        <v>0</v>
      </c>
      <c r="V773" s="39">
        <v>0</v>
      </c>
      <c r="W773" s="39">
        <v>0</v>
      </c>
      <c r="X773" s="39">
        <v>0</v>
      </c>
      <c r="Y773" s="39">
        <v>0</v>
      </c>
      <c r="Z773" s="39">
        <v>135.36000000000001</v>
      </c>
      <c r="AA773" s="39">
        <v>0</v>
      </c>
      <c r="AB773" s="39">
        <v>0</v>
      </c>
      <c r="AC773" s="39">
        <v>0</v>
      </c>
      <c r="AD773" s="39">
        <v>0</v>
      </c>
      <c r="AE773" s="39">
        <v>240.9</v>
      </c>
      <c r="AF773" s="39">
        <v>0</v>
      </c>
      <c r="AG773" s="39">
        <v>0</v>
      </c>
      <c r="AH773" s="39"/>
      <c r="AI773" s="39"/>
      <c r="AJ773" s="40"/>
      <c r="AK773" s="39">
        <f t="shared" si="60"/>
        <v>0</v>
      </c>
      <c r="AL773" s="39">
        <f t="shared" si="63"/>
        <v>31.355</v>
      </c>
      <c r="AM773" s="39">
        <f t="shared" si="64"/>
        <v>40.15</v>
      </c>
      <c r="AN773" s="39">
        <f t="shared" si="61"/>
        <v>37.625999999999998</v>
      </c>
      <c r="AO773" s="39">
        <f t="shared" si="62"/>
        <v>376.26</v>
      </c>
    </row>
    <row r="774" spans="1:41" x14ac:dyDescent="0.3">
      <c r="A774" s="20">
        <v>1000184670</v>
      </c>
      <c r="B774" s="4" t="s">
        <v>147</v>
      </c>
      <c r="C774" s="21"/>
      <c r="D774" s="3"/>
      <c r="E774" s="20">
        <v>1000184758</v>
      </c>
      <c r="F774" s="4" t="s">
        <v>55</v>
      </c>
      <c r="G774" s="21">
        <v>1000189785</v>
      </c>
      <c r="H774" s="3" t="s">
        <v>57</v>
      </c>
      <c r="I774" s="21">
        <v>1000189270</v>
      </c>
      <c r="J774" s="3" t="s">
        <v>34</v>
      </c>
      <c r="K774" s="20" t="s">
        <v>20</v>
      </c>
      <c r="L774" s="39">
        <v>0</v>
      </c>
      <c r="M774" s="39">
        <v>0</v>
      </c>
      <c r="N774" s="39">
        <v>0</v>
      </c>
      <c r="O774" s="39">
        <v>0</v>
      </c>
      <c r="P774" s="39">
        <v>0</v>
      </c>
      <c r="Q774" s="39">
        <v>0</v>
      </c>
      <c r="R774" s="39">
        <v>0</v>
      </c>
      <c r="S774" s="39">
        <v>0</v>
      </c>
      <c r="T774" s="39">
        <v>0</v>
      </c>
      <c r="U774" s="39">
        <v>0</v>
      </c>
      <c r="V774" s="39">
        <v>0</v>
      </c>
      <c r="W774" s="39">
        <v>0</v>
      </c>
      <c r="X774" s="39">
        <v>0</v>
      </c>
      <c r="Y774" s="39">
        <v>0</v>
      </c>
      <c r="Z774" s="39">
        <v>85.32</v>
      </c>
      <c r="AA774" s="39">
        <v>0</v>
      </c>
      <c r="AB774" s="39">
        <v>0</v>
      </c>
      <c r="AC774" s="39">
        <v>0</v>
      </c>
      <c r="AD774" s="39">
        <v>0</v>
      </c>
      <c r="AE774" s="39">
        <v>130.44999999999999</v>
      </c>
      <c r="AF774" s="39">
        <v>0</v>
      </c>
      <c r="AG774" s="39">
        <v>0</v>
      </c>
      <c r="AH774" s="39"/>
      <c r="AI774" s="39"/>
      <c r="AJ774" s="40"/>
      <c r="AK774" s="39">
        <f t="shared" si="60"/>
        <v>0</v>
      </c>
      <c r="AL774" s="39">
        <f t="shared" si="63"/>
        <v>17.980833333333333</v>
      </c>
      <c r="AM774" s="39">
        <f t="shared" si="64"/>
        <v>21.741666666666664</v>
      </c>
      <c r="AN774" s="39">
        <f t="shared" si="61"/>
        <v>21.576999999999998</v>
      </c>
      <c r="AO774" s="39">
        <f t="shared" si="62"/>
        <v>215.76999999999998</v>
      </c>
    </row>
    <row r="775" spans="1:41" x14ac:dyDescent="0.3">
      <c r="A775" s="20">
        <v>1000184670</v>
      </c>
      <c r="B775" s="4" t="s">
        <v>147</v>
      </c>
      <c r="C775" s="21"/>
      <c r="D775" s="3"/>
      <c r="E775" s="20">
        <v>1000184758</v>
      </c>
      <c r="F775" s="4" t="s">
        <v>55</v>
      </c>
      <c r="G775" s="21">
        <v>1000189785</v>
      </c>
      <c r="H775" s="3" t="s">
        <v>57</v>
      </c>
      <c r="I775" s="21">
        <v>1000189270</v>
      </c>
      <c r="J775" s="3" t="s">
        <v>34</v>
      </c>
      <c r="K775" s="20" t="s">
        <v>22</v>
      </c>
      <c r="L775" s="39">
        <v>0</v>
      </c>
      <c r="M775" s="39">
        <v>0</v>
      </c>
      <c r="N775" s="39">
        <v>0</v>
      </c>
      <c r="O775" s="39">
        <v>0</v>
      </c>
      <c r="P775" s="39">
        <v>0</v>
      </c>
      <c r="Q775" s="39">
        <v>0</v>
      </c>
      <c r="R775" s="39">
        <v>0</v>
      </c>
      <c r="S775" s="39">
        <v>0</v>
      </c>
      <c r="T775" s="39">
        <v>0</v>
      </c>
      <c r="U775" s="39">
        <v>0</v>
      </c>
      <c r="V775" s="39">
        <v>0</v>
      </c>
      <c r="W775" s="39">
        <v>0</v>
      </c>
      <c r="X775" s="39">
        <v>0</v>
      </c>
      <c r="Y775" s="39">
        <v>0</v>
      </c>
      <c r="Z775" s="39">
        <v>328.12</v>
      </c>
      <c r="AA775" s="39">
        <v>0</v>
      </c>
      <c r="AB775" s="39">
        <v>0</v>
      </c>
      <c r="AC775" s="39">
        <v>0</v>
      </c>
      <c r="AD775" s="39">
        <v>63.94</v>
      </c>
      <c r="AE775" s="39">
        <v>207.2</v>
      </c>
      <c r="AF775" s="39">
        <v>0</v>
      </c>
      <c r="AG775" s="39">
        <v>0</v>
      </c>
      <c r="AH775" s="39"/>
      <c r="AI775" s="39"/>
      <c r="AJ775" s="40"/>
      <c r="AK775" s="39">
        <f t="shared" si="60"/>
        <v>0</v>
      </c>
      <c r="AL775" s="39">
        <f t="shared" si="63"/>
        <v>49.938333333333333</v>
      </c>
      <c r="AM775" s="39">
        <f t="shared" si="64"/>
        <v>45.19</v>
      </c>
      <c r="AN775" s="39">
        <f t="shared" si="61"/>
        <v>59.926000000000002</v>
      </c>
      <c r="AO775" s="39">
        <f t="shared" si="62"/>
        <v>599.26</v>
      </c>
    </row>
    <row r="776" spans="1:41" x14ac:dyDescent="0.3">
      <c r="A776" s="20">
        <v>1000184670</v>
      </c>
      <c r="B776" s="4" t="s">
        <v>147</v>
      </c>
      <c r="C776" s="21"/>
      <c r="D776" s="3"/>
      <c r="E776" s="20">
        <v>1000184758</v>
      </c>
      <c r="F776" s="4" t="s">
        <v>55</v>
      </c>
      <c r="G776" s="21">
        <v>1000189785</v>
      </c>
      <c r="H776" s="3" t="s">
        <v>57</v>
      </c>
      <c r="I776" s="21">
        <v>1000189270</v>
      </c>
      <c r="J776" s="3" t="s">
        <v>34</v>
      </c>
      <c r="K776" s="20" t="s">
        <v>23</v>
      </c>
      <c r="L776" s="39">
        <v>0</v>
      </c>
      <c r="M776" s="39">
        <v>0</v>
      </c>
      <c r="N776" s="39">
        <v>0</v>
      </c>
      <c r="O776" s="39">
        <v>0</v>
      </c>
      <c r="P776" s="39">
        <v>0</v>
      </c>
      <c r="Q776" s="39">
        <v>0</v>
      </c>
      <c r="R776" s="39">
        <v>0</v>
      </c>
      <c r="S776" s="39">
        <v>0</v>
      </c>
      <c r="T776" s="39">
        <v>0</v>
      </c>
      <c r="U776" s="39">
        <v>0</v>
      </c>
      <c r="V776" s="39">
        <v>0</v>
      </c>
      <c r="W776" s="39">
        <v>0</v>
      </c>
      <c r="X776" s="39">
        <v>0</v>
      </c>
      <c r="Y776" s="39">
        <v>0</v>
      </c>
      <c r="Z776" s="39">
        <v>0</v>
      </c>
      <c r="AA776" s="39">
        <v>0</v>
      </c>
      <c r="AB776" s="39">
        <v>0</v>
      </c>
      <c r="AC776" s="39">
        <v>0</v>
      </c>
      <c r="AD776" s="39">
        <v>0</v>
      </c>
      <c r="AE776" s="39">
        <v>0</v>
      </c>
      <c r="AF776" s="39">
        <v>0</v>
      </c>
      <c r="AG776" s="39">
        <v>0</v>
      </c>
      <c r="AH776" s="39"/>
      <c r="AI776" s="39"/>
      <c r="AJ776" s="40"/>
      <c r="AK776" s="39">
        <f t="shared" si="60"/>
        <v>0</v>
      </c>
      <c r="AL776" s="39">
        <f t="shared" si="63"/>
        <v>0</v>
      </c>
      <c r="AM776" s="39">
        <f t="shared" si="64"/>
        <v>0</v>
      </c>
      <c r="AN776" s="39">
        <f t="shared" si="61"/>
        <v>0</v>
      </c>
      <c r="AO776" s="39">
        <f t="shared" si="62"/>
        <v>0</v>
      </c>
    </row>
    <row r="777" spans="1:41" x14ac:dyDescent="0.3">
      <c r="A777" s="20">
        <v>1000184670</v>
      </c>
      <c r="B777" s="4" t="s">
        <v>147</v>
      </c>
      <c r="C777" s="21"/>
      <c r="D777" s="3"/>
      <c r="E777" s="20">
        <v>1000184758</v>
      </c>
      <c r="F777" s="4" t="s">
        <v>55</v>
      </c>
      <c r="G777" s="21">
        <v>1000189785</v>
      </c>
      <c r="H777" s="3" t="s">
        <v>57</v>
      </c>
      <c r="I777" s="21">
        <v>1000189270</v>
      </c>
      <c r="J777" s="3" t="s">
        <v>34</v>
      </c>
      <c r="K777" s="20" t="s">
        <v>28</v>
      </c>
      <c r="L777" s="39">
        <v>0</v>
      </c>
      <c r="M777" s="39">
        <v>0</v>
      </c>
      <c r="N777" s="39">
        <v>0</v>
      </c>
      <c r="O777" s="39">
        <v>0</v>
      </c>
      <c r="P777" s="39">
        <v>0</v>
      </c>
      <c r="Q777" s="39">
        <v>0</v>
      </c>
      <c r="R777" s="39">
        <v>0</v>
      </c>
      <c r="S777" s="39">
        <v>0</v>
      </c>
      <c r="T777" s="39">
        <v>0</v>
      </c>
      <c r="U777" s="39">
        <v>0</v>
      </c>
      <c r="V777" s="39">
        <v>0</v>
      </c>
      <c r="W777" s="39">
        <v>0</v>
      </c>
      <c r="X777" s="39">
        <v>0</v>
      </c>
      <c r="Y777" s="39">
        <v>0</v>
      </c>
      <c r="Z777" s="39">
        <v>32.64</v>
      </c>
      <c r="AA777" s="39">
        <v>0</v>
      </c>
      <c r="AB777" s="39">
        <v>0</v>
      </c>
      <c r="AC777" s="39">
        <v>0</v>
      </c>
      <c r="AD777" s="39">
        <v>0</v>
      </c>
      <c r="AE777" s="39">
        <v>0</v>
      </c>
      <c r="AF777" s="39">
        <v>0</v>
      </c>
      <c r="AG777" s="39">
        <v>0</v>
      </c>
      <c r="AH777" s="39"/>
      <c r="AI777" s="39"/>
      <c r="AJ777" s="40"/>
      <c r="AK777" s="39">
        <f t="shared" si="60"/>
        <v>0</v>
      </c>
      <c r="AL777" s="39">
        <f t="shared" si="63"/>
        <v>2.72</v>
      </c>
      <c r="AM777" s="39">
        <f t="shared" si="64"/>
        <v>0</v>
      </c>
      <c r="AN777" s="39">
        <f t="shared" si="61"/>
        <v>3.2640000000000002</v>
      </c>
      <c r="AO777" s="39">
        <f t="shared" si="62"/>
        <v>32.64</v>
      </c>
    </row>
    <row r="778" spans="1:41" x14ac:dyDescent="0.3">
      <c r="A778" s="20">
        <v>1000184670</v>
      </c>
      <c r="B778" s="4" t="s">
        <v>147</v>
      </c>
      <c r="C778" s="21"/>
      <c r="D778" s="3"/>
      <c r="E778" s="20">
        <v>1000184758</v>
      </c>
      <c r="F778" s="4" t="s">
        <v>55</v>
      </c>
      <c r="G778" s="21">
        <v>1000189785</v>
      </c>
      <c r="H778" s="3" t="s">
        <v>57</v>
      </c>
      <c r="I778" s="21">
        <v>1000189270</v>
      </c>
      <c r="J778" s="3" t="s">
        <v>34</v>
      </c>
      <c r="K778" s="20" t="s">
        <v>26</v>
      </c>
      <c r="L778" s="39">
        <v>0</v>
      </c>
      <c r="M778" s="39">
        <v>0</v>
      </c>
      <c r="N778" s="39">
        <v>0</v>
      </c>
      <c r="O778" s="39">
        <v>0</v>
      </c>
      <c r="P778" s="39">
        <v>0</v>
      </c>
      <c r="Q778" s="39">
        <v>0</v>
      </c>
      <c r="R778" s="39">
        <v>0</v>
      </c>
      <c r="S778" s="39">
        <v>0</v>
      </c>
      <c r="T778" s="39">
        <v>0</v>
      </c>
      <c r="U778" s="39">
        <v>0</v>
      </c>
      <c r="V778" s="39">
        <v>0</v>
      </c>
      <c r="W778" s="39">
        <v>0</v>
      </c>
      <c r="X778" s="39">
        <v>0</v>
      </c>
      <c r="Y778" s="39">
        <v>0</v>
      </c>
      <c r="Z778" s="39">
        <v>0</v>
      </c>
      <c r="AA778" s="39">
        <v>0</v>
      </c>
      <c r="AB778" s="39">
        <v>0</v>
      </c>
      <c r="AC778" s="39">
        <v>0</v>
      </c>
      <c r="AD778" s="39">
        <v>240.48</v>
      </c>
      <c r="AE778" s="39">
        <v>201.6</v>
      </c>
      <c r="AF778" s="39">
        <v>0</v>
      </c>
      <c r="AG778" s="39">
        <v>0</v>
      </c>
      <c r="AH778" s="39"/>
      <c r="AI778" s="39"/>
      <c r="AJ778" s="40"/>
      <c r="AK778" s="39">
        <f t="shared" si="60"/>
        <v>0</v>
      </c>
      <c r="AL778" s="39">
        <f t="shared" si="63"/>
        <v>36.839999999999996</v>
      </c>
      <c r="AM778" s="39">
        <f t="shared" si="64"/>
        <v>73.679999999999993</v>
      </c>
      <c r="AN778" s="39">
        <f t="shared" si="61"/>
        <v>44.207999999999998</v>
      </c>
      <c r="AO778" s="39">
        <f t="shared" si="62"/>
        <v>442.08</v>
      </c>
    </row>
    <row r="779" spans="1:41" x14ac:dyDescent="0.3">
      <c r="A779" s="20">
        <v>1000184670</v>
      </c>
      <c r="B779" s="4" t="s">
        <v>147</v>
      </c>
      <c r="C779" s="21"/>
      <c r="D779" s="3"/>
      <c r="E779" s="20">
        <v>1000184758</v>
      </c>
      <c r="F779" s="4" t="s">
        <v>55</v>
      </c>
      <c r="G779" s="21">
        <v>1000189785</v>
      </c>
      <c r="H779" s="3" t="s">
        <v>57</v>
      </c>
      <c r="I779" s="21">
        <v>1000189270</v>
      </c>
      <c r="J779" s="3" t="s">
        <v>34</v>
      </c>
      <c r="K779" s="20" t="s">
        <v>27</v>
      </c>
      <c r="L779" s="39">
        <v>0</v>
      </c>
      <c r="M779" s="39">
        <v>0</v>
      </c>
      <c r="N779" s="39">
        <v>0</v>
      </c>
      <c r="O779" s="39">
        <v>0</v>
      </c>
      <c r="P779" s="39">
        <v>0</v>
      </c>
      <c r="Q779" s="39">
        <v>0</v>
      </c>
      <c r="R779" s="39">
        <v>0</v>
      </c>
      <c r="S779" s="39">
        <v>0</v>
      </c>
      <c r="T779" s="39">
        <v>0</v>
      </c>
      <c r="U779" s="39">
        <v>0</v>
      </c>
      <c r="V779" s="39">
        <v>0</v>
      </c>
      <c r="W779" s="39">
        <v>0</v>
      </c>
      <c r="X779" s="39">
        <v>0</v>
      </c>
      <c r="Y779" s="39">
        <v>0</v>
      </c>
      <c r="Z779" s="39">
        <v>1147.68</v>
      </c>
      <c r="AA779" s="39">
        <v>0</v>
      </c>
      <c r="AB779" s="39">
        <v>0</v>
      </c>
      <c r="AC779" s="39">
        <v>0</v>
      </c>
      <c r="AD779" s="39">
        <v>0</v>
      </c>
      <c r="AE779" s="39">
        <v>24.3</v>
      </c>
      <c r="AF779" s="39">
        <v>0</v>
      </c>
      <c r="AG779" s="39">
        <v>0</v>
      </c>
      <c r="AH779" s="39"/>
      <c r="AI779" s="39"/>
      <c r="AJ779" s="40"/>
      <c r="AK779" s="39">
        <f t="shared" si="60"/>
        <v>0</v>
      </c>
      <c r="AL779" s="39">
        <f t="shared" si="63"/>
        <v>97.665000000000006</v>
      </c>
      <c r="AM779" s="39">
        <f t="shared" si="64"/>
        <v>4.05</v>
      </c>
      <c r="AN779" s="39">
        <f t="shared" si="61"/>
        <v>117.19800000000001</v>
      </c>
      <c r="AO779" s="39">
        <f t="shared" si="62"/>
        <v>1171.98</v>
      </c>
    </row>
    <row r="780" spans="1:41" x14ac:dyDescent="0.3">
      <c r="A780" s="20">
        <v>1000184670</v>
      </c>
      <c r="B780" s="4" t="s">
        <v>147</v>
      </c>
      <c r="C780" s="21"/>
      <c r="D780" s="3"/>
      <c r="E780" s="20">
        <v>1000184758</v>
      </c>
      <c r="F780" s="4" t="s">
        <v>55</v>
      </c>
      <c r="G780" s="21">
        <v>1000189785</v>
      </c>
      <c r="H780" s="3" t="s">
        <v>57</v>
      </c>
      <c r="I780" s="21">
        <v>1000189270</v>
      </c>
      <c r="J780" s="3" t="s">
        <v>34</v>
      </c>
      <c r="K780" s="20" t="s">
        <v>25</v>
      </c>
      <c r="L780" s="39">
        <v>0</v>
      </c>
      <c r="M780" s="39">
        <v>0</v>
      </c>
      <c r="N780" s="39">
        <v>0</v>
      </c>
      <c r="O780" s="39">
        <v>0</v>
      </c>
      <c r="P780" s="39">
        <v>0</v>
      </c>
      <c r="Q780" s="39">
        <v>0</v>
      </c>
      <c r="R780" s="39">
        <v>0</v>
      </c>
      <c r="S780" s="39">
        <v>0</v>
      </c>
      <c r="T780" s="39">
        <v>0</v>
      </c>
      <c r="U780" s="39">
        <v>0</v>
      </c>
      <c r="V780" s="39">
        <v>0</v>
      </c>
      <c r="W780" s="39">
        <v>0</v>
      </c>
      <c r="X780" s="39">
        <v>0</v>
      </c>
      <c r="Y780" s="39">
        <v>0</v>
      </c>
      <c r="Z780" s="39">
        <v>135</v>
      </c>
      <c r="AA780" s="39">
        <v>0</v>
      </c>
      <c r="AB780" s="39">
        <v>0</v>
      </c>
      <c r="AC780" s="39">
        <v>0</v>
      </c>
      <c r="AD780" s="39">
        <v>0</v>
      </c>
      <c r="AE780" s="39">
        <v>103.95</v>
      </c>
      <c r="AF780" s="39">
        <v>0</v>
      </c>
      <c r="AG780" s="39">
        <v>0</v>
      </c>
      <c r="AH780" s="39"/>
      <c r="AI780" s="39"/>
      <c r="AJ780" s="40"/>
      <c r="AK780" s="39">
        <f t="shared" si="60"/>
        <v>0</v>
      </c>
      <c r="AL780" s="39">
        <f t="shared" si="63"/>
        <v>19.912499999999998</v>
      </c>
      <c r="AM780" s="39">
        <f t="shared" si="64"/>
        <v>17.324999999999999</v>
      </c>
      <c r="AN780" s="39">
        <f t="shared" si="61"/>
        <v>23.895</v>
      </c>
      <c r="AO780" s="39">
        <f t="shared" si="62"/>
        <v>238.95</v>
      </c>
    </row>
    <row r="781" spans="1:41" x14ac:dyDescent="0.3">
      <c r="A781" s="20">
        <v>1000184670</v>
      </c>
      <c r="B781" s="4" t="s">
        <v>147</v>
      </c>
      <c r="C781" s="21"/>
      <c r="D781" s="3"/>
      <c r="E781" s="20">
        <v>1000184758</v>
      </c>
      <c r="F781" s="4" t="s">
        <v>55</v>
      </c>
      <c r="G781" s="21">
        <v>1000189786</v>
      </c>
      <c r="H781" s="3" t="s">
        <v>104</v>
      </c>
      <c r="I781" s="21">
        <v>1000189270</v>
      </c>
      <c r="J781" s="3" t="s">
        <v>34</v>
      </c>
      <c r="K781" s="20" t="s">
        <v>124</v>
      </c>
      <c r="L781" s="39">
        <v>0</v>
      </c>
      <c r="M781" s="39">
        <v>0</v>
      </c>
      <c r="N781" s="39">
        <v>0</v>
      </c>
      <c r="O781" s="39">
        <v>0</v>
      </c>
      <c r="P781" s="39">
        <v>0</v>
      </c>
      <c r="Q781" s="39">
        <v>0</v>
      </c>
      <c r="R781" s="39">
        <v>0</v>
      </c>
      <c r="S781" s="39">
        <v>0</v>
      </c>
      <c r="T781" s="39">
        <v>0</v>
      </c>
      <c r="U781" s="39">
        <v>0</v>
      </c>
      <c r="V781" s="39">
        <v>0</v>
      </c>
      <c r="W781" s="39">
        <v>0</v>
      </c>
      <c r="X781" s="39">
        <v>0</v>
      </c>
      <c r="Y781" s="39">
        <v>0</v>
      </c>
      <c r="Z781" s="39">
        <v>0</v>
      </c>
      <c r="AA781" s="39">
        <v>0</v>
      </c>
      <c r="AB781" s="39">
        <v>0</v>
      </c>
      <c r="AC781" s="39">
        <v>0</v>
      </c>
      <c r="AD781" s="39">
        <v>0</v>
      </c>
      <c r="AE781" s="39">
        <v>0</v>
      </c>
      <c r="AF781" s="39">
        <v>0</v>
      </c>
      <c r="AG781" s="39">
        <v>0</v>
      </c>
      <c r="AH781" s="39"/>
      <c r="AI781" s="39"/>
      <c r="AJ781" s="40"/>
      <c r="AK781" s="39">
        <f t="shared" si="60"/>
        <v>0</v>
      </c>
      <c r="AL781" s="39">
        <f t="shared" si="63"/>
        <v>0</v>
      </c>
      <c r="AM781" s="39">
        <f t="shared" si="64"/>
        <v>0</v>
      </c>
      <c r="AN781" s="39">
        <f t="shared" si="61"/>
        <v>0</v>
      </c>
      <c r="AO781" s="39">
        <f t="shared" si="62"/>
        <v>0</v>
      </c>
    </row>
    <row r="782" spans="1:41" x14ac:dyDescent="0.3">
      <c r="A782" s="20">
        <v>1000184670</v>
      </c>
      <c r="B782" s="4" t="s">
        <v>147</v>
      </c>
      <c r="C782" s="21"/>
      <c r="D782" s="3"/>
      <c r="E782" s="20">
        <v>1000184758</v>
      </c>
      <c r="F782" s="4" t="s">
        <v>55</v>
      </c>
      <c r="G782" s="21">
        <v>1000189786</v>
      </c>
      <c r="H782" s="3" t="s">
        <v>104</v>
      </c>
      <c r="I782" s="21">
        <v>1000189270</v>
      </c>
      <c r="J782" s="3" t="s">
        <v>34</v>
      </c>
      <c r="K782" s="20" t="s">
        <v>13</v>
      </c>
      <c r="L782" s="39">
        <v>0</v>
      </c>
      <c r="M782" s="39">
        <v>0</v>
      </c>
      <c r="N782" s="39">
        <v>0</v>
      </c>
      <c r="O782" s="39">
        <v>0</v>
      </c>
      <c r="P782" s="39">
        <v>0</v>
      </c>
      <c r="Q782" s="39">
        <v>0</v>
      </c>
      <c r="R782" s="39">
        <v>0</v>
      </c>
      <c r="S782" s="39">
        <v>0</v>
      </c>
      <c r="T782" s="39">
        <v>0</v>
      </c>
      <c r="U782" s="39">
        <v>0</v>
      </c>
      <c r="V782" s="39">
        <v>120</v>
      </c>
      <c r="W782" s="39">
        <v>0</v>
      </c>
      <c r="X782" s="39">
        <v>875.03</v>
      </c>
      <c r="Y782" s="39">
        <v>0</v>
      </c>
      <c r="Z782" s="39">
        <v>830.4</v>
      </c>
      <c r="AA782" s="39">
        <v>0</v>
      </c>
      <c r="AB782" s="39">
        <v>885.6</v>
      </c>
      <c r="AC782" s="39">
        <v>984</v>
      </c>
      <c r="AD782" s="39">
        <v>0</v>
      </c>
      <c r="AE782" s="39">
        <v>234</v>
      </c>
      <c r="AF782" s="39">
        <v>234</v>
      </c>
      <c r="AG782" s="39">
        <v>-234</v>
      </c>
      <c r="AH782" s="39"/>
      <c r="AI782" s="39"/>
      <c r="AJ782" s="40"/>
      <c r="AK782" s="39">
        <f t="shared" si="60"/>
        <v>10</v>
      </c>
      <c r="AL782" s="39">
        <f t="shared" si="63"/>
        <v>327.41916666666663</v>
      </c>
      <c r="AM782" s="39">
        <f t="shared" si="64"/>
        <v>350.59999999999997</v>
      </c>
      <c r="AN782" s="39">
        <f t="shared" si="61"/>
        <v>380.90299999999996</v>
      </c>
      <c r="AO782" s="39">
        <f t="shared" si="62"/>
        <v>3809.0299999999997</v>
      </c>
    </row>
    <row r="783" spans="1:41" x14ac:dyDescent="0.3">
      <c r="A783" s="20">
        <v>1000184670</v>
      </c>
      <c r="B783" s="4" t="s">
        <v>147</v>
      </c>
      <c r="C783" s="21"/>
      <c r="D783" s="3"/>
      <c r="E783" s="20">
        <v>1000184758</v>
      </c>
      <c r="F783" s="4" t="s">
        <v>55</v>
      </c>
      <c r="G783" s="21">
        <v>1000189786</v>
      </c>
      <c r="H783" s="3" t="s">
        <v>104</v>
      </c>
      <c r="I783" s="21">
        <v>1000189270</v>
      </c>
      <c r="J783" s="3" t="s">
        <v>34</v>
      </c>
      <c r="K783" s="20" t="s">
        <v>14</v>
      </c>
      <c r="L783" s="39">
        <v>0</v>
      </c>
      <c r="M783" s="39">
        <v>0</v>
      </c>
      <c r="N783" s="39">
        <v>0</v>
      </c>
      <c r="O783" s="39">
        <v>0</v>
      </c>
      <c r="P783" s="39">
        <v>0</v>
      </c>
      <c r="Q783" s="39">
        <v>0</v>
      </c>
      <c r="R783" s="39">
        <v>0</v>
      </c>
      <c r="S783" s="39">
        <v>0</v>
      </c>
      <c r="T783" s="39">
        <v>0</v>
      </c>
      <c r="U783" s="39">
        <v>0</v>
      </c>
      <c r="V783" s="39">
        <v>0</v>
      </c>
      <c r="W783" s="39">
        <v>0</v>
      </c>
      <c r="X783" s="39">
        <v>517.84</v>
      </c>
      <c r="Y783" s="39">
        <v>0</v>
      </c>
      <c r="Z783" s="39">
        <v>294</v>
      </c>
      <c r="AA783" s="39">
        <v>0</v>
      </c>
      <c r="AB783" s="39">
        <v>226.5</v>
      </c>
      <c r="AC783" s="39">
        <v>0</v>
      </c>
      <c r="AD783" s="39">
        <v>392.28</v>
      </c>
      <c r="AE783" s="39">
        <v>168</v>
      </c>
      <c r="AF783" s="39">
        <v>168</v>
      </c>
      <c r="AG783" s="39">
        <v>-168</v>
      </c>
      <c r="AH783" s="39"/>
      <c r="AI783" s="39"/>
      <c r="AJ783" s="40"/>
      <c r="AK783" s="39">
        <f t="shared" si="60"/>
        <v>0</v>
      </c>
      <c r="AL783" s="39">
        <f t="shared" si="63"/>
        <v>133.21833333333333</v>
      </c>
      <c r="AM783" s="39">
        <f t="shared" si="64"/>
        <v>131.13</v>
      </c>
      <c r="AN783" s="39">
        <f t="shared" si="61"/>
        <v>159.86200000000002</v>
      </c>
      <c r="AO783" s="39">
        <f t="shared" si="62"/>
        <v>1598.6200000000001</v>
      </c>
    </row>
    <row r="784" spans="1:41" x14ac:dyDescent="0.3">
      <c r="A784" s="20">
        <v>1000184670</v>
      </c>
      <c r="B784" s="4" t="s">
        <v>147</v>
      </c>
      <c r="C784" s="21"/>
      <c r="D784" s="3"/>
      <c r="E784" s="20">
        <v>1000184758</v>
      </c>
      <c r="F784" s="4" t="s">
        <v>55</v>
      </c>
      <c r="G784" s="21">
        <v>1000189786</v>
      </c>
      <c r="H784" s="3" t="s">
        <v>104</v>
      </c>
      <c r="I784" s="21">
        <v>1000189270</v>
      </c>
      <c r="J784" s="3" t="s">
        <v>34</v>
      </c>
      <c r="K784" s="20" t="s">
        <v>16</v>
      </c>
      <c r="L784" s="39">
        <v>0</v>
      </c>
      <c r="M784" s="39">
        <v>0</v>
      </c>
      <c r="N784" s="39">
        <v>0</v>
      </c>
      <c r="O784" s="39">
        <v>0</v>
      </c>
      <c r="P784" s="39">
        <v>0</v>
      </c>
      <c r="Q784" s="39">
        <v>0</v>
      </c>
      <c r="R784" s="39">
        <v>0</v>
      </c>
      <c r="S784" s="39">
        <v>0</v>
      </c>
      <c r="T784" s="39">
        <v>0</v>
      </c>
      <c r="U784" s="39">
        <v>0</v>
      </c>
      <c r="V784" s="39">
        <v>238.84</v>
      </c>
      <c r="W784" s="39">
        <v>0</v>
      </c>
      <c r="X784" s="39">
        <v>391</v>
      </c>
      <c r="Y784" s="39">
        <v>0</v>
      </c>
      <c r="Z784" s="39">
        <v>0</v>
      </c>
      <c r="AA784" s="39">
        <v>0</v>
      </c>
      <c r="AB784" s="39">
        <v>423.32</v>
      </c>
      <c r="AC784" s="39">
        <v>316.2</v>
      </c>
      <c r="AD784" s="39">
        <v>268.06</v>
      </c>
      <c r="AE784" s="39">
        <v>1439.92</v>
      </c>
      <c r="AF784" s="39">
        <v>1439.92</v>
      </c>
      <c r="AG784" s="39">
        <v>-1439.92</v>
      </c>
      <c r="AH784" s="39"/>
      <c r="AI784" s="39"/>
      <c r="AJ784" s="40"/>
      <c r="AK784" s="39">
        <f t="shared" si="60"/>
        <v>19.903333333333332</v>
      </c>
      <c r="AL784" s="39">
        <f t="shared" si="63"/>
        <v>256.44499999999999</v>
      </c>
      <c r="AM784" s="39">
        <f t="shared" si="64"/>
        <v>407.91666666666669</v>
      </c>
      <c r="AN784" s="39">
        <f t="shared" si="61"/>
        <v>283.85000000000002</v>
      </c>
      <c r="AO784" s="39">
        <f t="shared" si="62"/>
        <v>2838.5</v>
      </c>
    </row>
    <row r="785" spans="1:41" x14ac:dyDescent="0.3">
      <c r="A785" s="20">
        <v>1000184670</v>
      </c>
      <c r="B785" s="4" t="s">
        <v>147</v>
      </c>
      <c r="C785" s="21"/>
      <c r="D785" s="3"/>
      <c r="E785" s="20">
        <v>1000184758</v>
      </c>
      <c r="F785" s="4" t="s">
        <v>55</v>
      </c>
      <c r="G785" s="21">
        <v>1000189786</v>
      </c>
      <c r="H785" s="3" t="s">
        <v>104</v>
      </c>
      <c r="I785" s="21">
        <v>1000189270</v>
      </c>
      <c r="J785" s="3" t="s">
        <v>34</v>
      </c>
      <c r="K785" s="20" t="s">
        <v>15</v>
      </c>
      <c r="L785" s="39">
        <v>0</v>
      </c>
      <c r="M785" s="39">
        <v>0</v>
      </c>
      <c r="N785" s="39">
        <v>0</v>
      </c>
      <c r="O785" s="39">
        <v>0</v>
      </c>
      <c r="P785" s="39">
        <v>0</v>
      </c>
      <c r="Q785" s="39">
        <v>0</v>
      </c>
      <c r="R785" s="39">
        <v>0</v>
      </c>
      <c r="S785" s="39">
        <v>0</v>
      </c>
      <c r="T785" s="39">
        <v>0</v>
      </c>
      <c r="U785" s="39">
        <v>0</v>
      </c>
      <c r="V785" s="39">
        <v>330</v>
      </c>
      <c r="W785" s="39">
        <v>0</v>
      </c>
      <c r="X785" s="39">
        <v>1203.47</v>
      </c>
      <c r="Y785" s="39">
        <v>0</v>
      </c>
      <c r="Z785" s="39">
        <v>2228.96</v>
      </c>
      <c r="AA785" s="39">
        <v>0</v>
      </c>
      <c r="AB785" s="39">
        <v>1341.36</v>
      </c>
      <c r="AC785" s="39">
        <v>1530</v>
      </c>
      <c r="AD785" s="39">
        <v>1031.3399999999999</v>
      </c>
      <c r="AE785" s="39">
        <v>444</v>
      </c>
      <c r="AF785" s="39">
        <v>444</v>
      </c>
      <c r="AG785" s="39">
        <v>-444</v>
      </c>
      <c r="AH785" s="39"/>
      <c r="AI785" s="39"/>
      <c r="AJ785" s="40"/>
      <c r="AK785" s="39">
        <f t="shared" si="60"/>
        <v>27.5</v>
      </c>
      <c r="AL785" s="39">
        <f t="shared" si="63"/>
        <v>675.76083333333338</v>
      </c>
      <c r="AM785" s="39">
        <f t="shared" si="64"/>
        <v>724.44999999999993</v>
      </c>
      <c r="AN785" s="39">
        <f t="shared" si="61"/>
        <v>777.91300000000012</v>
      </c>
      <c r="AO785" s="39">
        <f t="shared" si="62"/>
        <v>7779.130000000001</v>
      </c>
    </row>
    <row r="786" spans="1:41" x14ac:dyDescent="0.3">
      <c r="A786" s="20">
        <v>1000184670</v>
      </c>
      <c r="B786" s="4" t="s">
        <v>147</v>
      </c>
      <c r="C786" s="21"/>
      <c r="D786" s="3"/>
      <c r="E786" s="20">
        <v>1000184758</v>
      </c>
      <c r="F786" s="4" t="s">
        <v>55</v>
      </c>
      <c r="G786" s="21">
        <v>1000189786</v>
      </c>
      <c r="H786" s="3" t="s">
        <v>104</v>
      </c>
      <c r="I786" s="21">
        <v>1000189270</v>
      </c>
      <c r="J786" s="3" t="s">
        <v>34</v>
      </c>
      <c r="K786" s="20" t="s">
        <v>33</v>
      </c>
      <c r="L786" s="39">
        <v>0</v>
      </c>
      <c r="M786" s="39">
        <v>0</v>
      </c>
      <c r="N786" s="39">
        <v>0</v>
      </c>
      <c r="O786" s="39">
        <v>0</v>
      </c>
      <c r="P786" s="39">
        <v>0</v>
      </c>
      <c r="Q786" s="39">
        <v>0</v>
      </c>
      <c r="R786" s="39">
        <v>0</v>
      </c>
      <c r="S786" s="39">
        <v>0</v>
      </c>
      <c r="T786" s="39">
        <v>0</v>
      </c>
      <c r="U786" s="39">
        <v>0</v>
      </c>
      <c r="V786" s="39">
        <v>0</v>
      </c>
      <c r="W786" s="39">
        <v>0</v>
      </c>
      <c r="X786" s="39">
        <v>0</v>
      </c>
      <c r="Y786" s="39">
        <v>0</v>
      </c>
      <c r="Z786" s="39">
        <v>0</v>
      </c>
      <c r="AA786" s="39">
        <v>0</v>
      </c>
      <c r="AB786" s="39">
        <v>153.6</v>
      </c>
      <c r="AC786" s="39">
        <v>0</v>
      </c>
      <c r="AD786" s="39">
        <v>0</v>
      </c>
      <c r="AE786" s="39">
        <v>0</v>
      </c>
      <c r="AF786" s="39">
        <v>0</v>
      </c>
      <c r="AG786" s="39">
        <v>0</v>
      </c>
      <c r="AH786" s="39"/>
      <c r="AI786" s="39"/>
      <c r="AJ786" s="40"/>
      <c r="AK786" s="39">
        <f t="shared" si="60"/>
        <v>0</v>
      </c>
      <c r="AL786" s="39">
        <f t="shared" si="63"/>
        <v>12.799999999999999</v>
      </c>
      <c r="AM786" s="39">
        <f t="shared" si="64"/>
        <v>25.599999999999998</v>
      </c>
      <c r="AN786" s="39">
        <f t="shared" si="61"/>
        <v>15.36</v>
      </c>
      <c r="AO786" s="39">
        <f t="shared" si="62"/>
        <v>153.6</v>
      </c>
    </row>
    <row r="787" spans="1:41" x14ac:dyDescent="0.3">
      <c r="A787" s="20">
        <v>1000184670</v>
      </c>
      <c r="B787" s="4" t="s">
        <v>147</v>
      </c>
      <c r="C787" s="21"/>
      <c r="D787" s="3"/>
      <c r="E787" s="20">
        <v>1000184758</v>
      </c>
      <c r="F787" s="4" t="s">
        <v>55</v>
      </c>
      <c r="G787" s="21">
        <v>1000189786</v>
      </c>
      <c r="H787" s="3" t="s">
        <v>104</v>
      </c>
      <c r="I787" s="21">
        <v>1000189270</v>
      </c>
      <c r="J787" s="3" t="s">
        <v>34</v>
      </c>
      <c r="K787" s="20" t="s">
        <v>19</v>
      </c>
      <c r="L787" s="39">
        <v>0</v>
      </c>
      <c r="M787" s="39">
        <v>0</v>
      </c>
      <c r="N787" s="39">
        <v>0</v>
      </c>
      <c r="O787" s="39">
        <v>0</v>
      </c>
      <c r="P787" s="39">
        <v>0</v>
      </c>
      <c r="Q787" s="39">
        <v>0</v>
      </c>
      <c r="R787" s="39">
        <v>0</v>
      </c>
      <c r="S787" s="39">
        <v>0</v>
      </c>
      <c r="T787" s="39">
        <v>0</v>
      </c>
      <c r="U787" s="39">
        <v>0</v>
      </c>
      <c r="V787" s="39">
        <v>288</v>
      </c>
      <c r="W787" s="39">
        <v>0</v>
      </c>
      <c r="X787" s="39">
        <v>0</v>
      </c>
      <c r="Y787" s="39">
        <v>0</v>
      </c>
      <c r="Z787" s="39">
        <v>0</v>
      </c>
      <c r="AA787" s="39">
        <v>0</v>
      </c>
      <c r="AB787" s="39">
        <v>0</v>
      </c>
      <c r="AC787" s="39">
        <v>0</v>
      </c>
      <c r="AD787" s="39">
        <v>0</v>
      </c>
      <c r="AE787" s="39">
        <v>0</v>
      </c>
      <c r="AF787" s="39">
        <v>0</v>
      </c>
      <c r="AG787" s="39">
        <v>0</v>
      </c>
      <c r="AH787" s="39"/>
      <c r="AI787" s="39"/>
      <c r="AJ787" s="40"/>
      <c r="AK787" s="39">
        <f t="shared" si="60"/>
        <v>24</v>
      </c>
      <c r="AL787" s="39">
        <f t="shared" si="63"/>
        <v>24</v>
      </c>
      <c r="AM787" s="39">
        <f t="shared" si="64"/>
        <v>0</v>
      </c>
      <c r="AN787" s="39">
        <f t="shared" si="61"/>
        <v>0</v>
      </c>
      <c r="AO787" s="39">
        <f t="shared" si="62"/>
        <v>0</v>
      </c>
    </row>
    <row r="788" spans="1:41" x14ac:dyDescent="0.3">
      <c r="A788" s="20">
        <v>1000184670</v>
      </c>
      <c r="B788" s="4" t="s">
        <v>147</v>
      </c>
      <c r="C788" s="21"/>
      <c r="D788" s="3"/>
      <c r="E788" s="20">
        <v>1000184758</v>
      </c>
      <c r="F788" s="4" t="s">
        <v>55</v>
      </c>
      <c r="G788" s="21">
        <v>1000189786</v>
      </c>
      <c r="H788" s="3" t="s">
        <v>104</v>
      </c>
      <c r="I788" s="21">
        <v>1000189270</v>
      </c>
      <c r="J788" s="3" t="s">
        <v>34</v>
      </c>
      <c r="K788" s="20" t="s">
        <v>17</v>
      </c>
      <c r="L788" s="39">
        <v>0</v>
      </c>
      <c r="M788" s="39">
        <v>0</v>
      </c>
      <c r="N788" s="39">
        <v>0</v>
      </c>
      <c r="O788" s="39">
        <v>0</v>
      </c>
      <c r="P788" s="39">
        <v>0</v>
      </c>
      <c r="Q788" s="39">
        <v>0</v>
      </c>
      <c r="R788" s="39">
        <v>0</v>
      </c>
      <c r="S788" s="39">
        <v>0</v>
      </c>
      <c r="T788" s="39">
        <v>0</v>
      </c>
      <c r="U788" s="39">
        <v>0</v>
      </c>
      <c r="V788" s="39">
        <v>0</v>
      </c>
      <c r="W788" s="39">
        <v>0</v>
      </c>
      <c r="X788" s="39">
        <v>0</v>
      </c>
      <c r="Y788" s="39">
        <v>0</v>
      </c>
      <c r="Z788" s="39">
        <v>0</v>
      </c>
      <c r="AA788" s="39">
        <v>0</v>
      </c>
      <c r="AB788" s="39">
        <v>0</v>
      </c>
      <c r="AC788" s="39">
        <v>0</v>
      </c>
      <c r="AD788" s="39">
        <v>0</v>
      </c>
      <c r="AE788" s="39">
        <v>0</v>
      </c>
      <c r="AF788" s="39">
        <v>0</v>
      </c>
      <c r="AG788" s="39">
        <v>0</v>
      </c>
      <c r="AH788" s="39"/>
      <c r="AI788" s="39"/>
      <c r="AJ788" s="40"/>
      <c r="AK788" s="39">
        <f t="shared" si="60"/>
        <v>0</v>
      </c>
      <c r="AL788" s="39">
        <f t="shared" si="63"/>
        <v>0</v>
      </c>
      <c r="AM788" s="39">
        <f t="shared" si="64"/>
        <v>0</v>
      </c>
      <c r="AN788" s="39">
        <f t="shared" si="61"/>
        <v>0</v>
      </c>
      <c r="AO788" s="39">
        <f t="shared" si="62"/>
        <v>0</v>
      </c>
    </row>
    <row r="789" spans="1:41" x14ac:dyDescent="0.3">
      <c r="A789" s="20">
        <v>1000184670</v>
      </c>
      <c r="B789" s="4" t="s">
        <v>147</v>
      </c>
      <c r="C789" s="21"/>
      <c r="D789" s="3"/>
      <c r="E789" s="20">
        <v>1000184758</v>
      </c>
      <c r="F789" s="4" t="s">
        <v>55</v>
      </c>
      <c r="G789" s="21">
        <v>1000189786</v>
      </c>
      <c r="H789" s="3" t="s">
        <v>104</v>
      </c>
      <c r="I789" s="21">
        <v>1000189270</v>
      </c>
      <c r="J789" s="3" t="s">
        <v>34</v>
      </c>
      <c r="K789" s="20" t="s">
        <v>24</v>
      </c>
      <c r="L789" s="39">
        <v>0</v>
      </c>
      <c r="M789" s="39">
        <v>0</v>
      </c>
      <c r="N789" s="39">
        <v>0</v>
      </c>
      <c r="O789" s="39">
        <v>0</v>
      </c>
      <c r="P789" s="39">
        <v>0</v>
      </c>
      <c r="Q789" s="39">
        <v>0</v>
      </c>
      <c r="R789" s="39">
        <v>0</v>
      </c>
      <c r="S789" s="39">
        <v>0</v>
      </c>
      <c r="T789" s="39">
        <v>0</v>
      </c>
      <c r="U789" s="39">
        <v>0</v>
      </c>
      <c r="V789" s="39">
        <v>174.96</v>
      </c>
      <c r="W789" s="39">
        <v>0</v>
      </c>
      <c r="X789" s="39">
        <v>0</v>
      </c>
      <c r="Y789" s="39">
        <v>0</v>
      </c>
      <c r="Z789" s="39">
        <v>89.76</v>
      </c>
      <c r="AA789" s="39">
        <v>0</v>
      </c>
      <c r="AB789" s="39">
        <v>153.36000000000001</v>
      </c>
      <c r="AC789" s="39">
        <v>186.72</v>
      </c>
      <c r="AD789" s="39">
        <v>0</v>
      </c>
      <c r="AE789" s="39">
        <v>524.62</v>
      </c>
      <c r="AF789" s="39">
        <v>524.62</v>
      </c>
      <c r="AG789" s="39">
        <v>-524.62</v>
      </c>
      <c r="AH789" s="39"/>
      <c r="AI789" s="39"/>
      <c r="AJ789" s="40"/>
      <c r="AK789" s="39">
        <f t="shared" si="60"/>
        <v>14.58</v>
      </c>
      <c r="AL789" s="39">
        <f t="shared" si="63"/>
        <v>94.118333333333339</v>
      </c>
      <c r="AM789" s="39">
        <f t="shared" si="64"/>
        <v>144.1166666666667</v>
      </c>
      <c r="AN789" s="39">
        <f t="shared" si="61"/>
        <v>95.445999999999998</v>
      </c>
      <c r="AO789" s="39">
        <f t="shared" si="62"/>
        <v>954.45999999999992</v>
      </c>
    </row>
    <row r="790" spans="1:41" x14ac:dyDescent="0.3">
      <c r="A790" s="20">
        <v>1000184670</v>
      </c>
      <c r="B790" s="4" t="s">
        <v>147</v>
      </c>
      <c r="C790" s="21"/>
      <c r="D790" s="3"/>
      <c r="E790" s="20">
        <v>1000184758</v>
      </c>
      <c r="F790" s="4" t="s">
        <v>55</v>
      </c>
      <c r="G790" s="21">
        <v>1000189786</v>
      </c>
      <c r="H790" s="3" t="s">
        <v>104</v>
      </c>
      <c r="I790" s="21">
        <v>1000189270</v>
      </c>
      <c r="J790" s="3" t="s">
        <v>34</v>
      </c>
      <c r="K790" s="20" t="s">
        <v>18</v>
      </c>
      <c r="L790" s="39">
        <v>0</v>
      </c>
      <c r="M790" s="39">
        <v>0</v>
      </c>
      <c r="N790" s="39">
        <v>0</v>
      </c>
      <c r="O790" s="39">
        <v>0</v>
      </c>
      <c r="P790" s="39">
        <v>0</v>
      </c>
      <c r="Q790" s="39">
        <v>0</v>
      </c>
      <c r="R790" s="39">
        <v>0</v>
      </c>
      <c r="S790" s="39">
        <v>0</v>
      </c>
      <c r="T790" s="39">
        <v>0</v>
      </c>
      <c r="U790" s="39">
        <v>0</v>
      </c>
      <c r="V790" s="39">
        <v>0</v>
      </c>
      <c r="W790" s="39">
        <v>0</v>
      </c>
      <c r="X790" s="39">
        <v>184</v>
      </c>
      <c r="Y790" s="39">
        <v>0</v>
      </c>
      <c r="Z790" s="39">
        <v>92.4</v>
      </c>
      <c r="AA790" s="39">
        <v>0</v>
      </c>
      <c r="AB790" s="39">
        <v>277.2</v>
      </c>
      <c r="AC790" s="39">
        <v>0</v>
      </c>
      <c r="AD790" s="39">
        <v>0</v>
      </c>
      <c r="AE790" s="39">
        <v>192</v>
      </c>
      <c r="AF790" s="39">
        <v>192</v>
      </c>
      <c r="AG790" s="39">
        <v>-192</v>
      </c>
      <c r="AH790" s="39"/>
      <c r="AI790" s="39"/>
      <c r="AJ790" s="40"/>
      <c r="AK790" s="39">
        <f t="shared" si="60"/>
        <v>0</v>
      </c>
      <c r="AL790" s="39">
        <f t="shared" si="63"/>
        <v>62.133333333333326</v>
      </c>
      <c r="AM790" s="39">
        <f t="shared" si="64"/>
        <v>78.2</v>
      </c>
      <c r="AN790" s="39">
        <f t="shared" si="61"/>
        <v>74.559999999999988</v>
      </c>
      <c r="AO790" s="39">
        <f t="shared" si="62"/>
        <v>745.59999999999991</v>
      </c>
    </row>
    <row r="791" spans="1:41" x14ac:dyDescent="0.3">
      <c r="A791" s="20">
        <v>1000184670</v>
      </c>
      <c r="B791" s="4" t="s">
        <v>147</v>
      </c>
      <c r="C791" s="21"/>
      <c r="D791" s="3"/>
      <c r="E791" s="20">
        <v>1000184758</v>
      </c>
      <c r="F791" s="4" t="s">
        <v>55</v>
      </c>
      <c r="G791" s="21">
        <v>1000189786</v>
      </c>
      <c r="H791" s="3" t="s">
        <v>104</v>
      </c>
      <c r="I791" s="21">
        <v>1000189270</v>
      </c>
      <c r="J791" s="3" t="s">
        <v>34</v>
      </c>
      <c r="K791" s="20" t="s">
        <v>29</v>
      </c>
      <c r="L791" s="39">
        <v>0</v>
      </c>
      <c r="M791" s="39">
        <v>0</v>
      </c>
      <c r="N791" s="39">
        <v>0</v>
      </c>
      <c r="O791" s="39">
        <v>0</v>
      </c>
      <c r="P791" s="39">
        <v>0</v>
      </c>
      <c r="Q791" s="39">
        <v>0</v>
      </c>
      <c r="R791" s="39">
        <v>0</v>
      </c>
      <c r="S791" s="39">
        <v>0</v>
      </c>
      <c r="T791" s="39">
        <v>0</v>
      </c>
      <c r="U791" s="39">
        <v>0</v>
      </c>
      <c r="V791" s="39">
        <v>0</v>
      </c>
      <c r="W791" s="39">
        <v>0</v>
      </c>
      <c r="X791" s="39">
        <v>0</v>
      </c>
      <c r="Y791" s="39">
        <v>0</v>
      </c>
      <c r="Z791" s="39">
        <v>0</v>
      </c>
      <c r="AA791" s="39">
        <v>0</v>
      </c>
      <c r="AB791" s="39">
        <v>0</v>
      </c>
      <c r="AC791" s="39">
        <v>0</v>
      </c>
      <c r="AD791" s="39">
        <v>0</v>
      </c>
      <c r="AE791" s="39">
        <v>0</v>
      </c>
      <c r="AF791" s="39">
        <v>0</v>
      </c>
      <c r="AG791" s="39">
        <v>0</v>
      </c>
      <c r="AH791" s="39"/>
      <c r="AI791" s="39"/>
      <c r="AJ791" s="40"/>
      <c r="AK791" s="39">
        <f t="shared" si="60"/>
        <v>0</v>
      </c>
      <c r="AL791" s="39">
        <f t="shared" si="63"/>
        <v>0</v>
      </c>
      <c r="AM791" s="39">
        <f t="shared" si="64"/>
        <v>0</v>
      </c>
      <c r="AN791" s="39">
        <f t="shared" si="61"/>
        <v>0</v>
      </c>
      <c r="AO791" s="39">
        <f t="shared" si="62"/>
        <v>0</v>
      </c>
    </row>
    <row r="792" spans="1:41" x14ac:dyDescent="0.3">
      <c r="A792" s="20">
        <v>1000184670</v>
      </c>
      <c r="B792" s="4" t="s">
        <v>147</v>
      </c>
      <c r="C792" s="21"/>
      <c r="D792" s="3"/>
      <c r="E792" s="20">
        <v>1000184758</v>
      </c>
      <c r="F792" s="4" t="s">
        <v>55</v>
      </c>
      <c r="G792" s="21">
        <v>1000189786</v>
      </c>
      <c r="H792" s="3" t="s">
        <v>104</v>
      </c>
      <c r="I792" s="21">
        <v>1000189270</v>
      </c>
      <c r="J792" s="3" t="s">
        <v>34</v>
      </c>
      <c r="K792" s="20" t="s">
        <v>21</v>
      </c>
      <c r="L792" s="39">
        <v>0</v>
      </c>
      <c r="M792" s="39">
        <v>0</v>
      </c>
      <c r="N792" s="39">
        <v>0</v>
      </c>
      <c r="O792" s="39">
        <v>0</v>
      </c>
      <c r="P792" s="39">
        <v>0</v>
      </c>
      <c r="Q792" s="39">
        <v>0</v>
      </c>
      <c r="R792" s="39">
        <v>0</v>
      </c>
      <c r="S792" s="39">
        <v>0</v>
      </c>
      <c r="T792" s="39">
        <v>0</v>
      </c>
      <c r="U792" s="39">
        <v>0</v>
      </c>
      <c r="V792" s="39">
        <v>156</v>
      </c>
      <c r="W792" s="39">
        <v>0</v>
      </c>
      <c r="X792" s="39">
        <v>368.12</v>
      </c>
      <c r="Y792" s="39">
        <v>0</v>
      </c>
      <c r="Z792" s="39">
        <v>1141.8</v>
      </c>
      <c r="AA792" s="39">
        <v>0</v>
      </c>
      <c r="AB792" s="39">
        <v>0</v>
      </c>
      <c r="AC792" s="39">
        <v>198</v>
      </c>
      <c r="AD792" s="39">
        <v>0</v>
      </c>
      <c r="AE792" s="39">
        <v>213.6</v>
      </c>
      <c r="AF792" s="39">
        <v>510</v>
      </c>
      <c r="AG792" s="39">
        <v>-213.6</v>
      </c>
      <c r="AH792" s="39"/>
      <c r="AI792" s="39"/>
      <c r="AJ792" s="40"/>
      <c r="AK792" s="39">
        <f t="shared" si="60"/>
        <v>13</v>
      </c>
      <c r="AL792" s="39">
        <f t="shared" si="63"/>
        <v>197.82666666666668</v>
      </c>
      <c r="AM792" s="39">
        <f t="shared" si="64"/>
        <v>118</v>
      </c>
      <c r="AN792" s="39">
        <f t="shared" si="61"/>
        <v>221.792</v>
      </c>
      <c r="AO792" s="39">
        <f t="shared" si="62"/>
        <v>2217.92</v>
      </c>
    </row>
    <row r="793" spans="1:41" x14ac:dyDescent="0.3">
      <c r="A793" s="20">
        <v>1000184670</v>
      </c>
      <c r="B793" s="4" t="s">
        <v>147</v>
      </c>
      <c r="C793" s="21"/>
      <c r="D793" s="3"/>
      <c r="E793" s="20">
        <v>1000184758</v>
      </c>
      <c r="F793" s="4" t="s">
        <v>55</v>
      </c>
      <c r="G793" s="21">
        <v>1000189786</v>
      </c>
      <c r="H793" s="3" t="s">
        <v>104</v>
      </c>
      <c r="I793" s="21">
        <v>1000189270</v>
      </c>
      <c r="J793" s="3" t="s">
        <v>34</v>
      </c>
      <c r="K793" s="20" t="s">
        <v>20</v>
      </c>
      <c r="L793" s="39">
        <v>0</v>
      </c>
      <c r="M793" s="39">
        <v>0</v>
      </c>
      <c r="N793" s="39">
        <v>0</v>
      </c>
      <c r="O793" s="39">
        <v>0</v>
      </c>
      <c r="P793" s="39">
        <v>0</v>
      </c>
      <c r="Q793" s="39">
        <v>0</v>
      </c>
      <c r="R793" s="39">
        <v>0</v>
      </c>
      <c r="S793" s="39">
        <v>0</v>
      </c>
      <c r="T793" s="39">
        <v>0</v>
      </c>
      <c r="U793" s="39">
        <v>0</v>
      </c>
      <c r="V793" s="39">
        <v>282.83999999999997</v>
      </c>
      <c r="W793" s="39">
        <v>0</v>
      </c>
      <c r="X793" s="39">
        <v>262.7</v>
      </c>
      <c r="Y793" s="39">
        <v>0</v>
      </c>
      <c r="Z793" s="39">
        <v>248.4</v>
      </c>
      <c r="AA793" s="39">
        <v>0</v>
      </c>
      <c r="AB793" s="39">
        <v>193.97</v>
      </c>
      <c r="AC793" s="39">
        <v>93.6</v>
      </c>
      <c r="AD793" s="39">
        <v>0</v>
      </c>
      <c r="AE793" s="39">
        <v>279.60000000000002</v>
      </c>
      <c r="AF793" s="39">
        <v>279.60000000000002</v>
      </c>
      <c r="AG793" s="39">
        <v>-279.60000000000002</v>
      </c>
      <c r="AH793" s="39"/>
      <c r="AI793" s="39"/>
      <c r="AJ793" s="40"/>
      <c r="AK793" s="39">
        <f t="shared" si="60"/>
        <v>23.569999999999997</v>
      </c>
      <c r="AL793" s="39">
        <f t="shared" si="63"/>
        <v>113.42583333333334</v>
      </c>
      <c r="AM793" s="39">
        <f t="shared" si="64"/>
        <v>94.52833333333335</v>
      </c>
      <c r="AN793" s="39">
        <f t="shared" si="61"/>
        <v>107.827</v>
      </c>
      <c r="AO793" s="39">
        <f t="shared" si="62"/>
        <v>1078.27</v>
      </c>
    </row>
    <row r="794" spans="1:41" x14ac:dyDescent="0.3">
      <c r="A794" s="20">
        <v>1000184670</v>
      </c>
      <c r="B794" s="4" t="s">
        <v>147</v>
      </c>
      <c r="C794" s="21"/>
      <c r="D794" s="3"/>
      <c r="E794" s="20">
        <v>1000184758</v>
      </c>
      <c r="F794" s="4" t="s">
        <v>55</v>
      </c>
      <c r="G794" s="21">
        <v>1000189786</v>
      </c>
      <c r="H794" s="3" t="s">
        <v>104</v>
      </c>
      <c r="I794" s="21">
        <v>1000189270</v>
      </c>
      <c r="J794" s="3" t="s">
        <v>34</v>
      </c>
      <c r="K794" s="20" t="s">
        <v>22</v>
      </c>
      <c r="L794" s="39">
        <v>0</v>
      </c>
      <c r="M794" s="39">
        <v>0</v>
      </c>
      <c r="N794" s="39">
        <v>0</v>
      </c>
      <c r="O794" s="39">
        <v>0</v>
      </c>
      <c r="P794" s="39">
        <v>0</v>
      </c>
      <c r="Q794" s="39">
        <v>0</v>
      </c>
      <c r="R794" s="39">
        <v>0</v>
      </c>
      <c r="S794" s="39">
        <v>0</v>
      </c>
      <c r="T794" s="39">
        <v>0</v>
      </c>
      <c r="U794" s="39">
        <v>0</v>
      </c>
      <c r="V794" s="39">
        <v>0</v>
      </c>
      <c r="W794" s="39">
        <v>0</v>
      </c>
      <c r="X794" s="39">
        <v>702.71</v>
      </c>
      <c r="Y794" s="39">
        <v>0</v>
      </c>
      <c r="Z794" s="39">
        <v>151.02000000000001</v>
      </c>
      <c r="AA794" s="39">
        <v>0</v>
      </c>
      <c r="AB794" s="39">
        <v>192</v>
      </c>
      <c r="AC794" s="39">
        <v>798</v>
      </c>
      <c r="AD794" s="39">
        <v>0</v>
      </c>
      <c r="AE794" s="39">
        <v>0</v>
      </c>
      <c r="AF794" s="39">
        <v>0</v>
      </c>
      <c r="AG794" s="39">
        <v>0</v>
      </c>
      <c r="AH794" s="39"/>
      <c r="AI794" s="39"/>
      <c r="AJ794" s="40"/>
      <c r="AK794" s="39">
        <f t="shared" si="60"/>
        <v>0</v>
      </c>
      <c r="AL794" s="39">
        <f t="shared" si="63"/>
        <v>153.64416666666668</v>
      </c>
      <c r="AM794" s="39">
        <f t="shared" si="64"/>
        <v>165</v>
      </c>
      <c r="AN794" s="39">
        <f t="shared" si="61"/>
        <v>184.37299999999999</v>
      </c>
      <c r="AO794" s="39">
        <f t="shared" si="62"/>
        <v>1843.73</v>
      </c>
    </row>
    <row r="795" spans="1:41" x14ac:dyDescent="0.3">
      <c r="A795" s="20">
        <v>1000184670</v>
      </c>
      <c r="B795" s="4" t="s">
        <v>147</v>
      </c>
      <c r="C795" s="21"/>
      <c r="D795" s="3"/>
      <c r="E795" s="20">
        <v>1000184758</v>
      </c>
      <c r="F795" s="4" t="s">
        <v>55</v>
      </c>
      <c r="G795" s="21">
        <v>1000189786</v>
      </c>
      <c r="H795" s="3" t="s">
        <v>104</v>
      </c>
      <c r="I795" s="21">
        <v>1000189270</v>
      </c>
      <c r="J795" s="3" t="s">
        <v>34</v>
      </c>
      <c r="K795" s="20" t="s">
        <v>23</v>
      </c>
      <c r="L795" s="39">
        <v>0</v>
      </c>
      <c r="M795" s="39">
        <v>0</v>
      </c>
      <c r="N795" s="39">
        <v>0</v>
      </c>
      <c r="O795" s="39">
        <v>0</v>
      </c>
      <c r="P795" s="39">
        <v>0</v>
      </c>
      <c r="Q795" s="39">
        <v>0</v>
      </c>
      <c r="R795" s="39">
        <v>0</v>
      </c>
      <c r="S795" s="39">
        <v>0</v>
      </c>
      <c r="T795" s="39">
        <v>0</v>
      </c>
      <c r="U795" s="39">
        <v>0</v>
      </c>
      <c r="V795" s="39">
        <v>90.05</v>
      </c>
      <c r="W795" s="39">
        <v>0</v>
      </c>
      <c r="X795" s="39">
        <v>232.02</v>
      </c>
      <c r="Y795" s="39">
        <v>0</v>
      </c>
      <c r="Z795" s="39">
        <v>0</v>
      </c>
      <c r="AA795" s="39">
        <v>0</v>
      </c>
      <c r="AB795" s="39">
        <v>0</v>
      </c>
      <c r="AC795" s="39">
        <v>330</v>
      </c>
      <c r="AD795" s="39">
        <v>0</v>
      </c>
      <c r="AE795" s="39">
        <v>0</v>
      </c>
      <c r="AF795" s="39">
        <v>0</v>
      </c>
      <c r="AG795" s="39">
        <v>0</v>
      </c>
      <c r="AH795" s="39"/>
      <c r="AI795" s="39"/>
      <c r="AJ795" s="40"/>
      <c r="AK795" s="39">
        <f t="shared" si="60"/>
        <v>7.5041666666666664</v>
      </c>
      <c r="AL795" s="39">
        <f t="shared" si="63"/>
        <v>54.339166666666664</v>
      </c>
      <c r="AM795" s="39">
        <f t="shared" si="64"/>
        <v>55</v>
      </c>
      <c r="AN795" s="39">
        <f t="shared" si="61"/>
        <v>56.201999999999998</v>
      </c>
      <c r="AO795" s="39">
        <f t="shared" si="62"/>
        <v>562.02</v>
      </c>
    </row>
    <row r="796" spans="1:41" x14ac:dyDescent="0.3">
      <c r="A796" s="20">
        <v>1000184670</v>
      </c>
      <c r="B796" s="4" t="s">
        <v>147</v>
      </c>
      <c r="C796" s="21"/>
      <c r="D796" s="3"/>
      <c r="E796" s="20">
        <v>1000184758</v>
      </c>
      <c r="F796" s="4" t="s">
        <v>55</v>
      </c>
      <c r="G796" s="21">
        <v>1000189786</v>
      </c>
      <c r="H796" s="3" t="s">
        <v>104</v>
      </c>
      <c r="I796" s="21">
        <v>1000189270</v>
      </c>
      <c r="J796" s="3" t="s">
        <v>34</v>
      </c>
      <c r="K796" s="20" t="s">
        <v>28</v>
      </c>
      <c r="L796" s="39">
        <v>0</v>
      </c>
      <c r="M796" s="39">
        <v>0</v>
      </c>
      <c r="N796" s="39">
        <v>0</v>
      </c>
      <c r="O796" s="39">
        <v>0</v>
      </c>
      <c r="P796" s="39">
        <v>0</v>
      </c>
      <c r="Q796" s="39">
        <v>0</v>
      </c>
      <c r="R796" s="39">
        <v>0</v>
      </c>
      <c r="S796" s="39">
        <v>0</v>
      </c>
      <c r="T796" s="39">
        <v>0</v>
      </c>
      <c r="U796" s="39">
        <v>0</v>
      </c>
      <c r="V796" s="39">
        <v>0</v>
      </c>
      <c r="W796" s="39">
        <v>0</v>
      </c>
      <c r="X796" s="39">
        <v>0</v>
      </c>
      <c r="Y796" s="39">
        <v>0</v>
      </c>
      <c r="Z796" s="39">
        <v>0</v>
      </c>
      <c r="AA796" s="39">
        <v>0</v>
      </c>
      <c r="AB796" s="39">
        <v>54.36</v>
      </c>
      <c r="AC796" s="39">
        <v>0</v>
      </c>
      <c r="AD796" s="39">
        <v>0</v>
      </c>
      <c r="AE796" s="39">
        <v>0</v>
      </c>
      <c r="AF796" s="39">
        <v>0</v>
      </c>
      <c r="AG796" s="39">
        <v>0</v>
      </c>
      <c r="AH796" s="39"/>
      <c r="AI796" s="39"/>
      <c r="AJ796" s="40"/>
      <c r="AK796" s="39">
        <f t="shared" si="60"/>
        <v>0</v>
      </c>
      <c r="AL796" s="39">
        <f t="shared" si="63"/>
        <v>4.53</v>
      </c>
      <c r="AM796" s="39">
        <f t="shared" si="64"/>
        <v>9.06</v>
      </c>
      <c r="AN796" s="39">
        <f t="shared" si="61"/>
        <v>5.4359999999999999</v>
      </c>
      <c r="AO796" s="39">
        <f t="shared" si="62"/>
        <v>54.36</v>
      </c>
    </row>
    <row r="797" spans="1:41" x14ac:dyDescent="0.3">
      <c r="A797" s="20">
        <v>1000184670</v>
      </c>
      <c r="B797" s="4" t="s">
        <v>147</v>
      </c>
      <c r="C797" s="21"/>
      <c r="D797" s="3"/>
      <c r="E797" s="20">
        <v>1000184758</v>
      </c>
      <c r="F797" s="4" t="s">
        <v>55</v>
      </c>
      <c r="G797" s="21">
        <v>1000189786</v>
      </c>
      <c r="H797" s="3" t="s">
        <v>104</v>
      </c>
      <c r="I797" s="21">
        <v>1000189270</v>
      </c>
      <c r="J797" s="3" t="s">
        <v>34</v>
      </c>
      <c r="K797" s="20" t="s">
        <v>26</v>
      </c>
      <c r="L797" s="39">
        <v>0</v>
      </c>
      <c r="M797" s="39">
        <v>0</v>
      </c>
      <c r="N797" s="39">
        <v>0</v>
      </c>
      <c r="O797" s="39">
        <v>0</v>
      </c>
      <c r="P797" s="39">
        <v>0</v>
      </c>
      <c r="Q797" s="39">
        <v>0</v>
      </c>
      <c r="R797" s="39">
        <v>0</v>
      </c>
      <c r="S797" s="39">
        <v>0</v>
      </c>
      <c r="T797" s="39">
        <v>0</v>
      </c>
      <c r="U797" s="39">
        <v>0</v>
      </c>
      <c r="V797" s="39">
        <v>0</v>
      </c>
      <c r="W797" s="39">
        <v>0</v>
      </c>
      <c r="X797" s="39">
        <v>627.9</v>
      </c>
      <c r="Y797" s="39">
        <v>0</v>
      </c>
      <c r="Z797" s="39">
        <v>659.34</v>
      </c>
      <c r="AA797" s="39">
        <v>0</v>
      </c>
      <c r="AB797" s="39">
        <v>0</v>
      </c>
      <c r="AC797" s="39">
        <v>0</v>
      </c>
      <c r="AD797" s="39">
        <v>696</v>
      </c>
      <c r="AE797" s="39">
        <v>0</v>
      </c>
      <c r="AF797" s="39">
        <v>0</v>
      </c>
      <c r="AG797" s="39">
        <v>0</v>
      </c>
      <c r="AH797" s="39"/>
      <c r="AI797" s="39"/>
      <c r="AJ797" s="40"/>
      <c r="AK797" s="39">
        <f t="shared" si="60"/>
        <v>0</v>
      </c>
      <c r="AL797" s="39">
        <f t="shared" si="63"/>
        <v>165.27</v>
      </c>
      <c r="AM797" s="39">
        <f t="shared" si="64"/>
        <v>116</v>
      </c>
      <c r="AN797" s="39">
        <f t="shared" si="61"/>
        <v>198.32400000000001</v>
      </c>
      <c r="AO797" s="39">
        <f t="shared" si="62"/>
        <v>1983.24</v>
      </c>
    </row>
    <row r="798" spans="1:41" x14ac:dyDescent="0.3">
      <c r="A798" s="20">
        <v>1000184670</v>
      </c>
      <c r="B798" s="4" t="s">
        <v>147</v>
      </c>
      <c r="C798" s="21"/>
      <c r="D798" s="3"/>
      <c r="E798" s="20">
        <v>1000184758</v>
      </c>
      <c r="F798" s="4" t="s">
        <v>55</v>
      </c>
      <c r="G798" s="21">
        <v>1000189786</v>
      </c>
      <c r="H798" s="3" t="s">
        <v>104</v>
      </c>
      <c r="I798" s="21">
        <v>1000189270</v>
      </c>
      <c r="J798" s="3" t="s">
        <v>34</v>
      </c>
      <c r="K798" s="20" t="s">
        <v>27</v>
      </c>
      <c r="L798" s="39">
        <v>0</v>
      </c>
      <c r="M798" s="39">
        <v>0</v>
      </c>
      <c r="N798" s="39">
        <v>0</v>
      </c>
      <c r="O798" s="39">
        <v>0</v>
      </c>
      <c r="P798" s="39">
        <v>0</v>
      </c>
      <c r="Q798" s="39">
        <v>0</v>
      </c>
      <c r="R798" s="39">
        <v>0</v>
      </c>
      <c r="S798" s="39">
        <v>0</v>
      </c>
      <c r="T798" s="39">
        <v>0</v>
      </c>
      <c r="U798" s="39">
        <v>0</v>
      </c>
      <c r="V798" s="39">
        <v>0</v>
      </c>
      <c r="W798" s="39">
        <v>0</v>
      </c>
      <c r="X798" s="39">
        <v>0</v>
      </c>
      <c r="Y798" s="39">
        <v>0</v>
      </c>
      <c r="Z798" s="39">
        <v>1938.3</v>
      </c>
      <c r="AA798" s="39">
        <v>0</v>
      </c>
      <c r="AB798" s="39">
        <v>0</v>
      </c>
      <c r="AC798" s="39">
        <v>0</v>
      </c>
      <c r="AD798" s="39">
        <v>0</v>
      </c>
      <c r="AE798" s="39">
        <v>0</v>
      </c>
      <c r="AF798" s="39">
        <v>0</v>
      </c>
      <c r="AG798" s="39">
        <v>0</v>
      </c>
      <c r="AH798" s="39"/>
      <c r="AI798" s="39"/>
      <c r="AJ798" s="40"/>
      <c r="AK798" s="39">
        <f t="shared" si="60"/>
        <v>0</v>
      </c>
      <c r="AL798" s="39">
        <f t="shared" si="63"/>
        <v>161.52500000000001</v>
      </c>
      <c r="AM798" s="39">
        <f t="shared" si="64"/>
        <v>0</v>
      </c>
      <c r="AN798" s="39">
        <f t="shared" si="61"/>
        <v>193.82999999999998</v>
      </c>
      <c r="AO798" s="39">
        <f t="shared" si="62"/>
        <v>1938.3</v>
      </c>
    </row>
    <row r="799" spans="1:41" x14ac:dyDescent="0.3">
      <c r="A799" s="20">
        <v>1000184670</v>
      </c>
      <c r="B799" s="4" t="s">
        <v>147</v>
      </c>
      <c r="C799" s="21"/>
      <c r="D799" s="3"/>
      <c r="E799" s="20">
        <v>1000184758</v>
      </c>
      <c r="F799" s="4" t="s">
        <v>55</v>
      </c>
      <c r="G799" s="21">
        <v>1000189786</v>
      </c>
      <c r="H799" s="3" t="s">
        <v>104</v>
      </c>
      <c r="I799" s="21">
        <v>1000189270</v>
      </c>
      <c r="J799" s="3" t="s">
        <v>34</v>
      </c>
      <c r="K799" s="20" t="s">
        <v>25</v>
      </c>
      <c r="L799" s="39">
        <v>0</v>
      </c>
      <c r="M799" s="39">
        <v>0</v>
      </c>
      <c r="N799" s="39">
        <v>0</v>
      </c>
      <c r="O799" s="39">
        <v>0</v>
      </c>
      <c r="P799" s="39">
        <v>0</v>
      </c>
      <c r="Q799" s="39">
        <v>0</v>
      </c>
      <c r="R799" s="39">
        <v>0</v>
      </c>
      <c r="S799" s="39">
        <v>0</v>
      </c>
      <c r="T799" s="39">
        <v>0</v>
      </c>
      <c r="U799" s="39">
        <v>0</v>
      </c>
      <c r="V799" s="39">
        <v>0</v>
      </c>
      <c r="W799" s="39">
        <v>0</v>
      </c>
      <c r="X799" s="39">
        <v>0</v>
      </c>
      <c r="Y799" s="39">
        <v>0</v>
      </c>
      <c r="Z799" s="39">
        <v>180</v>
      </c>
      <c r="AA799" s="39">
        <v>0</v>
      </c>
      <c r="AB799" s="39">
        <v>0</v>
      </c>
      <c r="AC799" s="39">
        <v>0</v>
      </c>
      <c r="AD799" s="39">
        <v>540.54</v>
      </c>
      <c r="AE799" s="39">
        <v>0</v>
      </c>
      <c r="AF799" s="39">
        <v>0</v>
      </c>
      <c r="AG799" s="39">
        <v>0</v>
      </c>
      <c r="AH799" s="39"/>
      <c r="AI799" s="39"/>
      <c r="AJ799" s="40"/>
      <c r="AK799" s="39">
        <f t="shared" si="60"/>
        <v>0</v>
      </c>
      <c r="AL799" s="39">
        <f t="shared" si="63"/>
        <v>60.044999999999995</v>
      </c>
      <c r="AM799" s="39">
        <f t="shared" si="64"/>
        <v>90.089999999999989</v>
      </c>
      <c r="AN799" s="39">
        <f t="shared" si="61"/>
        <v>72.054000000000002</v>
      </c>
      <c r="AO799" s="39">
        <f t="shared" si="62"/>
        <v>720.54</v>
      </c>
    </row>
    <row r="800" spans="1:41" x14ac:dyDescent="0.3">
      <c r="A800" s="20">
        <v>1000184670</v>
      </c>
      <c r="B800" s="4" t="s">
        <v>147</v>
      </c>
      <c r="C800" s="21"/>
      <c r="D800" s="3"/>
      <c r="E800" s="20">
        <v>1000184757</v>
      </c>
      <c r="F800" s="4" t="s">
        <v>62</v>
      </c>
      <c r="G800" s="21">
        <v>1000189787</v>
      </c>
      <c r="H800" s="3" t="s">
        <v>63</v>
      </c>
      <c r="I800" s="21">
        <v>1000189270</v>
      </c>
      <c r="J800" s="3" t="s">
        <v>34</v>
      </c>
      <c r="K800" s="20" t="s">
        <v>124</v>
      </c>
      <c r="L800" s="39">
        <v>0</v>
      </c>
      <c r="M800" s="39">
        <v>0</v>
      </c>
      <c r="N800" s="39">
        <v>0</v>
      </c>
      <c r="O800" s="39">
        <v>0</v>
      </c>
      <c r="P800" s="39">
        <v>0</v>
      </c>
      <c r="Q800" s="39">
        <v>0</v>
      </c>
      <c r="R800" s="39">
        <v>0</v>
      </c>
      <c r="S800" s="39">
        <v>0</v>
      </c>
      <c r="T800" s="39">
        <v>0</v>
      </c>
      <c r="U800" s="39">
        <v>0</v>
      </c>
      <c r="V800" s="39">
        <v>0</v>
      </c>
      <c r="W800" s="39">
        <v>0</v>
      </c>
      <c r="X800" s="39">
        <v>0</v>
      </c>
      <c r="Y800" s="39">
        <v>0</v>
      </c>
      <c r="Z800" s="39">
        <v>0</v>
      </c>
      <c r="AA800" s="39">
        <v>0</v>
      </c>
      <c r="AB800" s="39">
        <v>0</v>
      </c>
      <c r="AC800" s="39">
        <v>0</v>
      </c>
      <c r="AD800" s="39">
        <v>0</v>
      </c>
      <c r="AE800" s="39">
        <v>0</v>
      </c>
      <c r="AF800" s="39">
        <v>0</v>
      </c>
      <c r="AG800" s="39">
        <v>0</v>
      </c>
      <c r="AH800" s="39"/>
      <c r="AI800" s="39"/>
      <c r="AJ800" s="40"/>
      <c r="AK800" s="39">
        <f t="shared" si="60"/>
        <v>0</v>
      </c>
      <c r="AL800" s="39">
        <f t="shared" si="63"/>
        <v>0</v>
      </c>
      <c r="AM800" s="39">
        <f t="shared" si="64"/>
        <v>0</v>
      </c>
      <c r="AN800" s="39">
        <f t="shared" si="61"/>
        <v>0</v>
      </c>
      <c r="AO800" s="39">
        <f t="shared" si="62"/>
        <v>0</v>
      </c>
    </row>
    <row r="801" spans="1:41" x14ac:dyDescent="0.3">
      <c r="A801" s="20">
        <v>1000184670</v>
      </c>
      <c r="B801" s="4" t="s">
        <v>147</v>
      </c>
      <c r="C801" s="21"/>
      <c r="D801" s="3"/>
      <c r="E801" s="20">
        <v>1000184757</v>
      </c>
      <c r="F801" s="4" t="s">
        <v>62</v>
      </c>
      <c r="G801" s="21">
        <v>1000189787</v>
      </c>
      <c r="H801" s="3" t="s">
        <v>63</v>
      </c>
      <c r="I801" s="21">
        <v>1000189270</v>
      </c>
      <c r="J801" s="3" t="s">
        <v>34</v>
      </c>
      <c r="K801" s="20" t="s">
        <v>13</v>
      </c>
      <c r="L801" s="39">
        <v>0</v>
      </c>
      <c r="M801" s="39">
        <v>0</v>
      </c>
      <c r="N801" s="39">
        <v>0</v>
      </c>
      <c r="O801" s="39">
        <v>0</v>
      </c>
      <c r="P801" s="39">
        <v>0</v>
      </c>
      <c r="Q801" s="39">
        <v>0</v>
      </c>
      <c r="R801" s="39">
        <v>0</v>
      </c>
      <c r="S801" s="39">
        <v>0</v>
      </c>
      <c r="T801" s="39">
        <v>0</v>
      </c>
      <c r="U801" s="39">
        <v>0</v>
      </c>
      <c r="V801" s="39">
        <v>0</v>
      </c>
      <c r="W801" s="39">
        <v>0</v>
      </c>
      <c r="X801" s="39">
        <v>0</v>
      </c>
      <c r="Y801" s="39">
        <v>0</v>
      </c>
      <c r="Z801" s="39">
        <v>0</v>
      </c>
      <c r="AA801" s="39">
        <v>0</v>
      </c>
      <c r="AB801" s="39">
        <v>0</v>
      </c>
      <c r="AC801" s="39">
        <v>0</v>
      </c>
      <c r="AD801" s="39">
        <v>0</v>
      </c>
      <c r="AE801" s="39">
        <v>0</v>
      </c>
      <c r="AF801" s="39">
        <v>0</v>
      </c>
      <c r="AG801" s="39">
        <v>0</v>
      </c>
      <c r="AH801" s="39"/>
      <c r="AI801" s="39"/>
      <c r="AJ801" s="40"/>
      <c r="AK801" s="39">
        <f t="shared" si="60"/>
        <v>0</v>
      </c>
      <c r="AL801" s="39">
        <f t="shared" si="63"/>
        <v>0</v>
      </c>
      <c r="AM801" s="39">
        <f t="shared" si="64"/>
        <v>0</v>
      </c>
      <c r="AN801" s="39">
        <f t="shared" si="61"/>
        <v>0</v>
      </c>
      <c r="AO801" s="39">
        <f t="shared" si="62"/>
        <v>0</v>
      </c>
    </row>
    <row r="802" spans="1:41" x14ac:dyDescent="0.3">
      <c r="A802" s="20">
        <v>1000184670</v>
      </c>
      <c r="B802" s="4" t="s">
        <v>147</v>
      </c>
      <c r="C802" s="21"/>
      <c r="D802" s="3"/>
      <c r="E802" s="20">
        <v>1000184757</v>
      </c>
      <c r="F802" s="4" t="s">
        <v>62</v>
      </c>
      <c r="G802" s="21">
        <v>1000189787</v>
      </c>
      <c r="H802" s="3" t="s">
        <v>63</v>
      </c>
      <c r="I802" s="21">
        <v>1000189270</v>
      </c>
      <c r="J802" s="3" t="s">
        <v>34</v>
      </c>
      <c r="K802" s="20" t="s">
        <v>14</v>
      </c>
      <c r="L802" s="39">
        <v>0</v>
      </c>
      <c r="M802" s="39">
        <v>0</v>
      </c>
      <c r="N802" s="39">
        <v>0</v>
      </c>
      <c r="O802" s="39">
        <v>0</v>
      </c>
      <c r="P802" s="39">
        <v>0</v>
      </c>
      <c r="Q802" s="39">
        <v>0</v>
      </c>
      <c r="R802" s="39">
        <v>0</v>
      </c>
      <c r="S802" s="39">
        <v>0</v>
      </c>
      <c r="T802" s="39">
        <v>0</v>
      </c>
      <c r="U802" s="39">
        <v>0</v>
      </c>
      <c r="V802" s="39">
        <v>0</v>
      </c>
      <c r="W802" s="39">
        <v>0</v>
      </c>
      <c r="X802" s="39">
        <v>0</v>
      </c>
      <c r="Y802" s="39">
        <v>0</v>
      </c>
      <c r="Z802" s="39">
        <v>0</v>
      </c>
      <c r="AA802" s="39">
        <v>0</v>
      </c>
      <c r="AB802" s="39">
        <v>0</v>
      </c>
      <c r="AC802" s="39">
        <v>0</v>
      </c>
      <c r="AD802" s="39">
        <v>0</v>
      </c>
      <c r="AE802" s="39">
        <v>0</v>
      </c>
      <c r="AF802" s="39">
        <v>0</v>
      </c>
      <c r="AG802" s="39">
        <v>0</v>
      </c>
      <c r="AH802" s="39"/>
      <c r="AI802" s="39"/>
      <c r="AJ802" s="40"/>
      <c r="AK802" s="39">
        <f t="shared" si="60"/>
        <v>0</v>
      </c>
      <c r="AL802" s="39">
        <f t="shared" si="63"/>
        <v>0</v>
      </c>
      <c r="AM802" s="39">
        <f t="shared" si="64"/>
        <v>0</v>
      </c>
      <c r="AN802" s="39">
        <f t="shared" si="61"/>
        <v>0</v>
      </c>
      <c r="AO802" s="39">
        <f t="shared" si="62"/>
        <v>0</v>
      </c>
    </row>
    <row r="803" spans="1:41" x14ac:dyDescent="0.3">
      <c r="A803" s="20">
        <v>1000184670</v>
      </c>
      <c r="B803" s="4" t="s">
        <v>147</v>
      </c>
      <c r="C803" s="21"/>
      <c r="D803" s="3"/>
      <c r="E803" s="20">
        <v>1000184757</v>
      </c>
      <c r="F803" s="4" t="s">
        <v>62</v>
      </c>
      <c r="G803" s="21">
        <v>1000189787</v>
      </c>
      <c r="H803" s="3" t="s">
        <v>63</v>
      </c>
      <c r="I803" s="21">
        <v>1000189270</v>
      </c>
      <c r="J803" s="3" t="s">
        <v>34</v>
      </c>
      <c r="K803" s="20" t="s">
        <v>16</v>
      </c>
      <c r="L803" s="39">
        <v>0</v>
      </c>
      <c r="M803" s="39">
        <v>0</v>
      </c>
      <c r="N803" s="39">
        <v>0</v>
      </c>
      <c r="O803" s="39">
        <v>0</v>
      </c>
      <c r="P803" s="39">
        <v>0</v>
      </c>
      <c r="Q803" s="39">
        <v>0</v>
      </c>
      <c r="R803" s="39">
        <v>0</v>
      </c>
      <c r="S803" s="39">
        <v>0</v>
      </c>
      <c r="T803" s="39">
        <v>0</v>
      </c>
      <c r="U803" s="39">
        <v>0</v>
      </c>
      <c r="V803" s="39">
        <v>0</v>
      </c>
      <c r="W803" s="39">
        <v>0</v>
      </c>
      <c r="X803" s="39">
        <v>0</v>
      </c>
      <c r="Y803" s="39">
        <v>0</v>
      </c>
      <c r="Z803" s="39">
        <v>0</v>
      </c>
      <c r="AA803" s="39">
        <v>0</v>
      </c>
      <c r="AB803" s="39">
        <v>0</v>
      </c>
      <c r="AC803" s="39">
        <v>0</v>
      </c>
      <c r="AD803" s="39">
        <v>0</v>
      </c>
      <c r="AE803" s="39">
        <v>0</v>
      </c>
      <c r="AF803" s="39">
        <v>0</v>
      </c>
      <c r="AG803" s="39">
        <v>0</v>
      </c>
      <c r="AH803" s="39"/>
      <c r="AI803" s="39"/>
      <c r="AJ803" s="40"/>
      <c r="AK803" s="39">
        <f t="shared" si="60"/>
        <v>0</v>
      </c>
      <c r="AL803" s="39">
        <f t="shared" si="63"/>
        <v>0</v>
      </c>
      <c r="AM803" s="39">
        <f t="shared" si="64"/>
        <v>0</v>
      </c>
      <c r="AN803" s="39">
        <f t="shared" si="61"/>
        <v>0</v>
      </c>
      <c r="AO803" s="39">
        <f t="shared" si="62"/>
        <v>0</v>
      </c>
    </row>
    <row r="804" spans="1:41" x14ac:dyDescent="0.3">
      <c r="A804" s="20">
        <v>1000184670</v>
      </c>
      <c r="B804" s="4" t="s">
        <v>147</v>
      </c>
      <c r="C804" s="21"/>
      <c r="D804" s="3"/>
      <c r="E804" s="20">
        <v>1000184757</v>
      </c>
      <c r="F804" s="4" t="s">
        <v>62</v>
      </c>
      <c r="G804" s="21">
        <v>1000189787</v>
      </c>
      <c r="H804" s="3" t="s">
        <v>63</v>
      </c>
      <c r="I804" s="21">
        <v>1000189270</v>
      </c>
      <c r="J804" s="3" t="s">
        <v>34</v>
      </c>
      <c r="K804" s="20" t="s">
        <v>15</v>
      </c>
      <c r="L804" s="39">
        <v>0</v>
      </c>
      <c r="M804" s="39">
        <v>0</v>
      </c>
      <c r="N804" s="39">
        <v>0</v>
      </c>
      <c r="O804" s="39">
        <v>0</v>
      </c>
      <c r="P804" s="39">
        <v>0</v>
      </c>
      <c r="Q804" s="39">
        <v>0</v>
      </c>
      <c r="R804" s="39">
        <v>0</v>
      </c>
      <c r="S804" s="39">
        <v>0</v>
      </c>
      <c r="T804" s="39">
        <v>0</v>
      </c>
      <c r="U804" s="39">
        <v>0</v>
      </c>
      <c r="V804" s="39">
        <v>0</v>
      </c>
      <c r="W804" s="39">
        <v>0</v>
      </c>
      <c r="X804" s="39">
        <v>0</v>
      </c>
      <c r="Y804" s="39">
        <v>0</v>
      </c>
      <c r="Z804" s="39">
        <v>0</v>
      </c>
      <c r="AA804" s="39">
        <v>0</v>
      </c>
      <c r="AB804" s="39">
        <v>0</v>
      </c>
      <c r="AC804" s="39">
        <v>0</v>
      </c>
      <c r="AD804" s="39">
        <v>0</v>
      </c>
      <c r="AE804" s="39">
        <v>0</v>
      </c>
      <c r="AF804" s="39">
        <v>0</v>
      </c>
      <c r="AG804" s="39">
        <v>0</v>
      </c>
      <c r="AH804" s="39"/>
      <c r="AI804" s="39"/>
      <c r="AJ804" s="40"/>
      <c r="AK804" s="39">
        <f t="shared" si="60"/>
        <v>0</v>
      </c>
      <c r="AL804" s="39">
        <f t="shared" si="63"/>
        <v>0</v>
      </c>
      <c r="AM804" s="39">
        <f t="shared" si="64"/>
        <v>0</v>
      </c>
      <c r="AN804" s="39">
        <f t="shared" si="61"/>
        <v>0</v>
      </c>
      <c r="AO804" s="39">
        <f t="shared" si="62"/>
        <v>0</v>
      </c>
    </row>
    <row r="805" spans="1:41" x14ac:dyDescent="0.3">
      <c r="A805" s="20">
        <v>1000184670</v>
      </c>
      <c r="B805" s="4" t="s">
        <v>147</v>
      </c>
      <c r="C805" s="21"/>
      <c r="D805" s="3"/>
      <c r="E805" s="20">
        <v>1000184757</v>
      </c>
      <c r="F805" s="4" t="s">
        <v>62</v>
      </c>
      <c r="G805" s="21">
        <v>1000189787</v>
      </c>
      <c r="H805" s="3" t="s">
        <v>63</v>
      </c>
      <c r="I805" s="21">
        <v>1000189270</v>
      </c>
      <c r="J805" s="3" t="s">
        <v>34</v>
      </c>
      <c r="K805" s="20" t="s">
        <v>33</v>
      </c>
      <c r="L805" s="39">
        <v>0</v>
      </c>
      <c r="M805" s="39">
        <v>0</v>
      </c>
      <c r="N805" s="39">
        <v>0</v>
      </c>
      <c r="O805" s="39">
        <v>0</v>
      </c>
      <c r="P805" s="39">
        <v>0</v>
      </c>
      <c r="Q805" s="39">
        <v>0</v>
      </c>
      <c r="R805" s="39">
        <v>0</v>
      </c>
      <c r="S805" s="39">
        <v>0</v>
      </c>
      <c r="T805" s="39">
        <v>0</v>
      </c>
      <c r="U805" s="39">
        <v>0</v>
      </c>
      <c r="V805" s="39">
        <v>0</v>
      </c>
      <c r="W805" s="39">
        <v>0</v>
      </c>
      <c r="X805" s="39">
        <v>0</v>
      </c>
      <c r="Y805" s="39">
        <v>0</v>
      </c>
      <c r="Z805" s="39">
        <v>0</v>
      </c>
      <c r="AA805" s="39">
        <v>0</v>
      </c>
      <c r="AB805" s="39">
        <v>0</v>
      </c>
      <c r="AC805" s="39">
        <v>0</v>
      </c>
      <c r="AD805" s="39">
        <v>0</v>
      </c>
      <c r="AE805" s="39">
        <v>0</v>
      </c>
      <c r="AF805" s="39">
        <v>0</v>
      </c>
      <c r="AG805" s="39">
        <v>0</v>
      </c>
      <c r="AH805" s="39"/>
      <c r="AI805" s="39"/>
      <c r="AJ805" s="40"/>
      <c r="AK805" s="39">
        <f t="shared" si="60"/>
        <v>0</v>
      </c>
      <c r="AL805" s="39">
        <f t="shared" si="63"/>
        <v>0</v>
      </c>
      <c r="AM805" s="39">
        <f t="shared" si="64"/>
        <v>0</v>
      </c>
      <c r="AN805" s="39">
        <f t="shared" si="61"/>
        <v>0</v>
      </c>
      <c r="AO805" s="39">
        <f t="shared" si="62"/>
        <v>0</v>
      </c>
    </row>
    <row r="806" spans="1:41" x14ac:dyDescent="0.3">
      <c r="A806" s="20">
        <v>1000184670</v>
      </c>
      <c r="B806" s="4" t="s">
        <v>147</v>
      </c>
      <c r="C806" s="21"/>
      <c r="D806" s="3"/>
      <c r="E806" s="20">
        <v>1000184757</v>
      </c>
      <c r="F806" s="4" t="s">
        <v>62</v>
      </c>
      <c r="G806" s="21">
        <v>1000189787</v>
      </c>
      <c r="H806" s="3" t="s">
        <v>63</v>
      </c>
      <c r="I806" s="21">
        <v>1000189270</v>
      </c>
      <c r="J806" s="3" t="s">
        <v>34</v>
      </c>
      <c r="K806" s="20" t="s">
        <v>19</v>
      </c>
      <c r="L806" s="39">
        <v>0</v>
      </c>
      <c r="M806" s="39">
        <v>0</v>
      </c>
      <c r="N806" s="39">
        <v>0</v>
      </c>
      <c r="O806" s="39">
        <v>0</v>
      </c>
      <c r="P806" s="39">
        <v>0</v>
      </c>
      <c r="Q806" s="39">
        <v>0</v>
      </c>
      <c r="R806" s="39">
        <v>0</v>
      </c>
      <c r="S806" s="39">
        <v>0</v>
      </c>
      <c r="T806" s="39">
        <v>0</v>
      </c>
      <c r="U806" s="39">
        <v>0</v>
      </c>
      <c r="V806" s="39">
        <v>0</v>
      </c>
      <c r="W806" s="39">
        <v>0</v>
      </c>
      <c r="X806" s="39">
        <v>0</v>
      </c>
      <c r="Y806" s="39">
        <v>0</v>
      </c>
      <c r="Z806" s="39">
        <v>0</v>
      </c>
      <c r="AA806" s="39">
        <v>0</v>
      </c>
      <c r="AB806" s="39">
        <v>0</v>
      </c>
      <c r="AC806" s="39">
        <v>0</v>
      </c>
      <c r="AD806" s="39">
        <v>0</v>
      </c>
      <c r="AE806" s="39">
        <v>0</v>
      </c>
      <c r="AF806" s="39">
        <v>0</v>
      </c>
      <c r="AG806" s="39">
        <v>0</v>
      </c>
      <c r="AH806" s="39"/>
      <c r="AI806" s="39"/>
      <c r="AJ806" s="40"/>
      <c r="AK806" s="39">
        <f t="shared" si="60"/>
        <v>0</v>
      </c>
      <c r="AL806" s="39">
        <f t="shared" si="63"/>
        <v>0</v>
      </c>
      <c r="AM806" s="39">
        <f t="shared" si="64"/>
        <v>0</v>
      </c>
      <c r="AN806" s="39">
        <f t="shared" si="61"/>
        <v>0</v>
      </c>
      <c r="AO806" s="39">
        <f t="shared" si="62"/>
        <v>0</v>
      </c>
    </row>
    <row r="807" spans="1:41" x14ac:dyDescent="0.3">
      <c r="A807" s="20">
        <v>1000184670</v>
      </c>
      <c r="B807" s="4" t="s">
        <v>147</v>
      </c>
      <c r="C807" s="21"/>
      <c r="D807" s="3"/>
      <c r="E807" s="20">
        <v>1000184757</v>
      </c>
      <c r="F807" s="4" t="s">
        <v>62</v>
      </c>
      <c r="G807" s="21">
        <v>1000189787</v>
      </c>
      <c r="H807" s="3" t="s">
        <v>63</v>
      </c>
      <c r="I807" s="21">
        <v>1000189270</v>
      </c>
      <c r="J807" s="3" t="s">
        <v>34</v>
      </c>
      <c r="K807" s="20" t="s">
        <v>17</v>
      </c>
      <c r="L807" s="39">
        <v>0</v>
      </c>
      <c r="M807" s="39">
        <v>0</v>
      </c>
      <c r="N807" s="39">
        <v>0</v>
      </c>
      <c r="O807" s="39">
        <v>0</v>
      </c>
      <c r="P807" s="39">
        <v>0</v>
      </c>
      <c r="Q807" s="39">
        <v>0</v>
      </c>
      <c r="R807" s="39">
        <v>0</v>
      </c>
      <c r="S807" s="39">
        <v>0</v>
      </c>
      <c r="T807" s="39">
        <v>0</v>
      </c>
      <c r="U807" s="39">
        <v>0</v>
      </c>
      <c r="V807" s="39">
        <v>0</v>
      </c>
      <c r="W807" s="39">
        <v>0</v>
      </c>
      <c r="X807" s="39">
        <v>0</v>
      </c>
      <c r="Y807" s="39">
        <v>0</v>
      </c>
      <c r="Z807" s="39">
        <v>0</v>
      </c>
      <c r="AA807" s="39">
        <v>0</v>
      </c>
      <c r="AB807" s="39">
        <v>0</v>
      </c>
      <c r="AC807" s="39">
        <v>0</v>
      </c>
      <c r="AD807" s="39">
        <v>0</v>
      </c>
      <c r="AE807" s="39">
        <v>0</v>
      </c>
      <c r="AF807" s="39">
        <v>0</v>
      </c>
      <c r="AG807" s="39">
        <v>0</v>
      </c>
      <c r="AH807" s="39"/>
      <c r="AI807" s="39"/>
      <c r="AJ807" s="40"/>
      <c r="AK807" s="39">
        <f t="shared" si="60"/>
        <v>0</v>
      </c>
      <c r="AL807" s="39">
        <f t="shared" si="63"/>
        <v>0</v>
      </c>
      <c r="AM807" s="39">
        <f t="shared" si="64"/>
        <v>0</v>
      </c>
      <c r="AN807" s="39">
        <f t="shared" si="61"/>
        <v>0</v>
      </c>
      <c r="AO807" s="39">
        <f t="shared" si="62"/>
        <v>0</v>
      </c>
    </row>
    <row r="808" spans="1:41" x14ac:dyDescent="0.3">
      <c r="A808" s="20">
        <v>1000184670</v>
      </c>
      <c r="B808" s="4" t="s">
        <v>147</v>
      </c>
      <c r="C808" s="21"/>
      <c r="D808" s="3"/>
      <c r="E808" s="20">
        <v>1000184757</v>
      </c>
      <c r="F808" s="4" t="s">
        <v>62</v>
      </c>
      <c r="G808" s="21">
        <v>1000189787</v>
      </c>
      <c r="H808" s="3" t="s">
        <v>63</v>
      </c>
      <c r="I808" s="21">
        <v>1000189270</v>
      </c>
      <c r="J808" s="3" t="s">
        <v>34</v>
      </c>
      <c r="K808" s="20" t="s">
        <v>24</v>
      </c>
      <c r="L808" s="39">
        <v>0</v>
      </c>
      <c r="M808" s="39">
        <v>0</v>
      </c>
      <c r="N808" s="39">
        <v>0</v>
      </c>
      <c r="O808" s="39">
        <v>0</v>
      </c>
      <c r="P808" s="39">
        <v>0</v>
      </c>
      <c r="Q808" s="39">
        <v>0</v>
      </c>
      <c r="R808" s="39">
        <v>0</v>
      </c>
      <c r="S808" s="39">
        <v>0</v>
      </c>
      <c r="T808" s="39">
        <v>0</v>
      </c>
      <c r="U808" s="39">
        <v>0</v>
      </c>
      <c r="V808" s="39">
        <v>0</v>
      </c>
      <c r="W808" s="39">
        <v>0</v>
      </c>
      <c r="X808" s="39">
        <v>0</v>
      </c>
      <c r="Y808" s="39">
        <v>0</v>
      </c>
      <c r="Z808" s="39">
        <v>0</v>
      </c>
      <c r="AA808" s="39">
        <v>0</v>
      </c>
      <c r="AB808" s="39">
        <v>0</v>
      </c>
      <c r="AC808" s="39">
        <v>0</v>
      </c>
      <c r="AD808" s="39">
        <v>0</v>
      </c>
      <c r="AE808" s="39">
        <v>0</v>
      </c>
      <c r="AF808" s="39">
        <v>0</v>
      </c>
      <c r="AG808" s="39">
        <v>0</v>
      </c>
      <c r="AH808" s="39"/>
      <c r="AI808" s="39"/>
      <c r="AJ808" s="40"/>
      <c r="AK808" s="39">
        <f t="shared" si="60"/>
        <v>0</v>
      </c>
      <c r="AL808" s="39">
        <f t="shared" si="63"/>
        <v>0</v>
      </c>
      <c r="AM808" s="39">
        <f t="shared" si="64"/>
        <v>0</v>
      </c>
      <c r="AN808" s="39">
        <f t="shared" si="61"/>
        <v>0</v>
      </c>
      <c r="AO808" s="39">
        <f t="shared" si="62"/>
        <v>0</v>
      </c>
    </row>
    <row r="809" spans="1:41" x14ac:dyDescent="0.3">
      <c r="A809" s="20">
        <v>1000184670</v>
      </c>
      <c r="B809" s="4" t="s">
        <v>147</v>
      </c>
      <c r="C809" s="21"/>
      <c r="D809" s="3"/>
      <c r="E809" s="20">
        <v>1000184757</v>
      </c>
      <c r="F809" s="4" t="s">
        <v>62</v>
      </c>
      <c r="G809" s="19">
        <v>1000189787</v>
      </c>
      <c r="H809" s="3" t="s">
        <v>63</v>
      </c>
      <c r="I809" s="21">
        <v>1000189270</v>
      </c>
      <c r="J809" s="3" t="s">
        <v>34</v>
      </c>
      <c r="K809" s="20" t="s">
        <v>18</v>
      </c>
      <c r="L809" s="39">
        <v>0</v>
      </c>
      <c r="M809" s="39">
        <v>0</v>
      </c>
      <c r="N809" s="39">
        <v>0</v>
      </c>
      <c r="O809" s="39">
        <v>0</v>
      </c>
      <c r="P809" s="39">
        <v>0</v>
      </c>
      <c r="Q809" s="39">
        <v>0</v>
      </c>
      <c r="R809" s="39">
        <v>0</v>
      </c>
      <c r="S809" s="39">
        <v>0</v>
      </c>
      <c r="T809" s="39">
        <v>0</v>
      </c>
      <c r="U809" s="39">
        <v>0</v>
      </c>
      <c r="V809" s="39">
        <v>0</v>
      </c>
      <c r="W809" s="39">
        <v>0</v>
      </c>
      <c r="X809" s="39">
        <v>0</v>
      </c>
      <c r="Y809" s="39">
        <v>0</v>
      </c>
      <c r="Z809" s="39">
        <v>0</v>
      </c>
      <c r="AA809" s="39">
        <v>0</v>
      </c>
      <c r="AB809" s="39">
        <v>0</v>
      </c>
      <c r="AC809" s="39">
        <v>0</v>
      </c>
      <c r="AD809" s="39">
        <v>0</v>
      </c>
      <c r="AE809" s="39">
        <v>0</v>
      </c>
      <c r="AF809" s="39">
        <v>0</v>
      </c>
      <c r="AG809" s="39">
        <v>0</v>
      </c>
      <c r="AH809" s="39"/>
      <c r="AI809" s="39"/>
      <c r="AJ809" s="40"/>
      <c r="AK809" s="39">
        <f t="shared" si="60"/>
        <v>0</v>
      </c>
      <c r="AL809" s="39">
        <f t="shared" si="63"/>
        <v>0</v>
      </c>
      <c r="AM809" s="39">
        <f t="shared" si="64"/>
        <v>0</v>
      </c>
      <c r="AN809" s="39">
        <f t="shared" si="61"/>
        <v>0</v>
      </c>
      <c r="AO809" s="39">
        <f t="shared" si="62"/>
        <v>0</v>
      </c>
    </row>
    <row r="810" spans="1:41" x14ac:dyDescent="0.3">
      <c r="A810" s="20">
        <v>1000184670</v>
      </c>
      <c r="B810" s="4" t="s">
        <v>147</v>
      </c>
      <c r="C810" s="21"/>
      <c r="D810" s="3"/>
      <c r="E810" s="20">
        <v>1000184757</v>
      </c>
      <c r="F810" s="4" t="s">
        <v>62</v>
      </c>
      <c r="G810" s="19">
        <v>1000189787</v>
      </c>
      <c r="H810" s="3" t="s">
        <v>63</v>
      </c>
      <c r="I810" s="21">
        <v>1000189270</v>
      </c>
      <c r="J810" s="3" t="s">
        <v>34</v>
      </c>
      <c r="K810" s="20" t="s">
        <v>29</v>
      </c>
      <c r="L810" s="39">
        <v>0</v>
      </c>
      <c r="M810" s="39">
        <v>0</v>
      </c>
      <c r="N810" s="39">
        <v>0</v>
      </c>
      <c r="O810" s="39">
        <v>0</v>
      </c>
      <c r="P810" s="39">
        <v>0</v>
      </c>
      <c r="Q810" s="39">
        <v>0</v>
      </c>
      <c r="R810" s="39">
        <v>0</v>
      </c>
      <c r="S810" s="39">
        <v>0</v>
      </c>
      <c r="T810" s="39">
        <v>0</v>
      </c>
      <c r="U810" s="39">
        <v>0</v>
      </c>
      <c r="V810" s="39">
        <v>0</v>
      </c>
      <c r="W810" s="39">
        <v>0</v>
      </c>
      <c r="X810" s="39">
        <v>0</v>
      </c>
      <c r="Y810" s="39">
        <v>0</v>
      </c>
      <c r="Z810" s="39">
        <v>0</v>
      </c>
      <c r="AA810" s="39">
        <v>0</v>
      </c>
      <c r="AB810" s="39">
        <v>0</v>
      </c>
      <c r="AC810" s="39">
        <v>0</v>
      </c>
      <c r="AD810" s="39">
        <v>0</v>
      </c>
      <c r="AE810" s="39">
        <v>0</v>
      </c>
      <c r="AF810" s="39">
        <v>0</v>
      </c>
      <c r="AG810" s="39">
        <v>0</v>
      </c>
      <c r="AH810" s="39"/>
      <c r="AI810" s="39"/>
      <c r="AJ810" s="40"/>
      <c r="AK810" s="39">
        <f t="shared" si="60"/>
        <v>0</v>
      </c>
      <c r="AL810" s="39">
        <f t="shared" si="63"/>
        <v>0</v>
      </c>
      <c r="AM810" s="39">
        <f t="shared" si="64"/>
        <v>0</v>
      </c>
      <c r="AN810" s="39">
        <f t="shared" si="61"/>
        <v>0</v>
      </c>
      <c r="AO810" s="39">
        <f t="shared" si="62"/>
        <v>0</v>
      </c>
    </row>
    <row r="811" spans="1:41" x14ac:dyDescent="0.3">
      <c r="A811" s="20">
        <v>1000184670</v>
      </c>
      <c r="B811" s="4" t="s">
        <v>147</v>
      </c>
      <c r="C811" s="21"/>
      <c r="D811" s="3"/>
      <c r="E811" s="20">
        <v>1000184757</v>
      </c>
      <c r="F811" s="4" t="s">
        <v>62</v>
      </c>
      <c r="G811" s="19">
        <v>1000189787</v>
      </c>
      <c r="H811" s="3" t="s">
        <v>63</v>
      </c>
      <c r="I811" s="21">
        <v>1000189270</v>
      </c>
      <c r="J811" s="3" t="s">
        <v>34</v>
      </c>
      <c r="K811" s="20" t="s">
        <v>21</v>
      </c>
      <c r="L811" s="39">
        <v>0</v>
      </c>
      <c r="M811" s="39">
        <v>0</v>
      </c>
      <c r="N811" s="39">
        <v>0</v>
      </c>
      <c r="O811" s="39">
        <v>0</v>
      </c>
      <c r="P811" s="39">
        <v>0</v>
      </c>
      <c r="Q811" s="39">
        <v>0</v>
      </c>
      <c r="R811" s="39">
        <v>0</v>
      </c>
      <c r="S811" s="39">
        <v>0</v>
      </c>
      <c r="T811" s="39">
        <v>0</v>
      </c>
      <c r="U811" s="39">
        <v>0</v>
      </c>
      <c r="V811" s="39">
        <v>0</v>
      </c>
      <c r="W811" s="39">
        <v>0</v>
      </c>
      <c r="X811" s="39">
        <v>0</v>
      </c>
      <c r="Y811" s="39">
        <v>0</v>
      </c>
      <c r="Z811" s="39">
        <v>0</v>
      </c>
      <c r="AA811" s="39">
        <v>0</v>
      </c>
      <c r="AB811" s="39">
        <v>0</v>
      </c>
      <c r="AC811" s="39">
        <v>0</v>
      </c>
      <c r="AD811" s="39">
        <v>0</v>
      </c>
      <c r="AE811" s="39">
        <v>0</v>
      </c>
      <c r="AF811" s="39">
        <v>0</v>
      </c>
      <c r="AG811" s="39">
        <v>0</v>
      </c>
      <c r="AH811" s="39"/>
      <c r="AI811" s="39"/>
      <c r="AJ811" s="40"/>
      <c r="AK811" s="39">
        <f t="shared" si="60"/>
        <v>0</v>
      </c>
      <c r="AL811" s="39">
        <f t="shared" si="63"/>
        <v>0</v>
      </c>
      <c r="AM811" s="39">
        <f t="shared" si="64"/>
        <v>0</v>
      </c>
      <c r="AN811" s="39">
        <f t="shared" si="61"/>
        <v>0</v>
      </c>
      <c r="AO811" s="39">
        <f t="shared" si="62"/>
        <v>0</v>
      </c>
    </row>
    <row r="812" spans="1:41" x14ac:dyDescent="0.3">
      <c r="A812" s="20">
        <v>1000184670</v>
      </c>
      <c r="B812" s="4" t="s">
        <v>147</v>
      </c>
      <c r="C812" s="21"/>
      <c r="D812" s="3"/>
      <c r="E812" s="20">
        <v>1000184757</v>
      </c>
      <c r="F812" s="4" t="s">
        <v>62</v>
      </c>
      <c r="G812" s="21">
        <v>1000189787</v>
      </c>
      <c r="H812" s="3" t="s">
        <v>63</v>
      </c>
      <c r="I812" s="21">
        <v>1000189270</v>
      </c>
      <c r="J812" s="3" t="s">
        <v>34</v>
      </c>
      <c r="K812" s="20" t="s">
        <v>20</v>
      </c>
      <c r="L812" s="39">
        <v>0</v>
      </c>
      <c r="M812" s="39">
        <v>0</v>
      </c>
      <c r="N812" s="39">
        <v>0</v>
      </c>
      <c r="O812" s="39">
        <v>0</v>
      </c>
      <c r="P812" s="39">
        <v>0</v>
      </c>
      <c r="Q812" s="39">
        <v>0</v>
      </c>
      <c r="R812" s="39">
        <v>0</v>
      </c>
      <c r="S812" s="39">
        <v>0</v>
      </c>
      <c r="T812" s="39">
        <v>0</v>
      </c>
      <c r="U812" s="39">
        <v>0</v>
      </c>
      <c r="V812" s="39">
        <v>0</v>
      </c>
      <c r="W812" s="39">
        <v>0</v>
      </c>
      <c r="X812" s="39">
        <v>0</v>
      </c>
      <c r="Y812" s="39">
        <v>0</v>
      </c>
      <c r="Z812" s="39">
        <v>0</v>
      </c>
      <c r="AA812" s="39">
        <v>0</v>
      </c>
      <c r="AB812" s="39">
        <v>0</v>
      </c>
      <c r="AC812" s="39">
        <v>0</v>
      </c>
      <c r="AD812" s="39">
        <v>0</v>
      </c>
      <c r="AE812" s="39">
        <v>0</v>
      </c>
      <c r="AF812" s="39">
        <v>0</v>
      </c>
      <c r="AG812" s="39">
        <v>0</v>
      </c>
      <c r="AH812" s="39"/>
      <c r="AI812" s="39"/>
      <c r="AJ812" s="40"/>
      <c r="AK812" s="39">
        <f t="shared" si="60"/>
        <v>0</v>
      </c>
      <c r="AL812" s="39">
        <f t="shared" si="63"/>
        <v>0</v>
      </c>
      <c r="AM812" s="39">
        <f t="shared" si="64"/>
        <v>0</v>
      </c>
      <c r="AN812" s="39">
        <f t="shared" si="61"/>
        <v>0</v>
      </c>
      <c r="AO812" s="39">
        <f t="shared" si="62"/>
        <v>0</v>
      </c>
    </row>
    <row r="813" spans="1:41" x14ac:dyDescent="0.3">
      <c r="A813" s="20">
        <v>1000184670</v>
      </c>
      <c r="B813" s="4" t="s">
        <v>147</v>
      </c>
      <c r="C813" s="21"/>
      <c r="D813" s="3"/>
      <c r="E813" s="20">
        <v>1000184757</v>
      </c>
      <c r="F813" s="4" t="s">
        <v>62</v>
      </c>
      <c r="G813" s="21">
        <v>1000189787</v>
      </c>
      <c r="H813" s="3" t="s">
        <v>63</v>
      </c>
      <c r="I813" s="21">
        <v>1000189270</v>
      </c>
      <c r="J813" s="3" t="s">
        <v>34</v>
      </c>
      <c r="K813" s="20" t="s">
        <v>22</v>
      </c>
      <c r="L813" s="39">
        <v>0</v>
      </c>
      <c r="M813" s="39">
        <v>0</v>
      </c>
      <c r="N813" s="39">
        <v>0</v>
      </c>
      <c r="O813" s="39">
        <v>0</v>
      </c>
      <c r="P813" s="39">
        <v>0</v>
      </c>
      <c r="Q813" s="39">
        <v>0</v>
      </c>
      <c r="R813" s="39">
        <v>0</v>
      </c>
      <c r="S813" s="39">
        <v>0</v>
      </c>
      <c r="T813" s="39">
        <v>0</v>
      </c>
      <c r="U813" s="39">
        <v>0</v>
      </c>
      <c r="V813" s="39">
        <v>0</v>
      </c>
      <c r="W813" s="39">
        <v>0</v>
      </c>
      <c r="X813" s="39">
        <v>0</v>
      </c>
      <c r="Y813" s="39">
        <v>0</v>
      </c>
      <c r="Z813" s="39">
        <v>0</v>
      </c>
      <c r="AA813" s="39">
        <v>0</v>
      </c>
      <c r="AB813" s="39">
        <v>0</v>
      </c>
      <c r="AC813" s="39">
        <v>0</v>
      </c>
      <c r="AD813" s="39">
        <v>0</v>
      </c>
      <c r="AE813" s="39">
        <v>0</v>
      </c>
      <c r="AF813" s="39">
        <v>0</v>
      </c>
      <c r="AG813" s="39">
        <v>0</v>
      </c>
      <c r="AH813" s="39"/>
      <c r="AI813" s="39"/>
      <c r="AJ813" s="40"/>
      <c r="AK813" s="39">
        <f t="shared" si="60"/>
        <v>0</v>
      </c>
      <c r="AL813" s="39">
        <f t="shared" si="63"/>
        <v>0</v>
      </c>
      <c r="AM813" s="39">
        <f t="shared" si="64"/>
        <v>0</v>
      </c>
      <c r="AN813" s="39">
        <f t="shared" si="61"/>
        <v>0</v>
      </c>
      <c r="AO813" s="39">
        <f t="shared" si="62"/>
        <v>0</v>
      </c>
    </row>
    <row r="814" spans="1:41" x14ac:dyDescent="0.3">
      <c r="A814" s="20">
        <v>1000184670</v>
      </c>
      <c r="B814" s="4" t="s">
        <v>147</v>
      </c>
      <c r="C814" s="21"/>
      <c r="D814" s="3"/>
      <c r="E814" s="20">
        <v>1000184757</v>
      </c>
      <c r="F814" s="4" t="s">
        <v>62</v>
      </c>
      <c r="G814" s="21">
        <v>1000189787</v>
      </c>
      <c r="H814" s="3" t="s">
        <v>63</v>
      </c>
      <c r="I814" s="21">
        <v>1000189270</v>
      </c>
      <c r="J814" s="3" t="s">
        <v>34</v>
      </c>
      <c r="K814" s="20" t="s">
        <v>23</v>
      </c>
      <c r="L814" s="39">
        <v>0</v>
      </c>
      <c r="M814" s="39">
        <v>0</v>
      </c>
      <c r="N814" s="39">
        <v>0</v>
      </c>
      <c r="O814" s="39">
        <v>0</v>
      </c>
      <c r="P814" s="39">
        <v>0</v>
      </c>
      <c r="Q814" s="39">
        <v>0</v>
      </c>
      <c r="R814" s="39">
        <v>0</v>
      </c>
      <c r="S814" s="39">
        <v>0</v>
      </c>
      <c r="T814" s="39">
        <v>0</v>
      </c>
      <c r="U814" s="39">
        <v>0</v>
      </c>
      <c r="V814" s="39">
        <v>0</v>
      </c>
      <c r="W814" s="39">
        <v>0</v>
      </c>
      <c r="X814" s="39">
        <v>0</v>
      </c>
      <c r="Y814" s="39">
        <v>0</v>
      </c>
      <c r="Z814" s="39">
        <v>0</v>
      </c>
      <c r="AA814" s="39">
        <v>0</v>
      </c>
      <c r="AB814" s="39">
        <v>0</v>
      </c>
      <c r="AC814" s="39">
        <v>0</v>
      </c>
      <c r="AD814" s="39">
        <v>0</v>
      </c>
      <c r="AE814" s="39">
        <v>0</v>
      </c>
      <c r="AF814" s="39">
        <v>0</v>
      </c>
      <c r="AG814" s="39">
        <v>0</v>
      </c>
      <c r="AH814" s="39"/>
      <c r="AI814" s="39"/>
      <c r="AJ814" s="40"/>
      <c r="AK814" s="39">
        <f t="shared" si="60"/>
        <v>0</v>
      </c>
      <c r="AL814" s="39">
        <f t="shared" si="63"/>
        <v>0</v>
      </c>
      <c r="AM814" s="39">
        <f t="shared" si="64"/>
        <v>0</v>
      </c>
      <c r="AN814" s="39">
        <f t="shared" si="61"/>
        <v>0</v>
      </c>
      <c r="AO814" s="39">
        <f t="shared" si="62"/>
        <v>0</v>
      </c>
    </row>
    <row r="815" spans="1:41" x14ac:dyDescent="0.3">
      <c r="A815" s="20">
        <v>1000184670</v>
      </c>
      <c r="B815" s="4" t="s">
        <v>147</v>
      </c>
      <c r="C815" s="21"/>
      <c r="D815" s="3"/>
      <c r="E815" s="20">
        <v>1000184757</v>
      </c>
      <c r="F815" s="4" t="s">
        <v>62</v>
      </c>
      <c r="G815" s="21">
        <v>1000189787</v>
      </c>
      <c r="H815" s="3" t="s">
        <v>63</v>
      </c>
      <c r="I815" s="21">
        <v>1000189270</v>
      </c>
      <c r="J815" s="3" t="s">
        <v>34</v>
      </c>
      <c r="K815" s="20" t="s">
        <v>28</v>
      </c>
      <c r="L815" s="39">
        <v>0</v>
      </c>
      <c r="M815" s="39">
        <v>0</v>
      </c>
      <c r="N815" s="39">
        <v>0</v>
      </c>
      <c r="O815" s="39">
        <v>0</v>
      </c>
      <c r="P815" s="39">
        <v>0</v>
      </c>
      <c r="Q815" s="39">
        <v>0</v>
      </c>
      <c r="R815" s="39">
        <v>0</v>
      </c>
      <c r="S815" s="39">
        <v>0</v>
      </c>
      <c r="T815" s="39">
        <v>0</v>
      </c>
      <c r="U815" s="39">
        <v>0</v>
      </c>
      <c r="V815" s="39">
        <v>0</v>
      </c>
      <c r="W815" s="39">
        <v>0</v>
      </c>
      <c r="X815" s="39">
        <v>0</v>
      </c>
      <c r="Y815" s="39">
        <v>0</v>
      </c>
      <c r="Z815" s="39">
        <v>0</v>
      </c>
      <c r="AA815" s="39">
        <v>0</v>
      </c>
      <c r="AB815" s="39">
        <v>0</v>
      </c>
      <c r="AC815" s="39">
        <v>0</v>
      </c>
      <c r="AD815" s="39">
        <v>0</v>
      </c>
      <c r="AE815" s="39">
        <v>0</v>
      </c>
      <c r="AF815" s="39">
        <v>0</v>
      </c>
      <c r="AG815" s="39">
        <v>0</v>
      </c>
      <c r="AH815" s="39"/>
      <c r="AI815" s="39"/>
      <c r="AJ815" s="40"/>
      <c r="AK815" s="39">
        <f t="shared" si="60"/>
        <v>0</v>
      </c>
      <c r="AL815" s="39">
        <f t="shared" si="63"/>
        <v>0</v>
      </c>
      <c r="AM815" s="39">
        <f t="shared" si="64"/>
        <v>0</v>
      </c>
      <c r="AN815" s="39">
        <f t="shared" si="61"/>
        <v>0</v>
      </c>
      <c r="AO815" s="39">
        <f t="shared" si="62"/>
        <v>0</v>
      </c>
    </row>
    <row r="816" spans="1:41" x14ac:dyDescent="0.3">
      <c r="A816" s="20">
        <v>1000184670</v>
      </c>
      <c r="B816" s="4" t="s">
        <v>147</v>
      </c>
      <c r="C816" s="21"/>
      <c r="D816" s="3"/>
      <c r="E816" s="20">
        <v>1000184757</v>
      </c>
      <c r="F816" s="4" t="s">
        <v>62</v>
      </c>
      <c r="G816" s="21">
        <v>1000189787</v>
      </c>
      <c r="H816" s="3" t="s">
        <v>63</v>
      </c>
      <c r="I816" s="21">
        <v>1000189270</v>
      </c>
      <c r="J816" s="3" t="s">
        <v>34</v>
      </c>
      <c r="K816" s="20" t="s">
        <v>26</v>
      </c>
      <c r="L816" s="39">
        <v>0</v>
      </c>
      <c r="M816" s="39">
        <v>0</v>
      </c>
      <c r="N816" s="39">
        <v>0</v>
      </c>
      <c r="O816" s="39">
        <v>0</v>
      </c>
      <c r="P816" s="39">
        <v>0</v>
      </c>
      <c r="Q816" s="39">
        <v>0</v>
      </c>
      <c r="R816" s="39">
        <v>0</v>
      </c>
      <c r="S816" s="39">
        <v>0</v>
      </c>
      <c r="T816" s="39">
        <v>0</v>
      </c>
      <c r="U816" s="39">
        <v>0</v>
      </c>
      <c r="V816" s="39">
        <v>0</v>
      </c>
      <c r="W816" s="39">
        <v>0</v>
      </c>
      <c r="X816" s="39">
        <v>0</v>
      </c>
      <c r="Y816" s="39">
        <v>0</v>
      </c>
      <c r="Z816" s="39">
        <v>0</v>
      </c>
      <c r="AA816" s="39">
        <v>0</v>
      </c>
      <c r="AB816" s="39">
        <v>0</v>
      </c>
      <c r="AC816" s="39">
        <v>0</v>
      </c>
      <c r="AD816" s="39">
        <v>0</v>
      </c>
      <c r="AE816" s="39">
        <v>0</v>
      </c>
      <c r="AF816" s="39">
        <v>0</v>
      </c>
      <c r="AG816" s="39">
        <v>0</v>
      </c>
      <c r="AH816" s="39"/>
      <c r="AI816" s="39"/>
      <c r="AJ816" s="40"/>
      <c r="AK816" s="39">
        <f t="shared" ref="AK816:AK879" si="65">AVERAGE(L816:W816)</f>
        <v>0</v>
      </c>
      <c r="AL816" s="39">
        <f t="shared" si="63"/>
        <v>0</v>
      </c>
      <c r="AM816" s="39">
        <f t="shared" si="64"/>
        <v>0</v>
      </c>
      <c r="AN816" s="39">
        <f t="shared" ref="AN816:AN879" si="66">AVERAGE(X816:AI816)</f>
        <v>0</v>
      </c>
      <c r="AO816" s="39">
        <f t="shared" ref="AO816:AO879" si="67">SUM(X816:AI816)</f>
        <v>0</v>
      </c>
    </row>
    <row r="817" spans="1:41" x14ac:dyDescent="0.3">
      <c r="A817" s="20">
        <v>1000184670</v>
      </c>
      <c r="B817" s="4" t="s">
        <v>147</v>
      </c>
      <c r="C817" s="21"/>
      <c r="D817" s="3"/>
      <c r="E817" s="20">
        <v>1000184757</v>
      </c>
      <c r="F817" s="4" t="s">
        <v>62</v>
      </c>
      <c r="G817" s="21">
        <v>1000189787</v>
      </c>
      <c r="H817" s="3" t="s">
        <v>63</v>
      </c>
      <c r="I817" s="21">
        <v>1000189270</v>
      </c>
      <c r="J817" s="3" t="s">
        <v>34</v>
      </c>
      <c r="K817" s="20" t="s">
        <v>27</v>
      </c>
      <c r="L817" s="39">
        <v>0</v>
      </c>
      <c r="M817" s="39">
        <v>0</v>
      </c>
      <c r="N817" s="39">
        <v>0</v>
      </c>
      <c r="O817" s="39">
        <v>0</v>
      </c>
      <c r="P817" s="39">
        <v>0</v>
      </c>
      <c r="Q817" s="39">
        <v>0</v>
      </c>
      <c r="R817" s="39">
        <v>0</v>
      </c>
      <c r="S817" s="39">
        <v>0</v>
      </c>
      <c r="T817" s="39">
        <v>0</v>
      </c>
      <c r="U817" s="39">
        <v>0</v>
      </c>
      <c r="V817" s="39">
        <v>0</v>
      </c>
      <c r="W817" s="39">
        <v>0</v>
      </c>
      <c r="X817" s="39">
        <v>0</v>
      </c>
      <c r="Y817" s="39">
        <v>0</v>
      </c>
      <c r="Z817" s="39">
        <v>0</v>
      </c>
      <c r="AA817" s="39">
        <v>0</v>
      </c>
      <c r="AB817" s="39">
        <v>0</v>
      </c>
      <c r="AC817" s="39">
        <v>0</v>
      </c>
      <c r="AD817" s="39">
        <v>0</v>
      </c>
      <c r="AE817" s="39">
        <v>0</v>
      </c>
      <c r="AF817" s="39">
        <v>0</v>
      </c>
      <c r="AG817" s="39">
        <v>0</v>
      </c>
      <c r="AH817" s="39"/>
      <c r="AI817" s="39"/>
      <c r="AJ817" s="40"/>
      <c r="AK817" s="39">
        <f t="shared" si="65"/>
        <v>0</v>
      </c>
      <c r="AL817" s="39">
        <f t="shared" si="63"/>
        <v>0</v>
      </c>
      <c r="AM817" s="39">
        <f t="shared" si="64"/>
        <v>0</v>
      </c>
      <c r="AN817" s="39">
        <f t="shared" si="66"/>
        <v>0</v>
      </c>
      <c r="AO817" s="39">
        <f t="shared" si="67"/>
        <v>0</v>
      </c>
    </row>
    <row r="818" spans="1:41" x14ac:dyDescent="0.3">
      <c r="A818" s="20">
        <v>1000184670</v>
      </c>
      <c r="B818" s="4" t="s">
        <v>147</v>
      </c>
      <c r="C818" s="21"/>
      <c r="D818" s="3"/>
      <c r="E818" s="20">
        <v>1000184757</v>
      </c>
      <c r="F818" s="4" t="s">
        <v>62</v>
      </c>
      <c r="G818" s="21">
        <v>1000189787</v>
      </c>
      <c r="H818" s="3" t="s">
        <v>63</v>
      </c>
      <c r="I818" s="21">
        <v>1000189270</v>
      </c>
      <c r="J818" s="3" t="s">
        <v>34</v>
      </c>
      <c r="K818" s="20" t="s">
        <v>25</v>
      </c>
      <c r="L818" s="39">
        <v>0</v>
      </c>
      <c r="M818" s="39">
        <v>0</v>
      </c>
      <c r="N818" s="39">
        <v>0</v>
      </c>
      <c r="O818" s="39">
        <v>0</v>
      </c>
      <c r="P818" s="39">
        <v>0</v>
      </c>
      <c r="Q818" s="39">
        <v>0</v>
      </c>
      <c r="R818" s="39">
        <v>0</v>
      </c>
      <c r="S818" s="39">
        <v>0</v>
      </c>
      <c r="T818" s="39">
        <v>0</v>
      </c>
      <c r="U818" s="39">
        <v>0</v>
      </c>
      <c r="V818" s="39">
        <v>0</v>
      </c>
      <c r="W818" s="39">
        <v>0</v>
      </c>
      <c r="X818" s="39">
        <v>0</v>
      </c>
      <c r="Y818" s="39">
        <v>0</v>
      </c>
      <c r="Z818" s="39">
        <v>0</v>
      </c>
      <c r="AA818" s="39">
        <v>0</v>
      </c>
      <c r="AB818" s="39">
        <v>0</v>
      </c>
      <c r="AC818" s="39">
        <v>0</v>
      </c>
      <c r="AD818" s="39">
        <v>0</v>
      </c>
      <c r="AE818" s="39">
        <v>0</v>
      </c>
      <c r="AF818" s="39">
        <v>0</v>
      </c>
      <c r="AG818" s="39">
        <v>0</v>
      </c>
      <c r="AH818" s="39"/>
      <c r="AI818" s="39"/>
      <c r="AJ818" s="40"/>
      <c r="AK818" s="39">
        <f t="shared" si="65"/>
        <v>0</v>
      </c>
      <c r="AL818" s="39">
        <f t="shared" si="63"/>
        <v>0</v>
      </c>
      <c r="AM818" s="39">
        <f t="shared" si="64"/>
        <v>0</v>
      </c>
      <c r="AN818" s="39">
        <f t="shared" si="66"/>
        <v>0</v>
      </c>
      <c r="AO818" s="39">
        <f t="shared" si="67"/>
        <v>0</v>
      </c>
    </row>
    <row r="819" spans="1:41" x14ac:dyDescent="0.3">
      <c r="A819" s="20">
        <v>1000184670</v>
      </c>
      <c r="B819" s="4" t="s">
        <v>147</v>
      </c>
      <c r="C819" s="21"/>
      <c r="D819" s="3"/>
      <c r="E819" s="20">
        <v>1000184757</v>
      </c>
      <c r="F819" s="4" t="s">
        <v>62</v>
      </c>
      <c r="G819" s="21">
        <v>1000189788</v>
      </c>
      <c r="H819" s="3" t="s">
        <v>102</v>
      </c>
      <c r="I819" s="21">
        <v>1000189270</v>
      </c>
      <c r="J819" s="3" t="s">
        <v>34</v>
      </c>
      <c r="K819" s="20" t="s">
        <v>124</v>
      </c>
      <c r="L819" s="39">
        <v>0</v>
      </c>
      <c r="M819" s="39">
        <v>0</v>
      </c>
      <c r="N819" s="39">
        <v>0</v>
      </c>
      <c r="O819" s="39">
        <v>0</v>
      </c>
      <c r="P819" s="39">
        <v>0</v>
      </c>
      <c r="Q819" s="39">
        <v>0</v>
      </c>
      <c r="R819" s="39">
        <v>0</v>
      </c>
      <c r="S819" s="39">
        <v>0</v>
      </c>
      <c r="T819" s="39">
        <v>0</v>
      </c>
      <c r="U819" s="39">
        <v>0</v>
      </c>
      <c r="V819" s="39">
        <v>0</v>
      </c>
      <c r="W819" s="39">
        <v>0</v>
      </c>
      <c r="X819" s="39">
        <v>0</v>
      </c>
      <c r="Y819" s="39">
        <v>0</v>
      </c>
      <c r="Z819" s="39">
        <v>0</v>
      </c>
      <c r="AA819" s="39">
        <v>0</v>
      </c>
      <c r="AB819" s="39">
        <v>0</v>
      </c>
      <c r="AC819" s="39">
        <v>0</v>
      </c>
      <c r="AD819" s="39">
        <v>0</v>
      </c>
      <c r="AE819" s="39">
        <v>0</v>
      </c>
      <c r="AF819" s="39">
        <v>0</v>
      </c>
      <c r="AG819" s="39">
        <v>0</v>
      </c>
      <c r="AH819" s="39"/>
      <c r="AI819" s="39"/>
      <c r="AJ819" s="40"/>
      <c r="AK819" s="39">
        <f t="shared" si="65"/>
        <v>0</v>
      </c>
      <c r="AL819" s="39">
        <f t="shared" si="63"/>
        <v>0</v>
      </c>
      <c r="AM819" s="39">
        <f t="shared" si="64"/>
        <v>0</v>
      </c>
      <c r="AN819" s="39">
        <f t="shared" si="66"/>
        <v>0</v>
      </c>
      <c r="AO819" s="39">
        <f t="shared" si="67"/>
        <v>0</v>
      </c>
    </row>
    <row r="820" spans="1:41" x14ac:dyDescent="0.3">
      <c r="A820" s="20">
        <v>1000184670</v>
      </c>
      <c r="B820" s="4" t="s">
        <v>147</v>
      </c>
      <c r="C820" s="21"/>
      <c r="D820" s="3"/>
      <c r="E820" s="20">
        <v>1000184757</v>
      </c>
      <c r="F820" s="4" t="s">
        <v>62</v>
      </c>
      <c r="G820" s="21">
        <v>1000189788</v>
      </c>
      <c r="H820" s="3" t="s">
        <v>102</v>
      </c>
      <c r="I820" s="21">
        <v>1000189270</v>
      </c>
      <c r="J820" s="3" t="s">
        <v>34</v>
      </c>
      <c r="K820" s="20" t="s">
        <v>13</v>
      </c>
      <c r="L820" s="39">
        <v>0</v>
      </c>
      <c r="M820" s="39">
        <v>0</v>
      </c>
      <c r="N820" s="39">
        <v>0</v>
      </c>
      <c r="O820" s="39">
        <v>0</v>
      </c>
      <c r="P820" s="39">
        <v>0</v>
      </c>
      <c r="Q820" s="39">
        <v>0</v>
      </c>
      <c r="R820" s="39">
        <v>0</v>
      </c>
      <c r="S820" s="39">
        <v>0</v>
      </c>
      <c r="T820" s="39">
        <v>0</v>
      </c>
      <c r="U820" s="39">
        <v>0</v>
      </c>
      <c r="V820" s="39">
        <v>0</v>
      </c>
      <c r="W820" s="39">
        <v>0</v>
      </c>
      <c r="X820" s="39">
        <v>0</v>
      </c>
      <c r="Y820" s="39">
        <v>0</v>
      </c>
      <c r="Z820" s="39">
        <v>0</v>
      </c>
      <c r="AA820" s="39">
        <v>0</v>
      </c>
      <c r="AB820" s="39">
        <v>0</v>
      </c>
      <c r="AC820" s="39">
        <v>0</v>
      </c>
      <c r="AD820" s="39">
        <v>0</v>
      </c>
      <c r="AE820" s="39">
        <v>0</v>
      </c>
      <c r="AF820" s="39">
        <v>0</v>
      </c>
      <c r="AG820" s="39">
        <v>132.34</v>
      </c>
      <c r="AH820" s="39"/>
      <c r="AI820" s="39"/>
      <c r="AJ820" s="40"/>
      <c r="AK820" s="39">
        <f t="shared" si="65"/>
        <v>0</v>
      </c>
      <c r="AL820" s="39">
        <f t="shared" si="63"/>
        <v>11.028333333333334</v>
      </c>
      <c r="AM820" s="39">
        <f t="shared" si="64"/>
        <v>22.056666666666668</v>
      </c>
      <c r="AN820" s="39">
        <f t="shared" si="66"/>
        <v>13.234</v>
      </c>
      <c r="AO820" s="39">
        <f t="shared" si="67"/>
        <v>132.34</v>
      </c>
    </row>
    <row r="821" spans="1:41" x14ac:dyDescent="0.3">
      <c r="A821" s="20">
        <v>1000184670</v>
      </c>
      <c r="B821" s="4" t="s">
        <v>147</v>
      </c>
      <c r="C821" s="21"/>
      <c r="D821" s="3"/>
      <c r="E821" s="20">
        <v>1000184757</v>
      </c>
      <c r="F821" s="4" t="s">
        <v>62</v>
      </c>
      <c r="G821" s="21">
        <v>1000189788</v>
      </c>
      <c r="H821" s="3" t="s">
        <v>102</v>
      </c>
      <c r="I821" s="21">
        <v>1000189270</v>
      </c>
      <c r="J821" s="3" t="s">
        <v>34</v>
      </c>
      <c r="K821" s="20" t="s">
        <v>14</v>
      </c>
      <c r="L821" s="39">
        <v>0</v>
      </c>
      <c r="M821" s="39">
        <v>0</v>
      </c>
      <c r="N821" s="39">
        <v>0</v>
      </c>
      <c r="O821" s="39">
        <v>0</v>
      </c>
      <c r="P821" s="39">
        <v>0</v>
      </c>
      <c r="Q821" s="39">
        <v>0</v>
      </c>
      <c r="R821" s="39">
        <v>0</v>
      </c>
      <c r="S821" s="39">
        <v>0</v>
      </c>
      <c r="T821" s="39">
        <v>0</v>
      </c>
      <c r="U821" s="39">
        <v>0</v>
      </c>
      <c r="V821" s="39">
        <v>0</v>
      </c>
      <c r="W821" s="39">
        <v>0</v>
      </c>
      <c r="X821" s="39">
        <v>0</v>
      </c>
      <c r="Y821" s="39">
        <v>0</v>
      </c>
      <c r="Z821" s="39">
        <v>0</v>
      </c>
      <c r="AA821" s="39">
        <v>0</v>
      </c>
      <c r="AB821" s="39">
        <v>0</v>
      </c>
      <c r="AC821" s="39">
        <v>0</v>
      </c>
      <c r="AD821" s="39">
        <v>0</v>
      </c>
      <c r="AE821" s="39">
        <v>0</v>
      </c>
      <c r="AF821" s="39">
        <v>0</v>
      </c>
      <c r="AG821" s="39">
        <v>112.8</v>
      </c>
      <c r="AH821" s="39"/>
      <c r="AI821" s="39"/>
      <c r="AJ821" s="40"/>
      <c r="AK821" s="39">
        <f t="shared" si="65"/>
        <v>0</v>
      </c>
      <c r="AL821" s="39">
        <f t="shared" si="63"/>
        <v>9.4</v>
      </c>
      <c r="AM821" s="39">
        <f t="shared" si="64"/>
        <v>18.8</v>
      </c>
      <c r="AN821" s="39">
        <f t="shared" si="66"/>
        <v>11.28</v>
      </c>
      <c r="AO821" s="39">
        <f t="shared" si="67"/>
        <v>112.8</v>
      </c>
    </row>
    <row r="822" spans="1:41" x14ac:dyDescent="0.3">
      <c r="A822" s="20">
        <v>1000184670</v>
      </c>
      <c r="B822" s="4" t="s">
        <v>147</v>
      </c>
      <c r="C822" s="21"/>
      <c r="D822" s="3"/>
      <c r="E822" s="20">
        <v>1000184757</v>
      </c>
      <c r="F822" s="4" t="s">
        <v>62</v>
      </c>
      <c r="G822" s="21">
        <v>1000189788</v>
      </c>
      <c r="H822" s="3" t="s">
        <v>102</v>
      </c>
      <c r="I822" s="21">
        <v>1000189270</v>
      </c>
      <c r="J822" s="3" t="s">
        <v>34</v>
      </c>
      <c r="K822" s="20" t="s">
        <v>16</v>
      </c>
      <c r="L822" s="39">
        <v>0</v>
      </c>
      <c r="M822" s="39">
        <v>0</v>
      </c>
      <c r="N822" s="39">
        <v>0</v>
      </c>
      <c r="O822" s="39">
        <v>0</v>
      </c>
      <c r="P822" s="39">
        <v>0</v>
      </c>
      <c r="Q822" s="39">
        <v>0</v>
      </c>
      <c r="R822" s="39">
        <v>0</v>
      </c>
      <c r="S822" s="39">
        <v>0</v>
      </c>
      <c r="T822" s="39">
        <v>0</v>
      </c>
      <c r="U822" s="39">
        <v>0</v>
      </c>
      <c r="V822" s="39">
        <v>0</v>
      </c>
      <c r="W822" s="39">
        <v>0</v>
      </c>
      <c r="X822" s="39">
        <v>0</v>
      </c>
      <c r="Y822" s="39">
        <v>0</v>
      </c>
      <c r="Z822" s="39">
        <v>0</v>
      </c>
      <c r="AA822" s="39">
        <v>0</v>
      </c>
      <c r="AB822" s="39">
        <v>0</v>
      </c>
      <c r="AC822" s="39">
        <v>0</v>
      </c>
      <c r="AD822" s="39">
        <v>0</v>
      </c>
      <c r="AE822" s="39">
        <v>0</v>
      </c>
      <c r="AF822" s="39">
        <v>0</v>
      </c>
      <c r="AG822" s="39">
        <v>86.7</v>
      </c>
      <c r="AH822" s="39"/>
      <c r="AI822" s="39"/>
      <c r="AJ822" s="40"/>
      <c r="AK822" s="39">
        <f t="shared" si="65"/>
        <v>0</v>
      </c>
      <c r="AL822" s="39">
        <f t="shared" si="63"/>
        <v>7.2250000000000005</v>
      </c>
      <c r="AM822" s="39">
        <f t="shared" si="64"/>
        <v>14.450000000000001</v>
      </c>
      <c r="AN822" s="39">
        <f t="shared" si="66"/>
        <v>8.67</v>
      </c>
      <c r="AO822" s="39">
        <f t="shared" si="67"/>
        <v>86.7</v>
      </c>
    </row>
    <row r="823" spans="1:41" x14ac:dyDescent="0.3">
      <c r="A823" s="20">
        <v>1000184670</v>
      </c>
      <c r="B823" s="4" t="s">
        <v>147</v>
      </c>
      <c r="C823" s="21"/>
      <c r="D823" s="3"/>
      <c r="E823" s="20">
        <v>1000184757</v>
      </c>
      <c r="F823" s="4" t="s">
        <v>62</v>
      </c>
      <c r="G823" s="21">
        <v>1000189788</v>
      </c>
      <c r="H823" s="3" t="s">
        <v>102</v>
      </c>
      <c r="I823" s="21">
        <v>1000189270</v>
      </c>
      <c r="J823" s="3" t="s">
        <v>34</v>
      </c>
      <c r="K823" s="20" t="s">
        <v>15</v>
      </c>
      <c r="L823" s="39">
        <v>0</v>
      </c>
      <c r="M823" s="39">
        <v>0</v>
      </c>
      <c r="N823" s="39">
        <v>0</v>
      </c>
      <c r="O823" s="39">
        <v>0</v>
      </c>
      <c r="P823" s="39">
        <v>0</v>
      </c>
      <c r="Q823" s="39">
        <v>0</v>
      </c>
      <c r="R823" s="39">
        <v>0</v>
      </c>
      <c r="S823" s="39">
        <v>0</v>
      </c>
      <c r="T823" s="39">
        <v>0</v>
      </c>
      <c r="U823" s="39">
        <v>0</v>
      </c>
      <c r="V823" s="39">
        <v>0</v>
      </c>
      <c r="W823" s="39">
        <v>0</v>
      </c>
      <c r="X823" s="39">
        <v>0</v>
      </c>
      <c r="Y823" s="39">
        <v>0</v>
      </c>
      <c r="Z823" s="39">
        <v>0</v>
      </c>
      <c r="AA823" s="39">
        <v>0</v>
      </c>
      <c r="AB823" s="39">
        <v>0</v>
      </c>
      <c r="AC823" s="39">
        <v>0</v>
      </c>
      <c r="AD823" s="39">
        <v>0</v>
      </c>
      <c r="AE823" s="39">
        <v>0</v>
      </c>
      <c r="AF823" s="39">
        <v>0</v>
      </c>
      <c r="AG823" s="39">
        <v>0</v>
      </c>
      <c r="AH823" s="39"/>
      <c r="AI823" s="39"/>
      <c r="AJ823" s="40"/>
      <c r="AK823" s="39">
        <f t="shared" si="65"/>
        <v>0</v>
      </c>
      <c r="AL823" s="39">
        <f t="shared" si="63"/>
        <v>0</v>
      </c>
      <c r="AM823" s="39">
        <f t="shared" si="64"/>
        <v>0</v>
      </c>
      <c r="AN823" s="39">
        <f t="shared" si="66"/>
        <v>0</v>
      </c>
      <c r="AO823" s="39">
        <f t="shared" si="67"/>
        <v>0</v>
      </c>
    </row>
    <row r="824" spans="1:41" x14ac:dyDescent="0.3">
      <c r="A824" s="20">
        <v>1000184670</v>
      </c>
      <c r="B824" s="4" t="s">
        <v>147</v>
      </c>
      <c r="C824" s="21"/>
      <c r="D824" s="3"/>
      <c r="E824" s="20">
        <v>1000184757</v>
      </c>
      <c r="F824" s="4" t="s">
        <v>62</v>
      </c>
      <c r="G824" s="21">
        <v>1000189788</v>
      </c>
      <c r="H824" s="3" t="s">
        <v>102</v>
      </c>
      <c r="I824" s="21">
        <v>1000189270</v>
      </c>
      <c r="J824" s="3" t="s">
        <v>34</v>
      </c>
      <c r="K824" s="20" t="s">
        <v>33</v>
      </c>
      <c r="L824" s="39">
        <v>0</v>
      </c>
      <c r="M824" s="39">
        <v>0</v>
      </c>
      <c r="N824" s="39">
        <v>0</v>
      </c>
      <c r="O824" s="39">
        <v>0</v>
      </c>
      <c r="P824" s="39">
        <v>0</v>
      </c>
      <c r="Q824" s="39">
        <v>0</v>
      </c>
      <c r="R824" s="39">
        <v>0</v>
      </c>
      <c r="S824" s="39">
        <v>0</v>
      </c>
      <c r="T824" s="39">
        <v>0</v>
      </c>
      <c r="U824" s="39">
        <v>0</v>
      </c>
      <c r="V824" s="39">
        <v>0</v>
      </c>
      <c r="W824" s="39">
        <v>0</v>
      </c>
      <c r="X824" s="39">
        <v>0</v>
      </c>
      <c r="Y824" s="39">
        <v>0</v>
      </c>
      <c r="Z824" s="39">
        <v>0</v>
      </c>
      <c r="AA824" s="39">
        <v>0</v>
      </c>
      <c r="AB824" s="39">
        <v>0</v>
      </c>
      <c r="AC824" s="39">
        <v>0</v>
      </c>
      <c r="AD824" s="39">
        <v>0</v>
      </c>
      <c r="AE824" s="39">
        <v>0</v>
      </c>
      <c r="AF824" s="39">
        <v>0</v>
      </c>
      <c r="AG824" s="39">
        <v>0</v>
      </c>
      <c r="AH824" s="39"/>
      <c r="AI824" s="39"/>
      <c r="AJ824" s="40"/>
      <c r="AK824" s="39">
        <f t="shared" si="65"/>
        <v>0</v>
      </c>
      <c r="AL824" s="39">
        <f t="shared" si="63"/>
        <v>0</v>
      </c>
      <c r="AM824" s="39">
        <f t="shared" si="64"/>
        <v>0</v>
      </c>
      <c r="AN824" s="39">
        <f t="shared" si="66"/>
        <v>0</v>
      </c>
      <c r="AO824" s="39">
        <f t="shared" si="67"/>
        <v>0</v>
      </c>
    </row>
    <row r="825" spans="1:41" x14ac:dyDescent="0.3">
      <c r="A825" s="20">
        <v>1000184670</v>
      </c>
      <c r="B825" s="4" t="s">
        <v>147</v>
      </c>
      <c r="C825" s="21"/>
      <c r="D825" s="3"/>
      <c r="E825" s="20">
        <v>1000184757</v>
      </c>
      <c r="F825" s="4" t="s">
        <v>62</v>
      </c>
      <c r="G825" s="21">
        <v>1000189788</v>
      </c>
      <c r="H825" s="3" t="s">
        <v>102</v>
      </c>
      <c r="I825" s="21">
        <v>1000189270</v>
      </c>
      <c r="J825" s="3" t="s">
        <v>34</v>
      </c>
      <c r="K825" s="20" t="s">
        <v>19</v>
      </c>
      <c r="L825" s="39">
        <v>0</v>
      </c>
      <c r="M825" s="39">
        <v>0</v>
      </c>
      <c r="N825" s="39">
        <v>0</v>
      </c>
      <c r="O825" s="39">
        <v>0</v>
      </c>
      <c r="P825" s="39">
        <v>0</v>
      </c>
      <c r="Q825" s="39">
        <v>0</v>
      </c>
      <c r="R825" s="39">
        <v>0</v>
      </c>
      <c r="S825" s="39">
        <v>0</v>
      </c>
      <c r="T825" s="39">
        <v>0</v>
      </c>
      <c r="U825" s="39">
        <v>0</v>
      </c>
      <c r="V825" s="39">
        <v>0</v>
      </c>
      <c r="W825" s="39">
        <v>0</v>
      </c>
      <c r="X825" s="39">
        <v>0</v>
      </c>
      <c r="Y825" s="39">
        <v>0</v>
      </c>
      <c r="Z825" s="39">
        <v>0</v>
      </c>
      <c r="AA825" s="39">
        <v>0</v>
      </c>
      <c r="AB825" s="39">
        <v>0</v>
      </c>
      <c r="AC825" s="39">
        <v>0</v>
      </c>
      <c r="AD825" s="39">
        <v>0</v>
      </c>
      <c r="AE825" s="39">
        <v>0</v>
      </c>
      <c r="AF825" s="39">
        <v>0</v>
      </c>
      <c r="AG825" s="39">
        <v>0</v>
      </c>
      <c r="AH825" s="39"/>
      <c r="AI825" s="39"/>
      <c r="AJ825" s="40"/>
      <c r="AK825" s="39">
        <f t="shared" si="65"/>
        <v>0</v>
      </c>
      <c r="AL825" s="39">
        <f t="shared" si="63"/>
        <v>0</v>
      </c>
      <c r="AM825" s="39">
        <f t="shared" si="64"/>
        <v>0</v>
      </c>
      <c r="AN825" s="39">
        <f t="shared" si="66"/>
        <v>0</v>
      </c>
      <c r="AO825" s="39">
        <f t="shared" si="67"/>
        <v>0</v>
      </c>
    </row>
    <row r="826" spans="1:41" x14ac:dyDescent="0.3">
      <c r="A826" s="20">
        <v>1000184670</v>
      </c>
      <c r="B826" s="4" t="s">
        <v>147</v>
      </c>
      <c r="C826" s="21"/>
      <c r="D826" s="3"/>
      <c r="E826" s="20">
        <v>1000184757</v>
      </c>
      <c r="F826" s="4" t="s">
        <v>62</v>
      </c>
      <c r="G826" s="21">
        <v>1000189788</v>
      </c>
      <c r="H826" s="3" t="s">
        <v>102</v>
      </c>
      <c r="I826" s="21">
        <v>1000189270</v>
      </c>
      <c r="J826" s="3" t="s">
        <v>34</v>
      </c>
      <c r="K826" s="20" t="s">
        <v>17</v>
      </c>
      <c r="L826" s="39">
        <v>0</v>
      </c>
      <c r="M826" s="39">
        <v>0</v>
      </c>
      <c r="N826" s="39">
        <v>0</v>
      </c>
      <c r="O826" s="39">
        <v>0</v>
      </c>
      <c r="P826" s="39">
        <v>0</v>
      </c>
      <c r="Q826" s="39">
        <v>0</v>
      </c>
      <c r="R826" s="39">
        <v>0</v>
      </c>
      <c r="S826" s="39">
        <v>0</v>
      </c>
      <c r="T826" s="39">
        <v>0</v>
      </c>
      <c r="U826" s="39">
        <v>0</v>
      </c>
      <c r="V826" s="39">
        <v>0</v>
      </c>
      <c r="W826" s="39">
        <v>0</v>
      </c>
      <c r="X826" s="39">
        <v>0</v>
      </c>
      <c r="Y826" s="39">
        <v>0</v>
      </c>
      <c r="Z826" s="39">
        <v>0</v>
      </c>
      <c r="AA826" s="39">
        <v>0</v>
      </c>
      <c r="AB826" s="39">
        <v>0</v>
      </c>
      <c r="AC826" s="39">
        <v>0</v>
      </c>
      <c r="AD826" s="39">
        <v>0</v>
      </c>
      <c r="AE826" s="39">
        <v>0</v>
      </c>
      <c r="AF826" s="39">
        <v>0</v>
      </c>
      <c r="AG826" s="39">
        <v>0</v>
      </c>
      <c r="AH826" s="39"/>
      <c r="AI826" s="39"/>
      <c r="AJ826" s="40"/>
      <c r="AK826" s="39">
        <f t="shared" si="65"/>
        <v>0</v>
      </c>
      <c r="AL826" s="39">
        <f t="shared" si="63"/>
        <v>0</v>
      </c>
      <c r="AM826" s="39">
        <f t="shared" si="64"/>
        <v>0</v>
      </c>
      <c r="AN826" s="39">
        <f t="shared" si="66"/>
        <v>0</v>
      </c>
      <c r="AO826" s="39">
        <f t="shared" si="67"/>
        <v>0</v>
      </c>
    </row>
    <row r="827" spans="1:41" x14ac:dyDescent="0.3">
      <c r="A827" s="20">
        <v>1000184670</v>
      </c>
      <c r="B827" s="4" t="s">
        <v>147</v>
      </c>
      <c r="C827" s="21"/>
      <c r="D827" s="3"/>
      <c r="E827" s="20">
        <v>1000184757</v>
      </c>
      <c r="F827" s="4" t="s">
        <v>62</v>
      </c>
      <c r="G827" s="21">
        <v>1000189788</v>
      </c>
      <c r="H827" s="3" t="s">
        <v>102</v>
      </c>
      <c r="I827" s="21">
        <v>1000189270</v>
      </c>
      <c r="J827" s="3" t="s">
        <v>34</v>
      </c>
      <c r="K827" s="20" t="s">
        <v>24</v>
      </c>
      <c r="L827" s="39">
        <v>0</v>
      </c>
      <c r="M827" s="39">
        <v>0</v>
      </c>
      <c r="N827" s="39">
        <v>0</v>
      </c>
      <c r="O827" s="39">
        <v>0</v>
      </c>
      <c r="P827" s="39">
        <v>0</v>
      </c>
      <c r="Q827" s="39">
        <v>0</v>
      </c>
      <c r="R827" s="39">
        <v>0</v>
      </c>
      <c r="S827" s="39">
        <v>0</v>
      </c>
      <c r="T827" s="39">
        <v>0</v>
      </c>
      <c r="U827" s="39">
        <v>0</v>
      </c>
      <c r="V827" s="39">
        <v>0</v>
      </c>
      <c r="W827" s="39">
        <v>0</v>
      </c>
      <c r="X827" s="39">
        <v>0</v>
      </c>
      <c r="Y827" s="39">
        <v>0</v>
      </c>
      <c r="Z827" s="39">
        <v>0</v>
      </c>
      <c r="AA827" s="39">
        <v>0</v>
      </c>
      <c r="AB827" s="39">
        <v>0</v>
      </c>
      <c r="AC827" s="39">
        <v>0</v>
      </c>
      <c r="AD827" s="39">
        <v>0</v>
      </c>
      <c r="AE827" s="39">
        <v>0</v>
      </c>
      <c r="AF827" s="39">
        <v>0</v>
      </c>
      <c r="AG827" s="39">
        <v>0</v>
      </c>
      <c r="AH827" s="39"/>
      <c r="AI827" s="39"/>
      <c r="AJ827" s="40"/>
      <c r="AK827" s="39">
        <f t="shared" si="65"/>
        <v>0</v>
      </c>
      <c r="AL827" s="39">
        <f t="shared" si="63"/>
        <v>0</v>
      </c>
      <c r="AM827" s="39">
        <f t="shared" si="64"/>
        <v>0</v>
      </c>
      <c r="AN827" s="39">
        <f t="shared" si="66"/>
        <v>0</v>
      </c>
      <c r="AO827" s="39">
        <f t="shared" si="67"/>
        <v>0</v>
      </c>
    </row>
    <row r="828" spans="1:41" x14ac:dyDescent="0.3">
      <c r="A828" s="20">
        <v>1000184670</v>
      </c>
      <c r="B828" s="4" t="s">
        <v>147</v>
      </c>
      <c r="C828" s="21"/>
      <c r="D828" s="3"/>
      <c r="E828" s="20">
        <v>1000184757</v>
      </c>
      <c r="F828" s="4" t="s">
        <v>62</v>
      </c>
      <c r="G828" s="21">
        <v>1000189788</v>
      </c>
      <c r="H828" s="3" t="s">
        <v>102</v>
      </c>
      <c r="I828" s="21">
        <v>1000189270</v>
      </c>
      <c r="J828" s="3" t="s">
        <v>34</v>
      </c>
      <c r="K828" s="20" t="s">
        <v>18</v>
      </c>
      <c r="L828" s="39">
        <v>0</v>
      </c>
      <c r="M828" s="39">
        <v>0</v>
      </c>
      <c r="N828" s="39">
        <v>0</v>
      </c>
      <c r="O828" s="39">
        <v>0</v>
      </c>
      <c r="P828" s="39">
        <v>0</v>
      </c>
      <c r="Q828" s="39">
        <v>0</v>
      </c>
      <c r="R828" s="39">
        <v>0</v>
      </c>
      <c r="S828" s="39">
        <v>0</v>
      </c>
      <c r="T828" s="39">
        <v>0</v>
      </c>
      <c r="U828" s="39">
        <v>0</v>
      </c>
      <c r="V828" s="39">
        <v>0</v>
      </c>
      <c r="W828" s="39">
        <v>0</v>
      </c>
      <c r="X828" s="39">
        <v>0</v>
      </c>
      <c r="Y828" s="39">
        <v>0</v>
      </c>
      <c r="Z828" s="39">
        <v>0</v>
      </c>
      <c r="AA828" s="39">
        <v>0</v>
      </c>
      <c r="AB828" s="39">
        <v>0</v>
      </c>
      <c r="AC828" s="39">
        <v>0</v>
      </c>
      <c r="AD828" s="39">
        <v>0</v>
      </c>
      <c r="AE828" s="39">
        <v>0</v>
      </c>
      <c r="AF828" s="39">
        <v>0</v>
      </c>
      <c r="AG828" s="39">
        <v>0</v>
      </c>
      <c r="AH828" s="39"/>
      <c r="AI828" s="39"/>
      <c r="AJ828" s="40"/>
      <c r="AK828" s="39">
        <f t="shared" si="65"/>
        <v>0</v>
      </c>
      <c r="AL828" s="39">
        <f t="shared" si="63"/>
        <v>0</v>
      </c>
      <c r="AM828" s="39">
        <f t="shared" si="64"/>
        <v>0</v>
      </c>
      <c r="AN828" s="39">
        <f t="shared" si="66"/>
        <v>0</v>
      </c>
      <c r="AO828" s="39">
        <f t="shared" si="67"/>
        <v>0</v>
      </c>
    </row>
    <row r="829" spans="1:41" x14ac:dyDescent="0.3">
      <c r="A829" s="20">
        <v>1000184670</v>
      </c>
      <c r="B829" s="4" t="s">
        <v>147</v>
      </c>
      <c r="C829" s="21"/>
      <c r="D829" s="3"/>
      <c r="E829" s="20">
        <v>1000184757</v>
      </c>
      <c r="F829" s="4" t="s">
        <v>62</v>
      </c>
      <c r="G829" s="21">
        <v>1000189788</v>
      </c>
      <c r="H829" s="3" t="s">
        <v>102</v>
      </c>
      <c r="I829" s="21">
        <v>1000189270</v>
      </c>
      <c r="J829" s="3" t="s">
        <v>34</v>
      </c>
      <c r="K829" s="20" t="s">
        <v>29</v>
      </c>
      <c r="L829" s="39">
        <v>0</v>
      </c>
      <c r="M829" s="39">
        <v>0</v>
      </c>
      <c r="N829" s="39">
        <v>0</v>
      </c>
      <c r="O829" s="39">
        <v>0</v>
      </c>
      <c r="P829" s="39">
        <v>0</v>
      </c>
      <c r="Q829" s="39">
        <v>0</v>
      </c>
      <c r="R829" s="39">
        <v>0</v>
      </c>
      <c r="S829" s="39">
        <v>0</v>
      </c>
      <c r="T829" s="39">
        <v>0</v>
      </c>
      <c r="U829" s="39">
        <v>0</v>
      </c>
      <c r="V829" s="39">
        <v>0</v>
      </c>
      <c r="W829" s="39">
        <v>0</v>
      </c>
      <c r="X829" s="39">
        <v>0</v>
      </c>
      <c r="Y829" s="39">
        <v>0</v>
      </c>
      <c r="Z829" s="39">
        <v>0</v>
      </c>
      <c r="AA829" s="39">
        <v>0</v>
      </c>
      <c r="AB829" s="39">
        <v>0</v>
      </c>
      <c r="AC829" s="39">
        <v>0</v>
      </c>
      <c r="AD829" s="39">
        <v>0</v>
      </c>
      <c r="AE829" s="39">
        <v>0</v>
      </c>
      <c r="AF829" s="39">
        <v>0</v>
      </c>
      <c r="AG829" s="39">
        <v>0</v>
      </c>
      <c r="AH829" s="39"/>
      <c r="AI829" s="39"/>
      <c r="AJ829" s="40"/>
      <c r="AK829" s="39">
        <f t="shared" si="65"/>
        <v>0</v>
      </c>
      <c r="AL829" s="39">
        <f t="shared" si="63"/>
        <v>0</v>
      </c>
      <c r="AM829" s="39">
        <f t="shared" si="64"/>
        <v>0</v>
      </c>
      <c r="AN829" s="39">
        <f t="shared" si="66"/>
        <v>0</v>
      </c>
      <c r="AO829" s="39">
        <f t="shared" si="67"/>
        <v>0</v>
      </c>
    </row>
    <row r="830" spans="1:41" x14ac:dyDescent="0.3">
      <c r="A830" s="20">
        <v>1000184670</v>
      </c>
      <c r="B830" s="4" t="s">
        <v>147</v>
      </c>
      <c r="C830" s="21"/>
      <c r="D830" s="3"/>
      <c r="E830" s="20">
        <v>1000184757</v>
      </c>
      <c r="F830" s="4" t="s">
        <v>62</v>
      </c>
      <c r="G830" s="21">
        <v>1000189788</v>
      </c>
      <c r="H830" s="3" t="s">
        <v>102</v>
      </c>
      <c r="I830" s="21">
        <v>1000189270</v>
      </c>
      <c r="J830" s="3" t="s">
        <v>34</v>
      </c>
      <c r="K830" s="20" t="s">
        <v>21</v>
      </c>
      <c r="L830" s="39">
        <v>0</v>
      </c>
      <c r="M830" s="39">
        <v>0</v>
      </c>
      <c r="N830" s="39">
        <v>0</v>
      </c>
      <c r="O830" s="39">
        <v>0</v>
      </c>
      <c r="P830" s="39">
        <v>0</v>
      </c>
      <c r="Q830" s="39">
        <v>0</v>
      </c>
      <c r="R830" s="39">
        <v>0</v>
      </c>
      <c r="S830" s="39">
        <v>0</v>
      </c>
      <c r="T830" s="39">
        <v>0</v>
      </c>
      <c r="U830" s="39">
        <v>0</v>
      </c>
      <c r="V830" s="39">
        <v>0</v>
      </c>
      <c r="W830" s="39">
        <v>0</v>
      </c>
      <c r="X830" s="39">
        <v>0</v>
      </c>
      <c r="Y830" s="39">
        <v>0</v>
      </c>
      <c r="Z830" s="39">
        <v>0</v>
      </c>
      <c r="AA830" s="39">
        <v>0</v>
      </c>
      <c r="AB830" s="39">
        <v>0</v>
      </c>
      <c r="AC830" s="39">
        <v>0</v>
      </c>
      <c r="AD830" s="39">
        <v>0</v>
      </c>
      <c r="AE830" s="39">
        <v>0</v>
      </c>
      <c r="AF830" s="39">
        <v>0</v>
      </c>
      <c r="AG830" s="39">
        <v>53.66</v>
      </c>
      <c r="AH830" s="39"/>
      <c r="AI830" s="39"/>
      <c r="AJ830" s="40"/>
      <c r="AK830" s="39">
        <f t="shared" si="65"/>
        <v>0</v>
      </c>
      <c r="AL830" s="39">
        <f t="shared" si="63"/>
        <v>4.4716666666666667</v>
      </c>
      <c r="AM830" s="39">
        <f t="shared" si="64"/>
        <v>8.9433333333333334</v>
      </c>
      <c r="AN830" s="39">
        <f t="shared" si="66"/>
        <v>5.3659999999999997</v>
      </c>
      <c r="AO830" s="39">
        <f t="shared" si="67"/>
        <v>53.66</v>
      </c>
    </row>
    <row r="831" spans="1:41" x14ac:dyDescent="0.3">
      <c r="A831" s="20">
        <v>1000184670</v>
      </c>
      <c r="B831" s="4" t="s">
        <v>147</v>
      </c>
      <c r="C831" s="21"/>
      <c r="D831" s="3"/>
      <c r="E831" s="20">
        <v>1000184757</v>
      </c>
      <c r="F831" s="4" t="s">
        <v>62</v>
      </c>
      <c r="G831" s="21">
        <v>1000189788</v>
      </c>
      <c r="H831" s="3" t="s">
        <v>102</v>
      </c>
      <c r="I831" s="21">
        <v>1000189270</v>
      </c>
      <c r="J831" s="3" t="s">
        <v>34</v>
      </c>
      <c r="K831" s="20" t="s">
        <v>20</v>
      </c>
      <c r="L831" s="39">
        <v>0</v>
      </c>
      <c r="M831" s="39">
        <v>0</v>
      </c>
      <c r="N831" s="39">
        <v>0</v>
      </c>
      <c r="O831" s="39">
        <v>0</v>
      </c>
      <c r="P831" s="39">
        <v>0</v>
      </c>
      <c r="Q831" s="39">
        <v>0</v>
      </c>
      <c r="R831" s="39">
        <v>0</v>
      </c>
      <c r="S831" s="39">
        <v>0</v>
      </c>
      <c r="T831" s="39">
        <v>0</v>
      </c>
      <c r="U831" s="39">
        <v>0</v>
      </c>
      <c r="V831" s="39">
        <v>0</v>
      </c>
      <c r="W831" s="39">
        <v>0</v>
      </c>
      <c r="X831" s="39">
        <v>0</v>
      </c>
      <c r="Y831" s="39">
        <v>0</v>
      </c>
      <c r="Z831" s="39">
        <v>0</v>
      </c>
      <c r="AA831" s="39">
        <v>0</v>
      </c>
      <c r="AB831" s="39">
        <v>0</v>
      </c>
      <c r="AC831" s="39">
        <v>0</v>
      </c>
      <c r="AD831" s="39">
        <v>0</v>
      </c>
      <c r="AE831" s="39">
        <v>0</v>
      </c>
      <c r="AF831" s="39">
        <v>0</v>
      </c>
      <c r="AG831" s="39">
        <v>0</v>
      </c>
      <c r="AH831" s="39"/>
      <c r="AI831" s="39"/>
      <c r="AJ831" s="40"/>
      <c r="AK831" s="39">
        <f t="shared" si="65"/>
        <v>0</v>
      </c>
      <c r="AL831" s="39">
        <f t="shared" si="63"/>
        <v>0</v>
      </c>
      <c r="AM831" s="39">
        <f t="shared" si="64"/>
        <v>0</v>
      </c>
      <c r="AN831" s="39">
        <f t="shared" si="66"/>
        <v>0</v>
      </c>
      <c r="AO831" s="39">
        <f t="shared" si="67"/>
        <v>0</v>
      </c>
    </row>
    <row r="832" spans="1:41" x14ac:dyDescent="0.3">
      <c r="A832" s="20">
        <v>1000184670</v>
      </c>
      <c r="B832" s="4" t="s">
        <v>147</v>
      </c>
      <c r="C832" s="21"/>
      <c r="D832" s="3"/>
      <c r="E832" s="20">
        <v>1000184757</v>
      </c>
      <c r="F832" s="4" t="s">
        <v>62</v>
      </c>
      <c r="G832" s="21">
        <v>1000189788</v>
      </c>
      <c r="H832" s="3" t="s">
        <v>102</v>
      </c>
      <c r="I832" s="21">
        <v>1000189270</v>
      </c>
      <c r="J832" s="3" t="s">
        <v>34</v>
      </c>
      <c r="K832" s="20" t="s">
        <v>22</v>
      </c>
      <c r="L832" s="39">
        <v>0</v>
      </c>
      <c r="M832" s="39">
        <v>0</v>
      </c>
      <c r="N832" s="39">
        <v>0</v>
      </c>
      <c r="O832" s="39">
        <v>0</v>
      </c>
      <c r="P832" s="39">
        <v>0</v>
      </c>
      <c r="Q832" s="39">
        <v>0</v>
      </c>
      <c r="R832" s="39">
        <v>0</v>
      </c>
      <c r="S832" s="39">
        <v>0</v>
      </c>
      <c r="T832" s="39">
        <v>0</v>
      </c>
      <c r="U832" s="39">
        <v>0</v>
      </c>
      <c r="V832" s="39">
        <v>0</v>
      </c>
      <c r="W832" s="39">
        <v>0</v>
      </c>
      <c r="X832" s="39">
        <v>0</v>
      </c>
      <c r="Y832" s="39">
        <v>0</v>
      </c>
      <c r="Z832" s="39">
        <v>0</v>
      </c>
      <c r="AA832" s="39">
        <v>0</v>
      </c>
      <c r="AB832" s="39">
        <v>0</v>
      </c>
      <c r="AC832" s="39">
        <v>0</v>
      </c>
      <c r="AD832" s="39">
        <v>0</v>
      </c>
      <c r="AE832" s="39">
        <v>0</v>
      </c>
      <c r="AF832" s="39">
        <v>0</v>
      </c>
      <c r="AG832" s="39">
        <v>201.82</v>
      </c>
      <c r="AH832" s="39"/>
      <c r="AI832" s="39"/>
      <c r="AJ832" s="40"/>
      <c r="AK832" s="39">
        <f t="shared" si="65"/>
        <v>0</v>
      </c>
      <c r="AL832" s="39">
        <f t="shared" si="63"/>
        <v>16.818333333333332</v>
      </c>
      <c r="AM832" s="39">
        <f t="shared" si="64"/>
        <v>33.636666666666663</v>
      </c>
      <c r="AN832" s="39">
        <f t="shared" si="66"/>
        <v>20.181999999999999</v>
      </c>
      <c r="AO832" s="39">
        <f t="shared" si="67"/>
        <v>201.82</v>
      </c>
    </row>
    <row r="833" spans="1:41" x14ac:dyDescent="0.3">
      <c r="A833" s="20">
        <v>1000184670</v>
      </c>
      <c r="B833" s="4" t="s">
        <v>147</v>
      </c>
      <c r="C833" s="21"/>
      <c r="D833" s="3"/>
      <c r="E833" s="20">
        <v>1000184757</v>
      </c>
      <c r="F833" s="4" t="s">
        <v>62</v>
      </c>
      <c r="G833" s="21">
        <v>1000189788</v>
      </c>
      <c r="H833" s="3" t="s">
        <v>102</v>
      </c>
      <c r="I833" s="21">
        <v>1000189270</v>
      </c>
      <c r="J833" s="3" t="s">
        <v>34</v>
      </c>
      <c r="K833" s="20" t="s">
        <v>23</v>
      </c>
      <c r="L833" s="39">
        <v>0</v>
      </c>
      <c r="M833" s="39">
        <v>0</v>
      </c>
      <c r="N833" s="39">
        <v>0</v>
      </c>
      <c r="O833" s="39">
        <v>0</v>
      </c>
      <c r="P833" s="39">
        <v>0</v>
      </c>
      <c r="Q833" s="39">
        <v>0</v>
      </c>
      <c r="R833" s="39">
        <v>0</v>
      </c>
      <c r="S833" s="39">
        <v>0</v>
      </c>
      <c r="T833" s="39">
        <v>0</v>
      </c>
      <c r="U833" s="39">
        <v>0</v>
      </c>
      <c r="V833" s="39">
        <v>0</v>
      </c>
      <c r="W833" s="39">
        <v>0</v>
      </c>
      <c r="X833" s="39">
        <v>0</v>
      </c>
      <c r="Y833" s="39">
        <v>0</v>
      </c>
      <c r="Z833" s="39">
        <v>0</v>
      </c>
      <c r="AA833" s="39">
        <v>0</v>
      </c>
      <c r="AB833" s="39">
        <v>0</v>
      </c>
      <c r="AC833" s="39">
        <v>0</v>
      </c>
      <c r="AD833" s="39">
        <v>0</v>
      </c>
      <c r="AE833" s="39">
        <v>0</v>
      </c>
      <c r="AF833" s="39">
        <v>0</v>
      </c>
      <c r="AG833" s="39">
        <v>69.7</v>
      </c>
      <c r="AH833" s="39"/>
      <c r="AI833" s="39"/>
      <c r="AJ833" s="40"/>
      <c r="AK833" s="39">
        <f t="shared" si="65"/>
        <v>0</v>
      </c>
      <c r="AL833" s="39">
        <f t="shared" si="63"/>
        <v>5.8083333333333336</v>
      </c>
      <c r="AM833" s="39">
        <f t="shared" si="64"/>
        <v>11.616666666666667</v>
      </c>
      <c r="AN833" s="39">
        <f t="shared" si="66"/>
        <v>6.9700000000000006</v>
      </c>
      <c r="AO833" s="39">
        <f t="shared" si="67"/>
        <v>69.7</v>
      </c>
    </row>
    <row r="834" spans="1:41" x14ac:dyDescent="0.3">
      <c r="A834" s="20">
        <v>1000184670</v>
      </c>
      <c r="B834" s="4" t="s">
        <v>147</v>
      </c>
      <c r="C834" s="21"/>
      <c r="D834" s="3"/>
      <c r="E834" s="20">
        <v>1000184757</v>
      </c>
      <c r="F834" s="4" t="s">
        <v>62</v>
      </c>
      <c r="G834" s="21">
        <v>1000189788</v>
      </c>
      <c r="H834" s="3" t="s">
        <v>102</v>
      </c>
      <c r="I834" s="21">
        <v>1000189270</v>
      </c>
      <c r="J834" s="3" t="s">
        <v>34</v>
      </c>
      <c r="K834" s="20" t="s">
        <v>28</v>
      </c>
      <c r="L834" s="39">
        <v>0</v>
      </c>
      <c r="M834" s="39">
        <v>0</v>
      </c>
      <c r="N834" s="39">
        <v>0</v>
      </c>
      <c r="O834" s="39">
        <v>0</v>
      </c>
      <c r="P834" s="39">
        <v>0</v>
      </c>
      <c r="Q834" s="39">
        <v>0</v>
      </c>
      <c r="R834" s="39">
        <v>0</v>
      </c>
      <c r="S834" s="39">
        <v>0</v>
      </c>
      <c r="T834" s="39">
        <v>0</v>
      </c>
      <c r="U834" s="39">
        <v>0</v>
      </c>
      <c r="V834" s="39">
        <v>0</v>
      </c>
      <c r="W834" s="39">
        <v>0</v>
      </c>
      <c r="X834" s="39">
        <v>0</v>
      </c>
      <c r="Y834" s="39">
        <v>0</v>
      </c>
      <c r="Z834" s="39">
        <v>0</v>
      </c>
      <c r="AA834" s="39">
        <v>0</v>
      </c>
      <c r="AB834" s="39">
        <v>0</v>
      </c>
      <c r="AC834" s="39">
        <v>0</v>
      </c>
      <c r="AD834" s="39">
        <v>0</v>
      </c>
      <c r="AE834" s="39">
        <v>0</v>
      </c>
      <c r="AF834" s="39">
        <v>0</v>
      </c>
      <c r="AG834" s="39">
        <v>0</v>
      </c>
      <c r="AH834" s="39"/>
      <c r="AI834" s="39"/>
      <c r="AJ834" s="40"/>
      <c r="AK834" s="39">
        <f t="shared" si="65"/>
        <v>0</v>
      </c>
      <c r="AL834" s="39">
        <f t="shared" si="63"/>
        <v>0</v>
      </c>
      <c r="AM834" s="39">
        <f t="shared" si="64"/>
        <v>0</v>
      </c>
      <c r="AN834" s="39">
        <f t="shared" si="66"/>
        <v>0</v>
      </c>
      <c r="AO834" s="39">
        <f t="shared" si="67"/>
        <v>0</v>
      </c>
    </row>
    <row r="835" spans="1:41" x14ac:dyDescent="0.3">
      <c r="A835" s="20">
        <v>1000184670</v>
      </c>
      <c r="B835" s="4" t="s">
        <v>147</v>
      </c>
      <c r="C835" s="21"/>
      <c r="D835" s="3"/>
      <c r="E835" s="20">
        <v>1000184757</v>
      </c>
      <c r="F835" s="4" t="s">
        <v>62</v>
      </c>
      <c r="G835" s="21">
        <v>1000189788</v>
      </c>
      <c r="H835" s="3" t="s">
        <v>102</v>
      </c>
      <c r="I835" s="21">
        <v>1000189270</v>
      </c>
      <c r="J835" s="3" t="s">
        <v>34</v>
      </c>
      <c r="K835" s="20" t="s">
        <v>26</v>
      </c>
      <c r="L835" s="39">
        <v>0</v>
      </c>
      <c r="M835" s="39">
        <v>0</v>
      </c>
      <c r="N835" s="39">
        <v>0</v>
      </c>
      <c r="O835" s="39">
        <v>0</v>
      </c>
      <c r="P835" s="39">
        <v>0</v>
      </c>
      <c r="Q835" s="39">
        <v>0</v>
      </c>
      <c r="R835" s="39">
        <v>0</v>
      </c>
      <c r="S835" s="39">
        <v>0</v>
      </c>
      <c r="T835" s="39">
        <v>0</v>
      </c>
      <c r="U835" s="39">
        <v>0</v>
      </c>
      <c r="V835" s="39">
        <v>0</v>
      </c>
      <c r="W835" s="39">
        <v>0</v>
      </c>
      <c r="X835" s="39">
        <v>0</v>
      </c>
      <c r="Y835" s="39">
        <v>0</v>
      </c>
      <c r="Z835" s="39">
        <v>0</v>
      </c>
      <c r="AA835" s="39">
        <v>0</v>
      </c>
      <c r="AB835" s="39">
        <v>0</v>
      </c>
      <c r="AC835" s="39">
        <v>0</v>
      </c>
      <c r="AD835" s="39">
        <v>0</v>
      </c>
      <c r="AE835" s="39">
        <v>0</v>
      </c>
      <c r="AF835" s="39">
        <v>0</v>
      </c>
      <c r="AG835" s="39">
        <v>0</v>
      </c>
      <c r="AH835" s="39"/>
      <c r="AI835" s="39"/>
      <c r="AJ835" s="40"/>
      <c r="AK835" s="39">
        <f t="shared" si="65"/>
        <v>0</v>
      </c>
      <c r="AL835" s="39">
        <f t="shared" ref="AL835:AL898" si="68">AVERAGE(V835:AG835)</f>
        <v>0</v>
      </c>
      <c r="AM835" s="39">
        <f t="shared" ref="AM835:AM898" si="69">AVERAGE(AB835:AG835)</f>
        <v>0</v>
      </c>
      <c r="AN835" s="39">
        <f t="shared" si="66"/>
        <v>0</v>
      </c>
      <c r="AO835" s="39">
        <f t="shared" si="67"/>
        <v>0</v>
      </c>
    </row>
    <row r="836" spans="1:41" x14ac:dyDescent="0.3">
      <c r="A836" s="20">
        <v>1000184670</v>
      </c>
      <c r="B836" s="4" t="s">
        <v>147</v>
      </c>
      <c r="C836" s="21"/>
      <c r="D836" s="3"/>
      <c r="E836" s="20">
        <v>1000184757</v>
      </c>
      <c r="F836" s="4" t="s">
        <v>62</v>
      </c>
      <c r="G836" s="21">
        <v>1000189788</v>
      </c>
      <c r="H836" s="3" t="s">
        <v>102</v>
      </c>
      <c r="I836" s="21">
        <v>1000189270</v>
      </c>
      <c r="J836" s="3" t="s">
        <v>34</v>
      </c>
      <c r="K836" s="20" t="s">
        <v>27</v>
      </c>
      <c r="L836" s="39">
        <v>0</v>
      </c>
      <c r="M836" s="39">
        <v>0</v>
      </c>
      <c r="N836" s="39">
        <v>0</v>
      </c>
      <c r="O836" s="39">
        <v>0</v>
      </c>
      <c r="P836" s="39">
        <v>0</v>
      </c>
      <c r="Q836" s="39">
        <v>0</v>
      </c>
      <c r="R836" s="39">
        <v>0</v>
      </c>
      <c r="S836" s="39">
        <v>0</v>
      </c>
      <c r="T836" s="39">
        <v>0</v>
      </c>
      <c r="U836" s="39">
        <v>0</v>
      </c>
      <c r="V836" s="39">
        <v>0</v>
      </c>
      <c r="W836" s="39">
        <v>0</v>
      </c>
      <c r="X836" s="39">
        <v>0</v>
      </c>
      <c r="Y836" s="39">
        <v>0</v>
      </c>
      <c r="Z836" s="39">
        <v>0</v>
      </c>
      <c r="AA836" s="39">
        <v>0</v>
      </c>
      <c r="AB836" s="39">
        <v>0</v>
      </c>
      <c r="AC836" s="39">
        <v>0</v>
      </c>
      <c r="AD836" s="39">
        <v>0</v>
      </c>
      <c r="AE836" s="39">
        <v>0</v>
      </c>
      <c r="AF836" s="39">
        <v>0</v>
      </c>
      <c r="AG836" s="39">
        <v>0</v>
      </c>
      <c r="AH836" s="39"/>
      <c r="AI836" s="39"/>
      <c r="AJ836" s="40"/>
      <c r="AK836" s="39">
        <f t="shared" si="65"/>
        <v>0</v>
      </c>
      <c r="AL836" s="39">
        <f t="shared" si="68"/>
        <v>0</v>
      </c>
      <c r="AM836" s="39">
        <f t="shared" si="69"/>
        <v>0</v>
      </c>
      <c r="AN836" s="39">
        <f t="shared" si="66"/>
        <v>0</v>
      </c>
      <c r="AO836" s="39">
        <f t="shared" si="67"/>
        <v>0</v>
      </c>
    </row>
    <row r="837" spans="1:41" x14ac:dyDescent="0.3">
      <c r="A837" s="20">
        <v>1000184670</v>
      </c>
      <c r="B837" s="4" t="s">
        <v>147</v>
      </c>
      <c r="C837" s="21"/>
      <c r="D837" s="3"/>
      <c r="E837" s="20">
        <v>1000184757</v>
      </c>
      <c r="F837" s="4" t="s">
        <v>62</v>
      </c>
      <c r="G837" s="21">
        <v>1000189788</v>
      </c>
      <c r="H837" s="3" t="s">
        <v>102</v>
      </c>
      <c r="I837" s="21">
        <v>1000189270</v>
      </c>
      <c r="J837" s="3" t="s">
        <v>34</v>
      </c>
      <c r="K837" s="20" t="s">
        <v>25</v>
      </c>
      <c r="L837" s="39">
        <v>0</v>
      </c>
      <c r="M837" s="39">
        <v>0</v>
      </c>
      <c r="N837" s="39">
        <v>0</v>
      </c>
      <c r="O837" s="39">
        <v>0</v>
      </c>
      <c r="P837" s="39">
        <v>0</v>
      </c>
      <c r="Q837" s="39">
        <v>0</v>
      </c>
      <c r="R837" s="39">
        <v>0</v>
      </c>
      <c r="S837" s="39">
        <v>0</v>
      </c>
      <c r="T837" s="39">
        <v>0</v>
      </c>
      <c r="U837" s="39">
        <v>0</v>
      </c>
      <c r="V837" s="39">
        <v>0</v>
      </c>
      <c r="W837" s="39">
        <v>0</v>
      </c>
      <c r="X837" s="39">
        <v>0</v>
      </c>
      <c r="Y837" s="39">
        <v>0</v>
      </c>
      <c r="Z837" s="39">
        <v>0</v>
      </c>
      <c r="AA837" s="39">
        <v>0</v>
      </c>
      <c r="AB837" s="39">
        <v>0</v>
      </c>
      <c r="AC837" s="39">
        <v>0</v>
      </c>
      <c r="AD837" s="39">
        <v>0</v>
      </c>
      <c r="AE837" s="39">
        <v>0</v>
      </c>
      <c r="AF837" s="39">
        <v>0</v>
      </c>
      <c r="AG837" s="39">
        <v>0</v>
      </c>
      <c r="AH837" s="39"/>
      <c r="AI837" s="39"/>
      <c r="AJ837" s="40"/>
      <c r="AK837" s="39">
        <f t="shared" si="65"/>
        <v>0</v>
      </c>
      <c r="AL837" s="39">
        <f t="shared" si="68"/>
        <v>0</v>
      </c>
      <c r="AM837" s="39">
        <f t="shared" si="69"/>
        <v>0</v>
      </c>
      <c r="AN837" s="39">
        <f t="shared" si="66"/>
        <v>0</v>
      </c>
      <c r="AO837" s="39">
        <f t="shared" si="67"/>
        <v>0</v>
      </c>
    </row>
    <row r="838" spans="1:41" x14ac:dyDescent="0.3">
      <c r="A838" s="20">
        <v>1000184670</v>
      </c>
      <c r="B838" s="4" t="s">
        <v>147</v>
      </c>
      <c r="C838" s="21"/>
      <c r="D838" s="3"/>
      <c r="E838" s="20">
        <v>1000184757</v>
      </c>
      <c r="F838" s="4" t="s">
        <v>62</v>
      </c>
      <c r="G838" s="21">
        <v>1000189789</v>
      </c>
      <c r="H838" s="3" t="s">
        <v>77</v>
      </c>
      <c r="I838" s="21">
        <v>1000189270</v>
      </c>
      <c r="J838" s="3" t="s">
        <v>34</v>
      </c>
      <c r="K838" s="20" t="s">
        <v>124</v>
      </c>
      <c r="L838" s="39">
        <v>0</v>
      </c>
      <c r="M838" s="39">
        <v>0</v>
      </c>
      <c r="N838" s="39">
        <v>0</v>
      </c>
      <c r="O838" s="39">
        <v>0</v>
      </c>
      <c r="P838" s="39">
        <v>0</v>
      </c>
      <c r="Q838" s="39">
        <v>0</v>
      </c>
      <c r="R838" s="39">
        <v>0</v>
      </c>
      <c r="S838" s="39">
        <v>0</v>
      </c>
      <c r="T838" s="39">
        <v>0</v>
      </c>
      <c r="U838" s="39">
        <v>0</v>
      </c>
      <c r="V838" s="39">
        <v>0</v>
      </c>
      <c r="W838" s="39">
        <v>0</v>
      </c>
      <c r="X838" s="39">
        <v>0</v>
      </c>
      <c r="Y838" s="39">
        <v>0</v>
      </c>
      <c r="Z838" s="39">
        <v>0</v>
      </c>
      <c r="AA838" s="39">
        <v>0</v>
      </c>
      <c r="AB838" s="39">
        <v>0</v>
      </c>
      <c r="AC838" s="39">
        <v>0</v>
      </c>
      <c r="AD838" s="39">
        <v>0</v>
      </c>
      <c r="AE838" s="39">
        <v>0</v>
      </c>
      <c r="AF838" s="39">
        <v>0</v>
      </c>
      <c r="AG838" s="39">
        <v>0</v>
      </c>
      <c r="AH838" s="39"/>
      <c r="AI838" s="39"/>
      <c r="AJ838" s="40"/>
      <c r="AK838" s="39">
        <f t="shared" si="65"/>
        <v>0</v>
      </c>
      <c r="AL838" s="39">
        <f t="shared" si="68"/>
        <v>0</v>
      </c>
      <c r="AM838" s="39">
        <f t="shared" si="69"/>
        <v>0</v>
      </c>
      <c r="AN838" s="39">
        <f t="shared" si="66"/>
        <v>0</v>
      </c>
      <c r="AO838" s="39">
        <f t="shared" si="67"/>
        <v>0</v>
      </c>
    </row>
    <row r="839" spans="1:41" x14ac:dyDescent="0.3">
      <c r="A839" s="20">
        <v>1000184670</v>
      </c>
      <c r="B839" s="4" t="s">
        <v>147</v>
      </c>
      <c r="C839" s="21"/>
      <c r="D839" s="3"/>
      <c r="E839" s="20">
        <v>1000184757</v>
      </c>
      <c r="F839" s="4" t="s">
        <v>62</v>
      </c>
      <c r="G839" s="21">
        <v>1000189789</v>
      </c>
      <c r="H839" s="3" t="s">
        <v>77</v>
      </c>
      <c r="I839" s="21">
        <v>1000189270</v>
      </c>
      <c r="J839" s="3" t="s">
        <v>34</v>
      </c>
      <c r="K839" s="20" t="s">
        <v>13</v>
      </c>
      <c r="L839" s="39">
        <v>0</v>
      </c>
      <c r="M839" s="39">
        <v>0</v>
      </c>
      <c r="N839" s="39">
        <v>0</v>
      </c>
      <c r="O839" s="39">
        <v>0</v>
      </c>
      <c r="P839" s="39">
        <v>0</v>
      </c>
      <c r="Q839" s="39">
        <v>0</v>
      </c>
      <c r="R839" s="39">
        <v>0</v>
      </c>
      <c r="S839" s="39">
        <v>0</v>
      </c>
      <c r="T839" s="39">
        <v>0</v>
      </c>
      <c r="U839" s="39">
        <v>0</v>
      </c>
      <c r="V839" s="39">
        <v>0</v>
      </c>
      <c r="W839" s="39">
        <v>0</v>
      </c>
      <c r="X839" s="39">
        <v>0</v>
      </c>
      <c r="Y839" s="39">
        <v>0</v>
      </c>
      <c r="Z839" s="39">
        <v>0</v>
      </c>
      <c r="AA839" s="39">
        <v>0</v>
      </c>
      <c r="AB839" s="39">
        <v>198</v>
      </c>
      <c r="AC839" s="39">
        <v>113.7</v>
      </c>
      <c r="AD839" s="39">
        <v>67.680000000000007</v>
      </c>
      <c r="AE839" s="39">
        <v>1087.83</v>
      </c>
      <c r="AF839" s="39">
        <v>0</v>
      </c>
      <c r="AG839" s="39">
        <v>324</v>
      </c>
      <c r="AH839" s="39"/>
      <c r="AI839" s="39"/>
      <c r="AJ839" s="40"/>
      <c r="AK839" s="39">
        <f t="shared" si="65"/>
        <v>0</v>
      </c>
      <c r="AL839" s="39">
        <f t="shared" si="68"/>
        <v>149.26750000000001</v>
      </c>
      <c r="AM839" s="39">
        <f t="shared" si="69"/>
        <v>298.53500000000003</v>
      </c>
      <c r="AN839" s="39">
        <f t="shared" si="66"/>
        <v>179.12100000000001</v>
      </c>
      <c r="AO839" s="39">
        <f t="shared" si="67"/>
        <v>1791.21</v>
      </c>
    </row>
    <row r="840" spans="1:41" x14ac:dyDescent="0.3">
      <c r="A840" s="20">
        <v>1000184670</v>
      </c>
      <c r="B840" s="4" t="s">
        <v>147</v>
      </c>
      <c r="C840" s="21"/>
      <c r="D840" s="3"/>
      <c r="E840" s="20">
        <v>1000184757</v>
      </c>
      <c r="F840" s="4" t="s">
        <v>62</v>
      </c>
      <c r="G840" s="21">
        <v>1000189789</v>
      </c>
      <c r="H840" s="3" t="s">
        <v>77</v>
      </c>
      <c r="I840" s="21">
        <v>1000189270</v>
      </c>
      <c r="J840" s="3" t="s">
        <v>34</v>
      </c>
      <c r="K840" s="20" t="s">
        <v>14</v>
      </c>
      <c r="L840" s="39">
        <v>0</v>
      </c>
      <c r="M840" s="39">
        <v>0</v>
      </c>
      <c r="N840" s="39">
        <v>0</v>
      </c>
      <c r="O840" s="39">
        <v>0</v>
      </c>
      <c r="P840" s="39">
        <v>0</v>
      </c>
      <c r="Q840" s="39">
        <v>0</v>
      </c>
      <c r="R840" s="39">
        <v>0</v>
      </c>
      <c r="S840" s="39">
        <v>0</v>
      </c>
      <c r="T840" s="39">
        <v>0</v>
      </c>
      <c r="U840" s="39">
        <v>0</v>
      </c>
      <c r="V840" s="39">
        <v>0</v>
      </c>
      <c r="W840" s="39">
        <v>0</v>
      </c>
      <c r="X840" s="39">
        <v>0</v>
      </c>
      <c r="Y840" s="39">
        <v>0</v>
      </c>
      <c r="Z840" s="39">
        <v>0</v>
      </c>
      <c r="AA840" s="39">
        <v>0</v>
      </c>
      <c r="AB840" s="39">
        <v>0</v>
      </c>
      <c r="AC840" s="39">
        <v>0</v>
      </c>
      <c r="AD840" s="39">
        <v>0</v>
      </c>
      <c r="AE840" s="39">
        <v>0</v>
      </c>
      <c r="AF840" s="39">
        <v>0</v>
      </c>
      <c r="AG840" s="39">
        <v>315</v>
      </c>
      <c r="AH840" s="39"/>
      <c r="AI840" s="39"/>
      <c r="AJ840" s="40"/>
      <c r="AK840" s="39">
        <f t="shared" si="65"/>
        <v>0</v>
      </c>
      <c r="AL840" s="39">
        <f t="shared" si="68"/>
        <v>26.25</v>
      </c>
      <c r="AM840" s="39">
        <f t="shared" si="69"/>
        <v>52.5</v>
      </c>
      <c r="AN840" s="39">
        <f t="shared" si="66"/>
        <v>31.5</v>
      </c>
      <c r="AO840" s="39">
        <f t="shared" si="67"/>
        <v>315</v>
      </c>
    </row>
    <row r="841" spans="1:41" x14ac:dyDescent="0.3">
      <c r="A841" s="20">
        <v>1000184670</v>
      </c>
      <c r="B841" s="4" t="s">
        <v>147</v>
      </c>
      <c r="C841" s="21"/>
      <c r="D841" s="3"/>
      <c r="E841" s="20">
        <v>1000184757</v>
      </c>
      <c r="F841" s="4" t="s">
        <v>62</v>
      </c>
      <c r="G841" s="21">
        <v>1000189789</v>
      </c>
      <c r="H841" s="3" t="s">
        <v>77</v>
      </c>
      <c r="I841" s="21">
        <v>1000189270</v>
      </c>
      <c r="J841" s="3" t="s">
        <v>34</v>
      </c>
      <c r="K841" s="20" t="s">
        <v>16</v>
      </c>
      <c r="L841" s="39">
        <v>0</v>
      </c>
      <c r="M841" s="39">
        <v>0</v>
      </c>
      <c r="N841" s="39">
        <v>0</v>
      </c>
      <c r="O841" s="39">
        <v>0</v>
      </c>
      <c r="P841" s="39">
        <v>0</v>
      </c>
      <c r="Q841" s="39">
        <v>0</v>
      </c>
      <c r="R841" s="39">
        <v>0</v>
      </c>
      <c r="S841" s="39">
        <v>0</v>
      </c>
      <c r="T841" s="39">
        <v>0</v>
      </c>
      <c r="U841" s="39">
        <v>0</v>
      </c>
      <c r="V841" s="39">
        <v>0</v>
      </c>
      <c r="W841" s="39">
        <v>0</v>
      </c>
      <c r="X841" s="39">
        <v>0</v>
      </c>
      <c r="Y841" s="39">
        <v>0</v>
      </c>
      <c r="Z841" s="39">
        <v>1926.46</v>
      </c>
      <c r="AA841" s="39">
        <v>1142.0999999999999</v>
      </c>
      <c r="AB841" s="39">
        <v>2610.4499999999998</v>
      </c>
      <c r="AC841" s="39">
        <v>495.18</v>
      </c>
      <c r="AD841" s="39">
        <v>1559.54</v>
      </c>
      <c r="AE841" s="39">
        <v>1465.11</v>
      </c>
      <c r="AF841" s="39">
        <v>0</v>
      </c>
      <c r="AG841" s="39">
        <v>1855.01</v>
      </c>
      <c r="AH841" s="39"/>
      <c r="AI841" s="39"/>
      <c r="AJ841" s="40"/>
      <c r="AK841" s="39">
        <f t="shared" si="65"/>
        <v>0</v>
      </c>
      <c r="AL841" s="39">
        <f t="shared" si="68"/>
        <v>921.1541666666667</v>
      </c>
      <c r="AM841" s="39">
        <f t="shared" si="69"/>
        <v>1330.8816666666667</v>
      </c>
      <c r="AN841" s="39">
        <f t="shared" si="66"/>
        <v>1105.385</v>
      </c>
      <c r="AO841" s="39">
        <f t="shared" si="67"/>
        <v>11053.85</v>
      </c>
    </row>
    <row r="842" spans="1:41" x14ac:dyDescent="0.3">
      <c r="A842" s="20">
        <v>1000184670</v>
      </c>
      <c r="B842" s="4" t="s">
        <v>147</v>
      </c>
      <c r="C842" s="21"/>
      <c r="D842" s="3"/>
      <c r="E842" s="20">
        <v>1000184757</v>
      </c>
      <c r="F842" s="4" t="s">
        <v>62</v>
      </c>
      <c r="G842" s="21">
        <v>1000189789</v>
      </c>
      <c r="H842" s="3" t="s">
        <v>77</v>
      </c>
      <c r="I842" s="21">
        <v>1000189270</v>
      </c>
      <c r="J842" s="3" t="s">
        <v>34</v>
      </c>
      <c r="K842" s="20" t="s">
        <v>15</v>
      </c>
      <c r="L842" s="39">
        <v>0</v>
      </c>
      <c r="M842" s="39">
        <v>0</v>
      </c>
      <c r="N842" s="39">
        <v>0</v>
      </c>
      <c r="O842" s="39">
        <v>0</v>
      </c>
      <c r="P842" s="39">
        <v>0</v>
      </c>
      <c r="Q842" s="39">
        <v>0</v>
      </c>
      <c r="R842" s="39">
        <v>0</v>
      </c>
      <c r="S842" s="39">
        <v>0</v>
      </c>
      <c r="T842" s="39">
        <v>0</v>
      </c>
      <c r="U842" s="39">
        <v>0</v>
      </c>
      <c r="V842" s="39">
        <v>0</v>
      </c>
      <c r="W842" s="39">
        <v>0</v>
      </c>
      <c r="X842" s="39">
        <v>0</v>
      </c>
      <c r="Y842" s="39">
        <v>0</v>
      </c>
      <c r="Z842" s="39">
        <v>0</v>
      </c>
      <c r="AA842" s="39">
        <v>3780</v>
      </c>
      <c r="AB842" s="39">
        <v>4131</v>
      </c>
      <c r="AC842" s="39">
        <v>5083.6000000000004</v>
      </c>
      <c r="AD842" s="39">
        <v>7098</v>
      </c>
      <c r="AE842" s="39">
        <v>1012.35</v>
      </c>
      <c r="AF842" s="39">
        <v>0</v>
      </c>
      <c r="AG842" s="39">
        <v>11467.12</v>
      </c>
      <c r="AH842" s="39"/>
      <c r="AI842" s="39"/>
      <c r="AJ842" s="40"/>
      <c r="AK842" s="39">
        <f t="shared" si="65"/>
        <v>0</v>
      </c>
      <c r="AL842" s="39">
        <f t="shared" si="68"/>
        <v>2714.3391666666666</v>
      </c>
      <c r="AM842" s="39">
        <f t="shared" si="69"/>
        <v>4798.6783333333333</v>
      </c>
      <c r="AN842" s="39">
        <f t="shared" si="66"/>
        <v>3257.2069999999999</v>
      </c>
      <c r="AO842" s="39">
        <f t="shared" si="67"/>
        <v>32572.07</v>
      </c>
    </row>
    <row r="843" spans="1:41" x14ac:dyDescent="0.3">
      <c r="A843" s="20">
        <v>1000184670</v>
      </c>
      <c r="B843" s="4" t="s">
        <v>147</v>
      </c>
      <c r="C843" s="21"/>
      <c r="D843" s="3"/>
      <c r="E843" s="20">
        <v>1000184757</v>
      </c>
      <c r="F843" s="4" t="s">
        <v>62</v>
      </c>
      <c r="G843" s="21">
        <v>1000189789</v>
      </c>
      <c r="H843" s="3" t="s">
        <v>77</v>
      </c>
      <c r="I843" s="21">
        <v>1000189270</v>
      </c>
      <c r="J843" s="3" t="s">
        <v>34</v>
      </c>
      <c r="K843" s="20" t="s">
        <v>33</v>
      </c>
      <c r="L843" s="39">
        <v>0</v>
      </c>
      <c r="M843" s="39">
        <v>0</v>
      </c>
      <c r="N843" s="39">
        <v>0</v>
      </c>
      <c r="O843" s="39">
        <v>0</v>
      </c>
      <c r="P843" s="39">
        <v>0</v>
      </c>
      <c r="Q843" s="39">
        <v>0</v>
      </c>
      <c r="R843" s="39">
        <v>0</v>
      </c>
      <c r="S843" s="39">
        <v>0</v>
      </c>
      <c r="T843" s="39">
        <v>0</v>
      </c>
      <c r="U843" s="39">
        <v>0</v>
      </c>
      <c r="V843" s="39">
        <v>0</v>
      </c>
      <c r="W843" s="39">
        <v>0</v>
      </c>
      <c r="X843" s="39">
        <v>0</v>
      </c>
      <c r="Y843" s="39">
        <v>0</v>
      </c>
      <c r="Z843" s="39">
        <v>0</v>
      </c>
      <c r="AA843" s="39">
        <v>0</v>
      </c>
      <c r="AB843" s="39">
        <v>0</v>
      </c>
      <c r="AC843" s="39">
        <v>0</v>
      </c>
      <c r="AD843" s="39">
        <v>0</v>
      </c>
      <c r="AE843" s="39">
        <v>0</v>
      </c>
      <c r="AF843" s="39">
        <v>5790</v>
      </c>
      <c r="AG843" s="39">
        <v>0</v>
      </c>
      <c r="AH843" s="39"/>
      <c r="AI843" s="39"/>
      <c r="AJ843" s="40"/>
      <c r="AK843" s="39">
        <f t="shared" si="65"/>
        <v>0</v>
      </c>
      <c r="AL843" s="39">
        <f t="shared" si="68"/>
        <v>482.5</v>
      </c>
      <c r="AM843" s="39">
        <f t="shared" si="69"/>
        <v>965</v>
      </c>
      <c r="AN843" s="39">
        <f t="shared" si="66"/>
        <v>579</v>
      </c>
      <c r="AO843" s="39">
        <f t="shared" si="67"/>
        <v>5790</v>
      </c>
    </row>
    <row r="844" spans="1:41" x14ac:dyDescent="0.3">
      <c r="A844" s="20">
        <v>1000184670</v>
      </c>
      <c r="B844" s="4" t="s">
        <v>147</v>
      </c>
      <c r="C844" s="21"/>
      <c r="D844" s="3"/>
      <c r="E844" s="20">
        <v>1000184757</v>
      </c>
      <c r="F844" s="4" t="s">
        <v>62</v>
      </c>
      <c r="G844" s="21">
        <v>1000189789</v>
      </c>
      <c r="H844" s="3" t="s">
        <v>77</v>
      </c>
      <c r="I844" s="21">
        <v>1000189270</v>
      </c>
      <c r="J844" s="3" t="s">
        <v>34</v>
      </c>
      <c r="K844" s="20" t="s">
        <v>19</v>
      </c>
      <c r="L844" s="39">
        <v>0</v>
      </c>
      <c r="M844" s="39">
        <v>0</v>
      </c>
      <c r="N844" s="39">
        <v>0</v>
      </c>
      <c r="O844" s="39">
        <v>0</v>
      </c>
      <c r="P844" s="39">
        <v>0</v>
      </c>
      <c r="Q844" s="39">
        <v>0</v>
      </c>
      <c r="R844" s="39">
        <v>0</v>
      </c>
      <c r="S844" s="39">
        <v>0</v>
      </c>
      <c r="T844" s="39">
        <v>0</v>
      </c>
      <c r="U844" s="39">
        <v>0</v>
      </c>
      <c r="V844" s="39">
        <v>0</v>
      </c>
      <c r="W844" s="39">
        <v>0</v>
      </c>
      <c r="X844" s="39">
        <v>0</v>
      </c>
      <c r="Y844" s="39">
        <v>0</v>
      </c>
      <c r="Z844" s="39">
        <v>0</v>
      </c>
      <c r="AA844" s="39">
        <v>0</v>
      </c>
      <c r="AB844" s="39">
        <v>0</v>
      </c>
      <c r="AC844" s="39">
        <v>0</v>
      </c>
      <c r="AD844" s="39">
        <v>0</v>
      </c>
      <c r="AE844" s="39">
        <v>400.08</v>
      </c>
      <c r="AF844" s="39">
        <v>0</v>
      </c>
      <c r="AG844" s="39">
        <v>0</v>
      </c>
      <c r="AH844" s="39"/>
      <c r="AI844" s="39"/>
      <c r="AJ844" s="40"/>
      <c r="AK844" s="39">
        <f t="shared" si="65"/>
        <v>0</v>
      </c>
      <c r="AL844" s="39">
        <f t="shared" si="68"/>
        <v>33.339999999999996</v>
      </c>
      <c r="AM844" s="39">
        <f t="shared" si="69"/>
        <v>66.679999999999993</v>
      </c>
      <c r="AN844" s="39">
        <f t="shared" si="66"/>
        <v>40.007999999999996</v>
      </c>
      <c r="AO844" s="39">
        <f t="shared" si="67"/>
        <v>400.08</v>
      </c>
    </row>
    <row r="845" spans="1:41" x14ac:dyDescent="0.3">
      <c r="A845" s="20">
        <v>1000184670</v>
      </c>
      <c r="B845" s="4" t="s">
        <v>147</v>
      </c>
      <c r="C845" s="21"/>
      <c r="D845" s="3"/>
      <c r="E845" s="20">
        <v>1000184757</v>
      </c>
      <c r="F845" s="4" t="s">
        <v>62</v>
      </c>
      <c r="G845" s="21">
        <v>1000189789</v>
      </c>
      <c r="H845" s="3" t="s">
        <v>77</v>
      </c>
      <c r="I845" s="21">
        <v>1000189270</v>
      </c>
      <c r="J845" s="3" t="s">
        <v>34</v>
      </c>
      <c r="K845" s="20" t="s">
        <v>17</v>
      </c>
      <c r="L845" s="39">
        <v>0</v>
      </c>
      <c r="M845" s="39">
        <v>0</v>
      </c>
      <c r="N845" s="39">
        <v>0</v>
      </c>
      <c r="O845" s="39">
        <v>0</v>
      </c>
      <c r="P845" s="39">
        <v>0</v>
      </c>
      <c r="Q845" s="39">
        <v>0</v>
      </c>
      <c r="R845" s="39">
        <v>0</v>
      </c>
      <c r="S845" s="39">
        <v>0</v>
      </c>
      <c r="T845" s="39">
        <v>0</v>
      </c>
      <c r="U845" s="39">
        <v>0</v>
      </c>
      <c r="V845" s="39">
        <v>0</v>
      </c>
      <c r="W845" s="39">
        <v>0</v>
      </c>
      <c r="X845" s="39">
        <v>0</v>
      </c>
      <c r="Y845" s="39">
        <v>0</v>
      </c>
      <c r="Z845" s="39">
        <v>0</v>
      </c>
      <c r="AA845" s="39">
        <v>0</v>
      </c>
      <c r="AB845" s="39">
        <v>0</v>
      </c>
      <c r="AC845" s="39">
        <v>34.5</v>
      </c>
      <c r="AD845" s="39">
        <v>0</v>
      </c>
      <c r="AE845" s="39">
        <v>204</v>
      </c>
      <c r="AF845" s="39">
        <v>0</v>
      </c>
      <c r="AG845" s="39">
        <v>0</v>
      </c>
      <c r="AH845" s="39"/>
      <c r="AI845" s="39"/>
      <c r="AJ845" s="40"/>
      <c r="AK845" s="39">
        <f t="shared" si="65"/>
        <v>0</v>
      </c>
      <c r="AL845" s="39">
        <f t="shared" si="68"/>
        <v>19.875</v>
      </c>
      <c r="AM845" s="39">
        <f t="shared" si="69"/>
        <v>39.75</v>
      </c>
      <c r="AN845" s="39">
        <f t="shared" si="66"/>
        <v>23.85</v>
      </c>
      <c r="AO845" s="39">
        <f t="shared" si="67"/>
        <v>238.5</v>
      </c>
    </row>
    <row r="846" spans="1:41" x14ac:dyDescent="0.3">
      <c r="A846" s="20">
        <v>1000184670</v>
      </c>
      <c r="B846" s="4" t="s">
        <v>147</v>
      </c>
      <c r="C846" s="21"/>
      <c r="D846" s="3"/>
      <c r="E846" s="20">
        <v>1000184757</v>
      </c>
      <c r="F846" s="4" t="s">
        <v>62</v>
      </c>
      <c r="G846" s="21">
        <v>1000189789</v>
      </c>
      <c r="H846" s="3" t="s">
        <v>77</v>
      </c>
      <c r="I846" s="21">
        <v>1000189270</v>
      </c>
      <c r="J846" s="3" t="s">
        <v>34</v>
      </c>
      <c r="K846" s="20" t="s">
        <v>24</v>
      </c>
      <c r="L846" s="39">
        <v>0</v>
      </c>
      <c r="M846" s="39">
        <v>0</v>
      </c>
      <c r="N846" s="39">
        <v>0</v>
      </c>
      <c r="O846" s="39">
        <v>0</v>
      </c>
      <c r="P846" s="39">
        <v>0</v>
      </c>
      <c r="Q846" s="39">
        <v>0</v>
      </c>
      <c r="R846" s="39">
        <v>0</v>
      </c>
      <c r="S846" s="39">
        <v>0</v>
      </c>
      <c r="T846" s="39">
        <v>0</v>
      </c>
      <c r="U846" s="39">
        <v>0</v>
      </c>
      <c r="V846" s="39">
        <v>0</v>
      </c>
      <c r="W846" s="39">
        <v>0</v>
      </c>
      <c r="X846" s="39">
        <v>0</v>
      </c>
      <c r="Y846" s="39">
        <v>0</v>
      </c>
      <c r="Z846" s="39">
        <v>896.28</v>
      </c>
      <c r="AA846" s="39">
        <v>0</v>
      </c>
      <c r="AB846" s="39">
        <v>1475.76</v>
      </c>
      <c r="AC846" s="39">
        <v>292.25</v>
      </c>
      <c r="AD846" s="39">
        <v>1086.02</v>
      </c>
      <c r="AE846" s="39">
        <v>1179.3900000000001</v>
      </c>
      <c r="AF846" s="39">
        <v>0</v>
      </c>
      <c r="AG846" s="39">
        <v>849.33</v>
      </c>
      <c r="AH846" s="39"/>
      <c r="AI846" s="39"/>
      <c r="AJ846" s="40"/>
      <c r="AK846" s="39">
        <f t="shared" si="65"/>
        <v>0</v>
      </c>
      <c r="AL846" s="39">
        <f t="shared" si="68"/>
        <v>481.58583333333331</v>
      </c>
      <c r="AM846" s="39">
        <f t="shared" si="69"/>
        <v>813.79166666666663</v>
      </c>
      <c r="AN846" s="39">
        <f t="shared" si="66"/>
        <v>577.90300000000002</v>
      </c>
      <c r="AO846" s="39">
        <f t="shared" si="67"/>
        <v>5779.03</v>
      </c>
    </row>
    <row r="847" spans="1:41" x14ac:dyDescent="0.3">
      <c r="A847" s="20">
        <v>1000184670</v>
      </c>
      <c r="B847" s="4" t="s">
        <v>147</v>
      </c>
      <c r="C847" s="21"/>
      <c r="D847" s="3"/>
      <c r="E847" s="20">
        <v>1000184757</v>
      </c>
      <c r="F847" s="4" t="s">
        <v>62</v>
      </c>
      <c r="G847" s="21">
        <v>1000189789</v>
      </c>
      <c r="H847" s="3" t="s">
        <v>77</v>
      </c>
      <c r="I847" s="21">
        <v>1000189270</v>
      </c>
      <c r="J847" s="3" t="s">
        <v>34</v>
      </c>
      <c r="K847" s="20" t="s">
        <v>18</v>
      </c>
      <c r="L847" s="39">
        <v>0</v>
      </c>
      <c r="M847" s="39">
        <v>0</v>
      </c>
      <c r="N847" s="39">
        <v>0</v>
      </c>
      <c r="O847" s="39">
        <v>0</v>
      </c>
      <c r="P847" s="39">
        <v>0</v>
      </c>
      <c r="Q847" s="39">
        <v>0</v>
      </c>
      <c r="R847" s="39">
        <v>0</v>
      </c>
      <c r="S847" s="39">
        <v>0</v>
      </c>
      <c r="T847" s="39">
        <v>0</v>
      </c>
      <c r="U847" s="39">
        <v>0</v>
      </c>
      <c r="V847" s="39">
        <v>0</v>
      </c>
      <c r="W847" s="39">
        <v>0</v>
      </c>
      <c r="X847" s="39">
        <v>0</v>
      </c>
      <c r="Y847" s="39">
        <v>0</v>
      </c>
      <c r="Z847" s="39">
        <v>0</v>
      </c>
      <c r="AA847" s="39">
        <v>0</v>
      </c>
      <c r="AB847" s="39">
        <v>45.86</v>
      </c>
      <c r="AC847" s="39">
        <v>57.66</v>
      </c>
      <c r="AD847" s="39">
        <v>0</v>
      </c>
      <c r="AE847" s="39">
        <v>180</v>
      </c>
      <c r="AF847" s="39">
        <v>0</v>
      </c>
      <c r="AG847" s="39">
        <v>0</v>
      </c>
      <c r="AH847" s="39"/>
      <c r="AI847" s="39"/>
      <c r="AJ847" s="40"/>
      <c r="AK847" s="39">
        <f t="shared" si="65"/>
        <v>0</v>
      </c>
      <c r="AL847" s="39">
        <f t="shared" si="68"/>
        <v>23.626666666666665</v>
      </c>
      <c r="AM847" s="39">
        <f t="shared" si="69"/>
        <v>47.25333333333333</v>
      </c>
      <c r="AN847" s="39">
        <f t="shared" si="66"/>
        <v>28.351999999999997</v>
      </c>
      <c r="AO847" s="39">
        <f t="shared" si="67"/>
        <v>283.52</v>
      </c>
    </row>
    <row r="848" spans="1:41" x14ac:dyDescent="0.3">
      <c r="A848" s="20">
        <v>1000184670</v>
      </c>
      <c r="B848" s="4" t="s">
        <v>147</v>
      </c>
      <c r="C848" s="21"/>
      <c r="D848" s="3"/>
      <c r="E848" s="20">
        <v>1000184757</v>
      </c>
      <c r="F848" s="4" t="s">
        <v>62</v>
      </c>
      <c r="G848" s="21">
        <v>1000189789</v>
      </c>
      <c r="H848" s="3" t="s">
        <v>77</v>
      </c>
      <c r="I848" s="21">
        <v>1000189270</v>
      </c>
      <c r="J848" s="3" t="s">
        <v>34</v>
      </c>
      <c r="K848" s="20" t="s">
        <v>29</v>
      </c>
      <c r="L848" s="39">
        <v>0</v>
      </c>
      <c r="M848" s="39">
        <v>0</v>
      </c>
      <c r="N848" s="39">
        <v>0</v>
      </c>
      <c r="O848" s="39">
        <v>0</v>
      </c>
      <c r="P848" s="39">
        <v>0</v>
      </c>
      <c r="Q848" s="39">
        <v>0</v>
      </c>
      <c r="R848" s="39">
        <v>0</v>
      </c>
      <c r="S848" s="39">
        <v>0</v>
      </c>
      <c r="T848" s="39">
        <v>0</v>
      </c>
      <c r="U848" s="39">
        <v>0</v>
      </c>
      <c r="V848" s="39">
        <v>0</v>
      </c>
      <c r="W848" s="39">
        <v>0</v>
      </c>
      <c r="X848" s="39">
        <v>0</v>
      </c>
      <c r="Y848" s="39">
        <v>0</v>
      </c>
      <c r="Z848" s="39">
        <v>0</v>
      </c>
      <c r="AA848" s="39">
        <v>7834.58</v>
      </c>
      <c r="AB848" s="39">
        <v>0</v>
      </c>
      <c r="AC848" s="39">
        <v>0</v>
      </c>
      <c r="AD848" s="39">
        <v>0</v>
      </c>
      <c r="AE848" s="39">
        <v>0</v>
      </c>
      <c r="AF848" s="39">
        <v>5037</v>
      </c>
      <c r="AG848" s="39">
        <v>0</v>
      </c>
      <c r="AH848" s="39"/>
      <c r="AI848" s="39"/>
      <c r="AJ848" s="40"/>
      <c r="AK848" s="39">
        <f t="shared" si="65"/>
        <v>0</v>
      </c>
      <c r="AL848" s="39">
        <f t="shared" si="68"/>
        <v>1072.6316666666667</v>
      </c>
      <c r="AM848" s="39">
        <f t="shared" si="69"/>
        <v>839.5</v>
      </c>
      <c r="AN848" s="39">
        <f t="shared" si="66"/>
        <v>1287.1579999999999</v>
      </c>
      <c r="AO848" s="39">
        <f t="shared" si="67"/>
        <v>12871.58</v>
      </c>
    </row>
    <row r="849" spans="1:41" x14ac:dyDescent="0.3">
      <c r="A849" s="20">
        <v>1000184670</v>
      </c>
      <c r="B849" s="4" t="s">
        <v>147</v>
      </c>
      <c r="C849" s="21"/>
      <c r="D849" s="3"/>
      <c r="E849" s="20">
        <v>1000184757</v>
      </c>
      <c r="F849" s="4" t="s">
        <v>62</v>
      </c>
      <c r="G849" s="21">
        <v>1000189789</v>
      </c>
      <c r="H849" s="3" t="s">
        <v>77</v>
      </c>
      <c r="I849" s="21">
        <v>1000189270</v>
      </c>
      <c r="J849" s="3" t="s">
        <v>34</v>
      </c>
      <c r="K849" s="20" t="s">
        <v>21</v>
      </c>
      <c r="L849" s="39">
        <v>0</v>
      </c>
      <c r="M849" s="39">
        <v>0</v>
      </c>
      <c r="N849" s="39">
        <v>0</v>
      </c>
      <c r="O849" s="39">
        <v>0</v>
      </c>
      <c r="P849" s="39">
        <v>0</v>
      </c>
      <c r="Q849" s="39">
        <v>0</v>
      </c>
      <c r="R849" s="39">
        <v>0</v>
      </c>
      <c r="S849" s="39">
        <v>0</v>
      </c>
      <c r="T849" s="39">
        <v>0</v>
      </c>
      <c r="U849" s="39">
        <v>0</v>
      </c>
      <c r="V849" s="39">
        <v>0</v>
      </c>
      <c r="W849" s="39">
        <v>0</v>
      </c>
      <c r="X849" s="39">
        <v>0</v>
      </c>
      <c r="Y849" s="39">
        <v>0</v>
      </c>
      <c r="Z849" s="39">
        <v>0</v>
      </c>
      <c r="AA849" s="39">
        <v>0</v>
      </c>
      <c r="AB849" s="39">
        <v>594.16</v>
      </c>
      <c r="AC849" s="39">
        <v>0</v>
      </c>
      <c r="AD849" s="39">
        <v>0</v>
      </c>
      <c r="AE849" s="39">
        <v>136.80000000000001</v>
      </c>
      <c r="AF849" s="39">
        <v>0</v>
      </c>
      <c r="AG849" s="39">
        <v>332.99</v>
      </c>
      <c r="AH849" s="39"/>
      <c r="AI849" s="39"/>
      <c r="AJ849" s="40"/>
      <c r="AK849" s="39">
        <f t="shared" si="65"/>
        <v>0</v>
      </c>
      <c r="AL849" s="39">
        <f t="shared" si="68"/>
        <v>88.662500000000009</v>
      </c>
      <c r="AM849" s="39">
        <f t="shared" si="69"/>
        <v>177.32500000000002</v>
      </c>
      <c r="AN849" s="39">
        <f t="shared" si="66"/>
        <v>106.39500000000001</v>
      </c>
      <c r="AO849" s="39">
        <f t="shared" si="67"/>
        <v>1063.95</v>
      </c>
    </row>
    <row r="850" spans="1:41" x14ac:dyDescent="0.3">
      <c r="A850" s="20">
        <v>1000184670</v>
      </c>
      <c r="B850" s="4" t="s">
        <v>147</v>
      </c>
      <c r="C850" s="21"/>
      <c r="D850" s="3"/>
      <c r="E850" s="20">
        <v>1000184757</v>
      </c>
      <c r="F850" s="4" t="s">
        <v>62</v>
      </c>
      <c r="G850" s="21">
        <v>1000189789</v>
      </c>
      <c r="H850" s="3" t="s">
        <v>77</v>
      </c>
      <c r="I850" s="21">
        <v>1000189270</v>
      </c>
      <c r="J850" s="3" t="s">
        <v>34</v>
      </c>
      <c r="K850" s="20" t="s">
        <v>20</v>
      </c>
      <c r="L850" s="39">
        <v>0</v>
      </c>
      <c r="M850" s="39">
        <v>0</v>
      </c>
      <c r="N850" s="39">
        <v>0</v>
      </c>
      <c r="O850" s="39">
        <v>0</v>
      </c>
      <c r="P850" s="39">
        <v>0</v>
      </c>
      <c r="Q850" s="39">
        <v>0</v>
      </c>
      <c r="R850" s="39">
        <v>0</v>
      </c>
      <c r="S850" s="39">
        <v>0</v>
      </c>
      <c r="T850" s="39">
        <v>0</v>
      </c>
      <c r="U850" s="39">
        <v>0</v>
      </c>
      <c r="V850" s="39">
        <v>0</v>
      </c>
      <c r="W850" s="39">
        <v>0</v>
      </c>
      <c r="X850" s="39">
        <v>0</v>
      </c>
      <c r="Y850" s="39">
        <v>0</v>
      </c>
      <c r="Z850" s="39">
        <v>0</v>
      </c>
      <c r="AA850" s="39">
        <v>0</v>
      </c>
      <c r="AB850" s="39">
        <v>888.57</v>
      </c>
      <c r="AC850" s="39">
        <v>310.5</v>
      </c>
      <c r="AD850" s="39">
        <v>0</v>
      </c>
      <c r="AE850" s="39">
        <v>850.66</v>
      </c>
      <c r="AF850" s="39">
        <v>0</v>
      </c>
      <c r="AG850" s="39">
        <v>0</v>
      </c>
      <c r="AH850" s="39"/>
      <c r="AI850" s="39"/>
      <c r="AJ850" s="40"/>
      <c r="AK850" s="39">
        <f t="shared" si="65"/>
        <v>0</v>
      </c>
      <c r="AL850" s="39">
        <f t="shared" si="68"/>
        <v>170.81083333333333</v>
      </c>
      <c r="AM850" s="39">
        <f t="shared" si="69"/>
        <v>341.62166666666667</v>
      </c>
      <c r="AN850" s="39">
        <f t="shared" si="66"/>
        <v>204.97300000000001</v>
      </c>
      <c r="AO850" s="39">
        <f t="shared" si="67"/>
        <v>2049.73</v>
      </c>
    </row>
    <row r="851" spans="1:41" x14ac:dyDescent="0.3">
      <c r="A851" s="20">
        <v>1000184670</v>
      </c>
      <c r="B851" s="4" t="s">
        <v>147</v>
      </c>
      <c r="C851" s="21"/>
      <c r="D851" s="3"/>
      <c r="E851" s="20">
        <v>1000184757</v>
      </c>
      <c r="F851" s="4" t="s">
        <v>62</v>
      </c>
      <c r="G851" s="21">
        <v>1000189789</v>
      </c>
      <c r="H851" s="3" t="s">
        <v>77</v>
      </c>
      <c r="I851" s="21">
        <v>1000189270</v>
      </c>
      <c r="J851" s="3" t="s">
        <v>34</v>
      </c>
      <c r="K851" s="20" t="s">
        <v>22</v>
      </c>
      <c r="L851" s="39">
        <v>0</v>
      </c>
      <c r="M851" s="39">
        <v>0</v>
      </c>
      <c r="N851" s="39">
        <v>0</v>
      </c>
      <c r="O851" s="39">
        <v>0</v>
      </c>
      <c r="P851" s="39">
        <v>0</v>
      </c>
      <c r="Q851" s="39">
        <v>0</v>
      </c>
      <c r="R851" s="39">
        <v>0</v>
      </c>
      <c r="S851" s="39">
        <v>0</v>
      </c>
      <c r="T851" s="39">
        <v>0</v>
      </c>
      <c r="U851" s="39">
        <v>0</v>
      </c>
      <c r="V851" s="39">
        <v>0</v>
      </c>
      <c r="W851" s="39">
        <v>0</v>
      </c>
      <c r="X851" s="39">
        <v>0</v>
      </c>
      <c r="Y851" s="39">
        <v>0</v>
      </c>
      <c r="Z851" s="39">
        <v>0</v>
      </c>
      <c r="AA851" s="39">
        <v>0</v>
      </c>
      <c r="AB851" s="39">
        <v>0</v>
      </c>
      <c r="AC851" s="39">
        <v>39.6</v>
      </c>
      <c r="AD851" s="39">
        <v>0</v>
      </c>
      <c r="AE851" s="39">
        <v>501.02</v>
      </c>
      <c r="AF851" s="39">
        <v>0</v>
      </c>
      <c r="AG851" s="39">
        <v>0</v>
      </c>
      <c r="AH851" s="39"/>
      <c r="AI851" s="39"/>
      <c r="AJ851" s="40"/>
      <c r="AK851" s="39">
        <f t="shared" si="65"/>
        <v>0</v>
      </c>
      <c r="AL851" s="39">
        <f t="shared" si="68"/>
        <v>45.051666666666669</v>
      </c>
      <c r="AM851" s="39">
        <f t="shared" si="69"/>
        <v>90.103333333333339</v>
      </c>
      <c r="AN851" s="39">
        <f t="shared" si="66"/>
        <v>54.061999999999998</v>
      </c>
      <c r="AO851" s="39">
        <f t="shared" si="67"/>
        <v>540.62</v>
      </c>
    </row>
    <row r="852" spans="1:41" x14ac:dyDescent="0.3">
      <c r="A852" s="20">
        <v>1000184670</v>
      </c>
      <c r="B852" s="4" t="s">
        <v>147</v>
      </c>
      <c r="C852" s="21"/>
      <c r="D852" s="3"/>
      <c r="E852" s="20">
        <v>1000184757</v>
      </c>
      <c r="F852" s="4" t="s">
        <v>62</v>
      </c>
      <c r="G852" s="21">
        <v>1000189789</v>
      </c>
      <c r="H852" s="3" t="s">
        <v>77</v>
      </c>
      <c r="I852" s="21">
        <v>1000189270</v>
      </c>
      <c r="J852" s="3" t="s">
        <v>34</v>
      </c>
      <c r="K852" s="20" t="s">
        <v>23</v>
      </c>
      <c r="L852" s="39">
        <v>0</v>
      </c>
      <c r="M852" s="39">
        <v>0</v>
      </c>
      <c r="N852" s="39">
        <v>0</v>
      </c>
      <c r="O852" s="39">
        <v>0</v>
      </c>
      <c r="P852" s="39">
        <v>0</v>
      </c>
      <c r="Q852" s="39">
        <v>0</v>
      </c>
      <c r="R852" s="39">
        <v>0</v>
      </c>
      <c r="S852" s="39">
        <v>0</v>
      </c>
      <c r="T852" s="39">
        <v>0</v>
      </c>
      <c r="U852" s="39">
        <v>0</v>
      </c>
      <c r="V852" s="39">
        <v>0</v>
      </c>
      <c r="W852" s="39">
        <v>0</v>
      </c>
      <c r="X852" s="39">
        <v>0</v>
      </c>
      <c r="Y852" s="39">
        <v>0</v>
      </c>
      <c r="Z852" s="39">
        <v>0</v>
      </c>
      <c r="AA852" s="39">
        <v>0</v>
      </c>
      <c r="AB852" s="39">
        <v>0</v>
      </c>
      <c r="AC852" s="39">
        <v>0</v>
      </c>
      <c r="AD852" s="39">
        <v>0</v>
      </c>
      <c r="AE852" s="39">
        <v>0</v>
      </c>
      <c r="AF852" s="39">
        <v>0</v>
      </c>
      <c r="AG852" s="39">
        <v>0</v>
      </c>
      <c r="AH852" s="39"/>
      <c r="AI852" s="39"/>
      <c r="AJ852" s="40"/>
      <c r="AK852" s="39">
        <f t="shared" si="65"/>
        <v>0</v>
      </c>
      <c r="AL852" s="39">
        <f t="shared" si="68"/>
        <v>0</v>
      </c>
      <c r="AM852" s="39">
        <f t="shared" si="69"/>
        <v>0</v>
      </c>
      <c r="AN852" s="39">
        <f t="shared" si="66"/>
        <v>0</v>
      </c>
      <c r="AO852" s="39">
        <f t="shared" si="67"/>
        <v>0</v>
      </c>
    </row>
    <row r="853" spans="1:41" x14ac:dyDescent="0.3">
      <c r="A853" s="20">
        <v>1000184670</v>
      </c>
      <c r="B853" s="4" t="s">
        <v>147</v>
      </c>
      <c r="C853" s="21"/>
      <c r="D853" s="3"/>
      <c r="E853" s="20">
        <v>1000184757</v>
      </c>
      <c r="F853" s="4" t="s">
        <v>62</v>
      </c>
      <c r="G853" s="21">
        <v>1000189789</v>
      </c>
      <c r="H853" s="3" t="s">
        <v>77</v>
      </c>
      <c r="I853" s="21">
        <v>1000189270</v>
      </c>
      <c r="J853" s="3" t="s">
        <v>34</v>
      </c>
      <c r="K853" s="20" t="s">
        <v>28</v>
      </c>
      <c r="L853" s="39">
        <v>0</v>
      </c>
      <c r="M853" s="39">
        <v>0</v>
      </c>
      <c r="N853" s="39">
        <v>0</v>
      </c>
      <c r="O853" s="39">
        <v>0</v>
      </c>
      <c r="P853" s="39">
        <v>0</v>
      </c>
      <c r="Q853" s="39">
        <v>0</v>
      </c>
      <c r="R853" s="39">
        <v>0</v>
      </c>
      <c r="S853" s="39">
        <v>0</v>
      </c>
      <c r="T853" s="39">
        <v>0</v>
      </c>
      <c r="U853" s="39">
        <v>0</v>
      </c>
      <c r="V853" s="39">
        <v>0</v>
      </c>
      <c r="W853" s="39">
        <v>0</v>
      </c>
      <c r="X853" s="39">
        <v>0</v>
      </c>
      <c r="Y853" s="39">
        <v>0</v>
      </c>
      <c r="Z853" s="39">
        <v>0</v>
      </c>
      <c r="AA853" s="39">
        <v>0</v>
      </c>
      <c r="AB853" s="39">
        <v>0</v>
      </c>
      <c r="AC853" s="39">
        <v>0</v>
      </c>
      <c r="AD853" s="39">
        <v>0</v>
      </c>
      <c r="AE853" s="39">
        <v>46.24</v>
      </c>
      <c r="AF853" s="39">
        <v>0</v>
      </c>
      <c r="AG853" s="39">
        <v>0</v>
      </c>
      <c r="AH853" s="39"/>
      <c r="AI853" s="39"/>
      <c r="AJ853" s="40"/>
      <c r="AK853" s="39">
        <f t="shared" si="65"/>
        <v>0</v>
      </c>
      <c r="AL853" s="39">
        <f t="shared" si="68"/>
        <v>3.8533333333333335</v>
      </c>
      <c r="AM853" s="39">
        <f t="shared" si="69"/>
        <v>7.706666666666667</v>
      </c>
      <c r="AN853" s="39">
        <f t="shared" si="66"/>
        <v>4.6240000000000006</v>
      </c>
      <c r="AO853" s="39">
        <f t="shared" si="67"/>
        <v>46.24</v>
      </c>
    </row>
    <row r="854" spans="1:41" x14ac:dyDescent="0.3">
      <c r="A854" s="20">
        <v>1000184670</v>
      </c>
      <c r="B854" s="4" t="s">
        <v>147</v>
      </c>
      <c r="C854" s="21"/>
      <c r="D854" s="3"/>
      <c r="E854" s="20">
        <v>1000184757</v>
      </c>
      <c r="F854" s="4" t="s">
        <v>62</v>
      </c>
      <c r="G854" s="21">
        <v>1000189789</v>
      </c>
      <c r="H854" s="3" t="s">
        <v>77</v>
      </c>
      <c r="I854" s="21">
        <v>1000189270</v>
      </c>
      <c r="J854" s="3" t="s">
        <v>34</v>
      </c>
      <c r="K854" s="20" t="s">
        <v>26</v>
      </c>
      <c r="L854" s="39">
        <v>0</v>
      </c>
      <c r="M854" s="39">
        <v>0</v>
      </c>
      <c r="N854" s="39">
        <v>0</v>
      </c>
      <c r="O854" s="39">
        <v>0</v>
      </c>
      <c r="P854" s="39">
        <v>0</v>
      </c>
      <c r="Q854" s="39">
        <v>0</v>
      </c>
      <c r="R854" s="39">
        <v>0</v>
      </c>
      <c r="S854" s="39">
        <v>0</v>
      </c>
      <c r="T854" s="39">
        <v>0</v>
      </c>
      <c r="U854" s="39">
        <v>0</v>
      </c>
      <c r="V854" s="39">
        <v>0</v>
      </c>
      <c r="W854" s="39">
        <v>0</v>
      </c>
      <c r="X854" s="39">
        <v>0</v>
      </c>
      <c r="Y854" s="39">
        <v>0</v>
      </c>
      <c r="Z854" s="39">
        <v>0</v>
      </c>
      <c r="AA854" s="39">
        <v>0</v>
      </c>
      <c r="AB854" s="39">
        <v>0</v>
      </c>
      <c r="AC854" s="39">
        <v>0</v>
      </c>
      <c r="AD854" s="39">
        <v>0</v>
      </c>
      <c r="AE854" s="39">
        <v>0</v>
      </c>
      <c r="AF854" s="39">
        <v>0</v>
      </c>
      <c r="AG854" s="39">
        <v>0</v>
      </c>
      <c r="AH854" s="39"/>
      <c r="AI854" s="39"/>
      <c r="AJ854" s="40"/>
      <c r="AK854" s="39">
        <f t="shared" si="65"/>
        <v>0</v>
      </c>
      <c r="AL854" s="39">
        <f t="shared" si="68"/>
        <v>0</v>
      </c>
      <c r="AM854" s="39">
        <f t="shared" si="69"/>
        <v>0</v>
      </c>
      <c r="AN854" s="39">
        <f t="shared" si="66"/>
        <v>0</v>
      </c>
      <c r="AO854" s="39">
        <f t="shared" si="67"/>
        <v>0</v>
      </c>
    </row>
    <row r="855" spans="1:41" x14ac:dyDescent="0.3">
      <c r="A855" s="20">
        <v>1000184670</v>
      </c>
      <c r="B855" s="4" t="s">
        <v>147</v>
      </c>
      <c r="C855" s="21"/>
      <c r="D855" s="3"/>
      <c r="E855" s="20">
        <v>1000184757</v>
      </c>
      <c r="F855" s="4" t="s">
        <v>62</v>
      </c>
      <c r="G855" s="21">
        <v>1000189789</v>
      </c>
      <c r="H855" s="3" t="s">
        <v>77</v>
      </c>
      <c r="I855" s="21">
        <v>1000189270</v>
      </c>
      <c r="J855" s="3" t="s">
        <v>34</v>
      </c>
      <c r="K855" s="20" t="s">
        <v>27</v>
      </c>
      <c r="L855" s="39">
        <v>0</v>
      </c>
      <c r="M855" s="39">
        <v>0</v>
      </c>
      <c r="N855" s="39">
        <v>0</v>
      </c>
      <c r="O855" s="39">
        <v>0</v>
      </c>
      <c r="P855" s="39">
        <v>0</v>
      </c>
      <c r="Q855" s="39">
        <v>0</v>
      </c>
      <c r="R855" s="39">
        <v>0</v>
      </c>
      <c r="S855" s="39">
        <v>0</v>
      </c>
      <c r="T855" s="39">
        <v>0</v>
      </c>
      <c r="U855" s="39">
        <v>0</v>
      </c>
      <c r="V855" s="39">
        <v>0</v>
      </c>
      <c r="W855" s="39">
        <v>0</v>
      </c>
      <c r="X855" s="39">
        <v>0</v>
      </c>
      <c r="Y855" s="39">
        <v>0</v>
      </c>
      <c r="Z855" s="39">
        <v>0</v>
      </c>
      <c r="AA855" s="39">
        <v>0</v>
      </c>
      <c r="AB855" s="39">
        <v>0</v>
      </c>
      <c r="AC855" s="39">
        <v>55.03</v>
      </c>
      <c r="AD855" s="39">
        <v>0</v>
      </c>
      <c r="AE855" s="39">
        <v>0</v>
      </c>
      <c r="AF855" s="39">
        <v>0</v>
      </c>
      <c r="AG855" s="39">
        <v>91.12</v>
      </c>
      <c r="AH855" s="39"/>
      <c r="AI855" s="39"/>
      <c r="AJ855" s="40"/>
      <c r="AK855" s="39">
        <f t="shared" si="65"/>
        <v>0</v>
      </c>
      <c r="AL855" s="39">
        <f t="shared" si="68"/>
        <v>12.179166666666667</v>
      </c>
      <c r="AM855" s="39">
        <f t="shared" si="69"/>
        <v>24.358333333333334</v>
      </c>
      <c r="AN855" s="39">
        <f t="shared" si="66"/>
        <v>14.615</v>
      </c>
      <c r="AO855" s="39">
        <f t="shared" si="67"/>
        <v>146.15</v>
      </c>
    </row>
    <row r="856" spans="1:41" x14ac:dyDescent="0.3">
      <c r="A856" s="20">
        <v>1000184670</v>
      </c>
      <c r="B856" s="4" t="s">
        <v>147</v>
      </c>
      <c r="C856" s="21"/>
      <c r="D856" s="3"/>
      <c r="E856" s="20">
        <v>1000184757</v>
      </c>
      <c r="F856" s="4" t="s">
        <v>62</v>
      </c>
      <c r="G856" s="21">
        <v>1000189789</v>
      </c>
      <c r="H856" s="3" t="s">
        <v>77</v>
      </c>
      <c r="I856" s="21">
        <v>1000189270</v>
      </c>
      <c r="J856" s="3" t="s">
        <v>34</v>
      </c>
      <c r="K856" s="20" t="s">
        <v>25</v>
      </c>
      <c r="L856" s="39">
        <v>0</v>
      </c>
      <c r="M856" s="39">
        <v>0</v>
      </c>
      <c r="N856" s="39">
        <v>0</v>
      </c>
      <c r="O856" s="39">
        <v>0</v>
      </c>
      <c r="P856" s="39">
        <v>0</v>
      </c>
      <c r="Q856" s="39">
        <v>0</v>
      </c>
      <c r="R856" s="39">
        <v>0</v>
      </c>
      <c r="S856" s="39">
        <v>0</v>
      </c>
      <c r="T856" s="39">
        <v>0</v>
      </c>
      <c r="U856" s="39">
        <v>0</v>
      </c>
      <c r="V856" s="39">
        <v>0</v>
      </c>
      <c r="W856" s="39">
        <v>0</v>
      </c>
      <c r="X856" s="39">
        <v>0</v>
      </c>
      <c r="Y856" s="39">
        <v>0</v>
      </c>
      <c r="Z856" s="39">
        <v>0</v>
      </c>
      <c r="AA856" s="39">
        <v>0</v>
      </c>
      <c r="AB856" s="39">
        <v>0</v>
      </c>
      <c r="AC856" s="39">
        <v>0</v>
      </c>
      <c r="AD856" s="39">
        <v>0</v>
      </c>
      <c r="AE856" s="39">
        <v>0</v>
      </c>
      <c r="AF856" s="39">
        <v>0</v>
      </c>
      <c r="AG856" s="39">
        <v>0</v>
      </c>
      <c r="AH856" s="39"/>
      <c r="AI856" s="39"/>
      <c r="AJ856" s="40"/>
      <c r="AK856" s="39">
        <f t="shared" si="65"/>
        <v>0</v>
      </c>
      <c r="AL856" s="39">
        <f t="shared" si="68"/>
        <v>0</v>
      </c>
      <c r="AM856" s="39">
        <f t="shared" si="69"/>
        <v>0</v>
      </c>
      <c r="AN856" s="39">
        <f t="shared" si="66"/>
        <v>0</v>
      </c>
      <c r="AO856" s="39">
        <f t="shared" si="67"/>
        <v>0</v>
      </c>
    </row>
    <row r="857" spans="1:41" x14ac:dyDescent="0.3">
      <c r="A857" s="20">
        <v>1000184670</v>
      </c>
      <c r="B857" s="4" t="s">
        <v>147</v>
      </c>
      <c r="C857" s="21"/>
      <c r="D857" s="3"/>
      <c r="E857" s="20">
        <v>1000184757</v>
      </c>
      <c r="F857" s="4" t="s">
        <v>62</v>
      </c>
      <c r="G857" s="21">
        <v>1000189790</v>
      </c>
      <c r="H857" s="3" t="s">
        <v>103</v>
      </c>
      <c r="I857" s="21">
        <v>1000189270</v>
      </c>
      <c r="J857" s="3" t="s">
        <v>34</v>
      </c>
      <c r="K857" s="20" t="s">
        <v>124</v>
      </c>
      <c r="L857" s="39">
        <v>0</v>
      </c>
      <c r="M857" s="39">
        <v>0</v>
      </c>
      <c r="N857" s="39">
        <v>0</v>
      </c>
      <c r="O857" s="39">
        <v>0</v>
      </c>
      <c r="P857" s="39">
        <v>0</v>
      </c>
      <c r="Q857" s="39">
        <v>0</v>
      </c>
      <c r="R857" s="39">
        <v>0</v>
      </c>
      <c r="S857" s="39">
        <v>0</v>
      </c>
      <c r="T857" s="39">
        <v>0</v>
      </c>
      <c r="U857" s="39">
        <v>0</v>
      </c>
      <c r="V857" s="39">
        <v>0</v>
      </c>
      <c r="W857" s="39">
        <v>0</v>
      </c>
      <c r="X857" s="39">
        <v>0</v>
      </c>
      <c r="Y857" s="39">
        <v>0</v>
      </c>
      <c r="Z857" s="39">
        <v>0</v>
      </c>
      <c r="AA857" s="39">
        <v>0</v>
      </c>
      <c r="AB857" s="39">
        <v>0</v>
      </c>
      <c r="AC857" s="39">
        <v>0</v>
      </c>
      <c r="AD857" s="39">
        <v>0</v>
      </c>
      <c r="AE857" s="39">
        <v>0</v>
      </c>
      <c r="AF857" s="39">
        <v>0</v>
      </c>
      <c r="AG857" s="39">
        <v>0</v>
      </c>
      <c r="AH857" s="39"/>
      <c r="AI857" s="39"/>
      <c r="AJ857" s="40"/>
      <c r="AK857" s="39">
        <f t="shared" si="65"/>
        <v>0</v>
      </c>
      <c r="AL857" s="39">
        <f t="shared" si="68"/>
        <v>0</v>
      </c>
      <c r="AM857" s="39">
        <f t="shared" si="69"/>
        <v>0</v>
      </c>
      <c r="AN857" s="39">
        <f t="shared" si="66"/>
        <v>0</v>
      </c>
      <c r="AO857" s="39">
        <f t="shared" si="67"/>
        <v>0</v>
      </c>
    </row>
    <row r="858" spans="1:41" x14ac:dyDescent="0.3">
      <c r="A858" s="20">
        <v>1000184670</v>
      </c>
      <c r="B858" s="4" t="s">
        <v>147</v>
      </c>
      <c r="C858" s="21"/>
      <c r="D858" s="3"/>
      <c r="E858" s="20">
        <v>1000184757</v>
      </c>
      <c r="F858" s="4" t="s">
        <v>62</v>
      </c>
      <c r="G858" s="21">
        <v>1000189790</v>
      </c>
      <c r="H858" s="3" t="s">
        <v>103</v>
      </c>
      <c r="I858" s="21">
        <v>1000189270</v>
      </c>
      <c r="J858" s="3" t="s">
        <v>34</v>
      </c>
      <c r="K858" s="20" t="s">
        <v>13</v>
      </c>
      <c r="L858" s="39">
        <v>0</v>
      </c>
      <c r="M858" s="39">
        <v>0</v>
      </c>
      <c r="N858" s="39">
        <v>0</v>
      </c>
      <c r="O858" s="39">
        <v>0</v>
      </c>
      <c r="P858" s="39">
        <v>0</v>
      </c>
      <c r="Q858" s="39">
        <v>0</v>
      </c>
      <c r="R858" s="39">
        <v>0</v>
      </c>
      <c r="S858" s="39">
        <v>0</v>
      </c>
      <c r="T858" s="39">
        <v>0</v>
      </c>
      <c r="U858" s="39">
        <v>0</v>
      </c>
      <c r="V858" s="39">
        <v>0</v>
      </c>
      <c r="W858" s="39">
        <v>0</v>
      </c>
      <c r="X858" s="39">
        <v>0</v>
      </c>
      <c r="Y858" s="39">
        <v>0</v>
      </c>
      <c r="Z858" s="39">
        <v>0</v>
      </c>
      <c r="AA858" s="39">
        <v>0</v>
      </c>
      <c r="AB858" s="39">
        <v>93.16</v>
      </c>
      <c r="AC858" s="39">
        <v>0</v>
      </c>
      <c r="AD858" s="39">
        <v>147.9</v>
      </c>
      <c r="AE858" s="39">
        <v>0</v>
      </c>
      <c r="AF858" s="39">
        <v>0</v>
      </c>
      <c r="AG858" s="39">
        <v>0</v>
      </c>
      <c r="AH858" s="39"/>
      <c r="AI858" s="39"/>
      <c r="AJ858" s="40"/>
      <c r="AK858" s="39">
        <f t="shared" si="65"/>
        <v>0</v>
      </c>
      <c r="AL858" s="39">
        <f t="shared" si="68"/>
        <v>20.088333333333335</v>
      </c>
      <c r="AM858" s="39">
        <f t="shared" si="69"/>
        <v>40.176666666666669</v>
      </c>
      <c r="AN858" s="39">
        <f t="shared" si="66"/>
        <v>24.106000000000002</v>
      </c>
      <c r="AO858" s="39">
        <f t="shared" si="67"/>
        <v>241.06</v>
      </c>
    </row>
    <row r="859" spans="1:41" x14ac:dyDescent="0.3">
      <c r="A859" s="20">
        <v>1000184670</v>
      </c>
      <c r="B859" s="4" t="s">
        <v>147</v>
      </c>
      <c r="C859" s="21"/>
      <c r="D859" s="3"/>
      <c r="E859" s="20">
        <v>1000184757</v>
      </c>
      <c r="F859" s="4" t="s">
        <v>62</v>
      </c>
      <c r="G859" s="21">
        <v>1000189790</v>
      </c>
      <c r="H859" s="3" t="s">
        <v>103</v>
      </c>
      <c r="I859" s="21">
        <v>1000189270</v>
      </c>
      <c r="J859" s="3" t="s">
        <v>34</v>
      </c>
      <c r="K859" s="20" t="s">
        <v>14</v>
      </c>
      <c r="L859" s="39">
        <v>0</v>
      </c>
      <c r="M859" s="39">
        <v>0</v>
      </c>
      <c r="N859" s="39">
        <v>0</v>
      </c>
      <c r="O859" s="39">
        <v>0</v>
      </c>
      <c r="P859" s="39">
        <v>0</v>
      </c>
      <c r="Q859" s="39">
        <v>0</v>
      </c>
      <c r="R859" s="39">
        <v>0</v>
      </c>
      <c r="S859" s="39">
        <v>0</v>
      </c>
      <c r="T859" s="39">
        <v>0</v>
      </c>
      <c r="U859" s="39">
        <v>0</v>
      </c>
      <c r="V859" s="39">
        <v>0</v>
      </c>
      <c r="W859" s="39">
        <v>0</v>
      </c>
      <c r="X859" s="39">
        <v>0</v>
      </c>
      <c r="Y859" s="39">
        <v>0</v>
      </c>
      <c r="Z859" s="39">
        <v>0</v>
      </c>
      <c r="AA859" s="39">
        <v>0</v>
      </c>
      <c r="AB859" s="39">
        <v>0</v>
      </c>
      <c r="AC859" s="39">
        <v>0</v>
      </c>
      <c r="AD859" s="39">
        <v>57</v>
      </c>
      <c r="AE859" s="39">
        <v>0</v>
      </c>
      <c r="AF859" s="39">
        <v>0</v>
      </c>
      <c r="AG859" s="39">
        <v>0</v>
      </c>
      <c r="AH859" s="39"/>
      <c r="AI859" s="39"/>
      <c r="AJ859" s="40"/>
      <c r="AK859" s="39">
        <f t="shared" si="65"/>
        <v>0</v>
      </c>
      <c r="AL859" s="39">
        <f t="shared" si="68"/>
        <v>4.75</v>
      </c>
      <c r="AM859" s="39">
        <f t="shared" si="69"/>
        <v>9.5</v>
      </c>
      <c r="AN859" s="39">
        <f t="shared" si="66"/>
        <v>5.7</v>
      </c>
      <c r="AO859" s="39">
        <f t="shared" si="67"/>
        <v>57</v>
      </c>
    </row>
    <row r="860" spans="1:41" x14ac:dyDescent="0.3">
      <c r="A860" s="20">
        <v>1000184670</v>
      </c>
      <c r="B860" s="4" t="s">
        <v>147</v>
      </c>
      <c r="C860" s="21"/>
      <c r="D860" s="3"/>
      <c r="E860" s="20">
        <v>1000184757</v>
      </c>
      <c r="F860" s="4" t="s">
        <v>62</v>
      </c>
      <c r="G860" s="21">
        <v>1000189790</v>
      </c>
      <c r="H860" s="3" t="s">
        <v>103</v>
      </c>
      <c r="I860" s="21">
        <v>1000189270</v>
      </c>
      <c r="J860" s="3" t="s">
        <v>34</v>
      </c>
      <c r="K860" s="20" t="s">
        <v>16</v>
      </c>
      <c r="L860" s="39">
        <v>0</v>
      </c>
      <c r="M860" s="39">
        <v>0</v>
      </c>
      <c r="N860" s="39">
        <v>0</v>
      </c>
      <c r="O860" s="39">
        <v>0</v>
      </c>
      <c r="P860" s="39">
        <v>0</v>
      </c>
      <c r="Q860" s="39">
        <v>0</v>
      </c>
      <c r="R860" s="39">
        <v>0</v>
      </c>
      <c r="S860" s="39">
        <v>0</v>
      </c>
      <c r="T860" s="39">
        <v>0</v>
      </c>
      <c r="U860" s="39">
        <v>0</v>
      </c>
      <c r="V860" s="39">
        <v>0</v>
      </c>
      <c r="W860" s="39">
        <v>0</v>
      </c>
      <c r="X860" s="39">
        <v>0</v>
      </c>
      <c r="Y860" s="39">
        <v>0</v>
      </c>
      <c r="Z860" s="39">
        <v>0</v>
      </c>
      <c r="AA860" s="39">
        <v>0</v>
      </c>
      <c r="AB860" s="39">
        <v>0</v>
      </c>
      <c r="AC860" s="39">
        <v>0</v>
      </c>
      <c r="AD860" s="39">
        <v>0</v>
      </c>
      <c r="AE860" s="39">
        <v>0</v>
      </c>
      <c r="AF860" s="39">
        <v>0</v>
      </c>
      <c r="AG860" s="39">
        <v>0</v>
      </c>
      <c r="AH860" s="39"/>
      <c r="AI860" s="39"/>
      <c r="AJ860" s="40"/>
      <c r="AK860" s="39">
        <f t="shared" si="65"/>
        <v>0</v>
      </c>
      <c r="AL860" s="39">
        <f t="shared" si="68"/>
        <v>0</v>
      </c>
      <c r="AM860" s="39">
        <f t="shared" si="69"/>
        <v>0</v>
      </c>
      <c r="AN860" s="39">
        <f t="shared" si="66"/>
        <v>0</v>
      </c>
      <c r="AO860" s="39">
        <f t="shared" si="67"/>
        <v>0</v>
      </c>
    </row>
    <row r="861" spans="1:41" x14ac:dyDescent="0.3">
      <c r="A861" s="20">
        <v>1000184670</v>
      </c>
      <c r="B861" s="4" t="s">
        <v>147</v>
      </c>
      <c r="C861" s="21"/>
      <c r="D861" s="3"/>
      <c r="E861" s="20">
        <v>1000184757</v>
      </c>
      <c r="F861" s="4" t="s">
        <v>62</v>
      </c>
      <c r="G861" s="21">
        <v>1000189790</v>
      </c>
      <c r="H861" s="3" t="s">
        <v>103</v>
      </c>
      <c r="I861" s="21">
        <v>1000189270</v>
      </c>
      <c r="J861" s="3" t="s">
        <v>34</v>
      </c>
      <c r="K861" s="20" t="s">
        <v>15</v>
      </c>
      <c r="L861" s="39">
        <v>0</v>
      </c>
      <c r="M861" s="39">
        <v>0</v>
      </c>
      <c r="N861" s="39">
        <v>0</v>
      </c>
      <c r="O861" s="39">
        <v>0</v>
      </c>
      <c r="P861" s="39">
        <v>0</v>
      </c>
      <c r="Q861" s="39">
        <v>0</v>
      </c>
      <c r="R861" s="39">
        <v>0</v>
      </c>
      <c r="S861" s="39">
        <v>0</v>
      </c>
      <c r="T861" s="39">
        <v>0</v>
      </c>
      <c r="U861" s="39">
        <v>0</v>
      </c>
      <c r="V861" s="39">
        <v>0</v>
      </c>
      <c r="W861" s="39">
        <v>0</v>
      </c>
      <c r="X861" s="39">
        <v>0</v>
      </c>
      <c r="Y861" s="39">
        <v>0</v>
      </c>
      <c r="Z861" s="39">
        <v>0</v>
      </c>
      <c r="AA861" s="39">
        <v>0</v>
      </c>
      <c r="AB861" s="39">
        <v>180.69</v>
      </c>
      <c r="AC861" s="39">
        <v>0</v>
      </c>
      <c r="AD861" s="39">
        <v>505.68</v>
      </c>
      <c r="AE861" s="39">
        <v>277.87</v>
      </c>
      <c r="AF861" s="39">
        <v>0</v>
      </c>
      <c r="AG861" s="39">
        <v>438.9</v>
      </c>
      <c r="AH861" s="39"/>
      <c r="AI861" s="39"/>
      <c r="AJ861" s="40"/>
      <c r="AK861" s="39">
        <f t="shared" si="65"/>
        <v>0</v>
      </c>
      <c r="AL861" s="39">
        <f t="shared" si="68"/>
        <v>116.92833333333333</v>
      </c>
      <c r="AM861" s="39">
        <f t="shared" si="69"/>
        <v>233.85666666666665</v>
      </c>
      <c r="AN861" s="39">
        <f t="shared" si="66"/>
        <v>140.31399999999999</v>
      </c>
      <c r="AO861" s="39">
        <f t="shared" si="67"/>
        <v>1403.1399999999999</v>
      </c>
    </row>
    <row r="862" spans="1:41" x14ac:dyDescent="0.3">
      <c r="A862" s="20">
        <v>1000184670</v>
      </c>
      <c r="B862" s="4" t="s">
        <v>147</v>
      </c>
      <c r="C862" s="21"/>
      <c r="D862" s="3"/>
      <c r="E862" s="20">
        <v>1000184757</v>
      </c>
      <c r="F862" s="4" t="s">
        <v>62</v>
      </c>
      <c r="G862" s="21">
        <v>1000189790</v>
      </c>
      <c r="H862" s="3" t="s">
        <v>103</v>
      </c>
      <c r="I862" s="21">
        <v>1000189270</v>
      </c>
      <c r="J862" s="3" t="s">
        <v>34</v>
      </c>
      <c r="K862" s="20" t="s">
        <v>33</v>
      </c>
      <c r="L862" s="39">
        <v>0</v>
      </c>
      <c r="M862" s="39">
        <v>0</v>
      </c>
      <c r="N862" s="39">
        <v>0</v>
      </c>
      <c r="O862" s="39">
        <v>0</v>
      </c>
      <c r="P862" s="39">
        <v>0</v>
      </c>
      <c r="Q862" s="39">
        <v>0</v>
      </c>
      <c r="R862" s="39">
        <v>0</v>
      </c>
      <c r="S862" s="39">
        <v>0</v>
      </c>
      <c r="T862" s="39">
        <v>0</v>
      </c>
      <c r="U862" s="39">
        <v>0</v>
      </c>
      <c r="V862" s="39">
        <v>0</v>
      </c>
      <c r="W862" s="39">
        <v>0</v>
      </c>
      <c r="X862" s="39">
        <v>0</v>
      </c>
      <c r="Y862" s="39">
        <v>0</v>
      </c>
      <c r="Z862" s="39">
        <v>0</v>
      </c>
      <c r="AA862" s="39">
        <v>0</v>
      </c>
      <c r="AB862" s="39">
        <v>0</v>
      </c>
      <c r="AC862" s="39">
        <v>0</v>
      </c>
      <c r="AD862" s="39">
        <v>0</v>
      </c>
      <c r="AE862" s="39">
        <v>0</v>
      </c>
      <c r="AF862" s="39">
        <v>0</v>
      </c>
      <c r="AG862" s="39">
        <v>0</v>
      </c>
      <c r="AH862" s="39"/>
      <c r="AI862" s="39"/>
      <c r="AJ862" s="40"/>
      <c r="AK862" s="39">
        <f t="shared" si="65"/>
        <v>0</v>
      </c>
      <c r="AL862" s="39">
        <f t="shared" si="68"/>
        <v>0</v>
      </c>
      <c r="AM862" s="39">
        <f t="shared" si="69"/>
        <v>0</v>
      </c>
      <c r="AN862" s="39">
        <f t="shared" si="66"/>
        <v>0</v>
      </c>
      <c r="AO862" s="39">
        <f t="shared" si="67"/>
        <v>0</v>
      </c>
    </row>
    <row r="863" spans="1:41" x14ac:dyDescent="0.3">
      <c r="A863" s="20">
        <v>1000184670</v>
      </c>
      <c r="B863" s="4" t="s">
        <v>147</v>
      </c>
      <c r="C863" s="21"/>
      <c r="D863" s="3"/>
      <c r="E863" s="20">
        <v>1000184757</v>
      </c>
      <c r="F863" s="4" t="s">
        <v>62</v>
      </c>
      <c r="G863" s="21">
        <v>1000189790</v>
      </c>
      <c r="H863" s="3" t="s">
        <v>103</v>
      </c>
      <c r="I863" s="21">
        <v>1000189270</v>
      </c>
      <c r="J863" s="3" t="s">
        <v>34</v>
      </c>
      <c r="K863" s="20" t="s">
        <v>19</v>
      </c>
      <c r="L863" s="39">
        <v>0</v>
      </c>
      <c r="M863" s="39">
        <v>0</v>
      </c>
      <c r="N863" s="39">
        <v>0</v>
      </c>
      <c r="O863" s="39">
        <v>0</v>
      </c>
      <c r="P863" s="39">
        <v>0</v>
      </c>
      <c r="Q863" s="39">
        <v>0</v>
      </c>
      <c r="R863" s="39">
        <v>0</v>
      </c>
      <c r="S863" s="39">
        <v>0</v>
      </c>
      <c r="T863" s="39">
        <v>0</v>
      </c>
      <c r="U863" s="39">
        <v>0</v>
      </c>
      <c r="V863" s="39">
        <v>0</v>
      </c>
      <c r="W863" s="39">
        <v>0</v>
      </c>
      <c r="X863" s="39">
        <v>0</v>
      </c>
      <c r="Y863" s="39">
        <v>0</v>
      </c>
      <c r="Z863" s="39">
        <v>0</v>
      </c>
      <c r="AA863" s="39">
        <v>0</v>
      </c>
      <c r="AB863" s="39">
        <v>34.200000000000003</v>
      </c>
      <c r="AC863" s="39">
        <v>0</v>
      </c>
      <c r="AD863" s="39">
        <v>40.5</v>
      </c>
      <c r="AE863" s="39">
        <v>0</v>
      </c>
      <c r="AF863" s="39">
        <v>0</v>
      </c>
      <c r="AG863" s="39">
        <v>0</v>
      </c>
      <c r="AH863" s="39"/>
      <c r="AI863" s="39"/>
      <c r="AJ863" s="40"/>
      <c r="AK863" s="39">
        <f t="shared" si="65"/>
        <v>0</v>
      </c>
      <c r="AL863" s="39">
        <f t="shared" si="68"/>
        <v>6.2250000000000005</v>
      </c>
      <c r="AM863" s="39">
        <f t="shared" si="69"/>
        <v>12.450000000000001</v>
      </c>
      <c r="AN863" s="39">
        <f t="shared" si="66"/>
        <v>7.4700000000000006</v>
      </c>
      <c r="AO863" s="39">
        <f t="shared" si="67"/>
        <v>74.7</v>
      </c>
    </row>
    <row r="864" spans="1:41" x14ac:dyDescent="0.3">
      <c r="A864" s="20">
        <v>1000184670</v>
      </c>
      <c r="B864" s="4" t="s">
        <v>147</v>
      </c>
      <c r="C864" s="21"/>
      <c r="D864" s="3"/>
      <c r="E864" s="20">
        <v>1000184757</v>
      </c>
      <c r="F864" s="4" t="s">
        <v>62</v>
      </c>
      <c r="G864" s="21">
        <v>1000189790</v>
      </c>
      <c r="H864" s="3" t="s">
        <v>103</v>
      </c>
      <c r="I864" s="21">
        <v>1000189270</v>
      </c>
      <c r="J864" s="3" t="s">
        <v>34</v>
      </c>
      <c r="K864" s="20" t="s">
        <v>17</v>
      </c>
      <c r="L864" s="39">
        <v>0</v>
      </c>
      <c r="M864" s="39">
        <v>0</v>
      </c>
      <c r="N864" s="39">
        <v>0</v>
      </c>
      <c r="O864" s="39">
        <v>0</v>
      </c>
      <c r="P864" s="39">
        <v>0</v>
      </c>
      <c r="Q864" s="39">
        <v>0</v>
      </c>
      <c r="R864" s="39">
        <v>0</v>
      </c>
      <c r="S864" s="39">
        <v>0</v>
      </c>
      <c r="T864" s="39">
        <v>0</v>
      </c>
      <c r="U864" s="39">
        <v>0</v>
      </c>
      <c r="V864" s="39">
        <v>0</v>
      </c>
      <c r="W864" s="39">
        <v>0</v>
      </c>
      <c r="X864" s="39">
        <v>0</v>
      </c>
      <c r="Y864" s="39">
        <v>0</v>
      </c>
      <c r="Z864" s="39">
        <v>0</v>
      </c>
      <c r="AA864" s="39">
        <v>0</v>
      </c>
      <c r="AB864" s="39">
        <v>31.8</v>
      </c>
      <c r="AC864" s="39">
        <v>0</v>
      </c>
      <c r="AD864" s="39">
        <v>440.6</v>
      </c>
      <c r="AE864" s="39">
        <v>261.25</v>
      </c>
      <c r="AF864" s="39">
        <v>0</v>
      </c>
      <c r="AG864" s="39">
        <v>262.2</v>
      </c>
      <c r="AH864" s="39"/>
      <c r="AI864" s="39"/>
      <c r="AJ864" s="40"/>
      <c r="AK864" s="39">
        <f t="shared" si="65"/>
        <v>0</v>
      </c>
      <c r="AL864" s="39">
        <f t="shared" si="68"/>
        <v>82.987500000000011</v>
      </c>
      <c r="AM864" s="39">
        <f t="shared" si="69"/>
        <v>165.97500000000002</v>
      </c>
      <c r="AN864" s="39">
        <f t="shared" si="66"/>
        <v>99.585000000000008</v>
      </c>
      <c r="AO864" s="39">
        <f t="shared" si="67"/>
        <v>995.85000000000014</v>
      </c>
    </row>
    <row r="865" spans="1:41" x14ac:dyDescent="0.3">
      <c r="A865" s="20">
        <v>1000184670</v>
      </c>
      <c r="B865" s="4" t="s">
        <v>147</v>
      </c>
      <c r="C865" s="21"/>
      <c r="D865" s="3"/>
      <c r="E865" s="20">
        <v>1000184757</v>
      </c>
      <c r="F865" s="4" t="s">
        <v>62</v>
      </c>
      <c r="G865" s="21">
        <v>1000189790</v>
      </c>
      <c r="H865" s="3" t="s">
        <v>103</v>
      </c>
      <c r="I865" s="21">
        <v>1000189270</v>
      </c>
      <c r="J865" s="3" t="s">
        <v>34</v>
      </c>
      <c r="K865" s="20" t="s">
        <v>24</v>
      </c>
      <c r="L865" s="39">
        <v>0</v>
      </c>
      <c r="M865" s="39">
        <v>0</v>
      </c>
      <c r="N865" s="39">
        <v>0</v>
      </c>
      <c r="O865" s="39">
        <v>0</v>
      </c>
      <c r="P865" s="39">
        <v>0</v>
      </c>
      <c r="Q865" s="39">
        <v>0</v>
      </c>
      <c r="R865" s="39">
        <v>0</v>
      </c>
      <c r="S865" s="39">
        <v>0</v>
      </c>
      <c r="T865" s="39">
        <v>0</v>
      </c>
      <c r="U865" s="39">
        <v>0</v>
      </c>
      <c r="V865" s="39">
        <v>0</v>
      </c>
      <c r="W865" s="39">
        <v>0</v>
      </c>
      <c r="X865" s="39">
        <v>0</v>
      </c>
      <c r="Y865" s="39">
        <v>0</v>
      </c>
      <c r="Z865" s="39">
        <v>0</v>
      </c>
      <c r="AA865" s="39">
        <v>0</v>
      </c>
      <c r="AB865" s="39">
        <v>0</v>
      </c>
      <c r="AC865" s="39">
        <v>0</v>
      </c>
      <c r="AD865" s="39">
        <v>0</v>
      </c>
      <c r="AE865" s="39">
        <v>0</v>
      </c>
      <c r="AF865" s="39">
        <v>0</v>
      </c>
      <c r="AG865" s="39">
        <v>0</v>
      </c>
      <c r="AH865" s="39"/>
      <c r="AI865" s="39"/>
      <c r="AJ865" s="40"/>
      <c r="AK865" s="39">
        <f t="shared" si="65"/>
        <v>0</v>
      </c>
      <c r="AL865" s="39">
        <f t="shared" si="68"/>
        <v>0</v>
      </c>
      <c r="AM865" s="39">
        <f t="shared" si="69"/>
        <v>0</v>
      </c>
      <c r="AN865" s="39">
        <f t="shared" si="66"/>
        <v>0</v>
      </c>
      <c r="AO865" s="39">
        <f t="shared" si="67"/>
        <v>0</v>
      </c>
    </row>
    <row r="866" spans="1:41" x14ac:dyDescent="0.3">
      <c r="A866" s="20">
        <v>1000184670</v>
      </c>
      <c r="B866" s="4" t="s">
        <v>147</v>
      </c>
      <c r="C866" s="21"/>
      <c r="D866" s="3"/>
      <c r="E866" s="20">
        <v>1000184757</v>
      </c>
      <c r="F866" s="4" t="s">
        <v>62</v>
      </c>
      <c r="G866" s="21">
        <v>1000189790</v>
      </c>
      <c r="H866" s="3" t="s">
        <v>103</v>
      </c>
      <c r="I866" s="21">
        <v>1000189270</v>
      </c>
      <c r="J866" s="3" t="s">
        <v>34</v>
      </c>
      <c r="K866" s="20" t="s">
        <v>18</v>
      </c>
      <c r="L866" s="39">
        <v>0</v>
      </c>
      <c r="M866" s="39">
        <v>0</v>
      </c>
      <c r="N866" s="39">
        <v>0</v>
      </c>
      <c r="O866" s="39">
        <v>0</v>
      </c>
      <c r="P866" s="39">
        <v>0</v>
      </c>
      <c r="Q866" s="39">
        <v>0</v>
      </c>
      <c r="R866" s="39">
        <v>0</v>
      </c>
      <c r="S866" s="39">
        <v>0</v>
      </c>
      <c r="T866" s="39">
        <v>0</v>
      </c>
      <c r="U866" s="39">
        <v>0</v>
      </c>
      <c r="V866" s="39">
        <v>0</v>
      </c>
      <c r="W866" s="39">
        <v>0</v>
      </c>
      <c r="X866" s="39">
        <v>0</v>
      </c>
      <c r="Y866" s="39">
        <v>0</v>
      </c>
      <c r="Z866" s="39">
        <v>0</v>
      </c>
      <c r="AA866" s="39">
        <v>0</v>
      </c>
      <c r="AB866" s="39">
        <v>0</v>
      </c>
      <c r="AC866" s="39">
        <v>0</v>
      </c>
      <c r="AD866" s="39">
        <v>0</v>
      </c>
      <c r="AE866" s="39">
        <v>0</v>
      </c>
      <c r="AF866" s="39">
        <v>0</v>
      </c>
      <c r="AG866" s="39">
        <v>0</v>
      </c>
      <c r="AH866" s="39"/>
      <c r="AI866" s="39"/>
      <c r="AJ866" s="40"/>
      <c r="AK866" s="39">
        <f t="shared" si="65"/>
        <v>0</v>
      </c>
      <c r="AL866" s="39">
        <f t="shared" si="68"/>
        <v>0</v>
      </c>
      <c r="AM866" s="39">
        <f t="shared" si="69"/>
        <v>0</v>
      </c>
      <c r="AN866" s="39">
        <f t="shared" si="66"/>
        <v>0</v>
      </c>
      <c r="AO866" s="39">
        <f t="shared" si="67"/>
        <v>0</v>
      </c>
    </row>
    <row r="867" spans="1:41" x14ac:dyDescent="0.3">
      <c r="A867" s="20">
        <v>1000184670</v>
      </c>
      <c r="B867" s="4" t="s">
        <v>147</v>
      </c>
      <c r="C867" s="21"/>
      <c r="D867" s="3"/>
      <c r="E867" s="20">
        <v>1000184757</v>
      </c>
      <c r="F867" s="4" t="s">
        <v>62</v>
      </c>
      <c r="G867" s="21">
        <v>1000189790</v>
      </c>
      <c r="H867" s="3" t="s">
        <v>103</v>
      </c>
      <c r="I867" s="21">
        <v>1000189270</v>
      </c>
      <c r="J867" s="3" t="s">
        <v>34</v>
      </c>
      <c r="K867" s="20" t="s">
        <v>29</v>
      </c>
      <c r="L867" s="39">
        <v>0</v>
      </c>
      <c r="M867" s="39">
        <v>0</v>
      </c>
      <c r="N867" s="39">
        <v>0</v>
      </c>
      <c r="O867" s="39">
        <v>0</v>
      </c>
      <c r="P867" s="39">
        <v>0</v>
      </c>
      <c r="Q867" s="39">
        <v>0</v>
      </c>
      <c r="R867" s="39">
        <v>0</v>
      </c>
      <c r="S867" s="39">
        <v>0</v>
      </c>
      <c r="T867" s="39">
        <v>0</v>
      </c>
      <c r="U867" s="39">
        <v>0</v>
      </c>
      <c r="V867" s="39">
        <v>0</v>
      </c>
      <c r="W867" s="39">
        <v>0</v>
      </c>
      <c r="X867" s="39">
        <v>0</v>
      </c>
      <c r="Y867" s="39">
        <v>0</v>
      </c>
      <c r="Z867" s="39">
        <v>0</v>
      </c>
      <c r="AA867" s="39">
        <v>0</v>
      </c>
      <c r="AB867" s="39">
        <v>0</v>
      </c>
      <c r="AC867" s="39">
        <v>0</v>
      </c>
      <c r="AD867" s="39">
        <v>0</v>
      </c>
      <c r="AE867" s="39">
        <v>1516</v>
      </c>
      <c r="AF867" s="39">
        <v>0</v>
      </c>
      <c r="AG867" s="39">
        <v>0</v>
      </c>
      <c r="AH867" s="39"/>
      <c r="AI867" s="39"/>
      <c r="AJ867" s="40"/>
      <c r="AK867" s="39">
        <f t="shared" si="65"/>
        <v>0</v>
      </c>
      <c r="AL867" s="39">
        <f t="shared" si="68"/>
        <v>126.33333333333333</v>
      </c>
      <c r="AM867" s="39">
        <f t="shared" si="69"/>
        <v>252.66666666666666</v>
      </c>
      <c r="AN867" s="39">
        <f t="shared" si="66"/>
        <v>151.6</v>
      </c>
      <c r="AO867" s="39">
        <f t="shared" si="67"/>
        <v>1516</v>
      </c>
    </row>
    <row r="868" spans="1:41" x14ac:dyDescent="0.3">
      <c r="A868" s="20">
        <v>1000184670</v>
      </c>
      <c r="B868" s="4" t="s">
        <v>147</v>
      </c>
      <c r="C868" s="21"/>
      <c r="D868" s="3"/>
      <c r="E868" s="20">
        <v>1000184757</v>
      </c>
      <c r="F868" s="4" t="s">
        <v>62</v>
      </c>
      <c r="G868" s="21">
        <v>1000189790</v>
      </c>
      <c r="H868" s="3" t="s">
        <v>103</v>
      </c>
      <c r="I868" s="21">
        <v>1000189270</v>
      </c>
      <c r="J868" s="3" t="s">
        <v>34</v>
      </c>
      <c r="K868" s="20" t="s">
        <v>21</v>
      </c>
      <c r="L868" s="39">
        <v>0</v>
      </c>
      <c r="M868" s="39">
        <v>0</v>
      </c>
      <c r="N868" s="39">
        <v>0</v>
      </c>
      <c r="O868" s="39">
        <v>0</v>
      </c>
      <c r="P868" s="39">
        <v>0</v>
      </c>
      <c r="Q868" s="39">
        <v>0</v>
      </c>
      <c r="R868" s="39">
        <v>0</v>
      </c>
      <c r="S868" s="39">
        <v>0</v>
      </c>
      <c r="T868" s="39">
        <v>0</v>
      </c>
      <c r="U868" s="39">
        <v>0</v>
      </c>
      <c r="V868" s="39">
        <v>0</v>
      </c>
      <c r="W868" s="39">
        <v>0</v>
      </c>
      <c r="X868" s="39">
        <v>0</v>
      </c>
      <c r="Y868" s="39">
        <v>0</v>
      </c>
      <c r="Z868" s="39">
        <v>0</v>
      </c>
      <c r="AA868" s="39">
        <v>0</v>
      </c>
      <c r="AB868" s="39">
        <v>33.07</v>
      </c>
      <c r="AC868" s="39">
        <v>0</v>
      </c>
      <c r="AD868" s="39">
        <v>49.5</v>
      </c>
      <c r="AE868" s="39">
        <v>182.97</v>
      </c>
      <c r="AF868" s="39">
        <v>0</v>
      </c>
      <c r="AG868" s="39">
        <v>768.07</v>
      </c>
      <c r="AH868" s="39"/>
      <c r="AI868" s="39"/>
      <c r="AJ868" s="40"/>
      <c r="AK868" s="39">
        <f t="shared" si="65"/>
        <v>0</v>
      </c>
      <c r="AL868" s="39">
        <f t="shared" si="68"/>
        <v>86.134166666666673</v>
      </c>
      <c r="AM868" s="39">
        <f t="shared" si="69"/>
        <v>172.26833333333335</v>
      </c>
      <c r="AN868" s="39">
        <f t="shared" si="66"/>
        <v>103.36100000000002</v>
      </c>
      <c r="AO868" s="39">
        <f t="shared" si="67"/>
        <v>1033.6100000000001</v>
      </c>
    </row>
    <row r="869" spans="1:41" x14ac:dyDescent="0.3">
      <c r="A869" s="20">
        <v>1000184670</v>
      </c>
      <c r="B869" s="4" t="s">
        <v>147</v>
      </c>
      <c r="C869" s="21"/>
      <c r="D869" s="3"/>
      <c r="E869" s="20">
        <v>1000184757</v>
      </c>
      <c r="F869" s="4" t="s">
        <v>62</v>
      </c>
      <c r="G869" s="21">
        <v>1000189790</v>
      </c>
      <c r="H869" s="3" t="s">
        <v>103</v>
      </c>
      <c r="I869" s="21">
        <v>1000189270</v>
      </c>
      <c r="J869" s="3" t="s">
        <v>34</v>
      </c>
      <c r="K869" s="20" t="s">
        <v>20</v>
      </c>
      <c r="L869" s="39">
        <v>0</v>
      </c>
      <c r="M869" s="39">
        <v>0</v>
      </c>
      <c r="N869" s="39">
        <v>0</v>
      </c>
      <c r="O869" s="39">
        <v>0</v>
      </c>
      <c r="P869" s="39">
        <v>0</v>
      </c>
      <c r="Q869" s="39">
        <v>0</v>
      </c>
      <c r="R869" s="39">
        <v>0</v>
      </c>
      <c r="S869" s="39">
        <v>0</v>
      </c>
      <c r="T869" s="39">
        <v>0</v>
      </c>
      <c r="U869" s="39">
        <v>0</v>
      </c>
      <c r="V869" s="39">
        <v>0</v>
      </c>
      <c r="W869" s="39">
        <v>0</v>
      </c>
      <c r="X869" s="39">
        <v>0</v>
      </c>
      <c r="Y869" s="39">
        <v>0</v>
      </c>
      <c r="Z869" s="39">
        <v>0</v>
      </c>
      <c r="AA869" s="39">
        <v>0</v>
      </c>
      <c r="AB869" s="39">
        <v>117.89</v>
      </c>
      <c r="AC869" s="39">
        <v>0</v>
      </c>
      <c r="AD869" s="39">
        <v>745.1</v>
      </c>
      <c r="AE869" s="39">
        <v>685.63</v>
      </c>
      <c r="AF869" s="39">
        <v>0</v>
      </c>
      <c r="AG869" s="39">
        <v>1033.98</v>
      </c>
      <c r="AH869" s="39"/>
      <c r="AI869" s="39"/>
      <c r="AJ869" s="40"/>
      <c r="AK869" s="39">
        <f t="shared" si="65"/>
        <v>0</v>
      </c>
      <c r="AL869" s="39">
        <f t="shared" si="68"/>
        <v>215.21666666666667</v>
      </c>
      <c r="AM869" s="39">
        <f t="shared" si="69"/>
        <v>430.43333333333334</v>
      </c>
      <c r="AN869" s="39">
        <f t="shared" si="66"/>
        <v>258.26</v>
      </c>
      <c r="AO869" s="39">
        <f t="shared" si="67"/>
        <v>2582.6</v>
      </c>
    </row>
    <row r="870" spans="1:41" x14ac:dyDescent="0.3">
      <c r="A870" s="20">
        <v>1000184670</v>
      </c>
      <c r="B870" s="4" t="s">
        <v>147</v>
      </c>
      <c r="C870" s="21"/>
      <c r="D870" s="3"/>
      <c r="E870" s="20">
        <v>1000184757</v>
      </c>
      <c r="F870" s="4" t="s">
        <v>62</v>
      </c>
      <c r="G870" s="21">
        <v>1000189790</v>
      </c>
      <c r="H870" s="3" t="s">
        <v>103</v>
      </c>
      <c r="I870" s="21">
        <v>1000189270</v>
      </c>
      <c r="J870" s="3" t="s">
        <v>34</v>
      </c>
      <c r="K870" s="20" t="s">
        <v>22</v>
      </c>
      <c r="L870" s="39">
        <v>0</v>
      </c>
      <c r="M870" s="39">
        <v>0</v>
      </c>
      <c r="N870" s="39">
        <v>0</v>
      </c>
      <c r="O870" s="39">
        <v>0</v>
      </c>
      <c r="P870" s="39">
        <v>0</v>
      </c>
      <c r="Q870" s="39">
        <v>0</v>
      </c>
      <c r="R870" s="39">
        <v>0</v>
      </c>
      <c r="S870" s="39">
        <v>0</v>
      </c>
      <c r="T870" s="39">
        <v>0</v>
      </c>
      <c r="U870" s="39">
        <v>0</v>
      </c>
      <c r="V870" s="39">
        <v>0</v>
      </c>
      <c r="W870" s="39">
        <v>0</v>
      </c>
      <c r="X870" s="39">
        <v>0</v>
      </c>
      <c r="Y870" s="39">
        <v>0</v>
      </c>
      <c r="Z870" s="39">
        <v>0</v>
      </c>
      <c r="AA870" s="39">
        <v>0</v>
      </c>
      <c r="AB870" s="39">
        <v>178.04</v>
      </c>
      <c r="AC870" s="39">
        <v>0</v>
      </c>
      <c r="AD870" s="39">
        <v>663.6</v>
      </c>
      <c r="AE870" s="39">
        <v>266</v>
      </c>
      <c r="AF870" s="39">
        <v>0</v>
      </c>
      <c r="AG870" s="39">
        <v>263.57</v>
      </c>
      <c r="AH870" s="39"/>
      <c r="AI870" s="39"/>
      <c r="AJ870" s="40"/>
      <c r="AK870" s="39">
        <f t="shared" si="65"/>
        <v>0</v>
      </c>
      <c r="AL870" s="39">
        <f t="shared" si="68"/>
        <v>114.26749999999998</v>
      </c>
      <c r="AM870" s="39">
        <f t="shared" si="69"/>
        <v>228.53499999999997</v>
      </c>
      <c r="AN870" s="39">
        <f t="shared" si="66"/>
        <v>137.12099999999998</v>
      </c>
      <c r="AO870" s="39">
        <f t="shared" si="67"/>
        <v>1371.2099999999998</v>
      </c>
    </row>
    <row r="871" spans="1:41" x14ac:dyDescent="0.3">
      <c r="A871" s="20">
        <v>1000184670</v>
      </c>
      <c r="B871" s="4" t="s">
        <v>147</v>
      </c>
      <c r="C871" s="21"/>
      <c r="D871" s="3"/>
      <c r="E871" s="20">
        <v>1000184757</v>
      </c>
      <c r="F871" s="4" t="s">
        <v>62</v>
      </c>
      <c r="G871" s="21">
        <v>1000189790</v>
      </c>
      <c r="H871" s="3" t="s">
        <v>103</v>
      </c>
      <c r="I871" s="21">
        <v>1000189270</v>
      </c>
      <c r="J871" s="3" t="s">
        <v>34</v>
      </c>
      <c r="K871" s="20" t="s">
        <v>23</v>
      </c>
      <c r="L871" s="39">
        <v>0</v>
      </c>
      <c r="M871" s="39">
        <v>0</v>
      </c>
      <c r="N871" s="39">
        <v>0</v>
      </c>
      <c r="O871" s="39">
        <v>0</v>
      </c>
      <c r="P871" s="39">
        <v>0</v>
      </c>
      <c r="Q871" s="39">
        <v>0</v>
      </c>
      <c r="R871" s="39">
        <v>0</v>
      </c>
      <c r="S871" s="39">
        <v>0</v>
      </c>
      <c r="T871" s="39">
        <v>0</v>
      </c>
      <c r="U871" s="39">
        <v>0</v>
      </c>
      <c r="V871" s="39">
        <v>0</v>
      </c>
      <c r="W871" s="39">
        <v>0</v>
      </c>
      <c r="X871" s="39">
        <v>0</v>
      </c>
      <c r="Y871" s="39">
        <v>0</v>
      </c>
      <c r="Z871" s="39">
        <v>0</v>
      </c>
      <c r="AA871" s="39">
        <v>0</v>
      </c>
      <c r="AB871" s="39">
        <v>0</v>
      </c>
      <c r="AC871" s="39">
        <v>0</v>
      </c>
      <c r="AD871" s="39">
        <v>93.6</v>
      </c>
      <c r="AE871" s="39">
        <v>177.84</v>
      </c>
      <c r="AF871" s="39">
        <v>0</v>
      </c>
      <c r="AG871" s="39">
        <v>0</v>
      </c>
      <c r="AH871" s="39"/>
      <c r="AI871" s="39"/>
      <c r="AJ871" s="40"/>
      <c r="AK871" s="39">
        <f t="shared" si="65"/>
        <v>0</v>
      </c>
      <c r="AL871" s="39">
        <f t="shared" si="68"/>
        <v>22.62</v>
      </c>
      <c r="AM871" s="39">
        <f t="shared" si="69"/>
        <v>45.24</v>
      </c>
      <c r="AN871" s="39">
        <f t="shared" si="66"/>
        <v>27.143999999999998</v>
      </c>
      <c r="AO871" s="39">
        <f t="shared" si="67"/>
        <v>271.44</v>
      </c>
    </row>
    <row r="872" spans="1:41" x14ac:dyDescent="0.3">
      <c r="A872" s="20">
        <v>1000184670</v>
      </c>
      <c r="B872" s="4" t="s">
        <v>147</v>
      </c>
      <c r="C872" s="21"/>
      <c r="D872" s="3"/>
      <c r="E872" s="20">
        <v>1000184757</v>
      </c>
      <c r="F872" s="4" t="s">
        <v>62</v>
      </c>
      <c r="G872" s="21">
        <v>1000189790</v>
      </c>
      <c r="H872" s="3" t="s">
        <v>103</v>
      </c>
      <c r="I872" s="21">
        <v>1000189270</v>
      </c>
      <c r="J872" s="3" t="s">
        <v>34</v>
      </c>
      <c r="K872" s="20" t="s">
        <v>28</v>
      </c>
      <c r="L872" s="39">
        <v>0</v>
      </c>
      <c r="M872" s="39">
        <v>0</v>
      </c>
      <c r="N872" s="39">
        <v>0</v>
      </c>
      <c r="O872" s="39">
        <v>0</v>
      </c>
      <c r="P872" s="39">
        <v>0</v>
      </c>
      <c r="Q872" s="39">
        <v>0</v>
      </c>
      <c r="R872" s="39">
        <v>0</v>
      </c>
      <c r="S872" s="39">
        <v>0</v>
      </c>
      <c r="T872" s="39">
        <v>0</v>
      </c>
      <c r="U872" s="39">
        <v>0</v>
      </c>
      <c r="V872" s="39">
        <v>0</v>
      </c>
      <c r="W872" s="39">
        <v>0</v>
      </c>
      <c r="X872" s="39">
        <v>0</v>
      </c>
      <c r="Y872" s="39">
        <v>0</v>
      </c>
      <c r="Z872" s="39">
        <v>0</v>
      </c>
      <c r="AA872" s="39">
        <v>0</v>
      </c>
      <c r="AB872" s="39">
        <v>0</v>
      </c>
      <c r="AC872" s="39">
        <v>0</v>
      </c>
      <c r="AD872" s="39">
        <v>0</v>
      </c>
      <c r="AE872" s="39">
        <v>0</v>
      </c>
      <c r="AF872" s="39">
        <v>0</v>
      </c>
      <c r="AG872" s="39">
        <v>0</v>
      </c>
      <c r="AH872" s="39"/>
      <c r="AI872" s="39"/>
      <c r="AJ872" s="40"/>
      <c r="AK872" s="39">
        <f t="shared" si="65"/>
        <v>0</v>
      </c>
      <c r="AL872" s="39">
        <f t="shared" si="68"/>
        <v>0</v>
      </c>
      <c r="AM872" s="39">
        <f t="shared" si="69"/>
        <v>0</v>
      </c>
      <c r="AN872" s="39">
        <f t="shared" si="66"/>
        <v>0</v>
      </c>
      <c r="AO872" s="39">
        <f t="shared" si="67"/>
        <v>0</v>
      </c>
    </row>
    <row r="873" spans="1:41" x14ac:dyDescent="0.3">
      <c r="A873" s="20">
        <v>1000184670</v>
      </c>
      <c r="B873" s="4" t="s">
        <v>147</v>
      </c>
      <c r="C873" s="21"/>
      <c r="D873" s="3"/>
      <c r="E873" s="20">
        <v>1000184757</v>
      </c>
      <c r="F873" s="4" t="s">
        <v>62</v>
      </c>
      <c r="G873" s="21">
        <v>1000189790</v>
      </c>
      <c r="H873" s="3" t="s">
        <v>103</v>
      </c>
      <c r="I873" s="21">
        <v>1000189270</v>
      </c>
      <c r="J873" s="3" t="s">
        <v>34</v>
      </c>
      <c r="K873" s="20" t="s">
        <v>26</v>
      </c>
      <c r="L873" s="39">
        <v>0</v>
      </c>
      <c r="M873" s="39">
        <v>0</v>
      </c>
      <c r="N873" s="39">
        <v>0</v>
      </c>
      <c r="O873" s="39">
        <v>0</v>
      </c>
      <c r="P873" s="39">
        <v>0</v>
      </c>
      <c r="Q873" s="39">
        <v>0</v>
      </c>
      <c r="R873" s="39">
        <v>0</v>
      </c>
      <c r="S873" s="39">
        <v>0</v>
      </c>
      <c r="T873" s="39">
        <v>0</v>
      </c>
      <c r="U873" s="39">
        <v>0</v>
      </c>
      <c r="V873" s="39">
        <v>0</v>
      </c>
      <c r="W873" s="39">
        <v>0</v>
      </c>
      <c r="X873" s="39">
        <v>0</v>
      </c>
      <c r="Y873" s="39">
        <v>0</v>
      </c>
      <c r="Z873" s="39">
        <v>0</v>
      </c>
      <c r="AA873" s="39">
        <v>0</v>
      </c>
      <c r="AB873" s="39">
        <v>0</v>
      </c>
      <c r="AC873" s="39">
        <v>0</v>
      </c>
      <c r="AD873" s="39">
        <v>0</v>
      </c>
      <c r="AE873" s="39">
        <v>0</v>
      </c>
      <c r="AF873" s="39">
        <v>0</v>
      </c>
      <c r="AG873" s="39">
        <v>0</v>
      </c>
      <c r="AH873" s="39"/>
      <c r="AI873" s="39"/>
      <c r="AJ873" s="40"/>
      <c r="AK873" s="39">
        <f t="shared" si="65"/>
        <v>0</v>
      </c>
      <c r="AL873" s="39">
        <f t="shared" si="68"/>
        <v>0</v>
      </c>
      <c r="AM873" s="39">
        <f t="shared" si="69"/>
        <v>0</v>
      </c>
      <c r="AN873" s="39">
        <f t="shared" si="66"/>
        <v>0</v>
      </c>
      <c r="AO873" s="39">
        <f t="shared" si="67"/>
        <v>0</v>
      </c>
    </row>
    <row r="874" spans="1:41" x14ac:dyDescent="0.3">
      <c r="A874" s="20">
        <v>1000184670</v>
      </c>
      <c r="B874" s="4" t="s">
        <v>147</v>
      </c>
      <c r="C874" s="21"/>
      <c r="D874" s="3"/>
      <c r="E874" s="20">
        <v>1000184757</v>
      </c>
      <c r="F874" s="4" t="s">
        <v>62</v>
      </c>
      <c r="G874" s="21">
        <v>1000189790</v>
      </c>
      <c r="H874" s="3" t="s">
        <v>103</v>
      </c>
      <c r="I874" s="21">
        <v>1000189270</v>
      </c>
      <c r="J874" s="3" t="s">
        <v>34</v>
      </c>
      <c r="K874" s="20" t="s">
        <v>27</v>
      </c>
      <c r="L874" s="39">
        <v>0</v>
      </c>
      <c r="M874" s="39">
        <v>0</v>
      </c>
      <c r="N874" s="39">
        <v>0</v>
      </c>
      <c r="O874" s="39">
        <v>0</v>
      </c>
      <c r="P874" s="39">
        <v>0</v>
      </c>
      <c r="Q874" s="39">
        <v>0</v>
      </c>
      <c r="R874" s="39">
        <v>0</v>
      </c>
      <c r="S874" s="39">
        <v>0</v>
      </c>
      <c r="T874" s="39">
        <v>0</v>
      </c>
      <c r="U874" s="39">
        <v>0</v>
      </c>
      <c r="V874" s="39">
        <v>0</v>
      </c>
      <c r="W874" s="39">
        <v>0</v>
      </c>
      <c r="X874" s="39">
        <v>0</v>
      </c>
      <c r="Y874" s="39">
        <v>0</v>
      </c>
      <c r="Z874" s="39">
        <v>0</v>
      </c>
      <c r="AA874" s="39">
        <v>0</v>
      </c>
      <c r="AB874" s="39">
        <v>0</v>
      </c>
      <c r="AC874" s="39">
        <v>0</v>
      </c>
      <c r="AD874" s="39">
        <v>0</v>
      </c>
      <c r="AE874" s="39">
        <v>0</v>
      </c>
      <c r="AF874" s="39">
        <v>0</v>
      </c>
      <c r="AG874" s="39">
        <v>0</v>
      </c>
      <c r="AH874" s="39"/>
      <c r="AI874" s="39"/>
      <c r="AJ874" s="40"/>
      <c r="AK874" s="39">
        <f t="shared" si="65"/>
        <v>0</v>
      </c>
      <c r="AL874" s="39">
        <f t="shared" si="68"/>
        <v>0</v>
      </c>
      <c r="AM874" s="39">
        <f t="shared" si="69"/>
        <v>0</v>
      </c>
      <c r="AN874" s="39">
        <f t="shared" si="66"/>
        <v>0</v>
      </c>
      <c r="AO874" s="39">
        <f t="shared" si="67"/>
        <v>0</v>
      </c>
    </row>
    <row r="875" spans="1:41" x14ac:dyDescent="0.3">
      <c r="A875" s="20">
        <v>1000184670</v>
      </c>
      <c r="B875" s="4" t="s">
        <v>147</v>
      </c>
      <c r="C875" s="21"/>
      <c r="D875" s="3"/>
      <c r="E875" s="20">
        <v>1000184757</v>
      </c>
      <c r="F875" s="4" t="s">
        <v>62</v>
      </c>
      <c r="G875" s="21">
        <v>1000189790</v>
      </c>
      <c r="H875" s="3" t="s">
        <v>103</v>
      </c>
      <c r="I875" s="21">
        <v>1000189270</v>
      </c>
      <c r="J875" s="3" t="s">
        <v>34</v>
      </c>
      <c r="K875" s="20" t="s">
        <v>25</v>
      </c>
      <c r="L875" s="39">
        <v>0</v>
      </c>
      <c r="M875" s="39">
        <v>0</v>
      </c>
      <c r="N875" s="39">
        <v>0</v>
      </c>
      <c r="O875" s="39">
        <v>0</v>
      </c>
      <c r="P875" s="39">
        <v>0</v>
      </c>
      <c r="Q875" s="39">
        <v>0</v>
      </c>
      <c r="R875" s="39">
        <v>0</v>
      </c>
      <c r="S875" s="39">
        <v>0</v>
      </c>
      <c r="T875" s="39">
        <v>0</v>
      </c>
      <c r="U875" s="39">
        <v>0</v>
      </c>
      <c r="V875" s="39">
        <v>0</v>
      </c>
      <c r="W875" s="39">
        <v>0</v>
      </c>
      <c r="X875" s="39">
        <v>0</v>
      </c>
      <c r="Y875" s="39">
        <v>0</v>
      </c>
      <c r="Z875" s="39">
        <v>0</v>
      </c>
      <c r="AA875" s="39">
        <v>0</v>
      </c>
      <c r="AB875" s="39">
        <v>0</v>
      </c>
      <c r="AC875" s="39">
        <v>0</v>
      </c>
      <c r="AD875" s="39">
        <v>0</v>
      </c>
      <c r="AE875" s="39">
        <v>0</v>
      </c>
      <c r="AF875" s="39">
        <v>0</v>
      </c>
      <c r="AG875" s="39">
        <v>0</v>
      </c>
      <c r="AH875" s="39"/>
      <c r="AI875" s="39"/>
      <c r="AJ875" s="40"/>
      <c r="AK875" s="39">
        <f t="shared" si="65"/>
        <v>0</v>
      </c>
      <c r="AL875" s="39">
        <f t="shared" si="68"/>
        <v>0</v>
      </c>
      <c r="AM875" s="39">
        <f t="shared" si="69"/>
        <v>0</v>
      </c>
      <c r="AN875" s="39">
        <f t="shared" si="66"/>
        <v>0</v>
      </c>
      <c r="AO875" s="39">
        <f t="shared" si="67"/>
        <v>0</v>
      </c>
    </row>
    <row r="876" spans="1:41" x14ac:dyDescent="0.3">
      <c r="A876" s="20">
        <v>1000184670</v>
      </c>
      <c r="B876" s="4" t="s">
        <v>147</v>
      </c>
      <c r="C876" s="21"/>
      <c r="D876" s="3"/>
      <c r="E876" s="20">
        <v>1000184757</v>
      </c>
      <c r="F876" s="4" t="s">
        <v>62</v>
      </c>
      <c r="G876" s="21">
        <v>1000189791</v>
      </c>
      <c r="H876" s="3" t="s">
        <v>78</v>
      </c>
      <c r="I876" s="21">
        <v>1000189270</v>
      </c>
      <c r="J876" s="3" t="s">
        <v>34</v>
      </c>
      <c r="K876" s="20" t="s">
        <v>124</v>
      </c>
      <c r="L876" s="39">
        <v>0</v>
      </c>
      <c r="M876" s="39">
        <v>0</v>
      </c>
      <c r="N876" s="39">
        <v>0</v>
      </c>
      <c r="O876" s="39">
        <v>0</v>
      </c>
      <c r="P876" s="39">
        <v>0</v>
      </c>
      <c r="Q876" s="39">
        <v>0</v>
      </c>
      <c r="R876" s="39">
        <v>0</v>
      </c>
      <c r="S876" s="39">
        <v>0</v>
      </c>
      <c r="T876" s="39">
        <v>0</v>
      </c>
      <c r="U876" s="39">
        <v>0</v>
      </c>
      <c r="V876" s="39">
        <v>0</v>
      </c>
      <c r="W876" s="39">
        <v>0</v>
      </c>
      <c r="X876" s="39">
        <v>0</v>
      </c>
      <c r="Y876" s="39">
        <v>0</v>
      </c>
      <c r="Z876" s="39">
        <v>0</v>
      </c>
      <c r="AA876" s="39">
        <v>0</v>
      </c>
      <c r="AB876" s="39">
        <v>0</v>
      </c>
      <c r="AC876" s="39">
        <v>0</v>
      </c>
      <c r="AD876" s="39">
        <v>0</v>
      </c>
      <c r="AE876" s="39">
        <v>0</v>
      </c>
      <c r="AF876" s="39">
        <v>0</v>
      </c>
      <c r="AG876" s="39">
        <v>0</v>
      </c>
      <c r="AH876" s="39"/>
      <c r="AI876" s="39"/>
      <c r="AJ876" s="40"/>
      <c r="AK876" s="39">
        <f t="shared" si="65"/>
        <v>0</v>
      </c>
      <c r="AL876" s="39">
        <f t="shared" si="68"/>
        <v>0</v>
      </c>
      <c r="AM876" s="39">
        <f t="shared" si="69"/>
        <v>0</v>
      </c>
      <c r="AN876" s="39">
        <f t="shared" si="66"/>
        <v>0</v>
      </c>
      <c r="AO876" s="39">
        <f t="shared" si="67"/>
        <v>0</v>
      </c>
    </row>
    <row r="877" spans="1:41" x14ac:dyDescent="0.3">
      <c r="A877" s="20">
        <v>1000184670</v>
      </c>
      <c r="B877" s="4" t="s">
        <v>147</v>
      </c>
      <c r="C877" s="21"/>
      <c r="D877" s="3"/>
      <c r="E877" s="20">
        <v>1000184757</v>
      </c>
      <c r="F877" s="4" t="s">
        <v>62</v>
      </c>
      <c r="G877" s="21">
        <v>1000189791</v>
      </c>
      <c r="H877" s="3" t="s">
        <v>78</v>
      </c>
      <c r="I877" s="21">
        <v>1000189270</v>
      </c>
      <c r="J877" s="3" t="s">
        <v>34</v>
      </c>
      <c r="K877" s="20" t="s">
        <v>13</v>
      </c>
      <c r="L877" s="39">
        <v>0</v>
      </c>
      <c r="M877" s="39">
        <v>0</v>
      </c>
      <c r="N877" s="39">
        <v>0</v>
      </c>
      <c r="O877" s="39">
        <v>0</v>
      </c>
      <c r="P877" s="39">
        <v>0</v>
      </c>
      <c r="Q877" s="39">
        <v>0</v>
      </c>
      <c r="R877" s="39">
        <v>0</v>
      </c>
      <c r="S877" s="39">
        <v>0</v>
      </c>
      <c r="T877" s="39">
        <v>0</v>
      </c>
      <c r="U877" s="39">
        <v>0</v>
      </c>
      <c r="V877" s="39">
        <v>0</v>
      </c>
      <c r="W877" s="39">
        <v>0</v>
      </c>
      <c r="X877" s="39">
        <v>0</v>
      </c>
      <c r="Y877" s="39">
        <v>0</v>
      </c>
      <c r="Z877" s="39">
        <v>0</v>
      </c>
      <c r="AA877" s="39">
        <v>0</v>
      </c>
      <c r="AB877" s="39">
        <v>0</v>
      </c>
      <c r="AC877" s="39">
        <v>0</v>
      </c>
      <c r="AD877" s="39">
        <v>74.52</v>
      </c>
      <c r="AE877" s="39">
        <v>0</v>
      </c>
      <c r="AF877" s="39">
        <v>0</v>
      </c>
      <c r="AG877" s="39">
        <v>0</v>
      </c>
      <c r="AH877" s="39"/>
      <c r="AI877" s="39"/>
      <c r="AJ877" s="40"/>
      <c r="AK877" s="39">
        <f t="shared" si="65"/>
        <v>0</v>
      </c>
      <c r="AL877" s="39">
        <f t="shared" si="68"/>
        <v>6.21</v>
      </c>
      <c r="AM877" s="39">
        <f t="shared" si="69"/>
        <v>12.42</v>
      </c>
      <c r="AN877" s="39">
        <f t="shared" si="66"/>
        <v>7.452</v>
      </c>
      <c r="AO877" s="39">
        <f t="shared" si="67"/>
        <v>74.52</v>
      </c>
    </row>
    <row r="878" spans="1:41" x14ac:dyDescent="0.3">
      <c r="A878" s="20">
        <v>1000184670</v>
      </c>
      <c r="B878" s="4" t="s">
        <v>147</v>
      </c>
      <c r="C878" s="21"/>
      <c r="D878" s="3"/>
      <c r="E878" s="20">
        <v>1000184757</v>
      </c>
      <c r="F878" s="4" t="s">
        <v>62</v>
      </c>
      <c r="G878" s="21">
        <v>1000189791</v>
      </c>
      <c r="H878" s="3" t="s">
        <v>78</v>
      </c>
      <c r="I878" s="21">
        <v>1000189270</v>
      </c>
      <c r="J878" s="3" t="s">
        <v>34</v>
      </c>
      <c r="K878" s="20" t="s">
        <v>14</v>
      </c>
      <c r="L878" s="39">
        <v>0</v>
      </c>
      <c r="M878" s="39">
        <v>0</v>
      </c>
      <c r="N878" s="39">
        <v>0</v>
      </c>
      <c r="O878" s="39">
        <v>0</v>
      </c>
      <c r="P878" s="39">
        <v>0</v>
      </c>
      <c r="Q878" s="39">
        <v>0</v>
      </c>
      <c r="R878" s="39">
        <v>0</v>
      </c>
      <c r="S878" s="39">
        <v>0</v>
      </c>
      <c r="T878" s="39">
        <v>0</v>
      </c>
      <c r="U878" s="39">
        <v>0</v>
      </c>
      <c r="V878" s="39">
        <v>0</v>
      </c>
      <c r="W878" s="39">
        <v>0</v>
      </c>
      <c r="X878" s="39">
        <v>0</v>
      </c>
      <c r="Y878" s="39">
        <v>0</v>
      </c>
      <c r="Z878" s="39">
        <v>0</v>
      </c>
      <c r="AA878" s="39">
        <v>0</v>
      </c>
      <c r="AB878" s="39">
        <v>0</v>
      </c>
      <c r="AC878" s="39">
        <v>0</v>
      </c>
      <c r="AD878" s="39">
        <v>51.3</v>
      </c>
      <c r="AE878" s="39">
        <v>0</v>
      </c>
      <c r="AF878" s="39">
        <v>490.2</v>
      </c>
      <c r="AG878" s="39">
        <v>0</v>
      </c>
      <c r="AH878" s="39"/>
      <c r="AI878" s="39"/>
      <c r="AJ878" s="40"/>
      <c r="AK878" s="39">
        <f t="shared" si="65"/>
        <v>0</v>
      </c>
      <c r="AL878" s="39">
        <f t="shared" si="68"/>
        <v>45.125</v>
      </c>
      <c r="AM878" s="39">
        <f t="shared" si="69"/>
        <v>90.25</v>
      </c>
      <c r="AN878" s="39">
        <f t="shared" si="66"/>
        <v>54.15</v>
      </c>
      <c r="AO878" s="39">
        <f t="shared" si="67"/>
        <v>541.5</v>
      </c>
    </row>
    <row r="879" spans="1:41" x14ac:dyDescent="0.3">
      <c r="A879" s="20">
        <v>1000184670</v>
      </c>
      <c r="B879" s="4" t="s">
        <v>147</v>
      </c>
      <c r="C879" s="21"/>
      <c r="D879" s="3"/>
      <c r="E879" s="20">
        <v>1000184757</v>
      </c>
      <c r="F879" s="4" t="s">
        <v>62</v>
      </c>
      <c r="G879" s="21">
        <v>1000189791</v>
      </c>
      <c r="H879" s="3" t="s">
        <v>78</v>
      </c>
      <c r="I879" s="21">
        <v>1000189270</v>
      </c>
      <c r="J879" s="3" t="s">
        <v>34</v>
      </c>
      <c r="K879" s="20" t="s">
        <v>16</v>
      </c>
      <c r="L879" s="39">
        <v>0</v>
      </c>
      <c r="M879" s="39">
        <v>0</v>
      </c>
      <c r="N879" s="39">
        <v>0</v>
      </c>
      <c r="O879" s="39">
        <v>0</v>
      </c>
      <c r="P879" s="39">
        <v>0</v>
      </c>
      <c r="Q879" s="39">
        <v>0</v>
      </c>
      <c r="R879" s="39">
        <v>0</v>
      </c>
      <c r="S879" s="39">
        <v>0</v>
      </c>
      <c r="T879" s="39">
        <v>0</v>
      </c>
      <c r="U879" s="39">
        <v>0</v>
      </c>
      <c r="V879" s="39">
        <v>0</v>
      </c>
      <c r="W879" s="39">
        <v>0</v>
      </c>
      <c r="X879" s="39">
        <v>0</v>
      </c>
      <c r="Y879" s="39">
        <v>0</v>
      </c>
      <c r="Z879" s="39">
        <v>0</v>
      </c>
      <c r="AA879" s="39">
        <v>0</v>
      </c>
      <c r="AB879" s="39">
        <v>0</v>
      </c>
      <c r="AC879" s="39">
        <v>0</v>
      </c>
      <c r="AD879" s="39">
        <v>0</v>
      </c>
      <c r="AE879" s="39">
        <v>0</v>
      </c>
      <c r="AF879" s="39">
        <v>0</v>
      </c>
      <c r="AG879" s="39">
        <v>0</v>
      </c>
      <c r="AH879" s="39"/>
      <c r="AI879" s="39"/>
      <c r="AJ879" s="40"/>
      <c r="AK879" s="39">
        <f t="shared" si="65"/>
        <v>0</v>
      </c>
      <c r="AL879" s="39">
        <f t="shared" si="68"/>
        <v>0</v>
      </c>
      <c r="AM879" s="39">
        <f t="shared" si="69"/>
        <v>0</v>
      </c>
      <c r="AN879" s="39">
        <f t="shared" si="66"/>
        <v>0</v>
      </c>
      <c r="AO879" s="39">
        <f t="shared" si="67"/>
        <v>0</v>
      </c>
    </row>
    <row r="880" spans="1:41" x14ac:dyDescent="0.3">
      <c r="A880" s="20">
        <v>1000184670</v>
      </c>
      <c r="B880" s="4" t="s">
        <v>147</v>
      </c>
      <c r="C880" s="21"/>
      <c r="D880" s="3"/>
      <c r="E880" s="20">
        <v>1000184757</v>
      </c>
      <c r="F880" s="4" t="s">
        <v>62</v>
      </c>
      <c r="G880" s="21">
        <v>1000189791</v>
      </c>
      <c r="H880" s="3" t="s">
        <v>78</v>
      </c>
      <c r="I880" s="21">
        <v>1000189270</v>
      </c>
      <c r="J880" s="3" t="s">
        <v>34</v>
      </c>
      <c r="K880" s="20" t="s">
        <v>15</v>
      </c>
      <c r="L880" s="39">
        <v>0</v>
      </c>
      <c r="M880" s="39">
        <v>0</v>
      </c>
      <c r="N880" s="39">
        <v>0</v>
      </c>
      <c r="O880" s="39">
        <v>0</v>
      </c>
      <c r="P880" s="39">
        <v>0</v>
      </c>
      <c r="Q880" s="39">
        <v>0</v>
      </c>
      <c r="R880" s="39">
        <v>0</v>
      </c>
      <c r="S880" s="39">
        <v>0</v>
      </c>
      <c r="T880" s="39">
        <v>0</v>
      </c>
      <c r="U880" s="39">
        <v>0</v>
      </c>
      <c r="V880" s="39">
        <v>0</v>
      </c>
      <c r="W880" s="39">
        <v>0</v>
      </c>
      <c r="X880" s="39">
        <v>0</v>
      </c>
      <c r="Y880" s="39">
        <v>0</v>
      </c>
      <c r="Z880" s="39">
        <v>0</v>
      </c>
      <c r="AA880" s="39">
        <v>0</v>
      </c>
      <c r="AB880" s="39">
        <v>0</v>
      </c>
      <c r="AC880" s="39">
        <v>0</v>
      </c>
      <c r="AD880" s="39">
        <v>61.2</v>
      </c>
      <c r="AE880" s="39">
        <v>0</v>
      </c>
      <c r="AF880" s="39">
        <v>184.3</v>
      </c>
      <c r="AG880" s="39">
        <v>0</v>
      </c>
      <c r="AH880" s="39"/>
      <c r="AI880" s="39"/>
      <c r="AJ880" s="40"/>
      <c r="AK880" s="39">
        <f t="shared" ref="AK880:AK943" si="70">AVERAGE(L880:W880)</f>
        <v>0</v>
      </c>
      <c r="AL880" s="39">
        <f t="shared" si="68"/>
        <v>20.458333333333332</v>
      </c>
      <c r="AM880" s="39">
        <f t="shared" si="69"/>
        <v>40.916666666666664</v>
      </c>
      <c r="AN880" s="39">
        <f t="shared" ref="AN880:AN943" si="71">AVERAGE(X880:AI880)</f>
        <v>24.55</v>
      </c>
      <c r="AO880" s="39">
        <f t="shared" ref="AO880:AO943" si="72">SUM(X880:AI880)</f>
        <v>245.5</v>
      </c>
    </row>
    <row r="881" spans="1:41" x14ac:dyDescent="0.3">
      <c r="A881" s="20">
        <v>1000184670</v>
      </c>
      <c r="B881" s="4" t="s">
        <v>147</v>
      </c>
      <c r="C881" s="21"/>
      <c r="D881" s="3"/>
      <c r="E881" s="20">
        <v>1000184757</v>
      </c>
      <c r="F881" s="4" t="s">
        <v>62</v>
      </c>
      <c r="G881" s="21">
        <v>1000189791</v>
      </c>
      <c r="H881" s="3" t="s">
        <v>78</v>
      </c>
      <c r="I881" s="21">
        <v>1000189270</v>
      </c>
      <c r="J881" s="3" t="s">
        <v>34</v>
      </c>
      <c r="K881" s="20" t="s">
        <v>33</v>
      </c>
      <c r="L881" s="39">
        <v>0</v>
      </c>
      <c r="M881" s="39">
        <v>0</v>
      </c>
      <c r="N881" s="39">
        <v>0</v>
      </c>
      <c r="O881" s="39">
        <v>0</v>
      </c>
      <c r="P881" s="39">
        <v>0</v>
      </c>
      <c r="Q881" s="39">
        <v>0</v>
      </c>
      <c r="R881" s="39">
        <v>0</v>
      </c>
      <c r="S881" s="39">
        <v>0</v>
      </c>
      <c r="T881" s="39">
        <v>0</v>
      </c>
      <c r="U881" s="39">
        <v>0</v>
      </c>
      <c r="V881" s="39">
        <v>0</v>
      </c>
      <c r="W881" s="39">
        <v>0</v>
      </c>
      <c r="X881" s="39">
        <v>0</v>
      </c>
      <c r="Y881" s="39">
        <v>0</v>
      </c>
      <c r="Z881" s="39">
        <v>0</v>
      </c>
      <c r="AA881" s="39">
        <v>0</v>
      </c>
      <c r="AB881" s="39">
        <v>0</v>
      </c>
      <c r="AC881" s="39">
        <v>0</v>
      </c>
      <c r="AD881" s="39">
        <v>0</v>
      </c>
      <c r="AE881" s="39">
        <v>0</v>
      </c>
      <c r="AF881" s="39">
        <v>1330</v>
      </c>
      <c r="AG881" s="39">
        <v>0</v>
      </c>
      <c r="AH881" s="39"/>
      <c r="AI881" s="39"/>
      <c r="AJ881" s="40"/>
      <c r="AK881" s="39">
        <f t="shared" si="70"/>
        <v>0</v>
      </c>
      <c r="AL881" s="39">
        <f t="shared" si="68"/>
        <v>110.83333333333333</v>
      </c>
      <c r="AM881" s="39">
        <f t="shared" si="69"/>
        <v>221.66666666666666</v>
      </c>
      <c r="AN881" s="39">
        <f t="shared" si="71"/>
        <v>133</v>
      </c>
      <c r="AO881" s="39">
        <f t="shared" si="72"/>
        <v>1330</v>
      </c>
    </row>
    <row r="882" spans="1:41" x14ac:dyDescent="0.3">
      <c r="A882" s="20">
        <v>1000184670</v>
      </c>
      <c r="B882" s="4" t="s">
        <v>147</v>
      </c>
      <c r="C882" s="21"/>
      <c r="D882" s="3"/>
      <c r="E882" s="20">
        <v>1000184757</v>
      </c>
      <c r="F882" s="4" t="s">
        <v>62</v>
      </c>
      <c r="G882" s="21">
        <v>1000189791</v>
      </c>
      <c r="H882" s="3" t="s">
        <v>78</v>
      </c>
      <c r="I882" s="21">
        <v>1000189270</v>
      </c>
      <c r="J882" s="3" t="s">
        <v>34</v>
      </c>
      <c r="K882" s="20" t="s">
        <v>19</v>
      </c>
      <c r="L882" s="39">
        <v>0</v>
      </c>
      <c r="M882" s="39">
        <v>0</v>
      </c>
      <c r="N882" s="39">
        <v>0</v>
      </c>
      <c r="O882" s="39">
        <v>0</v>
      </c>
      <c r="P882" s="39">
        <v>0</v>
      </c>
      <c r="Q882" s="39">
        <v>0</v>
      </c>
      <c r="R882" s="39">
        <v>0</v>
      </c>
      <c r="S882" s="39">
        <v>0</v>
      </c>
      <c r="T882" s="39">
        <v>0</v>
      </c>
      <c r="U882" s="39">
        <v>0</v>
      </c>
      <c r="V882" s="39">
        <v>0</v>
      </c>
      <c r="W882" s="39">
        <v>0</v>
      </c>
      <c r="X882" s="39">
        <v>0</v>
      </c>
      <c r="Y882" s="39">
        <v>0</v>
      </c>
      <c r="Z882" s="39">
        <v>0</v>
      </c>
      <c r="AA882" s="39">
        <v>0</v>
      </c>
      <c r="AB882" s="39">
        <v>0</v>
      </c>
      <c r="AC882" s="39">
        <v>0</v>
      </c>
      <c r="AD882" s="39">
        <v>0</v>
      </c>
      <c r="AE882" s="39">
        <v>0</v>
      </c>
      <c r="AF882" s="39">
        <v>0</v>
      </c>
      <c r="AG882" s="39">
        <v>0</v>
      </c>
      <c r="AH882" s="39"/>
      <c r="AI882" s="39"/>
      <c r="AJ882" s="40"/>
      <c r="AK882" s="39">
        <f t="shared" si="70"/>
        <v>0</v>
      </c>
      <c r="AL882" s="39">
        <f t="shared" si="68"/>
        <v>0</v>
      </c>
      <c r="AM882" s="39">
        <f t="shared" si="69"/>
        <v>0</v>
      </c>
      <c r="AN882" s="39">
        <f t="shared" si="71"/>
        <v>0</v>
      </c>
      <c r="AO882" s="39">
        <f t="shared" si="72"/>
        <v>0</v>
      </c>
    </row>
    <row r="883" spans="1:41" x14ac:dyDescent="0.3">
      <c r="A883" s="20">
        <v>1000184670</v>
      </c>
      <c r="B883" s="4" t="s">
        <v>147</v>
      </c>
      <c r="C883" s="21"/>
      <c r="D883" s="3"/>
      <c r="E883" s="20">
        <v>1000184757</v>
      </c>
      <c r="F883" s="4" t="s">
        <v>62</v>
      </c>
      <c r="G883" s="21">
        <v>1000189791</v>
      </c>
      <c r="H883" s="3" t="s">
        <v>78</v>
      </c>
      <c r="I883" s="21">
        <v>1000189270</v>
      </c>
      <c r="J883" s="3" t="s">
        <v>34</v>
      </c>
      <c r="K883" s="20" t="s">
        <v>17</v>
      </c>
      <c r="L883" s="39">
        <v>0</v>
      </c>
      <c r="M883" s="39">
        <v>0</v>
      </c>
      <c r="N883" s="39">
        <v>0</v>
      </c>
      <c r="O883" s="39">
        <v>0</v>
      </c>
      <c r="P883" s="39">
        <v>0</v>
      </c>
      <c r="Q883" s="39">
        <v>0</v>
      </c>
      <c r="R883" s="39">
        <v>0</v>
      </c>
      <c r="S883" s="39">
        <v>0</v>
      </c>
      <c r="T883" s="39">
        <v>0</v>
      </c>
      <c r="U883" s="39">
        <v>0</v>
      </c>
      <c r="V883" s="39">
        <v>0</v>
      </c>
      <c r="W883" s="39">
        <v>0</v>
      </c>
      <c r="X883" s="39">
        <v>0</v>
      </c>
      <c r="Y883" s="39">
        <v>0</v>
      </c>
      <c r="Z883" s="39">
        <v>0</v>
      </c>
      <c r="AA883" s="39">
        <v>0</v>
      </c>
      <c r="AB883" s="39">
        <v>0</v>
      </c>
      <c r="AC883" s="39">
        <v>0</v>
      </c>
      <c r="AD883" s="39">
        <v>0</v>
      </c>
      <c r="AE883" s="39">
        <v>0</v>
      </c>
      <c r="AF883" s="39">
        <v>0</v>
      </c>
      <c r="AG883" s="39">
        <v>0</v>
      </c>
      <c r="AH883" s="39"/>
      <c r="AI883" s="39"/>
      <c r="AJ883" s="40"/>
      <c r="AK883" s="39">
        <f t="shared" si="70"/>
        <v>0</v>
      </c>
      <c r="AL883" s="39">
        <f t="shared" si="68"/>
        <v>0</v>
      </c>
      <c r="AM883" s="39">
        <f t="shared" si="69"/>
        <v>0</v>
      </c>
      <c r="AN883" s="39">
        <f t="shared" si="71"/>
        <v>0</v>
      </c>
      <c r="AO883" s="39">
        <f t="shared" si="72"/>
        <v>0</v>
      </c>
    </row>
    <row r="884" spans="1:41" x14ac:dyDescent="0.3">
      <c r="A884" s="20">
        <v>1000184670</v>
      </c>
      <c r="B884" s="4" t="s">
        <v>147</v>
      </c>
      <c r="C884" s="21"/>
      <c r="D884" s="3"/>
      <c r="E884" s="20">
        <v>1000184757</v>
      </c>
      <c r="F884" s="4" t="s">
        <v>62</v>
      </c>
      <c r="G884" s="21">
        <v>1000189791</v>
      </c>
      <c r="H884" s="3" t="s">
        <v>78</v>
      </c>
      <c r="I884" s="21">
        <v>1000189270</v>
      </c>
      <c r="J884" s="3" t="s">
        <v>34</v>
      </c>
      <c r="K884" s="20" t="s">
        <v>24</v>
      </c>
      <c r="L884" s="39">
        <v>0</v>
      </c>
      <c r="M884" s="39">
        <v>0</v>
      </c>
      <c r="N884" s="39">
        <v>0</v>
      </c>
      <c r="O884" s="39">
        <v>0</v>
      </c>
      <c r="P884" s="39">
        <v>0</v>
      </c>
      <c r="Q884" s="39">
        <v>0</v>
      </c>
      <c r="R884" s="39">
        <v>0</v>
      </c>
      <c r="S884" s="39">
        <v>0</v>
      </c>
      <c r="T884" s="39">
        <v>0</v>
      </c>
      <c r="U884" s="39">
        <v>0</v>
      </c>
      <c r="V884" s="39">
        <v>0</v>
      </c>
      <c r="W884" s="39">
        <v>0</v>
      </c>
      <c r="X884" s="39">
        <v>0</v>
      </c>
      <c r="Y884" s="39">
        <v>0</v>
      </c>
      <c r="Z884" s="39">
        <v>0</v>
      </c>
      <c r="AA884" s="39">
        <v>0</v>
      </c>
      <c r="AB884" s="39">
        <v>0</v>
      </c>
      <c r="AC884" s="39">
        <v>0</v>
      </c>
      <c r="AD884" s="39">
        <v>0</v>
      </c>
      <c r="AE884" s="39">
        <v>0</v>
      </c>
      <c r="AF884" s="39">
        <v>0</v>
      </c>
      <c r="AG884" s="39">
        <v>0</v>
      </c>
      <c r="AH884" s="39"/>
      <c r="AI884" s="39"/>
      <c r="AJ884" s="40"/>
      <c r="AK884" s="39">
        <f t="shared" si="70"/>
        <v>0</v>
      </c>
      <c r="AL884" s="39">
        <f t="shared" si="68"/>
        <v>0</v>
      </c>
      <c r="AM884" s="39">
        <f t="shared" si="69"/>
        <v>0</v>
      </c>
      <c r="AN884" s="39">
        <f t="shared" si="71"/>
        <v>0</v>
      </c>
      <c r="AO884" s="39">
        <f t="shared" si="72"/>
        <v>0</v>
      </c>
    </row>
    <row r="885" spans="1:41" x14ac:dyDescent="0.3">
      <c r="A885" s="20">
        <v>1000184670</v>
      </c>
      <c r="B885" s="4" t="s">
        <v>147</v>
      </c>
      <c r="C885" s="21"/>
      <c r="D885" s="3"/>
      <c r="E885" s="20">
        <v>1000184757</v>
      </c>
      <c r="F885" s="4" t="s">
        <v>62</v>
      </c>
      <c r="G885" s="21">
        <v>1000189791</v>
      </c>
      <c r="H885" s="3" t="s">
        <v>78</v>
      </c>
      <c r="I885" s="21">
        <v>1000189270</v>
      </c>
      <c r="J885" s="3" t="s">
        <v>34</v>
      </c>
      <c r="K885" s="20" t="s">
        <v>18</v>
      </c>
      <c r="L885" s="39">
        <v>0</v>
      </c>
      <c r="M885" s="39">
        <v>0</v>
      </c>
      <c r="N885" s="39">
        <v>0</v>
      </c>
      <c r="O885" s="39">
        <v>0</v>
      </c>
      <c r="P885" s="39">
        <v>0</v>
      </c>
      <c r="Q885" s="39">
        <v>0</v>
      </c>
      <c r="R885" s="39">
        <v>0</v>
      </c>
      <c r="S885" s="39">
        <v>0</v>
      </c>
      <c r="T885" s="39">
        <v>0</v>
      </c>
      <c r="U885" s="39">
        <v>0</v>
      </c>
      <c r="V885" s="39">
        <v>0</v>
      </c>
      <c r="W885" s="39">
        <v>0</v>
      </c>
      <c r="X885" s="39">
        <v>0</v>
      </c>
      <c r="Y885" s="39">
        <v>0</v>
      </c>
      <c r="Z885" s="39">
        <v>0</v>
      </c>
      <c r="AA885" s="39">
        <v>0</v>
      </c>
      <c r="AB885" s="39">
        <v>0</v>
      </c>
      <c r="AC885" s="39">
        <v>0</v>
      </c>
      <c r="AD885" s="39">
        <v>0</v>
      </c>
      <c r="AE885" s="39">
        <v>0</v>
      </c>
      <c r="AF885" s="39">
        <v>0</v>
      </c>
      <c r="AG885" s="39">
        <v>0</v>
      </c>
      <c r="AH885" s="39"/>
      <c r="AI885" s="39"/>
      <c r="AJ885" s="40"/>
      <c r="AK885" s="39">
        <f t="shared" si="70"/>
        <v>0</v>
      </c>
      <c r="AL885" s="39">
        <f t="shared" si="68"/>
        <v>0</v>
      </c>
      <c r="AM885" s="39">
        <f t="shared" si="69"/>
        <v>0</v>
      </c>
      <c r="AN885" s="39">
        <f t="shared" si="71"/>
        <v>0</v>
      </c>
      <c r="AO885" s="39">
        <f t="shared" si="72"/>
        <v>0</v>
      </c>
    </row>
    <row r="886" spans="1:41" x14ac:dyDescent="0.3">
      <c r="A886" s="20">
        <v>1000184670</v>
      </c>
      <c r="B886" s="4" t="s">
        <v>147</v>
      </c>
      <c r="C886" s="21"/>
      <c r="D886" s="3"/>
      <c r="E886" s="20">
        <v>1000184757</v>
      </c>
      <c r="F886" s="4" t="s">
        <v>62</v>
      </c>
      <c r="G886" s="21">
        <v>1000189791</v>
      </c>
      <c r="H886" s="3" t="s">
        <v>78</v>
      </c>
      <c r="I886" s="21">
        <v>1000189270</v>
      </c>
      <c r="J886" s="3" t="s">
        <v>34</v>
      </c>
      <c r="K886" s="20" t="s">
        <v>29</v>
      </c>
      <c r="L886" s="39">
        <v>0</v>
      </c>
      <c r="M886" s="39">
        <v>0</v>
      </c>
      <c r="N886" s="39">
        <v>0</v>
      </c>
      <c r="O886" s="39">
        <v>0</v>
      </c>
      <c r="P886" s="39">
        <v>0</v>
      </c>
      <c r="Q886" s="39">
        <v>0</v>
      </c>
      <c r="R886" s="39">
        <v>0</v>
      </c>
      <c r="S886" s="39">
        <v>0</v>
      </c>
      <c r="T886" s="39">
        <v>0</v>
      </c>
      <c r="U886" s="39">
        <v>0</v>
      </c>
      <c r="V886" s="39">
        <v>0</v>
      </c>
      <c r="W886" s="39">
        <v>0</v>
      </c>
      <c r="X886" s="39">
        <v>0</v>
      </c>
      <c r="Y886" s="39">
        <v>0</v>
      </c>
      <c r="Z886" s="39">
        <v>0</v>
      </c>
      <c r="AA886" s="39">
        <v>0</v>
      </c>
      <c r="AB886" s="39">
        <v>0</v>
      </c>
      <c r="AC886" s="39">
        <v>0</v>
      </c>
      <c r="AD886" s="39">
        <v>2970</v>
      </c>
      <c r="AE886" s="39">
        <v>0</v>
      </c>
      <c r="AF886" s="39">
        <v>0</v>
      </c>
      <c r="AG886" s="39">
        <v>0</v>
      </c>
      <c r="AH886" s="39"/>
      <c r="AI886" s="39"/>
      <c r="AJ886" s="40"/>
      <c r="AK886" s="39">
        <f t="shared" si="70"/>
        <v>0</v>
      </c>
      <c r="AL886" s="39">
        <f t="shared" si="68"/>
        <v>247.5</v>
      </c>
      <c r="AM886" s="39">
        <f t="shared" si="69"/>
        <v>495</v>
      </c>
      <c r="AN886" s="39">
        <f t="shared" si="71"/>
        <v>297</v>
      </c>
      <c r="AO886" s="39">
        <f t="shared" si="72"/>
        <v>2970</v>
      </c>
    </row>
    <row r="887" spans="1:41" x14ac:dyDescent="0.3">
      <c r="A887" s="20">
        <v>1000184670</v>
      </c>
      <c r="B887" s="4" t="s">
        <v>147</v>
      </c>
      <c r="C887" s="21"/>
      <c r="D887" s="3"/>
      <c r="E887" s="20">
        <v>1000184757</v>
      </c>
      <c r="F887" s="4" t="s">
        <v>62</v>
      </c>
      <c r="G887" s="21">
        <v>1000189791</v>
      </c>
      <c r="H887" s="3" t="s">
        <v>78</v>
      </c>
      <c r="I887" s="21">
        <v>1000189270</v>
      </c>
      <c r="J887" s="3" t="s">
        <v>34</v>
      </c>
      <c r="K887" s="20" t="s">
        <v>21</v>
      </c>
      <c r="L887" s="39">
        <v>0</v>
      </c>
      <c r="M887" s="39">
        <v>0</v>
      </c>
      <c r="N887" s="39">
        <v>0</v>
      </c>
      <c r="O887" s="39">
        <v>0</v>
      </c>
      <c r="P887" s="39">
        <v>0</v>
      </c>
      <c r="Q887" s="39">
        <v>0</v>
      </c>
      <c r="R887" s="39">
        <v>0</v>
      </c>
      <c r="S887" s="39">
        <v>0</v>
      </c>
      <c r="T887" s="39">
        <v>0</v>
      </c>
      <c r="U887" s="39">
        <v>0</v>
      </c>
      <c r="V887" s="39">
        <v>0</v>
      </c>
      <c r="W887" s="39">
        <v>0</v>
      </c>
      <c r="X887" s="39">
        <v>0</v>
      </c>
      <c r="Y887" s="39">
        <v>0</v>
      </c>
      <c r="Z887" s="39">
        <v>0</v>
      </c>
      <c r="AA887" s="39">
        <v>0</v>
      </c>
      <c r="AB887" s="39">
        <v>0</v>
      </c>
      <c r="AC887" s="39">
        <v>0</v>
      </c>
      <c r="AD887" s="39">
        <v>117.18</v>
      </c>
      <c r="AE887" s="39">
        <v>0</v>
      </c>
      <c r="AF887" s="39">
        <v>0</v>
      </c>
      <c r="AG887" s="39">
        <v>0</v>
      </c>
      <c r="AH887" s="39"/>
      <c r="AI887" s="39"/>
      <c r="AJ887" s="40"/>
      <c r="AK887" s="39">
        <f t="shared" si="70"/>
        <v>0</v>
      </c>
      <c r="AL887" s="39">
        <f t="shared" si="68"/>
        <v>9.7650000000000006</v>
      </c>
      <c r="AM887" s="39">
        <f t="shared" si="69"/>
        <v>19.53</v>
      </c>
      <c r="AN887" s="39">
        <f t="shared" si="71"/>
        <v>11.718</v>
      </c>
      <c r="AO887" s="39">
        <f t="shared" si="72"/>
        <v>117.18</v>
      </c>
    </row>
    <row r="888" spans="1:41" x14ac:dyDescent="0.3">
      <c r="A888" s="20">
        <v>1000184670</v>
      </c>
      <c r="B888" s="4" t="s">
        <v>147</v>
      </c>
      <c r="C888" s="21"/>
      <c r="D888" s="3"/>
      <c r="E888" s="20">
        <v>1000184757</v>
      </c>
      <c r="F888" s="4" t="s">
        <v>62</v>
      </c>
      <c r="G888" s="19">
        <v>1000189791</v>
      </c>
      <c r="H888" s="3" t="s">
        <v>78</v>
      </c>
      <c r="I888" s="21">
        <v>1000189270</v>
      </c>
      <c r="J888" s="3" t="s">
        <v>34</v>
      </c>
      <c r="K888" s="20" t="s">
        <v>20</v>
      </c>
      <c r="L888" s="39">
        <v>0</v>
      </c>
      <c r="M888" s="39">
        <v>0</v>
      </c>
      <c r="N888" s="39">
        <v>0</v>
      </c>
      <c r="O888" s="39">
        <v>0</v>
      </c>
      <c r="P888" s="39">
        <v>0</v>
      </c>
      <c r="Q888" s="39">
        <v>0</v>
      </c>
      <c r="R888" s="39">
        <v>0</v>
      </c>
      <c r="S888" s="39">
        <v>0</v>
      </c>
      <c r="T888" s="39">
        <v>0</v>
      </c>
      <c r="U888" s="39">
        <v>0</v>
      </c>
      <c r="V888" s="39">
        <v>0</v>
      </c>
      <c r="W888" s="39">
        <v>0</v>
      </c>
      <c r="X888" s="39">
        <v>0</v>
      </c>
      <c r="Y888" s="39">
        <v>0</v>
      </c>
      <c r="Z888" s="39">
        <v>0</v>
      </c>
      <c r="AA888" s="39">
        <v>0</v>
      </c>
      <c r="AB888" s="39">
        <v>0</v>
      </c>
      <c r="AC888" s="39">
        <v>0</v>
      </c>
      <c r="AD888" s="39">
        <v>146.26</v>
      </c>
      <c r="AE888" s="39">
        <v>0</v>
      </c>
      <c r="AF888" s="39">
        <v>0</v>
      </c>
      <c r="AG888" s="39">
        <v>0</v>
      </c>
      <c r="AH888" s="39"/>
      <c r="AI888" s="39"/>
      <c r="AJ888" s="40"/>
      <c r="AK888" s="39">
        <f t="shared" si="70"/>
        <v>0</v>
      </c>
      <c r="AL888" s="39">
        <f t="shared" si="68"/>
        <v>12.188333333333333</v>
      </c>
      <c r="AM888" s="39">
        <f t="shared" si="69"/>
        <v>24.376666666666665</v>
      </c>
      <c r="AN888" s="39">
        <f t="shared" si="71"/>
        <v>14.625999999999999</v>
      </c>
      <c r="AO888" s="39">
        <f t="shared" si="72"/>
        <v>146.26</v>
      </c>
    </row>
    <row r="889" spans="1:41" x14ac:dyDescent="0.3">
      <c r="A889" s="20">
        <v>1000184670</v>
      </c>
      <c r="B889" s="4" t="s">
        <v>147</v>
      </c>
      <c r="C889" s="21"/>
      <c r="D889" s="3"/>
      <c r="E889" s="20">
        <v>1000184757</v>
      </c>
      <c r="F889" s="4" t="s">
        <v>62</v>
      </c>
      <c r="G889" s="19">
        <v>1000189791</v>
      </c>
      <c r="H889" s="3" t="s">
        <v>78</v>
      </c>
      <c r="I889" s="21">
        <v>1000189270</v>
      </c>
      <c r="J889" s="3" t="s">
        <v>34</v>
      </c>
      <c r="K889" s="20" t="s">
        <v>22</v>
      </c>
      <c r="L889" s="39">
        <v>0</v>
      </c>
      <c r="M889" s="39">
        <v>0</v>
      </c>
      <c r="N889" s="39">
        <v>0</v>
      </c>
      <c r="O889" s="39">
        <v>0</v>
      </c>
      <c r="P889" s="39">
        <v>0</v>
      </c>
      <c r="Q889" s="39">
        <v>0</v>
      </c>
      <c r="R889" s="39">
        <v>0</v>
      </c>
      <c r="S889" s="39">
        <v>0</v>
      </c>
      <c r="T889" s="39">
        <v>0</v>
      </c>
      <c r="U889" s="39">
        <v>0</v>
      </c>
      <c r="V889" s="39">
        <v>0</v>
      </c>
      <c r="W889" s="39">
        <v>0</v>
      </c>
      <c r="X889" s="39">
        <v>0</v>
      </c>
      <c r="Y889" s="39">
        <v>0</v>
      </c>
      <c r="Z889" s="39">
        <v>0</v>
      </c>
      <c r="AA889" s="39">
        <v>0</v>
      </c>
      <c r="AB889" s="39">
        <v>0</v>
      </c>
      <c r="AC889" s="39">
        <v>0</v>
      </c>
      <c r="AD889" s="39">
        <v>646.79</v>
      </c>
      <c r="AE889" s="39">
        <v>0</v>
      </c>
      <c r="AF889" s="39">
        <v>0</v>
      </c>
      <c r="AG889" s="39">
        <v>0</v>
      </c>
      <c r="AH889" s="39"/>
      <c r="AI889" s="39"/>
      <c r="AJ889" s="40"/>
      <c r="AK889" s="39">
        <f t="shared" si="70"/>
        <v>0</v>
      </c>
      <c r="AL889" s="39">
        <f t="shared" si="68"/>
        <v>53.899166666666666</v>
      </c>
      <c r="AM889" s="39">
        <f t="shared" si="69"/>
        <v>107.79833333333333</v>
      </c>
      <c r="AN889" s="39">
        <f t="shared" si="71"/>
        <v>64.679000000000002</v>
      </c>
      <c r="AO889" s="39">
        <f t="shared" si="72"/>
        <v>646.79</v>
      </c>
    </row>
    <row r="890" spans="1:41" x14ac:dyDescent="0.3">
      <c r="A890" s="20">
        <v>1000184670</v>
      </c>
      <c r="B890" s="4" t="s">
        <v>147</v>
      </c>
      <c r="C890" s="21"/>
      <c r="D890" s="3"/>
      <c r="E890" s="20">
        <v>1000184757</v>
      </c>
      <c r="F890" s="4" t="s">
        <v>62</v>
      </c>
      <c r="G890" s="19">
        <v>1000189791</v>
      </c>
      <c r="H890" s="3" t="s">
        <v>78</v>
      </c>
      <c r="I890" s="21">
        <v>1000189270</v>
      </c>
      <c r="J890" s="3" t="s">
        <v>34</v>
      </c>
      <c r="K890" s="20" t="s">
        <v>23</v>
      </c>
      <c r="L890" s="39">
        <v>0</v>
      </c>
      <c r="M890" s="39">
        <v>0</v>
      </c>
      <c r="N890" s="39">
        <v>0</v>
      </c>
      <c r="O890" s="39">
        <v>0</v>
      </c>
      <c r="P890" s="39">
        <v>0</v>
      </c>
      <c r="Q890" s="39">
        <v>0</v>
      </c>
      <c r="R890" s="39">
        <v>0</v>
      </c>
      <c r="S890" s="39">
        <v>0</v>
      </c>
      <c r="T890" s="39">
        <v>0</v>
      </c>
      <c r="U890" s="39">
        <v>0</v>
      </c>
      <c r="V890" s="39">
        <v>0</v>
      </c>
      <c r="W890" s="39">
        <v>0</v>
      </c>
      <c r="X890" s="39">
        <v>0</v>
      </c>
      <c r="Y890" s="39">
        <v>0</v>
      </c>
      <c r="Z890" s="39">
        <v>0</v>
      </c>
      <c r="AA890" s="39">
        <v>0</v>
      </c>
      <c r="AB890" s="39">
        <v>0</v>
      </c>
      <c r="AC890" s="39">
        <v>0</v>
      </c>
      <c r="AD890" s="39">
        <v>55.4</v>
      </c>
      <c r="AE890" s="39">
        <v>0</v>
      </c>
      <c r="AF890" s="39">
        <v>0</v>
      </c>
      <c r="AG890" s="39">
        <v>0</v>
      </c>
      <c r="AH890" s="39"/>
      <c r="AI890" s="39"/>
      <c r="AJ890" s="40"/>
      <c r="AK890" s="39">
        <f t="shared" si="70"/>
        <v>0</v>
      </c>
      <c r="AL890" s="39">
        <f t="shared" si="68"/>
        <v>4.6166666666666663</v>
      </c>
      <c r="AM890" s="39">
        <f t="shared" si="69"/>
        <v>9.2333333333333325</v>
      </c>
      <c r="AN890" s="39">
        <f t="shared" si="71"/>
        <v>5.54</v>
      </c>
      <c r="AO890" s="39">
        <f t="shared" si="72"/>
        <v>55.4</v>
      </c>
    </row>
    <row r="891" spans="1:41" x14ac:dyDescent="0.3">
      <c r="A891" s="20">
        <v>1000184670</v>
      </c>
      <c r="B891" s="4" t="s">
        <v>147</v>
      </c>
      <c r="C891" s="21"/>
      <c r="D891" s="3"/>
      <c r="E891" s="20">
        <v>1000184757</v>
      </c>
      <c r="F891" s="4" t="s">
        <v>62</v>
      </c>
      <c r="G891" s="19">
        <v>1000189791</v>
      </c>
      <c r="H891" s="3" t="s">
        <v>78</v>
      </c>
      <c r="I891" s="21">
        <v>1000189270</v>
      </c>
      <c r="J891" s="3" t="s">
        <v>34</v>
      </c>
      <c r="K891" s="20" t="s">
        <v>28</v>
      </c>
      <c r="L891" s="39">
        <v>0</v>
      </c>
      <c r="M891" s="39">
        <v>0</v>
      </c>
      <c r="N891" s="39">
        <v>0</v>
      </c>
      <c r="O891" s="39">
        <v>0</v>
      </c>
      <c r="P891" s="39">
        <v>0</v>
      </c>
      <c r="Q891" s="39">
        <v>0</v>
      </c>
      <c r="R891" s="39">
        <v>0</v>
      </c>
      <c r="S891" s="39">
        <v>0</v>
      </c>
      <c r="T891" s="39">
        <v>0</v>
      </c>
      <c r="U891" s="39">
        <v>0</v>
      </c>
      <c r="V891" s="39">
        <v>0</v>
      </c>
      <c r="W891" s="39">
        <v>0</v>
      </c>
      <c r="X891" s="39">
        <v>0</v>
      </c>
      <c r="Y891" s="39">
        <v>0</v>
      </c>
      <c r="Z891" s="39">
        <v>0</v>
      </c>
      <c r="AA891" s="39">
        <v>0</v>
      </c>
      <c r="AB891" s="39">
        <v>0</v>
      </c>
      <c r="AC891" s="39">
        <v>0</v>
      </c>
      <c r="AD891" s="39">
        <v>0</v>
      </c>
      <c r="AE891" s="39">
        <v>0</v>
      </c>
      <c r="AF891" s="39">
        <v>0</v>
      </c>
      <c r="AG891" s="39">
        <v>0</v>
      </c>
      <c r="AH891" s="39"/>
      <c r="AI891" s="39"/>
      <c r="AJ891" s="40"/>
      <c r="AK891" s="39">
        <f t="shared" si="70"/>
        <v>0</v>
      </c>
      <c r="AL891" s="39">
        <f t="shared" si="68"/>
        <v>0</v>
      </c>
      <c r="AM891" s="39">
        <f t="shared" si="69"/>
        <v>0</v>
      </c>
      <c r="AN891" s="39">
        <f t="shared" si="71"/>
        <v>0</v>
      </c>
      <c r="AO891" s="39">
        <f t="shared" si="72"/>
        <v>0</v>
      </c>
    </row>
    <row r="892" spans="1:41" x14ac:dyDescent="0.3">
      <c r="A892" s="20">
        <v>1000184670</v>
      </c>
      <c r="B892" s="4" t="s">
        <v>147</v>
      </c>
      <c r="C892" s="21"/>
      <c r="D892" s="3"/>
      <c r="E892" s="20">
        <v>1000184757</v>
      </c>
      <c r="F892" s="4" t="s">
        <v>62</v>
      </c>
      <c r="G892" s="19">
        <v>1000189791</v>
      </c>
      <c r="H892" s="3" t="s">
        <v>78</v>
      </c>
      <c r="I892" s="21">
        <v>1000189270</v>
      </c>
      <c r="J892" s="3" t="s">
        <v>34</v>
      </c>
      <c r="K892" s="20" t="s">
        <v>26</v>
      </c>
      <c r="L892" s="39">
        <v>0</v>
      </c>
      <c r="M892" s="39">
        <v>0</v>
      </c>
      <c r="N892" s="39">
        <v>0</v>
      </c>
      <c r="O892" s="39">
        <v>0</v>
      </c>
      <c r="P892" s="39">
        <v>0</v>
      </c>
      <c r="Q892" s="39">
        <v>0</v>
      </c>
      <c r="R892" s="39">
        <v>0</v>
      </c>
      <c r="S892" s="39">
        <v>0</v>
      </c>
      <c r="T892" s="39">
        <v>0</v>
      </c>
      <c r="U892" s="39">
        <v>0</v>
      </c>
      <c r="V892" s="39">
        <v>0</v>
      </c>
      <c r="W892" s="39">
        <v>0</v>
      </c>
      <c r="X892" s="39">
        <v>0</v>
      </c>
      <c r="Y892" s="39">
        <v>0</v>
      </c>
      <c r="Z892" s="39">
        <v>0</v>
      </c>
      <c r="AA892" s="39">
        <v>0</v>
      </c>
      <c r="AB892" s="39">
        <v>0</v>
      </c>
      <c r="AC892" s="39">
        <v>0</v>
      </c>
      <c r="AD892" s="39">
        <v>0</v>
      </c>
      <c r="AE892" s="39">
        <v>0</v>
      </c>
      <c r="AF892" s="39">
        <v>0</v>
      </c>
      <c r="AG892" s="39">
        <v>0</v>
      </c>
      <c r="AH892" s="39"/>
      <c r="AI892" s="39"/>
      <c r="AJ892" s="40"/>
      <c r="AK892" s="39">
        <f t="shared" si="70"/>
        <v>0</v>
      </c>
      <c r="AL892" s="39">
        <f t="shared" si="68"/>
        <v>0</v>
      </c>
      <c r="AM892" s="39">
        <f t="shared" si="69"/>
        <v>0</v>
      </c>
      <c r="AN892" s="39">
        <f t="shared" si="71"/>
        <v>0</v>
      </c>
      <c r="AO892" s="39">
        <f t="shared" si="72"/>
        <v>0</v>
      </c>
    </row>
    <row r="893" spans="1:41" x14ac:dyDescent="0.3">
      <c r="A893" s="20">
        <v>1000184670</v>
      </c>
      <c r="B893" s="4" t="s">
        <v>147</v>
      </c>
      <c r="C893" s="21"/>
      <c r="D893" s="3"/>
      <c r="E893" s="20">
        <v>1000184757</v>
      </c>
      <c r="F893" s="4" t="s">
        <v>62</v>
      </c>
      <c r="G893" s="19">
        <v>1000189791</v>
      </c>
      <c r="H893" s="3" t="s">
        <v>78</v>
      </c>
      <c r="I893" s="21">
        <v>1000189270</v>
      </c>
      <c r="J893" s="3" t="s">
        <v>34</v>
      </c>
      <c r="K893" s="20" t="s">
        <v>27</v>
      </c>
      <c r="L893" s="39">
        <v>0</v>
      </c>
      <c r="M893" s="39">
        <v>0</v>
      </c>
      <c r="N893" s="39">
        <v>0</v>
      </c>
      <c r="O893" s="39">
        <v>0</v>
      </c>
      <c r="P893" s="39">
        <v>0</v>
      </c>
      <c r="Q893" s="39">
        <v>0</v>
      </c>
      <c r="R893" s="39">
        <v>0</v>
      </c>
      <c r="S893" s="39">
        <v>0</v>
      </c>
      <c r="T893" s="39">
        <v>0</v>
      </c>
      <c r="U893" s="39">
        <v>0</v>
      </c>
      <c r="V893" s="39">
        <v>0</v>
      </c>
      <c r="W893" s="39">
        <v>0</v>
      </c>
      <c r="X893" s="39">
        <v>0</v>
      </c>
      <c r="Y893" s="39">
        <v>0</v>
      </c>
      <c r="Z893" s="39">
        <v>0</v>
      </c>
      <c r="AA893" s="39">
        <v>0</v>
      </c>
      <c r="AB893" s="39">
        <v>0</v>
      </c>
      <c r="AC893" s="39">
        <v>0</v>
      </c>
      <c r="AD893" s="39">
        <v>416.91</v>
      </c>
      <c r="AE893" s="39">
        <v>0</v>
      </c>
      <c r="AF893" s="39">
        <v>0</v>
      </c>
      <c r="AG893" s="39">
        <v>0</v>
      </c>
      <c r="AH893" s="39"/>
      <c r="AI893" s="39"/>
      <c r="AJ893" s="40"/>
      <c r="AK893" s="39">
        <f t="shared" si="70"/>
        <v>0</v>
      </c>
      <c r="AL893" s="39">
        <f t="shared" si="68"/>
        <v>34.7425</v>
      </c>
      <c r="AM893" s="39">
        <f t="shared" si="69"/>
        <v>69.484999999999999</v>
      </c>
      <c r="AN893" s="39">
        <f t="shared" si="71"/>
        <v>41.691000000000003</v>
      </c>
      <c r="AO893" s="39">
        <f t="shared" si="72"/>
        <v>416.91</v>
      </c>
    </row>
    <row r="894" spans="1:41" x14ac:dyDescent="0.3">
      <c r="A894" s="20">
        <v>1000184670</v>
      </c>
      <c r="B894" s="4" t="s">
        <v>147</v>
      </c>
      <c r="C894" s="21"/>
      <c r="D894" s="3"/>
      <c r="E894" s="20">
        <v>1000184757</v>
      </c>
      <c r="F894" s="4" t="s">
        <v>62</v>
      </c>
      <c r="G894" s="19">
        <v>1000189791</v>
      </c>
      <c r="H894" s="3" t="s">
        <v>78</v>
      </c>
      <c r="I894" s="21">
        <v>1000189270</v>
      </c>
      <c r="J894" s="3" t="s">
        <v>34</v>
      </c>
      <c r="K894" s="20" t="s">
        <v>25</v>
      </c>
      <c r="L894" s="39">
        <v>0</v>
      </c>
      <c r="M894" s="39">
        <v>0</v>
      </c>
      <c r="N894" s="39">
        <v>0</v>
      </c>
      <c r="O894" s="39">
        <v>0</v>
      </c>
      <c r="P894" s="39">
        <v>0</v>
      </c>
      <c r="Q894" s="39">
        <v>0</v>
      </c>
      <c r="R894" s="39">
        <v>0</v>
      </c>
      <c r="S894" s="39">
        <v>0</v>
      </c>
      <c r="T894" s="39">
        <v>0</v>
      </c>
      <c r="U894" s="39">
        <v>0</v>
      </c>
      <c r="V894" s="39">
        <v>0</v>
      </c>
      <c r="W894" s="39">
        <v>0</v>
      </c>
      <c r="X894" s="39">
        <v>0</v>
      </c>
      <c r="Y894" s="39">
        <v>0</v>
      </c>
      <c r="Z894" s="39">
        <v>0</v>
      </c>
      <c r="AA894" s="39">
        <v>0</v>
      </c>
      <c r="AB894" s="39">
        <v>0</v>
      </c>
      <c r="AC894" s="39">
        <v>0</v>
      </c>
      <c r="AD894" s="39">
        <v>0</v>
      </c>
      <c r="AE894" s="39">
        <v>0</v>
      </c>
      <c r="AF894" s="39">
        <v>0</v>
      </c>
      <c r="AG894" s="39">
        <v>0</v>
      </c>
      <c r="AH894" s="39"/>
      <c r="AI894" s="39"/>
      <c r="AJ894" s="40"/>
      <c r="AK894" s="39">
        <f t="shared" si="70"/>
        <v>0</v>
      </c>
      <c r="AL894" s="39">
        <f t="shared" si="68"/>
        <v>0</v>
      </c>
      <c r="AM894" s="39">
        <f t="shared" si="69"/>
        <v>0</v>
      </c>
      <c r="AN894" s="39">
        <f t="shared" si="71"/>
        <v>0</v>
      </c>
      <c r="AO894" s="39">
        <f t="shared" si="72"/>
        <v>0</v>
      </c>
    </row>
    <row r="895" spans="1:41" x14ac:dyDescent="0.3">
      <c r="A895" s="20">
        <v>1000184670</v>
      </c>
      <c r="B895" s="4" t="s">
        <v>147</v>
      </c>
      <c r="C895" s="21"/>
      <c r="D895" s="3"/>
      <c r="E895" s="20">
        <v>1000185288</v>
      </c>
      <c r="F895" s="4" t="s">
        <v>64</v>
      </c>
      <c r="G895" s="21">
        <v>1000189792</v>
      </c>
      <c r="H895" s="3" t="s">
        <v>116</v>
      </c>
      <c r="I895" s="21">
        <v>1000189270</v>
      </c>
      <c r="J895" s="3" t="s">
        <v>34</v>
      </c>
      <c r="K895" s="20" t="s">
        <v>124</v>
      </c>
      <c r="L895" s="39">
        <v>0</v>
      </c>
      <c r="M895" s="39">
        <v>0</v>
      </c>
      <c r="N895" s="39">
        <v>0</v>
      </c>
      <c r="O895" s="39">
        <v>0</v>
      </c>
      <c r="P895" s="39">
        <v>0</v>
      </c>
      <c r="Q895" s="39">
        <v>0</v>
      </c>
      <c r="R895" s="39">
        <v>0</v>
      </c>
      <c r="S895" s="39">
        <v>0</v>
      </c>
      <c r="T895" s="39">
        <v>0</v>
      </c>
      <c r="U895" s="39">
        <v>0</v>
      </c>
      <c r="V895" s="39">
        <v>0</v>
      </c>
      <c r="W895" s="39">
        <v>0</v>
      </c>
      <c r="X895" s="39">
        <v>0</v>
      </c>
      <c r="Y895" s="39">
        <v>0</v>
      </c>
      <c r="Z895" s="39">
        <v>0</v>
      </c>
      <c r="AA895" s="39">
        <v>0</v>
      </c>
      <c r="AB895" s="39">
        <v>0</v>
      </c>
      <c r="AC895" s="39">
        <v>0</v>
      </c>
      <c r="AD895" s="39">
        <v>0</v>
      </c>
      <c r="AE895" s="39">
        <v>0</v>
      </c>
      <c r="AF895" s="39">
        <v>0</v>
      </c>
      <c r="AG895" s="39">
        <v>0</v>
      </c>
      <c r="AH895" s="39"/>
      <c r="AI895" s="39"/>
      <c r="AJ895" s="40"/>
      <c r="AK895" s="39">
        <f t="shared" si="70"/>
        <v>0</v>
      </c>
      <c r="AL895" s="39">
        <f t="shared" si="68"/>
        <v>0</v>
      </c>
      <c r="AM895" s="39">
        <f t="shared" si="69"/>
        <v>0</v>
      </c>
      <c r="AN895" s="39">
        <f t="shared" si="71"/>
        <v>0</v>
      </c>
      <c r="AO895" s="39">
        <f t="shared" si="72"/>
        <v>0</v>
      </c>
    </row>
    <row r="896" spans="1:41" x14ac:dyDescent="0.3">
      <c r="A896" s="20">
        <v>1000184670</v>
      </c>
      <c r="B896" s="4" t="s">
        <v>147</v>
      </c>
      <c r="C896" s="21"/>
      <c r="D896" s="3"/>
      <c r="E896" s="20">
        <v>1000185288</v>
      </c>
      <c r="F896" s="4" t="s">
        <v>64</v>
      </c>
      <c r="G896" s="21">
        <v>1000189792</v>
      </c>
      <c r="H896" s="3" t="s">
        <v>116</v>
      </c>
      <c r="I896" s="21">
        <v>1000189270</v>
      </c>
      <c r="J896" s="3" t="s">
        <v>34</v>
      </c>
      <c r="K896" s="20" t="s">
        <v>13</v>
      </c>
      <c r="L896" s="39">
        <v>0</v>
      </c>
      <c r="M896" s="39">
        <v>0</v>
      </c>
      <c r="N896" s="39">
        <v>0</v>
      </c>
      <c r="O896" s="39">
        <v>0</v>
      </c>
      <c r="P896" s="39">
        <v>0</v>
      </c>
      <c r="Q896" s="39">
        <v>0</v>
      </c>
      <c r="R896" s="39">
        <v>0</v>
      </c>
      <c r="S896" s="39">
        <v>0</v>
      </c>
      <c r="T896" s="39">
        <v>0</v>
      </c>
      <c r="U896" s="39">
        <v>0</v>
      </c>
      <c r="V896" s="39">
        <v>0</v>
      </c>
      <c r="W896" s="39">
        <v>0</v>
      </c>
      <c r="X896" s="39">
        <v>0</v>
      </c>
      <c r="Y896" s="39">
        <v>0</v>
      </c>
      <c r="Z896" s="39">
        <v>0</v>
      </c>
      <c r="AA896" s="39">
        <v>0</v>
      </c>
      <c r="AB896" s="39">
        <v>0</v>
      </c>
      <c r="AC896" s="39">
        <v>0</v>
      </c>
      <c r="AD896" s="39">
        <v>0</v>
      </c>
      <c r="AE896" s="39">
        <v>0</v>
      </c>
      <c r="AF896" s="39">
        <v>22.16</v>
      </c>
      <c r="AG896" s="39">
        <v>0</v>
      </c>
      <c r="AH896" s="39"/>
      <c r="AI896" s="39"/>
      <c r="AJ896" s="40"/>
      <c r="AK896" s="39">
        <f t="shared" si="70"/>
        <v>0</v>
      </c>
      <c r="AL896" s="39">
        <f t="shared" si="68"/>
        <v>1.8466666666666667</v>
      </c>
      <c r="AM896" s="39">
        <f t="shared" si="69"/>
        <v>3.6933333333333334</v>
      </c>
      <c r="AN896" s="39">
        <f t="shared" si="71"/>
        <v>2.2160000000000002</v>
      </c>
      <c r="AO896" s="39">
        <f t="shared" si="72"/>
        <v>22.16</v>
      </c>
    </row>
    <row r="897" spans="1:41" x14ac:dyDescent="0.3">
      <c r="A897" s="20">
        <v>1000184670</v>
      </c>
      <c r="B897" s="4" t="s">
        <v>147</v>
      </c>
      <c r="C897" s="21"/>
      <c r="D897" s="3"/>
      <c r="E897" s="20">
        <v>1000185288</v>
      </c>
      <c r="F897" s="4" t="s">
        <v>64</v>
      </c>
      <c r="G897" s="21">
        <v>1000189792</v>
      </c>
      <c r="H897" s="3" t="s">
        <v>116</v>
      </c>
      <c r="I897" s="21">
        <v>1000189270</v>
      </c>
      <c r="J897" s="3" t="s">
        <v>34</v>
      </c>
      <c r="K897" s="20" t="s">
        <v>14</v>
      </c>
      <c r="L897" s="39">
        <v>0</v>
      </c>
      <c r="M897" s="39">
        <v>0</v>
      </c>
      <c r="N897" s="39">
        <v>0</v>
      </c>
      <c r="O897" s="39">
        <v>0</v>
      </c>
      <c r="P897" s="39">
        <v>0</v>
      </c>
      <c r="Q897" s="39">
        <v>0</v>
      </c>
      <c r="R897" s="39">
        <v>0</v>
      </c>
      <c r="S897" s="39">
        <v>0</v>
      </c>
      <c r="T897" s="39">
        <v>0</v>
      </c>
      <c r="U897" s="39">
        <v>0</v>
      </c>
      <c r="V897" s="39">
        <v>0</v>
      </c>
      <c r="W897" s="39">
        <v>0</v>
      </c>
      <c r="X897" s="39">
        <v>0</v>
      </c>
      <c r="Y897" s="39">
        <v>0</v>
      </c>
      <c r="Z897" s="39">
        <v>0</v>
      </c>
      <c r="AA897" s="39">
        <v>0</v>
      </c>
      <c r="AB897" s="39">
        <v>0</v>
      </c>
      <c r="AC897" s="39">
        <v>0</v>
      </c>
      <c r="AD897" s="39">
        <v>0</v>
      </c>
      <c r="AE897" s="39">
        <v>0</v>
      </c>
      <c r="AF897" s="39">
        <v>0</v>
      </c>
      <c r="AG897" s="39">
        <v>0</v>
      </c>
      <c r="AH897" s="39"/>
      <c r="AI897" s="39"/>
      <c r="AJ897" s="40"/>
      <c r="AK897" s="39">
        <f t="shared" si="70"/>
        <v>0</v>
      </c>
      <c r="AL897" s="39">
        <f t="shared" si="68"/>
        <v>0</v>
      </c>
      <c r="AM897" s="39">
        <f t="shared" si="69"/>
        <v>0</v>
      </c>
      <c r="AN897" s="39">
        <f t="shared" si="71"/>
        <v>0</v>
      </c>
      <c r="AO897" s="39">
        <f t="shared" si="72"/>
        <v>0</v>
      </c>
    </row>
    <row r="898" spans="1:41" x14ac:dyDescent="0.3">
      <c r="A898" s="20">
        <v>1000184670</v>
      </c>
      <c r="B898" s="4" t="s">
        <v>147</v>
      </c>
      <c r="C898" s="21"/>
      <c r="D898" s="3"/>
      <c r="E898" s="20">
        <v>1000185288</v>
      </c>
      <c r="F898" s="4" t="s">
        <v>64</v>
      </c>
      <c r="G898" s="21">
        <v>1000189792</v>
      </c>
      <c r="H898" s="3" t="s">
        <v>116</v>
      </c>
      <c r="I898" s="21">
        <v>1000189270</v>
      </c>
      <c r="J898" s="3" t="s">
        <v>34</v>
      </c>
      <c r="K898" s="20" t="s">
        <v>16</v>
      </c>
      <c r="L898" s="39">
        <v>0</v>
      </c>
      <c r="M898" s="39">
        <v>0</v>
      </c>
      <c r="N898" s="39">
        <v>0</v>
      </c>
      <c r="O898" s="39">
        <v>0</v>
      </c>
      <c r="P898" s="39">
        <v>0</v>
      </c>
      <c r="Q898" s="39">
        <v>0</v>
      </c>
      <c r="R898" s="39">
        <v>0</v>
      </c>
      <c r="S898" s="39">
        <v>0</v>
      </c>
      <c r="T898" s="39">
        <v>0</v>
      </c>
      <c r="U898" s="39">
        <v>0</v>
      </c>
      <c r="V898" s="39">
        <v>0</v>
      </c>
      <c r="W898" s="39">
        <v>0</v>
      </c>
      <c r="X898" s="39">
        <v>0</v>
      </c>
      <c r="Y898" s="39">
        <v>0</v>
      </c>
      <c r="Z898" s="39">
        <v>0</v>
      </c>
      <c r="AA898" s="39">
        <v>0</v>
      </c>
      <c r="AB898" s="39">
        <v>0</v>
      </c>
      <c r="AC898" s="39">
        <v>0</v>
      </c>
      <c r="AD898" s="39">
        <v>0</v>
      </c>
      <c r="AE898" s="39">
        <v>0</v>
      </c>
      <c r="AF898" s="39">
        <v>0</v>
      </c>
      <c r="AG898" s="39">
        <v>0</v>
      </c>
      <c r="AH898" s="39"/>
      <c r="AI898" s="39"/>
      <c r="AJ898" s="40"/>
      <c r="AK898" s="39">
        <f t="shared" si="70"/>
        <v>0</v>
      </c>
      <c r="AL898" s="39">
        <f t="shared" si="68"/>
        <v>0</v>
      </c>
      <c r="AM898" s="39">
        <f t="shared" si="69"/>
        <v>0</v>
      </c>
      <c r="AN898" s="39">
        <f t="shared" si="71"/>
        <v>0</v>
      </c>
      <c r="AO898" s="39">
        <f t="shared" si="72"/>
        <v>0</v>
      </c>
    </row>
    <row r="899" spans="1:41" x14ac:dyDescent="0.3">
      <c r="A899" s="20">
        <v>1000184670</v>
      </c>
      <c r="B899" s="4" t="s">
        <v>147</v>
      </c>
      <c r="C899" s="21"/>
      <c r="D899" s="3"/>
      <c r="E899" s="20">
        <v>1000185288</v>
      </c>
      <c r="F899" s="4" t="s">
        <v>64</v>
      </c>
      <c r="G899" s="21">
        <v>1000189792</v>
      </c>
      <c r="H899" s="3" t="s">
        <v>116</v>
      </c>
      <c r="I899" s="21">
        <v>1000189270</v>
      </c>
      <c r="J899" s="3" t="s">
        <v>34</v>
      </c>
      <c r="K899" s="20" t="s">
        <v>15</v>
      </c>
      <c r="L899" s="39">
        <v>0</v>
      </c>
      <c r="M899" s="39">
        <v>0</v>
      </c>
      <c r="N899" s="39">
        <v>0</v>
      </c>
      <c r="O899" s="39">
        <v>0</v>
      </c>
      <c r="P899" s="39">
        <v>0</v>
      </c>
      <c r="Q899" s="39">
        <v>0</v>
      </c>
      <c r="R899" s="39">
        <v>0</v>
      </c>
      <c r="S899" s="39">
        <v>0</v>
      </c>
      <c r="T899" s="39">
        <v>0</v>
      </c>
      <c r="U899" s="39">
        <v>0</v>
      </c>
      <c r="V899" s="39">
        <v>0</v>
      </c>
      <c r="W899" s="39">
        <v>0</v>
      </c>
      <c r="X899" s="39">
        <v>0</v>
      </c>
      <c r="Y899" s="39">
        <v>0</v>
      </c>
      <c r="Z899" s="39">
        <v>0</v>
      </c>
      <c r="AA899" s="39">
        <v>0</v>
      </c>
      <c r="AB899" s="39">
        <v>0</v>
      </c>
      <c r="AC899" s="39">
        <v>0</v>
      </c>
      <c r="AD899" s="39">
        <v>0</v>
      </c>
      <c r="AE899" s="39">
        <v>0</v>
      </c>
      <c r="AF899" s="39">
        <v>0</v>
      </c>
      <c r="AG899" s="39">
        <v>0</v>
      </c>
      <c r="AH899" s="39"/>
      <c r="AI899" s="39"/>
      <c r="AJ899" s="40"/>
      <c r="AK899" s="39">
        <f t="shared" si="70"/>
        <v>0</v>
      </c>
      <c r="AL899" s="39">
        <f t="shared" ref="AL899:AL962" si="73">AVERAGE(V899:AG899)</f>
        <v>0</v>
      </c>
      <c r="AM899" s="39">
        <f t="shared" ref="AM899:AM962" si="74">AVERAGE(AB899:AG899)</f>
        <v>0</v>
      </c>
      <c r="AN899" s="39">
        <f t="shared" si="71"/>
        <v>0</v>
      </c>
      <c r="AO899" s="39">
        <f t="shared" si="72"/>
        <v>0</v>
      </c>
    </row>
    <row r="900" spans="1:41" x14ac:dyDescent="0.3">
      <c r="A900" s="20">
        <v>1000184670</v>
      </c>
      <c r="B900" s="4" t="s">
        <v>147</v>
      </c>
      <c r="C900" s="21"/>
      <c r="D900" s="3"/>
      <c r="E900" s="20">
        <v>1000185288</v>
      </c>
      <c r="F900" s="4" t="s">
        <v>64</v>
      </c>
      <c r="G900" s="21">
        <v>1000189792</v>
      </c>
      <c r="H900" s="3" t="s">
        <v>116</v>
      </c>
      <c r="I900" s="21">
        <v>1000189270</v>
      </c>
      <c r="J900" s="3" t="s">
        <v>34</v>
      </c>
      <c r="K900" s="20" t="s">
        <v>33</v>
      </c>
      <c r="L900" s="39">
        <v>0</v>
      </c>
      <c r="M900" s="39">
        <v>0</v>
      </c>
      <c r="N900" s="39">
        <v>0</v>
      </c>
      <c r="O900" s="39">
        <v>0</v>
      </c>
      <c r="P900" s="39">
        <v>0</v>
      </c>
      <c r="Q900" s="39">
        <v>0</v>
      </c>
      <c r="R900" s="39">
        <v>0</v>
      </c>
      <c r="S900" s="39">
        <v>0</v>
      </c>
      <c r="T900" s="39">
        <v>0</v>
      </c>
      <c r="U900" s="39">
        <v>0</v>
      </c>
      <c r="V900" s="39">
        <v>0</v>
      </c>
      <c r="W900" s="39">
        <v>0</v>
      </c>
      <c r="X900" s="39">
        <v>0</v>
      </c>
      <c r="Y900" s="39">
        <v>0</v>
      </c>
      <c r="Z900" s="39">
        <v>0</v>
      </c>
      <c r="AA900" s="39">
        <v>0</v>
      </c>
      <c r="AB900" s="39">
        <v>0</v>
      </c>
      <c r="AC900" s="39">
        <v>0</v>
      </c>
      <c r="AD900" s="39">
        <v>0</v>
      </c>
      <c r="AE900" s="39">
        <v>0</v>
      </c>
      <c r="AF900" s="39">
        <v>0</v>
      </c>
      <c r="AG900" s="39">
        <v>0</v>
      </c>
      <c r="AH900" s="39"/>
      <c r="AI900" s="39"/>
      <c r="AJ900" s="40"/>
      <c r="AK900" s="39">
        <f t="shared" si="70"/>
        <v>0</v>
      </c>
      <c r="AL900" s="39">
        <f t="shared" si="73"/>
        <v>0</v>
      </c>
      <c r="AM900" s="39">
        <f t="shared" si="74"/>
        <v>0</v>
      </c>
      <c r="AN900" s="39">
        <f t="shared" si="71"/>
        <v>0</v>
      </c>
      <c r="AO900" s="39">
        <f t="shared" si="72"/>
        <v>0</v>
      </c>
    </row>
    <row r="901" spans="1:41" x14ac:dyDescent="0.3">
      <c r="A901" s="20">
        <v>1000184670</v>
      </c>
      <c r="B901" s="4" t="s">
        <v>147</v>
      </c>
      <c r="C901" s="21"/>
      <c r="D901" s="3"/>
      <c r="E901" s="20">
        <v>1000185288</v>
      </c>
      <c r="F901" s="4" t="s">
        <v>64</v>
      </c>
      <c r="G901" s="21">
        <v>1000189792</v>
      </c>
      <c r="H901" s="3" t="s">
        <v>116</v>
      </c>
      <c r="I901" s="21">
        <v>1000189270</v>
      </c>
      <c r="J901" s="3" t="s">
        <v>34</v>
      </c>
      <c r="K901" s="20" t="s">
        <v>19</v>
      </c>
      <c r="L901" s="39">
        <v>0</v>
      </c>
      <c r="M901" s="39">
        <v>0</v>
      </c>
      <c r="N901" s="39">
        <v>0</v>
      </c>
      <c r="O901" s="39">
        <v>0</v>
      </c>
      <c r="P901" s="39">
        <v>0</v>
      </c>
      <c r="Q901" s="39">
        <v>0</v>
      </c>
      <c r="R901" s="39">
        <v>0</v>
      </c>
      <c r="S901" s="39">
        <v>0</v>
      </c>
      <c r="T901" s="39">
        <v>0</v>
      </c>
      <c r="U901" s="39">
        <v>0</v>
      </c>
      <c r="V901" s="39">
        <v>0</v>
      </c>
      <c r="W901" s="39">
        <v>0</v>
      </c>
      <c r="X901" s="39">
        <v>0</v>
      </c>
      <c r="Y901" s="39">
        <v>0</v>
      </c>
      <c r="Z901" s="39">
        <v>0</v>
      </c>
      <c r="AA901" s="39">
        <v>0</v>
      </c>
      <c r="AB901" s="39">
        <v>0</v>
      </c>
      <c r="AC901" s="39">
        <v>0</v>
      </c>
      <c r="AD901" s="39">
        <v>0</v>
      </c>
      <c r="AE901" s="39">
        <v>0</v>
      </c>
      <c r="AF901" s="39">
        <v>0</v>
      </c>
      <c r="AG901" s="39">
        <v>0</v>
      </c>
      <c r="AH901" s="39"/>
      <c r="AI901" s="39"/>
      <c r="AJ901" s="40"/>
      <c r="AK901" s="39">
        <f t="shared" si="70"/>
        <v>0</v>
      </c>
      <c r="AL901" s="39">
        <f t="shared" si="73"/>
        <v>0</v>
      </c>
      <c r="AM901" s="39">
        <f t="shared" si="74"/>
        <v>0</v>
      </c>
      <c r="AN901" s="39">
        <f t="shared" si="71"/>
        <v>0</v>
      </c>
      <c r="AO901" s="39">
        <f t="shared" si="72"/>
        <v>0</v>
      </c>
    </row>
    <row r="902" spans="1:41" x14ac:dyDescent="0.3">
      <c r="A902" s="20">
        <v>1000184670</v>
      </c>
      <c r="B902" s="4" t="s">
        <v>147</v>
      </c>
      <c r="C902" s="21"/>
      <c r="D902" s="3"/>
      <c r="E902" s="20">
        <v>1000185288</v>
      </c>
      <c r="F902" s="4" t="s">
        <v>64</v>
      </c>
      <c r="G902" s="21">
        <v>1000189792</v>
      </c>
      <c r="H902" s="3" t="s">
        <v>116</v>
      </c>
      <c r="I902" s="21">
        <v>1000189270</v>
      </c>
      <c r="J902" s="3" t="s">
        <v>34</v>
      </c>
      <c r="K902" s="20" t="s">
        <v>17</v>
      </c>
      <c r="L902" s="39">
        <v>0</v>
      </c>
      <c r="M902" s="39">
        <v>0</v>
      </c>
      <c r="N902" s="39">
        <v>0</v>
      </c>
      <c r="O902" s="39">
        <v>0</v>
      </c>
      <c r="P902" s="39">
        <v>0</v>
      </c>
      <c r="Q902" s="39">
        <v>0</v>
      </c>
      <c r="R902" s="39">
        <v>0</v>
      </c>
      <c r="S902" s="39">
        <v>0</v>
      </c>
      <c r="T902" s="39">
        <v>0</v>
      </c>
      <c r="U902" s="39">
        <v>0</v>
      </c>
      <c r="V902" s="39">
        <v>0</v>
      </c>
      <c r="W902" s="39">
        <v>0</v>
      </c>
      <c r="X902" s="39">
        <v>0</v>
      </c>
      <c r="Y902" s="39">
        <v>0</v>
      </c>
      <c r="Z902" s="39">
        <v>0</v>
      </c>
      <c r="AA902" s="39">
        <v>0</v>
      </c>
      <c r="AB902" s="39">
        <v>0</v>
      </c>
      <c r="AC902" s="39">
        <v>0</v>
      </c>
      <c r="AD902" s="39">
        <v>0</v>
      </c>
      <c r="AE902" s="39">
        <v>0</v>
      </c>
      <c r="AF902" s="39">
        <v>0</v>
      </c>
      <c r="AG902" s="39">
        <v>0</v>
      </c>
      <c r="AH902" s="39"/>
      <c r="AI902" s="39"/>
      <c r="AJ902" s="40"/>
      <c r="AK902" s="39">
        <f t="shared" si="70"/>
        <v>0</v>
      </c>
      <c r="AL902" s="39">
        <f t="shared" si="73"/>
        <v>0</v>
      </c>
      <c r="AM902" s="39">
        <f t="shared" si="74"/>
        <v>0</v>
      </c>
      <c r="AN902" s="39">
        <f t="shared" si="71"/>
        <v>0</v>
      </c>
      <c r="AO902" s="39">
        <f t="shared" si="72"/>
        <v>0</v>
      </c>
    </row>
    <row r="903" spans="1:41" x14ac:dyDescent="0.3">
      <c r="A903" s="20">
        <v>1000184670</v>
      </c>
      <c r="B903" s="4" t="s">
        <v>147</v>
      </c>
      <c r="C903" s="21"/>
      <c r="D903" s="3"/>
      <c r="E903" s="20">
        <v>1000185288</v>
      </c>
      <c r="F903" s="4" t="s">
        <v>64</v>
      </c>
      <c r="G903" s="21">
        <v>1000189792</v>
      </c>
      <c r="H903" s="3" t="s">
        <v>116</v>
      </c>
      <c r="I903" s="21">
        <v>1000189270</v>
      </c>
      <c r="J903" s="3" t="s">
        <v>34</v>
      </c>
      <c r="K903" s="20" t="s">
        <v>24</v>
      </c>
      <c r="L903" s="39">
        <v>0</v>
      </c>
      <c r="M903" s="39">
        <v>0</v>
      </c>
      <c r="N903" s="39">
        <v>0</v>
      </c>
      <c r="O903" s="39">
        <v>0</v>
      </c>
      <c r="P903" s="39">
        <v>0</v>
      </c>
      <c r="Q903" s="39">
        <v>0</v>
      </c>
      <c r="R903" s="39">
        <v>0</v>
      </c>
      <c r="S903" s="39">
        <v>0</v>
      </c>
      <c r="T903" s="39">
        <v>0</v>
      </c>
      <c r="U903" s="39">
        <v>0</v>
      </c>
      <c r="V903" s="39">
        <v>0</v>
      </c>
      <c r="W903" s="39">
        <v>0</v>
      </c>
      <c r="X903" s="39">
        <v>0</v>
      </c>
      <c r="Y903" s="39">
        <v>0</v>
      </c>
      <c r="Z903" s="39">
        <v>0</v>
      </c>
      <c r="AA903" s="39">
        <v>0</v>
      </c>
      <c r="AB903" s="39">
        <v>0</v>
      </c>
      <c r="AC903" s="39">
        <v>0</v>
      </c>
      <c r="AD903" s="39">
        <v>0</v>
      </c>
      <c r="AE903" s="39">
        <v>0</v>
      </c>
      <c r="AF903" s="39">
        <v>0</v>
      </c>
      <c r="AG903" s="39">
        <v>0</v>
      </c>
      <c r="AH903" s="39"/>
      <c r="AI903" s="39"/>
      <c r="AJ903" s="40"/>
      <c r="AK903" s="39">
        <f t="shared" si="70"/>
        <v>0</v>
      </c>
      <c r="AL903" s="39">
        <f t="shared" si="73"/>
        <v>0</v>
      </c>
      <c r="AM903" s="39">
        <f t="shared" si="74"/>
        <v>0</v>
      </c>
      <c r="AN903" s="39">
        <f t="shared" si="71"/>
        <v>0</v>
      </c>
      <c r="AO903" s="39">
        <f t="shared" si="72"/>
        <v>0</v>
      </c>
    </row>
    <row r="904" spans="1:41" x14ac:dyDescent="0.3">
      <c r="A904" s="20">
        <v>1000184670</v>
      </c>
      <c r="B904" s="4" t="s">
        <v>147</v>
      </c>
      <c r="C904" s="21"/>
      <c r="D904" s="3"/>
      <c r="E904" s="20">
        <v>1000185288</v>
      </c>
      <c r="F904" s="4" t="s">
        <v>64</v>
      </c>
      <c r="G904" s="19">
        <v>1000189792</v>
      </c>
      <c r="H904" s="3" t="s">
        <v>116</v>
      </c>
      <c r="I904" s="21">
        <v>1000189270</v>
      </c>
      <c r="J904" s="3" t="s">
        <v>34</v>
      </c>
      <c r="K904" s="20" t="s">
        <v>18</v>
      </c>
      <c r="L904" s="39">
        <v>0</v>
      </c>
      <c r="M904" s="39">
        <v>0</v>
      </c>
      <c r="N904" s="39">
        <v>0</v>
      </c>
      <c r="O904" s="39">
        <v>0</v>
      </c>
      <c r="P904" s="39">
        <v>0</v>
      </c>
      <c r="Q904" s="39">
        <v>0</v>
      </c>
      <c r="R904" s="39">
        <v>0</v>
      </c>
      <c r="S904" s="39">
        <v>0</v>
      </c>
      <c r="T904" s="39">
        <v>0</v>
      </c>
      <c r="U904" s="39">
        <v>0</v>
      </c>
      <c r="V904" s="39">
        <v>0</v>
      </c>
      <c r="W904" s="39">
        <v>0</v>
      </c>
      <c r="X904" s="39">
        <v>0</v>
      </c>
      <c r="Y904" s="39">
        <v>0</v>
      </c>
      <c r="Z904" s="39">
        <v>0</v>
      </c>
      <c r="AA904" s="39">
        <v>0</v>
      </c>
      <c r="AB904" s="39">
        <v>0</v>
      </c>
      <c r="AC904" s="39">
        <v>0</v>
      </c>
      <c r="AD904" s="39">
        <v>0</v>
      </c>
      <c r="AE904" s="39">
        <v>0</v>
      </c>
      <c r="AF904" s="39">
        <v>0</v>
      </c>
      <c r="AG904" s="39">
        <v>0</v>
      </c>
      <c r="AH904" s="39"/>
      <c r="AI904" s="39"/>
      <c r="AJ904" s="40"/>
      <c r="AK904" s="39">
        <f t="shared" si="70"/>
        <v>0</v>
      </c>
      <c r="AL904" s="39">
        <f t="shared" si="73"/>
        <v>0</v>
      </c>
      <c r="AM904" s="39">
        <f t="shared" si="74"/>
        <v>0</v>
      </c>
      <c r="AN904" s="39">
        <f t="shared" si="71"/>
        <v>0</v>
      </c>
      <c r="AO904" s="39">
        <f t="shared" si="72"/>
        <v>0</v>
      </c>
    </row>
    <row r="905" spans="1:41" x14ac:dyDescent="0.3">
      <c r="A905" s="20">
        <v>1000184670</v>
      </c>
      <c r="B905" s="4" t="s">
        <v>147</v>
      </c>
      <c r="C905" s="21"/>
      <c r="D905" s="3"/>
      <c r="E905" s="20">
        <v>1000185288</v>
      </c>
      <c r="F905" s="4" t="s">
        <v>64</v>
      </c>
      <c r="G905" s="19">
        <v>1000189792</v>
      </c>
      <c r="H905" s="3" t="s">
        <v>116</v>
      </c>
      <c r="I905" s="21">
        <v>1000189270</v>
      </c>
      <c r="J905" s="3" t="s">
        <v>34</v>
      </c>
      <c r="K905" s="20" t="s">
        <v>29</v>
      </c>
      <c r="L905" s="39">
        <v>0</v>
      </c>
      <c r="M905" s="39">
        <v>0</v>
      </c>
      <c r="N905" s="39">
        <v>0</v>
      </c>
      <c r="O905" s="39">
        <v>0</v>
      </c>
      <c r="P905" s="39">
        <v>0</v>
      </c>
      <c r="Q905" s="39">
        <v>0</v>
      </c>
      <c r="R905" s="39">
        <v>0</v>
      </c>
      <c r="S905" s="39">
        <v>0</v>
      </c>
      <c r="T905" s="39">
        <v>0</v>
      </c>
      <c r="U905" s="39">
        <v>0</v>
      </c>
      <c r="V905" s="39">
        <v>0</v>
      </c>
      <c r="W905" s="39">
        <v>0</v>
      </c>
      <c r="X905" s="39">
        <v>0</v>
      </c>
      <c r="Y905" s="39">
        <v>0</v>
      </c>
      <c r="Z905" s="39">
        <v>0</v>
      </c>
      <c r="AA905" s="39">
        <v>0</v>
      </c>
      <c r="AB905" s="39">
        <v>0</v>
      </c>
      <c r="AC905" s="39">
        <v>0</v>
      </c>
      <c r="AD905" s="39">
        <v>0</v>
      </c>
      <c r="AE905" s="39">
        <v>0</v>
      </c>
      <c r="AF905" s="39">
        <v>0</v>
      </c>
      <c r="AG905" s="39">
        <v>0</v>
      </c>
      <c r="AH905" s="39"/>
      <c r="AI905" s="39"/>
      <c r="AJ905" s="40"/>
      <c r="AK905" s="39">
        <f t="shared" si="70"/>
        <v>0</v>
      </c>
      <c r="AL905" s="39">
        <f t="shared" si="73"/>
        <v>0</v>
      </c>
      <c r="AM905" s="39">
        <f t="shared" si="74"/>
        <v>0</v>
      </c>
      <c r="AN905" s="39">
        <f t="shared" si="71"/>
        <v>0</v>
      </c>
      <c r="AO905" s="39">
        <f t="shared" si="72"/>
        <v>0</v>
      </c>
    </row>
    <row r="906" spans="1:41" x14ac:dyDescent="0.3">
      <c r="A906" s="20">
        <v>1000184670</v>
      </c>
      <c r="B906" s="4" t="s">
        <v>147</v>
      </c>
      <c r="C906" s="21"/>
      <c r="D906" s="3"/>
      <c r="E906" s="20">
        <v>1000185288</v>
      </c>
      <c r="F906" s="4" t="s">
        <v>64</v>
      </c>
      <c r="G906" s="19">
        <v>1000189792</v>
      </c>
      <c r="H906" s="3" t="s">
        <v>116</v>
      </c>
      <c r="I906" s="21">
        <v>1000189270</v>
      </c>
      <c r="J906" s="3" t="s">
        <v>34</v>
      </c>
      <c r="K906" s="20" t="s">
        <v>21</v>
      </c>
      <c r="L906" s="39">
        <v>0</v>
      </c>
      <c r="M906" s="39">
        <v>0</v>
      </c>
      <c r="N906" s="39">
        <v>0</v>
      </c>
      <c r="O906" s="39">
        <v>0</v>
      </c>
      <c r="P906" s="39">
        <v>0</v>
      </c>
      <c r="Q906" s="39">
        <v>0</v>
      </c>
      <c r="R906" s="39">
        <v>0</v>
      </c>
      <c r="S906" s="39">
        <v>0</v>
      </c>
      <c r="T906" s="39">
        <v>0</v>
      </c>
      <c r="U906" s="39">
        <v>0</v>
      </c>
      <c r="V906" s="39">
        <v>0</v>
      </c>
      <c r="W906" s="39">
        <v>0</v>
      </c>
      <c r="X906" s="39">
        <v>0</v>
      </c>
      <c r="Y906" s="39">
        <v>0</v>
      </c>
      <c r="Z906" s="39">
        <v>0</v>
      </c>
      <c r="AA906" s="39">
        <v>0</v>
      </c>
      <c r="AB906" s="39">
        <v>0</v>
      </c>
      <c r="AC906" s="39">
        <v>0</v>
      </c>
      <c r="AD906" s="39">
        <v>0</v>
      </c>
      <c r="AE906" s="39">
        <v>0</v>
      </c>
      <c r="AF906" s="39">
        <v>0</v>
      </c>
      <c r="AG906" s="39">
        <v>0</v>
      </c>
      <c r="AH906" s="39"/>
      <c r="AI906" s="39"/>
      <c r="AJ906" s="40"/>
      <c r="AK906" s="39">
        <f t="shared" si="70"/>
        <v>0</v>
      </c>
      <c r="AL906" s="39">
        <f t="shared" si="73"/>
        <v>0</v>
      </c>
      <c r="AM906" s="39">
        <f t="shared" si="74"/>
        <v>0</v>
      </c>
      <c r="AN906" s="39">
        <f t="shared" si="71"/>
        <v>0</v>
      </c>
      <c r="AO906" s="39">
        <f t="shared" si="72"/>
        <v>0</v>
      </c>
    </row>
    <row r="907" spans="1:41" x14ac:dyDescent="0.3">
      <c r="A907" s="20">
        <v>1000184670</v>
      </c>
      <c r="B907" s="4" t="s">
        <v>147</v>
      </c>
      <c r="C907" s="21"/>
      <c r="D907" s="3"/>
      <c r="E907" s="20">
        <v>1000185288</v>
      </c>
      <c r="F907" s="4" t="s">
        <v>64</v>
      </c>
      <c r="G907" s="21">
        <v>1000189792</v>
      </c>
      <c r="H907" s="3" t="s">
        <v>116</v>
      </c>
      <c r="I907" s="21">
        <v>1000189270</v>
      </c>
      <c r="J907" s="3" t="s">
        <v>34</v>
      </c>
      <c r="K907" s="20" t="s">
        <v>20</v>
      </c>
      <c r="L907" s="39">
        <v>0</v>
      </c>
      <c r="M907" s="39">
        <v>0</v>
      </c>
      <c r="N907" s="39">
        <v>0</v>
      </c>
      <c r="O907" s="39">
        <v>0</v>
      </c>
      <c r="P907" s="39">
        <v>0</v>
      </c>
      <c r="Q907" s="39">
        <v>0</v>
      </c>
      <c r="R907" s="39">
        <v>0</v>
      </c>
      <c r="S907" s="39">
        <v>0</v>
      </c>
      <c r="T907" s="39">
        <v>0</v>
      </c>
      <c r="U907" s="39">
        <v>0</v>
      </c>
      <c r="V907" s="39">
        <v>0</v>
      </c>
      <c r="W907" s="39">
        <v>0</v>
      </c>
      <c r="X907" s="39">
        <v>0</v>
      </c>
      <c r="Y907" s="39">
        <v>0</v>
      </c>
      <c r="Z907" s="39">
        <v>0</v>
      </c>
      <c r="AA907" s="39">
        <v>0</v>
      </c>
      <c r="AB907" s="39">
        <v>0</v>
      </c>
      <c r="AC907" s="39">
        <v>0</v>
      </c>
      <c r="AD907" s="39">
        <v>0</v>
      </c>
      <c r="AE907" s="39">
        <v>41.48</v>
      </c>
      <c r="AF907" s="39">
        <v>67.36</v>
      </c>
      <c r="AG907" s="39">
        <v>0</v>
      </c>
      <c r="AH907" s="39"/>
      <c r="AI907" s="39"/>
      <c r="AJ907" s="40"/>
      <c r="AK907" s="39">
        <f t="shared" si="70"/>
        <v>0</v>
      </c>
      <c r="AL907" s="39">
        <f t="shared" si="73"/>
        <v>9.07</v>
      </c>
      <c r="AM907" s="39">
        <f t="shared" si="74"/>
        <v>18.14</v>
      </c>
      <c r="AN907" s="39">
        <f t="shared" si="71"/>
        <v>10.884</v>
      </c>
      <c r="AO907" s="39">
        <f t="shared" si="72"/>
        <v>108.84</v>
      </c>
    </row>
    <row r="908" spans="1:41" x14ac:dyDescent="0.3">
      <c r="A908" s="20">
        <v>1000184670</v>
      </c>
      <c r="B908" s="4" t="s">
        <v>147</v>
      </c>
      <c r="C908" s="21"/>
      <c r="D908" s="3"/>
      <c r="E908" s="20">
        <v>1000185288</v>
      </c>
      <c r="F908" s="4" t="s">
        <v>64</v>
      </c>
      <c r="G908" s="21">
        <v>1000189792</v>
      </c>
      <c r="H908" s="3" t="s">
        <v>116</v>
      </c>
      <c r="I908" s="21">
        <v>1000189270</v>
      </c>
      <c r="J908" s="3" t="s">
        <v>34</v>
      </c>
      <c r="K908" s="20" t="s">
        <v>22</v>
      </c>
      <c r="L908" s="39">
        <v>0</v>
      </c>
      <c r="M908" s="39">
        <v>0</v>
      </c>
      <c r="N908" s="39">
        <v>0</v>
      </c>
      <c r="O908" s="39">
        <v>0</v>
      </c>
      <c r="P908" s="39">
        <v>0</v>
      </c>
      <c r="Q908" s="39">
        <v>0</v>
      </c>
      <c r="R908" s="39">
        <v>0</v>
      </c>
      <c r="S908" s="39">
        <v>0</v>
      </c>
      <c r="T908" s="39">
        <v>0</v>
      </c>
      <c r="U908" s="39">
        <v>0</v>
      </c>
      <c r="V908" s="39">
        <v>0</v>
      </c>
      <c r="W908" s="39">
        <v>0</v>
      </c>
      <c r="X908" s="39">
        <v>0</v>
      </c>
      <c r="Y908" s="39">
        <v>0</v>
      </c>
      <c r="Z908" s="39">
        <v>0</v>
      </c>
      <c r="AA908" s="39">
        <v>0</v>
      </c>
      <c r="AB908" s="39">
        <v>0</v>
      </c>
      <c r="AC908" s="39">
        <v>0</v>
      </c>
      <c r="AD908" s="39">
        <v>0</v>
      </c>
      <c r="AE908" s="39">
        <v>648</v>
      </c>
      <c r="AF908" s="39">
        <v>592</v>
      </c>
      <c r="AG908" s="39">
        <v>0</v>
      </c>
      <c r="AH908" s="39"/>
      <c r="AI908" s="39"/>
      <c r="AJ908" s="40"/>
      <c r="AK908" s="39">
        <f t="shared" si="70"/>
        <v>0</v>
      </c>
      <c r="AL908" s="39">
        <f t="shared" si="73"/>
        <v>103.33333333333333</v>
      </c>
      <c r="AM908" s="39">
        <f t="shared" si="74"/>
        <v>206.66666666666666</v>
      </c>
      <c r="AN908" s="39">
        <f t="shared" si="71"/>
        <v>124</v>
      </c>
      <c r="AO908" s="39">
        <f t="shared" si="72"/>
        <v>1240</v>
      </c>
    </row>
    <row r="909" spans="1:41" x14ac:dyDescent="0.3">
      <c r="A909" s="20">
        <v>1000184670</v>
      </c>
      <c r="B909" s="4" t="s">
        <v>147</v>
      </c>
      <c r="C909" s="21"/>
      <c r="D909" s="3"/>
      <c r="E909" s="20">
        <v>1000185288</v>
      </c>
      <c r="F909" s="4" t="s">
        <v>64</v>
      </c>
      <c r="G909" s="21">
        <v>1000189792</v>
      </c>
      <c r="H909" s="3" t="s">
        <v>116</v>
      </c>
      <c r="I909" s="21">
        <v>1000189270</v>
      </c>
      <c r="J909" s="3" t="s">
        <v>34</v>
      </c>
      <c r="K909" s="20" t="s">
        <v>23</v>
      </c>
      <c r="L909" s="39">
        <v>0</v>
      </c>
      <c r="M909" s="39">
        <v>0</v>
      </c>
      <c r="N909" s="39">
        <v>0</v>
      </c>
      <c r="O909" s="39">
        <v>0</v>
      </c>
      <c r="P909" s="39">
        <v>0</v>
      </c>
      <c r="Q909" s="39">
        <v>0</v>
      </c>
      <c r="R909" s="39">
        <v>0</v>
      </c>
      <c r="S909" s="39">
        <v>0</v>
      </c>
      <c r="T909" s="39">
        <v>0</v>
      </c>
      <c r="U909" s="39">
        <v>0</v>
      </c>
      <c r="V909" s="39">
        <v>0</v>
      </c>
      <c r="W909" s="39">
        <v>0</v>
      </c>
      <c r="X909" s="39">
        <v>0</v>
      </c>
      <c r="Y909" s="39">
        <v>0</v>
      </c>
      <c r="Z909" s="39">
        <v>0</v>
      </c>
      <c r="AA909" s="39">
        <v>0</v>
      </c>
      <c r="AB909" s="39">
        <v>0</v>
      </c>
      <c r="AC909" s="39">
        <v>0</v>
      </c>
      <c r="AD909" s="39">
        <v>0</v>
      </c>
      <c r="AE909" s="39">
        <v>0</v>
      </c>
      <c r="AF909" s="39">
        <v>0</v>
      </c>
      <c r="AG909" s="39">
        <v>0</v>
      </c>
      <c r="AH909" s="39"/>
      <c r="AI909" s="39"/>
      <c r="AJ909" s="40"/>
      <c r="AK909" s="39">
        <f t="shared" si="70"/>
        <v>0</v>
      </c>
      <c r="AL909" s="39">
        <f t="shared" si="73"/>
        <v>0</v>
      </c>
      <c r="AM909" s="39">
        <f t="shared" si="74"/>
        <v>0</v>
      </c>
      <c r="AN909" s="39">
        <f t="shared" si="71"/>
        <v>0</v>
      </c>
      <c r="AO909" s="39">
        <f t="shared" si="72"/>
        <v>0</v>
      </c>
    </row>
    <row r="910" spans="1:41" x14ac:dyDescent="0.3">
      <c r="A910" s="20">
        <v>1000184670</v>
      </c>
      <c r="B910" s="4" t="s">
        <v>147</v>
      </c>
      <c r="C910" s="21"/>
      <c r="D910" s="3"/>
      <c r="E910" s="20">
        <v>1000185288</v>
      </c>
      <c r="F910" s="4" t="s">
        <v>64</v>
      </c>
      <c r="G910" s="21">
        <v>1000189792</v>
      </c>
      <c r="H910" s="3" t="s">
        <v>116</v>
      </c>
      <c r="I910" s="21">
        <v>1000189270</v>
      </c>
      <c r="J910" s="3" t="s">
        <v>34</v>
      </c>
      <c r="K910" s="20" t="s">
        <v>28</v>
      </c>
      <c r="L910" s="39">
        <v>0</v>
      </c>
      <c r="M910" s="39">
        <v>0</v>
      </c>
      <c r="N910" s="39">
        <v>0</v>
      </c>
      <c r="O910" s="39">
        <v>0</v>
      </c>
      <c r="P910" s="39">
        <v>0</v>
      </c>
      <c r="Q910" s="39">
        <v>0</v>
      </c>
      <c r="R910" s="39">
        <v>0</v>
      </c>
      <c r="S910" s="39">
        <v>0</v>
      </c>
      <c r="T910" s="39">
        <v>0</v>
      </c>
      <c r="U910" s="39">
        <v>0</v>
      </c>
      <c r="V910" s="39">
        <v>0</v>
      </c>
      <c r="W910" s="39">
        <v>0</v>
      </c>
      <c r="X910" s="39">
        <v>0</v>
      </c>
      <c r="Y910" s="39">
        <v>0</v>
      </c>
      <c r="Z910" s="39">
        <v>0</v>
      </c>
      <c r="AA910" s="39">
        <v>0</v>
      </c>
      <c r="AB910" s="39">
        <v>0</v>
      </c>
      <c r="AC910" s="39">
        <v>0</v>
      </c>
      <c r="AD910" s="39">
        <v>0</v>
      </c>
      <c r="AE910" s="39">
        <v>0</v>
      </c>
      <c r="AF910" s="39">
        <v>0</v>
      </c>
      <c r="AG910" s="39">
        <v>0</v>
      </c>
      <c r="AH910" s="39"/>
      <c r="AI910" s="39"/>
      <c r="AJ910" s="40"/>
      <c r="AK910" s="39">
        <f t="shared" si="70"/>
        <v>0</v>
      </c>
      <c r="AL910" s="39">
        <f t="shared" si="73"/>
        <v>0</v>
      </c>
      <c r="AM910" s="39">
        <f t="shared" si="74"/>
        <v>0</v>
      </c>
      <c r="AN910" s="39">
        <f t="shared" si="71"/>
        <v>0</v>
      </c>
      <c r="AO910" s="39">
        <f t="shared" si="72"/>
        <v>0</v>
      </c>
    </row>
    <row r="911" spans="1:41" x14ac:dyDescent="0.3">
      <c r="A911" s="20">
        <v>1000184670</v>
      </c>
      <c r="B911" s="4" t="s">
        <v>147</v>
      </c>
      <c r="C911" s="21"/>
      <c r="D911" s="3"/>
      <c r="E911" s="20">
        <v>1000185288</v>
      </c>
      <c r="F911" s="4" t="s">
        <v>64</v>
      </c>
      <c r="G911" s="21">
        <v>1000189792</v>
      </c>
      <c r="H911" s="3" t="s">
        <v>116</v>
      </c>
      <c r="I911" s="21">
        <v>1000189270</v>
      </c>
      <c r="J911" s="3" t="s">
        <v>34</v>
      </c>
      <c r="K911" s="20" t="s">
        <v>26</v>
      </c>
      <c r="L911" s="39">
        <v>0</v>
      </c>
      <c r="M911" s="39">
        <v>0</v>
      </c>
      <c r="N911" s="39">
        <v>0</v>
      </c>
      <c r="O911" s="39">
        <v>0</v>
      </c>
      <c r="P911" s="39">
        <v>0</v>
      </c>
      <c r="Q911" s="39">
        <v>0</v>
      </c>
      <c r="R911" s="39">
        <v>0</v>
      </c>
      <c r="S911" s="39">
        <v>0</v>
      </c>
      <c r="T911" s="39">
        <v>0</v>
      </c>
      <c r="U911" s="39">
        <v>0</v>
      </c>
      <c r="V911" s="39">
        <v>0</v>
      </c>
      <c r="W911" s="39">
        <v>0</v>
      </c>
      <c r="X911" s="39">
        <v>0</v>
      </c>
      <c r="Y911" s="39">
        <v>0</v>
      </c>
      <c r="Z911" s="39">
        <v>0</v>
      </c>
      <c r="AA911" s="39">
        <v>0</v>
      </c>
      <c r="AB911" s="39">
        <v>0</v>
      </c>
      <c r="AC911" s="39">
        <v>0</v>
      </c>
      <c r="AD911" s="39">
        <v>0</v>
      </c>
      <c r="AE911" s="39">
        <v>0</v>
      </c>
      <c r="AF911" s="39">
        <v>0</v>
      </c>
      <c r="AG911" s="39">
        <v>0</v>
      </c>
      <c r="AH911" s="39"/>
      <c r="AI911" s="39"/>
      <c r="AJ911" s="40"/>
      <c r="AK911" s="39">
        <f t="shared" si="70"/>
        <v>0</v>
      </c>
      <c r="AL911" s="39">
        <f t="shared" si="73"/>
        <v>0</v>
      </c>
      <c r="AM911" s="39">
        <f t="shared" si="74"/>
        <v>0</v>
      </c>
      <c r="AN911" s="39">
        <f t="shared" si="71"/>
        <v>0</v>
      </c>
      <c r="AO911" s="39">
        <f t="shared" si="72"/>
        <v>0</v>
      </c>
    </row>
    <row r="912" spans="1:41" x14ac:dyDescent="0.3">
      <c r="A912" s="20">
        <v>1000184670</v>
      </c>
      <c r="B912" s="4" t="s">
        <v>147</v>
      </c>
      <c r="C912" s="21"/>
      <c r="D912" s="3"/>
      <c r="E912" s="20">
        <v>1000185288</v>
      </c>
      <c r="F912" s="4" t="s">
        <v>64</v>
      </c>
      <c r="G912" s="21">
        <v>1000189792</v>
      </c>
      <c r="H912" s="3" t="s">
        <v>116</v>
      </c>
      <c r="I912" s="21">
        <v>1000189270</v>
      </c>
      <c r="J912" s="3" t="s">
        <v>34</v>
      </c>
      <c r="K912" s="20" t="s">
        <v>27</v>
      </c>
      <c r="L912" s="39">
        <v>0</v>
      </c>
      <c r="M912" s="39">
        <v>0</v>
      </c>
      <c r="N912" s="39">
        <v>0</v>
      </c>
      <c r="O912" s="39">
        <v>0</v>
      </c>
      <c r="P912" s="39">
        <v>0</v>
      </c>
      <c r="Q912" s="39">
        <v>0</v>
      </c>
      <c r="R912" s="39">
        <v>0</v>
      </c>
      <c r="S912" s="39">
        <v>0</v>
      </c>
      <c r="T912" s="39">
        <v>0</v>
      </c>
      <c r="U912" s="39">
        <v>0</v>
      </c>
      <c r="V912" s="39">
        <v>0</v>
      </c>
      <c r="W912" s="39">
        <v>0</v>
      </c>
      <c r="X912" s="39">
        <v>0</v>
      </c>
      <c r="Y912" s="39">
        <v>0</v>
      </c>
      <c r="Z912" s="39">
        <v>0</v>
      </c>
      <c r="AA912" s="39">
        <v>0</v>
      </c>
      <c r="AB912" s="39">
        <v>0</v>
      </c>
      <c r="AC912" s="39">
        <v>0</v>
      </c>
      <c r="AD912" s="39">
        <v>0</v>
      </c>
      <c r="AE912" s="39">
        <v>0</v>
      </c>
      <c r="AF912" s="39">
        <v>0</v>
      </c>
      <c r="AG912" s="39">
        <v>0</v>
      </c>
      <c r="AH912" s="39"/>
      <c r="AI912" s="39"/>
      <c r="AJ912" s="40"/>
      <c r="AK912" s="39">
        <f t="shared" si="70"/>
        <v>0</v>
      </c>
      <c r="AL912" s="39">
        <f t="shared" si="73"/>
        <v>0</v>
      </c>
      <c r="AM912" s="39">
        <f t="shared" si="74"/>
        <v>0</v>
      </c>
      <c r="AN912" s="39">
        <f t="shared" si="71"/>
        <v>0</v>
      </c>
      <c r="AO912" s="39">
        <f t="shared" si="72"/>
        <v>0</v>
      </c>
    </row>
    <row r="913" spans="1:41" x14ac:dyDescent="0.3">
      <c r="A913" s="20">
        <v>1000184670</v>
      </c>
      <c r="B913" s="4" t="s">
        <v>147</v>
      </c>
      <c r="C913" s="21"/>
      <c r="D913" s="3"/>
      <c r="E913" s="20">
        <v>1000185288</v>
      </c>
      <c r="F913" s="4" t="s">
        <v>64</v>
      </c>
      <c r="G913" s="21">
        <v>1000189792</v>
      </c>
      <c r="H913" s="3" t="s">
        <v>116</v>
      </c>
      <c r="I913" s="21">
        <v>1000189270</v>
      </c>
      <c r="J913" s="3" t="s">
        <v>34</v>
      </c>
      <c r="K913" s="20" t="s">
        <v>25</v>
      </c>
      <c r="L913" s="39">
        <v>0</v>
      </c>
      <c r="M913" s="39">
        <v>0</v>
      </c>
      <c r="N913" s="39">
        <v>0</v>
      </c>
      <c r="O913" s="39">
        <v>0</v>
      </c>
      <c r="P913" s="39">
        <v>0</v>
      </c>
      <c r="Q913" s="39">
        <v>0</v>
      </c>
      <c r="R913" s="39">
        <v>0</v>
      </c>
      <c r="S913" s="39">
        <v>0</v>
      </c>
      <c r="T913" s="39">
        <v>0</v>
      </c>
      <c r="U913" s="39">
        <v>0</v>
      </c>
      <c r="V913" s="39">
        <v>0</v>
      </c>
      <c r="W913" s="39">
        <v>0</v>
      </c>
      <c r="X913" s="39">
        <v>0</v>
      </c>
      <c r="Y913" s="39">
        <v>0</v>
      </c>
      <c r="Z913" s="39">
        <v>0</v>
      </c>
      <c r="AA913" s="39">
        <v>0</v>
      </c>
      <c r="AB913" s="39">
        <v>0</v>
      </c>
      <c r="AC913" s="39">
        <v>0</v>
      </c>
      <c r="AD913" s="39">
        <v>0</v>
      </c>
      <c r="AE913" s="39">
        <v>0</v>
      </c>
      <c r="AF913" s="39">
        <v>0</v>
      </c>
      <c r="AG913" s="39">
        <v>0</v>
      </c>
      <c r="AH913" s="39"/>
      <c r="AI913" s="39"/>
      <c r="AJ913" s="40"/>
      <c r="AK913" s="39">
        <f t="shared" si="70"/>
        <v>0</v>
      </c>
      <c r="AL913" s="39">
        <f t="shared" si="73"/>
        <v>0</v>
      </c>
      <c r="AM913" s="39">
        <f t="shared" si="74"/>
        <v>0</v>
      </c>
      <c r="AN913" s="39">
        <f t="shared" si="71"/>
        <v>0</v>
      </c>
      <c r="AO913" s="39">
        <f t="shared" si="72"/>
        <v>0</v>
      </c>
    </row>
    <row r="914" spans="1:41" x14ac:dyDescent="0.3">
      <c r="A914" s="20">
        <v>1000184670</v>
      </c>
      <c r="B914" s="4" t="s">
        <v>147</v>
      </c>
      <c r="C914" s="21"/>
      <c r="D914" s="3"/>
      <c r="E914" s="20">
        <v>1000185288</v>
      </c>
      <c r="F914" s="4" t="s">
        <v>64</v>
      </c>
      <c r="G914" s="21">
        <v>1000189793</v>
      </c>
      <c r="H914" s="3" t="s">
        <v>85</v>
      </c>
      <c r="I914" s="21">
        <v>1000189270</v>
      </c>
      <c r="J914" s="3" t="s">
        <v>34</v>
      </c>
      <c r="K914" s="20" t="s">
        <v>124</v>
      </c>
      <c r="L914" s="39">
        <v>0</v>
      </c>
      <c r="M914" s="39">
        <v>0</v>
      </c>
      <c r="N914" s="39">
        <v>0</v>
      </c>
      <c r="O914" s="39">
        <v>0</v>
      </c>
      <c r="P914" s="39">
        <v>0</v>
      </c>
      <c r="Q914" s="39">
        <v>0</v>
      </c>
      <c r="R914" s="39">
        <v>0</v>
      </c>
      <c r="S914" s="39">
        <v>0</v>
      </c>
      <c r="T914" s="39">
        <v>0</v>
      </c>
      <c r="U914" s="39">
        <v>0</v>
      </c>
      <c r="V914" s="39">
        <v>0</v>
      </c>
      <c r="W914" s="39">
        <v>0</v>
      </c>
      <c r="X914" s="39">
        <v>0</v>
      </c>
      <c r="Y914" s="39">
        <v>0</v>
      </c>
      <c r="Z914" s="39">
        <v>0</v>
      </c>
      <c r="AA914" s="39">
        <v>0</v>
      </c>
      <c r="AB914" s="39">
        <v>0</v>
      </c>
      <c r="AC914" s="39">
        <v>0</v>
      </c>
      <c r="AD914" s="39">
        <v>0</v>
      </c>
      <c r="AE914" s="39">
        <v>0</v>
      </c>
      <c r="AF914" s="39">
        <v>0</v>
      </c>
      <c r="AG914" s="39">
        <v>0</v>
      </c>
      <c r="AH914" s="39"/>
      <c r="AI914" s="39"/>
      <c r="AJ914" s="40"/>
      <c r="AK914" s="39">
        <f t="shared" si="70"/>
        <v>0</v>
      </c>
      <c r="AL914" s="39">
        <f t="shared" si="73"/>
        <v>0</v>
      </c>
      <c r="AM914" s="39">
        <f t="shared" si="74"/>
        <v>0</v>
      </c>
      <c r="AN914" s="39">
        <f t="shared" si="71"/>
        <v>0</v>
      </c>
      <c r="AO914" s="39">
        <f t="shared" si="72"/>
        <v>0</v>
      </c>
    </row>
    <row r="915" spans="1:41" x14ac:dyDescent="0.3">
      <c r="A915" s="20">
        <v>1000184670</v>
      </c>
      <c r="B915" s="4" t="s">
        <v>147</v>
      </c>
      <c r="C915" s="21"/>
      <c r="D915" s="3"/>
      <c r="E915" s="20">
        <v>1000185288</v>
      </c>
      <c r="F915" s="4" t="s">
        <v>64</v>
      </c>
      <c r="G915" s="21">
        <v>1000189793</v>
      </c>
      <c r="H915" s="3" t="s">
        <v>85</v>
      </c>
      <c r="I915" s="21">
        <v>1000189270</v>
      </c>
      <c r="J915" s="3" t="s">
        <v>34</v>
      </c>
      <c r="K915" s="20" t="s">
        <v>13</v>
      </c>
      <c r="L915" s="39">
        <v>-62.779999999999973</v>
      </c>
      <c r="M915" s="39">
        <v>0</v>
      </c>
      <c r="N915" s="39">
        <v>2971.68</v>
      </c>
      <c r="O915" s="39">
        <v>1063.23</v>
      </c>
      <c r="P915" s="39">
        <v>0</v>
      </c>
      <c r="Q915" s="39">
        <v>0</v>
      </c>
      <c r="R915" s="39">
        <v>0</v>
      </c>
      <c r="S915" s="39">
        <v>667.44</v>
      </c>
      <c r="T915" s="39">
        <v>183.6</v>
      </c>
      <c r="U915" s="39">
        <v>0</v>
      </c>
      <c r="V915" s="39">
        <v>1926</v>
      </c>
      <c r="W915" s="39">
        <v>0</v>
      </c>
      <c r="X915" s="39">
        <v>1699.2</v>
      </c>
      <c r="Y915" s="39">
        <v>3762.12</v>
      </c>
      <c r="Z915" s="39">
        <v>2157.6</v>
      </c>
      <c r="AA915" s="39">
        <v>5226.7299999999996</v>
      </c>
      <c r="AB915" s="39">
        <v>350.04</v>
      </c>
      <c r="AC915" s="39">
        <v>401.96</v>
      </c>
      <c r="AD915" s="39">
        <v>1276.67</v>
      </c>
      <c r="AE915" s="39">
        <v>607.96</v>
      </c>
      <c r="AF915" s="39">
        <v>429</v>
      </c>
      <c r="AG915" s="39">
        <v>19357.55</v>
      </c>
      <c r="AH915" s="39"/>
      <c r="AI915" s="39"/>
      <c r="AJ915" s="40"/>
      <c r="AK915" s="39">
        <f t="shared" si="70"/>
        <v>562.43083333333334</v>
      </c>
      <c r="AL915" s="39">
        <f t="shared" si="73"/>
        <v>3099.5691666666667</v>
      </c>
      <c r="AM915" s="39">
        <f t="shared" si="74"/>
        <v>3737.1966666666667</v>
      </c>
      <c r="AN915" s="39">
        <f t="shared" si="71"/>
        <v>3526.8830000000003</v>
      </c>
      <c r="AO915" s="39">
        <f t="shared" si="72"/>
        <v>35268.83</v>
      </c>
    </row>
    <row r="916" spans="1:41" x14ac:dyDescent="0.3">
      <c r="A916" s="20">
        <v>1000184670</v>
      </c>
      <c r="B916" s="4" t="s">
        <v>147</v>
      </c>
      <c r="C916" s="21"/>
      <c r="D916" s="3"/>
      <c r="E916" s="20">
        <v>1000185288</v>
      </c>
      <c r="F916" s="4" t="s">
        <v>64</v>
      </c>
      <c r="G916" s="21">
        <v>1000189793</v>
      </c>
      <c r="H916" s="3" t="s">
        <v>85</v>
      </c>
      <c r="I916" s="21">
        <v>1000189270</v>
      </c>
      <c r="J916" s="3" t="s">
        <v>34</v>
      </c>
      <c r="K916" s="20" t="s">
        <v>14</v>
      </c>
      <c r="L916" s="39">
        <v>0</v>
      </c>
      <c r="M916" s="39">
        <v>0</v>
      </c>
      <c r="N916" s="39">
        <v>-2950.42</v>
      </c>
      <c r="O916" s="39">
        <v>0</v>
      </c>
      <c r="P916" s="39">
        <v>0</v>
      </c>
      <c r="Q916" s="39">
        <v>0</v>
      </c>
      <c r="R916" s="39">
        <v>0</v>
      </c>
      <c r="S916" s="39">
        <v>0</v>
      </c>
      <c r="T916" s="39">
        <v>0</v>
      </c>
      <c r="U916" s="39">
        <v>0</v>
      </c>
      <c r="V916" s="39">
        <v>0</v>
      </c>
      <c r="W916" s="39">
        <v>0</v>
      </c>
      <c r="X916" s="39">
        <v>0</v>
      </c>
      <c r="Y916" s="39">
        <v>0</v>
      </c>
      <c r="Z916" s="39">
        <v>0</v>
      </c>
      <c r="AA916" s="39">
        <v>432.18</v>
      </c>
      <c r="AB916" s="39">
        <v>1447.71</v>
      </c>
      <c r="AC916" s="39">
        <v>49.59</v>
      </c>
      <c r="AD916" s="39">
        <v>536.4</v>
      </c>
      <c r="AE916" s="39">
        <v>389.16</v>
      </c>
      <c r="AF916" s="39">
        <v>228</v>
      </c>
      <c r="AG916" s="39">
        <v>1764</v>
      </c>
      <c r="AH916" s="39"/>
      <c r="AI916" s="39"/>
      <c r="AJ916" s="40"/>
      <c r="AK916" s="39">
        <f t="shared" si="70"/>
        <v>-245.86833333333334</v>
      </c>
      <c r="AL916" s="39">
        <f t="shared" si="73"/>
        <v>403.92</v>
      </c>
      <c r="AM916" s="39">
        <f t="shared" si="74"/>
        <v>735.81</v>
      </c>
      <c r="AN916" s="39">
        <f t="shared" si="71"/>
        <v>484.70400000000001</v>
      </c>
      <c r="AO916" s="39">
        <f t="shared" si="72"/>
        <v>4847.04</v>
      </c>
    </row>
    <row r="917" spans="1:41" x14ac:dyDescent="0.3">
      <c r="A917" s="20">
        <v>1000184670</v>
      </c>
      <c r="B917" s="4" t="s">
        <v>147</v>
      </c>
      <c r="C917" s="21"/>
      <c r="D917" s="3"/>
      <c r="E917" s="20">
        <v>1000185288</v>
      </c>
      <c r="F917" s="4" t="s">
        <v>64</v>
      </c>
      <c r="G917" s="21">
        <v>1000189793</v>
      </c>
      <c r="H917" s="3" t="s">
        <v>85</v>
      </c>
      <c r="I917" s="21">
        <v>1000189270</v>
      </c>
      <c r="J917" s="3" t="s">
        <v>34</v>
      </c>
      <c r="K917" s="20" t="s">
        <v>16</v>
      </c>
      <c r="L917" s="39">
        <v>0</v>
      </c>
      <c r="M917" s="39">
        <v>1911.55</v>
      </c>
      <c r="N917" s="39">
        <v>0</v>
      </c>
      <c r="O917" s="39">
        <v>770.08</v>
      </c>
      <c r="P917" s="39">
        <v>1674.41</v>
      </c>
      <c r="Q917" s="39">
        <v>1890.05</v>
      </c>
      <c r="R917" s="39">
        <v>0</v>
      </c>
      <c r="S917" s="39">
        <v>1420.35</v>
      </c>
      <c r="T917" s="39">
        <v>2055.5</v>
      </c>
      <c r="U917" s="39">
        <v>2877.7</v>
      </c>
      <c r="V917" s="39">
        <v>0</v>
      </c>
      <c r="W917" s="39">
        <v>0</v>
      </c>
      <c r="X917" s="39">
        <v>0</v>
      </c>
      <c r="Y917" s="39">
        <v>2831.96</v>
      </c>
      <c r="Z917" s="39">
        <v>0</v>
      </c>
      <c r="AA917" s="39">
        <v>785.2</v>
      </c>
      <c r="AB917" s="39">
        <v>2829.1</v>
      </c>
      <c r="AC917" s="39">
        <v>707.34</v>
      </c>
      <c r="AD917" s="39">
        <v>610.54</v>
      </c>
      <c r="AE917" s="39">
        <v>888.98</v>
      </c>
      <c r="AF917" s="39">
        <v>882.84</v>
      </c>
      <c r="AG917" s="39">
        <v>50948.72</v>
      </c>
      <c r="AH917" s="39"/>
      <c r="AI917" s="39"/>
      <c r="AJ917" s="40"/>
      <c r="AK917" s="39">
        <f t="shared" si="70"/>
        <v>1049.97</v>
      </c>
      <c r="AL917" s="39">
        <f t="shared" si="73"/>
        <v>5040.3900000000003</v>
      </c>
      <c r="AM917" s="39">
        <f t="shared" si="74"/>
        <v>9477.92</v>
      </c>
      <c r="AN917" s="39">
        <f t="shared" si="71"/>
        <v>6048.4679999999998</v>
      </c>
      <c r="AO917" s="39">
        <f t="shared" si="72"/>
        <v>60484.68</v>
      </c>
    </row>
    <row r="918" spans="1:41" x14ac:dyDescent="0.3">
      <c r="A918" s="20">
        <v>1000184670</v>
      </c>
      <c r="B918" s="4" t="s">
        <v>147</v>
      </c>
      <c r="C918" s="21"/>
      <c r="D918" s="3"/>
      <c r="E918" s="20">
        <v>1000185288</v>
      </c>
      <c r="F918" s="4" t="s">
        <v>64</v>
      </c>
      <c r="G918" s="21">
        <v>1000189793</v>
      </c>
      <c r="H918" s="3" t="s">
        <v>85</v>
      </c>
      <c r="I918" s="21">
        <v>1000189270</v>
      </c>
      <c r="J918" s="3" t="s">
        <v>34</v>
      </c>
      <c r="K918" s="20" t="s">
        <v>15</v>
      </c>
      <c r="L918" s="39">
        <v>-873.76</v>
      </c>
      <c r="M918" s="39">
        <v>0</v>
      </c>
      <c r="N918" s="39">
        <v>0</v>
      </c>
      <c r="O918" s="39">
        <v>0</v>
      </c>
      <c r="P918" s="39">
        <v>0</v>
      </c>
      <c r="Q918" s="39">
        <v>0</v>
      </c>
      <c r="R918" s="39">
        <v>0</v>
      </c>
      <c r="S918" s="39">
        <v>675</v>
      </c>
      <c r="T918" s="39">
        <v>0</v>
      </c>
      <c r="U918" s="39">
        <v>0</v>
      </c>
      <c r="V918" s="39">
        <v>133.97999999999999</v>
      </c>
      <c r="W918" s="39">
        <v>267.95999999999998</v>
      </c>
      <c r="X918" s="39">
        <v>480</v>
      </c>
      <c r="Y918" s="39">
        <v>700.88</v>
      </c>
      <c r="Z918" s="39">
        <v>0</v>
      </c>
      <c r="AA918" s="39">
        <v>793.05</v>
      </c>
      <c r="AB918" s="39">
        <v>213.75</v>
      </c>
      <c r="AC918" s="39">
        <v>0</v>
      </c>
      <c r="AD918" s="39">
        <v>965.59</v>
      </c>
      <c r="AE918" s="39">
        <v>0</v>
      </c>
      <c r="AF918" s="39">
        <v>835.5</v>
      </c>
      <c r="AG918" s="39">
        <v>126</v>
      </c>
      <c r="AH918" s="39"/>
      <c r="AI918" s="39"/>
      <c r="AJ918" s="40"/>
      <c r="AK918" s="39">
        <f t="shared" si="70"/>
        <v>16.931666666666665</v>
      </c>
      <c r="AL918" s="39">
        <f t="shared" si="73"/>
        <v>376.39249999999998</v>
      </c>
      <c r="AM918" s="39">
        <f t="shared" si="74"/>
        <v>356.80666666666667</v>
      </c>
      <c r="AN918" s="39">
        <f t="shared" si="71"/>
        <v>411.47700000000003</v>
      </c>
      <c r="AO918" s="39">
        <f t="shared" si="72"/>
        <v>4114.7700000000004</v>
      </c>
    </row>
    <row r="919" spans="1:41" x14ac:dyDescent="0.3">
      <c r="A919" s="20">
        <v>1000184670</v>
      </c>
      <c r="B919" s="4" t="s">
        <v>147</v>
      </c>
      <c r="C919" s="21"/>
      <c r="D919" s="3"/>
      <c r="E919" s="20">
        <v>1000185288</v>
      </c>
      <c r="F919" s="4" t="s">
        <v>64</v>
      </c>
      <c r="G919" s="21">
        <v>1000189793</v>
      </c>
      <c r="H919" s="3" t="s">
        <v>85</v>
      </c>
      <c r="I919" s="21">
        <v>1000189270</v>
      </c>
      <c r="J919" s="3" t="s">
        <v>34</v>
      </c>
      <c r="K919" s="20" t="s">
        <v>33</v>
      </c>
      <c r="L919" s="39">
        <v>0</v>
      </c>
      <c r="M919" s="39">
        <v>0</v>
      </c>
      <c r="N919" s="39">
        <v>0</v>
      </c>
      <c r="O919" s="39">
        <v>0</v>
      </c>
      <c r="P919" s="39">
        <v>0</v>
      </c>
      <c r="Q919" s="39">
        <v>0</v>
      </c>
      <c r="R919" s="39">
        <v>0</v>
      </c>
      <c r="S919" s="39">
        <v>0</v>
      </c>
      <c r="T919" s="39">
        <v>0</v>
      </c>
      <c r="U919" s="39">
        <v>0</v>
      </c>
      <c r="V919" s="39">
        <v>0</v>
      </c>
      <c r="W919" s="39">
        <v>0</v>
      </c>
      <c r="X919" s="39">
        <v>0</v>
      </c>
      <c r="Y919" s="39">
        <v>0</v>
      </c>
      <c r="Z919" s="39">
        <v>0</v>
      </c>
      <c r="AA919" s="39">
        <v>0</v>
      </c>
      <c r="AB919" s="39">
        <v>0</v>
      </c>
      <c r="AC919" s="39">
        <v>0</v>
      </c>
      <c r="AD919" s="39">
        <v>270</v>
      </c>
      <c r="AE919" s="39">
        <v>0</v>
      </c>
      <c r="AF919" s="39">
        <v>0</v>
      </c>
      <c r="AG919" s="39">
        <v>2280</v>
      </c>
      <c r="AH919" s="39"/>
      <c r="AI919" s="39"/>
      <c r="AJ919" s="40"/>
      <c r="AK919" s="39">
        <f t="shared" si="70"/>
        <v>0</v>
      </c>
      <c r="AL919" s="39">
        <f t="shared" si="73"/>
        <v>212.5</v>
      </c>
      <c r="AM919" s="39">
        <f t="shared" si="74"/>
        <v>425</v>
      </c>
      <c r="AN919" s="39">
        <f t="shared" si="71"/>
        <v>255</v>
      </c>
      <c r="AO919" s="39">
        <f t="shared" si="72"/>
        <v>2550</v>
      </c>
    </row>
    <row r="920" spans="1:41" x14ac:dyDescent="0.3">
      <c r="A920" s="20">
        <v>1000184670</v>
      </c>
      <c r="B920" s="4" t="s">
        <v>147</v>
      </c>
      <c r="C920" s="21"/>
      <c r="D920" s="3"/>
      <c r="E920" s="20">
        <v>1000185288</v>
      </c>
      <c r="F920" s="4" t="s">
        <v>64</v>
      </c>
      <c r="G920" s="21">
        <v>1000189793</v>
      </c>
      <c r="H920" s="3" t="s">
        <v>85</v>
      </c>
      <c r="I920" s="21">
        <v>1000189270</v>
      </c>
      <c r="J920" s="3" t="s">
        <v>34</v>
      </c>
      <c r="K920" s="20" t="s">
        <v>19</v>
      </c>
      <c r="L920" s="39">
        <v>-463.74</v>
      </c>
      <c r="M920" s="39">
        <v>0</v>
      </c>
      <c r="N920" s="39">
        <v>1112.4000000000001</v>
      </c>
      <c r="O920" s="39">
        <v>0</v>
      </c>
      <c r="P920" s="39">
        <v>0</v>
      </c>
      <c r="Q920" s="39">
        <v>0</v>
      </c>
      <c r="R920" s="39">
        <v>0</v>
      </c>
      <c r="S920" s="39">
        <v>311.04000000000002</v>
      </c>
      <c r="T920" s="39">
        <v>0</v>
      </c>
      <c r="U920" s="39">
        <v>0</v>
      </c>
      <c r="V920" s="39">
        <v>229.51</v>
      </c>
      <c r="W920" s="39">
        <v>0</v>
      </c>
      <c r="X920" s="39">
        <v>0</v>
      </c>
      <c r="Y920" s="39">
        <v>0</v>
      </c>
      <c r="Z920" s="39">
        <v>0</v>
      </c>
      <c r="AA920" s="39">
        <v>504</v>
      </c>
      <c r="AB920" s="39">
        <v>0.03</v>
      </c>
      <c r="AC920" s="39">
        <v>729</v>
      </c>
      <c r="AD920" s="39">
        <v>243</v>
      </c>
      <c r="AE920" s="39">
        <v>72.900000000000006</v>
      </c>
      <c r="AF920" s="39">
        <v>162</v>
      </c>
      <c r="AG920" s="39">
        <v>162</v>
      </c>
      <c r="AH920" s="39"/>
      <c r="AI920" s="39"/>
      <c r="AJ920" s="40"/>
      <c r="AK920" s="39">
        <f t="shared" si="70"/>
        <v>99.100833333333341</v>
      </c>
      <c r="AL920" s="39">
        <f t="shared" si="73"/>
        <v>175.20333333333335</v>
      </c>
      <c r="AM920" s="39">
        <f t="shared" si="74"/>
        <v>228.155</v>
      </c>
      <c r="AN920" s="39">
        <f t="shared" si="71"/>
        <v>187.29300000000001</v>
      </c>
      <c r="AO920" s="39">
        <f t="shared" si="72"/>
        <v>1872.93</v>
      </c>
    </row>
    <row r="921" spans="1:41" x14ac:dyDescent="0.3">
      <c r="A921" s="20">
        <v>1000184670</v>
      </c>
      <c r="B921" s="4" t="s">
        <v>147</v>
      </c>
      <c r="C921" s="21"/>
      <c r="D921" s="3"/>
      <c r="E921" s="20">
        <v>1000185288</v>
      </c>
      <c r="F921" s="4" t="s">
        <v>64</v>
      </c>
      <c r="G921" s="21">
        <v>1000189793</v>
      </c>
      <c r="H921" s="3" t="s">
        <v>85</v>
      </c>
      <c r="I921" s="21">
        <v>1000189270</v>
      </c>
      <c r="J921" s="3" t="s">
        <v>34</v>
      </c>
      <c r="K921" s="20" t="s">
        <v>17</v>
      </c>
      <c r="L921" s="39">
        <v>-99.59</v>
      </c>
      <c r="M921" s="39">
        <v>0</v>
      </c>
      <c r="N921" s="39">
        <v>0</v>
      </c>
      <c r="O921" s="39">
        <v>0</v>
      </c>
      <c r="P921" s="39">
        <v>0</v>
      </c>
      <c r="Q921" s="39">
        <v>0</v>
      </c>
      <c r="R921" s="39">
        <v>0</v>
      </c>
      <c r="S921" s="39">
        <v>0</v>
      </c>
      <c r="T921" s="39">
        <v>0</v>
      </c>
      <c r="U921" s="39">
        <v>0</v>
      </c>
      <c r="V921" s="39">
        <v>0</v>
      </c>
      <c r="W921" s="39">
        <v>0</v>
      </c>
      <c r="X921" s="39">
        <v>0</v>
      </c>
      <c r="Y921" s="39">
        <v>0</v>
      </c>
      <c r="Z921" s="39">
        <v>0</v>
      </c>
      <c r="AA921" s="39">
        <v>0</v>
      </c>
      <c r="AB921" s="39">
        <v>175.35</v>
      </c>
      <c r="AC921" s="39">
        <v>216.16</v>
      </c>
      <c r="AD921" s="39">
        <v>78</v>
      </c>
      <c r="AE921" s="39">
        <v>184</v>
      </c>
      <c r="AF921" s="39">
        <v>0</v>
      </c>
      <c r="AG921" s="39">
        <v>294</v>
      </c>
      <c r="AH921" s="39"/>
      <c r="AI921" s="39"/>
      <c r="AJ921" s="40"/>
      <c r="AK921" s="39">
        <f t="shared" si="70"/>
        <v>-8.2991666666666664</v>
      </c>
      <c r="AL921" s="39">
        <f t="shared" si="73"/>
        <v>78.959166666666661</v>
      </c>
      <c r="AM921" s="39">
        <f t="shared" si="74"/>
        <v>157.91833333333332</v>
      </c>
      <c r="AN921" s="39">
        <f t="shared" si="71"/>
        <v>94.751000000000005</v>
      </c>
      <c r="AO921" s="39">
        <f t="shared" si="72"/>
        <v>947.51</v>
      </c>
    </row>
    <row r="922" spans="1:41" x14ac:dyDescent="0.3">
      <c r="A922" s="20">
        <v>1000184670</v>
      </c>
      <c r="B922" s="4" t="s">
        <v>147</v>
      </c>
      <c r="C922" s="21"/>
      <c r="D922" s="3"/>
      <c r="E922" s="20">
        <v>1000185288</v>
      </c>
      <c r="F922" s="4" t="s">
        <v>64</v>
      </c>
      <c r="G922" s="21">
        <v>1000189793</v>
      </c>
      <c r="H922" s="3" t="s">
        <v>85</v>
      </c>
      <c r="I922" s="21">
        <v>1000189270</v>
      </c>
      <c r="J922" s="3" t="s">
        <v>34</v>
      </c>
      <c r="K922" s="20" t="s">
        <v>24</v>
      </c>
      <c r="L922" s="39">
        <v>249.66</v>
      </c>
      <c r="M922" s="39">
        <v>0</v>
      </c>
      <c r="N922" s="39">
        <v>172.68</v>
      </c>
      <c r="O922" s="39">
        <v>0</v>
      </c>
      <c r="P922" s="39">
        <v>0</v>
      </c>
      <c r="Q922" s="39">
        <v>0</v>
      </c>
      <c r="R922" s="39">
        <v>0</v>
      </c>
      <c r="S922" s="39">
        <v>0</v>
      </c>
      <c r="T922" s="39">
        <v>0</v>
      </c>
      <c r="U922" s="39">
        <v>0</v>
      </c>
      <c r="V922" s="39">
        <v>0</v>
      </c>
      <c r="W922" s="39">
        <v>0</v>
      </c>
      <c r="X922" s="39">
        <v>0</v>
      </c>
      <c r="Y922" s="39">
        <v>0</v>
      </c>
      <c r="Z922" s="39">
        <v>0</v>
      </c>
      <c r="AA922" s="39">
        <v>0</v>
      </c>
      <c r="AB922" s="39">
        <v>89.76</v>
      </c>
      <c r="AC922" s="39">
        <v>44.88</v>
      </c>
      <c r="AD922" s="39">
        <v>31.83</v>
      </c>
      <c r="AE922" s="39">
        <v>38.9</v>
      </c>
      <c r="AF922" s="39">
        <v>0</v>
      </c>
      <c r="AG922" s="39">
        <v>0</v>
      </c>
      <c r="AH922" s="39"/>
      <c r="AI922" s="39"/>
      <c r="AJ922" s="40"/>
      <c r="AK922" s="39">
        <f t="shared" si="70"/>
        <v>35.195</v>
      </c>
      <c r="AL922" s="39">
        <f t="shared" si="73"/>
        <v>17.114166666666669</v>
      </c>
      <c r="AM922" s="39">
        <f t="shared" si="74"/>
        <v>34.228333333333339</v>
      </c>
      <c r="AN922" s="39">
        <f t="shared" si="71"/>
        <v>20.537000000000003</v>
      </c>
      <c r="AO922" s="39">
        <f t="shared" si="72"/>
        <v>205.37000000000003</v>
      </c>
    </row>
    <row r="923" spans="1:41" x14ac:dyDescent="0.3">
      <c r="A923" s="20">
        <v>1000184670</v>
      </c>
      <c r="B923" s="4" t="s">
        <v>147</v>
      </c>
      <c r="C923" s="21"/>
      <c r="D923" s="3"/>
      <c r="E923" s="20">
        <v>1000185288</v>
      </c>
      <c r="F923" s="4" t="s">
        <v>64</v>
      </c>
      <c r="G923" s="21">
        <v>1000189793</v>
      </c>
      <c r="H923" s="3" t="s">
        <v>85</v>
      </c>
      <c r="I923" s="21">
        <v>1000189270</v>
      </c>
      <c r="J923" s="3" t="s">
        <v>34</v>
      </c>
      <c r="K923" s="20" t="s">
        <v>18</v>
      </c>
      <c r="L923" s="39">
        <v>218.64</v>
      </c>
      <c r="M923" s="39">
        <v>0</v>
      </c>
      <c r="N923" s="39">
        <v>177.6</v>
      </c>
      <c r="O923" s="39">
        <v>0</v>
      </c>
      <c r="P923" s="39">
        <v>0</v>
      </c>
      <c r="Q923" s="39">
        <v>0</v>
      </c>
      <c r="R923" s="39">
        <v>0</v>
      </c>
      <c r="S923" s="39">
        <v>0</v>
      </c>
      <c r="T923" s="39">
        <v>0</v>
      </c>
      <c r="U923" s="39">
        <v>0</v>
      </c>
      <c r="V923" s="39">
        <v>0</v>
      </c>
      <c r="W923" s="39">
        <v>0</v>
      </c>
      <c r="X923" s="39">
        <v>0</v>
      </c>
      <c r="Y923" s="39">
        <v>1960.8</v>
      </c>
      <c r="Z923" s="39">
        <v>1108.8</v>
      </c>
      <c r="AA923" s="39">
        <v>2032.8</v>
      </c>
      <c r="AB923" s="39">
        <v>431.14</v>
      </c>
      <c r="AC923" s="39">
        <v>23.1</v>
      </c>
      <c r="AD923" s="39">
        <v>80</v>
      </c>
      <c r="AE923" s="39">
        <v>87.98</v>
      </c>
      <c r="AF923" s="39">
        <v>0</v>
      </c>
      <c r="AG923" s="39">
        <v>0</v>
      </c>
      <c r="AH923" s="39"/>
      <c r="AI923" s="39"/>
      <c r="AJ923" s="40"/>
      <c r="AK923" s="39">
        <f t="shared" si="70"/>
        <v>33.020000000000003</v>
      </c>
      <c r="AL923" s="39">
        <f t="shared" si="73"/>
        <v>477.05166666666668</v>
      </c>
      <c r="AM923" s="39">
        <f t="shared" si="74"/>
        <v>103.70333333333333</v>
      </c>
      <c r="AN923" s="39">
        <f t="shared" si="71"/>
        <v>572.46199999999999</v>
      </c>
      <c r="AO923" s="39">
        <f t="shared" si="72"/>
        <v>5724.62</v>
      </c>
    </row>
    <row r="924" spans="1:41" x14ac:dyDescent="0.3">
      <c r="A924" s="20">
        <v>1000184670</v>
      </c>
      <c r="B924" s="4" t="s">
        <v>147</v>
      </c>
      <c r="C924" s="21"/>
      <c r="D924" s="3"/>
      <c r="E924" s="20">
        <v>1000185288</v>
      </c>
      <c r="F924" s="4" t="s">
        <v>64</v>
      </c>
      <c r="G924" s="21">
        <v>1000189793</v>
      </c>
      <c r="H924" s="3" t="s">
        <v>85</v>
      </c>
      <c r="I924" s="21">
        <v>1000189270</v>
      </c>
      <c r="J924" s="3" t="s">
        <v>34</v>
      </c>
      <c r="K924" s="20" t="s">
        <v>29</v>
      </c>
      <c r="L924" s="39">
        <v>0</v>
      </c>
      <c r="M924" s="39">
        <v>0</v>
      </c>
      <c r="N924" s="39">
        <v>0</v>
      </c>
      <c r="O924" s="39">
        <v>0</v>
      </c>
      <c r="P924" s="39">
        <v>0</v>
      </c>
      <c r="Q924" s="39">
        <v>0</v>
      </c>
      <c r="R924" s="39">
        <v>0</v>
      </c>
      <c r="S924" s="39">
        <v>0</v>
      </c>
      <c r="T924" s="39">
        <v>0</v>
      </c>
      <c r="U924" s="39">
        <v>0</v>
      </c>
      <c r="V924" s="39">
        <v>0</v>
      </c>
      <c r="W924" s="39">
        <v>0</v>
      </c>
      <c r="X924" s="39">
        <v>0</v>
      </c>
      <c r="Y924" s="39">
        <v>0</v>
      </c>
      <c r="Z924" s="39">
        <v>0</v>
      </c>
      <c r="AA924" s="39">
        <v>1519.59</v>
      </c>
      <c r="AB924" s="39">
        <v>535.79999999999995</v>
      </c>
      <c r="AC924" s="39">
        <v>11918.76</v>
      </c>
      <c r="AD924" s="39">
        <v>92</v>
      </c>
      <c r="AE924" s="39">
        <v>3459</v>
      </c>
      <c r="AF924" s="39">
        <v>537.29999999999995</v>
      </c>
      <c r="AG924" s="39">
        <v>796</v>
      </c>
      <c r="AH924" s="39"/>
      <c r="AI924" s="39"/>
      <c r="AJ924" s="40"/>
      <c r="AK924" s="39">
        <f t="shared" si="70"/>
        <v>0</v>
      </c>
      <c r="AL924" s="39">
        <f t="shared" si="73"/>
        <v>1571.5375000000001</v>
      </c>
      <c r="AM924" s="39">
        <f t="shared" si="74"/>
        <v>2889.81</v>
      </c>
      <c r="AN924" s="39">
        <f t="shared" si="71"/>
        <v>1885.845</v>
      </c>
      <c r="AO924" s="39">
        <f t="shared" si="72"/>
        <v>18858.45</v>
      </c>
    </row>
    <row r="925" spans="1:41" x14ac:dyDescent="0.3">
      <c r="A925" s="20">
        <v>1000184670</v>
      </c>
      <c r="B925" s="4" t="s">
        <v>147</v>
      </c>
      <c r="C925" s="21"/>
      <c r="D925" s="3"/>
      <c r="E925" s="20">
        <v>1000185288</v>
      </c>
      <c r="F925" s="4" t="s">
        <v>64</v>
      </c>
      <c r="G925" s="21">
        <v>1000189793</v>
      </c>
      <c r="H925" s="3" t="s">
        <v>85</v>
      </c>
      <c r="I925" s="21">
        <v>1000189270</v>
      </c>
      <c r="J925" s="3" t="s">
        <v>34</v>
      </c>
      <c r="K925" s="20" t="s">
        <v>21</v>
      </c>
      <c r="L925" s="39">
        <v>0</v>
      </c>
      <c r="M925" s="39">
        <v>0</v>
      </c>
      <c r="N925" s="39">
        <v>0</v>
      </c>
      <c r="O925" s="39">
        <v>0</v>
      </c>
      <c r="P925" s="39">
        <v>0</v>
      </c>
      <c r="Q925" s="39">
        <v>0</v>
      </c>
      <c r="R925" s="39">
        <v>0</v>
      </c>
      <c r="S925" s="39">
        <v>0</v>
      </c>
      <c r="T925" s="39">
        <v>0</v>
      </c>
      <c r="U925" s="39">
        <v>0</v>
      </c>
      <c r="V925" s="39">
        <v>0</v>
      </c>
      <c r="W925" s="39">
        <v>0</v>
      </c>
      <c r="X925" s="39">
        <v>0</v>
      </c>
      <c r="Y925" s="39">
        <v>0</v>
      </c>
      <c r="Z925" s="39">
        <v>0</v>
      </c>
      <c r="AA925" s="39">
        <v>1934.18</v>
      </c>
      <c r="AB925" s="39">
        <v>1650.1</v>
      </c>
      <c r="AC925" s="39">
        <v>1063.3699999999999</v>
      </c>
      <c r="AD925" s="39">
        <v>1752.87</v>
      </c>
      <c r="AE925" s="39">
        <v>2233.59</v>
      </c>
      <c r="AF925" s="39">
        <v>2710.62</v>
      </c>
      <c r="AG925" s="39">
        <v>14148.57</v>
      </c>
      <c r="AH925" s="39"/>
      <c r="AI925" s="39"/>
      <c r="AJ925" s="40"/>
      <c r="AK925" s="39">
        <f t="shared" si="70"/>
        <v>0</v>
      </c>
      <c r="AL925" s="39">
        <f t="shared" si="73"/>
        <v>2124.4416666666666</v>
      </c>
      <c r="AM925" s="39">
        <f t="shared" si="74"/>
        <v>3926.52</v>
      </c>
      <c r="AN925" s="39">
        <f t="shared" si="71"/>
        <v>2549.33</v>
      </c>
      <c r="AO925" s="39">
        <f t="shared" si="72"/>
        <v>25493.3</v>
      </c>
    </row>
    <row r="926" spans="1:41" x14ac:dyDescent="0.3">
      <c r="A926" s="20">
        <v>1000184670</v>
      </c>
      <c r="B926" s="4" t="s">
        <v>147</v>
      </c>
      <c r="C926" s="21"/>
      <c r="D926" s="3"/>
      <c r="E926" s="20">
        <v>1000185288</v>
      </c>
      <c r="F926" s="4" t="s">
        <v>64</v>
      </c>
      <c r="G926" s="21">
        <v>1000189793</v>
      </c>
      <c r="H926" s="3" t="s">
        <v>85</v>
      </c>
      <c r="I926" s="21">
        <v>1000189270</v>
      </c>
      <c r="J926" s="3" t="s">
        <v>34</v>
      </c>
      <c r="K926" s="20" t="s">
        <v>20</v>
      </c>
      <c r="L926" s="39">
        <v>-257.61</v>
      </c>
      <c r="M926" s="39">
        <v>0</v>
      </c>
      <c r="N926" s="39">
        <v>197.4</v>
      </c>
      <c r="O926" s="39">
        <v>0</v>
      </c>
      <c r="P926" s="39">
        <v>0</v>
      </c>
      <c r="Q926" s="39">
        <v>0</v>
      </c>
      <c r="R926" s="39">
        <v>0</v>
      </c>
      <c r="S926" s="39">
        <v>0</v>
      </c>
      <c r="T926" s="39">
        <v>0</v>
      </c>
      <c r="U926" s="39">
        <v>0</v>
      </c>
      <c r="V926" s="39">
        <v>0</v>
      </c>
      <c r="W926" s="39">
        <v>0</v>
      </c>
      <c r="X926" s="39">
        <v>0</v>
      </c>
      <c r="Y926" s="39">
        <v>0</v>
      </c>
      <c r="Z926" s="39">
        <v>0</v>
      </c>
      <c r="AA926" s="39">
        <v>0</v>
      </c>
      <c r="AB926" s="39">
        <v>103.08</v>
      </c>
      <c r="AC926" s="39">
        <v>0</v>
      </c>
      <c r="AD926" s="39">
        <v>125.26</v>
      </c>
      <c r="AE926" s="39">
        <v>454.91</v>
      </c>
      <c r="AF926" s="39">
        <v>0</v>
      </c>
      <c r="AG926" s="39">
        <v>206.4</v>
      </c>
      <c r="AH926" s="39"/>
      <c r="AI926" s="39"/>
      <c r="AJ926" s="40"/>
      <c r="AK926" s="39">
        <f t="shared" si="70"/>
        <v>-5.017500000000001</v>
      </c>
      <c r="AL926" s="39">
        <f t="shared" si="73"/>
        <v>74.137500000000003</v>
      </c>
      <c r="AM926" s="39">
        <f t="shared" si="74"/>
        <v>148.27500000000001</v>
      </c>
      <c r="AN926" s="39">
        <f t="shared" si="71"/>
        <v>88.965000000000003</v>
      </c>
      <c r="AO926" s="39">
        <f t="shared" si="72"/>
        <v>889.65</v>
      </c>
    </row>
    <row r="927" spans="1:41" x14ac:dyDescent="0.3">
      <c r="A927" s="20">
        <v>1000184670</v>
      </c>
      <c r="B927" s="4" t="s">
        <v>147</v>
      </c>
      <c r="C927" s="21"/>
      <c r="D927" s="3"/>
      <c r="E927" s="20">
        <v>1000185288</v>
      </c>
      <c r="F927" s="4" t="s">
        <v>64</v>
      </c>
      <c r="G927" s="21">
        <v>1000189793</v>
      </c>
      <c r="H927" s="3" t="s">
        <v>85</v>
      </c>
      <c r="I927" s="21">
        <v>1000189270</v>
      </c>
      <c r="J927" s="3" t="s">
        <v>34</v>
      </c>
      <c r="K927" s="20" t="s">
        <v>22</v>
      </c>
      <c r="L927" s="39">
        <v>-48.56</v>
      </c>
      <c r="M927" s="39">
        <v>0</v>
      </c>
      <c r="N927" s="39">
        <v>536.4</v>
      </c>
      <c r="O927" s="39">
        <v>0</v>
      </c>
      <c r="P927" s="39">
        <v>0</v>
      </c>
      <c r="Q927" s="39">
        <v>0</v>
      </c>
      <c r="R927" s="39">
        <v>0</v>
      </c>
      <c r="S927" s="39">
        <v>0</v>
      </c>
      <c r="T927" s="39">
        <v>0</v>
      </c>
      <c r="U927" s="39">
        <v>0</v>
      </c>
      <c r="V927" s="39">
        <v>0</v>
      </c>
      <c r="W927" s="39">
        <v>0</v>
      </c>
      <c r="X927" s="39">
        <v>0</v>
      </c>
      <c r="Y927" s="39">
        <v>0</v>
      </c>
      <c r="Z927" s="39">
        <v>0</v>
      </c>
      <c r="AA927" s="39">
        <v>138.52000000000001</v>
      </c>
      <c r="AB927" s="39">
        <v>1399.35</v>
      </c>
      <c r="AC927" s="39">
        <v>202.7</v>
      </c>
      <c r="AD927" s="39">
        <v>81.48</v>
      </c>
      <c r="AE927" s="39">
        <v>1009.8</v>
      </c>
      <c r="AF927" s="39">
        <v>1495.8</v>
      </c>
      <c r="AG927" s="39">
        <v>1048.25</v>
      </c>
      <c r="AH927" s="39"/>
      <c r="AI927" s="39"/>
      <c r="AJ927" s="40"/>
      <c r="AK927" s="39">
        <f t="shared" si="70"/>
        <v>40.653333333333329</v>
      </c>
      <c r="AL927" s="39">
        <f t="shared" si="73"/>
        <v>447.99166666666662</v>
      </c>
      <c r="AM927" s="39">
        <f t="shared" si="74"/>
        <v>872.89666666666665</v>
      </c>
      <c r="AN927" s="39">
        <f t="shared" si="71"/>
        <v>537.58999999999992</v>
      </c>
      <c r="AO927" s="39">
        <f t="shared" si="72"/>
        <v>5375.9</v>
      </c>
    </row>
    <row r="928" spans="1:41" x14ac:dyDescent="0.3">
      <c r="A928" s="20">
        <v>1000184670</v>
      </c>
      <c r="B928" s="4" t="s">
        <v>147</v>
      </c>
      <c r="C928" s="21"/>
      <c r="D928" s="3"/>
      <c r="E928" s="20">
        <v>1000185288</v>
      </c>
      <c r="F928" s="4" t="s">
        <v>64</v>
      </c>
      <c r="G928" s="21">
        <v>1000189793</v>
      </c>
      <c r="H928" s="3" t="s">
        <v>85</v>
      </c>
      <c r="I928" s="21">
        <v>1000189270</v>
      </c>
      <c r="J928" s="3" t="s">
        <v>34</v>
      </c>
      <c r="K928" s="20" t="s">
        <v>23</v>
      </c>
      <c r="L928" s="39">
        <v>0</v>
      </c>
      <c r="M928" s="39">
        <v>0</v>
      </c>
      <c r="N928" s="39">
        <v>0</v>
      </c>
      <c r="O928" s="39">
        <v>0</v>
      </c>
      <c r="P928" s="39">
        <v>0</v>
      </c>
      <c r="Q928" s="39">
        <v>0</v>
      </c>
      <c r="R928" s="39">
        <v>0</v>
      </c>
      <c r="S928" s="39">
        <v>0</v>
      </c>
      <c r="T928" s="39">
        <v>0</v>
      </c>
      <c r="U928" s="39">
        <v>0</v>
      </c>
      <c r="V928" s="39">
        <v>0</v>
      </c>
      <c r="W928" s="39">
        <v>0</v>
      </c>
      <c r="X928" s="39">
        <v>0</v>
      </c>
      <c r="Y928" s="39">
        <v>0</v>
      </c>
      <c r="Z928" s="39">
        <v>0</v>
      </c>
      <c r="AA928" s="39">
        <v>1214.3699999999999</v>
      </c>
      <c r="AB928" s="39">
        <v>2428.7399999999998</v>
      </c>
      <c r="AC928" s="39">
        <v>2589.87</v>
      </c>
      <c r="AD928" s="39">
        <v>2444.7399999999998</v>
      </c>
      <c r="AE928" s="39">
        <v>0</v>
      </c>
      <c r="AF928" s="39">
        <v>0</v>
      </c>
      <c r="AG928" s="39">
        <v>2570.34</v>
      </c>
      <c r="AH928" s="39"/>
      <c r="AI928" s="39"/>
      <c r="AJ928" s="40"/>
      <c r="AK928" s="39">
        <f t="shared" si="70"/>
        <v>0</v>
      </c>
      <c r="AL928" s="39">
        <f t="shared" si="73"/>
        <v>937.33833333333325</v>
      </c>
      <c r="AM928" s="39">
        <f t="shared" si="74"/>
        <v>1672.2816666666665</v>
      </c>
      <c r="AN928" s="39">
        <f t="shared" si="71"/>
        <v>1124.806</v>
      </c>
      <c r="AO928" s="39">
        <f t="shared" si="72"/>
        <v>11248.06</v>
      </c>
    </row>
    <row r="929" spans="1:41" x14ac:dyDescent="0.3">
      <c r="A929" s="20">
        <v>1000184670</v>
      </c>
      <c r="B929" s="4" t="s">
        <v>147</v>
      </c>
      <c r="C929" s="21"/>
      <c r="D929" s="3"/>
      <c r="E929" s="20">
        <v>1000185288</v>
      </c>
      <c r="F929" s="4" t="s">
        <v>64</v>
      </c>
      <c r="G929" s="21">
        <v>1000189793</v>
      </c>
      <c r="H929" s="3" t="s">
        <v>85</v>
      </c>
      <c r="I929" s="21">
        <v>1000189270</v>
      </c>
      <c r="J929" s="3" t="s">
        <v>34</v>
      </c>
      <c r="K929" s="20" t="s">
        <v>28</v>
      </c>
      <c r="L929" s="39">
        <v>0</v>
      </c>
      <c r="M929" s="39">
        <v>0</v>
      </c>
      <c r="N929" s="39">
        <v>0</v>
      </c>
      <c r="O929" s="39">
        <v>0</v>
      </c>
      <c r="P929" s="39">
        <v>0</v>
      </c>
      <c r="Q929" s="39">
        <v>0</v>
      </c>
      <c r="R929" s="39">
        <v>0</v>
      </c>
      <c r="S929" s="39">
        <v>0</v>
      </c>
      <c r="T929" s="39">
        <v>0</v>
      </c>
      <c r="U929" s="39">
        <v>0</v>
      </c>
      <c r="V929" s="39">
        <v>0</v>
      </c>
      <c r="W929" s="39">
        <v>0</v>
      </c>
      <c r="X929" s="39">
        <v>0</v>
      </c>
      <c r="Y929" s="39">
        <v>0</v>
      </c>
      <c r="Z929" s="39">
        <v>0</v>
      </c>
      <c r="AA929" s="39">
        <v>0</v>
      </c>
      <c r="AB929" s="39">
        <v>0</v>
      </c>
      <c r="AC929" s="39">
        <v>0</v>
      </c>
      <c r="AD929" s="39">
        <v>0</v>
      </c>
      <c r="AE929" s="39">
        <v>0</v>
      </c>
      <c r="AF929" s="39">
        <v>0</v>
      </c>
      <c r="AG929" s="39">
        <v>0</v>
      </c>
      <c r="AH929" s="39"/>
      <c r="AI929" s="39"/>
      <c r="AJ929" s="40"/>
      <c r="AK929" s="39">
        <f t="shared" si="70"/>
        <v>0</v>
      </c>
      <c r="AL929" s="39">
        <f t="shared" si="73"/>
        <v>0</v>
      </c>
      <c r="AM929" s="39">
        <f t="shared" si="74"/>
        <v>0</v>
      </c>
      <c r="AN929" s="39">
        <f t="shared" si="71"/>
        <v>0</v>
      </c>
      <c r="AO929" s="39">
        <f t="shared" si="72"/>
        <v>0</v>
      </c>
    </row>
    <row r="930" spans="1:41" x14ac:dyDescent="0.3">
      <c r="A930" s="20">
        <v>1000184670</v>
      </c>
      <c r="B930" s="4" t="s">
        <v>147</v>
      </c>
      <c r="C930" s="21"/>
      <c r="D930" s="3"/>
      <c r="E930" s="20">
        <v>1000185288</v>
      </c>
      <c r="F930" s="4" t="s">
        <v>64</v>
      </c>
      <c r="G930" s="21">
        <v>1000189793</v>
      </c>
      <c r="H930" s="3" t="s">
        <v>85</v>
      </c>
      <c r="I930" s="21">
        <v>1000189270</v>
      </c>
      <c r="J930" s="3" t="s">
        <v>34</v>
      </c>
      <c r="K930" s="20" t="s">
        <v>26</v>
      </c>
      <c r="L930" s="39">
        <v>0</v>
      </c>
      <c r="M930" s="39">
        <v>0</v>
      </c>
      <c r="N930" s="39">
        <v>0</v>
      </c>
      <c r="O930" s="39">
        <v>0</v>
      </c>
      <c r="P930" s="39">
        <v>0</v>
      </c>
      <c r="Q930" s="39">
        <v>0</v>
      </c>
      <c r="R930" s="39">
        <v>0</v>
      </c>
      <c r="S930" s="39">
        <v>0</v>
      </c>
      <c r="T930" s="39">
        <v>0</v>
      </c>
      <c r="U930" s="39">
        <v>0</v>
      </c>
      <c r="V930" s="39">
        <v>0</v>
      </c>
      <c r="W930" s="39">
        <v>0</v>
      </c>
      <c r="X930" s="39">
        <v>0</v>
      </c>
      <c r="Y930" s="39">
        <v>0</v>
      </c>
      <c r="Z930" s="39">
        <v>0</v>
      </c>
      <c r="AA930" s="39">
        <v>0</v>
      </c>
      <c r="AB930" s="39">
        <v>4313.68</v>
      </c>
      <c r="AC930" s="39">
        <v>342.69</v>
      </c>
      <c r="AD930" s="39">
        <v>306</v>
      </c>
      <c r="AE930" s="39">
        <v>1452</v>
      </c>
      <c r="AF930" s="39">
        <v>2166</v>
      </c>
      <c r="AG930" s="39">
        <v>1800</v>
      </c>
      <c r="AH930" s="39"/>
      <c r="AI930" s="39"/>
      <c r="AJ930" s="40"/>
      <c r="AK930" s="39">
        <f t="shared" si="70"/>
        <v>0</v>
      </c>
      <c r="AL930" s="39">
        <f t="shared" si="73"/>
        <v>865.03083333333325</v>
      </c>
      <c r="AM930" s="39">
        <f t="shared" si="74"/>
        <v>1730.0616666666665</v>
      </c>
      <c r="AN930" s="39">
        <f t="shared" si="71"/>
        <v>1038.0369999999998</v>
      </c>
      <c r="AO930" s="39">
        <f t="shared" si="72"/>
        <v>10380.369999999999</v>
      </c>
    </row>
    <row r="931" spans="1:41" x14ac:dyDescent="0.3">
      <c r="A931" s="20">
        <v>1000184670</v>
      </c>
      <c r="B931" s="4" t="s">
        <v>147</v>
      </c>
      <c r="C931" s="21"/>
      <c r="D931" s="3"/>
      <c r="E931" s="20">
        <v>1000185288</v>
      </c>
      <c r="F931" s="4" t="s">
        <v>64</v>
      </c>
      <c r="G931" s="21">
        <v>1000189793</v>
      </c>
      <c r="H931" s="3" t="s">
        <v>85</v>
      </c>
      <c r="I931" s="21">
        <v>1000189270</v>
      </c>
      <c r="J931" s="3" t="s">
        <v>34</v>
      </c>
      <c r="K931" s="20" t="s">
        <v>27</v>
      </c>
      <c r="L931" s="39">
        <v>0</v>
      </c>
      <c r="M931" s="39">
        <v>0</v>
      </c>
      <c r="N931" s="39">
        <v>0</v>
      </c>
      <c r="O931" s="39">
        <v>0</v>
      </c>
      <c r="P931" s="39">
        <v>0</v>
      </c>
      <c r="Q931" s="39">
        <v>0</v>
      </c>
      <c r="R931" s="39">
        <v>0</v>
      </c>
      <c r="S931" s="39">
        <v>0</v>
      </c>
      <c r="T931" s="39">
        <v>0</v>
      </c>
      <c r="U931" s="39">
        <v>0</v>
      </c>
      <c r="V931" s="39">
        <v>807.5</v>
      </c>
      <c r="W931" s="39">
        <v>0</v>
      </c>
      <c r="X931" s="39">
        <v>0</v>
      </c>
      <c r="Y931" s="39">
        <v>0</v>
      </c>
      <c r="Z931" s="39">
        <v>13518.2</v>
      </c>
      <c r="AA931" s="39">
        <v>55723.85</v>
      </c>
      <c r="AB931" s="39">
        <v>2192.52</v>
      </c>
      <c r="AC931" s="39">
        <v>1107.76</v>
      </c>
      <c r="AD931" s="39">
        <v>134.35</v>
      </c>
      <c r="AE931" s="39">
        <v>1211</v>
      </c>
      <c r="AF931" s="39">
        <v>0</v>
      </c>
      <c r="AG931" s="39">
        <v>0</v>
      </c>
      <c r="AH931" s="39"/>
      <c r="AI931" s="39"/>
      <c r="AJ931" s="40"/>
      <c r="AK931" s="39">
        <f t="shared" si="70"/>
        <v>67.291666666666671</v>
      </c>
      <c r="AL931" s="39">
        <f t="shared" si="73"/>
        <v>6224.5983333333343</v>
      </c>
      <c r="AM931" s="39">
        <f t="shared" si="74"/>
        <v>774.27166666666653</v>
      </c>
      <c r="AN931" s="39">
        <f t="shared" si="71"/>
        <v>7388.7680000000009</v>
      </c>
      <c r="AO931" s="39">
        <f t="shared" si="72"/>
        <v>73887.680000000008</v>
      </c>
    </row>
    <row r="932" spans="1:41" x14ac:dyDescent="0.3">
      <c r="A932" s="20">
        <v>1000184670</v>
      </c>
      <c r="B932" s="4" t="s">
        <v>147</v>
      </c>
      <c r="C932" s="21"/>
      <c r="D932" s="3"/>
      <c r="E932" s="20">
        <v>1000185288</v>
      </c>
      <c r="F932" s="4" t="s">
        <v>64</v>
      </c>
      <c r="G932" s="21">
        <v>1000189793</v>
      </c>
      <c r="H932" s="3" t="s">
        <v>85</v>
      </c>
      <c r="I932" s="21">
        <v>1000189270</v>
      </c>
      <c r="J932" s="3" t="s">
        <v>34</v>
      </c>
      <c r="K932" s="20" t="s">
        <v>25</v>
      </c>
      <c r="L932" s="39">
        <v>0</v>
      </c>
      <c r="M932" s="39">
        <v>0</v>
      </c>
      <c r="N932" s="39">
        <v>-2050.13</v>
      </c>
      <c r="O932" s="39">
        <v>0</v>
      </c>
      <c r="P932" s="39">
        <v>0</v>
      </c>
      <c r="Q932" s="39">
        <v>0</v>
      </c>
      <c r="R932" s="39">
        <v>0</v>
      </c>
      <c r="S932" s="39">
        <v>0</v>
      </c>
      <c r="T932" s="39">
        <v>0</v>
      </c>
      <c r="U932" s="39">
        <v>0</v>
      </c>
      <c r="V932" s="39">
        <v>0</v>
      </c>
      <c r="W932" s="39">
        <v>0</v>
      </c>
      <c r="X932" s="39">
        <v>0</v>
      </c>
      <c r="Y932" s="39">
        <v>0</v>
      </c>
      <c r="Z932" s="39">
        <v>0</v>
      </c>
      <c r="AA932" s="39">
        <v>114.75</v>
      </c>
      <c r="AB932" s="39">
        <v>1778.21</v>
      </c>
      <c r="AC932" s="39">
        <v>158.4</v>
      </c>
      <c r="AD932" s="39">
        <v>148.5</v>
      </c>
      <c r="AE932" s="39">
        <v>0</v>
      </c>
      <c r="AF932" s="39">
        <v>0</v>
      </c>
      <c r="AG932" s="39">
        <v>0</v>
      </c>
      <c r="AH932" s="39"/>
      <c r="AI932" s="39"/>
      <c r="AJ932" s="40"/>
      <c r="AK932" s="39">
        <f t="shared" si="70"/>
        <v>-170.84416666666667</v>
      </c>
      <c r="AL932" s="39">
        <f t="shared" si="73"/>
        <v>183.32166666666669</v>
      </c>
      <c r="AM932" s="39">
        <f t="shared" si="74"/>
        <v>347.51833333333337</v>
      </c>
      <c r="AN932" s="39">
        <f t="shared" si="71"/>
        <v>219.98600000000002</v>
      </c>
      <c r="AO932" s="39">
        <f t="shared" si="72"/>
        <v>2199.86</v>
      </c>
    </row>
    <row r="933" spans="1:41" x14ac:dyDescent="0.3">
      <c r="A933" s="20">
        <v>1000184670</v>
      </c>
      <c r="B933" s="4" t="s">
        <v>147</v>
      </c>
      <c r="C933" s="21"/>
      <c r="D933" s="3"/>
      <c r="E933" s="20">
        <v>1000185288</v>
      </c>
      <c r="F933" s="4" t="s">
        <v>64</v>
      </c>
      <c r="G933" s="21">
        <v>1000189794</v>
      </c>
      <c r="H933" s="3" t="s">
        <v>117</v>
      </c>
      <c r="I933" s="21">
        <v>1000189270</v>
      </c>
      <c r="J933" s="3" t="s">
        <v>34</v>
      </c>
      <c r="K933" s="20" t="s">
        <v>124</v>
      </c>
      <c r="L933" s="39">
        <v>0</v>
      </c>
      <c r="M933" s="39">
        <v>0</v>
      </c>
      <c r="N933" s="39">
        <v>0</v>
      </c>
      <c r="O933" s="39">
        <v>0</v>
      </c>
      <c r="P933" s="39">
        <v>0</v>
      </c>
      <c r="Q933" s="39">
        <v>0</v>
      </c>
      <c r="R933" s="39">
        <v>0</v>
      </c>
      <c r="S933" s="39">
        <v>0</v>
      </c>
      <c r="T933" s="39">
        <v>0</v>
      </c>
      <c r="U933" s="39">
        <v>0</v>
      </c>
      <c r="V933" s="39">
        <v>0</v>
      </c>
      <c r="W933" s="39">
        <v>0</v>
      </c>
      <c r="X933" s="39">
        <v>0</v>
      </c>
      <c r="Y933" s="39">
        <v>0</v>
      </c>
      <c r="Z933" s="39">
        <v>0</v>
      </c>
      <c r="AA933" s="39">
        <v>0</v>
      </c>
      <c r="AB933" s="39">
        <v>0</v>
      </c>
      <c r="AC933" s="39">
        <v>0</v>
      </c>
      <c r="AD933" s="39">
        <v>0</v>
      </c>
      <c r="AE933" s="39">
        <v>0</v>
      </c>
      <c r="AF933" s="39">
        <v>0</v>
      </c>
      <c r="AG933" s="39">
        <v>0</v>
      </c>
      <c r="AH933" s="39"/>
      <c r="AI933" s="39"/>
      <c r="AJ933" s="40"/>
      <c r="AK933" s="39">
        <f t="shared" si="70"/>
        <v>0</v>
      </c>
      <c r="AL933" s="39">
        <f t="shared" si="73"/>
        <v>0</v>
      </c>
      <c r="AM933" s="39">
        <f t="shared" si="74"/>
        <v>0</v>
      </c>
      <c r="AN933" s="39">
        <f t="shared" si="71"/>
        <v>0</v>
      </c>
      <c r="AO933" s="39">
        <f t="shared" si="72"/>
        <v>0</v>
      </c>
    </row>
    <row r="934" spans="1:41" x14ac:dyDescent="0.3">
      <c r="A934" s="20">
        <v>1000184670</v>
      </c>
      <c r="B934" s="4" t="s">
        <v>147</v>
      </c>
      <c r="C934" s="21"/>
      <c r="D934" s="3"/>
      <c r="E934" s="20">
        <v>1000185288</v>
      </c>
      <c r="F934" s="4" t="s">
        <v>64</v>
      </c>
      <c r="G934" s="21">
        <v>1000189794</v>
      </c>
      <c r="H934" s="3" t="s">
        <v>117</v>
      </c>
      <c r="I934" s="21">
        <v>1000189270</v>
      </c>
      <c r="J934" s="3" t="s">
        <v>34</v>
      </c>
      <c r="K934" s="20" t="s">
        <v>13</v>
      </c>
      <c r="L934" s="39">
        <v>0</v>
      </c>
      <c r="M934" s="39">
        <v>0</v>
      </c>
      <c r="N934" s="39">
        <v>0</v>
      </c>
      <c r="O934" s="39">
        <v>0</v>
      </c>
      <c r="P934" s="39">
        <v>0</v>
      </c>
      <c r="Q934" s="39">
        <v>0</v>
      </c>
      <c r="R934" s="39">
        <v>0</v>
      </c>
      <c r="S934" s="39">
        <v>0</v>
      </c>
      <c r="T934" s="39">
        <v>0</v>
      </c>
      <c r="U934" s="39">
        <v>0</v>
      </c>
      <c r="V934" s="39">
        <v>0</v>
      </c>
      <c r="W934" s="39">
        <v>0</v>
      </c>
      <c r="X934" s="39">
        <v>0</v>
      </c>
      <c r="Y934" s="39">
        <v>0</v>
      </c>
      <c r="Z934" s="39">
        <v>0</v>
      </c>
      <c r="AA934" s="39">
        <v>22.04</v>
      </c>
      <c r="AB934" s="39">
        <v>0</v>
      </c>
      <c r="AC934" s="39">
        <v>0</v>
      </c>
      <c r="AD934" s="39">
        <v>0</v>
      </c>
      <c r="AE934" s="39">
        <v>251.65</v>
      </c>
      <c r="AF934" s="39">
        <v>0</v>
      </c>
      <c r="AG934" s="39">
        <v>0</v>
      </c>
      <c r="AH934" s="39"/>
      <c r="AI934" s="39"/>
      <c r="AJ934" s="40"/>
      <c r="AK934" s="39">
        <f t="shared" si="70"/>
        <v>0</v>
      </c>
      <c r="AL934" s="39">
        <f t="shared" si="73"/>
        <v>22.807500000000001</v>
      </c>
      <c r="AM934" s="39">
        <f t="shared" si="74"/>
        <v>41.94166666666667</v>
      </c>
      <c r="AN934" s="39">
        <f t="shared" si="71"/>
        <v>27.369</v>
      </c>
      <c r="AO934" s="39">
        <f t="shared" si="72"/>
        <v>273.69</v>
      </c>
    </row>
    <row r="935" spans="1:41" x14ac:dyDescent="0.3">
      <c r="A935" s="20">
        <v>1000184670</v>
      </c>
      <c r="B935" s="4" t="s">
        <v>147</v>
      </c>
      <c r="C935" s="21"/>
      <c r="D935" s="3"/>
      <c r="E935" s="20">
        <v>1000185288</v>
      </c>
      <c r="F935" s="4" t="s">
        <v>64</v>
      </c>
      <c r="G935" s="21">
        <v>1000189794</v>
      </c>
      <c r="H935" s="3" t="s">
        <v>117</v>
      </c>
      <c r="I935" s="21">
        <v>1000189270</v>
      </c>
      <c r="J935" s="3" t="s">
        <v>34</v>
      </c>
      <c r="K935" s="20" t="s">
        <v>14</v>
      </c>
      <c r="L935" s="39">
        <v>0</v>
      </c>
      <c r="M935" s="39">
        <v>0</v>
      </c>
      <c r="N935" s="39">
        <v>0</v>
      </c>
      <c r="O935" s="39">
        <v>0</v>
      </c>
      <c r="P935" s="39">
        <v>0</v>
      </c>
      <c r="Q935" s="39">
        <v>0</v>
      </c>
      <c r="R935" s="39">
        <v>0</v>
      </c>
      <c r="S935" s="39">
        <v>0</v>
      </c>
      <c r="T935" s="39">
        <v>0</v>
      </c>
      <c r="U935" s="39">
        <v>0</v>
      </c>
      <c r="V935" s="39">
        <v>0</v>
      </c>
      <c r="W935" s="39">
        <v>0</v>
      </c>
      <c r="X935" s="39">
        <v>0</v>
      </c>
      <c r="Y935" s="39">
        <v>0</v>
      </c>
      <c r="Z935" s="39">
        <v>0</v>
      </c>
      <c r="AA935" s="39">
        <v>175.5</v>
      </c>
      <c r="AB935" s="39">
        <v>0</v>
      </c>
      <c r="AC935" s="39">
        <v>0</v>
      </c>
      <c r="AD935" s="39">
        <v>0</v>
      </c>
      <c r="AE935" s="39">
        <v>319.2</v>
      </c>
      <c r="AF935" s="39">
        <v>0</v>
      </c>
      <c r="AG935" s="39">
        <v>0</v>
      </c>
      <c r="AH935" s="39"/>
      <c r="AI935" s="39"/>
      <c r="AJ935" s="40"/>
      <c r="AK935" s="39">
        <f t="shared" si="70"/>
        <v>0</v>
      </c>
      <c r="AL935" s="39">
        <f t="shared" si="73"/>
        <v>41.225000000000001</v>
      </c>
      <c r="AM935" s="39">
        <f t="shared" si="74"/>
        <v>53.199999999999996</v>
      </c>
      <c r="AN935" s="39">
        <f t="shared" si="71"/>
        <v>49.47</v>
      </c>
      <c r="AO935" s="39">
        <f t="shared" si="72"/>
        <v>494.7</v>
      </c>
    </row>
    <row r="936" spans="1:41" x14ac:dyDescent="0.3">
      <c r="A936" s="20">
        <v>1000184670</v>
      </c>
      <c r="B936" s="4" t="s">
        <v>147</v>
      </c>
      <c r="C936" s="21"/>
      <c r="D936" s="3"/>
      <c r="E936" s="20">
        <v>1000185288</v>
      </c>
      <c r="F936" s="4" t="s">
        <v>64</v>
      </c>
      <c r="G936" s="21">
        <v>1000189794</v>
      </c>
      <c r="H936" s="3" t="s">
        <v>117</v>
      </c>
      <c r="I936" s="21">
        <v>1000189270</v>
      </c>
      <c r="J936" s="3" t="s">
        <v>34</v>
      </c>
      <c r="K936" s="20" t="s">
        <v>16</v>
      </c>
      <c r="L936" s="39">
        <v>0</v>
      </c>
      <c r="M936" s="39">
        <v>0</v>
      </c>
      <c r="N936" s="39">
        <v>0</v>
      </c>
      <c r="O936" s="39">
        <v>0</v>
      </c>
      <c r="P936" s="39">
        <v>0</v>
      </c>
      <c r="Q936" s="39">
        <v>0</v>
      </c>
      <c r="R936" s="39">
        <v>0</v>
      </c>
      <c r="S936" s="39">
        <v>0</v>
      </c>
      <c r="T936" s="39">
        <v>0</v>
      </c>
      <c r="U936" s="39">
        <v>0</v>
      </c>
      <c r="V936" s="39">
        <v>0</v>
      </c>
      <c r="W936" s="39">
        <v>0</v>
      </c>
      <c r="X936" s="39">
        <v>0</v>
      </c>
      <c r="Y936" s="39">
        <v>0</v>
      </c>
      <c r="Z936" s="39">
        <v>0</v>
      </c>
      <c r="AA936" s="39">
        <v>245.57</v>
      </c>
      <c r="AB936" s="39">
        <v>0</v>
      </c>
      <c r="AC936" s="39">
        <v>0</v>
      </c>
      <c r="AD936" s="39">
        <v>0</v>
      </c>
      <c r="AE936" s="39">
        <v>135.66</v>
      </c>
      <c r="AF936" s="39">
        <v>63.5</v>
      </c>
      <c r="AG936" s="39">
        <v>0</v>
      </c>
      <c r="AH936" s="39"/>
      <c r="AI936" s="39"/>
      <c r="AJ936" s="40"/>
      <c r="AK936" s="39">
        <f t="shared" si="70"/>
        <v>0</v>
      </c>
      <c r="AL936" s="39">
        <f t="shared" si="73"/>
        <v>37.060833333333335</v>
      </c>
      <c r="AM936" s="39">
        <f t="shared" si="74"/>
        <v>33.193333333333335</v>
      </c>
      <c r="AN936" s="39">
        <f t="shared" si="71"/>
        <v>44.472999999999999</v>
      </c>
      <c r="AO936" s="39">
        <f t="shared" si="72"/>
        <v>444.73</v>
      </c>
    </row>
    <row r="937" spans="1:41" x14ac:dyDescent="0.3">
      <c r="A937" s="20">
        <v>1000184670</v>
      </c>
      <c r="B937" s="4" t="s">
        <v>147</v>
      </c>
      <c r="C937" s="21"/>
      <c r="D937" s="3"/>
      <c r="E937" s="20">
        <v>1000185288</v>
      </c>
      <c r="F937" s="4" t="s">
        <v>64</v>
      </c>
      <c r="G937" s="21">
        <v>1000189794</v>
      </c>
      <c r="H937" s="3" t="s">
        <v>117</v>
      </c>
      <c r="I937" s="21">
        <v>1000189270</v>
      </c>
      <c r="J937" s="3" t="s">
        <v>34</v>
      </c>
      <c r="K937" s="20" t="s">
        <v>15</v>
      </c>
      <c r="L937" s="39">
        <v>0</v>
      </c>
      <c r="M937" s="39">
        <v>0</v>
      </c>
      <c r="N937" s="39">
        <v>0</v>
      </c>
      <c r="O937" s="39">
        <v>0</v>
      </c>
      <c r="P937" s="39">
        <v>0</v>
      </c>
      <c r="Q937" s="39">
        <v>0</v>
      </c>
      <c r="R937" s="39">
        <v>0</v>
      </c>
      <c r="S937" s="39">
        <v>0</v>
      </c>
      <c r="T937" s="39">
        <v>0</v>
      </c>
      <c r="U937" s="39">
        <v>0</v>
      </c>
      <c r="V937" s="39">
        <v>0</v>
      </c>
      <c r="W937" s="39">
        <v>0</v>
      </c>
      <c r="X937" s="39">
        <v>0</v>
      </c>
      <c r="Y937" s="39">
        <v>0</v>
      </c>
      <c r="Z937" s="39">
        <v>0</v>
      </c>
      <c r="AA937" s="39">
        <v>76.38</v>
      </c>
      <c r="AB937" s="39">
        <v>0</v>
      </c>
      <c r="AC937" s="39">
        <v>0</v>
      </c>
      <c r="AD937" s="39">
        <v>0</v>
      </c>
      <c r="AE937" s="39">
        <v>0</v>
      </c>
      <c r="AF937" s="39">
        <v>0</v>
      </c>
      <c r="AG937" s="39">
        <v>0</v>
      </c>
      <c r="AH937" s="39"/>
      <c r="AI937" s="39"/>
      <c r="AJ937" s="40"/>
      <c r="AK937" s="39">
        <f t="shared" si="70"/>
        <v>0</v>
      </c>
      <c r="AL937" s="39">
        <f t="shared" si="73"/>
        <v>6.3649999999999993</v>
      </c>
      <c r="AM937" s="39">
        <f t="shared" si="74"/>
        <v>0</v>
      </c>
      <c r="AN937" s="39">
        <f t="shared" si="71"/>
        <v>7.6379999999999999</v>
      </c>
      <c r="AO937" s="39">
        <f t="shared" si="72"/>
        <v>76.38</v>
      </c>
    </row>
    <row r="938" spans="1:41" x14ac:dyDescent="0.3">
      <c r="A938" s="20">
        <v>1000184670</v>
      </c>
      <c r="B938" s="4" t="s">
        <v>147</v>
      </c>
      <c r="C938" s="21"/>
      <c r="D938" s="3"/>
      <c r="E938" s="20">
        <v>1000185288</v>
      </c>
      <c r="F938" s="4" t="s">
        <v>64</v>
      </c>
      <c r="G938" s="21">
        <v>1000189794</v>
      </c>
      <c r="H938" s="3" t="s">
        <v>117</v>
      </c>
      <c r="I938" s="21">
        <v>1000189270</v>
      </c>
      <c r="J938" s="3" t="s">
        <v>34</v>
      </c>
      <c r="K938" s="20" t="s">
        <v>33</v>
      </c>
      <c r="L938" s="39">
        <v>0</v>
      </c>
      <c r="M938" s="39">
        <v>0</v>
      </c>
      <c r="N938" s="39">
        <v>0</v>
      </c>
      <c r="O938" s="39">
        <v>0</v>
      </c>
      <c r="P938" s="39">
        <v>0</v>
      </c>
      <c r="Q938" s="39">
        <v>0</v>
      </c>
      <c r="R938" s="39">
        <v>0</v>
      </c>
      <c r="S938" s="39">
        <v>0</v>
      </c>
      <c r="T938" s="39">
        <v>0</v>
      </c>
      <c r="U938" s="39">
        <v>0</v>
      </c>
      <c r="V938" s="39">
        <v>0</v>
      </c>
      <c r="W938" s="39">
        <v>0</v>
      </c>
      <c r="X938" s="39">
        <v>0</v>
      </c>
      <c r="Y938" s="39">
        <v>0</v>
      </c>
      <c r="Z938" s="39">
        <v>0</v>
      </c>
      <c r="AA938" s="39">
        <v>0</v>
      </c>
      <c r="AB938" s="39">
        <v>0</v>
      </c>
      <c r="AC938" s="39">
        <v>0</v>
      </c>
      <c r="AD938" s="39">
        <v>0</v>
      </c>
      <c r="AE938" s="39">
        <v>0</v>
      </c>
      <c r="AF938" s="39">
        <v>0</v>
      </c>
      <c r="AG938" s="39">
        <v>0</v>
      </c>
      <c r="AH938" s="39"/>
      <c r="AI938" s="39"/>
      <c r="AJ938" s="40"/>
      <c r="AK938" s="39">
        <f t="shared" si="70"/>
        <v>0</v>
      </c>
      <c r="AL938" s="39">
        <f t="shared" si="73"/>
        <v>0</v>
      </c>
      <c r="AM938" s="39">
        <f t="shared" si="74"/>
        <v>0</v>
      </c>
      <c r="AN938" s="39">
        <f t="shared" si="71"/>
        <v>0</v>
      </c>
      <c r="AO938" s="39">
        <f t="shared" si="72"/>
        <v>0</v>
      </c>
    </row>
    <row r="939" spans="1:41" x14ac:dyDescent="0.3">
      <c r="A939" s="20">
        <v>1000184670</v>
      </c>
      <c r="B939" s="4" t="s">
        <v>147</v>
      </c>
      <c r="C939" s="21"/>
      <c r="D939" s="3"/>
      <c r="E939" s="20">
        <v>1000185288</v>
      </c>
      <c r="F939" s="4" t="s">
        <v>64</v>
      </c>
      <c r="G939" s="21">
        <v>1000189794</v>
      </c>
      <c r="H939" s="3" t="s">
        <v>117</v>
      </c>
      <c r="I939" s="21">
        <v>1000189270</v>
      </c>
      <c r="J939" s="3" t="s">
        <v>34</v>
      </c>
      <c r="K939" s="20" t="s">
        <v>19</v>
      </c>
      <c r="L939" s="39">
        <v>0</v>
      </c>
      <c r="M939" s="39">
        <v>0</v>
      </c>
      <c r="N939" s="39">
        <v>0</v>
      </c>
      <c r="O939" s="39">
        <v>0</v>
      </c>
      <c r="P939" s="39">
        <v>0</v>
      </c>
      <c r="Q939" s="39">
        <v>0</v>
      </c>
      <c r="R939" s="39">
        <v>0</v>
      </c>
      <c r="S939" s="39">
        <v>0</v>
      </c>
      <c r="T939" s="39">
        <v>0</v>
      </c>
      <c r="U939" s="39">
        <v>0</v>
      </c>
      <c r="V939" s="39">
        <v>0</v>
      </c>
      <c r="W939" s="39">
        <v>0</v>
      </c>
      <c r="X939" s="39">
        <v>0</v>
      </c>
      <c r="Y939" s="39">
        <v>0</v>
      </c>
      <c r="Z939" s="39">
        <v>0</v>
      </c>
      <c r="AA939" s="39">
        <v>34.200000000000003</v>
      </c>
      <c r="AB939" s="39">
        <v>0</v>
      </c>
      <c r="AC939" s="39">
        <v>0</v>
      </c>
      <c r="AD939" s="39">
        <v>0</v>
      </c>
      <c r="AE939" s="39">
        <v>0</v>
      </c>
      <c r="AF939" s="39">
        <v>0</v>
      </c>
      <c r="AG939" s="39">
        <v>0</v>
      </c>
      <c r="AH939" s="39"/>
      <c r="AI939" s="39"/>
      <c r="AJ939" s="40"/>
      <c r="AK939" s="39">
        <f t="shared" si="70"/>
        <v>0</v>
      </c>
      <c r="AL939" s="39">
        <f t="shared" si="73"/>
        <v>2.85</v>
      </c>
      <c r="AM939" s="39">
        <f t="shared" si="74"/>
        <v>0</v>
      </c>
      <c r="AN939" s="39">
        <f t="shared" si="71"/>
        <v>3.4200000000000004</v>
      </c>
      <c r="AO939" s="39">
        <f t="shared" si="72"/>
        <v>34.200000000000003</v>
      </c>
    </row>
    <row r="940" spans="1:41" x14ac:dyDescent="0.3">
      <c r="A940" s="20">
        <v>1000184670</v>
      </c>
      <c r="B940" s="4" t="s">
        <v>147</v>
      </c>
      <c r="C940" s="21"/>
      <c r="D940" s="3"/>
      <c r="E940" s="20">
        <v>1000185288</v>
      </c>
      <c r="F940" s="4" t="s">
        <v>64</v>
      </c>
      <c r="G940" s="21">
        <v>1000189794</v>
      </c>
      <c r="H940" s="3" t="s">
        <v>117</v>
      </c>
      <c r="I940" s="21">
        <v>1000189270</v>
      </c>
      <c r="J940" s="3" t="s">
        <v>34</v>
      </c>
      <c r="K940" s="20" t="s">
        <v>17</v>
      </c>
      <c r="L940" s="39">
        <v>0</v>
      </c>
      <c r="M940" s="39">
        <v>0</v>
      </c>
      <c r="N940" s="39">
        <v>0</v>
      </c>
      <c r="O940" s="39">
        <v>0</v>
      </c>
      <c r="P940" s="39">
        <v>0</v>
      </c>
      <c r="Q940" s="39">
        <v>0</v>
      </c>
      <c r="R940" s="39">
        <v>0</v>
      </c>
      <c r="S940" s="39">
        <v>0</v>
      </c>
      <c r="T940" s="39">
        <v>0</v>
      </c>
      <c r="U940" s="39">
        <v>0</v>
      </c>
      <c r="V940" s="39">
        <v>0</v>
      </c>
      <c r="W940" s="39">
        <v>0</v>
      </c>
      <c r="X940" s="39">
        <v>0</v>
      </c>
      <c r="Y940" s="39">
        <v>0</v>
      </c>
      <c r="Z940" s="39">
        <v>0</v>
      </c>
      <c r="AA940" s="39">
        <v>0</v>
      </c>
      <c r="AB940" s="39">
        <v>0</v>
      </c>
      <c r="AC940" s="39">
        <v>0</v>
      </c>
      <c r="AD940" s="39">
        <v>0</v>
      </c>
      <c r="AE940" s="39">
        <v>0</v>
      </c>
      <c r="AF940" s="39">
        <v>0</v>
      </c>
      <c r="AG940" s="39">
        <v>0</v>
      </c>
      <c r="AH940" s="39"/>
      <c r="AI940" s="39"/>
      <c r="AJ940" s="40"/>
      <c r="AK940" s="39">
        <f t="shared" si="70"/>
        <v>0</v>
      </c>
      <c r="AL940" s="39">
        <f t="shared" si="73"/>
        <v>0</v>
      </c>
      <c r="AM940" s="39">
        <f t="shared" si="74"/>
        <v>0</v>
      </c>
      <c r="AN940" s="39">
        <f t="shared" si="71"/>
        <v>0</v>
      </c>
      <c r="AO940" s="39">
        <f t="shared" si="72"/>
        <v>0</v>
      </c>
    </row>
    <row r="941" spans="1:41" x14ac:dyDescent="0.3">
      <c r="A941" s="20">
        <v>1000184670</v>
      </c>
      <c r="B941" s="4" t="s">
        <v>147</v>
      </c>
      <c r="C941" s="21"/>
      <c r="D941" s="3"/>
      <c r="E941" s="20">
        <v>1000185288</v>
      </c>
      <c r="F941" s="4" t="s">
        <v>64</v>
      </c>
      <c r="G941" s="21">
        <v>1000189794</v>
      </c>
      <c r="H941" s="3" t="s">
        <v>117</v>
      </c>
      <c r="I941" s="21">
        <v>1000189270</v>
      </c>
      <c r="J941" s="3" t="s">
        <v>34</v>
      </c>
      <c r="K941" s="20" t="s">
        <v>24</v>
      </c>
      <c r="L941" s="39">
        <v>0</v>
      </c>
      <c r="M941" s="39">
        <v>0</v>
      </c>
      <c r="N941" s="39">
        <v>0</v>
      </c>
      <c r="O941" s="39">
        <v>0</v>
      </c>
      <c r="P941" s="39">
        <v>0</v>
      </c>
      <c r="Q941" s="39">
        <v>0</v>
      </c>
      <c r="R941" s="39">
        <v>0</v>
      </c>
      <c r="S941" s="39">
        <v>0</v>
      </c>
      <c r="T941" s="39">
        <v>0</v>
      </c>
      <c r="U941" s="39">
        <v>0</v>
      </c>
      <c r="V941" s="39">
        <v>0</v>
      </c>
      <c r="W941" s="39">
        <v>0</v>
      </c>
      <c r="X941" s="39">
        <v>0</v>
      </c>
      <c r="Y941" s="39">
        <v>0</v>
      </c>
      <c r="Z941" s="39">
        <v>0</v>
      </c>
      <c r="AA941" s="39">
        <v>33.29</v>
      </c>
      <c r="AB941" s="39">
        <v>0</v>
      </c>
      <c r="AC941" s="39">
        <v>0</v>
      </c>
      <c r="AD941" s="39">
        <v>0</v>
      </c>
      <c r="AE941" s="39">
        <v>0</v>
      </c>
      <c r="AF941" s="39">
        <v>70.290000000000006</v>
      </c>
      <c r="AG941" s="39">
        <v>0</v>
      </c>
      <c r="AH941" s="39"/>
      <c r="AI941" s="39"/>
      <c r="AJ941" s="40"/>
      <c r="AK941" s="39">
        <f t="shared" si="70"/>
        <v>0</v>
      </c>
      <c r="AL941" s="39">
        <f t="shared" si="73"/>
        <v>8.6316666666666677</v>
      </c>
      <c r="AM941" s="39">
        <f t="shared" si="74"/>
        <v>11.715000000000002</v>
      </c>
      <c r="AN941" s="39">
        <f t="shared" si="71"/>
        <v>10.358000000000001</v>
      </c>
      <c r="AO941" s="39">
        <f t="shared" si="72"/>
        <v>103.58000000000001</v>
      </c>
    </row>
    <row r="942" spans="1:41" x14ac:dyDescent="0.3">
      <c r="A942" s="20">
        <v>1000184670</v>
      </c>
      <c r="B942" s="4" t="s">
        <v>147</v>
      </c>
      <c r="C942" s="21"/>
      <c r="D942" s="3"/>
      <c r="E942" s="20">
        <v>1000185288</v>
      </c>
      <c r="F942" s="4" t="s">
        <v>64</v>
      </c>
      <c r="G942" s="21">
        <v>1000189794</v>
      </c>
      <c r="H942" s="3" t="s">
        <v>117</v>
      </c>
      <c r="I942" s="21">
        <v>1000189270</v>
      </c>
      <c r="J942" s="3" t="s">
        <v>34</v>
      </c>
      <c r="K942" s="20" t="s">
        <v>18</v>
      </c>
      <c r="L942" s="39">
        <v>0</v>
      </c>
      <c r="M942" s="39">
        <v>0</v>
      </c>
      <c r="N942" s="39">
        <v>0</v>
      </c>
      <c r="O942" s="39">
        <v>0</v>
      </c>
      <c r="P942" s="39">
        <v>0</v>
      </c>
      <c r="Q942" s="39">
        <v>0</v>
      </c>
      <c r="R942" s="39">
        <v>0</v>
      </c>
      <c r="S942" s="39">
        <v>0</v>
      </c>
      <c r="T942" s="39">
        <v>0</v>
      </c>
      <c r="U942" s="39">
        <v>0</v>
      </c>
      <c r="V942" s="39">
        <v>0</v>
      </c>
      <c r="W942" s="39">
        <v>0</v>
      </c>
      <c r="X942" s="39">
        <v>0</v>
      </c>
      <c r="Y942" s="39">
        <v>0</v>
      </c>
      <c r="Z942" s="39">
        <v>0</v>
      </c>
      <c r="AA942" s="39">
        <v>7.76</v>
      </c>
      <c r="AB942" s="39">
        <v>0</v>
      </c>
      <c r="AC942" s="39">
        <v>0</v>
      </c>
      <c r="AD942" s="39">
        <v>0</v>
      </c>
      <c r="AE942" s="39">
        <v>0</v>
      </c>
      <c r="AF942" s="39">
        <v>46.8</v>
      </c>
      <c r="AG942" s="39">
        <v>0</v>
      </c>
      <c r="AH942" s="39"/>
      <c r="AI942" s="39"/>
      <c r="AJ942" s="40"/>
      <c r="AK942" s="39">
        <f t="shared" si="70"/>
        <v>0</v>
      </c>
      <c r="AL942" s="39">
        <f t="shared" si="73"/>
        <v>4.546666666666666</v>
      </c>
      <c r="AM942" s="39">
        <f t="shared" si="74"/>
        <v>7.8</v>
      </c>
      <c r="AN942" s="39">
        <f t="shared" si="71"/>
        <v>5.4559999999999995</v>
      </c>
      <c r="AO942" s="39">
        <f t="shared" si="72"/>
        <v>54.559999999999995</v>
      </c>
    </row>
    <row r="943" spans="1:41" x14ac:dyDescent="0.3">
      <c r="A943" s="20">
        <v>1000184670</v>
      </c>
      <c r="B943" s="4" t="s">
        <v>147</v>
      </c>
      <c r="C943" s="21"/>
      <c r="D943" s="3"/>
      <c r="E943" s="20">
        <v>1000185288</v>
      </c>
      <c r="F943" s="4" t="s">
        <v>64</v>
      </c>
      <c r="G943" s="21">
        <v>1000189794</v>
      </c>
      <c r="H943" s="3" t="s">
        <v>117</v>
      </c>
      <c r="I943" s="21">
        <v>1000189270</v>
      </c>
      <c r="J943" s="3" t="s">
        <v>34</v>
      </c>
      <c r="K943" s="20" t="s">
        <v>29</v>
      </c>
      <c r="L943" s="39">
        <v>0</v>
      </c>
      <c r="M943" s="39">
        <v>0</v>
      </c>
      <c r="N943" s="39">
        <v>0</v>
      </c>
      <c r="O943" s="39">
        <v>0</v>
      </c>
      <c r="P943" s="39">
        <v>0</v>
      </c>
      <c r="Q943" s="39">
        <v>0</v>
      </c>
      <c r="R943" s="39">
        <v>0</v>
      </c>
      <c r="S943" s="39">
        <v>0</v>
      </c>
      <c r="T943" s="39">
        <v>0</v>
      </c>
      <c r="U943" s="39">
        <v>0</v>
      </c>
      <c r="V943" s="39">
        <v>0</v>
      </c>
      <c r="W943" s="39">
        <v>0</v>
      </c>
      <c r="X943" s="39">
        <v>0</v>
      </c>
      <c r="Y943" s="39">
        <v>0</v>
      </c>
      <c r="Z943" s="39">
        <v>0</v>
      </c>
      <c r="AA943" s="39">
        <v>472.8</v>
      </c>
      <c r="AB943" s="39">
        <v>0</v>
      </c>
      <c r="AC943" s="39">
        <v>0</v>
      </c>
      <c r="AD943" s="39">
        <v>0</v>
      </c>
      <c r="AE943" s="39">
        <v>537.20000000000005</v>
      </c>
      <c r="AF943" s="39">
        <v>524.35</v>
      </c>
      <c r="AG943" s="39">
        <v>622.79999999999995</v>
      </c>
      <c r="AH943" s="39"/>
      <c r="AI943" s="39"/>
      <c r="AJ943" s="40"/>
      <c r="AK943" s="39">
        <f t="shared" si="70"/>
        <v>0</v>
      </c>
      <c r="AL943" s="39">
        <f t="shared" si="73"/>
        <v>179.76249999999996</v>
      </c>
      <c r="AM943" s="39">
        <f t="shared" si="74"/>
        <v>280.72500000000002</v>
      </c>
      <c r="AN943" s="39">
        <f t="shared" si="71"/>
        <v>215.71499999999997</v>
      </c>
      <c r="AO943" s="39">
        <f t="shared" si="72"/>
        <v>2157.1499999999996</v>
      </c>
    </row>
    <row r="944" spans="1:41" x14ac:dyDescent="0.3">
      <c r="A944" s="20">
        <v>1000184670</v>
      </c>
      <c r="B944" s="4" t="s">
        <v>147</v>
      </c>
      <c r="C944" s="21"/>
      <c r="D944" s="3"/>
      <c r="E944" s="20">
        <v>1000185288</v>
      </c>
      <c r="F944" s="4" t="s">
        <v>64</v>
      </c>
      <c r="G944" s="21">
        <v>1000189794</v>
      </c>
      <c r="H944" s="3" t="s">
        <v>117</v>
      </c>
      <c r="I944" s="21">
        <v>1000189270</v>
      </c>
      <c r="J944" s="3" t="s">
        <v>34</v>
      </c>
      <c r="K944" s="20" t="s">
        <v>21</v>
      </c>
      <c r="L944" s="39">
        <v>0</v>
      </c>
      <c r="M944" s="39">
        <v>0</v>
      </c>
      <c r="N944" s="39">
        <v>0</v>
      </c>
      <c r="O944" s="39">
        <v>0</v>
      </c>
      <c r="P944" s="39">
        <v>0</v>
      </c>
      <c r="Q944" s="39">
        <v>0</v>
      </c>
      <c r="R944" s="39">
        <v>0</v>
      </c>
      <c r="S944" s="39">
        <v>0</v>
      </c>
      <c r="T944" s="39">
        <v>0</v>
      </c>
      <c r="U944" s="39">
        <v>0</v>
      </c>
      <c r="V944" s="39">
        <v>0</v>
      </c>
      <c r="W944" s="39">
        <v>0</v>
      </c>
      <c r="X944" s="39">
        <v>0</v>
      </c>
      <c r="Y944" s="39">
        <v>0</v>
      </c>
      <c r="Z944" s="39">
        <v>0</v>
      </c>
      <c r="AA944" s="39">
        <v>8.32</v>
      </c>
      <c r="AB944" s="39">
        <v>0</v>
      </c>
      <c r="AC944" s="39">
        <v>0</v>
      </c>
      <c r="AD944" s="39">
        <v>0</v>
      </c>
      <c r="AE944" s="39">
        <v>244.56</v>
      </c>
      <c r="AF944" s="39">
        <v>31.34</v>
      </c>
      <c r="AG944" s="39">
        <v>0</v>
      </c>
      <c r="AH944" s="39"/>
      <c r="AI944" s="39"/>
      <c r="AJ944" s="40"/>
      <c r="AK944" s="39">
        <f t="shared" ref="AK944:AK1007" si="75">AVERAGE(L944:W944)</f>
        <v>0</v>
      </c>
      <c r="AL944" s="39">
        <f t="shared" si="73"/>
        <v>23.684999999999999</v>
      </c>
      <c r="AM944" s="39">
        <f t="shared" si="74"/>
        <v>45.983333333333327</v>
      </c>
      <c r="AN944" s="39">
        <f t="shared" ref="AN944:AN1007" si="76">AVERAGE(X944:AI944)</f>
        <v>28.421999999999997</v>
      </c>
      <c r="AO944" s="39">
        <f t="shared" ref="AO944:AO1007" si="77">SUM(X944:AI944)</f>
        <v>284.21999999999997</v>
      </c>
    </row>
    <row r="945" spans="1:41" x14ac:dyDescent="0.3">
      <c r="A945" s="20">
        <v>1000184670</v>
      </c>
      <c r="B945" s="4" t="s">
        <v>147</v>
      </c>
      <c r="C945" s="21"/>
      <c r="D945" s="3"/>
      <c r="E945" s="20">
        <v>1000185288</v>
      </c>
      <c r="F945" s="4" t="s">
        <v>64</v>
      </c>
      <c r="G945" s="21">
        <v>1000189794</v>
      </c>
      <c r="H945" s="3" t="s">
        <v>117</v>
      </c>
      <c r="I945" s="21">
        <v>1000189270</v>
      </c>
      <c r="J945" s="3" t="s">
        <v>34</v>
      </c>
      <c r="K945" s="20" t="s">
        <v>20</v>
      </c>
      <c r="L945" s="39">
        <v>0</v>
      </c>
      <c r="M945" s="39">
        <v>0</v>
      </c>
      <c r="N945" s="39">
        <v>0</v>
      </c>
      <c r="O945" s="39">
        <v>0</v>
      </c>
      <c r="P945" s="39">
        <v>0</v>
      </c>
      <c r="Q945" s="39">
        <v>0</v>
      </c>
      <c r="R945" s="39">
        <v>0</v>
      </c>
      <c r="S945" s="39">
        <v>0</v>
      </c>
      <c r="T945" s="39">
        <v>0</v>
      </c>
      <c r="U945" s="39">
        <v>0</v>
      </c>
      <c r="V945" s="39">
        <v>0</v>
      </c>
      <c r="W945" s="39">
        <v>0</v>
      </c>
      <c r="X945" s="39">
        <v>0</v>
      </c>
      <c r="Y945" s="39">
        <v>0</v>
      </c>
      <c r="Z945" s="39">
        <v>0</v>
      </c>
      <c r="AA945" s="39">
        <v>0</v>
      </c>
      <c r="AB945" s="39">
        <v>0</v>
      </c>
      <c r="AC945" s="39">
        <v>0</v>
      </c>
      <c r="AD945" s="39">
        <v>0</v>
      </c>
      <c r="AE945" s="39">
        <v>0</v>
      </c>
      <c r="AF945" s="39">
        <v>0</v>
      </c>
      <c r="AG945" s="39">
        <v>0</v>
      </c>
      <c r="AH945" s="39"/>
      <c r="AI945" s="39"/>
      <c r="AJ945" s="40"/>
      <c r="AK945" s="39">
        <f t="shared" si="75"/>
        <v>0</v>
      </c>
      <c r="AL945" s="39">
        <f t="shared" si="73"/>
        <v>0</v>
      </c>
      <c r="AM945" s="39">
        <f t="shared" si="74"/>
        <v>0</v>
      </c>
      <c r="AN945" s="39">
        <f t="shared" si="76"/>
        <v>0</v>
      </c>
      <c r="AO945" s="39">
        <f t="shared" si="77"/>
        <v>0</v>
      </c>
    </row>
    <row r="946" spans="1:41" x14ac:dyDescent="0.3">
      <c r="A946" s="20">
        <v>1000184670</v>
      </c>
      <c r="B946" s="4" t="s">
        <v>147</v>
      </c>
      <c r="C946" s="21"/>
      <c r="D946" s="3"/>
      <c r="E946" s="20">
        <v>1000185288</v>
      </c>
      <c r="F946" s="4" t="s">
        <v>64</v>
      </c>
      <c r="G946" s="21">
        <v>1000189794</v>
      </c>
      <c r="H946" s="3" t="s">
        <v>117</v>
      </c>
      <c r="I946" s="21">
        <v>1000189270</v>
      </c>
      <c r="J946" s="3" t="s">
        <v>34</v>
      </c>
      <c r="K946" s="20" t="s">
        <v>22</v>
      </c>
      <c r="L946" s="39">
        <v>0</v>
      </c>
      <c r="M946" s="39">
        <v>0</v>
      </c>
      <c r="N946" s="39">
        <v>0</v>
      </c>
      <c r="O946" s="39">
        <v>0</v>
      </c>
      <c r="P946" s="39">
        <v>0</v>
      </c>
      <c r="Q946" s="39">
        <v>0</v>
      </c>
      <c r="R946" s="39">
        <v>0</v>
      </c>
      <c r="S946" s="39">
        <v>0</v>
      </c>
      <c r="T946" s="39">
        <v>0</v>
      </c>
      <c r="U946" s="39">
        <v>0</v>
      </c>
      <c r="V946" s="39">
        <v>0</v>
      </c>
      <c r="W946" s="39">
        <v>0</v>
      </c>
      <c r="X946" s="39">
        <v>0</v>
      </c>
      <c r="Y946" s="39">
        <v>0</v>
      </c>
      <c r="Z946" s="39">
        <v>0</v>
      </c>
      <c r="AA946" s="39">
        <v>0</v>
      </c>
      <c r="AB946" s="39">
        <v>0</v>
      </c>
      <c r="AC946" s="39">
        <v>0</v>
      </c>
      <c r="AD946" s="39">
        <v>0</v>
      </c>
      <c r="AE946" s="39">
        <v>0</v>
      </c>
      <c r="AF946" s="39">
        <v>0</v>
      </c>
      <c r="AG946" s="39">
        <v>0</v>
      </c>
      <c r="AH946" s="39"/>
      <c r="AI946" s="39"/>
      <c r="AJ946" s="40"/>
      <c r="AK946" s="39">
        <f t="shared" si="75"/>
        <v>0</v>
      </c>
      <c r="AL946" s="39">
        <f t="shared" si="73"/>
        <v>0</v>
      </c>
      <c r="AM946" s="39">
        <f t="shared" si="74"/>
        <v>0</v>
      </c>
      <c r="AN946" s="39">
        <f t="shared" si="76"/>
        <v>0</v>
      </c>
      <c r="AO946" s="39">
        <f t="shared" si="77"/>
        <v>0</v>
      </c>
    </row>
    <row r="947" spans="1:41" x14ac:dyDescent="0.3">
      <c r="A947" s="20">
        <v>1000184670</v>
      </c>
      <c r="B947" s="4" t="s">
        <v>147</v>
      </c>
      <c r="C947" s="21"/>
      <c r="D947" s="3"/>
      <c r="E947" s="20">
        <v>1000185288</v>
      </c>
      <c r="F947" s="4" t="s">
        <v>64</v>
      </c>
      <c r="G947" s="21">
        <v>1000189794</v>
      </c>
      <c r="H947" s="3" t="s">
        <v>117</v>
      </c>
      <c r="I947" s="21">
        <v>1000189270</v>
      </c>
      <c r="J947" s="3" t="s">
        <v>34</v>
      </c>
      <c r="K947" s="20" t="s">
        <v>23</v>
      </c>
      <c r="L947" s="39">
        <v>0</v>
      </c>
      <c r="M947" s="39">
        <v>0</v>
      </c>
      <c r="N947" s="39">
        <v>0</v>
      </c>
      <c r="O947" s="39">
        <v>0</v>
      </c>
      <c r="P947" s="39">
        <v>0</v>
      </c>
      <c r="Q947" s="39">
        <v>0</v>
      </c>
      <c r="R947" s="39">
        <v>0</v>
      </c>
      <c r="S947" s="39">
        <v>0</v>
      </c>
      <c r="T947" s="39">
        <v>0</v>
      </c>
      <c r="U947" s="39">
        <v>0</v>
      </c>
      <c r="V947" s="39">
        <v>0</v>
      </c>
      <c r="W947" s="39">
        <v>0</v>
      </c>
      <c r="X947" s="39">
        <v>0</v>
      </c>
      <c r="Y947" s="39">
        <v>0</v>
      </c>
      <c r="Z947" s="39">
        <v>0</v>
      </c>
      <c r="AA947" s="39">
        <v>0</v>
      </c>
      <c r="AB947" s="39">
        <v>0</v>
      </c>
      <c r="AC947" s="39">
        <v>0</v>
      </c>
      <c r="AD947" s="39">
        <v>0</v>
      </c>
      <c r="AE947" s="39">
        <v>0</v>
      </c>
      <c r="AF947" s="39">
        <v>15.67</v>
      </c>
      <c r="AG947" s="39">
        <v>0</v>
      </c>
      <c r="AH947" s="39"/>
      <c r="AI947" s="39"/>
      <c r="AJ947" s="40"/>
      <c r="AK947" s="39">
        <f t="shared" si="75"/>
        <v>0</v>
      </c>
      <c r="AL947" s="39">
        <f t="shared" si="73"/>
        <v>1.3058333333333334</v>
      </c>
      <c r="AM947" s="39">
        <f t="shared" si="74"/>
        <v>2.6116666666666668</v>
      </c>
      <c r="AN947" s="39">
        <f t="shared" si="76"/>
        <v>1.5669999999999999</v>
      </c>
      <c r="AO947" s="39">
        <f t="shared" si="77"/>
        <v>15.67</v>
      </c>
    </row>
    <row r="948" spans="1:41" x14ac:dyDescent="0.3">
      <c r="A948" s="20">
        <v>1000184670</v>
      </c>
      <c r="B948" s="4" t="s">
        <v>147</v>
      </c>
      <c r="C948" s="21"/>
      <c r="D948" s="3"/>
      <c r="E948" s="20">
        <v>1000185288</v>
      </c>
      <c r="F948" s="4" t="s">
        <v>64</v>
      </c>
      <c r="G948" s="21">
        <v>1000189794</v>
      </c>
      <c r="H948" s="3" t="s">
        <v>117</v>
      </c>
      <c r="I948" s="21">
        <v>1000189270</v>
      </c>
      <c r="J948" s="3" t="s">
        <v>34</v>
      </c>
      <c r="K948" s="20" t="s">
        <v>28</v>
      </c>
      <c r="L948" s="39">
        <v>0</v>
      </c>
      <c r="M948" s="39">
        <v>0</v>
      </c>
      <c r="N948" s="39">
        <v>0</v>
      </c>
      <c r="O948" s="39">
        <v>0</v>
      </c>
      <c r="P948" s="39">
        <v>0</v>
      </c>
      <c r="Q948" s="39">
        <v>0</v>
      </c>
      <c r="R948" s="39">
        <v>0</v>
      </c>
      <c r="S948" s="39">
        <v>0</v>
      </c>
      <c r="T948" s="39">
        <v>0</v>
      </c>
      <c r="U948" s="39">
        <v>0</v>
      </c>
      <c r="V948" s="39">
        <v>0</v>
      </c>
      <c r="W948" s="39">
        <v>0</v>
      </c>
      <c r="X948" s="39">
        <v>0</v>
      </c>
      <c r="Y948" s="39">
        <v>0</v>
      </c>
      <c r="Z948" s="39">
        <v>0</v>
      </c>
      <c r="AA948" s="39">
        <v>0</v>
      </c>
      <c r="AB948" s="39">
        <v>0</v>
      </c>
      <c r="AC948" s="39">
        <v>0</v>
      </c>
      <c r="AD948" s="39">
        <v>0</v>
      </c>
      <c r="AE948" s="39">
        <v>0</v>
      </c>
      <c r="AF948" s="39">
        <v>0</v>
      </c>
      <c r="AG948" s="39">
        <v>0</v>
      </c>
      <c r="AH948" s="39"/>
      <c r="AI948" s="39"/>
      <c r="AJ948" s="40"/>
      <c r="AK948" s="39">
        <f t="shared" si="75"/>
        <v>0</v>
      </c>
      <c r="AL948" s="39">
        <f t="shared" si="73"/>
        <v>0</v>
      </c>
      <c r="AM948" s="39">
        <f t="shared" si="74"/>
        <v>0</v>
      </c>
      <c r="AN948" s="39">
        <f t="shared" si="76"/>
        <v>0</v>
      </c>
      <c r="AO948" s="39">
        <f t="shared" si="77"/>
        <v>0</v>
      </c>
    </row>
    <row r="949" spans="1:41" x14ac:dyDescent="0.3">
      <c r="A949" s="20">
        <v>1000184670</v>
      </c>
      <c r="B949" s="4" t="s">
        <v>147</v>
      </c>
      <c r="C949" s="21"/>
      <c r="D949" s="3"/>
      <c r="E949" s="20">
        <v>1000185288</v>
      </c>
      <c r="F949" s="4" t="s">
        <v>64</v>
      </c>
      <c r="G949" s="21">
        <v>1000189794</v>
      </c>
      <c r="H949" s="3" t="s">
        <v>117</v>
      </c>
      <c r="I949" s="21">
        <v>1000189270</v>
      </c>
      <c r="J949" s="3" t="s">
        <v>34</v>
      </c>
      <c r="K949" s="20" t="s">
        <v>26</v>
      </c>
      <c r="L949" s="39">
        <v>0</v>
      </c>
      <c r="M949" s="39">
        <v>0</v>
      </c>
      <c r="N949" s="39">
        <v>0</v>
      </c>
      <c r="O949" s="39">
        <v>0</v>
      </c>
      <c r="P949" s="39">
        <v>0</v>
      </c>
      <c r="Q949" s="39">
        <v>0</v>
      </c>
      <c r="R949" s="39">
        <v>0</v>
      </c>
      <c r="S949" s="39">
        <v>0</v>
      </c>
      <c r="T949" s="39">
        <v>0</v>
      </c>
      <c r="U949" s="39">
        <v>0</v>
      </c>
      <c r="V949" s="39">
        <v>0</v>
      </c>
      <c r="W949" s="39">
        <v>0</v>
      </c>
      <c r="X949" s="39">
        <v>0</v>
      </c>
      <c r="Y949" s="39">
        <v>0</v>
      </c>
      <c r="Z949" s="39">
        <v>0</v>
      </c>
      <c r="AA949" s="39">
        <v>104.16</v>
      </c>
      <c r="AB949" s="39">
        <v>0</v>
      </c>
      <c r="AC949" s="39">
        <v>0</v>
      </c>
      <c r="AD949" s="39">
        <v>0</v>
      </c>
      <c r="AE949" s="39">
        <v>804</v>
      </c>
      <c r="AF949" s="39">
        <v>0</v>
      </c>
      <c r="AG949" s="39">
        <v>0</v>
      </c>
      <c r="AH949" s="39"/>
      <c r="AI949" s="39"/>
      <c r="AJ949" s="40"/>
      <c r="AK949" s="39">
        <f t="shared" si="75"/>
        <v>0</v>
      </c>
      <c r="AL949" s="39">
        <f t="shared" si="73"/>
        <v>75.679999999999993</v>
      </c>
      <c r="AM949" s="39">
        <f t="shared" si="74"/>
        <v>134</v>
      </c>
      <c r="AN949" s="39">
        <f t="shared" si="76"/>
        <v>90.816000000000003</v>
      </c>
      <c r="AO949" s="39">
        <f t="shared" si="77"/>
        <v>908.16</v>
      </c>
    </row>
    <row r="950" spans="1:41" x14ac:dyDescent="0.3">
      <c r="A950" s="20">
        <v>1000184670</v>
      </c>
      <c r="B950" s="4" t="s">
        <v>147</v>
      </c>
      <c r="C950" s="21"/>
      <c r="D950" s="3"/>
      <c r="E950" s="20">
        <v>1000185288</v>
      </c>
      <c r="F950" s="4" t="s">
        <v>64</v>
      </c>
      <c r="G950" s="21">
        <v>1000189794</v>
      </c>
      <c r="H950" s="3" t="s">
        <v>117</v>
      </c>
      <c r="I950" s="21">
        <v>1000189270</v>
      </c>
      <c r="J950" s="3" t="s">
        <v>34</v>
      </c>
      <c r="K950" s="20" t="s">
        <v>27</v>
      </c>
      <c r="L950" s="39">
        <v>0</v>
      </c>
      <c r="M950" s="39">
        <v>0</v>
      </c>
      <c r="N950" s="39">
        <v>0</v>
      </c>
      <c r="O950" s="39">
        <v>0</v>
      </c>
      <c r="P950" s="39">
        <v>0</v>
      </c>
      <c r="Q950" s="39">
        <v>0</v>
      </c>
      <c r="R950" s="39">
        <v>0</v>
      </c>
      <c r="S950" s="39">
        <v>0</v>
      </c>
      <c r="T950" s="39">
        <v>0</v>
      </c>
      <c r="U950" s="39">
        <v>0</v>
      </c>
      <c r="V950" s="39">
        <v>0</v>
      </c>
      <c r="W950" s="39">
        <v>0</v>
      </c>
      <c r="X950" s="39">
        <v>0</v>
      </c>
      <c r="Y950" s="39">
        <v>0</v>
      </c>
      <c r="Z950" s="39">
        <v>0</v>
      </c>
      <c r="AA950" s="39">
        <v>0</v>
      </c>
      <c r="AB950" s="39">
        <v>0</v>
      </c>
      <c r="AC950" s="39">
        <v>0</v>
      </c>
      <c r="AD950" s="39">
        <v>0</v>
      </c>
      <c r="AE950" s="39">
        <v>0</v>
      </c>
      <c r="AF950" s="39">
        <v>0</v>
      </c>
      <c r="AG950" s="39">
        <v>0</v>
      </c>
      <c r="AH950" s="39"/>
      <c r="AI950" s="39"/>
      <c r="AJ950" s="40"/>
      <c r="AK950" s="39">
        <f t="shared" si="75"/>
        <v>0</v>
      </c>
      <c r="AL950" s="39">
        <f t="shared" si="73"/>
        <v>0</v>
      </c>
      <c r="AM950" s="39">
        <f t="shared" si="74"/>
        <v>0</v>
      </c>
      <c r="AN950" s="39">
        <f t="shared" si="76"/>
        <v>0</v>
      </c>
      <c r="AO950" s="39">
        <f t="shared" si="77"/>
        <v>0</v>
      </c>
    </row>
    <row r="951" spans="1:41" x14ac:dyDescent="0.3">
      <c r="A951" s="20">
        <v>1000184670</v>
      </c>
      <c r="B951" s="4" t="s">
        <v>147</v>
      </c>
      <c r="C951" s="21"/>
      <c r="D951" s="3"/>
      <c r="E951" s="20">
        <v>1000185288</v>
      </c>
      <c r="F951" s="4" t="s">
        <v>64</v>
      </c>
      <c r="G951" s="21">
        <v>1000189794</v>
      </c>
      <c r="H951" s="3" t="s">
        <v>117</v>
      </c>
      <c r="I951" s="21">
        <v>1000189270</v>
      </c>
      <c r="J951" s="3" t="s">
        <v>34</v>
      </c>
      <c r="K951" s="20" t="s">
        <v>25</v>
      </c>
      <c r="L951" s="39">
        <v>0</v>
      </c>
      <c r="M951" s="39">
        <v>0</v>
      </c>
      <c r="N951" s="39">
        <v>0</v>
      </c>
      <c r="O951" s="39">
        <v>0</v>
      </c>
      <c r="P951" s="39">
        <v>0</v>
      </c>
      <c r="Q951" s="39">
        <v>0</v>
      </c>
      <c r="R951" s="39">
        <v>0</v>
      </c>
      <c r="S951" s="39">
        <v>0</v>
      </c>
      <c r="T951" s="39">
        <v>0</v>
      </c>
      <c r="U951" s="39">
        <v>0</v>
      </c>
      <c r="V951" s="39">
        <v>0</v>
      </c>
      <c r="W951" s="39">
        <v>0</v>
      </c>
      <c r="X951" s="39">
        <v>0</v>
      </c>
      <c r="Y951" s="39">
        <v>0</v>
      </c>
      <c r="Z951" s="39">
        <v>0</v>
      </c>
      <c r="AA951" s="39">
        <v>42.75</v>
      </c>
      <c r="AB951" s="39">
        <v>0</v>
      </c>
      <c r="AC951" s="39">
        <v>0</v>
      </c>
      <c r="AD951" s="39">
        <v>0</v>
      </c>
      <c r="AE951" s="39">
        <v>141.06</v>
      </c>
      <c r="AF951" s="39">
        <v>0</v>
      </c>
      <c r="AG951" s="39">
        <v>0</v>
      </c>
      <c r="AH951" s="39"/>
      <c r="AI951" s="39"/>
      <c r="AJ951" s="40"/>
      <c r="AK951" s="39">
        <f t="shared" si="75"/>
        <v>0</v>
      </c>
      <c r="AL951" s="39">
        <f t="shared" si="73"/>
        <v>15.317500000000001</v>
      </c>
      <c r="AM951" s="39">
        <f t="shared" si="74"/>
        <v>23.51</v>
      </c>
      <c r="AN951" s="39">
        <f t="shared" si="76"/>
        <v>18.381</v>
      </c>
      <c r="AO951" s="39">
        <f t="shared" si="77"/>
        <v>183.81</v>
      </c>
    </row>
    <row r="952" spans="1:41" x14ac:dyDescent="0.3">
      <c r="A952" s="20">
        <v>1000184670</v>
      </c>
      <c r="B952" s="4" t="s">
        <v>147</v>
      </c>
      <c r="C952" s="21"/>
      <c r="D952" s="3"/>
      <c r="E952" s="20">
        <v>1000185288</v>
      </c>
      <c r="F952" s="4" t="s">
        <v>64</v>
      </c>
      <c r="G952" s="21">
        <v>1000189795</v>
      </c>
      <c r="H952" s="3" t="s">
        <v>65</v>
      </c>
      <c r="I952" s="21">
        <v>1000189270</v>
      </c>
      <c r="J952" s="3" t="s">
        <v>34</v>
      </c>
      <c r="K952" s="20" t="s">
        <v>124</v>
      </c>
      <c r="L952" s="39">
        <v>0</v>
      </c>
      <c r="M952" s="39">
        <v>0</v>
      </c>
      <c r="N952" s="39">
        <v>0</v>
      </c>
      <c r="O952" s="39">
        <v>0</v>
      </c>
      <c r="P952" s="39">
        <v>0</v>
      </c>
      <c r="Q952" s="39">
        <v>0</v>
      </c>
      <c r="R952" s="39">
        <v>0</v>
      </c>
      <c r="S952" s="39">
        <v>0</v>
      </c>
      <c r="T952" s="39">
        <v>0</v>
      </c>
      <c r="U952" s="39">
        <v>0</v>
      </c>
      <c r="V952" s="39">
        <v>0</v>
      </c>
      <c r="W952" s="39">
        <v>0</v>
      </c>
      <c r="X952" s="39">
        <v>0</v>
      </c>
      <c r="Y952" s="39">
        <v>0</v>
      </c>
      <c r="Z952" s="39">
        <v>0</v>
      </c>
      <c r="AA952" s="39">
        <v>0</v>
      </c>
      <c r="AB952" s="39">
        <v>0</v>
      </c>
      <c r="AC952" s="39">
        <v>0</v>
      </c>
      <c r="AD952" s="39">
        <v>0</v>
      </c>
      <c r="AE952" s="39">
        <v>0</v>
      </c>
      <c r="AF952" s="39">
        <v>0</v>
      </c>
      <c r="AG952" s="39">
        <v>0</v>
      </c>
      <c r="AH952" s="39"/>
      <c r="AI952" s="39"/>
      <c r="AJ952" s="40"/>
      <c r="AK952" s="39">
        <f t="shared" si="75"/>
        <v>0</v>
      </c>
      <c r="AL952" s="39">
        <f t="shared" si="73"/>
        <v>0</v>
      </c>
      <c r="AM952" s="39">
        <f t="shared" si="74"/>
        <v>0</v>
      </c>
      <c r="AN952" s="39">
        <f t="shared" si="76"/>
        <v>0</v>
      </c>
      <c r="AO952" s="39">
        <f t="shared" si="77"/>
        <v>0</v>
      </c>
    </row>
    <row r="953" spans="1:41" x14ac:dyDescent="0.3">
      <c r="A953" s="20">
        <v>1000184670</v>
      </c>
      <c r="B953" s="4" t="s">
        <v>147</v>
      </c>
      <c r="C953" s="21"/>
      <c r="D953" s="3"/>
      <c r="E953" s="20">
        <v>1000185288</v>
      </c>
      <c r="F953" s="4" t="s">
        <v>64</v>
      </c>
      <c r="G953" s="21">
        <v>1000189795</v>
      </c>
      <c r="H953" s="3" t="s">
        <v>65</v>
      </c>
      <c r="I953" s="21">
        <v>1000189270</v>
      </c>
      <c r="J953" s="3" t="s">
        <v>34</v>
      </c>
      <c r="K953" s="20" t="s">
        <v>13</v>
      </c>
      <c r="L953" s="39">
        <v>0</v>
      </c>
      <c r="M953" s="39">
        <v>0</v>
      </c>
      <c r="N953" s="39">
        <v>0</v>
      </c>
      <c r="O953" s="39">
        <v>0</v>
      </c>
      <c r="P953" s="39">
        <v>0</v>
      </c>
      <c r="Q953" s="39">
        <v>0</v>
      </c>
      <c r="R953" s="39">
        <v>0</v>
      </c>
      <c r="S953" s="39">
        <v>0</v>
      </c>
      <c r="T953" s="39">
        <v>0</v>
      </c>
      <c r="U953" s="39">
        <v>0</v>
      </c>
      <c r="V953" s="39">
        <v>0</v>
      </c>
      <c r="W953" s="39">
        <v>0</v>
      </c>
      <c r="X953" s="39">
        <v>0</v>
      </c>
      <c r="Y953" s="39">
        <v>0</v>
      </c>
      <c r="Z953" s="39">
        <v>0</v>
      </c>
      <c r="AA953" s="39">
        <v>0</v>
      </c>
      <c r="AB953" s="39">
        <v>6116.52</v>
      </c>
      <c r="AC953" s="39">
        <v>8170.73</v>
      </c>
      <c r="AD953" s="39">
        <v>6253.41</v>
      </c>
      <c r="AE953" s="39">
        <v>28.8</v>
      </c>
      <c r="AF953" s="39">
        <v>462.32</v>
      </c>
      <c r="AG953" s="39">
        <v>168.57</v>
      </c>
      <c r="AH953" s="39"/>
      <c r="AI953" s="39"/>
      <c r="AJ953" s="40"/>
      <c r="AK953" s="39">
        <f t="shared" si="75"/>
        <v>0</v>
      </c>
      <c r="AL953" s="39">
        <f t="shared" si="73"/>
        <v>1766.6958333333332</v>
      </c>
      <c r="AM953" s="39">
        <f t="shared" si="74"/>
        <v>3533.3916666666664</v>
      </c>
      <c r="AN953" s="39">
        <f t="shared" si="76"/>
        <v>2120.0349999999999</v>
      </c>
      <c r="AO953" s="39">
        <f t="shared" si="77"/>
        <v>21200.35</v>
      </c>
    </row>
    <row r="954" spans="1:41" x14ac:dyDescent="0.3">
      <c r="A954" s="20">
        <v>1000184670</v>
      </c>
      <c r="B954" s="4" t="s">
        <v>147</v>
      </c>
      <c r="C954" s="21"/>
      <c r="D954" s="3"/>
      <c r="E954" s="20">
        <v>1000185288</v>
      </c>
      <c r="F954" s="4" t="s">
        <v>64</v>
      </c>
      <c r="G954" s="21">
        <v>1000189795</v>
      </c>
      <c r="H954" s="3" t="s">
        <v>65</v>
      </c>
      <c r="I954" s="21">
        <v>1000189270</v>
      </c>
      <c r="J954" s="3" t="s">
        <v>34</v>
      </c>
      <c r="K954" s="20" t="s">
        <v>14</v>
      </c>
      <c r="L954" s="39">
        <v>0</v>
      </c>
      <c r="M954" s="39">
        <v>525.54</v>
      </c>
      <c r="N954" s="39">
        <v>0</v>
      </c>
      <c r="O954" s="39">
        <v>0</v>
      </c>
      <c r="P954" s="39">
        <v>0</v>
      </c>
      <c r="Q954" s="39">
        <v>0</v>
      </c>
      <c r="R954" s="39">
        <v>0</v>
      </c>
      <c r="S954" s="39">
        <v>-585.89</v>
      </c>
      <c r="T954" s="39">
        <v>0</v>
      </c>
      <c r="U954" s="39">
        <v>0</v>
      </c>
      <c r="V954" s="39">
        <v>0</v>
      </c>
      <c r="W954" s="39">
        <v>0</v>
      </c>
      <c r="X954" s="39">
        <v>0</v>
      </c>
      <c r="Y954" s="39">
        <v>0</v>
      </c>
      <c r="Z954" s="39">
        <v>0</v>
      </c>
      <c r="AA954" s="39">
        <v>0</v>
      </c>
      <c r="AB954" s="39">
        <v>153</v>
      </c>
      <c r="AC954" s="39">
        <v>4707</v>
      </c>
      <c r="AD954" s="39">
        <v>0</v>
      </c>
      <c r="AE954" s="39">
        <v>0</v>
      </c>
      <c r="AF954" s="39">
        <v>0</v>
      </c>
      <c r="AG954" s="39">
        <v>0</v>
      </c>
      <c r="AH954" s="39"/>
      <c r="AI954" s="39"/>
      <c r="AJ954" s="40"/>
      <c r="AK954" s="39">
        <f t="shared" si="75"/>
        <v>-5.0291666666666686</v>
      </c>
      <c r="AL954" s="39">
        <f t="shared" si="73"/>
        <v>405</v>
      </c>
      <c r="AM954" s="39">
        <f t="shared" si="74"/>
        <v>810</v>
      </c>
      <c r="AN954" s="39">
        <f t="shared" si="76"/>
        <v>486</v>
      </c>
      <c r="AO954" s="39">
        <f t="shared" si="77"/>
        <v>4860</v>
      </c>
    </row>
    <row r="955" spans="1:41" x14ac:dyDescent="0.3">
      <c r="A955" s="20">
        <v>1000184670</v>
      </c>
      <c r="B955" s="4" t="s">
        <v>147</v>
      </c>
      <c r="C955" s="21"/>
      <c r="D955" s="3"/>
      <c r="E955" s="20">
        <v>1000185288</v>
      </c>
      <c r="F955" s="4" t="s">
        <v>64</v>
      </c>
      <c r="G955" s="21">
        <v>1000189795</v>
      </c>
      <c r="H955" s="3" t="s">
        <v>65</v>
      </c>
      <c r="I955" s="21">
        <v>1000189270</v>
      </c>
      <c r="J955" s="3" t="s">
        <v>34</v>
      </c>
      <c r="K955" s="20" t="s">
        <v>16</v>
      </c>
      <c r="L955" s="39">
        <v>0</v>
      </c>
      <c r="M955" s="39">
        <v>0</v>
      </c>
      <c r="N955" s="39">
        <v>0</v>
      </c>
      <c r="O955" s="39">
        <v>0</v>
      </c>
      <c r="P955" s="39">
        <v>0</v>
      </c>
      <c r="Q955" s="39">
        <v>0</v>
      </c>
      <c r="R955" s="39">
        <v>0</v>
      </c>
      <c r="S955" s="39">
        <v>0</v>
      </c>
      <c r="T955" s="39">
        <v>0</v>
      </c>
      <c r="U955" s="39">
        <v>0</v>
      </c>
      <c r="V955" s="39">
        <v>0</v>
      </c>
      <c r="W955" s="39">
        <v>0</v>
      </c>
      <c r="X955" s="39">
        <v>0</v>
      </c>
      <c r="Y955" s="39">
        <v>0</v>
      </c>
      <c r="Z955" s="39">
        <v>0</v>
      </c>
      <c r="AA955" s="39">
        <v>0</v>
      </c>
      <c r="AB955" s="39">
        <v>66.319999999999993</v>
      </c>
      <c r="AC955" s="39">
        <v>12140.16</v>
      </c>
      <c r="AD955" s="39">
        <v>0</v>
      </c>
      <c r="AE955" s="39">
        <v>0</v>
      </c>
      <c r="AF955" s="39">
        <v>0</v>
      </c>
      <c r="AG955" s="39">
        <v>214.96</v>
      </c>
      <c r="AH955" s="39"/>
      <c r="AI955" s="39"/>
      <c r="AJ955" s="40"/>
      <c r="AK955" s="39">
        <f t="shared" si="75"/>
        <v>0</v>
      </c>
      <c r="AL955" s="39">
        <f t="shared" si="73"/>
        <v>1035.1199999999999</v>
      </c>
      <c r="AM955" s="39">
        <f t="shared" si="74"/>
        <v>2070.2399999999998</v>
      </c>
      <c r="AN955" s="39">
        <f t="shared" si="76"/>
        <v>1242.1439999999998</v>
      </c>
      <c r="AO955" s="39">
        <f t="shared" si="77"/>
        <v>12421.439999999999</v>
      </c>
    </row>
    <row r="956" spans="1:41" x14ac:dyDescent="0.3">
      <c r="A956" s="20">
        <v>1000184670</v>
      </c>
      <c r="B956" s="4" t="s">
        <v>147</v>
      </c>
      <c r="C956" s="21"/>
      <c r="D956" s="3"/>
      <c r="E956" s="20">
        <v>1000185288</v>
      </c>
      <c r="F956" s="4" t="s">
        <v>64</v>
      </c>
      <c r="G956" s="21">
        <v>1000189795</v>
      </c>
      <c r="H956" s="3" t="s">
        <v>65</v>
      </c>
      <c r="I956" s="21">
        <v>1000189270</v>
      </c>
      <c r="J956" s="3" t="s">
        <v>34</v>
      </c>
      <c r="K956" s="20" t="s">
        <v>15</v>
      </c>
      <c r="L956" s="39">
        <v>0</v>
      </c>
      <c r="M956" s="39">
        <v>0</v>
      </c>
      <c r="N956" s="39">
        <v>769.5</v>
      </c>
      <c r="O956" s="39">
        <v>1210.95</v>
      </c>
      <c r="P956" s="39">
        <v>1048.95</v>
      </c>
      <c r="Q956" s="39">
        <v>0</v>
      </c>
      <c r="R956" s="39">
        <v>465.75</v>
      </c>
      <c r="S956" s="39">
        <v>0</v>
      </c>
      <c r="T956" s="39">
        <v>1316.25</v>
      </c>
      <c r="U956" s="39">
        <v>0</v>
      </c>
      <c r="V956" s="39">
        <v>2134.35</v>
      </c>
      <c r="W956" s="39">
        <v>0</v>
      </c>
      <c r="X956" s="39">
        <v>0</v>
      </c>
      <c r="Y956" s="39">
        <v>0</v>
      </c>
      <c r="Z956" s="39">
        <v>2680</v>
      </c>
      <c r="AA956" s="39">
        <v>0</v>
      </c>
      <c r="AB956" s="39">
        <v>210.72</v>
      </c>
      <c r="AC956" s="39">
        <v>5007.6000000000004</v>
      </c>
      <c r="AD956" s="39">
        <v>0</v>
      </c>
      <c r="AE956" s="39">
        <v>0</v>
      </c>
      <c r="AF956" s="39">
        <v>0</v>
      </c>
      <c r="AG956" s="39">
        <v>0</v>
      </c>
      <c r="AH956" s="39"/>
      <c r="AI956" s="39"/>
      <c r="AJ956" s="40"/>
      <c r="AK956" s="39">
        <f t="shared" si="75"/>
        <v>578.8125</v>
      </c>
      <c r="AL956" s="39">
        <f t="shared" si="73"/>
        <v>836.05583333333345</v>
      </c>
      <c r="AM956" s="39">
        <f t="shared" si="74"/>
        <v>869.72000000000014</v>
      </c>
      <c r="AN956" s="39">
        <f t="shared" si="76"/>
        <v>789.83199999999999</v>
      </c>
      <c r="AO956" s="39">
        <f t="shared" si="77"/>
        <v>7898.32</v>
      </c>
    </row>
    <row r="957" spans="1:41" x14ac:dyDescent="0.3">
      <c r="A957" s="20">
        <v>1000184670</v>
      </c>
      <c r="B957" s="4" t="s">
        <v>147</v>
      </c>
      <c r="C957" s="21"/>
      <c r="D957" s="3"/>
      <c r="E957" s="20">
        <v>1000185288</v>
      </c>
      <c r="F957" s="4" t="s">
        <v>64</v>
      </c>
      <c r="G957" s="21">
        <v>1000189795</v>
      </c>
      <c r="H957" s="3" t="s">
        <v>65</v>
      </c>
      <c r="I957" s="21">
        <v>1000189270</v>
      </c>
      <c r="J957" s="3" t="s">
        <v>34</v>
      </c>
      <c r="K957" s="20" t="s">
        <v>33</v>
      </c>
      <c r="L957" s="39">
        <v>0</v>
      </c>
      <c r="M957" s="39">
        <v>0</v>
      </c>
      <c r="N957" s="39">
        <v>0</v>
      </c>
      <c r="O957" s="39">
        <v>0</v>
      </c>
      <c r="P957" s="39">
        <v>0</v>
      </c>
      <c r="Q957" s="39">
        <v>0</v>
      </c>
      <c r="R957" s="39">
        <v>0</v>
      </c>
      <c r="S957" s="39">
        <v>0</v>
      </c>
      <c r="T957" s="39">
        <v>0</v>
      </c>
      <c r="U957" s="39">
        <v>0</v>
      </c>
      <c r="V957" s="39">
        <v>0</v>
      </c>
      <c r="W957" s="39">
        <v>0</v>
      </c>
      <c r="X957" s="39">
        <v>0</v>
      </c>
      <c r="Y957" s="39">
        <v>0</v>
      </c>
      <c r="Z957" s="39">
        <v>0</v>
      </c>
      <c r="AA957" s="39">
        <v>0</v>
      </c>
      <c r="AB957" s="39">
        <v>60.12</v>
      </c>
      <c r="AC957" s="39">
        <v>0</v>
      </c>
      <c r="AD957" s="39">
        <v>0</v>
      </c>
      <c r="AE957" s="39">
        <v>222</v>
      </c>
      <c r="AF957" s="39">
        <v>0</v>
      </c>
      <c r="AG957" s="39">
        <v>330</v>
      </c>
      <c r="AH957" s="39"/>
      <c r="AI957" s="39"/>
      <c r="AJ957" s="40"/>
      <c r="AK957" s="39">
        <f t="shared" si="75"/>
        <v>0</v>
      </c>
      <c r="AL957" s="39">
        <f t="shared" si="73"/>
        <v>51.01</v>
      </c>
      <c r="AM957" s="39">
        <f t="shared" si="74"/>
        <v>102.02</v>
      </c>
      <c r="AN957" s="39">
        <f t="shared" si="76"/>
        <v>61.212000000000003</v>
      </c>
      <c r="AO957" s="39">
        <f t="shared" si="77"/>
        <v>612.12</v>
      </c>
    </row>
    <row r="958" spans="1:41" x14ac:dyDescent="0.3">
      <c r="A958" s="20">
        <v>1000184670</v>
      </c>
      <c r="B958" s="4" t="s">
        <v>147</v>
      </c>
      <c r="C958" s="21"/>
      <c r="D958" s="3"/>
      <c r="E958" s="20">
        <v>1000185288</v>
      </c>
      <c r="F958" s="4" t="s">
        <v>64</v>
      </c>
      <c r="G958" s="21">
        <v>1000189795</v>
      </c>
      <c r="H958" s="3" t="s">
        <v>65</v>
      </c>
      <c r="I958" s="21">
        <v>1000189270</v>
      </c>
      <c r="J958" s="3" t="s">
        <v>34</v>
      </c>
      <c r="K958" s="20" t="s">
        <v>19</v>
      </c>
      <c r="L958" s="39">
        <v>0</v>
      </c>
      <c r="M958" s="39">
        <v>0</v>
      </c>
      <c r="N958" s="39">
        <v>665.82</v>
      </c>
      <c r="O958" s="39">
        <v>0</v>
      </c>
      <c r="P958" s="39">
        <v>257.58</v>
      </c>
      <c r="Q958" s="39">
        <v>0</v>
      </c>
      <c r="R958" s="39">
        <v>912.87</v>
      </c>
      <c r="S958" s="39">
        <v>0</v>
      </c>
      <c r="T958" s="39">
        <v>0</v>
      </c>
      <c r="U958" s="39">
        <v>0</v>
      </c>
      <c r="V958" s="39">
        <v>0</v>
      </c>
      <c r="W958" s="39">
        <v>0</v>
      </c>
      <c r="X958" s="39">
        <v>0</v>
      </c>
      <c r="Y958" s="39">
        <v>0</v>
      </c>
      <c r="Z958" s="39">
        <v>0</v>
      </c>
      <c r="AA958" s="39">
        <v>0</v>
      </c>
      <c r="AB958" s="39">
        <v>34.92</v>
      </c>
      <c r="AC958" s="39">
        <v>846</v>
      </c>
      <c r="AD958" s="39">
        <v>0</v>
      </c>
      <c r="AE958" s="39">
        <v>0</v>
      </c>
      <c r="AF958" s="39">
        <v>0</v>
      </c>
      <c r="AG958" s="39">
        <v>0</v>
      </c>
      <c r="AH958" s="39"/>
      <c r="AI958" s="39"/>
      <c r="AJ958" s="40"/>
      <c r="AK958" s="39">
        <f t="shared" si="75"/>
        <v>153.02250000000001</v>
      </c>
      <c r="AL958" s="39">
        <f t="shared" si="73"/>
        <v>73.41</v>
      </c>
      <c r="AM958" s="39">
        <f t="shared" si="74"/>
        <v>146.82</v>
      </c>
      <c r="AN958" s="39">
        <f t="shared" si="76"/>
        <v>88.091999999999999</v>
      </c>
      <c r="AO958" s="39">
        <f t="shared" si="77"/>
        <v>880.92</v>
      </c>
    </row>
    <row r="959" spans="1:41" x14ac:dyDescent="0.3">
      <c r="A959" s="20">
        <v>1000184670</v>
      </c>
      <c r="B959" s="4" t="s">
        <v>147</v>
      </c>
      <c r="C959" s="21"/>
      <c r="D959" s="3"/>
      <c r="E959" s="20">
        <v>1000185288</v>
      </c>
      <c r="F959" s="4" t="s">
        <v>64</v>
      </c>
      <c r="G959" s="21">
        <v>1000189795</v>
      </c>
      <c r="H959" s="3" t="s">
        <v>65</v>
      </c>
      <c r="I959" s="21">
        <v>1000189270</v>
      </c>
      <c r="J959" s="3" t="s">
        <v>34</v>
      </c>
      <c r="K959" s="20" t="s">
        <v>17</v>
      </c>
      <c r="L959" s="39">
        <v>0</v>
      </c>
      <c r="M959" s="39">
        <v>0</v>
      </c>
      <c r="N959" s="39">
        <v>0</v>
      </c>
      <c r="O959" s="39">
        <v>0</v>
      </c>
      <c r="P959" s="39">
        <v>0</v>
      </c>
      <c r="Q959" s="39">
        <v>0</v>
      </c>
      <c r="R959" s="39">
        <v>0</v>
      </c>
      <c r="S959" s="39">
        <v>0</v>
      </c>
      <c r="T959" s="39">
        <v>0</v>
      </c>
      <c r="U959" s="39">
        <v>0</v>
      </c>
      <c r="V959" s="39">
        <v>0</v>
      </c>
      <c r="W959" s="39">
        <v>0</v>
      </c>
      <c r="X959" s="39">
        <v>0</v>
      </c>
      <c r="Y959" s="39">
        <v>0</v>
      </c>
      <c r="Z959" s="39">
        <v>0</v>
      </c>
      <c r="AA959" s="39">
        <v>0</v>
      </c>
      <c r="AB959" s="39">
        <v>0</v>
      </c>
      <c r="AC959" s="39">
        <v>2832</v>
      </c>
      <c r="AD959" s="39">
        <v>0</v>
      </c>
      <c r="AE959" s="39">
        <v>260</v>
      </c>
      <c r="AF959" s="39">
        <v>0</v>
      </c>
      <c r="AG959" s="39">
        <v>0</v>
      </c>
      <c r="AH959" s="39"/>
      <c r="AI959" s="39"/>
      <c r="AJ959" s="40"/>
      <c r="AK959" s="39">
        <f t="shared" si="75"/>
        <v>0</v>
      </c>
      <c r="AL959" s="39">
        <f t="shared" si="73"/>
        <v>257.66666666666669</v>
      </c>
      <c r="AM959" s="39">
        <f t="shared" si="74"/>
        <v>515.33333333333337</v>
      </c>
      <c r="AN959" s="39">
        <f t="shared" si="76"/>
        <v>309.2</v>
      </c>
      <c r="AO959" s="39">
        <f t="shared" si="77"/>
        <v>3092</v>
      </c>
    </row>
    <row r="960" spans="1:41" x14ac:dyDescent="0.3">
      <c r="A960" s="20">
        <v>1000184670</v>
      </c>
      <c r="B960" s="4" t="s">
        <v>147</v>
      </c>
      <c r="C960" s="21"/>
      <c r="D960" s="3"/>
      <c r="E960" s="20">
        <v>1000185288</v>
      </c>
      <c r="F960" s="4" t="s">
        <v>64</v>
      </c>
      <c r="G960" s="21">
        <v>1000189795</v>
      </c>
      <c r="H960" s="3" t="s">
        <v>65</v>
      </c>
      <c r="I960" s="21">
        <v>1000189270</v>
      </c>
      <c r="J960" s="3" t="s">
        <v>34</v>
      </c>
      <c r="K960" s="20" t="s">
        <v>24</v>
      </c>
      <c r="L960" s="39">
        <v>0</v>
      </c>
      <c r="M960" s="39">
        <v>0</v>
      </c>
      <c r="N960" s="39">
        <v>0</v>
      </c>
      <c r="O960" s="39">
        <v>0</v>
      </c>
      <c r="P960" s="39">
        <v>0</v>
      </c>
      <c r="Q960" s="39">
        <v>0</v>
      </c>
      <c r="R960" s="39">
        <v>0</v>
      </c>
      <c r="S960" s="39">
        <v>0</v>
      </c>
      <c r="T960" s="39">
        <v>64.760000000000005</v>
      </c>
      <c r="U960" s="39">
        <v>0</v>
      </c>
      <c r="V960" s="39">
        <v>0</v>
      </c>
      <c r="W960" s="39">
        <v>0</v>
      </c>
      <c r="X960" s="39">
        <v>0</v>
      </c>
      <c r="Y960" s="39">
        <v>0</v>
      </c>
      <c r="Z960" s="39">
        <v>0</v>
      </c>
      <c r="AA960" s="39">
        <v>0</v>
      </c>
      <c r="AB960" s="39">
        <v>7.45</v>
      </c>
      <c r="AC960" s="39">
        <v>0</v>
      </c>
      <c r="AD960" s="39">
        <v>0</v>
      </c>
      <c r="AE960" s="39">
        <v>0</v>
      </c>
      <c r="AF960" s="39">
        <v>0</v>
      </c>
      <c r="AG960" s="39">
        <v>0</v>
      </c>
      <c r="AH960" s="39"/>
      <c r="AI960" s="39"/>
      <c r="AJ960" s="40"/>
      <c r="AK960" s="39">
        <f t="shared" si="75"/>
        <v>5.3966666666666674</v>
      </c>
      <c r="AL960" s="39">
        <f t="shared" si="73"/>
        <v>0.62083333333333335</v>
      </c>
      <c r="AM960" s="39">
        <f t="shared" si="74"/>
        <v>1.2416666666666667</v>
      </c>
      <c r="AN960" s="39">
        <f t="shared" si="76"/>
        <v>0.745</v>
      </c>
      <c r="AO960" s="39">
        <f t="shared" si="77"/>
        <v>7.45</v>
      </c>
    </row>
    <row r="961" spans="1:41" x14ac:dyDescent="0.3">
      <c r="A961" s="20">
        <v>1000184670</v>
      </c>
      <c r="B961" s="4" t="s">
        <v>147</v>
      </c>
      <c r="C961" s="21"/>
      <c r="D961" s="3"/>
      <c r="E961" s="20">
        <v>1000185288</v>
      </c>
      <c r="F961" s="4" t="s">
        <v>64</v>
      </c>
      <c r="G961" s="21">
        <v>1000189795</v>
      </c>
      <c r="H961" s="3" t="s">
        <v>65</v>
      </c>
      <c r="I961" s="21">
        <v>1000189270</v>
      </c>
      <c r="J961" s="3" t="s">
        <v>34</v>
      </c>
      <c r="K961" s="20" t="s">
        <v>18</v>
      </c>
      <c r="L961" s="39">
        <v>0</v>
      </c>
      <c r="M961" s="39">
        <v>0</v>
      </c>
      <c r="N961" s="39">
        <v>0</v>
      </c>
      <c r="O961" s="39">
        <v>0</v>
      </c>
      <c r="P961" s="39">
        <v>0</v>
      </c>
      <c r="Q961" s="39">
        <v>0</v>
      </c>
      <c r="R961" s="39">
        <v>0</v>
      </c>
      <c r="S961" s="39">
        <v>0</v>
      </c>
      <c r="T961" s="39">
        <v>133.19999999999999</v>
      </c>
      <c r="U961" s="39">
        <v>0</v>
      </c>
      <c r="V961" s="39">
        <v>0</v>
      </c>
      <c r="W961" s="39">
        <v>0</v>
      </c>
      <c r="X961" s="39">
        <v>0</v>
      </c>
      <c r="Y961" s="39">
        <v>0</v>
      </c>
      <c r="Z961" s="39">
        <v>0</v>
      </c>
      <c r="AA961" s="39">
        <v>0</v>
      </c>
      <c r="AB961" s="39">
        <v>0</v>
      </c>
      <c r="AC961" s="39">
        <v>80.06</v>
      </c>
      <c r="AD961" s="39">
        <v>0</v>
      </c>
      <c r="AE961" s="39">
        <v>0</v>
      </c>
      <c r="AF961" s="39">
        <v>0</v>
      </c>
      <c r="AG961" s="39">
        <v>0</v>
      </c>
      <c r="AH961" s="39"/>
      <c r="AI961" s="39"/>
      <c r="AJ961" s="40"/>
      <c r="AK961" s="39">
        <f t="shared" si="75"/>
        <v>11.1</v>
      </c>
      <c r="AL961" s="39">
        <f t="shared" si="73"/>
        <v>6.6716666666666669</v>
      </c>
      <c r="AM961" s="39">
        <f t="shared" si="74"/>
        <v>13.343333333333334</v>
      </c>
      <c r="AN961" s="39">
        <f t="shared" si="76"/>
        <v>8.0060000000000002</v>
      </c>
      <c r="AO961" s="39">
        <f t="shared" si="77"/>
        <v>80.06</v>
      </c>
    </row>
    <row r="962" spans="1:41" x14ac:dyDescent="0.3">
      <c r="A962" s="20">
        <v>1000184670</v>
      </c>
      <c r="B962" s="4" t="s">
        <v>147</v>
      </c>
      <c r="C962" s="21"/>
      <c r="D962" s="3"/>
      <c r="E962" s="20">
        <v>1000185288</v>
      </c>
      <c r="F962" s="4" t="s">
        <v>64</v>
      </c>
      <c r="G962" s="21">
        <v>1000189795</v>
      </c>
      <c r="H962" s="3" t="s">
        <v>65</v>
      </c>
      <c r="I962" s="21">
        <v>1000189270</v>
      </c>
      <c r="J962" s="3" t="s">
        <v>34</v>
      </c>
      <c r="K962" s="20" t="s">
        <v>29</v>
      </c>
      <c r="L962" s="39">
        <v>0</v>
      </c>
      <c r="M962" s="39">
        <v>0</v>
      </c>
      <c r="N962" s="39">
        <v>0</v>
      </c>
      <c r="O962" s="39">
        <v>0</v>
      </c>
      <c r="P962" s="39">
        <v>0</v>
      </c>
      <c r="Q962" s="39">
        <v>0</v>
      </c>
      <c r="R962" s="39">
        <v>0</v>
      </c>
      <c r="S962" s="39">
        <v>0</v>
      </c>
      <c r="T962" s="39">
        <v>0</v>
      </c>
      <c r="U962" s="39">
        <v>0</v>
      </c>
      <c r="V962" s="39">
        <v>0</v>
      </c>
      <c r="W962" s="39">
        <v>0</v>
      </c>
      <c r="X962" s="39">
        <v>0</v>
      </c>
      <c r="Y962" s="39">
        <v>0</v>
      </c>
      <c r="Z962" s="39">
        <v>0</v>
      </c>
      <c r="AA962" s="39">
        <v>0</v>
      </c>
      <c r="AB962" s="39">
        <v>405.68</v>
      </c>
      <c r="AC962" s="39">
        <v>786.76</v>
      </c>
      <c r="AD962" s="39">
        <v>1843</v>
      </c>
      <c r="AE962" s="39">
        <v>826</v>
      </c>
      <c r="AF962" s="39">
        <v>398</v>
      </c>
      <c r="AG962" s="39">
        <v>3903.9</v>
      </c>
      <c r="AH962" s="39"/>
      <c r="AI962" s="39"/>
      <c r="AJ962" s="40"/>
      <c r="AK962" s="39">
        <f t="shared" si="75"/>
        <v>0</v>
      </c>
      <c r="AL962" s="39">
        <f t="shared" si="73"/>
        <v>680.27833333333331</v>
      </c>
      <c r="AM962" s="39">
        <f t="shared" si="74"/>
        <v>1360.5566666666666</v>
      </c>
      <c r="AN962" s="39">
        <f t="shared" si="76"/>
        <v>816.33400000000006</v>
      </c>
      <c r="AO962" s="39">
        <f t="shared" si="77"/>
        <v>8163.34</v>
      </c>
    </row>
    <row r="963" spans="1:41" x14ac:dyDescent="0.3">
      <c r="A963" s="20">
        <v>1000184670</v>
      </c>
      <c r="B963" s="4" t="s">
        <v>147</v>
      </c>
      <c r="C963" s="21"/>
      <c r="D963" s="3"/>
      <c r="E963" s="20">
        <v>1000185288</v>
      </c>
      <c r="F963" s="4" t="s">
        <v>64</v>
      </c>
      <c r="G963" s="21">
        <v>1000189795</v>
      </c>
      <c r="H963" s="3" t="s">
        <v>65</v>
      </c>
      <c r="I963" s="21">
        <v>1000189270</v>
      </c>
      <c r="J963" s="3" t="s">
        <v>34</v>
      </c>
      <c r="K963" s="20" t="s">
        <v>21</v>
      </c>
      <c r="L963" s="39">
        <v>0</v>
      </c>
      <c r="M963" s="39">
        <v>0</v>
      </c>
      <c r="N963" s="39">
        <v>0</v>
      </c>
      <c r="O963" s="39">
        <v>0</v>
      </c>
      <c r="P963" s="39">
        <v>0</v>
      </c>
      <c r="Q963" s="39">
        <v>0</v>
      </c>
      <c r="R963" s="39">
        <v>0</v>
      </c>
      <c r="S963" s="39">
        <v>0</v>
      </c>
      <c r="T963" s="39">
        <v>0</v>
      </c>
      <c r="U963" s="39">
        <v>0</v>
      </c>
      <c r="V963" s="39">
        <v>0</v>
      </c>
      <c r="W963" s="39">
        <v>0</v>
      </c>
      <c r="X963" s="39">
        <v>0</v>
      </c>
      <c r="Y963" s="39">
        <v>0</v>
      </c>
      <c r="Z963" s="39">
        <v>0</v>
      </c>
      <c r="AA963" s="39">
        <v>0</v>
      </c>
      <c r="AB963" s="39">
        <v>33.07</v>
      </c>
      <c r="AC963" s="39">
        <v>0</v>
      </c>
      <c r="AD963" s="39">
        <v>0</v>
      </c>
      <c r="AE963" s="39">
        <v>0</v>
      </c>
      <c r="AF963" s="39">
        <v>0</v>
      </c>
      <c r="AG963" s="39">
        <v>0</v>
      </c>
      <c r="AH963" s="39"/>
      <c r="AI963" s="39"/>
      <c r="AJ963" s="40"/>
      <c r="AK963" s="39">
        <f t="shared" si="75"/>
        <v>0</v>
      </c>
      <c r="AL963" s="39">
        <f t="shared" ref="AL963:AL1026" si="78">AVERAGE(V963:AG963)</f>
        <v>2.7558333333333334</v>
      </c>
      <c r="AM963" s="39">
        <f t="shared" ref="AM963:AM1026" si="79">AVERAGE(AB963:AG963)</f>
        <v>5.5116666666666667</v>
      </c>
      <c r="AN963" s="39">
        <f t="shared" si="76"/>
        <v>3.3069999999999999</v>
      </c>
      <c r="AO963" s="39">
        <f t="shared" si="77"/>
        <v>33.07</v>
      </c>
    </row>
    <row r="964" spans="1:41" x14ac:dyDescent="0.3">
      <c r="A964" s="20">
        <v>1000184670</v>
      </c>
      <c r="B964" s="4" t="s">
        <v>147</v>
      </c>
      <c r="C964" s="21"/>
      <c r="D964" s="3"/>
      <c r="E964" s="20">
        <v>1000185288</v>
      </c>
      <c r="F964" s="4" t="s">
        <v>64</v>
      </c>
      <c r="G964" s="21">
        <v>1000189795</v>
      </c>
      <c r="H964" s="3" t="s">
        <v>65</v>
      </c>
      <c r="I964" s="21">
        <v>1000189270</v>
      </c>
      <c r="J964" s="3" t="s">
        <v>34</v>
      </c>
      <c r="K964" s="20" t="s">
        <v>20</v>
      </c>
      <c r="L964" s="39">
        <v>0</v>
      </c>
      <c r="M964" s="39">
        <v>199.5</v>
      </c>
      <c r="N964" s="39">
        <v>0</v>
      </c>
      <c r="O964" s="39">
        <v>0</v>
      </c>
      <c r="P964" s="39">
        <v>0</v>
      </c>
      <c r="Q964" s="39">
        <v>0</v>
      </c>
      <c r="R964" s="39">
        <v>0</v>
      </c>
      <c r="S964" s="39">
        <v>0</v>
      </c>
      <c r="T964" s="39">
        <v>0</v>
      </c>
      <c r="U964" s="39">
        <v>0</v>
      </c>
      <c r="V964" s="39">
        <v>0</v>
      </c>
      <c r="W964" s="39">
        <v>0</v>
      </c>
      <c r="X964" s="39">
        <v>0</v>
      </c>
      <c r="Y964" s="39">
        <v>0</v>
      </c>
      <c r="Z964" s="39">
        <v>0</v>
      </c>
      <c r="AA964" s="39">
        <v>0</v>
      </c>
      <c r="AB964" s="39">
        <v>0</v>
      </c>
      <c r="AC964" s="39">
        <v>0</v>
      </c>
      <c r="AD964" s="39">
        <v>0</v>
      </c>
      <c r="AE964" s="39">
        <v>0</v>
      </c>
      <c r="AF964" s="39">
        <v>0</v>
      </c>
      <c r="AG964" s="39">
        <v>0</v>
      </c>
      <c r="AH964" s="39"/>
      <c r="AI964" s="39"/>
      <c r="AJ964" s="40"/>
      <c r="AK964" s="39">
        <f t="shared" si="75"/>
        <v>16.625</v>
      </c>
      <c r="AL964" s="39">
        <f t="shared" si="78"/>
        <v>0</v>
      </c>
      <c r="AM964" s="39">
        <f t="shared" si="79"/>
        <v>0</v>
      </c>
      <c r="AN964" s="39">
        <f t="shared" si="76"/>
        <v>0</v>
      </c>
      <c r="AO964" s="39">
        <f t="shared" si="77"/>
        <v>0</v>
      </c>
    </row>
    <row r="965" spans="1:41" x14ac:dyDescent="0.3">
      <c r="A965" s="20">
        <v>1000184670</v>
      </c>
      <c r="B965" s="4" t="s">
        <v>147</v>
      </c>
      <c r="C965" s="21"/>
      <c r="D965" s="3"/>
      <c r="E965" s="20">
        <v>1000185288</v>
      </c>
      <c r="F965" s="4" t="s">
        <v>64</v>
      </c>
      <c r="G965" s="21">
        <v>1000189795</v>
      </c>
      <c r="H965" s="3" t="s">
        <v>65</v>
      </c>
      <c r="I965" s="21">
        <v>1000189270</v>
      </c>
      <c r="J965" s="3" t="s">
        <v>34</v>
      </c>
      <c r="K965" s="20" t="s">
        <v>22</v>
      </c>
      <c r="L965" s="39">
        <v>0</v>
      </c>
      <c r="M965" s="39">
        <v>99.18</v>
      </c>
      <c r="N965" s="39">
        <v>0</v>
      </c>
      <c r="O965" s="39">
        <v>0</v>
      </c>
      <c r="P965" s="39">
        <v>0</v>
      </c>
      <c r="Q965" s="39">
        <v>0</v>
      </c>
      <c r="R965" s="39">
        <v>0</v>
      </c>
      <c r="S965" s="39">
        <v>0</v>
      </c>
      <c r="T965" s="39">
        <v>0</v>
      </c>
      <c r="U965" s="39">
        <v>0</v>
      </c>
      <c r="V965" s="39">
        <v>0</v>
      </c>
      <c r="W965" s="39">
        <v>0</v>
      </c>
      <c r="X965" s="39">
        <v>0</v>
      </c>
      <c r="Y965" s="39">
        <v>0</v>
      </c>
      <c r="Z965" s="39">
        <v>0</v>
      </c>
      <c r="AA965" s="39">
        <v>0</v>
      </c>
      <c r="AB965" s="39">
        <v>0</v>
      </c>
      <c r="AC965" s="39">
        <v>1557.6</v>
      </c>
      <c r="AD965" s="39">
        <v>0</v>
      </c>
      <c r="AE965" s="39">
        <v>64</v>
      </c>
      <c r="AF965" s="39">
        <v>0</v>
      </c>
      <c r="AG965" s="39">
        <v>39.840000000000003</v>
      </c>
      <c r="AH965" s="39"/>
      <c r="AI965" s="39"/>
      <c r="AJ965" s="40"/>
      <c r="AK965" s="39">
        <f t="shared" si="75"/>
        <v>8.2650000000000006</v>
      </c>
      <c r="AL965" s="39">
        <f t="shared" si="78"/>
        <v>138.45333333333332</v>
      </c>
      <c r="AM965" s="39">
        <f t="shared" si="79"/>
        <v>276.90666666666664</v>
      </c>
      <c r="AN965" s="39">
        <f t="shared" si="76"/>
        <v>166.14399999999998</v>
      </c>
      <c r="AO965" s="39">
        <f t="shared" si="77"/>
        <v>1661.4399999999998</v>
      </c>
    </row>
    <row r="966" spans="1:41" x14ac:dyDescent="0.3">
      <c r="A966" s="20">
        <v>1000184670</v>
      </c>
      <c r="B966" s="4" t="s">
        <v>147</v>
      </c>
      <c r="C966" s="21"/>
      <c r="D966" s="3"/>
      <c r="E966" s="20">
        <v>1000185288</v>
      </c>
      <c r="F966" s="4" t="s">
        <v>64</v>
      </c>
      <c r="G966" s="21">
        <v>1000189795</v>
      </c>
      <c r="H966" s="3" t="s">
        <v>65</v>
      </c>
      <c r="I966" s="21">
        <v>1000189270</v>
      </c>
      <c r="J966" s="3" t="s">
        <v>34</v>
      </c>
      <c r="K966" s="20" t="s">
        <v>23</v>
      </c>
      <c r="L966" s="39">
        <v>0</v>
      </c>
      <c r="M966" s="39">
        <v>0</v>
      </c>
      <c r="N966" s="39">
        <v>0</v>
      </c>
      <c r="O966" s="39">
        <v>0</v>
      </c>
      <c r="P966" s="39">
        <v>0</v>
      </c>
      <c r="Q966" s="39">
        <v>0</v>
      </c>
      <c r="R966" s="39">
        <v>0</v>
      </c>
      <c r="S966" s="39">
        <v>0</v>
      </c>
      <c r="T966" s="39">
        <v>0</v>
      </c>
      <c r="U966" s="39">
        <v>0</v>
      </c>
      <c r="V966" s="39">
        <v>0</v>
      </c>
      <c r="W966" s="39">
        <v>0</v>
      </c>
      <c r="X966" s="39">
        <v>0</v>
      </c>
      <c r="Y966" s="39">
        <v>0</v>
      </c>
      <c r="Z966" s="39">
        <v>0</v>
      </c>
      <c r="AA966" s="39">
        <v>0</v>
      </c>
      <c r="AB966" s="39">
        <v>0</v>
      </c>
      <c r="AC966" s="39">
        <v>0</v>
      </c>
      <c r="AD966" s="39">
        <v>0</v>
      </c>
      <c r="AE966" s="39">
        <v>22.56</v>
      </c>
      <c r="AF966" s="39">
        <v>0</v>
      </c>
      <c r="AG966" s="39">
        <v>0</v>
      </c>
      <c r="AH966" s="39"/>
      <c r="AI966" s="39"/>
      <c r="AJ966" s="40"/>
      <c r="AK966" s="39">
        <f t="shared" si="75"/>
        <v>0</v>
      </c>
      <c r="AL966" s="39">
        <f t="shared" si="78"/>
        <v>1.88</v>
      </c>
      <c r="AM966" s="39">
        <f t="shared" si="79"/>
        <v>3.76</v>
      </c>
      <c r="AN966" s="39">
        <f t="shared" si="76"/>
        <v>2.2559999999999998</v>
      </c>
      <c r="AO966" s="39">
        <f t="shared" si="77"/>
        <v>22.56</v>
      </c>
    </row>
    <row r="967" spans="1:41" x14ac:dyDescent="0.3">
      <c r="A967" s="20">
        <v>1000184670</v>
      </c>
      <c r="B967" s="4" t="s">
        <v>147</v>
      </c>
      <c r="C967" s="21"/>
      <c r="D967" s="3"/>
      <c r="E967" s="20">
        <v>1000185288</v>
      </c>
      <c r="F967" s="4" t="s">
        <v>64</v>
      </c>
      <c r="G967" s="21">
        <v>1000189795</v>
      </c>
      <c r="H967" s="3" t="s">
        <v>65</v>
      </c>
      <c r="I967" s="21">
        <v>1000189270</v>
      </c>
      <c r="J967" s="3" t="s">
        <v>34</v>
      </c>
      <c r="K967" s="20" t="s">
        <v>28</v>
      </c>
      <c r="L967" s="39">
        <v>0</v>
      </c>
      <c r="M967" s="39">
        <v>0</v>
      </c>
      <c r="N967" s="39">
        <v>0</v>
      </c>
      <c r="O967" s="39">
        <v>0</v>
      </c>
      <c r="P967" s="39">
        <v>0</v>
      </c>
      <c r="Q967" s="39">
        <v>0</v>
      </c>
      <c r="R967" s="39">
        <v>0</v>
      </c>
      <c r="S967" s="39">
        <v>0</v>
      </c>
      <c r="T967" s="39">
        <v>0</v>
      </c>
      <c r="U967" s="39">
        <v>0</v>
      </c>
      <c r="V967" s="39">
        <v>0</v>
      </c>
      <c r="W967" s="39">
        <v>0</v>
      </c>
      <c r="X967" s="39">
        <v>0</v>
      </c>
      <c r="Y967" s="39">
        <v>0</v>
      </c>
      <c r="Z967" s="39">
        <v>0</v>
      </c>
      <c r="AA967" s="39">
        <v>0</v>
      </c>
      <c r="AB967" s="39">
        <v>0</v>
      </c>
      <c r="AC967" s="39">
        <v>0</v>
      </c>
      <c r="AD967" s="39">
        <v>0</v>
      </c>
      <c r="AE967" s="39">
        <v>0</v>
      </c>
      <c r="AF967" s="39">
        <v>0</v>
      </c>
      <c r="AG967" s="39">
        <v>0</v>
      </c>
      <c r="AH967" s="39"/>
      <c r="AI967" s="39"/>
      <c r="AJ967" s="40"/>
      <c r="AK967" s="39">
        <f t="shared" si="75"/>
        <v>0</v>
      </c>
      <c r="AL967" s="39">
        <f t="shared" si="78"/>
        <v>0</v>
      </c>
      <c r="AM967" s="39">
        <f t="shared" si="79"/>
        <v>0</v>
      </c>
      <c r="AN967" s="39">
        <f t="shared" si="76"/>
        <v>0</v>
      </c>
      <c r="AO967" s="39">
        <f t="shared" si="77"/>
        <v>0</v>
      </c>
    </row>
    <row r="968" spans="1:41" x14ac:dyDescent="0.3">
      <c r="A968" s="20">
        <v>1000184670</v>
      </c>
      <c r="B968" s="4" t="s">
        <v>147</v>
      </c>
      <c r="C968" s="21"/>
      <c r="D968" s="3"/>
      <c r="E968" s="20">
        <v>1000185288</v>
      </c>
      <c r="F968" s="4" t="s">
        <v>64</v>
      </c>
      <c r="G968" s="21">
        <v>1000189795</v>
      </c>
      <c r="H968" s="3" t="s">
        <v>65</v>
      </c>
      <c r="I968" s="21">
        <v>1000189270</v>
      </c>
      <c r="J968" s="3" t="s">
        <v>34</v>
      </c>
      <c r="K968" s="20" t="s">
        <v>26</v>
      </c>
      <c r="L968" s="39">
        <v>0</v>
      </c>
      <c r="M968" s="39">
        <v>0</v>
      </c>
      <c r="N968" s="39">
        <v>0</v>
      </c>
      <c r="O968" s="39">
        <v>0</v>
      </c>
      <c r="P968" s="39">
        <v>0</v>
      </c>
      <c r="Q968" s="39">
        <v>0</v>
      </c>
      <c r="R968" s="39">
        <v>0</v>
      </c>
      <c r="S968" s="39">
        <v>0</v>
      </c>
      <c r="T968" s="39">
        <v>0</v>
      </c>
      <c r="U968" s="39">
        <v>696.83</v>
      </c>
      <c r="V968" s="39">
        <v>0</v>
      </c>
      <c r="W968" s="39">
        <v>0</v>
      </c>
      <c r="X968" s="39">
        <v>0</v>
      </c>
      <c r="Y968" s="39">
        <v>0</v>
      </c>
      <c r="Z968" s="39">
        <v>0</v>
      </c>
      <c r="AA968" s="39">
        <v>0</v>
      </c>
      <c r="AB968" s="39">
        <v>0</v>
      </c>
      <c r="AC968" s="39">
        <v>0</v>
      </c>
      <c r="AD968" s="39">
        <v>0</v>
      </c>
      <c r="AE968" s="39">
        <v>0</v>
      </c>
      <c r="AF968" s="39">
        <v>0</v>
      </c>
      <c r="AG968" s="39">
        <v>199.2</v>
      </c>
      <c r="AH968" s="39"/>
      <c r="AI968" s="39"/>
      <c r="AJ968" s="40"/>
      <c r="AK968" s="39">
        <f t="shared" si="75"/>
        <v>58.069166666666668</v>
      </c>
      <c r="AL968" s="39">
        <f t="shared" si="78"/>
        <v>16.599999999999998</v>
      </c>
      <c r="AM968" s="39">
        <f t="shared" si="79"/>
        <v>33.199999999999996</v>
      </c>
      <c r="AN968" s="39">
        <f t="shared" si="76"/>
        <v>19.919999999999998</v>
      </c>
      <c r="AO968" s="39">
        <f t="shared" si="77"/>
        <v>199.2</v>
      </c>
    </row>
    <row r="969" spans="1:41" x14ac:dyDescent="0.3">
      <c r="A969" s="20">
        <v>1000184670</v>
      </c>
      <c r="B969" s="4" t="s">
        <v>147</v>
      </c>
      <c r="C969" s="21"/>
      <c r="D969" s="3"/>
      <c r="E969" s="20">
        <v>1000185288</v>
      </c>
      <c r="F969" s="4" t="s">
        <v>64</v>
      </c>
      <c r="G969" s="21">
        <v>1000189795</v>
      </c>
      <c r="H969" s="3" t="s">
        <v>65</v>
      </c>
      <c r="I969" s="21">
        <v>1000189270</v>
      </c>
      <c r="J969" s="3" t="s">
        <v>34</v>
      </c>
      <c r="K969" s="20" t="s">
        <v>27</v>
      </c>
      <c r="L969" s="39">
        <v>0</v>
      </c>
      <c r="M969" s="39">
        <v>0</v>
      </c>
      <c r="N969" s="39">
        <v>0</v>
      </c>
      <c r="O969" s="39">
        <v>0</v>
      </c>
      <c r="P969" s="39">
        <v>0</v>
      </c>
      <c r="Q969" s="39">
        <v>0</v>
      </c>
      <c r="R969" s="39">
        <v>0</v>
      </c>
      <c r="S969" s="39">
        <v>0</v>
      </c>
      <c r="T969" s="39">
        <v>0</v>
      </c>
      <c r="U969" s="39">
        <v>0</v>
      </c>
      <c r="V969" s="39">
        <v>0</v>
      </c>
      <c r="W969" s="39">
        <v>0</v>
      </c>
      <c r="X969" s="39">
        <v>0</v>
      </c>
      <c r="Y969" s="39">
        <v>0</v>
      </c>
      <c r="Z969" s="39">
        <v>0</v>
      </c>
      <c r="AA969" s="39">
        <v>0</v>
      </c>
      <c r="AB969" s="39">
        <v>31.62</v>
      </c>
      <c r="AC969" s="39">
        <v>2376</v>
      </c>
      <c r="AD969" s="39">
        <v>200.17</v>
      </c>
      <c r="AE969" s="39">
        <v>0</v>
      </c>
      <c r="AF969" s="39">
        <v>0</v>
      </c>
      <c r="AG969" s="39">
        <v>146.88</v>
      </c>
      <c r="AH969" s="39"/>
      <c r="AI969" s="39"/>
      <c r="AJ969" s="40"/>
      <c r="AK969" s="39">
        <f t="shared" si="75"/>
        <v>0</v>
      </c>
      <c r="AL969" s="39">
        <f t="shared" si="78"/>
        <v>229.55583333333334</v>
      </c>
      <c r="AM969" s="39">
        <f t="shared" si="79"/>
        <v>459.11166666666668</v>
      </c>
      <c r="AN969" s="39">
        <f t="shared" si="76"/>
        <v>275.46699999999998</v>
      </c>
      <c r="AO969" s="39">
        <f t="shared" si="77"/>
        <v>2754.67</v>
      </c>
    </row>
    <row r="970" spans="1:41" x14ac:dyDescent="0.3">
      <c r="A970" s="20">
        <v>1000184670</v>
      </c>
      <c r="B970" s="4" t="s">
        <v>147</v>
      </c>
      <c r="C970" s="21"/>
      <c r="D970" s="3"/>
      <c r="E970" s="20">
        <v>1000185288</v>
      </c>
      <c r="F970" s="4" t="s">
        <v>64</v>
      </c>
      <c r="G970" s="21">
        <v>1000189795</v>
      </c>
      <c r="H970" s="3" t="s">
        <v>65</v>
      </c>
      <c r="I970" s="21">
        <v>1000189270</v>
      </c>
      <c r="J970" s="3" t="s">
        <v>34</v>
      </c>
      <c r="K970" s="20" t="s">
        <v>25</v>
      </c>
      <c r="L970" s="39">
        <v>0</v>
      </c>
      <c r="M970" s="39">
        <v>0</v>
      </c>
      <c r="N970" s="39">
        <v>0</v>
      </c>
      <c r="O970" s="39">
        <v>0</v>
      </c>
      <c r="P970" s="39">
        <v>0</v>
      </c>
      <c r="Q970" s="39">
        <v>0</v>
      </c>
      <c r="R970" s="39">
        <v>0</v>
      </c>
      <c r="S970" s="39">
        <v>0</v>
      </c>
      <c r="T970" s="39">
        <v>0</v>
      </c>
      <c r="U970" s="39">
        <v>0</v>
      </c>
      <c r="V970" s="39">
        <v>0</v>
      </c>
      <c r="W970" s="39">
        <v>0</v>
      </c>
      <c r="X970" s="39">
        <v>0</v>
      </c>
      <c r="Y970" s="39">
        <v>0</v>
      </c>
      <c r="Z970" s="39">
        <v>0</v>
      </c>
      <c r="AA970" s="39">
        <v>0</v>
      </c>
      <c r="AB970" s="39">
        <v>0</v>
      </c>
      <c r="AC970" s="39">
        <v>2673</v>
      </c>
      <c r="AD970" s="39">
        <v>0</v>
      </c>
      <c r="AE970" s="39">
        <v>0</v>
      </c>
      <c r="AF970" s="39">
        <v>99</v>
      </c>
      <c r="AG970" s="39">
        <v>95.04</v>
      </c>
      <c r="AH970" s="39"/>
      <c r="AI970" s="39"/>
      <c r="AJ970" s="40"/>
      <c r="AK970" s="39">
        <f t="shared" si="75"/>
        <v>0</v>
      </c>
      <c r="AL970" s="39">
        <f t="shared" si="78"/>
        <v>238.92</v>
      </c>
      <c r="AM970" s="39">
        <f t="shared" si="79"/>
        <v>477.84</v>
      </c>
      <c r="AN970" s="39">
        <f t="shared" si="76"/>
        <v>286.70400000000001</v>
      </c>
      <c r="AO970" s="39">
        <f t="shared" si="77"/>
        <v>2867.04</v>
      </c>
    </row>
    <row r="971" spans="1:41" x14ac:dyDescent="0.3">
      <c r="A971" s="20">
        <v>1000184670</v>
      </c>
      <c r="B971" s="4" t="s">
        <v>147</v>
      </c>
      <c r="C971" s="21"/>
      <c r="D971" s="3"/>
      <c r="E971" s="20">
        <v>1000184760</v>
      </c>
      <c r="F971" s="4" t="s">
        <v>60</v>
      </c>
      <c r="G971" s="21">
        <v>1000189796</v>
      </c>
      <c r="H971" s="3" t="s">
        <v>61</v>
      </c>
      <c r="I971" s="21">
        <v>1000189270</v>
      </c>
      <c r="J971" s="3" t="s">
        <v>34</v>
      </c>
      <c r="K971" s="20" t="s">
        <v>124</v>
      </c>
      <c r="L971" s="39">
        <v>0</v>
      </c>
      <c r="M971" s="39">
        <v>0</v>
      </c>
      <c r="N971" s="39">
        <v>0</v>
      </c>
      <c r="O971" s="39">
        <v>0</v>
      </c>
      <c r="P971" s="39">
        <v>0</v>
      </c>
      <c r="Q971" s="39">
        <v>0</v>
      </c>
      <c r="R971" s="39">
        <v>0</v>
      </c>
      <c r="S971" s="39">
        <v>0</v>
      </c>
      <c r="T971" s="39">
        <v>0</v>
      </c>
      <c r="U971" s="39">
        <v>0</v>
      </c>
      <c r="V971" s="39">
        <v>0</v>
      </c>
      <c r="W971" s="39">
        <v>0</v>
      </c>
      <c r="X971" s="39">
        <v>0</v>
      </c>
      <c r="Y971" s="39">
        <v>0</v>
      </c>
      <c r="Z971" s="39">
        <v>0</v>
      </c>
      <c r="AA971" s="39">
        <v>0</v>
      </c>
      <c r="AB971" s="39">
        <v>0</v>
      </c>
      <c r="AC971" s="39">
        <v>0</v>
      </c>
      <c r="AD971" s="39">
        <v>0</v>
      </c>
      <c r="AE971" s="39">
        <v>0</v>
      </c>
      <c r="AF971" s="39">
        <v>0</v>
      </c>
      <c r="AG971" s="39">
        <v>0</v>
      </c>
      <c r="AH971" s="39"/>
      <c r="AI971" s="39"/>
      <c r="AJ971" s="40"/>
      <c r="AK971" s="39">
        <f t="shared" si="75"/>
        <v>0</v>
      </c>
      <c r="AL971" s="39">
        <f t="shared" si="78"/>
        <v>0</v>
      </c>
      <c r="AM971" s="39">
        <f t="shared" si="79"/>
        <v>0</v>
      </c>
      <c r="AN971" s="39">
        <f t="shared" si="76"/>
        <v>0</v>
      </c>
      <c r="AO971" s="39">
        <f t="shared" si="77"/>
        <v>0</v>
      </c>
    </row>
    <row r="972" spans="1:41" x14ac:dyDescent="0.3">
      <c r="A972" s="20">
        <v>1000184670</v>
      </c>
      <c r="B972" s="4" t="s">
        <v>147</v>
      </c>
      <c r="C972" s="21"/>
      <c r="D972" s="3"/>
      <c r="E972" s="20">
        <v>1000184760</v>
      </c>
      <c r="F972" s="4" t="s">
        <v>60</v>
      </c>
      <c r="G972" s="21">
        <v>1000189796</v>
      </c>
      <c r="H972" s="3" t="s">
        <v>61</v>
      </c>
      <c r="I972" s="21">
        <v>1000189270</v>
      </c>
      <c r="J972" s="3" t="s">
        <v>34</v>
      </c>
      <c r="K972" s="20" t="s">
        <v>13</v>
      </c>
      <c r="L972" s="39">
        <v>0</v>
      </c>
      <c r="M972" s="39">
        <v>0</v>
      </c>
      <c r="N972" s="39">
        <v>0</v>
      </c>
      <c r="O972" s="39">
        <v>0</v>
      </c>
      <c r="P972" s="39">
        <v>0</v>
      </c>
      <c r="Q972" s="39">
        <v>0</v>
      </c>
      <c r="R972" s="39">
        <v>0</v>
      </c>
      <c r="S972" s="39">
        <v>0</v>
      </c>
      <c r="T972" s="39">
        <v>0</v>
      </c>
      <c r="U972" s="39">
        <v>0</v>
      </c>
      <c r="V972" s="39">
        <v>0</v>
      </c>
      <c r="W972" s="39">
        <v>0</v>
      </c>
      <c r="X972" s="39">
        <v>0</v>
      </c>
      <c r="Y972" s="39">
        <v>0</v>
      </c>
      <c r="Z972" s="39">
        <v>0</v>
      </c>
      <c r="AA972" s="39">
        <v>994.01</v>
      </c>
      <c r="AB972" s="39">
        <v>1253.0999999999999</v>
      </c>
      <c r="AC972" s="39">
        <v>135.66</v>
      </c>
      <c r="AD972" s="39">
        <v>963.54</v>
      </c>
      <c r="AE972" s="39">
        <v>781.8</v>
      </c>
      <c r="AF972" s="39">
        <v>2782.98</v>
      </c>
      <c r="AG972" s="39">
        <v>458.9</v>
      </c>
      <c r="AH972" s="39"/>
      <c r="AI972" s="39"/>
      <c r="AJ972" s="40"/>
      <c r="AK972" s="39">
        <f t="shared" si="75"/>
        <v>0</v>
      </c>
      <c r="AL972" s="39">
        <f t="shared" si="78"/>
        <v>614.16583333333335</v>
      </c>
      <c r="AM972" s="39">
        <f t="shared" si="79"/>
        <v>1062.6633333333332</v>
      </c>
      <c r="AN972" s="39">
        <f t="shared" si="76"/>
        <v>736.99900000000002</v>
      </c>
      <c r="AO972" s="39">
        <f t="shared" si="77"/>
        <v>7369.99</v>
      </c>
    </row>
    <row r="973" spans="1:41" x14ac:dyDescent="0.3">
      <c r="A973" s="20">
        <v>1000184670</v>
      </c>
      <c r="B973" s="4" t="s">
        <v>147</v>
      </c>
      <c r="C973" s="21"/>
      <c r="D973" s="3"/>
      <c r="E973" s="20">
        <v>1000184760</v>
      </c>
      <c r="F973" s="4" t="s">
        <v>60</v>
      </c>
      <c r="G973" s="21">
        <v>1000189796</v>
      </c>
      <c r="H973" s="3" t="s">
        <v>61</v>
      </c>
      <c r="I973" s="21">
        <v>1000189270</v>
      </c>
      <c r="J973" s="3" t="s">
        <v>34</v>
      </c>
      <c r="K973" s="20" t="s">
        <v>14</v>
      </c>
      <c r="L973" s="39">
        <v>0</v>
      </c>
      <c r="M973" s="39">
        <v>0</v>
      </c>
      <c r="N973" s="39">
        <v>0</v>
      </c>
      <c r="O973" s="39">
        <v>264</v>
      </c>
      <c r="P973" s="39">
        <v>0</v>
      </c>
      <c r="Q973" s="39">
        <v>0</v>
      </c>
      <c r="R973" s="39">
        <v>0</v>
      </c>
      <c r="S973" s="39">
        <v>0</v>
      </c>
      <c r="T973" s="39">
        <v>0</v>
      </c>
      <c r="U973" s="39">
        <v>0</v>
      </c>
      <c r="V973" s="39">
        <v>0</v>
      </c>
      <c r="W973" s="39">
        <v>0</v>
      </c>
      <c r="X973" s="39">
        <v>0</v>
      </c>
      <c r="Y973" s="39">
        <v>0</v>
      </c>
      <c r="Z973" s="39">
        <v>0</v>
      </c>
      <c r="AA973" s="39">
        <v>0</v>
      </c>
      <c r="AB973" s="39">
        <v>0</v>
      </c>
      <c r="AC973" s="39">
        <v>0</v>
      </c>
      <c r="AD973" s="39">
        <v>0</v>
      </c>
      <c r="AE973" s="39">
        <v>0</v>
      </c>
      <c r="AF973" s="39">
        <v>151.76</v>
      </c>
      <c r="AG973" s="39">
        <v>114</v>
      </c>
      <c r="AH973" s="39"/>
      <c r="AI973" s="39"/>
      <c r="AJ973" s="40"/>
      <c r="AK973" s="39">
        <f t="shared" si="75"/>
        <v>22</v>
      </c>
      <c r="AL973" s="39">
        <f t="shared" si="78"/>
        <v>22.146666666666665</v>
      </c>
      <c r="AM973" s="39">
        <f t="shared" si="79"/>
        <v>44.293333333333329</v>
      </c>
      <c r="AN973" s="39">
        <f t="shared" si="76"/>
        <v>26.576000000000001</v>
      </c>
      <c r="AO973" s="39">
        <f t="shared" si="77"/>
        <v>265.76</v>
      </c>
    </row>
    <row r="974" spans="1:41" x14ac:dyDescent="0.3">
      <c r="A974" s="20">
        <v>1000184670</v>
      </c>
      <c r="B974" s="4" t="s">
        <v>147</v>
      </c>
      <c r="C974" s="21"/>
      <c r="D974" s="3"/>
      <c r="E974" s="20">
        <v>1000184760</v>
      </c>
      <c r="F974" s="4" t="s">
        <v>60</v>
      </c>
      <c r="G974" s="21">
        <v>1000189796</v>
      </c>
      <c r="H974" s="3" t="s">
        <v>61</v>
      </c>
      <c r="I974" s="21">
        <v>1000189270</v>
      </c>
      <c r="J974" s="3" t="s">
        <v>34</v>
      </c>
      <c r="K974" s="20" t="s">
        <v>16</v>
      </c>
      <c r="L974" s="39">
        <v>0</v>
      </c>
      <c r="M974" s="39">
        <v>0</v>
      </c>
      <c r="N974" s="39">
        <v>0</v>
      </c>
      <c r="O974" s="39">
        <v>0</v>
      </c>
      <c r="P974" s="39">
        <v>0</v>
      </c>
      <c r="Q974" s="39">
        <v>0</v>
      </c>
      <c r="R974" s="39">
        <v>0</v>
      </c>
      <c r="S974" s="39">
        <v>0</v>
      </c>
      <c r="T974" s="39">
        <v>0</v>
      </c>
      <c r="U974" s="39">
        <v>0</v>
      </c>
      <c r="V974" s="39">
        <v>0</v>
      </c>
      <c r="W974" s="39">
        <v>0</v>
      </c>
      <c r="X974" s="39">
        <v>0</v>
      </c>
      <c r="Y974" s="39">
        <v>0</v>
      </c>
      <c r="Z974" s="39">
        <v>0</v>
      </c>
      <c r="AA974" s="39">
        <v>159.58000000000001</v>
      </c>
      <c r="AB974" s="39">
        <v>1100.1199999999999</v>
      </c>
      <c r="AC974" s="39">
        <v>43.87</v>
      </c>
      <c r="AD974" s="39">
        <v>477.37</v>
      </c>
      <c r="AE974" s="39">
        <v>318.86</v>
      </c>
      <c r="AF974" s="39">
        <v>1021.81</v>
      </c>
      <c r="AG974" s="39">
        <v>115.84</v>
      </c>
      <c r="AH974" s="39"/>
      <c r="AI974" s="39"/>
      <c r="AJ974" s="40"/>
      <c r="AK974" s="39">
        <f t="shared" si="75"/>
        <v>0</v>
      </c>
      <c r="AL974" s="39">
        <f t="shared" si="78"/>
        <v>269.78749999999997</v>
      </c>
      <c r="AM974" s="39">
        <f t="shared" si="79"/>
        <v>512.97833333333335</v>
      </c>
      <c r="AN974" s="39">
        <f t="shared" si="76"/>
        <v>323.745</v>
      </c>
      <c r="AO974" s="39">
        <f t="shared" si="77"/>
        <v>3237.45</v>
      </c>
    </row>
    <row r="975" spans="1:41" x14ac:dyDescent="0.3">
      <c r="A975" s="20">
        <v>1000184670</v>
      </c>
      <c r="B975" s="4" t="s">
        <v>147</v>
      </c>
      <c r="C975" s="21"/>
      <c r="D975" s="3"/>
      <c r="E975" s="20">
        <v>1000184760</v>
      </c>
      <c r="F975" s="4" t="s">
        <v>60</v>
      </c>
      <c r="G975" s="21">
        <v>1000189796</v>
      </c>
      <c r="H975" s="3" t="s">
        <v>61</v>
      </c>
      <c r="I975" s="21">
        <v>1000189270</v>
      </c>
      <c r="J975" s="3" t="s">
        <v>34</v>
      </c>
      <c r="K975" s="20" t="s">
        <v>15</v>
      </c>
      <c r="L975" s="39">
        <v>0</v>
      </c>
      <c r="M975" s="39">
        <v>0</v>
      </c>
      <c r="N975" s="39">
        <v>0</v>
      </c>
      <c r="O975" s="39">
        <v>286.2</v>
      </c>
      <c r="P975" s="39">
        <v>0</v>
      </c>
      <c r="Q975" s="39">
        <v>0</v>
      </c>
      <c r="R975" s="39">
        <v>0</v>
      </c>
      <c r="S975" s="39">
        <v>0</v>
      </c>
      <c r="T975" s="39">
        <v>0</v>
      </c>
      <c r="U975" s="39">
        <v>0</v>
      </c>
      <c r="V975" s="39">
        <v>0</v>
      </c>
      <c r="W975" s="39">
        <v>0</v>
      </c>
      <c r="X975" s="39">
        <v>0</v>
      </c>
      <c r="Y975" s="39">
        <v>0</v>
      </c>
      <c r="Z975" s="39">
        <v>0</v>
      </c>
      <c r="AA975" s="39">
        <v>160.65</v>
      </c>
      <c r="AB975" s="39">
        <v>1653.68</v>
      </c>
      <c r="AC975" s="39">
        <v>142.5</v>
      </c>
      <c r="AD975" s="39">
        <v>486.62</v>
      </c>
      <c r="AE975" s="39">
        <v>1690.02</v>
      </c>
      <c r="AF975" s="39">
        <v>694.62</v>
      </c>
      <c r="AG975" s="39">
        <v>1817.91</v>
      </c>
      <c r="AH975" s="39"/>
      <c r="AI975" s="39"/>
      <c r="AJ975" s="40"/>
      <c r="AK975" s="39">
        <f t="shared" si="75"/>
        <v>23.849999999999998</v>
      </c>
      <c r="AL975" s="39">
        <f t="shared" si="78"/>
        <v>553.83333333333337</v>
      </c>
      <c r="AM975" s="39">
        <f t="shared" si="79"/>
        <v>1080.8916666666667</v>
      </c>
      <c r="AN975" s="39">
        <f t="shared" si="76"/>
        <v>664.6</v>
      </c>
      <c r="AO975" s="39">
        <f t="shared" si="77"/>
        <v>6646</v>
      </c>
    </row>
    <row r="976" spans="1:41" x14ac:dyDescent="0.3">
      <c r="A976" s="20">
        <v>1000184670</v>
      </c>
      <c r="B976" s="4" t="s">
        <v>147</v>
      </c>
      <c r="C976" s="21"/>
      <c r="D976" s="3"/>
      <c r="E976" s="20">
        <v>1000184760</v>
      </c>
      <c r="F976" s="4" t="s">
        <v>60</v>
      </c>
      <c r="G976" s="21">
        <v>1000189796</v>
      </c>
      <c r="H976" s="3" t="s">
        <v>61</v>
      </c>
      <c r="I976" s="21">
        <v>1000189270</v>
      </c>
      <c r="J976" s="3" t="s">
        <v>34</v>
      </c>
      <c r="K976" s="20" t="s">
        <v>33</v>
      </c>
      <c r="L976" s="39">
        <v>0</v>
      </c>
      <c r="M976" s="39">
        <v>0</v>
      </c>
      <c r="N976" s="39">
        <v>0</v>
      </c>
      <c r="O976" s="39">
        <v>0</v>
      </c>
      <c r="P976" s="39">
        <v>0</v>
      </c>
      <c r="Q976" s="39">
        <v>0</v>
      </c>
      <c r="R976" s="39">
        <v>0</v>
      </c>
      <c r="S976" s="39">
        <v>0</v>
      </c>
      <c r="T976" s="39">
        <v>0</v>
      </c>
      <c r="U976" s="39">
        <v>0</v>
      </c>
      <c r="V976" s="39">
        <v>0</v>
      </c>
      <c r="W976" s="39">
        <v>0</v>
      </c>
      <c r="X976" s="39">
        <v>0</v>
      </c>
      <c r="Y976" s="39">
        <v>0</v>
      </c>
      <c r="Z976" s="39">
        <v>0</v>
      </c>
      <c r="AA976" s="39">
        <v>0</v>
      </c>
      <c r="AB976" s="39">
        <v>0</v>
      </c>
      <c r="AC976" s="39">
        <v>0</v>
      </c>
      <c r="AD976" s="39">
        <v>0</v>
      </c>
      <c r="AE976" s="39">
        <v>0</v>
      </c>
      <c r="AF976" s="39">
        <v>0</v>
      </c>
      <c r="AG976" s="39">
        <v>0</v>
      </c>
      <c r="AH976" s="39"/>
      <c r="AI976" s="39"/>
      <c r="AJ976" s="40"/>
      <c r="AK976" s="39">
        <f t="shared" si="75"/>
        <v>0</v>
      </c>
      <c r="AL976" s="39">
        <f t="shared" si="78"/>
        <v>0</v>
      </c>
      <c r="AM976" s="39">
        <f t="shared" si="79"/>
        <v>0</v>
      </c>
      <c r="AN976" s="39">
        <f t="shared" si="76"/>
        <v>0</v>
      </c>
      <c r="AO976" s="39">
        <f t="shared" si="77"/>
        <v>0</v>
      </c>
    </row>
    <row r="977" spans="1:41" x14ac:dyDescent="0.3">
      <c r="A977" s="20">
        <v>1000184670</v>
      </c>
      <c r="B977" s="4" t="s">
        <v>147</v>
      </c>
      <c r="C977" s="21"/>
      <c r="D977" s="3"/>
      <c r="E977" s="20">
        <v>1000184760</v>
      </c>
      <c r="F977" s="4" t="s">
        <v>60</v>
      </c>
      <c r="G977" s="21">
        <v>1000189796</v>
      </c>
      <c r="H977" s="3" t="s">
        <v>61</v>
      </c>
      <c r="I977" s="21">
        <v>1000189270</v>
      </c>
      <c r="J977" s="3" t="s">
        <v>34</v>
      </c>
      <c r="K977" s="20" t="s">
        <v>19</v>
      </c>
      <c r="L977" s="39">
        <v>0</v>
      </c>
      <c r="M977" s="39">
        <v>0</v>
      </c>
      <c r="N977" s="39">
        <v>0</v>
      </c>
      <c r="O977" s="39">
        <v>102.06</v>
      </c>
      <c r="P977" s="39">
        <v>0</v>
      </c>
      <c r="Q977" s="39">
        <v>0</v>
      </c>
      <c r="R977" s="39">
        <v>0</v>
      </c>
      <c r="S977" s="39">
        <v>0</v>
      </c>
      <c r="T977" s="39">
        <v>0</v>
      </c>
      <c r="U977" s="39">
        <v>0</v>
      </c>
      <c r="V977" s="39">
        <v>0</v>
      </c>
      <c r="W977" s="39">
        <v>0</v>
      </c>
      <c r="X977" s="39">
        <v>0</v>
      </c>
      <c r="Y977" s="39">
        <v>0</v>
      </c>
      <c r="Z977" s="39">
        <v>0</v>
      </c>
      <c r="AA977" s="39">
        <v>0</v>
      </c>
      <c r="AB977" s="39">
        <v>0</v>
      </c>
      <c r="AC977" s="39">
        <v>0</v>
      </c>
      <c r="AD977" s="39">
        <v>197.88</v>
      </c>
      <c r="AE977" s="39">
        <v>0</v>
      </c>
      <c r="AF977" s="39">
        <v>0</v>
      </c>
      <c r="AG977" s="39">
        <v>0</v>
      </c>
      <c r="AH977" s="39"/>
      <c r="AI977" s="39"/>
      <c r="AJ977" s="40"/>
      <c r="AK977" s="39">
        <f t="shared" si="75"/>
        <v>8.5050000000000008</v>
      </c>
      <c r="AL977" s="39">
        <f t="shared" si="78"/>
        <v>16.489999999999998</v>
      </c>
      <c r="AM977" s="39">
        <f t="shared" si="79"/>
        <v>32.979999999999997</v>
      </c>
      <c r="AN977" s="39">
        <f t="shared" si="76"/>
        <v>19.788</v>
      </c>
      <c r="AO977" s="39">
        <f t="shared" si="77"/>
        <v>197.88</v>
      </c>
    </row>
    <row r="978" spans="1:41" x14ac:dyDescent="0.3">
      <c r="A978" s="20">
        <v>1000184670</v>
      </c>
      <c r="B978" s="4" t="s">
        <v>147</v>
      </c>
      <c r="C978" s="21"/>
      <c r="D978" s="3"/>
      <c r="E978" s="20">
        <v>1000184760</v>
      </c>
      <c r="F978" s="4" t="s">
        <v>60</v>
      </c>
      <c r="G978" s="21">
        <v>1000189796</v>
      </c>
      <c r="H978" s="3" t="s">
        <v>61</v>
      </c>
      <c r="I978" s="21">
        <v>1000189270</v>
      </c>
      <c r="J978" s="3" t="s">
        <v>34</v>
      </c>
      <c r="K978" s="20" t="s">
        <v>17</v>
      </c>
      <c r="L978" s="39">
        <v>0</v>
      </c>
      <c r="M978" s="39">
        <v>0</v>
      </c>
      <c r="N978" s="39">
        <v>0</v>
      </c>
      <c r="O978" s="39">
        <v>240</v>
      </c>
      <c r="P978" s="39">
        <v>0</v>
      </c>
      <c r="Q978" s="39">
        <v>0</v>
      </c>
      <c r="R978" s="39">
        <v>0</v>
      </c>
      <c r="S978" s="39">
        <v>0</v>
      </c>
      <c r="T978" s="39">
        <v>0</v>
      </c>
      <c r="U978" s="39">
        <v>0</v>
      </c>
      <c r="V978" s="39">
        <v>0</v>
      </c>
      <c r="W978" s="39">
        <v>0</v>
      </c>
      <c r="X978" s="39">
        <v>0</v>
      </c>
      <c r="Y978" s="39">
        <v>0</v>
      </c>
      <c r="Z978" s="39">
        <v>0</v>
      </c>
      <c r="AA978" s="39">
        <v>0</v>
      </c>
      <c r="AB978" s="39">
        <v>0</v>
      </c>
      <c r="AC978" s="39">
        <v>0</v>
      </c>
      <c r="AD978" s="39">
        <v>0</v>
      </c>
      <c r="AE978" s="39">
        <v>0</v>
      </c>
      <c r="AF978" s="39">
        <v>0</v>
      </c>
      <c r="AG978" s="39">
        <v>108.8</v>
      </c>
      <c r="AH978" s="39"/>
      <c r="AI978" s="39"/>
      <c r="AJ978" s="40"/>
      <c r="AK978" s="39">
        <f t="shared" si="75"/>
        <v>20</v>
      </c>
      <c r="AL978" s="39">
        <f t="shared" si="78"/>
        <v>9.0666666666666664</v>
      </c>
      <c r="AM978" s="39">
        <f t="shared" si="79"/>
        <v>18.133333333333333</v>
      </c>
      <c r="AN978" s="39">
        <f t="shared" si="76"/>
        <v>10.879999999999999</v>
      </c>
      <c r="AO978" s="39">
        <f t="shared" si="77"/>
        <v>108.8</v>
      </c>
    </row>
    <row r="979" spans="1:41" x14ac:dyDescent="0.3">
      <c r="A979" s="20">
        <v>1000184670</v>
      </c>
      <c r="B979" s="4" t="s">
        <v>147</v>
      </c>
      <c r="C979" s="21"/>
      <c r="D979" s="3"/>
      <c r="E979" s="20">
        <v>1000184760</v>
      </c>
      <c r="F979" s="4" t="s">
        <v>60</v>
      </c>
      <c r="G979" s="21">
        <v>1000189796</v>
      </c>
      <c r="H979" s="3" t="s">
        <v>61</v>
      </c>
      <c r="I979" s="21">
        <v>1000189270</v>
      </c>
      <c r="J979" s="3" t="s">
        <v>34</v>
      </c>
      <c r="K979" s="20" t="s">
        <v>24</v>
      </c>
      <c r="L979" s="39">
        <v>0</v>
      </c>
      <c r="M979" s="39">
        <v>0</v>
      </c>
      <c r="N979" s="39">
        <v>0</v>
      </c>
      <c r="O979" s="39">
        <v>0</v>
      </c>
      <c r="P979" s="39">
        <v>0</v>
      </c>
      <c r="Q979" s="39">
        <v>0</v>
      </c>
      <c r="R979" s="39">
        <v>0</v>
      </c>
      <c r="S979" s="39">
        <v>0</v>
      </c>
      <c r="T979" s="39">
        <v>0</v>
      </c>
      <c r="U979" s="39">
        <v>0</v>
      </c>
      <c r="V979" s="39">
        <v>0</v>
      </c>
      <c r="W979" s="39">
        <v>0</v>
      </c>
      <c r="X979" s="39">
        <v>0</v>
      </c>
      <c r="Y979" s="39">
        <v>0</v>
      </c>
      <c r="Z979" s="39">
        <v>0</v>
      </c>
      <c r="AA979" s="39">
        <v>149.26</v>
      </c>
      <c r="AB979" s="39">
        <v>0</v>
      </c>
      <c r="AC979" s="39">
        <v>25.41</v>
      </c>
      <c r="AD979" s="39">
        <v>151.55000000000001</v>
      </c>
      <c r="AE979" s="39">
        <v>36.950000000000003</v>
      </c>
      <c r="AF979" s="39">
        <v>172.4</v>
      </c>
      <c r="AG979" s="39">
        <v>0</v>
      </c>
      <c r="AH979" s="39"/>
      <c r="AI979" s="39"/>
      <c r="AJ979" s="40"/>
      <c r="AK979" s="39">
        <f t="shared" si="75"/>
        <v>0</v>
      </c>
      <c r="AL979" s="39">
        <f t="shared" si="78"/>
        <v>44.630833333333335</v>
      </c>
      <c r="AM979" s="39">
        <f t="shared" si="79"/>
        <v>64.385000000000005</v>
      </c>
      <c r="AN979" s="39">
        <f t="shared" si="76"/>
        <v>53.557000000000002</v>
      </c>
      <c r="AO979" s="39">
        <f t="shared" si="77"/>
        <v>535.57000000000005</v>
      </c>
    </row>
    <row r="980" spans="1:41" x14ac:dyDescent="0.3">
      <c r="A980" s="20">
        <v>1000184670</v>
      </c>
      <c r="B980" s="4" t="s">
        <v>147</v>
      </c>
      <c r="C980" s="21"/>
      <c r="D980" s="3"/>
      <c r="E980" s="20">
        <v>1000184760</v>
      </c>
      <c r="F980" s="4" t="s">
        <v>60</v>
      </c>
      <c r="G980" s="21">
        <v>1000189796</v>
      </c>
      <c r="H980" s="3" t="s">
        <v>61</v>
      </c>
      <c r="I980" s="21">
        <v>1000189270</v>
      </c>
      <c r="J980" s="3" t="s">
        <v>34</v>
      </c>
      <c r="K980" s="20" t="s">
        <v>18</v>
      </c>
      <c r="L980" s="39">
        <v>0</v>
      </c>
      <c r="M980" s="39">
        <v>0</v>
      </c>
      <c r="N980" s="39">
        <v>0</v>
      </c>
      <c r="O980" s="39">
        <v>0</v>
      </c>
      <c r="P980" s="39">
        <v>0</v>
      </c>
      <c r="Q980" s="39">
        <v>0</v>
      </c>
      <c r="R980" s="39">
        <v>0</v>
      </c>
      <c r="S980" s="39">
        <v>0</v>
      </c>
      <c r="T980" s="39">
        <v>0</v>
      </c>
      <c r="U980" s="39">
        <v>0</v>
      </c>
      <c r="V980" s="39">
        <v>0</v>
      </c>
      <c r="W980" s="39">
        <v>0</v>
      </c>
      <c r="X980" s="39">
        <v>0</v>
      </c>
      <c r="Y980" s="39">
        <v>0</v>
      </c>
      <c r="Z980" s="39">
        <v>0</v>
      </c>
      <c r="AA980" s="39">
        <v>128.21</v>
      </c>
      <c r="AB980" s="39">
        <v>238.8</v>
      </c>
      <c r="AC980" s="39">
        <v>90.12</v>
      </c>
      <c r="AD980" s="39">
        <v>0</v>
      </c>
      <c r="AE980" s="39">
        <v>113.33</v>
      </c>
      <c r="AF980" s="39">
        <v>306.08000000000004</v>
      </c>
      <c r="AG980" s="39">
        <v>77.8</v>
      </c>
      <c r="AH980" s="39"/>
      <c r="AI980" s="39"/>
      <c r="AJ980" s="40"/>
      <c r="AK980" s="39">
        <f t="shared" si="75"/>
        <v>0</v>
      </c>
      <c r="AL980" s="39">
        <f t="shared" si="78"/>
        <v>79.528333333333336</v>
      </c>
      <c r="AM980" s="39">
        <f t="shared" si="79"/>
        <v>137.68833333333333</v>
      </c>
      <c r="AN980" s="39">
        <f t="shared" si="76"/>
        <v>95.433999999999997</v>
      </c>
      <c r="AO980" s="39">
        <f t="shared" si="77"/>
        <v>954.34</v>
      </c>
    </row>
    <row r="981" spans="1:41" x14ac:dyDescent="0.3">
      <c r="A981" s="20">
        <v>1000184670</v>
      </c>
      <c r="B981" s="4" t="s">
        <v>147</v>
      </c>
      <c r="C981" s="21"/>
      <c r="D981" s="3"/>
      <c r="E981" s="20">
        <v>1000184760</v>
      </c>
      <c r="F981" s="4" t="s">
        <v>60</v>
      </c>
      <c r="G981" s="21">
        <v>1000189796</v>
      </c>
      <c r="H981" s="3" t="s">
        <v>61</v>
      </c>
      <c r="I981" s="21">
        <v>1000189270</v>
      </c>
      <c r="J981" s="3" t="s">
        <v>34</v>
      </c>
      <c r="K981" s="20" t="s">
        <v>29</v>
      </c>
      <c r="L981" s="39">
        <v>0</v>
      </c>
      <c r="M981" s="39">
        <v>0</v>
      </c>
      <c r="N981" s="39">
        <v>0</v>
      </c>
      <c r="O981" s="39">
        <v>0</v>
      </c>
      <c r="P981" s="39">
        <v>0</v>
      </c>
      <c r="Q981" s="39">
        <v>0</v>
      </c>
      <c r="R981" s="39">
        <v>0</v>
      </c>
      <c r="S981" s="39">
        <v>0</v>
      </c>
      <c r="T981" s="39">
        <v>0</v>
      </c>
      <c r="U981" s="39">
        <v>0</v>
      </c>
      <c r="V981" s="39">
        <v>0</v>
      </c>
      <c r="W981" s="39">
        <v>0</v>
      </c>
      <c r="X981" s="39">
        <v>0</v>
      </c>
      <c r="Y981" s="39">
        <v>0</v>
      </c>
      <c r="Z981" s="39">
        <v>0</v>
      </c>
      <c r="AA981" s="39">
        <v>0</v>
      </c>
      <c r="AB981" s="39">
        <v>1421.4</v>
      </c>
      <c r="AC981" s="39">
        <v>576</v>
      </c>
      <c r="AD981" s="39">
        <v>2204.0500000000002</v>
      </c>
      <c r="AE981" s="39">
        <v>2226.9</v>
      </c>
      <c r="AF981" s="39">
        <v>4028.45</v>
      </c>
      <c r="AG981" s="39">
        <v>1010.8</v>
      </c>
      <c r="AH981" s="39"/>
      <c r="AI981" s="39"/>
      <c r="AJ981" s="40"/>
      <c r="AK981" s="39">
        <f t="shared" si="75"/>
        <v>0</v>
      </c>
      <c r="AL981" s="39">
        <f t="shared" si="78"/>
        <v>955.63333333333321</v>
      </c>
      <c r="AM981" s="39">
        <f t="shared" si="79"/>
        <v>1911.2666666666664</v>
      </c>
      <c r="AN981" s="39">
        <f t="shared" si="76"/>
        <v>1146.7599999999998</v>
      </c>
      <c r="AO981" s="39">
        <f t="shared" si="77"/>
        <v>11467.599999999999</v>
      </c>
    </row>
    <row r="982" spans="1:41" x14ac:dyDescent="0.3">
      <c r="A982" s="20">
        <v>1000184670</v>
      </c>
      <c r="B982" s="4" t="s">
        <v>147</v>
      </c>
      <c r="C982" s="21"/>
      <c r="D982" s="3"/>
      <c r="E982" s="20">
        <v>1000184760</v>
      </c>
      <c r="F982" s="4" t="s">
        <v>60</v>
      </c>
      <c r="G982" s="21">
        <v>1000189796</v>
      </c>
      <c r="H982" s="3" t="s">
        <v>61</v>
      </c>
      <c r="I982" s="21">
        <v>1000189270</v>
      </c>
      <c r="J982" s="3" t="s">
        <v>34</v>
      </c>
      <c r="K982" s="20" t="s">
        <v>21</v>
      </c>
      <c r="L982" s="39">
        <v>0</v>
      </c>
      <c r="M982" s="39">
        <v>0</v>
      </c>
      <c r="N982" s="39">
        <v>0</v>
      </c>
      <c r="O982" s="39">
        <v>222</v>
      </c>
      <c r="P982" s="39">
        <v>0</v>
      </c>
      <c r="Q982" s="39">
        <v>0</v>
      </c>
      <c r="R982" s="39">
        <v>0</v>
      </c>
      <c r="S982" s="39">
        <v>0</v>
      </c>
      <c r="T982" s="39">
        <v>0</v>
      </c>
      <c r="U982" s="39">
        <v>0</v>
      </c>
      <c r="V982" s="39">
        <v>0</v>
      </c>
      <c r="W982" s="39">
        <v>0</v>
      </c>
      <c r="X982" s="39">
        <v>0</v>
      </c>
      <c r="Y982" s="39">
        <v>0</v>
      </c>
      <c r="Z982" s="39">
        <v>0</v>
      </c>
      <c r="AA982" s="39">
        <v>0</v>
      </c>
      <c r="AB982" s="39">
        <v>132.63</v>
      </c>
      <c r="AC982" s="39">
        <v>0</v>
      </c>
      <c r="AD982" s="39">
        <v>0</v>
      </c>
      <c r="AE982" s="39">
        <v>0</v>
      </c>
      <c r="AF982" s="39">
        <v>504.9</v>
      </c>
      <c r="AG982" s="39">
        <v>57.72</v>
      </c>
      <c r="AH982" s="39"/>
      <c r="AI982" s="39"/>
      <c r="AJ982" s="40"/>
      <c r="AK982" s="39">
        <f t="shared" si="75"/>
        <v>18.5</v>
      </c>
      <c r="AL982" s="39">
        <f t="shared" si="78"/>
        <v>57.9375</v>
      </c>
      <c r="AM982" s="39">
        <f t="shared" si="79"/>
        <v>115.875</v>
      </c>
      <c r="AN982" s="39">
        <f t="shared" si="76"/>
        <v>69.525000000000006</v>
      </c>
      <c r="AO982" s="39">
        <f t="shared" si="77"/>
        <v>695.25</v>
      </c>
    </row>
    <row r="983" spans="1:41" x14ac:dyDescent="0.3">
      <c r="A983" s="20">
        <v>1000184670</v>
      </c>
      <c r="B983" s="4" t="s">
        <v>147</v>
      </c>
      <c r="C983" s="21"/>
      <c r="D983" s="3"/>
      <c r="E983" s="20">
        <v>1000184760</v>
      </c>
      <c r="F983" s="4" t="s">
        <v>60</v>
      </c>
      <c r="G983" s="21">
        <v>1000189796</v>
      </c>
      <c r="H983" s="3" t="s">
        <v>61</v>
      </c>
      <c r="I983" s="21">
        <v>1000189270</v>
      </c>
      <c r="J983" s="3" t="s">
        <v>34</v>
      </c>
      <c r="K983" s="20" t="s">
        <v>20</v>
      </c>
      <c r="L983" s="39">
        <v>0</v>
      </c>
      <c r="M983" s="39">
        <v>0</v>
      </c>
      <c r="N983" s="39">
        <v>0</v>
      </c>
      <c r="O983" s="39">
        <v>0</v>
      </c>
      <c r="P983" s="39">
        <v>0</v>
      </c>
      <c r="Q983" s="39">
        <v>0</v>
      </c>
      <c r="R983" s="39">
        <v>0</v>
      </c>
      <c r="S983" s="39">
        <v>0</v>
      </c>
      <c r="T983" s="39">
        <v>0</v>
      </c>
      <c r="U983" s="39">
        <v>0</v>
      </c>
      <c r="V983" s="39">
        <v>0</v>
      </c>
      <c r="W983" s="39">
        <v>0</v>
      </c>
      <c r="X983" s="39">
        <v>0</v>
      </c>
      <c r="Y983" s="39">
        <v>0</v>
      </c>
      <c r="Z983" s="39">
        <v>0</v>
      </c>
      <c r="AA983" s="39">
        <v>75.37</v>
      </c>
      <c r="AB983" s="39">
        <v>652.79999999999995</v>
      </c>
      <c r="AC983" s="39">
        <v>425.44</v>
      </c>
      <c r="AD983" s="39">
        <v>0</v>
      </c>
      <c r="AE983" s="39">
        <v>522.49</v>
      </c>
      <c r="AF983" s="39">
        <v>437.69</v>
      </c>
      <c r="AG983" s="39">
        <v>59.69</v>
      </c>
      <c r="AH983" s="39"/>
      <c r="AI983" s="39"/>
      <c r="AJ983" s="40"/>
      <c r="AK983" s="39">
        <f t="shared" si="75"/>
        <v>0</v>
      </c>
      <c r="AL983" s="39">
        <f t="shared" si="78"/>
        <v>181.12333333333333</v>
      </c>
      <c r="AM983" s="39">
        <f t="shared" si="79"/>
        <v>349.685</v>
      </c>
      <c r="AN983" s="39">
        <f t="shared" si="76"/>
        <v>217.34800000000001</v>
      </c>
      <c r="AO983" s="39">
        <f t="shared" si="77"/>
        <v>2173.48</v>
      </c>
    </row>
    <row r="984" spans="1:41" x14ac:dyDescent="0.3">
      <c r="A984" s="20">
        <v>1000184670</v>
      </c>
      <c r="B984" s="4" t="s">
        <v>147</v>
      </c>
      <c r="C984" s="21"/>
      <c r="D984" s="3"/>
      <c r="E984" s="20">
        <v>1000184760</v>
      </c>
      <c r="F984" s="4" t="s">
        <v>60</v>
      </c>
      <c r="G984" s="21">
        <v>1000189796</v>
      </c>
      <c r="H984" s="3" t="s">
        <v>61</v>
      </c>
      <c r="I984" s="21">
        <v>1000189270</v>
      </c>
      <c r="J984" s="3" t="s">
        <v>34</v>
      </c>
      <c r="K984" s="20" t="s">
        <v>22</v>
      </c>
      <c r="L984" s="39">
        <v>0</v>
      </c>
      <c r="M984" s="39">
        <v>0</v>
      </c>
      <c r="N984" s="39">
        <v>0</v>
      </c>
      <c r="O984" s="39">
        <v>162</v>
      </c>
      <c r="P984" s="39">
        <v>0</v>
      </c>
      <c r="Q984" s="39">
        <v>0</v>
      </c>
      <c r="R984" s="39">
        <v>0</v>
      </c>
      <c r="S984" s="39">
        <v>0</v>
      </c>
      <c r="T984" s="39">
        <v>0</v>
      </c>
      <c r="U984" s="39">
        <v>0</v>
      </c>
      <c r="V984" s="39">
        <v>0</v>
      </c>
      <c r="W984" s="39">
        <v>0</v>
      </c>
      <c r="X984" s="39">
        <v>0</v>
      </c>
      <c r="Y984" s="39">
        <v>0</v>
      </c>
      <c r="Z984" s="39">
        <v>0</v>
      </c>
      <c r="AA984" s="39">
        <v>326.2</v>
      </c>
      <c r="AB984" s="39">
        <v>335.28</v>
      </c>
      <c r="AC984" s="39">
        <v>196.93</v>
      </c>
      <c r="AD984" s="39">
        <v>0</v>
      </c>
      <c r="AE984" s="39">
        <v>136.80000000000001</v>
      </c>
      <c r="AF984" s="39">
        <v>250.02</v>
      </c>
      <c r="AG984" s="39">
        <v>0</v>
      </c>
      <c r="AH984" s="39"/>
      <c r="AI984" s="39"/>
      <c r="AJ984" s="40"/>
      <c r="AK984" s="39">
        <f t="shared" si="75"/>
        <v>13.5</v>
      </c>
      <c r="AL984" s="39">
        <f t="shared" si="78"/>
        <v>103.76916666666666</v>
      </c>
      <c r="AM984" s="39">
        <f t="shared" si="79"/>
        <v>153.17166666666665</v>
      </c>
      <c r="AN984" s="39">
        <f t="shared" si="76"/>
        <v>124.523</v>
      </c>
      <c r="AO984" s="39">
        <f t="shared" si="77"/>
        <v>1245.23</v>
      </c>
    </row>
    <row r="985" spans="1:41" x14ac:dyDescent="0.3">
      <c r="A985" s="20">
        <v>1000184670</v>
      </c>
      <c r="B985" s="4" t="s">
        <v>147</v>
      </c>
      <c r="C985" s="21"/>
      <c r="D985" s="3"/>
      <c r="E985" s="20">
        <v>1000184760</v>
      </c>
      <c r="F985" s="4" t="s">
        <v>60</v>
      </c>
      <c r="G985" s="21">
        <v>1000189796</v>
      </c>
      <c r="H985" s="3" t="s">
        <v>61</v>
      </c>
      <c r="I985" s="21">
        <v>1000189270</v>
      </c>
      <c r="J985" s="3" t="s">
        <v>34</v>
      </c>
      <c r="K985" s="20" t="s">
        <v>23</v>
      </c>
      <c r="L985" s="39">
        <v>0</v>
      </c>
      <c r="M985" s="39">
        <v>0</v>
      </c>
      <c r="N985" s="39">
        <v>0</v>
      </c>
      <c r="O985" s="39">
        <v>0</v>
      </c>
      <c r="P985" s="39">
        <v>0</v>
      </c>
      <c r="Q985" s="39">
        <v>0</v>
      </c>
      <c r="R985" s="39">
        <v>0</v>
      </c>
      <c r="S985" s="39">
        <v>0</v>
      </c>
      <c r="T985" s="39">
        <v>0</v>
      </c>
      <c r="U985" s="39">
        <v>0</v>
      </c>
      <c r="V985" s="39">
        <v>0</v>
      </c>
      <c r="W985" s="39">
        <v>0</v>
      </c>
      <c r="X985" s="39">
        <v>0</v>
      </c>
      <c r="Y985" s="39">
        <v>0</v>
      </c>
      <c r="Z985" s="39">
        <v>0</v>
      </c>
      <c r="AA985" s="39">
        <v>0</v>
      </c>
      <c r="AB985" s="39">
        <v>482.24</v>
      </c>
      <c r="AC985" s="39">
        <v>0</v>
      </c>
      <c r="AD985" s="39">
        <v>0</v>
      </c>
      <c r="AE985" s="39">
        <v>178.59</v>
      </c>
      <c r="AF985" s="39">
        <v>36.32</v>
      </c>
      <c r="AG985" s="39">
        <v>113.08</v>
      </c>
      <c r="AH985" s="39"/>
      <c r="AI985" s="39"/>
      <c r="AJ985" s="40"/>
      <c r="AK985" s="39">
        <f t="shared" si="75"/>
        <v>0</v>
      </c>
      <c r="AL985" s="39">
        <f t="shared" si="78"/>
        <v>67.519166666666678</v>
      </c>
      <c r="AM985" s="39">
        <f t="shared" si="79"/>
        <v>135.03833333333336</v>
      </c>
      <c r="AN985" s="39">
        <f t="shared" si="76"/>
        <v>81.02300000000001</v>
      </c>
      <c r="AO985" s="39">
        <f t="shared" si="77"/>
        <v>810.23000000000013</v>
      </c>
    </row>
    <row r="986" spans="1:41" x14ac:dyDescent="0.3">
      <c r="A986" s="20">
        <v>1000184670</v>
      </c>
      <c r="B986" s="4" t="s">
        <v>147</v>
      </c>
      <c r="C986" s="21"/>
      <c r="D986" s="3"/>
      <c r="E986" s="20">
        <v>1000184760</v>
      </c>
      <c r="F986" s="4" t="s">
        <v>60</v>
      </c>
      <c r="G986" s="21">
        <v>1000189796</v>
      </c>
      <c r="H986" s="3" t="s">
        <v>61</v>
      </c>
      <c r="I986" s="21">
        <v>1000189270</v>
      </c>
      <c r="J986" s="3" t="s">
        <v>34</v>
      </c>
      <c r="K986" s="20" t="s">
        <v>28</v>
      </c>
      <c r="L986" s="39">
        <v>0</v>
      </c>
      <c r="M986" s="39">
        <v>0</v>
      </c>
      <c r="N986" s="39">
        <v>0</v>
      </c>
      <c r="O986" s="39">
        <v>0</v>
      </c>
      <c r="P986" s="39">
        <v>0</v>
      </c>
      <c r="Q986" s="39">
        <v>0</v>
      </c>
      <c r="R986" s="39">
        <v>0</v>
      </c>
      <c r="S986" s="39">
        <v>0</v>
      </c>
      <c r="T986" s="39">
        <v>0</v>
      </c>
      <c r="U986" s="39">
        <v>0</v>
      </c>
      <c r="V986" s="39">
        <v>0</v>
      </c>
      <c r="W986" s="39">
        <v>0</v>
      </c>
      <c r="X986" s="39">
        <v>0</v>
      </c>
      <c r="Y986" s="39">
        <v>0</v>
      </c>
      <c r="Z986" s="39">
        <v>0</v>
      </c>
      <c r="AA986" s="39">
        <v>802.35</v>
      </c>
      <c r="AB986" s="39">
        <v>0</v>
      </c>
      <c r="AC986" s="39">
        <v>739.3</v>
      </c>
      <c r="AD986" s="39">
        <v>0</v>
      </c>
      <c r="AE986" s="39">
        <v>155.04</v>
      </c>
      <c r="AF986" s="39">
        <v>696.32</v>
      </c>
      <c r="AG986" s="39">
        <v>-39.17</v>
      </c>
      <c r="AH986" s="39"/>
      <c r="AI986" s="39"/>
      <c r="AJ986" s="40"/>
      <c r="AK986" s="39">
        <f t="shared" si="75"/>
        <v>0</v>
      </c>
      <c r="AL986" s="39">
        <f t="shared" si="78"/>
        <v>196.15333333333334</v>
      </c>
      <c r="AM986" s="39">
        <f t="shared" si="79"/>
        <v>258.58166666666665</v>
      </c>
      <c r="AN986" s="39">
        <f t="shared" si="76"/>
        <v>235.38400000000001</v>
      </c>
      <c r="AO986" s="39">
        <f t="shared" si="77"/>
        <v>2353.84</v>
      </c>
    </row>
    <row r="987" spans="1:41" x14ac:dyDescent="0.3">
      <c r="A987" s="20">
        <v>1000184670</v>
      </c>
      <c r="B987" s="4" t="s">
        <v>147</v>
      </c>
      <c r="C987" s="21"/>
      <c r="D987" s="3"/>
      <c r="E987" s="20">
        <v>1000184760</v>
      </c>
      <c r="F987" s="4" t="s">
        <v>60</v>
      </c>
      <c r="G987" s="21">
        <v>1000189796</v>
      </c>
      <c r="H987" s="3" t="s">
        <v>61</v>
      </c>
      <c r="I987" s="21">
        <v>1000189270</v>
      </c>
      <c r="J987" s="3" t="s">
        <v>34</v>
      </c>
      <c r="K987" s="20" t="s">
        <v>26</v>
      </c>
      <c r="L987" s="39">
        <v>0</v>
      </c>
      <c r="M987" s="39">
        <v>0</v>
      </c>
      <c r="N987" s="39">
        <v>0</v>
      </c>
      <c r="O987" s="39">
        <v>0</v>
      </c>
      <c r="P987" s="39">
        <v>0</v>
      </c>
      <c r="Q987" s="39">
        <v>0</v>
      </c>
      <c r="R987" s="39">
        <v>0</v>
      </c>
      <c r="S987" s="39">
        <v>0</v>
      </c>
      <c r="T987" s="39">
        <v>0</v>
      </c>
      <c r="U987" s="39">
        <v>0</v>
      </c>
      <c r="V987" s="39">
        <v>0</v>
      </c>
      <c r="W987" s="39">
        <v>0</v>
      </c>
      <c r="X987" s="39">
        <v>0</v>
      </c>
      <c r="Y987" s="39">
        <v>0</v>
      </c>
      <c r="Z987" s="39">
        <v>0</v>
      </c>
      <c r="AA987" s="39">
        <v>0</v>
      </c>
      <c r="AB987" s="39">
        <v>0</v>
      </c>
      <c r="AC987" s="39">
        <v>0</v>
      </c>
      <c r="AD987" s="39">
        <v>0</v>
      </c>
      <c r="AE987" s="39">
        <v>0</v>
      </c>
      <c r="AF987" s="39">
        <v>0</v>
      </c>
      <c r="AG987" s="39">
        <v>0</v>
      </c>
      <c r="AH987" s="39"/>
      <c r="AI987" s="39"/>
      <c r="AJ987" s="40"/>
      <c r="AK987" s="39">
        <f t="shared" si="75"/>
        <v>0</v>
      </c>
      <c r="AL987" s="39">
        <f t="shared" si="78"/>
        <v>0</v>
      </c>
      <c r="AM987" s="39">
        <f t="shared" si="79"/>
        <v>0</v>
      </c>
      <c r="AN987" s="39">
        <f t="shared" si="76"/>
        <v>0</v>
      </c>
      <c r="AO987" s="39">
        <f t="shared" si="77"/>
        <v>0</v>
      </c>
    </row>
    <row r="988" spans="1:41" x14ac:dyDescent="0.3">
      <c r="A988" s="20">
        <v>1000184670</v>
      </c>
      <c r="B988" s="4" t="s">
        <v>147</v>
      </c>
      <c r="C988" s="21"/>
      <c r="D988" s="3"/>
      <c r="E988" s="20">
        <v>1000184760</v>
      </c>
      <c r="F988" s="4" t="s">
        <v>60</v>
      </c>
      <c r="G988" s="21">
        <v>1000189796</v>
      </c>
      <c r="H988" s="3" t="s">
        <v>61</v>
      </c>
      <c r="I988" s="21">
        <v>1000189270</v>
      </c>
      <c r="J988" s="3" t="s">
        <v>34</v>
      </c>
      <c r="K988" s="20" t="s">
        <v>27</v>
      </c>
      <c r="L988" s="39">
        <v>0</v>
      </c>
      <c r="M988" s="39">
        <v>0</v>
      </c>
      <c r="N988" s="39">
        <v>0</v>
      </c>
      <c r="O988" s="39">
        <v>0</v>
      </c>
      <c r="P988" s="39">
        <v>0</v>
      </c>
      <c r="Q988" s="39">
        <v>0</v>
      </c>
      <c r="R988" s="39">
        <v>0</v>
      </c>
      <c r="S988" s="39">
        <v>0</v>
      </c>
      <c r="T988" s="39">
        <v>0</v>
      </c>
      <c r="U988" s="39">
        <v>0</v>
      </c>
      <c r="V988" s="39">
        <v>0</v>
      </c>
      <c r="W988" s="39">
        <v>0</v>
      </c>
      <c r="X988" s="39">
        <v>0</v>
      </c>
      <c r="Y988" s="39">
        <v>0</v>
      </c>
      <c r="Z988" s="39">
        <v>0</v>
      </c>
      <c r="AA988" s="39">
        <v>55.03</v>
      </c>
      <c r="AB988" s="39">
        <v>0</v>
      </c>
      <c r="AC988" s="39">
        <v>1512</v>
      </c>
      <c r="AD988" s="39">
        <v>0</v>
      </c>
      <c r="AE988" s="39">
        <v>1519.03</v>
      </c>
      <c r="AF988" s="39">
        <v>663</v>
      </c>
      <c r="AG988" s="39">
        <v>0</v>
      </c>
      <c r="AH988" s="39"/>
      <c r="AI988" s="39"/>
      <c r="AJ988" s="40"/>
      <c r="AK988" s="39">
        <f t="shared" si="75"/>
        <v>0</v>
      </c>
      <c r="AL988" s="39">
        <f t="shared" si="78"/>
        <v>312.42166666666668</v>
      </c>
      <c r="AM988" s="39">
        <f t="shared" si="79"/>
        <v>615.67166666666662</v>
      </c>
      <c r="AN988" s="39">
        <f t="shared" si="76"/>
        <v>374.90600000000001</v>
      </c>
      <c r="AO988" s="39">
        <f t="shared" si="77"/>
        <v>3749.06</v>
      </c>
    </row>
    <row r="989" spans="1:41" x14ac:dyDescent="0.3">
      <c r="A989" s="20">
        <v>1000184670</v>
      </c>
      <c r="B989" s="4" t="s">
        <v>147</v>
      </c>
      <c r="C989" s="21"/>
      <c r="D989" s="3"/>
      <c r="E989" s="20">
        <v>1000184760</v>
      </c>
      <c r="F989" s="4" t="s">
        <v>60</v>
      </c>
      <c r="G989" s="21">
        <v>1000189796</v>
      </c>
      <c r="H989" s="3" t="s">
        <v>61</v>
      </c>
      <c r="I989" s="21">
        <v>1000189270</v>
      </c>
      <c r="J989" s="3" t="s">
        <v>34</v>
      </c>
      <c r="K989" s="20" t="s">
        <v>25</v>
      </c>
      <c r="L989" s="39">
        <v>0</v>
      </c>
      <c r="M989" s="39">
        <v>0</v>
      </c>
      <c r="N989" s="39">
        <v>0</v>
      </c>
      <c r="O989" s="39">
        <v>324</v>
      </c>
      <c r="P989" s="39">
        <v>0</v>
      </c>
      <c r="Q989" s="39">
        <v>0</v>
      </c>
      <c r="R989" s="39">
        <v>0</v>
      </c>
      <c r="S989" s="39">
        <v>0</v>
      </c>
      <c r="T989" s="39">
        <v>0</v>
      </c>
      <c r="U989" s="39">
        <v>0</v>
      </c>
      <c r="V989" s="39">
        <v>0</v>
      </c>
      <c r="W989" s="39">
        <v>0</v>
      </c>
      <c r="X989" s="39">
        <v>0</v>
      </c>
      <c r="Y989" s="39">
        <v>0</v>
      </c>
      <c r="Z989" s="39">
        <v>0</v>
      </c>
      <c r="AA989" s="39">
        <v>0</v>
      </c>
      <c r="AB989" s="39">
        <v>0</v>
      </c>
      <c r="AC989" s="39">
        <v>0</v>
      </c>
      <c r="AD989" s="39">
        <v>0</v>
      </c>
      <c r="AE989" s="39">
        <v>282.14999999999998</v>
      </c>
      <c r="AF989" s="39">
        <v>0</v>
      </c>
      <c r="AG989" s="39">
        <v>0</v>
      </c>
      <c r="AH989" s="39"/>
      <c r="AI989" s="39"/>
      <c r="AJ989" s="40"/>
      <c r="AK989" s="39">
        <f t="shared" si="75"/>
        <v>27</v>
      </c>
      <c r="AL989" s="39">
        <f t="shared" si="78"/>
        <v>23.512499999999999</v>
      </c>
      <c r="AM989" s="39">
        <f t="shared" si="79"/>
        <v>47.024999999999999</v>
      </c>
      <c r="AN989" s="39">
        <f t="shared" si="76"/>
        <v>28.214999999999996</v>
      </c>
      <c r="AO989" s="39">
        <f t="shared" si="77"/>
        <v>282.14999999999998</v>
      </c>
    </row>
    <row r="990" spans="1:41" x14ac:dyDescent="0.3">
      <c r="A990" s="20">
        <v>1000184670</v>
      </c>
      <c r="B990" s="4" t="s">
        <v>147</v>
      </c>
      <c r="C990" s="21"/>
      <c r="D990" s="3"/>
      <c r="E990" s="20">
        <v>1000184760</v>
      </c>
      <c r="F990" s="4" t="s">
        <v>60</v>
      </c>
      <c r="G990" s="21">
        <v>1000189797</v>
      </c>
      <c r="H990" s="3" t="s">
        <v>80</v>
      </c>
      <c r="I990" s="21">
        <v>1000189270</v>
      </c>
      <c r="J990" s="3" t="s">
        <v>34</v>
      </c>
      <c r="K990" s="20" t="s">
        <v>124</v>
      </c>
      <c r="L990" s="39">
        <v>0</v>
      </c>
      <c r="M990" s="39">
        <v>0</v>
      </c>
      <c r="N990" s="39">
        <v>0</v>
      </c>
      <c r="O990" s="39">
        <v>0</v>
      </c>
      <c r="P990" s="39">
        <v>0</v>
      </c>
      <c r="Q990" s="39">
        <v>0</v>
      </c>
      <c r="R990" s="39">
        <v>0</v>
      </c>
      <c r="S990" s="39">
        <v>0</v>
      </c>
      <c r="T990" s="39">
        <v>0</v>
      </c>
      <c r="U990" s="39">
        <v>0</v>
      </c>
      <c r="V990" s="39">
        <v>0</v>
      </c>
      <c r="W990" s="39">
        <v>0</v>
      </c>
      <c r="X990" s="39">
        <v>0</v>
      </c>
      <c r="Y990" s="39">
        <v>0</v>
      </c>
      <c r="Z990" s="39">
        <v>0</v>
      </c>
      <c r="AA990" s="39">
        <v>0</v>
      </c>
      <c r="AB990" s="39">
        <v>0</v>
      </c>
      <c r="AC990" s="39">
        <v>0</v>
      </c>
      <c r="AD990" s="39">
        <v>0</v>
      </c>
      <c r="AE990" s="39">
        <v>0</v>
      </c>
      <c r="AF990" s="39">
        <v>0</v>
      </c>
      <c r="AG990" s="39">
        <v>0</v>
      </c>
      <c r="AH990" s="39"/>
      <c r="AI990" s="39"/>
      <c r="AJ990" s="40"/>
      <c r="AK990" s="39">
        <f t="shared" si="75"/>
        <v>0</v>
      </c>
      <c r="AL990" s="39">
        <f t="shared" si="78"/>
        <v>0</v>
      </c>
      <c r="AM990" s="39">
        <f t="shared" si="79"/>
        <v>0</v>
      </c>
      <c r="AN990" s="39">
        <f t="shared" si="76"/>
        <v>0</v>
      </c>
      <c r="AO990" s="39">
        <f t="shared" si="77"/>
        <v>0</v>
      </c>
    </row>
    <row r="991" spans="1:41" x14ac:dyDescent="0.3">
      <c r="A991" s="20">
        <v>1000184670</v>
      </c>
      <c r="B991" s="4" t="s">
        <v>147</v>
      </c>
      <c r="C991" s="21"/>
      <c r="D991" s="3"/>
      <c r="E991" s="20">
        <v>1000184760</v>
      </c>
      <c r="F991" s="4" t="s">
        <v>60</v>
      </c>
      <c r="G991" s="21">
        <v>1000189797</v>
      </c>
      <c r="H991" s="3" t="s">
        <v>80</v>
      </c>
      <c r="I991" s="21">
        <v>1000189270</v>
      </c>
      <c r="J991" s="3" t="s">
        <v>34</v>
      </c>
      <c r="K991" s="20" t="s">
        <v>13</v>
      </c>
      <c r="L991" s="39">
        <v>0</v>
      </c>
      <c r="M991" s="39">
        <v>0</v>
      </c>
      <c r="N991" s="39">
        <v>0</v>
      </c>
      <c r="O991" s="39">
        <v>0</v>
      </c>
      <c r="P991" s="39">
        <v>0</v>
      </c>
      <c r="Q991" s="39">
        <v>0</v>
      </c>
      <c r="R991" s="39">
        <v>0</v>
      </c>
      <c r="S991" s="39">
        <v>0</v>
      </c>
      <c r="T991" s="39">
        <v>0</v>
      </c>
      <c r="U991" s="39">
        <v>0</v>
      </c>
      <c r="V991" s="39">
        <v>0</v>
      </c>
      <c r="W991" s="39">
        <v>0</v>
      </c>
      <c r="X991" s="39">
        <v>0</v>
      </c>
      <c r="Y991" s="39">
        <v>0</v>
      </c>
      <c r="Z991" s="39">
        <v>0</v>
      </c>
      <c r="AA991" s="39">
        <v>0</v>
      </c>
      <c r="AB991" s="39">
        <v>0</v>
      </c>
      <c r="AC991" s="39">
        <v>0</v>
      </c>
      <c r="AD991" s="39">
        <v>0</v>
      </c>
      <c r="AE991" s="39">
        <v>272.7</v>
      </c>
      <c r="AF991" s="39">
        <v>154.63</v>
      </c>
      <c r="AG991" s="39">
        <v>0</v>
      </c>
      <c r="AH991" s="39"/>
      <c r="AI991" s="39"/>
      <c r="AJ991" s="40"/>
      <c r="AK991" s="39">
        <f t="shared" si="75"/>
        <v>0</v>
      </c>
      <c r="AL991" s="39">
        <f t="shared" si="78"/>
        <v>35.610833333333332</v>
      </c>
      <c r="AM991" s="39">
        <f t="shared" si="79"/>
        <v>71.221666666666664</v>
      </c>
      <c r="AN991" s="39">
        <f t="shared" si="76"/>
        <v>42.732999999999997</v>
      </c>
      <c r="AO991" s="39">
        <f t="shared" si="77"/>
        <v>427.33</v>
      </c>
    </row>
    <row r="992" spans="1:41" x14ac:dyDescent="0.3">
      <c r="A992" s="20">
        <v>1000184670</v>
      </c>
      <c r="B992" s="4" t="s">
        <v>147</v>
      </c>
      <c r="C992" s="21"/>
      <c r="D992" s="3"/>
      <c r="E992" s="20">
        <v>1000184760</v>
      </c>
      <c r="F992" s="4" t="s">
        <v>60</v>
      </c>
      <c r="G992" s="21">
        <v>1000189797</v>
      </c>
      <c r="H992" s="3" t="s">
        <v>80</v>
      </c>
      <c r="I992" s="21">
        <v>1000189270</v>
      </c>
      <c r="J992" s="3" t="s">
        <v>34</v>
      </c>
      <c r="K992" s="20" t="s">
        <v>14</v>
      </c>
      <c r="L992" s="39">
        <v>0</v>
      </c>
      <c r="M992" s="39">
        <v>0</v>
      </c>
      <c r="N992" s="39">
        <v>0</v>
      </c>
      <c r="O992" s="39">
        <v>0</v>
      </c>
      <c r="P992" s="39">
        <v>0</v>
      </c>
      <c r="Q992" s="39">
        <v>0</v>
      </c>
      <c r="R992" s="39">
        <v>0</v>
      </c>
      <c r="S992" s="39">
        <v>0</v>
      </c>
      <c r="T992" s="39">
        <v>0</v>
      </c>
      <c r="U992" s="39">
        <v>0</v>
      </c>
      <c r="V992" s="39">
        <v>0</v>
      </c>
      <c r="W992" s="39">
        <v>0</v>
      </c>
      <c r="X992" s="39">
        <v>0</v>
      </c>
      <c r="Y992" s="39">
        <v>0</v>
      </c>
      <c r="Z992" s="39">
        <v>0</v>
      </c>
      <c r="AA992" s="39">
        <v>0</v>
      </c>
      <c r="AB992" s="39">
        <v>0</v>
      </c>
      <c r="AC992" s="39">
        <v>0</v>
      </c>
      <c r="AD992" s="39">
        <v>0</v>
      </c>
      <c r="AE992" s="39">
        <v>0</v>
      </c>
      <c r="AF992" s="39">
        <v>71.400000000000006</v>
      </c>
      <c r="AG992" s="39">
        <v>0</v>
      </c>
      <c r="AH992" s="39"/>
      <c r="AI992" s="39"/>
      <c r="AJ992" s="40"/>
      <c r="AK992" s="39">
        <f t="shared" si="75"/>
        <v>0</v>
      </c>
      <c r="AL992" s="39">
        <f t="shared" si="78"/>
        <v>5.95</v>
      </c>
      <c r="AM992" s="39">
        <f t="shared" si="79"/>
        <v>11.9</v>
      </c>
      <c r="AN992" s="39">
        <f t="shared" si="76"/>
        <v>7.1400000000000006</v>
      </c>
      <c r="AO992" s="39">
        <f t="shared" si="77"/>
        <v>71.400000000000006</v>
      </c>
    </row>
    <row r="993" spans="1:41" x14ac:dyDescent="0.3">
      <c r="A993" s="20">
        <v>1000184670</v>
      </c>
      <c r="B993" s="4" t="s">
        <v>147</v>
      </c>
      <c r="C993" s="21"/>
      <c r="D993" s="3"/>
      <c r="E993" s="20">
        <v>1000184760</v>
      </c>
      <c r="F993" s="4" t="s">
        <v>60</v>
      </c>
      <c r="G993" s="21">
        <v>1000189797</v>
      </c>
      <c r="H993" s="3" t="s">
        <v>80</v>
      </c>
      <c r="I993" s="21">
        <v>1000189270</v>
      </c>
      <c r="J993" s="3" t="s">
        <v>34</v>
      </c>
      <c r="K993" s="20" t="s">
        <v>16</v>
      </c>
      <c r="L993" s="39">
        <v>0</v>
      </c>
      <c r="M993" s="39">
        <v>0</v>
      </c>
      <c r="N993" s="39">
        <v>859.44</v>
      </c>
      <c r="O993" s="39">
        <v>0</v>
      </c>
      <c r="P993" s="39">
        <v>631.98</v>
      </c>
      <c r="Q993" s="39">
        <v>0</v>
      </c>
      <c r="R993" s="39">
        <v>0</v>
      </c>
      <c r="S993" s="39">
        <v>0</v>
      </c>
      <c r="T993" s="39">
        <v>0</v>
      </c>
      <c r="U993" s="39">
        <v>0</v>
      </c>
      <c r="V993" s="39">
        <v>0</v>
      </c>
      <c r="W993" s="39">
        <v>0</v>
      </c>
      <c r="X993" s="39">
        <v>0</v>
      </c>
      <c r="Y993" s="39">
        <v>0</v>
      </c>
      <c r="Z993" s="39">
        <v>0</v>
      </c>
      <c r="AA993" s="39">
        <v>0</v>
      </c>
      <c r="AB993" s="39">
        <v>0</v>
      </c>
      <c r="AC993" s="39">
        <v>0</v>
      </c>
      <c r="AD993" s="39">
        <v>0</v>
      </c>
      <c r="AE993" s="39">
        <v>297.66000000000003</v>
      </c>
      <c r="AF993" s="39">
        <v>154.83000000000001</v>
      </c>
      <c r="AG993" s="39">
        <v>0</v>
      </c>
      <c r="AH993" s="39"/>
      <c r="AI993" s="39"/>
      <c r="AJ993" s="40"/>
      <c r="AK993" s="39">
        <f t="shared" si="75"/>
        <v>124.28500000000001</v>
      </c>
      <c r="AL993" s="39">
        <f t="shared" si="78"/>
        <v>37.707500000000003</v>
      </c>
      <c r="AM993" s="39">
        <f t="shared" si="79"/>
        <v>75.415000000000006</v>
      </c>
      <c r="AN993" s="39">
        <f t="shared" si="76"/>
        <v>45.249000000000002</v>
      </c>
      <c r="AO993" s="39">
        <f t="shared" si="77"/>
        <v>452.49</v>
      </c>
    </row>
    <row r="994" spans="1:41" x14ac:dyDescent="0.3">
      <c r="A994" s="20">
        <v>1000184670</v>
      </c>
      <c r="B994" s="4" t="s">
        <v>147</v>
      </c>
      <c r="C994" s="21"/>
      <c r="D994" s="3"/>
      <c r="E994" s="20">
        <v>1000184760</v>
      </c>
      <c r="F994" s="4" t="s">
        <v>60</v>
      </c>
      <c r="G994" s="21">
        <v>1000189797</v>
      </c>
      <c r="H994" s="3" t="s">
        <v>80</v>
      </c>
      <c r="I994" s="21">
        <v>1000189270</v>
      </c>
      <c r="J994" s="3" t="s">
        <v>34</v>
      </c>
      <c r="K994" s="20" t="s">
        <v>15</v>
      </c>
      <c r="L994" s="39">
        <v>0</v>
      </c>
      <c r="M994" s="39">
        <v>0</v>
      </c>
      <c r="N994" s="39">
        <v>0</v>
      </c>
      <c r="O994" s="39">
        <v>0</v>
      </c>
      <c r="P994" s="39">
        <v>0</v>
      </c>
      <c r="Q994" s="39">
        <v>0</v>
      </c>
      <c r="R994" s="39">
        <v>0</v>
      </c>
      <c r="S994" s="39">
        <v>0</v>
      </c>
      <c r="T994" s="39">
        <v>0</v>
      </c>
      <c r="U994" s="39">
        <v>0</v>
      </c>
      <c r="V994" s="39">
        <v>0</v>
      </c>
      <c r="W994" s="39">
        <v>0</v>
      </c>
      <c r="X994" s="39">
        <v>0</v>
      </c>
      <c r="Y994" s="39">
        <v>0</v>
      </c>
      <c r="Z994" s="39">
        <v>0</v>
      </c>
      <c r="AA994" s="39">
        <v>0</v>
      </c>
      <c r="AB994" s="39">
        <v>0</v>
      </c>
      <c r="AC994" s="39">
        <v>0</v>
      </c>
      <c r="AD994" s="39">
        <v>0</v>
      </c>
      <c r="AE994" s="39">
        <v>427.95</v>
      </c>
      <c r="AF994" s="39">
        <v>36.97</v>
      </c>
      <c r="AG994" s="39">
        <v>0</v>
      </c>
      <c r="AH994" s="39"/>
      <c r="AI994" s="39"/>
      <c r="AJ994" s="40"/>
      <c r="AK994" s="39">
        <f t="shared" si="75"/>
        <v>0</v>
      </c>
      <c r="AL994" s="39">
        <f t="shared" si="78"/>
        <v>38.743333333333332</v>
      </c>
      <c r="AM994" s="39">
        <f t="shared" si="79"/>
        <v>77.486666666666665</v>
      </c>
      <c r="AN994" s="39">
        <f t="shared" si="76"/>
        <v>46.491999999999997</v>
      </c>
      <c r="AO994" s="39">
        <f t="shared" si="77"/>
        <v>464.91999999999996</v>
      </c>
    </row>
    <row r="995" spans="1:41" x14ac:dyDescent="0.3">
      <c r="A995" s="20">
        <v>1000184670</v>
      </c>
      <c r="B995" s="4" t="s">
        <v>147</v>
      </c>
      <c r="C995" s="21"/>
      <c r="D995" s="3"/>
      <c r="E995" s="20">
        <v>1000184760</v>
      </c>
      <c r="F995" s="4" t="s">
        <v>60</v>
      </c>
      <c r="G995" s="21">
        <v>1000189797</v>
      </c>
      <c r="H995" s="3" t="s">
        <v>80</v>
      </c>
      <c r="I995" s="21">
        <v>1000189270</v>
      </c>
      <c r="J995" s="3" t="s">
        <v>34</v>
      </c>
      <c r="K995" s="20" t="s">
        <v>33</v>
      </c>
      <c r="L995" s="39">
        <v>0</v>
      </c>
      <c r="M995" s="39">
        <v>0</v>
      </c>
      <c r="N995" s="39">
        <v>0</v>
      </c>
      <c r="O995" s="39">
        <v>0</v>
      </c>
      <c r="P995" s="39">
        <v>0</v>
      </c>
      <c r="Q995" s="39">
        <v>0</v>
      </c>
      <c r="R995" s="39">
        <v>0</v>
      </c>
      <c r="S995" s="39">
        <v>0</v>
      </c>
      <c r="T995" s="39">
        <v>0</v>
      </c>
      <c r="U995" s="39">
        <v>0</v>
      </c>
      <c r="V995" s="39">
        <v>0</v>
      </c>
      <c r="W995" s="39">
        <v>0</v>
      </c>
      <c r="X995" s="39">
        <v>0</v>
      </c>
      <c r="Y995" s="39">
        <v>0</v>
      </c>
      <c r="Z995" s="39">
        <v>0</v>
      </c>
      <c r="AA995" s="39">
        <v>0</v>
      </c>
      <c r="AB995" s="39">
        <v>0</v>
      </c>
      <c r="AC995" s="39">
        <v>0</v>
      </c>
      <c r="AD995" s="39">
        <v>0</v>
      </c>
      <c r="AE995" s="39">
        <v>0</v>
      </c>
      <c r="AF995" s="39">
        <v>0</v>
      </c>
      <c r="AG995" s="39">
        <v>0</v>
      </c>
      <c r="AH995" s="39"/>
      <c r="AI995" s="39"/>
      <c r="AJ995" s="40"/>
      <c r="AK995" s="39">
        <f t="shared" si="75"/>
        <v>0</v>
      </c>
      <c r="AL995" s="39">
        <f t="shared" si="78"/>
        <v>0</v>
      </c>
      <c r="AM995" s="39">
        <f t="shared" si="79"/>
        <v>0</v>
      </c>
      <c r="AN995" s="39">
        <f t="shared" si="76"/>
        <v>0</v>
      </c>
      <c r="AO995" s="39">
        <f t="shared" si="77"/>
        <v>0</v>
      </c>
    </row>
    <row r="996" spans="1:41" x14ac:dyDescent="0.3">
      <c r="A996" s="20">
        <v>1000184670</v>
      </c>
      <c r="B996" s="4" t="s">
        <v>147</v>
      </c>
      <c r="C996" s="21"/>
      <c r="D996" s="3"/>
      <c r="E996" s="20">
        <v>1000184760</v>
      </c>
      <c r="F996" s="4" t="s">
        <v>60</v>
      </c>
      <c r="G996" s="21">
        <v>1000189797</v>
      </c>
      <c r="H996" s="3" t="s">
        <v>80</v>
      </c>
      <c r="I996" s="21">
        <v>1000189270</v>
      </c>
      <c r="J996" s="3" t="s">
        <v>34</v>
      </c>
      <c r="K996" s="20" t="s">
        <v>19</v>
      </c>
      <c r="L996" s="39">
        <v>0</v>
      </c>
      <c r="M996" s="39">
        <v>0</v>
      </c>
      <c r="N996" s="39">
        <v>0</v>
      </c>
      <c r="O996" s="39">
        <v>0</v>
      </c>
      <c r="P996" s="39">
        <v>0</v>
      </c>
      <c r="Q996" s="39">
        <v>0</v>
      </c>
      <c r="R996" s="39">
        <v>0</v>
      </c>
      <c r="S996" s="39">
        <v>0</v>
      </c>
      <c r="T996" s="39">
        <v>0</v>
      </c>
      <c r="U996" s="39">
        <v>0</v>
      </c>
      <c r="V996" s="39">
        <v>0</v>
      </c>
      <c r="W996" s="39">
        <v>0</v>
      </c>
      <c r="X996" s="39">
        <v>0</v>
      </c>
      <c r="Y996" s="39">
        <v>0</v>
      </c>
      <c r="Z996" s="39">
        <v>0</v>
      </c>
      <c r="AA996" s="39">
        <v>0</v>
      </c>
      <c r="AB996" s="39">
        <v>0</v>
      </c>
      <c r="AC996" s="39">
        <v>0</v>
      </c>
      <c r="AD996" s="39">
        <v>0</v>
      </c>
      <c r="AE996" s="39">
        <v>0</v>
      </c>
      <c r="AF996" s="39">
        <v>0</v>
      </c>
      <c r="AG996" s="39">
        <v>0</v>
      </c>
      <c r="AH996" s="39"/>
      <c r="AI996" s="39"/>
      <c r="AJ996" s="40"/>
      <c r="AK996" s="39">
        <f t="shared" si="75"/>
        <v>0</v>
      </c>
      <c r="AL996" s="39">
        <f t="shared" si="78"/>
        <v>0</v>
      </c>
      <c r="AM996" s="39">
        <f t="shared" si="79"/>
        <v>0</v>
      </c>
      <c r="AN996" s="39">
        <f t="shared" si="76"/>
        <v>0</v>
      </c>
      <c r="AO996" s="39">
        <f t="shared" si="77"/>
        <v>0</v>
      </c>
    </row>
    <row r="997" spans="1:41" x14ac:dyDescent="0.3">
      <c r="A997" s="20">
        <v>1000184670</v>
      </c>
      <c r="B997" s="4" t="s">
        <v>147</v>
      </c>
      <c r="C997" s="21"/>
      <c r="D997" s="3"/>
      <c r="E997" s="20">
        <v>1000184760</v>
      </c>
      <c r="F997" s="4" t="s">
        <v>60</v>
      </c>
      <c r="G997" s="21">
        <v>1000189797</v>
      </c>
      <c r="H997" s="3" t="s">
        <v>80</v>
      </c>
      <c r="I997" s="21">
        <v>1000189270</v>
      </c>
      <c r="J997" s="3" t="s">
        <v>34</v>
      </c>
      <c r="K997" s="20" t="s">
        <v>17</v>
      </c>
      <c r="L997" s="39">
        <v>0</v>
      </c>
      <c r="M997" s="39">
        <v>0</v>
      </c>
      <c r="N997" s="39">
        <v>0</v>
      </c>
      <c r="O997" s="39">
        <v>0</v>
      </c>
      <c r="P997" s="39">
        <v>0</v>
      </c>
      <c r="Q997" s="39">
        <v>0</v>
      </c>
      <c r="R997" s="39">
        <v>0</v>
      </c>
      <c r="S997" s="39">
        <v>0</v>
      </c>
      <c r="T997" s="39">
        <v>0</v>
      </c>
      <c r="U997" s="39">
        <v>0</v>
      </c>
      <c r="V997" s="39">
        <v>0</v>
      </c>
      <c r="W997" s="39">
        <v>0</v>
      </c>
      <c r="X997" s="39">
        <v>0</v>
      </c>
      <c r="Y997" s="39">
        <v>0</v>
      </c>
      <c r="Z997" s="39">
        <v>0</v>
      </c>
      <c r="AA997" s="39">
        <v>0</v>
      </c>
      <c r="AB997" s="39">
        <v>0</v>
      </c>
      <c r="AC997" s="39">
        <v>0</v>
      </c>
      <c r="AD997" s="39">
        <v>0</v>
      </c>
      <c r="AE997" s="39">
        <v>0</v>
      </c>
      <c r="AF997" s="39">
        <v>0</v>
      </c>
      <c r="AG997" s="39">
        <v>0</v>
      </c>
      <c r="AH997" s="39"/>
      <c r="AI997" s="39"/>
      <c r="AJ997" s="40"/>
      <c r="AK997" s="39">
        <f t="shared" si="75"/>
        <v>0</v>
      </c>
      <c r="AL997" s="39">
        <f t="shared" si="78"/>
        <v>0</v>
      </c>
      <c r="AM997" s="39">
        <f t="shared" si="79"/>
        <v>0</v>
      </c>
      <c r="AN997" s="39">
        <f t="shared" si="76"/>
        <v>0</v>
      </c>
      <c r="AO997" s="39">
        <f t="shared" si="77"/>
        <v>0</v>
      </c>
    </row>
    <row r="998" spans="1:41" x14ac:dyDescent="0.3">
      <c r="A998" s="20">
        <v>1000184670</v>
      </c>
      <c r="B998" s="4" t="s">
        <v>147</v>
      </c>
      <c r="C998" s="21"/>
      <c r="D998" s="3"/>
      <c r="E998" s="20">
        <v>1000184760</v>
      </c>
      <c r="F998" s="4" t="s">
        <v>60</v>
      </c>
      <c r="G998" s="21">
        <v>1000189797</v>
      </c>
      <c r="H998" s="3" t="s">
        <v>80</v>
      </c>
      <c r="I998" s="21">
        <v>1000189270</v>
      </c>
      <c r="J998" s="3" t="s">
        <v>34</v>
      </c>
      <c r="K998" s="20" t="s">
        <v>24</v>
      </c>
      <c r="L998" s="39">
        <v>0</v>
      </c>
      <c r="M998" s="39">
        <v>0</v>
      </c>
      <c r="N998" s="39">
        <v>0</v>
      </c>
      <c r="O998" s="39">
        <v>0</v>
      </c>
      <c r="P998" s="39">
        <v>269.27999999999997</v>
      </c>
      <c r="Q998" s="39">
        <v>0</v>
      </c>
      <c r="R998" s="39">
        <v>0</v>
      </c>
      <c r="S998" s="39">
        <v>0</v>
      </c>
      <c r="T998" s="39">
        <v>0</v>
      </c>
      <c r="U998" s="39">
        <v>0</v>
      </c>
      <c r="V998" s="39">
        <v>0</v>
      </c>
      <c r="W998" s="39">
        <v>0</v>
      </c>
      <c r="X998" s="39">
        <v>0</v>
      </c>
      <c r="Y998" s="39">
        <v>0</v>
      </c>
      <c r="Z998" s="39">
        <v>0</v>
      </c>
      <c r="AA998" s="39">
        <v>0</v>
      </c>
      <c r="AB998" s="39">
        <v>0</v>
      </c>
      <c r="AC998" s="39">
        <v>0</v>
      </c>
      <c r="AD998" s="39">
        <v>0</v>
      </c>
      <c r="AE998" s="39">
        <v>0</v>
      </c>
      <c r="AF998" s="39">
        <v>46.36</v>
      </c>
      <c r="AG998" s="39">
        <v>0</v>
      </c>
      <c r="AH998" s="39"/>
      <c r="AI998" s="39"/>
      <c r="AJ998" s="40"/>
      <c r="AK998" s="39">
        <f t="shared" si="75"/>
        <v>22.439999999999998</v>
      </c>
      <c r="AL998" s="39">
        <f t="shared" si="78"/>
        <v>3.8633333333333333</v>
      </c>
      <c r="AM998" s="39">
        <f t="shared" si="79"/>
        <v>7.7266666666666666</v>
      </c>
      <c r="AN998" s="39">
        <f t="shared" si="76"/>
        <v>4.6360000000000001</v>
      </c>
      <c r="AO998" s="39">
        <f t="shared" si="77"/>
        <v>46.36</v>
      </c>
    </row>
    <row r="999" spans="1:41" x14ac:dyDescent="0.3">
      <c r="A999" s="20">
        <v>1000184670</v>
      </c>
      <c r="B999" s="4" t="s">
        <v>147</v>
      </c>
      <c r="C999" s="21"/>
      <c r="D999" s="3"/>
      <c r="E999" s="20">
        <v>1000184760</v>
      </c>
      <c r="F999" s="4" t="s">
        <v>60</v>
      </c>
      <c r="G999" s="21">
        <v>1000189797</v>
      </c>
      <c r="H999" s="3" t="s">
        <v>80</v>
      </c>
      <c r="I999" s="21">
        <v>1000189270</v>
      </c>
      <c r="J999" s="3" t="s">
        <v>34</v>
      </c>
      <c r="K999" s="20" t="s">
        <v>18</v>
      </c>
      <c r="L999" s="39">
        <v>0</v>
      </c>
      <c r="M999" s="39">
        <v>0</v>
      </c>
      <c r="N999" s="39">
        <v>0</v>
      </c>
      <c r="O999" s="39">
        <v>0</v>
      </c>
      <c r="P999" s="39">
        <v>277.2</v>
      </c>
      <c r="Q999" s="39">
        <v>0</v>
      </c>
      <c r="R999" s="39">
        <v>0</v>
      </c>
      <c r="S999" s="39">
        <v>0</v>
      </c>
      <c r="T999" s="39">
        <v>0</v>
      </c>
      <c r="U999" s="39">
        <v>0</v>
      </c>
      <c r="V999" s="39">
        <v>0</v>
      </c>
      <c r="W999" s="39">
        <v>0</v>
      </c>
      <c r="X999" s="39">
        <v>0</v>
      </c>
      <c r="Y999" s="39">
        <v>0</v>
      </c>
      <c r="Z999" s="39">
        <v>0</v>
      </c>
      <c r="AA999" s="39">
        <v>0</v>
      </c>
      <c r="AB999" s="39">
        <v>0</v>
      </c>
      <c r="AC999" s="39">
        <v>0</v>
      </c>
      <c r="AD999" s="39">
        <v>0</v>
      </c>
      <c r="AE999" s="39">
        <v>30.4</v>
      </c>
      <c r="AF999" s="39">
        <v>13.6</v>
      </c>
      <c r="AG999" s="39">
        <v>0</v>
      </c>
      <c r="AH999" s="39"/>
      <c r="AI999" s="39"/>
      <c r="AJ999" s="40"/>
      <c r="AK999" s="39">
        <f t="shared" si="75"/>
        <v>23.099999999999998</v>
      </c>
      <c r="AL999" s="39">
        <f t="shared" si="78"/>
        <v>3.6666666666666665</v>
      </c>
      <c r="AM999" s="39">
        <f t="shared" si="79"/>
        <v>7.333333333333333</v>
      </c>
      <c r="AN999" s="39">
        <f t="shared" si="76"/>
        <v>4.4000000000000004</v>
      </c>
      <c r="AO999" s="39">
        <f t="shared" si="77"/>
        <v>44</v>
      </c>
    </row>
    <row r="1000" spans="1:41" x14ac:dyDescent="0.3">
      <c r="A1000" s="20">
        <v>1000184670</v>
      </c>
      <c r="B1000" s="4" t="s">
        <v>147</v>
      </c>
      <c r="C1000" s="21"/>
      <c r="D1000" s="3"/>
      <c r="E1000" s="20">
        <v>1000184760</v>
      </c>
      <c r="F1000" s="4" t="s">
        <v>60</v>
      </c>
      <c r="G1000" s="21">
        <v>1000189797</v>
      </c>
      <c r="H1000" s="3" t="s">
        <v>80</v>
      </c>
      <c r="I1000" s="21">
        <v>1000189270</v>
      </c>
      <c r="J1000" s="3" t="s">
        <v>34</v>
      </c>
      <c r="K1000" s="20" t="s">
        <v>29</v>
      </c>
      <c r="L1000" s="39">
        <v>0</v>
      </c>
      <c r="M1000" s="39">
        <v>0</v>
      </c>
      <c r="N1000" s="39">
        <v>0</v>
      </c>
      <c r="O1000" s="39">
        <v>0</v>
      </c>
      <c r="P1000" s="39">
        <v>0</v>
      </c>
      <c r="Q1000" s="39">
        <v>0</v>
      </c>
      <c r="R1000" s="39">
        <v>0</v>
      </c>
      <c r="S1000" s="39">
        <v>0</v>
      </c>
      <c r="T1000" s="39">
        <v>0</v>
      </c>
      <c r="U1000" s="39">
        <v>0</v>
      </c>
      <c r="V1000" s="39">
        <v>0</v>
      </c>
      <c r="W1000" s="39">
        <v>0</v>
      </c>
      <c r="X1000" s="39">
        <v>0</v>
      </c>
      <c r="Y1000" s="39">
        <v>0</v>
      </c>
      <c r="Z1000" s="39">
        <v>0</v>
      </c>
      <c r="AA1000" s="39">
        <v>0</v>
      </c>
      <c r="AB1000" s="39">
        <v>0</v>
      </c>
      <c r="AC1000" s="39">
        <v>0</v>
      </c>
      <c r="AD1000" s="39">
        <v>0</v>
      </c>
      <c r="AE1000" s="39">
        <v>542.45000000000005</v>
      </c>
      <c r="AF1000" s="39">
        <v>0</v>
      </c>
      <c r="AG1000" s="39">
        <v>0</v>
      </c>
      <c r="AH1000" s="39"/>
      <c r="AI1000" s="39"/>
      <c r="AJ1000" s="40"/>
      <c r="AK1000" s="39">
        <f t="shared" si="75"/>
        <v>0</v>
      </c>
      <c r="AL1000" s="39">
        <f t="shared" si="78"/>
        <v>45.204166666666673</v>
      </c>
      <c r="AM1000" s="39">
        <f t="shared" si="79"/>
        <v>90.408333333333346</v>
      </c>
      <c r="AN1000" s="39">
        <f t="shared" si="76"/>
        <v>54.245000000000005</v>
      </c>
      <c r="AO1000" s="39">
        <f t="shared" si="77"/>
        <v>542.45000000000005</v>
      </c>
    </row>
    <row r="1001" spans="1:41" x14ac:dyDescent="0.3">
      <c r="A1001" s="20">
        <v>1000184670</v>
      </c>
      <c r="B1001" s="4" t="s">
        <v>147</v>
      </c>
      <c r="C1001" s="21"/>
      <c r="D1001" s="3"/>
      <c r="E1001" s="20">
        <v>1000184760</v>
      </c>
      <c r="F1001" s="4" t="s">
        <v>60</v>
      </c>
      <c r="G1001" s="21">
        <v>1000189797</v>
      </c>
      <c r="H1001" s="3" t="s">
        <v>80</v>
      </c>
      <c r="I1001" s="21">
        <v>1000189270</v>
      </c>
      <c r="J1001" s="3" t="s">
        <v>34</v>
      </c>
      <c r="K1001" s="20" t="s">
        <v>21</v>
      </c>
      <c r="L1001" s="39">
        <v>-4060</v>
      </c>
      <c r="M1001" s="39">
        <v>0</v>
      </c>
      <c r="N1001" s="39">
        <v>0</v>
      </c>
      <c r="O1001" s="39">
        <v>0</v>
      </c>
      <c r="P1001" s="39">
        <v>0</v>
      </c>
      <c r="Q1001" s="39">
        <v>0</v>
      </c>
      <c r="R1001" s="39">
        <v>0</v>
      </c>
      <c r="S1001" s="39">
        <v>0</v>
      </c>
      <c r="T1001" s="39">
        <v>0</v>
      </c>
      <c r="U1001" s="39">
        <v>0</v>
      </c>
      <c r="V1001" s="39">
        <v>0</v>
      </c>
      <c r="W1001" s="39">
        <v>0</v>
      </c>
      <c r="X1001" s="39">
        <v>0</v>
      </c>
      <c r="Y1001" s="39">
        <v>0</v>
      </c>
      <c r="Z1001" s="39">
        <v>0</v>
      </c>
      <c r="AA1001" s="39">
        <v>0</v>
      </c>
      <c r="AB1001" s="39">
        <v>0</v>
      </c>
      <c r="AC1001" s="39">
        <v>0</v>
      </c>
      <c r="AD1001" s="39">
        <v>0</v>
      </c>
      <c r="AE1001" s="39">
        <v>0</v>
      </c>
      <c r="AF1001" s="39">
        <v>21.04</v>
      </c>
      <c r="AG1001" s="39">
        <v>0</v>
      </c>
      <c r="AH1001" s="39"/>
      <c r="AI1001" s="39"/>
      <c r="AJ1001" s="40"/>
      <c r="AK1001" s="39">
        <f t="shared" si="75"/>
        <v>-338.33333333333331</v>
      </c>
      <c r="AL1001" s="39">
        <f t="shared" si="78"/>
        <v>1.7533333333333332</v>
      </c>
      <c r="AM1001" s="39">
        <f t="shared" si="79"/>
        <v>3.5066666666666664</v>
      </c>
      <c r="AN1001" s="39">
        <f t="shared" si="76"/>
        <v>2.1040000000000001</v>
      </c>
      <c r="AO1001" s="39">
        <f t="shared" si="77"/>
        <v>21.04</v>
      </c>
    </row>
    <row r="1002" spans="1:41" x14ac:dyDescent="0.3">
      <c r="A1002" s="20">
        <v>1000184670</v>
      </c>
      <c r="B1002" s="4" t="s">
        <v>147</v>
      </c>
      <c r="C1002" s="21"/>
      <c r="D1002" s="3"/>
      <c r="E1002" s="20">
        <v>1000184760</v>
      </c>
      <c r="F1002" s="4" t="s">
        <v>60</v>
      </c>
      <c r="G1002" s="19">
        <v>1000189797</v>
      </c>
      <c r="H1002" s="3" t="s">
        <v>80</v>
      </c>
      <c r="I1002" s="21">
        <v>1000189270</v>
      </c>
      <c r="J1002" s="3" t="s">
        <v>34</v>
      </c>
      <c r="K1002" s="20" t="s">
        <v>20</v>
      </c>
      <c r="L1002" s="39">
        <v>0</v>
      </c>
      <c r="M1002" s="39">
        <v>0</v>
      </c>
      <c r="N1002" s="39">
        <v>0</v>
      </c>
      <c r="O1002" s="39">
        <v>0</v>
      </c>
      <c r="P1002" s="39">
        <v>0</v>
      </c>
      <c r="Q1002" s="39">
        <v>0</v>
      </c>
      <c r="R1002" s="39">
        <v>0</v>
      </c>
      <c r="S1002" s="39">
        <v>0</v>
      </c>
      <c r="T1002" s="39">
        <v>0</v>
      </c>
      <c r="U1002" s="39">
        <v>0</v>
      </c>
      <c r="V1002" s="39">
        <v>0</v>
      </c>
      <c r="W1002" s="39">
        <v>0</v>
      </c>
      <c r="X1002" s="39">
        <v>0</v>
      </c>
      <c r="Y1002" s="39">
        <v>0</v>
      </c>
      <c r="Z1002" s="39">
        <v>0</v>
      </c>
      <c r="AA1002" s="39">
        <v>0</v>
      </c>
      <c r="AB1002" s="39">
        <v>0</v>
      </c>
      <c r="AC1002" s="39">
        <v>0</v>
      </c>
      <c r="AD1002" s="39">
        <v>0</v>
      </c>
      <c r="AE1002" s="39">
        <v>158.65</v>
      </c>
      <c r="AF1002" s="39">
        <v>38.25</v>
      </c>
      <c r="AG1002" s="39">
        <v>0</v>
      </c>
      <c r="AH1002" s="39"/>
      <c r="AI1002" s="39"/>
      <c r="AJ1002" s="40"/>
      <c r="AK1002" s="39">
        <f t="shared" si="75"/>
        <v>0</v>
      </c>
      <c r="AL1002" s="39">
        <f t="shared" si="78"/>
        <v>16.408333333333335</v>
      </c>
      <c r="AM1002" s="39">
        <f t="shared" si="79"/>
        <v>32.81666666666667</v>
      </c>
      <c r="AN1002" s="39">
        <f t="shared" si="76"/>
        <v>19.690000000000001</v>
      </c>
      <c r="AO1002" s="39">
        <f t="shared" si="77"/>
        <v>196.9</v>
      </c>
    </row>
    <row r="1003" spans="1:41" x14ac:dyDescent="0.3">
      <c r="A1003" s="20">
        <v>1000184670</v>
      </c>
      <c r="B1003" s="4" t="s">
        <v>147</v>
      </c>
      <c r="C1003" s="21"/>
      <c r="D1003" s="3"/>
      <c r="E1003" s="20">
        <v>1000184760</v>
      </c>
      <c r="F1003" s="4" t="s">
        <v>60</v>
      </c>
      <c r="G1003" s="19">
        <v>1000189797</v>
      </c>
      <c r="H1003" s="3" t="s">
        <v>80</v>
      </c>
      <c r="I1003" s="21">
        <v>1000189270</v>
      </c>
      <c r="J1003" s="3" t="s">
        <v>34</v>
      </c>
      <c r="K1003" s="20" t="s">
        <v>22</v>
      </c>
      <c r="L1003" s="39">
        <v>0</v>
      </c>
      <c r="M1003" s="39">
        <v>0</v>
      </c>
      <c r="N1003" s="39">
        <v>0</v>
      </c>
      <c r="O1003" s="39">
        <v>0</v>
      </c>
      <c r="P1003" s="39">
        <v>2280</v>
      </c>
      <c r="Q1003" s="39">
        <v>0</v>
      </c>
      <c r="R1003" s="39">
        <v>0</v>
      </c>
      <c r="S1003" s="39">
        <v>1026</v>
      </c>
      <c r="T1003" s="39">
        <v>2280</v>
      </c>
      <c r="U1003" s="39">
        <v>0</v>
      </c>
      <c r="V1003" s="39">
        <v>3300</v>
      </c>
      <c r="W1003" s="39">
        <v>0</v>
      </c>
      <c r="X1003" s="39">
        <v>0</v>
      </c>
      <c r="Y1003" s="39">
        <v>0</v>
      </c>
      <c r="Z1003" s="39">
        <v>0</v>
      </c>
      <c r="AA1003" s="39">
        <v>0</v>
      </c>
      <c r="AB1003" s="39">
        <v>0</v>
      </c>
      <c r="AC1003" s="39">
        <v>3300</v>
      </c>
      <c r="AD1003" s="39">
        <v>0</v>
      </c>
      <c r="AE1003" s="39">
        <v>68.400000000000006</v>
      </c>
      <c r="AF1003" s="39">
        <v>28.9</v>
      </c>
      <c r="AG1003" s="39">
        <v>0</v>
      </c>
      <c r="AH1003" s="39"/>
      <c r="AI1003" s="39"/>
      <c r="AJ1003" s="40"/>
      <c r="AK1003" s="39">
        <f t="shared" si="75"/>
        <v>740.5</v>
      </c>
      <c r="AL1003" s="39">
        <f t="shared" si="78"/>
        <v>558.10833333333323</v>
      </c>
      <c r="AM1003" s="39">
        <f t="shared" si="79"/>
        <v>566.2166666666667</v>
      </c>
      <c r="AN1003" s="39">
        <f t="shared" si="76"/>
        <v>339.73</v>
      </c>
      <c r="AO1003" s="39">
        <f t="shared" si="77"/>
        <v>3397.3</v>
      </c>
    </row>
    <row r="1004" spans="1:41" x14ac:dyDescent="0.3">
      <c r="A1004" s="20">
        <v>1000184670</v>
      </c>
      <c r="B1004" s="4" t="s">
        <v>147</v>
      </c>
      <c r="C1004" s="21"/>
      <c r="D1004" s="3"/>
      <c r="E1004" s="20">
        <v>1000184760</v>
      </c>
      <c r="F1004" s="4" t="s">
        <v>60</v>
      </c>
      <c r="G1004" s="19">
        <v>1000189797</v>
      </c>
      <c r="H1004" s="3" t="s">
        <v>80</v>
      </c>
      <c r="I1004" s="21">
        <v>1000189270</v>
      </c>
      <c r="J1004" s="3" t="s">
        <v>34</v>
      </c>
      <c r="K1004" s="20" t="s">
        <v>23</v>
      </c>
      <c r="L1004" s="39">
        <v>0</v>
      </c>
      <c r="M1004" s="39">
        <v>0</v>
      </c>
      <c r="N1004" s="39">
        <v>0</v>
      </c>
      <c r="O1004" s="39">
        <v>0</v>
      </c>
      <c r="P1004" s="39">
        <v>0</v>
      </c>
      <c r="Q1004" s="39">
        <v>0</v>
      </c>
      <c r="R1004" s="39">
        <v>0</v>
      </c>
      <c r="S1004" s="39">
        <v>0</v>
      </c>
      <c r="T1004" s="39">
        <v>0</v>
      </c>
      <c r="U1004" s="39">
        <v>0</v>
      </c>
      <c r="V1004" s="39">
        <v>0</v>
      </c>
      <c r="W1004" s="39">
        <v>0</v>
      </c>
      <c r="X1004" s="39">
        <v>0</v>
      </c>
      <c r="Y1004" s="39">
        <v>0</v>
      </c>
      <c r="Z1004" s="39">
        <v>0</v>
      </c>
      <c r="AA1004" s="39">
        <v>0</v>
      </c>
      <c r="AB1004" s="39">
        <v>0</v>
      </c>
      <c r="AC1004" s="39">
        <v>0</v>
      </c>
      <c r="AD1004" s="39">
        <v>0</v>
      </c>
      <c r="AE1004" s="39">
        <v>129.38999999999999</v>
      </c>
      <c r="AF1004" s="39">
        <v>0</v>
      </c>
      <c r="AG1004" s="39">
        <v>0</v>
      </c>
      <c r="AH1004" s="39"/>
      <c r="AI1004" s="39"/>
      <c r="AJ1004" s="40"/>
      <c r="AK1004" s="39">
        <f t="shared" si="75"/>
        <v>0</v>
      </c>
      <c r="AL1004" s="39">
        <f t="shared" si="78"/>
        <v>10.782499999999999</v>
      </c>
      <c r="AM1004" s="39">
        <f t="shared" si="79"/>
        <v>21.564999999999998</v>
      </c>
      <c r="AN1004" s="39">
        <f t="shared" si="76"/>
        <v>12.938999999999998</v>
      </c>
      <c r="AO1004" s="39">
        <f t="shared" si="77"/>
        <v>129.38999999999999</v>
      </c>
    </row>
    <row r="1005" spans="1:41" x14ac:dyDescent="0.3">
      <c r="A1005" s="20">
        <v>1000184670</v>
      </c>
      <c r="B1005" s="4" t="s">
        <v>147</v>
      </c>
      <c r="C1005" s="21"/>
      <c r="D1005" s="3"/>
      <c r="E1005" s="20">
        <v>1000184760</v>
      </c>
      <c r="F1005" s="4" t="s">
        <v>60</v>
      </c>
      <c r="G1005" s="19">
        <v>1000189797</v>
      </c>
      <c r="H1005" s="3" t="s">
        <v>80</v>
      </c>
      <c r="I1005" s="21">
        <v>1000189270</v>
      </c>
      <c r="J1005" s="3" t="s">
        <v>34</v>
      </c>
      <c r="K1005" s="20" t="s">
        <v>28</v>
      </c>
      <c r="L1005" s="39">
        <v>0</v>
      </c>
      <c r="M1005" s="39">
        <v>0</v>
      </c>
      <c r="N1005" s="39">
        <v>0</v>
      </c>
      <c r="O1005" s="39">
        <v>0</v>
      </c>
      <c r="P1005" s="39">
        <v>0</v>
      </c>
      <c r="Q1005" s="39">
        <v>0</v>
      </c>
      <c r="R1005" s="39">
        <v>0</v>
      </c>
      <c r="S1005" s="39">
        <v>0</v>
      </c>
      <c r="T1005" s="39">
        <v>0</v>
      </c>
      <c r="U1005" s="39">
        <v>0</v>
      </c>
      <c r="V1005" s="39">
        <v>0</v>
      </c>
      <c r="W1005" s="39">
        <v>0</v>
      </c>
      <c r="X1005" s="39">
        <v>0</v>
      </c>
      <c r="Y1005" s="39">
        <v>0</v>
      </c>
      <c r="Z1005" s="39">
        <v>0</v>
      </c>
      <c r="AA1005" s="39">
        <v>0</v>
      </c>
      <c r="AB1005" s="39">
        <v>0</v>
      </c>
      <c r="AC1005" s="39">
        <v>0</v>
      </c>
      <c r="AD1005" s="39">
        <v>0</v>
      </c>
      <c r="AE1005" s="39">
        <v>0</v>
      </c>
      <c r="AF1005" s="39">
        <v>0</v>
      </c>
      <c r="AG1005" s="39">
        <v>0</v>
      </c>
      <c r="AH1005" s="39"/>
      <c r="AI1005" s="39"/>
      <c r="AJ1005" s="40"/>
      <c r="AK1005" s="39">
        <f t="shared" si="75"/>
        <v>0</v>
      </c>
      <c r="AL1005" s="39">
        <f t="shared" si="78"/>
        <v>0</v>
      </c>
      <c r="AM1005" s="39">
        <f t="shared" si="79"/>
        <v>0</v>
      </c>
      <c r="AN1005" s="39">
        <f t="shared" si="76"/>
        <v>0</v>
      </c>
      <c r="AO1005" s="39">
        <f t="shared" si="77"/>
        <v>0</v>
      </c>
    </row>
    <row r="1006" spans="1:41" x14ac:dyDescent="0.3">
      <c r="A1006" s="20">
        <v>1000184670</v>
      </c>
      <c r="B1006" s="4" t="s">
        <v>147</v>
      </c>
      <c r="C1006" s="21"/>
      <c r="D1006" s="3"/>
      <c r="E1006" s="20">
        <v>1000184760</v>
      </c>
      <c r="F1006" s="4" t="s">
        <v>60</v>
      </c>
      <c r="G1006" s="19">
        <v>1000189797</v>
      </c>
      <c r="H1006" s="3" t="s">
        <v>80</v>
      </c>
      <c r="I1006" s="21">
        <v>1000189270</v>
      </c>
      <c r="J1006" s="3" t="s">
        <v>34</v>
      </c>
      <c r="K1006" s="20" t="s">
        <v>26</v>
      </c>
      <c r="L1006" s="39">
        <v>0</v>
      </c>
      <c r="M1006" s="39">
        <v>0</v>
      </c>
      <c r="N1006" s="39">
        <v>0</v>
      </c>
      <c r="O1006" s="39">
        <v>0</v>
      </c>
      <c r="P1006" s="39">
        <v>0</v>
      </c>
      <c r="Q1006" s="39">
        <v>0</v>
      </c>
      <c r="R1006" s="39">
        <v>0</v>
      </c>
      <c r="S1006" s="39">
        <v>0</v>
      </c>
      <c r="T1006" s="39">
        <v>0</v>
      </c>
      <c r="U1006" s="39">
        <v>0</v>
      </c>
      <c r="V1006" s="39">
        <v>0</v>
      </c>
      <c r="W1006" s="39">
        <v>0</v>
      </c>
      <c r="X1006" s="39">
        <v>0</v>
      </c>
      <c r="Y1006" s="39">
        <v>0</v>
      </c>
      <c r="Z1006" s="39">
        <v>0</v>
      </c>
      <c r="AA1006" s="39">
        <v>0</v>
      </c>
      <c r="AB1006" s="39">
        <v>0</v>
      </c>
      <c r="AC1006" s="39">
        <v>0</v>
      </c>
      <c r="AD1006" s="39">
        <v>0</v>
      </c>
      <c r="AE1006" s="39">
        <v>0</v>
      </c>
      <c r="AF1006" s="39">
        <v>0</v>
      </c>
      <c r="AG1006" s="39">
        <v>0</v>
      </c>
      <c r="AH1006" s="39"/>
      <c r="AI1006" s="39"/>
      <c r="AJ1006" s="40"/>
      <c r="AK1006" s="39">
        <f t="shared" si="75"/>
        <v>0</v>
      </c>
      <c r="AL1006" s="39">
        <f t="shared" si="78"/>
        <v>0</v>
      </c>
      <c r="AM1006" s="39">
        <f t="shared" si="79"/>
        <v>0</v>
      </c>
      <c r="AN1006" s="39">
        <f t="shared" si="76"/>
        <v>0</v>
      </c>
      <c r="AO1006" s="39">
        <f t="shared" si="77"/>
        <v>0</v>
      </c>
    </row>
    <row r="1007" spans="1:41" x14ac:dyDescent="0.3">
      <c r="A1007" s="20">
        <v>1000184670</v>
      </c>
      <c r="B1007" s="4" t="s">
        <v>147</v>
      </c>
      <c r="C1007" s="21"/>
      <c r="D1007" s="3"/>
      <c r="E1007" s="20">
        <v>1000184760</v>
      </c>
      <c r="F1007" s="4" t="s">
        <v>60</v>
      </c>
      <c r="G1007" s="19">
        <v>1000189797</v>
      </c>
      <c r="H1007" s="3" t="s">
        <v>80</v>
      </c>
      <c r="I1007" s="21">
        <v>1000189270</v>
      </c>
      <c r="J1007" s="3" t="s">
        <v>34</v>
      </c>
      <c r="K1007" s="20" t="s">
        <v>27</v>
      </c>
      <c r="L1007" s="39">
        <v>0</v>
      </c>
      <c r="M1007" s="39">
        <v>0</v>
      </c>
      <c r="N1007" s="39">
        <v>0</v>
      </c>
      <c r="O1007" s="39">
        <v>0</v>
      </c>
      <c r="P1007" s="39">
        <v>0</v>
      </c>
      <c r="Q1007" s="39">
        <v>0</v>
      </c>
      <c r="R1007" s="39">
        <v>0</v>
      </c>
      <c r="S1007" s="39">
        <v>0</v>
      </c>
      <c r="T1007" s="39">
        <v>0</v>
      </c>
      <c r="U1007" s="39">
        <v>0</v>
      </c>
      <c r="V1007" s="39">
        <v>0</v>
      </c>
      <c r="W1007" s="39">
        <v>0</v>
      </c>
      <c r="X1007" s="39">
        <v>0</v>
      </c>
      <c r="Y1007" s="39">
        <v>0</v>
      </c>
      <c r="Z1007" s="39">
        <v>0</v>
      </c>
      <c r="AA1007" s="39">
        <v>0</v>
      </c>
      <c r="AB1007" s="39">
        <v>0</v>
      </c>
      <c r="AC1007" s="39">
        <v>0</v>
      </c>
      <c r="AD1007" s="39">
        <v>0</v>
      </c>
      <c r="AE1007" s="39">
        <v>0</v>
      </c>
      <c r="AF1007" s="39">
        <v>0</v>
      </c>
      <c r="AG1007" s="39">
        <v>0</v>
      </c>
      <c r="AH1007" s="39"/>
      <c r="AI1007" s="39"/>
      <c r="AJ1007" s="40"/>
      <c r="AK1007" s="39">
        <f t="shared" si="75"/>
        <v>0</v>
      </c>
      <c r="AL1007" s="39">
        <f t="shared" si="78"/>
        <v>0</v>
      </c>
      <c r="AM1007" s="39">
        <f t="shared" si="79"/>
        <v>0</v>
      </c>
      <c r="AN1007" s="39">
        <f t="shared" si="76"/>
        <v>0</v>
      </c>
      <c r="AO1007" s="39">
        <f t="shared" si="77"/>
        <v>0</v>
      </c>
    </row>
    <row r="1008" spans="1:41" x14ac:dyDescent="0.3">
      <c r="A1008" s="20">
        <v>1000184670</v>
      </c>
      <c r="B1008" s="4" t="s">
        <v>147</v>
      </c>
      <c r="C1008" s="21"/>
      <c r="D1008" s="3"/>
      <c r="E1008" s="20">
        <v>1000184760</v>
      </c>
      <c r="F1008" s="4" t="s">
        <v>60</v>
      </c>
      <c r="G1008" s="19">
        <v>1000189797</v>
      </c>
      <c r="H1008" s="3" t="s">
        <v>80</v>
      </c>
      <c r="I1008" s="21">
        <v>1000189270</v>
      </c>
      <c r="J1008" s="3" t="s">
        <v>34</v>
      </c>
      <c r="K1008" s="20" t="s">
        <v>25</v>
      </c>
      <c r="L1008" s="39">
        <v>0</v>
      </c>
      <c r="M1008" s="39">
        <v>0</v>
      </c>
      <c r="N1008" s="39">
        <v>0</v>
      </c>
      <c r="O1008" s="39">
        <v>0</v>
      </c>
      <c r="P1008" s="39">
        <v>0</v>
      </c>
      <c r="Q1008" s="39">
        <v>0</v>
      </c>
      <c r="R1008" s="39">
        <v>0</v>
      </c>
      <c r="S1008" s="39">
        <v>0</v>
      </c>
      <c r="T1008" s="39">
        <v>0</v>
      </c>
      <c r="U1008" s="39">
        <v>0</v>
      </c>
      <c r="V1008" s="39">
        <v>0</v>
      </c>
      <c r="W1008" s="39">
        <v>0</v>
      </c>
      <c r="X1008" s="39">
        <v>0</v>
      </c>
      <c r="Y1008" s="39">
        <v>0</v>
      </c>
      <c r="Z1008" s="39">
        <v>0</v>
      </c>
      <c r="AA1008" s="39">
        <v>0</v>
      </c>
      <c r="AB1008" s="39">
        <v>0</v>
      </c>
      <c r="AC1008" s="39">
        <v>0</v>
      </c>
      <c r="AD1008" s="39">
        <v>0</v>
      </c>
      <c r="AE1008" s="39">
        <v>0</v>
      </c>
      <c r="AF1008" s="39">
        <v>0</v>
      </c>
      <c r="AG1008" s="39">
        <v>0</v>
      </c>
      <c r="AH1008" s="39"/>
      <c r="AI1008" s="39"/>
      <c r="AJ1008" s="40"/>
      <c r="AK1008" s="39">
        <f t="shared" ref="AK1008:AK1071" si="80">AVERAGE(L1008:W1008)</f>
        <v>0</v>
      </c>
      <c r="AL1008" s="39">
        <f t="shared" si="78"/>
        <v>0</v>
      </c>
      <c r="AM1008" s="39">
        <f t="shared" si="79"/>
        <v>0</v>
      </c>
      <c r="AN1008" s="39">
        <f t="shared" ref="AN1008:AN1071" si="81">AVERAGE(X1008:AI1008)</f>
        <v>0</v>
      </c>
      <c r="AO1008" s="39">
        <f t="shared" ref="AO1008:AO1071" si="82">SUM(X1008:AI1008)</f>
        <v>0</v>
      </c>
    </row>
    <row r="1009" spans="1:41" x14ac:dyDescent="0.3">
      <c r="A1009" s="20">
        <v>1000184670</v>
      </c>
      <c r="B1009" s="4" t="s">
        <v>147</v>
      </c>
      <c r="C1009" s="21"/>
      <c r="D1009" s="3"/>
      <c r="E1009" s="20">
        <v>1000184760</v>
      </c>
      <c r="F1009" s="4" t="s">
        <v>60</v>
      </c>
      <c r="G1009" s="21">
        <v>1000189798</v>
      </c>
      <c r="H1009" s="3" t="s">
        <v>110</v>
      </c>
      <c r="I1009" s="21">
        <v>1000189270</v>
      </c>
      <c r="J1009" s="3" t="s">
        <v>34</v>
      </c>
      <c r="K1009" s="20" t="s">
        <v>124</v>
      </c>
      <c r="L1009" s="39">
        <v>0</v>
      </c>
      <c r="M1009" s="39">
        <v>0</v>
      </c>
      <c r="N1009" s="39">
        <v>0</v>
      </c>
      <c r="O1009" s="39">
        <v>0</v>
      </c>
      <c r="P1009" s="39">
        <v>0</v>
      </c>
      <c r="Q1009" s="39">
        <v>0</v>
      </c>
      <c r="R1009" s="39">
        <v>0</v>
      </c>
      <c r="S1009" s="39">
        <v>0</v>
      </c>
      <c r="T1009" s="39">
        <v>0</v>
      </c>
      <c r="U1009" s="39">
        <v>0</v>
      </c>
      <c r="V1009" s="39">
        <v>0</v>
      </c>
      <c r="W1009" s="39">
        <v>0</v>
      </c>
      <c r="X1009" s="39">
        <v>0</v>
      </c>
      <c r="Y1009" s="39">
        <v>0</v>
      </c>
      <c r="Z1009" s="39">
        <v>0</v>
      </c>
      <c r="AA1009" s="39">
        <v>0</v>
      </c>
      <c r="AB1009" s="39">
        <v>0</v>
      </c>
      <c r="AC1009" s="39">
        <v>0</v>
      </c>
      <c r="AD1009" s="39">
        <v>0</v>
      </c>
      <c r="AE1009" s="39">
        <v>0</v>
      </c>
      <c r="AF1009" s="39">
        <v>0</v>
      </c>
      <c r="AG1009" s="39">
        <v>0</v>
      </c>
      <c r="AH1009" s="39"/>
      <c r="AI1009" s="39"/>
      <c r="AJ1009" s="40"/>
      <c r="AK1009" s="39">
        <f t="shared" si="80"/>
        <v>0</v>
      </c>
      <c r="AL1009" s="39">
        <f t="shared" si="78"/>
        <v>0</v>
      </c>
      <c r="AM1009" s="39">
        <f t="shared" si="79"/>
        <v>0</v>
      </c>
      <c r="AN1009" s="39">
        <f t="shared" si="81"/>
        <v>0</v>
      </c>
      <c r="AO1009" s="39">
        <f t="shared" si="82"/>
        <v>0</v>
      </c>
    </row>
    <row r="1010" spans="1:41" x14ac:dyDescent="0.3">
      <c r="A1010" s="20">
        <v>1000184670</v>
      </c>
      <c r="B1010" s="4" t="s">
        <v>147</v>
      </c>
      <c r="C1010" s="21"/>
      <c r="D1010" s="3"/>
      <c r="E1010" s="20">
        <v>1000184760</v>
      </c>
      <c r="F1010" s="4" t="s">
        <v>60</v>
      </c>
      <c r="G1010" s="21">
        <v>1000189798</v>
      </c>
      <c r="H1010" s="3" t="s">
        <v>110</v>
      </c>
      <c r="I1010" s="21">
        <v>1000189270</v>
      </c>
      <c r="J1010" s="3" t="s">
        <v>34</v>
      </c>
      <c r="K1010" s="20" t="s">
        <v>13</v>
      </c>
      <c r="L1010" s="39">
        <v>0</v>
      </c>
      <c r="M1010" s="39">
        <v>0</v>
      </c>
      <c r="N1010" s="39">
        <v>0</v>
      </c>
      <c r="O1010" s="39">
        <v>0</v>
      </c>
      <c r="P1010" s="39">
        <v>0</v>
      </c>
      <c r="Q1010" s="39">
        <v>0</v>
      </c>
      <c r="R1010" s="39">
        <v>0</v>
      </c>
      <c r="S1010" s="39">
        <v>0</v>
      </c>
      <c r="T1010" s="39">
        <v>0</v>
      </c>
      <c r="U1010" s="39">
        <v>0</v>
      </c>
      <c r="V1010" s="39">
        <v>0</v>
      </c>
      <c r="W1010" s="39">
        <v>0</v>
      </c>
      <c r="X1010" s="39">
        <v>0</v>
      </c>
      <c r="Y1010" s="39">
        <v>0</v>
      </c>
      <c r="Z1010" s="39">
        <v>0</v>
      </c>
      <c r="AA1010" s="39">
        <v>0</v>
      </c>
      <c r="AB1010" s="39">
        <v>0</v>
      </c>
      <c r="AC1010" s="39">
        <v>0</v>
      </c>
      <c r="AD1010" s="39">
        <v>0</v>
      </c>
      <c r="AE1010" s="39">
        <v>0</v>
      </c>
      <c r="AF1010" s="39">
        <v>0</v>
      </c>
      <c r="AG1010" s="39">
        <v>0</v>
      </c>
      <c r="AH1010" s="39"/>
      <c r="AI1010" s="39"/>
      <c r="AJ1010" s="40"/>
      <c r="AK1010" s="39">
        <f t="shared" si="80"/>
        <v>0</v>
      </c>
      <c r="AL1010" s="39">
        <f t="shared" si="78"/>
        <v>0</v>
      </c>
      <c r="AM1010" s="39">
        <f t="shared" si="79"/>
        <v>0</v>
      </c>
      <c r="AN1010" s="39">
        <f t="shared" si="81"/>
        <v>0</v>
      </c>
      <c r="AO1010" s="39">
        <f t="shared" si="82"/>
        <v>0</v>
      </c>
    </row>
    <row r="1011" spans="1:41" x14ac:dyDescent="0.3">
      <c r="A1011" s="20">
        <v>1000184670</v>
      </c>
      <c r="B1011" s="4" t="s">
        <v>147</v>
      </c>
      <c r="C1011" s="21"/>
      <c r="D1011" s="3"/>
      <c r="E1011" s="20">
        <v>1000184760</v>
      </c>
      <c r="F1011" s="4" t="s">
        <v>60</v>
      </c>
      <c r="G1011" s="21">
        <v>1000189798</v>
      </c>
      <c r="H1011" s="3" t="s">
        <v>110</v>
      </c>
      <c r="I1011" s="21">
        <v>1000189270</v>
      </c>
      <c r="J1011" s="3" t="s">
        <v>34</v>
      </c>
      <c r="K1011" s="20" t="s">
        <v>14</v>
      </c>
      <c r="L1011" s="39">
        <v>0</v>
      </c>
      <c r="M1011" s="39">
        <v>0</v>
      </c>
      <c r="N1011" s="39">
        <v>0</v>
      </c>
      <c r="O1011" s="39">
        <v>0</v>
      </c>
      <c r="P1011" s="39">
        <v>0</v>
      </c>
      <c r="Q1011" s="39">
        <v>0</v>
      </c>
      <c r="R1011" s="39">
        <v>0</v>
      </c>
      <c r="S1011" s="39">
        <v>0</v>
      </c>
      <c r="T1011" s="39">
        <v>0</v>
      </c>
      <c r="U1011" s="39">
        <v>0</v>
      </c>
      <c r="V1011" s="39">
        <v>0</v>
      </c>
      <c r="W1011" s="39">
        <v>0</v>
      </c>
      <c r="X1011" s="39">
        <v>0</v>
      </c>
      <c r="Y1011" s="39">
        <v>0</v>
      </c>
      <c r="Z1011" s="39">
        <v>0</v>
      </c>
      <c r="AA1011" s="39">
        <v>0</v>
      </c>
      <c r="AB1011" s="39">
        <v>0</v>
      </c>
      <c r="AC1011" s="39">
        <v>0</v>
      </c>
      <c r="AD1011" s="39">
        <v>0</v>
      </c>
      <c r="AE1011" s="39">
        <v>0</v>
      </c>
      <c r="AF1011" s="39">
        <v>0</v>
      </c>
      <c r="AG1011" s="39">
        <v>0</v>
      </c>
      <c r="AH1011" s="39"/>
      <c r="AI1011" s="39"/>
      <c r="AJ1011" s="40"/>
      <c r="AK1011" s="39">
        <f t="shared" si="80"/>
        <v>0</v>
      </c>
      <c r="AL1011" s="39">
        <f t="shared" si="78"/>
        <v>0</v>
      </c>
      <c r="AM1011" s="39">
        <f t="shared" si="79"/>
        <v>0</v>
      </c>
      <c r="AN1011" s="39">
        <f t="shared" si="81"/>
        <v>0</v>
      </c>
      <c r="AO1011" s="39">
        <f t="shared" si="82"/>
        <v>0</v>
      </c>
    </row>
    <row r="1012" spans="1:41" x14ac:dyDescent="0.3">
      <c r="A1012" s="20">
        <v>1000184670</v>
      </c>
      <c r="B1012" s="4" t="s">
        <v>147</v>
      </c>
      <c r="C1012" s="21"/>
      <c r="D1012" s="3"/>
      <c r="E1012" s="20">
        <v>1000184760</v>
      </c>
      <c r="F1012" s="4" t="s">
        <v>60</v>
      </c>
      <c r="G1012" s="21">
        <v>1000189798</v>
      </c>
      <c r="H1012" s="3" t="s">
        <v>110</v>
      </c>
      <c r="I1012" s="21">
        <v>1000189270</v>
      </c>
      <c r="J1012" s="3" t="s">
        <v>34</v>
      </c>
      <c r="K1012" s="20" t="s">
        <v>16</v>
      </c>
      <c r="L1012" s="39">
        <v>0</v>
      </c>
      <c r="M1012" s="39">
        <v>0</v>
      </c>
      <c r="N1012" s="39">
        <v>0</v>
      </c>
      <c r="O1012" s="39">
        <v>0</v>
      </c>
      <c r="P1012" s="39">
        <v>0</v>
      </c>
      <c r="Q1012" s="39">
        <v>0</v>
      </c>
      <c r="R1012" s="39">
        <v>0</v>
      </c>
      <c r="S1012" s="39">
        <v>0</v>
      </c>
      <c r="T1012" s="39">
        <v>0</v>
      </c>
      <c r="U1012" s="39">
        <v>0</v>
      </c>
      <c r="V1012" s="39">
        <v>0</v>
      </c>
      <c r="W1012" s="39">
        <v>0</v>
      </c>
      <c r="X1012" s="39">
        <v>0</v>
      </c>
      <c r="Y1012" s="39">
        <v>0</v>
      </c>
      <c r="Z1012" s="39">
        <v>0</v>
      </c>
      <c r="AA1012" s="39">
        <v>0</v>
      </c>
      <c r="AB1012" s="39">
        <v>0</v>
      </c>
      <c r="AC1012" s="39">
        <v>319.14</v>
      </c>
      <c r="AD1012" s="39">
        <v>0</v>
      </c>
      <c r="AE1012" s="39">
        <v>128.04</v>
      </c>
      <c r="AF1012" s="39">
        <v>0</v>
      </c>
      <c r="AG1012" s="39">
        <v>0</v>
      </c>
      <c r="AH1012" s="39"/>
      <c r="AI1012" s="39"/>
      <c r="AJ1012" s="40"/>
      <c r="AK1012" s="39">
        <f t="shared" si="80"/>
        <v>0</v>
      </c>
      <c r="AL1012" s="39">
        <f t="shared" si="78"/>
        <v>37.264999999999993</v>
      </c>
      <c r="AM1012" s="39">
        <f t="shared" si="79"/>
        <v>74.529999999999987</v>
      </c>
      <c r="AN1012" s="39">
        <f t="shared" si="81"/>
        <v>44.717999999999996</v>
      </c>
      <c r="AO1012" s="39">
        <f t="shared" si="82"/>
        <v>447.17999999999995</v>
      </c>
    </row>
    <row r="1013" spans="1:41" x14ac:dyDescent="0.3">
      <c r="A1013" s="20">
        <v>1000184670</v>
      </c>
      <c r="B1013" s="4" t="s">
        <v>147</v>
      </c>
      <c r="C1013" s="21"/>
      <c r="D1013" s="3"/>
      <c r="E1013" s="20">
        <v>1000184760</v>
      </c>
      <c r="F1013" s="4" t="s">
        <v>60</v>
      </c>
      <c r="G1013" s="21">
        <v>1000189798</v>
      </c>
      <c r="H1013" s="3" t="s">
        <v>110</v>
      </c>
      <c r="I1013" s="21">
        <v>1000189270</v>
      </c>
      <c r="J1013" s="3" t="s">
        <v>34</v>
      </c>
      <c r="K1013" s="20" t="s">
        <v>15</v>
      </c>
      <c r="L1013" s="39">
        <v>0</v>
      </c>
      <c r="M1013" s="39">
        <v>0</v>
      </c>
      <c r="N1013" s="39">
        <v>0</v>
      </c>
      <c r="O1013" s="39">
        <v>0</v>
      </c>
      <c r="P1013" s="39">
        <v>0</v>
      </c>
      <c r="Q1013" s="39">
        <v>0</v>
      </c>
      <c r="R1013" s="39">
        <v>0</v>
      </c>
      <c r="S1013" s="39">
        <v>0</v>
      </c>
      <c r="T1013" s="39">
        <v>0</v>
      </c>
      <c r="U1013" s="39">
        <v>0</v>
      </c>
      <c r="V1013" s="39">
        <v>0</v>
      </c>
      <c r="W1013" s="39">
        <v>0</v>
      </c>
      <c r="X1013" s="39">
        <v>0</v>
      </c>
      <c r="Y1013" s="39">
        <v>0</v>
      </c>
      <c r="Z1013" s="39">
        <v>0</v>
      </c>
      <c r="AA1013" s="39">
        <v>0</v>
      </c>
      <c r="AB1013" s="39">
        <v>0</v>
      </c>
      <c r="AC1013" s="39">
        <v>319.56</v>
      </c>
      <c r="AD1013" s="39">
        <v>0</v>
      </c>
      <c r="AE1013" s="39">
        <v>0</v>
      </c>
      <c r="AF1013" s="39">
        <v>0</v>
      </c>
      <c r="AG1013" s="39">
        <v>0</v>
      </c>
      <c r="AH1013" s="39"/>
      <c r="AI1013" s="39"/>
      <c r="AJ1013" s="40"/>
      <c r="AK1013" s="39">
        <f t="shared" si="80"/>
        <v>0</v>
      </c>
      <c r="AL1013" s="39">
        <f t="shared" si="78"/>
        <v>26.63</v>
      </c>
      <c r="AM1013" s="39">
        <f t="shared" si="79"/>
        <v>53.26</v>
      </c>
      <c r="AN1013" s="39">
        <f t="shared" si="81"/>
        <v>31.956</v>
      </c>
      <c r="AO1013" s="39">
        <f t="shared" si="82"/>
        <v>319.56</v>
      </c>
    </row>
    <row r="1014" spans="1:41" x14ac:dyDescent="0.3">
      <c r="A1014" s="20">
        <v>1000184670</v>
      </c>
      <c r="B1014" s="4" t="s">
        <v>147</v>
      </c>
      <c r="C1014" s="21"/>
      <c r="D1014" s="3"/>
      <c r="E1014" s="20">
        <v>1000184760</v>
      </c>
      <c r="F1014" s="4" t="s">
        <v>60</v>
      </c>
      <c r="G1014" s="21">
        <v>1000189798</v>
      </c>
      <c r="H1014" s="3" t="s">
        <v>110</v>
      </c>
      <c r="I1014" s="21">
        <v>1000189270</v>
      </c>
      <c r="J1014" s="3" t="s">
        <v>34</v>
      </c>
      <c r="K1014" s="20" t="s">
        <v>33</v>
      </c>
      <c r="L1014" s="39">
        <v>0</v>
      </c>
      <c r="M1014" s="39">
        <v>0</v>
      </c>
      <c r="N1014" s="39">
        <v>0</v>
      </c>
      <c r="O1014" s="39">
        <v>0</v>
      </c>
      <c r="P1014" s="39">
        <v>0</v>
      </c>
      <c r="Q1014" s="39">
        <v>0</v>
      </c>
      <c r="R1014" s="39">
        <v>0</v>
      </c>
      <c r="S1014" s="39">
        <v>0</v>
      </c>
      <c r="T1014" s="39">
        <v>0</v>
      </c>
      <c r="U1014" s="39">
        <v>0</v>
      </c>
      <c r="V1014" s="39">
        <v>0</v>
      </c>
      <c r="W1014" s="39">
        <v>0</v>
      </c>
      <c r="X1014" s="39">
        <v>0</v>
      </c>
      <c r="Y1014" s="39">
        <v>0</v>
      </c>
      <c r="Z1014" s="39">
        <v>0</v>
      </c>
      <c r="AA1014" s="39">
        <v>0</v>
      </c>
      <c r="AB1014" s="39">
        <v>0</v>
      </c>
      <c r="AC1014" s="39">
        <v>0</v>
      </c>
      <c r="AD1014" s="39">
        <v>0</v>
      </c>
      <c r="AE1014" s="39">
        <v>0</v>
      </c>
      <c r="AF1014" s="39">
        <v>0</v>
      </c>
      <c r="AG1014" s="39">
        <v>0</v>
      </c>
      <c r="AH1014" s="39"/>
      <c r="AI1014" s="39"/>
      <c r="AJ1014" s="40"/>
      <c r="AK1014" s="39">
        <f t="shared" si="80"/>
        <v>0</v>
      </c>
      <c r="AL1014" s="39">
        <f t="shared" si="78"/>
        <v>0</v>
      </c>
      <c r="AM1014" s="39">
        <f t="shared" si="79"/>
        <v>0</v>
      </c>
      <c r="AN1014" s="39">
        <f t="shared" si="81"/>
        <v>0</v>
      </c>
      <c r="AO1014" s="39">
        <f t="shared" si="82"/>
        <v>0</v>
      </c>
    </row>
    <row r="1015" spans="1:41" x14ac:dyDescent="0.3">
      <c r="A1015" s="20">
        <v>1000184670</v>
      </c>
      <c r="B1015" s="4" t="s">
        <v>147</v>
      </c>
      <c r="C1015" s="21"/>
      <c r="D1015" s="3"/>
      <c r="E1015" s="20">
        <v>1000184760</v>
      </c>
      <c r="F1015" s="4" t="s">
        <v>60</v>
      </c>
      <c r="G1015" s="21">
        <v>1000189798</v>
      </c>
      <c r="H1015" s="3" t="s">
        <v>110</v>
      </c>
      <c r="I1015" s="21">
        <v>1000189270</v>
      </c>
      <c r="J1015" s="3" t="s">
        <v>34</v>
      </c>
      <c r="K1015" s="20" t="s">
        <v>19</v>
      </c>
      <c r="L1015" s="39">
        <v>0</v>
      </c>
      <c r="M1015" s="39">
        <v>0</v>
      </c>
      <c r="N1015" s="39">
        <v>0</v>
      </c>
      <c r="O1015" s="39">
        <v>0</v>
      </c>
      <c r="P1015" s="39">
        <v>0</v>
      </c>
      <c r="Q1015" s="39">
        <v>0</v>
      </c>
      <c r="R1015" s="39">
        <v>0</v>
      </c>
      <c r="S1015" s="39">
        <v>0</v>
      </c>
      <c r="T1015" s="39">
        <v>0</v>
      </c>
      <c r="U1015" s="39">
        <v>0</v>
      </c>
      <c r="V1015" s="39">
        <v>0</v>
      </c>
      <c r="W1015" s="39">
        <v>0</v>
      </c>
      <c r="X1015" s="39">
        <v>0</v>
      </c>
      <c r="Y1015" s="39">
        <v>0</v>
      </c>
      <c r="Z1015" s="39">
        <v>0</v>
      </c>
      <c r="AA1015" s="39">
        <v>0</v>
      </c>
      <c r="AB1015" s="39">
        <v>0</v>
      </c>
      <c r="AC1015" s="39">
        <v>0</v>
      </c>
      <c r="AD1015" s="39">
        <v>0</v>
      </c>
      <c r="AE1015" s="39">
        <v>0</v>
      </c>
      <c r="AF1015" s="39">
        <v>0</v>
      </c>
      <c r="AG1015" s="39">
        <v>0</v>
      </c>
      <c r="AH1015" s="39"/>
      <c r="AI1015" s="39"/>
      <c r="AJ1015" s="40"/>
      <c r="AK1015" s="39">
        <f t="shared" si="80"/>
        <v>0</v>
      </c>
      <c r="AL1015" s="39">
        <f t="shared" si="78"/>
        <v>0</v>
      </c>
      <c r="AM1015" s="39">
        <f t="shared" si="79"/>
        <v>0</v>
      </c>
      <c r="AN1015" s="39">
        <f t="shared" si="81"/>
        <v>0</v>
      </c>
      <c r="AO1015" s="39">
        <f t="shared" si="82"/>
        <v>0</v>
      </c>
    </row>
    <row r="1016" spans="1:41" x14ac:dyDescent="0.3">
      <c r="A1016" s="20">
        <v>1000184670</v>
      </c>
      <c r="B1016" s="4" t="s">
        <v>147</v>
      </c>
      <c r="C1016" s="21"/>
      <c r="D1016" s="3"/>
      <c r="E1016" s="20">
        <v>1000184760</v>
      </c>
      <c r="F1016" s="4" t="s">
        <v>60</v>
      </c>
      <c r="G1016" s="21">
        <v>1000189798</v>
      </c>
      <c r="H1016" s="3" t="s">
        <v>110</v>
      </c>
      <c r="I1016" s="21">
        <v>1000189270</v>
      </c>
      <c r="J1016" s="3" t="s">
        <v>34</v>
      </c>
      <c r="K1016" s="20" t="s">
        <v>17</v>
      </c>
      <c r="L1016" s="39">
        <v>0</v>
      </c>
      <c r="M1016" s="39">
        <v>0</v>
      </c>
      <c r="N1016" s="39">
        <v>0</v>
      </c>
      <c r="O1016" s="39">
        <v>0</v>
      </c>
      <c r="P1016" s="39">
        <v>0</v>
      </c>
      <c r="Q1016" s="39">
        <v>0</v>
      </c>
      <c r="R1016" s="39">
        <v>0</v>
      </c>
      <c r="S1016" s="39">
        <v>0</v>
      </c>
      <c r="T1016" s="39">
        <v>0</v>
      </c>
      <c r="U1016" s="39">
        <v>0</v>
      </c>
      <c r="V1016" s="39">
        <v>0</v>
      </c>
      <c r="W1016" s="39">
        <v>0</v>
      </c>
      <c r="X1016" s="39">
        <v>0</v>
      </c>
      <c r="Y1016" s="39">
        <v>0</v>
      </c>
      <c r="Z1016" s="39">
        <v>0</v>
      </c>
      <c r="AA1016" s="39">
        <v>0</v>
      </c>
      <c r="AB1016" s="39">
        <v>0</v>
      </c>
      <c r="AC1016" s="39">
        <v>0</v>
      </c>
      <c r="AD1016" s="39">
        <v>0</v>
      </c>
      <c r="AE1016" s="39">
        <v>0</v>
      </c>
      <c r="AF1016" s="39">
        <v>0</v>
      </c>
      <c r="AG1016" s="39">
        <v>0</v>
      </c>
      <c r="AH1016" s="39"/>
      <c r="AI1016" s="39"/>
      <c r="AJ1016" s="40"/>
      <c r="AK1016" s="39">
        <f t="shared" si="80"/>
        <v>0</v>
      </c>
      <c r="AL1016" s="39">
        <f t="shared" si="78"/>
        <v>0</v>
      </c>
      <c r="AM1016" s="39">
        <f t="shared" si="79"/>
        <v>0</v>
      </c>
      <c r="AN1016" s="39">
        <f t="shared" si="81"/>
        <v>0</v>
      </c>
      <c r="AO1016" s="39">
        <f t="shared" si="82"/>
        <v>0</v>
      </c>
    </row>
    <row r="1017" spans="1:41" x14ac:dyDescent="0.3">
      <c r="A1017" s="20">
        <v>1000184670</v>
      </c>
      <c r="B1017" s="4" t="s">
        <v>147</v>
      </c>
      <c r="C1017" s="21"/>
      <c r="D1017" s="3"/>
      <c r="E1017" s="20">
        <v>1000184760</v>
      </c>
      <c r="F1017" s="4" t="s">
        <v>60</v>
      </c>
      <c r="G1017" s="21">
        <v>1000189798</v>
      </c>
      <c r="H1017" s="3" t="s">
        <v>110</v>
      </c>
      <c r="I1017" s="21">
        <v>1000189270</v>
      </c>
      <c r="J1017" s="3" t="s">
        <v>34</v>
      </c>
      <c r="K1017" s="20" t="s">
        <v>24</v>
      </c>
      <c r="L1017" s="39">
        <v>0</v>
      </c>
      <c r="M1017" s="39">
        <v>0</v>
      </c>
      <c r="N1017" s="39">
        <v>0</v>
      </c>
      <c r="O1017" s="39">
        <v>0</v>
      </c>
      <c r="P1017" s="39">
        <v>0</v>
      </c>
      <c r="Q1017" s="39">
        <v>0</v>
      </c>
      <c r="R1017" s="39">
        <v>0</v>
      </c>
      <c r="S1017" s="39">
        <v>0</v>
      </c>
      <c r="T1017" s="39">
        <v>0</v>
      </c>
      <c r="U1017" s="39">
        <v>0</v>
      </c>
      <c r="V1017" s="39">
        <v>0</v>
      </c>
      <c r="W1017" s="39">
        <v>0</v>
      </c>
      <c r="X1017" s="39">
        <v>0</v>
      </c>
      <c r="Y1017" s="39">
        <v>0</v>
      </c>
      <c r="Z1017" s="39">
        <v>0</v>
      </c>
      <c r="AA1017" s="39">
        <v>0</v>
      </c>
      <c r="AB1017" s="39">
        <v>0</v>
      </c>
      <c r="AC1017" s="39">
        <v>0</v>
      </c>
      <c r="AD1017" s="39">
        <v>0</v>
      </c>
      <c r="AE1017" s="39">
        <v>70.02</v>
      </c>
      <c r="AF1017" s="39">
        <v>0</v>
      </c>
      <c r="AG1017" s="39">
        <v>0</v>
      </c>
      <c r="AH1017" s="39"/>
      <c r="AI1017" s="39"/>
      <c r="AJ1017" s="40"/>
      <c r="AK1017" s="39">
        <f t="shared" si="80"/>
        <v>0</v>
      </c>
      <c r="AL1017" s="39">
        <f t="shared" si="78"/>
        <v>5.835</v>
      </c>
      <c r="AM1017" s="39">
        <f t="shared" si="79"/>
        <v>11.67</v>
      </c>
      <c r="AN1017" s="39">
        <f t="shared" si="81"/>
        <v>7.0019999999999998</v>
      </c>
      <c r="AO1017" s="39">
        <f t="shared" si="82"/>
        <v>70.02</v>
      </c>
    </row>
    <row r="1018" spans="1:41" x14ac:dyDescent="0.3">
      <c r="A1018" s="20">
        <v>1000184670</v>
      </c>
      <c r="B1018" s="4" t="s">
        <v>147</v>
      </c>
      <c r="C1018" s="21"/>
      <c r="D1018" s="3"/>
      <c r="E1018" s="20">
        <v>1000184760</v>
      </c>
      <c r="F1018" s="4" t="s">
        <v>60</v>
      </c>
      <c r="G1018" s="21">
        <v>1000189798</v>
      </c>
      <c r="H1018" s="3" t="s">
        <v>110</v>
      </c>
      <c r="I1018" s="21">
        <v>1000189270</v>
      </c>
      <c r="J1018" s="3" t="s">
        <v>34</v>
      </c>
      <c r="K1018" s="20" t="s">
        <v>18</v>
      </c>
      <c r="L1018" s="39">
        <v>0</v>
      </c>
      <c r="M1018" s="39">
        <v>0</v>
      </c>
      <c r="N1018" s="39">
        <v>0</v>
      </c>
      <c r="O1018" s="39">
        <v>0</v>
      </c>
      <c r="P1018" s="39">
        <v>0</v>
      </c>
      <c r="Q1018" s="39">
        <v>0</v>
      </c>
      <c r="R1018" s="39">
        <v>0</v>
      </c>
      <c r="S1018" s="39">
        <v>0</v>
      </c>
      <c r="T1018" s="39">
        <v>0</v>
      </c>
      <c r="U1018" s="39">
        <v>0</v>
      </c>
      <c r="V1018" s="39">
        <v>0</v>
      </c>
      <c r="W1018" s="39">
        <v>0</v>
      </c>
      <c r="X1018" s="39">
        <v>0</v>
      </c>
      <c r="Y1018" s="39">
        <v>0</v>
      </c>
      <c r="Z1018" s="39">
        <v>0</v>
      </c>
      <c r="AA1018" s="39">
        <v>0</v>
      </c>
      <c r="AB1018" s="39">
        <v>0</v>
      </c>
      <c r="AC1018" s="39">
        <v>0</v>
      </c>
      <c r="AD1018" s="39">
        <v>0</v>
      </c>
      <c r="AE1018" s="39">
        <v>0</v>
      </c>
      <c r="AF1018" s="39">
        <v>0</v>
      </c>
      <c r="AG1018" s="39">
        <v>0</v>
      </c>
      <c r="AH1018" s="39"/>
      <c r="AI1018" s="39"/>
      <c r="AJ1018" s="40"/>
      <c r="AK1018" s="39">
        <f t="shared" si="80"/>
        <v>0</v>
      </c>
      <c r="AL1018" s="39">
        <f t="shared" si="78"/>
        <v>0</v>
      </c>
      <c r="AM1018" s="39">
        <f t="shared" si="79"/>
        <v>0</v>
      </c>
      <c r="AN1018" s="39">
        <f t="shared" si="81"/>
        <v>0</v>
      </c>
      <c r="AO1018" s="39">
        <f t="shared" si="82"/>
        <v>0</v>
      </c>
    </row>
    <row r="1019" spans="1:41" x14ac:dyDescent="0.3">
      <c r="A1019" s="20">
        <v>1000184670</v>
      </c>
      <c r="B1019" s="4" t="s">
        <v>147</v>
      </c>
      <c r="C1019" s="21"/>
      <c r="D1019" s="3"/>
      <c r="E1019" s="20">
        <v>1000184760</v>
      </c>
      <c r="F1019" s="4" t="s">
        <v>60</v>
      </c>
      <c r="G1019" s="21">
        <v>1000189798</v>
      </c>
      <c r="H1019" s="3" t="s">
        <v>110</v>
      </c>
      <c r="I1019" s="21">
        <v>1000189270</v>
      </c>
      <c r="J1019" s="3" t="s">
        <v>34</v>
      </c>
      <c r="K1019" s="20" t="s">
        <v>29</v>
      </c>
      <c r="L1019" s="39">
        <v>0</v>
      </c>
      <c r="M1019" s="39">
        <v>0</v>
      </c>
      <c r="N1019" s="39">
        <v>0</v>
      </c>
      <c r="O1019" s="39">
        <v>0</v>
      </c>
      <c r="P1019" s="39">
        <v>0</v>
      </c>
      <c r="Q1019" s="39">
        <v>0</v>
      </c>
      <c r="R1019" s="39">
        <v>0</v>
      </c>
      <c r="S1019" s="39">
        <v>0</v>
      </c>
      <c r="T1019" s="39">
        <v>0</v>
      </c>
      <c r="U1019" s="39">
        <v>0</v>
      </c>
      <c r="V1019" s="39">
        <v>0</v>
      </c>
      <c r="W1019" s="39">
        <v>0</v>
      </c>
      <c r="X1019" s="39">
        <v>0</v>
      </c>
      <c r="Y1019" s="39">
        <v>0</v>
      </c>
      <c r="Z1019" s="39">
        <v>0</v>
      </c>
      <c r="AA1019" s="39">
        <v>0</v>
      </c>
      <c r="AB1019" s="39">
        <v>0</v>
      </c>
      <c r="AC1019" s="39">
        <v>2067</v>
      </c>
      <c r="AD1019" s="39">
        <v>0</v>
      </c>
      <c r="AE1019" s="39">
        <v>1170</v>
      </c>
      <c r="AF1019" s="39">
        <v>0</v>
      </c>
      <c r="AG1019" s="39">
        <v>0</v>
      </c>
      <c r="AH1019" s="39"/>
      <c r="AI1019" s="39"/>
      <c r="AJ1019" s="40"/>
      <c r="AK1019" s="39">
        <f t="shared" si="80"/>
        <v>0</v>
      </c>
      <c r="AL1019" s="39">
        <f t="shared" si="78"/>
        <v>269.75</v>
      </c>
      <c r="AM1019" s="39">
        <f t="shared" si="79"/>
        <v>539.5</v>
      </c>
      <c r="AN1019" s="39">
        <f t="shared" si="81"/>
        <v>323.7</v>
      </c>
      <c r="AO1019" s="39">
        <f t="shared" si="82"/>
        <v>3237</v>
      </c>
    </row>
    <row r="1020" spans="1:41" x14ac:dyDescent="0.3">
      <c r="A1020" s="20">
        <v>1000184670</v>
      </c>
      <c r="B1020" s="4" t="s">
        <v>147</v>
      </c>
      <c r="C1020" s="21"/>
      <c r="D1020" s="3"/>
      <c r="E1020" s="20">
        <v>1000184760</v>
      </c>
      <c r="F1020" s="4" t="s">
        <v>60</v>
      </c>
      <c r="G1020" s="21">
        <v>1000189798</v>
      </c>
      <c r="H1020" s="3" t="s">
        <v>110</v>
      </c>
      <c r="I1020" s="21">
        <v>1000189270</v>
      </c>
      <c r="J1020" s="3" t="s">
        <v>34</v>
      </c>
      <c r="K1020" s="20" t="s">
        <v>21</v>
      </c>
      <c r="L1020" s="39">
        <v>0</v>
      </c>
      <c r="M1020" s="39">
        <v>0</v>
      </c>
      <c r="N1020" s="39">
        <v>0</v>
      </c>
      <c r="O1020" s="39">
        <v>0</v>
      </c>
      <c r="P1020" s="39">
        <v>0</v>
      </c>
      <c r="Q1020" s="39">
        <v>0</v>
      </c>
      <c r="R1020" s="39">
        <v>0</v>
      </c>
      <c r="S1020" s="39">
        <v>0</v>
      </c>
      <c r="T1020" s="39">
        <v>0</v>
      </c>
      <c r="U1020" s="39">
        <v>0</v>
      </c>
      <c r="V1020" s="39">
        <v>0</v>
      </c>
      <c r="W1020" s="39">
        <v>0</v>
      </c>
      <c r="X1020" s="39">
        <v>0</v>
      </c>
      <c r="Y1020" s="39">
        <v>0</v>
      </c>
      <c r="Z1020" s="39">
        <v>0</v>
      </c>
      <c r="AA1020" s="39">
        <v>0</v>
      </c>
      <c r="AB1020" s="39">
        <v>0</v>
      </c>
      <c r="AC1020" s="39">
        <v>61.42</v>
      </c>
      <c r="AD1020" s="39">
        <v>0</v>
      </c>
      <c r="AE1020" s="39">
        <v>0</v>
      </c>
      <c r="AF1020" s="39">
        <v>0</v>
      </c>
      <c r="AG1020" s="39">
        <v>0</v>
      </c>
      <c r="AH1020" s="39"/>
      <c r="AI1020" s="39"/>
      <c r="AJ1020" s="40"/>
      <c r="AK1020" s="39">
        <f t="shared" si="80"/>
        <v>0</v>
      </c>
      <c r="AL1020" s="39">
        <f t="shared" si="78"/>
        <v>5.1183333333333332</v>
      </c>
      <c r="AM1020" s="39">
        <f t="shared" si="79"/>
        <v>10.236666666666666</v>
      </c>
      <c r="AN1020" s="39">
        <f t="shared" si="81"/>
        <v>6.1420000000000003</v>
      </c>
      <c r="AO1020" s="39">
        <f t="shared" si="82"/>
        <v>61.42</v>
      </c>
    </row>
    <row r="1021" spans="1:41" x14ac:dyDescent="0.3">
      <c r="A1021" s="20">
        <v>1000184670</v>
      </c>
      <c r="B1021" s="4" t="s">
        <v>147</v>
      </c>
      <c r="C1021" s="21"/>
      <c r="D1021" s="3"/>
      <c r="E1021" s="20">
        <v>1000184760</v>
      </c>
      <c r="F1021" s="4" t="s">
        <v>60</v>
      </c>
      <c r="G1021" s="21">
        <v>1000189798</v>
      </c>
      <c r="H1021" s="3" t="s">
        <v>110</v>
      </c>
      <c r="I1021" s="21">
        <v>1000189270</v>
      </c>
      <c r="J1021" s="3" t="s">
        <v>34</v>
      </c>
      <c r="K1021" s="20" t="s">
        <v>20</v>
      </c>
      <c r="L1021" s="39">
        <v>0</v>
      </c>
      <c r="M1021" s="39">
        <v>0</v>
      </c>
      <c r="N1021" s="39">
        <v>0</v>
      </c>
      <c r="O1021" s="39">
        <v>0</v>
      </c>
      <c r="P1021" s="39">
        <v>0</v>
      </c>
      <c r="Q1021" s="39">
        <v>0</v>
      </c>
      <c r="R1021" s="39">
        <v>0</v>
      </c>
      <c r="S1021" s="39">
        <v>0</v>
      </c>
      <c r="T1021" s="39">
        <v>0</v>
      </c>
      <c r="U1021" s="39">
        <v>0</v>
      </c>
      <c r="V1021" s="39">
        <v>0</v>
      </c>
      <c r="W1021" s="39">
        <v>0</v>
      </c>
      <c r="X1021" s="39">
        <v>0</v>
      </c>
      <c r="Y1021" s="39">
        <v>0</v>
      </c>
      <c r="Z1021" s="39">
        <v>0</v>
      </c>
      <c r="AA1021" s="39">
        <v>0</v>
      </c>
      <c r="AB1021" s="39">
        <v>0</v>
      </c>
      <c r="AC1021" s="39">
        <v>34.130000000000003</v>
      </c>
      <c r="AD1021" s="39">
        <v>0</v>
      </c>
      <c r="AE1021" s="39">
        <v>0</v>
      </c>
      <c r="AF1021" s="39">
        <v>0</v>
      </c>
      <c r="AG1021" s="39">
        <v>0</v>
      </c>
      <c r="AH1021" s="39"/>
      <c r="AI1021" s="39"/>
      <c r="AJ1021" s="40"/>
      <c r="AK1021" s="39">
        <f t="shared" si="80"/>
        <v>0</v>
      </c>
      <c r="AL1021" s="39">
        <f t="shared" si="78"/>
        <v>2.8441666666666667</v>
      </c>
      <c r="AM1021" s="39">
        <f t="shared" si="79"/>
        <v>5.6883333333333335</v>
      </c>
      <c r="AN1021" s="39">
        <f t="shared" si="81"/>
        <v>3.4130000000000003</v>
      </c>
      <c r="AO1021" s="39">
        <f t="shared" si="82"/>
        <v>34.130000000000003</v>
      </c>
    </row>
    <row r="1022" spans="1:41" x14ac:dyDescent="0.3">
      <c r="A1022" s="20">
        <v>1000184670</v>
      </c>
      <c r="B1022" s="4" t="s">
        <v>147</v>
      </c>
      <c r="C1022" s="21"/>
      <c r="D1022" s="3"/>
      <c r="E1022" s="20">
        <v>1000184760</v>
      </c>
      <c r="F1022" s="4" t="s">
        <v>60</v>
      </c>
      <c r="G1022" s="21">
        <v>1000189798</v>
      </c>
      <c r="H1022" s="3" t="s">
        <v>110</v>
      </c>
      <c r="I1022" s="21">
        <v>1000189270</v>
      </c>
      <c r="J1022" s="3" t="s">
        <v>34</v>
      </c>
      <c r="K1022" s="20" t="s">
        <v>22</v>
      </c>
      <c r="L1022" s="39">
        <v>0</v>
      </c>
      <c r="M1022" s="39">
        <v>0</v>
      </c>
      <c r="N1022" s="39">
        <v>0</v>
      </c>
      <c r="O1022" s="39">
        <v>0</v>
      </c>
      <c r="P1022" s="39">
        <v>0</v>
      </c>
      <c r="Q1022" s="39">
        <v>0</v>
      </c>
      <c r="R1022" s="39">
        <v>0</v>
      </c>
      <c r="S1022" s="39">
        <v>0</v>
      </c>
      <c r="T1022" s="39">
        <v>0</v>
      </c>
      <c r="U1022" s="39">
        <v>0</v>
      </c>
      <c r="V1022" s="39">
        <v>0</v>
      </c>
      <c r="W1022" s="39">
        <v>0</v>
      </c>
      <c r="X1022" s="39">
        <v>0</v>
      </c>
      <c r="Y1022" s="39">
        <v>0</v>
      </c>
      <c r="Z1022" s="39">
        <v>0</v>
      </c>
      <c r="AA1022" s="39">
        <v>0</v>
      </c>
      <c r="AB1022" s="39">
        <v>0</v>
      </c>
      <c r="AC1022" s="39">
        <v>39</v>
      </c>
      <c r="AD1022" s="39">
        <v>0</v>
      </c>
      <c r="AE1022" s="39">
        <v>0</v>
      </c>
      <c r="AF1022" s="39">
        <v>0</v>
      </c>
      <c r="AG1022" s="39">
        <v>0</v>
      </c>
      <c r="AH1022" s="39"/>
      <c r="AI1022" s="39"/>
      <c r="AJ1022" s="40"/>
      <c r="AK1022" s="39">
        <f t="shared" si="80"/>
        <v>0</v>
      </c>
      <c r="AL1022" s="39">
        <f t="shared" si="78"/>
        <v>3.25</v>
      </c>
      <c r="AM1022" s="39">
        <f t="shared" si="79"/>
        <v>6.5</v>
      </c>
      <c r="AN1022" s="39">
        <f t="shared" si="81"/>
        <v>3.9</v>
      </c>
      <c r="AO1022" s="39">
        <f t="shared" si="82"/>
        <v>39</v>
      </c>
    </row>
    <row r="1023" spans="1:41" x14ac:dyDescent="0.3">
      <c r="A1023" s="20">
        <v>1000184670</v>
      </c>
      <c r="B1023" s="4" t="s">
        <v>147</v>
      </c>
      <c r="C1023" s="21"/>
      <c r="D1023" s="3"/>
      <c r="E1023" s="20">
        <v>1000184760</v>
      </c>
      <c r="F1023" s="4" t="s">
        <v>60</v>
      </c>
      <c r="G1023" s="21">
        <v>1000189798</v>
      </c>
      <c r="H1023" s="3" t="s">
        <v>110</v>
      </c>
      <c r="I1023" s="21">
        <v>1000189270</v>
      </c>
      <c r="J1023" s="3" t="s">
        <v>34</v>
      </c>
      <c r="K1023" s="20" t="s">
        <v>23</v>
      </c>
      <c r="L1023" s="39">
        <v>0</v>
      </c>
      <c r="M1023" s="39">
        <v>0</v>
      </c>
      <c r="N1023" s="39">
        <v>0</v>
      </c>
      <c r="O1023" s="39">
        <v>0</v>
      </c>
      <c r="P1023" s="39">
        <v>0</v>
      </c>
      <c r="Q1023" s="39">
        <v>0</v>
      </c>
      <c r="R1023" s="39">
        <v>0</v>
      </c>
      <c r="S1023" s="39">
        <v>0</v>
      </c>
      <c r="T1023" s="39">
        <v>0</v>
      </c>
      <c r="U1023" s="39">
        <v>0</v>
      </c>
      <c r="V1023" s="39">
        <v>0</v>
      </c>
      <c r="W1023" s="39">
        <v>0</v>
      </c>
      <c r="X1023" s="39">
        <v>0</v>
      </c>
      <c r="Y1023" s="39">
        <v>0</v>
      </c>
      <c r="Z1023" s="39">
        <v>0</v>
      </c>
      <c r="AA1023" s="39">
        <v>0</v>
      </c>
      <c r="AB1023" s="39">
        <v>0</v>
      </c>
      <c r="AC1023" s="39">
        <v>0</v>
      </c>
      <c r="AD1023" s="39">
        <v>0</v>
      </c>
      <c r="AE1023" s="39">
        <v>0</v>
      </c>
      <c r="AF1023" s="39">
        <v>0</v>
      </c>
      <c r="AG1023" s="39">
        <v>0</v>
      </c>
      <c r="AH1023" s="39"/>
      <c r="AI1023" s="39"/>
      <c r="AJ1023" s="40"/>
      <c r="AK1023" s="39">
        <f t="shared" si="80"/>
        <v>0</v>
      </c>
      <c r="AL1023" s="39">
        <f t="shared" si="78"/>
        <v>0</v>
      </c>
      <c r="AM1023" s="39">
        <f t="shared" si="79"/>
        <v>0</v>
      </c>
      <c r="AN1023" s="39">
        <f t="shared" si="81"/>
        <v>0</v>
      </c>
      <c r="AO1023" s="39">
        <f t="shared" si="82"/>
        <v>0</v>
      </c>
    </row>
    <row r="1024" spans="1:41" x14ac:dyDescent="0.3">
      <c r="A1024" s="20">
        <v>1000184670</v>
      </c>
      <c r="B1024" s="4" t="s">
        <v>147</v>
      </c>
      <c r="C1024" s="21"/>
      <c r="D1024" s="3"/>
      <c r="E1024" s="20">
        <v>1000184760</v>
      </c>
      <c r="F1024" s="4" t="s">
        <v>60</v>
      </c>
      <c r="G1024" s="21">
        <v>1000189798</v>
      </c>
      <c r="H1024" s="3" t="s">
        <v>110</v>
      </c>
      <c r="I1024" s="21">
        <v>1000189270</v>
      </c>
      <c r="J1024" s="3" t="s">
        <v>34</v>
      </c>
      <c r="K1024" s="20" t="s">
        <v>28</v>
      </c>
      <c r="L1024" s="39">
        <v>0</v>
      </c>
      <c r="M1024" s="39">
        <v>0</v>
      </c>
      <c r="N1024" s="39">
        <v>0</v>
      </c>
      <c r="O1024" s="39">
        <v>0</v>
      </c>
      <c r="P1024" s="39">
        <v>0</v>
      </c>
      <c r="Q1024" s="39">
        <v>0</v>
      </c>
      <c r="R1024" s="39">
        <v>0</v>
      </c>
      <c r="S1024" s="39">
        <v>0</v>
      </c>
      <c r="T1024" s="39">
        <v>0</v>
      </c>
      <c r="U1024" s="39">
        <v>0</v>
      </c>
      <c r="V1024" s="39">
        <v>0</v>
      </c>
      <c r="W1024" s="39">
        <v>0</v>
      </c>
      <c r="X1024" s="39">
        <v>0</v>
      </c>
      <c r="Y1024" s="39">
        <v>0</v>
      </c>
      <c r="Z1024" s="39">
        <v>0</v>
      </c>
      <c r="AA1024" s="39">
        <v>0</v>
      </c>
      <c r="AB1024" s="39">
        <v>0</v>
      </c>
      <c r="AC1024" s="39">
        <v>31.64</v>
      </c>
      <c r="AD1024" s="39">
        <v>0</v>
      </c>
      <c r="AE1024" s="39">
        <v>32.64</v>
      </c>
      <c r="AF1024" s="39">
        <v>0</v>
      </c>
      <c r="AG1024" s="39">
        <v>0</v>
      </c>
      <c r="AH1024" s="39"/>
      <c r="AI1024" s="39"/>
      <c r="AJ1024" s="40"/>
      <c r="AK1024" s="39">
        <f t="shared" si="80"/>
        <v>0</v>
      </c>
      <c r="AL1024" s="39">
        <f t="shared" si="78"/>
        <v>5.3566666666666665</v>
      </c>
      <c r="AM1024" s="39">
        <f t="shared" si="79"/>
        <v>10.713333333333333</v>
      </c>
      <c r="AN1024" s="39">
        <f t="shared" si="81"/>
        <v>6.4279999999999999</v>
      </c>
      <c r="AO1024" s="39">
        <f t="shared" si="82"/>
        <v>64.28</v>
      </c>
    </row>
    <row r="1025" spans="1:41" x14ac:dyDescent="0.3">
      <c r="A1025" s="20">
        <v>1000184670</v>
      </c>
      <c r="B1025" s="4" t="s">
        <v>147</v>
      </c>
      <c r="C1025" s="21"/>
      <c r="D1025" s="3"/>
      <c r="E1025" s="20">
        <v>1000184760</v>
      </c>
      <c r="F1025" s="4" t="s">
        <v>60</v>
      </c>
      <c r="G1025" s="21">
        <v>1000189798</v>
      </c>
      <c r="H1025" s="3" t="s">
        <v>110</v>
      </c>
      <c r="I1025" s="21">
        <v>1000189270</v>
      </c>
      <c r="J1025" s="3" t="s">
        <v>34</v>
      </c>
      <c r="K1025" s="20" t="s">
        <v>26</v>
      </c>
      <c r="L1025" s="39">
        <v>0</v>
      </c>
      <c r="M1025" s="39">
        <v>0</v>
      </c>
      <c r="N1025" s="39">
        <v>0</v>
      </c>
      <c r="O1025" s="39">
        <v>0</v>
      </c>
      <c r="P1025" s="39">
        <v>0</v>
      </c>
      <c r="Q1025" s="39">
        <v>0</v>
      </c>
      <c r="R1025" s="39">
        <v>0</v>
      </c>
      <c r="S1025" s="39">
        <v>0</v>
      </c>
      <c r="T1025" s="39">
        <v>0</v>
      </c>
      <c r="U1025" s="39">
        <v>0</v>
      </c>
      <c r="V1025" s="39">
        <v>0</v>
      </c>
      <c r="W1025" s="39">
        <v>0</v>
      </c>
      <c r="X1025" s="39">
        <v>0</v>
      </c>
      <c r="Y1025" s="39">
        <v>0</v>
      </c>
      <c r="Z1025" s="39">
        <v>0</v>
      </c>
      <c r="AA1025" s="39">
        <v>0</v>
      </c>
      <c r="AB1025" s="39">
        <v>0</v>
      </c>
      <c r="AC1025" s="39">
        <v>0</v>
      </c>
      <c r="AD1025" s="39">
        <v>0</v>
      </c>
      <c r="AE1025" s="39">
        <v>0</v>
      </c>
      <c r="AF1025" s="39">
        <v>0</v>
      </c>
      <c r="AG1025" s="39">
        <v>0</v>
      </c>
      <c r="AH1025" s="39"/>
      <c r="AI1025" s="39"/>
      <c r="AJ1025" s="40"/>
      <c r="AK1025" s="39">
        <f t="shared" si="80"/>
        <v>0</v>
      </c>
      <c r="AL1025" s="39">
        <f t="shared" si="78"/>
        <v>0</v>
      </c>
      <c r="AM1025" s="39">
        <f t="shared" si="79"/>
        <v>0</v>
      </c>
      <c r="AN1025" s="39">
        <f t="shared" si="81"/>
        <v>0</v>
      </c>
      <c r="AO1025" s="39">
        <f t="shared" si="82"/>
        <v>0</v>
      </c>
    </row>
    <row r="1026" spans="1:41" x14ac:dyDescent="0.3">
      <c r="A1026" s="20">
        <v>1000184670</v>
      </c>
      <c r="B1026" s="4" t="s">
        <v>147</v>
      </c>
      <c r="C1026" s="21"/>
      <c r="D1026" s="3"/>
      <c r="E1026" s="20">
        <v>1000184760</v>
      </c>
      <c r="F1026" s="4" t="s">
        <v>60</v>
      </c>
      <c r="G1026" s="21">
        <v>1000189798</v>
      </c>
      <c r="H1026" s="3" t="s">
        <v>110</v>
      </c>
      <c r="I1026" s="21">
        <v>1000189270</v>
      </c>
      <c r="J1026" s="3" t="s">
        <v>34</v>
      </c>
      <c r="K1026" s="20" t="s">
        <v>27</v>
      </c>
      <c r="L1026" s="39">
        <v>0</v>
      </c>
      <c r="M1026" s="39">
        <v>0</v>
      </c>
      <c r="N1026" s="39">
        <v>0</v>
      </c>
      <c r="O1026" s="39">
        <v>0</v>
      </c>
      <c r="P1026" s="39">
        <v>0</v>
      </c>
      <c r="Q1026" s="39">
        <v>0</v>
      </c>
      <c r="R1026" s="39">
        <v>0</v>
      </c>
      <c r="S1026" s="39">
        <v>0</v>
      </c>
      <c r="T1026" s="39">
        <v>0</v>
      </c>
      <c r="U1026" s="39">
        <v>0</v>
      </c>
      <c r="V1026" s="39">
        <v>0</v>
      </c>
      <c r="W1026" s="39">
        <v>0</v>
      </c>
      <c r="X1026" s="39">
        <v>0</v>
      </c>
      <c r="Y1026" s="39">
        <v>0</v>
      </c>
      <c r="Z1026" s="39">
        <v>0</v>
      </c>
      <c r="AA1026" s="39">
        <v>0</v>
      </c>
      <c r="AB1026" s="39">
        <v>0</v>
      </c>
      <c r="AC1026" s="39">
        <v>0</v>
      </c>
      <c r="AD1026" s="39">
        <v>0</v>
      </c>
      <c r="AE1026" s="39">
        <v>0</v>
      </c>
      <c r="AF1026" s="39">
        <v>0</v>
      </c>
      <c r="AG1026" s="39">
        <v>0</v>
      </c>
      <c r="AH1026" s="39"/>
      <c r="AI1026" s="39"/>
      <c r="AJ1026" s="40"/>
      <c r="AK1026" s="39">
        <f t="shared" si="80"/>
        <v>0</v>
      </c>
      <c r="AL1026" s="39">
        <f t="shared" si="78"/>
        <v>0</v>
      </c>
      <c r="AM1026" s="39">
        <f t="shared" si="79"/>
        <v>0</v>
      </c>
      <c r="AN1026" s="39">
        <f t="shared" si="81"/>
        <v>0</v>
      </c>
      <c r="AO1026" s="39">
        <f t="shared" si="82"/>
        <v>0</v>
      </c>
    </row>
    <row r="1027" spans="1:41" x14ac:dyDescent="0.3">
      <c r="A1027" s="20">
        <v>1000184670</v>
      </c>
      <c r="B1027" s="4" t="s">
        <v>147</v>
      </c>
      <c r="C1027" s="21"/>
      <c r="D1027" s="3"/>
      <c r="E1027" s="20">
        <v>1000184760</v>
      </c>
      <c r="F1027" s="4" t="s">
        <v>60</v>
      </c>
      <c r="G1027" s="21">
        <v>1000189798</v>
      </c>
      <c r="H1027" s="3" t="s">
        <v>110</v>
      </c>
      <c r="I1027" s="21">
        <v>1000189270</v>
      </c>
      <c r="J1027" s="3" t="s">
        <v>34</v>
      </c>
      <c r="K1027" s="20" t="s">
        <v>25</v>
      </c>
      <c r="L1027" s="39">
        <v>0</v>
      </c>
      <c r="M1027" s="39">
        <v>0</v>
      </c>
      <c r="N1027" s="39">
        <v>0</v>
      </c>
      <c r="O1027" s="39">
        <v>0</v>
      </c>
      <c r="P1027" s="39">
        <v>0</v>
      </c>
      <c r="Q1027" s="39">
        <v>0</v>
      </c>
      <c r="R1027" s="39">
        <v>0</v>
      </c>
      <c r="S1027" s="39">
        <v>0</v>
      </c>
      <c r="T1027" s="39">
        <v>0</v>
      </c>
      <c r="U1027" s="39">
        <v>0</v>
      </c>
      <c r="V1027" s="39">
        <v>0</v>
      </c>
      <c r="W1027" s="39">
        <v>0</v>
      </c>
      <c r="X1027" s="39">
        <v>0</v>
      </c>
      <c r="Y1027" s="39">
        <v>0</v>
      </c>
      <c r="Z1027" s="39">
        <v>0</v>
      </c>
      <c r="AA1027" s="39">
        <v>0</v>
      </c>
      <c r="AB1027" s="39">
        <v>0</v>
      </c>
      <c r="AC1027" s="39">
        <v>0</v>
      </c>
      <c r="AD1027" s="39">
        <v>0</v>
      </c>
      <c r="AE1027" s="39">
        <v>0</v>
      </c>
      <c r="AF1027" s="39">
        <v>0</v>
      </c>
      <c r="AG1027" s="39">
        <v>0</v>
      </c>
      <c r="AH1027" s="39"/>
      <c r="AI1027" s="39"/>
      <c r="AJ1027" s="40"/>
      <c r="AK1027" s="39">
        <f t="shared" si="80"/>
        <v>0</v>
      </c>
      <c r="AL1027" s="39">
        <f t="shared" ref="AL1027:AL1090" si="83">AVERAGE(V1027:AG1027)</f>
        <v>0</v>
      </c>
      <c r="AM1027" s="39">
        <f t="shared" ref="AM1027:AM1090" si="84">AVERAGE(AB1027:AG1027)</f>
        <v>0</v>
      </c>
      <c r="AN1027" s="39">
        <f t="shared" si="81"/>
        <v>0</v>
      </c>
      <c r="AO1027" s="39">
        <f t="shared" si="82"/>
        <v>0</v>
      </c>
    </row>
    <row r="1028" spans="1:41" x14ac:dyDescent="0.3">
      <c r="A1028" s="20">
        <v>1000184670</v>
      </c>
      <c r="B1028" s="4" t="s">
        <v>147</v>
      </c>
      <c r="C1028" s="21"/>
      <c r="D1028" s="3"/>
      <c r="E1028" s="20">
        <v>1000184760</v>
      </c>
      <c r="F1028" s="4" t="s">
        <v>60</v>
      </c>
      <c r="G1028" s="21">
        <v>1000189799</v>
      </c>
      <c r="H1028" s="3" t="s">
        <v>111</v>
      </c>
      <c r="I1028" s="21">
        <v>1000189270</v>
      </c>
      <c r="J1028" s="3" t="s">
        <v>34</v>
      </c>
      <c r="K1028" s="20" t="s">
        <v>124</v>
      </c>
      <c r="L1028" s="39">
        <v>0</v>
      </c>
      <c r="M1028" s="39">
        <v>0</v>
      </c>
      <c r="N1028" s="39">
        <v>0</v>
      </c>
      <c r="O1028" s="39">
        <v>0</v>
      </c>
      <c r="P1028" s="39">
        <v>0</v>
      </c>
      <c r="Q1028" s="39">
        <v>0</v>
      </c>
      <c r="R1028" s="39">
        <v>0</v>
      </c>
      <c r="S1028" s="39">
        <v>0</v>
      </c>
      <c r="T1028" s="39">
        <v>0</v>
      </c>
      <c r="U1028" s="39">
        <v>0</v>
      </c>
      <c r="V1028" s="39">
        <v>0</v>
      </c>
      <c r="W1028" s="39">
        <v>0</v>
      </c>
      <c r="X1028" s="39">
        <v>0</v>
      </c>
      <c r="Y1028" s="39">
        <v>0</v>
      </c>
      <c r="Z1028" s="39">
        <v>0</v>
      </c>
      <c r="AA1028" s="39">
        <v>0</v>
      </c>
      <c r="AB1028" s="39">
        <v>0</v>
      </c>
      <c r="AC1028" s="39">
        <v>0</v>
      </c>
      <c r="AD1028" s="39">
        <v>0</v>
      </c>
      <c r="AE1028" s="39">
        <v>0</v>
      </c>
      <c r="AF1028" s="39">
        <v>0</v>
      </c>
      <c r="AG1028" s="39">
        <v>0</v>
      </c>
      <c r="AH1028" s="39"/>
      <c r="AI1028" s="39"/>
      <c r="AJ1028" s="40"/>
      <c r="AK1028" s="39">
        <f t="shared" si="80"/>
        <v>0</v>
      </c>
      <c r="AL1028" s="39">
        <f t="shared" si="83"/>
        <v>0</v>
      </c>
      <c r="AM1028" s="39">
        <f t="shared" si="84"/>
        <v>0</v>
      </c>
      <c r="AN1028" s="39">
        <f t="shared" si="81"/>
        <v>0</v>
      </c>
      <c r="AO1028" s="39">
        <f t="shared" si="82"/>
        <v>0</v>
      </c>
    </row>
    <row r="1029" spans="1:41" x14ac:dyDescent="0.3">
      <c r="A1029" s="20">
        <v>1000184670</v>
      </c>
      <c r="B1029" s="4" t="s">
        <v>147</v>
      </c>
      <c r="C1029" s="21"/>
      <c r="D1029" s="3"/>
      <c r="E1029" s="20">
        <v>1000184760</v>
      </c>
      <c r="F1029" s="4" t="s">
        <v>60</v>
      </c>
      <c r="G1029" s="21">
        <v>1000189799</v>
      </c>
      <c r="H1029" s="3" t="s">
        <v>111</v>
      </c>
      <c r="I1029" s="21">
        <v>1000189270</v>
      </c>
      <c r="J1029" s="3" t="s">
        <v>34</v>
      </c>
      <c r="K1029" s="20" t="s">
        <v>13</v>
      </c>
      <c r="L1029" s="39">
        <v>0</v>
      </c>
      <c r="M1029" s="39">
        <v>0</v>
      </c>
      <c r="N1029" s="39">
        <v>0</v>
      </c>
      <c r="O1029" s="39">
        <v>582.54</v>
      </c>
      <c r="P1029" s="39">
        <v>0</v>
      </c>
      <c r="Q1029" s="39">
        <v>0</v>
      </c>
      <c r="R1029" s="39">
        <v>0</v>
      </c>
      <c r="S1029" s="39">
        <v>0</v>
      </c>
      <c r="T1029" s="39">
        <v>0</v>
      </c>
      <c r="U1029" s="39">
        <v>0</v>
      </c>
      <c r="V1029" s="39">
        <v>0</v>
      </c>
      <c r="W1029" s="39">
        <v>0</v>
      </c>
      <c r="X1029" s="39">
        <v>0</v>
      </c>
      <c r="Y1029" s="39">
        <v>0</v>
      </c>
      <c r="Z1029" s="39">
        <v>0</v>
      </c>
      <c r="AA1029" s="39">
        <v>0</v>
      </c>
      <c r="AB1029" s="39">
        <v>881.4</v>
      </c>
      <c r="AC1029" s="39">
        <v>0</v>
      </c>
      <c r="AD1029" s="39">
        <v>0</v>
      </c>
      <c r="AE1029" s="39">
        <v>0</v>
      </c>
      <c r="AF1029" s="39">
        <v>0</v>
      </c>
      <c r="AG1029" s="39">
        <v>0</v>
      </c>
      <c r="AH1029" s="39"/>
      <c r="AI1029" s="39"/>
      <c r="AJ1029" s="40"/>
      <c r="AK1029" s="39">
        <f t="shared" si="80"/>
        <v>48.544999999999995</v>
      </c>
      <c r="AL1029" s="39">
        <f t="shared" si="83"/>
        <v>73.45</v>
      </c>
      <c r="AM1029" s="39">
        <f t="shared" si="84"/>
        <v>146.9</v>
      </c>
      <c r="AN1029" s="39">
        <f t="shared" si="81"/>
        <v>88.14</v>
      </c>
      <c r="AO1029" s="39">
        <f t="shared" si="82"/>
        <v>881.4</v>
      </c>
    </row>
    <row r="1030" spans="1:41" x14ac:dyDescent="0.3">
      <c r="A1030" s="20">
        <v>1000184670</v>
      </c>
      <c r="B1030" s="4" t="s">
        <v>147</v>
      </c>
      <c r="C1030" s="21"/>
      <c r="D1030" s="3"/>
      <c r="E1030" s="20">
        <v>1000184760</v>
      </c>
      <c r="F1030" s="4" t="s">
        <v>60</v>
      </c>
      <c r="G1030" s="21">
        <v>1000189799</v>
      </c>
      <c r="H1030" s="3" t="s">
        <v>111</v>
      </c>
      <c r="I1030" s="21">
        <v>1000189270</v>
      </c>
      <c r="J1030" s="3" t="s">
        <v>34</v>
      </c>
      <c r="K1030" s="20" t="s">
        <v>14</v>
      </c>
      <c r="L1030" s="39">
        <v>0</v>
      </c>
      <c r="M1030" s="39">
        <v>0</v>
      </c>
      <c r="N1030" s="39">
        <v>0</v>
      </c>
      <c r="O1030" s="39">
        <v>0</v>
      </c>
      <c r="P1030" s="39">
        <v>0</v>
      </c>
      <c r="Q1030" s="39">
        <v>0</v>
      </c>
      <c r="R1030" s="39">
        <v>0</v>
      </c>
      <c r="S1030" s="39">
        <v>0</v>
      </c>
      <c r="T1030" s="39">
        <v>0</v>
      </c>
      <c r="U1030" s="39">
        <v>0</v>
      </c>
      <c r="V1030" s="39">
        <v>0</v>
      </c>
      <c r="W1030" s="39">
        <v>0</v>
      </c>
      <c r="X1030" s="39">
        <v>0</v>
      </c>
      <c r="Y1030" s="39">
        <v>0</v>
      </c>
      <c r="Z1030" s="39">
        <v>0</v>
      </c>
      <c r="AA1030" s="39">
        <v>0</v>
      </c>
      <c r="AB1030" s="39">
        <v>424.5</v>
      </c>
      <c r="AC1030" s="39">
        <v>0</v>
      </c>
      <c r="AD1030" s="39">
        <v>0</v>
      </c>
      <c r="AE1030" s="39">
        <v>0</v>
      </c>
      <c r="AF1030" s="39">
        <v>0</v>
      </c>
      <c r="AG1030" s="39">
        <v>0</v>
      </c>
      <c r="AH1030" s="39"/>
      <c r="AI1030" s="39"/>
      <c r="AJ1030" s="40"/>
      <c r="AK1030" s="39">
        <f t="shared" si="80"/>
        <v>0</v>
      </c>
      <c r="AL1030" s="39">
        <f t="shared" si="83"/>
        <v>35.375</v>
      </c>
      <c r="AM1030" s="39">
        <f t="shared" si="84"/>
        <v>70.75</v>
      </c>
      <c r="AN1030" s="39">
        <f t="shared" si="81"/>
        <v>42.45</v>
      </c>
      <c r="AO1030" s="39">
        <f t="shared" si="82"/>
        <v>424.5</v>
      </c>
    </row>
    <row r="1031" spans="1:41" x14ac:dyDescent="0.3">
      <c r="A1031" s="20">
        <v>1000184670</v>
      </c>
      <c r="B1031" s="4" t="s">
        <v>147</v>
      </c>
      <c r="C1031" s="21"/>
      <c r="D1031" s="3"/>
      <c r="E1031" s="20">
        <v>1000184760</v>
      </c>
      <c r="F1031" s="4" t="s">
        <v>60</v>
      </c>
      <c r="G1031" s="21">
        <v>1000189799</v>
      </c>
      <c r="H1031" s="3" t="s">
        <v>111</v>
      </c>
      <c r="I1031" s="21">
        <v>1000189270</v>
      </c>
      <c r="J1031" s="3" t="s">
        <v>34</v>
      </c>
      <c r="K1031" s="20" t="s">
        <v>16</v>
      </c>
      <c r="L1031" s="39">
        <v>0</v>
      </c>
      <c r="M1031" s="39">
        <v>0</v>
      </c>
      <c r="N1031" s="39">
        <v>0</v>
      </c>
      <c r="O1031" s="39">
        <v>467</v>
      </c>
      <c r="P1031" s="39">
        <v>0</v>
      </c>
      <c r="Q1031" s="39">
        <v>0</v>
      </c>
      <c r="R1031" s="39">
        <v>0</v>
      </c>
      <c r="S1031" s="39">
        <v>0</v>
      </c>
      <c r="T1031" s="39">
        <v>0</v>
      </c>
      <c r="U1031" s="39">
        <v>0</v>
      </c>
      <c r="V1031" s="39">
        <v>0</v>
      </c>
      <c r="W1031" s="39">
        <v>0</v>
      </c>
      <c r="X1031" s="39">
        <v>0</v>
      </c>
      <c r="Y1031" s="39">
        <v>0</v>
      </c>
      <c r="Z1031" s="39">
        <v>0</v>
      </c>
      <c r="AA1031" s="39">
        <v>0</v>
      </c>
      <c r="AB1031" s="39">
        <v>209.97</v>
      </c>
      <c r="AC1031" s="39">
        <v>0</v>
      </c>
      <c r="AD1031" s="39">
        <v>0</v>
      </c>
      <c r="AE1031" s="39">
        <v>0</v>
      </c>
      <c r="AF1031" s="39">
        <v>0</v>
      </c>
      <c r="AG1031" s="39">
        <v>0</v>
      </c>
      <c r="AH1031" s="39"/>
      <c r="AI1031" s="39"/>
      <c r="AJ1031" s="40"/>
      <c r="AK1031" s="39">
        <f t="shared" si="80"/>
        <v>38.916666666666664</v>
      </c>
      <c r="AL1031" s="39">
        <f t="shared" si="83"/>
        <v>17.497499999999999</v>
      </c>
      <c r="AM1031" s="39">
        <f t="shared" si="84"/>
        <v>34.994999999999997</v>
      </c>
      <c r="AN1031" s="39">
        <f t="shared" si="81"/>
        <v>20.997</v>
      </c>
      <c r="AO1031" s="39">
        <f t="shared" si="82"/>
        <v>209.97</v>
      </c>
    </row>
    <row r="1032" spans="1:41" x14ac:dyDescent="0.3">
      <c r="A1032" s="20">
        <v>1000184670</v>
      </c>
      <c r="B1032" s="4" t="s">
        <v>147</v>
      </c>
      <c r="C1032" s="21"/>
      <c r="D1032" s="3"/>
      <c r="E1032" s="20">
        <v>1000184760</v>
      </c>
      <c r="F1032" s="4" t="s">
        <v>60</v>
      </c>
      <c r="G1032" s="19">
        <v>1000189799</v>
      </c>
      <c r="H1032" s="3" t="s">
        <v>111</v>
      </c>
      <c r="I1032" s="21">
        <v>1000189270</v>
      </c>
      <c r="J1032" s="3" t="s">
        <v>34</v>
      </c>
      <c r="K1032" s="20" t="s">
        <v>15</v>
      </c>
      <c r="L1032" s="39">
        <v>0</v>
      </c>
      <c r="M1032" s="39">
        <v>0</v>
      </c>
      <c r="N1032" s="39">
        <v>0</v>
      </c>
      <c r="O1032" s="39">
        <v>0</v>
      </c>
      <c r="P1032" s="39">
        <v>0</v>
      </c>
      <c r="Q1032" s="39">
        <v>0</v>
      </c>
      <c r="R1032" s="39">
        <v>0</v>
      </c>
      <c r="S1032" s="39">
        <v>0</v>
      </c>
      <c r="T1032" s="39">
        <v>0</v>
      </c>
      <c r="U1032" s="39">
        <v>0</v>
      </c>
      <c r="V1032" s="39">
        <v>0</v>
      </c>
      <c r="W1032" s="39">
        <v>0</v>
      </c>
      <c r="X1032" s="39">
        <v>0</v>
      </c>
      <c r="Y1032" s="39">
        <v>0</v>
      </c>
      <c r="Z1032" s="39">
        <v>0</v>
      </c>
      <c r="AA1032" s="39">
        <v>0</v>
      </c>
      <c r="AB1032" s="39">
        <v>216.6</v>
      </c>
      <c r="AC1032" s="39">
        <v>0</v>
      </c>
      <c r="AD1032" s="39">
        <v>0</v>
      </c>
      <c r="AE1032" s="39">
        <v>0</v>
      </c>
      <c r="AF1032" s="39">
        <v>0</v>
      </c>
      <c r="AG1032" s="39">
        <v>0</v>
      </c>
      <c r="AH1032" s="39"/>
      <c r="AI1032" s="39"/>
      <c r="AJ1032" s="40"/>
      <c r="AK1032" s="39">
        <f t="shared" si="80"/>
        <v>0</v>
      </c>
      <c r="AL1032" s="39">
        <f t="shared" si="83"/>
        <v>18.05</v>
      </c>
      <c r="AM1032" s="39">
        <f t="shared" si="84"/>
        <v>36.1</v>
      </c>
      <c r="AN1032" s="39">
        <f t="shared" si="81"/>
        <v>21.66</v>
      </c>
      <c r="AO1032" s="39">
        <f t="shared" si="82"/>
        <v>216.6</v>
      </c>
    </row>
    <row r="1033" spans="1:41" x14ac:dyDescent="0.3">
      <c r="A1033" s="20">
        <v>1000184670</v>
      </c>
      <c r="B1033" s="4" t="s">
        <v>147</v>
      </c>
      <c r="C1033" s="21"/>
      <c r="D1033" s="3"/>
      <c r="E1033" s="20">
        <v>1000184760</v>
      </c>
      <c r="F1033" s="4" t="s">
        <v>60</v>
      </c>
      <c r="G1033" s="19">
        <v>1000189799</v>
      </c>
      <c r="H1033" s="3" t="s">
        <v>111</v>
      </c>
      <c r="I1033" s="21">
        <v>1000189270</v>
      </c>
      <c r="J1033" s="3" t="s">
        <v>34</v>
      </c>
      <c r="K1033" s="20" t="s">
        <v>33</v>
      </c>
      <c r="L1033" s="39">
        <v>0</v>
      </c>
      <c r="M1033" s="39">
        <v>0</v>
      </c>
      <c r="N1033" s="39">
        <v>0</v>
      </c>
      <c r="O1033" s="39">
        <v>0</v>
      </c>
      <c r="P1033" s="39">
        <v>0</v>
      </c>
      <c r="Q1033" s="39">
        <v>0</v>
      </c>
      <c r="R1033" s="39">
        <v>0</v>
      </c>
      <c r="S1033" s="39">
        <v>0</v>
      </c>
      <c r="T1033" s="39">
        <v>0</v>
      </c>
      <c r="U1033" s="39">
        <v>0</v>
      </c>
      <c r="V1033" s="39">
        <v>0</v>
      </c>
      <c r="W1033" s="39">
        <v>0</v>
      </c>
      <c r="X1033" s="39">
        <v>0</v>
      </c>
      <c r="Y1033" s="39">
        <v>0</v>
      </c>
      <c r="Z1033" s="39">
        <v>0</v>
      </c>
      <c r="AA1033" s="39">
        <v>26.72</v>
      </c>
      <c r="AB1033" s="39">
        <v>0</v>
      </c>
      <c r="AC1033" s="39">
        <v>0</v>
      </c>
      <c r="AD1033" s="39">
        <v>0</v>
      </c>
      <c r="AE1033" s="39">
        <v>0</v>
      </c>
      <c r="AF1033" s="39">
        <v>0</v>
      </c>
      <c r="AG1033" s="39">
        <v>0</v>
      </c>
      <c r="AH1033" s="39"/>
      <c r="AI1033" s="39"/>
      <c r="AJ1033" s="40"/>
      <c r="AK1033" s="39">
        <f t="shared" si="80"/>
        <v>0</v>
      </c>
      <c r="AL1033" s="39">
        <f t="shared" si="83"/>
        <v>2.2266666666666666</v>
      </c>
      <c r="AM1033" s="39">
        <f t="shared" si="84"/>
        <v>0</v>
      </c>
      <c r="AN1033" s="39">
        <f t="shared" si="81"/>
        <v>2.6719999999999997</v>
      </c>
      <c r="AO1033" s="39">
        <f t="shared" si="82"/>
        <v>26.72</v>
      </c>
    </row>
    <row r="1034" spans="1:41" x14ac:dyDescent="0.3">
      <c r="A1034" s="20">
        <v>1000184670</v>
      </c>
      <c r="B1034" s="4" t="s">
        <v>147</v>
      </c>
      <c r="C1034" s="21"/>
      <c r="D1034" s="3"/>
      <c r="E1034" s="20">
        <v>1000184760</v>
      </c>
      <c r="F1034" s="4" t="s">
        <v>60</v>
      </c>
      <c r="G1034" s="21">
        <v>1000189799</v>
      </c>
      <c r="H1034" s="3" t="s">
        <v>111</v>
      </c>
      <c r="I1034" s="21">
        <v>1000189270</v>
      </c>
      <c r="J1034" s="3" t="s">
        <v>34</v>
      </c>
      <c r="K1034" s="20" t="s">
        <v>19</v>
      </c>
      <c r="L1034" s="39">
        <v>0</v>
      </c>
      <c r="M1034" s="39">
        <v>0</v>
      </c>
      <c r="N1034" s="39">
        <v>0</v>
      </c>
      <c r="O1034" s="39">
        <v>0</v>
      </c>
      <c r="P1034" s="39">
        <v>0</v>
      </c>
      <c r="Q1034" s="39">
        <v>0</v>
      </c>
      <c r="R1034" s="39">
        <v>0</v>
      </c>
      <c r="S1034" s="39">
        <v>0</v>
      </c>
      <c r="T1034" s="39">
        <v>0</v>
      </c>
      <c r="U1034" s="39">
        <v>0</v>
      </c>
      <c r="V1034" s="39">
        <v>0</v>
      </c>
      <c r="W1034" s="39">
        <v>0</v>
      </c>
      <c r="X1034" s="39">
        <v>0</v>
      </c>
      <c r="Y1034" s="39">
        <v>0</v>
      </c>
      <c r="Z1034" s="39">
        <v>0</v>
      </c>
      <c r="AA1034" s="39">
        <v>0</v>
      </c>
      <c r="AB1034" s="39">
        <v>0</v>
      </c>
      <c r="AC1034" s="39">
        <v>0</v>
      </c>
      <c r="AD1034" s="39">
        <v>0</v>
      </c>
      <c r="AE1034" s="39">
        <v>0</v>
      </c>
      <c r="AF1034" s="39">
        <v>0</v>
      </c>
      <c r="AG1034" s="39">
        <v>0</v>
      </c>
      <c r="AH1034" s="39"/>
      <c r="AI1034" s="39"/>
      <c r="AJ1034" s="40"/>
      <c r="AK1034" s="39">
        <f t="shared" si="80"/>
        <v>0</v>
      </c>
      <c r="AL1034" s="39">
        <f t="shared" si="83"/>
        <v>0</v>
      </c>
      <c r="AM1034" s="39">
        <f t="shared" si="84"/>
        <v>0</v>
      </c>
      <c r="AN1034" s="39">
        <f t="shared" si="81"/>
        <v>0</v>
      </c>
      <c r="AO1034" s="39">
        <f t="shared" si="82"/>
        <v>0</v>
      </c>
    </row>
    <row r="1035" spans="1:41" x14ac:dyDescent="0.3">
      <c r="A1035" s="20">
        <v>1000184670</v>
      </c>
      <c r="B1035" s="4" t="s">
        <v>147</v>
      </c>
      <c r="C1035" s="21"/>
      <c r="D1035" s="3"/>
      <c r="E1035" s="20">
        <v>1000184760</v>
      </c>
      <c r="F1035" s="4" t="s">
        <v>60</v>
      </c>
      <c r="G1035" s="21">
        <v>1000189799</v>
      </c>
      <c r="H1035" s="3" t="s">
        <v>111</v>
      </c>
      <c r="I1035" s="21">
        <v>1000189270</v>
      </c>
      <c r="J1035" s="3" t="s">
        <v>34</v>
      </c>
      <c r="K1035" s="20" t="s">
        <v>17</v>
      </c>
      <c r="L1035" s="39">
        <v>0</v>
      </c>
      <c r="M1035" s="39">
        <v>0</v>
      </c>
      <c r="N1035" s="39">
        <v>0</v>
      </c>
      <c r="O1035" s="39">
        <v>243.36</v>
      </c>
      <c r="P1035" s="39">
        <v>0</v>
      </c>
      <c r="Q1035" s="39">
        <v>0</v>
      </c>
      <c r="R1035" s="39">
        <v>0</v>
      </c>
      <c r="S1035" s="39">
        <v>0</v>
      </c>
      <c r="T1035" s="39">
        <v>0</v>
      </c>
      <c r="U1035" s="39">
        <v>0</v>
      </c>
      <c r="V1035" s="39">
        <v>0</v>
      </c>
      <c r="W1035" s="39">
        <v>0</v>
      </c>
      <c r="X1035" s="39">
        <v>0</v>
      </c>
      <c r="Y1035" s="39">
        <v>0</v>
      </c>
      <c r="Z1035" s="39">
        <v>0</v>
      </c>
      <c r="AA1035" s="39">
        <v>0</v>
      </c>
      <c r="AB1035" s="39">
        <v>134.26</v>
      </c>
      <c r="AC1035" s="39">
        <v>0</v>
      </c>
      <c r="AD1035" s="39">
        <v>0</v>
      </c>
      <c r="AE1035" s="39">
        <v>0</v>
      </c>
      <c r="AF1035" s="39">
        <v>0</v>
      </c>
      <c r="AG1035" s="39">
        <v>0</v>
      </c>
      <c r="AH1035" s="39"/>
      <c r="AI1035" s="39"/>
      <c r="AJ1035" s="40"/>
      <c r="AK1035" s="39">
        <f t="shared" si="80"/>
        <v>20.28</v>
      </c>
      <c r="AL1035" s="39">
        <f t="shared" si="83"/>
        <v>11.188333333333333</v>
      </c>
      <c r="AM1035" s="39">
        <f t="shared" si="84"/>
        <v>22.376666666666665</v>
      </c>
      <c r="AN1035" s="39">
        <f t="shared" si="81"/>
        <v>13.425999999999998</v>
      </c>
      <c r="AO1035" s="39">
        <f t="shared" si="82"/>
        <v>134.26</v>
      </c>
    </row>
    <row r="1036" spans="1:41" x14ac:dyDescent="0.3">
      <c r="A1036" s="20">
        <v>1000184670</v>
      </c>
      <c r="B1036" s="4" t="s">
        <v>147</v>
      </c>
      <c r="C1036" s="21"/>
      <c r="D1036" s="3"/>
      <c r="E1036" s="20">
        <v>1000184760</v>
      </c>
      <c r="F1036" s="4" t="s">
        <v>60</v>
      </c>
      <c r="G1036" s="21">
        <v>1000189799</v>
      </c>
      <c r="H1036" s="3" t="s">
        <v>111</v>
      </c>
      <c r="I1036" s="21">
        <v>1000189270</v>
      </c>
      <c r="J1036" s="3" t="s">
        <v>34</v>
      </c>
      <c r="K1036" s="20" t="s">
        <v>24</v>
      </c>
      <c r="L1036" s="39">
        <v>0</v>
      </c>
      <c r="M1036" s="39">
        <v>0</v>
      </c>
      <c r="N1036" s="39">
        <v>0</v>
      </c>
      <c r="O1036" s="39">
        <v>62.01</v>
      </c>
      <c r="P1036" s="39">
        <v>0</v>
      </c>
      <c r="Q1036" s="39">
        <v>0</v>
      </c>
      <c r="R1036" s="39">
        <v>0</v>
      </c>
      <c r="S1036" s="39">
        <v>0</v>
      </c>
      <c r="T1036" s="39">
        <v>0</v>
      </c>
      <c r="U1036" s="39">
        <v>0</v>
      </c>
      <c r="V1036" s="39">
        <v>0</v>
      </c>
      <c r="W1036" s="39">
        <v>0</v>
      </c>
      <c r="X1036" s="39">
        <v>0</v>
      </c>
      <c r="Y1036" s="39">
        <v>0</v>
      </c>
      <c r="Z1036" s="39">
        <v>0</v>
      </c>
      <c r="AA1036" s="39">
        <v>0</v>
      </c>
      <c r="AB1036" s="39">
        <v>82.31</v>
      </c>
      <c r="AC1036" s="39">
        <v>0</v>
      </c>
      <c r="AD1036" s="39">
        <v>0</v>
      </c>
      <c r="AE1036" s="39">
        <v>0</v>
      </c>
      <c r="AF1036" s="39">
        <v>0</v>
      </c>
      <c r="AG1036" s="39">
        <v>0</v>
      </c>
      <c r="AH1036" s="39"/>
      <c r="AI1036" s="39"/>
      <c r="AJ1036" s="40"/>
      <c r="AK1036" s="39">
        <f t="shared" si="80"/>
        <v>5.1674999999999995</v>
      </c>
      <c r="AL1036" s="39">
        <f t="shared" si="83"/>
        <v>6.8591666666666669</v>
      </c>
      <c r="AM1036" s="39">
        <f t="shared" si="84"/>
        <v>13.718333333333334</v>
      </c>
      <c r="AN1036" s="39">
        <f t="shared" si="81"/>
        <v>8.2309999999999999</v>
      </c>
      <c r="AO1036" s="39">
        <f t="shared" si="82"/>
        <v>82.31</v>
      </c>
    </row>
    <row r="1037" spans="1:41" x14ac:dyDescent="0.3">
      <c r="A1037" s="20">
        <v>1000184670</v>
      </c>
      <c r="B1037" s="4" t="s">
        <v>147</v>
      </c>
      <c r="C1037" s="21"/>
      <c r="D1037" s="3"/>
      <c r="E1037" s="20">
        <v>1000184760</v>
      </c>
      <c r="F1037" s="4" t="s">
        <v>60</v>
      </c>
      <c r="G1037" s="21">
        <v>1000189799</v>
      </c>
      <c r="H1037" s="3" t="s">
        <v>111</v>
      </c>
      <c r="I1037" s="21">
        <v>1000189270</v>
      </c>
      <c r="J1037" s="3" t="s">
        <v>34</v>
      </c>
      <c r="K1037" s="20" t="s">
        <v>18</v>
      </c>
      <c r="L1037" s="39">
        <v>0</v>
      </c>
      <c r="M1037" s="39">
        <v>0</v>
      </c>
      <c r="N1037" s="39">
        <v>0</v>
      </c>
      <c r="O1037" s="39">
        <v>0</v>
      </c>
      <c r="P1037" s="39">
        <v>0</v>
      </c>
      <c r="Q1037" s="39">
        <v>0</v>
      </c>
      <c r="R1037" s="39">
        <v>0</v>
      </c>
      <c r="S1037" s="39">
        <v>0</v>
      </c>
      <c r="T1037" s="39">
        <v>0</v>
      </c>
      <c r="U1037" s="39">
        <v>0</v>
      </c>
      <c r="V1037" s="39">
        <v>0</v>
      </c>
      <c r="W1037" s="39">
        <v>0</v>
      </c>
      <c r="X1037" s="39">
        <v>0</v>
      </c>
      <c r="Y1037" s="39">
        <v>0</v>
      </c>
      <c r="Z1037" s="39">
        <v>0</v>
      </c>
      <c r="AA1037" s="39">
        <v>0</v>
      </c>
      <c r="AB1037" s="39">
        <v>124.37</v>
      </c>
      <c r="AC1037" s="39">
        <v>0</v>
      </c>
      <c r="AD1037" s="39">
        <v>0</v>
      </c>
      <c r="AE1037" s="39">
        <v>0</v>
      </c>
      <c r="AF1037" s="39">
        <v>0</v>
      </c>
      <c r="AG1037" s="39">
        <v>0</v>
      </c>
      <c r="AH1037" s="39"/>
      <c r="AI1037" s="39"/>
      <c r="AJ1037" s="40"/>
      <c r="AK1037" s="39">
        <f t="shared" si="80"/>
        <v>0</v>
      </c>
      <c r="AL1037" s="39">
        <f t="shared" si="83"/>
        <v>10.364166666666668</v>
      </c>
      <c r="AM1037" s="39">
        <f t="shared" si="84"/>
        <v>20.728333333333335</v>
      </c>
      <c r="AN1037" s="39">
        <f t="shared" si="81"/>
        <v>12.437000000000001</v>
      </c>
      <c r="AO1037" s="39">
        <f t="shared" si="82"/>
        <v>124.37</v>
      </c>
    </row>
    <row r="1038" spans="1:41" x14ac:dyDescent="0.3">
      <c r="A1038" s="20">
        <v>1000184670</v>
      </c>
      <c r="B1038" s="4" t="s">
        <v>147</v>
      </c>
      <c r="C1038" s="21"/>
      <c r="D1038" s="3"/>
      <c r="E1038" s="20">
        <v>1000184760</v>
      </c>
      <c r="F1038" s="4" t="s">
        <v>60</v>
      </c>
      <c r="G1038" s="21">
        <v>1000189799</v>
      </c>
      <c r="H1038" s="3" t="s">
        <v>111</v>
      </c>
      <c r="I1038" s="21">
        <v>1000189270</v>
      </c>
      <c r="J1038" s="3" t="s">
        <v>34</v>
      </c>
      <c r="K1038" s="20" t="s">
        <v>29</v>
      </c>
      <c r="L1038" s="39">
        <v>0</v>
      </c>
      <c r="M1038" s="39">
        <v>0</v>
      </c>
      <c r="N1038" s="39">
        <v>0</v>
      </c>
      <c r="O1038" s="39">
        <v>0</v>
      </c>
      <c r="P1038" s="39">
        <v>0</v>
      </c>
      <c r="Q1038" s="39">
        <v>0</v>
      </c>
      <c r="R1038" s="39">
        <v>0</v>
      </c>
      <c r="S1038" s="39">
        <v>0</v>
      </c>
      <c r="T1038" s="39">
        <v>0</v>
      </c>
      <c r="U1038" s="39">
        <v>0</v>
      </c>
      <c r="V1038" s="39">
        <v>0</v>
      </c>
      <c r="W1038" s="39">
        <v>0</v>
      </c>
      <c r="X1038" s="39">
        <v>0</v>
      </c>
      <c r="Y1038" s="39">
        <v>0</v>
      </c>
      <c r="Z1038" s="39">
        <v>0</v>
      </c>
      <c r="AA1038" s="39">
        <v>0</v>
      </c>
      <c r="AB1038" s="39">
        <v>0</v>
      </c>
      <c r="AC1038" s="39">
        <v>0</v>
      </c>
      <c r="AD1038" s="39">
        <v>0</v>
      </c>
      <c r="AE1038" s="39">
        <v>0</v>
      </c>
      <c r="AF1038" s="39">
        <v>0</v>
      </c>
      <c r="AG1038" s="39">
        <v>0</v>
      </c>
      <c r="AH1038" s="39"/>
      <c r="AI1038" s="39"/>
      <c r="AJ1038" s="40"/>
      <c r="AK1038" s="39">
        <f t="shared" si="80"/>
        <v>0</v>
      </c>
      <c r="AL1038" s="39">
        <f t="shared" si="83"/>
        <v>0</v>
      </c>
      <c r="AM1038" s="39">
        <f t="shared" si="84"/>
        <v>0</v>
      </c>
      <c r="AN1038" s="39">
        <f t="shared" si="81"/>
        <v>0</v>
      </c>
      <c r="AO1038" s="39">
        <f t="shared" si="82"/>
        <v>0</v>
      </c>
    </row>
    <row r="1039" spans="1:41" x14ac:dyDescent="0.3">
      <c r="A1039" s="20">
        <v>1000184670</v>
      </c>
      <c r="B1039" s="4" t="s">
        <v>147</v>
      </c>
      <c r="C1039" s="21"/>
      <c r="D1039" s="3"/>
      <c r="E1039" s="20">
        <v>1000184760</v>
      </c>
      <c r="F1039" s="4" t="s">
        <v>60</v>
      </c>
      <c r="G1039" s="21">
        <v>1000189799</v>
      </c>
      <c r="H1039" s="3" t="s">
        <v>111</v>
      </c>
      <c r="I1039" s="21">
        <v>1000189270</v>
      </c>
      <c r="J1039" s="3" t="s">
        <v>34</v>
      </c>
      <c r="K1039" s="20" t="s">
        <v>21</v>
      </c>
      <c r="L1039" s="39">
        <v>0</v>
      </c>
      <c r="M1039" s="39">
        <v>0</v>
      </c>
      <c r="N1039" s="39">
        <v>0</v>
      </c>
      <c r="O1039" s="39">
        <v>0</v>
      </c>
      <c r="P1039" s="39">
        <v>0</v>
      </c>
      <c r="Q1039" s="39">
        <v>0</v>
      </c>
      <c r="R1039" s="39">
        <v>0</v>
      </c>
      <c r="S1039" s="39">
        <v>0</v>
      </c>
      <c r="T1039" s="39">
        <v>0</v>
      </c>
      <c r="U1039" s="39">
        <v>0</v>
      </c>
      <c r="V1039" s="39">
        <v>0</v>
      </c>
      <c r="W1039" s="39">
        <v>0</v>
      </c>
      <c r="X1039" s="39">
        <v>0</v>
      </c>
      <c r="Y1039" s="39">
        <v>0</v>
      </c>
      <c r="Z1039" s="39">
        <v>0</v>
      </c>
      <c r="AA1039" s="39">
        <v>0</v>
      </c>
      <c r="AB1039" s="39">
        <v>99</v>
      </c>
      <c r="AC1039" s="39">
        <v>0</v>
      </c>
      <c r="AD1039" s="39">
        <v>0</v>
      </c>
      <c r="AE1039" s="39">
        <v>0</v>
      </c>
      <c r="AF1039" s="39">
        <v>0</v>
      </c>
      <c r="AG1039" s="39">
        <v>0</v>
      </c>
      <c r="AH1039" s="39"/>
      <c r="AI1039" s="39"/>
      <c r="AJ1039" s="40"/>
      <c r="AK1039" s="39">
        <f t="shared" si="80"/>
        <v>0</v>
      </c>
      <c r="AL1039" s="39">
        <f t="shared" si="83"/>
        <v>8.25</v>
      </c>
      <c r="AM1039" s="39">
        <f t="shared" si="84"/>
        <v>16.5</v>
      </c>
      <c r="AN1039" s="39">
        <f t="shared" si="81"/>
        <v>9.9</v>
      </c>
      <c r="AO1039" s="39">
        <f t="shared" si="82"/>
        <v>99</v>
      </c>
    </row>
    <row r="1040" spans="1:41" x14ac:dyDescent="0.3">
      <c r="A1040" s="20">
        <v>1000184670</v>
      </c>
      <c r="B1040" s="4" t="s">
        <v>147</v>
      </c>
      <c r="C1040" s="21"/>
      <c r="D1040" s="3"/>
      <c r="E1040" s="20">
        <v>1000184760</v>
      </c>
      <c r="F1040" s="4" t="s">
        <v>60</v>
      </c>
      <c r="G1040" s="21">
        <v>1000189799</v>
      </c>
      <c r="H1040" s="3" t="s">
        <v>111</v>
      </c>
      <c r="I1040" s="21">
        <v>1000189270</v>
      </c>
      <c r="J1040" s="3" t="s">
        <v>34</v>
      </c>
      <c r="K1040" s="20" t="s">
        <v>20</v>
      </c>
      <c r="L1040" s="39">
        <v>0</v>
      </c>
      <c r="M1040" s="39">
        <v>0</v>
      </c>
      <c r="N1040" s="39">
        <v>0</v>
      </c>
      <c r="O1040" s="39">
        <v>102.38</v>
      </c>
      <c r="P1040" s="39">
        <v>0</v>
      </c>
      <c r="Q1040" s="39">
        <v>0</v>
      </c>
      <c r="R1040" s="39">
        <v>0</v>
      </c>
      <c r="S1040" s="39">
        <v>0</v>
      </c>
      <c r="T1040" s="39">
        <v>0</v>
      </c>
      <c r="U1040" s="39">
        <v>0</v>
      </c>
      <c r="V1040" s="39">
        <v>0</v>
      </c>
      <c r="W1040" s="39">
        <v>0</v>
      </c>
      <c r="X1040" s="39">
        <v>0</v>
      </c>
      <c r="Y1040" s="39">
        <v>0</v>
      </c>
      <c r="Z1040" s="39">
        <v>0</v>
      </c>
      <c r="AA1040" s="39">
        <v>0</v>
      </c>
      <c r="AB1040" s="39">
        <v>219.71</v>
      </c>
      <c r="AC1040" s="39">
        <v>0</v>
      </c>
      <c r="AD1040" s="39">
        <v>0</v>
      </c>
      <c r="AE1040" s="39">
        <v>0</v>
      </c>
      <c r="AF1040" s="39">
        <v>0</v>
      </c>
      <c r="AG1040" s="39">
        <v>0</v>
      </c>
      <c r="AH1040" s="39"/>
      <c r="AI1040" s="39"/>
      <c r="AJ1040" s="40"/>
      <c r="AK1040" s="39">
        <f t="shared" si="80"/>
        <v>8.5316666666666663</v>
      </c>
      <c r="AL1040" s="39">
        <f t="shared" si="83"/>
        <v>18.309166666666666</v>
      </c>
      <c r="AM1040" s="39">
        <f t="shared" si="84"/>
        <v>36.618333333333332</v>
      </c>
      <c r="AN1040" s="39">
        <f t="shared" si="81"/>
        <v>21.971</v>
      </c>
      <c r="AO1040" s="39">
        <f t="shared" si="82"/>
        <v>219.71</v>
      </c>
    </row>
    <row r="1041" spans="1:41" x14ac:dyDescent="0.3">
      <c r="A1041" s="20">
        <v>1000184670</v>
      </c>
      <c r="B1041" s="4" t="s">
        <v>147</v>
      </c>
      <c r="C1041" s="21"/>
      <c r="D1041" s="3"/>
      <c r="E1041" s="20">
        <v>1000184760</v>
      </c>
      <c r="F1041" s="4" t="s">
        <v>60</v>
      </c>
      <c r="G1041" s="21">
        <v>1000189799</v>
      </c>
      <c r="H1041" s="3" t="s">
        <v>111</v>
      </c>
      <c r="I1041" s="21">
        <v>1000189270</v>
      </c>
      <c r="J1041" s="3" t="s">
        <v>34</v>
      </c>
      <c r="K1041" s="20" t="s">
        <v>22</v>
      </c>
      <c r="L1041" s="39">
        <v>0</v>
      </c>
      <c r="M1041" s="39">
        <v>0</v>
      </c>
      <c r="N1041" s="39">
        <v>0</v>
      </c>
      <c r="O1041" s="39">
        <v>312.98</v>
      </c>
      <c r="P1041" s="39">
        <v>0</v>
      </c>
      <c r="Q1041" s="39">
        <v>0</v>
      </c>
      <c r="R1041" s="39">
        <v>0</v>
      </c>
      <c r="S1041" s="39">
        <v>0</v>
      </c>
      <c r="T1041" s="39">
        <v>0</v>
      </c>
      <c r="U1041" s="39">
        <v>0</v>
      </c>
      <c r="V1041" s="39">
        <v>0</v>
      </c>
      <c r="W1041" s="39">
        <v>0</v>
      </c>
      <c r="X1041" s="39">
        <v>0</v>
      </c>
      <c r="Y1041" s="39">
        <v>0</v>
      </c>
      <c r="Z1041" s="39">
        <v>0</v>
      </c>
      <c r="AA1041" s="39">
        <v>0</v>
      </c>
      <c r="AB1041" s="39">
        <v>223.42</v>
      </c>
      <c r="AC1041" s="39">
        <v>0</v>
      </c>
      <c r="AD1041" s="39">
        <v>0</v>
      </c>
      <c r="AE1041" s="39">
        <v>0</v>
      </c>
      <c r="AF1041" s="39">
        <v>0</v>
      </c>
      <c r="AG1041" s="39">
        <v>0</v>
      </c>
      <c r="AH1041" s="39"/>
      <c r="AI1041" s="39"/>
      <c r="AJ1041" s="40"/>
      <c r="AK1041" s="39">
        <f t="shared" si="80"/>
        <v>26.081666666666667</v>
      </c>
      <c r="AL1041" s="39">
        <f t="shared" si="83"/>
        <v>18.618333333333332</v>
      </c>
      <c r="AM1041" s="39">
        <f t="shared" si="84"/>
        <v>37.236666666666665</v>
      </c>
      <c r="AN1041" s="39">
        <f t="shared" si="81"/>
        <v>22.341999999999999</v>
      </c>
      <c r="AO1041" s="39">
        <f t="shared" si="82"/>
        <v>223.42</v>
      </c>
    </row>
    <row r="1042" spans="1:41" x14ac:dyDescent="0.3">
      <c r="A1042" s="20">
        <v>1000184670</v>
      </c>
      <c r="B1042" s="4" t="s">
        <v>147</v>
      </c>
      <c r="C1042" s="21"/>
      <c r="D1042" s="3"/>
      <c r="E1042" s="20">
        <v>1000184760</v>
      </c>
      <c r="F1042" s="4" t="s">
        <v>60</v>
      </c>
      <c r="G1042" s="21">
        <v>1000189799</v>
      </c>
      <c r="H1042" s="3" t="s">
        <v>111</v>
      </c>
      <c r="I1042" s="21">
        <v>1000189270</v>
      </c>
      <c r="J1042" s="3" t="s">
        <v>34</v>
      </c>
      <c r="K1042" s="20" t="s">
        <v>23</v>
      </c>
      <c r="L1042" s="39">
        <v>0</v>
      </c>
      <c r="M1042" s="39">
        <v>0</v>
      </c>
      <c r="N1042" s="39">
        <v>0</v>
      </c>
      <c r="O1042" s="39">
        <v>0</v>
      </c>
      <c r="P1042" s="39">
        <v>0</v>
      </c>
      <c r="Q1042" s="39">
        <v>0</v>
      </c>
      <c r="R1042" s="39">
        <v>0</v>
      </c>
      <c r="S1042" s="39">
        <v>0</v>
      </c>
      <c r="T1042" s="39">
        <v>0</v>
      </c>
      <c r="U1042" s="39">
        <v>0</v>
      </c>
      <c r="V1042" s="39">
        <v>0</v>
      </c>
      <c r="W1042" s="39">
        <v>0</v>
      </c>
      <c r="X1042" s="39">
        <v>0</v>
      </c>
      <c r="Y1042" s="39">
        <v>0</v>
      </c>
      <c r="Z1042" s="39">
        <v>0</v>
      </c>
      <c r="AA1042" s="39">
        <v>0</v>
      </c>
      <c r="AB1042" s="39">
        <v>29.99</v>
      </c>
      <c r="AC1042" s="39">
        <v>0</v>
      </c>
      <c r="AD1042" s="39">
        <v>0</v>
      </c>
      <c r="AE1042" s="39">
        <v>0</v>
      </c>
      <c r="AF1042" s="39">
        <v>0</v>
      </c>
      <c r="AG1042" s="39">
        <v>0</v>
      </c>
      <c r="AH1042" s="39"/>
      <c r="AI1042" s="39"/>
      <c r="AJ1042" s="40"/>
      <c r="AK1042" s="39">
        <f t="shared" si="80"/>
        <v>0</v>
      </c>
      <c r="AL1042" s="39">
        <f t="shared" si="83"/>
        <v>2.4991666666666665</v>
      </c>
      <c r="AM1042" s="39">
        <f t="shared" si="84"/>
        <v>4.9983333333333331</v>
      </c>
      <c r="AN1042" s="39">
        <f t="shared" si="81"/>
        <v>2.9989999999999997</v>
      </c>
      <c r="AO1042" s="39">
        <f t="shared" si="82"/>
        <v>29.99</v>
      </c>
    </row>
    <row r="1043" spans="1:41" x14ac:dyDescent="0.3">
      <c r="A1043" s="20">
        <v>1000184670</v>
      </c>
      <c r="B1043" s="4" t="s">
        <v>147</v>
      </c>
      <c r="C1043" s="21"/>
      <c r="D1043" s="3"/>
      <c r="E1043" s="20">
        <v>1000184760</v>
      </c>
      <c r="F1043" s="4" t="s">
        <v>60</v>
      </c>
      <c r="G1043" s="21">
        <v>1000189799</v>
      </c>
      <c r="H1043" s="3" t="s">
        <v>111</v>
      </c>
      <c r="I1043" s="21">
        <v>1000189270</v>
      </c>
      <c r="J1043" s="3" t="s">
        <v>34</v>
      </c>
      <c r="K1043" s="20" t="s">
        <v>28</v>
      </c>
      <c r="L1043" s="39">
        <v>0</v>
      </c>
      <c r="M1043" s="39">
        <v>0</v>
      </c>
      <c r="N1043" s="39">
        <v>0</v>
      </c>
      <c r="O1043" s="39">
        <v>53</v>
      </c>
      <c r="P1043" s="39">
        <v>0</v>
      </c>
      <c r="Q1043" s="39">
        <v>0</v>
      </c>
      <c r="R1043" s="39">
        <v>0</v>
      </c>
      <c r="S1043" s="39">
        <v>0</v>
      </c>
      <c r="T1043" s="39">
        <v>0</v>
      </c>
      <c r="U1043" s="39">
        <v>0</v>
      </c>
      <c r="V1043" s="39">
        <v>0</v>
      </c>
      <c r="W1043" s="39">
        <v>0</v>
      </c>
      <c r="X1043" s="39">
        <v>0</v>
      </c>
      <c r="Y1043" s="39">
        <v>0</v>
      </c>
      <c r="Z1043" s="39">
        <v>0</v>
      </c>
      <c r="AA1043" s="39">
        <v>0</v>
      </c>
      <c r="AB1043" s="39">
        <v>108.72</v>
      </c>
      <c r="AC1043" s="39">
        <v>0</v>
      </c>
      <c r="AD1043" s="39">
        <v>0</v>
      </c>
      <c r="AE1043" s="39">
        <v>0</v>
      </c>
      <c r="AF1043" s="39">
        <v>0</v>
      </c>
      <c r="AG1043" s="39">
        <v>0</v>
      </c>
      <c r="AH1043" s="39"/>
      <c r="AI1043" s="39"/>
      <c r="AJ1043" s="40"/>
      <c r="AK1043" s="39">
        <f t="shared" si="80"/>
        <v>4.416666666666667</v>
      </c>
      <c r="AL1043" s="39">
        <f t="shared" si="83"/>
        <v>9.06</v>
      </c>
      <c r="AM1043" s="39">
        <f t="shared" si="84"/>
        <v>18.12</v>
      </c>
      <c r="AN1043" s="39">
        <f t="shared" si="81"/>
        <v>10.872</v>
      </c>
      <c r="AO1043" s="39">
        <f t="shared" si="82"/>
        <v>108.72</v>
      </c>
    </row>
    <row r="1044" spans="1:41" x14ac:dyDescent="0.3">
      <c r="A1044" s="20">
        <v>1000184670</v>
      </c>
      <c r="B1044" s="4" t="s">
        <v>147</v>
      </c>
      <c r="C1044" s="21"/>
      <c r="D1044" s="3"/>
      <c r="E1044" s="20">
        <v>1000184760</v>
      </c>
      <c r="F1044" s="4" t="s">
        <v>60</v>
      </c>
      <c r="G1044" s="21">
        <v>1000189799</v>
      </c>
      <c r="H1044" s="3" t="s">
        <v>111</v>
      </c>
      <c r="I1044" s="21">
        <v>1000189270</v>
      </c>
      <c r="J1044" s="3" t="s">
        <v>34</v>
      </c>
      <c r="K1044" s="20" t="s">
        <v>26</v>
      </c>
      <c r="L1044" s="39">
        <v>0</v>
      </c>
      <c r="M1044" s="39">
        <v>0</v>
      </c>
      <c r="N1044" s="39">
        <v>0</v>
      </c>
      <c r="O1044" s="39">
        <v>0</v>
      </c>
      <c r="P1044" s="39">
        <v>0</v>
      </c>
      <c r="Q1044" s="39">
        <v>0</v>
      </c>
      <c r="R1044" s="39">
        <v>0</v>
      </c>
      <c r="S1044" s="39">
        <v>0</v>
      </c>
      <c r="T1044" s="39">
        <v>0</v>
      </c>
      <c r="U1044" s="39">
        <v>0</v>
      </c>
      <c r="V1044" s="39">
        <v>0</v>
      </c>
      <c r="W1044" s="39">
        <v>0</v>
      </c>
      <c r="X1044" s="39">
        <v>0</v>
      </c>
      <c r="Y1044" s="39">
        <v>0</v>
      </c>
      <c r="Z1044" s="39">
        <v>0</v>
      </c>
      <c r="AA1044" s="39">
        <v>0</v>
      </c>
      <c r="AB1044" s="39">
        <v>0</v>
      </c>
      <c r="AC1044" s="39">
        <v>0</v>
      </c>
      <c r="AD1044" s="39">
        <v>0</v>
      </c>
      <c r="AE1044" s="39">
        <v>0</v>
      </c>
      <c r="AF1044" s="39">
        <v>0</v>
      </c>
      <c r="AG1044" s="39">
        <v>0</v>
      </c>
      <c r="AH1044" s="39"/>
      <c r="AI1044" s="39"/>
      <c r="AJ1044" s="40"/>
      <c r="AK1044" s="39">
        <f t="shared" si="80"/>
        <v>0</v>
      </c>
      <c r="AL1044" s="39">
        <f t="shared" si="83"/>
        <v>0</v>
      </c>
      <c r="AM1044" s="39">
        <f t="shared" si="84"/>
        <v>0</v>
      </c>
      <c r="AN1044" s="39">
        <f t="shared" si="81"/>
        <v>0</v>
      </c>
      <c r="AO1044" s="39">
        <f t="shared" si="82"/>
        <v>0</v>
      </c>
    </row>
    <row r="1045" spans="1:41" x14ac:dyDescent="0.3">
      <c r="A1045" s="20">
        <v>1000184670</v>
      </c>
      <c r="B1045" s="4" t="s">
        <v>147</v>
      </c>
      <c r="C1045" s="21"/>
      <c r="D1045" s="3"/>
      <c r="E1045" s="20">
        <v>1000184760</v>
      </c>
      <c r="F1045" s="4" t="s">
        <v>60</v>
      </c>
      <c r="G1045" s="21">
        <v>1000189799</v>
      </c>
      <c r="H1045" s="3" t="s">
        <v>111</v>
      </c>
      <c r="I1045" s="21">
        <v>1000189270</v>
      </c>
      <c r="J1045" s="3" t="s">
        <v>34</v>
      </c>
      <c r="K1045" s="20" t="s">
        <v>27</v>
      </c>
      <c r="L1045" s="39">
        <v>0</v>
      </c>
      <c r="M1045" s="39">
        <v>0</v>
      </c>
      <c r="N1045" s="39">
        <v>0</v>
      </c>
      <c r="O1045" s="39">
        <v>0</v>
      </c>
      <c r="P1045" s="39">
        <v>0</v>
      </c>
      <c r="Q1045" s="39">
        <v>0</v>
      </c>
      <c r="R1045" s="39">
        <v>0</v>
      </c>
      <c r="S1045" s="39">
        <v>0</v>
      </c>
      <c r="T1045" s="39">
        <v>0</v>
      </c>
      <c r="U1045" s="39">
        <v>0</v>
      </c>
      <c r="V1045" s="39">
        <v>0</v>
      </c>
      <c r="W1045" s="39">
        <v>0</v>
      </c>
      <c r="X1045" s="39">
        <v>0</v>
      </c>
      <c r="Y1045" s="39">
        <v>0</v>
      </c>
      <c r="Z1045" s="39">
        <v>0</v>
      </c>
      <c r="AA1045" s="39">
        <v>0</v>
      </c>
      <c r="AB1045" s="39">
        <v>0</v>
      </c>
      <c r="AC1045" s="39">
        <v>0</v>
      </c>
      <c r="AD1045" s="39">
        <v>0</v>
      </c>
      <c r="AE1045" s="39">
        <v>0</v>
      </c>
      <c r="AF1045" s="39">
        <v>0</v>
      </c>
      <c r="AG1045" s="39">
        <v>0</v>
      </c>
      <c r="AH1045" s="39"/>
      <c r="AI1045" s="39"/>
      <c r="AJ1045" s="40"/>
      <c r="AK1045" s="39">
        <f t="shared" si="80"/>
        <v>0</v>
      </c>
      <c r="AL1045" s="39">
        <f t="shared" si="83"/>
        <v>0</v>
      </c>
      <c r="AM1045" s="39">
        <f t="shared" si="84"/>
        <v>0</v>
      </c>
      <c r="AN1045" s="39">
        <f t="shared" si="81"/>
        <v>0</v>
      </c>
      <c r="AO1045" s="39">
        <f t="shared" si="82"/>
        <v>0</v>
      </c>
    </row>
    <row r="1046" spans="1:41" x14ac:dyDescent="0.3">
      <c r="A1046" s="20">
        <v>1000184670</v>
      </c>
      <c r="B1046" s="4" t="s">
        <v>147</v>
      </c>
      <c r="C1046" s="21"/>
      <c r="D1046" s="3"/>
      <c r="E1046" s="20">
        <v>1000184760</v>
      </c>
      <c r="F1046" s="4" t="s">
        <v>60</v>
      </c>
      <c r="G1046" s="21">
        <v>1000189799</v>
      </c>
      <c r="H1046" s="3" t="s">
        <v>111</v>
      </c>
      <c r="I1046" s="21">
        <v>1000189270</v>
      </c>
      <c r="J1046" s="3" t="s">
        <v>34</v>
      </c>
      <c r="K1046" s="20" t="s">
        <v>25</v>
      </c>
      <c r="L1046" s="39">
        <v>0</v>
      </c>
      <c r="M1046" s="39">
        <v>0</v>
      </c>
      <c r="N1046" s="39">
        <v>0</v>
      </c>
      <c r="O1046" s="39">
        <v>0</v>
      </c>
      <c r="P1046" s="39">
        <v>0</v>
      </c>
      <c r="Q1046" s="39">
        <v>0</v>
      </c>
      <c r="R1046" s="39">
        <v>0</v>
      </c>
      <c r="S1046" s="39">
        <v>0</v>
      </c>
      <c r="T1046" s="39">
        <v>0</v>
      </c>
      <c r="U1046" s="39">
        <v>0</v>
      </c>
      <c r="V1046" s="39">
        <v>0</v>
      </c>
      <c r="W1046" s="39">
        <v>0</v>
      </c>
      <c r="X1046" s="39">
        <v>0</v>
      </c>
      <c r="Y1046" s="39">
        <v>0</v>
      </c>
      <c r="Z1046" s="39">
        <v>0</v>
      </c>
      <c r="AA1046" s="39">
        <v>0</v>
      </c>
      <c r="AB1046" s="39">
        <v>0</v>
      </c>
      <c r="AC1046" s="39">
        <v>0</v>
      </c>
      <c r="AD1046" s="39">
        <v>0</v>
      </c>
      <c r="AE1046" s="39">
        <v>0</v>
      </c>
      <c r="AF1046" s="39">
        <v>0</v>
      </c>
      <c r="AG1046" s="39">
        <v>0</v>
      </c>
      <c r="AH1046" s="39"/>
      <c r="AI1046" s="39"/>
      <c r="AJ1046" s="40"/>
      <c r="AK1046" s="39">
        <f t="shared" si="80"/>
        <v>0</v>
      </c>
      <c r="AL1046" s="39">
        <f t="shared" si="83"/>
        <v>0</v>
      </c>
      <c r="AM1046" s="39">
        <f t="shared" si="84"/>
        <v>0</v>
      </c>
      <c r="AN1046" s="39">
        <f t="shared" si="81"/>
        <v>0</v>
      </c>
      <c r="AO1046" s="39">
        <f t="shared" si="82"/>
        <v>0</v>
      </c>
    </row>
    <row r="1047" spans="1:41" x14ac:dyDescent="0.3">
      <c r="A1047" s="20">
        <v>1000184670</v>
      </c>
      <c r="B1047" s="4" t="s">
        <v>147</v>
      </c>
      <c r="C1047" s="21"/>
      <c r="D1047" s="3"/>
      <c r="E1047" s="20">
        <v>1000184757</v>
      </c>
      <c r="F1047" s="4" t="s">
        <v>62</v>
      </c>
      <c r="G1047" s="21">
        <v>1000189800</v>
      </c>
      <c r="H1047" s="3" t="s">
        <v>95</v>
      </c>
      <c r="I1047" s="21">
        <v>1000189270</v>
      </c>
      <c r="J1047" s="3" t="s">
        <v>34</v>
      </c>
      <c r="K1047" s="20" t="s">
        <v>124</v>
      </c>
      <c r="L1047" s="39">
        <v>0</v>
      </c>
      <c r="M1047" s="39">
        <v>0</v>
      </c>
      <c r="N1047" s="39">
        <v>0</v>
      </c>
      <c r="O1047" s="39">
        <v>0</v>
      </c>
      <c r="P1047" s="39">
        <v>0</v>
      </c>
      <c r="Q1047" s="39">
        <v>0</v>
      </c>
      <c r="R1047" s="39">
        <v>0</v>
      </c>
      <c r="S1047" s="39">
        <v>0</v>
      </c>
      <c r="T1047" s="39">
        <v>0</v>
      </c>
      <c r="U1047" s="39">
        <v>0</v>
      </c>
      <c r="V1047" s="39">
        <v>0</v>
      </c>
      <c r="W1047" s="39">
        <v>0</v>
      </c>
      <c r="X1047" s="39">
        <v>0</v>
      </c>
      <c r="Y1047" s="39">
        <v>0</v>
      </c>
      <c r="Z1047" s="39">
        <v>0</v>
      </c>
      <c r="AA1047" s="39">
        <v>0</v>
      </c>
      <c r="AB1047" s="39">
        <v>0</v>
      </c>
      <c r="AC1047" s="39">
        <v>0</v>
      </c>
      <c r="AD1047" s="39">
        <v>0</v>
      </c>
      <c r="AE1047" s="39">
        <v>0</v>
      </c>
      <c r="AF1047" s="39">
        <v>0</v>
      </c>
      <c r="AG1047" s="39">
        <v>0</v>
      </c>
      <c r="AH1047" s="39"/>
      <c r="AI1047" s="39"/>
      <c r="AJ1047" s="40"/>
      <c r="AK1047" s="39">
        <f t="shared" si="80"/>
        <v>0</v>
      </c>
      <c r="AL1047" s="39">
        <f t="shared" si="83"/>
        <v>0</v>
      </c>
      <c r="AM1047" s="39">
        <f t="shared" si="84"/>
        <v>0</v>
      </c>
      <c r="AN1047" s="39">
        <f t="shared" si="81"/>
        <v>0</v>
      </c>
      <c r="AO1047" s="39">
        <f t="shared" si="82"/>
        <v>0</v>
      </c>
    </row>
    <row r="1048" spans="1:41" x14ac:dyDescent="0.3">
      <c r="A1048" s="20">
        <v>1000184670</v>
      </c>
      <c r="B1048" s="4" t="s">
        <v>147</v>
      </c>
      <c r="C1048" s="21"/>
      <c r="D1048" s="3"/>
      <c r="E1048" s="20">
        <v>1000184757</v>
      </c>
      <c r="F1048" s="4" t="s">
        <v>62</v>
      </c>
      <c r="G1048" s="21">
        <v>1000189800</v>
      </c>
      <c r="H1048" s="3" t="s">
        <v>95</v>
      </c>
      <c r="I1048" s="21">
        <v>1000189270</v>
      </c>
      <c r="J1048" s="3" t="s">
        <v>34</v>
      </c>
      <c r="K1048" s="20" t="s">
        <v>13</v>
      </c>
      <c r="L1048" s="39">
        <v>0</v>
      </c>
      <c r="M1048" s="39">
        <v>0</v>
      </c>
      <c r="N1048" s="39">
        <v>0</v>
      </c>
      <c r="O1048" s="39">
        <v>0</v>
      </c>
      <c r="P1048" s="39">
        <v>0</v>
      </c>
      <c r="Q1048" s="39">
        <v>0</v>
      </c>
      <c r="R1048" s="39">
        <v>0</v>
      </c>
      <c r="S1048" s="39">
        <v>0</v>
      </c>
      <c r="T1048" s="39">
        <v>0</v>
      </c>
      <c r="U1048" s="39">
        <v>0</v>
      </c>
      <c r="V1048" s="39">
        <v>0</v>
      </c>
      <c r="W1048" s="39">
        <v>0</v>
      </c>
      <c r="X1048" s="39">
        <v>0</v>
      </c>
      <c r="Y1048" s="39">
        <v>0</v>
      </c>
      <c r="Z1048" s="39">
        <v>0</v>
      </c>
      <c r="AA1048" s="39">
        <v>0</v>
      </c>
      <c r="AB1048" s="39">
        <v>0</v>
      </c>
      <c r="AC1048" s="39">
        <v>0</v>
      </c>
      <c r="AD1048" s="39">
        <v>0</v>
      </c>
      <c r="AE1048" s="39">
        <v>0</v>
      </c>
      <c r="AF1048" s="39">
        <v>0</v>
      </c>
      <c r="AG1048" s="39">
        <v>0</v>
      </c>
      <c r="AH1048" s="39"/>
      <c r="AI1048" s="39"/>
      <c r="AJ1048" s="40"/>
      <c r="AK1048" s="39">
        <f t="shared" si="80"/>
        <v>0</v>
      </c>
      <c r="AL1048" s="39">
        <f t="shared" si="83"/>
        <v>0</v>
      </c>
      <c r="AM1048" s="39">
        <f t="shared" si="84"/>
        <v>0</v>
      </c>
      <c r="AN1048" s="39">
        <f t="shared" si="81"/>
        <v>0</v>
      </c>
      <c r="AO1048" s="39">
        <f t="shared" si="82"/>
        <v>0</v>
      </c>
    </row>
    <row r="1049" spans="1:41" x14ac:dyDescent="0.3">
      <c r="A1049" s="20">
        <v>1000184670</v>
      </c>
      <c r="B1049" s="4" t="s">
        <v>147</v>
      </c>
      <c r="C1049" s="21"/>
      <c r="D1049" s="3"/>
      <c r="E1049" s="20">
        <v>1000184757</v>
      </c>
      <c r="F1049" s="4" t="s">
        <v>62</v>
      </c>
      <c r="G1049" s="21">
        <v>1000189800</v>
      </c>
      <c r="H1049" s="3" t="s">
        <v>95</v>
      </c>
      <c r="I1049" s="21">
        <v>1000189270</v>
      </c>
      <c r="J1049" s="3" t="s">
        <v>34</v>
      </c>
      <c r="K1049" s="20" t="s">
        <v>14</v>
      </c>
      <c r="L1049" s="39">
        <v>0</v>
      </c>
      <c r="M1049" s="39">
        <v>0</v>
      </c>
      <c r="N1049" s="39">
        <v>0</v>
      </c>
      <c r="O1049" s="39">
        <v>0</v>
      </c>
      <c r="P1049" s="39">
        <v>0</v>
      </c>
      <c r="Q1049" s="39">
        <v>0</v>
      </c>
      <c r="R1049" s="39">
        <v>0</v>
      </c>
      <c r="S1049" s="39">
        <v>0</v>
      </c>
      <c r="T1049" s="39">
        <v>0</v>
      </c>
      <c r="U1049" s="39">
        <v>0</v>
      </c>
      <c r="V1049" s="39">
        <v>0</v>
      </c>
      <c r="W1049" s="39">
        <v>0</v>
      </c>
      <c r="X1049" s="39">
        <v>0</v>
      </c>
      <c r="Y1049" s="39">
        <v>0</v>
      </c>
      <c r="Z1049" s="39">
        <v>0</v>
      </c>
      <c r="AA1049" s="39">
        <v>0</v>
      </c>
      <c r="AB1049" s="39">
        <v>0</v>
      </c>
      <c r="AC1049" s="39">
        <v>0</v>
      </c>
      <c r="AD1049" s="39">
        <v>0</v>
      </c>
      <c r="AE1049" s="39">
        <v>0</v>
      </c>
      <c r="AF1049" s="39">
        <v>0</v>
      </c>
      <c r="AG1049" s="39">
        <v>0</v>
      </c>
      <c r="AH1049" s="39"/>
      <c r="AI1049" s="39"/>
      <c r="AJ1049" s="40"/>
      <c r="AK1049" s="39">
        <f t="shared" si="80"/>
        <v>0</v>
      </c>
      <c r="AL1049" s="39">
        <f t="shared" si="83"/>
        <v>0</v>
      </c>
      <c r="AM1049" s="39">
        <f t="shared" si="84"/>
        <v>0</v>
      </c>
      <c r="AN1049" s="39">
        <f t="shared" si="81"/>
        <v>0</v>
      </c>
      <c r="AO1049" s="39">
        <f t="shared" si="82"/>
        <v>0</v>
      </c>
    </row>
    <row r="1050" spans="1:41" x14ac:dyDescent="0.3">
      <c r="A1050" s="20">
        <v>1000184670</v>
      </c>
      <c r="B1050" s="4" t="s">
        <v>147</v>
      </c>
      <c r="C1050" s="21"/>
      <c r="D1050" s="3"/>
      <c r="E1050" s="20">
        <v>1000184757</v>
      </c>
      <c r="F1050" s="4" t="s">
        <v>62</v>
      </c>
      <c r="G1050" s="21">
        <v>1000189800</v>
      </c>
      <c r="H1050" s="3" t="s">
        <v>95</v>
      </c>
      <c r="I1050" s="21">
        <v>1000189270</v>
      </c>
      <c r="J1050" s="3" t="s">
        <v>34</v>
      </c>
      <c r="K1050" s="20" t="s">
        <v>16</v>
      </c>
      <c r="L1050" s="39">
        <v>0</v>
      </c>
      <c r="M1050" s="39">
        <v>0</v>
      </c>
      <c r="N1050" s="39">
        <v>0</v>
      </c>
      <c r="O1050" s="39">
        <v>0</v>
      </c>
      <c r="P1050" s="39">
        <v>0</v>
      </c>
      <c r="Q1050" s="39">
        <v>0</v>
      </c>
      <c r="R1050" s="39">
        <v>0</v>
      </c>
      <c r="S1050" s="39">
        <v>0</v>
      </c>
      <c r="T1050" s="39">
        <v>0</v>
      </c>
      <c r="U1050" s="39">
        <v>0</v>
      </c>
      <c r="V1050" s="39">
        <v>0</v>
      </c>
      <c r="W1050" s="39">
        <v>0</v>
      </c>
      <c r="X1050" s="39">
        <v>0</v>
      </c>
      <c r="Y1050" s="39">
        <v>0</v>
      </c>
      <c r="Z1050" s="39">
        <v>0</v>
      </c>
      <c r="AA1050" s="39">
        <v>0</v>
      </c>
      <c r="AB1050" s="39">
        <v>0</v>
      </c>
      <c r="AC1050" s="39">
        <v>0</v>
      </c>
      <c r="AD1050" s="39">
        <v>0</v>
      </c>
      <c r="AE1050" s="39">
        <v>0</v>
      </c>
      <c r="AF1050" s="39">
        <v>0</v>
      </c>
      <c r="AG1050" s="39">
        <v>0</v>
      </c>
      <c r="AH1050" s="39"/>
      <c r="AI1050" s="39"/>
      <c r="AJ1050" s="40"/>
      <c r="AK1050" s="39">
        <f t="shared" si="80"/>
        <v>0</v>
      </c>
      <c r="AL1050" s="39">
        <f t="shared" si="83"/>
        <v>0</v>
      </c>
      <c r="AM1050" s="39">
        <f t="shared" si="84"/>
        <v>0</v>
      </c>
      <c r="AN1050" s="39">
        <f t="shared" si="81"/>
        <v>0</v>
      </c>
      <c r="AO1050" s="39">
        <f t="shared" si="82"/>
        <v>0</v>
      </c>
    </row>
    <row r="1051" spans="1:41" x14ac:dyDescent="0.3">
      <c r="A1051" s="20">
        <v>1000184670</v>
      </c>
      <c r="B1051" s="4" t="s">
        <v>147</v>
      </c>
      <c r="C1051" s="21"/>
      <c r="D1051" s="3"/>
      <c r="E1051" s="20">
        <v>1000184757</v>
      </c>
      <c r="F1051" s="4" t="s">
        <v>62</v>
      </c>
      <c r="G1051" s="21">
        <v>1000189800</v>
      </c>
      <c r="H1051" s="3" t="s">
        <v>95</v>
      </c>
      <c r="I1051" s="21">
        <v>1000189270</v>
      </c>
      <c r="J1051" s="3" t="s">
        <v>34</v>
      </c>
      <c r="K1051" s="20" t="s">
        <v>15</v>
      </c>
      <c r="L1051" s="39">
        <v>0</v>
      </c>
      <c r="M1051" s="39">
        <v>0</v>
      </c>
      <c r="N1051" s="39">
        <v>0</v>
      </c>
      <c r="O1051" s="39">
        <v>0</v>
      </c>
      <c r="P1051" s="39">
        <v>0</v>
      </c>
      <c r="Q1051" s="39">
        <v>0</v>
      </c>
      <c r="R1051" s="39">
        <v>0</v>
      </c>
      <c r="S1051" s="39">
        <v>0</v>
      </c>
      <c r="T1051" s="39">
        <v>0</v>
      </c>
      <c r="U1051" s="39">
        <v>0</v>
      </c>
      <c r="V1051" s="39">
        <v>0</v>
      </c>
      <c r="W1051" s="39">
        <v>0</v>
      </c>
      <c r="X1051" s="39">
        <v>0</v>
      </c>
      <c r="Y1051" s="39">
        <v>0</v>
      </c>
      <c r="Z1051" s="39">
        <v>0</v>
      </c>
      <c r="AA1051" s="39">
        <v>0</v>
      </c>
      <c r="AB1051" s="39">
        <v>0</v>
      </c>
      <c r="AC1051" s="39">
        <v>0</v>
      </c>
      <c r="AD1051" s="39">
        <v>0</v>
      </c>
      <c r="AE1051" s="39">
        <v>0</v>
      </c>
      <c r="AF1051" s="39">
        <v>0</v>
      </c>
      <c r="AG1051" s="39">
        <v>0</v>
      </c>
      <c r="AH1051" s="39"/>
      <c r="AI1051" s="39"/>
      <c r="AJ1051" s="40"/>
      <c r="AK1051" s="39">
        <f t="shared" si="80"/>
        <v>0</v>
      </c>
      <c r="AL1051" s="39">
        <f t="shared" si="83"/>
        <v>0</v>
      </c>
      <c r="AM1051" s="39">
        <f t="shared" si="84"/>
        <v>0</v>
      </c>
      <c r="AN1051" s="39">
        <f t="shared" si="81"/>
        <v>0</v>
      </c>
      <c r="AO1051" s="39">
        <f t="shared" si="82"/>
        <v>0</v>
      </c>
    </row>
    <row r="1052" spans="1:41" x14ac:dyDescent="0.3">
      <c r="A1052" s="20">
        <v>1000184670</v>
      </c>
      <c r="B1052" s="4" t="s">
        <v>147</v>
      </c>
      <c r="C1052" s="21"/>
      <c r="D1052" s="3"/>
      <c r="E1052" s="20">
        <v>1000184757</v>
      </c>
      <c r="F1052" s="4" t="s">
        <v>62</v>
      </c>
      <c r="G1052" s="21">
        <v>1000189800</v>
      </c>
      <c r="H1052" s="3" t="s">
        <v>95</v>
      </c>
      <c r="I1052" s="21">
        <v>1000189270</v>
      </c>
      <c r="J1052" s="3" t="s">
        <v>34</v>
      </c>
      <c r="K1052" s="20" t="s">
        <v>33</v>
      </c>
      <c r="L1052" s="39">
        <v>0</v>
      </c>
      <c r="M1052" s="39">
        <v>0</v>
      </c>
      <c r="N1052" s="39">
        <v>0</v>
      </c>
      <c r="O1052" s="39">
        <v>0</v>
      </c>
      <c r="P1052" s="39">
        <v>0</v>
      </c>
      <c r="Q1052" s="39">
        <v>0</v>
      </c>
      <c r="R1052" s="39">
        <v>0</v>
      </c>
      <c r="S1052" s="39">
        <v>0</v>
      </c>
      <c r="T1052" s="39">
        <v>0</v>
      </c>
      <c r="U1052" s="39">
        <v>0</v>
      </c>
      <c r="V1052" s="39">
        <v>0</v>
      </c>
      <c r="W1052" s="39">
        <v>0</v>
      </c>
      <c r="X1052" s="39">
        <v>0</v>
      </c>
      <c r="Y1052" s="39">
        <v>0</v>
      </c>
      <c r="Z1052" s="39">
        <v>0</v>
      </c>
      <c r="AA1052" s="39">
        <v>0</v>
      </c>
      <c r="AB1052" s="39">
        <v>0</v>
      </c>
      <c r="AC1052" s="39">
        <v>0</v>
      </c>
      <c r="AD1052" s="39">
        <v>0</v>
      </c>
      <c r="AE1052" s="39">
        <v>0</v>
      </c>
      <c r="AF1052" s="39">
        <v>0</v>
      </c>
      <c r="AG1052" s="39">
        <v>0</v>
      </c>
      <c r="AH1052" s="39"/>
      <c r="AI1052" s="39"/>
      <c r="AJ1052" s="40"/>
      <c r="AK1052" s="39">
        <f t="shared" si="80"/>
        <v>0</v>
      </c>
      <c r="AL1052" s="39">
        <f t="shared" si="83"/>
        <v>0</v>
      </c>
      <c r="AM1052" s="39">
        <f t="shared" si="84"/>
        <v>0</v>
      </c>
      <c r="AN1052" s="39">
        <f t="shared" si="81"/>
        <v>0</v>
      </c>
      <c r="AO1052" s="39">
        <f t="shared" si="82"/>
        <v>0</v>
      </c>
    </row>
    <row r="1053" spans="1:41" x14ac:dyDescent="0.3">
      <c r="A1053" s="20">
        <v>1000184670</v>
      </c>
      <c r="B1053" s="4" t="s">
        <v>147</v>
      </c>
      <c r="C1053" s="21"/>
      <c r="D1053" s="3"/>
      <c r="E1053" s="20">
        <v>1000184757</v>
      </c>
      <c r="F1053" s="4" t="s">
        <v>62</v>
      </c>
      <c r="G1053" s="21">
        <v>1000189800</v>
      </c>
      <c r="H1053" s="3" t="s">
        <v>95</v>
      </c>
      <c r="I1053" s="21">
        <v>1000189270</v>
      </c>
      <c r="J1053" s="3" t="s">
        <v>34</v>
      </c>
      <c r="K1053" s="20" t="s">
        <v>19</v>
      </c>
      <c r="L1053" s="39">
        <v>0</v>
      </c>
      <c r="M1053" s="39">
        <v>0</v>
      </c>
      <c r="N1053" s="39">
        <v>0</v>
      </c>
      <c r="O1053" s="39">
        <v>0</v>
      </c>
      <c r="P1053" s="39">
        <v>0</v>
      </c>
      <c r="Q1053" s="39">
        <v>0</v>
      </c>
      <c r="R1053" s="39">
        <v>0</v>
      </c>
      <c r="S1053" s="39">
        <v>0</v>
      </c>
      <c r="T1053" s="39">
        <v>0</v>
      </c>
      <c r="U1053" s="39">
        <v>0</v>
      </c>
      <c r="V1053" s="39">
        <v>0</v>
      </c>
      <c r="W1053" s="39">
        <v>0</v>
      </c>
      <c r="X1053" s="39">
        <v>0</v>
      </c>
      <c r="Y1053" s="39">
        <v>0</v>
      </c>
      <c r="Z1053" s="39">
        <v>0</v>
      </c>
      <c r="AA1053" s="39">
        <v>0</v>
      </c>
      <c r="AB1053" s="39">
        <v>0</v>
      </c>
      <c r="AC1053" s="39">
        <v>0</v>
      </c>
      <c r="AD1053" s="39">
        <v>0</v>
      </c>
      <c r="AE1053" s="39">
        <v>0</v>
      </c>
      <c r="AF1053" s="39">
        <v>0</v>
      </c>
      <c r="AG1053" s="39">
        <v>0</v>
      </c>
      <c r="AH1053" s="39"/>
      <c r="AI1053" s="39"/>
      <c r="AJ1053" s="40"/>
      <c r="AK1053" s="39">
        <f t="shared" si="80"/>
        <v>0</v>
      </c>
      <c r="AL1053" s="39">
        <f t="shared" si="83"/>
        <v>0</v>
      </c>
      <c r="AM1053" s="39">
        <f t="shared" si="84"/>
        <v>0</v>
      </c>
      <c r="AN1053" s="39">
        <f t="shared" si="81"/>
        <v>0</v>
      </c>
      <c r="AO1053" s="39">
        <f t="shared" si="82"/>
        <v>0</v>
      </c>
    </row>
    <row r="1054" spans="1:41" x14ac:dyDescent="0.3">
      <c r="A1054" s="20">
        <v>1000184670</v>
      </c>
      <c r="B1054" s="4" t="s">
        <v>147</v>
      </c>
      <c r="C1054" s="21"/>
      <c r="D1054" s="3"/>
      <c r="E1054" s="20">
        <v>1000184757</v>
      </c>
      <c r="F1054" s="4" t="s">
        <v>62</v>
      </c>
      <c r="G1054" s="21">
        <v>1000189800</v>
      </c>
      <c r="H1054" s="3" t="s">
        <v>95</v>
      </c>
      <c r="I1054" s="21">
        <v>1000189270</v>
      </c>
      <c r="J1054" s="3" t="s">
        <v>34</v>
      </c>
      <c r="K1054" s="20" t="s">
        <v>17</v>
      </c>
      <c r="L1054" s="39">
        <v>0</v>
      </c>
      <c r="M1054" s="39">
        <v>0</v>
      </c>
      <c r="N1054" s="39">
        <v>0</v>
      </c>
      <c r="O1054" s="39">
        <v>0</v>
      </c>
      <c r="P1054" s="39">
        <v>0</v>
      </c>
      <c r="Q1054" s="39">
        <v>0</v>
      </c>
      <c r="R1054" s="39">
        <v>0</v>
      </c>
      <c r="S1054" s="39">
        <v>0</v>
      </c>
      <c r="T1054" s="39">
        <v>0</v>
      </c>
      <c r="U1054" s="39">
        <v>0</v>
      </c>
      <c r="V1054" s="39">
        <v>0</v>
      </c>
      <c r="W1054" s="39">
        <v>0</v>
      </c>
      <c r="X1054" s="39">
        <v>0</v>
      </c>
      <c r="Y1054" s="39">
        <v>0</v>
      </c>
      <c r="Z1054" s="39">
        <v>0</v>
      </c>
      <c r="AA1054" s="39">
        <v>0</v>
      </c>
      <c r="AB1054" s="39">
        <v>0</v>
      </c>
      <c r="AC1054" s="39">
        <v>0</v>
      </c>
      <c r="AD1054" s="39">
        <v>0</v>
      </c>
      <c r="AE1054" s="39">
        <v>0</v>
      </c>
      <c r="AF1054" s="39">
        <v>0</v>
      </c>
      <c r="AG1054" s="39">
        <v>0</v>
      </c>
      <c r="AH1054" s="39"/>
      <c r="AI1054" s="39"/>
      <c r="AJ1054" s="40"/>
      <c r="AK1054" s="39">
        <f t="shared" si="80"/>
        <v>0</v>
      </c>
      <c r="AL1054" s="39">
        <f t="shared" si="83"/>
        <v>0</v>
      </c>
      <c r="AM1054" s="39">
        <f t="shared" si="84"/>
        <v>0</v>
      </c>
      <c r="AN1054" s="39">
        <f t="shared" si="81"/>
        <v>0</v>
      </c>
      <c r="AO1054" s="39">
        <f t="shared" si="82"/>
        <v>0</v>
      </c>
    </row>
    <row r="1055" spans="1:41" x14ac:dyDescent="0.3">
      <c r="A1055" s="20">
        <v>1000184670</v>
      </c>
      <c r="B1055" s="4" t="s">
        <v>147</v>
      </c>
      <c r="C1055" s="21"/>
      <c r="D1055" s="3"/>
      <c r="E1055" s="20">
        <v>1000184757</v>
      </c>
      <c r="F1055" s="4" t="s">
        <v>62</v>
      </c>
      <c r="G1055" s="21">
        <v>1000189800</v>
      </c>
      <c r="H1055" s="3" t="s">
        <v>95</v>
      </c>
      <c r="I1055" s="21">
        <v>1000189270</v>
      </c>
      <c r="J1055" s="3" t="s">
        <v>34</v>
      </c>
      <c r="K1055" s="20" t="s">
        <v>24</v>
      </c>
      <c r="L1055" s="39">
        <v>0</v>
      </c>
      <c r="M1055" s="39">
        <v>0</v>
      </c>
      <c r="N1055" s="39">
        <v>0</v>
      </c>
      <c r="O1055" s="39">
        <v>0</v>
      </c>
      <c r="P1055" s="39">
        <v>0</v>
      </c>
      <c r="Q1055" s="39">
        <v>0</v>
      </c>
      <c r="R1055" s="39">
        <v>0</v>
      </c>
      <c r="S1055" s="39">
        <v>0</v>
      </c>
      <c r="T1055" s="39">
        <v>0</v>
      </c>
      <c r="U1055" s="39">
        <v>0</v>
      </c>
      <c r="V1055" s="39">
        <v>0</v>
      </c>
      <c r="W1055" s="39">
        <v>0</v>
      </c>
      <c r="X1055" s="39">
        <v>0</v>
      </c>
      <c r="Y1055" s="39">
        <v>0</v>
      </c>
      <c r="Z1055" s="39">
        <v>0</v>
      </c>
      <c r="AA1055" s="39">
        <v>0</v>
      </c>
      <c r="AB1055" s="39">
        <v>0</v>
      </c>
      <c r="AC1055" s="39">
        <v>0</v>
      </c>
      <c r="AD1055" s="39">
        <v>0</v>
      </c>
      <c r="AE1055" s="39">
        <v>0</v>
      </c>
      <c r="AF1055" s="39">
        <v>0</v>
      </c>
      <c r="AG1055" s="39">
        <v>0</v>
      </c>
      <c r="AH1055" s="39"/>
      <c r="AI1055" s="39"/>
      <c r="AJ1055" s="40"/>
      <c r="AK1055" s="39">
        <f t="shared" si="80"/>
        <v>0</v>
      </c>
      <c r="AL1055" s="39">
        <f t="shared" si="83"/>
        <v>0</v>
      </c>
      <c r="AM1055" s="39">
        <f t="shared" si="84"/>
        <v>0</v>
      </c>
      <c r="AN1055" s="39">
        <f t="shared" si="81"/>
        <v>0</v>
      </c>
      <c r="AO1055" s="39">
        <f t="shared" si="82"/>
        <v>0</v>
      </c>
    </row>
    <row r="1056" spans="1:41" x14ac:dyDescent="0.3">
      <c r="A1056" s="20">
        <v>1000184670</v>
      </c>
      <c r="B1056" s="4" t="s">
        <v>147</v>
      </c>
      <c r="C1056" s="21"/>
      <c r="D1056" s="3"/>
      <c r="E1056" s="20">
        <v>1000184757</v>
      </c>
      <c r="F1056" s="4" t="s">
        <v>62</v>
      </c>
      <c r="G1056" s="21">
        <v>1000189800</v>
      </c>
      <c r="H1056" s="3" t="s">
        <v>95</v>
      </c>
      <c r="I1056" s="21">
        <v>1000189270</v>
      </c>
      <c r="J1056" s="3" t="s">
        <v>34</v>
      </c>
      <c r="K1056" s="20" t="s">
        <v>18</v>
      </c>
      <c r="L1056" s="39">
        <v>0</v>
      </c>
      <c r="M1056" s="39">
        <v>0</v>
      </c>
      <c r="N1056" s="39">
        <v>0</v>
      </c>
      <c r="O1056" s="39">
        <v>0</v>
      </c>
      <c r="P1056" s="39">
        <v>0</v>
      </c>
      <c r="Q1056" s="39">
        <v>0</v>
      </c>
      <c r="R1056" s="39">
        <v>0</v>
      </c>
      <c r="S1056" s="39">
        <v>0</v>
      </c>
      <c r="T1056" s="39">
        <v>0</v>
      </c>
      <c r="U1056" s="39">
        <v>0</v>
      </c>
      <c r="V1056" s="39">
        <v>0</v>
      </c>
      <c r="W1056" s="39">
        <v>0</v>
      </c>
      <c r="X1056" s="39">
        <v>0</v>
      </c>
      <c r="Y1056" s="39">
        <v>0</v>
      </c>
      <c r="Z1056" s="39">
        <v>0</v>
      </c>
      <c r="AA1056" s="39">
        <v>0</v>
      </c>
      <c r="AB1056" s="39">
        <v>0</v>
      </c>
      <c r="AC1056" s="39">
        <v>64.8</v>
      </c>
      <c r="AD1056" s="39">
        <v>0</v>
      </c>
      <c r="AE1056" s="39">
        <v>0</v>
      </c>
      <c r="AF1056" s="39">
        <v>0</v>
      </c>
      <c r="AG1056" s="39">
        <v>0</v>
      </c>
      <c r="AH1056" s="39"/>
      <c r="AI1056" s="39"/>
      <c r="AJ1056" s="40"/>
      <c r="AK1056" s="39">
        <f t="shared" si="80"/>
        <v>0</v>
      </c>
      <c r="AL1056" s="39">
        <f t="shared" si="83"/>
        <v>5.3999999999999995</v>
      </c>
      <c r="AM1056" s="39">
        <f t="shared" si="84"/>
        <v>10.799999999999999</v>
      </c>
      <c r="AN1056" s="39">
        <f t="shared" si="81"/>
        <v>6.4799999999999995</v>
      </c>
      <c r="AO1056" s="39">
        <f t="shared" si="82"/>
        <v>64.8</v>
      </c>
    </row>
    <row r="1057" spans="1:41" x14ac:dyDescent="0.3">
      <c r="A1057" s="20">
        <v>1000184670</v>
      </c>
      <c r="B1057" s="4" t="s">
        <v>147</v>
      </c>
      <c r="C1057" s="21"/>
      <c r="D1057" s="3"/>
      <c r="E1057" s="20">
        <v>1000184757</v>
      </c>
      <c r="F1057" s="4" t="s">
        <v>62</v>
      </c>
      <c r="G1057" s="21">
        <v>1000189800</v>
      </c>
      <c r="H1057" s="3" t="s">
        <v>95</v>
      </c>
      <c r="I1057" s="21">
        <v>1000189270</v>
      </c>
      <c r="J1057" s="3" t="s">
        <v>34</v>
      </c>
      <c r="K1057" s="20" t="s">
        <v>29</v>
      </c>
      <c r="L1057" s="39">
        <v>0</v>
      </c>
      <c r="M1057" s="39">
        <v>0</v>
      </c>
      <c r="N1057" s="39">
        <v>0</v>
      </c>
      <c r="O1057" s="39">
        <v>0</v>
      </c>
      <c r="P1057" s="39">
        <v>0</v>
      </c>
      <c r="Q1057" s="39">
        <v>0</v>
      </c>
      <c r="R1057" s="39">
        <v>0</v>
      </c>
      <c r="S1057" s="39">
        <v>0</v>
      </c>
      <c r="T1057" s="39">
        <v>0</v>
      </c>
      <c r="U1057" s="39">
        <v>0</v>
      </c>
      <c r="V1057" s="39">
        <v>0</v>
      </c>
      <c r="W1057" s="39">
        <v>0</v>
      </c>
      <c r="X1057" s="39">
        <v>0</v>
      </c>
      <c r="Y1057" s="39">
        <v>0</v>
      </c>
      <c r="Z1057" s="39">
        <v>0</v>
      </c>
      <c r="AA1057" s="39">
        <v>0</v>
      </c>
      <c r="AB1057" s="39">
        <v>248.4</v>
      </c>
      <c r="AC1057" s="39">
        <v>1551.96</v>
      </c>
      <c r="AD1057" s="39">
        <v>0</v>
      </c>
      <c r="AE1057" s="39">
        <v>0</v>
      </c>
      <c r="AF1057" s="39">
        <v>0</v>
      </c>
      <c r="AG1057" s="39">
        <v>0</v>
      </c>
      <c r="AH1057" s="39"/>
      <c r="AI1057" s="39"/>
      <c r="AJ1057" s="40"/>
      <c r="AK1057" s="39">
        <f t="shared" si="80"/>
        <v>0</v>
      </c>
      <c r="AL1057" s="39">
        <f t="shared" si="83"/>
        <v>150.03</v>
      </c>
      <c r="AM1057" s="39">
        <f t="shared" si="84"/>
        <v>300.06</v>
      </c>
      <c r="AN1057" s="39">
        <f t="shared" si="81"/>
        <v>180.036</v>
      </c>
      <c r="AO1057" s="39">
        <f t="shared" si="82"/>
        <v>1800.3600000000001</v>
      </c>
    </row>
    <row r="1058" spans="1:41" x14ac:dyDescent="0.3">
      <c r="A1058" s="20">
        <v>1000184670</v>
      </c>
      <c r="B1058" s="4" t="s">
        <v>147</v>
      </c>
      <c r="C1058" s="21"/>
      <c r="D1058" s="3"/>
      <c r="E1058" s="20">
        <v>1000184757</v>
      </c>
      <c r="F1058" s="4" t="s">
        <v>62</v>
      </c>
      <c r="G1058" s="21">
        <v>1000189800</v>
      </c>
      <c r="H1058" s="3" t="s">
        <v>95</v>
      </c>
      <c r="I1058" s="21">
        <v>1000189270</v>
      </c>
      <c r="J1058" s="3" t="s">
        <v>34</v>
      </c>
      <c r="K1058" s="20" t="s">
        <v>21</v>
      </c>
      <c r="L1058" s="39">
        <v>0</v>
      </c>
      <c r="M1058" s="39">
        <v>0</v>
      </c>
      <c r="N1058" s="39">
        <v>0</v>
      </c>
      <c r="O1058" s="39">
        <v>0</v>
      </c>
      <c r="P1058" s="39">
        <v>0</v>
      </c>
      <c r="Q1058" s="39">
        <v>0</v>
      </c>
      <c r="R1058" s="39">
        <v>0</v>
      </c>
      <c r="S1058" s="39">
        <v>0</v>
      </c>
      <c r="T1058" s="39">
        <v>0</v>
      </c>
      <c r="U1058" s="39">
        <v>0</v>
      </c>
      <c r="V1058" s="39">
        <v>0</v>
      </c>
      <c r="W1058" s="39">
        <v>0</v>
      </c>
      <c r="X1058" s="39">
        <v>0</v>
      </c>
      <c r="Y1058" s="39">
        <v>0</v>
      </c>
      <c r="Z1058" s="39">
        <v>0</v>
      </c>
      <c r="AA1058" s="39">
        <v>0</v>
      </c>
      <c r="AB1058" s="39">
        <v>0</v>
      </c>
      <c r="AC1058" s="39">
        <v>0</v>
      </c>
      <c r="AD1058" s="39">
        <v>0</v>
      </c>
      <c r="AE1058" s="39">
        <v>0</v>
      </c>
      <c r="AF1058" s="39">
        <v>0</v>
      </c>
      <c r="AG1058" s="39">
        <v>0</v>
      </c>
      <c r="AH1058" s="39"/>
      <c r="AI1058" s="39"/>
      <c r="AJ1058" s="40"/>
      <c r="AK1058" s="39">
        <f t="shared" si="80"/>
        <v>0</v>
      </c>
      <c r="AL1058" s="39">
        <f t="shared" si="83"/>
        <v>0</v>
      </c>
      <c r="AM1058" s="39">
        <f t="shared" si="84"/>
        <v>0</v>
      </c>
      <c r="AN1058" s="39">
        <f t="shared" si="81"/>
        <v>0</v>
      </c>
      <c r="AO1058" s="39">
        <f t="shared" si="82"/>
        <v>0</v>
      </c>
    </row>
    <row r="1059" spans="1:41" x14ac:dyDescent="0.3">
      <c r="A1059" s="20">
        <v>1000184670</v>
      </c>
      <c r="B1059" s="4" t="s">
        <v>147</v>
      </c>
      <c r="C1059" s="21"/>
      <c r="D1059" s="3"/>
      <c r="E1059" s="20">
        <v>1000184757</v>
      </c>
      <c r="F1059" s="4" t="s">
        <v>62</v>
      </c>
      <c r="G1059" s="21">
        <v>1000189800</v>
      </c>
      <c r="H1059" s="3" t="s">
        <v>95</v>
      </c>
      <c r="I1059" s="21">
        <v>1000189270</v>
      </c>
      <c r="J1059" s="3" t="s">
        <v>34</v>
      </c>
      <c r="K1059" s="20" t="s">
        <v>20</v>
      </c>
      <c r="L1059" s="39">
        <v>0</v>
      </c>
      <c r="M1059" s="39">
        <v>0</v>
      </c>
      <c r="N1059" s="39">
        <v>0</v>
      </c>
      <c r="O1059" s="39">
        <v>0</v>
      </c>
      <c r="P1059" s="39">
        <v>0</v>
      </c>
      <c r="Q1059" s="39">
        <v>0</v>
      </c>
      <c r="R1059" s="39">
        <v>0</v>
      </c>
      <c r="S1059" s="39">
        <v>0</v>
      </c>
      <c r="T1059" s="39">
        <v>0</v>
      </c>
      <c r="U1059" s="39">
        <v>0</v>
      </c>
      <c r="V1059" s="39">
        <v>0</v>
      </c>
      <c r="W1059" s="39">
        <v>0</v>
      </c>
      <c r="X1059" s="39">
        <v>0</v>
      </c>
      <c r="Y1059" s="39">
        <v>0</v>
      </c>
      <c r="Z1059" s="39">
        <v>0</v>
      </c>
      <c r="AA1059" s="39">
        <v>0</v>
      </c>
      <c r="AB1059" s="39">
        <v>0</v>
      </c>
      <c r="AC1059" s="39">
        <v>0</v>
      </c>
      <c r="AD1059" s="39">
        <v>0</v>
      </c>
      <c r="AE1059" s="39">
        <v>0</v>
      </c>
      <c r="AF1059" s="39">
        <v>0</v>
      </c>
      <c r="AG1059" s="39">
        <v>0</v>
      </c>
      <c r="AH1059" s="39"/>
      <c r="AI1059" s="39"/>
      <c r="AJ1059" s="40"/>
      <c r="AK1059" s="39">
        <f t="shared" si="80"/>
        <v>0</v>
      </c>
      <c r="AL1059" s="39">
        <f t="shared" si="83"/>
        <v>0</v>
      </c>
      <c r="AM1059" s="39">
        <f t="shared" si="84"/>
        <v>0</v>
      </c>
      <c r="AN1059" s="39">
        <f t="shared" si="81"/>
        <v>0</v>
      </c>
      <c r="AO1059" s="39">
        <f t="shared" si="82"/>
        <v>0</v>
      </c>
    </row>
    <row r="1060" spans="1:41" x14ac:dyDescent="0.3">
      <c r="A1060" s="20">
        <v>1000184670</v>
      </c>
      <c r="B1060" s="4" t="s">
        <v>147</v>
      </c>
      <c r="C1060" s="21"/>
      <c r="D1060" s="3"/>
      <c r="E1060" s="20">
        <v>1000184757</v>
      </c>
      <c r="F1060" s="4" t="s">
        <v>62</v>
      </c>
      <c r="G1060" s="21">
        <v>1000189800</v>
      </c>
      <c r="H1060" s="3" t="s">
        <v>95</v>
      </c>
      <c r="I1060" s="21">
        <v>1000189270</v>
      </c>
      <c r="J1060" s="3" t="s">
        <v>34</v>
      </c>
      <c r="K1060" s="20" t="s">
        <v>22</v>
      </c>
      <c r="L1060" s="39">
        <v>0</v>
      </c>
      <c r="M1060" s="39">
        <v>0</v>
      </c>
      <c r="N1060" s="39">
        <v>0</v>
      </c>
      <c r="O1060" s="39">
        <v>0</v>
      </c>
      <c r="P1060" s="39">
        <v>0</v>
      </c>
      <c r="Q1060" s="39">
        <v>0</v>
      </c>
      <c r="R1060" s="39">
        <v>0</v>
      </c>
      <c r="S1060" s="39">
        <v>0</v>
      </c>
      <c r="T1060" s="39">
        <v>0</v>
      </c>
      <c r="U1060" s="39">
        <v>0</v>
      </c>
      <c r="V1060" s="39">
        <v>0</v>
      </c>
      <c r="W1060" s="39">
        <v>0</v>
      </c>
      <c r="X1060" s="39">
        <v>0</v>
      </c>
      <c r="Y1060" s="39">
        <v>0</v>
      </c>
      <c r="Z1060" s="39">
        <v>0</v>
      </c>
      <c r="AA1060" s="39">
        <v>0</v>
      </c>
      <c r="AB1060" s="39">
        <v>0</v>
      </c>
      <c r="AC1060" s="39">
        <v>0</v>
      </c>
      <c r="AD1060" s="39">
        <v>0</v>
      </c>
      <c r="AE1060" s="39">
        <v>0</v>
      </c>
      <c r="AF1060" s="39">
        <v>0</v>
      </c>
      <c r="AG1060" s="39">
        <v>0</v>
      </c>
      <c r="AH1060" s="39"/>
      <c r="AI1060" s="39"/>
      <c r="AJ1060" s="40"/>
      <c r="AK1060" s="39">
        <f t="shared" si="80"/>
        <v>0</v>
      </c>
      <c r="AL1060" s="39">
        <f t="shared" si="83"/>
        <v>0</v>
      </c>
      <c r="AM1060" s="39">
        <f t="shared" si="84"/>
        <v>0</v>
      </c>
      <c r="AN1060" s="39">
        <f t="shared" si="81"/>
        <v>0</v>
      </c>
      <c r="AO1060" s="39">
        <f t="shared" si="82"/>
        <v>0</v>
      </c>
    </row>
    <row r="1061" spans="1:41" x14ac:dyDescent="0.3">
      <c r="A1061" s="20">
        <v>1000184670</v>
      </c>
      <c r="B1061" s="4" t="s">
        <v>147</v>
      </c>
      <c r="C1061" s="21"/>
      <c r="D1061" s="3"/>
      <c r="E1061" s="20">
        <v>1000184757</v>
      </c>
      <c r="F1061" s="4" t="s">
        <v>62</v>
      </c>
      <c r="G1061" s="21">
        <v>1000189800</v>
      </c>
      <c r="H1061" s="3" t="s">
        <v>95</v>
      </c>
      <c r="I1061" s="21">
        <v>1000189270</v>
      </c>
      <c r="J1061" s="3" t="s">
        <v>34</v>
      </c>
      <c r="K1061" s="20" t="s">
        <v>23</v>
      </c>
      <c r="L1061" s="39">
        <v>0</v>
      </c>
      <c r="M1061" s="39">
        <v>0</v>
      </c>
      <c r="N1061" s="39">
        <v>0</v>
      </c>
      <c r="O1061" s="39">
        <v>0</v>
      </c>
      <c r="P1061" s="39">
        <v>0</v>
      </c>
      <c r="Q1061" s="39">
        <v>0</v>
      </c>
      <c r="R1061" s="39">
        <v>0</v>
      </c>
      <c r="S1061" s="39">
        <v>0</v>
      </c>
      <c r="T1061" s="39">
        <v>0</v>
      </c>
      <c r="U1061" s="39">
        <v>0</v>
      </c>
      <c r="V1061" s="39">
        <v>0</v>
      </c>
      <c r="W1061" s="39">
        <v>0</v>
      </c>
      <c r="X1061" s="39">
        <v>0</v>
      </c>
      <c r="Y1061" s="39">
        <v>0</v>
      </c>
      <c r="Z1061" s="39">
        <v>0</v>
      </c>
      <c r="AA1061" s="39">
        <v>0</v>
      </c>
      <c r="AB1061" s="39">
        <v>0</v>
      </c>
      <c r="AC1061" s="39">
        <v>0</v>
      </c>
      <c r="AD1061" s="39">
        <v>0</v>
      </c>
      <c r="AE1061" s="39">
        <v>0</v>
      </c>
      <c r="AF1061" s="39">
        <v>0</v>
      </c>
      <c r="AG1061" s="39">
        <v>0</v>
      </c>
      <c r="AH1061" s="39"/>
      <c r="AI1061" s="39"/>
      <c r="AJ1061" s="40"/>
      <c r="AK1061" s="39">
        <f t="shared" si="80"/>
        <v>0</v>
      </c>
      <c r="AL1061" s="39">
        <f t="shared" si="83"/>
        <v>0</v>
      </c>
      <c r="AM1061" s="39">
        <f t="shared" si="84"/>
        <v>0</v>
      </c>
      <c r="AN1061" s="39">
        <f t="shared" si="81"/>
        <v>0</v>
      </c>
      <c r="AO1061" s="39">
        <f t="shared" si="82"/>
        <v>0</v>
      </c>
    </row>
    <row r="1062" spans="1:41" x14ac:dyDescent="0.3">
      <c r="A1062" s="20">
        <v>1000184670</v>
      </c>
      <c r="B1062" s="4" t="s">
        <v>147</v>
      </c>
      <c r="C1062" s="21"/>
      <c r="D1062" s="3"/>
      <c r="E1062" s="20">
        <v>1000184757</v>
      </c>
      <c r="F1062" s="4" t="s">
        <v>62</v>
      </c>
      <c r="G1062" s="21">
        <v>1000189800</v>
      </c>
      <c r="H1062" s="3" t="s">
        <v>95</v>
      </c>
      <c r="I1062" s="21">
        <v>1000189270</v>
      </c>
      <c r="J1062" s="3" t="s">
        <v>34</v>
      </c>
      <c r="K1062" s="20" t="s">
        <v>28</v>
      </c>
      <c r="L1062" s="39">
        <v>0</v>
      </c>
      <c r="M1062" s="39">
        <v>0</v>
      </c>
      <c r="N1062" s="39">
        <v>0</v>
      </c>
      <c r="O1062" s="39">
        <v>0</v>
      </c>
      <c r="P1062" s="39">
        <v>0</v>
      </c>
      <c r="Q1062" s="39">
        <v>0</v>
      </c>
      <c r="R1062" s="39">
        <v>0</v>
      </c>
      <c r="S1062" s="39">
        <v>0</v>
      </c>
      <c r="T1062" s="39">
        <v>0</v>
      </c>
      <c r="U1062" s="39">
        <v>0</v>
      </c>
      <c r="V1062" s="39">
        <v>0</v>
      </c>
      <c r="W1062" s="39">
        <v>0</v>
      </c>
      <c r="X1062" s="39">
        <v>0</v>
      </c>
      <c r="Y1062" s="39">
        <v>0</v>
      </c>
      <c r="Z1062" s="39">
        <v>0</v>
      </c>
      <c r="AA1062" s="39">
        <v>0</v>
      </c>
      <c r="AB1062" s="39">
        <v>0</v>
      </c>
      <c r="AC1062" s="39">
        <v>0</v>
      </c>
      <c r="AD1062" s="39">
        <v>0</v>
      </c>
      <c r="AE1062" s="39">
        <v>0</v>
      </c>
      <c r="AF1062" s="39">
        <v>0</v>
      </c>
      <c r="AG1062" s="39">
        <v>0</v>
      </c>
      <c r="AH1062" s="39"/>
      <c r="AI1062" s="39"/>
      <c r="AJ1062" s="40"/>
      <c r="AK1062" s="39">
        <f t="shared" si="80"/>
        <v>0</v>
      </c>
      <c r="AL1062" s="39">
        <f t="shared" si="83"/>
        <v>0</v>
      </c>
      <c r="AM1062" s="39">
        <f t="shared" si="84"/>
        <v>0</v>
      </c>
      <c r="AN1062" s="39">
        <f t="shared" si="81"/>
        <v>0</v>
      </c>
      <c r="AO1062" s="39">
        <f t="shared" si="82"/>
        <v>0</v>
      </c>
    </row>
    <row r="1063" spans="1:41" x14ac:dyDescent="0.3">
      <c r="A1063" s="20">
        <v>1000184670</v>
      </c>
      <c r="B1063" s="4" t="s">
        <v>147</v>
      </c>
      <c r="C1063" s="21"/>
      <c r="D1063" s="3"/>
      <c r="E1063" s="20">
        <v>1000184757</v>
      </c>
      <c r="F1063" s="4" t="s">
        <v>62</v>
      </c>
      <c r="G1063" s="21">
        <v>1000189800</v>
      </c>
      <c r="H1063" s="3" t="s">
        <v>95</v>
      </c>
      <c r="I1063" s="21">
        <v>1000189270</v>
      </c>
      <c r="J1063" s="3" t="s">
        <v>34</v>
      </c>
      <c r="K1063" s="20" t="s">
        <v>26</v>
      </c>
      <c r="L1063" s="39">
        <v>0</v>
      </c>
      <c r="M1063" s="39">
        <v>0</v>
      </c>
      <c r="N1063" s="39">
        <v>0</v>
      </c>
      <c r="O1063" s="39">
        <v>0</v>
      </c>
      <c r="P1063" s="39">
        <v>0</v>
      </c>
      <c r="Q1063" s="39">
        <v>0</v>
      </c>
      <c r="R1063" s="39">
        <v>0</v>
      </c>
      <c r="S1063" s="39">
        <v>0</v>
      </c>
      <c r="T1063" s="39">
        <v>0</v>
      </c>
      <c r="U1063" s="39">
        <v>599.4</v>
      </c>
      <c r="V1063" s="39">
        <v>0</v>
      </c>
      <c r="W1063" s="39">
        <v>0</v>
      </c>
      <c r="X1063" s="39">
        <v>0</v>
      </c>
      <c r="Y1063" s="39">
        <v>0</v>
      </c>
      <c r="Z1063" s="39">
        <v>0</v>
      </c>
      <c r="AA1063" s="39">
        <v>0</v>
      </c>
      <c r="AB1063" s="39">
        <v>0</v>
      </c>
      <c r="AC1063" s="39">
        <v>0</v>
      </c>
      <c r="AD1063" s="39">
        <v>0</v>
      </c>
      <c r="AE1063" s="39">
        <v>0</v>
      </c>
      <c r="AF1063" s="39">
        <v>0</v>
      </c>
      <c r="AG1063" s="39">
        <v>0</v>
      </c>
      <c r="AH1063" s="39"/>
      <c r="AI1063" s="39"/>
      <c r="AJ1063" s="40"/>
      <c r="AK1063" s="39">
        <f t="shared" si="80"/>
        <v>49.949999999999996</v>
      </c>
      <c r="AL1063" s="39">
        <f t="shared" si="83"/>
        <v>0</v>
      </c>
      <c r="AM1063" s="39">
        <f t="shared" si="84"/>
        <v>0</v>
      </c>
      <c r="AN1063" s="39">
        <f t="shared" si="81"/>
        <v>0</v>
      </c>
      <c r="AO1063" s="39">
        <f t="shared" si="82"/>
        <v>0</v>
      </c>
    </row>
    <row r="1064" spans="1:41" x14ac:dyDescent="0.3">
      <c r="A1064" s="20">
        <v>1000184670</v>
      </c>
      <c r="B1064" s="4" t="s">
        <v>147</v>
      </c>
      <c r="C1064" s="21"/>
      <c r="D1064" s="3"/>
      <c r="E1064" s="20">
        <v>1000184757</v>
      </c>
      <c r="F1064" s="4" t="s">
        <v>62</v>
      </c>
      <c r="G1064" s="21">
        <v>1000189800</v>
      </c>
      <c r="H1064" s="3" t="s">
        <v>95</v>
      </c>
      <c r="I1064" s="21">
        <v>1000189270</v>
      </c>
      <c r="J1064" s="3" t="s">
        <v>34</v>
      </c>
      <c r="K1064" s="20" t="s">
        <v>27</v>
      </c>
      <c r="L1064" s="39">
        <v>0</v>
      </c>
      <c r="M1064" s="39">
        <v>0</v>
      </c>
      <c r="N1064" s="39">
        <v>0</v>
      </c>
      <c r="O1064" s="39">
        <v>0</v>
      </c>
      <c r="P1064" s="39">
        <v>0</v>
      </c>
      <c r="Q1064" s="39">
        <v>0</v>
      </c>
      <c r="R1064" s="39">
        <v>0</v>
      </c>
      <c r="S1064" s="39">
        <v>0</v>
      </c>
      <c r="T1064" s="39">
        <v>0</v>
      </c>
      <c r="U1064" s="39">
        <v>0</v>
      </c>
      <c r="V1064" s="39">
        <v>0</v>
      </c>
      <c r="W1064" s="39">
        <v>0</v>
      </c>
      <c r="X1064" s="39">
        <v>0</v>
      </c>
      <c r="Y1064" s="39">
        <v>0</v>
      </c>
      <c r="Z1064" s="39">
        <v>0</v>
      </c>
      <c r="AA1064" s="39">
        <v>0</v>
      </c>
      <c r="AB1064" s="39">
        <v>0</v>
      </c>
      <c r="AC1064" s="39">
        <v>297.63</v>
      </c>
      <c r="AD1064" s="39">
        <v>0</v>
      </c>
      <c r="AE1064" s="39">
        <v>0</v>
      </c>
      <c r="AF1064" s="39">
        <v>0</v>
      </c>
      <c r="AG1064" s="39">
        <v>0</v>
      </c>
      <c r="AH1064" s="39"/>
      <c r="AI1064" s="39"/>
      <c r="AJ1064" s="40"/>
      <c r="AK1064" s="39">
        <f t="shared" si="80"/>
        <v>0</v>
      </c>
      <c r="AL1064" s="39">
        <f t="shared" si="83"/>
        <v>24.802499999999998</v>
      </c>
      <c r="AM1064" s="39">
        <f t="shared" si="84"/>
        <v>49.604999999999997</v>
      </c>
      <c r="AN1064" s="39">
        <f t="shared" si="81"/>
        <v>29.762999999999998</v>
      </c>
      <c r="AO1064" s="39">
        <f t="shared" si="82"/>
        <v>297.63</v>
      </c>
    </row>
    <row r="1065" spans="1:41" x14ac:dyDescent="0.3">
      <c r="A1065" s="20">
        <v>1000184670</v>
      </c>
      <c r="B1065" s="4" t="s">
        <v>147</v>
      </c>
      <c r="C1065" s="21"/>
      <c r="D1065" s="3"/>
      <c r="E1065" s="20">
        <v>1000184757</v>
      </c>
      <c r="F1065" s="4" t="s">
        <v>62</v>
      </c>
      <c r="G1065" s="21">
        <v>1000189800</v>
      </c>
      <c r="H1065" s="3" t="s">
        <v>95</v>
      </c>
      <c r="I1065" s="21">
        <v>1000189270</v>
      </c>
      <c r="J1065" s="3" t="s">
        <v>34</v>
      </c>
      <c r="K1065" s="20" t="s">
        <v>25</v>
      </c>
      <c r="L1065" s="39">
        <v>0</v>
      </c>
      <c r="M1065" s="39">
        <v>0</v>
      </c>
      <c r="N1065" s="39">
        <v>0</v>
      </c>
      <c r="O1065" s="39">
        <v>0</v>
      </c>
      <c r="P1065" s="39">
        <v>0</v>
      </c>
      <c r="Q1065" s="39">
        <v>0</v>
      </c>
      <c r="R1065" s="39">
        <v>0</v>
      </c>
      <c r="S1065" s="39">
        <v>0</v>
      </c>
      <c r="T1065" s="39">
        <v>0</v>
      </c>
      <c r="U1065" s="39">
        <v>0</v>
      </c>
      <c r="V1065" s="39">
        <v>0</v>
      </c>
      <c r="W1065" s="39">
        <v>0</v>
      </c>
      <c r="X1065" s="39">
        <v>0</v>
      </c>
      <c r="Y1065" s="39">
        <v>0</v>
      </c>
      <c r="Z1065" s="39">
        <v>0</v>
      </c>
      <c r="AA1065" s="39">
        <v>0</v>
      </c>
      <c r="AB1065" s="39">
        <v>0</v>
      </c>
      <c r="AC1065" s="39">
        <v>0</v>
      </c>
      <c r="AD1065" s="39">
        <v>0</v>
      </c>
      <c r="AE1065" s="39">
        <v>0</v>
      </c>
      <c r="AF1065" s="39">
        <v>0</v>
      </c>
      <c r="AG1065" s="39">
        <v>0</v>
      </c>
      <c r="AH1065" s="39"/>
      <c r="AI1065" s="39"/>
      <c r="AJ1065" s="40"/>
      <c r="AK1065" s="39">
        <f t="shared" si="80"/>
        <v>0</v>
      </c>
      <c r="AL1065" s="39">
        <f t="shared" si="83"/>
        <v>0</v>
      </c>
      <c r="AM1065" s="39">
        <f t="shared" si="84"/>
        <v>0</v>
      </c>
      <c r="AN1065" s="39">
        <f t="shared" si="81"/>
        <v>0</v>
      </c>
      <c r="AO1065" s="39">
        <f t="shared" si="82"/>
        <v>0</v>
      </c>
    </row>
    <row r="1066" spans="1:41" x14ac:dyDescent="0.3">
      <c r="A1066" s="20">
        <v>1000184670</v>
      </c>
      <c r="B1066" s="4" t="s">
        <v>147</v>
      </c>
      <c r="C1066" s="21"/>
      <c r="D1066" s="3"/>
      <c r="E1066" s="20">
        <v>1000184758</v>
      </c>
      <c r="F1066" s="4" t="s">
        <v>55</v>
      </c>
      <c r="G1066" s="21">
        <v>1000189801</v>
      </c>
      <c r="H1066" s="3" t="s">
        <v>87</v>
      </c>
      <c r="I1066" s="21">
        <v>1000189270</v>
      </c>
      <c r="J1066" s="3" t="s">
        <v>34</v>
      </c>
      <c r="K1066" s="20" t="s">
        <v>124</v>
      </c>
      <c r="L1066" s="39">
        <v>0</v>
      </c>
      <c r="M1066" s="39">
        <v>0</v>
      </c>
      <c r="N1066" s="39">
        <v>0</v>
      </c>
      <c r="O1066" s="39">
        <v>0</v>
      </c>
      <c r="P1066" s="39">
        <v>0</v>
      </c>
      <c r="Q1066" s="39">
        <v>0</v>
      </c>
      <c r="R1066" s="39">
        <v>0</v>
      </c>
      <c r="S1066" s="39">
        <v>0</v>
      </c>
      <c r="T1066" s="39">
        <v>0</v>
      </c>
      <c r="U1066" s="39">
        <v>0</v>
      </c>
      <c r="V1066" s="39">
        <v>0</v>
      </c>
      <c r="W1066" s="39">
        <v>0</v>
      </c>
      <c r="X1066" s="39">
        <v>0</v>
      </c>
      <c r="Y1066" s="39">
        <v>0</v>
      </c>
      <c r="Z1066" s="39">
        <v>0</v>
      </c>
      <c r="AA1066" s="39">
        <v>0</v>
      </c>
      <c r="AB1066" s="39">
        <v>0</v>
      </c>
      <c r="AC1066" s="39">
        <v>0</v>
      </c>
      <c r="AD1066" s="39">
        <v>0</v>
      </c>
      <c r="AE1066" s="39">
        <v>0</v>
      </c>
      <c r="AF1066" s="39">
        <v>0</v>
      </c>
      <c r="AG1066" s="39">
        <v>0</v>
      </c>
      <c r="AH1066" s="39"/>
      <c r="AI1066" s="39"/>
      <c r="AJ1066" s="40"/>
      <c r="AK1066" s="39">
        <f t="shared" si="80"/>
        <v>0</v>
      </c>
      <c r="AL1066" s="39">
        <f t="shared" si="83"/>
        <v>0</v>
      </c>
      <c r="AM1066" s="39">
        <f t="shared" si="84"/>
        <v>0</v>
      </c>
      <c r="AN1066" s="39">
        <f t="shared" si="81"/>
        <v>0</v>
      </c>
      <c r="AO1066" s="39">
        <f t="shared" si="82"/>
        <v>0</v>
      </c>
    </row>
    <row r="1067" spans="1:41" x14ac:dyDescent="0.3">
      <c r="A1067" s="20">
        <v>1000184670</v>
      </c>
      <c r="B1067" s="4" t="s">
        <v>147</v>
      </c>
      <c r="C1067" s="21"/>
      <c r="D1067" s="3"/>
      <c r="E1067" s="20">
        <v>1000184758</v>
      </c>
      <c r="F1067" s="4" t="s">
        <v>55</v>
      </c>
      <c r="G1067" s="21">
        <v>1000189801</v>
      </c>
      <c r="H1067" s="3" t="s">
        <v>87</v>
      </c>
      <c r="I1067" s="21">
        <v>1000189270</v>
      </c>
      <c r="J1067" s="3" t="s">
        <v>34</v>
      </c>
      <c r="K1067" s="20" t="s">
        <v>13</v>
      </c>
      <c r="L1067" s="39">
        <v>0</v>
      </c>
      <c r="M1067" s="39">
        <v>0</v>
      </c>
      <c r="N1067" s="39">
        <v>0</v>
      </c>
      <c r="O1067" s="39">
        <v>0</v>
      </c>
      <c r="P1067" s="39">
        <v>0</v>
      </c>
      <c r="Q1067" s="39">
        <v>0</v>
      </c>
      <c r="R1067" s="39">
        <v>0</v>
      </c>
      <c r="S1067" s="39">
        <v>0</v>
      </c>
      <c r="T1067" s="39">
        <v>0</v>
      </c>
      <c r="U1067" s="39">
        <v>0</v>
      </c>
      <c r="V1067" s="39">
        <v>0</v>
      </c>
      <c r="W1067" s="39">
        <v>0</v>
      </c>
      <c r="X1067" s="39">
        <v>0</v>
      </c>
      <c r="Y1067" s="39">
        <v>0</v>
      </c>
      <c r="Z1067" s="39">
        <v>0</v>
      </c>
      <c r="AA1067" s="39">
        <v>0</v>
      </c>
      <c r="AB1067" s="39">
        <v>0</v>
      </c>
      <c r="AC1067" s="39">
        <v>0</v>
      </c>
      <c r="AD1067" s="39">
        <v>0</v>
      </c>
      <c r="AE1067" s="39">
        <v>0</v>
      </c>
      <c r="AF1067" s="39">
        <v>0</v>
      </c>
      <c r="AG1067" s="39">
        <v>0</v>
      </c>
      <c r="AH1067" s="39"/>
      <c r="AI1067" s="39"/>
      <c r="AJ1067" s="40"/>
      <c r="AK1067" s="39">
        <f t="shared" si="80"/>
        <v>0</v>
      </c>
      <c r="AL1067" s="39">
        <f t="shared" si="83"/>
        <v>0</v>
      </c>
      <c r="AM1067" s="39">
        <f t="shared" si="84"/>
        <v>0</v>
      </c>
      <c r="AN1067" s="39">
        <f t="shared" si="81"/>
        <v>0</v>
      </c>
      <c r="AO1067" s="39">
        <f t="shared" si="82"/>
        <v>0</v>
      </c>
    </row>
    <row r="1068" spans="1:41" x14ac:dyDescent="0.3">
      <c r="A1068" s="20">
        <v>1000184670</v>
      </c>
      <c r="B1068" s="4" t="s">
        <v>147</v>
      </c>
      <c r="C1068" s="21"/>
      <c r="D1068" s="3"/>
      <c r="E1068" s="20">
        <v>1000184758</v>
      </c>
      <c r="F1068" s="4" t="s">
        <v>55</v>
      </c>
      <c r="G1068" s="21">
        <v>1000189801</v>
      </c>
      <c r="H1068" s="3" t="s">
        <v>87</v>
      </c>
      <c r="I1068" s="21">
        <v>1000189270</v>
      </c>
      <c r="J1068" s="3" t="s">
        <v>34</v>
      </c>
      <c r="K1068" s="20" t="s">
        <v>14</v>
      </c>
      <c r="L1068" s="39">
        <v>0</v>
      </c>
      <c r="M1068" s="39">
        <v>0</v>
      </c>
      <c r="N1068" s="39">
        <v>0</v>
      </c>
      <c r="O1068" s="39">
        <v>0</v>
      </c>
      <c r="P1068" s="39">
        <v>0</v>
      </c>
      <c r="Q1068" s="39">
        <v>0</v>
      </c>
      <c r="R1068" s="39">
        <v>0</v>
      </c>
      <c r="S1068" s="39">
        <v>0</v>
      </c>
      <c r="T1068" s="39">
        <v>0</v>
      </c>
      <c r="U1068" s="39">
        <v>0</v>
      </c>
      <c r="V1068" s="39">
        <v>0</v>
      </c>
      <c r="W1068" s="39">
        <v>0</v>
      </c>
      <c r="X1068" s="39">
        <v>0</v>
      </c>
      <c r="Y1068" s="39">
        <v>0</v>
      </c>
      <c r="Z1068" s="39">
        <v>0</v>
      </c>
      <c r="AA1068" s="39">
        <v>0</v>
      </c>
      <c r="AB1068" s="39">
        <v>0</v>
      </c>
      <c r="AC1068" s="39">
        <v>0</v>
      </c>
      <c r="AD1068" s="39">
        <v>0</v>
      </c>
      <c r="AE1068" s="39">
        <v>0</v>
      </c>
      <c r="AF1068" s="39">
        <v>0</v>
      </c>
      <c r="AG1068" s="39">
        <v>0</v>
      </c>
      <c r="AH1068" s="39"/>
      <c r="AI1068" s="39"/>
      <c r="AJ1068" s="40"/>
      <c r="AK1068" s="39">
        <f t="shared" si="80"/>
        <v>0</v>
      </c>
      <c r="AL1068" s="39">
        <f t="shared" si="83"/>
        <v>0</v>
      </c>
      <c r="AM1068" s="39">
        <f t="shared" si="84"/>
        <v>0</v>
      </c>
      <c r="AN1068" s="39">
        <f t="shared" si="81"/>
        <v>0</v>
      </c>
      <c r="AO1068" s="39">
        <f t="shared" si="82"/>
        <v>0</v>
      </c>
    </row>
    <row r="1069" spans="1:41" x14ac:dyDescent="0.3">
      <c r="A1069" s="20">
        <v>1000184670</v>
      </c>
      <c r="B1069" s="4" t="s">
        <v>147</v>
      </c>
      <c r="C1069" s="21"/>
      <c r="D1069" s="3"/>
      <c r="E1069" s="20">
        <v>1000184758</v>
      </c>
      <c r="F1069" s="4" t="s">
        <v>55</v>
      </c>
      <c r="G1069" s="21">
        <v>1000189801</v>
      </c>
      <c r="H1069" s="3" t="s">
        <v>87</v>
      </c>
      <c r="I1069" s="21">
        <v>1000189270</v>
      </c>
      <c r="J1069" s="3" t="s">
        <v>34</v>
      </c>
      <c r="K1069" s="20" t="s">
        <v>16</v>
      </c>
      <c r="L1069" s="39">
        <v>0</v>
      </c>
      <c r="M1069" s="39">
        <v>0</v>
      </c>
      <c r="N1069" s="39">
        <v>0</v>
      </c>
      <c r="O1069" s="39">
        <v>0</v>
      </c>
      <c r="P1069" s="39">
        <v>0</v>
      </c>
      <c r="Q1069" s="39">
        <v>0</v>
      </c>
      <c r="R1069" s="39">
        <v>0</v>
      </c>
      <c r="S1069" s="39">
        <v>0</v>
      </c>
      <c r="T1069" s="39">
        <v>0</v>
      </c>
      <c r="U1069" s="39">
        <v>0</v>
      </c>
      <c r="V1069" s="39">
        <v>0</v>
      </c>
      <c r="W1069" s="39">
        <v>0</v>
      </c>
      <c r="X1069" s="39">
        <v>0</v>
      </c>
      <c r="Y1069" s="39">
        <v>0</v>
      </c>
      <c r="Z1069" s="39">
        <v>0</v>
      </c>
      <c r="AA1069" s="39">
        <v>0</v>
      </c>
      <c r="AB1069" s="39">
        <v>0</v>
      </c>
      <c r="AC1069" s="39">
        <v>0</v>
      </c>
      <c r="AD1069" s="39">
        <v>0</v>
      </c>
      <c r="AE1069" s="39">
        <v>0</v>
      </c>
      <c r="AF1069" s="39">
        <v>0</v>
      </c>
      <c r="AG1069" s="39">
        <v>0</v>
      </c>
      <c r="AH1069" s="39"/>
      <c r="AI1069" s="39"/>
      <c r="AJ1069" s="40"/>
      <c r="AK1069" s="39">
        <f t="shared" si="80"/>
        <v>0</v>
      </c>
      <c r="AL1069" s="39">
        <f t="shared" si="83"/>
        <v>0</v>
      </c>
      <c r="AM1069" s="39">
        <f t="shared" si="84"/>
        <v>0</v>
      </c>
      <c r="AN1069" s="39">
        <f t="shared" si="81"/>
        <v>0</v>
      </c>
      <c r="AO1069" s="39">
        <f t="shared" si="82"/>
        <v>0</v>
      </c>
    </row>
    <row r="1070" spans="1:41" x14ac:dyDescent="0.3">
      <c r="A1070" s="20">
        <v>1000184670</v>
      </c>
      <c r="B1070" s="4" t="s">
        <v>147</v>
      </c>
      <c r="C1070" s="21"/>
      <c r="D1070" s="3"/>
      <c r="E1070" s="20">
        <v>1000184758</v>
      </c>
      <c r="F1070" s="4" t="s">
        <v>55</v>
      </c>
      <c r="G1070" s="21">
        <v>1000189801</v>
      </c>
      <c r="H1070" s="3" t="s">
        <v>87</v>
      </c>
      <c r="I1070" s="21">
        <v>1000189270</v>
      </c>
      <c r="J1070" s="3" t="s">
        <v>34</v>
      </c>
      <c r="K1070" s="20" t="s">
        <v>15</v>
      </c>
      <c r="L1070" s="39">
        <v>0</v>
      </c>
      <c r="M1070" s="39">
        <v>0</v>
      </c>
      <c r="N1070" s="39">
        <v>0</v>
      </c>
      <c r="O1070" s="39">
        <v>0</v>
      </c>
      <c r="P1070" s="39">
        <v>0</v>
      </c>
      <c r="Q1070" s="39">
        <v>0</v>
      </c>
      <c r="R1070" s="39">
        <v>0</v>
      </c>
      <c r="S1070" s="39">
        <v>0</v>
      </c>
      <c r="T1070" s="39">
        <v>0</v>
      </c>
      <c r="U1070" s="39">
        <v>0</v>
      </c>
      <c r="V1070" s="39">
        <v>0</v>
      </c>
      <c r="W1070" s="39">
        <v>0</v>
      </c>
      <c r="X1070" s="39">
        <v>0</v>
      </c>
      <c r="Y1070" s="39">
        <v>0</v>
      </c>
      <c r="Z1070" s="39">
        <v>0</v>
      </c>
      <c r="AA1070" s="39">
        <v>0</v>
      </c>
      <c r="AB1070" s="39">
        <v>0</v>
      </c>
      <c r="AC1070" s="39">
        <v>0</v>
      </c>
      <c r="AD1070" s="39">
        <v>0</v>
      </c>
      <c r="AE1070" s="39">
        <v>0</v>
      </c>
      <c r="AF1070" s="39">
        <v>0</v>
      </c>
      <c r="AG1070" s="39">
        <v>0</v>
      </c>
      <c r="AH1070" s="39"/>
      <c r="AI1070" s="39"/>
      <c r="AJ1070" s="40"/>
      <c r="AK1070" s="39">
        <f t="shared" si="80"/>
        <v>0</v>
      </c>
      <c r="AL1070" s="39">
        <f t="shared" si="83"/>
        <v>0</v>
      </c>
      <c r="AM1070" s="39">
        <f t="shared" si="84"/>
        <v>0</v>
      </c>
      <c r="AN1070" s="39">
        <f t="shared" si="81"/>
        <v>0</v>
      </c>
      <c r="AO1070" s="39">
        <f t="shared" si="82"/>
        <v>0</v>
      </c>
    </row>
    <row r="1071" spans="1:41" x14ac:dyDescent="0.3">
      <c r="A1071" s="20">
        <v>1000184670</v>
      </c>
      <c r="B1071" s="4" t="s">
        <v>147</v>
      </c>
      <c r="C1071" s="21"/>
      <c r="D1071" s="3"/>
      <c r="E1071" s="20">
        <v>1000184758</v>
      </c>
      <c r="F1071" s="4" t="s">
        <v>55</v>
      </c>
      <c r="G1071" s="21">
        <v>1000189801</v>
      </c>
      <c r="H1071" s="3" t="s">
        <v>87</v>
      </c>
      <c r="I1071" s="21">
        <v>1000189270</v>
      </c>
      <c r="J1071" s="3" t="s">
        <v>34</v>
      </c>
      <c r="K1071" s="20" t="s">
        <v>33</v>
      </c>
      <c r="L1071" s="39">
        <v>0</v>
      </c>
      <c r="M1071" s="39">
        <v>0</v>
      </c>
      <c r="N1071" s="39">
        <v>0</v>
      </c>
      <c r="O1071" s="39">
        <v>0</v>
      </c>
      <c r="P1071" s="39">
        <v>0</v>
      </c>
      <c r="Q1071" s="39">
        <v>0</v>
      </c>
      <c r="R1071" s="39">
        <v>0</v>
      </c>
      <c r="S1071" s="39">
        <v>0</v>
      </c>
      <c r="T1071" s="39">
        <v>0</v>
      </c>
      <c r="U1071" s="39">
        <v>0</v>
      </c>
      <c r="V1071" s="39">
        <v>0</v>
      </c>
      <c r="W1071" s="39">
        <v>0</v>
      </c>
      <c r="X1071" s="39">
        <v>0</v>
      </c>
      <c r="Y1071" s="39">
        <v>0</v>
      </c>
      <c r="Z1071" s="39">
        <v>0</v>
      </c>
      <c r="AA1071" s="39">
        <v>0</v>
      </c>
      <c r="AB1071" s="39">
        <v>0</v>
      </c>
      <c r="AC1071" s="39">
        <v>0</v>
      </c>
      <c r="AD1071" s="39">
        <v>0</v>
      </c>
      <c r="AE1071" s="39">
        <v>0</v>
      </c>
      <c r="AF1071" s="39">
        <v>0</v>
      </c>
      <c r="AG1071" s="39">
        <v>0</v>
      </c>
      <c r="AH1071" s="39"/>
      <c r="AI1071" s="39"/>
      <c r="AJ1071" s="40"/>
      <c r="AK1071" s="39">
        <f t="shared" si="80"/>
        <v>0</v>
      </c>
      <c r="AL1071" s="39">
        <f t="shared" si="83"/>
        <v>0</v>
      </c>
      <c r="AM1071" s="39">
        <f t="shared" si="84"/>
        <v>0</v>
      </c>
      <c r="AN1071" s="39">
        <f t="shared" si="81"/>
        <v>0</v>
      </c>
      <c r="AO1071" s="39">
        <f t="shared" si="82"/>
        <v>0</v>
      </c>
    </row>
    <row r="1072" spans="1:41" x14ac:dyDescent="0.3">
      <c r="A1072" s="20">
        <v>1000184670</v>
      </c>
      <c r="B1072" s="4" t="s">
        <v>147</v>
      </c>
      <c r="C1072" s="21"/>
      <c r="D1072" s="3"/>
      <c r="E1072" s="20">
        <v>1000184758</v>
      </c>
      <c r="F1072" s="4" t="s">
        <v>55</v>
      </c>
      <c r="G1072" s="21">
        <v>1000189801</v>
      </c>
      <c r="H1072" s="3" t="s">
        <v>87</v>
      </c>
      <c r="I1072" s="21">
        <v>1000189270</v>
      </c>
      <c r="J1072" s="3" t="s">
        <v>34</v>
      </c>
      <c r="K1072" s="20" t="s">
        <v>19</v>
      </c>
      <c r="L1072" s="39">
        <v>0</v>
      </c>
      <c r="M1072" s="39">
        <v>0</v>
      </c>
      <c r="N1072" s="39">
        <v>0</v>
      </c>
      <c r="O1072" s="39">
        <v>0</v>
      </c>
      <c r="P1072" s="39">
        <v>0</v>
      </c>
      <c r="Q1072" s="39">
        <v>0</v>
      </c>
      <c r="R1072" s="39">
        <v>0</v>
      </c>
      <c r="S1072" s="39">
        <v>0</v>
      </c>
      <c r="T1072" s="39">
        <v>0</v>
      </c>
      <c r="U1072" s="39">
        <v>0</v>
      </c>
      <c r="V1072" s="39">
        <v>0</v>
      </c>
      <c r="W1072" s="39">
        <v>0</v>
      </c>
      <c r="X1072" s="39">
        <v>0</v>
      </c>
      <c r="Y1072" s="39">
        <v>0</v>
      </c>
      <c r="Z1072" s="39">
        <v>0</v>
      </c>
      <c r="AA1072" s="39">
        <v>0</v>
      </c>
      <c r="AB1072" s="39">
        <v>0</v>
      </c>
      <c r="AC1072" s="39">
        <v>0</v>
      </c>
      <c r="AD1072" s="39">
        <v>0</v>
      </c>
      <c r="AE1072" s="39">
        <v>0</v>
      </c>
      <c r="AF1072" s="39">
        <v>0</v>
      </c>
      <c r="AG1072" s="39">
        <v>0</v>
      </c>
      <c r="AH1072" s="39"/>
      <c r="AI1072" s="39"/>
      <c r="AJ1072" s="40"/>
      <c r="AK1072" s="39">
        <f t="shared" ref="AK1072:AK1135" si="85">AVERAGE(L1072:W1072)</f>
        <v>0</v>
      </c>
      <c r="AL1072" s="39">
        <f t="shared" si="83"/>
        <v>0</v>
      </c>
      <c r="AM1072" s="39">
        <f t="shared" si="84"/>
        <v>0</v>
      </c>
      <c r="AN1072" s="39">
        <f t="shared" ref="AN1072:AN1135" si="86">AVERAGE(X1072:AI1072)</f>
        <v>0</v>
      </c>
      <c r="AO1072" s="39">
        <f t="shared" ref="AO1072:AO1135" si="87">SUM(X1072:AI1072)</f>
        <v>0</v>
      </c>
    </row>
    <row r="1073" spans="1:41" x14ac:dyDescent="0.3">
      <c r="A1073" s="20">
        <v>1000184670</v>
      </c>
      <c r="B1073" s="4" t="s">
        <v>147</v>
      </c>
      <c r="C1073" s="21"/>
      <c r="D1073" s="3"/>
      <c r="E1073" s="20">
        <v>1000184758</v>
      </c>
      <c r="F1073" s="4" t="s">
        <v>55</v>
      </c>
      <c r="G1073" s="21">
        <v>1000189801</v>
      </c>
      <c r="H1073" s="3" t="s">
        <v>87</v>
      </c>
      <c r="I1073" s="21">
        <v>1000189270</v>
      </c>
      <c r="J1073" s="3" t="s">
        <v>34</v>
      </c>
      <c r="K1073" s="20" t="s">
        <v>17</v>
      </c>
      <c r="L1073" s="39">
        <v>0</v>
      </c>
      <c r="M1073" s="39">
        <v>0</v>
      </c>
      <c r="N1073" s="39">
        <v>0</v>
      </c>
      <c r="O1073" s="39">
        <v>0</v>
      </c>
      <c r="P1073" s="39">
        <v>0</v>
      </c>
      <c r="Q1073" s="39">
        <v>0</v>
      </c>
      <c r="R1073" s="39">
        <v>0</v>
      </c>
      <c r="S1073" s="39">
        <v>0</v>
      </c>
      <c r="T1073" s="39">
        <v>0</v>
      </c>
      <c r="U1073" s="39">
        <v>0</v>
      </c>
      <c r="V1073" s="39">
        <v>0</v>
      </c>
      <c r="W1073" s="39">
        <v>0</v>
      </c>
      <c r="X1073" s="39">
        <v>0</v>
      </c>
      <c r="Y1073" s="39">
        <v>0</v>
      </c>
      <c r="Z1073" s="39">
        <v>0</v>
      </c>
      <c r="AA1073" s="39">
        <v>0</v>
      </c>
      <c r="AB1073" s="39">
        <v>0</v>
      </c>
      <c r="AC1073" s="39">
        <v>0</v>
      </c>
      <c r="AD1073" s="39">
        <v>0</v>
      </c>
      <c r="AE1073" s="39">
        <v>0</v>
      </c>
      <c r="AF1073" s="39">
        <v>0</v>
      </c>
      <c r="AG1073" s="39">
        <v>0</v>
      </c>
      <c r="AH1073" s="39"/>
      <c r="AI1073" s="39"/>
      <c r="AJ1073" s="40"/>
      <c r="AK1073" s="39">
        <f t="shared" si="85"/>
        <v>0</v>
      </c>
      <c r="AL1073" s="39">
        <f t="shared" si="83"/>
        <v>0</v>
      </c>
      <c r="AM1073" s="39">
        <f t="shared" si="84"/>
        <v>0</v>
      </c>
      <c r="AN1073" s="39">
        <f t="shared" si="86"/>
        <v>0</v>
      </c>
      <c r="AO1073" s="39">
        <f t="shared" si="87"/>
        <v>0</v>
      </c>
    </row>
    <row r="1074" spans="1:41" x14ac:dyDescent="0.3">
      <c r="A1074" s="20">
        <v>1000184670</v>
      </c>
      <c r="B1074" s="4" t="s">
        <v>147</v>
      </c>
      <c r="C1074" s="21"/>
      <c r="D1074" s="3"/>
      <c r="E1074" s="20">
        <v>1000184758</v>
      </c>
      <c r="F1074" s="4" t="s">
        <v>55</v>
      </c>
      <c r="G1074" s="21">
        <v>1000189801</v>
      </c>
      <c r="H1074" s="3" t="s">
        <v>87</v>
      </c>
      <c r="I1074" s="21">
        <v>1000189270</v>
      </c>
      <c r="J1074" s="3" t="s">
        <v>34</v>
      </c>
      <c r="K1074" s="20" t="s">
        <v>24</v>
      </c>
      <c r="L1074" s="39">
        <v>0</v>
      </c>
      <c r="M1074" s="39">
        <v>0</v>
      </c>
      <c r="N1074" s="39">
        <v>0</v>
      </c>
      <c r="O1074" s="39">
        <v>0</v>
      </c>
      <c r="P1074" s="39">
        <v>0</v>
      </c>
      <c r="Q1074" s="39">
        <v>0</v>
      </c>
      <c r="R1074" s="39">
        <v>0</v>
      </c>
      <c r="S1074" s="39">
        <v>0</v>
      </c>
      <c r="T1074" s="39">
        <v>0</v>
      </c>
      <c r="U1074" s="39">
        <v>0</v>
      </c>
      <c r="V1074" s="39">
        <v>0</v>
      </c>
      <c r="W1074" s="39">
        <v>0</v>
      </c>
      <c r="X1074" s="39">
        <v>0</v>
      </c>
      <c r="Y1074" s="39">
        <v>0</v>
      </c>
      <c r="Z1074" s="39">
        <v>0</v>
      </c>
      <c r="AA1074" s="39">
        <v>0</v>
      </c>
      <c r="AB1074" s="39">
        <v>0</v>
      </c>
      <c r="AC1074" s="39">
        <v>0</v>
      </c>
      <c r="AD1074" s="39">
        <v>0</v>
      </c>
      <c r="AE1074" s="39">
        <v>0</v>
      </c>
      <c r="AF1074" s="39">
        <v>0</v>
      </c>
      <c r="AG1074" s="39">
        <v>0</v>
      </c>
      <c r="AH1074" s="39"/>
      <c r="AI1074" s="39"/>
      <c r="AJ1074" s="40"/>
      <c r="AK1074" s="39">
        <f t="shared" si="85"/>
        <v>0</v>
      </c>
      <c r="AL1074" s="39">
        <f t="shared" si="83"/>
        <v>0</v>
      </c>
      <c r="AM1074" s="39">
        <f t="shared" si="84"/>
        <v>0</v>
      </c>
      <c r="AN1074" s="39">
        <f t="shared" si="86"/>
        <v>0</v>
      </c>
      <c r="AO1074" s="39">
        <f t="shared" si="87"/>
        <v>0</v>
      </c>
    </row>
    <row r="1075" spans="1:41" x14ac:dyDescent="0.3">
      <c r="A1075" s="20">
        <v>1000184670</v>
      </c>
      <c r="B1075" s="4" t="s">
        <v>147</v>
      </c>
      <c r="C1075" s="21"/>
      <c r="D1075" s="3"/>
      <c r="E1075" s="20">
        <v>1000184758</v>
      </c>
      <c r="F1075" s="4" t="s">
        <v>55</v>
      </c>
      <c r="G1075" s="21">
        <v>1000189801</v>
      </c>
      <c r="H1075" s="3" t="s">
        <v>87</v>
      </c>
      <c r="I1075" s="21">
        <v>1000189270</v>
      </c>
      <c r="J1075" s="3" t="s">
        <v>34</v>
      </c>
      <c r="K1075" s="20" t="s">
        <v>18</v>
      </c>
      <c r="L1075" s="39">
        <v>0</v>
      </c>
      <c r="M1075" s="39">
        <v>0</v>
      </c>
      <c r="N1075" s="39">
        <v>0</v>
      </c>
      <c r="O1075" s="39">
        <v>0</v>
      </c>
      <c r="P1075" s="39">
        <v>0</v>
      </c>
      <c r="Q1075" s="39">
        <v>0</v>
      </c>
      <c r="R1075" s="39">
        <v>0</v>
      </c>
      <c r="S1075" s="39">
        <v>0</v>
      </c>
      <c r="T1075" s="39">
        <v>0</v>
      </c>
      <c r="U1075" s="39">
        <v>0</v>
      </c>
      <c r="V1075" s="39">
        <v>0</v>
      </c>
      <c r="W1075" s="39">
        <v>0</v>
      </c>
      <c r="X1075" s="39">
        <v>0</v>
      </c>
      <c r="Y1075" s="39">
        <v>0</v>
      </c>
      <c r="Z1075" s="39">
        <v>0</v>
      </c>
      <c r="AA1075" s="39">
        <v>0</v>
      </c>
      <c r="AB1075" s="39">
        <v>0</v>
      </c>
      <c r="AC1075" s="39">
        <v>0</v>
      </c>
      <c r="AD1075" s="39">
        <v>0</v>
      </c>
      <c r="AE1075" s="39">
        <v>0</v>
      </c>
      <c r="AF1075" s="39">
        <v>0</v>
      </c>
      <c r="AG1075" s="39">
        <v>0</v>
      </c>
      <c r="AH1075" s="39"/>
      <c r="AI1075" s="39"/>
      <c r="AJ1075" s="40"/>
      <c r="AK1075" s="39">
        <f t="shared" si="85"/>
        <v>0</v>
      </c>
      <c r="AL1075" s="39">
        <f t="shared" si="83"/>
        <v>0</v>
      </c>
      <c r="AM1075" s="39">
        <f t="shared" si="84"/>
        <v>0</v>
      </c>
      <c r="AN1075" s="39">
        <f t="shared" si="86"/>
        <v>0</v>
      </c>
      <c r="AO1075" s="39">
        <f t="shared" si="87"/>
        <v>0</v>
      </c>
    </row>
    <row r="1076" spans="1:41" x14ac:dyDescent="0.3">
      <c r="A1076" s="20">
        <v>1000184670</v>
      </c>
      <c r="B1076" s="4" t="s">
        <v>147</v>
      </c>
      <c r="C1076" s="21"/>
      <c r="D1076" s="3"/>
      <c r="E1076" s="20">
        <v>1000184758</v>
      </c>
      <c r="F1076" s="4" t="s">
        <v>55</v>
      </c>
      <c r="G1076" s="21">
        <v>1000189801</v>
      </c>
      <c r="H1076" s="3" t="s">
        <v>87</v>
      </c>
      <c r="I1076" s="21">
        <v>1000189270</v>
      </c>
      <c r="J1076" s="3" t="s">
        <v>34</v>
      </c>
      <c r="K1076" s="20" t="s">
        <v>29</v>
      </c>
      <c r="L1076" s="39">
        <v>0</v>
      </c>
      <c r="M1076" s="39">
        <v>0</v>
      </c>
      <c r="N1076" s="39">
        <v>0</v>
      </c>
      <c r="O1076" s="39">
        <v>0</v>
      </c>
      <c r="P1076" s="39">
        <v>0</v>
      </c>
      <c r="Q1076" s="39">
        <v>0</v>
      </c>
      <c r="R1076" s="39">
        <v>0</v>
      </c>
      <c r="S1076" s="39">
        <v>0</v>
      </c>
      <c r="T1076" s="39">
        <v>0</v>
      </c>
      <c r="U1076" s="39">
        <v>0</v>
      </c>
      <c r="V1076" s="39">
        <v>0</v>
      </c>
      <c r="W1076" s="39">
        <v>0</v>
      </c>
      <c r="X1076" s="39">
        <v>0</v>
      </c>
      <c r="Y1076" s="39">
        <v>0</v>
      </c>
      <c r="Z1076" s="39">
        <v>0</v>
      </c>
      <c r="AA1076" s="39">
        <v>0</v>
      </c>
      <c r="AB1076" s="39">
        <v>0</v>
      </c>
      <c r="AC1076" s="39">
        <v>0</v>
      </c>
      <c r="AD1076" s="39">
        <v>0</v>
      </c>
      <c r="AE1076" s="39">
        <v>0</v>
      </c>
      <c r="AF1076" s="39">
        <v>0</v>
      </c>
      <c r="AG1076" s="39">
        <v>0</v>
      </c>
      <c r="AH1076" s="39"/>
      <c r="AI1076" s="39"/>
      <c r="AJ1076" s="40"/>
      <c r="AK1076" s="39">
        <f t="shared" si="85"/>
        <v>0</v>
      </c>
      <c r="AL1076" s="39">
        <f t="shared" si="83"/>
        <v>0</v>
      </c>
      <c r="AM1076" s="39">
        <f t="shared" si="84"/>
        <v>0</v>
      </c>
      <c r="AN1076" s="39">
        <f t="shared" si="86"/>
        <v>0</v>
      </c>
      <c r="AO1076" s="39">
        <f t="shared" si="87"/>
        <v>0</v>
      </c>
    </row>
    <row r="1077" spans="1:41" x14ac:dyDescent="0.3">
      <c r="A1077" s="20">
        <v>1000184670</v>
      </c>
      <c r="B1077" s="4" t="s">
        <v>147</v>
      </c>
      <c r="C1077" s="21"/>
      <c r="D1077" s="3"/>
      <c r="E1077" s="20">
        <v>1000184758</v>
      </c>
      <c r="F1077" s="4" t="s">
        <v>55</v>
      </c>
      <c r="G1077" s="21">
        <v>1000189801</v>
      </c>
      <c r="H1077" s="3" t="s">
        <v>87</v>
      </c>
      <c r="I1077" s="21">
        <v>1000189270</v>
      </c>
      <c r="J1077" s="3" t="s">
        <v>34</v>
      </c>
      <c r="K1077" s="20" t="s">
        <v>21</v>
      </c>
      <c r="L1077" s="39">
        <v>0</v>
      </c>
      <c r="M1077" s="39">
        <v>0</v>
      </c>
      <c r="N1077" s="39">
        <v>0</v>
      </c>
      <c r="O1077" s="39">
        <v>0</v>
      </c>
      <c r="P1077" s="39">
        <v>0</v>
      </c>
      <c r="Q1077" s="39">
        <v>0</v>
      </c>
      <c r="R1077" s="39">
        <v>0</v>
      </c>
      <c r="S1077" s="39">
        <v>0</v>
      </c>
      <c r="T1077" s="39">
        <v>0</v>
      </c>
      <c r="U1077" s="39">
        <v>0</v>
      </c>
      <c r="V1077" s="39">
        <v>0</v>
      </c>
      <c r="W1077" s="39">
        <v>0</v>
      </c>
      <c r="X1077" s="39">
        <v>0</v>
      </c>
      <c r="Y1077" s="39">
        <v>0</v>
      </c>
      <c r="Z1077" s="39">
        <v>0</v>
      </c>
      <c r="AA1077" s="39">
        <v>0</v>
      </c>
      <c r="AB1077" s="39">
        <v>0</v>
      </c>
      <c r="AC1077" s="39">
        <v>0</v>
      </c>
      <c r="AD1077" s="39">
        <v>0</v>
      </c>
      <c r="AE1077" s="39">
        <v>0</v>
      </c>
      <c r="AF1077" s="39">
        <v>0</v>
      </c>
      <c r="AG1077" s="39">
        <v>0</v>
      </c>
      <c r="AH1077" s="39"/>
      <c r="AI1077" s="39"/>
      <c r="AJ1077" s="40"/>
      <c r="AK1077" s="39">
        <f t="shared" si="85"/>
        <v>0</v>
      </c>
      <c r="AL1077" s="39">
        <f t="shared" si="83"/>
        <v>0</v>
      </c>
      <c r="AM1077" s="39">
        <f t="shared" si="84"/>
        <v>0</v>
      </c>
      <c r="AN1077" s="39">
        <f t="shared" si="86"/>
        <v>0</v>
      </c>
      <c r="AO1077" s="39">
        <f t="shared" si="87"/>
        <v>0</v>
      </c>
    </row>
    <row r="1078" spans="1:41" x14ac:dyDescent="0.3">
      <c r="A1078" s="20">
        <v>1000184670</v>
      </c>
      <c r="B1078" s="4" t="s">
        <v>147</v>
      </c>
      <c r="C1078" s="21"/>
      <c r="D1078" s="3"/>
      <c r="E1078" s="20">
        <v>1000184758</v>
      </c>
      <c r="F1078" s="4" t="s">
        <v>55</v>
      </c>
      <c r="G1078" s="21">
        <v>1000189801</v>
      </c>
      <c r="H1078" s="3" t="s">
        <v>87</v>
      </c>
      <c r="I1078" s="21">
        <v>1000189270</v>
      </c>
      <c r="J1078" s="3" t="s">
        <v>34</v>
      </c>
      <c r="K1078" s="20" t="s">
        <v>20</v>
      </c>
      <c r="L1078" s="39">
        <v>0</v>
      </c>
      <c r="M1078" s="39">
        <v>0</v>
      </c>
      <c r="N1078" s="39">
        <v>0</v>
      </c>
      <c r="O1078" s="39">
        <v>0</v>
      </c>
      <c r="P1078" s="39">
        <v>0</v>
      </c>
      <c r="Q1078" s="39">
        <v>0</v>
      </c>
      <c r="R1078" s="39">
        <v>0</v>
      </c>
      <c r="S1078" s="39">
        <v>0</v>
      </c>
      <c r="T1078" s="39">
        <v>0</v>
      </c>
      <c r="U1078" s="39">
        <v>0</v>
      </c>
      <c r="V1078" s="39">
        <v>0</v>
      </c>
      <c r="W1078" s="39">
        <v>0</v>
      </c>
      <c r="X1078" s="39">
        <v>0</v>
      </c>
      <c r="Y1078" s="39">
        <v>0</v>
      </c>
      <c r="Z1078" s="39">
        <v>0</v>
      </c>
      <c r="AA1078" s="39">
        <v>0</v>
      </c>
      <c r="AB1078" s="39">
        <v>0</v>
      </c>
      <c r="AC1078" s="39">
        <v>0</v>
      </c>
      <c r="AD1078" s="39">
        <v>0</v>
      </c>
      <c r="AE1078" s="39">
        <v>0</v>
      </c>
      <c r="AF1078" s="39">
        <v>0</v>
      </c>
      <c r="AG1078" s="39">
        <v>0</v>
      </c>
      <c r="AH1078" s="39"/>
      <c r="AI1078" s="39"/>
      <c r="AJ1078" s="40"/>
      <c r="AK1078" s="39">
        <f t="shared" si="85"/>
        <v>0</v>
      </c>
      <c r="AL1078" s="39">
        <f t="shared" si="83"/>
        <v>0</v>
      </c>
      <c r="AM1078" s="39">
        <f t="shared" si="84"/>
        <v>0</v>
      </c>
      <c r="AN1078" s="39">
        <f t="shared" si="86"/>
        <v>0</v>
      </c>
      <c r="AO1078" s="39">
        <f t="shared" si="87"/>
        <v>0</v>
      </c>
    </row>
    <row r="1079" spans="1:41" x14ac:dyDescent="0.3">
      <c r="A1079" s="20">
        <v>1000184670</v>
      </c>
      <c r="B1079" s="4" t="s">
        <v>147</v>
      </c>
      <c r="C1079" s="21"/>
      <c r="D1079" s="3"/>
      <c r="E1079" s="20">
        <v>1000184758</v>
      </c>
      <c r="F1079" s="4" t="s">
        <v>55</v>
      </c>
      <c r="G1079" s="21">
        <v>1000189801</v>
      </c>
      <c r="H1079" s="3" t="s">
        <v>87</v>
      </c>
      <c r="I1079" s="21">
        <v>1000189270</v>
      </c>
      <c r="J1079" s="3" t="s">
        <v>34</v>
      </c>
      <c r="K1079" s="20" t="s">
        <v>22</v>
      </c>
      <c r="L1079" s="39">
        <v>0</v>
      </c>
      <c r="M1079" s="39">
        <v>0</v>
      </c>
      <c r="N1079" s="39">
        <v>0</v>
      </c>
      <c r="O1079" s="39">
        <v>0</v>
      </c>
      <c r="P1079" s="39">
        <v>0</v>
      </c>
      <c r="Q1079" s="39">
        <v>0</v>
      </c>
      <c r="R1079" s="39">
        <v>0</v>
      </c>
      <c r="S1079" s="39">
        <v>0</v>
      </c>
      <c r="T1079" s="39">
        <v>0</v>
      </c>
      <c r="U1079" s="39">
        <v>0</v>
      </c>
      <c r="V1079" s="39">
        <v>0</v>
      </c>
      <c r="W1079" s="39">
        <v>0</v>
      </c>
      <c r="X1079" s="39">
        <v>0</v>
      </c>
      <c r="Y1079" s="39">
        <v>0</v>
      </c>
      <c r="Z1079" s="39">
        <v>0</v>
      </c>
      <c r="AA1079" s="39">
        <v>0</v>
      </c>
      <c r="AB1079" s="39">
        <v>0</v>
      </c>
      <c r="AC1079" s="39">
        <v>0</v>
      </c>
      <c r="AD1079" s="39">
        <v>0</v>
      </c>
      <c r="AE1079" s="39">
        <v>0</v>
      </c>
      <c r="AF1079" s="39">
        <v>0</v>
      </c>
      <c r="AG1079" s="39">
        <v>0</v>
      </c>
      <c r="AH1079" s="39"/>
      <c r="AI1079" s="39"/>
      <c r="AJ1079" s="40"/>
      <c r="AK1079" s="39">
        <f t="shared" si="85"/>
        <v>0</v>
      </c>
      <c r="AL1079" s="39">
        <f t="shared" si="83"/>
        <v>0</v>
      </c>
      <c r="AM1079" s="39">
        <f t="shared" si="84"/>
        <v>0</v>
      </c>
      <c r="AN1079" s="39">
        <f t="shared" si="86"/>
        <v>0</v>
      </c>
      <c r="AO1079" s="39">
        <f t="shared" si="87"/>
        <v>0</v>
      </c>
    </row>
    <row r="1080" spans="1:41" x14ac:dyDescent="0.3">
      <c r="A1080" s="20">
        <v>1000184670</v>
      </c>
      <c r="B1080" s="4" t="s">
        <v>147</v>
      </c>
      <c r="C1080" s="21"/>
      <c r="D1080" s="3"/>
      <c r="E1080" s="20">
        <v>1000184758</v>
      </c>
      <c r="F1080" s="4" t="s">
        <v>55</v>
      </c>
      <c r="G1080" s="21">
        <v>1000189801</v>
      </c>
      <c r="H1080" s="3" t="s">
        <v>87</v>
      </c>
      <c r="I1080" s="21">
        <v>1000189270</v>
      </c>
      <c r="J1080" s="3" t="s">
        <v>34</v>
      </c>
      <c r="K1080" s="20" t="s">
        <v>23</v>
      </c>
      <c r="L1080" s="39">
        <v>0</v>
      </c>
      <c r="M1080" s="39">
        <v>0</v>
      </c>
      <c r="N1080" s="39">
        <v>0</v>
      </c>
      <c r="O1080" s="39">
        <v>0</v>
      </c>
      <c r="P1080" s="39">
        <v>0</v>
      </c>
      <c r="Q1080" s="39">
        <v>0</v>
      </c>
      <c r="R1080" s="39">
        <v>0</v>
      </c>
      <c r="S1080" s="39">
        <v>0</v>
      </c>
      <c r="T1080" s="39">
        <v>0</v>
      </c>
      <c r="U1080" s="39">
        <v>0</v>
      </c>
      <c r="V1080" s="39">
        <v>0</v>
      </c>
      <c r="W1080" s="39">
        <v>0</v>
      </c>
      <c r="X1080" s="39">
        <v>0</v>
      </c>
      <c r="Y1080" s="39">
        <v>0</v>
      </c>
      <c r="Z1080" s="39">
        <v>0</v>
      </c>
      <c r="AA1080" s="39">
        <v>0</v>
      </c>
      <c r="AB1080" s="39">
        <v>0</v>
      </c>
      <c r="AC1080" s="39">
        <v>0</v>
      </c>
      <c r="AD1080" s="39">
        <v>0</v>
      </c>
      <c r="AE1080" s="39">
        <v>0</v>
      </c>
      <c r="AF1080" s="39">
        <v>0</v>
      </c>
      <c r="AG1080" s="39">
        <v>0</v>
      </c>
      <c r="AH1080" s="39"/>
      <c r="AI1080" s="39"/>
      <c r="AJ1080" s="40"/>
      <c r="AK1080" s="39">
        <f t="shared" si="85"/>
        <v>0</v>
      </c>
      <c r="AL1080" s="39">
        <f t="shared" si="83"/>
        <v>0</v>
      </c>
      <c r="AM1080" s="39">
        <f t="shared" si="84"/>
        <v>0</v>
      </c>
      <c r="AN1080" s="39">
        <f t="shared" si="86"/>
        <v>0</v>
      </c>
      <c r="AO1080" s="39">
        <f t="shared" si="87"/>
        <v>0</v>
      </c>
    </row>
    <row r="1081" spans="1:41" x14ac:dyDescent="0.3">
      <c r="A1081" s="20">
        <v>1000184670</v>
      </c>
      <c r="B1081" s="4" t="s">
        <v>147</v>
      </c>
      <c r="C1081" s="21"/>
      <c r="D1081" s="3"/>
      <c r="E1081" s="20">
        <v>1000184758</v>
      </c>
      <c r="F1081" s="4" t="s">
        <v>55</v>
      </c>
      <c r="G1081" s="21">
        <v>1000189801</v>
      </c>
      <c r="H1081" s="3" t="s">
        <v>87</v>
      </c>
      <c r="I1081" s="21">
        <v>1000189270</v>
      </c>
      <c r="J1081" s="3" t="s">
        <v>34</v>
      </c>
      <c r="K1081" s="20" t="s">
        <v>28</v>
      </c>
      <c r="L1081" s="39">
        <v>0</v>
      </c>
      <c r="M1081" s="39">
        <v>0</v>
      </c>
      <c r="N1081" s="39">
        <v>0</v>
      </c>
      <c r="O1081" s="39">
        <v>0</v>
      </c>
      <c r="P1081" s="39">
        <v>0</v>
      </c>
      <c r="Q1081" s="39">
        <v>0</v>
      </c>
      <c r="R1081" s="39">
        <v>0</v>
      </c>
      <c r="S1081" s="39">
        <v>0</v>
      </c>
      <c r="T1081" s="39">
        <v>0</v>
      </c>
      <c r="U1081" s="39">
        <v>0</v>
      </c>
      <c r="V1081" s="39">
        <v>0</v>
      </c>
      <c r="W1081" s="39">
        <v>0</v>
      </c>
      <c r="X1081" s="39">
        <v>0</v>
      </c>
      <c r="Y1081" s="39">
        <v>0</v>
      </c>
      <c r="Z1081" s="39">
        <v>0</v>
      </c>
      <c r="AA1081" s="39">
        <v>0</v>
      </c>
      <c r="AB1081" s="39">
        <v>0</v>
      </c>
      <c r="AC1081" s="39">
        <v>0</v>
      </c>
      <c r="AD1081" s="39">
        <v>0</v>
      </c>
      <c r="AE1081" s="39">
        <v>0</v>
      </c>
      <c r="AF1081" s="39">
        <v>0</v>
      </c>
      <c r="AG1081" s="39">
        <v>0</v>
      </c>
      <c r="AH1081" s="39"/>
      <c r="AI1081" s="39"/>
      <c r="AJ1081" s="40"/>
      <c r="AK1081" s="39">
        <f t="shared" si="85"/>
        <v>0</v>
      </c>
      <c r="AL1081" s="39">
        <f t="shared" si="83"/>
        <v>0</v>
      </c>
      <c r="AM1081" s="39">
        <f t="shared" si="84"/>
        <v>0</v>
      </c>
      <c r="AN1081" s="39">
        <f t="shared" si="86"/>
        <v>0</v>
      </c>
      <c r="AO1081" s="39">
        <f t="shared" si="87"/>
        <v>0</v>
      </c>
    </row>
    <row r="1082" spans="1:41" x14ac:dyDescent="0.3">
      <c r="A1082" s="20">
        <v>1000184670</v>
      </c>
      <c r="B1082" s="4" t="s">
        <v>147</v>
      </c>
      <c r="C1082" s="21"/>
      <c r="D1082" s="3"/>
      <c r="E1082" s="20">
        <v>1000184758</v>
      </c>
      <c r="F1082" s="4" t="s">
        <v>55</v>
      </c>
      <c r="G1082" s="21">
        <v>1000189801</v>
      </c>
      <c r="H1082" s="3" t="s">
        <v>87</v>
      </c>
      <c r="I1082" s="21">
        <v>1000189270</v>
      </c>
      <c r="J1082" s="3" t="s">
        <v>34</v>
      </c>
      <c r="K1082" s="20" t="s">
        <v>26</v>
      </c>
      <c r="L1082" s="39">
        <v>0</v>
      </c>
      <c r="M1082" s="39">
        <v>0</v>
      </c>
      <c r="N1082" s="39">
        <v>0</v>
      </c>
      <c r="O1082" s="39">
        <v>0</v>
      </c>
      <c r="P1082" s="39">
        <v>0</v>
      </c>
      <c r="Q1082" s="39">
        <v>0</v>
      </c>
      <c r="R1082" s="39">
        <v>0</v>
      </c>
      <c r="S1082" s="39">
        <v>0</v>
      </c>
      <c r="T1082" s="39">
        <v>0</v>
      </c>
      <c r="U1082" s="39">
        <v>0</v>
      </c>
      <c r="V1082" s="39">
        <v>0</v>
      </c>
      <c r="W1082" s="39">
        <v>0</v>
      </c>
      <c r="X1082" s="39">
        <v>0</v>
      </c>
      <c r="Y1082" s="39">
        <v>0</v>
      </c>
      <c r="Z1082" s="39">
        <v>0</v>
      </c>
      <c r="AA1082" s="39">
        <v>0</v>
      </c>
      <c r="AB1082" s="39">
        <v>0</v>
      </c>
      <c r="AC1082" s="39">
        <v>0</v>
      </c>
      <c r="AD1082" s="39">
        <v>0</v>
      </c>
      <c r="AE1082" s="39">
        <v>0</v>
      </c>
      <c r="AF1082" s="39">
        <v>0</v>
      </c>
      <c r="AG1082" s="39">
        <v>0</v>
      </c>
      <c r="AH1082" s="39"/>
      <c r="AI1082" s="39"/>
      <c r="AJ1082" s="40"/>
      <c r="AK1082" s="39">
        <f t="shared" si="85"/>
        <v>0</v>
      </c>
      <c r="AL1082" s="39">
        <f t="shared" si="83"/>
        <v>0</v>
      </c>
      <c r="AM1082" s="39">
        <f t="shared" si="84"/>
        <v>0</v>
      </c>
      <c r="AN1082" s="39">
        <f t="shared" si="86"/>
        <v>0</v>
      </c>
      <c r="AO1082" s="39">
        <f t="shared" si="87"/>
        <v>0</v>
      </c>
    </row>
    <row r="1083" spans="1:41" x14ac:dyDescent="0.3">
      <c r="A1083" s="20">
        <v>1000184670</v>
      </c>
      <c r="B1083" s="4" t="s">
        <v>147</v>
      </c>
      <c r="C1083" s="21"/>
      <c r="D1083" s="3"/>
      <c r="E1083" s="20">
        <v>1000184758</v>
      </c>
      <c r="F1083" s="4" t="s">
        <v>55</v>
      </c>
      <c r="G1083" s="21">
        <v>1000189801</v>
      </c>
      <c r="H1083" s="3" t="s">
        <v>87</v>
      </c>
      <c r="I1083" s="21">
        <v>1000189270</v>
      </c>
      <c r="J1083" s="3" t="s">
        <v>34</v>
      </c>
      <c r="K1083" s="20" t="s">
        <v>27</v>
      </c>
      <c r="L1083" s="39">
        <v>0</v>
      </c>
      <c r="M1083" s="39">
        <v>0</v>
      </c>
      <c r="N1083" s="39">
        <v>0</v>
      </c>
      <c r="O1083" s="39">
        <v>0</v>
      </c>
      <c r="P1083" s="39">
        <v>0</v>
      </c>
      <c r="Q1083" s="39">
        <v>0</v>
      </c>
      <c r="R1083" s="39">
        <v>0</v>
      </c>
      <c r="S1083" s="39">
        <v>0</v>
      </c>
      <c r="T1083" s="39">
        <v>0</v>
      </c>
      <c r="U1083" s="39">
        <v>0</v>
      </c>
      <c r="V1083" s="39">
        <v>0</v>
      </c>
      <c r="W1083" s="39">
        <v>0</v>
      </c>
      <c r="X1083" s="39">
        <v>0</v>
      </c>
      <c r="Y1083" s="39">
        <v>0</v>
      </c>
      <c r="Z1083" s="39">
        <v>0</v>
      </c>
      <c r="AA1083" s="39">
        <v>0</v>
      </c>
      <c r="AB1083" s="39">
        <v>0</v>
      </c>
      <c r="AC1083" s="39">
        <v>0</v>
      </c>
      <c r="AD1083" s="39">
        <v>0</v>
      </c>
      <c r="AE1083" s="39">
        <v>0</v>
      </c>
      <c r="AF1083" s="39">
        <v>0</v>
      </c>
      <c r="AG1083" s="39">
        <v>0</v>
      </c>
      <c r="AH1083" s="39"/>
      <c r="AI1083" s="39"/>
      <c r="AJ1083" s="40"/>
      <c r="AK1083" s="39">
        <f t="shared" si="85"/>
        <v>0</v>
      </c>
      <c r="AL1083" s="39">
        <f t="shared" si="83"/>
        <v>0</v>
      </c>
      <c r="AM1083" s="39">
        <f t="shared" si="84"/>
        <v>0</v>
      </c>
      <c r="AN1083" s="39">
        <f t="shared" si="86"/>
        <v>0</v>
      </c>
      <c r="AO1083" s="39">
        <f t="shared" si="87"/>
        <v>0</v>
      </c>
    </row>
    <row r="1084" spans="1:41" x14ac:dyDescent="0.3">
      <c r="A1084" s="20">
        <v>1000184670</v>
      </c>
      <c r="B1084" s="4" t="s">
        <v>147</v>
      </c>
      <c r="C1084" s="21"/>
      <c r="D1084" s="3"/>
      <c r="E1084" s="20">
        <v>1000184758</v>
      </c>
      <c r="F1084" s="4" t="s">
        <v>55</v>
      </c>
      <c r="G1084" s="21">
        <v>1000189801</v>
      </c>
      <c r="H1084" s="3" t="s">
        <v>87</v>
      </c>
      <c r="I1084" s="21">
        <v>1000189270</v>
      </c>
      <c r="J1084" s="3" t="s">
        <v>34</v>
      </c>
      <c r="K1084" s="20" t="s">
        <v>25</v>
      </c>
      <c r="L1084" s="39">
        <v>0</v>
      </c>
      <c r="M1084" s="39">
        <v>0</v>
      </c>
      <c r="N1084" s="39">
        <v>0</v>
      </c>
      <c r="O1084" s="39">
        <v>0</v>
      </c>
      <c r="P1084" s="39">
        <v>0</v>
      </c>
      <c r="Q1084" s="39">
        <v>0</v>
      </c>
      <c r="R1084" s="39">
        <v>0</v>
      </c>
      <c r="S1084" s="39">
        <v>0</v>
      </c>
      <c r="T1084" s="39">
        <v>0</v>
      </c>
      <c r="U1084" s="39">
        <v>0</v>
      </c>
      <c r="V1084" s="39">
        <v>0</v>
      </c>
      <c r="W1084" s="39">
        <v>0</v>
      </c>
      <c r="X1084" s="39">
        <v>0</v>
      </c>
      <c r="Y1084" s="39">
        <v>0</v>
      </c>
      <c r="Z1084" s="39">
        <v>0</v>
      </c>
      <c r="AA1084" s="39">
        <v>0</v>
      </c>
      <c r="AB1084" s="39">
        <v>0</v>
      </c>
      <c r="AC1084" s="39">
        <v>0</v>
      </c>
      <c r="AD1084" s="39">
        <v>0</v>
      </c>
      <c r="AE1084" s="39">
        <v>0</v>
      </c>
      <c r="AF1084" s="39">
        <v>0</v>
      </c>
      <c r="AG1084" s="39">
        <v>0</v>
      </c>
      <c r="AH1084" s="39"/>
      <c r="AI1084" s="39"/>
      <c r="AJ1084" s="40"/>
      <c r="AK1084" s="39">
        <f t="shared" si="85"/>
        <v>0</v>
      </c>
      <c r="AL1084" s="39">
        <f t="shared" si="83"/>
        <v>0</v>
      </c>
      <c r="AM1084" s="39">
        <f t="shared" si="84"/>
        <v>0</v>
      </c>
      <c r="AN1084" s="39">
        <f t="shared" si="86"/>
        <v>0</v>
      </c>
      <c r="AO1084" s="39">
        <f t="shared" si="87"/>
        <v>0</v>
      </c>
    </row>
    <row r="1085" spans="1:41" x14ac:dyDescent="0.3">
      <c r="A1085" s="20">
        <v>1000184670</v>
      </c>
      <c r="B1085" s="4" t="s">
        <v>147</v>
      </c>
      <c r="C1085" s="21"/>
      <c r="D1085" s="3"/>
      <c r="E1085" s="20">
        <v>1000184758</v>
      </c>
      <c r="F1085" s="4" t="s">
        <v>55</v>
      </c>
      <c r="G1085" s="21">
        <v>1000189802</v>
      </c>
      <c r="H1085" s="3" t="s">
        <v>105</v>
      </c>
      <c r="I1085" s="21">
        <v>1000189270</v>
      </c>
      <c r="J1085" s="3" t="s">
        <v>34</v>
      </c>
      <c r="K1085" s="20" t="s">
        <v>124</v>
      </c>
      <c r="L1085" s="39">
        <v>0</v>
      </c>
      <c r="M1085" s="39">
        <v>0</v>
      </c>
      <c r="N1085" s="39">
        <v>0</v>
      </c>
      <c r="O1085" s="39">
        <v>0</v>
      </c>
      <c r="P1085" s="39">
        <v>0</v>
      </c>
      <c r="Q1085" s="39">
        <v>0</v>
      </c>
      <c r="R1085" s="39">
        <v>0</v>
      </c>
      <c r="S1085" s="39">
        <v>0</v>
      </c>
      <c r="T1085" s="39">
        <v>0</v>
      </c>
      <c r="U1085" s="39">
        <v>0</v>
      </c>
      <c r="V1085" s="39">
        <v>0</v>
      </c>
      <c r="W1085" s="39">
        <v>0</v>
      </c>
      <c r="X1085" s="39">
        <v>0</v>
      </c>
      <c r="Y1085" s="39">
        <v>0</v>
      </c>
      <c r="Z1085" s="39">
        <v>0</v>
      </c>
      <c r="AA1085" s="39">
        <v>0</v>
      </c>
      <c r="AB1085" s="39">
        <v>0</v>
      </c>
      <c r="AC1085" s="39">
        <v>0</v>
      </c>
      <c r="AD1085" s="39">
        <v>0</v>
      </c>
      <c r="AE1085" s="39">
        <v>0</v>
      </c>
      <c r="AF1085" s="39">
        <v>0</v>
      </c>
      <c r="AG1085" s="39">
        <v>0</v>
      </c>
      <c r="AH1085" s="39"/>
      <c r="AI1085" s="39"/>
      <c r="AJ1085" s="40"/>
      <c r="AK1085" s="39">
        <f t="shared" si="85"/>
        <v>0</v>
      </c>
      <c r="AL1085" s="39">
        <f t="shared" si="83"/>
        <v>0</v>
      </c>
      <c r="AM1085" s="39">
        <f t="shared" si="84"/>
        <v>0</v>
      </c>
      <c r="AN1085" s="39">
        <f t="shared" si="86"/>
        <v>0</v>
      </c>
      <c r="AO1085" s="39">
        <f t="shared" si="87"/>
        <v>0</v>
      </c>
    </row>
    <row r="1086" spans="1:41" x14ac:dyDescent="0.3">
      <c r="A1086" s="20">
        <v>1000184670</v>
      </c>
      <c r="B1086" s="4" t="s">
        <v>147</v>
      </c>
      <c r="C1086" s="21"/>
      <c r="D1086" s="3"/>
      <c r="E1086" s="20">
        <v>1000184758</v>
      </c>
      <c r="F1086" s="4" t="s">
        <v>55</v>
      </c>
      <c r="G1086" s="21">
        <v>1000189802</v>
      </c>
      <c r="H1086" s="3" t="s">
        <v>105</v>
      </c>
      <c r="I1086" s="21">
        <v>1000189270</v>
      </c>
      <c r="J1086" s="3" t="s">
        <v>34</v>
      </c>
      <c r="K1086" s="20" t="s">
        <v>13</v>
      </c>
      <c r="L1086" s="39">
        <v>0</v>
      </c>
      <c r="M1086" s="39">
        <v>0</v>
      </c>
      <c r="N1086" s="39">
        <v>0</v>
      </c>
      <c r="O1086" s="39">
        <v>0</v>
      </c>
      <c r="P1086" s="39">
        <v>0</v>
      </c>
      <c r="Q1086" s="39">
        <v>0</v>
      </c>
      <c r="R1086" s="39">
        <v>0</v>
      </c>
      <c r="S1086" s="39">
        <v>0</v>
      </c>
      <c r="T1086" s="39">
        <v>0</v>
      </c>
      <c r="U1086" s="39">
        <v>0</v>
      </c>
      <c r="V1086" s="39">
        <v>0</v>
      </c>
      <c r="W1086" s="39">
        <v>0</v>
      </c>
      <c r="X1086" s="39">
        <v>0</v>
      </c>
      <c r="Y1086" s="39">
        <v>0</v>
      </c>
      <c r="Z1086" s="39">
        <v>0</v>
      </c>
      <c r="AA1086" s="39">
        <v>0</v>
      </c>
      <c r="AB1086" s="39">
        <v>0</v>
      </c>
      <c r="AC1086" s="39">
        <v>0</v>
      </c>
      <c r="AD1086" s="39">
        <v>0</v>
      </c>
      <c r="AE1086" s="39">
        <v>0</v>
      </c>
      <c r="AF1086" s="39">
        <v>0</v>
      </c>
      <c r="AG1086" s="39">
        <v>0</v>
      </c>
      <c r="AH1086" s="39"/>
      <c r="AI1086" s="39"/>
      <c r="AJ1086" s="40"/>
      <c r="AK1086" s="39">
        <f t="shared" si="85"/>
        <v>0</v>
      </c>
      <c r="AL1086" s="39">
        <f t="shared" si="83"/>
        <v>0</v>
      </c>
      <c r="AM1086" s="39">
        <f t="shared" si="84"/>
        <v>0</v>
      </c>
      <c r="AN1086" s="39">
        <f t="shared" si="86"/>
        <v>0</v>
      </c>
      <c r="AO1086" s="39">
        <f t="shared" si="87"/>
        <v>0</v>
      </c>
    </row>
    <row r="1087" spans="1:41" x14ac:dyDescent="0.3">
      <c r="A1087" s="20">
        <v>1000184670</v>
      </c>
      <c r="B1087" s="4" t="s">
        <v>147</v>
      </c>
      <c r="C1087" s="21"/>
      <c r="D1087" s="3"/>
      <c r="E1087" s="20">
        <v>1000184758</v>
      </c>
      <c r="F1087" s="4" t="s">
        <v>55</v>
      </c>
      <c r="G1087" s="21">
        <v>1000189802</v>
      </c>
      <c r="H1087" s="3" t="s">
        <v>105</v>
      </c>
      <c r="I1087" s="21">
        <v>1000189270</v>
      </c>
      <c r="J1087" s="3" t="s">
        <v>34</v>
      </c>
      <c r="K1087" s="20" t="s">
        <v>14</v>
      </c>
      <c r="L1087" s="39">
        <v>0</v>
      </c>
      <c r="M1087" s="39">
        <v>0</v>
      </c>
      <c r="N1087" s="39">
        <v>0</v>
      </c>
      <c r="O1087" s="39">
        <v>0</v>
      </c>
      <c r="P1087" s="39">
        <v>0</v>
      </c>
      <c r="Q1087" s="39">
        <v>0</v>
      </c>
      <c r="R1087" s="39">
        <v>0</v>
      </c>
      <c r="S1087" s="39">
        <v>0</v>
      </c>
      <c r="T1087" s="39">
        <v>0</v>
      </c>
      <c r="U1087" s="39">
        <v>0</v>
      </c>
      <c r="V1087" s="39">
        <v>0</v>
      </c>
      <c r="W1087" s="39">
        <v>0</v>
      </c>
      <c r="X1087" s="39">
        <v>0</v>
      </c>
      <c r="Y1087" s="39">
        <v>0</v>
      </c>
      <c r="Z1087" s="39">
        <v>0</v>
      </c>
      <c r="AA1087" s="39">
        <v>0</v>
      </c>
      <c r="AB1087" s="39">
        <v>0</v>
      </c>
      <c r="AC1087" s="39">
        <v>1134</v>
      </c>
      <c r="AD1087" s="39">
        <v>0</v>
      </c>
      <c r="AE1087" s="39">
        <v>0</v>
      </c>
      <c r="AF1087" s="39">
        <v>0</v>
      </c>
      <c r="AG1087" s="39">
        <v>0</v>
      </c>
      <c r="AH1087" s="39"/>
      <c r="AI1087" s="39"/>
      <c r="AJ1087" s="40"/>
      <c r="AK1087" s="39">
        <f t="shared" si="85"/>
        <v>0</v>
      </c>
      <c r="AL1087" s="39">
        <f t="shared" si="83"/>
        <v>94.5</v>
      </c>
      <c r="AM1087" s="39">
        <f t="shared" si="84"/>
        <v>189</v>
      </c>
      <c r="AN1087" s="39">
        <f t="shared" si="86"/>
        <v>113.4</v>
      </c>
      <c r="AO1087" s="39">
        <f t="shared" si="87"/>
        <v>1134</v>
      </c>
    </row>
    <row r="1088" spans="1:41" x14ac:dyDescent="0.3">
      <c r="A1088" s="20">
        <v>1000184670</v>
      </c>
      <c r="B1088" s="4" t="s">
        <v>147</v>
      </c>
      <c r="C1088" s="21"/>
      <c r="D1088" s="3"/>
      <c r="E1088" s="20">
        <v>1000184758</v>
      </c>
      <c r="F1088" s="4" t="s">
        <v>55</v>
      </c>
      <c r="G1088" s="21">
        <v>1000189802</v>
      </c>
      <c r="H1088" s="3" t="s">
        <v>105</v>
      </c>
      <c r="I1088" s="21">
        <v>1000189270</v>
      </c>
      <c r="J1088" s="3" t="s">
        <v>34</v>
      </c>
      <c r="K1088" s="20" t="s">
        <v>16</v>
      </c>
      <c r="L1088" s="39">
        <v>0</v>
      </c>
      <c r="M1088" s="39">
        <v>0</v>
      </c>
      <c r="N1088" s="39">
        <v>0</v>
      </c>
      <c r="O1088" s="39">
        <v>0</v>
      </c>
      <c r="P1088" s="39">
        <v>0</v>
      </c>
      <c r="Q1088" s="39">
        <v>0</v>
      </c>
      <c r="R1088" s="39">
        <v>0</v>
      </c>
      <c r="S1088" s="39">
        <v>0</v>
      </c>
      <c r="T1088" s="39">
        <v>0</v>
      </c>
      <c r="U1088" s="39">
        <v>0</v>
      </c>
      <c r="V1088" s="39">
        <v>0</v>
      </c>
      <c r="W1088" s="39">
        <v>0</v>
      </c>
      <c r="X1088" s="39">
        <v>0</v>
      </c>
      <c r="Y1088" s="39">
        <v>0</v>
      </c>
      <c r="Z1088" s="39">
        <v>0</v>
      </c>
      <c r="AA1088" s="39">
        <v>0</v>
      </c>
      <c r="AB1088" s="39">
        <v>0</v>
      </c>
      <c r="AC1088" s="39">
        <v>0</v>
      </c>
      <c r="AD1088" s="39">
        <v>0</v>
      </c>
      <c r="AE1088" s="39">
        <v>0</v>
      </c>
      <c r="AF1088" s="39">
        <v>0</v>
      </c>
      <c r="AG1088" s="39">
        <v>0</v>
      </c>
      <c r="AH1088" s="39"/>
      <c r="AI1088" s="39"/>
      <c r="AJ1088" s="40"/>
      <c r="AK1088" s="39">
        <f t="shared" si="85"/>
        <v>0</v>
      </c>
      <c r="AL1088" s="39">
        <f t="shared" si="83"/>
        <v>0</v>
      </c>
      <c r="AM1088" s="39">
        <f t="shared" si="84"/>
        <v>0</v>
      </c>
      <c r="AN1088" s="39">
        <f t="shared" si="86"/>
        <v>0</v>
      </c>
      <c r="AO1088" s="39">
        <f t="shared" si="87"/>
        <v>0</v>
      </c>
    </row>
    <row r="1089" spans="1:41" x14ac:dyDescent="0.3">
      <c r="A1089" s="20">
        <v>1000184670</v>
      </c>
      <c r="B1089" s="4" t="s">
        <v>147</v>
      </c>
      <c r="C1089" s="21"/>
      <c r="D1089" s="3"/>
      <c r="E1089" s="20">
        <v>1000184758</v>
      </c>
      <c r="F1089" s="4" t="s">
        <v>55</v>
      </c>
      <c r="G1089" s="21">
        <v>1000189802</v>
      </c>
      <c r="H1089" s="3" t="s">
        <v>105</v>
      </c>
      <c r="I1089" s="21">
        <v>1000189270</v>
      </c>
      <c r="J1089" s="3" t="s">
        <v>34</v>
      </c>
      <c r="K1089" s="20" t="s">
        <v>15</v>
      </c>
      <c r="L1089" s="39">
        <v>0</v>
      </c>
      <c r="M1089" s="39">
        <v>0</v>
      </c>
      <c r="N1089" s="39">
        <v>0</v>
      </c>
      <c r="O1089" s="39">
        <v>0</v>
      </c>
      <c r="P1089" s="39">
        <v>0</v>
      </c>
      <c r="Q1089" s="39">
        <v>0</v>
      </c>
      <c r="R1089" s="39">
        <v>0</v>
      </c>
      <c r="S1089" s="39">
        <v>0</v>
      </c>
      <c r="T1089" s="39">
        <v>0</v>
      </c>
      <c r="U1089" s="39">
        <v>0</v>
      </c>
      <c r="V1089" s="39">
        <v>0</v>
      </c>
      <c r="W1089" s="39">
        <v>0</v>
      </c>
      <c r="X1089" s="39">
        <v>0</v>
      </c>
      <c r="Y1089" s="39">
        <v>0</v>
      </c>
      <c r="Z1089" s="39">
        <v>0</v>
      </c>
      <c r="AA1089" s="39">
        <v>0</v>
      </c>
      <c r="AB1089" s="39">
        <v>0</v>
      </c>
      <c r="AC1089" s="39">
        <v>0</v>
      </c>
      <c r="AD1089" s="39">
        <v>0</v>
      </c>
      <c r="AE1089" s="39">
        <v>0</v>
      </c>
      <c r="AF1089" s="39">
        <v>0</v>
      </c>
      <c r="AG1089" s="39">
        <v>0</v>
      </c>
      <c r="AH1089" s="39"/>
      <c r="AI1089" s="39"/>
      <c r="AJ1089" s="40"/>
      <c r="AK1089" s="39">
        <f t="shared" si="85"/>
        <v>0</v>
      </c>
      <c r="AL1089" s="39">
        <f t="shared" si="83"/>
        <v>0</v>
      </c>
      <c r="AM1089" s="39">
        <f t="shared" si="84"/>
        <v>0</v>
      </c>
      <c r="AN1089" s="39">
        <f t="shared" si="86"/>
        <v>0</v>
      </c>
      <c r="AO1089" s="39">
        <f t="shared" si="87"/>
        <v>0</v>
      </c>
    </row>
    <row r="1090" spans="1:41" x14ac:dyDescent="0.3">
      <c r="A1090" s="20">
        <v>1000184670</v>
      </c>
      <c r="B1090" s="4" t="s">
        <v>147</v>
      </c>
      <c r="C1090" s="21"/>
      <c r="D1090" s="3"/>
      <c r="E1090" s="20">
        <v>1000184758</v>
      </c>
      <c r="F1090" s="4" t="s">
        <v>55</v>
      </c>
      <c r="G1090" s="21">
        <v>1000189802</v>
      </c>
      <c r="H1090" s="3" t="s">
        <v>105</v>
      </c>
      <c r="I1090" s="21">
        <v>1000189270</v>
      </c>
      <c r="J1090" s="3" t="s">
        <v>34</v>
      </c>
      <c r="K1090" s="20" t="s">
        <v>33</v>
      </c>
      <c r="L1090" s="39">
        <v>0</v>
      </c>
      <c r="M1090" s="39">
        <v>0</v>
      </c>
      <c r="N1090" s="39">
        <v>0</v>
      </c>
      <c r="O1090" s="39">
        <v>0</v>
      </c>
      <c r="P1090" s="39">
        <v>0</v>
      </c>
      <c r="Q1090" s="39">
        <v>0</v>
      </c>
      <c r="R1090" s="39">
        <v>0</v>
      </c>
      <c r="S1090" s="39">
        <v>0</v>
      </c>
      <c r="T1090" s="39">
        <v>0</v>
      </c>
      <c r="U1090" s="39">
        <v>0</v>
      </c>
      <c r="V1090" s="39">
        <v>0</v>
      </c>
      <c r="W1090" s="39">
        <v>0</v>
      </c>
      <c r="X1090" s="39">
        <v>0</v>
      </c>
      <c r="Y1090" s="39">
        <v>0</v>
      </c>
      <c r="Z1090" s="39">
        <v>0</v>
      </c>
      <c r="AA1090" s="39">
        <v>0</v>
      </c>
      <c r="AB1090" s="39">
        <v>0</v>
      </c>
      <c r="AC1090" s="39">
        <v>0</v>
      </c>
      <c r="AD1090" s="39">
        <v>0</v>
      </c>
      <c r="AE1090" s="39">
        <v>0</v>
      </c>
      <c r="AF1090" s="39">
        <v>0</v>
      </c>
      <c r="AG1090" s="39">
        <v>0</v>
      </c>
      <c r="AH1090" s="39"/>
      <c r="AI1090" s="39"/>
      <c r="AJ1090" s="40"/>
      <c r="AK1090" s="39">
        <f t="shared" si="85"/>
        <v>0</v>
      </c>
      <c r="AL1090" s="39">
        <f t="shared" si="83"/>
        <v>0</v>
      </c>
      <c r="AM1090" s="39">
        <f t="shared" si="84"/>
        <v>0</v>
      </c>
      <c r="AN1090" s="39">
        <f t="shared" si="86"/>
        <v>0</v>
      </c>
      <c r="AO1090" s="39">
        <f t="shared" si="87"/>
        <v>0</v>
      </c>
    </row>
    <row r="1091" spans="1:41" x14ac:dyDescent="0.3">
      <c r="A1091" s="20">
        <v>1000184670</v>
      </c>
      <c r="B1091" s="4" t="s">
        <v>147</v>
      </c>
      <c r="C1091" s="21"/>
      <c r="D1091" s="3"/>
      <c r="E1091" s="20">
        <v>1000184758</v>
      </c>
      <c r="F1091" s="4" t="s">
        <v>55</v>
      </c>
      <c r="G1091" s="19">
        <v>1000189802</v>
      </c>
      <c r="H1091" s="3" t="s">
        <v>105</v>
      </c>
      <c r="I1091" s="21">
        <v>1000189270</v>
      </c>
      <c r="J1091" s="3" t="s">
        <v>34</v>
      </c>
      <c r="K1091" s="20" t="s">
        <v>19</v>
      </c>
      <c r="L1091" s="39">
        <v>0</v>
      </c>
      <c r="M1091" s="39">
        <v>0</v>
      </c>
      <c r="N1091" s="39">
        <v>0</v>
      </c>
      <c r="O1091" s="39">
        <v>0</v>
      </c>
      <c r="P1091" s="39">
        <v>0</v>
      </c>
      <c r="Q1091" s="39">
        <v>0</v>
      </c>
      <c r="R1091" s="39">
        <v>0</v>
      </c>
      <c r="S1091" s="39">
        <v>0</v>
      </c>
      <c r="T1091" s="39">
        <v>0</v>
      </c>
      <c r="U1091" s="39">
        <v>0</v>
      </c>
      <c r="V1091" s="39">
        <v>0</v>
      </c>
      <c r="W1091" s="39">
        <v>0</v>
      </c>
      <c r="X1091" s="39">
        <v>0</v>
      </c>
      <c r="Y1091" s="39">
        <v>0</v>
      </c>
      <c r="Z1091" s="39">
        <v>0</v>
      </c>
      <c r="AA1091" s="39">
        <v>0</v>
      </c>
      <c r="AB1091" s="39">
        <v>0</v>
      </c>
      <c r="AC1091" s="39">
        <v>0</v>
      </c>
      <c r="AD1091" s="39">
        <v>0</v>
      </c>
      <c r="AE1091" s="39">
        <v>0</v>
      </c>
      <c r="AF1091" s="39">
        <v>0</v>
      </c>
      <c r="AG1091" s="39">
        <v>0</v>
      </c>
      <c r="AH1091" s="39"/>
      <c r="AI1091" s="39"/>
      <c r="AJ1091" s="40"/>
      <c r="AK1091" s="39">
        <f t="shared" si="85"/>
        <v>0</v>
      </c>
      <c r="AL1091" s="39">
        <f t="shared" ref="AL1091:AL1154" si="88">AVERAGE(V1091:AG1091)</f>
        <v>0</v>
      </c>
      <c r="AM1091" s="39">
        <f t="shared" ref="AM1091:AM1154" si="89">AVERAGE(AB1091:AG1091)</f>
        <v>0</v>
      </c>
      <c r="AN1091" s="39">
        <f t="shared" si="86"/>
        <v>0</v>
      </c>
      <c r="AO1091" s="39">
        <f t="shared" si="87"/>
        <v>0</v>
      </c>
    </row>
    <row r="1092" spans="1:41" x14ac:dyDescent="0.3">
      <c r="A1092" s="20">
        <v>1000184670</v>
      </c>
      <c r="B1092" s="4" t="s">
        <v>147</v>
      </c>
      <c r="C1092" s="21"/>
      <c r="D1092" s="3"/>
      <c r="E1092" s="20">
        <v>1000184758</v>
      </c>
      <c r="F1092" s="4" t="s">
        <v>55</v>
      </c>
      <c r="G1092" s="19">
        <v>1000189802</v>
      </c>
      <c r="H1092" s="3" t="s">
        <v>105</v>
      </c>
      <c r="I1092" s="21">
        <v>1000189270</v>
      </c>
      <c r="J1092" s="3" t="s">
        <v>34</v>
      </c>
      <c r="K1092" s="20" t="s">
        <v>17</v>
      </c>
      <c r="L1092" s="39">
        <v>0</v>
      </c>
      <c r="M1092" s="39">
        <v>0</v>
      </c>
      <c r="N1092" s="39">
        <v>0</v>
      </c>
      <c r="O1092" s="39">
        <v>0</v>
      </c>
      <c r="P1092" s="39">
        <v>0</v>
      </c>
      <c r="Q1092" s="39">
        <v>0</v>
      </c>
      <c r="R1092" s="39">
        <v>0</v>
      </c>
      <c r="S1092" s="39">
        <v>0</v>
      </c>
      <c r="T1092" s="39">
        <v>0</v>
      </c>
      <c r="U1092" s="39">
        <v>0</v>
      </c>
      <c r="V1092" s="39">
        <v>0</v>
      </c>
      <c r="W1092" s="39">
        <v>0</v>
      </c>
      <c r="X1092" s="39">
        <v>0</v>
      </c>
      <c r="Y1092" s="39">
        <v>0</v>
      </c>
      <c r="Z1092" s="39">
        <v>0</v>
      </c>
      <c r="AA1092" s="39">
        <v>0</v>
      </c>
      <c r="AB1092" s="39">
        <v>0</v>
      </c>
      <c r="AC1092" s="39">
        <v>0</v>
      </c>
      <c r="AD1092" s="39">
        <v>0</v>
      </c>
      <c r="AE1092" s="39">
        <v>0</v>
      </c>
      <c r="AF1092" s="39">
        <v>0</v>
      </c>
      <c r="AG1092" s="39">
        <v>0</v>
      </c>
      <c r="AH1092" s="39"/>
      <c r="AI1092" s="39"/>
      <c r="AJ1092" s="40"/>
      <c r="AK1092" s="39">
        <f t="shared" si="85"/>
        <v>0</v>
      </c>
      <c r="AL1092" s="39">
        <f t="shared" si="88"/>
        <v>0</v>
      </c>
      <c r="AM1092" s="39">
        <f t="shared" si="89"/>
        <v>0</v>
      </c>
      <c r="AN1092" s="39">
        <f t="shared" si="86"/>
        <v>0</v>
      </c>
      <c r="AO1092" s="39">
        <f t="shared" si="87"/>
        <v>0</v>
      </c>
    </row>
    <row r="1093" spans="1:41" x14ac:dyDescent="0.3">
      <c r="A1093" s="20">
        <v>1000184670</v>
      </c>
      <c r="B1093" s="4" t="s">
        <v>147</v>
      </c>
      <c r="C1093" s="21"/>
      <c r="D1093" s="3"/>
      <c r="E1093" s="20">
        <v>1000184758</v>
      </c>
      <c r="F1093" s="4" t="s">
        <v>55</v>
      </c>
      <c r="G1093" s="19">
        <v>1000189802</v>
      </c>
      <c r="H1093" s="3" t="s">
        <v>105</v>
      </c>
      <c r="I1093" s="21">
        <v>1000189270</v>
      </c>
      <c r="J1093" s="3" t="s">
        <v>34</v>
      </c>
      <c r="K1093" s="20" t="s">
        <v>24</v>
      </c>
      <c r="L1093" s="39">
        <v>0</v>
      </c>
      <c r="M1093" s="39">
        <v>0</v>
      </c>
      <c r="N1093" s="39">
        <v>0</v>
      </c>
      <c r="O1093" s="39">
        <v>0</v>
      </c>
      <c r="P1093" s="39">
        <v>0</v>
      </c>
      <c r="Q1093" s="39">
        <v>0</v>
      </c>
      <c r="R1093" s="39">
        <v>0</v>
      </c>
      <c r="S1093" s="39">
        <v>0</v>
      </c>
      <c r="T1093" s="39">
        <v>0</v>
      </c>
      <c r="U1093" s="39">
        <v>0</v>
      </c>
      <c r="V1093" s="39">
        <v>0</v>
      </c>
      <c r="W1093" s="39">
        <v>0</v>
      </c>
      <c r="X1093" s="39">
        <v>0</v>
      </c>
      <c r="Y1093" s="39">
        <v>0</v>
      </c>
      <c r="Z1093" s="39">
        <v>0</v>
      </c>
      <c r="AA1093" s="39">
        <v>0</v>
      </c>
      <c r="AB1093" s="39">
        <v>0</v>
      </c>
      <c r="AC1093" s="39">
        <v>0</v>
      </c>
      <c r="AD1093" s="39">
        <v>0</v>
      </c>
      <c r="AE1093" s="39">
        <v>0</v>
      </c>
      <c r="AF1093" s="39">
        <v>0</v>
      </c>
      <c r="AG1093" s="39">
        <v>0</v>
      </c>
      <c r="AH1093" s="39"/>
      <c r="AI1093" s="39"/>
      <c r="AJ1093" s="40"/>
      <c r="AK1093" s="39">
        <f t="shared" si="85"/>
        <v>0</v>
      </c>
      <c r="AL1093" s="39">
        <f t="shared" si="88"/>
        <v>0</v>
      </c>
      <c r="AM1093" s="39">
        <f t="shared" si="89"/>
        <v>0</v>
      </c>
      <c r="AN1093" s="39">
        <f t="shared" si="86"/>
        <v>0</v>
      </c>
      <c r="AO1093" s="39">
        <f t="shared" si="87"/>
        <v>0</v>
      </c>
    </row>
    <row r="1094" spans="1:41" x14ac:dyDescent="0.3">
      <c r="A1094" s="20">
        <v>1000184670</v>
      </c>
      <c r="B1094" s="4" t="s">
        <v>147</v>
      </c>
      <c r="C1094" s="21"/>
      <c r="D1094" s="3"/>
      <c r="E1094" s="20">
        <v>1000184758</v>
      </c>
      <c r="F1094" s="4" t="s">
        <v>55</v>
      </c>
      <c r="G1094" s="21">
        <v>1000189802</v>
      </c>
      <c r="H1094" s="3" t="s">
        <v>105</v>
      </c>
      <c r="I1094" s="21">
        <v>1000189270</v>
      </c>
      <c r="J1094" s="3" t="s">
        <v>34</v>
      </c>
      <c r="K1094" s="20" t="s">
        <v>18</v>
      </c>
      <c r="L1094" s="39">
        <v>0</v>
      </c>
      <c r="M1094" s="39">
        <v>0</v>
      </c>
      <c r="N1094" s="39">
        <v>0</v>
      </c>
      <c r="O1094" s="39">
        <v>0</v>
      </c>
      <c r="P1094" s="39">
        <v>0</v>
      </c>
      <c r="Q1094" s="39">
        <v>0</v>
      </c>
      <c r="R1094" s="39">
        <v>0</v>
      </c>
      <c r="S1094" s="39">
        <v>0</v>
      </c>
      <c r="T1094" s="39">
        <v>0</v>
      </c>
      <c r="U1094" s="39">
        <v>0</v>
      </c>
      <c r="V1094" s="39">
        <v>0</v>
      </c>
      <c r="W1094" s="39">
        <v>0</v>
      </c>
      <c r="X1094" s="39">
        <v>0</v>
      </c>
      <c r="Y1094" s="39">
        <v>0</v>
      </c>
      <c r="Z1094" s="39">
        <v>0</v>
      </c>
      <c r="AA1094" s="39">
        <v>0</v>
      </c>
      <c r="AB1094" s="39">
        <v>0</v>
      </c>
      <c r="AC1094" s="39">
        <v>0</v>
      </c>
      <c r="AD1094" s="39">
        <v>0</v>
      </c>
      <c r="AE1094" s="39">
        <v>0</v>
      </c>
      <c r="AF1094" s="39">
        <v>0</v>
      </c>
      <c r="AG1094" s="39">
        <v>0</v>
      </c>
      <c r="AH1094" s="39"/>
      <c r="AI1094" s="39"/>
      <c r="AJ1094" s="40"/>
      <c r="AK1094" s="39">
        <f t="shared" si="85"/>
        <v>0</v>
      </c>
      <c r="AL1094" s="39">
        <f t="shared" si="88"/>
        <v>0</v>
      </c>
      <c r="AM1094" s="39">
        <f t="shared" si="89"/>
        <v>0</v>
      </c>
      <c r="AN1094" s="39">
        <f t="shared" si="86"/>
        <v>0</v>
      </c>
      <c r="AO1094" s="39">
        <f t="shared" si="87"/>
        <v>0</v>
      </c>
    </row>
    <row r="1095" spans="1:41" x14ac:dyDescent="0.3">
      <c r="A1095" s="20">
        <v>1000184670</v>
      </c>
      <c r="B1095" s="4" t="s">
        <v>147</v>
      </c>
      <c r="C1095" s="21"/>
      <c r="D1095" s="3"/>
      <c r="E1095" s="20">
        <v>1000184758</v>
      </c>
      <c r="F1095" s="4" t="s">
        <v>55</v>
      </c>
      <c r="G1095" s="21">
        <v>1000189802</v>
      </c>
      <c r="H1095" s="3" t="s">
        <v>105</v>
      </c>
      <c r="I1095" s="21">
        <v>1000189270</v>
      </c>
      <c r="J1095" s="3" t="s">
        <v>34</v>
      </c>
      <c r="K1095" s="20" t="s">
        <v>29</v>
      </c>
      <c r="L1095" s="39">
        <v>0</v>
      </c>
      <c r="M1095" s="39">
        <v>0</v>
      </c>
      <c r="N1095" s="39">
        <v>0</v>
      </c>
      <c r="O1095" s="39">
        <v>0</v>
      </c>
      <c r="P1095" s="39">
        <v>0</v>
      </c>
      <c r="Q1095" s="39">
        <v>0</v>
      </c>
      <c r="R1095" s="39">
        <v>0</v>
      </c>
      <c r="S1095" s="39">
        <v>0</v>
      </c>
      <c r="T1095" s="39">
        <v>0</v>
      </c>
      <c r="U1095" s="39">
        <v>0</v>
      </c>
      <c r="V1095" s="39">
        <v>0</v>
      </c>
      <c r="W1095" s="39">
        <v>0</v>
      </c>
      <c r="X1095" s="39">
        <v>0</v>
      </c>
      <c r="Y1095" s="39">
        <v>0</v>
      </c>
      <c r="Z1095" s="39">
        <v>0</v>
      </c>
      <c r="AA1095" s="39">
        <v>0</v>
      </c>
      <c r="AB1095" s="39">
        <v>0</v>
      </c>
      <c r="AC1095" s="39">
        <v>0</v>
      </c>
      <c r="AD1095" s="39">
        <v>0</v>
      </c>
      <c r="AE1095" s="39">
        <v>0</v>
      </c>
      <c r="AF1095" s="39">
        <v>0</v>
      </c>
      <c r="AG1095" s="39">
        <v>0</v>
      </c>
      <c r="AH1095" s="39"/>
      <c r="AI1095" s="39"/>
      <c r="AJ1095" s="40"/>
      <c r="AK1095" s="39">
        <f t="shared" si="85"/>
        <v>0</v>
      </c>
      <c r="AL1095" s="39">
        <f t="shared" si="88"/>
        <v>0</v>
      </c>
      <c r="AM1095" s="39">
        <f t="shared" si="89"/>
        <v>0</v>
      </c>
      <c r="AN1095" s="39">
        <f t="shared" si="86"/>
        <v>0</v>
      </c>
      <c r="AO1095" s="39">
        <f t="shared" si="87"/>
        <v>0</v>
      </c>
    </row>
    <row r="1096" spans="1:41" x14ac:dyDescent="0.3">
      <c r="A1096" s="20">
        <v>1000184670</v>
      </c>
      <c r="B1096" s="4" t="s">
        <v>147</v>
      </c>
      <c r="C1096" s="21"/>
      <c r="D1096" s="3"/>
      <c r="E1096" s="20">
        <v>1000184758</v>
      </c>
      <c r="F1096" s="4" t="s">
        <v>55</v>
      </c>
      <c r="G1096" s="21">
        <v>1000189802</v>
      </c>
      <c r="H1096" s="3" t="s">
        <v>105</v>
      </c>
      <c r="I1096" s="21">
        <v>1000189270</v>
      </c>
      <c r="J1096" s="3" t="s">
        <v>34</v>
      </c>
      <c r="K1096" s="20" t="s">
        <v>21</v>
      </c>
      <c r="L1096" s="39">
        <v>0</v>
      </c>
      <c r="M1096" s="39">
        <v>0</v>
      </c>
      <c r="N1096" s="39">
        <v>0</v>
      </c>
      <c r="O1096" s="39">
        <v>0</v>
      </c>
      <c r="P1096" s="39">
        <v>0</v>
      </c>
      <c r="Q1096" s="39">
        <v>0</v>
      </c>
      <c r="R1096" s="39">
        <v>0</v>
      </c>
      <c r="S1096" s="39">
        <v>0</v>
      </c>
      <c r="T1096" s="39">
        <v>0</v>
      </c>
      <c r="U1096" s="39">
        <v>0</v>
      </c>
      <c r="V1096" s="39">
        <v>0</v>
      </c>
      <c r="W1096" s="39">
        <v>0</v>
      </c>
      <c r="X1096" s="39">
        <v>0</v>
      </c>
      <c r="Y1096" s="39">
        <v>0</v>
      </c>
      <c r="Z1096" s="39">
        <v>0</v>
      </c>
      <c r="AA1096" s="39">
        <v>0</v>
      </c>
      <c r="AB1096" s="39">
        <v>0</v>
      </c>
      <c r="AC1096" s="39">
        <v>0</v>
      </c>
      <c r="AD1096" s="39">
        <v>0</v>
      </c>
      <c r="AE1096" s="39">
        <v>0</v>
      </c>
      <c r="AF1096" s="39">
        <v>0</v>
      </c>
      <c r="AG1096" s="39">
        <v>0</v>
      </c>
      <c r="AH1096" s="39"/>
      <c r="AI1096" s="39"/>
      <c r="AJ1096" s="40"/>
      <c r="AK1096" s="39">
        <f t="shared" si="85"/>
        <v>0</v>
      </c>
      <c r="AL1096" s="39">
        <f t="shared" si="88"/>
        <v>0</v>
      </c>
      <c r="AM1096" s="39">
        <f t="shared" si="89"/>
        <v>0</v>
      </c>
      <c r="AN1096" s="39">
        <f t="shared" si="86"/>
        <v>0</v>
      </c>
      <c r="AO1096" s="39">
        <f t="shared" si="87"/>
        <v>0</v>
      </c>
    </row>
    <row r="1097" spans="1:41" x14ac:dyDescent="0.3">
      <c r="A1097" s="20">
        <v>1000184670</v>
      </c>
      <c r="B1097" s="4" t="s">
        <v>147</v>
      </c>
      <c r="C1097" s="21"/>
      <c r="D1097" s="3"/>
      <c r="E1097" s="20">
        <v>1000184758</v>
      </c>
      <c r="F1097" s="4" t="s">
        <v>55</v>
      </c>
      <c r="G1097" s="21">
        <v>1000189802</v>
      </c>
      <c r="H1097" s="3" t="s">
        <v>105</v>
      </c>
      <c r="I1097" s="21">
        <v>1000189270</v>
      </c>
      <c r="J1097" s="3" t="s">
        <v>34</v>
      </c>
      <c r="K1097" s="20" t="s">
        <v>20</v>
      </c>
      <c r="L1097" s="39">
        <v>0</v>
      </c>
      <c r="M1097" s="39">
        <v>0</v>
      </c>
      <c r="N1097" s="39">
        <v>0</v>
      </c>
      <c r="O1097" s="39">
        <v>0</v>
      </c>
      <c r="P1097" s="39">
        <v>0</v>
      </c>
      <c r="Q1097" s="39">
        <v>0</v>
      </c>
      <c r="R1097" s="39">
        <v>0</v>
      </c>
      <c r="S1097" s="39">
        <v>0</v>
      </c>
      <c r="T1097" s="39">
        <v>0</v>
      </c>
      <c r="U1097" s="39">
        <v>0</v>
      </c>
      <c r="V1097" s="39">
        <v>0</v>
      </c>
      <c r="W1097" s="39">
        <v>0</v>
      </c>
      <c r="X1097" s="39">
        <v>0</v>
      </c>
      <c r="Y1097" s="39">
        <v>0</v>
      </c>
      <c r="Z1097" s="39">
        <v>0</v>
      </c>
      <c r="AA1097" s="39">
        <v>0</v>
      </c>
      <c r="AB1097" s="39">
        <v>0</v>
      </c>
      <c r="AC1097" s="39">
        <v>0</v>
      </c>
      <c r="AD1097" s="39">
        <v>0</v>
      </c>
      <c r="AE1097" s="39">
        <v>0</v>
      </c>
      <c r="AF1097" s="39">
        <v>0</v>
      </c>
      <c r="AG1097" s="39">
        <v>0</v>
      </c>
      <c r="AH1097" s="39"/>
      <c r="AI1097" s="39"/>
      <c r="AJ1097" s="40"/>
      <c r="AK1097" s="39">
        <f t="shared" si="85"/>
        <v>0</v>
      </c>
      <c r="AL1097" s="39">
        <f t="shared" si="88"/>
        <v>0</v>
      </c>
      <c r="AM1097" s="39">
        <f t="shared" si="89"/>
        <v>0</v>
      </c>
      <c r="AN1097" s="39">
        <f t="shared" si="86"/>
        <v>0</v>
      </c>
      <c r="AO1097" s="39">
        <f t="shared" si="87"/>
        <v>0</v>
      </c>
    </row>
    <row r="1098" spans="1:41" x14ac:dyDescent="0.3">
      <c r="A1098" s="20">
        <v>1000184670</v>
      </c>
      <c r="B1098" s="4" t="s">
        <v>147</v>
      </c>
      <c r="C1098" s="21"/>
      <c r="D1098" s="3"/>
      <c r="E1098" s="20">
        <v>1000184758</v>
      </c>
      <c r="F1098" s="4" t="s">
        <v>55</v>
      </c>
      <c r="G1098" s="21">
        <v>1000189802</v>
      </c>
      <c r="H1098" s="3" t="s">
        <v>105</v>
      </c>
      <c r="I1098" s="21">
        <v>1000189270</v>
      </c>
      <c r="J1098" s="3" t="s">
        <v>34</v>
      </c>
      <c r="K1098" s="20" t="s">
        <v>22</v>
      </c>
      <c r="L1098" s="39">
        <v>0</v>
      </c>
      <c r="M1098" s="39">
        <v>0</v>
      </c>
      <c r="N1098" s="39">
        <v>0</v>
      </c>
      <c r="O1098" s="39">
        <v>0</v>
      </c>
      <c r="P1098" s="39">
        <v>0</v>
      </c>
      <c r="Q1098" s="39">
        <v>0</v>
      </c>
      <c r="R1098" s="39">
        <v>0</v>
      </c>
      <c r="S1098" s="39">
        <v>0</v>
      </c>
      <c r="T1098" s="39">
        <v>0</v>
      </c>
      <c r="U1098" s="39">
        <v>0</v>
      </c>
      <c r="V1098" s="39">
        <v>0</v>
      </c>
      <c r="W1098" s="39">
        <v>0</v>
      </c>
      <c r="X1098" s="39">
        <v>0</v>
      </c>
      <c r="Y1098" s="39">
        <v>0</v>
      </c>
      <c r="Z1098" s="39">
        <v>0</v>
      </c>
      <c r="AA1098" s="39">
        <v>0</v>
      </c>
      <c r="AB1098" s="39">
        <v>0</v>
      </c>
      <c r="AC1098" s="39">
        <v>0</v>
      </c>
      <c r="AD1098" s="39">
        <v>0</v>
      </c>
      <c r="AE1098" s="39">
        <v>0</v>
      </c>
      <c r="AF1098" s="39">
        <v>0</v>
      </c>
      <c r="AG1098" s="39">
        <v>0</v>
      </c>
      <c r="AH1098" s="39"/>
      <c r="AI1098" s="39"/>
      <c r="AJ1098" s="40"/>
      <c r="AK1098" s="39">
        <f t="shared" si="85"/>
        <v>0</v>
      </c>
      <c r="AL1098" s="39">
        <f t="shared" si="88"/>
        <v>0</v>
      </c>
      <c r="AM1098" s="39">
        <f t="shared" si="89"/>
        <v>0</v>
      </c>
      <c r="AN1098" s="39">
        <f t="shared" si="86"/>
        <v>0</v>
      </c>
      <c r="AO1098" s="39">
        <f t="shared" si="87"/>
        <v>0</v>
      </c>
    </row>
    <row r="1099" spans="1:41" x14ac:dyDescent="0.3">
      <c r="A1099" s="20">
        <v>1000184670</v>
      </c>
      <c r="B1099" s="4" t="s">
        <v>147</v>
      </c>
      <c r="C1099" s="21"/>
      <c r="D1099" s="3"/>
      <c r="E1099" s="20">
        <v>1000184758</v>
      </c>
      <c r="F1099" s="4" t="s">
        <v>55</v>
      </c>
      <c r="G1099" s="21">
        <v>1000189802</v>
      </c>
      <c r="H1099" s="3" t="s">
        <v>105</v>
      </c>
      <c r="I1099" s="21">
        <v>1000189270</v>
      </c>
      <c r="J1099" s="3" t="s">
        <v>34</v>
      </c>
      <c r="K1099" s="20" t="s">
        <v>23</v>
      </c>
      <c r="L1099" s="39">
        <v>0</v>
      </c>
      <c r="M1099" s="39">
        <v>0</v>
      </c>
      <c r="N1099" s="39">
        <v>0</v>
      </c>
      <c r="O1099" s="39">
        <v>0</v>
      </c>
      <c r="P1099" s="39">
        <v>0</v>
      </c>
      <c r="Q1099" s="39">
        <v>0</v>
      </c>
      <c r="R1099" s="39">
        <v>0</v>
      </c>
      <c r="S1099" s="39">
        <v>0</v>
      </c>
      <c r="T1099" s="39">
        <v>0</v>
      </c>
      <c r="U1099" s="39">
        <v>0</v>
      </c>
      <c r="V1099" s="39">
        <v>0</v>
      </c>
      <c r="W1099" s="39">
        <v>0</v>
      </c>
      <c r="X1099" s="39">
        <v>0</v>
      </c>
      <c r="Y1099" s="39">
        <v>0</v>
      </c>
      <c r="Z1099" s="39">
        <v>0</v>
      </c>
      <c r="AA1099" s="39">
        <v>0</v>
      </c>
      <c r="AB1099" s="39">
        <v>0</v>
      </c>
      <c r="AC1099" s="39">
        <v>0</v>
      </c>
      <c r="AD1099" s="39">
        <v>0</v>
      </c>
      <c r="AE1099" s="39">
        <v>0</v>
      </c>
      <c r="AF1099" s="39">
        <v>0</v>
      </c>
      <c r="AG1099" s="39">
        <v>0</v>
      </c>
      <c r="AH1099" s="39"/>
      <c r="AI1099" s="39"/>
      <c r="AJ1099" s="40"/>
      <c r="AK1099" s="39">
        <f t="shared" si="85"/>
        <v>0</v>
      </c>
      <c r="AL1099" s="39">
        <f t="shared" si="88"/>
        <v>0</v>
      </c>
      <c r="AM1099" s="39">
        <f t="shared" si="89"/>
        <v>0</v>
      </c>
      <c r="AN1099" s="39">
        <f t="shared" si="86"/>
        <v>0</v>
      </c>
      <c r="AO1099" s="39">
        <f t="shared" si="87"/>
        <v>0</v>
      </c>
    </row>
    <row r="1100" spans="1:41" x14ac:dyDescent="0.3">
      <c r="A1100" s="20">
        <v>1000184670</v>
      </c>
      <c r="B1100" s="4" t="s">
        <v>147</v>
      </c>
      <c r="C1100" s="21"/>
      <c r="D1100" s="3"/>
      <c r="E1100" s="20">
        <v>1000184758</v>
      </c>
      <c r="F1100" s="4" t="s">
        <v>55</v>
      </c>
      <c r="G1100" s="21">
        <v>1000189802</v>
      </c>
      <c r="H1100" s="3" t="s">
        <v>105</v>
      </c>
      <c r="I1100" s="21">
        <v>1000189270</v>
      </c>
      <c r="J1100" s="3" t="s">
        <v>34</v>
      </c>
      <c r="K1100" s="20" t="s">
        <v>28</v>
      </c>
      <c r="L1100" s="39">
        <v>0</v>
      </c>
      <c r="M1100" s="39">
        <v>0</v>
      </c>
      <c r="N1100" s="39">
        <v>0</v>
      </c>
      <c r="O1100" s="39">
        <v>0</v>
      </c>
      <c r="P1100" s="39">
        <v>0</v>
      </c>
      <c r="Q1100" s="39">
        <v>0</v>
      </c>
      <c r="R1100" s="39">
        <v>0</v>
      </c>
      <c r="S1100" s="39">
        <v>0</v>
      </c>
      <c r="T1100" s="39">
        <v>0</v>
      </c>
      <c r="U1100" s="39">
        <v>0</v>
      </c>
      <c r="V1100" s="39">
        <v>0</v>
      </c>
      <c r="W1100" s="39">
        <v>0</v>
      </c>
      <c r="X1100" s="39">
        <v>0</v>
      </c>
      <c r="Y1100" s="39">
        <v>0</v>
      </c>
      <c r="Z1100" s="39">
        <v>0</v>
      </c>
      <c r="AA1100" s="39">
        <v>0</v>
      </c>
      <c r="AB1100" s="39">
        <v>0</v>
      </c>
      <c r="AC1100" s="39">
        <v>0</v>
      </c>
      <c r="AD1100" s="39">
        <v>0</v>
      </c>
      <c r="AE1100" s="39">
        <v>0</v>
      </c>
      <c r="AF1100" s="39">
        <v>0</v>
      </c>
      <c r="AG1100" s="39">
        <v>0</v>
      </c>
      <c r="AH1100" s="39"/>
      <c r="AI1100" s="39"/>
      <c r="AJ1100" s="40"/>
      <c r="AK1100" s="39">
        <f t="shared" si="85"/>
        <v>0</v>
      </c>
      <c r="AL1100" s="39">
        <f t="shared" si="88"/>
        <v>0</v>
      </c>
      <c r="AM1100" s="39">
        <f t="shared" si="89"/>
        <v>0</v>
      </c>
      <c r="AN1100" s="39">
        <f t="shared" si="86"/>
        <v>0</v>
      </c>
      <c r="AO1100" s="39">
        <f t="shared" si="87"/>
        <v>0</v>
      </c>
    </row>
    <row r="1101" spans="1:41" x14ac:dyDescent="0.3">
      <c r="A1101" s="20">
        <v>1000184670</v>
      </c>
      <c r="B1101" s="4" t="s">
        <v>147</v>
      </c>
      <c r="C1101" s="21"/>
      <c r="D1101" s="3"/>
      <c r="E1101" s="20">
        <v>1000184758</v>
      </c>
      <c r="F1101" s="4" t="s">
        <v>55</v>
      </c>
      <c r="G1101" s="21">
        <v>1000189802</v>
      </c>
      <c r="H1101" s="3" t="s">
        <v>105</v>
      </c>
      <c r="I1101" s="21">
        <v>1000189270</v>
      </c>
      <c r="J1101" s="3" t="s">
        <v>34</v>
      </c>
      <c r="K1101" s="20" t="s">
        <v>26</v>
      </c>
      <c r="L1101" s="39">
        <v>0</v>
      </c>
      <c r="M1101" s="39">
        <v>0</v>
      </c>
      <c r="N1101" s="39">
        <v>0</v>
      </c>
      <c r="O1101" s="39">
        <v>0</v>
      </c>
      <c r="P1101" s="39">
        <v>0</v>
      </c>
      <c r="Q1101" s="39">
        <v>0</v>
      </c>
      <c r="R1101" s="39">
        <v>0</v>
      </c>
      <c r="S1101" s="39">
        <v>0</v>
      </c>
      <c r="T1101" s="39">
        <v>0</v>
      </c>
      <c r="U1101" s="39">
        <v>0</v>
      </c>
      <c r="V1101" s="39">
        <v>0</v>
      </c>
      <c r="W1101" s="39">
        <v>0</v>
      </c>
      <c r="X1101" s="39">
        <v>0</v>
      </c>
      <c r="Y1101" s="39">
        <v>0</v>
      </c>
      <c r="Z1101" s="39">
        <v>0</v>
      </c>
      <c r="AA1101" s="39">
        <v>0</v>
      </c>
      <c r="AB1101" s="39">
        <v>0</v>
      </c>
      <c r="AC1101" s="39">
        <v>0</v>
      </c>
      <c r="AD1101" s="39">
        <v>0</v>
      </c>
      <c r="AE1101" s="39">
        <v>0</v>
      </c>
      <c r="AF1101" s="39">
        <v>0</v>
      </c>
      <c r="AG1101" s="39">
        <v>0</v>
      </c>
      <c r="AH1101" s="39"/>
      <c r="AI1101" s="39"/>
      <c r="AJ1101" s="40"/>
      <c r="AK1101" s="39">
        <f t="shared" si="85"/>
        <v>0</v>
      </c>
      <c r="AL1101" s="39">
        <f t="shared" si="88"/>
        <v>0</v>
      </c>
      <c r="AM1101" s="39">
        <f t="shared" si="89"/>
        <v>0</v>
      </c>
      <c r="AN1101" s="39">
        <f t="shared" si="86"/>
        <v>0</v>
      </c>
      <c r="AO1101" s="39">
        <f t="shared" si="87"/>
        <v>0</v>
      </c>
    </row>
    <row r="1102" spans="1:41" x14ac:dyDescent="0.3">
      <c r="A1102" s="20">
        <v>1000184670</v>
      </c>
      <c r="B1102" s="4" t="s">
        <v>147</v>
      </c>
      <c r="C1102" s="21"/>
      <c r="D1102" s="3"/>
      <c r="E1102" s="20">
        <v>1000184758</v>
      </c>
      <c r="F1102" s="4" t="s">
        <v>55</v>
      </c>
      <c r="G1102" s="21">
        <v>1000189802</v>
      </c>
      <c r="H1102" s="3" t="s">
        <v>105</v>
      </c>
      <c r="I1102" s="21">
        <v>1000189270</v>
      </c>
      <c r="J1102" s="3" t="s">
        <v>34</v>
      </c>
      <c r="K1102" s="20" t="s">
        <v>27</v>
      </c>
      <c r="L1102" s="39">
        <v>0</v>
      </c>
      <c r="M1102" s="39">
        <v>0</v>
      </c>
      <c r="N1102" s="39">
        <v>0</v>
      </c>
      <c r="O1102" s="39">
        <v>0</v>
      </c>
      <c r="P1102" s="39">
        <v>0</v>
      </c>
      <c r="Q1102" s="39">
        <v>0</v>
      </c>
      <c r="R1102" s="39">
        <v>0</v>
      </c>
      <c r="S1102" s="39">
        <v>0</v>
      </c>
      <c r="T1102" s="39">
        <v>0</v>
      </c>
      <c r="U1102" s="39">
        <v>0</v>
      </c>
      <c r="V1102" s="39">
        <v>0</v>
      </c>
      <c r="W1102" s="39">
        <v>0</v>
      </c>
      <c r="X1102" s="39">
        <v>0</v>
      </c>
      <c r="Y1102" s="39">
        <v>0</v>
      </c>
      <c r="Z1102" s="39">
        <v>0</v>
      </c>
      <c r="AA1102" s="39">
        <v>0</v>
      </c>
      <c r="AB1102" s="39">
        <v>0</v>
      </c>
      <c r="AC1102" s="39">
        <v>0</v>
      </c>
      <c r="AD1102" s="39">
        <v>0</v>
      </c>
      <c r="AE1102" s="39">
        <v>0</v>
      </c>
      <c r="AF1102" s="39">
        <v>0</v>
      </c>
      <c r="AG1102" s="39">
        <v>0</v>
      </c>
      <c r="AH1102" s="39"/>
      <c r="AI1102" s="39"/>
      <c r="AJ1102" s="40"/>
      <c r="AK1102" s="39">
        <f t="shared" si="85"/>
        <v>0</v>
      </c>
      <c r="AL1102" s="39">
        <f t="shared" si="88"/>
        <v>0</v>
      </c>
      <c r="AM1102" s="39">
        <f t="shared" si="89"/>
        <v>0</v>
      </c>
      <c r="AN1102" s="39">
        <f t="shared" si="86"/>
        <v>0</v>
      </c>
      <c r="AO1102" s="39">
        <f t="shared" si="87"/>
        <v>0</v>
      </c>
    </row>
    <row r="1103" spans="1:41" x14ac:dyDescent="0.3">
      <c r="A1103" s="20">
        <v>1000184670</v>
      </c>
      <c r="B1103" s="4" t="s">
        <v>147</v>
      </c>
      <c r="C1103" s="21"/>
      <c r="D1103" s="3"/>
      <c r="E1103" s="20">
        <v>1000184758</v>
      </c>
      <c r="F1103" s="4" t="s">
        <v>55</v>
      </c>
      <c r="G1103" s="21">
        <v>1000189802</v>
      </c>
      <c r="H1103" s="3" t="s">
        <v>105</v>
      </c>
      <c r="I1103" s="21">
        <v>1000189270</v>
      </c>
      <c r="J1103" s="3" t="s">
        <v>34</v>
      </c>
      <c r="K1103" s="20" t="s">
        <v>25</v>
      </c>
      <c r="L1103" s="39">
        <v>0</v>
      </c>
      <c r="M1103" s="39">
        <v>0</v>
      </c>
      <c r="N1103" s="39">
        <v>0</v>
      </c>
      <c r="O1103" s="39">
        <v>0</v>
      </c>
      <c r="P1103" s="39">
        <v>0</v>
      </c>
      <c r="Q1103" s="39">
        <v>0</v>
      </c>
      <c r="R1103" s="39">
        <v>0</v>
      </c>
      <c r="S1103" s="39">
        <v>0</v>
      </c>
      <c r="T1103" s="39">
        <v>0</v>
      </c>
      <c r="U1103" s="39">
        <v>0</v>
      </c>
      <c r="V1103" s="39">
        <v>0</v>
      </c>
      <c r="W1103" s="39">
        <v>0</v>
      </c>
      <c r="X1103" s="39">
        <v>0</v>
      </c>
      <c r="Y1103" s="39">
        <v>0</v>
      </c>
      <c r="Z1103" s="39">
        <v>0</v>
      </c>
      <c r="AA1103" s="39">
        <v>0</v>
      </c>
      <c r="AB1103" s="39">
        <v>0</v>
      </c>
      <c r="AC1103" s="39">
        <v>0</v>
      </c>
      <c r="AD1103" s="39">
        <v>0</v>
      </c>
      <c r="AE1103" s="39">
        <v>0</v>
      </c>
      <c r="AF1103" s="39">
        <v>0</v>
      </c>
      <c r="AG1103" s="39">
        <v>0</v>
      </c>
      <c r="AH1103" s="39"/>
      <c r="AI1103" s="39"/>
      <c r="AJ1103" s="40"/>
      <c r="AK1103" s="39">
        <f t="shared" si="85"/>
        <v>0</v>
      </c>
      <c r="AL1103" s="39">
        <f t="shared" si="88"/>
        <v>0</v>
      </c>
      <c r="AM1103" s="39">
        <f t="shared" si="89"/>
        <v>0</v>
      </c>
      <c r="AN1103" s="39">
        <f t="shared" si="86"/>
        <v>0</v>
      </c>
      <c r="AO1103" s="39">
        <f t="shared" si="87"/>
        <v>0</v>
      </c>
    </row>
    <row r="1104" spans="1:41" x14ac:dyDescent="0.3">
      <c r="A1104" s="20">
        <v>1000184670</v>
      </c>
      <c r="B1104" s="4" t="s">
        <v>147</v>
      </c>
      <c r="C1104" s="21"/>
      <c r="D1104" s="3"/>
      <c r="E1104" s="20">
        <v>1000185288</v>
      </c>
      <c r="F1104" s="4" t="s">
        <v>64</v>
      </c>
      <c r="G1104" s="21">
        <v>1000189803</v>
      </c>
      <c r="H1104" s="3" t="s">
        <v>97</v>
      </c>
      <c r="I1104" s="21">
        <v>1000189270</v>
      </c>
      <c r="J1104" s="3" t="s">
        <v>34</v>
      </c>
      <c r="K1104" s="20" t="s">
        <v>124</v>
      </c>
      <c r="L1104" s="39">
        <v>0</v>
      </c>
      <c r="M1104" s="39">
        <v>0</v>
      </c>
      <c r="N1104" s="39">
        <v>0</v>
      </c>
      <c r="O1104" s="39">
        <v>0</v>
      </c>
      <c r="P1104" s="39">
        <v>0</v>
      </c>
      <c r="Q1104" s="39">
        <v>0</v>
      </c>
      <c r="R1104" s="39">
        <v>0</v>
      </c>
      <c r="S1104" s="39">
        <v>0</v>
      </c>
      <c r="T1104" s="39">
        <v>0</v>
      </c>
      <c r="U1104" s="39">
        <v>0</v>
      </c>
      <c r="V1104" s="39">
        <v>0</v>
      </c>
      <c r="W1104" s="39">
        <v>0</v>
      </c>
      <c r="X1104" s="39">
        <v>0</v>
      </c>
      <c r="Y1104" s="39">
        <v>0</v>
      </c>
      <c r="Z1104" s="39">
        <v>0</v>
      </c>
      <c r="AA1104" s="39">
        <v>0</v>
      </c>
      <c r="AB1104" s="39">
        <v>0</v>
      </c>
      <c r="AC1104" s="39">
        <v>0</v>
      </c>
      <c r="AD1104" s="39">
        <v>0</v>
      </c>
      <c r="AE1104" s="39">
        <v>0</v>
      </c>
      <c r="AF1104" s="39">
        <v>0</v>
      </c>
      <c r="AG1104" s="39">
        <v>0</v>
      </c>
      <c r="AH1104" s="39"/>
      <c r="AI1104" s="39"/>
      <c r="AJ1104" s="40"/>
      <c r="AK1104" s="39">
        <f t="shared" si="85"/>
        <v>0</v>
      </c>
      <c r="AL1104" s="39">
        <f t="shared" si="88"/>
        <v>0</v>
      </c>
      <c r="AM1104" s="39">
        <f t="shared" si="89"/>
        <v>0</v>
      </c>
      <c r="AN1104" s="39">
        <f t="shared" si="86"/>
        <v>0</v>
      </c>
      <c r="AO1104" s="39">
        <f t="shared" si="87"/>
        <v>0</v>
      </c>
    </row>
    <row r="1105" spans="1:41" x14ac:dyDescent="0.3">
      <c r="A1105" s="20">
        <v>1000184670</v>
      </c>
      <c r="B1105" s="4" t="s">
        <v>147</v>
      </c>
      <c r="C1105" s="21"/>
      <c r="D1105" s="3"/>
      <c r="E1105" s="20">
        <v>1000185288</v>
      </c>
      <c r="F1105" s="4" t="s">
        <v>64</v>
      </c>
      <c r="G1105" s="21">
        <v>1000189803</v>
      </c>
      <c r="H1105" s="3" t="s">
        <v>97</v>
      </c>
      <c r="I1105" s="21">
        <v>1000189270</v>
      </c>
      <c r="J1105" s="3" t="s">
        <v>34</v>
      </c>
      <c r="K1105" s="20" t="s">
        <v>13</v>
      </c>
      <c r="L1105" s="39">
        <v>0</v>
      </c>
      <c r="M1105" s="39">
        <v>262.5</v>
      </c>
      <c r="N1105" s="39">
        <v>0</v>
      </c>
      <c r="O1105" s="39">
        <v>262.5</v>
      </c>
      <c r="P1105" s="39">
        <v>0</v>
      </c>
      <c r="Q1105" s="39">
        <v>0</v>
      </c>
      <c r="R1105" s="39">
        <v>548.4</v>
      </c>
      <c r="S1105" s="39">
        <v>0</v>
      </c>
      <c r="T1105" s="39">
        <v>384.85</v>
      </c>
      <c r="U1105" s="39">
        <v>1182.98</v>
      </c>
      <c r="V1105" s="39">
        <v>0</v>
      </c>
      <c r="W1105" s="39">
        <v>454.25</v>
      </c>
      <c r="X1105" s="39">
        <v>0</v>
      </c>
      <c r="Y1105" s="39">
        <v>0</v>
      </c>
      <c r="Z1105" s="39">
        <v>388.8</v>
      </c>
      <c r="AA1105" s="39">
        <v>0</v>
      </c>
      <c r="AB1105" s="39">
        <v>370.8</v>
      </c>
      <c r="AC1105" s="39">
        <v>272.68</v>
      </c>
      <c r="AD1105" s="39">
        <v>78</v>
      </c>
      <c r="AE1105" s="39">
        <v>121.2</v>
      </c>
      <c r="AF1105" s="39">
        <v>875.16</v>
      </c>
      <c r="AG1105" s="39">
        <v>270</v>
      </c>
      <c r="AH1105" s="39"/>
      <c r="AI1105" s="39"/>
      <c r="AJ1105" s="40"/>
      <c r="AK1105" s="39">
        <f t="shared" si="85"/>
        <v>257.95666666666665</v>
      </c>
      <c r="AL1105" s="39">
        <f t="shared" si="88"/>
        <v>235.9075</v>
      </c>
      <c r="AM1105" s="39">
        <f t="shared" si="89"/>
        <v>331.30666666666667</v>
      </c>
      <c r="AN1105" s="39">
        <f t="shared" si="86"/>
        <v>237.66399999999999</v>
      </c>
      <c r="AO1105" s="39">
        <f t="shared" si="87"/>
        <v>2376.64</v>
      </c>
    </row>
    <row r="1106" spans="1:41" x14ac:dyDescent="0.3">
      <c r="A1106" s="20">
        <v>1000184670</v>
      </c>
      <c r="B1106" s="4" t="s">
        <v>147</v>
      </c>
      <c r="C1106" s="21"/>
      <c r="D1106" s="3"/>
      <c r="E1106" s="20">
        <v>1000185288</v>
      </c>
      <c r="F1106" s="4" t="s">
        <v>64</v>
      </c>
      <c r="G1106" s="21">
        <v>1000189803</v>
      </c>
      <c r="H1106" s="3" t="s">
        <v>97</v>
      </c>
      <c r="I1106" s="21">
        <v>1000189270</v>
      </c>
      <c r="J1106" s="3" t="s">
        <v>34</v>
      </c>
      <c r="K1106" s="20" t="s">
        <v>14</v>
      </c>
      <c r="L1106" s="39">
        <v>0</v>
      </c>
      <c r="M1106" s="39">
        <v>0</v>
      </c>
      <c r="N1106" s="39">
        <v>0</v>
      </c>
      <c r="O1106" s="39">
        <v>0</v>
      </c>
      <c r="P1106" s="39">
        <v>0</v>
      </c>
      <c r="Q1106" s="39">
        <v>0</v>
      </c>
      <c r="R1106" s="39">
        <v>0</v>
      </c>
      <c r="S1106" s="39">
        <v>0</v>
      </c>
      <c r="T1106" s="39">
        <v>1302</v>
      </c>
      <c r="U1106" s="39">
        <v>0</v>
      </c>
      <c r="V1106" s="39">
        <v>0</v>
      </c>
      <c r="W1106" s="39">
        <v>437</v>
      </c>
      <c r="X1106" s="39">
        <v>0</v>
      </c>
      <c r="Y1106" s="39">
        <v>0</v>
      </c>
      <c r="Z1106" s="39">
        <v>816</v>
      </c>
      <c r="AA1106" s="39">
        <v>0</v>
      </c>
      <c r="AB1106" s="39">
        <v>0</v>
      </c>
      <c r="AC1106" s="39">
        <v>3360</v>
      </c>
      <c r="AD1106" s="39">
        <v>0</v>
      </c>
      <c r="AE1106" s="39">
        <v>451.56</v>
      </c>
      <c r="AF1106" s="39">
        <v>2145.1799999999998</v>
      </c>
      <c r="AG1106" s="39">
        <v>0</v>
      </c>
      <c r="AH1106" s="39"/>
      <c r="AI1106" s="39"/>
      <c r="AJ1106" s="40"/>
      <c r="AK1106" s="39">
        <f t="shared" si="85"/>
        <v>144.91666666666666</v>
      </c>
      <c r="AL1106" s="39">
        <f t="shared" si="88"/>
        <v>600.81166666666661</v>
      </c>
      <c r="AM1106" s="39">
        <f t="shared" si="89"/>
        <v>992.79</v>
      </c>
      <c r="AN1106" s="39">
        <f t="shared" si="86"/>
        <v>677.274</v>
      </c>
      <c r="AO1106" s="39">
        <f t="shared" si="87"/>
        <v>6772.74</v>
      </c>
    </row>
    <row r="1107" spans="1:41" x14ac:dyDescent="0.3">
      <c r="A1107" s="20">
        <v>1000184670</v>
      </c>
      <c r="B1107" s="4" t="s">
        <v>147</v>
      </c>
      <c r="C1107" s="21"/>
      <c r="D1107" s="3"/>
      <c r="E1107" s="20">
        <v>1000185288</v>
      </c>
      <c r="F1107" s="4" t="s">
        <v>64</v>
      </c>
      <c r="G1107" s="21">
        <v>1000189803</v>
      </c>
      <c r="H1107" s="3" t="s">
        <v>97</v>
      </c>
      <c r="I1107" s="21">
        <v>1000189270</v>
      </c>
      <c r="J1107" s="3" t="s">
        <v>34</v>
      </c>
      <c r="K1107" s="20" t="s">
        <v>16</v>
      </c>
      <c r="L1107" s="39">
        <v>0</v>
      </c>
      <c r="M1107" s="39">
        <v>0</v>
      </c>
      <c r="N1107" s="39">
        <v>78.52</v>
      </c>
      <c r="O1107" s="39">
        <v>0</v>
      </c>
      <c r="P1107" s="39">
        <v>0</v>
      </c>
      <c r="Q1107" s="39">
        <v>0</v>
      </c>
      <c r="R1107" s="39">
        <v>239.34</v>
      </c>
      <c r="S1107" s="39">
        <v>0</v>
      </c>
      <c r="T1107" s="39">
        <v>770.37</v>
      </c>
      <c r="U1107" s="39">
        <v>425.28</v>
      </c>
      <c r="V1107" s="39">
        <v>0</v>
      </c>
      <c r="W1107" s="39">
        <v>731.4</v>
      </c>
      <c r="X1107" s="39">
        <v>0</v>
      </c>
      <c r="Y1107" s="39">
        <v>0</v>
      </c>
      <c r="Z1107" s="39">
        <v>618.22</v>
      </c>
      <c r="AA1107" s="39">
        <v>0</v>
      </c>
      <c r="AB1107" s="39">
        <v>577.98</v>
      </c>
      <c r="AC1107" s="39">
        <v>419.08</v>
      </c>
      <c r="AD1107" s="39">
        <v>0</v>
      </c>
      <c r="AE1107" s="39">
        <v>20.399999999999999</v>
      </c>
      <c r="AF1107" s="39">
        <v>1221.6500000000001</v>
      </c>
      <c r="AG1107" s="39">
        <v>179.28</v>
      </c>
      <c r="AH1107" s="39"/>
      <c r="AI1107" s="39"/>
      <c r="AJ1107" s="40"/>
      <c r="AK1107" s="39">
        <f t="shared" si="85"/>
        <v>187.07583333333332</v>
      </c>
      <c r="AL1107" s="39">
        <f t="shared" si="88"/>
        <v>314.00083333333333</v>
      </c>
      <c r="AM1107" s="39">
        <f t="shared" si="89"/>
        <v>403.06500000000005</v>
      </c>
      <c r="AN1107" s="39">
        <f t="shared" si="86"/>
        <v>303.661</v>
      </c>
      <c r="AO1107" s="39">
        <f t="shared" si="87"/>
        <v>3036.61</v>
      </c>
    </row>
    <row r="1108" spans="1:41" x14ac:dyDescent="0.3">
      <c r="A1108" s="20">
        <v>1000184670</v>
      </c>
      <c r="B1108" s="4" t="s">
        <v>147</v>
      </c>
      <c r="C1108" s="21"/>
      <c r="D1108" s="3"/>
      <c r="E1108" s="20">
        <v>1000185288</v>
      </c>
      <c r="F1108" s="4" t="s">
        <v>64</v>
      </c>
      <c r="G1108" s="21">
        <v>1000189803</v>
      </c>
      <c r="H1108" s="3" t="s">
        <v>97</v>
      </c>
      <c r="I1108" s="21">
        <v>1000189270</v>
      </c>
      <c r="J1108" s="3" t="s">
        <v>34</v>
      </c>
      <c r="K1108" s="20" t="s">
        <v>15</v>
      </c>
      <c r="L1108" s="39">
        <v>0</v>
      </c>
      <c r="M1108" s="39">
        <v>152.25</v>
      </c>
      <c r="N1108" s="39">
        <v>259.2</v>
      </c>
      <c r="O1108" s="39">
        <v>922.05</v>
      </c>
      <c r="P1108" s="39">
        <v>0</v>
      </c>
      <c r="Q1108" s="39">
        <v>0</v>
      </c>
      <c r="R1108" s="39">
        <v>313.2</v>
      </c>
      <c r="S1108" s="39">
        <v>0</v>
      </c>
      <c r="T1108" s="39">
        <v>789.48</v>
      </c>
      <c r="U1108" s="39">
        <v>288</v>
      </c>
      <c r="V1108" s="39">
        <v>0</v>
      </c>
      <c r="W1108" s="39">
        <v>557.75</v>
      </c>
      <c r="X1108" s="39">
        <v>0</v>
      </c>
      <c r="Y1108" s="39">
        <v>900</v>
      </c>
      <c r="Z1108" s="39">
        <v>1180.77</v>
      </c>
      <c r="AA1108" s="39">
        <v>-450</v>
      </c>
      <c r="AB1108" s="39">
        <v>340.8</v>
      </c>
      <c r="AC1108" s="39">
        <v>135.37</v>
      </c>
      <c r="AD1108" s="39">
        <v>0</v>
      </c>
      <c r="AE1108" s="39">
        <v>42</v>
      </c>
      <c r="AF1108" s="39">
        <v>1309.3399999999999</v>
      </c>
      <c r="AG1108" s="39">
        <v>0</v>
      </c>
      <c r="AH1108" s="39"/>
      <c r="AI1108" s="39"/>
      <c r="AJ1108" s="40"/>
      <c r="AK1108" s="39">
        <f t="shared" si="85"/>
        <v>273.49416666666667</v>
      </c>
      <c r="AL1108" s="39">
        <f t="shared" si="88"/>
        <v>334.66916666666663</v>
      </c>
      <c r="AM1108" s="39">
        <f t="shared" si="89"/>
        <v>304.58499999999998</v>
      </c>
      <c r="AN1108" s="39">
        <f t="shared" si="86"/>
        <v>345.82799999999997</v>
      </c>
      <c r="AO1108" s="39">
        <f t="shared" si="87"/>
        <v>3458.2799999999997</v>
      </c>
    </row>
    <row r="1109" spans="1:41" x14ac:dyDescent="0.3">
      <c r="A1109" s="20">
        <v>1000184670</v>
      </c>
      <c r="B1109" s="4" t="s">
        <v>147</v>
      </c>
      <c r="C1109" s="21"/>
      <c r="D1109" s="3"/>
      <c r="E1109" s="20">
        <v>1000185288</v>
      </c>
      <c r="F1109" s="4" t="s">
        <v>64</v>
      </c>
      <c r="G1109" s="21">
        <v>1000189803</v>
      </c>
      <c r="H1109" s="3" t="s">
        <v>97</v>
      </c>
      <c r="I1109" s="21">
        <v>1000189270</v>
      </c>
      <c r="J1109" s="3" t="s">
        <v>34</v>
      </c>
      <c r="K1109" s="20" t="s">
        <v>33</v>
      </c>
      <c r="L1109" s="39">
        <v>0</v>
      </c>
      <c r="M1109" s="39">
        <v>341.77</v>
      </c>
      <c r="N1109" s="39">
        <v>0</v>
      </c>
      <c r="O1109" s="39">
        <v>0</v>
      </c>
      <c r="P1109" s="39">
        <v>0</v>
      </c>
      <c r="Q1109" s="39">
        <v>0</v>
      </c>
      <c r="R1109" s="39">
        <v>0</v>
      </c>
      <c r="S1109" s="39">
        <v>0</v>
      </c>
      <c r="T1109" s="39">
        <v>0</v>
      </c>
      <c r="U1109" s="39">
        <v>0</v>
      </c>
      <c r="V1109" s="39">
        <v>0</v>
      </c>
      <c r="W1109" s="39">
        <v>0</v>
      </c>
      <c r="X1109" s="39">
        <v>0</v>
      </c>
      <c r="Y1109" s="39">
        <v>0</v>
      </c>
      <c r="Z1109" s="39">
        <v>0</v>
      </c>
      <c r="AA1109" s="39">
        <v>0</v>
      </c>
      <c r="AB1109" s="39">
        <v>0</v>
      </c>
      <c r="AC1109" s="39">
        <v>0</v>
      </c>
      <c r="AD1109" s="39">
        <v>0</v>
      </c>
      <c r="AE1109" s="39">
        <v>0</v>
      </c>
      <c r="AF1109" s="39">
        <v>100</v>
      </c>
      <c r="AG1109" s="39">
        <v>0</v>
      </c>
      <c r="AH1109" s="39"/>
      <c r="AI1109" s="39"/>
      <c r="AJ1109" s="40"/>
      <c r="AK1109" s="39">
        <f t="shared" si="85"/>
        <v>28.480833333333333</v>
      </c>
      <c r="AL1109" s="39">
        <f t="shared" si="88"/>
        <v>8.3333333333333339</v>
      </c>
      <c r="AM1109" s="39">
        <f t="shared" si="89"/>
        <v>16.666666666666668</v>
      </c>
      <c r="AN1109" s="39">
        <f t="shared" si="86"/>
        <v>10</v>
      </c>
      <c r="AO1109" s="39">
        <f t="shared" si="87"/>
        <v>100</v>
      </c>
    </row>
    <row r="1110" spans="1:41" x14ac:dyDescent="0.3">
      <c r="A1110" s="20">
        <v>1000184670</v>
      </c>
      <c r="B1110" s="4" t="s">
        <v>147</v>
      </c>
      <c r="C1110" s="21"/>
      <c r="D1110" s="3"/>
      <c r="E1110" s="20">
        <v>1000185288</v>
      </c>
      <c r="F1110" s="4" t="s">
        <v>64</v>
      </c>
      <c r="G1110" s="21">
        <v>1000189803</v>
      </c>
      <c r="H1110" s="3" t="s">
        <v>97</v>
      </c>
      <c r="I1110" s="21">
        <v>1000189270</v>
      </c>
      <c r="J1110" s="3" t="s">
        <v>34</v>
      </c>
      <c r="K1110" s="20" t="s">
        <v>19</v>
      </c>
      <c r="L1110" s="39">
        <v>0</v>
      </c>
      <c r="M1110" s="39">
        <v>0</v>
      </c>
      <c r="N1110" s="39">
        <v>0</v>
      </c>
      <c r="O1110" s="39">
        <v>89.31</v>
      </c>
      <c r="P1110" s="39">
        <v>0</v>
      </c>
      <c r="Q1110" s="39">
        <v>0</v>
      </c>
      <c r="R1110" s="39">
        <v>664.2</v>
      </c>
      <c r="S1110" s="39">
        <v>0</v>
      </c>
      <c r="T1110" s="39">
        <v>0</v>
      </c>
      <c r="U1110" s="39">
        <v>0</v>
      </c>
      <c r="V1110" s="39">
        <v>0</v>
      </c>
      <c r="W1110" s="39">
        <v>0</v>
      </c>
      <c r="X1110" s="39">
        <v>0</v>
      </c>
      <c r="Y1110" s="39">
        <v>0</v>
      </c>
      <c r="Z1110" s="39">
        <v>0</v>
      </c>
      <c r="AA1110" s="39">
        <v>0</v>
      </c>
      <c r="AB1110" s="39">
        <v>0</v>
      </c>
      <c r="AC1110" s="39">
        <v>0</v>
      </c>
      <c r="AD1110" s="39">
        <v>0</v>
      </c>
      <c r="AE1110" s="39">
        <v>182.25</v>
      </c>
      <c r="AF1110" s="39">
        <v>68.31</v>
      </c>
      <c r="AG1110" s="39">
        <v>0</v>
      </c>
      <c r="AH1110" s="39"/>
      <c r="AI1110" s="39"/>
      <c r="AJ1110" s="40"/>
      <c r="AK1110" s="39">
        <f t="shared" si="85"/>
        <v>62.792499999999997</v>
      </c>
      <c r="AL1110" s="39">
        <f t="shared" si="88"/>
        <v>20.88</v>
      </c>
      <c r="AM1110" s="39">
        <f t="shared" si="89"/>
        <v>41.76</v>
      </c>
      <c r="AN1110" s="39">
        <f t="shared" si="86"/>
        <v>25.056000000000001</v>
      </c>
      <c r="AO1110" s="39">
        <f t="shared" si="87"/>
        <v>250.56</v>
      </c>
    </row>
    <row r="1111" spans="1:41" x14ac:dyDescent="0.3">
      <c r="A1111" s="20">
        <v>1000184670</v>
      </c>
      <c r="B1111" s="4" t="s">
        <v>147</v>
      </c>
      <c r="C1111" s="21"/>
      <c r="D1111" s="3"/>
      <c r="E1111" s="20">
        <v>1000185288</v>
      </c>
      <c r="F1111" s="4" t="s">
        <v>64</v>
      </c>
      <c r="G1111" s="21">
        <v>1000189803</v>
      </c>
      <c r="H1111" s="3" t="s">
        <v>97</v>
      </c>
      <c r="I1111" s="21">
        <v>1000189270</v>
      </c>
      <c r="J1111" s="3" t="s">
        <v>34</v>
      </c>
      <c r="K1111" s="20" t="s">
        <v>17</v>
      </c>
      <c r="L1111" s="39">
        <v>0</v>
      </c>
      <c r="M1111" s="39">
        <v>0</v>
      </c>
      <c r="N1111" s="39">
        <v>0</v>
      </c>
      <c r="O1111" s="39">
        <v>218.4</v>
      </c>
      <c r="P1111" s="39">
        <v>0</v>
      </c>
      <c r="Q1111" s="39">
        <v>0</v>
      </c>
      <c r="R1111" s="39">
        <v>0</v>
      </c>
      <c r="S1111" s="39">
        <v>0</v>
      </c>
      <c r="T1111" s="39">
        <v>499.2</v>
      </c>
      <c r="U1111" s="39">
        <v>240</v>
      </c>
      <c r="V1111" s="39">
        <v>0</v>
      </c>
      <c r="W1111" s="39">
        <v>264.5</v>
      </c>
      <c r="X1111" s="39">
        <v>0</v>
      </c>
      <c r="Y1111" s="39">
        <v>0</v>
      </c>
      <c r="Z1111" s="39">
        <v>530.4</v>
      </c>
      <c r="AA1111" s="39">
        <v>0</v>
      </c>
      <c r="AB1111" s="39">
        <v>265.2</v>
      </c>
      <c r="AC1111" s="39">
        <v>0</v>
      </c>
      <c r="AD1111" s="39">
        <v>0</v>
      </c>
      <c r="AE1111" s="39">
        <v>0</v>
      </c>
      <c r="AF1111" s="39">
        <v>140.4</v>
      </c>
      <c r="AG1111" s="39">
        <v>0</v>
      </c>
      <c r="AH1111" s="39"/>
      <c r="AI1111" s="39"/>
      <c r="AJ1111" s="40"/>
      <c r="AK1111" s="39">
        <f t="shared" si="85"/>
        <v>101.84166666666665</v>
      </c>
      <c r="AL1111" s="39">
        <f t="shared" si="88"/>
        <v>100.04166666666667</v>
      </c>
      <c r="AM1111" s="39">
        <f t="shared" si="89"/>
        <v>67.600000000000009</v>
      </c>
      <c r="AN1111" s="39">
        <f t="shared" si="86"/>
        <v>93.6</v>
      </c>
      <c r="AO1111" s="39">
        <f t="shared" si="87"/>
        <v>935.99999999999989</v>
      </c>
    </row>
    <row r="1112" spans="1:41" x14ac:dyDescent="0.3">
      <c r="A1112" s="20">
        <v>1000184670</v>
      </c>
      <c r="B1112" s="4" t="s">
        <v>147</v>
      </c>
      <c r="C1112" s="21"/>
      <c r="D1112" s="3"/>
      <c r="E1112" s="20">
        <v>1000185288</v>
      </c>
      <c r="F1112" s="4" t="s">
        <v>64</v>
      </c>
      <c r="G1112" s="21">
        <v>1000189803</v>
      </c>
      <c r="H1112" s="3" t="s">
        <v>97</v>
      </c>
      <c r="I1112" s="21">
        <v>1000189270</v>
      </c>
      <c r="J1112" s="3" t="s">
        <v>34</v>
      </c>
      <c r="K1112" s="20" t="s">
        <v>24</v>
      </c>
      <c r="L1112" s="39">
        <v>0</v>
      </c>
      <c r="M1112" s="39">
        <v>0</v>
      </c>
      <c r="N1112" s="39">
        <v>0</v>
      </c>
      <c r="O1112" s="39">
        <v>0</v>
      </c>
      <c r="P1112" s="39">
        <v>0</v>
      </c>
      <c r="Q1112" s="39">
        <v>0</v>
      </c>
      <c r="R1112" s="39">
        <v>0</v>
      </c>
      <c r="S1112" s="39">
        <v>0</v>
      </c>
      <c r="T1112" s="39">
        <v>0</v>
      </c>
      <c r="U1112" s="39">
        <v>0</v>
      </c>
      <c r="V1112" s="39">
        <v>0</v>
      </c>
      <c r="W1112" s="39">
        <v>0</v>
      </c>
      <c r="X1112" s="39">
        <v>0</v>
      </c>
      <c r="Y1112" s="39">
        <v>0</v>
      </c>
      <c r="Z1112" s="39">
        <v>0</v>
      </c>
      <c r="AA1112" s="39">
        <v>0</v>
      </c>
      <c r="AB1112" s="39">
        <v>0</v>
      </c>
      <c r="AC1112" s="39">
        <v>53.1</v>
      </c>
      <c r="AD1112" s="39">
        <v>0</v>
      </c>
      <c r="AE1112" s="39">
        <v>101.14</v>
      </c>
      <c r="AF1112" s="39">
        <v>143.93</v>
      </c>
      <c r="AG1112" s="39">
        <v>0</v>
      </c>
      <c r="AH1112" s="39"/>
      <c r="AI1112" s="39"/>
      <c r="AJ1112" s="40"/>
      <c r="AK1112" s="39">
        <f t="shared" si="85"/>
        <v>0</v>
      </c>
      <c r="AL1112" s="39">
        <f t="shared" si="88"/>
        <v>24.8475</v>
      </c>
      <c r="AM1112" s="39">
        <f t="shared" si="89"/>
        <v>49.695</v>
      </c>
      <c r="AN1112" s="39">
        <f t="shared" si="86"/>
        <v>29.817</v>
      </c>
      <c r="AO1112" s="39">
        <f t="shared" si="87"/>
        <v>298.17</v>
      </c>
    </row>
    <row r="1113" spans="1:41" x14ac:dyDescent="0.3">
      <c r="A1113" s="20">
        <v>1000184670</v>
      </c>
      <c r="B1113" s="4" t="s">
        <v>147</v>
      </c>
      <c r="C1113" s="21"/>
      <c r="D1113" s="3"/>
      <c r="E1113" s="20">
        <v>1000185288</v>
      </c>
      <c r="F1113" s="4" t="s">
        <v>64</v>
      </c>
      <c r="G1113" s="21">
        <v>1000189803</v>
      </c>
      <c r="H1113" s="3" t="s">
        <v>97</v>
      </c>
      <c r="I1113" s="21">
        <v>1000189270</v>
      </c>
      <c r="J1113" s="3" t="s">
        <v>34</v>
      </c>
      <c r="K1113" s="20" t="s">
        <v>18</v>
      </c>
      <c r="L1113" s="39">
        <v>0</v>
      </c>
      <c r="M1113" s="39">
        <v>0</v>
      </c>
      <c r="N1113" s="39">
        <v>0</v>
      </c>
      <c r="O1113" s="39">
        <v>161.69999999999999</v>
      </c>
      <c r="P1113" s="39">
        <v>0</v>
      </c>
      <c r="Q1113" s="39">
        <v>0</v>
      </c>
      <c r="R1113" s="39">
        <v>369.6</v>
      </c>
      <c r="S1113" s="39">
        <v>0</v>
      </c>
      <c r="T1113" s="39">
        <v>184.8</v>
      </c>
      <c r="U1113" s="39">
        <v>0</v>
      </c>
      <c r="V1113" s="39">
        <v>0</v>
      </c>
      <c r="W1113" s="39">
        <v>92</v>
      </c>
      <c r="X1113" s="39">
        <v>0</v>
      </c>
      <c r="Y1113" s="39">
        <v>0</v>
      </c>
      <c r="Z1113" s="39">
        <v>277.2</v>
      </c>
      <c r="AA1113" s="39">
        <v>0</v>
      </c>
      <c r="AB1113" s="39">
        <v>0</v>
      </c>
      <c r="AC1113" s="39">
        <v>222.72</v>
      </c>
      <c r="AD1113" s="39">
        <v>90.24</v>
      </c>
      <c r="AE1113" s="39">
        <v>76</v>
      </c>
      <c r="AF1113" s="39">
        <v>253.6</v>
      </c>
      <c r="AG1113" s="39">
        <v>0</v>
      </c>
      <c r="AH1113" s="39"/>
      <c r="AI1113" s="39"/>
      <c r="AJ1113" s="40"/>
      <c r="AK1113" s="39">
        <f t="shared" si="85"/>
        <v>67.341666666666654</v>
      </c>
      <c r="AL1113" s="39">
        <f t="shared" si="88"/>
        <v>84.313333333333333</v>
      </c>
      <c r="AM1113" s="39">
        <f t="shared" si="89"/>
        <v>107.09333333333332</v>
      </c>
      <c r="AN1113" s="39">
        <f t="shared" si="86"/>
        <v>91.975999999999999</v>
      </c>
      <c r="AO1113" s="39">
        <f t="shared" si="87"/>
        <v>919.76</v>
      </c>
    </row>
    <row r="1114" spans="1:41" x14ac:dyDescent="0.3">
      <c r="A1114" s="20">
        <v>1000184670</v>
      </c>
      <c r="B1114" s="4" t="s">
        <v>147</v>
      </c>
      <c r="C1114" s="21"/>
      <c r="D1114" s="3"/>
      <c r="E1114" s="20">
        <v>1000185288</v>
      </c>
      <c r="F1114" s="4" t="s">
        <v>64</v>
      </c>
      <c r="G1114" s="21">
        <v>1000189803</v>
      </c>
      <c r="H1114" s="3" t="s">
        <v>97</v>
      </c>
      <c r="I1114" s="21">
        <v>1000189270</v>
      </c>
      <c r="J1114" s="3" t="s">
        <v>34</v>
      </c>
      <c r="K1114" s="20" t="s">
        <v>29</v>
      </c>
      <c r="L1114" s="39">
        <v>0</v>
      </c>
      <c r="M1114" s="39">
        <v>0</v>
      </c>
      <c r="N1114" s="39">
        <v>0</v>
      </c>
      <c r="O1114" s="39">
        <v>0</v>
      </c>
      <c r="P1114" s="39">
        <v>0</v>
      </c>
      <c r="Q1114" s="39">
        <v>0</v>
      </c>
      <c r="R1114" s="39">
        <v>0</v>
      </c>
      <c r="S1114" s="39">
        <v>0</v>
      </c>
      <c r="T1114" s="39">
        <v>0</v>
      </c>
      <c r="U1114" s="39">
        <v>0</v>
      </c>
      <c r="V1114" s="39">
        <v>0</v>
      </c>
      <c r="W1114" s="39">
        <v>0</v>
      </c>
      <c r="X1114" s="39">
        <v>0</v>
      </c>
      <c r="Y1114" s="39">
        <v>0</v>
      </c>
      <c r="Z1114" s="39">
        <v>0</v>
      </c>
      <c r="AA1114" s="39">
        <v>3208.5</v>
      </c>
      <c r="AB1114" s="39">
        <v>779.59</v>
      </c>
      <c r="AC1114" s="39">
        <v>0</v>
      </c>
      <c r="AD1114" s="39">
        <v>164.35</v>
      </c>
      <c r="AE1114" s="39">
        <v>3468.2</v>
      </c>
      <c r="AF1114" s="39">
        <v>0</v>
      </c>
      <c r="AG1114" s="39">
        <v>0</v>
      </c>
      <c r="AH1114" s="39"/>
      <c r="AI1114" s="39"/>
      <c r="AJ1114" s="40"/>
      <c r="AK1114" s="39">
        <f t="shared" si="85"/>
        <v>0</v>
      </c>
      <c r="AL1114" s="39">
        <f t="shared" si="88"/>
        <v>635.0533333333334</v>
      </c>
      <c r="AM1114" s="39">
        <f t="shared" si="89"/>
        <v>735.35666666666657</v>
      </c>
      <c r="AN1114" s="39">
        <f t="shared" si="86"/>
        <v>762.06400000000008</v>
      </c>
      <c r="AO1114" s="39">
        <f t="shared" si="87"/>
        <v>7620.64</v>
      </c>
    </row>
    <row r="1115" spans="1:41" x14ac:dyDescent="0.3">
      <c r="A1115" s="20">
        <v>1000184670</v>
      </c>
      <c r="B1115" s="4" t="s">
        <v>147</v>
      </c>
      <c r="C1115" s="21"/>
      <c r="D1115" s="3"/>
      <c r="E1115" s="20">
        <v>1000185288</v>
      </c>
      <c r="F1115" s="4" t="s">
        <v>64</v>
      </c>
      <c r="G1115" s="21">
        <v>1000189803</v>
      </c>
      <c r="H1115" s="3" t="s">
        <v>97</v>
      </c>
      <c r="I1115" s="21">
        <v>1000189270</v>
      </c>
      <c r="J1115" s="3" t="s">
        <v>34</v>
      </c>
      <c r="K1115" s="20" t="s">
        <v>21</v>
      </c>
      <c r="L1115" s="39">
        <v>1856.4</v>
      </c>
      <c r="M1115" s="39">
        <v>0</v>
      </c>
      <c r="N1115" s="39">
        <v>0</v>
      </c>
      <c r="O1115" s="39">
        <v>542.5</v>
      </c>
      <c r="P1115" s="39">
        <v>0</v>
      </c>
      <c r="Q1115" s="39">
        <v>0</v>
      </c>
      <c r="R1115" s="39">
        <v>1410.5</v>
      </c>
      <c r="S1115" s="39">
        <v>0</v>
      </c>
      <c r="T1115" s="39">
        <v>0</v>
      </c>
      <c r="U1115" s="39">
        <v>1302</v>
      </c>
      <c r="V1115" s="39">
        <v>0</v>
      </c>
      <c r="W1115" s="39">
        <v>0</v>
      </c>
      <c r="X1115" s="39">
        <v>0</v>
      </c>
      <c r="Y1115" s="39">
        <v>0</v>
      </c>
      <c r="Z1115" s="39">
        <v>0</v>
      </c>
      <c r="AA1115" s="39">
        <v>0</v>
      </c>
      <c r="AB1115" s="39">
        <v>0</v>
      </c>
      <c r="AC1115" s="39">
        <v>133.94</v>
      </c>
      <c r="AD1115" s="39">
        <v>63.12</v>
      </c>
      <c r="AE1115" s="39">
        <v>0</v>
      </c>
      <c r="AF1115" s="39">
        <v>222.64000000000001</v>
      </c>
      <c r="AG1115" s="39">
        <v>0</v>
      </c>
      <c r="AH1115" s="39"/>
      <c r="AI1115" s="39"/>
      <c r="AJ1115" s="40"/>
      <c r="AK1115" s="39">
        <f t="shared" si="85"/>
        <v>425.95</v>
      </c>
      <c r="AL1115" s="39">
        <f t="shared" si="88"/>
        <v>34.975000000000001</v>
      </c>
      <c r="AM1115" s="39">
        <f t="shared" si="89"/>
        <v>69.95</v>
      </c>
      <c r="AN1115" s="39">
        <f t="shared" si="86"/>
        <v>41.970000000000006</v>
      </c>
      <c r="AO1115" s="39">
        <f t="shared" si="87"/>
        <v>419.70000000000005</v>
      </c>
    </row>
    <row r="1116" spans="1:41" x14ac:dyDescent="0.3">
      <c r="A1116" s="20">
        <v>1000184670</v>
      </c>
      <c r="B1116" s="4" t="s">
        <v>147</v>
      </c>
      <c r="C1116" s="21"/>
      <c r="D1116" s="3"/>
      <c r="E1116" s="20">
        <v>1000185288</v>
      </c>
      <c r="F1116" s="4" t="s">
        <v>64</v>
      </c>
      <c r="G1116" s="19">
        <v>1000189803</v>
      </c>
      <c r="H1116" s="3" t="s">
        <v>97</v>
      </c>
      <c r="I1116" s="21">
        <v>1000189270</v>
      </c>
      <c r="J1116" s="3" t="s">
        <v>34</v>
      </c>
      <c r="K1116" s="20" t="s">
        <v>20</v>
      </c>
      <c r="L1116" s="39">
        <v>0</v>
      </c>
      <c r="M1116" s="39">
        <v>0</v>
      </c>
      <c r="N1116" s="39">
        <v>0</v>
      </c>
      <c r="O1116" s="39">
        <v>83.48</v>
      </c>
      <c r="P1116" s="39">
        <v>0</v>
      </c>
      <c r="Q1116" s="39">
        <v>0</v>
      </c>
      <c r="R1116" s="39">
        <v>0</v>
      </c>
      <c r="S1116" s="39">
        <v>0</v>
      </c>
      <c r="T1116" s="39">
        <v>0</v>
      </c>
      <c r="U1116" s="39">
        <v>0</v>
      </c>
      <c r="V1116" s="39">
        <v>0</v>
      </c>
      <c r="W1116" s="39">
        <v>0</v>
      </c>
      <c r="X1116" s="39">
        <v>0</v>
      </c>
      <c r="Y1116" s="39">
        <v>0</v>
      </c>
      <c r="Z1116" s="39">
        <v>0</v>
      </c>
      <c r="AA1116" s="39">
        <v>0</v>
      </c>
      <c r="AB1116" s="39">
        <v>0</v>
      </c>
      <c r="AC1116" s="39">
        <v>85.18</v>
      </c>
      <c r="AD1116" s="39">
        <v>0</v>
      </c>
      <c r="AE1116" s="39">
        <v>0</v>
      </c>
      <c r="AF1116" s="39">
        <v>177.9</v>
      </c>
      <c r="AG1116" s="39">
        <v>1490.62</v>
      </c>
      <c r="AH1116" s="39"/>
      <c r="AI1116" s="39"/>
      <c r="AJ1116" s="40"/>
      <c r="AK1116" s="39">
        <f t="shared" si="85"/>
        <v>6.956666666666667</v>
      </c>
      <c r="AL1116" s="39">
        <f t="shared" si="88"/>
        <v>146.14166666666665</v>
      </c>
      <c r="AM1116" s="39">
        <f t="shared" si="89"/>
        <v>292.2833333333333</v>
      </c>
      <c r="AN1116" s="39">
        <f t="shared" si="86"/>
        <v>175.36999999999998</v>
      </c>
      <c r="AO1116" s="39">
        <f t="shared" si="87"/>
        <v>1753.6999999999998</v>
      </c>
    </row>
    <row r="1117" spans="1:41" x14ac:dyDescent="0.3">
      <c r="A1117" s="20">
        <v>1000184670</v>
      </c>
      <c r="B1117" s="4" t="s">
        <v>147</v>
      </c>
      <c r="C1117" s="21"/>
      <c r="D1117" s="3"/>
      <c r="E1117" s="20">
        <v>1000185288</v>
      </c>
      <c r="F1117" s="4" t="s">
        <v>64</v>
      </c>
      <c r="G1117" s="19">
        <v>1000189803</v>
      </c>
      <c r="H1117" s="3" t="s">
        <v>97</v>
      </c>
      <c r="I1117" s="21">
        <v>1000189270</v>
      </c>
      <c r="J1117" s="3" t="s">
        <v>34</v>
      </c>
      <c r="K1117" s="20" t="s">
        <v>22</v>
      </c>
      <c r="L1117" s="39">
        <v>0</v>
      </c>
      <c r="M1117" s="39">
        <v>182.7</v>
      </c>
      <c r="N1117" s="39">
        <v>486</v>
      </c>
      <c r="O1117" s="39">
        <v>664.65</v>
      </c>
      <c r="P1117" s="39">
        <v>0</v>
      </c>
      <c r="Q1117" s="39">
        <v>0</v>
      </c>
      <c r="R1117" s="39">
        <v>1548</v>
      </c>
      <c r="S1117" s="39">
        <v>0</v>
      </c>
      <c r="T1117" s="39">
        <v>0</v>
      </c>
      <c r="U1117" s="39">
        <v>228</v>
      </c>
      <c r="V1117" s="39">
        <v>0</v>
      </c>
      <c r="W1117" s="39">
        <v>0</v>
      </c>
      <c r="X1117" s="39">
        <v>0</v>
      </c>
      <c r="Y1117" s="39">
        <v>0</v>
      </c>
      <c r="Z1117" s="39">
        <v>0</v>
      </c>
      <c r="AA1117" s="39">
        <v>0</v>
      </c>
      <c r="AB1117" s="39">
        <v>0</v>
      </c>
      <c r="AC1117" s="39">
        <v>132.83000000000001</v>
      </c>
      <c r="AD1117" s="39">
        <v>458.72</v>
      </c>
      <c r="AE1117" s="39">
        <v>135</v>
      </c>
      <c r="AF1117" s="39">
        <v>307.02</v>
      </c>
      <c r="AG1117" s="39">
        <v>0</v>
      </c>
      <c r="AH1117" s="39"/>
      <c r="AI1117" s="39"/>
      <c r="AJ1117" s="40"/>
      <c r="AK1117" s="39">
        <f t="shared" si="85"/>
        <v>259.11250000000001</v>
      </c>
      <c r="AL1117" s="39">
        <f t="shared" si="88"/>
        <v>86.130833333333342</v>
      </c>
      <c r="AM1117" s="39">
        <f t="shared" si="89"/>
        <v>172.26166666666668</v>
      </c>
      <c r="AN1117" s="39">
        <f t="shared" si="86"/>
        <v>103.35700000000001</v>
      </c>
      <c r="AO1117" s="39">
        <f t="shared" si="87"/>
        <v>1033.5700000000002</v>
      </c>
    </row>
    <row r="1118" spans="1:41" x14ac:dyDescent="0.3">
      <c r="A1118" s="20">
        <v>1000184670</v>
      </c>
      <c r="B1118" s="4" t="s">
        <v>147</v>
      </c>
      <c r="C1118" s="21"/>
      <c r="D1118" s="3"/>
      <c r="E1118" s="20">
        <v>1000185288</v>
      </c>
      <c r="F1118" s="4" t="s">
        <v>64</v>
      </c>
      <c r="G1118" s="19">
        <v>1000189803</v>
      </c>
      <c r="H1118" s="3" t="s">
        <v>97</v>
      </c>
      <c r="I1118" s="21">
        <v>1000189270</v>
      </c>
      <c r="J1118" s="3" t="s">
        <v>34</v>
      </c>
      <c r="K1118" s="20" t="s">
        <v>23</v>
      </c>
      <c r="L1118" s="39">
        <v>0</v>
      </c>
      <c r="M1118" s="39">
        <v>138.6</v>
      </c>
      <c r="N1118" s="39">
        <v>90.06</v>
      </c>
      <c r="O1118" s="39">
        <v>0</v>
      </c>
      <c r="P1118" s="39">
        <v>0</v>
      </c>
      <c r="Q1118" s="39">
        <v>0</v>
      </c>
      <c r="R1118" s="39">
        <v>158.4</v>
      </c>
      <c r="S1118" s="39">
        <v>0</v>
      </c>
      <c r="T1118" s="39">
        <v>0</v>
      </c>
      <c r="U1118" s="39">
        <v>0</v>
      </c>
      <c r="V1118" s="39">
        <v>0</v>
      </c>
      <c r="W1118" s="39">
        <v>0</v>
      </c>
      <c r="X1118" s="39">
        <v>0</v>
      </c>
      <c r="Y1118" s="39">
        <v>0</v>
      </c>
      <c r="Z1118" s="39">
        <v>0</v>
      </c>
      <c r="AA1118" s="39">
        <v>0</v>
      </c>
      <c r="AB1118" s="39">
        <v>0</v>
      </c>
      <c r="AC1118" s="39">
        <v>0</v>
      </c>
      <c r="AD1118" s="39">
        <v>0</v>
      </c>
      <c r="AE1118" s="39">
        <v>0</v>
      </c>
      <c r="AF1118" s="39">
        <v>85.51</v>
      </c>
      <c r="AG1118" s="39">
        <v>0</v>
      </c>
      <c r="AH1118" s="39"/>
      <c r="AI1118" s="39"/>
      <c r="AJ1118" s="40"/>
      <c r="AK1118" s="39">
        <f t="shared" si="85"/>
        <v>32.255000000000003</v>
      </c>
      <c r="AL1118" s="39">
        <f t="shared" si="88"/>
        <v>7.1258333333333335</v>
      </c>
      <c r="AM1118" s="39">
        <f t="shared" si="89"/>
        <v>14.251666666666667</v>
      </c>
      <c r="AN1118" s="39">
        <f t="shared" si="86"/>
        <v>8.5510000000000002</v>
      </c>
      <c r="AO1118" s="39">
        <f t="shared" si="87"/>
        <v>85.51</v>
      </c>
    </row>
    <row r="1119" spans="1:41" x14ac:dyDescent="0.3">
      <c r="A1119" s="20">
        <v>1000184670</v>
      </c>
      <c r="B1119" s="4" t="s">
        <v>147</v>
      </c>
      <c r="C1119" s="21"/>
      <c r="D1119" s="3"/>
      <c r="E1119" s="20">
        <v>1000185288</v>
      </c>
      <c r="F1119" s="4" t="s">
        <v>64</v>
      </c>
      <c r="G1119" s="19">
        <v>1000189803</v>
      </c>
      <c r="H1119" s="3" t="s">
        <v>97</v>
      </c>
      <c r="I1119" s="21">
        <v>1000189270</v>
      </c>
      <c r="J1119" s="3" t="s">
        <v>34</v>
      </c>
      <c r="K1119" s="20" t="s">
        <v>28</v>
      </c>
      <c r="L1119" s="39">
        <v>0</v>
      </c>
      <c r="M1119" s="39">
        <v>0</v>
      </c>
      <c r="N1119" s="39">
        <v>0</v>
      </c>
      <c r="O1119" s="39">
        <v>0</v>
      </c>
      <c r="P1119" s="39">
        <v>0</v>
      </c>
      <c r="Q1119" s="39">
        <v>0</v>
      </c>
      <c r="R1119" s="39">
        <v>0</v>
      </c>
      <c r="S1119" s="39">
        <v>0</v>
      </c>
      <c r="T1119" s="39">
        <v>0</v>
      </c>
      <c r="U1119" s="39">
        <v>0</v>
      </c>
      <c r="V1119" s="39">
        <v>0</v>
      </c>
      <c r="W1119" s="39">
        <v>0</v>
      </c>
      <c r="X1119" s="39">
        <v>0</v>
      </c>
      <c r="Y1119" s="39">
        <v>0</v>
      </c>
      <c r="Z1119" s="39">
        <v>0</v>
      </c>
      <c r="AA1119" s="39">
        <v>0</v>
      </c>
      <c r="AB1119" s="39">
        <v>0</v>
      </c>
      <c r="AC1119" s="39">
        <v>0</v>
      </c>
      <c r="AD1119" s="39">
        <v>0</v>
      </c>
      <c r="AE1119" s="39">
        <v>0</v>
      </c>
      <c r="AF1119" s="39">
        <v>10.34</v>
      </c>
      <c r="AG1119" s="39">
        <v>0</v>
      </c>
      <c r="AH1119" s="39"/>
      <c r="AI1119" s="39"/>
      <c r="AJ1119" s="40"/>
      <c r="AK1119" s="39">
        <f t="shared" si="85"/>
        <v>0</v>
      </c>
      <c r="AL1119" s="39">
        <f t="shared" si="88"/>
        <v>0.86166666666666669</v>
      </c>
      <c r="AM1119" s="39">
        <f t="shared" si="89"/>
        <v>1.7233333333333334</v>
      </c>
      <c r="AN1119" s="39">
        <f t="shared" si="86"/>
        <v>1.034</v>
      </c>
      <c r="AO1119" s="39">
        <f t="shared" si="87"/>
        <v>10.34</v>
      </c>
    </row>
    <row r="1120" spans="1:41" x14ac:dyDescent="0.3">
      <c r="A1120" s="20">
        <v>1000184670</v>
      </c>
      <c r="B1120" s="4" t="s">
        <v>147</v>
      </c>
      <c r="C1120" s="21"/>
      <c r="D1120" s="3"/>
      <c r="E1120" s="20">
        <v>1000185288</v>
      </c>
      <c r="F1120" s="4" t="s">
        <v>64</v>
      </c>
      <c r="G1120" s="19">
        <v>1000189803</v>
      </c>
      <c r="H1120" s="3" t="s">
        <v>97</v>
      </c>
      <c r="I1120" s="21">
        <v>1000189270</v>
      </c>
      <c r="J1120" s="3" t="s">
        <v>34</v>
      </c>
      <c r="K1120" s="20" t="s">
        <v>26</v>
      </c>
      <c r="L1120" s="39">
        <v>0</v>
      </c>
      <c r="M1120" s="39">
        <v>0</v>
      </c>
      <c r="N1120" s="39">
        <v>0</v>
      </c>
      <c r="O1120" s="39">
        <v>0</v>
      </c>
      <c r="P1120" s="39">
        <v>0</v>
      </c>
      <c r="Q1120" s="39">
        <v>0</v>
      </c>
      <c r="R1120" s="39">
        <v>0</v>
      </c>
      <c r="S1120" s="39">
        <v>0</v>
      </c>
      <c r="T1120" s="39">
        <v>1200</v>
      </c>
      <c r="U1120" s="39">
        <v>0</v>
      </c>
      <c r="V1120" s="39">
        <v>0</v>
      </c>
      <c r="W1120" s="39">
        <v>0</v>
      </c>
      <c r="X1120" s="39">
        <v>379.3</v>
      </c>
      <c r="Y1120" s="39">
        <v>0</v>
      </c>
      <c r="Z1120" s="39">
        <v>660</v>
      </c>
      <c r="AA1120" s="39">
        <v>0</v>
      </c>
      <c r="AB1120" s="39">
        <v>0</v>
      </c>
      <c r="AC1120" s="39">
        <v>0</v>
      </c>
      <c r="AD1120" s="39">
        <v>0</v>
      </c>
      <c r="AE1120" s="39">
        <v>0</v>
      </c>
      <c r="AF1120" s="39">
        <v>1058.4000000000001</v>
      </c>
      <c r="AG1120" s="39">
        <v>0</v>
      </c>
      <c r="AH1120" s="39"/>
      <c r="AI1120" s="39"/>
      <c r="AJ1120" s="40"/>
      <c r="AK1120" s="39">
        <f t="shared" si="85"/>
        <v>100</v>
      </c>
      <c r="AL1120" s="39">
        <f t="shared" si="88"/>
        <v>174.80833333333331</v>
      </c>
      <c r="AM1120" s="39">
        <f t="shared" si="89"/>
        <v>176.4</v>
      </c>
      <c r="AN1120" s="39">
        <f t="shared" si="86"/>
        <v>209.76999999999998</v>
      </c>
      <c r="AO1120" s="39">
        <f t="shared" si="87"/>
        <v>2097.6999999999998</v>
      </c>
    </row>
    <row r="1121" spans="1:41" x14ac:dyDescent="0.3">
      <c r="A1121" s="20">
        <v>1000184670</v>
      </c>
      <c r="B1121" s="4" t="s">
        <v>147</v>
      </c>
      <c r="C1121" s="21"/>
      <c r="D1121" s="3"/>
      <c r="E1121" s="20">
        <v>1000185288</v>
      </c>
      <c r="F1121" s="4" t="s">
        <v>64</v>
      </c>
      <c r="G1121" s="19">
        <v>1000189803</v>
      </c>
      <c r="H1121" s="3" t="s">
        <v>97</v>
      </c>
      <c r="I1121" s="21">
        <v>1000189270</v>
      </c>
      <c r="J1121" s="3" t="s">
        <v>34</v>
      </c>
      <c r="K1121" s="20" t="s">
        <v>27</v>
      </c>
      <c r="L1121" s="39">
        <v>0</v>
      </c>
      <c r="M1121" s="39">
        <v>0</v>
      </c>
      <c r="N1121" s="39">
        <v>0</v>
      </c>
      <c r="O1121" s="39">
        <v>0</v>
      </c>
      <c r="P1121" s="39">
        <v>0</v>
      </c>
      <c r="Q1121" s="39">
        <v>0</v>
      </c>
      <c r="R1121" s="39">
        <v>0</v>
      </c>
      <c r="S1121" s="39">
        <v>0</v>
      </c>
      <c r="T1121" s="39">
        <v>0</v>
      </c>
      <c r="U1121" s="39">
        <v>0</v>
      </c>
      <c r="V1121" s="39">
        <v>0</v>
      </c>
      <c r="W1121" s="39">
        <v>0</v>
      </c>
      <c r="X1121" s="39">
        <v>0</v>
      </c>
      <c r="Y1121" s="39">
        <v>0</v>
      </c>
      <c r="Z1121" s="39">
        <v>0</v>
      </c>
      <c r="AA1121" s="39">
        <v>0</v>
      </c>
      <c r="AB1121" s="39">
        <v>0</v>
      </c>
      <c r="AC1121" s="39">
        <v>0</v>
      </c>
      <c r="AD1121" s="39">
        <v>0</v>
      </c>
      <c r="AE1121" s="39">
        <v>0</v>
      </c>
      <c r="AF1121" s="39">
        <v>0</v>
      </c>
      <c r="AG1121" s="39">
        <v>0</v>
      </c>
      <c r="AH1121" s="39"/>
      <c r="AI1121" s="39"/>
      <c r="AJ1121" s="40"/>
      <c r="AK1121" s="39">
        <f t="shared" si="85"/>
        <v>0</v>
      </c>
      <c r="AL1121" s="39">
        <f t="shared" si="88"/>
        <v>0</v>
      </c>
      <c r="AM1121" s="39">
        <f t="shared" si="89"/>
        <v>0</v>
      </c>
      <c r="AN1121" s="39">
        <f t="shared" si="86"/>
        <v>0</v>
      </c>
      <c r="AO1121" s="39">
        <f t="shared" si="87"/>
        <v>0</v>
      </c>
    </row>
    <row r="1122" spans="1:41" x14ac:dyDescent="0.3">
      <c r="A1122" s="20">
        <v>1000184670</v>
      </c>
      <c r="B1122" s="4" t="s">
        <v>147</v>
      </c>
      <c r="C1122" s="21"/>
      <c r="D1122" s="3"/>
      <c r="E1122" s="20">
        <v>1000185288</v>
      </c>
      <c r="F1122" s="4" t="s">
        <v>64</v>
      </c>
      <c r="G1122" s="19">
        <v>1000189803</v>
      </c>
      <c r="H1122" s="3" t="s">
        <v>97</v>
      </c>
      <c r="I1122" s="21">
        <v>1000189270</v>
      </c>
      <c r="J1122" s="3" t="s">
        <v>34</v>
      </c>
      <c r="K1122" s="20" t="s">
        <v>25</v>
      </c>
      <c r="L1122" s="39">
        <v>0</v>
      </c>
      <c r="M1122" s="39">
        <v>0</v>
      </c>
      <c r="N1122" s="39">
        <v>0</v>
      </c>
      <c r="O1122" s="39">
        <v>0</v>
      </c>
      <c r="P1122" s="39">
        <v>0</v>
      </c>
      <c r="Q1122" s="39">
        <v>0</v>
      </c>
      <c r="R1122" s="39">
        <v>0</v>
      </c>
      <c r="S1122" s="39">
        <v>0</v>
      </c>
      <c r="T1122" s="39">
        <v>324</v>
      </c>
      <c r="U1122" s="39">
        <v>0</v>
      </c>
      <c r="V1122" s="39">
        <v>0</v>
      </c>
      <c r="W1122" s="39">
        <v>189.75</v>
      </c>
      <c r="X1122" s="39">
        <v>96.6</v>
      </c>
      <c r="Y1122" s="39">
        <v>0</v>
      </c>
      <c r="Z1122" s="39">
        <v>360</v>
      </c>
      <c r="AA1122" s="39">
        <v>0</v>
      </c>
      <c r="AB1122" s="39">
        <v>85.5</v>
      </c>
      <c r="AC1122" s="39">
        <v>5940</v>
      </c>
      <c r="AD1122" s="39">
        <v>0</v>
      </c>
      <c r="AE1122" s="39">
        <v>0</v>
      </c>
      <c r="AF1122" s="39">
        <v>304.41000000000003</v>
      </c>
      <c r="AG1122" s="39">
        <v>0</v>
      </c>
      <c r="AH1122" s="39"/>
      <c r="AI1122" s="39"/>
      <c r="AJ1122" s="40"/>
      <c r="AK1122" s="39">
        <f t="shared" si="85"/>
        <v>42.8125</v>
      </c>
      <c r="AL1122" s="39">
        <f t="shared" si="88"/>
        <v>581.35500000000002</v>
      </c>
      <c r="AM1122" s="39">
        <f t="shared" si="89"/>
        <v>1054.9849999999999</v>
      </c>
      <c r="AN1122" s="39">
        <f t="shared" si="86"/>
        <v>678.65100000000007</v>
      </c>
      <c r="AO1122" s="39">
        <f t="shared" si="87"/>
        <v>6786.51</v>
      </c>
    </row>
    <row r="1123" spans="1:41" x14ac:dyDescent="0.3">
      <c r="A1123" s="20">
        <v>1000184670</v>
      </c>
      <c r="B1123" s="4" t="s">
        <v>147</v>
      </c>
      <c r="C1123" s="21"/>
      <c r="D1123" s="3"/>
      <c r="E1123" s="20">
        <v>1000185288</v>
      </c>
      <c r="F1123" s="4" t="s">
        <v>64</v>
      </c>
      <c r="G1123" s="21">
        <v>1000189804</v>
      </c>
      <c r="H1123" s="3" t="s">
        <v>89</v>
      </c>
      <c r="I1123" s="21">
        <v>1000189270</v>
      </c>
      <c r="J1123" s="3" t="s">
        <v>34</v>
      </c>
      <c r="K1123" s="20" t="s">
        <v>124</v>
      </c>
      <c r="L1123" s="39">
        <v>0</v>
      </c>
      <c r="M1123" s="39">
        <v>0</v>
      </c>
      <c r="N1123" s="39">
        <v>0</v>
      </c>
      <c r="O1123" s="39">
        <v>0</v>
      </c>
      <c r="P1123" s="39">
        <v>0</v>
      </c>
      <c r="Q1123" s="39">
        <v>0</v>
      </c>
      <c r="R1123" s="39">
        <v>0</v>
      </c>
      <c r="S1123" s="39">
        <v>0</v>
      </c>
      <c r="T1123" s="39">
        <v>0</v>
      </c>
      <c r="U1123" s="39">
        <v>0</v>
      </c>
      <c r="V1123" s="39">
        <v>0</v>
      </c>
      <c r="W1123" s="39">
        <v>0</v>
      </c>
      <c r="X1123" s="39">
        <v>0</v>
      </c>
      <c r="Y1123" s="39">
        <v>0</v>
      </c>
      <c r="Z1123" s="39">
        <v>0</v>
      </c>
      <c r="AA1123" s="39">
        <v>0</v>
      </c>
      <c r="AB1123" s="39">
        <v>0</v>
      </c>
      <c r="AC1123" s="39">
        <v>0</v>
      </c>
      <c r="AD1123" s="39">
        <v>0</v>
      </c>
      <c r="AE1123" s="39">
        <v>0</v>
      </c>
      <c r="AF1123" s="39">
        <v>0</v>
      </c>
      <c r="AG1123" s="39">
        <v>0</v>
      </c>
      <c r="AH1123" s="39"/>
      <c r="AI1123" s="39"/>
      <c r="AJ1123" s="40"/>
      <c r="AK1123" s="39">
        <f t="shared" si="85"/>
        <v>0</v>
      </c>
      <c r="AL1123" s="39">
        <f t="shared" si="88"/>
        <v>0</v>
      </c>
      <c r="AM1123" s="39">
        <f t="shared" si="89"/>
        <v>0</v>
      </c>
      <c r="AN1123" s="39">
        <f t="shared" si="86"/>
        <v>0</v>
      </c>
      <c r="AO1123" s="39">
        <f t="shared" si="87"/>
        <v>0</v>
      </c>
    </row>
    <row r="1124" spans="1:41" x14ac:dyDescent="0.3">
      <c r="A1124" s="20">
        <v>1000184670</v>
      </c>
      <c r="B1124" s="4" t="s">
        <v>147</v>
      </c>
      <c r="C1124" s="21"/>
      <c r="D1124" s="3"/>
      <c r="E1124" s="20">
        <v>1000185288</v>
      </c>
      <c r="F1124" s="4" t="s">
        <v>64</v>
      </c>
      <c r="G1124" s="21">
        <v>1000189804</v>
      </c>
      <c r="H1124" s="3" t="s">
        <v>89</v>
      </c>
      <c r="I1124" s="21">
        <v>1000189270</v>
      </c>
      <c r="J1124" s="3" t="s">
        <v>34</v>
      </c>
      <c r="K1124" s="20" t="s">
        <v>13</v>
      </c>
      <c r="L1124" s="39">
        <v>0</v>
      </c>
      <c r="M1124" s="39">
        <v>0</v>
      </c>
      <c r="N1124" s="39">
        <v>0</v>
      </c>
      <c r="O1124" s="39">
        <v>0</v>
      </c>
      <c r="P1124" s="39">
        <v>0</v>
      </c>
      <c r="Q1124" s="39">
        <v>0</v>
      </c>
      <c r="R1124" s="39">
        <v>626.35</v>
      </c>
      <c r="S1124" s="39">
        <v>0</v>
      </c>
      <c r="T1124" s="39">
        <v>0</v>
      </c>
      <c r="U1124" s="39">
        <v>0</v>
      </c>
      <c r="V1124" s="39">
        <v>0</v>
      </c>
      <c r="W1124" s="39">
        <v>0</v>
      </c>
      <c r="X1124" s="39">
        <v>0</v>
      </c>
      <c r="Y1124" s="39">
        <v>0</v>
      </c>
      <c r="Z1124" s="39">
        <v>99</v>
      </c>
      <c r="AA1124" s="39">
        <v>0</v>
      </c>
      <c r="AB1124" s="39">
        <v>133.19</v>
      </c>
      <c r="AC1124" s="39">
        <v>0</v>
      </c>
      <c r="AD1124" s="39">
        <v>0</v>
      </c>
      <c r="AE1124" s="39">
        <v>227.43</v>
      </c>
      <c r="AF1124" s="39">
        <v>0</v>
      </c>
      <c r="AG1124" s="39">
        <v>0</v>
      </c>
      <c r="AH1124" s="39"/>
      <c r="AI1124" s="39"/>
      <c r="AJ1124" s="40"/>
      <c r="AK1124" s="39">
        <f t="shared" si="85"/>
        <v>52.195833333333333</v>
      </c>
      <c r="AL1124" s="39">
        <f t="shared" si="88"/>
        <v>38.301666666666669</v>
      </c>
      <c r="AM1124" s="39">
        <f t="shared" si="89"/>
        <v>60.103333333333332</v>
      </c>
      <c r="AN1124" s="39">
        <f t="shared" si="86"/>
        <v>45.962000000000003</v>
      </c>
      <c r="AO1124" s="39">
        <f t="shared" si="87"/>
        <v>459.62</v>
      </c>
    </row>
    <row r="1125" spans="1:41" x14ac:dyDescent="0.3">
      <c r="A1125" s="20">
        <v>1000184670</v>
      </c>
      <c r="B1125" s="4" t="s">
        <v>147</v>
      </c>
      <c r="C1125" s="21"/>
      <c r="D1125" s="3"/>
      <c r="E1125" s="20">
        <v>1000185288</v>
      </c>
      <c r="F1125" s="4" t="s">
        <v>64</v>
      </c>
      <c r="G1125" s="21">
        <v>1000189804</v>
      </c>
      <c r="H1125" s="3" t="s">
        <v>89</v>
      </c>
      <c r="I1125" s="21">
        <v>1000189270</v>
      </c>
      <c r="J1125" s="3" t="s">
        <v>34</v>
      </c>
      <c r="K1125" s="20" t="s">
        <v>14</v>
      </c>
      <c r="L1125" s="39">
        <v>0</v>
      </c>
      <c r="M1125" s="39">
        <v>0</v>
      </c>
      <c r="N1125" s="39">
        <v>0</v>
      </c>
      <c r="O1125" s="39">
        <v>0</v>
      </c>
      <c r="P1125" s="39">
        <v>0</v>
      </c>
      <c r="Q1125" s="39">
        <v>0</v>
      </c>
      <c r="R1125" s="39">
        <v>0</v>
      </c>
      <c r="S1125" s="39">
        <v>0</v>
      </c>
      <c r="T1125" s="39">
        <v>0</v>
      </c>
      <c r="U1125" s="39">
        <v>0</v>
      </c>
      <c r="V1125" s="39">
        <v>0</v>
      </c>
      <c r="W1125" s="39">
        <v>0</v>
      </c>
      <c r="X1125" s="39">
        <v>0</v>
      </c>
      <c r="Y1125" s="39">
        <v>0</v>
      </c>
      <c r="Z1125" s="39">
        <v>0</v>
      </c>
      <c r="AA1125" s="39">
        <v>0</v>
      </c>
      <c r="AB1125" s="39">
        <v>51</v>
      </c>
      <c r="AC1125" s="39">
        <v>0</v>
      </c>
      <c r="AD1125" s="39">
        <v>0</v>
      </c>
      <c r="AE1125" s="39">
        <v>216.6</v>
      </c>
      <c r="AF1125" s="39">
        <v>0</v>
      </c>
      <c r="AG1125" s="39">
        <v>0</v>
      </c>
      <c r="AH1125" s="39"/>
      <c r="AI1125" s="39"/>
      <c r="AJ1125" s="40"/>
      <c r="AK1125" s="39">
        <f t="shared" si="85"/>
        <v>0</v>
      </c>
      <c r="AL1125" s="39">
        <f t="shared" si="88"/>
        <v>22.3</v>
      </c>
      <c r="AM1125" s="39">
        <f t="shared" si="89"/>
        <v>44.6</v>
      </c>
      <c r="AN1125" s="39">
        <f t="shared" si="86"/>
        <v>26.76</v>
      </c>
      <c r="AO1125" s="39">
        <f t="shared" si="87"/>
        <v>267.60000000000002</v>
      </c>
    </row>
    <row r="1126" spans="1:41" x14ac:dyDescent="0.3">
      <c r="A1126" s="20">
        <v>1000184670</v>
      </c>
      <c r="B1126" s="4" t="s">
        <v>147</v>
      </c>
      <c r="C1126" s="21"/>
      <c r="D1126" s="3"/>
      <c r="E1126" s="20">
        <v>1000185288</v>
      </c>
      <c r="F1126" s="4" t="s">
        <v>64</v>
      </c>
      <c r="G1126" s="21">
        <v>1000189804</v>
      </c>
      <c r="H1126" s="3" t="s">
        <v>89</v>
      </c>
      <c r="I1126" s="21">
        <v>1000189270</v>
      </c>
      <c r="J1126" s="3" t="s">
        <v>34</v>
      </c>
      <c r="K1126" s="20" t="s">
        <v>16</v>
      </c>
      <c r="L1126" s="39">
        <v>0</v>
      </c>
      <c r="M1126" s="39">
        <v>0</v>
      </c>
      <c r="N1126" s="39">
        <v>0</v>
      </c>
      <c r="O1126" s="39">
        <v>0</v>
      </c>
      <c r="P1126" s="39">
        <v>0</v>
      </c>
      <c r="Q1126" s="39">
        <v>0</v>
      </c>
      <c r="R1126" s="39">
        <v>159.56</v>
      </c>
      <c r="S1126" s="39">
        <v>0</v>
      </c>
      <c r="T1126" s="39">
        <v>0</v>
      </c>
      <c r="U1126" s="39">
        <v>0</v>
      </c>
      <c r="V1126" s="39">
        <v>0</v>
      </c>
      <c r="W1126" s="39">
        <v>0</v>
      </c>
      <c r="X1126" s="39">
        <v>0</v>
      </c>
      <c r="Y1126" s="39">
        <v>0</v>
      </c>
      <c r="Z1126" s="39">
        <v>0</v>
      </c>
      <c r="AA1126" s="39">
        <v>0</v>
      </c>
      <c r="AB1126" s="39">
        <v>66.319999999999993</v>
      </c>
      <c r="AC1126" s="39">
        <v>0</v>
      </c>
      <c r="AD1126" s="39">
        <v>0</v>
      </c>
      <c r="AE1126" s="39">
        <v>0</v>
      </c>
      <c r="AF1126" s="39">
        <v>0</v>
      </c>
      <c r="AG1126" s="39">
        <v>0</v>
      </c>
      <c r="AH1126" s="39"/>
      <c r="AI1126" s="39"/>
      <c r="AJ1126" s="40"/>
      <c r="AK1126" s="39">
        <f t="shared" si="85"/>
        <v>13.296666666666667</v>
      </c>
      <c r="AL1126" s="39">
        <f t="shared" si="88"/>
        <v>5.5266666666666664</v>
      </c>
      <c r="AM1126" s="39">
        <f t="shared" si="89"/>
        <v>11.053333333333333</v>
      </c>
      <c r="AN1126" s="39">
        <f t="shared" si="86"/>
        <v>6.6319999999999997</v>
      </c>
      <c r="AO1126" s="39">
        <f t="shared" si="87"/>
        <v>66.319999999999993</v>
      </c>
    </row>
    <row r="1127" spans="1:41" x14ac:dyDescent="0.3">
      <c r="A1127" s="20">
        <v>1000184670</v>
      </c>
      <c r="B1127" s="4" t="s">
        <v>147</v>
      </c>
      <c r="C1127" s="21"/>
      <c r="D1127" s="3"/>
      <c r="E1127" s="20">
        <v>1000185288</v>
      </c>
      <c r="F1127" s="4" t="s">
        <v>64</v>
      </c>
      <c r="G1127" s="21">
        <v>1000189804</v>
      </c>
      <c r="H1127" s="3" t="s">
        <v>89</v>
      </c>
      <c r="I1127" s="21">
        <v>1000189270</v>
      </c>
      <c r="J1127" s="3" t="s">
        <v>34</v>
      </c>
      <c r="K1127" s="20" t="s">
        <v>15</v>
      </c>
      <c r="L1127" s="39">
        <v>0</v>
      </c>
      <c r="M1127" s="39">
        <v>0</v>
      </c>
      <c r="N1127" s="39">
        <v>0</v>
      </c>
      <c r="O1127" s="39">
        <v>0</v>
      </c>
      <c r="P1127" s="39">
        <v>0</v>
      </c>
      <c r="Q1127" s="39">
        <v>0</v>
      </c>
      <c r="R1127" s="39">
        <v>106.92</v>
      </c>
      <c r="S1127" s="39">
        <v>0</v>
      </c>
      <c r="T1127" s="39">
        <v>0</v>
      </c>
      <c r="U1127" s="39">
        <v>0</v>
      </c>
      <c r="V1127" s="39">
        <v>0</v>
      </c>
      <c r="W1127" s="39">
        <v>0</v>
      </c>
      <c r="X1127" s="39">
        <v>0</v>
      </c>
      <c r="Y1127" s="39">
        <v>0</v>
      </c>
      <c r="Z1127" s="39">
        <v>0</v>
      </c>
      <c r="AA1127" s="39">
        <v>0</v>
      </c>
      <c r="AB1127" s="39">
        <v>0</v>
      </c>
      <c r="AC1127" s="39">
        <v>180.97</v>
      </c>
      <c r="AD1127" s="39">
        <v>0</v>
      </c>
      <c r="AE1127" s="39">
        <v>0</v>
      </c>
      <c r="AF1127" s="39">
        <v>0</v>
      </c>
      <c r="AG1127" s="39">
        <v>0</v>
      </c>
      <c r="AH1127" s="39"/>
      <c r="AI1127" s="39"/>
      <c r="AJ1127" s="40"/>
      <c r="AK1127" s="39">
        <f t="shared" si="85"/>
        <v>8.91</v>
      </c>
      <c r="AL1127" s="39">
        <f t="shared" si="88"/>
        <v>15.080833333333333</v>
      </c>
      <c r="AM1127" s="39">
        <f t="shared" si="89"/>
        <v>30.161666666666665</v>
      </c>
      <c r="AN1127" s="39">
        <f t="shared" si="86"/>
        <v>18.097000000000001</v>
      </c>
      <c r="AO1127" s="39">
        <f t="shared" si="87"/>
        <v>180.97</v>
      </c>
    </row>
    <row r="1128" spans="1:41" x14ac:dyDescent="0.3">
      <c r="A1128" s="20">
        <v>1000184670</v>
      </c>
      <c r="B1128" s="4" t="s">
        <v>147</v>
      </c>
      <c r="C1128" s="21"/>
      <c r="D1128" s="3"/>
      <c r="E1128" s="20">
        <v>1000185288</v>
      </c>
      <c r="F1128" s="4" t="s">
        <v>64</v>
      </c>
      <c r="G1128" s="21">
        <v>1000189804</v>
      </c>
      <c r="H1128" s="3" t="s">
        <v>89</v>
      </c>
      <c r="I1128" s="21">
        <v>1000189270</v>
      </c>
      <c r="J1128" s="3" t="s">
        <v>34</v>
      </c>
      <c r="K1128" s="20" t="s">
        <v>33</v>
      </c>
      <c r="L1128" s="39">
        <v>0</v>
      </c>
      <c r="M1128" s="39">
        <v>0</v>
      </c>
      <c r="N1128" s="39">
        <v>0</v>
      </c>
      <c r="O1128" s="39">
        <v>0</v>
      </c>
      <c r="P1128" s="39">
        <v>0</v>
      </c>
      <c r="Q1128" s="39">
        <v>0</v>
      </c>
      <c r="R1128" s="39">
        <v>0</v>
      </c>
      <c r="S1128" s="39">
        <v>0</v>
      </c>
      <c r="T1128" s="39">
        <v>0</v>
      </c>
      <c r="U1128" s="39">
        <v>0</v>
      </c>
      <c r="V1128" s="39">
        <v>0</v>
      </c>
      <c r="W1128" s="39">
        <v>0</v>
      </c>
      <c r="X1128" s="39">
        <v>0</v>
      </c>
      <c r="Y1128" s="39">
        <v>0</v>
      </c>
      <c r="Z1128" s="39">
        <v>0</v>
      </c>
      <c r="AA1128" s="39">
        <v>0</v>
      </c>
      <c r="AB1128" s="39">
        <v>0</v>
      </c>
      <c r="AC1128" s="39">
        <v>0</v>
      </c>
      <c r="AD1128" s="39">
        <v>0</v>
      </c>
      <c r="AE1128" s="39">
        <v>0</v>
      </c>
      <c r="AF1128" s="39">
        <v>0</v>
      </c>
      <c r="AG1128" s="39">
        <v>0</v>
      </c>
      <c r="AH1128" s="39"/>
      <c r="AI1128" s="39"/>
      <c r="AJ1128" s="40"/>
      <c r="AK1128" s="39">
        <f t="shared" si="85"/>
        <v>0</v>
      </c>
      <c r="AL1128" s="39">
        <f t="shared" si="88"/>
        <v>0</v>
      </c>
      <c r="AM1128" s="39">
        <f t="shared" si="89"/>
        <v>0</v>
      </c>
      <c r="AN1128" s="39">
        <f t="shared" si="86"/>
        <v>0</v>
      </c>
      <c r="AO1128" s="39">
        <f t="shared" si="87"/>
        <v>0</v>
      </c>
    </row>
    <row r="1129" spans="1:41" x14ac:dyDescent="0.3">
      <c r="A1129" s="20">
        <v>1000184670</v>
      </c>
      <c r="B1129" s="4" t="s">
        <v>147</v>
      </c>
      <c r="C1129" s="21"/>
      <c r="D1129" s="3"/>
      <c r="E1129" s="20">
        <v>1000185288</v>
      </c>
      <c r="F1129" s="4" t="s">
        <v>64</v>
      </c>
      <c r="G1129" s="21">
        <v>1000189804</v>
      </c>
      <c r="H1129" s="3" t="s">
        <v>89</v>
      </c>
      <c r="I1129" s="21">
        <v>1000189270</v>
      </c>
      <c r="J1129" s="3" t="s">
        <v>34</v>
      </c>
      <c r="K1129" s="20" t="s">
        <v>19</v>
      </c>
      <c r="L1129" s="39">
        <v>0</v>
      </c>
      <c r="M1129" s="39">
        <v>0</v>
      </c>
      <c r="N1129" s="39">
        <v>0</v>
      </c>
      <c r="O1129" s="39">
        <v>0</v>
      </c>
      <c r="P1129" s="39">
        <v>0</v>
      </c>
      <c r="Q1129" s="39">
        <v>0</v>
      </c>
      <c r="R1129" s="39">
        <v>0</v>
      </c>
      <c r="S1129" s="39">
        <v>0</v>
      </c>
      <c r="T1129" s="39">
        <v>0</v>
      </c>
      <c r="U1129" s="39">
        <v>0</v>
      </c>
      <c r="V1129" s="39">
        <v>0</v>
      </c>
      <c r="W1129" s="39">
        <v>0</v>
      </c>
      <c r="X1129" s="39">
        <v>0</v>
      </c>
      <c r="Y1129" s="39">
        <v>0</v>
      </c>
      <c r="Z1129" s="39">
        <v>108</v>
      </c>
      <c r="AA1129" s="39">
        <v>0</v>
      </c>
      <c r="AB1129" s="39">
        <v>68.400000000000006</v>
      </c>
      <c r="AC1129" s="39">
        <v>0</v>
      </c>
      <c r="AD1129" s="39">
        <v>0</v>
      </c>
      <c r="AE1129" s="39">
        <v>0</v>
      </c>
      <c r="AF1129" s="39">
        <v>0</v>
      </c>
      <c r="AG1129" s="39">
        <v>0</v>
      </c>
      <c r="AH1129" s="39"/>
      <c r="AI1129" s="39"/>
      <c r="AJ1129" s="40"/>
      <c r="AK1129" s="39">
        <f t="shared" si="85"/>
        <v>0</v>
      </c>
      <c r="AL1129" s="39">
        <f t="shared" si="88"/>
        <v>14.700000000000001</v>
      </c>
      <c r="AM1129" s="39">
        <f t="shared" si="89"/>
        <v>11.4</v>
      </c>
      <c r="AN1129" s="39">
        <f t="shared" si="86"/>
        <v>17.64</v>
      </c>
      <c r="AO1129" s="39">
        <f t="shared" si="87"/>
        <v>176.4</v>
      </c>
    </row>
    <row r="1130" spans="1:41" x14ac:dyDescent="0.3">
      <c r="A1130" s="20">
        <v>1000184670</v>
      </c>
      <c r="B1130" s="4" t="s">
        <v>147</v>
      </c>
      <c r="C1130" s="21"/>
      <c r="D1130" s="3"/>
      <c r="E1130" s="20">
        <v>1000185288</v>
      </c>
      <c r="F1130" s="4" t="s">
        <v>64</v>
      </c>
      <c r="G1130" s="21">
        <v>1000189804</v>
      </c>
      <c r="H1130" s="3" t="s">
        <v>89</v>
      </c>
      <c r="I1130" s="21">
        <v>1000189270</v>
      </c>
      <c r="J1130" s="3" t="s">
        <v>34</v>
      </c>
      <c r="K1130" s="20" t="s">
        <v>17</v>
      </c>
      <c r="L1130" s="39">
        <v>0</v>
      </c>
      <c r="M1130" s="39">
        <v>0</v>
      </c>
      <c r="N1130" s="39">
        <v>0</v>
      </c>
      <c r="O1130" s="39">
        <v>0</v>
      </c>
      <c r="P1130" s="39">
        <v>0</v>
      </c>
      <c r="Q1130" s="39">
        <v>0</v>
      </c>
      <c r="R1130" s="39">
        <v>0</v>
      </c>
      <c r="S1130" s="39">
        <v>0</v>
      </c>
      <c r="T1130" s="39">
        <v>0</v>
      </c>
      <c r="U1130" s="39">
        <v>0</v>
      </c>
      <c r="V1130" s="39">
        <v>0</v>
      </c>
      <c r="W1130" s="39">
        <v>0</v>
      </c>
      <c r="X1130" s="39">
        <v>0</v>
      </c>
      <c r="Y1130" s="39">
        <v>0</v>
      </c>
      <c r="Z1130" s="39">
        <v>0</v>
      </c>
      <c r="AA1130" s="39">
        <v>0</v>
      </c>
      <c r="AB1130" s="39">
        <v>0</v>
      </c>
      <c r="AC1130" s="39">
        <v>0</v>
      </c>
      <c r="AD1130" s="39">
        <v>0</v>
      </c>
      <c r="AE1130" s="39">
        <v>0</v>
      </c>
      <c r="AF1130" s="39">
        <v>0</v>
      </c>
      <c r="AG1130" s="39">
        <v>0</v>
      </c>
      <c r="AH1130" s="39"/>
      <c r="AI1130" s="39"/>
      <c r="AJ1130" s="40"/>
      <c r="AK1130" s="39">
        <f t="shared" si="85"/>
        <v>0</v>
      </c>
      <c r="AL1130" s="39">
        <f t="shared" si="88"/>
        <v>0</v>
      </c>
      <c r="AM1130" s="39">
        <f t="shared" si="89"/>
        <v>0</v>
      </c>
      <c r="AN1130" s="39">
        <f t="shared" si="86"/>
        <v>0</v>
      </c>
      <c r="AO1130" s="39">
        <f t="shared" si="87"/>
        <v>0</v>
      </c>
    </row>
    <row r="1131" spans="1:41" x14ac:dyDescent="0.3">
      <c r="A1131" s="20">
        <v>1000184670</v>
      </c>
      <c r="B1131" s="4" t="s">
        <v>147</v>
      </c>
      <c r="C1131" s="21"/>
      <c r="D1131" s="3"/>
      <c r="E1131" s="20">
        <v>1000185288</v>
      </c>
      <c r="F1131" s="4" t="s">
        <v>64</v>
      </c>
      <c r="G1131" s="21">
        <v>1000189804</v>
      </c>
      <c r="H1131" s="3" t="s">
        <v>89</v>
      </c>
      <c r="I1131" s="21">
        <v>1000189270</v>
      </c>
      <c r="J1131" s="3" t="s">
        <v>34</v>
      </c>
      <c r="K1131" s="20" t="s">
        <v>24</v>
      </c>
      <c r="L1131" s="39">
        <v>0</v>
      </c>
      <c r="M1131" s="39">
        <v>0</v>
      </c>
      <c r="N1131" s="39">
        <v>0</v>
      </c>
      <c r="O1131" s="39">
        <v>0</v>
      </c>
      <c r="P1131" s="39">
        <v>0</v>
      </c>
      <c r="Q1131" s="39">
        <v>0</v>
      </c>
      <c r="R1131" s="39">
        <v>122.64</v>
      </c>
      <c r="S1131" s="39">
        <v>0</v>
      </c>
      <c r="T1131" s="39">
        <v>0</v>
      </c>
      <c r="U1131" s="39">
        <v>0</v>
      </c>
      <c r="V1131" s="39">
        <v>0</v>
      </c>
      <c r="W1131" s="39">
        <v>0</v>
      </c>
      <c r="X1131" s="39">
        <v>0</v>
      </c>
      <c r="Y1131" s="39">
        <v>0</v>
      </c>
      <c r="Z1131" s="39">
        <v>0</v>
      </c>
      <c r="AA1131" s="39">
        <v>0</v>
      </c>
      <c r="AB1131" s="39">
        <v>0</v>
      </c>
      <c r="AC1131" s="39">
        <v>0</v>
      </c>
      <c r="AD1131" s="39">
        <v>0</v>
      </c>
      <c r="AE1131" s="39">
        <v>0</v>
      </c>
      <c r="AF1131" s="39">
        <v>0</v>
      </c>
      <c r="AG1131" s="39">
        <v>0</v>
      </c>
      <c r="AH1131" s="39"/>
      <c r="AI1131" s="39"/>
      <c r="AJ1131" s="40"/>
      <c r="AK1131" s="39">
        <f t="shared" si="85"/>
        <v>10.220000000000001</v>
      </c>
      <c r="AL1131" s="39">
        <f t="shared" si="88"/>
        <v>0</v>
      </c>
      <c r="AM1131" s="39">
        <f t="shared" si="89"/>
        <v>0</v>
      </c>
      <c r="AN1131" s="39">
        <f t="shared" si="86"/>
        <v>0</v>
      </c>
      <c r="AO1131" s="39">
        <f t="shared" si="87"/>
        <v>0</v>
      </c>
    </row>
    <row r="1132" spans="1:41" x14ac:dyDescent="0.3">
      <c r="A1132" s="20">
        <v>1000184670</v>
      </c>
      <c r="B1132" s="4" t="s">
        <v>147</v>
      </c>
      <c r="C1132" s="21"/>
      <c r="D1132" s="3"/>
      <c r="E1132" s="20">
        <v>1000185288</v>
      </c>
      <c r="F1132" s="4" t="s">
        <v>64</v>
      </c>
      <c r="G1132" s="21">
        <v>1000189804</v>
      </c>
      <c r="H1132" s="3" t="s">
        <v>89</v>
      </c>
      <c r="I1132" s="21">
        <v>1000189270</v>
      </c>
      <c r="J1132" s="3" t="s">
        <v>34</v>
      </c>
      <c r="K1132" s="20" t="s">
        <v>18</v>
      </c>
      <c r="L1132" s="39">
        <v>0</v>
      </c>
      <c r="M1132" s="39">
        <v>0</v>
      </c>
      <c r="N1132" s="39">
        <v>0</v>
      </c>
      <c r="O1132" s="39">
        <v>0</v>
      </c>
      <c r="P1132" s="39">
        <v>0</v>
      </c>
      <c r="Q1132" s="39">
        <v>0</v>
      </c>
      <c r="R1132" s="39">
        <v>0</v>
      </c>
      <c r="S1132" s="39">
        <v>0</v>
      </c>
      <c r="T1132" s="39">
        <v>0</v>
      </c>
      <c r="U1132" s="39">
        <v>0</v>
      </c>
      <c r="V1132" s="39">
        <v>0</v>
      </c>
      <c r="W1132" s="39">
        <v>0</v>
      </c>
      <c r="X1132" s="39">
        <v>0</v>
      </c>
      <c r="Y1132" s="39">
        <v>0</v>
      </c>
      <c r="Z1132" s="39">
        <v>0</v>
      </c>
      <c r="AA1132" s="39">
        <v>0</v>
      </c>
      <c r="AB1132" s="39">
        <v>0</v>
      </c>
      <c r="AC1132" s="39">
        <v>0</v>
      </c>
      <c r="AD1132" s="39">
        <v>0</v>
      </c>
      <c r="AE1132" s="39">
        <v>0</v>
      </c>
      <c r="AF1132" s="39">
        <v>0</v>
      </c>
      <c r="AG1132" s="39">
        <v>0</v>
      </c>
      <c r="AH1132" s="39"/>
      <c r="AI1132" s="39"/>
      <c r="AJ1132" s="40"/>
      <c r="AK1132" s="39">
        <f t="shared" si="85"/>
        <v>0</v>
      </c>
      <c r="AL1132" s="39">
        <f t="shared" si="88"/>
        <v>0</v>
      </c>
      <c r="AM1132" s="39">
        <f t="shared" si="89"/>
        <v>0</v>
      </c>
      <c r="AN1132" s="39">
        <f t="shared" si="86"/>
        <v>0</v>
      </c>
      <c r="AO1132" s="39">
        <f t="shared" si="87"/>
        <v>0</v>
      </c>
    </row>
    <row r="1133" spans="1:41" x14ac:dyDescent="0.3">
      <c r="A1133" s="20">
        <v>1000184670</v>
      </c>
      <c r="B1133" s="4" t="s">
        <v>147</v>
      </c>
      <c r="C1133" s="21"/>
      <c r="D1133" s="3"/>
      <c r="E1133" s="20">
        <v>1000185288</v>
      </c>
      <c r="F1133" s="4" t="s">
        <v>64</v>
      </c>
      <c r="G1133" s="21">
        <v>1000189804</v>
      </c>
      <c r="H1133" s="3" t="s">
        <v>89</v>
      </c>
      <c r="I1133" s="21">
        <v>1000189270</v>
      </c>
      <c r="J1133" s="3" t="s">
        <v>34</v>
      </c>
      <c r="K1133" s="20" t="s">
        <v>29</v>
      </c>
      <c r="L1133" s="39">
        <v>0</v>
      </c>
      <c r="M1133" s="39">
        <v>0</v>
      </c>
      <c r="N1133" s="39">
        <v>0</v>
      </c>
      <c r="O1133" s="39">
        <v>0</v>
      </c>
      <c r="P1133" s="39">
        <v>0</v>
      </c>
      <c r="Q1133" s="39">
        <v>0</v>
      </c>
      <c r="R1133" s="39">
        <v>0</v>
      </c>
      <c r="S1133" s="39">
        <v>0</v>
      </c>
      <c r="T1133" s="39">
        <v>0</v>
      </c>
      <c r="U1133" s="39">
        <v>0</v>
      </c>
      <c r="V1133" s="39">
        <v>0</v>
      </c>
      <c r="W1133" s="39">
        <v>0</v>
      </c>
      <c r="X1133" s="39">
        <v>0</v>
      </c>
      <c r="Y1133" s="39">
        <v>0</v>
      </c>
      <c r="Z1133" s="39">
        <v>0</v>
      </c>
      <c r="AA1133" s="39">
        <v>0</v>
      </c>
      <c r="AB1133" s="39">
        <v>445.85</v>
      </c>
      <c r="AC1133" s="39">
        <v>288</v>
      </c>
      <c r="AD1133" s="39">
        <v>0</v>
      </c>
      <c r="AE1133" s="39">
        <v>1190.7</v>
      </c>
      <c r="AF1133" s="39">
        <v>0</v>
      </c>
      <c r="AG1133" s="39">
        <v>0</v>
      </c>
      <c r="AH1133" s="39"/>
      <c r="AI1133" s="39"/>
      <c r="AJ1133" s="40"/>
      <c r="AK1133" s="39">
        <f t="shared" si="85"/>
        <v>0</v>
      </c>
      <c r="AL1133" s="39">
        <f t="shared" si="88"/>
        <v>160.37916666666669</v>
      </c>
      <c r="AM1133" s="39">
        <f t="shared" si="89"/>
        <v>320.75833333333338</v>
      </c>
      <c r="AN1133" s="39">
        <f t="shared" si="86"/>
        <v>192.45500000000001</v>
      </c>
      <c r="AO1133" s="39">
        <f t="shared" si="87"/>
        <v>1924.5500000000002</v>
      </c>
    </row>
    <row r="1134" spans="1:41" x14ac:dyDescent="0.3">
      <c r="A1134" s="20">
        <v>1000184670</v>
      </c>
      <c r="B1134" s="4" t="s">
        <v>147</v>
      </c>
      <c r="C1134" s="21"/>
      <c r="D1134" s="3"/>
      <c r="E1134" s="20">
        <v>1000185288</v>
      </c>
      <c r="F1134" s="4" t="s">
        <v>64</v>
      </c>
      <c r="G1134" s="21">
        <v>1000189804</v>
      </c>
      <c r="H1134" s="3" t="s">
        <v>89</v>
      </c>
      <c r="I1134" s="21">
        <v>1000189270</v>
      </c>
      <c r="J1134" s="3" t="s">
        <v>34</v>
      </c>
      <c r="K1134" s="20" t="s">
        <v>21</v>
      </c>
      <c r="L1134" s="39">
        <v>0</v>
      </c>
      <c r="M1134" s="39">
        <v>0</v>
      </c>
      <c r="N1134" s="39">
        <v>0</v>
      </c>
      <c r="O1134" s="39">
        <v>0</v>
      </c>
      <c r="P1134" s="39">
        <v>0</v>
      </c>
      <c r="Q1134" s="39">
        <v>0</v>
      </c>
      <c r="R1134" s="39">
        <v>0</v>
      </c>
      <c r="S1134" s="39">
        <v>0</v>
      </c>
      <c r="T1134" s="39">
        <v>0</v>
      </c>
      <c r="U1134" s="39">
        <v>0</v>
      </c>
      <c r="V1134" s="39">
        <v>0</v>
      </c>
      <c r="W1134" s="39">
        <v>0</v>
      </c>
      <c r="X1134" s="39">
        <v>0</v>
      </c>
      <c r="Y1134" s="39">
        <v>0</v>
      </c>
      <c r="Z1134" s="39">
        <v>99.84</v>
      </c>
      <c r="AA1134" s="39">
        <v>0</v>
      </c>
      <c r="AB1134" s="39">
        <v>24.75</v>
      </c>
      <c r="AC1134" s="39">
        <v>253.82</v>
      </c>
      <c r="AD1134" s="39">
        <v>0</v>
      </c>
      <c r="AE1134" s="39">
        <v>283.86</v>
      </c>
      <c r="AF1134" s="39">
        <v>0</v>
      </c>
      <c r="AG1134" s="39">
        <v>0</v>
      </c>
      <c r="AH1134" s="39"/>
      <c r="AI1134" s="39"/>
      <c r="AJ1134" s="40"/>
      <c r="AK1134" s="39">
        <f t="shared" si="85"/>
        <v>0</v>
      </c>
      <c r="AL1134" s="39">
        <f t="shared" si="88"/>
        <v>55.189166666666665</v>
      </c>
      <c r="AM1134" s="39">
        <f t="shared" si="89"/>
        <v>93.738333333333344</v>
      </c>
      <c r="AN1134" s="39">
        <f t="shared" si="86"/>
        <v>66.227000000000004</v>
      </c>
      <c r="AO1134" s="39">
        <f t="shared" si="87"/>
        <v>662.27</v>
      </c>
    </row>
    <row r="1135" spans="1:41" x14ac:dyDescent="0.3">
      <c r="A1135" s="20">
        <v>1000184670</v>
      </c>
      <c r="B1135" s="4" t="s">
        <v>147</v>
      </c>
      <c r="C1135" s="21"/>
      <c r="D1135" s="3"/>
      <c r="E1135" s="20">
        <v>1000185288</v>
      </c>
      <c r="F1135" s="4" t="s">
        <v>64</v>
      </c>
      <c r="G1135" s="21">
        <v>1000189804</v>
      </c>
      <c r="H1135" s="3" t="s">
        <v>89</v>
      </c>
      <c r="I1135" s="21">
        <v>1000189270</v>
      </c>
      <c r="J1135" s="3" t="s">
        <v>34</v>
      </c>
      <c r="K1135" s="20" t="s">
        <v>20</v>
      </c>
      <c r="L1135" s="39">
        <v>0</v>
      </c>
      <c r="M1135" s="39">
        <v>0</v>
      </c>
      <c r="N1135" s="39">
        <v>0</v>
      </c>
      <c r="O1135" s="39">
        <v>0</v>
      </c>
      <c r="P1135" s="39">
        <v>0</v>
      </c>
      <c r="Q1135" s="39">
        <v>0</v>
      </c>
      <c r="R1135" s="39">
        <v>210</v>
      </c>
      <c r="S1135" s="39">
        <v>0</v>
      </c>
      <c r="T1135" s="39">
        <v>0</v>
      </c>
      <c r="U1135" s="39">
        <v>0</v>
      </c>
      <c r="V1135" s="39">
        <v>0</v>
      </c>
      <c r="W1135" s="39">
        <v>0</v>
      </c>
      <c r="X1135" s="39">
        <v>0</v>
      </c>
      <c r="Y1135" s="39">
        <v>0</v>
      </c>
      <c r="Z1135" s="39">
        <v>0</v>
      </c>
      <c r="AA1135" s="39">
        <v>0</v>
      </c>
      <c r="AB1135" s="39">
        <v>0</v>
      </c>
      <c r="AC1135" s="39">
        <v>0</v>
      </c>
      <c r="AD1135" s="39">
        <v>0</v>
      </c>
      <c r="AE1135" s="39">
        <v>0</v>
      </c>
      <c r="AF1135" s="39">
        <v>0</v>
      </c>
      <c r="AG1135" s="39">
        <v>0</v>
      </c>
      <c r="AH1135" s="39"/>
      <c r="AI1135" s="39"/>
      <c r="AJ1135" s="40"/>
      <c r="AK1135" s="39">
        <f t="shared" si="85"/>
        <v>17.5</v>
      </c>
      <c r="AL1135" s="39">
        <f t="shared" si="88"/>
        <v>0</v>
      </c>
      <c r="AM1135" s="39">
        <f t="shared" si="89"/>
        <v>0</v>
      </c>
      <c r="AN1135" s="39">
        <f t="shared" si="86"/>
        <v>0</v>
      </c>
      <c r="AO1135" s="39">
        <f t="shared" si="87"/>
        <v>0</v>
      </c>
    </row>
    <row r="1136" spans="1:41" x14ac:dyDescent="0.3">
      <c r="A1136" s="20">
        <v>1000184670</v>
      </c>
      <c r="B1136" s="4" t="s">
        <v>147</v>
      </c>
      <c r="C1136" s="21"/>
      <c r="D1136" s="3"/>
      <c r="E1136" s="20">
        <v>1000185288</v>
      </c>
      <c r="F1136" s="4" t="s">
        <v>64</v>
      </c>
      <c r="G1136" s="21">
        <v>1000189804</v>
      </c>
      <c r="H1136" s="3" t="s">
        <v>89</v>
      </c>
      <c r="I1136" s="21">
        <v>1000189270</v>
      </c>
      <c r="J1136" s="3" t="s">
        <v>34</v>
      </c>
      <c r="K1136" s="20" t="s">
        <v>22</v>
      </c>
      <c r="L1136" s="39">
        <v>0</v>
      </c>
      <c r="M1136" s="39">
        <v>0</v>
      </c>
      <c r="N1136" s="39">
        <v>0</v>
      </c>
      <c r="O1136" s="39">
        <v>0</v>
      </c>
      <c r="P1136" s="39">
        <v>0</v>
      </c>
      <c r="Q1136" s="39">
        <v>0</v>
      </c>
      <c r="R1136" s="39">
        <v>228</v>
      </c>
      <c r="S1136" s="39">
        <v>0</v>
      </c>
      <c r="T1136" s="39">
        <v>0</v>
      </c>
      <c r="U1136" s="39">
        <v>0</v>
      </c>
      <c r="V1136" s="39">
        <v>0</v>
      </c>
      <c r="W1136" s="39">
        <v>0</v>
      </c>
      <c r="X1136" s="39">
        <v>0</v>
      </c>
      <c r="Y1136" s="39">
        <v>0</v>
      </c>
      <c r="Z1136" s="39">
        <v>0</v>
      </c>
      <c r="AA1136" s="39">
        <v>0</v>
      </c>
      <c r="AB1136" s="39">
        <v>33</v>
      </c>
      <c r="AC1136" s="39">
        <v>0</v>
      </c>
      <c r="AD1136" s="39">
        <v>0</v>
      </c>
      <c r="AE1136" s="39">
        <v>0</v>
      </c>
      <c r="AF1136" s="39">
        <v>0</v>
      </c>
      <c r="AG1136" s="39">
        <v>0</v>
      </c>
      <c r="AH1136" s="39"/>
      <c r="AI1136" s="39"/>
      <c r="AJ1136" s="40"/>
      <c r="AK1136" s="39">
        <f t="shared" ref="AK1136:AK1199" si="90">AVERAGE(L1136:W1136)</f>
        <v>19</v>
      </c>
      <c r="AL1136" s="39">
        <f t="shared" si="88"/>
        <v>2.75</v>
      </c>
      <c r="AM1136" s="39">
        <f t="shared" si="89"/>
        <v>5.5</v>
      </c>
      <c r="AN1136" s="39">
        <f t="shared" ref="AN1136:AN1199" si="91">AVERAGE(X1136:AI1136)</f>
        <v>3.3</v>
      </c>
      <c r="AO1136" s="39">
        <f t="shared" ref="AO1136:AO1199" si="92">SUM(X1136:AI1136)</f>
        <v>33</v>
      </c>
    </row>
    <row r="1137" spans="1:41" x14ac:dyDescent="0.3">
      <c r="A1137" s="20">
        <v>1000184670</v>
      </c>
      <c r="B1137" s="4" t="s">
        <v>147</v>
      </c>
      <c r="C1137" s="21"/>
      <c r="D1137" s="3"/>
      <c r="E1137" s="20">
        <v>1000185288</v>
      </c>
      <c r="F1137" s="4" t="s">
        <v>64</v>
      </c>
      <c r="G1137" s="21">
        <v>1000189804</v>
      </c>
      <c r="H1137" s="3" t="s">
        <v>89</v>
      </c>
      <c r="I1137" s="21">
        <v>1000189270</v>
      </c>
      <c r="J1137" s="3" t="s">
        <v>34</v>
      </c>
      <c r="K1137" s="20" t="s">
        <v>23</v>
      </c>
      <c r="L1137" s="39">
        <v>0</v>
      </c>
      <c r="M1137" s="39">
        <v>0</v>
      </c>
      <c r="N1137" s="39">
        <v>0</v>
      </c>
      <c r="O1137" s="39">
        <v>0</v>
      </c>
      <c r="P1137" s="39">
        <v>0</v>
      </c>
      <c r="Q1137" s="39">
        <v>0</v>
      </c>
      <c r="R1137" s="39">
        <v>0</v>
      </c>
      <c r="S1137" s="39">
        <v>0</v>
      </c>
      <c r="T1137" s="39">
        <v>0</v>
      </c>
      <c r="U1137" s="39">
        <v>0</v>
      </c>
      <c r="V1137" s="39">
        <v>0</v>
      </c>
      <c r="W1137" s="39">
        <v>0</v>
      </c>
      <c r="X1137" s="39">
        <v>0</v>
      </c>
      <c r="Y1137" s="39">
        <v>0</v>
      </c>
      <c r="Z1137" s="39">
        <v>0</v>
      </c>
      <c r="AA1137" s="39">
        <v>0</v>
      </c>
      <c r="AB1137" s="39">
        <v>29.21</v>
      </c>
      <c r="AC1137" s="39">
        <v>0</v>
      </c>
      <c r="AD1137" s="39">
        <v>0</v>
      </c>
      <c r="AE1137" s="39">
        <v>0</v>
      </c>
      <c r="AF1137" s="39">
        <v>0</v>
      </c>
      <c r="AG1137" s="39">
        <v>0</v>
      </c>
      <c r="AH1137" s="39"/>
      <c r="AI1137" s="39"/>
      <c r="AJ1137" s="40"/>
      <c r="AK1137" s="39">
        <f t="shared" si="90"/>
        <v>0</v>
      </c>
      <c r="AL1137" s="39">
        <f t="shared" si="88"/>
        <v>2.4341666666666666</v>
      </c>
      <c r="AM1137" s="39">
        <f t="shared" si="89"/>
        <v>4.8683333333333332</v>
      </c>
      <c r="AN1137" s="39">
        <f t="shared" si="91"/>
        <v>2.9210000000000003</v>
      </c>
      <c r="AO1137" s="39">
        <f t="shared" si="92"/>
        <v>29.21</v>
      </c>
    </row>
    <row r="1138" spans="1:41" x14ac:dyDescent="0.3">
      <c r="A1138" s="20">
        <v>1000184670</v>
      </c>
      <c r="B1138" s="4" t="s">
        <v>147</v>
      </c>
      <c r="C1138" s="21"/>
      <c r="D1138" s="3"/>
      <c r="E1138" s="20">
        <v>1000185288</v>
      </c>
      <c r="F1138" s="4" t="s">
        <v>64</v>
      </c>
      <c r="G1138" s="21">
        <v>1000189804</v>
      </c>
      <c r="H1138" s="3" t="s">
        <v>89</v>
      </c>
      <c r="I1138" s="21">
        <v>1000189270</v>
      </c>
      <c r="J1138" s="3" t="s">
        <v>34</v>
      </c>
      <c r="K1138" s="20" t="s">
        <v>28</v>
      </c>
      <c r="L1138" s="39">
        <v>0</v>
      </c>
      <c r="M1138" s="39">
        <v>0</v>
      </c>
      <c r="N1138" s="39">
        <v>0</v>
      </c>
      <c r="O1138" s="39">
        <v>0</v>
      </c>
      <c r="P1138" s="39">
        <v>0</v>
      </c>
      <c r="Q1138" s="39">
        <v>0</v>
      </c>
      <c r="R1138" s="39">
        <v>0</v>
      </c>
      <c r="S1138" s="39">
        <v>0</v>
      </c>
      <c r="T1138" s="39">
        <v>0</v>
      </c>
      <c r="U1138" s="39">
        <v>0</v>
      </c>
      <c r="V1138" s="39">
        <v>0</v>
      </c>
      <c r="W1138" s="39">
        <v>0</v>
      </c>
      <c r="X1138" s="39">
        <v>0</v>
      </c>
      <c r="Y1138" s="39">
        <v>0</v>
      </c>
      <c r="Z1138" s="39">
        <v>0</v>
      </c>
      <c r="AA1138" s="39">
        <v>0</v>
      </c>
      <c r="AB1138" s="39">
        <v>0</v>
      </c>
      <c r="AC1138" s="39">
        <v>0</v>
      </c>
      <c r="AD1138" s="39">
        <v>0</v>
      </c>
      <c r="AE1138" s="39">
        <v>0</v>
      </c>
      <c r="AF1138" s="39">
        <v>0</v>
      </c>
      <c r="AG1138" s="39">
        <v>0</v>
      </c>
      <c r="AH1138" s="39"/>
      <c r="AI1138" s="39"/>
      <c r="AJ1138" s="40"/>
      <c r="AK1138" s="39">
        <f t="shared" si="90"/>
        <v>0</v>
      </c>
      <c r="AL1138" s="39">
        <f t="shared" si="88"/>
        <v>0</v>
      </c>
      <c r="AM1138" s="39">
        <f t="shared" si="89"/>
        <v>0</v>
      </c>
      <c r="AN1138" s="39">
        <f t="shared" si="91"/>
        <v>0</v>
      </c>
      <c r="AO1138" s="39">
        <f t="shared" si="92"/>
        <v>0</v>
      </c>
    </row>
    <row r="1139" spans="1:41" x14ac:dyDescent="0.3">
      <c r="A1139" s="20">
        <v>1000184670</v>
      </c>
      <c r="B1139" s="4" t="s">
        <v>147</v>
      </c>
      <c r="C1139" s="21"/>
      <c r="D1139" s="3"/>
      <c r="E1139" s="20">
        <v>1000185288</v>
      </c>
      <c r="F1139" s="4" t="s">
        <v>64</v>
      </c>
      <c r="G1139" s="21">
        <v>1000189804</v>
      </c>
      <c r="H1139" s="3" t="s">
        <v>89</v>
      </c>
      <c r="I1139" s="21">
        <v>1000189270</v>
      </c>
      <c r="J1139" s="3" t="s">
        <v>34</v>
      </c>
      <c r="K1139" s="20" t="s">
        <v>26</v>
      </c>
      <c r="L1139" s="39">
        <v>0</v>
      </c>
      <c r="M1139" s="39">
        <v>0</v>
      </c>
      <c r="N1139" s="39">
        <v>0</v>
      </c>
      <c r="O1139" s="39">
        <v>0</v>
      </c>
      <c r="P1139" s="39">
        <v>0</v>
      </c>
      <c r="Q1139" s="39">
        <v>0</v>
      </c>
      <c r="R1139" s="39">
        <v>0</v>
      </c>
      <c r="S1139" s="39">
        <v>0</v>
      </c>
      <c r="T1139" s="39">
        <v>0</v>
      </c>
      <c r="U1139" s="39">
        <v>0</v>
      </c>
      <c r="V1139" s="39">
        <v>697.32</v>
      </c>
      <c r="W1139" s="39">
        <v>0</v>
      </c>
      <c r="X1139" s="39">
        <v>0</v>
      </c>
      <c r="Y1139" s="39">
        <v>0</v>
      </c>
      <c r="Z1139" s="39">
        <v>0</v>
      </c>
      <c r="AA1139" s="39">
        <v>0</v>
      </c>
      <c r="AB1139" s="39">
        <v>0</v>
      </c>
      <c r="AC1139" s="39">
        <v>0</v>
      </c>
      <c r="AD1139" s="39">
        <v>0</v>
      </c>
      <c r="AE1139" s="39">
        <v>456</v>
      </c>
      <c r="AF1139" s="39">
        <v>0</v>
      </c>
      <c r="AG1139" s="39">
        <v>0</v>
      </c>
      <c r="AH1139" s="39"/>
      <c r="AI1139" s="39"/>
      <c r="AJ1139" s="40"/>
      <c r="AK1139" s="39">
        <f t="shared" si="90"/>
        <v>58.110000000000007</v>
      </c>
      <c r="AL1139" s="39">
        <f t="shared" si="88"/>
        <v>96.110000000000014</v>
      </c>
      <c r="AM1139" s="39">
        <f t="shared" si="89"/>
        <v>76</v>
      </c>
      <c r="AN1139" s="39">
        <f t="shared" si="91"/>
        <v>45.6</v>
      </c>
      <c r="AO1139" s="39">
        <f t="shared" si="92"/>
        <v>456</v>
      </c>
    </row>
    <row r="1140" spans="1:41" x14ac:dyDescent="0.3">
      <c r="A1140" s="20">
        <v>1000184670</v>
      </c>
      <c r="B1140" s="4" t="s">
        <v>147</v>
      </c>
      <c r="C1140" s="21"/>
      <c r="D1140" s="3"/>
      <c r="E1140" s="20">
        <v>1000185288</v>
      </c>
      <c r="F1140" s="4" t="s">
        <v>64</v>
      </c>
      <c r="G1140" s="21">
        <v>1000189804</v>
      </c>
      <c r="H1140" s="3" t="s">
        <v>89</v>
      </c>
      <c r="I1140" s="21">
        <v>1000189270</v>
      </c>
      <c r="J1140" s="3" t="s">
        <v>34</v>
      </c>
      <c r="K1140" s="20" t="s">
        <v>27</v>
      </c>
      <c r="L1140" s="39">
        <v>0</v>
      </c>
      <c r="M1140" s="39">
        <v>0</v>
      </c>
      <c r="N1140" s="39">
        <v>0</v>
      </c>
      <c r="O1140" s="39">
        <v>0</v>
      </c>
      <c r="P1140" s="39">
        <v>0</v>
      </c>
      <c r="Q1140" s="39">
        <v>0</v>
      </c>
      <c r="R1140" s="39">
        <v>0</v>
      </c>
      <c r="S1140" s="39">
        <v>0</v>
      </c>
      <c r="T1140" s="39">
        <v>0</v>
      </c>
      <c r="U1140" s="39">
        <v>0</v>
      </c>
      <c r="V1140" s="39">
        <v>0</v>
      </c>
      <c r="W1140" s="39">
        <v>0</v>
      </c>
      <c r="X1140" s="39">
        <v>0</v>
      </c>
      <c r="Y1140" s="39">
        <v>0</v>
      </c>
      <c r="Z1140" s="39">
        <v>0</v>
      </c>
      <c r="AA1140" s="39">
        <v>0</v>
      </c>
      <c r="AB1140" s="39">
        <v>0</v>
      </c>
      <c r="AC1140" s="39">
        <v>0</v>
      </c>
      <c r="AD1140" s="39">
        <v>0</v>
      </c>
      <c r="AE1140" s="39">
        <v>0</v>
      </c>
      <c r="AF1140" s="39">
        <v>0</v>
      </c>
      <c r="AG1140" s="39">
        <v>0</v>
      </c>
      <c r="AH1140" s="39"/>
      <c r="AI1140" s="39"/>
      <c r="AJ1140" s="40"/>
      <c r="AK1140" s="39">
        <f t="shared" si="90"/>
        <v>0</v>
      </c>
      <c r="AL1140" s="39">
        <f t="shared" si="88"/>
        <v>0</v>
      </c>
      <c r="AM1140" s="39">
        <f t="shared" si="89"/>
        <v>0</v>
      </c>
      <c r="AN1140" s="39">
        <f t="shared" si="91"/>
        <v>0</v>
      </c>
      <c r="AO1140" s="39">
        <f t="shared" si="92"/>
        <v>0</v>
      </c>
    </row>
    <row r="1141" spans="1:41" x14ac:dyDescent="0.3">
      <c r="A1141" s="20">
        <v>1000184670</v>
      </c>
      <c r="B1141" s="4" t="s">
        <v>147</v>
      </c>
      <c r="C1141" s="21"/>
      <c r="D1141" s="3"/>
      <c r="E1141" s="20">
        <v>1000185288</v>
      </c>
      <c r="F1141" s="4" t="s">
        <v>64</v>
      </c>
      <c r="G1141" s="21">
        <v>1000189804</v>
      </c>
      <c r="H1141" s="3" t="s">
        <v>89</v>
      </c>
      <c r="I1141" s="21">
        <v>1000189270</v>
      </c>
      <c r="J1141" s="3" t="s">
        <v>34</v>
      </c>
      <c r="K1141" s="20" t="s">
        <v>25</v>
      </c>
      <c r="L1141" s="39">
        <v>0</v>
      </c>
      <c r="M1141" s="39">
        <v>0</v>
      </c>
      <c r="N1141" s="39">
        <v>0</v>
      </c>
      <c r="O1141" s="39">
        <v>0</v>
      </c>
      <c r="P1141" s="39">
        <v>0</v>
      </c>
      <c r="Q1141" s="39">
        <v>0</v>
      </c>
      <c r="R1141" s="39">
        <v>0</v>
      </c>
      <c r="S1141" s="39">
        <v>0</v>
      </c>
      <c r="T1141" s="39">
        <v>0</v>
      </c>
      <c r="U1141" s="39">
        <v>0</v>
      </c>
      <c r="V1141" s="39">
        <v>0</v>
      </c>
      <c r="W1141" s="39">
        <v>0</v>
      </c>
      <c r="X1141" s="39">
        <v>0</v>
      </c>
      <c r="Y1141" s="39">
        <v>0</v>
      </c>
      <c r="Z1141" s="39">
        <v>0</v>
      </c>
      <c r="AA1141" s="39">
        <v>0</v>
      </c>
      <c r="AB1141" s="39">
        <v>0</v>
      </c>
      <c r="AC1141" s="39">
        <v>0</v>
      </c>
      <c r="AD1141" s="39">
        <v>0</v>
      </c>
      <c r="AE1141" s="39">
        <v>0</v>
      </c>
      <c r="AF1141" s="39">
        <v>0</v>
      </c>
      <c r="AG1141" s="39">
        <v>0</v>
      </c>
      <c r="AH1141" s="39"/>
      <c r="AI1141" s="39"/>
      <c r="AJ1141" s="40"/>
      <c r="AK1141" s="39">
        <f t="shared" si="90"/>
        <v>0</v>
      </c>
      <c r="AL1141" s="39">
        <f t="shared" si="88"/>
        <v>0</v>
      </c>
      <c r="AM1141" s="39">
        <f t="shared" si="89"/>
        <v>0</v>
      </c>
      <c r="AN1141" s="39">
        <f t="shared" si="91"/>
        <v>0</v>
      </c>
      <c r="AO1141" s="39">
        <f t="shared" si="92"/>
        <v>0</v>
      </c>
    </row>
    <row r="1142" spans="1:41" x14ac:dyDescent="0.3">
      <c r="A1142" s="20">
        <v>1000184670</v>
      </c>
      <c r="B1142" s="4" t="s">
        <v>147</v>
      </c>
      <c r="C1142" s="21"/>
      <c r="D1142" s="3"/>
      <c r="E1142" s="20">
        <v>1000185288</v>
      </c>
      <c r="F1142" s="4" t="s">
        <v>64</v>
      </c>
      <c r="G1142" s="21">
        <v>1000189805</v>
      </c>
      <c r="H1142" s="3" t="s">
        <v>118</v>
      </c>
      <c r="I1142" s="21">
        <v>1000189270</v>
      </c>
      <c r="J1142" s="3" t="s">
        <v>34</v>
      </c>
      <c r="K1142" s="20" t="s">
        <v>124</v>
      </c>
      <c r="L1142" s="39">
        <v>0</v>
      </c>
      <c r="M1142" s="39">
        <v>0</v>
      </c>
      <c r="N1142" s="39">
        <v>0</v>
      </c>
      <c r="O1142" s="39">
        <v>0</v>
      </c>
      <c r="P1142" s="39">
        <v>0</v>
      </c>
      <c r="Q1142" s="39">
        <v>0</v>
      </c>
      <c r="R1142" s="39">
        <v>0</v>
      </c>
      <c r="S1142" s="39">
        <v>0</v>
      </c>
      <c r="T1142" s="39">
        <v>0</v>
      </c>
      <c r="U1142" s="39">
        <v>0</v>
      </c>
      <c r="V1142" s="39">
        <v>0</v>
      </c>
      <c r="W1142" s="39">
        <v>0</v>
      </c>
      <c r="X1142" s="39">
        <v>0</v>
      </c>
      <c r="Y1142" s="39">
        <v>0</v>
      </c>
      <c r="Z1142" s="39">
        <v>0</v>
      </c>
      <c r="AA1142" s="39">
        <v>0</v>
      </c>
      <c r="AB1142" s="39">
        <v>0</v>
      </c>
      <c r="AC1142" s="39">
        <v>0</v>
      </c>
      <c r="AD1142" s="39">
        <v>0</v>
      </c>
      <c r="AE1142" s="39">
        <v>0</v>
      </c>
      <c r="AF1142" s="39">
        <v>0</v>
      </c>
      <c r="AG1142" s="39">
        <v>0</v>
      </c>
      <c r="AH1142" s="39"/>
      <c r="AI1142" s="39"/>
      <c r="AJ1142" s="40"/>
      <c r="AK1142" s="39">
        <f t="shared" si="90"/>
        <v>0</v>
      </c>
      <c r="AL1142" s="39">
        <f t="shared" si="88"/>
        <v>0</v>
      </c>
      <c r="AM1142" s="39">
        <f t="shared" si="89"/>
        <v>0</v>
      </c>
      <c r="AN1142" s="39">
        <f t="shared" si="91"/>
        <v>0</v>
      </c>
      <c r="AO1142" s="39">
        <f t="shared" si="92"/>
        <v>0</v>
      </c>
    </row>
    <row r="1143" spans="1:41" x14ac:dyDescent="0.3">
      <c r="A1143" s="20">
        <v>1000184670</v>
      </c>
      <c r="B1143" s="4" t="s">
        <v>147</v>
      </c>
      <c r="C1143" s="21"/>
      <c r="D1143" s="3"/>
      <c r="E1143" s="20">
        <v>1000185288</v>
      </c>
      <c r="F1143" s="4" t="s">
        <v>64</v>
      </c>
      <c r="G1143" s="21">
        <v>1000189805</v>
      </c>
      <c r="H1143" s="3" t="s">
        <v>118</v>
      </c>
      <c r="I1143" s="21">
        <v>1000189270</v>
      </c>
      <c r="J1143" s="3" t="s">
        <v>34</v>
      </c>
      <c r="K1143" s="20" t="s">
        <v>13</v>
      </c>
      <c r="L1143" s="39">
        <v>0</v>
      </c>
      <c r="M1143" s="39">
        <v>0</v>
      </c>
      <c r="N1143" s="39">
        <v>600.77</v>
      </c>
      <c r="O1143" s="39">
        <v>0</v>
      </c>
      <c r="P1143" s="39">
        <v>0</v>
      </c>
      <c r="Q1143" s="39">
        <v>379.36</v>
      </c>
      <c r="R1143" s="39">
        <v>0</v>
      </c>
      <c r="S1143" s="39">
        <v>0</v>
      </c>
      <c r="T1143" s="39">
        <v>0</v>
      </c>
      <c r="U1143" s="39">
        <v>0</v>
      </c>
      <c r="V1143" s="39">
        <v>0</v>
      </c>
      <c r="W1143" s="39">
        <v>0</v>
      </c>
      <c r="X1143" s="39">
        <v>0</v>
      </c>
      <c r="Y1143" s="39">
        <v>688.8</v>
      </c>
      <c r="Z1143" s="39">
        <v>0</v>
      </c>
      <c r="AA1143" s="39">
        <v>715.2</v>
      </c>
      <c r="AB1143" s="39">
        <v>0</v>
      </c>
      <c r="AC1143" s="39">
        <v>0</v>
      </c>
      <c r="AD1143" s="39">
        <v>179.79</v>
      </c>
      <c r="AE1143" s="39">
        <v>0</v>
      </c>
      <c r="AF1143" s="39">
        <v>0</v>
      </c>
      <c r="AG1143" s="39">
        <v>370.01</v>
      </c>
      <c r="AH1143" s="39"/>
      <c r="AI1143" s="39"/>
      <c r="AJ1143" s="40"/>
      <c r="AK1143" s="39">
        <f t="shared" si="90"/>
        <v>81.677499999999995</v>
      </c>
      <c r="AL1143" s="39">
        <f t="shared" si="88"/>
        <v>162.81666666666666</v>
      </c>
      <c r="AM1143" s="39">
        <f t="shared" si="89"/>
        <v>91.633333333333326</v>
      </c>
      <c r="AN1143" s="39">
        <f t="shared" si="91"/>
        <v>195.38</v>
      </c>
      <c r="AO1143" s="39">
        <f t="shared" si="92"/>
        <v>1953.8</v>
      </c>
    </row>
    <row r="1144" spans="1:41" x14ac:dyDescent="0.3">
      <c r="A1144" s="20">
        <v>1000184670</v>
      </c>
      <c r="B1144" s="4" t="s">
        <v>147</v>
      </c>
      <c r="C1144" s="21"/>
      <c r="D1144" s="3"/>
      <c r="E1144" s="20">
        <v>1000185288</v>
      </c>
      <c r="F1144" s="4" t="s">
        <v>64</v>
      </c>
      <c r="G1144" s="21">
        <v>1000189805</v>
      </c>
      <c r="H1144" s="3" t="s">
        <v>118</v>
      </c>
      <c r="I1144" s="21">
        <v>1000189270</v>
      </c>
      <c r="J1144" s="3" t="s">
        <v>34</v>
      </c>
      <c r="K1144" s="20" t="s">
        <v>14</v>
      </c>
      <c r="L1144" s="39">
        <v>0</v>
      </c>
      <c r="M1144" s="39">
        <v>0</v>
      </c>
      <c r="N1144" s="39">
        <v>0</v>
      </c>
      <c r="O1144" s="39">
        <v>0</v>
      </c>
      <c r="P1144" s="39">
        <v>0</v>
      </c>
      <c r="Q1144" s="39">
        <v>0</v>
      </c>
      <c r="R1144" s="39">
        <v>0</v>
      </c>
      <c r="S1144" s="39">
        <v>0</v>
      </c>
      <c r="T1144" s="39">
        <v>0</v>
      </c>
      <c r="U1144" s="39">
        <v>0</v>
      </c>
      <c r="V1144" s="39">
        <v>0</v>
      </c>
      <c r="W1144" s="39">
        <v>0</v>
      </c>
      <c r="X1144" s="39">
        <v>0</v>
      </c>
      <c r="Y1144" s="39">
        <v>0</v>
      </c>
      <c r="Z1144" s="39">
        <v>0</v>
      </c>
      <c r="AA1144" s="39">
        <v>0</v>
      </c>
      <c r="AB1144" s="39">
        <v>0</v>
      </c>
      <c r="AC1144" s="39">
        <v>0</v>
      </c>
      <c r="AD1144" s="39">
        <v>0</v>
      </c>
      <c r="AE1144" s="39">
        <v>0</v>
      </c>
      <c r="AF1144" s="39">
        <v>0</v>
      </c>
      <c r="AG1144" s="39">
        <v>0</v>
      </c>
      <c r="AH1144" s="39"/>
      <c r="AI1144" s="39"/>
      <c r="AJ1144" s="40"/>
      <c r="AK1144" s="39">
        <f t="shared" si="90"/>
        <v>0</v>
      </c>
      <c r="AL1144" s="39">
        <f t="shared" si="88"/>
        <v>0</v>
      </c>
      <c r="AM1144" s="39">
        <f t="shared" si="89"/>
        <v>0</v>
      </c>
      <c r="AN1144" s="39">
        <f t="shared" si="91"/>
        <v>0</v>
      </c>
      <c r="AO1144" s="39">
        <f t="shared" si="92"/>
        <v>0</v>
      </c>
    </row>
    <row r="1145" spans="1:41" x14ac:dyDescent="0.3">
      <c r="A1145" s="20">
        <v>1000184670</v>
      </c>
      <c r="B1145" s="4" t="s">
        <v>147</v>
      </c>
      <c r="C1145" s="21"/>
      <c r="D1145" s="3"/>
      <c r="E1145" s="20">
        <v>1000185288</v>
      </c>
      <c r="F1145" s="4" t="s">
        <v>64</v>
      </c>
      <c r="G1145" s="21">
        <v>1000189805</v>
      </c>
      <c r="H1145" s="3" t="s">
        <v>118</v>
      </c>
      <c r="I1145" s="21">
        <v>1000189270</v>
      </c>
      <c r="J1145" s="3" t="s">
        <v>34</v>
      </c>
      <c r="K1145" s="20" t="s">
        <v>16</v>
      </c>
      <c r="L1145" s="39">
        <v>0</v>
      </c>
      <c r="M1145" s="39">
        <v>0</v>
      </c>
      <c r="N1145" s="39">
        <v>0</v>
      </c>
      <c r="O1145" s="39">
        <v>0</v>
      </c>
      <c r="P1145" s="39">
        <v>0</v>
      </c>
      <c r="Q1145" s="39">
        <v>0</v>
      </c>
      <c r="R1145" s="39">
        <v>0</v>
      </c>
      <c r="S1145" s="39">
        <v>0</v>
      </c>
      <c r="T1145" s="39">
        <v>0</v>
      </c>
      <c r="U1145" s="39">
        <v>0</v>
      </c>
      <c r="V1145" s="39">
        <v>0</v>
      </c>
      <c r="W1145" s="39">
        <v>0</v>
      </c>
      <c r="X1145" s="39">
        <v>0</v>
      </c>
      <c r="Y1145" s="39">
        <v>0</v>
      </c>
      <c r="Z1145" s="39">
        <v>0</v>
      </c>
      <c r="AA1145" s="39">
        <v>0</v>
      </c>
      <c r="AB1145" s="39">
        <v>0</v>
      </c>
      <c r="AC1145" s="39">
        <v>0</v>
      </c>
      <c r="AD1145" s="39">
        <v>0</v>
      </c>
      <c r="AE1145" s="39">
        <v>0</v>
      </c>
      <c r="AF1145" s="39">
        <v>0</v>
      </c>
      <c r="AG1145" s="39">
        <v>0</v>
      </c>
      <c r="AH1145" s="39"/>
      <c r="AI1145" s="39"/>
      <c r="AJ1145" s="40"/>
      <c r="AK1145" s="39">
        <f t="shared" si="90"/>
        <v>0</v>
      </c>
      <c r="AL1145" s="39">
        <f t="shared" si="88"/>
        <v>0</v>
      </c>
      <c r="AM1145" s="39">
        <f t="shared" si="89"/>
        <v>0</v>
      </c>
      <c r="AN1145" s="39">
        <f t="shared" si="91"/>
        <v>0</v>
      </c>
      <c r="AO1145" s="39">
        <f t="shared" si="92"/>
        <v>0</v>
      </c>
    </row>
    <row r="1146" spans="1:41" x14ac:dyDescent="0.3">
      <c r="A1146" s="20">
        <v>1000184670</v>
      </c>
      <c r="B1146" s="4" t="s">
        <v>147</v>
      </c>
      <c r="C1146" s="21"/>
      <c r="D1146" s="3"/>
      <c r="E1146" s="20">
        <v>1000185288</v>
      </c>
      <c r="F1146" s="4" t="s">
        <v>64</v>
      </c>
      <c r="G1146" s="19">
        <v>1000189805</v>
      </c>
      <c r="H1146" s="3" t="s">
        <v>118</v>
      </c>
      <c r="I1146" s="21">
        <v>1000189270</v>
      </c>
      <c r="J1146" s="3" t="s">
        <v>34</v>
      </c>
      <c r="K1146" s="20" t="s">
        <v>15</v>
      </c>
      <c r="L1146" s="39">
        <v>0</v>
      </c>
      <c r="M1146" s="39">
        <v>0</v>
      </c>
      <c r="N1146" s="39">
        <v>381.24</v>
      </c>
      <c r="O1146" s="39">
        <v>0</v>
      </c>
      <c r="P1146" s="39">
        <v>0</v>
      </c>
      <c r="Q1146" s="39">
        <v>0</v>
      </c>
      <c r="R1146" s="39">
        <v>0</v>
      </c>
      <c r="S1146" s="39">
        <v>0</v>
      </c>
      <c r="T1146" s="39">
        <v>0</v>
      </c>
      <c r="U1146" s="39">
        <v>0</v>
      </c>
      <c r="V1146" s="39">
        <v>0</v>
      </c>
      <c r="W1146" s="39">
        <v>0</v>
      </c>
      <c r="X1146" s="39">
        <v>0</v>
      </c>
      <c r="Y1146" s="39">
        <v>0</v>
      </c>
      <c r="Z1146" s="39">
        <v>0</v>
      </c>
      <c r="AA1146" s="39">
        <v>0</v>
      </c>
      <c r="AB1146" s="39">
        <v>0</v>
      </c>
      <c r="AC1146" s="39">
        <v>0</v>
      </c>
      <c r="AD1146" s="39">
        <v>0</v>
      </c>
      <c r="AE1146" s="39">
        <v>0</v>
      </c>
      <c r="AF1146" s="39">
        <v>0</v>
      </c>
      <c r="AG1146" s="39">
        <v>0</v>
      </c>
      <c r="AH1146" s="39"/>
      <c r="AI1146" s="39"/>
      <c r="AJ1146" s="40"/>
      <c r="AK1146" s="39">
        <f t="shared" si="90"/>
        <v>31.77</v>
      </c>
      <c r="AL1146" s="39">
        <f t="shared" si="88"/>
        <v>0</v>
      </c>
      <c r="AM1146" s="39">
        <f t="shared" si="89"/>
        <v>0</v>
      </c>
      <c r="AN1146" s="39">
        <f t="shared" si="91"/>
        <v>0</v>
      </c>
      <c r="AO1146" s="39">
        <f t="shared" si="92"/>
        <v>0</v>
      </c>
    </row>
    <row r="1147" spans="1:41" x14ac:dyDescent="0.3">
      <c r="A1147" s="20">
        <v>1000184670</v>
      </c>
      <c r="B1147" s="4" t="s">
        <v>147</v>
      </c>
      <c r="C1147" s="21"/>
      <c r="D1147" s="3"/>
      <c r="E1147" s="20">
        <v>1000185288</v>
      </c>
      <c r="F1147" s="4" t="s">
        <v>64</v>
      </c>
      <c r="G1147" s="19">
        <v>1000189805</v>
      </c>
      <c r="H1147" s="3" t="s">
        <v>118</v>
      </c>
      <c r="I1147" s="21">
        <v>1000189270</v>
      </c>
      <c r="J1147" s="3" t="s">
        <v>34</v>
      </c>
      <c r="K1147" s="20" t="s">
        <v>33</v>
      </c>
      <c r="L1147" s="39">
        <v>0</v>
      </c>
      <c r="M1147" s="39">
        <v>0</v>
      </c>
      <c r="N1147" s="39">
        <v>0</v>
      </c>
      <c r="O1147" s="39">
        <v>0</v>
      </c>
      <c r="P1147" s="39">
        <v>0</v>
      </c>
      <c r="Q1147" s="39">
        <v>0</v>
      </c>
      <c r="R1147" s="39">
        <v>0</v>
      </c>
      <c r="S1147" s="39">
        <v>0</v>
      </c>
      <c r="T1147" s="39">
        <v>0</v>
      </c>
      <c r="U1147" s="39">
        <v>0</v>
      </c>
      <c r="V1147" s="39">
        <v>0</v>
      </c>
      <c r="W1147" s="39">
        <v>0</v>
      </c>
      <c r="X1147" s="39">
        <v>0</v>
      </c>
      <c r="Y1147" s="39">
        <v>0</v>
      </c>
      <c r="Z1147" s="39">
        <v>0</v>
      </c>
      <c r="AA1147" s="39">
        <v>0</v>
      </c>
      <c r="AB1147" s="39">
        <v>0</v>
      </c>
      <c r="AC1147" s="39">
        <v>0</v>
      </c>
      <c r="AD1147" s="39">
        <v>0</v>
      </c>
      <c r="AE1147" s="39">
        <v>0</v>
      </c>
      <c r="AF1147" s="39">
        <v>0</v>
      </c>
      <c r="AG1147" s="39">
        <v>0</v>
      </c>
      <c r="AH1147" s="39"/>
      <c r="AI1147" s="39"/>
      <c r="AJ1147" s="40"/>
      <c r="AK1147" s="39">
        <f t="shared" si="90"/>
        <v>0</v>
      </c>
      <c r="AL1147" s="39">
        <f t="shared" si="88"/>
        <v>0</v>
      </c>
      <c r="AM1147" s="39">
        <f t="shared" si="89"/>
        <v>0</v>
      </c>
      <c r="AN1147" s="39">
        <f t="shared" si="91"/>
        <v>0</v>
      </c>
      <c r="AO1147" s="39">
        <f t="shared" si="92"/>
        <v>0</v>
      </c>
    </row>
    <row r="1148" spans="1:41" x14ac:dyDescent="0.3">
      <c r="A1148" s="20">
        <v>1000184670</v>
      </c>
      <c r="B1148" s="4" t="s">
        <v>147</v>
      </c>
      <c r="C1148" s="21"/>
      <c r="D1148" s="3"/>
      <c r="E1148" s="20">
        <v>1000185288</v>
      </c>
      <c r="F1148" s="4" t="s">
        <v>64</v>
      </c>
      <c r="G1148" s="21">
        <v>1000189805</v>
      </c>
      <c r="H1148" s="3" t="s">
        <v>118</v>
      </c>
      <c r="I1148" s="21">
        <v>1000189270</v>
      </c>
      <c r="J1148" s="3" t="s">
        <v>34</v>
      </c>
      <c r="K1148" s="20" t="s">
        <v>19</v>
      </c>
      <c r="L1148" s="39">
        <v>0</v>
      </c>
      <c r="M1148" s="39">
        <v>0</v>
      </c>
      <c r="N1148" s="39">
        <v>0</v>
      </c>
      <c r="O1148" s="39">
        <v>0</v>
      </c>
      <c r="P1148" s="39">
        <v>0</v>
      </c>
      <c r="Q1148" s="39">
        <v>0</v>
      </c>
      <c r="R1148" s="39">
        <v>0</v>
      </c>
      <c r="S1148" s="39">
        <v>0</v>
      </c>
      <c r="T1148" s="39">
        <v>0</v>
      </c>
      <c r="U1148" s="39">
        <v>0</v>
      </c>
      <c r="V1148" s="39">
        <v>0</v>
      </c>
      <c r="W1148" s="39">
        <v>0</v>
      </c>
      <c r="X1148" s="39">
        <v>0</v>
      </c>
      <c r="Y1148" s="39">
        <v>0</v>
      </c>
      <c r="Z1148" s="39">
        <v>0</v>
      </c>
      <c r="AA1148" s="39">
        <v>0</v>
      </c>
      <c r="AB1148" s="39">
        <v>0</v>
      </c>
      <c r="AC1148" s="39">
        <v>0</v>
      </c>
      <c r="AD1148" s="39">
        <v>0</v>
      </c>
      <c r="AE1148" s="39">
        <v>0</v>
      </c>
      <c r="AF1148" s="39">
        <v>0</v>
      </c>
      <c r="AG1148" s="39">
        <v>136.68</v>
      </c>
      <c r="AH1148" s="39"/>
      <c r="AI1148" s="39"/>
      <c r="AJ1148" s="40"/>
      <c r="AK1148" s="39">
        <f t="shared" si="90"/>
        <v>0</v>
      </c>
      <c r="AL1148" s="39">
        <f t="shared" si="88"/>
        <v>11.39</v>
      </c>
      <c r="AM1148" s="39">
        <f t="shared" si="89"/>
        <v>22.78</v>
      </c>
      <c r="AN1148" s="39">
        <f t="shared" si="91"/>
        <v>13.668000000000001</v>
      </c>
      <c r="AO1148" s="39">
        <f t="shared" si="92"/>
        <v>136.68</v>
      </c>
    </row>
    <row r="1149" spans="1:41" x14ac:dyDescent="0.3">
      <c r="A1149" s="20">
        <v>1000184670</v>
      </c>
      <c r="B1149" s="4" t="s">
        <v>147</v>
      </c>
      <c r="C1149" s="21"/>
      <c r="D1149" s="3"/>
      <c r="E1149" s="20">
        <v>1000185288</v>
      </c>
      <c r="F1149" s="4" t="s">
        <v>64</v>
      </c>
      <c r="G1149" s="21">
        <v>1000189805</v>
      </c>
      <c r="H1149" s="3" t="s">
        <v>118</v>
      </c>
      <c r="I1149" s="21">
        <v>1000189270</v>
      </c>
      <c r="J1149" s="3" t="s">
        <v>34</v>
      </c>
      <c r="K1149" s="20" t="s">
        <v>17</v>
      </c>
      <c r="L1149" s="39">
        <v>0</v>
      </c>
      <c r="M1149" s="39">
        <v>0</v>
      </c>
      <c r="N1149" s="39">
        <v>0</v>
      </c>
      <c r="O1149" s="39">
        <v>0</v>
      </c>
      <c r="P1149" s="39">
        <v>0</v>
      </c>
      <c r="Q1149" s="39">
        <v>0</v>
      </c>
      <c r="R1149" s="39">
        <v>0</v>
      </c>
      <c r="S1149" s="39">
        <v>0</v>
      </c>
      <c r="T1149" s="39">
        <v>0</v>
      </c>
      <c r="U1149" s="39">
        <v>0</v>
      </c>
      <c r="V1149" s="39">
        <v>0</v>
      </c>
      <c r="W1149" s="39">
        <v>0</v>
      </c>
      <c r="X1149" s="39">
        <v>0</v>
      </c>
      <c r="Y1149" s="39">
        <v>0</v>
      </c>
      <c r="Z1149" s="39">
        <v>0</v>
      </c>
      <c r="AA1149" s="39">
        <v>0</v>
      </c>
      <c r="AB1149" s="39">
        <v>0</v>
      </c>
      <c r="AC1149" s="39">
        <v>0</v>
      </c>
      <c r="AD1149" s="39">
        <v>0</v>
      </c>
      <c r="AE1149" s="39">
        <v>0</v>
      </c>
      <c r="AF1149" s="39">
        <v>0</v>
      </c>
      <c r="AG1149" s="39">
        <v>0</v>
      </c>
      <c r="AH1149" s="39"/>
      <c r="AI1149" s="39"/>
      <c r="AJ1149" s="40"/>
      <c r="AK1149" s="39">
        <f t="shared" si="90"/>
        <v>0</v>
      </c>
      <c r="AL1149" s="39">
        <f t="shared" si="88"/>
        <v>0</v>
      </c>
      <c r="AM1149" s="39">
        <f t="shared" si="89"/>
        <v>0</v>
      </c>
      <c r="AN1149" s="39">
        <f t="shared" si="91"/>
        <v>0</v>
      </c>
      <c r="AO1149" s="39">
        <f t="shared" si="92"/>
        <v>0</v>
      </c>
    </row>
    <row r="1150" spans="1:41" x14ac:dyDescent="0.3">
      <c r="A1150" s="20">
        <v>1000184670</v>
      </c>
      <c r="B1150" s="4" t="s">
        <v>147</v>
      </c>
      <c r="C1150" s="21"/>
      <c r="D1150" s="3"/>
      <c r="E1150" s="20">
        <v>1000185288</v>
      </c>
      <c r="F1150" s="4" t="s">
        <v>64</v>
      </c>
      <c r="G1150" s="21">
        <v>1000189805</v>
      </c>
      <c r="H1150" s="3" t="s">
        <v>118</v>
      </c>
      <c r="I1150" s="21">
        <v>1000189270</v>
      </c>
      <c r="J1150" s="3" t="s">
        <v>34</v>
      </c>
      <c r="K1150" s="20" t="s">
        <v>24</v>
      </c>
      <c r="L1150" s="39">
        <v>0</v>
      </c>
      <c r="M1150" s="39">
        <v>0</v>
      </c>
      <c r="N1150" s="39">
        <v>236.16</v>
      </c>
      <c r="O1150" s="39">
        <v>0</v>
      </c>
      <c r="P1150" s="39">
        <v>0</v>
      </c>
      <c r="Q1150" s="39">
        <v>0</v>
      </c>
      <c r="R1150" s="39">
        <v>0</v>
      </c>
      <c r="S1150" s="39">
        <v>0</v>
      </c>
      <c r="T1150" s="39">
        <v>0</v>
      </c>
      <c r="U1150" s="39">
        <v>0</v>
      </c>
      <c r="V1150" s="39">
        <v>0</v>
      </c>
      <c r="W1150" s="39">
        <v>0</v>
      </c>
      <c r="X1150" s="39">
        <v>0</v>
      </c>
      <c r="Y1150" s="39">
        <v>0</v>
      </c>
      <c r="Z1150" s="39">
        <v>0</v>
      </c>
      <c r="AA1150" s="39">
        <v>0</v>
      </c>
      <c r="AB1150" s="39">
        <v>0</v>
      </c>
      <c r="AC1150" s="39">
        <v>0</v>
      </c>
      <c r="AD1150" s="39">
        <v>0</v>
      </c>
      <c r="AE1150" s="39">
        <v>0</v>
      </c>
      <c r="AF1150" s="39">
        <v>0</v>
      </c>
      <c r="AG1150" s="39">
        <v>0</v>
      </c>
      <c r="AH1150" s="39"/>
      <c r="AI1150" s="39"/>
      <c r="AJ1150" s="40"/>
      <c r="AK1150" s="39">
        <f t="shared" si="90"/>
        <v>19.68</v>
      </c>
      <c r="AL1150" s="39">
        <f t="shared" si="88"/>
        <v>0</v>
      </c>
      <c r="AM1150" s="39">
        <f t="shared" si="89"/>
        <v>0</v>
      </c>
      <c r="AN1150" s="39">
        <f t="shared" si="91"/>
        <v>0</v>
      </c>
      <c r="AO1150" s="39">
        <f t="shared" si="92"/>
        <v>0</v>
      </c>
    </row>
    <row r="1151" spans="1:41" x14ac:dyDescent="0.3">
      <c r="A1151" s="20">
        <v>1000184670</v>
      </c>
      <c r="B1151" s="4" t="s">
        <v>147</v>
      </c>
      <c r="C1151" s="21"/>
      <c r="D1151" s="3"/>
      <c r="E1151" s="20">
        <v>1000185288</v>
      </c>
      <c r="F1151" s="4" t="s">
        <v>64</v>
      </c>
      <c r="G1151" s="21">
        <v>1000189805</v>
      </c>
      <c r="H1151" s="3" t="s">
        <v>118</v>
      </c>
      <c r="I1151" s="21">
        <v>1000189270</v>
      </c>
      <c r="J1151" s="3" t="s">
        <v>34</v>
      </c>
      <c r="K1151" s="20" t="s">
        <v>18</v>
      </c>
      <c r="L1151" s="39">
        <v>0</v>
      </c>
      <c r="M1151" s="39">
        <v>0</v>
      </c>
      <c r="N1151" s="39">
        <v>277.2</v>
      </c>
      <c r="O1151" s="39">
        <v>0</v>
      </c>
      <c r="P1151" s="39">
        <v>0</v>
      </c>
      <c r="Q1151" s="39">
        <v>0</v>
      </c>
      <c r="R1151" s="39">
        <v>0</v>
      </c>
      <c r="S1151" s="39">
        <v>0</v>
      </c>
      <c r="T1151" s="39">
        <v>0</v>
      </c>
      <c r="U1151" s="39">
        <v>0</v>
      </c>
      <c r="V1151" s="39">
        <v>0</v>
      </c>
      <c r="W1151" s="39">
        <v>0</v>
      </c>
      <c r="X1151" s="39">
        <v>0</v>
      </c>
      <c r="Y1151" s="39">
        <v>0</v>
      </c>
      <c r="Z1151" s="39">
        <v>0</v>
      </c>
      <c r="AA1151" s="39">
        <v>0</v>
      </c>
      <c r="AB1151" s="39">
        <v>0</v>
      </c>
      <c r="AC1151" s="39">
        <v>0</v>
      </c>
      <c r="AD1151" s="39">
        <v>0</v>
      </c>
      <c r="AE1151" s="39">
        <v>0</v>
      </c>
      <c r="AF1151" s="39">
        <v>0</v>
      </c>
      <c r="AG1151" s="39">
        <v>0</v>
      </c>
      <c r="AH1151" s="39"/>
      <c r="AI1151" s="39"/>
      <c r="AJ1151" s="40"/>
      <c r="AK1151" s="39">
        <f t="shared" si="90"/>
        <v>23.099999999999998</v>
      </c>
      <c r="AL1151" s="39">
        <f t="shared" si="88"/>
        <v>0</v>
      </c>
      <c r="AM1151" s="39">
        <f t="shared" si="89"/>
        <v>0</v>
      </c>
      <c r="AN1151" s="39">
        <f t="shared" si="91"/>
        <v>0</v>
      </c>
      <c r="AO1151" s="39">
        <f t="shared" si="92"/>
        <v>0</v>
      </c>
    </row>
    <row r="1152" spans="1:41" x14ac:dyDescent="0.3">
      <c r="A1152" s="20">
        <v>1000184670</v>
      </c>
      <c r="B1152" s="4" t="s">
        <v>147</v>
      </c>
      <c r="C1152" s="21"/>
      <c r="D1152" s="3"/>
      <c r="E1152" s="20">
        <v>1000185288</v>
      </c>
      <c r="F1152" s="4" t="s">
        <v>64</v>
      </c>
      <c r="G1152" s="21">
        <v>1000189805</v>
      </c>
      <c r="H1152" s="3" t="s">
        <v>118</v>
      </c>
      <c r="I1152" s="21">
        <v>1000189270</v>
      </c>
      <c r="J1152" s="3" t="s">
        <v>34</v>
      </c>
      <c r="K1152" s="20" t="s">
        <v>29</v>
      </c>
      <c r="L1152" s="39">
        <v>0</v>
      </c>
      <c r="M1152" s="39">
        <v>0</v>
      </c>
      <c r="N1152" s="39">
        <v>0</v>
      </c>
      <c r="O1152" s="39">
        <v>0</v>
      </c>
      <c r="P1152" s="39">
        <v>0</v>
      </c>
      <c r="Q1152" s="39">
        <v>0</v>
      </c>
      <c r="R1152" s="39">
        <v>0</v>
      </c>
      <c r="S1152" s="39">
        <v>0</v>
      </c>
      <c r="T1152" s="39">
        <v>0</v>
      </c>
      <c r="U1152" s="39">
        <v>0</v>
      </c>
      <c r="V1152" s="39">
        <v>0</v>
      </c>
      <c r="W1152" s="39">
        <v>0</v>
      </c>
      <c r="X1152" s="39">
        <v>0</v>
      </c>
      <c r="Y1152" s="39">
        <v>0</v>
      </c>
      <c r="Z1152" s="39">
        <v>0</v>
      </c>
      <c r="AA1152" s="39">
        <v>0</v>
      </c>
      <c r="AB1152" s="39">
        <v>0</v>
      </c>
      <c r="AC1152" s="39">
        <v>0</v>
      </c>
      <c r="AD1152" s="39">
        <v>570</v>
      </c>
      <c r="AE1152" s="39">
        <v>0</v>
      </c>
      <c r="AF1152" s="39">
        <v>0</v>
      </c>
      <c r="AG1152" s="39">
        <v>1434</v>
      </c>
      <c r="AH1152" s="39"/>
      <c r="AI1152" s="39"/>
      <c r="AJ1152" s="40"/>
      <c r="AK1152" s="39">
        <f t="shared" si="90"/>
        <v>0</v>
      </c>
      <c r="AL1152" s="39">
        <f t="shared" si="88"/>
        <v>167</v>
      </c>
      <c r="AM1152" s="39">
        <f t="shared" si="89"/>
        <v>334</v>
      </c>
      <c r="AN1152" s="39">
        <f t="shared" si="91"/>
        <v>200.4</v>
      </c>
      <c r="AO1152" s="39">
        <f t="shared" si="92"/>
        <v>2004</v>
      </c>
    </row>
    <row r="1153" spans="1:41" x14ac:dyDescent="0.3">
      <c r="A1153" s="20">
        <v>1000184670</v>
      </c>
      <c r="B1153" s="4" t="s">
        <v>147</v>
      </c>
      <c r="C1153" s="21"/>
      <c r="D1153" s="3"/>
      <c r="E1153" s="20">
        <v>1000185288</v>
      </c>
      <c r="F1153" s="4" t="s">
        <v>64</v>
      </c>
      <c r="G1153" s="21">
        <v>1000189805</v>
      </c>
      <c r="H1153" s="3" t="s">
        <v>118</v>
      </c>
      <c r="I1153" s="21">
        <v>1000189270</v>
      </c>
      <c r="J1153" s="3" t="s">
        <v>34</v>
      </c>
      <c r="K1153" s="20" t="s">
        <v>21</v>
      </c>
      <c r="L1153" s="39">
        <v>0</v>
      </c>
      <c r="M1153" s="39">
        <v>0</v>
      </c>
      <c r="N1153" s="39">
        <v>0</v>
      </c>
      <c r="O1153" s="39">
        <v>0</v>
      </c>
      <c r="P1153" s="39">
        <v>0</v>
      </c>
      <c r="Q1153" s="39">
        <v>222</v>
      </c>
      <c r="R1153" s="39">
        <v>0</v>
      </c>
      <c r="S1153" s="39">
        <v>0</v>
      </c>
      <c r="T1153" s="39">
        <v>0</v>
      </c>
      <c r="U1153" s="39">
        <v>0</v>
      </c>
      <c r="V1153" s="39">
        <v>0</v>
      </c>
      <c r="W1153" s="39">
        <v>0</v>
      </c>
      <c r="X1153" s="39">
        <v>0</v>
      </c>
      <c r="Y1153" s="39">
        <v>252</v>
      </c>
      <c r="Z1153" s="39">
        <v>0</v>
      </c>
      <c r="AA1153" s="39">
        <v>0</v>
      </c>
      <c r="AB1153" s="39">
        <v>0</v>
      </c>
      <c r="AC1153" s="39">
        <v>0</v>
      </c>
      <c r="AD1153" s="39">
        <v>0</v>
      </c>
      <c r="AE1153" s="39">
        <v>0</v>
      </c>
      <c r="AF1153" s="39">
        <v>0</v>
      </c>
      <c r="AG1153" s="39">
        <v>0</v>
      </c>
      <c r="AH1153" s="39"/>
      <c r="AI1153" s="39"/>
      <c r="AJ1153" s="40"/>
      <c r="AK1153" s="39">
        <f t="shared" si="90"/>
        <v>18.5</v>
      </c>
      <c r="AL1153" s="39">
        <f t="shared" si="88"/>
        <v>21</v>
      </c>
      <c r="AM1153" s="39">
        <f t="shared" si="89"/>
        <v>0</v>
      </c>
      <c r="AN1153" s="39">
        <f t="shared" si="91"/>
        <v>25.2</v>
      </c>
      <c r="AO1153" s="39">
        <f t="shared" si="92"/>
        <v>252</v>
      </c>
    </row>
    <row r="1154" spans="1:41" x14ac:dyDescent="0.3">
      <c r="A1154" s="20">
        <v>1000184670</v>
      </c>
      <c r="B1154" s="4" t="s">
        <v>147</v>
      </c>
      <c r="C1154" s="21"/>
      <c r="D1154" s="3"/>
      <c r="E1154" s="20">
        <v>1000185288</v>
      </c>
      <c r="F1154" s="4" t="s">
        <v>64</v>
      </c>
      <c r="G1154" s="21">
        <v>1000189805</v>
      </c>
      <c r="H1154" s="3" t="s">
        <v>118</v>
      </c>
      <c r="I1154" s="21">
        <v>1000189270</v>
      </c>
      <c r="J1154" s="3" t="s">
        <v>34</v>
      </c>
      <c r="K1154" s="20" t="s">
        <v>20</v>
      </c>
      <c r="L1154" s="39">
        <v>0</v>
      </c>
      <c r="M1154" s="39">
        <v>0</v>
      </c>
      <c r="N1154" s="39">
        <v>0</v>
      </c>
      <c r="O1154" s="39">
        <v>0</v>
      </c>
      <c r="P1154" s="39">
        <v>0</v>
      </c>
      <c r="Q1154" s="39">
        <v>0</v>
      </c>
      <c r="R1154" s="39">
        <v>0</v>
      </c>
      <c r="S1154" s="39">
        <v>0</v>
      </c>
      <c r="T1154" s="39">
        <v>0</v>
      </c>
      <c r="U1154" s="39">
        <v>0</v>
      </c>
      <c r="V1154" s="39">
        <v>0</v>
      </c>
      <c r="W1154" s="39">
        <v>0</v>
      </c>
      <c r="X1154" s="39">
        <v>0</v>
      </c>
      <c r="Y1154" s="39">
        <v>0</v>
      </c>
      <c r="Z1154" s="39">
        <v>0</v>
      </c>
      <c r="AA1154" s="39">
        <v>0</v>
      </c>
      <c r="AB1154" s="39">
        <v>0</v>
      </c>
      <c r="AC1154" s="39">
        <v>0</v>
      </c>
      <c r="AD1154" s="39">
        <v>0</v>
      </c>
      <c r="AE1154" s="39">
        <v>0</v>
      </c>
      <c r="AF1154" s="39">
        <v>0</v>
      </c>
      <c r="AG1154" s="39">
        <v>0</v>
      </c>
      <c r="AH1154" s="39"/>
      <c r="AI1154" s="39"/>
      <c r="AJ1154" s="40"/>
      <c r="AK1154" s="39">
        <f t="shared" si="90"/>
        <v>0</v>
      </c>
      <c r="AL1154" s="39">
        <f t="shared" si="88"/>
        <v>0</v>
      </c>
      <c r="AM1154" s="39">
        <f t="shared" si="89"/>
        <v>0</v>
      </c>
      <c r="AN1154" s="39">
        <f t="shared" si="91"/>
        <v>0</v>
      </c>
      <c r="AO1154" s="39">
        <f t="shared" si="92"/>
        <v>0</v>
      </c>
    </row>
    <row r="1155" spans="1:41" x14ac:dyDescent="0.3">
      <c r="A1155" s="20">
        <v>1000184670</v>
      </c>
      <c r="B1155" s="4" t="s">
        <v>147</v>
      </c>
      <c r="C1155" s="21"/>
      <c r="D1155" s="3"/>
      <c r="E1155" s="20">
        <v>1000185288</v>
      </c>
      <c r="F1155" s="4" t="s">
        <v>64</v>
      </c>
      <c r="G1155" s="21">
        <v>1000189805</v>
      </c>
      <c r="H1155" s="3" t="s">
        <v>118</v>
      </c>
      <c r="I1155" s="21">
        <v>1000189270</v>
      </c>
      <c r="J1155" s="3" t="s">
        <v>34</v>
      </c>
      <c r="K1155" s="20" t="s">
        <v>22</v>
      </c>
      <c r="L1155" s="39">
        <v>0</v>
      </c>
      <c r="M1155" s="39">
        <v>0</v>
      </c>
      <c r="N1155" s="39">
        <v>570</v>
      </c>
      <c r="O1155" s="39">
        <v>0</v>
      </c>
      <c r="P1155" s="39">
        <v>0</v>
      </c>
      <c r="Q1155" s="39">
        <v>114</v>
      </c>
      <c r="R1155" s="39">
        <v>0</v>
      </c>
      <c r="S1155" s="39">
        <v>0</v>
      </c>
      <c r="T1155" s="39">
        <v>0</v>
      </c>
      <c r="U1155" s="39">
        <v>0</v>
      </c>
      <c r="V1155" s="39">
        <v>0</v>
      </c>
      <c r="W1155" s="39">
        <v>0</v>
      </c>
      <c r="X1155" s="39">
        <v>0</v>
      </c>
      <c r="Y1155" s="39">
        <v>396</v>
      </c>
      <c r="Z1155" s="39">
        <v>0</v>
      </c>
      <c r="AA1155" s="39">
        <v>0</v>
      </c>
      <c r="AB1155" s="39">
        <v>0</v>
      </c>
      <c r="AC1155" s="39">
        <v>0</v>
      </c>
      <c r="AD1155" s="39">
        <v>93.12</v>
      </c>
      <c r="AE1155" s="39">
        <v>0</v>
      </c>
      <c r="AF1155" s="39">
        <v>0</v>
      </c>
      <c r="AG1155" s="39">
        <v>76.8</v>
      </c>
      <c r="AH1155" s="39"/>
      <c r="AI1155" s="39"/>
      <c r="AJ1155" s="40"/>
      <c r="AK1155" s="39">
        <f t="shared" si="90"/>
        <v>57</v>
      </c>
      <c r="AL1155" s="39">
        <f t="shared" ref="AL1155:AL1218" si="93">AVERAGE(V1155:AG1155)</f>
        <v>47.16</v>
      </c>
      <c r="AM1155" s="39">
        <f t="shared" ref="AM1155:AM1218" si="94">AVERAGE(AB1155:AG1155)</f>
        <v>28.320000000000004</v>
      </c>
      <c r="AN1155" s="39">
        <f t="shared" si="91"/>
        <v>56.591999999999999</v>
      </c>
      <c r="AO1155" s="39">
        <f t="shared" si="92"/>
        <v>565.91999999999996</v>
      </c>
    </row>
    <row r="1156" spans="1:41" x14ac:dyDescent="0.3">
      <c r="A1156" s="20">
        <v>1000184670</v>
      </c>
      <c r="B1156" s="4" t="s">
        <v>147</v>
      </c>
      <c r="C1156" s="21"/>
      <c r="D1156" s="3"/>
      <c r="E1156" s="20">
        <v>1000185288</v>
      </c>
      <c r="F1156" s="4" t="s">
        <v>64</v>
      </c>
      <c r="G1156" s="21">
        <v>1000189805</v>
      </c>
      <c r="H1156" s="3" t="s">
        <v>118</v>
      </c>
      <c r="I1156" s="21">
        <v>1000189270</v>
      </c>
      <c r="J1156" s="3" t="s">
        <v>34</v>
      </c>
      <c r="K1156" s="20" t="s">
        <v>23</v>
      </c>
      <c r="L1156" s="39">
        <v>0</v>
      </c>
      <c r="M1156" s="39">
        <v>0</v>
      </c>
      <c r="N1156" s="39">
        <v>0</v>
      </c>
      <c r="O1156" s="39">
        <v>0</v>
      </c>
      <c r="P1156" s="39">
        <v>0</v>
      </c>
      <c r="Q1156" s="39">
        <v>0</v>
      </c>
      <c r="R1156" s="39">
        <v>0</v>
      </c>
      <c r="S1156" s="39">
        <v>0</v>
      </c>
      <c r="T1156" s="39">
        <v>0</v>
      </c>
      <c r="U1156" s="39">
        <v>0</v>
      </c>
      <c r="V1156" s="39">
        <v>0</v>
      </c>
      <c r="W1156" s="39">
        <v>0</v>
      </c>
      <c r="X1156" s="39">
        <v>0</v>
      </c>
      <c r="Y1156" s="39">
        <v>0</v>
      </c>
      <c r="Z1156" s="39">
        <v>0</v>
      </c>
      <c r="AA1156" s="39">
        <v>0</v>
      </c>
      <c r="AB1156" s="39">
        <v>0</v>
      </c>
      <c r="AC1156" s="39">
        <v>0</v>
      </c>
      <c r="AD1156" s="39">
        <v>0</v>
      </c>
      <c r="AE1156" s="39">
        <v>0</v>
      </c>
      <c r="AF1156" s="39">
        <v>0</v>
      </c>
      <c r="AG1156" s="39">
        <v>0</v>
      </c>
      <c r="AH1156" s="39"/>
      <c r="AI1156" s="39"/>
      <c r="AJ1156" s="40"/>
      <c r="AK1156" s="39">
        <f t="shared" si="90"/>
        <v>0</v>
      </c>
      <c r="AL1156" s="39">
        <f t="shared" si="93"/>
        <v>0</v>
      </c>
      <c r="AM1156" s="39">
        <f t="shared" si="94"/>
        <v>0</v>
      </c>
      <c r="AN1156" s="39">
        <f t="shared" si="91"/>
        <v>0</v>
      </c>
      <c r="AO1156" s="39">
        <f t="shared" si="92"/>
        <v>0</v>
      </c>
    </row>
    <row r="1157" spans="1:41" x14ac:dyDescent="0.3">
      <c r="A1157" s="20">
        <v>1000184670</v>
      </c>
      <c r="B1157" s="4" t="s">
        <v>147</v>
      </c>
      <c r="C1157" s="21"/>
      <c r="D1157" s="3"/>
      <c r="E1157" s="20">
        <v>1000185288</v>
      </c>
      <c r="F1157" s="4" t="s">
        <v>64</v>
      </c>
      <c r="G1157" s="21">
        <v>1000189805</v>
      </c>
      <c r="H1157" s="3" t="s">
        <v>118</v>
      </c>
      <c r="I1157" s="21">
        <v>1000189270</v>
      </c>
      <c r="J1157" s="3" t="s">
        <v>34</v>
      </c>
      <c r="K1157" s="20" t="s">
        <v>28</v>
      </c>
      <c r="L1157" s="39">
        <v>0</v>
      </c>
      <c r="M1157" s="39">
        <v>0</v>
      </c>
      <c r="N1157" s="39">
        <v>0</v>
      </c>
      <c r="O1157" s="39">
        <v>0</v>
      </c>
      <c r="P1157" s="39">
        <v>0</v>
      </c>
      <c r="Q1157" s="39">
        <v>0</v>
      </c>
      <c r="R1157" s="39">
        <v>0</v>
      </c>
      <c r="S1157" s="39">
        <v>0</v>
      </c>
      <c r="T1157" s="39">
        <v>0</v>
      </c>
      <c r="U1157" s="39">
        <v>0</v>
      </c>
      <c r="V1157" s="39">
        <v>0</v>
      </c>
      <c r="W1157" s="39">
        <v>0</v>
      </c>
      <c r="X1157" s="39">
        <v>0</v>
      </c>
      <c r="Y1157" s="39">
        <v>0</v>
      </c>
      <c r="Z1157" s="39">
        <v>0</v>
      </c>
      <c r="AA1157" s="39">
        <v>0</v>
      </c>
      <c r="AB1157" s="39">
        <v>0</v>
      </c>
      <c r="AC1157" s="39">
        <v>0</v>
      </c>
      <c r="AD1157" s="39">
        <v>0</v>
      </c>
      <c r="AE1157" s="39">
        <v>0</v>
      </c>
      <c r="AF1157" s="39">
        <v>0</v>
      </c>
      <c r="AG1157" s="39">
        <v>0</v>
      </c>
      <c r="AH1157" s="39"/>
      <c r="AI1157" s="39"/>
      <c r="AJ1157" s="40"/>
      <c r="AK1157" s="39">
        <f t="shared" si="90"/>
        <v>0</v>
      </c>
      <c r="AL1157" s="39">
        <f t="shared" si="93"/>
        <v>0</v>
      </c>
      <c r="AM1157" s="39">
        <f t="shared" si="94"/>
        <v>0</v>
      </c>
      <c r="AN1157" s="39">
        <f t="shared" si="91"/>
        <v>0</v>
      </c>
      <c r="AO1157" s="39">
        <f t="shared" si="92"/>
        <v>0</v>
      </c>
    </row>
    <row r="1158" spans="1:41" x14ac:dyDescent="0.3">
      <c r="A1158" s="20">
        <v>1000184670</v>
      </c>
      <c r="B1158" s="4" t="s">
        <v>147</v>
      </c>
      <c r="C1158" s="21"/>
      <c r="D1158" s="3"/>
      <c r="E1158" s="20">
        <v>1000185288</v>
      </c>
      <c r="F1158" s="4" t="s">
        <v>64</v>
      </c>
      <c r="G1158" s="21">
        <v>1000189805</v>
      </c>
      <c r="H1158" s="3" t="s">
        <v>118</v>
      </c>
      <c r="I1158" s="21">
        <v>1000189270</v>
      </c>
      <c r="J1158" s="3" t="s">
        <v>34</v>
      </c>
      <c r="K1158" s="20" t="s">
        <v>26</v>
      </c>
      <c r="L1158" s="39">
        <v>0</v>
      </c>
      <c r="M1158" s="39">
        <v>0</v>
      </c>
      <c r="N1158" s="39">
        <v>0</v>
      </c>
      <c r="O1158" s="39">
        <v>0</v>
      </c>
      <c r="P1158" s="39">
        <v>0</v>
      </c>
      <c r="Q1158" s="39">
        <v>0</v>
      </c>
      <c r="R1158" s="39">
        <v>0</v>
      </c>
      <c r="S1158" s="39">
        <v>0</v>
      </c>
      <c r="T1158" s="39">
        <v>0</v>
      </c>
      <c r="U1158" s="39">
        <v>0</v>
      </c>
      <c r="V1158" s="39">
        <v>0</v>
      </c>
      <c r="W1158" s="39">
        <v>0</v>
      </c>
      <c r="X1158" s="39">
        <v>0</v>
      </c>
      <c r="Y1158" s="39">
        <v>0</v>
      </c>
      <c r="Z1158" s="39">
        <v>0</v>
      </c>
      <c r="AA1158" s="39">
        <v>0</v>
      </c>
      <c r="AB1158" s="39">
        <v>0</v>
      </c>
      <c r="AC1158" s="39">
        <v>0</v>
      </c>
      <c r="AD1158" s="39">
        <v>0</v>
      </c>
      <c r="AE1158" s="39">
        <v>0</v>
      </c>
      <c r="AF1158" s="39">
        <v>0</v>
      </c>
      <c r="AG1158" s="39">
        <v>0</v>
      </c>
      <c r="AH1158" s="39"/>
      <c r="AI1158" s="39"/>
      <c r="AJ1158" s="40"/>
      <c r="AK1158" s="39">
        <f t="shared" si="90"/>
        <v>0</v>
      </c>
      <c r="AL1158" s="39">
        <f t="shared" si="93"/>
        <v>0</v>
      </c>
      <c r="AM1158" s="39">
        <f t="shared" si="94"/>
        <v>0</v>
      </c>
      <c r="AN1158" s="39">
        <f t="shared" si="91"/>
        <v>0</v>
      </c>
      <c r="AO1158" s="39">
        <f t="shared" si="92"/>
        <v>0</v>
      </c>
    </row>
    <row r="1159" spans="1:41" x14ac:dyDescent="0.3">
      <c r="A1159" s="20">
        <v>1000184670</v>
      </c>
      <c r="B1159" s="4" t="s">
        <v>147</v>
      </c>
      <c r="C1159" s="21"/>
      <c r="D1159" s="3"/>
      <c r="E1159" s="20">
        <v>1000185288</v>
      </c>
      <c r="F1159" s="4" t="s">
        <v>64</v>
      </c>
      <c r="G1159" s="21">
        <v>1000189805</v>
      </c>
      <c r="H1159" s="3" t="s">
        <v>118</v>
      </c>
      <c r="I1159" s="21">
        <v>1000189270</v>
      </c>
      <c r="J1159" s="3" t="s">
        <v>34</v>
      </c>
      <c r="K1159" s="20" t="s">
        <v>27</v>
      </c>
      <c r="L1159" s="39">
        <v>0</v>
      </c>
      <c r="M1159" s="39">
        <v>0</v>
      </c>
      <c r="N1159" s="39">
        <v>0</v>
      </c>
      <c r="O1159" s="39">
        <v>0</v>
      </c>
      <c r="P1159" s="39">
        <v>0</v>
      </c>
      <c r="Q1159" s="39">
        <v>0</v>
      </c>
      <c r="R1159" s="39">
        <v>0</v>
      </c>
      <c r="S1159" s="39">
        <v>0</v>
      </c>
      <c r="T1159" s="39">
        <v>0</v>
      </c>
      <c r="U1159" s="39">
        <v>0</v>
      </c>
      <c r="V1159" s="39">
        <v>0</v>
      </c>
      <c r="W1159" s="39">
        <v>0</v>
      </c>
      <c r="X1159" s="39">
        <v>0</v>
      </c>
      <c r="Y1159" s="39">
        <v>0</v>
      </c>
      <c r="Z1159" s="39">
        <v>0</v>
      </c>
      <c r="AA1159" s="39">
        <v>0</v>
      </c>
      <c r="AB1159" s="39">
        <v>0</v>
      </c>
      <c r="AC1159" s="39">
        <v>0</v>
      </c>
      <c r="AD1159" s="39">
        <v>0</v>
      </c>
      <c r="AE1159" s="39">
        <v>0</v>
      </c>
      <c r="AF1159" s="39">
        <v>0</v>
      </c>
      <c r="AG1159" s="39">
        <v>0</v>
      </c>
      <c r="AH1159" s="39"/>
      <c r="AI1159" s="39"/>
      <c r="AJ1159" s="40"/>
      <c r="AK1159" s="39">
        <f t="shared" si="90"/>
        <v>0</v>
      </c>
      <c r="AL1159" s="39">
        <f t="shared" si="93"/>
        <v>0</v>
      </c>
      <c r="AM1159" s="39">
        <f t="shared" si="94"/>
        <v>0</v>
      </c>
      <c r="AN1159" s="39">
        <f t="shared" si="91"/>
        <v>0</v>
      </c>
      <c r="AO1159" s="39">
        <f t="shared" si="92"/>
        <v>0</v>
      </c>
    </row>
    <row r="1160" spans="1:41" x14ac:dyDescent="0.3">
      <c r="A1160" s="20">
        <v>1000184670</v>
      </c>
      <c r="B1160" s="4" t="s">
        <v>147</v>
      </c>
      <c r="C1160" s="21"/>
      <c r="D1160" s="3"/>
      <c r="E1160" s="20">
        <v>1000185288</v>
      </c>
      <c r="F1160" s="4" t="s">
        <v>64</v>
      </c>
      <c r="G1160" s="21">
        <v>1000189805</v>
      </c>
      <c r="H1160" s="3" t="s">
        <v>118</v>
      </c>
      <c r="I1160" s="21">
        <v>1000189270</v>
      </c>
      <c r="J1160" s="3" t="s">
        <v>34</v>
      </c>
      <c r="K1160" s="20" t="s">
        <v>25</v>
      </c>
      <c r="L1160" s="39">
        <v>0</v>
      </c>
      <c r="M1160" s="39">
        <v>0</v>
      </c>
      <c r="N1160" s="39">
        <v>0</v>
      </c>
      <c r="O1160" s="39">
        <v>0</v>
      </c>
      <c r="P1160" s="39">
        <v>0</v>
      </c>
      <c r="Q1160" s="39">
        <v>0</v>
      </c>
      <c r="R1160" s="39">
        <v>0</v>
      </c>
      <c r="S1160" s="39">
        <v>0</v>
      </c>
      <c r="T1160" s="39">
        <v>0</v>
      </c>
      <c r="U1160" s="39">
        <v>0</v>
      </c>
      <c r="V1160" s="39">
        <v>0</v>
      </c>
      <c r="W1160" s="39">
        <v>0</v>
      </c>
      <c r="X1160" s="39">
        <v>0</v>
      </c>
      <c r="Y1160" s="39">
        <v>0</v>
      </c>
      <c r="Z1160" s="39">
        <v>0</v>
      </c>
      <c r="AA1160" s="39">
        <v>0</v>
      </c>
      <c r="AB1160" s="39">
        <v>0</v>
      </c>
      <c r="AC1160" s="39">
        <v>0</v>
      </c>
      <c r="AD1160" s="39">
        <v>0</v>
      </c>
      <c r="AE1160" s="39">
        <v>0</v>
      </c>
      <c r="AF1160" s="39">
        <v>0</v>
      </c>
      <c r="AG1160" s="39">
        <v>0</v>
      </c>
      <c r="AH1160" s="39"/>
      <c r="AI1160" s="39"/>
      <c r="AJ1160" s="40"/>
      <c r="AK1160" s="39">
        <f t="shared" si="90"/>
        <v>0</v>
      </c>
      <c r="AL1160" s="39">
        <f t="shared" si="93"/>
        <v>0</v>
      </c>
      <c r="AM1160" s="39">
        <f t="shared" si="94"/>
        <v>0</v>
      </c>
      <c r="AN1160" s="39">
        <f t="shared" si="91"/>
        <v>0</v>
      </c>
      <c r="AO1160" s="39">
        <f t="shared" si="92"/>
        <v>0</v>
      </c>
    </row>
    <row r="1161" spans="1:41" x14ac:dyDescent="0.3">
      <c r="A1161" s="20">
        <v>1000184670</v>
      </c>
      <c r="B1161" s="4" t="s">
        <v>147</v>
      </c>
      <c r="C1161" s="21"/>
      <c r="D1161" s="3"/>
      <c r="E1161" s="20">
        <v>1000185288</v>
      </c>
      <c r="F1161" s="4" t="s">
        <v>64</v>
      </c>
      <c r="G1161" s="19">
        <v>1000189806</v>
      </c>
      <c r="H1161" s="3" t="s">
        <v>119</v>
      </c>
      <c r="I1161" s="21">
        <v>1000189270</v>
      </c>
      <c r="J1161" s="3" t="s">
        <v>34</v>
      </c>
      <c r="K1161" s="20" t="s">
        <v>124</v>
      </c>
      <c r="L1161" s="39">
        <v>0</v>
      </c>
      <c r="M1161" s="39">
        <v>0</v>
      </c>
      <c r="N1161" s="39">
        <v>0</v>
      </c>
      <c r="O1161" s="39">
        <v>0</v>
      </c>
      <c r="P1161" s="39">
        <v>0</v>
      </c>
      <c r="Q1161" s="39">
        <v>0</v>
      </c>
      <c r="R1161" s="39">
        <v>0</v>
      </c>
      <c r="S1161" s="39">
        <v>0</v>
      </c>
      <c r="T1161" s="39">
        <v>0</v>
      </c>
      <c r="U1161" s="39">
        <v>0</v>
      </c>
      <c r="V1161" s="39">
        <v>0</v>
      </c>
      <c r="W1161" s="39">
        <v>0</v>
      </c>
      <c r="X1161" s="39">
        <v>0</v>
      </c>
      <c r="Y1161" s="39">
        <v>0</v>
      </c>
      <c r="Z1161" s="39">
        <v>0</v>
      </c>
      <c r="AA1161" s="39">
        <v>0</v>
      </c>
      <c r="AB1161" s="39">
        <v>0</v>
      </c>
      <c r="AC1161" s="39">
        <v>0</v>
      </c>
      <c r="AD1161" s="39">
        <v>0</v>
      </c>
      <c r="AE1161" s="39">
        <v>0</v>
      </c>
      <c r="AF1161" s="39">
        <v>0</v>
      </c>
      <c r="AG1161" s="39">
        <v>0</v>
      </c>
      <c r="AH1161" s="39"/>
      <c r="AI1161" s="39"/>
      <c r="AJ1161" s="40"/>
      <c r="AK1161" s="39">
        <f t="shared" si="90"/>
        <v>0</v>
      </c>
      <c r="AL1161" s="39">
        <f t="shared" si="93"/>
        <v>0</v>
      </c>
      <c r="AM1161" s="39">
        <f t="shared" si="94"/>
        <v>0</v>
      </c>
      <c r="AN1161" s="39">
        <f t="shared" si="91"/>
        <v>0</v>
      </c>
      <c r="AO1161" s="39">
        <f t="shared" si="92"/>
        <v>0</v>
      </c>
    </row>
    <row r="1162" spans="1:41" x14ac:dyDescent="0.3">
      <c r="A1162" s="20">
        <v>1000184670</v>
      </c>
      <c r="B1162" s="4" t="s">
        <v>147</v>
      </c>
      <c r="C1162" s="21"/>
      <c r="D1162" s="3"/>
      <c r="E1162" s="20">
        <v>1000185288</v>
      </c>
      <c r="F1162" s="4" t="s">
        <v>64</v>
      </c>
      <c r="G1162" s="19">
        <v>1000189806</v>
      </c>
      <c r="H1162" s="3" t="s">
        <v>119</v>
      </c>
      <c r="I1162" s="21">
        <v>1000189270</v>
      </c>
      <c r="J1162" s="3" t="s">
        <v>34</v>
      </c>
      <c r="K1162" s="20" t="s">
        <v>13</v>
      </c>
      <c r="L1162" s="39">
        <v>0</v>
      </c>
      <c r="M1162" s="39">
        <v>0</v>
      </c>
      <c r="N1162" s="39">
        <v>0</v>
      </c>
      <c r="O1162" s="39">
        <v>0</v>
      </c>
      <c r="P1162" s="39">
        <v>0</v>
      </c>
      <c r="Q1162" s="39">
        <v>0</v>
      </c>
      <c r="R1162" s="39">
        <v>0</v>
      </c>
      <c r="S1162" s="39">
        <v>0</v>
      </c>
      <c r="T1162" s="39">
        <v>0</v>
      </c>
      <c r="U1162" s="39">
        <v>0</v>
      </c>
      <c r="V1162" s="39">
        <v>0</v>
      </c>
      <c r="W1162" s="39">
        <v>903.42</v>
      </c>
      <c r="X1162" s="39">
        <v>0</v>
      </c>
      <c r="Y1162" s="39">
        <v>0</v>
      </c>
      <c r="Z1162" s="39">
        <v>0</v>
      </c>
      <c r="AA1162" s="39">
        <v>0</v>
      </c>
      <c r="AB1162" s="39">
        <v>0</v>
      </c>
      <c r="AC1162" s="39">
        <v>0</v>
      </c>
      <c r="AD1162" s="39">
        <v>0</v>
      </c>
      <c r="AE1162" s="39">
        <v>97.2</v>
      </c>
      <c r="AF1162" s="39">
        <v>0</v>
      </c>
      <c r="AG1162" s="39">
        <v>0</v>
      </c>
      <c r="AH1162" s="39"/>
      <c r="AI1162" s="39"/>
      <c r="AJ1162" s="40"/>
      <c r="AK1162" s="39">
        <f t="shared" si="90"/>
        <v>75.284999999999997</v>
      </c>
      <c r="AL1162" s="39">
        <f t="shared" si="93"/>
        <v>83.385000000000005</v>
      </c>
      <c r="AM1162" s="39">
        <f t="shared" si="94"/>
        <v>16.2</v>
      </c>
      <c r="AN1162" s="39">
        <f t="shared" si="91"/>
        <v>9.7200000000000006</v>
      </c>
      <c r="AO1162" s="39">
        <f t="shared" si="92"/>
        <v>97.2</v>
      </c>
    </row>
    <row r="1163" spans="1:41" x14ac:dyDescent="0.3">
      <c r="A1163" s="20">
        <v>1000184670</v>
      </c>
      <c r="B1163" s="4" t="s">
        <v>147</v>
      </c>
      <c r="C1163" s="21"/>
      <c r="D1163" s="3"/>
      <c r="E1163" s="20">
        <v>1000185288</v>
      </c>
      <c r="F1163" s="4" t="s">
        <v>64</v>
      </c>
      <c r="G1163" s="19">
        <v>1000189806</v>
      </c>
      <c r="H1163" s="3" t="s">
        <v>119</v>
      </c>
      <c r="I1163" s="21">
        <v>1000189270</v>
      </c>
      <c r="J1163" s="3" t="s">
        <v>34</v>
      </c>
      <c r="K1163" s="20" t="s">
        <v>14</v>
      </c>
      <c r="L1163" s="39">
        <v>0</v>
      </c>
      <c r="M1163" s="39">
        <v>0</v>
      </c>
      <c r="N1163" s="39">
        <v>0</v>
      </c>
      <c r="O1163" s="39">
        <v>0</v>
      </c>
      <c r="P1163" s="39">
        <v>0</v>
      </c>
      <c r="Q1163" s="39">
        <v>0</v>
      </c>
      <c r="R1163" s="39">
        <v>0</v>
      </c>
      <c r="S1163" s="39">
        <v>0</v>
      </c>
      <c r="T1163" s="39">
        <v>0</v>
      </c>
      <c r="U1163" s="39">
        <v>0</v>
      </c>
      <c r="V1163" s="39">
        <v>0</v>
      </c>
      <c r="W1163" s="39">
        <v>0</v>
      </c>
      <c r="X1163" s="39">
        <v>0</v>
      </c>
      <c r="Y1163" s="39">
        <v>0</v>
      </c>
      <c r="Z1163" s="39">
        <v>0</v>
      </c>
      <c r="AA1163" s="39">
        <v>0</v>
      </c>
      <c r="AB1163" s="39">
        <v>0</v>
      </c>
      <c r="AC1163" s="39">
        <v>0</v>
      </c>
      <c r="AD1163" s="39">
        <v>0</v>
      </c>
      <c r="AE1163" s="39">
        <v>302.39999999999998</v>
      </c>
      <c r="AF1163" s="39">
        <v>0</v>
      </c>
      <c r="AG1163" s="39">
        <v>0</v>
      </c>
      <c r="AH1163" s="39"/>
      <c r="AI1163" s="39"/>
      <c r="AJ1163" s="40"/>
      <c r="AK1163" s="39">
        <f t="shared" si="90"/>
        <v>0</v>
      </c>
      <c r="AL1163" s="39">
        <f t="shared" si="93"/>
        <v>25.2</v>
      </c>
      <c r="AM1163" s="39">
        <f t="shared" si="94"/>
        <v>50.4</v>
      </c>
      <c r="AN1163" s="39">
        <f t="shared" si="91"/>
        <v>30.24</v>
      </c>
      <c r="AO1163" s="39">
        <f t="shared" si="92"/>
        <v>302.39999999999998</v>
      </c>
    </row>
    <row r="1164" spans="1:41" x14ac:dyDescent="0.3">
      <c r="A1164" s="20">
        <v>1000184670</v>
      </c>
      <c r="B1164" s="4" t="s">
        <v>147</v>
      </c>
      <c r="C1164" s="21"/>
      <c r="D1164" s="3"/>
      <c r="E1164" s="20">
        <v>1000185288</v>
      </c>
      <c r="F1164" s="4" t="s">
        <v>64</v>
      </c>
      <c r="G1164" s="19">
        <v>1000189806</v>
      </c>
      <c r="H1164" s="3" t="s">
        <v>119</v>
      </c>
      <c r="I1164" s="21">
        <v>1000189270</v>
      </c>
      <c r="J1164" s="3" t="s">
        <v>34</v>
      </c>
      <c r="K1164" s="20" t="s">
        <v>16</v>
      </c>
      <c r="L1164" s="39">
        <v>0</v>
      </c>
      <c r="M1164" s="39">
        <v>0</v>
      </c>
      <c r="N1164" s="39">
        <v>0</v>
      </c>
      <c r="O1164" s="39">
        <v>0</v>
      </c>
      <c r="P1164" s="39">
        <v>0</v>
      </c>
      <c r="Q1164" s="39">
        <v>0</v>
      </c>
      <c r="R1164" s="39">
        <v>0</v>
      </c>
      <c r="S1164" s="39">
        <v>0</v>
      </c>
      <c r="T1164" s="39">
        <v>0</v>
      </c>
      <c r="U1164" s="39">
        <v>0</v>
      </c>
      <c r="V1164" s="39">
        <v>0</v>
      </c>
      <c r="W1164" s="39">
        <v>0</v>
      </c>
      <c r="X1164" s="39">
        <v>0</v>
      </c>
      <c r="Y1164" s="39">
        <v>0</v>
      </c>
      <c r="Z1164" s="39">
        <v>0</v>
      </c>
      <c r="AA1164" s="39">
        <v>0</v>
      </c>
      <c r="AB1164" s="39">
        <v>0</v>
      </c>
      <c r="AC1164" s="39">
        <v>0</v>
      </c>
      <c r="AD1164" s="39">
        <v>0</v>
      </c>
      <c r="AE1164" s="39">
        <v>0</v>
      </c>
      <c r="AF1164" s="39">
        <v>19.38</v>
      </c>
      <c r="AG1164" s="39">
        <v>0</v>
      </c>
      <c r="AH1164" s="39"/>
      <c r="AI1164" s="39"/>
      <c r="AJ1164" s="40"/>
      <c r="AK1164" s="39">
        <f t="shared" si="90"/>
        <v>0</v>
      </c>
      <c r="AL1164" s="39">
        <f t="shared" si="93"/>
        <v>1.615</v>
      </c>
      <c r="AM1164" s="39">
        <f t="shared" si="94"/>
        <v>3.23</v>
      </c>
      <c r="AN1164" s="39">
        <f t="shared" si="91"/>
        <v>1.9379999999999999</v>
      </c>
      <c r="AO1164" s="39">
        <f t="shared" si="92"/>
        <v>19.38</v>
      </c>
    </row>
    <row r="1165" spans="1:41" x14ac:dyDescent="0.3">
      <c r="A1165" s="20">
        <v>1000184670</v>
      </c>
      <c r="B1165" s="4" t="s">
        <v>147</v>
      </c>
      <c r="C1165" s="21"/>
      <c r="D1165" s="3"/>
      <c r="E1165" s="20">
        <v>1000185288</v>
      </c>
      <c r="F1165" s="4" t="s">
        <v>64</v>
      </c>
      <c r="G1165" s="21">
        <v>1000189806</v>
      </c>
      <c r="H1165" s="3" t="s">
        <v>119</v>
      </c>
      <c r="I1165" s="21">
        <v>1000189270</v>
      </c>
      <c r="J1165" s="3" t="s">
        <v>34</v>
      </c>
      <c r="K1165" s="20" t="s">
        <v>15</v>
      </c>
      <c r="L1165" s="39">
        <v>0</v>
      </c>
      <c r="M1165" s="39">
        <v>0</v>
      </c>
      <c r="N1165" s="39">
        <v>0</v>
      </c>
      <c r="O1165" s="39">
        <v>0</v>
      </c>
      <c r="P1165" s="39">
        <v>0</v>
      </c>
      <c r="Q1165" s="39">
        <v>0</v>
      </c>
      <c r="R1165" s="39">
        <v>0</v>
      </c>
      <c r="S1165" s="39">
        <v>0</v>
      </c>
      <c r="T1165" s="39">
        <v>0</v>
      </c>
      <c r="U1165" s="39">
        <v>0</v>
      </c>
      <c r="V1165" s="39">
        <v>0</v>
      </c>
      <c r="W1165" s="39">
        <v>579.86</v>
      </c>
      <c r="X1165" s="39">
        <v>0</v>
      </c>
      <c r="Y1165" s="39">
        <v>0</v>
      </c>
      <c r="Z1165" s="39">
        <v>0</v>
      </c>
      <c r="AA1165" s="39">
        <v>0</v>
      </c>
      <c r="AB1165" s="39">
        <v>0</v>
      </c>
      <c r="AC1165" s="39">
        <v>0</v>
      </c>
      <c r="AD1165" s="39">
        <v>0</v>
      </c>
      <c r="AE1165" s="39">
        <v>342</v>
      </c>
      <c r="AF1165" s="39">
        <v>442.8</v>
      </c>
      <c r="AG1165" s="39">
        <v>187.37</v>
      </c>
      <c r="AH1165" s="39"/>
      <c r="AI1165" s="39"/>
      <c r="AJ1165" s="40"/>
      <c r="AK1165" s="39">
        <f t="shared" si="90"/>
        <v>48.321666666666665</v>
      </c>
      <c r="AL1165" s="39">
        <f t="shared" si="93"/>
        <v>129.33583333333334</v>
      </c>
      <c r="AM1165" s="39">
        <f t="shared" si="94"/>
        <v>162.02833333333334</v>
      </c>
      <c r="AN1165" s="39">
        <f t="shared" si="91"/>
        <v>97.216999999999999</v>
      </c>
      <c r="AO1165" s="39">
        <f t="shared" si="92"/>
        <v>972.17</v>
      </c>
    </row>
    <row r="1166" spans="1:41" x14ac:dyDescent="0.3">
      <c r="A1166" s="20">
        <v>1000184670</v>
      </c>
      <c r="B1166" s="4" t="s">
        <v>147</v>
      </c>
      <c r="C1166" s="21"/>
      <c r="D1166" s="3"/>
      <c r="E1166" s="20">
        <v>1000185288</v>
      </c>
      <c r="F1166" s="4" t="s">
        <v>64</v>
      </c>
      <c r="G1166" s="21">
        <v>1000189806</v>
      </c>
      <c r="H1166" s="3" t="s">
        <v>119</v>
      </c>
      <c r="I1166" s="21">
        <v>1000189270</v>
      </c>
      <c r="J1166" s="3" t="s">
        <v>34</v>
      </c>
      <c r="K1166" s="20" t="s">
        <v>33</v>
      </c>
      <c r="L1166" s="39">
        <v>0</v>
      </c>
      <c r="M1166" s="39">
        <v>0</v>
      </c>
      <c r="N1166" s="39">
        <v>0</v>
      </c>
      <c r="O1166" s="39">
        <v>0</v>
      </c>
      <c r="P1166" s="39">
        <v>0</v>
      </c>
      <c r="Q1166" s="39">
        <v>0</v>
      </c>
      <c r="R1166" s="39">
        <v>0</v>
      </c>
      <c r="S1166" s="39">
        <v>0</v>
      </c>
      <c r="T1166" s="39">
        <v>0</v>
      </c>
      <c r="U1166" s="39">
        <v>0</v>
      </c>
      <c r="V1166" s="39">
        <v>0</v>
      </c>
      <c r="W1166" s="39">
        <v>0</v>
      </c>
      <c r="X1166" s="39">
        <v>0</v>
      </c>
      <c r="Y1166" s="39">
        <v>0</v>
      </c>
      <c r="Z1166" s="39">
        <v>0</v>
      </c>
      <c r="AA1166" s="39">
        <v>0</v>
      </c>
      <c r="AB1166" s="39">
        <v>0</v>
      </c>
      <c r="AC1166" s="39">
        <v>0</v>
      </c>
      <c r="AD1166" s="39">
        <v>0</v>
      </c>
      <c r="AE1166" s="39">
        <v>0</v>
      </c>
      <c r="AF1166" s="39">
        <v>228</v>
      </c>
      <c r="AG1166" s="39">
        <v>120</v>
      </c>
      <c r="AH1166" s="39"/>
      <c r="AI1166" s="39"/>
      <c r="AJ1166" s="40"/>
      <c r="AK1166" s="39">
        <f t="shared" si="90"/>
        <v>0</v>
      </c>
      <c r="AL1166" s="39">
        <f t="shared" si="93"/>
        <v>29</v>
      </c>
      <c r="AM1166" s="39">
        <f t="shared" si="94"/>
        <v>58</v>
      </c>
      <c r="AN1166" s="39">
        <f t="shared" si="91"/>
        <v>34.799999999999997</v>
      </c>
      <c r="AO1166" s="39">
        <f t="shared" si="92"/>
        <v>348</v>
      </c>
    </row>
    <row r="1167" spans="1:41" x14ac:dyDescent="0.3">
      <c r="A1167" s="20">
        <v>1000184670</v>
      </c>
      <c r="B1167" s="4" t="s">
        <v>147</v>
      </c>
      <c r="C1167" s="21"/>
      <c r="D1167" s="3"/>
      <c r="E1167" s="20">
        <v>1000185288</v>
      </c>
      <c r="F1167" s="4" t="s">
        <v>64</v>
      </c>
      <c r="G1167" s="21">
        <v>1000189806</v>
      </c>
      <c r="H1167" s="3" t="s">
        <v>119</v>
      </c>
      <c r="I1167" s="21">
        <v>1000189270</v>
      </c>
      <c r="J1167" s="3" t="s">
        <v>34</v>
      </c>
      <c r="K1167" s="20" t="s">
        <v>19</v>
      </c>
      <c r="L1167" s="39">
        <v>0</v>
      </c>
      <c r="M1167" s="39">
        <v>0</v>
      </c>
      <c r="N1167" s="39">
        <v>0</v>
      </c>
      <c r="O1167" s="39">
        <v>0</v>
      </c>
      <c r="P1167" s="39">
        <v>0</v>
      </c>
      <c r="Q1167" s="39">
        <v>0</v>
      </c>
      <c r="R1167" s="39">
        <v>0</v>
      </c>
      <c r="S1167" s="39">
        <v>0</v>
      </c>
      <c r="T1167" s="39">
        <v>0</v>
      </c>
      <c r="U1167" s="39">
        <v>0</v>
      </c>
      <c r="V1167" s="39">
        <v>0</v>
      </c>
      <c r="W1167" s="39">
        <v>482.44</v>
      </c>
      <c r="X1167" s="39">
        <v>0</v>
      </c>
      <c r="Y1167" s="39">
        <v>0</v>
      </c>
      <c r="Z1167" s="39">
        <v>0</v>
      </c>
      <c r="AA1167" s="39">
        <v>0</v>
      </c>
      <c r="AB1167" s="39">
        <v>0</v>
      </c>
      <c r="AC1167" s="39">
        <v>0</v>
      </c>
      <c r="AD1167" s="39">
        <v>0</v>
      </c>
      <c r="AE1167" s="39">
        <v>287.01</v>
      </c>
      <c r="AF1167" s="39">
        <v>0</v>
      </c>
      <c r="AG1167" s="39">
        <v>0</v>
      </c>
      <c r="AH1167" s="39"/>
      <c r="AI1167" s="39"/>
      <c r="AJ1167" s="40"/>
      <c r="AK1167" s="39">
        <f t="shared" si="90"/>
        <v>40.203333333333333</v>
      </c>
      <c r="AL1167" s="39">
        <f t="shared" si="93"/>
        <v>64.120833333333337</v>
      </c>
      <c r="AM1167" s="39">
        <f t="shared" si="94"/>
        <v>47.835000000000001</v>
      </c>
      <c r="AN1167" s="39">
        <f t="shared" si="91"/>
        <v>28.701000000000001</v>
      </c>
      <c r="AO1167" s="39">
        <f t="shared" si="92"/>
        <v>287.01</v>
      </c>
    </row>
    <row r="1168" spans="1:41" x14ac:dyDescent="0.3">
      <c r="A1168" s="20">
        <v>1000184670</v>
      </c>
      <c r="B1168" s="4" t="s">
        <v>147</v>
      </c>
      <c r="C1168" s="21"/>
      <c r="D1168" s="3"/>
      <c r="E1168" s="20">
        <v>1000185288</v>
      </c>
      <c r="F1168" s="4" t="s">
        <v>64</v>
      </c>
      <c r="G1168" s="21">
        <v>1000189806</v>
      </c>
      <c r="H1168" s="3" t="s">
        <v>119</v>
      </c>
      <c r="I1168" s="21">
        <v>1000189270</v>
      </c>
      <c r="J1168" s="3" t="s">
        <v>34</v>
      </c>
      <c r="K1168" s="20" t="s">
        <v>17</v>
      </c>
      <c r="L1168" s="39">
        <v>0</v>
      </c>
      <c r="M1168" s="39">
        <v>0</v>
      </c>
      <c r="N1168" s="39">
        <v>0</v>
      </c>
      <c r="O1168" s="39">
        <v>0</v>
      </c>
      <c r="P1168" s="39">
        <v>0</v>
      </c>
      <c r="Q1168" s="39">
        <v>0</v>
      </c>
      <c r="R1168" s="39">
        <v>0</v>
      </c>
      <c r="S1168" s="39">
        <v>0</v>
      </c>
      <c r="T1168" s="39">
        <v>0</v>
      </c>
      <c r="U1168" s="39">
        <v>0</v>
      </c>
      <c r="V1168" s="39">
        <v>0</v>
      </c>
      <c r="W1168" s="39">
        <v>127.54</v>
      </c>
      <c r="X1168" s="39">
        <v>0</v>
      </c>
      <c r="Y1168" s="39">
        <v>0</v>
      </c>
      <c r="Z1168" s="39">
        <v>0</v>
      </c>
      <c r="AA1168" s="39">
        <v>0</v>
      </c>
      <c r="AB1168" s="39">
        <v>0</v>
      </c>
      <c r="AC1168" s="39">
        <v>0</v>
      </c>
      <c r="AD1168" s="39">
        <v>0</v>
      </c>
      <c r="AE1168" s="39">
        <v>0</v>
      </c>
      <c r="AF1168" s="39">
        <v>0</v>
      </c>
      <c r="AG1168" s="39">
        <v>0</v>
      </c>
      <c r="AH1168" s="39"/>
      <c r="AI1168" s="39"/>
      <c r="AJ1168" s="40"/>
      <c r="AK1168" s="39">
        <f t="shared" si="90"/>
        <v>10.628333333333334</v>
      </c>
      <c r="AL1168" s="39">
        <f t="shared" si="93"/>
        <v>10.628333333333334</v>
      </c>
      <c r="AM1168" s="39">
        <f t="shared" si="94"/>
        <v>0</v>
      </c>
      <c r="AN1168" s="39">
        <f t="shared" si="91"/>
        <v>0</v>
      </c>
      <c r="AO1168" s="39">
        <f t="shared" si="92"/>
        <v>0</v>
      </c>
    </row>
    <row r="1169" spans="1:41" x14ac:dyDescent="0.3">
      <c r="A1169" s="20">
        <v>1000184670</v>
      </c>
      <c r="B1169" s="4" t="s">
        <v>147</v>
      </c>
      <c r="C1169" s="21"/>
      <c r="D1169" s="3"/>
      <c r="E1169" s="20">
        <v>1000185288</v>
      </c>
      <c r="F1169" s="4" t="s">
        <v>64</v>
      </c>
      <c r="G1169" s="21">
        <v>1000189806</v>
      </c>
      <c r="H1169" s="3" t="s">
        <v>119</v>
      </c>
      <c r="I1169" s="21">
        <v>1000189270</v>
      </c>
      <c r="J1169" s="3" t="s">
        <v>34</v>
      </c>
      <c r="K1169" s="20" t="s">
        <v>24</v>
      </c>
      <c r="L1169" s="39">
        <v>0</v>
      </c>
      <c r="M1169" s="39">
        <v>0</v>
      </c>
      <c r="N1169" s="39">
        <v>0</v>
      </c>
      <c r="O1169" s="39">
        <v>0</v>
      </c>
      <c r="P1169" s="39">
        <v>0</v>
      </c>
      <c r="Q1169" s="39">
        <v>0</v>
      </c>
      <c r="R1169" s="39">
        <v>0</v>
      </c>
      <c r="S1169" s="39">
        <v>0</v>
      </c>
      <c r="T1169" s="39">
        <v>0</v>
      </c>
      <c r="U1169" s="39">
        <v>0</v>
      </c>
      <c r="V1169" s="39">
        <v>0</v>
      </c>
      <c r="W1169" s="39">
        <v>0</v>
      </c>
      <c r="X1169" s="39">
        <v>0</v>
      </c>
      <c r="Y1169" s="39">
        <v>0</v>
      </c>
      <c r="Z1169" s="39">
        <v>0</v>
      </c>
      <c r="AA1169" s="39">
        <v>0</v>
      </c>
      <c r="AB1169" s="39">
        <v>0</v>
      </c>
      <c r="AC1169" s="39">
        <v>0</v>
      </c>
      <c r="AD1169" s="39">
        <v>0</v>
      </c>
      <c r="AE1169" s="39">
        <v>0</v>
      </c>
      <c r="AF1169" s="39">
        <v>0</v>
      </c>
      <c r="AG1169" s="39">
        <v>0</v>
      </c>
      <c r="AH1169" s="39"/>
      <c r="AI1169" s="39"/>
      <c r="AJ1169" s="40"/>
      <c r="AK1169" s="39">
        <f t="shared" si="90"/>
        <v>0</v>
      </c>
      <c r="AL1169" s="39">
        <f t="shared" si="93"/>
        <v>0</v>
      </c>
      <c r="AM1169" s="39">
        <f t="shared" si="94"/>
        <v>0</v>
      </c>
      <c r="AN1169" s="39">
        <f t="shared" si="91"/>
        <v>0</v>
      </c>
      <c r="AO1169" s="39">
        <f t="shared" si="92"/>
        <v>0</v>
      </c>
    </row>
    <row r="1170" spans="1:41" x14ac:dyDescent="0.3">
      <c r="A1170" s="20">
        <v>1000184670</v>
      </c>
      <c r="B1170" s="4" t="s">
        <v>147</v>
      </c>
      <c r="C1170" s="21"/>
      <c r="D1170" s="3"/>
      <c r="E1170" s="20">
        <v>1000185288</v>
      </c>
      <c r="F1170" s="4" t="s">
        <v>64</v>
      </c>
      <c r="G1170" s="21">
        <v>1000189806</v>
      </c>
      <c r="H1170" s="3" t="s">
        <v>119</v>
      </c>
      <c r="I1170" s="21">
        <v>1000189270</v>
      </c>
      <c r="J1170" s="3" t="s">
        <v>34</v>
      </c>
      <c r="K1170" s="20" t="s">
        <v>18</v>
      </c>
      <c r="L1170" s="39">
        <v>0</v>
      </c>
      <c r="M1170" s="39">
        <v>0</v>
      </c>
      <c r="N1170" s="39">
        <v>0</v>
      </c>
      <c r="O1170" s="39">
        <v>0</v>
      </c>
      <c r="P1170" s="39">
        <v>0</v>
      </c>
      <c r="Q1170" s="39">
        <v>0</v>
      </c>
      <c r="R1170" s="39">
        <v>0</v>
      </c>
      <c r="S1170" s="39">
        <v>0</v>
      </c>
      <c r="T1170" s="39">
        <v>0</v>
      </c>
      <c r="U1170" s="39">
        <v>0</v>
      </c>
      <c r="V1170" s="39">
        <v>0</v>
      </c>
      <c r="W1170" s="39">
        <v>0</v>
      </c>
      <c r="X1170" s="39">
        <v>0</v>
      </c>
      <c r="Y1170" s="39">
        <v>0</v>
      </c>
      <c r="Z1170" s="39">
        <v>0</v>
      </c>
      <c r="AA1170" s="39">
        <v>0</v>
      </c>
      <c r="AB1170" s="39">
        <v>0</v>
      </c>
      <c r="AC1170" s="39">
        <v>0</v>
      </c>
      <c r="AD1170" s="39">
        <v>0</v>
      </c>
      <c r="AE1170" s="39">
        <v>8.51</v>
      </c>
      <c r="AF1170" s="39">
        <v>0</v>
      </c>
      <c r="AG1170" s="39">
        <v>0</v>
      </c>
      <c r="AH1170" s="39"/>
      <c r="AI1170" s="39"/>
      <c r="AJ1170" s="40"/>
      <c r="AK1170" s="39">
        <f t="shared" si="90"/>
        <v>0</v>
      </c>
      <c r="AL1170" s="39">
        <f t="shared" si="93"/>
        <v>0.70916666666666661</v>
      </c>
      <c r="AM1170" s="39">
        <f t="shared" si="94"/>
        <v>1.4183333333333332</v>
      </c>
      <c r="AN1170" s="39">
        <f t="shared" si="91"/>
        <v>0.85099999999999998</v>
      </c>
      <c r="AO1170" s="39">
        <f t="shared" si="92"/>
        <v>8.51</v>
      </c>
    </row>
    <row r="1171" spans="1:41" x14ac:dyDescent="0.3">
      <c r="A1171" s="20">
        <v>1000184670</v>
      </c>
      <c r="B1171" s="4" t="s">
        <v>147</v>
      </c>
      <c r="C1171" s="21"/>
      <c r="D1171" s="3"/>
      <c r="E1171" s="20">
        <v>1000185288</v>
      </c>
      <c r="F1171" s="4" t="s">
        <v>64</v>
      </c>
      <c r="G1171" s="21">
        <v>1000189806</v>
      </c>
      <c r="H1171" s="3" t="s">
        <v>119</v>
      </c>
      <c r="I1171" s="21">
        <v>1000189270</v>
      </c>
      <c r="J1171" s="3" t="s">
        <v>34</v>
      </c>
      <c r="K1171" s="20" t="s">
        <v>29</v>
      </c>
      <c r="L1171" s="39">
        <v>0</v>
      </c>
      <c r="M1171" s="39">
        <v>0</v>
      </c>
      <c r="N1171" s="39">
        <v>0</v>
      </c>
      <c r="O1171" s="39">
        <v>0</v>
      </c>
      <c r="P1171" s="39">
        <v>0</v>
      </c>
      <c r="Q1171" s="39">
        <v>0</v>
      </c>
      <c r="R1171" s="39">
        <v>0</v>
      </c>
      <c r="S1171" s="39">
        <v>0</v>
      </c>
      <c r="T1171" s="39">
        <v>0</v>
      </c>
      <c r="U1171" s="39">
        <v>0</v>
      </c>
      <c r="V1171" s="39">
        <v>0</v>
      </c>
      <c r="W1171" s="39">
        <v>0</v>
      </c>
      <c r="X1171" s="39">
        <v>0</v>
      </c>
      <c r="Y1171" s="39">
        <v>0</v>
      </c>
      <c r="Z1171" s="39">
        <v>0</v>
      </c>
      <c r="AA1171" s="39">
        <v>0</v>
      </c>
      <c r="AB1171" s="39">
        <v>0</v>
      </c>
      <c r="AC1171" s="39">
        <v>0</v>
      </c>
      <c r="AD1171" s="39">
        <v>0</v>
      </c>
      <c r="AE1171" s="39">
        <v>0</v>
      </c>
      <c r="AF1171" s="39">
        <v>657.4</v>
      </c>
      <c r="AG1171" s="39">
        <v>2214.4</v>
      </c>
      <c r="AH1171" s="39"/>
      <c r="AI1171" s="39"/>
      <c r="AJ1171" s="40"/>
      <c r="AK1171" s="39">
        <f t="shared" si="90"/>
        <v>0</v>
      </c>
      <c r="AL1171" s="39">
        <f t="shared" si="93"/>
        <v>239.31666666666669</v>
      </c>
      <c r="AM1171" s="39">
        <f t="shared" si="94"/>
        <v>478.63333333333338</v>
      </c>
      <c r="AN1171" s="39">
        <f t="shared" si="91"/>
        <v>287.18</v>
      </c>
      <c r="AO1171" s="39">
        <f t="shared" si="92"/>
        <v>2871.8</v>
      </c>
    </row>
    <row r="1172" spans="1:41" x14ac:dyDescent="0.3">
      <c r="A1172" s="20">
        <v>1000184670</v>
      </c>
      <c r="B1172" s="4" t="s">
        <v>147</v>
      </c>
      <c r="C1172" s="21"/>
      <c r="D1172" s="3"/>
      <c r="E1172" s="20">
        <v>1000185288</v>
      </c>
      <c r="F1172" s="4" t="s">
        <v>64</v>
      </c>
      <c r="G1172" s="21">
        <v>1000189806</v>
      </c>
      <c r="H1172" s="3" t="s">
        <v>119</v>
      </c>
      <c r="I1172" s="21">
        <v>1000189270</v>
      </c>
      <c r="J1172" s="3" t="s">
        <v>34</v>
      </c>
      <c r="K1172" s="20" t="s">
        <v>21</v>
      </c>
      <c r="L1172" s="39">
        <v>0</v>
      </c>
      <c r="M1172" s="39">
        <v>0</v>
      </c>
      <c r="N1172" s="39">
        <v>0</v>
      </c>
      <c r="O1172" s="39">
        <v>0</v>
      </c>
      <c r="P1172" s="39">
        <v>0</v>
      </c>
      <c r="Q1172" s="39">
        <v>0</v>
      </c>
      <c r="R1172" s="39">
        <v>0</v>
      </c>
      <c r="S1172" s="39">
        <v>0</v>
      </c>
      <c r="T1172" s="39">
        <v>0</v>
      </c>
      <c r="U1172" s="39">
        <v>0</v>
      </c>
      <c r="V1172" s="39">
        <v>0</v>
      </c>
      <c r="W1172" s="39">
        <v>0</v>
      </c>
      <c r="X1172" s="39">
        <v>0</v>
      </c>
      <c r="Y1172" s="39">
        <v>0</v>
      </c>
      <c r="Z1172" s="39">
        <v>0</v>
      </c>
      <c r="AA1172" s="39">
        <v>0</v>
      </c>
      <c r="AB1172" s="39">
        <v>0</v>
      </c>
      <c r="AC1172" s="39">
        <v>0</v>
      </c>
      <c r="AD1172" s="39">
        <v>0</v>
      </c>
      <c r="AE1172" s="39">
        <v>129.1</v>
      </c>
      <c r="AF1172" s="39">
        <v>0</v>
      </c>
      <c r="AG1172" s="39">
        <v>0</v>
      </c>
      <c r="AH1172" s="39"/>
      <c r="AI1172" s="39"/>
      <c r="AJ1172" s="40"/>
      <c r="AK1172" s="39">
        <f t="shared" si="90"/>
        <v>0</v>
      </c>
      <c r="AL1172" s="39">
        <f t="shared" si="93"/>
        <v>10.758333333333333</v>
      </c>
      <c r="AM1172" s="39">
        <f t="shared" si="94"/>
        <v>21.516666666666666</v>
      </c>
      <c r="AN1172" s="39">
        <f t="shared" si="91"/>
        <v>12.91</v>
      </c>
      <c r="AO1172" s="39">
        <f t="shared" si="92"/>
        <v>129.1</v>
      </c>
    </row>
    <row r="1173" spans="1:41" x14ac:dyDescent="0.3">
      <c r="A1173" s="20">
        <v>1000184670</v>
      </c>
      <c r="B1173" s="4" t="s">
        <v>147</v>
      </c>
      <c r="C1173" s="21"/>
      <c r="D1173" s="3"/>
      <c r="E1173" s="20">
        <v>1000185288</v>
      </c>
      <c r="F1173" s="4" t="s">
        <v>64</v>
      </c>
      <c r="G1173" s="21">
        <v>1000189806</v>
      </c>
      <c r="H1173" s="3" t="s">
        <v>119</v>
      </c>
      <c r="I1173" s="21">
        <v>1000189270</v>
      </c>
      <c r="J1173" s="3" t="s">
        <v>34</v>
      </c>
      <c r="K1173" s="20" t="s">
        <v>20</v>
      </c>
      <c r="L1173" s="39">
        <v>0</v>
      </c>
      <c r="M1173" s="39">
        <v>0</v>
      </c>
      <c r="N1173" s="39">
        <v>0</v>
      </c>
      <c r="O1173" s="39">
        <v>0</v>
      </c>
      <c r="P1173" s="39">
        <v>0</v>
      </c>
      <c r="Q1173" s="39">
        <v>0</v>
      </c>
      <c r="R1173" s="39">
        <v>0</v>
      </c>
      <c r="S1173" s="39">
        <v>0</v>
      </c>
      <c r="T1173" s="39">
        <v>0</v>
      </c>
      <c r="U1173" s="39">
        <v>0</v>
      </c>
      <c r="V1173" s="39">
        <v>0</v>
      </c>
      <c r="W1173" s="39">
        <v>288.27999999999997</v>
      </c>
      <c r="X1173" s="39">
        <v>0</v>
      </c>
      <c r="Y1173" s="39">
        <v>0</v>
      </c>
      <c r="Z1173" s="39">
        <v>0</v>
      </c>
      <c r="AA1173" s="39">
        <v>0</v>
      </c>
      <c r="AB1173" s="39">
        <v>0</v>
      </c>
      <c r="AC1173" s="39">
        <v>0</v>
      </c>
      <c r="AD1173" s="39">
        <v>0</v>
      </c>
      <c r="AE1173" s="39">
        <v>132.26</v>
      </c>
      <c r="AF1173" s="39">
        <v>0</v>
      </c>
      <c r="AG1173" s="39">
        <v>0</v>
      </c>
      <c r="AH1173" s="39"/>
      <c r="AI1173" s="39"/>
      <c r="AJ1173" s="40"/>
      <c r="AK1173" s="39">
        <f t="shared" si="90"/>
        <v>24.02333333333333</v>
      </c>
      <c r="AL1173" s="39">
        <f t="shared" si="93"/>
        <v>35.044999999999995</v>
      </c>
      <c r="AM1173" s="39">
        <f t="shared" si="94"/>
        <v>22.043333333333333</v>
      </c>
      <c r="AN1173" s="39">
        <f t="shared" si="91"/>
        <v>13.225999999999999</v>
      </c>
      <c r="AO1173" s="39">
        <f t="shared" si="92"/>
        <v>132.26</v>
      </c>
    </row>
    <row r="1174" spans="1:41" x14ac:dyDescent="0.3">
      <c r="A1174" s="20">
        <v>1000184670</v>
      </c>
      <c r="B1174" s="4" t="s">
        <v>147</v>
      </c>
      <c r="C1174" s="21"/>
      <c r="D1174" s="3"/>
      <c r="E1174" s="20">
        <v>1000185288</v>
      </c>
      <c r="F1174" s="4" t="s">
        <v>64</v>
      </c>
      <c r="G1174" s="21">
        <v>1000189806</v>
      </c>
      <c r="H1174" s="3" t="s">
        <v>119</v>
      </c>
      <c r="I1174" s="21">
        <v>1000189270</v>
      </c>
      <c r="J1174" s="3" t="s">
        <v>34</v>
      </c>
      <c r="K1174" s="20" t="s">
        <v>22</v>
      </c>
      <c r="L1174" s="39">
        <v>0</v>
      </c>
      <c r="M1174" s="39">
        <v>0</v>
      </c>
      <c r="N1174" s="39">
        <v>0</v>
      </c>
      <c r="O1174" s="39">
        <v>0</v>
      </c>
      <c r="P1174" s="39">
        <v>0</v>
      </c>
      <c r="Q1174" s="39">
        <v>0</v>
      </c>
      <c r="R1174" s="39">
        <v>0</v>
      </c>
      <c r="S1174" s="39">
        <v>0</v>
      </c>
      <c r="T1174" s="39">
        <v>0</v>
      </c>
      <c r="U1174" s="39">
        <v>0</v>
      </c>
      <c r="V1174" s="39">
        <v>0</v>
      </c>
      <c r="W1174" s="39">
        <v>101.44</v>
      </c>
      <c r="X1174" s="39">
        <v>0</v>
      </c>
      <c r="Y1174" s="39">
        <v>0</v>
      </c>
      <c r="Z1174" s="39">
        <v>0</v>
      </c>
      <c r="AA1174" s="39">
        <v>0</v>
      </c>
      <c r="AB1174" s="39">
        <v>0</v>
      </c>
      <c r="AC1174" s="39">
        <v>0</v>
      </c>
      <c r="AD1174" s="39">
        <v>0</v>
      </c>
      <c r="AE1174" s="39">
        <v>226.8</v>
      </c>
      <c r="AF1174" s="39">
        <v>23.71</v>
      </c>
      <c r="AG1174" s="39">
        <v>0</v>
      </c>
      <c r="AH1174" s="39"/>
      <c r="AI1174" s="39"/>
      <c r="AJ1174" s="40"/>
      <c r="AK1174" s="39">
        <f t="shared" si="90"/>
        <v>8.4533333333333331</v>
      </c>
      <c r="AL1174" s="39">
        <f t="shared" si="93"/>
        <v>29.329166666666666</v>
      </c>
      <c r="AM1174" s="39">
        <f t="shared" si="94"/>
        <v>41.751666666666672</v>
      </c>
      <c r="AN1174" s="39">
        <f t="shared" si="91"/>
        <v>25.051000000000002</v>
      </c>
      <c r="AO1174" s="39">
        <f t="shared" si="92"/>
        <v>250.51000000000002</v>
      </c>
    </row>
    <row r="1175" spans="1:41" x14ac:dyDescent="0.3">
      <c r="A1175" s="20">
        <v>1000184670</v>
      </c>
      <c r="B1175" s="4" t="s">
        <v>147</v>
      </c>
      <c r="C1175" s="21"/>
      <c r="D1175" s="3"/>
      <c r="E1175" s="20">
        <v>1000185288</v>
      </c>
      <c r="F1175" s="4" t="s">
        <v>64</v>
      </c>
      <c r="G1175" s="21">
        <v>1000189806</v>
      </c>
      <c r="H1175" s="3" t="s">
        <v>119</v>
      </c>
      <c r="I1175" s="21">
        <v>1000189270</v>
      </c>
      <c r="J1175" s="3" t="s">
        <v>34</v>
      </c>
      <c r="K1175" s="20" t="s">
        <v>23</v>
      </c>
      <c r="L1175" s="39">
        <v>0</v>
      </c>
      <c r="M1175" s="39">
        <v>0</v>
      </c>
      <c r="N1175" s="39">
        <v>0</v>
      </c>
      <c r="O1175" s="39">
        <v>0</v>
      </c>
      <c r="P1175" s="39">
        <v>0</v>
      </c>
      <c r="Q1175" s="39">
        <v>0</v>
      </c>
      <c r="R1175" s="39">
        <v>0</v>
      </c>
      <c r="S1175" s="39">
        <v>0</v>
      </c>
      <c r="T1175" s="39">
        <v>0</v>
      </c>
      <c r="U1175" s="39">
        <v>0</v>
      </c>
      <c r="V1175" s="39">
        <v>0</v>
      </c>
      <c r="W1175" s="39">
        <v>0</v>
      </c>
      <c r="X1175" s="39">
        <v>0</v>
      </c>
      <c r="Y1175" s="39">
        <v>0</v>
      </c>
      <c r="Z1175" s="39">
        <v>0</v>
      </c>
      <c r="AA1175" s="39">
        <v>0</v>
      </c>
      <c r="AB1175" s="39">
        <v>0</v>
      </c>
      <c r="AC1175" s="39">
        <v>0</v>
      </c>
      <c r="AD1175" s="39">
        <v>0</v>
      </c>
      <c r="AE1175" s="39">
        <v>0</v>
      </c>
      <c r="AF1175" s="39">
        <v>0</v>
      </c>
      <c r="AG1175" s="39">
        <v>46.53</v>
      </c>
      <c r="AH1175" s="39"/>
      <c r="AI1175" s="39"/>
      <c r="AJ1175" s="40"/>
      <c r="AK1175" s="39">
        <f t="shared" si="90"/>
        <v>0</v>
      </c>
      <c r="AL1175" s="39">
        <f t="shared" si="93"/>
        <v>3.8774999999999999</v>
      </c>
      <c r="AM1175" s="39">
        <f t="shared" si="94"/>
        <v>7.7549999999999999</v>
      </c>
      <c r="AN1175" s="39">
        <f t="shared" si="91"/>
        <v>4.6530000000000005</v>
      </c>
      <c r="AO1175" s="39">
        <f t="shared" si="92"/>
        <v>46.53</v>
      </c>
    </row>
    <row r="1176" spans="1:41" x14ac:dyDescent="0.3">
      <c r="A1176" s="20">
        <v>1000184670</v>
      </c>
      <c r="B1176" s="4" t="s">
        <v>147</v>
      </c>
      <c r="C1176" s="21"/>
      <c r="D1176" s="3"/>
      <c r="E1176" s="20">
        <v>1000185288</v>
      </c>
      <c r="F1176" s="4" t="s">
        <v>64</v>
      </c>
      <c r="G1176" s="21">
        <v>1000189806</v>
      </c>
      <c r="H1176" s="3" t="s">
        <v>119</v>
      </c>
      <c r="I1176" s="21">
        <v>1000189270</v>
      </c>
      <c r="J1176" s="3" t="s">
        <v>34</v>
      </c>
      <c r="K1176" s="20" t="s">
        <v>28</v>
      </c>
      <c r="L1176" s="39">
        <v>0</v>
      </c>
      <c r="M1176" s="39">
        <v>0</v>
      </c>
      <c r="N1176" s="39">
        <v>0</v>
      </c>
      <c r="O1176" s="39">
        <v>0</v>
      </c>
      <c r="P1176" s="39">
        <v>0</v>
      </c>
      <c r="Q1176" s="39">
        <v>0</v>
      </c>
      <c r="R1176" s="39">
        <v>0</v>
      </c>
      <c r="S1176" s="39">
        <v>0</v>
      </c>
      <c r="T1176" s="39">
        <v>0</v>
      </c>
      <c r="U1176" s="39">
        <v>0</v>
      </c>
      <c r="V1176" s="39">
        <v>0</v>
      </c>
      <c r="W1176" s="39">
        <v>0</v>
      </c>
      <c r="X1176" s="39">
        <v>0</v>
      </c>
      <c r="Y1176" s="39">
        <v>0</v>
      </c>
      <c r="Z1176" s="39">
        <v>0</v>
      </c>
      <c r="AA1176" s="39">
        <v>0</v>
      </c>
      <c r="AB1176" s="39">
        <v>0</v>
      </c>
      <c r="AC1176" s="39">
        <v>0</v>
      </c>
      <c r="AD1176" s="39">
        <v>0</v>
      </c>
      <c r="AE1176" s="39">
        <v>24.48</v>
      </c>
      <c r="AF1176" s="39">
        <v>0</v>
      </c>
      <c r="AG1176" s="39">
        <v>0</v>
      </c>
      <c r="AH1176" s="39"/>
      <c r="AI1176" s="39"/>
      <c r="AJ1176" s="40"/>
      <c r="AK1176" s="39">
        <f t="shared" si="90"/>
        <v>0</v>
      </c>
      <c r="AL1176" s="39">
        <f t="shared" si="93"/>
        <v>2.04</v>
      </c>
      <c r="AM1176" s="39">
        <f t="shared" si="94"/>
        <v>4.08</v>
      </c>
      <c r="AN1176" s="39">
        <f t="shared" si="91"/>
        <v>2.448</v>
      </c>
      <c r="AO1176" s="39">
        <f t="shared" si="92"/>
        <v>24.48</v>
      </c>
    </row>
    <row r="1177" spans="1:41" x14ac:dyDescent="0.3">
      <c r="A1177" s="20">
        <v>1000184670</v>
      </c>
      <c r="B1177" s="4" t="s">
        <v>147</v>
      </c>
      <c r="C1177" s="21"/>
      <c r="D1177" s="3"/>
      <c r="E1177" s="20">
        <v>1000185288</v>
      </c>
      <c r="F1177" s="4" t="s">
        <v>64</v>
      </c>
      <c r="G1177" s="21">
        <v>1000189806</v>
      </c>
      <c r="H1177" s="3" t="s">
        <v>119</v>
      </c>
      <c r="I1177" s="21">
        <v>1000189270</v>
      </c>
      <c r="J1177" s="3" t="s">
        <v>34</v>
      </c>
      <c r="K1177" s="20" t="s">
        <v>26</v>
      </c>
      <c r="L1177" s="39">
        <v>0</v>
      </c>
      <c r="M1177" s="39">
        <v>0</v>
      </c>
      <c r="N1177" s="39">
        <v>0</v>
      </c>
      <c r="O1177" s="39">
        <v>0</v>
      </c>
      <c r="P1177" s="39">
        <v>0</v>
      </c>
      <c r="Q1177" s="39">
        <v>0</v>
      </c>
      <c r="R1177" s="39">
        <v>0</v>
      </c>
      <c r="S1177" s="39">
        <v>0</v>
      </c>
      <c r="T1177" s="39">
        <v>0</v>
      </c>
      <c r="U1177" s="39">
        <v>0</v>
      </c>
      <c r="V1177" s="39">
        <v>0</v>
      </c>
      <c r="W1177" s="39">
        <v>0</v>
      </c>
      <c r="X1177" s="39">
        <v>0</v>
      </c>
      <c r="Y1177" s="39">
        <v>0</v>
      </c>
      <c r="Z1177" s="39">
        <v>0</v>
      </c>
      <c r="AA1177" s="39">
        <v>0</v>
      </c>
      <c r="AB1177" s="39">
        <v>0</v>
      </c>
      <c r="AC1177" s="39">
        <v>0</v>
      </c>
      <c r="AD1177" s="39">
        <v>0</v>
      </c>
      <c r="AE1177" s="39">
        <v>502.2</v>
      </c>
      <c r="AF1177" s="39">
        <v>0</v>
      </c>
      <c r="AG1177" s="39">
        <v>0</v>
      </c>
      <c r="AH1177" s="39"/>
      <c r="AI1177" s="39"/>
      <c r="AJ1177" s="40"/>
      <c r="AK1177" s="39">
        <f t="shared" si="90"/>
        <v>0</v>
      </c>
      <c r="AL1177" s="39">
        <f t="shared" si="93"/>
        <v>41.85</v>
      </c>
      <c r="AM1177" s="39">
        <f t="shared" si="94"/>
        <v>83.7</v>
      </c>
      <c r="AN1177" s="39">
        <f t="shared" si="91"/>
        <v>50.22</v>
      </c>
      <c r="AO1177" s="39">
        <f t="shared" si="92"/>
        <v>502.2</v>
      </c>
    </row>
    <row r="1178" spans="1:41" x14ac:dyDescent="0.3">
      <c r="A1178" s="20">
        <v>1000184670</v>
      </c>
      <c r="B1178" s="4" t="s">
        <v>147</v>
      </c>
      <c r="C1178" s="21"/>
      <c r="D1178" s="3"/>
      <c r="E1178" s="20">
        <v>1000185288</v>
      </c>
      <c r="F1178" s="4" t="s">
        <v>64</v>
      </c>
      <c r="G1178" s="21">
        <v>1000189806</v>
      </c>
      <c r="H1178" s="3" t="s">
        <v>119</v>
      </c>
      <c r="I1178" s="21">
        <v>1000189270</v>
      </c>
      <c r="J1178" s="3" t="s">
        <v>34</v>
      </c>
      <c r="K1178" s="20" t="s">
        <v>27</v>
      </c>
      <c r="L1178" s="39">
        <v>0</v>
      </c>
      <c r="M1178" s="39">
        <v>0</v>
      </c>
      <c r="N1178" s="39">
        <v>0</v>
      </c>
      <c r="O1178" s="39">
        <v>0</v>
      </c>
      <c r="P1178" s="39">
        <v>0</v>
      </c>
      <c r="Q1178" s="39">
        <v>0</v>
      </c>
      <c r="R1178" s="39">
        <v>0</v>
      </c>
      <c r="S1178" s="39">
        <v>0</v>
      </c>
      <c r="T1178" s="39">
        <v>0</v>
      </c>
      <c r="U1178" s="39">
        <v>0</v>
      </c>
      <c r="V1178" s="39">
        <v>0</v>
      </c>
      <c r="W1178" s="39">
        <v>0</v>
      </c>
      <c r="X1178" s="39">
        <v>0</v>
      </c>
      <c r="Y1178" s="39">
        <v>0</v>
      </c>
      <c r="Z1178" s="39">
        <v>0</v>
      </c>
      <c r="AA1178" s="39">
        <v>0</v>
      </c>
      <c r="AB1178" s="39">
        <v>0</v>
      </c>
      <c r="AC1178" s="39">
        <v>0</v>
      </c>
      <c r="AD1178" s="39">
        <v>0</v>
      </c>
      <c r="AE1178" s="39">
        <v>43.74</v>
      </c>
      <c r="AF1178" s="39">
        <v>21.87</v>
      </c>
      <c r="AG1178" s="39">
        <v>118.46</v>
      </c>
      <c r="AH1178" s="39"/>
      <c r="AI1178" s="39"/>
      <c r="AJ1178" s="40"/>
      <c r="AK1178" s="39">
        <f t="shared" si="90"/>
        <v>0</v>
      </c>
      <c r="AL1178" s="39">
        <f t="shared" si="93"/>
        <v>15.339166666666666</v>
      </c>
      <c r="AM1178" s="39">
        <f t="shared" si="94"/>
        <v>30.678333333333331</v>
      </c>
      <c r="AN1178" s="39">
        <f t="shared" si="91"/>
        <v>18.407</v>
      </c>
      <c r="AO1178" s="39">
        <f t="shared" si="92"/>
        <v>184.07</v>
      </c>
    </row>
    <row r="1179" spans="1:41" x14ac:dyDescent="0.3">
      <c r="A1179" s="20">
        <v>1000184670</v>
      </c>
      <c r="B1179" s="4" t="s">
        <v>147</v>
      </c>
      <c r="C1179" s="21"/>
      <c r="D1179" s="3"/>
      <c r="E1179" s="20">
        <v>1000185288</v>
      </c>
      <c r="F1179" s="4" t="s">
        <v>64</v>
      </c>
      <c r="G1179" s="21">
        <v>1000189806</v>
      </c>
      <c r="H1179" s="3" t="s">
        <v>119</v>
      </c>
      <c r="I1179" s="21">
        <v>1000189270</v>
      </c>
      <c r="J1179" s="3" t="s">
        <v>34</v>
      </c>
      <c r="K1179" s="20" t="s">
        <v>25</v>
      </c>
      <c r="L1179" s="39">
        <v>0</v>
      </c>
      <c r="M1179" s="39">
        <v>0</v>
      </c>
      <c r="N1179" s="39">
        <v>0</v>
      </c>
      <c r="O1179" s="39">
        <v>0</v>
      </c>
      <c r="P1179" s="39">
        <v>0</v>
      </c>
      <c r="Q1179" s="39">
        <v>0</v>
      </c>
      <c r="R1179" s="39">
        <v>0</v>
      </c>
      <c r="S1179" s="39">
        <v>0</v>
      </c>
      <c r="T1179" s="39">
        <v>0</v>
      </c>
      <c r="U1179" s="39">
        <v>0</v>
      </c>
      <c r="V1179" s="39">
        <v>0</v>
      </c>
      <c r="W1179" s="39">
        <v>156.22</v>
      </c>
      <c r="X1179" s="39">
        <v>0</v>
      </c>
      <c r="Y1179" s="39">
        <v>0</v>
      </c>
      <c r="Z1179" s="39">
        <v>0</v>
      </c>
      <c r="AA1179" s="39">
        <v>0</v>
      </c>
      <c r="AB1179" s="39">
        <v>0</v>
      </c>
      <c r="AC1179" s="39">
        <v>0</v>
      </c>
      <c r="AD1179" s="39">
        <v>0</v>
      </c>
      <c r="AE1179" s="39">
        <v>0</v>
      </c>
      <c r="AF1179" s="39">
        <v>0</v>
      </c>
      <c r="AG1179" s="39">
        <v>0</v>
      </c>
      <c r="AH1179" s="39"/>
      <c r="AI1179" s="39"/>
      <c r="AJ1179" s="40"/>
      <c r="AK1179" s="39">
        <f t="shared" si="90"/>
        <v>13.018333333333333</v>
      </c>
      <c r="AL1179" s="39">
        <f t="shared" si="93"/>
        <v>13.018333333333333</v>
      </c>
      <c r="AM1179" s="39">
        <f t="shared" si="94"/>
        <v>0</v>
      </c>
      <c r="AN1179" s="39">
        <f t="shared" si="91"/>
        <v>0</v>
      </c>
      <c r="AO1179" s="39">
        <f t="shared" si="92"/>
        <v>0</v>
      </c>
    </row>
    <row r="1180" spans="1:41" x14ac:dyDescent="0.3">
      <c r="A1180" s="20">
        <v>1000184670</v>
      </c>
      <c r="B1180" s="4" t="s">
        <v>147</v>
      </c>
      <c r="C1180" s="21"/>
      <c r="D1180" s="3"/>
      <c r="E1180" s="20">
        <v>1000185288</v>
      </c>
      <c r="F1180" s="4" t="s">
        <v>64</v>
      </c>
      <c r="G1180" s="21">
        <v>1000189807</v>
      </c>
      <c r="H1180" s="3" t="s">
        <v>81</v>
      </c>
      <c r="I1180" s="21">
        <v>1000189270</v>
      </c>
      <c r="J1180" s="3" t="s">
        <v>34</v>
      </c>
      <c r="K1180" s="20" t="s">
        <v>124</v>
      </c>
      <c r="L1180" s="39">
        <v>0</v>
      </c>
      <c r="M1180" s="39">
        <v>0</v>
      </c>
      <c r="N1180" s="39">
        <v>0</v>
      </c>
      <c r="O1180" s="39">
        <v>0</v>
      </c>
      <c r="P1180" s="39">
        <v>0</v>
      </c>
      <c r="Q1180" s="39">
        <v>0</v>
      </c>
      <c r="R1180" s="39">
        <v>0</v>
      </c>
      <c r="S1180" s="39">
        <v>0</v>
      </c>
      <c r="T1180" s="39">
        <v>0</v>
      </c>
      <c r="U1180" s="39">
        <v>0</v>
      </c>
      <c r="V1180" s="39">
        <v>0</v>
      </c>
      <c r="W1180" s="39">
        <v>0</v>
      </c>
      <c r="X1180" s="39">
        <v>0</v>
      </c>
      <c r="Y1180" s="39">
        <v>0</v>
      </c>
      <c r="Z1180" s="39">
        <v>0</v>
      </c>
      <c r="AA1180" s="39">
        <v>0</v>
      </c>
      <c r="AB1180" s="39">
        <v>0</v>
      </c>
      <c r="AC1180" s="39">
        <v>0</v>
      </c>
      <c r="AD1180" s="39">
        <v>0</v>
      </c>
      <c r="AE1180" s="39">
        <v>0</v>
      </c>
      <c r="AF1180" s="39">
        <v>0</v>
      </c>
      <c r="AG1180" s="39">
        <v>0</v>
      </c>
      <c r="AH1180" s="39"/>
      <c r="AI1180" s="39"/>
      <c r="AJ1180" s="40"/>
      <c r="AK1180" s="39">
        <f t="shared" si="90"/>
        <v>0</v>
      </c>
      <c r="AL1180" s="39">
        <f t="shared" si="93"/>
        <v>0</v>
      </c>
      <c r="AM1180" s="39">
        <f t="shared" si="94"/>
        <v>0</v>
      </c>
      <c r="AN1180" s="39">
        <f t="shared" si="91"/>
        <v>0</v>
      </c>
      <c r="AO1180" s="39">
        <f t="shared" si="92"/>
        <v>0</v>
      </c>
    </row>
    <row r="1181" spans="1:41" x14ac:dyDescent="0.3">
      <c r="A1181" s="20">
        <v>1000184670</v>
      </c>
      <c r="B1181" s="4" t="s">
        <v>147</v>
      </c>
      <c r="C1181" s="21"/>
      <c r="D1181" s="3"/>
      <c r="E1181" s="20">
        <v>1000185288</v>
      </c>
      <c r="F1181" s="4" t="s">
        <v>64</v>
      </c>
      <c r="G1181" s="21">
        <v>1000189807</v>
      </c>
      <c r="H1181" s="3" t="s">
        <v>81</v>
      </c>
      <c r="I1181" s="21">
        <v>1000189270</v>
      </c>
      <c r="J1181" s="3" t="s">
        <v>34</v>
      </c>
      <c r="K1181" s="20" t="s">
        <v>13</v>
      </c>
      <c r="L1181" s="39">
        <v>206.42</v>
      </c>
      <c r="M1181" s="39">
        <v>0</v>
      </c>
      <c r="N1181" s="39">
        <v>951.15</v>
      </c>
      <c r="O1181" s="39">
        <v>1809.46</v>
      </c>
      <c r="P1181" s="39">
        <v>-126.8</v>
      </c>
      <c r="Q1181" s="39">
        <v>335.22</v>
      </c>
      <c r="R1181" s="39">
        <v>0</v>
      </c>
      <c r="S1181" s="39">
        <v>0</v>
      </c>
      <c r="T1181" s="39">
        <v>0</v>
      </c>
      <c r="U1181" s="39">
        <v>493.8</v>
      </c>
      <c r="V1181" s="39">
        <v>0</v>
      </c>
      <c r="W1181" s="39">
        <v>66</v>
      </c>
      <c r="X1181" s="39">
        <v>0</v>
      </c>
      <c r="Y1181" s="39">
        <v>66.3</v>
      </c>
      <c r="Z1181" s="39">
        <v>0</v>
      </c>
      <c r="AA1181" s="39">
        <v>0</v>
      </c>
      <c r="AB1181" s="39">
        <v>74.400000000000006</v>
      </c>
      <c r="AC1181" s="39">
        <v>1190.76</v>
      </c>
      <c r="AD1181" s="39">
        <v>882.85</v>
      </c>
      <c r="AE1181" s="39">
        <v>3021.25</v>
      </c>
      <c r="AF1181" s="39">
        <v>476.04999999999995</v>
      </c>
      <c r="AG1181" s="39">
        <v>1787.94</v>
      </c>
      <c r="AH1181" s="39"/>
      <c r="AI1181" s="39"/>
      <c r="AJ1181" s="40"/>
      <c r="AK1181" s="39">
        <f t="shared" si="90"/>
        <v>311.27083333333331</v>
      </c>
      <c r="AL1181" s="39">
        <f t="shared" si="93"/>
        <v>630.46249999999998</v>
      </c>
      <c r="AM1181" s="39">
        <f t="shared" si="94"/>
        <v>1238.875</v>
      </c>
      <c r="AN1181" s="39">
        <f t="shared" si="91"/>
        <v>749.95499999999993</v>
      </c>
      <c r="AO1181" s="39">
        <f t="shared" si="92"/>
        <v>7499.5499999999993</v>
      </c>
    </row>
    <row r="1182" spans="1:41" x14ac:dyDescent="0.3">
      <c r="A1182" s="20">
        <v>1000184670</v>
      </c>
      <c r="B1182" s="4" t="s">
        <v>147</v>
      </c>
      <c r="C1182" s="21"/>
      <c r="D1182" s="3"/>
      <c r="E1182" s="20">
        <v>1000185288</v>
      </c>
      <c r="F1182" s="4" t="s">
        <v>64</v>
      </c>
      <c r="G1182" s="21">
        <v>1000189807</v>
      </c>
      <c r="H1182" s="3" t="s">
        <v>81</v>
      </c>
      <c r="I1182" s="21">
        <v>1000189270</v>
      </c>
      <c r="J1182" s="3" t="s">
        <v>34</v>
      </c>
      <c r="K1182" s="20" t="s">
        <v>14</v>
      </c>
      <c r="L1182" s="39">
        <v>141.49</v>
      </c>
      <c r="M1182" s="39">
        <v>0</v>
      </c>
      <c r="N1182" s="39">
        <v>2337.4</v>
      </c>
      <c r="O1182" s="39">
        <v>595.5</v>
      </c>
      <c r="P1182" s="39">
        <v>414</v>
      </c>
      <c r="Q1182" s="39">
        <v>756</v>
      </c>
      <c r="R1182" s="39">
        <v>0</v>
      </c>
      <c r="S1182" s="39">
        <v>630</v>
      </c>
      <c r="T1182" s="39">
        <v>193.2</v>
      </c>
      <c r="U1182" s="39">
        <v>1980</v>
      </c>
      <c r="V1182" s="39">
        <v>0</v>
      </c>
      <c r="W1182" s="39">
        <v>0</v>
      </c>
      <c r="X1182" s="39">
        <v>0</v>
      </c>
      <c r="Y1182" s="39">
        <v>0</v>
      </c>
      <c r="Z1182" s="39">
        <v>816</v>
      </c>
      <c r="AA1182" s="39">
        <v>612</v>
      </c>
      <c r="AB1182" s="39">
        <v>792</v>
      </c>
      <c r="AC1182" s="39">
        <v>0</v>
      </c>
      <c r="AD1182" s="39">
        <v>662.62</v>
      </c>
      <c r="AE1182" s="39">
        <v>51.3</v>
      </c>
      <c r="AF1182" s="39">
        <v>0</v>
      </c>
      <c r="AG1182" s="39">
        <v>0</v>
      </c>
      <c r="AH1182" s="39"/>
      <c r="AI1182" s="39"/>
      <c r="AJ1182" s="40"/>
      <c r="AK1182" s="39">
        <f t="shared" si="90"/>
        <v>587.29916666666668</v>
      </c>
      <c r="AL1182" s="39">
        <f t="shared" si="93"/>
        <v>244.49333333333334</v>
      </c>
      <c r="AM1182" s="39">
        <f t="shared" si="94"/>
        <v>250.98666666666665</v>
      </c>
      <c r="AN1182" s="39">
        <f t="shared" si="91"/>
        <v>293.392</v>
      </c>
      <c r="AO1182" s="39">
        <f t="shared" si="92"/>
        <v>2933.92</v>
      </c>
    </row>
    <row r="1183" spans="1:41" x14ac:dyDescent="0.3">
      <c r="A1183" s="20">
        <v>1000184670</v>
      </c>
      <c r="B1183" s="4" t="s">
        <v>147</v>
      </c>
      <c r="C1183" s="21"/>
      <c r="D1183" s="3"/>
      <c r="E1183" s="20">
        <v>1000185288</v>
      </c>
      <c r="F1183" s="4" t="s">
        <v>64</v>
      </c>
      <c r="G1183" s="21">
        <v>1000189807</v>
      </c>
      <c r="H1183" s="3" t="s">
        <v>81</v>
      </c>
      <c r="I1183" s="21">
        <v>1000189270</v>
      </c>
      <c r="J1183" s="3" t="s">
        <v>34</v>
      </c>
      <c r="K1183" s="20" t="s">
        <v>16</v>
      </c>
      <c r="L1183" s="39">
        <v>0</v>
      </c>
      <c r="M1183" s="39">
        <v>0</v>
      </c>
      <c r="N1183" s="39">
        <v>655.84</v>
      </c>
      <c r="O1183" s="39">
        <v>325.74</v>
      </c>
      <c r="P1183" s="39">
        <v>717.98</v>
      </c>
      <c r="Q1183" s="39">
        <v>260.58</v>
      </c>
      <c r="R1183" s="39">
        <v>0</v>
      </c>
      <c r="S1183" s="39">
        <v>0</v>
      </c>
      <c r="T1183" s="39">
        <v>0</v>
      </c>
      <c r="U1183" s="39">
        <v>818.68</v>
      </c>
      <c r="V1183" s="39">
        <v>0</v>
      </c>
      <c r="W1183" s="39">
        <v>0</v>
      </c>
      <c r="X1183" s="39">
        <v>0</v>
      </c>
      <c r="Y1183" s="39">
        <v>765.7</v>
      </c>
      <c r="Z1183" s="39">
        <v>0</v>
      </c>
      <c r="AA1183" s="39">
        <v>0</v>
      </c>
      <c r="AB1183" s="39">
        <v>275.72000000000003</v>
      </c>
      <c r="AC1183" s="39">
        <v>3350.18</v>
      </c>
      <c r="AD1183" s="39">
        <v>931.1</v>
      </c>
      <c r="AE1183" s="39">
        <v>2235.12</v>
      </c>
      <c r="AF1183" s="39">
        <v>556.36</v>
      </c>
      <c r="AG1183" s="39">
        <v>207.24</v>
      </c>
      <c r="AH1183" s="39"/>
      <c r="AI1183" s="39"/>
      <c r="AJ1183" s="40"/>
      <c r="AK1183" s="39">
        <f t="shared" si="90"/>
        <v>231.5683333333333</v>
      </c>
      <c r="AL1183" s="39">
        <f t="shared" si="93"/>
        <v>693.45166666666671</v>
      </c>
      <c r="AM1183" s="39">
        <f t="shared" si="94"/>
        <v>1259.2866666666666</v>
      </c>
      <c r="AN1183" s="39">
        <f t="shared" si="91"/>
        <v>832.14200000000005</v>
      </c>
      <c r="AO1183" s="39">
        <f t="shared" si="92"/>
        <v>8321.42</v>
      </c>
    </row>
    <row r="1184" spans="1:41" x14ac:dyDescent="0.3">
      <c r="A1184" s="20">
        <v>1000184670</v>
      </c>
      <c r="B1184" s="4" t="s">
        <v>147</v>
      </c>
      <c r="C1184" s="21"/>
      <c r="D1184" s="3"/>
      <c r="E1184" s="20">
        <v>1000185288</v>
      </c>
      <c r="F1184" s="4" t="s">
        <v>64</v>
      </c>
      <c r="G1184" s="21">
        <v>1000189807</v>
      </c>
      <c r="H1184" s="3" t="s">
        <v>81</v>
      </c>
      <c r="I1184" s="21">
        <v>1000189270</v>
      </c>
      <c r="J1184" s="3" t="s">
        <v>34</v>
      </c>
      <c r="K1184" s="20" t="s">
        <v>15</v>
      </c>
      <c r="L1184" s="39">
        <v>551.11</v>
      </c>
      <c r="M1184" s="39">
        <v>0</v>
      </c>
      <c r="N1184" s="39">
        <v>2509.1999999999998</v>
      </c>
      <c r="O1184" s="39">
        <v>1605.54</v>
      </c>
      <c r="P1184" s="39">
        <v>696.27</v>
      </c>
      <c r="Q1184" s="39">
        <v>1649.16</v>
      </c>
      <c r="R1184" s="39">
        <v>0</v>
      </c>
      <c r="S1184" s="39">
        <v>711.72</v>
      </c>
      <c r="T1184" s="39">
        <v>311.04000000000002</v>
      </c>
      <c r="U1184" s="39">
        <v>1741.32</v>
      </c>
      <c r="V1184" s="39">
        <v>0</v>
      </c>
      <c r="W1184" s="39">
        <v>1489.95</v>
      </c>
      <c r="X1184" s="39">
        <v>0</v>
      </c>
      <c r="Y1184" s="39">
        <v>0</v>
      </c>
      <c r="Z1184" s="39">
        <v>0</v>
      </c>
      <c r="AA1184" s="39">
        <v>747.3</v>
      </c>
      <c r="AB1184" s="39">
        <v>244.19</v>
      </c>
      <c r="AC1184" s="39">
        <v>67.2</v>
      </c>
      <c r="AD1184" s="39">
        <v>959.85</v>
      </c>
      <c r="AE1184" s="39">
        <v>1014.9</v>
      </c>
      <c r="AF1184" s="39">
        <v>78.3</v>
      </c>
      <c r="AG1184" s="39">
        <v>1047.22</v>
      </c>
      <c r="AH1184" s="39"/>
      <c r="AI1184" s="39"/>
      <c r="AJ1184" s="40"/>
      <c r="AK1184" s="39">
        <f t="shared" si="90"/>
        <v>938.77583333333348</v>
      </c>
      <c r="AL1184" s="39">
        <f t="shared" si="93"/>
        <v>470.74250000000001</v>
      </c>
      <c r="AM1184" s="39">
        <f t="shared" si="94"/>
        <v>568.61</v>
      </c>
      <c r="AN1184" s="39">
        <f t="shared" si="91"/>
        <v>415.89600000000002</v>
      </c>
      <c r="AO1184" s="39">
        <f t="shared" si="92"/>
        <v>4158.96</v>
      </c>
    </row>
    <row r="1185" spans="1:41" x14ac:dyDescent="0.3">
      <c r="A1185" s="20">
        <v>1000184670</v>
      </c>
      <c r="B1185" s="4" t="s">
        <v>147</v>
      </c>
      <c r="C1185" s="21"/>
      <c r="D1185" s="3"/>
      <c r="E1185" s="20">
        <v>1000185288</v>
      </c>
      <c r="F1185" s="4" t="s">
        <v>64</v>
      </c>
      <c r="G1185" s="21">
        <v>1000189807</v>
      </c>
      <c r="H1185" s="3" t="s">
        <v>81</v>
      </c>
      <c r="I1185" s="21">
        <v>1000189270</v>
      </c>
      <c r="J1185" s="3" t="s">
        <v>34</v>
      </c>
      <c r="K1185" s="20" t="s">
        <v>33</v>
      </c>
      <c r="L1185" s="39">
        <v>0</v>
      </c>
      <c r="M1185" s="39">
        <v>0</v>
      </c>
      <c r="N1185" s="39">
        <v>0</v>
      </c>
      <c r="O1185" s="39">
        <v>0</v>
      </c>
      <c r="P1185" s="39">
        <v>0</v>
      </c>
      <c r="Q1185" s="39">
        <v>0</v>
      </c>
      <c r="R1185" s="39">
        <v>0</v>
      </c>
      <c r="S1185" s="39">
        <v>0</v>
      </c>
      <c r="T1185" s="39">
        <v>0</v>
      </c>
      <c r="U1185" s="39">
        <v>0</v>
      </c>
      <c r="V1185" s="39">
        <v>0</v>
      </c>
      <c r="W1185" s="39">
        <v>0</v>
      </c>
      <c r="X1185" s="39">
        <v>0</v>
      </c>
      <c r="Y1185" s="39">
        <v>0</v>
      </c>
      <c r="Z1185" s="39">
        <v>0</v>
      </c>
      <c r="AA1185" s="39">
        <v>0</v>
      </c>
      <c r="AB1185" s="39">
        <v>0</v>
      </c>
      <c r="AC1185" s="39">
        <v>0</v>
      </c>
      <c r="AD1185" s="39">
        <v>360</v>
      </c>
      <c r="AE1185" s="39">
        <v>0</v>
      </c>
      <c r="AF1185" s="39">
        <v>360</v>
      </c>
      <c r="AG1185" s="39">
        <v>0</v>
      </c>
      <c r="AH1185" s="39"/>
      <c r="AI1185" s="39"/>
      <c r="AJ1185" s="40"/>
      <c r="AK1185" s="39">
        <f t="shared" si="90"/>
        <v>0</v>
      </c>
      <c r="AL1185" s="39">
        <f t="shared" si="93"/>
        <v>60</v>
      </c>
      <c r="AM1185" s="39">
        <f t="shared" si="94"/>
        <v>120</v>
      </c>
      <c r="AN1185" s="39">
        <f t="shared" si="91"/>
        <v>72</v>
      </c>
      <c r="AO1185" s="39">
        <f t="shared" si="92"/>
        <v>720</v>
      </c>
    </row>
    <row r="1186" spans="1:41" x14ac:dyDescent="0.3">
      <c r="A1186" s="20">
        <v>1000184670</v>
      </c>
      <c r="B1186" s="4" t="s">
        <v>147</v>
      </c>
      <c r="C1186" s="21"/>
      <c r="D1186" s="3"/>
      <c r="E1186" s="20">
        <v>1000185288</v>
      </c>
      <c r="F1186" s="4" t="s">
        <v>64</v>
      </c>
      <c r="G1186" s="21">
        <v>1000189807</v>
      </c>
      <c r="H1186" s="3" t="s">
        <v>81</v>
      </c>
      <c r="I1186" s="21">
        <v>1000189270</v>
      </c>
      <c r="J1186" s="3" t="s">
        <v>34</v>
      </c>
      <c r="K1186" s="20" t="s">
        <v>19</v>
      </c>
      <c r="L1186" s="39">
        <v>266.57</v>
      </c>
      <c r="M1186" s="39">
        <v>0</v>
      </c>
      <c r="N1186" s="39">
        <v>0</v>
      </c>
      <c r="O1186" s="39">
        <v>1391.31</v>
      </c>
      <c r="P1186" s="39">
        <v>591.36</v>
      </c>
      <c r="Q1186" s="39">
        <v>818.64</v>
      </c>
      <c r="R1186" s="39">
        <v>0</v>
      </c>
      <c r="S1186" s="39">
        <v>982.8</v>
      </c>
      <c r="T1186" s="39">
        <v>147.41999999999999</v>
      </c>
      <c r="U1186" s="39">
        <v>254.4</v>
      </c>
      <c r="V1186" s="39">
        <v>0</v>
      </c>
      <c r="W1186" s="39">
        <v>0</v>
      </c>
      <c r="X1186" s="39">
        <v>0</v>
      </c>
      <c r="Y1186" s="39">
        <v>0</v>
      </c>
      <c r="Z1186" s="39">
        <v>0</v>
      </c>
      <c r="AA1186" s="39">
        <v>500.4</v>
      </c>
      <c r="AB1186" s="39">
        <v>144</v>
      </c>
      <c r="AC1186" s="39">
        <v>0</v>
      </c>
      <c r="AD1186" s="39">
        <v>0</v>
      </c>
      <c r="AE1186" s="39">
        <v>230.84</v>
      </c>
      <c r="AF1186" s="39">
        <v>0</v>
      </c>
      <c r="AG1186" s="39">
        <v>382.71</v>
      </c>
      <c r="AH1186" s="39"/>
      <c r="AI1186" s="39"/>
      <c r="AJ1186" s="40"/>
      <c r="AK1186" s="39">
        <f t="shared" si="90"/>
        <v>371.04166666666657</v>
      </c>
      <c r="AL1186" s="39">
        <f t="shared" si="93"/>
        <v>104.82916666666667</v>
      </c>
      <c r="AM1186" s="39">
        <f t="shared" si="94"/>
        <v>126.25833333333333</v>
      </c>
      <c r="AN1186" s="39">
        <f t="shared" si="91"/>
        <v>125.795</v>
      </c>
      <c r="AO1186" s="39">
        <f t="shared" si="92"/>
        <v>1257.95</v>
      </c>
    </row>
    <row r="1187" spans="1:41" x14ac:dyDescent="0.3">
      <c r="A1187" s="20">
        <v>1000184670</v>
      </c>
      <c r="B1187" s="4" t="s">
        <v>147</v>
      </c>
      <c r="C1187" s="21"/>
      <c r="D1187" s="3"/>
      <c r="E1187" s="20">
        <v>1000185288</v>
      </c>
      <c r="F1187" s="4" t="s">
        <v>64</v>
      </c>
      <c r="G1187" s="21">
        <v>1000189807</v>
      </c>
      <c r="H1187" s="3" t="s">
        <v>81</v>
      </c>
      <c r="I1187" s="21">
        <v>1000189270</v>
      </c>
      <c r="J1187" s="3" t="s">
        <v>34</v>
      </c>
      <c r="K1187" s="20" t="s">
        <v>17</v>
      </c>
      <c r="L1187" s="39">
        <v>0</v>
      </c>
      <c r="M1187" s="39">
        <v>0</v>
      </c>
      <c r="N1187" s="39">
        <v>806</v>
      </c>
      <c r="O1187" s="39">
        <v>1150.58</v>
      </c>
      <c r="P1187" s="39">
        <v>1752.08</v>
      </c>
      <c r="Q1187" s="39">
        <v>115.8</v>
      </c>
      <c r="R1187" s="39">
        <v>0</v>
      </c>
      <c r="S1187" s="39">
        <v>0</v>
      </c>
      <c r="T1187" s="39">
        <v>0</v>
      </c>
      <c r="U1187" s="39">
        <v>0</v>
      </c>
      <c r="V1187" s="39">
        <v>0</v>
      </c>
      <c r="W1187" s="39">
        <v>0</v>
      </c>
      <c r="X1187" s="39">
        <v>0</v>
      </c>
      <c r="Y1187" s="39">
        <v>0</v>
      </c>
      <c r="Z1187" s="39">
        <v>0</v>
      </c>
      <c r="AA1187" s="39">
        <v>0</v>
      </c>
      <c r="AB1187" s="39">
        <v>0</v>
      </c>
      <c r="AC1187" s="39">
        <v>0</v>
      </c>
      <c r="AD1187" s="39">
        <v>626.4</v>
      </c>
      <c r="AE1187" s="39">
        <v>637.20000000000005</v>
      </c>
      <c r="AF1187" s="39">
        <v>0</v>
      </c>
      <c r="AG1187" s="39">
        <v>0</v>
      </c>
      <c r="AH1187" s="39"/>
      <c r="AI1187" s="39"/>
      <c r="AJ1187" s="40"/>
      <c r="AK1187" s="39">
        <f t="shared" si="90"/>
        <v>318.70499999999998</v>
      </c>
      <c r="AL1187" s="39">
        <f t="shared" si="93"/>
        <v>105.3</v>
      </c>
      <c r="AM1187" s="39">
        <f t="shared" si="94"/>
        <v>210.6</v>
      </c>
      <c r="AN1187" s="39">
        <f t="shared" si="91"/>
        <v>126.35999999999999</v>
      </c>
      <c r="AO1187" s="39">
        <f t="shared" si="92"/>
        <v>1263.5999999999999</v>
      </c>
    </row>
    <row r="1188" spans="1:41" x14ac:dyDescent="0.3">
      <c r="A1188" s="20">
        <v>1000184670</v>
      </c>
      <c r="B1188" s="4" t="s">
        <v>147</v>
      </c>
      <c r="C1188" s="21"/>
      <c r="D1188" s="3"/>
      <c r="E1188" s="20">
        <v>1000185288</v>
      </c>
      <c r="F1188" s="4" t="s">
        <v>64</v>
      </c>
      <c r="G1188" s="21">
        <v>1000189807</v>
      </c>
      <c r="H1188" s="3" t="s">
        <v>81</v>
      </c>
      <c r="I1188" s="21">
        <v>1000189270</v>
      </c>
      <c r="J1188" s="3" t="s">
        <v>34</v>
      </c>
      <c r="K1188" s="20" t="s">
        <v>24</v>
      </c>
      <c r="L1188" s="39">
        <v>0</v>
      </c>
      <c r="M1188" s="39">
        <v>0</v>
      </c>
      <c r="N1188" s="39">
        <v>102</v>
      </c>
      <c r="O1188" s="39">
        <v>202.94</v>
      </c>
      <c r="P1188" s="39">
        <v>0</v>
      </c>
      <c r="Q1188" s="39">
        <v>86.34</v>
      </c>
      <c r="R1188" s="39">
        <v>0</v>
      </c>
      <c r="S1188" s="39">
        <v>0</v>
      </c>
      <c r="T1188" s="39">
        <v>0</v>
      </c>
      <c r="U1188" s="39">
        <v>53.4</v>
      </c>
      <c r="V1188" s="39">
        <v>0</v>
      </c>
      <c r="W1188" s="39">
        <v>0</v>
      </c>
      <c r="X1188" s="39">
        <v>0</v>
      </c>
      <c r="Y1188" s="39">
        <v>254.8</v>
      </c>
      <c r="Z1188" s="39">
        <v>0</v>
      </c>
      <c r="AA1188" s="39">
        <v>0</v>
      </c>
      <c r="AB1188" s="39">
        <v>56.01</v>
      </c>
      <c r="AC1188" s="39">
        <v>0</v>
      </c>
      <c r="AD1188" s="39">
        <v>46.68</v>
      </c>
      <c r="AE1188" s="39">
        <v>324.75</v>
      </c>
      <c r="AF1188" s="39">
        <v>84.02</v>
      </c>
      <c r="AG1188" s="39">
        <v>31.12</v>
      </c>
      <c r="AH1188" s="39"/>
      <c r="AI1188" s="39"/>
      <c r="AJ1188" s="40"/>
      <c r="AK1188" s="39">
        <f t="shared" si="90"/>
        <v>37.056666666666665</v>
      </c>
      <c r="AL1188" s="39">
        <f t="shared" si="93"/>
        <v>66.448333333333338</v>
      </c>
      <c r="AM1188" s="39">
        <f t="shared" si="94"/>
        <v>90.429999999999993</v>
      </c>
      <c r="AN1188" s="39">
        <f t="shared" si="91"/>
        <v>79.738</v>
      </c>
      <c r="AO1188" s="39">
        <f t="shared" si="92"/>
        <v>797.38</v>
      </c>
    </row>
    <row r="1189" spans="1:41" x14ac:dyDescent="0.3">
      <c r="A1189" s="20">
        <v>1000184670</v>
      </c>
      <c r="B1189" s="4" t="s">
        <v>147</v>
      </c>
      <c r="C1189" s="21"/>
      <c r="D1189" s="3"/>
      <c r="E1189" s="20">
        <v>1000185288</v>
      </c>
      <c r="F1189" s="4" t="s">
        <v>64</v>
      </c>
      <c r="G1189" s="21">
        <v>1000189807</v>
      </c>
      <c r="H1189" s="3" t="s">
        <v>81</v>
      </c>
      <c r="I1189" s="21">
        <v>1000189270</v>
      </c>
      <c r="J1189" s="3" t="s">
        <v>34</v>
      </c>
      <c r="K1189" s="20" t="s">
        <v>18</v>
      </c>
      <c r="L1189" s="39">
        <v>0</v>
      </c>
      <c r="M1189" s="39">
        <v>0</v>
      </c>
      <c r="N1189" s="39">
        <v>284.8</v>
      </c>
      <c r="O1189" s="39">
        <v>207.2</v>
      </c>
      <c r="P1189" s="39">
        <v>63.24</v>
      </c>
      <c r="Q1189" s="39">
        <v>0</v>
      </c>
      <c r="R1189" s="39">
        <v>0</v>
      </c>
      <c r="S1189" s="39">
        <v>0</v>
      </c>
      <c r="T1189" s="39">
        <v>0</v>
      </c>
      <c r="U1189" s="39">
        <v>74.400000000000006</v>
      </c>
      <c r="V1189" s="39">
        <v>0</v>
      </c>
      <c r="W1189" s="39">
        <v>0</v>
      </c>
      <c r="X1189" s="39">
        <v>0</v>
      </c>
      <c r="Y1189" s="39">
        <v>0</v>
      </c>
      <c r="Z1189" s="39">
        <v>0</v>
      </c>
      <c r="AA1189" s="39">
        <v>78</v>
      </c>
      <c r="AB1189" s="39">
        <v>76.88</v>
      </c>
      <c r="AC1189" s="39">
        <v>0</v>
      </c>
      <c r="AD1189" s="39">
        <v>338.54</v>
      </c>
      <c r="AE1189" s="39">
        <v>19</v>
      </c>
      <c r="AF1189" s="39">
        <v>86.4</v>
      </c>
      <c r="AG1189" s="39">
        <v>48</v>
      </c>
      <c r="AH1189" s="39"/>
      <c r="AI1189" s="39"/>
      <c r="AJ1189" s="40"/>
      <c r="AK1189" s="39">
        <f t="shared" si="90"/>
        <v>52.47</v>
      </c>
      <c r="AL1189" s="39">
        <f t="shared" si="93"/>
        <v>53.901666666666671</v>
      </c>
      <c r="AM1189" s="39">
        <f t="shared" si="94"/>
        <v>94.803333333333342</v>
      </c>
      <c r="AN1189" s="39">
        <f t="shared" si="91"/>
        <v>64.682000000000002</v>
      </c>
      <c r="AO1189" s="39">
        <f t="shared" si="92"/>
        <v>646.82000000000005</v>
      </c>
    </row>
    <row r="1190" spans="1:41" x14ac:dyDescent="0.3">
      <c r="A1190" s="20">
        <v>1000184670</v>
      </c>
      <c r="B1190" s="4" t="s">
        <v>147</v>
      </c>
      <c r="C1190" s="21"/>
      <c r="D1190" s="3"/>
      <c r="E1190" s="20">
        <v>1000185288</v>
      </c>
      <c r="F1190" s="4" t="s">
        <v>64</v>
      </c>
      <c r="G1190" s="21">
        <v>1000189807</v>
      </c>
      <c r="H1190" s="3" t="s">
        <v>81</v>
      </c>
      <c r="I1190" s="21">
        <v>1000189270</v>
      </c>
      <c r="J1190" s="3" t="s">
        <v>34</v>
      </c>
      <c r="K1190" s="20" t="s">
        <v>29</v>
      </c>
      <c r="L1190" s="39">
        <v>0</v>
      </c>
      <c r="M1190" s="39">
        <v>0</v>
      </c>
      <c r="N1190" s="39">
        <v>0</v>
      </c>
      <c r="O1190" s="39">
        <v>0</v>
      </c>
      <c r="P1190" s="39">
        <v>0</v>
      </c>
      <c r="Q1190" s="39">
        <v>0</v>
      </c>
      <c r="R1190" s="39">
        <v>0</v>
      </c>
      <c r="S1190" s="39">
        <v>0</v>
      </c>
      <c r="T1190" s="39">
        <v>0</v>
      </c>
      <c r="U1190" s="39">
        <v>0</v>
      </c>
      <c r="V1190" s="39">
        <v>0</v>
      </c>
      <c r="W1190" s="39">
        <v>0</v>
      </c>
      <c r="X1190" s="39">
        <v>0</v>
      </c>
      <c r="Y1190" s="39">
        <v>0</v>
      </c>
      <c r="Z1190" s="39">
        <v>0</v>
      </c>
      <c r="AA1190" s="39">
        <v>9191</v>
      </c>
      <c r="AB1190" s="39">
        <v>11012.34</v>
      </c>
      <c r="AC1190" s="39">
        <v>20388.759999999998</v>
      </c>
      <c r="AD1190" s="39">
        <v>24012.3</v>
      </c>
      <c r="AE1190" s="39">
        <v>11338.4</v>
      </c>
      <c r="AF1190" s="39">
        <v>15353.2</v>
      </c>
      <c r="AG1190" s="39">
        <v>5521.8</v>
      </c>
      <c r="AH1190" s="39"/>
      <c r="AI1190" s="39"/>
      <c r="AJ1190" s="40"/>
      <c r="AK1190" s="39">
        <f t="shared" si="90"/>
        <v>0</v>
      </c>
      <c r="AL1190" s="39">
        <f t="shared" si="93"/>
        <v>8068.1499999999987</v>
      </c>
      <c r="AM1190" s="39">
        <f t="shared" si="94"/>
        <v>14604.466666666665</v>
      </c>
      <c r="AN1190" s="39">
        <f t="shared" si="91"/>
        <v>9681.7799999999988</v>
      </c>
      <c r="AO1190" s="39">
        <f t="shared" si="92"/>
        <v>96817.799999999988</v>
      </c>
    </row>
    <row r="1191" spans="1:41" x14ac:dyDescent="0.3">
      <c r="A1191" s="20">
        <v>1000184670</v>
      </c>
      <c r="B1191" s="4" t="s">
        <v>147</v>
      </c>
      <c r="C1191" s="21"/>
      <c r="D1191" s="3"/>
      <c r="E1191" s="20">
        <v>1000185288</v>
      </c>
      <c r="F1191" s="4" t="s">
        <v>64</v>
      </c>
      <c r="G1191" s="21">
        <v>1000189807</v>
      </c>
      <c r="H1191" s="3" t="s">
        <v>81</v>
      </c>
      <c r="I1191" s="21">
        <v>1000189270</v>
      </c>
      <c r="J1191" s="3" t="s">
        <v>34</v>
      </c>
      <c r="K1191" s="20" t="s">
        <v>21</v>
      </c>
      <c r="L1191" s="39">
        <v>0</v>
      </c>
      <c r="M1191" s="39">
        <v>0</v>
      </c>
      <c r="N1191" s="39">
        <v>0</v>
      </c>
      <c r="O1191" s="39">
        <v>0</v>
      </c>
      <c r="P1191" s="39">
        <v>0</v>
      </c>
      <c r="Q1191" s="39">
        <v>0</v>
      </c>
      <c r="R1191" s="39">
        <v>0</v>
      </c>
      <c r="S1191" s="39">
        <v>0</v>
      </c>
      <c r="T1191" s="39">
        <v>243</v>
      </c>
      <c r="U1191" s="39">
        <v>162</v>
      </c>
      <c r="V1191" s="39">
        <v>0</v>
      </c>
      <c r="W1191" s="39">
        <v>0</v>
      </c>
      <c r="X1191" s="39">
        <v>0</v>
      </c>
      <c r="Y1191" s="39">
        <v>0</v>
      </c>
      <c r="Z1191" s="39">
        <v>0</v>
      </c>
      <c r="AA1191" s="39">
        <v>70.5</v>
      </c>
      <c r="AB1191" s="39">
        <v>274.02</v>
      </c>
      <c r="AC1191" s="39">
        <v>1299.32</v>
      </c>
      <c r="AD1191" s="39">
        <v>1025.68</v>
      </c>
      <c r="AE1191" s="39">
        <v>338.57</v>
      </c>
      <c r="AF1191" s="39">
        <v>0</v>
      </c>
      <c r="AG1191" s="39">
        <v>2623.2</v>
      </c>
      <c r="AH1191" s="39"/>
      <c r="AI1191" s="39"/>
      <c r="AJ1191" s="40"/>
      <c r="AK1191" s="39">
        <f t="shared" si="90"/>
        <v>33.75</v>
      </c>
      <c r="AL1191" s="39">
        <f t="shared" si="93"/>
        <v>469.27416666666664</v>
      </c>
      <c r="AM1191" s="39">
        <f t="shared" si="94"/>
        <v>926.79833333333329</v>
      </c>
      <c r="AN1191" s="39">
        <f t="shared" si="91"/>
        <v>563.12900000000002</v>
      </c>
      <c r="AO1191" s="39">
        <f t="shared" si="92"/>
        <v>5631.29</v>
      </c>
    </row>
    <row r="1192" spans="1:41" x14ac:dyDescent="0.3">
      <c r="A1192" s="20">
        <v>1000184670</v>
      </c>
      <c r="B1192" s="4" t="s">
        <v>147</v>
      </c>
      <c r="C1192" s="21"/>
      <c r="D1192" s="3"/>
      <c r="E1192" s="20">
        <v>1000185288</v>
      </c>
      <c r="F1192" s="4" t="s">
        <v>64</v>
      </c>
      <c r="G1192" s="21">
        <v>1000189807</v>
      </c>
      <c r="H1192" s="3" t="s">
        <v>81</v>
      </c>
      <c r="I1192" s="21">
        <v>1000189270</v>
      </c>
      <c r="J1192" s="3" t="s">
        <v>34</v>
      </c>
      <c r="K1192" s="20" t="s">
        <v>20</v>
      </c>
      <c r="L1192" s="39">
        <v>0</v>
      </c>
      <c r="M1192" s="39">
        <v>0</v>
      </c>
      <c r="N1192" s="39">
        <v>586.46</v>
      </c>
      <c r="O1192" s="39">
        <v>656.94</v>
      </c>
      <c r="P1192" s="39">
        <v>287.64</v>
      </c>
      <c r="Q1192" s="39">
        <v>173.4</v>
      </c>
      <c r="R1192" s="39">
        <v>0</v>
      </c>
      <c r="S1192" s="39">
        <v>0</v>
      </c>
      <c r="T1192" s="39">
        <v>0</v>
      </c>
      <c r="U1192" s="39">
        <v>157.91999999999999</v>
      </c>
      <c r="V1192" s="39">
        <v>0</v>
      </c>
      <c r="W1192" s="39">
        <v>0</v>
      </c>
      <c r="X1192" s="39">
        <v>0</v>
      </c>
      <c r="Y1192" s="39">
        <v>0</v>
      </c>
      <c r="Z1192" s="39">
        <v>0</v>
      </c>
      <c r="AA1192" s="39">
        <v>80.58</v>
      </c>
      <c r="AB1192" s="39">
        <v>221.52</v>
      </c>
      <c r="AC1192" s="39">
        <v>5031</v>
      </c>
      <c r="AD1192" s="39">
        <v>1333.5</v>
      </c>
      <c r="AE1192" s="39">
        <v>6132.68</v>
      </c>
      <c r="AF1192" s="39">
        <v>860.6400000000001</v>
      </c>
      <c r="AG1192" s="39">
        <v>0</v>
      </c>
      <c r="AH1192" s="39"/>
      <c r="AI1192" s="39"/>
      <c r="AJ1192" s="40"/>
      <c r="AK1192" s="39">
        <f t="shared" si="90"/>
        <v>155.19666666666669</v>
      </c>
      <c r="AL1192" s="39">
        <f t="shared" si="93"/>
        <v>1138.3266666666666</v>
      </c>
      <c r="AM1192" s="39">
        <f t="shared" si="94"/>
        <v>2263.2233333333334</v>
      </c>
      <c r="AN1192" s="39">
        <f t="shared" si="91"/>
        <v>1365.992</v>
      </c>
      <c r="AO1192" s="39">
        <f t="shared" si="92"/>
        <v>13659.92</v>
      </c>
    </row>
    <row r="1193" spans="1:41" x14ac:dyDescent="0.3">
      <c r="A1193" s="20">
        <v>1000184670</v>
      </c>
      <c r="B1193" s="4" t="s">
        <v>147</v>
      </c>
      <c r="C1193" s="21"/>
      <c r="D1193" s="3"/>
      <c r="E1193" s="20">
        <v>1000185288</v>
      </c>
      <c r="F1193" s="4" t="s">
        <v>64</v>
      </c>
      <c r="G1193" s="21">
        <v>1000189807</v>
      </c>
      <c r="H1193" s="3" t="s">
        <v>81</v>
      </c>
      <c r="I1193" s="21">
        <v>1000189270</v>
      </c>
      <c r="J1193" s="3" t="s">
        <v>34</v>
      </c>
      <c r="K1193" s="20" t="s">
        <v>22</v>
      </c>
      <c r="L1193" s="39">
        <v>0</v>
      </c>
      <c r="M1193" s="39">
        <v>0</v>
      </c>
      <c r="N1193" s="39">
        <v>1008</v>
      </c>
      <c r="O1193" s="39">
        <v>594.70000000000005</v>
      </c>
      <c r="P1193" s="39">
        <v>236.1</v>
      </c>
      <c r="Q1193" s="39">
        <v>0</v>
      </c>
      <c r="R1193" s="39">
        <v>0</v>
      </c>
      <c r="S1193" s="39">
        <v>0</v>
      </c>
      <c r="T1193" s="39">
        <v>483</v>
      </c>
      <c r="U1193" s="39">
        <v>0</v>
      </c>
      <c r="V1193" s="39">
        <v>0</v>
      </c>
      <c r="W1193" s="39">
        <v>0</v>
      </c>
      <c r="X1193" s="39">
        <v>0</v>
      </c>
      <c r="Y1193" s="39">
        <v>0</v>
      </c>
      <c r="Z1193" s="39">
        <v>0</v>
      </c>
      <c r="AA1193" s="39">
        <v>0</v>
      </c>
      <c r="AB1193" s="39">
        <v>26.45</v>
      </c>
      <c r="AC1193" s="39">
        <v>0</v>
      </c>
      <c r="AD1193" s="39">
        <v>260.64</v>
      </c>
      <c r="AE1193" s="39">
        <v>216.3</v>
      </c>
      <c r="AF1193" s="39">
        <v>345.6</v>
      </c>
      <c r="AG1193" s="39">
        <v>62</v>
      </c>
      <c r="AH1193" s="39"/>
      <c r="AI1193" s="39"/>
      <c r="AJ1193" s="40"/>
      <c r="AK1193" s="39">
        <f t="shared" si="90"/>
        <v>193.48333333333335</v>
      </c>
      <c r="AL1193" s="39">
        <f t="shared" si="93"/>
        <v>75.915833333333339</v>
      </c>
      <c r="AM1193" s="39">
        <f t="shared" si="94"/>
        <v>151.83166666666668</v>
      </c>
      <c r="AN1193" s="39">
        <f t="shared" si="91"/>
        <v>91.099000000000004</v>
      </c>
      <c r="AO1193" s="39">
        <f t="shared" si="92"/>
        <v>910.99</v>
      </c>
    </row>
    <row r="1194" spans="1:41" x14ac:dyDescent="0.3">
      <c r="A1194" s="20">
        <v>1000184670</v>
      </c>
      <c r="B1194" s="4" t="s">
        <v>147</v>
      </c>
      <c r="C1194" s="21"/>
      <c r="D1194" s="3"/>
      <c r="E1194" s="20">
        <v>1000185288</v>
      </c>
      <c r="F1194" s="4" t="s">
        <v>64</v>
      </c>
      <c r="G1194" s="21">
        <v>1000189807</v>
      </c>
      <c r="H1194" s="3" t="s">
        <v>81</v>
      </c>
      <c r="I1194" s="21">
        <v>1000189270</v>
      </c>
      <c r="J1194" s="3" t="s">
        <v>34</v>
      </c>
      <c r="K1194" s="20" t="s">
        <v>23</v>
      </c>
      <c r="L1194" s="39">
        <v>0</v>
      </c>
      <c r="M1194" s="39">
        <v>0</v>
      </c>
      <c r="N1194" s="39">
        <v>0</v>
      </c>
      <c r="O1194" s="39">
        <v>0</v>
      </c>
      <c r="P1194" s="39">
        <v>0</v>
      </c>
      <c r="Q1194" s="39">
        <v>0</v>
      </c>
      <c r="R1194" s="39">
        <v>0</v>
      </c>
      <c r="S1194" s="39">
        <v>0</v>
      </c>
      <c r="T1194" s="39">
        <v>0</v>
      </c>
      <c r="U1194" s="39">
        <v>0</v>
      </c>
      <c r="V1194" s="39">
        <v>0</v>
      </c>
      <c r="W1194" s="39">
        <v>0</v>
      </c>
      <c r="X1194" s="39">
        <v>0</v>
      </c>
      <c r="Y1194" s="39">
        <v>0</v>
      </c>
      <c r="Z1194" s="39">
        <v>0</v>
      </c>
      <c r="AA1194" s="39">
        <v>0</v>
      </c>
      <c r="AB1194" s="39">
        <v>0</v>
      </c>
      <c r="AC1194" s="39">
        <v>0</v>
      </c>
      <c r="AD1194" s="39">
        <v>0</v>
      </c>
      <c r="AE1194" s="39">
        <v>0</v>
      </c>
      <c r="AF1194" s="39">
        <v>0</v>
      </c>
      <c r="AG1194" s="39">
        <v>0</v>
      </c>
      <c r="AH1194" s="39"/>
      <c r="AI1194" s="39"/>
      <c r="AJ1194" s="40"/>
      <c r="AK1194" s="39">
        <f t="shared" si="90"/>
        <v>0</v>
      </c>
      <c r="AL1194" s="39">
        <f t="shared" si="93"/>
        <v>0</v>
      </c>
      <c r="AM1194" s="39">
        <f t="shared" si="94"/>
        <v>0</v>
      </c>
      <c r="AN1194" s="39">
        <f t="shared" si="91"/>
        <v>0</v>
      </c>
      <c r="AO1194" s="39">
        <f t="shared" si="92"/>
        <v>0</v>
      </c>
    </row>
    <row r="1195" spans="1:41" x14ac:dyDescent="0.3">
      <c r="A1195" s="20">
        <v>1000184670</v>
      </c>
      <c r="B1195" s="4" t="s">
        <v>147</v>
      </c>
      <c r="C1195" s="21"/>
      <c r="D1195" s="3"/>
      <c r="E1195" s="20">
        <v>1000185288</v>
      </c>
      <c r="F1195" s="4" t="s">
        <v>64</v>
      </c>
      <c r="G1195" s="21">
        <v>1000189807</v>
      </c>
      <c r="H1195" s="3" t="s">
        <v>81</v>
      </c>
      <c r="I1195" s="21">
        <v>1000189270</v>
      </c>
      <c r="J1195" s="3" t="s">
        <v>34</v>
      </c>
      <c r="K1195" s="20" t="s">
        <v>28</v>
      </c>
      <c r="L1195" s="39">
        <v>0</v>
      </c>
      <c r="M1195" s="39">
        <v>0</v>
      </c>
      <c r="N1195" s="39">
        <v>217.5</v>
      </c>
      <c r="O1195" s="39">
        <v>307.55</v>
      </c>
      <c r="P1195" s="39">
        <v>50.9</v>
      </c>
      <c r="Q1195" s="39">
        <v>261</v>
      </c>
      <c r="R1195" s="39">
        <v>0</v>
      </c>
      <c r="S1195" s="39">
        <v>0</v>
      </c>
      <c r="T1195" s="39">
        <v>117.45</v>
      </c>
      <c r="U1195" s="39">
        <v>0</v>
      </c>
      <c r="V1195" s="39">
        <v>0</v>
      </c>
      <c r="W1195" s="39">
        <v>0</v>
      </c>
      <c r="X1195" s="39">
        <v>0</v>
      </c>
      <c r="Y1195" s="39">
        <v>0</v>
      </c>
      <c r="Z1195" s="39">
        <v>0</v>
      </c>
      <c r="AA1195" s="39">
        <v>0</v>
      </c>
      <c r="AB1195" s="39">
        <v>32.619999999999997</v>
      </c>
      <c r="AC1195" s="39">
        <v>0</v>
      </c>
      <c r="AD1195" s="39">
        <v>30.38</v>
      </c>
      <c r="AE1195" s="39">
        <v>86.65</v>
      </c>
      <c r="AF1195" s="39">
        <v>0</v>
      </c>
      <c r="AG1195" s="39">
        <v>0</v>
      </c>
      <c r="AH1195" s="39"/>
      <c r="AI1195" s="39"/>
      <c r="AJ1195" s="40"/>
      <c r="AK1195" s="39">
        <f t="shared" si="90"/>
        <v>79.533333333333331</v>
      </c>
      <c r="AL1195" s="39">
        <f t="shared" si="93"/>
        <v>12.470833333333333</v>
      </c>
      <c r="AM1195" s="39">
        <f t="shared" si="94"/>
        <v>24.941666666666666</v>
      </c>
      <c r="AN1195" s="39">
        <f t="shared" si="91"/>
        <v>14.965</v>
      </c>
      <c r="AO1195" s="39">
        <f t="shared" si="92"/>
        <v>149.65</v>
      </c>
    </row>
    <row r="1196" spans="1:41" x14ac:dyDescent="0.3">
      <c r="A1196" s="20">
        <v>1000184670</v>
      </c>
      <c r="B1196" s="4" t="s">
        <v>147</v>
      </c>
      <c r="C1196" s="21"/>
      <c r="D1196" s="3"/>
      <c r="E1196" s="20">
        <v>1000185288</v>
      </c>
      <c r="F1196" s="4" t="s">
        <v>64</v>
      </c>
      <c r="G1196" s="21">
        <v>1000189807</v>
      </c>
      <c r="H1196" s="3" t="s">
        <v>81</v>
      </c>
      <c r="I1196" s="21">
        <v>1000189270</v>
      </c>
      <c r="J1196" s="3" t="s">
        <v>34</v>
      </c>
      <c r="K1196" s="20" t="s">
        <v>26</v>
      </c>
      <c r="L1196" s="39">
        <v>0</v>
      </c>
      <c r="M1196" s="39">
        <v>0</v>
      </c>
      <c r="N1196" s="39">
        <v>0</v>
      </c>
      <c r="O1196" s="39">
        <v>441.6</v>
      </c>
      <c r="P1196" s="39">
        <v>960</v>
      </c>
      <c r="Q1196" s="39">
        <v>0</v>
      </c>
      <c r="R1196" s="39">
        <v>0</v>
      </c>
      <c r="S1196" s="39">
        <v>0</v>
      </c>
      <c r="T1196" s="39">
        <v>0</v>
      </c>
      <c r="U1196" s="39">
        <v>5087.46</v>
      </c>
      <c r="V1196" s="39">
        <v>1838.66</v>
      </c>
      <c r="W1196" s="39">
        <v>1069.77</v>
      </c>
      <c r="X1196" s="39">
        <v>3043.24</v>
      </c>
      <c r="Y1196" s="39">
        <v>1389.56</v>
      </c>
      <c r="Z1196" s="39">
        <v>1448.76</v>
      </c>
      <c r="AA1196" s="39">
        <v>3534.65</v>
      </c>
      <c r="AB1196" s="39">
        <v>561</v>
      </c>
      <c r="AC1196" s="39">
        <v>533.79</v>
      </c>
      <c r="AD1196" s="39">
        <v>1837.41</v>
      </c>
      <c r="AE1196" s="39">
        <v>2016</v>
      </c>
      <c r="AF1196" s="39">
        <v>0</v>
      </c>
      <c r="AG1196" s="39">
        <v>192</v>
      </c>
      <c r="AH1196" s="39"/>
      <c r="AI1196" s="39"/>
      <c r="AJ1196" s="40"/>
      <c r="AK1196" s="39">
        <f t="shared" si="90"/>
        <v>783.12416666666661</v>
      </c>
      <c r="AL1196" s="39">
        <f t="shared" si="93"/>
        <v>1455.4033333333334</v>
      </c>
      <c r="AM1196" s="39">
        <f t="shared" si="94"/>
        <v>856.69999999999993</v>
      </c>
      <c r="AN1196" s="39">
        <f t="shared" si="91"/>
        <v>1455.6410000000001</v>
      </c>
      <c r="AO1196" s="39">
        <f t="shared" si="92"/>
        <v>14556.41</v>
      </c>
    </row>
    <row r="1197" spans="1:41" x14ac:dyDescent="0.3">
      <c r="A1197" s="20">
        <v>1000184670</v>
      </c>
      <c r="B1197" s="4" t="s">
        <v>147</v>
      </c>
      <c r="C1197" s="21"/>
      <c r="D1197" s="3"/>
      <c r="E1197" s="20">
        <v>1000185288</v>
      </c>
      <c r="F1197" s="4" t="s">
        <v>64</v>
      </c>
      <c r="G1197" s="21">
        <v>1000189807</v>
      </c>
      <c r="H1197" s="3" t="s">
        <v>81</v>
      </c>
      <c r="I1197" s="21">
        <v>1000189270</v>
      </c>
      <c r="J1197" s="3" t="s">
        <v>34</v>
      </c>
      <c r="K1197" s="20" t="s">
        <v>27</v>
      </c>
      <c r="L1197" s="39">
        <v>0</v>
      </c>
      <c r="M1197" s="39">
        <v>0</v>
      </c>
      <c r="N1197" s="39">
        <v>0</v>
      </c>
      <c r="O1197" s="39">
        <v>0</v>
      </c>
      <c r="P1197" s="39">
        <v>0</v>
      </c>
      <c r="Q1197" s="39">
        <v>0</v>
      </c>
      <c r="R1197" s="39">
        <v>0</v>
      </c>
      <c r="S1197" s="39">
        <v>0</v>
      </c>
      <c r="T1197" s="39">
        <v>0</v>
      </c>
      <c r="U1197" s="39">
        <v>0</v>
      </c>
      <c r="V1197" s="39">
        <v>0</v>
      </c>
      <c r="W1197" s="39">
        <v>0</v>
      </c>
      <c r="X1197" s="39">
        <v>0</v>
      </c>
      <c r="Y1197" s="39">
        <v>0</v>
      </c>
      <c r="Z1197" s="39">
        <v>0</v>
      </c>
      <c r="AA1197" s="39">
        <v>0</v>
      </c>
      <c r="AB1197" s="39">
        <v>59.52</v>
      </c>
      <c r="AC1197" s="39">
        <v>0</v>
      </c>
      <c r="AD1197" s="39">
        <v>55.03</v>
      </c>
      <c r="AE1197" s="39">
        <v>702</v>
      </c>
      <c r="AF1197" s="39">
        <v>0</v>
      </c>
      <c r="AG1197" s="39">
        <v>0</v>
      </c>
      <c r="AH1197" s="39"/>
      <c r="AI1197" s="39"/>
      <c r="AJ1197" s="40"/>
      <c r="AK1197" s="39">
        <f t="shared" si="90"/>
        <v>0</v>
      </c>
      <c r="AL1197" s="39">
        <f t="shared" si="93"/>
        <v>68.045833333333334</v>
      </c>
      <c r="AM1197" s="39">
        <f t="shared" si="94"/>
        <v>136.09166666666667</v>
      </c>
      <c r="AN1197" s="39">
        <f t="shared" si="91"/>
        <v>81.655000000000001</v>
      </c>
      <c r="AO1197" s="39">
        <f t="shared" si="92"/>
        <v>816.55</v>
      </c>
    </row>
    <row r="1198" spans="1:41" x14ac:dyDescent="0.3">
      <c r="A1198" s="20">
        <v>1000184670</v>
      </c>
      <c r="B1198" s="4" t="s">
        <v>147</v>
      </c>
      <c r="C1198" s="21"/>
      <c r="D1198" s="3"/>
      <c r="E1198" s="20">
        <v>1000185288</v>
      </c>
      <c r="F1198" s="4" t="s">
        <v>64</v>
      </c>
      <c r="G1198" s="21">
        <v>1000189807</v>
      </c>
      <c r="H1198" s="3" t="s">
        <v>81</v>
      </c>
      <c r="I1198" s="21">
        <v>1000189270</v>
      </c>
      <c r="J1198" s="3" t="s">
        <v>34</v>
      </c>
      <c r="K1198" s="20" t="s">
        <v>25</v>
      </c>
      <c r="L1198" s="39">
        <v>141.62</v>
      </c>
      <c r="M1198" s="39">
        <v>0</v>
      </c>
      <c r="N1198" s="39">
        <v>0</v>
      </c>
      <c r="O1198" s="39">
        <v>0</v>
      </c>
      <c r="P1198" s="39">
        <v>456.3</v>
      </c>
      <c r="Q1198" s="39">
        <v>0</v>
      </c>
      <c r="R1198" s="39">
        <v>0</v>
      </c>
      <c r="S1198" s="39">
        <v>0</v>
      </c>
      <c r="T1198" s="39">
        <v>0</v>
      </c>
      <c r="U1198" s="39">
        <v>1909.2</v>
      </c>
      <c r="V1198" s="39">
        <v>-1297.4000000000001</v>
      </c>
      <c r="W1198" s="39">
        <v>128.80000000000001</v>
      </c>
      <c r="X1198" s="39">
        <v>0</v>
      </c>
      <c r="Y1198" s="39">
        <v>378</v>
      </c>
      <c r="Z1198" s="39">
        <v>183.3</v>
      </c>
      <c r="AA1198" s="39">
        <v>96.7</v>
      </c>
      <c r="AB1198" s="39">
        <v>0</v>
      </c>
      <c r="AC1198" s="39">
        <v>0</v>
      </c>
      <c r="AD1198" s="39">
        <v>141.06</v>
      </c>
      <c r="AE1198" s="39">
        <v>0</v>
      </c>
      <c r="AF1198" s="39">
        <v>0</v>
      </c>
      <c r="AG1198" s="39">
        <v>928.12</v>
      </c>
      <c r="AH1198" s="39"/>
      <c r="AI1198" s="39"/>
      <c r="AJ1198" s="40"/>
      <c r="AK1198" s="39">
        <f t="shared" si="90"/>
        <v>111.54333333333331</v>
      </c>
      <c r="AL1198" s="39">
        <f t="shared" si="93"/>
        <v>46.548333333333318</v>
      </c>
      <c r="AM1198" s="39">
        <f t="shared" si="94"/>
        <v>178.19666666666669</v>
      </c>
      <c r="AN1198" s="39">
        <f t="shared" si="91"/>
        <v>172.71799999999999</v>
      </c>
      <c r="AO1198" s="39">
        <f t="shared" si="92"/>
        <v>1727.1799999999998</v>
      </c>
    </row>
    <row r="1199" spans="1:41" x14ac:dyDescent="0.3">
      <c r="A1199" s="20">
        <v>1000184670</v>
      </c>
      <c r="B1199" s="4" t="s">
        <v>147</v>
      </c>
      <c r="C1199" s="21"/>
      <c r="D1199" s="3"/>
      <c r="E1199" s="20">
        <v>1000185288</v>
      </c>
      <c r="F1199" s="4" t="s">
        <v>64</v>
      </c>
      <c r="G1199" s="21">
        <v>1000189808</v>
      </c>
      <c r="H1199" s="3" t="s">
        <v>120</v>
      </c>
      <c r="I1199" s="21">
        <v>1000189270</v>
      </c>
      <c r="J1199" s="3" t="s">
        <v>34</v>
      </c>
      <c r="K1199" s="20" t="s">
        <v>124</v>
      </c>
      <c r="L1199" s="39">
        <v>0</v>
      </c>
      <c r="M1199" s="39">
        <v>0</v>
      </c>
      <c r="N1199" s="39">
        <v>0</v>
      </c>
      <c r="O1199" s="39">
        <v>0</v>
      </c>
      <c r="P1199" s="39">
        <v>0</v>
      </c>
      <c r="Q1199" s="39">
        <v>0</v>
      </c>
      <c r="R1199" s="39">
        <v>0</v>
      </c>
      <c r="S1199" s="39">
        <v>0</v>
      </c>
      <c r="T1199" s="39">
        <v>0</v>
      </c>
      <c r="U1199" s="39">
        <v>0</v>
      </c>
      <c r="V1199" s="39">
        <v>0</v>
      </c>
      <c r="W1199" s="39">
        <v>0</v>
      </c>
      <c r="X1199" s="39">
        <v>0</v>
      </c>
      <c r="Y1199" s="39">
        <v>0</v>
      </c>
      <c r="Z1199" s="39">
        <v>0</v>
      </c>
      <c r="AA1199" s="39">
        <v>0</v>
      </c>
      <c r="AB1199" s="39">
        <v>0</v>
      </c>
      <c r="AC1199" s="39">
        <v>0</v>
      </c>
      <c r="AD1199" s="39">
        <v>0</v>
      </c>
      <c r="AE1199" s="39">
        <v>0</v>
      </c>
      <c r="AF1199" s="39">
        <v>0</v>
      </c>
      <c r="AG1199" s="39">
        <v>0</v>
      </c>
      <c r="AH1199" s="39"/>
      <c r="AI1199" s="39"/>
      <c r="AJ1199" s="40"/>
      <c r="AK1199" s="39">
        <f t="shared" si="90"/>
        <v>0</v>
      </c>
      <c r="AL1199" s="39">
        <f t="shared" si="93"/>
        <v>0</v>
      </c>
      <c r="AM1199" s="39">
        <f t="shared" si="94"/>
        <v>0</v>
      </c>
      <c r="AN1199" s="39">
        <f t="shared" si="91"/>
        <v>0</v>
      </c>
      <c r="AO1199" s="39">
        <f t="shared" si="92"/>
        <v>0</v>
      </c>
    </row>
    <row r="1200" spans="1:41" x14ac:dyDescent="0.3">
      <c r="A1200" s="20">
        <v>1000184670</v>
      </c>
      <c r="B1200" s="4" t="s">
        <v>147</v>
      </c>
      <c r="C1200" s="21"/>
      <c r="D1200" s="3"/>
      <c r="E1200" s="20">
        <v>1000185288</v>
      </c>
      <c r="F1200" s="4" t="s">
        <v>64</v>
      </c>
      <c r="G1200" s="21">
        <v>1000189808</v>
      </c>
      <c r="H1200" s="3" t="s">
        <v>120</v>
      </c>
      <c r="I1200" s="21">
        <v>1000189270</v>
      </c>
      <c r="J1200" s="3" t="s">
        <v>34</v>
      </c>
      <c r="K1200" s="20" t="s">
        <v>13</v>
      </c>
      <c r="L1200" s="39">
        <v>0</v>
      </c>
      <c r="M1200" s="39">
        <v>110.8</v>
      </c>
      <c r="N1200" s="39">
        <v>0</v>
      </c>
      <c r="O1200" s="39">
        <v>1399.32</v>
      </c>
      <c r="P1200" s="39">
        <v>162.24</v>
      </c>
      <c r="Q1200" s="39">
        <v>110.8</v>
      </c>
      <c r="R1200" s="39">
        <v>0</v>
      </c>
      <c r="S1200" s="39">
        <v>200.16</v>
      </c>
      <c r="T1200" s="39">
        <v>630.36</v>
      </c>
      <c r="U1200" s="39">
        <v>0</v>
      </c>
      <c r="V1200" s="39">
        <v>0</v>
      </c>
      <c r="W1200" s="39">
        <v>0</v>
      </c>
      <c r="X1200" s="39">
        <v>0</v>
      </c>
      <c r="Y1200" s="39">
        <v>0</v>
      </c>
      <c r="Z1200" s="39">
        <v>360.45</v>
      </c>
      <c r="AA1200" s="39">
        <v>1658.9</v>
      </c>
      <c r="AB1200" s="39">
        <v>0</v>
      </c>
      <c r="AC1200" s="39">
        <v>-663.6</v>
      </c>
      <c r="AD1200" s="39">
        <v>0</v>
      </c>
      <c r="AE1200" s="39">
        <v>172.69</v>
      </c>
      <c r="AF1200" s="39">
        <v>434</v>
      </c>
      <c r="AG1200" s="39">
        <v>16.57</v>
      </c>
      <c r="AH1200" s="39"/>
      <c r="AI1200" s="39"/>
      <c r="AJ1200" s="40"/>
      <c r="AK1200" s="39">
        <f t="shared" ref="AK1200:AK1263" si="95">AVERAGE(L1200:W1200)</f>
        <v>217.80666666666664</v>
      </c>
      <c r="AL1200" s="39">
        <f t="shared" si="93"/>
        <v>164.91749999999999</v>
      </c>
      <c r="AM1200" s="39">
        <f t="shared" si="94"/>
        <v>-6.7233333333333372</v>
      </c>
      <c r="AN1200" s="39">
        <f t="shared" ref="AN1200:AN1263" si="96">AVERAGE(X1200:AI1200)</f>
        <v>197.90100000000001</v>
      </c>
      <c r="AO1200" s="39">
        <f t="shared" ref="AO1200:AO1263" si="97">SUM(X1200:AI1200)</f>
        <v>1979.01</v>
      </c>
    </row>
    <row r="1201" spans="1:41" x14ac:dyDescent="0.3">
      <c r="A1201" s="20">
        <v>1000184670</v>
      </c>
      <c r="B1201" s="4" t="s">
        <v>147</v>
      </c>
      <c r="C1201" s="21"/>
      <c r="D1201" s="3"/>
      <c r="E1201" s="20">
        <v>1000185288</v>
      </c>
      <c r="F1201" s="4" t="s">
        <v>64</v>
      </c>
      <c r="G1201" s="21">
        <v>1000189808</v>
      </c>
      <c r="H1201" s="3" t="s">
        <v>120</v>
      </c>
      <c r="I1201" s="21">
        <v>1000189270</v>
      </c>
      <c r="J1201" s="3" t="s">
        <v>34</v>
      </c>
      <c r="K1201" s="20" t="s">
        <v>14</v>
      </c>
      <c r="L1201" s="39">
        <v>0</v>
      </c>
      <c r="M1201" s="39">
        <v>133.97</v>
      </c>
      <c r="N1201" s="39">
        <v>0</v>
      </c>
      <c r="O1201" s="39">
        <v>2057.85</v>
      </c>
      <c r="P1201" s="39">
        <v>-8</v>
      </c>
      <c r="Q1201" s="39">
        <v>0</v>
      </c>
      <c r="R1201" s="39">
        <v>0</v>
      </c>
      <c r="S1201" s="39">
        <v>0</v>
      </c>
      <c r="T1201" s="39">
        <v>360</v>
      </c>
      <c r="U1201" s="39">
        <v>0</v>
      </c>
      <c r="V1201" s="39">
        <v>0</v>
      </c>
      <c r="W1201" s="39">
        <v>0</v>
      </c>
      <c r="X1201" s="39">
        <v>494</v>
      </c>
      <c r="Y1201" s="39">
        <v>296</v>
      </c>
      <c r="Z1201" s="39">
        <v>277.5</v>
      </c>
      <c r="AA1201" s="39">
        <v>129.36000000000001</v>
      </c>
      <c r="AB1201" s="39">
        <v>0</v>
      </c>
      <c r="AC1201" s="39">
        <v>0</v>
      </c>
      <c r="AD1201" s="39">
        <v>652.55999999999995</v>
      </c>
      <c r="AE1201" s="39">
        <v>0</v>
      </c>
      <c r="AF1201" s="39">
        <v>0</v>
      </c>
      <c r="AG1201" s="39">
        <v>214.2</v>
      </c>
      <c r="AH1201" s="39"/>
      <c r="AI1201" s="39"/>
      <c r="AJ1201" s="40"/>
      <c r="AK1201" s="39">
        <f t="shared" si="95"/>
        <v>211.98499999999999</v>
      </c>
      <c r="AL1201" s="39">
        <f t="shared" si="93"/>
        <v>171.96833333333333</v>
      </c>
      <c r="AM1201" s="39">
        <f t="shared" si="94"/>
        <v>144.46</v>
      </c>
      <c r="AN1201" s="39">
        <f t="shared" si="96"/>
        <v>206.36199999999999</v>
      </c>
      <c r="AO1201" s="39">
        <f t="shared" si="97"/>
        <v>2063.62</v>
      </c>
    </row>
    <row r="1202" spans="1:41" x14ac:dyDescent="0.3">
      <c r="A1202" s="20">
        <v>1000184670</v>
      </c>
      <c r="B1202" s="4" t="s">
        <v>147</v>
      </c>
      <c r="C1202" s="21"/>
      <c r="D1202" s="3"/>
      <c r="E1202" s="20">
        <v>1000185288</v>
      </c>
      <c r="F1202" s="4" t="s">
        <v>64</v>
      </c>
      <c r="G1202" s="21">
        <v>1000189808</v>
      </c>
      <c r="H1202" s="3" t="s">
        <v>120</v>
      </c>
      <c r="I1202" s="21">
        <v>1000189270</v>
      </c>
      <c r="J1202" s="3" t="s">
        <v>34</v>
      </c>
      <c r="K1202" s="20" t="s">
        <v>16</v>
      </c>
      <c r="L1202" s="39">
        <v>0</v>
      </c>
      <c r="M1202" s="39">
        <v>0</v>
      </c>
      <c r="N1202" s="39">
        <v>0</v>
      </c>
      <c r="O1202" s="39">
        <v>0</v>
      </c>
      <c r="P1202" s="39">
        <v>600.86</v>
      </c>
      <c r="Q1202" s="39">
        <v>0</v>
      </c>
      <c r="R1202" s="39">
        <v>0</v>
      </c>
      <c r="S1202" s="39">
        <v>0</v>
      </c>
      <c r="T1202" s="39">
        <v>0</v>
      </c>
      <c r="U1202" s="39">
        <v>0</v>
      </c>
      <c r="V1202" s="39">
        <v>0</v>
      </c>
      <c r="W1202" s="39">
        <v>0</v>
      </c>
      <c r="X1202" s="39">
        <v>0</v>
      </c>
      <c r="Y1202" s="39">
        <v>0</v>
      </c>
      <c r="Z1202" s="39">
        <v>347.25</v>
      </c>
      <c r="AA1202" s="39">
        <v>236.87</v>
      </c>
      <c r="AB1202" s="39">
        <v>0</v>
      </c>
      <c r="AC1202" s="39">
        <v>1597.74</v>
      </c>
      <c r="AD1202" s="39">
        <v>19.79</v>
      </c>
      <c r="AE1202" s="39">
        <v>148.5</v>
      </c>
      <c r="AF1202" s="39">
        <v>0</v>
      </c>
      <c r="AG1202" s="39">
        <v>18.940000000000001</v>
      </c>
      <c r="AH1202" s="39"/>
      <c r="AI1202" s="39"/>
      <c r="AJ1202" s="40"/>
      <c r="AK1202" s="39">
        <f t="shared" si="95"/>
        <v>50.071666666666665</v>
      </c>
      <c r="AL1202" s="39">
        <f t="shared" si="93"/>
        <v>197.42416666666668</v>
      </c>
      <c r="AM1202" s="39">
        <f t="shared" si="94"/>
        <v>297.495</v>
      </c>
      <c r="AN1202" s="39">
        <f t="shared" si="96"/>
        <v>236.90900000000002</v>
      </c>
      <c r="AO1202" s="39">
        <f t="shared" si="97"/>
        <v>2369.09</v>
      </c>
    </row>
    <row r="1203" spans="1:41" x14ac:dyDescent="0.3">
      <c r="A1203" s="20">
        <v>1000184670</v>
      </c>
      <c r="B1203" s="4" t="s">
        <v>147</v>
      </c>
      <c r="C1203" s="21"/>
      <c r="D1203" s="3"/>
      <c r="E1203" s="20">
        <v>1000185288</v>
      </c>
      <c r="F1203" s="4" t="s">
        <v>64</v>
      </c>
      <c r="G1203" s="21">
        <v>1000189808</v>
      </c>
      <c r="H1203" s="3" t="s">
        <v>120</v>
      </c>
      <c r="I1203" s="21">
        <v>1000189270</v>
      </c>
      <c r="J1203" s="3" t="s">
        <v>34</v>
      </c>
      <c r="K1203" s="20" t="s">
        <v>15</v>
      </c>
      <c r="L1203" s="39">
        <v>0</v>
      </c>
      <c r="M1203" s="39">
        <v>0</v>
      </c>
      <c r="N1203" s="39">
        <v>0</v>
      </c>
      <c r="O1203" s="39">
        <v>222.3</v>
      </c>
      <c r="P1203" s="39">
        <v>0</v>
      </c>
      <c r="Q1203" s="39">
        <v>0</v>
      </c>
      <c r="R1203" s="39">
        <v>0</v>
      </c>
      <c r="S1203" s="39">
        <v>0</v>
      </c>
      <c r="T1203" s="39">
        <v>0</v>
      </c>
      <c r="U1203" s="39">
        <v>0</v>
      </c>
      <c r="V1203" s="39">
        <v>0</v>
      </c>
      <c r="W1203" s="39">
        <v>0</v>
      </c>
      <c r="X1203" s="39">
        <v>0</v>
      </c>
      <c r="Y1203" s="39">
        <v>0</v>
      </c>
      <c r="Z1203" s="39">
        <v>57</v>
      </c>
      <c r="AA1203" s="39">
        <v>257.77</v>
      </c>
      <c r="AB1203" s="39">
        <v>0</v>
      </c>
      <c r="AC1203" s="39">
        <v>0</v>
      </c>
      <c r="AD1203" s="39">
        <v>0</v>
      </c>
      <c r="AE1203" s="39">
        <v>0</v>
      </c>
      <c r="AF1203" s="39">
        <v>0</v>
      </c>
      <c r="AG1203" s="39">
        <v>71.400000000000006</v>
      </c>
      <c r="AH1203" s="39"/>
      <c r="AI1203" s="39"/>
      <c r="AJ1203" s="40"/>
      <c r="AK1203" s="39">
        <f t="shared" si="95"/>
        <v>18.525000000000002</v>
      </c>
      <c r="AL1203" s="39">
        <f t="shared" si="93"/>
        <v>32.180833333333332</v>
      </c>
      <c r="AM1203" s="39">
        <f t="shared" si="94"/>
        <v>11.9</v>
      </c>
      <c r="AN1203" s="39">
        <f t="shared" si="96"/>
        <v>38.616999999999997</v>
      </c>
      <c r="AO1203" s="39">
        <f t="shared" si="97"/>
        <v>386.16999999999996</v>
      </c>
    </row>
    <row r="1204" spans="1:41" x14ac:dyDescent="0.3">
      <c r="A1204" s="20">
        <v>1000184670</v>
      </c>
      <c r="B1204" s="4" t="s">
        <v>147</v>
      </c>
      <c r="C1204" s="21"/>
      <c r="D1204" s="3"/>
      <c r="E1204" s="20">
        <v>1000185288</v>
      </c>
      <c r="F1204" s="4" t="s">
        <v>64</v>
      </c>
      <c r="G1204" s="21">
        <v>1000189808</v>
      </c>
      <c r="H1204" s="3" t="s">
        <v>120</v>
      </c>
      <c r="I1204" s="21">
        <v>1000189270</v>
      </c>
      <c r="J1204" s="3" t="s">
        <v>34</v>
      </c>
      <c r="K1204" s="20" t="s">
        <v>33</v>
      </c>
      <c r="L1204" s="39">
        <v>0</v>
      </c>
      <c r="M1204" s="39">
        <v>0</v>
      </c>
      <c r="N1204" s="39">
        <v>0</v>
      </c>
      <c r="O1204" s="39">
        <v>0</v>
      </c>
      <c r="P1204" s="39">
        <v>0</v>
      </c>
      <c r="Q1204" s="39">
        <v>0</v>
      </c>
      <c r="R1204" s="39">
        <v>0</v>
      </c>
      <c r="S1204" s="39">
        <v>0</v>
      </c>
      <c r="T1204" s="39">
        <v>0</v>
      </c>
      <c r="U1204" s="39">
        <v>0</v>
      </c>
      <c r="V1204" s="39">
        <v>0</v>
      </c>
      <c r="W1204" s="39">
        <v>0</v>
      </c>
      <c r="X1204" s="39">
        <v>0</v>
      </c>
      <c r="Y1204" s="39">
        <v>0</v>
      </c>
      <c r="Z1204" s="39">
        <v>0</v>
      </c>
      <c r="AA1204" s="39">
        <v>0</v>
      </c>
      <c r="AB1204" s="39">
        <v>0</v>
      </c>
      <c r="AC1204" s="39">
        <v>0</v>
      </c>
      <c r="AD1204" s="39">
        <v>0</v>
      </c>
      <c r="AE1204" s="39">
        <v>0</v>
      </c>
      <c r="AF1204" s="39">
        <v>0</v>
      </c>
      <c r="AG1204" s="39">
        <v>0</v>
      </c>
      <c r="AH1204" s="39"/>
      <c r="AI1204" s="39"/>
      <c r="AJ1204" s="40"/>
      <c r="AK1204" s="39">
        <f t="shared" si="95"/>
        <v>0</v>
      </c>
      <c r="AL1204" s="39">
        <f t="shared" si="93"/>
        <v>0</v>
      </c>
      <c r="AM1204" s="39">
        <f t="shared" si="94"/>
        <v>0</v>
      </c>
      <c r="AN1204" s="39">
        <f t="shared" si="96"/>
        <v>0</v>
      </c>
      <c r="AO1204" s="39">
        <f t="shared" si="97"/>
        <v>0</v>
      </c>
    </row>
    <row r="1205" spans="1:41" x14ac:dyDescent="0.3">
      <c r="A1205" s="20">
        <v>1000184670</v>
      </c>
      <c r="B1205" s="4" t="s">
        <v>147</v>
      </c>
      <c r="C1205" s="21"/>
      <c r="D1205" s="3"/>
      <c r="E1205" s="20">
        <v>1000185288</v>
      </c>
      <c r="F1205" s="4" t="s">
        <v>64</v>
      </c>
      <c r="G1205" s="21">
        <v>1000189808</v>
      </c>
      <c r="H1205" s="3" t="s">
        <v>120</v>
      </c>
      <c r="I1205" s="21">
        <v>1000189270</v>
      </c>
      <c r="J1205" s="3" t="s">
        <v>34</v>
      </c>
      <c r="K1205" s="20" t="s">
        <v>19</v>
      </c>
      <c r="L1205" s="39">
        <v>0</v>
      </c>
      <c r="M1205" s="39">
        <v>0</v>
      </c>
      <c r="N1205" s="39">
        <v>0</v>
      </c>
      <c r="O1205" s="39">
        <v>425.88</v>
      </c>
      <c r="P1205" s="39">
        <v>0</v>
      </c>
      <c r="Q1205" s="39">
        <v>0</v>
      </c>
      <c r="R1205" s="39">
        <v>0</v>
      </c>
      <c r="S1205" s="39">
        <v>0</v>
      </c>
      <c r="T1205" s="39">
        <v>0</v>
      </c>
      <c r="U1205" s="39">
        <v>0</v>
      </c>
      <c r="V1205" s="39">
        <v>0</v>
      </c>
      <c r="W1205" s="39">
        <v>0</v>
      </c>
      <c r="X1205" s="39">
        <v>0</v>
      </c>
      <c r="Y1205" s="39">
        <v>0</v>
      </c>
      <c r="Z1205" s="39">
        <v>0</v>
      </c>
      <c r="AA1205" s="39">
        <v>239.04</v>
      </c>
      <c r="AB1205" s="39">
        <v>0</v>
      </c>
      <c r="AC1205" s="39">
        <v>0</v>
      </c>
      <c r="AD1205" s="39">
        <v>0</v>
      </c>
      <c r="AE1205" s="39">
        <v>0</v>
      </c>
      <c r="AF1205" s="39">
        <v>0</v>
      </c>
      <c r="AG1205" s="39">
        <v>17.21</v>
      </c>
      <c r="AH1205" s="39"/>
      <c r="AI1205" s="39"/>
      <c r="AJ1205" s="40"/>
      <c r="AK1205" s="39">
        <f t="shared" si="95"/>
        <v>35.49</v>
      </c>
      <c r="AL1205" s="39">
        <f t="shared" si="93"/>
        <v>21.354166666666668</v>
      </c>
      <c r="AM1205" s="39">
        <f t="shared" si="94"/>
        <v>2.8683333333333336</v>
      </c>
      <c r="AN1205" s="39">
        <f t="shared" si="96"/>
        <v>25.625</v>
      </c>
      <c r="AO1205" s="39">
        <f t="shared" si="97"/>
        <v>256.25</v>
      </c>
    </row>
    <row r="1206" spans="1:41" x14ac:dyDescent="0.3">
      <c r="A1206" s="20">
        <v>1000184670</v>
      </c>
      <c r="B1206" s="4" t="s">
        <v>147</v>
      </c>
      <c r="C1206" s="21"/>
      <c r="D1206" s="3"/>
      <c r="E1206" s="20">
        <v>1000185288</v>
      </c>
      <c r="F1206" s="4" t="s">
        <v>64</v>
      </c>
      <c r="G1206" s="21">
        <v>1000189808</v>
      </c>
      <c r="H1206" s="3" t="s">
        <v>120</v>
      </c>
      <c r="I1206" s="21">
        <v>1000189270</v>
      </c>
      <c r="J1206" s="3" t="s">
        <v>34</v>
      </c>
      <c r="K1206" s="20" t="s">
        <v>17</v>
      </c>
      <c r="L1206" s="39">
        <v>0</v>
      </c>
      <c r="M1206" s="39">
        <v>693.23</v>
      </c>
      <c r="N1206" s="39">
        <v>-115.31</v>
      </c>
      <c r="O1206" s="39">
        <v>977.55</v>
      </c>
      <c r="P1206" s="39">
        <v>0</v>
      </c>
      <c r="Q1206" s="39">
        <v>462.47</v>
      </c>
      <c r="R1206" s="39">
        <v>0</v>
      </c>
      <c r="S1206" s="39">
        <v>0</v>
      </c>
      <c r="T1206" s="39">
        <v>0</v>
      </c>
      <c r="U1206" s="39">
        <v>0</v>
      </c>
      <c r="V1206" s="39">
        <v>0</v>
      </c>
      <c r="W1206" s="39">
        <v>0</v>
      </c>
      <c r="X1206" s="39">
        <v>0</v>
      </c>
      <c r="Y1206" s="39">
        <v>0</v>
      </c>
      <c r="Z1206" s="39">
        <v>0</v>
      </c>
      <c r="AA1206" s="39">
        <v>115.1</v>
      </c>
      <c r="AB1206" s="39">
        <v>0</v>
      </c>
      <c r="AC1206" s="39">
        <v>0</v>
      </c>
      <c r="AD1206" s="39">
        <v>0</v>
      </c>
      <c r="AE1206" s="39">
        <v>0</v>
      </c>
      <c r="AF1206" s="39">
        <v>0</v>
      </c>
      <c r="AG1206" s="39">
        <v>0</v>
      </c>
      <c r="AH1206" s="39"/>
      <c r="AI1206" s="39"/>
      <c r="AJ1206" s="40"/>
      <c r="AK1206" s="39">
        <f t="shared" si="95"/>
        <v>168.16166666666666</v>
      </c>
      <c r="AL1206" s="39">
        <f t="shared" si="93"/>
        <v>9.5916666666666668</v>
      </c>
      <c r="AM1206" s="39">
        <f t="shared" si="94"/>
        <v>0</v>
      </c>
      <c r="AN1206" s="39">
        <f t="shared" si="96"/>
        <v>11.51</v>
      </c>
      <c r="AO1206" s="39">
        <f t="shared" si="97"/>
        <v>115.1</v>
      </c>
    </row>
    <row r="1207" spans="1:41" x14ac:dyDescent="0.3">
      <c r="A1207" s="20">
        <v>1000184670</v>
      </c>
      <c r="B1207" s="4" t="s">
        <v>147</v>
      </c>
      <c r="C1207" s="21"/>
      <c r="D1207" s="3"/>
      <c r="E1207" s="20">
        <v>1000185288</v>
      </c>
      <c r="F1207" s="4" t="s">
        <v>64</v>
      </c>
      <c r="G1207" s="21">
        <v>1000189808</v>
      </c>
      <c r="H1207" s="3" t="s">
        <v>120</v>
      </c>
      <c r="I1207" s="21">
        <v>1000189270</v>
      </c>
      <c r="J1207" s="3" t="s">
        <v>34</v>
      </c>
      <c r="K1207" s="20" t="s">
        <v>24</v>
      </c>
      <c r="L1207" s="39">
        <v>0</v>
      </c>
      <c r="M1207" s="39">
        <v>0</v>
      </c>
      <c r="N1207" s="39">
        <v>0</v>
      </c>
      <c r="O1207" s="39">
        <v>168.36</v>
      </c>
      <c r="P1207" s="39">
        <v>0</v>
      </c>
      <c r="Q1207" s="39">
        <v>0</v>
      </c>
      <c r="R1207" s="39">
        <v>0</v>
      </c>
      <c r="S1207" s="39">
        <v>56.76</v>
      </c>
      <c r="T1207" s="39">
        <v>0</v>
      </c>
      <c r="U1207" s="39">
        <v>0</v>
      </c>
      <c r="V1207" s="39">
        <v>0</v>
      </c>
      <c r="W1207" s="39">
        <v>0</v>
      </c>
      <c r="X1207" s="39">
        <v>0</v>
      </c>
      <c r="Y1207" s="39">
        <v>0</v>
      </c>
      <c r="Z1207" s="39">
        <v>61.78</v>
      </c>
      <c r="AA1207" s="39">
        <v>0</v>
      </c>
      <c r="AB1207" s="39">
        <v>0</v>
      </c>
      <c r="AC1207" s="39">
        <v>0</v>
      </c>
      <c r="AD1207" s="39">
        <v>0</v>
      </c>
      <c r="AE1207" s="39">
        <v>0</v>
      </c>
      <c r="AF1207" s="39">
        <v>0</v>
      </c>
      <c r="AG1207" s="39">
        <v>0</v>
      </c>
      <c r="AH1207" s="39"/>
      <c r="AI1207" s="39"/>
      <c r="AJ1207" s="40"/>
      <c r="AK1207" s="39">
        <f t="shared" si="95"/>
        <v>18.760000000000002</v>
      </c>
      <c r="AL1207" s="39">
        <f t="shared" si="93"/>
        <v>5.1483333333333334</v>
      </c>
      <c r="AM1207" s="39">
        <f t="shared" si="94"/>
        <v>0</v>
      </c>
      <c r="AN1207" s="39">
        <f t="shared" si="96"/>
        <v>6.1779999999999999</v>
      </c>
      <c r="AO1207" s="39">
        <f t="shared" si="97"/>
        <v>61.78</v>
      </c>
    </row>
    <row r="1208" spans="1:41" x14ac:dyDescent="0.3">
      <c r="A1208" s="20">
        <v>1000184670</v>
      </c>
      <c r="B1208" s="4" t="s">
        <v>147</v>
      </c>
      <c r="C1208" s="21"/>
      <c r="D1208" s="3"/>
      <c r="E1208" s="20">
        <v>1000185288</v>
      </c>
      <c r="F1208" s="4" t="s">
        <v>64</v>
      </c>
      <c r="G1208" s="21">
        <v>1000189808</v>
      </c>
      <c r="H1208" s="3" t="s">
        <v>120</v>
      </c>
      <c r="I1208" s="21">
        <v>1000189270</v>
      </c>
      <c r="J1208" s="3" t="s">
        <v>34</v>
      </c>
      <c r="K1208" s="20" t="s">
        <v>18</v>
      </c>
      <c r="L1208" s="39">
        <v>0</v>
      </c>
      <c r="M1208" s="39">
        <v>0</v>
      </c>
      <c r="N1208" s="39">
        <v>0</v>
      </c>
      <c r="O1208" s="39">
        <v>523.91999999999996</v>
      </c>
      <c r="P1208" s="39">
        <v>0</v>
      </c>
      <c r="Q1208" s="39">
        <v>0</v>
      </c>
      <c r="R1208" s="39">
        <v>0</v>
      </c>
      <c r="S1208" s="39">
        <v>0</v>
      </c>
      <c r="T1208" s="39">
        <v>444</v>
      </c>
      <c r="U1208" s="39">
        <v>0</v>
      </c>
      <c r="V1208" s="39">
        <v>0</v>
      </c>
      <c r="W1208" s="39">
        <v>0</v>
      </c>
      <c r="X1208" s="39">
        <v>1040</v>
      </c>
      <c r="Y1208" s="39">
        <v>0</v>
      </c>
      <c r="Z1208" s="39">
        <v>123.81</v>
      </c>
      <c r="AA1208" s="39">
        <v>81.319999999999993</v>
      </c>
      <c r="AB1208" s="39">
        <v>0</v>
      </c>
      <c r="AC1208" s="39">
        <v>0</v>
      </c>
      <c r="AD1208" s="39">
        <v>768</v>
      </c>
      <c r="AE1208" s="39">
        <v>0</v>
      </c>
      <c r="AF1208" s="39">
        <v>0</v>
      </c>
      <c r="AG1208" s="39">
        <v>0</v>
      </c>
      <c r="AH1208" s="39"/>
      <c r="AI1208" s="39"/>
      <c r="AJ1208" s="40"/>
      <c r="AK1208" s="39">
        <f t="shared" si="95"/>
        <v>80.66</v>
      </c>
      <c r="AL1208" s="39">
        <f t="shared" si="93"/>
        <v>167.76083333333332</v>
      </c>
      <c r="AM1208" s="39">
        <f t="shared" si="94"/>
        <v>128</v>
      </c>
      <c r="AN1208" s="39">
        <f t="shared" si="96"/>
        <v>201.31299999999999</v>
      </c>
      <c r="AO1208" s="39">
        <f t="shared" si="97"/>
        <v>2013.1299999999999</v>
      </c>
    </row>
    <row r="1209" spans="1:41" x14ac:dyDescent="0.3">
      <c r="A1209" s="20">
        <v>1000184670</v>
      </c>
      <c r="B1209" s="4" t="s">
        <v>147</v>
      </c>
      <c r="C1209" s="21"/>
      <c r="D1209" s="3"/>
      <c r="E1209" s="20">
        <v>1000185288</v>
      </c>
      <c r="F1209" s="4" t="s">
        <v>64</v>
      </c>
      <c r="G1209" s="21">
        <v>1000189808</v>
      </c>
      <c r="H1209" s="3" t="s">
        <v>120</v>
      </c>
      <c r="I1209" s="21">
        <v>1000189270</v>
      </c>
      <c r="J1209" s="3" t="s">
        <v>34</v>
      </c>
      <c r="K1209" s="20" t="s">
        <v>29</v>
      </c>
      <c r="L1209" s="39">
        <v>0</v>
      </c>
      <c r="M1209" s="39">
        <v>0</v>
      </c>
      <c r="N1209" s="39">
        <v>0</v>
      </c>
      <c r="O1209" s="39">
        <v>0</v>
      </c>
      <c r="P1209" s="39">
        <v>0</v>
      </c>
      <c r="Q1209" s="39">
        <v>0</v>
      </c>
      <c r="R1209" s="39">
        <v>0</v>
      </c>
      <c r="S1209" s="39">
        <v>0</v>
      </c>
      <c r="T1209" s="39">
        <v>0</v>
      </c>
      <c r="U1209" s="39">
        <v>0</v>
      </c>
      <c r="V1209" s="39">
        <v>0</v>
      </c>
      <c r="W1209" s="39">
        <v>0</v>
      </c>
      <c r="X1209" s="39">
        <v>0</v>
      </c>
      <c r="Y1209" s="39">
        <v>321.26</v>
      </c>
      <c r="Z1209" s="39">
        <v>0</v>
      </c>
      <c r="AA1209" s="39">
        <v>0</v>
      </c>
      <c r="AB1209" s="39">
        <v>0</v>
      </c>
      <c r="AC1209" s="39">
        <v>1848</v>
      </c>
      <c r="AD1209" s="39">
        <v>1979</v>
      </c>
      <c r="AE1209" s="39">
        <v>4127.7</v>
      </c>
      <c r="AF1209" s="39">
        <v>2011.8</v>
      </c>
      <c r="AG1209" s="39">
        <v>3530.05</v>
      </c>
      <c r="AH1209" s="39"/>
      <c r="AI1209" s="39"/>
      <c r="AJ1209" s="40"/>
      <c r="AK1209" s="39">
        <f t="shared" si="95"/>
        <v>0</v>
      </c>
      <c r="AL1209" s="39">
        <f t="shared" si="93"/>
        <v>1151.4841666666664</v>
      </c>
      <c r="AM1209" s="39">
        <f t="shared" si="94"/>
        <v>2249.4249999999997</v>
      </c>
      <c r="AN1209" s="39">
        <f t="shared" si="96"/>
        <v>1381.7809999999997</v>
      </c>
      <c r="AO1209" s="39">
        <f t="shared" si="97"/>
        <v>13817.809999999998</v>
      </c>
    </row>
    <row r="1210" spans="1:41" x14ac:dyDescent="0.3">
      <c r="A1210" s="20">
        <v>1000184670</v>
      </c>
      <c r="B1210" s="4" t="s">
        <v>147</v>
      </c>
      <c r="C1210" s="21"/>
      <c r="D1210" s="3"/>
      <c r="E1210" s="20">
        <v>1000185288</v>
      </c>
      <c r="F1210" s="4" t="s">
        <v>64</v>
      </c>
      <c r="G1210" s="21">
        <v>1000189808</v>
      </c>
      <c r="H1210" s="3" t="s">
        <v>120</v>
      </c>
      <c r="I1210" s="21">
        <v>1000189270</v>
      </c>
      <c r="J1210" s="3" t="s">
        <v>34</v>
      </c>
      <c r="K1210" s="20" t="s">
        <v>21</v>
      </c>
      <c r="L1210" s="39">
        <v>0</v>
      </c>
      <c r="M1210" s="39">
        <v>0</v>
      </c>
      <c r="N1210" s="39">
        <v>0</v>
      </c>
      <c r="O1210" s="39">
        <v>631.79999999999995</v>
      </c>
      <c r="P1210" s="39">
        <v>0</v>
      </c>
      <c r="Q1210" s="39">
        <v>0</v>
      </c>
      <c r="R1210" s="39">
        <v>0</v>
      </c>
      <c r="S1210" s="39">
        <v>0</v>
      </c>
      <c r="T1210" s="39">
        <v>0</v>
      </c>
      <c r="U1210" s="39">
        <v>0</v>
      </c>
      <c r="V1210" s="39">
        <v>0</v>
      </c>
      <c r="W1210" s="39">
        <v>0</v>
      </c>
      <c r="X1210" s="39">
        <v>0</v>
      </c>
      <c r="Y1210" s="39">
        <v>0</v>
      </c>
      <c r="Z1210" s="39">
        <v>0</v>
      </c>
      <c r="AA1210" s="39">
        <v>58.2</v>
      </c>
      <c r="AB1210" s="39">
        <v>0</v>
      </c>
      <c r="AC1210" s="39">
        <v>1345.2</v>
      </c>
      <c r="AD1210" s="39">
        <v>0</v>
      </c>
      <c r="AE1210" s="39">
        <v>0</v>
      </c>
      <c r="AF1210" s="39">
        <v>0</v>
      </c>
      <c r="AG1210" s="39">
        <v>7.01</v>
      </c>
      <c r="AH1210" s="39"/>
      <c r="AI1210" s="39"/>
      <c r="AJ1210" s="40"/>
      <c r="AK1210" s="39">
        <f t="shared" si="95"/>
        <v>52.65</v>
      </c>
      <c r="AL1210" s="39">
        <f t="shared" si="93"/>
        <v>117.53416666666668</v>
      </c>
      <c r="AM1210" s="39">
        <f t="shared" si="94"/>
        <v>225.36833333333334</v>
      </c>
      <c r="AN1210" s="39">
        <f t="shared" si="96"/>
        <v>141.041</v>
      </c>
      <c r="AO1210" s="39">
        <f t="shared" si="97"/>
        <v>1410.41</v>
      </c>
    </row>
    <row r="1211" spans="1:41" x14ac:dyDescent="0.3">
      <c r="A1211" s="20">
        <v>1000184670</v>
      </c>
      <c r="B1211" s="4" t="s">
        <v>147</v>
      </c>
      <c r="C1211" s="21"/>
      <c r="D1211" s="3"/>
      <c r="E1211" s="20">
        <v>1000185288</v>
      </c>
      <c r="F1211" s="4" t="s">
        <v>64</v>
      </c>
      <c r="G1211" s="21">
        <v>1000189808</v>
      </c>
      <c r="H1211" s="3" t="s">
        <v>120</v>
      </c>
      <c r="I1211" s="21">
        <v>1000189270</v>
      </c>
      <c r="J1211" s="3" t="s">
        <v>34</v>
      </c>
      <c r="K1211" s="20" t="s">
        <v>20</v>
      </c>
      <c r="L1211" s="39">
        <v>0</v>
      </c>
      <c r="M1211" s="39">
        <v>443.55</v>
      </c>
      <c r="N1211" s="39">
        <v>0</v>
      </c>
      <c r="O1211" s="39">
        <v>442.26</v>
      </c>
      <c r="P1211" s="39">
        <v>177.96</v>
      </c>
      <c r="Q1211" s="39">
        <v>322.92</v>
      </c>
      <c r="R1211" s="39">
        <v>0</v>
      </c>
      <c r="S1211" s="39">
        <v>0</v>
      </c>
      <c r="T1211" s="39">
        <v>0</v>
      </c>
      <c r="U1211" s="39">
        <v>0</v>
      </c>
      <c r="V1211" s="39">
        <v>0</v>
      </c>
      <c r="W1211" s="39">
        <v>0</v>
      </c>
      <c r="X1211" s="39">
        <v>0</v>
      </c>
      <c r="Y1211" s="39">
        <v>0</v>
      </c>
      <c r="Z1211" s="39">
        <v>0</v>
      </c>
      <c r="AA1211" s="39">
        <v>0</v>
      </c>
      <c r="AB1211" s="39">
        <v>0</v>
      </c>
      <c r="AC1211" s="39">
        <v>0</v>
      </c>
      <c r="AD1211" s="39">
        <v>0</v>
      </c>
      <c r="AE1211" s="39">
        <v>105</v>
      </c>
      <c r="AF1211" s="39">
        <v>0</v>
      </c>
      <c r="AG1211" s="39">
        <v>17.149999999999999</v>
      </c>
      <c r="AH1211" s="39"/>
      <c r="AI1211" s="39"/>
      <c r="AJ1211" s="40"/>
      <c r="AK1211" s="39">
        <f t="shared" si="95"/>
        <v>115.5575</v>
      </c>
      <c r="AL1211" s="39">
        <f t="shared" si="93"/>
        <v>10.179166666666667</v>
      </c>
      <c r="AM1211" s="39">
        <f t="shared" si="94"/>
        <v>20.358333333333334</v>
      </c>
      <c r="AN1211" s="39">
        <f t="shared" si="96"/>
        <v>12.215</v>
      </c>
      <c r="AO1211" s="39">
        <f t="shared" si="97"/>
        <v>122.15</v>
      </c>
    </row>
    <row r="1212" spans="1:41" x14ac:dyDescent="0.3">
      <c r="A1212" s="20">
        <v>1000184670</v>
      </c>
      <c r="B1212" s="4" t="s">
        <v>147</v>
      </c>
      <c r="C1212" s="21"/>
      <c r="D1212" s="3"/>
      <c r="E1212" s="20">
        <v>1000185288</v>
      </c>
      <c r="F1212" s="4" t="s">
        <v>64</v>
      </c>
      <c r="G1212" s="21">
        <v>1000189808</v>
      </c>
      <c r="H1212" s="3" t="s">
        <v>120</v>
      </c>
      <c r="I1212" s="21">
        <v>1000189270</v>
      </c>
      <c r="J1212" s="3" t="s">
        <v>34</v>
      </c>
      <c r="K1212" s="20" t="s">
        <v>22</v>
      </c>
      <c r="L1212" s="39">
        <v>0</v>
      </c>
      <c r="M1212" s="39">
        <v>0</v>
      </c>
      <c r="N1212" s="39">
        <v>0</v>
      </c>
      <c r="O1212" s="39">
        <v>627.12</v>
      </c>
      <c r="P1212" s="39">
        <v>0</v>
      </c>
      <c r="Q1212" s="39">
        <v>0</v>
      </c>
      <c r="R1212" s="39">
        <v>0</v>
      </c>
      <c r="S1212" s="39">
        <v>0</v>
      </c>
      <c r="T1212" s="39">
        <v>0</v>
      </c>
      <c r="U1212" s="39">
        <v>0</v>
      </c>
      <c r="V1212" s="39">
        <v>0</v>
      </c>
      <c r="W1212" s="39">
        <v>0</v>
      </c>
      <c r="X1212" s="39">
        <v>0</v>
      </c>
      <c r="Y1212" s="39">
        <v>0</v>
      </c>
      <c r="Z1212" s="39">
        <v>0</v>
      </c>
      <c r="AA1212" s="39">
        <v>139.38999999999999</v>
      </c>
      <c r="AB1212" s="39">
        <v>0</v>
      </c>
      <c r="AC1212" s="39">
        <v>0</v>
      </c>
      <c r="AD1212" s="39">
        <v>0</v>
      </c>
      <c r="AE1212" s="39">
        <v>139.5</v>
      </c>
      <c r="AF1212" s="39">
        <v>0</v>
      </c>
      <c r="AG1212" s="39">
        <v>0</v>
      </c>
      <c r="AH1212" s="39"/>
      <c r="AI1212" s="39"/>
      <c r="AJ1212" s="40"/>
      <c r="AK1212" s="39">
        <f t="shared" si="95"/>
        <v>52.26</v>
      </c>
      <c r="AL1212" s="39">
        <f t="shared" si="93"/>
        <v>23.240833333333331</v>
      </c>
      <c r="AM1212" s="39">
        <f t="shared" si="94"/>
        <v>23.25</v>
      </c>
      <c r="AN1212" s="39">
        <f t="shared" si="96"/>
        <v>27.888999999999999</v>
      </c>
      <c r="AO1212" s="39">
        <f t="shared" si="97"/>
        <v>278.89</v>
      </c>
    </row>
    <row r="1213" spans="1:41" x14ac:dyDescent="0.3">
      <c r="A1213" s="20">
        <v>1000184670</v>
      </c>
      <c r="B1213" s="4" t="s">
        <v>147</v>
      </c>
      <c r="C1213" s="21"/>
      <c r="D1213" s="3"/>
      <c r="E1213" s="20">
        <v>1000185288</v>
      </c>
      <c r="F1213" s="4" t="s">
        <v>64</v>
      </c>
      <c r="G1213" s="21">
        <v>1000189808</v>
      </c>
      <c r="H1213" s="3" t="s">
        <v>120</v>
      </c>
      <c r="I1213" s="21">
        <v>1000189270</v>
      </c>
      <c r="J1213" s="3" t="s">
        <v>34</v>
      </c>
      <c r="K1213" s="20" t="s">
        <v>23</v>
      </c>
      <c r="L1213" s="39">
        <v>0</v>
      </c>
      <c r="M1213" s="39">
        <v>0</v>
      </c>
      <c r="N1213" s="39">
        <v>0</v>
      </c>
      <c r="O1213" s="39">
        <v>0</v>
      </c>
      <c r="P1213" s="39">
        <v>0</v>
      </c>
      <c r="Q1213" s="39">
        <v>0</v>
      </c>
      <c r="R1213" s="39">
        <v>0</v>
      </c>
      <c r="S1213" s="39">
        <v>0</v>
      </c>
      <c r="T1213" s="39">
        <v>0</v>
      </c>
      <c r="U1213" s="39">
        <v>0</v>
      </c>
      <c r="V1213" s="39">
        <v>0</v>
      </c>
      <c r="W1213" s="39">
        <v>0</v>
      </c>
      <c r="X1213" s="39">
        <v>0</v>
      </c>
      <c r="Y1213" s="39">
        <v>0</v>
      </c>
      <c r="Z1213" s="39">
        <v>0</v>
      </c>
      <c r="AA1213" s="39">
        <v>0</v>
      </c>
      <c r="AB1213" s="39">
        <v>0</v>
      </c>
      <c r="AC1213" s="39">
        <v>0</v>
      </c>
      <c r="AD1213" s="39">
        <v>0</v>
      </c>
      <c r="AE1213" s="39">
        <v>0</v>
      </c>
      <c r="AF1213" s="39">
        <v>0</v>
      </c>
      <c r="AG1213" s="39">
        <v>9.59</v>
      </c>
      <c r="AH1213" s="39"/>
      <c r="AI1213" s="39"/>
      <c r="AJ1213" s="40"/>
      <c r="AK1213" s="39">
        <f t="shared" si="95"/>
        <v>0</v>
      </c>
      <c r="AL1213" s="39">
        <f t="shared" si="93"/>
        <v>0.79916666666666669</v>
      </c>
      <c r="AM1213" s="39">
        <f t="shared" si="94"/>
        <v>1.5983333333333334</v>
      </c>
      <c r="AN1213" s="39">
        <f t="shared" si="96"/>
        <v>0.95899999999999996</v>
      </c>
      <c r="AO1213" s="39">
        <f t="shared" si="97"/>
        <v>9.59</v>
      </c>
    </row>
    <row r="1214" spans="1:41" x14ac:dyDescent="0.3">
      <c r="A1214" s="20">
        <v>1000184670</v>
      </c>
      <c r="B1214" s="4" t="s">
        <v>147</v>
      </c>
      <c r="C1214" s="21"/>
      <c r="D1214" s="3"/>
      <c r="E1214" s="20">
        <v>1000185288</v>
      </c>
      <c r="F1214" s="4" t="s">
        <v>64</v>
      </c>
      <c r="G1214" s="21">
        <v>1000189808</v>
      </c>
      <c r="H1214" s="3" t="s">
        <v>120</v>
      </c>
      <c r="I1214" s="21">
        <v>1000189270</v>
      </c>
      <c r="J1214" s="3" t="s">
        <v>34</v>
      </c>
      <c r="K1214" s="20" t="s">
        <v>28</v>
      </c>
      <c r="L1214" s="39">
        <v>0</v>
      </c>
      <c r="M1214" s="39">
        <v>407.2</v>
      </c>
      <c r="N1214" s="39">
        <v>-5.09</v>
      </c>
      <c r="O1214" s="39">
        <v>152.69999999999999</v>
      </c>
      <c r="P1214" s="39">
        <v>31.84</v>
      </c>
      <c r="Q1214" s="39">
        <v>300.31</v>
      </c>
      <c r="R1214" s="39">
        <v>0</v>
      </c>
      <c r="S1214" s="39">
        <v>0</v>
      </c>
      <c r="T1214" s="39">
        <v>0</v>
      </c>
      <c r="U1214" s="39">
        <v>0</v>
      </c>
      <c r="V1214" s="39">
        <v>0</v>
      </c>
      <c r="W1214" s="39">
        <v>0</v>
      </c>
      <c r="X1214" s="39">
        <v>0</v>
      </c>
      <c r="Y1214" s="39">
        <v>0</v>
      </c>
      <c r="Z1214" s="39">
        <v>16.309999999999999</v>
      </c>
      <c r="AA1214" s="39">
        <v>0</v>
      </c>
      <c r="AB1214" s="39">
        <v>0</v>
      </c>
      <c r="AC1214" s="39">
        <v>0</v>
      </c>
      <c r="AD1214" s="39">
        <v>0</v>
      </c>
      <c r="AE1214" s="39">
        <v>41.76</v>
      </c>
      <c r="AF1214" s="39">
        <v>0</v>
      </c>
      <c r="AG1214" s="39">
        <v>0</v>
      </c>
      <c r="AH1214" s="39"/>
      <c r="AI1214" s="39"/>
      <c r="AJ1214" s="40"/>
      <c r="AK1214" s="39">
        <f t="shared" si="95"/>
        <v>73.913333333333341</v>
      </c>
      <c r="AL1214" s="39">
        <f t="shared" si="93"/>
        <v>4.8391666666666664</v>
      </c>
      <c r="AM1214" s="39">
        <f t="shared" si="94"/>
        <v>6.96</v>
      </c>
      <c r="AN1214" s="39">
        <f t="shared" si="96"/>
        <v>5.8069999999999995</v>
      </c>
      <c r="AO1214" s="39">
        <f t="shared" si="97"/>
        <v>58.069999999999993</v>
      </c>
    </row>
    <row r="1215" spans="1:41" x14ac:dyDescent="0.3">
      <c r="A1215" s="20">
        <v>1000184670</v>
      </c>
      <c r="B1215" s="4" t="s">
        <v>147</v>
      </c>
      <c r="C1215" s="21"/>
      <c r="D1215" s="3"/>
      <c r="E1215" s="20">
        <v>1000185288</v>
      </c>
      <c r="F1215" s="4" t="s">
        <v>64</v>
      </c>
      <c r="G1215" s="21">
        <v>1000189808</v>
      </c>
      <c r="H1215" s="3" t="s">
        <v>120</v>
      </c>
      <c r="I1215" s="21">
        <v>1000189270</v>
      </c>
      <c r="J1215" s="3" t="s">
        <v>34</v>
      </c>
      <c r="K1215" s="20" t="s">
        <v>26</v>
      </c>
      <c r="L1215" s="39">
        <v>0</v>
      </c>
      <c r="M1215" s="39">
        <v>0</v>
      </c>
      <c r="N1215" s="39">
        <v>0</v>
      </c>
      <c r="O1215" s="39">
        <v>561.6</v>
      </c>
      <c r="P1215" s="39">
        <v>0</v>
      </c>
      <c r="Q1215" s="39">
        <v>0</v>
      </c>
      <c r="R1215" s="39">
        <v>0</v>
      </c>
      <c r="S1215" s="39">
        <v>0</v>
      </c>
      <c r="T1215" s="39">
        <v>576</v>
      </c>
      <c r="U1215" s="39">
        <v>0</v>
      </c>
      <c r="V1215" s="39">
        <v>190.47</v>
      </c>
      <c r="W1215" s="39">
        <v>0</v>
      </c>
      <c r="X1215" s="39">
        <v>0</v>
      </c>
      <c r="Y1215" s="39">
        <v>0</v>
      </c>
      <c r="Z1215" s="39">
        <v>2490.5300000000002</v>
      </c>
      <c r="AA1215" s="39">
        <v>322.92</v>
      </c>
      <c r="AB1215" s="39">
        <v>0</v>
      </c>
      <c r="AC1215" s="39">
        <v>0</v>
      </c>
      <c r="AD1215" s="39">
        <v>648</v>
      </c>
      <c r="AE1215" s="39">
        <v>0</v>
      </c>
      <c r="AF1215" s="39">
        <v>0</v>
      </c>
      <c r="AG1215" s="39">
        <v>102</v>
      </c>
      <c r="AH1215" s="39"/>
      <c r="AI1215" s="39"/>
      <c r="AJ1215" s="40"/>
      <c r="AK1215" s="39">
        <f t="shared" si="95"/>
        <v>110.6725</v>
      </c>
      <c r="AL1215" s="39">
        <f t="shared" si="93"/>
        <v>312.82666666666665</v>
      </c>
      <c r="AM1215" s="39">
        <f t="shared" si="94"/>
        <v>125</v>
      </c>
      <c r="AN1215" s="39">
        <f t="shared" si="96"/>
        <v>356.34500000000003</v>
      </c>
      <c r="AO1215" s="39">
        <f t="shared" si="97"/>
        <v>3563.4500000000003</v>
      </c>
    </row>
    <row r="1216" spans="1:41" x14ac:dyDescent="0.3">
      <c r="A1216" s="20">
        <v>1000184670</v>
      </c>
      <c r="B1216" s="4" t="s">
        <v>147</v>
      </c>
      <c r="C1216" s="21"/>
      <c r="D1216" s="3"/>
      <c r="E1216" s="20">
        <v>1000185288</v>
      </c>
      <c r="F1216" s="4" t="s">
        <v>64</v>
      </c>
      <c r="G1216" s="21">
        <v>1000189808</v>
      </c>
      <c r="H1216" s="3" t="s">
        <v>120</v>
      </c>
      <c r="I1216" s="21">
        <v>1000189270</v>
      </c>
      <c r="J1216" s="3" t="s">
        <v>34</v>
      </c>
      <c r="K1216" s="20" t="s">
        <v>27</v>
      </c>
      <c r="L1216" s="39">
        <v>0</v>
      </c>
      <c r="M1216" s="39">
        <v>0</v>
      </c>
      <c r="N1216" s="39">
        <v>0</v>
      </c>
      <c r="O1216" s="39">
        <v>0</v>
      </c>
      <c r="P1216" s="39">
        <v>0</v>
      </c>
      <c r="Q1216" s="39">
        <v>0</v>
      </c>
      <c r="R1216" s="39">
        <v>0</v>
      </c>
      <c r="S1216" s="39">
        <v>0</v>
      </c>
      <c r="T1216" s="39">
        <v>0</v>
      </c>
      <c r="U1216" s="39">
        <v>0</v>
      </c>
      <c r="V1216" s="39">
        <v>0</v>
      </c>
      <c r="W1216" s="39">
        <v>0</v>
      </c>
      <c r="X1216" s="39">
        <v>0</v>
      </c>
      <c r="Y1216" s="39">
        <v>0</v>
      </c>
      <c r="Z1216" s="39">
        <v>18.600000000000001</v>
      </c>
      <c r="AA1216" s="39">
        <v>163.68</v>
      </c>
      <c r="AB1216" s="39">
        <v>0</v>
      </c>
      <c r="AC1216" s="39">
        <v>0</v>
      </c>
      <c r="AD1216" s="39">
        <v>47.67</v>
      </c>
      <c r="AE1216" s="39">
        <v>72.540000000000006</v>
      </c>
      <c r="AF1216" s="39">
        <v>0</v>
      </c>
      <c r="AG1216" s="39">
        <v>0</v>
      </c>
      <c r="AH1216" s="39"/>
      <c r="AI1216" s="39"/>
      <c r="AJ1216" s="40"/>
      <c r="AK1216" s="39">
        <f t="shared" si="95"/>
        <v>0</v>
      </c>
      <c r="AL1216" s="39">
        <f t="shared" si="93"/>
        <v>25.2075</v>
      </c>
      <c r="AM1216" s="39">
        <f t="shared" si="94"/>
        <v>20.035</v>
      </c>
      <c r="AN1216" s="39">
        <f t="shared" si="96"/>
        <v>30.249000000000002</v>
      </c>
      <c r="AO1216" s="39">
        <f t="shared" si="97"/>
        <v>302.49</v>
      </c>
    </row>
    <row r="1217" spans="1:41" x14ac:dyDescent="0.3">
      <c r="A1217" s="20">
        <v>1000184670</v>
      </c>
      <c r="B1217" s="4" t="s">
        <v>147</v>
      </c>
      <c r="C1217" s="21"/>
      <c r="D1217" s="3"/>
      <c r="E1217" s="20">
        <v>1000185288</v>
      </c>
      <c r="F1217" s="4" t="s">
        <v>64</v>
      </c>
      <c r="G1217" s="21">
        <v>1000189808</v>
      </c>
      <c r="H1217" s="3" t="s">
        <v>120</v>
      </c>
      <c r="I1217" s="21">
        <v>1000189270</v>
      </c>
      <c r="J1217" s="3" t="s">
        <v>34</v>
      </c>
      <c r="K1217" s="20" t="s">
        <v>25</v>
      </c>
      <c r="L1217" s="39">
        <v>0</v>
      </c>
      <c r="M1217" s="39">
        <v>0</v>
      </c>
      <c r="N1217" s="39">
        <v>0</v>
      </c>
      <c r="O1217" s="39">
        <v>0</v>
      </c>
      <c r="P1217" s="39">
        <v>0</v>
      </c>
      <c r="Q1217" s="39">
        <v>0</v>
      </c>
      <c r="R1217" s="39">
        <v>0</v>
      </c>
      <c r="S1217" s="39">
        <v>0</v>
      </c>
      <c r="T1217" s="39">
        <v>0</v>
      </c>
      <c r="U1217" s="39">
        <v>0</v>
      </c>
      <c r="V1217" s="39">
        <v>96.6</v>
      </c>
      <c r="W1217" s="39">
        <v>0</v>
      </c>
      <c r="X1217" s="39">
        <v>0</v>
      </c>
      <c r="Y1217" s="39">
        <v>0</v>
      </c>
      <c r="Z1217" s="39">
        <v>0</v>
      </c>
      <c r="AA1217" s="39">
        <v>224.1</v>
      </c>
      <c r="AB1217" s="39">
        <v>0</v>
      </c>
      <c r="AC1217" s="39">
        <v>0</v>
      </c>
      <c r="AD1217" s="39">
        <v>133.65</v>
      </c>
      <c r="AE1217" s="39">
        <v>49.5</v>
      </c>
      <c r="AF1217" s="39">
        <v>0</v>
      </c>
      <c r="AG1217" s="39">
        <v>42.07</v>
      </c>
      <c r="AH1217" s="39"/>
      <c r="AI1217" s="39"/>
      <c r="AJ1217" s="40"/>
      <c r="AK1217" s="39">
        <f t="shared" si="95"/>
        <v>8.0499999999999989</v>
      </c>
      <c r="AL1217" s="39">
        <f t="shared" si="93"/>
        <v>45.493333333333339</v>
      </c>
      <c r="AM1217" s="39">
        <f t="shared" si="94"/>
        <v>37.536666666666669</v>
      </c>
      <c r="AN1217" s="39">
        <f t="shared" si="96"/>
        <v>44.932000000000002</v>
      </c>
      <c r="AO1217" s="39">
        <f t="shared" si="97"/>
        <v>449.32</v>
      </c>
    </row>
    <row r="1218" spans="1:41" x14ac:dyDescent="0.3">
      <c r="A1218" s="20">
        <v>1000184670</v>
      </c>
      <c r="B1218" s="4" t="s">
        <v>147</v>
      </c>
      <c r="C1218" s="21"/>
      <c r="D1218" s="3"/>
      <c r="E1218" s="20">
        <v>1000185288</v>
      </c>
      <c r="F1218" s="4" t="s">
        <v>64</v>
      </c>
      <c r="G1218" s="21">
        <v>1000189809</v>
      </c>
      <c r="H1218" s="3" t="s">
        <v>92</v>
      </c>
      <c r="I1218" s="21">
        <v>1000189270</v>
      </c>
      <c r="J1218" s="3" t="s">
        <v>34</v>
      </c>
      <c r="K1218" s="20" t="s">
        <v>124</v>
      </c>
      <c r="L1218" s="39">
        <v>0</v>
      </c>
      <c r="M1218" s="39">
        <v>0</v>
      </c>
      <c r="N1218" s="39">
        <v>0</v>
      </c>
      <c r="O1218" s="39">
        <v>0</v>
      </c>
      <c r="P1218" s="39">
        <v>0</v>
      </c>
      <c r="Q1218" s="39">
        <v>0</v>
      </c>
      <c r="R1218" s="39">
        <v>0</v>
      </c>
      <c r="S1218" s="39">
        <v>0</v>
      </c>
      <c r="T1218" s="39">
        <v>0</v>
      </c>
      <c r="U1218" s="39">
        <v>0</v>
      </c>
      <c r="V1218" s="39">
        <v>0</v>
      </c>
      <c r="W1218" s="39">
        <v>0</v>
      </c>
      <c r="X1218" s="39">
        <v>0</v>
      </c>
      <c r="Y1218" s="39">
        <v>0</v>
      </c>
      <c r="Z1218" s="39">
        <v>0</v>
      </c>
      <c r="AA1218" s="39">
        <v>0</v>
      </c>
      <c r="AB1218" s="39">
        <v>0</v>
      </c>
      <c r="AC1218" s="39">
        <v>0</v>
      </c>
      <c r="AD1218" s="39">
        <v>0</v>
      </c>
      <c r="AE1218" s="39">
        <v>0</v>
      </c>
      <c r="AF1218" s="39">
        <v>0</v>
      </c>
      <c r="AG1218" s="39">
        <v>0</v>
      </c>
      <c r="AH1218" s="39"/>
      <c r="AI1218" s="39"/>
      <c r="AJ1218" s="40"/>
      <c r="AK1218" s="39">
        <f t="shared" si="95"/>
        <v>0</v>
      </c>
      <c r="AL1218" s="39">
        <f t="shared" si="93"/>
        <v>0</v>
      </c>
      <c r="AM1218" s="39">
        <f t="shared" si="94"/>
        <v>0</v>
      </c>
      <c r="AN1218" s="39">
        <f t="shared" si="96"/>
        <v>0</v>
      </c>
      <c r="AO1218" s="39">
        <f t="shared" si="97"/>
        <v>0</v>
      </c>
    </row>
    <row r="1219" spans="1:41" x14ac:dyDescent="0.3">
      <c r="A1219" s="20">
        <v>1000184670</v>
      </c>
      <c r="B1219" s="4" t="s">
        <v>147</v>
      </c>
      <c r="C1219" s="21"/>
      <c r="D1219" s="3"/>
      <c r="E1219" s="20">
        <v>1000185288</v>
      </c>
      <c r="F1219" s="4" t="s">
        <v>64</v>
      </c>
      <c r="G1219" s="21">
        <v>1000189809</v>
      </c>
      <c r="H1219" s="3" t="s">
        <v>92</v>
      </c>
      <c r="I1219" s="21">
        <v>1000189270</v>
      </c>
      <c r="J1219" s="3" t="s">
        <v>34</v>
      </c>
      <c r="K1219" s="20" t="s">
        <v>13</v>
      </c>
      <c r="L1219" s="39">
        <v>0</v>
      </c>
      <c r="M1219" s="39">
        <v>263.33999999999997</v>
      </c>
      <c r="N1219" s="39">
        <v>1239.06</v>
      </c>
      <c r="O1219" s="39">
        <v>0</v>
      </c>
      <c r="P1219" s="39">
        <v>0</v>
      </c>
      <c r="Q1219" s="39">
        <v>0</v>
      </c>
      <c r="R1219" s="39">
        <v>0</v>
      </c>
      <c r="S1219" s="39">
        <v>393</v>
      </c>
      <c r="T1219" s="39">
        <v>0</v>
      </c>
      <c r="U1219" s="39">
        <v>296.45999999999998</v>
      </c>
      <c r="V1219" s="39">
        <v>0</v>
      </c>
      <c r="W1219" s="39">
        <v>0</v>
      </c>
      <c r="X1219" s="39">
        <v>0</v>
      </c>
      <c r="Y1219" s="39">
        <v>0</v>
      </c>
      <c r="Z1219" s="39">
        <v>1845</v>
      </c>
      <c r="AA1219" s="39">
        <v>0</v>
      </c>
      <c r="AB1219" s="39">
        <v>1036.8</v>
      </c>
      <c r="AC1219" s="39">
        <v>324.24</v>
      </c>
      <c r="AD1219" s="39">
        <v>0</v>
      </c>
      <c r="AE1219" s="39">
        <v>1449.3</v>
      </c>
      <c r="AF1219" s="39">
        <v>0</v>
      </c>
      <c r="AG1219" s="39">
        <v>0</v>
      </c>
      <c r="AH1219" s="39"/>
      <c r="AI1219" s="39"/>
      <c r="AJ1219" s="40"/>
      <c r="AK1219" s="39">
        <f t="shared" si="95"/>
        <v>182.65499999999997</v>
      </c>
      <c r="AL1219" s="39">
        <f t="shared" ref="AL1219:AL1282" si="98">AVERAGE(V1219:AG1219)</f>
        <v>387.94499999999999</v>
      </c>
      <c r="AM1219" s="39">
        <f t="shared" ref="AM1219:AM1282" si="99">AVERAGE(AB1219:AG1219)</f>
        <v>468.39000000000004</v>
      </c>
      <c r="AN1219" s="39">
        <f t="shared" si="96"/>
        <v>465.53399999999999</v>
      </c>
      <c r="AO1219" s="39">
        <f t="shared" si="97"/>
        <v>4655.34</v>
      </c>
    </row>
    <row r="1220" spans="1:41" x14ac:dyDescent="0.3">
      <c r="A1220" s="20">
        <v>1000184670</v>
      </c>
      <c r="B1220" s="4" t="s">
        <v>147</v>
      </c>
      <c r="C1220" s="21"/>
      <c r="D1220" s="3"/>
      <c r="E1220" s="20">
        <v>1000185288</v>
      </c>
      <c r="F1220" s="4" t="s">
        <v>64</v>
      </c>
      <c r="G1220" s="21">
        <v>1000189809</v>
      </c>
      <c r="H1220" s="3" t="s">
        <v>92</v>
      </c>
      <c r="I1220" s="21">
        <v>1000189270</v>
      </c>
      <c r="J1220" s="3" t="s">
        <v>34</v>
      </c>
      <c r="K1220" s="20" t="s">
        <v>14</v>
      </c>
      <c r="L1220" s="39">
        <v>0</v>
      </c>
      <c r="M1220" s="39">
        <v>0</v>
      </c>
      <c r="N1220" s="39">
        <v>0</v>
      </c>
      <c r="O1220" s="39">
        <v>0</v>
      </c>
      <c r="P1220" s="39">
        <v>0</v>
      </c>
      <c r="Q1220" s="39">
        <v>0</v>
      </c>
      <c r="R1220" s="39">
        <v>0</v>
      </c>
      <c r="S1220" s="39">
        <v>0</v>
      </c>
      <c r="T1220" s="39">
        <v>0</v>
      </c>
      <c r="U1220" s="39">
        <v>0</v>
      </c>
      <c r="V1220" s="39">
        <v>0</v>
      </c>
      <c r="W1220" s="39">
        <v>0</v>
      </c>
      <c r="X1220" s="39">
        <v>0</v>
      </c>
      <c r="Y1220" s="39">
        <v>0</v>
      </c>
      <c r="Z1220" s="39">
        <v>148.18</v>
      </c>
      <c r="AA1220" s="39">
        <v>300</v>
      </c>
      <c r="AB1220" s="39">
        <v>0</v>
      </c>
      <c r="AC1220" s="39">
        <v>73.5</v>
      </c>
      <c r="AD1220" s="39">
        <v>0</v>
      </c>
      <c r="AE1220" s="39">
        <v>588</v>
      </c>
      <c r="AF1220" s="39">
        <v>0</v>
      </c>
      <c r="AG1220" s="39">
        <v>0</v>
      </c>
      <c r="AH1220" s="39"/>
      <c r="AI1220" s="39"/>
      <c r="AJ1220" s="40"/>
      <c r="AK1220" s="39">
        <f t="shared" si="95"/>
        <v>0</v>
      </c>
      <c r="AL1220" s="39">
        <f t="shared" si="98"/>
        <v>92.473333333333343</v>
      </c>
      <c r="AM1220" s="39">
        <f t="shared" si="99"/>
        <v>110.25</v>
      </c>
      <c r="AN1220" s="39">
        <f t="shared" si="96"/>
        <v>110.968</v>
      </c>
      <c r="AO1220" s="39">
        <f t="shared" si="97"/>
        <v>1109.68</v>
      </c>
    </row>
    <row r="1221" spans="1:41" x14ac:dyDescent="0.3">
      <c r="A1221" s="20">
        <v>1000184670</v>
      </c>
      <c r="B1221" s="4" t="s">
        <v>147</v>
      </c>
      <c r="C1221" s="21"/>
      <c r="D1221" s="3"/>
      <c r="E1221" s="20">
        <v>1000185288</v>
      </c>
      <c r="F1221" s="4" t="s">
        <v>64</v>
      </c>
      <c r="G1221" s="21">
        <v>1000189809</v>
      </c>
      <c r="H1221" s="3" t="s">
        <v>92</v>
      </c>
      <c r="I1221" s="21">
        <v>1000189270</v>
      </c>
      <c r="J1221" s="3" t="s">
        <v>34</v>
      </c>
      <c r="K1221" s="20" t="s">
        <v>16</v>
      </c>
      <c r="L1221" s="39">
        <v>0</v>
      </c>
      <c r="M1221" s="39">
        <v>0</v>
      </c>
      <c r="N1221" s="39">
        <v>0</v>
      </c>
      <c r="O1221" s="39">
        <v>0</v>
      </c>
      <c r="P1221" s="39">
        <v>0</v>
      </c>
      <c r="Q1221" s="39">
        <v>0</v>
      </c>
      <c r="R1221" s="39">
        <v>0</v>
      </c>
      <c r="S1221" s="39">
        <v>0</v>
      </c>
      <c r="T1221" s="39">
        <v>0</v>
      </c>
      <c r="U1221" s="39">
        <v>0</v>
      </c>
      <c r="V1221" s="39">
        <v>0</v>
      </c>
      <c r="W1221" s="39">
        <v>0</v>
      </c>
      <c r="X1221" s="39">
        <v>0</v>
      </c>
      <c r="Y1221" s="39">
        <v>0</v>
      </c>
      <c r="Z1221" s="39">
        <v>0</v>
      </c>
      <c r="AA1221" s="39">
        <v>0</v>
      </c>
      <c r="AB1221" s="39">
        <v>19.63</v>
      </c>
      <c r="AC1221" s="39">
        <v>0</v>
      </c>
      <c r="AD1221" s="39">
        <v>22.28</v>
      </c>
      <c r="AE1221" s="39">
        <v>343.05</v>
      </c>
      <c r="AF1221" s="39">
        <v>0</v>
      </c>
      <c r="AG1221" s="39">
        <v>0</v>
      </c>
      <c r="AH1221" s="39"/>
      <c r="AI1221" s="39"/>
      <c r="AJ1221" s="40"/>
      <c r="AK1221" s="39">
        <f t="shared" si="95"/>
        <v>0</v>
      </c>
      <c r="AL1221" s="39">
        <f t="shared" si="98"/>
        <v>32.080000000000005</v>
      </c>
      <c r="AM1221" s="39">
        <f t="shared" si="99"/>
        <v>64.160000000000011</v>
      </c>
      <c r="AN1221" s="39">
        <f t="shared" si="96"/>
        <v>38.496000000000002</v>
      </c>
      <c r="AO1221" s="39">
        <f t="shared" si="97"/>
        <v>384.96000000000004</v>
      </c>
    </row>
    <row r="1222" spans="1:41" x14ac:dyDescent="0.3">
      <c r="A1222" s="20">
        <v>1000184670</v>
      </c>
      <c r="B1222" s="4" t="s">
        <v>147</v>
      </c>
      <c r="C1222" s="21"/>
      <c r="D1222" s="3"/>
      <c r="E1222" s="20">
        <v>1000185288</v>
      </c>
      <c r="F1222" s="4" t="s">
        <v>64</v>
      </c>
      <c r="G1222" s="21">
        <v>1000189809</v>
      </c>
      <c r="H1222" s="3" t="s">
        <v>92</v>
      </c>
      <c r="I1222" s="21">
        <v>1000189270</v>
      </c>
      <c r="J1222" s="3" t="s">
        <v>34</v>
      </c>
      <c r="K1222" s="20" t="s">
        <v>15</v>
      </c>
      <c r="L1222" s="39">
        <v>0</v>
      </c>
      <c r="M1222" s="39">
        <v>0</v>
      </c>
      <c r="N1222" s="39">
        <v>893.16</v>
      </c>
      <c r="O1222" s="39">
        <v>0</v>
      </c>
      <c r="P1222" s="39">
        <v>0</v>
      </c>
      <c r="Q1222" s="39">
        <v>286.2</v>
      </c>
      <c r="R1222" s="39">
        <v>0</v>
      </c>
      <c r="S1222" s="39">
        <v>1197.5999999999999</v>
      </c>
      <c r="T1222" s="39">
        <v>0</v>
      </c>
      <c r="U1222" s="39">
        <v>102.6</v>
      </c>
      <c r="V1222" s="39">
        <v>0</v>
      </c>
      <c r="W1222" s="39">
        <v>0</v>
      </c>
      <c r="X1222" s="39">
        <v>0</v>
      </c>
      <c r="Y1222" s="39">
        <v>0</v>
      </c>
      <c r="Z1222" s="39">
        <v>387.45</v>
      </c>
      <c r="AA1222" s="39">
        <v>0</v>
      </c>
      <c r="AB1222" s="39">
        <v>0</v>
      </c>
      <c r="AC1222" s="39">
        <v>66.819999999999993</v>
      </c>
      <c r="AD1222" s="39">
        <v>0</v>
      </c>
      <c r="AE1222" s="39">
        <v>37.799999999999997</v>
      </c>
      <c r="AF1222" s="39">
        <v>0</v>
      </c>
      <c r="AG1222" s="39">
        <v>0</v>
      </c>
      <c r="AH1222" s="39"/>
      <c r="AI1222" s="39"/>
      <c r="AJ1222" s="40"/>
      <c r="AK1222" s="39">
        <f t="shared" si="95"/>
        <v>206.63</v>
      </c>
      <c r="AL1222" s="39">
        <f t="shared" si="98"/>
        <v>41.005833333333335</v>
      </c>
      <c r="AM1222" s="39">
        <f t="shared" si="99"/>
        <v>17.436666666666664</v>
      </c>
      <c r="AN1222" s="39">
        <f t="shared" si="96"/>
        <v>49.207000000000001</v>
      </c>
      <c r="AO1222" s="39">
        <f t="shared" si="97"/>
        <v>492.07</v>
      </c>
    </row>
    <row r="1223" spans="1:41" x14ac:dyDescent="0.3">
      <c r="A1223" s="20">
        <v>1000184670</v>
      </c>
      <c r="B1223" s="4" t="s">
        <v>147</v>
      </c>
      <c r="C1223" s="21"/>
      <c r="D1223" s="3"/>
      <c r="E1223" s="20">
        <v>1000185288</v>
      </c>
      <c r="F1223" s="4" t="s">
        <v>64</v>
      </c>
      <c r="G1223" s="21">
        <v>1000189809</v>
      </c>
      <c r="H1223" s="3" t="s">
        <v>92</v>
      </c>
      <c r="I1223" s="21">
        <v>1000189270</v>
      </c>
      <c r="J1223" s="3" t="s">
        <v>34</v>
      </c>
      <c r="K1223" s="20" t="s">
        <v>33</v>
      </c>
      <c r="L1223" s="39">
        <v>0</v>
      </c>
      <c r="M1223" s="39">
        <v>0</v>
      </c>
      <c r="N1223" s="39">
        <v>0</v>
      </c>
      <c r="O1223" s="39">
        <v>0</v>
      </c>
      <c r="P1223" s="39">
        <v>0</v>
      </c>
      <c r="Q1223" s="39">
        <v>0</v>
      </c>
      <c r="R1223" s="39">
        <v>0</v>
      </c>
      <c r="S1223" s="39">
        <v>0</v>
      </c>
      <c r="T1223" s="39">
        <v>0</v>
      </c>
      <c r="U1223" s="39">
        <v>0</v>
      </c>
      <c r="V1223" s="39">
        <v>0</v>
      </c>
      <c r="W1223" s="39">
        <v>0</v>
      </c>
      <c r="X1223" s="39">
        <v>0</v>
      </c>
      <c r="Y1223" s="39">
        <v>0</v>
      </c>
      <c r="Z1223" s="39">
        <v>467.5</v>
      </c>
      <c r="AA1223" s="39">
        <v>0</v>
      </c>
      <c r="AB1223" s="39">
        <v>0</v>
      </c>
      <c r="AC1223" s="39">
        <v>0</v>
      </c>
      <c r="AD1223" s="39">
        <v>80</v>
      </c>
      <c r="AE1223" s="39">
        <v>0</v>
      </c>
      <c r="AF1223" s="39">
        <v>0</v>
      </c>
      <c r="AG1223" s="39">
        <v>80</v>
      </c>
      <c r="AH1223" s="39"/>
      <c r="AI1223" s="39"/>
      <c r="AJ1223" s="40"/>
      <c r="AK1223" s="39">
        <f t="shared" si="95"/>
        <v>0</v>
      </c>
      <c r="AL1223" s="39">
        <f t="shared" si="98"/>
        <v>52.291666666666664</v>
      </c>
      <c r="AM1223" s="39">
        <f t="shared" si="99"/>
        <v>26.666666666666668</v>
      </c>
      <c r="AN1223" s="39">
        <f t="shared" si="96"/>
        <v>62.75</v>
      </c>
      <c r="AO1223" s="39">
        <f t="shared" si="97"/>
        <v>627.5</v>
      </c>
    </row>
    <row r="1224" spans="1:41" x14ac:dyDescent="0.3">
      <c r="A1224" s="20">
        <v>1000184670</v>
      </c>
      <c r="B1224" s="4" t="s">
        <v>147</v>
      </c>
      <c r="C1224" s="21"/>
      <c r="D1224" s="3"/>
      <c r="E1224" s="20">
        <v>1000185288</v>
      </c>
      <c r="F1224" s="4" t="s">
        <v>64</v>
      </c>
      <c r="G1224" s="21">
        <v>1000189809</v>
      </c>
      <c r="H1224" s="3" t="s">
        <v>92</v>
      </c>
      <c r="I1224" s="21">
        <v>1000189270</v>
      </c>
      <c r="J1224" s="3" t="s">
        <v>34</v>
      </c>
      <c r="K1224" s="20" t="s">
        <v>19</v>
      </c>
      <c r="L1224" s="39">
        <v>0</v>
      </c>
      <c r="M1224" s="39">
        <v>0</v>
      </c>
      <c r="N1224" s="39">
        <v>2061.7199999999998</v>
      </c>
      <c r="O1224" s="39">
        <v>0</v>
      </c>
      <c r="P1224" s="39">
        <v>0</v>
      </c>
      <c r="Q1224" s="39">
        <v>356.4</v>
      </c>
      <c r="R1224" s="39">
        <v>0</v>
      </c>
      <c r="S1224" s="39">
        <v>109.2</v>
      </c>
      <c r="T1224" s="39">
        <v>0</v>
      </c>
      <c r="U1224" s="39">
        <v>0</v>
      </c>
      <c r="V1224" s="39">
        <v>0</v>
      </c>
      <c r="W1224" s="39">
        <v>0</v>
      </c>
      <c r="X1224" s="39">
        <v>0</v>
      </c>
      <c r="Y1224" s="39">
        <v>0</v>
      </c>
      <c r="Z1224" s="39">
        <v>108</v>
      </c>
      <c r="AA1224" s="39">
        <v>0</v>
      </c>
      <c r="AB1224" s="39">
        <v>0</v>
      </c>
      <c r="AC1224" s="39">
        <v>0</v>
      </c>
      <c r="AD1224" s="39">
        <v>0</v>
      </c>
      <c r="AE1224" s="39">
        <v>0</v>
      </c>
      <c r="AF1224" s="39">
        <v>0</v>
      </c>
      <c r="AG1224" s="39">
        <v>0</v>
      </c>
      <c r="AH1224" s="39"/>
      <c r="AI1224" s="39"/>
      <c r="AJ1224" s="40"/>
      <c r="AK1224" s="39">
        <f t="shared" si="95"/>
        <v>210.60999999999999</v>
      </c>
      <c r="AL1224" s="39">
        <f t="shared" si="98"/>
        <v>9</v>
      </c>
      <c r="AM1224" s="39">
        <f t="shared" si="99"/>
        <v>0</v>
      </c>
      <c r="AN1224" s="39">
        <f t="shared" si="96"/>
        <v>10.8</v>
      </c>
      <c r="AO1224" s="39">
        <f t="shared" si="97"/>
        <v>108</v>
      </c>
    </row>
    <row r="1225" spans="1:41" x14ac:dyDescent="0.3">
      <c r="A1225" s="20">
        <v>1000184670</v>
      </c>
      <c r="B1225" s="4" t="s">
        <v>147</v>
      </c>
      <c r="C1225" s="21"/>
      <c r="D1225" s="3"/>
      <c r="E1225" s="20">
        <v>1000185288</v>
      </c>
      <c r="F1225" s="4" t="s">
        <v>64</v>
      </c>
      <c r="G1225" s="21">
        <v>1000189809</v>
      </c>
      <c r="H1225" s="3" t="s">
        <v>92</v>
      </c>
      <c r="I1225" s="21">
        <v>1000189270</v>
      </c>
      <c r="J1225" s="3" t="s">
        <v>34</v>
      </c>
      <c r="K1225" s="20" t="s">
        <v>17</v>
      </c>
      <c r="L1225" s="39">
        <v>0</v>
      </c>
      <c r="M1225" s="39">
        <v>0</v>
      </c>
      <c r="N1225" s="39">
        <v>957</v>
      </c>
      <c r="O1225" s="39">
        <v>0</v>
      </c>
      <c r="P1225" s="39">
        <v>0</v>
      </c>
      <c r="Q1225" s="39">
        <v>240</v>
      </c>
      <c r="R1225" s="39">
        <v>0</v>
      </c>
      <c r="S1225" s="39">
        <v>367.8</v>
      </c>
      <c r="T1225" s="39">
        <v>0</v>
      </c>
      <c r="U1225" s="39">
        <v>241.8</v>
      </c>
      <c r="V1225" s="39">
        <v>0</v>
      </c>
      <c r="W1225" s="39">
        <v>0</v>
      </c>
      <c r="X1225" s="39">
        <v>0</v>
      </c>
      <c r="Y1225" s="39">
        <v>0</v>
      </c>
      <c r="Z1225" s="39">
        <v>31.68</v>
      </c>
      <c r="AA1225" s="39">
        <v>0</v>
      </c>
      <c r="AB1225" s="39">
        <v>0</v>
      </c>
      <c r="AC1225" s="39">
        <v>0</v>
      </c>
      <c r="AD1225" s="39">
        <v>0</v>
      </c>
      <c r="AE1225" s="39">
        <v>0</v>
      </c>
      <c r="AF1225" s="39">
        <v>0</v>
      </c>
      <c r="AG1225" s="39">
        <v>0</v>
      </c>
      <c r="AH1225" s="39"/>
      <c r="AI1225" s="39"/>
      <c r="AJ1225" s="40"/>
      <c r="AK1225" s="39">
        <f t="shared" si="95"/>
        <v>150.54999999999998</v>
      </c>
      <c r="AL1225" s="39">
        <f t="shared" si="98"/>
        <v>2.64</v>
      </c>
      <c r="AM1225" s="39">
        <f t="shared" si="99"/>
        <v>0</v>
      </c>
      <c r="AN1225" s="39">
        <f t="shared" si="96"/>
        <v>3.1680000000000001</v>
      </c>
      <c r="AO1225" s="39">
        <f t="shared" si="97"/>
        <v>31.68</v>
      </c>
    </row>
    <row r="1226" spans="1:41" x14ac:dyDescent="0.3">
      <c r="A1226" s="20">
        <v>1000184670</v>
      </c>
      <c r="B1226" s="4" t="s">
        <v>147</v>
      </c>
      <c r="C1226" s="21"/>
      <c r="D1226" s="3"/>
      <c r="E1226" s="20">
        <v>1000185288</v>
      </c>
      <c r="F1226" s="4" t="s">
        <v>64</v>
      </c>
      <c r="G1226" s="21">
        <v>1000189809</v>
      </c>
      <c r="H1226" s="3" t="s">
        <v>92</v>
      </c>
      <c r="I1226" s="21">
        <v>1000189270</v>
      </c>
      <c r="J1226" s="3" t="s">
        <v>34</v>
      </c>
      <c r="K1226" s="20" t="s">
        <v>24</v>
      </c>
      <c r="L1226" s="39">
        <v>0</v>
      </c>
      <c r="M1226" s="39">
        <v>0</v>
      </c>
      <c r="N1226" s="39">
        <v>259.02</v>
      </c>
      <c r="O1226" s="39">
        <v>0</v>
      </c>
      <c r="P1226" s="39">
        <v>0</v>
      </c>
      <c r="Q1226" s="39">
        <v>0</v>
      </c>
      <c r="R1226" s="39">
        <v>0</v>
      </c>
      <c r="S1226" s="39">
        <v>86.34</v>
      </c>
      <c r="T1226" s="39">
        <v>0</v>
      </c>
      <c r="U1226" s="39">
        <v>172.68</v>
      </c>
      <c r="V1226" s="39">
        <v>0</v>
      </c>
      <c r="W1226" s="39">
        <v>0</v>
      </c>
      <c r="X1226" s="39">
        <v>0</v>
      </c>
      <c r="Y1226" s="39">
        <v>0</v>
      </c>
      <c r="Z1226" s="39">
        <v>0</v>
      </c>
      <c r="AA1226" s="39">
        <v>0</v>
      </c>
      <c r="AB1226" s="39">
        <v>11.22</v>
      </c>
      <c r="AC1226" s="39">
        <v>0</v>
      </c>
      <c r="AD1226" s="39">
        <v>19.45</v>
      </c>
      <c r="AE1226" s="39">
        <v>87.95</v>
      </c>
      <c r="AF1226" s="39">
        <v>0</v>
      </c>
      <c r="AG1226" s="39">
        <v>54.46</v>
      </c>
      <c r="AH1226" s="39"/>
      <c r="AI1226" s="39"/>
      <c r="AJ1226" s="40"/>
      <c r="AK1226" s="39">
        <f t="shared" si="95"/>
        <v>43.169999999999995</v>
      </c>
      <c r="AL1226" s="39">
        <f t="shared" si="98"/>
        <v>14.423333333333334</v>
      </c>
      <c r="AM1226" s="39">
        <f t="shared" si="99"/>
        <v>28.846666666666668</v>
      </c>
      <c r="AN1226" s="39">
        <f t="shared" si="96"/>
        <v>17.308</v>
      </c>
      <c r="AO1226" s="39">
        <f t="shared" si="97"/>
        <v>173.08</v>
      </c>
    </row>
    <row r="1227" spans="1:41" x14ac:dyDescent="0.3">
      <c r="A1227" s="20">
        <v>1000184670</v>
      </c>
      <c r="B1227" s="4" t="s">
        <v>147</v>
      </c>
      <c r="C1227" s="21"/>
      <c r="D1227" s="3"/>
      <c r="E1227" s="20">
        <v>1000185288</v>
      </c>
      <c r="F1227" s="4" t="s">
        <v>64</v>
      </c>
      <c r="G1227" s="21">
        <v>1000189809</v>
      </c>
      <c r="H1227" s="3" t="s">
        <v>92</v>
      </c>
      <c r="I1227" s="21">
        <v>1000189270</v>
      </c>
      <c r="J1227" s="3" t="s">
        <v>34</v>
      </c>
      <c r="K1227" s="20" t="s">
        <v>18</v>
      </c>
      <c r="L1227" s="39">
        <v>0</v>
      </c>
      <c r="M1227" s="39">
        <v>263.33999999999997</v>
      </c>
      <c r="N1227" s="39">
        <v>433.2</v>
      </c>
      <c r="O1227" s="39">
        <v>0</v>
      </c>
      <c r="P1227" s="39">
        <v>0</v>
      </c>
      <c r="Q1227" s="39">
        <v>0</v>
      </c>
      <c r="R1227" s="39">
        <v>0</v>
      </c>
      <c r="S1227" s="39">
        <v>355.2</v>
      </c>
      <c r="T1227" s="39">
        <v>0</v>
      </c>
      <c r="U1227" s="39">
        <v>0</v>
      </c>
      <c r="V1227" s="39">
        <v>0</v>
      </c>
      <c r="W1227" s="39">
        <v>0</v>
      </c>
      <c r="X1227" s="39">
        <v>0</v>
      </c>
      <c r="Y1227" s="39">
        <v>0</v>
      </c>
      <c r="Z1227" s="39">
        <v>0</v>
      </c>
      <c r="AA1227" s="39">
        <v>0</v>
      </c>
      <c r="AB1227" s="39">
        <v>0</v>
      </c>
      <c r="AC1227" s="39">
        <v>0</v>
      </c>
      <c r="AD1227" s="39">
        <v>20</v>
      </c>
      <c r="AE1227" s="39">
        <v>0</v>
      </c>
      <c r="AF1227" s="39">
        <v>0</v>
      </c>
      <c r="AG1227" s="39">
        <v>0</v>
      </c>
      <c r="AH1227" s="39"/>
      <c r="AI1227" s="39"/>
      <c r="AJ1227" s="40"/>
      <c r="AK1227" s="39">
        <f t="shared" si="95"/>
        <v>87.644999999999996</v>
      </c>
      <c r="AL1227" s="39">
        <f t="shared" si="98"/>
        <v>1.6666666666666667</v>
      </c>
      <c r="AM1227" s="39">
        <f t="shared" si="99"/>
        <v>3.3333333333333335</v>
      </c>
      <c r="AN1227" s="39">
        <f t="shared" si="96"/>
        <v>2</v>
      </c>
      <c r="AO1227" s="39">
        <f t="shared" si="97"/>
        <v>20</v>
      </c>
    </row>
    <row r="1228" spans="1:41" x14ac:dyDescent="0.3">
      <c r="A1228" s="20">
        <v>1000184670</v>
      </c>
      <c r="B1228" s="4" t="s">
        <v>147</v>
      </c>
      <c r="C1228" s="21"/>
      <c r="D1228" s="3"/>
      <c r="E1228" s="20">
        <v>1000185288</v>
      </c>
      <c r="F1228" s="4" t="s">
        <v>64</v>
      </c>
      <c r="G1228" s="21">
        <v>1000189809</v>
      </c>
      <c r="H1228" s="3" t="s">
        <v>92</v>
      </c>
      <c r="I1228" s="21">
        <v>1000189270</v>
      </c>
      <c r="J1228" s="3" t="s">
        <v>34</v>
      </c>
      <c r="K1228" s="20" t="s">
        <v>29</v>
      </c>
      <c r="L1228" s="39">
        <v>0</v>
      </c>
      <c r="M1228" s="39">
        <v>0</v>
      </c>
      <c r="N1228" s="39">
        <v>0</v>
      </c>
      <c r="O1228" s="39">
        <v>0</v>
      </c>
      <c r="P1228" s="39">
        <v>0</v>
      </c>
      <c r="Q1228" s="39">
        <v>0</v>
      </c>
      <c r="R1228" s="39">
        <v>0</v>
      </c>
      <c r="S1228" s="39">
        <v>0</v>
      </c>
      <c r="T1228" s="39">
        <v>0</v>
      </c>
      <c r="U1228" s="39">
        <v>0</v>
      </c>
      <c r="V1228" s="39">
        <v>0</v>
      </c>
      <c r="W1228" s="39">
        <v>0</v>
      </c>
      <c r="X1228" s="39">
        <v>0</v>
      </c>
      <c r="Y1228" s="39">
        <v>0</v>
      </c>
      <c r="Z1228" s="39">
        <v>0</v>
      </c>
      <c r="AA1228" s="39">
        <v>238.05</v>
      </c>
      <c r="AB1228" s="39">
        <v>144.9</v>
      </c>
      <c r="AC1228" s="39">
        <v>0</v>
      </c>
      <c r="AD1228" s="39">
        <v>763.5</v>
      </c>
      <c r="AE1228" s="39">
        <v>1879.15</v>
      </c>
      <c r="AF1228" s="39">
        <v>0</v>
      </c>
      <c r="AG1228" s="39">
        <v>405.6</v>
      </c>
      <c r="AH1228" s="39"/>
      <c r="AI1228" s="39"/>
      <c r="AJ1228" s="40"/>
      <c r="AK1228" s="39">
        <f t="shared" si="95"/>
        <v>0</v>
      </c>
      <c r="AL1228" s="39">
        <f t="shared" si="98"/>
        <v>285.93333333333334</v>
      </c>
      <c r="AM1228" s="39">
        <f t="shared" si="99"/>
        <v>532.19166666666672</v>
      </c>
      <c r="AN1228" s="39">
        <f t="shared" si="96"/>
        <v>343.12</v>
      </c>
      <c r="AO1228" s="39">
        <f t="shared" si="97"/>
        <v>3431.2000000000003</v>
      </c>
    </row>
    <row r="1229" spans="1:41" x14ac:dyDescent="0.3">
      <c r="A1229" s="20">
        <v>1000184670</v>
      </c>
      <c r="B1229" s="4" t="s">
        <v>147</v>
      </c>
      <c r="C1229" s="21"/>
      <c r="D1229" s="3"/>
      <c r="E1229" s="20">
        <v>1000185288</v>
      </c>
      <c r="F1229" s="4" t="s">
        <v>64</v>
      </c>
      <c r="G1229" s="21">
        <v>1000189809</v>
      </c>
      <c r="H1229" s="3" t="s">
        <v>92</v>
      </c>
      <c r="I1229" s="21">
        <v>1000189270</v>
      </c>
      <c r="J1229" s="3" t="s">
        <v>34</v>
      </c>
      <c r="K1229" s="20" t="s">
        <v>21</v>
      </c>
      <c r="L1229" s="39">
        <v>0</v>
      </c>
      <c r="M1229" s="39">
        <v>0</v>
      </c>
      <c r="N1229" s="39">
        <v>0</v>
      </c>
      <c r="O1229" s="39">
        <v>0</v>
      </c>
      <c r="P1229" s="39">
        <v>0</v>
      </c>
      <c r="Q1229" s="39">
        <v>0</v>
      </c>
      <c r="R1229" s="39">
        <v>0</v>
      </c>
      <c r="S1229" s="39">
        <v>0</v>
      </c>
      <c r="T1229" s="39">
        <v>0</v>
      </c>
      <c r="U1229" s="39">
        <v>0</v>
      </c>
      <c r="V1229" s="39">
        <v>0</v>
      </c>
      <c r="W1229" s="39">
        <v>0</v>
      </c>
      <c r="X1229" s="39">
        <v>0</v>
      </c>
      <c r="Y1229" s="39">
        <v>0</v>
      </c>
      <c r="Z1229" s="39">
        <v>0</v>
      </c>
      <c r="AA1229" s="39">
        <v>0</v>
      </c>
      <c r="AB1229" s="39">
        <v>0</v>
      </c>
      <c r="AC1229" s="39">
        <v>66.97</v>
      </c>
      <c r="AD1229" s="39">
        <v>0</v>
      </c>
      <c r="AE1229" s="39">
        <v>96.02</v>
      </c>
      <c r="AF1229" s="39">
        <v>0</v>
      </c>
      <c r="AG1229" s="39">
        <v>0</v>
      </c>
      <c r="AH1229" s="39"/>
      <c r="AI1229" s="39"/>
      <c r="AJ1229" s="40"/>
      <c r="AK1229" s="39">
        <f t="shared" si="95"/>
        <v>0</v>
      </c>
      <c r="AL1229" s="39">
        <f t="shared" si="98"/>
        <v>13.582500000000001</v>
      </c>
      <c r="AM1229" s="39">
        <f t="shared" si="99"/>
        <v>27.165000000000003</v>
      </c>
      <c r="AN1229" s="39">
        <f t="shared" si="96"/>
        <v>16.298999999999999</v>
      </c>
      <c r="AO1229" s="39">
        <f t="shared" si="97"/>
        <v>162.99</v>
      </c>
    </row>
    <row r="1230" spans="1:41" x14ac:dyDescent="0.3">
      <c r="A1230" s="20">
        <v>1000184670</v>
      </c>
      <c r="B1230" s="4" t="s">
        <v>147</v>
      </c>
      <c r="C1230" s="21"/>
      <c r="D1230" s="3"/>
      <c r="E1230" s="20">
        <v>1000185288</v>
      </c>
      <c r="F1230" s="4" t="s">
        <v>64</v>
      </c>
      <c r="G1230" s="21">
        <v>1000189809</v>
      </c>
      <c r="H1230" s="3" t="s">
        <v>92</v>
      </c>
      <c r="I1230" s="21">
        <v>1000189270</v>
      </c>
      <c r="J1230" s="3" t="s">
        <v>34</v>
      </c>
      <c r="K1230" s="20" t="s">
        <v>20</v>
      </c>
      <c r="L1230" s="39">
        <v>0</v>
      </c>
      <c r="M1230" s="39">
        <v>0</v>
      </c>
      <c r="N1230" s="39">
        <v>1381.98</v>
      </c>
      <c r="O1230" s="39">
        <v>0</v>
      </c>
      <c r="P1230" s="39">
        <v>0</v>
      </c>
      <c r="Q1230" s="39">
        <v>311.39999999999998</v>
      </c>
      <c r="R1230" s="39">
        <v>0</v>
      </c>
      <c r="S1230" s="39">
        <v>486.36</v>
      </c>
      <c r="T1230" s="39">
        <v>0</v>
      </c>
      <c r="U1230" s="39">
        <v>0</v>
      </c>
      <c r="V1230" s="39">
        <v>0</v>
      </c>
      <c r="W1230" s="39">
        <v>0</v>
      </c>
      <c r="X1230" s="39">
        <v>0</v>
      </c>
      <c r="Y1230" s="39">
        <v>0</v>
      </c>
      <c r="Z1230" s="39">
        <v>4243.7</v>
      </c>
      <c r="AA1230" s="39">
        <v>21.52</v>
      </c>
      <c r="AB1230" s="39">
        <v>173.34</v>
      </c>
      <c r="AC1230" s="39">
        <v>0</v>
      </c>
      <c r="AD1230" s="39">
        <v>0</v>
      </c>
      <c r="AE1230" s="39">
        <v>171.67</v>
      </c>
      <c r="AF1230" s="39">
        <v>0</v>
      </c>
      <c r="AG1230" s="39">
        <v>0</v>
      </c>
      <c r="AH1230" s="39"/>
      <c r="AI1230" s="39"/>
      <c r="AJ1230" s="40"/>
      <c r="AK1230" s="39">
        <f t="shared" si="95"/>
        <v>181.64500000000001</v>
      </c>
      <c r="AL1230" s="39">
        <f t="shared" si="98"/>
        <v>384.18583333333339</v>
      </c>
      <c r="AM1230" s="39">
        <f t="shared" si="99"/>
        <v>57.501666666666665</v>
      </c>
      <c r="AN1230" s="39">
        <f t="shared" si="96"/>
        <v>461.02300000000002</v>
      </c>
      <c r="AO1230" s="39">
        <f t="shared" si="97"/>
        <v>4610.2300000000005</v>
      </c>
    </row>
    <row r="1231" spans="1:41" x14ac:dyDescent="0.3">
      <c r="A1231" s="20">
        <v>1000184670</v>
      </c>
      <c r="B1231" s="4" t="s">
        <v>147</v>
      </c>
      <c r="C1231" s="21"/>
      <c r="D1231" s="3"/>
      <c r="E1231" s="20">
        <v>1000185288</v>
      </c>
      <c r="F1231" s="4" t="s">
        <v>64</v>
      </c>
      <c r="G1231" s="21">
        <v>1000189809</v>
      </c>
      <c r="H1231" s="3" t="s">
        <v>92</v>
      </c>
      <c r="I1231" s="21">
        <v>1000189270</v>
      </c>
      <c r="J1231" s="3" t="s">
        <v>34</v>
      </c>
      <c r="K1231" s="20" t="s">
        <v>22</v>
      </c>
      <c r="L1231" s="39">
        <v>0</v>
      </c>
      <c r="M1231" s="39">
        <v>0</v>
      </c>
      <c r="N1231" s="39">
        <v>1425.6</v>
      </c>
      <c r="O1231" s="39">
        <v>0</v>
      </c>
      <c r="P1231" s="39">
        <v>0</v>
      </c>
      <c r="Q1231" s="39">
        <v>0</v>
      </c>
      <c r="R1231" s="39">
        <v>0</v>
      </c>
      <c r="S1231" s="39">
        <v>879.6</v>
      </c>
      <c r="T1231" s="39">
        <v>0</v>
      </c>
      <c r="U1231" s="39">
        <v>0</v>
      </c>
      <c r="V1231" s="39">
        <v>0</v>
      </c>
      <c r="W1231" s="39">
        <v>0</v>
      </c>
      <c r="X1231" s="39">
        <v>0</v>
      </c>
      <c r="Y1231" s="39">
        <v>0</v>
      </c>
      <c r="Z1231" s="39">
        <v>156.93</v>
      </c>
      <c r="AA1231" s="39">
        <v>0</v>
      </c>
      <c r="AB1231" s="39">
        <v>485.02</v>
      </c>
      <c r="AC1231" s="39">
        <v>0</v>
      </c>
      <c r="AD1231" s="39">
        <v>0</v>
      </c>
      <c r="AE1231" s="39">
        <v>56</v>
      </c>
      <c r="AF1231" s="39">
        <v>0</v>
      </c>
      <c r="AG1231" s="39">
        <v>0</v>
      </c>
      <c r="AH1231" s="39"/>
      <c r="AI1231" s="39"/>
      <c r="AJ1231" s="40"/>
      <c r="AK1231" s="39">
        <f t="shared" si="95"/>
        <v>192.1</v>
      </c>
      <c r="AL1231" s="39">
        <f t="shared" si="98"/>
        <v>58.162500000000001</v>
      </c>
      <c r="AM1231" s="39">
        <f t="shared" si="99"/>
        <v>90.17</v>
      </c>
      <c r="AN1231" s="39">
        <f t="shared" si="96"/>
        <v>69.795000000000002</v>
      </c>
      <c r="AO1231" s="39">
        <f t="shared" si="97"/>
        <v>697.95</v>
      </c>
    </row>
    <row r="1232" spans="1:41" x14ac:dyDescent="0.3">
      <c r="A1232" s="20">
        <v>1000184670</v>
      </c>
      <c r="B1232" s="4" t="s">
        <v>147</v>
      </c>
      <c r="C1232" s="21"/>
      <c r="D1232" s="3"/>
      <c r="E1232" s="20">
        <v>1000185288</v>
      </c>
      <c r="F1232" s="4" t="s">
        <v>64</v>
      </c>
      <c r="G1232" s="21">
        <v>1000189809</v>
      </c>
      <c r="H1232" s="3" t="s">
        <v>92</v>
      </c>
      <c r="I1232" s="21">
        <v>1000189270</v>
      </c>
      <c r="J1232" s="3" t="s">
        <v>34</v>
      </c>
      <c r="K1232" s="20" t="s">
        <v>23</v>
      </c>
      <c r="L1232" s="39">
        <v>0</v>
      </c>
      <c r="M1232" s="39">
        <v>0</v>
      </c>
      <c r="N1232" s="39">
        <v>0</v>
      </c>
      <c r="O1232" s="39">
        <v>0</v>
      </c>
      <c r="P1232" s="39">
        <v>0</v>
      </c>
      <c r="Q1232" s="39">
        <v>0</v>
      </c>
      <c r="R1232" s="39">
        <v>0</v>
      </c>
      <c r="S1232" s="39">
        <v>0</v>
      </c>
      <c r="T1232" s="39">
        <v>0</v>
      </c>
      <c r="U1232" s="39">
        <v>0</v>
      </c>
      <c r="V1232" s="39">
        <v>0</v>
      </c>
      <c r="W1232" s="39">
        <v>0</v>
      </c>
      <c r="X1232" s="39">
        <v>0</v>
      </c>
      <c r="Y1232" s="39">
        <v>0</v>
      </c>
      <c r="Z1232" s="39">
        <v>394.8</v>
      </c>
      <c r="AA1232" s="39">
        <v>0</v>
      </c>
      <c r="AB1232" s="39">
        <v>22.51</v>
      </c>
      <c r="AC1232" s="39">
        <v>0</v>
      </c>
      <c r="AD1232" s="39">
        <v>0</v>
      </c>
      <c r="AE1232" s="39">
        <v>0</v>
      </c>
      <c r="AF1232" s="39">
        <v>0</v>
      </c>
      <c r="AG1232" s="39">
        <v>0</v>
      </c>
      <c r="AH1232" s="39"/>
      <c r="AI1232" s="39"/>
      <c r="AJ1232" s="40"/>
      <c r="AK1232" s="39">
        <f t="shared" si="95"/>
        <v>0</v>
      </c>
      <c r="AL1232" s="39">
        <f t="shared" si="98"/>
        <v>34.775833333333331</v>
      </c>
      <c r="AM1232" s="39">
        <f t="shared" si="99"/>
        <v>3.7516666666666669</v>
      </c>
      <c r="AN1232" s="39">
        <f t="shared" si="96"/>
        <v>41.731000000000002</v>
      </c>
      <c r="AO1232" s="39">
        <f t="shared" si="97"/>
        <v>417.31</v>
      </c>
    </row>
    <row r="1233" spans="1:41" x14ac:dyDescent="0.3">
      <c r="A1233" s="20">
        <v>1000184670</v>
      </c>
      <c r="B1233" s="4" t="s">
        <v>147</v>
      </c>
      <c r="C1233" s="21"/>
      <c r="D1233" s="3"/>
      <c r="E1233" s="20">
        <v>1000185288</v>
      </c>
      <c r="F1233" s="4" t="s">
        <v>64</v>
      </c>
      <c r="G1233" s="21">
        <v>1000189809</v>
      </c>
      <c r="H1233" s="3" t="s">
        <v>92</v>
      </c>
      <c r="I1233" s="21">
        <v>1000189270</v>
      </c>
      <c r="J1233" s="3" t="s">
        <v>34</v>
      </c>
      <c r="K1233" s="20" t="s">
        <v>28</v>
      </c>
      <c r="L1233" s="39">
        <v>0</v>
      </c>
      <c r="M1233" s="39">
        <v>0</v>
      </c>
      <c r="N1233" s="39">
        <v>217.44</v>
      </c>
      <c r="O1233" s="39">
        <v>0</v>
      </c>
      <c r="P1233" s="39">
        <v>0</v>
      </c>
      <c r="Q1233" s="39">
        <v>0</v>
      </c>
      <c r="R1233" s="39">
        <v>0</v>
      </c>
      <c r="S1233" s="39">
        <v>0</v>
      </c>
      <c r="T1233" s="39">
        <v>0</v>
      </c>
      <c r="U1233" s="39">
        <v>0</v>
      </c>
      <c r="V1233" s="39">
        <v>0</v>
      </c>
      <c r="W1233" s="39">
        <v>0</v>
      </c>
      <c r="X1233" s="39">
        <v>0</v>
      </c>
      <c r="Y1233" s="39">
        <v>0</v>
      </c>
      <c r="Z1233" s="39">
        <v>0</v>
      </c>
      <c r="AA1233" s="39">
        <v>0</v>
      </c>
      <c r="AB1233" s="39">
        <v>0</v>
      </c>
      <c r="AC1233" s="39">
        <v>0</v>
      </c>
      <c r="AD1233" s="39">
        <v>0</v>
      </c>
      <c r="AE1233" s="39">
        <v>0</v>
      </c>
      <c r="AF1233" s="39">
        <v>0</v>
      </c>
      <c r="AG1233" s="39">
        <v>0</v>
      </c>
      <c r="AH1233" s="39"/>
      <c r="AI1233" s="39"/>
      <c r="AJ1233" s="40"/>
      <c r="AK1233" s="39">
        <f t="shared" si="95"/>
        <v>18.12</v>
      </c>
      <c r="AL1233" s="39">
        <f t="shared" si="98"/>
        <v>0</v>
      </c>
      <c r="AM1233" s="39">
        <f t="shared" si="99"/>
        <v>0</v>
      </c>
      <c r="AN1233" s="39">
        <f t="shared" si="96"/>
        <v>0</v>
      </c>
      <c r="AO1233" s="39">
        <f t="shared" si="97"/>
        <v>0</v>
      </c>
    </row>
    <row r="1234" spans="1:41" x14ac:dyDescent="0.3">
      <c r="A1234" s="20">
        <v>1000184670</v>
      </c>
      <c r="B1234" s="4" t="s">
        <v>147</v>
      </c>
      <c r="C1234" s="21"/>
      <c r="D1234" s="3"/>
      <c r="E1234" s="20">
        <v>1000185288</v>
      </c>
      <c r="F1234" s="4" t="s">
        <v>64</v>
      </c>
      <c r="G1234" s="21">
        <v>1000189809</v>
      </c>
      <c r="H1234" s="3" t="s">
        <v>92</v>
      </c>
      <c r="I1234" s="21">
        <v>1000189270</v>
      </c>
      <c r="J1234" s="3" t="s">
        <v>34</v>
      </c>
      <c r="K1234" s="20" t="s">
        <v>26</v>
      </c>
      <c r="L1234" s="39">
        <v>0</v>
      </c>
      <c r="M1234" s="39">
        <v>0</v>
      </c>
      <c r="N1234" s="39">
        <v>0</v>
      </c>
      <c r="O1234" s="39">
        <v>0</v>
      </c>
      <c r="P1234" s="39">
        <v>0</v>
      </c>
      <c r="Q1234" s="39">
        <v>0</v>
      </c>
      <c r="R1234" s="39">
        <v>0</v>
      </c>
      <c r="S1234" s="39">
        <v>0</v>
      </c>
      <c r="T1234" s="39">
        <v>0</v>
      </c>
      <c r="U1234" s="39">
        <v>0</v>
      </c>
      <c r="V1234" s="39">
        <v>950.01</v>
      </c>
      <c r="W1234" s="39">
        <v>0</v>
      </c>
      <c r="X1234" s="39">
        <v>0</v>
      </c>
      <c r="Y1234" s="39">
        <v>0</v>
      </c>
      <c r="Z1234" s="39">
        <v>0</v>
      </c>
      <c r="AA1234" s="39">
        <v>0</v>
      </c>
      <c r="AB1234" s="39">
        <v>0</v>
      </c>
      <c r="AC1234" s="39">
        <v>0</v>
      </c>
      <c r="AD1234" s="39">
        <v>306.60000000000002</v>
      </c>
      <c r="AE1234" s="39">
        <v>0</v>
      </c>
      <c r="AF1234" s="39">
        <v>0</v>
      </c>
      <c r="AG1234" s="39">
        <v>0</v>
      </c>
      <c r="AH1234" s="39"/>
      <c r="AI1234" s="39"/>
      <c r="AJ1234" s="40"/>
      <c r="AK1234" s="39">
        <f t="shared" si="95"/>
        <v>79.167500000000004</v>
      </c>
      <c r="AL1234" s="39">
        <f t="shared" si="98"/>
        <v>104.71750000000002</v>
      </c>
      <c r="AM1234" s="39">
        <f t="shared" si="99"/>
        <v>51.1</v>
      </c>
      <c r="AN1234" s="39">
        <f t="shared" si="96"/>
        <v>30.660000000000004</v>
      </c>
      <c r="AO1234" s="39">
        <f t="shared" si="97"/>
        <v>306.60000000000002</v>
      </c>
    </row>
    <row r="1235" spans="1:41" x14ac:dyDescent="0.3">
      <c r="A1235" s="20">
        <v>1000184670</v>
      </c>
      <c r="B1235" s="4" t="s">
        <v>147</v>
      </c>
      <c r="C1235" s="21"/>
      <c r="D1235" s="3"/>
      <c r="E1235" s="20">
        <v>1000185288</v>
      </c>
      <c r="F1235" s="4" t="s">
        <v>64</v>
      </c>
      <c r="G1235" s="21">
        <v>1000189809</v>
      </c>
      <c r="H1235" s="3" t="s">
        <v>92</v>
      </c>
      <c r="I1235" s="21">
        <v>1000189270</v>
      </c>
      <c r="J1235" s="3" t="s">
        <v>34</v>
      </c>
      <c r="K1235" s="20" t="s">
        <v>27</v>
      </c>
      <c r="L1235" s="39">
        <v>0</v>
      </c>
      <c r="M1235" s="39">
        <v>0</v>
      </c>
      <c r="N1235" s="39">
        <v>0</v>
      </c>
      <c r="O1235" s="39">
        <v>0</v>
      </c>
      <c r="P1235" s="39">
        <v>0</v>
      </c>
      <c r="Q1235" s="39">
        <v>0</v>
      </c>
      <c r="R1235" s="39">
        <v>0</v>
      </c>
      <c r="S1235" s="39">
        <v>0</v>
      </c>
      <c r="T1235" s="39">
        <v>0</v>
      </c>
      <c r="U1235" s="39">
        <v>0</v>
      </c>
      <c r="V1235" s="39">
        <v>0</v>
      </c>
      <c r="W1235" s="39">
        <v>0</v>
      </c>
      <c r="X1235" s="39">
        <v>0</v>
      </c>
      <c r="Y1235" s="39">
        <v>0</v>
      </c>
      <c r="Z1235" s="39">
        <v>0</v>
      </c>
      <c r="AA1235" s="39">
        <v>0</v>
      </c>
      <c r="AB1235" s="39">
        <v>0</v>
      </c>
      <c r="AC1235" s="39">
        <v>0</v>
      </c>
      <c r="AD1235" s="39">
        <v>40.799999999999997</v>
      </c>
      <c r="AE1235" s="39">
        <v>0</v>
      </c>
      <c r="AF1235" s="39">
        <v>0</v>
      </c>
      <c r="AG1235" s="39">
        <v>0</v>
      </c>
      <c r="AH1235" s="39"/>
      <c r="AI1235" s="39"/>
      <c r="AJ1235" s="40"/>
      <c r="AK1235" s="39">
        <f t="shared" si="95"/>
        <v>0</v>
      </c>
      <c r="AL1235" s="39">
        <f t="shared" si="98"/>
        <v>3.4</v>
      </c>
      <c r="AM1235" s="39">
        <f t="shared" si="99"/>
        <v>6.8</v>
      </c>
      <c r="AN1235" s="39">
        <f t="shared" si="96"/>
        <v>4.08</v>
      </c>
      <c r="AO1235" s="39">
        <f t="shared" si="97"/>
        <v>40.799999999999997</v>
      </c>
    </row>
    <row r="1236" spans="1:41" x14ac:dyDescent="0.3">
      <c r="A1236" s="20">
        <v>1000184670</v>
      </c>
      <c r="B1236" s="4" t="s">
        <v>147</v>
      </c>
      <c r="C1236" s="21"/>
      <c r="D1236" s="3"/>
      <c r="E1236" s="20">
        <v>1000185288</v>
      </c>
      <c r="F1236" s="4" t="s">
        <v>64</v>
      </c>
      <c r="G1236" s="21">
        <v>1000189809</v>
      </c>
      <c r="H1236" s="3" t="s">
        <v>92</v>
      </c>
      <c r="I1236" s="21">
        <v>1000189270</v>
      </c>
      <c r="J1236" s="3" t="s">
        <v>34</v>
      </c>
      <c r="K1236" s="20" t="s">
        <v>25</v>
      </c>
      <c r="L1236" s="39">
        <v>0</v>
      </c>
      <c r="M1236" s="39">
        <v>150.47999999999999</v>
      </c>
      <c r="N1236" s="39">
        <v>0</v>
      </c>
      <c r="O1236" s="39">
        <v>0</v>
      </c>
      <c r="P1236" s="39">
        <v>0</v>
      </c>
      <c r="Q1236" s="39">
        <v>0</v>
      </c>
      <c r="R1236" s="39">
        <v>0</v>
      </c>
      <c r="S1236" s="39">
        <v>0</v>
      </c>
      <c r="T1236" s="39">
        <v>0</v>
      </c>
      <c r="U1236" s="39">
        <v>0</v>
      </c>
      <c r="V1236" s="39">
        <v>0</v>
      </c>
      <c r="W1236" s="39">
        <v>0</v>
      </c>
      <c r="X1236" s="39">
        <v>0</v>
      </c>
      <c r="Y1236" s="39">
        <v>0</v>
      </c>
      <c r="Z1236" s="39">
        <v>0</v>
      </c>
      <c r="AA1236" s="39">
        <v>84.6</v>
      </c>
      <c r="AB1236" s="39">
        <v>42.75</v>
      </c>
      <c r="AC1236" s="39">
        <v>128.25</v>
      </c>
      <c r="AD1236" s="39">
        <v>99</v>
      </c>
      <c r="AE1236" s="39">
        <v>0</v>
      </c>
      <c r="AF1236" s="39">
        <v>0</v>
      </c>
      <c r="AG1236" s="39">
        <v>99</v>
      </c>
      <c r="AH1236" s="39"/>
      <c r="AI1236" s="39"/>
      <c r="AJ1236" s="40"/>
      <c r="AK1236" s="39">
        <f t="shared" si="95"/>
        <v>12.54</v>
      </c>
      <c r="AL1236" s="39">
        <f t="shared" si="98"/>
        <v>37.800000000000004</v>
      </c>
      <c r="AM1236" s="39">
        <f t="shared" si="99"/>
        <v>61.5</v>
      </c>
      <c r="AN1236" s="39">
        <f t="shared" si="96"/>
        <v>45.36</v>
      </c>
      <c r="AO1236" s="39">
        <f t="shared" si="97"/>
        <v>453.6</v>
      </c>
    </row>
    <row r="1237" spans="1:41" x14ac:dyDescent="0.3">
      <c r="A1237" s="20">
        <v>1000184670</v>
      </c>
      <c r="B1237" s="4" t="s">
        <v>147</v>
      </c>
      <c r="C1237" s="21"/>
      <c r="D1237" s="3"/>
      <c r="E1237" s="20">
        <v>1000185288</v>
      </c>
      <c r="F1237" s="4" t="s">
        <v>64</v>
      </c>
      <c r="G1237" s="21">
        <v>1000189810</v>
      </c>
      <c r="H1237" s="3" t="s">
        <v>96</v>
      </c>
      <c r="I1237" s="21">
        <v>1000189270</v>
      </c>
      <c r="J1237" s="3" t="s">
        <v>34</v>
      </c>
      <c r="K1237" s="20" t="s">
        <v>124</v>
      </c>
      <c r="L1237" s="39">
        <v>0</v>
      </c>
      <c r="M1237" s="39">
        <v>0</v>
      </c>
      <c r="N1237" s="39">
        <v>0</v>
      </c>
      <c r="O1237" s="39">
        <v>0</v>
      </c>
      <c r="P1237" s="39">
        <v>0</v>
      </c>
      <c r="Q1237" s="39">
        <v>0</v>
      </c>
      <c r="R1237" s="39">
        <v>0</v>
      </c>
      <c r="S1237" s="39">
        <v>0</v>
      </c>
      <c r="T1237" s="39">
        <v>0</v>
      </c>
      <c r="U1237" s="39">
        <v>0</v>
      </c>
      <c r="V1237" s="39">
        <v>0</v>
      </c>
      <c r="W1237" s="39">
        <v>0</v>
      </c>
      <c r="X1237" s="39">
        <v>0</v>
      </c>
      <c r="Y1237" s="39">
        <v>0</v>
      </c>
      <c r="Z1237" s="39">
        <v>0</v>
      </c>
      <c r="AA1237" s="39">
        <v>0</v>
      </c>
      <c r="AB1237" s="39">
        <v>0</v>
      </c>
      <c r="AC1237" s="39">
        <v>0</v>
      </c>
      <c r="AD1237" s="39">
        <v>0</v>
      </c>
      <c r="AE1237" s="39">
        <v>0</v>
      </c>
      <c r="AF1237" s="39">
        <v>0</v>
      </c>
      <c r="AG1237" s="39">
        <v>0</v>
      </c>
      <c r="AH1237" s="39"/>
      <c r="AI1237" s="39"/>
      <c r="AJ1237" s="40"/>
      <c r="AK1237" s="39">
        <f t="shared" si="95"/>
        <v>0</v>
      </c>
      <c r="AL1237" s="39">
        <f t="shared" si="98"/>
        <v>0</v>
      </c>
      <c r="AM1237" s="39">
        <f t="shared" si="99"/>
        <v>0</v>
      </c>
      <c r="AN1237" s="39">
        <f t="shared" si="96"/>
        <v>0</v>
      </c>
      <c r="AO1237" s="39">
        <f t="shared" si="97"/>
        <v>0</v>
      </c>
    </row>
    <row r="1238" spans="1:41" x14ac:dyDescent="0.3">
      <c r="A1238" s="20">
        <v>1000184670</v>
      </c>
      <c r="B1238" s="4" t="s">
        <v>147</v>
      </c>
      <c r="C1238" s="21"/>
      <c r="D1238" s="3"/>
      <c r="E1238" s="20">
        <v>1000185288</v>
      </c>
      <c r="F1238" s="4" t="s">
        <v>64</v>
      </c>
      <c r="G1238" s="21">
        <v>1000189810</v>
      </c>
      <c r="H1238" s="3" t="s">
        <v>96</v>
      </c>
      <c r="I1238" s="21">
        <v>1000189270</v>
      </c>
      <c r="J1238" s="3" t="s">
        <v>34</v>
      </c>
      <c r="K1238" s="20" t="s">
        <v>13</v>
      </c>
      <c r="L1238" s="39">
        <v>0</v>
      </c>
      <c r="M1238" s="39">
        <v>0</v>
      </c>
      <c r="N1238" s="39">
        <v>0</v>
      </c>
      <c r="O1238" s="39">
        <v>0</v>
      </c>
      <c r="P1238" s="39">
        <v>0</v>
      </c>
      <c r="Q1238" s="39">
        <v>0</v>
      </c>
      <c r="R1238" s="39">
        <v>0</v>
      </c>
      <c r="S1238" s="39">
        <v>0</v>
      </c>
      <c r="T1238" s="39">
        <v>0</v>
      </c>
      <c r="U1238" s="39">
        <v>0</v>
      </c>
      <c r="V1238" s="39">
        <v>0</v>
      </c>
      <c r="W1238" s="39">
        <v>0</v>
      </c>
      <c r="X1238" s="39">
        <v>0</v>
      </c>
      <c r="Y1238" s="39">
        <v>0</v>
      </c>
      <c r="Z1238" s="39">
        <v>0</v>
      </c>
      <c r="AA1238" s="39">
        <v>0</v>
      </c>
      <c r="AB1238" s="39">
        <v>0</v>
      </c>
      <c r="AC1238" s="39">
        <v>0</v>
      </c>
      <c r="AD1238" s="39">
        <v>0</v>
      </c>
      <c r="AE1238" s="39">
        <v>635.85</v>
      </c>
      <c r="AF1238" s="39">
        <v>739.8900000000001</v>
      </c>
      <c r="AG1238" s="39">
        <v>0</v>
      </c>
      <c r="AH1238" s="39"/>
      <c r="AI1238" s="39"/>
      <c r="AJ1238" s="40"/>
      <c r="AK1238" s="39">
        <f t="shared" si="95"/>
        <v>0</v>
      </c>
      <c r="AL1238" s="39">
        <f t="shared" si="98"/>
        <v>114.64500000000002</v>
      </c>
      <c r="AM1238" s="39">
        <f t="shared" si="99"/>
        <v>229.29000000000005</v>
      </c>
      <c r="AN1238" s="39">
        <f t="shared" si="96"/>
        <v>137.57400000000001</v>
      </c>
      <c r="AO1238" s="39">
        <f t="shared" si="97"/>
        <v>1375.7400000000002</v>
      </c>
    </row>
    <row r="1239" spans="1:41" x14ac:dyDescent="0.3">
      <c r="A1239" s="20">
        <v>1000184670</v>
      </c>
      <c r="B1239" s="4" t="s">
        <v>147</v>
      </c>
      <c r="C1239" s="21"/>
      <c r="D1239" s="3"/>
      <c r="E1239" s="20">
        <v>1000185288</v>
      </c>
      <c r="F1239" s="4" t="s">
        <v>64</v>
      </c>
      <c r="G1239" s="21">
        <v>1000189810</v>
      </c>
      <c r="H1239" s="3" t="s">
        <v>96</v>
      </c>
      <c r="I1239" s="21">
        <v>1000189270</v>
      </c>
      <c r="J1239" s="3" t="s">
        <v>34</v>
      </c>
      <c r="K1239" s="20" t="s">
        <v>14</v>
      </c>
      <c r="L1239" s="39">
        <v>0</v>
      </c>
      <c r="M1239" s="39">
        <v>0</v>
      </c>
      <c r="N1239" s="39">
        <v>0</v>
      </c>
      <c r="O1239" s="39">
        <v>0</v>
      </c>
      <c r="P1239" s="39">
        <v>0</v>
      </c>
      <c r="Q1239" s="39">
        <v>0</v>
      </c>
      <c r="R1239" s="39">
        <v>0</v>
      </c>
      <c r="S1239" s="39">
        <v>0</v>
      </c>
      <c r="T1239" s="39">
        <v>0</v>
      </c>
      <c r="U1239" s="39">
        <v>0</v>
      </c>
      <c r="V1239" s="39">
        <v>0</v>
      </c>
      <c r="W1239" s="39">
        <v>0</v>
      </c>
      <c r="X1239" s="39">
        <v>0</v>
      </c>
      <c r="Y1239" s="39">
        <v>0</v>
      </c>
      <c r="Z1239" s="39">
        <v>0</v>
      </c>
      <c r="AA1239" s="39">
        <v>641.63</v>
      </c>
      <c r="AB1239" s="39">
        <v>0</v>
      </c>
      <c r="AC1239" s="39">
        <v>0</v>
      </c>
      <c r="AD1239" s="39">
        <v>0</v>
      </c>
      <c r="AE1239" s="39">
        <v>329.4</v>
      </c>
      <c r="AF1239" s="39">
        <v>594.59</v>
      </c>
      <c r="AG1239" s="39">
        <v>0</v>
      </c>
      <c r="AH1239" s="39"/>
      <c r="AI1239" s="39"/>
      <c r="AJ1239" s="40"/>
      <c r="AK1239" s="39">
        <f t="shared" si="95"/>
        <v>0</v>
      </c>
      <c r="AL1239" s="39">
        <f t="shared" si="98"/>
        <v>130.46833333333333</v>
      </c>
      <c r="AM1239" s="39">
        <f t="shared" si="99"/>
        <v>153.99833333333333</v>
      </c>
      <c r="AN1239" s="39">
        <f t="shared" si="96"/>
        <v>156.56199999999998</v>
      </c>
      <c r="AO1239" s="39">
        <f t="shared" si="97"/>
        <v>1565.62</v>
      </c>
    </row>
    <row r="1240" spans="1:41" x14ac:dyDescent="0.3">
      <c r="A1240" s="20">
        <v>1000184670</v>
      </c>
      <c r="B1240" s="4" t="s">
        <v>147</v>
      </c>
      <c r="C1240" s="21"/>
      <c r="D1240" s="3"/>
      <c r="E1240" s="20">
        <v>1000185288</v>
      </c>
      <c r="F1240" s="4" t="s">
        <v>64</v>
      </c>
      <c r="G1240" s="21">
        <v>1000189810</v>
      </c>
      <c r="H1240" s="3" t="s">
        <v>96</v>
      </c>
      <c r="I1240" s="21">
        <v>1000189270</v>
      </c>
      <c r="J1240" s="3" t="s">
        <v>34</v>
      </c>
      <c r="K1240" s="20" t="s">
        <v>16</v>
      </c>
      <c r="L1240" s="39">
        <v>0</v>
      </c>
      <c r="M1240" s="39">
        <v>0</v>
      </c>
      <c r="N1240" s="39">
        <v>0</v>
      </c>
      <c r="O1240" s="39">
        <v>0</v>
      </c>
      <c r="P1240" s="39">
        <v>0</v>
      </c>
      <c r="Q1240" s="39">
        <v>0</v>
      </c>
      <c r="R1240" s="39">
        <v>0</v>
      </c>
      <c r="S1240" s="39">
        <v>0</v>
      </c>
      <c r="T1240" s="39">
        <v>0</v>
      </c>
      <c r="U1240" s="39">
        <v>0</v>
      </c>
      <c r="V1240" s="39">
        <v>0</v>
      </c>
      <c r="W1240" s="39">
        <v>0</v>
      </c>
      <c r="X1240" s="39">
        <v>0</v>
      </c>
      <c r="Y1240" s="39">
        <v>0</v>
      </c>
      <c r="Z1240" s="39">
        <v>0</v>
      </c>
      <c r="AA1240" s="39">
        <v>0</v>
      </c>
      <c r="AB1240" s="39">
        <v>0</v>
      </c>
      <c r="AC1240" s="39">
        <v>367.08</v>
      </c>
      <c r="AD1240" s="39">
        <v>530.28</v>
      </c>
      <c r="AE1240" s="39">
        <v>161.34</v>
      </c>
      <c r="AF1240" s="39">
        <v>313.8</v>
      </c>
      <c r="AG1240" s="39">
        <v>0</v>
      </c>
      <c r="AH1240" s="39"/>
      <c r="AI1240" s="39"/>
      <c r="AJ1240" s="40"/>
      <c r="AK1240" s="39">
        <f t="shared" si="95"/>
        <v>0</v>
      </c>
      <c r="AL1240" s="39">
        <f t="shared" si="98"/>
        <v>114.37499999999999</v>
      </c>
      <c r="AM1240" s="39">
        <f t="shared" si="99"/>
        <v>228.74999999999997</v>
      </c>
      <c r="AN1240" s="39">
        <f t="shared" si="96"/>
        <v>137.24999999999997</v>
      </c>
      <c r="AO1240" s="39">
        <f t="shared" si="97"/>
        <v>1372.4999999999998</v>
      </c>
    </row>
    <row r="1241" spans="1:41" x14ac:dyDescent="0.3">
      <c r="A1241" s="20">
        <v>1000184670</v>
      </c>
      <c r="B1241" s="4" t="s">
        <v>147</v>
      </c>
      <c r="C1241" s="21"/>
      <c r="D1241" s="3"/>
      <c r="E1241" s="20">
        <v>1000185288</v>
      </c>
      <c r="F1241" s="4" t="s">
        <v>64</v>
      </c>
      <c r="G1241" s="21">
        <v>1000189810</v>
      </c>
      <c r="H1241" s="3" t="s">
        <v>96</v>
      </c>
      <c r="I1241" s="21">
        <v>1000189270</v>
      </c>
      <c r="J1241" s="3" t="s">
        <v>34</v>
      </c>
      <c r="K1241" s="20" t="s">
        <v>15</v>
      </c>
      <c r="L1241" s="39">
        <v>0</v>
      </c>
      <c r="M1241" s="39">
        <v>0</v>
      </c>
      <c r="N1241" s="39">
        <v>0</v>
      </c>
      <c r="O1241" s="39">
        <v>0</v>
      </c>
      <c r="P1241" s="39">
        <v>0</v>
      </c>
      <c r="Q1241" s="39">
        <v>0</v>
      </c>
      <c r="R1241" s="39">
        <v>0</v>
      </c>
      <c r="S1241" s="39">
        <v>0</v>
      </c>
      <c r="T1241" s="39">
        <v>0</v>
      </c>
      <c r="U1241" s="39">
        <v>0</v>
      </c>
      <c r="V1241" s="39">
        <v>0</v>
      </c>
      <c r="W1241" s="39">
        <v>0</v>
      </c>
      <c r="X1241" s="39">
        <v>0</v>
      </c>
      <c r="Y1241" s="39">
        <v>0</v>
      </c>
      <c r="Z1241" s="39">
        <v>0</v>
      </c>
      <c r="AA1241" s="39">
        <v>0</v>
      </c>
      <c r="AB1241" s="39">
        <v>0</v>
      </c>
      <c r="AC1241" s="39">
        <v>0</v>
      </c>
      <c r="AD1241" s="39">
        <v>0</v>
      </c>
      <c r="AE1241" s="39">
        <v>222.75</v>
      </c>
      <c r="AF1241" s="39">
        <v>319.49</v>
      </c>
      <c r="AG1241" s="39">
        <v>303.74</v>
      </c>
      <c r="AH1241" s="39"/>
      <c r="AI1241" s="39"/>
      <c r="AJ1241" s="40"/>
      <c r="AK1241" s="39">
        <f t="shared" si="95"/>
        <v>0</v>
      </c>
      <c r="AL1241" s="39">
        <f t="shared" si="98"/>
        <v>70.498333333333335</v>
      </c>
      <c r="AM1241" s="39">
        <f t="shared" si="99"/>
        <v>140.99666666666667</v>
      </c>
      <c r="AN1241" s="39">
        <f t="shared" si="96"/>
        <v>84.597999999999999</v>
      </c>
      <c r="AO1241" s="39">
        <f t="shared" si="97"/>
        <v>845.98</v>
      </c>
    </row>
    <row r="1242" spans="1:41" x14ac:dyDescent="0.3">
      <c r="A1242" s="20">
        <v>1000184670</v>
      </c>
      <c r="B1242" s="4" t="s">
        <v>147</v>
      </c>
      <c r="C1242" s="21"/>
      <c r="D1242" s="3"/>
      <c r="E1242" s="20">
        <v>1000185288</v>
      </c>
      <c r="F1242" s="4" t="s">
        <v>64</v>
      </c>
      <c r="G1242" s="21">
        <v>1000189810</v>
      </c>
      <c r="H1242" s="3" t="s">
        <v>96</v>
      </c>
      <c r="I1242" s="21">
        <v>1000189270</v>
      </c>
      <c r="J1242" s="3" t="s">
        <v>34</v>
      </c>
      <c r="K1242" s="20" t="s">
        <v>33</v>
      </c>
      <c r="L1242" s="39">
        <v>0</v>
      </c>
      <c r="M1242" s="39">
        <v>0</v>
      </c>
      <c r="N1242" s="39">
        <v>0</v>
      </c>
      <c r="O1242" s="39">
        <v>0</v>
      </c>
      <c r="P1242" s="39">
        <v>0</v>
      </c>
      <c r="Q1242" s="39">
        <v>0</v>
      </c>
      <c r="R1242" s="39">
        <v>0</v>
      </c>
      <c r="S1242" s="39">
        <v>0</v>
      </c>
      <c r="T1242" s="39">
        <v>0</v>
      </c>
      <c r="U1242" s="39">
        <v>1856</v>
      </c>
      <c r="V1242" s="39">
        <v>0</v>
      </c>
      <c r="W1242" s="39">
        <v>0</v>
      </c>
      <c r="X1242" s="39">
        <v>0</v>
      </c>
      <c r="Y1242" s="39">
        <v>0</v>
      </c>
      <c r="Z1242" s="39">
        <v>0</v>
      </c>
      <c r="AA1242" s="39">
        <v>0</v>
      </c>
      <c r="AB1242" s="39">
        <v>0</v>
      </c>
      <c r="AC1242" s="39">
        <v>243</v>
      </c>
      <c r="AD1242" s="39">
        <v>0</v>
      </c>
      <c r="AE1242" s="39">
        <v>0</v>
      </c>
      <c r="AF1242" s="39">
        <v>0</v>
      </c>
      <c r="AG1242" s="39">
        <v>0</v>
      </c>
      <c r="AH1242" s="39"/>
      <c r="AI1242" s="39"/>
      <c r="AJ1242" s="40"/>
      <c r="AK1242" s="39">
        <f t="shared" si="95"/>
        <v>154.66666666666666</v>
      </c>
      <c r="AL1242" s="39">
        <f t="shared" si="98"/>
        <v>20.25</v>
      </c>
      <c r="AM1242" s="39">
        <f t="shared" si="99"/>
        <v>40.5</v>
      </c>
      <c r="AN1242" s="39">
        <f t="shared" si="96"/>
        <v>24.3</v>
      </c>
      <c r="AO1242" s="39">
        <f t="shared" si="97"/>
        <v>243</v>
      </c>
    </row>
    <row r="1243" spans="1:41" x14ac:dyDescent="0.3">
      <c r="A1243" s="20">
        <v>1000184670</v>
      </c>
      <c r="B1243" s="4" t="s">
        <v>147</v>
      </c>
      <c r="C1243" s="21"/>
      <c r="D1243" s="3"/>
      <c r="E1243" s="20">
        <v>1000185288</v>
      </c>
      <c r="F1243" s="4" t="s">
        <v>64</v>
      </c>
      <c r="G1243" s="21">
        <v>1000189810</v>
      </c>
      <c r="H1243" s="3" t="s">
        <v>96</v>
      </c>
      <c r="I1243" s="21">
        <v>1000189270</v>
      </c>
      <c r="J1243" s="3" t="s">
        <v>34</v>
      </c>
      <c r="K1243" s="20" t="s">
        <v>19</v>
      </c>
      <c r="L1243" s="39">
        <v>0</v>
      </c>
      <c r="M1243" s="39">
        <v>0</v>
      </c>
      <c r="N1243" s="39">
        <v>0</v>
      </c>
      <c r="O1243" s="39">
        <v>0</v>
      </c>
      <c r="P1243" s="39">
        <v>0</v>
      </c>
      <c r="Q1243" s="39">
        <v>0</v>
      </c>
      <c r="R1243" s="39">
        <v>0</v>
      </c>
      <c r="S1243" s="39">
        <v>0</v>
      </c>
      <c r="T1243" s="39">
        <v>0</v>
      </c>
      <c r="U1243" s="39">
        <v>0</v>
      </c>
      <c r="V1243" s="39">
        <v>0</v>
      </c>
      <c r="W1243" s="39">
        <v>0</v>
      </c>
      <c r="X1243" s="39">
        <v>0</v>
      </c>
      <c r="Y1243" s="39">
        <v>0</v>
      </c>
      <c r="Z1243" s="39">
        <v>0</v>
      </c>
      <c r="AA1243" s="39">
        <v>0</v>
      </c>
      <c r="AB1243" s="39">
        <v>0</v>
      </c>
      <c r="AC1243" s="39">
        <v>0</v>
      </c>
      <c r="AD1243" s="39">
        <v>0</v>
      </c>
      <c r="AE1243" s="39">
        <v>218.7</v>
      </c>
      <c r="AF1243" s="39">
        <v>294.64</v>
      </c>
      <c r="AG1243" s="39">
        <v>835.34</v>
      </c>
      <c r="AH1243" s="39"/>
      <c r="AI1243" s="39"/>
      <c r="AJ1243" s="40"/>
      <c r="AK1243" s="39">
        <f t="shared" si="95"/>
        <v>0</v>
      </c>
      <c r="AL1243" s="39">
        <f t="shared" si="98"/>
        <v>112.38999999999999</v>
      </c>
      <c r="AM1243" s="39">
        <f t="shared" si="99"/>
        <v>224.77999999999997</v>
      </c>
      <c r="AN1243" s="39">
        <f t="shared" si="96"/>
        <v>134.86799999999999</v>
      </c>
      <c r="AO1243" s="39">
        <f t="shared" si="97"/>
        <v>1348.6799999999998</v>
      </c>
    </row>
    <row r="1244" spans="1:41" x14ac:dyDescent="0.3">
      <c r="A1244" s="20">
        <v>1000184670</v>
      </c>
      <c r="B1244" s="4" t="s">
        <v>147</v>
      </c>
      <c r="C1244" s="21"/>
      <c r="D1244" s="3"/>
      <c r="E1244" s="20">
        <v>1000185288</v>
      </c>
      <c r="F1244" s="4" t="s">
        <v>64</v>
      </c>
      <c r="G1244" s="21">
        <v>1000189810</v>
      </c>
      <c r="H1244" s="3" t="s">
        <v>96</v>
      </c>
      <c r="I1244" s="21">
        <v>1000189270</v>
      </c>
      <c r="J1244" s="3" t="s">
        <v>34</v>
      </c>
      <c r="K1244" s="20" t="s">
        <v>17</v>
      </c>
      <c r="L1244" s="39">
        <v>0</v>
      </c>
      <c r="M1244" s="39">
        <v>0</v>
      </c>
      <c r="N1244" s="39">
        <v>0</v>
      </c>
      <c r="O1244" s="39">
        <v>0</v>
      </c>
      <c r="P1244" s="39">
        <v>0</v>
      </c>
      <c r="Q1244" s="39">
        <v>0</v>
      </c>
      <c r="R1244" s="39">
        <v>0</v>
      </c>
      <c r="S1244" s="39">
        <v>0</v>
      </c>
      <c r="T1244" s="39">
        <v>0</v>
      </c>
      <c r="U1244" s="39">
        <v>0</v>
      </c>
      <c r="V1244" s="39">
        <v>0</v>
      </c>
      <c r="W1244" s="39">
        <v>0</v>
      </c>
      <c r="X1244" s="39">
        <v>0</v>
      </c>
      <c r="Y1244" s="39">
        <v>0</v>
      </c>
      <c r="Z1244" s="39">
        <v>0</v>
      </c>
      <c r="AA1244" s="39">
        <v>0</v>
      </c>
      <c r="AB1244" s="39">
        <v>0</v>
      </c>
      <c r="AC1244" s="39">
        <v>0</v>
      </c>
      <c r="AD1244" s="39">
        <v>0</v>
      </c>
      <c r="AE1244" s="39">
        <v>367.2</v>
      </c>
      <c r="AF1244" s="39">
        <v>298.44</v>
      </c>
      <c r="AG1244" s="39">
        <v>0</v>
      </c>
      <c r="AH1244" s="39"/>
      <c r="AI1244" s="39"/>
      <c r="AJ1244" s="40"/>
      <c r="AK1244" s="39">
        <f t="shared" si="95"/>
        <v>0</v>
      </c>
      <c r="AL1244" s="39">
        <f t="shared" si="98"/>
        <v>55.47</v>
      </c>
      <c r="AM1244" s="39">
        <f t="shared" si="99"/>
        <v>110.94</v>
      </c>
      <c r="AN1244" s="39">
        <f t="shared" si="96"/>
        <v>66.563999999999993</v>
      </c>
      <c r="AO1244" s="39">
        <f t="shared" si="97"/>
        <v>665.64</v>
      </c>
    </row>
    <row r="1245" spans="1:41" x14ac:dyDescent="0.3">
      <c r="A1245" s="20">
        <v>1000184670</v>
      </c>
      <c r="B1245" s="4" t="s">
        <v>147</v>
      </c>
      <c r="C1245" s="21"/>
      <c r="D1245" s="3"/>
      <c r="E1245" s="20">
        <v>1000185288</v>
      </c>
      <c r="F1245" s="4" t="s">
        <v>64</v>
      </c>
      <c r="G1245" s="21">
        <v>1000189810</v>
      </c>
      <c r="H1245" s="3" t="s">
        <v>96</v>
      </c>
      <c r="I1245" s="21">
        <v>1000189270</v>
      </c>
      <c r="J1245" s="3" t="s">
        <v>34</v>
      </c>
      <c r="K1245" s="20" t="s">
        <v>24</v>
      </c>
      <c r="L1245" s="39">
        <v>0</v>
      </c>
      <c r="M1245" s="39">
        <v>0</v>
      </c>
      <c r="N1245" s="39">
        <v>0</v>
      </c>
      <c r="O1245" s="39">
        <v>0</v>
      </c>
      <c r="P1245" s="39">
        <v>0</v>
      </c>
      <c r="Q1245" s="39">
        <v>0</v>
      </c>
      <c r="R1245" s="39">
        <v>0</v>
      </c>
      <c r="S1245" s="39">
        <v>0</v>
      </c>
      <c r="T1245" s="39">
        <v>0</v>
      </c>
      <c r="U1245" s="39">
        <v>0</v>
      </c>
      <c r="V1245" s="39">
        <v>0</v>
      </c>
      <c r="W1245" s="39">
        <v>0</v>
      </c>
      <c r="X1245" s="39">
        <v>0</v>
      </c>
      <c r="Y1245" s="39">
        <v>0</v>
      </c>
      <c r="Z1245" s="39">
        <v>0</v>
      </c>
      <c r="AA1245" s="39">
        <v>0</v>
      </c>
      <c r="AB1245" s="39">
        <v>0</v>
      </c>
      <c r="AC1245" s="39">
        <v>0</v>
      </c>
      <c r="AD1245" s="39">
        <v>0</v>
      </c>
      <c r="AE1245" s="39">
        <v>0</v>
      </c>
      <c r="AF1245" s="39">
        <v>52.52</v>
      </c>
      <c r="AG1245" s="39">
        <v>0</v>
      </c>
      <c r="AH1245" s="39"/>
      <c r="AI1245" s="39"/>
      <c r="AJ1245" s="40"/>
      <c r="AK1245" s="39">
        <f t="shared" si="95"/>
        <v>0</v>
      </c>
      <c r="AL1245" s="39">
        <f t="shared" si="98"/>
        <v>4.3766666666666669</v>
      </c>
      <c r="AM1245" s="39">
        <f t="shared" si="99"/>
        <v>8.7533333333333339</v>
      </c>
      <c r="AN1245" s="39">
        <f t="shared" si="96"/>
        <v>5.2520000000000007</v>
      </c>
      <c r="AO1245" s="39">
        <f t="shared" si="97"/>
        <v>52.52</v>
      </c>
    </row>
    <row r="1246" spans="1:41" x14ac:dyDescent="0.3">
      <c r="A1246" s="20">
        <v>1000184670</v>
      </c>
      <c r="B1246" s="4" t="s">
        <v>147</v>
      </c>
      <c r="C1246" s="21"/>
      <c r="D1246" s="3"/>
      <c r="E1246" s="20">
        <v>1000185288</v>
      </c>
      <c r="F1246" s="4" t="s">
        <v>64</v>
      </c>
      <c r="G1246" s="21">
        <v>1000189810</v>
      </c>
      <c r="H1246" s="3" t="s">
        <v>96</v>
      </c>
      <c r="I1246" s="21">
        <v>1000189270</v>
      </c>
      <c r="J1246" s="3" t="s">
        <v>34</v>
      </c>
      <c r="K1246" s="20" t="s">
        <v>18</v>
      </c>
      <c r="L1246" s="39">
        <v>0</v>
      </c>
      <c r="M1246" s="39">
        <v>0</v>
      </c>
      <c r="N1246" s="39">
        <v>0</v>
      </c>
      <c r="O1246" s="39">
        <v>0</v>
      </c>
      <c r="P1246" s="39">
        <v>0</v>
      </c>
      <c r="Q1246" s="39">
        <v>0</v>
      </c>
      <c r="R1246" s="39">
        <v>0</v>
      </c>
      <c r="S1246" s="39">
        <v>0</v>
      </c>
      <c r="T1246" s="39">
        <v>0</v>
      </c>
      <c r="U1246" s="39">
        <v>0</v>
      </c>
      <c r="V1246" s="39">
        <v>0</v>
      </c>
      <c r="W1246" s="39">
        <v>0</v>
      </c>
      <c r="X1246" s="39">
        <v>0</v>
      </c>
      <c r="Y1246" s="39">
        <v>0</v>
      </c>
      <c r="Z1246" s="39">
        <v>0</v>
      </c>
      <c r="AA1246" s="39">
        <v>0</v>
      </c>
      <c r="AB1246" s="39">
        <v>0</v>
      </c>
      <c r="AC1246" s="39">
        <v>0</v>
      </c>
      <c r="AD1246" s="39">
        <v>0</v>
      </c>
      <c r="AE1246" s="39">
        <v>0</v>
      </c>
      <c r="AF1246" s="39">
        <v>42</v>
      </c>
      <c r="AG1246" s="39">
        <v>0</v>
      </c>
      <c r="AH1246" s="39"/>
      <c r="AI1246" s="39"/>
      <c r="AJ1246" s="40"/>
      <c r="AK1246" s="39">
        <f t="shared" si="95"/>
        <v>0</v>
      </c>
      <c r="AL1246" s="39">
        <f t="shared" si="98"/>
        <v>3.5</v>
      </c>
      <c r="AM1246" s="39">
        <f t="shared" si="99"/>
        <v>7</v>
      </c>
      <c r="AN1246" s="39">
        <f t="shared" si="96"/>
        <v>4.2</v>
      </c>
      <c r="AO1246" s="39">
        <f t="shared" si="97"/>
        <v>42</v>
      </c>
    </row>
    <row r="1247" spans="1:41" x14ac:dyDescent="0.3">
      <c r="A1247" s="20">
        <v>1000184670</v>
      </c>
      <c r="B1247" s="4" t="s">
        <v>147</v>
      </c>
      <c r="C1247" s="21"/>
      <c r="D1247" s="3"/>
      <c r="E1247" s="20">
        <v>1000185288</v>
      </c>
      <c r="F1247" s="4" t="s">
        <v>64</v>
      </c>
      <c r="G1247" s="21">
        <v>1000189810</v>
      </c>
      <c r="H1247" s="3" t="s">
        <v>96</v>
      </c>
      <c r="I1247" s="21">
        <v>1000189270</v>
      </c>
      <c r="J1247" s="3" t="s">
        <v>34</v>
      </c>
      <c r="K1247" s="20" t="s">
        <v>29</v>
      </c>
      <c r="L1247" s="39">
        <v>0</v>
      </c>
      <c r="M1247" s="39">
        <v>0</v>
      </c>
      <c r="N1247" s="39">
        <v>0</v>
      </c>
      <c r="O1247" s="39">
        <v>0</v>
      </c>
      <c r="P1247" s="39">
        <v>0</v>
      </c>
      <c r="Q1247" s="39">
        <v>0</v>
      </c>
      <c r="R1247" s="39">
        <v>0</v>
      </c>
      <c r="S1247" s="39">
        <v>0</v>
      </c>
      <c r="T1247" s="39">
        <v>0</v>
      </c>
      <c r="U1247" s="39">
        <v>0</v>
      </c>
      <c r="V1247" s="39">
        <v>0</v>
      </c>
      <c r="W1247" s="39">
        <v>0</v>
      </c>
      <c r="X1247" s="39">
        <v>0</v>
      </c>
      <c r="Y1247" s="39">
        <v>0</v>
      </c>
      <c r="Z1247" s="39">
        <v>0</v>
      </c>
      <c r="AA1247" s="39">
        <v>0</v>
      </c>
      <c r="AB1247" s="39">
        <v>639</v>
      </c>
      <c r="AC1247" s="39">
        <v>1591.27</v>
      </c>
      <c r="AD1247" s="39">
        <v>276</v>
      </c>
      <c r="AE1247" s="39">
        <v>0</v>
      </c>
      <c r="AF1247" s="39">
        <v>3359.25</v>
      </c>
      <c r="AG1247" s="39">
        <v>7888.5</v>
      </c>
      <c r="AH1247" s="39"/>
      <c r="AI1247" s="39"/>
      <c r="AJ1247" s="40"/>
      <c r="AK1247" s="39">
        <f t="shared" si="95"/>
        <v>0</v>
      </c>
      <c r="AL1247" s="39">
        <f t="shared" si="98"/>
        <v>1146.1683333333333</v>
      </c>
      <c r="AM1247" s="39">
        <f t="shared" si="99"/>
        <v>2292.3366666666666</v>
      </c>
      <c r="AN1247" s="39">
        <f t="shared" si="96"/>
        <v>1375.402</v>
      </c>
      <c r="AO1247" s="39">
        <f t="shared" si="97"/>
        <v>13754.02</v>
      </c>
    </row>
    <row r="1248" spans="1:41" x14ac:dyDescent="0.3">
      <c r="A1248" s="20">
        <v>1000184670</v>
      </c>
      <c r="B1248" s="4" t="s">
        <v>147</v>
      </c>
      <c r="C1248" s="21"/>
      <c r="D1248" s="3"/>
      <c r="E1248" s="20">
        <v>1000185288</v>
      </c>
      <c r="F1248" s="4" t="s">
        <v>64</v>
      </c>
      <c r="G1248" s="21">
        <v>1000189810</v>
      </c>
      <c r="H1248" s="3" t="s">
        <v>96</v>
      </c>
      <c r="I1248" s="21">
        <v>1000189270</v>
      </c>
      <c r="J1248" s="3" t="s">
        <v>34</v>
      </c>
      <c r="K1248" s="20" t="s">
        <v>21</v>
      </c>
      <c r="L1248" s="39">
        <v>0</v>
      </c>
      <c r="M1248" s="39">
        <v>0</v>
      </c>
      <c r="N1248" s="39">
        <v>0</v>
      </c>
      <c r="O1248" s="39">
        <v>0</v>
      </c>
      <c r="P1248" s="39">
        <v>0</v>
      </c>
      <c r="Q1248" s="39">
        <v>0</v>
      </c>
      <c r="R1248" s="39">
        <v>0</v>
      </c>
      <c r="S1248" s="39">
        <v>0</v>
      </c>
      <c r="T1248" s="39">
        <v>0</v>
      </c>
      <c r="U1248" s="39">
        <v>0</v>
      </c>
      <c r="V1248" s="39">
        <v>0</v>
      </c>
      <c r="W1248" s="39">
        <v>0</v>
      </c>
      <c r="X1248" s="39">
        <v>0</v>
      </c>
      <c r="Y1248" s="39">
        <v>0</v>
      </c>
      <c r="Z1248" s="39">
        <v>0</v>
      </c>
      <c r="AA1248" s="39">
        <v>0</v>
      </c>
      <c r="AB1248" s="39">
        <v>0</v>
      </c>
      <c r="AC1248" s="39">
        <v>405.3</v>
      </c>
      <c r="AD1248" s="39">
        <v>267.3</v>
      </c>
      <c r="AE1248" s="39">
        <v>0</v>
      </c>
      <c r="AF1248" s="39">
        <v>37.119999999999997</v>
      </c>
      <c r="AG1248" s="39">
        <v>0</v>
      </c>
      <c r="AH1248" s="39"/>
      <c r="AI1248" s="39"/>
      <c r="AJ1248" s="40"/>
      <c r="AK1248" s="39">
        <f t="shared" si="95"/>
        <v>0</v>
      </c>
      <c r="AL1248" s="39">
        <f t="shared" si="98"/>
        <v>59.143333333333338</v>
      </c>
      <c r="AM1248" s="39">
        <f t="shared" si="99"/>
        <v>118.28666666666668</v>
      </c>
      <c r="AN1248" s="39">
        <f t="shared" si="96"/>
        <v>70.972000000000008</v>
      </c>
      <c r="AO1248" s="39">
        <f t="shared" si="97"/>
        <v>709.72</v>
      </c>
    </row>
    <row r="1249" spans="1:41" x14ac:dyDescent="0.3">
      <c r="A1249" s="20">
        <v>1000184670</v>
      </c>
      <c r="B1249" s="4" t="s">
        <v>147</v>
      </c>
      <c r="C1249" s="21"/>
      <c r="D1249" s="3"/>
      <c r="E1249" s="20">
        <v>1000185288</v>
      </c>
      <c r="F1249" s="4" t="s">
        <v>64</v>
      </c>
      <c r="G1249" s="21">
        <v>1000189810</v>
      </c>
      <c r="H1249" s="3" t="s">
        <v>96</v>
      </c>
      <c r="I1249" s="21">
        <v>1000189270</v>
      </c>
      <c r="J1249" s="3" t="s">
        <v>34</v>
      </c>
      <c r="K1249" s="20" t="s">
        <v>20</v>
      </c>
      <c r="L1249" s="39">
        <v>0</v>
      </c>
      <c r="M1249" s="39">
        <v>0</v>
      </c>
      <c r="N1249" s="39">
        <v>0</v>
      </c>
      <c r="O1249" s="39">
        <v>0</v>
      </c>
      <c r="P1249" s="39">
        <v>0</v>
      </c>
      <c r="Q1249" s="39">
        <v>0</v>
      </c>
      <c r="R1249" s="39">
        <v>0</v>
      </c>
      <c r="S1249" s="39">
        <v>0</v>
      </c>
      <c r="T1249" s="39">
        <v>0</v>
      </c>
      <c r="U1249" s="39">
        <v>0</v>
      </c>
      <c r="V1249" s="39">
        <v>0</v>
      </c>
      <c r="W1249" s="39">
        <v>0</v>
      </c>
      <c r="X1249" s="39">
        <v>0</v>
      </c>
      <c r="Y1249" s="39">
        <v>0</v>
      </c>
      <c r="Z1249" s="39">
        <v>0</v>
      </c>
      <c r="AA1249" s="39">
        <v>0</v>
      </c>
      <c r="AB1249" s="39">
        <v>0</v>
      </c>
      <c r="AC1249" s="39">
        <v>0</v>
      </c>
      <c r="AD1249" s="39">
        <v>2173.5700000000002</v>
      </c>
      <c r="AE1249" s="39">
        <v>412.45</v>
      </c>
      <c r="AF1249" s="39">
        <v>1484.71</v>
      </c>
      <c r="AG1249" s="39">
        <v>0</v>
      </c>
      <c r="AH1249" s="39"/>
      <c r="AI1249" s="39"/>
      <c r="AJ1249" s="40"/>
      <c r="AK1249" s="39">
        <f t="shared" si="95"/>
        <v>0</v>
      </c>
      <c r="AL1249" s="39">
        <f t="shared" si="98"/>
        <v>339.22750000000002</v>
      </c>
      <c r="AM1249" s="39">
        <f t="shared" si="99"/>
        <v>678.45500000000004</v>
      </c>
      <c r="AN1249" s="39">
        <f t="shared" si="96"/>
        <v>407.07299999999998</v>
      </c>
      <c r="AO1249" s="39">
        <f t="shared" si="97"/>
        <v>4070.73</v>
      </c>
    </row>
    <row r="1250" spans="1:41" x14ac:dyDescent="0.3">
      <c r="A1250" s="20">
        <v>1000184670</v>
      </c>
      <c r="B1250" s="4" t="s">
        <v>147</v>
      </c>
      <c r="C1250" s="21"/>
      <c r="D1250" s="3"/>
      <c r="E1250" s="20">
        <v>1000185288</v>
      </c>
      <c r="F1250" s="4" t="s">
        <v>64</v>
      </c>
      <c r="G1250" s="21">
        <v>1000189810</v>
      </c>
      <c r="H1250" s="3" t="s">
        <v>96</v>
      </c>
      <c r="I1250" s="21">
        <v>1000189270</v>
      </c>
      <c r="J1250" s="3" t="s">
        <v>34</v>
      </c>
      <c r="K1250" s="20" t="s">
        <v>22</v>
      </c>
      <c r="L1250" s="39">
        <v>0</v>
      </c>
      <c r="M1250" s="39">
        <v>0</v>
      </c>
      <c r="N1250" s="39">
        <v>0</v>
      </c>
      <c r="O1250" s="39">
        <v>0</v>
      </c>
      <c r="P1250" s="39">
        <v>0</v>
      </c>
      <c r="Q1250" s="39">
        <v>0</v>
      </c>
      <c r="R1250" s="39">
        <v>0</v>
      </c>
      <c r="S1250" s="39">
        <v>0</v>
      </c>
      <c r="T1250" s="39">
        <v>0</v>
      </c>
      <c r="U1250" s="39">
        <v>0</v>
      </c>
      <c r="V1250" s="39">
        <v>0</v>
      </c>
      <c r="W1250" s="39">
        <v>0</v>
      </c>
      <c r="X1250" s="39">
        <v>0</v>
      </c>
      <c r="Y1250" s="39">
        <v>0</v>
      </c>
      <c r="Z1250" s="39">
        <v>0</v>
      </c>
      <c r="AA1250" s="39">
        <v>0</v>
      </c>
      <c r="AB1250" s="39">
        <v>0</v>
      </c>
      <c r="AC1250" s="39">
        <v>0</v>
      </c>
      <c r="AD1250" s="39">
        <v>0</v>
      </c>
      <c r="AE1250" s="39">
        <v>0</v>
      </c>
      <c r="AF1250" s="39">
        <v>0</v>
      </c>
      <c r="AG1250" s="39">
        <v>0</v>
      </c>
      <c r="AH1250" s="39"/>
      <c r="AI1250" s="39"/>
      <c r="AJ1250" s="40"/>
      <c r="AK1250" s="39">
        <f t="shared" si="95"/>
        <v>0</v>
      </c>
      <c r="AL1250" s="39">
        <f t="shared" si="98"/>
        <v>0</v>
      </c>
      <c r="AM1250" s="39">
        <f t="shared" si="99"/>
        <v>0</v>
      </c>
      <c r="AN1250" s="39">
        <f t="shared" si="96"/>
        <v>0</v>
      </c>
      <c r="AO1250" s="39">
        <f t="shared" si="97"/>
        <v>0</v>
      </c>
    </row>
    <row r="1251" spans="1:41" x14ac:dyDescent="0.3">
      <c r="A1251" s="20">
        <v>1000184670</v>
      </c>
      <c r="B1251" s="4" t="s">
        <v>147</v>
      </c>
      <c r="C1251" s="21"/>
      <c r="D1251" s="3"/>
      <c r="E1251" s="20">
        <v>1000185288</v>
      </c>
      <c r="F1251" s="4" t="s">
        <v>64</v>
      </c>
      <c r="G1251" s="21">
        <v>1000189810</v>
      </c>
      <c r="H1251" s="3" t="s">
        <v>96</v>
      </c>
      <c r="I1251" s="21">
        <v>1000189270</v>
      </c>
      <c r="J1251" s="3" t="s">
        <v>34</v>
      </c>
      <c r="K1251" s="20" t="s">
        <v>23</v>
      </c>
      <c r="L1251" s="39">
        <v>0</v>
      </c>
      <c r="M1251" s="39">
        <v>0</v>
      </c>
      <c r="N1251" s="39">
        <v>0</v>
      </c>
      <c r="O1251" s="39">
        <v>0</v>
      </c>
      <c r="P1251" s="39">
        <v>0</v>
      </c>
      <c r="Q1251" s="39">
        <v>0</v>
      </c>
      <c r="R1251" s="39">
        <v>0</v>
      </c>
      <c r="S1251" s="39">
        <v>0</v>
      </c>
      <c r="T1251" s="39">
        <v>0</v>
      </c>
      <c r="U1251" s="39">
        <v>0</v>
      </c>
      <c r="V1251" s="39">
        <v>0</v>
      </c>
      <c r="W1251" s="39">
        <v>0</v>
      </c>
      <c r="X1251" s="39">
        <v>0</v>
      </c>
      <c r="Y1251" s="39">
        <v>0</v>
      </c>
      <c r="Z1251" s="39">
        <v>0</v>
      </c>
      <c r="AA1251" s="39">
        <v>0</v>
      </c>
      <c r="AB1251" s="39">
        <v>0</v>
      </c>
      <c r="AC1251" s="39">
        <v>0</v>
      </c>
      <c r="AD1251" s="39">
        <v>0</v>
      </c>
      <c r="AE1251" s="39">
        <v>0</v>
      </c>
      <c r="AF1251" s="39">
        <v>42.45</v>
      </c>
      <c r="AG1251" s="39">
        <v>0</v>
      </c>
      <c r="AH1251" s="39"/>
      <c r="AI1251" s="39"/>
      <c r="AJ1251" s="40"/>
      <c r="AK1251" s="39">
        <f t="shared" si="95"/>
        <v>0</v>
      </c>
      <c r="AL1251" s="39">
        <f t="shared" si="98"/>
        <v>3.5375000000000001</v>
      </c>
      <c r="AM1251" s="39">
        <f t="shared" si="99"/>
        <v>7.0750000000000002</v>
      </c>
      <c r="AN1251" s="39">
        <f t="shared" si="96"/>
        <v>4.2450000000000001</v>
      </c>
      <c r="AO1251" s="39">
        <f t="shared" si="97"/>
        <v>42.45</v>
      </c>
    </row>
    <row r="1252" spans="1:41" x14ac:dyDescent="0.3">
      <c r="A1252" s="20">
        <v>1000184670</v>
      </c>
      <c r="B1252" s="4" t="s">
        <v>147</v>
      </c>
      <c r="C1252" s="21"/>
      <c r="D1252" s="3"/>
      <c r="E1252" s="20">
        <v>1000185288</v>
      </c>
      <c r="F1252" s="4" t="s">
        <v>64</v>
      </c>
      <c r="G1252" s="21">
        <v>1000189810</v>
      </c>
      <c r="H1252" s="3" t="s">
        <v>96</v>
      </c>
      <c r="I1252" s="21">
        <v>1000189270</v>
      </c>
      <c r="J1252" s="3" t="s">
        <v>34</v>
      </c>
      <c r="K1252" s="20" t="s">
        <v>28</v>
      </c>
      <c r="L1252" s="39">
        <v>0</v>
      </c>
      <c r="M1252" s="39">
        <v>0</v>
      </c>
      <c r="N1252" s="39">
        <v>0</v>
      </c>
      <c r="O1252" s="39">
        <v>0</v>
      </c>
      <c r="P1252" s="39">
        <v>0</v>
      </c>
      <c r="Q1252" s="39">
        <v>0</v>
      </c>
      <c r="R1252" s="39">
        <v>0</v>
      </c>
      <c r="S1252" s="39">
        <v>0</v>
      </c>
      <c r="T1252" s="39">
        <v>0</v>
      </c>
      <c r="U1252" s="39">
        <v>0</v>
      </c>
      <c r="V1252" s="39">
        <v>0</v>
      </c>
      <c r="W1252" s="39">
        <v>0</v>
      </c>
      <c r="X1252" s="39">
        <v>0</v>
      </c>
      <c r="Y1252" s="39">
        <v>0</v>
      </c>
      <c r="Z1252" s="39">
        <v>0</v>
      </c>
      <c r="AA1252" s="39">
        <v>0</v>
      </c>
      <c r="AB1252" s="39">
        <v>0</v>
      </c>
      <c r="AC1252" s="39">
        <v>0</v>
      </c>
      <c r="AD1252" s="39">
        <v>0</v>
      </c>
      <c r="AE1252" s="39">
        <v>140.94</v>
      </c>
      <c r="AF1252" s="39">
        <v>50.89</v>
      </c>
      <c r="AG1252" s="39">
        <v>0</v>
      </c>
      <c r="AH1252" s="39"/>
      <c r="AI1252" s="39"/>
      <c r="AJ1252" s="40"/>
      <c r="AK1252" s="39">
        <f t="shared" si="95"/>
        <v>0</v>
      </c>
      <c r="AL1252" s="39">
        <f t="shared" si="98"/>
        <v>15.985833333333332</v>
      </c>
      <c r="AM1252" s="39">
        <f t="shared" si="99"/>
        <v>31.971666666666664</v>
      </c>
      <c r="AN1252" s="39">
        <f t="shared" si="96"/>
        <v>19.183</v>
      </c>
      <c r="AO1252" s="39">
        <f t="shared" si="97"/>
        <v>191.82999999999998</v>
      </c>
    </row>
    <row r="1253" spans="1:41" x14ac:dyDescent="0.3">
      <c r="A1253" s="20">
        <v>1000184670</v>
      </c>
      <c r="B1253" s="4" t="s">
        <v>147</v>
      </c>
      <c r="C1253" s="21"/>
      <c r="D1253" s="3"/>
      <c r="E1253" s="20">
        <v>1000185288</v>
      </c>
      <c r="F1253" s="4" t="s">
        <v>64</v>
      </c>
      <c r="G1253" s="21">
        <v>1000189810</v>
      </c>
      <c r="H1253" s="3" t="s">
        <v>96</v>
      </c>
      <c r="I1253" s="21">
        <v>1000189270</v>
      </c>
      <c r="J1253" s="3" t="s">
        <v>34</v>
      </c>
      <c r="K1253" s="20" t="s">
        <v>26</v>
      </c>
      <c r="L1253" s="39">
        <v>0</v>
      </c>
      <c r="M1253" s="39">
        <v>0</v>
      </c>
      <c r="N1253" s="39">
        <v>0</v>
      </c>
      <c r="O1253" s="39">
        <v>0</v>
      </c>
      <c r="P1253" s="39">
        <v>0</v>
      </c>
      <c r="Q1253" s="39">
        <v>0</v>
      </c>
      <c r="R1253" s="39">
        <v>0</v>
      </c>
      <c r="S1253" s="39">
        <v>0</v>
      </c>
      <c r="T1253" s="39">
        <v>0</v>
      </c>
      <c r="U1253" s="39">
        <v>0</v>
      </c>
      <c r="V1253" s="39">
        <v>0</v>
      </c>
      <c r="W1253" s="39">
        <v>0</v>
      </c>
      <c r="X1253" s="39">
        <v>0</v>
      </c>
      <c r="Y1253" s="39">
        <v>0</v>
      </c>
      <c r="Z1253" s="39">
        <v>319.5</v>
      </c>
      <c r="AA1253" s="39">
        <v>314.13</v>
      </c>
      <c r="AB1253" s="39">
        <v>0</v>
      </c>
      <c r="AC1253" s="39">
        <v>0</v>
      </c>
      <c r="AD1253" s="39">
        <v>0</v>
      </c>
      <c r="AE1253" s="39">
        <v>0</v>
      </c>
      <c r="AF1253" s="39">
        <v>0</v>
      </c>
      <c r="AG1253" s="39">
        <v>0</v>
      </c>
      <c r="AH1253" s="39"/>
      <c r="AI1253" s="39"/>
      <c r="AJ1253" s="40"/>
      <c r="AK1253" s="39">
        <f t="shared" si="95"/>
        <v>0</v>
      </c>
      <c r="AL1253" s="39">
        <f t="shared" si="98"/>
        <v>52.802500000000002</v>
      </c>
      <c r="AM1253" s="39">
        <f t="shared" si="99"/>
        <v>0</v>
      </c>
      <c r="AN1253" s="39">
        <f t="shared" si="96"/>
        <v>63.363</v>
      </c>
      <c r="AO1253" s="39">
        <f t="shared" si="97"/>
        <v>633.63</v>
      </c>
    </row>
    <row r="1254" spans="1:41" x14ac:dyDescent="0.3">
      <c r="A1254" s="20">
        <v>1000184670</v>
      </c>
      <c r="B1254" s="4" t="s">
        <v>147</v>
      </c>
      <c r="C1254" s="21"/>
      <c r="D1254" s="3"/>
      <c r="E1254" s="20">
        <v>1000185288</v>
      </c>
      <c r="F1254" s="4" t="s">
        <v>64</v>
      </c>
      <c r="G1254" s="21">
        <v>1000189810</v>
      </c>
      <c r="H1254" s="3" t="s">
        <v>96</v>
      </c>
      <c r="I1254" s="21">
        <v>1000189270</v>
      </c>
      <c r="J1254" s="3" t="s">
        <v>34</v>
      </c>
      <c r="K1254" s="20" t="s">
        <v>27</v>
      </c>
      <c r="L1254" s="39">
        <v>0</v>
      </c>
      <c r="M1254" s="39">
        <v>0</v>
      </c>
      <c r="N1254" s="39">
        <v>0</v>
      </c>
      <c r="O1254" s="39">
        <v>0</v>
      </c>
      <c r="P1254" s="39">
        <v>0</v>
      </c>
      <c r="Q1254" s="39">
        <v>0</v>
      </c>
      <c r="R1254" s="39">
        <v>0</v>
      </c>
      <c r="S1254" s="39">
        <v>0</v>
      </c>
      <c r="T1254" s="39">
        <v>0</v>
      </c>
      <c r="U1254" s="39">
        <v>0</v>
      </c>
      <c r="V1254" s="39">
        <v>0</v>
      </c>
      <c r="W1254" s="39">
        <v>0</v>
      </c>
      <c r="X1254" s="39">
        <v>0</v>
      </c>
      <c r="Y1254" s="39">
        <v>0</v>
      </c>
      <c r="Z1254" s="39">
        <v>0</v>
      </c>
      <c r="AA1254" s="39">
        <v>88.37</v>
      </c>
      <c r="AB1254" s="39">
        <v>0</v>
      </c>
      <c r="AC1254" s="39">
        <v>0</v>
      </c>
      <c r="AD1254" s="39">
        <v>0</v>
      </c>
      <c r="AE1254" s="39">
        <v>0</v>
      </c>
      <c r="AF1254" s="39">
        <v>0</v>
      </c>
      <c r="AG1254" s="39">
        <v>0</v>
      </c>
      <c r="AH1254" s="39"/>
      <c r="AI1254" s="39"/>
      <c r="AJ1254" s="40"/>
      <c r="AK1254" s="39">
        <f t="shared" si="95"/>
        <v>0</v>
      </c>
      <c r="AL1254" s="39">
        <f t="shared" si="98"/>
        <v>7.3641666666666667</v>
      </c>
      <c r="AM1254" s="39">
        <f t="shared" si="99"/>
        <v>0</v>
      </c>
      <c r="AN1254" s="39">
        <f t="shared" si="96"/>
        <v>8.8369999999999997</v>
      </c>
      <c r="AO1254" s="39">
        <f t="shared" si="97"/>
        <v>88.37</v>
      </c>
    </row>
    <row r="1255" spans="1:41" x14ac:dyDescent="0.3">
      <c r="A1255" s="20">
        <v>1000184670</v>
      </c>
      <c r="B1255" s="4" t="s">
        <v>147</v>
      </c>
      <c r="C1255" s="21"/>
      <c r="D1255" s="3"/>
      <c r="E1255" s="20">
        <v>1000185288</v>
      </c>
      <c r="F1255" s="4" t="s">
        <v>64</v>
      </c>
      <c r="G1255" s="21">
        <v>1000189810</v>
      </c>
      <c r="H1255" s="3" t="s">
        <v>96</v>
      </c>
      <c r="I1255" s="21">
        <v>1000189270</v>
      </c>
      <c r="J1255" s="3" t="s">
        <v>34</v>
      </c>
      <c r="K1255" s="20" t="s">
        <v>25</v>
      </c>
      <c r="L1255" s="39">
        <v>0</v>
      </c>
      <c r="M1255" s="39">
        <v>0</v>
      </c>
      <c r="N1255" s="39">
        <v>0</v>
      </c>
      <c r="O1255" s="39">
        <v>0</v>
      </c>
      <c r="P1255" s="39">
        <v>0</v>
      </c>
      <c r="Q1255" s="39">
        <v>0</v>
      </c>
      <c r="R1255" s="39">
        <v>0</v>
      </c>
      <c r="S1255" s="39">
        <v>0</v>
      </c>
      <c r="T1255" s="39">
        <v>0</v>
      </c>
      <c r="U1255" s="39">
        <v>0</v>
      </c>
      <c r="V1255" s="39">
        <v>0</v>
      </c>
      <c r="W1255" s="39">
        <v>0</v>
      </c>
      <c r="X1255" s="39">
        <v>0</v>
      </c>
      <c r="Y1255" s="39">
        <v>0</v>
      </c>
      <c r="Z1255" s="39">
        <v>97.2</v>
      </c>
      <c r="AA1255" s="39">
        <v>0</v>
      </c>
      <c r="AB1255" s="39">
        <v>0</v>
      </c>
      <c r="AC1255" s="39">
        <v>0</v>
      </c>
      <c r="AD1255" s="39">
        <v>0</v>
      </c>
      <c r="AE1255" s="39">
        <v>0</v>
      </c>
      <c r="AF1255" s="39">
        <v>111.36</v>
      </c>
      <c r="AG1255" s="39">
        <v>0</v>
      </c>
      <c r="AH1255" s="39"/>
      <c r="AI1255" s="39"/>
      <c r="AJ1255" s="40"/>
      <c r="AK1255" s="39">
        <f t="shared" si="95"/>
        <v>0</v>
      </c>
      <c r="AL1255" s="39">
        <f t="shared" si="98"/>
        <v>17.38</v>
      </c>
      <c r="AM1255" s="39">
        <f t="shared" si="99"/>
        <v>18.559999999999999</v>
      </c>
      <c r="AN1255" s="39">
        <f t="shared" si="96"/>
        <v>20.856000000000002</v>
      </c>
      <c r="AO1255" s="39">
        <f t="shared" si="97"/>
        <v>208.56</v>
      </c>
    </row>
    <row r="1256" spans="1:41" x14ac:dyDescent="0.3">
      <c r="A1256" s="20">
        <v>1000184670</v>
      </c>
      <c r="B1256" s="4" t="s">
        <v>147</v>
      </c>
      <c r="C1256" s="21"/>
      <c r="D1256" s="3"/>
      <c r="E1256" s="20">
        <v>1000184757</v>
      </c>
      <c r="F1256" s="4" t="s">
        <v>62</v>
      </c>
      <c r="G1256" s="21">
        <v>1000189811</v>
      </c>
      <c r="H1256" s="3" t="s">
        <v>76</v>
      </c>
      <c r="I1256" s="21">
        <v>1000189270</v>
      </c>
      <c r="J1256" s="3" t="s">
        <v>34</v>
      </c>
      <c r="K1256" s="20" t="s">
        <v>124</v>
      </c>
      <c r="L1256" s="39">
        <v>0</v>
      </c>
      <c r="M1256" s="39">
        <v>0</v>
      </c>
      <c r="N1256" s="39">
        <v>0</v>
      </c>
      <c r="O1256" s="39">
        <v>0</v>
      </c>
      <c r="P1256" s="39">
        <v>0</v>
      </c>
      <c r="Q1256" s="39">
        <v>0</v>
      </c>
      <c r="R1256" s="39">
        <v>0</v>
      </c>
      <c r="S1256" s="39">
        <v>0</v>
      </c>
      <c r="T1256" s="39">
        <v>0</v>
      </c>
      <c r="U1256" s="39">
        <v>0</v>
      </c>
      <c r="V1256" s="39">
        <v>0</v>
      </c>
      <c r="W1256" s="39">
        <v>0</v>
      </c>
      <c r="X1256" s="39">
        <v>0</v>
      </c>
      <c r="Y1256" s="39">
        <v>0</v>
      </c>
      <c r="Z1256" s="39">
        <v>0</v>
      </c>
      <c r="AA1256" s="39">
        <v>0</v>
      </c>
      <c r="AB1256" s="39">
        <v>0</v>
      </c>
      <c r="AC1256" s="39">
        <v>0</v>
      </c>
      <c r="AD1256" s="39">
        <v>0</v>
      </c>
      <c r="AE1256" s="39">
        <v>0</v>
      </c>
      <c r="AF1256" s="39">
        <v>0</v>
      </c>
      <c r="AG1256" s="39">
        <v>0</v>
      </c>
      <c r="AH1256" s="39"/>
      <c r="AI1256" s="39"/>
      <c r="AJ1256" s="40"/>
      <c r="AK1256" s="39">
        <f t="shared" si="95"/>
        <v>0</v>
      </c>
      <c r="AL1256" s="39">
        <f t="shared" si="98"/>
        <v>0</v>
      </c>
      <c r="AM1256" s="39">
        <f t="shared" si="99"/>
        <v>0</v>
      </c>
      <c r="AN1256" s="39">
        <f t="shared" si="96"/>
        <v>0</v>
      </c>
      <c r="AO1256" s="39">
        <f t="shared" si="97"/>
        <v>0</v>
      </c>
    </row>
    <row r="1257" spans="1:41" x14ac:dyDescent="0.3">
      <c r="A1257" s="20">
        <v>1000184670</v>
      </c>
      <c r="B1257" s="4" t="s">
        <v>147</v>
      </c>
      <c r="C1257" s="21"/>
      <c r="D1257" s="3"/>
      <c r="E1257" s="20">
        <v>1000184757</v>
      </c>
      <c r="F1257" s="4" t="s">
        <v>62</v>
      </c>
      <c r="G1257" s="21">
        <v>1000189811</v>
      </c>
      <c r="H1257" s="3" t="s">
        <v>76</v>
      </c>
      <c r="I1257" s="21">
        <v>1000189270</v>
      </c>
      <c r="J1257" s="3" t="s">
        <v>34</v>
      </c>
      <c r="K1257" s="20" t="s">
        <v>13</v>
      </c>
      <c r="L1257" s="39">
        <v>0</v>
      </c>
      <c r="M1257" s="39">
        <v>0</v>
      </c>
      <c r="N1257" s="39">
        <v>0</v>
      </c>
      <c r="O1257" s="39">
        <v>0</v>
      </c>
      <c r="P1257" s="39">
        <v>0</v>
      </c>
      <c r="Q1257" s="39">
        <v>0</v>
      </c>
      <c r="R1257" s="39">
        <v>0</v>
      </c>
      <c r="S1257" s="39">
        <v>0</v>
      </c>
      <c r="T1257" s="39">
        <v>0</v>
      </c>
      <c r="U1257" s="39">
        <v>0</v>
      </c>
      <c r="V1257" s="39">
        <v>0</v>
      </c>
      <c r="W1257" s="39">
        <v>0</v>
      </c>
      <c r="X1257" s="39">
        <v>0</v>
      </c>
      <c r="Y1257" s="39">
        <v>0</v>
      </c>
      <c r="Z1257" s="39">
        <v>0</v>
      </c>
      <c r="AA1257" s="39">
        <v>0</v>
      </c>
      <c r="AB1257" s="39">
        <v>0</v>
      </c>
      <c r="AC1257" s="39">
        <v>0</v>
      </c>
      <c r="AD1257" s="39">
        <v>0</v>
      </c>
      <c r="AE1257" s="39">
        <v>0</v>
      </c>
      <c r="AF1257" s="39">
        <v>0</v>
      </c>
      <c r="AG1257" s="39">
        <v>0</v>
      </c>
      <c r="AH1257" s="39"/>
      <c r="AI1257" s="39"/>
      <c r="AJ1257" s="40"/>
      <c r="AK1257" s="39">
        <f t="shared" si="95"/>
        <v>0</v>
      </c>
      <c r="AL1257" s="39">
        <f t="shared" si="98"/>
        <v>0</v>
      </c>
      <c r="AM1257" s="39">
        <f t="shared" si="99"/>
        <v>0</v>
      </c>
      <c r="AN1257" s="39">
        <f t="shared" si="96"/>
        <v>0</v>
      </c>
      <c r="AO1257" s="39">
        <f t="shared" si="97"/>
        <v>0</v>
      </c>
    </row>
    <row r="1258" spans="1:41" x14ac:dyDescent="0.3">
      <c r="A1258" s="20">
        <v>1000184670</v>
      </c>
      <c r="B1258" s="4" t="s">
        <v>147</v>
      </c>
      <c r="C1258" s="21"/>
      <c r="D1258" s="3"/>
      <c r="E1258" s="20">
        <v>1000184757</v>
      </c>
      <c r="F1258" s="4" t="s">
        <v>62</v>
      </c>
      <c r="G1258" s="21">
        <v>1000189811</v>
      </c>
      <c r="H1258" s="3" t="s">
        <v>76</v>
      </c>
      <c r="I1258" s="21">
        <v>1000189270</v>
      </c>
      <c r="J1258" s="3" t="s">
        <v>34</v>
      </c>
      <c r="K1258" s="20" t="s">
        <v>14</v>
      </c>
      <c r="L1258" s="39">
        <v>0</v>
      </c>
      <c r="M1258" s="39">
        <v>0</v>
      </c>
      <c r="N1258" s="39">
        <v>0</v>
      </c>
      <c r="O1258" s="39">
        <v>0</v>
      </c>
      <c r="P1258" s="39">
        <v>0</v>
      </c>
      <c r="Q1258" s="39">
        <v>0</v>
      </c>
      <c r="R1258" s="39">
        <v>0</v>
      </c>
      <c r="S1258" s="39">
        <v>0</v>
      </c>
      <c r="T1258" s="39">
        <v>0</v>
      </c>
      <c r="U1258" s="39">
        <v>0</v>
      </c>
      <c r="V1258" s="39">
        <v>0</v>
      </c>
      <c r="W1258" s="39">
        <v>0</v>
      </c>
      <c r="X1258" s="39">
        <v>0</v>
      </c>
      <c r="Y1258" s="39">
        <v>0</v>
      </c>
      <c r="Z1258" s="39">
        <v>0</v>
      </c>
      <c r="AA1258" s="39">
        <v>0</v>
      </c>
      <c r="AB1258" s="39">
        <v>0</v>
      </c>
      <c r="AC1258" s="39">
        <v>0</v>
      </c>
      <c r="AD1258" s="39">
        <v>0</v>
      </c>
      <c r="AE1258" s="39">
        <v>0</v>
      </c>
      <c r="AF1258" s="39">
        <v>0</v>
      </c>
      <c r="AG1258" s="39">
        <v>0</v>
      </c>
      <c r="AH1258" s="39"/>
      <c r="AI1258" s="39"/>
      <c r="AJ1258" s="40"/>
      <c r="AK1258" s="39">
        <f t="shared" si="95"/>
        <v>0</v>
      </c>
      <c r="AL1258" s="39">
        <f t="shared" si="98"/>
        <v>0</v>
      </c>
      <c r="AM1258" s="39">
        <f t="shared" si="99"/>
        <v>0</v>
      </c>
      <c r="AN1258" s="39">
        <f t="shared" si="96"/>
        <v>0</v>
      </c>
      <c r="AO1258" s="39">
        <f t="shared" si="97"/>
        <v>0</v>
      </c>
    </row>
    <row r="1259" spans="1:41" x14ac:dyDescent="0.3">
      <c r="A1259" s="20">
        <v>1000184670</v>
      </c>
      <c r="B1259" s="4" t="s">
        <v>147</v>
      </c>
      <c r="C1259" s="21"/>
      <c r="D1259" s="3"/>
      <c r="E1259" s="20">
        <v>1000184757</v>
      </c>
      <c r="F1259" s="4" t="s">
        <v>62</v>
      </c>
      <c r="G1259" s="21">
        <v>1000189811</v>
      </c>
      <c r="H1259" s="3" t="s">
        <v>76</v>
      </c>
      <c r="I1259" s="21">
        <v>1000189270</v>
      </c>
      <c r="J1259" s="3" t="s">
        <v>34</v>
      </c>
      <c r="K1259" s="20" t="s">
        <v>16</v>
      </c>
      <c r="L1259" s="39">
        <v>0</v>
      </c>
      <c r="M1259" s="39">
        <v>0</v>
      </c>
      <c r="N1259" s="39">
        <v>0</v>
      </c>
      <c r="O1259" s="39">
        <v>0</v>
      </c>
      <c r="P1259" s="39">
        <v>0</v>
      </c>
      <c r="Q1259" s="39">
        <v>0</v>
      </c>
      <c r="R1259" s="39">
        <v>0</v>
      </c>
      <c r="S1259" s="39">
        <v>0</v>
      </c>
      <c r="T1259" s="39">
        <v>0</v>
      </c>
      <c r="U1259" s="39">
        <v>0</v>
      </c>
      <c r="V1259" s="39">
        <v>0</v>
      </c>
      <c r="W1259" s="39">
        <v>0</v>
      </c>
      <c r="X1259" s="39">
        <v>0</v>
      </c>
      <c r="Y1259" s="39">
        <v>0</v>
      </c>
      <c r="Z1259" s="39">
        <v>0</v>
      </c>
      <c r="AA1259" s="39">
        <v>0</v>
      </c>
      <c r="AB1259" s="39">
        <v>0</v>
      </c>
      <c r="AC1259" s="39">
        <v>0</v>
      </c>
      <c r="AD1259" s="39">
        <v>0</v>
      </c>
      <c r="AE1259" s="39">
        <v>0</v>
      </c>
      <c r="AF1259" s="39">
        <v>0</v>
      </c>
      <c r="AG1259" s="39">
        <v>0</v>
      </c>
      <c r="AH1259" s="39"/>
      <c r="AI1259" s="39"/>
      <c r="AJ1259" s="40"/>
      <c r="AK1259" s="39">
        <f t="shared" si="95"/>
        <v>0</v>
      </c>
      <c r="AL1259" s="39">
        <f t="shared" si="98"/>
        <v>0</v>
      </c>
      <c r="AM1259" s="39">
        <f t="shared" si="99"/>
        <v>0</v>
      </c>
      <c r="AN1259" s="39">
        <f t="shared" si="96"/>
        <v>0</v>
      </c>
      <c r="AO1259" s="39">
        <f t="shared" si="97"/>
        <v>0</v>
      </c>
    </row>
    <row r="1260" spans="1:41" x14ac:dyDescent="0.3">
      <c r="A1260" s="20">
        <v>1000184670</v>
      </c>
      <c r="B1260" s="4" t="s">
        <v>147</v>
      </c>
      <c r="C1260" s="21"/>
      <c r="D1260" s="3"/>
      <c r="E1260" s="20">
        <v>1000184757</v>
      </c>
      <c r="F1260" s="4" t="s">
        <v>62</v>
      </c>
      <c r="G1260" s="19">
        <v>1000189811</v>
      </c>
      <c r="H1260" s="3" t="s">
        <v>76</v>
      </c>
      <c r="I1260" s="21">
        <v>1000189270</v>
      </c>
      <c r="J1260" s="3" t="s">
        <v>34</v>
      </c>
      <c r="K1260" s="20" t="s">
        <v>15</v>
      </c>
      <c r="L1260" s="39">
        <v>0</v>
      </c>
      <c r="M1260" s="39">
        <v>0</v>
      </c>
      <c r="N1260" s="39">
        <v>0</v>
      </c>
      <c r="O1260" s="39">
        <v>0</v>
      </c>
      <c r="P1260" s="39">
        <v>0</v>
      </c>
      <c r="Q1260" s="39">
        <v>0</v>
      </c>
      <c r="R1260" s="39">
        <v>0</v>
      </c>
      <c r="S1260" s="39">
        <v>0</v>
      </c>
      <c r="T1260" s="39">
        <v>0</v>
      </c>
      <c r="U1260" s="39">
        <v>0</v>
      </c>
      <c r="V1260" s="39">
        <v>0</v>
      </c>
      <c r="W1260" s="39">
        <v>0</v>
      </c>
      <c r="X1260" s="39">
        <v>0</v>
      </c>
      <c r="Y1260" s="39">
        <v>0</v>
      </c>
      <c r="Z1260" s="39">
        <v>0</v>
      </c>
      <c r="AA1260" s="39">
        <v>0</v>
      </c>
      <c r="AB1260" s="39">
        <v>0</v>
      </c>
      <c r="AC1260" s="39">
        <v>0</v>
      </c>
      <c r="AD1260" s="39">
        <v>0</v>
      </c>
      <c r="AE1260" s="39">
        <v>0</v>
      </c>
      <c r="AF1260" s="39">
        <v>0</v>
      </c>
      <c r="AG1260" s="39">
        <v>0</v>
      </c>
      <c r="AH1260" s="39"/>
      <c r="AI1260" s="39"/>
      <c r="AJ1260" s="40"/>
      <c r="AK1260" s="39">
        <f t="shared" si="95"/>
        <v>0</v>
      </c>
      <c r="AL1260" s="39">
        <f t="shared" si="98"/>
        <v>0</v>
      </c>
      <c r="AM1260" s="39">
        <f t="shared" si="99"/>
        <v>0</v>
      </c>
      <c r="AN1260" s="39">
        <f t="shared" si="96"/>
        <v>0</v>
      </c>
      <c r="AO1260" s="39">
        <f t="shared" si="97"/>
        <v>0</v>
      </c>
    </row>
    <row r="1261" spans="1:41" x14ac:dyDescent="0.3">
      <c r="A1261" s="20">
        <v>1000184670</v>
      </c>
      <c r="B1261" s="4" t="s">
        <v>147</v>
      </c>
      <c r="C1261" s="21"/>
      <c r="D1261" s="3"/>
      <c r="E1261" s="20">
        <v>1000184757</v>
      </c>
      <c r="F1261" s="4" t="s">
        <v>62</v>
      </c>
      <c r="G1261" s="19">
        <v>1000189811</v>
      </c>
      <c r="H1261" s="3" t="s">
        <v>76</v>
      </c>
      <c r="I1261" s="21">
        <v>1000189270</v>
      </c>
      <c r="J1261" s="3" t="s">
        <v>34</v>
      </c>
      <c r="K1261" s="20" t="s">
        <v>33</v>
      </c>
      <c r="L1261" s="39">
        <v>0</v>
      </c>
      <c r="M1261" s="39">
        <v>0</v>
      </c>
      <c r="N1261" s="39">
        <v>0</v>
      </c>
      <c r="O1261" s="39">
        <v>0</v>
      </c>
      <c r="P1261" s="39">
        <v>0</v>
      </c>
      <c r="Q1261" s="39">
        <v>0</v>
      </c>
      <c r="R1261" s="39">
        <v>0</v>
      </c>
      <c r="S1261" s="39">
        <v>0</v>
      </c>
      <c r="T1261" s="39">
        <v>0</v>
      </c>
      <c r="U1261" s="39">
        <v>0</v>
      </c>
      <c r="V1261" s="39">
        <v>0</v>
      </c>
      <c r="W1261" s="39">
        <v>0</v>
      </c>
      <c r="X1261" s="39">
        <v>0</v>
      </c>
      <c r="Y1261" s="39">
        <v>0</v>
      </c>
      <c r="Z1261" s="39">
        <v>0</v>
      </c>
      <c r="AA1261" s="39">
        <v>0</v>
      </c>
      <c r="AB1261" s="39">
        <v>0</v>
      </c>
      <c r="AC1261" s="39">
        <v>0</v>
      </c>
      <c r="AD1261" s="39">
        <v>0</v>
      </c>
      <c r="AE1261" s="39">
        <v>0</v>
      </c>
      <c r="AF1261" s="39">
        <v>0</v>
      </c>
      <c r="AG1261" s="39">
        <v>0</v>
      </c>
      <c r="AH1261" s="39"/>
      <c r="AI1261" s="39"/>
      <c r="AJ1261" s="40"/>
      <c r="AK1261" s="39">
        <f t="shared" si="95"/>
        <v>0</v>
      </c>
      <c r="AL1261" s="39">
        <f t="shared" si="98"/>
        <v>0</v>
      </c>
      <c r="AM1261" s="39">
        <f t="shared" si="99"/>
        <v>0</v>
      </c>
      <c r="AN1261" s="39">
        <f t="shared" si="96"/>
        <v>0</v>
      </c>
      <c r="AO1261" s="39">
        <f t="shared" si="97"/>
        <v>0</v>
      </c>
    </row>
    <row r="1262" spans="1:41" x14ac:dyDescent="0.3">
      <c r="A1262" s="20">
        <v>1000184670</v>
      </c>
      <c r="B1262" s="4" t="s">
        <v>147</v>
      </c>
      <c r="C1262" s="21"/>
      <c r="D1262" s="3"/>
      <c r="E1262" s="20">
        <v>1000184757</v>
      </c>
      <c r="F1262" s="4" t="s">
        <v>62</v>
      </c>
      <c r="G1262" s="21">
        <v>1000189811</v>
      </c>
      <c r="H1262" s="3" t="s">
        <v>76</v>
      </c>
      <c r="I1262" s="21">
        <v>1000189270</v>
      </c>
      <c r="J1262" s="3" t="s">
        <v>34</v>
      </c>
      <c r="K1262" s="20" t="s">
        <v>19</v>
      </c>
      <c r="L1262" s="39">
        <v>0</v>
      </c>
      <c r="M1262" s="39">
        <v>0</v>
      </c>
      <c r="N1262" s="39">
        <v>0</v>
      </c>
      <c r="O1262" s="39">
        <v>0</v>
      </c>
      <c r="P1262" s="39">
        <v>0</v>
      </c>
      <c r="Q1262" s="39">
        <v>0</v>
      </c>
      <c r="R1262" s="39">
        <v>0</v>
      </c>
      <c r="S1262" s="39">
        <v>0</v>
      </c>
      <c r="T1262" s="39">
        <v>0</v>
      </c>
      <c r="U1262" s="39">
        <v>0</v>
      </c>
      <c r="V1262" s="39">
        <v>0</v>
      </c>
      <c r="W1262" s="39">
        <v>0</v>
      </c>
      <c r="X1262" s="39">
        <v>0</v>
      </c>
      <c r="Y1262" s="39">
        <v>0</v>
      </c>
      <c r="Z1262" s="39">
        <v>0</v>
      </c>
      <c r="AA1262" s="39">
        <v>0</v>
      </c>
      <c r="AB1262" s="39">
        <v>0</v>
      </c>
      <c r="AC1262" s="39">
        <v>0</v>
      </c>
      <c r="AD1262" s="39">
        <v>0</v>
      </c>
      <c r="AE1262" s="39">
        <v>0</v>
      </c>
      <c r="AF1262" s="39">
        <v>0</v>
      </c>
      <c r="AG1262" s="39">
        <v>0</v>
      </c>
      <c r="AH1262" s="39"/>
      <c r="AI1262" s="39"/>
      <c r="AJ1262" s="40"/>
      <c r="AK1262" s="39">
        <f t="shared" si="95"/>
        <v>0</v>
      </c>
      <c r="AL1262" s="39">
        <f t="shared" si="98"/>
        <v>0</v>
      </c>
      <c r="AM1262" s="39">
        <f t="shared" si="99"/>
        <v>0</v>
      </c>
      <c r="AN1262" s="39">
        <f t="shared" si="96"/>
        <v>0</v>
      </c>
      <c r="AO1262" s="39">
        <f t="shared" si="97"/>
        <v>0</v>
      </c>
    </row>
    <row r="1263" spans="1:41" x14ac:dyDescent="0.3">
      <c r="A1263" s="20">
        <v>1000184670</v>
      </c>
      <c r="B1263" s="4" t="s">
        <v>147</v>
      </c>
      <c r="C1263" s="21"/>
      <c r="D1263" s="3"/>
      <c r="E1263" s="20">
        <v>1000184757</v>
      </c>
      <c r="F1263" s="4" t="s">
        <v>62</v>
      </c>
      <c r="G1263" s="21">
        <v>1000189811</v>
      </c>
      <c r="H1263" s="3" t="s">
        <v>76</v>
      </c>
      <c r="I1263" s="21">
        <v>1000189270</v>
      </c>
      <c r="J1263" s="3" t="s">
        <v>34</v>
      </c>
      <c r="K1263" s="20" t="s">
        <v>17</v>
      </c>
      <c r="L1263" s="39">
        <v>0</v>
      </c>
      <c r="M1263" s="39">
        <v>0</v>
      </c>
      <c r="N1263" s="39">
        <v>0</v>
      </c>
      <c r="O1263" s="39">
        <v>0</v>
      </c>
      <c r="P1263" s="39">
        <v>0</v>
      </c>
      <c r="Q1263" s="39">
        <v>0</v>
      </c>
      <c r="R1263" s="39">
        <v>0</v>
      </c>
      <c r="S1263" s="39">
        <v>0</v>
      </c>
      <c r="T1263" s="39">
        <v>0</v>
      </c>
      <c r="U1263" s="39">
        <v>0</v>
      </c>
      <c r="V1263" s="39">
        <v>0</v>
      </c>
      <c r="W1263" s="39">
        <v>0</v>
      </c>
      <c r="X1263" s="39">
        <v>0</v>
      </c>
      <c r="Y1263" s="39">
        <v>0</v>
      </c>
      <c r="Z1263" s="39">
        <v>0</v>
      </c>
      <c r="AA1263" s="39">
        <v>0</v>
      </c>
      <c r="AB1263" s="39">
        <v>0</v>
      </c>
      <c r="AC1263" s="39">
        <v>0</v>
      </c>
      <c r="AD1263" s="39">
        <v>0</v>
      </c>
      <c r="AE1263" s="39">
        <v>0</v>
      </c>
      <c r="AF1263" s="39">
        <v>0</v>
      </c>
      <c r="AG1263" s="39">
        <v>0</v>
      </c>
      <c r="AH1263" s="39"/>
      <c r="AI1263" s="39"/>
      <c r="AJ1263" s="40"/>
      <c r="AK1263" s="39">
        <f t="shared" si="95"/>
        <v>0</v>
      </c>
      <c r="AL1263" s="39">
        <f t="shared" si="98"/>
        <v>0</v>
      </c>
      <c r="AM1263" s="39">
        <f t="shared" si="99"/>
        <v>0</v>
      </c>
      <c r="AN1263" s="39">
        <f t="shared" si="96"/>
        <v>0</v>
      </c>
      <c r="AO1263" s="39">
        <f t="shared" si="97"/>
        <v>0</v>
      </c>
    </row>
    <row r="1264" spans="1:41" x14ac:dyDescent="0.3">
      <c r="A1264" s="20">
        <v>1000184670</v>
      </c>
      <c r="B1264" s="4" t="s">
        <v>147</v>
      </c>
      <c r="C1264" s="21"/>
      <c r="D1264" s="3"/>
      <c r="E1264" s="20">
        <v>1000184757</v>
      </c>
      <c r="F1264" s="4" t="s">
        <v>62</v>
      </c>
      <c r="G1264" s="21">
        <v>1000189811</v>
      </c>
      <c r="H1264" s="3" t="s">
        <v>76</v>
      </c>
      <c r="I1264" s="21">
        <v>1000189270</v>
      </c>
      <c r="J1264" s="3" t="s">
        <v>34</v>
      </c>
      <c r="K1264" s="20" t="s">
        <v>24</v>
      </c>
      <c r="L1264" s="39">
        <v>0</v>
      </c>
      <c r="M1264" s="39">
        <v>0</v>
      </c>
      <c r="N1264" s="39">
        <v>0</v>
      </c>
      <c r="O1264" s="39">
        <v>0</v>
      </c>
      <c r="P1264" s="39">
        <v>0</v>
      </c>
      <c r="Q1264" s="39">
        <v>0</v>
      </c>
      <c r="R1264" s="39">
        <v>0</v>
      </c>
      <c r="S1264" s="39">
        <v>0</v>
      </c>
      <c r="T1264" s="39">
        <v>0</v>
      </c>
      <c r="U1264" s="39">
        <v>0</v>
      </c>
      <c r="V1264" s="39">
        <v>0</v>
      </c>
      <c r="W1264" s="39">
        <v>0</v>
      </c>
      <c r="X1264" s="39">
        <v>0</v>
      </c>
      <c r="Y1264" s="39">
        <v>0</v>
      </c>
      <c r="Z1264" s="39">
        <v>0</v>
      </c>
      <c r="AA1264" s="39">
        <v>0</v>
      </c>
      <c r="AB1264" s="39">
        <v>0</v>
      </c>
      <c r="AC1264" s="39">
        <v>0</v>
      </c>
      <c r="AD1264" s="39">
        <v>0</v>
      </c>
      <c r="AE1264" s="39">
        <v>0</v>
      </c>
      <c r="AF1264" s="39">
        <v>0</v>
      </c>
      <c r="AG1264" s="39">
        <v>0</v>
      </c>
      <c r="AH1264" s="39"/>
      <c r="AI1264" s="39"/>
      <c r="AJ1264" s="40"/>
      <c r="AK1264" s="39">
        <f t="shared" ref="AK1264:AK1327" si="100">AVERAGE(L1264:W1264)</f>
        <v>0</v>
      </c>
      <c r="AL1264" s="39">
        <f t="shared" si="98"/>
        <v>0</v>
      </c>
      <c r="AM1264" s="39">
        <f t="shared" si="99"/>
        <v>0</v>
      </c>
      <c r="AN1264" s="39">
        <f t="shared" ref="AN1264:AN1327" si="101">AVERAGE(X1264:AI1264)</f>
        <v>0</v>
      </c>
      <c r="AO1264" s="39">
        <f t="shared" ref="AO1264:AO1327" si="102">SUM(X1264:AI1264)</f>
        <v>0</v>
      </c>
    </row>
    <row r="1265" spans="1:41" x14ac:dyDescent="0.3">
      <c r="A1265" s="20">
        <v>1000184670</v>
      </c>
      <c r="B1265" s="4" t="s">
        <v>147</v>
      </c>
      <c r="C1265" s="21"/>
      <c r="D1265" s="3"/>
      <c r="E1265" s="20">
        <v>1000184757</v>
      </c>
      <c r="F1265" s="4" t="s">
        <v>62</v>
      </c>
      <c r="G1265" s="21">
        <v>1000189811</v>
      </c>
      <c r="H1265" s="3" t="s">
        <v>76</v>
      </c>
      <c r="I1265" s="21">
        <v>1000189270</v>
      </c>
      <c r="J1265" s="3" t="s">
        <v>34</v>
      </c>
      <c r="K1265" s="20" t="s">
        <v>18</v>
      </c>
      <c r="L1265" s="39">
        <v>0</v>
      </c>
      <c r="M1265" s="39">
        <v>0</v>
      </c>
      <c r="N1265" s="39">
        <v>0</v>
      </c>
      <c r="O1265" s="39">
        <v>0</v>
      </c>
      <c r="P1265" s="39">
        <v>0</v>
      </c>
      <c r="Q1265" s="39">
        <v>0</v>
      </c>
      <c r="R1265" s="39">
        <v>0</v>
      </c>
      <c r="S1265" s="39">
        <v>0</v>
      </c>
      <c r="T1265" s="39">
        <v>0</v>
      </c>
      <c r="U1265" s="39">
        <v>0</v>
      </c>
      <c r="V1265" s="39">
        <v>0</v>
      </c>
      <c r="W1265" s="39">
        <v>0</v>
      </c>
      <c r="X1265" s="39">
        <v>0</v>
      </c>
      <c r="Y1265" s="39">
        <v>0</v>
      </c>
      <c r="Z1265" s="39">
        <v>0</v>
      </c>
      <c r="AA1265" s="39">
        <v>0</v>
      </c>
      <c r="AB1265" s="39">
        <v>0</v>
      </c>
      <c r="AC1265" s="39">
        <v>0</v>
      </c>
      <c r="AD1265" s="39">
        <v>0</v>
      </c>
      <c r="AE1265" s="39">
        <v>0</v>
      </c>
      <c r="AF1265" s="39">
        <v>0</v>
      </c>
      <c r="AG1265" s="39">
        <v>0</v>
      </c>
      <c r="AH1265" s="39"/>
      <c r="AI1265" s="39"/>
      <c r="AJ1265" s="40"/>
      <c r="AK1265" s="39">
        <f t="shared" si="100"/>
        <v>0</v>
      </c>
      <c r="AL1265" s="39">
        <f t="shared" si="98"/>
        <v>0</v>
      </c>
      <c r="AM1265" s="39">
        <f t="shared" si="99"/>
        <v>0</v>
      </c>
      <c r="AN1265" s="39">
        <f t="shared" si="101"/>
        <v>0</v>
      </c>
      <c r="AO1265" s="39">
        <f t="shared" si="102"/>
        <v>0</v>
      </c>
    </row>
    <row r="1266" spans="1:41" x14ac:dyDescent="0.3">
      <c r="A1266" s="20">
        <v>1000184670</v>
      </c>
      <c r="B1266" s="4" t="s">
        <v>147</v>
      </c>
      <c r="C1266" s="21"/>
      <c r="D1266" s="3"/>
      <c r="E1266" s="20">
        <v>1000184757</v>
      </c>
      <c r="F1266" s="4" t="s">
        <v>62</v>
      </c>
      <c r="G1266" s="21">
        <v>1000189811</v>
      </c>
      <c r="H1266" s="3" t="s">
        <v>76</v>
      </c>
      <c r="I1266" s="21">
        <v>1000189270</v>
      </c>
      <c r="J1266" s="3" t="s">
        <v>34</v>
      </c>
      <c r="K1266" s="20" t="s">
        <v>29</v>
      </c>
      <c r="L1266" s="39">
        <v>0</v>
      </c>
      <c r="M1266" s="39">
        <v>0</v>
      </c>
      <c r="N1266" s="39">
        <v>0</v>
      </c>
      <c r="O1266" s="39">
        <v>0</v>
      </c>
      <c r="P1266" s="39">
        <v>0</v>
      </c>
      <c r="Q1266" s="39">
        <v>0</v>
      </c>
      <c r="R1266" s="39">
        <v>0</v>
      </c>
      <c r="S1266" s="39">
        <v>0</v>
      </c>
      <c r="T1266" s="39">
        <v>0</v>
      </c>
      <c r="U1266" s="39">
        <v>0</v>
      </c>
      <c r="V1266" s="39">
        <v>0</v>
      </c>
      <c r="W1266" s="39">
        <v>0</v>
      </c>
      <c r="X1266" s="39">
        <v>0</v>
      </c>
      <c r="Y1266" s="39">
        <v>0</v>
      </c>
      <c r="Z1266" s="39">
        <v>0</v>
      </c>
      <c r="AA1266" s="39">
        <v>0</v>
      </c>
      <c r="AB1266" s="39">
        <v>0</v>
      </c>
      <c r="AC1266" s="39">
        <v>0</v>
      </c>
      <c r="AD1266" s="39">
        <v>0</v>
      </c>
      <c r="AE1266" s="39">
        <v>0</v>
      </c>
      <c r="AF1266" s="39">
        <v>0</v>
      </c>
      <c r="AG1266" s="39">
        <v>0</v>
      </c>
      <c r="AH1266" s="39"/>
      <c r="AI1266" s="39"/>
      <c r="AJ1266" s="40"/>
      <c r="AK1266" s="39">
        <f t="shared" si="100"/>
        <v>0</v>
      </c>
      <c r="AL1266" s="39">
        <f t="shared" si="98"/>
        <v>0</v>
      </c>
      <c r="AM1266" s="39">
        <f t="shared" si="99"/>
        <v>0</v>
      </c>
      <c r="AN1266" s="39">
        <f t="shared" si="101"/>
        <v>0</v>
      </c>
      <c r="AO1266" s="39">
        <f t="shared" si="102"/>
        <v>0</v>
      </c>
    </row>
    <row r="1267" spans="1:41" x14ac:dyDescent="0.3">
      <c r="A1267" s="20">
        <v>1000184670</v>
      </c>
      <c r="B1267" s="4" t="s">
        <v>147</v>
      </c>
      <c r="C1267" s="21"/>
      <c r="D1267" s="3"/>
      <c r="E1267" s="20">
        <v>1000184757</v>
      </c>
      <c r="F1267" s="4" t="s">
        <v>62</v>
      </c>
      <c r="G1267" s="21">
        <v>1000189811</v>
      </c>
      <c r="H1267" s="3" t="s">
        <v>76</v>
      </c>
      <c r="I1267" s="21">
        <v>1000189270</v>
      </c>
      <c r="J1267" s="3" t="s">
        <v>34</v>
      </c>
      <c r="K1267" s="20" t="s">
        <v>21</v>
      </c>
      <c r="L1267" s="39">
        <v>0</v>
      </c>
      <c r="M1267" s="39">
        <v>0</v>
      </c>
      <c r="N1267" s="39">
        <v>0</v>
      </c>
      <c r="O1267" s="39">
        <v>0</v>
      </c>
      <c r="P1267" s="39">
        <v>0</v>
      </c>
      <c r="Q1267" s="39">
        <v>0</v>
      </c>
      <c r="R1267" s="39">
        <v>0</v>
      </c>
      <c r="S1267" s="39">
        <v>0</v>
      </c>
      <c r="T1267" s="39">
        <v>0</v>
      </c>
      <c r="U1267" s="39">
        <v>0</v>
      </c>
      <c r="V1267" s="39">
        <v>0</v>
      </c>
      <c r="W1267" s="39">
        <v>0</v>
      </c>
      <c r="X1267" s="39">
        <v>0</v>
      </c>
      <c r="Y1267" s="39">
        <v>0</v>
      </c>
      <c r="Z1267" s="39">
        <v>0</v>
      </c>
      <c r="AA1267" s="39">
        <v>0</v>
      </c>
      <c r="AB1267" s="39">
        <v>0</v>
      </c>
      <c r="AC1267" s="39">
        <v>0</v>
      </c>
      <c r="AD1267" s="39">
        <v>0</v>
      </c>
      <c r="AE1267" s="39">
        <v>0</v>
      </c>
      <c r="AF1267" s="39">
        <v>0</v>
      </c>
      <c r="AG1267" s="39">
        <v>0</v>
      </c>
      <c r="AH1267" s="39"/>
      <c r="AI1267" s="39"/>
      <c r="AJ1267" s="40"/>
      <c r="AK1267" s="39">
        <f t="shared" si="100"/>
        <v>0</v>
      </c>
      <c r="AL1267" s="39">
        <f t="shared" si="98"/>
        <v>0</v>
      </c>
      <c r="AM1267" s="39">
        <f t="shared" si="99"/>
        <v>0</v>
      </c>
      <c r="AN1267" s="39">
        <f t="shared" si="101"/>
        <v>0</v>
      </c>
      <c r="AO1267" s="39">
        <f t="shared" si="102"/>
        <v>0</v>
      </c>
    </row>
    <row r="1268" spans="1:41" x14ac:dyDescent="0.3">
      <c r="A1268" s="20">
        <v>1000184670</v>
      </c>
      <c r="B1268" s="4" t="s">
        <v>147</v>
      </c>
      <c r="C1268" s="21"/>
      <c r="D1268" s="3"/>
      <c r="E1268" s="20">
        <v>1000184757</v>
      </c>
      <c r="F1268" s="4" t="s">
        <v>62</v>
      </c>
      <c r="G1268" s="21">
        <v>1000189811</v>
      </c>
      <c r="H1268" s="3" t="s">
        <v>76</v>
      </c>
      <c r="I1268" s="21">
        <v>1000189270</v>
      </c>
      <c r="J1268" s="3" t="s">
        <v>34</v>
      </c>
      <c r="K1268" s="20" t="s">
        <v>20</v>
      </c>
      <c r="L1268" s="39">
        <v>0</v>
      </c>
      <c r="M1268" s="39">
        <v>0</v>
      </c>
      <c r="N1268" s="39">
        <v>0</v>
      </c>
      <c r="O1268" s="39">
        <v>0</v>
      </c>
      <c r="P1268" s="39">
        <v>0</v>
      </c>
      <c r="Q1268" s="39">
        <v>0</v>
      </c>
      <c r="R1268" s="39">
        <v>0</v>
      </c>
      <c r="S1268" s="39">
        <v>0</v>
      </c>
      <c r="T1268" s="39">
        <v>0</v>
      </c>
      <c r="U1268" s="39">
        <v>0</v>
      </c>
      <c r="V1268" s="39">
        <v>0</v>
      </c>
      <c r="W1268" s="39">
        <v>0</v>
      </c>
      <c r="X1268" s="39">
        <v>0</v>
      </c>
      <c r="Y1268" s="39">
        <v>0</v>
      </c>
      <c r="Z1268" s="39">
        <v>0</v>
      </c>
      <c r="AA1268" s="39">
        <v>0</v>
      </c>
      <c r="AB1268" s="39">
        <v>0</v>
      </c>
      <c r="AC1268" s="39">
        <v>0</v>
      </c>
      <c r="AD1268" s="39">
        <v>0</v>
      </c>
      <c r="AE1268" s="39">
        <v>0</v>
      </c>
      <c r="AF1268" s="39">
        <v>0</v>
      </c>
      <c r="AG1268" s="39">
        <v>0</v>
      </c>
      <c r="AH1268" s="39"/>
      <c r="AI1268" s="39"/>
      <c r="AJ1268" s="40"/>
      <c r="AK1268" s="39">
        <f t="shared" si="100"/>
        <v>0</v>
      </c>
      <c r="AL1268" s="39">
        <f t="shared" si="98"/>
        <v>0</v>
      </c>
      <c r="AM1268" s="39">
        <f t="shared" si="99"/>
        <v>0</v>
      </c>
      <c r="AN1268" s="39">
        <f t="shared" si="101"/>
        <v>0</v>
      </c>
      <c r="AO1268" s="39">
        <f t="shared" si="102"/>
        <v>0</v>
      </c>
    </row>
    <row r="1269" spans="1:41" x14ac:dyDescent="0.3">
      <c r="A1269" s="20">
        <v>1000184670</v>
      </c>
      <c r="B1269" s="4" t="s">
        <v>147</v>
      </c>
      <c r="C1269" s="21"/>
      <c r="D1269" s="3"/>
      <c r="E1269" s="20">
        <v>1000184757</v>
      </c>
      <c r="F1269" s="4" t="s">
        <v>62</v>
      </c>
      <c r="G1269" s="21">
        <v>1000189811</v>
      </c>
      <c r="H1269" s="3" t="s">
        <v>76</v>
      </c>
      <c r="I1269" s="21">
        <v>1000189270</v>
      </c>
      <c r="J1269" s="3" t="s">
        <v>34</v>
      </c>
      <c r="K1269" s="20" t="s">
        <v>22</v>
      </c>
      <c r="L1269" s="39">
        <v>0</v>
      </c>
      <c r="M1269" s="39">
        <v>0</v>
      </c>
      <c r="N1269" s="39">
        <v>0</v>
      </c>
      <c r="O1269" s="39">
        <v>0</v>
      </c>
      <c r="P1269" s="39">
        <v>0</v>
      </c>
      <c r="Q1269" s="39">
        <v>0</v>
      </c>
      <c r="R1269" s="39">
        <v>0</v>
      </c>
      <c r="S1269" s="39">
        <v>0</v>
      </c>
      <c r="T1269" s="39">
        <v>0</v>
      </c>
      <c r="U1269" s="39">
        <v>0</v>
      </c>
      <c r="V1269" s="39">
        <v>0</v>
      </c>
      <c r="W1269" s="39">
        <v>0</v>
      </c>
      <c r="X1269" s="39">
        <v>0</v>
      </c>
      <c r="Y1269" s="39">
        <v>0</v>
      </c>
      <c r="Z1269" s="39">
        <v>0</v>
      </c>
      <c r="AA1269" s="39">
        <v>0</v>
      </c>
      <c r="AB1269" s="39">
        <v>0</v>
      </c>
      <c r="AC1269" s="39">
        <v>0</v>
      </c>
      <c r="AD1269" s="39">
        <v>0</v>
      </c>
      <c r="AE1269" s="39">
        <v>0</v>
      </c>
      <c r="AF1269" s="39">
        <v>0</v>
      </c>
      <c r="AG1269" s="39">
        <v>0</v>
      </c>
      <c r="AH1269" s="39"/>
      <c r="AI1269" s="39"/>
      <c r="AJ1269" s="40"/>
      <c r="AK1269" s="39">
        <f t="shared" si="100"/>
        <v>0</v>
      </c>
      <c r="AL1269" s="39">
        <f t="shared" si="98"/>
        <v>0</v>
      </c>
      <c r="AM1269" s="39">
        <f t="shared" si="99"/>
        <v>0</v>
      </c>
      <c r="AN1269" s="39">
        <f t="shared" si="101"/>
        <v>0</v>
      </c>
      <c r="AO1269" s="39">
        <f t="shared" si="102"/>
        <v>0</v>
      </c>
    </row>
    <row r="1270" spans="1:41" x14ac:dyDescent="0.3">
      <c r="A1270" s="20">
        <v>1000184670</v>
      </c>
      <c r="B1270" s="4" t="s">
        <v>147</v>
      </c>
      <c r="C1270" s="21"/>
      <c r="D1270" s="3"/>
      <c r="E1270" s="20">
        <v>1000184757</v>
      </c>
      <c r="F1270" s="4" t="s">
        <v>62</v>
      </c>
      <c r="G1270" s="21">
        <v>1000189811</v>
      </c>
      <c r="H1270" s="3" t="s">
        <v>76</v>
      </c>
      <c r="I1270" s="21">
        <v>1000189270</v>
      </c>
      <c r="J1270" s="3" t="s">
        <v>34</v>
      </c>
      <c r="K1270" s="20" t="s">
        <v>23</v>
      </c>
      <c r="L1270" s="39">
        <v>0</v>
      </c>
      <c r="M1270" s="39">
        <v>0</v>
      </c>
      <c r="N1270" s="39">
        <v>0</v>
      </c>
      <c r="O1270" s="39">
        <v>0</v>
      </c>
      <c r="P1270" s="39">
        <v>0</v>
      </c>
      <c r="Q1270" s="39">
        <v>0</v>
      </c>
      <c r="R1270" s="39">
        <v>0</v>
      </c>
      <c r="S1270" s="39">
        <v>0</v>
      </c>
      <c r="T1270" s="39">
        <v>0</v>
      </c>
      <c r="U1270" s="39">
        <v>0</v>
      </c>
      <c r="V1270" s="39">
        <v>0</v>
      </c>
      <c r="W1270" s="39">
        <v>0</v>
      </c>
      <c r="X1270" s="39">
        <v>0</v>
      </c>
      <c r="Y1270" s="39">
        <v>0</v>
      </c>
      <c r="Z1270" s="39">
        <v>0</v>
      </c>
      <c r="AA1270" s="39">
        <v>0</v>
      </c>
      <c r="AB1270" s="39">
        <v>0</v>
      </c>
      <c r="AC1270" s="39">
        <v>0</v>
      </c>
      <c r="AD1270" s="39">
        <v>0</v>
      </c>
      <c r="AE1270" s="39">
        <v>0</v>
      </c>
      <c r="AF1270" s="39">
        <v>0</v>
      </c>
      <c r="AG1270" s="39">
        <v>0</v>
      </c>
      <c r="AH1270" s="39"/>
      <c r="AI1270" s="39"/>
      <c r="AJ1270" s="40"/>
      <c r="AK1270" s="39">
        <f t="shared" si="100"/>
        <v>0</v>
      </c>
      <c r="AL1270" s="39">
        <f t="shared" si="98"/>
        <v>0</v>
      </c>
      <c r="AM1270" s="39">
        <f t="shared" si="99"/>
        <v>0</v>
      </c>
      <c r="AN1270" s="39">
        <f t="shared" si="101"/>
        <v>0</v>
      </c>
      <c r="AO1270" s="39">
        <f t="shared" si="102"/>
        <v>0</v>
      </c>
    </row>
    <row r="1271" spans="1:41" x14ac:dyDescent="0.3">
      <c r="A1271" s="20">
        <v>1000184670</v>
      </c>
      <c r="B1271" s="4" t="s">
        <v>147</v>
      </c>
      <c r="C1271" s="21"/>
      <c r="D1271" s="3"/>
      <c r="E1271" s="20">
        <v>1000184757</v>
      </c>
      <c r="F1271" s="4" t="s">
        <v>62</v>
      </c>
      <c r="G1271" s="21">
        <v>1000189811</v>
      </c>
      <c r="H1271" s="3" t="s">
        <v>76</v>
      </c>
      <c r="I1271" s="21">
        <v>1000189270</v>
      </c>
      <c r="J1271" s="3" t="s">
        <v>34</v>
      </c>
      <c r="K1271" s="20" t="s">
        <v>28</v>
      </c>
      <c r="L1271" s="39">
        <v>0</v>
      </c>
      <c r="M1271" s="39">
        <v>0</v>
      </c>
      <c r="N1271" s="39">
        <v>0</v>
      </c>
      <c r="O1271" s="39">
        <v>0</v>
      </c>
      <c r="P1271" s="39">
        <v>0</v>
      </c>
      <c r="Q1271" s="39">
        <v>0</v>
      </c>
      <c r="R1271" s="39">
        <v>0</v>
      </c>
      <c r="S1271" s="39">
        <v>0</v>
      </c>
      <c r="T1271" s="39">
        <v>0</v>
      </c>
      <c r="U1271" s="39">
        <v>0</v>
      </c>
      <c r="V1271" s="39">
        <v>0</v>
      </c>
      <c r="W1271" s="39">
        <v>0</v>
      </c>
      <c r="X1271" s="39">
        <v>0</v>
      </c>
      <c r="Y1271" s="39">
        <v>0</v>
      </c>
      <c r="Z1271" s="39">
        <v>0</v>
      </c>
      <c r="AA1271" s="39">
        <v>0</v>
      </c>
      <c r="AB1271" s="39">
        <v>0</v>
      </c>
      <c r="AC1271" s="39">
        <v>0</v>
      </c>
      <c r="AD1271" s="39">
        <v>0</v>
      </c>
      <c r="AE1271" s="39">
        <v>0</v>
      </c>
      <c r="AF1271" s="39">
        <v>0</v>
      </c>
      <c r="AG1271" s="39">
        <v>0</v>
      </c>
      <c r="AH1271" s="39"/>
      <c r="AI1271" s="39"/>
      <c r="AJ1271" s="40"/>
      <c r="AK1271" s="39">
        <f t="shared" si="100"/>
        <v>0</v>
      </c>
      <c r="AL1271" s="39">
        <f t="shared" si="98"/>
        <v>0</v>
      </c>
      <c r="AM1271" s="39">
        <f t="shared" si="99"/>
        <v>0</v>
      </c>
      <c r="AN1271" s="39">
        <f t="shared" si="101"/>
        <v>0</v>
      </c>
      <c r="AO1271" s="39">
        <f t="shared" si="102"/>
        <v>0</v>
      </c>
    </row>
    <row r="1272" spans="1:41" x14ac:dyDescent="0.3">
      <c r="A1272" s="20">
        <v>1000184670</v>
      </c>
      <c r="B1272" s="4" t="s">
        <v>147</v>
      </c>
      <c r="C1272" s="21"/>
      <c r="D1272" s="3"/>
      <c r="E1272" s="20">
        <v>1000184757</v>
      </c>
      <c r="F1272" s="4" t="s">
        <v>62</v>
      </c>
      <c r="G1272" s="21">
        <v>1000189811</v>
      </c>
      <c r="H1272" s="3" t="s">
        <v>76</v>
      </c>
      <c r="I1272" s="21">
        <v>1000189270</v>
      </c>
      <c r="J1272" s="3" t="s">
        <v>34</v>
      </c>
      <c r="K1272" s="20" t="s">
        <v>26</v>
      </c>
      <c r="L1272" s="39">
        <v>0</v>
      </c>
      <c r="M1272" s="39">
        <v>0</v>
      </c>
      <c r="N1272" s="39">
        <v>0</v>
      </c>
      <c r="O1272" s="39">
        <v>0</v>
      </c>
      <c r="P1272" s="39">
        <v>0</v>
      </c>
      <c r="Q1272" s="39">
        <v>0</v>
      </c>
      <c r="R1272" s="39">
        <v>0</v>
      </c>
      <c r="S1272" s="39">
        <v>0</v>
      </c>
      <c r="T1272" s="39">
        <v>0</v>
      </c>
      <c r="U1272" s="39">
        <v>0</v>
      </c>
      <c r="V1272" s="39">
        <v>0</v>
      </c>
      <c r="W1272" s="39">
        <v>0</v>
      </c>
      <c r="X1272" s="39">
        <v>0</v>
      </c>
      <c r="Y1272" s="39">
        <v>0</v>
      </c>
      <c r="Z1272" s="39">
        <v>0</v>
      </c>
      <c r="AA1272" s="39">
        <v>0</v>
      </c>
      <c r="AB1272" s="39">
        <v>0</v>
      </c>
      <c r="AC1272" s="39">
        <v>0</v>
      </c>
      <c r="AD1272" s="39">
        <v>0</v>
      </c>
      <c r="AE1272" s="39">
        <v>0</v>
      </c>
      <c r="AF1272" s="39">
        <v>0</v>
      </c>
      <c r="AG1272" s="39">
        <v>0</v>
      </c>
      <c r="AH1272" s="39"/>
      <c r="AI1272" s="39"/>
      <c r="AJ1272" s="40"/>
      <c r="AK1272" s="39">
        <f t="shared" si="100"/>
        <v>0</v>
      </c>
      <c r="AL1272" s="39">
        <f t="shared" si="98"/>
        <v>0</v>
      </c>
      <c r="AM1272" s="39">
        <f t="shared" si="99"/>
        <v>0</v>
      </c>
      <c r="AN1272" s="39">
        <f t="shared" si="101"/>
        <v>0</v>
      </c>
      <c r="AO1272" s="39">
        <f t="shared" si="102"/>
        <v>0</v>
      </c>
    </row>
    <row r="1273" spans="1:41" x14ac:dyDescent="0.3">
      <c r="A1273" s="20">
        <v>1000184670</v>
      </c>
      <c r="B1273" s="4" t="s">
        <v>147</v>
      </c>
      <c r="C1273" s="21"/>
      <c r="D1273" s="3"/>
      <c r="E1273" s="20">
        <v>1000184757</v>
      </c>
      <c r="F1273" s="4" t="s">
        <v>62</v>
      </c>
      <c r="G1273" s="21">
        <v>1000189811</v>
      </c>
      <c r="H1273" s="3" t="s">
        <v>76</v>
      </c>
      <c r="I1273" s="21">
        <v>1000189270</v>
      </c>
      <c r="J1273" s="3" t="s">
        <v>34</v>
      </c>
      <c r="K1273" s="20" t="s">
        <v>27</v>
      </c>
      <c r="L1273" s="39">
        <v>0</v>
      </c>
      <c r="M1273" s="39">
        <v>0</v>
      </c>
      <c r="N1273" s="39">
        <v>0</v>
      </c>
      <c r="O1273" s="39">
        <v>0</v>
      </c>
      <c r="P1273" s="39">
        <v>0</v>
      </c>
      <c r="Q1273" s="39">
        <v>0</v>
      </c>
      <c r="R1273" s="39">
        <v>0</v>
      </c>
      <c r="S1273" s="39">
        <v>0</v>
      </c>
      <c r="T1273" s="39">
        <v>0</v>
      </c>
      <c r="U1273" s="39">
        <v>0</v>
      </c>
      <c r="V1273" s="39">
        <v>0</v>
      </c>
      <c r="W1273" s="39">
        <v>0</v>
      </c>
      <c r="X1273" s="39">
        <v>0</v>
      </c>
      <c r="Y1273" s="39">
        <v>0</v>
      </c>
      <c r="Z1273" s="39">
        <v>0</v>
      </c>
      <c r="AA1273" s="39">
        <v>0</v>
      </c>
      <c r="AB1273" s="39">
        <v>0</v>
      </c>
      <c r="AC1273" s="39">
        <v>0</v>
      </c>
      <c r="AD1273" s="39">
        <v>0</v>
      </c>
      <c r="AE1273" s="39">
        <v>0</v>
      </c>
      <c r="AF1273" s="39">
        <v>0</v>
      </c>
      <c r="AG1273" s="39">
        <v>0</v>
      </c>
      <c r="AH1273" s="39"/>
      <c r="AI1273" s="39"/>
      <c r="AJ1273" s="40"/>
      <c r="AK1273" s="39">
        <f t="shared" si="100"/>
        <v>0</v>
      </c>
      <c r="AL1273" s="39">
        <f t="shared" si="98"/>
        <v>0</v>
      </c>
      <c r="AM1273" s="39">
        <f t="shared" si="99"/>
        <v>0</v>
      </c>
      <c r="AN1273" s="39">
        <f t="shared" si="101"/>
        <v>0</v>
      </c>
      <c r="AO1273" s="39">
        <f t="shared" si="102"/>
        <v>0</v>
      </c>
    </row>
    <row r="1274" spans="1:41" x14ac:dyDescent="0.3">
      <c r="A1274" s="20">
        <v>1000184670</v>
      </c>
      <c r="B1274" s="4" t="s">
        <v>147</v>
      </c>
      <c r="C1274" s="21"/>
      <c r="D1274" s="3"/>
      <c r="E1274" s="20">
        <v>1000184757</v>
      </c>
      <c r="F1274" s="4" t="s">
        <v>62</v>
      </c>
      <c r="G1274" s="21">
        <v>1000189811</v>
      </c>
      <c r="H1274" s="3" t="s">
        <v>76</v>
      </c>
      <c r="I1274" s="21">
        <v>1000189270</v>
      </c>
      <c r="J1274" s="3" t="s">
        <v>34</v>
      </c>
      <c r="K1274" s="20" t="s">
        <v>25</v>
      </c>
      <c r="L1274" s="39">
        <v>0</v>
      </c>
      <c r="M1274" s="39">
        <v>0</v>
      </c>
      <c r="N1274" s="39">
        <v>0</v>
      </c>
      <c r="O1274" s="39">
        <v>0</v>
      </c>
      <c r="P1274" s="39">
        <v>0</v>
      </c>
      <c r="Q1274" s="39">
        <v>0</v>
      </c>
      <c r="R1274" s="39">
        <v>0</v>
      </c>
      <c r="S1274" s="39">
        <v>0</v>
      </c>
      <c r="T1274" s="39">
        <v>0</v>
      </c>
      <c r="U1274" s="39">
        <v>0</v>
      </c>
      <c r="V1274" s="39">
        <v>0</v>
      </c>
      <c r="W1274" s="39">
        <v>0</v>
      </c>
      <c r="X1274" s="39">
        <v>0</v>
      </c>
      <c r="Y1274" s="39">
        <v>0</v>
      </c>
      <c r="Z1274" s="39">
        <v>0</v>
      </c>
      <c r="AA1274" s="39">
        <v>0</v>
      </c>
      <c r="AB1274" s="39">
        <v>0</v>
      </c>
      <c r="AC1274" s="39">
        <v>0</v>
      </c>
      <c r="AD1274" s="39">
        <v>0</v>
      </c>
      <c r="AE1274" s="39">
        <v>0</v>
      </c>
      <c r="AF1274" s="39">
        <v>0</v>
      </c>
      <c r="AG1274" s="39">
        <v>0</v>
      </c>
      <c r="AH1274" s="39"/>
      <c r="AI1274" s="39"/>
      <c r="AJ1274" s="40"/>
      <c r="AK1274" s="39">
        <f t="shared" si="100"/>
        <v>0</v>
      </c>
      <c r="AL1274" s="39">
        <f t="shared" si="98"/>
        <v>0</v>
      </c>
      <c r="AM1274" s="39">
        <f t="shared" si="99"/>
        <v>0</v>
      </c>
      <c r="AN1274" s="39">
        <f t="shared" si="101"/>
        <v>0</v>
      </c>
      <c r="AO1274" s="39">
        <f t="shared" si="102"/>
        <v>0</v>
      </c>
    </row>
    <row r="1275" spans="1:41" x14ac:dyDescent="0.3">
      <c r="A1275" s="20">
        <v>1000184670</v>
      </c>
      <c r="B1275" s="4" t="s">
        <v>147</v>
      </c>
      <c r="C1275" s="21"/>
      <c r="D1275" s="3"/>
      <c r="E1275" s="20">
        <v>1000184762</v>
      </c>
      <c r="F1275" s="4" t="s">
        <v>58</v>
      </c>
      <c r="G1275" s="19">
        <v>1000189812</v>
      </c>
      <c r="H1275" s="3" t="s">
        <v>112</v>
      </c>
      <c r="I1275" s="21">
        <v>1000189270</v>
      </c>
      <c r="J1275" s="3" t="s">
        <v>34</v>
      </c>
      <c r="K1275" s="20" t="s">
        <v>124</v>
      </c>
      <c r="L1275" s="39">
        <v>0</v>
      </c>
      <c r="M1275" s="39">
        <v>0</v>
      </c>
      <c r="N1275" s="39">
        <v>0</v>
      </c>
      <c r="O1275" s="39">
        <v>0</v>
      </c>
      <c r="P1275" s="39">
        <v>0</v>
      </c>
      <c r="Q1275" s="39">
        <v>0</v>
      </c>
      <c r="R1275" s="39">
        <v>0</v>
      </c>
      <c r="S1275" s="39">
        <v>0</v>
      </c>
      <c r="T1275" s="39">
        <v>0</v>
      </c>
      <c r="U1275" s="39">
        <v>0</v>
      </c>
      <c r="V1275" s="39">
        <v>0</v>
      </c>
      <c r="W1275" s="39">
        <v>0</v>
      </c>
      <c r="X1275" s="39">
        <v>0</v>
      </c>
      <c r="Y1275" s="39">
        <v>0</v>
      </c>
      <c r="Z1275" s="39">
        <v>0</v>
      </c>
      <c r="AA1275" s="39">
        <v>0</v>
      </c>
      <c r="AB1275" s="39">
        <v>0</v>
      </c>
      <c r="AC1275" s="39">
        <v>0</v>
      </c>
      <c r="AD1275" s="39">
        <v>0</v>
      </c>
      <c r="AE1275" s="39">
        <v>0</v>
      </c>
      <c r="AF1275" s="39">
        <v>0</v>
      </c>
      <c r="AG1275" s="39">
        <v>0</v>
      </c>
      <c r="AH1275" s="39"/>
      <c r="AI1275" s="39"/>
      <c r="AJ1275" s="40"/>
      <c r="AK1275" s="39">
        <f t="shared" si="100"/>
        <v>0</v>
      </c>
      <c r="AL1275" s="39">
        <f t="shared" si="98"/>
        <v>0</v>
      </c>
      <c r="AM1275" s="39">
        <f t="shared" si="99"/>
        <v>0</v>
      </c>
      <c r="AN1275" s="39">
        <f t="shared" si="101"/>
        <v>0</v>
      </c>
      <c r="AO1275" s="39">
        <f t="shared" si="102"/>
        <v>0</v>
      </c>
    </row>
    <row r="1276" spans="1:41" x14ac:dyDescent="0.3">
      <c r="A1276" s="20">
        <v>1000184670</v>
      </c>
      <c r="B1276" s="4" t="s">
        <v>147</v>
      </c>
      <c r="C1276" s="21"/>
      <c r="D1276" s="3"/>
      <c r="E1276" s="20">
        <v>1000184762</v>
      </c>
      <c r="F1276" s="4" t="s">
        <v>58</v>
      </c>
      <c r="G1276" s="19">
        <v>1000189812</v>
      </c>
      <c r="H1276" s="3" t="s">
        <v>112</v>
      </c>
      <c r="I1276" s="21">
        <v>1000189270</v>
      </c>
      <c r="J1276" s="3" t="s">
        <v>34</v>
      </c>
      <c r="K1276" s="20" t="s">
        <v>13</v>
      </c>
      <c r="L1276" s="39">
        <v>0</v>
      </c>
      <c r="M1276" s="39">
        <v>0</v>
      </c>
      <c r="N1276" s="39">
        <v>0</v>
      </c>
      <c r="O1276" s="39">
        <v>0</v>
      </c>
      <c r="P1276" s="39">
        <v>0</v>
      </c>
      <c r="Q1276" s="39">
        <v>0</v>
      </c>
      <c r="R1276" s="39">
        <v>0</v>
      </c>
      <c r="S1276" s="39">
        <v>0</v>
      </c>
      <c r="T1276" s="39">
        <v>0</v>
      </c>
      <c r="U1276" s="39">
        <v>0</v>
      </c>
      <c r="V1276" s="39">
        <v>0</v>
      </c>
      <c r="W1276" s="39">
        <v>0</v>
      </c>
      <c r="X1276" s="39">
        <v>0</v>
      </c>
      <c r="Y1276" s="39">
        <v>0</v>
      </c>
      <c r="Z1276" s="39">
        <v>0</v>
      </c>
      <c r="AA1276" s="39">
        <v>0</v>
      </c>
      <c r="AB1276" s="39">
        <v>0</v>
      </c>
      <c r="AC1276" s="39">
        <v>0</v>
      </c>
      <c r="AD1276" s="39">
        <v>0</v>
      </c>
      <c r="AE1276" s="39">
        <v>0</v>
      </c>
      <c r="AF1276" s="39">
        <v>0</v>
      </c>
      <c r="AG1276" s="39">
        <v>0</v>
      </c>
      <c r="AH1276" s="39"/>
      <c r="AI1276" s="39"/>
      <c r="AJ1276" s="40"/>
      <c r="AK1276" s="39">
        <f t="shared" si="100"/>
        <v>0</v>
      </c>
      <c r="AL1276" s="39">
        <f t="shared" si="98"/>
        <v>0</v>
      </c>
      <c r="AM1276" s="39">
        <f t="shared" si="99"/>
        <v>0</v>
      </c>
      <c r="AN1276" s="39">
        <f t="shared" si="101"/>
        <v>0</v>
      </c>
      <c r="AO1276" s="39">
        <f t="shared" si="102"/>
        <v>0</v>
      </c>
    </row>
    <row r="1277" spans="1:41" x14ac:dyDescent="0.3">
      <c r="A1277" s="20">
        <v>1000184670</v>
      </c>
      <c r="B1277" s="4" t="s">
        <v>147</v>
      </c>
      <c r="C1277" s="21"/>
      <c r="D1277" s="3"/>
      <c r="E1277" s="20">
        <v>1000184762</v>
      </c>
      <c r="F1277" s="4" t="s">
        <v>58</v>
      </c>
      <c r="G1277" s="19">
        <v>1000189812</v>
      </c>
      <c r="H1277" s="3" t="s">
        <v>112</v>
      </c>
      <c r="I1277" s="21">
        <v>1000189270</v>
      </c>
      <c r="J1277" s="3" t="s">
        <v>34</v>
      </c>
      <c r="K1277" s="20" t="s">
        <v>14</v>
      </c>
      <c r="L1277" s="39">
        <v>0</v>
      </c>
      <c r="M1277" s="39">
        <v>0</v>
      </c>
      <c r="N1277" s="39">
        <v>0</v>
      </c>
      <c r="O1277" s="39">
        <v>0</v>
      </c>
      <c r="P1277" s="39">
        <v>0</v>
      </c>
      <c r="Q1277" s="39">
        <v>0</v>
      </c>
      <c r="R1277" s="39">
        <v>0</v>
      </c>
      <c r="S1277" s="39">
        <v>0</v>
      </c>
      <c r="T1277" s="39">
        <v>0</v>
      </c>
      <c r="U1277" s="39">
        <v>0</v>
      </c>
      <c r="V1277" s="39">
        <v>0</v>
      </c>
      <c r="W1277" s="39">
        <v>0</v>
      </c>
      <c r="X1277" s="39">
        <v>0</v>
      </c>
      <c r="Y1277" s="39">
        <v>0</v>
      </c>
      <c r="Z1277" s="39">
        <v>0</v>
      </c>
      <c r="AA1277" s="39">
        <v>0</v>
      </c>
      <c r="AB1277" s="39">
        <v>0</v>
      </c>
      <c r="AC1277" s="39">
        <v>0</v>
      </c>
      <c r="AD1277" s="39">
        <v>0</v>
      </c>
      <c r="AE1277" s="39">
        <v>0</v>
      </c>
      <c r="AF1277" s="39">
        <v>0</v>
      </c>
      <c r="AG1277" s="39">
        <v>0</v>
      </c>
      <c r="AH1277" s="39"/>
      <c r="AI1277" s="39"/>
      <c r="AJ1277" s="40"/>
      <c r="AK1277" s="39">
        <f t="shared" si="100"/>
        <v>0</v>
      </c>
      <c r="AL1277" s="39">
        <f t="shared" si="98"/>
        <v>0</v>
      </c>
      <c r="AM1277" s="39">
        <f t="shared" si="99"/>
        <v>0</v>
      </c>
      <c r="AN1277" s="39">
        <f t="shared" si="101"/>
        <v>0</v>
      </c>
      <c r="AO1277" s="39">
        <f t="shared" si="102"/>
        <v>0</v>
      </c>
    </row>
    <row r="1278" spans="1:41" x14ac:dyDescent="0.3">
      <c r="A1278" s="20">
        <v>1000184670</v>
      </c>
      <c r="B1278" s="4" t="s">
        <v>147</v>
      </c>
      <c r="C1278" s="21"/>
      <c r="D1278" s="3"/>
      <c r="E1278" s="20">
        <v>1000184762</v>
      </c>
      <c r="F1278" s="4" t="s">
        <v>58</v>
      </c>
      <c r="G1278" s="19">
        <v>1000189812</v>
      </c>
      <c r="H1278" s="3" t="s">
        <v>112</v>
      </c>
      <c r="I1278" s="21">
        <v>1000189270</v>
      </c>
      <c r="J1278" s="3" t="s">
        <v>34</v>
      </c>
      <c r="K1278" s="20" t="s">
        <v>16</v>
      </c>
      <c r="L1278" s="39">
        <v>0</v>
      </c>
      <c r="M1278" s="39">
        <v>0</v>
      </c>
      <c r="N1278" s="39">
        <v>0</v>
      </c>
      <c r="O1278" s="39">
        <v>0</v>
      </c>
      <c r="P1278" s="39">
        <v>0</v>
      </c>
      <c r="Q1278" s="39">
        <v>0</v>
      </c>
      <c r="R1278" s="39">
        <v>0</v>
      </c>
      <c r="S1278" s="39">
        <v>0</v>
      </c>
      <c r="T1278" s="39">
        <v>0</v>
      </c>
      <c r="U1278" s="39">
        <v>0</v>
      </c>
      <c r="V1278" s="39">
        <v>0</v>
      </c>
      <c r="W1278" s="39">
        <v>0</v>
      </c>
      <c r="X1278" s="39">
        <v>0</v>
      </c>
      <c r="Y1278" s="39">
        <v>0</v>
      </c>
      <c r="Z1278" s="39">
        <v>0</v>
      </c>
      <c r="AA1278" s="39">
        <v>0</v>
      </c>
      <c r="AB1278" s="39">
        <v>0</v>
      </c>
      <c r="AC1278" s="39">
        <v>0</v>
      </c>
      <c r="AD1278" s="39">
        <v>0</v>
      </c>
      <c r="AE1278" s="39">
        <v>0</v>
      </c>
      <c r="AF1278" s="39">
        <v>0</v>
      </c>
      <c r="AG1278" s="39">
        <v>0</v>
      </c>
      <c r="AH1278" s="39"/>
      <c r="AI1278" s="39"/>
      <c r="AJ1278" s="40"/>
      <c r="AK1278" s="39">
        <f t="shared" si="100"/>
        <v>0</v>
      </c>
      <c r="AL1278" s="39">
        <f t="shared" si="98"/>
        <v>0</v>
      </c>
      <c r="AM1278" s="39">
        <f t="shared" si="99"/>
        <v>0</v>
      </c>
      <c r="AN1278" s="39">
        <f t="shared" si="101"/>
        <v>0</v>
      </c>
      <c r="AO1278" s="39">
        <f t="shared" si="102"/>
        <v>0</v>
      </c>
    </row>
    <row r="1279" spans="1:41" x14ac:dyDescent="0.3">
      <c r="A1279" s="20">
        <v>1000184670</v>
      </c>
      <c r="B1279" s="4" t="s">
        <v>147</v>
      </c>
      <c r="C1279" s="21"/>
      <c r="D1279" s="3"/>
      <c r="E1279" s="20">
        <v>1000184762</v>
      </c>
      <c r="F1279" s="4" t="s">
        <v>58</v>
      </c>
      <c r="G1279" s="21">
        <v>1000189812</v>
      </c>
      <c r="H1279" s="3" t="s">
        <v>112</v>
      </c>
      <c r="I1279" s="21">
        <v>1000189270</v>
      </c>
      <c r="J1279" s="3" t="s">
        <v>34</v>
      </c>
      <c r="K1279" s="20" t="s">
        <v>15</v>
      </c>
      <c r="L1279" s="39">
        <v>0</v>
      </c>
      <c r="M1279" s="39">
        <v>0</v>
      </c>
      <c r="N1279" s="39">
        <v>0</v>
      </c>
      <c r="O1279" s="39">
        <v>0</v>
      </c>
      <c r="P1279" s="39">
        <v>0</v>
      </c>
      <c r="Q1279" s="39">
        <v>0</v>
      </c>
      <c r="R1279" s="39">
        <v>0</v>
      </c>
      <c r="S1279" s="39">
        <v>0</v>
      </c>
      <c r="T1279" s="39">
        <v>0</v>
      </c>
      <c r="U1279" s="39">
        <v>0</v>
      </c>
      <c r="V1279" s="39">
        <v>0</v>
      </c>
      <c r="W1279" s="39">
        <v>0</v>
      </c>
      <c r="X1279" s="39">
        <v>0</v>
      </c>
      <c r="Y1279" s="39">
        <v>0</v>
      </c>
      <c r="Z1279" s="39">
        <v>0</v>
      </c>
      <c r="AA1279" s="39">
        <v>0</v>
      </c>
      <c r="AB1279" s="39">
        <v>0</v>
      </c>
      <c r="AC1279" s="39">
        <v>0</v>
      </c>
      <c r="AD1279" s="39">
        <v>0</v>
      </c>
      <c r="AE1279" s="39">
        <v>0</v>
      </c>
      <c r="AF1279" s="39">
        <v>0</v>
      </c>
      <c r="AG1279" s="39">
        <v>0</v>
      </c>
      <c r="AH1279" s="39"/>
      <c r="AI1279" s="39"/>
      <c r="AJ1279" s="40"/>
      <c r="AK1279" s="39">
        <f t="shared" si="100"/>
        <v>0</v>
      </c>
      <c r="AL1279" s="39">
        <f t="shared" si="98"/>
        <v>0</v>
      </c>
      <c r="AM1279" s="39">
        <f t="shared" si="99"/>
        <v>0</v>
      </c>
      <c r="AN1279" s="39">
        <f t="shared" si="101"/>
        <v>0</v>
      </c>
      <c r="AO1279" s="39">
        <f t="shared" si="102"/>
        <v>0</v>
      </c>
    </row>
    <row r="1280" spans="1:41" x14ac:dyDescent="0.3">
      <c r="A1280" s="20">
        <v>1000184670</v>
      </c>
      <c r="B1280" s="4" t="s">
        <v>147</v>
      </c>
      <c r="C1280" s="21"/>
      <c r="D1280" s="3"/>
      <c r="E1280" s="20">
        <v>1000184762</v>
      </c>
      <c r="F1280" s="4" t="s">
        <v>58</v>
      </c>
      <c r="G1280" s="21">
        <v>1000189812</v>
      </c>
      <c r="H1280" s="3" t="s">
        <v>112</v>
      </c>
      <c r="I1280" s="21">
        <v>1000189270</v>
      </c>
      <c r="J1280" s="3" t="s">
        <v>34</v>
      </c>
      <c r="K1280" s="20" t="s">
        <v>33</v>
      </c>
      <c r="L1280" s="39">
        <v>0</v>
      </c>
      <c r="M1280" s="39">
        <v>0</v>
      </c>
      <c r="N1280" s="39">
        <v>0</v>
      </c>
      <c r="O1280" s="39">
        <v>0</v>
      </c>
      <c r="P1280" s="39">
        <v>0</v>
      </c>
      <c r="Q1280" s="39">
        <v>0</v>
      </c>
      <c r="R1280" s="39">
        <v>0</v>
      </c>
      <c r="S1280" s="39">
        <v>0</v>
      </c>
      <c r="T1280" s="39">
        <v>0</v>
      </c>
      <c r="U1280" s="39">
        <v>0</v>
      </c>
      <c r="V1280" s="39">
        <v>0</v>
      </c>
      <c r="W1280" s="39">
        <v>0</v>
      </c>
      <c r="X1280" s="39">
        <v>0</v>
      </c>
      <c r="Y1280" s="39">
        <v>0</v>
      </c>
      <c r="Z1280" s="39">
        <v>0</v>
      </c>
      <c r="AA1280" s="39">
        <v>0</v>
      </c>
      <c r="AB1280" s="39">
        <v>0</v>
      </c>
      <c r="AC1280" s="39">
        <v>0</v>
      </c>
      <c r="AD1280" s="39">
        <v>0</v>
      </c>
      <c r="AE1280" s="39">
        <v>0</v>
      </c>
      <c r="AF1280" s="39">
        <v>0</v>
      </c>
      <c r="AG1280" s="39">
        <v>0</v>
      </c>
      <c r="AH1280" s="39"/>
      <c r="AI1280" s="39"/>
      <c r="AJ1280" s="40"/>
      <c r="AK1280" s="39">
        <f t="shared" si="100"/>
        <v>0</v>
      </c>
      <c r="AL1280" s="39">
        <f t="shared" si="98"/>
        <v>0</v>
      </c>
      <c r="AM1280" s="39">
        <f t="shared" si="99"/>
        <v>0</v>
      </c>
      <c r="AN1280" s="39">
        <f t="shared" si="101"/>
        <v>0</v>
      </c>
      <c r="AO1280" s="39">
        <f t="shared" si="102"/>
        <v>0</v>
      </c>
    </row>
    <row r="1281" spans="1:41" x14ac:dyDescent="0.3">
      <c r="A1281" s="20">
        <v>1000184670</v>
      </c>
      <c r="B1281" s="4" t="s">
        <v>147</v>
      </c>
      <c r="C1281" s="21"/>
      <c r="D1281" s="3"/>
      <c r="E1281" s="20">
        <v>1000184762</v>
      </c>
      <c r="F1281" s="4" t="s">
        <v>58</v>
      </c>
      <c r="G1281" s="21">
        <v>1000189812</v>
      </c>
      <c r="H1281" s="3" t="s">
        <v>112</v>
      </c>
      <c r="I1281" s="21">
        <v>1000189270</v>
      </c>
      <c r="J1281" s="3" t="s">
        <v>34</v>
      </c>
      <c r="K1281" s="20" t="s">
        <v>19</v>
      </c>
      <c r="L1281" s="39">
        <v>0</v>
      </c>
      <c r="M1281" s="39">
        <v>0</v>
      </c>
      <c r="N1281" s="39">
        <v>0</v>
      </c>
      <c r="O1281" s="39">
        <v>0</v>
      </c>
      <c r="P1281" s="39">
        <v>0</v>
      </c>
      <c r="Q1281" s="39">
        <v>0</v>
      </c>
      <c r="R1281" s="39">
        <v>0</v>
      </c>
      <c r="S1281" s="39">
        <v>0</v>
      </c>
      <c r="T1281" s="39">
        <v>0</v>
      </c>
      <c r="U1281" s="39">
        <v>0</v>
      </c>
      <c r="V1281" s="39">
        <v>0</v>
      </c>
      <c r="W1281" s="39">
        <v>0</v>
      </c>
      <c r="X1281" s="39">
        <v>0</v>
      </c>
      <c r="Y1281" s="39">
        <v>0</v>
      </c>
      <c r="Z1281" s="39">
        <v>0</v>
      </c>
      <c r="AA1281" s="39">
        <v>0</v>
      </c>
      <c r="AB1281" s="39">
        <v>0</v>
      </c>
      <c r="AC1281" s="39">
        <v>0</v>
      </c>
      <c r="AD1281" s="39">
        <v>0</v>
      </c>
      <c r="AE1281" s="39">
        <v>0</v>
      </c>
      <c r="AF1281" s="39">
        <v>0</v>
      </c>
      <c r="AG1281" s="39">
        <v>0</v>
      </c>
      <c r="AH1281" s="39"/>
      <c r="AI1281" s="39"/>
      <c r="AJ1281" s="40"/>
      <c r="AK1281" s="39">
        <f t="shared" si="100"/>
        <v>0</v>
      </c>
      <c r="AL1281" s="39">
        <f t="shared" si="98"/>
        <v>0</v>
      </c>
      <c r="AM1281" s="39">
        <f t="shared" si="99"/>
        <v>0</v>
      </c>
      <c r="AN1281" s="39">
        <f t="shared" si="101"/>
        <v>0</v>
      </c>
      <c r="AO1281" s="39">
        <f t="shared" si="102"/>
        <v>0</v>
      </c>
    </row>
    <row r="1282" spans="1:41" x14ac:dyDescent="0.3">
      <c r="A1282" s="20">
        <v>1000184670</v>
      </c>
      <c r="B1282" s="4" t="s">
        <v>147</v>
      </c>
      <c r="C1282" s="21"/>
      <c r="D1282" s="3"/>
      <c r="E1282" s="20">
        <v>1000184762</v>
      </c>
      <c r="F1282" s="4" t="s">
        <v>58</v>
      </c>
      <c r="G1282" s="21">
        <v>1000189812</v>
      </c>
      <c r="H1282" s="3" t="s">
        <v>112</v>
      </c>
      <c r="I1282" s="21">
        <v>1000189270</v>
      </c>
      <c r="J1282" s="3" t="s">
        <v>34</v>
      </c>
      <c r="K1282" s="20" t="s">
        <v>17</v>
      </c>
      <c r="L1282" s="39">
        <v>0</v>
      </c>
      <c r="M1282" s="39">
        <v>0</v>
      </c>
      <c r="N1282" s="39">
        <v>0</v>
      </c>
      <c r="O1282" s="39">
        <v>0</v>
      </c>
      <c r="P1282" s="39">
        <v>0</v>
      </c>
      <c r="Q1282" s="39">
        <v>0</v>
      </c>
      <c r="R1282" s="39">
        <v>0</v>
      </c>
      <c r="S1282" s="39">
        <v>0</v>
      </c>
      <c r="T1282" s="39">
        <v>0</v>
      </c>
      <c r="U1282" s="39">
        <v>0</v>
      </c>
      <c r="V1282" s="39">
        <v>0</v>
      </c>
      <c r="W1282" s="39">
        <v>0</v>
      </c>
      <c r="X1282" s="39">
        <v>0</v>
      </c>
      <c r="Y1282" s="39">
        <v>0</v>
      </c>
      <c r="Z1282" s="39">
        <v>0</v>
      </c>
      <c r="AA1282" s="39">
        <v>0</v>
      </c>
      <c r="AB1282" s="39">
        <v>0</v>
      </c>
      <c r="AC1282" s="39">
        <v>0</v>
      </c>
      <c r="AD1282" s="39">
        <v>0</v>
      </c>
      <c r="AE1282" s="39">
        <v>0</v>
      </c>
      <c r="AF1282" s="39">
        <v>0</v>
      </c>
      <c r="AG1282" s="39">
        <v>0</v>
      </c>
      <c r="AH1282" s="39"/>
      <c r="AI1282" s="39"/>
      <c r="AJ1282" s="40"/>
      <c r="AK1282" s="39">
        <f t="shared" si="100"/>
        <v>0</v>
      </c>
      <c r="AL1282" s="39">
        <f t="shared" si="98"/>
        <v>0</v>
      </c>
      <c r="AM1282" s="39">
        <f t="shared" si="99"/>
        <v>0</v>
      </c>
      <c r="AN1282" s="39">
        <f t="shared" si="101"/>
        <v>0</v>
      </c>
      <c r="AO1282" s="39">
        <f t="shared" si="102"/>
        <v>0</v>
      </c>
    </row>
    <row r="1283" spans="1:41" x14ac:dyDescent="0.3">
      <c r="A1283" s="20">
        <v>1000184670</v>
      </c>
      <c r="B1283" s="4" t="s">
        <v>147</v>
      </c>
      <c r="C1283" s="21"/>
      <c r="D1283" s="3"/>
      <c r="E1283" s="20">
        <v>1000184762</v>
      </c>
      <c r="F1283" s="4" t="s">
        <v>58</v>
      </c>
      <c r="G1283" s="21">
        <v>1000189812</v>
      </c>
      <c r="H1283" s="3" t="s">
        <v>112</v>
      </c>
      <c r="I1283" s="21">
        <v>1000189270</v>
      </c>
      <c r="J1283" s="3" t="s">
        <v>34</v>
      </c>
      <c r="K1283" s="20" t="s">
        <v>24</v>
      </c>
      <c r="L1283" s="39">
        <v>0</v>
      </c>
      <c r="M1283" s="39">
        <v>0</v>
      </c>
      <c r="N1283" s="39">
        <v>0</v>
      </c>
      <c r="O1283" s="39">
        <v>0</v>
      </c>
      <c r="P1283" s="39">
        <v>0</v>
      </c>
      <c r="Q1283" s="39">
        <v>0</v>
      </c>
      <c r="R1283" s="39">
        <v>0</v>
      </c>
      <c r="S1283" s="39">
        <v>0</v>
      </c>
      <c r="T1283" s="39">
        <v>0</v>
      </c>
      <c r="U1283" s="39">
        <v>0</v>
      </c>
      <c r="V1283" s="39">
        <v>0</v>
      </c>
      <c r="W1283" s="39">
        <v>0</v>
      </c>
      <c r="X1283" s="39">
        <v>0</v>
      </c>
      <c r="Y1283" s="39">
        <v>0</v>
      </c>
      <c r="Z1283" s="39">
        <v>0</v>
      </c>
      <c r="AA1283" s="39">
        <v>0</v>
      </c>
      <c r="AB1283" s="39">
        <v>0</v>
      </c>
      <c r="AC1283" s="39">
        <v>0</v>
      </c>
      <c r="AD1283" s="39">
        <v>0</v>
      </c>
      <c r="AE1283" s="39">
        <v>0</v>
      </c>
      <c r="AF1283" s="39">
        <v>0</v>
      </c>
      <c r="AG1283" s="39">
        <v>0</v>
      </c>
      <c r="AH1283" s="39"/>
      <c r="AI1283" s="39"/>
      <c r="AJ1283" s="40"/>
      <c r="AK1283" s="39">
        <f t="shared" si="100"/>
        <v>0</v>
      </c>
      <c r="AL1283" s="39">
        <f t="shared" ref="AL1283:AL1346" si="103">AVERAGE(V1283:AG1283)</f>
        <v>0</v>
      </c>
      <c r="AM1283" s="39">
        <f t="shared" ref="AM1283:AM1346" si="104">AVERAGE(AB1283:AG1283)</f>
        <v>0</v>
      </c>
      <c r="AN1283" s="39">
        <f t="shared" si="101"/>
        <v>0</v>
      </c>
      <c r="AO1283" s="39">
        <f t="shared" si="102"/>
        <v>0</v>
      </c>
    </row>
    <row r="1284" spans="1:41" x14ac:dyDescent="0.3">
      <c r="A1284" s="20">
        <v>1000184670</v>
      </c>
      <c r="B1284" s="4" t="s">
        <v>147</v>
      </c>
      <c r="C1284" s="21"/>
      <c r="D1284" s="3"/>
      <c r="E1284" s="20">
        <v>1000184762</v>
      </c>
      <c r="F1284" s="4" t="s">
        <v>58</v>
      </c>
      <c r="G1284" s="21">
        <v>1000189812</v>
      </c>
      <c r="H1284" s="3" t="s">
        <v>112</v>
      </c>
      <c r="I1284" s="21">
        <v>1000189270</v>
      </c>
      <c r="J1284" s="3" t="s">
        <v>34</v>
      </c>
      <c r="K1284" s="20" t="s">
        <v>18</v>
      </c>
      <c r="L1284" s="39">
        <v>0</v>
      </c>
      <c r="M1284" s="39">
        <v>0</v>
      </c>
      <c r="N1284" s="39">
        <v>0</v>
      </c>
      <c r="O1284" s="39">
        <v>0</v>
      </c>
      <c r="P1284" s="39">
        <v>0</v>
      </c>
      <c r="Q1284" s="39">
        <v>0</v>
      </c>
      <c r="R1284" s="39">
        <v>0</v>
      </c>
      <c r="S1284" s="39">
        <v>0</v>
      </c>
      <c r="T1284" s="39">
        <v>0</v>
      </c>
      <c r="U1284" s="39">
        <v>0</v>
      </c>
      <c r="V1284" s="39">
        <v>0</v>
      </c>
      <c r="W1284" s="39">
        <v>0</v>
      </c>
      <c r="X1284" s="39">
        <v>0</v>
      </c>
      <c r="Y1284" s="39">
        <v>0</v>
      </c>
      <c r="Z1284" s="39">
        <v>0</v>
      </c>
      <c r="AA1284" s="39">
        <v>0</v>
      </c>
      <c r="AB1284" s="39">
        <v>0</v>
      </c>
      <c r="AC1284" s="39">
        <v>0</v>
      </c>
      <c r="AD1284" s="39">
        <v>0</v>
      </c>
      <c r="AE1284" s="39">
        <v>0</v>
      </c>
      <c r="AF1284" s="39">
        <v>0</v>
      </c>
      <c r="AG1284" s="39">
        <v>0</v>
      </c>
      <c r="AH1284" s="39"/>
      <c r="AI1284" s="39"/>
      <c r="AJ1284" s="40"/>
      <c r="AK1284" s="39">
        <f t="shared" si="100"/>
        <v>0</v>
      </c>
      <c r="AL1284" s="39">
        <f t="shared" si="103"/>
        <v>0</v>
      </c>
      <c r="AM1284" s="39">
        <f t="shared" si="104"/>
        <v>0</v>
      </c>
      <c r="AN1284" s="39">
        <f t="shared" si="101"/>
        <v>0</v>
      </c>
      <c r="AO1284" s="39">
        <f t="shared" si="102"/>
        <v>0</v>
      </c>
    </row>
    <row r="1285" spans="1:41" x14ac:dyDescent="0.3">
      <c r="A1285" s="20">
        <v>1000184670</v>
      </c>
      <c r="B1285" s="4" t="s">
        <v>147</v>
      </c>
      <c r="C1285" s="21"/>
      <c r="D1285" s="3"/>
      <c r="E1285" s="20">
        <v>1000184762</v>
      </c>
      <c r="F1285" s="4" t="s">
        <v>58</v>
      </c>
      <c r="G1285" s="21">
        <v>1000189812</v>
      </c>
      <c r="H1285" s="3" t="s">
        <v>112</v>
      </c>
      <c r="I1285" s="21">
        <v>1000189270</v>
      </c>
      <c r="J1285" s="3" t="s">
        <v>34</v>
      </c>
      <c r="K1285" s="20" t="s">
        <v>29</v>
      </c>
      <c r="L1285" s="39">
        <v>0</v>
      </c>
      <c r="M1285" s="39">
        <v>0</v>
      </c>
      <c r="N1285" s="39">
        <v>0</v>
      </c>
      <c r="O1285" s="39">
        <v>0</v>
      </c>
      <c r="P1285" s="39">
        <v>0</v>
      </c>
      <c r="Q1285" s="39">
        <v>0</v>
      </c>
      <c r="R1285" s="39">
        <v>0</v>
      </c>
      <c r="S1285" s="39">
        <v>0</v>
      </c>
      <c r="T1285" s="39">
        <v>0</v>
      </c>
      <c r="U1285" s="39">
        <v>0</v>
      </c>
      <c r="V1285" s="39">
        <v>0</v>
      </c>
      <c r="W1285" s="39">
        <v>0</v>
      </c>
      <c r="X1285" s="39">
        <v>0</v>
      </c>
      <c r="Y1285" s="39">
        <v>0</v>
      </c>
      <c r="Z1285" s="39">
        <v>0</v>
      </c>
      <c r="AA1285" s="39">
        <v>0</v>
      </c>
      <c r="AB1285" s="39">
        <v>0</v>
      </c>
      <c r="AC1285" s="39">
        <v>0</v>
      </c>
      <c r="AD1285" s="39">
        <v>0</v>
      </c>
      <c r="AE1285" s="39">
        <v>972.2</v>
      </c>
      <c r="AF1285" s="39">
        <v>0</v>
      </c>
      <c r="AG1285" s="39">
        <v>0</v>
      </c>
      <c r="AH1285" s="39"/>
      <c r="AI1285" s="39"/>
      <c r="AJ1285" s="40"/>
      <c r="AK1285" s="39">
        <f t="shared" si="100"/>
        <v>0</v>
      </c>
      <c r="AL1285" s="39">
        <f t="shared" si="103"/>
        <v>81.016666666666666</v>
      </c>
      <c r="AM1285" s="39">
        <f t="shared" si="104"/>
        <v>162.03333333333333</v>
      </c>
      <c r="AN1285" s="39">
        <f t="shared" si="101"/>
        <v>97.22</v>
      </c>
      <c r="AO1285" s="39">
        <f t="shared" si="102"/>
        <v>972.2</v>
      </c>
    </row>
    <row r="1286" spans="1:41" x14ac:dyDescent="0.3">
      <c r="A1286" s="20">
        <v>1000184670</v>
      </c>
      <c r="B1286" s="4" t="s">
        <v>147</v>
      </c>
      <c r="C1286" s="21"/>
      <c r="D1286" s="3"/>
      <c r="E1286" s="20">
        <v>1000184762</v>
      </c>
      <c r="F1286" s="4" t="s">
        <v>58</v>
      </c>
      <c r="G1286" s="21">
        <v>1000189812</v>
      </c>
      <c r="H1286" s="3" t="s">
        <v>112</v>
      </c>
      <c r="I1286" s="21">
        <v>1000189270</v>
      </c>
      <c r="J1286" s="3" t="s">
        <v>34</v>
      </c>
      <c r="K1286" s="20" t="s">
        <v>21</v>
      </c>
      <c r="L1286" s="39">
        <v>0</v>
      </c>
      <c r="M1286" s="39">
        <v>0</v>
      </c>
      <c r="N1286" s="39">
        <v>0</v>
      </c>
      <c r="O1286" s="39">
        <v>0</v>
      </c>
      <c r="P1286" s="39">
        <v>0</v>
      </c>
      <c r="Q1286" s="39">
        <v>0</v>
      </c>
      <c r="R1286" s="39">
        <v>0</v>
      </c>
      <c r="S1286" s="39">
        <v>0</v>
      </c>
      <c r="T1286" s="39">
        <v>0</v>
      </c>
      <c r="U1286" s="39">
        <v>0</v>
      </c>
      <c r="V1286" s="39">
        <v>0</v>
      </c>
      <c r="W1286" s="39">
        <v>0</v>
      </c>
      <c r="X1286" s="39">
        <v>0</v>
      </c>
      <c r="Y1286" s="39">
        <v>0</v>
      </c>
      <c r="Z1286" s="39">
        <v>0</v>
      </c>
      <c r="AA1286" s="39">
        <v>0</v>
      </c>
      <c r="AB1286" s="39">
        <v>0</v>
      </c>
      <c r="AC1286" s="39">
        <v>0</v>
      </c>
      <c r="AD1286" s="39">
        <v>0</v>
      </c>
      <c r="AE1286" s="39">
        <v>0</v>
      </c>
      <c r="AF1286" s="39">
        <v>0</v>
      </c>
      <c r="AG1286" s="39">
        <v>0</v>
      </c>
      <c r="AH1286" s="39"/>
      <c r="AI1286" s="39"/>
      <c r="AJ1286" s="40"/>
      <c r="AK1286" s="39">
        <f t="shared" si="100"/>
        <v>0</v>
      </c>
      <c r="AL1286" s="39">
        <f t="shared" si="103"/>
        <v>0</v>
      </c>
      <c r="AM1286" s="39">
        <f t="shared" si="104"/>
        <v>0</v>
      </c>
      <c r="AN1286" s="39">
        <f t="shared" si="101"/>
        <v>0</v>
      </c>
      <c r="AO1286" s="39">
        <f t="shared" si="102"/>
        <v>0</v>
      </c>
    </row>
    <row r="1287" spans="1:41" x14ac:dyDescent="0.3">
      <c r="A1287" s="20">
        <v>1000184670</v>
      </c>
      <c r="B1287" s="4" t="s">
        <v>147</v>
      </c>
      <c r="C1287" s="21"/>
      <c r="D1287" s="3"/>
      <c r="E1287" s="20">
        <v>1000184762</v>
      </c>
      <c r="F1287" s="4" t="s">
        <v>58</v>
      </c>
      <c r="G1287" s="21">
        <v>1000189812</v>
      </c>
      <c r="H1287" s="3" t="s">
        <v>112</v>
      </c>
      <c r="I1287" s="21">
        <v>1000189270</v>
      </c>
      <c r="J1287" s="3" t="s">
        <v>34</v>
      </c>
      <c r="K1287" s="20" t="s">
        <v>20</v>
      </c>
      <c r="L1287" s="39">
        <v>0</v>
      </c>
      <c r="M1287" s="39">
        <v>0</v>
      </c>
      <c r="N1287" s="39">
        <v>1018</v>
      </c>
      <c r="O1287" s="39">
        <v>0</v>
      </c>
      <c r="P1287" s="39">
        <v>0</v>
      </c>
      <c r="Q1287" s="39">
        <v>0</v>
      </c>
      <c r="R1287" s="39">
        <v>0</v>
      </c>
      <c r="S1287" s="39">
        <v>730.8</v>
      </c>
      <c r="T1287" s="39">
        <v>0</v>
      </c>
      <c r="U1287" s="39">
        <v>0</v>
      </c>
      <c r="V1287" s="39">
        <v>0</v>
      </c>
      <c r="W1287" s="39">
        <v>0</v>
      </c>
      <c r="X1287" s="39">
        <v>0</v>
      </c>
      <c r="Y1287" s="39">
        <v>0</v>
      </c>
      <c r="Z1287" s="39">
        <v>0</v>
      </c>
      <c r="AA1287" s="39">
        <v>0</v>
      </c>
      <c r="AB1287" s="39">
        <v>0</v>
      </c>
      <c r="AC1287" s="39">
        <v>0</v>
      </c>
      <c r="AD1287" s="39">
        <v>0</v>
      </c>
      <c r="AE1287" s="39">
        <v>0</v>
      </c>
      <c r="AF1287" s="39">
        <v>0</v>
      </c>
      <c r="AG1287" s="39">
        <v>2015.52</v>
      </c>
      <c r="AH1287" s="39"/>
      <c r="AI1287" s="39"/>
      <c r="AJ1287" s="40"/>
      <c r="AK1287" s="39">
        <f t="shared" si="100"/>
        <v>145.73333333333332</v>
      </c>
      <c r="AL1287" s="39">
        <f t="shared" si="103"/>
        <v>167.96</v>
      </c>
      <c r="AM1287" s="39">
        <f t="shared" si="104"/>
        <v>335.92</v>
      </c>
      <c r="AN1287" s="39">
        <f t="shared" si="101"/>
        <v>201.55199999999999</v>
      </c>
      <c r="AO1287" s="39">
        <f t="shared" si="102"/>
        <v>2015.52</v>
      </c>
    </row>
    <row r="1288" spans="1:41" x14ac:dyDescent="0.3">
      <c r="A1288" s="20">
        <v>1000184670</v>
      </c>
      <c r="B1288" s="4" t="s">
        <v>147</v>
      </c>
      <c r="C1288" s="21"/>
      <c r="D1288" s="3"/>
      <c r="E1288" s="20">
        <v>1000184762</v>
      </c>
      <c r="F1288" s="4" t="s">
        <v>58</v>
      </c>
      <c r="G1288" s="21">
        <v>1000189812</v>
      </c>
      <c r="H1288" s="3" t="s">
        <v>112</v>
      </c>
      <c r="I1288" s="21">
        <v>1000189270</v>
      </c>
      <c r="J1288" s="3" t="s">
        <v>34</v>
      </c>
      <c r="K1288" s="20" t="s">
        <v>22</v>
      </c>
      <c r="L1288" s="39">
        <v>0</v>
      </c>
      <c r="M1288" s="39">
        <v>0</v>
      </c>
      <c r="N1288" s="39">
        <v>0</v>
      </c>
      <c r="O1288" s="39">
        <v>0</v>
      </c>
      <c r="P1288" s="39">
        <v>0</v>
      </c>
      <c r="Q1288" s="39">
        <v>0</v>
      </c>
      <c r="R1288" s="39">
        <v>0</v>
      </c>
      <c r="S1288" s="39">
        <v>0</v>
      </c>
      <c r="T1288" s="39">
        <v>0</v>
      </c>
      <c r="U1288" s="39">
        <v>0</v>
      </c>
      <c r="V1288" s="39">
        <v>0</v>
      </c>
      <c r="W1288" s="39">
        <v>0</v>
      </c>
      <c r="X1288" s="39">
        <v>0</v>
      </c>
      <c r="Y1288" s="39">
        <v>0</v>
      </c>
      <c r="Z1288" s="39">
        <v>0</v>
      </c>
      <c r="AA1288" s="39">
        <v>0</v>
      </c>
      <c r="AB1288" s="39">
        <v>0</v>
      </c>
      <c r="AC1288" s="39">
        <v>0</v>
      </c>
      <c r="AD1288" s="39">
        <v>0</v>
      </c>
      <c r="AE1288" s="39">
        <v>0</v>
      </c>
      <c r="AF1288" s="39">
        <v>0</v>
      </c>
      <c r="AG1288" s="39">
        <v>0</v>
      </c>
      <c r="AH1288" s="39"/>
      <c r="AI1288" s="39"/>
      <c r="AJ1288" s="40"/>
      <c r="AK1288" s="39">
        <f t="shared" si="100"/>
        <v>0</v>
      </c>
      <c r="AL1288" s="39">
        <f t="shared" si="103"/>
        <v>0</v>
      </c>
      <c r="AM1288" s="39">
        <f t="shared" si="104"/>
        <v>0</v>
      </c>
      <c r="AN1288" s="39">
        <f t="shared" si="101"/>
        <v>0</v>
      </c>
      <c r="AO1288" s="39">
        <f t="shared" si="102"/>
        <v>0</v>
      </c>
    </row>
    <row r="1289" spans="1:41" x14ac:dyDescent="0.3">
      <c r="A1289" s="20">
        <v>1000184670</v>
      </c>
      <c r="B1289" s="4" t="s">
        <v>147</v>
      </c>
      <c r="C1289" s="21"/>
      <c r="D1289" s="3"/>
      <c r="E1289" s="20">
        <v>1000184762</v>
      </c>
      <c r="F1289" s="4" t="s">
        <v>58</v>
      </c>
      <c r="G1289" s="21">
        <v>1000189812</v>
      </c>
      <c r="H1289" s="3" t="s">
        <v>112</v>
      </c>
      <c r="I1289" s="21">
        <v>1000189270</v>
      </c>
      <c r="J1289" s="3" t="s">
        <v>34</v>
      </c>
      <c r="K1289" s="20" t="s">
        <v>23</v>
      </c>
      <c r="L1289" s="39">
        <v>0</v>
      </c>
      <c r="M1289" s="39">
        <v>0</v>
      </c>
      <c r="N1289" s="39">
        <v>0</v>
      </c>
      <c r="O1289" s="39">
        <v>0</v>
      </c>
      <c r="P1289" s="39">
        <v>0</v>
      </c>
      <c r="Q1289" s="39">
        <v>0</v>
      </c>
      <c r="R1289" s="39">
        <v>0</v>
      </c>
      <c r="S1289" s="39">
        <v>0</v>
      </c>
      <c r="T1289" s="39">
        <v>0</v>
      </c>
      <c r="U1289" s="39">
        <v>0</v>
      </c>
      <c r="V1289" s="39">
        <v>0</v>
      </c>
      <c r="W1289" s="39">
        <v>0</v>
      </c>
      <c r="X1289" s="39">
        <v>0</v>
      </c>
      <c r="Y1289" s="39">
        <v>0</v>
      </c>
      <c r="Z1289" s="39">
        <v>0</v>
      </c>
      <c r="AA1289" s="39">
        <v>0</v>
      </c>
      <c r="AB1289" s="39">
        <v>0</v>
      </c>
      <c r="AC1289" s="39">
        <v>0</v>
      </c>
      <c r="AD1289" s="39">
        <v>0</v>
      </c>
      <c r="AE1289" s="39">
        <v>0</v>
      </c>
      <c r="AF1289" s="39">
        <v>0</v>
      </c>
      <c r="AG1289" s="39">
        <v>0</v>
      </c>
      <c r="AH1289" s="39"/>
      <c r="AI1289" s="39"/>
      <c r="AJ1289" s="40"/>
      <c r="AK1289" s="39">
        <f t="shared" si="100"/>
        <v>0</v>
      </c>
      <c r="AL1289" s="39">
        <f t="shared" si="103"/>
        <v>0</v>
      </c>
      <c r="AM1289" s="39">
        <f t="shared" si="104"/>
        <v>0</v>
      </c>
      <c r="AN1289" s="39">
        <f t="shared" si="101"/>
        <v>0</v>
      </c>
      <c r="AO1289" s="39">
        <f t="shared" si="102"/>
        <v>0</v>
      </c>
    </row>
    <row r="1290" spans="1:41" x14ac:dyDescent="0.3">
      <c r="A1290" s="20">
        <v>1000184670</v>
      </c>
      <c r="B1290" s="4" t="s">
        <v>147</v>
      </c>
      <c r="C1290" s="21"/>
      <c r="D1290" s="3"/>
      <c r="E1290" s="20">
        <v>1000184762</v>
      </c>
      <c r="F1290" s="4" t="s">
        <v>58</v>
      </c>
      <c r="G1290" s="21">
        <v>1000189812</v>
      </c>
      <c r="H1290" s="3" t="s">
        <v>112</v>
      </c>
      <c r="I1290" s="21">
        <v>1000189270</v>
      </c>
      <c r="J1290" s="3" t="s">
        <v>34</v>
      </c>
      <c r="K1290" s="20" t="s">
        <v>28</v>
      </c>
      <c r="L1290" s="39">
        <v>0</v>
      </c>
      <c r="M1290" s="39">
        <v>0</v>
      </c>
      <c r="N1290" s="39">
        <v>0</v>
      </c>
      <c r="O1290" s="39">
        <v>0</v>
      </c>
      <c r="P1290" s="39">
        <v>0</v>
      </c>
      <c r="Q1290" s="39">
        <v>0</v>
      </c>
      <c r="R1290" s="39">
        <v>0</v>
      </c>
      <c r="S1290" s="39">
        <v>0</v>
      </c>
      <c r="T1290" s="39">
        <v>0</v>
      </c>
      <c r="U1290" s="39">
        <v>0</v>
      </c>
      <c r="V1290" s="39">
        <v>0</v>
      </c>
      <c r="W1290" s="39">
        <v>0</v>
      </c>
      <c r="X1290" s="39">
        <v>0</v>
      </c>
      <c r="Y1290" s="39">
        <v>0</v>
      </c>
      <c r="Z1290" s="39">
        <v>0</v>
      </c>
      <c r="AA1290" s="39">
        <v>0</v>
      </c>
      <c r="AB1290" s="39">
        <v>0</v>
      </c>
      <c r="AC1290" s="39">
        <v>0</v>
      </c>
      <c r="AD1290" s="39">
        <v>0</v>
      </c>
      <c r="AE1290" s="39">
        <v>0</v>
      </c>
      <c r="AF1290" s="39">
        <v>0</v>
      </c>
      <c r="AG1290" s="39">
        <v>0</v>
      </c>
      <c r="AH1290" s="39"/>
      <c r="AI1290" s="39"/>
      <c r="AJ1290" s="40"/>
      <c r="AK1290" s="39">
        <f t="shared" si="100"/>
        <v>0</v>
      </c>
      <c r="AL1290" s="39">
        <f t="shared" si="103"/>
        <v>0</v>
      </c>
      <c r="AM1290" s="39">
        <f t="shared" si="104"/>
        <v>0</v>
      </c>
      <c r="AN1290" s="39">
        <f t="shared" si="101"/>
        <v>0</v>
      </c>
      <c r="AO1290" s="39">
        <f t="shared" si="102"/>
        <v>0</v>
      </c>
    </row>
    <row r="1291" spans="1:41" x14ac:dyDescent="0.3">
      <c r="A1291" s="20">
        <v>1000184670</v>
      </c>
      <c r="B1291" s="4" t="s">
        <v>147</v>
      </c>
      <c r="C1291" s="21"/>
      <c r="D1291" s="3"/>
      <c r="E1291" s="20">
        <v>1000184762</v>
      </c>
      <c r="F1291" s="4" t="s">
        <v>58</v>
      </c>
      <c r="G1291" s="21">
        <v>1000189812</v>
      </c>
      <c r="H1291" s="3" t="s">
        <v>112</v>
      </c>
      <c r="I1291" s="21">
        <v>1000189270</v>
      </c>
      <c r="J1291" s="3" t="s">
        <v>34</v>
      </c>
      <c r="K1291" s="20" t="s">
        <v>26</v>
      </c>
      <c r="L1291" s="39">
        <v>0</v>
      </c>
      <c r="M1291" s="39">
        <v>0</v>
      </c>
      <c r="N1291" s="39">
        <v>0</v>
      </c>
      <c r="O1291" s="39">
        <v>0</v>
      </c>
      <c r="P1291" s="39">
        <v>0</v>
      </c>
      <c r="Q1291" s="39">
        <v>0</v>
      </c>
      <c r="R1291" s="39">
        <v>0</v>
      </c>
      <c r="S1291" s="39">
        <v>0</v>
      </c>
      <c r="T1291" s="39">
        <v>0</v>
      </c>
      <c r="U1291" s="39">
        <v>0</v>
      </c>
      <c r="V1291" s="39">
        <v>0</v>
      </c>
      <c r="W1291" s="39">
        <v>0</v>
      </c>
      <c r="X1291" s="39">
        <v>0</v>
      </c>
      <c r="Y1291" s="39">
        <v>0</v>
      </c>
      <c r="Z1291" s="39">
        <v>0</v>
      </c>
      <c r="AA1291" s="39">
        <v>0</v>
      </c>
      <c r="AB1291" s="39">
        <v>0</v>
      </c>
      <c r="AC1291" s="39">
        <v>0</v>
      </c>
      <c r="AD1291" s="39">
        <v>0</v>
      </c>
      <c r="AE1291" s="39">
        <v>0</v>
      </c>
      <c r="AF1291" s="39">
        <v>0</v>
      </c>
      <c r="AG1291" s="39">
        <v>0</v>
      </c>
      <c r="AH1291" s="39"/>
      <c r="AI1291" s="39"/>
      <c r="AJ1291" s="40"/>
      <c r="AK1291" s="39">
        <f t="shared" si="100"/>
        <v>0</v>
      </c>
      <c r="AL1291" s="39">
        <f t="shared" si="103"/>
        <v>0</v>
      </c>
      <c r="AM1291" s="39">
        <f t="shared" si="104"/>
        <v>0</v>
      </c>
      <c r="AN1291" s="39">
        <f t="shared" si="101"/>
        <v>0</v>
      </c>
      <c r="AO1291" s="39">
        <f t="shared" si="102"/>
        <v>0</v>
      </c>
    </row>
    <row r="1292" spans="1:41" x14ac:dyDescent="0.3">
      <c r="A1292" s="20">
        <v>1000184670</v>
      </c>
      <c r="B1292" s="4" t="s">
        <v>147</v>
      </c>
      <c r="C1292" s="21"/>
      <c r="D1292" s="3"/>
      <c r="E1292" s="20">
        <v>1000184762</v>
      </c>
      <c r="F1292" s="4" t="s">
        <v>58</v>
      </c>
      <c r="G1292" s="21">
        <v>1000189812</v>
      </c>
      <c r="H1292" s="3" t="s">
        <v>112</v>
      </c>
      <c r="I1292" s="21">
        <v>1000189270</v>
      </c>
      <c r="J1292" s="3" t="s">
        <v>34</v>
      </c>
      <c r="K1292" s="20" t="s">
        <v>27</v>
      </c>
      <c r="L1292" s="39">
        <v>0</v>
      </c>
      <c r="M1292" s="39">
        <v>0</v>
      </c>
      <c r="N1292" s="39">
        <v>0</v>
      </c>
      <c r="O1292" s="39">
        <v>0</v>
      </c>
      <c r="P1292" s="39">
        <v>0</v>
      </c>
      <c r="Q1292" s="39">
        <v>0</v>
      </c>
      <c r="R1292" s="39">
        <v>0</v>
      </c>
      <c r="S1292" s="39">
        <v>0</v>
      </c>
      <c r="T1292" s="39">
        <v>0</v>
      </c>
      <c r="U1292" s="39">
        <v>0</v>
      </c>
      <c r="V1292" s="39">
        <v>0</v>
      </c>
      <c r="W1292" s="39">
        <v>0</v>
      </c>
      <c r="X1292" s="39">
        <v>0</v>
      </c>
      <c r="Y1292" s="39">
        <v>0</v>
      </c>
      <c r="Z1292" s="39">
        <v>0</v>
      </c>
      <c r="AA1292" s="39">
        <v>0</v>
      </c>
      <c r="AB1292" s="39">
        <v>0</v>
      </c>
      <c r="AC1292" s="39">
        <v>0</v>
      </c>
      <c r="AD1292" s="39">
        <v>0</v>
      </c>
      <c r="AE1292" s="39">
        <v>0</v>
      </c>
      <c r="AF1292" s="39">
        <v>0</v>
      </c>
      <c r="AG1292" s="39">
        <v>0</v>
      </c>
      <c r="AH1292" s="39"/>
      <c r="AI1292" s="39"/>
      <c r="AJ1292" s="40"/>
      <c r="AK1292" s="39">
        <f t="shared" si="100"/>
        <v>0</v>
      </c>
      <c r="AL1292" s="39">
        <f t="shared" si="103"/>
        <v>0</v>
      </c>
      <c r="AM1292" s="39">
        <f t="shared" si="104"/>
        <v>0</v>
      </c>
      <c r="AN1292" s="39">
        <f t="shared" si="101"/>
        <v>0</v>
      </c>
      <c r="AO1292" s="39">
        <f t="shared" si="102"/>
        <v>0</v>
      </c>
    </row>
    <row r="1293" spans="1:41" x14ac:dyDescent="0.3">
      <c r="A1293" s="20">
        <v>1000184670</v>
      </c>
      <c r="B1293" s="4" t="s">
        <v>147</v>
      </c>
      <c r="C1293" s="21"/>
      <c r="D1293" s="3"/>
      <c r="E1293" s="20">
        <v>1000184762</v>
      </c>
      <c r="F1293" s="4" t="s">
        <v>58</v>
      </c>
      <c r="G1293" s="21">
        <v>1000189812</v>
      </c>
      <c r="H1293" s="3" t="s">
        <v>112</v>
      </c>
      <c r="I1293" s="21">
        <v>1000189270</v>
      </c>
      <c r="J1293" s="3" t="s">
        <v>34</v>
      </c>
      <c r="K1293" s="20" t="s">
        <v>25</v>
      </c>
      <c r="L1293" s="39">
        <v>0</v>
      </c>
      <c r="M1293" s="39">
        <v>0</v>
      </c>
      <c r="N1293" s="39">
        <v>0</v>
      </c>
      <c r="O1293" s="39">
        <v>0</v>
      </c>
      <c r="P1293" s="39">
        <v>0</v>
      </c>
      <c r="Q1293" s="39">
        <v>0</v>
      </c>
      <c r="R1293" s="39">
        <v>0</v>
      </c>
      <c r="S1293" s="39">
        <v>0</v>
      </c>
      <c r="T1293" s="39">
        <v>0</v>
      </c>
      <c r="U1293" s="39">
        <v>0</v>
      </c>
      <c r="V1293" s="39">
        <v>0</v>
      </c>
      <c r="W1293" s="39">
        <v>0</v>
      </c>
      <c r="X1293" s="39">
        <v>0</v>
      </c>
      <c r="Y1293" s="39">
        <v>0</v>
      </c>
      <c r="Z1293" s="39">
        <v>0</v>
      </c>
      <c r="AA1293" s="39">
        <v>0</v>
      </c>
      <c r="AB1293" s="39">
        <v>0</v>
      </c>
      <c r="AC1293" s="39">
        <v>0</v>
      </c>
      <c r="AD1293" s="39">
        <v>0</v>
      </c>
      <c r="AE1293" s="39">
        <v>0</v>
      </c>
      <c r="AF1293" s="39">
        <v>0</v>
      </c>
      <c r="AG1293" s="39">
        <v>0</v>
      </c>
      <c r="AH1293" s="39"/>
      <c r="AI1293" s="39"/>
      <c r="AJ1293" s="40"/>
      <c r="AK1293" s="39">
        <f t="shared" si="100"/>
        <v>0</v>
      </c>
      <c r="AL1293" s="39">
        <f t="shared" si="103"/>
        <v>0</v>
      </c>
      <c r="AM1293" s="39">
        <f t="shared" si="104"/>
        <v>0</v>
      </c>
      <c r="AN1293" s="39">
        <f t="shared" si="101"/>
        <v>0</v>
      </c>
      <c r="AO1293" s="39">
        <f t="shared" si="102"/>
        <v>0</v>
      </c>
    </row>
    <row r="1294" spans="1:41" x14ac:dyDescent="0.3">
      <c r="A1294" s="20">
        <v>1000184670</v>
      </c>
      <c r="B1294" s="4" t="s">
        <v>147</v>
      </c>
      <c r="C1294" s="21"/>
      <c r="D1294" s="3"/>
      <c r="E1294" s="20">
        <v>1000184762</v>
      </c>
      <c r="F1294" s="4" t="s">
        <v>58</v>
      </c>
      <c r="G1294" s="21">
        <v>1000189813</v>
      </c>
      <c r="H1294" s="3" t="s">
        <v>82</v>
      </c>
      <c r="I1294" s="21">
        <v>1000189270</v>
      </c>
      <c r="J1294" s="3" t="s">
        <v>34</v>
      </c>
      <c r="K1294" s="20" t="s">
        <v>124</v>
      </c>
      <c r="L1294" s="39">
        <v>0</v>
      </c>
      <c r="M1294" s="39">
        <v>0</v>
      </c>
      <c r="N1294" s="39">
        <v>0</v>
      </c>
      <c r="O1294" s="39">
        <v>0</v>
      </c>
      <c r="P1294" s="39">
        <v>0</v>
      </c>
      <c r="Q1294" s="39">
        <v>0</v>
      </c>
      <c r="R1294" s="39">
        <v>0</v>
      </c>
      <c r="S1294" s="39">
        <v>0</v>
      </c>
      <c r="T1294" s="39">
        <v>0</v>
      </c>
      <c r="U1294" s="39">
        <v>0</v>
      </c>
      <c r="V1294" s="39">
        <v>0</v>
      </c>
      <c r="W1294" s="39">
        <v>0</v>
      </c>
      <c r="X1294" s="39">
        <v>0</v>
      </c>
      <c r="Y1294" s="39">
        <v>0</v>
      </c>
      <c r="Z1294" s="39">
        <v>0</v>
      </c>
      <c r="AA1294" s="39">
        <v>0</v>
      </c>
      <c r="AB1294" s="39">
        <v>0</v>
      </c>
      <c r="AC1294" s="39">
        <v>0</v>
      </c>
      <c r="AD1294" s="39">
        <v>0</v>
      </c>
      <c r="AE1294" s="39">
        <v>0</v>
      </c>
      <c r="AF1294" s="39">
        <v>0</v>
      </c>
      <c r="AG1294" s="39">
        <v>0</v>
      </c>
      <c r="AH1294" s="39"/>
      <c r="AI1294" s="39"/>
      <c r="AJ1294" s="40"/>
      <c r="AK1294" s="39">
        <f t="shared" si="100"/>
        <v>0</v>
      </c>
      <c r="AL1294" s="39">
        <f t="shared" si="103"/>
        <v>0</v>
      </c>
      <c r="AM1294" s="39">
        <f t="shared" si="104"/>
        <v>0</v>
      </c>
      <c r="AN1294" s="39">
        <f t="shared" si="101"/>
        <v>0</v>
      </c>
      <c r="AO1294" s="39">
        <f t="shared" si="102"/>
        <v>0</v>
      </c>
    </row>
    <row r="1295" spans="1:41" x14ac:dyDescent="0.3">
      <c r="A1295" s="20">
        <v>1000184670</v>
      </c>
      <c r="B1295" s="4" t="s">
        <v>147</v>
      </c>
      <c r="C1295" s="21"/>
      <c r="D1295" s="3"/>
      <c r="E1295" s="20">
        <v>1000184762</v>
      </c>
      <c r="F1295" s="4" t="s">
        <v>58</v>
      </c>
      <c r="G1295" s="21">
        <v>1000189813</v>
      </c>
      <c r="H1295" s="3" t="s">
        <v>82</v>
      </c>
      <c r="I1295" s="21">
        <v>1000189270</v>
      </c>
      <c r="J1295" s="3" t="s">
        <v>34</v>
      </c>
      <c r="K1295" s="20" t="s">
        <v>13</v>
      </c>
      <c r="L1295" s="39">
        <v>0</v>
      </c>
      <c r="M1295" s="39">
        <v>0</v>
      </c>
      <c r="N1295" s="39">
        <v>0</v>
      </c>
      <c r="O1295" s="39">
        <v>0</v>
      </c>
      <c r="P1295" s="39">
        <v>0</v>
      </c>
      <c r="Q1295" s="39">
        <v>0</v>
      </c>
      <c r="R1295" s="39">
        <v>0</v>
      </c>
      <c r="S1295" s="39">
        <v>0</v>
      </c>
      <c r="T1295" s="39">
        <v>0</v>
      </c>
      <c r="U1295" s="39">
        <v>0</v>
      </c>
      <c r="V1295" s="39">
        <v>0</v>
      </c>
      <c r="W1295" s="39">
        <v>0</v>
      </c>
      <c r="X1295" s="39">
        <v>0</v>
      </c>
      <c r="Y1295" s="39">
        <v>0</v>
      </c>
      <c r="Z1295" s="39">
        <v>0</v>
      </c>
      <c r="AA1295" s="39">
        <v>0</v>
      </c>
      <c r="AB1295" s="39">
        <v>0</v>
      </c>
      <c r="AC1295" s="39">
        <v>0</v>
      </c>
      <c r="AD1295" s="39">
        <v>0</v>
      </c>
      <c r="AE1295" s="39">
        <v>0</v>
      </c>
      <c r="AF1295" s="39">
        <v>0</v>
      </c>
      <c r="AG1295" s="39">
        <v>0</v>
      </c>
      <c r="AH1295" s="39"/>
      <c r="AI1295" s="39"/>
      <c r="AJ1295" s="40"/>
      <c r="AK1295" s="39">
        <f t="shared" si="100"/>
        <v>0</v>
      </c>
      <c r="AL1295" s="39">
        <f t="shared" si="103"/>
        <v>0</v>
      </c>
      <c r="AM1295" s="39">
        <f t="shared" si="104"/>
        <v>0</v>
      </c>
      <c r="AN1295" s="39">
        <f t="shared" si="101"/>
        <v>0</v>
      </c>
      <c r="AO1295" s="39">
        <f t="shared" si="102"/>
        <v>0</v>
      </c>
    </row>
    <row r="1296" spans="1:41" x14ac:dyDescent="0.3">
      <c r="A1296" s="20">
        <v>1000184670</v>
      </c>
      <c r="B1296" s="4" t="s">
        <v>147</v>
      </c>
      <c r="C1296" s="21"/>
      <c r="D1296" s="3"/>
      <c r="E1296" s="20">
        <v>1000184762</v>
      </c>
      <c r="F1296" s="4" t="s">
        <v>58</v>
      </c>
      <c r="G1296" s="21">
        <v>1000189813</v>
      </c>
      <c r="H1296" s="3" t="s">
        <v>82</v>
      </c>
      <c r="I1296" s="21">
        <v>1000189270</v>
      </c>
      <c r="J1296" s="3" t="s">
        <v>34</v>
      </c>
      <c r="K1296" s="20" t="s">
        <v>14</v>
      </c>
      <c r="L1296" s="39">
        <v>0</v>
      </c>
      <c r="M1296" s="39">
        <v>0</v>
      </c>
      <c r="N1296" s="39">
        <v>0</v>
      </c>
      <c r="O1296" s="39">
        <v>0</v>
      </c>
      <c r="P1296" s="39">
        <v>0</v>
      </c>
      <c r="Q1296" s="39">
        <v>0</v>
      </c>
      <c r="R1296" s="39">
        <v>0</v>
      </c>
      <c r="S1296" s="39">
        <v>0</v>
      </c>
      <c r="T1296" s="39">
        <v>0</v>
      </c>
      <c r="U1296" s="39">
        <v>0</v>
      </c>
      <c r="V1296" s="39">
        <v>0</v>
      </c>
      <c r="W1296" s="39">
        <v>0</v>
      </c>
      <c r="X1296" s="39">
        <v>0</v>
      </c>
      <c r="Y1296" s="39">
        <v>0</v>
      </c>
      <c r="Z1296" s="39">
        <v>0</v>
      </c>
      <c r="AA1296" s="39">
        <v>0</v>
      </c>
      <c r="AB1296" s="39">
        <v>0</v>
      </c>
      <c r="AC1296" s="39">
        <v>0</v>
      </c>
      <c r="AD1296" s="39">
        <v>0</v>
      </c>
      <c r="AE1296" s="39">
        <v>0</v>
      </c>
      <c r="AF1296" s="39">
        <v>0</v>
      </c>
      <c r="AG1296" s="39">
        <v>0</v>
      </c>
      <c r="AH1296" s="39"/>
      <c r="AI1296" s="39"/>
      <c r="AJ1296" s="40"/>
      <c r="AK1296" s="39">
        <f t="shared" si="100"/>
        <v>0</v>
      </c>
      <c r="AL1296" s="39">
        <f t="shared" si="103"/>
        <v>0</v>
      </c>
      <c r="AM1296" s="39">
        <f t="shared" si="104"/>
        <v>0</v>
      </c>
      <c r="AN1296" s="39">
        <f t="shared" si="101"/>
        <v>0</v>
      </c>
      <c r="AO1296" s="39">
        <f t="shared" si="102"/>
        <v>0</v>
      </c>
    </row>
    <row r="1297" spans="1:41" x14ac:dyDescent="0.3">
      <c r="A1297" s="20">
        <v>1000184670</v>
      </c>
      <c r="B1297" s="4" t="s">
        <v>147</v>
      </c>
      <c r="C1297" s="21"/>
      <c r="D1297" s="3"/>
      <c r="E1297" s="20">
        <v>1000184762</v>
      </c>
      <c r="F1297" s="4" t="s">
        <v>58</v>
      </c>
      <c r="G1297" s="21">
        <v>1000189813</v>
      </c>
      <c r="H1297" s="3" t="s">
        <v>82</v>
      </c>
      <c r="I1297" s="21">
        <v>1000189270</v>
      </c>
      <c r="J1297" s="3" t="s">
        <v>34</v>
      </c>
      <c r="K1297" s="20" t="s">
        <v>16</v>
      </c>
      <c r="L1297" s="39">
        <v>0</v>
      </c>
      <c r="M1297" s="39">
        <v>0</v>
      </c>
      <c r="N1297" s="39">
        <v>0</v>
      </c>
      <c r="O1297" s="39">
        <v>0</v>
      </c>
      <c r="P1297" s="39">
        <v>0</v>
      </c>
      <c r="Q1297" s="39">
        <v>0</v>
      </c>
      <c r="R1297" s="39">
        <v>0</v>
      </c>
      <c r="S1297" s="39">
        <v>0</v>
      </c>
      <c r="T1297" s="39">
        <v>0</v>
      </c>
      <c r="U1297" s="39">
        <v>0</v>
      </c>
      <c r="V1297" s="39">
        <v>0</v>
      </c>
      <c r="W1297" s="39">
        <v>0</v>
      </c>
      <c r="X1297" s="39">
        <v>0</v>
      </c>
      <c r="Y1297" s="39">
        <v>0</v>
      </c>
      <c r="Z1297" s="39">
        <v>0</v>
      </c>
      <c r="AA1297" s="39">
        <v>0</v>
      </c>
      <c r="AB1297" s="39">
        <v>0</v>
      </c>
      <c r="AC1297" s="39">
        <v>0</v>
      </c>
      <c r="AD1297" s="39">
        <v>0</v>
      </c>
      <c r="AE1297" s="39">
        <v>0</v>
      </c>
      <c r="AF1297" s="39">
        <v>0</v>
      </c>
      <c r="AG1297" s="39">
        <v>0</v>
      </c>
      <c r="AH1297" s="39"/>
      <c r="AI1297" s="39"/>
      <c r="AJ1297" s="40"/>
      <c r="AK1297" s="39">
        <f t="shared" si="100"/>
        <v>0</v>
      </c>
      <c r="AL1297" s="39">
        <f t="shared" si="103"/>
        <v>0</v>
      </c>
      <c r="AM1297" s="39">
        <f t="shared" si="104"/>
        <v>0</v>
      </c>
      <c r="AN1297" s="39">
        <f t="shared" si="101"/>
        <v>0</v>
      </c>
      <c r="AO1297" s="39">
        <f t="shared" si="102"/>
        <v>0</v>
      </c>
    </row>
    <row r="1298" spans="1:41" x14ac:dyDescent="0.3">
      <c r="A1298" s="20">
        <v>1000184670</v>
      </c>
      <c r="B1298" s="4" t="s">
        <v>147</v>
      </c>
      <c r="C1298" s="21"/>
      <c r="D1298" s="3"/>
      <c r="E1298" s="20">
        <v>1000184762</v>
      </c>
      <c r="F1298" s="4" t="s">
        <v>58</v>
      </c>
      <c r="G1298" s="21">
        <v>1000189813</v>
      </c>
      <c r="H1298" s="3" t="s">
        <v>82</v>
      </c>
      <c r="I1298" s="21">
        <v>1000189270</v>
      </c>
      <c r="J1298" s="3" t="s">
        <v>34</v>
      </c>
      <c r="K1298" s="20" t="s">
        <v>15</v>
      </c>
      <c r="L1298" s="39">
        <v>0</v>
      </c>
      <c r="M1298" s="39">
        <v>0</v>
      </c>
      <c r="N1298" s="39">
        <v>0</v>
      </c>
      <c r="O1298" s="39">
        <v>0</v>
      </c>
      <c r="P1298" s="39">
        <v>0</v>
      </c>
      <c r="Q1298" s="39">
        <v>0</v>
      </c>
      <c r="R1298" s="39">
        <v>0</v>
      </c>
      <c r="S1298" s="39">
        <v>0</v>
      </c>
      <c r="T1298" s="39">
        <v>0</v>
      </c>
      <c r="U1298" s="39">
        <v>0</v>
      </c>
      <c r="V1298" s="39">
        <v>0</v>
      </c>
      <c r="W1298" s="39">
        <v>0</v>
      </c>
      <c r="X1298" s="39">
        <v>0</v>
      </c>
      <c r="Y1298" s="39">
        <v>0</v>
      </c>
      <c r="Z1298" s="39">
        <v>0</v>
      </c>
      <c r="AA1298" s="39">
        <v>0</v>
      </c>
      <c r="AB1298" s="39">
        <v>0</v>
      </c>
      <c r="AC1298" s="39">
        <v>0</v>
      </c>
      <c r="AD1298" s="39">
        <v>0</v>
      </c>
      <c r="AE1298" s="39">
        <v>0</v>
      </c>
      <c r="AF1298" s="39">
        <v>0</v>
      </c>
      <c r="AG1298" s="39">
        <v>0</v>
      </c>
      <c r="AH1298" s="39"/>
      <c r="AI1298" s="39"/>
      <c r="AJ1298" s="40"/>
      <c r="AK1298" s="39">
        <f t="shared" si="100"/>
        <v>0</v>
      </c>
      <c r="AL1298" s="39">
        <f t="shared" si="103"/>
        <v>0</v>
      </c>
      <c r="AM1298" s="39">
        <f t="shared" si="104"/>
        <v>0</v>
      </c>
      <c r="AN1298" s="39">
        <f t="shared" si="101"/>
        <v>0</v>
      </c>
      <c r="AO1298" s="39">
        <f t="shared" si="102"/>
        <v>0</v>
      </c>
    </row>
    <row r="1299" spans="1:41" x14ac:dyDescent="0.3">
      <c r="A1299" s="20">
        <v>1000184670</v>
      </c>
      <c r="B1299" s="4" t="s">
        <v>147</v>
      </c>
      <c r="C1299" s="21"/>
      <c r="D1299" s="3"/>
      <c r="E1299" s="20">
        <v>1000184762</v>
      </c>
      <c r="F1299" s="4" t="s">
        <v>58</v>
      </c>
      <c r="G1299" s="21">
        <v>1000189813</v>
      </c>
      <c r="H1299" s="3" t="s">
        <v>82</v>
      </c>
      <c r="I1299" s="21">
        <v>1000189270</v>
      </c>
      <c r="J1299" s="3" t="s">
        <v>34</v>
      </c>
      <c r="K1299" s="20" t="s">
        <v>33</v>
      </c>
      <c r="L1299" s="39">
        <v>0</v>
      </c>
      <c r="M1299" s="39">
        <v>0</v>
      </c>
      <c r="N1299" s="39">
        <v>0</v>
      </c>
      <c r="O1299" s="39">
        <v>0</v>
      </c>
      <c r="P1299" s="39">
        <v>0</v>
      </c>
      <c r="Q1299" s="39">
        <v>0</v>
      </c>
      <c r="R1299" s="39">
        <v>0</v>
      </c>
      <c r="S1299" s="39">
        <v>0</v>
      </c>
      <c r="T1299" s="39">
        <v>0</v>
      </c>
      <c r="U1299" s="39">
        <v>0</v>
      </c>
      <c r="V1299" s="39">
        <v>0</v>
      </c>
      <c r="W1299" s="39">
        <v>0</v>
      </c>
      <c r="X1299" s="39">
        <v>0</v>
      </c>
      <c r="Y1299" s="39">
        <v>0</v>
      </c>
      <c r="Z1299" s="39">
        <v>0</v>
      </c>
      <c r="AA1299" s="39">
        <v>0</v>
      </c>
      <c r="AB1299" s="39">
        <v>0</v>
      </c>
      <c r="AC1299" s="39">
        <v>0</v>
      </c>
      <c r="AD1299" s="39">
        <v>0</v>
      </c>
      <c r="AE1299" s="39">
        <v>0</v>
      </c>
      <c r="AF1299" s="39">
        <v>0</v>
      </c>
      <c r="AG1299" s="39">
        <v>0</v>
      </c>
      <c r="AH1299" s="39"/>
      <c r="AI1299" s="39"/>
      <c r="AJ1299" s="40"/>
      <c r="AK1299" s="39">
        <f t="shared" si="100"/>
        <v>0</v>
      </c>
      <c r="AL1299" s="39">
        <f t="shared" si="103"/>
        <v>0</v>
      </c>
      <c r="AM1299" s="39">
        <f t="shared" si="104"/>
        <v>0</v>
      </c>
      <c r="AN1299" s="39">
        <f t="shared" si="101"/>
        <v>0</v>
      </c>
      <c r="AO1299" s="39">
        <f t="shared" si="102"/>
        <v>0</v>
      </c>
    </row>
    <row r="1300" spans="1:41" x14ac:dyDescent="0.3">
      <c r="A1300" s="20">
        <v>1000184670</v>
      </c>
      <c r="B1300" s="4" t="s">
        <v>147</v>
      </c>
      <c r="C1300" s="21"/>
      <c r="D1300" s="3"/>
      <c r="E1300" s="20">
        <v>1000184762</v>
      </c>
      <c r="F1300" s="4" t="s">
        <v>58</v>
      </c>
      <c r="G1300" s="21">
        <v>1000189813</v>
      </c>
      <c r="H1300" s="3" t="s">
        <v>82</v>
      </c>
      <c r="I1300" s="21">
        <v>1000189270</v>
      </c>
      <c r="J1300" s="3" t="s">
        <v>34</v>
      </c>
      <c r="K1300" s="20" t="s">
        <v>19</v>
      </c>
      <c r="L1300" s="39">
        <v>0</v>
      </c>
      <c r="M1300" s="39">
        <v>0</v>
      </c>
      <c r="N1300" s="39">
        <v>0</v>
      </c>
      <c r="O1300" s="39">
        <v>0</v>
      </c>
      <c r="P1300" s="39">
        <v>0</v>
      </c>
      <c r="Q1300" s="39">
        <v>0</v>
      </c>
      <c r="R1300" s="39">
        <v>0</v>
      </c>
      <c r="S1300" s="39">
        <v>0</v>
      </c>
      <c r="T1300" s="39">
        <v>0</v>
      </c>
      <c r="U1300" s="39">
        <v>0</v>
      </c>
      <c r="V1300" s="39">
        <v>0</v>
      </c>
      <c r="W1300" s="39">
        <v>0</v>
      </c>
      <c r="X1300" s="39">
        <v>0</v>
      </c>
      <c r="Y1300" s="39">
        <v>288</v>
      </c>
      <c r="Z1300" s="39">
        <v>0</v>
      </c>
      <c r="AA1300" s="39">
        <v>0</v>
      </c>
      <c r="AB1300" s="39">
        <v>0</v>
      </c>
      <c r="AC1300" s="39">
        <v>0</v>
      </c>
      <c r="AD1300" s="39">
        <v>0</v>
      </c>
      <c r="AE1300" s="39">
        <v>0</v>
      </c>
      <c r="AF1300" s="39">
        <v>0</v>
      </c>
      <c r="AG1300" s="39">
        <v>0</v>
      </c>
      <c r="AH1300" s="39"/>
      <c r="AI1300" s="39"/>
      <c r="AJ1300" s="40"/>
      <c r="AK1300" s="39">
        <f t="shared" si="100"/>
        <v>0</v>
      </c>
      <c r="AL1300" s="39">
        <f t="shared" si="103"/>
        <v>24</v>
      </c>
      <c r="AM1300" s="39">
        <f t="shared" si="104"/>
        <v>0</v>
      </c>
      <c r="AN1300" s="39">
        <f t="shared" si="101"/>
        <v>28.8</v>
      </c>
      <c r="AO1300" s="39">
        <f t="shared" si="102"/>
        <v>288</v>
      </c>
    </row>
    <row r="1301" spans="1:41" x14ac:dyDescent="0.3">
      <c r="A1301" s="20">
        <v>1000184670</v>
      </c>
      <c r="B1301" s="4" t="s">
        <v>147</v>
      </c>
      <c r="C1301" s="21"/>
      <c r="D1301" s="3"/>
      <c r="E1301" s="20">
        <v>1000184762</v>
      </c>
      <c r="F1301" s="4" t="s">
        <v>58</v>
      </c>
      <c r="G1301" s="21">
        <v>1000189813</v>
      </c>
      <c r="H1301" s="3" t="s">
        <v>82</v>
      </c>
      <c r="I1301" s="21">
        <v>1000189270</v>
      </c>
      <c r="J1301" s="3" t="s">
        <v>34</v>
      </c>
      <c r="K1301" s="20" t="s">
        <v>17</v>
      </c>
      <c r="L1301" s="39">
        <v>0</v>
      </c>
      <c r="M1301" s="39">
        <v>0</v>
      </c>
      <c r="N1301" s="39">
        <v>0</v>
      </c>
      <c r="O1301" s="39">
        <v>0</v>
      </c>
      <c r="P1301" s="39">
        <v>0</v>
      </c>
      <c r="Q1301" s="39">
        <v>0</v>
      </c>
      <c r="R1301" s="39">
        <v>0</v>
      </c>
      <c r="S1301" s="39">
        <v>0</v>
      </c>
      <c r="T1301" s="39">
        <v>0</v>
      </c>
      <c r="U1301" s="39">
        <v>0</v>
      </c>
      <c r="V1301" s="39">
        <v>0</v>
      </c>
      <c r="W1301" s="39">
        <v>0</v>
      </c>
      <c r="X1301" s="39">
        <v>0</v>
      </c>
      <c r="Y1301" s="39">
        <v>0</v>
      </c>
      <c r="Z1301" s="39">
        <v>0</v>
      </c>
      <c r="AA1301" s="39">
        <v>0</v>
      </c>
      <c r="AB1301" s="39">
        <v>0</v>
      </c>
      <c r="AC1301" s="39">
        <v>0</v>
      </c>
      <c r="AD1301" s="39">
        <v>0</v>
      </c>
      <c r="AE1301" s="39">
        <v>0</v>
      </c>
      <c r="AF1301" s="39">
        <v>0</v>
      </c>
      <c r="AG1301" s="39">
        <v>0</v>
      </c>
      <c r="AH1301" s="39"/>
      <c r="AI1301" s="39"/>
      <c r="AJ1301" s="40"/>
      <c r="AK1301" s="39">
        <f t="shared" si="100"/>
        <v>0</v>
      </c>
      <c r="AL1301" s="39">
        <f t="shared" si="103"/>
        <v>0</v>
      </c>
      <c r="AM1301" s="39">
        <f t="shared" si="104"/>
        <v>0</v>
      </c>
      <c r="AN1301" s="39">
        <f t="shared" si="101"/>
        <v>0</v>
      </c>
      <c r="AO1301" s="39">
        <f t="shared" si="102"/>
        <v>0</v>
      </c>
    </row>
    <row r="1302" spans="1:41" x14ac:dyDescent="0.3">
      <c r="A1302" s="20">
        <v>1000184670</v>
      </c>
      <c r="B1302" s="4" t="s">
        <v>147</v>
      </c>
      <c r="C1302" s="21"/>
      <c r="D1302" s="3"/>
      <c r="E1302" s="20">
        <v>1000184762</v>
      </c>
      <c r="F1302" s="4" t="s">
        <v>58</v>
      </c>
      <c r="G1302" s="21">
        <v>1000189813</v>
      </c>
      <c r="H1302" s="3" t="s">
        <v>82</v>
      </c>
      <c r="I1302" s="21">
        <v>1000189270</v>
      </c>
      <c r="J1302" s="3" t="s">
        <v>34</v>
      </c>
      <c r="K1302" s="20" t="s">
        <v>24</v>
      </c>
      <c r="L1302" s="39">
        <v>0</v>
      </c>
      <c r="M1302" s="39">
        <v>0</v>
      </c>
      <c r="N1302" s="39">
        <v>0</v>
      </c>
      <c r="O1302" s="39">
        <v>0</v>
      </c>
      <c r="P1302" s="39">
        <v>0</v>
      </c>
      <c r="Q1302" s="39">
        <v>0</v>
      </c>
      <c r="R1302" s="39">
        <v>0</v>
      </c>
      <c r="S1302" s="39">
        <v>0</v>
      </c>
      <c r="T1302" s="39">
        <v>0</v>
      </c>
      <c r="U1302" s="39">
        <v>0</v>
      </c>
      <c r="V1302" s="39">
        <v>0</v>
      </c>
      <c r="W1302" s="39">
        <v>0</v>
      </c>
      <c r="X1302" s="39">
        <v>0</v>
      </c>
      <c r="Y1302" s="39">
        <v>0</v>
      </c>
      <c r="Z1302" s="39">
        <v>0</v>
      </c>
      <c r="AA1302" s="39">
        <v>0</v>
      </c>
      <c r="AB1302" s="39">
        <v>0</v>
      </c>
      <c r="AC1302" s="39">
        <v>0</v>
      </c>
      <c r="AD1302" s="39">
        <v>0</v>
      </c>
      <c r="AE1302" s="39">
        <v>0</v>
      </c>
      <c r="AF1302" s="39">
        <v>0</v>
      </c>
      <c r="AG1302" s="39">
        <v>0</v>
      </c>
      <c r="AH1302" s="39"/>
      <c r="AI1302" s="39"/>
      <c r="AJ1302" s="40"/>
      <c r="AK1302" s="39">
        <f t="shared" si="100"/>
        <v>0</v>
      </c>
      <c r="AL1302" s="39">
        <f t="shared" si="103"/>
        <v>0</v>
      </c>
      <c r="AM1302" s="39">
        <f t="shared" si="104"/>
        <v>0</v>
      </c>
      <c r="AN1302" s="39">
        <f t="shared" si="101"/>
        <v>0</v>
      </c>
      <c r="AO1302" s="39">
        <f t="shared" si="102"/>
        <v>0</v>
      </c>
    </row>
    <row r="1303" spans="1:41" x14ac:dyDescent="0.3">
      <c r="A1303" s="20">
        <v>1000184670</v>
      </c>
      <c r="B1303" s="4" t="s">
        <v>147</v>
      </c>
      <c r="C1303" s="21"/>
      <c r="D1303" s="3"/>
      <c r="E1303" s="20">
        <v>1000184762</v>
      </c>
      <c r="F1303" s="4" t="s">
        <v>58</v>
      </c>
      <c r="G1303" s="21">
        <v>1000189813</v>
      </c>
      <c r="H1303" s="3" t="s">
        <v>82</v>
      </c>
      <c r="I1303" s="21">
        <v>1000189270</v>
      </c>
      <c r="J1303" s="3" t="s">
        <v>34</v>
      </c>
      <c r="K1303" s="20" t="s">
        <v>18</v>
      </c>
      <c r="L1303" s="39">
        <v>0</v>
      </c>
      <c r="M1303" s="39">
        <v>0</v>
      </c>
      <c r="N1303" s="39">
        <v>0</v>
      </c>
      <c r="O1303" s="39">
        <v>0</v>
      </c>
      <c r="P1303" s="39">
        <v>0</v>
      </c>
      <c r="Q1303" s="39">
        <v>0</v>
      </c>
      <c r="R1303" s="39">
        <v>0</v>
      </c>
      <c r="S1303" s="39">
        <v>0</v>
      </c>
      <c r="T1303" s="39">
        <v>0</v>
      </c>
      <c r="U1303" s="39">
        <v>0</v>
      </c>
      <c r="V1303" s="39">
        <v>0</v>
      </c>
      <c r="W1303" s="39">
        <v>0</v>
      </c>
      <c r="X1303" s="39">
        <v>0</v>
      </c>
      <c r="Y1303" s="39">
        <v>0</v>
      </c>
      <c r="Z1303" s="39">
        <v>0</v>
      </c>
      <c r="AA1303" s="39">
        <v>0</v>
      </c>
      <c r="AB1303" s="39">
        <v>0</v>
      </c>
      <c r="AC1303" s="39">
        <v>0</v>
      </c>
      <c r="AD1303" s="39">
        <v>0</v>
      </c>
      <c r="AE1303" s="39">
        <v>0</v>
      </c>
      <c r="AF1303" s="39">
        <v>0</v>
      </c>
      <c r="AG1303" s="39">
        <v>0</v>
      </c>
      <c r="AH1303" s="39"/>
      <c r="AI1303" s="39"/>
      <c r="AJ1303" s="40"/>
      <c r="AK1303" s="39">
        <f t="shared" si="100"/>
        <v>0</v>
      </c>
      <c r="AL1303" s="39">
        <f t="shared" si="103"/>
        <v>0</v>
      </c>
      <c r="AM1303" s="39">
        <f t="shared" si="104"/>
        <v>0</v>
      </c>
      <c r="AN1303" s="39">
        <f t="shared" si="101"/>
        <v>0</v>
      </c>
      <c r="AO1303" s="39">
        <f t="shared" si="102"/>
        <v>0</v>
      </c>
    </row>
    <row r="1304" spans="1:41" x14ac:dyDescent="0.3">
      <c r="A1304" s="20">
        <v>1000184670</v>
      </c>
      <c r="B1304" s="4" t="s">
        <v>147</v>
      </c>
      <c r="C1304" s="21"/>
      <c r="D1304" s="3"/>
      <c r="E1304" s="20">
        <v>1000184762</v>
      </c>
      <c r="F1304" s="4" t="s">
        <v>58</v>
      </c>
      <c r="G1304" s="21">
        <v>1000189813</v>
      </c>
      <c r="H1304" s="3" t="s">
        <v>82</v>
      </c>
      <c r="I1304" s="21">
        <v>1000189270</v>
      </c>
      <c r="J1304" s="3" t="s">
        <v>34</v>
      </c>
      <c r="K1304" s="20" t="s">
        <v>29</v>
      </c>
      <c r="L1304" s="39">
        <v>0</v>
      </c>
      <c r="M1304" s="39">
        <v>0</v>
      </c>
      <c r="N1304" s="39">
        <v>0</v>
      </c>
      <c r="O1304" s="39">
        <v>0</v>
      </c>
      <c r="P1304" s="39">
        <v>0</v>
      </c>
      <c r="Q1304" s="39">
        <v>0</v>
      </c>
      <c r="R1304" s="39">
        <v>0</v>
      </c>
      <c r="S1304" s="39">
        <v>0</v>
      </c>
      <c r="T1304" s="39">
        <v>0</v>
      </c>
      <c r="U1304" s="39">
        <v>0</v>
      </c>
      <c r="V1304" s="39">
        <v>0</v>
      </c>
      <c r="W1304" s="39">
        <v>0</v>
      </c>
      <c r="X1304" s="39">
        <v>0</v>
      </c>
      <c r="Y1304" s="39">
        <v>0</v>
      </c>
      <c r="Z1304" s="39">
        <v>0</v>
      </c>
      <c r="AA1304" s="39">
        <v>0</v>
      </c>
      <c r="AB1304" s="39">
        <v>0</v>
      </c>
      <c r="AC1304" s="39">
        <v>0</v>
      </c>
      <c r="AD1304" s="39">
        <v>2289.6</v>
      </c>
      <c r="AE1304" s="39">
        <v>0</v>
      </c>
      <c r="AF1304" s="39">
        <v>0</v>
      </c>
      <c r="AG1304" s="39">
        <v>0</v>
      </c>
      <c r="AH1304" s="39"/>
      <c r="AI1304" s="39"/>
      <c r="AJ1304" s="40"/>
      <c r="AK1304" s="39">
        <f t="shared" si="100"/>
        <v>0</v>
      </c>
      <c r="AL1304" s="39">
        <f t="shared" si="103"/>
        <v>190.79999999999998</v>
      </c>
      <c r="AM1304" s="39">
        <f t="shared" si="104"/>
        <v>381.59999999999997</v>
      </c>
      <c r="AN1304" s="39">
        <f t="shared" si="101"/>
        <v>228.95999999999998</v>
      </c>
      <c r="AO1304" s="39">
        <f t="shared" si="102"/>
        <v>2289.6</v>
      </c>
    </row>
    <row r="1305" spans="1:41" x14ac:dyDescent="0.3">
      <c r="A1305" s="20">
        <v>1000184670</v>
      </c>
      <c r="B1305" s="4" t="s">
        <v>147</v>
      </c>
      <c r="C1305" s="21"/>
      <c r="D1305" s="3"/>
      <c r="E1305" s="20">
        <v>1000184762</v>
      </c>
      <c r="F1305" s="4" t="s">
        <v>58</v>
      </c>
      <c r="G1305" s="21">
        <v>1000189813</v>
      </c>
      <c r="H1305" s="3" t="s">
        <v>82</v>
      </c>
      <c r="I1305" s="21">
        <v>1000189270</v>
      </c>
      <c r="J1305" s="3" t="s">
        <v>34</v>
      </c>
      <c r="K1305" s="20" t="s">
        <v>21</v>
      </c>
      <c r="L1305" s="39">
        <v>0</v>
      </c>
      <c r="M1305" s="39">
        <v>0</v>
      </c>
      <c r="N1305" s="39">
        <v>0</v>
      </c>
      <c r="O1305" s="39">
        <v>0</v>
      </c>
      <c r="P1305" s="39">
        <v>0</v>
      </c>
      <c r="Q1305" s="39">
        <v>0</v>
      </c>
      <c r="R1305" s="39">
        <v>0</v>
      </c>
      <c r="S1305" s="39">
        <v>0</v>
      </c>
      <c r="T1305" s="39">
        <v>0</v>
      </c>
      <c r="U1305" s="39">
        <v>0</v>
      </c>
      <c r="V1305" s="39">
        <v>0</v>
      </c>
      <c r="W1305" s="39">
        <v>0</v>
      </c>
      <c r="X1305" s="39">
        <v>0</v>
      </c>
      <c r="Y1305" s="39">
        <v>0</v>
      </c>
      <c r="Z1305" s="39">
        <v>0</v>
      </c>
      <c r="AA1305" s="39">
        <v>0</v>
      </c>
      <c r="AB1305" s="39">
        <v>0</v>
      </c>
      <c r="AC1305" s="39">
        <v>0</v>
      </c>
      <c r="AD1305" s="39">
        <v>0</v>
      </c>
      <c r="AE1305" s="39">
        <v>0</v>
      </c>
      <c r="AF1305" s="39">
        <v>0</v>
      </c>
      <c r="AG1305" s="39">
        <v>0</v>
      </c>
      <c r="AH1305" s="39"/>
      <c r="AI1305" s="39"/>
      <c r="AJ1305" s="40"/>
      <c r="AK1305" s="39">
        <f t="shared" si="100"/>
        <v>0</v>
      </c>
      <c r="AL1305" s="39">
        <f t="shared" si="103"/>
        <v>0</v>
      </c>
      <c r="AM1305" s="39">
        <f t="shared" si="104"/>
        <v>0</v>
      </c>
      <c r="AN1305" s="39">
        <f t="shared" si="101"/>
        <v>0</v>
      </c>
      <c r="AO1305" s="39">
        <f t="shared" si="102"/>
        <v>0</v>
      </c>
    </row>
    <row r="1306" spans="1:41" x14ac:dyDescent="0.3">
      <c r="A1306" s="20">
        <v>1000184670</v>
      </c>
      <c r="B1306" s="4" t="s">
        <v>147</v>
      </c>
      <c r="C1306" s="21"/>
      <c r="D1306" s="3"/>
      <c r="E1306" s="20">
        <v>1000184762</v>
      </c>
      <c r="F1306" s="4" t="s">
        <v>58</v>
      </c>
      <c r="G1306" s="21">
        <v>1000189813</v>
      </c>
      <c r="H1306" s="3" t="s">
        <v>82</v>
      </c>
      <c r="I1306" s="21">
        <v>1000189270</v>
      </c>
      <c r="J1306" s="3" t="s">
        <v>34</v>
      </c>
      <c r="K1306" s="20" t="s">
        <v>20</v>
      </c>
      <c r="L1306" s="39">
        <v>0</v>
      </c>
      <c r="M1306" s="39">
        <v>0</v>
      </c>
      <c r="N1306" s="39">
        <v>0</v>
      </c>
      <c r="O1306" s="39">
        <v>0</v>
      </c>
      <c r="P1306" s="39">
        <v>0</v>
      </c>
      <c r="Q1306" s="39">
        <v>0</v>
      </c>
      <c r="R1306" s="39">
        <v>0</v>
      </c>
      <c r="S1306" s="39">
        <v>0</v>
      </c>
      <c r="T1306" s="39">
        <v>0</v>
      </c>
      <c r="U1306" s="39">
        <v>0</v>
      </c>
      <c r="V1306" s="39">
        <v>0</v>
      </c>
      <c r="W1306" s="39">
        <v>0</v>
      </c>
      <c r="X1306" s="39">
        <v>0</v>
      </c>
      <c r="Y1306" s="39">
        <v>1219.1400000000001</v>
      </c>
      <c r="Z1306" s="39">
        <v>0</v>
      </c>
      <c r="AA1306" s="39">
        <v>0</v>
      </c>
      <c r="AB1306" s="39">
        <v>0</v>
      </c>
      <c r="AC1306" s="39">
        <v>0</v>
      </c>
      <c r="AD1306" s="39">
        <v>0</v>
      </c>
      <c r="AE1306" s="39">
        <v>0</v>
      </c>
      <c r="AF1306" s="39">
        <v>0</v>
      </c>
      <c r="AG1306" s="39">
        <v>0</v>
      </c>
      <c r="AH1306" s="39"/>
      <c r="AI1306" s="39"/>
      <c r="AJ1306" s="40"/>
      <c r="AK1306" s="39">
        <f t="shared" si="100"/>
        <v>0</v>
      </c>
      <c r="AL1306" s="39">
        <f t="shared" si="103"/>
        <v>101.59500000000001</v>
      </c>
      <c r="AM1306" s="39">
        <f t="shared" si="104"/>
        <v>0</v>
      </c>
      <c r="AN1306" s="39">
        <f t="shared" si="101"/>
        <v>121.91400000000002</v>
      </c>
      <c r="AO1306" s="39">
        <f t="shared" si="102"/>
        <v>1219.1400000000001</v>
      </c>
    </row>
    <row r="1307" spans="1:41" x14ac:dyDescent="0.3">
      <c r="A1307" s="20">
        <v>1000184670</v>
      </c>
      <c r="B1307" s="4" t="s">
        <v>147</v>
      </c>
      <c r="C1307" s="21"/>
      <c r="D1307" s="3"/>
      <c r="E1307" s="20">
        <v>1000184762</v>
      </c>
      <c r="F1307" s="4" t="s">
        <v>58</v>
      </c>
      <c r="G1307" s="21">
        <v>1000189813</v>
      </c>
      <c r="H1307" s="3" t="s">
        <v>82</v>
      </c>
      <c r="I1307" s="21">
        <v>1000189270</v>
      </c>
      <c r="J1307" s="3" t="s">
        <v>34</v>
      </c>
      <c r="K1307" s="20" t="s">
        <v>22</v>
      </c>
      <c r="L1307" s="39">
        <v>0</v>
      </c>
      <c r="M1307" s="39">
        <v>0</v>
      </c>
      <c r="N1307" s="39">
        <v>0</v>
      </c>
      <c r="O1307" s="39">
        <v>0</v>
      </c>
      <c r="P1307" s="39">
        <v>0</v>
      </c>
      <c r="Q1307" s="39">
        <v>0</v>
      </c>
      <c r="R1307" s="39">
        <v>0</v>
      </c>
      <c r="S1307" s="39">
        <v>0</v>
      </c>
      <c r="T1307" s="39">
        <v>0</v>
      </c>
      <c r="U1307" s="39">
        <v>0</v>
      </c>
      <c r="V1307" s="39">
        <v>0</v>
      </c>
      <c r="W1307" s="39">
        <v>0</v>
      </c>
      <c r="X1307" s="39">
        <v>0</v>
      </c>
      <c r="Y1307" s="39">
        <v>132</v>
      </c>
      <c r="Z1307" s="39">
        <v>0</v>
      </c>
      <c r="AA1307" s="39">
        <v>0</v>
      </c>
      <c r="AB1307" s="39">
        <v>0</v>
      </c>
      <c r="AC1307" s="39">
        <v>0</v>
      </c>
      <c r="AD1307" s="39">
        <v>0</v>
      </c>
      <c r="AE1307" s="39">
        <v>0</v>
      </c>
      <c r="AF1307" s="39">
        <v>0</v>
      </c>
      <c r="AG1307" s="39">
        <v>0</v>
      </c>
      <c r="AH1307" s="39"/>
      <c r="AI1307" s="39"/>
      <c r="AJ1307" s="40"/>
      <c r="AK1307" s="39">
        <f t="shared" si="100"/>
        <v>0</v>
      </c>
      <c r="AL1307" s="39">
        <f t="shared" si="103"/>
        <v>11</v>
      </c>
      <c r="AM1307" s="39">
        <f t="shared" si="104"/>
        <v>0</v>
      </c>
      <c r="AN1307" s="39">
        <f t="shared" si="101"/>
        <v>13.2</v>
      </c>
      <c r="AO1307" s="39">
        <f t="shared" si="102"/>
        <v>132</v>
      </c>
    </row>
    <row r="1308" spans="1:41" x14ac:dyDescent="0.3">
      <c r="A1308" s="20">
        <v>1000184670</v>
      </c>
      <c r="B1308" s="4" t="s">
        <v>147</v>
      </c>
      <c r="C1308" s="21"/>
      <c r="D1308" s="3"/>
      <c r="E1308" s="20">
        <v>1000184762</v>
      </c>
      <c r="F1308" s="4" t="s">
        <v>58</v>
      </c>
      <c r="G1308" s="21">
        <v>1000189813</v>
      </c>
      <c r="H1308" s="3" t="s">
        <v>82</v>
      </c>
      <c r="I1308" s="21">
        <v>1000189270</v>
      </c>
      <c r="J1308" s="3" t="s">
        <v>34</v>
      </c>
      <c r="K1308" s="20" t="s">
        <v>23</v>
      </c>
      <c r="L1308" s="39">
        <v>0</v>
      </c>
      <c r="M1308" s="39">
        <v>0</v>
      </c>
      <c r="N1308" s="39">
        <v>0</v>
      </c>
      <c r="O1308" s="39">
        <v>0</v>
      </c>
      <c r="P1308" s="39">
        <v>0</v>
      </c>
      <c r="Q1308" s="39">
        <v>0</v>
      </c>
      <c r="R1308" s="39">
        <v>0</v>
      </c>
      <c r="S1308" s="39">
        <v>0</v>
      </c>
      <c r="T1308" s="39">
        <v>0</v>
      </c>
      <c r="U1308" s="39">
        <v>0</v>
      </c>
      <c r="V1308" s="39">
        <v>0</v>
      </c>
      <c r="W1308" s="39">
        <v>0</v>
      </c>
      <c r="X1308" s="39">
        <v>0</v>
      </c>
      <c r="Y1308" s="39">
        <v>0</v>
      </c>
      <c r="Z1308" s="39">
        <v>0</v>
      </c>
      <c r="AA1308" s="39">
        <v>0</v>
      </c>
      <c r="AB1308" s="39">
        <v>0</v>
      </c>
      <c r="AC1308" s="39">
        <v>0</v>
      </c>
      <c r="AD1308" s="39">
        <v>0</v>
      </c>
      <c r="AE1308" s="39">
        <v>0</v>
      </c>
      <c r="AF1308" s="39">
        <v>0</v>
      </c>
      <c r="AG1308" s="39">
        <v>0</v>
      </c>
      <c r="AH1308" s="39"/>
      <c r="AI1308" s="39"/>
      <c r="AJ1308" s="40"/>
      <c r="AK1308" s="39">
        <f t="shared" si="100"/>
        <v>0</v>
      </c>
      <c r="AL1308" s="39">
        <f t="shared" si="103"/>
        <v>0</v>
      </c>
      <c r="AM1308" s="39">
        <f t="shared" si="104"/>
        <v>0</v>
      </c>
      <c r="AN1308" s="39">
        <f t="shared" si="101"/>
        <v>0</v>
      </c>
      <c r="AO1308" s="39">
        <f t="shared" si="102"/>
        <v>0</v>
      </c>
    </row>
    <row r="1309" spans="1:41" x14ac:dyDescent="0.3">
      <c r="A1309" s="20">
        <v>1000184670</v>
      </c>
      <c r="B1309" s="4" t="s">
        <v>147</v>
      </c>
      <c r="C1309" s="21"/>
      <c r="D1309" s="3"/>
      <c r="E1309" s="20">
        <v>1000184762</v>
      </c>
      <c r="F1309" s="4" t="s">
        <v>58</v>
      </c>
      <c r="G1309" s="21">
        <v>1000189813</v>
      </c>
      <c r="H1309" s="3" t="s">
        <v>82</v>
      </c>
      <c r="I1309" s="21">
        <v>1000189270</v>
      </c>
      <c r="J1309" s="3" t="s">
        <v>34</v>
      </c>
      <c r="K1309" s="20" t="s">
        <v>28</v>
      </c>
      <c r="L1309" s="39">
        <v>0</v>
      </c>
      <c r="M1309" s="39">
        <v>0</v>
      </c>
      <c r="N1309" s="39">
        <v>0</v>
      </c>
      <c r="O1309" s="39">
        <v>0</v>
      </c>
      <c r="P1309" s="39">
        <v>0</v>
      </c>
      <c r="Q1309" s="39">
        <v>0</v>
      </c>
      <c r="R1309" s="39">
        <v>0</v>
      </c>
      <c r="S1309" s="39">
        <v>0</v>
      </c>
      <c r="T1309" s="39">
        <v>0</v>
      </c>
      <c r="U1309" s="39">
        <v>0</v>
      </c>
      <c r="V1309" s="39">
        <v>0</v>
      </c>
      <c r="W1309" s="39">
        <v>0</v>
      </c>
      <c r="X1309" s="39">
        <v>0</v>
      </c>
      <c r="Y1309" s="39">
        <v>108.72</v>
      </c>
      <c r="Z1309" s="39">
        <v>0</v>
      </c>
      <c r="AA1309" s="39">
        <v>0</v>
      </c>
      <c r="AB1309" s="39">
        <v>0</v>
      </c>
      <c r="AC1309" s="39">
        <v>0</v>
      </c>
      <c r="AD1309" s="39">
        <v>0</v>
      </c>
      <c r="AE1309" s="39">
        <v>0</v>
      </c>
      <c r="AF1309" s="39">
        <v>0</v>
      </c>
      <c r="AG1309" s="39">
        <v>0</v>
      </c>
      <c r="AH1309" s="39"/>
      <c r="AI1309" s="39"/>
      <c r="AJ1309" s="40"/>
      <c r="AK1309" s="39">
        <f t="shared" si="100"/>
        <v>0</v>
      </c>
      <c r="AL1309" s="39">
        <f t="shared" si="103"/>
        <v>9.06</v>
      </c>
      <c r="AM1309" s="39">
        <f t="shared" si="104"/>
        <v>0</v>
      </c>
      <c r="AN1309" s="39">
        <f t="shared" si="101"/>
        <v>10.872</v>
      </c>
      <c r="AO1309" s="39">
        <f t="shared" si="102"/>
        <v>108.72</v>
      </c>
    </row>
    <row r="1310" spans="1:41" x14ac:dyDescent="0.3">
      <c r="A1310" s="20">
        <v>1000184670</v>
      </c>
      <c r="B1310" s="4" t="s">
        <v>147</v>
      </c>
      <c r="C1310" s="21"/>
      <c r="D1310" s="3"/>
      <c r="E1310" s="20">
        <v>1000184762</v>
      </c>
      <c r="F1310" s="4" t="s">
        <v>58</v>
      </c>
      <c r="G1310" s="21">
        <v>1000189813</v>
      </c>
      <c r="H1310" s="3" t="s">
        <v>82</v>
      </c>
      <c r="I1310" s="21">
        <v>1000189270</v>
      </c>
      <c r="J1310" s="3" t="s">
        <v>34</v>
      </c>
      <c r="K1310" s="20" t="s">
        <v>26</v>
      </c>
      <c r="L1310" s="39">
        <v>0</v>
      </c>
      <c r="M1310" s="39">
        <v>0</v>
      </c>
      <c r="N1310" s="39">
        <v>0</v>
      </c>
      <c r="O1310" s="39">
        <v>0</v>
      </c>
      <c r="P1310" s="39">
        <v>0</v>
      </c>
      <c r="Q1310" s="39">
        <v>0</v>
      </c>
      <c r="R1310" s="39">
        <v>0</v>
      </c>
      <c r="S1310" s="39">
        <v>0</v>
      </c>
      <c r="T1310" s="39">
        <v>0</v>
      </c>
      <c r="U1310" s="39">
        <v>0</v>
      </c>
      <c r="V1310" s="39">
        <v>0</v>
      </c>
      <c r="W1310" s="39">
        <v>0</v>
      </c>
      <c r="X1310" s="39">
        <v>0</v>
      </c>
      <c r="Y1310" s="39">
        <v>0</v>
      </c>
      <c r="Z1310" s="39">
        <v>0</v>
      </c>
      <c r="AA1310" s="39">
        <v>0</v>
      </c>
      <c r="AB1310" s="39">
        <v>0</v>
      </c>
      <c r="AC1310" s="39">
        <v>0</v>
      </c>
      <c r="AD1310" s="39">
        <v>0</v>
      </c>
      <c r="AE1310" s="39">
        <v>0</v>
      </c>
      <c r="AF1310" s="39">
        <v>0</v>
      </c>
      <c r="AG1310" s="39">
        <v>0</v>
      </c>
      <c r="AH1310" s="39"/>
      <c r="AI1310" s="39"/>
      <c r="AJ1310" s="40"/>
      <c r="AK1310" s="39">
        <f t="shared" si="100"/>
        <v>0</v>
      </c>
      <c r="AL1310" s="39">
        <f t="shared" si="103"/>
        <v>0</v>
      </c>
      <c r="AM1310" s="39">
        <f t="shared" si="104"/>
        <v>0</v>
      </c>
      <c r="AN1310" s="39">
        <f t="shared" si="101"/>
        <v>0</v>
      </c>
      <c r="AO1310" s="39">
        <f t="shared" si="102"/>
        <v>0</v>
      </c>
    </row>
    <row r="1311" spans="1:41" x14ac:dyDescent="0.3">
      <c r="A1311" s="20">
        <v>1000184670</v>
      </c>
      <c r="B1311" s="4" t="s">
        <v>147</v>
      </c>
      <c r="C1311" s="21"/>
      <c r="D1311" s="3"/>
      <c r="E1311" s="20">
        <v>1000184762</v>
      </c>
      <c r="F1311" s="4" t="s">
        <v>58</v>
      </c>
      <c r="G1311" s="21">
        <v>1000189813</v>
      </c>
      <c r="H1311" s="3" t="s">
        <v>82</v>
      </c>
      <c r="I1311" s="21">
        <v>1000189270</v>
      </c>
      <c r="J1311" s="3" t="s">
        <v>34</v>
      </c>
      <c r="K1311" s="20" t="s">
        <v>27</v>
      </c>
      <c r="L1311" s="39">
        <v>0</v>
      </c>
      <c r="M1311" s="39">
        <v>0</v>
      </c>
      <c r="N1311" s="39">
        <v>0</v>
      </c>
      <c r="O1311" s="39">
        <v>0</v>
      </c>
      <c r="P1311" s="39">
        <v>0</v>
      </c>
      <c r="Q1311" s="39">
        <v>0</v>
      </c>
      <c r="R1311" s="39">
        <v>0</v>
      </c>
      <c r="S1311" s="39">
        <v>0</v>
      </c>
      <c r="T1311" s="39">
        <v>0</v>
      </c>
      <c r="U1311" s="39">
        <v>0</v>
      </c>
      <c r="V1311" s="39">
        <v>0</v>
      </c>
      <c r="W1311" s="39">
        <v>0</v>
      </c>
      <c r="X1311" s="39">
        <v>0</v>
      </c>
      <c r="Y1311" s="39">
        <v>0</v>
      </c>
      <c r="Z1311" s="39">
        <v>0</v>
      </c>
      <c r="AA1311" s="39">
        <v>0</v>
      </c>
      <c r="AB1311" s="39">
        <v>0</v>
      </c>
      <c r="AC1311" s="39">
        <v>0</v>
      </c>
      <c r="AD1311" s="39">
        <v>0</v>
      </c>
      <c r="AE1311" s="39">
        <v>0</v>
      </c>
      <c r="AF1311" s="39">
        <v>0</v>
      </c>
      <c r="AG1311" s="39">
        <v>0</v>
      </c>
      <c r="AH1311" s="39"/>
      <c r="AI1311" s="39"/>
      <c r="AJ1311" s="40"/>
      <c r="AK1311" s="39">
        <f t="shared" si="100"/>
        <v>0</v>
      </c>
      <c r="AL1311" s="39">
        <f t="shared" si="103"/>
        <v>0</v>
      </c>
      <c r="AM1311" s="39">
        <f t="shared" si="104"/>
        <v>0</v>
      </c>
      <c r="AN1311" s="39">
        <f t="shared" si="101"/>
        <v>0</v>
      </c>
      <c r="AO1311" s="39">
        <f t="shared" si="102"/>
        <v>0</v>
      </c>
    </row>
    <row r="1312" spans="1:41" x14ac:dyDescent="0.3">
      <c r="A1312" s="20">
        <v>1000184670</v>
      </c>
      <c r="B1312" s="4" t="s">
        <v>147</v>
      </c>
      <c r="C1312" s="21"/>
      <c r="D1312" s="3"/>
      <c r="E1312" s="20">
        <v>1000184762</v>
      </c>
      <c r="F1312" s="4" t="s">
        <v>58</v>
      </c>
      <c r="G1312" s="21">
        <v>1000189813</v>
      </c>
      <c r="H1312" s="3" t="s">
        <v>82</v>
      </c>
      <c r="I1312" s="21">
        <v>1000189270</v>
      </c>
      <c r="J1312" s="3" t="s">
        <v>34</v>
      </c>
      <c r="K1312" s="20" t="s">
        <v>25</v>
      </c>
      <c r="L1312" s="39">
        <v>0</v>
      </c>
      <c r="M1312" s="39">
        <v>0</v>
      </c>
      <c r="N1312" s="39">
        <v>0</v>
      </c>
      <c r="O1312" s="39">
        <v>0</v>
      </c>
      <c r="P1312" s="39">
        <v>0</v>
      </c>
      <c r="Q1312" s="39">
        <v>0</v>
      </c>
      <c r="R1312" s="39">
        <v>0</v>
      </c>
      <c r="S1312" s="39">
        <v>0</v>
      </c>
      <c r="T1312" s="39">
        <v>0</v>
      </c>
      <c r="U1312" s="39">
        <v>0</v>
      </c>
      <c r="V1312" s="39">
        <v>0</v>
      </c>
      <c r="W1312" s="39">
        <v>0</v>
      </c>
      <c r="X1312" s="39">
        <v>0</v>
      </c>
      <c r="Y1312" s="39">
        <v>0</v>
      </c>
      <c r="Z1312" s="39">
        <v>0</v>
      </c>
      <c r="AA1312" s="39">
        <v>0</v>
      </c>
      <c r="AB1312" s="39">
        <v>0</v>
      </c>
      <c r="AC1312" s="39">
        <v>0</v>
      </c>
      <c r="AD1312" s="39">
        <v>0</v>
      </c>
      <c r="AE1312" s="39">
        <v>0</v>
      </c>
      <c r="AF1312" s="39">
        <v>0</v>
      </c>
      <c r="AG1312" s="39">
        <v>0</v>
      </c>
      <c r="AH1312" s="39"/>
      <c r="AI1312" s="39"/>
      <c r="AJ1312" s="40"/>
      <c r="AK1312" s="39">
        <f t="shared" si="100"/>
        <v>0</v>
      </c>
      <c r="AL1312" s="39">
        <f t="shared" si="103"/>
        <v>0</v>
      </c>
      <c r="AM1312" s="39">
        <f t="shared" si="104"/>
        <v>0</v>
      </c>
      <c r="AN1312" s="39">
        <f t="shared" si="101"/>
        <v>0</v>
      </c>
      <c r="AO1312" s="39">
        <f t="shared" si="102"/>
        <v>0</v>
      </c>
    </row>
    <row r="1313" spans="1:41" x14ac:dyDescent="0.3">
      <c r="A1313" s="20">
        <v>1000184670</v>
      </c>
      <c r="B1313" s="4" t="s">
        <v>147</v>
      </c>
      <c r="C1313" s="21"/>
      <c r="D1313" s="3"/>
      <c r="E1313" s="20">
        <v>1000184762</v>
      </c>
      <c r="F1313" s="4" t="s">
        <v>58</v>
      </c>
      <c r="G1313" s="21">
        <v>1000189814</v>
      </c>
      <c r="H1313" s="3" t="s">
        <v>91</v>
      </c>
      <c r="I1313" s="21">
        <v>1000189270</v>
      </c>
      <c r="J1313" s="3" t="s">
        <v>34</v>
      </c>
      <c r="K1313" s="20" t="s">
        <v>124</v>
      </c>
      <c r="L1313" s="39">
        <v>0</v>
      </c>
      <c r="M1313" s="39">
        <v>0</v>
      </c>
      <c r="N1313" s="39">
        <v>0</v>
      </c>
      <c r="O1313" s="39">
        <v>0</v>
      </c>
      <c r="P1313" s="39">
        <v>0</v>
      </c>
      <c r="Q1313" s="39">
        <v>0</v>
      </c>
      <c r="R1313" s="39">
        <v>0</v>
      </c>
      <c r="S1313" s="39">
        <v>0</v>
      </c>
      <c r="T1313" s="39">
        <v>0</v>
      </c>
      <c r="U1313" s="39">
        <v>0</v>
      </c>
      <c r="V1313" s="39">
        <v>0</v>
      </c>
      <c r="W1313" s="39">
        <v>0</v>
      </c>
      <c r="X1313" s="39">
        <v>0</v>
      </c>
      <c r="Y1313" s="39">
        <v>0</v>
      </c>
      <c r="Z1313" s="39">
        <v>0</v>
      </c>
      <c r="AA1313" s="39">
        <v>0</v>
      </c>
      <c r="AB1313" s="39">
        <v>0</v>
      </c>
      <c r="AC1313" s="39">
        <v>0</v>
      </c>
      <c r="AD1313" s="39">
        <v>0</v>
      </c>
      <c r="AE1313" s="39">
        <v>0</v>
      </c>
      <c r="AF1313" s="39">
        <v>0</v>
      </c>
      <c r="AG1313" s="39">
        <v>0</v>
      </c>
      <c r="AH1313" s="39"/>
      <c r="AI1313" s="39"/>
      <c r="AJ1313" s="40"/>
      <c r="AK1313" s="39">
        <f t="shared" si="100"/>
        <v>0</v>
      </c>
      <c r="AL1313" s="39">
        <f t="shared" si="103"/>
        <v>0</v>
      </c>
      <c r="AM1313" s="39">
        <f t="shared" si="104"/>
        <v>0</v>
      </c>
      <c r="AN1313" s="39">
        <f t="shared" si="101"/>
        <v>0</v>
      </c>
      <c r="AO1313" s="39">
        <f t="shared" si="102"/>
        <v>0</v>
      </c>
    </row>
    <row r="1314" spans="1:41" x14ac:dyDescent="0.3">
      <c r="A1314" s="20">
        <v>1000184670</v>
      </c>
      <c r="B1314" s="4" t="s">
        <v>147</v>
      </c>
      <c r="C1314" s="21"/>
      <c r="D1314" s="3"/>
      <c r="E1314" s="20">
        <v>1000184762</v>
      </c>
      <c r="F1314" s="4" t="s">
        <v>58</v>
      </c>
      <c r="G1314" s="21">
        <v>1000189814</v>
      </c>
      <c r="H1314" s="3" t="s">
        <v>91</v>
      </c>
      <c r="I1314" s="21">
        <v>1000189270</v>
      </c>
      <c r="J1314" s="3" t="s">
        <v>34</v>
      </c>
      <c r="K1314" s="20" t="s">
        <v>13</v>
      </c>
      <c r="L1314" s="39">
        <v>0</v>
      </c>
      <c r="M1314" s="39">
        <v>0</v>
      </c>
      <c r="N1314" s="39">
        <v>0</v>
      </c>
      <c r="O1314" s="39">
        <v>0</v>
      </c>
      <c r="P1314" s="39">
        <v>0</v>
      </c>
      <c r="Q1314" s="39">
        <v>116.76</v>
      </c>
      <c r="R1314" s="39">
        <v>0</v>
      </c>
      <c r="S1314" s="39">
        <v>0</v>
      </c>
      <c r="T1314" s="39">
        <v>350.28</v>
      </c>
      <c r="U1314" s="39">
        <v>0</v>
      </c>
      <c r="V1314" s="39">
        <v>0</v>
      </c>
      <c r="W1314" s="39">
        <v>0</v>
      </c>
      <c r="X1314" s="39">
        <v>0</v>
      </c>
      <c r="Y1314" s="39">
        <v>0</v>
      </c>
      <c r="Z1314" s="39">
        <v>0</v>
      </c>
      <c r="AA1314" s="39">
        <v>0</v>
      </c>
      <c r="AB1314" s="39">
        <v>-744</v>
      </c>
      <c r="AC1314" s="39">
        <v>0</v>
      </c>
      <c r="AD1314" s="39">
        <v>0</v>
      </c>
      <c r="AE1314" s="39">
        <v>0</v>
      </c>
      <c r="AF1314" s="39">
        <v>0</v>
      </c>
      <c r="AG1314" s="39">
        <v>0</v>
      </c>
      <c r="AH1314" s="39"/>
      <c r="AI1314" s="39"/>
      <c r="AJ1314" s="40"/>
      <c r="AK1314" s="39">
        <f t="shared" si="100"/>
        <v>38.919999999999995</v>
      </c>
      <c r="AL1314" s="39">
        <f t="shared" si="103"/>
        <v>-62</v>
      </c>
      <c r="AM1314" s="39">
        <f t="shared" si="104"/>
        <v>-124</v>
      </c>
      <c r="AN1314" s="39">
        <f t="shared" si="101"/>
        <v>-74.400000000000006</v>
      </c>
      <c r="AO1314" s="39">
        <f t="shared" si="102"/>
        <v>-744</v>
      </c>
    </row>
    <row r="1315" spans="1:41" x14ac:dyDescent="0.3">
      <c r="A1315" s="20">
        <v>1000184670</v>
      </c>
      <c r="B1315" s="4" t="s">
        <v>147</v>
      </c>
      <c r="C1315" s="21"/>
      <c r="D1315" s="3"/>
      <c r="E1315" s="20">
        <v>1000184762</v>
      </c>
      <c r="F1315" s="4" t="s">
        <v>58</v>
      </c>
      <c r="G1315" s="21">
        <v>1000189814</v>
      </c>
      <c r="H1315" s="3" t="s">
        <v>91</v>
      </c>
      <c r="I1315" s="21">
        <v>1000189270</v>
      </c>
      <c r="J1315" s="3" t="s">
        <v>34</v>
      </c>
      <c r="K1315" s="20" t="s">
        <v>14</v>
      </c>
      <c r="L1315" s="39">
        <v>0</v>
      </c>
      <c r="M1315" s="39">
        <v>0</v>
      </c>
      <c r="N1315" s="39">
        <v>0</v>
      </c>
      <c r="O1315" s="39">
        <v>0</v>
      </c>
      <c r="P1315" s="39">
        <v>0</v>
      </c>
      <c r="Q1315" s="39">
        <v>0</v>
      </c>
      <c r="R1315" s="39">
        <v>0</v>
      </c>
      <c r="S1315" s="39">
        <v>0</v>
      </c>
      <c r="T1315" s="39">
        <v>0</v>
      </c>
      <c r="U1315" s="39">
        <v>0</v>
      </c>
      <c r="V1315" s="39">
        <v>0</v>
      </c>
      <c r="W1315" s="39">
        <v>0</v>
      </c>
      <c r="X1315" s="39">
        <v>0</v>
      </c>
      <c r="Y1315" s="39">
        <v>0</v>
      </c>
      <c r="Z1315" s="39">
        <v>0</v>
      </c>
      <c r="AA1315" s="39">
        <v>0</v>
      </c>
      <c r="AB1315" s="39">
        <v>0</v>
      </c>
      <c r="AC1315" s="39">
        <v>0</v>
      </c>
      <c r="AD1315" s="39">
        <v>0</v>
      </c>
      <c r="AE1315" s="39">
        <v>0</v>
      </c>
      <c r="AF1315" s="39">
        <v>0</v>
      </c>
      <c r="AG1315" s="39">
        <v>0</v>
      </c>
      <c r="AH1315" s="39"/>
      <c r="AI1315" s="39"/>
      <c r="AJ1315" s="40"/>
      <c r="AK1315" s="39">
        <f t="shared" si="100"/>
        <v>0</v>
      </c>
      <c r="AL1315" s="39">
        <f t="shared" si="103"/>
        <v>0</v>
      </c>
      <c r="AM1315" s="39">
        <f t="shared" si="104"/>
        <v>0</v>
      </c>
      <c r="AN1315" s="39">
        <f t="shared" si="101"/>
        <v>0</v>
      </c>
      <c r="AO1315" s="39">
        <f t="shared" si="102"/>
        <v>0</v>
      </c>
    </row>
    <row r="1316" spans="1:41" x14ac:dyDescent="0.3">
      <c r="A1316" s="20">
        <v>1000184670</v>
      </c>
      <c r="B1316" s="4" t="s">
        <v>147</v>
      </c>
      <c r="C1316" s="21"/>
      <c r="D1316" s="3"/>
      <c r="E1316" s="20">
        <v>1000184762</v>
      </c>
      <c r="F1316" s="4" t="s">
        <v>58</v>
      </c>
      <c r="G1316" s="21">
        <v>1000189814</v>
      </c>
      <c r="H1316" s="3" t="s">
        <v>91</v>
      </c>
      <c r="I1316" s="21">
        <v>1000189270</v>
      </c>
      <c r="J1316" s="3" t="s">
        <v>34</v>
      </c>
      <c r="K1316" s="20" t="s">
        <v>16</v>
      </c>
      <c r="L1316" s="39">
        <v>0</v>
      </c>
      <c r="M1316" s="39">
        <v>0</v>
      </c>
      <c r="N1316" s="39">
        <v>0</v>
      </c>
      <c r="O1316" s="39">
        <v>0</v>
      </c>
      <c r="P1316" s="39">
        <v>0</v>
      </c>
      <c r="Q1316" s="39">
        <v>0</v>
      </c>
      <c r="R1316" s="39">
        <v>0</v>
      </c>
      <c r="S1316" s="39">
        <v>0</v>
      </c>
      <c r="T1316" s="39">
        <v>0</v>
      </c>
      <c r="U1316" s="39">
        <v>0</v>
      </c>
      <c r="V1316" s="39">
        <v>0</v>
      </c>
      <c r="W1316" s="39">
        <v>0</v>
      </c>
      <c r="X1316" s="39">
        <v>0</v>
      </c>
      <c r="Y1316" s="39">
        <v>0</v>
      </c>
      <c r="Z1316" s="39">
        <v>0</v>
      </c>
      <c r="AA1316" s="39">
        <v>0</v>
      </c>
      <c r="AB1316" s="39">
        <v>0</v>
      </c>
      <c r="AC1316" s="39">
        <v>0</v>
      </c>
      <c r="AD1316" s="39">
        <v>0</v>
      </c>
      <c r="AE1316" s="39">
        <v>0</v>
      </c>
      <c r="AF1316" s="39">
        <v>0</v>
      </c>
      <c r="AG1316" s="39">
        <v>0</v>
      </c>
      <c r="AH1316" s="39"/>
      <c r="AI1316" s="39"/>
      <c r="AJ1316" s="40"/>
      <c r="AK1316" s="39">
        <f t="shared" si="100"/>
        <v>0</v>
      </c>
      <c r="AL1316" s="39">
        <f t="shared" si="103"/>
        <v>0</v>
      </c>
      <c r="AM1316" s="39">
        <f t="shared" si="104"/>
        <v>0</v>
      </c>
      <c r="AN1316" s="39">
        <f t="shared" si="101"/>
        <v>0</v>
      </c>
      <c r="AO1316" s="39">
        <f t="shared" si="102"/>
        <v>0</v>
      </c>
    </row>
    <row r="1317" spans="1:41" x14ac:dyDescent="0.3">
      <c r="A1317" s="20">
        <v>1000184670</v>
      </c>
      <c r="B1317" s="4" t="s">
        <v>147</v>
      </c>
      <c r="C1317" s="21"/>
      <c r="D1317" s="3"/>
      <c r="E1317" s="20">
        <v>1000184762</v>
      </c>
      <c r="F1317" s="4" t="s">
        <v>58</v>
      </c>
      <c r="G1317" s="21">
        <v>1000189814</v>
      </c>
      <c r="H1317" s="3" t="s">
        <v>91</v>
      </c>
      <c r="I1317" s="21">
        <v>1000189270</v>
      </c>
      <c r="J1317" s="3" t="s">
        <v>34</v>
      </c>
      <c r="K1317" s="20" t="s">
        <v>15</v>
      </c>
      <c r="L1317" s="39">
        <v>0</v>
      </c>
      <c r="M1317" s="39">
        <v>0</v>
      </c>
      <c r="N1317" s="39">
        <v>0</v>
      </c>
      <c r="O1317" s="39">
        <v>0</v>
      </c>
      <c r="P1317" s="39">
        <v>0</v>
      </c>
      <c r="Q1317" s="39">
        <v>0</v>
      </c>
      <c r="R1317" s="39">
        <v>0</v>
      </c>
      <c r="S1317" s="39">
        <v>0</v>
      </c>
      <c r="T1317" s="39">
        <v>0</v>
      </c>
      <c r="U1317" s="39">
        <v>0</v>
      </c>
      <c r="V1317" s="39">
        <v>0</v>
      </c>
      <c r="W1317" s="39">
        <v>0</v>
      </c>
      <c r="X1317" s="39">
        <v>0</v>
      </c>
      <c r="Y1317" s="39">
        <v>0</v>
      </c>
      <c r="Z1317" s="39">
        <v>0</v>
      </c>
      <c r="AA1317" s="39">
        <v>187.5</v>
      </c>
      <c r="AB1317" s="39">
        <v>0</v>
      </c>
      <c r="AC1317" s="39">
        <v>0</v>
      </c>
      <c r="AD1317" s="39">
        <v>0</v>
      </c>
      <c r="AE1317" s="39">
        <v>0</v>
      </c>
      <c r="AF1317" s="39">
        <v>0</v>
      </c>
      <c r="AG1317" s="39">
        <v>0</v>
      </c>
      <c r="AH1317" s="39"/>
      <c r="AI1317" s="39"/>
      <c r="AJ1317" s="40"/>
      <c r="AK1317" s="39">
        <f t="shared" si="100"/>
        <v>0</v>
      </c>
      <c r="AL1317" s="39">
        <f t="shared" si="103"/>
        <v>15.625</v>
      </c>
      <c r="AM1317" s="39">
        <f t="shared" si="104"/>
        <v>0</v>
      </c>
      <c r="AN1317" s="39">
        <f t="shared" si="101"/>
        <v>18.75</v>
      </c>
      <c r="AO1317" s="39">
        <f t="shared" si="102"/>
        <v>187.5</v>
      </c>
    </row>
    <row r="1318" spans="1:41" x14ac:dyDescent="0.3">
      <c r="A1318" s="20">
        <v>1000184670</v>
      </c>
      <c r="B1318" s="4" t="s">
        <v>147</v>
      </c>
      <c r="C1318" s="21"/>
      <c r="D1318" s="3"/>
      <c r="E1318" s="20">
        <v>1000184762</v>
      </c>
      <c r="F1318" s="4" t="s">
        <v>58</v>
      </c>
      <c r="G1318" s="21">
        <v>1000189814</v>
      </c>
      <c r="H1318" s="3" t="s">
        <v>91</v>
      </c>
      <c r="I1318" s="21">
        <v>1000189270</v>
      </c>
      <c r="J1318" s="3" t="s">
        <v>34</v>
      </c>
      <c r="K1318" s="20" t="s">
        <v>33</v>
      </c>
      <c r="L1318" s="39">
        <v>0</v>
      </c>
      <c r="M1318" s="39">
        <v>0</v>
      </c>
      <c r="N1318" s="39">
        <v>0</v>
      </c>
      <c r="O1318" s="39">
        <v>0</v>
      </c>
      <c r="P1318" s="39">
        <v>0</v>
      </c>
      <c r="Q1318" s="39">
        <v>0</v>
      </c>
      <c r="R1318" s="39">
        <v>0</v>
      </c>
      <c r="S1318" s="39">
        <v>0</v>
      </c>
      <c r="T1318" s="39">
        <v>0</v>
      </c>
      <c r="U1318" s="39">
        <v>0</v>
      </c>
      <c r="V1318" s="39">
        <v>0</v>
      </c>
      <c r="W1318" s="39">
        <v>0</v>
      </c>
      <c r="X1318" s="39">
        <v>0</v>
      </c>
      <c r="Y1318" s="39">
        <v>0</v>
      </c>
      <c r="Z1318" s="39">
        <v>0</v>
      </c>
      <c r="AA1318" s="39">
        <v>0</v>
      </c>
      <c r="AB1318" s="39">
        <v>0</v>
      </c>
      <c r="AC1318" s="39">
        <v>0</v>
      </c>
      <c r="AD1318" s="39">
        <v>0</v>
      </c>
      <c r="AE1318" s="39">
        <v>0</v>
      </c>
      <c r="AF1318" s="39">
        <v>0</v>
      </c>
      <c r="AG1318" s="39">
        <v>0</v>
      </c>
      <c r="AH1318" s="39"/>
      <c r="AI1318" s="39"/>
      <c r="AJ1318" s="40"/>
      <c r="AK1318" s="39">
        <f t="shared" si="100"/>
        <v>0</v>
      </c>
      <c r="AL1318" s="39">
        <f t="shared" si="103"/>
        <v>0</v>
      </c>
      <c r="AM1318" s="39">
        <f t="shared" si="104"/>
        <v>0</v>
      </c>
      <c r="AN1318" s="39">
        <f t="shared" si="101"/>
        <v>0</v>
      </c>
      <c r="AO1318" s="39">
        <f t="shared" si="102"/>
        <v>0</v>
      </c>
    </row>
    <row r="1319" spans="1:41" x14ac:dyDescent="0.3">
      <c r="A1319" s="20">
        <v>1000184670</v>
      </c>
      <c r="B1319" s="4" t="s">
        <v>147</v>
      </c>
      <c r="C1319" s="21"/>
      <c r="D1319" s="3"/>
      <c r="E1319" s="20">
        <v>1000184762</v>
      </c>
      <c r="F1319" s="4" t="s">
        <v>58</v>
      </c>
      <c r="G1319" s="21">
        <v>1000189814</v>
      </c>
      <c r="H1319" s="3" t="s">
        <v>91</v>
      </c>
      <c r="I1319" s="21">
        <v>1000189270</v>
      </c>
      <c r="J1319" s="3" t="s">
        <v>34</v>
      </c>
      <c r="K1319" s="20" t="s">
        <v>19</v>
      </c>
      <c r="L1319" s="39">
        <v>0</v>
      </c>
      <c r="M1319" s="39">
        <v>0</v>
      </c>
      <c r="N1319" s="39">
        <v>0</v>
      </c>
      <c r="O1319" s="39">
        <v>0</v>
      </c>
      <c r="P1319" s="39">
        <v>0</v>
      </c>
      <c r="Q1319" s="39">
        <v>0</v>
      </c>
      <c r="R1319" s="39">
        <v>0</v>
      </c>
      <c r="S1319" s="39">
        <v>0</v>
      </c>
      <c r="T1319" s="39">
        <v>0</v>
      </c>
      <c r="U1319" s="39">
        <v>0</v>
      </c>
      <c r="V1319" s="39">
        <v>0</v>
      </c>
      <c r="W1319" s="39">
        <v>0</v>
      </c>
      <c r="X1319" s="39">
        <v>0</v>
      </c>
      <c r="Y1319" s="39">
        <v>0</v>
      </c>
      <c r="Z1319" s="39">
        <v>0</v>
      </c>
      <c r="AA1319" s="39">
        <v>0</v>
      </c>
      <c r="AB1319" s="39">
        <v>0</v>
      </c>
      <c r="AC1319" s="39">
        <v>0</v>
      </c>
      <c r="AD1319" s="39">
        <v>0</v>
      </c>
      <c r="AE1319" s="39">
        <v>0</v>
      </c>
      <c r="AF1319" s="39">
        <v>0</v>
      </c>
      <c r="AG1319" s="39">
        <v>0</v>
      </c>
      <c r="AH1319" s="39"/>
      <c r="AI1319" s="39"/>
      <c r="AJ1319" s="40"/>
      <c r="AK1319" s="39">
        <f t="shared" si="100"/>
        <v>0</v>
      </c>
      <c r="AL1319" s="39">
        <f t="shared" si="103"/>
        <v>0</v>
      </c>
      <c r="AM1319" s="39">
        <f t="shared" si="104"/>
        <v>0</v>
      </c>
      <c r="AN1319" s="39">
        <f t="shared" si="101"/>
        <v>0</v>
      </c>
      <c r="AO1319" s="39">
        <f t="shared" si="102"/>
        <v>0</v>
      </c>
    </row>
    <row r="1320" spans="1:41" x14ac:dyDescent="0.3">
      <c r="A1320" s="20">
        <v>1000184670</v>
      </c>
      <c r="B1320" s="4" t="s">
        <v>147</v>
      </c>
      <c r="C1320" s="21"/>
      <c r="D1320" s="3"/>
      <c r="E1320" s="20">
        <v>1000184762</v>
      </c>
      <c r="F1320" s="4" t="s">
        <v>58</v>
      </c>
      <c r="G1320" s="21">
        <v>1000189814</v>
      </c>
      <c r="H1320" s="3" t="s">
        <v>91</v>
      </c>
      <c r="I1320" s="21">
        <v>1000189270</v>
      </c>
      <c r="J1320" s="3" t="s">
        <v>34</v>
      </c>
      <c r="K1320" s="20" t="s">
        <v>17</v>
      </c>
      <c r="L1320" s="39">
        <v>0</v>
      </c>
      <c r="M1320" s="39">
        <v>0</v>
      </c>
      <c r="N1320" s="39">
        <v>0</v>
      </c>
      <c r="O1320" s="39">
        <v>0</v>
      </c>
      <c r="P1320" s="39">
        <v>0</v>
      </c>
      <c r="Q1320" s="39">
        <v>0</v>
      </c>
      <c r="R1320" s="39">
        <v>0</v>
      </c>
      <c r="S1320" s="39">
        <v>0</v>
      </c>
      <c r="T1320" s="39">
        <v>0</v>
      </c>
      <c r="U1320" s="39">
        <v>0</v>
      </c>
      <c r="V1320" s="39">
        <v>0</v>
      </c>
      <c r="W1320" s="39">
        <v>0</v>
      </c>
      <c r="X1320" s="39">
        <v>0</v>
      </c>
      <c r="Y1320" s="39">
        <v>0</v>
      </c>
      <c r="Z1320" s="39">
        <v>0</v>
      </c>
      <c r="AA1320" s="39">
        <v>0</v>
      </c>
      <c r="AB1320" s="39">
        <v>0</v>
      </c>
      <c r="AC1320" s="39">
        <v>0</v>
      </c>
      <c r="AD1320" s="39">
        <v>0</v>
      </c>
      <c r="AE1320" s="39">
        <v>0</v>
      </c>
      <c r="AF1320" s="39">
        <v>0</v>
      </c>
      <c r="AG1320" s="39">
        <v>0</v>
      </c>
      <c r="AH1320" s="39"/>
      <c r="AI1320" s="39"/>
      <c r="AJ1320" s="40"/>
      <c r="AK1320" s="39">
        <f t="shared" si="100"/>
        <v>0</v>
      </c>
      <c r="AL1320" s="39">
        <f t="shared" si="103"/>
        <v>0</v>
      </c>
      <c r="AM1320" s="39">
        <f t="shared" si="104"/>
        <v>0</v>
      </c>
      <c r="AN1320" s="39">
        <f t="shared" si="101"/>
        <v>0</v>
      </c>
      <c r="AO1320" s="39">
        <f t="shared" si="102"/>
        <v>0</v>
      </c>
    </row>
    <row r="1321" spans="1:41" x14ac:dyDescent="0.3">
      <c r="A1321" s="20">
        <v>1000184670</v>
      </c>
      <c r="B1321" s="4" t="s">
        <v>147</v>
      </c>
      <c r="C1321" s="21"/>
      <c r="D1321" s="3"/>
      <c r="E1321" s="20">
        <v>1000184762</v>
      </c>
      <c r="F1321" s="4" t="s">
        <v>58</v>
      </c>
      <c r="G1321" s="21">
        <v>1000189814</v>
      </c>
      <c r="H1321" s="3" t="s">
        <v>91</v>
      </c>
      <c r="I1321" s="21">
        <v>1000189270</v>
      </c>
      <c r="J1321" s="3" t="s">
        <v>34</v>
      </c>
      <c r="K1321" s="20" t="s">
        <v>24</v>
      </c>
      <c r="L1321" s="39">
        <v>0</v>
      </c>
      <c r="M1321" s="39">
        <v>0</v>
      </c>
      <c r="N1321" s="39">
        <v>0</v>
      </c>
      <c r="O1321" s="39">
        <v>0</v>
      </c>
      <c r="P1321" s="39">
        <v>0</v>
      </c>
      <c r="Q1321" s="39">
        <v>0</v>
      </c>
      <c r="R1321" s="39">
        <v>0</v>
      </c>
      <c r="S1321" s="39">
        <v>0</v>
      </c>
      <c r="T1321" s="39">
        <v>0</v>
      </c>
      <c r="U1321" s="39">
        <v>0</v>
      </c>
      <c r="V1321" s="39">
        <v>0</v>
      </c>
      <c r="W1321" s="39">
        <v>0</v>
      </c>
      <c r="X1321" s="39">
        <v>0</v>
      </c>
      <c r="Y1321" s="39">
        <v>0</v>
      </c>
      <c r="Z1321" s="39">
        <v>0</v>
      </c>
      <c r="AA1321" s="39">
        <v>0</v>
      </c>
      <c r="AB1321" s="39">
        <v>0</v>
      </c>
      <c r="AC1321" s="39">
        <v>0</v>
      </c>
      <c r="AD1321" s="39">
        <v>0</v>
      </c>
      <c r="AE1321" s="39">
        <v>0</v>
      </c>
      <c r="AF1321" s="39">
        <v>0</v>
      </c>
      <c r="AG1321" s="39">
        <v>0</v>
      </c>
      <c r="AH1321" s="39"/>
      <c r="AI1321" s="39"/>
      <c r="AJ1321" s="40"/>
      <c r="AK1321" s="39">
        <f t="shared" si="100"/>
        <v>0</v>
      </c>
      <c r="AL1321" s="39">
        <f t="shared" si="103"/>
        <v>0</v>
      </c>
      <c r="AM1321" s="39">
        <f t="shared" si="104"/>
        <v>0</v>
      </c>
      <c r="AN1321" s="39">
        <f t="shared" si="101"/>
        <v>0</v>
      </c>
      <c r="AO1321" s="39">
        <f t="shared" si="102"/>
        <v>0</v>
      </c>
    </row>
    <row r="1322" spans="1:41" x14ac:dyDescent="0.3">
      <c r="A1322" s="20">
        <v>1000184670</v>
      </c>
      <c r="B1322" s="4" t="s">
        <v>147</v>
      </c>
      <c r="C1322" s="21"/>
      <c r="D1322" s="3"/>
      <c r="E1322" s="20">
        <v>1000184762</v>
      </c>
      <c r="F1322" s="4" t="s">
        <v>58</v>
      </c>
      <c r="G1322" s="21">
        <v>1000189814</v>
      </c>
      <c r="H1322" s="3" t="s">
        <v>91</v>
      </c>
      <c r="I1322" s="21">
        <v>1000189270</v>
      </c>
      <c r="J1322" s="3" t="s">
        <v>34</v>
      </c>
      <c r="K1322" s="20" t="s">
        <v>18</v>
      </c>
      <c r="L1322" s="39">
        <v>0</v>
      </c>
      <c r="M1322" s="39">
        <v>0</v>
      </c>
      <c r="N1322" s="39">
        <v>0</v>
      </c>
      <c r="O1322" s="39">
        <v>0</v>
      </c>
      <c r="P1322" s="39">
        <v>0</v>
      </c>
      <c r="Q1322" s="39">
        <v>0</v>
      </c>
      <c r="R1322" s="39">
        <v>0</v>
      </c>
      <c r="S1322" s="39">
        <v>0</v>
      </c>
      <c r="T1322" s="39">
        <v>0</v>
      </c>
      <c r="U1322" s="39">
        <v>0</v>
      </c>
      <c r="V1322" s="39">
        <v>0</v>
      </c>
      <c r="W1322" s="39">
        <v>0</v>
      </c>
      <c r="X1322" s="39">
        <v>0</v>
      </c>
      <c r="Y1322" s="39">
        <v>0</v>
      </c>
      <c r="Z1322" s="39">
        <v>0</v>
      </c>
      <c r="AA1322" s="39">
        <v>0</v>
      </c>
      <c r="AB1322" s="39">
        <v>0</v>
      </c>
      <c r="AC1322" s="39">
        <v>0</v>
      </c>
      <c r="AD1322" s="39">
        <v>0</v>
      </c>
      <c r="AE1322" s="39">
        <v>0</v>
      </c>
      <c r="AF1322" s="39">
        <v>0</v>
      </c>
      <c r="AG1322" s="39">
        <v>0</v>
      </c>
      <c r="AH1322" s="39"/>
      <c r="AI1322" s="39"/>
      <c r="AJ1322" s="40"/>
      <c r="AK1322" s="39">
        <f t="shared" si="100"/>
        <v>0</v>
      </c>
      <c r="AL1322" s="39">
        <f t="shared" si="103"/>
        <v>0</v>
      </c>
      <c r="AM1322" s="39">
        <f t="shared" si="104"/>
        <v>0</v>
      </c>
      <c r="AN1322" s="39">
        <f t="shared" si="101"/>
        <v>0</v>
      </c>
      <c r="AO1322" s="39">
        <f t="shared" si="102"/>
        <v>0</v>
      </c>
    </row>
    <row r="1323" spans="1:41" x14ac:dyDescent="0.3">
      <c r="A1323" s="20">
        <v>1000184670</v>
      </c>
      <c r="B1323" s="4" t="s">
        <v>147</v>
      </c>
      <c r="C1323" s="21"/>
      <c r="D1323" s="3"/>
      <c r="E1323" s="20">
        <v>1000184762</v>
      </c>
      <c r="F1323" s="4" t="s">
        <v>58</v>
      </c>
      <c r="G1323" s="21">
        <v>1000189814</v>
      </c>
      <c r="H1323" s="3" t="s">
        <v>91</v>
      </c>
      <c r="I1323" s="21">
        <v>1000189270</v>
      </c>
      <c r="J1323" s="3" t="s">
        <v>34</v>
      </c>
      <c r="K1323" s="20" t="s">
        <v>29</v>
      </c>
      <c r="L1323" s="39">
        <v>0</v>
      </c>
      <c r="M1323" s="39">
        <v>0</v>
      </c>
      <c r="N1323" s="39">
        <v>0</v>
      </c>
      <c r="O1323" s="39">
        <v>0</v>
      </c>
      <c r="P1323" s="39">
        <v>0</v>
      </c>
      <c r="Q1323" s="39">
        <v>0</v>
      </c>
      <c r="R1323" s="39">
        <v>0</v>
      </c>
      <c r="S1323" s="39">
        <v>0</v>
      </c>
      <c r="T1323" s="39">
        <v>0</v>
      </c>
      <c r="U1323" s="39">
        <v>0</v>
      </c>
      <c r="V1323" s="39">
        <v>0</v>
      </c>
      <c r="W1323" s="39">
        <v>0</v>
      </c>
      <c r="X1323" s="39">
        <v>0</v>
      </c>
      <c r="Y1323" s="39">
        <v>0</v>
      </c>
      <c r="Z1323" s="39">
        <v>0</v>
      </c>
      <c r="AA1323" s="39">
        <v>0</v>
      </c>
      <c r="AB1323" s="39">
        <v>0</v>
      </c>
      <c r="AC1323" s="39">
        <v>0</v>
      </c>
      <c r="AD1323" s="39">
        <v>1305</v>
      </c>
      <c r="AE1323" s="39">
        <v>0</v>
      </c>
      <c r="AF1323" s="39">
        <v>0</v>
      </c>
      <c r="AG1323" s="39">
        <v>0</v>
      </c>
      <c r="AH1323" s="39"/>
      <c r="AI1323" s="39"/>
      <c r="AJ1323" s="40"/>
      <c r="AK1323" s="39">
        <f t="shared" si="100"/>
        <v>0</v>
      </c>
      <c r="AL1323" s="39">
        <f t="shared" si="103"/>
        <v>108.75</v>
      </c>
      <c r="AM1323" s="39">
        <f t="shared" si="104"/>
        <v>217.5</v>
      </c>
      <c r="AN1323" s="39">
        <f t="shared" si="101"/>
        <v>130.5</v>
      </c>
      <c r="AO1323" s="39">
        <f t="shared" si="102"/>
        <v>1305</v>
      </c>
    </row>
    <row r="1324" spans="1:41" x14ac:dyDescent="0.3">
      <c r="A1324" s="20">
        <v>1000184670</v>
      </c>
      <c r="B1324" s="4" t="s">
        <v>147</v>
      </c>
      <c r="C1324" s="21"/>
      <c r="D1324" s="3"/>
      <c r="E1324" s="20">
        <v>1000184762</v>
      </c>
      <c r="F1324" s="4" t="s">
        <v>58</v>
      </c>
      <c r="G1324" s="21">
        <v>1000189814</v>
      </c>
      <c r="H1324" s="3" t="s">
        <v>91</v>
      </c>
      <c r="I1324" s="21">
        <v>1000189270</v>
      </c>
      <c r="J1324" s="3" t="s">
        <v>34</v>
      </c>
      <c r="K1324" s="20" t="s">
        <v>21</v>
      </c>
      <c r="L1324" s="39">
        <v>0</v>
      </c>
      <c r="M1324" s="39">
        <v>0</v>
      </c>
      <c r="N1324" s="39">
        <v>0</v>
      </c>
      <c r="O1324" s="39">
        <v>0</v>
      </c>
      <c r="P1324" s="39">
        <v>0</v>
      </c>
      <c r="Q1324" s="39">
        <v>0</v>
      </c>
      <c r="R1324" s="39">
        <v>0</v>
      </c>
      <c r="S1324" s="39">
        <v>0</v>
      </c>
      <c r="T1324" s="39">
        <v>0</v>
      </c>
      <c r="U1324" s="39">
        <v>0</v>
      </c>
      <c r="V1324" s="39">
        <v>0</v>
      </c>
      <c r="W1324" s="39">
        <v>0</v>
      </c>
      <c r="X1324" s="39">
        <v>0</v>
      </c>
      <c r="Y1324" s="39">
        <v>0</v>
      </c>
      <c r="Z1324" s="39">
        <v>0</v>
      </c>
      <c r="AA1324" s="39">
        <v>0</v>
      </c>
      <c r="AB1324" s="39">
        <v>0</v>
      </c>
      <c r="AC1324" s="39">
        <v>0</v>
      </c>
      <c r="AD1324" s="39">
        <v>0</v>
      </c>
      <c r="AE1324" s="39">
        <v>0</v>
      </c>
      <c r="AF1324" s="39">
        <v>0</v>
      </c>
      <c r="AG1324" s="39">
        <v>0</v>
      </c>
      <c r="AH1324" s="39"/>
      <c r="AI1324" s="39"/>
      <c r="AJ1324" s="40"/>
      <c r="AK1324" s="39">
        <f t="shared" si="100"/>
        <v>0</v>
      </c>
      <c r="AL1324" s="39">
        <f t="shared" si="103"/>
        <v>0</v>
      </c>
      <c r="AM1324" s="39">
        <f t="shared" si="104"/>
        <v>0</v>
      </c>
      <c r="AN1324" s="39">
        <f t="shared" si="101"/>
        <v>0</v>
      </c>
      <c r="AO1324" s="39">
        <f t="shared" si="102"/>
        <v>0</v>
      </c>
    </row>
    <row r="1325" spans="1:41" x14ac:dyDescent="0.3">
      <c r="A1325" s="20">
        <v>1000184670</v>
      </c>
      <c r="B1325" s="4" t="s">
        <v>147</v>
      </c>
      <c r="C1325" s="21"/>
      <c r="D1325" s="3"/>
      <c r="E1325" s="20">
        <v>1000184762</v>
      </c>
      <c r="F1325" s="4" t="s">
        <v>58</v>
      </c>
      <c r="G1325" s="21">
        <v>1000189814</v>
      </c>
      <c r="H1325" s="3" t="s">
        <v>91</v>
      </c>
      <c r="I1325" s="21">
        <v>1000189270</v>
      </c>
      <c r="J1325" s="3" t="s">
        <v>34</v>
      </c>
      <c r="K1325" s="20" t="s">
        <v>20</v>
      </c>
      <c r="L1325" s="39">
        <v>0</v>
      </c>
      <c r="M1325" s="39">
        <v>0</v>
      </c>
      <c r="N1325" s="39">
        <v>0</v>
      </c>
      <c r="O1325" s="39">
        <v>0</v>
      </c>
      <c r="P1325" s="39">
        <v>0</v>
      </c>
      <c r="Q1325" s="39">
        <v>253.2</v>
      </c>
      <c r="R1325" s="39">
        <v>0</v>
      </c>
      <c r="S1325" s="39">
        <v>0</v>
      </c>
      <c r="T1325" s="39">
        <v>253.2</v>
      </c>
      <c r="U1325" s="39">
        <v>0</v>
      </c>
      <c r="V1325" s="39">
        <v>0</v>
      </c>
      <c r="W1325" s="39">
        <v>0</v>
      </c>
      <c r="X1325" s="39">
        <v>0</v>
      </c>
      <c r="Y1325" s="39">
        <v>0</v>
      </c>
      <c r="Z1325" s="39">
        <v>0</v>
      </c>
      <c r="AA1325" s="39">
        <v>115.67</v>
      </c>
      <c r="AB1325" s="39">
        <v>0</v>
      </c>
      <c r="AC1325" s="39">
        <v>0</v>
      </c>
      <c r="AD1325" s="39">
        <v>0</v>
      </c>
      <c r="AE1325" s="39">
        <v>0</v>
      </c>
      <c r="AF1325" s="39">
        <v>0</v>
      </c>
      <c r="AG1325" s="39">
        <v>0</v>
      </c>
      <c r="AH1325" s="39"/>
      <c r="AI1325" s="39"/>
      <c r="AJ1325" s="40"/>
      <c r="AK1325" s="39">
        <f t="shared" si="100"/>
        <v>42.199999999999996</v>
      </c>
      <c r="AL1325" s="39">
        <f t="shared" si="103"/>
        <v>9.6391666666666662</v>
      </c>
      <c r="AM1325" s="39">
        <f t="shared" si="104"/>
        <v>0</v>
      </c>
      <c r="AN1325" s="39">
        <f t="shared" si="101"/>
        <v>11.567</v>
      </c>
      <c r="AO1325" s="39">
        <f t="shared" si="102"/>
        <v>115.67</v>
      </c>
    </row>
    <row r="1326" spans="1:41" x14ac:dyDescent="0.3">
      <c r="A1326" s="20">
        <v>1000184670</v>
      </c>
      <c r="B1326" s="4" t="s">
        <v>147</v>
      </c>
      <c r="C1326" s="21"/>
      <c r="D1326" s="3"/>
      <c r="E1326" s="20">
        <v>1000184762</v>
      </c>
      <c r="F1326" s="4" t="s">
        <v>58</v>
      </c>
      <c r="G1326" s="21">
        <v>1000189814</v>
      </c>
      <c r="H1326" s="3" t="s">
        <v>91</v>
      </c>
      <c r="I1326" s="21">
        <v>1000189270</v>
      </c>
      <c r="J1326" s="3" t="s">
        <v>34</v>
      </c>
      <c r="K1326" s="20" t="s">
        <v>22</v>
      </c>
      <c r="L1326" s="39">
        <v>0</v>
      </c>
      <c r="M1326" s="39">
        <v>0</v>
      </c>
      <c r="N1326" s="39">
        <v>0</v>
      </c>
      <c r="O1326" s="39">
        <v>0</v>
      </c>
      <c r="P1326" s="39">
        <v>0</v>
      </c>
      <c r="Q1326" s="39">
        <v>207.6</v>
      </c>
      <c r="R1326" s="39">
        <v>0</v>
      </c>
      <c r="S1326" s="39">
        <v>0</v>
      </c>
      <c r="T1326" s="39">
        <v>0</v>
      </c>
      <c r="U1326" s="39">
        <v>0</v>
      </c>
      <c r="V1326" s="39">
        <v>0</v>
      </c>
      <c r="W1326" s="39">
        <v>0</v>
      </c>
      <c r="X1326" s="39">
        <v>0</v>
      </c>
      <c r="Y1326" s="39">
        <v>0</v>
      </c>
      <c r="Z1326" s="39">
        <v>0</v>
      </c>
      <c r="AA1326" s="39">
        <v>0</v>
      </c>
      <c r="AB1326" s="39">
        <v>0</v>
      </c>
      <c r="AC1326" s="39">
        <v>0</v>
      </c>
      <c r="AD1326" s="39">
        <v>0</v>
      </c>
      <c r="AE1326" s="39">
        <v>0</v>
      </c>
      <c r="AF1326" s="39">
        <v>0</v>
      </c>
      <c r="AG1326" s="39">
        <v>0</v>
      </c>
      <c r="AH1326" s="39"/>
      <c r="AI1326" s="39"/>
      <c r="AJ1326" s="40"/>
      <c r="AK1326" s="39">
        <f t="shared" si="100"/>
        <v>17.3</v>
      </c>
      <c r="AL1326" s="39">
        <f t="shared" si="103"/>
        <v>0</v>
      </c>
      <c r="AM1326" s="39">
        <f t="shared" si="104"/>
        <v>0</v>
      </c>
      <c r="AN1326" s="39">
        <f t="shared" si="101"/>
        <v>0</v>
      </c>
      <c r="AO1326" s="39">
        <f t="shared" si="102"/>
        <v>0</v>
      </c>
    </row>
    <row r="1327" spans="1:41" x14ac:dyDescent="0.3">
      <c r="A1327" s="20">
        <v>1000184670</v>
      </c>
      <c r="B1327" s="4" t="s">
        <v>147</v>
      </c>
      <c r="C1327" s="21"/>
      <c r="D1327" s="3"/>
      <c r="E1327" s="20">
        <v>1000184762</v>
      </c>
      <c r="F1327" s="4" t="s">
        <v>58</v>
      </c>
      <c r="G1327" s="21">
        <v>1000189814</v>
      </c>
      <c r="H1327" s="3" t="s">
        <v>91</v>
      </c>
      <c r="I1327" s="21">
        <v>1000189270</v>
      </c>
      <c r="J1327" s="3" t="s">
        <v>34</v>
      </c>
      <c r="K1327" s="20" t="s">
        <v>23</v>
      </c>
      <c r="L1327" s="39">
        <v>0</v>
      </c>
      <c r="M1327" s="39">
        <v>0</v>
      </c>
      <c r="N1327" s="39">
        <v>0</v>
      </c>
      <c r="O1327" s="39">
        <v>0</v>
      </c>
      <c r="P1327" s="39">
        <v>0</v>
      </c>
      <c r="Q1327" s="39">
        <v>0</v>
      </c>
      <c r="R1327" s="39">
        <v>0</v>
      </c>
      <c r="S1327" s="39">
        <v>0</v>
      </c>
      <c r="T1327" s="39">
        <v>0</v>
      </c>
      <c r="U1327" s="39">
        <v>0</v>
      </c>
      <c r="V1327" s="39">
        <v>0</v>
      </c>
      <c r="W1327" s="39">
        <v>0</v>
      </c>
      <c r="X1327" s="39">
        <v>0</v>
      </c>
      <c r="Y1327" s="39">
        <v>0</v>
      </c>
      <c r="Z1327" s="39">
        <v>0</v>
      </c>
      <c r="AA1327" s="39">
        <v>0</v>
      </c>
      <c r="AB1327" s="39">
        <v>0</v>
      </c>
      <c r="AC1327" s="39">
        <v>0</v>
      </c>
      <c r="AD1327" s="39">
        <v>0</v>
      </c>
      <c r="AE1327" s="39">
        <v>0</v>
      </c>
      <c r="AF1327" s="39">
        <v>0</v>
      </c>
      <c r="AG1327" s="39">
        <v>0</v>
      </c>
      <c r="AH1327" s="39"/>
      <c r="AI1327" s="39"/>
      <c r="AJ1327" s="40"/>
      <c r="AK1327" s="39">
        <f t="shared" si="100"/>
        <v>0</v>
      </c>
      <c r="AL1327" s="39">
        <f t="shared" si="103"/>
        <v>0</v>
      </c>
      <c r="AM1327" s="39">
        <f t="shared" si="104"/>
        <v>0</v>
      </c>
      <c r="AN1327" s="39">
        <f t="shared" si="101"/>
        <v>0</v>
      </c>
      <c r="AO1327" s="39">
        <f t="shared" si="102"/>
        <v>0</v>
      </c>
    </row>
    <row r="1328" spans="1:41" x14ac:dyDescent="0.3">
      <c r="A1328" s="20">
        <v>1000184670</v>
      </c>
      <c r="B1328" s="4" t="s">
        <v>147</v>
      </c>
      <c r="C1328" s="21"/>
      <c r="D1328" s="3"/>
      <c r="E1328" s="20">
        <v>1000184762</v>
      </c>
      <c r="F1328" s="4" t="s">
        <v>58</v>
      </c>
      <c r="G1328" s="21">
        <v>1000189814</v>
      </c>
      <c r="H1328" s="3" t="s">
        <v>91</v>
      </c>
      <c r="I1328" s="21">
        <v>1000189270</v>
      </c>
      <c r="J1328" s="3" t="s">
        <v>34</v>
      </c>
      <c r="K1328" s="20" t="s">
        <v>28</v>
      </c>
      <c r="L1328" s="39">
        <v>0</v>
      </c>
      <c r="M1328" s="39">
        <v>0</v>
      </c>
      <c r="N1328" s="39">
        <v>0</v>
      </c>
      <c r="O1328" s="39">
        <v>0</v>
      </c>
      <c r="P1328" s="39">
        <v>0</v>
      </c>
      <c r="Q1328" s="39">
        <v>0</v>
      </c>
      <c r="R1328" s="39">
        <v>0</v>
      </c>
      <c r="S1328" s="39">
        <v>0</v>
      </c>
      <c r="T1328" s="39">
        <v>0</v>
      </c>
      <c r="U1328" s="39">
        <v>0</v>
      </c>
      <c r="V1328" s="39">
        <v>0</v>
      </c>
      <c r="W1328" s="39">
        <v>0</v>
      </c>
      <c r="X1328" s="39">
        <v>0</v>
      </c>
      <c r="Y1328" s="39">
        <v>0</v>
      </c>
      <c r="Z1328" s="39">
        <v>0</v>
      </c>
      <c r="AA1328" s="39">
        <v>0</v>
      </c>
      <c r="AB1328" s="39">
        <v>0</v>
      </c>
      <c r="AC1328" s="39">
        <v>0</v>
      </c>
      <c r="AD1328" s="39">
        <v>0</v>
      </c>
      <c r="AE1328" s="39">
        <v>0</v>
      </c>
      <c r="AF1328" s="39">
        <v>0</v>
      </c>
      <c r="AG1328" s="39">
        <v>0</v>
      </c>
      <c r="AH1328" s="39"/>
      <c r="AI1328" s="39"/>
      <c r="AJ1328" s="40"/>
      <c r="AK1328" s="39">
        <f t="shared" ref="AK1328:AK1391" si="105">AVERAGE(L1328:W1328)</f>
        <v>0</v>
      </c>
      <c r="AL1328" s="39">
        <f t="shared" si="103"/>
        <v>0</v>
      </c>
      <c r="AM1328" s="39">
        <f t="shared" si="104"/>
        <v>0</v>
      </c>
      <c r="AN1328" s="39">
        <f t="shared" ref="AN1328:AN1391" si="106">AVERAGE(X1328:AI1328)</f>
        <v>0</v>
      </c>
      <c r="AO1328" s="39">
        <f t="shared" ref="AO1328:AO1391" si="107">SUM(X1328:AI1328)</f>
        <v>0</v>
      </c>
    </row>
    <row r="1329" spans="1:41" x14ac:dyDescent="0.3">
      <c r="A1329" s="20">
        <v>1000184670</v>
      </c>
      <c r="B1329" s="4" t="s">
        <v>147</v>
      </c>
      <c r="C1329" s="21"/>
      <c r="D1329" s="3"/>
      <c r="E1329" s="20">
        <v>1000184762</v>
      </c>
      <c r="F1329" s="4" t="s">
        <v>58</v>
      </c>
      <c r="G1329" s="21">
        <v>1000189814</v>
      </c>
      <c r="H1329" s="3" t="s">
        <v>91</v>
      </c>
      <c r="I1329" s="21">
        <v>1000189270</v>
      </c>
      <c r="J1329" s="3" t="s">
        <v>34</v>
      </c>
      <c r="K1329" s="20" t="s">
        <v>26</v>
      </c>
      <c r="L1329" s="39">
        <v>0</v>
      </c>
      <c r="M1329" s="39">
        <v>0</v>
      </c>
      <c r="N1329" s="39">
        <v>0</v>
      </c>
      <c r="O1329" s="39">
        <v>0</v>
      </c>
      <c r="P1329" s="39">
        <v>0</v>
      </c>
      <c r="Q1329" s="39">
        <v>0</v>
      </c>
      <c r="R1329" s="39">
        <v>0</v>
      </c>
      <c r="S1329" s="39">
        <v>0</v>
      </c>
      <c r="T1329" s="39">
        <v>0</v>
      </c>
      <c r="U1329" s="39">
        <v>0</v>
      </c>
      <c r="V1329" s="39">
        <v>0</v>
      </c>
      <c r="W1329" s="39">
        <v>0</v>
      </c>
      <c r="X1329" s="39">
        <v>0</v>
      </c>
      <c r="Y1329" s="39">
        <v>0</v>
      </c>
      <c r="Z1329" s="39">
        <v>0</v>
      </c>
      <c r="AA1329" s="39">
        <v>0</v>
      </c>
      <c r="AB1329" s="39">
        <v>0</v>
      </c>
      <c r="AC1329" s="39">
        <v>0</v>
      </c>
      <c r="AD1329" s="39">
        <v>0</v>
      </c>
      <c r="AE1329" s="39">
        <v>0</v>
      </c>
      <c r="AF1329" s="39">
        <v>0</v>
      </c>
      <c r="AG1329" s="39">
        <v>0</v>
      </c>
      <c r="AH1329" s="39"/>
      <c r="AI1329" s="39"/>
      <c r="AJ1329" s="40"/>
      <c r="AK1329" s="39">
        <f t="shared" si="105"/>
        <v>0</v>
      </c>
      <c r="AL1329" s="39">
        <f t="shared" si="103"/>
        <v>0</v>
      </c>
      <c r="AM1329" s="39">
        <f t="shared" si="104"/>
        <v>0</v>
      </c>
      <c r="AN1329" s="39">
        <f t="shared" si="106"/>
        <v>0</v>
      </c>
      <c r="AO1329" s="39">
        <f t="shared" si="107"/>
        <v>0</v>
      </c>
    </row>
    <row r="1330" spans="1:41" x14ac:dyDescent="0.3">
      <c r="A1330" s="20">
        <v>1000184670</v>
      </c>
      <c r="B1330" s="4" t="s">
        <v>147</v>
      </c>
      <c r="C1330" s="21"/>
      <c r="D1330" s="3"/>
      <c r="E1330" s="20">
        <v>1000184762</v>
      </c>
      <c r="F1330" s="4" t="s">
        <v>58</v>
      </c>
      <c r="G1330" s="21">
        <v>1000189814</v>
      </c>
      <c r="H1330" s="3" t="s">
        <v>91</v>
      </c>
      <c r="I1330" s="21">
        <v>1000189270</v>
      </c>
      <c r="J1330" s="3" t="s">
        <v>34</v>
      </c>
      <c r="K1330" s="20" t="s">
        <v>27</v>
      </c>
      <c r="L1330" s="39">
        <v>0</v>
      </c>
      <c r="M1330" s="39">
        <v>0</v>
      </c>
      <c r="N1330" s="39">
        <v>0</v>
      </c>
      <c r="O1330" s="39">
        <v>0</v>
      </c>
      <c r="P1330" s="39">
        <v>0</v>
      </c>
      <c r="Q1330" s="39">
        <v>0</v>
      </c>
      <c r="R1330" s="39">
        <v>0</v>
      </c>
      <c r="S1330" s="39">
        <v>0</v>
      </c>
      <c r="T1330" s="39">
        <v>0</v>
      </c>
      <c r="U1330" s="39">
        <v>0</v>
      </c>
      <c r="V1330" s="39">
        <v>0</v>
      </c>
      <c r="W1330" s="39">
        <v>0</v>
      </c>
      <c r="X1330" s="39">
        <v>0</v>
      </c>
      <c r="Y1330" s="39">
        <v>0</v>
      </c>
      <c r="Z1330" s="39">
        <v>0</v>
      </c>
      <c r="AA1330" s="39">
        <v>0</v>
      </c>
      <c r="AB1330" s="39">
        <v>0</v>
      </c>
      <c r="AC1330" s="39">
        <v>0</v>
      </c>
      <c r="AD1330" s="39">
        <v>204</v>
      </c>
      <c r="AE1330" s="39">
        <v>0</v>
      </c>
      <c r="AF1330" s="39">
        <v>0</v>
      </c>
      <c r="AG1330" s="39">
        <v>0</v>
      </c>
      <c r="AH1330" s="39"/>
      <c r="AI1330" s="39"/>
      <c r="AJ1330" s="40"/>
      <c r="AK1330" s="39">
        <f t="shared" si="105"/>
        <v>0</v>
      </c>
      <c r="AL1330" s="39">
        <f t="shared" si="103"/>
        <v>17</v>
      </c>
      <c r="AM1330" s="39">
        <f t="shared" si="104"/>
        <v>34</v>
      </c>
      <c r="AN1330" s="39">
        <f t="shared" si="106"/>
        <v>20.399999999999999</v>
      </c>
      <c r="AO1330" s="39">
        <f t="shared" si="107"/>
        <v>204</v>
      </c>
    </row>
    <row r="1331" spans="1:41" x14ac:dyDescent="0.3">
      <c r="A1331" s="20">
        <v>1000184670</v>
      </c>
      <c r="B1331" s="4" t="s">
        <v>147</v>
      </c>
      <c r="C1331" s="21"/>
      <c r="D1331" s="3"/>
      <c r="E1331" s="20">
        <v>1000184762</v>
      </c>
      <c r="F1331" s="4" t="s">
        <v>58</v>
      </c>
      <c r="G1331" s="21">
        <v>1000189814</v>
      </c>
      <c r="H1331" s="3" t="s">
        <v>91</v>
      </c>
      <c r="I1331" s="21">
        <v>1000189270</v>
      </c>
      <c r="J1331" s="3" t="s">
        <v>34</v>
      </c>
      <c r="K1331" s="20" t="s">
        <v>25</v>
      </c>
      <c r="L1331" s="39">
        <v>0</v>
      </c>
      <c r="M1331" s="39">
        <v>0</v>
      </c>
      <c r="N1331" s="39">
        <v>0</v>
      </c>
      <c r="O1331" s="39">
        <v>0</v>
      </c>
      <c r="P1331" s="39">
        <v>0</v>
      </c>
      <c r="Q1331" s="39">
        <v>0</v>
      </c>
      <c r="R1331" s="39">
        <v>0</v>
      </c>
      <c r="S1331" s="39">
        <v>0</v>
      </c>
      <c r="T1331" s="39">
        <v>0</v>
      </c>
      <c r="U1331" s="39">
        <v>0</v>
      </c>
      <c r="V1331" s="39">
        <v>0</v>
      </c>
      <c r="W1331" s="39">
        <v>0</v>
      </c>
      <c r="X1331" s="39">
        <v>0</v>
      </c>
      <c r="Y1331" s="39">
        <v>0</v>
      </c>
      <c r="Z1331" s="39">
        <v>0</v>
      </c>
      <c r="AA1331" s="39">
        <v>0</v>
      </c>
      <c r="AB1331" s="39">
        <v>0</v>
      </c>
      <c r="AC1331" s="39">
        <v>0</v>
      </c>
      <c r="AD1331" s="39">
        <v>0</v>
      </c>
      <c r="AE1331" s="39">
        <v>0</v>
      </c>
      <c r="AF1331" s="39">
        <v>0</v>
      </c>
      <c r="AG1331" s="39">
        <v>0</v>
      </c>
      <c r="AH1331" s="39"/>
      <c r="AI1331" s="39"/>
      <c r="AJ1331" s="40"/>
      <c r="AK1331" s="39">
        <f t="shared" si="105"/>
        <v>0</v>
      </c>
      <c r="AL1331" s="39">
        <f t="shared" si="103"/>
        <v>0</v>
      </c>
      <c r="AM1331" s="39">
        <f t="shared" si="104"/>
        <v>0</v>
      </c>
      <c r="AN1331" s="39">
        <f t="shared" si="106"/>
        <v>0</v>
      </c>
      <c r="AO1331" s="39">
        <f t="shared" si="107"/>
        <v>0</v>
      </c>
    </row>
    <row r="1332" spans="1:41" x14ac:dyDescent="0.3">
      <c r="A1332" s="20">
        <v>1000184670</v>
      </c>
      <c r="B1332" s="4" t="s">
        <v>147</v>
      </c>
      <c r="C1332" s="21"/>
      <c r="D1332" s="3"/>
      <c r="E1332" s="20">
        <v>1000184762</v>
      </c>
      <c r="F1332" s="4" t="s">
        <v>58</v>
      </c>
      <c r="G1332" s="21">
        <v>1000189815</v>
      </c>
      <c r="H1332" s="3" t="s">
        <v>59</v>
      </c>
      <c r="I1332" s="21">
        <v>1000189270</v>
      </c>
      <c r="J1332" s="3" t="s">
        <v>34</v>
      </c>
      <c r="K1332" s="20" t="s">
        <v>124</v>
      </c>
      <c r="L1332" s="39">
        <v>0</v>
      </c>
      <c r="M1332" s="39">
        <v>0</v>
      </c>
      <c r="N1332" s="39">
        <v>0</v>
      </c>
      <c r="O1332" s="39">
        <v>0</v>
      </c>
      <c r="P1332" s="39">
        <v>0</v>
      </c>
      <c r="Q1332" s="39">
        <v>0</v>
      </c>
      <c r="R1332" s="39">
        <v>0</v>
      </c>
      <c r="S1332" s="39">
        <v>0</v>
      </c>
      <c r="T1332" s="39">
        <v>0</v>
      </c>
      <c r="U1332" s="39">
        <v>0</v>
      </c>
      <c r="V1332" s="39">
        <v>0</v>
      </c>
      <c r="W1332" s="39">
        <v>0</v>
      </c>
      <c r="X1332" s="39">
        <v>0</v>
      </c>
      <c r="Y1332" s="39">
        <v>0</v>
      </c>
      <c r="Z1332" s="39">
        <v>0</v>
      </c>
      <c r="AA1332" s="39">
        <v>0</v>
      </c>
      <c r="AB1332" s="39">
        <v>0</v>
      </c>
      <c r="AC1332" s="39">
        <v>0</v>
      </c>
      <c r="AD1332" s="39">
        <v>0</v>
      </c>
      <c r="AE1332" s="39">
        <v>0</v>
      </c>
      <c r="AF1332" s="39">
        <v>0</v>
      </c>
      <c r="AG1332" s="39">
        <v>0</v>
      </c>
      <c r="AH1332" s="39"/>
      <c r="AI1332" s="39"/>
      <c r="AJ1332" s="40"/>
      <c r="AK1332" s="39">
        <f t="shared" si="105"/>
        <v>0</v>
      </c>
      <c r="AL1332" s="39">
        <f t="shared" si="103"/>
        <v>0</v>
      </c>
      <c r="AM1332" s="39">
        <f t="shared" si="104"/>
        <v>0</v>
      </c>
      <c r="AN1332" s="39">
        <f t="shared" si="106"/>
        <v>0</v>
      </c>
      <c r="AO1332" s="39">
        <f t="shared" si="107"/>
        <v>0</v>
      </c>
    </row>
    <row r="1333" spans="1:41" x14ac:dyDescent="0.3">
      <c r="A1333" s="20">
        <v>1000184670</v>
      </c>
      <c r="B1333" s="4" t="s">
        <v>147</v>
      </c>
      <c r="C1333" s="21"/>
      <c r="D1333" s="3"/>
      <c r="E1333" s="20">
        <v>1000184762</v>
      </c>
      <c r="F1333" s="4" t="s">
        <v>58</v>
      </c>
      <c r="G1333" s="21">
        <v>1000189815</v>
      </c>
      <c r="H1333" s="3" t="s">
        <v>59</v>
      </c>
      <c r="I1333" s="21">
        <v>1000189270</v>
      </c>
      <c r="J1333" s="3" t="s">
        <v>34</v>
      </c>
      <c r="K1333" s="20" t="s">
        <v>13</v>
      </c>
      <c r="L1333" s="39">
        <v>0</v>
      </c>
      <c r="M1333" s="39">
        <v>0</v>
      </c>
      <c r="N1333" s="39">
        <v>0</v>
      </c>
      <c r="O1333" s="39">
        <v>0</v>
      </c>
      <c r="P1333" s="39">
        <v>0</v>
      </c>
      <c r="Q1333" s="39">
        <v>0</v>
      </c>
      <c r="R1333" s="39">
        <v>0</v>
      </c>
      <c r="S1333" s="39">
        <v>0</v>
      </c>
      <c r="T1333" s="39">
        <v>0</v>
      </c>
      <c r="U1333" s="39">
        <v>0</v>
      </c>
      <c r="V1333" s="39">
        <v>0</v>
      </c>
      <c r="W1333" s="39">
        <v>0</v>
      </c>
      <c r="X1333" s="39">
        <v>0</v>
      </c>
      <c r="Y1333" s="39">
        <v>0</v>
      </c>
      <c r="Z1333" s="39">
        <v>0</v>
      </c>
      <c r="AA1333" s="39">
        <v>0</v>
      </c>
      <c r="AB1333" s="39">
        <v>0</v>
      </c>
      <c r="AC1333" s="39">
        <v>0</v>
      </c>
      <c r="AD1333" s="39">
        <v>395.15</v>
      </c>
      <c r="AE1333" s="39">
        <v>0</v>
      </c>
      <c r="AF1333" s="39">
        <v>0</v>
      </c>
      <c r="AG1333" s="39">
        <v>0</v>
      </c>
      <c r="AH1333" s="39"/>
      <c r="AI1333" s="39"/>
      <c r="AJ1333" s="40"/>
      <c r="AK1333" s="39">
        <f t="shared" si="105"/>
        <v>0</v>
      </c>
      <c r="AL1333" s="39">
        <f t="shared" si="103"/>
        <v>32.929166666666667</v>
      </c>
      <c r="AM1333" s="39">
        <f t="shared" si="104"/>
        <v>65.858333333333334</v>
      </c>
      <c r="AN1333" s="39">
        <f t="shared" si="106"/>
        <v>39.515000000000001</v>
      </c>
      <c r="AO1333" s="39">
        <f t="shared" si="107"/>
        <v>395.15</v>
      </c>
    </row>
    <row r="1334" spans="1:41" x14ac:dyDescent="0.3">
      <c r="A1334" s="20">
        <v>1000184670</v>
      </c>
      <c r="B1334" s="4" t="s">
        <v>147</v>
      </c>
      <c r="C1334" s="21"/>
      <c r="D1334" s="3"/>
      <c r="E1334" s="20">
        <v>1000184762</v>
      </c>
      <c r="F1334" s="4" t="s">
        <v>58</v>
      </c>
      <c r="G1334" s="21">
        <v>1000189815</v>
      </c>
      <c r="H1334" s="3" t="s">
        <v>59</v>
      </c>
      <c r="I1334" s="21">
        <v>1000189270</v>
      </c>
      <c r="J1334" s="3" t="s">
        <v>34</v>
      </c>
      <c r="K1334" s="20" t="s">
        <v>14</v>
      </c>
      <c r="L1334" s="39">
        <v>0</v>
      </c>
      <c r="M1334" s="39">
        <v>0</v>
      </c>
      <c r="N1334" s="39">
        <v>0</v>
      </c>
      <c r="O1334" s="39">
        <v>0</v>
      </c>
      <c r="P1334" s="39">
        <v>0</v>
      </c>
      <c r="Q1334" s="39">
        <v>0</v>
      </c>
      <c r="R1334" s="39">
        <v>0</v>
      </c>
      <c r="S1334" s="39">
        <v>0</v>
      </c>
      <c r="T1334" s="39">
        <v>0</v>
      </c>
      <c r="U1334" s="39">
        <v>0</v>
      </c>
      <c r="V1334" s="39">
        <v>0</v>
      </c>
      <c r="W1334" s="39">
        <v>0</v>
      </c>
      <c r="X1334" s="39">
        <v>0</v>
      </c>
      <c r="Y1334" s="39">
        <v>0</v>
      </c>
      <c r="Z1334" s="39">
        <v>0</v>
      </c>
      <c r="AA1334" s="39">
        <v>0</v>
      </c>
      <c r="AB1334" s="39">
        <v>0</v>
      </c>
      <c r="AC1334" s="39">
        <v>0</v>
      </c>
      <c r="AD1334" s="39">
        <v>0</v>
      </c>
      <c r="AE1334" s="39">
        <v>0</v>
      </c>
      <c r="AF1334" s="39">
        <v>0</v>
      </c>
      <c r="AG1334" s="39">
        <v>0</v>
      </c>
      <c r="AH1334" s="39"/>
      <c r="AI1334" s="39"/>
      <c r="AJ1334" s="40"/>
      <c r="AK1334" s="39">
        <f t="shared" si="105"/>
        <v>0</v>
      </c>
      <c r="AL1334" s="39">
        <f t="shared" si="103"/>
        <v>0</v>
      </c>
      <c r="AM1334" s="39">
        <f t="shared" si="104"/>
        <v>0</v>
      </c>
      <c r="AN1334" s="39">
        <f t="shared" si="106"/>
        <v>0</v>
      </c>
      <c r="AO1334" s="39">
        <f t="shared" si="107"/>
        <v>0</v>
      </c>
    </row>
    <row r="1335" spans="1:41" x14ac:dyDescent="0.3">
      <c r="A1335" s="20">
        <v>1000184670</v>
      </c>
      <c r="B1335" s="4" t="s">
        <v>147</v>
      </c>
      <c r="C1335" s="21"/>
      <c r="D1335" s="3"/>
      <c r="E1335" s="20">
        <v>1000184762</v>
      </c>
      <c r="F1335" s="4" t="s">
        <v>58</v>
      </c>
      <c r="G1335" s="21">
        <v>1000189815</v>
      </c>
      <c r="H1335" s="3" t="s">
        <v>59</v>
      </c>
      <c r="I1335" s="21">
        <v>1000189270</v>
      </c>
      <c r="J1335" s="3" t="s">
        <v>34</v>
      </c>
      <c r="K1335" s="20" t="s">
        <v>16</v>
      </c>
      <c r="L1335" s="39">
        <v>0</v>
      </c>
      <c r="M1335" s="39">
        <v>0</v>
      </c>
      <c r="N1335" s="39">
        <v>0</v>
      </c>
      <c r="O1335" s="39">
        <v>0</v>
      </c>
      <c r="P1335" s="39">
        <v>0</v>
      </c>
      <c r="Q1335" s="39">
        <v>0</v>
      </c>
      <c r="R1335" s="39">
        <v>0</v>
      </c>
      <c r="S1335" s="39">
        <v>0</v>
      </c>
      <c r="T1335" s="39">
        <v>0</v>
      </c>
      <c r="U1335" s="39">
        <v>0</v>
      </c>
      <c r="V1335" s="39">
        <v>0</v>
      </c>
      <c r="W1335" s="39">
        <v>0</v>
      </c>
      <c r="X1335" s="39">
        <v>0</v>
      </c>
      <c r="Y1335" s="39">
        <v>0</v>
      </c>
      <c r="Z1335" s="39">
        <v>0</v>
      </c>
      <c r="AA1335" s="39">
        <v>0</v>
      </c>
      <c r="AB1335" s="39">
        <v>0</v>
      </c>
      <c r="AC1335" s="39">
        <v>0</v>
      </c>
      <c r="AD1335" s="39">
        <v>0</v>
      </c>
      <c r="AE1335" s="39">
        <v>0</v>
      </c>
      <c r="AF1335" s="39">
        <v>0</v>
      </c>
      <c r="AG1335" s="39">
        <v>0</v>
      </c>
      <c r="AH1335" s="39"/>
      <c r="AI1335" s="39"/>
      <c r="AJ1335" s="40"/>
      <c r="AK1335" s="39">
        <f t="shared" si="105"/>
        <v>0</v>
      </c>
      <c r="AL1335" s="39">
        <f t="shared" si="103"/>
        <v>0</v>
      </c>
      <c r="AM1335" s="39">
        <f t="shared" si="104"/>
        <v>0</v>
      </c>
      <c r="AN1335" s="39">
        <f t="shared" si="106"/>
        <v>0</v>
      </c>
      <c r="AO1335" s="39">
        <f t="shared" si="107"/>
        <v>0</v>
      </c>
    </row>
    <row r="1336" spans="1:41" x14ac:dyDescent="0.3">
      <c r="A1336" s="20">
        <v>1000184670</v>
      </c>
      <c r="B1336" s="4" t="s">
        <v>147</v>
      </c>
      <c r="C1336" s="21"/>
      <c r="D1336" s="3"/>
      <c r="E1336" s="20">
        <v>1000184762</v>
      </c>
      <c r="F1336" s="4" t="s">
        <v>58</v>
      </c>
      <c r="G1336" s="21">
        <v>1000189815</v>
      </c>
      <c r="H1336" s="3" t="s">
        <v>59</v>
      </c>
      <c r="I1336" s="21">
        <v>1000189270</v>
      </c>
      <c r="J1336" s="3" t="s">
        <v>34</v>
      </c>
      <c r="K1336" s="20" t="s">
        <v>15</v>
      </c>
      <c r="L1336" s="39">
        <v>0</v>
      </c>
      <c r="M1336" s="39">
        <v>0</v>
      </c>
      <c r="N1336" s="39">
        <v>0</v>
      </c>
      <c r="O1336" s="39">
        <v>0</v>
      </c>
      <c r="P1336" s="39">
        <v>0</v>
      </c>
      <c r="Q1336" s="39">
        <v>0</v>
      </c>
      <c r="R1336" s="39">
        <v>0</v>
      </c>
      <c r="S1336" s="39">
        <v>0</v>
      </c>
      <c r="T1336" s="39">
        <v>0</v>
      </c>
      <c r="U1336" s="39">
        <v>0</v>
      </c>
      <c r="V1336" s="39">
        <v>0</v>
      </c>
      <c r="W1336" s="39">
        <v>0</v>
      </c>
      <c r="X1336" s="39">
        <v>0</v>
      </c>
      <c r="Y1336" s="39">
        <v>0</v>
      </c>
      <c r="Z1336" s="39">
        <v>0</v>
      </c>
      <c r="AA1336" s="39">
        <v>0</v>
      </c>
      <c r="AB1336" s="39">
        <v>0</v>
      </c>
      <c r="AC1336" s="39">
        <v>0</v>
      </c>
      <c r="AD1336" s="39">
        <v>510</v>
      </c>
      <c r="AE1336" s="39">
        <v>0</v>
      </c>
      <c r="AF1336" s="39">
        <v>0</v>
      </c>
      <c r="AG1336" s="39">
        <v>0</v>
      </c>
      <c r="AH1336" s="39"/>
      <c r="AI1336" s="39"/>
      <c r="AJ1336" s="40"/>
      <c r="AK1336" s="39">
        <f t="shared" si="105"/>
        <v>0</v>
      </c>
      <c r="AL1336" s="39">
        <f t="shared" si="103"/>
        <v>42.5</v>
      </c>
      <c r="AM1336" s="39">
        <f t="shared" si="104"/>
        <v>85</v>
      </c>
      <c r="AN1336" s="39">
        <f t="shared" si="106"/>
        <v>51</v>
      </c>
      <c r="AO1336" s="39">
        <f t="shared" si="107"/>
        <v>510</v>
      </c>
    </row>
    <row r="1337" spans="1:41" x14ac:dyDescent="0.3">
      <c r="A1337" s="20">
        <v>1000184670</v>
      </c>
      <c r="B1337" s="4" t="s">
        <v>147</v>
      </c>
      <c r="C1337" s="21"/>
      <c r="D1337" s="3"/>
      <c r="E1337" s="20">
        <v>1000184762</v>
      </c>
      <c r="F1337" s="4" t="s">
        <v>58</v>
      </c>
      <c r="G1337" s="21">
        <v>1000189815</v>
      </c>
      <c r="H1337" s="3" t="s">
        <v>59</v>
      </c>
      <c r="I1337" s="21">
        <v>1000189270</v>
      </c>
      <c r="J1337" s="3" t="s">
        <v>34</v>
      </c>
      <c r="K1337" s="20" t="s">
        <v>33</v>
      </c>
      <c r="L1337" s="39">
        <v>0</v>
      </c>
      <c r="M1337" s="39">
        <v>0</v>
      </c>
      <c r="N1337" s="39">
        <v>0</v>
      </c>
      <c r="O1337" s="39">
        <v>0</v>
      </c>
      <c r="P1337" s="39">
        <v>0</v>
      </c>
      <c r="Q1337" s="39">
        <v>0</v>
      </c>
      <c r="R1337" s="39">
        <v>0</v>
      </c>
      <c r="S1337" s="39">
        <v>0</v>
      </c>
      <c r="T1337" s="39">
        <v>0</v>
      </c>
      <c r="U1337" s="39">
        <v>0</v>
      </c>
      <c r="V1337" s="39">
        <v>0</v>
      </c>
      <c r="W1337" s="39">
        <v>0</v>
      </c>
      <c r="X1337" s="39">
        <v>0</v>
      </c>
      <c r="Y1337" s="39">
        <v>0</v>
      </c>
      <c r="Z1337" s="39">
        <v>0</v>
      </c>
      <c r="AA1337" s="39">
        <v>0</v>
      </c>
      <c r="AB1337" s="39">
        <v>0</v>
      </c>
      <c r="AC1337" s="39">
        <v>0</v>
      </c>
      <c r="AD1337" s="39">
        <v>0</v>
      </c>
      <c r="AE1337" s="39">
        <v>0</v>
      </c>
      <c r="AF1337" s="39">
        <v>0</v>
      </c>
      <c r="AG1337" s="39">
        <v>0</v>
      </c>
      <c r="AH1337" s="39"/>
      <c r="AI1337" s="39"/>
      <c r="AJ1337" s="40"/>
      <c r="AK1337" s="39">
        <f t="shared" si="105"/>
        <v>0</v>
      </c>
      <c r="AL1337" s="39">
        <f t="shared" si="103"/>
        <v>0</v>
      </c>
      <c r="AM1337" s="39">
        <f t="shared" si="104"/>
        <v>0</v>
      </c>
      <c r="AN1337" s="39">
        <f t="shared" si="106"/>
        <v>0</v>
      </c>
      <c r="AO1337" s="39">
        <f t="shared" si="107"/>
        <v>0</v>
      </c>
    </row>
    <row r="1338" spans="1:41" x14ac:dyDescent="0.3">
      <c r="A1338" s="20">
        <v>1000184670</v>
      </c>
      <c r="B1338" s="4" t="s">
        <v>147</v>
      </c>
      <c r="C1338" s="21"/>
      <c r="D1338" s="3"/>
      <c r="E1338" s="20">
        <v>1000184762</v>
      </c>
      <c r="F1338" s="4" t="s">
        <v>58</v>
      </c>
      <c r="G1338" s="21">
        <v>1000189815</v>
      </c>
      <c r="H1338" s="3" t="s">
        <v>59</v>
      </c>
      <c r="I1338" s="21">
        <v>1000189270</v>
      </c>
      <c r="J1338" s="3" t="s">
        <v>34</v>
      </c>
      <c r="K1338" s="20" t="s">
        <v>19</v>
      </c>
      <c r="L1338" s="39">
        <v>0</v>
      </c>
      <c r="M1338" s="39">
        <v>0</v>
      </c>
      <c r="N1338" s="39">
        <v>0</v>
      </c>
      <c r="O1338" s="39">
        <v>0</v>
      </c>
      <c r="P1338" s="39">
        <v>0</v>
      </c>
      <c r="Q1338" s="39">
        <v>0</v>
      </c>
      <c r="R1338" s="39">
        <v>0</v>
      </c>
      <c r="S1338" s="39">
        <v>0</v>
      </c>
      <c r="T1338" s="39">
        <v>0</v>
      </c>
      <c r="U1338" s="39">
        <v>0</v>
      </c>
      <c r="V1338" s="39">
        <v>0</v>
      </c>
      <c r="W1338" s="39">
        <v>0</v>
      </c>
      <c r="X1338" s="39">
        <v>0</v>
      </c>
      <c r="Y1338" s="39">
        <v>0</v>
      </c>
      <c r="Z1338" s="39">
        <v>0</v>
      </c>
      <c r="AA1338" s="39">
        <v>0</v>
      </c>
      <c r="AB1338" s="39">
        <v>0</v>
      </c>
      <c r="AC1338" s="39">
        <v>0</v>
      </c>
      <c r="AD1338" s="39">
        <v>0</v>
      </c>
      <c r="AE1338" s="39">
        <v>0</v>
      </c>
      <c r="AF1338" s="39">
        <v>0</v>
      </c>
      <c r="AG1338" s="39">
        <v>0</v>
      </c>
      <c r="AH1338" s="39"/>
      <c r="AI1338" s="39"/>
      <c r="AJ1338" s="40"/>
      <c r="AK1338" s="39">
        <f t="shared" si="105"/>
        <v>0</v>
      </c>
      <c r="AL1338" s="39">
        <f t="shared" si="103"/>
        <v>0</v>
      </c>
      <c r="AM1338" s="39">
        <f t="shared" si="104"/>
        <v>0</v>
      </c>
      <c r="AN1338" s="39">
        <f t="shared" si="106"/>
        <v>0</v>
      </c>
      <c r="AO1338" s="39">
        <f t="shared" si="107"/>
        <v>0</v>
      </c>
    </row>
    <row r="1339" spans="1:41" x14ac:dyDescent="0.3">
      <c r="A1339" s="20">
        <v>1000184670</v>
      </c>
      <c r="B1339" s="4" t="s">
        <v>147</v>
      </c>
      <c r="C1339" s="21"/>
      <c r="D1339" s="3"/>
      <c r="E1339" s="20">
        <v>1000184762</v>
      </c>
      <c r="F1339" s="4" t="s">
        <v>58</v>
      </c>
      <c r="G1339" s="21">
        <v>1000189815</v>
      </c>
      <c r="H1339" s="3" t="s">
        <v>59</v>
      </c>
      <c r="I1339" s="21">
        <v>1000189270</v>
      </c>
      <c r="J1339" s="3" t="s">
        <v>34</v>
      </c>
      <c r="K1339" s="20" t="s">
        <v>17</v>
      </c>
      <c r="L1339" s="39">
        <v>0</v>
      </c>
      <c r="M1339" s="39">
        <v>0</v>
      </c>
      <c r="N1339" s="39">
        <v>0</v>
      </c>
      <c r="O1339" s="39">
        <v>0</v>
      </c>
      <c r="P1339" s="39">
        <v>0</v>
      </c>
      <c r="Q1339" s="39">
        <v>0</v>
      </c>
      <c r="R1339" s="39">
        <v>0</v>
      </c>
      <c r="S1339" s="39">
        <v>0</v>
      </c>
      <c r="T1339" s="39">
        <v>0</v>
      </c>
      <c r="U1339" s="39">
        <v>0</v>
      </c>
      <c r="V1339" s="39">
        <v>0</v>
      </c>
      <c r="W1339" s="39">
        <v>0</v>
      </c>
      <c r="X1339" s="39">
        <v>0</v>
      </c>
      <c r="Y1339" s="39">
        <v>0</v>
      </c>
      <c r="Z1339" s="39">
        <v>0</v>
      </c>
      <c r="AA1339" s="39">
        <v>0</v>
      </c>
      <c r="AB1339" s="39">
        <v>0</v>
      </c>
      <c r="AC1339" s="39">
        <v>0</v>
      </c>
      <c r="AD1339" s="39">
        <v>0</v>
      </c>
      <c r="AE1339" s="39">
        <v>0</v>
      </c>
      <c r="AF1339" s="39">
        <v>0</v>
      </c>
      <c r="AG1339" s="39">
        <v>0</v>
      </c>
      <c r="AH1339" s="39"/>
      <c r="AI1339" s="39"/>
      <c r="AJ1339" s="40"/>
      <c r="AK1339" s="39">
        <f t="shared" si="105"/>
        <v>0</v>
      </c>
      <c r="AL1339" s="39">
        <f t="shared" si="103"/>
        <v>0</v>
      </c>
      <c r="AM1339" s="39">
        <f t="shared" si="104"/>
        <v>0</v>
      </c>
      <c r="AN1339" s="39">
        <f t="shared" si="106"/>
        <v>0</v>
      </c>
      <c r="AO1339" s="39">
        <f t="shared" si="107"/>
        <v>0</v>
      </c>
    </row>
    <row r="1340" spans="1:41" x14ac:dyDescent="0.3">
      <c r="A1340" s="20">
        <v>1000184670</v>
      </c>
      <c r="B1340" s="4" t="s">
        <v>147</v>
      </c>
      <c r="C1340" s="21"/>
      <c r="D1340" s="3"/>
      <c r="E1340" s="20">
        <v>1000184762</v>
      </c>
      <c r="F1340" s="4" t="s">
        <v>58</v>
      </c>
      <c r="G1340" s="21">
        <v>1000189815</v>
      </c>
      <c r="H1340" s="3" t="s">
        <v>59</v>
      </c>
      <c r="I1340" s="21">
        <v>1000189270</v>
      </c>
      <c r="J1340" s="3" t="s">
        <v>34</v>
      </c>
      <c r="K1340" s="20" t="s">
        <v>24</v>
      </c>
      <c r="L1340" s="39">
        <v>0</v>
      </c>
      <c r="M1340" s="39">
        <v>0</v>
      </c>
      <c r="N1340" s="39">
        <v>0</v>
      </c>
      <c r="O1340" s="39">
        <v>0</v>
      </c>
      <c r="P1340" s="39">
        <v>0</v>
      </c>
      <c r="Q1340" s="39">
        <v>0</v>
      </c>
      <c r="R1340" s="39">
        <v>0</v>
      </c>
      <c r="S1340" s="39">
        <v>0</v>
      </c>
      <c r="T1340" s="39">
        <v>0</v>
      </c>
      <c r="U1340" s="39">
        <v>0</v>
      </c>
      <c r="V1340" s="39">
        <v>0</v>
      </c>
      <c r="W1340" s="39">
        <v>0</v>
      </c>
      <c r="X1340" s="39">
        <v>0</v>
      </c>
      <c r="Y1340" s="39">
        <v>0</v>
      </c>
      <c r="Z1340" s="39">
        <v>0</v>
      </c>
      <c r="AA1340" s="39">
        <v>0</v>
      </c>
      <c r="AB1340" s="39">
        <v>0</v>
      </c>
      <c r="AC1340" s="39">
        <v>0</v>
      </c>
      <c r="AD1340" s="39">
        <v>0</v>
      </c>
      <c r="AE1340" s="39">
        <v>0</v>
      </c>
      <c r="AF1340" s="39">
        <v>0</v>
      </c>
      <c r="AG1340" s="39">
        <v>0</v>
      </c>
      <c r="AH1340" s="39"/>
      <c r="AI1340" s="39"/>
      <c r="AJ1340" s="40"/>
      <c r="AK1340" s="39">
        <f t="shared" si="105"/>
        <v>0</v>
      </c>
      <c r="AL1340" s="39">
        <f t="shared" si="103"/>
        <v>0</v>
      </c>
      <c r="AM1340" s="39">
        <f t="shared" si="104"/>
        <v>0</v>
      </c>
      <c r="AN1340" s="39">
        <f t="shared" si="106"/>
        <v>0</v>
      </c>
      <c r="AO1340" s="39">
        <f t="shared" si="107"/>
        <v>0</v>
      </c>
    </row>
    <row r="1341" spans="1:41" x14ac:dyDescent="0.3">
      <c r="A1341" s="20">
        <v>1000184670</v>
      </c>
      <c r="B1341" s="4" t="s">
        <v>147</v>
      </c>
      <c r="C1341" s="21"/>
      <c r="D1341" s="3"/>
      <c r="E1341" s="20">
        <v>1000184762</v>
      </c>
      <c r="F1341" s="4" t="s">
        <v>58</v>
      </c>
      <c r="G1341" s="21">
        <v>1000189815</v>
      </c>
      <c r="H1341" s="3" t="s">
        <v>59</v>
      </c>
      <c r="I1341" s="21">
        <v>1000189270</v>
      </c>
      <c r="J1341" s="3" t="s">
        <v>34</v>
      </c>
      <c r="K1341" s="20" t="s">
        <v>18</v>
      </c>
      <c r="L1341" s="39">
        <v>0</v>
      </c>
      <c r="M1341" s="39">
        <v>0</v>
      </c>
      <c r="N1341" s="39">
        <v>0</v>
      </c>
      <c r="O1341" s="39">
        <v>0</v>
      </c>
      <c r="P1341" s="39">
        <v>0</v>
      </c>
      <c r="Q1341" s="39">
        <v>0</v>
      </c>
      <c r="R1341" s="39">
        <v>0</v>
      </c>
      <c r="S1341" s="39">
        <v>0</v>
      </c>
      <c r="T1341" s="39">
        <v>0</v>
      </c>
      <c r="U1341" s="39">
        <v>0</v>
      </c>
      <c r="V1341" s="39">
        <v>0</v>
      </c>
      <c r="W1341" s="39">
        <v>0</v>
      </c>
      <c r="X1341" s="39">
        <v>0</v>
      </c>
      <c r="Y1341" s="39">
        <v>0</v>
      </c>
      <c r="Z1341" s="39">
        <v>0</v>
      </c>
      <c r="AA1341" s="39">
        <v>0</v>
      </c>
      <c r="AB1341" s="39">
        <v>0</v>
      </c>
      <c r="AC1341" s="39">
        <v>0</v>
      </c>
      <c r="AD1341" s="39">
        <v>0</v>
      </c>
      <c r="AE1341" s="39">
        <v>0</v>
      </c>
      <c r="AF1341" s="39">
        <v>0</v>
      </c>
      <c r="AG1341" s="39">
        <v>0</v>
      </c>
      <c r="AH1341" s="39"/>
      <c r="AI1341" s="39"/>
      <c r="AJ1341" s="40"/>
      <c r="AK1341" s="39">
        <f t="shared" si="105"/>
        <v>0</v>
      </c>
      <c r="AL1341" s="39">
        <f t="shared" si="103"/>
        <v>0</v>
      </c>
      <c r="AM1341" s="39">
        <f t="shared" si="104"/>
        <v>0</v>
      </c>
      <c r="AN1341" s="39">
        <f t="shared" si="106"/>
        <v>0</v>
      </c>
      <c r="AO1341" s="39">
        <f t="shared" si="107"/>
        <v>0</v>
      </c>
    </row>
    <row r="1342" spans="1:41" x14ac:dyDescent="0.3">
      <c r="A1342" s="20">
        <v>1000184670</v>
      </c>
      <c r="B1342" s="4" t="s">
        <v>147</v>
      </c>
      <c r="C1342" s="21"/>
      <c r="D1342" s="3"/>
      <c r="E1342" s="20">
        <v>1000184762</v>
      </c>
      <c r="F1342" s="4" t="s">
        <v>58</v>
      </c>
      <c r="G1342" s="21">
        <v>1000189815</v>
      </c>
      <c r="H1342" s="3" t="s">
        <v>59</v>
      </c>
      <c r="I1342" s="21">
        <v>1000189270</v>
      </c>
      <c r="J1342" s="3" t="s">
        <v>34</v>
      </c>
      <c r="K1342" s="20" t="s">
        <v>29</v>
      </c>
      <c r="L1342" s="39">
        <v>0</v>
      </c>
      <c r="M1342" s="39">
        <v>0</v>
      </c>
      <c r="N1342" s="39">
        <v>0</v>
      </c>
      <c r="O1342" s="39">
        <v>0</v>
      </c>
      <c r="P1342" s="39">
        <v>0</v>
      </c>
      <c r="Q1342" s="39">
        <v>0</v>
      </c>
      <c r="R1342" s="39">
        <v>0</v>
      </c>
      <c r="S1342" s="39">
        <v>0</v>
      </c>
      <c r="T1342" s="39">
        <v>0</v>
      </c>
      <c r="U1342" s="39">
        <v>0</v>
      </c>
      <c r="V1342" s="39">
        <v>0</v>
      </c>
      <c r="W1342" s="39">
        <v>0</v>
      </c>
      <c r="X1342" s="39">
        <v>0</v>
      </c>
      <c r="Y1342" s="39">
        <v>0</v>
      </c>
      <c r="Z1342" s="39">
        <v>0</v>
      </c>
      <c r="AA1342" s="39">
        <v>0</v>
      </c>
      <c r="AB1342" s="39">
        <v>0</v>
      </c>
      <c r="AC1342" s="39">
        <v>0</v>
      </c>
      <c r="AD1342" s="39">
        <v>0</v>
      </c>
      <c r="AE1342" s="39">
        <v>0</v>
      </c>
      <c r="AF1342" s="39">
        <v>0</v>
      </c>
      <c r="AG1342" s="39">
        <v>0</v>
      </c>
      <c r="AH1342" s="39"/>
      <c r="AI1342" s="39"/>
      <c r="AJ1342" s="40"/>
      <c r="AK1342" s="39">
        <f t="shared" si="105"/>
        <v>0</v>
      </c>
      <c r="AL1342" s="39">
        <f t="shared" si="103"/>
        <v>0</v>
      </c>
      <c r="AM1342" s="39">
        <f t="shared" si="104"/>
        <v>0</v>
      </c>
      <c r="AN1342" s="39">
        <f t="shared" si="106"/>
        <v>0</v>
      </c>
      <c r="AO1342" s="39">
        <f t="shared" si="107"/>
        <v>0</v>
      </c>
    </row>
    <row r="1343" spans="1:41" x14ac:dyDescent="0.3">
      <c r="A1343" s="20">
        <v>1000184670</v>
      </c>
      <c r="B1343" s="4" t="s">
        <v>147</v>
      </c>
      <c r="C1343" s="21"/>
      <c r="D1343" s="3"/>
      <c r="E1343" s="20">
        <v>1000184762</v>
      </c>
      <c r="F1343" s="4" t="s">
        <v>58</v>
      </c>
      <c r="G1343" s="21">
        <v>1000189815</v>
      </c>
      <c r="H1343" s="3" t="s">
        <v>59</v>
      </c>
      <c r="I1343" s="21">
        <v>1000189270</v>
      </c>
      <c r="J1343" s="3" t="s">
        <v>34</v>
      </c>
      <c r="K1343" s="20" t="s">
        <v>21</v>
      </c>
      <c r="L1343" s="39">
        <v>0</v>
      </c>
      <c r="M1343" s="39">
        <v>0</v>
      </c>
      <c r="N1343" s="39">
        <v>0</v>
      </c>
      <c r="O1343" s="39">
        <v>0</v>
      </c>
      <c r="P1343" s="39">
        <v>0</v>
      </c>
      <c r="Q1343" s="39">
        <v>0</v>
      </c>
      <c r="R1343" s="39">
        <v>0</v>
      </c>
      <c r="S1343" s="39">
        <v>0</v>
      </c>
      <c r="T1343" s="39">
        <v>0</v>
      </c>
      <c r="U1343" s="39">
        <v>0</v>
      </c>
      <c r="V1343" s="39">
        <v>0</v>
      </c>
      <c r="W1343" s="39">
        <v>0</v>
      </c>
      <c r="X1343" s="39">
        <v>0</v>
      </c>
      <c r="Y1343" s="39">
        <v>0</v>
      </c>
      <c r="Z1343" s="39">
        <v>0</v>
      </c>
      <c r="AA1343" s="39">
        <v>0</v>
      </c>
      <c r="AB1343" s="39">
        <v>0</v>
      </c>
      <c r="AC1343" s="39">
        <v>0</v>
      </c>
      <c r="AD1343" s="39">
        <v>0</v>
      </c>
      <c r="AE1343" s="39">
        <v>0</v>
      </c>
      <c r="AF1343" s="39">
        <v>0</v>
      </c>
      <c r="AG1343" s="39">
        <v>0</v>
      </c>
      <c r="AH1343" s="39"/>
      <c r="AI1343" s="39"/>
      <c r="AJ1343" s="40"/>
      <c r="AK1343" s="39">
        <f t="shared" si="105"/>
        <v>0</v>
      </c>
      <c r="AL1343" s="39">
        <f t="shared" si="103"/>
        <v>0</v>
      </c>
      <c r="AM1343" s="39">
        <f t="shared" si="104"/>
        <v>0</v>
      </c>
      <c r="AN1343" s="39">
        <f t="shared" si="106"/>
        <v>0</v>
      </c>
      <c r="AO1343" s="39">
        <f t="shared" si="107"/>
        <v>0</v>
      </c>
    </row>
    <row r="1344" spans="1:41" x14ac:dyDescent="0.3">
      <c r="A1344" s="20">
        <v>1000184670</v>
      </c>
      <c r="B1344" s="4" t="s">
        <v>147</v>
      </c>
      <c r="C1344" s="21"/>
      <c r="D1344" s="3"/>
      <c r="E1344" s="20">
        <v>1000184762</v>
      </c>
      <c r="F1344" s="4" t="s">
        <v>58</v>
      </c>
      <c r="G1344" s="21">
        <v>1000189815</v>
      </c>
      <c r="H1344" s="3" t="s">
        <v>59</v>
      </c>
      <c r="I1344" s="21">
        <v>1000189270</v>
      </c>
      <c r="J1344" s="3" t="s">
        <v>34</v>
      </c>
      <c r="K1344" s="20" t="s">
        <v>20</v>
      </c>
      <c r="L1344" s="39">
        <v>0</v>
      </c>
      <c r="M1344" s="39">
        <v>0</v>
      </c>
      <c r="N1344" s="39">
        <v>0</v>
      </c>
      <c r="O1344" s="39">
        <v>0</v>
      </c>
      <c r="P1344" s="39">
        <v>0</v>
      </c>
      <c r="Q1344" s="39">
        <v>0</v>
      </c>
      <c r="R1344" s="39">
        <v>0</v>
      </c>
      <c r="S1344" s="39">
        <v>0</v>
      </c>
      <c r="T1344" s="39">
        <v>0</v>
      </c>
      <c r="U1344" s="39">
        <v>0</v>
      </c>
      <c r="V1344" s="39">
        <v>0</v>
      </c>
      <c r="W1344" s="39">
        <v>0</v>
      </c>
      <c r="X1344" s="39">
        <v>0</v>
      </c>
      <c r="Y1344" s="39">
        <v>0</v>
      </c>
      <c r="Z1344" s="39">
        <v>0</v>
      </c>
      <c r="AA1344" s="39">
        <v>0</v>
      </c>
      <c r="AB1344" s="39">
        <v>0</v>
      </c>
      <c r="AC1344" s="39">
        <v>0</v>
      </c>
      <c r="AD1344" s="39">
        <v>140.4</v>
      </c>
      <c r="AE1344" s="39">
        <v>0</v>
      </c>
      <c r="AF1344" s="39">
        <v>0</v>
      </c>
      <c r="AG1344" s="39">
        <v>0</v>
      </c>
      <c r="AH1344" s="39"/>
      <c r="AI1344" s="39"/>
      <c r="AJ1344" s="40"/>
      <c r="AK1344" s="39">
        <f t="shared" si="105"/>
        <v>0</v>
      </c>
      <c r="AL1344" s="39">
        <f t="shared" si="103"/>
        <v>11.700000000000001</v>
      </c>
      <c r="AM1344" s="39">
        <f t="shared" si="104"/>
        <v>23.400000000000002</v>
      </c>
      <c r="AN1344" s="39">
        <f t="shared" si="106"/>
        <v>14.040000000000001</v>
      </c>
      <c r="AO1344" s="39">
        <f t="shared" si="107"/>
        <v>140.4</v>
      </c>
    </row>
    <row r="1345" spans="1:41" x14ac:dyDescent="0.3">
      <c r="A1345" s="20">
        <v>1000184670</v>
      </c>
      <c r="B1345" s="4" t="s">
        <v>147</v>
      </c>
      <c r="C1345" s="21"/>
      <c r="D1345" s="3"/>
      <c r="E1345" s="20">
        <v>1000184762</v>
      </c>
      <c r="F1345" s="4" t="s">
        <v>58</v>
      </c>
      <c r="G1345" s="21">
        <v>1000189815</v>
      </c>
      <c r="H1345" s="3" t="s">
        <v>59</v>
      </c>
      <c r="I1345" s="21">
        <v>1000189270</v>
      </c>
      <c r="J1345" s="3" t="s">
        <v>34</v>
      </c>
      <c r="K1345" s="20" t="s">
        <v>22</v>
      </c>
      <c r="L1345" s="39">
        <v>0</v>
      </c>
      <c r="M1345" s="39">
        <v>0</v>
      </c>
      <c r="N1345" s="39">
        <v>0</v>
      </c>
      <c r="O1345" s="39">
        <v>0</v>
      </c>
      <c r="P1345" s="39">
        <v>0</v>
      </c>
      <c r="Q1345" s="39">
        <v>0</v>
      </c>
      <c r="R1345" s="39">
        <v>0</v>
      </c>
      <c r="S1345" s="39">
        <v>0</v>
      </c>
      <c r="T1345" s="39">
        <v>0</v>
      </c>
      <c r="U1345" s="39">
        <v>0</v>
      </c>
      <c r="V1345" s="39">
        <v>0</v>
      </c>
      <c r="W1345" s="39">
        <v>0</v>
      </c>
      <c r="X1345" s="39">
        <v>0</v>
      </c>
      <c r="Y1345" s="39">
        <v>0</v>
      </c>
      <c r="Z1345" s="39">
        <v>0</v>
      </c>
      <c r="AA1345" s="39">
        <v>0</v>
      </c>
      <c r="AB1345" s="39">
        <v>0</v>
      </c>
      <c r="AC1345" s="39">
        <v>0</v>
      </c>
      <c r="AD1345" s="39">
        <v>140.04</v>
      </c>
      <c r="AE1345" s="39">
        <v>0</v>
      </c>
      <c r="AF1345" s="39">
        <v>0</v>
      </c>
      <c r="AG1345" s="39">
        <v>0</v>
      </c>
      <c r="AH1345" s="39"/>
      <c r="AI1345" s="39"/>
      <c r="AJ1345" s="40"/>
      <c r="AK1345" s="39">
        <f t="shared" si="105"/>
        <v>0</v>
      </c>
      <c r="AL1345" s="39">
        <f t="shared" si="103"/>
        <v>11.67</v>
      </c>
      <c r="AM1345" s="39">
        <f t="shared" si="104"/>
        <v>23.34</v>
      </c>
      <c r="AN1345" s="39">
        <f t="shared" si="106"/>
        <v>14.004</v>
      </c>
      <c r="AO1345" s="39">
        <f t="shared" si="107"/>
        <v>140.04</v>
      </c>
    </row>
    <row r="1346" spans="1:41" x14ac:dyDescent="0.3">
      <c r="A1346" s="20">
        <v>1000184670</v>
      </c>
      <c r="B1346" s="4" t="s">
        <v>147</v>
      </c>
      <c r="C1346" s="21"/>
      <c r="D1346" s="3"/>
      <c r="E1346" s="20">
        <v>1000184762</v>
      </c>
      <c r="F1346" s="4" t="s">
        <v>58</v>
      </c>
      <c r="G1346" s="21">
        <v>1000189815</v>
      </c>
      <c r="H1346" s="3" t="s">
        <v>59</v>
      </c>
      <c r="I1346" s="21">
        <v>1000189270</v>
      </c>
      <c r="J1346" s="3" t="s">
        <v>34</v>
      </c>
      <c r="K1346" s="20" t="s">
        <v>23</v>
      </c>
      <c r="L1346" s="39">
        <v>0</v>
      </c>
      <c r="M1346" s="39">
        <v>0</v>
      </c>
      <c r="N1346" s="39">
        <v>0</v>
      </c>
      <c r="O1346" s="39">
        <v>0</v>
      </c>
      <c r="P1346" s="39">
        <v>0</v>
      </c>
      <c r="Q1346" s="39">
        <v>0</v>
      </c>
      <c r="R1346" s="39">
        <v>0</v>
      </c>
      <c r="S1346" s="39">
        <v>0</v>
      </c>
      <c r="T1346" s="39">
        <v>0</v>
      </c>
      <c r="U1346" s="39">
        <v>0</v>
      </c>
      <c r="V1346" s="39">
        <v>0</v>
      </c>
      <c r="W1346" s="39">
        <v>0</v>
      </c>
      <c r="X1346" s="39">
        <v>0</v>
      </c>
      <c r="Y1346" s="39">
        <v>0</v>
      </c>
      <c r="Z1346" s="39">
        <v>0</v>
      </c>
      <c r="AA1346" s="39">
        <v>0</v>
      </c>
      <c r="AB1346" s="39">
        <v>0</v>
      </c>
      <c r="AC1346" s="39">
        <v>0</v>
      </c>
      <c r="AD1346" s="39">
        <v>0</v>
      </c>
      <c r="AE1346" s="39">
        <v>0</v>
      </c>
      <c r="AF1346" s="39">
        <v>0</v>
      </c>
      <c r="AG1346" s="39">
        <v>0</v>
      </c>
      <c r="AH1346" s="39"/>
      <c r="AI1346" s="39"/>
      <c r="AJ1346" s="40"/>
      <c r="AK1346" s="39">
        <f t="shared" si="105"/>
        <v>0</v>
      </c>
      <c r="AL1346" s="39">
        <f t="shared" si="103"/>
        <v>0</v>
      </c>
      <c r="AM1346" s="39">
        <f t="shared" si="104"/>
        <v>0</v>
      </c>
      <c r="AN1346" s="39">
        <f t="shared" si="106"/>
        <v>0</v>
      </c>
      <c r="AO1346" s="39">
        <f t="shared" si="107"/>
        <v>0</v>
      </c>
    </row>
    <row r="1347" spans="1:41" x14ac:dyDescent="0.3">
      <c r="A1347" s="20">
        <v>1000184670</v>
      </c>
      <c r="B1347" s="4" t="s">
        <v>147</v>
      </c>
      <c r="C1347" s="21"/>
      <c r="D1347" s="3"/>
      <c r="E1347" s="20">
        <v>1000184762</v>
      </c>
      <c r="F1347" s="4" t="s">
        <v>58</v>
      </c>
      <c r="G1347" s="21">
        <v>1000189815</v>
      </c>
      <c r="H1347" s="3" t="s">
        <v>59</v>
      </c>
      <c r="I1347" s="21">
        <v>1000189270</v>
      </c>
      <c r="J1347" s="3" t="s">
        <v>34</v>
      </c>
      <c r="K1347" s="20" t="s">
        <v>28</v>
      </c>
      <c r="L1347" s="39">
        <v>0</v>
      </c>
      <c r="M1347" s="39">
        <v>0</v>
      </c>
      <c r="N1347" s="39">
        <v>0</v>
      </c>
      <c r="O1347" s="39">
        <v>0</v>
      </c>
      <c r="P1347" s="39">
        <v>0</v>
      </c>
      <c r="Q1347" s="39">
        <v>0</v>
      </c>
      <c r="R1347" s="39">
        <v>0</v>
      </c>
      <c r="S1347" s="39">
        <v>0</v>
      </c>
      <c r="T1347" s="39">
        <v>0</v>
      </c>
      <c r="U1347" s="39">
        <v>0</v>
      </c>
      <c r="V1347" s="39">
        <v>0</v>
      </c>
      <c r="W1347" s="39">
        <v>0</v>
      </c>
      <c r="X1347" s="39">
        <v>0</v>
      </c>
      <c r="Y1347" s="39">
        <v>0</v>
      </c>
      <c r="Z1347" s="39">
        <v>0</v>
      </c>
      <c r="AA1347" s="39">
        <v>0</v>
      </c>
      <c r="AB1347" s="39">
        <v>0</v>
      </c>
      <c r="AC1347" s="39">
        <v>0</v>
      </c>
      <c r="AD1347" s="39">
        <v>317.10000000000002</v>
      </c>
      <c r="AE1347" s="39">
        <v>646.88</v>
      </c>
      <c r="AF1347" s="39">
        <v>0</v>
      </c>
      <c r="AG1347" s="39">
        <v>1617.21</v>
      </c>
      <c r="AH1347" s="39"/>
      <c r="AI1347" s="39"/>
      <c r="AJ1347" s="40"/>
      <c r="AK1347" s="39">
        <f t="shared" si="105"/>
        <v>0</v>
      </c>
      <c r="AL1347" s="39">
        <f t="shared" ref="AL1347:AL1410" si="108">AVERAGE(V1347:AG1347)</f>
        <v>215.09916666666666</v>
      </c>
      <c r="AM1347" s="39">
        <f t="shared" ref="AM1347:AM1410" si="109">AVERAGE(AB1347:AG1347)</f>
        <v>430.19833333333332</v>
      </c>
      <c r="AN1347" s="39">
        <f t="shared" si="106"/>
        <v>258.11900000000003</v>
      </c>
      <c r="AO1347" s="39">
        <f t="shared" si="107"/>
        <v>2581.19</v>
      </c>
    </row>
    <row r="1348" spans="1:41" x14ac:dyDescent="0.3">
      <c r="A1348" s="20">
        <v>1000184670</v>
      </c>
      <c r="B1348" s="4" t="s">
        <v>147</v>
      </c>
      <c r="C1348" s="21"/>
      <c r="D1348" s="3"/>
      <c r="E1348" s="20">
        <v>1000184762</v>
      </c>
      <c r="F1348" s="4" t="s">
        <v>58</v>
      </c>
      <c r="G1348" s="21">
        <v>1000189815</v>
      </c>
      <c r="H1348" s="3" t="s">
        <v>59</v>
      </c>
      <c r="I1348" s="21">
        <v>1000189270</v>
      </c>
      <c r="J1348" s="3" t="s">
        <v>34</v>
      </c>
      <c r="K1348" s="20" t="s">
        <v>26</v>
      </c>
      <c r="L1348" s="39">
        <v>0</v>
      </c>
      <c r="M1348" s="39">
        <v>0</v>
      </c>
      <c r="N1348" s="39">
        <v>0</v>
      </c>
      <c r="O1348" s="39">
        <v>0</v>
      </c>
      <c r="P1348" s="39">
        <v>0</v>
      </c>
      <c r="Q1348" s="39">
        <v>0</v>
      </c>
      <c r="R1348" s="39">
        <v>0</v>
      </c>
      <c r="S1348" s="39">
        <v>0</v>
      </c>
      <c r="T1348" s="39">
        <v>0</v>
      </c>
      <c r="U1348" s="39">
        <v>253.18</v>
      </c>
      <c r="V1348" s="39">
        <v>0</v>
      </c>
      <c r="W1348" s="39">
        <v>0</v>
      </c>
      <c r="X1348" s="39">
        <v>63.49</v>
      </c>
      <c r="Y1348" s="39">
        <v>0</v>
      </c>
      <c r="Z1348" s="39">
        <v>319.2</v>
      </c>
      <c r="AA1348" s="39">
        <v>0</v>
      </c>
      <c r="AB1348" s="39">
        <v>0</v>
      </c>
      <c r="AC1348" s="39">
        <v>0</v>
      </c>
      <c r="AD1348" s="39">
        <v>0</v>
      </c>
      <c r="AE1348" s="39">
        <v>0</v>
      </c>
      <c r="AF1348" s="39">
        <v>0</v>
      </c>
      <c r="AG1348" s="39">
        <v>0</v>
      </c>
      <c r="AH1348" s="39"/>
      <c r="AI1348" s="39"/>
      <c r="AJ1348" s="40"/>
      <c r="AK1348" s="39">
        <f t="shared" si="105"/>
        <v>21.098333333333333</v>
      </c>
      <c r="AL1348" s="39">
        <f t="shared" si="108"/>
        <v>31.890833333333333</v>
      </c>
      <c r="AM1348" s="39">
        <f t="shared" si="109"/>
        <v>0</v>
      </c>
      <c r="AN1348" s="39">
        <f t="shared" si="106"/>
        <v>38.268999999999998</v>
      </c>
      <c r="AO1348" s="39">
        <f t="shared" si="107"/>
        <v>382.69</v>
      </c>
    </row>
    <row r="1349" spans="1:41" x14ac:dyDescent="0.3">
      <c r="A1349" s="20">
        <v>1000184670</v>
      </c>
      <c r="B1349" s="4" t="s">
        <v>147</v>
      </c>
      <c r="C1349" s="21"/>
      <c r="D1349" s="3"/>
      <c r="E1349" s="20">
        <v>1000184762</v>
      </c>
      <c r="F1349" s="4" t="s">
        <v>58</v>
      </c>
      <c r="G1349" s="21">
        <v>1000189815</v>
      </c>
      <c r="H1349" s="3" t="s">
        <v>59</v>
      </c>
      <c r="I1349" s="21">
        <v>1000189270</v>
      </c>
      <c r="J1349" s="3" t="s">
        <v>34</v>
      </c>
      <c r="K1349" s="20" t="s">
        <v>27</v>
      </c>
      <c r="L1349" s="39">
        <v>0</v>
      </c>
      <c r="M1349" s="39">
        <v>0</v>
      </c>
      <c r="N1349" s="39">
        <v>0</v>
      </c>
      <c r="O1349" s="39">
        <v>0</v>
      </c>
      <c r="P1349" s="39">
        <v>0</v>
      </c>
      <c r="Q1349" s="39">
        <v>0</v>
      </c>
      <c r="R1349" s="39">
        <v>0</v>
      </c>
      <c r="S1349" s="39">
        <v>0</v>
      </c>
      <c r="T1349" s="39">
        <v>0</v>
      </c>
      <c r="U1349" s="39">
        <v>0</v>
      </c>
      <c r="V1349" s="39">
        <v>0</v>
      </c>
      <c r="W1349" s="39">
        <v>0</v>
      </c>
      <c r="X1349" s="39">
        <v>0</v>
      </c>
      <c r="Y1349" s="39">
        <v>0</v>
      </c>
      <c r="Z1349" s="39">
        <v>0</v>
      </c>
      <c r="AA1349" s="39">
        <v>0</v>
      </c>
      <c r="AB1349" s="39">
        <v>0</v>
      </c>
      <c r="AC1349" s="39">
        <v>0</v>
      </c>
      <c r="AD1349" s="39">
        <v>0</v>
      </c>
      <c r="AE1349" s="39">
        <v>0</v>
      </c>
      <c r="AF1349" s="39">
        <v>0</v>
      </c>
      <c r="AG1349" s="39">
        <v>0</v>
      </c>
      <c r="AH1349" s="39"/>
      <c r="AI1349" s="39"/>
      <c r="AJ1349" s="40"/>
      <c r="AK1349" s="39">
        <f t="shared" si="105"/>
        <v>0</v>
      </c>
      <c r="AL1349" s="39">
        <f t="shared" si="108"/>
        <v>0</v>
      </c>
      <c r="AM1349" s="39">
        <f t="shared" si="109"/>
        <v>0</v>
      </c>
      <c r="AN1349" s="39">
        <f t="shared" si="106"/>
        <v>0</v>
      </c>
      <c r="AO1349" s="39">
        <f t="shared" si="107"/>
        <v>0</v>
      </c>
    </row>
    <row r="1350" spans="1:41" x14ac:dyDescent="0.3">
      <c r="A1350" s="20">
        <v>1000184670</v>
      </c>
      <c r="B1350" s="4" t="s">
        <v>147</v>
      </c>
      <c r="C1350" s="21"/>
      <c r="D1350" s="3"/>
      <c r="E1350" s="20">
        <v>1000184762</v>
      </c>
      <c r="F1350" s="4" t="s">
        <v>58</v>
      </c>
      <c r="G1350" s="21">
        <v>1000189815</v>
      </c>
      <c r="H1350" s="3" t="s">
        <v>59</v>
      </c>
      <c r="I1350" s="21">
        <v>1000189270</v>
      </c>
      <c r="J1350" s="3" t="s">
        <v>34</v>
      </c>
      <c r="K1350" s="20" t="s">
        <v>25</v>
      </c>
      <c r="L1350" s="39">
        <v>0</v>
      </c>
      <c r="M1350" s="39">
        <v>0</v>
      </c>
      <c r="N1350" s="39">
        <v>0</v>
      </c>
      <c r="O1350" s="39">
        <v>0</v>
      </c>
      <c r="P1350" s="39">
        <v>0</v>
      </c>
      <c r="Q1350" s="39">
        <v>0</v>
      </c>
      <c r="R1350" s="39">
        <v>0</v>
      </c>
      <c r="S1350" s="39">
        <v>0</v>
      </c>
      <c r="T1350" s="39">
        <v>0</v>
      </c>
      <c r="U1350" s="39">
        <v>0</v>
      </c>
      <c r="V1350" s="39">
        <v>0</v>
      </c>
      <c r="W1350" s="39">
        <v>0</v>
      </c>
      <c r="X1350" s="39">
        <v>0</v>
      </c>
      <c r="Y1350" s="39">
        <v>0</v>
      </c>
      <c r="Z1350" s="39">
        <v>0</v>
      </c>
      <c r="AA1350" s="39">
        <v>0</v>
      </c>
      <c r="AB1350" s="39">
        <v>0</v>
      </c>
      <c r="AC1350" s="39">
        <v>0</v>
      </c>
      <c r="AD1350" s="39">
        <v>0</v>
      </c>
      <c r="AE1350" s="39">
        <v>0</v>
      </c>
      <c r="AF1350" s="39">
        <v>0</v>
      </c>
      <c r="AG1350" s="39">
        <v>0</v>
      </c>
      <c r="AH1350" s="39"/>
      <c r="AI1350" s="39"/>
      <c r="AJ1350" s="40"/>
      <c r="AK1350" s="39">
        <f t="shared" si="105"/>
        <v>0</v>
      </c>
      <c r="AL1350" s="39">
        <f t="shared" si="108"/>
        <v>0</v>
      </c>
      <c r="AM1350" s="39">
        <f t="shared" si="109"/>
        <v>0</v>
      </c>
      <c r="AN1350" s="39">
        <f t="shared" si="106"/>
        <v>0</v>
      </c>
      <c r="AO1350" s="39">
        <f t="shared" si="107"/>
        <v>0</v>
      </c>
    </row>
    <row r="1351" spans="1:41" x14ac:dyDescent="0.3">
      <c r="A1351" s="20">
        <v>1000184670</v>
      </c>
      <c r="B1351" s="4" t="s">
        <v>147</v>
      </c>
      <c r="C1351" s="21"/>
      <c r="D1351" s="3"/>
      <c r="E1351" s="20">
        <v>1000184762</v>
      </c>
      <c r="F1351" s="4" t="s">
        <v>58</v>
      </c>
      <c r="G1351" s="21">
        <v>1000189816</v>
      </c>
      <c r="H1351" s="3" t="s">
        <v>113</v>
      </c>
      <c r="I1351" s="21">
        <v>1000189270</v>
      </c>
      <c r="J1351" s="3" t="s">
        <v>34</v>
      </c>
      <c r="K1351" s="20" t="s">
        <v>124</v>
      </c>
      <c r="L1351" s="39">
        <v>0</v>
      </c>
      <c r="M1351" s="39">
        <v>0</v>
      </c>
      <c r="N1351" s="39">
        <v>0</v>
      </c>
      <c r="O1351" s="39">
        <v>0</v>
      </c>
      <c r="P1351" s="39">
        <v>0</v>
      </c>
      <c r="Q1351" s="39">
        <v>0</v>
      </c>
      <c r="R1351" s="39">
        <v>0</v>
      </c>
      <c r="S1351" s="39">
        <v>0</v>
      </c>
      <c r="T1351" s="39">
        <v>0</v>
      </c>
      <c r="U1351" s="39">
        <v>0</v>
      </c>
      <c r="V1351" s="39">
        <v>0</v>
      </c>
      <c r="W1351" s="39">
        <v>0</v>
      </c>
      <c r="X1351" s="39">
        <v>0</v>
      </c>
      <c r="Y1351" s="39">
        <v>0</v>
      </c>
      <c r="Z1351" s="39">
        <v>0</v>
      </c>
      <c r="AA1351" s="39">
        <v>0</v>
      </c>
      <c r="AB1351" s="39">
        <v>0</v>
      </c>
      <c r="AC1351" s="39">
        <v>0</v>
      </c>
      <c r="AD1351" s="39">
        <v>0</v>
      </c>
      <c r="AE1351" s="39">
        <v>0</v>
      </c>
      <c r="AF1351" s="39">
        <v>0</v>
      </c>
      <c r="AG1351" s="39">
        <v>0</v>
      </c>
      <c r="AH1351" s="39"/>
      <c r="AI1351" s="39"/>
      <c r="AJ1351" s="40"/>
      <c r="AK1351" s="39">
        <f t="shared" si="105"/>
        <v>0</v>
      </c>
      <c r="AL1351" s="39">
        <f t="shared" si="108"/>
        <v>0</v>
      </c>
      <c r="AM1351" s="39">
        <f t="shared" si="109"/>
        <v>0</v>
      </c>
      <c r="AN1351" s="39">
        <f t="shared" si="106"/>
        <v>0</v>
      </c>
      <c r="AO1351" s="39">
        <f t="shared" si="107"/>
        <v>0</v>
      </c>
    </row>
    <row r="1352" spans="1:41" x14ac:dyDescent="0.3">
      <c r="A1352" s="20">
        <v>1000184670</v>
      </c>
      <c r="B1352" s="4" t="s">
        <v>147</v>
      </c>
      <c r="C1352" s="21"/>
      <c r="D1352" s="3"/>
      <c r="E1352" s="20">
        <v>1000184762</v>
      </c>
      <c r="F1352" s="4" t="s">
        <v>58</v>
      </c>
      <c r="G1352" s="21">
        <v>1000189816</v>
      </c>
      <c r="H1352" s="3" t="s">
        <v>113</v>
      </c>
      <c r="I1352" s="21">
        <v>1000189270</v>
      </c>
      <c r="J1352" s="3" t="s">
        <v>34</v>
      </c>
      <c r="K1352" s="20" t="s">
        <v>13</v>
      </c>
      <c r="L1352" s="39">
        <v>0</v>
      </c>
      <c r="M1352" s="39">
        <v>0</v>
      </c>
      <c r="N1352" s="39">
        <v>0</v>
      </c>
      <c r="O1352" s="39">
        <v>139.22</v>
      </c>
      <c r="P1352" s="39">
        <v>0</v>
      </c>
      <c r="Q1352" s="39">
        <v>0</v>
      </c>
      <c r="R1352" s="39">
        <v>0</v>
      </c>
      <c r="S1352" s="39">
        <v>0</v>
      </c>
      <c r="T1352" s="39">
        <v>0</v>
      </c>
      <c r="U1352" s="39">
        <v>0</v>
      </c>
      <c r="V1352" s="39">
        <v>0</v>
      </c>
      <c r="W1352" s="39">
        <v>0</v>
      </c>
      <c r="X1352" s="39">
        <v>0</v>
      </c>
      <c r="Y1352" s="39">
        <v>0</v>
      </c>
      <c r="Z1352" s="39">
        <v>0</v>
      </c>
      <c r="AA1352" s="39">
        <v>0</v>
      </c>
      <c r="AB1352" s="39">
        <v>0</v>
      </c>
      <c r="AC1352" s="39">
        <v>0</v>
      </c>
      <c r="AD1352" s="39">
        <v>0</v>
      </c>
      <c r="AE1352" s="39">
        <v>0</v>
      </c>
      <c r="AF1352" s="39">
        <v>0</v>
      </c>
      <c r="AG1352" s="39">
        <v>0</v>
      </c>
      <c r="AH1352" s="39"/>
      <c r="AI1352" s="39"/>
      <c r="AJ1352" s="40"/>
      <c r="AK1352" s="39">
        <f t="shared" si="105"/>
        <v>11.601666666666667</v>
      </c>
      <c r="AL1352" s="39">
        <f t="shared" si="108"/>
        <v>0</v>
      </c>
      <c r="AM1352" s="39">
        <f t="shared" si="109"/>
        <v>0</v>
      </c>
      <c r="AN1352" s="39">
        <f t="shared" si="106"/>
        <v>0</v>
      </c>
      <c r="AO1352" s="39">
        <f t="shared" si="107"/>
        <v>0</v>
      </c>
    </row>
    <row r="1353" spans="1:41" x14ac:dyDescent="0.3">
      <c r="A1353" s="20">
        <v>1000184670</v>
      </c>
      <c r="B1353" s="4" t="s">
        <v>147</v>
      </c>
      <c r="C1353" s="21"/>
      <c r="D1353" s="3"/>
      <c r="E1353" s="20">
        <v>1000184762</v>
      </c>
      <c r="F1353" s="4" t="s">
        <v>58</v>
      </c>
      <c r="G1353" s="21">
        <v>1000189816</v>
      </c>
      <c r="H1353" s="3" t="s">
        <v>113</v>
      </c>
      <c r="I1353" s="21">
        <v>1000189270</v>
      </c>
      <c r="J1353" s="3" t="s">
        <v>34</v>
      </c>
      <c r="K1353" s="20" t="s">
        <v>14</v>
      </c>
      <c r="L1353" s="39">
        <v>0</v>
      </c>
      <c r="M1353" s="39">
        <v>0</v>
      </c>
      <c r="N1353" s="39">
        <v>0</v>
      </c>
      <c r="O1353" s="39">
        <v>0</v>
      </c>
      <c r="P1353" s="39">
        <v>0</v>
      </c>
      <c r="Q1353" s="39">
        <v>0</v>
      </c>
      <c r="R1353" s="39">
        <v>0</v>
      </c>
      <c r="S1353" s="39">
        <v>0</v>
      </c>
      <c r="T1353" s="39">
        <v>0</v>
      </c>
      <c r="U1353" s="39">
        <v>0</v>
      </c>
      <c r="V1353" s="39">
        <v>469.8</v>
      </c>
      <c r="W1353" s="39">
        <v>0</v>
      </c>
      <c r="X1353" s="39">
        <v>0</v>
      </c>
      <c r="Y1353" s="39">
        <v>0</v>
      </c>
      <c r="Z1353" s="39">
        <v>0</v>
      </c>
      <c r="AA1353" s="39">
        <v>0</v>
      </c>
      <c r="AB1353" s="39">
        <v>0</v>
      </c>
      <c r="AC1353" s="39">
        <v>0</v>
      </c>
      <c r="AD1353" s="39">
        <v>0</v>
      </c>
      <c r="AE1353" s="39">
        <v>0</v>
      </c>
      <c r="AF1353" s="39">
        <v>0</v>
      </c>
      <c r="AG1353" s="39">
        <v>0</v>
      </c>
      <c r="AH1353" s="39"/>
      <c r="AI1353" s="39"/>
      <c r="AJ1353" s="40"/>
      <c r="AK1353" s="39">
        <f t="shared" si="105"/>
        <v>39.15</v>
      </c>
      <c r="AL1353" s="39">
        <f t="shared" si="108"/>
        <v>39.15</v>
      </c>
      <c r="AM1353" s="39">
        <f t="shared" si="109"/>
        <v>0</v>
      </c>
      <c r="AN1353" s="39">
        <f t="shared" si="106"/>
        <v>0</v>
      </c>
      <c r="AO1353" s="39">
        <f t="shared" si="107"/>
        <v>0</v>
      </c>
    </row>
    <row r="1354" spans="1:41" x14ac:dyDescent="0.3">
      <c r="A1354" s="20">
        <v>1000184670</v>
      </c>
      <c r="B1354" s="4" t="s">
        <v>147</v>
      </c>
      <c r="C1354" s="21"/>
      <c r="D1354" s="3"/>
      <c r="E1354" s="20">
        <v>1000184762</v>
      </c>
      <c r="F1354" s="4" t="s">
        <v>58</v>
      </c>
      <c r="G1354" s="21">
        <v>1000189816</v>
      </c>
      <c r="H1354" s="3" t="s">
        <v>113</v>
      </c>
      <c r="I1354" s="21">
        <v>1000189270</v>
      </c>
      <c r="J1354" s="3" t="s">
        <v>34</v>
      </c>
      <c r="K1354" s="20" t="s">
        <v>16</v>
      </c>
      <c r="L1354" s="39">
        <v>0</v>
      </c>
      <c r="M1354" s="39">
        <v>0</v>
      </c>
      <c r="N1354" s="39">
        <v>0</v>
      </c>
      <c r="O1354" s="39">
        <v>0</v>
      </c>
      <c r="P1354" s="39">
        <v>0</v>
      </c>
      <c r="Q1354" s="39">
        <v>0</v>
      </c>
      <c r="R1354" s="39">
        <v>0</v>
      </c>
      <c r="S1354" s="39">
        <v>0</v>
      </c>
      <c r="T1354" s="39">
        <v>0</v>
      </c>
      <c r="U1354" s="39">
        <v>0</v>
      </c>
      <c r="V1354" s="39">
        <v>0</v>
      </c>
      <c r="W1354" s="39">
        <v>0</v>
      </c>
      <c r="X1354" s="39">
        <v>0</v>
      </c>
      <c r="Y1354" s="39">
        <v>0</v>
      </c>
      <c r="Z1354" s="39">
        <v>0</v>
      </c>
      <c r="AA1354" s="39">
        <v>0</v>
      </c>
      <c r="AB1354" s="39">
        <v>0</v>
      </c>
      <c r="AC1354" s="39">
        <v>0</v>
      </c>
      <c r="AD1354" s="39">
        <v>0</v>
      </c>
      <c r="AE1354" s="39">
        <v>0</v>
      </c>
      <c r="AF1354" s="39">
        <v>0</v>
      </c>
      <c r="AG1354" s="39">
        <v>0</v>
      </c>
      <c r="AH1354" s="39"/>
      <c r="AI1354" s="39"/>
      <c r="AJ1354" s="40"/>
      <c r="AK1354" s="39">
        <f t="shared" si="105"/>
        <v>0</v>
      </c>
      <c r="AL1354" s="39">
        <f t="shared" si="108"/>
        <v>0</v>
      </c>
      <c r="AM1354" s="39">
        <f t="shared" si="109"/>
        <v>0</v>
      </c>
      <c r="AN1354" s="39">
        <f t="shared" si="106"/>
        <v>0</v>
      </c>
      <c r="AO1354" s="39">
        <f t="shared" si="107"/>
        <v>0</v>
      </c>
    </row>
    <row r="1355" spans="1:41" x14ac:dyDescent="0.3">
      <c r="A1355" s="20">
        <v>1000184670</v>
      </c>
      <c r="B1355" s="4" t="s">
        <v>147</v>
      </c>
      <c r="C1355" s="21"/>
      <c r="D1355" s="3"/>
      <c r="E1355" s="20">
        <v>1000184762</v>
      </c>
      <c r="F1355" s="4" t="s">
        <v>58</v>
      </c>
      <c r="G1355" s="21">
        <v>1000189816</v>
      </c>
      <c r="H1355" s="3" t="s">
        <v>113</v>
      </c>
      <c r="I1355" s="21">
        <v>1000189270</v>
      </c>
      <c r="J1355" s="3" t="s">
        <v>34</v>
      </c>
      <c r="K1355" s="20" t="s">
        <v>15</v>
      </c>
      <c r="L1355" s="39">
        <v>0</v>
      </c>
      <c r="M1355" s="39">
        <v>338.58</v>
      </c>
      <c r="N1355" s="39">
        <v>194.4</v>
      </c>
      <c r="O1355" s="39">
        <v>438.21</v>
      </c>
      <c r="P1355" s="39">
        <v>451.98</v>
      </c>
      <c r="Q1355" s="39">
        <v>498.15</v>
      </c>
      <c r="R1355" s="39">
        <v>612.36</v>
      </c>
      <c r="S1355" s="39">
        <v>0</v>
      </c>
      <c r="T1355" s="39">
        <v>595.35</v>
      </c>
      <c r="U1355" s="39">
        <v>0</v>
      </c>
      <c r="V1355" s="39">
        <v>0</v>
      </c>
      <c r="W1355" s="39">
        <v>0</v>
      </c>
      <c r="X1355" s="39">
        <v>0</v>
      </c>
      <c r="Y1355" s="39">
        <v>0</v>
      </c>
      <c r="Z1355" s="39">
        <v>0</v>
      </c>
      <c r="AA1355" s="39">
        <v>59.85</v>
      </c>
      <c r="AB1355" s="39">
        <v>0</v>
      </c>
      <c r="AC1355" s="39">
        <v>0</v>
      </c>
      <c r="AD1355" s="39">
        <v>0</v>
      </c>
      <c r="AE1355" s="39">
        <v>0</v>
      </c>
      <c r="AF1355" s="39">
        <v>0</v>
      </c>
      <c r="AG1355" s="39">
        <v>0</v>
      </c>
      <c r="AH1355" s="39"/>
      <c r="AI1355" s="39"/>
      <c r="AJ1355" s="40"/>
      <c r="AK1355" s="39">
        <f t="shared" si="105"/>
        <v>260.7525</v>
      </c>
      <c r="AL1355" s="39">
        <f t="shared" si="108"/>
        <v>4.9874999999999998</v>
      </c>
      <c r="AM1355" s="39">
        <f t="shared" si="109"/>
        <v>0</v>
      </c>
      <c r="AN1355" s="39">
        <f t="shared" si="106"/>
        <v>5.9850000000000003</v>
      </c>
      <c r="AO1355" s="39">
        <f t="shared" si="107"/>
        <v>59.85</v>
      </c>
    </row>
    <row r="1356" spans="1:41" x14ac:dyDescent="0.3">
      <c r="A1356" s="20">
        <v>1000184670</v>
      </c>
      <c r="B1356" s="4" t="s">
        <v>147</v>
      </c>
      <c r="C1356" s="21"/>
      <c r="D1356" s="3"/>
      <c r="E1356" s="20">
        <v>1000184762</v>
      </c>
      <c r="F1356" s="4" t="s">
        <v>58</v>
      </c>
      <c r="G1356" s="21">
        <v>1000189816</v>
      </c>
      <c r="H1356" s="3" t="s">
        <v>113</v>
      </c>
      <c r="I1356" s="21">
        <v>1000189270</v>
      </c>
      <c r="J1356" s="3" t="s">
        <v>34</v>
      </c>
      <c r="K1356" s="20" t="s">
        <v>33</v>
      </c>
      <c r="L1356" s="39">
        <v>0</v>
      </c>
      <c r="M1356" s="39">
        <v>0</v>
      </c>
      <c r="N1356" s="39">
        <v>0</v>
      </c>
      <c r="O1356" s="39">
        <v>0</v>
      </c>
      <c r="P1356" s="39">
        <v>0</v>
      </c>
      <c r="Q1356" s="39">
        <v>0</v>
      </c>
      <c r="R1356" s="39">
        <v>0</v>
      </c>
      <c r="S1356" s="39">
        <v>0</v>
      </c>
      <c r="T1356" s="39">
        <v>0</v>
      </c>
      <c r="U1356" s="39">
        <v>0</v>
      </c>
      <c r="V1356" s="39">
        <v>0</v>
      </c>
      <c r="W1356" s="39">
        <v>0</v>
      </c>
      <c r="X1356" s="39">
        <v>0</v>
      </c>
      <c r="Y1356" s="39">
        <v>0</v>
      </c>
      <c r="Z1356" s="39">
        <v>0</v>
      </c>
      <c r="AA1356" s="39">
        <v>0</v>
      </c>
      <c r="AB1356" s="39">
        <v>0</v>
      </c>
      <c r="AC1356" s="39">
        <v>0</v>
      </c>
      <c r="AD1356" s="39">
        <v>0</v>
      </c>
      <c r="AE1356" s="39">
        <v>0</v>
      </c>
      <c r="AF1356" s="39">
        <v>0</v>
      </c>
      <c r="AG1356" s="39">
        <v>0</v>
      </c>
      <c r="AH1356" s="39"/>
      <c r="AI1356" s="39"/>
      <c r="AJ1356" s="40"/>
      <c r="AK1356" s="39">
        <f t="shared" si="105"/>
        <v>0</v>
      </c>
      <c r="AL1356" s="39">
        <f t="shared" si="108"/>
        <v>0</v>
      </c>
      <c r="AM1356" s="39">
        <f t="shared" si="109"/>
        <v>0</v>
      </c>
      <c r="AN1356" s="39">
        <f t="shared" si="106"/>
        <v>0</v>
      </c>
      <c r="AO1356" s="39">
        <f t="shared" si="107"/>
        <v>0</v>
      </c>
    </row>
    <row r="1357" spans="1:41" x14ac:dyDescent="0.3">
      <c r="A1357" s="20">
        <v>1000184670</v>
      </c>
      <c r="B1357" s="4" t="s">
        <v>147</v>
      </c>
      <c r="C1357" s="21"/>
      <c r="D1357" s="3"/>
      <c r="E1357" s="20">
        <v>1000184762</v>
      </c>
      <c r="F1357" s="4" t="s">
        <v>58</v>
      </c>
      <c r="G1357" s="21">
        <v>1000189816</v>
      </c>
      <c r="H1357" s="3" t="s">
        <v>113</v>
      </c>
      <c r="I1357" s="21">
        <v>1000189270</v>
      </c>
      <c r="J1357" s="3" t="s">
        <v>34</v>
      </c>
      <c r="K1357" s="20" t="s">
        <v>19</v>
      </c>
      <c r="L1357" s="39">
        <v>0</v>
      </c>
      <c r="M1357" s="39">
        <v>0</v>
      </c>
      <c r="N1357" s="39">
        <v>0</v>
      </c>
      <c r="O1357" s="39">
        <v>0</v>
      </c>
      <c r="P1357" s="39">
        <v>0</v>
      </c>
      <c r="Q1357" s="39">
        <v>0</v>
      </c>
      <c r="R1357" s="39">
        <v>0</v>
      </c>
      <c r="S1357" s="39">
        <v>0</v>
      </c>
      <c r="T1357" s="39">
        <v>0</v>
      </c>
      <c r="U1357" s="39">
        <v>0</v>
      </c>
      <c r="V1357" s="39">
        <v>0</v>
      </c>
      <c r="W1357" s="39">
        <v>0</v>
      </c>
      <c r="X1357" s="39">
        <v>0</v>
      </c>
      <c r="Y1357" s="39">
        <v>0</v>
      </c>
      <c r="Z1357" s="39">
        <v>0</v>
      </c>
      <c r="AA1357" s="39">
        <v>0</v>
      </c>
      <c r="AB1357" s="39">
        <v>0</v>
      </c>
      <c r="AC1357" s="39">
        <v>0</v>
      </c>
      <c r="AD1357" s="39">
        <v>0</v>
      </c>
      <c r="AE1357" s="39">
        <v>0</v>
      </c>
      <c r="AF1357" s="39">
        <v>0</v>
      </c>
      <c r="AG1357" s="39">
        <v>0</v>
      </c>
      <c r="AH1357" s="39"/>
      <c r="AI1357" s="39"/>
      <c r="AJ1357" s="40"/>
      <c r="AK1357" s="39">
        <f t="shared" si="105"/>
        <v>0</v>
      </c>
      <c r="AL1357" s="39">
        <f t="shared" si="108"/>
        <v>0</v>
      </c>
      <c r="AM1357" s="39">
        <f t="shared" si="109"/>
        <v>0</v>
      </c>
      <c r="AN1357" s="39">
        <f t="shared" si="106"/>
        <v>0</v>
      </c>
      <c r="AO1357" s="39">
        <f t="shared" si="107"/>
        <v>0</v>
      </c>
    </row>
    <row r="1358" spans="1:41" x14ac:dyDescent="0.3">
      <c r="A1358" s="20">
        <v>1000184670</v>
      </c>
      <c r="B1358" s="4" t="s">
        <v>147</v>
      </c>
      <c r="C1358" s="21"/>
      <c r="D1358" s="3"/>
      <c r="E1358" s="20">
        <v>1000184762</v>
      </c>
      <c r="F1358" s="4" t="s">
        <v>58</v>
      </c>
      <c r="G1358" s="21">
        <v>1000189816</v>
      </c>
      <c r="H1358" s="3" t="s">
        <v>113</v>
      </c>
      <c r="I1358" s="21">
        <v>1000189270</v>
      </c>
      <c r="J1358" s="3" t="s">
        <v>34</v>
      </c>
      <c r="K1358" s="20" t="s">
        <v>17</v>
      </c>
      <c r="L1358" s="39">
        <v>0</v>
      </c>
      <c r="M1358" s="39">
        <v>0</v>
      </c>
      <c r="N1358" s="39">
        <v>90</v>
      </c>
      <c r="O1358" s="39">
        <v>90</v>
      </c>
      <c r="P1358" s="39">
        <v>0</v>
      </c>
      <c r="Q1358" s="39">
        <v>0</v>
      </c>
      <c r="R1358" s="39">
        <v>0</v>
      </c>
      <c r="S1358" s="39">
        <v>0</v>
      </c>
      <c r="T1358" s="39">
        <v>0</v>
      </c>
      <c r="U1358" s="39">
        <v>0</v>
      </c>
      <c r="V1358" s="39">
        <v>0</v>
      </c>
      <c r="W1358" s="39">
        <v>0</v>
      </c>
      <c r="X1358" s="39">
        <v>0</v>
      </c>
      <c r="Y1358" s="39">
        <v>0</v>
      </c>
      <c r="Z1358" s="39">
        <v>0</v>
      </c>
      <c r="AA1358" s="39">
        <v>0</v>
      </c>
      <c r="AB1358" s="39">
        <v>0</v>
      </c>
      <c r="AC1358" s="39">
        <v>0</v>
      </c>
      <c r="AD1358" s="39">
        <v>0</v>
      </c>
      <c r="AE1358" s="39">
        <v>0</v>
      </c>
      <c r="AF1358" s="39">
        <v>0</v>
      </c>
      <c r="AG1358" s="39">
        <v>0</v>
      </c>
      <c r="AH1358" s="39"/>
      <c r="AI1358" s="39"/>
      <c r="AJ1358" s="40"/>
      <c r="AK1358" s="39">
        <f t="shared" si="105"/>
        <v>15</v>
      </c>
      <c r="AL1358" s="39">
        <f t="shared" si="108"/>
        <v>0</v>
      </c>
      <c r="AM1358" s="39">
        <f t="shared" si="109"/>
        <v>0</v>
      </c>
      <c r="AN1358" s="39">
        <f t="shared" si="106"/>
        <v>0</v>
      </c>
      <c r="AO1358" s="39">
        <f t="shared" si="107"/>
        <v>0</v>
      </c>
    </row>
    <row r="1359" spans="1:41" x14ac:dyDescent="0.3">
      <c r="A1359" s="20">
        <v>1000184670</v>
      </c>
      <c r="B1359" s="4" t="s">
        <v>147</v>
      </c>
      <c r="C1359" s="21"/>
      <c r="D1359" s="3"/>
      <c r="E1359" s="20">
        <v>1000184762</v>
      </c>
      <c r="F1359" s="4" t="s">
        <v>58</v>
      </c>
      <c r="G1359" s="21">
        <v>1000189816</v>
      </c>
      <c r="H1359" s="3" t="s">
        <v>113</v>
      </c>
      <c r="I1359" s="21">
        <v>1000189270</v>
      </c>
      <c r="J1359" s="3" t="s">
        <v>34</v>
      </c>
      <c r="K1359" s="20" t="s">
        <v>24</v>
      </c>
      <c r="L1359" s="39">
        <v>0</v>
      </c>
      <c r="M1359" s="39">
        <v>0</v>
      </c>
      <c r="N1359" s="39">
        <v>0</v>
      </c>
      <c r="O1359" s="39">
        <v>0</v>
      </c>
      <c r="P1359" s="39">
        <v>0</v>
      </c>
      <c r="Q1359" s="39">
        <v>0</v>
      </c>
      <c r="R1359" s="39">
        <v>0</v>
      </c>
      <c r="S1359" s="39">
        <v>0</v>
      </c>
      <c r="T1359" s="39">
        <v>0</v>
      </c>
      <c r="U1359" s="39">
        <v>0</v>
      </c>
      <c r="V1359" s="39">
        <v>0</v>
      </c>
      <c r="W1359" s="39">
        <v>0</v>
      </c>
      <c r="X1359" s="39">
        <v>0</v>
      </c>
      <c r="Y1359" s="39">
        <v>0</v>
      </c>
      <c r="Z1359" s="39">
        <v>0</v>
      </c>
      <c r="AA1359" s="39">
        <v>0</v>
      </c>
      <c r="AB1359" s="39">
        <v>0</v>
      </c>
      <c r="AC1359" s="39">
        <v>0</v>
      </c>
      <c r="AD1359" s="39">
        <v>0</v>
      </c>
      <c r="AE1359" s="39">
        <v>0</v>
      </c>
      <c r="AF1359" s="39">
        <v>0</v>
      </c>
      <c r="AG1359" s="39">
        <v>0</v>
      </c>
      <c r="AH1359" s="39"/>
      <c r="AI1359" s="39"/>
      <c r="AJ1359" s="40"/>
      <c r="AK1359" s="39">
        <f t="shared" si="105"/>
        <v>0</v>
      </c>
      <c r="AL1359" s="39">
        <f t="shared" si="108"/>
        <v>0</v>
      </c>
      <c r="AM1359" s="39">
        <f t="shared" si="109"/>
        <v>0</v>
      </c>
      <c r="AN1359" s="39">
        <f t="shared" si="106"/>
        <v>0</v>
      </c>
      <c r="AO1359" s="39">
        <f t="shared" si="107"/>
        <v>0</v>
      </c>
    </row>
    <row r="1360" spans="1:41" x14ac:dyDescent="0.3">
      <c r="A1360" s="20">
        <v>1000184670</v>
      </c>
      <c r="B1360" s="4" t="s">
        <v>147</v>
      </c>
      <c r="C1360" s="21"/>
      <c r="D1360" s="3"/>
      <c r="E1360" s="20">
        <v>1000184762</v>
      </c>
      <c r="F1360" s="4" t="s">
        <v>58</v>
      </c>
      <c r="G1360" s="21">
        <v>1000189816</v>
      </c>
      <c r="H1360" s="3" t="s">
        <v>113</v>
      </c>
      <c r="I1360" s="21">
        <v>1000189270</v>
      </c>
      <c r="J1360" s="3" t="s">
        <v>34</v>
      </c>
      <c r="K1360" s="20" t="s">
        <v>18</v>
      </c>
      <c r="L1360" s="39">
        <v>0</v>
      </c>
      <c r="M1360" s="39">
        <v>0</v>
      </c>
      <c r="N1360" s="39">
        <v>0</v>
      </c>
      <c r="O1360" s="39">
        <v>0</v>
      </c>
      <c r="P1360" s="39">
        <v>0</v>
      </c>
      <c r="Q1360" s="39">
        <v>0</v>
      </c>
      <c r="R1360" s="39">
        <v>0</v>
      </c>
      <c r="S1360" s="39">
        <v>0</v>
      </c>
      <c r="T1360" s="39">
        <v>0</v>
      </c>
      <c r="U1360" s="39">
        <v>0</v>
      </c>
      <c r="V1360" s="39">
        <v>0</v>
      </c>
      <c r="W1360" s="39">
        <v>0</v>
      </c>
      <c r="X1360" s="39">
        <v>0</v>
      </c>
      <c r="Y1360" s="39">
        <v>0</v>
      </c>
      <c r="Z1360" s="39">
        <v>0</v>
      </c>
      <c r="AA1360" s="39">
        <v>0</v>
      </c>
      <c r="AB1360" s="39">
        <v>0</v>
      </c>
      <c r="AC1360" s="39">
        <v>0</v>
      </c>
      <c r="AD1360" s="39">
        <v>0</v>
      </c>
      <c r="AE1360" s="39">
        <v>0</v>
      </c>
      <c r="AF1360" s="39">
        <v>0</v>
      </c>
      <c r="AG1360" s="39">
        <v>0</v>
      </c>
      <c r="AH1360" s="39"/>
      <c r="AI1360" s="39"/>
      <c r="AJ1360" s="40"/>
      <c r="AK1360" s="39">
        <f t="shared" si="105"/>
        <v>0</v>
      </c>
      <c r="AL1360" s="39">
        <f t="shared" si="108"/>
        <v>0</v>
      </c>
      <c r="AM1360" s="39">
        <f t="shared" si="109"/>
        <v>0</v>
      </c>
      <c r="AN1360" s="39">
        <f t="shared" si="106"/>
        <v>0</v>
      </c>
      <c r="AO1360" s="39">
        <f t="shared" si="107"/>
        <v>0</v>
      </c>
    </row>
    <row r="1361" spans="1:41" x14ac:dyDescent="0.3">
      <c r="A1361" s="20">
        <v>1000184670</v>
      </c>
      <c r="B1361" s="4" t="s">
        <v>147</v>
      </c>
      <c r="C1361" s="21"/>
      <c r="D1361" s="3"/>
      <c r="E1361" s="20">
        <v>1000184762</v>
      </c>
      <c r="F1361" s="4" t="s">
        <v>58</v>
      </c>
      <c r="G1361" s="21">
        <v>1000189816</v>
      </c>
      <c r="H1361" s="3" t="s">
        <v>113</v>
      </c>
      <c r="I1361" s="21">
        <v>1000189270</v>
      </c>
      <c r="J1361" s="3" t="s">
        <v>34</v>
      </c>
      <c r="K1361" s="20" t="s">
        <v>29</v>
      </c>
      <c r="L1361" s="39">
        <v>0</v>
      </c>
      <c r="M1361" s="39">
        <v>0</v>
      </c>
      <c r="N1361" s="39">
        <v>0</v>
      </c>
      <c r="O1361" s="39">
        <v>0</v>
      </c>
      <c r="P1361" s="39">
        <v>0</v>
      </c>
      <c r="Q1361" s="39">
        <v>0</v>
      </c>
      <c r="R1361" s="39">
        <v>0</v>
      </c>
      <c r="S1361" s="39">
        <v>0</v>
      </c>
      <c r="T1361" s="39">
        <v>0</v>
      </c>
      <c r="U1361" s="39">
        <v>0</v>
      </c>
      <c r="V1361" s="39">
        <v>0</v>
      </c>
      <c r="W1361" s="39">
        <v>0</v>
      </c>
      <c r="X1361" s="39">
        <v>0</v>
      </c>
      <c r="Y1361" s="39">
        <v>0</v>
      </c>
      <c r="Z1361" s="39">
        <v>0</v>
      </c>
      <c r="AA1361" s="39">
        <v>540</v>
      </c>
      <c r="AB1361" s="39">
        <v>0</v>
      </c>
      <c r="AC1361" s="39">
        <v>1143.96</v>
      </c>
      <c r="AD1361" s="39">
        <v>0</v>
      </c>
      <c r="AE1361" s="39">
        <v>0</v>
      </c>
      <c r="AF1361" s="39">
        <v>0</v>
      </c>
      <c r="AG1361" s="39">
        <v>0</v>
      </c>
      <c r="AH1361" s="39"/>
      <c r="AI1361" s="39"/>
      <c r="AJ1361" s="40"/>
      <c r="AK1361" s="39">
        <f t="shared" si="105"/>
        <v>0</v>
      </c>
      <c r="AL1361" s="39">
        <f t="shared" si="108"/>
        <v>140.33000000000001</v>
      </c>
      <c r="AM1361" s="39">
        <f t="shared" si="109"/>
        <v>190.66</v>
      </c>
      <c r="AN1361" s="39">
        <f t="shared" si="106"/>
        <v>168.39600000000002</v>
      </c>
      <c r="AO1361" s="39">
        <f t="shared" si="107"/>
        <v>1683.96</v>
      </c>
    </row>
    <row r="1362" spans="1:41" x14ac:dyDescent="0.3">
      <c r="A1362" s="20">
        <v>1000184670</v>
      </c>
      <c r="B1362" s="4" t="s">
        <v>147</v>
      </c>
      <c r="C1362" s="21"/>
      <c r="D1362" s="3"/>
      <c r="E1362" s="20">
        <v>1000184762</v>
      </c>
      <c r="F1362" s="4" t="s">
        <v>58</v>
      </c>
      <c r="G1362" s="21">
        <v>1000189816</v>
      </c>
      <c r="H1362" s="3" t="s">
        <v>113</v>
      </c>
      <c r="I1362" s="21">
        <v>1000189270</v>
      </c>
      <c r="J1362" s="3" t="s">
        <v>34</v>
      </c>
      <c r="K1362" s="20" t="s">
        <v>21</v>
      </c>
      <c r="L1362" s="39">
        <v>0</v>
      </c>
      <c r="M1362" s="39">
        <v>0</v>
      </c>
      <c r="N1362" s="39">
        <v>0</v>
      </c>
      <c r="O1362" s="39">
        <v>0</v>
      </c>
      <c r="P1362" s="39">
        <v>0</v>
      </c>
      <c r="Q1362" s="39">
        <v>0</v>
      </c>
      <c r="R1362" s="39">
        <v>0</v>
      </c>
      <c r="S1362" s="39">
        <v>0</v>
      </c>
      <c r="T1362" s="39">
        <v>0</v>
      </c>
      <c r="U1362" s="39">
        <v>0</v>
      </c>
      <c r="V1362" s="39">
        <v>539.4</v>
      </c>
      <c r="W1362" s="39">
        <v>0</v>
      </c>
      <c r="X1362" s="39">
        <v>0</v>
      </c>
      <c r="Y1362" s="39">
        <v>0</v>
      </c>
      <c r="Z1362" s="39">
        <v>0</v>
      </c>
      <c r="AA1362" s="39">
        <v>0</v>
      </c>
      <c r="AB1362" s="39">
        <v>0</v>
      </c>
      <c r="AC1362" s="39">
        <v>0</v>
      </c>
      <c r="AD1362" s="39">
        <v>0</v>
      </c>
      <c r="AE1362" s="39">
        <v>0</v>
      </c>
      <c r="AF1362" s="39">
        <v>0</v>
      </c>
      <c r="AG1362" s="39">
        <v>0</v>
      </c>
      <c r="AH1362" s="39"/>
      <c r="AI1362" s="39"/>
      <c r="AJ1362" s="40"/>
      <c r="AK1362" s="39">
        <f t="shared" si="105"/>
        <v>44.949999999999996</v>
      </c>
      <c r="AL1362" s="39">
        <f t="shared" si="108"/>
        <v>44.949999999999996</v>
      </c>
      <c r="AM1362" s="39">
        <f t="shared" si="109"/>
        <v>0</v>
      </c>
      <c r="AN1362" s="39">
        <f t="shared" si="106"/>
        <v>0</v>
      </c>
      <c r="AO1362" s="39">
        <f t="shared" si="107"/>
        <v>0</v>
      </c>
    </row>
    <row r="1363" spans="1:41" x14ac:dyDescent="0.3">
      <c r="A1363" s="20">
        <v>1000184670</v>
      </c>
      <c r="B1363" s="4" t="s">
        <v>147</v>
      </c>
      <c r="C1363" s="21"/>
      <c r="D1363" s="3"/>
      <c r="E1363" s="20">
        <v>1000184762</v>
      </c>
      <c r="F1363" s="4" t="s">
        <v>58</v>
      </c>
      <c r="G1363" s="21">
        <v>1000189816</v>
      </c>
      <c r="H1363" s="3" t="s">
        <v>113</v>
      </c>
      <c r="I1363" s="21">
        <v>1000189270</v>
      </c>
      <c r="J1363" s="3" t="s">
        <v>34</v>
      </c>
      <c r="K1363" s="20" t="s">
        <v>20</v>
      </c>
      <c r="L1363" s="39">
        <v>0</v>
      </c>
      <c r="M1363" s="39">
        <v>271.89</v>
      </c>
      <c r="N1363" s="39">
        <v>572.4</v>
      </c>
      <c r="O1363" s="39">
        <v>0</v>
      </c>
      <c r="P1363" s="39">
        <v>0</v>
      </c>
      <c r="Q1363" s="39">
        <v>286.2</v>
      </c>
      <c r="R1363" s="39">
        <v>143.1</v>
      </c>
      <c r="S1363" s="39">
        <v>0</v>
      </c>
      <c r="T1363" s="39">
        <v>143.1</v>
      </c>
      <c r="U1363" s="39">
        <v>0</v>
      </c>
      <c r="V1363" s="39">
        <v>0</v>
      </c>
      <c r="W1363" s="39">
        <v>0</v>
      </c>
      <c r="X1363" s="39">
        <v>0</v>
      </c>
      <c r="Y1363" s="39">
        <v>0</v>
      </c>
      <c r="Z1363" s="39">
        <v>0</v>
      </c>
      <c r="AA1363" s="39">
        <v>151.88</v>
      </c>
      <c r="AB1363" s="39">
        <v>0</v>
      </c>
      <c r="AC1363" s="39">
        <v>136.32</v>
      </c>
      <c r="AD1363" s="39">
        <v>0</v>
      </c>
      <c r="AE1363" s="39">
        <v>0</v>
      </c>
      <c r="AF1363" s="39">
        <v>0</v>
      </c>
      <c r="AG1363" s="39">
        <v>0</v>
      </c>
      <c r="AH1363" s="39"/>
      <c r="AI1363" s="39"/>
      <c r="AJ1363" s="40"/>
      <c r="AK1363" s="39">
        <f t="shared" si="105"/>
        <v>118.05749999999999</v>
      </c>
      <c r="AL1363" s="39">
        <f t="shared" si="108"/>
        <v>24.016666666666666</v>
      </c>
      <c r="AM1363" s="39">
        <f t="shared" si="109"/>
        <v>22.72</v>
      </c>
      <c r="AN1363" s="39">
        <f t="shared" si="106"/>
        <v>28.82</v>
      </c>
      <c r="AO1363" s="39">
        <f t="shared" si="107"/>
        <v>288.2</v>
      </c>
    </row>
    <row r="1364" spans="1:41" x14ac:dyDescent="0.3">
      <c r="A1364" s="20">
        <v>1000184670</v>
      </c>
      <c r="B1364" s="4" t="s">
        <v>147</v>
      </c>
      <c r="C1364" s="21"/>
      <c r="D1364" s="3"/>
      <c r="E1364" s="20">
        <v>1000184762</v>
      </c>
      <c r="F1364" s="4" t="s">
        <v>58</v>
      </c>
      <c r="G1364" s="21">
        <v>1000189816</v>
      </c>
      <c r="H1364" s="3" t="s">
        <v>113</v>
      </c>
      <c r="I1364" s="21">
        <v>1000189270</v>
      </c>
      <c r="J1364" s="3" t="s">
        <v>34</v>
      </c>
      <c r="K1364" s="20" t="s">
        <v>22</v>
      </c>
      <c r="L1364" s="39">
        <v>0</v>
      </c>
      <c r="M1364" s="39">
        <v>0</v>
      </c>
      <c r="N1364" s="39">
        <v>0</v>
      </c>
      <c r="O1364" s="39">
        <v>121.5</v>
      </c>
      <c r="P1364" s="39">
        <v>0</v>
      </c>
      <c r="Q1364" s="39">
        <v>0</v>
      </c>
      <c r="R1364" s="39">
        <v>0</v>
      </c>
      <c r="S1364" s="39">
        <v>0</v>
      </c>
      <c r="T1364" s="39">
        <v>0</v>
      </c>
      <c r="U1364" s="39">
        <v>0</v>
      </c>
      <c r="V1364" s="39">
        <v>0</v>
      </c>
      <c r="W1364" s="39">
        <v>0</v>
      </c>
      <c r="X1364" s="39">
        <v>0</v>
      </c>
      <c r="Y1364" s="39">
        <v>0</v>
      </c>
      <c r="Z1364" s="39">
        <v>0</v>
      </c>
      <c r="AA1364" s="39">
        <v>245.17</v>
      </c>
      <c r="AB1364" s="39">
        <v>140</v>
      </c>
      <c r="AC1364" s="39">
        <v>142.56</v>
      </c>
      <c r="AD1364" s="39">
        <v>0</v>
      </c>
      <c r="AE1364" s="39">
        <v>0</v>
      </c>
      <c r="AF1364" s="39">
        <v>0</v>
      </c>
      <c r="AG1364" s="39">
        <v>0</v>
      </c>
      <c r="AH1364" s="39"/>
      <c r="AI1364" s="39"/>
      <c r="AJ1364" s="40"/>
      <c r="AK1364" s="39">
        <f t="shared" si="105"/>
        <v>10.125</v>
      </c>
      <c r="AL1364" s="39">
        <f t="shared" si="108"/>
        <v>43.977499999999999</v>
      </c>
      <c r="AM1364" s="39">
        <f t="shared" si="109"/>
        <v>47.093333333333334</v>
      </c>
      <c r="AN1364" s="39">
        <f t="shared" si="106"/>
        <v>52.773000000000003</v>
      </c>
      <c r="AO1364" s="39">
        <f t="shared" si="107"/>
        <v>527.73</v>
      </c>
    </row>
    <row r="1365" spans="1:41" x14ac:dyDescent="0.3">
      <c r="A1365" s="20">
        <v>1000184670</v>
      </c>
      <c r="B1365" s="4" t="s">
        <v>147</v>
      </c>
      <c r="C1365" s="21"/>
      <c r="D1365" s="3"/>
      <c r="E1365" s="20">
        <v>1000184762</v>
      </c>
      <c r="F1365" s="4" t="s">
        <v>58</v>
      </c>
      <c r="G1365" s="21">
        <v>1000189816</v>
      </c>
      <c r="H1365" s="3" t="s">
        <v>113</v>
      </c>
      <c r="I1365" s="21">
        <v>1000189270</v>
      </c>
      <c r="J1365" s="3" t="s">
        <v>34</v>
      </c>
      <c r="K1365" s="20" t="s">
        <v>23</v>
      </c>
      <c r="L1365" s="39">
        <v>0</v>
      </c>
      <c r="M1365" s="39">
        <v>0</v>
      </c>
      <c r="N1365" s="39">
        <v>0</v>
      </c>
      <c r="O1365" s="39">
        <v>0</v>
      </c>
      <c r="P1365" s="39">
        <v>0</v>
      </c>
      <c r="Q1365" s="39">
        <v>0</v>
      </c>
      <c r="R1365" s="39">
        <v>0</v>
      </c>
      <c r="S1365" s="39">
        <v>0</v>
      </c>
      <c r="T1365" s="39">
        <v>0</v>
      </c>
      <c r="U1365" s="39">
        <v>0</v>
      </c>
      <c r="V1365" s="39">
        <v>0</v>
      </c>
      <c r="W1365" s="39">
        <v>0</v>
      </c>
      <c r="X1365" s="39">
        <v>0</v>
      </c>
      <c r="Y1365" s="39">
        <v>0</v>
      </c>
      <c r="Z1365" s="39">
        <v>0</v>
      </c>
      <c r="AA1365" s="39">
        <v>0</v>
      </c>
      <c r="AB1365" s="39">
        <v>0</v>
      </c>
      <c r="AC1365" s="39">
        <v>0</v>
      </c>
      <c r="AD1365" s="39">
        <v>0</v>
      </c>
      <c r="AE1365" s="39">
        <v>0</v>
      </c>
      <c r="AF1365" s="39">
        <v>0</v>
      </c>
      <c r="AG1365" s="39">
        <v>0</v>
      </c>
      <c r="AH1365" s="39"/>
      <c r="AI1365" s="39"/>
      <c r="AJ1365" s="40"/>
      <c r="AK1365" s="39">
        <f t="shared" si="105"/>
        <v>0</v>
      </c>
      <c r="AL1365" s="39">
        <f t="shared" si="108"/>
        <v>0</v>
      </c>
      <c r="AM1365" s="39">
        <f t="shared" si="109"/>
        <v>0</v>
      </c>
      <c r="AN1365" s="39">
        <f t="shared" si="106"/>
        <v>0</v>
      </c>
      <c r="AO1365" s="39">
        <f t="shared" si="107"/>
        <v>0</v>
      </c>
    </row>
    <row r="1366" spans="1:41" x14ac:dyDescent="0.3">
      <c r="A1366" s="20">
        <v>1000184670</v>
      </c>
      <c r="B1366" s="4" t="s">
        <v>147</v>
      </c>
      <c r="C1366" s="21"/>
      <c r="D1366" s="3"/>
      <c r="E1366" s="20">
        <v>1000184762</v>
      </c>
      <c r="F1366" s="4" t="s">
        <v>58</v>
      </c>
      <c r="G1366" s="21">
        <v>1000189816</v>
      </c>
      <c r="H1366" s="3" t="s">
        <v>113</v>
      </c>
      <c r="I1366" s="21">
        <v>1000189270</v>
      </c>
      <c r="J1366" s="3" t="s">
        <v>34</v>
      </c>
      <c r="K1366" s="20" t="s">
        <v>28</v>
      </c>
      <c r="L1366" s="39">
        <v>0</v>
      </c>
      <c r="M1366" s="39">
        <v>1239.4100000000001</v>
      </c>
      <c r="N1366" s="39">
        <v>326.16000000000003</v>
      </c>
      <c r="O1366" s="39">
        <v>489.24</v>
      </c>
      <c r="P1366" s="39">
        <v>1019.25</v>
      </c>
      <c r="Q1366" s="39">
        <v>570.78</v>
      </c>
      <c r="R1366" s="39">
        <v>693.09</v>
      </c>
      <c r="S1366" s="39">
        <v>0</v>
      </c>
      <c r="T1366" s="39">
        <v>892.86</v>
      </c>
      <c r="U1366" s="39">
        <v>1386.18</v>
      </c>
      <c r="V1366" s="39">
        <v>0</v>
      </c>
      <c r="W1366" s="39">
        <v>0</v>
      </c>
      <c r="X1366" s="39">
        <v>1721.4</v>
      </c>
      <c r="Y1366" s="39">
        <v>0</v>
      </c>
      <c r="Z1366" s="39">
        <v>1630.8</v>
      </c>
      <c r="AA1366" s="39">
        <v>0</v>
      </c>
      <c r="AB1366" s="39">
        <v>3171</v>
      </c>
      <c r="AC1366" s="39">
        <v>0</v>
      </c>
      <c r="AD1366" s="39">
        <v>0</v>
      </c>
      <c r="AE1366" s="39">
        <v>0</v>
      </c>
      <c r="AF1366" s="39">
        <v>0</v>
      </c>
      <c r="AG1366" s="39">
        <v>1571</v>
      </c>
      <c r="AH1366" s="39"/>
      <c r="AI1366" s="39"/>
      <c r="AJ1366" s="40"/>
      <c r="AK1366" s="39">
        <f t="shared" si="105"/>
        <v>551.41416666666669</v>
      </c>
      <c r="AL1366" s="39">
        <f t="shared" si="108"/>
        <v>674.51666666666665</v>
      </c>
      <c r="AM1366" s="39">
        <f t="shared" si="109"/>
        <v>790.33333333333337</v>
      </c>
      <c r="AN1366" s="39">
        <f t="shared" si="106"/>
        <v>809.42</v>
      </c>
      <c r="AO1366" s="39">
        <f t="shared" si="107"/>
        <v>8094.2</v>
      </c>
    </row>
    <row r="1367" spans="1:41" x14ac:dyDescent="0.3">
      <c r="A1367" s="20">
        <v>1000184670</v>
      </c>
      <c r="B1367" s="4" t="s">
        <v>147</v>
      </c>
      <c r="C1367" s="21"/>
      <c r="D1367" s="3"/>
      <c r="E1367" s="20">
        <v>1000184762</v>
      </c>
      <c r="F1367" s="4" t="s">
        <v>58</v>
      </c>
      <c r="G1367" s="21">
        <v>1000189816</v>
      </c>
      <c r="H1367" s="3" t="s">
        <v>113</v>
      </c>
      <c r="I1367" s="21">
        <v>1000189270</v>
      </c>
      <c r="J1367" s="3" t="s">
        <v>34</v>
      </c>
      <c r="K1367" s="20" t="s">
        <v>26</v>
      </c>
      <c r="L1367" s="39">
        <v>0</v>
      </c>
      <c r="M1367" s="39">
        <v>0</v>
      </c>
      <c r="N1367" s="39">
        <v>0</v>
      </c>
      <c r="O1367" s="39">
        <v>0</v>
      </c>
      <c r="P1367" s="39">
        <v>0</v>
      </c>
      <c r="Q1367" s="39">
        <v>0</v>
      </c>
      <c r="R1367" s="39">
        <v>0</v>
      </c>
      <c r="S1367" s="39">
        <v>0</v>
      </c>
      <c r="T1367" s="39">
        <v>0</v>
      </c>
      <c r="U1367" s="39">
        <v>0</v>
      </c>
      <c r="V1367" s="39">
        <v>1305</v>
      </c>
      <c r="W1367" s="39">
        <v>0</v>
      </c>
      <c r="X1367" s="39">
        <v>0</v>
      </c>
      <c r="Y1367" s="39">
        <v>0</v>
      </c>
      <c r="Z1367" s="39">
        <v>4389</v>
      </c>
      <c r="AA1367" s="39">
        <v>0</v>
      </c>
      <c r="AB1367" s="39">
        <v>0</v>
      </c>
      <c r="AC1367" s="39">
        <v>0</v>
      </c>
      <c r="AD1367" s="39">
        <v>0</v>
      </c>
      <c r="AE1367" s="39">
        <v>0</v>
      </c>
      <c r="AF1367" s="39">
        <v>0</v>
      </c>
      <c r="AG1367" s="39">
        <v>0</v>
      </c>
      <c r="AH1367" s="39"/>
      <c r="AI1367" s="39"/>
      <c r="AJ1367" s="40"/>
      <c r="AK1367" s="39">
        <f t="shared" si="105"/>
        <v>108.75</v>
      </c>
      <c r="AL1367" s="39">
        <f t="shared" si="108"/>
        <v>474.5</v>
      </c>
      <c r="AM1367" s="39">
        <f t="shared" si="109"/>
        <v>0</v>
      </c>
      <c r="AN1367" s="39">
        <f t="shared" si="106"/>
        <v>438.9</v>
      </c>
      <c r="AO1367" s="39">
        <f t="shared" si="107"/>
        <v>4389</v>
      </c>
    </row>
    <row r="1368" spans="1:41" x14ac:dyDescent="0.3">
      <c r="A1368" s="20">
        <v>1000184670</v>
      </c>
      <c r="B1368" s="4" t="s">
        <v>147</v>
      </c>
      <c r="C1368" s="21"/>
      <c r="D1368" s="3"/>
      <c r="E1368" s="20">
        <v>1000184762</v>
      </c>
      <c r="F1368" s="4" t="s">
        <v>58</v>
      </c>
      <c r="G1368" s="21">
        <v>1000189816</v>
      </c>
      <c r="H1368" s="3" t="s">
        <v>113</v>
      </c>
      <c r="I1368" s="21">
        <v>1000189270</v>
      </c>
      <c r="J1368" s="3" t="s">
        <v>34</v>
      </c>
      <c r="K1368" s="20" t="s">
        <v>27</v>
      </c>
      <c r="L1368" s="39">
        <v>0</v>
      </c>
      <c r="M1368" s="39">
        <v>0</v>
      </c>
      <c r="N1368" s="39">
        <v>0</v>
      </c>
      <c r="O1368" s="39">
        <v>0</v>
      </c>
      <c r="P1368" s="39">
        <v>0</v>
      </c>
      <c r="Q1368" s="39">
        <v>0</v>
      </c>
      <c r="R1368" s="39">
        <v>0</v>
      </c>
      <c r="S1368" s="39">
        <v>0</v>
      </c>
      <c r="T1368" s="39">
        <v>0</v>
      </c>
      <c r="U1368" s="39">
        <v>0</v>
      </c>
      <c r="V1368" s="39">
        <v>817.8</v>
      </c>
      <c r="W1368" s="39">
        <v>0</v>
      </c>
      <c r="X1368" s="39">
        <v>0</v>
      </c>
      <c r="Y1368" s="39">
        <v>0</v>
      </c>
      <c r="Z1368" s="39">
        <v>0</v>
      </c>
      <c r="AA1368" s="39">
        <v>88.18</v>
      </c>
      <c r="AB1368" s="39">
        <v>0</v>
      </c>
      <c r="AC1368" s="39">
        <v>0</v>
      </c>
      <c r="AD1368" s="39">
        <v>0</v>
      </c>
      <c r="AE1368" s="39">
        <v>0</v>
      </c>
      <c r="AF1368" s="39">
        <v>0</v>
      </c>
      <c r="AG1368" s="39">
        <v>0</v>
      </c>
      <c r="AH1368" s="39"/>
      <c r="AI1368" s="39"/>
      <c r="AJ1368" s="40"/>
      <c r="AK1368" s="39">
        <f t="shared" si="105"/>
        <v>68.149999999999991</v>
      </c>
      <c r="AL1368" s="39">
        <f t="shared" si="108"/>
        <v>75.498333333333335</v>
      </c>
      <c r="AM1368" s="39">
        <f t="shared" si="109"/>
        <v>0</v>
      </c>
      <c r="AN1368" s="39">
        <f t="shared" si="106"/>
        <v>8.8180000000000014</v>
      </c>
      <c r="AO1368" s="39">
        <f t="shared" si="107"/>
        <v>88.18</v>
      </c>
    </row>
    <row r="1369" spans="1:41" x14ac:dyDescent="0.3">
      <c r="A1369" s="20">
        <v>1000184670</v>
      </c>
      <c r="B1369" s="4" t="s">
        <v>147</v>
      </c>
      <c r="C1369" s="21"/>
      <c r="D1369" s="3"/>
      <c r="E1369" s="20">
        <v>1000184762</v>
      </c>
      <c r="F1369" s="4" t="s">
        <v>58</v>
      </c>
      <c r="G1369" s="21">
        <v>1000189816</v>
      </c>
      <c r="H1369" s="3" t="s">
        <v>113</v>
      </c>
      <c r="I1369" s="21">
        <v>1000189270</v>
      </c>
      <c r="J1369" s="3" t="s">
        <v>34</v>
      </c>
      <c r="K1369" s="20" t="s">
        <v>25</v>
      </c>
      <c r="L1369" s="39">
        <v>0</v>
      </c>
      <c r="M1369" s="39">
        <v>0</v>
      </c>
      <c r="N1369" s="39">
        <v>0</v>
      </c>
      <c r="O1369" s="39">
        <v>0</v>
      </c>
      <c r="P1369" s="39">
        <v>0</v>
      </c>
      <c r="Q1369" s="39">
        <v>0</v>
      </c>
      <c r="R1369" s="39">
        <v>0</v>
      </c>
      <c r="S1369" s="39">
        <v>0</v>
      </c>
      <c r="T1369" s="39">
        <v>0</v>
      </c>
      <c r="U1369" s="39">
        <v>0</v>
      </c>
      <c r="V1369" s="39">
        <v>0</v>
      </c>
      <c r="W1369" s="39">
        <v>0</v>
      </c>
      <c r="X1369" s="39">
        <v>0</v>
      </c>
      <c r="Y1369" s="39">
        <v>0</v>
      </c>
      <c r="Z1369" s="39">
        <v>0</v>
      </c>
      <c r="AA1369" s="39">
        <v>0</v>
      </c>
      <c r="AB1369" s="39">
        <v>0</v>
      </c>
      <c r="AC1369" s="39">
        <v>0</v>
      </c>
      <c r="AD1369" s="39">
        <v>0</v>
      </c>
      <c r="AE1369" s="39">
        <v>0</v>
      </c>
      <c r="AF1369" s="39">
        <v>0</v>
      </c>
      <c r="AG1369" s="39">
        <v>0</v>
      </c>
      <c r="AH1369" s="39"/>
      <c r="AI1369" s="39"/>
      <c r="AJ1369" s="40"/>
      <c r="AK1369" s="39">
        <f t="shared" si="105"/>
        <v>0</v>
      </c>
      <c r="AL1369" s="39">
        <f t="shared" si="108"/>
        <v>0</v>
      </c>
      <c r="AM1369" s="39">
        <f t="shared" si="109"/>
        <v>0</v>
      </c>
      <c r="AN1369" s="39">
        <f t="shared" si="106"/>
        <v>0</v>
      </c>
      <c r="AO1369" s="39">
        <f t="shared" si="107"/>
        <v>0</v>
      </c>
    </row>
    <row r="1370" spans="1:41" x14ac:dyDescent="0.3">
      <c r="A1370" s="20">
        <v>1000184670</v>
      </c>
      <c r="B1370" s="4" t="s">
        <v>147</v>
      </c>
      <c r="C1370" s="21"/>
      <c r="D1370" s="3"/>
      <c r="E1370" s="20">
        <v>1000184762</v>
      </c>
      <c r="F1370" s="4" t="s">
        <v>58</v>
      </c>
      <c r="G1370" s="21">
        <v>1000189817</v>
      </c>
      <c r="H1370" s="3" t="s">
        <v>94</v>
      </c>
      <c r="I1370" s="21">
        <v>1000189270</v>
      </c>
      <c r="J1370" s="3" t="s">
        <v>34</v>
      </c>
      <c r="K1370" s="20" t="s">
        <v>124</v>
      </c>
      <c r="L1370" s="39">
        <v>0</v>
      </c>
      <c r="M1370" s="39">
        <v>0</v>
      </c>
      <c r="N1370" s="39">
        <v>0</v>
      </c>
      <c r="O1370" s="39">
        <v>0</v>
      </c>
      <c r="P1370" s="39">
        <v>0</v>
      </c>
      <c r="Q1370" s="39">
        <v>0</v>
      </c>
      <c r="R1370" s="39">
        <v>0</v>
      </c>
      <c r="S1370" s="39">
        <v>0</v>
      </c>
      <c r="T1370" s="39">
        <v>0</v>
      </c>
      <c r="U1370" s="39">
        <v>0</v>
      </c>
      <c r="V1370" s="39">
        <v>0</v>
      </c>
      <c r="W1370" s="39">
        <v>0</v>
      </c>
      <c r="X1370" s="39">
        <v>0</v>
      </c>
      <c r="Y1370" s="39">
        <v>0</v>
      </c>
      <c r="Z1370" s="39">
        <v>0</v>
      </c>
      <c r="AA1370" s="39">
        <v>0</v>
      </c>
      <c r="AB1370" s="39">
        <v>0</v>
      </c>
      <c r="AC1370" s="39">
        <v>0</v>
      </c>
      <c r="AD1370" s="39">
        <v>0</v>
      </c>
      <c r="AE1370" s="39">
        <v>0</v>
      </c>
      <c r="AF1370" s="39">
        <v>0</v>
      </c>
      <c r="AG1370" s="39">
        <v>0</v>
      </c>
      <c r="AH1370" s="39"/>
      <c r="AI1370" s="39"/>
      <c r="AJ1370" s="40"/>
      <c r="AK1370" s="39">
        <f t="shared" si="105"/>
        <v>0</v>
      </c>
      <c r="AL1370" s="39">
        <f t="shared" si="108"/>
        <v>0</v>
      </c>
      <c r="AM1370" s="39">
        <f t="shared" si="109"/>
        <v>0</v>
      </c>
      <c r="AN1370" s="39">
        <f t="shared" si="106"/>
        <v>0</v>
      </c>
      <c r="AO1370" s="39">
        <f t="shared" si="107"/>
        <v>0</v>
      </c>
    </row>
    <row r="1371" spans="1:41" x14ac:dyDescent="0.3">
      <c r="A1371" s="20">
        <v>1000184670</v>
      </c>
      <c r="B1371" s="4" t="s">
        <v>147</v>
      </c>
      <c r="C1371" s="21"/>
      <c r="D1371" s="3"/>
      <c r="E1371" s="20">
        <v>1000184762</v>
      </c>
      <c r="F1371" s="4" t="s">
        <v>58</v>
      </c>
      <c r="G1371" s="21">
        <v>1000189817</v>
      </c>
      <c r="H1371" s="3" t="s">
        <v>94</v>
      </c>
      <c r="I1371" s="21">
        <v>1000189270</v>
      </c>
      <c r="J1371" s="3" t="s">
        <v>34</v>
      </c>
      <c r="K1371" s="20" t="s">
        <v>13</v>
      </c>
      <c r="L1371" s="39">
        <v>0</v>
      </c>
      <c r="M1371" s="39">
        <v>-3834.05</v>
      </c>
      <c r="N1371" s="39">
        <v>862.44</v>
      </c>
      <c r="O1371" s="39">
        <v>0</v>
      </c>
      <c r="P1371" s="39">
        <v>0</v>
      </c>
      <c r="Q1371" s="39">
        <v>0</v>
      </c>
      <c r="R1371" s="39">
        <v>0</v>
      </c>
      <c r="S1371" s="39">
        <v>0</v>
      </c>
      <c r="T1371" s="39">
        <v>350.28</v>
      </c>
      <c r="U1371" s="39">
        <v>288</v>
      </c>
      <c r="V1371" s="39">
        <v>0</v>
      </c>
      <c r="W1371" s="39">
        <v>312</v>
      </c>
      <c r="X1371" s="39">
        <v>483</v>
      </c>
      <c r="Y1371" s="39">
        <v>0</v>
      </c>
      <c r="Z1371" s="39">
        <v>132.35</v>
      </c>
      <c r="AA1371" s="39">
        <v>0</v>
      </c>
      <c r="AB1371" s="39">
        <v>0</v>
      </c>
      <c r="AC1371" s="39">
        <v>148.80000000000001</v>
      </c>
      <c r="AD1371" s="39">
        <v>0</v>
      </c>
      <c r="AE1371" s="39">
        <v>0</v>
      </c>
      <c r="AF1371" s="39">
        <v>687.6</v>
      </c>
      <c r="AG1371" s="39">
        <v>0</v>
      </c>
      <c r="AH1371" s="39"/>
      <c r="AI1371" s="39"/>
      <c r="AJ1371" s="40"/>
      <c r="AK1371" s="39">
        <f t="shared" si="105"/>
        <v>-168.44416666666666</v>
      </c>
      <c r="AL1371" s="39">
        <f t="shared" si="108"/>
        <v>146.97916666666666</v>
      </c>
      <c r="AM1371" s="39">
        <f t="shared" si="109"/>
        <v>139.4</v>
      </c>
      <c r="AN1371" s="39">
        <f t="shared" si="106"/>
        <v>145.17500000000001</v>
      </c>
      <c r="AO1371" s="39">
        <f t="shared" si="107"/>
        <v>1451.75</v>
      </c>
    </row>
    <row r="1372" spans="1:41" x14ac:dyDescent="0.3">
      <c r="A1372" s="20">
        <v>1000184670</v>
      </c>
      <c r="B1372" s="4" t="s">
        <v>147</v>
      </c>
      <c r="C1372" s="21"/>
      <c r="D1372" s="3"/>
      <c r="E1372" s="20">
        <v>1000184762</v>
      </c>
      <c r="F1372" s="4" t="s">
        <v>58</v>
      </c>
      <c r="G1372" s="21">
        <v>1000189817</v>
      </c>
      <c r="H1372" s="3" t="s">
        <v>94</v>
      </c>
      <c r="I1372" s="21">
        <v>1000189270</v>
      </c>
      <c r="J1372" s="3" t="s">
        <v>34</v>
      </c>
      <c r="K1372" s="20" t="s">
        <v>14</v>
      </c>
      <c r="L1372" s="39">
        <v>0</v>
      </c>
      <c r="M1372" s="39">
        <v>-729.44</v>
      </c>
      <c r="N1372" s="39">
        <v>720</v>
      </c>
      <c r="O1372" s="39">
        <v>0</v>
      </c>
      <c r="P1372" s="39">
        <v>1178.4000000000001</v>
      </c>
      <c r="Q1372" s="39">
        <v>0</v>
      </c>
      <c r="R1372" s="39">
        <v>0</v>
      </c>
      <c r="S1372" s="39">
        <v>0</v>
      </c>
      <c r="T1372" s="39">
        <v>0</v>
      </c>
      <c r="U1372" s="39">
        <v>0</v>
      </c>
      <c r="V1372" s="39">
        <v>0</v>
      </c>
      <c r="W1372" s="39">
        <v>0</v>
      </c>
      <c r="X1372" s="39">
        <v>0</v>
      </c>
      <c r="Y1372" s="39">
        <v>0</v>
      </c>
      <c r="Z1372" s="39">
        <v>2106.2399999999998</v>
      </c>
      <c r="AA1372" s="39">
        <v>0</v>
      </c>
      <c r="AB1372" s="39">
        <v>0</v>
      </c>
      <c r="AC1372" s="39">
        <v>0</v>
      </c>
      <c r="AD1372" s="39">
        <v>0</v>
      </c>
      <c r="AE1372" s="39">
        <v>105.6</v>
      </c>
      <c r="AF1372" s="39">
        <v>0</v>
      </c>
      <c r="AG1372" s="39">
        <v>0</v>
      </c>
      <c r="AH1372" s="39"/>
      <c r="AI1372" s="39"/>
      <c r="AJ1372" s="40"/>
      <c r="AK1372" s="39">
        <f t="shared" si="105"/>
        <v>97.413333333333341</v>
      </c>
      <c r="AL1372" s="39">
        <f t="shared" si="108"/>
        <v>184.31999999999996</v>
      </c>
      <c r="AM1372" s="39">
        <f t="shared" si="109"/>
        <v>17.599999999999998</v>
      </c>
      <c r="AN1372" s="39">
        <f t="shared" si="106"/>
        <v>221.18399999999997</v>
      </c>
      <c r="AO1372" s="39">
        <f t="shared" si="107"/>
        <v>2211.8399999999997</v>
      </c>
    </row>
    <row r="1373" spans="1:41" x14ac:dyDescent="0.3">
      <c r="A1373" s="20">
        <v>1000184670</v>
      </c>
      <c r="B1373" s="4" t="s">
        <v>147</v>
      </c>
      <c r="C1373" s="21"/>
      <c r="D1373" s="3"/>
      <c r="E1373" s="20">
        <v>1000184762</v>
      </c>
      <c r="F1373" s="4" t="s">
        <v>58</v>
      </c>
      <c r="G1373" s="21">
        <v>1000189817</v>
      </c>
      <c r="H1373" s="3" t="s">
        <v>94</v>
      </c>
      <c r="I1373" s="21">
        <v>1000189270</v>
      </c>
      <c r="J1373" s="3" t="s">
        <v>34</v>
      </c>
      <c r="K1373" s="20" t="s">
        <v>16</v>
      </c>
      <c r="L1373" s="39">
        <v>0</v>
      </c>
      <c r="M1373" s="39">
        <v>0</v>
      </c>
      <c r="N1373" s="39">
        <v>157.04</v>
      </c>
      <c r="O1373" s="39">
        <v>0</v>
      </c>
      <c r="P1373" s="39">
        <v>0</v>
      </c>
      <c r="Q1373" s="39">
        <v>0</v>
      </c>
      <c r="R1373" s="39">
        <v>0</v>
      </c>
      <c r="S1373" s="39">
        <v>392.6</v>
      </c>
      <c r="T1373" s="39">
        <v>0</v>
      </c>
      <c r="U1373" s="39">
        <v>314.08</v>
      </c>
      <c r="V1373" s="39">
        <v>0</v>
      </c>
      <c r="W1373" s="39">
        <v>0</v>
      </c>
      <c r="X1373" s="39">
        <v>581.9</v>
      </c>
      <c r="Y1373" s="39">
        <v>0</v>
      </c>
      <c r="Z1373" s="39">
        <v>1361.43</v>
      </c>
      <c r="AA1373" s="39">
        <v>387.86</v>
      </c>
      <c r="AB1373" s="39">
        <v>251.41</v>
      </c>
      <c r="AC1373" s="39">
        <v>392.6</v>
      </c>
      <c r="AD1373" s="39">
        <v>0</v>
      </c>
      <c r="AE1373" s="39">
        <v>0</v>
      </c>
      <c r="AF1373" s="39">
        <v>0</v>
      </c>
      <c r="AG1373" s="39">
        <v>0</v>
      </c>
      <c r="AH1373" s="39"/>
      <c r="AI1373" s="39"/>
      <c r="AJ1373" s="40"/>
      <c r="AK1373" s="39">
        <f t="shared" si="105"/>
        <v>71.976666666666674</v>
      </c>
      <c r="AL1373" s="39">
        <f t="shared" si="108"/>
        <v>247.93333333333331</v>
      </c>
      <c r="AM1373" s="39">
        <f t="shared" si="109"/>
        <v>107.33499999999999</v>
      </c>
      <c r="AN1373" s="39">
        <f t="shared" si="106"/>
        <v>297.52</v>
      </c>
      <c r="AO1373" s="39">
        <f t="shared" si="107"/>
        <v>2975.2</v>
      </c>
    </row>
    <row r="1374" spans="1:41" x14ac:dyDescent="0.3">
      <c r="A1374" s="20">
        <v>1000184670</v>
      </c>
      <c r="B1374" s="4" t="s">
        <v>147</v>
      </c>
      <c r="C1374" s="21"/>
      <c r="D1374" s="3"/>
      <c r="E1374" s="20">
        <v>1000184762</v>
      </c>
      <c r="F1374" s="4" t="s">
        <v>58</v>
      </c>
      <c r="G1374" s="21">
        <v>1000189817</v>
      </c>
      <c r="H1374" s="3" t="s">
        <v>94</v>
      </c>
      <c r="I1374" s="21">
        <v>1000189270</v>
      </c>
      <c r="J1374" s="3" t="s">
        <v>34</v>
      </c>
      <c r="K1374" s="20" t="s">
        <v>15</v>
      </c>
      <c r="L1374" s="39">
        <v>810.71</v>
      </c>
      <c r="M1374" s="39">
        <v>-1422.64</v>
      </c>
      <c r="N1374" s="39">
        <v>0</v>
      </c>
      <c r="O1374" s="39">
        <v>0</v>
      </c>
      <c r="P1374" s="39">
        <v>0</v>
      </c>
      <c r="Q1374" s="39">
        <v>0</v>
      </c>
      <c r="R1374" s="39">
        <v>0</v>
      </c>
      <c r="S1374" s="39">
        <v>129.6</v>
      </c>
      <c r="T1374" s="39">
        <v>0</v>
      </c>
      <c r="U1374" s="39">
        <v>0</v>
      </c>
      <c r="V1374" s="39">
        <v>1812</v>
      </c>
      <c r="W1374" s="39">
        <v>943.2</v>
      </c>
      <c r="X1374" s="39">
        <v>0</v>
      </c>
      <c r="Y1374" s="39">
        <v>1350</v>
      </c>
      <c r="Z1374" s="39">
        <v>1719.79</v>
      </c>
      <c r="AA1374" s="39">
        <v>-202.5</v>
      </c>
      <c r="AB1374" s="39">
        <v>249.37</v>
      </c>
      <c r="AC1374" s="39">
        <v>239.4</v>
      </c>
      <c r="AD1374" s="39">
        <v>599.4</v>
      </c>
      <c r="AE1374" s="39">
        <v>578.6</v>
      </c>
      <c r="AF1374" s="39">
        <v>1308</v>
      </c>
      <c r="AG1374" s="39">
        <v>0</v>
      </c>
      <c r="AH1374" s="39"/>
      <c r="AI1374" s="39"/>
      <c r="AJ1374" s="40"/>
      <c r="AK1374" s="39">
        <f t="shared" si="105"/>
        <v>189.40583333333333</v>
      </c>
      <c r="AL1374" s="39">
        <f t="shared" si="108"/>
        <v>716.43833333333316</v>
      </c>
      <c r="AM1374" s="39">
        <f t="shared" si="109"/>
        <v>495.79500000000002</v>
      </c>
      <c r="AN1374" s="39">
        <f t="shared" si="106"/>
        <v>584.20600000000002</v>
      </c>
      <c r="AO1374" s="39">
        <f t="shared" si="107"/>
        <v>5842.06</v>
      </c>
    </row>
    <row r="1375" spans="1:41" x14ac:dyDescent="0.3">
      <c r="A1375" s="20">
        <v>1000184670</v>
      </c>
      <c r="B1375" s="4" t="s">
        <v>147</v>
      </c>
      <c r="C1375" s="21"/>
      <c r="D1375" s="3"/>
      <c r="E1375" s="20">
        <v>1000184762</v>
      </c>
      <c r="F1375" s="4" t="s">
        <v>58</v>
      </c>
      <c r="G1375" s="21">
        <v>1000189817</v>
      </c>
      <c r="H1375" s="3" t="s">
        <v>94</v>
      </c>
      <c r="I1375" s="21">
        <v>1000189270</v>
      </c>
      <c r="J1375" s="3" t="s">
        <v>34</v>
      </c>
      <c r="K1375" s="20" t="s">
        <v>33</v>
      </c>
      <c r="L1375" s="39">
        <v>0</v>
      </c>
      <c r="M1375" s="39">
        <v>0</v>
      </c>
      <c r="N1375" s="39">
        <v>0</v>
      </c>
      <c r="O1375" s="39">
        <v>0</v>
      </c>
      <c r="P1375" s="39">
        <v>0</v>
      </c>
      <c r="Q1375" s="39">
        <v>0</v>
      </c>
      <c r="R1375" s="39">
        <v>0</v>
      </c>
      <c r="S1375" s="39">
        <v>0</v>
      </c>
      <c r="T1375" s="39">
        <v>0</v>
      </c>
      <c r="U1375" s="39">
        <v>0</v>
      </c>
      <c r="V1375" s="39">
        <v>0</v>
      </c>
      <c r="W1375" s="39">
        <v>0</v>
      </c>
      <c r="X1375" s="39">
        <v>0</v>
      </c>
      <c r="Y1375" s="39">
        <v>0</v>
      </c>
      <c r="Z1375" s="39">
        <v>0</v>
      </c>
      <c r="AA1375" s="39">
        <v>0</v>
      </c>
      <c r="AB1375" s="39">
        <v>0</v>
      </c>
      <c r="AC1375" s="39">
        <v>0</v>
      </c>
      <c r="AD1375" s="39">
        <v>0</v>
      </c>
      <c r="AE1375" s="39">
        <v>1016.1</v>
      </c>
      <c r="AF1375" s="39">
        <v>577.4</v>
      </c>
      <c r="AG1375" s="39">
        <v>525.4</v>
      </c>
      <c r="AH1375" s="39"/>
      <c r="AI1375" s="39"/>
      <c r="AJ1375" s="40"/>
      <c r="AK1375" s="39">
        <f t="shared" si="105"/>
        <v>0</v>
      </c>
      <c r="AL1375" s="39">
        <f t="shared" si="108"/>
        <v>176.57500000000002</v>
      </c>
      <c r="AM1375" s="39">
        <f t="shared" si="109"/>
        <v>353.15000000000003</v>
      </c>
      <c r="AN1375" s="39">
        <f t="shared" si="106"/>
        <v>211.89000000000001</v>
      </c>
      <c r="AO1375" s="39">
        <f t="shared" si="107"/>
        <v>2118.9</v>
      </c>
    </row>
    <row r="1376" spans="1:41" x14ac:dyDescent="0.3">
      <c r="A1376" s="20">
        <v>1000184670</v>
      </c>
      <c r="B1376" s="4" t="s">
        <v>147</v>
      </c>
      <c r="C1376" s="21"/>
      <c r="D1376" s="3"/>
      <c r="E1376" s="20">
        <v>1000184762</v>
      </c>
      <c r="F1376" s="4" t="s">
        <v>58</v>
      </c>
      <c r="G1376" s="21">
        <v>1000189817</v>
      </c>
      <c r="H1376" s="3" t="s">
        <v>94</v>
      </c>
      <c r="I1376" s="21">
        <v>1000189270</v>
      </c>
      <c r="J1376" s="3" t="s">
        <v>34</v>
      </c>
      <c r="K1376" s="20" t="s">
        <v>19</v>
      </c>
      <c r="L1376" s="39">
        <v>0</v>
      </c>
      <c r="M1376" s="39">
        <v>-420.58</v>
      </c>
      <c r="N1376" s="39">
        <v>0</v>
      </c>
      <c r="O1376" s="39">
        <v>0</v>
      </c>
      <c r="P1376" s="39">
        <v>0</v>
      </c>
      <c r="Q1376" s="39">
        <v>0</v>
      </c>
      <c r="R1376" s="39">
        <v>0</v>
      </c>
      <c r="S1376" s="39">
        <v>0</v>
      </c>
      <c r="T1376" s="39">
        <v>0</v>
      </c>
      <c r="U1376" s="39">
        <v>0</v>
      </c>
      <c r="V1376" s="39">
        <v>1152</v>
      </c>
      <c r="W1376" s="39">
        <v>0</v>
      </c>
      <c r="X1376" s="39">
        <v>0</v>
      </c>
      <c r="Y1376" s="39">
        <v>0</v>
      </c>
      <c r="Z1376" s="39">
        <v>136.09</v>
      </c>
      <c r="AA1376" s="39">
        <v>0</v>
      </c>
      <c r="AB1376" s="39">
        <v>0</v>
      </c>
      <c r="AC1376" s="39">
        <v>0</v>
      </c>
      <c r="AD1376" s="39">
        <v>0</v>
      </c>
      <c r="AE1376" s="39">
        <v>153.9</v>
      </c>
      <c r="AF1376" s="39">
        <v>0</v>
      </c>
      <c r="AG1376" s="39">
        <v>0</v>
      </c>
      <c r="AH1376" s="39"/>
      <c r="AI1376" s="39"/>
      <c r="AJ1376" s="40"/>
      <c r="AK1376" s="39">
        <f t="shared" si="105"/>
        <v>60.951666666666675</v>
      </c>
      <c r="AL1376" s="39">
        <f t="shared" si="108"/>
        <v>120.16583333333334</v>
      </c>
      <c r="AM1376" s="39">
        <f t="shared" si="109"/>
        <v>25.650000000000002</v>
      </c>
      <c r="AN1376" s="39">
        <f t="shared" si="106"/>
        <v>28.999000000000002</v>
      </c>
      <c r="AO1376" s="39">
        <f t="shared" si="107"/>
        <v>289.99</v>
      </c>
    </row>
    <row r="1377" spans="1:41" x14ac:dyDescent="0.3">
      <c r="A1377" s="20">
        <v>1000184670</v>
      </c>
      <c r="B1377" s="4" t="s">
        <v>147</v>
      </c>
      <c r="C1377" s="21"/>
      <c r="D1377" s="3"/>
      <c r="E1377" s="20">
        <v>1000184762</v>
      </c>
      <c r="F1377" s="4" t="s">
        <v>58</v>
      </c>
      <c r="G1377" s="21">
        <v>1000189817</v>
      </c>
      <c r="H1377" s="3" t="s">
        <v>94</v>
      </c>
      <c r="I1377" s="21">
        <v>1000189270</v>
      </c>
      <c r="J1377" s="3" t="s">
        <v>34</v>
      </c>
      <c r="K1377" s="20" t="s">
        <v>17</v>
      </c>
      <c r="L1377" s="39">
        <v>0</v>
      </c>
      <c r="M1377" s="39">
        <v>-2016.52</v>
      </c>
      <c r="N1377" s="39">
        <v>129.6</v>
      </c>
      <c r="O1377" s="39">
        <v>0</v>
      </c>
      <c r="P1377" s="39">
        <v>0</v>
      </c>
      <c r="Q1377" s="39">
        <v>0</v>
      </c>
      <c r="R1377" s="39">
        <v>0</v>
      </c>
      <c r="S1377" s="39">
        <v>129.6</v>
      </c>
      <c r="T1377" s="39">
        <v>0</v>
      </c>
      <c r="U1377" s="39">
        <v>129.6</v>
      </c>
      <c r="V1377" s="39">
        <v>0</v>
      </c>
      <c r="W1377" s="39">
        <v>0</v>
      </c>
      <c r="X1377" s="39">
        <v>195.5</v>
      </c>
      <c r="Y1377" s="39">
        <v>0</v>
      </c>
      <c r="Z1377" s="39">
        <v>721.46</v>
      </c>
      <c r="AA1377" s="39">
        <v>0</v>
      </c>
      <c r="AB1377" s="39">
        <v>0</v>
      </c>
      <c r="AC1377" s="39">
        <v>422.4</v>
      </c>
      <c r="AD1377" s="39">
        <v>0</v>
      </c>
      <c r="AE1377" s="39">
        <v>0</v>
      </c>
      <c r="AF1377" s="39">
        <v>0</v>
      </c>
      <c r="AG1377" s="39">
        <v>0</v>
      </c>
      <c r="AH1377" s="39"/>
      <c r="AI1377" s="39"/>
      <c r="AJ1377" s="40"/>
      <c r="AK1377" s="39">
        <f t="shared" si="105"/>
        <v>-135.64333333333335</v>
      </c>
      <c r="AL1377" s="39">
        <f t="shared" si="108"/>
        <v>111.61333333333334</v>
      </c>
      <c r="AM1377" s="39">
        <f t="shared" si="109"/>
        <v>70.399999999999991</v>
      </c>
      <c r="AN1377" s="39">
        <f t="shared" si="106"/>
        <v>133.93600000000001</v>
      </c>
      <c r="AO1377" s="39">
        <f t="shared" si="107"/>
        <v>1339.3600000000001</v>
      </c>
    </row>
    <row r="1378" spans="1:41" x14ac:dyDescent="0.3">
      <c r="A1378" s="20">
        <v>1000184670</v>
      </c>
      <c r="B1378" s="4" t="s">
        <v>147</v>
      </c>
      <c r="C1378" s="21"/>
      <c r="D1378" s="3"/>
      <c r="E1378" s="20">
        <v>1000184762</v>
      </c>
      <c r="F1378" s="4" t="s">
        <v>58</v>
      </c>
      <c r="G1378" s="21">
        <v>1000189817</v>
      </c>
      <c r="H1378" s="3" t="s">
        <v>94</v>
      </c>
      <c r="I1378" s="21">
        <v>1000189270</v>
      </c>
      <c r="J1378" s="3" t="s">
        <v>34</v>
      </c>
      <c r="K1378" s="20" t="s">
        <v>24</v>
      </c>
      <c r="L1378" s="39">
        <v>0</v>
      </c>
      <c r="M1378" s="39">
        <v>0</v>
      </c>
      <c r="N1378" s="39">
        <v>0</v>
      </c>
      <c r="O1378" s="39">
        <v>0</v>
      </c>
      <c r="P1378" s="39">
        <v>0</v>
      </c>
      <c r="Q1378" s="39">
        <v>0</v>
      </c>
      <c r="R1378" s="39">
        <v>0</v>
      </c>
      <c r="S1378" s="39">
        <v>0</v>
      </c>
      <c r="T1378" s="39">
        <v>0</v>
      </c>
      <c r="U1378" s="39">
        <v>0</v>
      </c>
      <c r="V1378" s="39">
        <v>0</v>
      </c>
      <c r="W1378" s="39">
        <v>0</v>
      </c>
      <c r="X1378" s="39">
        <v>0</v>
      </c>
      <c r="Y1378" s="39">
        <v>0</v>
      </c>
      <c r="Z1378" s="39">
        <v>33.65</v>
      </c>
      <c r="AA1378" s="39">
        <v>0</v>
      </c>
      <c r="AB1378" s="39">
        <v>0</v>
      </c>
      <c r="AC1378" s="39">
        <v>0</v>
      </c>
      <c r="AD1378" s="39">
        <v>0</v>
      </c>
      <c r="AE1378" s="39">
        <v>0</v>
      </c>
      <c r="AF1378" s="39">
        <v>0</v>
      </c>
      <c r="AG1378" s="39">
        <v>0</v>
      </c>
      <c r="AH1378" s="39"/>
      <c r="AI1378" s="39"/>
      <c r="AJ1378" s="40"/>
      <c r="AK1378" s="39">
        <f t="shared" si="105"/>
        <v>0</v>
      </c>
      <c r="AL1378" s="39">
        <f t="shared" si="108"/>
        <v>2.8041666666666667</v>
      </c>
      <c r="AM1378" s="39">
        <f t="shared" si="109"/>
        <v>0</v>
      </c>
      <c r="AN1378" s="39">
        <f t="shared" si="106"/>
        <v>3.3649999999999998</v>
      </c>
      <c r="AO1378" s="39">
        <f t="shared" si="107"/>
        <v>33.65</v>
      </c>
    </row>
    <row r="1379" spans="1:41" x14ac:dyDescent="0.3">
      <c r="A1379" s="20">
        <v>1000184670</v>
      </c>
      <c r="B1379" s="4" t="s">
        <v>147</v>
      </c>
      <c r="C1379" s="21"/>
      <c r="D1379" s="3"/>
      <c r="E1379" s="20">
        <v>1000184762</v>
      </c>
      <c r="F1379" s="4" t="s">
        <v>58</v>
      </c>
      <c r="G1379" s="21">
        <v>1000189817</v>
      </c>
      <c r="H1379" s="3" t="s">
        <v>94</v>
      </c>
      <c r="I1379" s="21">
        <v>1000189270</v>
      </c>
      <c r="J1379" s="3" t="s">
        <v>34</v>
      </c>
      <c r="K1379" s="20" t="s">
        <v>18</v>
      </c>
      <c r="L1379" s="39">
        <v>0</v>
      </c>
      <c r="M1379" s="39">
        <v>-564.79999999999995</v>
      </c>
      <c r="N1379" s="39">
        <v>369.6</v>
      </c>
      <c r="O1379" s="39">
        <v>0</v>
      </c>
      <c r="P1379" s="39">
        <v>2772</v>
      </c>
      <c r="Q1379" s="39">
        <v>0</v>
      </c>
      <c r="R1379" s="39">
        <v>0</v>
      </c>
      <c r="S1379" s="39">
        <v>924</v>
      </c>
      <c r="T1379" s="39">
        <v>0</v>
      </c>
      <c r="U1379" s="39">
        <v>0</v>
      </c>
      <c r="V1379" s="39">
        <v>0</v>
      </c>
      <c r="W1379" s="39">
        <v>0</v>
      </c>
      <c r="X1379" s="39">
        <v>0</v>
      </c>
      <c r="Y1379" s="39">
        <v>0</v>
      </c>
      <c r="Z1379" s="39">
        <v>527.82000000000005</v>
      </c>
      <c r="AA1379" s="39">
        <v>0</v>
      </c>
      <c r="AB1379" s="39">
        <v>0</v>
      </c>
      <c r="AC1379" s="39">
        <v>184.8</v>
      </c>
      <c r="AD1379" s="39">
        <v>0</v>
      </c>
      <c r="AE1379" s="39">
        <v>0</v>
      </c>
      <c r="AF1379" s="39">
        <v>0</v>
      </c>
      <c r="AG1379" s="39">
        <v>0</v>
      </c>
      <c r="AH1379" s="39"/>
      <c r="AI1379" s="39"/>
      <c r="AJ1379" s="40"/>
      <c r="AK1379" s="39">
        <f t="shared" si="105"/>
        <v>291.73333333333335</v>
      </c>
      <c r="AL1379" s="39">
        <f t="shared" si="108"/>
        <v>59.385000000000012</v>
      </c>
      <c r="AM1379" s="39">
        <f t="shared" si="109"/>
        <v>30.8</v>
      </c>
      <c r="AN1379" s="39">
        <f t="shared" si="106"/>
        <v>71.262000000000015</v>
      </c>
      <c r="AO1379" s="39">
        <f t="shared" si="107"/>
        <v>712.62000000000012</v>
      </c>
    </row>
    <row r="1380" spans="1:41" x14ac:dyDescent="0.3">
      <c r="A1380" s="20">
        <v>1000184670</v>
      </c>
      <c r="B1380" s="4" t="s">
        <v>147</v>
      </c>
      <c r="C1380" s="21"/>
      <c r="D1380" s="3"/>
      <c r="E1380" s="20">
        <v>1000184762</v>
      </c>
      <c r="F1380" s="4" t="s">
        <v>58</v>
      </c>
      <c r="G1380" s="21">
        <v>1000189817</v>
      </c>
      <c r="H1380" s="3" t="s">
        <v>94</v>
      </c>
      <c r="I1380" s="21">
        <v>1000189270</v>
      </c>
      <c r="J1380" s="3" t="s">
        <v>34</v>
      </c>
      <c r="K1380" s="20" t="s">
        <v>29</v>
      </c>
      <c r="L1380" s="39">
        <v>0</v>
      </c>
      <c r="M1380" s="39">
        <v>0</v>
      </c>
      <c r="N1380" s="39">
        <v>0</v>
      </c>
      <c r="O1380" s="39">
        <v>0</v>
      </c>
      <c r="P1380" s="39">
        <v>0</v>
      </c>
      <c r="Q1380" s="39">
        <v>0</v>
      </c>
      <c r="R1380" s="39">
        <v>0</v>
      </c>
      <c r="S1380" s="39">
        <v>0</v>
      </c>
      <c r="T1380" s="39">
        <v>0</v>
      </c>
      <c r="U1380" s="39">
        <v>0</v>
      </c>
      <c r="V1380" s="39">
        <v>0</v>
      </c>
      <c r="W1380" s="39">
        <v>0</v>
      </c>
      <c r="X1380" s="39">
        <v>0</v>
      </c>
      <c r="Y1380" s="39">
        <v>0</v>
      </c>
      <c r="Z1380" s="39">
        <v>0</v>
      </c>
      <c r="AA1380" s="39">
        <v>0</v>
      </c>
      <c r="AB1380" s="39">
        <v>0</v>
      </c>
      <c r="AC1380" s="39">
        <v>0</v>
      </c>
      <c r="AD1380" s="39">
        <v>1994.86</v>
      </c>
      <c r="AE1380" s="39">
        <v>5151.6499999999996</v>
      </c>
      <c r="AF1380" s="39">
        <v>3378.8</v>
      </c>
      <c r="AG1380" s="39">
        <v>4235.13</v>
      </c>
      <c r="AH1380" s="39"/>
      <c r="AI1380" s="39"/>
      <c r="AJ1380" s="40"/>
      <c r="AK1380" s="39">
        <f t="shared" si="105"/>
        <v>0</v>
      </c>
      <c r="AL1380" s="39">
        <f t="shared" si="108"/>
        <v>1230.0366666666666</v>
      </c>
      <c r="AM1380" s="39">
        <f t="shared" si="109"/>
        <v>2460.0733333333333</v>
      </c>
      <c r="AN1380" s="39">
        <f t="shared" si="106"/>
        <v>1476.0439999999999</v>
      </c>
      <c r="AO1380" s="39">
        <f t="shared" si="107"/>
        <v>14760.439999999999</v>
      </c>
    </row>
    <row r="1381" spans="1:41" x14ac:dyDescent="0.3">
      <c r="A1381" s="20">
        <v>1000184670</v>
      </c>
      <c r="B1381" s="4" t="s">
        <v>147</v>
      </c>
      <c r="C1381" s="21"/>
      <c r="D1381" s="3"/>
      <c r="E1381" s="20">
        <v>1000184762</v>
      </c>
      <c r="F1381" s="4" t="s">
        <v>58</v>
      </c>
      <c r="G1381" s="21">
        <v>1000189817</v>
      </c>
      <c r="H1381" s="3" t="s">
        <v>94</v>
      </c>
      <c r="I1381" s="21">
        <v>1000189270</v>
      </c>
      <c r="J1381" s="3" t="s">
        <v>34</v>
      </c>
      <c r="K1381" s="20" t="s">
        <v>21</v>
      </c>
      <c r="L1381" s="39">
        <v>0</v>
      </c>
      <c r="M1381" s="39">
        <v>-1925.1</v>
      </c>
      <c r="N1381" s="39">
        <v>726</v>
      </c>
      <c r="O1381" s="39">
        <v>-222</v>
      </c>
      <c r="P1381" s="39">
        <v>0</v>
      </c>
      <c r="Q1381" s="39">
        <v>0</v>
      </c>
      <c r="R1381" s="39">
        <v>0</v>
      </c>
      <c r="S1381" s="39">
        <v>558</v>
      </c>
      <c r="T1381" s="39">
        <v>0</v>
      </c>
      <c r="U1381" s="39">
        <v>0</v>
      </c>
      <c r="V1381" s="39">
        <v>0</v>
      </c>
      <c r="W1381" s="39">
        <v>0</v>
      </c>
      <c r="X1381" s="39">
        <v>0</v>
      </c>
      <c r="Y1381" s="39">
        <v>0</v>
      </c>
      <c r="Z1381" s="39">
        <v>158.44999999999999</v>
      </c>
      <c r="AA1381" s="39">
        <v>846</v>
      </c>
      <c r="AB1381" s="39">
        <v>62.4</v>
      </c>
      <c r="AC1381" s="39">
        <v>0</v>
      </c>
      <c r="AD1381" s="39">
        <v>0</v>
      </c>
      <c r="AE1381" s="39">
        <v>254.02</v>
      </c>
      <c r="AF1381" s="39">
        <v>594</v>
      </c>
      <c r="AG1381" s="39">
        <v>0</v>
      </c>
      <c r="AH1381" s="39"/>
      <c r="AI1381" s="39"/>
      <c r="AJ1381" s="40"/>
      <c r="AK1381" s="39">
        <f t="shared" si="105"/>
        <v>-71.924999999999997</v>
      </c>
      <c r="AL1381" s="39">
        <f t="shared" si="108"/>
        <v>159.57250000000002</v>
      </c>
      <c r="AM1381" s="39">
        <f t="shared" si="109"/>
        <v>151.73666666666668</v>
      </c>
      <c r="AN1381" s="39">
        <f t="shared" si="106"/>
        <v>191.48700000000002</v>
      </c>
      <c r="AO1381" s="39">
        <f t="shared" si="107"/>
        <v>1914.8700000000001</v>
      </c>
    </row>
    <row r="1382" spans="1:41" x14ac:dyDescent="0.3">
      <c r="A1382" s="20">
        <v>1000184670</v>
      </c>
      <c r="B1382" s="4" t="s">
        <v>147</v>
      </c>
      <c r="C1382" s="21"/>
      <c r="D1382" s="3"/>
      <c r="E1382" s="20">
        <v>1000184762</v>
      </c>
      <c r="F1382" s="4" t="s">
        <v>58</v>
      </c>
      <c r="G1382" s="21">
        <v>1000189817</v>
      </c>
      <c r="H1382" s="3" t="s">
        <v>94</v>
      </c>
      <c r="I1382" s="21">
        <v>1000189270</v>
      </c>
      <c r="J1382" s="3" t="s">
        <v>34</v>
      </c>
      <c r="K1382" s="20" t="s">
        <v>20</v>
      </c>
      <c r="L1382" s="39">
        <v>0</v>
      </c>
      <c r="M1382" s="39">
        <v>-1723.94</v>
      </c>
      <c r="N1382" s="39">
        <v>105</v>
      </c>
      <c r="O1382" s="39">
        <v>0</v>
      </c>
      <c r="P1382" s="39">
        <v>0</v>
      </c>
      <c r="Q1382" s="39">
        <v>0</v>
      </c>
      <c r="R1382" s="39">
        <v>0</v>
      </c>
      <c r="S1382" s="39">
        <v>0</v>
      </c>
      <c r="T1382" s="39">
        <v>253.2</v>
      </c>
      <c r="U1382" s="39">
        <v>0</v>
      </c>
      <c r="V1382" s="39">
        <v>0</v>
      </c>
      <c r="W1382" s="39">
        <v>0</v>
      </c>
      <c r="X1382" s="39">
        <v>440.73</v>
      </c>
      <c r="Y1382" s="39">
        <v>0</v>
      </c>
      <c r="Z1382" s="39">
        <v>23.85</v>
      </c>
      <c r="AA1382" s="39">
        <v>50.95</v>
      </c>
      <c r="AB1382" s="39">
        <v>64.83</v>
      </c>
      <c r="AC1382" s="39">
        <v>0</v>
      </c>
      <c r="AD1382" s="39">
        <v>0</v>
      </c>
      <c r="AE1382" s="39">
        <v>77.22</v>
      </c>
      <c r="AF1382" s="39">
        <v>0</v>
      </c>
      <c r="AG1382" s="39">
        <v>0</v>
      </c>
      <c r="AH1382" s="39"/>
      <c r="AI1382" s="39"/>
      <c r="AJ1382" s="40"/>
      <c r="AK1382" s="39">
        <f t="shared" si="105"/>
        <v>-113.81166666666667</v>
      </c>
      <c r="AL1382" s="39">
        <f t="shared" si="108"/>
        <v>54.798333333333346</v>
      </c>
      <c r="AM1382" s="39">
        <f t="shared" si="109"/>
        <v>23.675000000000001</v>
      </c>
      <c r="AN1382" s="39">
        <f t="shared" si="106"/>
        <v>65.75800000000001</v>
      </c>
      <c r="AO1382" s="39">
        <f t="shared" si="107"/>
        <v>657.58000000000015</v>
      </c>
    </row>
    <row r="1383" spans="1:41" x14ac:dyDescent="0.3">
      <c r="A1383" s="20">
        <v>1000184670</v>
      </c>
      <c r="B1383" s="4" t="s">
        <v>147</v>
      </c>
      <c r="C1383" s="21"/>
      <c r="D1383" s="3"/>
      <c r="E1383" s="20">
        <v>1000184762</v>
      </c>
      <c r="F1383" s="4" t="s">
        <v>58</v>
      </c>
      <c r="G1383" s="21">
        <v>1000189817</v>
      </c>
      <c r="H1383" s="3" t="s">
        <v>94</v>
      </c>
      <c r="I1383" s="21">
        <v>1000189270</v>
      </c>
      <c r="J1383" s="3" t="s">
        <v>34</v>
      </c>
      <c r="K1383" s="20" t="s">
        <v>22</v>
      </c>
      <c r="L1383" s="39">
        <v>1582.05</v>
      </c>
      <c r="M1383" s="39">
        <v>-300.83999999999997</v>
      </c>
      <c r="N1383" s="39">
        <v>2070</v>
      </c>
      <c r="O1383" s="39">
        <v>0</v>
      </c>
      <c r="P1383" s="39">
        <v>0</v>
      </c>
      <c r="Q1383" s="39">
        <v>1908</v>
      </c>
      <c r="R1383" s="39">
        <v>0</v>
      </c>
      <c r="S1383" s="39">
        <v>1908</v>
      </c>
      <c r="T1383" s="39">
        <v>415.2</v>
      </c>
      <c r="U1383" s="39">
        <v>1908</v>
      </c>
      <c r="V1383" s="39">
        <v>0</v>
      </c>
      <c r="W1383" s="39">
        <v>273</v>
      </c>
      <c r="X1383" s="39">
        <v>2760</v>
      </c>
      <c r="Y1383" s="39">
        <v>0</v>
      </c>
      <c r="Z1383" s="39">
        <v>1381.27</v>
      </c>
      <c r="AA1383" s="39">
        <v>0</v>
      </c>
      <c r="AB1383" s="39">
        <v>1734</v>
      </c>
      <c r="AC1383" s="39">
        <v>0</v>
      </c>
      <c r="AD1383" s="39">
        <v>0</v>
      </c>
      <c r="AE1383" s="39">
        <v>2249</v>
      </c>
      <c r="AF1383" s="39">
        <v>0</v>
      </c>
      <c r="AG1383" s="39">
        <v>1860.45</v>
      </c>
      <c r="AH1383" s="39"/>
      <c r="AI1383" s="39"/>
      <c r="AJ1383" s="40"/>
      <c r="AK1383" s="39">
        <f t="shared" si="105"/>
        <v>813.61749999999995</v>
      </c>
      <c r="AL1383" s="39">
        <f t="shared" si="108"/>
        <v>854.81000000000006</v>
      </c>
      <c r="AM1383" s="39">
        <f t="shared" si="109"/>
        <v>973.9083333333333</v>
      </c>
      <c r="AN1383" s="39">
        <f t="shared" si="106"/>
        <v>998.47200000000009</v>
      </c>
      <c r="AO1383" s="39">
        <f t="shared" si="107"/>
        <v>9984.7200000000012</v>
      </c>
    </row>
    <row r="1384" spans="1:41" x14ac:dyDescent="0.3">
      <c r="A1384" s="20">
        <v>1000184670</v>
      </c>
      <c r="B1384" s="4" t="s">
        <v>147</v>
      </c>
      <c r="C1384" s="21"/>
      <c r="D1384" s="3"/>
      <c r="E1384" s="20">
        <v>1000184762</v>
      </c>
      <c r="F1384" s="4" t="s">
        <v>58</v>
      </c>
      <c r="G1384" s="21">
        <v>1000189817</v>
      </c>
      <c r="H1384" s="3" t="s">
        <v>94</v>
      </c>
      <c r="I1384" s="21">
        <v>1000189270</v>
      </c>
      <c r="J1384" s="3" t="s">
        <v>34</v>
      </c>
      <c r="K1384" s="20" t="s">
        <v>23</v>
      </c>
      <c r="L1384" s="39">
        <v>349.88</v>
      </c>
      <c r="M1384" s="39">
        <v>-3639.23</v>
      </c>
      <c r="N1384" s="39">
        <v>0</v>
      </c>
      <c r="O1384" s="39">
        <v>0</v>
      </c>
      <c r="P1384" s="39">
        <v>0</v>
      </c>
      <c r="Q1384" s="39">
        <v>0</v>
      </c>
      <c r="R1384" s="39">
        <v>0</v>
      </c>
      <c r="S1384" s="39">
        <v>78</v>
      </c>
      <c r="T1384" s="39">
        <v>0</v>
      </c>
      <c r="U1384" s="39">
        <v>37.200000000000003</v>
      </c>
      <c r="V1384" s="39">
        <v>0</v>
      </c>
      <c r="W1384" s="39">
        <v>0</v>
      </c>
      <c r="X1384" s="39">
        <v>0</v>
      </c>
      <c r="Y1384" s="39">
        <v>0</v>
      </c>
      <c r="Z1384" s="39">
        <v>0</v>
      </c>
      <c r="AA1384" s="39">
        <v>0</v>
      </c>
      <c r="AB1384" s="39">
        <v>0</v>
      </c>
      <c r="AC1384" s="39">
        <v>0</v>
      </c>
      <c r="AD1384" s="39">
        <v>0</v>
      </c>
      <c r="AE1384" s="39">
        <v>0</v>
      </c>
      <c r="AF1384" s="39">
        <v>0</v>
      </c>
      <c r="AG1384" s="39">
        <v>3.3</v>
      </c>
      <c r="AH1384" s="39"/>
      <c r="AI1384" s="39"/>
      <c r="AJ1384" s="40"/>
      <c r="AK1384" s="39">
        <f t="shared" si="105"/>
        <v>-264.51249999999999</v>
      </c>
      <c r="AL1384" s="39">
        <f t="shared" si="108"/>
        <v>0.27499999999999997</v>
      </c>
      <c r="AM1384" s="39">
        <f t="shared" si="109"/>
        <v>0.54999999999999993</v>
      </c>
      <c r="AN1384" s="39">
        <f t="shared" si="106"/>
        <v>0.32999999999999996</v>
      </c>
      <c r="AO1384" s="39">
        <f t="shared" si="107"/>
        <v>3.3</v>
      </c>
    </row>
    <row r="1385" spans="1:41" x14ac:dyDescent="0.3">
      <c r="A1385" s="20">
        <v>1000184670</v>
      </c>
      <c r="B1385" s="4" t="s">
        <v>147</v>
      </c>
      <c r="C1385" s="21"/>
      <c r="D1385" s="3"/>
      <c r="E1385" s="20">
        <v>1000184762</v>
      </c>
      <c r="F1385" s="4" t="s">
        <v>58</v>
      </c>
      <c r="G1385" s="21">
        <v>1000189817</v>
      </c>
      <c r="H1385" s="3" t="s">
        <v>94</v>
      </c>
      <c r="I1385" s="21">
        <v>1000189270</v>
      </c>
      <c r="J1385" s="3" t="s">
        <v>34</v>
      </c>
      <c r="K1385" s="20" t="s">
        <v>28</v>
      </c>
      <c r="L1385" s="39">
        <v>0</v>
      </c>
      <c r="M1385" s="39">
        <v>-452.4</v>
      </c>
      <c r="N1385" s="39">
        <v>0</v>
      </c>
      <c r="O1385" s="39">
        <v>0</v>
      </c>
      <c r="P1385" s="39">
        <v>0</v>
      </c>
      <c r="Q1385" s="39">
        <v>0</v>
      </c>
      <c r="R1385" s="39">
        <v>0</v>
      </c>
      <c r="S1385" s="39">
        <v>0</v>
      </c>
      <c r="T1385" s="39">
        <v>0</v>
      </c>
      <c r="U1385" s="39">
        <v>0</v>
      </c>
      <c r="V1385" s="39">
        <v>0</v>
      </c>
      <c r="W1385" s="39">
        <v>0</v>
      </c>
      <c r="X1385" s="39">
        <v>0</v>
      </c>
      <c r="Y1385" s="39">
        <v>0</v>
      </c>
      <c r="Z1385" s="39">
        <v>0</v>
      </c>
      <c r="AA1385" s="39">
        <v>0</v>
      </c>
      <c r="AB1385" s="39">
        <v>0</v>
      </c>
      <c r="AC1385" s="39">
        <v>0</v>
      </c>
      <c r="AD1385" s="39">
        <v>0</v>
      </c>
      <c r="AE1385" s="39">
        <v>0</v>
      </c>
      <c r="AF1385" s="39">
        <v>0</v>
      </c>
      <c r="AG1385" s="39">
        <v>0</v>
      </c>
      <c r="AH1385" s="39"/>
      <c r="AI1385" s="39"/>
      <c r="AJ1385" s="40"/>
      <c r="AK1385" s="39">
        <f t="shared" si="105"/>
        <v>-37.699999999999996</v>
      </c>
      <c r="AL1385" s="39">
        <f t="shared" si="108"/>
        <v>0</v>
      </c>
      <c r="AM1385" s="39">
        <f t="shared" si="109"/>
        <v>0</v>
      </c>
      <c r="AN1385" s="39">
        <f t="shared" si="106"/>
        <v>0</v>
      </c>
      <c r="AO1385" s="39">
        <f t="shared" si="107"/>
        <v>0</v>
      </c>
    </row>
    <row r="1386" spans="1:41" x14ac:dyDescent="0.3">
      <c r="A1386" s="20">
        <v>1000184670</v>
      </c>
      <c r="B1386" s="4" t="s">
        <v>147</v>
      </c>
      <c r="C1386" s="21"/>
      <c r="D1386" s="3"/>
      <c r="E1386" s="20">
        <v>1000184762</v>
      </c>
      <c r="F1386" s="4" t="s">
        <v>58</v>
      </c>
      <c r="G1386" s="21">
        <v>1000189817</v>
      </c>
      <c r="H1386" s="3" t="s">
        <v>94</v>
      </c>
      <c r="I1386" s="21">
        <v>1000189270</v>
      </c>
      <c r="J1386" s="3" t="s">
        <v>34</v>
      </c>
      <c r="K1386" s="20" t="s">
        <v>26</v>
      </c>
      <c r="L1386" s="39">
        <v>0</v>
      </c>
      <c r="M1386" s="39">
        <v>0</v>
      </c>
      <c r="N1386" s="39">
        <v>1336.5</v>
      </c>
      <c r="O1386" s="39">
        <v>0</v>
      </c>
      <c r="P1386" s="39">
        <v>0</v>
      </c>
      <c r="Q1386" s="39">
        <v>0</v>
      </c>
      <c r="R1386" s="39">
        <v>0</v>
      </c>
      <c r="S1386" s="39">
        <v>891</v>
      </c>
      <c r="T1386" s="39">
        <v>0</v>
      </c>
      <c r="U1386" s="39">
        <v>891</v>
      </c>
      <c r="V1386" s="39">
        <v>0</v>
      </c>
      <c r="W1386" s="39">
        <v>0</v>
      </c>
      <c r="X1386" s="39">
        <v>3450</v>
      </c>
      <c r="Y1386" s="39">
        <v>0</v>
      </c>
      <c r="Z1386" s="39">
        <v>2465.73</v>
      </c>
      <c r="AA1386" s="39">
        <v>0</v>
      </c>
      <c r="AB1386" s="39">
        <v>0</v>
      </c>
      <c r="AC1386" s="39">
        <v>1821.6</v>
      </c>
      <c r="AD1386" s="39">
        <v>0</v>
      </c>
      <c r="AE1386" s="39">
        <v>0</v>
      </c>
      <c r="AF1386" s="39">
        <v>0</v>
      </c>
      <c r="AG1386" s="39">
        <v>0</v>
      </c>
      <c r="AH1386" s="39"/>
      <c r="AI1386" s="39"/>
      <c r="AJ1386" s="40"/>
      <c r="AK1386" s="39">
        <f t="shared" si="105"/>
        <v>259.875</v>
      </c>
      <c r="AL1386" s="39">
        <f t="shared" si="108"/>
        <v>644.77750000000003</v>
      </c>
      <c r="AM1386" s="39">
        <f t="shared" si="109"/>
        <v>303.59999999999997</v>
      </c>
      <c r="AN1386" s="39">
        <f t="shared" si="106"/>
        <v>773.73299999999995</v>
      </c>
      <c r="AO1386" s="39">
        <f t="shared" si="107"/>
        <v>7737.33</v>
      </c>
    </row>
    <row r="1387" spans="1:41" x14ac:dyDescent="0.3">
      <c r="A1387" s="20">
        <v>1000184670</v>
      </c>
      <c r="B1387" s="4" t="s">
        <v>147</v>
      </c>
      <c r="C1387" s="21"/>
      <c r="D1387" s="3"/>
      <c r="E1387" s="20">
        <v>1000184762</v>
      </c>
      <c r="F1387" s="4" t="s">
        <v>58</v>
      </c>
      <c r="G1387" s="21">
        <v>1000189817</v>
      </c>
      <c r="H1387" s="3" t="s">
        <v>94</v>
      </c>
      <c r="I1387" s="21">
        <v>1000189270</v>
      </c>
      <c r="J1387" s="3" t="s">
        <v>34</v>
      </c>
      <c r="K1387" s="20" t="s">
        <v>27</v>
      </c>
      <c r="L1387" s="39">
        <v>0</v>
      </c>
      <c r="M1387" s="39">
        <v>0</v>
      </c>
      <c r="N1387" s="39">
        <v>0</v>
      </c>
      <c r="O1387" s="39">
        <v>0</v>
      </c>
      <c r="P1387" s="39">
        <v>0</v>
      </c>
      <c r="Q1387" s="39">
        <v>0</v>
      </c>
      <c r="R1387" s="39">
        <v>0</v>
      </c>
      <c r="S1387" s="39">
        <v>0</v>
      </c>
      <c r="T1387" s="39">
        <v>0</v>
      </c>
      <c r="U1387" s="39">
        <v>0</v>
      </c>
      <c r="V1387" s="39">
        <v>0</v>
      </c>
      <c r="W1387" s="39">
        <v>0</v>
      </c>
      <c r="X1387" s="39">
        <v>0</v>
      </c>
      <c r="Y1387" s="39">
        <v>0</v>
      </c>
      <c r="Z1387" s="39">
        <v>420.61</v>
      </c>
      <c r="AA1387" s="39">
        <v>0</v>
      </c>
      <c r="AB1387" s="39">
        <v>0</v>
      </c>
      <c r="AC1387" s="39">
        <v>0</v>
      </c>
      <c r="AD1387" s="39">
        <v>0</v>
      </c>
      <c r="AE1387" s="39">
        <v>61.75</v>
      </c>
      <c r="AF1387" s="39">
        <v>9538.2000000000007</v>
      </c>
      <c r="AG1387" s="39">
        <v>0</v>
      </c>
      <c r="AH1387" s="39"/>
      <c r="AI1387" s="39"/>
      <c r="AJ1387" s="40"/>
      <c r="AK1387" s="39">
        <f t="shared" si="105"/>
        <v>0</v>
      </c>
      <c r="AL1387" s="39">
        <f t="shared" si="108"/>
        <v>835.04666666666674</v>
      </c>
      <c r="AM1387" s="39">
        <f t="shared" si="109"/>
        <v>1599.9916666666668</v>
      </c>
      <c r="AN1387" s="39">
        <f t="shared" si="106"/>
        <v>1002.0560000000002</v>
      </c>
      <c r="AO1387" s="39">
        <f t="shared" si="107"/>
        <v>10020.560000000001</v>
      </c>
    </row>
    <row r="1388" spans="1:41" x14ac:dyDescent="0.3">
      <c r="A1388" s="20">
        <v>1000184670</v>
      </c>
      <c r="B1388" s="4" t="s">
        <v>147</v>
      </c>
      <c r="C1388" s="21"/>
      <c r="D1388" s="3"/>
      <c r="E1388" s="20">
        <v>1000184762</v>
      </c>
      <c r="F1388" s="4" t="s">
        <v>58</v>
      </c>
      <c r="G1388" s="21">
        <v>1000189817</v>
      </c>
      <c r="H1388" s="3" t="s">
        <v>94</v>
      </c>
      <c r="I1388" s="21">
        <v>1000189270</v>
      </c>
      <c r="J1388" s="3" t="s">
        <v>34</v>
      </c>
      <c r="K1388" s="20" t="s">
        <v>25</v>
      </c>
      <c r="L1388" s="39">
        <v>0</v>
      </c>
      <c r="M1388" s="39">
        <v>-1063.48</v>
      </c>
      <c r="N1388" s="39">
        <v>158.4</v>
      </c>
      <c r="O1388" s="39">
        <v>0</v>
      </c>
      <c r="P1388" s="39">
        <v>633.6</v>
      </c>
      <c r="Q1388" s="39">
        <v>0</v>
      </c>
      <c r="R1388" s="39">
        <v>0</v>
      </c>
      <c r="S1388" s="39">
        <v>316.8</v>
      </c>
      <c r="T1388" s="39">
        <v>0</v>
      </c>
      <c r="U1388" s="39">
        <v>0</v>
      </c>
      <c r="V1388" s="39">
        <v>0</v>
      </c>
      <c r="W1388" s="39">
        <v>0</v>
      </c>
      <c r="X1388" s="39">
        <v>379.5</v>
      </c>
      <c r="Y1388" s="39">
        <v>0</v>
      </c>
      <c r="Z1388" s="39">
        <v>540</v>
      </c>
      <c r="AA1388" s="39">
        <v>0</v>
      </c>
      <c r="AB1388" s="39">
        <v>0</v>
      </c>
      <c r="AC1388" s="39">
        <v>540</v>
      </c>
      <c r="AD1388" s="39">
        <v>0</v>
      </c>
      <c r="AE1388" s="39">
        <v>0</v>
      </c>
      <c r="AF1388" s="39">
        <v>0</v>
      </c>
      <c r="AG1388" s="39">
        <v>49.5</v>
      </c>
      <c r="AH1388" s="39"/>
      <c r="AI1388" s="39"/>
      <c r="AJ1388" s="40"/>
      <c r="AK1388" s="39">
        <f t="shared" si="105"/>
        <v>3.776666666666666</v>
      </c>
      <c r="AL1388" s="39">
        <f t="shared" si="108"/>
        <v>125.75</v>
      </c>
      <c r="AM1388" s="39">
        <f t="shared" si="109"/>
        <v>98.25</v>
      </c>
      <c r="AN1388" s="39">
        <f t="shared" si="106"/>
        <v>150.9</v>
      </c>
      <c r="AO1388" s="39">
        <f t="shared" si="107"/>
        <v>1509</v>
      </c>
    </row>
    <row r="1389" spans="1:41" x14ac:dyDescent="0.3">
      <c r="A1389" s="20">
        <v>1000184670</v>
      </c>
      <c r="B1389" s="4" t="s">
        <v>147</v>
      </c>
      <c r="C1389" s="21"/>
      <c r="D1389" s="3"/>
      <c r="E1389" s="20">
        <v>1000184764</v>
      </c>
      <c r="F1389" s="4" t="s">
        <v>70</v>
      </c>
      <c r="G1389" s="21">
        <v>1000189818</v>
      </c>
      <c r="H1389" s="3" t="s">
        <v>72</v>
      </c>
      <c r="I1389" s="21">
        <v>1000189270</v>
      </c>
      <c r="J1389" s="3" t="s">
        <v>34</v>
      </c>
      <c r="K1389" s="20" t="s">
        <v>124</v>
      </c>
      <c r="L1389" s="39">
        <v>0</v>
      </c>
      <c r="M1389" s="39">
        <v>0</v>
      </c>
      <c r="N1389" s="39">
        <v>0</v>
      </c>
      <c r="O1389" s="39">
        <v>0</v>
      </c>
      <c r="P1389" s="39">
        <v>0</v>
      </c>
      <c r="Q1389" s="39">
        <v>0</v>
      </c>
      <c r="R1389" s="39">
        <v>0</v>
      </c>
      <c r="S1389" s="39">
        <v>0</v>
      </c>
      <c r="T1389" s="39">
        <v>0</v>
      </c>
      <c r="U1389" s="39">
        <v>0</v>
      </c>
      <c r="V1389" s="39">
        <v>0</v>
      </c>
      <c r="W1389" s="39">
        <v>0</v>
      </c>
      <c r="X1389" s="39">
        <v>0</v>
      </c>
      <c r="Y1389" s="39">
        <v>0</v>
      </c>
      <c r="Z1389" s="39">
        <v>0</v>
      </c>
      <c r="AA1389" s="39">
        <v>0</v>
      </c>
      <c r="AB1389" s="39">
        <v>0</v>
      </c>
      <c r="AC1389" s="39">
        <v>0</v>
      </c>
      <c r="AD1389" s="39">
        <v>0</v>
      </c>
      <c r="AE1389" s="39">
        <v>0</v>
      </c>
      <c r="AF1389" s="39">
        <v>0</v>
      </c>
      <c r="AG1389" s="39">
        <v>0</v>
      </c>
      <c r="AH1389" s="39"/>
      <c r="AI1389" s="39"/>
      <c r="AJ1389" s="40"/>
      <c r="AK1389" s="39">
        <f t="shared" si="105"/>
        <v>0</v>
      </c>
      <c r="AL1389" s="39">
        <f t="shared" si="108"/>
        <v>0</v>
      </c>
      <c r="AM1389" s="39">
        <f t="shared" si="109"/>
        <v>0</v>
      </c>
      <c r="AN1389" s="39">
        <f t="shared" si="106"/>
        <v>0</v>
      </c>
      <c r="AO1389" s="39">
        <f t="shared" si="107"/>
        <v>0</v>
      </c>
    </row>
    <row r="1390" spans="1:41" x14ac:dyDescent="0.3">
      <c r="A1390" s="20">
        <v>1000184670</v>
      </c>
      <c r="B1390" s="4" t="s">
        <v>147</v>
      </c>
      <c r="C1390" s="21"/>
      <c r="D1390" s="3"/>
      <c r="E1390" s="20">
        <v>1000184764</v>
      </c>
      <c r="F1390" s="4" t="s">
        <v>70</v>
      </c>
      <c r="G1390" s="21">
        <v>1000189818</v>
      </c>
      <c r="H1390" s="3" t="s">
        <v>72</v>
      </c>
      <c r="I1390" s="21">
        <v>1000189270</v>
      </c>
      <c r="J1390" s="3" t="s">
        <v>34</v>
      </c>
      <c r="K1390" s="20" t="s">
        <v>13</v>
      </c>
      <c r="L1390" s="39">
        <v>828.03</v>
      </c>
      <c r="M1390" s="39">
        <v>465.37</v>
      </c>
      <c r="N1390" s="39">
        <v>254.96</v>
      </c>
      <c r="O1390" s="39">
        <v>0</v>
      </c>
      <c r="P1390" s="39">
        <v>294.82</v>
      </c>
      <c r="Q1390" s="39">
        <v>489.86</v>
      </c>
      <c r="R1390" s="39">
        <v>233.58</v>
      </c>
      <c r="S1390" s="39">
        <v>332.92</v>
      </c>
      <c r="T1390" s="39">
        <v>52.39</v>
      </c>
      <c r="U1390" s="39">
        <v>726.7</v>
      </c>
      <c r="V1390" s="39">
        <v>0</v>
      </c>
      <c r="W1390" s="39">
        <v>474.15</v>
      </c>
      <c r="X1390" s="39">
        <v>0</v>
      </c>
      <c r="Y1390" s="39">
        <v>0</v>
      </c>
      <c r="Z1390" s="39">
        <v>363.6</v>
      </c>
      <c r="AA1390" s="39">
        <v>420</v>
      </c>
      <c r="AB1390" s="39">
        <v>612.9</v>
      </c>
      <c r="AC1390" s="39">
        <v>78</v>
      </c>
      <c r="AD1390" s="39">
        <v>522.6</v>
      </c>
      <c r="AE1390" s="39">
        <v>783</v>
      </c>
      <c r="AF1390" s="39">
        <v>1146.18</v>
      </c>
      <c r="AG1390" s="39">
        <v>630.9</v>
      </c>
      <c r="AH1390" s="39"/>
      <c r="AI1390" s="39"/>
      <c r="AJ1390" s="40"/>
      <c r="AK1390" s="39">
        <f t="shared" si="105"/>
        <v>346.065</v>
      </c>
      <c r="AL1390" s="39">
        <f t="shared" si="108"/>
        <v>419.27749999999997</v>
      </c>
      <c r="AM1390" s="39">
        <f t="shared" si="109"/>
        <v>628.93000000000006</v>
      </c>
      <c r="AN1390" s="39">
        <f t="shared" si="106"/>
        <v>455.71799999999996</v>
      </c>
      <c r="AO1390" s="39">
        <f t="shared" si="107"/>
        <v>4557.1799999999994</v>
      </c>
    </row>
    <row r="1391" spans="1:41" x14ac:dyDescent="0.3">
      <c r="A1391" s="20">
        <v>1000184670</v>
      </c>
      <c r="B1391" s="4" t="s">
        <v>147</v>
      </c>
      <c r="C1391" s="21"/>
      <c r="D1391" s="3"/>
      <c r="E1391" s="20">
        <v>1000184764</v>
      </c>
      <c r="F1391" s="4" t="s">
        <v>70</v>
      </c>
      <c r="G1391" s="21">
        <v>1000189818</v>
      </c>
      <c r="H1391" s="3" t="s">
        <v>72</v>
      </c>
      <c r="I1391" s="21">
        <v>1000189270</v>
      </c>
      <c r="J1391" s="3" t="s">
        <v>34</v>
      </c>
      <c r="K1391" s="20" t="s">
        <v>14</v>
      </c>
      <c r="L1391" s="39">
        <v>437.22</v>
      </c>
      <c r="M1391" s="39">
        <v>1063.6199999999999</v>
      </c>
      <c r="N1391" s="39">
        <v>314.39999999999998</v>
      </c>
      <c r="O1391" s="39">
        <v>494.4</v>
      </c>
      <c r="P1391" s="39">
        <v>517.20000000000005</v>
      </c>
      <c r="Q1391" s="39">
        <v>314.39999999999998</v>
      </c>
      <c r="R1391" s="39">
        <v>1056</v>
      </c>
      <c r="S1391" s="39">
        <v>674.4</v>
      </c>
      <c r="T1391" s="39">
        <v>314.39999999999998</v>
      </c>
      <c r="U1391" s="39">
        <v>366</v>
      </c>
      <c r="V1391" s="39">
        <v>408</v>
      </c>
      <c r="W1391" s="39">
        <v>210.15</v>
      </c>
      <c r="X1391" s="39">
        <v>442.75</v>
      </c>
      <c r="Y1391" s="39">
        <v>408</v>
      </c>
      <c r="Z1391" s="39">
        <v>204</v>
      </c>
      <c r="AA1391" s="39">
        <v>100.8</v>
      </c>
      <c r="AB1391" s="39">
        <v>1503.3</v>
      </c>
      <c r="AC1391" s="39">
        <v>0</v>
      </c>
      <c r="AD1391" s="39">
        <v>245.1</v>
      </c>
      <c r="AE1391" s="39">
        <v>1592.4</v>
      </c>
      <c r="AF1391" s="39">
        <v>1368</v>
      </c>
      <c r="AG1391" s="39">
        <v>1686</v>
      </c>
      <c r="AH1391" s="39"/>
      <c r="AI1391" s="39"/>
      <c r="AJ1391" s="40"/>
      <c r="AK1391" s="39">
        <f t="shared" si="105"/>
        <v>514.18249999999989</v>
      </c>
      <c r="AL1391" s="39">
        <f t="shared" si="108"/>
        <v>680.70833333333337</v>
      </c>
      <c r="AM1391" s="39">
        <f t="shared" si="109"/>
        <v>1065.8</v>
      </c>
      <c r="AN1391" s="39">
        <f t="shared" si="106"/>
        <v>755.03500000000008</v>
      </c>
      <c r="AO1391" s="39">
        <f t="shared" si="107"/>
        <v>7550.35</v>
      </c>
    </row>
    <row r="1392" spans="1:41" x14ac:dyDescent="0.3">
      <c r="A1392" s="20">
        <v>1000184670</v>
      </c>
      <c r="B1392" s="4" t="s">
        <v>147</v>
      </c>
      <c r="C1392" s="21"/>
      <c r="D1392" s="3"/>
      <c r="E1392" s="20">
        <v>1000184764</v>
      </c>
      <c r="F1392" s="4" t="s">
        <v>70</v>
      </c>
      <c r="G1392" s="21">
        <v>1000189818</v>
      </c>
      <c r="H1392" s="3" t="s">
        <v>72</v>
      </c>
      <c r="I1392" s="21">
        <v>1000189270</v>
      </c>
      <c r="J1392" s="3" t="s">
        <v>34</v>
      </c>
      <c r="K1392" s="20" t="s">
        <v>16</v>
      </c>
      <c r="L1392" s="39">
        <v>0</v>
      </c>
      <c r="M1392" s="39">
        <v>0</v>
      </c>
      <c r="N1392" s="39">
        <v>0</v>
      </c>
      <c r="O1392" s="39">
        <v>0</v>
      </c>
      <c r="P1392" s="39">
        <v>0</v>
      </c>
      <c r="Q1392" s="39">
        <v>157.04</v>
      </c>
      <c r="R1392" s="39">
        <v>0</v>
      </c>
      <c r="S1392" s="39">
        <v>78.52</v>
      </c>
      <c r="T1392" s="39">
        <v>0</v>
      </c>
      <c r="U1392" s="39">
        <v>157.04</v>
      </c>
      <c r="V1392" s="39">
        <v>0</v>
      </c>
      <c r="W1392" s="39">
        <v>88.4</v>
      </c>
      <c r="X1392" s="39">
        <v>0</v>
      </c>
      <c r="Y1392" s="39">
        <v>0</v>
      </c>
      <c r="Z1392" s="39">
        <v>78.52</v>
      </c>
      <c r="AA1392" s="39">
        <v>389.92</v>
      </c>
      <c r="AB1392" s="39">
        <v>845.16</v>
      </c>
      <c r="AC1392" s="39">
        <v>81.599999999999994</v>
      </c>
      <c r="AD1392" s="39">
        <v>393.6</v>
      </c>
      <c r="AE1392" s="39">
        <v>73.44</v>
      </c>
      <c r="AF1392" s="39">
        <v>597.6</v>
      </c>
      <c r="AG1392" s="39">
        <v>155.04</v>
      </c>
      <c r="AH1392" s="39"/>
      <c r="AI1392" s="39"/>
      <c r="AJ1392" s="40"/>
      <c r="AK1392" s="39">
        <f t="shared" ref="AK1392:AK1455" si="110">AVERAGE(L1392:W1392)</f>
        <v>40.083333333333336</v>
      </c>
      <c r="AL1392" s="39">
        <f t="shared" si="108"/>
        <v>225.27333333333331</v>
      </c>
      <c r="AM1392" s="39">
        <f t="shared" si="109"/>
        <v>357.74</v>
      </c>
      <c r="AN1392" s="39">
        <f t="shared" ref="AN1392:AN1455" si="111">AVERAGE(X1392:AI1392)</f>
        <v>261.48799999999994</v>
      </c>
      <c r="AO1392" s="39">
        <f t="shared" ref="AO1392:AO1455" si="112">SUM(X1392:AI1392)</f>
        <v>2614.8799999999997</v>
      </c>
    </row>
    <row r="1393" spans="1:41" x14ac:dyDescent="0.3">
      <c r="A1393" s="20">
        <v>1000184670</v>
      </c>
      <c r="B1393" s="4" t="s">
        <v>147</v>
      </c>
      <c r="C1393" s="21"/>
      <c r="D1393" s="3"/>
      <c r="E1393" s="20">
        <v>1000184764</v>
      </c>
      <c r="F1393" s="4" t="s">
        <v>70</v>
      </c>
      <c r="G1393" s="21">
        <v>1000189818</v>
      </c>
      <c r="H1393" s="3" t="s">
        <v>72</v>
      </c>
      <c r="I1393" s="21">
        <v>1000189270</v>
      </c>
      <c r="J1393" s="3" t="s">
        <v>34</v>
      </c>
      <c r="K1393" s="20" t="s">
        <v>15</v>
      </c>
      <c r="L1393" s="39">
        <v>3401.14</v>
      </c>
      <c r="M1393" s="39">
        <v>2233.2600000000002</v>
      </c>
      <c r="N1393" s="39">
        <v>2373.84</v>
      </c>
      <c r="O1393" s="39">
        <v>1357.56</v>
      </c>
      <c r="P1393" s="39">
        <v>3154.17</v>
      </c>
      <c r="Q1393" s="39">
        <v>3124.44</v>
      </c>
      <c r="R1393" s="39">
        <v>274.32</v>
      </c>
      <c r="S1393" s="39">
        <v>3950.64</v>
      </c>
      <c r="T1393" s="39">
        <v>1067.04</v>
      </c>
      <c r="U1393" s="39">
        <v>262.8</v>
      </c>
      <c r="V1393" s="39">
        <v>1008</v>
      </c>
      <c r="W1393" s="39">
        <v>1843.14</v>
      </c>
      <c r="X1393" s="39">
        <v>1021.37</v>
      </c>
      <c r="Y1393" s="39">
        <v>756</v>
      </c>
      <c r="Z1393" s="39">
        <v>1677.6</v>
      </c>
      <c r="AA1393" s="39">
        <v>2218.1999999999998</v>
      </c>
      <c r="AB1393" s="39">
        <v>734.76</v>
      </c>
      <c r="AC1393" s="39">
        <v>661.5</v>
      </c>
      <c r="AD1393" s="39">
        <v>2715.98</v>
      </c>
      <c r="AE1393" s="39">
        <v>3232.5</v>
      </c>
      <c r="AF1393" s="39">
        <v>2022.45</v>
      </c>
      <c r="AG1393" s="39">
        <v>4992.51</v>
      </c>
      <c r="AH1393" s="39"/>
      <c r="AI1393" s="39"/>
      <c r="AJ1393" s="40"/>
      <c r="AK1393" s="39">
        <f t="shared" si="110"/>
        <v>2004.1958333333332</v>
      </c>
      <c r="AL1393" s="39">
        <f t="shared" si="108"/>
        <v>1907.0008333333335</v>
      </c>
      <c r="AM1393" s="39">
        <f t="shared" si="109"/>
        <v>2393.2833333333333</v>
      </c>
      <c r="AN1393" s="39">
        <f t="shared" si="111"/>
        <v>2003.2870000000003</v>
      </c>
      <c r="AO1393" s="39">
        <f t="shared" si="112"/>
        <v>20032.870000000003</v>
      </c>
    </row>
    <row r="1394" spans="1:41" x14ac:dyDescent="0.3">
      <c r="A1394" s="20">
        <v>1000184670</v>
      </c>
      <c r="B1394" s="4" t="s">
        <v>147</v>
      </c>
      <c r="C1394" s="21"/>
      <c r="D1394" s="3"/>
      <c r="E1394" s="20">
        <v>1000184764</v>
      </c>
      <c r="F1394" s="4" t="s">
        <v>70</v>
      </c>
      <c r="G1394" s="21">
        <v>1000189818</v>
      </c>
      <c r="H1394" s="3" t="s">
        <v>72</v>
      </c>
      <c r="I1394" s="21">
        <v>1000189270</v>
      </c>
      <c r="J1394" s="3" t="s">
        <v>34</v>
      </c>
      <c r="K1394" s="20" t="s">
        <v>33</v>
      </c>
      <c r="L1394" s="39">
        <v>0</v>
      </c>
      <c r="M1394" s="39">
        <v>0</v>
      </c>
      <c r="N1394" s="39">
        <v>0</v>
      </c>
      <c r="O1394" s="39">
        <v>0</v>
      </c>
      <c r="P1394" s="39">
        <v>0</v>
      </c>
      <c r="Q1394" s="39">
        <v>0</v>
      </c>
      <c r="R1394" s="39">
        <v>0</v>
      </c>
      <c r="S1394" s="39">
        <v>0</v>
      </c>
      <c r="T1394" s="39">
        <v>0</v>
      </c>
      <c r="U1394" s="39">
        <v>0</v>
      </c>
      <c r="V1394" s="39">
        <v>0</v>
      </c>
      <c r="W1394" s="39">
        <v>0</v>
      </c>
      <c r="X1394" s="39">
        <v>0</v>
      </c>
      <c r="Y1394" s="39">
        <v>0</v>
      </c>
      <c r="Z1394" s="39">
        <v>0</v>
      </c>
      <c r="AA1394" s="39">
        <v>0</v>
      </c>
      <c r="AB1394" s="39">
        <v>0</v>
      </c>
      <c r="AC1394" s="39">
        <v>0</v>
      </c>
      <c r="AD1394" s="39">
        <v>840</v>
      </c>
      <c r="AE1394" s="39">
        <v>0</v>
      </c>
      <c r="AF1394" s="39">
        <v>287.8</v>
      </c>
      <c r="AG1394" s="39">
        <v>266</v>
      </c>
      <c r="AH1394" s="39"/>
      <c r="AI1394" s="39"/>
      <c r="AJ1394" s="40"/>
      <c r="AK1394" s="39">
        <f t="shared" si="110"/>
        <v>0</v>
      </c>
      <c r="AL1394" s="39">
        <f t="shared" si="108"/>
        <v>116.14999999999999</v>
      </c>
      <c r="AM1394" s="39">
        <f t="shared" si="109"/>
        <v>232.29999999999998</v>
      </c>
      <c r="AN1394" s="39">
        <f t="shared" si="111"/>
        <v>139.38</v>
      </c>
      <c r="AO1394" s="39">
        <f t="shared" si="112"/>
        <v>1393.8</v>
      </c>
    </row>
    <row r="1395" spans="1:41" x14ac:dyDescent="0.3">
      <c r="A1395" s="20">
        <v>1000184670</v>
      </c>
      <c r="B1395" s="4" t="s">
        <v>147</v>
      </c>
      <c r="C1395" s="21"/>
      <c r="D1395" s="3"/>
      <c r="E1395" s="20">
        <v>1000184764</v>
      </c>
      <c r="F1395" s="4" t="s">
        <v>70</v>
      </c>
      <c r="G1395" s="21">
        <v>1000189818</v>
      </c>
      <c r="H1395" s="3" t="s">
        <v>72</v>
      </c>
      <c r="I1395" s="21">
        <v>1000189270</v>
      </c>
      <c r="J1395" s="3" t="s">
        <v>34</v>
      </c>
      <c r="K1395" s="20" t="s">
        <v>19</v>
      </c>
      <c r="L1395" s="39">
        <v>321.76</v>
      </c>
      <c r="M1395" s="39">
        <v>233.13</v>
      </c>
      <c r="N1395" s="39">
        <v>510.3</v>
      </c>
      <c r="O1395" s="39">
        <v>0</v>
      </c>
      <c r="P1395" s="39">
        <v>637.77</v>
      </c>
      <c r="Q1395" s="39">
        <v>220.86</v>
      </c>
      <c r="R1395" s="39">
        <v>0</v>
      </c>
      <c r="S1395" s="39">
        <v>629.1</v>
      </c>
      <c r="T1395" s="39">
        <v>255.14</v>
      </c>
      <c r="U1395" s="39">
        <v>613.95000000000005</v>
      </c>
      <c r="V1395" s="39">
        <v>0</v>
      </c>
      <c r="W1395" s="39">
        <v>481.04</v>
      </c>
      <c r="X1395" s="39">
        <v>0</v>
      </c>
      <c r="Y1395" s="39">
        <v>0</v>
      </c>
      <c r="Z1395" s="39">
        <v>576</v>
      </c>
      <c r="AA1395" s="39">
        <v>273.60000000000002</v>
      </c>
      <c r="AB1395" s="39">
        <v>1137.5999999999999</v>
      </c>
      <c r="AC1395" s="39">
        <v>162</v>
      </c>
      <c r="AD1395" s="39">
        <v>162</v>
      </c>
      <c r="AE1395" s="39">
        <v>955.8</v>
      </c>
      <c r="AF1395" s="39">
        <v>1620</v>
      </c>
      <c r="AG1395" s="39">
        <v>801.9</v>
      </c>
      <c r="AH1395" s="39"/>
      <c r="AI1395" s="39"/>
      <c r="AJ1395" s="40"/>
      <c r="AK1395" s="39">
        <f t="shared" si="110"/>
        <v>325.25416666666666</v>
      </c>
      <c r="AL1395" s="39">
        <f t="shared" si="108"/>
        <v>514.16166666666663</v>
      </c>
      <c r="AM1395" s="39">
        <f t="shared" si="109"/>
        <v>806.54999999999984</v>
      </c>
      <c r="AN1395" s="39">
        <f t="shared" si="111"/>
        <v>568.89</v>
      </c>
      <c r="AO1395" s="39">
        <f t="shared" si="112"/>
        <v>5688.9</v>
      </c>
    </row>
    <row r="1396" spans="1:41" x14ac:dyDescent="0.3">
      <c r="A1396" s="20">
        <v>1000184670</v>
      </c>
      <c r="B1396" s="4" t="s">
        <v>147</v>
      </c>
      <c r="C1396" s="21"/>
      <c r="D1396" s="3"/>
      <c r="E1396" s="20">
        <v>1000184764</v>
      </c>
      <c r="F1396" s="4" t="s">
        <v>70</v>
      </c>
      <c r="G1396" s="21">
        <v>1000189818</v>
      </c>
      <c r="H1396" s="3" t="s">
        <v>72</v>
      </c>
      <c r="I1396" s="21">
        <v>1000189270</v>
      </c>
      <c r="J1396" s="3" t="s">
        <v>34</v>
      </c>
      <c r="K1396" s="20" t="s">
        <v>17</v>
      </c>
      <c r="L1396" s="39">
        <v>340.32</v>
      </c>
      <c r="M1396" s="39">
        <v>782.04</v>
      </c>
      <c r="N1396" s="39">
        <v>0</v>
      </c>
      <c r="O1396" s="39">
        <v>0</v>
      </c>
      <c r="P1396" s="39">
        <v>117</v>
      </c>
      <c r="Q1396" s="39">
        <v>0</v>
      </c>
      <c r="R1396" s="39">
        <v>249.6</v>
      </c>
      <c r="S1396" s="39">
        <v>0</v>
      </c>
      <c r="T1396" s="39">
        <v>0</v>
      </c>
      <c r="U1396" s="39">
        <v>0</v>
      </c>
      <c r="V1396" s="39">
        <v>0</v>
      </c>
      <c r="W1396" s="39">
        <v>0</v>
      </c>
      <c r="X1396" s="39">
        <v>0</v>
      </c>
      <c r="Y1396" s="39">
        <v>0</v>
      </c>
      <c r="Z1396" s="39">
        <v>0</v>
      </c>
      <c r="AA1396" s="39">
        <v>560.4</v>
      </c>
      <c r="AB1396" s="39">
        <v>687.6</v>
      </c>
      <c r="AC1396" s="39">
        <v>132</v>
      </c>
      <c r="AD1396" s="39">
        <v>144</v>
      </c>
      <c r="AE1396" s="39">
        <v>0</v>
      </c>
      <c r="AF1396" s="39">
        <v>132</v>
      </c>
      <c r="AG1396" s="39">
        <v>0</v>
      </c>
      <c r="AH1396" s="39"/>
      <c r="AI1396" s="39"/>
      <c r="AJ1396" s="40"/>
      <c r="AK1396" s="39">
        <f t="shared" si="110"/>
        <v>124.07999999999998</v>
      </c>
      <c r="AL1396" s="39">
        <f t="shared" si="108"/>
        <v>138</v>
      </c>
      <c r="AM1396" s="39">
        <f t="shared" si="109"/>
        <v>182.6</v>
      </c>
      <c r="AN1396" s="39">
        <f t="shared" si="111"/>
        <v>165.6</v>
      </c>
      <c r="AO1396" s="39">
        <f t="shared" si="112"/>
        <v>1656</v>
      </c>
    </row>
    <row r="1397" spans="1:41" x14ac:dyDescent="0.3">
      <c r="A1397" s="20">
        <v>1000184670</v>
      </c>
      <c r="B1397" s="4" t="s">
        <v>147</v>
      </c>
      <c r="C1397" s="21"/>
      <c r="D1397" s="3"/>
      <c r="E1397" s="20">
        <v>1000184764</v>
      </c>
      <c r="F1397" s="4" t="s">
        <v>70</v>
      </c>
      <c r="G1397" s="21">
        <v>1000189818</v>
      </c>
      <c r="H1397" s="3" t="s">
        <v>72</v>
      </c>
      <c r="I1397" s="21">
        <v>1000189270</v>
      </c>
      <c r="J1397" s="3" t="s">
        <v>34</v>
      </c>
      <c r="K1397" s="20" t="s">
        <v>24</v>
      </c>
      <c r="L1397" s="39">
        <v>440.55</v>
      </c>
      <c r="M1397" s="39">
        <v>255.81</v>
      </c>
      <c r="N1397" s="39">
        <v>179.52</v>
      </c>
      <c r="O1397" s="39">
        <v>89.76</v>
      </c>
      <c r="P1397" s="39">
        <v>0</v>
      </c>
      <c r="Q1397" s="39">
        <v>89.76</v>
      </c>
      <c r="R1397" s="39">
        <v>0</v>
      </c>
      <c r="S1397" s="39">
        <v>89.76</v>
      </c>
      <c r="T1397" s="39">
        <v>179.52</v>
      </c>
      <c r="U1397" s="39">
        <v>89.76</v>
      </c>
      <c r="V1397" s="39">
        <v>89.76</v>
      </c>
      <c r="W1397" s="39">
        <v>182.52</v>
      </c>
      <c r="X1397" s="39">
        <v>0</v>
      </c>
      <c r="Y1397" s="39">
        <v>179.52</v>
      </c>
      <c r="Z1397" s="39">
        <v>0</v>
      </c>
      <c r="AA1397" s="39">
        <v>332.88</v>
      </c>
      <c r="AB1397" s="39">
        <v>0</v>
      </c>
      <c r="AC1397" s="39">
        <v>0</v>
      </c>
      <c r="AD1397" s="39">
        <v>273.36</v>
      </c>
      <c r="AE1397" s="39">
        <v>159.88999999999999</v>
      </c>
      <c r="AF1397" s="39">
        <v>709.76</v>
      </c>
      <c r="AG1397" s="39">
        <v>0</v>
      </c>
      <c r="AH1397" s="39"/>
      <c r="AI1397" s="39"/>
      <c r="AJ1397" s="40"/>
      <c r="AK1397" s="39">
        <f t="shared" si="110"/>
        <v>140.56</v>
      </c>
      <c r="AL1397" s="39">
        <f t="shared" si="108"/>
        <v>160.64083333333332</v>
      </c>
      <c r="AM1397" s="39">
        <f t="shared" si="109"/>
        <v>190.50166666666667</v>
      </c>
      <c r="AN1397" s="39">
        <f t="shared" si="111"/>
        <v>165.541</v>
      </c>
      <c r="AO1397" s="39">
        <f t="shared" si="112"/>
        <v>1655.4099999999999</v>
      </c>
    </row>
    <row r="1398" spans="1:41" x14ac:dyDescent="0.3">
      <c r="A1398" s="20">
        <v>1000184670</v>
      </c>
      <c r="B1398" s="4" t="s">
        <v>147</v>
      </c>
      <c r="C1398" s="21"/>
      <c r="D1398" s="3"/>
      <c r="E1398" s="20">
        <v>1000184764</v>
      </c>
      <c r="F1398" s="4" t="s">
        <v>70</v>
      </c>
      <c r="G1398" s="21">
        <v>1000189818</v>
      </c>
      <c r="H1398" s="3" t="s">
        <v>72</v>
      </c>
      <c r="I1398" s="21">
        <v>1000189270</v>
      </c>
      <c r="J1398" s="3" t="s">
        <v>34</v>
      </c>
      <c r="K1398" s="20" t="s">
        <v>18</v>
      </c>
      <c r="L1398" s="39">
        <v>0</v>
      </c>
      <c r="M1398" s="39">
        <v>87.78</v>
      </c>
      <c r="N1398" s="39">
        <v>92.4</v>
      </c>
      <c r="O1398" s="39">
        <v>92.4</v>
      </c>
      <c r="P1398" s="39">
        <v>0</v>
      </c>
      <c r="Q1398" s="39">
        <v>184.8</v>
      </c>
      <c r="R1398" s="39">
        <v>0</v>
      </c>
      <c r="S1398" s="39">
        <v>0</v>
      </c>
      <c r="T1398" s="39">
        <v>0</v>
      </c>
      <c r="U1398" s="39">
        <v>184.8</v>
      </c>
      <c r="V1398" s="39">
        <v>0</v>
      </c>
      <c r="W1398" s="39">
        <v>91.26</v>
      </c>
      <c r="X1398" s="39">
        <v>0</v>
      </c>
      <c r="Y1398" s="39">
        <v>92.4</v>
      </c>
      <c r="Z1398" s="39">
        <v>0</v>
      </c>
      <c r="AA1398" s="39">
        <v>46.2</v>
      </c>
      <c r="AB1398" s="39">
        <v>184.8</v>
      </c>
      <c r="AC1398" s="39">
        <v>0</v>
      </c>
      <c r="AD1398" s="39">
        <v>192</v>
      </c>
      <c r="AE1398" s="39">
        <v>91.2</v>
      </c>
      <c r="AF1398" s="39">
        <v>182.4</v>
      </c>
      <c r="AG1398" s="39">
        <v>14.19</v>
      </c>
      <c r="AH1398" s="39"/>
      <c r="AI1398" s="39"/>
      <c r="AJ1398" s="40"/>
      <c r="AK1398" s="39">
        <f t="shared" si="110"/>
        <v>61.120000000000005</v>
      </c>
      <c r="AL1398" s="39">
        <f t="shared" si="108"/>
        <v>74.537500000000009</v>
      </c>
      <c r="AM1398" s="39">
        <f t="shared" si="109"/>
        <v>110.765</v>
      </c>
      <c r="AN1398" s="39">
        <f t="shared" si="111"/>
        <v>80.319000000000017</v>
      </c>
      <c r="AO1398" s="39">
        <f t="shared" si="112"/>
        <v>803.19000000000017</v>
      </c>
    </row>
    <row r="1399" spans="1:41" x14ac:dyDescent="0.3">
      <c r="A1399" s="20">
        <v>1000184670</v>
      </c>
      <c r="B1399" s="4" t="s">
        <v>147</v>
      </c>
      <c r="C1399" s="21"/>
      <c r="D1399" s="3"/>
      <c r="E1399" s="20">
        <v>1000184764</v>
      </c>
      <c r="F1399" s="4" t="s">
        <v>70</v>
      </c>
      <c r="G1399" s="21">
        <v>1000189818</v>
      </c>
      <c r="H1399" s="3" t="s">
        <v>72</v>
      </c>
      <c r="I1399" s="21">
        <v>1000189270</v>
      </c>
      <c r="J1399" s="3" t="s">
        <v>34</v>
      </c>
      <c r="K1399" s="20" t="s">
        <v>29</v>
      </c>
      <c r="L1399" s="39">
        <v>0</v>
      </c>
      <c r="M1399" s="39">
        <v>0</v>
      </c>
      <c r="N1399" s="39">
        <v>0</v>
      </c>
      <c r="O1399" s="39">
        <v>0</v>
      </c>
      <c r="P1399" s="39">
        <v>0</v>
      </c>
      <c r="Q1399" s="39">
        <v>0</v>
      </c>
      <c r="R1399" s="39">
        <v>0</v>
      </c>
      <c r="S1399" s="39">
        <v>0</v>
      </c>
      <c r="T1399" s="39">
        <v>0</v>
      </c>
      <c r="U1399" s="39">
        <v>0</v>
      </c>
      <c r="V1399" s="39">
        <v>0</v>
      </c>
      <c r="W1399" s="39">
        <v>0</v>
      </c>
      <c r="X1399" s="39">
        <v>0</v>
      </c>
      <c r="Y1399" s="39">
        <v>0</v>
      </c>
      <c r="Z1399" s="39">
        <v>0</v>
      </c>
      <c r="AA1399" s="39">
        <v>0</v>
      </c>
      <c r="AB1399" s="39">
        <v>0</v>
      </c>
      <c r="AC1399" s="39">
        <v>0</v>
      </c>
      <c r="AD1399" s="39">
        <v>1500</v>
      </c>
      <c r="AE1399" s="39">
        <v>0</v>
      </c>
      <c r="AF1399" s="39">
        <v>0</v>
      </c>
      <c r="AG1399" s="39">
        <v>1576.55</v>
      </c>
      <c r="AH1399" s="39"/>
      <c r="AI1399" s="39"/>
      <c r="AJ1399" s="40"/>
      <c r="AK1399" s="39">
        <f t="shared" si="110"/>
        <v>0</v>
      </c>
      <c r="AL1399" s="39">
        <f t="shared" si="108"/>
        <v>256.37916666666666</v>
      </c>
      <c r="AM1399" s="39">
        <f t="shared" si="109"/>
        <v>512.75833333333333</v>
      </c>
      <c r="AN1399" s="39">
        <f t="shared" si="111"/>
        <v>307.65500000000003</v>
      </c>
      <c r="AO1399" s="39">
        <f t="shared" si="112"/>
        <v>3076.55</v>
      </c>
    </row>
    <row r="1400" spans="1:41" x14ac:dyDescent="0.3">
      <c r="A1400" s="20">
        <v>1000184670</v>
      </c>
      <c r="B1400" s="4" t="s">
        <v>147</v>
      </c>
      <c r="C1400" s="21"/>
      <c r="D1400" s="3"/>
      <c r="E1400" s="20">
        <v>1000184764</v>
      </c>
      <c r="F1400" s="4" t="s">
        <v>70</v>
      </c>
      <c r="G1400" s="21">
        <v>1000189818</v>
      </c>
      <c r="H1400" s="3" t="s">
        <v>72</v>
      </c>
      <c r="I1400" s="21">
        <v>1000189270</v>
      </c>
      <c r="J1400" s="3" t="s">
        <v>34</v>
      </c>
      <c r="K1400" s="20" t="s">
        <v>21</v>
      </c>
      <c r="L1400" s="39">
        <v>3541.6</v>
      </c>
      <c r="M1400" s="39">
        <v>1008</v>
      </c>
      <c r="N1400" s="39">
        <v>0</v>
      </c>
      <c r="O1400" s="39">
        <v>1008</v>
      </c>
      <c r="P1400" s="39">
        <v>2655</v>
      </c>
      <c r="Q1400" s="39">
        <v>1440</v>
      </c>
      <c r="R1400" s="39">
        <v>922.5</v>
      </c>
      <c r="S1400" s="39">
        <v>3717</v>
      </c>
      <c r="T1400" s="39">
        <v>4513.5</v>
      </c>
      <c r="U1400" s="39">
        <v>6174</v>
      </c>
      <c r="V1400" s="39">
        <v>3971.88</v>
      </c>
      <c r="W1400" s="39">
        <v>-2772</v>
      </c>
      <c r="X1400" s="39">
        <v>0</v>
      </c>
      <c r="Y1400" s="39">
        <v>0</v>
      </c>
      <c r="Z1400" s="39">
        <v>0</v>
      </c>
      <c r="AA1400" s="39">
        <v>956.1</v>
      </c>
      <c r="AB1400" s="39">
        <v>312</v>
      </c>
      <c r="AC1400" s="39">
        <v>594</v>
      </c>
      <c r="AD1400" s="39">
        <v>948</v>
      </c>
      <c r="AE1400" s="39">
        <v>453.6</v>
      </c>
      <c r="AF1400" s="39">
        <v>0</v>
      </c>
      <c r="AG1400" s="39">
        <v>621.66999999999996</v>
      </c>
      <c r="AH1400" s="39"/>
      <c r="AI1400" s="39"/>
      <c r="AJ1400" s="40"/>
      <c r="AK1400" s="39">
        <f t="shared" si="110"/>
        <v>2181.6233333333334</v>
      </c>
      <c r="AL1400" s="39">
        <f t="shared" si="108"/>
        <v>423.77083333333331</v>
      </c>
      <c r="AM1400" s="39">
        <f t="shared" si="109"/>
        <v>488.21166666666664</v>
      </c>
      <c r="AN1400" s="39">
        <f t="shared" si="111"/>
        <v>388.53699999999998</v>
      </c>
      <c r="AO1400" s="39">
        <f t="shared" si="112"/>
        <v>3885.37</v>
      </c>
    </row>
    <row r="1401" spans="1:41" x14ac:dyDescent="0.3">
      <c r="A1401" s="20">
        <v>1000184670</v>
      </c>
      <c r="B1401" s="4" t="s">
        <v>147</v>
      </c>
      <c r="C1401" s="21"/>
      <c r="D1401" s="3"/>
      <c r="E1401" s="20">
        <v>1000184764</v>
      </c>
      <c r="F1401" s="4" t="s">
        <v>70</v>
      </c>
      <c r="G1401" s="21">
        <v>1000189818</v>
      </c>
      <c r="H1401" s="3" t="s">
        <v>72</v>
      </c>
      <c r="I1401" s="21">
        <v>1000189270</v>
      </c>
      <c r="J1401" s="3" t="s">
        <v>34</v>
      </c>
      <c r="K1401" s="20" t="s">
        <v>20</v>
      </c>
      <c r="L1401" s="39">
        <v>75.39</v>
      </c>
      <c r="M1401" s="39">
        <v>549.02</v>
      </c>
      <c r="N1401" s="39">
        <v>253.2</v>
      </c>
      <c r="O1401" s="39">
        <v>506.4</v>
      </c>
      <c r="P1401" s="39">
        <v>567.6</v>
      </c>
      <c r="Q1401" s="39">
        <v>253.2</v>
      </c>
      <c r="R1401" s="39">
        <v>1009.32</v>
      </c>
      <c r="S1401" s="39">
        <v>2460.3000000000002</v>
      </c>
      <c r="T1401" s="39">
        <v>624.6</v>
      </c>
      <c r="U1401" s="39">
        <v>2498.2199999999998</v>
      </c>
      <c r="V1401" s="39">
        <v>122.04</v>
      </c>
      <c r="W1401" s="39">
        <v>-495.9</v>
      </c>
      <c r="X1401" s="39">
        <v>0</v>
      </c>
      <c r="Y1401" s="39">
        <v>0</v>
      </c>
      <c r="Z1401" s="39">
        <v>745.2</v>
      </c>
      <c r="AA1401" s="39">
        <v>1274.04</v>
      </c>
      <c r="AB1401" s="39">
        <v>1796.58</v>
      </c>
      <c r="AC1401" s="39">
        <v>961.8</v>
      </c>
      <c r="AD1401" s="39">
        <v>187.2</v>
      </c>
      <c r="AE1401" s="39">
        <v>76.55</v>
      </c>
      <c r="AF1401" s="39">
        <v>439.44</v>
      </c>
      <c r="AG1401" s="39">
        <v>192.84</v>
      </c>
      <c r="AH1401" s="39"/>
      <c r="AI1401" s="39"/>
      <c r="AJ1401" s="40"/>
      <c r="AK1401" s="39">
        <f t="shared" si="110"/>
        <v>701.94916666666677</v>
      </c>
      <c r="AL1401" s="39">
        <f t="shared" si="108"/>
        <v>441.64916666666664</v>
      </c>
      <c r="AM1401" s="39">
        <f t="shared" si="109"/>
        <v>609.06833333333338</v>
      </c>
      <c r="AN1401" s="39">
        <f t="shared" si="111"/>
        <v>567.36500000000001</v>
      </c>
      <c r="AO1401" s="39">
        <f t="shared" si="112"/>
        <v>5673.65</v>
      </c>
    </row>
    <row r="1402" spans="1:41" x14ac:dyDescent="0.3">
      <c r="A1402" s="20">
        <v>1000184670</v>
      </c>
      <c r="B1402" s="4" t="s">
        <v>147</v>
      </c>
      <c r="C1402" s="21"/>
      <c r="D1402" s="3"/>
      <c r="E1402" s="20">
        <v>1000184764</v>
      </c>
      <c r="F1402" s="4" t="s">
        <v>70</v>
      </c>
      <c r="G1402" s="21">
        <v>1000189818</v>
      </c>
      <c r="H1402" s="3" t="s">
        <v>72</v>
      </c>
      <c r="I1402" s="21">
        <v>1000189270</v>
      </c>
      <c r="J1402" s="3" t="s">
        <v>34</v>
      </c>
      <c r="K1402" s="20" t="s">
        <v>22</v>
      </c>
      <c r="L1402" s="39">
        <v>1486.17</v>
      </c>
      <c r="M1402" s="39">
        <v>1172.0999999999999</v>
      </c>
      <c r="N1402" s="39">
        <v>2316.15</v>
      </c>
      <c r="O1402" s="39">
        <v>2684.3</v>
      </c>
      <c r="P1402" s="39">
        <v>2218.8000000000002</v>
      </c>
      <c r="Q1402" s="39">
        <v>1762.35</v>
      </c>
      <c r="R1402" s="39">
        <v>2423.6999999999998</v>
      </c>
      <c r="S1402" s="39">
        <v>1622.25</v>
      </c>
      <c r="T1402" s="39">
        <v>2305.35</v>
      </c>
      <c r="U1402" s="39">
        <v>2460.3000000000002</v>
      </c>
      <c r="V1402" s="39">
        <v>1315.2</v>
      </c>
      <c r="W1402" s="39">
        <v>1320.84</v>
      </c>
      <c r="X1402" s="39">
        <v>1748</v>
      </c>
      <c r="Y1402" s="39">
        <v>2316</v>
      </c>
      <c r="Z1402" s="39">
        <v>1860</v>
      </c>
      <c r="AA1402" s="39">
        <v>1358.4</v>
      </c>
      <c r="AB1402" s="39">
        <v>2018.4</v>
      </c>
      <c r="AC1402" s="39">
        <v>0</v>
      </c>
      <c r="AD1402" s="39">
        <v>1560</v>
      </c>
      <c r="AE1402" s="39">
        <v>1830</v>
      </c>
      <c r="AF1402" s="39">
        <v>1980</v>
      </c>
      <c r="AG1402" s="39">
        <v>2064</v>
      </c>
      <c r="AH1402" s="39"/>
      <c r="AI1402" s="39"/>
      <c r="AJ1402" s="40"/>
      <c r="AK1402" s="39">
        <f t="shared" si="110"/>
        <v>1923.9591666666665</v>
      </c>
      <c r="AL1402" s="39">
        <f t="shared" si="108"/>
        <v>1614.2366666666667</v>
      </c>
      <c r="AM1402" s="39">
        <f t="shared" si="109"/>
        <v>1575.3999999999999</v>
      </c>
      <c r="AN1402" s="39">
        <f t="shared" si="111"/>
        <v>1673.48</v>
      </c>
      <c r="AO1402" s="39">
        <f t="shared" si="112"/>
        <v>16734.8</v>
      </c>
    </row>
    <row r="1403" spans="1:41" x14ac:dyDescent="0.3">
      <c r="A1403" s="20">
        <v>1000184670</v>
      </c>
      <c r="B1403" s="4" t="s">
        <v>147</v>
      </c>
      <c r="C1403" s="21"/>
      <c r="D1403" s="3"/>
      <c r="E1403" s="20">
        <v>1000184764</v>
      </c>
      <c r="F1403" s="4" t="s">
        <v>70</v>
      </c>
      <c r="G1403" s="21">
        <v>1000189818</v>
      </c>
      <c r="H1403" s="3" t="s">
        <v>72</v>
      </c>
      <c r="I1403" s="21">
        <v>1000189270</v>
      </c>
      <c r="J1403" s="3" t="s">
        <v>34</v>
      </c>
      <c r="K1403" s="20" t="s">
        <v>23</v>
      </c>
      <c r="L1403" s="39">
        <v>0</v>
      </c>
      <c r="M1403" s="39">
        <v>0</v>
      </c>
      <c r="N1403" s="39">
        <v>0</v>
      </c>
      <c r="O1403" s="39">
        <v>0</v>
      </c>
      <c r="P1403" s="39">
        <v>0</v>
      </c>
      <c r="Q1403" s="39">
        <v>0</v>
      </c>
      <c r="R1403" s="39">
        <v>0</v>
      </c>
      <c r="S1403" s="39">
        <v>0</v>
      </c>
      <c r="T1403" s="39">
        <v>0</v>
      </c>
      <c r="U1403" s="39">
        <v>0</v>
      </c>
      <c r="V1403" s="39">
        <v>0</v>
      </c>
      <c r="W1403" s="39">
        <v>0</v>
      </c>
      <c r="X1403" s="39">
        <v>0</v>
      </c>
      <c r="Y1403" s="39">
        <v>0</v>
      </c>
      <c r="Z1403" s="39">
        <v>0</v>
      </c>
      <c r="AA1403" s="39">
        <v>0</v>
      </c>
      <c r="AB1403" s="39">
        <v>0</v>
      </c>
      <c r="AC1403" s="39">
        <v>0</v>
      </c>
      <c r="AD1403" s="39">
        <v>0</v>
      </c>
      <c r="AE1403" s="39">
        <v>76.38</v>
      </c>
      <c r="AF1403" s="39">
        <v>0</v>
      </c>
      <c r="AG1403" s="39">
        <v>0</v>
      </c>
      <c r="AH1403" s="39"/>
      <c r="AI1403" s="39"/>
      <c r="AJ1403" s="40"/>
      <c r="AK1403" s="39">
        <f t="shared" si="110"/>
        <v>0</v>
      </c>
      <c r="AL1403" s="39">
        <f t="shared" si="108"/>
        <v>6.3649999999999993</v>
      </c>
      <c r="AM1403" s="39">
        <f t="shared" si="109"/>
        <v>12.729999999999999</v>
      </c>
      <c r="AN1403" s="39">
        <f t="shared" si="111"/>
        <v>7.6379999999999999</v>
      </c>
      <c r="AO1403" s="39">
        <f t="shared" si="112"/>
        <v>76.38</v>
      </c>
    </row>
    <row r="1404" spans="1:41" x14ac:dyDescent="0.3">
      <c r="A1404" s="20">
        <v>1000184670</v>
      </c>
      <c r="B1404" s="4" t="s">
        <v>147</v>
      </c>
      <c r="C1404" s="21"/>
      <c r="D1404" s="3"/>
      <c r="E1404" s="20">
        <v>1000184764</v>
      </c>
      <c r="F1404" s="4" t="s">
        <v>70</v>
      </c>
      <c r="G1404" s="21">
        <v>1000189818</v>
      </c>
      <c r="H1404" s="3" t="s">
        <v>72</v>
      </c>
      <c r="I1404" s="21">
        <v>1000189270</v>
      </c>
      <c r="J1404" s="3" t="s">
        <v>34</v>
      </c>
      <c r="K1404" s="20" t="s">
        <v>28</v>
      </c>
      <c r="L1404" s="39">
        <v>298.24</v>
      </c>
      <c r="M1404" s="39">
        <v>464.77</v>
      </c>
      <c r="N1404" s="39">
        <v>597.96</v>
      </c>
      <c r="O1404" s="39">
        <v>557.19000000000005</v>
      </c>
      <c r="P1404" s="39">
        <v>53</v>
      </c>
      <c r="Q1404" s="39">
        <v>326.16000000000003</v>
      </c>
      <c r="R1404" s="39">
        <v>231.03</v>
      </c>
      <c r="S1404" s="39">
        <v>543.6</v>
      </c>
      <c r="T1404" s="39">
        <v>285.39</v>
      </c>
      <c r="U1404" s="39">
        <v>1155.1500000000001</v>
      </c>
      <c r="V1404" s="39">
        <v>652.32000000000005</v>
      </c>
      <c r="W1404" s="39">
        <v>-260.79000000000002</v>
      </c>
      <c r="X1404" s="39">
        <v>633.54</v>
      </c>
      <c r="Y1404" s="39">
        <v>434.88</v>
      </c>
      <c r="Z1404" s="39">
        <v>489.24</v>
      </c>
      <c r="AA1404" s="39">
        <v>163.08000000000001</v>
      </c>
      <c r="AB1404" s="39">
        <v>1027.4000000000001</v>
      </c>
      <c r="AC1404" s="39">
        <v>217.44</v>
      </c>
      <c r="AD1404" s="39">
        <v>51.64</v>
      </c>
      <c r="AE1404" s="39">
        <v>97.88</v>
      </c>
      <c r="AF1404" s="39">
        <v>163.08000000000001</v>
      </c>
      <c r="AG1404" s="39">
        <v>279.81</v>
      </c>
      <c r="AH1404" s="39"/>
      <c r="AI1404" s="39"/>
      <c r="AJ1404" s="40"/>
      <c r="AK1404" s="39">
        <f t="shared" si="110"/>
        <v>408.66833333333329</v>
      </c>
      <c r="AL1404" s="39">
        <f t="shared" si="108"/>
        <v>329.12666666666667</v>
      </c>
      <c r="AM1404" s="39">
        <f t="shared" si="109"/>
        <v>306.20833333333331</v>
      </c>
      <c r="AN1404" s="39">
        <f t="shared" si="111"/>
        <v>355.79900000000004</v>
      </c>
      <c r="AO1404" s="39">
        <f t="shared" si="112"/>
        <v>3557.9900000000002</v>
      </c>
    </row>
    <row r="1405" spans="1:41" x14ac:dyDescent="0.3">
      <c r="A1405" s="20">
        <v>1000184670</v>
      </c>
      <c r="B1405" s="4" t="s">
        <v>147</v>
      </c>
      <c r="C1405" s="21"/>
      <c r="D1405" s="3"/>
      <c r="E1405" s="20">
        <v>1000184764</v>
      </c>
      <c r="F1405" s="4" t="s">
        <v>70</v>
      </c>
      <c r="G1405" s="21">
        <v>1000189818</v>
      </c>
      <c r="H1405" s="3" t="s">
        <v>72</v>
      </c>
      <c r="I1405" s="21">
        <v>1000189270</v>
      </c>
      <c r="J1405" s="3" t="s">
        <v>34</v>
      </c>
      <c r="K1405" s="20" t="s">
        <v>26</v>
      </c>
      <c r="L1405" s="39">
        <v>0</v>
      </c>
      <c r="M1405" s="39">
        <v>0</v>
      </c>
      <c r="N1405" s="39">
        <v>0</v>
      </c>
      <c r="O1405" s="39">
        <v>0</v>
      </c>
      <c r="P1405" s="39">
        <v>920</v>
      </c>
      <c r="Q1405" s="39">
        <v>0</v>
      </c>
      <c r="R1405" s="39">
        <v>0</v>
      </c>
      <c r="S1405" s="39">
        <v>0</v>
      </c>
      <c r="T1405" s="39">
        <v>0</v>
      </c>
      <c r="U1405" s="39">
        <v>0</v>
      </c>
      <c r="V1405" s="39">
        <v>294.39999999999998</v>
      </c>
      <c r="W1405" s="39">
        <v>0</v>
      </c>
      <c r="X1405" s="39">
        <v>0</v>
      </c>
      <c r="Y1405" s="39">
        <v>0</v>
      </c>
      <c r="Z1405" s="39">
        <v>0</v>
      </c>
      <c r="AA1405" s="39">
        <v>0</v>
      </c>
      <c r="AB1405" s="39">
        <v>0</v>
      </c>
      <c r="AC1405" s="39">
        <v>0</v>
      </c>
      <c r="AD1405" s="39">
        <v>0</v>
      </c>
      <c r="AE1405" s="39">
        <v>0</v>
      </c>
      <c r="AF1405" s="39">
        <v>0</v>
      </c>
      <c r="AG1405" s="39">
        <v>240</v>
      </c>
      <c r="AH1405" s="39"/>
      <c r="AI1405" s="39"/>
      <c r="AJ1405" s="40"/>
      <c r="AK1405" s="39">
        <f t="shared" si="110"/>
        <v>101.2</v>
      </c>
      <c r="AL1405" s="39">
        <f t="shared" si="108"/>
        <v>44.533333333333331</v>
      </c>
      <c r="AM1405" s="39">
        <f t="shared" si="109"/>
        <v>40</v>
      </c>
      <c r="AN1405" s="39">
        <f t="shared" si="111"/>
        <v>24</v>
      </c>
      <c r="AO1405" s="39">
        <f t="shared" si="112"/>
        <v>240</v>
      </c>
    </row>
    <row r="1406" spans="1:41" x14ac:dyDescent="0.3">
      <c r="A1406" s="20">
        <v>1000184670</v>
      </c>
      <c r="B1406" s="4" t="s">
        <v>147</v>
      </c>
      <c r="C1406" s="21"/>
      <c r="D1406" s="3"/>
      <c r="E1406" s="20">
        <v>1000184764</v>
      </c>
      <c r="F1406" s="4" t="s">
        <v>70</v>
      </c>
      <c r="G1406" s="21">
        <v>1000189818</v>
      </c>
      <c r="H1406" s="3" t="s">
        <v>72</v>
      </c>
      <c r="I1406" s="21">
        <v>1000189270</v>
      </c>
      <c r="J1406" s="3" t="s">
        <v>34</v>
      </c>
      <c r="K1406" s="20" t="s">
        <v>27</v>
      </c>
      <c r="L1406" s="39">
        <v>0</v>
      </c>
      <c r="M1406" s="39">
        <v>0</v>
      </c>
      <c r="N1406" s="39">
        <v>0</v>
      </c>
      <c r="O1406" s="39">
        <v>0</v>
      </c>
      <c r="P1406" s="39">
        <v>0</v>
      </c>
      <c r="Q1406" s="39">
        <v>0</v>
      </c>
      <c r="R1406" s="39">
        <v>0</v>
      </c>
      <c r="S1406" s="39">
        <v>0</v>
      </c>
      <c r="T1406" s="39">
        <v>0</v>
      </c>
      <c r="U1406" s="39">
        <v>0</v>
      </c>
      <c r="V1406" s="39">
        <v>0</v>
      </c>
      <c r="W1406" s="39">
        <v>0</v>
      </c>
      <c r="X1406" s="39">
        <v>0</v>
      </c>
      <c r="Y1406" s="39">
        <v>0</v>
      </c>
      <c r="Z1406" s="39">
        <v>0</v>
      </c>
      <c r="AA1406" s="39">
        <v>0</v>
      </c>
      <c r="AB1406" s="39">
        <v>0</v>
      </c>
      <c r="AC1406" s="39">
        <v>0</v>
      </c>
      <c r="AD1406" s="39">
        <v>0</v>
      </c>
      <c r="AE1406" s="39">
        <v>0</v>
      </c>
      <c r="AF1406" s="39">
        <v>0</v>
      </c>
      <c r="AG1406" s="39">
        <v>60.75</v>
      </c>
      <c r="AH1406" s="39"/>
      <c r="AI1406" s="39"/>
      <c r="AJ1406" s="40"/>
      <c r="AK1406" s="39">
        <f t="shared" si="110"/>
        <v>0</v>
      </c>
      <c r="AL1406" s="39">
        <f t="shared" si="108"/>
        <v>5.0625</v>
      </c>
      <c r="AM1406" s="39">
        <f t="shared" si="109"/>
        <v>10.125</v>
      </c>
      <c r="AN1406" s="39">
        <f t="shared" si="111"/>
        <v>6.0750000000000002</v>
      </c>
      <c r="AO1406" s="39">
        <f t="shared" si="112"/>
        <v>60.75</v>
      </c>
    </row>
    <row r="1407" spans="1:41" x14ac:dyDescent="0.3">
      <c r="A1407" s="20">
        <v>1000184670</v>
      </c>
      <c r="B1407" s="4" t="s">
        <v>147</v>
      </c>
      <c r="C1407" s="21"/>
      <c r="D1407" s="3"/>
      <c r="E1407" s="20">
        <v>1000184764</v>
      </c>
      <c r="F1407" s="4" t="s">
        <v>70</v>
      </c>
      <c r="G1407" s="21">
        <v>1000189818</v>
      </c>
      <c r="H1407" s="3" t="s">
        <v>72</v>
      </c>
      <c r="I1407" s="21">
        <v>1000189270</v>
      </c>
      <c r="J1407" s="3" t="s">
        <v>34</v>
      </c>
      <c r="K1407" s="20" t="s">
        <v>25</v>
      </c>
      <c r="L1407" s="39">
        <v>0</v>
      </c>
      <c r="M1407" s="39">
        <v>0</v>
      </c>
      <c r="N1407" s="39">
        <v>0</v>
      </c>
      <c r="O1407" s="39">
        <v>0</v>
      </c>
      <c r="P1407" s="39">
        <v>0</v>
      </c>
      <c r="Q1407" s="39">
        <v>0</v>
      </c>
      <c r="R1407" s="39">
        <v>0</v>
      </c>
      <c r="S1407" s="39">
        <v>0</v>
      </c>
      <c r="T1407" s="39">
        <v>0</v>
      </c>
      <c r="U1407" s="39">
        <v>0</v>
      </c>
      <c r="V1407" s="39">
        <v>0</v>
      </c>
      <c r="W1407" s="39">
        <v>0</v>
      </c>
      <c r="X1407" s="39">
        <v>0</v>
      </c>
      <c r="Y1407" s="39">
        <v>0</v>
      </c>
      <c r="Z1407" s="39">
        <v>0</v>
      </c>
      <c r="AA1407" s="39">
        <v>0</v>
      </c>
      <c r="AB1407" s="39">
        <v>0</v>
      </c>
      <c r="AC1407" s="39">
        <v>0</v>
      </c>
      <c r="AD1407" s="39">
        <v>0</v>
      </c>
      <c r="AE1407" s="39">
        <v>0</v>
      </c>
      <c r="AF1407" s="39">
        <v>0</v>
      </c>
      <c r="AG1407" s="39">
        <v>49.5</v>
      </c>
      <c r="AH1407" s="39"/>
      <c r="AI1407" s="39"/>
      <c r="AJ1407" s="40"/>
      <c r="AK1407" s="39">
        <f t="shared" si="110"/>
        <v>0</v>
      </c>
      <c r="AL1407" s="39">
        <f t="shared" si="108"/>
        <v>4.125</v>
      </c>
      <c r="AM1407" s="39">
        <f t="shared" si="109"/>
        <v>8.25</v>
      </c>
      <c r="AN1407" s="39">
        <f t="shared" si="111"/>
        <v>4.95</v>
      </c>
      <c r="AO1407" s="39">
        <f t="shared" si="112"/>
        <v>49.5</v>
      </c>
    </row>
    <row r="1408" spans="1:41" x14ac:dyDescent="0.3">
      <c r="A1408" s="20">
        <v>1000184670</v>
      </c>
      <c r="B1408" s="4" t="s">
        <v>147</v>
      </c>
      <c r="C1408" s="21"/>
      <c r="D1408" s="3"/>
      <c r="E1408" s="20">
        <v>1000184764</v>
      </c>
      <c r="F1408" s="4" t="s">
        <v>70</v>
      </c>
      <c r="G1408" s="21">
        <v>1000189819</v>
      </c>
      <c r="H1408" s="3" t="s">
        <v>74</v>
      </c>
      <c r="I1408" s="21">
        <v>1000189270</v>
      </c>
      <c r="J1408" s="3" t="s">
        <v>34</v>
      </c>
      <c r="K1408" s="20" t="s">
        <v>124</v>
      </c>
      <c r="L1408" s="39">
        <v>0</v>
      </c>
      <c r="M1408" s="39">
        <v>0</v>
      </c>
      <c r="N1408" s="39">
        <v>0</v>
      </c>
      <c r="O1408" s="39">
        <v>0</v>
      </c>
      <c r="P1408" s="39">
        <v>0</v>
      </c>
      <c r="Q1408" s="39">
        <v>0</v>
      </c>
      <c r="R1408" s="39">
        <v>0</v>
      </c>
      <c r="S1408" s="39">
        <v>0</v>
      </c>
      <c r="T1408" s="39">
        <v>0</v>
      </c>
      <c r="U1408" s="39">
        <v>0</v>
      </c>
      <c r="V1408" s="39">
        <v>0</v>
      </c>
      <c r="W1408" s="39">
        <v>0</v>
      </c>
      <c r="X1408" s="39">
        <v>0</v>
      </c>
      <c r="Y1408" s="39">
        <v>0</v>
      </c>
      <c r="Z1408" s="39">
        <v>0</v>
      </c>
      <c r="AA1408" s="39">
        <v>0</v>
      </c>
      <c r="AB1408" s="39">
        <v>0</v>
      </c>
      <c r="AC1408" s="39">
        <v>0</v>
      </c>
      <c r="AD1408" s="39">
        <v>0</v>
      </c>
      <c r="AE1408" s="39">
        <v>0</v>
      </c>
      <c r="AF1408" s="39">
        <v>0</v>
      </c>
      <c r="AG1408" s="39">
        <v>0</v>
      </c>
      <c r="AH1408" s="39"/>
      <c r="AI1408" s="39"/>
      <c r="AJ1408" s="40"/>
      <c r="AK1408" s="39">
        <f t="shared" si="110"/>
        <v>0</v>
      </c>
      <c r="AL1408" s="39">
        <f t="shared" si="108"/>
        <v>0</v>
      </c>
      <c r="AM1408" s="39">
        <f t="shared" si="109"/>
        <v>0</v>
      </c>
      <c r="AN1408" s="39">
        <f t="shared" si="111"/>
        <v>0</v>
      </c>
      <c r="AO1408" s="39">
        <f t="shared" si="112"/>
        <v>0</v>
      </c>
    </row>
    <row r="1409" spans="1:41" x14ac:dyDescent="0.3">
      <c r="A1409" s="20">
        <v>1000184670</v>
      </c>
      <c r="B1409" s="4" t="s">
        <v>147</v>
      </c>
      <c r="C1409" s="21"/>
      <c r="D1409" s="3"/>
      <c r="E1409" s="20">
        <v>1000184764</v>
      </c>
      <c r="F1409" s="4" t="s">
        <v>70</v>
      </c>
      <c r="G1409" s="21">
        <v>1000189819</v>
      </c>
      <c r="H1409" s="3" t="s">
        <v>74</v>
      </c>
      <c r="I1409" s="21">
        <v>1000189270</v>
      </c>
      <c r="J1409" s="3" t="s">
        <v>34</v>
      </c>
      <c r="K1409" s="20" t="s">
        <v>13</v>
      </c>
      <c r="L1409" s="39">
        <v>114.97</v>
      </c>
      <c r="M1409" s="39">
        <v>0</v>
      </c>
      <c r="N1409" s="39">
        <v>0</v>
      </c>
      <c r="O1409" s="39">
        <v>59.1</v>
      </c>
      <c r="P1409" s="39">
        <v>0</v>
      </c>
      <c r="Q1409" s="39">
        <v>64.52</v>
      </c>
      <c r="R1409" s="39">
        <v>0</v>
      </c>
      <c r="S1409" s="39">
        <v>0</v>
      </c>
      <c r="T1409" s="39">
        <v>0</v>
      </c>
      <c r="U1409" s="39">
        <v>59.1</v>
      </c>
      <c r="V1409" s="39">
        <v>0</v>
      </c>
      <c r="W1409" s="39">
        <v>78</v>
      </c>
      <c r="X1409" s="39">
        <v>0</v>
      </c>
      <c r="Y1409" s="39">
        <v>319.2</v>
      </c>
      <c r="Z1409" s="39">
        <v>78</v>
      </c>
      <c r="AA1409" s="39">
        <v>139.19999999999999</v>
      </c>
      <c r="AB1409" s="39">
        <v>0</v>
      </c>
      <c r="AC1409" s="39">
        <v>78</v>
      </c>
      <c r="AD1409" s="39">
        <v>0</v>
      </c>
      <c r="AE1409" s="39">
        <v>105.84</v>
      </c>
      <c r="AF1409" s="39">
        <v>87.75</v>
      </c>
      <c r="AG1409" s="39">
        <v>78</v>
      </c>
      <c r="AH1409" s="39"/>
      <c r="AI1409" s="39"/>
      <c r="AJ1409" s="40"/>
      <c r="AK1409" s="39">
        <f t="shared" si="110"/>
        <v>31.307500000000001</v>
      </c>
      <c r="AL1409" s="39">
        <f t="shared" si="108"/>
        <v>80.332499999999996</v>
      </c>
      <c r="AM1409" s="39">
        <f t="shared" si="109"/>
        <v>58.265000000000008</v>
      </c>
      <c r="AN1409" s="39">
        <f t="shared" si="111"/>
        <v>88.599000000000004</v>
      </c>
      <c r="AO1409" s="39">
        <f t="shared" si="112"/>
        <v>885.99</v>
      </c>
    </row>
    <row r="1410" spans="1:41" x14ac:dyDescent="0.3">
      <c r="A1410" s="20">
        <v>1000184670</v>
      </c>
      <c r="B1410" s="4" t="s">
        <v>147</v>
      </c>
      <c r="C1410" s="21"/>
      <c r="D1410" s="3"/>
      <c r="E1410" s="20">
        <v>1000184764</v>
      </c>
      <c r="F1410" s="4" t="s">
        <v>70</v>
      </c>
      <c r="G1410" s="21">
        <v>1000189819</v>
      </c>
      <c r="H1410" s="3" t="s">
        <v>74</v>
      </c>
      <c r="I1410" s="21">
        <v>1000189270</v>
      </c>
      <c r="J1410" s="3" t="s">
        <v>34</v>
      </c>
      <c r="K1410" s="20" t="s">
        <v>14</v>
      </c>
      <c r="L1410" s="39">
        <v>296.86</v>
      </c>
      <c r="M1410" s="39">
        <v>0</v>
      </c>
      <c r="N1410" s="39">
        <v>0</v>
      </c>
      <c r="O1410" s="39">
        <v>314.39999999999998</v>
      </c>
      <c r="P1410" s="39">
        <v>0</v>
      </c>
      <c r="Q1410" s="39">
        <v>373.2</v>
      </c>
      <c r="R1410" s="39">
        <v>157.19999999999999</v>
      </c>
      <c r="S1410" s="39">
        <v>0</v>
      </c>
      <c r="T1410" s="39">
        <v>0</v>
      </c>
      <c r="U1410" s="39">
        <v>0</v>
      </c>
      <c r="V1410" s="39">
        <v>0</v>
      </c>
      <c r="W1410" s="39">
        <v>0</v>
      </c>
      <c r="X1410" s="39">
        <v>0</v>
      </c>
      <c r="Y1410" s="39">
        <v>408</v>
      </c>
      <c r="Z1410" s="39">
        <v>702</v>
      </c>
      <c r="AA1410" s="39">
        <v>0</v>
      </c>
      <c r="AB1410" s="39">
        <v>0</v>
      </c>
      <c r="AC1410" s="39">
        <v>228</v>
      </c>
      <c r="AD1410" s="39">
        <v>792</v>
      </c>
      <c r="AE1410" s="39">
        <v>102.6</v>
      </c>
      <c r="AF1410" s="39">
        <v>205.2</v>
      </c>
      <c r="AG1410" s="39">
        <v>200.64</v>
      </c>
      <c r="AH1410" s="39"/>
      <c r="AI1410" s="39"/>
      <c r="AJ1410" s="40"/>
      <c r="AK1410" s="39">
        <f t="shared" si="110"/>
        <v>95.138333333333335</v>
      </c>
      <c r="AL1410" s="39">
        <f t="shared" si="108"/>
        <v>219.86999999999998</v>
      </c>
      <c r="AM1410" s="39">
        <f t="shared" si="109"/>
        <v>254.74</v>
      </c>
      <c r="AN1410" s="39">
        <f t="shared" si="111"/>
        <v>263.84399999999994</v>
      </c>
      <c r="AO1410" s="39">
        <f t="shared" si="112"/>
        <v>2638.4399999999996</v>
      </c>
    </row>
    <row r="1411" spans="1:41" x14ac:dyDescent="0.3">
      <c r="A1411" s="20">
        <v>1000184670</v>
      </c>
      <c r="B1411" s="4" t="s">
        <v>147</v>
      </c>
      <c r="C1411" s="21"/>
      <c r="D1411" s="3"/>
      <c r="E1411" s="20">
        <v>1000184764</v>
      </c>
      <c r="F1411" s="4" t="s">
        <v>70</v>
      </c>
      <c r="G1411" s="21">
        <v>1000189819</v>
      </c>
      <c r="H1411" s="3" t="s">
        <v>74</v>
      </c>
      <c r="I1411" s="21">
        <v>1000189270</v>
      </c>
      <c r="J1411" s="3" t="s">
        <v>34</v>
      </c>
      <c r="K1411" s="20" t="s">
        <v>16</v>
      </c>
      <c r="L1411" s="39">
        <v>0</v>
      </c>
      <c r="M1411" s="39">
        <v>0</v>
      </c>
      <c r="N1411" s="39">
        <v>0</v>
      </c>
      <c r="O1411" s="39">
        <v>0</v>
      </c>
      <c r="P1411" s="39">
        <v>0</v>
      </c>
      <c r="Q1411" s="39">
        <v>0</v>
      </c>
      <c r="R1411" s="39">
        <v>0</v>
      </c>
      <c r="S1411" s="39">
        <v>0</v>
      </c>
      <c r="T1411" s="39">
        <v>0</v>
      </c>
      <c r="U1411" s="39">
        <v>78.52</v>
      </c>
      <c r="V1411" s="39">
        <v>0</v>
      </c>
      <c r="W1411" s="39">
        <v>0</v>
      </c>
      <c r="X1411" s="39">
        <v>0</v>
      </c>
      <c r="Y1411" s="39">
        <v>78.52</v>
      </c>
      <c r="Z1411" s="39">
        <v>0</v>
      </c>
      <c r="AA1411" s="39">
        <v>0</v>
      </c>
      <c r="AB1411" s="39">
        <v>0</v>
      </c>
      <c r="AC1411" s="39">
        <v>0</v>
      </c>
      <c r="AD1411" s="39">
        <v>81.599999999999994</v>
      </c>
      <c r="AE1411" s="39">
        <v>665.73</v>
      </c>
      <c r="AF1411" s="39">
        <v>0</v>
      </c>
      <c r="AG1411" s="39">
        <v>0</v>
      </c>
      <c r="AH1411" s="39"/>
      <c r="AI1411" s="39"/>
      <c r="AJ1411" s="40"/>
      <c r="AK1411" s="39">
        <f t="shared" si="110"/>
        <v>6.543333333333333</v>
      </c>
      <c r="AL1411" s="39">
        <f t="shared" ref="AL1411:AL1474" si="113">AVERAGE(V1411:AG1411)</f>
        <v>68.82083333333334</v>
      </c>
      <c r="AM1411" s="39">
        <f t="shared" ref="AM1411:AM1474" si="114">AVERAGE(AB1411:AG1411)</f>
        <v>124.55500000000001</v>
      </c>
      <c r="AN1411" s="39">
        <f t="shared" si="111"/>
        <v>82.585000000000008</v>
      </c>
      <c r="AO1411" s="39">
        <f t="shared" si="112"/>
        <v>825.85</v>
      </c>
    </row>
    <row r="1412" spans="1:41" x14ac:dyDescent="0.3">
      <c r="A1412" s="20">
        <v>1000184670</v>
      </c>
      <c r="B1412" s="4" t="s">
        <v>147</v>
      </c>
      <c r="C1412" s="21"/>
      <c r="D1412" s="3"/>
      <c r="E1412" s="20">
        <v>1000184764</v>
      </c>
      <c r="F1412" s="4" t="s">
        <v>70</v>
      </c>
      <c r="G1412" s="21">
        <v>1000189819</v>
      </c>
      <c r="H1412" s="3" t="s">
        <v>74</v>
      </c>
      <c r="I1412" s="21">
        <v>1000189270</v>
      </c>
      <c r="J1412" s="3" t="s">
        <v>34</v>
      </c>
      <c r="K1412" s="20" t="s">
        <v>15</v>
      </c>
      <c r="L1412" s="39">
        <v>111.43</v>
      </c>
      <c r="M1412" s="39">
        <v>366.12</v>
      </c>
      <c r="N1412" s="39">
        <v>0</v>
      </c>
      <c r="O1412" s="39">
        <v>0</v>
      </c>
      <c r="P1412" s="39">
        <v>0</v>
      </c>
      <c r="Q1412" s="39">
        <v>129.6</v>
      </c>
      <c r="R1412" s="39">
        <v>236.52</v>
      </c>
      <c r="S1412" s="39">
        <v>0</v>
      </c>
      <c r="T1412" s="39">
        <v>0</v>
      </c>
      <c r="U1412" s="39">
        <v>129.6</v>
      </c>
      <c r="V1412" s="39">
        <v>0</v>
      </c>
      <c r="W1412" s="39">
        <v>276</v>
      </c>
      <c r="X1412" s="39">
        <v>0</v>
      </c>
      <c r="Y1412" s="39">
        <v>330</v>
      </c>
      <c r="Z1412" s="39">
        <v>0</v>
      </c>
      <c r="AA1412" s="39">
        <v>150</v>
      </c>
      <c r="AB1412" s="39">
        <v>0</v>
      </c>
      <c r="AC1412" s="39">
        <v>156</v>
      </c>
      <c r="AD1412" s="39">
        <v>168</v>
      </c>
      <c r="AE1412" s="39">
        <v>90</v>
      </c>
      <c r="AF1412" s="39">
        <v>395.4</v>
      </c>
      <c r="AG1412" s="39">
        <v>168</v>
      </c>
      <c r="AH1412" s="39"/>
      <c r="AI1412" s="39"/>
      <c r="AJ1412" s="40"/>
      <c r="AK1412" s="39">
        <f t="shared" si="110"/>
        <v>104.10583333333334</v>
      </c>
      <c r="AL1412" s="39">
        <f t="shared" si="113"/>
        <v>144.45000000000002</v>
      </c>
      <c r="AM1412" s="39">
        <f t="shared" si="114"/>
        <v>162.9</v>
      </c>
      <c r="AN1412" s="39">
        <f t="shared" si="111"/>
        <v>145.74</v>
      </c>
      <c r="AO1412" s="39">
        <f t="shared" si="112"/>
        <v>1457.4</v>
      </c>
    </row>
    <row r="1413" spans="1:41" x14ac:dyDescent="0.3">
      <c r="A1413" s="20">
        <v>1000184670</v>
      </c>
      <c r="B1413" s="4" t="s">
        <v>147</v>
      </c>
      <c r="C1413" s="21"/>
      <c r="D1413" s="3"/>
      <c r="E1413" s="20">
        <v>1000184764</v>
      </c>
      <c r="F1413" s="4" t="s">
        <v>70</v>
      </c>
      <c r="G1413" s="21">
        <v>1000189819</v>
      </c>
      <c r="H1413" s="3" t="s">
        <v>74</v>
      </c>
      <c r="I1413" s="21">
        <v>1000189270</v>
      </c>
      <c r="J1413" s="3" t="s">
        <v>34</v>
      </c>
      <c r="K1413" s="20" t="s">
        <v>33</v>
      </c>
      <c r="L1413" s="39">
        <v>0</v>
      </c>
      <c r="M1413" s="39">
        <v>0</v>
      </c>
      <c r="N1413" s="39">
        <v>0</v>
      </c>
      <c r="O1413" s="39">
        <v>0</v>
      </c>
      <c r="P1413" s="39">
        <v>0</v>
      </c>
      <c r="Q1413" s="39">
        <v>0</v>
      </c>
      <c r="R1413" s="39">
        <v>0</v>
      </c>
      <c r="S1413" s="39">
        <v>0</v>
      </c>
      <c r="T1413" s="39">
        <v>0</v>
      </c>
      <c r="U1413" s="39">
        <v>0</v>
      </c>
      <c r="V1413" s="39">
        <v>0</v>
      </c>
      <c r="W1413" s="39">
        <v>0</v>
      </c>
      <c r="X1413" s="39">
        <v>0</v>
      </c>
      <c r="Y1413" s="39">
        <v>0</v>
      </c>
      <c r="Z1413" s="39">
        <v>0</v>
      </c>
      <c r="AA1413" s="39">
        <v>0</v>
      </c>
      <c r="AB1413" s="39">
        <v>0</v>
      </c>
      <c r="AC1413" s="39">
        <v>0</v>
      </c>
      <c r="AD1413" s="39">
        <v>0</v>
      </c>
      <c r="AE1413" s="39">
        <v>0</v>
      </c>
      <c r="AF1413" s="39">
        <v>0</v>
      </c>
      <c r="AG1413" s="39">
        <v>0</v>
      </c>
      <c r="AH1413" s="39"/>
      <c r="AI1413" s="39"/>
      <c r="AJ1413" s="40"/>
      <c r="AK1413" s="39">
        <f t="shared" si="110"/>
        <v>0</v>
      </c>
      <c r="AL1413" s="39">
        <f t="shared" si="113"/>
        <v>0</v>
      </c>
      <c r="AM1413" s="39">
        <f t="shared" si="114"/>
        <v>0</v>
      </c>
      <c r="AN1413" s="39">
        <f t="shared" si="111"/>
        <v>0</v>
      </c>
      <c r="AO1413" s="39">
        <f t="shared" si="112"/>
        <v>0</v>
      </c>
    </row>
    <row r="1414" spans="1:41" x14ac:dyDescent="0.3">
      <c r="A1414" s="20">
        <v>1000184670</v>
      </c>
      <c r="B1414" s="4" t="s">
        <v>147</v>
      </c>
      <c r="C1414" s="21"/>
      <c r="D1414" s="3"/>
      <c r="E1414" s="20">
        <v>1000184764</v>
      </c>
      <c r="F1414" s="4" t="s">
        <v>70</v>
      </c>
      <c r="G1414" s="21">
        <v>1000189819</v>
      </c>
      <c r="H1414" s="3" t="s">
        <v>74</v>
      </c>
      <c r="I1414" s="21">
        <v>1000189270</v>
      </c>
      <c r="J1414" s="3" t="s">
        <v>34</v>
      </c>
      <c r="K1414" s="20" t="s">
        <v>19</v>
      </c>
      <c r="L1414" s="39">
        <v>0</v>
      </c>
      <c r="M1414" s="39">
        <v>237.6</v>
      </c>
      <c r="N1414" s="39">
        <v>0</v>
      </c>
      <c r="O1414" s="39">
        <v>237.6</v>
      </c>
      <c r="P1414" s="39">
        <v>0</v>
      </c>
      <c r="Q1414" s="39">
        <v>0</v>
      </c>
      <c r="R1414" s="39">
        <v>118.8</v>
      </c>
      <c r="S1414" s="39">
        <v>0</v>
      </c>
      <c r="T1414" s="39">
        <v>0</v>
      </c>
      <c r="U1414" s="39">
        <v>102.06</v>
      </c>
      <c r="V1414" s="39">
        <v>0</v>
      </c>
      <c r="W1414" s="39">
        <v>288</v>
      </c>
      <c r="X1414" s="39">
        <v>0</v>
      </c>
      <c r="Y1414" s="39">
        <v>288</v>
      </c>
      <c r="Z1414" s="39">
        <v>144</v>
      </c>
      <c r="AA1414" s="39">
        <v>144</v>
      </c>
      <c r="AB1414" s="39">
        <v>0</v>
      </c>
      <c r="AC1414" s="39">
        <v>162</v>
      </c>
      <c r="AD1414" s="39">
        <v>162</v>
      </c>
      <c r="AE1414" s="39">
        <v>81</v>
      </c>
      <c r="AF1414" s="39">
        <v>0</v>
      </c>
      <c r="AG1414" s="39">
        <v>0</v>
      </c>
      <c r="AH1414" s="39"/>
      <c r="AI1414" s="39"/>
      <c r="AJ1414" s="40"/>
      <c r="AK1414" s="39">
        <f t="shared" si="110"/>
        <v>82.004999999999995</v>
      </c>
      <c r="AL1414" s="39">
        <f t="shared" si="113"/>
        <v>105.75</v>
      </c>
      <c r="AM1414" s="39">
        <f t="shared" si="114"/>
        <v>67.5</v>
      </c>
      <c r="AN1414" s="39">
        <f t="shared" si="111"/>
        <v>98.1</v>
      </c>
      <c r="AO1414" s="39">
        <f t="shared" si="112"/>
        <v>981</v>
      </c>
    </row>
    <row r="1415" spans="1:41" x14ac:dyDescent="0.3">
      <c r="A1415" s="20">
        <v>1000184670</v>
      </c>
      <c r="B1415" s="4" t="s">
        <v>147</v>
      </c>
      <c r="C1415" s="21"/>
      <c r="D1415" s="3"/>
      <c r="E1415" s="20">
        <v>1000184764</v>
      </c>
      <c r="F1415" s="4" t="s">
        <v>70</v>
      </c>
      <c r="G1415" s="21">
        <v>1000189819</v>
      </c>
      <c r="H1415" s="3" t="s">
        <v>74</v>
      </c>
      <c r="I1415" s="21">
        <v>1000189270</v>
      </c>
      <c r="J1415" s="3" t="s">
        <v>34</v>
      </c>
      <c r="K1415" s="20" t="s">
        <v>17</v>
      </c>
      <c r="L1415" s="39">
        <v>350.04</v>
      </c>
      <c r="M1415" s="39">
        <v>129.6</v>
      </c>
      <c r="N1415" s="39">
        <v>0</v>
      </c>
      <c r="O1415" s="39">
        <v>249.6</v>
      </c>
      <c r="P1415" s="39">
        <v>0</v>
      </c>
      <c r="Q1415" s="39">
        <v>249.6</v>
      </c>
      <c r="R1415" s="39">
        <v>120</v>
      </c>
      <c r="S1415" s="39">
        <v>0</v>
      </c>
      <c r="T1415" s="39">
        <v>0</v>
      </c>
      <c r="U1415" s="39">
        <v>129.6</v>
      </c>
      <c r="V1415" s="39">
        <v>0</v>
      </c>
      <c r="W1415" s="39">
        <v>392.4</v>
      </c>
      <c r="X1415" s="39">
        <v>0</v>
      </c>
      <c r="Y1415" s="39">
        <v>138</v>
      </c>
      <c r="Z1415" s="39">
        <v>265.2</v>
      </c>
      <c r="AA1415" s="39">
        <v>0</v>
      </c>
      <c r="AB1415" s="39">
        <v>0</v>
      </c>
      <c r="AC1415" s="39">
        <v>144</v>
      </c>
      <c r="AD1415" s="39">
        <v>276</v>
      </c>
      <c r="AE1415" s="39">
        <v>0</v>
      </c>
      <c r="AF1415" s="39">
        <v>276</v>
      </c>
      <c r="AG1415" s="39">
        <v>132</v>
      </c>
      <c r="AH1415" s="39"/>
      <c r="AI1415" s="39"/>
      <c r="AJ1415" s="40"/>
      <c r="AK1415" s="39">
        <f t="shared" si="110"/>
        <v>135.07000000000002</v>
      </c>
      <c r="AL1415" s="39">
        <f t="shared" si="113"/>
        <v>135.29999999999998</v>
      </c>
      <c r="AM1415" s="39">
        <f t="shared" si="114"/>
        <v>138</v>
      </c>
      <c r="AN1415" s="39">
        <f t="shared" si="111"/>
        <v>123.12</v>
      </c>
      <c r="AO1415" s="39">
        <f t="shared" si="112"/>
        <v>1231.2</v>
      </c>
    </row>
    <row r="1416" spans="1:41" x14ac:dyDescent="0.3">
      <c r="A1416" s="20">
        <v>1000184670</v>
      </c>
      <c r="B1416" s="4" t="s">
        <v>147</v>
      </c>
      <c r="C1416" s="21"/>
      <c r="D1416" s="3"/>
      <c r="E1416" s="20">
        <v>1000184764</v>
      </c>
      <c r="F1416" s="4" t="s">
        <v>70</v>
      </c>
      <c r="G1416" s="21">
        <v>1000189819</v>
      </c>
      <c r="H1416" s="3" t="s">
        <v>74</v>
      </c>
      <c r="I1416" s="21">
        <v>1000189270</v>
      </c>
      <c r="J1416" s="3" t="s">
        <v>34</v>
      </c>
      <c r="K1416" s="20" t="s">
        <v>24</v>
      </c>
      <c r="L1416" s="39">
        <v>0</v>
      </c>
      <c r="M1416" s="39">
        <v>0</v>
      </c>
      <c r="N1416" s="39">
        <v>0</v>
      </c>
      <c r="O1416" s="39">
        <v>0</v>
      </c>
      <c r="P1416" s="39">
        <v>0</v>
      </c>
      <c r="Q1416" s="39">
        <v>0</v>
      </c>
      <c r="R1416" s="39">
        <v>0</v>
      </c>
      <c r="S1416" s="39">
        <v>0</v>
      </c>
      <c r="T1416" s="39">
        <v>0</v>
      </c>
      <c r="U1416" s="39">
        <v>0</v>
      </c>
      <c r="V1416" s="39">
        <v>0</v>
      </c>
      <c r="W1416" s="39">
        <v>0</v>
      </c>
      <c r="X1416" s="39">
        <v>0</v>
      </c>
      <c r="Y1416" s="39">
        <v>0</v>
      </c>
      <c r="Z1416" s="39">
        <v>0</v>
      </c>
      <c r="AA1416" s="39">
        <v>0</v>
      </c>
      <c r="AB1416" s="39">
        <v>0</v>
      </c>
      <c r="AC1416" s="39">
        <v>0</v>
      </c>
      <c r="AD1416" s="39">
        <v>0</v>
      </c>
      <c r="AE1416" s="39">
        <v>154.47999999999999</v>
      </c>
      <c r="AF1416" s="39">
        <v>0</v>
      </c>
      <c r="AG1416" s="39">
        <v>0</v>
      </c>
      <c r="AH1416" s="39"/>
      <c r="AI1416" s="39"/>
      <c r="AJ1416" s="40"/>
      <c r="AK1416" s="39">
        <f t="shared" si="110"/>
        <v>0</v>
      </c>
      <c r="AL1416" s="39">
        <f t="shared" si="113"/>
        <v>12.873333333333333</v>
      </c>
      <c r="AM1416" s="39">
        <f t="shared" si="114"/>
        <v>25.746666666666666</v>
      </c>
      <c r="AN1416" s="39">
        <f t="shared" si="111"/>
        <v>15.447999999999999</v>
      </c>
      <c r="AO1416" s="39">
        <f t="shared" si="112"/>
        <v>154.47999999999999</v>
      </c>
    </row>
    <row r="1417" spans="1:41" x14ac:dyDescent="0.3">
      <c r="A1417" s="20">
        <v>1000184670</v>
      </c>
      <c r="B1417" s="4" t="s">
        <v>147</v>
      </c>
      <c r="C1417" s="21"/>
      <c r="D1417" s="3"/>
      <c r="E1417" s="20">
        <v>1000184764</v>
      </c>
      <c r="F1417" s="4" t="s">
        <v>70</v>
      </c>
      <c r="G1417" s="21">
        <v>1000189819</v>
      </c>
      <c r="H1417" s="3" t="s">
        <v>74</v>
      </c>
      <c r="I1417" s="21">
        <v>1000189270</v>
      </c>
      <c r="J1417" s="3" t="s">
        <v>34</v>
      </c>
      <c r="K1417" s="20" t="s">
        <v>18</v>
      </c>
      <c r="L1417" s="39">
        <v>0</v>
      </c>
      <c r="M1417" s="39">
        <v>0</v>
      </c>
      <c r="N1417" s="39">
        <v>0</v>
      </c>
      <c r="O1417" s="39">
        <v>0</v>
      </c>
      <c r="P1417" s="39">
        <v>0</v>
      </c>
      <c r="Q1417" s="39">
        <v>92.4</v>
      </c>
      <c r="R1417" s="39">
        <v>0</v>
      </c>
      <c r="S1417" s="39">
        <v>0</v>
      </c>
      <c r="T1417" s="39">
        <v>0</v>
      </c>
      <c r="U1417" s="39">
        <v>0</v>
      </c>
      <c r="V1417" s="39">
        <v>0</v>
      </c>
      <c r="W1417" s="39">
        <v>0</v>
      </c>
      <c r="X1417" s="39">
        <v>0</v>
      </c>
      <c r="Y1417" s="39">
        <v>0</v>
      </c>
      <c r="Z1417" s="39">
        <v>0</v>
      </c>
      <c r="AA1417" s="39">
        <v>184.8</v>
      </c>
      <c r="AB1417" s="39">
        <v>0</v>
      </c>
      <c r="AC1417" s="39">
        <v>0</v>
      </c>
      <c r="AD1417" s="39">
        <v>0</v>
      </c>
      <c r="AE1417" s="39">
        <v>43.2</v>
      </c>
      <c r="AF1417" s="39">
        <v>0</v>
      </c>
      <c r="AG1417" s="39">
        <v>0</v>
      </c>
      <c r="AH1417" s="39"/>
      <c r="AI1417" s="39"/>
      <c r="AJ1417" s="40"/>
      <c r="AK1417" s="39">
        <f t="shared" si="110"/>
        <v>7.7</v>
      </c>
      <c r="AL1417" s="39">
        <f t="shared" si="113"/>
        <v>19</v>
      </c>
      <c r="AM1417" s="39">
        <f t="shared" si="114"/>
        <v>7.2</v>
      </c>
      <c r="AN1417" s="39">
        <f t="shared" si="111"/>
        <v>22.8</v>
      </c>
      <c r="AO1417" s="39">
        <f t="shared" si="112"/>
        <v>228</v>
      </c>
    </row>
    <row r="1418" spans="1:41" x14ac:dyDescent="0.3">
      <c r="A1418" s="20">
        <v>1000184670</v>
      </c>
      <c r="B1418" s="4" t="s">
        <v>147</v>
      </c>
      <c r="C1418" s="21"/>
      <c r="D1418" s="3"/>
      <c r="E1418" s="20">
        <v>1000184764</v>
      </c>
      <c r="F1418" s="4" t="s">
        <v>70</v>
      </c>
      <c r="G1418" s="21">
        <v>1000189819</v>
      </c>
      <c r="H1418" s="3" t="s">
        <v>74</v>
      </c>
      <c r="I1418" s="21">
        <v>1000189270</v>
      </c>
      <c r="J1418" s="3" t="s">
        <v>34</v>
      </c>
      <c r="K1418" s="20" t="s">
        <v>29</v>
      </c>
      <c r="L1418" s="39">
        <v>0</v>
      </c>
      <c r="M1418" s="39">
        <v>0</v>
      </c>
      <c r="N1418" s="39">
        <v>0</v>
      </c>
      <c r="O1418" s="39">
        <v>0</v>
      </c>
      <c r="P1418" s="39">
        <v>0</v>
      </c>
      <c r="Q1418" s="39">
        <v>0</v>
      </c>
      <c r="R1418" s="39">
        <v>0</v>
      </c>
      <c r="S1418" s="39">
        <v>0</v>
      </c>
      <c r="T1418" s="39">
        <v>0</v>
      </c>
      <c r="U1418" s="39">
        <v>0</v>
      </c>
      <c r="V1418" s="39">
        <v>0</v>
      </c>
      <c r="W1418" s="39">
        <v>0</v>
      </c>
      <c r="X1418" s="39">
        <v>0</v>
      </c>
      <c r="Y1418" s="39">
        <v>0</v>
      </c>
      <c r="Z1418" s="39">
        <v>0</v>
      </c>
      <c r="AA1418" s="39">
        <v>0</v>
      </c>
      <c r="AB1418" s="39">
        <v>274.93</v>
      </c>
      <c r="AC1418" s="39">
        <v>1476</v>
      </c>
      <c r="AD1418" s="39">
        <v>0</v>
      </c>
      <c r="AE1418" s="39">
        <v>3723</v>
      </c>
      <c r="AF1418" s="39">
        <v>0</v>
      </c>
      <c r="AG1418" s="39">
        <v>0</v>
      </c>
      <c r="AH1418" s="39"/>
      <c r="AI1418" s="39"/>
      <c r="AJ1418" s="40"/>
      <c r="AK1418" s="39">
        <f t="shared" si="110"/>
        <v>0</v>
      </c>
      <c r="AL1418" s="39">
        <f t="shared" si="113"/>
        <v>456.16083333333336</v>
      </c>
      <c r="AM1418" s="39">
        <f t="shared" si="114"/>
        <v>912.32166666666672</v>
      </c>
      <c r="AN1418" s="39">
        <f t="shared" si="111"/>
        <v>547.39300000000003</v>
      </c>
      <c r="AO1418" s="39">
        <f t="shared" si="112"/>
        <v>5473.93</v>
      </c>
    </row>
    <row r="1419" spans="1:41" x14ac:dyDescent="0.3">
      <c r="A1419" s="20">
        <v>1000184670</v>
      </c>
      <c r="B1419" s="4" t="s">
        <v>147</v>
      </c>
      <c r="C1419" s="21"/>
      <c r="D1419" s="3"/>
      <c r="E1419" s="20">
        <v>1000184764</v>
      </c>
      <c r="F1419" s="4" t="s">
        <v>70</v>
      </c>
      <c r="G1419" s="21">
        <v>1000189819</v>
      </c>
      <c r="H1419" s="3" t="s">
        <v>74</v>
      </c>
      <c r="I1419" s="21">
        <v>1000189270</v>
      </c>
      <c r="J1419" s="3" t="s">
        <v>34</v>
      </c>
      <c r="K1419" s="20" t="s">
        <v>21</v>
      </c>
      <c r="L1419" s="39">
        <v>0</v>
      </c>
      <c r="M1419" s="39">
        <v>0</v>
      </c>
      <c r="N1419" s="39">
        <v>0</v>
      </c>
      <c r="O1419" s="39">
        <v>0</v>
      </c>
      <c r="P1419" s="39">
        <v>0</v>
      </c>
      <c r="Q1419" s="39">
        <v>0</v>
      </c>
      <c r="R1419" s="39">
        <v>0</v>
      </c>
      <c r="S1419" s="39">
        <v>0</v>
      </c>
      <c r="T1419" s="39">
        <v>0</v>
      </c>
      <c r="U1419" s="39">
        <v>0</v>
      </c>
      <c r="V1419" s="39">
        <v>0</v>
      </c>
      <c r="W1419" s="39">
        <v>0</v>
      </c>
      <c r="X1419" s="39">
        <v>0</v>
      </c>
      <c r="Y1419" s="39">
        <v>0</v>
      </c>
      <c r="Z1419" s="39">
        <v>0</v>
      </c>
      <c r="AA1419" s="39">
        <v>0</v>
      </c>
      <c r="AB1419" s="39">
        <v>0</v>
      </c>
      <c r="AC1419" s="39">
        <v>0</v>
      </c>
      <c r="AD1419" s="39">
        <v>0</v>
      </c>
      <c r="AE1419" s="39">
        <v>198.02</v>
      </c>
      <c r="AF1419" s="39">
        <v>0</v>
      </c>
      <c r="AG1419" s="39">
        <v>0</v>
      </c>
      <c r="AH1419" s="39"/>
      <c r="AI1419" s="39"/>
      <c r="AJ1419" s="40"/>
      <c r="AK1419" s="39">
        <f t="shared" si="110"/>
        <v>0</v>
      </c>
      <c r="AL1419" s="39">
        <f t="shared" si="113"/>
        <v>16.501666666666669</v>
      </c>
      <c r="AM1419" s="39">
        <f t="shared" si="114"/>
        <v>33.003333333333337</v>
      </c>
      <c r="AN1419" s="39">
        <f t="shared" si="111"/>
        <v>19.802</v>
      </c>
      <c r="AO1419" s="39">
        <f t="shared" si="112"/>
        <v>198.02</v>
      </c>
    </row>
    <row r="1420" spans="1:41" x14ac:dyDescent="0.3">
      <c r="A1420" s="20">
        <v>1000184670</v>
      </c>
      <c r="B1420" s="4" t="s">
        <v>147</v>
      </c>
      <c r="C1420" s="21"/>
      <c r="D1420" s="3"/>
      <c r="E1420" s="20">
        <v>1000184764</v>
      </c>
      <c r="F1420" s="4" t="s">
        <v>70</v>
      </c>
      <c r="G1420" s="21">
        <v>1000189819</v>
      </c>
      <c r="H1420" s="3" t="s">
        <v>74</v>
      </c>
      <c r="I1420" s="21">
        <v>1000189270</v>
      </c>
      <c r="J1420" s="3" t="s">
        <v>34</v>
      </c>
      <c r="K1420" s="20" t="s">
        <v>20</v>
      </c>
      <c r="L1420" s="39">
        <v>181.06</v>
      </c>
      <c r="M1420" s="39">
        <v>158.4</v>
      </c>
      <c r="N1420" s="39">
        <v>0</v>
      </c>
      <c r="O1420" s="39">
        <v>610.79999999999995</v>
      </c>
      <c r="P1420" s="39">
        <v>0</v>
      </c>
      <c r="Q1420" s="39">
        <v>334.8</v>
      </c>
      <c r="R1420" s="39">
        <v>0</v>
      </c>
      <c r="S1420" s="39">
        <v>0</v>
      </c>
      <c r="T1420" s="39">
        <v>0</v>
      </c>
      <c r="U1420" s="39">
        <v>522</v>
      </c>
      <c r="V1420" s="39">
        <v>0</v>
      </c>
      <c r="W1420" s="39">
        <v>80.28</v>
      </c>
      <c r="X1420" s="39">
        <v>0</v>
      </c>
      <c r="Y1420" s="39">
        <v>590.70000000000005</v>
      </c>
      <c r="Z1420" s="39">
        <v>80.28</v>
      </c>
      <c r="AA1420" s="39">
        <v>432.78</v>
      </c>
      <c r="AB1420" s="39">
        <v>0</v>
      </c>
      <c r="AC1420" s="39">
        <v>75.36</v>
      </c>
      <c r="AD1420" s="39">
        <v>342</v>
      </c>
      <c r="AE1420" s="39">
        <v>0</v>
      </c>
      <c r="AF1420" s="39">
        <v>173.4</v>
      </c>
      <c r="AG1420" s="39">
        <v>194.58</v>
      </c>
      <c r="AH1420" s="39"/>
      <c r="AI1420" s="39"/>
      <c r="AJ1420" s="40"/>
      <c r="AK1420" s="39">
        <f t="shared" si="110"/>
        <v>157.27833333333334</v>
      </c>
      <c r="AL1420" s="39">
        <f t="shared" si="113"/>
        <v>164.11499999999998</v>
      </c>
      <c r="AM1420" s="39">
        <f t="shared" si="114"/>
        <v>130.89000000000001</v>
      </c>
      <c r="AN1420" s="39">
        <f t="shared" si="111"/>
        <v>188.91</v>
      </c>
      <c r="AO1420" s="39">
        <f t="shared" si="112"/>
        <v>1889.1</v>
      </c>
    </row>
    <row r="1421" spans="1:41" x14ac:dyDescent="0.3">
      <c r="A1421" s="20">
        <v>1000184670</v>
      </c>
      <c r="B1421" s="4" t="s">
        <v>147</v>
      </c>
      <c r="C1421" s="21"/>
      <c r="D1421" s="3"/>
      <c r="E1421" s="20">
        <v>1000184764</v>
      </c>
      <c r="F1421" s="4" t="s">
        <v>70</v>
      </c>
      <c r="G1421" s="21">
        <v>1000189819</v>
      </c>
      <c r="H1421" s="3" t="s">
        <v>74</v>
      </c>
      <c r="I1421" s="21">
        <v>1000189270</v>
      </c>
      <c r="J1421" s="3" t="s">
        <v>34</v>
      </c>
      <c r="K1421" s="20" t="s">
        <v>22</v>
      </c>
      <c r="L1421" s="39">
        <v>152.26</v>
      </c>
      <c r="M1421" s="39">
        <v>0</v>
      </c>
      <c r="N1421" s="39">
        <v>0</v>
      </c>
      <c r="O1421" s="39">
        <v>0</v>
      </c>
      <c r="P1421" s="39">
        <v>0</v>
      </c>
      <c r="Q1421" s="39">
        <v>209.4</v>
      </c>
      <c r="R1421" s="39">
        <v>162</v>
      </c>
      <c r="S1421" s="39">
        <v>0</v>
      </c>
      <c r="T1421" s="39">
        <v>0</v>
      </c>
      <c r="U1421" s="39">
        <v>0</v>
      </c>
      <c r="V1421" s="39">
        <v>0</v>
      </c>
      <c r="W1421" s="39">
        <v>132</v>
      </c>
      <c r="X1421" s="39">
        <v>0</v>
      </c>
      <c r="Y1421" s="39">
        <v>260.39999999999998</v>
      </c>
      <c r="Z1421" s="39">
        <v>0</v>
      </c>
      <c r="AA1421" s="39">
        <v>158.4</v>
      </c>
      <c r="AB1421" s="39">
        <v>0</v>
      </c>
      <c r="AC1421" s="39">
        <v>360</v>
      </c>
      <c r="AD1421" s="39">
        <v>0</v>
      </c>
      <c r="AE1421" s="39">
        <v>321.82</v>
      </c>
      <c r="AF1421" s="39">
        <v>0</v>
      </c>
      <c r="AG1421" s="39">
        <v>288</v>
      </c>
      <c r="AH1421" s="39"/>
      <c r="AI1421" s="39"/>
      <c r="AJ1421" s="40"/>
      <c r="AK1421" s="39">
        <f t="shared" si="110"/>
        <v>54.638333333333328</v>
      </c>
      <c r="AL1421" s="39">
        <f t="shared" si="113"/>
        <v>126.71833333333332</v>
      </c>
      <c r="AM1421" s="39">
        <f t="shared" si="114"/>
        <v>161.63666666666666</v>
      </c>
      <c r="AN1421" s="39">
        <f t="shared" si="111"/>
        <v>138.86199999999999</v>
      </c>
      <c r="AO1421" s="39">
        <f t="shared" si="112"/>
        <v>1388.62</v>
      </c>
    </row>
    <row r="1422" spans="1:41" x14ac:dyDescent="0.3">
      <c r="A1422" s="20">
        <v>1000184670</v>
      </c>
      <c r="B1422" s="4" t="s">
        <v>147</v>
      </c>
      <c r="C1422" s="21"/>
      <c r="D1422" s="3"/>
      <c r="E1422" s="20">
        <v>1000184764</v>
      </c>
      <c r="F1422" s="4" t="s">
        <v>70</v>
      </c>
      <c r="G1422" s="21">
        <v>1000189819</v>
      </c>
      <c r="H1422" s="3" t="s">
        <v>74</v>
      </c>
      <c r="I1422" s="21">
        <v>1000189270</v>
      </c>
      <c r="J1422" s="3" t="s">
        <v>34</v>
      </c>
      <c r="K1422" s="20" t="s">
        <v>23</v>
      </c>
      <c r="L1422" s="39">
        <v>0</v>
      </c>
      <c r="M1422" s="39">
        <v>0</v>
      </c>
      <c r="N1422" s="39">
        <v>0</v>
      </c>
      <c r="O1422" s="39">
        <v>0</v>
      </c>
      <c r="P1422" s="39">
        <v>0</v>
      </c>
      <c r="Q1422" s="39">
        <v>0</v>
      </c>
      <c r="R1422" s="39">
        <v>0</v>
      </c>
      <c r="S1422" s="39">
        <v>0</v>
      </c>
      <c r="T1422" s="39">
        <v>0</v>
      </c>
      <c r="U1422" s="39">
        <v>0</v>
      </c>
      <c r="V1422" s="39">
        <v>0</v>
      </c>
      <c r="W1422" s="39">
        <v>0</v>
      </c>
      <c r="X1422" s="39">
        <v>0</v>
      </c>
      <c r="Y1422" s="39">
        <v>0</v>
      </c>
      <c r="Z1422" s="39">
        <v>0</v>
      </c>
      <c r="AA1422" s="39">
        <v>0</v>
      </c>
      <c r="AB1422" s="39">
        <v>0</v>
      </c>
      <c r="AC1422" s="39">
        <v>0</v>
      </c>
      <c r="AD1422" s="39">
        <v>0</v>
      </c>
      <c r="AE1422" s="39">
        <v>0</v>
      </c>
      <c r="AF1422" s="39">
        <v>0</v>
      </c>
      <c r="AG1422" s="39">
        <v>0</v>
      </c>
      <c r="AH1422" s="39"/>
      <c r="AI1422" s="39"/>
      <c r="AJ1422" s="40"/>
      <c r="AK1422" s="39">
        <f t="shared" si="110"/>
        <v>0</v>
      </c>
      <c r="AL1422" s="39">
        <f t="shared" si="113"/>
        <v>0</v>
      </c>
      <c r="AM1422" s="39">
        <f t="shared" si="114"/>
        <v>0</v>
      </c>
      <c r="AN1422" s="39">
        <f t="shared" si="111"/>
        <v>0</v>
      </c>
      <c r="AO1422" s="39">
        <f t="shared" si="112"/>
        <v>0</v>
      </c>
    </row>
    <row r="1423" spans="1:41" x14ac:dyDescent="0.3">
      <c r="A1423" s="20">
        <v>1000184670</v>
      </c>
      <c r="B1423" s="4" t="s">
        <v>147</v>
      </c>
      <c r="C1423" s="21"/>
      <c r="D1423" s="3"/>
      <c r="E1423" s="20">
        <v>1000184764</v>
      </c>
      <c r="F1423" s="4" t="s">
        <v>70</v>
      </c>
      <c r="G1423" s="21">
        <v>1000189819</v>
      </c>
      <c r="H1423" s="3" t="s">
        <v>74</v>
      </c>
      <c r="I1423" s="21">
        <v>1000189270</v>
      </c>
      <c r="J1423" s="3" t="s">
        <v>34</v>
      </c>
      <c r="K1423" s="20" t="s">
        <v>28</v>
      </c>
      <c r="L1423" s="39">
        <v>51.24</v>
      </c>
      <c r="M1423" s="39">
        <v>54.36</v>
      </c>
      <c r="N1423" s="39">
        <v>0</v>
      </c>
      <c r="O1423" s="39">
        <v>0</v>
      </c>
      <c r="P1423" s="39">
        <v>0</v>
      </c>
      <c r="Q1423" s="39">
        <v>0</v>
      </c>
      <c r="R1423" s="39">
        <v>0</v>
      </c>
      <c r="S1423" s="39">
        <v>0</v>
      </c>
      <c r="T1423" s="39">
        <v>0</v>
      </c>
      <c r="U1423" s="39">
        <v>0</v>
      </c>
      <c r="V1423" s="39">
        <v>0</v>
      </c>
      <c r="W1423" s="39">
        <v>0</v>
      </c>
      <c r="X1423" s="39">
        <v>0</v>
      </c>
      <c r="Y1423" s="39">
        <v>54.36</v>
      </c>
      <c r="Z1423" s="39">
        <v>0</v>
      </c>
      <c r="AA1423" s="39">
        <v>0</v>
      </c>
      <c r="AB1423" s="39">
        <v>0</v>
      </c>
      <c r="AC1423" s="39">
        <v>0</v>
      </c>
      <c r="AD1423" s="39">
        <v>0</v>
      </c>
      <c r="AE1423" s="39">
        <v>0</v>
      </c>
      <c r="AF1423" s="39">
        <v>0</v>
      </c>
      <c r="AG1423" s="39">
        <v>54.36</v>
      </c>
      <c r="AH1423" s="39"/>
      <c r="AI1423" s="39"/>
      <c r="AJ1423" s="40"/>
      <c r="AK1423" s="39">
        <f t="shared" si="110"/>
        <v>8.7999999999999989</v>
      </c>
      <c r="AL1423" s="39">
        <f t="shared" si="113"/>
        <v>9.06</v>
      </c>
      <c r="AM1423" s="39">
        <f t="shared" si="114"/>
        <v>9.06</v>
      </c>
      <c r="AN1423" s="39">
        <f t="shared" si="111"/>
        <v>10.872</v>
      </c>
      <c r="AO1423" s="39">
        <f t="shared" si="112"/>
        <v>108.72</v>
      </c>
    </row>
    <row r="1424" spans="1:41" x14ac:dyDescent="0.3">
      <c r="A1424" s="20">
        <v>1000184670</v>
      </c>
      <c r="B1424" s="4" t="s">
        <v>147</v>
      </c>
      <c r="C1424" s="21"/>
      <c r="D1424" s="3"/>
      <c r="E1424" s="20">
        <v>1000184764</v>
      </c>
      <c r="F1424" s="4" t="s">
        <v>70</v>
      </c>
      <c r="G1424" s="21">
        <v>1000189819</v>
      </c>
      <c r="H1424" s="3" t="s">
        <v>74</v>
      </c>
      <c r="I1424" s="21">
        <v>1000189270</v>
      </c>
      <c r="J1424" s="3" t="s">
        <v>34</v>
      </c>
      <c r="K1424" s="20" t="s">
        <v>26</v>
      </c>
      <c r="L1424" s="39">
        <v>0</v>
      </c>
      <c r="M1424" s="39">
        <v>0</v>
      </c>
      <c r="N1424" s="39">
        <v>0</v>
      </c>
      <c r="O1424" s="39">
        <v>0</v>
      </c>
      <c r="P1424" s="39">
        <v>0</v>
      </c>
      <c r="Q1424" s="39">
        <v>0</v>
      </c>
      <c r="R1424" s="39">
        <v>0</v>
      </c>
      <c r="S1424" s="39">
        <v>0</v>
      </c>
      <c r="T1424" s="39">
        <v>0</v>
      </c>
      <c r="U1424" s="39">
        <v>1140.48</v>
      </c>
      <c r="V1424" s="39">
        <v>0</v>
      </c>
      <c r="W1424" s="39">
        <v>0</v>
      </c>
      <c r="X1424" s="39">
        <v>0</v>
      </c>
      <c r="Y1424" s="39">
        <v>0</v>
      </c>
      <c r="Z1424" s="39">
        <v>0</v>
      </c>
      <c r="AA1424" s="39">
        <v>0</v>
      </c>
      <c r="AB1424" s="39">
        <v>0</v>
      </c>
      <c r="AC1424" s="39">
        <v>0</v>
      </c>
      <c r="AD1424" s="39">
        <v>0</v>
      </c>
      <c r="AE1424" s="39">
        <v>360</v>
      </c>
      <c r="AF1424" s="39">
        <v>0</v>
      </c>
      <c r="AG1424" s="39">
        <v>0</v>
      </c>
      <c r="AH1424" s="39"/>
      <c r="AI1424" s="39"/>
      <c r="AJ1424" s="40"/>
      <c r="AK1424" s="39">
        <f t="shared" si="110"/>
        <v>95.04</v>
      </c>
      <c r="AL1424" s="39">
        <f t="shared" si="113"/>
        <v>30</v>
      </c>
      <c r="AM1424" s="39">
        <f t="shared" si="114"/>
        <v>60</v>
      </c>
      <c r="AN1424" s="39">
        <f t="shared" si="111"/>
        <v>36</v>
      </c>
      <c r="AO1424" s="39">
        <f t="shared" si="112"/>
        <v>360</v>
      </c>
    </row>
    <row r="1425" spans="1:41" x14ac:dyDescent="0.3">
      <c r="A1425" s="20">
        <v>1000184670</v>
      </c>
      <c r="B1425" s="4" t="s">
        <v>147</v>
      </c>
      <c r="C1425" s="21"/>
      <c r="D1425" s="3"/>
      <c r="E1425" s="20">
        <v>1000184764</v>
      </c>
      <c r="F1425" s="4" t="s">
        <v>70</v>
      </c>
      <c r="G1425" s="21">
        <v>1000189819</v>
      </c>
      <c r="H1425" s="3" t="s">
        <v>74</v>
      </c>
      <c r="I1425" s="21">
        <v>1000189270</v>
      </c>
      <c r="J1425" s="3" t="s">
        <v>34</v>
      </c>
      <c r="K1425" s="20" t="s">
        <v>27</v>
      </c>
      <c r="L1425" s="39">
        <v>0</v>
      </c>
      <c r="M1425" s="39">
        <v>0</v>
      </c>
      <c r="N1425" s="39">
        <v>0</v>
      </c>
      <c r="O1425" s="39">
        <v>0</v>
      </c>
      <c r="P1425" s="39">
        <v>0</v>
      </c>
      <c r="Q1425" s="39">
        <v>0</v>
      </c>
      <c r="R1425" s="39">
        <v>0</v>
      </c>
      <c r="S1425" s="39">
        <v>0</v>
      </c>
      <c r="T1425" s="39">
        <v>0</v>
      </c>
      <c r="U1425" s="39">
        <v>0</v>
      </c>
      <c r="V1425" s="39">
        <v>0</v>
      </c>
      <c r="W1425" s="39">
        <v>0</v>
      </c>
      <c r="X1425" s="39">
        <v>0</v>
      </c>
      <c r="Y1425" s="39">
        <v>0</v>
      </c>
      <c r="Z1425" s="39">
        <v>0</v>
      </c>
      <c r="AA1425" s="39">
        <v>0</v>
      </c>
      <c r="AB1425" s="39">
        <v>0</v>
      </c>
      <c r="AC1425" s="39">
        <v>0</v>
      </c>
      <c r="AD1425" s="39">
        <v>0</v>
      </c>
      <c r="AE1425" s="39">
        <v>286.44</v>
      </c>
      <c r="AF1425" s="39">
        <v>0</v>
      </c>
      <c r="AG1425" s="39">
        <v>0</v>
      </c>
      <c r="AH1425" s="39"/>
      <c r="AI1425" s="39"/>
      <c r="AJ1425" s="40"/>
      <c r="AK1425" s="39">
        <f t="shared" si="110"/>
        <v>0</v>
      </c>
      <c r="AL1425" s="39">
        <f t="shared" si="113"/>
        <v>23.87</v>
      </c>
      <c r="AM1425" s="39">
        <f t="shared" si="114"/>
        <v>47.74</v>
      </c>
      <c r="AN1425" s="39">
        <f t="shared" si="111"/>
        <v>28.643999999999998</v>
      </c>
      <c r="AO1425" s="39">
        <f t="shared" si="112"/>
        <v>286.44</v>
      </c>
    </row>
    <row r="1426" spans="1:41" x14ac:dyDescent="0.3">
      <c r="A1426" s="20">
        <v>1000184670</v>
      </c>
      <c r="B1426" s="4" t="s">
        <v>147</v>
      </c>
      <c r="C1426" s="21"/>
      <c r="D1426" s="3"/>
      <c r="E1426" s="20">
        <v>1000184764</v>
      </c>
      <c r="F1426" s="4" t="s">
        <v>70</v>
      </c>
      <c r="G1426" s="21">
        <v>1000189819</v>
      </c>
      <c r="H1426" s="3" t="s">
        <v>74</v>
      </c>
      <c r="I1426" s="21">
        <v>1000189270</v>
      </c>
      <c r="J1426" s="3" t="s">
        <v>34</v>
      </c>
      <c r="K1426" s="20" t="s">
        <v>25</v>
      </c>
      <c r="L1426" s="39">
        <v>0</v>
      </c>
      <c r="M1426" s="39">
        <v>0</v>
      </c>
      <c r="N1426" s="39">
        <v>0</v>
      </c>
      <c r="O1426" s="39">
        <v>0</v>
      </c>
      <c r="P1426" s="39">
        <v>0</v>
      </c>
      <c r="Q1426" s="39">
        <v>0</v>
      </c>
      <c r="R1426" s="39">
        <v>0</v>
      </c>
      <c r="S1426" s="39">
        <v>0</v>
      </c>
      <c r="T1426" s="39">
        <v>0</v>
      </c>
      <c r="U1426" s="39">
        <v>0</v>
      </c>
      <c r="V1426" s="39">
        <v>0</v>
      </c>
      <c r="W1426" s="39">
        <v>0</v>
      </c>
      <c r="X1426" s="39">
        <v>0</v>
      </c>
      <c r="Y1426" s="39">
        <v>0</v>
      </c>
      <c r="Z1426" s="39">
        <v>0</v>
      </c>
      <c r="AA1426" s="39">
        <v>0</v>
      </c>
      <c r="AB1426" s="39">
        <v>0</v>
      </c>
      <c r="AC1426" s="39">
        <v>0</v>
      </c>
      <c r="AD1426" s="39">
        <v>0</v>
      </c>
      <c r="AE1426" s="39">
        <v>89.1</v>
      </c>
      <c r="AF1426" s="39">
        <v>0</v>
      </c>
      <c r="AG1426" s="39">
        <v>0</v>
      </c>
      <c r="AH1426" s="39"/>
      <c r="AI1426" s="39"/>
      <c r="AJ1426" s="40"/>
      <c r="AK1426" s="39">
        <f t="shared" si="110"/>
        <v>0</v>
      </c>
      <c r="AL1426" s="39">
        <f t="shared" si="113"/>
        <v>7.4249999999999998</v>
      </c>
      <c r="AM1426" s="39">
        <f t="shared" si="114"/>
        <v>14.85</v>
      </c>
      <c r="AN1426" s="39">
        <f t="shared" si="111"/>
        <v>8.91</v>
      </c>
      <c r="AO1426" s="39">
        <f t="shared" si="112"/>
        <v>89.1</v>
      </c>
    </row>
    <row r="1427" spans="1:41" x14ac:dyDescent="0.3">
      <c r="A1427" s="20">
        <v>1000184670</v>
      </c>
      <c r="B1427" s="4" t="s">
        <v>147</v>
      </c>
      <c r="C1427" s="21"/>
      <c r="D1427" s="3"/>
      <c r="E1427" s="20">
        <v>1000184764</v>
      </c>
      <c r="F1427" s="4" t="s">
        <v>70</v>
      </c>
      <c r="G1427" s="21">
        <v>1000189820</v>
      </c>
      <c r="H1427" s="3" t="s">
        <v>114</v>
      </c>
      <c r="I1427" s="21">
        <v>1000189270</v>
      </c>
      <c r="J1427" s="3" t="s">
        <v>34</v>
      </c>
      <c r="K1427" s="20" t="s">
        <v>124</v>
      </c>
      <c r="L1427" s="39">
        <v>0</v>
      </c>
      <c r="M1427" s="39">
        <v>0</v>
      </c>
      <c r="N1427" s="39">
        <v>0</v>
      </c>
      <c r="O1427" s="39">
        <v>0</v>
      </c>
      <c r="P1427" s="39">
        <v>0</v>
      </c>
      <c r="Q1427" s="39">
        <v>0</v>
      </c>
      <c r="R1427" s="39">
        <v>0</v>
      </c>
      <c r="S1427" s="39">
        <v>0</v>
      </c>
      <c r="T1427" s="39">
        <v>0</v>
      </c>
      <c r="U1427" s="39">
        <v>0</v>
      </c>
      <c r="V1427" s="39">
        <v>0</v>
      </c>
      <c r="W1427" s="39">
        <v>0</v>
      </c>
      <c r="X1427" s="39">
        <v>0</v>
      </c>
      <c r="Y1427" s="39">
        <v>0</v>
      </c>
      <c r="Z1427" s="39">
        <v>0</v>
      </c>
      <c r="AA1427" s="39">
        <v>0</v>
      </c>
      <c r="AB1427" s="39">
        <v>0</v>
      </c>
      <c r="AC1427" s="39">
        <v>0</v>
      </c>
      <c r="AD1427" s="39">
        <v>0</v>
      </c>
      <c r="AE1427" s="39">
        <v>0</v>
      </c>
      <c r="AF1427" s="39">
        <v>0</v>
      </c>
      <c r="AG1427" s="39">
        <v>0</v>
      </c>
      <c r="AH1427" s="39"/>
      <c r="AI1427" s="39"/>
      <c r="AJ1427" s="40"/>
      <c r="AK1427" s="39">
        <f t="shared" si="110"/>
        <v>0</v>
      </c>
      <c r="AL1427" s="39">
        <f t="shared" si="113"/>
        <v>0</v>
      </c>
      <c r="AM1427" s="39">
        <f t="shared" si="114"/>
        <v>0</v>
      </c>
      <c r="AN1427" s="39">
        <f t="shared" si="111"/>
        <v>0</v>
      </c>
      <c r="AO1427" s="39">
        <f t="shared" si="112"/>
        <v>0</v>
      </c>
    </row>
    <row r="1428" spans="1:41" x14ac:dyDescent="0.3">
      <c r="A1428" s="20">
        <v>1000184670</v>
      </c>
      <c r="B1428" s="4" t="s">
        <v>147</v>
      </c>
      <c r="C1428" s="21"/>
      <c r="D1428" s="3"/>
      <c r="E1428" s="20">
        <v>1000184764</v>
      </c>
      <c r="F1428" s="4" t="s">
        <v>70</v>
      </c>
      <c r="G1428" s="21">
        <v>1000189820</v>
      </c>
      <c r="H1428" s="3" t="s">
        <v>114</v>
      </c>
      <c r="I1428" s="21">
        <v>1000189270</v>
      </c>
      <c r="J1428" s="3" t="s">
        <v>34</v>
      </c>
      <c r="K1428" s="20" t="s">
        <v>13</v>
      </c>
      <c r="L1428" s="39">
        <v>254.22</v>
      </c>
      <c r="M1428" s="39">
        <v>167.54</v>
      </c>
      <c r="N1428" s="39">
        <v>0</v>
      </c>
      <c r="O1428" s="39">
        <v>4813.62</v>
      </c>
      <c r="P1428" s="39">
        <v>0</v>
      </c>
      <c r="Q1428" s="39">
        <v>59.1</v>
      </c>
      <c r="R1428" s="39">
        <v>0</v>
      </c>
      <c r="S1428" s="39">
        <v>113.32</v>
      </c>
      <c r="T1428" s="39">
        <v>797.9</v>
      </c>
      <c r="U1428" s="39">
        <v>797.9</v>
      </c>
      <c r="V1428" s="39">
        <v>0</v>
      </c>
      <c r="W1428" s="39">
        <v>0</v>
      </c>
      <c r="X1428" s="39">
        <v>0</v>
      </c>
      <c r="Y1428" s="39">
        <v>0</v>
      </c>
      <c r="Z1428" s="39">
        <v>156</v>
      </c>
      <c r="AA1428" s="39">
        <v>248.94</v>
      </c>
      <c r="AB1428" s="39">
        <v>0</v>
      </c>
      <c r="AC1428" s="39">
        <v>0</v>
      </c>
      <c r="AD1428" s="39">
        <v>280.8</v>
      </c>
      <c r="AE1428" s="39">
        <v>61.2</v>
      </c>
      <c r="AF1428" s="39">
        <v>122.4</v>
      </c>
      <c r="AG1428" s="39">
        <v>0</v>
      </c>
      <c r="AH1428" s="39"/>
      <c r="AI1428" s="39"/>
      <c r="AJ1428" s="40"/>
      <c r="AK1428" s="39">
        <f t="shared" si="110"/>
        <v>583.63333333333333</v>
      </c>
      <c r="AL1428" s="39">
        <f t="shared" si="113"/>
        <v>72.445000000000007</v>
      </c>
      <c r="AM1428" s="39">
        <f t="shared" si="114"/>
        <v>77.399999999999991</v>
      </c>
      <c r="AN1428" s="39">
        <f t="shared" si="111"/>
        <v>86.933999999999997</v>
      </c>
      <c r="AO1428" s="39">
        <f t="shared" si="112"/>
        <v>869.34</v>
      </c>
    </row>
    <row r="1429" spans="1:41" x14ac:dyDescent="0.3">
      <c r="A1429" s="20">
        <v>1000184670</v>
      </c>
      <c r="B1429" s="4" t="s">
        <v>147</v>
      </c>
      <c r="C1429" s="21"/>
      <c r="D1429" s="3"/>
      <c r="E1429" s="20">
        <v>1000184764</v>
      </c>
      <c r="F1429" s="4" t="s">
        <v>70</v>
      </c>
      <c r="G1429" s="21">
        <v>1000189820</v>
      </c>
      <c r="H1429" s="3" t="s">
        <v>114</v>
      </c>
      <c r="I1429" s="21">
        <v>1000189270</v>
      </c>
      <c r="J1429" s="3" t="s">
        <v>34</v>
      </c>
      <c r="K1429" s="20" t="s">
        <v>14</v>
      </c>
      <c r="L1429" s="39">
        <v>234.31</v>
      </c>
      <c r="M1429" s="39">
        <v>2347.4699999999998</v>
      </c>
      <c r="N1429" s="39">
        <v>648</v>
      </c>
      <c r="O1429" s="39">
        <v>2875.4</v>
      </c>
      <c r="P1429" s="39">
        <v>186</v>
      </c>
      <c r="Q1429" s="39">
        <v>636</v>
      </c>
      <c r="R1429" s="39">
        <v>0</v>
      </c>
      <c r="S1429" s="39">
        <v>444</v>
      </c>
      <c r="T1429" s="39">
        <v>2162</v>
      </c>
      <c r="U1429" s="39">
        <v>1496</v>
      </c>
      <c r="V1429" s="39">
        <v>0</v>
      </c>
      <c r="W1429" s="39">
        <v>0</v>
      </c>
      <c r="X1429" s="39">
        <v>0</v>
      </c>
      <c r="Y1429" s="39">
        <v>0</v>
      </c>
      <c r="Z1429" s="39">
        <v>1181.52</v>
      </c>
      <c r="AA1429" s="39">
        <v>989.56</v>
      </c>
      <c r="AB1429" s="39">
        <v>559</v>
      </c>
      <c r="AC1429" s="39">
        <v>-279.5</v>
      </c>
      <c r="AD1429" s="39">
        <v>923.4</v>
      </c>
      <c r="AE1429" s="39">
        <v>336</v>
      </c>
      <c r="AF1429" s="39">
        <v>0</v>
      </c>
      <c r="AG1429" s="39">
        <v>636</v>
      </c>
      <c r="AH1429" s="39"/>
      <c r="AI1429" s="39"/>
      <c r="AJ1429" s="40"/>
      <c r="AK1429" s="39">
        <f t="shared" si="110"/>
        <v>919.09833333333336</v>
      </c>
      <c r="AL1429" s="39">
        <f t="shared" si="113"/>
        <v>362.16499999999996</v>
      </c>
      <c r="AM1429" s="39">
        <f t="shared" si="114"/>
        <v>362.48333333333335</v>
      </c>
      <c r="AN1429" s="39">
        <f t="shared" si="111"/>
        <v>434.59799999999996</v>
      </c>
      <c r="AO1429" s="39">
        <f t="shared" si="112"/>
        <v>4345.9799999999996</v>
      </c>
    </row>
    <row r="1430" spans="1:41" x14ac:dyDescent="0.3">
      <c r="A1430" s="20">
        <v>1000184670</v>
      </c>
      <c r="B1430" s="4" t="s">
        <v>147</v>
      </c>
      <c r="C1430" s="21"/>
      <c r="D1430" s="3"/>
      <c r="E1430" s="20">
        <v>1000184764</v>
      </c>
      <c r="F1430" s="4" t="s">
        <v>70</v>
      </c>
      <c r="G1430" s="21">
        <v>1000189820</v>
      </c>
      <c r="H1430" s="3" t="s">
        <v>114</v>
      </c>
      <c r="I1430" s="21">
        <v>1000189270</v>
      </c>
      <c r="J1430" s="3" t="s">
        <v>34</v>
      </c>
      <c r="K1430" s="20" t="s">
        <v>16</v>
      </c>
      <c r="L1430" s="39">
        <v>0</v>
      </c>
      <c r="M1430" s="39">
        <v>354.53</v>
      </c>
      <c r="N1430" s="39">
        <v>0</v>
      </c>
      <c r="O1430" s="39">
        <v>230.8</v>
      </c>
      <c r="P1430" s="39">
        <v>0</v>
      </c>
      <c r="Q1430" s="39">
        <v>0</v>
      </c>
      <c r="R1430" s="39">
        <v>0</v>
      </c>
      <c r="S1430" s="39">
        <v>0</v>
      </c>
      <c r="T1430" s="39">
        <v>0</v>
      </c>
      <c r="U1430" s="39">
        <v>0</v>
      </c>
      <c r="V1430" s="39">
        <v>0</v>
      </c>
      <c r="W1430" s="39">
        <v>0</v>
      </c>
      <c r="X1430" s="39">
        <v>0</v>
      </c>
      <c r="Y1430" s="39">
        <v>0</v>
      </c>
      <c r="Z1430" s="39">
        <v>0</v>
      </c>
      <c r="AA1430" s="39">
        <v>117.25</v>
      </c>
      <c r="AB1430" s="39">
        <v>991.9</v>
      </c>
      <c r="AC1430" s="39">
        <v>0</v>
      </c>
      <c r="AD1430" s="39">
        <v>215.43</v>
      </c>
      <c r="AE1430" s="39">
        <v>0</v>
      </c>
      <c r="AF1430" s="39">
        <v>0</v>
      </c>
      <c r="AG1430" s="39">
        <v>0</v>
      </c>
      <c r="AH1430" s="39"/>
      <c r="AI1430" s="39"/>
      <c r="AJ1430" s="40"/>
      <c r="AK1430" s="39">
        <f t="shared" si="110"/>
        <v>48.777499999999996</v>
      </c>
      <c r="AL1430" s="39">
        <f t="shared" si="113"/>
        <v>110.38166666666667</v>
      </c>
      <c r="AM1430" s="39">
        <f t="shared" si="114"/>
        <v>201.22166666666666</v>
      </c>
      <c r="AN1430" s="39">
        <f t="shared" si="111"/>
        <v>132.45800000000003</v>
      </c>
      <c r="AO1430" s="39">
        <f t="shared" si="112"/>
        <v>1324.5800000000002</v>
      </c>
    </row>
    <row r="1431" spans="1:41" x14ac:dyDescent="0.3">
      <c r="A1431" s="20">
        <v>1000184670</v>
      </c>
      <c r="B1431" s="4" t="s">
        <v>147</v>
      </c>
      <c r="C1431" s="21"/>
      <c r="D1431" s="3"/>
      <c r="E1431" s="20">
        <v>1000184764</v>
      </c>
      <c r="F1431" s="4" t="s">
        <v>70</v>
      </c>
      <c r="G1431" s="21">
        <v>1000189820</v>
      </c>
      <c r="H1431" s="3" t="s">
        <v>114</v>
      </c>
      <c r="I1431" s="21">
        <v>1000189270</v>
      </c>
      <c r="J1431" s="3" t="s">
        <v>34</v>
      </c>
      <c r="K1431" s="20" t="s">
        <v>15</v>
      </c>
      <c r="L1431" s="39">
        <v>2005.32</v>
      </c>
      <c r="M1431" s="39">
        <v>636.01</v>
      </c>
      <c r="N1431" s="39">
        <v>677.64</v>
      </c>
      <c r="O1431" s="39">
        <v>848.88</v>
      </c>
      <c r="P1431" s="39">
        <v>48.6</v>
      </c>
      <c r="Q1431" s="39">
        <v>1128.5999999999999</v>
      </c>
      <c r="R1431" s="39">
        <v>408.24</v>
      </c>
      <c r="S1431" s="39">
        <v>518.4</v>
      </c>
      <c r="T1431" s="39">
        <v>366.12</v>
      </c>
      <c r="U1431" s="39">
        <v>0</v>
      </c>
      <c r="V1431" s="39">
        <v>0</v>
      </c>
      <c r="W1431" s="39">
        <v>0</v>
      </c>
      <c r="X1431" s="39">
        <v>0</v>
      </c>
      <c r="Y1431" s="39">
        <v>0</v>
      </c>
      <c r="Z1431" s="39">
        <v>276</v>
      </c>
      <c r="AA1431" s="39">
        <v>802.22</v>
      </c>
      <c r="AB1431" s="39">
        <v>1014</v>
      </c>
      <c r="AC1431" s="39">
        <v>0</v>
      </c>
      <c r="AD1431" s="39">
        <v>1374.75</v>
      </c>
      <c r="AE1431" s="39">
        <v>684</v>
      </c>
      <c r="AF1431" s="39">
        <v>423.3</v>
      </c>
      <c r="AG1431" s="39">
        <v>690</v>
      </c>
      <c r="AH1431" s="39"/>
      <c r="AI1431" s="39"/>
      <c r="AJ1431" s="40"/>
      <c r="AK1431" s="39">
        <f t="shared" si="110"/>
        <v>553.15083333333325</v>
      </c>
      <c r="AL1431" s="39">
        <f t="shared" si="113"/>
        <v>438.68916666666672</v>
      </c>
      <c r="AM1431" s="39">
        <f t="shared" si="114"/>
        <v>697.67500000000007</v>
      </c>
      <c r="AN1431" s="39">
        <f t="shared" si="111"/>
        <v>526.42700000000002</v>
      </c>
      <c r="AO1431" s="39">
        <f t="shared" si="112"/>
        <v>5264.27</v>
      </c>
    </row>
    <row r="1432" spans="1:41" x14ac:dyDescent="0.3">
      <c r="A1432" s="20">
        <v>1000184670</v>
      </c>
      <c r="B1432" s="4" t="s">
        <v>147</v>
      </c>
      <c r="C1432" s="21"/>
      <c r="D1432" s="3"/>
      <c r="E1432" s="20">
        <v>1000184764</v>
      </c>
      <c r="F1432" s="4" t="s">
        <v>70</v>
      </c>
      <c r="G1432" s="21">
        <v>1000189820</v>
      </c>
      <c r="H1432" s="3" t="s">
        <v>114</v>
      </c>
      <c r="I1432" s="21">
        <v>1000189270</v>
      </c>
      <c r="J1432" s="3" t="s">
        <v>34</v>
      </c>
      <c r="K1432" s="20" t="s">
        <v>33</v>
      </c>
      <c r="L1432" s="39">
        <v>0</v>
      </c>
      <c r="M1432" s="39">
        <v>0</v>
      </c>
      <c r="N1432" s="39">
        <v>0</v>
      </c>
      <c r="O1432" s="39">
        <v>0</v>
      </c>
      <c r="P1432" s="39">
        <v>0</v>
      </c>
      <c r="Q1432" s="39">
        <v>0</v>
      </c>
      <c r="R1432" s="39">
        <v>0</v>
      </c>
      <c r="S1432" s="39">
        <v>0</v>
      </c>
      <c r="T1432" s="39">
        <v>0</v>
      </c>
      <c r="U1432" s="39">
        <v>0</v>
      </c>
      <c r="V1432" s="39">
        <v>0</v>
      </c>
      <c r="W1432" s="39">
        <v>0</v>
      </c>
      <c r="X1432" s="39">
        <v>0</v>
      </c>
      <c r="Y1432" s="39">
        <v>0</v>
      </c>
      <c r="Z1432" s="39">
        <v>0</v>
      </c>
      <c r="AA1432" s="39">
        <v>0</v>
      </c>
      <c r="AB1432" s="39">
        <v>0</v>
      </c>
      <c r="AC1432" s="39">
        <v>1419</v>
      </c>
      <c r="AD1432" s="39">
        <v>798</v>
      </c>
      <c r="AE1432" s="39">
        <v>0</v>
      </c>
      <c r="AF1432" s="39">
        <v>1685.42</v>
      </c>
      <c r="AG1432" s="39">
        <v>249.6</v>
      </c>
      <c r="AH1432" s="39"/>
      <c r="AI1432" s="39"/>
      <c r="AJ1432" s="40"/>
      <c r="AK1432" s="39">
        <f t="shared" si="110"/>
        <v>0</v>
      </c>
      <c r="AL1432" s="39">
        <f t="shared" si="113"/>
        <v>346.00166666666672</v>
      </c>
      <c r="AM1432" s="39">
        <f t="shared" si="114"/>
        <v>692.00333333333344</v>
      </c>
      <c r="AN1432" s="39">
        <f t="shared" si="111"/>
        <v>415.20200000000006</v>
      </c>
      <c r="AO1432" s="39">
        <f t="shared" si="112"/>
        <v>4152.0200000000004</v>
      </c>
    </row>
    <row r="1433" spans="1:41" x14ac:dyDescent="0.3">
      <c r="A1433" s="20">
        <v>1000184670</v>
      </c>
      <c r="B1433" s="4" t="s">
        <v>147</v>
      </c>
      <c r="C1433" s="21"/>
      <c r="D1433" s="3"/>
      <c r="E1433" s="20">
        <v>1000184764</v>
      </c>
      <c r="F1433" s="4" t="s">
        <v>70</v>
      </c>
      <c r="G1433" s="19">
        <v>1000189820</v>
      </c>
      <c r="H1433" s="3" t="s">
        <v>114</v>
      </c>
      <c r="I1433" s="21">
        <v>1000189270</v>
      </c>
      <c r="J1433" s="3" t="s">
        <v>34</v>
      </c>
      <c r="K1433" s="20" t="s">
        <v>19</v>
      </c>
      <c r="L1433" s="39">
        <v>0</v>
      </c>
      <c r="M1433" s="39">
        <v>447.12</v>
      </c>
      <c r="N1433" s="39">
        <v>102.06</v>
      </c>
      <c r="O1433" s="39">
        <v>306.18</v>
      </c>
      <c r="P1433" s="39">
        <v>0</v>
      </c>
      <c r="Q1433" s="39">
        <v>408.24</v>
      </c>
      <c r="R1433" s="39">
        <v>204.12</v>
      </c>
      <c r="S1433" s="39">
        <v>441.72</v>
      </c>
      <c r="T1433" s="39">
        <v>204.12</v>
      </c>
      <c r="U1433" s="39">
        <v>0</v>
      </c>
      <c r="V1433" s="39">
        <v>0</v>
      </c>
      <c r="W1433" s="39">
        <v>0</v>
      </c>
      <c r="X1433" s="39">
        <v>0</v>
      </c>
      <c r="Y1433" s="39">
        <v>0</v>
      </c>
      <c r="Z1433" s="39">
        <v>0</v>
      </c>
      <c r="AA1433" s="39">
        <v>526.5</v>
      </c>
      <c r="AB1433" s="39">
        <v>0</v>
      </c>
      <c r="AC1433" s="39">
        <v>0</v>
      </c>
      <c r="AD1433" s="39">
        <v>0</v>
      </c>
      <c r="AE1433" s="39">
        <v>0</v>
      </c>
      <c r="AF1433" s="39">
        <v>137.69999999999999</v>
      </c>
      <c r="AG1433" s="39">
        <v>162</v>
      </c>
      <c r="AH1433" s="39"/>
      <c r="AI1433" s="39"/>
      <c r="AJ1433" s="40"/>
      <c r="AK1433" s="39">
        <f t="shared" si="110"/>
        <v>176.13000000000002</v>
      </c>
      <c r="AL1433" s="39">
        <f t="shared" si="113"/>
        <v>68.850000000000009</v>
      </c>
      <c r="AM1433" s="39">
        <f t="shared" si="114"/>
        <v>49.949999999999996</v>
      </c>
      <c r="AN1433" s="39">
        <f t="shared" si="111"/>
        <v>82.62</v>
      </c>
      <c r="AO1433" s="39">
        <f t="shared" si="112"/>
        <v>826.2</v>
      </c>
    </row>
    <row r="1434" spans="1:41" x14ac:dyDescent="0.3">
      <c r="A1434" s="20">
        <v>1000184670</v>
      </c>
      <c r="B1434" s="4" t="s">
        <v>147</v>
      </c>
      <c r="C1434" s="21"/>
      <c r="D1434" s="3"/>
      <c r="E1434" s="20">
        <v>1000184764</v>
      </c>
      <c r="F1434" s="4" t="s">
        <v>70</v>
      </c>
      <c r="G1434" s="19">
        <v>1000189820</v>
      </c>
      <c r="H1434" s="3" t="s">
        <v>114</v>
      </c>
      <c r="I1434" s="21">
        <v>1000189270</v>
      </c>
      <c r="J1434" s="3" t="s">
        <v>34</v>
      </c>
      <c r="K1434" s="20" t="s">
        <v>17</v>
      </c>
      <c r="L1434" s="39">
        <v>0</v>
      </c>
      <c r="M1434" s="39">
        <v>783.9</v>
      </c>
      <c r="N1434" s="39">
        <v>0</v>
      </c>
      <c r="O1434" s="39">
        <v>468</v>
      </c>
      <c r="P1434" s="39">
        <v>216</v>
      </c>
      <c r="Q1434" s="39">
        <v>240</v>
      </c>
      <c r="R1434" s="39">
        <v>0</v>
      </c>
      <c r="S1434" s="39">
        <v>804</v>
      </c>
      <c r="T1434" s="39">
        <v>0</v>
      </c>
      <c r="U1434" s="39">
        <v>0</v>
      </c>
      <c r="V1434" s="39">
        <v>0</v>
      </c>
      <c r="W1434" s="39">
        <v>0</v>
      </c>
      <c r="X1434" s="39">
        <v>0</v>
      </c>
      <c r="Y1434" s="39">
        <v>0</v>
      </c>
      <c r="Z1434" s="39">
        <v>590.4</v>
      </c>
      <c r="AA1434" s="39">
        <v>374.31</v>
      </c>
      <c r="AB1434" s="39">
        <v>0</v>
      </c>
      <c r="AC1434" s="39">
        <v>0</v>
      </c>
      <c r="AD1434" s="39">
        <v>257.39999999999998</v>
      </c>
      <c r="AE1434" s="39">
        <v>528</v>
      </c>
      <c r="AF1434" s="39">
        <v>0</v>
      </c>
      <c r="AG1434" s="39">
        <v>396</v>
      </c>
      <c r="AH1434" s="39"/>
      <c r="AI1434" s="39"/>
      <c r="AJ1434" s="40"/>
      <c r="AK1434" s="39">
        <f t="shared" si="110"/>
        <v>209.32500000000002</v>
      </c>
      <c r="AL1434" s="39">
        <f t="shared" si="113"/>
        <v>178.8425</v>
      </c>
      <c r="AM1434" s="39">
        <f t="shared" si="114"/>
        <v>196.9</v>
      </c>
      <c r="AN1434" s="39">
        <f t="shared" si="111"/>
        <v>214.61100000000002</v>
      </c>
      <c r="AO1434" s="39">
        <f t="shared" si="112"/>
        <v>2146.11</v>
      </c>
    </row>
    <row r="1435" spans="1:41" x14ac:dyDescent="0.3">
      <c r="A1435" s="20">
        <v>1000184670</v>
      </c>
      <c r="B1435" s="4" t="s">
        <v>147</v>
      </c>
      <c r="C1435" s="21"/>
      <c r="D1435" s="3"/>
      <c r="E1435" s="20">
        <v>1000184764</v>
      </c>
      <c r="F1435" s="4" t="s">
        <v>70</v>
      </c>
      <c r="G1435" s="19">
        <v>1000189820</v>
      </c>
      <c r="H1435" s="3" t="s">
        <v>114</v>
      </c>
      <c r="I1435" s="21">
        <v>1000189270</v>
      </c>
      <c r="J1435" s="3" t="s">
        <v>34</v>
      </c>
      <c r="K1435" s="20" t="s">
        <v>24</v>
      </c>
      <c r="L1435" s="39">
        <v>0</v>
      </c>
      <c r="M1435" s="39">
        <v>455.48</v>
      </c>
      <c r="N1435" s="39">
        <v>0</v>
      </c>
      <c r="O1435" s="39">
        <v>350.08</v>
      </c>
      <c r="P1435" s="39">
        <v>0</v>
      </c>
      <c r="Q1435" s="39">
        <v>179.52</v>
      </c>
      <c r="R1435" s="39">
        <v>179.52</v>
      </c>
      <c r="S1435" s="39">
        <v>89.76</v>
      </c>
      <c r="T1435" s="39">
        <v>179.52</v>
      </c>
      <c r="U1435" s="39">
        <v>0</v>
      </c>
      <c r="V1435" s="39">
        <v>0</v>
      </c>
      <c r="W1435" s="39">
        <v>0</v>
      </c>
      <c r="X1435" s="39">
        <v>0</v>
      </c>
      <c r="Y1435" s="39">
        <v>0</v>
      </c>
      <c r="Z1435" s="39">
        <v>89.76</v>
      </c>
      <c r="AA1435" s="39">
        <v>344.77</v>
      </c>
      <c r="AB1435" s="39">
        <v>303.42</v>
      </c>
      <c r="AC1435" s="39">
        <v>0</v>
      </c>
      <c r="AD1435" s="39">
        <v>364.11</v>
      </c>
      <c r="AE1435" s="39">
        <v>186.72</v>
      </c>
      <c r="AF1435" s="39">
        <v>0</v>
      </c>
      <c r="AG1435" s="39">
        <v>373.44</v>
      </c>
      <c r="AH1435" s="39"/>
      <c r="AI1435" s="39"/>
      <c r="AJ1435" s="40"/>
      <c r="AK1435" s="39">
        <f t="shared" si="110"/>
        <v>119.49</v>
      </c>
      <c r="AL1435" s="39">
        <f t="shared" si="113"/>
        <v>138.51833333333335</v>
      </c>
      <c r="AM1435" s="39">
        <f t="shared" si="114"/>
        <v>204.61500000000001</v>
      </c>
      <c r="AN1435" s="39">
        <f t="shared" si="111"/>
        <v>166.22200000000001</v>
      </c>
      <c r="AO1435" s="39">
        <f t="shared" si="112"/>
        <v>1662.22</v>
      </c>
    </row>
    <row r="1436" spans="1:41" x14ac:dyDescent="0.3">
      <c r="A1436" s="20">
        <v>1000184670</v>
      </c>
      <c r="B1436" s="4" t="s">
        <v>147</v>
      </c>
      <c r="C1436" s="21"/>
      <c r="D1436" s="3"/>
      <c r="E1436" s="20">
        <v>1000184764</v>
      </c>
      <c r="F1436" s="4" t="s">
        <v>70</v>
      </c>
      <c r="G1436" s="21">
        <v>1000189820</v>
      </c>
      <c r="H1436" s="3" t="s">
        <v>114</v>
      </c>
      <c r="I1436" s="21">
        <v>1000189270</v>
      </c>
      <c r="J1436" s="3" t="s">
        <v>34</v>
      </c>
      <c r="K1436" s="20" t="s">
        <v>18</v>
      </c>
      <c r="L1436" s="39">
        <v>0</v>
      </c>
      <c r="M1436" s="39">
        <v>152.1</v>
      </c>
      <c r="N1436" s="39">
        <v>92.4</v>
      </c>
      <c r="O1436" s="39">
        <v>533</v>
      </c>
      <c r="P1436" s="39">
        <v>78</v>
      </c>
      <c r="Q1436" s="39">
        <v>0</v>
      </c>
      <c r="R1436" s="39">
        <v>78</v>
      </c>
      <c r="S1436" s="39">
        <v>0</v>
      </c>
      <c r="T1436" s="39">
        <v>0</v>
      </c>
      <c r="U1436" s="39">
        <v>0</v>
      </c>
      <c r="V1436" s="39">
        <v>0</v>
      </c>
      <c r="W1436" s="39">
        <v>0</v>
      </c>
      <c r="X1436" s="39">
        <v>0</v>
      </c>
      <c r="Y1436" s="39">
        <v>0</v>
      </c>
      <c r="Z1436" s="39">
        <v>78</v>
      </c>
      <c r="AA1436" s="39">
        <v>30.86</v>
      </c>
      <c r="AB1436" s="39">
        <v>87.1</v>
      </c>
      <c r="AC1436" s="39">
        <v>0</v>
      </c>
      <c r="AD1436" s="39">
        <v>425.77</v>
      </c>
      <c r="AE1436" s="39">
        <v>80.400000000000006</v>
      </c>
      <c r="AF1436" s="39">
        <v>0</v>
      </c>
      <c r="AG1436" s="39">
        <v>80.400000000000006</v>
      </c>
      <c r="AH1436" s="39"/>
      <c r="AI1436" s="39"/>
      <c r="AJ1436" s="40"/>
      <c r="AK1436" s="39">
        <f t="shared" si="110"/>
        <v>77.791666666666671</v>
      </c>
      <c r="AL1436" s="39">
        <f t="shared" si="113"/>
        <v>65.210833333333326</v>
      </c>
      <c r="AM1436" s="39">
        <f t="shared" si="114"/>
        <v>112.27833333333332</v>
      </c>
      <c r="AN1436" s="39">
        <f t="shared" si="111"/>
        <v>78.253</v>
      </c>
      <c r="AO1436" s="39">
        <f t="shared" si="112"/>
        <v>782.53</v>
      </c>
    </row>
    <row r="1437" spans="1:41" x14ac:dyDescent="0.3">
      <c r="A1437" s="20">
        <v>1000184670</v>
      </c>
      <c r="B1437" s="4" t="s">
        <v>147</v>
      </c>
      <c r="C1437" s="21"/>
      <c r="D1437" s="3"/>
      <c r="E1437" s="20">
        <v>1000184764</v>
      </c>
      <c r="F1437" s="4" t="s">
        <v>70</v>
      </c>
      <c r="G1437" s="21">
        <v>1000189820</v>
      </c>
      <c r="H1437" s="3" t="s">
        <v>114</v>
      </c>
      <c r="I1437" s="21">
        <v>1000189270</v>
      </c>
      <c r="J1437" s="3" t="s">
        <v>34</v>
      </c>
      <c r="K1437" s="20" t="s">
        <v>29</v>
      </c>
      <c r="L1437" s="39">
        <v>0</v>
      </c>
      <c r="M1437" s="39">
        <v>0</v>
      </c>
      <c r="N1437" s="39">
        <v>0</v>
      </c>
      <c r="O1437" s="39">
        <v>0</v>
      </c>
      <c r="P1437" s="39">
        <v>0</v>
      </c>
      <c r="Q1437" s="39">
        <v>0</v>
      </c>
      <c r="R1437" s="39">
        <v>0</v>
      </c>
      <c r="S1437" s="39">
        <v>0</v>
      </c>
      <c r="T1437" s="39">
        <v>0</v>
      </c>
      <c r="U1437" s="39">
        <v>0</v>
      </c>
      <c r="V1437" s="39">
        <v>0</v>
      </c>
      <c r="W1437" s="39">
        <v>0</v>
      </c>
      <c r="X1437" s="39">
        <v>0</v>
      </c>
      <c r="Y1437" s="39">
        <v>0</v>
      </c>
      <c r="Z1437" s="39">
        <v>0</v>
      </c>
      <c r="AA1437" s="39">
        <v>0</v>
      </c>
      <c r="AB1437" s="39">
        <v>0</v>
      </c>
      <c r="AC1437" s="39">
        <v>1462.8</v>
      </c>
      <c r="AD1437" s="39">
        <v>3494.25</v>
      </c>
      <c r="AE1437" s="39">
        <v>2567.7199999999998</v>
      </c>
      <c r="AF1437" s="39">
        <v>1730</v>
      </c>
      <c r="AG1437" s="39">
        <v>451.53</v>
      </c>
      <c r="AH1437" s="39"/>
      <c r="AI1437" s="39"/>
      <c r="AJ1437" s="40"/>
      <c r="AK1437" s="39">
        <f t="shared" si="110"/>
        <v>0</v>
      </c>
      <c r="AL1437" s="39">
        <f t="shared" si="113"/>
        <v>808.85833333333346</v>
      </c>
      <c r="AM1437" s="39">
        <f t="shared" si="114"/>
        <v>1617.7166666666669</v>
      </c>
      <c r="AN1437" s="39">
        <f t="shared" si="111"/>
        <v>970.63000000000011</v>
      </c>
      <c r="AO1437" s="39">
        <f t="shared" si="112"/>
        <v>9706.3000000000011</v>
      </c>
    </row>
    <row r="1438" spans="1:41" x14ac:dyDescent="0.3">
      <c r="A1438" s="20">
        <v>1000184670</v>
      </c>
      <c r="B1438" s="4" t="s">
        <v>147</v>
      </c>
      <c r="C1438" s="21"/>
      <c r="D1438" s="3"/>
      <c r="E1438" s="20">
        <v>1000184764</v>
      </c>
      <c r="F1438" s="4" t="s">
        <v>70</v>
      </c>
      <c r="G1438" s="21">
        <v>1000189820</v>
      </c>
      <c r="H1438" s="3" t="s">
        <v>114</v>
      </c>
      <c r="I1438" s="21">
        <v>1000189270</v>
      </c>
      <c r="J1438" s="3" t="s">
        <v>34</v>
      </c>
      <c r="K1438" s="20" t="s">
        <v>21</v>
      </c>
      <c r="L1438" s="39">
        <v>324.8</v>
      </c>
      <c r="M1438" s="39">
        <v>1540.8</v>
      </c>
      <c r="N1438" s="39">
        <v>0</v>
      </c>
      <c r="O1438" s="39">
        <v>947.4</v>
      </c>
      <c r="P1438" s="39">
        <v>0</v>
      </c>
      <c r="Q1438" s="39">
        <v>1344</v>
      </c>
      <c r="R1438" s="39">
        <v>372</v>
      </c>
      <c r="S1438" s="39">
        <v>744</v>
      </c>
      <c r="T1438" s="39">
        <v>336</v>
      </c>
      <c r="U1438" s="39">
        <v>0</v>
      </c>
      <c r="V1438" s="39">
        <v>0</v>
      </c>
      <c r="W1438" s="39">
        <v>0</v>
      </c>
      <c r="X1438" s="39">
        <v>0</v>
      </c>
      <c r="Y1438" s="39">
        <v>0</v>
      </c>
      <c r="Z1438" s="39">
        <v>960</v>
      </c>
      <c r="AA1438" s="39">
        <v>355.5</v>
      </c>
      <c r="AB1438" s="39">
        <v>1040</v>
      </c>
      <c r="AC1438" s="39">
        <v>0</v>
      </c>
      <c r="AD1438" s="39">
        <v>1002.97</v>
      </c>
      <c r="AE1438" s="39">
        <v>0</v>
      </c>
      <c r="AF1438" s="39">
        <v>0</v>
      </c>
      <c r="AG1438" s="39">
        <v>594</v>
      </c>
      <c r="AH1438" s="39"/>
      <c r="AI1438" s="39"/>
      <c r="AJ1438" s="40"/>
      <c r="AK1438" s="39">
        <f t="shared" si="110"/>
        <v>467.41666666666669</v>
      </c>
      <c r="AL1438" s="39">
        <f t="shared" si="113"/>
        <v>329.3725</v>
      </c>
      <c r="AM1438" s="39">
        <f t="shared" si="114"/>
        <v>439.49500000000006</v>
      </c>
      <c r="AN1438" s="39">
        <f t="shared" si="111"/>
        <v>395.24700000000001</v>
      </c>
      <c r="AO1438" s="39">
        <f t="shared" si="112"/>
        <v>3952.4700000000003</v>
      </c>
    </row>
    <row r="1439" spans="1:41" x14ac:dyDescent="0.3">
      <c r="A1439" s="20">
        <v>1000184670</v>
      </c>
      <c r="B1439" s="4" t="s">
        <v>147</v>
      </c>
      <c r="C1439" s="21"/>
      <c r="D1439" s="3"/>
      <c r="E1439" s="20">
        <v>1000184764</v>
      </c>
      <c r="F1439" s="4" t="s">
        <v>70</v>
      </c>
      <c r="G1439" s="21">
        <v>1000189820</v>
      </c>
      <c r="H1439" s="3" t="s">
        <v>114</v>
      </c>
      <c r="I1439" s="21">
        <v>1000189270</v>
      </c>
      <c r="J1439" s="3" t="s">
        <v>34</v>
      </c>
      <c r="K1439" s="20" t="s">
        <v>20</v>
      </c>
      <c r="L1439" s="39">
        <v>228.62</v>
      </c>
      <c r="M1439" s="39">
        <v>573.29999999999995</v>
      </c>
      <c r="N1439" s="39">
        <v>0</v>
      </c>
      <c r="O1439" s="39">
        <v>159.12</v>
      </c>
      <c r="P1439" s="39">
        <v>736.05</v>
      </c>
      <c r="Q1439" s="39">
        <v>163.19999999999999</v>
      </c>
      <c r="R1439" s="39">
        <v>0</v>
      </c>
      <c r="S1439" s="39">
        <v>0</v>
      </c>
      <c r="T1439" s="39">
        <v>1176</v>
      </c>
      <c r="U1439" s="39">
        <v>0</v>
      </c>
      <c r="V1439" s="39">
        <v>0</v>
      </c>
      <c r="W1439" s="39">
        <v>0</v>
      </c>
      <c r="X1439" s="39">
        <v>0</v>
      </c>
      <c r="Y1439" s="39">
        <v>0</v>
      </c>
      <c r="Z1439" s="39">
        <v>408.96</v>
      </c>
      <c r="AA1439" s="39">
        <v>250.26</v>
      </c>
      <c r="AB1439" s="39">
        <v>741</v>
      </c>
      <c r="AC1439" s="39">
        <v>0</v>
      </c>
      <c r="AD1439" s="39">
        <v>626.21</v>
      </c>
      <c r="AE1439" s="39">
        <v>187.2</v>
      </c>
      <c r="AF1439" s="39">
        <v>0</v>
      </c>
      <c r="AG1439" s="39">
        <v>871.2</v>
      </c>
      <c r="AH1439" s="39"/>
      <c r="AI1439" s="39"/>
      <c r="AJ1439" s="40"/>
      <c r="AK1439" s="39">
        <f t="shared" si="110"/>
        <v>253.02416666666667</v>
      </c>
      <c r="AL1439" s="39">
        <f t="shared" si="113"/>
        <v>257.06916666666666</v>
      </c>
      <c r="AM1439" s="39">
        <f t="shared" si="114"/>
        <v>404.26833333333337</v>
      </c>
      <c r="AN1439" s="39">
        <f t="shared" si="111"/>
        <v>308.483</v>
      </c>
      <c r="AO1439" s="39">
        <f t="shared" si="112"/>
        <v>3084.83</v>
      </c>
    </row>
    <row r="1440" spans="1:41" x14ac:dyDescent="0.3">
      <c r="A1440" s="20">
        <v>1000184670</v>
      </c>
      <c r="B1440" s="4" t="s">
        <v>147</v>
      </c>
      <c r="C1440" s="21"/>
      <c r="D1440" s="3"/>
      <c r="E1440" s="20">
        <v>1000184764</v>
      </c>
      <c r="F1440" s="4" t="s">
        <v>70</v>
      </c>
      <c r="G1440" s="21">
        <v>1000189820</v>
      </c>
      <c r="H1440" s="3" t="s">
        <v>114</v>
      </c>
      <c r="I1440" s="21">
        <v>1000189270</v>
      </c>
      <c r="J1440" s="3" t="s">
        <v>34</v>
      </c>
      <c r="K1440" s="20" t="s">
        <v>22</v>
      </c>
      <c r="L1440" s="39">
        <v>0</v>
      </c>
      <c r="M1440" s="39">
        <v>324.89999999999998</v>
      </c>
      <c r="N1440" s="39">
        <v>114</v>
      </c>
      <c r="O1440" s="39">
        <v>0</v>
      </c>
      <c r="P1440" s="39">
        <v>0</v>
      </c>
      <c r="Q1440" s="39">
        <v>0</v>
      </c>
      <c r="R1440" s="39">
        <v>0</v>
      </c>
      <c r="S1440" s="39">
        <v>0</v>
      </c>
      <c r="T1440" s="39">
        <v>0</v>
      </c>
      <c r="U1440" s="39">
        <v>0</v>
      </c>
      <c r="V1440" s="39">
        <v>0</v>
      </c>
      <c r="W1440" s="39">
        <v>0</v>
      </c>
      <c r="X1440" s="39">
        <v>0</v>
      </c>
      <c r="Y1440" s="39">
        <v>0</v>
      </c>
      <c r="Z1440" s="39">
        <v>0</v>
      </c>
      <c r="AA1440" s="39">
        <v>52.75</v>
      </c>
      <c r="AB1440" s="39">
        <v>0</v>
      </c>
      <c r="AC1440" s="39">
        <v>0</v>
      </c>
      <c r="AD1440" s="39">
        <v>0</v>
      </c>
      <c r="AE1440" s="39">
        <v>0</v>
      </c>
      <c r="AF1440" s="39">
        <v>0</v>
      </c>
      <c r="AG1440" s="39">
        <v>0</v>
      </c>
      <c r="AH1440" s="39"/>
      <c r="AI1440" s="39"/>
      <c r="AJ1440" s="40"/>
      <c r="AK1440" s="39">
        <f t="shared" si="110"/>
        <v>36.574999999999996</v>
      </c>
      <c r="AL1440" s="39">
        <f t="shared" si="113"/>
        <v>4.395833333333333</v>
      </c>
      <c r="AM1440" s="39">
        <f t="shared" si="114"/>
        <v>0</v>
      </c>
      <c r="AN1440" s="39">
        <f t="shared" si="111"/>
        <v>5.2750000000000004</v>
      </c>
      <c r="AO1440" s="39">
        <f t="shared" si="112"/>
        <v>52.75</v>
      </c>
    </row>
    <row r="1441" spans="1:41" x14ac:dyDescent="0.3">
      <c r="A1441" s="20">
        <v>1000184670</v>
      </c>
      <c r="B1441" s="4" t="s">
        <v>147</v>
      </c>
      <c r="C1441" s="21"/>
      <c r="D1441" s="3"/>
      <c r="E1441" s="20">
        <v>1000184764</v>
      </c>
      <c r="F1441" s="4" t="s">
        <v>70</v>
      </c>
      <c r="G1441" s="21">
        <v>1000189820</v>
      </c>
      <c r="H1441" s="3" t="s">
        <v>114</v>
      </c>
      <c r="I1441" s="21">
        <v>1000189270</v>
      </c>
      <c r="J1441" s="3" t="s">
        <v>34</v>
      </c>
      <c r="K1441" s="20" t="s">
        <v>23</v>
      </c>
      <c r="L1441" s="39">
        <v>0</v>
      </c>
      <c r="M1441" s="39">
        <v>0</v>
      </c>
      <c r="N1441" s="39">
        <v>0</v>
      </c>
      <c r="O1441" s="39">
        <v>0</v>
      </c>
      <c r="P1441" s="39">
        <v>0</v>
      </c>
      <c r="Q1441" s="39">
        <v>0</v>
      </c>
      <c r="R1441" s="39">
        <v>0</v>
      </c>
      <c r="S1441" s="39">
        <v>0</v>
      </c>
      <c r="T1441" s="39">
        <v>0</v>
      </c>
      <c r="U1441" s="39">
        <v>0</v>
      </c>
      <c r="V1441" s="39">
        <v>0</v>
      </c>
      <c r="W1441" s="39">
        <v>0</v>
      </c>
      <c r="X1441" s="39">
        <v>0</v>
      </c>
      <c r="Y1441" s="39">
        <v>0</v>
      </c>
      <c r="Z1441" s="39">
        <v>0</v>
      </c>
      <c r="AA1441" s="39">
        <v>0</v>
      </c>
      <c r="AB1441" s="39">
        <v>0</v>
      </c>
      <c r="AC1441" s="39">
        <v>0</v>
      </c>
      <c r="AD1441" s="39">
        <v>0</v>
      </c>
      <c r="AE1441" s="39">
        <v>0</v>
      </c>
      <c r="AF1441" s="39">
        <v>0</v>
      </c>
      <c r="AG1441" s="39">
        <v>0</v>
      </c>
      <c r="AH1441" s="39"/>
      <c r="AI1441" s="39"/>
      <c r="AJ1441" s="40"/>
      <c r="AK1441" s="39">
        <f t="shared" si="110"/>
        <v>0</v>
      </c>
      <c r="AL1441" s="39">
        <f t="shared" si="113"/>
        <v>0</v>
      </c>
      <c r="AM1441" s="39">
        <f t="shared" si="114"/>
        <v>0</v>
      </c>
      <c r="AN1441" s="39">
        <f t="shared" si="111"/>
        <v>0</v>
      </c>
      <c r="AO1441" s="39">
        <f t="shared" si="112"/>
        <v>0</v>
      </c>
    </row>
    <row r="1442" spans="1:41" x14ac:dyDescent="0.3">
      <c r="A1442" s="20">
        <v>1000184670</v>
      </c>
      <c r="B1442" s="4" t="s">
        <v>147</v>
      </c>
      <c r="C1442" s="21"/>
      <c r="D1442" s="3"/>
      <c r="E1442" s="20">
        <v>1000184764</v>
      </c>
      <c r="F1442" s="4" t="s">
        <v>70</v>
      </c>
      <c r="G1442" s="21">
        <v>1000189820</v>
      </c>
      <c r="H1442" s="3" t="s">
        <v>114</v>
      </c>
      <c r="I1442" s="21">
        <v>1000189270</v>
      </c>
      <c r="J1442" s="3" t="s">
        <v>34</v>
      </c>
      <c r="K1442" s="20" t="s">
        <v>28</v>
      </c>
      <c r="L1442" s="39">
        <v>563.66999999999996</v>
      </c>
      <c r="M1442" s="39">
        <v>424</v>
      </c>
      <c r="N1442" s="39">
        <v>1413.36</v>
      </c>
      <c r="O1442" s="39">
        <v>424</v>
      </c>
      <c r="P1442" s="39">
        <v>0</v>
      </c>
      <c r="Q1442" s="39">
        <v>217.44</v>
      </c>
      <c r="R1442" s="39">
        <v>1739.52</v>
      </c>
      <c r="S1442" s="39">
        <v>217.44</v>
      </c>
      <c r="T1442" s="39">
        <v>1956.96</v>
      </c>
      <c r="U1442" s="39">
        <v>0</v>
      </c>
      <c r="V1442" s="39">
        <v>0</v>
      </c>
      <c r="W1442" s="39">
        <v>0</v>
      </c>
      <c r="X1442" s="39">
        <v>652.32000000000005</v>
      </c>
      <c r="Y1442" s="39">
        <v>0</v>
      </c>
      <c r="Z1442" s="39">
        <v>108.72</v>
      </c>
      <c r="AA1442" s="39">
        <v>109.54</v>
      </c>
      <c r="AB1442" s="39">
        <v>235.56</v>
      </c>
      <c r="AC1442" s="39">
        <v>0</v>
      </c>
      <c r="AD1442" s="39">
        <v>318.01</v>
      </c>
      <c r="AE1442" s="39">
        <v>97.85</v>
      </c>
      <c r="AF1442" s="39">
        <v>0</v>
      </c>
      <c r="AG1442" s="39">
        <v>326.16000000000003</v>
      </c>
      <c r="AH1442" s="39"/>
      <c r="AI1442" s="39"/>
      <c r="AJ1442" s="40"/>
      <c r="AK1442" s="39">
        <f t="shared" si="110"/>
        <v>579.69916666666666</v>
      </c>
      <c r="AL1442" s="39">
        <f t="shared" si="113"/>
        <v>154.01333333333335</v>
      </c>
      <c r="AM1442" s="39">
        <f t="shared" si="114"/>
        <v>162.92999999999998</v>
      </c>
      <c r="AN1442" s="39">
        <f t="shared" si="111"/>
        <v>184.816</v>
      </c>
      <c r="AO1442" s="39">
        <f t="shared" si="112"/>
        <v>1848.16</v>
      </c>
    </row>
    <row r="1443" spans="1:41" x14ac:dyDescent="0.3">
      <c r="A1443" s="20">
        <v>1000184670</v>
      </c>
      <c r="B1443" s="4" t="s">
        <v>147</v>
      </c>
      <c r="C1443" s="21"/>
      <c r="D1443" s="3"/>
      <c r="E1443" s="20">
        <v>1000184764</v>
      </c>
      <c r="F1443" s="4" t="s">
        <v>70</v>
      </c>
      <c r="G1443" s="21">
        <v>1000189820</v>
      </c>
      <c r="H1443" s="3" t="s">
        <v>114</v>
      </c>
      <c r="I1443" s="21">
        <v>1000189270</v>
      </c>
      <c r="J1443" s="3" t="s">
        <v>34</v>
      </c>
      <c r="K1443" s="20" t="s">
        <v>26</v>
      </c>
      <c r="L1443" s="39">
        <v>0</v>
      </c>
      <c r="M1443" s="39">
        <v>423.22</v>
      </c>
      <c r="N1443" s="39">
        <v>0</v>
      </c>
      <c r="O1443" s="39">
        <v>1926</v>
      </c>
      <c r="P1443" s="39">
        <v>-1326</v>
      </c>
      <c r="Q1443" s="39">
        <v>0</v>
      </c>
      <c r="R1443" s="39">
        <v>0</v>
      </c>
      <c r="S1443" s="39">
        <v>0</v>
      </c>
      <c r="T1443" s="39">
        <v>0</v>
      </c>
      <c r="U1443" s="39">
        <v>0</v>
      </c>
      <c r="V1443" s="39">
        <v>0</v>
      </c>
      <c r="W1443" s="39">
        <v>0</v>
      </c>
      <c r="X1443" s="39">
        <v>0</v>
      </c>
      <c r="Y1443" s="39">
        <v>0</v>
      </c>
      <c r="Z1443" s="39">
        <v>0</v>
      </c>
      <c r="AA1443" s="39">
        <v>330.66</v>
      </c>
      <c r="AB1443" s="39">
        <v>0</v>
      </c>
      <c r="AC1443" s="39">
        <v>0</v>
      </c>
      <c r="AD1443" s="39">
        <v>720</v>
      </c>
      <c r="AE1443" s="39">
        <v>0</v>
      </c>
      <c r="AF1443" s="39">
        <v>648</v>
      </c>
      <c r="AG1443" s="39">
        <v>0</v>
      </c>
      <c r="AH1443" s="39"/>
      <c r="AI1443" s="39"/>
      <c r="AJ1443" s="40"/>
      <c r="AK1443" s="39">
        <f t="shared" si="110"/>
        <v>85.268333333333359</v>
      </c>
      <c r="AL1443" s="39">
        <f t="shared" si="113"/>
        <v>141.55500000000001</v>
      </c>
      <c r="AM1443" s="39">
        <f t="shared" si="114"/>
        <v>228</v>
      </c>
      <c r="AN1443" s="39">
        <f t="shared" si="111"/>
        <v>169.86600000000001</v>
      </c>
      <c r="AO1443" s="39">
        <f t="shared" si="112"/>
        <v>1698.66</v>
      </c>
    </row>
    <row r="1444" spans="1:41" x14ac:dyDescent="0.3">
      <c r="A1444" s="20">
        <v>1000184670</v>
      </c>
      <c r="B1444" s="4" t="s">
        <v>147</v>
      </c>
      <c r="C1444" s="21"/>
      <c r="D1444" s="3"/>
      <c r="E1444" s="20">
        <v>1000184764</v>
      </c>
      <c r="F1444" s="4" t="s">
        <v>70</v>
      </c>
      <c r="G1444" s="21">
        <v>1000189820</v>
      </c>
      <c r="H1444" s="3" t="s">
        <v>114</v>
      </c>
      <c r="I1444" s="21">
        <v>1000189270</v>
      </c>
      <c r="J1444" s="3" t="s">
        <v>34</v>
      </c>
      <c r="K1444" s="20" t="s">
        <v>27</v>
      </c>
      <c r="L1444" s="39">
        <v>0</v>
      </c>
      <c r="M1444" s="39">
        <v>413.4</v>
      </c>
      <c r="N1444" s="39">
        <v>0</v>
      </c>
      <c r="O1444" s="39">
        <v>413.4</v>
      </c>
      <c r="P1444" s="39">
        <v>0</v>
      </c>
      <c r="Q1444" s="39">
        <v>0</v>
      </c>
      <c r="R1444" s="39">
        <v>2238.84</v>
      </c>
      <c r="S1444" s="39">
        <v>0</v>
      </c>
      <c r="T1444" s="39">
        <v>0</v>
      </c>
      <c r="U1444" s="39">
        <v>0</v>
      </c>
      <c r="V1444" s="39">
        <v>0</v>
      </c>
      <c r="W1444" s="39">
        <v>0</v>
      </c>
      <c r="X1444" s="39">
        <v>0</v>
      </c>
      <c r="Y1444" s="39">
        <v>0</v>
      </c>
      <c r="Z1444" s="39">
        <v>486</v>
      </c>
      <c r="AA1444" s="39">
        <v>0</v>
      </c>
      <c r="AB1444" s="39">
        <v>0</v>
      </c>
      <c r="AC1444" s="39">
        <v>0</v>
      </c>
      <c r="AD1444" s="39">
        <v>670.93</v>
      </c>
      <c r="AE1444" s="39">
        <v>459.27</v>
      </c>
      <c r="AF1444" s="39">
        <v>413.1</v>
      </c>
      <c r="AG1444" s="39">
        <v>0</v>
      </c>
      <c r="AH1444" s="39"/>
      <c r="AI1444" s="39"/>
      <c r="AJ1444" s="40"/>
      <c r="AK1444" s="39">
        <f t="shared" si="110"/>
        <v>255.47000000000003</v>
      </c>
      <c r="AL1444" s="39">
        <f t="shared" si="113"/>
        <v>169.10833333333332</v>
      </c>
      <c r="AM1444" s="39">
        <f t="shared" si="114"/>
        <v>257.21666666666664</v>
      </c>
      <c r="AN1444" s="39">
        <f t="shared" si="111"/>
        <v>202.92999999999998</v>
      </c>
      <c r="AO1444" s="39">
        <f t="shared" si="112"/>
        <v>2029.2999999999997</v>
      </c>
    </row>
    <row r="1445" spans="1:41" x14ac:dyDescent="0.3">
      <c r="A1445" s="20">
        <v>1000184670</v>
      </c>
      <c r="B1445" s="4" t="s">
        <v>147</v>
      </c>
      <c r="C1445" s="21"/>
      <c r="D1445" s="3"/>
      <c r="E1445" s="20">
        <v>1000184764</v>
      </c>
      <c r="F1445" s="4" t="s">
        <v>70</v>
      </c>
      <c r="G1445" s="21">
        <v>1000189820</v>
      </c>
      <c r="H1445" s="3" t="s">
        <v>114</v>
      </c>
      <c r="I1445" s="21">
        <v>1000189270</v>
      </c>
      <c r="J1445" s="3" t="s">
        <v>34</v>
      </c>
      <c r="K1445" s="20" t="s">
        <v>25</v>
      </c>
      <c r="L1445" s="39">
        <v>0</v>
      </c>
      <c r="M1445" s="39">
        <v>154.44</v>
      </c>
      <c r="N1445" s="39">
        <v>0</v>
      </c>
      <c r="O1445" s="39">
        <v>1534.95</v>
      </c>
      <c r="P1445" s="39">
        <v>158.76</v>
      </c>
      <c r="Q1445" s="39">
        <v>0</v>
      </c>
      <c r="R1445" s="39">
        <v>-688.5</v>
      </c>
      <c r="S1445" s="39">
        <v>162</v>
      </c>
      <c r="T1445" s="39">
        <v>621</v>
      </c>
      <c r="U1445" s="39">
        <v>1377</v>
      </c>
      <c r="V1445" s="39">
        <v>0</v>
      </c>
      <c r="W1445" s="39">
        <v>0</v>
      </c>
      <c r="X1445" s="39">
        <v>0</v>
      </c>
      <c r="Y1445" s="39">
        <v>0</v>
      </c>
      <c r="Z1445" s="39">
        <v>1425.6</v>
      </c>
      <c r="AA1445" s="39">
        <v>135</v>
      </c>
      <c r="AB1445" s="39">
        <v>214.5</v>
      </c>
      <c r="AC1445" s="39">
        <v>0</v>
      </c>
      <c r="AD1445" s="39">
        <v>247.5</v>
      </c>
      <c r="AE1445" s="39">
        <v>0</v>
      </c>
      <c r="AF1445" s="39">
        <v>0</v>
      </c>
      <c r="AG1445" s="39">
        <v>198</v>
      </c>
      <c r="AH1445" s="39"/>
      <c r="AI1445" s="39"/>
      <c r="AJ1445" s="40"/>
      <c r="AK1445" s="39">
        <f t="shared" si="110"/>
        <v>276.63749999999999</v>
      </c>
      <c r="AL1445" s="39">
        <f t="shared" si="113"/>
        <v>185.04999999999998</v>
      </c>
      <c r="AM1445" s="39">
        <f t="shared" si="114"/>
        <v>110</v>
      </c>
      <c r="AN1445" s="39">
        <f t="shared" si="111"/>
        <v>222.06</v>
      </c>
      <c r="AO1445" s="39">
        <f t="shared" si="112"/>
        <v>2220.6</v>
      </c>
    </row>
    <row r="1446" spans="1:41" x14ac:dyDescent="0.3">
      <c r="A1446" s="20">
        <v>1000184670</v>
      </c>
      <c r="B1446" s="4" t="s">
        <v>147</v>
      </c>
      <c r="C1446" s="21"/>
      <c r="D1446" s="3"/>
      <c r="E1446" s="20">
        <v>1000184764</v>
      </c>
      <c r="F1446" s="4" t="s">
        <v>70</v>
      </c>
      <c r="G1446" s="21">
        <v>1000189821</v>
      </c>
      <c r="H1446" s="3" t="s">
        <v>71</v>
      </c>
      <c r="I1446" s="21">
        <v>1000189270</v>
      </c>
      <c r="J1446" s="3" t="s">
        <v>34</v>
      </c>
      <c r="K1446" s="20" t="s">
        <v>124</v>
      </c>
      <c r="L1446" s="39">
        <v>0</v>
      </c>
      <c r="M1446" s="39">
        <v>0</v>
      </c>
      <c r="N1446" s="39">
        <v>0</v>
      </c>
      <c r="O1446" s="39">
        <v>0</v>
      </c>
      <c r="P1446" s="39">
        <v>0</v>
      </c>
      <c r="Q1446" s="39">
        <v>0</v>
      </c>
      <c r="R1446" s="39">
        <v>0</v>
      </c>
      <c r="S1446" s="39">
        <v>0</v>
      </c>
      <c r="T1446" s="39">
        <v>0</v>
      </c>
      <c r="U1446" s="39">
        <v>0</v>
      </c>
      <c r="V1446" s="39">
        <v>0</v>
      </c>
      <c r="W1446" s="39">
        <v>0</v>
      </c>
      <c r="X1446" s="39">
        <v>0</v>
      </c>
      <c r="Y1446" s="39">
        <v>0</v>
      </c>
      <c r="Z1446" s="39">
        <v>0</v>
      </c>
      <c r="AA1446" s="39">
        <v>0</v>
      </c>
      <c r="AB1446" s="39">
        <v>0</v>
      </c>
      <c r="AC1446" s="39">
        <v>0</v>
      </c>
      <c r="AD1446" s="39">
        <v>0</v>
      </c>
      <c r="AE1446" s="39">
        <v>0</v>
      </c>
      <c r="AF1446" s="39">
        <v>0</v>
      </c>
      <c r="AG1446" s="39">
        <v>0</v>
      </c>
      <c r="AH1446" s="39"/>
      <c r="AI1446" s="39"/>
      <c r="AJ1446" s="40"/>
      <c r="AK1446" s="39">
        <f t="shared" si="110"/>
        <v>0</v>
      </c>
      <c r="AL1446" s="39">
        <f t="shared" si="113"/>
        <v>0</v>
      </c>
      <c r="AM1446" s="39">
        <f t="shared" si="114"/>
        <v>0</v>
      </c>
      <c r="AN1446" s="39">
        <f t="shared" si="111"/>
        <v>0</v>
      </c>
      <c r="AO1446" s="39">
        <f t="shared" si="112"/>
        <v>0</v>
      </c>
    </row>
    <row r="1447" spans="1:41" x14ac:dyDescent="0.3">
      <c r="A1447" s="20">
        <v>1000184670</v>
      </c>
      <c r="B1447" s="4" t="s">
        <v>147</v>
      </c>
      <c r="C1447" s="21"/>
      <c r="D1447" s="3"/>
      <c r="E1447" s="20">
        <v>1000184764</v>
      </c>
      <c r="F1447" s="4" t="s">
        <v>70</v>
      </c>
      <c r="G1447" s="21">
        <v>1000189821</v>
      </c>
      <c r="H1447" s="3" t="s">
        <v>71</v>
      </c>
      <c r="I1447" s="21">
        <v>1000189270</v>
      </c>
      <c r="J1447" s="3" t="s">
        <v>34</v>
      </c>
      <c r="K1447" s="20" t="s">
        <v>13</v>
      </c>
      <c r="L1447" s="39">
        <v>0</v>
      </c>
      <c r="M1447" s="39">
        <v>0</v>
      </c>
      <c r="N1447" s="39">
        <v>0</v>
      </c>
      <c r="O1447" s="39">
        <v>0</v>
      </c>
      <c r="P1447" s="39">
        <v>0</v>
      </c>
      <c r="Q1447" s="39">
        <v>0</v>
      </c>
      <c r="R1447" s="39">
        <v>0</v>
      </c>
      <c r="S1447" s="39">
        <v>0</v>
      </c>
      <c r="T1447" s="39">
        <v>0</v>
      </c>
      <c r="U1447" s="39">
        <v>0</v>
      </c>
      <c r="V1447" s="39">
        <v>0</v>
      </c>
      <c r="W1447" s="39">
        <v>0</v>
      </c>
      <c r="X1447" s="39">
        <v>0</v>
      </c>
      <c r="Y1447" s="39">
        <v>0</v>
      </c>
      <c r="Z1447" s="39">
        <v>0</v>
      </c>
      <c r="AA1447" s="39">
        <v>0</v>
      </c>
      <c r="AB1447" s="39">
        <v>0</v>
      </c>
      <c r="AC1447" s="39">
        <v>0</v>
      </c>
      <c r="AD1447" s="39">
        <v>0</v>
      </c>
      <c r="AE1447" s="39">
        <v>36.270000000000003</v>
      </c>
      <c r="AF1447" s="39">
        <v>0</v>
      </c>
      <c r="AG1447" s="39">
        <v>43.2</v>
      </c>
      <c r="AH1447" s="39"/>
      <c r="AI1447" s="39"/>
      <c r="AJ1447" s="40"/>
      <c r="AK1447" s="39">
        <f t="shared" si="110"/>
        <v>0</v>
      </c>
      <c r="AL1447" s="39">
        <f t="shared" si="113"/>
        <v>6.6224999999999996</v>
      </c>
      <c r="AM1447" s="39">
        <f t="shared" si="114"/>
        <v>13.244999999999999</v>
      </c>
      <c r="AN1447" s="39">
        <f t="shared" si="111"/>
        <v>7.9470000000000001</v>
      </c>
      <c r="AO1447" s="39">
        <f t="shared" si="112"/>
        <v>79.47</v>
      </c>
    </row>
    <row r="1448" spans="1:41" x14ac:dyDescent="0.3">
      <c r="A1448" s="20">
        <v>1000184670</v>
      </c>
      <c r="B1448" s="4" t="s">
        <v>147</v>
      </c>
      <c r="C1448" s="21"/>
      <c r="D1448" s="3"/>
      <c r="E1448" s="20">
        <v>1000184764</v>
      </c>
      <c r="F1448" s="4" t="s">
        <v>70</v>
      </c>
      <c r="G1448" s="21">
        <v>1000189821</v>
      </c>
      <c r="H1448" s="3" t="s">
        <v>71</v>
      </c>
      <c r="I1448" s="21">
        <v>1000189270</v>
      </c>
      <c r="J1448" s="3" t="s">
        <v>34</v>
      </c>
      <c r="K1448" s="20" t="s">
        <v>14</v>
      </c>
      <c r="L1448" s="39">
        <v>0</v>
      </c>
      <c r="M1448" s="39">
        <v>0</v>
      </c>
      <c r="N1448" s="39">
        <v>0</v>
      </c>
      <c r="O1448" s="39">
        <v>0</v>
      </c>
      <c r="P1448" s="39">
        <v>0</v>
      </c>
      <c r="Q1448" s="39">
        <v>0</v>
      </c>
      <c r="R1448" s="39">
        <v>0</v>
      </c>
      <c r="S1448" s="39">
        <v>0</v>
      </c>
      <c r="T1448" s="39">
        <v>0</v>
      </c>
      <c r="U1448" s="39">
        <v>0</v>
      </c>
      <c r="V1448" s="39">
        <v>0</v>
      </c>
      <c r="W1448" s="39">
        <v>0</v>
      </c>
      <c r="X1448" s="39">
        <v>0</v>
      </c>
      <c r="Y1448" s="39">
        <v>0</v>
      </c>
      <c r="Z1448" s="39">
        <v>0</v>
      </c>
      <c r="AA1448" s="39">
        <v>0</v>
      </c>
      <c r="AB1448" s="39">
        <v>0</v>
      </c>
      <c r="AC1448" s="39">
        <v>0</v>
      </c>
      <c r="AD1448" s="39">
        <v>0</v>
      </c>
      <c r="AE1448" s="39">
        <v>102.6</v>
      </c>
      <c r="AF1448" s="39">
        <v>0</v>
      </c>
      <c r="AG1448" s="39">
        <v>0</v>
      </c>
      <c r="AH1448" s="39"/>
      <c r="AI1448" s="39"/>
      <c r="AJ1448" s="40"/>
      <c r="AK1448" s="39">
        <f t="shared" si="110"/>
        <v>0</v>
      </c>
      <c r="AL1448" s="39">
        <f t="shared" si="113"/>
        <v>8.5499999999999989</v>
      </c>
      <c r="AM1448" s="39">
        <f t="shared" si="114"/>
        <v>17.099999999999998</v>
      </c>
      <c r="AN1448" s="39">
        <f t="shared" si="111"/>
        <v>10.26</v>
      </c>
      <c r="AO1448" s="39">
        <f t="shared" si="112"/>
        <v>102.6</v>
      </c>
    </row>
    <row r="1449" spans="1:41" x14ac:dyDescent="0.3">
      <c r="A1449" s="20">
        <v>1000184670</v>
      </c>
      <c r="B1449" s="4" t="s">
        <v>147</v>
      </c>
      <c r="C1449" s="21"/>
      <c r="D1449" s="3"/>
      <c r="E1449" s="20">
        <v>1000184764</v>
      </c>
      <c r="F1449" s="4" t="s">
        <v>70</v>
      </c>
      <c r="G1449" s="21">
        <v>1000189821</v>
      </c>
      <c r="H1449" s="3" t="s">
        <v>71</v>
      </c>
      <c r="I1449" s="21">
        <v>1000189270</v>
      </c>
      <c r="J1449" s="3" t="s">
        <v>34</v>
      </c>
      <c r="K1449" s="20" t="s">
        <v>16</v>
      </c>
      <c r="L1449" s="39">
        <v>0</v>
      </c>
      <c r="M1449" s="39">
        <v>0</v>
      </c>
      <c r="N1449" s="39">
        <v>0</v>
      </c>
      <c r="O1449" s="39">
        <v>0</v>
      </c>
      <c r="P1449" s="39">
        <v>0</v>
      </c>
      <c r="Q1449" s="39">
        <v>0</v>
      </c>
      <c r="R1449" s="39">
        <v>0</v>
      </c>
      <c r="S1449" s="39">
        <v>0</v>
      </c>
      <c r="T1449" s="39">
        <v>0</v>
      </c>
      <c r="U1449" s="39">
        <v>0</v>
      </c>
      <c r="V1449" s="39">
        <v>0</v>
      </c>
      <c r="W1449" s="39">
        <v>0</v>
      </c>
      <c r="X1449" s="39">
        <v>0</v>
      </c>
      <c r="Y1449" s="39">
        <v>0</v>
      </c>
      <c r="Z1449" s="39">
        <v>0</v>
      </c>
      <c r="AA1449" s="39">
        <v>0</v>
      </c>
      <c r="AB1449" s="39">
        <v>0</v>
      </c>
      <c r="AC1449" s="39">
        <v>0</v>
      </c>
      <c r="AD1449" s="39">
        <v>0</v>
      </c>
      <c r="AE1449" s="39">
        <v>284.22000000000003</v>
      </c>
      <c r="AF1449" s="39">
        <v>0</v>
      </c>
      <c r="AG1449" s="39">
        <v>0</v>
      </c>
      <c r="AH1449" s="39"/>
      <c r="AI1449" s="39"/>
      <c r="AJ1449" s="40"/>
      <c r="AK1449" s="39">
        <f t="shared" si="110"/>
        <v>0</v>
      </c>
      <c r="AL1449" s="39">
        <f t="shared" si="113"/>
        <v>23.685000000000002</v>
      </c>
      <c r="AM1449" s="39">
        <f t="shared" si="114"/>
        <v>47.370000000000005</v>
      </c>
      <c r="AN1449" s="39">
        <f t="shared" si="111"/>
        <v>28.422000000000004</v>
      </c>
      <c r="AO1449" s="39">
        <f t="shared" si="112"/>
        <v>284.22000000000003</v>
      </c>
    </row>
    <row r="1450" spans="1:41" x14ac:dyDescent="0.3">
      <c r="A1450" s="20">
        <v>1000184670</v>
      </c>
      <c r="B1450" s="4" t="s">
        <v>147</v>
      </c>
      <c r="C1450" s="21"/>
      <c r="D1450" s="3"/>
      <c r="E1450" s="20">
        <v>1000184764</v>
      </c>
      <c r="F1450" s="4" t="s">
        <v>70</v>
      </c>
      <c r="G1450" s="21">
        <v>1000189821</v>
      </c>
      <c r="H1450" s="3" t="s">
        <v>71</v>
      </c>
      <c r="I1450" s="21">
        <v>1000189270</v>
      </c>
      <c r="J1450" s="3" t="s">
        <v>34</v>
      </c>
      <c r="K1450" s="20" t="s">
        <v>15</v>
      </c>
      <c r="L1450" s="39">
        <v>0</v>
      </c>
      <c r="M1450" s="39">
        <v>0</v>
      </c>
      <c r="N1450" s="39">
        <v>0</v>
      </c>
      <c r="O1450" s="39">
        <v>0</v>
      </c>
      <c r="P1450" s="39">
        <v>0</v>
      </c>
      <c r="Q1450" s="39">
        <v>0</v>
      </c>
      <c r="R1450" s="39">
        <v>0</v>
      </c>
      <c r="S1450" s="39">
        <v>0</v>
      </c>
      <c r="T1450" s="39">
        <v>0</v>
      </c>
      <c r="U1450" s="39">
        <v>0</v>
      </c>
      <c r="V1450" s="39">
        <v>0</v>
      </c>
      <c r="W1450" s="39">
        <v>0</v>
      </c>
      <c r="X1450" s="39">
        <v>0</v>
      </c>
      <c r="Y1450" s="39">
        <v>0</v>
      </c>
      <c r="Z1450" s="39">
        <v>0</v>
      </c>
      <c r="AA1450" s="39">
        <v>0</v>
      </c>
      <c r="AB1450" s="39">
        <v>71.97</v>
      </c>
      <c r="AC1450" s="39">
        <v>0</v>
      </c>
      <c r="AD1450" s="39">
        <v>918.9</v>
      </c>
      <c r="AE1450" s="39">
        <v>78.12</v>
      </c>
      <c r="AF1450" s="39">
        <v>0</v>
      </c>
      <c r="AG1450" s="39">
        <v>429.5</v>
      </c>
      <c r="AH1450" s="39"/>
      <c r="AI1450" s="39"/>
      <c r="AJ1450" s="40"/>
      <c r="AK1450" s="39">
        <f t="shared" si="110"/>
        <v>0</v>
      </c>
      <c r="AL1450" s="39">
        <f t="shared" si="113"/>
        <v>124.87416666666667</v>
      </c>
      <c r="AM1450" s="39">
        <f t="shared" si="114"/>
        <v>249.74833333333333</v>
      </c>
      <c r="AN1450" s="39">
        <f t="shared" si="111"/>
        <v>149.84899999999999</v>
      </c>
      <c r="AO1450" s="39">
        <f t="shared" si="112"/>
        <v>1498.49</v>
      </c>
    </row>
    <row r="1451" spans="1:41" x14ac:dyDescent="0.3">
      <c r="A1451" s="20">
        <v>1000184670</v>
      </c>
      <c r="B1451" s="4" t="s">
        <v>147</v>
      </c>
      <c r="C1451" s="21"/>
      <c r="D1451" s="3"/>
      <c r="E1451" s="20">
        <v>1000184764</v>
      </c>
      <c r="F1451" s="4" t="s">
        <v>70</v>
      </c>
      <c r="G1451" s="21">
        <v>1000189821</v>
      </c>
      <c r="H1451" s="3" t="s">
        <v>71</v>
      </c>
      <c r="I1451" s="21">
        <v>1000189270</v>
      </c>
      <c r="J1451" s="3" t="s">
        <v>34</v>
      </c>
      <c r="K1451" s="20" t="s">
        <v>33</v>
      </c>
      <c r="L1451" s="39">
        <v>0</v>
      </c>
      <c r="M1451" s="39">
        <v>0</v>
      </c>
      <c r="N1451" s="39">
        <v>0</v>
      </c>
      <c r="O1451" s="39">
        <v>0</v>
      </c>
      <c r="P1451" s="39">
        <v>0</v>
      </c>
      <c r="Q1451" s="39">
        <v>0</v>
      </c>
      <c r="R1451" s="39">
        <v>0</v>
      </c>
      <c r="S1451" s="39">
        <v>0</v>
      </c>
      <c r="T1451" s="39">
        <v>0</v>
      </c>
      <c r="U1451" s="39">
        <v>0</v>
      </c>
      <c r="V1451" s="39">
        <v>0</v>
      </c>
      <c r="W1451" s="39">
        <v>0</v>
      </c>
      <c r="X1451" s="39">
        <v>0</v>
      </c>
      <c r="Y1451" s="39">
        <v>0</v>
      </c>
      <c r="Z1451" s="39">
        <v>0</v>
      </c>
      <c r="AA1451" s="39">
        <v>0</v>
      </c>
      <c r="AB1451" s="39">
        <v>0</v>
      </c>
      <c r="AC1451" s="39">
        <v>0</v>
      </c>
      <c r="AD1451" s="39">
        <v>0</v>
      </c>
      <c r="AE1451" s="39">
        <v>0</v>
      </c>
      <c r="AF1451" s="39">
        <v>0</v>
      </c>
      <c r="AG1451" s="39">
        <v>0</v>
      </c>
      <c r="AH1451" s="39"/>
      <c r="AI1451" s="39"/>
      <c r="AJ1451" s="40"/>
      <c r="AK1451" s="39">
        <f t="shared" si="110"/>
        <v>0</v>
      </c>
      <c r="AL1451" s="39">
        <f t="shared" si="113"/>
        <v>0</v>
      </c>
      <c r="AM1451" s="39">
        <f t="shared" si="114"/>
        <v>0</v>
      </c>
      <c r="AN1451" s="39">
        <f t="shared" si="111"/>
        <v>0</v>
      </c>
      <c r="AO1451" s="39">
        <f t="shared" si="112"/>
        <v>0</v>
      </c>
    </row>
    <row r="1452" spans="1:41" x14ac:dyDescent="0.3">
      <c r="A1452" s="20">
        <v>1000184670</v>
      </c>
      <c r="B1452" s="4" t="s">
        <v>147</v>
      </c>
      <c r="C1452" s="21"/>
      <c r="D1452" s="3"/>
      <c r="E1452" s="20">
        <v>1000184764</v>
      </c>
      <c r="F1452" s="4" t="s">
        <v>70</v>
      </c>
      <c r="G1452" s="21">
        <v>1000189821</v>
      </c>
      <c r="H1452" s="3" t="s">
        <v>71</v>
      </c>
      <c r="I1452" s="21">
        <v>1000189270</v>
      </c>
      <c r="J1452" s="3" t="s">
        <v>34</v>
      </c>
      <c r="K1452" s="20" t="s">
        <v>19</v>
      </c>
      <c r="L1452" s="39">
        <v>0</v>
      </c>
      <c r="M1452" s="39">
        <v>0</v>
      </c>
      <c r="N1452" s="39">
        <v>0</v>
      </c>
      <c r="O1452" s="39">
        <v>0</v>
      </c>
      <c r="P1452" s="39">
        <v>0</v>
      </c>
      <c r="Q1452" s="39">
        <v>0</v>
      </c>
      <c r="R1452" s="39">
        <v>0</v>
      </c>
      <c r="S1452" s="39">
        <v>0</v>
      </c>
      <c r="T1452" s="39">
        <v>0</v>
      </c>
      <c r="U1452" s="39">
        <v>0</v>
      </c>
      <c r="V1452" s="39">
        <v>0</v>
      </c>
      <c r="W1452" s="39">
        <v>0</v>
      </c>
      <c r="X1452" s="39">
        <v>0</v>
      </c>
      <c r="Y1452" s="39">
        <v>0</v>
      </c>
      <c r="Z1452" s="39">
        <v>0</v>
      </c>
      <c r="AA1452" s="39">
        <v>0</v>
      </c>
      <c r="AB1452" s="39">
        <v>0</v>
      </c>
      <c r="AC1452" s="39">
        <v>0</v>
      </c>
      <c r="AD1452" s="39">
        <v>0</v>
      </c>
      <c r="AE1452" s="39">
        <v>0</v>
      </c>
      <c r="AF1452" s="39">
        <v>0</v>
      </c>
      <c r="AG1452" s="39">
        <v>0</v>
      </c>
      <c r="AH1452" s="39"/>
      <c r="AI1452" s="39"/>
      <c r="AJ1452" s="40"/>
      <c r="AK1452" s="39">
        <f t="shared" si="110"/>
        <v>0</v>
      </c>
      <c r="AL1452" s="39">
        <f t="shared" si="113"/>
        <v>0</v>
      </c>
      <c r="AM1452" s="39">
        <f t="shared" si="114"/>
        <v>0</v>
      </c>
      <c r="AN1452" s="39">
        <f t="shared" si="111"/>
        <v>0</v>
      </c>
      <c r="AO1452" s="39">
        <f t="shared" si="112"/>
        <v>0</v>
      </c>
    </row>
    <row r="1453" spans="1:41" x14ac:dyDescent="0.3">
      <c r="A1453" s="20">
        <v>1000184670</v>
      </c>
      <c r="B1453" s="4" t="s">
        <v>147</v>
      </c>
      <c r="C1453" s="21"/>
      <c r="D1453" s="3"/>
      <c r="E1453" s="20">
        <v>1000184764</v>
      </c>
      <c r="F1453" s="4" t="s">
        <v>70</v>
      </c>
      <c r="G1453" s="21">
        <v>1000189821</v>
      </c>
      <c r="H1453" s="3" t="s">
        <v>71</v>
      </c>
      <c r="I1453" s="21">
        <v>1000189270</v>
      </c>
      <c r="J1453" s="3" t="s">
        <v>34</v>
      </c>
      <c r="K1453" s="20" t="s">
        <v>17</v>
      </c>
      <c r="L1453" s="39">
        <v>0</v>
      </c>
      <c r="M1453" s="39">
        <v>0</v>
      </c>
      <c r="N1453" s="39">
        <v>0</v>
      </c>
      <c r="O1453" s="39">
        <v>0</v>
      </c>
      <c r="P1453" s="39">
        <v>0</v>
      </c>
      <c r="Q1453" s="39">
        <v>0</v>
      </c>
      <c r="R1453" s="39">
        <v>0</v>
      </c>
      <c r="S1453" s="39">
        <v>0</v>
      </c>
      <c r="T1453" s="39">
        <v>0</v>
      </c>
      <c r="U1453" s="39">
        <v>0</v>
      </c>
      <c r="V1453" s="39">
        <v>0</v>
      </c>
      <c r="W1453" s="39">
        <v>0</v>
      </c>
      <c r="X1453" s="39">
        <v>0</v>
      </c>
      <c r="Y1453" s="39">
        <v>0</v>
      </c>
      <c r="Z1453" s="39">
        <v>0</v>
      </c>
      <c r="AA1453" s="39">
        <v>0</v>
      </c>
      <c r="AB1453" s="39">
        <v>0</v>
      </c>
      <c r="AC1453" s="39">
        <v>0</v>
      </c>
      <c r="AD1453" s="39">
        <v>0</v>
      </c>
      <c r="AE1453" s="39">
        <v>0</v>
      </c>
      <c r="AF1453" s="39">
        <v>0</v>
      </c>
      <c r="AG1453" s="39">
        <v>0</v>
      </c>
      <c r="AH1453" s="39"/>
      <c r="AI1453" s="39"/>
      <c r="AJ1453" s="40"/>
      <c r="AK1453" s="39">
        <f t="shared" si="110"/>
        <v>0</v>
      </c>
      <c r="AL1453" s="39">
        <f t="shared" si="113"/>
        <v>0</v>
      </c>
      <c r="AM1453" s="39">
        <f t="shared" si="114"/>
        <v>0</v>
      </c>
      <c r="AN1453" s="39">
        <f t="shared" si="111"/>
        <v>0</v>
      </c>
      <c r="AO1453" s="39">
        <f t="shared" si="112"/>
        <v>0</v>
      </c>
    </row>
    <row r="1454" spans="1:41" x14ac:dyDescent="0.3">
      <c r="A1454" s="20">
        <v>1000184670</v>
      </c>
      <c r="B1454" s="4" t="s">
        <v>147</v>
      </c>
      <c r="C1454" s="21"/>
      <c r="D1454" s="3"/>
      <c r="E1454" s="20">
        <v>1000184764</v>
      </c>
      <c r="F1454" s="4" t="s">
        <v>70</v>
      </c>
      <c r="G1454" s="21">
        <v>1000189821</v>
      </c>
      <c r="H1454" s="3" t="s">
        <v>71</v>
      </c>
      <c r="I1454" s="21">
        <v>1000189270</v>
      </c>
      <c r="J1454" s="3" t="s">
        <v>34</v>
      </c>
      <c r="K1454" s="20" t="s">
        <v>24</v>
      </c>
      <c r="L1454" s="39">
        <v>0</v>
      </c>
      <c r="M1454" s="39">
        <v>0</v>
      </c>
      <c r="N1454" s="39">
        <v>0</v>
      </c>
      <c r="O1454" s="39">
        <v>0</v>
      </c>
      <c r="P1454" s="39">
        <v>0</v>
      </c>
      <c r="Q1454" s="39">
        <v>0</v>
      </c>
      <c r="R1454" s="39">
        <v>0</v>
      </c>
      <c r="S1454" s="39">
        <v>0</v>
      </c>
      <c r="T1454" s="39">
        <v>0</v>
      </c>
      <c r="U1454" s="39">
        <v>0</v>
      </c>
      <c r="V1454" s="39">
        <v>0</v>
      </c>
      <c r="W1454" s="39">
        <v>0</v>
      </c>
      <c r="X1454" s="39">
        <v>0</v>
      </c>
      <c r="Y1454" s="39">
        <v>0</v>
      </c>
      <c r="Z1454" s="39">
        <v>0</v>
      </c>
      <c r="AA1454" s="39">
        <v>0</v>
      </c>
      <c r="AB1454" s="39">
        <v>0</v>
      </c>
      <c r="AC1454" s="39">
        <v>0</v>
      </c>
      <c r="AD1454" s="39">
        <v>0</v>
      </c>
      <c r="AE1454" s="39">
        <v>57.48</v>
      </c>
      <c r="AF1454" s="39">
        <v>0</v>
      </c>
      <c r="AG1454" s="39">
        <v>0</v>
      </c>
      <c r="AH1454" s="39"/>
      <c r="AI1454" s="39"/>
      <c r="AJ1454" s="40"/>
      <c r="AK1454" s="39">
        <f t="shared" si="110"/>
        <v>0</v>
      </c>
      <c r="AL1454" s="39">
        <f t="shared" si="113"/>
        <v>4.79</v>
      </c>
      <c r="AM1454" s="39">
        <f t="shared" si="114"/>
        <v>9.58</v>
      </c>
      <c r="AN1454" s="39">
        <f t="shared" si="111"/>
        <v>5.7479999999999993</v>
      </c>
      <c r="AO1454" s="39">
        <f t="shared" si="112"/>
        <v>57.48</v>
      </c>
    </row>
    <row r="1455" spans="1:41" x14ac:dyDescent="0.3">
      <c r="A1455" s="20">
        <v>1000184670</v>
      </c>
      <c r="B1455" s="4" t="s">
        <v>147</v>
      </c>
      <c r="C1455" s="21"/>
      <c r="D1455" s="3"/>
      <c r="E1455" s="20">
        <v>1000184764</v>
      </c>
      <c r="F1455" s="4" t="s">
        <v>70</v>
      </c>
      <c r="G1455" s="21">
        <v>1000189821</v>
      </c>
      <c r="H1455" s="3" t="s">
        <v>71</v>
      </c>
      <c r="I1455" s="21">
        <v>1000189270</v>
      </c>
      <c r="J1455" s="3" t="s">
        <v>34</v>
      </c>
      <c r="K1455" s="20" t="s">
        <v>18</v>
      </c>
      <c r="L1455" s="39">
        <v>0</v>
      </c>
      <c r="M1455" s="39">
        <v>0</v>
      </c>
      <c r="N1455" s="39">
        <v>0</v>
      </c>
      <c r="O1455" s="39">
        <v>0</v>
      </c>
      <c r="P1455" s="39">
        <v>0</v>
      </c>
      <c r="Q1455" s="39">
        <v>0</v>
      </c>
      <c r="R1455" s="39">
        <v>0</v>
      </c>
      <c r="S1455" s="39">
        <v>0</v>
      </c>
      <c r="T1455" s="39">
        <v>0</v>
      </c>
      <c r="U1455" s="39">
        <v>0</v>
      </c>
      <c r="V1455" s="39">
        <v>0</v>
      </c>
      <c r="W1455" s="39">
        <v>0</v>
      </c>
      <c r="X1455" s="39">
        <v>0</v>
      </c>
      <c r="Y1455" s="39">
        <v>0</v>
      </c>
      <c r="Z1455" s="39">
        <v>0</v>
      </c>
      <c r="AA1455" s="39">
        <v>0</v>
      </c>
      <c r="AB1455" s="39">
        <v>0</v>
      </c>
      <c r="AC1455" s="39">
        <v>0</v>
      </c>
      <c r="AD1455" s="39">
        <v>0</v>
      </c>
      <c r="AE1455" s="39">
        <v>0</v>
      </c>
      <c r="AF1455" s="39">
        <v>0</v>
      </c>
      <c r="AG1455" s="39">
        <v>0</v>
      </c>
      <c r="AH1455" s="39"/>
      <c r="AI1455" s="39"/>
      <c r="AJ1455" s="40"/>
      <c r="AK1455" s="39">
        <f t="shared" si="110"/>
        <v>0</v>
      </c>
      <c r="AL1455" s="39">
        <f t="shared" si="113"/>
        <v>0</v>
      </c>
      <c r="AM1455" s="39">
        <f t="shared" si="114"/>
        <v>0</v>
      </c>
      <c r="AN1455" s="39">
        <f t="shared" si="111"/>
        <v>0</v>
      </c>
      <c r="AO1455" s="39">
        <f t="shared" si="112"/>
        <v>0</v>
      </c>
    </row>
    <row r="1456" spans="1:41" x14ac:dyDescent="0.3">
      <c r="A1456" s="20">
        <v>1000184670</v>
      </c>
      <c r="B1456" s="4" t="s">
        <v>147</v>
      </c>
      <c r="C1456" s="21"/>
      <c r="D1456" s="3"/>
      <c r="E1456" s="20">
        <v>1000184764</v>
      </c>
      <c r="F1456" s="4" t="s">
        <v>70</v>
      </c>
      <c r="G1456" s="21">
        <v>1000189821</v>
      </c>
      <c r="H1456" s="3" t="s">
        <v>71</v>
      </c>
      <c r="I1456" s="21">
        <v>1000189270</v>
      </c>
      <c r="J1456" s="3" t="s">
        <v>34</v>
      </c>
      <c r="K1456" s="20" t="s">
        <v>29</v>
      </c>
      <c r="L1456" s="39">
        <v>0</v>
      </c>
      <c r="M1456" s="39">
        <v>0</v>
      </c>
      <c r="N1456" s="39">
        <v>0</v>
      </c>
      <c r="O1456" s="39">
        <v>0</v>
      </c>
      <c r="P1456" s="39">
        <v>0</v>
      </c>
      <c r="Q1456" s="39">
        <v>0</v>
      </c>
      <c r="R1456" s="39">
        <v>0</v>
      </c>
      <c r="S1456" s="39">
        <v>0</v>
      </c>
      <c r="T1456" s="39">
        <v>0</v>
      </c>
      <c r="U1456" s="39">
        <v>0</v>
      </c>
      <c r="V1456" s="39">
        <v>0</v>
      </c>
      <c r="W1456" s="39">
        <v>0</v>
      </c>
      <c r="X1456" s="39">
        <v>0</v>
      </c>
      <c r="Y1456" s="39">
        <v>0</v>
      </c>
      <c r="Z1456" s="39">
        <v>0</v>
      </c>
      <c r="AA1456" s="39">
        <v>0</v>
      </c>
      <c r="AB1456" s="39">
        <v>1275</v>
      </c>
      <c r="AC1456" s="39">
        <v>4050</v>
      </c>
      <c r="AD1456" s="39">
        <v>6565.5</v>
      </c>
      <c r="AE1456" s="39">
        <v>0</v>
      </c>
      <c r="AF1456" s="39">
        <v>0</v>
      </c>
      <c r="AG1456" s="39">
        <v>2498</v>
      </c>
      <c r="AH1456" s="39"/>
      <c r="AI1456" s="39"/>
      <c r="AJ1456" s="40"/>
      <c r="AK1456" s="39">
        <f t="shared" ref="AK1456:AK1519" si="115">AVERAGE(L1456:W1456)</f>
        <v>0</v>
      </c>
      <c r="AL1456" s="39">
        <f t="shared" si="113"/>
        <v>1199.0416666666667</v>
      </c>
      <c r="AM1456" s="39">
        <f t="shared" si="114"/>
        <v>2398.0833333333335</v>
      </c>
      <c r="AN1456" s="39">
        <f t="shared" ref="AN1456:AN1519" si="116">AVERAGE(X1456:AI1456)</f>
        <v>1438.85</v>
      </c>
      <c r="AO1456" s="39">
        <f t="shared" ref="AO1456:AO1519" si="117">SUM(X1456:AI1456)</f>
        <v>14388.5</v>
      </c>
    </row>
    <row r="1457" spans="1:41" x14ac:dyDescent="0.3">
      <c r="A1457" s="20">
        <v>1000184670</v>
      </c>
      <c r="B1457" s="4" t="s">
        <v>147</v>
      </c>
      <c r="C1457" s="21"/>
      <c r="D1457" s="3"/>
      <c r="E1457" s="20">
        <v>1000184764</v>
      </c>
      <c r="F1457" s="4" t="s">
        <v>70</v>
      </c>
      <c r="G1457" s="21">
        <v>1000189821</v>
      </c>
      <c r="H1457" s="3" t="s">
        <v>71</v>
      </c>
      <c r="I1457" s="21">
        <v>1000189270</v>
      </c>
      <c r="J1457" s="3" t="s">
        <v>34</v>
      </c>
      <c r="K1457" s="20" t="s">
        <v>21</v>
      </c>
      <c r="L1457" s="39">
        <v>0</v>
      </c>
      <c r="M1457" s="39">
        <v>0</v>
      </c>
      <c r="N1457" s="39">
        <v>0</v>
      </c>
      <c r="O1457" s="39">
        <v>0</v>
      </c>
      <c r="P1457" s="39">
        <v>0</v>
      </c>
      <c r="Q1457" s="39">
        <v>0</v>
      </c>
      <c r="R1457" s="39">
        <v>0</v>
      </c>
      <c r="S1457" s="39">
        <v>0</v>
      </c>
      <c r="T1457" s="39">
        <v>0</v>
      </c>
      <c r="U1457" s="39">
        <v>0</v>
      </c>
      <c r="V1457" s="39">
        <v>0</v>
      </c>
      <c r="W1457" s="39">
        <v>0</v>
      </c>
      <c r="X1457" s="39">
        <v>0</v>
      </c>
      <c r="Y1457" s="39">
        <v>0</v>
      </c>
      <c r="Z1457" s="39">
        <v>0</v>
      </c>
      <c r="AA1457" s="39">
        <v>0</v>
      </c>
      <c r="AB1457" s="39">
        <v>0</v>
      </c>
      <c r="AC1457" s="39">
        <v>0</v>
      </c>
      <c r="AD1457" s="39">
        <v>416.16</v>
      </c>
      <c r="AE1457" s="39">
        <v>223.3</v>
      </c>
      <c r="AF1457" s="39">
        <v>0</v>
      </c>
      <c r="AG1457" s="39">
        <v>0</v>
      </c>
      <c r="AH1457" s="39"/>
      <c r="AI1457" s="39"/>
      <c r="AJ1457" s="40"/>
      <c r="AK1457" s="39">
        <f t="shared" si="115"/>
        <v>0</v>
      </c>
      <c r="AL1457" s="39">
        <f t="shared" si="113"/>
        <v>53.288333333333334</v>
      </c>
      <c r="AM1457" s="39">
        <f t="shared" si="114"/>
        <v>106.57666666666667</v>
      </c>
      <c r="AN1457" s="39">
        <f t="shared" si="116"/>
        <v>63.946000000000005</v>
      </c>
      <c r="AO1457" s="39">
        <f t="shared" si="117"/>
        <v>639.46</v>
      </c>
    </row>
    <row r="1458" spans="1:41" x14ac:dyDescent="0.3">
      <c r="A1458" s="20">
        <v>1000184670</v>
      </c>
      <c r="B1458" s="4" t="s">
        <v>147</v>
      </c>
      <c r="C1458" s="21"/>
      <c r="D1458" s="3"/>
      <c r="E1458" s="20">
        <v>1000184764</v>
      </c>
      <c r="F1458" s="4" t="s">
        <v>70</v>
      </c>
      <c r="G1458" s="21">
        <v>1000189821</v>
      </c>
      <c r="H1458" s="3" t="s">
        <v>71</v>
      </c>
      <c r="I1458" s="21">
        <v>1000189270</v>
      </c>
      <c r="J1458" s="3" t="s">
        <v>34</v>
      </c>
      <c r="K1458" s="20" t="s">
        <v>20</v>
      </c>
      <c r="L1458" s="39">
        <v>0</v>
      </c>
      <c r="M1458" s="39">
        <v>0</v>
      </c>
      <c r="N1458" s="39">
        <v>0</v>
      </c>
      <c r="O1458" s="39">
        <v>0</v>
      </c>
      <c r="P1458" s="39">
        <v>0</v>
      </c>
      <c r="Q1458" s="39">
        <v>0</v>
      </c>
      <c r="R1458" s="39">
        <v>0</v>
      </c>
      <c r="S1458" s="39">
        <v>0</v>
      </c>
      <c r="T1458" s="39">
        <v>0</v>
      </c>
      <c r="U1458" s="39">
        <v>0</v>
      </c>
      <c r="V1458" s="39">
        <v>0</v>
      </c>
      <c r="W1458" s="39">
        <v>0</v>
      </c>
      <c r="X1458" s="39">
        <v>0</v>
      </c>
      <c r="Y1458" s="39">
        <v>0</v>
      </c>
      <c r="Z1458" s="39">
        <v>0</v>
      </c>
      <c r="AA1458" s="39">
        <v>0</v>
      </c>
      <c r="AB1458" s="39">
        <v>0</v>
      </c>
      <c r="AC1458" s="39">
        <v>0</v>
      </c>
      <c r="AD1458" s="39">
        <v>0</v>
      </c>
      <c r="AE1458" s="39">
        <v>0</v>
      </c>
      <c r="AF1458" s="39">
        <v>0</v>
      </c>
      <c r="AG1458" s="39">
        <v>0</v>
      </c>
      <c r="AH1458" s="39"/>
      <c r="AI1458" s="39"/>
      <c r="AJ1458" s="40"/>
      <c r="AK1458" s="39">
        <f t="shared" si="115"/>
        <v>0</v>
      </c>
      <c r="AL1458" s="39">
        <f t="shared" si="113"/>
        <v>0</v>
      </c>
      <c r="AM1458" s="39">
        <f t="shared" si="114"/>
        <v>0</v>
      </c>
      <c r="AN1458" s="39">
        <f t="shared" si="116"/>
        <v>0</v>
      </c>
      <c r="AO1458" s="39">
        <f t="shared" si="117"/>
        <v>0</v>
      </c>
    </row>
    <row r="1459" spans="1:41" x14ac:dyDescent="0.3">
      <c r="A1459" s="20">
        <v>1000184670</v>
      </c>
      <c r="B1459" s="4" t="s">
        <v>147</v>
      </c>
      <c r="C1459" s="21"/>
      <c r="D1459" s="3"/>
      <c r="E1459" s="20">
        <v>1000184764</v>
      </c>
      <c r="F1459" s="4" t="s">
        <v>70</v>
      </c>
      <c r="G1459" s="21">
        <v>1000189821</v>
      </c>
      <c r="H1459" s="3" t="s">
        <v>71</v>
      </c>
      <c r="I1459" s="21">
        <v>1000189270</v>
      </c>
      <c r="J1459" s="3" t="s">
        <v>34</v>
      </c>
      <c r="K1459" s="20" t="s">
        <v>22</v>
      </c>
      <c r="L1459" s="39">
        <v>0</v>
      </c>
      <c r="M1459" s="39">
        <v>0</v>
      </c>
      <c r="N1459" s="39">
        <v>0</v>
      </c>
      <c r="O1459" s="39">
        <v>0</v>
      </c>
      <c r="P1459" s="39">
        <v>0</v>
      </c>
      <c r="Q1459" s="39">
        <v>0</v>
      </c>
      <c r="R1459" s="39">
        <v>0</v>
      </c>
      <c r="S1459" s="39">
        <v>0</v>
      </c>
      <c r="T1459" s="39">
        <v>0</v>
      </c>
      <c r="U1459" s="39">
        <v>0</v>
      </c>
      <c r="V1459" s="39">
        <v>0</v>
      </c>
      <c r="W1459" s="39">
        <v>0</v>
      </c>
      <c r="X1459" s="39">
        <v>0</v>
      </c>
      <c r="Y1459" s="39">
        <v>0</v>
      </c>
      <c r="Z1459" s="39">
        <v>0</v>
      </c>
      <c r="AA1459" s="39">
        <v>0</v>
      </c>
      <c r="AB1459" s="39">
        <v>82.64</v>
      </c>
      <c r="AC1459" s="39">
        <v>0</v>
      </c>
      <c r="AD1459" s="39">
        <v>0</v>
      </c>
      <c r="AE1459" s="39">
        <v>0</v>
      </c>
      <c r="AF1459" s="39">
        <v>0</v>
      </c>
      <c r="AG1459" s="39">
        <v>258</v>
      </c>
      <c r="AH1459" s="39"/>
      <c r="AI1459" s="39"/>
      <c r="AJ1459" s="40"/>
      <c r="AK1459" s="39">
        <f t="shared" si="115"/>
        <v>0</v>
      </c>
      <c r="AL1459" s="39">
        <f t="shared" si="113"/>
        <v>28.386666666666667</v>
      </c>
      <c r="AM1459" s="39">
        <f t="shared" si="114"/>
        <v>56.773333333333333</v>
      </c>
      <c r="AN1459" s="39">
        <f t="shared" si="116"/>
        <v>34.064</v>
      </c>
      <c r="AO1459" s="39">
        <f t="shared" si="117"/>
        <v>340.64</v>
      </c>
    </row>
    <row r="1460" spans="1:41" x14ac:dyDescent="0.3">
      <c r="A1460" s="20">
        <v>1000184670</v>
      </c>
      <c r="B1460" s="4" t="s">
        <v>147</v>
      </c>
      <c r="C1460" s="21"/>
      <c r="D1460" s="3"/>
      <c r="E1460" s="20">
        <v>1000184764</v>
      </c>
      <c r="F1460" s="4" t="s">
        <v>70</v>
      </c>
      <c r="G1460" s="21">
        <v>1000189821</v>
      </c>
      <c r="H1460" s="3" t="s">
        <v>71</v>
      </c>
      <c r="I1460" s="21">
        <v>1000189270</v>
      </c>
      <c r="J1460" s="3" t="s">
        <v>34</v>
      </c>
      <c r="K1460" s="20" t="s">
        <v>23</v>
      </c>
      <c r="L1460" s="39">
        <v>0</v>
      </c>
      <c r="M1460" s="39">
        <v>0</v>
      </c>
      <c r="N1460" s="39">
        <v>0</v>
      </c>
      <c r="O1460" s="39">
        <v>0</v>
      </c>
      <c r="P1460" s="39">
        <v>0</v>
      </c>
      <c r="Q1460" s="39">
        <v>0</v>
      </c>
      <c r="R1460" s="39">
        <v>0</v>
      </c>
      <c r="S1460" s="39">
        <v>0</v>
      </c>
      <c r="T1460" s="39">
        <v>0</v>
      </c>
      <c r="U1460" s="39">
        <v>0</v>
      </c>
      <c r="V1460" s="39">
        <v>0</v>
      </c>
      <c r="W1460" s="39">
        <v>0</v>
      </c>
      <c r="X1460" s="39">
        <v>0</v>
      </c>
      <c r="Y1460" s="39">
        <v>0</v>
      </c>
      <c r="Z1460" s="39">
        <v>0</v>
      </c>
      <c r="AA1460" s="39">
        <v>0</v>
      </c>
      <c r="AB1460" s="39">
        <v>0</v>
      </c>
      <c r="AC1460" s="39">
        <v>0</v>
      </c>
      <c r="AD1460" s="39">
        <v>0</v>
      </c>
      <c r="AE1460" s="39">
        <v>0</v>
      </c>
      <c r="AF1460" s="39">
        <v>0</v>
      </c>
      <c r="AG1460" s="39">
        <v>0</v>
      </c>
      <c r="AH1460" s="39"/>
      <c r="AI1460" s="39"/>
      <c r="AJ1460" s="40"/>
      <c r="AK1460" s="39">
        <f t="shared" si="115"/>
        <v>0</v>
      </c>
      <c r="AL1460" s="39">
        <f t="shared" si="113"/>
        <v>0</v>
      </c>
      <c r="AM1460" s="39">
        <f t="shared" si="114"/>
        <v>0</v>
      </c>
      <c r="AN1460" s="39">
        <f t="shared" si="116"/>
        <v>0</v>
      </c>
      <c r="AO1460" s="39">
        <f t="shared" si="117"/>
        <v>0</v>
      </c>
    </row>
    <row r="1461" spans="1:41" x14ac:dyDescent="0.3">
      <c r="A1461" s="20">
        <v>1000184670</v>
      </c>
      <c r="B1461" s="4" t="s">
        <v>147</v>
      </c>
      <c r="C1461" s="21"/>
      <c r="D1461" s="3"/>
      <c r="E1461" s="20">
        <v>1000184764</v>
      </c>
      <c r="F1461" s="4" t="s">
        <v>70</v>
      </c>
      <c r="G1461" s="21">
        <v>1000189821</v>
      </c>
      <c r="H1461" s="3" t="s">
        <v>71</v>
      </c>
      <c r="I1461" s="21">
        <v>1000189270</v>
      </c>
      <c r="J1461" s="3" t="s">
        <v>34</v>
      </c>
      <c r="K1461" s="20" t="s">
        <v>28</v>
      </c>
      <c r="L1461" s="39">
        <v>0</v>
      </c>
      <c r="M1461" s="39">
        <v>0</v>
      </c>
      <c r="N1461" s="39">
        <v>0</v>
      </c>
      <c r="O1461" s="39">
        <v>0</v>
      </c>
      <c r="P1461" s="39">
        <v>0</v>
      </c>
      <c r="Q1461" s="39">
        <v>0</v>
      </c>
      <c r="R1461" s="39">
        <v>0</v>
      </c>
      <c r="S1461" s="39">
        <v>0</v>
      </c>
      <c r="T1461" s="39">
        <v>0</v>
      </c>
      <c r="U1461" s="39">
        <v>0</v>
      </c>
      <c r="V1461" s="39">
        <v>0</v>
      </c>
      <c r="W1461" s="39">
        <v>0</v>
      </c>
      <c r="X1461" s="39">
        <v>0</v>
      </c>
      <c r="Y1461" s="39">
        <v>0</v>
      </c>
      <c r="Z1461" s="39">
        <v>0</v>
      </c>
      <c r="AA1461" s="39">
        <v>0</v>
      </c>
      <c r="AB1461" s="39">
        <v>0</v>
      </c>
      <c r="AC1461" s="39">
        <v>0</v>
      </c>
      <c r="AD1461" s="39">
        <v>0</v>
      </c>
      <c r="AE1461" s="39">
        <v>0</v>
      </c>
      <c r="AF1461" s="39">
        <v>0</v>
      </c>
      <c r="AG1461" s="39">
        <v>0</v>
      </c>
      <c r="AH1461" s="39"/>
      <c r="AI1461" s="39"/>
      <c r="AJ1461" s="40"/>
      <c r="AK1461" s="39">
        <f t="shared" si="115"/>
        <v>0</v>
      </c>
      <c r="AL1461" s="39">
        <f t="shared" si="113"/>
        <v>0</v>
      </c>
      <c r="AM1461" s="39">
        <f t="shared" si="114"/>
        <v>0</v>
      </c>
      <c r="AN1461" s="39">
        <f t="shared" si="116"/>
        <v>0</v>
      </c>
      <c r="AO1461" s="39">
        <f t="shared" si="117"/>
        <v>0</v>
      </c>
    </row>
    <row r="1462" spans="1:41" x14ac:dyDescent="0.3">
      <c r="A1462" s="20">
        <v>1000184670</v>
      </c>
      <c r="B1462" s="4" t="s">
        <v>147</v>
      </c>
      <c r="C1462" s="21"/>
      <c r="D1462" s="3"/>
      <c r="E1462" s="20">
        <v>1000184764</v>
      </c>
      <c r="F1462" s="4" t="s">
        <v>70</v>
      </c>
      <c r="G1462" s="21">
        <v>1000189821</v>
      </c>
      <c r="H1462" s="3" t="s">
        <v>71</v>
      </c>
      <c r="I1462" s="21">
        <v>1000189270</v>
      </c>
      <c r="J1462" s="3" t="s">
        <v>34</v>
      </c>
      <c r="K1462" s="20" t="s">
        <v>26</v>
      </c>
      <c r="L1462" s="39">
        <v>0</v>
      </c>
      <c r="M1462" s="39">
        <v>0</v>
      </c>
      <c r="N1462" s="39">
        <v>0</v>
      </c>
      <c r="O1462" s="39">
        <v>0</v>
      </c>
      <c r="P1462" s="39">
        <v>0</v>
      </c>
      <c r="Q1462" s="39">
        <v>0</v>
      </c>
      <c r="R1462" s="39">
        <v>0</v>
      </c>
      <c r="S1462" s="39">
        <v>0</v>
      </c>
      <c r="T1462" s="39">
        <v>0</v>
      </c>
      <c r="U1462" s="39">
        <v>0</v>
      </c>
      <c r="V1462" s="39">
        <v>0</v>
      </c>
      <c r="W1462" s="39">
        <v>0</v>
      </c>
      <c r="X1462" s="39">
        <v>0</v>
      </c>
      <c r="Y1462" s="39">
        <v>0</v>
      </c>
      <c r="Z1462" s="39">
        <v>0</v>
      </c>
      <c r="AA1462" s="39">
        <v>0</v>
      </c>
      <c r="AB1462" s="39">
        <v>0</v>
      </c>
      <c r="AC1462" s="39">
        <v>0</v>
      </c>
      <c r="AD1462" s="39">
        <v>408</v>
      </c>
      <c r="AE1462" s="39">
        <v>495</v>
      </c>
      <c r="AF1462" s="39">
        <v>0</v>
      </c>
      <c r="AG1462" s="39">
        <v>0</v>
      </c>
      <c r="AH1462" s="39"/>
      <c r="AI1462" s="39"/>
      <c r="AJ1462" s="40"/>
      <c r="AK1462" s="39">
        <f t="shared" si="115"/>
        <v>0</v>
      </c>
      <c r="AL1462" s="39">
        <f t="shared" si="113"/>
        <v>75.25</v>
      </c>
      <c r="AM1462" s="39">
        <f t="shared" si="114"/>
        <v>150.5</v>
      </c>
      <c r="AN1462" s="39">
        <f t="shared" si="116"/>
        <v>90.3</v>
      </c>
      <c r="AO1462" s="39">
        <f t="shared" si="117"/>
        <v>903</v>
      </c>
    </row>
    <row r="1463" spans="1:41" x14ac:dyDescent="0.3">
      <c r="A1463" s="20">
        <v>1000184670</v>
      </c>
      <c r="B1463" s="4" t="s">
        <v>147</v>
      </c>
      <c r="C1463" s="21"/>
      <c r="D1463" s="3"/>
      <c r="E1463" s="20">
        <v>1000184764</v>
      </c>
      <c r="F1463" s="4" t="s">
        <v>70</v>
      </c>
      <c r="G1463" s="21">
        <v>1000189821</v>
      </c>
      <c r="H1463" s="3" t="s">
        <v>71</v>
      </c>
      <c r="I1463" s="21">
        <v>1000189270</v>
      </c>
      <c r="J1463" s="3" t="s">
        <v>34</v>
      </c>
      <c r="K1463" s="20" t="s">
        <v>27</v>
      </c>
      <c r="L1463" s="39">
        <v>0</v>
      </c>
      <c r="M1463" s="39">
        <v>0</v>
      </c>
      <c r="N1463" s="39">
        <v>0</v>
      </c>
      <c r="O1463" s="39">
        <v>0</v>
      </c>
      <c r="P1463" s="39">
        <v>0</v>
      </c>
      <c r="Q1463" s="39">
        <v>0</v>
      </c>
      <c r="R1463" s="39">
        <v>0</v>
      </c>
      <c r="S1463" s="39">
        <v>0</v>
      </c>
      <c r="T1463" s="39">
        <v>0</v>
      </c>
      <c r="U1463" s="39">
        <v>0</v>
      </c>
      <c r="V1463" s="39">
        <v>0</v>
      </c>
      <c r="W1463" s="39">
        <v>0</v>
      </c>
      <c r="X1463" s="39">
        <v>0</v>
      </c>
      <c r="Y1463" s="39">
        <v>0</v>
      </c>
      <c r="Z1463" s="39">
        <v>0</v>
      </c>
      <c r="AA1463" s="39">
        <v>0</v>
      </c>
      <c r="AB1463" s="39">
        <v>0</v>
      </c>
      <c r="AC1463" s="39">
        <v>0</v>
      </c>
      <c r="AD1463" s="39">
        <v>525.33000000000004</v>
      </c>
      <c r="AE1463" s="39">
        <v>-145.08000000000001</v>
      </c>
      <c r="AF1463" s="39">
        <v>0</v>
      </c>
      <c r="AG1463" s="39">
        <v>0</v>
      </c>
      <c r="AH1463" s="39"/>
      <c r="AI1463" s="39"/>
      <c r="AJ1463" s="40"/>
      <c r="AK1463" s="39">
        <f t="shared" si="115"/>
        <v>0</v>
      </c>
      <c r="AL1463" s="39">
        <f t="shared" si="113"/>
        <v>31.6875</v>
      </c>
      <c r="AM1463" s="39">
        <f t="shared" si="114"/>
        <v>63.375</v>
      </c>
      <c r="AN1463" s="39">
        <f t="shared" si="116"/>
        <v>38.024999999999999</v>
      </c>
      <c r="AO1463" s="39">
        <f t="shared" si="117"/>
        <v>380.25</v>
      </c>
    </row>
    <row r="1464" spans="1:41" x14ac:dyDescent="0.3">
      <c r="A1464" s="20">
        <v>1000184670</v>
      </c>
      <c r="B1464" s="4" t="s">
        <v>147</v>
      </c>
      <c r="C1464" s="21"/>
      <c r="D1464" s="3"/>
      <c r="E1464" s="20">
        <v>1000184764</v>
      </c>
      <c r="F1464" s="4" t="s">
        <v>70</v>
      </c>
      <c r="G1464" s="21">
        <v>1000189821</v>
      </c>
      <c r="H1464" s="3" t="s">
        <v>71</v>
      </c>
      <c r="I1464" s="21">
        <v>1000189270</v>
      </c>
      <c r="J1464" s="3" t="s">
        <v>34</v>
      </c>
      <c r="K1464" s="20" t="s">
        <v>25</v>
      </c>
      <c r="L1464" s="39">
        <v>0</v>
      </c>
      <c r="M1464" s="39">
        <v>0</v>
      </c>
      <c r="N1464" s="39">
        <v>0</v>
      </c>
      <c r="O1464" s="39">
        <v>0</v>
      </c>
      <c r="P1464" s="39">
        <v>0</v>
      </c>
      <c r="Q1464" s="39">
        <v>0</v>
      </c>
      <c r="R1464" s="39">
        <v>0</v>
      </c>
      <c r="S1464" s="39">
        <v>0</v>
      </c>
      <c r="T1464" s="39">
        <v>0</v>
      </c>
      <c r="U1464" s="39">
        <v>0</v>
      </c>
      <c r="V1464" s="39">
        <v>0</v>
      </c>
      <c r="W1464" s="39">
        <v>0</v>
      </c>
      <c r="X1464" s="39">
        <v>0</v>
      </c>
      <c r="Y1464" s="39">
        <v>0</v>
      </c>
      <c r="Z1464" s="39">
        <v>0</v>
      </c>
      <c r="AA1464" s="39">
        <v>0</v>
      </c>
      <c r="AB1464" s="39">
        <v>0</v>
      </c>
      <c r="AC1464" s="39">
        <v>0</v>
      </c>
      <c r="AD1464" s="39">
        <v>0</v>
      </c>
      <c r="AE1464" s="39">
        <v>0</v>
      </c>
      <c r="AF1464" s="39">
        <v>0</v>
      </c>
      <c r="AG1464" s="39">
        <v>0</v>
      </c>
      <c r="AH1464" s="39"/>
      <c r="AI1464" s="39"/>
      <c r="AJ1464" s="40"/>
      <c r="AK1464" s="39">
        <f t="shared" si="115"/>
        <v>0</v>
      </c>
      <c r="AL1464" s="39">
        <f t="shared" si="113"/>
        <v>0</v>
      </c>
      <c r="AM1464" s="39">
        <f t="shared" si="114"/>
        <v>0</v>
      </c>
      <c r="AN1464" s="39">
        <f t="shared" si="116"/>
        <v>0</v>
      </c>
      <c r="AO1464" s="39">
        <f t="shared" si="117"/>
        <v>0</v>
      </c>
    </row>
    <row r="1465" spans="1:41" x14ac:dyDescent="0.3">
      <c r="A1465" s="20">
        <v>1000184670</v>
      </c>
      <c r="B1465" s="4" t="s">
        <v>147</v>
      </c>
      <c r="C1465" s="21"/>
      <c r="D1465" s="3"/>
      <c r="E1465" s="20">
        <v>1000184764</v>
      </c>
      <c r="F1465" s="4" t="s">
        <v>70</v>
      </c>
      <c r="G1465" s="21">
        <v>1000189822</v>
      </c>
      <c r="H1465" s="3" t="s">
        <v>115</v>
      </c>
      <c r="I1465" s="21">
        <v>1000189270</v>
      </c>
      <c r="J1465" s="3" t="s">
        <v>34</v>
      </c>
      <c r="K1465" s="20" t="s">
        <v>124</v>
      </c>
      <c r="L1465" s="39">
        <v>0</v>
      </c>
      <c r="M1465" s="39">
        <v>0</v>
      </c>
      <c r="N1465" s="39">
        <v>0</v>
      </c>
      <c r="O1465" s="39">
        <v>0</v>
      </c>
      <c r="P1465" s="39">
        <v>0</v>
      </c>
      <c r="Q1465" s="39">
        <v>0</v>
      </c>
      <c r="R1465" s="39">
        <v>0</v>
      </c>
      <c r="S1465" s="39">
        <v>0</v>
      </c>
      <c r="T1465" s="39">
        <v>0</v>
      </c>
      <c r="U1465" s="39">
        <v>0</v>
      </c>
      <c r="V1465" s="39">
        <v>0</v>
      </c>
      <c r="W1465" s="39">
        <v>0</v>
      </c>
      <c r="X1465" s="39">
        <v>0</v>
      </c>
      <c r="Y1465" s="39">
        <v>0</v>
      </c>
      <c r="Z1465" s="39">
        <v>0</v>
      </c>
      <c r="AA1465" s="39">
        <v>0</v>
      </c>
      <c r="AB1465" s="39">
        <v>0</v>
      </c>
      <c r="AC1465" s="39">
        <v>0</v>
      </c>
      <c r="AD1465" s="39">
        <v>0</v>
      </c>
      <c r="AE1465" s="39">
        <v>0</v>
      </c>
      <c r="AF1465" s="39">
        <v>0</v>
      </c>
      <c r="AG1465" s="39">
        <v>0</v>
      </c>
      <c r="AH1465" s="39"/>
      <c r="AI1465" s="39"/>
      <c r="AJ1465" s="40"/>
      <c r="AK1465" s="39">
        <f t="shared" si="115"/>
        <v>0</v>
      </c>
      <c r="AL1465" s="39">
        <f t="shared" si="113"/>
        <v>0</v>
      </c>
      <c r="AM1465" s="39">
        <f t="shared" si="114"/>
        <v>0</v>
      </c>
      <c r="AN1465" s="39">
        <f t="shared" si="116"/>
        <v>0</v>
      </c>
      <c r="AO1465" s="39">
        <f t="shared" si="117"/>
        <v>0</v>
      </c>
    </row>
    <row r="1466" spans="1:41" x14ac:dyDescent="0.3">
      <c r="A1466" s="20">
        <v>1000184670</v>
      </c>
      <c r="B1466" s="4" t="s">
        <v>147</v>
      </c>
      <c r="C1466" s="21"/>
      <c r="D1466" s="3"/>
      <c r="E1466" s="20">
        <v>1000184764</v>
      </c>
      <c r="F1466" s="4" t="s">
        <v>70</v>
      </c>
      <c r="G1466" s="21">
        <v>1000189822</v>
      </c>
      <c r="H1466" s="3" t="s">
        <v>115</v>
      </c>
      <c r="I1466" s="21">
        <v>1000189270</v>
      </c>
      <c r="J1466" s="3" t="s">
        <v>34</v>
      </c>
      <c r="K1466" s="20" t="s">
        <v>13</v>
      </c>
      <c r="L1466" s="39">
        <v>0</v>
      </c>
      <c r="M1466" s="39">
        <v>0</v>
      </c>
      <c r="N1466" s="39">
        <v>0</v>
      </c>
      <c r="O1466" s="39">
        <v>0</v>
      </c>
      <c r="P1466" s="39">
        <v>0</v>
      </c>
      <c r="Q1466" s="39">
        <v>0</v>
      </c>
      <c r="R1466" s="39">
        <v>0</v>
      </c>
      <c r="S1466" s="39">
        <v>0</v>
      </c>
      <c r="T1466" s="39">
        <v>0</v>
      </c>
      <c r="U1466" s="39">
        <v>0</v>
      </c>
      <c r="V1466" s="39">
        <v>0</v>
      </c>
      <c r="W1466" s="39">
        <v>0</v>
      </c>
      <c r="X1466" s="39">
        <v>0</v>
      </c>
      <c r="Y1466" s="39">
        <v>0</v>
      </c>
      <c r="Z1466" s="39">
        <v>0</v>
      </c>
      <c r="AA1466" s="39">
        <v>142</v>
      </c>
      <c r="AB1466" s="39">
        <v>0</v>
      </c>
      <c r="AC1466" s="39">
        <v>0</v>
      </c>
      <c r="AD1466" s="39">
        <v>0</v>
      </c>
      <c r="AE1466" s="39">
        <v>0</v>
      </c>
      <c r="AF1466" s="39">
        <v>0</v>
      </c>
      <c r="AG1466" s="39">
        <v>1022.76</v>
      </c>
      <c r="AH1466" s="39"/>
      <c r="AI1466" s="39"/>
      <c r="AJ1466" s="40"/>
      <c r="AK1466" s="39">
        <f t="shared" si="115"/>
        <v>0</v>
      </c>
      <c r="AL1466" s="39">
        <f t="shared" si="113"/>
        <v>97.063333333333333</v>
      </c>
      <c r="AM1466" s="39">
        <f t="shared" si="114"/>
        <v>170.46</v>
      </c>
      <c r="AN1466" s="39">
        <f t="shared" si="116"/>
        <v>116.476</v>
      </c>
      <c r="AO1466" s="39">
        <f t="shared" si="117"/>
        <v>1164.76</v>
      </c>
    </row>
    <row r="1467" spans="1:41" x14ac:dyDescent="0.3">
      <c r="A1467" s="20">
        <v>1000184670</v>
      </c>
      <c r="B1467" s="4" t="s">
        <v>147</v>
      </c>
      <c r="C1467" s="21"/>
      <c r="D1467" s="3"/>
      <c r="E1467" s="20">
        <v>1000184764</v>
      </c>
      <c r="F1467" s="4" t="s">
        <v>70</v>
      </c>
      <c r="G1467" s="21">
        <v>1000189822</v>
      </c>
      <c r="H1467" s="3" t="s">
        <v>115</v>
      </c>
      <c r="I1467" s="21">
        <v>1000189270</v>
      </c>
      <c r="J1467" s="3" t="s">
        <v>34</v>
      </c>
      <c r="K1467" s="20" t="s">
        <v>14</v>
      </c>
      <c r="L1467" s="39">
        <v>0</v>
      </c>
      <c r="M1467" s="39">
        <v>0</v>
      </c>
      <c r="N1467" s="39">
        <v>0</v>
      </c>
      <c r="O1467" s="39">
        <v>0</v>
      </c>
      <c r="P1467" s="39">
        <v>0</v>
      </c>
      <c r="Q1467" s="39">
        <v>0</v>
      </c>
      <c r="R1467" s="39">
        <v>0</v>
      </c>
      <c r="S1467" s="39">
        <v>0</v>
      </c>
      <c r="T1467" s="39">
        <v>0</v>
      </c>
      <c r="U1467" s="39">
        <v>0</v>
      </c>
      <c r="V1467" s="39">
        <v>0</v>
      </c>
      <c r="W1467" s="39">
        <v>0</v>
      </c>
      <c r="X1467" s="39">
        <v>0</v>
      </c>
      <c r="Y1467" s="39">
        <v>0</v>
      </c>
      <c r="Z1467" s="39">
        <v>0</v>
      </c>
      <c r="AA1467" s="39">
        <v>0</v>
      </c>
      <c r="AB1467" s="39">
        <v>0</v>
      </c>
      <c r="AC1467" s="39">
        <v>0</v>
      </c>
      <c r="AD1467" s="39">
        <v>0</v>
      </c>
      <c r="AE1467" s="39">
        <v>0</v>
      </c>
      <c r="AF1467" s="39">
        <v>0</v>
      </c>
      <c r="AG1467" s="39">
        <v>0</v>
      </c>
      <c r="AH1467" s="39"/>
      <c r="AI1467" s="39"/>
      <c r="AJ1467" s="40"/>
      <c r="AK1467" s="39">
        <f t="shared" si="115"/>
        <v>0</v>
      </c>
      <c r="AL1467" s="39">
        <f t="shared" si="113"/>
        <v>0</v>
      </c>
      <c r="AM1467" s="39">
        <f t="shared" si="114"/>
        <v>0</v>
      </c>
      <c r="AN1467" s="39">
        <f t="shared" si="116"/>
        <v>0</v>
      </c>
      <c r="AO1467" s="39">
        <f t="shared" si="117"/>
        <v>0</v>
      </c>
    </row>
    <row r="1468" spans="1:41" x14ac:dyDescent="0.3">
      <c r="A1468" s="20">
        <v>1000184670</v>
      </c>
      <c r="B1468" s="4" t="s">
        <v>147</v>
      </c>
      <c r="C1468" s="21"/>
      <c r="D1468" s="3"/>
      <c r="E1468" s="20">
        <v>1000184764</v>
      </c>
      <c r="F1468" s="4" t="s">
        <v>70</v>
      </c>
      <c r="G1468" s="21">
        <v>1000189822</v>
      </c>
      <c r="H1468" s="3" t="s">
        <v>115</v>
      </c>
      <c r="I1468" s="21">
        <v>1000189270</v>
      </c>
      <c r="J1468" s="3" t="s">
        <v>34</v>
      </c>
      <c r="K1468" s="20" t="s">
        <v>16</v>
      </c>
      <c r="L1468" s="39">
        <v>0</v>
      </c>
      <c r="M1468" s="39">
        <v>0</v>
      </c>
      <c r="N1468" s="39">
        <v>0</v>
      </c>
      <c r="O1468" s="39">
        <v>0</v>
      </c>
      <c r="P1468" s="39">
        <v>0</v>
      </c>
      <c r="Q1468" s="39">
        <v>0</v>
      </c>
      <c r="R1468" s="39">
        <v>0</v>
      </c>
      <c r="S1468" s="39">
        <v>0</v>
      </c>
      <c r="T1468" s="39">
        <v>0</v>
      </c>
      <c r="U1468" s="39">
        <v>0</v>
      </c>
      <c r="V1468" s="39">
        <v>0</v>
      </c>
      <c r="W1468" s="39">
        <v>0</v>
      </c>
      <c r="X1468" s="39">
        <v>0</v>
      </c>
      <c r="Y1468" s="39">
        <v>0</v>
      </c>
      <c r="Z1468" s="39">
        <v>0</v>
      </c>
      <c r="AA1468" s="39">
        <v>136.44999999999999</v>
      </c>
      <c r="AB1468" s="39">
        <v>0</v>
      </c>
      <c r="AC1468" s="39">
        <v>0</v>
      </c>
      <c r="AD1468" s="39">
        <v>0</v>
      </c>
      <c r="AE1468" s="39">
        <v>0</v>
      </c>
      <c r="AF1468" s="39">
        <v>0</v>
      </c>
      <c r="AG1468" s="39">
        <v>0</v>
      </c>
      <c r="AH1468" s="39"/>
      <c r="AI1468" s="39"/>
      <c r="AJ1468" s="40"/>
      <c r="AK1468" s="39">
        <f t="shared" si="115"/>
        <v>0</v>
      </c>
      <c r="AL1468" s="39">
        <f t="shared" si="113"/>
        <v>11.370833333333332</v>
      </c>
      <c r="AM1468" s="39">
        <f t="shared" si="114"/>
        <v>0</v>
      </c>
      <c r="AN1468" s="39">
        <f t="shared" si="116"/>
        <v>13.645</v>
      </c>
      <c r="AO1468" s="39">
        <f t="shared" si="117"/>
        <v>136.44999999999999</v>
      </c>
    </row>
    <row r="1469" spans="1:41" x14ac:dyDescent="0.3">
      <c r="A1469" s="20">
        <v>1000184670</v>
      </c>
      <c r="B1469" s="4" t="s">
        <v>147</v>
      </c>
      <c r="C1469" s="21"/>
      <c r="D1469" s="3"/>
      <c r="E1469" s="20">
        <v>1000184764</v>
      </c>
      <c r="F1469" s="4" t="s">
        <v>70</v>
      </c>
      <c r="G1469" s="21">
        <v>1000189822</v>
      </c>
      <c r="H1469" s="3" t="s">
        <v>115</v>
      </c>
      <c r="I1469" s="21">
        <v>1000189270</v>
      </c>
      <c r="J1469" s="3" t="s">
        <v>34</v>
      </c>
      <c r="K1469" s="20" t="s">
        <v>15</v>
      </c>
      <c r="L1469" s="39">
        <v>0</v>
      </c>
      <c r="M1469" s="39">
        <v>0</v>
      </c>
      <c r="N1469" s="39">
        <v>0</v>
      </c>
      <c r="O1469" s="39">
        <v>0</v>
      </c>
      <c r="P1469" s="39">
        <v>0</v>
      </c>
      <c r="Q1469" s="39">
        <v>0</v>
      </c>
      <c r="R1469" s="39">
        <v>0</v>
      </c>
      <c r="S1469" s="39">
        <v>0</v>
      </c>
      <c r="T1469" s="39">
        <v>0</v>
      </c>
      <c r="U1469" s="39">
        <v>0</v>
      </c>
      <c r="V1469" s="39">
        <v>0</v>
      </c>
      <c r="W1469" s="39">
        <v>0</v>
      </c>
      <c r="X1469" s="39">
        <v>0</v>
      </c>
      <c r="Y1469" s="39">
        <v>0</v>
      </c>
      <c r="Z1469" s="39">
        <v>0</v>
      </c>
      <c r="AA1469" s="39">
        <v>459.64</v>
      </c>
      <c r="AB1469" s="39">
        <v>0</v>
      </c>
      <c r="AC1469" s="39">
        <v>663.02</v>
      </c>
      <c r="AD1469" s="39">
        <v>0</v>
      </c>
      <c r="AE1469" s="39">
        <v>773.76</v>
      </c>
      <c r="AF1469" s="39">
        <v>0</v>
      </c>
      <c r="AG1469" s="39">
        <v>302.39999999999998</v>
      </c>
      <c r="AH1469" s="39"/>
      <c r="AI1469" s="39"/>
      <c r="AJ1469" s="40"/>
      <c r="AK1469" s="39">
        <f t="shared" si="115"/>
        <v>0</v>
      </c>
      <c r="AL1469" s="39">
        <f t="shared" si="113"/>
        <v>183.23499999999999</v>
      </c>
      <c r="AM1469" s="39">
        <f t="shared" si="114"/>
        <v>289.86333333333329</v>
      </c>
      <c r="AN1469" s="39">
        <f t="shared" si="116"/>
        <v>219.88199999999998</v>
      </c>
      <c r="AO1469" s="39">
        <f t="shared" si="117"/>
        <v>2198.8199999999997</v>
      </c>
    </row>
    <row r="1470" spans="1:41" x14ac:dyDescent="0.3">
      <c r="A1470" s="20">
        <v>1000184670</v>
      </c>
      <c r="B1470" s="4" t="s">
        <v>147</v>
      </c>
      <c r="C1470" s="21"/>
      <c r="D1470" s="3"/>
      <c r="E1470" s="20">
        <v>1000184764</v>
      </c>
      <c r="F1470" s="4" t="s">
        <v>70</v>
      </c>
      <c r="G1470" s="21">
        <v>1000189822</v>
      </c>
      <c r="H1470" s="3" t="s">
        <v>115</v>
      </c>
      <c r="I1470" s="21">
        <v>1000189270</v>
      </c>
      <c r="J1470" s="3" t="s">
        <v>34</v>
      </c>
      <c r="K1470" s="20" t="s">
        <v>33</v>
      </c>
      <c r="L1470" s="39">
        <v>0</v>
      </c>
      <c r="M1470" s="39">
        <v>0</v>
      </c>
      <c r="N1470" s="39">
        <v>0</v>
      </c>
      <c r="O1470" s="39">
        <v>0</v>
      </c>
      <c r="P1470" s="39">
        <v>0</v>
      </c>
      <c r="Q1470" s="39">
        <v>0</v>
      </c>
      <c r="R1470" s="39">
        <v>0</v>
      </c>
      <c r="S1470" s="39">
        <v>0</v>
      </c>
      <c r="T1470" s="39">
        <v>0</v>
      </c>
      <c r="U1470" s="39">
        <v>0</v>
      </c>
      <c r="V1470" s="39">
        <v>0</v>
      </c>
      <c r="W1470" s="39">
        <v>0</v>
      </c>
      <c r="X1470" s="39">
        <v>0</v>
      </c>
      <c r="Y1470" s="39">
        <v>0</v>
      </c>
      <c r="Z1470" s="39">
        <v>0</v>
      </c>
      <c r="AA1470" s="39">
        <v>0</v>
      </c>
      <c r="AB1470" s="39">
        <v>0</v>
      </c>
      <c r="AC1470" s="39">
        <v>0</v>
      </c>
      <c r="AD1470" s="39">
        <v>0</v>
      </c>
      <c r="AE1470" s="39">
        <v>0</v>
      </c>
      <c r="AF1470" s="39">
        <v>0</v>
      </c>
      <c r="AG1470" s="39">
        <v>0</v>
      </c>
      <c r="AH1470" s="39"/>
      <c r="AI1470" s="39"/>
      <c r="AJ1470" s="40"/>
      <c r="AK1470" s="39">
        <f t="shared" si="115"/>
        <v>0</v>
      </c>
      <c r="AL1470" s="39">
        <f t="shared" si="113"/>
        <v>0</v>
      </c>
      <c r="AM1470" s="39">
        <f t="shared" si="114"/>
        <v>0</v>
      </c>
      <c r="AN1470" s="39">
        <f t="shared" si="116"/>
        <v>0</v>
      </c>
      <c r="AO1470" s="39">
        <f t="shared" si="117"/>
        <v>0</v>
      </c>
    </row>
    <row r="1471" spans="1:41" x14ac:dyDescent="0.3">
      <c r="A1471" s="20">
        <v>1000184670</v>
      </c>
      <c r="B1471" s="4" t="s">
        <v>147</v>
      </c>
      <c r="C1471" s="21"/>
      <c r="D1471" s="3"/>
      <c r="E1471" s="20">
        <v>1000184764</v>
      </c>
      <c r="F1471" s="4" t="s">
        <v>70</v>
      </c>
      <c r="G1471" s="21">
        <v>1000189822</v>
      </c>
      <c r="H1471" s="3" t="s">
        <v>115</v>
      </c>
      <c r="I1471" s="21">
        <v>1000189270</v>
      </c>
      <c r="J1471" s="3" t="s">
        <v>34</v>
      </c>
      <c r="K1471" s="20" t="s">
        <v>19</v>
      </c>
      <c r="L1471" s="39">
        <v>0</v>
      </c>
      <c r="M1471" s="39">
        <v>0</v>
      </c>
      <c r="N1471" s="39">
        <v>0</v>
      </c>
      <c r="O1471" s="39">
        <v>0</v>
      </c>
      <c r="P1471" s="39">
        <v>0</v>
      </c>
      <c r="Q1471" s="39">
        <v>0</v>
      </c>
      <c r="R1471" s="39">
        <v>0</v>
      </c>
      <c r="S1471" s="39">
        <v>0</v>
      </c>
      <c r="T1471" s="39">
        <v>0</v>
      </c>
      <c r="U1471" s="39">
        <v>0</v>
      </c>
      <c r="V1471" s="39">
        <v>0</v>
      </c>
      <c r="W1471" s="39">
        <v>0</v>
      </c>
      <c r="X1471" s="39">
        <v>0</v>
      </c>
      <c r="Y1471" s="39">
        <v>0</v>
      </c>
      <c r="Z1471" s="39">
        <v>0</v>
      </c>
      <c r="AA1471" s="39">
        <v>60.44</v>
      </c>
      <c r="AB1471" s="39">
        <v>0</v>
      </c>
      <c r="AC1471" s="39">
        <v>153.88</v>
      </c>
      <c r="AD1471" s="39">
        <v>0</v>
      </c>
      <c r="AE1471" s="39">
        <v>38.47</v>
      </c>
      <c r="AF1471" s="39">
        <v>0</v>
      </c>
      <c r="AG1471" s="39">
        <v>0</v>
      </c>
      <c r="AH1471" s="39"/>
      <c r="AI1471" s="39"/>
      <c r="AJ1471" s="40"/>
      <c r="AK1471" s="39">
        <f t="shared" si="115"/>
        <v>0</v>
      </c>
      <c r="AL1471" s="39">
        <f t="shared" si="113"/>
        <v>21.065833333333334</v>
      </c>
      <c r="AM1471" s="39">
        <f t="shared" si="114"/>
        <v>32.05833333333333</v>
      </c>
      <c r="AN1471" s="39">
        <f t="shared" si="116"/>
        <v>25.279</v>
      </c>
      <c r="AO1471" s="39">
        <f t="shared" si="117"/>
        <v>252.79</v>
      </c>
    </row>
    <row r="1472" spans="1:41" x14ac:dyDescent="0.3">
      <c r="A1472" s="20">
        <v>1000184670</v>
      </c>
      <c r="B1472" s="4" t="s">
        <v>147</v>
      </c>
      <c r="C1472" s="21"/>
      <c r="D1472" s="3"/>
      <c r="E1472" s="20">
        <v>1000184764</v>
      </c>
      <c r="F1472" s="4" t="s">
        <v>70</v>
      </c>
      <c r="G1472" s="21">
        <v>1000189822</v>
      </c>
      <c r="H1472" s="3" t="s">
        <v>115</v>
      </c>
      <c r="I1472" s="21">
        <v>1000189270</v>
      </c>
      <c r="J1472" s="3" t="s">
        <v>34</v>
      </c>
      <c r="K1472" s="20" t="s">
        <v>17</v>
      </c>
      <c r="L1472" s="39">
        <v>0</v>
      </c>
      <c r="M1472" s="39">
        <v>0</v>
      </c>
      <c r="N1472" s="39">
        <v>0</v>
      </c>
      <c r="O1472" s="39">
        <v>0</v>
      </c>
      <c r="P1472" s="39">
        <v>0</v>
      </c>
      <c r="Q1472" s="39">
        <v>0</v>
      </c>
      <c r="R1472" s="39">
        <v>0</v>
      </c>
      <c r="S1472" s="39">
        <v>0</v>
      </c>
      <c r="T1472" s="39">
        <v>0</v>
      </c>
      <c r="U1472" s="39">
        <v>0</v>
      </c>
      <c r="V1472" s="39">
        <v>0</v>
      </c>
      <c r="W1472" s="39">
        <v>0</v>
      </c>
      <c r="X1472" s="39">
        <v>0</v>
      </c>
      <c r="Y1472" s="39">
        <v>0</v>
      </c>
      <c r="Z1472" s="39">
        <v>0</v>
      </c>
      <c r="AA1472" s="39">
        <v>0</v>
      </c>
      <c r="AB1472" s="39">
        <v>0</v>
      </c>
      <c r="AC1472" s="39">
        <v>0</v>
      </c>
      <c r="AD1472" s="39">
        <v>0</v>
      </c>
      <c r="AE1472" s="39">
        <v>0</v>
      </c>
      <c r="AF1472" s="39">
        <v>0</v>
      </c>
      <c r="AG1472" s="39">
        <v>0</v>
      </c>
      <c r="AH1472" s="39"/>
      <c r="AI1472" s="39"/>
      <c r="AJ1472" s="40"/>
      <c r="AK1472" s="39">
        <f t="shared" si="115"/>
        <v>0</v>
      </c>
      <c r="AL1472" s="39">
        <f t="shared" si="113"/>
        <v>0</v>
      </c>
      <c r="AM1472" s="39">
        <f t="shared" si="114"/>
        <v>0</v>
      </c>
      <c r="AN1472" s="39">
        <f t="shared" si="116"/>
        <v>0</v>
      </c>
      <c r="AO1472" s="39">
        <f t="shared" si="117"/>
        <v>0</v>
      </c>
    </row>
    <row r="1473" spans="1:41" x14ac:dyDescent="0.3">
      <c r="A1473" s="20">
        <v>1000184670</v>
      </c>
      <c r="B1473" s="4" t="s">
        <v>147</v>
      </c>
      <c r="C1473" s="21"/>
      <c r="D1473" s="3"/>
      <c r="E1473" s="20">
        <v>1000184764</v>
      </c>
      <c r="F1473" s="4" t="s">
        <v>70</v>
      </c>
      <c r="G1473" s="21">
        <v>1000189822</v>
      </c>
      <c r="H1473" s="3" t="s">
        <v>115</v>
      </c>
      <c r="I1473" s="21">
        <v>1000189270</v>
      </c>
      <c r="J1473" s="3" t="s">
        <v>34</v>
      </c>
      <c r="K1473" s="20" t="s">
        <v>24</v>
      </c>
      <c r="L1473" s="39">
        <v>0</v>
      </c>
      <c r="M1473" s="39">
        <v>0</v>
      </c>
      <c r="N1473" s="39">
        <v>0</v>
      </c>
      <c r="O1473" s="39">
        <v>0</v>
      </c>
      <c r="P1473" s="39">
        <v>0</v>
      </c>
      <c r="Q1473" s="39">
        <v>0</v>
      </c>
      <c r="R1473" s="39">
        <v>0</v>
      </c>
      <c r="S1473" s="39">
        <v>0</v>
      </c>
      <c r="T1473" s="39">
        <v>0</v>
      </c>
      <c r="U1473" s="39">
        <v>0</v>
      </c>
      <c r="V1473" s="39">
        <v>0</v>
      </c>
      <c r="W1473" s="39">
        <v>0</v>
      </c>
      <c r="X1473" s="39">
        <v>0</v>
      </c>
      <c r="Y1473" s="39">
        <v>0</v>
      </c>
      <c r="Z1473" s="39">
        <v>0</v>
      </c>
      <c r="AA1473" s="39">
        <v>20.25</v>
      </c>
      <c r="AB1473" s="39">
        <v>0</v>
      </c>
      <c r="AC1473" s="39">
        <v>0</v>
      </c>
      <c r="AD1473" s="39">
        <v>0</v>
      </c>
      <c r="AE1473" s="39">
        <v>0</v>
      </c>
      <c r="AF1473" s="39">
        <v>0</v>
      </c>
      <c r="AG1473" s="39">
        <v>0</v>
      </c>
      <c r="AH1473" s="39"/>
      <c r="AI1473" s="39"/>
      <c r="AJ1473" s="40"/>
      <c r="AK1473" s="39">
        <f t="shared" si="115"/>
        <v>0</v>
      </c>
      <c r="AL1473" s="39">
        <f t="shared" si="113"/>
        <v>1.6875</v>
      </c>
      <c r="AM1473" s="39">
        <f t="shared" si="114"/>
        <v>0</v>
      </c>
      <c r="AN1473" s="39">
        <f t="shared" si="116"/>
        <v>2.0249999999999999</v>
      </c>
      <c r="AO1473" s="39">
        <f t="shared" si="117"/>
        <v>20.25</v>
      </c>
    </row>
    <row r="1474" spans="1:41" x14ac:dyDescent="0.3">
      <c r="A1474" s="20">
        <v>1000184670</v>
      </c>
      <c r="B1474" s="4" t="s">
        <v>147</v>
      </c>
      <c r="C1474" s="21"/>
      <c r="D1474" s="3"/>
      <c r="E1474" s="20">
        <v>1000184764</v>
      </c>
      <c r="F1474" s="4" t="s">
        <v>70</v>
      </c>
      <c r="G1474" s="21">
        <v>1000189822</v>
      </c>
      <c r="H1474" s="3" t="s">
        <v>115</v>
      </c>
      <c r="I1474" s="21">
        <v>1000189270</v>
      </c>
      <c r="J1474" s="3" t="s">
        <v>34</v>
      </c>
      <c r="K1474" s="20" t="s">
        <v>18</v>
      </c>
      <c r="L1474" s="39">
        <v>0</v>
      </c>
      <c r="M1474" s="39">
        <v>0</v>
      </c>
      <c r="N1474" s="39">
        <v>0</v>
      </c>
      <c r="O1474" s="39">
        <v>0</v>
      </c>
      <c r="P1474" s="39">
        <v>0</v>
      </c>
      <c r="Q1474" s="39">
        <v>0</v>
      </c>
      <c r="R1474" s="39">
        <v>0</v>
      </c>
      <c r="S1474" s="39">
        <v>0</v>
      </c>
      <c r="T1474" s="39">
        <v>0</v>
      </c>
      <c r="U1474" s="39">
        <v>0</v>
      </c>
      <c r="V1474" s="39">
        <v>0</v>
      </c>
      <c r="W1474" s="39">
        <v>0</v>
      </c>
      <c r="X1474" s="39">
        <v>0</v>
      </c>
      <c r="Y1474" s="39">
        <v>0</v>
      </c>
      <c r="Z1474" s="39">
        <v>0</v>
      </c>
      <c r="AA1474" s="39">
        <v>0</v>
      </c>
      <c r="AB1474" s="39">
        <v>0</v>
      </c>
      <c r="AC1474" s="39">
        <v>0</v>
      </c>
      <c r="AD1474" s="39">
        <v>0</v>
      </c>
      <c r="AE1474" s="39">
        <v>0</v>
      </c>
      <c r="AF1474" s="39">
        <v>0</v>
      </c>
      <c r="AG1474" s="39">
        <v>0</v>
      </c>
      <c r="AH1474" s="39"/>
      <c r="AI1474" s="39"/>
      <c r="AJ1474" s="40"/>
      <c r="AK1474" s="39">
        <f t="shared" si="115"/>
        <v>0</v>
      </c>
      <c r="AL1474" s="39">
        <f t="shared" si="113"/>
        <v>0</v>
      </c>
      <c r="AM1474" s="39">
        <f t="shared" si="114"/>
        <v>0</v>
      </c>
      <c r="AN1474" s="39">
        <f t="shared" si="116"/>
        <v>0</v>
      </c>
      <c r="AO1474" s="39">
        <f t="shared" si="117"/>
        <v>0</v>
      </c>
    </row>
    <row r="1475" spans="1:41" x14ac:dyDescent="0.3">
      <c r="A1475" s="20">
        <v>1000184670</v>
      </c>
      <c r="B1475" s="4" t="s">
        <v>147</v>
      </c>
      <c r="C1475" s="21"/>
      <c r="D1475" s="3"/>
      <c r="E1475" s="20">
        <v>1000184764</v>
      </c>
      <c r="F1475" s="4" t="s">
        <v>70</v>
      </c>
      <c r="G1475" s="21">
        <v>1000189822</v>
      </c>
      <c r="H1475" s="3" t="s">
        <v>115</v>
      </c>
      <c r="I1475" s="21">
        <v>1000189270</v>
      </c>
      <c r="J1475" s="3" t="s">
        <v>34</v>
      </c>
      <c r="K1475" s="20" t="s">
        <v>29</v>
      </c>
      <c r="L1475" s="39">
        <v>0</v>
      </c>
      <c r="M1475" s="39">
        <v>0</v>
      </c>
      <c r="N1475" s="39">
        <v>0</v>
      </c>
      <c r="O1475" s="39">
        <v>0</v>
      </c>
      <c r="P1475" s="39">
        <v>0</v>
      </c>
      <c r="Q1475" s="39">
        <v>0</v>
      </c>
      <c r="R1475" s="39">
        <v>0</v>
      </c>
      <c r="S1475" s="39">
        <v>0</v>
      </c>
      <c r="T1475" s="39">
        <v>0</v>
      </c>
      <c r="U1475" s="39">
        <v>0</v>
      </c>
      <c r="V1475" s="39">
        <v>0</v>
      </c>
      <c r="W1475" s="39">
        <v>0</v>
      </c>
      <c r="X1475" s="39">
        <v>0</v>
      </c>
      <c r="Y1475" s="39">
        <v>0</v>
      </c>
      <c r="Z1475" s="39">
        <v>0</v>
      </c>
      <c r="AA1475" s="39">
        <v>0</v>
      </c>
      <c r="AB1475" s="39">
        <v>0</v>
      </c>
      <c r="AC1475" s="39">
        <v>0</v>
      </c>
      <c r="AD1475" s="39">
        <v>0</v>
      </c>
      <c r="AE1475" s="39">
        <v>0</v>
      </c>
      <c r="AF1475" s="39">
        <v>0</v>
      </c>
      <c r="AG1475" s="39">
        <v>0</v>
      </c>
      <c r="AH1475" s="39"/>
      <c r="AI1475" s="39"/>
      <c r="AJ1475" s="40"/>
      <c r="AK1475" s="39">
        <f t="shared" si="115"/>
        <v>0</v>
      </c>
      <c r="AL1475" s="39">
        <f t="shared" ref="AL1475:AL1521" si="118">AVERAGE(V1475:AG1475)</f>
        <v>0</v>
      </c>
      <c r="AM1475" s="39">
        <f t="shared" ref="AM1475:AM1521" si="119">AVERAGE(AB1475:AG1475)</f>
        <v>0</v>
      </c>
      <c r="AN1475" s="39">
        <f t="shared" si="116"/>
        <v>0</v>
      </c>
      <c r="AO1475" s="39">
        <f t="shared" si="117"/>
        <v>0</v>
      </c>
    </row>
    <row r="1476" spans="1:41" x14ac:dyDescent="0.3">
      <c r="A1476" s="20">
        <v>1000184670</v>
      </c>
      <c r="B1476" s="4" t="s">
        <v>147</v>
      </c>
      <c r="C1476" s="21"/>
      <c r="D1476" s="3"/>
      <c r="E1476" s="20">
        <v>1000184764</v>
      </c>
      <c r="F1476" s="4" t="s">
        <v>70</v>
      </c>
      <c r="G1476" s="21">
        <v>1000189822</v>
      </c>
      <c r="H1476" s="3" t="s">
        <v>115</v>
      </c>
      <c r="I1476" s="21">
        <v>1000189270</v>
      </c>
      <c r="J1476" s="3" t="s">
        <v>34</v>
      </c>
      <c r="K1476" s="20" t="s">
        <v>21</v>
      </c>
      <c r="L1476" s="39">
        <v>0</v>
      </c>
      <c r="M1476" s="39">
        <v>0</v>
      </c>
      <c r="N1476" s="39">
        <v>0</v>
      </c>
      <c r="O1476" s="39">
        <v>0</v>
      </c>
      <c r="P1476" s="39">
        <v>0</v>
      </c>
      <c r="Q1476" s="39">
        <v>0</v>
      </c>
      <c r="R1476" s="39">
        <v>0</v>
      </c>
      <c r="S1476" s="39">
        <v>0</v>
      </c>
      <c r="T1476" s="39">
        <v>0</v>
      </c>
      <c r="U1476" s="39">
        <v>0</v>
      </c>
      <c r="V1476" s="39">
        <v>0</v>
      </c>
      <c r="W1476" s="39">
        <v>0</v>
      </c>
      <c r="X1476" s="39">
        <v>0</v>
      </c>
      <c r="Y1476" s="39">
        <v>0</v>
      </c>
      <c r="Z1476" s="39">
        <v>0</v>
      </c>
      <c r="AA1476" s="39">
        <v>0</v>
      </c>
      <c r="AB1476" s="39">
        <v>0</v>
      </c>
      <c r="AC1476" s="39">
        <v>0</v>
      </c>
      <c r="AD1476" s="39">
        <v>0</v>
      </c>
      <c r="AE1476" s="39">
        <v>0</v>
      </c>
      <c r="AF1476" s="39">
        <v>0</v>
      </c>
      <c r="AG1476" s="39">
        <v>0</v>
      </c>
      <c r="AH1476" s="39"/>
      <c r="AI1476" s="39"/>
      <c r="AJ1476" s="40"/>
      <c r="AK1476" s="39">
        <f t="shared" si="115"/>
        <v>0</v>
      </c>
      <c r="AL1476" s="39">
        <f t="shared" si="118"/>
        <v>0</v>
      </c>
      <c r="AM1476" s="39">
        <f t="shared" si="119"/>
        <v>0</v>
      </c>
      <c r="AN1476" s="39">
        <f t="shared" si="116"/>
        <v>0</v>
      </c>
      <c r="AO1476" s="39">
        <f t="shared" si="117"/>
        <v>0</v>
      </c>
    </row>
    <row r="1477" spans="1:41" x14ac:dyDescent="0.3">
      <c r="A1477" s="20">
        <v>1000184670</v>
      </c>
      <c r="B1477" s="4" t="s">
        <v>147</v>
      </c>
      <c r="C1477" s="21"/>
      <c r="D1477" s="3"/>
      <c r="E1477" s="20">
        <v>1000184764</v>
      </c>
      <c r="F1477" s="4" t="s">
        <v>70</v>
      </c>
      <c r="G1477" s="21">
        <v>1000189822</v>
      </c>
      <c r="H1477" s="3" t="s">
        <v>115</v>
      </c>
      <c r="I1477" s="21">
        <v>1000189270</v>
      </c>
      <c r="J1477" s="3" t="s">
        <v>34</v>
      </c>
      <c r="K1477" s="20" t="s">
        <v>20</v>
      </c>
      <c r="L1477" s="39">
        <v>0</v>
      </c>
      <c r="M1477" s="39">
        <v>0</v>
      </c>
      <c r="N1477" s="39">
        <v>0</v>
      </c>
      <c r="O1477" s="39">
        <v>0</v>
      </c>
      <c r="P1477" s="39">
        <v>0</v>
      </c>
      <c r="Q1477" s="39">
        <v>0</v>
      </c>
      <c r="R1477" s="39">
        <v>0</v>
      </c>
      <c r="S1477" s="39">
        <v>0</v>
      </c>
      <c r="T1477" s="39">
        <v>0</v>
      </c>
      <c r="U1477" s="39">
        <v>0</v>
      </c>
      <c r="V1477" s="39">
        <v>0</v>
      </c>
      <c r="W1477" s="39">
        <v>0</v>
      </c>
      <c r="X1477" s="39">
        <v>0</v>
      </c>
      <c r="Y1477" s="39">
        <v>0</v>
      </c>
      <c r="Z1477" s="39">
        <v>0</v>
      </c>
      <c r="AA1477" s="39">
        <v>0</v>
      </c>
      <c r="AB1477" s="39">
        <v>0</v>
      </c>
      <c r="AC1477" s="39">
        <v>0</v>
      </c>
      <c r="AD1477" s="39">
        <v>0</v>
      </c>
      <c r="AE1477" s="39">
        <v>0</v>
      </c>
      <c r="AF1477" s="39">
        <v>0</v>
      </c>
      <c r="AG1477" s="39">
        <v>0</v>
      </c>
      <c r="AH1477" s="39"/>
      <c r="AI1477" s="39"/>
      <c r="AJ1477" s="40"/>
      <c r="AK1477" s="39">
        <f t="shared" si="115"/>
        <v>0</v>
      </c>
      <c r="AL1477" s="39">
        <f t="shared" si="118"/>
        <v>0</v>
      </c>
      <c r="AM1477" s="39">
        <f t="shared" si="119"/>
        <v>0</v>
      </c>
      <c r="AN1477" s="39">
        <f t="shared" si="116"/>
        <v>0</v>
      </c>
      <c r="AO1477" s="39">
        <f t="shared" si="117"/>
        <v>0</v>
      </c>
    </row>
    <row r="1478" spans="1:41" x14ac:dyDescent="0.3">
      <c r="A1478" s="20">
        <v>1000184670</v>
      </c>
      <c r="B1478" s="4" t="s">
        <v>147</v>
      </c>
      <c r="C1478" s="21"/>
      <c r="D1478" s="3"/>
      <c r="E1478" s="20">
        <v>1000184764</v>
      </c>
      <c r="F1478" s="4" t="s">
        <v>70</v>
      </c>
      <c r="G1478" s="21">
        <v>1000189822</v>
      </c>
      <c r="H1478" s="3" t="s">
        <v>115</v>
      </c>
      <c r="I1478" s="21">
        <v>1000189270</v>
      </c>
      <c r="J1478" s="3" t="s">
        <v>34</v>
      </c>
      <c r="K1478" s="20" t="s">
        <v>22</v>
      </c>
      <c r="L1478" s="39">
        <v>0</v>
      </c>
      <c r="M1478" s="39">
        <v>0</v>
      </c>
      <c r="N1478" s="39">
        <v>0</v>
      </c>
      <c r="O1478" s="39">
        <v>0</v>
      </c>
      <c r="P1478" s="39">
        <v>0</v>
      </c>
      <c r="Q1478" s="39">
        <v>0</v>
      </c>
      <c r="R1478" s="39">
        <v>0</v>
      </c>
      <c r="S1478" s="39">
        <v>0</v>
      </c>
      <c r="T1478" s="39">
        <v>0</v>
      </c>
      <c r="U1478" s="39">
        <v>0</v>
      </c>
      <c r="V1478" s="39">
        <v>0</v>
      </c>
      <c r="W1478" s="39">
        <v>0</v>
      </c>
      <c r="X1478" s="39">
        <v>0</v>
      </c>
      <c r="Y1478" s="39">
        <v>0</v>
      </c>
      <c r="Z1478" s="39">
        <v>0</v>
      </c>
      <c r="AA1478" s="39">
        <v>66.12</v>
      </c>
      <c r="AB1478" s="39">
        <v>0</v>
      </c>
      <c r="AC1478" s="39">
        <v>0</v>
      </c>
      <c r="AD1478" s="39">
        <v>0</v>
      </c>
      <c r="AE1478" s="39">
        <v>0</v>
      </c>
      <c r="AF1478" s="39">
        <v>0</v>
      </c>
      <c r="AG1478" s="39">
        <v>0</v>
      </c>
      <c r="AH1478" s="39"/>
      <c r="AI1478" s="39"/>
      <c r="AJ1478" s="40"/>
      <c r="AK1478" s="39">
        <f t="shared" si="115"/>
        <v>0</v>
      </c>
      <c r="AL1478" s="39">
        <f t="shared" si="118"/>
        <v>5.5100000000000007</v>
      </c>
      <c r="AM1478" s="39">
        <f t="shared" si="119"/>
        <v>0</v>
      </c>
      <c r="AN1478" s="39">
        <f t="shared" si="116"/>
        <v>6.6120000000000001</v>
      </c>
      <c r="AO1478" s="39">
        <f t="shared" si="117"/>
        <v>66.12</v>
      </c>
    </row>
    <row r="1479" spans="1:41" x14ac:dyDescent="0.3">
      <c r="A1479" s="20">
        <v>1000184670</v>
      </c>
      <c r="B1479" s="4" t="s">
        <v>147</v>
      </c>
      <c r="C1479" s="21"/>
      <c r="D1479" s="3"/>
      <c r="E1479" s="20">
        <v>1000184764</v>
      </c>
      <c r="F1479" s="4" t="s">
        <v>70</v>
      </c>
      <c r="G1479" s="21">
        <v>1000189822</v>
      </c>
      <c r="H1479" s="3" t="s">
        <v>115</v>
      </c>
      <c r="I1479" s="21">
        <v>1000189270</v>
      </c>
      <c r="J1479" s="3" t="s">
        <v>34</v>
      </c>
      <c r="K1479" s="20" t="s">
        <v>23</v>
      </c>
      <c r="L1479" s="39">
        <v>0</v>
      </c>
      <c r="M1479" s="39">
        <v>0</v>
      </c>
      <c r="N1479" s="39">
        <v>0</v>
      </c>
      <c r="O1479" s="39">
        <v>0</v>
      </c>
      <c r="P1479" s="39">
        <v>0</v>
      </c>
      <c r="Q1479" s="39">
        <v>0</v>
      </c>
      <c r="R1479" s="39">
        <v>0</v>
      </c>
      <c r="S1479" s="39">
        <v>0</v>
      </c>
      <c r="T1479" s="39">
        <v>0</v>
      </c>
      <c r="U1479" s="39">
        <v>0</v>
      </c>
      <c r="V1479" s="39">
        <v>0</v>
      </c>
      <c r="W1479" s="39">
        <v>0</v>
      </c>
      <c r="X1479" s="39">
        <v>0</v>
      </c>
      <c r="Y1479" s="39">
        <v>0</v>
      </c>
      <c r="Z1479" s="39">
        <v>0</v>
      </c>
      <c r="AA1479" s="39">
        <v>0</v>
      </c>
      <c r="AB1479" s="39">
        <v>0</v>
      </c>
      <c r="AC1479" s="39">
        <v>0</v>
      </c>
      <c r="AD1479" s="39">
        <v>0</v>
      </c>
      <c r="AE1479" s="39">
        <v>0</v>
      </c>
      <c r="AF1479" s="39">
        <v>0</v>
      </c>
      <c r="AG1479" s="39">
        <v>0</v>
      </c>
      <c r="AH1479" s="39"/>
      <c r="AI1479" s="39"/>
      <c r="AJ1479" s="40"/>
      <c r="AK1479" s="39">
        <f t="shared" si="115"/>
        <v>0</v>
      </c>
      <c r="AL1479" s="39">
        <f t="shared" si="118"/>
        <v>0</v>
      </c>
      <c r="AM1479" s="39">
        <f t="shared" si="119"/>
        <v>0</v>
      </c>
      <c r="AN1479" s="39">
        <f t="shared" si="116"/>
        <v>0</v>
      </c>
      <c r="AO1479" s="39">
        <f t="shared" si="117"/>
        <v>0</v>
      </c>
    </row>
    <row r="1480" spans="1:41" x14ac:dyDescent="0.3">
      <c r="A1480" s="20">
        <v>1000184670</v>
      </c>
      <c r="B1480" s="4" t="s">
        <v>147</v>
      </c>
      <c r="C1480" s="21"/>
      <c r="D1480" s="3"/>
      <c r="E1480" s="20">
        <v>1000184764</v>
      </c>
      <c r="F1480" s="4" t="s">
        <v>70</v>
      </c>
      <c r="G1480" s="21">
        <v>1000189822</v>
      </c>
      <c r="H1480" s="3" t="s">
        <v>115</v>
      </c>
      <c r="I1480" s="21">
        <v>1000189270</v>
      </c>
      <c r="J1480" s="3" t="s">
        <v>34</v>
      </c>
      <c r="K1480" s="20" t="s">
        <v>28</v>
      </c>
      <c r="L1480" s="39">
        <v>0</v>
      </c>
      <c r="M1480" s="39">
        <v>0</v>
      </c>
      <c r="N1480" s="39">
        <v>0</v>
      </c>
      <c r="O1480" s="39">
        <v>0</v>
      </c>
      <c r="P1480" s="39">
        <v>0</v>
      </c>
      <c r="Q1480" s="39">
        <v>0</v>
      </c>
      <c r="R1480" s="39">
        <v>0</v>
      </c>
      <c r="S1480" s="39">
        <v>0</v>
      </c>
      <c r="T1480" s="39">
        <v>0</v>
      </c>
      <c r="U1480" s="39">
        <v>0</v>
      </c>
      <c r="V1480" s="39">
        <v>0</v>
      </c>
      <c r="W1480" s="39">
        <v>0</v>
      </c>
      <c r="X1480" s="39">
        <v>0</v>
      </c>
      <c r="Y1480" s="39">
        <v>0</v>
      </c>
      <c r="Z1480" s="39">
        <v>0</v>
      </c>
      <c r="AA1480" s="39">
        <v>54.36</v>
      </c>
      <c r="AB1480" s="39">
        <v>0</v>
      </c>
      <c r="AC1480" s="39">
        <v>0</v>
      </c>
      <c r="AD1480" s="39">
        <v>0</v>
      </c>
      <c r="AE1480" s="39">
        <v>0</v>
      </c>
      <c r="AF1480" s="39">
        <v>0</v>
      </c>
      <c r="AG1480" s="39">
        <v>0</v>
      </c>
      <c r="AH1480" s="39"/>
      <c r="AI1480" s="39"/>
      <c r="AJ1480" s="40"/>
      <c r="AK1480" s="39">
        <f t="shared" si="115"/>
        <v>0</v>
      </c>
      <c r="AL1480" s="39">
        <f t="shared" si="118"/>
        <v>4.53</v>
      </c>
      <c r="AM1480" s="39">
        <f t="shared" si="119"/>
        <v>0</v>
      </c>
      <c r="AN1480" s="39">
        <f t="shared" si="116"/>
        <v>5.4359999999999999</v>
      </c>
      <c r="AO1480" s="39">
        <f t="shared" si="117"/>
        <v>54.36</v>
      </c>
    </row>
    <row r="1481" spans="1:41" x14ac:dyDescent="0.3">
      <c r="A1481" s="20">
        <v>1000184670</v>
      </c>
      <c r="B1481" s="4" t="s">
        <v>147</v>
      </c>
      <c r="C1481" s="21"/>
      <c r="D1481" s="3"/>
      <c r="E1481" s="20">
        <v>1000184764</v>
      </c>
      <c r="F1481" s="4" t="s">
        <v>70</v>
      </c>
      <c r="G1481" s="21">
        <v>1000189822</v>
      </c>
      <c r="H1481" s="3" t="s">
        <v>115</v>
      </c>
      <c r="I1481" s="21">
        <v>1000189270</v>
      </c>
      <c r="J1481" s="3" t="s">
        <v>34</v>
      </c>
      <c r="K1481" s="20" t="s">
        <v>26</v>
      </c>
      <c r="L1481" s="39">
        <v>0</v>
      </c>
      <c r="M1481" s="39">
        <v>0</v>
      </c>
      <c r="N1481" s="39">
        <v>0</v>
      </c>
      <c r="O1481" s="39">
        <v>0</v>
      </c>
      <c r="P1481" s="39">
        <v>0</v>
      </c>
      <c r="Q1481" s="39">
        <v>0</v>
      </c>
      <c r="R1481" s="39">
        <v>0</v>
      </c>
      <c r="S1481" s="39">
        <v>0</v>
      </c>
      <c r="T1481" s="39">
        <v>0</v>
      </c>
      <c r="U1481" s="39">
        <v>0</v>
      </c>
      <c r="V1481" s="39">
        <v>0</v>
      </c>
      <c r="W1481" s="39">
        <v>0</v>
      </c>
      <c r="X1481" s="39">
        <v>0</v>
      </c>
      <c r="Y1481" s="39">
        <v>0</v>
      </c>
      <c r="Z1481" s="39">
        <v>0</v>
      </c>
      <c r="AA1481" s="39">
        <v>0</v>
      </c>
      <c r="AB1481" s="39">
        <v>0</v>
      </c>
      <c r="AC1481" s="39">
        <v>0</v>
      </c>
      <c r="AD1481" s="39">
        <v>0</v>
      </c>
      <c r="AE1481" s="39">
        <v>0</v>
      </c>
      <c r="AF1481" s="39">
        <v>0</v>
      </c>
      <c r="AG1481" s="39">
        <v>0</v>
      </c>
      <c r="AH1481" s="39"/>
      <c r="AI1481" s="39"/>
      <c r="AJ1481" s="40"/>
      <c r="AK1481" s="39">
        <f t="shared" si="115"/>
        <v>0</v>
      </c>
      <c r="AL1481" s="39">
        <f t="shared" si="118"/>
        <v>0</v>
      </c>
      <c r="AM1481" s="39">
        <f t="shared" si="119"/>
        <v>0</v>
      </c>
      <c r="AN1481" s="39">
        <f t="shared" si="116"/>
        <v>0</v>
      </c>
      <c r="AO1481" s="39">
        <f t="shared" si="117"/>
        <v>0</v>
      </c>
    </row>
    <row r="1482" spans="1:41" x14ac:dyDescent="0.3">
      <c r="A1482" s="20">
        <v>1000184670</v>
      </c>
      <c r="B1482" s="4" t="s">
        <v>147</v>
      </c>
      <c r="C1482" s="21"/>
      <c r="D1482" s="3"/>
      <c r="E1482" s="20">
        <v>1000184764</v>
      </c>
      <c r="F1482" s="4" t="s">
        <v>70</v>
      </c>
      <c r="G1482" s="21">
        <v>1000189822</v>
      </c>
      <c r="H1482" s="3" t="s">
        <v>115</v>
      </c>
      <c r="I1482" s="21">
        <v>1000189270</v>
      </c>
      <c r="J1482" s="3" t="s">
        <v>34</v>
      </c>
      <c r="K1482" s="20" t="s">
        <v>27</v>
      </c>
      <c r="L1482" s="39">
        <v>0</v>
      </c>
      <c r="M1482" s="39">
        <v>0</v>
      </c>
      <c r="N1482" s="39">
        <v>0</v>
      </c>
      <c r="O1482" s="39">
        <v>0</v>
      </c>
      <c r="P1482" s="39">
        <v>0</v>
      </c>
      <c r="Q1482" s="39">
        <v>0</v>
      </c>
      <c r="R1482" s="39">
        <v>0</v>
      </c>
      <c r="S1482" s="39">
        <v>0</v>
      </c>
      <c r="T1482" s="39">
        <v>0</v>
      </c>
      <c r="U1482" s="39">
        <v>0</v>
      </c>
      <c r="V1482" s="39">
        <v>0</v>
      </c>
      <c r="W1482" s="39">
        <v>0</v>
      </c>
      <c r="X1482" s="39">
        <v>0</v>
      </c>
      <c r="Y1482" s="39">
        <v>0</v>
      </c>
      <c r="Z1482" s="39">
        <v>0</v>
      </c>
      <c r="AA1482" s="39">
        <v>0</v>
      </c>
      <c r="AB1482" s="39">
        <v>0</v>
      </c>
      <c r="AC1482" s="39">
        <v>0</v>
      </c>
      <c r="AD1482" s="39">
        <v>0</v>
      </c>
      <c r="AE1482" s="39">
        <v>0</v>
      </c>
      <c r="AF1482" s="39">
        <v>0</v>
      </c>
      <c r="AG1482" s="39">
        <v>437.4</v>
      </c>
      <c r="AH1482" s="39"/>
      <c r="AI1482" s="39"/>
      <c r="AJ1482" s="40"/>
      <c r="AK1482" s="39">
        <f t="shared" si="115"/>
        <v>0</v>
      </c>
      <c r="AL1482" s="39">
        <f t="shared" si="118"/>
        <v>36.449999999999996</v>
      </c>
      <c r="AM1482" s="39">
        <f t="shared" si="119"/>
        <v>72.899999999999991</v>
      </c>
      <c r="AN1482" s="39">
        <f t="shared" si="116"/>
        <v>43.739999999999995</v>
      </c>
      <c r="AO1482" s="39">
        <f t="shared" si="117"/>
        <v>437.4</v>
      </c>
    </row>
    <row r="1483" spans="1:41" x14ac:dyDescent="0.3">
      <c r="A1483" s="20">
        <v>1000184670</v>
      </c>
      <c r="B1483" s="4" t="s">
        <v>147</v>
      </c>
      <c r="C1483" s="21"/>
      <c r="D1483" s="3"/>
      <c r="E1483" s="20">
        <v>1000184764</v>
      </c>
      <c r="F1483" s="4" t="s">
        <v>70</v>
      </c>
      <c r="G1483" s="21">
        <v>1000189822</v>
      </c>
      <c r="H1483" s="3" t="s">
        <v>115</v>
      </c>
      <c r="I1483" s="21">
        <v>1000189270</v>
      </c>
      <c r="J1483" s="3" t="s">
        <v>34</v>
      </c>
      <c r="K1483" s="20" t="s">
        <v>25</v>
      </c>
      <c r="L1483" s="39">
        <v>0</v>
      </c>
      <c r="M1483" s="39">
        <v>0</v>
      </c>
      <c r="N1483" s="39">
        <v>0</v>
      </c>
      <c r="O1483" s="39">
        <v>0</v>
      </c>
      <c r="P1483" s="39">
        <v>0</v>
      </c>
      <c r="Q1483" s="39">
        <v>0</v>
      </c>
      <c r="R1483" s="39">
        <v>0</v>
      </c>
      <c r="S1483" s="39">
        <v>0</v>
      </c>
      <c r="T1483" s="39">
        <v>0</v>
      </c>
      <c r="U1483" s="39">
        <v>0</v>
      </c>
      <c r="V1483" s="39">
        <v>0</v>
      </c>
      <c r="W1483" s="39">
        <v>0</v>
      </c>
      <c r="X1483" s="39">
        <v>0</v>
      </c>
      <c r="Y1483" s="39">
        <v>0</v>
      </c>
      <c r="Z1483" s="39">
        <v>0</v>
      </c>
      <c r="AA1483" s="39">
        <v>77.760000000000005</v>
      </c>
      <c r="AB1483" s="39">
        <v>0</v>
      </c>
      <c r="AC1483" s="39">
        <v>0</v>
      </c>
      <c r="AD1483" s="39">
        <v>0</v>
      </c>
      <c r="AE1483" s="39">
        <v>0</v>
      </c>
      <c r="AF1483" s="39">
        <v>0</v>
      </c>
      <c r="AG1483" s="39">
        <v>0</v>
      </c>
      <c r="AH1483" s="39"/>
      <c r="AI1483" s="39"/>
      <c r="AJ1483" s="40"/>
      <c r="AK1483" s="39">
        <f t="shared" si="115"/>
        <v>0</v>
      </c>
      <c r="AL1483" s="39">
        <f t="shared" si="118"/>
        <v>6.48</v>
      </c>
      <c r="AM1483" s="39">
        <f t="shared" si="119"/>
        <v>0</v>
      </c>
      <c r="AN1483" s="39">
        <f t="shared" si="116"/>
        <v>7.7760000000000007</v>
      </c>
      <c r="AO1483" s="39">
        <f t="shared" si="117"/>
        <v>77.760000000000005</v>
      </c>
    </row>
    <row r="1484" spans="1:41" x14ac:dyDescent="0.3">
      <c r="A1484" s="20">
        <v>1000184670</v>
      </c>
      <c r="B1484" s="4" t="s">
        <v>147</v>
      </c>
      <c r="C1484" s="21"/>
      <c r="D1484" s="3"/>
      <c r="E1484" s="20">
        <v>1000184764</v>
      </c>
      <c r="F1484" s="4" t="s">
        <v>70</v>
      </c>
      <c r="G1484" s="21">
        <v>1000189823</v>
      </c>
      <c r="H1484" s="3" t="s">
        <v>73</v>
      </c>
      <c r="I1484" s="21">
        <v>1000189270</v>
      </c>
      <c r="J1484" s="3" t="s">
        <v>34</v>
      </c>
      <c r="K1484" s="20" t="s">
        <v>124</v>
      </c>
      <c r="L1484" s="39">
        <v>0</v>
      </c>
      <c r="M1484" s="39">
        <v>0</v>
      </c>
      <c r="N1484" s="39">
        <v>0</v>
      </c>
      <c r="O1484" s="39">
        <v>0</v>
      </c>
      <c r="P1484" s="39">
        <v>0</v>
      </c>
      <c r="Q1484" s="39">
        <v>0</v>
      </c>
      <c r="R1484" s="39">
        <v>0</v>
      </c>
      <c r="S1484" s="39">
        <v>0</v>
      </c>
      <c r="T1484" s="39">
        <v>0</v>
      </c>
      <c r="U1484" s="39">
        <v>0</v>
      </c>
      <c r="V1484" s="39">
        <v>0</v>
      </c>
      <c r="W1484" s="39">
        <v>0</v>
      </c>
      <c r="X1484" s="39">
        <v>0</v>
      </c>
      <c r="Y1484" s="39">
        <v>0</v>
      </c>
      <c r="Z1484" s="39">
        <v>0</v>
      </c>
      <c r="AA1484" s="39">
        <v>0</v>
      </c>
      <c r="AB1484" s="39">
        <v>0</v>
      </c>
      <c r="AC1484" s="39">
        <v>0</v>
      </c>
      <c r="AD1484" s="39">
        <v>0</v>
      </c>
      <c r="AE1484" s="39">
        <v>0</v>
      </c>
      <c r="AF1484" s="39">
        <v>0</v>
      </c>
      <c r="AG1484" s="39">
        <v>0</v>
      </c>
      <c r="AH1484" s="39"/>
      <c r="AI1484" s="39"/>
      <c r="AJ1484" s="40"/>
      <c r="AK1484" s="39">
        <f t="shared" si="115"/>
        <v>0</v>
      </c>
      <c r="AL1484" s="39">
        <f t="shared" si="118"/>
        <v>0</v>
      </c>
      <c r="AM1484" s="39">
        <f t="shared" si="119"/>
        <v>0</v>
      </c>
      <c r="AN1484" s="39">
        <f t="shared" si="116"/>
        <v>0</v>
      </c>
      <c r="AO1484" s="39">
        <f t="shared" si="117"/>
        <v>0</v>
      </c>
    </row>
    <row r="1485" spans="1:41" x14ac:dyDescent="0.3">
      <c r="A1485" s="20">
        <v>1000184670</v>
      </c>
      <c r="B1485" s="4" t="s">
        <v>147</v>
      </c>
      <c r="C1485" s="21"/>
      <c r="D1485" s="3"/>
      <c r="E1485" s="20">
        <v>1000184764</v>
      </c>
      <c r="F1485" s="4" t="s">
        <v>70</v>
      </c>
      <c r="G1485" s="21">
        <v>1000189823</v>
      </c>
      <c r="H1485" s="3" t="s">
        <v>73</v>
      </c>
      <c r="I1485" s="21">
        <v>1000189270</v>
      </c>
      <c r="J1485" s="3" t="s">
        <v>34</v>
      </c>
      <c r="K1485" s="20" t="s">
        <v>13</v>
      </c>
      <c r="L1485" s="39">
        <v>0</v>
      </c>
      <c r="M1485" s="39">
        <v>0</v>
      </c>
      <c r="N1485" s="39">
        <v>0</v>
      </c>
      <c r="O1485" s="39">
        <v>0</v>
      </c>
      <c r="P1485" s="39">
        <v>0</v>
      </c>
      <c r="Q1485" s="39">
        <v>0</v>
      </c>
      <c r="R1485" s="39">
        <v>0</v>
      </c>
      <c r="S1485" s="39">
        <v>0</v>
      </c>
      <c r="T1485" s="39">
        <v>0</v>
      </c>
      <c r="U1485" s="39">
        <v>0</v>
      </c>
      <c r="V1485" s="39">
        <v>0</v>
      </c>
      <c r="W1485" s="39">
        <v>0</v>
      </c>
      <c r="X1485" s="39">
        <v>0</v>
      </c>
      <c r="Y1485" s="39">
        <v>0</v>
      </c>
      <c r="Z1485" s="39">
        <v>0</v>
      </c>
      <c r="AA1485" s="39">
        <v>0</v>
      </c>
      <c r="AB1485" s="39">
        <v>0</v>
      </c>
      <c r="AC1485" s="39">
        <v>0</v>
      </c>
      <c r="AD1485" s="39">
        <v>0</v>
      </c>
      <c r="AE1485" s="39">
        <v>0</v>
      </c>
      <c r="AF1485" s="39">
        <v>0</v>
      </c>
      <c r="AG1485" s="39">
        <v>0</v>
      </c>
      <c r="AH1485" s="39"/>
      <c r="AI1485" s="39"/>
      <c r="AJ1485" s="40"/>
      <c r="AK1485" s="39">
        <f t="shared" si="115"/>
        <v>0</v>
      </c>
      <c r="AL1485" s="39">
        <f t="shared" si="118"/>
        <v>0</v>
      </c>
      <c r="AM1485" s="39">
        <f t="shared" si="119"/>
        <v>0</v>
      </c>
      <c r="AN1485" s="39">
        <f t="shared" si="116"/>
        <v>0</v>
      </c>
      <c r="AO1485" s="39">
        <f t="shared" si="117"/>
        <v>0</v>
      </c>
    </row>
    <row r="1486" spans="1:41" x14ac:dyDescent="0.3">
      <c r="A1486" s="20">
        <v>1000184670</v>
      </c>
      <c r="B1486" s="4" t="s">
        <v>147</v>
      </c>
      <c r="C1486" s="21"/>
      <c r="D1486" s="3"/>
      <c r="E1486" s="20">
        <v>1000184764</v>
      </c>
      <c r="F1486" s="4" t="s">
        <v>70</v>
      </c>
      <c r="G1486" s="21">
        <v>1000189823</v>
      </c>
      <c r="H1486" s="3" t="s">
        <v>73</v>
      </c>
      <c r="I1486" s="21">
        <v>1000189270</v>
      </c>
      <c r="J1486" s="3" t="s">
        <v>34</v>
      </c>
      <c r="K1486" s="20" t="s">
        <v>14</v>
      </c>
      <c r="L1486" s="39">
        <v>0</v>
      </c>
      <c r="M1486" s="39">
        <v>0</v>
      </c>
      <c r="N1486" s="39">
        <v>0</v>
      </c>
      <c r="O1486" s="39">
        <v>0</v>
      </c>
      <c r="P1486" s="39">
        <v>0</v>
      </c>
      <c r="Q1486" s="39">
        <v>0</v>
      </c>
      <c r="R1486" s="39">
        <v>0</v>
      </c>
      <c r="S1486" s="39">
        <v>0</v>
      </c>
      <c r="T1486" s="39">
        <v>0</v>
      </c>
      <c r="U1486" s="39">
        <v>0</v>
      </c>
      <c r="V1486" s="39">
        <v>0</v>
      </c>
      <c r="W1486" s="39">
        <v>0</v>
      </c>
      <c r="X1486" s="39">
        <v>0</v>
      </c>
      <c r="Y1486" s="39">
        <v>238.42</v>
      </c>
      <c r="Z1486" s="39">
        <v>-0.04</v>
      </c>
      <c r="AA1486" s="39">
        <v>0</v>
      </c>
      <c r="AB1486" s="39">
        <v>0</v>
      </c>
      <c r="AC1486" s="39">
        <v>202.5</v>
      </c>
      <c r="AD1486" s="39">
        <v>0</v>
      </c>
      <c r="AE1486" s="39">
        <v>0</v>
      </c>
      <c r="AF1486" s="39">
        <v>0</v>
      </c>
      <c r="AG1486" s="39">
        <v>0</v>
      </c>
      <c r="AH1486" s="39"/>
      <c r="AI1486" s="39"/>
      <c r="AJ1486" s="40"/>
      <c r="AK1486" s="39">
        <f t="shared" si="115"/>
        <v>0</v>
      </c>
      <c r="AL1486" s="39">
        <f t="shared" si="118"/>
        <v>36.74</v>
      </c>
      <c r="AM1486" s="39">
        <f t="shared" si="119"/>
        <v>33.75</v>
      </c>
      <c r="AN1486" s="39">
        <f t="shared" si="116"/>
        <v>44.088000000000001</v>
      </c>
      <c r="AO1486" s="39">
        <f t="shared" si="117"/>
        <v>440.88</v>
      </c>
    </row>
    <row r="1487" spans="1:41" x14ac:dyDescent="0.3">
      <c r="A1487" s="20">
        <v>1000184670</v>
      </c>
      <c r="B1487" s="4" t="s">
        <v>147</v>
      </c>
      <c r="C1487" s="21"/>
      <c r="D1487" s="3"/>
      <c r="E1487" s="20">
        <v>1000184764</v>
      </c>
      <c r="F1487" s="4" t="s">
        <v>70</v>
      </c>
      <c r="G1487" s="21">
        <v>1000189823</v>
      </c>
      <c r="H1487" s="3" t="s">
        <v>73</v>
      </c>
      <c r="I1487" s="21">
        <v>1000189270</v>
      </c>
      <c r="J1487" s="3" t="s">
        <v>34</v>
      </c>
      <c r="K1487" s="20" t="s">
        <v>16</v>
      </c>
      <c r="L1487" s="39">
        <v>0</v>
      </c>
      <c r="M1487" s="39">
        <v>0</v>
      </c>
      <c r="N1487" s="39">
        <v>0</v>
      </c>
      <c r="O1487" s="39">
        <v>0</v>
      </c>
      <c r="P1487" s="39">
        <v>0</v>
      </c>
      <c r="Q1487" s="39">
        <v>0</v>
      </c>
      <c r="R1487" s="39">
        <v>0</v>
      </c>
      <c r="S1487" s="39">
        <v>0</v>
      </c>
      <c r="T1487" s="39">
        <v>0</v>
      </c>
      <c r="U1487" s="39">
        <v>0</v>
      </c>
      <c r="V1487" s="39">
        <v>0</v>
      </c>
      <c r="W1487" s="39">
        <v>0</v>
      </c>
      <c r="X1487" s="39">
        <v>0</v>
      </c>
      <c r="Y1487" s="39">
        <v>0</v>
      </c>
      <c r="Z1487" s="39">
        <v>0</v>
      </c>
      <c r="AA1487" s="39">
        <v>0</v>
      </c>
      <c r="AB1487" s="39">
        <v>0</v>
      </c>
      <c r="AC1487" s="39">
        <v>0</v>
      </c>
      <c r="AD1487" s="39">
        <v>0</v>
      </c>
      <c r="AE1487" s="39">
        <v>0</v>
      </c>
      <c r="AF1487" s="39">
        <v>0</v>
      </c>
      <c r="AG1487" s="39">
        <v>0</v>
      </c>
      <c r="AH1487" s="39"/>
      <c r="AI1487" s="39"/>
      <c r="AJ1487" s="40"/>
      <c r="AK1487" s="39">
        <f t="shared" si="115"/>
        <v>0</v>
      </c>
      <c r="AL1487" s="39">
        <f t="shared" si="118"/>
        <v>0</v>
      </c>
      <c r="AM1487" s="39">
        <f t="shared" si="119"/>
        <v>0</v>
      </c>
      <c r="AN1487" s="39">
        <f t="shared" si="116"/>
        <v>0</v>
      </c>
      <c r="AO1487" s="39">
        <f t="shared" si="117"/>
        <v>0</v>
      </c>
    </row>
    <row r="1488" spans="1:41" x14ac:dyDescent="0.3">
      <c r="A1488" s="20">
        <v>1000184670</v>
      </c>
      <c r="B1488" s="4" t="s">
        <v>147</v>
      </c>
      <c r="C1488" s="21"/>
      <c r="D1488" s="3"/>
      <c r="E1488" s="20">
        <v>1000184764</v>
      </c>
      <c r="F1488" s="4" t="s">
        <v>70</v>
      </c>
      <c r="G1488" s="21">
        <v>1000189823</v>
      </c>
      <c r="H1488" s="3" t="s">
        <v>73</v>
      </c>
      <c r="I1488" s="21">
        <v>1000189270</v>
      </c>
      <c r="J1488" s="3" t="s">
        <v>34</v>
      </c>
      <c r="K1488" s="20" t="s">
        <v>15</v>
      </c>
      <c r="L1488" s="39">
        <v>0</v>
      </c>
      <c r="M1488" s="39">
        <v>0</v>
      </c>
      <c r="N1488" s="39">
        <v>0</v>
      </c>
      <c r="O1488" s="39">
        <v>0</v>
      </c>
      <c r="P1488" s="39">
        <v>0</v>
      </c>
      <c r="Q1488" s="39">
        <v>0</v>
      </c>
      <c r="R1488" s="39">
        <v>0</v>
      </c>
      <c r="S1488" s="39">
        <v>0</v>
      </c>
      <c r="T1488" s="39">
        <v>0</v>
      </c>
      <c r="U1488" s="39">
        <v>0</v>
      </c>
      <c r="V1488" s="39">
        <v>0</v>
      </c>
      <c r="W1488" s="39">
        <v>0</v>
      </c>
      <c r="X1488" s="39">
        <v>0</v>
      </c>
      <c r="Y1488" s="39">
        <v>0</v>
      </c>
      <c r="Z1488" s="39">
        <v>0</v>
      </c>
      <c r="AA1488" s="39">
        <v>0</v>
      </c>
      <c r="AB1488" s="39">
        <v>0</v>
      </c>
      <c r="AC1488" s="39">
        <v>0</v>
      </c>
      <c r="AD1488" s="39">
        <v>0</v>
      </c>
      <c r="AE1488" s="39">
        <v>0</v>
      </c>
      <c r="AF1488" s="39">
        <v>0</v>
      </c>
      <c r="AG1488" s="39">
        <v>0</v>
      </c>
      <c r="AH1488" s="39"/>
      <c r="AI1488" s="39"/>
      <c r="AJ1488" s="40"/>
      <c r="AK1488" s="39">
        <f t="shared" si="115"/>
        <v>0</v>
      </c>
      <c r="AL1488" s="39">
        <f t="shared" si="118"/>
        <v>0</v>
      </c>
      <c r="AM1488" s="39">
        <f t="shared" si="119"/>
        <v>0</v>
      </c>
      <c r="AN1488" s="39">
        <f t="shared" si="116"/>
        <v>0</v>
      </c>
      <c r="AO1488" s="39">
        <f t="shared" si="117"/>
        <v>0</v>
      </c>
    </row>
    <row r="1489" spans="1:41" x14ac:dyDescent="0.3">
      <c r="A1489" s="20">
        <v>1000184670</v>
      </c>
      <c r="B1489" s="4" t="s">
        <v>147</v>
      </c>
      <c r="C1489" s="21"/>
      <c r="D1489" s="3"/>
      <c r="E1489" s="20">
        <v>1000184764</v>
      </c>
      <c r="F1489" s="4" t="s">
        <v>70</v>
      </c>
      <c r="G1489" s="21">
        <v>1000189823</v>
      </c>
      <c r="H1489" s="3" t="s">
        <v>73</v>
      </c>
      <c r="I1489" s="21">
        <v>1000189270</v>
      </c>
      <c r="J1489" s="3" t="s">
        <v>34</v>
      </c>
      <c r="K1489" s="20" t="s">
        <v>33</v>
      </c>
      <c r="L1489" s="39">
        <v>0</v>
      </c>
      <c r="M1489" s="39">
        <v>0</v>
      </c>
      <c r="N1489" s="39">
        <v>0</v>
      </c>
      <c r="O1489" s="39">
        <v>0</v>
      </c>
      <c r="P1489" s="39">
        <v>0</v>
      </c>
      <c r="Q1489" s="39">
        <v>0</v>
      </c>
      <c r="R1489" s="39">
        <v>0</v>
      </c>
      <c r="S1489" s="39">
        <v>0</v>
      </c>
      <c r="T1489" s="39">
        <v>0</v>
      </c>
      <c r="U1489" s="39">
        <v>0</v>
      </c>
      <c r="V1489" s="39">
        <v>0</v>
      </c>
      <c r="W1489" s="39">
        <v>0</v>
      </c>
      <c r="X1489" s="39">
        <v>0</v>
      </c>
      <c r="Y1489" s="39">
        <v>0</v>
      </c>
      <c r="Z1489" s="39">
        <v>0</v>
      </c>
      <c r="AA1489" s="39">
        <v>0</v>
      </c>
      <c r="AB1489" s="39">
        <v>0</v>
      </c>
      <c r="AC1489" s="39">
        <v>0</v>
      </c>
      <c r="AD1489" s="39">
        <v>0</v>
      </c>
      <c r="AE1489" s="39">
        <v>0</v>
      </c>
      <c r="AF1489" s="39">
        <v>0</v>
      </c>
      <c r="AG1489" s="39">
        <v>0</v>
      </c>
      <c r="AH1489" s="39"/>
      <c r="AI1489" s="39"/>
      <c r="AJ1489" s="40"/>
      <c r="AK1489" s="39">
        <f t="shared" si="115"/>
        <v>0</v>
      </c>
      <c r="AL1489" s="39">
        <f t="shared" si="118"/>
        <v>0</v>
      </c>
      <c r="AM1489" s="39">
        <f t="shared" si="119"/>
        <v>0</v>
      </c>
      <c r="AN1489" s="39">
        <f t="shared" si="116"/>
        <v>0</v>
      </c>
      <c r="AO1489" s="39">
        <f t="shared" si="117"/>
        <v>0</v>
      </c>
    </row>
    <row r="1490" spans="1:41" x14ac:dyDescent="0.3">
      <c r="A1490" s="20">
        <v>1000184670</v>
      </c>
      <c r="B1490" s="4" t="s">
        <v>147</v>
      </c>
      <c r="C1490" s="21"/>
      <c r="D1490" s="3"/>
      <c r="E1490" s="20">
        <v>1000184764</v>
      </c>
      <c r="F1490" s="4" t="s">
        <v>70</v>
      </c>
      <c r="G1490" s="21">
        <v>1000189823</v>
      </c>
      <c r="H1490" s="3" t="s">
        <v>73</v>
      </c>
      <c r="I1490" s="21">
        <v>1000189270</v>
      </c>
      <c r="J1490" s="3" t="s">
        <v>34</v>
      </c>
      <c r="K1490" s="20" t="s">
        <v>19</v>
      </c>
      <c r="L1490" s="39">
        <v>0</v>
      </c>
      <c r="M1490" s="39">
        <v>0</v>
      </c>
      <c r="N1490" s="39">
        <v>0</v>
      </c>
      <c r="O1490" s="39">
        <v>0</v>
      </c>
      <c r="P1490" s="39">
        <v>0</v>
      </c>
      <c r="Q1490" s="39">
        <v>0</v>
      </c>
      <c r="R1490" s="39">
        <v>0</v>
      </c>
      <c r="S1490" s="39">
        <v>0</v>
      </c>
      <c r="T1490" s="39">
        <v>0</v>
      </c>
      <c r="U1490" s="39">
        <v>0</v>
      </c>
      <c r="V1490" s="39">
        <v>0</v>
      </c>
      <c r="W1490" s="39">
        <v>0</v>
      </c>
      <c r="X1490" s="39">
        <v>0</v>
      </c>
      <c r="Y1490" s="39">
        <v>0</v>
      </c>
      <c r="Z1490" s="39">
        <v>0</v>
      </c>
      <c r="AA1490" s="39">
        <v>0</v>
      </c>
      <c r="AB1490" s="39">
        <v>0</v>
      </c>
      <c r="AC1490" s="39">
        <v>0</v>
      </c>
      <c r="AD1490" s="39">
        <v>0</v>
      </c>
      <c r="AE1490" s="39">
        <v>0</v>
      </c>
      <c r="AF1490" s="39">
        <v>0</v>
      </c>
      <c r="AG1490" s="39">
        <v>0</v>
      </c>
      <c r="AH1490" s="39"/>
      <c r="AI1490" s="39"/>
      <c r="AJ1490" s="40"/>
      <c r="AK1490" s="39">
        <f t="shared" si="115"/>
        <v>0</v>
      </c>
      <c r="AL1490" s="39">
        <f t="shared" si="118"/>
        <v>0</v>
      </c>
      <c r="AM1490" s="39">
        <f t="shared" si="119"/>
        <v>0</v>
      </c>
      <c r="AN1490" s="39">
        <f t="shared" si="116"/>
        <v>0</v>
      </c>
      <c r="AO1490" s="39">
        <f t="shared" si="117"/>
        <v>0</v>
      </c>
    </row>
    <row r="1491" spans="1:41" x14ac:dyDescent="0.3">
      <c r="A1491" s="20">
        <v>1000184670</v>
      </c>
      <c r="B1491" s="4" t="s">
        <v>147</v>
      </c>
      <c r="C1491" s="21"/>
      <c r="D1491" s="3"/>
      <c r="E1491" s="20">
        <v>1000184764</v>
      </c>
      <c r="F1491" s="4" t="s">
        <v>70</v>
      </c>
      <c r="G1491" s="21">
        <v>1000189823</v>
      </c>
      <c r="H1491" s="3" t="s">
        <v>73</v>
      </c>
      <c r="I1491" s="21">
        <v>1000189270</v>
      </c>
      <c r="J1491" s="3" t="s">
        <v>34</v>
      </c>
      <c r="K1491" s="20" t="s">
        <v>17</v>
      </c>
      <c r="L1491" s="39">
        <v>0</v>
      </c>
      <c r="M1491" s="39">
        <v>0</v>
      </c>
      <c r="N1491" s="39">
        <v>0</v>
      </c>
      <c r="O1491" s="39">
        <v>0</v>
      </c>
      <c r="P1491" s="39">
        <v>0</v>
      </c>
      <c r="Q1491" s="39">
        <v>0</v>
      </c>
      <c r="R1491" s="39">
        <v>0</v>
      </c>
      <c r="S1491" s="39">
        <v>0</v>
      </c>
      <c r="T1491" s="39">
        <v>0</v>
      </c>
      <c r="U1491" s="39">
        <v>0</v>
      </c>
      <c r="V1491" s="39">
        <v>0</v>
      </c>
      <c r="W1491" s="39">
        <v>0</v>
      </c>
      <c r="X1491" s="39">
        <v>0</v>
      </c>
      <c r="Y1491" s="39">
        <v>0</v>
      </c>
      <c r="Z1491" s="39">
        <v>0</v>
      </c>
      <c r="AA1491" s="39">
        <v>0</v>
      </c>
      <c r="AB1491" s="39">
        <v>0</v>
      </c>
      <c r="AC1491" s="39">
        <v>0</v>
      </c>
      <c r="AD1491" s="39">
        <v>0</v>
      </c>
      <c r="AE1491" s="39">
        <v>0</v>
      </c>
      <c r="AF1491" s="39">
        <v>0</v>
      </c>
      <c r="AG1491" s="39">
        <v>0</v>
      </c>
      <c r="AH1491" s="39"/>
      <c r="AI1491" s="39"/>
      <c r="AJ1491" s="40"/>
      <c r="AK1491" s="39">
        <f t="shared" si="115"/>
        <v>0</v>
      </c>
      <c r="AL1491" s="39">
        <f t="shared" si="118"/>
        <v>0</v>
      </c>
      <c r="AM1491" s="39">
        <f t="shared" si="119"/>
        <v>0</v>
      </c>
      <c r="AN1491" s="39">
        <f t="shared" si="116"/>
        <v>0</v>
      </c>
      <c r="AO1491" s="39">
        <f t="shared" si="117"/>
        <v>0</v>
      </c>
    </row>
    <row r="1492" spans="1:41" x14ac:dyDescent="0.3">
      <c r="A1492" s="20">
        <v>1000184670</v>
      </c>
      <c r="B1492" s="4" t="s">
        <v>147</v>
      </c>
      <c r="C1492" s="21"/>
      <c r="D1492" s="3"/>
      <c r="E1492" s="20">
        <v>1000184764</v>
      </c>
      <c r="F1492" s="4" t="s">
        <v>70</v>
      </c>
      <c r="G1492" s="21">
        <v>1000189823</v>
      </c>
      <c r="H1492" s="3" t="s">
        <v>73</v>
      </c>
      <c r="I1492" s="21">
        <v>1000189270</v>
      </c>
      <c r="J1492" s="3" t="s">
        <v>34</v>
      </c>
      <c r="K1492" s="20" t="s">
        <v>24</v>
      </c>
      <c r="L1492" s="39">
        <v>0</v>
      </c>
      <c r="M1492" s="39">
        <v>0</v>
      </c>
      <c r="N1492" s="39">
        <v>0</v>
      </c>
      <c r="O1492" s="39">
        <v>0</v>
      </c>
      <c r="P1492" s="39">
        <v>0</v>
      </c>
      <c r="Q1492" s="39">
        <v>0</v>
      </c>
      <c r="R1492" s="39">
        <v>0</v>
      </c>
      <c r="S1492" s="39">
        <v>0</v>
      </c>
      <c r="T1492" s="39">
        <v>0</v>
      </c>
      <c r="U1492" s="39">
        <v>0</v>
      </c>
      <c r="V1492" s="39">
        <v>0</v>
      </c>
      <c r="W1492" s="39">
        <v>0</v>
      </c>
      <c r="X1492" s="39">
        <v>0</v>
      </c>
      <c r="Y1492" s="39">
        <v>0</v>
      </c>
      <c r="Z1492" s="39">
        <v>0</v>
      </c>
      <c r="AA1492" s="39">
        <v>0</v>
      </c>
      <c r="AB1492" s="39">
        <v>0</v>
      </c>
      <c r="AC1492" s="39">
        <v>0</v>
      </c>
      <c r="AD1492" s="39">
        <v>0</v>
      </c>
      <c r="AE1492" s="39">
        <v>0</v>
      </c>
      <c r="AF1492" s="39">
        <v>0</v>
      </c>
      <c r="AG1492" s="39">
        <v>0</v>
      </c>
      <c r="AH1492" s="39"/>
      <c r="AI1492" s="39"/>
      <c r="AJ1492" s="40"/>
      <c r="AK1492" s="39">
        <f t="shared" si="115"/>
        <v>0</v>
      </c>
      <c r="AL1492" s="39">
        <f t="shared" si="118"/>
        <v>0</v>
      </c>
      <c r="AM1492" s="39">
        <f t="shared" si="119"/>
        <v>0</v>
      </c>
      <c r="AN1492" s="39">
        <f t="shared" si="116"/>
        <v>0</v>
      </c>
      <c r="AO1492" s="39">
        <f t="shared" si="117"/>
        <v>0</v>
      </c>
    </row>
    <row r="1493" spans="1:41" x14ac:dyDescent="0.3">
      <c r="A1493" s="20">
        <v>1000184670</v>
      </c>
      <c r="B1493" s="4" t="s">
        <v>147</v>
      </c>
      <c r="C1493" s="21"/>
      <c r="D1493" s="3"/>
      <c r="E1493" s="20">
        <v>1000184764</v>
      </c>
      <c r="F1493" s="4" t="s">
        <v>70</v>
      </c>
      <c r="G1493" s="21">
        <v>1000189823</v>
      </c>
      <c r="H1493" s="3" t="s">
        <v>73</v>
      </c>
      <c r="I1493" s="21">
        <v>1000189270</v>
      </c>
      <c r="J1493" s="3" t="s">
        <v>34</v>
      </c>
      <c r="K1493" s="20" t="s">
        <v>18</v>
      </c>
      <c r="L1493" s="39">
        <v>0</v>
      </c>
      <c r="M1493" s="39">
        <v>0</v>
      </c>
      <c r="N1493" s="39">
        <v>0</v>
      </c>
      <c r="O1493" s="39">
        <v>0</v>
      </c>
      <c r="P1493" s="39">
        <v>0</v>
      </c>
      <c r="Q1493" s="39">
        <v>0</v>
      </c>
      <c r="R1493" s="39">
        <v>0</v>
      </c>
      <c r="S1493" s="39">
        <v>0</v>
      </c>
      <c r="T1493" s="39">
        <v>0</v>
      </c>
      <c r="U1493" s="39">
        <v>0</v>
      </c>
      <c r="V1493" s="39">
        <v>0</v>
      </c>
      <c r="W1493" s="39">
        <v>0</v>
      </c>
      <c r="X1493" s="39">
        <v>0</v>
      </c>
      <c r="Y1493" s="39">
        <v>0</v>
      </c>
      <c r="Z1493" s="39">
        <v>0</v>
      </c>
      <c r="AA1493" s="39">
        <v>0</v>
      </c>
      <c r="AB1493" s="39">
        <v>0</v>
      </c>
      <c r="AC1493" s="39">
        <v>0</v>
      </c>
      <c r="AD1493" s="39">
        <v>0</v>
      </c>
      <c r="AE1493" s="39">
        <v>0</v>
      </c>
      <c r="AF1493" s="39">
        <v>0</v>
      </c>
      <c r="AG1493" s="39">
        <v>0</v>
      </c>
      <c r="AH1493" s="39"/>
      <c r="AI1493" s="39"/>
      <c r="AJ1493" s="40"/>
      <c r="AK1493" s="39">
        <f t="shared" si="115"/>
        <v>0</v>
      </c>
      <c r="AL1493" s="39">
        <f t="shared" si="118"/>
        <v>0</v>
      </c>
      <c r="AM1493" s="39">
        <f t="shared" si="119"/>
        <v>0</v>
      </c>
      <c r="AN1493" s="39">
        <f t="shared" si="116"/>
        <v>0</v>
      </c>
      <c r="AO1493" s="39">
        <f t="shared" si="117"/>
        <v>0</v>
      </c>
    </row>
    <row r="1494" spans="1:41" x14ac:dyDescent="0.3">
      <c r="A1494" s="20">
        <v>1000184670</v>
      </c>
      <c r="B1494" s="4" t="s">
        <v>147</v>
      </c>
      <c r="C1494" s="21"/>
      <c r="D1494" s="3"/>
      <c r="E1494" s="20">
        <v>1000184764</v>
      </c>
      <c r="F1494" s="4" t="s">
        <v>70</v>
      </c>
      <c r="G1494" s="21">
        <v>1000189823</v>
      </c>
      <c r="H1494" s="3" t="s">
        <v>73</v>
      </c>
      <c r="I1494" s="21">
        <v>1000189270</v>
      </c>
      <c r="J1494" s="3" t="s">
        <v>34</v>
      </c>
      <c r="K1494" s="20" t="s">
        <v>29</v>
      </c>
      <c r="L1494" s="39">
        <v>0</v>
      </c>
      <c r="M1494" s="39">
        <v>0</v>
      </c>
      <c r="N1494" s="39">
        <v>0</v>
      </c>
      <c r="O1494" s="39">
        <v>0</v>
      </c>
      <c r="P1494" s="39">
        <v>0</v>
      </c>
      <c r="Q1494" s="39">
        <v>0</v>
      </c>
      <c r="R1494" s="39">
        <v>0</v>
      </c>
      <c r="S1494" s="39">
        <v>0</v>
      </c>
      <c r="T1494" s="39">
        <v>0</v>
      </c>
      <c r="U1494" s="39">
        <v>0</v>
      </c>
      <c r="V1494" s="39">
        <v>0</v>
      </c>
      <c r="W1494" s="39">
        <v>0</v>
      </c>
      <c r="X1494" s="39">
        <v>0</v>
      </c>
      <c r="Y1494" s="39">
        <v>0</v>
      </c>
      <c r="Z1494" s="39">
        <v>0</v>
      </c>
      <c r="AA1494" s="39">
        <v>0</v>
      </c>
      <c r="AB1494" s="39">
        <v>0</v>
      </c>
      <c r="AC1494" s="39">
        <v>69</v>
      </c>
      <c r="AD1494" s="39">
        <v>0</v>
      </c>
      <c r="AE1494" s="39">
        <v>0</v>
      </c>
      <c r="AF1494" s="39">
        <v>0</v>
      </c>
      <c r="AG1494" s="39">
        <v>692</v>
      </c>
      <c r="AH1494" s="39"/>
      <c r="AI1494" s="39"/>
      <c r="AJ1494" s="40"/>
      <c r="AK1494" s="39">
        <f t="shared" si="115"/>
        <v>0</v>
      </c>
      <c r="AL1494" s="39">
        <f t="shared" si="118"/>
        <v>63.416666666666664</v>
      </c>
      <c r="AM1494" s="39">
        <f t="shared" si="119"/>
        <v>126.83333333333333</v>
      </c>
      <c r="AN1494" s="39">
        <f t="shared" si="116"/>
        <v>76.099999999999994</v>
      </c>
      <c r="AO1494" s="39">
        <f t="shared" si="117"/>
        <v>761</v>
      </c>
    </row>
    <row r="1495" spans="1:41" x14ac:dyDescent="0.3">
      <c r="A1495" s="20">
        <v>1000184670</v>
      </c>
      <c r="B1495" s="4" t="s">
        <v>147</v>
      </c>
      <c r="C1495" s="21"/>
      <c r="D1495" s="3"/>
      <c r="E1495" s="20">
        <v>1000184764</v>
      </c>
      <c r="F1495" s="4" t="s">
        <v>70</v>
      </c>
      <c r="G1495" s="21">
        <v>1000189823</v>
      </c>
      <c r="H1495" s="3" t="s">
        <v>73</v>
      </c>
      <c r="I1495" s="21">
        <v>1000189270</v>
      </c>
      <c r="J1495" s="3" t="s">
        <v>34</v>
      </c>
      <c r="K1495" s="20" t="s">
        <v>21</v>
      </c>
      <c r="L1495" s="39">
        <v>0</v>
      </c>
      <c r="M1495" s="39">
        <v>0</v>
      </c>
      <c r="N1495" s="39">
        <v>0</v>
      </c>
      <c r="O1495" s="39">
        <v>0</v>
      </c>
      <c r="P1495" s="39">
        <v>0</v>
      </c>
      <c r="Q1495" s="39">
        <v>0</v>
      </c>
      <c r="R1495" s="39">
        <v>0</v>
      </c>
      <c r="S1495" s="39">
        <v>0</v>
      </c>
      <c r="T1495" s="39">
        <v>0</v>
      </c>
      <c r="U1495" s="39">
        <v>0</v>
      </c>
      <c r="V1495" s="39">
        <v>0</v>
      </c>
      <c r="W1495" s="39">
        <v>0</v>
      </c>
      <c r="X1495" s="39">
        <v>0</v>
      </c>
      <c r="Y1495" s="39">
        <v>0</v>
      </c>
      <c r="Z1495" s="39">
        <v>0</v>
      </c>
      <c r="AA1495" s="39">
        <v>0</v>
      </c>
      <c r="AB1495" s="39">
        <v>0</v>
      </c>
      <c r="AC1495" s="39">
        <v>0</v>
      </c>
      <c r="AD1495" s="39">
        <v>0</v>
      </c>
      <c r="AE1495" s="39">
        <v>0</v>
      </c>
      <c r="AF1495" s="39">
        <v>0</v>
      </c>
      <c r="AG1495" s="39">
        <v>0</v>
      </c>
      <c r="AH1495" s="39"/>
      <c r="AI1495" s="39"/>
      <c r="AJ1495" s="40"/>
      <c r="AK1495" s="39">
        <f t="shared" si="115"/>
        <v>0</v>
      </c>
      <c r="AL1495" s="39">
        <f t="shared" si="118"/>
        <v>0</v>
      </c>
      <c r="AM1495" s="39">
        <f t="shared" si="119"/>
        <v>0</v>
      </c>
      <c r="AN1495" s="39">
        <f t="shared" si="116"/>
        <v>0</v>
      </c>
      <c r="AO1495" s="39">
        <f t="shared" si="117"/>
        <v>0</v>
      </c>
    </row>
    <row r="1496" spans="1:41" x14ac:dyDescent="0.3">
      <c r="A1496" s="20">
        <v>1000184670</v>
      </c>
      <c r="B1496" s="4" t="s">
        <v>147</v>
      </c>
      <c r="C1496" s="21"/>
      <c r="D1496" s="3"/>
      <c r="E1496" s="20">
        <v>1000184764</v>
      </c>
      <c r="F1496" s="4" t="s">
        <v>70</v>
      </c>
      <c r="G1496" s="21">
        <v>1000189823</v>
      </c>
      <c r="H1496" s="3" t="s">
        <v>73</v>
      </c>
      <c r="I1496" s="21">
        <v>1000189270</v>
      </c>
      <c r="J1496" s="3" t="s">
        <v>34</v>
      </c>
      <c r="K1496" s="20" t="s">
        <v>20</v>
      </c>
      <c r="L1496" s="39">
        <v>0</v>
      </c>
      <c r="M1496" s="39">
        <v>0</v>
      </c>
      <c r="N1496" s="39">
        <v>0</v>
      </c>
      <c r="O1496" s="39">
        <v>0</v>
      </c>
      <c r="P1496" s="39">
        <v>0</v>
      </c>
      <c r="Q1496" s="39">
        <v>0</v>
      </c>
      <c r="R1496" s="39">
        <v>0</v>
      </c>
      <c r="S1496" s="39">
        <v>0</v>
      </c>
      <c r="T1496" s="39">
        <v>0</v>
      </c>
      <c r="U1496" s="39">
        <v>0</v>
      </c>
      <c r="V1496" s="39">
        <v>0</v>
      </c>
      <c r="W1496" s="39">
        <v>0</v>
      </c>
      <c r="X1496" s="39">
        <v>0</v>
      </c>
      <c r="Y1496" s="39">
        <v>0</v>
      </c>
      <c r="Z1496" s="39">
        <v>0</v>
      </c>
      <c r="AA1496" s="39">
        <v>0</v>
      </c>
      <c r="AB1496" s="39">
        <v>0</v>
      </c>
      <c r="AC1496" s="39">
        <v>0</v>
      </c>
      <c r="AD1496" s="39">
        <v>0</v>
      </c>
      <c r="AE1496" s="39">
        <v>0</v>
      </c>
      <c r="AF1496" s="39">
        <v>0</v>
      </c>
      <c r="AG1496" s="39">
        <v>0</v>
      </c>
      <c r="AH1496" s="39"/>
      <c r="AI1496" s="39"/>
      <c r="AJ1496" s="40"/>
      <c r="AK1496" s="39">
        <f t="shared" si="115"/>
        <v>0</v>
      </c>
      <c r="AL1496" s="39">
        <f t="shared" si="118"/>
        <v>0</v>
      </c>
      <c r="AM1496" s="39">
        <f t="shared" si="119"/>
        <v>0</v>
      </c>
      <c r="AN1496" s="39">
        <f t="shared" si="116"/>
        <v>0</v>
      </c>
      <c r="AO1496" s="39">
        <f t="shared" si="117"/>
        <v>0</v>
      </c>
    </row>
    <row r="1497" spans="1:41" x14ac:dyDescent="0.3">
      <c r="A1497" s="20">
        <v>1000184670</v>
      </c>
      <c r="B1497" s="4" t="s">
        <v>147</v>
      </c>
      <c r="C1497" s="21"/>
      <c r="D1497" s="3"/>
      <c r="E1497" s="20">
        <v>1000184764</v>
      </c>
      <c r="F1497" s="4" t="s">
        <v>70</v>
      </c>
      <c r="G1497" s="21">
        <v>1000189823</v>
      </c>
      <c r="H1497" s="3" t="s">
        <v>73</v>
      </c>
      <c r="I1497" s="21">
        <v>1000189270</v>
      </c>
      <c r="J1497" s="3" t="s">
        <v>34</v>
      </c>
      <c r="K1497" s="20" t="s">
        <v>22</v>
      </c>
      <c r="L1497" s="39">
        <v>0</v>
      </c>
      <c r="M1497" s="39">
        <v>0</v>
      </c>
      <c r="N1497" s="39">
        <v>0</v>
      </c>
      <c r="O1497" s="39">
        <v>0</v>
      </c>
      <c r="P1497" s="39">
        <v>0</v>
      </c>
      <c r="Q1497" s="39">
        <v>0</v>
      </c>
      <c r="R1497" s="39">
        <v>0</v>
      </c>
      <c r="S1497" s="39">
        <v>0</v>
      </c>
      <c r="T1497" s="39">
        <v>0</v>
      </c>
      <c r="U1497" s="39">
        <v>0</v>
      </c>
      <c r="V1497" s="39">
        <v>0</v>
      </c>
      <c r="W1497" s="39">
        <v>0</v>
      </c>
      <c r="X1497" s="39">
        <v>0</v>
      </c>
      <c r="Y1497" s="39">
        <v>0</v>
      </c>
      <c r="Z1497" s="39">
        <v>0</v>
      </c>
      <c r="AA1497" s="39">
        <v>0</v>
      </c>
      <c r="AB1497" s="39">
        <v>0</v>
      </c>
      <c r="AC1497" s="39">
        <v>0</v>
      </c>
      <c r="AD1497" s="39">
        <v>0</v>
      </c>
      <c r="AE1497" s="39">
        <v>0</v>
      </c>
      <c r="AF1497" s="39">
        <v>0</v>
      </c>
      <c r="AG1497" s="39">
        <v>0</v>
      </c>
      <c r="AH1497" s="39"/>
      <c r="AI1497" s="39"/>
      <c r="AJ1497" s="40"/>
      <c r="AK1497" s="39">
        <f t="shared" si="115"/>
        <v>0</v>
      </c>
      <c r="AL1497" s="39">
        <f t="shared" si="118"/>
        <v>0</v>
      </c>
      <c r="AM1497" s="39">
        <f t="shared" si="119"/>
        <v>0</v>
      </c>
      <c r="AN1497" s="39">
        <f t="shared" si="116"/>
        <v>0</v>
      </c>
      <c r="AO1497" s="39">
        <f t="shared" si="117"/>
        <v>0</v>
      </c>
    </row>
    <row r="1498" spans="1:41" x14ac:dyDescent="0.3">
      <c r="A1498" s="20">
        <v>1000184670</v>
      </c>
      <c r="B1498" s="4" t="s">
        <v>147</v>
      </c>
      <c r="C1498" s="21"/>
      <c r="D1498" s="3"/>
      <c r="E1498" s="20">
        <v>1000184764</v>
      </c>
      <c r="F1498" s="4" t="s">
        <v>70</v>
      </c>
      <c r="G1498" s="21">
        <v>1000189823</v>
      </c>
      <c r="H1498" s="3" t="s">
        <v>73</v>
      </c>
      <c r="I1498" s="21">
        <v>1000189270</v>
      </c>
      <c r="J1498" s="3" t="s">
        <v>34</v>
      </c>
      <c r="K1498" s="20" t="s">
        <v>23</v>
      </c>
      <c r="L1498" s="39">
        <v>0</v>
      </c>
      <c r="M1498" s="39">
        <v>0</v>
      </c>
      <c r="N1498" s="39">
        <v>0</v>
      </c>
      <c r="O1498" s="39">
        <v>0</v>
      </c>
      <c r="P1498" s="39">
        <v>0</v>
      </c>
      <c r="Q1498" s="39">
        <v>0</v>
      </c>
      <c r="R1498" s="39">
        <v>0</v>
      </c>
      <c r="S1498" s="39">
        <v>0</v>
      </c>
      <c r="T1498" s="39">
        <v>0</v>
      </c>
      <c r="U1498" s="39">
        <v>0</v>
      </c>
      <c r="V1498" s="39">
        <v>0</v>
      </c>
      <c r="W1498" s="39">
        <v>0</v>
      </c>
      <c r="X1498" s="39">
        <v>0</v>
      </c>
      <c r="Y1498" s="39">
        <v>0</v>
      </c>
      <c r="Z1498" s="39">
        <v>0</v>
      </c>
      <c r="AA1498" s="39">
        <v>0</v>
      </c>
      <c r="AB1498" s="39">
        <v>0</v>
      </c>
      <c r="AC1498" s="39">
        <v>0</v>
      </c>
      <c r="AD1498" s="39">
        <v>0</v>
      </c>
      <c r="AE1498" s="39">
        <v>0</v>
      </c>
      <c r="AF1498" s="39">
        <v>0</v>
      </c>
      <c r="AG1498" s="39">
        <v>0</v>
      </c>
      <c r="AH1498" s="39"/>
      <c r="AI1498" s="39"/>
      <c r="AJ1498" s="40"/>
      <c r="AK1498" s="39">
        <f t="shared" si="115"/>
        <v>0</v>
      </c>
      <c r="AL1498" s="39">
        <f t="shared" si="118"/>
        <v>0</v>
      </c>
      <c r="AM1498" s="39">
        <f t="shared" si="119"/>
        <v>0</v>
      </c>
      <c r="AN1498" s="39">
        <f t="shared" si="116"/>
        <v>0</v>
      </c>
      <c r="AO1498" s="39">
        <f t="shared" si="117"/>
        <v>0</v>
      </c>
    </row>
    <row r="1499" spans="1:41" x14ac:dyDescent="0.3">
      <c r="A1499" s="20">
        <v>1000184670</v>
      </c>
      <c r="B1499" s="4" t="s">
        <v>147</v>
      </c>
      <c r="C1499" s="21"/>
      <c r="D1499" s="3"/>
      <c r="E1499" s="20">
        <v>1000184764</v>
      </c>
      <c r="F1499" s="4" t="s">
        <v>70</v>
      </c>
      <c r="G1499" s="21">
        <v>1000189823</v>
      </c>
      <c r="H1499" s="3" t="s">
        <v>73</v>
      </c>
      <c r="I1499" s="21">
        <v>1000189270</v>
      </c>
      <c r="J1499" s="3" t="s">
        <v>34</v>
      </c>
      <c r="K1499" s="20" t="s">
        <v>28</v>
      </c>
      <c r="L1499" s="39">
        <v>0</v>
      </c>
      <c r="M1499" s="39">
        <v>0</v>
      </c>
      <c r="N1499" s="39">
        <v>0</v>
      </c>
      <c r="O1499" s="39">
        <v>0</v>
      </c>
      <c r="P1499" s="39">
        <v>0</v>
      </c>
      <c r="Q1499" s="39">
        <v>0</v>
      </c>
      <c r="R1499" s="39">
        <v>0</v>
      </c>
      <c r="S1499" s="39">
        <v>0</v>
      </c>
      <c r="T1499" s="39">
        <v>0</v>
      </c>
      <c r="U1499" s="39">
        <v>0</v>
      </c>
      <c r="V1499" s="39">
        <v>0</v>
      </c>
      <c r="W1499" s="39">
        <v>0</v>
      </c>
      <c r="X1499" s="39">
        <v>0</v>
      </c>
      <c r="Y1499" s="39">
        <v>0</v>
      </c>
      <c r="Z1499" s="39">
        <v>0</v>
      </c>
      <c r="AA1499" s="39">
        <v>0</v>
      </c>
      <c r="AB1499" s="39">
        <v>0</v>
      </c>
      <c r="AC1499" s="39">
        <v>0</v>
      </c>
      <c r="AD1499" s="39">
        <v>0</v>
      </c>
      <c r="AE1499" s="39">
        <v>0</v>
      </c>
      <c r="AF1499" s="39">
        <v>0</v>
      </c>
      <c r="AG1499" s="39">
        <v>0</v>
      </c>
      <c r="AH1499" s="39"/>
      <c r="AI1499" s="39"/>
      <c r="AJ1499" s="40"/>
      <c r="AK1499" s="39">
        <f t="shared" si="115"/>
        <v>0</v>
      </c>
      <c r="AL1499" s="39">
        <f t="shared" si="118"/>
        <v>0</v>
      </c>
      <c r="AM1499" s="39">
        <f t="shared" si="119"/>
        <v>0</v>
      </c>
      <c r="AN1499" s="39">
        <f t="shared" si="116"/>
        <v>0</v>
      </c>
      <c r="AO1499" s="39">
        <f t="shared" si="117"/>
        <v>0</v>
      </c>
    </row>
    <row r="1500" spans="1:41" x14ac:dyDescent="0.3">
      <c r="A1500" s="20">
        <v>1000184670</v>
      </c>
      <c r="B1500" s="4" t="s">
        <v>147</v>
      </c>
      <c r="C1500" s="21"/>
      <c r="D1500" s="3"/>
      <c r="E1500" s="20">
        <v>1000184764</v>
      </c>
      <c r="F1500" s="4" t="s">
        <v>70</v>
      </c>
      <c r="G1500" s="21">
        <v>1000189823</v>
      </c>
      <c r="H1500" s="3" t="s">
        <v>73</v>
      </c>
      <c r="I1500" s="21">
        <v>1000189270</v>
      </c>
      <c r="J1500" s="3" t="s">
        <v>34</v>
      </c>
      <c r="K1500" s="20" t="s">
        <v>26</v>
      </c>
      <c r="L1500" s="39">
        <v>0</v>
      </c>
      <c r="M1500" s="39">
        <v>0</v>
      </c>
      <c r="N1500" s="39">
        <v>0</v>
      </c>
      <c r="O1500" s="39">
        <v>0</v>
      </c>
      <c r="P1500" s="39">
        <v>0</v>
      </c>
      <c r="Q1500" s="39">
        <v>0</v>
      </c>
      <c r="R1500" s="39">
        <v>0</v>
      </c>
      <c r="S1500" s="39">
        <v>0</v>
      </c>
      <c r="T1500" s="39">
        <v>0</v>
      </c>
      <c r="U1500" s="39">
        <v>0</v>
      </c>
      <c r="V1500" s="39">
        <v>0</v>
      </c>
      <c r="W1500" s="39">
        <v>0</v>
      </c>
      <c r="X1500" s="39">
        <v>0</v>
      </c>
      <c r="Y1500" s="39">
        <v>0</v>
      </c>
      <c r="Z1500" s="39">
        <v>0</v>
      </c>
      <c r="AA1500" s="39">
        <v>0</v>
      </c>
      <c r="AB1500" s="39">
        <v>0</v>
      </c>
      <c r="AC1500" s="39">
        <v>0</v>
      </c>
      <c r="AD1500" s="39">
        <v>0</v>
      </c>
      <c r="AE1500" s="39">
        <v>0</v>
      </c>
      <c r="AF1500" s="39">
        <v>0</v>
      </c>
      <c r="AG1500" s="39">
        <v>0</v>
      </c>
      <c r="AH1500" s="39"/>
      <c r="AI1500" s="39"/>
      <c r="AJ1500" s="40"/>
      <c r="AK1500" s="39">
        <f t="shared" si="115"/>
        <v>0</v>
      </c>
      <c r="AL1500" s="39">
        <f t="shared" si="118"/>
        <v>0</v>
      </c>
      <c r="AM1500" s="39">
        <f t="shared" si="119"/>
        <v>0</v>
      </c>
      <c r="AN1500" s="39">
        <f t="shared" si="116"/>
        <v>0</v>
      </c>
      <c r="AO1500" s="39">
        <f t="shared" si="117"/>
        <v>0</v>
      </c>
    </row>
    <row r="1501" spans="1:41" x14ac:dyDescent="0.3">
      <c r="A1501" s="20">
        <v>1000184670</v>
      </c>
      <c r="B1501" s="4" t="s">
        <v>147</v>
      </c>
      <c r="C1501" s="21"/>
      <c r="D1501" s="3"/>
      <c r="E1501" s="20">
        <v>1000184764</v>
      </c>
      <c r="F1501" s="4" t="s">
        <v>70</v>
      </c>
      <c r="G1501" s="21">
        <v>1000189823</v>
      </c>
      <c r="H1501" s="3" t="s">
        <v>73</v>
      </c>
      <c r="I1501" s="21">
        <v>1000189270</v>
      </c>
      <c r="J1501" s="3" t="s">
        <v>34</v>
      </c>
      <c r="K1501" s="20" t="s">
        <v>27</v>
      </c>
      <c r="L1501" s="39">
        <v>0</v>
      </c>
      <c r="M1501" s="39">
        <v>0</v>
      </c>
      <c r="N1501" s="39">
        <v>0</v>
      </c>
      <c r="O1501" s="39">
        <v>0</v>
      </c>
      <c r="P1501" s="39">
        <v>0</v>
      </c>
      <c r="Q1501" s="39">
        <v>0</v>
      </c>
      <c r="R1501" s="39">
        <v>0</v>
      </c>
      <c r="S1501" s="39">
        <v>0</v>
      </c>
      <c r="T1501" s="39">
        <v>0</v>
      </c>
      <c r="U1501" s="39">
        <v>0</v>
      </c>
      <c r="V1501" s="39">
        <v>0</v>
      </c>
      <c r="W1501" s="39">
        <v>0</v>
      </c>
      <c r="X1501" s="39">
        <v>0</v>
      </c>
      <c r="Y1501" s="39">
        <v>0</v>
      </c>
      <c r="Z1501" s="39">
        <v>0</v>
      </c>
      <c r="AA1501" s="39">
        <v>0</v>
      </c>
      <c r="AB1501" s="39">
        <v>0</v>
      </c>
      <c r="AC1501" s="39">
        <v>0</v>
      </c>
      <c r="AD1501" s="39">
        <v>0</v>
      </c>
      <c r="AE1501" s="39">
        <v>0</v>
      </c>
      <c r="AF1501" s="39">
        <v>0</v>
      </c>
      <c r="AG1501" s="39">
        <v>0</v>
      </c>
      <c r="AH1501" s="39"/>
      <c r="AI1501" s="39"/>
      <c r="AJ1501" s="40"/>
      <c r="AK1501" s="39">
        <f t="shared" si="115"/>
        <v>0</v>
      </c>
      <c r="AL1501" s="39">
        <f t="shared" si="118"/>
        <v>0</v>
      </c>
      <c r="AM1501" s="39">
        <f t="shared" si="119"/>
        <v>0</v>
      </c>
      <c r="AN1501" s="39">
        <f t="shared" si="116"/>
        <v>0</v>
      </c>
      <c r="AO1501" s="39">
        <f t="shared" si="117"/>
        <v>0</v>
      </c>
    </row>
    <row r="1502" spans="1:41" x14ac:dyDescent="0.3">
      <c r="A1502" s="20">
        <v>1000184670</v>
      </c>
      <c r="B1502" s="4" t="s">
        <v>147</v>
      </c>
      <c r="C1502" s="21"/>
      <c r="D1502" s="3"/>
      <c r="E1502" s="20">
        <v>1000184764</v>
      </c>
      <c r="F1502" s="4" t="s">
        <v>70</v>
      </c>
      <c r="G1502" s="21">
        <v>1000189823</v>
      </c>
      <c r="H1502" s="3" t="s">
        <v>73</v>
      </c>
      <c r="I1502" s="21">
        <v>1000189270</v>
      </c>
      <c r="J1502" s="3" t="s">
        <v>34</v>
      </c>
      <c r="K1502" s="20" t="s">
        <v>25</v>
      </c>
      <c r="L1502" s="39">
        <v>0</v>
      </c>
      <c r="M1502" s="39">
        <v>0</v>
      </c>
      <c r="N1502" s="39">
        <v>0</v>
      </c>
      <c r="O1502" s="39">
        <v>0</v>
      </c>
      <c r="P1502" s="39">
        <v>0</v>
      </c>
      <c r="Q1502" s="39">
        <v>0</v>
      </c>
      <c r="R1502" s="39">
        <v>0</v>
      </c>
      <c r="S1502" s="39">
        <v>0</v>
      </c>
      <c r="T1502" s="39">
        <v>0</v>
      </c>
      <c r="U1502" s="39">
        <v>0</v>
      </c>
      <c r="V1502" s="39">
        <v>0</v>
      </c>
      <c r="W1502" s="39">
        <v>0</v>
      </c>
      <c r="X1502" s="39">
        <v>0</v>
      </c>
      <c r="Y1502" s="39">
        <v>45</v>
      </c>
      <c r="Z1502" s="39">
        <v>0</v>
      </c>
      <c r="AA1502" s="39">
        <v>0</v>
      </c>
      <c r="AB1502" s="39">
        <v>0</v>
      </c>
      <c r="AC1502" s="39">
        <v>0</v>
      </c>
      <c r="AD1502" s="39">
        <v>0</v>
      </c>
      <c r="AE1502" s="39">
        <v>0</v>
      </c>
      <c r="AF1502" s="39">
        <v>0</v>
      </c>
      <c r="AG1502" s="39">
        <v>0</v>
      </c>
      <c r="AH1502" s="39"/>
      <c r="AI1502" s="39"/>
      <c r="AJ1502" s="40"/>
      <c r="AK1502" s="39">
        <f t="shared" si="115"/>
        <v>0</v>
      </c>
      <c r="AL1502" s="39">
        <f t="shared" si="118"/>
        <v>3.75</v>
      </c>
      <c r="AM1502" s="39">
        <f t="shared" si="119"/>
        <v>0</v>
      </c>
      <c r="AN1502" s="39">
        <f t="shared" si="116"/>
        <v>4.5</v>
      </c>
      <c r="AO1502" s="39">
        <f t="shared" si="117"/>
        <v>45</v>
      </c>
    </row>
    <row r="1503" spans="1:41" x14ac:dyDescent="0.3">
      <c r="A1503" s="20">
        <v>1000184670</v>
      </c>
      <c r="B1503" s="4" t="s">
        <v>147</v>
      </c>
      <c r="C1503" s="21"/>
      <c r="D1503" s="3"/>
      <c r="E1503" s="20">
        <v>1000184756</v>
      </c>
      <c r="F1503" s="4" t="s">
        <v>53</v>
      </c>
      <c r="G1503" s="21">
        <v>1000189824</v>
      </c>
      <c r="H1503" s="3" t="s">
        <v>100</v>
      </c>
      <c r="I1503" s="21">
        <v>1000189270</v>
      </c>
      <c r="J1503" s="3" t="s">
        <v>34</v>
      </c>
      <c r="K1503" s="20" t="s">
        <v>124</v>
      </c>
      <c r="L1503" s="39">
        <v>0</v>
      </c>
      <c r="M1503" s="39">
        <v>0</v>
      </c>
      <c r="N1503" s="39">
        <v>0</v>
      </c>
      <c r="O1503" s="39">
        <v>0</v>
      </c>
      <c r="P1503" s="39">
        <v>0</v>
      </c>
      <c r="Q1503" s="39">
        <v>0</v>
      </c>
      <c r="R1503" s="39">
        <v>0</v>
      </c>
      <c r="S1503" s="39">
        <v>0</v>
      </c>
      <c r="T1503" s="39">
        <v>0</v>
      </c>
      <c r="U1503" s="39">
        <v>0</v>
      </c>
      <c r="V1503" s="39">
        <v>0</v>
      </c>
      <c r="W1503" s="39">
        <v>0</v>
      </c>
      <c r="X1503" s="39">
        <v>0</v>
      </c>
      <c r="Y1503" s="39">
        <v>0</v>
      </c>
      <c r="Z1503" s="39">
        <v>0</v>
      </c>
      <c r="AA1503" s="39">
        <v>0</v>
      </c>
      <c r="AB1503" s="39">
        <v>0</v>
      </c>
      <c r="AC1503" s="39">
        <v>0</v>
      </c>
      <c r="AD1503" s="39">
        <v>0</v>
      </c>
      <c r="AE1503" s="39">
        <v>0</v>
      </c>
      <c r="AF1503" s="39">
        <v>0</v>
      </c>
      <c r="AG1503" s="39">
        <v>0</v>
      </c>
      <c r="AH1503" s="39"/>
      <c r="AI1503" s="39"/>
      <c r="AJ1503" s="40"/>
      <c r="AK1503" s="39">
        <f t="shared" si="115"/>
        <v>0</v>
      </c>
      <c r="AL1503" s="39">
        <f t="shared" si="118"/>
        <v>0</v>
      </c>
      <c r="AM1503" s="39">
        <f t="shared" si="119"/>
        <v>0</v>
      </c>
      <c r="AN1503" s="39">
        <f t="shared" si="116"/>
        <v>0</v>
      </c>
      <c r="AO1503" s="39">
        <f t="shared" si="117"/>
        <v>0</v>
      </c>
    </row>
    <row r="1504" spans="1:41" x14ac:dyDescent="0.3">
      <c r="A1504" s="20">
        <v>1000184670</v>
      </c>
      <c r="B1504" s="4" t="s">
        <v>147</v>
      </c>
      <c r="C1504" s="21"/>
      <c r="D1504" s="3"/>
      <c r="E1504" s="20">
        <v>1000184756</v>
      </c>
      <c r="F1504" s="4" t="s">
        <v>53</v>
      </c>
      <c r="G1504" s="21">
        <v>1000189824</v>
      </c>
      <c r="H1504" s="3" t="s">
        <v>100</v>
      </c>
      <c r="I1504" s="21">
        <v>1000189270</v>
      </c>
      <c r="J1504" s="3" t="s">
        <v>34</v>
      </c>
      <c r="K1504" s="20" t="s">
        <v>13</v>
      </c>
      <c r="L1504" s="39">
        <v>0</v>
      </c>
      <c r="M1504" s="39">
        <v>0</v>
      </c>
      <c r="N1504" s="39">
        <v>350.28</v>
      </c>
      <c r="O1504" s="39">
        <v>364.14</v>
      </c>
      <c r="P1504" s="39">
        <v>0</v>
      </c>
      <c r="Q1504" s="39">
        <v>0</v>
      </c>
      <c r="R1504" s="39">
        <v>0</v>
      </c>
      <c r="S1504" s="39">
        <v>0</v>
      </c>
      <c r="T1504" s="39">
        <v>0</v>
      </c>
      <c r="U1504" s="39">
        <v>0</v>
      </c>
      <c r="V1504" s="39">
        <v>0</v>
      </c>
      <c r="W1504" s="39">
        <v>0</v>
      </c>
      <c r="X1504" s="39">
        <v>0</v>
      </c>
      <c r="Y1504" s="39">
        <v>393.51</v>
      </c>
      <c r="Z1504" s="39">
        <v>512.66999999999996</v>
      </c>
      <c r="AA1504" s="39">
        <v>0</v>
      </c>
      <c r="AB1504" s="39">
        <v>0</v>
      </c>
      <c r="AC1504" s="39">
        <v>368.22</v>
      </c>
      <c r="AD1504" s="39">
        <v>99.3</v>
      </c>
      <c r="AE1504" s="39">
        <v>0</v>
      </c>
      <c r="AF1504" s="39">
        <v>464.1</v>
      </c>
      <c r="AG1504" s="39">
        <v>0</v>
      </c>
      <c r="AH1504" s="39"/>
      <c r="AI1504" s="39"/>
      <c r="AJ1504" s="40"/>
      <c r="AK1504" s="39">
        <f t="shared" si="115"/>
        <v>59.534999999999997</v>
      </c>
      <c r="AL1504" s="39">
        <f t="shared" si="118"/>
        <v>153.15</v>
      </c>
      <c r="AM1504" s="39">
        <f t="shared" si="119"/>
        <v>155.27000000000001</v>
      </c>
      <c r="AN1504" s="39">
        <f t="shared" si="116"/>
        <v>183.78000000000003</v>
      </c>
      <c r="AO1504" s="39">
        <f t="shared" si="117"/>
        <v>1837.8000000000002</v>
      </c>
    </row>
    <row r="1505" spans="1:41" x14ac:dyDescent="0.3">
      <c r="A1505" s="20">
        <v>1000184670</v>
      </c>
      <c r="B1505" s="4" t="s">
        <v>147</v>
      </c>
      <c r="C1505" s="21"/>
      <c r="D1505" s="3"/>
      <c r="E1505" s="20">
        <v>1000184756</v>
      </c>
      <c r="F1505" s="4" t="s">
        <v>53</v>
      </c>
      <c r="G1505" s="21">
        <v>1000189824</v>
      </c>
      <c r="H1505" s="3" t="s">
        <v>100</v>
      </c>
      <c r="I1505" s="21">
        <v>1000189270</v>
      </c>
      <c r="J1505" s="3" t="s">
        <v>34</v>
      </c>
      <c r="K1505" s="20" t="s">
        <v>14</v>
      </c>
      <c r="L1505" s="39">
        <v>0</v>
      </c>
      <c r="M1505" s="39">
        <v>-43.74</v>
      </c>
      <c r="N1505" s="39">
        <v>0</v>
      </c>
      <c r="O1505" s="39">
        <v>972</v>
      </c>
      <c r="P1505" s="39">
        <v>246</v>
      </c>
      <c r="Q1505" s="39">
        <v>0</v>
      </c>
      <c r="R1505" s="39">
        <v>0</v>
      </c>
      <c r="S1505" s="39">
        <v>0</v>
      </c>
      <c r="T1505" s="39">
        <v>0</v>
      </c>
      <c r="U1505" s="39">
        <v>0</v>
      </c>
      <c r="V1505" s="39">
        <v>0</v>
      </c>
      <c r="W1505" s="39">
        <v>0</v>
      </c>
      <c r="X1505" s="39">
        <v>0</v>
      </c>
      <c r="Y1505" s="39">
        <v>0</v>
      </c>
      <c r="Z1505" s="39">
        <v>0</v>
      </c>
      <c r="AA1505" s="39">
        <v>0</v>
      </c>
      <c r="AB1505" s="39">
        <v>0</v>
      </c>
      <c r="AC1505" s="39">
        <v>0</v>
      </c>
      <c r="AD1505" s="39">
        <v>0</v>
      </c>
      <c r="AE1505" s="39">
        <v>0</v>
      </c>
      <c r="AF1505" s="39">
        <v>119.85</v>
      </c>
      <c r="AG1505" s="39">
        <v>0</v>
      </c>
      <c r="AH1505" s="39"/>
      <c r="AI1505" s="39"/>
      <c r="AJ1505" s="40"/>
      <c r="AK1505" s="39">
        <f t="shared" si="115"/>
        <v>97.855000000000004</v>
      </c>
      <c r="AL1505" s="39">
        <f t="shared" si="118"/>
        <v>9.9874999999999989</v>
      </c>
      <c r="AM1505" s="39">
        <f t="shared" si="119"/>
        <v>19.974999999999998</v>
      </c>
      <c r="AN1505" s="39">
        <f t="shared" si="116"/>
        <v>11.984999999999999</v>
      </c>
      <c r="AO1505" s="39">
        <f t="shared" si="117"/>
        <v>119.85</v>
      </c>
    </row>
    <row r="1506" spans="1:41" x14ac:dyDescent="0.3">
      <c r="A1506" s="20">
        <v>1000184670</v>
      </c>
      <c r="B1506" s="4" t="s">
        <v>147</v>
      </c>
      <c r="C1506" s="21"/>
      <c r="D1506" s="3"/>
      <c r="E1506" s="20">
        <v>1000184756</v>
      </c>
      <c r="F1506" s="4" t="s">
        <v>53</v>
      </c>
      <c r="G1506" s="21">
        <v>1000189824</v>
      </c>
      <c r="H1506" s="3" t="s">
        <v>100</v>
      </c>
      <c r="I1506" s="21">
        <v>1000189270</v>
      </c>
      <c r="J1506" s="3" t="s">
        <v>34</v>
      </c>
      <c r="K1506" s="20" t="s">
        <v>16</v>
      </c>
      <c r="L1506" s="39">
        <v>0</v>
      </c>
      <c r="M1506" s="39">
        <v>0</v>
      </c>
      <c r="N1506" s="39">
        <v>0</v>
      </c>
      <c r="O1506" s="39">
        <v>740.74</v>
      </c>
      <c r="P1506" s="39">
        <v>0</v>
      </c>
      <c r="Q1506" s="39">
        <v>0</v>
      </c>
      <c r="R1506" s="39">
        <v>0</v>
      </c>
      <c r="S1506" s="39">
        <v>0</v>
      </c>
      <c r="T1506" s="39">
        <v>0</v>
      </c>
      <c r="U1506" s="39">
        <v>0</v>
      </c>
      <c r="V1506" s="39">
        <v>0</v>
      </c>
      <c r="W1506" s="39">
        <v>149.5</v>
      </c>
      <c r="X1506" s="39">
        <v>696.9</v>
      </c>
      <c r="Y1506" s="39">
        <v>772.11</v>
      </c>
      <c r="Z1506" s="39">
        <v>214.17</v>
      </c>
      <c r="AA1506" s="39">
        <v>0</v>
      </c>
      <c r="AB1506" s="39">
        <v>0</v>
      </c>
      <c r="AC1506" s="39">
        <v>163.63999999999999</v>
      </c>
      <c r="AD1506" s="39">
        <v>504.15</v>
      </c>
      <c r="AE1506" s="39">
        <v>0</v>
      </c>
      <c r="AF1506" s="39">
        <v>303.45</v>
      </c>
      <c r="AG1506" s="39">
        <v>0</v>
      </c>
      <c r="AH1506" s="39"/>
      <c r="AI1506" s="39"/>
      <c r="AJ1506" s="40"/>
      <c r="AK1506" s="39">
        <f t="shared" si="115"/>
        <v>74.186666666666667</v>
      </c>
      <c r="AL1506" s="39">
        <f t="shared" si="118"/>
        <v>233.66</v>
      </c>
      <c r="AM1506" s="39">
        <f t="shared" si="119"/>
        <v>161.87333333333333</v>
      </c>
      <c r="AN1506" s="39">
        <f t="shared" si="116"/>
        <v>265.44200000000001</v>
      </c>
      <c r="AO1506" s="39">
        <f t="shared" si="117"/>
        <v>2654.42</v>
      </c>
    </row>
    <row r="1507" spans="1:41" x14ac:dyDescent="0.3">
      <c r="A1507" s="20">
        <v>1000184670</v>
      </c>
      <c r="B1507" s="4" t="s">
        <v>147</v>
      </c>
      <c r="C1507" s="21"/>
      <c r="D1507" s="3"/>
      <c r="E1507" s="20">
        <v>1000184756</v>
      </c>
      <c r="F1507" s="4" t="s">
        <v>53</v>
      </c>
      <c r="G1507" s="21">
        <v>1000189824</v>
      </c>
      <c r="H1507" s="3" t="s">
        <v>100</v>
      </c>
      <c r="I1507" s="21">
        <v>1000189270</v>
      </c>
      <c r="J1507" s="3" t="s">
        <v>34</v>
      </c>
      <c r="K1507" s="20" t="s">
        <v>15</v>
      </c>
      <c r="L1507" s="39">
        <v>0</v>
      </c>
      <c r="M1507" s="39">
        <v>0</v>
      </c>
      <c r="N1507" s="39">
        <v>747.36</v>
      </c>
      <c r="O1507" s="39">
        <v>1617.84</v>
      </c>
      <c r="P1507" s="39">
        <v>0</v>
      </c>
      <c r="Q1507" s="39">
        <v>0</v>
      </c>
      <c r="R1507" s="39">
        <v>0</v>
      </c>
      <c r="S1507" s="39">
        <v>0</v>
      </c>
      <c r="T1507" s="39">
        <v>0</v>
      </c>
      <c r="U1507" s="39">
        <v>0</v>
      </c>
      <c r="V1507" s="39">
        <v>0</v>
      </c>
      <c r="W1507" s="39">
        <v>0</v>
      </c>
      <c r="X1507" s="39">
        <v>0</v>
      </c>
      <c r="Y1507" s="39">
        <v>1755.6</v>
      </c>
      <c r="Z1507" s="39">
        <v>180</v>
      </c>
      <c r="AA1507" s="39">
        <v>0</v>
      </c>
      <c r="AB1507" s="39">
        <v>1441.95</v>
      </c>
      <c r="AC1507" s="39">
        <v>255</v>
      </c>
      <c r="AD1507" s="39">
        <v>0</v>
      </c>
      <c r="AE1507" s="39">
        <v>0</v>
      </c>
      <c r="AF1507" s="39">
        <v>206.55</v>
      </c>
      <c r="AG1507" s="39">
        <v>0</v>
      </c>
      <c r="AH1507" s="39"/>
      <c r="AI1507" s="39"/>
      <c r="AJ1507" s="40"/>
      <c r="AK1507" s="39">
        <f t="shared" si="115"/>
        <v>197.1</v>
      </c>
      <c r="AL1507" s="39">
        <f t="shared" si="118"/>
        <v>319.92500000000001</v>
      </c>
      <c r="AM1507" s="39">
        <f t="shared" si="119"/>
        <v>317.25</v>
      </c>
      <c r="AN1507" s="39">
        <f t="shared" si="116"/>
        <v>383.91</v>
      </c>
      <c r="AO1507" s="39">
        <f t="shared" si="117"/>
        <v>3839.1000000000004</v>
      </c>
    </row>
    <row r="1508" spans="1:41" x14ac:dyDescent="0.3">
      <c r="A1508" s="20">
        <v>1000184670</v>
      </c>
      <c r="B1508" s="4" t="s">
        <v>147</v>
      </c>
      <c r="C1508" s="21"/>
      <c r="D1508" s="3"/>
      <c r="E1508" s="20">
        <v>1000184756</v>
      </c>
      <c r="F1508" s="4" t="s">
        <v>53</v>
      </c>
      <c r="G1508" s="21">
        <v>1000189824</v>
      </c>
      <c r="H1508" s="3" t="s">
        <v>100</v>
      </c>
      <c r="I1508" s="21">
        <v>1000189270</v>
      </c>
      <c r="J1508" s="3" t="s">
        <v>34</v>
      </c>
      <c r="K1508" s="20" t="s">
        <v>33</v>
      </c>
      <c r="L1508" s="39">
        <v>0</v>
      </c>
      <c r="M1508" s="39">
        <v>0</v>
      </c>
      <c r="N1508" s="39">
        <v>0</v>
      </c>
      <c r="O1508" s="39">
        <v>0</v>
      </c>
      <c r="P1508" s="39">
        <v>0</v>
      </c>
      <c r="Q1508" s="39">
        <v>0</v>
      </c>
      <c r="R1508" s="39">
        <v>0</v>
      </c>
      <c r="S1508" s="39">
        <v>0</v>
      </c>
      <c r="T1508" s="39">
        <v>0</v>
      </c>
      <c r="U1508" s="39">
        <v>0</v>
      </c>
      <c r="V1508" s="39">
        <v>0</v>
      </c>
      <c r="W1508" s="39">
        <v>0</v>
      </c>
      <c r="X1508" s="39">
        <v>0</v>
      </c>
      <c r="Y1508" s="39">
        <v>0</v>
      </c>
      <c r="Z1508" s="39">
        <v>0</v>
      </c>
      <c r="AA1508" s="39">
        <v>0</v>
      </c>
      <c r="AB1508" s="39">
        <v>0</v>
      </c>
      <c r="AC1508" s="39">
        <v>0</v>
      </c>
      <c r="AD1508" s="39">
        <v>0</v>
      </c>
      <c r="AE1508" s="39">
        <v>0</v>
      </c>
      <c r="AF1508" s="39">
        <v>0</v>
      </c>
      <c r="AG1508" s="39">
        <v>0</v>
      </c>
      <c r="AH1508" s="39"/>
      <c r="AI1508" s="39"/>
      <c r="AJ1508" s="40"/>
      <c r="AK1508" s="39">
        <f t="shared" si="115"/>
        <v>0</v>
      </c>
      <c r="AL1508" s="39">
        <f t="shared" si="118"/>
        <v>0</v>
      </c>
      <c r="AM1508" s="39">
        <f t="shared" si="119"/>
        <v>0</v>
      </c>
      <c r="AN1508" s="39">
        <f t="shared" si="116"/>
        <v>0</v>
      </c>
      <c r="AO1508" s="39">
        <f t="shared" si="117"/>
        <v>0</v>
      </c>
    </row>
    <row r="1509" spans="1:41" x14ac:dyDescent="0.3">
      <c r="A1509" s="20">
        <v>1000184670</v>
      </c>
      <c r="B1509" s="4" t="s">
        <v>147</v>
      </c>
      <c r="C1509" s="21"/>
      <c r="D1509" s="3"/>
      <c r="E1509" s="20">
        <v>1000184756</v>
      </c>
      <c r="F1509" s="4" t="s">
        <v>53</v>
      </c>
      <c r="G1509" s="21">
        <v>1000189824</v>
      </c>
      <c r="H1509" s="3" t="s">
        <v>100</v>
      </c>
      <c r="I1509" s="21">
        <v>1000189270</v>
      </c>
      <c r="J1509" s="3" t="s">
        <v>34</v>
      </c>
      <c r="K1509" s="20" t="s">
        <v>19</v>
      </c>
      <c r="L1509" s="39">
        <v>0</v>
      </c>
      <c r="M1509" s="39">
        <v>0</v>
      </c>
      <c r="N1509" s="39">
        <v>0</v>
      </c>
      <c r="O1509" s="39">
        <v>0</v>
      </c>
      <c r="P1509" s="39">
        <v>0</v>
      </c>
      <c r="Q1509" s="39">
        <v>0</v>
      </c>
      <c r="R1509" s="39">
        <v>0</v>
      </c>
      <c r="S1509" s="39">
        <v>0</v>
      </c>
      <c r="T1509" s="39">
        <v>0</v>
      </c>
      <c r="U1509" s="39">
        <v>0</v>
      </c>
      <c r="V1509" s="39">
        <v>0</v>
      </c>
      <c r="W1509" s="39">
        <v>0</v>
      </c>
      <c r="X1509" s="39">
        <v>0</v>
      </c>
      <c r="Y1509" s="39">
        <v>0</v>
      </c>
      <c r="Z1509" s="39">
        <v>0</v>
      </c>
      <c r="AA1509" s="39">
        <v>0</v>
      </c>
      <c r="AB1509" s="39">
        <v>0</v>
      </c>
      <c r="AC1509" s="39">
        <v>0</v>
      </c>
      <c r="AD1509" s="39">
        <v>0</v>
      </c>
      <c r="AE1509" s="39">
        <v>0</v>
      </c>
      <c r="AF1509" s="39">
        <v>0</v>
      </c>
      <c r="AG1509" s="39">
        <v>0</v>
      </c>
      <c r="AH1509" s="39"/>
      <c r="AI1509" s="39"/>
      <c r="AJ1509" s="40"/>
      <c r="AK1509" s="39">
        <f t="shared" si="115"/>
        <v>0</v>
      </c>
      <c r="AL1509" s="39">
        <f t="shared" si="118"/>
        <v>0</v>
      </c>
      <c r="AM1509" s="39">
        <f t="shared" si="119"/>
        <v>0</v>
      </c>
      <c r="AN1509" s="39">
        <f t="shared" si="116"/>
        <v>0</v>
      </c>
      <c r="AO1509" s="39">
        <f t="shared" si="117"/>
        <v>0</v>
      </c>
    </row>
    <row r="1510" spans="1:41" x14ac:dyDescent="0.3">
      <c r="A1510" s="20">
        <v>1000184670</v>
      </c>
      <c r="B1510" s="4" t="s">
        <v>147</v>
      </c>
      <c r="C1510" s="21"/>
      <c r="D1510" s="3"/>
      <c r="E1510" s="20">
        <v>1000184756</v>
      </c>
      <c r="F1510" s="4" t="s">
        <v>53</v>
      </c>
      <c r="G1510" s="21">
        <v>1000189824</v>
      </c>
      <c r="H1510" s="3" t="s">
        <v>100</v>
      </c>
      <c r="I1510" s="21">
        <v>1000189270</v>
      </c>
      <c r="J1510" s="3" t="s">
        <v>34</v>
      </c>
      <c r="K1510" s="20" t="s">
        <v>17</v>
      </c>
      <c r="L1510" s="39">
        <v>0</v>
      </c>
      <c r="M1510" s="39">
        <v>0</v>
      </c>
      <c r="N1510" s="39">
        <v>0</v>
      </c>
      <c r="O1510" s="39">
        <v>0</v>
      </c>
      <c r="P1510" s="39">
        <v>0</v>
      </c>
      <c r="Q1510" s="39">
        <v>0</v>
      </c>
      <c r="R1510" s="39">
        <v>0</v>
      </c>
      <c r="S1510" s="39">
        <v>0</v>
      </c>
      <c r="T1510" s="39">
        <v>0</v>
      </c>
      <c r="U1510" s="39">
        <v>0</v>
      </c>
      <c r="V1510" s="39">
        <v>0</v>
      </c>
      <c r="W1510" s="39">
        <v>0</v>
      </c>
      <c r="X1510" s="39">
        <v>0</v>
      </c>
      <c r="Y1510" s="39">
        <v>0</v>
      </c>
      <c r="Z1510" s="39">
        <v>0</v>
      </c>
      <c r="AA1510" s="39">
        <v>0</v>
      </c>
      <c r="AB1510" s="39">
        <v>0</v>
      </c>
      <c r="AC1510" s="39">
        <v>0</v>
      </c>
      <c r="AD1510" s="39">
        <v>0</v>
      </c>
      <c r="AE1510" s="39">
        <v>0</v>
      </c>
      <c r="AF1510" s="39">
        <v>0</v>
      </c>
      <c r="AG1510" s="39">
        <v>0</v>
      </c>
      <c r="AH1510" s="39"/>
      <c r="AI1510" s="39"/>
      <c r="AJ1510" s="40"/>
      <c r="AK1510" s="39">
        <f t="shared" si="115"/>
        <v>0</v>
      </c>
      <c r="AL1510" s="39">
        <f t="shared" si="118"/>
        <v>0</v>
      </c>
      <c r="AM1510" s="39">
        <f t="shared" si="119"/>
        <v>0</v>
      </c>
      <c r="AN1510" s="39">
        <f t="shared" si="116"/>
        <v>0</v>
      </c>
      <c r="AO1510" s="39">
        <f t="shared" si="117"/>
        <v>0</v>
      </c>
    </row>
    <row r="1511" spans="1:41" x14ac:dyDescent="0.3">
      <c r="A1511" s="20">
        <v>1000184670</v>
      </c>
      <c r="B1511" s="4" t="s">
        <v>147</v>
      </c>
      <c r="C1511" s="21"/>
      <c r="D1511" s="3"/>
      <c r="E1511" s="20">
        <v>1000184756</v>
      </c>
      <c r="F1511" s="4" t="s">
        <v>53</v>
      </c>
      <c r="G1511" s="21">
        <v>1000189824</v>
      </c>
      <c r="H1511" s="3" t="s">
        <v>100</v>
      </c>
      <c r="I1511" s="21">
        <v>1000189270</v>
      </c>
      <c r="J1511" s="3" t="s">
        <v>34</v>
      </c>
      <c r="K1511" s="20" t="s">
        <v>24</v>
      </c>
      <c r="L1511" s="39">
        <v>0</v>
      </c>
      <c r="M1511" s="39">
        <v>0</v>
      </c>
      <c r="N1511" s="39">
        <v>0</v>
      </c>
      <c r="O1511" s="39">
        <v>438.6</v>
      </c>
      <c r="P1511" s="39">
        <v>0</v>
      </c>
      <c r="Q1511" s="39">
        <v>0</v>
      </c>
      <c r="R1511" s="39">
        <v>0</v>
      </c>
      <c r="S1511" s="39">
        <v>0</v>
      </c>
      <c r="T1511" s="39">
        <v>0</v>
      </c>
      <c r="U1511" s="39">
        <v>0</v>
      </c>
      <c r="V1511" s="39">
        <v>0</v>
      </c>
      <c r="W1511" s="39">
        <v>0</v>
      </c>
      <c r="X1511" s="39">
        <v>0</v>
      </c>
      <c r="Y1511" s="39">
        <v>0</v>
      </c>
      <c r="Z1511" s="39">
        <v>0</v>
      </c>
      <c r="AA1511" s="39">
        <v>0</v>
      </c>
      <c r="AB1511" s="39">
        <v>0</v>
      </c>
      <c r="AC1511" s="39">
        <v>0</v>
      </c>
      <c r="AD1511" s="39">
        <v>324.7</v>
      </c>
      <c r="AE1511" s="39">
        <v>0</v>
      </c>
      <c r="AF1511" s="39">
        <v>0</v>
      </c>
      <c r="AG1511" s="39">
        <v>0</v>
      </c>
      <c r="AH1511" s="39"/>
      <c r="AI1511" s="39"/>
      <c r="AJ1511" s="40"/>
      <c r="AK1511" s="39">
        <f t="shared" si="115"/>
        <v>36.550000000000004</v>
      </c>
      <c r="AL1511" s="39">
        <f t="shared" si="118"/>
        <v>27.058333333333334</v>
      </c>
      <c r="AM1511" s="39">
        <f t="shared" si="119"/>
        <v>54.116666666666667</v>
      </c>
      <c r="AN1511" s="39">
        <f t="shared" si="116"/>
        <v>32.47</v>
      </c>
      <c r="AO1511" s="39">
        <f t="shared" si="117"/>
        <v>324.7</v>
      </c>
    </row>
    <row r="1512" spans="1:41" x14ac:dyDescent="0.3">
      <c r="A1512" s="20">
        <v>1000184670</v>
      </c>
      <c r="B1512" s="4" t="s">
        <v>147</v>
      </c>
      <c r="C1512" s="21"/>
      <c r="D1512" s="3"/>
      <c r="E1512" s="20">
        <v>1000184756</v>
      </c>
      <c r="F1512" s="4" t="s">
        <v>53</v>
      </c>
      <c r="G1512" s="21">
        <v>1000189824</v>
      </c>
      <c r="H1512" s="3" t="s">
        <v>100</v>
      </c>
      <c r="I1512" s="21">
        <v>1000189270</v>
      </c>
      <c r="J1512" s="3" t="s">
        <v>34</v>
      </c>
      <c r="K1512" s="20" t="s">
        <v>18</v>
      </c>
      <c r="L1512" s="39">
        <v>0</v>
      </c>
      <c r="M1512" s="39">
        <v>0</v>
      </c>
      <c r="N1512" s="39">
        <v>0</v>
      </c>
      <c r="O1512" s="39">
        <v>0</v>
      </c>
      <c r="P1512" s="39">
        <v>0</v>
      </c>
      <c r="Q1512" s="39">
        <v>0</v>
      </c>
      <c r="R1512" s="39">
        <v>0</v>
      </c>
      <c r="S1512" s="39">
        <v>0</v>
      </c>
      <c r="T1512" s="39">
        <v>0</v>
      </c>
      <c r="U1512" s="39">
        <v>0</v>
      </c>
      <c r="V1512" s="39">
        <v>0</v>
      </c>
      <c r="W1512" s="39">
        <v>0</v>
      </c>
      <c r="X1512" s="39">
        <v>0</v>
      </c>
      <c r="Y1512" s="39">
        <v>0</v>
      </c>
      <c r="Z1512" s="39">
        <v>0</v>
      </c>
      <c r="AA1512" s="39">
        <v>0</v>
      </c>
      <c r="AB1512" s="39">
        <v>0</v>
      </c>
      <c r="AC1512" s="39">
        <v>0</v>
      </c>
      <c r="AD1512" s="39">
        <v>160</v>
      </c>
      <c r="AE1512" s="39">
        <v>0</v>
      </c>
      <c r="AF1512" s="39">
        <v>0</v>
      </c>
      <c r="AG1512" s="39">
        <v>0</v>
      </c>
      <c r="AH1512" s="39"/>
      <c r="AI1512" s="39"/>
      <c r="AJ1512" s="40"/>
      <c r="AK1512" s="39">
        <f t="shared" si="115"/>
        <v>0</v>
      </c>
      <c r="AL1512" s="39">
        <f t="shared" si="118"/>
        <v>13.333333333333334</v>
      </c>
      <c r="AM1512" s="39">
        <f t="shared" si="119"/>
        <v>26.666666666666668</v>
      </c>
      <c r="AN1512" s="39">
        <f t="shared" si="116"/>
        <v>16</v>
      </c>
      <c r="AO1512" s="39">
        <f t="shared" si="117"/>
        <v>160</v>
      </c>
    </row>
    <row r="1513" spans="1:41" x14ac:dyDescent="0.3">
      <c r="A1513" s="20">
        <v>1000184670</v>
      </c>
      <c r="B1513" s="4" t="s">
        <v>147</v>
      </c>
      <c r="C1513" s="21"/>
      <c r="D1513" s="3"/>
      <c r="E1513" s="20">
        <v>1000184756</v>
      </c>
      <c r="F1513" s="4" t="s">
        <v>53</v>
      </c>
      <c r="G1513" s="21">
        <v>1000189824</v>
      </c>
      <c r="H1513" s="3" t="s">
        <v>100</v>
      </c>
      <c r="I1513" s="21">
        <v>1000189270</v>
      </c>
      <c r="J1513" s="3" t="s">
        <v>34</v>
      </c>
      <c r="K1513" s="20" t="s">
        <v>29</v>
      </c>
      <c r="L1513" s="39">
        <v>0</v>
      </c>
      <c r="M1513" s="39">
        <v>0</v>
      </c>
      <c r="N1513" s="39">
        <v>0</v>
      </c>
      <c r="O1513" s="39">
        <v>0</v>
      </c>
      <c r="P1513" s="39">
        <v>0</v>
      </c>
      <c r="Q1513" s="39">
        <v>0</v>
      </c>
      <c r="R1513" s="39">
        <v>0</v>
      </c>
      <c r="S1513" s="39">
        <v>0</v>
      </c>
      <c r="T1513" s="39">
        <v>0</v>
      </c>
      <c r="U1513" s="39">
        <v>0</v>
      </c>
      <c r="V1513" s="39">
        <v>0</v>
      </c>
      <c r="W1513" s="39">
        <v>0</v>
      </c>
      <c r="X1513" s="39">
        <v>0</v>
      </c>
      <c r="Y1513" s="39">
        <v>0</v>
      </c>
      <c r="Z1513" s="39">
        <v>300</v>
      </c>
      <c r="AA1513" s="39">
        <v>0</v>
      </c>
      <c r="AB1513" s="39">
        <v>564</v>
      </c>
      <c r="AC1513" s="39">
        <v>0</v>
      </c>
      <c r="AD1513" s="39">
        <v>0</v>
      </c>
      <c r="AE1513" s="39">
        <v>0</v>
      </c>
      <c r="AF1513" s="39">
        <v>0</v>
      </c>
      <c r="AG1513" s="39">
        <v>0</v>
      </c>
      <c r="AH1513" s="39"/>
      <c r="AI1513" s="39"/>
      <c r="AJ1513" s="40"/>
      <c r="AK1513" s="39">
        <f t="shared" si="115"/>
        <v>0</v>
      </c>
      <c r="AL1513" s="39">
        <f t="shared" si="118"/>
        <v>72</v>
      </c>
      <c r="AM1513" s="39">
        <f t="shared" si="119"/>
        <v>94</v>
      </c>
      <c r="AN1513" s="39">
        <f t="shared" si="116"/>
        <v>86.4</v>
      </c>
      <c r="AO1513" s="39">
        <f t="shared" si="117"/>
        <v>864</v>
      </c>
    </row>
    <row r="1514" spans="1:41" x14ac:dyDescent="0.3">
      <c r="A1514" s="20">
        <v>1000184670</v>
      </c>
      <c r="B1514" s="4" t="s">
        <v>147</v>
      </c>
      <c r="C1514" s="21"/>
      <c r="D1514" s="3"/>
      <c r="E1514" s="20">
        <v>1000184756</v>
      </c>
      <c r="F1514" s="4" t="s">
        <v>53</v>
      </c>
      <c r="G1514" s="21">
        <v>1000189824</v>
      </c>
      <c r="H1514" s="3" t="s">
        <v>100</v>
      </c>
      <c r="I1514" s="21">
        <v>1000189270</v>
      </c>
      <c r="J1514" s="3" t="s">
        <v>34</v>
      </c>
      <c r="K1514" s="20" t="s">
        <v>21</v>
      </c>
      <c r="L1514" s="39">
        <v>0</v>
      </c>
      <c r="M1514" s="39">
        <v>0</v>
      </c>
      <c r="N1514" s="39">
        <v>0</v>
      </c>
      <c r="O1514" s="39">
        <v>0</v>
      </c>
      <c r="P1514" s="39">
        <v>0</v>
      </c>
      <c r="Q1514" s="39">
        <v>0</v>
      </c>
      <c r="R1514" s="39">
        <v>0</v>
      </c>
      <c r="S1514" s="39">
        <v>0</v>
      </c>
      <c r="T1514" s="39">
        <v>0</v>
      </c>
      <c r="U1514" s="39">
        <v>0</v>
      </c>
      <c r="V1514" s="39">
        <v>0</v>
      </c>
      <c r="W1514" s="39">
        <v>0</v>
      </c>
      <c r="X1514" s="39">
        <v>0</v>
      </c>
      <c r="Y1514" s="39">
        <v>166.4</v>
      </c>
      <c r="Z1514" s="39">
        <v>409.44</v>
      </c>
      <c r="AA1514" s="39">
        <v>0</v>
      </c>
      <c r="AB1514" s="39">
        <v>165.14</v>
      </c>
      <c r="AC1514" s="39">
        <v>0</v>
      </c>
      <c r="AD1514" s="39">
        <v>0</v>
      </c>
      <c r="AE1514" s="39">
        <v>0</v>
      </c>
      <c r="AF1514" s="39">
        <v>0</v>
      </c>
      <c r="AG1514" s="39">
        <v>0</v>
      </c>
      <c r="AH1514" s="39"/>
      <c r="AI1514" s="39"/>
      <c r="AJ1514" s="40"/>
      <c r="AK1514" s="39">
        <f t="shared" si="115"/>
        <v>0</v>
      </c>
      <c r="AL1514" s="39">
        <f t="shared" si="118"/>
        <v>61.748333333333335</v>
      </c>
      <c r="AM1514" s="39">
        <f t="shared" si="119"/>
        <v>27.52333333333333</v>
      </c>
      <c r="AN1514" s="39">
        <f t="shared" si="116"/>
        <v>74.097999999999999</v>
      </c>
      <c r="AO1514" s="39">
        <f t="shared" si="117"/>
        <v>740.98</v>
      </c>
    </row>
    <row r="1515" spans="1:41" x14ac:dyDescent="0.3">
      <c r="A1515" s="20">
        <v>1000184670</v>
      </c>
      <c r="B1515" s="4" t="s">
        <v>147</v>
      </c>
      <c r="C1515" s="21"/>
      <c r="D1515" s="3"/>
      <c r="E1515" s="20">
        <v>1000184756</v>
      </c>
      <c r="F1515" s="4" t="s">
        <v>53</v>
      </c>
      <c r="G1515" s="21">
        <v>1000189824</v>
      </c>
      <c r="H1515" s="3" t="s">
        <v>100</v>
      </c>
      <c r="I1515" s="21">
        <v>1000189270</v>
      </c>
      <c r="J1515" s="3" t="s">
        <v>34</v>
      </c>
      <c r="K1515" s="20" t="s">
        <v>20</v>
      </c>
      <c r="L1515" s="39">
        <v>0</v>
      </c>
      <c r="M1515" s="39">
        <v>0</v>
      </c>
      <c r="N1515" s="39">
        <v>420</v>
      </c>
      <c r="O1515" s="39">
        <v>111</v>
      </c>
      <c r="P1515" s="39">
        <v>0</v>
      </c>
      <c r="Q1515" s="39">
        <v>0</v>
      </c>
      <c r="R1515" s="39">
        <v>0</v>
      </c>
      <c r="S1515" s="39">
        <v>0</v>
      </c>
      <c r="T1515" s="39">
        <v>0</v>
      </c>
      <c r="U1515" s="39">
        <v>0</v>
      </c>
      <c r="V1515" s="39">
        <v>0</v>
      </c>
      <c r="W1515" s="39">
        <v>0</v>
      </c>
      <c r="X1515" s="39">
        <v>0</v>
      </c>
      <c r="Y1515" s="39">
        <v>0</v>
      </c>
      <c r="Z1515" s="39">
        <v>66</v>
      </c>
      <c r="AA1515" s="39">
        <v>0</v>
      </c>
      <c r="AB1515" s="39">
        <v>0</v>
      </c>
      <c r="AC1515" s="39">
        <v>158.35</v>
      </c>
      <c r="AD1515" s="39">
        <v>0</v>
      </c>
      <c r="AE1515" s="39">
        <v>0</v>
      </c>
      <c r="AF1515" s="39">
        <v>211.14</v>
      </c>
      <c r="AG1515" s="39">
        <v>0</v>
      </c>
      <c r="AH1515" s="39"/>
      <c r="AI1515" s="39"/>
      <c r="AJ1515" s="40"/>
      <c r="AK1515" s="39">
        <f t="shared" si="115"/>
        <v>44.25</v>
      </c>
      <c r="AL1515" s="39">
        <f t="shared" si="118"/>
        <v>36.290833333333332</v>
      </c>
      <c r="AM1515" s="39">
        <f t="shared" si="119"/>
        <v>61.581666666666671</v>
      </c>
      <c r="AN1515" s="39">
        <f t="shared" si="116"/>
        <v>43.548999999999999</v>
      </c>
      <c r="AO1515" s="39">
        <f t="shared" si="117"/>
        <v>435.49</v>
      </c>
    </row>
    <row r="1516" spans="1:41" x14ac:dyDescent="0.3">
      <c r="A1516" s="20">
        <v>1000184670</v>
      </c>
      <c r="B1516" s="4" t="s">
        <v>147</v>
      </c>
      <c r="C1516" s="21"/>
      <c r="D1516" s="3"/>
      <c r="E1516" s="20">
        <v>1000184756</v>
      </c>
      <c r="F1516" s="4" t="s">
        <v>53</v>
      </c>
      <c r="G1516" s="21">
        <v>1000189824</v>
      </c>
      <c r="H1516" s="3" t="s">
        <v>100</v>
      </c>
      <c r="I1516" s="21">
        <v>1000189270</v>
      </c>
      <c r="J1516" s="3" t="s">
        <v>34</v>
      </c>
      <c r="K1516" s="20" t="s">
        <v>22</v>
      </c>
      <c r="L1516" s="39">
        <v>0</v>
      </c>
      <c r="M1516" s="39">
        <v>0</v>
      </c>
      <c r="N1516" s="39">
        <v>0</v>
      </c>
      <c r="O1516" s="39">
        <v>0</v>
      </c>
      <c r="P1516" s="39">
        <v>0</v>
      </c>
      <c r="Q1516" s="39">
        <v>0</v>
      </c>
      <c r="R1516" s="39">
        <v>0</v>
      </c>
      <c r="S1516" s="39">
        <v>0</v>
      </c>
      <c r="T1516" s="39">
        <v>0</v>
      </c>
      <c r="U1516" s="39">
        <v>0</v>
      </c>
      <c r="V1516" s="39">
        <v>0</v>
      </c>
      <c r="W1516" s="39">
        <v>0</v>
      </c>
      <c r="X1516" s="39">
        <v>0</v>
      </c>
      <c r="Y1516" s="39">
        <v>0</v>
      </c>
      <c r="Z1516" s="39">
        <v>0</v>
      </c>
      <c r="AA1516" s="39">
        <v>0</v>
      </c>
      <c r="AB1516" s="39">
        <v>162.97</v>
      </c>
      <c r="AC1516" s="39">
        <v>0</v>
      </c>
      <c r="AD1516" s="39">
        <v>0</v>
      </c>
      <c r="AE1516" s="39">
        <v>0</v>
      </c>
      <c r="AF1516" s="39">
        <v>0</v>
      </c>
      <c r="AG1516" s="39">
        <v>0</v>
      </c>
      <c r="AH1516" s="39"/>
      <c r="AI1516" s="39"/>
      <c r="AJ1516" s="40"/>
      <c r="AK1516" s="39">
        <f t="shared" si="115"/>
        <v>0</v>
      </c>
      <c r="AL1516" s="39">
        <f t="shared" si="118"/>
        <v>13.580833333333333</v>
      </c>
      <c r="AM1516" s="39">
        <f t="shared" si="119"/>
        <v>27.161666666666665</v>
      </c>
      <c r="AN1516" s="39">
        <f t="shared" si="116"/>
        <v>16.297000000000001</v>
      </c>
      <c r="AO1516" s="39">
        <f t="shared" si="117"/>
        <v>162.97</v>
      </c>
    </row>
    <row r="1517" spans="1:41" x14ac:dyDescent="0.3">
      <c r="A1517" s="20">
        <v>1000184670</v>
      </c>
      <c r="B1517" s="4" t="s">
        <v>147</v>
      </c>
      <c r="C1517" s="21"/>
      <c r="D1517" s="3"/>
      <c r="E1517" s="20">
        <v>1000184756</v>
      </c>
      <c r="F1517" s="4" t="s">
        <v>53</v>
      </c>
      <c r="G1517" s="21">
        <v>1000189824</v>
      </c>
      <c r="H1517" s="3" t="s">
        <v>100</v>
      </c>
      <c r="I1517" s="21">
        <v>1000189270</v>
      </c>
      <c r="J1517" s="3" t="s">
        <v>34</v>
      </c>
      <c r="K1517" s="20" t="s">
        <v>23</v>
      </c>
      <c r="L1517" s="39">
        <v>0</v>
      </c>
      <c r="M1517" s="39">
        <v>0</v>
      </c>
      <c r="N1517" s="39">
        <v>0</v>
      </c>
      <c r="O1517" s="39">
        <v>0</v>
      </c>
      <c r="P1517" s="39">
        <v>0</v>
      </c>
      <c r="Q1517" s="39">
        <v>0</v>
      </c>
      <c r="R1517" s="39">
        <v>0</v>
      </c>
      <c r="S1517" s="39">
        <v>0</v>
      </c>
      <c r="T1517" s="39">
        <v>0</v>
      </c>
      <c r="U1517" s="39">
        <v>0</v>
      </c>
      <c r="V1517" s="39">
        <v>0</v>
      </c>
      <c r="W1517" s="39">
        <v>0</v>
      </c>
      <c r="X1517" s="39">
        <v>0</v>
      </c>
      <c r="Y1517" s="39">
        <v>0</v>
      </c>
      <c r="Z1517" s="39">
        <v>0</v>
      </c>
      <c r="AA1517" s="39">
        <v>0</v>
      </c>
      <c r="AB1517" s="39">
        <v>0</v>
      </c>
      <c r="AC1517" s="39">
        <v>0</v>
      </c>
      <c r="AD1517" s="39">
        <v>0</v>
      </c>
      <c r="AE1517" s="39">
        <v>0</v>
      </c>
      <c r="AF1517" s="39">
        <v>0</v>
      </c>
      <c r="AG1517" s="39">
        <v>0</v>
      </c>
      <c r="AH1517" s="39"/>
      <c r="AI1517" s="39"/>
      <c r="AJ1517" s="40"/>
      <c r="AK1517" s="39">
        <f t="shared" si="115"/>
        <v>0</v>
      </c>
      <c r="AL1517" s="39">
        <f t="shared" si="118"/>
        <v>0</v>
      </c>
      <c r="AM1517" s="39">
        <f t="shared" si="119"/>
        <v>0</v>
      </c>
      <c r="AN1517" s="39">
        <f t="shared" si="116"/>
        <v>0</v>
      </c>
      <c r="AO1517" s="39">
        <f t="shared" si="117"/>
        <v>0</v>
      </c>
    </row>
    <row r="1518" spans="1:41" x14ac:dyDescent="0.3">
      <c r="A1518" s="20">
        <v>1000184670</v>
      </c>
      <c r="B1518" s="4" t="s">
        <v>147</v>
      </c>
      <c r="C1518" s="21"/>
      <c r="D1518" s="3"/>
      <c r="E1518" s="20">
        <v>1000184756</v>
      </c>
      <c r="F1518" s="4" t="s">
        <v>53</v>
      </c>
      <c r="G1518" s="21">
        <v>1000189824</v>
      </c>
      <c r="H1518" s="3" t="s">
        <v>100</v>
      </c>
      <c r="I1518" s="21">
        <v>1000189270</v>
      </c>
      <c r="J1518" s="3" t="s">
        <v>34</v>
      </c>
      <c r="K1518" s="20" t="s">
        <v>28</v>
      </c>
      <c r="L1518" s="39">
        <v>0</v>
      </c>
      <c r="M1518" s="39">
        <v>0</v>
      </c>
      <c r="N1518" s="39">
        <v>0</v>
      </c>
      <c r="O1518" s="39">
        <v>0</v>
      </c>
      <c r="P1518" s="39">
        <v>0</v>
      </c>
      <c r="Q1518" s="39">
        <v>0</v>
      </c>
      <c r="R1518" s="39">
        <v>0</v>
      </c>
      <c r="S1518" s="39">
        <v>0</v>
      </c>
      <c r="T1518" s="39">
        <v>0</v>
      </c>
      <c r="U1518" s="39">
        <v>0</v>
      </c>
      <c r="V1518" s="39">
        <v>0</v>
      </c>
      <c r="W1518" s="39">
        <v>0</v>
      </c>
      <c r="X1518" s="39">
        <v>0</v>
      </c>
      <c r="Y1518" s="39">
        <v>0</v>
      </c>
      <c r="Z1518" s="39">
        <v>0</v>
      </c>
      <c r="AA1518" s="39">
        <v>0</v>
      </c>
      <c r="AB1518" s="39">
        <v>0</v>
      </c>
      <c r="AC1518" s="39">
        <v>0</v>
      </c>
      <c r="AD1518" s="39">
        <v>0</v>
      </c>
      <c r="AE1518" s="39">
        <v>0</v>
      </c>
      <c r="AF1518" s="39">
        <v>0</v>
      </c>
      <c r="AG1518" s="39">
        <v>0</v>
      </c>
      <c r="AH1518" s="39"/>
      <c r="AI1518" s="39"/>
      <c r="AJ1518" s="40"/>
      <c r="AK1518" s="39">
        <f t="shared" si="115"/>
        <v>0</v>
      </c>
      <c r="AL1518" s="39">
        <f t="shared" si="118"/>
        <v>0</v>
      </c>
      <c r="AM1518" s="39">
        <f t="shared" si="119"/>
        <v>0</v>
      </c>
      <c r="AN1518" s="39">
        <f t="shared" si="116"/>
        <v>0</v>
      </c>
      <c r="AO1518" s="39">
        <f t="shared" si="117"/>
        <v>0</v>
      </c>
    </row>
    <row r="1519" spans="1:41" x14ac:dyDescent="0.3">
      <c r="A1519" s="20">
        <v>1000184670</v>
      </c>
      <c r="B1519" s="4" t="s">
        <v>147</v>
      </c>
      <c r="C1519" s="21"/>
      <c r="D1519" s="3"/>
      <c r="E1519" s="20">
        <v>1000184756</v>
      </c>
      <c r="F1519" s="4" t="s">
        <v>53</v>
      </c>
      <c r="G1519" s="21">
        <v>1000189824</v>
      </c>
      <c r="H1519" s="3" t="s">
        <v>100</v>
      </c>
      <c r="I1519" s="21">
        <v>1000189270</v>
      </c>
      <c r="J1519" s="3" t="s">
        <v>34</v>
      </c>
      <c r="K1519" s="20" t="s">
        <v>26</v>
      </c>
      <c r="L1519" s="39">
        <v>0</v>
      </c>
      <c r="M1519" s="39">
        <v>1269.6600000000001</v>
      </c>
      <c r="N1519" s="39">
        <v>0</v>
      </c>
      <c r="O1519" s="39">
        <v>2896.5</v>
      </c>
      <c r="P1519" s="39">
        <v>0</v>
      </c>
      <c r="Q1519" s="39">
        <v>0</v>
      </c>
      <c r="R1519" s="39">
        <v>0</v>
      </c>
      <c r="S1519" s="39">
        <v>0</v>
      </c>
      <c r="T1519" s="39">
        <v>0</v>
      </c>
      <c r="U1519" s="39">
        <v>0</v>
      </c>
      <c r="V1519" s="39">
        <v>0</v>
      </c>
      <c r="W1519" s="39">
        <v>0</v>
      </c>
      <c r="X1519" s="39">
        <v>0</v>
      </c>
      <c r="Y1519" s="39">
        <v>0</v>
      </c>
      <c r="Z1519" s="39">
        <v>1152.8399999999999</v>
      </c>
      <c r="AA1519" s="39">
        <v>0</v>
      </c>
      <c r="AB1519" s="39">
        <v>0</v>
      </c>
      <c r="AC1519" s="39">
        <v>841.5</v>
      </c>
      <c r="AD1519" s="39">
        <v>0</v>
      </c>
      <c r="AE1519" s="39">
        <v>0</v>
      </c>
      <c r="AF1519" s="39">
        <v>612</v>
      </c>
      <c r="AG1519" s="39">
        <v>0</v>
      </c>
      <c r="AH1519" s="39"/>
      <c r="AI1519" s="39"/>
      <c r="AJ1519" s="40"/>
      <c r="AK1519" s="39">
        <f t="shared" si="115"/>
        <v>347.18</v>
      </c>
      <c r="AL1519" s="39">
        <f t="shared" si="118"/>
        <v>217.19500000000002</v>
      </c>
      <c r="AM1519" s="39">
        <f t="shared" si="119"/>
        <v>242.25</v>
      </c>
      <c r="AN1519" s="39">
        <f t="shared" si="116"/>
        <v>260.63400000000001</v>
      </c>
      <c r="AO1519" s="39">
        <f t="shared" si="117"/>
        <v>2606.34</v>
      </c>
    </row>
    <row r="1520" spans="1:41" x14ac:dyDescent="0.3">
      <c r="A1520" s="20">
        <v>1000184670</v>
      </c>
      <c r="B1520" s="4" t="s">
        <v>147</v>
      </c>
      <c r="C1520" s="21"/>
      <c r="D1520" s="3"/>
      <c r="E1520" s="20">
        <v>1000184756</v>
      </c>
      <c r="F1520" s="4" t="s">
        <v>53</v>
      </c>
      <c r="G1520" s="21">
        <v>1000189824</v>
      </c>
      <c r="H1520" s="3" t="s">
        <v>100</v>
      </c>
      <c r="I1520" s="21">
        <v>1000189270</v>
      </c>
      <c r="J1520" s="3" t="s">
        <v>34</v>
      </c>
      <c r="K1520" s="20" t="s">
        <v>27</v>
      </c>
      <c r="L1520" s="39">
        <v>0</v>
      </c>
      <c r="M1520" s="39">
        <v>0</v>
      </c>
      <c r="N1520" s="39">
        <v>0</v>
      </c>
      <c r="O1520" s="39">
        <v>0</v>
      </c>
      <c r="P1520" s="39">
        <v>0</v>
      </c>
      <c r="Q1520" s="39">
        <v>0</v>
      </c>
      <c r="R1520" s="39">
        <v>0</v>
      </c>
      <c r="S1520" s="39">
        <v>0</v>
      </c>
      <c r="T1520" s="39">
        <v>0</v>
      </c>
      <c r="U1520" s="39">
        <v>0</v>
      </c>
      <c r="V1520" s="39">
        <v>0</v>
      </c>
      <c r="W1520" s="39">
        <v>0</v>
      </c>
      <c r="X1520" s="39">
        <v>0</v>
      </c>
      <c r="Y1520" s="39">
        <v>0</v>
      </c>
      <c r="Z1520" s="39">
        <v>0</v>
      </c>
      <c r="AA1520" s="39">
        <v>0</v>
      </c>
      <c r="AB1520" s="39">
        <v>0</v>
      </c>
      <c r="AC1520" s="39">
        <v>0</v>
      </c>
      <c r="AD1520" s="39">
        <v>0</v>
      </c>
      <c r="AE1520" s="39">
        <v>0</v>
      </c>
      <c r="AF1520" s="39">
        <v>0</v>
      </c>
      <c r="AG1520" s="39">
        <v>0</v>
      </c>
      <c r="AH1520" s="39"/>
      <c r="AI1520" s="39"/>
      <c r="AJ1520" s="40"/>
      <c r="AK1520" s="39">
        <f t="shared" ref="AK1520:AK1521" si="120">AVERAGE(L1520:W1520)</f>
        <v>0</v>
      </c>
      <c r="AL1520" s="39">
        <f t="shared" si="118"/>
        <v>0</v>
      </c>
      <c r="AM1520" s="39">
        <f t="shared" si="119"/>
        <v>0</v>
      </c>
      <c r="AN1520" s="39">
        <f t="shared" ref="AN1520:AN1521" si="121">AVERAGE(X1520:AI1520)</f>
        <v>0</v>
      </c>
      <c r="AO1520" s="39">
        <f t="shared" ref="AO1520:AO1521" si="122">SUM(X1520:AI1520)</f>
        <v>0</v>
      </c>
    </row>
    <row r="1521" spans="1:41" x14ac:dyDescent="0.3">
      <c r="A1521" s="20">
        <v>1000184670</v>
      </c>
      <c r="B1521" s="4" t="s">
        <v>147</v>
      </c>
      <c r="C1521" s="21"/>
      <c r="D1521" s="3"/>
      <c r="E1521" s="20">
        <v>1000184756</v>
      </c>
      <c r="F1521" s="4" t="s">
        <v>53</v>
      </c>
      <c r="G1521" s="21">
        <v>1000189824</v>
      </c>
      <c r="H1521" s="3" t="s">
        <v>100</v>
      </c>
      <c r="I1521" s="21">
        <v>1000189270</v>
      </c>
      <c r="J1521" s="3" t="s">
        <v>34</v>
      </c>
      <c r="K1521" s="20" t="s">
        <v>25</v>
      </c>
      <c r="L1521" s="39">
        <v>0</v>
      </c>
      <c r="M1521" s="39">
        <v>0</v>
      </c>
      <c r="N1521" s="39">
        <v>158.4</v>
      </c>
      <c r="O1521" s="39">
        <v>979.2</v>
      </c>
      <c r="P1521" s="39">
        <v>0</v>
      </c>
      <c r="Q1521" s="39">
        <v>0</v>
      </c>
      <c r="R1521" s="39">
        <v>0</v>
      </c>
      <c r="S1521" s="39">
        <v>0</v>
      </c>
      <c r="T1521" s="39">
        <v>0</v>
      </c>
      <c r="U1521" s="39">
        <v>0</v>
      </c>
      <c r="V1521" s="39">
        <v>0</v>
      </c>
      <c r="W1521" s="39">
        <v>0</v>
      </c>
      <c r="X1521" s="39">
        <v>0</v>
      </c>
      <c r="Y1521" s="39">
        <v>0</v>
      </c>
      <c r="Z1521" s="39">
        <v>108</v>
      </c>
      <c r="AA1521" s="39">
        <v>0</v>
      </c>
      <c r="AB1521" s="39">
        <v>0</v>
      </c>
      <c r="AC1521" s="39">
        <v>0</v>
      </c>
      <c r="AD1521" s="39">
        <v>0</v>
      </c>
      <c r="AE1521" s="39">
        <v>0</v>
      </c>
      <c r="AF1521" s="39">
        <v>0</v>
      </c>
      <c r="AG1521" s="39">
        <v>0</v>
      </c>
      <c r="AH1521" s="39"/>
      <c r="AI1521" s="39"/>
      <c r="AJ1521" s="40"/>
      <c r="AK1521" s="39">
        <f t="shared" si="120"/>
        <v>94.800000000000011</v>
      </c>
      <c r="AL1521" s="39">
        <f t="shared" si="118"/>
        <v>9</v>
      </c>
      <c r="AM1521" s="39">
        <f t="shared" si="119"/>
        <v>0</v>
      </c>
      <c r="AN1521" s="39">
        <f t="shared" si="121"/>
        <v>10.8</v>
      </c>
      <c r="AO1521" s="39">
        <f t="shared" si="122"/>
        <v>108</v>
      </c>
    </row>
  </sheetData>
  <autoFilter ref="A1:AI1521" xr:uid="{2654C310-93D9-42A9-98DA-C2D9DC3AADEC}"/>
  <pageMargins left="0.511811024" right="0.511811024" top="0.78740157499999996" bottom="0.78740157499999996" header="0.31496062000000002" footer="0.31496062000000002"/>
  <ignoredErrors>
    <ignoredError sqref="AN3:AN58 AN59:AN152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F26AE-D265-4C1B-95D5-26380E9BFF3F}">
  <dimension ref="A1:Z83"/>
  <sheetViews>
    <sheetView showGridLines="0" topLeftCell="B1" zoomScale="70" zoomScaleNormal="70" workbookViewId="0">
      <pane ySplit="3" topLeftCell="A23" activePane="bottomLeft" state="frozen"/>
      <selection pane="bottomLeft" activeCell="C28" sqref="C28"/>
    </sheetView>
  </sheetViews>
  <sheetFormatPr defaultColWidth="10.21875" defaultRowHeight="14.4" outlineLevelCol="1" x14ac:dyDescent="0.3"/>
  <cols>
    <col min="1" max="1" width="14.44140625" style="1" customWidth="1"/>
    <col min="2" max="2" width="29.44140625" style="1" customWidth="1"/>
    <col min="3" max="3" width="14.44140625" style="1" customWidth="1"/>
    <col min="4" max="4" width="29.44140625" style="1" customWidth="1"/>
    <col min="5" max="5" width="14.44140625" style="1" customWidth="1"/>
    <col min="6" max="6" width="29.44140625" style="1" customWidth="1"/>
    <col min="7" max="7" width="14.44140625" style="1" customWidth="1"/>
    <col min="8" max="8" width="29.44140625" style="1" customWidth="1"/>
    <col min="9" max="9" width="14.44140625" style="1" customWidth="1"/>
    <col min="10" max="10" width="29.44140625" style="1" customWidth="1"/>
    <col min="11" max="22" width="13.44140625" style="7" customWidth="1" outlineLevel="1"/>
    <col min="23" max="23" width="4.5546875" customWidth="1"/>
    <col min="24" max="25" width="13.44140625" style="7" customWidth="1"/>
    <col min="26" max="26" width="15.77734375" style="7" customWidth="1"/>
    <col min="27" max="16384" width="10.21875" style="1"/>
  </cols>
  <sheetData>
    <row r="1" spans="1:26" ht="15.75" customHeight="1" x14ac:dyDescent="0.3">
      <c r="K1" s="32"/>
      <c r="L1" s="47">
        <f>L2-K2</f>
        <v>41</v>
      </c>
      <c r="M1" s="47">
        <f t="shared" ref="M1:V1" si="0">M2-L2</f>
        <v>40</v>
      </c>
      <c r="N1" s="47">
        <f t="shared" si="0"/>
        <v>39</v>
      </c>
      <c r="O1" s="47">
        <f t="shared" si="0"/>
        <v>40</v>
      </c>
      <c r="P1" s="47">
        <f t="shared" si="0"/>
        <v>39</v>
      </c>
      <c r="Q1" s="47">
        <f t="shared" si="0"/>
        <v>39</v>
      </c>
      <c r="R1" s="47">
        <f t="shared" si="0"/>
        <v>39</v>
      </c>
      <c r="S1" s="47">
        <f t="shared" si="0"/>
        <v>39</v>
      </c>
      <c r="T1" s="47">
        <f t="shared" si="0"/>
        <v>39</v>
      </c>
      <c r="U1" s="47">
        <f t="shared" si="0"/>
        <v>39</v>
      </c>
      <c r="V1" s="47">
        <f t="shared" si="0"/>
        <v>39</v>
      </c>
      <c r="W1" s="6"/>
      <c r="X1" s="15"/>
      <c r="Y1" s="15"/>
      <c r="Z1" s="15"/>
    </row>
    <row r="2" spans="1:26" ht="15.75" customHeight="1" x14ac:dyDescent="0.3">
      <c r="K2" s="13">
        <f>SUBTOTAL(9,K4:K674)</f>
        <v>1634</v>
      </c>
      <c r="L2" s="13">
        <f t="shared" ref="L2:V2" si="1">SUBTOTAL(9,L4:L674)</f>
        <v>1675</v>
      </c>
      <c r="M2" s="13">
        <f t="shared" si="1"/>
        <v>1715</v>
      </c>
      <c r="N2" s="13">
        <f t="shared" si="1"/>
        <v>1754</v>
      </c>
      <c r="O2" s="13">
        <f t="shared" si="1"/>
        <v>1794</v>
      </c>
      <c r="P2" s="13">
        <f t="shared" si="1"/>
        <v>1833</v>
      </c>
      <c r="Q2" s="13">
        <f t="shared" si="1"/>
        <v>1872</v>
      </c>
      <c r="R2" s="13">
        <f t="shared" si="1"/>
        <v>1911</v>
      </c>
      <c r="S2" s="13">
        <f t="shared" si="1"/>
        <v>1950</v>
      </c>
      <c r="T2" s="13">
        <f t="shared" si="1"/>
        <v>1989</v>
      </c>
      <c r="U2" s="13">
        <f t="shared" si="1"/>
        <v>2028</v>
      </c>
      <c r="V2" s="13">
        <f t="shared" si="1"/>
        <v>2067</v>
      </c>
      <c r="W2" s="29"/>
      <c r="X2" s="13">
        <f>SUBTOTAL(9,X4:X674)</f>
        <v>1634</v>
      </c>
      <c r="Y2" s="13"/>
      <c r="Z2" s="13"/>
    </row>
    <row r="3" spans="1:26" s="5" customFormat="1" ht="24.75" customHeight="1" x14ac:dyDescent="0.3">
      <c r="A3" s="10" t="s">
        <v>35</v>
      </c>
      <c r="B3" s="10" t="s">
        <v>36</v>
      </c>
      <c r="C3" s="10" t="s">
        <v>37</v>
      </c>
      <c r="D3" s="10" t="s">
        <v>38</v>
      </c>
      <c r="E3" s="10" t="s">
        <v>39</v>
      </c>
      <c r="F3" s="10" t="s">
        <v>40</v>
      </c>
      <c r="G3" s="10" t="s">
        <v>41</v>
      </c>
      <c r="H3" s="10" t="s">
        <v>42</v>
      </c>
      <c r="I3" s="10" t="s">
        <v>123</v>
      </c>
      <c r="J3" s="10" t="s">
        <v>122</v>
      </c>
      <c r="K3" s="33" t="s">
        <v>1</v>
      </c>
      <c r="L3" s="33" t="s">
        <v>2</v>
      </c>
      <c r="M3" s="33" t="s">
        <v>3</v>
      </c>
      <c r="N3" s="33" t="s">
        <v>4</v>
      </c>
      <c r="O3" s="33" t="s">
        <v>5</v>
      </c>
      <c r="P3" s="33" t="s">
        <v>6</v>
      </c>
      <c r="Q3" s="33" t="s">
        <v>7</v>
      </c>
      <c r="R3" s="33" t="s">
        <v>8</v>
      </c>
      <c r="S3" s="33" t="s">
        <v>9</v>
      </c>
      <c r="T3" s="33" t="s">
        <v>10</v>
      </c>
      <c r="U3" s="33" t="s">
        <v>11</v>
      </c>
      <c r="V3" s="33" t="s">
        <v>12</v>
      </c>
      <c r="X3" s="11" t="s">
        <v>169</v>
      </c>
      <c r="Y3" s="11" t="s">
        <v>181</v>
      </c>
      <c r="Z3" s="11" t="s">
        <v>187</v>
      </c>
    </row>
    <row r="4" spans="1:26" x14ac:dyDescent="0.3">
      <c r="A4" s="2">
        <v>1000184670</v>
      </c>
      <c r="B4" s="2" t="s">
        <v>147</v>
      </c>
      <c r="C4" s="4">
        <v>1000186197</v>
      </c>
      <c r="D4" s="4" t="s">
        <v>166</v>
      </c>
      <c r="E4" s="2">
        <v>1000198600</v>
      </c>
      <c r="F4" s="2" t="s">
        <v>148</v>
      </c>
      <c r="G4" s="4">
        <v>1000198601</v>
      </c>
      <c r="H4" s="4" t="s">
        <v>149</v>
      </c>
      <c r="I4" s="2">
        <v>1000189750</v>
      </c>
      <c r="J4" s="2" t="s">
        <v>136</v>
      </c>
      <c r="K4" s="38">
        <f>X4</f>
        <v>13</v>
      </c>
      <c r="L4" s="38">
        <f>IF(ROUNDUP(K4*(1+$Z4),0)&gt;$Y4,$Y4,ROUNDUP(K4*(1+$Z4),0))</f>
        <v>14</v>
      </c>
      <c r="M4" s="38">
        <f>IF(ROUNDUP(L4*(1+$Z4),0)&gt;$Y4,$Y4,ROUNDUP(L4*(1+$Z4),0))</f>
        <v>15</v>
      </c>
      <c r="N4" s="38">
        <f t="shared" ref="N4:V4" si="2">IF(ROUNDUP(M4*(1+$Z4),0)&gt;$Y4,$Y4,ROUNDUP(M4*(1+$Z4),0))</f>
        <v>16</v>
      </c>
      <c r="O4" s="38">
        <f t="shared" si="2"/>
        <v>17</v>
      </c>
      <c r="P4" s="38">
        <f t="shared" si="2"/>
        <v>18</v>
      </c>
      <c r="Q4" s="38">
        <f t="shared" si="2"/>
        <v>19</v>
      </c>
      <c r="R4" s="38">
        <f t="shared" si="2"/>
        <v>20</v>
      </c>
      <c r="S4" s="38">
        <f t="shared" si="2"/>
        <v>21</v>
      </c>
      <c r="T4" s="38">
        <f t="shared" si="2"/>
        <v>22</v>
      </c>
      <c r="U4" s="38">
        <f t="shared" si="2"/>
        <v>23</v>
      </c>
      <c r="V4" s="38">
        <f t="shared" si="2"/>
        <v>24</v>
      </c>
      <c r="W4" s="29"/>
      <c r="X4" s="38">
        <v>13</v>
      </c>
      <c r="Y4" s="38">
        <v>136</v>
      </c>
      <c r="Z4" s="42">
        <v>0.03</v>
      </c>
    </row>
    <row r="5" spans="1:26" x14ac:dyDescent="0.3">
      <c r="A5" s="2">
        <v>1000184670</v>
      </c>
      <c r="B5" s="2" t="s">
        <v>147</v>
      </c>
      <c r="C5" s="4">
        <v>1000186197</v>
      </c>
      <c r="D5" s="4" t="s">
        <v>166</v>
      </c>
      <c r="E5" s="2">
        <v>1000198600</v>
      </c>
      <c r="F5" s="2" t="s">
        <v>148</v>
      </c>
      <c r="G5" s="4">
        <v>1000198601</v>
      </c>
      <c r="H5" s="4" t="s">
        <v>149</v>
      </c>
      <c r="I5" s="2">
        <v>1000189751</v>
      </c>
      <c r="J5" s="2" t="s">
        <v>137</v>
      </c>
      <c r="K5" s="38">
        <f t="shared" ref="K5:K22" si="3">X5</f>
        <v>70</v>
      </c>
      <c r="L5" s="38">
        <f t="shared" ref="L5:V5" si="4">IF(ROUNDUP(K5*(1+$Z5),0)&gt;$Y5,$Y5,ROUNDUP(K5*(1+$Z5),0))</f>
        <v>73</v>
      </c>
      <c r="M5" s="38">
        <f t="shared" si="4"/>
        <v>76</v>
      </c>
      <c r="N5" s="38">
        <f t="shared" si="4"/>
        <v>79</v>
      </c>
      <c r="O5" s="38">
        <f t="shared" si="4"/>
        <v>82</v>
      </c>
      <c r="P5" s="38">
        <f t="shared" si="4"/>
        <v>85</v>
      </c>
      <c r="Q5" s="38">
        <f t="shared" si="4"/>
        <v>88</v>
      </c>
      <c r="R5" s="38">
        <f t="shared" si="4"/>
        <v>91</v>
      </c>
      <c r="S5" s="38">
        <f t="shared" si="4"/>
        <v>94</v>
      </c>
      <c r="T5" s="38">
        <f t="shared" si="4"/>
        <v>97</v>
      </c>
      <c r="U5" s="38">
        <f t="shared" si="4"/>
        <v>100</v>
      </c>
      <c r="V5" s="38">
        <f t="shared" si="4"/>
        <v>103</v>
      </c>
      <c r="W5" s="29"/>
      <c r="X5" s="38">
        <v>70</v>
      </c>
      <c r="Y5" s="38">
        <v>150</v>
      </c>
      <c r="Z5" s="42">
        <v>0.03</v>
      </c>
    </row>
    <row r="6" spans="1:26" x14ac:dyDescent="0.3">
      <c r="A6" s="2">
        <v>1000184670</v>
      </c>
      <c r="B6" s="2" t="s">
        <v>147</v>
      </c>
      <c r="C6" s="4">
        <v>1000186197</v>
      </c>
      <c r="D6" s="4" t="s">
        <v>166</v>
      </c>
      <c r="E6" s="2">
        <v>1000198600</v>
      </c>
      <c r="F6" s="2" t="s">
        <v>148</v>
      </c>
      <c r="G6" s="4">
        <v>1000198601</v>
      </c>
      <c r="H6" s="4" t="s">
        <v>149</v>
      </c>
      <c r="I6" s="2">
        <v>1000189753</v>
      </c>
      <c r="J6" s="2" t="s">
        <v>138</v>
      </c>
      <c r="K6" s="38">
        <f t="shared" si="3"/>
        <v>53</v>
      </c>
      <c r="L6" s="38">
        <f t="shared" ref="L6:V6" si="5">IF(ROUNDUP(K6*(1+$Z6),0)&gt;$Y6,$Y6,ROUNDUP(K6*(1+$Z6),0))</f>
        <v>55</v>
      </c>
      <c r="M6" s="38">
        <f t="shared" si="5"/>
        <v>57</v>
      </c>
      <c r="N6" s="38">
        <f t="shared" si="5"/>
        <v>59</v>
      </c>
      <c r="O6" s="38">
        <f t="shared" si="5"/>
        <v>61</v>
      </c>
      <c r="P6" s="38">
        <f t="shared" si="5"/>
        <v>63</v>
      </c>
      <c r="Q6" s="38">
        <f t="shared" si="5"/>
        <v>65</v>
      </c>
      <c r="R6" s="38">
        <f t="shared" si="5"/>
        <v>67</v>
      </c>
      <c r="S6" s="38">
        <f t="shared" si="5"/>
        <v>69</v>
      </c>
      <c r="T6" s="38">
        <f t="shared" si="5"/>
        <v>71</v>
      </c>
      <c r="U6" s="38">
        <f t="shared" si="5"/>
        <v>73</v>
      </c>
      <c r="V6" s="38">
        <f t="shared" si="5"/>
        <v>75</v>
      </c>
      <c r="W6" s="29"/>
      <c r="X6" s="38">
        <v>53</v>
      </c>
      <c r="Y6" s="38">
        <v>76</v>
      </c>
      <c r="Z6" s="42">
        <v>0.02</v>
      </c>
    </row>
    <row r="7" spans="1:26" x14ac:dyDescent="0.3">
      <c r="A7" s="2">
        <v>1000184670</v>
      </c>
      <c r="B7" s="2" t="s">
        <v>147</v>
      </c>
      <c r="C7" s="4">
        <v>1000186197</v>
      </c>
      <c r="D7" s="4" t="s">
        <v>166</v>
      </c>
      <c r="E7" s="2">
        <v>1000198600</v>
      </c>
      <c r="F7" s="2" t="s">
        <v>148</v>
      </c>
      <c r="G7" s="4">
        <v>1000198601</v>
      </c>
      <c r="H7" s="4" t="s">
        <v>149</v>
      </c>
      <c r="I7" s="2">
        <v>1000189756</v>
      </c>
      <c r="J7" s="2" t="s">
        <v>139</v>
      </c>
      <c r="K7" s="38">
        <f t="shared" si="3"/>
        <v>58</v>
      </c>
      <c r="L7" s="38">
        <f t="shared" ref="L7:V7" si="6">IF(ROUNDUP(K7*(1+$Z7),0)&gt;$Y7,$Y7,ROUNDUP(K7*(1+$Z7),0))</f>
        <v>60</v>
      </c>
      <c r="M7" s="38">
        <f t="shared" si="6"/>
        <v>62</v>
      </c>
      <c r="N7" s="38">
        <f t="shared" si="6"/>
        <v>64</v>
      </c>
      <c r="O7" s="38">
        <f t="shared" si="6"/>
        <v>66</v>
      </c>
      <c r="P7" s="38">
        <f t="shared" si="6"/>
        <v>68</v>
      </c>
      <c r="Q7" s="38">
        <f t="shared" si="6"/>
        <v>70</v>
      </c>
      <c r="R7" s="38">
        <f t="shared" si="6"/>
        <v>72</v>
      </c>
      <c r="S7" s="38">
        <f t="shared" si="6"/>
        <v>74</v>
      </c>
      <c r="T7" s="38">
        <f t="shared" si="6"/>
        <v>76</v>
      </c>
      <c r="U7" s="38">
        <f t="shared" si="6"/>
        <v>78</v>
      </c>
      <c r="V7" s="38">
        <f t="shared" si="6"/>
        <v>80</v>
      </c>
      <c r="W7" s="29"/>
      <c r="X7" s="38">
        <v>58</v>
      </c>
      <c r="Y7" s="38">
        <v>80</v>
      </c>
      <c r="Z7" s="42">
        <v>0.02</v>
      </c>
    </row>
    <row r="8" spans="1:26" x14ac:dyDescent="0.3">
      <c r="A8" s="2">
        <v>1000184670</v>
      </c>
      <c r="B8" s="2" t="s">
        <v>147</v>
      </c>
      <c r="C8" s="4">
        <v>1000186197</v>
      </c>
      <c r="D8" s="4" t="s">
        <v>166</v>
      </c>
      <c r="E8" s="2">
        <v>1000198600</v>
      </c>
      <c r="F8" s="2" t="s">
        <v>148</v>
      </c>
      <c r="G8" s="4">
        <v>1000198601</v>
      </c>
      <c r="H8" s="4" t="s">
        <v>149</v>
      </c>
      <c r="I8" s="2">
        <v>1000190599</v>
      </c>
      <c r="J8" s="2" t="s">
        <v>140</v>
      </c>
      <c r="K8" s="38">
        <f t="shared" si="3"/>
        <v>1</v>
      </c>
      <c r="L8" s="38">
        <f t="shared" ref="L8:V8" si="7">IF(ROUNDUP(K8*(1+$Z8),0)&gt;$Y8,$Y8,ROUNDUP(K8*(1+$Z8),0))</f>
        <v>2</v>
      </c>
      <c r="M8" s="38">
        <f t="shared" si="7"/>
        <v>3</v>
      </c>
      <c r="N8" s="38">
        <f t="shared" si="7"/>
        <v>4</v>
      </c>
      <c r="O8" s="38">
        <f t="shared" si="7"/>
        <v>5</v>
      </c>
      <c r="P8" s="38">
        <f t="shared" si="7"/>
        <v>6</v>
      </c>
      <c r="Q8" s="38">
        <f t="shared" si="7"/>
        <v>7</v>
      </c>
      <c r="R8" s="38">
        <f t="shared" si="7"/>
        <v>8</v>
      </c>
      <c r="S8" s="38">
        <f t="shared" si="7"/>
        <v>9</v>
      </c>
      <c r="T8" s="38">
        <f t="shared" si="7"/>
        <v>10</v>
      </c>
      <c r="U8" s="38">
        <f t="shared" si="7"/>
        <v>11</v>
      </c>
      <c r="V8" s="38">
        <f t="shared" si="7"/>
        <v>12</v>
      </c>
      <c r="W8" s="29"/>
      <c r="X8" s="38">
        <v>1</v>
      </c>
      <c r="Y8" s="38">
        <v>22</v>
      </c>
      <c r="Z8" s="42">
        <v>0.03</v>
      </c>
    </row>
    <row r="9" spans="1:26" x14ac:dyDescent="0.3">
      <c r="A9" s="2">
        <v>1000184670</v>
      </c>
      <c r="B9" s="2" t="s">
        <v>147</v>
      </c>
      <c r="C9" s="4">
        <v>1000186197</v>
      </c>
      <c r="D9" s="4" t="s">
        <v>166</v>
      </c>
      <c r="E9" s="2">
        <v>1000198600</v>
      </c>
      <c r="F9" s="2" t="s">
        <v>148</v>
      </c>
      <c r="G9" s="4">
        <v>1000198601</v>
      </c>
      <c r="H9" s="4" t="s">
        <v>149</v>
      </c>
      <c r="I9" s="2">
        <v>1000189757</v>
      </c>
      <c r="J9" s="2" t="s">
        <v>141</v>
      </c>
      <c r="K9" s="38">
        <f t="shared" si="3"/>
        <v>3</v>
      </c>
      <c r="L9" s="38">
        <f t="shared" ref="L9:V9" si="8">IF(ROUNDUP(K9*(1+$Z9),0)&gt;$Y9,$Y9,ROUNDUP(K9*(1+$Z9),0))</f>
        <v>4</v>
      </c>
      <c r="M9" s="38">
        <f t="shared" si="8"/>
        <v>4</v>
      </c>
      <c r="N9" s="38">
        <f t="shared" si="8"/>
        <v>4</v>
      </c>
      <c r="O9" s="38">
        <f t="shared" si="8"/>
        <v>4</v>
      </c>
      <c r="P9" s="38">
        <f t="shared" si="8"/>
        <v>4</v>
      </c>
      <c r="Q9" s="38">
        <f t="shared" si="8"/>
        <v>4</v>
      </c>
      <c r="R9" s="38">
        <f t="shared" si="8"/>
        <v>4</v>
      </c>
      <c r="S9" s="38">
        <f t="shared" si="8"/>
        <v>4</v>
      </c>
      <c r="T9" s="38">
        <f t="shared" si="8"/>
        <v>4</v>
      </c>
      <c r="U9" s="38">
        <f t="shared" si="8"/>
        <v>4</v>
      </c>
      <c r="V9" s="38">
        <f t="shared" si="8"/>
        <v>4</v>
      </c>
      <c r="W9" s="29"/>
      <c r="X9" s="38">
        <v>3</v>
      </c>
      <c r="Y9" s="38">
        <v>4</v>
      </c>
      <c r="Z9" s="42">
        <v>0.03</v>
      </c>
    </row>
    <row r="10" spans="1:26" x14ac:dyDescent="0.3">
      <c r="A10" s="2">
        <v>1000184670</v>
      </c>
      <c r="B10" s="2" t="s">
        <v>147</v>
      </c>
      <c r="C10" s="4">
        <v>1000186197</v>
      </c>
      <c r="D10" s="4" t="s">
        <v>166</v>
      </c>
      <c r="E10" s="2">
        <v>1000198600</v>
      </c>
      <c r="F10" s="2" t="s">
        <v>148</v>
      </c>
      <c r="G10" s="4">
        <v>1000198601</v>
      </c>
      <c r="H10" s="4" t="s">
        <v>149</v>
      </c>
      <c r="I10" s="2">
        <v>1000190613</v>
      </c>
      <c r="J10" s="2" t="s">
        <v>142</v>
      </c>
      <c r="K10" s="38">
        <f t="shared" si="3"/>
        <v>1</v>
      </c>
      <c r="L10" s="38">
        <f t="shared" ref="L10:V10" si="9">IF(ROUNDUP(K10*(1+$Z10),0)&gt;$Y10,$Y10,ROUNDUP(K10*(1+$Z10),0))</f>
        <v>2</v>
      </c>
      <c r="M10" s="38">
        <f t="shared" si="9"/>
        <v>3</v>
      </c>
      <c r="N10" s="38">
        <f t="shared" si="9"/>
        <v>4</v>
      </c>
      <c r="O10" s="38">
        <f t="shared" si="9"/>
        <v>5</v>
      </c>
      <c r="P10" s="38">
        <f t="shared" si="9"/>
        <v>5</v>
      </c>
      <c r="Q10" s="38">
        <f t="shared" si="9"/>
        <v>5</v>
      </c>
      <c r="R10" s="38">
        <f t="shared" si="9"/>
        <v>5</v>
      </c>
      <c r="S10" s="38">
        <f t="shared" si="9"/>
        <v>5</v>
      </c>
      <c r="T10" s="38">
        <f t="shared" si="9"/>
        <v>5</v>
      </c>
      <c r="U10" s="38">
        <f t="shared" si="9"/>
        <v>5</v>
      </c>
      <c r="V10" s="38">
        <f t="shared" si="9"/>
        <v>5</v>
      </c>
      <c r="W10" s="29"/>
      <c r="X10" s="38">
        <v>1</v>
      </c>
      <c r="Y10" s="38">
        <v>5</v>
      </c>
      <c r="Z10" s="42">
        <v>0.03</v>
      </c>
    </row>
    <row r="11" spans="1:26" x14ac:dyDescent="0.3">
      <c r="A11" s="2">
        <v>1000184670</v>
      </c>
      <c r="B11" s="2" t="s">
        <v>147</v>
      </c>
      <c r="C11" s="4">
        <v>1000186197</v>
      </c>
      <c r="D11" s="4" t="s">
        <v>166</v>
      </c>
      <c r="E11" s="2">
        <v>1000198600</v>
      </c>
      <c r="F11" s="2" t="s">
        <v>148</v>
      </c>
      <c r="G11" s="4">
        <v>1000198601</v>
      </c>
      <c r="H11" s="4" t="s">
        <v>149</v>
      </c>
      <c r="I11" s="2">
        <v>1000189760</v>
      </c>
      <c r="J11" s="2" t="s">
        <v>143</v>
      </c>
      <c r="K11" s="38">
        <f t="shared" si="3"/>
        <v>5</v>
      </c>
      <c r="L11" s="38">
        <f t="shared" ref="L11:V11" si="10">IF(ROUNDUP(K11*(1+$Z11),0)&gt;$Y11,$Y11,ROUNDUP(K11*(1+$Z11),0))</f>
        <v>6</v>
      </c>
      <c r="M11" s="38">
        <f t="shared" si="10"/>
        <v>7</v>
      </c>
      <c r="N11" s="38">
        <f t="shared" si="10"/>
        <v>8</v>
      </c>
      <c r="O11" s="38">
        <f t="shared" si="10"/>
        <v>9</v>
      </c>
      <c r="P11" s="38">
        <f t="shared" si="10"/>
        <v>10</v>
      </c>
      <c r="Q11" s="38">
        <f t="shared" si="10"/>
        <v>11</v>
      </c>
      <c r="R11" s="38">
        <f t="shared" si="10"/>
        <v>12</v>
      </c>
      <c r="S11" s="38">
        <f t="shared" si="10"/>
        <v>13</v>
      </c>
      <c r="T11" s="38">
        <f t="shared" si="10"/>
        <v>14</v>
      </c>
      <c r="U11" s="38">
        <f t="shared" si="10"/>
        <v>15</v>
      </c>
      <c r="V11" s="38">
        <f t="shared" si="10"/>
        <v>16</v>
      </c>
      <c r="W11" s="29"/>
      <c r="X11" s="38">
        <v>5</v>
      </c>
      <c r="Y11" s="38">
        <v>171</v>
      </c>
      <c r="Z11" s="42">
        <v>0.03</v>
      </c>
    </row>
    <row r="12" spans="1:26" x14ac:dyDescent="0.3">
      <c r="A12" s="2">
        <v>1000184670</v>
      </c>
      <c r="B12" s="2" t="s">
        <v>147</v>
      </c>
      <c r="C12" s="4">
        <v>1000186197</v>
      </c>
      <c r="D12" s="4" t="s">
        <v>166</v>
      </c>
      <c r="E12" s="2">
        <v>1000198600</v>
      </c>
      <c r="F12" s="2" t="s">
        <v>148</v>
      </c>
      <c r="G12" s="4">
        <v>1000198601</v>
      </c>
      <c r="H12" s="4" t="s">
        <v>149</v>
      </c>
      <c r="I12" s="2">
        <v>1000189761</v>
      </c>
      <c r="J12" s="2" t="s">
        <v>144</v>
      </c>
      <c r="K12" s="38">
        <f t="shared" si="3"/>
        <v>3</v>
      </c>
      <c r="L12" s="38">
        <f t="shared" ref="L12:V12" si="11">IF(ROUNDUP(K12*(1+$Z12),0)&gt;$Y12,$Y12,ROUNDUP(K12*(1+$Z12),0))</f>
        <v>3</v>
      </c>
      <c r="M12" s="38">
        <f t="shared" si="11"/>
        <v>3</v>
      </c>
      <c r="N12" s="38">
        <f t="shared" si="11"/>
        <v>3</v>
      </c>
      <c r="O12" s="38">
        <f t="shared" si="11"/>
        <v>3</v>
      </c>
      <c r="P12" s="38">
        <f t="shared" si="11"/>
        <v>3</v>
      </c>
      <c r="Q12" s="38">
        <f t="shared" si="11"/>
        <v>3</v>
      </c>
      <c r="R12" s="38">
        <f t="shared" si="11"/>
        <v>3</v>
      </c>
      <c r="S12" s="38">
        <f t="shared" si="11"/>
        <v>3</v>
      </c>
      <c r="T12" s="38">
        <f t="shared" si="11"/>
        <v>3</v>
      </c>
      <c r="U12" s="38">
        <f t="shared" si="11"/>
        <v>3</v>
      </c>
      <c r="V12" s="38">
        <f t="shared" si="11"/>
        <v>3</v>
      </c>
      <c r="W12" s="29"/>
      <c r="X12" s="38">
        <v>3</v>
      </c>
      <c r="Y12" s="38">
        <v>3</v>
      </c>
      <c r="Z12" s="42">
        <v>0.03</v>
      </c>
    </row>
    <row r="13" spans="1:26" x14ac:dyDescent="0.3">
      <c r="A13" s="2">
        <v>1000184670</v>
      </c>
      <c r="B13" s="2" t="s">
        <v>147</v>
      </c>
      <c r="C13" s="4">
        <v>1000186197</v>
      </c>
      <c r="D13" s="4" t="s">
        <v>166</v>
      </c>
      <c r="E13" s="2">
        <v>1000198600</v>
      </c>
      <c r="F13" s="2" t="s">
        <v>148</v>
      </c>
      <c r="G13" s="4">
        <v>1000198601</v>
      </c>
      <c r="H13" s="4" t="s">
        <v>149</v>
      </c>
      <c r="I13" s="2">
        <v>1000190614</v>
      </c>
      <c r="J13" s="2" t="s">
        <v>145</v>
      </c>
      <c r="K13" s="38">
        <f t="shared" si="3"/>
        <v>9</v>
      </c>
      <c r="L13" s="38">
        <f t="shared" ref="L13:V13" si="12">IF(ROUNDUP(K13*(1+$Z13),0)&gt;$Y13,$Y13,ROUNDUP(K13*(1+$Z13),0))</f>
        <v>10</v>
      </c>
      <c r="M13" s="38">
        <f t="shared" si="12"/>
        <v>11</v>
      </c>
      <c r="N13" s="38">
        <f t="shared" si="12"/>
        <v>12</v>
      </c>
      <c r="O13" s="38">
        <f t="shared" si="12"/>
        <v>13</v>
      </c>
      <c r="P13" s="38">
        <f t="shared" si="12"/>
        <v>14</v>
      </c>
      <c r="Q13" s="38">
        <f t="shared" si="12"/>
        <v>15</v>
      </c>
      <c r="R13" s="38">
        <f t="shared" si="12"/>
        <v>16</v>
      </c>
      <c r="S13" s="38">
        <f t="shared" si="12"/>
        <v>17</v>
      </c>
      <c r="T13" s="38">
        <f t="shared" si="12"/>
        <v>18</v>
      </c>
      <c r="U13" s="38">
        <f t="shared" si="12"/>
        <v>19</v>
      </c>
      <c r="V13" s="38">
        <f t="shared" si="12"/>
        <v>20</v>
      </c>
      <c r="W13" s="29"/>
      <c r="X13" s="38">
        <v>9</v>
      </c>
      <c r="Y13" s="38">
        <v>27</v>
      </c>
      <c r="Z13" s="42">
        <v>0.03</v>
      </c>
    </row>
    <row r="14" spans="1:26" x14ac:dyDescent="0.3">
      <c r="A14" s="2">
        <v>1000184670</v>
      </c>
      <c r="B14" s="2" t="s">
        <v>147</v>
      </c>
      <c r="C14" s="4">
        <v>1000186197</v>
      </c>
      <c r="D14" s="4" t="s">
        <v>166</v>
      </c>
      <c r="E14" s="2">
        <v>1000198600</v>
      </c>
      <c r="F14" s="2" t="s">
        <v>148</v>
      </c>
      <c r="G14" s="4">
        <v>1000198601</v>
      </c>
      <c r="H14" s="4" t="s">
        <v>149</v>
      </c>
      <c r="I14" s="2">
        <v>1000190600</v>
      </c>
      <c r="J14" s="2" t="s">
        <v>146</v>
      </c>
      <c r="K14" s="38">
        <f t="shared" si="3"/>
        <v>31</v>
      </c>
      <c r="L14" s="38">
        <f t="shared" ref="L14:V14" si="13">IF(ROUNDUP(K14*(1+$Z14),0)&gt;$Y14,$Y14,ROUNDUP(K14*(1+$Z14),0))</f>
        <v>32</v>
      </c>
      <c r="M14" s="38">
        <f t="shared" si="13"/>
        <v>33</v>
      </c>
      <c r="N14" s="38">
        <f t="shared" si="13"/>
        <v>34</v>
      </c>
      <c r="O14" s="38">
        <f t="shared" si="13"/>
        <v>36</v>
      </c>
      <c r="P14" s="38">
        <f t="shared" si="13"/>
        <v>38</v>
      </c>
      <c r="Q14" s="38">
        <f t="shared" si="13"/>
        <v>40</v>
      </c>
      <c r="R14" s="38">
        <f t="shared" si="13"/>
        <v>42</v>
      </c>
      <c r="S14" s="38">
        <f t="shared" si="13"/>
        <v>44</v>
      </c>
      <c r="T14" s="38">
        <f t="shared" si="13"/>
        <v>46</v>
      </c>
      <c r="U14" s="38">
        <f t="shared" si="13"/>
        <v>48</v>
      </c>
      <c r="V14" s="38">
        <f t="shared" si="13"/>
        <v>50</v>
      </c>
      <c r="W14" s="29"/>
      <c r="X14" s="38">
        <v>31</v>
      </c>
      <c r="Y14" s="38">
        <v>77</v>
      </c>
      <c r="Z14" s="42">
        <v>0.03</v>
      </c>
    </row>
    <row r="15" spans="1:26" x14ac:dyDescent="0.3">
      <c r="A15" s="2">
        <v>1000184670</v>
      </c>
      <c r="B15" s="2" t="s">
        <v>147</v>
      </c>
      <c r="C15" s="4">
        <v>1000186197</v>
      </c>
      <c r="D15" s="4" t="s">
        <v>166</v>
      </c>
      <c r="E15" s="2">
        <v>1000185288</v>
      </c>
      <c r="F15" s="2" t="s">
        <v>64</v>
      </c>
      <c r="G15" s="4">
        <v>1000189807</v>
      </c>
      <c r="H15" s="4" t="s">
        <v>81</v>
      </c>
      <c r="I15" s="2">
        <v>1000189749</v>
      </c>
      <c r="J15" s="2" t="s">
        <v>154</v>
      </c>
      <c r="K15" s="38">
        <f t="shared" si="3"/>
        <v>5</v>
      </c>
      <c r="L15" s="38">
        <f t="shared" ref="L15:V15" si="14">IF(ROUNDUP(K15*(1+$Z15),0)&gt;$Y15,$Y15,ROUNDUP(K15*(1+$Z15),0))</f>
        <v>5</v>
      </c>
      <c r="M15" s="38">
        <f t="shared" si="14"/>
        <v>5</v>
      </c>
      <c r="N15" s="38">
        <f t="shared" si="14"/>
        <v>5</v>
      </c>
      <c r="O15" s="38">
        <f t="shared" si="14"/>
        <v>5</v>
      </c>
      <c r="P15" s="38">
        <f t="shared" si="14"/>
        <v>5</v>
      </c>
      <c r="Q15" s="38">
        <f t="shared" si="14"/>
        <v>5</v>
      </c>
      <c r="R15" s="38">
        <f t="shared" si="14"/>
        <v>5</v>
      </c>
      <c r="S15" s="38">
        <f t="shared" si="14"/>
        <v>5</v>
      </c>
      <c r="T15" s="38">
        <f t="shared" si="14"/>
        <v>5</v>
      </c>
      <c r="U15" s="38">
        <f t="shared" si="14"/>
        <v>5</v>
      </c>
      <c r="V15" s="38">
        <f t="shared" si="14"/>
        <v>5</v>
      </c>
      <c r="W15" s="29"/>
      <c r="X15" s="38">
        <v>5</v>
      </c>
      <c r="Y15" s="38">
        <v>5</v>
      </c>
      <c r="Z15" s="42">
        <v>0.03</v>
      </c>
    </row>
    <row r="16" spans="1:26" x14ac:dyDescent="0.3">
      <c r="A16" s="2">
        <v>1000184670</v>
      </c>
      <c r="B16" s="2" t="s">
        <v>147</v>
      </c>
      <c r="C16" s="4">
        <v>1000185711</v>
      </c>
      <c r="D16" s="4" t="s">
        <v>167</v>
      </c>
      <c r="E16" s="2">
        <v>1000184764</v>
      </c>
      <c r="F16" s="2" t="s">
        <v>70</v>
      </c>
      <c r="G16" s="4">
        <v>1000189818</v>
      </c>
      <c r="H16" s="4" t="s">
        <v>72</v>
      </c>
      <c r="I16" s="2">
        <v>1000189759</v>
      </c>
      <c r="J16" s="2" t="s">
        <v>155</v>
      </c>
      <c r="K16" s="38">
        <f t="shared" si="3"/>
        <v>0</v>
      </c>
      <c r="L16" s="38">
        <f t="shared" ref="L16:V16" si="15">IF(ROUNDUP(K16*(1+$Z16),0)&gt;$Y16,$Y16,ROUNDUP(K16*(1+$Z16),0))</f>
        <v>0</v>
      </c>
      <c r="M16" s="38">
        <f t="shared" si="15"/>
        <v>0</v>
      </c>
      <c r="N16" s="38">
        <f t="shared" si="15"/>
        <v>0</v>
      </c>
      <c r="O16" s="38">
        <f t="shared" si="15"/>
        <v>0</v>
      </c>
      <c r="P16" s="38">
        <f t="shared" si="15"/>
        <v>0</v>
      </c>
      <c r="Q16" s="38">
        <f t="shared" si="15"/>
        <v>0</v>
      </c>
      <c r="R16" s="38">
        <f t="shared" si="15"/>
        <v>0</v>
      </c>
      <c r="S16" s="38">
        <f t="shared" si="15"/>
        <v>0</v>
      </c>
      <c r="T16" s="38">
        <f t="shared" si="15"/>
        <v>0</v>
      </c>
      <c r="U16" s="38">
        <f t="shared" si="15"/>
        <v>0</v>
      </c>
      <c r="V16" s="38">
        <f t="shared" si="15"/>
        <v>0</v>
      </c>
      <c r="W16" s="29"/>
      <c r="X16" s="38">
        <v>0</v>
      </c>
      <c r="Y16" s="38">
        <v>12</v>
      </c>
      <c r="Z16" s="42">
        <v>0.03</v>
      </c>
    </row>
    <row r="17" spans="1:26" x14ac:dyDescent="0.3">
      <c r="A17" s="2">
        <v>1000184670</v>
      </c>
      <c r="B17" s="2" t="s">
        <v>147</v>
      </c>
      <c r="C17" s="4">
        <v>1000186198</v>
      </c>
      <c r="D17" s="4" t="s">
        <v>168</v>
      </c>
      <c r="E17" s="2">
        <v>1000185288</v>
      </c>
      <c r="F17" s="2" t="s">
        <v>64</v>
      </c>
      <c r="G17" s="4">
        <v>1000189793</v>
      </c>
      <c r="H17" s="4" t="s">
        <v>85</v>
      </c>
      <c r="I17" s="2">
        <v>1000189763</v>
      </c>
      <c r="J17" s="2" t="s">
        <v>156</v>
      </c>
      <c r="K17" s="38">
        <f t="shared" si="3"/>
        <v>2</v>
      </c>
      <c r="L17" s="38">
        <f t="shared" ref="L17:V17" si="16">IF(ROUNDUP(K17*(1+$Z17),0)&gt;$Y17,$Y17,ROUNDUP(K17*(1+$Z17),0))</f>
        <v>2</v>
      </c>
      <c r="M17" s="38">
        <f t="shared" si="16"/>
        <v>2</v>
      </c>
      <c r="N17" s="38">
        <f t="shared" si="16"/>
        <v>2</v>
      </c>
      <c r="O17" s="38">
        <f t="shared" si="16"/>
        <v>2</v>
      </c>
      <c r="P17" s="38">
        <f t="shared" si="16"/>
        <v>2</v>
      </c>
      <c r="Q17" s="38">
        <f t="shared" si="16"/>
        <v>2</v>
      </c>
      <c r="R17" s="38">
        <f t="shared" si="16"/>
        <v>2</v>
      </c>
      <c r="S17" s="38">
        <f t="shared" si="16"/>
        <v>2</v>
      </c>
      <c r="T17" s="38">
        <f t="shared" si="16"/>
        <v>2</v>
      </c>
      <c r="U17" s="38">
        <f t="shared" si="16"/>
        <v>2</v>
      </c>
      <c r="V17" s="38">
        <f t="shared" si="16"/>
        <v>2</v>
      </c>
      <c r="W17" s="29"/>
      <c r="X17" s="38">
        <v>2</v>
      </c>
      <c r="Y17" s="38">
        <v>2</v>
      </c>
      <c r="Z17" s="42">
        <v>0.03</v>
      </c>
    </row>
    <row r="18" spans="1:26" x14ac:dyDescent="0.3">
      <c r="A18" s="2">
        <v>1000184670</v>
      </c>
      <c r="B18" s="2" t="s">
        <v>147</v>
      </c>
      <c r="C18" s="4">
        <v>1000186198</v>
      </c>
      <c r="D18" s="4" t="s">
        <v>168</v>
      </c>
      <c r="E18" s="2">
        <v>1000185288</v>
      </c>
      <c r="F18" s="2" t="s">
        <v>64</v>
      </c>
      <c r="G18" s="4">
        <v>1000189803</v>
      </c>
      <c r="H18" s="4" t="s">
        <v>97</v>
      </c>
      <c r="I18" s="2">
        <v>1000189754</v>
      </c>
      <c r="J18" s="2" t="s">
        <v>157</v>
      </c>
      <c r="K18" s="38">
        <f t="shared" si="3"/>
        <v>7</v>
      </c>
      <c r="L18" s="38">
        <f t="shared" ref="L18:V18" si="17">IF(ROUNDUP(K18*(1+$Z18),0)&gt;$Y18,$Y18,ROUNDUP(K18*(1+$Z18),0))</f>
        <v>7</v>
      </c>
      <c r="M18" s="38">
        <f t="shared" si="17"/>
        <v>7</v>
      </c>
      <c r="N18" s="38">
        <f t="shared" si="17"/>
        <v>7</v>
      </c>
      <c r="O18" s="38">
        <f t="shared" si="17"/>
        <v>7</v>
      </c>
      <c r="P18" s="38">
        <f t="shared" si="17"/>
        <v>7</v>
      </c>
      <c r="Q18" s="38">
        <f t="shared" si="17"/>
        <v>7</v>
      </c>
      <c r="R18" s="38">
        <f t="shared" si="17"/>
        <v>7</v>
      </c>
      <c r="S18" s="38">
        <f t="shared" si="17"/>
        <v>7</v>
      </c>
      <c r="T18" s="38">
        <f t="shared" si="17"/>
        <v>7</v>
      </c>
      <c r="U18" s="38">
        <f t="shared" si="17"/>
        <v>7</v>
      </c>
      <c r="V18" s="38">
        <f t="shared" si="17"/>
        <v>7</v>
      </c>
      <c r="W18" s="29"/>
      <c r="X18" s="38">
        <v>7</v>
      </c>
      <c r="Y18" s="38">
        <v>7</v>
      </c>
      <c r="Z18" s="42">
        <v>0.03</v>
      </c>
    </row>
    <row r="19" spans="1:26" x14ac:dyDescent="0.3">
      <c r="A19" s="2">
        <v>1000184670</v>
      </c>
      <c r="B19" s="2" t="s">
        <v>147</v>
      </c>
      <c r="C19" s="4">
        <v>1000186197</v>
      </c>
      <c r="D19" s="4" t="s">
        <v>166</v>
      </c>
      <c r="E19" s="2">
        <v>1000184760</v>
      </c>
      <c r="F19" s="2" t="s">
        <v>60</v>
      </c>
      <c r="G19" s="4">
        <v>1000189796</v>
      </c>
      <c r="H19" s="4" t="s">
        <v>61</v>
      </c>
      <c r="I19" s="2">
        <v>1000189762</v>
      </c>
      <c r="J19" s="2" t="s">
        <v>158</v>
      </c>
      <c r="K19" s="38">
        <f t="shared" si="3"/>
        <v>0</v>
      </c>
      <c r="L19" s="38">
        <f t="shared" ref="L19:V19" si="18">IF(ROUNDUP(K19*(1+$Z19),0)&gt;$Y19,$Y19,ROUNDUP(K19*(1+$Z19),0))</f>
        <v>0</v>
      </c>
      <c r="M19" s="38">
        <f t="shared" si="18"/>
        <v>0</v>
      </c>
      <c r="N19" s="38">
        <f t="shared" si="18"/>
        <v>0</v>
      </c>
      <c r="O19" s="38">
        <f t="shared" si="18"/>
        <v>0</v>
      </c>
      <c r="P19" s="38">
        <f t="shared" si="18"/>
        <v>0</v>
      </c>
      <c r="Q19" s="38">
        <f t="shared" si="18"/>
        <v>0</v>
      </c>
      <c r="R19" s="38">
        <f t="shared" si="18"/>
        <v>0</v>
      </c>
      <c r="S19" s="38">
        <f t="shared" si="18"/>
        <v>0</v>
      </c>
      <c r="T19" s="38">
        <f t="shared" si="18"/>
        <v>0</v>
      </c>
      <c r="U19" s="38">
        <f t="shared" si="18"/>
        <v>0</v>
      </c>
      <c r="V19" s="38">
        <f t="shared" si="18"/>
        <v>0</v>
      </c>
      <c r="W19" s="29"/>
      <c r="X19" s="38">
        <v>0</v>
      </c>
      <c r="Y19" s="38">
        <v>13</v>
      </c>
      <c r="Z19" s="42">
        <v>0</v>
      </c>
    </row>
    <row r="20" spans="1:26" x14ac:dyDescent="0.3">
      <c r="A20" s="2">
        <v>1000184670</v>
      </c>
      <c r="B20" s="2" t="s">
        <v>147</v>
      </c>
      <c r="C20" s="4">
        <v>1000186197</v>
      </c>
      <c r="D20" s="4" t="s">
        <v>166</v>
      </c>
      <c r="E20" s="2">
        <v>1000185288</v>
      </c>
      <c r="F20" s="2" t="s">
        <v>64</v>
      </c>
      <c r="G20" s="4">
        <v>1000189807</v>
      </c>
      <c r="H20" s="4" t="s">
        <v>81</v>
      </c>
      <c r="I20" s="2">
        <v>1000189758</v>
      </c>
      <c r="J20" s="2" t="s">
        <v>159</v>
      </c>
      <c r="K20" s="38">
        <f t="shared" si="3"/>
        <v>2</v>
      </c>
      <c r="L20" s="38">
        <f t="shared" ref="L20:V20" si="19">IF(ROUNDUP(K20*(1+$Z20),0)&gt;$Y20,$Y20,ROUNDUP(K20*(1+$Z20),0))</f>
        <v>3</v>
      </c>
      <c r="M20" s="38">
        <f t="shared" si="19"/>
        <v>4</v>
      </c>
      <c r="N20" s="38">
        <f t="shared" si="19"/>
        <v>4</v>
      </c>
      <c r="O20" s="38">
        <f t="shared" si="19"/>
        <v>4</v>
      </c>
      <c r="P20" s="38">
        <f t="shared" si="19"/>
        <v>4</v>
      </c>
      <c r="Q20" s="38">
        <f t="shared" si="19"/>
        <v>4</v>
      </c>
      <c r="R20" s="38">
        <f t="shared" si="19"/>
        <v>4</v>
      </c>
      <c r="S20" s="38">
        <f t="shared" si="19"/>
        <v>4</v>
      </c>
      <c r="T20" s="38">
        <f t="shared" si="19"/>
        <v>4</v>
      </c>
      <c r="U20" s="38">
        <f t="shared" si="19"/>
        <v>4</v>
      </c>
      <c r="V20" s="38">
        <f t="shared" si="19"/>
        <v>4</v>
      </c>
      <c r="W20" s="29"/>
      <c r="X20" s="38">
        <v>2</v>
      </c>
      <c r="Y20" s="38">
        <v>4</v>
      </c>
      <c r="Z20" s="42">
        <v>0.03</v>
      </c>
    </row>
    <row r="21" spans="1:26" x14ac:dyDescent="0.3">
      <c r="A21" s="2">
        <v>1000184670</v>
      </c>
      <c r="B21" s="2" t="s">
        <v>147</v>
      </c>
      <c r="C21" s="4">
        <v>1000185711</v>
      </c>
      <c r="D21" s="4" t="s">
        <v>167</v>
      </c>
      <c r="E21" s="2">
        <v>1000184762</v>
      </c>
      <c r="F21" s="2" t="s">
        <v>58</v>
      </c>
      <c r="G21" s="4">
        <v>1000189815</v>
      </c>
      <c r="H21" s="4" t="s">
        <v>59</v>
      </c>
      <c r="I21" s="2">
        <v>1000189755</v>
      </c>
      <c r="J21" s="2" t="s">
        <v>160</v>
      </c>
      <c r="K21" s="38">
        <f t="shared" si="3"/>
        <v>0</v>
      </c>
      <c r="L21" s="38">
        <f t="shared" ref="L21:V21" si="20">IF(ROUNDUP(K21*(1+$Z21),0)&gt;$Y21,$Y21,ROUNDUP(K21*(1+$Z21),0))</f>
        <v>0</v>
      </c>
      <c r="M21" s="38">
        <f t="shared" si="20"/>
        <v>0</v>
      </c>
      <c r="N21" s="38">
        <f t="shared" si="20"/>
        <v>0</v>
      </c>
      <c r="O21" s="38">
        <f t="shared" si="20"/>
        <v>0</v>
      </c>
      <c r="P21" s="38">
        <f t="shared" si="20"/>
        <v>0</v>
      </c>
      <c r="Q21" s="38">
        <f t="shared" si="20"/>
        <v>0</v>
      </c>
      <c r="R21" s="38">
        <f t="shared" si="20"/>
        <v>0</v>
      </c>
      <c r="S21" s="38">
        <f t="shared" si="20"/>
        <v>0</v>
      </c>
      <c r="T21" s="38">
        <f t="shared" si="20"/>
        <v>0</v>
      </c>
      <c r="U21" s="38">
        <f t="shared" si="20"/>
        <v>0</v>
      </c>
      <c r="V21" s="38">
        <f t="shared" si="20"/>
        <v>0</v>
      </c>
      <c r="W21" s="29"/>
      <c r="X21" s="38">
        <v>0</v>
      </c>
      <c r="Y21" s="38">
        <v>4</v>
      </c>
      <c r="Z21" s="42">
        <v>0.03</v>
      </c>
    </row>
    <row r="22" spans="1:26" x14ac:dyDescent="0.3">
      <c r="A22" s="2">
        <v>1000184670</v>
      </c>
      <c r="B22" s="2" t="s">
        <v>147</v>
      </c>
      <c r="C22" s="4">
        <v>1000186197</v>
      </c>
      <c r="D22" s="4" t="s">
        <v>166</v>
      </c>
      <c r="E22" s="2">
        <v>1000184758</v>
      </c>
      <c r="F22" s="2" t="s">
        <v>55</v>
      </c>
      <c r="G22" s="4">
        <v>1000189786</v>
      </c>
      <c r="H22" s="4" t="s">
        <v>104</v>
      </c>
      <c r="I22" s="2">
        <v>1000195872</v>
      </c>
      <c r="J22" s="2" t="s">
        <v>161</v>
      </c>
      <c r="K22" s="38">
        <f t="shared" si="3"/>
        <v>1</v>
      </c>
      <c r="L22" s="38">
        <f t="shared" ref="L22:V22" si="21">IF(ROUNDUP(K22*(1+$Z22),0)&gt;$Y22,$Y22,ROUNDUP(K22*(1+$Z22),0))</f>
        <v>1</v>
      </c>
      <c r="M22" s="38">
        <f t="shared" si="21"/>
        <v>1</v>
      </c>
      <c r="N22" s="38">
        <f t="shared" si="21"/>
        <v>1</v>
      </c>
      <c r="O22" s="38">
        <f t="shared" si="21"/>
        <v>1</v>
      </c>
      <c r="P22" s="38">
        <f t="shared" si="21"/>
        <v>1</v>
      </c>
      <c r="Q22" s="38">
        <f t="shared" si="21"/>
        <v>1</v>
      </c>
      <c r="R22" s="38">
        <f t="shared" si="21"/>
        <v>1</v>
      </c>
      <c r="S22" s="38">
        <f t="shared" si="21"/>
        <v>1</v>
      </c>
      <c r="T22" s="38">
        <f t="shared" si="21"/>
        <v>1</v>
      </c>
      <c r="U22" s="38">
        <f t="shared" si="21"/>
        <v>1</v>
      </c>
      <c r="V22" s="38">
        <f t="shared" si="21"/>
        <v>1</v>
      </c>
      <c r="W22" s="29"/>
      <c r="X22" s="38">
        <v>1</v>
      </c>
      <c r="Y22" s="38">
        <v>1</v>
      </c>
      <c r="Z22" s="42">
        <v>0.03</v>
      </c>
    </row>
    <row r="23" spans="1:26" x14ac:dyDescent="0.3">
      <c r="A23" s="2">
        <v>1000184670</v>
      </c>
      <c r="B23" s="2" t="s">
        <v>147</v>
      </c>
      <c r="C23" s="4"/>
      <c r="D23" s="4"/>
      <c r="E23" s="2">
        <v>1000184756</v>
      </c>
      <c r="F23" s="2" t="s">
        <v>53</v>
      </c>
      <c r="G23" s="4">
        <v>1000189773</v>
      </c>
      <c r="H23" s="4" t="s">
        <v>93</v>
      </c>
      <c r="I23" s="2">
        <v>1000189270</v>
      </c>
      <c r="J23" s="2" t="s">
        <v>34</v>
      </c>
      <c r="K23" s="38">
        <f>X23</f>
        <v>12</v>
      </c>
      <c r="L23" s="38">
        <f>ROUNDUP(K23*(1+$Z23),0)</f>
        <v>12</v>
      </c>
      <c r="M23" s="38">
        <f t="shared" ref="M23:V23" si="22">ROUNDUP(L23*(1+$Z23),0)</f>
        <v>12</v>
      </c>
      <c r="N23" s="38">
        <f t="shared" si="22"/>
        <v>12</v>
      </c>
      <c r="O23" s="38">
        <f t="shared" si="22"/>
        <v>12</v>
      </c>
      <c r="P23" s="38">
        <f t="shared" si="22"/>
        <v>12</v>
      </c>
      <c r="Q23" s="38">
        <f t="shared" si="22"/>
        <v>12</v>
      </c>
      <c r="R23" s="38">
        <f t="shared" si="22"/>
        <v>12</v>
      </c>
      <c r="S23" s="38">
        <f t="shared" si="22"/>
        <v>12</v>
      </c>
      <c r="T23" s="38">
        <f t="shared" si="22"/>
        <v>12</v>
      </c>
      <c r="U23" s="38">
        <f t="shared" si="22"/>
        <v>12</v>
      </c>
      <c r="V23" s="38">
        <f t="shared" si="22"/>
        <v>12</v>
      </c>
      <c r="W23" s="29"/>
      <c r="X23" s="38">
        <v>12</v>
      </c>
      <c r="Y23" s="38"/>
      <c r="Z23" s="42">
        <v>0</v>
      </c>
    </row>
    <row r="24" spans="1:26" x14ac:dyDescent="0.3">
      <c r="A24" s="2">
        <v>1000184670</v>
      </c>
      <c r="B24" s="2" t="s">
        <v>147</v>
      </c>
      <c r="C24" s="4"/>
      <c r="D24" s="4"/>
      <c r="E24" s="2">
        <v>1000184756</v>
      </c>
      <c r="F24" s="2" t="s">
        <v>53</v>
      </c>
      <c r="G24" s="4">
        <v>1000189775</v>
      </c>
      <c r="H24" s="4" t="s">
        <v>66</v>
      </c>
      <c r="I24" s="2">
        <v>1000189270</v>
      </c>
      <c r="J24" s="2" t="s">
        <v>34</v>
      </c>
      <c r="K24" s="38">
        <f t="shared" ref="K24:K83" si="23">X24</f>
        <v>53</v>
      </c>
      <c r="L24" s="38">
        <f t="shared" ref="L24:V24" si="24">ROUNDUP(K24*(1+$Z24),0)</f>
        <v>53</v>
      </c>
      <c r="M24" s="38">
        <f t="shared" si="24"/>
        <v>53</v>
      </c>
      <c r="N24" s="38">
        <f t="shared" si="24"/>
        <v>53</v>
      </c>
      <c r="O24" s="38">
        <f t="shared" si="24"/>
        <v>53</v>
      </c>
      <c r="P24" s="38">
        <f t="shared" si="24"/>
        <v>53</v>
      </c>
      <c r="Q24" s="38">
        <f t="shared" si="24"/>
        <v>53</v>
      </c>
      <c r="R24" s="38">
        <f t="shared" si="24"/>
        <v>53</v>
      </c>
      <c r="S24" s="38">
        <f t="shared" si="24"/>
        <v>53</v>
      </c>
      <c r="T24" s="38">
        <f t="shared" si="24"/>
        <v>53</v>
      </c>
      <c r="U24" s="38">
        <f t="shared" si="24"/>
        <v>53</v>
      </c>
      <c r="V24" s="38">
        <f t="shared" si="24"/>
        <v>53</v>
      </c>
      <c r="W24" s="29"/>
      <c r="X24" s="38">
        <v>53</v>
      </c>
      <c r="Y24" s="38"/>
      <c r="Z24" s="42">
        <v>0</v>
      </c>
    </row>
    <row r="25" spans="1:26" x14ac:dyDescent="0.3">
      <c r="A25" s="2">
        <v>1000184670</v>
      </c>
      <c r="B25" s="2" t="s">
        <v>147</v>
      </c>
      <c r="C25" s="4"/>
      <c r="D25" s="4"/>
      <c r="E25" s="2">
        <v>1000184756</v>
      </c>
      <c r="F25" s="2" t="s">
        <v>53</v>
      </c>
      <c r="G25" s="4">
        <v>1000189783</v>
      </c>
      <c r="H25" s="4" t="s">
        <v>86</v>
      </c>
      <c r="I25" s="2">
        <v>1000189270</v>
      </c>
      <c r="J25" s="2" t="s">
        <v>34</v>
      </c>
      <c r="K25" s="38">
        <f t="shared" si="23"/>
        <v>14</v>
      </c>
      <c r="L25" s="38">
        <f t="shared" ref="L25:V25" si="25">ROUNDUP(K25*(1+$Z25),0)</f>
        <v>14</v>
      </c>
      <c r="M25" s="38">
        <f t="shared" si="25"/>
        <v>14</v>
      </c>
      <c r="N25" s="38">
        <f t="shared" si="25"/>
        <v>14</v>
      </c>
      <c r="O25" s="38">
        <f t="shared" si="25"/>
        <v>14</v>
      </c>
      <c r="P25" s="38">
        <f t="shared" si="25"/>
        <v>14</v>
      </c>
      <c r="Q25" s="38">
        <f t="shared" si="25"/>
        <v>14</v>
      </c>
      <c r="R25" s="38">
        <f t="shared" si="25"/>
        <v>14</v>
      </c>
      <c r="S25" s="38">
        <f t="shared" si="25"/>
        <v>14</v>
      </c>
      <c r="T25" s="38">
        <f t="shared" si="25"/>
        <v>14</v>
      </c>
      <c r="U25" s="38">
        <f t="shared" si="25"/>
        <v>14</v>
      </c>
      <c r="V25" s="38">
        <f t="shared" si="25"/>
        <v>14</v>
      </c>
      <c r="W25" s="29"/>
      <c r="X25" s="38">
        <v>14</v>
      </c>
      <c r="Y25" s="38"/>
      <c r="Z25" s="42">
        <v>0</v>
      </c>
    </row>
    <row r="26" spans="1:26" x14ac:dyDescent="0.3">
      <c r="A26" s="2">
        <v>1000184670</v>
      </c>
      <c r="B26" s="2" t="s">
        <v>147</v>
      </c>
      <c r="C26" s="4"/>
      <c r="D26" s="4"/>
      <c r="E26" s="2">
        <v>1000184756</v>
      </c>
      <c r="F26" s="2" t="s">
        <v>53</v>
      </c>
      <c r="G26" s="4">
        <v>1000189784</v>
      </c>
      <c r="H26" s="4" t="s">
        <v>54</v>
      </c>
      <c r="I26" s="2">
        <v>1000189270</v>
      </c>
      <c r="J26" s="2" t="s">
        <v>34</v>
      </c>
      <c r="K26" s="38">
        <f t="shared" si="23"/>
        <v>28</v>
      </c>
      <c r="L26" s="38">
        <f t="shared" ref="L26:V26" si="26">ROUNDUP(K26*(1+$Z26),0)</f>
        <v>28</v>
      </c>
      <c r="M26" s="38">
        <f t="shared" si="26"/>
        <v>28</v>
      </c>
      <c r="N26" s="38">
        <f t="shared" si="26"/>
        <v>28</v>
      </c>
      <c r="O26" s="38">
        <f t="shared" si="26"/>
        <v>28</v>
      </c>
      <c r="P26" s="38">
        <f t="shared" si="26"/>
        <v>28</v>
      </c>
      <c r="Q26" s="38">
        <f t="shared" si="26"/>
        <v>28</v>
      </c>
      <c r="R26" s="38">
        <f t="shared" si="26"/>
        <v>28</v>
      </c>
      <c r="S26" s="38">
        <f t="shared" si="26"/>
        <v>28</v>
      </c>
      <c r="T26" s="38">
        <f t="shared" si="26"/>
        <v>28</v>
      </c>
      <c r="U26" s="38">
        <f t="shared" si="26"/>
        <v>28</v>
      </c>
      <c r="V26" s="38">
        <f t="shared" si="26"/>
        <v>28</v>
      </c>
      <c r="W26" s="29"/>
      <c r="X26" s="38">
        <v>28</v>
      </c>
      <c r="Y26" s="38"/>
      <c r="Z26" s="42">
        <v>0</v>
      </c>
    </row>
    <row r="27" spans="1:26" x14ac:dyDescent="0.3">
      <c r="A27" s="2">
        <v>1000184670</v>
      </c>
      <c r="B27" s="2" t="s">
        <v>147</v>
      </c>
      <c r="C27" s="4"/>
      <c r="D27" s="4"/>
      <c r="E27" s="2">
        <v>1000184756</v>
      </c>
      <c r="F27" s="2" t="s">
        <v>53</v>
      </c>
      <c r="G27" s="4">
        <v>1000189824</v>
      </c>
      <c r="H27" s="4" t="s">
        <v>100</v>
      </c>
      <c r="I27" s="2">
        <v>1000189270</v>
      </c>
      <c r="J27" s="2" t="s">
        <v>34</v>
      </c>
      <c r="K27" s="38">
        <f t="shared" si="23"/>
        <v>10</v>
      </c>
      <c r="L27" s="38">
        <f t="shared" ref="L27:V27" si="27">ROUNDUP(K27*(1+$Z27),0)</f>
        <v>10</v>
      </c>
      <c r="M27" s="38">
        <f t="shared" si="27"/>
        <v>10</v>
      </c>
      <c r="N27" s="38">
        <f t="shared" si="27"/>
        <v>10</v>
      </c>
      <c r="O27" s="38">
        <f t="shared" si="27"/>
        <v>10</v>
      </c>
      <c r="P27" s="38">
        <f t="shared" si="27"/>
        <v>10</v>
      </c>
      <c r="Q27" s="38">
        <f t="shared" si="27"/>
        <v>10</v>
      </c>
      <c r="R27" s="38">
        <f t="shared" si="27"/>
        <v>10</v>
      </c>
      <c r="S27" s="38">
        <f t="shared" si="27"/>
        <v>10</v>
      </c>
      <c r="T27" s="38">
        <f t="shared" si="27"/>
        <v>10</v>
      </c>
      <c r="U27" s="38">
        <f t="shared" si="27"/>
        <v>10</v>
      </c>
      <c r="V27" s="38">
        <f t="shared" si="27"/>
        <v>10</v>
      </c>
      <c r="W27" s="29"/>
      <c r="X27" s="38">
        <v>10</v>
      </c>
      <c r="Y27" s="38"/>
      <c r="Z27" s="42">
        <v>0</v>
      </c>
    </row>
    <row r="28" spans="1:26" x14ac:dyDescent="0.3">
      <c r="A28" s="2">
        <v>1000184670</v>
      </c>
      <c r="B28" s="2" t="s">
        <v>147</v>
      </c>
      <c r="C28" s="4"/>
      <c r="D28" s="4"/>
      <c r="E28" s="2">
        <v>1000184757</v>
      </c>
      <c r="F28" s="2" t="s">
        <v>62</v>
      </c>
      <c r="G28" s="4">
        <v>1000189765</v>
      </c>
      <c r="H28" s="4" t="s">
        <v>99</v>
      </c>
      <c r="I28" s="2">
        <v>1000189270</v>
      </c>
      <c r="J28" s="2" t="s">
        <v>34</v>
      </c>
      <c r="K28" s="38">
        <f t="shared" si="23"/>
        <v>9</v>
      </c>
      <c r="L28" s="38">
        <f t="shared" ref="L28:V28" si="28">ROUNDUP(K28*(1+$Z28),0)</f>
        <v>9</v>
      </c>
      <c r="M28" s="38">
        <f t="shared" si="28"/>
        <v>9</v>
      </c>
      <c r="N28" s="38">
        <f t="shared" si="28"/>
        <v>9</v>
      </c>
      <c r="O28" s="38">
        <f t="shared" si="28"/>
        <v>9</v>
      </c>
      <c r="P28" s="38">
        <f t="shared" si="28"/>
        <v>9</v>
      </c>
      <c r="Q28" s="38">
        <f t="shared" si="28"/>
        <v>9</v>
      </c>
      <c r="R28" s="38">
        <f t="shared" si="28"/>
        <v>9</v>
      </c>
      <c r="S28" s="38">
        <f t="shared" si="28"/>
        <v>9</v>
      </c>
      <c r="T28" s="38">
        <f t="shared" si="28"/>
        <v>9</v>
      </c>
      <c r="U28" s="38">
        <f t="shared" si="28"/>
        <v>9</v>
      </c>
      <c r="V28" s="38">
        <f t="shared" si="28"/>
        <v>9</v>
      </c>
      <c r="W28" s="29"/>
      <c r="X28" s="38">
        <v>9</v>
      </c>
      <c r="Y28" s="38"/>
      <c r="Z28" s="42">
        <v>0</v>
      </c>
    </row>
    <row r="29" spans="1:26" x14ac:dyDescent="0.3">
      <c r="A29" s="2">
        <v>1000184670</v>
      </c>
      <c r="B29" s="2" t="s">
        <v>147</v>
      </c>
      <c r="C29" s="4"/>
      <c r="D29" s="4"/>
      <c r="E29" s="2">
        <v>1000184757</v>
      </c>
      <c r="F29" s="2" t="s">
        <v>62</v>
      </c>
      <c r="G29" s="4">
        <v>1000189768</v>
      </c>
      <c r="H29" s="4" t="s">
        <v>88</v>
      </c>
      <c r="I29" s="2">
        <v>1000189270</v>
      </c>
      <c r="J29" s="2" t="s">
        <v>34</v>
      </c>
      <c r="K29" s="38">
        <f t="shared" si="23"/>
        <v>12</v>
      </c>
      <c r="L29" s="38">
        <f t="shared" ref="L29:V29" si="29">ROUNDUP(K29*(1+$Z29),0)</f>
        <v>12</v>
      </c>
      <c r="M29" s="38">
        <f t="shared" si="29"/>
        <v>12</v>
      </c>
      <c r="N29" s="38">
        <f t="shared" si="29"/>
        <v>12</v>
      </c>
      <c r="O29" s="38">
        <f t="shared" si="29"/>
        <v>12</v>
      </c>
      <c r="P29" s="38">
        <f t="shared" si="29"/>
        <v>12</v>
      </c>
      <c r="Q29" s="38">
        <f t="shared" si="29"/>
        <v>12</v>
      </c>
      <c r="R29" s="38">
        <f t="shared" si="29"/>
        <v>12</v>
      </c>
      <c r="S29" s="38">
        <f t="shared" si="29"/>
        <v>12</v>
      </c>
      <c r="T29" s="38">
        <f t="shared" si="29"/>
        <v>12</v>
      </c>
      <c r="U29" s="38">
        <f t="shared" si="29"/>
        <v>12</v>
      </c>
      <c r="V29" s="38">
        <f t="shared" si="29"/>
        <v>12</v>
      </c>
      <c r="W29" s="29"/>
      <c r="X29" s="38">
        <v>12</v>
      </c>
      <c r="Y29" s="38"/>
      <c r="Z29" s="42">
        <v>0</v>
      </c>
    </row>
    <row r="30" spans="1:26" x14ac:dyDescent="0.3">
      <c r="A30" s="2">
        <v>1000184670</v>
      </c>
      <c r="B30" s="2" t="s">
        <v>147</v>
      </c>
      <c r="C30" s="4"/>
      <c r="D30" s="4"/>
      <c r="E30" s="2">
        <v>1000184757</v>
      </c>
      <c r="F30" s="2" t="s">
        <v>62</v>
      </c>
      <c r="G30" s="4">
        <v>1000189769</v>
      </c>
      <c r="H30" s="4" t="s">
        <v>67</v>
      </c>
      <c r="I30" s="2">
        <v>1000189270</v>
      </c>
      <c r="J30" s="2" t="s">
        <v>34</v>
      </c>
      <c r="K30" s="38">
        <f t="shared" si="23"/>
        <v>20</v>
      </c>
      <c r="L30" s="38">
        <f t="shared" ref="L30:V30" si="30">ROUNDUP(K30*(1+$Z30),0)</f>
        <v>20</v>
      </c>
      <c r="M30" s="38">
        <f t="shared" si="30"/>
        <v>20</v>
      </c>
      <c r="N30" s="38">
        <f t="shared" si="30"/>
        <v>20</v>
      </c>
      <c r="O30" s="38">
        <f t="shared" si="30"/>
        <v>20</v>
      </c>
      <c r="P30" s="38">
        <f t="shared" si="30"/>
        <v>20</v>
      </c>
      <c r="Q30" s="38">
        <f t="shared" si="30"/>
        <v>20</v>
      </c>
      <c r="R30" s="38">
        <f t="shared" si="30"/>
        <v>20</v>
      </c>
      <c r="S30" s="38">
        <f t="shared" si="30"/>
        <v>20</v>
      </c>
      <c r="T30" s="38">
        <f t="shared" si="30"/>
        <v>20</v>
      </c>
      <c r="U30" s="38">
        <f t="shared" si="30"/>
        <v>20</v>
      </c>
      <c r="V30" s="38">
        <f t="shared" si="30"/>
        <v>20</v>
      </c>
      <c r="W30" s="29"/>
      <c r="X30" s="38">
        <v>20</v>
      </c>
      <c r="Y30" s="38"/>
      <c r="Z30" s="42">
        <v>0</v>
      </c>
    </row>
    <row r="31" spans="1:26" x14ac:dyDescent="0.3">
      <c r="A31" s="2">
        <v>1000184670</v>
      </c>
      <c r="B31" s="2" t="s">
        <v>147</v>
      </c>
      <c r="C31" s="4"/>
      <c r="D31" s="4"/>
      <c r="E31" s="2">
        <v>1000184757</v>
      </c>
      <c r="F31" s="2" t="s">
        <v>62</v>
      </c>
      <c r="G31" s="4">
        <v>1000189770</v>
      </c>
      <c r="H31" s="4" t="s">
        <v>75</v>
      </c>
      <c r="I31" s="2">
        <v>1000189270</v>
      </c>
      <c r="J31" s="2" t="s">
        <v>34</v>
      </c>
      <c r="K31" s="38">
        <f t="shared" si="23"/>
        <v>21</v>
      </c>
      <c r="L31" s="38">
        <f t="shared" ref="L31:V31" si="31">ROUNDUP(K31*(1+$Z31),0)</f>
        <v>21</v>
      </c>
      <c r="M31" s="38">
        <f t="shared" si="31"/>
        <v>21</v>
      </c>
      <c r="N31" s="38">
        <f t="shared" si="31"/>
        <v>21</v>
      </c>
      <c r="O31" s="38">
        <f t="shared" si="31"/>
        <v>21</v>
      </c>
      <c r="P31" s="38">
        <f t="shared" si="31"/>
        <v>21</v>
      </c>
      <c r="Q31" s="38">
        <f t="shared" si="31"/>
        <v>21</v>
      </c>
      <c r="R31" s="38">
        <f t="shared" si="31"/>
        <v>21</v>
      </c>
      <c r="S31" s="38">
        <f t="shared" si="31"/>
        <v>21</v>
      </c>
      <c r="T31" s="38">
        <f t="shared" si="31"/>
        <v>21</v>
      </c>
      <c r="U31" s="38">
        <f t="shared" si="31"/>
        <v>21</v>
      </c>
      <c r="V31" s="38">
        <f t="shared" si="31"/>
        <v>21</v>
      </c>
      <c r="W31" s="29"/>
      <c r="X31" s="38">
        <v>21</v>
      </c>
      <c r="Y31" s="38"/>
      <c r="Z31" s="42">
        <v>0</v>
      </c>
    </row>
    <row r="32" spans="1:26" x14ac:dyDescent="0.3">
      <c r="A32" s="2">
        <v>1000184670</v>
      </c>
      <c r="B32" s="2" t="s">
        <v>147</v>
      </c>
      <c r="C32" s="4"/>
      <c r="D32" s="4"/>
      <c r="E32" s="2">
        <v>1000184757</v>
      </c>
      <c r="F32" s="2" t="s">
        <v>62</v>
      </c>
      <c r="G32" s="4">
        <v>1000189771</v>
      </c>
      <c r="H32" s="4" t="s">
        <v>101</v>
      </c>
      <c r="I32" s="2">
        <v>1000189270</v>
      </c>
      <c r="J32" s="2" t="s">
        <v>34</v>
      </c>
      <c r="K32" s="38">
        <f t="shared" si="23"/>
        <v>9</v>
      </c>
      <c r="L32" s="38">
        <f t="shared" ref="L32:V32" si="32">ROUNDUP(K32*(1+$Z32),0)</f>
        <v>9</v>
      </c>
      <c r="M32" s="38">
        <f t="shared" si="32"/>
        <v>9</v>
      </c>
      <c r="N32" s="38">
        <f t="shared" si="32"/>
        <v>9</v>
      </c>
      <c r="O32" s="38">
        <f t="shared" si="32"/>
        <v>9</v>
      </c>
      <c r="P32" s="38">
        <f t="shared" si="32"/>
        <v>9</v>
      </c>
      <c r="Q32" s="38">
        <f t="shared" si="32"/>
        <v>9</v>
      </c>
      <c r="R32" s="38">
        <f t="shared" si="32"/>
        <v>9</v>
      </c>
      <c r="S32" s="38">
        <f t="shared" si="32"/>
        <v>9</v>
      </c>
      <c r="T32" s="38">
        <f t="shared" si="32"/>
        <v>9</v>
      </c>
      <c r="U32" s="38">
        <f t="shared" si="32"/>
        <v>9</v>
      </c>
      <c r="V32" s="38">
        <f t="shared" si="32"/>
        <v>9</v>
      </c>
      <c r="W32" s="29"/>
      <c r="X32" s="38">
        <v>9</v>
      </c>
      <c r="Y32" s="38"/>
      <c r="Z32" s="42">
        <v>0</v>
      </c>
    </row>
    <row r="33" spans="1:26" x14ac:dyDescent="0.3">
      <c r="A33" s="2">
        <v>1000184670</v>
      </c>
      <c r="B33" s="2" t="s">
        <v>147</v>
      </c>
      <c r="C33" s="4"/>
      <c r="D33" s="4"/>
      <c r="E33" s="2">
        <v>1000184757</v>
      </c>
      <c r="F33" s="2" t="s">
        <v>62</v>
      </c>
      <c r="G33" s="4">
        <v>1000189772</v>
      </c>
      <c r="H33" s="4" t="s">
        <v>98</v>
      </c>
      <c r="I33" s="2">
        <v>1000189270</v>
      </c>
      <c r="J33" s="2" t="s">
        <v>34</v>
      </c>
      <c r="K33" s="38">
        <f t="shared" si="23"/>
        <v>17</v>
      </c>
      <c r="L33" s="38">
        <f t="shared" ref="L33:V33" si="33">ROUNDUP(K33*(1+$Z33),0)</f>
        <v>17</v>
      </c>
      <c r="M33" s="38">
        <f t="shared" si="33"/>
        <v>17</v>
      </c>
      <c r="N33" s="38">
        <f t="shared" si="33"/>
        <v>17</v>
      </c>
      <c r="O33" s="38">
        <f t="shared" si="33"/>
        <v>17</v>
      </c>
      <c r="P33" s="38">
        <f t="shared" si="33"/>
        <v>17</v>
      </c>
      <c r="Q33" s="38">
        <f t="shared" si="33"/>
        <v>17</v>
      </c>
      <c r="R33" s="38">
        <f t="shared" si="33"/>
        <v>17</v>
      </c>
      <c r="S33" s="38">
        <f t="shared" si="33"/>
        <v>17</v>
      </c>
      <c r="T33" s="38">
        <f t="shared" si="33"/>
        <v>17</v>
      </c>
      <c r="U33" s="38">
        <f t="shared" si="33"/>
        <v>17</v>
      </c>
      <c r="V33" s="38">
        <f t="shared" si="33"/>
        <v>17</v>
      </c>
      <c r="W33" s="29"/>
      <c r="X33" s="38">
        <v>17</v>
      </c>
      <c r="Y33" s="38"/>
      <c r="Z33" s="42">
        <v>0</v>
      </c>
    </row>
    <row r="34" spans="1:26" x14ac:dyDescent="0.3">
      <c r="A34" s="2">
        <v>1000184670</v>
      </c>
      <c r="B34" s="2" t="s">
        <v>147</v>
      </c>
      <c r="C34" s="4"/>
      <c r="D34" s="4"/>
      <c r="E34" s="2">
        <v>1000184757</v>
      </c>
      <c r="F34" s="2" t="s">
        <v>62</v>
      </c>
      <c r="G34" s="4">
        <v>1000189787</v>
      </c>
      <c r="H34" s="4" t="s">
        <v>63</v>
      </c>
      <c r="I34" s="2">
        <v>1000189270</v>
      </c>
      <c r="J34" s="2" t="s">
        <v>34</v>
      </c>
      <c r="K34" s="38">
        <f t="shared" si="23"/>
        <v>5</v>
      </c>
      <c r="L34" s="38">
        <f t="shared" ref="L34:V34" si="34">ROUNDUP(K34*(1+$Z34),0)</f>
        <v>5</v>
      </c>
      <c r="M34" s="38">
        <f t="shared" si="34"/>
        <v>5</v>
      </c>
      <c r="N34" s="38">
        <f t="shared" si="34"/>
        <v>5</v>
      </c>
      <c r="O34" s="38">
        <f t="shared" si="34"/>
        <v>5</v>
      </c>
      <c r="P34" s="38">
        <f t="shared" si="34"/>
        <v>5</v>
      </c>
      <c r="Q34" s="38">
        <f t="shared" si="34"/>
        <v>5</v>
      </c>
      <c r="R34" s="38">
        <f t="shared" si="34"/>
        <v>5</v>
      </c>
      <c r="S34" s="38">
        <f t="shared" si="34"/>
        <v>5</v>
      </c>
      <c r="T34" s="38">
        <f t="shared" si="34"/>
        <v>5</v>
      </c>
      <c r="U34" s="38">
        <f t="shared" si="34"/>
        <v>5</v>
      </c>
      <c r="V34" s="38">
        <f t="shared" si="34"/>
        <v>5</v>
      </c>
      <c r="W34" s="29"/>
      <c r="X34" s="38">
        <v>5</v>
      </c>
      <c r="Y34" s="38"/>
      <c r="Z34" s="42">
        <v>0</v>
      </c>
    </row>
    <row r="35" spans="1:26" x14ac:dyDescent="0.3">
      <c r="A35" s="2">
        <v>1000184670</v>
      </c>
      <c r="B35" s="2" t="s">
        <v>147</v>
      </c>
      <c r="C35" s="4"/>
      <c r="D35" s="4"/>
      <c r="E35" s="2">
        <v>1000184757</v>
      </c>
      <c r="F35" s="2" t="s">
        <v>62</v>
      </c>
      <c r="G35" s="4">
        <v>1000189788</v>
      </c>
      <c r="H35" s="4" t="s">
        <v>102</v>
      </c>
      <c r="I35" s="2">
        <v>1000189270</v>
      </c>
      <c r="J35" s="2" t="s">
        <v>34</v>
      </c>
      <c r="K35" s="38">
        <f t="shared" si="23"/>
        <v>7</v>
      </c>
      <c r="L35" s="38">
        <f t="shared" ref="L35:V35" si="35">ROUNDUP(K35*(1+$Z35),0)</f>
        <v>7</v>
      </c>
      <c r="M35" s="38">
        <f t="shared" si="35"/>
        <v>7</v>
      </c>
      <c r="N35" s="38">
        <f t="shared" si="35"/>
        <v>7</v>
      </c>
      <c r="O35" s="38">
        <f t="shared" si="35"/>
        <v>7</v>
      </c>
      <c r="P35" s="38">
        <f t="shared" si="35"/>
        <v>7</v>
      </c>
      <c r="Q35" s="38">
        <f t="shared" si="35"/>
        <v>7</v>
      </c>
      <c r="R35" s="38">
        <f t="shared" si="35"/>
        <v>7</v>
      </c>
      <c r="S35" s="38">
        <f t="shared" si="35"/>
        <v>7</v>
      </c>
      <c r="T35" s="38">
        <f t="shared" si="35"/>
        <v>7</v>
      </c>
      <c r="U35" s="38">
        <f t="shared" si="35"/>
        <v>7</v>
      </c>
      <c r="V35" s="38">
        <f t="shared" si="35"/>
        <v>7</v>
      </c>
      <c r="W35" s="29"/>
      <c r="X35" s="38">
        <v>7</v>
      </c>
      <c r="Y35" s="38"/>
      <c r="Z35" s="42">
        <v>0</v>
      </c>
    </row>
    <row r="36" spans="1:26" x14ac:dyDescent="0.3">
      <c r="A36" s="2">
        <v>1000184670</v>
      </c>
      <c r="B36" s="2" t="s">
        <v>147</v>
      </c>
      <c r="C36" s="4"/>
      <c r="D36" s="4"/>
      <c r="E36" s="2">
        <v>1000184757</v>
      </c>
      <c r="F36" s="2" t="s">
        <v>62</v>
      </c>
      <c r="G36" s="4">
        <v>1000189789</v>
      </c>
      <c r="H36" s="4" t="s">
        <v>77</v>
      </c>
      <c r="I36" s="2">
        <v>1000189270</v>
      </c>
      <c r="J36" s="2" t="s">
        <v>34</v>
      </c>
      <c r="K36" s="38">
        <f t="shared" si="23"/>
        <v>18</v>
      </c>
      <c r="L36" s="38">
        <f t="shared" ref="L36:V36" si="36">ROUNDUP(K36*(1+$Z36),0)</f>
        <v>18</v>
      </c>
      <c r="M36" s="38">
        <f t="shared" si="36"/>
        <v>18</v>
      </c>
      <c r="N36" s="38">
        <f t="shared" si="36"/>
        <v>18</v>
      </c>
      <c r="O36" s="38">
        <f t="shared" si="36"/>
        <v>18</v>
      </c>
      <c r="P36" s="38">
        <f t="shared" si="36"/>
        <v>18</v>
      </c>
      <c r="Q36" s="38">
        <f t="shared" si="36"/>
        <v>18</v>
      </c>
      <c r="R36" s="38">
        <f t="shared" si="36"/>
        <v>18</v>
      </c>
      <c r="S36" s="38">
        <f t="shared" si="36"/>
        <v>18</v>
      </c>
      <c r="T36" s="38">
        <f t="shared" si="36"/>
        <v>18</v>
      </c>
      <c r="U36" s="38">
        <f t="shared" si="36"/>
        <v>18</v>
      </c>
      <c r="V36" s="38">
        <f t="shared" si="36"/>
        <v>18</v>
      </c>
      <c r="W36" s="29"/>
      <c r="X36" s="38">
        <v>18</v>
      </c>
      <c r="Y36" s="38"/>
      <c r="Z36" s="42">
        <v>0</v>
      </c>
    </row>
    <row r="37" spans="1:26" x14ac:dyDescent="0.3">
      <c r="A37" s="2">
        <v>1000184670</v>
      </c>
      <c r="B37" s="2" t="s">
        <v>147</v>
      </c>
      <c r="C37" s="4"/>
      <c r="D37" s="4"/>
      <c r="E37" s="2">
        <v>1000184757</v>
      </c>
      <c r="F37" s="2" t="s">
        <v>62</v>
      </c>
      <c r="G37" s="4">
        <v>1000189790</v>
      </c>
      <c r="H37" s="4" t="s">
        <v>103</v>
      </c>
      <c r="I37" s="2">
        <v>1000189270</v>
      </c>
      <c r="J37" s="2" t="s">
        <v>34</v>
      </c>
      <c r="K37" s="38">
        <f t="shared" si="23"/>
        <v>7</v>
      </c>
      <c r="L37" s="38">
        <f t="shared" ref="L37:V37" si="37">ROUNDUP(K37*(1+$Z37),0)</f>
        <v>7</v>
      </c>
      <c r="M37" s="38">
        <f t="shared" si="37"/>
        <v>7</v>
      </c>
      <c r="N37" s="38">
        <f t="shared" si="37"/>
        <v>7</v>
      </c>
      <c r="O37" s="38">
        <f t="shared" si="37"/>
        <v>7</v>
      </c>
      <c r="P37" s="38">
        <f t="shared" si="37"/>
        <v>7</v>
      </c>
      <c r="Q37" s="38">
        <f t="shared" si="37"/>
        <v>7</v>
      </c>
      <c r="R37" s="38">
        <f t="shared" si="37"/>
        <v>7</v>
      </c>
      <c r="S37" s="38">
        <f t="shared" si="37"/>
        <v>7</v>
      </c>
      <c r="T37" s="38">
        <f t="shared" si="37"/>
        <v>7</v>
      </c>
      <c r="U37" s="38">
        <f t="shared" si="37"/>
        <v>7</v>
      </c>
      <c r="V37" s="38">
        <f t="shared" si="37"/>
        <v>7</v>
      </c>
      <c r="W37" s="29"/>
      <c r="X37" s="38">
        <v>7</v>
      </c>
      <c r="Y37" s="38"/>
      <c r="Z37" s="42">
        <v>0</v>
      </c>
    </row>
    <row r="38" spans="1:26" x14ac:dyDescent="0.3">
      <c r="A38" s="2">
        <v>1000184670</v>
      </c>
      <c r="B38" s="2" t="s">
        <v>147</v>
      </c>
      <c r="C38" s="4"/>
      <c r="D38" s="4"/>
      <c r="E38" s="2">
        <v>1000184757</v>
      </c>
      <c r="F38" s="2" t="s">
        <v>62</v>
      </c>
      <c r="G38" s="4">
        <v>1000189791</v>
      </c>
      <c r="H38" s="4" t="s">
        <v>78</v>
      </c>
      <c r="I38" s="2">
        <v>1000189270</v>
      </c>
      <c r="J38" s="2" t="s">
        <v>34</v>
      </c>
      <c r="K38" s="38">
        <f t="shared" si="23"/>
        <v>11</v>
      </c>
      <c r="L38" s="38">
        <f t="shared" ref="L38:V38" si="38">ROUNDUP(K38*(1+$Z38),0)</f>
        <v>11</v>
      </c>
      <c r="M38" s="38">
        <f t="shared" si="38"/>
        <v>11</v>
      </c>
      <c r="N38" s="38">
        <f t="shared" si="38"/>
        <v>11</v>
      </c>
      <c r="O38" s="38">
        <f t="shared" si="38"/>
        <v>11</v>
      </c>
      <c r="P38" s="38">
        <f t="shared" si="38"/>
        <v>11</v>
      </c>
      <c r="Q38" s="38">
        <f t="shared" si="38"/>
        <v>11</v>
      </c>
      <c r="R38" s="38">
        <f t="shared" si="38"/>
        <v>11</v>
      </c>
      <c r="S38" s="38">
        <f t="shared" si="38"/>
        <v>11</v>
      </c>
      <c r="T38" s="38">
        <f t="shared" si="38"/>
        <v>11</v>
      </c>
      <c r="U38" s="38">
        <f t="shared" si="38"/>
        <v>11</v>
      </c>
      <c r="V38" s="38">
        <f t="shared" si="38"/>
        <v>11</v>
      </c>
      <c r="W38" s="29"/>
      <c r="X38" s="38">
        <v>11</v>
      </c>
      <c r="Y38" s="38"/>
      <c r="Z38" s="42">
        <v>0</v>
      </c>
    </row>
    <row r="39" spans="1:26" x14ac:dyDescent="0.3">
      <c r="A39" s="2">
        <v>1000184670</v>
      </c>
      <c r="B39" s="2" t="s">
        <v>147</v>
      </c>
      <c r="C39" s="4"/>
      <c r="D39" s="4"/>
      <c r="E39" s="2">
        <v>1000184757</v>
      </c>
      <c r="F39" s="2" t="s">
        <v>62</v>
      </c>
      <c r="G39" s="4">
        <v>1000189800</v>
      </c>
      <c r="H39" s="4" t="s">
        <v>95</v>
      </c>
      <c r="I39" s="2">
        <v>1000189270</v>
      </c>
      <c r="J39" s="2" t="s">
        <v>34</v>
      </c>
      <c r="K39" s="38">
        <f t="shared" si="23"/>
        <v>23</v>
      </c>
      <c r="L39" s="38">
        <f t="shared" ref="L39:V39" si="39">ROUNDUP(K39*(1+$Z39),0)</f>
        <v>23</v>
      </c>
      <c r="M39" s="38">
        <f t="shared" si="39"/>
        <v>23</v>
      </c>
      <c r="N39" s="38">
        <f t="shared" si="39"/>
        <v>23</v>
      </c>
      <c r="O39" s="38">
        <f t="shared" si="39"/>
        <v>23</v>
      </c>
      <c r="P39" s="38">
        <f t="shared" si="39"/>
        <v>23</v>
      </c>
      <c r="Q39" s="38">
        <f t="shared" si="39"/>
        <v>23</v>
      </c>
      <c r="R39" s="38">
        <f t="shared" si="39"/>
        <v>23</v>
      </c>
      <c r="S39" s="38">
        <f t="shared" si="39"/>
        <v>23</v>
      </c>
      <c r="T39" s="38">
        <f t="shared" si="39"/>
        <v>23</v>
      </c>
      <c r="U39" s="38">
        <f t="shared" si="39"/>
        <v>23</v>
      </c>
      <c r="V39" s="38">
        <f t="shared" si="39"/>
        <v>23</v>
      </c>
      <c r="W39" s="29"/>
      <c r="X39" s="38">
        <v>23</v>
      </c>
      <c r="Y39" s="38"/>
      <c r="Z39" s="42">
        <v>0</v>
      </c>
    </row>
    <row r="40" spans="1:26" x14ac:dyDescent="0.3">
      <c r="A40" s="2">
        <v>1000184670</v>
      </c>
      <c r="B40" s="2" t="s">
        <v>147</v>
      </c>
      <c r="C40" s="4"/>
      <c r="D40" s="4"/>
      <c r="E40" s="2">
        <v>1000184757</v>
      </c>
      <c r="F40" s="2" t="s">
        <v>62</v>
      </c>
      <c r="G40" s="4">
        <v>1000189811</v>
      </c>
      <c r="H40" s="4" t="s">
        <v>76</v>
      </c>
      <c r="I40" s="2">
        <v>1000189270</v>
      </c>
      <c r="J40" s="2" t="s">
        <v>34</v>
      </c>
      <c r="K40" s="38">
        <f t="shared" si="23"/>
        <v>4</v>
      </c>
      <c r="L40" s="38">
        <f t="shared" ref="L40:V40" si="40">ROUNDUP(K40*(1+$Z40),0)</f>
        <v>4</v>
      </c>
      <c r="M40" s="38">
        <f t="shared" si="40"/>
        <v>4</v>
      </c>
      <c r="N40" s="38">
        <f t="shared" si="40"/>
        <v>4</v>
      </c>
      <c r="O40" s="38">
        <f t="shared" si="40"/>
        <v>4</v>
      </c>
      <c r="P40" s="38">
        <f t="shared" si="40"/>
        <v>4</v>
      </c>
      <c r="Q40" s="38">
        <f t="shared" si="40"/>
        <v>4</v>
      </c>
      <c r="R40" s="38">
        <f t="shared" si="40"/>
        <v>4</v>
      </c>
      <c r="S40" s="38">
        <f t="shared" si="40"/>
        <v>4</v>
      </c>
      <c r="T40" s="38">
        <f t="shared" si="40"/>
        <v>4</v>
      </c>
      <c r="U40" s="38">
        <f t="shared" si="40"/>
        <v>4</v>
      </c>
      <c r="V40" s="38">
        <f t="shared" si="40"/>
        <v>4</v>
      </c>
      <c r="W40" s="29"/>
      <c r="X40" s="38">
        <v>4</v>
      </c>
      <c r="Y40" s="38"/>
      <c r="Z40" s="42">
        <v>0</v>
      </c>
    </row>
    <row r="41" spans="1:26" x14ac:dyDescent="0.3">
      <c r="A41" s="2">
        <v>1000184670</v>
      </c>
      <c r="B41" s="2" t="s">
        <v>147</v>
      </c>
      <c r="C41" s="4"/>
      <c r="D41" s="4"/>
      <c r="E41" s="2">
        <v>1000184758</v>
      </c>
      <c r="F41" s="2" t="s">
        <v>55</v>
      </c>
      <c r="G41" s="4">
        <v>1000189764</v>
      </c>
      <c r="H41" s="4" t="s">
        <v>83</v>
      </c>
      <c r="I41" s="2">
        <v>1000189270</v>
      </c>
      <c r="J41" s="2" t="s">
        <v>34</v>
      </c>
      <c r="K41" s="38">
        <f t="shared" si="23"/>
        <v>0</v>
      </c>
      <c r="L41" s="38">
        <f t="shared" ref="L41:V41" si="41">ROUNDUP(K41*(1+$Z41),0)</f>
        <v>0</v>
      </c>
      <c r="M41" s="38">
        <f t="shared" si="41"/>
        <v>0</v>
      </c>
      <c r="N41" s="38">
        <f t="shared" si="41"/>
        <v>0</v>
      </c>
      <c r="O41" s="38">
        <f t="shared" si="41"/>
        <v>0</v>
      </c>
      <c r="P41" s="38">
        <f t="shared" si="41"/>
        <v>0</v>
      </c>
      <c r="Q41" s="38">
        <f t="shared" si="41"/>
        <v>0</v>
      </c>
      <c r="R41" s="38">
        <f t="shared" si="41"/>
        <v>0</v>
      </c>
      <c r="S41" s="38">
        <f t="shared" si="41"/>
        <v>0</v>
      </c>
      <c r="T41" s="38">
        <f t="shared" si="41"/>
        <v>0</v>
      </c>
      <c r="U41" s="38">
        <f t="shared" si="41"/>
        <v>0</v>
      </c>
      <c r="V41" s="38">
        <f t="shared" si="41"/>
        <v>0</v>
      </c>
      <c r="W41" s="29"/>
      <c r="X41" s="38">
        <v>0</v>
      </c>
      <c r="Y41" s="38"/>
      <c r="Z41" s="42">
        <v>0</v>
      </c>
    </row>
    <row r="42" spans="1:26" x14ac:dyDescent="0.3">
      <c r="A42" s="2">
        <v>1000184670</v>
      </c>
      <c r="B42" s="2" t="s">
        <v>147</v>
      </c>
      <c r="C42" s="4"/>
      <c r="D42" s="4"/>
      <c r="E42" s="2">
        <v>1000184758</v>
      </c>
      <c r="F42" s="2" t="s">
        <v>55</v>
      </c>
      <c r="G42" s="4">
        <v>1000189766</v>
      </c>
      <c r="H42" s="4" t="s">
        <v>69</v>
      </c>
      <c r="I42" s="2">
        <v>1000189270</v>
      </c>
      <c r="J42" s="2" t="s">
        <v>34</v>
      </c>
      <c r="K42" s="38">
        <f t="shared" si="23"/>
        <v>4</v>
      </c>
      <c r="L42" s="38">
        <f t="shared" ref="L42:V42" si="42">ROUNDUP(K42*(1+$Z42),0)</f>
        <v>4</v>
      </c>
      <c r="M42" s="38">
        <f t="shared" si="42"/>
        <v>4</v>
      </c>
      <c r="N42" s="38">
        <f t="shared" si="42"/>
        <v>4</v>
      </c>
      <c r="O42" s="38">
        <f t="shared" si="42"/>
        <v>4</v>
      </c>
      <c r="P42" s="38">
        <f t="shared" si="42"/>
        <v>4</v>
      </c>
      <c r="Q42" s="38">
        <f t="shared" si="42"/>
        <v>4</v>
      </c>
      <c r="R42" s="38">
        <f t="shared" si="42"/>
        <v>4</v>
      </c>
      <c r="S42" s="38">
        <f t="shared" si="42"/>
        <v>4</v>
      </c>
      <c r="T42" s="38">
        <f t="shared" si="42"/>
        <v>4</v>
      </c>
      <c r="U42" s="38">
        <f t="shared" si="42"/>
        <v>4</v>
      </c>
      <c r="V42" s="38">
        <f t="shared" si="42"/>
        <v>4</v>
      </c>
      <c r="W42" s="29"/>
      <c r="X42" s="38">
        <v>4</v>
      </c>
      <c r="Y42" s="38"/>
      <c r="Z42" s="42">
        <v>0</v>
      </c>
    </row>
    <row r="43" spans="1:26" x14ac:dyDescent="0.3">
      <c r="A43" s="2">
        <v>1000184670</v>
      </c>
      <c r="B43" s="2" t="s">
        <v>147</v>
      </c>
      <c r="C43" s="4"/>
      <c r="D43" s="4"/>
      <c r="E43" s="2">
        <v>1000184758</v>
      </c>
      <c r="F43" s="2" t="s">
        <v>55</v>
      </c>
      <c r="G43" s="4">
        <v>1000189767</v>
      </c>
      <c r="H43" s="4" t="s">
        <v>90</v>
      </c>
      <c r="I43" s="2">
        <v>1000189270</v>
      </c>
      <c r="J43" s="2" t="s">
        <v>34</v>
      </c>
      <c r="K43" s="38">
        <f t="shared" si="23"/>
        <v>1</v>
      </c>
      <c r="L43" s="38">
        <f t="shared" ref="L43:V43" si="43">ROUNDUP(K43*(1+$Z43),0)</f>
        <v>1</v>
      </c>
      <c r="M43" s="38">
        <f t="shared" si="43"/>
        <v>1</v>
      </c>
      <c r="N43" s="38">
        <f t="shared" si="43"/>
        <v>1</v>
      </c>
      <c r="O43" s="38">
        <f t="shared" si="43"/>
        <v>1</v>
      </c>
      <c r="P43" s="38">
        <f t="shared" si="43"/>
        <v>1</v>
      </c>
      <c r="Q43" s="38">
        <f t="shared" si="43"/>
        <v>1</v>
      </c>
      <c r="R43" s="38">
        <f t="shared" si="43"/>
        <v>1</v>
      </c>
      <c r="S43" s="38">
        <f t="shared" si="43"/>
        <v>1</v>
      </c>
      <c r="T43" s="38">
        <f t="shared" si="43"/>
        <v>1</v>
      </c>
      <c r="U43" s="38">
        <f t="shared" si="43"/>
        <v>1</v>
      </c>
      <c r="V43" s="38">
        <f t="shared" si="43"/>
        <v>1</v>
      </c>
      <c r="W43" s="29"/>
      <c r="X43" s="38">
        <v>1</v>
      </c>
      <c r="Y43" s="38"/>
      <c r="Z43" s="42">
        <v>0</v>
      </c>
    </row>
    <row r="44" spans="1:26" x14ac:dyDescent="0.3">
      <c r="A44" s="2">
        <v>1000184670</v>
      </c>
      <c r="B44" s="2" t="s">
        <v>147</v>
      </c>
      <c r="C44" s="4"/>
      <c r="D44" s="4"/>
      <c r="E44" s="2">
        <v>1000184758</v>
      </c>
      <c r="F44" s="2" t="s">
        <v>55</v>
      </c>
      <c r="G44" s="4">
        <v>1000189776</v>
      </c>
      <c r="H44" s="4" t="s">
        <v>79</v>
      </c>
      <c r="I44" s="2">
        <v>1000189270</v>
      </c>
      <c r="J44" s="2" t="s">
        <v>34</v>
      </c>
      <c r="K44" s="38">
        <f t="shared" si="23"/>
        <v>5</v>
      </c>
      <c r="L44" s="38">
        <f t="shared" ref="L44:V44" si="44">ROUNDUP(K44*(1+$Z44),0)</f>
        <v>5</v>
      </c>
      <c r="M44" s="38">
        <f t="shared" si="44"/>
        <v>5</v>
      </c>
      <c r="N44" s="38">
        <f t="shared" si="44"/>
        <v>5</v>
      </c>
      <c r="O44" s="38">
        <f t="shared" si="44"/>
        <v>5</v>
      </c>
      <c r="P44" s="38">
        <f t="shared" si="44"/>
        <v>5</v>
      </c>
      <c r="Q44" s="38">
        <f t="shared" si="44"/>
        <v>5</v>
      </c>
      <c r="R44" s="38">
        <f t="shared" si="44"/>
        <v>5</v>
      </c>
      <c r="S44" s="38">
        <f t="shared" si="44"/>
        <v>5</v>
      </c>
      <c r="T44" s="38">
        <f t="shared" si="44"/>
        <v>5</v>
      </c>
      <c r="U44" s="38">
        <f t="shared" si="44"/>
        <v>5</v>
      </c>
      <c r="V44" s="38">
        <f t="shared" si="44"/>
        <v>5</v>
      </c>
      <c r="W44" s="29"/>
      <c r="X44" s="38">
        <v>5</v>
      </c>
      <c r="Y44" s="38"/>
      <c r="Z44" s="42">
        <v>0</v>
      </c>
    </row>
    <row r="45" spans="1:26" x14ac:dyDescent="0.3">
      <c r="A45" s="2">
        <v>1000184670</v>
      </c>
      <c r="B45" s="2" t="s">
        <v>147</v>
      </c>
      <c r="C45" s="4"/>
      <c r="D45" s="4"/>
      <c r="E45" s="2">
        <v>1000184758</v>
      </c>
      <c r="F45" s="2" t="s">
        <v>55</v>
      </c>
      <c r="G45" s="4">
        <v>1000189777</v>
      </c>
      <c r="H45" s="4" t="s">
        <v>56</v>
      </c>
      <c r="I45" s="2">
        <v>1000189270</v>
      </c>
      <c r="J45" s="2" t="s">
        <v>34</v>
      </c>
      <c r="K45" s="38">
        <f t="shared" si="23"/>
        <v>11</v>
      </c>
      <c r="L45" s="38">
        <f t="shared" ref="L45:V45" si="45">ROUNDUP(K45*(1+$Z45),0)</f>
        <v>11</v>
      </c>
      <c r="M45" s="38">
        <f t="shared" si="45"/>
        <v>11</v>
      </c>
      <c r="N45" s="38">
        <f t="shared" si="45"/>
        <v>11</v>
      </c>
      <c r="O45" s="38">
        <f t="shared" si="45"/>
        <v>11</v>
      </c>
      <c r="P45" s="38">
        <f t="shared" si="45"/>
        <v>11</v>
      </c>
      <c r="Q45" s="38">
        <f t="shared" si="45"/>
        <v>11</v>
      </c>
      <c r="R45" s="38">
        <f t="shared" si="45"/>
        <v>11</v>
      </c>
      <c r="S45" s="38">
        <f t="shared" si="45"/>
        <v>11</v>
      </c>
      <c r="T45" s="38">
        <f t="shared" si="45"/>
        <v>11</v>
      </c>
      <c r="U45" s="38">
        <f t="shared" si="45"/>
        <v>11</v>
      </c>
      <c r="V45" s="38">
        <f t="shared" si="45"/>
        <v>11</v>
      </c>
      <c r="W45" s="29"/>
      <c r="X45" s="38">
        <v>11</v>
      </c>
      <c r="Y45" s="38"/>
      <c r="Z45" s="42">
        <v>0</v>
      </c>
    </row>
    <row r="46" spans="1:26" x14ac:dyDescent="0.3">
      <c r="A46" s="2">
        <v>1000184670</v>
      </c>
      <c r="B46" s="2" t="s">
        <v>147</v>
      </c>
      <c r="C46" s="4"/>
      <c r="D46" s="4"/>
      <c r="E46" s="2">
        <v>1000184758</v>
      </c>
      <c r="F46" s="2" t="s">
        <v>55</v>
      </c>
      <c r="G46" s="4">
        <v>1000189785</v>
      </c>
      <c r="H46" s="4" t="s">
        <v>57</v>
      </c>
      <c r="I46" s="2">
        <v>1000189270</v>
      </c>
      <c r="J46" s="2" t="s">
        <v>34</v>
      </c>
      <c r="K46" s="38">
        <f t="shared" si="23"/>
        <v>14</v>
      </c>
      <c r="L46" s="38">
        <f t="shared" ref="L46:V46" si="46">ROUNDUP(K46*(1+$Z46),0)</f>
        <v>14</v>
      </c>
      <c r="M46" s="38">
        <f t="shared" si="46"/>
        <v>14</v>
      </c>
      <c r="N46" s="38">
        <f t="shared" si="46"/>
        <v>14</v>
      </c>
      <c r="O46" s="38">
        <f t="shared" si="46"/>
        <v>14</v>
      </c>
      <c r="P46" s="38">
        <f t="shared" si="46"/>
        <v>14</v>
      </c>
      <c r="Q46" s="38">
        <f t="shared" si="46"/>
        <v>14</v>
      </c>
      <c r="R46" s="38">
        <f t="shared" si="46"/>
        <v>14</v>
      </c>
      <c r="S46" s="38">
        <f t="shared" si="46"/>
        <v>14</v>
      </c>
      <c r="T46" s="38">
        <f t="shared" si="46"/>
        <v>14</v>
      </c>
      <c r="U46" s="38">
        <f t="shared" si="46"/>
        <v>14</v>
      </c>
      <c r="V46" s="38">
        <f t="shared" si="46"/>
        <v>14</v>
      </c>
      <c r="W46" s="29"/>
      <c r="X46" s="38">
        <v>14</v>
      </c>
      <c r="Y46" s="38"/>
      <c r="Z46" s="42">
        <v>0</v>
      </c>
    </row>
    <row r="47" spans="1:26" x14ac:dyDescent="0.3">
      <c r="A47" s="2">
        <v>1000184670</v>
      </c>
      <c r="B47" s="2" t="s">
        <v>147</v>
      </c>
      <c r="C47" s="4"/>
      <c r="D47" s="4"/>
      <c r="E47" s="2">
        <v>1000184758</v>
      </c>
      <c r="F47" s="2" t="s">
        <v>55</v>
      </c>
      <c r="G47" s="4">
        <v>1000189786</v>
      </c>
      <c r="H47" s="4" t="s">
        <v>104</v>
      </c>
      <c r="I47" s="2">
        <v>1000189270</v>
      </c>
      <c r="J47" s="2" t="s">
        <v>34</v>
      </c>
      <c r="K47" s="38">
        <f t="shared" si="23"/>
        <v>6</v>
      </c>
      <c r="L47" s="38">
        <f t="shared" ref="L47:V47" si="47">ROUNDUP(K47*(1+$Z47),0)</f>
        <v>6</v>
      </c>
      <c r="M47" s="38">
        <f t="shared" si="47"/>
        <v>6</v>
      </c>
      <c r="N47" s="38">
        <f t="shared" si="47"/>
        <v>6</v>
      </c>
      <c r="O47" s="38">
        <f t="shared" si="47"/>
        <v>6</v>
      </c>
      <c r="P47" s="38">
        <f t="shared" si="47"/>
        <v>6</v>
      </c>
      <c r="Q47" s="38">
        <f t="shared" si="47"/>
        <v>6</v>
      </c>
      <c r="R47" s="38">
        <f t="shared" si="47"/>
        <v>6</v>
      </c>
      <c r="S47" s="38">
        <f t="shared" si="47"/>
        <v>6</v>
      </c>
      <c r="T47" s="38">
        <f t="shared" si="47"/>
        <v>6</v>
      </c>
      <c r="U47" s="38">
        <f t="shared" si="47"/>
        <v>6</v>
      </c>
      <c r="V47" s="38">
        <f t="shared" si="47"/>
        <v>6</v>
      </c>
      <c r="W47" s="29"/>
      <c r="X47" s="38">
        <v>6</v>
      </c>
      <c r="Y47" s="38"/>
      <c r="Z47" s="42">
        <v>0</v>
      </c>
    </row>
    <row r="48" spans="1:26" x14ac:dyDescent="0.3">
      <c r="A48" s="2">
        <v>1000184670</v>
      </c>
      <c r="B48" s="2" t="s">
        <v>147</v>
      </c>
      <c r="C48" s="4"/>
      <c r="D48" s="4"/>
      <c r="E48" s="2">
        <v>1000184758</v>
      </c>
      <c r="F48" s="2" t="s">
        <v>55</v>
      </c>
      <c r="G48" s="4">
        <v>1000189801</v>
      </c>
      <c r="H48" s="4" t="s">
        <v>87</v>
      </c>
      <c r="I48" s="2">
        <v>1000189270</v>
      </c>
      <c r="J48" s="2" t="s">
        <v>34</v>
      </c>
      <c r="K48" s="38">
        <f t="shared" si="23"/>
        <v>8</v>
      </c>
      <c r="L48" s="38">
        <f t="shared" ref="L48:V48" si="48">ROUNDUP(K48*(1+$Z48),0)</f>
        <v>8</v>
      </c>
      <c r="M48" s="38">
        <f t="shared" si="48"/>
        <v>8</v>
      </c>
      <c r="N48" s="38">
        <f t="shared" si="48"/>
        <v>8</v>
      </c>
      <c r="O48" s="38">
        <f t="shared" si="48"/>
        <v>8</v>
      </c>
      <c r="P48" s="38">
        <f t="shared" si="48"/>
        <v>8</v>
      </c>
      <c r="Q48" s="38">
        <f t="shared" si="48"/>
        <v>8</v>
      </c>
      <c r="R48" s="38">
        <f t="shared" si="48"/>
        <v>8</v>
      </c>
      <c r="S48" s="38">
        <f t="shared" si="48"/>
        <v>8</v>
      </c>
      <c r="T48" s="38">
        <f t="shared" si="48"/>
        <v>8</v>
      </c>
      <c r="U48" s="38">
        <f t="shared" si="48"/>
        <v>8</v>
      </c>
      <c r="V48" s="38">
        <f t="shared" si="48"/>
        <v>8</v>
      </c>
      <c r="W48" s="29"/>
      <c r="X48" s="38">
        <v>8</v>
      </c>
      <c r="Y48" s="38"/>
      <c r="Z48" s="42">
        <v>0</v>
      </c>
    </row>
    <row r="49" spans="1:26" x14ac:dyDescent="0.3">
      <c r="A49" s="2">
        <v>1000184670</v>
      </c>
      <c r="B49" s="2" t="s">
        <v>147</v>
      </c>
      <c r="C49" s="4"/>
      <c r="D49" s="4"/>
      <c r="E49" s="2">
        <v>1000184758</v>
      </c>
      <c r="F49" s="2" t="s">
        <v>55</v>
      </c>
      <c r="G49" s="4">
        <v>1000189802</v>
      </c>
      <c r="H49" s="4" t="s">
        <v>105</v>
      </c>
      <c r="I49" s="2">
        <v>1000189270</v>
      </c>
      <c r="J49" s="2" t="s">
        <v>34</v>
      </c>
      <c r="K49" s="38">
        <f t="shared" si="23"/>
        <v>2</v>
      </c>
      <c r="L49" s="38">
        <f t="shared" ref="L49:V49" si="49">ROUNDUP(K49*(1+$Z49),0)</f>
        <v>2</v>
      </c>
      <c r="M49" s="38">
        <f t="shared" si="49"/>
        <v>2</v>
      </c>
      <c r="N49" s="38">
        <f t="shared" si="49"/>
        <v>2</v>
      </c>
      <c r="O49" s="38">
        <f t="shared" si="49"/>
        <v>2</v>
      </c>
      <c r="P49" s="38">
        <f t="shared" si="49"/>
        <v>2</v>
      </c>
      <c r="Q49" s="38">
        <f t="shared" si="49"/>
        <v>2</v>
      </c>
      <c r="R49" s="38">
        <f t="shared" si="49"/>
        <v>2</v>
      </c>
      <c r="S49" s="38">
        <f t="shared" si="49"/>
        <v>2</v>
      </c>
      <c r="T49" s="38">
        <f t="shared" si="49"/>
        <v>2</v>
      </c>
      <c r="U49" s="38">
        <f t="shared" si="49"/>
        <v>2</v>
      </c>
      <c r="V49" s="38">
        <f t="shared" si="49"/>
        <v>2</v>
      </c>
      <c r="W49" s="29"/>
      <c r="X49" s="38">
        <v>2</v>
      </c>
      <c r="Y49" s="38"/>
      <c r="Z49" s="42">
        <v>0</v>
      </c>
    </row>
    <row r="50" spans="1:26" x14ac:dyDescent="0.3">
      <c r="A50" s="2">
        <v>1000184670</v>
      </c>
      <c r="B50" s="2" t="s">
        <v>147</v>
      </c>
      <c r="C50" s="4"/>
      <c r="D50" s="4"/>
      <c r="E50" s="2">
        <v>1000184760</v>
      </c>
      <c r="F50" s="2" t="s">
        <v>60</v>
      </c>
      <c r="G50" s="4">
        <v>1000189774</v>
      </c>
      <c r="H50" s="4" t="s">
        <v>68</v>
      </c>
      <c r="I50" s="2">
        <v>1000189270</v>
      </c>
      <c r="J50" s="2" t="s">
        <v>34</v>
      </c>
      <c r="K50" s="38">
        <f t="shared" si="23"/>
        <v>22</v>
      </c>
      <c r="L50" s="38">
        <f t="shared" ref="L50:V50" si="50">ROUNDUP(K50*(1+$Z50),0)</f>
        <v>22</v>
      </c>
      <c r="M50" s="38">
        <f t="shared" si="50"/>
        <v>22</v>
      </c>
      <c r="N50" s="38">
        <f t="shared" si="50"/>
        <v>22</v>
      </c>
      <c r="O50" s="38">
        <f t="shared" si="50"/>
        <v>22</v>
      </c>
      <c r="P50" s="38">
        <f t="shared" si="50"/>
        <v>22</v>
      </c>
      <c r="Q50" s="38">
        <f t="shared" si="50"/>
        <v>22</v>
      </c>
      <c r="R50" s="38">
        <f t="shared" si="50"/>
        <v>22</v>
      </c>
      <c r="S50" s="38">
        <f t="shared" si="50"/>
        <v>22</v>
      </c>
      <c r="T50" s="38">
        <f t="shared" si="50"/>
        <v>22</v>
      </c>
      <c r="U50" s="38">
        <f t="shared" si="50"/>
        <v>22</v>
      </c>
      <c r="V50" s="38">
        <f t="shared" si="50"/>
        <v>22</v>
      </c>
      <c r="W50" s="29"/>
      <c r="X50" s="38">
        <v>22</v>
      </c>
      <c r="Y50" s="38"/>
      <c r="Z50" s="42">
        <v>0</v>
      </c>
    </row>
    <row r="51" spans="1:26" x14ac:dyDescent="0.3">
      <c r="A51" s="2">
        <v>1000184670</v>
      </c>
      <c r="B51" s="2" t="s">
        <v>147</v>
      </c>
      <c r="C51" s="4"/>
      <c r="D51" s="4"/>
      <c r="E51" s="2">
        <v>1000184760</v>
      </c>
      <c r="F51" s="2" t="s">
        <v>60</v>
      </c>
      <c r="G51" s="4">
        <v>1000189778</v>
      </c>
      <c r="H51" s="4" t="s">
        <v>84</v>
      </c>
      <c r="I51" s="2">
        <v>1000189270</v>
      </c>
      <c r="J51" s="2" t="s">
        <v>34</v>
      </c>
      <c r="K51" s="38">
        <f t="shared" si="23"/>
        <v>30</v>
      </c>
      <c r="L51" s="38">
        <f t="shared" ref="L51:V51" si="51">ROUNDUP(K51*(1+$Z51),0)</f>
        <v>30</v>
      </c>
      <c r="M51" s="38">
        <f t="shared" si="51"/>
        <v>30</v>
      </c>
      <c r="N51" s="38">
        <f t="shared" si="51"/>
        <v>30</v>
      </c>
      <c r="O51" s="38">
        <f t="shared" si="51"/>
        <v>30</v>
      </c>
      <c r="P51" s="38">
        <f t="shared" si="51"/>
        <v>30</v>
      </c>
      <c r="Q51" s="38">
        <f t="shared" si="51"/>
        <v>30</v>
      </c>
      <c r="R51" s="38">
        <f t="shared" si="51"/>
        <v>30</v>
      </c>
      <c r="S51" s="38">
        <f t="shared" si="51"/>
        <v>30</v>
      </c>
      <c r="T51" s="38">
        <f t="shared" si="51"/>
        <v>30</v>
      </c>
      <c r="U51" s="38">
        <f t="shared" si="51"/>
        <v>30</v>
      </c>
      <c r="V51" s="38">
        <f t="shared" si="51"/>
        <v>30</v>
      </c>
      <c r="W51" s="29"/>
      <c r="X51" s="38">
        <v>30</v>
      </c>
      <c r="Y51" s="38"/>
      <c r="Z51" s="42">
        <v>0</v>
      </c>
    </row>
    <row r="52" spans="1:26" x14ac:dyDescent="0.3">
      <c r="A52" s="2">
        <v>1000184670</v>
      </c>
      <c r="B52" s="2" t="s">
        <v>147</v>
      </c>
      <c r="C52" s="4"/>
      <c r="D52" s="4"/>
      <c r="E52" s="2">
        <v>1000184760</v>
      </c>
      <c r="F52" s="2" t="s">
        <v>60</v>
      </c>
      <c r="G52" s="4">
        <v>1000189779</v>
      </c>
      <c r="H52" s="4" t="s">
        <v>106</v>
      </c>
      <c r="I52" s="2">
        <v>1000189270</v>
      </c>
      <c r="J52" s="2" t="s">
        <v>34</v>
      </c>
      <c r="K52" s="38">
        <f t="shared" si="23"/>
        <v>19</v>
      </c>
      <c r="L52" s="38">
        <f t="shared" ref="L52:V52" si="52">ROUNDUP(K52*(1+$Z52),0)</f>
        <v>19</v>
      </c>
      <c r="M52" s="38">
        <f t="shared" si="52"/>
        <v>19</v>
      </c>
      <c r="N52" s="38">
        <f t="shared" si="52"/>
        <v>19</v>
      </c>
      <c r="O52" s="38">
        <f t="shared" si="52"/>
        <v>19</v>
      </c>
      <c r="P52" s="38">
        <f t="shared" si="52"/>
        <v>19</v>
      </c>
      <c r="Q52" s="38">
        <f t="shared" si="52"/>
        <v>19</v>
      </c>
      <c r="R52" s="38">
        <f t="shared" si="52"/>
        <v>19</v>
      </c>
      <c r="S52" s="38">
        <f t="shared" si="52"/>
        <v>19</v>
      </c>
      <c r="T52" s="38">
        <f t="shared" si="52"/>
        <v>19</v>
      </c>
      <c r="U52" s="38">
        <f t="shared" si="52"/>
        <v>19</v>
      </c>
      <c r="V52" s="38">
        <f t="shared" si="52"/>
        <v>19</v>
      </c>
      <c r="W52" s="29"/>
      <c r="X52" s="38">
        <v>19</v>
      </c>
      <c r="Y52" s="38"/>
      <c r="Z52" s="42">
        <v>0</v>
      </c>
    </row>
    <row r="53" spans="1:26" x14ac:dyDescent="0.3">
      <c r="A53" s="2">
        <v>1000184670</v>
      </c>
      <c r="B53" s="2" t="s">
        <v>147</v>
      </c>
      <c r="C53" s="4"/>
      <c r="D53" s="4"/>
      <c r="E53" s="2">
        <v>1000184760</v>
      </c>
      <c r="F53" s="2" t="s">
        <v>60</v>
      </c>
      <c r="G53" s="4">
        <v>1000189780</v>
      </c>
      <c r="H53" s="4" t="s">
        <v>107</v>
      </c>
      <c r="I53" s="2">
        <v>1000189270</v>
      </c>
      <c r="J53" s="2" t="s">
        <v>34</v>
      </c>
      <c r="K53" s="38">
        <f t="shared" si="23"/>
        <v>7</v>
      </c>
      <c r="L53" s="38">
        <f t="shared" ref="L53:V53" si="53">ROUNDUP(K53*(1+$Z53),0)</f>
        <v>7</v>
      </c>
      <c r="M53" s="38">
        <f t="shared" si="53"/>
        <v>7</v>
      </c>
      <c r="N53" s="38">
        <f t="shared" si="53"/>
        <v>7</v>
      </c>
      <c r="O53" s="38">
        <f t="shared" si="53"/>
        <v>7</v>
      </c>
      <c r="P53" s="38">
        <f t="shared" si="53"/>
        <v>7</v>
      </c>
      <c r="Q53" s="38">
        <f t="shared" si="53"/>
        <v>7</v>
      </c>
      <c r="R53" s="38">
        <f t="shared" si="53"/>
        <v>7</v>
      </c>
      <c r="S53" s="38">
        <f t="shared" si="53"/>
        <v>7</v>
      </c>
      <c r="T53" s="38">
        <f t="shared" si="53"/>
        <v>7</v>
      </c>
      <c r="U53" s="38">
        <f t="shared" si="53"/>
        <v>7</v>
      </c>
      <c r="V53" s="38">
        <f t="shared" si="53"/>
        <v>7</v>
      </c>
      <c r="W53" s="29"/>
      <c r="X53" s="38">
        <v>7</v>
      </c>
      <c r="Y53" s="38"/>
      <c r="Z53" s="42">
        <v>0</v>
      </c>
    </row>
    <row r="54" spans="1:26" x14ac:dyDescent="0.3">
      <c r="A54" s="2">
        <v>1000184670</v>
      </c>
      <c r="B54" s="2" t="s">
        <v>147</v>
      </c>
      <c r="C54" s="4"/>
      <c r="D54" s="4"/>
      <c r="E54" s="2">
        <v>1000184760</v>
      </c>
      <c r="F54" s="2" t="s">
        <v>60</v>
      </c>
      <c r="G54" s="4">
        <v>1000189781</v>
      </c>
      <c r="H54" s="4" t="s">
        <v>108</v>
      </c>
      <c r="I54" s="2">
        <v>1000189270</v>
      </c>
      <c r="J54" s="2" t="s">
        <v>34</v>
      </c>
      <c r="K54" s="38">
        <f t="shared" si="23"/>
        <v>23</v>
      </c>
      <c r="L54" s="38">
        <f t="shared" ref="L54:V54" si="54">ROUNDUP(K54*(1+$Z54),0)</f>
        <v>23</v>
      </c>
      <c r="M54" s="38">
        <f t="shared" si="54"/>
        <v>23</v>
      </c>
      <c r="N54" s="38">
        <f t="shared" si="54"/>
        <v>23</v>
      </c>
      <c r="O54" s="38">
        <f t="shared" si="54"/>
        <v>23</v>
      </c>
      <c r="P54" s="38">
        <f t="shared" si="54"/>
        <v>23</v>
      </c>
      <c r="Q54" s="38">
        <f t="shared" si="54"/>
        <v>23</v>
      </c>
      <c r="R54" s="38">
        <f t="shared" si="54"/>
        <v>23</v>
      </c>
      <c r="S54" s="38">
        <f t="shared" si="54"/>
        <v>23</v>
      </c>
      <c r="T54" s="38">
        <f t="shared" si="54"/>
        <v>23</v>
      </c>
      <c r="U54" s="38">
        <f t="shared" si="54"/>
        <v>23</v>
      </c>
      <c r="V54" s="38">
        <f t="shared" si="54"/>
        <v>23</v>
      </c>
      <c r="W54" s="29"/>
      <c r="X54" s="38">
        <v>23</v>
      </c>
      <c r="Y54" s="38"/>
      <c r="Z54" s="42">
        <v>0</v>
      </c>
    </row>
    <row r="55" spans="1:26" x14ac:dyDescent="0.3">
      <c r="A55" s="2">
        <v>1000184670</v>
      </c>
      <c r="B55" s="2" t="s">
        <v>147</v>
      </c>
      <c r="C55" s="4"/>
      <c r="D55" s="4"/>
      <c r="E55" s="2">
        <v>1000184760</v>
      </c>
      <c r="F55" s="2" t="s">
        <v>60</v>
      </c>
      <c r="G55" s="4">
        <v>1000189782</v>
      </c>
      <c r="H55" s="4" t="s">
        <v>109</v>
      </c>
      <c r="I55" s="2">
        <v>1000189270</v>
      </c>
      <c r="J55" s="2" t="s">
        <v>34</v>
      </c>
      <c r="K55" s="38">
        <f t="shared" si="23"/>
        <v>7</v>
      </c>
      <c r="L55" s="38">
        <f t="shared" ref="L55:V55" si="55">ROUNDUP(K55*(1+$Z55),0)</f>
        <v>7</v>
      </c>
      <c r="M55" s="38">
        <f t="shared" si="55"/>
        <v>7</v>
      </c>
      <c r="N55" s="38">
        <f t="shared" si="55"/>
        <v>7</v>
      </c>
      <c r="O55" s="38">
        <f t="shared" si="55"/>
        <v>7</v>
      </c>
      <c r="P55" s="38">
        <f t="shared" si="55"/>
        <v>7</v>
      </c>
      <c r="Q55" s="38">
        <f t="shared" si="55"/>
        <v>7</v>
      </c>
      <c r="R55" s="38">
        <f t="shared" si="55"/>
        <v>7</v>
      </c>
      <c r="S55" s="38">
        <f t="shared" si="55"/>
        <v>7</v>
      </c>
      <c r="T55" s="38">
        <f t="shared" si="55"/>
        <v>7</v>
      </c>
      <c r="U55" s="38">
        <f t="shared" si="55"/>
        <v>7</v>
      </c>
      <c r="V55" s="38">
        <f t="shared" si="55"/>
        <v>7</v>
      </c>
      <c r="W55" s="29"/>
      <c r="X55" s="38">
        <v>7</v>
      </c>
      <c r="Y55" s="38"/>
      <c r="Z55" s="42">
        <v>0</v>
      </c>
    </row>
    <row r="56" spans="1:26" x14ac:dyDescent="0.3">
      <c r="A56" s="2">
        <v>1000184670</v>
      </c>
      <c r="B56" s="2" t="s">
        <v>147</v>
      </c>
      <c r="C56" s="4"/>
      <c r="D56" s="4"/>
      <c r="E56" s="2">
        <v>1000184760</v>
      </c>
      <c r="F56" s="2" t="s">
        <v>60</v>
      </c>
      <c r="G56" s="4">
        <v>1000189796</v>
      </c>
      <c r="H56" s="4" t="s">
        <v>61</v>
      </c>
      <c r="I56" s="2">
        <v>1000189270</v>
      </c>
      <c r="J56" s="2" t="s">
        <v>34</v>
      </c>
      <c r="K56" s="38">
        <f t="shared" si="23"/>
        <v>32</v>
      </c>
      <c r="L56" s="38">
        <f t="shared" ref="L56:V56" si="56">ROUNDUP(K56*(1+$Z56),0)</f>
        <v>32</v>
      </c>
      <c r="M56" s="38">
        <f t="shared" si="56"/>
        <v>32</v>
      </c>
      <c r="N56" s="38">
        <f t="shared" si="56"/>
        <v>32</v>
      </c>
      <c r="O56" s="38">
        <f t="shared" si="56"/>
        <v>32</v>
      </c>
      <c r="P56" s="38">
        <f t="shared" si="56"/>
        <v>32</v>
      </c>
      <c r="Q56" s="38">
        <f t="shared" si="56"/>
        <v>32</v>
      </c>
      <c r="R56" s="38">
        <f t="shared" si="56"/>
        <v>32</v>
      </c>
      <c r="S56" s="38">
        <f t="shared" si="56"/>
        <v>32</v>
      </c>
      <c r="T56" s="38">
        <f t="shared" si="56"/>
        <v>32</v>
      </c>
      <c r="U56" s="38">
        <f t="shared" si="56"/>
        <v>32</v>
      </c>
      <c r="V56" s="38">
        <f t="shared" si="56"/>
        <v>32</v>
      </c>
      <c r="W56" s="29"/>
      <c r="X56" s="38">
        <v>32</v>
      </c>
      <c r="Y56" s="38"/>
      <c r="Z56" s="42">
        <v>0</v>
      </c>
    </row>
    <row r="57" spans="1:26" x14ac:dyDescent="0.3">
      <c r="A57" s="2">
        <v>1000184670</v>
      </c>
      <c r="B57" s="2" t="s">
        <v>147</v>
      </c>
      <c r="C57" s="4"/>
      <c r="D57" s="4"/>
      <c r="E57" s="2">
        <v>1000184760</v>
      </c>
      <c r="F57" s="2" t="s">
        <v>60</v>
      </c>
      <c r="G57" s="4">
        <v>1000189797</v>
      </c>
      <c r="H57" s="4" t="s">
        <v>80</v>
      </c>
      <c r="I57" s="2">
        <v>1000189270</v>
      </c>
      <c r="J57" s="2" t="s">
        <v>34</v>
      </c>
      <c r="K57" s="38">
        <f t="shared" si="23"/>
        <v>8</v>
      </c>
      <c r="L57" s="38">
        <f t="shared" ref="L57:V57" si="57">ROUNDUP(K57*(1+$Z57),0)</f>
        <v>8</v>
      </c>
      <c r="M57" s="38">
        <f t="shared" si="57"/>
        <v>8</v>
      </c>
      <c r="N57" s="38">
        <f t="shared" si="57"/>
        <v>8</v>
      </c>
      <c r="O57" s="38">
        <f t="shared" si="57"/>
        <v>8</v>
      </c>
      <c r="P57" s="38">
        <f t="shared" si="57"/>
        <v>8</v>
      </c>
      <c r="Q57" s="38">
        <f t="shared" si="57"/>
        <v>8</v>
      </c>
      <c r="R57" s="38">
        <f t="shared" si="57"/>
        <v>8</v>
      </c>
      <c r="S57" s="38">
        <f t="shared" si="57"/>
        <v>8</v>
      </c>
      <c r="T57" s="38">
        <f t="shared" si="57"/>
        <v>8</v>
      </c>
      <c r="U57" s="38">
        <f t="shared" si="57"/>
        <v>8</v>
      </c>
      <c r="V57" s="38">
        <f t="shared" si="57"/>
        <v>8</v>
      </c>
      <c r="W57" s="29"/>
      <c r="X57" s="38">
        <v>8</v>
      </c>
      <c r="Y57" s="38"/>
      <c r="Z57" s="42">
        <v>0</v>
      </c>
    </row>
    <row r="58" spans="1:26" x14ac:dyDescent="0.3">
      <c r="A58" s="2">
        <v>1000184670</v>
      </c>
      <c r="B58" s="2" t="s">
        <v>147</v>
      </c>
      <c r="C58" s="4"/>
      <c r="D58" s="4"/>
      <c r="E58" s="2">
        <v>1000184760</v>
      </c>
      <c r="F58" s="2" t="s">
        <v>60</v>
      </c>
      <c r="G58" s="4">
        <v>1000189798</v>
      </c>
      <c r="H58" s="4" t="s">
        <v>110</v>
      </c>
      <c r="I58" s="2">
        <v>1000189270</v>
      </c>
      <c r="J58" s="2" t="s">
        <v>34</v>
      </c>
      <c r="K58" s="38">
        <f t="shared" si="23"/>
        <v>1</v>
      </c>
      <c r="L58" s="38">
        <f t="shared" ref="L58:V58" si="58">ROUNDUP(K58*(1+$Z58),0)</f>
        <v>1</v>
      </c>
      <c r="M58" s="38">
        <f t="shared" si="58"/>
        <v>1</v>
      </c>
      <c r="N58" s="38">
        <f t="shared" si="58"/>
        <v>1</v>
      </c>
      <c r="O58" s="38">
        <f t="shared" si="58"/>
        <v>1</v>
      </c>
      <c r="P58" s="38">
        <f t="shared" si="58"/>
        <v>1</v>
      </c>
      <c r="Q58" s="38">
        <f t="shared" si="58"/>
        <v>1</v>
      </c>
      <c r="R58" s="38">
        <f t="shared" si="58"/>
        <v>1</v>
      </c>
      <c r="S58" s="38">
        <f t="shared" si="58"/>
        <v>1</v>
      </c>
      <c r="T58" s="38">
        <f t="shared" si="58"/>
        <v>1</v>
      </c>
      <c r="U58" s="38">
        <f t="shared" si="58"/>
        <v>1</v>
      </c>
      <c r="V58" s="38">
        <f t="shared" si="58"/>
        <v>1</v>
      </c>
      <c r="W58" s="29"/>
      <c r="X58" s="38">
        <v>1</v>
      </c>
      <c r="Y58" s="38"/>
      <c r="Z58" s="42">
        <v>0</v>
      </c>
    </row>
    <row r="59" spans="1:26" x14ac:dyDescent="0.3">
      <c r="A59" s="2">
        <v>1000184670</v>
      </c>
      <c r="B59" s="2" t="s">
        <v>147</v>
      </c>
      <c r="C59" s="4"/>
      <c r="D59" s="4"/>
      <c r="E59" s="2">
        <v>1000184760</v>
      </c>
      <c r="F59" s="2" t="s">
        <v>60</v>
      </c>
      <c r="G59" s="4">
        <v>1000189799</v>
      </c>
      <c r="H59" s="4" t="s">
        <v>111</v>
      </c>
      <c r="I59" s="2">
        <v>1000189270</v>
      </c>
      <c r="J59" s="2" t="s">
        <v>34</v>
      </c>
      <c r="K59" s="38">
        <f t="shared" si="23"/>
        <v>9</v>
      </c>
      <c r="L59" s="38">
        <f t="shared" ref="L59:V59" si="59">ROUNDUP(K59*(1+$Z59),0)</f>
        <v>9</v>
      </c>
      <c r="M59" s="38">
        <f t="shared" si="59"/>
        <v>9</v>
      </c>
      <c r="N59" s="38">
        <f t="shared" si="59"/>
        <v>9</v>
      </c>
      <c r="O59" s="38">
        <f t="shared" si="59"/>
        <v>9</v>
      </c>
      <c r="P59" s="38">
        <f t="shared" si="59"/>
        <v>9</v>
      </c>
      <c r="Q59" s="38">
        <f t="shared" si="59"/>
        <v>9</v>
      </c>
      <c r="R59" s="38">
        <f t="shared" si="59"/>
        <v>9</v>
      </c>
      <c r="S59" s="38">
        <f t="shared" si="59"/>
        <v>9</v>
      </c>
      <c r="T59" s="38">
        <f t="shared" si="59"/>
        <v>9</v>
      </c>
      <c r="U59" s="38">
        <f t="shared" si="59"/>
        <v>9</v>
      </c>
      <c r="V59" s="38">
        <f t="shared" si="59"/>
        <v>9</v>
      </c>
      <c r="W59" s="29"/>
      <c r="X59" s="38">
        <v>9</v>
      </c>
      <c r="Y59" s="38"/>
      <c r="Z59" s="42">
        <v>0</v>
      </c>
    </row>
    <row r="60" spans="1:26" x14ac:dyDescent="0.3">
      <c r="A60" s="2">
        <v>1000184670</v>
      </c>
      <c r="B60" s="2" t="s">
        <v>147</v>
      </c>
      <c r="C60" s="4"/>
      <c r="D60" s="4"/>
      <c r="E60" s="2">
        <v>1000184762</v>
      </c>
      <c r="F60" s="2" t="s">
        <v>58</v>
      </c>
      <c r="G60" s="4">
        <v>1000189812</v>
      </c>
      <c r="H60" s="4" t="s">
        <v>112</v>
      </c>
      <c r="I60" s="2">
        <v>1000189270</v>
      </c>
      <c r="J60" s="2" t="s">
        <v>34</v>
      </c>
      <c r="K60" s="38">
        <f t="shared" si="23"/>
        <v>11</v>
      </c>
      <c r="L60" s="38">
        <f t="shared" ref="L60:V60" si="60">ROUNDUP(K60*(1+$Z60),0)</f>
        <v>12</v>
      </c>
      <c r="M60" s="38">
        <f t="shared" si="60"/>
        <v>13</v>
      </c>
      <c r="N60" s="38">
        <f t="shared" si="60"/>
        <v>14</v>
      </c>
      <c r="O60" s="38">
        <f t="shared" si="60"/>
        <v>15</v>
      </c>
      <c r="P60" s="38">
        <f t="shared" si="60"/>
        <v>16</v>
      </c>
      <c r="Q60" s="38">
        <f t="shared" si="60"/>
        <v>17</v>
      </c>
      <c r="R60" s="38">
        <f t="shared" si="60"/>
        <v>18</v>
      </c>
      <c r="S60" s="38">
        <f t="shared" si="60"/>
        <v>19</v>
      </c>
      <c r="T60" s="38">
        <f t="shared" si="60"/>
        <v>20</v>
      </c>
      <c r="U60" s="38">
        <f t="shared" si="60"/>
        <v>21</v>
      </c>
      <c r="V60" s="38">
        <f t="shared" si="60"/>
        <v>22</v>
      </c>
      <c r="W60" s="29"/>
      <c r="X60" s="38">
        <v>11</v>
      </c>
      <c r="Y60" s="38"/>
      <c r="Z60" s="42">
        <v>0.01</v>
      </c>
    </row>
    <row r="61" spans="1:26" x14ac:dyDescent="0.3">
      <c r="A61" s="2">
        <v>1000184670</v>
      </c>
      <c r="B61" s="2" t="s">
        <v>147</v>
      </c>
      <c r="C61" s="4"/>
      <c r="D61" s="4"/>
      <c r="E61" s="2">
        <v>1000184762</v>
      </c>
      <c r="F61" s="2" t="s">
        <v>58</v>
      </c>
      <c r="G61" s="4">
        <v>1000189813</v>
      </c>
      <c r="H61" s="4" t="s">
        <v>82</v>
      </c>
      <c r="I61" s="2">
        <v>1000189270</v>
      </c>
      <c r="J61" s="2" t="s">
        <v>34</v>
      </c>
      <c r="K61" s="38">
        <f t="shared" si="23"/>
        <v>4</v>
      </c>
      <c r="L61" s="38">
        <f t="shared" ref="L61:V61" si="61">ROUNDUP(K61*(1+$Z61),0)</f>
        <v>5</v>
      </c>
      <c r="M61" s="38">
        <f t="shared" si="61"/>
        <v>6</v>
      </c>
      <c r="N61" s="38">
        <f t="shared" si="61"/>
        <v>7</v>
      </c>
      <c r="O61" s="38">
        <f t="shared" si="61"/>
        <v>8</v>
      </c>
      <c r="P61" s="38">
        <f t="shared" si="61"/>
        <v>9</v>
      </c>
      <c r="Q61" s="38">
        <f t="shared" si="61"/>
        <v>10</v>
      </c>
      <c r="R61" s="38">
        <f t="shared" si="61"/>
        <v>11</v>
      </c>
      <c r="S61" s="38">
        <f t="shared" si="61"/>
        <v>12</v>
      </c>
      <c r="T61" s="38">
        <f t="shared" si="61"/>
        <v>13</v>
      </c>
      <c r="U61" s="38">
        <f t="shared" si="61"/>
        <v>14</v>
      </c>
      <c r="V61" s="38">
        <f t="shared" si="61"/>
        <v>15</v>
      </c>
      <c r="W61" s="29"/>
      <c r="X61" s="38">
        <v>4</v>
      </c>
      <c r="Y61" s="38"/>
      <c r="Z61" s="42">
        <v>0.01</v>
      </c>
    </row>
    <row r="62" spans="1:26" x14ac:dyDescent="0.3">
      <c r="A62" s="2">
        <v>1000184670</v>
      </c>
      <c r="B62" s="2" t="s">
        <v>147</v>
      </c>
      <c r="C62" s="4"/>
      <c r="D62" s="4"/>
      <c r="E62" s="2">
        <v>1000184762</v>
      </c>
      <c r="F62" s="2" t="s">
        <v>58</v>
      </c>
      <c r="G62" s="4">
        <v>1000189814</v>
      </c>
      <c r="H62" s="4" t="s">
        <v>91</v>
      </c>
      <c r="I62" s="2">
        <v>1000189270</v>
      </c>
      <c r="J62" s="2" t="s">
        <v>34</v>
      </c>
      <c r="K62" s="38">
        <f t="shared" si="23"/>
        <v>19</v>
      </c>
      <c r="L62" s="38">
        <f t="shared" ref="L62:V62" si="62">ROUNDUP(K62*(1+$Z62),0)</f>
        <v>20</v>
      </c>
      <c r="M62" s="38">
        <f t="shared" si="62"/>
        <v>21</v>
      </c>
      <c r="N62" s="38">
        <f t="shared" si="62"/>
        <v>22</v>
      </c>
      <c r="O62" s="38">
        <f t="shared" si="62"/>
        <v>23</v>
      </c>
      <c r="P62" s="38">
        <f t="shared" si="62"/>
        <v>24</v>
      </c>
      <c r="Q62" s="38">
        <f t="shared" si="62"/>
        <v>25</v>
      </c>
      <c r="R62" s="38">
        <f t="shared" si="62"/>
        <v>26</v>
      </c>
      <c r="S62" s="38">
        <f t="shared" si="62"/>
        <v>27</v>
      </c>
      <c r="T62" s="38">
        <f t="shared" si="62"/>
        <v>28</v>
      </c>
      <c r="U62" s="38">
        <f t="shared" si="62"/>
        <v>29</v>
      </c>
      <c r="V62" s="38">
        <f t="shared" si="62"/>
        <v>30</v>
      </c>
      <c r="W62" s="29"/>
      <c r="X62" s="38">
        <v>19</v>
      </c>
      <c r="Y62" s="38"/>
      <c r="Z62" s="42">
        <v>0.01</v>
      </c>
    </row>
    <row r="63" spans="1:26" x14ac:dyDescent="0.3">
      <c r="A63" s="2">
        <v>1000184670</v>
      </c>
      <c r="B63" s="2" t="s">
        <v>147</v>
      </c>
      <c r="C63" s="4"/>
      <c r="D63" s="4"/>
      <c r="E63" s="2">
        <v>1000184762</v>
      </c>
      <c r="F63" s="2" t="s">
        <v>58</v>
      </c>
      <c r="G63" s="4">
        <v>1000189815</v>
      </c>
      <c r="H63" s="4" t="s">
        <v>59</v>
      </c>
      <c r="I63" s="2">
        <v>1000189270</v>
      </c>
      <c r="J63" s="2" t="s">
        <v>34</v>
      </c>
      <c r="K63" s="38">
        <f t="shared" si="23"/>
        <v>7</v>
      </c>
      <c r="L63" s="38">
        <f t="shared" ref="L63:V63" si="63">ROUNDUP(K63*(1+$Z63),0)</f>
        <v>8</v>
      </c>
      <c r="M63" s="38">
        <f t="shared" si="63"/>
        <v>9</v>
      </c>
      <c r="N63" s="38">
        <f t="shared" si="63"/>
        <v>10</v>
      </c>
      <c r="O63" s="38">
        <f t="shared" si="63"/>
        <v>11</v>
      </c>
      <c r="P63" s="38">
        <f t="shared" si="63"/>
        <v>12</v>
      </c>
      <c r="Q63" s="38">
        <f t="shared" si="63"/>
        <v>13</v>
      </c>
      <c r="R63" s="38">
        <f t="shared" si="63"/>
        <v>14</v>
      </c>
      <c r="S63" s="38">
        <f t="shared" si="63"/>
        <v>15</v>
      </c>
      <c r="T63" s="38">
        <f t="shared" si="63"/>
        <v>16</v>
      </c>
      <c r="U63" s="38">
        <f t="shared" si="63"/>
        <v>17</v>
      </c>
      <c r="V63" s="38">
        <f t="shared" si="63"/>
        <v>18</v>
      </c>
      <c r="W63" s="29"/>
      <c r="X63" s="38">
        <v>7</v>
      </c>
      <c r="Y63" s="38"/>
      <c r="Z63" s="42">
        <v>0.01</v>
      </c>
    </row>
    <row r="64" spans="1:26" x14ac:dyDescent="0.3">
      <c r="A64" s="2">
        <v>1000184670</v>
      </c>
      <c r="B64" s="2" t="s">
        <v>147</v>
      </c>
      <c r="C64" s="4"/>
      <c r="D64" s="4"/>
      <c r="E64" s="2">
        <v>1000184762</v>
      </c>
      <c r="F64" s="2" t="s">
        <v>58</v>
      </c>
      <c r="G64" s="4">
        <v>1000189816</v>
      </c>
      <c r="H64" s="4" t="s">
        <v>113</v>
      </c>
      <c r="I64" s="2">
        <v>1000189270</v>
      </c>
      <c r="J64" s="2" t="s">
        <v>34</v>
      </c>
      <c r="K64" s="38">
        <f t="shared" si="23"/>
        <v>19</v>
      </c>
      <c r="L64" s="38">
        <f t="shared" ref="L64:V64" si="64">ROUNDUP(K64*(1+$Z64),0)</f>
        <v>20</v>
      </c>
      <c r="M64" s="38">
        <f t="shared" si="64"/>
        <v>21</v>
      </c>
      <c r="N64" s="38">
        <f t="shared" si="64"/>
        <v>22</v>
      </c>
      <c r="O64" s="38">
        <f t="shared" si="64"/>
        <v>23</v>
      </c>
      <c r="P64" s="38">
        <f t="shared" si="64"/>
        <v>24</v>
      </c>
      <c r="Q64" s="38">
        <f t="shared" si="64"/>
        <v>25</v>
      </c>
      <c r="R64" s="38">
        <f t="shared" si="64"/>
        <v>26</v>
      </c>
      <c r="S64" s="38">
        <f t="shared" si="64"/>
        <v>27</v>
      </c>
      <c r="T64" s="38">
        <f t="shared" si="64"/>
        <v>28</v>
      </c>
      <c r="U64" s="38">
        <f t="shared" si="64"/>
        <v>29</v>
      </c>
      <c r="V64" s="38">
        <f t="shared" si="64"/>
        <v>30</v>
      </c>
      <c r="W64" s="29"/>
      <c r="X64" s="38">
        <v>19</v>
      </c>
      <c r="Y64" s="38"/>
      <c r="Z64" s="42">
        <v>0.01</v>
      </c>
    </row>
    <row r="65" spans="1:26" x14ac:dyDescent="0.3">
      <c r="A65" s="2">
        <v>1000184670</v>
      </c>
      <c r="B65" s="2" t="s">
        <v>147</v>
      </c>
      <c r="C65" s="4"/>
      <c r="D65" s="4"/>
      <c r="E65" s="2">
        <v>1000184762</v>
      </c>
      <c r="F65" s="2" t="s">
        <v>58</v>
      </c>
      <c r="G65" s="4">
        <v>1000189817</v>
      </c>
      <c r="H65" s="4" t="s">
        <v>94</v>
      </c>
      <c r="I65" s="2">
        <v>1000189270</v>
      </c>
      <c r="J65" s="2" t="s">
        <v>34</v>
      </c>
      <c r="K65" s="38">
        <f t="shared" si="23"/>
        <v>42</v>
      </c>
      <c r="L65" s="38">
        <f t="shared" ref="L65:V65" si="65">ROUNDUP(K65*(1+$Z65),0)</f>
        <v>43</v>
      </c>
      <c r="M65" s="38">
        <f t="shared" si="65"/>
        <v>44</v>
      </c>
      <c r="N65" s="38">
        <f t="shared" si="65"/>
        <v>45</v>
      </c>
      <c r="O65" s="38">
        <f t="shared" si="65"/>
        <v>46</v>
      </c>
      <c r="P65" s="38">
        <f t="shared" si="65"/>
        <v>47</v>
      </c>
      <c r="Q65" s="38">
        <f t="shared" si="65"/>
        <v>48</v>
      </c>
      <c r="R65" s="38">
        <f t="shared" si="65"/>
        <v>49</v>
      </c>
      <c r="S65" s="38">
        <f t="shared" si="65"/>
        <v>50</v>
      </c>
      <c r="T65" s="38">
        <f t="shared" si="65"/>
        <v>51</v>
      </c>
      <c r="U65" s="38">
        <f t="shared" si="65"/>
        <v>52</v>
      </c>
      <c r="V65" s="38">
        <f t="shared" si="65"/>
        <v>53</v>
      </c>
      <c r="W65" s="29"/>
      <c r="X65" s="38">
        <v>42</v>
      </c>
      <c r="Y65" s="38"/>
      <c r="Z65" s="42">
        <v>0.01</v>
      </c>
    </row>
    <row r="66" spans="1:26" x14ac:dyDescent="0.3">
      <c r="A66" s="2">
        <v>1000184670</v>
      </c>
      <c r="B66" s="2" t="s">
        <v>147</v>
      </c>
      <c r="C66" s="4"/>
      <c r="D66" s="4"/>
      <c r="E66" s="2">
        <v>1000184764</v>
      </c>
      <c r="F66" s="2" t="s">
        <v>70</v>
      </c>
      <c r="G66" s="4">
        <v>1000189818</v>
      </c>
      <c r="H66" s="4" t="s">
        <v>72</v>
      </c>
      <c r="I66" s="2">
        <v>1000189270</v>
      </c>
      <c r="J66" s="2" t="s">
        <v>34</v>
      </c>
      <c r="K66" s="38">
        <f t="shared" si="23"/>
        <v>58</v>
      </c>
      <c r="L66" s="38">
        <f t="shared" ref="L66:V66" si="66">ROUNDUP(K66*(1+$Z66),0)</f>
        <v>59</v>
      </c>
      <c r="M66" s="38">
        <f t="shared" si="66"/>
        <v>60</v>
      </c>
      <c r="N66" s="38">
        <f t="shared" si="66"/>
        <v>61</v>
      </c>
      <c r="O66" s="38">
        <f t="shared" si="66"/>
        <v>62</v>
      </c>
      <c r="P66" s="38">
        <f t="shared" si="66"/>
        <v>63</v>
      </c>
      <c r="Q66" s="38">
        <f t="shared" si="66"/>
        <v>64</v>
      </c>
      <c r="R66" s="38">
        <f t="shared" si="66"/>
        <v>65</v>
      </c>
      <c r="S66" s="38">
        <f t="shared" si="66"/>
        <v>66</v>
      </c>
      <c r="T66" s="38">
        <f t="shared" si="66"/>
        <v>67</v>
      </c>
      <c r="U66" s="38">
        <f t="shared" si="66"/>
        <v>68</v>
      </c>
      <c r="V66" s="38">
        <f t="shared" si="66"/>
        <v>69</v>
      </c>
      <c r="W66" s="29"/>
      <c r="X66" s="38">
        <v>58</v>
      </c>
      <c r="Y66" s="38"/>
      <c r="Z66" s="42">
        <v>0.01</v>
      </c>
    </row>
    <row r="67" spans="1:26" x14ac:dyDescent="0.3">
      <c r="A67" s="2">
        <v>1000184670</v>
      </c>
      <c r="B67" s="2" t="s">
        <v>147</v>
      </c>
      <c r="C67" s="4"/>
      <c r="D67" s="4"/>
      <c r="E67" s="2">
        <v>1000184764</v>
      </c>
      <c r="F67" s="2" t="s">
        <v>70</v>
      </c>
      <c r="G67" s="4">
        <v>1000189819</v>
      </c>
      <c r="H67" s="4" t="s">
        <v>74</v>
      </c>
      <c r="I67" s="2">
        <v>1000189270</v>
      </c>
      <c r="J67" s="2" t="s">
        <v>34</v>
      </c>
      <c r="K67" s="38">
        <f t="shared" si="23"/>
        <v>20</v>
      </c>
      <c r="L67" s="38">
        <f t="shared" ref="L67:V67" si="67">ROUNDUP(K67*(1+$Z67),0)</f>
        <v>21</v>
      </c>
      <c r="M67" s="38">
        <f t="shared" si="67"/>
        <v>22</v>
      </c>
      <c r="N67" s="38">
        <f t="shared" si="67"/>
        <v>23</v>
      </c>
      <c r="O67" s="38">
        <f t="shared" si="67"/>
        <v>24</v>
      </c>
      <c r="P67" s="38">
        <f t="shared" si="67"/>
        <v>25</v>
      </c>
      <c r="Q67" s="38">
        <f t="shared" si="67"/>
        <v>26</v>
      </c>
      <c r="R67" s="38">
        <f t="shared" si="67"/>
        <v>27</v>
      </c>
      <c r="S67" s="38">
        <f t="shared" si="67"/>
        <v>28</v>
      </c>
      <c r="T67" s="38">
        <f t="shared" si="67"/>
        <v>29</v>
      </c>
      <c r="U67" s="38">
        <f t="shared" si="67"/>
        <v>30</v>
      </c>
      <c r="V67" s="38">
        <f t="shared" si="67"/>
        <v>31</v>
      </c>
      <c r="W67" s="29"/>
      <c r="X67" s="38">
        <v>20</v>
      </c>
      <c r="Y67" s="38"/>
      <c r="Z67" s="42">
        <v>0.01</v>
      </c>
    </row>
    <row r="68" spans="1:26" x14ac:dyDescent="0.3">
      <c r="A68" s="2">
        <v>1000184670</v>
      </c>
      <c r="B68" s="2" t="s">
        <v>147</v>
      </c>
      <c r="C68" s="4"/>
      <c r="D68" s="4"/>
      <c r="E68" s="2">
        <v>1000184764</v>
      </c>
      <c r="F68" s="2" t="s">
        <v>70</v>
      </c>
      <c r="G68" s="4">
        <v>1000189820</v>
      </c>
      <c r="H68" s="4" t="s">
        <v>114</v>
      </c>
      <c r="I68" s="2">
        <v>1000189270</v>
      </c>
      <c r="J68" s="2" t="s">
        <v>34</v>
      </c>
      <c r="K68" s="38">
        <f t="shared" si="23"/>
        <v>27</v>
      </c>
      <c r="L68" s="38">
        <f t="shared" ref="L68:V68" si="68">ROUNDUP(K68*(1+$Z68),0)</f>
        <v>28</v>
      </c>
      <c r="M68" s="38">
        <f t="shared" si="68"/>
        <v>29</v>
      </c>
      <c r="N68" s="38">
        <f t="shared" si="68"/>
        <v>30</v>
      </c>
      <c r="O68" s="38">
        <f t="shared" si="68"/>
        <v>31</v>
      </c>
      <c r="P68" s="38">
        <f t="shared" si="68"/>
        <v>32</v>
      </c>
      <c r="Q68" s="38">
        <f t="shared" si="68"/>
        <v>33</v>
      </c>
      <c r="R68" s="38">
        <f t="shared" si="68"/>
        <v>34</v>
      </c>
      <c r="S68" s="38">
        <f t="shared" si="68"/>
        <v>35</v>
      </c>
      <c r="T68" s="38">
        <f t="shared" si="68"/>
        <v>36</v>
      </c>
      <c r="U68" s="38">
        <f t="shared" si="68"/>
        <v>37</v>
      </c>
      <c r="V68" s="38">
        <f t="shared" si="68"/>
        <v>38</v>
      </c>
      <c r="W68" s="29"/>
      <c r="X68" s="38">
        <v>27</v>
      </c>
      <c r="Y68" s="38"/>
      <c r="Z68" s="42">
        <v>0.01</v>
      </c>
    </row>
    <row r="69" spans="1:26" x14ac:dyDescent="0.3">
      <c r="A69" s="2">
        <v>1000184670</v>
      </c>
      <c r="B69" s="2" t="s">
        <v>147</v>
      </c>
      <c r="C69" s="4"/>
      <c r="D69" s="4"/>
      <c r="E69" s="2">
        <v>1000184764</v>
      </c>
      <c r="F69" s="2" t="s">
        <v>70</v>
      </c>
      <c r="G69" s="4">
        <v>1000189821</v>
      </c>
      <c r="H69" s="4" t="s">
        <v>71</v>
      </c>
      <c r="I69" s="2">
        <v>1000189270</v>
      </c>
      <c r="J69" s="2" t="s">
        <v>34</v>
      </c>
      <c r="K69" s="38">
        <f t="shared" si="23"/>
        <v>12</v>
      </c>
      <c r="L69" s="38">
        <f t="shared" ref="L69:V69" si="69">ROUNDUP(K69*(1+$Z69),0)</f>
        <v>13</v>
      </c>
      <c r="M69" s="38">
        <f t="shared" si="69"/>
        <v>14</v>
      </c>
      <c r="N69" s="38">
        <f t="shared" si="69"/>
        <v>15</v>
      </c>
      <c r="O69" s="38">
        <f t="shared" si="69"/>
        <v>16</v>
      </c>
      <c r="P69" s="38">
        <f t="shared" si="69"/>
        <v>17</v>
      </c>
      <c r="Q69" s="38">
        <f t="shared" si="69"/>
        <v>18</v>
      </c>
      <c r="R69" s="38">
        <f t="shared" si="69"/>
        <v>19</v>
      </c>
      <c r="S69" s="38">
        <f t="shared" si="69"/>
        <v>20</v>
      </c>
      <c r="T69" s="38">
        <f t="shared" si="69"/>
        <v>21</v>
      </c>
      <c r="U69" s="38">
        <f t="shared" si="69"/>
        <v>22</v>
      </c>
      <c r="V69" s="38">
        <f t="shared" si="69"/>
        <v>23</v>
      </c>
      <c r="W69" s="29"/>
      <c r="X69" s="38">
        <v>12</v>
      </c>
      <c r="Y69" s="38"/>
      <c r="Z69" s="42">
        <v>0.01</v>
      </c>
    </row>
    <row r="70" spans="1:26" x14ac:dyDescent="0.3">
      <c r="A70" s="2">
        <v>1000184670</v>
      </c>
      <c r="B70" s="2" t="s">
        <v>147</v>
      </c>
      <c r="C70" s="4"/>
      <c r="D70" s="4"/>
      <c r="E70" s="2">
        <v>1000184764</v>
      </c>
      <c r="F70" s="2" t="s">
        <v>70</v>
      </c>
      <c r="G70" s="4">
        <v>1000189822</v>
      </c>
      <c r="H70" s="4" t="s">
        <v>115</v>
      </c>
      <c r="I70" s="2">
        <v>1000189270</v>
      </c>
      <c r="J70" s="2" t="s">
        <v>34</v>
      </c>
      <c r="K70" s="38">
        <f t="shared" si="23"/>
        <v>4</v>
      </c>
      <c r="L70" s="38">
        <f t="shared" ref="L70:V70" si="70">ROUNDUP(K70*(1+$Z70),0)</f>
        <v>5</v>
      </c>
      <c r="M70" s="38">
        <f t="shared" si="70"/>
        <v>6</v>
      </c>
      <c r="N70" s="38">
        <f t="shared" si="70"/>
        <v>7</v>
      </c>
      <c r="O70" s="38">
        <f t="shared" si="70"/>
        <v>8</v>
      </c>
      <c r="P70" s="38">
        <f t="shared" si="70"/>
        <v>9</v>
      </c>
      <c r="Q70" s="38">
        <f t="shared" si="70"/>
        <v>10</v>
      </c>
      <c r="R70" s="38">
        <f t="shared" si="70"/>
        <v>11</v>
      </c>
      <c r="S70" s="38">
        <f t="shared" si="70"/>
        <v>12</v>
      </c>
      <c r="T70" s="38">
        <f t="shared" si="70"/>
        <v>13</v>
      </c>
      <c r="U70" s="38">
        <f t="shared" si="70"/>
        <v>14</v>
      </c>
      <c r="V70" s="38">
        <f t="shared" si="70"/>
        <v>15</v>
      </c>
      <c r="W70" s="29"/>
      <c r="X70" s="38">
        <v>4</v>
      </c>
      <c r="Y70" s="38"/>
      <c r="Z70" s="42">
        <v>0.01</v>
      </c>
    </row>
    <row r="71" spans="1:26" x14ac:dyDescent="0.3">
      <c r="A71" s="2">
        <v>1000184670</v>
      </c>
      <c r="B71" s="2" t="s">
        <v>147</v>
      </c>
      <c r="C71" s="4"/>
      <c r="D71" s="4"/>
      <c r="E71" s="2">
        <v>1000184764</v>
      </c>
      <c r="F71" s="2" t="s">
        <v>70</v>
      </c>
      <c r="G71" s="4">
        <v>1000189823</v>
      </c>
      <c r="H71" s="4" t="s">
        <v>73</v>
      </c>
      <c r="I71" s="2">
        <v>1000189270</v>
      </c>
      <c r="J71" s="2" t="s">
        <v>34</v>
      </c>
      <c r="K71" s="38">
        <f t="shared" si="23"/>
        <v>7</v>
      </c>
      <c r="L71" s="38">
        <f t="shared" ref="L71:V71" si="71">ROUNDUP(K71*(1+$Z71),0)</f>
        <v>8</v>
      </c>
      <c r="M71" s="38">
        <f t="shared" si="71"/>
        <v>9</v>
      </c>
      <c r="N71" s="38">
        <f t="shared" si="71"/>
        <v>10</v>
      </c>
      <c r="O71" s="38">
        <f t="shared" si="71"/>
        <v>11</v>
      </c>
      <c r="P71" s="38">
        <f t="shared" si="71"/>
        <v>12</v>
      </c>
      <c r="Q71" s="38">
        <f t="shared" si="71"/>
        <v>13</v>
      </c>
      <c r="R71" s="38">
        <f t="shared" si="71"/>
        <v>14</v>
      </c>
      <c r="S71" s="38">
        <f t="shared" si="71"/>
        <v>15</v>
      </c>
      <c r="T71" s="38">
        <f t="shared" si="71"/>
        <v>16</v>
      </c>
      <c r="U71" s="38">
        <f t="shared" si="71"/>
        <v>17</v>
      </c>
      <c r="V71" s="38">
        <f t="shared" si="71"/>
        <v>18</v>
      </c>
      <c r="W71" s="29"/>
      <c r="X71" s="38">
        <v>7</v>
      </c>
      <c r="Y71" s="38"/>
      <c r="Z71" s="42">
        <v>0.01</v>
      </c>
    </row>
    <row r="72" spans="1:26" x14ac:dyDescent="0.3">
      <c r="A72" s="2">
        <v>1000184670</v>
      </c>
      <c r="B72" s="2" t="s">
        <v>147</v>
      </c>
      <c r="C72" s="4"/>
      <c r="D72" s="4"/>
      <c r="E72" s="2">
        <v>1000185288</v>
      </c>
      <c r="F72" s="2" t="s">
        <v>64</v>
      </c>
      <c r="G72" s="4">
        <v>1000189792</v>
      </c>
      <c r="H72" s="4" t="s">
        <v>116</v>
      </c>
      <c r="I72" s="2">
        <v>1000189270</v>
      </c>
      <c r="J72" s="2" t="s">
        <v>34</v>
      </c>
      <c r="K72" s="38">
        <f t="shared" si="23"/>
        <v>6</v>
      </c>
      <c r="L72" s="38">
        <f t="shared" ref="L72:V72" si="72">ROUNDUP(K72*(1+$Z72),0)</f>
        <v>7</v>
      </c>
      <c r="M72" s="38">
        <f t="shared" si="72"/>
        <v>8</v>
      </c>
      <c r="N72" s="38">
        <f t="shared" si="72"/>
        <v>9</v>
      </c>
      <c r="O72" s="38">
        <f t="shared" si="72"/>
        <v>10</v>
      </c>
      <c r="P72" s="38">
        <f t="shared" si="72"/>
        <v>11</v>
      </c>
      <c r="Q72" s="38">
        <f t="shared" si="72"/>
        <v>12</v>
      </c>
      <c r="R72" s="38">
        <f t="shared" si="72"/>
        <v>13</v>
      </c>
      <c r="S72" s="38">
        <f t="shared" si="72"/>
        <v>14</v>
      </c>
      <c r="T72" s="38">
        <f t="shared" si="72"/>
        <v>15</v>
      </c>
      <c r="U72" s="38">
        <f t="shared" si="72"/>
        <v>16</v>
      </c>
      <c r="V72" s="38">
        <f t="shared" si="72"/>
        <v>17</v>
      </c>
      <c r="W72" s="29"/>
      <c r="X72" s="38">
        <v>6</v>
      </c>
      <c r="Y72" s="38"/>
      <c r="Z72" s="42">
        <v>0.01</v>
      </c>
    </row>
    <row r="73" spans="1:26" x14ac:dyDescent="0.3">
      <c r="A73" s="2">
        <v>1000184670</v>
      </c>
      <c r="B73" s="2" t="s">
        <v>147</v>
      </c>
      <c r="C73" s="4"/>
      <c r="D73" s="4"/>
      <c r="E73" s="2">
        <v>1000185288</v>
      </c>
      <c r="F73" s="2" t="s">
        <v>64</v>
      </c>
      <c r="G73" s="4">
        <v>1000189793</v>
      </c>
      <c r="H73" s="4" t="s">
        <v>85</v>
      </c>
      <c r="I73" s="2">
        <v>1000189270</v>
      </c>
      <c r="J73" s="2" t="s">
        <v>34</v>
      </c>
      <c r="K73" s="38">
        <f t="shared" si="23"/>
        <v>119</v>
      </c>
      <c r="L73" s="38">
        <f t="shared" ref="L73:V73" si="73">ROUNDUP(K73*(1+$Z73),0)</f>
        <v>121</v>
      </c>
      <c r="M73" s="38">
        <f t="shared" si="73"/>
        <v>123</v>
      </c>
      <c r="N73" s="38">
        <f t="shared" si="73"/>
        <v>125</v>
      </c>
      <c r="O73" s="38">
        <f t="shared" si="73"/>
        <v>127</v>
      </c>
      <c r="P73" s="38">
        <f t="shared" si="73"/>
        <v>129</v>
      </c>
      <c r="Q73" s="38">
        <f t="shared" si="73"/>
        <v>131</v>
      </c>
      <c r="R73" s="38">
        <f t="shared" si="73"/>
        <v>133</v>
      </c>
      <c r="S73" s="38">
        <f t="shared" si="73"/>
        <v>135</v>
      </c>
      <c r="T73" s="38">
        <f t="shared" si="73"/>
        <v>137</v>
      </c>
      <c r="U73" s="38">
        <f t="shared" si="73"/>
        <v>139</v>
      </c>
      <c r="V73" s="38">
        <f t="shared" si="73"/>
        <v>141</v>
      </c>
      <c r="W73" s="29"/>
      <c r="X73" s="38">
        <v>119</v>
      </c>
      <c r="Y73" s="38"/>
      <c r="Z73" s="42">
        <v>0.01</v>
      </c>
    </row>
    <row r="74" spans="1:26" x14ac:dyDescent="0.3">
      <c r="A74" s="2">
        <v>1000184670</v>
      </c>
      <c r="B74" s="2" t="s">
        <v>147</v>
      </c>
      <c r="C74" s="4"/>
      <c r="D74" s="4"/>
      <c r="E74" s="2">
        <v>1000185288</v>
      </c>
      <c r="F74" s="2" t="s">
        <v>64</v>
      </c>
      <c r="G74" s="4">
        <v>1000189794</v>
      </c>
      <c r="H74" s="4" t="s">
        <v>117</v>
      </c>
      <c r="I74" s="2">
        <v>1000189270</v>
      </c>
      <c r="J74" s="2" t="s">
        <v>34</v>
      </c>
      <c r="K74" s="38">
        <f t="shared" si="23"/>
        <v>35</v>
      </c>
      <c r="L74" s="38">
        <f t="shared" ref="L74:V74" si="74">ROUNDUP(K74*(1+$Z74),0)</f>
        <v>36</v>
      </c>
      <c r="M74" s="38">
        <f t="shared" si="74"/>
        <v>37</v>
      </c>
      <c r="N74" s="38">
        <f t="shared" si="74"/>
        <v>38</v>
      </c>
      <c r="O74" s="38">
        <f t="shared" si="74"/>
        <v>39</v>
      </c>
      <c r="P74" s="38">
        <f t="shared" si="74"/>
        <v>40</v>
      </c>
      <c r="Q74" s="38">
        <f t="shared" si="74"/>
        <v>41</v>
      </c>
      <c r="R74" s="38">
        <f t="shared" si="74"/>
        <v>42</v>
      </c>
      <c r="S74" s="38">
        <f t="shared" si="74"/>
        <v>43</v>
      </c>
      <c r="T74" s="38">
        <f t="shared" si="74"/>
        <v>44</v>
      </c>
      <c r="U74" s="38">
        <f t="shared" si="74"/>
        <v>45</v>
      </c>
      <c r="V74" s="38">
        <f t="shared" si="74"/>
        <v>46</v>
      </c>
      <c r="W74" s="29"/>
      <c r="X74" s="38">
        <v>35</v>
      </c>
      <c r="Y74" s="38"/>
      <c r="Z74" s="42">
        <v>0.01</v>
      </c>
    </row>
    <row r="75" spans="1:26" x14ac:dyDescent="0.3">
      <c r="A75" s="2">
        <v>1000184670</v>
      </c>
      <c r="B75" s="2" t="s">
        <v>147</v>
      </c>
      <c r="C75" s="4"/>
      <c r="D75" s="4"/>
      <c r="E75" s="2">
        <v>1000185288</v>
      </c>
      <c r="F75" s="2" t="s">
        <v>64</v>
      </c>
      <c r="G75" s="4">
        <v>1000189795</v>
      </c>
      <c r="H75" s="4" t="s">
        <v>65</v>
      </c>
      <c r="I75" s="2">
        <v>1000189270</v>
      </c>
      <c r="J75" s="2" t="s">
        <v>34</v>
      </c>
      <c r="K75" s="38">
        <f t="shared" si="23"/>
        <v>47</v>
      </c>
      <c r="L75" s="38">
        <f t="shared" ref="L75:V75" si="75">ROUNDUP(K75*(1+$Z75),0)</f>
        <v>48</v>
      </c>
      <c r="M75" s="38">
        <f t="shared" si="75"/>
        <v>49</v>
      </c>
      <c r="N75" s="38">
        <f t="shared" si="75"/>
        <v>50</v>
      </c>
      <c r="O75" s="38">
        <f t="shared" si="75"/>
        <v>51</v>
      </c>
      <c r="P75" s="38">
        <f t="shared" si="75"/>
        <v>52</v>
      </c>
      <c r="Q75" s="38">
        <f t="shared" si="75"/>
        <v>53</v>
      </c>
      <c r="R75" s="38">
        <f t="shared" si="75"/>
        <v>54</v>
      </c>
      <c r="S75" s="38">
        <f t="shared" si="75"/>
        <v>55</v>
      </c>
      <c r="T75" s="38">
        <f t="shared" si="75"/>
        <v>56</v>
      </c>
      <c r="U75" s="38">
        <f t="shared" si="75"/>
        <v>57</v>
      </c>
      <c r="V75" s="38">
        <f t="shared" si="75"/>
        <v>58</v>
      </c>
      <c r="W75" s="29"/>
      <c r="X75" s="38">
        <v>47</v>
      </c>
      <c r="Y75" s="38"/>
      <c r="Z75" s="42">
        <v>0.01</v>
      </c>
    </row>
    <row r="76" spans="1:26" x14ac:dyDescent="0.3">
      <c r="A76" s="2">
        <v>1000184670</v>
      </c>
      <c r="B76" s="2" t="s">
        <v>147</v>
      </c>
      <c r="C76" s="4"/>
      <c r="D76" s="4"/>
      <c r="E76" s="2">
        <v>1000185288</v>
      </c>
      <c r="F76" s="2" t="s">
        <v>64</v>
      </c>
      <c r="G76" s="4">
        <v>1000189803</v>
      </c>
      <c r="H76" s="4" t="s">
        <v>97</v>
      </c>
      <c r="I76" s="2">
        <v>1000189270</v>
      </c>
      <c r="J76" s="2" t="s">
        <v>34</v>
      </c>
      <c r="K76" s="38">
        <f t="shared" si="23"/>
        <v>58</v>
      </c>
      <c r="L76" s="38">
        <f t="shared" ref="L76:V76" si="76">ROUNDUP(K76*(1+$Z76),0)</f>
        <v>59</v>
      </c>
      <c r="M76" s="38">
        <f t="shared" si="76"/>
        <v>60</v>
      </c>
      <c r="N76" s="38">
        <f t="shared" si="76"/>
        <v>61</v>
      </c>
      <c r="O76" s="38">
        <f t="shared" si="76"/>
        <v>62</v>
      </c>
      <c r="P76" s="38">
        <f t="shared" si="76"/>
        <v>63</v>
      </c>
      <c r="Q76" s="38">
        <f t="shared" si="76"/>
        <v>64</v>
      </c>
      <c r="R76" s="38">
        <f t="shared" si="76"/>
        <v>65</v>
      </c>
      <c r="S76" s="38">
        <f t="shared" si="76"/>
        <v>66</v>
      </c>
      <c r="T76" s="38">
        <f t="shared" si="76"/>
        <v>67</v>
      </c>
      <c r="U76" s="38">
        <f t="shared" si="76"/>
        <v>68</v>
      </c>
      <c r="V76" s="38">
        <f t="shared" si="76"/>
        <v>69</v>
      </c>
      <c r="W76" s="29"/>
      <c r="X76" s="38">
        <v>58</v>
      </c>
      <c r="Y76" s="38"/>
      <c r="Z76" s="42">
        <v>0.01</v>
      </c>
    </row>
    <row r="77" spans="1:26" x14ac:dyDescent="0.3">
      <c r="A77" s="2">
        <v>1000184670</v>
      </c>
      <c r="B77" s="2" t="s">
        <v>147</v>
      </c>
      <c r="C77" s="4"/>
      <c r="D77" s="4"/>
      <c r="E77" s="2">
        <v>1000185288</v>
      </c>
      <c r="F77" s="2" t="s">
        <v>64</v>
      </c>
      <c r="G77" s="4">
        <v>1000189804</v>
      </c>
      <c r="H77" s="4" t="s">
        <v>89</v>
      </c>
      <c r="I77" s="2">
        <v>1000189270</v>
      </c>
      <c r="J77" s="2" t="s">
        <v>34</v>
      </c>
      <c r="K77" s="38">
        <f t="shared" si="23"/>
        <v>48</v>
      </c>
      <c r="L77" s="38">
        <f t="shared" ref="L77:V77" si="77">ROUNDUP(K77*(1+$Z77),0)</f>
        <v>49</v>
      </c>
      <c r="M77" s="38">
        <f t="shared" si="77"/>
        <v>50</v>
      </c>
      <c r="N77" s="38">
        <f t="shared" si="77"/>
        <v>51</v>
      </c>
      <c r="O77" s="38">
        <f t="shared" si="77"/>
        <v>52</v>
      </c>
      <c r="P77" s="38">
        <f t="shared" si="77"/>
        <v>53</v>
      </c>
      <c r="Q77" s="38">
        <f t="shared" si="77"/>
        <v>54</v>
      </c>
      <c r="R77" s="38">
        <f t="shared" si="77"/>
        <v>55</v>
      </c>
      <c r="S77" s="38">
        <f t="shared" si="77"/>
        <v>56</v>
      </c>
      <c r="T77" s="38">
        <f t="shared" si="77"/>
        <v>57</v>
      </c>
      <c r="U77" s="38">
        <f t="shared" si="77"/>
        <v>58</v>
      </c>
      <c r="V77" s="38">
        <f t="shared" si="77"/>
        <v>59</v>
      </c>
      <c r="W77" s="29"/>
      <c r="X77" s="38">
        <v>48</v>
      </c>
      <c r="Y77" s="38"/>
      <c r="Z77" s="42">
        <v>0.01</v>
      </c>
    </row>
    <row r="78" spans="1:26" x14ac:dyDescent="0.3">
      <c r="A78" s="2">
        <v>1000184670</v>
      </c>
      <c r="B78" s="2" t="s">
        <v>147</v>
      </c>
      <c r="C78" s="4"/>
      <c r="D78" s="4"/>
      <c r="E78" s="2">
        <v>1000185288</v>
      </c>
      <c r="F78" s="2" t="s">
        <v>64</v>
      </c>
      <c r="G78" s="4">
        <v>1000189805</v>
      </c>
      <c r="H78" s="4" t="s">
        <v>118</v>
      </c>
      <c r="I78" s="2">
        <v>1000189270</v>
      </c>
      <c r="J78" s="2" t="s">
        <v>34</v>
      </c>
      <c r="K78" s="38">
        <f t="shared" si="23"/>
        <v>12</v>
      </c>
      <c r="L78" s="38">
        <f t="shared" ref="L78:V78" si="78">ROUNDUP(K78*(1+$Z78),0)</f>
        <v>13</v>
      </c>
      <c r="M78" s="38">
        <f t="shared" si="78"/>
        <v>14</v>
      </c>
      <c r="N78" s="38">
        <f t="shared" si="78"/>
        <v>15</v>
      </c>
      <c r="O78" s="38">
        <f t="shared" si="78"/>
        <v>16</v>
      </c>
      <c r="P78" s="38">
        <f t="shared" si="78"/>
        <v>17</v>
      </c>
      <c r="Q78" s="38">
        <f t="shared" si="78"/>
        <v>18</v>
      </c>
      <c r="R78" s="38">
        <f t="shared" si="78"/>
        <v>19</v>
      </c>
      <c r="S78" s="38">
        <f t="shared" si="78"/>
        <v>20</v>
      </c>
      <c r="T78" s="38">
        <f t="shared" si="78"/>
        <v>21</v>
      </c>
      <c r="U78" s="38">
        <f t="shared" si="78"/>
        <v>22</v>
      </c>
      <c r="V78" s="38">
        <f t="shared" si="78"/>
        <v>23</v>
      </c>
      <c r="W78" s="29"/>
      <c r="X78" s="38">
        <v>12</v>
      </c>
      <c r="Y78" s="38"/>
      <c r="Z78" s="42">
        <v>0.01</v>
      </c>
    </row>
    <row r="79" spans="1:26" x14ac:dyDescent="0.3">
      <c r="A79" s="2">
        <v>1000184670</v>
      </c>
      <c r="B79" s="2" t="s">
        <v>147</v>
      </c>
      <c r="C79" s="4"/>
      <c r="D79" s="4"/>
      <c r="E79" s="2">
        <v>1000185288</v>
      </c>
      <c r="F79" s="2" t="s">
        <v>64</v>
      </c>
      <c r="G79" s="4">
        <v>1000189806</v>
      </c>
      <c r="H79" s="4" t="s">
        <v>119</v>
      </c>
      <c r="I79" s="2">
        <v>1000189270</v>
      </c>
      <c r="J79" s="2" t="s">
        <v>34</v>
      </c>
      <c r="K79" s="38">
        <f t="shared" si="23"/>
        <v>7</v>
      </c>
      <c r="L79" s="38">
        <f t="shared" ref="L79:V79" si="79">ROUNDUP(K79*(1+$Z79),0)</f>
        <v>8</v>
      </c>
      <c r="M79" s="38">
        <f t="shared" si="79"/>
        <v>9</v>
      </c>
      <c r="N79" s="38">
        <f t="shared" si="79"/>
        <v>10</v>
      </c>
      <c r="O79" s="38">
        <f t="shared" si="79"/>
        <v>11</v>
      </c>
      <c r="P79" s="38">
        <f t="shared" si="79"/>
        <v>12</v>
      </c>
      <c r="Q79" s="38">
        <f t="shared" si="79"/>
        <v>13</v>
      </c>
      <c r="R79" s="38">
        <f t="shared" si="79"/>
        <v>14</v>
      </c>
      <c r="S79" s="38">
        <f t="shared" si="79"/>
        <v>15</v>
      </c>
      <c r="T79" s="38">
        <f t="shared" si="79"/>
        <v>16</v>
      </c>
      <c r="U79" s="38">
        <f t="shared" si="79"/>
        <v>17</v>
      </c>
      <c r="V79" s="38">
        <f t="shared" si="79"/>
        <v>18</v>
      </c>
      <c r="W79" s="29"/>
      <c r="X79" s="38">
        <v>7</v>
      </c>
      <c r="Y79" s="38"/>
      <c r="Z79" s="42">
        <v>0.01</v>
      </c>
    </row>
    <row r="80" spans="1:26" x14ac:dyDescent="0.3">
      <c r="A80" s="2">
        <v>1000184670</v>
      </c>
      <c r="B80" s="2" t="s">
        <v>147</v>
      </c>
      <c r="C80" s="4"/>
      <c r="D80" s="4"/>
      <c r="E80" s="2">
        <v>1000185288</v>
      </c>
      <c r="F80" s="2" t="s">
        <v>64</v>
      </c>
      <c r="G80" s="4">
        <v>1000189807</v>
      </c>
      <c r="H80" s="4" t="s">
        <v>81</v>
      </c>
      <c r="I80" s="2">
        <v>1000189270</v>
      </c>
      <c r="J80" s="2" t="s">
        <v>34</v>
      </c>
      <c r="K80" s="38">
        <f t="shared" si="23"/>
        <v>141</v>
      </c>
      <c r="L80" s="38">
        <f t="shared" ref="L80:V80" si="80">ROUNDUP(K80*(1+$Z80),0)</f>
        <v>143</v>
      </c>
      <c r="M80" s="38">
        <f t="shared" si="80"/>
        <v>145</v>
      </c>
      <c r="N80" s="38">
        <f t="shared" si="80"/>
        <v>147</v>
      </c>
      <c r="O80" s="38">
        <f t="shared" si="80"/>
        <v>149</v>
      </c>
      <c r="P80" s="38">
        <f t="shared" si="80"/>
        <v>151</v>
      </c>
      <c r="Q80" s="38">
        <f t="shared" si="80"/>
        <v>153</v>
      </c>
      <c r="R80" s="38">
        <f t="shared" si="80"/>
        <v>155</v>
      </c>
      <c r="S80" s="38">
        <f t="shared" si="80"/>
        <v>157</v>
      </c>
      <c r="T80" s="38">
        <f t="shared" si="80"/>
        <v>159</v>
      </c>
      <c r="U80" s="38">
        <f t="shared" si="80"/>
        <v>161</v>
      </c>
      <c r="V80" s="38">
        <f t="shared" si="80"/>
        <v>163</v>
      </c>
      <c r="W80" s="29"/>
      <c r="X80" s="38">
        <v>141</v>
      </c>
      <c r="Y80" s="38"/>
      <c r="Z80" s="42">
        <v>0.01</v>
      </c>
    </row>
    <row r="81" spans="1:26" x14ac:dyDescent="0.3">
      <c r="A81" s="2">
        <v>1000184670</v>
      </c>
      <c r="B81" s="2" t="s">
        <v>147</v>
      </c>
      <c r="C81" s="4"/>
      <c r="D81" s="4"/>
      <c r="E81" s="2">
        <v>1000185288</v>
      </c>
      <c r="F81" s="2" t="s">
        <v>64</v>
      </c>
      <c r="G81" s="4">
        <v>1000189808</v>
      </c>
      <c r="H81" s="4" t="s">
        <v>120</v>
      </c>
      <c r="I81" s="2">
        <v>1000189270</v>
      </c>
      <c r="J81" s="2" t="s">
        <v>34</v>
      </c>
      <c r="K81" s="38">
        <f t="shared" si="23"/>
        <v>85</v>
      </c>
      <c r="L81" s="38">
        <f t="shared" ref="L81:V81" si="81">ROUNDUP(K81*(1+$Z81),0)</f>
        <v>86</v>
      </c>
      <c r="M81" s="38">
        <f t="shared" si="81"/>
        <v>87</v>
      </c>
      <c r="N81" s="38">
        <f t="shared" si="81"/>
        <v>88</v>
      </c>
      <c r="O81" s="38">
        <f t="shared" si="81"/>
        <v>89</v>
      </c>
      <c r="P81" s="38">
        <f t="shared" si="81"/>
        <v>90</v>
      </c>
      <c r="Q81" s="38">
        <f t="shared" si="81"/>
        <v>91</v>
      </c>
      <c r="R81" s="38">
        <f t="shared" si="81"/>
        <v>92</v>
      </c>
      <c r="S81" s="38">
        <f t="shared" si="81"/>
        <v>93</v>
      </c>
      <c r="T81" s="38">
        <f t="shared" si="81"/>
        <v>94</v>
      </c>
      <c r="U81" s="38">
        <f t="shared" si="81"/>
        <v>95</v>
      </c>
      <c r="V81" s="38">
        <f t="shared" si="81"/>
        <v>96</v>
      </c>
      <c r="W81" s="29"/>
      <c r="X81" s="38">
        <v>85</v>
      </c>
      <c r="Y81" s="38"/>
      <c r="Z81" s="42">
        <v>0.01</v>
      </c>
    </row>
    <row r="82" spans="1:26" x14ac:dyDescent="0.3">
      <c r="A82" s="2">
        <v>1000184670</v>
      </c>
      <c r="B82" s="2" t="s">
        <v>147</v>
      </c>
      <c r="C82" s="4"/>
      <c r="D82" s="4"/>
      <c r="E82" s="2">
        <v>1000185288</v>
      </c>
      <c r="F82" s="2" t="s">
        <v>64</v>
      </c>
      <c r="G82" s="4">
        <v>1000189809</v>
      </c>
      <c r="H82" s="4" t="s">
        <v>92</v>
      </c>
      <c r="I82" s="2">
        <v>1000189270</v>
      </c>
      <c r="J82" s="2" t="s">
        <v>34</v>
      </c>
      <c r="K82" s="38">
        <f t="shared" si="23"/>
        <v>47</v>
      </c>
      <c r="L82" s="38">
        <f t="shared" ref="L82:V82" si="82">ROUNDUP(K82*(1+$Z82),0)</f>
        <v>48</v>
      </c>
      <c r="M82" s="38">
        <f t="shared" si="82"/>
        <v>49</v>
      </c>
      <c r="N82" s="38">
        <f t="shared" si="82"/>
        <v>50</v>
      </c>
      <c r="O82" s="38">
        <f t="shared" si="82"/>
        <v>51</v>
      </c>
      <c r="P82" s="38">
        <f t="shared" si="82"/>
        <v>52</v>
      </c>
      <c r="Q82" s="38">
        <f t="shared" si="82"/>
        <v>53</v>
      </c>
      <c r="R82" s="38">
        <f t="shared" si="82"/>
        <v>54</v>
      </c>
      <c r="S82" s="38">
        <f t="shared" si="82"/>
        <v>55</v>
      </c>
      <c r="T82" s="38">
        <f t="shared" si="82"/>
        <v>56</v>
      </c>
      <c r="U82" s="38">
        <f t="shared" si="82"/>
        <v>57</v>
      </c>
      <c r="V82" s="38">
        <f t="shared" si="82"/>
        <v>58</v>
      </c>
      <c r="W82" s="29"/>
      <c r="X82" s="38">
        <v>47</v>
      </c>
      <c r="Y82" s="38"/>
      <c r="Z82" s="42">
        <v>0.01</v>
      </c>
    </row>
    <row r="83" spans="1:26" x14ac:dyDescent="0.3">
      <c r="A83" s="2">
        <v>1000184670</v>
      </c>
      <c r="B83" s="2" t="s">
        <v>147</v>
      </c>
      <c r="C83" s="4"/>
      <c r="D83" s="4"/>
      <c r="E83" s="2">
        <v>1000185288</v>
      </c>
      <c r="F83" s="2" t="s">
        <v>64</v>
      </c>
      <c r="G83" s="4">
        <v>1000189810</v>
      </c>
      <c r="H83" s="4" t="s">
        <v>96</v>
      </c>
      <c r="I83" s="2">
        <v>1000189270</v>
      </c>
      <c r="J83" s="2" t="s">
        <v>34</v>
      </c>
      <c r="K83" s="38">
        <f t="shared" si="23"/>
        <v>46</v>
      </c>
      <c r="L83" s="38">
        <f t="shared" ref="L83:V83" si="83">ROUNDUP(K83*(1+$Z83),0)</f>
        <v>47</v>
      </c>
      <c r="M83" s="38">
        <f t="shared" si="83"/>
        <v>48</v>
      </c>
      <c r="N83" s="38">
        <f t="shared" si="83"/>
        <v>49</v>
      </c>
      <c r="O83" s="38">
        <f t="shared" si="83"/>
        <v>50</v>
      </c>
      <c r="P83" s="38">
        <f t="shared" si="83"/>
        <v>51</v>
      </c>
      <c r="Q83" s="38">
        <f t="shared" si="83"/>
        <v>52</v>
      </c>
      <c r="R83" s="38">
        <f t="shared" si="83"/>
        <v>53</v>
      </c>
      <c r="S83" s="38">
        <f t="shared" si="83"/>
        <v>54</v>
      </c>
      <c r="T83" s="38">
        <f t="shared" si="83"/>
        <v>55</v>
      </c>
      <c r="U83" s="38">
        <f t="shared" si="83"/>
        <v>56</v>
      </c>
      <c r="V83" s="38">
        <f t="shared" si="83"/>
        <v>57</v>
      </c>
      <c r="W83" s="29"/>
      <c r="X83" s="38">
        <v>46</v>
      </c>
      <c r="Y83" s="38"/>
      <c r="Z83" s="42">
        <v>0.01</v>
      </c>
    </row>
  </sheetData>
  <autoFilter ref="A3:Z83" xr:uid="{AA39836C-8A83-4052-9663-079085D4299E}"/>
  <conditionalFormatting sqref="A4:J83">
    <cfRule type="expression" dxfId="4" priority="1">
      <formula>#REF!="SIM"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7C76149-2310-4F32-81FA-C04720E35B77}">
          <x14:formula1>
            <xm:f>'Balizador da Meta'!$F$4:$F$9</xm:f>
          </x14:formula1>
          <xm:sqref>Z84:Z1048576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836C-8A83-4052-9663-079085D4299E}">
  <dimension ref="A1:AE83"/>
  <sheetViews>
    <sheetView showGridLines="0" topLeftCell="G1" zoomScale="80" zoomScaleNormal="80" workbookViewId="0">
      <pane ySplit="3" topLeftCell="A4" activePane="bottomLeft" state="frozen"/>
      <selection pane="bottomLeft" activeCell="P3" sqref="P3"/>
    </sheetView>
  </sheetViews>
  <sheetFormatPr defaultColWidth="10.21875" defaultRowHeight="14.4" outlineLevelCol="1" x14ac:dyDescent="0.3"/>
  <cols>
    <col min="1" max="1" width="14.44140625" style="1" customWidth="1"/>
    <col min="2" max="2" width="29.44140625" style="1" customWidth="1"/>
    <col min="3" max="3" width="14.44140625" style="1" customWidth="1"/>
    <col min="4" max="4" width="29.44140625" style="1" customWidth="1"/>
    <col min="5" max="5" width="14.44140625" style="1" customWidth="1"/>
    <col min="6" max="6" width="29.44140625" style="1" customWidth="1"/>
    <col min="7" max="7" width="14.44140625" style="1" customWidth="1"/>
    <col min="8" max="8" width="29.44140625" style="1" customWidth="1"/>
    <col min="9" max="9" width="14.44140625" style="1" customWidth="1"/>
    <col min="10" max="10" width="29.44140625" style="1" customWidth="1"/>
    <col min="11" max="11" width="45.5546875" style="1" bestFit="1" customWidth="1"/>
    <col min="12" max="23" width="13.44140625" style="7" customWidth="1" outlineLevel="1"/>
    <col min="24" max="24" width="4.5546875" customWidth="1"/>
    <col min="25" max="26" width="13.44140625" style="7" customWidth="1"/>
    <col min="27" max="27" width="4.5546875" customWidth="1"/>
    <col min="28" max="28" width="15.77734375" style="7" customWidth="1"/>
    <col min="29" max="29" width="4.5546875" customWidth="1"/>
    <col min="30" max="31" width="13.44140625" style="7" customWidth="1"/>
    <col min="32" max="16384" width="10.21875" style="1"/>
  </cols>
  <sheetData>
    <row r="1" spans="1:31" ht="15.75" customHeight="1" x14ac:dyDescent="0.3"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6"/>
      <c r="Y1" s="15"/>
      <c r="Z1" s="15"/>
      <c r="AA1" s="6"/>
      <c r="AB1" s="15"/>
      <c r="AC1" s="6"/>
      <c r="AD1" s="15"/>
      <c r="AE1" s="15"/>
    </row>
    <row r="2" spans="1:31" ht="15.75" customHeight="1" x14ac:dyDescent="0.3">
      <c r="L2" s="13">
        <f>SUBTOTAL(9,L4:L674)</f>
        <v>385</v>
      </c>
      <c r="M2" s="13">
        <f t="shared" ref="M2:W2" si="0">SUBTOTAL(9,M4:M674)</f>
        <v>401</v>
      </c>
      <c r="N2" s="13">
        <f t="shared" si="0"/>
        <v>409</v>
      </c>
      <c r="O2" s="13">
        <f t="shared" si="0"/>
        <v>417</v>
      </c>
      <c r="P2" s="13">
        <f t="shared" si="0"/>
        <v>428</v>
      </c>
      <c r="Q2" s="13">
        <f t="shared" si="0"/>
        <v>437</v>
      </c>
      <c r="R2" s="13">
        <f t="shared" si="0"/>
        <v>453</v>
      </c>
      <c r="S2" s="13">
        <f t="shared" si="0"/>
        <v>462</v>
      </c>
      <c r="T2" s="13">
        <f t="shared" si="0"/>
        <v>470</v>
      </c>
      <c r="U2" s="13">
        <f t="shared" si="0"/>
        <v>480</v>
      </c>
      <c r="V2" s="13">
        <f t="shared" si="0"/>
        <v>490</v>
      </c>
      <c r="W2" s="13">
        <f t="shared" si="0"/>
        <v>506</v>
      </c>
      <c r="X2" s="29"/>
      <c r="Y2" s="30">
        <f>AVERAGEIFS(Y4:Y83,Y4:Y83,"&gt;"&amp;0)</f>
        <v>540.40242040517421</v>
      </c>
      <c r="Z2" s="30"/>
      <c r="AA2" s="29"/>
      <c r="AB2" s="13"/>
      <c r="AC2" s="29"/>
      <c r="AD2" s="13">
        <f>SUM(AD4:AD674)</f>
        <v>1590</v>
      </c>
      <c r="AE2" s="13"/>
    </row>
    <row r="3" spans="1:31" s="5" customFormat="1" ht="24.75" customHeight="1" x14ac:dyDescent="0.3">
      <c r="A3" s="10" t="s">
        <v>35</v>
      </c>
      <c r="B3" s="10" t="s">
        <v>36</v>
      </c>
      <c r="C3" s="10" t="s">
        <v>37</v>
      </c>
      <c r="D3" s="10" t="s">
        <v>38</v>
      </c>
      <c r="E3" s="10" t="s">
        <v>39</v>
      </c>
      <c r="F3" s="10" t="s">
        <v>40</v>
      </c>
      <c r="G3" s="10" t="s">
        <v>41</v>
      </c>
      <c r="H3" s="10" t="s">
        <v>42</v>
      </c>
      <c r="I3" s="10" t="s">
        <v>123</v>
      </c>
      <c r="J3" s="10" t="s">
        <v>122</v>
      </c>
      <c r="K3" s="10"/>
      <c r="L3" s="33" t="s">
        <v>1</v>
      </c>
      <c r="M3" s="33" t="s">
        <v>2</v>
      </c>
      <c r="N3" s="33" t="s">
        <v>3</v>
      </c>
      <c r="O3" s="33" t="s">
        <v>4</v>
      </c>
      <c r="P3" s="33" t="s">
        <v>5</v>
      </c>
      <c r="Q3" s="33" t="s">
        <v>6</v>
      </c>
      <c r="R3" s="33" t="s">
        <v>7</v>
      </c>
      <c r="S3" s="33" t="s">
        <v>8</v>
      </c>
      <c r="T3" s="33" t="s">
        <v>9</v>
      </c>
      <c r="U3" s="33" t="s">
        <v>10</v>
      </c>
      <c r="V3" s="33" t="s">
        <v>11</v>
      </c>
      <c r="W3" s="33" t="s">
        <v>12</v>
      </c>
      <c r="Y3" s="11" t="s">
        <v>171</v>
      </c>
      <c r="Z3" s="11" t="s">
        <v>173</v>
      </c>
      <c r="AB3" s="11" t="s">
        <v>174</v>
      </c>
      <c r="AD3" s="11" t="s">
        <v>169</v>
      </c>
      <c r="AE3" s="11" t="s">
        <v>181</v>
      </c>
    </row>
    <row r="4" spans="1:31" x14ac:dyDescent="0.3">
      <c r="A4" s="2">
        <v>1000184670</v>
      </c>
      <c r="B4" s="2" t="s">
        <v>147</v>
      </c>
      <c r="C4" s="4">
        <v>1000186197</v>
      </c>
      <c r="D4" s="4" t="s">
        <v>166</v>
      </c>
      <c r="E4" s="2">
        <v>1000198600</v>
      </c>
      <c r="F4" s="2" t="s">
        <v>148</v>
      </c>
      <c r="G4" s="4">
        <v>1000198601</v>
      </c>
      <c r="H4" s="4" t="s">
        <v>149</v>
      </c>
      <c r="I4" s="2">
        <v>1000189750</v>
      </c>
      <c r="J4" s="2" t="s">
        <v>136</v>
      </c>
      <c r="K4" s="2" t="str">
        <f t="shared" ref="K4:K67" si="1">_xlfn.CONCAT(A4,C4,G4,I4)</f>
        <v>1000184670100018619710001986011000189750</v>
      </c>
      <c r="L4" s="38">
        <f>ROUND(SUMIFS(Leads!K:K,Leads!$I:$I,Positivação!$I4,Leads!$G:$G,Positivação!$G4)*_xlfn.XLOOKUP($AB4,'Balizador da Meta'!$F$4:$F$9,'Balizador da Meta'!G$4:G$9),0)</f>
        <v>4</v>
      </c>
      <c r="M4" s="38">
        <f>ROUND(SUMIFS(Leads!L:L,Leads!$I:$I,Positivação!$I4,Leads!$G:$G,Positivação!$G4)*_xlfn.XLOOKUP($AB4,'Balizador da Meta'!$F$4:$F$9,'Balizador da Meta'!H$4:H$9),0)</f>
        <v>4</v>
      </c>
      <c r="N4" s="38">
        <f>ROUND(SUMIFS(Leads!M:M,Leads!$I:$I,Positivação!$I4,Leads!$G:$G,Positivação!$G4)*_xlfn.XLOOKUP($AB4,'Balizador da Meta'!$F$4:$F$9,'Balizador da Meta'!I$4:I$9),0)</f>
        <v>5</v>
      </c>
      <c r="O4" s="38">
        <f>ROUND(SUMIFS(Leads!N:N,Leads!$I:$I,Positivação!$I4,Leads!$G:$G,Positivação!$G4)*_xlfn.XLOOKUP($AB4,'Balizador da Meta'!$F$4:$F$9,'Balizador da Meta'!J$4:J$9),0)</f>
        <v>5</v>
      </c>
      <c r="P4" s="38">
        <f>ROUND(SUMIFS(Leads!O:O,Leads!$I:$I,Positivação!$I4,Leads!$G:$G,Positivação!$G4)*_xlfn.XLOOKUP($AB4,'Balizador da Meta'!$F$4:$F$9,'Balizador da Meta'!K$4:K$9),0)</f>
        <v>5</v>
      </c>
      <c r="Q4" s="38">
        <f>ROUND(SUMIFS(Leads!P:P,Leads!$I:$I,Positivação!$I4,Leads!$G:$G,Positivação!$G4)*_xlfn.XLOOKUP($AB4,'Balizador da Meta'!$F$4:$F$9,'Balizador da Meta'!L$4:L$9),0)</f>
        <v>5</v>
      </c>
      <c r="R4" s="38">
        <f>ROUND(SUMIFS(Leads!Q:Q,Leads!$I:$I,Positivação!$I4,Leads!$G:$G,Positivação!$G4)*_xlfn.XLOOKUP($AB4,'Balizador da Meta'!$F$4:$F$9,'Balizador da Meta'!M$4:M$9),0)</f>
        <v>6</v>
      </c>
      <c r="S4" s="38">
        <f>ROUND(SUMIFS(Leads!R:R,Leads!$I:$I,Positivação!$I4,Leads!$G:$G,Positivação!$G4)*_xlfn.XLOOKUP($AB4,'Balizador da Meta'!$F$4:$F$9,'Balizador da Meta'!N$4:N$9),0)</f>
        <v>6</v>
      </c>
      <c r="T4" s="38">
        <f>ROUND(SUMIFS(Leads!S:S,Leads!$I:$I,Positivação!$I4,Leads!$G:$G,Positivação!$G4)*_xlfn.XLOOKUP($AB4,'Balizador da Meta'!$F$4:$F$9,'Balizador da Meta'!O$4:O$9),0)</f>
        <v>6</v>
      </c>
      <c r="U4" s="38">
        <f>ROUND(SUMIFS(Leads!T:T,Leads!$I:$I,Positivação!$I4,Leads!$G:$G,Positivação!$G4)*_xlfn.XLOOKUP($AB4,'Balizador da Meta'!$F$4:$F$9,'Balizador da Meta'!P$4:P$9),0)</f>
        <v>7</v>
      </c>
      <c r="V4" s="38">
        <f>ROUND(SUMIFS(Leads!U:U,Leads!$I:$I,Positivação!$I4,Leads!$G:$G,Positivação!$G4)*_xlfn.XLOOKUP($AB4,'Balizador da Meta'!$F$4:$F$9,'Balizador da Meta'!Q$4:Q$9),0)</f>
        <v>7</v>
      </c>
      <c r="W4" s="38">
        <f>ROUND(SUMIFS(Leads!V:V,Leads!$I:$I,Positivação!$I4,Leads!$G:$G,Positivação!$G4)*_xlfn.XLOOKUP($AB4,'Balizador da Meta'!$F$4:$F$9,'Balizador da Meta'!R$4:R$9),0)</f>
        <v>7</v>
      </c>
      <c r="X4" s="29"/>
      <c r="Y4" s="28">
        <f>IFERROR(SUMIFS('Historico - FAT'!AO:AO,'Historico - FAT'!I:I,Positivação!I4,'Historico - FAT'!G:G,Positivação!G4)/SUM(L4:T4),0)</f>
        <v>71.012173913043483</v>
      </c>
      <c r="Z4" s="28">
        <v>1500</v>
      </c>
      <c r="AA4" s="29"/>
      <c r="AB4" s="38" t="s">
        <v>178</v>
      </c>
      <c r="AC4" s="29"/>
      <c r="AD4" s="38">
        <v>13</v>
      </c>
      <c r="AE4" s="38">
        <v>136</v>
      </c>
    </row>
    <row r="5" spans="1:31" x14ac:dyDescent="0.3">
      <c r="A5" s="2">
        <v>1000184670</v>
      </c>
      <c r="B5" s="2" t="s">
        <v>147</v>
      </c>
      <c r="C5" s="4">
        <v>1000186197</v>
      </c>
      <c r="D5" s="4" t="s">
        <v>166</v>
      </c>
      <c r="E5" s="2">
        <v>1000198600</v>
      </c>
      <c r="F5" s="2" t="s">
        <v>148</v>
      </c>
      <c r="G5" s="4">
        <v>1000198601</v>
      </c>
      <c r="H5" s="4" t="s">
        <v>149</v>
      </c>
      <c r="I5" s="2">
        <v>1000189751</v>
      </c>
      <c r="J5" s="2" t="s">
        <v>137</v>
      </c>
      <c r="K5" s="2" t="str">
        <f t="shared" si="1"/>
        <v>1000184670100018619710001986011000189751</v>
      </c>
      <c r="L5" s="38">
        <f>ROUND(SUMIFS(Leads!K:K,Leads!$I:$I,Positivação!$I5,Leads!$G:$G,Positivação!$G5)*_xlfn.XLOOKUP($AB5,'Balizador da Meta'!$F$4:$F$9,'Balizador da Meta'!G$4:G$9),0)</f>
        <v>35</v>
      </c>
      <c r="M5" s="38">
        <f>ROUND(SUMIFS(Leads!L:L,Leads!$I:$I,Positivação!$I5,Leads!$G:$G,Positivação!$G5)*_xlfn.XLOOKUP($AB5,'Balizador da Meta'!$F$4:$F$9,'Balizador da Meta'!H$4:H$9),0)</f>
        <v>37</v>
      </c>
      <c r="N5" s="38">
        <f>ROUND(SUMIFS(Leads!M:M,Leads!$I:$I,Positivação!$I5,Leads!$G:$G,Positivação!$G5)*_xlfn.XLOOKUP($AB5,'Balizador da Meta'!$F$4:$F$9,'Balizador da Meta'!I$4:I$9),0)</f>
        <v>38</v>
      </c>
      <c r="O5" s="38">
        <f>ROUND(SUMIFS(Leads!N:N,Leads!$I:$I,Positivação!$I5,Leads!$G:$G,Positivação!$G5)*_xlfn.XLOOKUP($AB5,'Balizador da Meta'!$F$4:$F$9,'Balizador da Meta'!J$4:J$9),0)</f>
        <v>40</v>
      </c>
      <c r="P5" s="38">
        <f>ROUND(SUMIFS(Leads!O:O,Leads!$I:$I,Positivação!$I5,Leads!$G:$G,Positivação!$G5)*_xlfn.XLOOKUP($AB5,'Balizador da Meta'!$F$4:$F$9,'Balizador da Meta'!K$4:K$9),0)</f>
        <v>41</v>
      </c>
      <c r="Q5" s="38">
        <f>ROUND(SUMIFS(Leads!P:P,Leads!$I:$I,Positivação!$I5,Leads!$G:$G,Positivação!$G5)*_xlfn.XLOOKUP($AB5,'Balizador da Meta'!$F$4:$F$9,'Balizador da Meta'!L$4:L$9),0)</f>
        <v>43</v>
      </c>
      <c r="R5" s="38">
        <f>ROUND(SUMIFS(Leads!Q:Q,Leads!$I:$I,Positivação!$I5,Leads!$G:$G,Positivação!$G5)*_xlfn.XLOOKUP($AB5,'Balizador da Meta'!$F$4:$F$9,'Balizador da Meta'!M$4:M$9),0)</f>
        <v>44</v>
      </c>
      <c r="S5" s="38">
        <f>ROUND(SUMIFS(Leads!R:R,Leads!$I:$I,Positivação!$I5,Leads!$G:$G,Positivação!$G5)*_xlfn.XLOOKUP($AB5,'Balizador da Meta'!$F$4:$F$9,'Balizador da Meta'!N$4:N$9),0)</f>
        <v>46</v>
      </c>
      <c r="T5" s="38">
        <f>ROUND(SUMIFS(Leads!S:S,Leads!$I:$I,Positivação!$I5,Leads!$G:$G,Positivação!$G5)*_xlfn.XLOOKUP($AB5,'Balizador da Meta'!$F$4:$F$9,'Balizador da Meta'!O$4:O$9),0)</f>
        <v>47</v>
      </c>
      <c r="U5" s="38">
        <f>ROUND(SUMIFS(Leads!T:T,Leads!$I:$I,Positivação!$I5,Leads!$G:$G,Positivação!$G5)*_xlfn.XLOOKUP($AB5,'Balizador da Meta'!$F$4:$F$9,'Balizador da Meta'!P$4:P$9),0)</f>
        <v>49</v>
      </c>
      <c r="V5" s="38">
        <f>ROUND(SUMIFS(Leads!U:U,Leads!$I:$I,Positivação!$I5,Leads!$G:$G,Positivação!$G5)*_xlfn.XLOOKUP($AB5,'Balizador da Meta'!$F$4:$F$9,'Balizador da Meta'!Q$4:Q$9),0)</f>
        <v>50</v>
      </c>
      <c r="W5" s="38">
        <f>ROUND(SUMIFS(Leads!V:V,Leads!$I:$I,Positivação!$I5,Leads!$G:$G,Positivação!$G5)*_xlfn.XLOOKUP($AB5,'Balizador da Meta'!$F$4:$F$9,'Balizador da Meta'!R$4:R$9),0)</f>
        <v>52</v>
      </c>
      <c r="X5" s="29"/>
      <c r="Y5" s="28">
        <f>IFERROR(SUMIFS('Historico - FAT'!AO:AO,'Historico - FAT'!I:I,Positivação!I5,'Historico - FAT'!G:G,Positivação!G5)/SUM(L5:T5),0)</f>
        <v>26.835148247978431</v>
      </c>
      <c r="Z5" s="28">
        <v>1500</v>
      </c>
      <c r="AA5" s="29"/>
      <c r="AB5" s="38" t="s">
        <v>177</v>
      </c>
      <c r="AC5" s="29"/>
      <c r="AD5" s="38">
        <v>70</v>
      </c>
      <c r="AE5" s="38">
        <v>150</v>
      </c>
    </row>
    <row r="6" spans="1:31" x14ac:dyDescent="0.3">
      <c r="A6" s="2">
        <v>1000184670</v>
      </c>
      <c r="B6" s="2" t="s">
        <v>147</v>
      </c>
      <c r="C6" s="4">
        <v>1000186197</v>
      </c>
      <c r="D6" s="4" t="s">
        <v>166</v>
      </c>
      <c r="E6" s="2">
        <v>1000198600</v>
      </c>
      <c r="F6" s="2" t="s">
        <v>148</v>
      </c>
      <c r="G6" s="4">
        <v>1000198601</v>
      </c>
      <c r="H6" s="4" t="s">
        <v>149</v>
      </c>
      <c r="I6" s="2">
        <v>1000189753</v>
      </c>
      <c r="J6" s="2" t="s">
        <v>138</v>
      </c>
      <c r="K6" s="2" t="str">
        <f t="shared" si="1"/>
        <v>1000184670100018619710001986011000189753</v>
      </c>
      <c r="L6" s="38">
        <f>ROUND(SUMIFS(Leads!K:K,Leads!$I:$I,Positivação!$I6,Leads!$G:$G,Positivação!$G6)*_xlfn.XLOOKUP($AB6,'Balizador da Meta'!$F$4:$F$9,'Balizador da Meta'!G$4:G$9),0)</f>
        <v>16</v>
      </c>
      <c r="M6" s="38">
        <f>ROUND(SUMIFS(Leads!L:L,Leads!$I:$I,Positivação!$I6,Leads!$G:$G,Positivação!$G6)*_xlfn.XLOOKUP($AB6,'Balizador da Meta'!$F$4:$F$9,'Balizador da Meta'!H$4:H$9),0)</f>
        <v>17</v>
      </c>
      <c r="N6" s="38">
        <f>ROUND(SUMIFS(Leads!M:M,Leads!$I:$I,Positivação!$I6,Leads!$G:$G,Positivação!$G6)*_xlfn.XLOOKUP($AB6,'Balizador da Meta'!$F$4:$F$9,'Balizador da Meta'!I$4:I$9),0)</f>
        <v>17</v>
      </c>
      <c r="O6" s="38">
        <f>ROUND(SUMIFS(Leads!N:N,Leads!$I:$I,Positivação!$I6,Leads!$G:$G,Positivação!$G6)*_xlfn.XLOOKUP($AB6,'Balizador da Meta'!$F$4:$F$9,'Balizador da Meta'!J$4:J$9),0)</f>
        <v>18</v>
      </c>
      <c r="P6" s="38">
        <f>ROUND(SUMIFS(Leads!O:O,Leads!$I:$I,Positivação!$I6,Leads!$G:$G,Positivação!$G6)*_xlfn.XLOOKUP($AB6,'Balizador da Meta'!$F$4:$F$9,'Balizador da Meta'!K$4:K$9),0)</f>
        <v>18</v>
      </c>
      <c r="Q6" s="38">
        <f>ROUND(SUMIFS(Leads!P:P,Leads!$I:$I,Positivação!$I6,Leads!$G:$G,Positivação!$G6)*_xlfn.XLOOKUP($AB6,'Balizador da Meta'!$F$4:$F$9,'Balizador da Meta'!L$4:L$9),0)</f>
        <v>19</v>
      </c>
      <c r="R6" s="38">
        <f>ROUND(SUMIFS(Leads!Q:Q,Leads!$I:$I,Positivação!$I6,Leads!$G:$G,Positivação!$G6)*_xlfn.XLOOKUP($AB6,'Balizador da Meta'!$F$4:$F$9,'Balizador da Meta'!M$4:M$9),0)</f>
        <v>20</v>
      </c>
      <c r="S6" s="38">
        <f>ROUND(SUMIFS(Leads!R:R,Leads!$I:$I,Positivação!$I6,Leads!$G:$G,Positivação!$G6)*_xlfn.XLOOKUP($AB6,'Balizador da Meta'!$F$4:$F$9,'Balizador da Meta'!N$4:N$9),0)</f>
        <v>20</v>
      </c>
      <c r="T6" s="38">
        <f>ROUND(SUMIFS(Leads!S:S,Leads!$I:$I,Positivação!$I6,Leads!$G:$G,Positivação!$G6)*_xlfn.XLOOKUP($AB6,'Balizador da Meta'!$F$4:$F$9,'Balizador da Meta'!O$4:O$9),0)</f>
        <v>21</v>
      </c>
      <c r="U6" s="38">
        <f>ROUND(SUMIFS(Leads!T:T,Leads!$I:$I,Positivação!$I6,Leads!$G:$G,Positivação!$G6)*_xlfn.XLOOKUP($AB6,'Balizador da Meta'!$F$4:$F$9,'Balizador da Meta'!P$4:P$9),0)</f>
        <v>21</v>
      </c>
      <c r="V6" s="38">
        <f>ROUND(SUMIFS(Leads!U:U,Leads!$I:$I,Positivação!$I6,Leads!$G:$G,Positivação!$G6)*_xlfn.XLOOKUP($AB6,'Balizador da Meta'!$F$4:$F$9,'Balizador da Meta'!Q$4:Q$9),0)</f>
        <v>22</v>
      </c>
      <c r="W6" s="38">
        <f>ROUND(SUMIFS(Leads!V:V,Leads!$I:$I,Positivação!$I6,Leads!$G:$G,Positivação!$G6)*_xlfn.XLOOKUP($AB6,'Balizador da Meta'!$F$4:$F$9,'Balizador da Meta'!R$4:R$9),0)</f>
        <v>23</v>
      </c>
      <c r="X6" s="29"/>
      <c r="Y6" s="28">
        <f>IFERROR(SUMIFS('Historico - FAT'!AO:AO,'Historico - FAT'!I:I,Positivação!I6,'Historico - FAT'!G:G,Positivação!G6)/SUM(L6:T6),0)</f>
        <v>50.900361445783126</v>
      </c>
      <c r="Z6" s="28">
        <v>1500</v>
      </c>
      <c r="AA6" s="29"/>
      <c r="AB6" s="38" t="s">
        <v>178</v>
      </c>
      <c r="AC6" s="29"/>
      <c r="AD6" s="38">
        <v>53</v>
      </c>
      <c r="AE6" s="38">
        <v>76</v>
      </c>
    </row>
    <row r="7" spans="1:31" x14ac:dyDescent="0.3">
      <c r="A7" s="2">
        <v>1000184670</v>
      </c>
      <c r="B7" s="2" t="s">
        <v>147</v>
      </c>
      <c r="C7" s="4">
        <v>1000186197</v>
      </c>
      <c r="D7" s="4" t="s">
        <v>166</v>
      </c>
      <c r="E7" s="2">
        <v>1000198600</v>
      </c>
      <c r="F7" s="2" t="s">
        <v>148</v>
      </c>
      <c r="G7" s="4">
        <v>1000198601</v>
      </c>
      <c r="H7" s="4" t="s">
        <v>149</v>
      </c>
      <c r="I7" s="2">
        <v>1000189756</v>
      </c>
      <c r="J7" s="2" t="s">
        <v>139</v>
      </c>
      <c r="K7" s="2" t="str">
        <f t="shared" si="1"/>
        <v>1000184670100018619710001986011000189756</v>
      </c>
      <c r="L7" s="38">
        <f>ROUND(SUMIFS(Leads!K:K,Leads!$I:$I,Positivação!$I7,Leads!$G:$G,Positivação!$G7)*_xlfn.XLOOKUP($AB7,'Balizador da Meta'!$F$4:$F$9,'Balizador da Meta'!G$4:G$9),0)</f>
        <v>29</v>
      </c>
      <c r="M7" s="38">
        <f>ROUND(SUMIFS(Leads!L:L,Leads!$I:$I,Positivação!$I7,Leads!$G:$G,Positivação!$G7)*_xlfn.XLOOKUP($AB7,'Balizador da Meta'!$F$4:$F$9,'Balizador da Meta'!H$4:H$9),0)</f>
        <v>30</v>
      </c>
      <c r="N7" s="38">
        <f>ROUND(SUMIFS(Leads!M:M,Leads!$I:$I,Positivação!$I7,Leads!$G:$G,Positivação!$G7)*_xlfn.XLOOKUP($AB7,'Balizador da Meta'!$F$4:$F$9,'Balizador da Meta'!I$4:I$9),0)</f>
        <v>31</v>
      </c>
      <c r="O7" s="38">
        <f>ROUND(SUMIFS(Leads!N:N,Leads!$I:$I,Positivação!$I7,Leads!$G:$G,Positivação!$G7)*_xlfn.XLOOKUP($AB7,'Balizador da Meta'!$F$4:$F$9,'Balizador da Meta'!J$4:J$9),0)</f>
        <v>32</v>
      </c>
      <c r="P7" s="38">
        <f>ROUND(SUMIFS(Leads!O:O,Leads!$I:$I,Positivação!$I7,Leads!$G:$G,Positivação!$G7)*_xlfn.XLOOKUP($AB7,'Balizador da Meta'!$F$4:$F$9,'Balizador da Meta'!K$4:K$9),0)</f>
        <v>33</v>
      </c>
      <c r="Q7" s="38">
        <f>ROUND(SUMIFS(Leads!P:P,Leads!$I:$I,Positivação!$I7,Leads!$G:$G,Positivação!$G7)*_xlfn.XLOOKUP($AB7,'Balizador da Meta'!$F$4:$F$9,'Balizador da Meta'!L$4:L$9),0)</f>
        <v>34</v>
      </c>
      <c r="R7" s="38">
        <f>ROUND(SUMIFS(Leads!Q:Q,Leads!$I:$I,Positivação!$I7,Leads!$G:$G,Positivação!$G7)*_xlfn.XLOOKUP($AB7,'Balizador da Meta'!$F$4:$F$9,'Balizador da Meta'!M$4:M$9),0)</f>
        <v>35</v>
      </c>
      <c r="S7" s="38">
        <f>ROUND(SUMIFS(Leads!R:R,Leads!$I:$I,Positivação!$I7,Leads!$G:$G,Positivação!$G7)*_xlfn.XLOOKUP($AB7,'Balizador da Meta'!$F$4:$F$9,'Balizador da Meta'!N$4:N$9),0)</f>
        <v>36</v>
      </c>
      <c r="T7" s="38">
        <f>ROUND(SUMIFS(Leads!S:S,Leads!$I:$I,Positivação!$I7,Leads!$G:$G,Positivação!$G7)*_xlfn.XLOOKUP($AB7,'Balizador da Meta'!$F$4:$F$9,'Balizador da Meta'!O$4:O$9),0)</f>
        <v>37</v>
      </c>
      <c r="U7" s="38">
        <f>ROUND(SUMIFS(Leads!T:T,Leads!$I:$I,Positivação!$I7,Leads!$G:$G,Positivação!$G7)*_xlfn.XLOOKUP($AB7,'Balizador da Meta'!$F$4:$F$9,'Balizador da Meta'!P$4:P$9),0)</f>
        <v>38</v>
      </c>
      <c r="V7" s="38">
        <f>ROUND(SUMIFS(Leads!U:U,Leads!$I:$I,Positivação!$I7,Leads!$G:$G,Positivação!$G7)*_xlfn.XLOOKUP($AB7,'Balizador da Meta'!$F$4:$F$9,'Balizador da Meta'!Q$4:Q$9),0)</f>
        <v>39</v>
      </c>
      <c r="W7" s="38">
        <f>ROUND(SUMIFS(Leads!V:V,Leads!$I:$I,Positivação!$I7,Leads!$G:$G,Positivação!$G7)*_xlfn.XLOOKUP($AB7,'Balizador da Meta'!$F$4:$F$9,'Balizador da Meta'!R$4:R$9),0)</f>
        <v>40</v>
      </c>
      <c r="X7" s="29"/>
      <c r="Y7" s="28">
        <f>IFERROR(SUMIFS('Historico - FAT'!AO:AO,'Historico - FAT'!I:I,Positivação!I7,'Historico - FAT'!G:G,Positivação!G7)/SUM(L7:T7),0)</f>
        <v>196.44939393939393</v>
      </c>
      <c r="Z7" s="28">
        <v>1500</v>
      </c>
      <c r="AA7" s="29"/>
      <c r="AB7" s="38" t="s">
        <v>177</v>
      </c>
      <c r="AC7" s="29"/>
      <c r="AD7" s="38">
        <v>58</v>
      </c>
      <c r="AE7" s="38">
        <v>80</v>
      </c>
    </row>
    <row r="8" spans="1:31" x14ac:dyDescent="0.3">
      <c r="A8" s="2">
        <v>1000184670</v>
      </c>
      <c r="B8" s="2" t="s">
        <v>147</v>
      </c>
      <c r="C8" s="4">
        <v>1000186197</v>
      </c>
      <c r="D8" s="4" t="s">
        <v>166</v>
      </c>
      <c r="E8" s="2">
        <v>1000198600</v>
      </c>
      <c r="F8" s="2" t="s">
        <v>148</v>
      </c>
      <c r="G8" s="4">
        <v>1000198601</v>
      </c>
      <c r="H8" s="4" t="s">
        <v>149</v>
      </c>
      <c r="I8" s="2">
        <v>1000190599</v>
      </c>
      <c r="J8" s="2" t="s">
        <v>140</v>
      </c>
      <c r="K8" s="2" t="str">
        <f t="shared" si="1"/>
        <v>1000184670100018619710001986011000190599</v>
      </c>
      <c r="L8" s="38">
        <f>ROUND(SUMIFS(Leads!K:K,Leads!$I:$I,Positivação!$I8,Leads!$G:$G,Positivação!$G8)*_xlfn.XLOOKUP($AB8,'Balizador da Meta'!$F$4:$F$9,'Balizador da Meta'!G$4:G$9),0)</f>
        <v>0</v>
      </c>
      <c r="M8" s="38">
        <f>ROUND(SUMIFS(Leads!L:L,Leads!$I:$I,Positivação!$I8,Leads!$G:$G,Positivação!$G8)*_xlfn.XLOOKUP($AB8,'Balizador da Meta'!$F$4:$F$9,'Balizador da Meta'!H$4:H$9),0)</f>
        <v>1</v>
      </c>
      <c r="N8" s="38">
        <f>ROUND(SUMIFS(Leads!M:M,Leads!$I:$I,Positivação!$I8,Leads!$G:$G,Positivação!$G8)*_xlfn.XLOOKUP($AB8,'Balizador da Meta'!$F$4:$F$9,'Balizador da Meta'!I$4:I$9),0)</f>
        <v>1</v>
      </c>
      <c r="O8" s="38">
        <f>ROUND(SUMIFS(Leads!N:N,Leads!$I:$I,Positivação!$I8,Leads!$G:$G,Positivação!$G8)*_xlfn.XLOOKUP($AB8,'Balizador da Meta'!$F$4:$F$9,'Balizador da Meta'!J$4:J$9),0)</f>
        <v>1</v>
      </c>
      <c r="P8" s="38">
        <f>ROUND(SUMIFS(Leads!O:O,Leads!$I:$I,Positivação!$I8,Leads!$G:$G,Positivação!$G8)*_xlfn.XLOOKUP($AB8,'Balizador da Meta'!$F$4:$F$9,'Balizador da Meta'!K$4:K$9),0)</f>
        <v>2</v>
      </c>
      <c r="Q8" s="38">
        <f>ROUND(SUMIFS(Leads!P:P,Leads!$I:$I,Positivação!$I8,Leads!$G:$G,Positivação!$G8)*_xlfn.XLOOKUP($AB8,'Balizador da Meta'!$F$4:$F$9,'Balizador da Meta'!L$4:L$9),0)</f>
        <v>2</v>
      </c>
      <c r="R8" s="38">
        <f>ROUND(SUMIFS(Leads!Q:Q,Leads!$I:$I,Positivação!$I8,Leads!$G:$G,Positivação!$G8)*_xlfn.XLOOKUP($AB8,'Balizador da Meta'!$F$4:$F$9,'Balizador da Meta'!M$4:M$9),0)</f>
        <v>2</v>
      </c>
      <c r="S8" s="38">
        <f>ROUND(SUMIFS(Leads!R:R,Leads!$I:$I,Positivação!$I8,Leads!$G:$G,Positivação!$G8)*_xlfn.XLOOKUP($AB8,'Balizador da Meta'!$F$4:$F$9,'Balizador da Meta'!N$4:N$9),0)</f>
        <v>2</v>
      </c>
      <c r="T8" s="38">
        <f>ROUND(SUMIFS(Leads!S:S,Leads!$I:$I,Positivação!$I8,Leads!$G:$G,Positivação!$G8)*_xlfn.XLOOKUP($AB8,'Balizador da Meta'!$F$4:$F$9,'Balizador da Meta'!O$4:O$9),0)</f>
        <v>3</v>
      </c>
      <c r="U8" s="38">
        <f>ROUND(SUMIFS(Leads!T:T,Leads!$I:$I,Positivação!$I8,Leads!$G:$G,Positivação!$G8)*_xlfn.XLOOKUP($AB8,'Balizador da Meta'!$F$4:$F$9,'Balizador da Meta'!P$4:P$9),0)</f>
        <v>3</v>
      </c>
      <c r="V8" s="38">
        <f>ROUND(SUMIFS(Leads!U:U,Leads!$I:$I,Positivação!$I8,Leads!$G:$G,Positivação!$G8)*_xlfn.XLOOKUP($AB8,'Balizador da Meta'!$F$4:$F$9,'Balizador da Meta'!Q$4:Q$9),0)</f>
        <v>3</v>
      </c>
      <c r="W8" s="38">
        <f>ROUND(SUMIFS(Leads!V:V,Leads!$I:$I,Positivação!$I8,Leads!$G:$G,Positivação!$G8)*_xlfn.XLOOKUP($AB8,'Balizador da Meta'!$F$4:$F$9,'Balizador da Meta'!R$4:R$9),0)</f>
        <v>4</v>
      </c>
      <c r="X8" s="29"/>
      <c r="Y8" s="28">
        <f>IFERROR(SUMIFS('Historico - FAT'!AO:AO,'Historico - FAT'!I:I,Positivação!I8,'Historico - FAT'!G:G,Positivação!G8)/SUM(L8:T8),0)</f>
        <v>0</v>
      </c>
      <c r="Z8" s="28">
        <v>1500</v>
      </c>
      <c r="AA8" s="29"/>
      <c r="AB8" s="38" t="s">
        <v>178</v>
      </c>
      <c r="AC8" s="29"/>
      <c r="AD8" s="38">
        <v>1</v>
      </c>
      <c r="AE8" s="38">
        <v>22</v>
      </c>
    </row>
    <row r="9" spans="1:31" x14ac:dyDescent="0.3">
      <c r="A9" s="2">
        <v>1000184670</v>
      </c>
      <c r="B9" s="2" t="s">
        <v>147</v>
      </c>
      <c r="C9" s="4">
        <v>1000186197</v>
      </c>
      <c r="D9" s="4" t="s">
        <v>166</v>
      </c>
      <c r="E9" s="2">
        <v>1000198600</v>
      </c>
      <c r="F9" s="2" t="s">
        <v>148</v>
      </c>
      <c r="G9" s="4">
        <v>1000198601</v>
      </c>
      <c r="H9" s="4" t="s">
        <v>149</v>
      </c>
      <c r="I9" s="2">
        <v>1000189757</v>
      </c>
      <c r="J9" s="2" t="s">
        <v>141</v>
      </c>
      <c r="K9" s="2" t="str">
        <f t="shared" si="1"/>
        <v>1000184670100018619710001986011000189757</v>
      </c>
      <c r="L9" s="38">
        <f>ROUND(SUMIFS(Leads!K:K,Leads!$I:$I,Positivação!$I9,Leads!$G:$G,Positivação!$G9)*_xlfn.XLOOKUP($AB9,'Balizador da Meta'!$F$4:$F$9,'Balizador da Meta'!G$4:G$9),0)</f>
        <v>1</v>
      </c>
      <c r="M9" s="38">
        <f>ROUND(SUMIFS(Leads!L:L,Leads!$I:$I,Positivação!$I9,Leads!$G:$G,Positivação!$G9)*_xlfn.XLOOKUP($AB9,'Balizador da Meta'!$F$4:$F$9,'Balizador da Meta'!H$4:H$9),0)</f>
        <v>1</v>
      </c>
      <c r="N9" s="38">
        <f>ROUND(SUMIFS(Leads!M:M,Leads!$I:$I,Positivação!$I9,Leads!$G:$G,Positivação!$G9)*_xlfn.XLOOKUP($AB9,'Balizador da Meta'!$F$4:$F$9,'Balizador da Meta'!I$4:I$9),0)</f>
        <v>1</v>
      </c>
      <c r="O9" s="38">
        <f>ROUND(SUMIFS(Leads!N:N,Leads!$I:$I,Positivação!$I9,Leads!$G:$G,Positivação!$G9)*_xlfn.XLOOKUP($AB9,'Balizador da Meta'!$F$4:$F$9,'Balizador da Meta'!J$4:J$9),0)</f>
        <v>1</v>
      </c>
      <c r="P9" s="38">
        <f>ROUND(SUMIFS(Leads!O:O,Leads!$I:$I,Positivação!$I9,Leads!$G:$G,Positivação!$G9)*_xlfn.XLOOKUP($AB9,'Balizador da Meta'!$F$4:$F$9,'Balizador da Meta'!K$4:K$9),0)</f>
        <v>1</v>
      </c>
      <c r="Q9" s="38">
        <f>ROUND(SUMIFS(Leads!P:P,Leads!$I:$I,Positivação!$I9,Leads!$G:$G,Positivação!$G9)*_xlfn.XLOOKUP($AB9,'Balizador da Meta'!$F$4:$F$9,'Balizador da Meta'!L$4:L$9),0)</f>
        <v>1</v>
      </c>
      <c r="R9" s="38">
        <f>ROUND(SUMIFS(Leads!Q:Q,Leads!$I:$I,Positivação!$I9,Leads!$G:$G,Positivação!$G9)*_xlfn.XLOOKUP($AB9,'Balizador da Meta'!$F$4:$F$9,'Balizador da Meta'!M$4:M$9),0)</f>
        <v>1</v>
      </c>
      <c r="S9" s="38">
        <f>ROUND(SUMIFS(Leads!R:R,Leads!$I:$I,Positivação!$I9,Leads!$G:$G,Positivação!$G9)*_xlfn.XLOOKUP($AB9,'Balizador da Meta'!$F$4:$F$9,'Balizador da Meta'!N$4:N$9),0)</f>
        <v>1</v>
      </c>
      <c r="T9" s="38">
        <f>ROUND(SUMIFS(Leads!S:S,Leads!$I:$I,Positivação!$I9,Leads!$G:$G,Positivação!$G9)*_xlfn.XLOOKUP($AB9,'Balizador da Meta'!$F$4:$F$9,'Balizador da Meta'!O$4:O$9),0)</f>
        <v>1</v>
      </c>
      <c r="U9" s="38">
        <f>ROUND(SUMIFS(Leads!T:T,Leads!$I:$I,Positivação!$I9,Leads!$G:$G,Positivação!$G9)*_xlfn.XLOOKUP($AB9,'Balizador da Meta'!$F$4:$F$9,'Balizador da Meta'!P$4:P$9),0)</f>
        <v>1</v>
      </c>
      <c r="V9" s="38">
        <f>ROUND(SUMIFS(Leads!U:U,Leads!$I:$I,Positivação!$I9,Leads!$G:$G,Positivação!$G9)*_xlfn.XLOOKUP($AB9,'Balizador da Meta'!$F$4:$F$9,'Balizador da Meta'!Q$4:Q$9),0)</f>
        <v>1</v>
      </c>
      <c r="W9" s="38">
        <f>ROUND(SUMIFS(Leads!V:V,Leads!$I:$I,Positivação!$I9,Leads!$G:$G,Positivação!$G9)*_xlfn.XLOOKUP($AB9,'Balizador da Meta'!$F$4:$F$9,'Balizador da Meta'!R$4:R$9),0)</f>
        <v>1</v>
      </c>
      <c r="X9" s="29"/>
      <c r="Y9" s="28">
        <f>IFERROR(SUMIFS('Historico - FAT'!AO:AO,'Historico - FAT'!I:I,Positivação!I9,'Historico - FAT'!G:G,Positivação!G9)/SUM(L9:T9),0)</f>
        <v>689.06000000000006</v>
      </c>
      <c r="Z9" s="28">
        <v>1500</v>
      </c>
      <c r="AA9" s="29"/>
      <c r="AB9" s="38" t="s">
        <v>178</v>
      </c>
      <c r="AC9" s="29"/>
      <c r="AD9" s="38">
        <v>3</v>
      </c>
      <c r="AE9" s="38">
        <v>4</v>
      </c>
    </row>
    <row r="10" spans="1:31" x14ac:dyDescent="0.3">
      <c r="A10" s="2">
        <v>1000184670</v>
      </c>
      <c r="B10" s="2" t="s">
        <v>147</v>
      </c>
      <c r="C10" s="4">
        <v>1000186197</v>
      </c>
      <c r="D10" s="4" t="s">
        <v>166</v>
      </c>
      <c r="E10" s="2">
        <v>1000198600</v>
      </c>
      <c r="F10" s="2" t="s">
        <v>148</v>
      </c>
      <c r="G10" s="4">
        <v>1000198601</v>
      </c>
      <c r="H10" s="4" t="s">
        <v>149</v>
      </c>
      <c r="I10" s="2">
        <v>1000190613</v>
      </c>
      <c r="J10" s="2" t="s">
        <v>142</v>
      </c>
      <c r="K10" s="2" t="str">
        <f t="shared" si="1"/>
        <v>1000184670100018619710001986011000190613</v>
      </c>
      <c r="L10" s="38">
        <f>ROUND(SUMIFS(Leads!K:K,Leads!$I:$I,Positivação!$I10,Leads!$G:$G,Positivação!$G10)*_xlfn.XLOOKUP($AB10,'Balizador da Meta'!$F$4:$F$9,'Balizador da Meta'!G$4:G$9),0)</f>
        <v>0</v>
      </c>
      <c r="M10" s="38">
        <f>ROUND(SUMIFS(Leads!L:L,Leads!$I:$I,Positivação!$I10,Leads!$G:$G,Positivação!$G10)*_xlfn.XLOOKUP($AB10,'Balizador da Meta'!$F$4:$F$9,'Balizador da Meta'!H$4:H$9),0)</f>
        <v>1</v>
      </c>
      <c r="N10" s="38">
        <f>ROUND(SUMIFS(Leads!M:M,Leads!$I:$I,Positivação!$I10,Leads!$G:$G,Positivação!$G10)*_xlfn.XLOOKUP($AB10,'Balizador da Meta'!$F$4:$F$9,'Balizador da Meta'!I$4:I$9),0)</f>
        <v>1</v>
      </c>
      <c r="O10" s="38">
        <f>ROUND(SUMIFS(Leads!N:N,Leads!$I:$I,Positivação!$I10,Leads!$G:$G,Positivação!$G10)*_xlfn.XLOOKUP($AB10,'Balizador da Meta'!$F$4:$F$9,'Balizador da Meta'!J$4:J$9),0)</f>
        <v>1</v>
      </c>
      <c r="P10" s="38">
        <f>ROUND(SUMIFS(Leads!O:O,Leads!$I:$I,Positivação!$I10,Leads!$G:$G,Positivação!$G10)*_xlfn.XLOOKUP($AB10,'Balizador da Meta'!$F$4:$F$9,'Balizador da Meta'!K$4:K$9),0)</f>
        <v>2</v>
      </c>
      <c r="Q10" s="38">
        <f>ROUND(SUMIFS(Leads!P:P,Leads!$I:$I,Positivação!$I10,Leads!$G:$G,Positivação!$G10)*_xlfn.XLOOKUP($AB10,'Balizador da Meta'!$F$4:$F$9,'Balizador da Meta'!L$4:L$9),0)</f>
        <v>2</v>
      </c>
      <c r="R10" s="38">
        <f>ROUND(SUMIFS(Leads!Q:Q,Leads!$I:$I,Positivação!$I10,Leads!$G:$G,Positivação!$G10)*_xlfn.XLOOKUP($AB10,'Balizador da Meta'!$F$4:$F$9,'Balizador da Meta'!M$4:M$9),0)</f>
        <v>2</v>
      </c>
      <c r="S10" s="38">
        <f>ROUND(SUMIFS(Leads!R:R,Leads!$I:$I,Positivação!$I10,Leads!$G:$G,Positivação!$G10)*_xlfn.XLOOKUP($AB10,'Balizador da Meta'!$F$4:$F$9,'Balizador da Meta'!N$4:N$9),0)</f>
        <v>2</v>
      </c>
      <c r="T10" s="38">
        <f>ROUND(SUMIFS(Leads!S:S,Leads!$I:$I,Positivação!$I10,Leads!$G:$G,Positivação!$G10)*_xlfn.XLOOKUP($AB10,'Balizador da Meta'!$F$4:$F$9,'Balizador da Meta'!O$4:O$9),0)</f>
        <v>2</v>
      </c>
      <c r="U10" s="38">
        <f>ROUND(SUMIFS(Leads!T:T,Leads!$I:$I,Positivação!$I10,Leads!$G:$G,Positivação!$G10)*_xlfn.XLOOKUP($AB10,'Balizador da Meta'!$F$4:$F$9,'Balizador da Meta'!P$4:P$9),0)</f>
        <v>2</v>
      </c>
      <c r="V10" s="38">
        <f>ROUND(SUMIFS(Leads!U:U,Leads!$I:$I,Positivação!$I10,Leads!$G:$G,Positivação!$G10)*_xlfn.XLOOKUP($AB10,'Balizador da Meta'!$F$4:$F$9,'Balizador da Meta'!Q$4:Q$9),0)</f>
        <v>2</v>
      </c>
      <c r="W10" s="38">
        <f>ROUND(SUMIFS(Leads!V:V,Leads!$I:$I,Positivação!$I10,Leads!$G:$G,Positivação!$G10)*_xlfn.XLOOKUP($AB10,'Balizador da Meta'!$F$4:$F$9,'Balizador da Meta'!R$4:R$9),0)</f>
        <v>2</v>
      </c>
      <c r="X10" s="29"/>
      <c r="Y10" s="28">
        <f>IFERROR(SUMIFS('Historico - FAT'!AO:AO,'Historico - FAT'!I:I,Positivação!I10,'Historico - FAT'!G:G,Positivação!G10)/SUM(L10:T10),0)</f>
        <v>558.55230769230775</v>
      </c>
      <c r="Z10" s="28">
        <v>1500</v>
      </c>
      <c r="AA10" s="29"/>
      <c r="AB10" s="38" t="s">
        <v>178</v>
      </c>
      <c r="AC10" s="29"/>
      <c r="AD10" s="38">
        <v>1</v>
      </c>
      <c r="AE10" s="38">
        <v>5</v>
      </c>
    </row>
    <row r="11" spans="1:31" x14ac:dyDescent="0.3">
      <c r="A11" s="2">
        <v>1000184670</v>
      </c>
      <c r="B11" s="2" t="s">
        <v>147</v>
      </c>
      <c r="C11" s="4">
        <v>1000186197</v>
      </c>
      <c r="D11" s="4" t="s">
        <v>166</v>
      </c>
      <c r="E11" s="2">
        <v>1000198600</v>
      </c>
      <c r="F11" s="2" t="s">
        <v>148</v>
      </c>
      <c r="G11" s="4">
        <v>1000198601</v>
      </c>
      <c r="H11" s="4" t="s">
        <v>149</v>
      </c>
      <c r="I11" s="2">
        <v>1000189760</v>
      </c>
      <c r="J11" s="2" t="s">
        <v>143</v>
      </c>
      <c r="K11" s="2" t="str">
        <f t="shared" si="1"/>
        <v>1000184670100018619710001986011000189760</v>
      </c>
      <c r="L11" s="38">
        <f>ROUND(SUMIFS(Leads!K:K,Leads!$I:$I,Positivação!$I11,Leads!$G:$G,Positivação!$G11)*_xlfn.XLOOKUP($AB11,'Balizador da Meta'!$F$4:$F$9,'Balizador da Meta'!G$4:G$9),0)</f>
        <v>2</v>
      </c>
      <c r="M11" s="38">
        <f>ROUND(SUMIFS(Leads!L:L,Leads!$I:$I,Positivação!$I11,Leads!$G:$G,Positivação!$G11)*_xlfn.XLOOKUP($AB11,'Balizador da Meta'!$F$4:$F$9,'Balizador da Meta'!H$4:H$9),0)</f>
        <v>2</v>
      </c>
      <c r="N11" s="38">
        <f>ROUND(SUMIFS(Leads!M:M,Leads!$I:$I,Positivação!$I11,Leads!$G:$G,Positivação!$G11)*_xlfn.XLOOKUP($AB11,'Balizador da Meta'!$F$4:$F$9,'Balizador da Meta'!I$4:I$9),0)</f>
        <v>2</v>
      </c>
      <c r="O11" s="38">
        <f>ROUND(SUMIFS(Leads!N:N,Leads!$I:$I,Positivação!$I11,Leads!$G:$G,Positivação!$G11)*_xlfn.XLOOKUP($AB11,'Balizador da Meta'!$F$4:$F$9,'Balizador da Meta'!J$4:J$9),0)</f>
        <v>2</v>
      </c>
      <c r="P11" s="38">
        <f>ROUND(SUMIFS(Leads!O:O,Leads!$I:$I,Positivação!$I11,Leads!$G:$G,Positivação!$G11)*_xlfn.XLOOKUP($AB11,'Balizador da Meta'!$F$4:$F$9,'Balizador da Meta'!K$4:K$9),0)</f>
        <v>3</v>
      </c>
      <c r="Q11" s="38">
        <f>ROUND(SUMIFS(Leads!P:P,Leads!$I:$I,Positivação!$I11,Leads!$G:$G,Positivação!$G11)*_xlfn.XLOOKUP($AB11,'Balizador da Meta'!$F$4:$F$9,'Balizador da Meta'!L$4:L$9),0)</f>
        <v>3</v>
      </c>
      <c r="R11" s="38">
        <f>ROUND(SUMIFS(Leads!Q:Q,Leads!$I:$I,Positivação!$I11,Leads!$G:$G,Positivação!$G11)*_xlfn.XLOOKUP($AB11,'Balizador da Meta'!$F$4:$F$9,'Balizador da Meta'!M$4:M$9),0)</f>
        <v>3</v>
      </c>
      <c r="S11" s="38">
        <f>ROUND(SUMIFS(Leads!R:R,Leads!$I:$I,Positivação!$I11,Leads!$G:$G,Positivação!$G11)*_xlfn.XLOOKUP($AB11,'Balizador da Meta'!$F$4:$F$9,'Balizador da Meta'!N$4:N$9),0)</f>
        <v>4</v>
      </c>
      <c r="T11" s="38">
        <f>ROUND(SUMIFS(Leads!S:S,Leads!$I:$I,Positivação!$I11,Leads!$G:$G,Positivação!$G11)*_xlfn.XLOOKUP($AB11,'Balizador da Meta'!$F$4:$F$9,'Balizador da Meta'!O$4:O$9),0)</f>
        <v>4</v>
      </c>
      <c r="U11" s="38">
        <f>ROUND(SUMIFS(Leads!T:T,Leads!$I:$I,Positivação!$I11,Leads!$G:$G,Positivação!$G11)*_xlfn.XLOOKUP($AB11,'Balizador da Meta'!$F$4:$F$9,'Balizador da Meta'!P$4:P$9),0)</f>
        <v>4</v>
      </c>
      <c r="V11" s="38">
        <f>ROUND(SUMIFS(Leads!U:U,Leads!$I:$I,Positivação!$I11,Leads!$G:$G,Positivação!$G11)*_xlfn.XLOOKUP($AB11,'Balizador da Meta'!$F$4:$F$9,'Balizador da Meta'!Q$4:Q$9),0)</f>
        <v>5</v>
      </c>
      <c r="W11" s="38">
        <f>ROUND(SUMIFS(Leads!V:V,Leads!$I:$I,Positivação!$I11,Leads!$G:$G,Positivação!$G11)*_xlfn.XLOOKUP($AB11,'Balizador da Meta'!$F$4:$F$9,'Balizador da Meta'!R$4:R$9),0)</f>
        <v>5</v>
      </c>
      <c r="X11" s="29"/>
      <c r="Y11" s="28">
        <f>IFERROR(SUMIFS('Historico - FAT'!AO:AO,'Historico - FAT'!I:I,Positivação!I11,'Historico - FAT'!G:G,Positivação!G11)/SUM(L11:T11),0)</f>
        <v>117.706</v>
      </c>
      <c r="Z11" s="28">
        <v>1500</v>
      </c>
      <c r="AA11" s="29"/>
      <c r="AB11" s="38" t="s">
        <v>178</v>
      </c>
      <c r="AC11" s="29"/>
      <c r="AD11" s="38">
        <v>5</v>
      </c>
      <c r="AE11" s="38">
        <v>171</v>
      </c>
    </row>
    <row r="12" spans="1:31" x14ac:dyDescent="0.3">
      <c r="A12" s="2">
        <v>1000184670</v>
      </c>
      <c r="B12" s="2" t="s">
        <v>147</v>
      </c>
      <c r="C12" s="4">
        <v>1000186197</v>
      </c>
      <c r="D12" s="4" t="s">
        <v>166</v>
      </c>
      <c r="E12" s="2">
        <v>1000198600</v>
      </c>
      <c r="F12" s="2" t="s">
        <v>148</v>
      </c>
      <c r="G12" s="4">
        <v>1000198601</v>
      </c>
      <c r="H12" s="4" t="s">
        <v>149</v>
      </c>
      <c r="I12" s="2">
        <v>1000189761</v>
      </c>
      <c r="J12" s="2" t="s">
        <v>144</v>
      </c>
      <c r="K12" s="2" t="str">
        <f t="shared" si="1"/>
        <v>1000184670100018619710001986011000189761</v>
      </c>
      <c r="L12" s="38">
        <f>ROUND(SUMIFS(Leads!K:K,Leads!$I:$I,Positivação!$I12,Leads!$G:$G,Positivação!$G12)*_xlfn.XLOOKUP($AB12,'Balizador da Meta'!$F$4:$F$9,'Balizador da Meta'!G$4:G$9),0)</f>
        <v>2</v>
      </c>
      <c r="M12" s="38">
        <f>ROUND(SUMIFS(Leads!L:L,Leads!$I:$I,Positivação!$I12,Leads!$G:$G,Positivação!$G12)*_xlfn.XLOOKUP($AB12,'Balizador da Meta'!$F$4:$F$9,'Balizador da Meta'!H$4:H$9),0)</f>
        <v>2</v>
      </c>
      <c r="N12" s="38">
        <f>ROUND(SUMIFS(Leads!M:M,Leads!$I:$I,Positivação!$I12,Leads!$G:$G,Positivação!$G12)*_xlfn.XLOOKUP($AB12,'Balizador da Meta'!$F$4:$F$9,'Balizador da Meta'!I$4:I$9),0)</f>
        <v>2</v>
      </c>
      <c r="O12" s="38">
        <f>ROUND(SUMIFS(Leads!N:N,Leads!$I:$I,Positivação!$I12,Leads!$G:$G,Positivação!$G12)*_xlfn.XLOOKUP($AB12,'Balizador da Meta'!$F$4:$F$9,'Balizador da Meta'!J$4:J$9),0)</f>
        <v>2</v>
      </c>
      <c r="P12" s="38">
        <f>ROUND(SUMIFS(Leads!O:O,Leads!$I:$I,Positivação!$I12,Leads!$G:$G,Positivação!$G12)*_xlfn.XLOOKUP($AB12,'Balizador da Meta'!$F$4:$F$9,'Balizador da Meta'!K$4:K$9),0)</f>
        <v>2</v>
      </c>
      <c r="Q12" s="38">
        <f>ROUND(SUMIFS(Leads!P:P,Leads!$I:$I,Positivação!$I12,Leads!$G:$G,Positivação!$G12)*_xlfn.XLOOKUP($AB12,'Balizador da Meta'!$F$4:$F$9,'Balizador da Meta'!L$4:L$9),0)</f>
        <v>2</v>
      </c>
      <c r="R12" s="38">
        <f>ROUND(SUMIFS(Leads!Q:Q,Leads!$I:$I,Positivação!$I12,Leads!$G:$G,Positivação!$G12)*_xlfn.XLOOKUP($AB12,'Balizador da Meta'!$F$4:$F$9,'Balizador da Meta'!M$4:M$9),0)</f>
        <v>2</v>
      </c>
      <c r="S12" s="38">
        <f>ROUND(SUMIFS(Leads!R:R,Leads!$I:$I,Positivação!$I12,Leads!$G:$G,Positivação!$G12)*_xlfn.XLOOKUP($AB12,'Balizador da Meta'!$F$4:$F$9,'Balizador da Meta'!N$4:N$9),0)</f>
        <v>2</v>
      </c>
      <c r="T12" s="38">
        <f>ROUND(SUMIFS(Leads!S:S,Leads!$I:$I,Positivação!$I12,Leads!$G:$G,Positivação!$G12)*_xlfn.XLOOKUP($AB12,'Balizador da Meta'!$F$4:$F$9,'Balizador da Meta'!O$4:O$9),0)</f>
        <v>2</v>
      </c>
      <c r="U12" s="38">
        <f>ROUND(SUMIFS(Leads!T:T,Leads!$I:$I,Positivação!$I12,Leads!$G:$G,Positivação!$G12)*_xlfn.XLOOKUP($AB12,'Balizador da Meta'!$F$4:$F$9,'Balizador da Meta'!P$4:P$9),0)</f>
        <v>2</v>
      </c>
      <c r="V12" s="38">
        <f>ROUND(SUMIFS(Leads!U:U,Leads!$I:$I,Positivação!$I12,Leads!$G:$G,Positivação!$G12)*_xlfn.XLOOKUP($AB12,'Balizador da Meta'!$F$4:$F$9,'Balizador da Meta'!Q$4:Q$9),0)</f>
        <v>2</v>
      </c>
      <c r="W12" s="38">
        <f>ROUND(SUMIFS(Leads!V:V,Leads!$I:$I,Positivação!$I12,Leads!$G:$G,Positivação!$G12)*_xlfn.XLOOKUP($AB12,'Balizador da Meta'!$F$4:$F$9,'Balizador da Meta'!R$4:R$9),0)</f>
        <v>2</v>
      </c>
      <c r="X12" s="29"/>
      <c r="Y12" s="28">
        <f>IFERROR(SUMIFS('Historico - FAT'!AO:AO,'Historico - FAT'!I:I,Positivação!I12,'Historico - FAT'!G:G,Positivação!G12)/SUM(L12:T12),0)</f>
        <v>1353.4294444444442</v>
      </c>
      <c r="Z12" s="28">
        <v>1500</v>
      </c>
      <c r="AA12" s="29"/>
      <c r="AB12" s="38" t="s">
        <v>177</v>
      </c>
      <c r="AC12" s="29"/>
      <c r="AD12" s="38">
        <v>3</v>
      </c>
      <c r="AE12" s="38">
        <v>3</v>
      </c>
    </row>
    <row r="13" spans="1:31" x14ac:dyDescent="0.3">
      <c r="A13" s="2">
        <v>1000184670</v>
      </c>
      <c r="B13" s="2" t="s">
        <v>147</v>
      </c>
      <c r="C13" s="4">
        <v>1000186197</v>
      </c>
      <c r="D13" s="4" t="s">
        <v>166</v>
      </c>
      <c r="E13" s="2">
        <v>1000198600</v>
      </c>
      <c r="F13" s="2" t="s">
        <v>148</v>
      </c>
      <c r="G13" s="4">
        <v>1000198601</v>
      </c>
      <c r="H13" s="4" t="s">
        <v>149</v>
      </c>
      <c r="I13" s="2">
        <v>1000190614</v>
      </c>
      <c r="J13" s="2" t="s">
        <v>145</v>
      </c>
      <c r="K13" s="2" t="str">
        <f t="shared" si="1"/>
        <v>1000184670100018619710001986011000190614</v>
      </c>
      <c r="L13" s="38">
        <f>ROUND(SUMIFS(Leads!K:K,Leads!$I:$I,Positivação!$I13,Leads!$G:$G,Positivação!$G13)*_xlfn.XLOOKUP($AB13,'Balizador da Meta'!$F$4:$F$9,'Balizador da Meta'!G$4:G$9),0)</f>
        <v>3</v>
      </c>
      <c r="M13" s="38">
        <f>ROUND(SUMIFS(Leads!L:L,Leads!$I:$I,Positivação!$I13,Leads!$G:$G,Positivação!$G13)*_xlfn.XLOOKUP($AB13,'Balizador da Meta'!$F$4:$F$9,'Balizador da Meta'!H$4:H$9),0)</f>
        <v>3</v>
      </c>
      <c r="N13" s="38">
        <f>ROUND(SUMIFS(Leads!M:M,Leads!$I:$I,Positivação!$I13,Leads!$G:$G,Positivação!$G13)*_xlfn.XLOOKUP($AB13,'Balizador da Meta'!$F$4:$F$9,'Balizador da Meta'!I$4:I$9),0)</f>
        <v>3</v>
      </c>
      <c r="O13" s="38">
        <f>ROUND(SUMIFS(Leads!N:N,Leads!$I:$I,Positivação!$I13,Leads!$G:$G,Positivação!$G13)*_xlfn.XLOOKUP($AB13,'Balizador da Meta'!$F$4:$F$9,'Balizador da Meta'!J$4:J$9),0)</f>
        <v>4</v>
      </c>
      <c r="P13" s="38">
        <f>ROUND(SUMIFS(Leads!O:O,Leads!$I:$I,Positivação!$I13,Leads!$G:$G,Positivação!$G13)*_xlfn.XLOOKUP($AB13,'Balizador da Meta'!$F$4:$F$9,'Balizador da Meta'!K$4:K$9),0)</f>
        <v>4</v>
      </c>
      <c r="Q13" s="38">
        <f>ROUND(SUMIFS(Leads!P:P,Leads!$I:$I,Positivação!$I13,Leads!$G:$G,Positivação!$G13)*_xlfn.XLOOKUP($AB13,'Balizador da Meta'!$F$4:$F$9,'Balizador da Meta'!L$4:L$9),0)</f>
        <v>4</v>
      </c>
      <c r="R13" s="38">
        <f>ROUND(SUMIFS(Leads!Q:Q,Leads!$I:$I,Positivação!$I13,Leads!$G:$G,Positivação!$G13)*_xlfn.XLOOKUP($AB13,'Balizador da Meta'!$F$4:$F$9,'Balizador da Meta'!M$4:M$9),0)</f>
        <v>5</v>
      </c>
      <c r="S13" s="38">
        <f>ROUND(SUMIFS(Leads!R:R,Leads!$I:$I,Positivação!$I13,Leads!$G:$G,Positivação!$G13)*_xlfn.XLOOKUP($AB13,'Balizador da Meta'!$F$4:$F$9,'Balizador da Meta'!N$4:N$9),0)</f>
        <v>5</v>
      </c>
      <c r="T13" s="38">
        <f>ROUND(SUMIFS(Leads!S:S,Leads!$I:$I,Positivação!$I13,Leads!$G:$G,Positivação!$G13)*_xlfn.XLOOKUP($AB13,'Balizador da Meta'!$F$4:$F$9,'Balizador da Meta'!O$4:O$9),0)</f>
        <v>5</v>
      </c>
      <c r="U13" s="38">
        <f>ROUND(SUMIFS(Leads!T:T,Leads!$I:$I,Positivação!$I13,Leads!$G:$G,Positivação!$G13)*_xlfn.XLOOKUP($AB13,'Balizador da Meta'!$F$4:$F$9,'Balizador da Meta'!P$4:P$9),0)</f>
        <v>5</v>
      </c>
      <c r="V13" s="38">
        <f>ROUND(SUMIFS(Leads!U:U,Leads!$I:$I,Positivação!$I13,Leads!$G:$G,Positivação!$G13)*_xlfn.XLOOKUP($AB13,'Balizador da Meta'!$F$4:$F$9,'Balizador da Meta'!Q$4:Q$9),0)</f>
        <v>6</v>
      </c>
      <c r="W13" s="38">
        <f>ROUND(SUMIFS(Leads!V:V,Leads!$I:$I,Positivação!$I13,Leads!$G:$G,Positivação!$G13)*_xlfn.XLOOKUP($AB13,'Balizador da Meta'!$F$4:$F$9,'Balizador da Meta'!R$4:R$9),0)</f>
        <v>6</v>
      </c>
      <c r="X13" s="29"/>
      <c r="Y13" s="28">
        <f>IFERROR(SUMIFS('Historico - FAT'!AO:AO,'Historico - FAT'!I:I,Positivação!I13,'Historico - FAT'!G:G,Positivação!G13)/SUM(L13:T13),0)</f>
        <v>126.64444444444445</v>
      </c>
      <c r="Z13" s="28">
        <v>1500</v>
      </c>
      <c r="AA13" s="29"/>
      <c r="AB13" s="38" t="s">
        <v>178</v>
      </c>
      <c r="AC13" s="29"/>
      <c r="AD13" s="38">
        <v>9</v>
      </c>
      <c r="AE13" s="38">
        <v>27</v>
      </c>
    </row>
    <row r="14" spans="1:31" x14ac:dyDescent="0.3">
      <c r="A14" s="2">
        <v>1000184670</v>
      </c>
      <c r="B14" s="2" t="s">
        <v>147</v>
      </c>
      <c r="C14" s="4">
        <v>1000186197</v>
      </c>
      <c r="D14" s="4" t="s">
        <v>166</v>
      </c>
      <c r="E14" s="2">
        <v>1000198600</v>
      </c>
      <c r="F14" s="2" t="s">
        <v>148</v>
      </c>
      <c r="G14" s="4">
        <v>1000198601</v>
      </c>
      <c r="H14" s="4" t="s">
        <v>149</v>
      </c>
      <c r="I14" s="2">
        <v>1000190600</v>
      </c>
      <c r="J14" s="2" t="s">
        <v>146</v>
      </c>
      <c r="K14" s="2" t="str">
        <f t="shared" si="1"/>
        <v>1000184670100018619710001986011000190600</v>
      </c>
      <c r="L14" s="38">
        <f>ROUND(SUMIFS(Leads!K:K,Leads!$I:$I,Positivação!$I14,Leads!$G:$G,Positivação!$G14)*_xlfn.XLOOKUP($AB14,'Balizador da Meta'!$F$4:$F$9,'Balizador da Meta'!G$4:G$9),0)</f>
        <v>16</v>
      </c>
      <c r="M14" s="38">
        <f>ROUND(SUMIFS(Leads!L:L,Leads!$I:$I,Positivação!$I14,Leads!$G:$G,Positivação!$G14)*_xlfn.XLOOKUP($AB14,'Balizador da Meta'!$F$4:$F$9,'Balizador da Meta'!H$4:H$9),0)</f>
        <v>16</v>
      </c>
      <c r="N14" s="38">
        <f>ROUND(SUMIFS(Leads!M:M,Leads!$I:$I,Positivação!$I14,Leads!$G:$G,Positivação!$G14)*_xlfn.XLOOKUP($AB14,'Balizador da Meta'!$F$4:$F$9,'Balizador da Meta'!I$4:I$9),0)</f>
        <v>17</v>
      </c>
      <c r="O14" s="38">
        <f>ROUND(SUMIFS(Leads!N:N,Leads!$I:$I,Positivação!$I14,Leads!$G:$G,Positivação!$G14)*_xlfn.XLOOKUP($AB14,'Balizador da Meta'!$F$4:$F$9,'Balizador da Meta'!J$4:J$9),0)</f>
        <v>17</v>
      </c>
      <c r="P14" s="38">
        <f>ROUND(SUMIFS(Leads!O:O,Leads!$I:$I,Positivação!$I14,Leads!$G:$G,Positivação!$G14)*_xlfn.XLOOKUP($AB14,'Balizador da Meta'!$F$4:$F$9,'Balizador da Meta'!K$4:K$9),0)</f>
        <v>18</v>
      </c>
      <c r="Q14" s="38">
        <f>ROUND(SUMIFS(Leads!P:P,Leads!$I:$I,Positivação!$I14,Leads!$G:$G,Positivação!$G14)*_xlfn.XLOOKUP($AB14,'Balizador da Meta'!$F$4:$F$9,'Balizador da Meta'!L$4:L$9),0)</f>
        <v>19</v>
      </c>
      <c r="R14" s="38">
        <f>ROUND(SUMIFS(Leads!Q:Q,Leads!$I:$I,Positivação!$I14,Leads!$G:$G,Positivação!$G14)*_xlfn.XLOOKUP($AB14,'Balizador da Meta'!$F$4:$F$9,'Balizador da Meta'!M$4:M$9),0)</f>
        <v>20</v>
      </c>
      <c r="S14" s="38">
        <f>ROUND(SUMIFS(Leads!R:R,Leads!$I:$I,Positivação!$I14,Leads!$G:$G,Positivação!$G14)*_xlfn.XLOOKUP($AB14,'Balizador da Meta'!$F$4:$F$9,'Balizador da Meta'!N$4:N$9),0)</f>
        <v>21</v>
      </c>
      <c r="T14" s="38">
        <f>ROUND(SUMIFS(Leads!S:S,Leads!$I:$I,Positivação!$I14,Leads!$G:$G,Positivação!$G14)*_xlfn.XLOOKUP($AB14,'Balizador da Meta'!$F$4:$F$9,'Balizador da Meta'!O$4:O$9),0)</f>
        <v>22</v>
      </c>
      <c r="U14" s="38">
        <f>ROUND(SUMIFS(Leads!T:T,Leads!$I:$I,Positivação!$I14,Leads!$G:$G,Positivação!$G14)*_xlfn.XLOOKUP($AB14,'Balizador da Meta'!$F$4:$F$9,'Balizador da Meta'!P$4:P$9),0)</f>
        <v>23</v>
      </c>
      <c r="V14" s="38">
        <f>ROUND(SUMIFS(Leads!U:U,Leads!$I:$I,Positivação!$I14,Leads!$G:$G,Positivação!$G14)*_xlfn.XLOOKUP($AB14,'Balizador da Meta'!$F$4:$F$9,'Balizador da Meta'!Q$4:Q$9),0)</f>
        <v>24</v>
      </c>
      <c r="W14" s="38">
        <f>ROUND(SUMIFS(Leads!V:V,Leads!$I:$I,Positivação!$I14,Leads!$G:$G,Positivação!$G14)*_xlfn.XLOOKUP($AB14,'Balizador da Meta'!$F$4:$F$9,'Balizador da Meta'!R$4:R$9),0)</f>
        <v>25</v>
      </c>
      <c r="X14" s="29"/>
      <c r="Y14" s="28">
        <f>IFERROR(SUMIFS('Historico - FAT'!AO:AO,'Historico - FAT'!I:I,Positivação!I14,'Historico - FAT'!G:G,Positivação!G14)/SUM(L14:T14),0)</f>
        <v>161.0834337349398</v>
      </c>
      <c r="Z14" s="28">
        <v>1500</v>
      </c>
      <c r="AA14" s="29"/>
      <c r="AB14" s="38" t="s">
        <v>177</v>
      </c>
      <c r="AC14" s="29"/>
      <c r="AD14" s="38">
        <v>31</v>
      </c>
      <c r="AE14" s="38">
        <v>77</v>
      </c>
    </row>
    <row r="15" spans="1:31" x14ac:dyDescent="0.3">
      <c r="A15" s="2">
        <v>1000184670</v>
      </c>
      <c r="B15" s="2" t="s">
        <v>147</v>
      </c>
      <c r="C15" s="4">
        <v>1000186197</v>
      </c>
      <c r="D15" s="4" t="s">
        <v>166</v>
      </c>
      <c r="E15" s="2">
        <v>1000185288</v>
      </c>
      <c r="F15" s="2" t="s">
        <v>64</v>
      </c>
      <c r="G15" s="4">
        <v>1000189807</v>
      </c>
      <c r="H15" s="4" t="s">
        <v>81</v>
      </c>
      <c r="I15" s="2">
        <v>1000189749</v>
      </c>
      <c r="J15" s="2" t="s">
        <v>154</v>
      </c>
      <c r="K15" s="2" t="str">
        <f t="shared" si="1"/>
        <v>1000184670100018619710001898071000189749</v>
      </c>
      <c r="L15" s="38">
        <f>ROUND(SUMIFS(Leads!K:K,Leads!$I:$I,Positivação!$I15,Leads!$G:$G,Positivação!$G15)*_xlfn.XLOOKUP($AB15,'Balizador da Meta'!$F$4:$F$9,'Balizador da Meta'!G$4:G$9),0)</f>
        <v>2</v>
      </c>
      <c r="M15" s="38">
        <f>ROUND(SUMIFS(Leads!L:L,Leads!$I:$I,Positivação!$I15,Leads!$G:$G,Positivação!$G15)*_xlfn.XLOOKUP($AB15,'Balizador da Meta'!$F$4:$F$9,'Balizador da Meta'!H$4:H$9),0)</f>
        <v>2</v>
      </c>
      <c r="N15" s="38">
        <f>ROUND(SUMIFS(Leads!M:M,Leads!$I:$I,Positivação!$I15,Leads!$G:$G,Positivação!$G15)*_xlfn.XLOOKUP($AB15,'Balizador da Meta'!$F$4:$F$9,'Balizador da Meta'!I$4:I$9),0)</f>
        <v>2</v>
      </c>
      <c r="O15" s="38">
        <f>ROUND(SUMIFS(Leads!N:N,Leads!$I:$I,Positivação!$I15,Leads!$G:$G,Positivação!$G15)*_xlfn.XLOOKUP($AB15,'Balizador da Meta'!$F$4:$F$9,'Balizador da Meta'!J$4:J$9),0)</f>
        <v>2</v>
      </c>
      <c r="P15" s="38">
        <f>ROUND(SUMIFS(Leads!O:O,Leads!$I:$I,Positivação!$I15,Leads!$G:$G,Positivação!$G15)*_xlfn.XLOOKUP($AB15,'Balizador da Meta'!$F$4:$F$9,'Balizador da Meta'!K$4:K$9),0)</f>
        <v>2</v>
      </c>
      <c r="Q15" s="38">
        <f>ROUND(SUMIFS(Leads!P:P,Leads!$I:$I,Positivação!$I15,Leads!$G:$G,Positivação!$G15)*_xlfn.XLOOKUP($AB15,'Balizador da Meta'!$F$4:$F$9,'Balizador da Meta'!L$4:L$9),0)</f>
        <v>2</v>
      </c>
      <c r="R15" s="38">
        <f>ROUND(SUMIFS(Leads!Q:Q,Leads!$I:$I,Positivação!$I15,Leads!$G:$G,Positivação!$G15)*_xlfn.XLOOKUP($AB15,'Balizador da Meta'!$F$4:$F$9,'Balizador da Meta'!M$4:M$9),0)</f>
        <v>2</v>
      </c>
      <c r="S15" s="38">
        <f>ROUND(SUMIFS(Leads!R:R,Leads!$I:$I,Positivação!$I15,Leads!$G:$G,Positivação!$G15)*_xlfn.XLOOKUP($AB15,'Balizador da Meta'!$F$4:$F$9,'Balizador da Meta'!N$4:N$9),0)</f>
        <v>2</v>
      </c>
      <c r="T15" s="38">
        <f>ROUND(SUMIFS(Leads!S:S,Leads!$I:$I,Positivação!$I15,Leads!$G:$G,Positivação!$G15)*_xlfn.XLOOKUP($AB15,'Balizador da Meta'!$F$4:$F$9,'Balizador da Meta'!O$4:O$9),0)</f>
        <v>2</v>
      </c>
      <c r="U15" s="38">
        <f>ROUND(SUMIFS(Leads!T:T,Leads!$I:$I,Positivação!$I15,Leads!$G:$G,Positivação!$G15)*_xlfn.XLOOKUP($AB15,'Balizador da Meta'!$F$4:$F$9,'Balizador da Meta'!P$4:P$9),0)</f>
        <v>2</v>
      </c>
      <c r="V15" s="38">
        <f>ROUND(SUMIFS(Leads!U:U,Leads!$I:$I,Positivação!$I15,Leads!$G:$G,Positivação!$G15)*_xlfn.XLOOKUP($AB15,'Balizador da Meta'!$F$4:$F$9,'Balizador da Meta'!Q$4:Q$9),0)</f>
        <v>2</v>
      </c>
      <c r="W15" s="38">
        <f>ROUND(SUMIFS(Leads!V:V,Leads!$I:$I,Positivação!$I15,Leads!$G:$G,Positivação!$G15)*_xlfn.XLOOKUP($AB15,'Balizador da Meta'!$F$4:$F$9,'Balizador da Meta'!R$4:R$9),0)</f>
        <v>2</v>
      </c>
      <c r="X15" s="29"/>
      <c r="Y15" s="28">
        <f>IFERROR(SUMIFS('Historico - FAT'!AO:AO,'Historico - FAT'!I:I,Positivação!I15,'Historico - FAT'!G:G,Positivação!G15)/SUM(L15:T15),0)</f>
        <v>0</v>
      </c>
      <c r="Z15" s="28">
        <v>1500</v>
      </c>
      <c r="AA15" s="29"/>
      <c r="AB15" s="38" t="s">
        <v>178</v>
      </c>
      <c r="AC15" s="29"/>
      <c r="AD15" s="38">
        <v>5</v>
      </c>
      <c r="AE15" s="38">
        <v>0</v>
      </c>
    </row>
    <row r="16" spans="1:31" x14ac:dyDescent="0.3">
      <c r="A16" s="2">
        <v>1000184670</v>
      </c>
      <c r="B16" s="2" t="s">
        <v>147</v>
      </c>
      <c r="C16" s="4">
        <v>1000185711</v>
      </c>
      <c r="D16" s="4" t="s">
        <v>167</v>
      </c>
      <c r="E16" s="2">
        <v>1000184764</v>
      </c>
      <c r="F16" s="2" t="s">
        <v>70</v>
      </c>
      <c r="G16" s="4">
        <v>1000189818</v>
      </c>
      <c r="H16" s="4" t="s">
        <v>72</v>
      </c>
      <c r="I16" s="2">
        <v>1000189759</v>
      </c>
      <c r="J16" s="2" t="s">
        <v>155</v>
      </c>
      <c r="K16" s="2" t="str">
        <f t="shared" si="1"/>
        <v>1000184670100018571110001898181000189759</v>
      </c>
      <c r="L16" s="38">
        <f>ROUND(SUMIFS(Leads!K:K,Leads!$I:$I,Positivação!$I16,Leads!$G:$G,Positivação!$G16)*_xlfn.XLOOKUP($AB16,'Balizador da Meta'!$F$4:$F$9,'Balizador da Meta'!G$4:G$9),0)</f>
        <v>0</v>
      </c>
      <c r="M16" s="38">
        <f>ROUND(SUMIFS(Leads!L:L,Leads!$I:$I,Positivação!$I16,Leads!$G:$G,Positivação!$G16)*_xlfn.XLOOKUP($AB16,'Balizador da Meta'!$F$4:$F$9,'Balizador da Meta'!H$4:H$9),0)</f>
        <v>0</v>
      </c>
      <c r="N16" s="38">
        <f>ROUND(SUMIFS(Leads!M:M,Leads!$I:$I,Positivação!$I16,Leads!$G:$G,Positivação!$G16)*_xlfn.XLOOKUP($AB16,'Balizador da Meta'!$F$4:$F$9,'Balizador da Meta'!I$4:I$9),0)</f>
        <v>0</v>
      </c>
      <c r="O16" s="38">
        <f>ROUND(SUMIFS(Leads!N:N,Leads!$I:$I,Positivação!$I16,Leads!$G:$G,Positivação!$G16)*_xlfn.XLOOKUP($AB16,'Balizador da Meta'!$F$4:$F$9,'Balizador da Meta'!J$4:J$9),0)</f>
        <v>0</v>
      </c>
      <c r="P16" s="38">
        <f>ROUND(SUMIFS(Leads!O:O,Leads!$I:$I,Positivação!$I16,Leads!$G:$G,Positivação!$G16)*_xlfn.XLOOKUP($AB16,'Balizador da Meta'!$F$4:$F$9,'Balizador da Meta'!K$4:K$9),0)</f>
        <v>0</v>
      </c>
      <c r="Q16" s="38">
        <f>ROUND(SUMIFS(Leads!P:P,Leads!$I:$I,Positivação!$I16,Leads!$G:$G,Positivação!$G16)*_xlfn.XLOOKUP($AB16,'Balizador da Meta'!$F$4:$F$9,'Balizador da Meta'!L$4:L$9),0)</f>
        <v>0</v>
      </c>
      <c r="R16" s="38">
        <f>ROUND(SUMIFS(Leads!Q:Q,Leads!$I:$I,Positivação!$I16,Leads!$G:$G,Positivação!$G16)*_xlfn.XLOOKUP($AB16,'Balizador da Meta'!$F$4:$F$9,'Balizador da Meta'!M$4:M$9),0)</f>
        <v>0</v>
      </c>
      <c r="S16" s="38">
        <f>ROUND(SUMIFS(Leads!R:R,Leads!$I:$I,Positivação!$I16,Leads!$G:$G,Positivação!$G16)*_xlfn.XLOOKUP($AB16,'Balizador da Meta'!$F$4:$F$9,'Balizador da Meta'!N$4:N$9),0)</f>
        <v>0</v>
      </c>
      <c r="T16" s="38">
        <f>ROUND(SUMIFS(Leads!S:S,Leads!$I:$I,Positivação!$I16,Leads!$G:$G,Positivação!$G16)*_xlfn.XLOOKUP($AB16,'Balizador da Meta'!$F$4:$F$9,'Balizador da Meta'!O$4:O$9),0)</f>
        <v>0</v>
      </c>
      <c r="U16" s="38">
        <f>ROUND(SUMIFS(Leads!T:T,Leads!$I:$I,Positivação!$I16,Leads!$G:$G,Positivação!$G16)*_xlfn.XLOOKUP($AB16,'Balizador da Meta'!$F$4:$F$9,'Balizador da Meta'!P$4:P$9),0)</f>
        <v>0</v>
      </c>
      <c r="V16" s="38">
        <f>ROUND(SUMIFS(Leads!U:U,Leads!$I:$I,Positivação!$I16,Leads!$G:$G,Positivação!$G16)*_xlfn.XLOOKUP($AB16,'Balizador da Meta'!$F$4:$F$9,'Balizador da Meta'!Q$4:Q$9),0)</f>
        <v>0</v>
      </c>
      <c r="W16" s="38">
        <f>ROUND(SUMIFS(Leads!V:V,Leads!$I:$I,Positivação!$I16,Leads!$G:$G,Positivação!$G16)*_xlfn.XLOOKUP($AB16,'Balizador da Meta'!$F$4:$F$9,'Balizador da Meta'!R$4:R$9),0)</f>
        <v>0</v>
      </c>
      <c r="X16" s="29"/>
      <c r="Y16" s="28">
        <f>IFERROR(SUMIFS('Historico - FAT'!AO:AO,'Historico - FAT'!I:I,Positivação!I16,'Historico - FAT'!G:G,Positivação!G16)/SUM(L16:T16),0)</f>
        <v>0</v>
      </c>
      <c r="Z16" s="28">
        <v>1500</v>
      </c>
      <c r="AA16" s="29"/>
      <c r="AB16" s="38" t="s">
        <v>178</v>
      </c>
      <c r="AC16" s="29"/>
      <c r="AD16" s="38">
        <v>0</v>
      </c>
      <c r="AE16" s="38">
        <v>12</v>
      </c>
    </row>
    <row r="17" spans="1:31" x14ac:dyDescent="0.3">
      <c r="A17" s="2">
        <v>1000184670</v>
      </c>
      <c r="B17" s="2" t="s">
        <v>147</v>
      </c>
      <c r="C17" s="4">
        <v>1000186198</v>
      </c>
      <c r="D17" s="4" t="s">
        <v>168</v>
      </c>
      <c r="E17" s="2">
        <v>1000185288</v>
      </c>
      <c r="F17" s="2" t="s">
        <v>64</v>
      </c>
      <c r="G17" s="4">
        <v>1000189793</v>
      </c>
      <c r="H17" s="4" t="s">
        <v>85</v>
      </c>
      <c r="I17" s="2">
        <v>1000189763</v>
      </c>
      <c r="J17" s="2" t="s">
        <v>156</v>
      </c>
      <c r="K17" s="2" t="str">
        <f t="shared" si="1"/>
        <v>1000184670100018619810001897931000189763</v>
      </c>
      <c r="L17" s="38">
        <f>ROUND(SUMIFS(Leads!K:K,Leads!$I:$I,Positivação!$I17,Leads!$G:$G,Positivação!$G17)*_xlfn.XLOOKUP($AB17,'Balizador da Meta'!$F$4:$F$9,'Balizador da Meta'!G$4:G$9),0)</f>
        <v>1</v>
      </c>
      <c r="M17" s="38">
        <f>ROUND(SUMIFS(Leads!L:L,Leads!$I:$I,Positivação!$I17,Leads!$G:$G,Positivação!$G17)*_xlfn.XLOOKUP($AB17,'Balizador da Meta'!$F$4:$F$9,'Balizador da Meta'!H$4:H$9),0)</f>
        <v>1</v>
      </c>
      <c r="N17" s="38">
        <f>ROUND(SUMIFS(Leads!M:M,Leads!$I:$I,Positivação!$I17,Leads!$G:$G,Positivação!$G17)*_xlfn.XLOOKUP($AB17,'Balizador da Meta'!$F$4:$F$9,'Balizador da Meta'!I$4:I$9),0)</f>
        <v>1</v>
      </c>
      <c r="O17" s="38">
        <f>ROUND(SUMIFS(Leads!N:N,Leads!$I:$I,Positivação!$I17,Leads!$G:$G,Positivação!$G17)*_xlfn.XLOOKUP($AB17,'Balizador da Meta'!$F$4:$F$9,'Balizador da Meta'!J$4:J$9),0)</f>
        <v>1</v>
      </c>
      <c r="P17" s="38">
        <f>ROUND(SUMIFS(Leads!O:O,Leads!$I:$I,Positivação!$I17,Leads!$G:$G,Positivação!$G17)*_xlfn.XLOOKUP($AB17,'Balizador da Meta'!$F$4:$F$9,'Balizador da Meta'!K$4:K$9),0)</f>
        <v>1</v>
      </c>
      <c r="Q17" s="38">
        <f>ROUND(SUMIFS(Leads!P:P,Leads!$I:$I,Positivação!$I17,Leads!$G:$G,Positivação!$G17)*_xlfn.XLOOKUP($AB17,'Balizador da Meta'!$F$4:$F$9,'Balizador da Meta'!L$4:L$9),0)</f>
        <v>1</v>
      </c>
      <c r="R17" s="38">
        <f>ROUND(SUMIFS(Leads!Q:Q,Leads!$I:$I,Positivação!$I17,Leads!$G:$G,Positivação!$G17)*_xlfn.XLOOKUP($AB17,'Balizador da Meta'!$F$4:$F$9,'Balizador da Meta'!M$4:M$9),0)</f>
        <v>1</v>
      </c>
      <c r="S17" s="38">
        <f>ROUND(SUMIFS(Leads!R:R,Leads!$I:$I,Positivação!$I17,Leads!$G:$G,Positivação!$G17)*_xlfn.XLOOKUP($AB17,'Balizador da Meta'!$F$4:$F$9,'Balizador da Meta'!N$4:N$9),0)</f>
        <v>1</v>
      </c>
      <c r="T17" s="38">
        <f>ROUND(SUMIFS(Leads!S:S,Leads!$I:$I,Positivação!$I17,Leads!$G:$G,Positivação!$G17)*_xlfn.XLOOKUP($AB17,'Balizador da Meta'!$F$4:$F$9,'Balizador da Meta'!O$4:O$9),0)</f>
        <v>1</v>
      </c>
      <c r="U17" s="38">
        <f>ROUND(SUMIFS(Leads!T:T,Leads!$I:$I,Positivação!$I17,Leads!$G:$G,Positivação!$G17)*_xlfn.XLOOKUP($AB17,'Balizador da Meta'!$F$4:$F$9,'Balizador da Meta'!P$4:P$9),0)</f>
        <v>1</v>
      </c>
      <c r="V17" s="38">
        <f>ROUND(SUMIFS(Leads!U:U,Leads!$I:$I,Positivação!$I17,Leads!$G:$G,Positivação!$G17)*_xlfn.XLOOKUP($AB17,'Balizador da Meta'!$F$4:$F$9,'Balizador da Meta'!Q$4:Q$9),0)</f>
        <v>1</v>
      </c>
      <c r="W17" s="38">
        <f>ROUND(SUMIFS(Leads!V:V,Leads!$I:$I,Positivação!$I17,Leads!$G:$G,Positivação!$G17)*_xlfn.XLOOKUP($AB17,'Balizador da Meta'!$F$4:$F$9,'Balizador da Meta'!R$4:R$9),0)</f>
        <v>1</v>
      </c>
      <c r="X17" s="29"/>
      <c r="Y17" s="28">
        <f>IFERROR(SUMIFS('Historico - FAT'!AO:AO,'Historico - FAT'!I:I,Positivação!I17,'Historico - FAT'!G:G,Positivação!G17)/SUM(L17:T17),0)</f>
        <v>1502.67</v>
      </c>
      <c r="Z17" s="28">
        <v>1500</v>
      </c>
      <c r="AA17" s="29"/>
      <c r="AB17" s="38" t="s">
        <v>178</v>
      </c>
      <c r="AC17" s="29"/>
      <c r="AD17" s="38">
        <v>2</v>
      </c>
      <c r="AE17" s="38">
        <v>2</v>
      </c>
    </row>
    <row r="18" spans="1:31" x14ac:dyDescent="0.3">
      <c r="A18" s="2">
        <v>1000184670</v>
      </c>
      <c r="B18" s="2" t="s">
        <v>147</v>
      </c>
      <c r="C18" s="4">
        <v>1000186198</v>
      </c>
      <c r="D18" s="4" t="s">
        <v>168</v>
      </c>
      <c r="E18" s="2">
        <v>1000185288</v>
      </c>
      <c r="F18" s="2" t="s">
        <v>64</v>
      </c>
      <c r="G18" s="4">
        <v>1000189803</v>
      </c>
      <c r="H18" s="4" t="s">
        <v>97</v>
      </c>
      <c r="I18" s="2">
        <v>1000189754</v>
      </c>
      <c r="J18" s="2" t="s">
        <v>157</v>
      </c>
      <c r="K18" s="2" t="str">
        <f t="shared" si="1"/>
        <v>1000184670100018619810001898031000189754</v>
      </c>
      <c r="L18" s="38">
        <f>ROUND(SUMIFS(Leads!K:K,Leads!$I:$I,Positivação!$I18,Leads!$G:$G,Positivação!$G18)*_xlfn.XLOOKUP($AB18,'Balizador da Meta'!$F$4:$F$9,'Balizador da Meta'!G$4:G$9),0)</f>
        <v>2</v>
      </c>
      <c r="M18" s="38">
        <f>ROUND(SUMIFS(Leads!L:L,Leads!$I:$I,Positivação!$I18,Leads!$G:$G,Positivação!$G18)*_xlfn.XLOOKUP($AB18,'Balizador da Meta'!$F$4:$F$9,'Balizador da Meta'!H$4:H$9),0)</f>
        <v>2</v>
      </c>
      <c r="N18" s="38">
        <f>ROUND(SUMIFS(Leads!M:M,Leads!$I:$I,Positivação!$I18,Leads!$G:$G,Positivação!$G18)*_xlfn.XLOOKUP($AB18,'Balizador da Meta'!$F$4:$F$9,'Balizador da Meta'!I$4:I$9),0)</f>
        <v>2</v>
      </c>
      <c r="O18" s="38">
        <f>ROUND(SUMIFS(Leads!N:N,Leads!$I:$I,Positivação!$I18,Leads!$G:$G,Positivação!$G18)*_xlfn.XLOOKUP($AB18,'Balizador da Meta'!$F$4:$F$9,'Balizador da Meta'!J$4:J$9),0)</f>
        <v>2</v>
      </c>
      <c r="P18" s="38">
        <f>ROUND(SUMIFS(Leads!O:O,Leads!$I:$I,Positivação!$I18,Leads!$G:$G,Positivação!$G18)*_xlfn.XLOOKUP($AB18,'Balizador da Meta'!$F$4:$F$9,'Balizador da Meta'!K$4:K$9),0)</f>
        <v>2</v>
      </c>
      <c r="Q18" s="38">
        <f>ROUND(SUMIFS(Leads!P:P,Leads!$I:$I,Positivação!$I18,Leads!$G:$G,Positivação!$G18)*_xlfn.XLOOKUP($AB18,'Balizador da Meta'!$F$4:$F$9,'Balizador da Meta'!L$4:L$9),0)</f>
        <v>2</v>
      </c>
      <c r="R18" s="38">
        <f>ROUND(SUMIFS(Leads!Q:Q,Leads!$I:$I,Positivação!$I18,Leads!$G:$G,Positivação!$G18)*_xlfn.XLOOKUP($AB18,'Balizador da Meta'!$F$4:$F$9,'Balizador da Meta'!M$4:M$9),0)</f>
        <v>2</v>
      </c>
      <c r="S18" s="38">
        <f>ROUND(SUMIFS(Leads!R:R,Leads!$I:$I,Positivação!$I18,Leads!$G:$G,Positivação!$G18)*_xlfn.XLOOKUP($AB18,'Balizador da Meta'!$F$4:$F$9,'Balizador da Meta'!N$4:N$9),0)</f>
        <v>2</v>
      </c>
      <c r="T18" s="38">
        <f>ROUND(SUMIFS(Leads!S:S,Leads!$I:$I,Positivação!$I18,Leads!$G:$G,Positivação!$G18)*_xlfn.XLOOKUP($AB18,'Balizador da Meta'!$F$4:$F$9,'Balizador da Meta'!O$4:O$9),0)</f>
        <v>2</v>
      </c>
      <c r="U18" s="38">
        <f>ROUND(SUMIFS(Leads!T:T,Leads!$I:$I,Positivação!$I18,Leads!$G:$G,Positivação!$G18)*_xlfn.XLOOKUP($AB18,'Balizador da Meta'!$F$4:$F$9,'Balizador da Meta'!P$4:P$9),0)</f>
        <v>2</v>
      </c>
      <c r="V18" s="38">
        <f>ROUND(SUMIFS(Leads!U:U,Leads!$I:$I,Positivação!$I18,Leads!$G:$G,Positivação!$G18)*_xlfn.XLOOKUP($AB18,'Balizador da Meta'!$F$4:$F$9,'Balizador da Meta'!Q$4:Q$9),0)</f>
        <v>2</v>
      </c>
      <c r="W18" s="38">
        <f>ROUND(SUMIFS(Leads!V:V,Leads!$I:$I,Positivação!$I18,Leads!$G:$G,Positivação!$G18)*_xlfn.XLOOKUP($AB18,'Balizador da Meta'!$F$4:$F$9,'Balizador da Meta'!R$4:R$9),0)</f>
        <v>2</v>
      </c>
      <c r="X18" s="29"/>
      <c r="Y18" s="28">
        <f>IFERROR(SUMIFS('Historico - FAT'!AO:AO,'Historico - FAT'!I:I,Positivação!I18,'Historico - FAT'!G:G,Positivação!G18)/SUM(L18:T18),0)</f>
        <v>1357.3144444444445</v>
      </c>
      <c r="Z18" s="28">
        <v>1500</v>
      </c>
      <c r="AA18" s="29"/>
      <c r="AB18" s="38" t="s">
        <v>178</v>
      </c>
      <c r="AC18" s="29"/>
      <c r="AD18" s="38">
        <v>7</v>
      </c>
      <c r="AE18" s="38">
        <v>7</v>
      </c>
    </row>
    <row r="19" spans="1:31" x14ac:dyDescent="0.3">
      <c r="A19" s="2">
        <v>1000184670</v>
      </c>
      <c r="B19" s="2" t="s">
        <v>147</v>
      </c>
      <c r="C19" s="4">
        <v>1000186197</v>
      </c>
      <c r="D19" s="4" t="s">
        <v>166</v>
      </c>
      <c r="E19" s="2">
        <v>1000184760</v>
      </c>
      <c r="F19" s="2" t="s">
        <v>60</v>
      </c>
      <c r="G19" s="4">
        <v>1000189796</v>
      </c>
      <c r="H19" s="4" t="s">
        <v>61</v>
      </c>
      <c r="I19" s="2">
        <v>1000189762</v>
      </c>
      <c r="J19" s="2" t="s">
        <v>158</v>
      </c>
      <c r="K19" s="2" t="str">
        <f t="shared" si="1"/>
        <v>1000184670100018619710001897961000189762</v>
      </c>
      <c r="L19" s="38">
        <f>ROUND(SUMIFS(Leads!K:K,Leads!$I:$I,Positivação!$I19,Leads!$G:$G,Positivação!$G19)*_xlfn.XLOOKUP($AB19,'Balizador da Meta'!$F$4:$F$9,'Balizador da Meta'!G$4:G$9),0)</f>
        <v>0</v>
      </c>
      <c r="M19" s="38">
        <f>ROUND(SUMIFS(Leads!L:L,Leads!$I:$I,Positivação!$I19,Leads!$G:$G,Positivação!$G19)*_xlfn.XLOOKUP($AB19,'Balizador da Meta'!$F$4:$F$9,'Balizador da Meta'!H$4:H$9),0)</f>
        <v>0</v>
      </c>
      <c r="N19" s="38">
        <f>ROUND(SUMIFS(Leads!M:M,Leads!$I:$I,Positivação!$I19,Leads!$G:$G,Positivação!$G19)*_xlfn.XLOOKUP($AB19,'Balizador da Meta'!$F$4:$F$9,'Balizador da Meta'!I$4:I$9),0)</f>
        <v>0</v>
      </c>
      <c r="O19" s="38">
        <f>ROUND(SUMIFS(Leads!N:N,Leads!$I:$I,Positivação!$I19,Leads!$G:$G,Positivação!$G19)*_xlfn.XLOOKUP($AB19,'Balizador da Meta'!$F$4:$F$9,'Balizador da Meta'!J$4:J$9),0)</f>
        <v>0</v>
      </c>
      <c r="P19" s="38">
        <f>ROUND(SUMIFS(Leads!O:O,Leads!$I:$I,Positivação!$I19,Leads!$G:$G,Positivação!$G19)*_xlfn.XLOOKUP($AB19,'Balizador da Meta'!$F$4:$F$9,'Balizador da Meta'!K$4:K$9),0)</f>
        <v>0</v>
      </c>
      <c r="Q19" s="38">
        <f>ROUND(SUMIFS(Leads!P:P,Leads!$I:$I,Positivação!$I19,Leads!$G:$G,Positivação!$G19)*_xlfn.XLOOKUP($AB19,'Balizador da Meta'!$F$4:$F$9,'Balizador da Meta'!L$4:L$9),0)</f>
        <v>0</v>
      </c>
      <c r="R19" s="38">
        <f>ROUND(SUMIFS(Leads!Q:Q,Leads!$I:$I,Positivação!$I19,Leads!$G:$G,Positivação!$G19)*_xlfn.XLOOKUP($AB19,'Balizador da Meta'!$F$4:$F$9,'Balizador da Meta'!M$4:M$9),0)</f>
        <v>0</v>
      </c>
      <c r="S19" s="38">
        <f>ROUND(SUMIFS(Leads!R:R,Leads!$I:$I,Positivação!$I19,Leads!$G:$G,Positivação!$G19)*_xlfn.XLOOKUP($AB19,'Balizador da Meta'!$F$4:$F$9,'Balizador da Meta'!N$4:N$9),0)</f>
        <v>0</v>
      </c>
      <c r="T19" s="38">
        <f>ROUND(SUMIFS(Leads!S:S,Leads!$I:$I,Positivação!$I19,Leads!$G:$G,Positivação!$G19)*_xlfn.XLOOKUP($AB19,'Balizador da Meta'!$F$4:$F$9,'Balizador da Meta'!O$4:O$9),0)</f>
        <v>0</v>
      </c>
      <c r="U19" s="38">
        <f>ROUND(SUMIFS(Leads!T:T,Leads!$I:$I,Positivação!$I19,Leads!$G:$G,Positivação!$G19)*_xlfn.XLOOKUP($AB19,'Balizador da Meta'!$F$4:$F$9,'Balizador da Meta'!P$4:P$9),0)</f>
        <v>0</v>
      </c>
      <c r="V19" s="38">
        <f>ROUND(SUMIFS(Leads!U:U,Leads!$I:$I,Positivação!$I19,Leads!$G:$G,Positivação!$G19)*_xlfn.XLOOKUP($AB19,'Balizador da Meta'!$F$4:$F$9,'Balizador da Meta'!Q$4:Q$9),0)</f>
        <v>0</v>
      </c>
      <c r="W19" s="38">
        <f>ROUND(SUMIFS(Leads!V:V,Leads!$I:$I,Positivação!$I19,Leads!$G:$G,Positivação!$G19)*_xlfn.XLOOKUP($AB19,'Balizador da Meta'!$F$4:$F$9,'Balizador da Meta'!R$4:R$9),0)</f>
        <v>0</v>
      </c>
      <c r="X19" s="29"/>
      <c r="Y19" s="28">
        <f>IFERROR(SUMIFS('Historico - FAT'!AO:AO,'Historico - FAT'!I:I,Positivação!I19,'Historico - FAT'!G:G,Positivação!G19)/SUM(L19:T19),0)</f>
        <v>0</v>
      </c>
      <c r="Z19" s="28">
        <v>1500</v>
      </c>
      <c r="AA19" s="29"/>
      <c r="AB19" s="38" t="s">
        <v>178</v>
      </c>
      <c r="AC19" s="29"/>
      <c r="AD19" s="38">
        <v>0</v>
      </c>
      <c r="AE19" s="38">
        <v>13</v>
      </c>
    </row>
    <row r="20" spans="1:31" x14ac:dyDescent="0.3">
      <c r="A20" s="2">
        <v>1000184670</v>
      </c>
      <c r="B20" s="2" t="s">
        <v>147</v>
      </c>
      <c r="C20" s="4">
        <v>1000186197</v>
      </c>
      <c r="D20" s="4" t="s">
        <v>166</v>
      </c>
      <c r="E20" s="2">
        <v>1000185288</v>
      </c>
      <c r="F20" s="2" t="s">
        <v>64</v>
      </c>
      <c r="G20" s="4">
        <v>1000189807</v>
      </c>
      <c r="H20" s="4" t="s">
        <v>81</v>
      </c>
      <c r="I20" s="2">
        <v>1000189758</v>
      </c>
      <c r="J20" s="2" t="s">
        <v>159</v>
      </c>
      <c r="K20" s="2" t="str">
        <f t="shared" si="1"/>
        <v>1000184670100018619710001898071000189758</v>
      </c>
      <c r="L20" s="38">
        <f>ROUND(SUMIFS(Leads!K:K,Leads!$I:$I,Positivação!$I20,Leads!$G:$G,Positivação!$G20)*_xlfn.XLOOKUP($AB20,'Balizador da Meta'!$F$4:$F$9,'Balizador da Meta'!G$4:G$9),0)</f>
        <v>1</v>
      </c>
      <c r="M20" s="38">
        <f>ROUND(SUMIFS(Leads!L:L,Leads!$I:$I,Positivação!$I20,Leads!$G:$G,Positivação!$G20)*_xlfn.XLOOKUP($AB20,'Balizador da Meta'!$F$4:$F$9,'Balizador da Meta'!H$4:H$9),0)</f>
        <v>1</v>
      </c>
      <c r="N20" s="38">
        <f>ROUND(SUMIFS(Leads!M:M,Leads!$I:$I,Positivação!$I20,Leads!$G:$G,Positivação!$G20)*_xlfn.XLOOKUP($AB20,'Balizador da Meta'!$F$4:$F$9,'Balizador da Meta'!I$4:I$9),0)</f>
        <v>1</v>
      </c>
      <c r="O20" s="38">
        <f>ROUND(SUMIFS(Leads!N:N,Leads!$I:$I,Positivação!$I20,Leads!$G:$G,Positivação!$G20)*_xlfn.XLOOKUP($AB20,'Balizador da Meta'!$F$4:$F$9,'Balizador da Meta'!J$4:J$9),0)</f>
        <v>1</v>
      </c>
      <c r="P20" s="38">
        <f>ROUND(SUMIFS(Leads!O:O,Leads!$I:$I,Positivação!$I20,Leads!$G:$G,Positivação!$G20)*_xlfn.XLOOKUP($AB20,'Balizador da Meta'!$F$4:$F$9,'Balizador da Meta'!K$4:K$9),0)</f>
        <v>1</v>
      </c>
      <c r="Q20" s="38">
        <f>ROUND(SUMIFS(Leads!P:P,Leads!$I:$I,Positivação!$I20,Leads!$G:$G,Positivação!$G20)*_xlfn.XLOOKUP($AB20,'Balizador da Meta'!$F$4:$F$9,'Balizador da Meta'!L$4:L$9),0)</f>
        <v>1</v>
      </c>
      <c r="R20" s="38">
        <f>ROUND(SUMIFS(Leads!Q:Q,Leads!$I:$I,Positivação!$I20,Leads!$G:$G,Positivação!$G20)*_xlfn.XLOOKUP($AB20,'Balizador da Meta'!$F$4:$F$9,'Balizador da Meta'!M$4:M$9),0)</f>
        <v>1</v>
      </c>
      <c r="S20" s="38">
        <f>ROUND(SUMIFS(Leads!R:R,Leads!$I:$I,Positivação!$I20,Leads!$G:$G,Positivação!$G20)*_xlfn.XLOOKUP($AB20,'Balizador da Meta'!$F$4:$F$9,'Balizador da Meta'!N$4:N$9),0)</f>
        <v>1</v>
      </c>
      <c r="T20" s="38">
        <f>ROUND(SUMIFS(Leads!S:S,Leads!$I:$I,Positivação!$I20,Leads!$G:$G,Positivação!$G20)*_xlfn.XLOOKUP($AB20,'Balizador da Meta'!$F$4:$F$9,'Balizador da Meta'!O$4:O$9),0)</f>
        <v>1</v>
      </c>
      <c r="U20" s="38">
        <f>ROUND(SUMIFS(Leads!T:T,Leads!$I:$I,Positivação!$I20,Leads!$G:$G,Positivação!$G20)*_xlfn.XLOOKUP($AB20,'Balizador da Meta'!$F$4:$F$9,'Balizador da Meta'!P$4:P$9),0)</f>
        <v>1</v>
      </c>
      <c r="V20" s="38">
        <f>ROUND(SUMIFS(Leads!U:U,Leads!$I:$I,Positivação!$I20,Leads!$G:$G,Positivação!$G20)*_xlfn.XLOOKUP($AB20,'Balizador da Meta'!$F$4:$F$9,'Balizador da Meta'!Q$4:Q$9),0)</f>
        <v>1</v>
      </c>
      <c r="W20" s="38">
        <f>ROUND(SUMIFS(Leads!V:V,Leads!$I:$I,Positivação!$I20,Leads!$G:$G,Positivação!$G20)*_xlfn.XLOOKUP($AB20,'Balizador da Meta'!$F$4:$F$9,'Balizador da Meta'!R$4:R$9),0)</f>
        <v>1</v>
      </c>
      <c r="X20" s="29"/>
      <c r="Y20" s="28">
        <f>IFERROR(SUMIFS('Historico - FAT'!AO:AO,'Historico - FAT'!I:I,Positivação!I20,'Historico - FAT'!G:G,Positivação!G20)/SUM(L20:T20),0)</f>
        <v>1110.1733333333332</v>
      </c>
      <c r="Z20" s="28">
        <v>1500</v>
      </c>
      <c r="AA20" s="29"/>
      <c r="AB20" s="38" t="s">
        <v>178</v>
      </c>
      <c r="AC20" s="29"/>
      <c r="AD20" s="38">
        <v>2</v>
      </c>
      <c r="AE20" s="38">
        <v>4</v>
      </c>
    </row>
    <row r="21" spans="1:31" x14ac:dyDescent="0.3">
      <c r="A21" s="2">
        <v>1000184670</v>
      </c>
      <c r="B21" s="2" t="s">
        <v>147</v>
      </c>
      <c r="C21" s="4">
        <v>1000185711</v>
      </c>
      <c r="D21" s="4" t="s">
        <v>167</v>
      </c>
      <c r="E21" s="2">
        <v>1000184762</v>
      </c>
      <c r="F21" s="2" t="s">
        <v>58</v>
      </c>
      <c r="G21" s="4">
        <v>1000189815</v>
      </c>
      <c r="H21" s="4" t="s">
        <v>59</v>
      </c>
      <c r="I21" s="2">
        <v>1000189755</v>
      </c>
      <c r="J21" s="2" t="s">
        <v>160</v>
      </c>
      <c r="K21" s="2" t="str">
        <f t="shared" si="1"/>
        <v>1000184670100018571110001898151000189755</v>
      </c>
      <c r="L21" s="38">
        <f>ROUND(SUMIFS(Leads!K:K,Leads!$I:$I,Positivação!$I21,Leads!$G:$G,Positivação!$G21)*_xlfn.XLOOKUP($AB21,'Balizador da Meta'!$F$4:$F$9,'Balizador da Meta'!G$4:G$9),0)</f>
        <v>0</v>
      </c>
      <c r="M21" s="38">
        <f>ROUND(SUMIFS(Leads!L:L,Leads!$I:$I,Positivação!$I21,Leads!$G:$G,Positivação!$G21)*_xlfn.XLOOKUP($AB21,'Balizador da Meta'!$F$4:$F$9,'Balizador da Meta'!H$4:H$9),0)</f>
        <v>0</v>
      </c>
      <c r="N21" s="38">
        <f>ROUND(SUMIFS(Leads!M:M,Leads!$I:$I,Positivação!$I21,Leads!$G:$G,Positivação!$G21)*_xlfn.XLOOKUP($AB21,'Balizador da Meta'!$F$4:$F$9,'Balizador da Meta'!I$4:I$9),0)</f>
        <v>0</v>
      </c>
      <c r="O21" s="38">
        <f>ROUND(SUMIFS(Leads!N:N,Leads!$I:$I,Positivação!$I21,Leads!$G:$G,Positivação!$G21)*_xlfn.XLOOKUP($AB21,'Balizador da Meta'!$F$4:$F$9,'Balizador da Meta'!J$4:J$9),0)</f>
        <v>0</v>
      </c>
      <c r="P21" s="38">
        <f>ROUND(SUMIFS(Leads!O:O,Leads!$I:$I,Positivação!$I21,Leads!$G:$G,Positivação!$G21)*_xlfn.XLOOKUP($AB21,'Balizador da Meta'!$F$4:$F$9,'Balizador da Meta'!K$4:K$9),0)</f>
        <v>0</v>
      </c>
      <c r="Q21" s="38">
        <f>ROUND(SUMIFS(Leads!P:P,Leads!$I:$I,Positivação!$I21,Leads!$G:$G,Positivação!$G21)*_xlfn.XLOOKUP($AB21,'Balizador da Meta'!$F$4:$F$9,'Balizador da Meta'!L$4:L$9),0)</f>
        <v>0</v>
      </c>
      <c r="R21" s="38">
        <f>ROUND(SUMIFS(Leads!Q:Q,Leads!$I:$I,Positivação!$I21,Leads!$G:$G,Positivação!$G21)*_xlfn.XLOOKUP($AB21,'Balizador da Meta'!$F$4:$F$9,'Balizador da Meta'!M$4:M$9),0)</f>
        <v>0</v>
      </c>
      <c r="S21" s="38">
        <f>ROUND(SUMIFS(Leads!R:R,Leads!$I:$I,Positivação!$I21,Leads!$G:$G,Positivação!$G21)*_xlfn.XLOOKUP($AB21,'Balizador da Meta'!$F$4:$F$9,'Balizador da Meta'!N$4:N$9),0)</f>
        <v>0</v>
      </c>
      <c r="T21" s="38">
        <f>ROUND(SUMIFS(Leads!S:S,Leads!$I:$I,Positivação!$I21,Leads!$G:$G,Positivação!$G21)*_xlfn.XLOOKUP($AB21,'Balizador da Meta'!$F$4:$F$9,'Balizador da Meta'!O$4:O$9),0)</f>
        <v>0</v>
      </c>
      <c r="U21" s="38">
        <f>ROUND(SUMIFS(Leads!T:T,Leads!$I:$I,Positivação!$I21,Leads!$G:$G,Positivação!$G21)*_xlfn.XLOOKUP($AB21,'Balizador da Meta'!$F$4:$F$9,'Balizador da Meta'!P$4:P$9),0)</f>
        <v>0</v>
      </c>
      <c r="V21" s="38">
        <f>ROUND(SUMIFS(Leads!U:U,Leads!$I:$I,Positivação!$I21,Leads!$G:$G,Positivação!$G21)*_xlfn.XLOOKUP($AB21,'Balizador da Meta'!$F$4:$F$9,'Balizador da Meta'!Q$4:Q$9),0)</f>
        <v>0</v>
      </c>
      <c r="W21" s="38">
        <f>ROUND(SUMIFS(Leads!V:V,Leads!$I:$I,Positivação!$I21,Leads!$G:$G,Positivação!$G21)*_xlfn.XLOOKUP($AB21,'Balizador da Meta'!$F$4:$F$9,'Balizador da Meta'!R$4:R$9),0)</f>
        <v>0</v>
      </c>
      <c r="X21" s="29"/>
      <c r="Y21" s="28">
        <f>IFERROR(SUMIFS('Historico - FAT'!AO:AO,'Historico - FAT'!I:I,Positivação!I21,'Historico - FAT'!G:G,Positivação!G21)/SUM(L21:T21),0)</f>
        <v>0</v>
      </c>
      <c r="Z21" s="28">
        <v>1500</v>
      </c>
      <c r="AA21" s="29"/>
      <c r="AB21" s="38" t="s">
        <v>178</v>
      </c>
      <c r="AC21" s="29"/>
      <c r="AD21" s="38">
        <v>0</v>
      </c>
      <c r="AE21" s="38">
        <v>4</v>
      </c>
    </row>
    <row r="22" spans="1:31" x14ac:dyDescent="0.3">
      <c r="A22" s="2">
        <v>1000184670</v>
      </c>
      <c r="B22" s="2" t="s">
        <v>147</v>
      </c>
      <c r="C22" s="4">
        <v>1000186197</v>
      </c>
      <c r="D22" s="4" t="s">
        <v>166</v>
      </c>
      <c r="E22" s="2">
        <v>1000184758</v>
      </c>
      <c r="F22" s="2" t="s">
        <v>55</v>
      </c>
      <c r="G22" s="4">
        <v>1000189786</v>
      </c>
      <c r="H22" s="4" t="s">
        <v>104</v>
      </c>
      <c r="I22" s="2">
        <v>1000195872</v>
      </c>
      <c r="J22" s="2" t="s">
        <v>161</v>
      </c>
      <c r="K22" s="2" t="str">
        <f t="shared" si="1"/>
        <v>1000184670100018619710001897861000195872</v>
      </c>
      <c r="L22" s="38">
        <f>ROUND(SUMIFS(Leads!K:K,Leads!$I:$I,Positivação!$I22,Leads!$G:$G,Positivação!$G22)*_xlfn.XLOOKUP($AB22,'Balizador da Meta'!$F$4:$F$9,'Balizador da Meta'!G$4:G$9),0)</f>
        <v>0</v>
      </c>
      <c r="M22" s="38">
        <f>ROUND(SUMIFS(Leads!L:L,Leads!$I:$I,Positivação!$I22,Leads!$G:$G,Positivação!$G22)*_xlfn.XLOOKUP($AB22,'Balizador da Meta'!$F$4:$F$9,'Balizador da Meta'!H$4:H$9),0)</f>
        <v>0</v>
      </c>
      <c r="N22" s="38">
        <f>ROUND(SUMIFS(Leads!M:M,Leads!$I:$I,Positivação!$I22,Leads!$G:$G,Positivação!$G22)*_xlfn.XLOOKUP($AB22,'Balizador da Meta'!$F$4:$F$9,'Balizador da Meta'!I$4:I$9),0)</f>
        <v>0</v>
      </c>
      <c r="O22" s="38">
        <f>ROUND(SUMIFS(Leads!N:N,Leads!$I:$I,Positivação!$I22,Leads!$G:$G,Positivação!$G22)*_xlfn.XLOOKUP($AB22,'Balizador da Meta'!$F$4:$F$9,'Balizador da Meta'!J$4:J$9),0)</f>
        <v>0</v>
      </c>
      <c r="P22" s="38">
        <f>ROUND(SUMIFS(Leads!O:O,Leads!$I:$I,Positivação!$I22,Leads!$G:$G,Positivação!$G22)*_xlfn.XLOOKUP($AB22,'Balizador da Meta'!$F$4:$F$9,'Balizador da Meta'!K$4:K$9),0)</f>
        <v>0</v>
      </c>
      <c r="Q22" s="38">
        <f>ROUND(SUMIFS(Leads!P:P,Leads!$I:$I,Positivação!$I22,Leads!$G:$G,Positivação!$G22)*_xlfn.XLOOKUP($AB22,'Balizador da Meta'!$F$4:$F$9,'Balizador da Meta'!L$4:L$9),0)</f>
        <v>0</v>
      </c>
      <c r="R22" s="38">
        <f>ROUND(SUMIFS(Leads!Q:Q,Leads!$I:$I,Positivação!$I22,Leads!$G:$G,Positivação!$G22)*_xlfn.XLOOKUP($AB22,'Balizador da Meta'!$F$4:$F$9,'Balizador da Meta'!M$4:M$9),0)</f>
        <v>0</v>
      </c>
      <c r="S22" s="38">
        <f>ROUND(SUMIFS(Leads!R:R,Leads!$I:$I,Positivação!$I22,Leads!$G:$G,Positivação!$G22)*_xlfn.XLOOKUP($AB22,'Balizador da Meta'!$F$4:$F$9,'Balizador da Meta'!N$4:N$9),0)</f>
        <v>0</v>
      </c>
      <c r="T22" s="38">
        <f>ROUND(SUMIFS(Leads!S:S,Leads!$I:$I,Positivação!$I22,Leads!$G:$G,Positivação!$G22)*_xlfn.XLOOKUP($AB22,'Balizador da Meta'!$F$4:$F$9,'Balizador da Meta'!O$4:O$9),0)</f>
        <v>0</v>
      </c>
      <c r="U22" s="38">
        <f>ROUND(SUMIFS(Leads!T:T,Leads!$I:$I,Positivação!$I22,Leads!$G:$G,Positivação!$G22)*_xlfn.XLOOKUP($AB22,'Balizador da Meta'!$F$4:$F$9,'Balizador da Meta'!P$4:P$9),0)</f>
        <v>0</v>
      </c>
      <c r="V22" s="38">
        <f>ROUND(SUMIFS(Leads!U:U,Leads!$I:$I,Positivação!$I22,Leads!$G:$G,Positivação!$G22)*_xlfn.XLOOKUP($AB22,'Balizador da Meta'!$F$4:$F$9,'Balizador da Meta'!Q$4:Q$9),0)</f>
        <v>0</v>
      </c>
      <c r="W22" s="38">
        <f>ROUND(SUMIFS(Leads!V:V,Leads!$I:$I,Positivação!$I22,Leads!$G:$G,Positivação!$G22)*_xlfn.XLOOKUP($AB22,'Balizador da Meta'!$F$4:$F$9,'Balizador da Meta'!R$4:R$9),0)</f>
        <v>0</v>
      </c>
      <c r="X22" s="29"/>
      <c r="Y22" s="28">
        <f>IFERROR(SUMIFS('Historico - FAT'!AO:AO,'Historico - FAT'!I:I,Positivação!I22,'Historico - FAT'!G:G,Positivação!G22)/SUM(L22:T22),0)</f>
        <v>0</v>
      </c>
      <c r="Z22" s="28">
        <v>1500</v>
      </c>
      <c r="AA22" s="29"/>
      <c r="AB22" s="38" t="s">
        <v>178</v>
      </c>
      <c r="AC22" s="29"/>
      <c r="AD22" s="38">
        <v>1</v>
      </c>
      <c r="AE22" s="38">
        <v>1</v>
      </c>
    </row>
    <row r="23" spans="1:31" x14ac:dyDescent="0.3">
      <c r="A23" s="2">
        <v>1000184670</v>
      </c>
      <c r="B23" s="2" t="s">
        <v>147</v>
      </c>
      <c r="C23" s="4"/>
      <c r="D23" s="4"/>
      <c r="E23" s="2">
        <v>1000184756</v>
      </c>
      <c r="F23" s="2" t="s">
        <v>53</v>
      </c>
      <c r="G23" s="4">
        <v>1000189773</v>
      </c>
      <c r="H23" s="4" t="s">
        <v>93</v>
      </c>
      <c r="I23" s="2">
        <v>1000189270</v>
      </c>
      <c r="J23" s="2" t="s">
        <v>34</v>
      </c>
      <c r="K23" s="2" t="str">
        <f t="shared" si="1"/>
        <v>100018467010001897731000189270</v>
      </c>
      <c r="L23" s="38">
        <f>ROUND(SUMIFS(Leads!K:K,Leads!$I:$I,Positivação!$I23,Leads!$G:$G,Positivação!$G23)*_xlfn.XLOOKUP($AB23,'Balizador da Meta'!$F$4:$F$9,'Balizador da Meta'!G$4:G$9),0)</f>
        <v>2</v>
      </c>
      <c r="M23" s="38">
        <f>ROUND(SUMIFS(Leads!L:L,Leads!$I:$I,Positivação!$I23,Leads!$G:$G,Positivação!$G23)*_xlfn.XLOOKUP($AB23,'Balizador da Meta'!$F$4:$F$9,'Balizador da Meta'!H$4:H$9),0)</f>
        <v>2</v>
      </c>
      <c r="N23" s="38">
        <f>ROUND(SUMIFS(Leads!M:M,Leads!$I:$I,Positivação!$I23,Leads!$G:$G,Positivação!$G23)*_xlfn.XLOOKUP($AB23,'Balizador da Meta'!$F$4:$F$9,'Balizador da Meta'!I$4:I$9),0)</f>
        <v>2</v>
      </c>
      <c r="O23" s="38">
        <f>ROUND(SUMIFS(Leads!N:N,Leads!$I:$I,Positivação!$I23,Leads!$G:$G,Positivação!$G23)*_xlfn.XLOOKUP($AB23,'Balizador da Meta'!$F$4:$F$9,'Balizador da Meta'!J$4:J$9),0)</f>
        <v>2</v>
      </c>
      <c r="P23" s="38">
        <f>ROUND(SUMIFS(Leads!O:O,Leads!$I:$I,Positivação!$I23,Leads!$G:$G,Positivação!$G23)*_xlfn.XLOOKUP($AB23,'Balizador da Meta'!$F$4:$F$9,'Balizador da Meta'!K$4:K$9),0)</f>
        <v>2</v>
      </c>
      <c r="Q23" s="38">
        <f>ROUND(SUMIFS(Leads!P:P,Leads!$I:$I,Positivação!$I23,Leads!$G:$G,Positivação!$G23)*_xlfn.XLOOKUP($AB23,'Balizador da Meta'!$F$4:$F$9,'Balizador da Meta'!L$4:L$9),0)</f>
        <v>2</v>
      </c>
      <c r="R23" s="38">
        <f>ROUND(SUMIFS(Leads!Q:Q,Leads!$I:$I,Positivação!$I23,Leads!$G:$G,Positivação!$G23)*_xlfn.XLOOKUP($AB23,'Balizador da Meta'!$F$4:$F$9,'Balizador da Meta'!M$4:M$9),0)</f>
        <v>2</v>
      </c>
      <c r="S23" s="38">
        <f>ROUND(SUMIFS(Leads!R:R,Leads!$I:$I,Positivação!$I23,Leads!$G:$G,Positivação!$G23)*_xlfn.XLOOKUP($AB23,'Balizador da Meta'!$F$4:$F$9,'Balizador da Meta'!N$4:N$9),0)</f>
        <v>2</v>
      </c>
      <c r="T23" s="38">
        <f>ROUND(SUMIFS(Leads!S:S,Leads!$I:$I,Positivação!$I23,Leads!$G:$G,Positivação!$G23)*_xlfn.XLOOKUP($AB23,'Balizador da Meta'!$F$4:$F$9,'Balizador da Meta'!O$4:O$9),0)</f>
        <v>2</v>
      </c>
      <c r="U23" s="38">
        <f>ROUND(SUMIFS(Leads!T:T,Leads!$I:$I,Positivação!$I23,Leads!$G:$G,Positivação!$G23)*_xlfn.XLOOKUP($AB23,'Balizador da Meta'!$F$4:$F$9,'Balizador da Meta'!P$4:P$9),0)</f>
        <v>2</v>
      </c>
      <c r="V23" s="38">
        <f>ROUND(SUMIFS(Leads!U:U,Leads!$I:$I,Positivação!$I23,Leads!$G:$G,Positivação!$G23)*_xlfn.XLOOKUP($AB23,'Balizador da Meta'!$F$4:$F$9,'Balizador da Meta'!Q$4:Q$9),0)</f>
        <v>2</v>
      </c>
      <c r="W23" s="38">
        <f>ROUND(SUMIFS(Leads!V:V,Leads!$I:$I,Positivação!$I23,Leads!$G:$G,Positivação!$G23)*_xlfn.XLOOKUP($AB23,'Balizador da Meta'!$F$4:$F$9,'Balizador da Meta'!R$4:R$9),0)</f>
        <v>2</v>
      </c>
      <c r="X23" s="29"/>
      <c r="Y23" s="28">
        <f>IFERROR(SUMIFS('Historico - FAT'!AO:AO,'Historico - FAT'!I:I,Positivação!I23,'Historico - FAT'!G:G,Positivação!G23)/SUM(L23:T23),0)</f>
        <v>762.92833333333328</v>
      </c>
      <c r="Z23" s="28">
        <v>600</v>
      </c>
      <c r="AA23" s="29"/>
      <c r="AB23" s="38" t="s">
        <v>180</v>
      </c>
      <c r="AC23" s="29"/>
      <c r="AD23" s="38">
        <v>12</v>
      </c>
      <c r="AE23" s="38"/>
    </row>
    <row r="24" spans="1:31" x14ac:dyDescent="0.3">
      <c r="A24" s="2">
        <v>1000184670</v>
      </c>
      <c r="B24" s="2" t="s">
        <v>147</v>
      </c>
      <c r="C24" s="4"/>
      <c r="D24" s="4"/>
      <c r="E24" s="2">
        <v>1000184756</v>
      </c>
      <c r="F24" s="2" t="s">
        <v>53</v>
      </c>
      <c r="G24" s="4">
        <v>1000189775</v>
      </c>
      <c r="H24" s="4" t="s">
        <v>66</v>
      </c>
      <c r="I24" s="2">
        <v>1000189270</v>
      </c>
      <c r="J24" s="2" t="s">
        <v>34</v>
      </c>
      <c r="K24" s="2" t="str">
        <f t="shared" si="1"/>
        <v>100018467010001897751000189270</v>
      </c>
      <c r="L24" s="38">
        <f>ROUND(SUMIFS(Leads!K:K,Leads!$I:$I,Positivação!$I24,Leads!$G:$G,Positivação!$G24)*_xlfn.XLOOKUP($AB24,'Balizador da Meta'!$F$4:$F$9,'Balizador da Meta'!G$4:G$9),0)</f>
        <v>11</v>
      </c>
      <c r="M24" s="38">
        <f>ROUND(SUMIFS(Leads!L:L,Leads!$I:$I,Positivação!$I24,Leads!$G:$G,Positivação!$G24)*_xlfn.XLOOKUP($AB24,'Balizador da Meta'!$F$4:$F$9,'Balizador da Meta'!H$4:H$9),0)</f>
        <v>11</v>
      </c>
      <c r="N24" s="38">
        <f>ROUND(SUMIFS(Leads!M:M,Leads!$I:$I,Positivação!$I24,Leads!$G:$G,Positivação!$G24)*_xlfn.XLOOKUP($AB24,'Balizador da Meta'!$F$4:$F$9,'Balizador da Meta'!I$4:I$9),0)</f>
        <v>11</v>
      </c>
      <c r="O24" s="38">
        <f>ROUND(SUMIFS(Leads!N:N,Leads!$I:$I,Positivação!$I24,Leads!$G:$G,Positivação!$G24)*_xlfn.XLOOKUP($AB24,'Balizador da Meta'!$F$4:$F$9,'Balizador da Meta'!J$4:J$9),0)</f>
        <v>11</v>
      </c>
      <c r="P24" s="38">
        <f>ROUND(SUMIFS(Leads!O:O,Leads!$I:$I,Positivação!$I24,Leads!$G:$G,Positivação!$G24)*_xlfn.XLOOKUP($AB24,'Balizador da Meta'!$F$4:$F$9,'Balizador da Meta'!K$4:K$9),0)</f>
        <v>11</v>
      </c>
      <c r="Q24" s="38">
        <f>ROUND(SUMIFS(Leads!P:P,Leads!$I:$I,Positivação!$I24,Leads!$G:$G,Positivação!$G24)*_xlfn.XLOOKUP($AB24,'Balizador da Meta'!$F$4:$F$9,'Balizador da Meta'!L$4:L$9),0)</f>
        <v>11</v>
      </c>
      <c r="R24" s="38">
        <f>ROUND(SUMIFS(Leads!Q:Q,Leads!$I:$I,Positivação!$I24,Leads!$G:$G,Positivação!$G24)*_xlfn.XLOOKUP($AB24,'Balizador da Meta'!$F$4:$F$9,'Balizador da Meta'!M$4:M$9),0)</f>
        <v>11</v>
      </c>
      <c r="S24" s="38">
        <f>ROUND(SUMIFS(Leads!R:R,Leads!$I:$I,Positivação!$I24,Leads!$G:$G,Positivação!$G24)*_xlfn.XLOOKUP($AB24,'Balizador da Meta'!$F$4:$F$9,'Balizador da Meta'!N$4:N$9),0)</f>
        <v>11</v>
      </c>
      <c r="T24" s="38">
        <f>ROUND(SUMIFS(Leads!S:S,Leads!$I:$I,Positivação!$I24,Leads!$G:$G,Positivação!$G24)*_xlfn.XLOOKUP($AB24,'Balizador da Meta'!$F$4:$F$9,'Balizador da Meta'!O$4:O$9),0)</f>
        <v>11</v>
      </c>
      <c r="U24" s="38">
        <f>ROUND(SUMIFS(Leads!T:T,Leads!$I:$I,Positivação!$I24,Leads!$G:$G,Positivação!$G24)*_xlfn.XLOOKUP($AB24,'Balizador da Meta'!$F$4:$F$9,'Balizador da Meta'!P$4:P$9),0)</f>
        <v>11</v>
      </c>
      <c r="V24" s="38">
        <f>ROUND(SUMIFS(Leads!U:U,Leads!$I:$I,Positivação!$I24,Leads!$G:$G,Positivação!$G24)*_xlfn.XLOOKUP($AB24,'Balizador da Meta'!$F$4:$F$9,'Balizador da Meta'!Q$4:Q$9),0)</f>
        <v>11</v>
      </c>
      <c r="W24" s="38">
        <f>ROUND(SUMIFS(Leads!V:V,Leads!$I:$I,Positivação!$I24,Leads!$G:$G,Positivação!$G24)*_xlfn.XLOOKUP($AB24,'Balizador da Meta'!$F$4:$F$9,'Balizador da Meta'!R$4:R$9),0)</f>
        <v>11</v>
      </c>
      <c r="X24" s="29"/>
      <c r="Y24" s="28">
        <f>IFERROR(SUMIFS('Historico - FAT'!AO:AO,'Historico - FAT'!I:I,Positivação!I24,'Historico - FAT'!G:G,Positivação!G24)/SUM(L24:T24),0)</f>
        <v>469.11828282828276</v>
      </c>
      <c r="Z24" s="28">
        <v>600</v>
      </c>
      <c r="AA24" s="29"/>
      <c r="AB24" s="38" t="s">
        <v>180</v>
      </c>
      <c r="AC24" s="29"/>
      <c r="AD24" s="38">
        <v>48</v>
      </c>
      <c r="AE24" s="38"/>
    </row>
    <row r="25" spans="1:31" x14ac:dyDescent="0.3">
      <c r="A25" s="2">
        <v>1000184670</v>
      </c>
      <c r="B25" s="2" t="s">
        <v>147</v>
      </c>
      <c r="C25" s="4"/>
      <c r="D25" s="4"/>
      <c r="E25" s="2">
        <v>1000184756</v>
      </c>
      <c r="F25" s="2" t="s">
        <v>53</v>
      </c>
      <c r="G25" s="4">
        <v>1000189783</v>
      </c>
      <c r="H25" s="4" t="s">
        <v>86</v>
      </c>
      <c r="I25" s="2">
        <v>1000189270</v>
      </c>
      <c r="J25" s="2" t="s">
        <v>34</v>
      </c>
      <c r="K25" s="2" t="str">
        <f t="shared" si="1"/>
        <v>100018467010001897831000189270</v>
      </c>
      <c r="L25" s="38">
        <f>ROUND(SUMIFS(Leads!K:K,Leads!$I:$I,Positivação!$I25,Leads!$G:$G,Positivação!$G25)*_xlfn.XLOOKUP($AB25,'Balizador da Meta'!$F$4:$F$9,'Balizador da Meta'!G$4:G$9),0)</f>
        <v>3</v>
      </c>
      <c r="M25" s="38">
        <f>ROUND(SUMIFS(Leads!L:L,Leads!$I:$I,Positivação!$I25,Leads!$G:$G,Positivação!$G25)*_xlfn.XLOOKUP($AB25,'Balizador da Meta'!$F$4:$F$9,'Balizador da Meta'!H$4:H$9),0)</f>
        <v>3</v>
      </c>
      <c r="N25" s="38">
        <f>ROUND(SUMIFS(Leads!M:M,Leads!$I:$I,Positivação!$I25,Leads!$G:$G,Positivação!$G25)*_xlfn.XLOOKUP($AB25,'Balizador da Meta'!$F$4:$F$9,'Balizador da Meta'!I$4:I$9),0)</f>
        <v>3</v>
      </c>
      <c r="O25" s="38">
        <f>ROUND(SUMIFS(Leads!N:N,Leads!$I:$I,Positivação!$I25,Leads!$G:$G,Positivação!$G25)*_xlfn.XLOOKUP($AB25,'Balizador da Meta'!$F$4:$F$9,'Balizador da Meta'!J$4:J$9),0)</f>
        <v>3</v>
      </c>
      <c r="P25" s="38">
        <f>ROUND(SUMIFS(Leads!O:O,Leads!$I:$I,Positivação!$I25,Leads!$G:$G,Positivação!$G25)*_xlfn.XLOOKUP($AB25,'Balizador da Meta'!$F$4:$F$9,'Balizador da Meta'!K$4:K$9),0)</f>
        <v>3</v>
      </c>
      <c r="Q25" s="38">
        <f>ROUND(SUMIFS(Leads!P:P,Leads!$I:$I,Positivação!$I25,Leads!$G:$G,Positivação!$G25)*_xlfn.XLOOKUP($AB25,'Balizador da Meta'!$F$4:$F$9,'Balizador da Meta'!L$4:L$9),0)</f>
        <v>3</v>
      </c>
      <c r="R25" s="38">
        <f>ROUND(SUMIFS(Leads!Q:Q,Leads!$I:$I,Positivação!$I25,Leads!$G:$G,Positivação!$G25)*_xlfn.XLOOKUP($AB25,'Balizador da Meta'!$F$4:$F$9,'Balizador da Meta'!M$4:M$9),0)</f>
        <v>3</v>
      </c>
      <c r="S25" s="38">
        <f>ROUND(SUMIFS(Leads!R:R,Leads!$I:$I,Positivação!$I25,Leads!$G:$G,Positivação!$G25)*_xlfn.XLOOKUP($AB25,'Balizador da Meta'!$F$4:$F$9,'Balizador da Meta'!N$4:N$9),0)</f>
        <v>3</v>
      </c>
      <c r="T25" s="38">
        <f>ROUND(SUMIFS(Leads!S:S,Leads!$I:$I,Positivação!$I25,Leads!$G:$G,Positivação!$G25)*_xlfn.XLOOKUP($AB25,'Balizador da Meta'!$F$4:$F$9,'Balizador da Meta'!O$4:O$9),0)</f>
        <v>3</v>
      </c>
      <c r="U25" s="38">
        <f>ROUND(SUMIFS(Leads!T:T,Leads!$I:$I,Positivação!$I25,Leads!$G:$G,Positivação!$G25)*_xlfn.XLOOKUP($AB25,'Balizador da Meta'!$F$4:$F$9,'Balizador da Meta'!P$4:P$9),0)</f>
        <v>3</v>
      </c>
      <c r="V25" s="38">
        <f>ROUND(SUMIFS(Leads!U:U,Leads!$I:$I,Positivação!$I25,Leads!$G:$G,Positivação!$G25)*_xlfn.XLOOKUP($AB25,'Balizador da Meta'!$F$4:$F$9,'Balizador da Meta'!Q$4:Q$9),0)</f>
        <v>3</v>
      </c>
      <c r="W25" s="38">
        <f>ROUND(SUMIFS(Leads!V:V,Leads!$I:$I,Positivação!$I25,Leads!$G:$G,Positivação!$G25)*_xlfn.XLOOKUP($AB25,'Balizador da Meta'!$F$4:$F$9,'Balizador da Meta'!R$4:R$9),0)</f>
        <v>3</v>
      </c>
      <c r="X25" s="29"/>
      <c r="Y25" s="28">
        <f>IFERROR(SUMIFS('Historico - FAT'!AO:AO,'Historico - FAT'!I:I,Positivação!I25,'Historico - FAT'!G:G,Positivação!G25)/SUM(L25:T25),0)</f>
        <v>528.71851851851841</v>
      </c>
      <c r="Z25" s="28">
        <v>600</v>
      </c>
      <c r="AA25" s="29"/>
      <c r="AB25" s="38" t="s">
        <v>180</v>
      </c>
      <c r="AC25" s="29"/>
      <c r="AD25" s="38">
        <v>14</v>
      </c>
      <c r="AE25" s="38"/>
    </row>
    <row r="26" spans="1:31" x14ac:dyDescent="0.3">
      <c r="A26" s="2">
        <v>1000184670</v>
      </c>
      <c r="B26" s="2" t="s">
        <v>147</v>
      </c>
      <c r="C26" s="4"/>
      <c r="D26" s="4"/>
      <c r="E26" s="2">
        <v>1000184756</v>
      </c>
      <c r="F26" s="2" t="s">
        <v>53</v>
      </c>
      <c r="G26" s="4">
        <v>1000189784</v>
      </c>
      <c r="H26" s="4" t="s">
        <v>54</v>
      </c>
      <c r="I26" s="2">
        <v>1000189270</v>
      </c>
      <c r="J26" s="2" t="s">
        <v>34</v>
      </c>
      <c r="K26" s="2" t="str">
        <f t="shared" si="1"/>
        <v>100018467010001897841000189270</v>
      </c>
      <c r="L26" s="38">
        <f>ROUND(SUMIFS(Leads!K:K,Leads!$I:$I,Positivação!$I26,Leads!$G:$G,Positivação!$G26)*_xlfn.XLOOKUP($AB26,'Balizador da Meta'!$F$4:$F$9,'Balizador da Meta'!G$4:G$9),0)</f>
        <v>6</v>
      </c>
      <c r="M26" s="38">
        <f>ROUND(SUMIFS(Leads!L:L,Leads!$I:$I,Positivação!$I26,Leads!$G:$G,Positivação!$G26)*_xlfn.XLOOKUP($AB26,'Balizador da Meta'!$F$4:$F$9,'Balizador da Meta'!H$4:H$9),0)</f>
        <v>6</v>
      </c>
      <c r="N26" s="38">
        <f>ROUND(SUMIFS(Leads!M:M,Leads!$I:$I,Positivação!$I26,Leads!$G:$G,Positivação!$G26)*_xlfn.XLOOKUP($AB26,'Balizador da Meta'!$F$4:$F$9,'Balizador da Meta'!I$4:I$9),0)</f>
        <v>6</v>
      </c>
      <c r="O26" s="38">
        <f>ROUND(SUMIFS(Leads!N:N,Leads!$I:$I,Positivação!$I26,Leads!$G:$G,Positivação!$G26)*_xlfn.XLOOKUP($AB26,'Balizador da Meta'!$F$4:$F$9,'Balizador da Meta'!J$4:J$9),0)</f>
        <v>6</v>
      </c>
      <c r="P26" s="38">
        <f>ROUND(SUMIFS(Leads!O:O,Leads!$I:$I,Positivação!$I26,Leads!$G:$G,Positivação!$G26)*_xlfn.XLOOKUP($AB26,'Balizador da Meta'!$F$4:$F$9,'Balizador da Meta'!K$4:K$9),0)</f>
        <v>6</v>
      </c>
      <c r="Q26" s="38">
        <f>ROUND(SUMIFS(Leads!P:P,Leads!$I:$I,Positivação!$I26,Leads!$G:$G,Positivação!$G26)*_xlfn.XLOOKUP($AB26,'Balizador da Meta'!$F$4:$F$9,'Balizador da Meta'!L$4:L$9),0)</f>
        <v>6</v>
      </c>
      <c r="R26" s="38">
        <f>ROUND(SUMIFS(Leads!Q:Q,Leads!$I:$I,Positivação!$I26,Leads!$G:$G,Positivação!$G26)*_xlfn.XLOOKUP($AB26,'Balizador da Meta'!$F$4:$F$9,'Balizador da Meta'!M$4:M$9),0)</f>
        <v>6</v>
      </c>
      <c r="S26" s="38">
        <f>ROUND(SUMIFS(Leads!R:R,Leads!$I:$I,Positivação!$I26,Leads!$G:$G,Positivação!$G26)*_xlfn.XLOOKUP($AB26,'Balizador da Meta'!$F$4:$F$9,'Balizador da Meta'!N$4:N$9),0)</f>
        <v>6</v>
      </c>
      <c r="T26" s="38">
        <f>ROUND(SUMIFS(Leads!S:S,Leads!$I:$I,Positivação!$I26,Leads!$G:$G,Positivação!$G26)*_xlfn.XLOOKUP($AB26,'Balizador da Meta'!$F$4:$F$9,'Balizador da Meta'!O$4:O$9),0)</f>
        <v>6</v>
      </c>
      <c r="U26" s="38">
        <f>ROUND(SUMIFS(Leads!T:T,Leads!$I:$I,Positivação!$I26,Leads!$G:$G,Positivação!$G26)*_xlfn.XLOOKUP($AB26,'Balizador da Meta'!$F$4:$F$9,'Balizador da Meta'!P$4:P$9),0)</f>
        <v>6</v>
      </c>
      <c r="V26" s="38">
        <f>ROUND(SUMIFS(Leads!U:U,Leads!$I:$I,Positivação!$I26,Leads!$G:$G,Positivação!$G26)*_xlfn.XLOOKUP($AB26,'Balizador da Meta'!$F$4:$F$9,'Balizador da Meta'!Q$4:Q$9),0)</f>
        <v>6</v>
      </c>
      <c r="W26" s="38">
        <f>ROUND(SUMIFS(Leads!V:V,Leads!$I:$I,Positivação!$I26,Leads!$G:$G,Positivação!$G26)*_xlfn.XLOOKUP($AB26,'Balizador da Meta'!$F$4:$F$9,'Balizador da Meta'!R$4:R$9),0)</f>
        <v>6</v>
      </c>
      <c r="X26" s="29"/>
      <c r="Y26" s="28">
        <f>IFERROR(SUMIFS('Historico - FAT'!AO:AO,'Historico - FAT'!I:I,Positivação!I26,'Historico - FAT'!G:G,Positivação!G26)/SUM(L26:T26),0)</f>
        <v>1811.3488888888892</v>
      </c>
      <c r="Z26" s="28">
        <v>600</v>
      </c>
      <c r="AA26" s="29"/>
      <c r="AB26" s="38" t="s">
        <v>180</v>
      </c>
      <c r="AC26" s="29"/>
      <c r="AD26" s="38">
        <v>27</v>
      </c>
      <c r="AE26" s="38"/>
    </row>
    <row r="27" spans="1:31" x14ac:dyDescent="0.3">
      <c r="A27" s="2">
        <v>1000184670</v>
      </c>
      <c r="B27" s="2" t="s">
        <v>147</v>
      </c>
      <c r="C27" s="4"/>
      <c r="D27" s="4"/>
      <c r="E27" s="2">
        <v>1000184756</v>
      </c>
      <c r="F27" s="2" t="s">
        <v>53</v>
      </c>
      <c r="G27" s="4">
        <v>1000189824</v>
      </c>
      <c r="H27" s="4" t="s">
        <v>100</v>
      </c>
      <c r="I27" s="2">
        <v>1000189270</v>
      </c>
      <c r="J27" s="2" t="s">
        <v>34</v>
      </c>
      <c r="K27" s="2" t="str">
        <f t="shared" si="1"/>
        <v>100018467010001898241000189270</v>
      </c>
      <c r="L27" s="38">
        <f>ROUND(SUMIFS(Leads!K:K,Leads!$I:$I,Positivação!$I27,Leads!$G:$G,Positivação!$G27)*_xlfn.XLOOKUP($AB27,'Balizador da Meta'!$F$4:$F$9,'Balizador da Meta'!G$4:G$9),0)</f>
        <v>2</v>
      </c>
      <c r="M27" s="38">
        <f>ROUND(SUMIFS(Leads!L:L,Leads!$I:$I,Positivação!$I27,Leads!$G:$G,Positivação!$G27)*_xlfn.XLOOKUP($AB27,'Balizador da Meta'!$F$4:$F$9,'Balizador da Meta'!H$4:H$9),0)</f>
        <v>2</v>
      </c>
      <c r="N27" s="38">
        <f>ROUND(SUMIFS(Leads!M:M,Leads!$I:$I,Positivação!$I27,Leads!$G:$G,Positivação!$G27)*_xlfn.XLOOKUP($AB27,'Balizador da Meta'!$F$4:$F$9,'Balizador da Meta'!I$4:I$9),0)</f>
        <v>2</v>
      </c>
      <c r="O27" s="38">
        <f>ROUND(SUMIFS(Leads!N:N,Leads!$I:$I,Positivação!$I27,Leads!$G:$G,Positivação!$G27)*_xlfn.XLOOKUP($AB27,'Balizador da Meta'!$F$4:$F$9,'Balizador da Meta'!J$4:J$9),0)</f>
        <v>2</v>
      </c>
      <c r="P27" s="38">
        <f>ROUND(SUMIFS(Leads!O:O,Leads!$I:$I,Positivação!$I27,Leads!$G:$G,Positivação!$G27)*_xlfn.XLOOKUP($AB27,'Balizador da Meta'!$F$4:$F$9,'Balizador da Meta'!K$4:K$9),0)</f>
        <v>2</v>
      </c>
      <c r="Q27" s="38">
        <f>ROUND(SUMIFS(Leads!P:P,Leads!$I:$I,Positivação!$I27,Leads!$G:$G,Positivação!$G27)*_xlfn.XLOOKUP($AB27,'Balizador da Meta'!$F$4:$F$9,'Balizador da Meta'!L$4:L$9),0)</f>
        <v>2</v>
      </c>
      <c r="R27" s="38">
        <f>ROUND(SUMIFS(Leads!Q:Q,Leads!$I:$I,Positivação!$I27,Leads!$G:$G,Positivação!$G27)*_xlfn.XLOOKUP($AB27,'Balizador da Meta'!$F$4:$F$9,'Balizador da Meta'!M$4:M$9),0)</f>
        <v>2</v>
      </c>
      <c r="S27" s="38">
        <f>ROUND(SUMIFS(Leads!R:R,Leads!$I:$I,Positivação!$I27,Leads!$G:$G,Positivação!$G27)*_xlfn.XLOOKUP($AB27,'Balizador da Meta'!$F$4:$F$9,'Balizador da Meta'!N$4:N$9),0)</f>
        <v>2</v>
      </c>
      <c r="T27" s="38">
        <f>ROUND(SUMIFS(Leads!S:S,Leads!$I:$I,Positivação!$I27,Leads!$G:$G,Positivação!$G27)*_xlfn.XLOOKUP($AB27,'Balizador da Meta'!$F$4:$F$9,'Balizador da Meta'!O$4:O$9),0)</f>
        <v>2</v>
      </c>
      <c r="U27" s="38">
        <f>ROUND(SUMIFS(Leads!T:T,Leads!$I:$I,Positivação!$I27,Leads!$G:$G,Positivação!$G27)*_xlfn.XLOOKUP($AB27,'Balizador da Meta'!$F$4:$F$9,'Balizador da Meta'!P$4:P$9),0)</f>
        <v>2</v>
      </c>
      <c r="V27" s="38">
        <f>ROUND(SUMIFS(Leads!U:U,Leads!$I:$I,Positivação!$I27,Leads!$G:$G,Positivação!$G27)*_xlfn.XLOOKUP($AB27,'Balizador da Meta'!$F$4:$F$9,'Balizador da Meta'!Q$4:Q$9),0)</f>
        <v>2</v>
      </c>
      <c r="W27" s="38">
        <f>ROUND(SUMIFS(Leads!V:V,Leads!$I:$I,Positivação!$I27,Leads!$G:$G,Positivação!$G27)*_xlfn.XLOOKUP($AB27,'Balizador da Meta'!$F$4:$F$9,'Balizador da Meta'!R$4:R$9),0)</f>
        <v>2</v>
      </c>
      <c r="X27" s="29"/>
      <c r="Y27" s="28">
        <f>IFERROR(SUMIFS('Historico - FAT'!AO:AO,'Historico - FAT'!I:I,Positivação!I27,'Historico - FAT'!G:G,Positivação!G27)/SUM(L27:T27),0)</f>
        <v>769.64722222222224</v>
      </c>
      <c r="Z27" s="28">
        <v>600</v>
      </c>
      <c r="AA27" s="29"/>
      <c r="AB27" s="38" t="s">
        <v>180</v>
      </c>
      <c r="AC27" s="29"/>
      <c r="AD27" s="38">
        <v>10</v>
      </c>
      <c r="AE27" s="38"/>
    </row>
    <row r="28" spans="1:31" x14ac:dyDescent="0.3">
      <c r="A28" s="2">
        <v>1000184670</v>
      </c>
      <c r="B28" s="2" t="s">
        <v>147</v>
      </c>
      <c r="C28" s="4"/>
      <c r="D28" s="4"/>
      <c r="E28" s="2">
        <v>1000184757</v>
      </c>
      <c r="F28" s="2" t="s">
        <v>62</v>
      </c>
      <c r="G28" s="4">
        <v>1000189765</v>
      </c>
      <c r="H28" s="4" t="s">
        <v>99</v>
      </c>
      <c r="I28" s="2">
        <v>1000189270</v>
      </c>
      <c r="J28" s="2" t="s">
        <v>34</v>
      </c>
      <c r="K28" s="2" t="str">
        <f t="shared" si="1"/>
        <v>100018467010001897651000189270</v>
      </c>
      <c r="L28" s="38">
        <f>ROUND(SUMIFS(Leads!K:K,Leads!$I:$I,Positivação!$I28,Leads!$G:$G,Positivação!$G28)*_xlfn.XLOOKUP($AB28,'Balizador da Meta'!$F$4:$F$9,'Balizador da Meta'!G$4:G$9),0)</f>
        <v>2</v>
      </c>
      <c r="M28" s="38">
        <f>ROUND(SUMIFS(Leads!L:L,Leads!$I:$I,Positivação!$I28,Leads!$G:$G,Positivação!$G28)*_xlfn.XLOOKUP($AB28,'Balizador da Meta'!$F$4:$F$9,'Balizador da Meta'!H$4:H$9),0)</f>
        <v>2</v>
      </c>
      <c r="N28" s="38">
        <f>ROUND(SUMIFS(Leads!M:M,Leads!$I:$I,Positivação!$I28,Leads!$G:$G,Positivação!$G28)*_xlfn.XLOOKUP($AB28,'Balizador da Meta'!$F$4:$F$9,'Balizador da Meta'!I$4:I$9),0)</f>
        <v>2</v>
      </c>
      <c r="O28" s="38">
        <f>ROUND(SUMIFS(Leads!N:N,Leads!$I:$I,Positivação!$I28,Leads!$G:$G,Positivação!$G28)*_xlfn.XLOOKUP($AB28,'Balizador da Meta'!$F$4:$F$9,'Balizador da Meta'!J$4:J$9),0)</f>
        <v>2</v>
      </c>
      <c r="P28" s="38">
        <f>ROUND(SUMIFS(Leads!O:O,Leads!$I:$I,Positivação!$I28,Leads!$G:$G,Positivação!$G28)*_xlfn.XLOOKUP($AB28,'Balizador da Meta'!$F$4:$F$9,'Balizador da Meta'!K$4:K$9),0)</f>
        <v>2</v>
      </c>
      <c r="Q28" s="38">
        <f>ROUND(SUMIFS(Leads!P:P,Leads!$I:$I,Positivação!$I28,Leads!$G:$G,Positivação!$G28)*_xlfn.XLOOKUP($AB28,'Balizador da Meta'!$F$4:$F$9,'Balizador da Meta'!L$4:L$9),0)</f>
        <v>2</v>
      </c>
      <c r="R28" s="38">
        <f>ROUND(SUMIFS(Leads!Q:Q,Leads!$I:$I,Positivação!$I28,Leads!$G:$G,Positivação!$G28)*_xlfn.XLOOKUP($AB28,'Balizador da Meta'!$F$4:$F$9,'Balizador da Meta'!M$4:M$9),0)</f>
        <v>2</v>
      </c>
      <c r="S28" s="38">
        <f>ROUND(SUMIFS(Leads!R:R,Leads!$I:$I,Positivação!$I28,Leads!$G:$G,Positivação!$G28)*_xlfn.XLOOKUP($AB28,'Balizador da Meta'!$F$4:$F$9,'Balizador da Meta'!N$4:N$9),0)</f>
        <v>2</v>
      </c>
      <c r="T28" s="38">
        <f>ROUND(SUMIFS(Leads!S:S,Leads!$I:$I,Positivação!$I28,Leads!$G:$G,Positivação!$G28)*_xlfn.XLOOKUP($AB28,'Balizador da Meta'!$F$4:$F$9,'Balizador da Meta'!O$4:O$9),0)</f>
        <v>2</v>
      </c>
      <c r="U28" s="38">
        <f>ROUND(SUMIFS(Leads!T:T,Leads!$I:$I,Positivação!$I28,Leads!$G:$G,Positivação!$G28)*_xlfn.XLOOKUP($AB28,'Balizador da Meta'!$F$4:$F$9,'Balizador da Meta'!P$4:P$9),0)</f>
        <v>2</v>
      </c>
      <c r="V28" s="38">
        <f>ROUND(SUMIFS(Leads!U:U,Leads!$I:$I,Positivação!$I28,Leads!$G:$G,Positivação!$G28)*_xlfn.XLOOKUP($AB28,'Balizador da Meta'!$F$4:$F$9,'Balizador da Meta'!Q$4:Q$9),0)</f>
        <v>2</v>
      </c>
      <c r="W28" s="38">
        <f>ROUND(SUMIFS(Leads!V:V,Leads!$I:$I,Positivação!$I28,Leads!$G:$G,Positivação!$G28)*_xlfn.XLOOKUP($AB28,'Balizador da Meta'!$F$4:$F$9,'Balizador da Meta'!R$4:R$9),0)</f>
        <v>2</v>
      </c>
      <c r="X28" s="29"/>
      <c r="Y28" s="28">
        <f>IFERROR(SUMIFS('Historico - FAT'!AO:AO,'Historico - FAT'!I:I,Positivação!I28,'Historico - FAT'!G:G,Positivação!G28)/SUM(L28:T28),0)</f>
        <v>159.19833333333335</v>
      </c>
      <c r="Z28" s="28">
        <v>600</v>
      </c>
      <c r="AA28" s="29"/>
      <c r="AB28" s="38" t="s">
        <v>180</v>
      </c>
      <c r="AC28" s="29"/>
      <c r="AD28" s="38">
        <v>9</v>
      </c>
      <c r="AE28" s="38"/>
    </row>
    <row r="29" spans="1:31" x14ac:dyDescent="0.3">
      <c r="A29" s="2">
        <v>1000184670</v>
      </c>
      <c r="B29" s="2" t="s">
        <v>147</v>
      </c>
      <c r="C29" s="4"/>
      <c r="D29" s="4"/>
      <c r="E29" s="2">
        <v>1000184757</v>
      </c>
      <c r="F29" s="2" t="s">
        <v>62</v>
      </c>
      <c r="G29" s="4">
        <v>1000189768</v>
      </c>
      <c r="H29" s="4" t="s">
        <v>88</v>
      </c>
      <c r="I29" s="2">
        <v>1000189270</v>
      </c>
      <c r="J29" s="2" t="s">
        <v>34</v>
      </c>
      <c r="K29" s="2" t="str">
        <f t="shared" si="1"/>
        <v>100018467010001897681000189270</v>
      </c>
      <c r="L29" s="38">
        <f>ROUND(SUMIFS(Leads!K:K,Leads!$I:$I,Positivação!$I29,Leads!$G:$G,Positivação!$G29)*_xlfn.XLOOKUP($AB29,'Balizador da Meta'!$F$4:$F$9,'Balizador da Meta'!G$4:G$9),0)</f>
        <v>2</v>
      </c>
      <c r="M29" s="38">
        <f>ROUND(SUMIFS(Leads!L:L,Leads!$I:$I,Positivação!$I29,Leads!$G:$G,Positivação!$G29)*_xlfn.XLOOKUP($AB29,'Balizador da Meta'!$F$4:$F$9,'Balizador da Meta'!H$4:H$9),0)</f>
        <v>2</v>
      </c>
      <c r="N29" s="38">
        <f>ROUND(SUMIFS(Leads!M:M,Leads!$I:$I,Positivação!$I29,Leads!$G:$G,Positivação!$G29)*_xlfn.XLOOKUP($AB29,'Balizador da Meta'!$F$4:$F$9,'Balizador da Meta'!I$4:I$9),0)</f>
        <v>2</v>
      </c>
      <c r="O29" s="38">
        <f>ROUND(SUMIFS(Leads!N:N,Leads!$I:$I,Positivação!$I29,Leads!$G:$G,Positivação!$G29)*_xlfn.XLOOKUP($AB29,'Balizador da Meta'!$F$4:$F$9,'Balizador da Meta'!J$4:J$9),0)</f>
        <v>2</v>
      </c>
      <c r="P29" s="38">
        <f>ROUND(SUMIFS(Leads!O:O,Leads!$I:$I,Positivação!$I29,Leads!$G:$G,Positivação!$G29)*_xlfn.XLOOKUP($AB29,'Balizador da Meta'!$F$4:$F$9,'Balizador da Meta'!K$4:K$9),0)</f>
        <v>2</v>
      </c>
      <c r="Q29" s="38">
        <f>ROUND(SUMIFS(Leads!P:P,Leads!$I:$I,Positivação!$I29,Leads!$G:$G,Positivação!$G29)*_xlfn.XLOOKUP($AB29,'Balizador da Meta'!$F$4:$F$9,'Balizador da Meta'!L$4:L$9),0)</f>
        <v>2</v>
      </c>
      <c r="R29" s="38">
        <f>ROUND(SUMIFS(Leads!Q:Q,Leads!$I:$I,Positivação!$I29,Leads!$G:$G,Positivação!$G29)*_xlfn.XLOOKUP($AB29,'Balizador da Meta'!$F$4:$F$9,'Balizador da Meta'!M$4:M$9),0)</f>
        <v>2</v>
      </c>
      <c r="S29" s="38">
        <f>ROUND(SUMIFS(Leads!R:R,Leads!$I:$I,Positivação!$I29,Leads!$G:$G,Positivação!$G29)*_xlfn.XLOOKUP($AB29,'Balizador da Meta'!$F$4:$F$9,'Balizador da Meta'!N$4:N$9),0)</f>
        <v>2</v>
      </c>
      <c r="T29" s="38">
        <f>ROUND(SUMIFS(Leads!S:S,Leads!$I:$I,Positivação!$I29,Leads!$G:$G,Positivação!$G29)*_xlfn.XLOOKUP($AB29,'Balizador da Meta'!$F$4:$F$9,'Balizador da Meta'!O$4:O$9),0)</f>
        <v>2</v>
      </c>
      <c r="U29" s="38">
        <f>ROUND(SUMIFS(Leads!T:T,Leads!$I:$I,Positivação!$I29,Leads!$G:$G,Positivação!$G29)*_xlfn.XLOOKUP($AB29,'Balizador da Meta'!$F$4:$F$9,'Balizador da Meta'!P$4:P$9),0)</f>
        <v>2</v>
      </c>
      <c r="V29" s="38">
        <f>ROUND(SUMIFS(Leads!U:U,Leads!$I:$I,Positivação!$I29,Leads!$G:$G,Positivação!$G29)*_xlfn.XLOOKUP($AB29,'Balizador da Meta'!$F$4:$F$9,'Balizador da Meta'!Q$4:Q$9),0)</f>
        <v>2</v>
      </c>
      <c r="W29" s="38">
        <f>ROUND(SUMIFS(Leads!V:V,Leads!$I:$I,Positivação!$I29,Leads!$G:$G,Positivação!$G29)*_xlfn.XLOOKUP($AB29,'Balizador da Meta'!$F$4:$F$9,'Balizador da Meta'!R$4:R$9),0)</f>
        <v>2</v>
      </c>
      <c r="X29" s="29"/>
      <c r="Y29" s="28">
        <f>IFERROR(SUMIFS('Historico - FAT'!AO:AO,'Historico - FAT'!I:I,Positivação!I29,'Historico - FAT'!G:G,Positivação!G29)/SUM(L29:T29),0)</f>
        <v>31.088888888888889</v>
      </c>
      <c r="Z29" s="28">
        <v>600</v>
      </c>
      <c r="AA29" s="29"/>
      <c r="AB29" s="38" t="s">
        <v>180</v>
      </c>
      <c r="AC29" s="29"/>
      <c r="AD29" s="38">
        <v>11</v>
      </c>
      <c r="AE29" s="38"/>
    </row>
    <row r="30" spans="1:31" x14ac:dyDescent="0.3">
      <c r="A30" s="2">
        <v>1000184670</v>
      </c>
      <c r="B30" s="2" t="s">
        <v>147</v>
      </c>
      <c r="C30" s="4"/>
      <c r="D30" s="4"/>
      <c r="E30" s="2">
        <v>1000184757</v>
      </c>
      <c r="F30" s="2" t="s">
        <v>62</v>
      </c>
      <c r="G30" s="4">
        <v>1000189769</v>
      </c>
      <c r="H30" s="4" t="s">
        <v>67</v>
      </c>
      <c r="I30" s="2">
        <v>1000189270</v>
      </c>
      <c r="J30" s="2" t="s">
        <v>34</v>
      </c>
      <c r="K30" s="2" t="str">
        <f t="shared" si="1"/>
        <v>100018467010001897691000189270</v>
      </c>
      <c r="L30" s="38">
        <f>ROUND(SUMIFS(Leads!K:K,Leads!$I:$I,Positivação!$I30,Leads!$G:$G,Positivação!$G30)*_xlfn.XLOOKUP($AB30,'Balizador da Meta'!$F$4:$F$9,'Balizador da Meta'!G$4:G$9),0)</f>
        <v>4</v>
      </c>
      <c r="M30" s="38">
        <f>ROUND(SUMIFS(Leads!L:L,Leads!$I:$I,Positivação!$I30,Leads!$G:$G,Positivação!$G30)*_xlfn.XLOOKUP($AB30,'Balizador da Meta'!$F$4:$F$9,'Balizador da Meta'!H$4:H$9),0)</f>
        <v>4</v>
      </c>
      <c r="N30" s="38">
        <f>ROUND(SUMIFS(Leads!M:M,Leads!$I:$I,Positivação!$I30,Leads!$G:$G,Positivação!$G30)*_xlfn.XLOOKUP($AB30,'Balizador da Meta'!$F$4:$F$9,'Balizador da Meta'!I$4:I$9),0)</f>
        <v>4</v>
      </c>
      <c r="O30" s="38">
        <f>ROUND(SUMIFS(Leads!N:N,Leads!$I:$I,Positivação!$I30,Leads!$G:$G,Positivação!$G30)*_xlfn.XLOOKUP($AB30,'Balizador da Meta'!$F$4:$F$9,'Balizador da Meta'!J$4:J$9),0)</f>
        <v>4</v>
      </c>
      <c r="P30" s="38">
        <f>ROUND(SUMIFS(Leads!O:O,Leads!$I:$I,Positivação!$I30,Leads!$G:$G,Positivação!$G30)*_xlfn.XLOOKUP($AB30,'Balizador da Meta'!$F$4:$F$9,'Balizador da Meta'!K$4:K$9),0)</f>
        <v>4</v>
      </c>
      <c r="Q30" s="38">
        <f>ROUND(SUMIFS(Leads!P:P,Leads!$I:$I,Positivação!$I30,Leads!$G:$G,Positivação!$G30)*_xlfn.XLOOKUP($AB30,'Balizador da Meta'!$F$4:$F$9,'Balizador da Meta'!L$4:L$9),0)</f>
        <v>4</v>
      </c>
      <c r="R30" s="38">
        <f>ROUND(SUMIFS(Leads!Q:Q,Leads!$I:$I,Positivação!$I30,Leads!$G:$G,Positivação!$G30)*_xlfn.XLOOKUP($AB30,'Balizador da Meta'!$F$4:$F$9,'Balizador da Meta'!M$4:M$9),0)</f>
        <v>4</v>
      </c>
      <c r="S30" s="38">
        <f>ROUND(SUMIFS(Leads!R:R,Leads!$I:$I,Positivação!$I30,Leads!$G:$G,Positivação!$G30)*_xlfn.XLOOKUP($AB30,'Balizador da Meta'!$F$4:$F$9,'Balizador da Meta'!N$4:N$9),0)</f>
        <v>4</v>
      </c>
      <c r="T30" s="38">
        <f>ROUND(SUMIFS(Leads!S:S,Leads!$I:$I,Positivação!$I30,Leads!$G:$G,Positivação!$G30)*_xlfn.XLOOKUP($AB30,'Balizador da Meta'!$F$4:$F$9,'Balizador da Meta'!O$4:O$9),0)</f>
        <v>4</v>
      </c>
      <c r="U30" s="38">
        <f>ROUND(SUMIFS(Leads!T:T,Leads!$I:$I,Positivação!$I30,Leads!$G:$G,Positivação!$G30)*_xlfn.XLOOKUP($AB30,'Balizador da Meta'!$F$4:$F$9,'Balizador da Meta'!P$4:P$9),0)</f>
        <v>4</v>
      </c>
      <c r="V30" s="38">
        <f>ROUND(SUMIFS(Leads!U:U,Leads!$I:$I,Positivação!$I30,Leads!$G:$G,Positivação!$G30)*_xlfn.XLOOKUP($AB30,'Balizador da Meta'!$F$4:$F$9,'Balizador da Meta'!Q$4:Q$9),0)</f>
        <v>4</v>
      </c>
      <c r="W30" s="38">
        <f>ROUND(SUMIFS(Leads!V:V,Leads!$I:$I,Positivação!$I30,Leads!$G:$G,Positivação!$G30)*_xlfn.XLOOKUP($AB30,'Balizador da Meta'!$F$4:$F$9,'Balizador da Meta'!R$4:R$9),0)</f>
        <v>4</v>
      </c>
      <c r="X30" s="29"/>
      <c r="Y30" s="28">
        <f>IFERROR(SUMIFS('Historico - FAT'!AO:AO,'Historico - FAT'!I:I,Positivação!I30,'Historico - FAT'!G:G,Positivação!G30)/SUM(L30:T30),0)</f>
        <v>205.80222222222221</v>
      </c>
      <c r="Z30" s="28">
        <v>600</v>
      </c>
      <c r="AA30" s="29"/>
      <c r="AB30" s="38" t="s">
        <v>180</v>
      </c>
      <c r="AC30" s="29"/>
      <c r="AD30" s="38">
        <v>20</v>
      </c>
      <c r="AE30" s="38"/>
    </row>
    <row r="31" spans="1:31" x14ac:dyDescent="0.3">
      <c r="A31" s="2">
        <v>1000184670</v>
      </c>
      <c r="B31" s="2" t="s">
        <v>147</v>
      </c>
      <c r="C31" s="4"/>
      <c r="D31" s="4"/>
      <c r="E31" s="2">
        <v>1000184757</v>
      </c>
      <c r="F31" s="2" t="s">
        <v>62</v>
      </c>
      <c r="G31" s="4">
        <v>1000189770</v>
      </c>
      <c r="H31" s="4" t="s">
        <v>75</v>
      </c>
      <c r="I31" s="2">
        <v>1000189270</v>
      </c>
      <c r="J31" s="2" t="s">
        <v>34</v>
      </c>
      <c r="K31" s="2" t="str">
        <f t="shared" si="1"/>
        <v>100018467010001897701000189270</v>
      </c>
      <c r="L31" s="38">
        <f>ROUND(SUMIFS(Leads!K:K,Leads!$I:$I,Positivação!$I31,Leads!$G:$G,Positivação!$G31)*_xlfn.XLOOKUP($AB31,'Balizador da Meta'!$F$4:$F$9,'Balizador da Meta'!G$4:G$9),0)</f>
        <v>4</v>
      </c>
      <c r="M31" s="38">
        <f>ROUND(SUMIFS(Leads!L:L,Leads!$I:$I,Positivação!$I31,Leads!$G:$G,Positivação!$G31)*_xlfn.XLOOKUP($AB31,'Balizador da Meta'!$F$4:$F$9,'Balizador da Meta'!H$4:H$9),0)</f>
        <v>4</v>
      </c>
      <c r="N31" s="38">
        <f>ROUND(SUMIFS(Leads!M:M,Leads!$I:$I,Positivação!$I31,Leads!$G:$G,Positivação!$G31)*_xlfn.XLOOKUP($AB31,'Balizador da Meta'!$F$4:$F$9,'Balizador da Meta'!I$4:I$9),0)</f>
        <v>4</v>
      </c>
      <c r="O31" s="38">
        <f>ROUND(SUMIFS(Leads!N:N,Leads!$I:$I,Positivação!$I31,Leads!$G:$G,Positivação!$G31)*_xlfn.XLOOKUP($AB31,'Balizador da Meta'!$F$4:$F$9,'Balizador da Meta'!J$4:J$9),0)</f>
        <v>4</v>
      </c>
      <c r="P31" s="38">
        <f>ROUND(SUMIFS(Leads!O:O,Leads!$I:$I,Positivação!$I31,Leads!$G:$G,Positivação!$G31)*_xlfn.XLOOKUP($AB31,'Balizador da Meta'!$F$4:$F$9,'Balizador da Meta'!K$4:K$9),0)</f>
        <v>4</v>
      </c>
      <c r="Q31" s="38">
        <f>ROUND(SUMIFS(Leads!P:P,Leads!$I:$I,Positivação!$I31,Leads!$G:$G,Positivação!$G31)*_xlfn.XLOOKUP($AB31,'Balizador da Meta'!$F$4:$F$9,'Balizador da Meta'!L$4:L$9),0)</f>
        <v>4</v>
      </c>
      <c r="R31" s="38">
        <f>ROUND(SUMIFS(Leads!Q:Q,Leads!$I:$I,Positivação!$I31,Leads!$G:$G,Positivação!$G31)*_xlfn.XLOOKUP($AB31,'Balizador da Meta'!$F$4:$F$9,'Balizador da Meta'!M$4:M$9),0)</f>
        <v>4</v>
      </c>
      <c r="S31" s="38">
        <f>ROUND(SUMIFS(Leads!R:R,Leads!$I:$I,Positivação!$I31,Leads!$G:$G,Positivação!$G31)*_xlfn.XLOOKUP($AB31,'Balizador da Meta'!$F$4:$F$9,'Balizador da Meta'!N$4:N$9),0)</f>
        <v>4</v>
      </c>
      <c r="T31" s="38">
        <f>ROUND(SUMIFS(Leads!S:S,Leads!$I:$I,Positivação!$I31,Leads!$G:$G,Positivação!$G31)*_xlfn.XLOOKUP($AB31,'Balizador da Meta'!$F$4:$F$9,'Balizador da Meta'!O$4:O$9),0)</f>
        <v>4</v>
      </c>
      <c r="U31" s="38">
        <f>ROUND(SUMIFS(Leads!T:T,Leads!$I:$I,Positivação!$I31,Leads!$G:$G,Positivação!$G31)*_xlfn.XLOOKUP($AB31,'Balizador da Meta'!$F$4:$F$9,'Balizador da Meta'!P$4:P$9),0)</f>
        <v>4</v>
      </c>
      <c r="V31" s="38">
        <f>ROUND(SUMIFS(Leads!U:U,Leads!$I:$I,Positivação!$I31,Leads!$G:$G,Positivação!$G31)*_xlfn.XLOOKUP($AB31,'Balizador da Meta'!$F$4:$F$9,'Balizador da Meta'!Q$4:Q$9),0)</f>
        <v>4</v>
      </c>
      <c r="W31" s="38">
        <f>ROUND(SUMIFS(Leads!V:V,Leads!$I:$I,Positivação!$I31,Leads!$G:$G,Positivação!$G31)*_xlfn.XLOOKUP($AB31,'Balizador da Meta'!$F$4:$F$9,'Balizador da Meta'!R$4:R$9),0)</f>
        <v>4</v>
      </c>
      <c r="X31" s="29"/>
      <c r="Y31" s="28">
        <f>IFERROR(SUMIFS('Historico - FAT'!AO:AO,'Historico - FAT'!I:I,Positivação!I31,'Historico - FAT'!G:G,Positivação!G31)/SUM(L31:T31),0)</f>
        <v>18.634166666666665</v>
      </c>
      <c r="Z31" s="28">
        <v>600</v>
      </c>
      <c r="AA31" s="29"/>
      <c r="AB31" s="38" t="s">
        <v>180</v>
      </c>
      <c r="AC31" s="29"/>
      <c r="AD31" s="38">
        <v>21</v>
      </c>
      <c r="AE31" s="38"/>
    </row>
    <row r="32" spans="1:31" x14ac:dyDescent="0.3">
      <c r="A32" s="2">
        <v>1000184670</v>
      </c>
      <c r="B32" s="2" t="s">
        <v>147</v>
      </c>
      <c r="C32" s="4"/>
      <c r="D32" s="4"/>
      <c r="E32" s="2">
        <v>1000184757</v>
      </c>
      <c r="F32" s="2" t="s">
        <v>62</v>
      </c>
      <c r="G32" s="4">
        <v>1000189771</v>
      </c>
      <c r="H32" s="4" t="s">
        <v>101</v>
      </c>
      <c r="I32" s="2">
        <v>1000189270</v>
      </c>
      <c r="J32" s="2" t="s">
        <v>34</v>
      </c>
      <c r="K32" s="2" t="str">
        <f t="shared" si="1"/>
        <v>100018467010001897711000189270</v>
      </c>
      <c r="L32" s="38">
        <f>ROUND(SUMIFS(Leads!K:K,Leads!$I:$I,Positivação!$I32,Leads!$G:$G,Positivação!$G32)*_xlfn.XLOOKUP($AB32,'Balizador da Meta'!$F$4:$F$9,'Balizador da Meta'!G$4:G$9),0)</f>
        <v>2</v>
      </c>
      <c r="M32" s="38">
        <f>ROUND(SUMIFS(Leads!L:L,Leads!$I:$I,Positivação!$I32,Leads!$G:$G,Positivação!$G32)*_xlfn.XLOOKUP($AB32,'Balizador da Meta'!$F$4:$F$9,'Balizador da Meta'!H$4:H$9),0)</f>
        <v>2</v>
      </c>
      <c r="N32" s="38">
        <f>ROUND(SUMIFS(Leads!M:M,Leads!$I:$I,Positivação!$I32,Leads!$G:$G,Positivação!$G32)*_xlfn.XLOOKUP($AB32,'Balizador da Meta'!$F$4:$F$9,'Balizador da Meta'!I$4:I$9),0)</f>
        <v>2</v>
      </c>
      <c r="O32" s="38">
        <f>ROUND(SUMIFS(Leads!N:N,Leads!$I:$I,Positivação!$I32,Leads!$G:$G,Positivação!$G32)*_xlfn.XLOOKUP($AB32,'Balizador da Meta'!$F$4:$F$9,'Balizador da Meta'!J$4:J$9),0)</f>
        <v>2</v>
      </c>
      <c r="P32" s="38">
        <f>ROUND(SUMIFS(Leads!O:O,Leads!$I:$I,Positivação!$I32,Leads!$G:$G,Positivação!$G32)*_xlfn.XLOOKUP($AB32,'Balizador da Meta'!$F$4:$F$9,'Balizador da Meta'!K$4:K$9),0)</f>
        <v>2</v>
      </c>
      <c r="Q32" s="38">
        <f>ROUND(SUMIFS(Leads!P:P,Leads!$I:$I,Positivação!$I32,Leads!$G:$G,Positivação!$G32)*_xlfn.XLOOKUP($AB32,'Balizador da Meta'!$F$4:$F$9,'Balizador da Meta'!L$4:L$9),0)</f>
        <v>2</v>
      </c>
      <c r="R32" s="38">
        <f>ROUND(SUMIFS(Leads!Q:Q,Leads!$I:$I,Positivação!$I32,Leads!$G:$G,Positivação!$G32)*_xlfn.XLOOKUP($AB32,'Balizador da Meta'!$F$4:$F$9,'Balizador da Meta'!M$4:M$9),0)</f>
        <v>2</v>
      </c>
      <c r="S32" s="38">
        <f>ROUND(SUMIFS(Leads!R:R,Leads!$I:$I,Positivação!$I32,Leads!$G:$G,Positivação!$G32)*_xlfn.XLOOKUP($AB32,'Balizador da Meta'!$F$4:$F$9,'Balizador da Meta'!N$4:N$9),0)</f>
        <v>2</v>
      </c>
      <c r="T32" s="38">
        <f>ROUND(SUMIFS(Leads!S:S,Leads!$I:$I,Positivação!$I32,Leads!$G:$G,Positivação!$G32)*_xlfn.XLOOKUP($AB32,'Balizador da Meta'!$F$4:$F$9,'Balizador da Meta'!O$4:O$9),0)</f>
        <v>2</v>
      </c>
      <c r="U32" s="38">
        <f>ROUND(SUMIFS(Leads!T:T,Leads!$I:$I,Positivação!$I32,Leads!$G:$G,Positivação!$G32)*_xlfn.XLOOKUP($AB32,'Balizador da Meta'!$F$4:$F$9,'Balizador da Meta'!P$4:P$9),0)</f>
        <v>2</v>
      </c>
      <c r="V32" s="38">
        <f>ROUND(SUMIFS(Leads!U:U,Leads!$I:$I,Positivação!$I32,Leads!$G:$G,Positivação!$G32)*_xlfn.XLOOKUP($AB32,'Balizador da Meta'!$F$4:$F$9,'Balizador da Meta'!Q$4:Q$9),0)</f>
        <v>2</v>
      </c>
      <c r="W32" s="38">
        <f>ROUND(SUMIFS(Leads!V:V,Leads!$I:$I,Positivação!$I32,Leads!$G:$G,Positivação!$G32)*_xlfn.XLOOKUP($AB32,'Balizador da Meta'!$F$4:$F$9,'Balizador da Meta'!R$4:R$9),0)</f>
        <v>2</v>
      </c>
      <c r="X32" s="29"/>
      <c r="Y32" s="28">
        <f>IFERROR(SUMIFS('Historico - FAT'!AO:AO,'Historico - FAT'!I:I,Positivação!I32,'Historico - FAT'!G:G,Positivação!G32)/SUM(L32:T32),0)</f>
        <v>928.42499999999984</v>
      </c>
      <c r="Z32" s="28">
        <v>600</v>
      </c>
      <c r="AA32" s="29"/>
      <c r="AB32" s="38" t="s">
        <v>180</v>
      </c>
      <c r="AC32" s="29"/>
      <c r="AD32" s="38">
        <v>9</v>
      </c>
      <c r="AE32" s="38"/>
    </row>
    <row r="33" spans="1:31" x14ac:dyDescent="0.3">
      <c r="A33" s="2">
        <v>1000184670</v>
      </c>
      <c r="B33" s="2" t="s">
        <v>147</v>
      </c>
      <c r="C33" s="4"/>
      <c r="D33" s="4"/>
      <c r="E33" s="2">
        <v>1000184757</v>
      </c>
      <c r="F33" s="2" t="s">
        <v>62</v>
      </c>
      <c r="G33" s="4">
        <v>1000189772</v>
      </c>
      <c r="H33" s="4" t="s">
        <v>98</v>
      </c>
      <c r="I33" s="2">
        <v>1000189270</v>
      </c>
      <c r="J33" s="2" t="s">
        <v>34</v>
      </c>
      <c r="K33" s="2" t="str">
        <f t="shared" si="1"/>
        <v>100018467010001897721000189270</v>
      </c>
      <c r="L33" s="38">
        <f>ROUND(SUMIFS(Leads!K:K,Leads!$I:$I,Positivação!$I33,Leads!$G:$G,Positivação!$G33)*_xlfn.XLOOKUP($AB33,'Balizador da Meta'!$F$4:$F$9,'Balizador da Meta'!G$4:G$9),0)</f>
        <v>3</v>
      </c>
      <c r="M33" s="38">
        <f>ROUND(SUMIFS(Leads!L:L,Leads!$I:$I,Positivação!$I33,Leads!$G:$G,Positivação!$G33)*_xlfn.XLOOKUP($AB33,'Balizador da Meta'!$F$4:$F$9,'Balizador da Meta'!H$4:H$9),0)</f>
        <v>3</v>
      </c>
      <c r="N33" s="38">
        <f>ROUND(SUMIFS(Leads!M:M,Leads!$I:$I,Positivação!$I33,Leads!$G:$G,Positivação!$G33)*_xlfn.XLOOKUP($AB33,'Balizador da Meta'!$F$4:$F$9,'Balizador da Meta'!I$4:I$9),0)</f>
        <v>3</v>
      </c>
      <c r="O33" s="38">
        <f>ROUND(SUMIFS(Leads!N:N,Leads!$I:$I,Positivação!$I33,Leads!$G:$G,Positivação!$G33)*_xlfn.XLOOKUP($AB33,'Balizador da Meta'!$F$4:$F$9,'Balizador da Meta'!J$4:J$9),0)</f>
        <v>3</v>
      </c>
      <c r="P33" s="38">
        <f>ROUND(SUMIFS(Leads!O:O,Leads!$I:$I,Positivação!$I33,Leads!$G:$G,Positivação!$G33)*_xlfn.XLOOKUP($AB33,'Balizador da Meta'!$F$4:$F$9,'Balizador da Meta'!K$4:K$9),0)</f>
        <v>3</v>
      </c>
      <c r="Q33" s="38">
        <f>ROUND(SUMIFS(Leads!P:P,Leads!$I:$I,Positivação!$I33,Leads!$G:$G,Positivação!$G33)*_xlfn.XLOOKUP($AB33,'Balizador da Meta'!$F$4:$F$9,'Balizador da Meta'!L$4:L$9),0)</f>
        <v>3</v>
      </c>
      <c r="R33" s="38">
        <f>ROUND(SUMIFS(Leads!Q:Q,Leads!$I:$I,Positivação!$I33,Leads!$G:$G,Positivação!$G33)*_xlfn.XLOOKUP($AB33,'Balizador da Meta'!$F$4:$F$9,'Balizador da Meta'!M$4:M$9),0)</f>
        <v>3</v>
      </c>
      <c r="S33" s="38">
        <f>ROUND(SUMIFS(Leads!R:R,Leads!$I:$I,Positivação!$I33,Leads!$G:$G,Positivação!$G33)*_xlfn.XLOOKUP($AB33,'Balizador da Meta'!$F$4:$F$9,'Balizador da Meta'!N$4:N$9),0)</f>
        <v>3</v>
      </c>
      <c r="T33" s="38">
        <f>ROUND(SUMIFS(Leads!S:S,Leads!$I:$I,Positivação!$I33,Leads!$G:$G,Positivação!$G33)*_xlfn.XLOOKUP($AB33,'Balizador da Meta'!$F$4:$F$9,'Balizador da Meta'!O$4:O$9),0)</f>
        <v>3</v>
      </c>
      <c r="U33" s="38">
        <f>ROUND(SUMIFS(Leads!T:T,Leads!$I:$I,Positivação!$I33,Leads!$G:$G,Positivação!$G33)*_xlfn.XLOOKUP($AB33,'Balizador da Meta'!$F$4:$F$9,'Balizador da Meta'!P$4:P$9),0)</f>
        <v>3</v>
      </c>
      <c r="V33" s="38">
        <f>ROUND(SUMIFS(Leads!U:U,Leads!$I:$I,Positivação!$I33,Leads!$G:$G,Positivação!$G33)*_xlfn.XLOOKUP($AB33,'Balizador da Meta'!$F$4:$F$9,'Balizador da Meta'!Q$4:Q$9),0)</f>
        <v>3</v>
      </c>
      <c r="W33" s="38">
        <f>ROUND(SUMIFS(Leads!V:V,Leads!$I:$I,Positivação!$I33,Leads!$G:$G,Positivação!$G33)*_xlfn.XLOOKUP($AB33,'Balizador da Meta'!$F$4:$F$9,'Balizador da Meta'!R$4:R$9),0)</f>
        <v>3</v>
      </c>
      <c r="X33" s="29"/>
      <c r="Y33" s="28">
        <f>IFERROR(SUMIFS('Historico - FAT'!AO:AO,'Historico - FAT'!I:I,Positivação!I33,'Historico - FAT'!G:G,Positivação!G33)/SUM(L33:T33),0)</f>
        <v>56.520370370370365</v>
      </c>
      <c r="Z33" s="28">
        <v>600</v>
      </c>
      <c r="AA33" s="29"/>
      <c r="AB33" s="38" t="s">
        <v>180</v>
      </c>
      <c r="AC33" s="29"/>
      <c r="AD33" s="38">
        <v>17</v>
      </c>
      <c r="AE33" s="38"/>
    </row>
    <row r="34" spans="1:31" x14ac:dyDescent="0.3">
      <c r="A34" s="2">
        <v>1000184670</v>
      </c>
      <c r="B34" s="2" t="s">
        <v>147</v>
      </c>
      <c r="C34" s="4"/>
      <c r="D34" s="4"/>
      <c r="E34" s="2">
        <v>1000184757</v>
      </c>
      <c r="F34" s="2" t="s">
        <v>62</v>
      </c>
      <c r="G34" s="4">
        <v>1000189787</v>
      </c>
      <c r="H34" s="4" t="s">
        <v>63</v>
      </c>
      <c r="I34" s="2">
        <v>1000189270</v>
      </c>
      <c r="J34" s="2" t="s">
        <v>34</v>
      </c>
      <c r="K34" s="2" t="str">
        <f t="shared" si="1"/>
        <v>100018467010001897871000189270</v>
      </c>
      <c r="L34" s="38">
        <f>ROUND(SUMIFS(Leads!K:K,Leads!$I:$I,Positivação!$I34,Leads!$G:$G,Positivação!$G34)*_xlfn.XLOOKUP($AB34,'Balizador da Meta'!$F$4:$F$9,'Balizador da Meta'!G$4:G$9),0)</f>
        <v>1</v>
      </c>
      <c r="M34" s="38">
        <f>ROUND(SUMIFS(Leads!L:L,Leads!$I:$I,Positivação!$I34,Leads!$G:$G,Positivação!$G34)*_xlfn.XLOOKUP($AB34,'Balizador da Meta'!$F$4:$F$9,'Balizador da Meta'!H$4:H$9),0)</f>
        <v>1</v>
      </c>
      <c r="N34" s="38">
        <f>ROUND(SUMIFS(Leads!M:M,Leads!$I:$I,Positivação!$I34,Leads!$G:$G,Positivação!$G34)*_xlfn.XLOOKUP($AB34,'Balizador da Meta'!$F$4:$F$9,'Balizador da Meta'!I$4:I$9),0)</f>
        <v>1</v>
      </c>
      <c r="O34" s="38">
        <f>ROUND(SUMIFS(Leads!N:N,Leads!$I:$I,Positivação!$I34,Leads!$G:$G,Positivação!$G34)*_xlfn.XLOOKUP($AB34,'Balizador da Meta'!$F$4:$F$9,'Balizador da Meta'!J$4:J$9),0)</f>
        <v>1</v>
      </c>
      <c r="P34" s="38">
        <f>ROUND(SUMIFS(Leads!O:O,Leads!$I:$I,Positivação!$I34,Leads!$G:$G,Positivação!$G34)*_xlfn.XLOOKUP($AB34,'Balizador da Meta'!$F$4:$F$9,'Balizador da Meta'!K$4:K$9),0)</f>
        <v>1</v>
      </c>
      <c r="Q34" s="38">
        <f>ROUND(SUMIFS(Leads!P:P,Leads!$I:$I,Positivação!$I34,Leads!$G:$G,Positivação!$G34)*_xlfn.XLOOKUP($AB34,'Balizador da Meta'!$F$4:$F$9,'Balizador da Meta'!L$4:L$9),0)</f>
        <v>1</v>
      </c>
      <c r="R34" s="38">
        <f>ROUND(SUMIFS(Leads!Q:Q,Leads!$I:$I,Positivação!$I34,Leads!$G:$G,Positivação!$G34)*_xlfn.XLOOKUP($AB34,'Balizador da Meta'!$F$4:$F$9,'Balizador da Meta'!M$4:M$9),0)</f>
        <v>1</v>
      </c>
      <c r="S34" s="38">
        <f>ROUND(SUMIFS(Leads!R:R,Leads!$I:$I,Positivação!$I34,Leads!$G:$G,Positivação!$G34)*_xlfn.XLOOKUP($AB34,'Balizador da Meta'!$F$4:$F$9,'Balizador da Meta'!N$4:N$9),0)</f>
        <v>1</v>
      </c>
      <c r="T34" s="38">
        <f>ROUND(SUMIFS(Leads!S:S,Leads!$I:$I,Positivação!$I34,Leads!$G:$G,Positivação!$G34)*_xlfn.XLOOKUP($AB34,'Balizador da Meta'!$F$4:$F$9,'Balizador da Meta'!O$4:O$9),0)</f>
        <v>1</v>
      </c>
      <c r="U34" s="38">
        <f>ROUND(SUMIFS(Leads!T:T,Leads!$I:$I,Positivação!$I34,Leads!$G:$G,Positivação!$G34)*_xlfn.XLOOKUP($AB34,'Balizador da Meta'!$F$4:$F$9,'Balizador da Meta'!P$4:P$9),0)</f>
        <v>1</v>
      </c>
      <c r="V34" s="38">
        <f>ROUND(SUMIFS(Leads!U:U,Leads!$I:$I,Positivação!$I34,Leads!$G:$G,Positivação!$G34)*_xlfn.XLOOKUP($AB34,'Balizador da Meta'!$F$4:$F$9,'Balizador da Meta'!Q$4:Q$9),0)</f>
        <v>1</v>
      </c>
      <c r="W34" s="38">
        <f>ROUND(SUMIFS(Leads!V:V,Leads!$I:$I,Positivação!$I34,Leads!$G:$G,Positivação!$G34)*_xlfn.XLOOKUP($AB34,'Balizador da Meta'!$F$4:$F$9,'Balizador da Meta'!R$4:R$9),0)</f>
        <v>1</v>
      </c>
      <c r="X34" s="29"/>
      <c r="Y34" s="28">
        <f>IFERROR(SUMIFS('Historico - FAT'!AO:AO,'Historico - FAT'!I:I,Positivação!I34,'Historico - FAT'!G:G,Positivação!G34)/SUM(L34:T34),0)</f>
        <v>0</v>
      </c>
      <c r="Z34" s="28">
        <v>600</v>
      </c>
      <c r="AA34" s="29"/>
      <c r="AB34" s="38" t="s">
        <v>180</v>
      </c>
      <c r="AC34" s="29"/>
      <c r="AD34" s="38">
        <v>5</v>
      </c>
      <c r="AE34" s="38"/>
    </row>
    <row r="35" spans="1:31" x14ac:dyDescent="0.3">
      <c r="A35" s="2">
        <v>1000184670</v>
      </c>
      <c r="B35" s="2" t="s">
        <v>147</v>
      </c>
      <c r="C35" s="4"/>
      <c r="D35" s="4"/>
      <c r="E35" s="2">
        <v>1000184757</v>
      </c>
      <c r="F35" s="2" t="s">
        <v>62</v>
      </c>
      <c r="G35" s="4">
        <v>1000189788</v>
      </c>
      <c r="H35" s="4" t="s">
        <v>102</v>
      </c>
      <c r="I35" s="2">
        <v>1000189270</v>
      </c>
      <c r="J35" s="2" t="s">
        <v>34</v>
      </c>
      <c r="K35" s="2" t="str">
        <f t="shared" si="1"/>
        <v>100018467010001897881000189270</v>
      </c>
      <c r="L35" s="38">
        <f>ROUND(SUMIFS(Leads!K:K,Leads!$I:$I,Positivação!$I35,Leads!$G:$G,Positivação!$G35)*_xlfn.XLOOKUP($AB35,'Balizador da Meta'!$F$4:$F$9,'Balizador da Meta'!G$4:G$9),0)</f>
        <v>1</v>
      </c>
      <c r="M35" s="38">
        <f>ROUND(SUMIFS(Leads!L:L,Leads!$I:$I,Positivação!$I35,Leads!$G:$G,Positivação!$G35)*_xlfn.XLOOKUP($AB35,'Balizador da Meta'!$F$4:$F$9,'Balizador da Meta'!H$4:H$9),0)</f>
        <v>1</v>
      </c>
      <c r="N35" s="38">
        <f>ROUND(SUMIFS(Leads!M:M,Leads!$I:$I,Positivação!$I35,Leads!$G:$G,Positivação!$G35)*_xlfn.XLOOKUP($AB35,'Balizador da Meta'!$F$4:$F$9,'Balizador da Meta'!I$4:I$9),0)</f>
        <v>1</v>
      </c>
      <c r="O35" s="38">
        <f>ROUND(SUMIFS(Leads!N:N,Leads!$I:$I,Positivação!$I35,Leads!$G:$G,Positivação!$G35)*_xlfn.XLOOKUP($AB35,'Balizador da Meta'!$F$4:$F$9,'Balizador da Meta'!J$4:J$9),0)</f>
        <v>1</v>
      </c>
      <c r="P35" s="38">
        <f>ROUND(SUMIFS(Leads!O:O,Leads!$I:$I,Positivação!$I35,Leads!$G:$G,Positivação!$G35)*_xlfn.XLOOKUP($AB35,'Balizador da Meta'!$F$4:$F$9,'Balizador da Meta'!K$4:K$9),0)</f>
        <v>1</v>
      </c>
      <c r="Q35" s="38">
        <f>ROUND(SUMIFS(Leads!P:P,Leads!$I:$I,Positivação!$I35,Leads!$G:$G,Positivação!$G35)*_xlfn.XLOOKUP($AB35,'Balizador da Meta'!$F$4:$F$9,'Balizador da Meta'!L$4:L$9),0)</f>
        <v>1</v>
      </c>
      <c r="R35" s="38">
        <f>ROUND(SUMIFS(Leads!Q:Q,Leads!$I:$I,Positivação!$I35,Leads!$G:$G,Positivação!$G35)*_xlfn.XLOOKUP($AB35,'Balizador da Meta'!$F$4:$F$9,'Balizador da Meta'!M$4:M$9),0)</f>
        <v>1</v>
      </c>
      <c r="S35" s="38">
        <f>ROUND(SUMIFS(Leads!R:R,Leads!$I:$I,Positivação!$I35,Leads!$G:$G,Positivação!$G35)*_xlfn.XLOOKUP($AB35,'Balizador da Meta'!$F$4:$F$9,'Balizador da Meta'!N$4:N$9),0)</f>
        <v>1</v>
      </c>
      <c r="T35" s="38">
        <f>ROUND(SUMIFS(Leads!S:S,Leads!$I:$I,Positivação!$I35,Leads!$G:$G,Positivação!$G35)*_xlfn.XLOOKUP($AB35,'Balizador da Meta'!$F$4:$F$9,'Balizador da Meta'!O$4:O$9),0)</f>
        <v>1</v>
      </c>
      <c r="U35" s="38">
        <f>ROUND(SUMIFS(Leads!T:T,Leads!$I:$I,Positivação!$I35,Leads!$G:$G,Positivação!$G35)*_xlfn.XLOOKUP($AB35,'Balizador da Meta'!$F$4:$F$9,'Balizador da Meta'!P$4:P$9),0)</f>
        <v>1</v>
      </c>
      <c r="V35" s="38">
        <f>ROUND(SUMIFS(Leads!U:U,Leads!$I:$I,Positivação!$I35,Leads!$G:$G,Positivação!$G35)*_xlfn.XLOOKUP($AB35,'Balizador da Meta'!$F$4:$F$9,'Balizador da Meta'!Q$4:Q$9),0)</f>
        <v>1</v>
      </c>
      <c r="W35" s="38">
        <f>ROUND(SUMIFS(Leads!V:V,Leads!$I:$I,Positivação!$I35,Leads!$G:$G,Positivação!$G35)*_xlfn.XLOOKUP($AB35,'Balizador da Meta'!$F$4:$F$9,'Balizador da Meta'!R$4:R$9),0)</f>
        <v>1</v>
      </c>
      <c r="X35" s="29"/>
      <c r="Y35" s="28">
        <f>IFERROR(SUMIFS('Historico - FAT'!AO:AO,'Historico - FAT'!I:I,Positivação!I35,'Historico - FAT'!G:G,Positivação!G35)/SUM(L35:T35),0)</f>
        <v>73.002222222222215</v>
      </c>
      <c r="Z35" s="28">
        <v>600</v>
      </c>
      <c r="AA35" s="29"/>
      <c r="AB35" s="38" t="s">
        <v>180</v>
      </c>
      <c r="AC35" s="29"/>
      <c r="AD35" s="38">
        <v>6</v>
      </c>
      <c r="AE35" s="38"/>
    </row>
    <row r="36" spans="1:31" x14ac:dyDescent="0.3">
      <c r="A36" s="2">
        <v>1000184670</v>
      </c>
      <c r="B36" s="2" t="s">
        <v>147</v>
      </c>
      <c r="C36" s="4"/>
      <c r="D36" s="4"/>
      <c r="E36" s="2">
        <v>1000184757</v>
      </c>
      <c r="F36" s="2" t="s">
        <v>62</v>
      </c>
      <c r="G36" s="4">
        <v>1000189789</v>
      </c>
      <c r="H36" s="4" t="s">
        <v>77</v>
      </c>
      <c r="I36" s="2">
        <v>1000189270</v>
      </c>
      <c r="J36" s="2" t="s">
        <v>34</v>
      </c>
      <c r="K36" s="2" t="str">
        <f t="shared" si="1"/>
        <v>100018467010001897891000189270</v>
      </c>
      <c r="L36" s="38">
        <f>ROUND(SUMIFS(Leads!K:K,Leads!$I:$I,Positivação!$I36,Leads!$G:$G,Positivação!$G36)*_xlfn.XLOOKUP($AB36,'Balizador da Meta'!$F$4:$F$9,'Balizador da Meta'!G$4:G$9),0)</f>
        <v>4</v>
      </c>
      <c r="M36" s="38">
        <f>ROUND(SUMIFS(Leads!L:L,Leads!$I:$I,Positivação!$I36,Leads!$G:$G,Positivação!$G36)*_xlfn.XLOOKUP($AB36,'Balizador da Meta'!$F$4:$F$9,'Balizador da Meta'!H$4:H$9),0)</f>
        <v>4</v>
      </c>
      <c r="N36" s="38">
        <f>ROUND(SUMIFS(Leads!M:M,Leads!$I:$I,Positivação!$I36,Leads!$G:$G,Positivação!$G36)*_xlfn.XLOOKUP($AB36,'Balizador da Meta'!$F$4:$F$9,'Balizador da Meta'!I$4:I$9),0)</f>
        <v>4</v>
      </c>
      <c r="O36" s="38">
        <f>ROUND(SUMIFS(Leads!N:N,Leads!$I:$I,Positivação!$I36,Leads!$G:$G,Positivação!$G36)*_xlfn.XLOOKUP($AB36,'Balizador da Meta'!$F$4:$F$9,'Balizador da Meta'!J$4:J$9),0)</f>
        <v>4</v>
      </c>
      <c r="P36" s="38">
        <f>ROUND(SUMIFS(Leads!O:O,Leads!$I:$I,Positivação!$I36,Leads!$G:$G,Positivação!$G36)*_xlfn.XLOOKUP($AB36,'Balizador da Meta'!$F$4:$F$9,'Balizador da Meta'!K$4:K$9),0)</f>
        <v>4</v>
      </c>
      <c r="Q36" s="38">
        <f>ROUND(SUMIFS(Leads!P:P,Leads!$I:$I,Positivação!$I36,Leads!$G:$G,Positivação!$G36)*_xlfn.XLOOKUP($AB36,'Balizador da Meta'!$F$4:$F$9,'Balizador da Meta'!L$4:L$9),0)</f>
        <v>4</v>
      </c>
      <c r="R36" s="38">
        <f>ROUND(SUMIFS(Leads!Q:Q,Leads!$I:$I,Positivação!$I36,Leads!$G:$G,Positivação!$G36)*_xlfn.XLOOKUP($AB36,'Balizador da Meta'!$F$4:$F$9,'Balizador da Meta'!M$4:M$9),0)</f>
        <v>4</v>
      </c>
      <c r="S36" s="38">
        <f>ROUND(SUMIFS(Leads!R:R,Leads!$I:$I,Positivação!$I36,Leads!$G:$G,Positivação!$G36)*_xlfn.XLOOKUP($AB36,'Balizador da Meta'!$F$4:$F$9,'Balizador da Meta'!N$4:N$9),0)</f>
        <v>4</v>
      </c>
      <c r="T36" s="38">
        <f>ROUND(SUMIFS(Leads!S:S,Leads!$I:$I,Positivação!$I36,Leads!$G:$G,Positivação!$G36)*_xlfn.XLOOKUP($AB36,'Balizador da Meta'!$F$4:$F$9,'Balizador da Meta'!O$4:O$9),0)</f>
        <v>4</v>
      </c>
      <c r="U36" s="38">
        <f>ROUND(SUMIFS(Leads!T:T,Leads!$I:$I,Positivação!$I36,Leads!$G:$G,Positivação!$G36)*_xlfn.XLOOKUP($AB36,'Balizador da Meta'!$F$4:$F$9,'Balizador da Meta'!P$4:P$9),0)</f>
        <v>4</v>
      </c>
      <c r="V36" s="38">
        <f>ROUND(SUMIFS(Leads!U:U,Leads!$I:$I,Positivação!$I36,Leads!$G:$G,Positivação!$G36)*_xlfn.XLOOKUP($AB36,'Balizador da Meta'!$F$4:$F$9,'Balizador da Meta'!Q$4:Q$9),0)</f>
        <v>4</v>
      </c>
      <c r="W36" s="38">
        <f>ROUND(SUMIFS(Leads!V:V,Leads!$I:$I,Positivação!$I36,Leads!$G:$G,Positivação!$G36)*_xlfn.XLOOKUP($AB36,'Balizador da Meta'!$F$4:$F$9,'Balizador da Meta'!R$4:R$9),0)</f>
        <v>4</v>
      </c>
      <c r="X36" s="29"/>
      <c r="Y36" s="28">
        <f>IFERROR(SUMIFS('Historico - FAT'!AO:AO,'Historico - FAT'!I:I,Positivação!I36,'Historico - FAT'!G:G,Positivação!G36)/SUM(L36:T36),0)</f>
        <v>2081.7091666666661</v>
      </c>
      <c r="Z36" s="28">
        <v>600</v>
      </c>
      <c r="AA36" s="29"/>
      <c r="AB36" s="38" t="s">
        <v>180</v>
      </c>
      <c r="AC36" s="29"/>
      <c r="AD36" s="38">
        <v>16</v>
      </c>
      <c r="AE36" s="38"/>
    </row>
    <row r="37" spans="1:31" x14ac:dyDescent="0.3">
      <c r="A37" s="2">
        <v>1000184670</v>
      </c>
      <c r="B37" s="2" t="s">
        <v>147</v>
      </c>
      <c r="C37" s="4"/>
      <c r="D37" s="4"/>
      <c r="E37" s="2">
        <v>1000184757</v>
      </c>
      <c r="F37" s="2" t="s">
        <v>62</v>
      </c>
      <c r="G37" s="4">
        <v>1000189790</v>
      </c>
      <c r="H37" s="4" t="s">
        <v>103</v>
      </c>
      <c r="I37" s="2">
        <v>1000189270</v>
      </c>
      <c r="J37" s="2" t="s">
        <v>34</v>
      </c>
      <c r="K37" s="2" t="str">
        <f t="shared" si="1"/>
        <v>100018467010001897901000189270</v>
      </c>
      <c r="L37" s="38">
        <f>ROUND(SUMIFS(Leads!K:K,Leads!$I:$I,Positivação!$I37,Leads!$G:$G,Positivação!$G37)*_xlfn.XLOOKUP($AB37,'Balizador da Meta'!$F$4:$F$9,'Balizador da Meta'!G$4:G$9),0)</f>
        <v>1</v>
      </c>
      <c r="M37" s="38">
        <f>ROUND(SUMIFS(Leads!L:L,Leads!$I:$I,Positivação!$I37,Leads!$G:$G,Positivação!$G37)*_xlfn.XLOOKUP($AB37,'Balizador da Meta'!$F$4:$F$9,'Balizador da Meta'!H$4:H$9),0)</f>
        <v>1</v>
      </c>
      <c r="N37" s="38">
        <f>ROUND(SUMIFS(Leads!M:M,Leads!$I:$I,Positivação!$I37,Leads!$G:$G,Positivação!$G37)*_xlfn.XLOOKUP($AB37,'Balizador da Meta'!$F$4:$F$9,'Balizador da Meta'!I$4:I$9),0)</f>
        <v>1</v>
      </c>
      <c r="O37" s="38">
        <f>ROUND(SUMIFS(Leads!N:N,Leads!$I:$I,Positivação!$I37,Leads!$G:$G,Positivação!$G37)*_xlfn.XLOOKUP($AB37,'Balizador da Meta'!$F$4:$F$9,'Balizador da Meta'!J$4:J$9),0)</f>
        <v>1</v>
      </c>
      <c r="P37" s="38">
        <f>ROUND(SUMIFS(Leads!O:O,Leads!$I:$I,Positivação!$I37,Leads!$G:$G,Positivação!$G37)*_xlfn.XLOOKUP($AB37,'Balizador da Meta'!$F$4:$F$9,'Balizador da Meta'!K$4:K$9),0)</f>
        <v>1</v>
      </c>
      <c r="Q37" s="38">
        <f>ROUND(SUMIFS(Leads!P:P,Leads!$I:$I,Positivação!$I37,Leads!$G:$G,Positivação!$G37)*_xlfn.XLOOKUP($AB37,'Balizador da Meta'!$F$4:$F$9,'Balizador da Meta'!L$4:L$9),0)</f>
        <v>1</v>
      </c>
      <c r="R37" s="38">
        <f>ROUND(SUMIFS(Leads!Q:Q,Leads!$I:$I,Positivação!$I37,Leads!$G:$G,Positivação!$G37)*_xlfn.XLOOKUP($AB37,'Balizador da Meta'!$F$4:$F$9,'Balizador da Meta'!M$4:M$9),0)</f>
        <v>1</v>
      </c>
      <c r="S37" s="38">
        <f>ROUND(SUMIFS(Leads!R:R,Leads!$I:$I,Positivação!$I37,Leads!$G:$G,Positivação!$G37)*_xlfn.XLOOKUP($AB37,'Balizador da Meta'!$F$4:$F$9,'Balizador da Meta'!N$4:N$9),0)</f>
        <v>1</v>
      </c>
      <c r="T37" s="38">
        <f>ROUND(SUMIFS(Leads!S:S,Leads!$I:$I,Positivação!$I37,Leads!$G:$G,Positivação!$G37)*_xlfn.XLOOKUP($AB37,'Balizador da Meta'!$F$4:$F$9,'Balizador da Meta'!O$4:O$9),0)</f>
        <v>1</v>
      </c>
      <c r="U37" s="38">
        <f>ROUND(SUMIFS(Leads!T:T,Leads!$I:$I,Positivação!$I37,Leads!$G:$G,Positivação!$G37)*_xlfn.XLOOKUP($AB37,'Balizador da Meta'!$F$4:$F$9,'Balizador da Meta'!P$4:P$9),0)</f>
        <v>1</v>
      </c>
      <c r="V37" s="38">
        <f>ROUND(SUMIFS(Leads!U:U,Leads!$I:$I,Positivação!$I37,Leads!$G:$G,Positivação!$G37)*_xlfn.XLOOKUP($AB37,'Balizador da Meta'!$F$4:$F$9,'Balizador da Meta'!Q$4:Q$9),0)</f>
        <v>1</v>
      </c>
      <c r="W37" s="38">
        <f>ROUND(SUMIFS(Leads!V:V,Leads!$I:$I,Positivação!$I37,Leads!$G:$G,Positivação!$G37)*_xlfn.XLOOKUP($AB37,'Balizador da Meta'!$F$4:$F$9,'Balizador da Meta'!R$4:R$9),0)</f>
        <v>1</v>
      </c>
      <c r="X37" s="29"/>
      <c r="Y37" s="28">
        <f>IFERROR(SUMIFS('Historico - FAT'!AO:AO,'Historico - FAT'!I:I,Positivação!I37,'Historico - FAT'!G:G,Positivação!G37)/SUM(L37:T37),0)</f>
        <v>1060.7344444444445</v>
      </c>
      <c r="Z37" s="28">
        <v>600</v>
      </c>
      <c r="AA37" s="29"/>
      <c r="AB37" s="38" t="s">
        <v>180</v>
      </c>
      <c r="AC37" s="29"/>
      <c r="AD37" s="38">
        <v>7</v>
      </c>
      <c r="AE37" s="38"/>
    </row>
    <row r="38" spans="1:31" x14ac:dyDescent="0.3">
      <c r="A38" s="2">
        <v>1000184670</v>
      </c>
      <c r="B38" s="2" t="s">
        <v>147</v>
      </c>
      <c r="C38" s="4"/>
      <c r="D38" s="4"/>
      <c r="E38" s="2">
        <v>1000184757</v>
      </c>
      <c r="F38" s="2" t="s">
        <v>62</v>
      </c>
      <c r="G38" s="4">
        <v>1000189791</v>
      </c>
      <c r="H38" s="4" t="s">
        <v>78</v>
      </c>
      <c r="I38" s="2">
        <v>1000189270</v>
      </c>
      <c r="J38" s="2" t="s">
        <v>34</v>
      </c>
      <c r="K38" s="2" t="str">
        <f t="shared" si="1"/>
        <v>100018467010001897911000189270</v>
      </c>
      <c r="L38" s="38">
        <f>ROUND(SUMIFS(Leads!K:K,Leads!$I:$I,Positivação!$I38,Leads!$G:$G,Positivação!$G38)*_xlfn.XLOOKUP($AB38,'Balizador da Meta'!$F$4:$F$9,'Balizador da Meta'!G$4:G$9),0)</f>
        <v>2</v>
      </c>
      <c r="M38" s="38">
        <f>ROUND(SUMIFS(Leads!L:L,Leads!$I:$I,Positivação!$I38,Leads!$G:$G,Positivação!$G38)*_xlfn.XLOOKUP($AB38,'Balizador da Meta'!$F$4:$F$9,'Balizador da Meta'!H$4:H$9),0)</f>
        <v>2</v>
      </c>
      <c r="N38" s="38">
        <f>ROUND(SUMIFS(Leads!M:M,Leads!$I:$I,Positivação!$I38,Leads!$G:$G,Positivação!$G38)*_xlfn.XLOOKUP($AB38,'Balizador da Meta'!$F$4:$F$9,'Balizador da Meta'!I$4:I$9),0)</f>
        <v>2</v>
      </c>
      <c r="O38" s="38">
        <f>ROUND(SUMIFS(Leads!N:N,Leads!$I:$I,Positivação!$I38,Leads!$G:$G,Positivação!$G38)*_xlfn.XLOOKUP($AB38,'Balizador da Meta'!$F$4:$F$9,'Balizador da Meta'!J$4:J$9),0)</f>
        <v>2</v>
      </c>
      <c r="P38" s="38">
        <f>ROUND(SUMIFS(Leads!O:O,Leads!$I:$I,Positivação!$I38,Leads!$G:$G,Positivação!$G38)*_xlfn.XLOOKUP($AB38,'Balizador da Meta'!$F$4:$F$9,'Balizador da Meta'!K$4:K$9),0)</f>
        <v>2</v>
      </c>
      <c r="Q38" s="38">
        <f>ROUND(SUMIFS(Leads!P:P,Leads!$I:$I,Positivação!$I38,Leads!$G:$G,Positivação!$G38)*_xlfn.XLOOKUP($AB38,'Balizador da Meta'!$F$4:$F$9,'Balizador da Meta'!L$4:L$9),0)</f>
        <v>2</v>
      </c>
      <c r="R38" s="38">
        <f>ROUND(SUMIFS(Leads!Q:Q,Leads!$I:$I,Positivação!$I38,Leads!$G:$G,Positivação!$G38)*_xlfn.XLOOKUP($AB38,'Balizador da Meta'!$F$4:$F$9,'Balizador da Meta'!M$4:M$9),0)</f>
        <v>2</v>
      </c>
      <c r="S38" s="38">
        <f>ROUND(SUMIFS(Leads!R:R,Leads!$I:$I,Positivação!$I38,Leads!$G:$G,Positivação!$G38)*_xlfn.XLOOKUP($AB38,'Balizador da Meta'!$F$4:$F$9,'Balizador da Meta'!N$4:N$9),0)</f>
        <v>2</v>
      </c>
      <c r="T38" s="38">
        <f>ROUND(SUMIFS(Leads!S:S,Leads!$I:$I,Positivação!$I38,Leads!$G:$G,Positivação!$G38)*_xlfn.XLOOKUP($AB38,'Balizador da Meta'!$F$4:$F$9,'Balizador da Meta'!O$4:O$9),0)</f>
        <v>2</v>
      </c>
      <c r="U38" s="38">
        <f>ROUND(SUMIFS(Leads!T:T,Leads!$I:$I,Positivação!$I38,Leads!$G:$G,Positivação!$G38)*_xlfn.XLOOKUP($AB38,'Balizador da Meta'!$F$4:$F$9,'Balizador da Meta'!P$4:P$9),0)</f>
        <v>2</v>
      </c>
      <c r="V38" s="38">
        <f>ROUND(SUMIFS(Leads!U:U,Leads!$I:$I,Positivação!$I38,Leads!$G:$G,Positivação!$G38)*_xlfn.XLOOKUP($AB38,'Balizador da Meta'!$F$4:$F$9,'Balizador da Meta'!Q$4:Q$9),0)</f>
        <v>2</v>
      </c>
      <c r="W38" s="38">
        <f>ROUND(SUMIFS(Leads!V:V,Leads!$I:$I,Positivação!$I38,Leads!$G:$G,Positivação!$G38)*_xlfn.XLOOKUP($AB38,'Balizador da Meta'!$F$4:$F$9,'Balizador da Meta'!R$4:R$9),0)</f>
        <v>2</v>
      </c>
      <c r="X38" s="29"/>
      <c r="Y38" s="28">
        <f>IFERROR(SUMIFS('Historico - FAT'!AO:AO,'Historico - FAT'!I:I,Positivação!I38,'Historico - FAT'!G:G,Positivação!G38)/SUM(L38:T38),0)</f>
        <v>363.55888888888893</v>
      </c>
      <c r="Z38" s="28">
        <v>600</v>
      </c>
      <c r="AA38" s="29"/>
      <c r="AB38" s="38" t="s">
        <v>180</v>
      </c>
      <c r="AC38" s="29"/>
      <c r="AD38" s="38">
        <v>11</v>
      </c>
      <c r="AE38" s="38"/>
    </row>
    <row r="39" spans="1:31" x14ac:dyDescent="0.3">
      <c r="A39" s="2">
        <v>1000184670</v>
      </c>
      <c r="B39" s="2" t="s">
        <v>147</v>
      </c>
      <c r="C39" s="4"/>
      <c r="D39" s="4"/>
      <c r="E39" s="2">
        <v>1000184757</v>
      </c>
      <c r="F39" s="2" t="s">
        <v>62</v>
      </c>
      <c r="G39" s="4">
        <v>1000189800</v>
      </c>
      <c r="H39" s="4" t="s">
        <v>95</v>
      </c>
      <c r="I39" s="2">
        <v>1000189270</v>
      </c>
      <c r="J39" s="2" t="s">
        <v>34</v>
      </c>
      <c r="K39" s="2" t="str">
        <f t="shared" si="1"/>
        <v>100018467010001898001000189270</v>
      </c>
      <c r="L39" s="38">
        <f>ROUND(SUMIFS(Leads!K:K,Leads!$I:$I,Positivação!$I39,Leads!$G:$G,Positivação!$G39)*_xlfn.XLOOKUP($AB39,'Balizador da Meta'!$F$4:$F$9,'Balizador da Meta'!G$4:G$9),0)</f>
        <v>5</v>
      </c>
      <c r="M39" s="38">
        <f>ROUND(SUMIFS(Leads!L:L,Leads!$I:$I,Positivação!$I39,Leads!$G:$G,Positivação!$G39)*_xlfn.XLOOKUP($AB39,'Balizador da Meta'!$F$4:$F$9,'Balizador da Meta'!H$4:H$9),0)</f>
        <v>5</v>
      </c>
      <c r="N39" s="38">
        <f>ROUND(SUMIFS(Leads!M:M,Leads!$I:$I,Positivação!$I39,Leads!$G:$G,Positivação!$G39)*_xlfn.XLOOKUP($AB39,'Balizador da Meta'!$F$4:$F$9,'Balizador da Meta'!I$4:I$9),0)</f>
        <v>5</v>
      </c>
      <c r="O39" s="38">
        <f>ROUND(SUMIFS(Leads!N:N,Leads!$I:$I,Positivação!$I39,Leads!$G:$G,Positivação!$G39)*_xlfn.XLOOKUP($AB39,'Balizador da Meta'!$F$4:$F$9,'Balizador da Meta'!J$4:J$9),0)</f>
        <v>5</v>
      </c>
      <c r="P39" s="38">
        <f>ROUND(SUMIFS(Leads!O:O,Leads!$I:$I,Positivação!$I39,Leads!$G:$G,Positivação!$G39)*_xlfn.XLOOKUP($AB39,'Balizador da Meta'!$F$4:$F$9,'Balizador da Meta'!K$4:K$9),0)</f>
        <v>5</v>
      </c>
      <c r="Q39" s="38">
        <f>ROUND(SUMIFS(Leads!P:P,Leads!$I:$I,Positivação!$I39,Leads!$G:$G,Positivação!$G39)*_xlfn.XLOOKUP($AB39,'Balizador da Meta'!$F$4:$F$9,'Balizador da Meta'!L$4:L$9),0)</f>
        <v>5</v>
      </c>
      <c r="R39" s="38">
        <f>ROUND(SUMIFS(Leads!Q:Q,Leads!$I:$I,Positivação!$I39,Leads!$G:$G,Positivação!$G39)*_xlfn.XLOOKUP($AB39,'Balizador da Meta'!$F$4:$F$9,'Balizador da Meta'!M$4:M$9),0)</f>
        <v>5</v>
      </c>
      <c r="S39" s="38">
        <f>ROUND(SUMIFS(Leads!R:R,Leads!$I:$I,Positivação!$I39,Leads!$G:$G,Positivação!$G39)*_xlfn.XLOOKUP($AB39,'Balizador da Meta'!$F$4:$F$9,'Balizador da Meta'!N$4:N$9),0)</f>
        <v>5</v>
      </c>
      <c r="T39" s="38">
        <f>ROUND(SUMIFS(Leads!S:S,Leads!$I:$I,Positivação!$I39,Leads!$G:$G,Positivação!$G39)*_xlfn.XLOOKUP($AB39,'Balizador da Meta'!$F$4:$F$9,'Balizador da Meta'!O$4:O$9),0)</f>
        <v>5</v>
      </c>
      <c r="U39" s="38">
        <f>ROUND(SUMIFS(Leads!T:T,Leads!$I:$I,Positivação!$I39,Leads!$G:$G,Positivação!$G39)*_xlfn.XLOOKUP($AB39,'Balizador da Meta'!$F$4:$F$9,'Balizador da Meta'!P$4:P$9),0)</f>
        <v>5</v>
      </c>
      <c r="V39" s="38">
        <f>ROUND(SUMIFS(Leads!U:U,Leads!$I:$I,Positivação!$I39,Leads!$G:$G,Positivação!$G39)*_xlfn.XLOOKUP($AB39,'Balizador da Meta'!$F$4:$F$9,'Balizador da Meta'!Q$4:Q$9),0)</f>
        <v>5</v>
      </c>
      <c r="W39" s="38">
        <f>ROUND(SUMIFS(Leads!V:V,Leads!$I:$I,Positivação!$I39,Leads!$G:$G,Positivação!$G39)*_xlfn.XLOOKUP($AB39,'Balizador da Meta'!$F$4:$F$9,'Balizador da Meta'!R$4:R$9),0)</f>
        <v>5</v>
      </c>
      <c r="X39" s="29"/>
      <c r="Y39" s="28">
        <f>IFERROR(SUMIFS('Historico - FAT'!AO:AO,'Historico - FAT'!I:I,Positivação!I39,'Historico - FAT'!G:G,Positivação!G39)/SUM(L39:T39),0)</f>
        <v>48.061999999999998</v>
      </c>
      <c r="Z39" s="28">
        <v>600</v>
      </c>
      <c r="AA39" s="29"/>
      <c r="AB39" s="38" t="s">
        <v>180</v>
      </c>
      <c r="AC39" s="29"/>
      <c r="AD39" s="38">
        <v>23</v>
      </c>
      <c r="AE39" s="38"/>
    </row>
    <row r="40" spans="1:31" x14ac:dyDescent="0.3">
      <c r="A40" s="2">
        <v>1000184670</v>
      </c>
      <c r="B40" s="2" t="s">
        <v>147</v>
      </c>
      <c r="C40" s="4"/>
      <c r="D40" s="4"/>
      <c r="E40" s="2">
        <v>1000184757</v>
      </c>
      <c r="F40" s="2" t="s">
        <v>62</v>
      </c>
      <c r="G40" s="4">
        <v>1000189811</v>
      </c>
      <c r="H40" s="4" t="s">
        <v>76</v>
      </c>
      <c r="I40" s="2">
        <v>1000189270</v>
      </c>
      <c r="J40" s="2" t="s">
        <v>34</v>
      </c>
      <c r="K40" s="2" t="str">
        <f t="shared" si="1"/>
        <v>100018467010001898111000189270</v>
      </c>
      <c r="L40" s="38">
        <f>ROUND(SUMIFS(Leads!K:K,Leads!$I:$I,Positivação!$I40,Leads!$G:$G,Positivação!$G40)*_xlfn.XLOOKUP($AB40,'Balizador da Meta'!$F$4:$F$9,'Balizador da Meta'!G$4:G$9),0)</f>
        <v>1</v>
      </c>
      <c r="M40" s="38">
        <f>ROUND(SUMIFS(Leads!L:L,Leads!$I:$I,Positivação!$I40,Leads!$G:$G,Positivação!$G40)*_xlfn.XLOOKUP($AB40,'Balizador da Meta'!$F$4:$F$9,'Balizador da Meta'!H$4:H$9),0)</f>
        <v>1</v>
      </c>
      <c r="N40" s="38">
        <f>ROUND(SUMIFS(Leads!M:M,Leads!$I:$I,Positivação!$I40,Leads!$G:$G,Positivação!$G40)*_xlfn.XLOOKUP($AB40,'Balizador da Meta'!$F$4:$F$9,'Balizador da Meta'!I$4:I$9),0)</f>
        <v>1</v>
      </c>
      <c r="O40" s="38">
        <f>ROUND(SUMIFS(Leads!N:N,Leads!$I:$I,Positivação!$I40,Leads!$G:$G,Positivação!$G40)*_xlfn.XLOOKUP($AB40,'Balizador da Meta'!$F$4:$F$9,'Balizador da Meta'!J$4:J$9),0)</f>
        <v>1</v>
      </c>
      <c r="P40" s="38">
        <f>ROUND(SUMIFS(Leads!O:O,Leads!$I:$I,Positivação!$I40,Leads!$G:$G,Positivação!$G40)*_xlfn.XLOOKUP($AB40,'Balizador da Meta'!$F$4:$F$9,'Balizador da Meta'!K$4:K$9),0)</f>
        <v>1</v>
      </c>
      <c r="Q40" s="38">
        <f>ROUND(SUMIFS(Leads!P:P,Leads!$I:$I,Positivação!$I40,Leads!$G:$G,Positivação!$G40)*_xlfn.XLOOKUP($AB40,'Balizador da Meta'!$F$4:$F$9,'Balizador da Meta'!L$4:L$9),0)</f>
        <v>1</v>
      </c>
      <c r="R40" s="38">
        <f>ROUND(SUMIFS(Leads!Q:Q,Leads!$I:$I,Positivação!$I40,Leads!$G:$G,Positivação!$G40)*_xlfn.XLOOKUP($AB40,'Balizador da Meta'!$F$4:$F$9,'Balizador da Meta'!M$4:M$9),0)</f>
        <v>1</v>
      </c>
      <c r="S40" s="38">
        <f>ROUND(SUMIFS(Leads!R:R,Leads!$I:$I,Positivação!$I40,Leads!$G:$G,Positivação!$G40)*_xlfn.XLOOKUP($AB40,'Balizador da Meta'!$F$4:$F$9,'Balizador da Meta'!N$4:N$9),0)</f>
        <v>1</v>
      </c>
      <c r="T40" s="38">
        <f>ROUND(SUMIFS(Leads!S:S,Leads!$I:$I,Positivação!$I40,Leads!$G:$G,Positivação!$G40)*_xlfn.XLOOKUP($AB40,'Balizador da Meta'!$F$4:$F$9,'Balizador da Meta'!O$4:O$9),0)</f>
        <v>1</v>
      </c>
      <c r="U40" s="38">
        <f>ROUND(SUMIFS(Leads!T:T,Leads!$I:$I,Positivação!$I40,Leads!$G:$G,Positivação!$G40)*_xlfn.XLOOKUP($AB40,'Balizador da Meta'!$F$4:$F$9,'Balizador da Meta'!P$4:P$9),0)</f>
        <v>1</v>
      </c>
      <c r="V40" s="38">
        <f>ROUND(SUMIFS(Leads!U:U,Leads!$I:$I,Positivação!$I40,Leads!$G:$G,Positivação!$G40)*_xlfn.XLOOKUP($AB40,'Balizador da Meta'!$F$4:$F$9,'Balizador da Meta'!Q$4:Q$9),0)</f>
        <v>1</v>
      </c>
      <c r="W40" s="38">
        <f>ROUND(SUMIFS(Leads!V:V,Leads!$I:$I,Positivação!$I40,Leads!$G:$G,Positivação!$G40)*_xlfn.XLOOKUP($AB40,'Balizador da Meta'!$F$4:$F$9,'Balizador da Meta'!R$4:R$9),0)</f>
        <v>1</v>
      </c>
      <c r="X40" s="29"/>
      <c r="Y40" s="28">
        <f>IFERROR(SUMIFS('Historico - FAT'!AO:AO,'Historico - FAT'!I:I,Positivação!I40,'Historico - FAT'!G:G,Positivação!G40)/SUM(L40:T40),0)</f>
        <v>0</v>
      </c>
      <c r="Z40" s="28">
        <v>600</v>
      </c>
      <c r="AA40" s="29"/>
      <c r="AB40" s="38" t="s">
        <v>180</v>
      </c>
      <c r="AC40" s="29"/>
      <c r="AD40" s="38">
        <v>4</v>
      </c>
      <c r="AE40" s="38"/>
    </row>
    <row r="41" spans="1:31" x14ac:dyDescent="0.3">
      <c r="A41" s="2">
        <v>1000184670</v>
      </c>
      <c r="B41" s="2" t="s">
        <v>147</v>
      </c>
      <c r="C41" s="4"/>
      <c r="D41" s="4"/>
      <c r="E41" s="2">
        <v>1000184758</v>
      </c>
      <c r="F41" s="2" t="s">
        <v>55</v>
      </c>
      <c r="G41" s="4">
        <v>1000189764</v>
      </c>
      <c r="H41" s="4" t="s">
        <v>83</v>
      </c>
      <c r="I41" s="2">
        <v>1000189270</v>
      </c>
      <c r="J41" s="2" t="s">
        <v>34</v>
      </c>
      <c r="K41" s="2" t="str">
        <f t="shared" si="1"/>
        <v>100018467010001897641000189270</v>
      </c>
      <c r="L41" s="38">
        <f>ROUND(SUMIFS(Leads!K:K,Leads!$I:$I,Positivação!$I41,Leads!$G:$G,Positivação!$G41)*_xlfn.XLOOKUP($AB41,'Balizador da Meta'!$F$4:$F$9,'Balizador da Meta'!G$4:G$9),0)</f>
        <v>0</v>
      </c>
      <c r="M41" s="38">
        <f>ROUND(SUMIFS(Leads!L:L,Leads!$I:$I,Positivação!$I41,Leads!$G:$G,Positivação!$G41)*_xlfn.XLOOKUP($AB41,'Balizador da Meta'!$F$4:$F$9,'Balizador da Meta'!H$4:H$9),0)</f>
        <v>0</v>
      </c>
      <c r="N41" s="38">
        <f>ROUND(SUMIFS(Leads!M:M,Leads!$I:$I,Positivação!$I41,Leads!$G:$G,Positivação!$G41)*_xlfn.XLOOKUP($AB41,'Balizador da Meta'!$F$4:$F$9,'Balizador da Meta'!I$4:I$9),0)</f>
        <v>0</v>
      </c>
      <c r="O41" s="38">
        <f>ROUND(SUMIFS(Leads!N:N,Leads!$I:$I,Positivação!$I41,Leads!$G:$G,Positivação!$G41)*_xlfn.XLOOKUP($AB41,'Balizador da Meta'!$F$4:$F$9,'Balizador da Meta'!J$4:J$9),0)</f>
        <v>0</v>
      </c>
      <c r="P41" s="38">
        <f>ROUND(SUMIFS(Leads!O:O,Leads!$I:$I,Positivação!$I41,Leads!$G:$G,Positivação!$G41)*_xlfn.XLOOKUP($AB41,'Balizador da Meta'!$F$4:$F$9,'Balizador da Meta'!K$4:K$9),0)</f>
        <v>0</v>
      </c>
      <c r="Q41" s="38">
        <f>ROUND(SUMIFS(Leads!P:P,Leads!$I:$I,Positivação!$I41,Leads!$G:$G,Positivação!$G41)*_xlfn.XLOOKUP($AB41,'Balizador da Meta'!$F$4:$F$9,'Balizador da Meta'!L$4:L$9),0)</f>
        <v>0</v>
      </c>
      <c r="R41" s="38">
        <f>ROUND(SUMIFS(Leads!Q:Q,Leads!$I:$I,Positivação!$I41,Leads!$G:$G,Positivação!$G41)*_xlfn.XLOOKUP($AB41,'Balizador da Meta'!$F$4:$F$9,'Balizador da Meta'!M$4:M$9),0)</f>
        <v>0</v>
      </c>
      <c r="S41" s="38">
        <f>ROUND(SUMIFS(Leads!R:R,Leads!$I:$I,Positivação!$I41,Leads!$G:$G,Positivação!$G41)*_xlfn.XLOOKUP($AB41,'Balizador da Meta'!$F$4:$F$9,'Balizador da Meta'!N$4:N$9),0)</f>
        <v>0</v>
      </c>
      <c r="T41" s="38">
        <f>ROUND(SUMIFS(Leads!S:S,Leads!$I:$I,Positivação!$I41,Leads!$G:$G,Positivação!$G41)*_xlfn.XLOOKUP($AB41,'Balizador da Meta'!$F$4:$F$9,'Balizador da Meta'!O$4:O$9),0)</f>
        <v>0</v>
      </c>
      <c r="U41" s="38">
        <f>ROUND(SUMIFS(Leads!T:T,Leads!$I:$I,Positivação!$I41,Leads!$G:$G,Positivação!$G41)*_xlfn.XLOOKUP($AB41,'Balizador da Meta'!$F$4:$F$9,'Balizador da Meta'!P$4:P$9),0)</f>
        <v>0</v>
      </c>
      <c r="V41" s="38">
        <f>ROUND(SUMIFS(Leads!U:U,Leads!$I:$I,Positivação!$I41,Leads!$G:$G,Positivação!$G41)*_xlfn.XLOOKUP($AB41,'Balizador da Meta'!$F$4:$F$9,'Balizador da Meta'!Q$4:Q$9),0)</f>
        <v>0</v>
      </c>
      <c r="W41" s="38">
        <f>ROUND(SUMIFS(Leads!V:V,Leads!$I:$I,Positivação!$I41,Leads!$G:$G,Positivação!$G41)*_xlfn.XLOOKUP($AB41,'Balizador da Meta'!$F$4:$F$9,'Balizador da Meta'!R$4:R$9),0)</f>
        <v>0</v>
      </c>
      <c r="X41" s="29"/>
      <c r="Y41" s="28">
        <f>IFERROR(SUMIFS('Historico - FAT'!AO:AO,'Historico - FAT'!I:I,Positivação!I41,'Historico - FAT'!G:G,Positivação!G41)/SUM(L41:T41),0)</f>
        <v>0</v>
      </c>
      <c r="Z41" s="28">
        <v>600</v>
      </c>
      <c r="AA41" s="29"/>
      <c r="AB41" s="38" t="s">
        <v>180</v>
      </c>
      <c r="AC41" s="29"/>
      <c r="AD41" s="38">
        <v>0</v>
      </c>
      <c r="AE41" s="38"/>
    </row>
    <row r="42" spans="1:31" x14ac:dyDescent="0.3">
      <c r="A42" s="2">
        <v>1000184670</v>
      </c>
      <c r="B42" s="2" t="s">
        <v>147</v>
      </c>
      <c r="C42" s="4"/>
      <c r="D42" s="4"/>
      <c r="E42" s="2">
        <v>1000184758</v>
      </c>
      <c r="F42" s="2" t="s">
        <v>55</v>
      </c>
      <c r="G42" s="4">
        <v>1000189766</v>
      </c>
      <c r="H42" s="4" t="s">
        <v>69</v>
      </c>
      <c r="I42" s="2">
        <v>1000189270</v>
      </c>
      <c r="J42" s="2" t="s">
        <v>34</v>
      </c>
      <c r="K42" s="2" t="str">
        <f t="shared" si="1"/>
        <v>100018467010001897661000189270</v>
      </c>
      <c r="L42" s="38">
        <f>ROUND(SUMIFS(Leads!K:K,Leads!$I:$I,Positivação!$I42,Leads!$G:$G,Positivação!$G42)*_xlfn.XLOOKUP($AB42,'Balizador da Meta'!$F$4:$F$9,'Balizador da Meta'!G$4:G$9),0)</f>
        <v>1</v>
      </c>
      <c r="M42" s="38">
        <f>ROUND(SUMIFS(Leads!L:L,Leads!$I:$I,Positivação!$I42,Leads!$G:$G,Positivação!$G42)*_xlfn.XLOOKUP($AB42,'Balizador da Meta'!$F$4:$F$9,'Balizador da Meta'!H$4:H$9),0)</f>
        <v>1</v>
      </c>
      <c r="N42" s="38">
        <f>ROUND(SUMIFS(Leads!M:M,Leads!$I:$I,Positivação!$I42,Leads!$G:$G,Positivação!$G42)*_xlfn.XLOOKUP($AB42,'Balizador da Meta'!$F$4:$F$9,'Balizador da Meta'!I$4:I$9),0)</f>
        <v>1</v>
      </c>
      <c r="O42" s="38">
        <f>ROUND(SUMIFS(Leads!N:N,Leads!$I:$I,Positivação!$I42,Leads!$G:$G,Positivação!$G42)*_xlfn.XLOOKUP($AB42,'Balizador da Meta'!$F$4:$F$9,'Balizador da Meta'!J$4:J$9),0)</f>
        <v>1</v>
      </c>
      <c r="P42" s="38">
        <f>ROUND(SUMIFS(Leads!O:O,Leads!$I:$I,Positivação!$I42,Leads!$G:$G,Positivação!$G42)*_xlfn.XLOOKUP($AB42,'Balizador da Meta'!$F$4:$F$9,'Balizador da Meta'!K$4:K$9),0)</f>
        <v>1</v>
      </c>
      <c r="Q42" s="38">
        <f>ROUND(SUMIFS(Leads!P:P,Leads!$I:$I,Positivação!$I42,Leads!$G:$G,Positivação!$G42)*_xlfn.XLOOKUP($AB42,'Balizador da Meta'!$F$4:$F$9,'Balizador da Meta'!L$4:L$9),0)</f>
        <v>1</v>
      </c>
      <c r="R42" s="38">
        <f>ROUND(SUMIFS(Leads!Q:Q,Leads!$I:$I,Positivação!$I42,Leads!$G:$G,Positivação!$G42)*_xlfn.XLOOKUP($AB42,'Balizador da Meta'!$F$4:$F$9,'Balizador da Meta'!M$4:M$9),0)</f>
        <v>1</v>
      </c>
      <c r="S42" s="38">
        <f>ROUND(SUMIFS(Leads!R:R,Leads!$I:$I,Positivação!$I42,Leads!$G:$G,Positivação!$G42)*_xlfn.XLOOKUP($AB42,'Balizador da Meta'!$F$4:$F$9,'Balizador da Meta'!N$4:N$9),0)</f>
        <v>1</v>
      </c>
      <c r="T42" s="38">
        <f>ROUND(SUMIFS(Leads!S:S,Leads!$I:$I,Positivação!$I42,Leads!$G:$G,Positivação!$G42)*_xlfn.XLOOKUP($AB42,'Balizador da Meta'!$F$4:$F$9,'Balizador da Meta'!O$4:O$9),0)</f>
        <v>1</v>
      </c>
      <c r="U42" s="38">
        <f>ROUND(SUMIFS(Leads!T:T,Leads!$I:$I,Positivação!$I42,Leads!$G:$G,Positivação!$G42)*_xlfn.XLOOKUP($AB42,'Balizador da Meta'!$F$4:$F$9,'Balizador da Meta'!P$4:P$9),0)</f>
        <v>1</v>
      </c>
      <c r="V42" s="38">
        <f>ROUND(SUMIFS(Leads!U:U,Leads!$I:$I,Positivação!$I42,Leads!$G:$G,Positivação!$G42)*_xlfn.XLOOKUP($AB42,'Balizador da Meta'!$F$4:$F$9,'Balizador da Meta'!Q$4:Q$9),0)</f>
        <v>1</v>
      </c>
      <c r="W42" s="38">
        <f>ROUND(SUMIFS(Leads!V:V,Leads!$I:$I,Positivação!$I42,Leads!$G:$G,Positivação!$G42)*_xlfn.XLOOKUP($AB42,'Balizador da Meta'!$F$4:$F$9,'Balizador da Meta'!R$4:R$9),0)</f>
        <v>1</v>
      </c>
      <c r="X42" s="29"/>
      <c r="Y42" s="28">
        <f>IFERROR(SUMIFS('Historico - FAT'!AO:AO,'Historico - FAT'!I:I,Positivação!I42,'Historico - FAT'!G:G,Positivação!G42)/SUM(L42:T42),0)</f>
        <v>0</v>
      </c>
      <c r="Z42" s="28">
        <v>600</v>
      </c>
      <c r="AA42" s="29"/>
      <c r="AB42" s="38" t="s">
        <v>180</v>
      </c>
      <c r="AC42" s="29"/>
      <c r="AD42" s="38">
        <v>4</v>
      </c>
      <c r="AE42" s="38"/>
    </row>
    <row r="43" spans="1:31" x14ac:dyDescent="0.3">
      <c r="A43" s="2">
        <v>1000184670</v>
      </c>
      <c r="B43" s="2" t="s">
        <v>147</v>
      </c>
      <c r="C43" s="4"/>
      <c r="D43" s="4"/>
      <c r="E43" s="2">
        <v>1000184758</v>
      </c>
      <c r="F43" s="2" t="s">
        <v>55</v>
      </c>
      <c r="G43" s="4">
        <v>1000189767</v>
      </c>
      <c r="H43" s="4" t="s">
        <v>90</v>
      </c>
      <c r="I43" s="2">
        <v>1000189270</v>
      </c>
      <c r="J43" s="2" t="s">
        <v>34</v>
      </c>
      <c r="K43" s="2" t="str">
        <f t="shared" si="1"/>
        <v>100018467010001897671000189270</v>
      </c>
      <c r="L43" s="38">
        <f>ROUND(SUMIFS(Leads!K:K,Leads!$I:$I,Positivação!$I43,Leads!$G:$G,Positivação!$G43)*_xlfn.XLOOKUP($AB43,'Balizador da Meta'!$F$4:$F$9,'Balizador da Meta'!G$4:G$9),0)</f>
        <v>0</v>
      </c>
      <c r="M43" s="38">
        <f>ROUND(SUMIFS(Leads!L:L,Leads!$I:$I,Positivação!$I43,Leads!$G:$G,Positivação!$G43)*_xlfn.XLOOKUP($AB43,'Balizador da Meta'!$F$4:$F$9,'Balizador da Meta'!H$4:H$9),0)</f>
        <v>0</v>
      </c>
      <c r="N43" s="38">
        <f>ROUND(SUMIFS(Leads!M:M,Leads!$I:$I,Positivação!$I43,Leads!$G:$G,Positivação!$G43)*_xlfn.XLOOKUP($AB43,'Balizador da Meta'!$F$4:$F$9,'Balizador da Meta'!I$4:I$9),0)</f>
        <v>0</v>
      </c>
      <c r="O43" s="38">
        <f>ROUND(SUMIFS(Leads!N:N,Leads!$I:$I,Positivação!$I43,Leads!$G:$G,Positivação!$G43)*_xlfn.XLOOKUP($AB43,'Balizador da Meta'!$F$4:$F$9,'Balizador da Meta'!J$4:J$9),0)</f>
        <v>0</v>
      </c>
      <c r="P43" s="38">
        <f>ROUND(SUMIFS(Leads!O:O,Leads!$I:$I,Positivação!$I43,Leads!$G:$G,Positivação!$G43)*_xlfn.XLOOKUP($AB43,'Balizador da Meta'!$F$4:$F$9,'Balizador da Meta'!K$4:K$9),0)</f>
        <v>0</v>
      </c>
      <c r="Q43" s="38">
        <f>ROUND(SUMIFS(Leads!P:P,Leads!$I:$I,Positivação!$I43,Leads!$G:$G,Positivação!$G43)*_xlfn.XLOOKUP($AB43,'Balizador da Meta'!$F$4:$F$9,'Balizador da Meta'!L$4:L$9),0)</f>
        <v>0</v>
      </c>
      <c r="R43" s="38">
        <f>ROUND(SUMIFS(Leads!Q:Q,Leads!$I:$I,Positivação!$I43,Leads!$G:$G,Positivação!$G43)*_xlfn.XLOOKUP($AB43,'Balizador da Meta'!$F$4:$F$9,'Balizador da Meta'!M$4:M$9),0)</f>
        <v>0</v>
      </c>
      <c r="S43" s="38">
        <f>ROUND(SUMIFS(Leads!R:R,Leads!$I:$I,Positivação!$I43,Leads!$G:$G,Positivação!$G43)*_xlfn.XLOOKUP($AB43,'Balizador da Meta'!$F$4:$F$9,'Balizador da Meta'!N$4:N$9),0)</f>
        <v>0</v>
      </c>
      <c r="T43" s="38">
        <f>ROUND(SUMIFS(Leads!S:S,Leads!$I:$I,Positivação!$I43,Leads!$G:$G,Positivação!$G43)*_xlfn.XLOOKUP($AB43,'Balizador da Meta'!$F$4:$F$9,'Balizador da Meta'!O$4:O$9),0)</f>
        <v>0</v>
      </c>
      <c r="U43" s="38">
        <f>ROUND(SUMIFS(Leads!T:T,Leads!$I:$I,Positivação!$I43,Leads!$G:$G,Positivação!$G43)*_xlfn.XLOOKUP($AB43,'Balizador da Meta'!$F$4:$F$9,'Balizador da Meta'!P$4:P$9),0)</f>
        <v>0</v>
      </c>
      <c r="V43" s="38">
        <f>ROUND(SUMIFS(Leads!U:U,Leads!$I:$I,Positivação!$I43,Leads!$G:$G,Positivação!$G43)*_xlfn.XLOOKUP($AB43,'Balizador da Meta'!$F$4:$F$9,'Balizador da Meta'!Q$4:Q$9),0)</f>
        <v>0</v>
      </c>
      <c r="W43" s="38">
        <f>ROUND(SUMIFS(Leads!V:V,Leads!$I:$I,Positivação!$I43,Leads!$G:$G,Positivação!$G43)*_xlfn.XLOOKUP($AB43,'Balizador da Meta'!$F$4:$F$9,'Balizador da Meta'!R$4:R$9),0)</f>
        <v>0</v>
      </c>
      <c r="X43" s="29"/>
      <c r="Y43" s="28">
        <f>IFERROR(SUMIFS('Historico - FAT'!AO:AO,'Historico - FAT'!I:I,Positivação!I43,'Historico - FAT'!G:G,Positivação!G43)/SUM(L43:T43),0)</f>
        <v>0</v>
      </c>
      <c r="Z43" s="28">
        <v>600</v>
      </c>
      <c r="AA43" s="29"/>
      <c r="AB43" s="38" t="s">
        <v>180</v>
      </c>
      <c r="AC43" s="29"/>
      <c r="AD43" s="38">
        <v>1</v>
      </c>
      <c r="AE43" s="38"/>
    </row>
    <row r="44" spans="1:31" x14ac:dyDescent="0.3">
      <c r="A44" s="2">
        <v>1000184670</v>
      </c>
      <c r="B44" s="2" t="s">
        <v>147</v>
      </c>
      <c r="C44" s="4"/>
      <c r="D44" s="4"/>
      <c r="E44" s="2">
        <v>1000184758</v>
      </c>
      <c r="F44" s="2" t="s">
        <v>55</v>
      </c>
      <c r="G44" s="4">
        <v>1000189776</v>
      </c>
      <c r="H44" s="4" t="s">
        <v>79</v>
      </c>
      <c r="I44" s="2">
        <v>1000189270</v>
      </c>
      <c r="J44" s="2" t="s">
        <v>34</v>
      </c>
      <c r="K44" s="2" t="str">
        <f t="shared" si="1"/>
        <v>100018467010001897761000189270</v>
      </c>
      <c r="L44" s="38">
        <f>ROUND(SUMIFS(Leads!K:K,Leads!$I:$I,Positivação!$I44,Leads!$G:$G,Positivação!$G44)*_xlfn.XLOOKUP($AB44,'Balizador da Meta'!$F$4:$F$9,'Balizador da Meta'!G$4:G$9),0)</f>
        <v>1</v>
      </c>
      <c r="M44" s="38">
        <f>ROUND(SUMIFS(Leads!L:L,Leads!$I:$I,Positivação!$I44,Leads!$G:$G,Positivação!$G44)*_xlfn.XLOOKUP($AB44,'Balizador da Meta'!$F$4:$F$9,'Balizador da Meta'!H$4:H$9),0)</f>
        <v>1</v>
      </c>
      <c r="N44" s="38">
        <f>ROUND(SUMIFS(Leads!M:M,Leads!$I:$I,Positivação!$I44,Leads!$G:$G,Positivação!$G44)*_xlfn.XLOOKUP($AB44,'Balizador da Meta'!$F$4:$F$9,'Balizador da Meta'!I$4:I$9),0)</f>
        <v>1</v>
      </c>
      <c r="O44" s="38">
        <f>ROUND(SUMIFS(Leads!N:N,Leads!$I:$I,Positivação!$I44,Leads!$G:$G,Positivação!$G44)*_xlfn.XLOOKUP($AB44,'Balizador da Meta'!$F$4:$F$9,'Balizador da Meta'!J$4:J$9),0)</f>
        <v>1</v>
      </c>
      <c r="P44" s="38">
        <f>ROUND(SUMIFS(Leads!O:O,Leads!$I:$I,Positivação!$I44,Leads!$G:$G,Positivação!$G44)*_xlfn.XLOOKUP($AB44,'Balizador da Meta'!$F$4:$F$9,'Balizador da Meta'!K$4:K$9),0)</f>
        <v>1</v>
      </c>
      <c r="Q44" s="38">
        <f>ROUND(SUMIFS(Leads!P:P,Leads!$I:$I,Positivação!$I44,Leads!$G:$G,Positivação!$G44)*_xlfn.XLOOKUP($AB44,'Balizador da Meta'!$F$4:$F$9,'Balizador da Meta'!L$4:L$9),0)</f>
        <v>1</v>
      </c>
      <c r="R44" s="38">
        <f>ROUND(SUMIFS(Leads!Q:Q,Leads!$I:$I,Positivação!$I44,Leads!$G:$G,Positivação!$G44)*_xlfn.XLOOKUP($AB44,'Balizador da Meta'!$F$4:$F$9,'Balizador da Meta'!M$4:M$9),0)</f>
        <v>1</v>
      </c>
      <c r="S44" s="38">
        <f>ROUND(SUMIFS(Leads!R:R,Leads!$I:$I,Positivação!$I44,Leads!$G:$G,Positivação!$G44)*_xlfn.XLOOKUP($AB44,'Balizador da Meta'!$F$4:$F$9,'Balizador da Meta'!N$4:N$9),0)</f>
        <v>1</v>
      </c>
      <c r="T44" s="38">
        <f>ROUND(SUMIFS(Leads!S:S,Leads!$I:$I,Positivação!$I44,Leads!$G:$G,Positivação!$G44)*_xlfn.XLOOKUP($AB44,'Balizador da Meta'!$F$4:$F$9,'Balizador da Meta'!O$4:O$9),0)</f>
        <v>1</v>
      </c>
      <c r="U44" s="38">
        <f>ROUND(SUMIFS(Leads!T:T,Leads!$I:$I,Positivação!$I44,Leads!$G:$G,Positivação!$G44)*_xlfn.XLOOKUP($AB44,'Balizador da Meta'!$F$4:$F$9,'Balizador da Meta'!P$4:P$9),0)</f>
        <v>1</v>
      </c>
      <c r="V44" s="38">
        <f>ROUND(SUMIFS(Leads!U:U,Leads!$I:$I,Positivação!$I44,Leads!$G:$G,Positivação!$G44)*_xlfn.XLOOKUP($AB44,'Balizador da Meta'!$F$4:$F$9,'Balizador da Meta'!Q$4:Q$9),0)</f>
        <v>1</v>
      </c>
      <c r="W44" s="38">
        <f>ROUND(SUMIFS(Leads!V:V,Leads!$I:$I,Positivação!$I44,Leads!$G:$G,Positivação!$G44)*_xlfn.XLOOKUP($AB44,'Balizador da Meta'!$F$4:$F$9,'Balizador da Meta'!R$4:R$9),0)</f>
        <v>1</v>
      </c>
      <c r="X44" s="29"/>
      <c r="Y44" s="28">
        <f>IFERROR(SUMIFS('Historico - FAT'!AO:AO,'Historico - FAT'!I:I,Positivação!I44,'Historico - FAT'!G:G,Positivação!G44)/SUM(L44:T44),0)</f>
        <v>1078.9522222222222</v>
      </c>
      <c r="Z44" s="28">
        <v>600</v>
      </c>
      <c r="AA44" s="29"/>
      <c r="AB44" s="38" t="s">
        <v>180</v>
      </c>
      <c r="AC44" s="29"/>
      <c r="AD44" s="38">
        <v>5</v>
      </c>
      <c r="AE44" s="38"/>
    </row>
    <row r="45" spans="1:31" x14ac:dyDescent="0.3">
      <c r="A45" s="2">
        <v>1000184670</v>
      </c>
      <c r="B45" s="2" t="s">
        <v>147</v>
      </c>
      <c r="C45" s="4"/>
      <c r="D45" s="4"/>
      <c r="E45" s="2">
        <v>1000184758</v>
      </c>
      <c r="F45" s="2" t="s">
        <v>55</v>
      </c>
      <c r="G45" s="4">
        <v>1000189777</v>
      </c>
      <c r="H45" s="4" t="s">
        <v>56</v>
      </c>
      <c r="I45" s="2">
        <v>1000189270</v>
      </c>
      <c r="J45" s="2" t="s">
        <v>34</v>
      </c>
      <c r="K45" s="2" t="str">
        <f t="shared" si="1"/>
        <v>100018467010001897771000189270</v>
      </c>
      <c r="L45" s="38">
        <f>ROUND(SUMIFS(Leads!K:K,Leads!$I:$I,Positivação!$I45,Leads!$G:$G,Positivação!$G45)*_xlfn.XLOOKUP($AB45,'Balizador da Meta'!$F$4:$F$9,'Balizador da Meta'!G$4:G$9),0)</f>
        <v>2</v>
      </c>
      <c r="M45" s="38">
        <f>ROUND(SUMIFS(Leads!L:L,Leads!$I:$I,Positivação!$I45,Leads!$G:$G,Positivação!$G45)*_xlfn.XLOOKUP($AB45,'Balizador da Meta'!$F$4:$F$9,'Balizador da Meta'!H$4:H$9),0)</f>
        <v>2</v>
      </c>
      <c r="N45" s="38">
        <f>ROUND(SUMIFS(Leads!M:M,Leads!$I:$I,Positivação!$I45,Leads!$G:$G,Positivação!$G45)*_xlfn.XLOOKUP($AB45,'Balizador da Meta'!$F$4:$F$9,'Balizador da Meta'!I$4:I$9),0)</f>
        <v>2</v>
      </c>
      <c r="O45" s="38">
        <f>ROUND(SUMIFS(Leads!N:N,Leads!$I:$I,Positivação!$I45,Leads!$G:$G,Positivação!$G45)*_xlfn.XLOOKUP($AB45,'Balizador da Meta'!$F$4:$F$9,'Balizador da Meta'!J$4:J$9),0)</f>
        <v>2</v>
      </c>
      <c r="P45" s="38">
        <f>ROUND(SUMIFS(Leads!O:O,Leads!$I:$I,Positivação!$I45,Leads!$G:$G,Positivação!$G45)*_xlfn.XLOOKUP($AB45,'Balizador da Meta'!$F$4:$F$9,'Balizador da Meta'!K$4:K$9),0)</f>
        <v>2</v>
      </c>
      <c r="Q45" s="38">
        <f>ROUND(SUMIFS(Leads!P:P,Leads!$I:$I,Positivação!$I45,Leads!$G:$G,Positivação!$G45)*_xlfn.XLOOKUP($AB45,'Balizador da Meta'!$F$4:$F$9,'Balizador da Meta'!L$4:L$9),0)</f>
        <v>2</v>
      </c>
      <c r="R45" s="38">
        <f>ROUND(SUMIFS(Leads!Q:Q,Leads!$I:$I,Positivação!$I45,Leads!$G:$G,Positivação!$G45)*_xlfn.XLOOKUP($AB45,'Balizador da Meta'!$F$4:$F$9,'Balizador da Meta'!M$4:M$9),0)</f>
        <v>2</v>
      </c>
      <c r="S45" s="38">
        <f>ROUND(SUMIFS(Leads!R:R,Leads!$I:$I,Positivação!$I45,Leads!$G:$G,Positivação!$G45)*_xlfn.XLOOKUP($AB45,'Balizador da Meta'!$F$4:$F$9,'Balizador da Meta'!N$4:N$9),0)</f>
        <v>2</v>
      </c>
      <c r="T45" s="38">
        <f>ROUND(SUMIFS(Leads!S:S,Leads!$I:$I,Positivação!$I45,Leads!$G:$G,Positivação!$G45)*_xlfn.XLOOKUP($AB45,'Balizador da Meta'!$F$4:$F$9,'Balizador da Meta'!O$4:O$9),0)</f>
        <v>2</v>
      </c>
      <c r="U45" s="38">
        <f>ROUND(SUMIFS(Leads!T:T,Leads!$I:$I,Positivação!$I45,Leads!$G:$G,Positivação!$G45)*_xlfn.XLOOKUP($AB45,'Balizador da Meta'!$F$4:$F$9,'Balizador da Meta'!P$4:P$9),0)</f>
        <v>2</v>
      </c>
      <c r="V45" s="38">
        <f>ROUND(SUMIFS(Leads!U:U,Leads!$I:$I,Positivação!$I45,Leads!$G:$G,Positivação!$G45)*_xlfn.XLOOKUP($AB45,'Balizador da Meta'!$F$4:$F$9,'Balizador da Meta'!Q$4:Q$9),0)</f>
        <v>2</v>
      </c>
      <c r="W45" s="38">
        <f>ROUND(SUMIFS(Leads!V:V,Leads!$I:$I,Positivação!$I45,Leads!$G:$G,Positivação!$G45)*_xlfn.XLOOKUP($AB45,'Balizador da Meta'!$F$4:$F$9,'Balizador da Meta'!R$4:R$9),0)</f>
        <v>2</v>
      </c>
      <c r="X45" s="29"/>
      <c r="Y45" s="28">
        <f>IFERROR(SUMIFS('Historico - FAT'!AO:AO,'Historico - FAT'!I:I,Positivação!I45,'Historico - FAT'!G:G,Positivação!G45)/SUM(L45:T45),0)</f>
        <v>317.3077777777778</v>
      </c>
      <c r="Z45" s="28">
        <v>600</v>
      </c>
      <c r="AA45" s="29"/>
      <c r="AB45" s="38" t="s">
        <v>180</v>
      </c>
      <c r="AC45" s="29"/>
      <c r="AD45" s="38">
        <v>11</v>
      </c>
      <c r="AE45" s="38"/>
    </row>
    <row r="46" spans="1:31" x14ac:dyDescent="0.3">
      <c r="A46" s="2">
        <v>1000184670</v>
      </c>
      <c r="B46" s="2" t="s">
        <v>147</v>
      </c>
      <c r="C46" s="4"/>
      <c r="D46" s="4"/>
      <c r="E46" s="2">
        <v>1000184758</v>
      </c>
      <c r="F46" s="2" t="s">
        <v>55</v>
      </c>
      <c r="G46" s="4">
        <v>1000189785</v>
      </c>
      <c r="H46" s="4" t="s">
        <v>57</v>
      </c>
      <c r="I46" s="2">
        <v>1000189270</v>
      </c>
      <c r="J46" s="2" t="s">
        <v>34</v>
      </c>
      <c r="K46" s="2" t="str">
        <f t="shared" si="1"/>
        <v>100018467010001897851000189270</v>
      </c>
      <c r="L46" s="38">
        <f>ROUND(SUMIFS(Leads!K:K,Leads!$I:$I,Positivação!$I46,Leads!$G:$G,Positivação!$G46)*_xlfn.XLOOKUP($AB46,'Balizador da Meta'!$F$4:$F$9,'Balizador da Meta'!G$4:G$9),0)</f>
        <v>3</v>
      </c>
      <c r="M46" s="38">
        <f>ROUND(SUMIFS(Leads!L:L,Leads!$I:$I,Positivação!$I46,Leads!$G:$G,Positivação!$G46)*_xlfn.XLOOKUP($AB46,'Balizador da Meta'!$F$4:$F$9,'Balizador da Meta'!H$4:H$9),0)</f>
        <v>3</v>
      </c>
      <c r="N46" s="38">
        <f>ROUND(SUMIFS(Leads!M:M,Leads!$I:$I,Positivação!$I46,Leads!$G:$G,Positivação!$G46)*_xlfn.XLOOKUP($AB46,'Balizador da Meta'!$F$4:$F$9,'Balizador da Meta'!I$4:I$9),0)</f>
        <v>3</v>
      </c>
      <c r="O46" s="38">
        <f>ROUND(SUMIFS(Leads!N:N,Leads!$I:$I,Positivação!$I46,Leads!$G:$G,Positivação!$G46)*_xlfn.XLOOKUP($AB46,'Balizador da Meta'!$F$4:$F$9,'Balizador da Meta'!J$4:J$9),0)</f>
        <v>3</v>
      </c>
      <c r="P46" s="38">
        <f>ROUND(SUMIFS(Leads!O:O,Leads!$I:$I,Positivação!$I46,Leads!$G:$G,Positivação!$G46)*_xlfn.XLOOKUP($AB46,'Balizador da Meta'!$F$4:$F$9,'Balizador da Meta'!K$4:K$9),0)</f>
        <v>3</v>
      </c>
      <c r="Q46" s="38">
        <f>ROUND(SUMIFS(Leads!P:P,Leads!$I:$I,Positivação!$I46,Leads!$G:$G,Positivação!$G46)*_xlfn.XLOOKUP($AB46,'Balizador da Meta'!$F$4:$F$9,'Balizador da Meta'!L$4:L$9),0)</f>
        <v>3</v>
      </c>
      <c r="R46" s="38">
        <f>ROUND(SUMIFS(Leads!Q:Q,Leads!$I:$I,Positivação!$I46,Leads!$G:$G,Positivação!$G46)*_xlfn.XLOOKUP($AB46,'Balizador da Meta'!$F$4:$F$9,'Balizador da Meta'!M$4:M$9),0)</f>
        <v>3</v>
      </c>
      <c r="S46" s="38">
        <f>ROUND(SUMIFS(Leads!R:R,Leads!$I:$I,Positivação!$I46,Leads!$G:$G,Positivação!$G46)*_xlfn.XLOOKUP($AB46,'Balizador da Meta'!$F$4:$F$9,'Balizador da Meta'!N$4:N$9),0)</f>
        <v>3</v>
      </c>
      <c r="T46" s="38">
        <f>ROUND(SUMIFS(Leads!S:S,Leads!$I:$I,Positivação!$I46,Leads!$G:$G,Positivação!$G46)*_xlfn.XLOOKUP($AB46,'Balizador da Meta'!$F$4:$F$9,'Balizador da Meta'!O$4:O$9),0)</f>
        <v>3</v>
      </c>
      <c r="U46" s="38">
        <f>ROUND(SUMIFS(Leads!T:T,Leads!$I:$I,Positivação!$I46,Leads!$G:$G,Positivação!$G46)*_xlfn.XLOOKUP($AB46,'Balizador da Meta'!$F$4:$F$9,'Balizador da Meta'!P$4:P$9),0)</f>
        <v>3</v>
      </c>
      <c r="V46" s="38">
        <f>ROUND(SUMIFS(Leads!U:U,Leads!$I:$I,Positivação!$I46,Leads!$G:$G,Positivação!$G46)*_xlfn.XLOOKUP($AB46,'Balizador da Meta'!$F$4:$F$9,'Balizador da Meta'!Q$4:Q$9),0)</f>
        <v>3</v>
      </c>
      <c r="W46" s="38">
        <f>ROUND(SUMIFS(Leads!V:V,Leads!$I:$I,Positivação!$I46,Leads!$G:$G,Positivação!$G46)*_xlfn.XLOOKUP($AB46,'Balizador da Meta'!$F$4:$F$9,'Balizador da Meta'!R$4:R$9),0)</f>
        <v>3</v>
      </c>
      <c r="X46" s="29"/>
      <c r="Y46" s="28">
        <f>IFERROR(SUMIFS('Historico - FAT'!AO:AO,'Historico - FAT'!I:I,Positivação!I46,'Historico - FAT'!G:G,Positivação!G46)/SUM(L46:T46),0)</f>
        <v>592.03037037037041</v>
      </c>
      <c r="Z46" s="28">
        <v>600</v>
      </c>
      <c r="AA46" s="29"/>
      <c r="AB46" s="38" t="s">
        <v>180</v>
      </c>
      <c r="AC46" s="29"/>
      <c r="AD46" s="38">
        <v>14</v>
      </c>
      <c r="AE46" s="38"/>
    </row>
    <row r="47" spans="1:31" x14ac:dyDescent="0.3">
      <c r="A47" s="2">
        <v>1000184670</v>
      </c>
      <c r="B47" s="2" t="s">
        <v>147</v>
      </c>
      <c r="C47" s="4"/>
      <c r="D47" s="4"/>
      <c r="E47" s="2">
        <v>1000184758</v>
      </c>
      <c r="F47" s="2" t="s">
        <v>55</v>
      </c>
      <c r="G47" s="4">
        <v>1000189786</v>
      </c>
      <c r="H47" s="4" t="s">
        <v>104</v>
      </c>
      <c r="I47" s="2">
        <v>1000189270</v>
      </c>
      <c r="J47" s="2" t="s">
        <v>34</v>
      </c>
      <c r="K47" s="2" t="str">
        <f t="shared" si="1"/>
        <v>100018467010001897861000189270</v>
      </c>
      <c r="L47" s="38">
        <f>ROUND(SUMIFS(Leads!K:K,Leads!$I:$I,Positivação!$I47,Leads!$G:$G,Positivação!$G47)*_xlfn.XLOOKUP($AB47,'Balizador da Meta'!$F$4:$F$9,'Balizador da Meta'!G$4:G$9),0)</f>
        <v>1</v>
      </c>
      <c r="M47" s="38">
        <f>ROUND(SUMIFS(Leads!L:L,Leads!$I:$I,Positivação!$I47,Leads!$G:$G,Positivação!$G47)*_xlfn.XLOOKUP($AB47,'Balizador da Meta'!$F$4:$F$9,'Balizador da Meta'!H$4:H$9),0)</f>
        <v>1</v>
      </c>
      <c r="N47" s="38">
        <f>ROUND(SUMIFS(Leads!M:M,Leads!$I:$I,Positivação!$I47,Leads!$G:$G,Positivação!$G47)*_xlfn.XLOOKUP($AB47,'Balizador da Meta'!$F$4:$F$9,'Balizador da Meta'!I$4:I$9),0)</f>
        <v>1</v>
      </c>
      <c r="O47" s="38">
        <f>ROUND(SUMIFS(Leads!N:N,Leads!$I:$I,Positivação!$I47,Leads!$G:$G,Positivação!$G47)*_xlfn.XLOOKUP($AB47,'Balizador da Meta'!$F$4:$F$9,'Balizador da Meta'!J$4:J$9),0)</f>
        <v>1</v>
      </c>
      <c r="P47" s="38">
        <f>ROUND(SUMIFS(Leads!O:O,Leads!$I:$I,Positivação!$I47,Leads!$G:$G,Positivação!$G47)*_xlfn.XLOOKUP($AB47,'Balizador da Meta'!$F$4:$F$9,'Balizador da Meta'!K$4:K$9),0)</f>
        <v>1</v>
      </c>
      <c r="Q47" s="38">
        <f>ROUND(SUMIFS(Leads!P:P,Leads!$I:$I,Positivação!$I47,Leads!$G:$G,Positivação!$G47)*_xlfn.XLOOKUP($AB47,'Balizador da Meta'!$F$4:$F$9,'Balizador da Meta'!L$4:L$9),0)</f>
        <v>1</v>
      </c>
      <c r="R47" s="38">
        <f>ROUND(SUMIFS(Leads!Q:Q,Leads!$I:$I,Positivação!$I47,Leads!$G:$G,Positivação!$G47)*_xlfn.XLOOKUP($AB47,'Balizador da Meta'!$F$4:$F$9,'Balizador da Meta'!M$4:M$9),0)</f>
        <v>1</v>
      </c>
      <c r="S47" s="38">
        <f>ROUND(SUMIFS(Leads!R:R,Leads!$I:$I,Positivação!$I47,Leads!$G:$G,Positivação!$G47)*_xlfn.XLOOKUP($AB47,'Balizador da Meta'!$F$4:$F$9,'Balizador da Meta'!N$4:N$9),0)</f>
        <v>1</v>
      </c>
      <c r="T47" s="38">
        <f>ROUND(SUMIFS(Leads!S:S,Leads!$I:$I,Positivação!$I47,Leads!$G:$G,Positivação!$G47)*_xlfn.XLOOKUP($AB47,'Balizador da Meta'!$F$4:$F$9,'Balizador da Meta'!O$4:O$9),0)</f>
        <v>1</v>
      </c>
      <c r="U47" s="38">
        <f>ROUND(SUMIFS(Leads!T:T,Leads!$I:$I,Positivação!$I47,Leads!$G:$G,Positivação!$G47)*_xlfn.XLOOKUP($AB47,'Balizador da Meta'!$F$4:$F$9,'Balizador da Meta'!P$4:P$9),0)</f>
        <v>1</v>
      </c>
      <c r="V47" s="38">
        <f>ROUND(SUMIFS(Leads!U:U,Leads!$I:$I,Positivação!$I47,Leads!$G:$G,Positivação!$G47)*_xlfn.XLOOKUP($AB47,'Balizador da Meta'!$F$4:$F$9,'Balizador da Meta'!Q$4:Q$9),0)</f>
        <v>1</v>
      </c>
      <c r="W47" s="38">
        <f>ROUND(SUMIFS(Leads!V:V,Leads!$I:$I,Positivação!$I47,Leads!$G:$G,Positivação!$G47)*_xlfn.XLOOKUP($AB47,'Balizador da Meta'!$F$4:$F$9,'Balizador da Meta'!R$4:R$9),0)</f>
        <v>1</v>
      </c>
      <c r="X47" s="29"/>
      <c r="Y47" s="28">
        <f>IFERROR(SUMIFS('Historico - FAT'!AO:AO,'Historico - FAT'!I:I,Positivação!I47,'Historico - FAT'!G:G,Positivação!G47)/SUM(L47:T47),0)</f>
        <v>3141.9244444444448</v>
      </c>
      <c r="Z47" s="28">
        <v>600</v>
      </c>
      <c r="AA47" s="29"/>
      <c r="AB47" s="38" t="s">
        <v>180</v>
      </c>
      <c r="AC47" s="29"/>
      <c r="AD47" s="38">
        <v>6</v>
      </c>
      <c r="AE47" s="38"/>
    </row>
    <row r="48" spans="1:31" x14ac:dyDescent="0.3">
      <c r="A48" s="2">
        <v>1000184670</v>
      </c>
      <c r="B48" s="2" t="s">
        <v>147</v>
      </c>
      <c r="C48" s="4"/>
      <c r="D48" s="4"/>
      <c r="E48" s="2">
        <v>1000184758</v>
      </c>
      <c r="F48" s="2" t="s">
        <v>55</v>
      </c>
      <c r="G48" s="4">
        <v>1000189801</v>
      </c>
      <c r="H48" s="4" t="s">
        <v>87</v>
      </c>
      <c r="I48" s="2">
        <v>1000189270</v>
      </c>
      <c r="J48" s="2" t="s">
        <v>34</v>
      </c>
      <c r="K48" s="2" t="str">
        <f t="shared" si="1"/>
        <v>100018467010001898011000189270</v>
      </c>
      <c r="L48" s="38">
        <f>ROUND(SUMIFS(Leads!K:K,Leads!$I:$I,Positivação!$I48,Leads!$G:$G,Positivação!$G48)*_xlfn.XLOOKUP($AB48,'Balizador da Meta'!$F$4:$F$9,'Balizador da Meta'!G$4:G$9),0)</f>
        <v>2</v>
      </c>
      <c r="M48" s="38">
        <f>ROUND(SUMIFS(Leads!L:L,Leads!$I:$I,Positivação!$I48,Leads!$G:$G,Positivação!$G48)*_xlfn.XLOOKUP($AB48,'Balizador da Meta'!$F$4:$F$9,'Balizador da Meta'!H$4:H$9),0)</f>
        <v>2</v>
      </c>
      <c r="N48" s="38">
        <f>ROUND(SUMIFS(Leads!M:M,Leads!$I:$I,Positivação!$I48,Leads!$G:$G,Positivação!$G48)*_xlfn.XLOOKUP($AB48,'Balizador da Meta'!$F$4:$F$9,'Balizador da Meta'!I$4:I$9),0)</f>
        <v>2</v>
      </c>
      <c r="O48" s="38">
        <f>ROUND(SUMIFS(Leads!N:N,Leads!$I:$I,Positivação!$I48,Leads!$G:$G,Positivação!$G48)*_xlfn.XLOOKUP($AB48,'Balizador da Meta'!$F$4:$F$9,'Balizador da Meta'!J$4:J$9),0)</f>
        <v>2</v>
      </c>
      <c r="P48" s="38">
        <f>ROUND(SUMIFS(Leads!O:O,Leads!$I:$I,Positivação!$I48,Leads!$G:$G,Positivação!$G48)*_xlfn.XLOOKUP($AB48,'Balizador da Meta'!$F$4:$F$9,'Balizador da Meta'!K$4:K$9),0)</f>
        <v>2</v>
      </c>
      <c r="Q48" s="38">
        <f>ROUND(SUMIFS(Leads!P:P,Leads!$I:$I,Positivação!$I48,Leads!$G:$G,Positivação!$G48)*_xlfn.XLOOKUP($AB48,'Balizador da Meta'!$F$4:$F$9,'Balizador da Meta'!L$4:L$9),0)</f>
        <v>2</v>
      </c>
      <c r="R48" s="38">
        <f>ROUND(SUMIFS(Leads!Q:Q,Leads!$I:$I,Positivação!$I48,Leads!$G:$G,Positivação!$G48)*_xlfn.XLOOKUP($AB48,'Balizador da Meta'!$F$4:$F$9,'Balizador da Meta'!M$4:M$9),0)</f>
        <v>2</v>
      </c>
      <c r="S48" s="38">
        <f>ROUND(SUMIFS(Leads!R:R,Leads!$I:$I,Positivação!$I48,Leads!$G:$G,Positivação!$G48)*_xlfn.XLOOKUP($AB48,'Balizador da Meta'!$F$4:$F$9,'Balizador da Meta'!N$4:N$9),0)</f>
        <v>2</v>
      </c>
      <c r="T48" s="38">
        <f>ROUND(SUMIFS(Leads!S:S,Leads!$I:$I,Positivação!$I48,Leads!$G:$G,Positivação!$G48)*_xlfn.XLOOKUP($AB48,'Balizador da Meta'!$F$4:$F$9,'Balizador da Meta'!O$4:O$9),0)</f>
        <v>2</v>
      </c>
      <c r="U48" s="38">
        <f>ROUND(SUMIFS(Leads!T:T,Leads!$I:$I,Positivação!$I48,Leads!$G:$G,Positivação!$G48)*_xlfn.XLOOKUP($AB48,'Balizador da Meta'!$F$4:$F$9,'Balizador da Meta'!P$4:P$9),0)</f>
        <v>2</v>
      </c>
      <c r="V48" s="38">
        <f>ROUND(SUMIFS(Leads!U:U,Leads!$I:$I,Positivação!$I48,Leads!$G:$G,Positivação!$G48)*_xlfn.XLOOKUP($AB48,'Balizador da Meta'!$F$4:$F$9,'Balizador da Meta'!Q$4:Q$9),0)</f>
        <v>2</v>
      </c>
      <c r="W48" s="38">
        <f>ROUND(SUMIFS(Leads!V:V,Leads!$I:$I,Positivação!$I48,Leads!$G:$G,Positivação!$G48)*_xlfn.XLOOKUP($AB48,'Balizador da Meta'!$F$4:$F$9,'Balizador da Meta'!R$4:R$9),0)</f>
        <v>2</v>
      </c>
      <c r="X48" s="29"/>
      <c r="Y48" s="28">
        <f>IFERROR(SUMIFS('Historico - FAT'!AO:AO,'Historico - FAT'!I:I,Positivação!I48,'Historico - FAT'!G:G,Positivação!G48)/SUM(L48:T48),0)</f>
        <v>0</v>
      </c>
      <c r="Z48" s="28">
        <v>600</v>
      </c>
      <c r="AA48" s="29"/>
      <c r="AB48" s="38" t="s">
        <v>180</v>
      </c>
      <c r="AC48" s="29"/>
      <c r="AD48" s="38">
        <v>8</v>
      </c>
      <c r="AE48" s="38"/>
    </row>
    <row r="49" spans="1:31" x14ac:dyDescent="0.3">
      <c r="A49" s="2">
        <v>1000184670</v>
      </c>
      <c r="B49" s="2" t="s">
        <v>147</v>
      </c>
      <c r="C49" s="4"/>
      <c r="D49" s="4"/>
      <c r="E49" s="2">
        <v>1000184758</v>
      </c>
      <c r="F49" s="2" t="s">
        <v>55</v>
      </c>
      <c r="G49" s="4">
        <v>1000189802</v>
      </c>
      <c r="H49" s="4" t="s">
        <v>105</v>
      </c>
      <c r="I49" s="2">
        <v>1000189270</v>
      </c>
      <c r="J49" s="2" t="s">
        <v>34</v>
      </c>
      <c r="K49" s="2" t="str">
        <f t="shared" si="1"/>
        <v>100018467010001898021000189270</v>
      </c>
      <c r="L49" s="38">
        <f>ROUND(SUMIFS(Leads!K:K,Leads!$I:$I,Positivação!$I49,Leads!$G:$G,Positivação!$G49)*_xlfn.XLOOKUP($AB49,'Balizador da Meta'!$F$4:$F$9,'Balizador da Meta'!G$4:G$9),0)</f>
        <v>0</v>
      </c>
      <c r="M49" s="38">
        <f>ROUND(SUMIFS(Leads!L:L,Leads!$I:$I,Positivação!$I49,Leads!$G:$G,Positivação!$G49)*_xlfn.XLOOKUP($AB49,'Balizador da Meta'!$F$4:$F$9,'Balizador da Meta'!H$4:H$9),0)</f>
        <v>0</v>
      </c>
      <c r="N49" s="38">
        <f>ROUND(SUMIFS(Leads!M:M,Leads!$I:$I,Positivação!$I49,Leads!$G:$G,Positivação!$G49)*_xlfn.XLOOKUP($AB49,'Balizador da Meta'!$F$4:$F$9,'Balizador da Meta'!I$4:I$9),0)</f>
        <v>0</v>
      </c>
      <c r="O49" s="38">
        <f>ROUND(SUMIFS(Leads!N:N,Leads!$I:$I,Positivação!$I49,Leads!$G:$G,Positivação!$G49)*_xlfn.XLOOKUP($AB49,'Balizador da Meta'!$F$4:$F$9,'Balizador da Meta'!J$4:J$9),0)</f>
        <v>0</v>
      </c>
      <c r="P49" s="38">
        <f>ROUND(SUMIFS(Leads!O:O,Leads!$I:$I,Positivação!$I49,Leads!$G:$G,Positivação!$G49)*_xlfn.XLOOKUP($AB49,'Balizador da Meta'!$F$4:$F$9,'Balizador da Meta'!K$4:K$9),0)</f>
        <v>0</v>
      </c>
      <c r="Q49" s="38">
        <f>ROUND(SUMIFS(Leads!P:P,Leads!$I:$I,Positivação!$I49,Leads!$G:$G,Positivação!$G49)*_xlfn.XLOOKUP($AB49,'Balizador da Meta'!$F$4:$F$9,'Balizador da Meta'!L$4:L$9),0)</f>
        <v>0</v>
      </c>
      <c r="R49" s="38">
        <f>ROUND(SUMIFS(Leads!Q:Q,Leads!$I:$I,Positivação!$I49,Leads!$G:$G,Positivação!$G49)*_xlfn.XLOOKUP($AB49,'Balizador da Meta'!$F$4:$F$9,'Balizador da Meta'!M$4:M$9),0)</f>
        <v>0</v>
      </c>
      <c r="S49" s="38">
        <f>ROUND(SUMIFS(Leads!R:R,Leads!$I:$I,Positivação!$I49,Leads!$G:$G,Positivação!$G49)*_xlfn.XLOOKUP($AB49,'Balizador da Meta'!$F$4:$F$9,'Balizador da Meta'!N$4:N$9),0)</f>
        <v>0</v>
      </c>
      <c r="T49" s="38">
        <f>ROUND(SUMIFS(Leads!S:S,Leads!$I:$I,Positivação!$I49,Leads!$G:$G,Positivação!$G49)*_xlfn.XLOOKUP($AB49,'Balizador da Meta'!$F$4:$F$9,'Balizador da Meta'!O$4:O$9),0)</f>
        <v>0</v>
      </c>
      <c r="U49" s="38">
        <f>ROUND(SUMIFS(Leads!T:T,Leads!$I:$I,Positivação!$I49,Leads!$G:$G,Positivação!$G49)*_xlfn.XLOOKUP($AB49,'Balizador da Meta'!$F$4:$F$9,'Balizador da Meta'!P$4:P$9),0)</f>
        <v>0</v>
      </c>
      <c r="V49" s="38">
        <f>ROUND(SUMIFS(Leads!U:U,Leads!$I:$I,Positivação!$I49,Leads!$G:$G,Positivação!$G49)*_xlfn.XLOOKUP($AB49,'Balizador da Meta'!$F$4:$F$9,'Balizador da Meta'!Q$4:Q$9),0)</f>
        <v>0</v>
      </c>
      <c r="W49" s="38">
        <f>ROUND(SUMIFS(Leads!V:V,Leads!$I:$I,Positivação!$I49,Leads!$G:$G,Positivação!$G49)*_xlfn.XLOOKUP($AB49,'Balizador da Meta'!$F$4:$F$9,'Balizador da Meta'!R$4:R$9),0)</f>
        <v>0</v>
      </c>
      <c r="X49" s="29"/>
      <c r="Y49" s="28">
        <f>IFERROR(SUMIFS('Historico - FAT'!AO:AO,'Historico - FAT'!I:I,Positivação!I49,'Historico - FAT'!G:G,Positivação!G49)/SUM(L49:T49),0)</f>
        <v>0</v>
      </c>
      <c r="Z49" s="28">
        <v>600</v>
      </c>
      <c r="AA49" s="29"/>
      <c r="AB49" s="38" t="s">
        <v>180</v>
      </c>
      <c r="AC49" s="29"/>
      <c r="AD49" s="38">
        <v>2</v>
      </c>
      <c r="AE49" s="38"/>
    </row>
    <row r="50" spans="1:31" x14ac:dyDescent="0.3">
      <c r="A50" s="2">
        <v>1000184670</v>
      </c>
      <c r="B50" s="2" t="s">
        <v>147</v>
      </c>
      <c r="C50" s="4"/>
      <c r="D50" s="4"/>
      <c r="E50" s="2">
        <v>1000184760</v>
      </c>
      <c r="F50" s="2" t="s">
        <v>60</v>
      </c>
      <c r="G50" s="4">
        <v>1000189774</v>
      </c>
      <c r="H50" s="4" t="s">
        <v>68</v>
      </c>
      <c r="I50" s="2">
        <v>1000189270</v>
      </c>
      <c r="J50" s="2" t="s">
        <v>34</v>
      </c>
      <c r="K50" s="2" t="str">
        <f t="shared" si="1"/>
        <v>100018467010001897741000189270</v>
      </c>
      <c r="L50" s="38">
        <f>ROUND(SUMIFS(Leads!K:K,Leads!$I:$I,Positivação!$I50,Leads!$G:$G,Positivação!$G50)*_xlfn.XLOOKUP($AB50,'Balizador da Meta'!$F$4:$F$9,'Balizador da Meta'!G$4:G$9),0)</f>
        <v>4</v>
      </c>
      <c r="M50" s="38">
        <f>ROUND(SUMIFS(Leads!L:L,Leads!$I:$I,Positivação!$I50,Leads!$G:$G,Positivação!$G50)*_xlfn.XLOOKUP($AB50,'Balizador da Meta'!$F$4:$F$9,'Balizador da Meta'!H$4:H$9),0)</f>
        <v>4</v>
      </c>
      <c r="N50" s="38">
        <f>ROUND(SUMIFS(Leads!M:M,Leads!$I:$I,Positivação!$I50,Leads!$G:$G,Positivação!$G50)*_xlfn.XLOOKUP($AB50,'Balizador da Meta'!$F$4:$F$9,'Balizador da Meta'!I$4:I$9),0)</f>
        <v>4</v>
      </c>
      <c r="O50" s="38">
        <f>ROUND(SUMIFS(Leads!N:N,Leads!$I:$I,Positivação!$I50,Leads!$G:$G,Positivação!$G50)*_xlfn.XLOOKUP($AB50,'Balizador da Meta'!$F$4:$F$9,'Balizador da Meta'!J$4:J$9),0)</f>
        <v>4</v>
      </c>
      <c r="P50" s="38">
        <f>ROUND(SUMIFS(Leads!O:O,Leads!$I:$I,Positivação!$I50,Leads!$G:$G,Positivação!$G50)*_xlfn.XLOOKUP($AB50,'Balizador da Meta'!$F$4:$F$9,'Balizador da Meta'!K$4:K$9),0)</f>
        <v>4</v>
      </c>
      <c r="Q50" s="38">
        <f>ROUND(SUMIFS(Leads!P:P,Leads!$I:$I,Positivação!$I50,Leads!$G:$G,Positivação!$G50)*_xlfn.XLOOKUP($AB50,'Balizador da Meta'!$F$4:$F$9,'Balizador da Meta'!L$4:L$9),0)</f>
        <v>4</v>
      </c>
      <c r="R50" s="38">
        <f>ROUND(SUMIFS(Leads!Q:Q,Leads!$I:$I,Positivação!$I50,Leads!$G:$G,Positivação!$G50)*_xlfn.XLOOKUP($AB50,'Balizador da Meta'!$F$4:$F$9,'Balizador da Meta'!M$4:M$9),0)</f>
        <v>4</v>
      </c>
      <c r="S50" s="38">
        <f>ROUND(SUMIFS(Leads!R:R,Leads!$I:$I,Positivação!$I50,Leads!$G:$G,Positivação!$G50)*_xlfn.XLOOKUP($AB50,'Balizador da Meta'!$F$4:$F$9,'Balizador da Meta'!N$4:N$9),0)</f>
        <v>4</v>
      </c>
      <c r="T50" s="38">
        <f>ROUND(SUMIFS(Leads!S:S,Leads!$I:$I,Positivação!$I50,Leads!$G:$G,Positivação!$G50)*_xlfn.XLOOKUP($AB50,'Balizador da Meta'!$F$4:$F$9,'Balizador da Meta'!O$4:O$9),0)</f>
        <v>4</v>
      </c>
      <c r="U50" s="38">
        <f>ROUND(SUMIFS(Leads!T:T,Leads!$I:$I,Positivação!$I50,Leads!$G:$G,Positivação!$G50)*_xlfn.XLOOKUP($AB50,'Balizador da Meta'!$F$4:$F$9,'Balizador da Meta'!P$4:P$9),0)</f>
        <v>4</v>
      </c>
      <c r="V50" s="38">
        <f>ROUND(SUMIFS(Leads!U:U,Leads!$I:$I,Positivação!$I50,Leads!$G:$G,Positivação!$G50)*_xlfn.XLOOKUP($AB50,'Balizador da Meta'!$F$4:$F$9,'Balizador da Meta'!Q$4:Q$9),0)</f>
        <v>4</v>
      </c>
      <c r="W50" s="38">
        <f>ROUND(SUMIFS(Leads!V:V,Leads!$I:$I,Positivação!$I50,Leads!$G:$G,Positivação!$G50)*_xlfn.XLOOKUP($AB50,'Balizador da Meta'!$F$4:$F$9,'Balizador da Meta'!R$4:R$9),0)</f>
        <v>4</v>
      </c>
      <c r="X50" s="29"/>
      <c r="Y50" s="28">
        <f>IFERROR(SUMIFS('Historico - FAT'!AO:AO,'Historico - FAT'!I:I,Positivação!I50,'Historico - FAT'!G:G,Positivação!G50)/SUM(L50:T50),0)</f>
        <v>386.37777777777779</v>
      </c>
      <c r="Z50" s="28">
        <v>600</v>
      </c>
      <c r="AA50" s="29"/>
      <c r="AB50" s="38" t="s">
        <v>180</v>
      </c>
      <c r="AC50" s="29"/>
      <c r="AD50" s="38">
        <v>22</v>
      </c>
      <c r="AE50" s="38"/>
    </row>
    <row r="51" spans="1:31" x14ac:dyDescent="0.3">
      <c r="A51" s="2">
        <v>1000184670</v>
      </c>
      <c r="B51" s="2" t="s">
        <v>147</v>
      </c>
      <c r="C51" s="4"/>
      <c r="D51" s="4"/>
      <c r="E51" s="2">
        <v>1000184760</v>
      </c>
      <c r="F51" s="2" t="s">
        <v>60</v>
      </c>
      <c r="G51" s="4">
        <v>1000189778</v>
      </c>
      <c r="H51" s="4" t="s">
        <v>84</v>
      </c>
      <c r="I51" s="2">
        <v>1000189270</v>
      </c>
      <c r="J51" s="2" t="s">
        <v>34</v>
      </c>
      <c r="K51" s="2" t="str">
        <f t="shared" si="1"/>
        <v>100018467010001897781000189270</v>
      </c>
      <c r="L51" s="38">
        <f>ROUND(SUMIFS(Leads!K:K,Leads!$I:$I,Positivação!$I51,Leads!$G:$G,Positivação!$G51)*_xlfn.XLOOKUP($AB51,'Balizador da Meta'!$F$4:$F$9,'Balizador da Meta'!G$4:G$9),0)</f>
        <v>6</v>
      </c>
      <c r="M51" s="38">
        <f>ROUND(SUMIFS(Leads!L:L,Leads!$I:$I,Positivação!$I51,Leads!$G:$G,Positivação!$G51)*_xlfn.XLOOKUP($AB51,'Balizador da Meta'!$F$4:$F$9,'Balizador da Meta'!H$4:H$9),0)</f>
        <v>6</v>
      </c>
      <c r="N51" s="38">
        <f>ROUND(SUMIFS(Leads!M:M,Leads!$I:$I,Positivação!$I51,Leads!$G:$G,Positivação!$G51)*_xlfn.XLOOKUP($AB51,'Balizador da Meta'!$F$4:$F$9,'Balizador da Meta'!I$4:I$9),0)</f>
        <v>6</v>
      </c>
      <c r="O51" s="38">
        <f>ROUND(SUMIFS(Leads!N:N,Leads!$I:$I,Positivação!$I51,Leads!$G:$G,Positivação!$G51)*_xlfn.XLOOKUP($AB51,'Balizador da Meta'!$F$4:$F$9,'Balizador da Meta'!J$4:J$9),0)</f>
        <v>6</v>
      </c>
      <c r="P51" s="38">
        <f>ROUND(SUMIFS(Leads!O:O,Leads!$I:$I,Positivação!$I51,Leads!$G:$G,Positivação!$G51)*_xlfn.XLOOKUP($AB51,'Balizador da Meta'!$F$4:$F$9,'Balizador da Meta'!K$4:K$9),0)</f>
        <v>6</v>
      </c>
      <c r="Q51" s="38">
        <f>ROUND(SUMIFS(Leads!P:P,Leads!$I:$I,Positivação!$I51,Leads!$G:$G,Positivação!$G51)*_xlfn.XLOOKUP($AB51,'Balizador da Meta'!$F$4:$F$9,'Balizador da Meta'!L$4:L$9),0)</f>
        <v>6</v>
      </c>
      <c r="R51" s="38">
        <f>ROUND(SUMIFS(Leads!Q:Q,Leads!$I:$I,Positivação!$I51,Leads!$G:$G,Positivação!$G51)*_xlfn.XLOOKUP($AB51,'Balizador da Meta'!$F$4:$F$9,'Balizador da Meta'!M$4:M$9),0)</f>
        <v>6</v>
      </c>
      <c r="S51" s="38">
        <f>ROUND(SUMIFS(Leads!R:R,Leads!$I:$I,Positivação!$I51,Leads!$G:$G,Positivação!$G51)*_xlfn.XLOOKUP($AB51,'Balizador da Meta'!$F$4:$F$9,'Balizador da Meta'!N$4:N$9),0)</f>
        <v>6</v>
      </c>
      <c r="T51" s="38">
        <f>ROUND(SUMIFS(Leads!S:S,Leads!$I:$I,Positivação!$I51,Leads!$G:$G,Positivação!$G51)*_xlfn.XLOOKUP($AB51,'Balizador da Meta'!$F$4:$F$9,'Balizador da Meta'!O$4:O$9),0)</f>
        <v>6</v>
      </c>
      <c r="U51" s="38">
        <f>ROUND(SUMIFS(Leads!T:T,Leads!$I:$I,Positivação!$I51,Leads!$G:$G,Positivação!$G51)*_xlfn.XLOOKUP($AB51,'Balizador da Meta'!$F$4:$F$9,'Balizador da Meta'!P$4:P$9),0)</f>
        <v>6</v>
      </c>
      <c r="V51" s="38">
        <f>ROUND(SUMIFS(Leads!U:U,Leads!$I:$I,Positivação!$I51,Leads!$G:$G,Positivação!$G51)*_xlfn.XLOOKUP($AB51,'Balizador da Meta'!$F$4:$F$9,'Balizador da Meta'!Q$4:Q$9),0)</f>
        <v>6</v>
      </c>
      <c r="W51" s="38">
        <f>ROUND(SUMIFS(Leads!V:V,Leads!$I:$I,Positivação!$I51,Leads!$G:$G,Positivação!$G51)*_xlfn.XLOOKUP($AB51,'Balizador da Meta'!$F$4:$F$9,'Balizador da Meta'!R$4:R$9),0)</f>
        <v>6</v>
      </c>
      <c r="X51" s="29"/>
      <c r="Y51" s="28">
        <f>IFERROR(SUMIFS('Historico - FAT'!AO:AO,'Historico - FAT'!I:I,Positivação!I51,'Historico - FAT'!G:G,Positivação!G51)/SUM(L51:T51),0)</f>
        <v>201.05425925925925</v>
      </c>
      <c r="Z51" s="28">
        <v>600</v>
      </c>
      <c r="AA51" s="29"/>
      <c r="AB51" s="38" t="s">
        <v>180</v>
      </c>
      <c r="AC51" s="29"/>
      <c r="AD51" s="38">
        <v>28</v>
      </c>
      <c r="AE51" s="38"/>
    </row>
    <row r="52" spans="1:31" x14ac:dyDescent="0.3">
      <c r="A52" s="2">
        <v>1000184670</v>
      </c>
      <c r="B52" s="2" t="s">
        <v>147</v>
      </c>
      <c r="C52" s="4"/>
      <c r="D52" s="4"/>
      <c r="E52" s="2">
        <v>1000184760</v>
      </c>
      <c r="F52" s="2" t="s">
        <v>60</v>
      </c>
      <c r="G52" s="4">
        <v>1000189779</v>
      </c>
      <c r="H52" s="4" t="s">
        <v>106</v>
      </c>
      <c r="I52" s="2">
        <v>1000189270</v>
      </c>
      <c r="J52" s="2" t="s">
        <v>34</v>
      </c>
      <c r="K52" s="2" t="str">
        <f t="shared" si="1"/>
        <v>100018467010001897791000189270</v>
      </c>
      <c r="L52" s="38">
        <f>ROUND(SUMIFS(Leads!K:K,Leads!$I:$I,Positivação!$I52,Leads!$G:$G,Positivação!$G52)*_xlfn.XLOOKUP($AB52,'Balizador da Meta'!$F$4:$F$9,'Balizador da Meta'!G$4:G$9),0)</f>
        <v>4</v>
      </c>
      <c r="M52" s="38">
        <f>ROUND(SUMIFS(Leads!L:L,Leads!$I:$I,Positivação!$I52,Leads!$G:$G,Positivação!$G52)*_xlfn.XLOOKUP($AB52,'Balizador da Meta'!$F$4:$F$9,'Balizador da Meta'!H$4:H$9),0)</f>
        <v>4</v>
      </c>
      <c r="N52" s="38">
        <f>ROUND(SUMIFS(Leads!M:M,Leads!$I:$I,Positivação!$I52,Leads!$G:$G,Positivação!$G52)*_xlfn.XLOOKUP($AB52,'Balizador da Meta'!$F$4:$F$9,'Balizador da Meta'!I$4:I$9),0)</f>
        <v>4</v>
      </c>
      <c r="O52" s="38">
        <f>ROUND(SUMIFS(Leads!N:N,Leads!$I:$I,Positivação!$I52,Leads!$G:$G,Positivação!$G52)*_xlfn.XLOOKUP($AB52,'Balizador da Meta'!$F$4:$F$9,'Balizador da Meta'!J$4:J$9),0)</f>
        <v>4</v>
      </c>
      <c r="P52" s="38">
        <f>ROUND(SUMIFS(Leads!O:O,Leads!$I:$I,Positivação!$I52,Leads!$G:$G,Positivação!$G52)*_xlfn.XLOOKUP($AB52,'Balizador da Meta'!$F$4:$F$9,'Balizador da Meta'!K$4:K$9),0)</f>
        <v>4</v>
      </c>
      <c r="Q52" s="38">
        <f>ROUND(SUMIFS(Leads!P:P,Leads!$I:$I,Positivação!$I52,Leads!$G:$G,Positivação!$G52)*_xlfn.XLOOKUP($AB52,'Balizador da Meta'!$F$4:$F$9,'Balizador da Meta'!L$4:L$9),0)</f>
        <v>4</v>
      </c>
      <c r="R52" s="38">
        <f>ROUND(SUMIFS(Leads!Q:Q,Leads!$I:$I,Positivação!$I52,Leads!$G:$G,Positivação!$G52)*_xlfn.XLOOKUP($AB52,'Balizador da Meta'!$F$4:$F$9,'Balizador da Meta'!M$4:M$9),0)</f>
        <v>4</v>
      </c>
      <c r="S52" s="38">
        <f>ROUND(SUMIFS(Leads!R:R,Leads!$I:$I,Positivação!$I52,Leads!$G:$G,Positivação!$G52)*_xlfn.XLOOKUP($AB52,'Balizador da Meta'!$F$4:$F$9,'Balizador da Meta'!N$4:N$9),0)</f>
        <v>4</v>
      </c>
      <c r="T52" s="38">
        <f>ROUND(SUMIFS(Leads!S:S,Leads!$I:$I,Positivação!$I52,Leads!$G:$G,Positivação!$G52)*_xlfn.XLOOKUP($AB52,'Balizador da Meta'!$F$4:$F$9,'Balizador da Meta'!O$4:O$9),0)</f>
        <v>4</v>
      </c>
      <c r="U52" s="38">
        <f>ROUND(SUMIFS(Leads!T:T,Leads!$I:$I,Positivação!$I52,Leads!$G:$G,Positivação!$G52)*_xlfn.XLOOKUP($AB52,'Balizador da Meta'!$F$4:$F$9,'Balizador da Meta'!P$4:P$9),0)</f>
        <v>4</v>
      </c>
      <c r="V52" s="38">
        <f>ROUND(SUMIFS(Leads!U:U,Leads!$I:$I,Positivação!$I52,Leads!$G:$G,Positivação!$G52)*_xlfn.XLOOKUP($AB52,'Balizador da Meta'!$F$4:$F$9,'Balizador da Meta'!Q$4:Q$9),0)</f>
        <v>4</v>
      </c>
      <c r="W52" s="38">
        <f>ROUND(SUMIFS(Leads!V:V,Leads!$I:$I,Positivação!$I52,Leads!$G:$G,Positivação!$G52)*_xlfn.XLOOKUP($AB52,'Balizador da Meta'!$F$4:$F$9,'Balizador da Meta'!R$4:R$9),0)</f>
        <v>4</v>
      </c>
      <c r="X52" s="29"/>
      <c r="Y52" s="28">
        <f>IFERROR(SUMIFS('Historico - FAT'!AO:AO,'Historico - FAT'!I:I,Positivação!I52,'Historico - FAT'!G:G,Positivação!G52)/SUM(L52:T52),0)</f>
        <v>960.47416666666663</v>
      </c>
      <c r="Z52" s="28">
        <v>600</v>
      </c>
      <c r="AA52" s="29"/>
      <c r="AB52" s="38" t="s">
        <v>180</v>
      </c>
      <c r="AC52" s="29"/>
      <c r="AD52" s="38">
        <v>18</v>
      </c>
      <c r="AE52" s="38"/>
    </row>
    <row r="53" spans="1:31" x14ac:dyDescent="0.3">
      <c r="A53" s="2">
        <v>1000184670</v>
      </c>
      <c r="B53" s="2" t="s">
        <v>147</v>
      </c>
      <c r="C53" s="4"/>
      <c r="D53" s="4"/>
      <c r="E53" s="2">
        <v>1000184760</v>
      </c>
      <c r="F53" s="2" t="s">
        <v>60</v>
      </c>
      <c r="G53" s="4">
        <v>1000189780</v>
      </c>
      <c r="H53" s="4" t="s">
        <v>107</v>
      </c>
      <c r="I53" s="2">
        <v>1000189270</v>
      </c>
      <c r="J53" s="2" t="s">
        <v>34</v>
      </c>
      <c r="K53" s="2" t="str">
        <f t="shared" si="1"/>
        <v>100018467010001897801000189270</v>
      </c>
      <c r="L53" s="38">
        <f>ROUND(SUMIFS(Leads!K:K,Leads!$I:$I,Positivação!$I53,Leads!$G:$G,Positivação!$G53)*_xlfn.XLOOKUP($AB53,'Balizador da Meta'!$F$4:$F$9,'Balizador da Meta'!G$4:G$9),0)</f>
        <v>1</v>
      </c>
      <c r="M53" s="38">
        <f>ROUND(SUMIFS(Leads!L:L,Leads!$I:$I,Positivação!$I53,Leads!$G:$G,Positivação!$G53)*_xlfn.XLOOKUP($AB53,'Balizador da Meta'!$F$4:$F$9,'Balizador da Meta'!H$4:H$9),0)</f>
        <v>1</v>
      </c>
      <c r="N53" s="38">
        <f>ROUND(SUMIFS(Leads!M:M,Leads!$I:$I,Positivação!$I53,Leads!$G:$G,Positivação!$G53)*_xlfn.XLOOKUP($AB53,'Balizador da Meta'!$F$4:$F$9,'Balizador da Meta'!I$4:I$9),0)</f>
        <v>1</v>
      </c>
      <c r="O53" s="38">
        <f>ROUND(SUMIFS(Leads!N:N,Leads!$I:$I,Positivação!$I53,Leads!$G:$G,Positivação!$G53)*_xlfn.XLOOKUP($AB53,'Balizador da Meta'!$F$4:$F$9,'Balizador da Meta'!J$4:J$9),0)</f>
        <v>1</v>
      </c>
      <c r="P53" s="38">
        <f>ROUND(SUMIFS(Leads!O:O,Leads!$I:$I,Positivação!$I53,Leads!$G:$G,Positivação!$G53)*_xlfn.XLOOKUP($AB53,'Balizador da Meta'!$F$4:$F$9,'Balizador da Meta'!K$4:K$9),0)</f>
        <v>1</v>
      </c>
      <c r="Q53" s="38">
        <f>ROUND(SUMIFS(Leads!P:P,Leads!$I:$I,Positivação!$I53,Leads!$G:$G,Positivação!$G53)*_xlfn.XLOOKUP($AB53,'Balizador da Meta'!$F$4:$F$9,'Balizador da Meta'!L$4:L$9),0)</f>
        <v>1</v>
      </c>
      <c r="R53" s="38">
        <f>ROUND(SUMIFS(Leads!Q:Q,Leads!$I:$I,Positivação!$I53,Leads!$G:$G,Positivação!$G53)*_xlfn.XLOOKUP($AB53,'Balizador da Meta'!$F$4:$F$9,'Balizador da Meta'!M$4:M$9),0)</f>
        <v>1</v>
      </c>
      <c r="S53" s="38">
        <f>ROUND(SUMIFS(Leads!R:R,Leads!$I:$I,Positivação!$I53,Leads!$G:$G,Positivação!$G53)*_xlfn.XLOOKUP($AB53,'Balizador da Meta'!$F$4:$F$9,'Balizador da Meta'!N$4:N$9),0)</f>
        <v>1</v>
      </c>
      <c r="T53" s="38">
        <f>ROUND(SUMIFS(Leads!S:S,Leads!$I:$I,Positivação!$I53,Leads!$G:$G,Positivação!$G53)*_xlfn.XLOOKUP($AB53,'Balizador da Meta'!$F$4:$F$9,'Balizador da Meta'!O$4:O$9),0)</f>
        <v>1</v>
      </c>
      <c r="U53" s="38">
        <f>ROUND(SUMIFS(Leads!T:T,Leads!$I:$I,Positivação!$I53,Leads!$G:$G,Positivação!$G53)*_xlfn.XLOOKUP($AB53,'Balizador da Meta'!$F$4:$F$9,'Balizador da Meta'!P$4:P$9),0)</f>
        <v>1</v>
      </c>
      <c r="V53" s="38">
        <f>ROUND(SUMIFS(Leads!U:U,Leads!$I:$I,Positivação!$I53,Leads!$G:$G,Positivação!$G53)*_xlfn.XLOOKUP($AB53,'Balizador da Meta'!$F$4:$F$9,'Balizador da Meta'!Q$4:Q$9),0)</f>
        <v>1</v>
      </c>
      <c r="W53" s="38">
        <f>ROUND(SUMIFS(Leads!V:V,Leads!$I:$I,Positivação!$I53,Leads!$G:$G,Positivação!$G53)*_xlfn.XLOOKUP($AB53,'Balizador da Meta'!$F$4:$F$9,'Balizador da Meta'!R$4:R$9),0)</f>
        <v>1</v>
      </c>
      <c r="X53" s="29"/>
      <c r="Y53" s="28">
        <f>IFERROR(SUMIFS('Historico - FAT'!AO:AO,'Historico - FAT'!I:I,Positivação!I53,'Historico - FAT'!G:G,Positivação!G53)/SUM(L53:T53),0)</f>
        <v>1176.6511111111113</v>
      </c>
      <c r="Z53" s="28">
        <v>600</v>
      </c>
      <c r="AA53" s="29"/>
      <c r="AB53" s="38" t="s">
        <v>180</v>
      </c>
      <c r="AC53" s="29"/>
      <c r="AD53" s="38">
        <v>7</v>
      </c>
      <c r="AE53" s="38"/>
    </row>
    <row r="54" spans="1:31" x14ac:dyDescent="0.3">
      <c r="A54" s="2">
        <v>1000184670</v>
      </c>
      <c r="B54" s="2" t="s">
        <v>147</v>
      </c>
      <c r="C54" s="4"/>
      <c r="D54" s="4"/>
      <c r="E54" s="2">
        <v>1000184760</v>
      </c>
      <c r="F54" s="2" t="s">
        <v>60</v>
      </c>
      <c r="G54" s="4">
        <v>1000189781</v>
      </c>
      <c r="H54" s="4" t="s">
        <v>108</v>
      </c>
      <c r="I54" s="2">
        <v>1000189270</v>
      </c>
      <c r="J54" s="2" t="s">
        <v>34</v>
      </c>
      <c r="K54" s="2" t="str">
        <f t="shared" si="1"/>
        <v>100018467010001897811000189270</v>
      </c>
      <c r="L54" s="38">
        <f>ROUND(SUMIFS(Leads!K:K,Leads!$I:$I,Positivação!$I54,Leads!$G:$G,Positivação!$G54)*_xlfn.XLOOKUP($AB54,'Balizador da Meta'!$F$4:$F$9,'Balizador da Meta'!G$4:G$9),0)</f>
        <v>5</v>
      </c>
      <c r="M54" s="38">
        <f>ROUND(SUMIFS(Leads!L:L,Leads!$I:$I,Positivação!$I54,Leads!$G:$G,Positivação!$G54)*_xlfn.XLOOKUP($AB54,'Balizador da Meta'!$F$4:$F$9,'Balizador da Meta'!H$4:H$9),0)</f>
        <v>5</v>
      </c>
      <c r="N54" s="38">
        <f>ROUND(SUMIFS(Leads!M:M,Leads!$I:$I,Positivação!$I54,Leads!$G:$G,Positivação!$G54)*_xlfn.XLOOKUP($AB54,'Balizador da Meta'!$F$4:$F$9,'Balizador da Meta'!I$4:I$9),0)</f>
        <v>5</v>
      </c>
      <c r="O54" s="38">
        <f>ROUND(SUMIFS(Leads!N:N,Leads!$I:$I,Positivação!$I54,Leads!$G:$G,Positivação!$G54)*_xlfn.XLOOKUP($AB54,'Balizador da Meta'!$F$4:$F$9,'Balizador da Meta'!J$4:J$9),0)</f>
        <v>5</v>
      </c>
      <c r="P54" s="38">
        <f>ROUND(SUMIFS(Leads!O:O,Leads!$I:$I,Positivação!$I54,Leads!$G:$G,Positivação!$G54)*_xlfn.XLOOKUP($AB54,'Balizador da Meta'!$F$4:$F$9,'Balizador da Meta'!K$4:K$9),0)</f>
        <v>5</v>
      </c>
      <c r="Q54" s="38">
        <f>ROUND(SUMIFS(Leads!P:P,Leads!$I:$I,Positivação!$I54,Leads!$G:$G,Positivação!$G54)*_xlfn.XLOOKUP($AB54,'Balizador da Meta'!$F$4:$F$9,'Balizador da Meta'!L$4:L$9),0)</f>
        <v>5</v>
      </c>
      <c r="R54" s="38">
        <f>ROUND(SUMIFS(Leads!Q:Q,Leads!$I:$I,Positivação!$I54,Leads!$G:$G,Positivação!$G54)*_xlfn.XLOOKUP($AB54,'Balizador da Meta'!$F$4:$F$9,'Balizador da Meta'!M$4:M$9),0)</f>
        <v>5</v>
      </c>
      <c r="S54" s="38">
        <f>ROUND(SUMIFS(Leads!R:R,Leads!$I:$I,Positivação!$I54,Leads!$G:$G,Positivação!$G54)*_xlfn.XLOOKUP($AB54,'Balizador da Meta'!$F$4:$F$9,'Balizador da Meta'!N$4:N$9),0)</f>
        <v>5</v>
      </c>
      <c r="T54" s="38">
        <f>ROUND(SUMIFS(Leads!S:S,Leads!$I:$I,Positivação!$I54,Leads!$G:$G,Positivação!$G54)*_xlfn.XLOOKUP($AB54,'Balizador da Meta'!$F$4:$F$9,'Balizador da Meta'!O$4:O$9),0)</f>
        <v>5</v>
      </c>
      <c r="U54" s="38">
        <f>ROUND(SUMIFS(Leads!T:T,Leads!$I:$I,Positivação!$I54,Leads!$G:$G,Positivação!$G54)*_xlfn.XLOOKUP($AB54,'Balizador da Meta'!$F$4:$F$9,'Balizador da Meta'!P$4:P$9),0)</f>
        <v>5</v>
      </c>
      <c r="V54" s="38">
        <f>ROUND(SUMIFS(Leads!U:U,Leads!$I:$I,Positivação!$I54,Leads!$G:$G,Positivação!$G54)*_xlfn.XLOOKUP($AB54,'Balizador da Meta'!$F$4:$F$9,'Balizador da Meta'!Q$4:Q$9),0)</f>
        <v>5</v>
      </c>
      <c r="W54" s="38">
        <f>ROUND(SUMIFS(Leads!V:V,Leads!$I:$I,Positivação!$I54,Leads!$G:$G,Positivação!$G54)*_xlfn.XLOOKUP($AB54,'Balizador da Meta'!$F$4:$F$9,'Balizador da Meta'!R$4:R$9),0)</f>
        <v>5</v>
      </c>
      <c r="X54" s="29"/>
      <c r="Y54" s="28">
        <f>IFERROR(SUMIFS('Historico - FAT'!AO:AO,'Historico - FAT'!I:I,Positivação!I54,'Historico - FAT'!G:G,Positivação!G54)/SUM(L54:T54),0)</f>
        <v>437.03088888888897</v>
      </c>
      <c r="Z54" s="28">
        <v>600</v>
      </c>
      <c r="AA54" s="29"/>
      <c r="AB54" s="38" t="s">
        <v>180</v>
      </c>
      <c r="AC54" s="29"/>
      <c r="AD54" s="38">
        <v>23</v>
      </c>
      <c r="AE54" s="38"/>
    </row>
    <row r="55" spans="1:31" x14ac:dyDescent="0.3">
      <c r="A55" s="2">
        <v>1000184670</v>
      </c>
      <c r="B55" s="2" t="s">
        <v>147</v>
      </c>
      <c r="C55" s="4"/>
      <c r="D55" s="4"/>
      <c r="E55" s="2">
        <v>1000184760</v>
      </c>
      <c r="F55" s="2" t="s">
        <v>60</v>
      </c>
      <c r="G55" s="4">
        <v>1000189782</v>
      </c>
      <c r="H55" s="4" t="s">
        <v>109</v>
      </c>
      <c r="I55" s="2">
        <v>1000189270</v>
      </c>
      <c r="J55" s="2" t="s">
        <v>34</v>
      </c>
      <c r="K55" s="2" t="str">
        <f t="shared" si="1"/>
        <v>100018467010001897821000189270</v>
      </c>
      <c r="L55" s="38">
        <f>ROUND(SUMIFS(Leads!K:K,Leads!$I:$I,Positivação!$I55,Leads!$G:$G,Positivação!$G55)*_xlfn.XLOOKUP($AB55,'Balizador da Meta'!$F$4:$F$9,'Balizador da Meta'!G$4:G$9),0)</f>
        <v>1</v>
      </c>
      <c r="M55" s="38">
        <f>ROUND(SUMIFS(Leads!L:L,Leads!$I:$I,Positivação!$I55,Leads!$G:$G,Positivação!$G55)*_xlfn.XLOOKUP($AB55,'Balizador da Meta'!$F$4:$F$9,'Balizador da Meta'!H$4:H$9),0)</f>
        <v>1</v>
      </c>
      <c r="N55" s="38">
        <f>ROUND(SUMIFS(Leads!M:M,Leads!$I:$I,Positivação!$I55,Leads!$G:$G,Positivação!$G55)*_xlfn.XLOOKUP($AB55,'Balizador da Meta'!$F$4:$F$9,'Balizador da Meta'!I$4:I$9),0)</f>
        <v>1</v>
      </c>
      <c r="O55" s="38">
        <f>ROUND(SUMIFS(Leads!N:N,Leads!$I:$I,Positivação!$I55,Leads!$G:$G,Positivação!$G55)*_xlfn.XLOOKUP($AB55,'Balizador da Meta'!$F$4:$F$9,'Balizador da Meta'!J$4:J$9),0)</f>
        <v>1</v>
      </c>
      <c r="P55" s="38">
        <f>ROUND(SUMIFS(Leads!O:O,Leads!$I:$I,Positivação!$I55,Leads!$G:$G,Positivação!$G55)*_xlfn.XLOOKUP($AB55,'Balizador da Meta'!$F$4:$F$9,'Balizador da Meta'!K$4:K$9),0)</f>
        <v>1</v>
      </c>
      <c r="Q55" s="38">
        <f>ROUND(SUMIFS(Leads!P:P,Leads!$I:$I,Positivação!$I55,Leads!$G:$G,Positivação!$G55)*_xlfn.XLOOKUP($AB55,'Balizador da Meta'!$F$4:$F$9,'Balizador da Meta'!L$4:L$9),0)</f>
        <v>1</v>
      </c>
      <c r="R55" s="38">
        <f>ROUND(SUMIFS(Leads!Q:Q,Leads!$I:$I,Positivação!$I55,Leads!$G:$G,Positivação!$G55)*_xlfn.XLOOKUP($AB55,'Balizador da Meta'!$F$4:$F$9,'Balizador da Meta'!M$4:M$9),0)</f>
        <v>1</v>
      </c>
      <c r="S55" s="38">
        <f>ROUND(SUMIFS(Leads!R:R,Leads!$I:$I,Positivação!$I55,Leads!$G:$G,Positivação!$G55)*_xlfn.XLOOKUP($AB55,'Balizador da Meta'!$F$4:$F$9,'Balizador da Meta'!N$4:N$9),0)</f>
        <v>1</v>
      </c>
      <c r="T55" s="38">
        <f>ROUND(SUMIFS(Leads!S:S,Leads!$I:$I,Positivação!$I55,Leads!$G:$G,Positivação!$G55)*_xlfn.XLOOKUP($AB55,'Balizador da Meta'!$F$4:$F$9,'Balizador da Meta'!O$4:O$9),0)</f>
        <v>1</v>
      </c>
      <c r="U55" s="38">
        <f>ROUND(SUMIFS(Leads!T:T,Leads!$I:$I,Positivação!$I55,Leads!$G:$G,Positivação!$G55)*_xlfn.XLOOKUP($AB55,'Balizador da Meta'!$F$4:$F$9,'Balizador da Meta'!P$4:P$9),0)</f>
        <v>1</v>
      </c>
      <c r="V55" s="38">
        <f>ROUND(SUMIFS(Leads!U:U,Leads!$I:$I,Positivação!$I55,Leads!$G:$G,Positivação!$G55)*_xlfn.XLOOKUP($AB55,'Balizador da Meta'!$F$4:$F$9,'Balizador da Meta'!Q$4:Q$9),0)</f>
        <v>1</v>
      </c>
      <c r="W55" s="38">
        <f>ROUND(SUMIFS(Leads!V:V,Leads!$I:$I,Positivação!$I55,Leads!$G:$G,Positivação!$G55)*_xlfn.XLOOKUP($AB55,'Balizador da Meta'!$F$4:$F$9,'Balizador da Meta'!R$4:R$9),0)</f>
        <v>1</v>
      </c>
      <c r="X55" s="29"/>
      <c r="Y55" s="28">
        <f>IFERROR(SUMIFS('Historico - FAT'!AO:AO,'Historico - FAT'!I:I,Positivação!I55,'Historico - FAT'!G:G,Positivação!G55)/SUM(L55:T55),0)</f>
        <v>515.67999999999995</v>
      </c>
      <c r="Z55" s="28">
        <v>600</v>
      </c>
      <c r="AA55" s="29"/>
      <c r="AB55" s="38" t="s">
        <v>180</v>
      </c>
      <c r="AC55" s="29"/>
      <c r="AD55" s="38">
        <v>7</v>
      </c>
      <c r="AE55" s="38"/>
    </row>
    <row r="56" spans="1:31" x14ac:dyDescent="0.3">
      <c r="A56" s="2">
        <v>1000184670</v>
      </c>
      <c r="B56" s="2" t="s">
        <v>147</v>
      </c>
      <c r="C56" s="4"/>
      <c r="D56" s="4"/>
      <c r="E56" s="2">
        <v>1000184760</v>
      </c>
      <c r="F56" s="2" t="s">
        <v>60</v>
      </c>
      <c r="G56" s="4">
        <v>1000189796</v>
      </c>
      <c r="H56" s="4" t="s">
        <v>61</v>
      </c>
      <c r="I56" s="2">
        <v>1000189270</v>
      </c>
      <c r="J56" s="2" t="s">
        <v>34</v>
      </c>
      <c r="K56" s="2" t="str">
        <f t="shared" si="1"/>
        <v>100018467010001897961000189270</v>
      </c>
      <c r="L56" s="38">
        <f>ROUND(SUMIFS(Leads!K:K,Leads!$I:$I,Positivação!$I56,Leads!$G:$G,Positivação!$G56)*_xlfn.XLOOKUP($AB56,'Balizador da Meta'!$F$4:$F$9,'Balizador da Meta'!G$4:G$9),0)</f>
        <v>6</v>
      </c>
      <c r="M56" s="38">
        <f>ROUND(SUMIFS(Leads!L:L,Leads!$I:$I,Positivação!$I56,Leads!$G:$G,Positivação!$G56)*_xlfn.XLOOKUP($AB56,'Balizador da Meta'!$F$4:$F$9,'Balizador da Meta'!H$4:H$9),0)</f>
        <v>6</v>
      </c>
      <c r="N56" s="38">
        <f>ROUND(SUMIFS(Leads!M:M,Leads!$I:$I,Positivação!$I56,Leads!$G:$G,Positivação!$G56)*_xlfn.XLOOKUP($AB56,'Balizador da Meta'!$F$4:$F$9,'Balizador da Meta'!I$4:I$9),0)</f>
        <v>6</v>
      </c>
      <c r="O56" s="38">
        <f>ROUND(SUMIFS(Leads!N:N,Leads!$I:$I,Positivação!$I56,Leads!$G:$G,Positivação!$G56)*_xlfn.XLOOKUP($AB56,'Balizador da Meta'!$F$4:$F$9,'Balizador da Meta'!J$4:J$9),0)</f>
        <v>6</v>
      </c>
      <c r="P56" s="38">
        <f>ROUND(SUMIFS(Leads!O:O,Leads!$I:$I,Positivação!$I56,Leads!$G:$G,Positivação!$G56)*_xlfn.XLOOKUP($AB56,'Balizador da Meta'!$F$4:$F$9,'Balizador da Meta'!K$4:K$9),0)</f>
        <v>6</v>
      </c>
      <c r="Q56" s="38">
        <f>ROUND(SUMIFS(Leads!P:P,Leads!$I:$I,Positivação!$I56,Leads!$G:$G,Positivação!$G56)*_xlfn.XLOOKUP($AB56,'Balizador da Meta'!$F$4:$F$9,'Balizador da Meta'!L$4:L$9),0)</f>
        <v>6</v>
      </c>
      <c r="R56" s="38">
        <f>ROUND(SUMIFS(Leads!Q:Q,Leads!$I:$I,Positivação!$I56,Leads!$G:$G,Positivação!$G56)*_xlfn.XLOOKUP($AB56,'Balizador da Meta'!$F$4:$F$9,'Balizador da Meta'!M$4:M$9),0)</f>
        <v>6</v>
      </c>
      <c r="S56" s="38">
        <f>ROUND(SUMIFS(Leads!R:R,Leads!$I:$I,Positivação!$I56,Leads!$G:$G,Positivação!$G56)*_xlfn.XLOOKUP($AB56,'Balizador da Meta'!$F$4:$F$9,'Balizador da Meta'!N$4:N$9),0)</f>
        <v>6</v>
      </c>
      <c r="T56" s="38">
        <f>ROUND(SUMIFS(Leads!S:S,Leads!$I:$I,Positivação!$I56,Leads!$G:$G,Positivação!$G56)*_xlfn.XLOOKUP($AB56,'Balizador da Meta'!$F$4:$F$9,'Balizador da Meta'!O$4:O$9),0)</f>
        <v>6</v>
      </c>
      <c r="U56" s="38">
        <f>ROUND(SUMIFS(Leads!T:T,Leads!$I:$I,Positivação!$I56,Leads!$G:$G,Positivação!$G56)*_xlfn.XLOOKUP($AB56,'Balizador da Meta'!$F$4:$F$9,'Balizador da Meta'!P$4:P$9),0)</f>
        <v>6</v>
      </c>
      <c r="V56" s="38">
        <f>ROUND(SUMIFS(Leads!U:U,Leads!$I:$I,Positivação!$I56,Leads!$G:$G,Positivação!$G56)*_xlfn.XLOOKUP($AB56,'Balizador da Meta'!$F$4:$F$9,'Balizador da Meta'!Q$4:Q$9),0)</f>
        <v>6</v>
      </c>
      <c r="W56" s="38">
        <f>ROUND(SUMIFS(Leads!V:V,Leads!$I:$I,Positivação!$I56,Leads!$G:$G,Positivação!$G56)*_xlfn.XLOOKUP($AB56,'Balizador da Meta'!$F$4:$F$9,'Balizador da Meta'!R$4:R$9),0)</f>
        <v>6</v>
      </c>
      <c r="X56" s="29"/>
      <c r="Y56" s="28">
        <f>IFERROR(SUMIFS('Historico - FAT'!AO:AO,'Historico - FAT'!I:I,Positivação!I56,'Historico - FAT'!G:G,Positivação!G56)/SUM(L56:T56),0)</f>
        <v>779.49314814814841</v>
      </c>
      <c r="Z56" s="28">
        <v>600</v>
      </c>
      <c r="AA56" s="29"/>
      <c r="AB56" s="38" t="s">
        <v>180</v>
      </c>
      <c r="AC56" s="29"/>
      <c r="AD56" s="38">
        <v>30</v>
      </c>
      <c r="AE56" s="38"/>
    </row>
    <row r="57" spans="1:31" x14ac:dyDescent="0.3">
      <c r="A57" s="2">
        <v>1000184670</v>
      </c>
      <c r="B57" s="2" t="s">
        <v>147</v>
      </c>
      <c r="C57" s="4"/>
      <c r="D57" s="4"/>
      <c r="E57" s="2">
        <v>1000184760</v>
      </c>
      <c r="F57" s="2" t="s">
        <v>60</v>
      </c>
      <c r="G57" s="4">
        <v>1000189797</v>
      </c>
      <c r="H57" s="4" t="s">
        <v>80</v>
      </c>
      <c r="I57" s="2">
        <v>1000189270</v>
      </c>
      <c r="J57" s="2" t="s">
        <v>34</v>
      </c>
      <c r="K57" s="2" t="str">
        <f t="shared" si="1"/>
        <v>100018467010001897971000189270</v>
      </c>
      <c r="L57" s="38">
        <f>ROUND(SUMIFS(Leads!K:K,Leads!$I:$I,Positivação!$I57,Leads!$G:$G,Positivação!$G57)*_xlfn.XLOOKUP($AB57,'Balizador da Meta'!$F$4:$F$9,'Balizador da Meta'!G$4:G$9),0)</f>
        <v>2</v>
      </c>
      <c r="M57" s="38">
        <f>ROUND(SUMIFS(Leads!L:L,Leads!$I:$I,Positivação!$I57,Leads!$G:$G,Positivação!$G57)*_xlfn.XLOOKUP($AB57,'Balizador da Meta'!$F$4:$F$9,'Balizador da Meta'!H$4:H$9),0)</f>
        <v>2</v>
      </c>
      <c r="N57" s="38">
        <f>ROUND(SUMIFS(Leads!M:M,Leads!$I:$I,Positivação!$I57,Leads!$G:$G,Positivação!$G57)*_xlfn.XLOOKUP($AB57,'Balizador da Meta'!$F$4:$F$9,'Balizador da Meta'!I$4:I$9),0)</f>
        <v>2</v>
      </c>
      <c r="O57" s="38">
        <f>ROUND(SUMIFS(Leads!N:N,Leads!$I:$I,Positivação!$I57,Leads!$G:$G,Positivação!$G57)*_xlfn.XLOOKUP($AB57,'Balizador da Meta'!$F$4:$F$9,'Balizador da Meta'!J$4:J$9),0)</f>
        <v>2</v>
      </c>
      <c r="P57" s="38">
        <f>ROUND(SUMIFS(Leads!O:O,Leads!$I:$I,Positivação!$I57,Leads!$G:$G,Positivação!$G57)*_xlfn.XLOOKUP($AB57,'Balizador da Meta'!$F$4:$F$9,'Balizador da Meta'!K$4:K$9),0)</f>
        <v>2</v>
      </c>
      <c r="Q57" s="38">
        <f>ROUND(SUMIFS(Leads!P:P,Leads!$I:$I,Positivação!$I57,Leads!$G:$G,Positivação!$G57)*_xlfn.XLOOKUP($AB57,'Balizador da Meta'!$F$4:$F$9,'Balizador da Meta'!L$4:L$9),0)</f>
        <v>2</v>
      </c>
      <c r="R57" s="38">
        <f>ROUND(SUMIFS(Leads!Q:Q,Leads!$I:$I,Positivação!$I57,Leads!$G:$G,Positivação!$G57)*_xlfn.XLOOKUP($AB57,'Balizador da Meta'!$F$4:$F$9,'Balizador da Meta'!M$4:M$9),0)</f>
        <v>2</v>
      </c>
      <c r="S57" s="38">
        <f>ROUND(SUMIFS(Leads!R:R,Leads!$I:$I,Positivação!$I57,Leads!$G:$G,Positivação!$G57)*_xlfn.XLOOKUP($AB57,'Balizador da Meta'!$F$4:$F$9,'Balizador da Meta'!N$4:N$9),0)</f>
        <v>2</v>
      </c>
      <c r="T57" s="38">
        <f>ROUND(SUMIFS(Leads!S:S,Leads!$I:$I,Positivação!$I57,Leads!$G:$G,Positivação!$G57)*_xlfn.XLOOKUP($AB57,'Balizador da Meta'!$F$4:$F$9,'Balizador da Meta'!O$4:O$9),0)</f>
        <v>2</v>
      </c>
      <c r="U57" s="38">
        <f>ROUND(SUMIFS(Leads!T:T,Leads!$I:$I,Positivação!$I57,Leads!$G:$G,Positivação!$G57)*_xlfn.XLOOKUP($AB57,'Balizador da Meta'!$F$4:$F$9,'Balizador da Meta'!P$4:P$9),0)</f>
        <v>2</v>
      </c>
      <c r="V57" s="38">
        <f>ROUND(SUMIFS(Leads!U:U,Leads!$I:$I,Positivação!$I57,Leads!$G:$G,Positivação!$G57)*_xlfn.XLOOKUP($AB57,'Balizador da Meta'!$F$4:$F$9,'Balizador da Meta'!Q$4:Q$9),0)</f>
        <v>2</v>
      </c>
      <c r="W57" s="38">
        <f>ROUND(SUMIFS(Leads!V:V,Leads!$I:$I,Positivação!$I57,Leads!$G:$G,Positivação!$G57)*_xlfn.XLOOKUP($AB57,'Balizador da Meta'!$F$4:$F$9,'Balizador da Meta'!R$4:R$9),0)</f>
        <v>2</v>
      </c>
      <c r="X57" s="29"/>
      <c r="Y57" s="28">
        <f>IFERROR(SUMIFS('Historico - FAT'!AO:AO,'Historico - FAT'!I:I,Positivação!I57,'Historico - FAT'!G:G,Positivação!G57)/SUM(L57:T57),0)</f>
        <v>321.8655555555556</v>
      </c>
      <c r="Z57" s="28">
        <v>600</v>
      </c>
      <c r="AA57" s="29"/>
      <c r="AB57" s="38" t="s">
        <v>180</v>
      </c>
      <c r="AC57" s="29"/>
      <c r="AD57" s="38">
        <v>8</v>
      </c>
      <c r="AE57" s="38"/>
    </row>
    <row r="58" spans="1:31" x14ac:dyDescent="0.3">
      <c r="A58" s="2">
        <v>1000184670</v>
      </c>
      <c r="B58" s="2" t="s">
        <v>147</v>
      </c>
      <c r="C58" s="4"/>
      <c r="D58" s="4"/>
      <c r="E58" s="2">
        <v>1000184760</v>
      </c>
      <c r="F58" s="2" t="s">
        <v>60</v>
      </c>
      <c r="G58" s="4">
        <v>1000189798</v>
      </c>
      <c r="H58" s="4" t="s">
        <v>110</v>
      </c>
      <c r="I58" s="2">
        <v>1000189270</v>
      </c>
      <c r="J58" s="2" t="s">
        <v>34</v>
      </c>
      <c r="K58" s="2" t="str">
        <f t="shared" si="1"/>
        <v>100018467010001897981000189270</v>
      </c>
      <c r="L58" s="38">
        <f>ROUND(SUMIFS(Leads!K:K,Leads!$I:$I,Positivação!$I58,Leads!$G:$G,Positivação!$G58)*_xlfn.XLOOKUP($AB58,'Balizador da Meta'!$F$4:$F$9,'Balizador da Meta'!G$4:G$9),0)</f>
        <v>0</v>
      </c>
      <c r="M58" s="38">
        <f>ROUND(SUMIFS(Leads!L:L,Leads!$I:$I,Positivação!$I58,Leads!$G:$G,Positivação!$G58)*_xlfn.XLOOKUP($AB58,'Balizador da Meta'!$F$4:$F$9,'Balizador da Meta'!H$4:H$9),0)</f>
        <v>0</v>
      </c>
      <c r="N58" s="38">
        <f>ROUND(SUMIFS(Leads!M:M,Leads!$I:$I,Positivação!$I58,Leads!$G:$G,Positivação!$G58)*_xlfn.XLOOKUP($AB58,'Balizador da Meta'!$F$4:$F$9,'Balizador da Meta'!I$4:I$9),0)</f>
        <v>0</v>
      </c>
      <c r="O58" s="38">
        <f>ROUND(SUMIFS(Leads!N:N,Leads!$I:$I,Positivação!$I58,Leads!$G:$G,Positivação!$G58)*_xlfn.XLOOKUP($AB58,'Balizador da Meta'!$F$4:$F$9,'Balizador da Meta'!J$4:J$9),0)</f>
        <v>0</v>
      </c>
      <c r="P58" s="38">
        <f>ROUND(SUMIFS(Leads!O:O,Leads!$I:$I,Positivação!$I58,Leads!$G:$G,Positivação!$G58)*_xlfn.XLOOKUP($AB58,'Balizador da Meta'!$F$4:$F$9,'Balizador da Meta'!K$4:K$9),0)</f>
        <v>0</v>
      </c>
      <c r="Q58" s="38">
        <f>ROUND(SUMIFS(Leads!P:P,Leads!$I:$I,Positivação!$I58,Leads!$G:$G,Positivação!$G58)*_xlfn.XLOOKUP($AB58,'Balizador da Meta'!$F$4:$F$9,'Balizador da Meta'!L$4:L$9),0)</f>
        <v>0</v>
      </c>
      <c r="R58" s="38">
        <f>ROUND(SUMIFS(Leads!Q:Q,Leads!$I:$I,Positivação!$I58,Leads!$G:$G,Positivação!$G58)*_xlfn.XLOOKUP($AB58,'Balizador da Meta'!$F$4:$F$9,'Balizador da Meta'!M$4:M$9),0)</f>
        <v>0</v>
      </c>
      <c r="S58" s="38">
        <f>ROUND(SUMIFS(Leads!R:R,Leads!$I:$I,Positivação!$I58,Leads!$G:$G,Positivação!$G58)*_xlfn.XLOOKUP($AB58,'Balizador da Meta'!$F$4:$F$9,'Balizador da Meta'!N$4:N$9),0)</f>
        <v>0</v>
      </c>
      <c r="T58" s="38">
        <f>ROUND(SUMIFS(Leads!S:S,Leads!$I:$I,Positivação!$I58,Leads!$G:$G,Positivação!$G58)*_xlfn.XLOOKUP($AB58,'Balizador da Meta'!$F$4:$F$9,'Balizador da Meta'!O$4:O$9),0)</f>
        <v>0</v>
      </c>
      <c r="U58" s="38">
        <f>ROUND(SUMIFS(Leads!T:T,Leads!$I:$I,Positivação!$I58,Leads!$G:$G,Positivação!$G58)*_xlfn.XLOOKUP($AB58,'Balizador da Meta'!$F$4:$F$9,'Balizador da Meta'!P$4:P$9),0)</f>
        <v>0</v>
      </c>
      <c r="V58" s="38">
        <f>ROUND(SUMIFS(Leads!U:U,Leads!$I:$I,Positivação!$I58,Leads!$G:$G,Positivação!$G58)*_xlfn.XLOOKUP($AB58,'Balizador da Meta'!$F$4:$F$9,'Balizador da Meta'!Q$4:Q$9),0)</f>
        <v>0</v>
      </c>
      <c r="W58" s="38">
        <f>ROUND(SUMIFS(Leads!V:V,Leads!$I:$I,Positivação!$I58,Leads!$G:$G,Positivação!$G58)*_xlfn.XLOOKUP($AB58,'Balizador da Meta'!$F$4:$F$9,'Balizador da Meta'!R$4:R$9),0)</f>
        <v>0</v>
      </c>
      <c r="X58" s="29"/>
      <c r="Y58" s="28">
        <f>IFERROR(SUMIFS('Historico - FAT'!AO:AO,'Historico - FAT'!I:I,Positivação!I58,'Historico - FAT'!G:G,Positivação!G58)/SUM(L58:T58),0)</f>
        <v>0</v>
      </c>
      <c r="Z58" s="28">
        <v>600</v>
      </c>
      <c r="AA58" s="29"/>
      <c r="AB58" s="38" t="s">
        <v>180</v>
      </c>
      <c r="AC58" s="29"/>
      <c r="AD58" s="38">
        <v>1</v>
      </c>
      <c r="AE58" s="38"/>
    </row>
    <row r="59" spans="1:31" x14ac:dyDescent="0.3">
      <c r="A59" s="2">
        <v>1000184670</v>
      </c>
      <c r="B59" s="2" t="s">
        <v>147</v>
      </c>
      <c r="C59" s="4"/>
      <c r="D59" s="4"/>
      <c r="E59" s="2">
        <v>1000184760</v>
      </c>
      <c r="F59" s="2" t="s">
        <v>60</v>
      </c>
      <c r="G59" s="4">
        <v>1000189799</v>
      </c>
      <c r="H59" s="4" t="s">
        <v>111</v>
      </c>
      <c r="I59" s="2">
        <v>1000189270</v>
      </c>
      <c r="J59" s="2" t="s">
        <v>34</v>
      </c>
      <c r="K59" s="2" t="str">
        <f t="shared" si="1"/>
        <v>100018467010001897991000189270</v>
      </c>
      <c r="L59" s="38">
        <f>ROUND(SUMIFS(Leads!K:K,Leads!$I:$I,Positivação!$I59,Leads!$G:$G,Positivação!$G59)*_xlfn.XLOOKUP($AB59,'Balizador da Meta'!$F$4:$F$9,'Balizador da Meta'!G$4:G$9),0)</f>
        <v>2</v>
      </c>
      <c r="M59" s="38">
        <f>ROUND(SUMIFS(Leads!L:L,Leads!$I:$I,Positivação!$I59,Leads!$G:$G,Positivação!$G59)*_xlfn.XLOOKUP($AB59,'Balizador da Meta'!$F$4:$F$9,'Balizador da Meta'!H$4:H$9),0)</f>
        <v>2</v>
      </c>
      <c r="N59" s="38">
        <f>ROUND(SUMIFS(Leads!M:M,Leads!$I:$I,Positivação!$I59,Leads!$G:$G,Positivação!$G59)*_xlfn.XLOOKUP($AB59,'Balizador da Meta'!$F$4:$F$9,'Balizador da Meta'!I$4:I$9),0)</f>
        <v>2</v>
      </c>
      <c r="O59" s="38">
        <f>ROUND(SUMIFS(Leads!N:N,Leads!$I:$I,Positivação!$I59,Leads!$G:$G,Positivação!$G59)*_xlfn.XLOOKUP($AB59,'Balizador da Meta'!$F$4:$F$9,'Balizador da Meta'!J$4:J$9),0)</f>
        <v>2</v>
      </c>
      <c r="P59" s="38">
        <f>ROUND(SUMIFS(Leads!O:O,Leads!$I:$I,Positivação!$I59,Leads!$G:$G,Positivação!$G59)*_xlfn.XLOOKUP($AB59,'Balizador da Meta'!$F$4:$F$9,'Balizador da Meta'!K$4:K$9),0)</f>
        <v>2</v>
      </c>
      <c r="Q59" s="38">
        <f>ROUND(SUMIFS(Leads!P:P,Leads!$I:$I,Positivação!$I59,Leads!$G:$G,Positivação!$G59)*_xlfn.XLOOKUP($AB59,'Balizador da Meta'!$F$4:$F$9,'Balizador da Meta'!L$4:L$9),0)</f>
        <v>2</v>
      </c>
      <c r="R59" s="38">
        <f>ROUND(SUMIFS(Leads!Q:Q,Leads!$I:$I,Positivação!$I59,Leads!$G:$G,Positivação!$G59)*_xlfn.XLOOKUP($AB59,'Balizador da Meta'!$F$4:$F$9,'Balizador da Meta'!M$4:M$9),0)</f>
        <v>2</v>
      </c>
      <c r="S59" s="38">
        <f>ROUND(SUMIFS(Leads!R:R,Leads!$I:$I,Positivação!$I59,Leads!$G:$G,Positivação!$G59)*_xlfn.XLOOKUP($AB59,'Balizador da Meta'!$F$4:$F$9,'Balizador da Meta'!N$4:N$9),0)</f>
        <v>2</v>
      </c>
      <c r="T59" s="38">
        <f>ROUND(SUMIFS(Leads!S:S,Leads!$I:$I,Positivação!$I59,Leads!$G:$G,Positivação!$G59)*_xlfn.XLOOKUP($AB59,'Balizador da Meta'!$F$4:$F$9,'Balizador da Meta'!O$4:O$9),0)</f>
        <v>2</v>
      </c>
      <c r="U59" s="38">
        <f>ROUND(SUMIFS(Leads!T:T,Leads!$I:$I,Positivação!$I59,Leads!$G:$G,Positivação!$G59)*_xlfn.XLOOKUP($AB59,'Balizador da Meta'!$F$4:$F$9,'Balizador da Meta'!P$4:P$9),0)</f>
        <v>2</v>
      </c>
      <c r="V59" s="38">
        <f>ROUND(SUMIFS(Leads!U:U,Leads!$I:$I,Positivação!$I59,Leads!$G:$G,Positivação!$G59)*_xlfn.XLOOKUP($AB59,'Balizador da Meta'!$F$4:$F$9,'Balizador da Meta'!Q$4:Q$9),0)</f>
        <v>2</v>
      </c>
      <c r="W59" s="38">
        <f>ROUND(SUMIFS(Leads!V:V,Leads!$I:$I,Positivação!$I59,Leads!$G:$G,Positivação!$G59)*_xlfn.XLOOKUP($AB59,'Balizador da Meta'!$F$4:$F$9,'Balizador da Meta'!R$4:R$9),0)</f>
        <v>2</v>
      </c>
      <c r="X59" s="29"/>
      <c r="Y59" s="28">
        <f>IFERROR(SUMIFS('Historico - FAT'!AO:AO,'Historico - FAT'!I:I,Positivação!I59,'Historico - FAT'!G:G,Positivação!G59)/SUM(L59:T59),0)</f>
        <v>154.49833333333333</v>
      </c>
      <c r="Z59" s="28">
        <v>600</v>
      </c>
      <c r="AA59" s="29"/>
      <c r="AB59" s="38" t="s">
        <v>180</v>
      </c>
      <c r="AC59" s="29"/>
      <c r="AD59" s="38">
        <v>9</v>
      </c>
      <c r="AE59" s="38"/>
    </row>
    <row r="60" spans="1:31" x14ac:dyDescent="0.3">
      <c r="A60" s="2">
        <v>1000184670</v>
      </c>
      <c r="B60" s="2" t="s">
        <v>147</v>
      </c>
      <c r="C60" s="4"/>
      <c r="D60" s="4"/>
      <c r="E60" s="2">
        <v>1000184762</v>
      </c>
      <c r="F60" s="2" t="s">
        <v>58</v>
      </c>
      <c r="G60" s="4">
        <v>1000189812</v>
      </c>
      <c r="H60" s="4" t="s">
        <v>112</v>
      </c>
      <c r="I60" s="2">
        <v>1000189270</v>
      </c>
      <c r="J60" s="2" t="s">
        <v>34</v>
      </c>
      <c r="K60" s="2" t="str">
        <f t="shared" si="1"/>
        <v>100018467010001898121000189270</v>
      </c>
      <c r="L60" s="38">
        <f>ROUND(SUMIFS(Leads!K:K,Leads!$I:$I,Positivação!$I60,Leads!$G:$G,Positivação!$G60)*_xlfn.XLOOKUP($AB60,'Balizador da Meta'!$F$4:$F$9,'Balizador da Meta'!G$4:G$9),0)</f>
        <v>2</v>
      </c>
      <c r="M60" s="38">
        <f>ROUND(SUMIFS(Leads!L:L,Leads!$I:$I,Positivação!$I60,Leads!$G:$G,Positivação!$G60)*_xlfn.XLOOKUP($AB60,'Balizador da Meta'!$F$4:$F$9,'Balizador da Meta'!H$4:H$9),0)</f>
        <v>2</v>
      </c>
      <c r="N60" s="38">
        <f>ROUND(SUMIFS(Leads!M:M,Leads!$I:$I,Positivação!$I60,Leads!$G:$G,Positivação!$G60)*_xlfn.XLOOKUP($AB60,'Balizador da Meta'!$F$4:$F$9,'Balizador da Meta'!I$4:I$9),0)</f>
        <v>3</v>
      </c>
      <c r="O60" s="38">
        <f>ROUND(SUMIFS(Leads!N:N,Leads!$I:$I,Positivação!$I60,Leads!$G:$G,Positivação!$G60)*_xlfn.XLOOKUP($AB60,'Balizador da Meta'!$F$4:$F$9,'Balizador da Meta'!J$4:J$9),0)</f>
        <v>3</v>
      </c>
      <c r="P60" s="38">
        <f>ROUND(SUMIFS(Leads!O:O,Leads!$I:$I,Positivação!$I60,Leads!$G:$G,Positivação!$G60)*_xlfn.XLOOKUP($AB60,'Balizador da Meta'!$F$4:$F$9,'Balizador da Meta'!K$4:K$9),0)</f>
        <v>3</v>
      </c>
      <c r="Q60" s="38">
        <f>ROUND(SUMIFS(Leads!P:P,Leads!$I:$I,Positivação!$I60,Leads!$G:$G,Positivação!$G60)*_xlfn.XLOOKUP($AB60,'Balizador da Meta'!$F$4:$F$9,'Balizador da Meta'!L$4:L$9),0)</f>
        <v>3</v>
      </c>
      <c r="R60" s="38">
        <f>ROUND(SUMIFS(Leads!Q:Q,Leads!$I:$I,Positivação!$I60,Leads!$G:$G,Positivação!$G60)*_xlfn.XLOOKUP($AB60,'Balizador da Meta'!$F$4:$F$9,'Balizador da Meta'!M$4:M$9),0)</f>
        <v>3</v>
      </c>
      <c r="S60" s="38">
        <f>ROUND(SUMIFS(Leads!R:R,Leads!$I:$I,Positivação!$I60,Leads!$G:$G,Positivação!$G60)*_xlfn.XLOOKUP($AB60,'Balizador da Meta'!$F$4:$F$9,'Balizador da Meta'!N$4:N$9),0)</f>
        <v>4</v>
      </c>
      <c r="T60" s="38">
        <f>ROUND(SUMIFS(Leads!S:S,Leads!$I:$I,Positivação!$I60,Leads!$G:$G,Positivação!$G60)*_xlfn.XLOOKUP($AB60,'Balizador da Meta'!$F$4:$F$9,'Balizador da Meta'!O$4:O$9),0)</f>
        <v>4</v>
      </c>
      <c r="U60" s="38">
        <f>ROUND(SUMIFS(Leads!T:T,Leads!$I:$I,Positivação!$I60,Leads!$G:$G,Positivação!$G60)*_xlfn.XLOOKUP($AB60,'Balizador da Meta'!$F$4:$F$9,'Balizador da Meta'!P$4:P$9),0)</f>
        <v>4</v>
      </c>
      <c r="V60" s="38">
        <f>ROUND(SUMIFS(Leads!U:U,Leads!$I:$I,Positivação!$I60,Leads!$G:$G,Positivação!$G60)*_xlfn.XLOOKUP($AB60,'Balizador da Meta'!$F$4:$F$9,'Balizador da Meta'!Q$4:Q$9),0)</f>
        <v>4</v>
      </c>
      <c r="W60" s="38">
        <f>ROUND(SUMIFS(Leads!V:V,Leads!$I:$I,Positivação!$I60,Leads!$G:$G,Positivação!$G60)*_xlfn.XLOOKUP($AB60,'Balizador da Meta'!$F$4:$F$9,'Balizador da Meta'!R$4:R$9),0)</f>
        <v>4</v>
      </c>
      <c r="X60" s="29"/>
      <c r="Y60" s="28">
        <f>IFERROR(SUMIFS('Historico - FAT'!AO:AO,'Historico - FAT'!I:I,Positivação!I60,'Historico - FAT'!G:G,Positivação!G60)/SUM(L60:T60),0)</f>
        <v>110.6562962962963</v>
      </c>
      <c r="Z60" s="28">
        <v>600</v>
      </c>
      <c r="AA60" s="29"/>
      <c r="AB60" s="38" t="s">
        <v>180</v>
      </c>
      <c r="AC60" s="29"/>
      <c r="AD60" s="38">
        <v>11</v>
      </c>
      <c r="AE60" s="38"/>
    </row>
    <row r="61" spans="1:31" x14ac:dyDescent="0.3">
      <c r="A61" s="2">
        <v>1000184670</v>
      </c>
      <c r="B61" s="2" t="s">
        <v>147</v>
      </c>
      <c r="C61" s="4"/>
      <c r="D61" s="4"/>
      <c r="E61" s="2">
        <v>1000184762</v>
      </c>
      <c r="F61" s="2" t="s">
        <v>58</v>
      </c>
      <c r="G61" s="4">
        <v>1000189813</v>
      </c>
      <c r="H61" s="4" t="s">
        <v>82</v>
      </c>
      <c r="I61" s="2">
        <v>1000189270</v>
      </c>
      <c r="J61" s="2" t="s">
        <v>34</v>
      </c>
      <c r="K61" s="2" t="str">
        <f t="shared" si="1"/>
        <v>100018467010001898131000189270</v>
      </c>
      <c r="L61" s="38">
        <f>ROUND(SUMIFS(Leads!K:K,Leads!$I:$I,Positivação!$I61,Leads!$G:$G,Positivação!$G61)*_xlfn.XLOOKUP($AB61,'Balizador da Meta'!$F$4:$F$9,'Balizador da Meta'!G$4:G$9),0)</f>
        <v>1</v>
      </c>
      <c r="M61" s="38">
        <f>ROUND(SUMIFS(Leads!L:L,Leads!$I:$I,Positivação!$I61,Leads!$G:$G,Positivação!$G61)*_xlfn.XLOOKUP($AB61,'Balizador da Meta'!$F$4:$F$9,'Balizador da Meta'!H$4:H$9),0)</f>
        <v>1</v>
      </c>
      <c r="N61" s="38">
        <f>ROUND(SUMIFS(Leads!M:M,Leads!$I:$I,Positivação!$I61,Leads!$G:$G,Positivação!$G61)*_xlfn.XLOOKUP($AB61,'Balizador da Meta'!$F$4:$F$9,'Balizador da Meta'!I$4:I$9),0)</f>
        <v>1</v>
      </c>
      <c r="O61" s="38">
        <f>ROUND(SUMIFS(Leads!N:N,Leads!$I:$I,Positivação!$I61,Leads!$G:$G,Positivação!$G61)*_xlfn.XLOOKUP($AB61,'Balizador da Meta'!$F$4:$F$9,'Balizador da Meta'!J$4:J$9),0)</f>
        <v>1</v>
      </c>
      <c r="P61" s="38">
        <f>ROUND(SUMIFS(Leads!O:O,Leads!$I:$I,Positivação!$I61,Leads!$G:$G,Positivação!$G61)*_xlfn.XLOOKUP($AB61,'Balizador da Meta'!$F$4:$F$9,'Balizador da Meta'!K$4:K$9),0)</f>
        <v>2</v>
      </c>
      <c r="Q61" s="38">
        <f>ROUND(SUMIFS(Leads!P:P,Leads!$I:$I,Positivação!$I61,Leads!$G:$G,Positivação!$G61)*_xlfn.XLOOKUP($AB61,'Balizador da Meta'!$F$4:$F$9,'Balizador da Meta'!L$4:L$9),0)</f>
        <v>2</v>
      </c>
      <c r="R61" s="38">
        <f>ROUND(SUMIFS(Leads!Q:Q,Leads!$I:$I,Positivação!$I61,Leads!$G:$G,Positivação!$G61)*_xlfn.XLOOKUP($AB61,'Balizador da Meta'!$F$4:$F$9,'Balizador da Meta'!M$4:M$9),0)</f>
        <v>2</v>
      </c>
      <c r="S61" s="38">
        <f>ROUND(SUMIFS(Leads!R:R,Leads!$I:$I,Positivação!$I61,Leads!$G:$G,Positivação!$G61)*_xlfn.XLOOKUP($AB61,'Balizador da Meta'!$F$4:$F$9,'Balizador da Meta'!N$4:N$9),0)</f>
        <v>2</v>
      </c>
      <c r="T61" s="38">
        <f>ROUND(SUMIFS(Leads!S:S,Leads!$I:$I,Positivação!$I61,Leads!$G:$G,Positivação!$G61)*_xlfn.XLOOKUP($AB61,'Balizador da Meta'!$F$4:$F$9,'Balizador da Meta'!O$4:O$9),0)</f>
        <v>2</v>
      </c>
      <c r="U61" s="38">
        <f>ROUND(SUMIFS(Leads!T:T,Leads!$I:$I,Positivação!$I61,Leads!$G:$G,Positivação!$G61)*_xlfn.XLOOKUP($AB61,'Balizador da Meta'!$F$4:$F$9,'Balizador da Meta'!P$4:P$9),0)</f>
        <v>3</v>
      </c>
      <c r="V61" s="38">
        <f>ROUND(SUMIFS(Leads!U:U,Leads!$I:$I,Positivação!$I61,Leads!$G:$G,Positivação!$G61)*_xlfn.XLOOKUP($AB61,'Balizador da Meta'!$F$4:$F$9,'Balizador da Meta'!Q$4:Q$9),0)</f>
        <v>3</v>
      </c>
      <c r="W61" s="38">
        <f>ROUND(SUMIFS(Leads!V:V,Leads!$I:$I,Positivação!$I61,Leads!$G:$G,Positivação!$G61)*_xlfn.XLOOKUP($AB61,'Balizador da Meta'!$F$4:$F$9,'Balizador da Meta'!R$4:R$9),0)</f>
        <v>3</v>
      </c>
      <c r="X61" s="29"/>
      <c r="Y61" s="28">
        <f>IFERROR(SUMIFS('Historico - FAT'!AO:AO,'Historico - FAT'!I:I,Positivação!I61,'Historico - FAT'!G:G,Positivação!G61)/SUM(L61:T61),0)</f>
        <v>288.39</v>
      </c>
      <c r="Z61" s="28">
        <v>600</v>
      </c>
      <c r="AA61" s="29"/>
      <c r="AB61" s="38" t="s">
        <v>180</v>
      </c>
      <c r="AC61" s="29"/>
      <c r="AD61" s="38">
        <v>3</v>
      </c>
      <c r="AE61" s="38"/>
    </row>
    <row r="62" spans="1:31" x14ac:dyDescent="0.3">
      <c r="A62" s="2">
        <v>1000184670</v>
      </c>
      <c r="B62" s="2" t="s">
        <v>147</v>
      </c>
      <c r="C62" s="4"/>
      <c r="D62" s="4"/>
      <c r="E62" s="2">
        <v>1000184762</v>
      </c>
      <c r="F62" s="2" t="s">
        <v>58</v>
      </c>
      <c r="G62" s="4">
        <v>1000189814</v>
      </c>
      <c r="H62" s="4" t="s">
        <v>91</v>
      </c>
      <c r="I62" s="2">
        <v>1000189270</v>
      </c>
      <c r="J62" s="2" t="s">
        <v>34</v>
      </c>
      <c r="K62" s="2" t="str">
        <f t="shared" si="1"/>
        <v>100018467010001898141000189270</v>
      </c>
      <c r="L62" s="38">
        <f>ROUND(SUMIFS(Leads!K:K,Leads!$I:$I,Positivação!$I62,Leads!$G:$G,Positivação!$G62)*_xlfn.XLOOKUP($AB62,'Balizador da Meta'!$F$4:$F$9,'Balizador da Meta'!G$4:G$9),0)</f>
        <v>4</v>
      </c>
      <c r="M62" s="38">
        <f>ROUND(SUMIFS(Leads!L:L,Leads!$I:$I,Positivação!$I62,Leads!$G:$G,Positivação!$G62)*_xlfn.XLOOKUP($AB62,'Balizador da Meta'!$F$4:$F$9,'Balizador da Meta'!H$4:H$9),0)</f>
        <v>4</v>
      </c>
      <c r="N62" s="38">
        <f>ROUND(SUMIFS(Leads!M:M,Leads!$I:$I,Positivação!$I62,Leads!$G:$G,Positivação!$G62)*_xlfn.XLOOKUP($AB62,'Balizador da Meta'!$F$4:$F$9,'Balizador da Meta'!I$4:I$9),0)</f>
        <v>4</v>
      </c>
      <c r="O62" s="38">
        <f>ROUND(SUMIFS(Leads!N:N,Leads!$I:$I,Positivação!$I62,Leads!$G:$G,Positivação!$G62)*_xlfn.XLOOKUP($AB62,'Balizador da Meta'!$F$4:$F$9,'Balizador da Meta'!J$4:J$9),0)</f>
        <v>4</v>
      </c>
      <c r="P62" s="38">
        <f>ROUND(SUMIFS(Leads!O:O,Leads!$I:$I,Positivação!$I62,Leads!$G:$G,Positivação!$G62)*_xlfn.XLOOKUP($AB62,'Balizador da Meta'!$F$4:$F$9,'Balizador da Meta'!K$4:K$9),0)</f>
        <v>5</v>
      </c>
      <c r="Q62" s="38">
        <f>ROUND(SUMIFS(Leads!P:P,Leads!$I:$I,Positivação!$I62,Leads!$G:$G,Positivação!$G62)*_xlfn.XLOOKUP($AB62,'Balizador da Meta'!$F$4:$F$9,'Balizador da Meta'!L$4:L$9),0)</f>
        <v>5</v>
      </c>
      <c r="R62" s="38">
        <f>ROUND(SUMIFS(Leads!Q:Q,Leads!$I:$I,Positivação!$I62,Leads!$G:$G,Positivação!$G62)*_xlfn.XLOOKUP($AB62,'Balizador da Meta'!$F$4:$F$9,'Balizador da Meta'!M$4:M$9),0)</f>
        <v>5</v>
      </c>
      <c r="S62" s="38">
        <f>ROUND(SUMIFS(Leads!R:R,Leads!$I:$I,Positivação!$I62,Leads!$G:$G,Positivação!$G62)*_xlfn.XLOOKUP($AB62,'Balizador da Meta'!$F$4:$F$9,'Balizador da Meta'!N$4:N$9),0)</f>
        <v>5</v>
      </c>
      <c r="T62" s="38">
        <f>ROUND(SUMIFS(Leads!S:S,Leads!$I:$I,Positivação!$I62,Leads!$G:$G,Positivação!$G62)*_xlfn.XLOOKUP($AB62,'Balizador da Meta'!$F$4:$F$9,'Balizador da Meta'!O$4:O$9),0)</f>
        <v>5</v>
      </c>
      <c r="U62" s="38">
        <f>ROUND(SUMIFS(Leads!T:T,Leads!$I:$I,Positivação!$I62,Leads!$G:$G,Positivação!$G62)*_xlfn.XLOOKUP($AB62,'Balizador da Meta'!$F$4:$F$9,'Balizador da Meta'!P$4:P$9),0)</f>
        <v>6</v>
      </c>
      <c r="V62" s="38">
        <f>ROUND(SUMIFS(Leads!U:U,Leads!$I:$I,Positivação!$I62,Leads!$G:$G,Positivação!$G62)*_xlfn.XLOOKUP($AB62,'Balizador da Meta'!$F$4:$F$9,'Balizador da Meta'!Q$4:Q$9),0)</f>
        <v>6</v>
      </c>
      <c r="W62" s="38">
        <f>ROUND(SUMIFS(Leads!V:V,Leads!$I:$I,Positivação!$I62,Leads!$G:$G,Positivação!$G62)*_xlfn.XLOOKUP($AB62,'Balizador da Meta'!$F$4:$F$9,'Balizador da Meta'!R$4:R$9),0)</f>
        <v>6</v>
      </c>
      <c r="X62" s="29"/>
      <c r="Y62" s="28">
        <f>IFERROR(SUMIFS('Historico - FAT'!AO:AO,'Historico - FAT'!I:I,Positivação!I62,'Historico - FAT'!G:G,Positivação!G62)/SUM(L62:T62),0)</f>
        <v>26.052926829268294</v>
      </c>
      <c r="Z62" s="28">
        <v>600</v>
      </c>
      <c r="AA62" s="29"/>
      <c r="AB62" s="38" t="s">
        <v>180</v>
      </c>
      <c r="AC62" s="29"/>
      <c r="AD62" s="38">
        <v>17</v>
      </c>
      <c r="AE62" s="38"/>
    </row>
    <row r="63" spans="1:31" x14ac:dyDescent="0.3">
      <c r="A63" s="2">
        <v>1000184670</v>
      </c>
      <c r="B63" s="2" t="s">
        <v>147</v>
      </c>
      <c r="C63" s="4"/>
      <c r="D63" s="4"/>
      <c r="E63" s="2">
        <v>1000184762</v>
      </c>
      <c r="F63" s="2" t="s">
        <v>58</v>
      </c>
      <c r="G63" s="4">
        <v>1000189815</v>
      </c>
      <c r="H63" s="4" t="s">
        <v>59</v>
      </c>
      <c r="I63" s="2">
        <v>1000189270</v>
      </c>
      <c r="J63" s="2" t="s">
        <v>34</v>
      </c>
      <c r="K63" s="2" t="str">
        <f t="shared" si="1"/>
        <v>100018467010001898151000189270</v>
      </c>
      <c r="L63" s="38">
        <f>ROUND(SUMIFS(Leads!K:K,Leads!$I:$I,Positivação!$I63,Leads!$G:$G,Positivação!$G63)*_xlfn.XLOOKUP($AB63,'Balizador da Meta'!$F$4:$F$9,'Balizador da Meta'!G$4:G$9),0)</f>
        <v>1</v>
      </c>
      <c r="M63" s="38">
        <f>ROUND(SUMIFS(Leads!L:L,Leads!$I:$I,Positivação!$I63,Leads!$G:$G,Positivação!$G63)*_xlfn.XLOOKUP($AB63,'Balizador da Meta'!$F$4:$F$9,'Balizador da Meta'!H$4:H$9),0)</f>
        <v>2</v>
      </c>
      <c r="N63" s="38">
        <f>ROUND(SUMIFS(Leads!M:M,Leads!$I:$I,Positivação!$I63,Leads!$G:$G,Positivação!$G63)*_xlfn.XLOOKUP($AB63,'Balizador da Meta'!$F$4:$F$9,'Balizador da Meta'!I$4:I$9),0)</f>
        <v>2</v>
      </c>
      <c r="O63" s="38">
        <f>ROUND(SUMIFS(Leads!N:N,Leads!$I:$I,Positivação!$I63,Leads!$G:$G,Positivação!$G63)*_xlfn.XLOOKUP($AB63,'Balizador da Meta'!$F$4:$F$9,'Balizador da Meta'!J$4:J$9),0)</f>
        <v>2</v>
      </c>
      <c r="P63" s="38">
        <f>ROUND(SUMIFS(Leads!O:O,Leads!$I:$I,Positivação!$I63,Leads!$G:$G,Positivação!$G63)*_xlfn.XLOOKUP($AB63,'Balizador da Meta'!$F$4:$F$9,'Balizador da Meta'!K$4:K$9),0)</f>
        <v>2</v>
      </c>
      <c r="Q63" s="38">
        <f>ROUND(SUMIFS(Leads!P:P,Leads!$I:$I,Positivação!$I63,Leads!$G:$G,Positivação!$G63)*_xlfn.XLOOKUP($AB63,'Balizador da Meta'!$F$4:$F$9,'Balizador da Meta'!L$4:L$9),0)</f>
        <v>2</v>
      </c>
      <c r="R63" s="38">
        <f>ROUND(SUMIFS(Leads!Q:Q,Leads!$I:$I,Positivação!$I63,Leads!$G:$G,Positivação!$G63)*_xlfn.XLOOKUP($AB63,'Balizador da Meta'!$F$4:$F$9,'Balizador da Meta'!M$4:M$9),0)</f>
        <v>3</v>
      </c>
      <c r="S63" s="38">
        <f>ROUND(SUMIFS(Leads!R:R,Leads!$I:$I,Positivação!$I63,Leads!$G:$G,Positivação!$G63)*_xlfn.XLOOKUP($AB63,'Balizador da Meta'!$F$4:$F$9,'Balizador da Meta'!N$4:N$9),0)</f>
        <v>3</v>
      </c>
      <c r="T63" s="38">
        <f>ROUND(SUMIFS(Leads!S:S,Leads!$I:$I,Positivação!$I63,Leads!$G:$G,Positivação!$G63)*_xlfn.XLOOKUP($AB63,'Balizador da Meta'!$F$4:$F$9,'Balizador da Meta'!O$4:O$9),0)</f>
        <v>3</v>
      </c>
      <c r="U63" s="38">
        <f>ROUND(SUMIFS(Leads!T:T,Leads!$I:$I,Positivação!$I63,Leads!$G:$G,Positivação!$G63)*_xlfn.XLOOKUP($AB63,'Balizador da Meta'!$F$4:$F$9,'Balizador da Meta'!P$4:P$9),0)</f>
        <v>3</v>
      </c>
      <c r="V63" s="38">
        <f>ROUND(SUMIFS(Leads!U:U,Leads!$I:$I,Positivação!$I63,Leads!$G:$G,Positivação!$G63)*_xlfn.XLOOKUP($AB63,'Balizador da Meta'!$F$4:$F$9,'Balizador da Meta'!Q$4:Q$9),0)</f>
        <v>3</v>
      </c>
      <c r="W63" s="38">
        <f>ROUND(SUMIFS(Leads!V:V,Leads!$I:$I,Positivação!$I63,Leads!$G:$G,Positivação!$G63)*_xlfn.XLOOKUP($AB63,'Balizador da Meta'!$F$4:$F$9,'Balizador da Meta'!R$4:R$9),0)</f>
        <v>4</v>
      </c>
      <c r="X63" s="29"/>
      <c r="Y63" s="28">
        <f>IFERROR(SUMIFS('Historico - FAT'!AO:AO,'Historico - FAT'!I:I,Positivação!I63,'Historico - FAT'!G:G,Positivação!G63)/SUM(L63:T63),0)</f>
        <v>207.47349999999997</v>
      </c>
      <c r="Z63" s="28">
        <v>600</v>
      </c>
      <c r="AA63" s="29"/>
      <c r="AB63" s="38" t="s">
        <v>180</v>
      </c>
      <c r="AC63" s="29"/>
      <c r="AD63" s="38">
        <v>6</v>
      </c>
      <c r="AE63" s="38"/>
    </row>
    <row r="64" spans="1:31" x14ac:dyDescent="0.3">
      <c r="A64" s="2">
        <v>1000184670</v>
      </c>
      <c r="B64" s="2" t="s">
        <v>147</v>
      </c>
      <c r="C64" s="4"/>
      <c r="D64" s="4"/>
      <c r="E64" s="2">
        <v>1000184762</v>
      </c>
      <c r="F64" s="2" t="s">
        <v>58</v>
      </c>
      <c r="G64" s="4">
        <v>1000189816</v>
      </c>
      <c r="H64" s="4" t="s">
        <v>113</v>
      </c>
      <c r="I64" s="2">
        <v>1000189270</v>
      </c>
      <c r="J64" s="2" t="s">
        <v>34</v>
      </c>
      <c r="K64" s="2" t="str">
        <f t="shared" si="1"/>
        <v>100018467010001898161000189270</v>
      </c>
      <c r="L64" s="38">
        <f>ROUND(SUMIFS(Leads!K:K,Leads!$I:$I,Positivação!$I64,Leads!$G:$G,Positivação!$G64)*_xlfn.XLOOKUP($AB64,'Balizador da Meta'!$F$4:$F$9,'Balizador da Meta'!G$4:G$9),0)</f>
        <v>4</v>
      </c>
      <c r="M64" s="38">
        <f>ROUND(SUMIFS(Leads!L:L,Leads!$I:$I,Positivação!$I64,Leads!$G:$G,Positivação!$G64)*_xlfn.XLOOKUP($AB64,'Balizador da Meta'!$F$4:$F$9,'Balizador da Meta'!H$4:H$9),0)</f>
        <v>4</v>
      </c>
      <c r="N64" s="38">
        <f>ROUND(SUMIFS(Leads!M:M,Leads!$I:$I,Positivação!$I64,Leads!$G:$G,Positivação!$G64)*_xlfn.XLOOKUP($AB64,'Balizador da Meta'!$F$4:$F$9,'Balizador da Meta'!I$4:I$9),0)</f>
        <v>4</v>
      </c>
      <c r="O64" s="38">
        <f>ROUND(SUMIFS(Leads!N:N,Leads!$I:$I,Positivação!$I64,Leads!$G:$G,Positivação!$G64)*_xlfn.XLOOKUP($AB64,'Balizador da Meta'!$F$4:$F$9,'Balizador da Meta'!J$4:J$9),0)</f>
        <v>4</v>
      </c>
      <c r="P64" s="38">
        <f>ROUND(SUMIFS(Leads!O:O,Leads!$I:$I,Positivação!$I64,Leads!$G:$G,Positivação!$G64)*_xlfn.XLOOKUP($AB64,'Balizador da Meta'!$F$4:$F$9,'Balizador da Meta'!K$4:K$9),0)</f>
        <v>5</v>
      </c>
      <c r="Q64" s="38">
        <f>ROUND(SUMIFS(Leads!P:P,Leads!$I:$I,Positivação!$I64,Leads!$G:$G,Positivação!$G64)*_xlfn.XLOOKUP($AB64,'Balizador da Meta'!$F$4:$F$9,'Balizador da Meta'!L$4:L$9),0)</f>
        <v>5</v>
      </c>
      <c r="R64" s="38">
        <f>ROUND(SUMIFS(Leads!Q:Q,Leads!$I:$I,Positivação!$I64,Leads!$G:$G,Positivação!$G64)*_xlfn.XLOOKUP($AB64,'Balizador da Meta'!$F$4:$F$9,'Balizador da Meta'!M$4:M$9),0)</f>
        <v>5</v>
      </c>
      <c r="S64" s="38">
        <f>ROUND(SUMIFS(Leads!R:R,Leads!$I:$I,Positivação!$I64,Leads!$G:$G,Positivação!$G64)*_xlfn.XLOOKUP($AB64,'Balizador da Meta'!$F$4:$F$9,'Balizador da Meta'!N$4:N$9),0)</f>
        <v>5</v>
      </c>
      <c r="T64" s="38">
        <f>ROUND(SUMIFS(Leads!S:S,Leads!$I:$I,Positivação!$I64,Leads!$G:$G,Positivação!$G64)*_xlfn.XLOOKUP($AB64,'Balizador da Meta'!$F$4:$F$9,'Balizador da Meta'!O$4:O$9),0)</f>
        <v>5</v>
      </c>
      <c r="U64" s="38">
        <f>ROUND(SUMIFS(Leads!T:T,Leads!$I:$I,Positivação!$I64,Leads!$G:$G,Positivação!$G64)*_xlfn.XLOOKUP($AB64,'Balizador da Meta'!$F$4:$F$9,'Balizador da Meta'!P$4:P$9),0)</f>
        <v>6</v>
      </c>
      <c r="V64" s="38">
        <f>ROUND(SUMIFS(Leads!U:U,Leads!$I:$I,Positivação!$I64,Leads!$G:$G,Positivação!$G64)*_xlfn.XLOOKUP($AB64,'Balizador da Meta'!$F$4:$F$9,'Balizador da Meta'!Q$4:Q$9),0)</f>
        <v>6</v>
      </c>
      <c r="W64" s="38">
        <f>ROUND(SUMIFS(Leads!V:V,Leads!$I:$I,Positivação!$I64,Leads!$G:$G,Positivação!$G64)*_xlfn.XLOOKUP($AB64,'Balizador da Meta'!$F$4:$F$9,'Balizador da Meta'!R$4:R$9),0)</f>
        <v>6</v>
      </c>
      <c r="X64" s="29"/>
      <c r="Y64" s="28">
        <f>IFERROR(SUMIFS('Historico - FAT'!AO:AO,'Historico - FAT'!I:I,Positivação!I64,'Historico - FAT'!G:G,Positivação!G64)/SUM(L64:T64),0)</f>
        <v>369.05170731707312</v>
      </c>
      <c r="Z64" s="28">
        <v>600</v>
      </c>
      <c r="AA64" s="29"/>
      <c r="AB64" s="38" t="s">
        <v>180</v>
      </c>
      <c r="AC64" s="29"/>
      <c r="AD64" s="38">
        <v>19</v>
      </c>
      <c r="AE64" s="38"/>
    </row>
    <row r="65" spans="1:31" x14ac:dyDescent="0.3">
      <c r="A65" s="2">
        <v>1000184670</v>
      </c>
      <c r="B65" s="2" t="s">
        <v>147</v>
      </c>
      <c r="C65" s="4"/>
      <c r="D65" s="4"/>
      <c r="E65" s="2">
        <v>1000184762</v>
      </c>
      <c r="F65" s="2" t="s">
        <v>58</v>
      </c>
      <c r="G65" s="4">
        <v>1000189817</v>
      </c>
      <c r="H65" s="4" t="s">
        <v>94</v>
      </c>
      <c r="I65" s="2">
        <v>1000189270</v>
      </c>
      <c r="J65" s="2" t="s">
        <v>34</v>
      </c>
      <c r="K65" s="2" t="str">
        <f t="shared" si="1"/>
        <v>100018467010001898171000189270</v>
      </c>
      <c r="L65" s="38">
        <f>ROUND(SUMIFS(Leads!K:K,Leads!$I:$I,Positivação!$I65,Leads!$G:$G,Positivação!$G65)*_xlfn.XLOOKUP($AB65,'Balizador da Meta'!$F$4:$F$9,'Balizador da Meta'!G$4:G$9),0)</f>
        <v>8</v>
      </c>
      <c r="M65" s="38">
        <f>ROUND(SUMIFS(Leads!L:L,Leads!$I:$I,Positivação!$I65,Leads!$G:$G,Positivação!$G65)*_xlfn.XLOOKUP($AB65,'Balizador da Meta'!$F$4:$F$9,'Balizador da Meta'!H$4:H$9),0)</f>
        <v>9</v>
      </c>
      <c r="N65" s="38">
        <f>ROUND(SUMIFS(Leads!M:M,Leads!$I:$I,Positivação!$I65,Leads!$G:$G,Positivação!$G65)*_xlfn.XLOOKUP($AB65,'Balizador da Meta'!$F$4:$F$9,'Balizador da Meta'!I$4:I$9),0)</f>
        <v>9</v>
      </c>
      <c r="O65" s="38">
        <f>ROUND(SUMIFS(Leads!N:N,Leads!$I:$I,Positivação!$I65,Leads!$G:$G,Positivação!$G65)*_xlfn.XLOOKUP($AB65,'Balizador da Meta'!$F$4:$F$9,'Balizador da Meta'!J$4:J$9),0)</f>
        <v>9</v>
      </c>
      <c r="P65" s="38">
        <f>ROUND(SUMIFS(Leads!O:O,Leads!$I:$I,Positivação!$I65,Leads!$G:$G,Positivação!$G65)*_xlfn.XLOOKUP($AB65,'Balizador da Meta'!$F$4:$F$9,'Balizador da Meta'!K$4:K$9),0)</f>
        <v>9</v>
      </c>
      <c r="Q65" s="38">
        <f>ROUND(SUMIFS(Leads!P:P,Leads!$I:$I,Positivação!$I65,Leads!$G:$G,Positivação!$G65)*_xlfn.XLOOKUP($AB65,'Balizador da Meta'!$F$4:$F$9,'Balizador da Meta'!L$4:L$9),0)</f>
        <v>9</v>
      </c>
      <c r="R65" s="38">
        <f>ROUND(SUMIFS(Leads!Q:Q,Leads!$I:$I,Positivação!$I65,Leads!$G:$G,Positivação!$G65)*_xlfn.XLOOKUP($AB65,'Balizador da Meta'!$F$4:$F$9,'Balizador da Meta'!M$4:M$9),0)</f>
        <v>10</v>
      </c>
      <c r="S65" s="38">
        <f>ROUND(SUMIFS(Leads!R:R,Leads!$I:$I,Positivação!$I65,Leads!$G:$G,Positivação!$G65)*_xlfn.XLOOKUP($AB65,'Balizador da Meta'!$F$4:$F$9,'Balizador da Meta'!N$4:N$9),0)</f>
        <v>10</v>
      </c>
      <c r="T65" s="38">
        <f>ROUND(SUMIFS(Leads!S:S,Leads!$I:$I,Positivação!$I65,Leads!$G:$G,Positivação!$G65)*_xlfn.XLOOKUP($AB65,'Balizador da Meta'!$F$4:$F$9,'Balizador da Meta'!O$4:O$9),0)</f>
        <v>10</v>
      </c>
      <c r="U65" s="38">
        <f>ROUND(SUMIFS(Leads!T:T,Leads!$I:$I,Positivação!$I65,Leads!$G:$G,Positivação!$G65)*_xlfn.XLOOKUP($AB65,'Balizador da Meta'!$F$4:$F$9,'Balizador da Meta'!P$4:P$9),0)</f>
        <v>10</v>
      </c>
      <c r="V65" s="38">
        <f>ROUND(SUMIFS(Leads!U:U,Leads!$I:$I,Positivação!$I65,Leads!$G:$G,Positivação!$G65)*_xlfn.XLOOKUP($AB65,'Balizador da Meta'!$F$4:$F$9,'Balizador da Meta'!Q$4:Q$9),0)</f>
        <v>10</v>
      </c>
      <c r="W65" s="38">
        <f>ROUND(SUMIFS(Leads!V:V,Leads!$I:$I,Positivação!$I65,Leads!$G:$G,Positivação!$G65)*_xlfn.XLOOKUP($AB65,'Balizador da Meta'!$F$4:$F$9,'Balizador da Meta'!R$4:R$9),0)</f>
        <v>11</v>
      </c>
      <c r="X65" s="29"/>
      <c r="Y65" s="28">
        <f>IFERROR(SUMIFS('Historico - FAT'!AO:AO,'Historico - FAT'!I:I,Positivação!I65,'Historico - FAT'!G:G,Positivação!G65)/SUM(L65:T65),0)</f>
        <v>765.82132530120498</v>
      </c>
      <c r="Z65" s="28">
        <v>600</v>
      </c>
      <c r="AA65" s="29"/>
      <c r="AB65" s="38" t="s">
        <v>180</v>
      </c>
      <c r="AC65" s="29"/>
      <c r="AD65" s="38">
        <v>42</v>
      </c>
      <c r="AE65" s="38"/>
    </row>
    <row r="66" spans="1:31" x14ac:dyDescent="0.3">
      <c r="A66" s="2">
        <v>1000184670</v>
      </c>
      <c r="B66" s="2" t="s">
        <v>147</v>
      </c>
      <c r="C66" s="4"/>
      <c r="D66" s="4"/>
      <c r="E66" s="2">
        <v>1000184764</v>
      </c>
      <c r="F66" s="2" t="s">
        <v>70</v>
      </c>
      <c r="G66" s="4">
        <v>1000189818</v>
      </c>
      <c r="H66" s="4" t="s">
        <v>72</v>
      </c>
      <c r="I66" s="2">
        <v>1000189270</v>
      </c>
      <c r="J66" s="2" t="s">
        <v>34</v>
      </c>
      <c r="K66" s="2" t="str">
        <f t="shared" si="1"/>
        <v>100018467010001898181000189270</v>
      </c>
      <c r="L66" s="38">
        <f>ROUND(SUMIFS(Leads!K:K,Leads!$I:$I,Positivação!$I66,Leads!$G:$G,Positivação!$G66)*_xlfn.XLOOKUP($AB66,'Balizador da Meta'!$F$4:$F$9,'Balizador da Meta'!G$4:G$9),0)</f>
        <v>12</v>
      </c>
      <c r="M66" s="38">
        <f>ROUND(SUMIFS(Leads!L:L,Leads!$I:$I,Positivação!$I66,Leads!$G:$G,Positivação!$G66)*_xlfn.XLOOKUP($AB66,'Balizador da Meta'!$F$4:$F$9,'Balizador da Meta'!H$4:H$9),0)</f>
        <v>12</v>
      </c>
      <c r="N66" s="38">
        <f>ROUND(SUMIFS(Leads!M:M,Leads!$I:$I,Positivação!$I66,Leads!$G:$G,Positivação!$G66)*_xlfn.XLOOKUP($AB66,'Balizador da Meta'!$F$4:$F$9,'Balizador da Meta'!I$4:I$9),0)</f>
        <v>12</v>
      </c>
      <c r="O66" s="38">
        <f>ROUND(SUMIFS(Leads!N:N,Leads!$I:$I,Positivação!$I66,Leads!$G:$G,Positivação!$G66)*_xlfn.XLOOKUP($AB66,'Balizador da Meta'!$F$4:$F$9,'Balizador da Meta'!J$4:J$9),0)</f>
        <v>12</v>
      </c>
      <c r="P66" s="38">
        <f>ROUND(SUMIFS(Leads!O:O,Leads!$I:$I,Positivação!$I66,Leads!$G:$G,Positivação!$G66)*_xlfn.XLOOKUP($AB66,'Balizador da Meta'!$F$4:$F$9,'Balizador da Meta'!K$4:K$9),0)</f>
        <v>12</v>
      </c>
      <c r="Q66" s="38">
        <f>ROUND(SUMIFS(Leads!P:P,Leads!$I:$I,Positivação!$I66,Leads!$G:$G,Positivação!$G66)*_xlfn.XLOOKUP($AB66,'Balizador da Meta'!$F$4:$F$9,'Balizador da Meta'!L$4:L$9),0)</f>
        <v>13</v>
      </c>
      <c r="R66" s="38">
        <f>ROUND(SUMIFS(Leads!Q:Q,Leads!$I:$I,Positivação!$I66,Leads!$G:$G,Positivação!$G66)*_xlfn.XLOOKUP($AB66,'Balizador da Meta'!$F$4:$F$9,'Balizador da Meta'!M$4:M$9),0)</f>
        <v>13</v>
      </c>
      <c r="S66" s="38">
        <f>ROUND(SUMIFS(Leads!R:R,Leads!$I:$I,Positivação!$I66,Leads!$G:$G,Positivação!$G66)*_xlfn.XLOOKUP($AB66,'Balizador da Meta'!$F$4:$F$9,'Balizador da Meta'!N$4:N$9),0)</f>
        <v>13</v>
      </c>
      <c r="T66" s="38">
        <f>ROUND(SUMIFS(Leads!S:S,Leads!$I:$I,Positivação!$I66,Leads!$G:$G,Positivação!$G66)*_xlfn.XLOOKUP($AB66,'Balizador da Meta'!$F$4:$F$9,'Balizador da Meta'!O$4:O$9),0)</f>
        <v>13</v>
      </c>
      <c r="U66" s="38">
        <f>ROUND(SUMIFS(Leads!T:T,Leads!$I:$I,Positivação!$I66,Leads!$G:$G,Positivação!$G66)*_xlfn.XLOOKUP($AB66,'Balizador da Meta'!$F$4:$F$9,'Balizador da Meta'!P$4:P$9),0)</f>
        <v>13</v>
      </c>
      <c r="V66" s="38">
        <f>ROUND(SUMIFS(Leads!U:U,Leads!$I:$I,Positivação!$I66,Leads!$G:$G,Positivação!$G66)*_xlfn.XLOOKUP($AB66,'Balizador da Meta'!$F$4:$F$9,'Balizador da Meta'!Q$4:Q$9),0)</f>
        <v>14</v>
      </c>
      <c r="W66" s="38">
        <f>ROUND(SUMIFS(Leads!V:V,Leads!$I:$I,Positivação!$I66,Leads!$G:$G,Positivação!$G66)*_xlfn.XLOOKUP($AB66,'Balizador da Meta'!$F$4:$F$9,'Balizador da Meta'!R$4:R$9),0)</f>
        <v>14</v>
      </c>
      <c r="X66" s="29"/>
      <c r="Y66" s="28">
        <f>IFERROR(SUMIFS('Historico - FAT'!AO:AO,'Historico - FAT'!I:I,Positivação!I66,'Historico - FAT'!G:G,Positivação!G66)/SUM(L66:T66),0)</f>
        <v>708.1033035714288</v>
      </c>
      <c r="Z66" s="28">
        <v>600</v>
      </c>
      <c r="AA66" s="29"/>
      <c r="AB66" s="38" t="s">
        <v>180</v>
      </c>
      <c r="AC66" s="29"/>
      <c r="AD66" s="38">
        <v>54</v>
      </c>
      <c r="AE66" s="38"/>
    </row>
    <row r="67" spans="1:31" x14ac:dyDescent="0.3">
      <c r="A67" s="2">
        <v>1000184670</v>
      </c>
      <c r="B67" s="2" t="s">
        <v>147</v>
      </c>
      <c r="C67" s="4"/>
      <c r="D67" s="4"/>
      <c r="E67" s="2">
        <v>1000184764</v>
      </c>
      <c r="F67" s="2" t="s">
        <v>70</v>
      </c>
      <c r="G67" s="4">
        <v>1000189819</v>
      </c>
      <c r="H67" s="4" t="s">
        <v>74</v>
      </c>
      <c r="I67" s="2">
        <v>1000189270</v>
      </c>
      <c r="J67" s="2" t="s">
        <v>34</v>
      </c>
      <c r="K67" s="2" t="str">
        <f t="shared" si="1"/>
        <v>100018467010001898191000189270</v>
      </c>
      <c r="L67" s="38">
        <f>ROUND(SUMIFS(Leads!K:K,Leads!$I:$I,Positivação!$I67,Leads!$G:$G,Positivação!$G67)*_xlfn.XLOOKUP($AB67,'Balizador da Meta'!$F$4:$F$9,'Balizador da Meta'!G$4:G$9),0)</f>
        <v>4</v>
      </c>
      <c r="M67" s="38">
        <f>ROUND(SUMIFS(Leads!L:L,Leads!$I:$I,Positivação!$I67,Leads!$G:$G,Positivação!$G67)*_xlfn.XLOOKUP($AB67,'Balizador da Meta'!$F$4:$F$9,'Balizador da Meta'!H$4:H$9),0)</f>
        <v>4</v>
      </c>
      <c r="N67" s="38">
        <f>ROUND(SUMIFS(Leads!M:M,Leads!$I:$I,Positivação!$I67,Leads!$G:$G,Positivação!$G67)*_xlfn.XLOOKUP($AB67,'Balizador da Meta'!$F$4:$F$9,'Balizador da Meta'!I$4:I$9),0)</f>
        <v>4</v>
      </c>
      <c r="O67" s="38">
        <f>ROUND(SUMIFS(Leads!N:N,Leads!$I:$I,Positivação!$I67,Leads!$G:$G,Positivação!$G67)*_xlfn.XLOOKUP($AB67,'Balizador da Meta'!$F$4:$F$9,'Balizador da Meta'!J$4:J$9),0)</f>
        <v>5</v>
      </c>
      <c r="P67" s="38">
        <f>ROUND(SUMIFS(Leads!O:O,Leads!$I:$I,Positivação!$I67,Leads!$G:$G,Positivação!$G67)*_xlfn.XLOOKUP($AB67,'Balizador da Meta'!$F$4:$F$9,'Balizador da Meta'!K$4:K$9),0)</f>
        <v>5</v>
      </c>
      <c r="Q67" s="38">
        <f>ROUND(SUMIFS(Leads!P:P,Leads!$I:$I,Positivação!$I67,Leads!$G:$G,Positivação!$G67)*_xlfn.XLOOKUP($AB67,'Balizador da Meta'!$F$4:$F$9,'Balizador da Meta'!L$4:L$9),0)</f>
        <v>5</v>
      </c>
      <c r="R67" s="38">
        <f>ROUND(SUMIFS(Leads!Q:Q,Leads!$I:$I,Positivação!$I67,Leads!$G:$G,Positivação!$G67)*_xlfn.XLOOKUP($AB67,'Balizador da Meta'!$F$4:$F$9,'Balizador da Meta'!M$4:M$9),0)</f>
        <v>5</v>
      </c>
      <c r="S67" s="38">
        <f>ROUND(SUMIFS(Leads!R:R,Leads!$I:$I,Positivação!$I67,Leads!$G:$G,Positivação!$G67)*_xlfn.XLOOKUP($AB67,'Balizador da Meta'!$F$4:$F$9,'Balizador da Meta'!N$4:N$9),0)</f>
        <v>5</v>
      </c>
      <c r="T67" s="38">
        <f>ROUND(SUMIFS(Leads!S:S,Leads!$I:$I,Positivação!$I67,Leads!$G:$G,Positivação!$G67)*_xlfn.XLOOKUP($AB67,'Balizador da Meta'!$F$4:$F$9,'Balizador da Meta'!O$4:O$9),0)</f>
        <v>6</v>
      </c>
      <c r="U67" s="38">
        <f>ROUND(SUMIFS(Leads!T:T,Leads!$I:$I,Positivação!$I67,Leads!$G:$G,Positivação!$G67)*_xlfn.XLOOKUP($AB67,'Balizador da Meta'!$F$4:$F$9,'Balizador da Meta'!P$4:P$9),0)</f>
        <v>6</v>
      </c>
      <c r="V67" s="38">
        <f>ROUND(SUMIFS(Leads!U:U,Leads!$I:$I,Positivação!$I67,Leads!$G:$G,Positivação!$G67)*_xlfn.XLOOKUP($AB67,'Balizador da Meta'!$F$4:$F$9,'Balizador da Meta'!Q$4:Q$9),0)</f>
        <v>6</v>
      </c>
      <c r="W67" s="38">
        <f>ROUND(SUMIFS(Leads!V:V,Leads!$I:$I,Positivação!$I67,Leads!$G:$G,Positivação!$G67)*_xlfn.XLOOKUP($AB67,'Balizador da Meta'!$F$4:$F$9,'Balizador da Meta'!R$4:R$9),0)</f>
        <v>6</v>
      </c>
      <c r="X67" s="29"/>
      <c r="Y67" s="28">
        <f>IFERROR(SUMIFS('Historico - FAT'!AO:AO,'Historico - FAT'!I:I,Positivação!I67,'Historico - FAT'!G:G,Positivação!G67)/SUM(L67:T67),0)</f>
        <v>423.16953488372093</v>
      </c>
      <c r="Z67" s="28">
        <v>600</v>
      </c>
      <c r="AA67" s="29"/>
      <c r="AB67" s="38" t="s">
        <v>180</v>
      </c>
      <c r="AC67" s="29"/>
      <c r="AD67" s="38">
        <v>17</v>
      </c>
      <c r="AE67" s="38"/>
    </row>
    <row r="68" spans="1:31" x14ac:dyDescent="0.3">
      <c r="A68" s="2">
        <v>1000184670</v>
      </c>
      <c r="B68" s="2" t="s">
        <v>147</v>
      </c>
      <c r="C68" s="4"/>
      <c r="D68" s="4"/>
      <c r="E68" s="2">
        <v>1000184764</v>
      </c>
      <c r="F68" s="2" t="s">
        <v>70</v>
      </c>
      <c r="G68" s="4">
        <v>1000189820</v>
      </c>
      <c r="H68" s="4" t="s">
        <v>114</v>
      </c>
      <c r="I68" s="2">
        <v>1000189270</v>
      </c>
      <c r="J68" s="2" t="s">
        <v>34</v>
      </c>
      <c r="K68" s="2" t="str">
        <f t="shared" ref="K68:K77" si="2">_xlfn.CONCAT(A68,C68,G68,I68)</f>
        <v>100018467010001898201000189270</v>
      </c>
      <c r="L68" s="38">
        <f>ROUND(SUMIFS(Leads!K:K,Leads!$I:$I,Positivação!$I68,Leads!$G:$G,Positivação!$G68)*_xlfn.XLOOKUP($AB68,'Balizador da Meta'!$F$4:$F$9,'Balizador da Meta'!G$4:G$9),0)</f>
        <v>5</v>
      </c>
      <c r="M68" s="38">
        <f>ROUND(SUMIFS(Leads!L:L,Leads!$I:$I,Positivação!$I68,Leads!$G:$G,Positivação!$G68)*_xlfn.XLOOKUP($AB68,'Balizador da Meta'!$F$4:$F$9,'Balizador da Meta'!H$4:H$9),0)</f>
        <v>6</v>
      </c>
      <c r="N68" s="38">
        <f>ROUND(SUMIFS(Leads!M:M,Leads!$I:$I,Positivação!$I68,Leads!$G:$G,Positivação!$G68)*_xlfn.XLOOKUP($AB68,'Balizador da Meta'!$F$4:$F$9,'Balizador da Meta'!I$4:I$9),0)</f>
        <v>6</v>
      </c>
      <c r="O68" s="38">
        <f>ROUND(SUMIFS(Leads!N:N,Leads!$I:$I,Positivação!$I68,Leads!$G:$G,Positivação!$G68)*_xlfn.XLOOKUP($AB68,'Balizador da Meta'!$F$4:$F$9,'Balizador da Meta'!J$4:J$9),0)</f>
        <v>6</v>
      </c>
      <c r="P68" s="38">
        <f>ROUND(SUMIFS(Leads!O:O,Leads!$I:$I,Positivação!$I68,Leads!$G:$G,Positivação!$G68)*_xlfn.XLOOKUP($AB68,'Balizador da Meta'!$F$4:$F$9,'Balizador da Meta'!K$4:K$9),0)</f>
        <v>6</v>
      </c>
      <c r="Q68" s="38">
        <f>ROUND(SUMIFS(Leads!P:P,Leads!$I:$I,Positivação!$I68,Leads!$G:$G,Positivação!$G68)*_xlfn.XLOOKUP($AB68,'Balizador da Meta'!$F$4:$F$9,'Balizador da Meta'!L$4:L$9),0)</f>
        <v>6</v>
      </c>
      <c r="R68" s="38">
        <f>ROUND(SUMIFS(Leads!Q:Q,Leads!$I:$I,Positivação!$I68,Leads!$G:$G,Positivação!$G68)*_xlfn.XLOOKUP($AB68,'Balizador da Meta'!$F$4:$F$9,'Balizador da Meta'!M$4:M$9),0)</f>
        <v>7</v>
      </c>
      <c r="S68" s="38">
        <f>ROUND(SUMIFS(Leads!R:R,Leads!$I:$I,Positivação!$I68,Leads!$G:$G,Positivação!$G68)*_xlfn.XLOOKUP($AB68,'Balizador da Meta'!$F$4:$F$9,'Balizador da Meta'!N$4:N$9),0)</f>
        <v>7</v>
      </c>
      <c r="T68" s="38">
        <f>ROUND(SUMIFS(Leads!S:S,Leads!$I:$I,Positivação!$I68,Leads!$G:$G,Positivação!$G68)*_xlfn.XLOOKUP($AB68,'Balizador da Meta'!$F$4:$F$9,'Balizador da Meta'!O$4:O$9),0)</f>
        <v>7</v>
      </c>
      <c r="U68" s="38">
        <f>ROUND(SUMIFS(Leads!T:T,Leads!$I:$I,Positivação!$I68,Leads!$G:$G,Positivação!$G68)*_xlfn.XLOOKUP($AB68,'Balizador da Meta'!$F$4:$F$9,'Balizador da Meta'!P$4:P$9),0)</f>
        <v>7</v>
      </c>
      <c r="V68" s="38">
        <f>ROUND(SUMIFS(Leads!U:U,Leads!$I:$I,Positivação!$I68,Leads!$G:$G,Positivação!$G68)*_xlfn.XLOOKUP($AB68,'Balizador da Meta'!$F$4:$F$9,'Balizador da Meta'!Q$4:Q$9),0)</f>
        <v>7</v>
      </c>
      <c r="W68" s="38">
        <f>ROUND(SUMIFS(Leads!V:V,Leads!$I:$I,Positivação!$I68,Leads!$G:$G,Positivação!$G68)*_xlfn.XLOOKUP($AB68,'Balizador da Meta'!$F$4:$F$9,'Balizador da Meta'!R$4:R$9),0)</f>
        <v>8</v>
      </c>
      <c r="X68" s="29"/>
      <c r="Y68" s="28">
        <f>IFERROR(SUMIFS('Historico - FAT'!AO:AO,'Historico - FAT'!I:I,Positivação!I68,'Historico - FAT'!G:G,Positivação!G68)/SUM(L68:T68),0)</f>
        <v>820.82714285714314</v>
      </c>
      <c r="Z68" s="28">
        <v>600</v>
      </c>
      <c r="AA68" s="29"/>
      <c r="AB68" s="38" t="s">
        <v>180</v>
      </c>
      <c r="AC68" s="29"/>
      <c r="AD68" s="38">
        <v>27</v>
      </c>
      <c r="AE68" s="38"/>
    </row>
    <row r="69" spans="1:31" x14ac:dyDescent="0.3">
      <c r="A69" s="2">
        <v>1000184670</v>
      </c>
      <c r="B69" s="2" t="s">
        <v>147</v>
      </c>
      <c r="C69" s="4"/>
      <c r="D69" s="4"/>
      <c r="E69" s="2">
        <v>1000184764</v>
      </c>
      <c r="F69" s="2" t="s">
        <v>70</v>
      </c>
      <c r="G69" s="4">
        <v>1000189821</v>
      </c>
      <c r="H69" s="4" t="s">
        <v>71</v>
      </c>
      <c r="I69" s="2">
        <v>1000189270</v>
      </c>
      <c r="J69" s="2" t="s">
        <v>34</v>
      </c>
      <c r="K69" s="2" t="str">
        <f t="shared" si="2"/>
        <v>100018467010001898211000189270</v>
      </c>
      <c r="L69" s="38">
        <f>ROUND(SUMIFS(Leads!K:K,Leads!$I:$I,Positivação!$I69,Leads!$G:$G,Positivação!$G69)*_xlfn.XLOOKUP($AB69,'Balizador da Meta'!$F$4:$F$9,'Balizador da Meta'!G$4:G$9),0)</f>
        <v>2</v>
      </c>
      <c r="M69" s="38">
        <f>ROUND(SUMIFS(Leads!L:L,Leads!$I:$I,Positivação!$I69,Leads!$G:$G,Positivação!$G69)*_xlfn.XLOOKUP($AB69,'Balizador da Meta'!$F$4:$F$9,'Balizador da Meta'!H$4:H$9),0)</f>
        <v>3</v>
      </c>
      <c r="N69" s="38">
        <f>ROUND(SUMIFS(Leads!M:M,Leads!$I:$I,Positivação!$I69,Leads!$G:$G,Positivação!$G69)*_xlfn.XLOOKUP($AB69,'Balizador da Meta'!$F$4:$F$9,'Balizador da Meta'!I$4:I$9),0)</f>
        <v>3</v>
      </c>
      <c r="O69" s="38">
        <f>ROUND(SUMIFS(Leads!N:N,Leads!$I:$I,Positivação!$I69,Leads!$G:$G,Positivação!$G69)*_xlfn.XLOOKUP($AB69,'Balizador da Meta'!$F$4:$F$9,'Balizador da Meta'!J$4:J$9),0)</f>
        <v>3</v>
      </c>
      <c r="P69" s="38">
        <f>ROUND(SUMIFS(Leads!O:O,Leads!$I:$I,Positivação!$I69,Leads!$G:$G,Positivação!$G69)*_xlfn.XLOOKUP($AB69,'Balizador da Meta'!$F$4:$F$9,'Balizador da Meta'!K$4:K$9),0)</f>
        <v>3</v>
      </c>
      <c r="Q69" s="38">
        <f>ROUND(SUMIFS(Leads!P:P,Leads!$I:$I,Positivação!$I69,Leads!$G:$G,Positivação!$G69)*_xlfn.XLOOKUP($AB69,'Balizador da Meta'!$F$4:$F$9,'Balizador da Meta'!L$4:L$9),0)</f>
        <v>3</v>
      </c>
      <c r="R69" s="38">
        <f>ROUND(SUMIFS(Leads!Q:Q,Leads!$I:$I,Positivação!$I69,Leads!$G:$G,Positivação!$G69)*_xlfn.XLOOKUP($AB69,'Balizador da Meta'!$F$4:$F$9,'Balizador da Meta'!M$4:M$9),0)</f>
        <v>4</v>
      </c>
      <c r="S69" s="38">
        <f>ROUND(SUMIFS(Leads!R:R,Leads!$I:$I,Positivação!$I69,Leads!$G:$G,Positivação!$G69)*_xlfn.XLOOKUP($AB69,'Balizador da Meta'!$F$4:$F$9,'Balizador da Meta'!N$4:N$9),0)</f>
        <v>4</v>
      </c>
      <c r="T69" s="38">
        <f>ROUND(SUMIFS(Leads!S:S,Leads!$I:$I,Positivação!$I69,Leads!$G:$G,Positivação!$G69)*_xlfn.XLOOKUP($AB69,'Balizador da Meta'!$F$4:$F$9,'Balizador da Meta'!O$4:O$9),0)</f>
        <v>4</v>
      </c>
      <c r="U69" s="38">
        <f>ROUND(SUMIFS(Leads!T:T,Leads!$I:$I,Positivação!$I69,Leads!$G:$G,Positivação!$G69)*_xlfn.XLOOKUP($AB69,'Balizador da Meta'!$F$4:$F$9,'Balizador da Meta'!P$4:P$9),0)</f>
        <v>4</v>
      </c>
      <c r="V69" s="38">
        <f>ROUND(SUMIFS(Leads!U:U,Leads!$I:$I,Positivação!$I69,Leads!$G:$G,Positivação!$G69)*_xlfn.XLOOKUP($AB69,'Balizador da Meta'!$F$4:$F$9,'Balizador da Meta'!Q$4:Q$9),0)</f>
        <v>4</v>
      </c>
      <c r="W69" s="38">
        <f>ROUND(SUMIFS(Leads!V:V,Leads!$I:$I,Positivação!$I69,Leads!$G:$G,Positivação!$G69)*_xlfn.XLOOKUP($AB69,'Balizador da Meta'!$F$4:$F$9,'Balizador da Meta'!R$4:R$9),0)</f>
        <v>5</v>
      </c>
      <c r="X69" s="29"/>
      <c r="Y69" s="28">
        <f>IFERROR(SUMIFS('Historico - FAT'!AO:AO,'Historico - FAT'!I:I,Positivação!I69,'Historico - FAT'!G:G,Positivação!G69)/SUM(L69:T69),0)</f>
        <v>643.93482758620678</v>
      </c>
      <c r="Z69" s="28">
        <v>600</v>
      </c>
      <c r="AA69" s="29"/>
      <c r="AB69" s="38" t="s">
        <v>180</v>
      </c>
      <c r="AC69" s="29"/>
      <c r="AD69" s="38">
        <v>9</v>
      </c>
      <c r="AE69" s="38"/>
    </row>
    <row r="70" spans="1:31" x14ac:dyDescent="0.3">
      <c r="A70" s="2">
        <v>1000184670</v>
      </c>
      <c r="B70" s="2" t="s">
        <v>147</v>
      </c>
      <c r="C70" s="4"/>
      <c r="D70" s="4"/>
      <c r="E70" s="2">
        <v>1000184764</v>
      </c>
      <c r="F70" s="2" t="s">
        <v>70</v>
      </c>
      <c r="G70" s="4">
        <v>1000189822</v>
      </c>
      <c r="H70" s="4" t="s">
        <v>115</v>
      </c>
      <c r="I70" s="2">
        <v>1000189270</v>
      </c>
      <c r="J70" s="2" t="s">
        <v>34</v>
      </c>
      <c r="K70" s="2" t="str">
        <f t="shared" si="2"/>
        <v>100018467010001898221000189270</v>
      </c>
      <c r="L70" s="38">
        <f>ROUND(SUMIFS(Leads!K:K,Leads!$I:$I,Positivação!$I70,Leads!$G:$G,Positivação!$G70)*_xlfn.XLOOKUP($AB70,'Balizador da Meta'!$F$4:$F$9,'Balizador da Meta'!G$4:G$9),0)</f>
        <v>1</v>
      </c>
      <c r="M70" s="38">
        <f>ROUND(SUMIFS(Leads!L:L,Leads!$I:$I,Positivação!$I70,Leads!$G:$G,Positivação!$G70)*_xlfn.XLOOKUP($AB70,'Balizador da Meta'!$F$4:$F$9,'Balizador da Meta'!H$4:H$9),0)</f>
        <v>1</v>
      </c>
      <c r="N70" s="38">
        <f>ROUND(SUMIFS(Leads!M:M,Leads!$I:$I,Positivação!$I70,Leads!$G:$G,Positivação!$G70)*_xlfn.XLOOKUP($AB70,'Balizador da Meta'!$F$4:$F$9,'Balizador da Meta'!I$4:I$9),0)</f>
        <v>1</v>
      </c>
      <c r="O70" s="38">
        <f>ROUND(SUMIFS(Leads!N:N,Leads!$I:$I,Positivação!$I70,Leads!$G:$G,Positivação!$G70)*_xlfn.XLOOKUP($AB70,'Balizador da Meta'!$F$4:$F$9,'Balizador da Meta'!J$4:J$9),0)</f>
        <v>1</v>
      </c>
      <c r="P70" s="38">
        <f>ROUND(SUMIFS(Leads!O:O,Leads!$I:$I,Positivação!$I70,Leads!$G:$G,Positivação!$G70)*_xlfn.XLOOKUP($AB70,'Balizador da Meta'!$F$4:$F$9,'Balizador da Meta'!K$4:K$9),0)</f>
        <v>2</v>
      </c>
      <c r="Q70" s="38">
        <f>ROUND(SUMIFS(Leads!P:P,Leads!$I:$I,Positivação!$I70,Leads!$G:$G,Positivação!$G70)*_xlfn.XLOOKUP($AB70,'Balizador da Meta'!$F$4:$F$9,'Balizador da Meta'!L$4:L$9),0)</f>
        <v>2</v>
      </c>
      <c r="R70" s="38">
        <f>ROUND(SUMIFS(Leads!Q:Q,Leads!$I:$I,Positivação!$I70,Leads!$G:$G,Positivação!$G70)*_xlfn.XLOOKUP($AB70,'Balizador da Meta'!$F$4:$F$9,'Balizador da Meta'!M$4:M$9),0)</f>
        <v>2</v>
      </c>
      <c r="S70" s="38">
        <f>ROUND(SUMIFS(Leads!R:R,Leads!$I:$I,Positivação!$I70,Leads!$G:$G,Positivação!$G70)*_xlfn.XLOOKUP($AB70,'Balizador da Meta'!$F$4:$F$9,'Balizador da Meta'!N$4:N$9),0)</f>
        <v>2</v>
      </c>
      <c r="T70" s="38">
        <f>ROUND(SUMIFS(Leads!S:S,Leads!$I:$I,Positivação!$I70,Leads!$G:$G,Positivação!$G70)*_xlfn.XLOOKUP($AB70,'Balizador da Meta'!$F$4:$F$9,'Balizador da Meta'!O$4:O$9),0)</f>
        <v>2</v>
      </c>
      <c r="U70" s="38">
        <f>ROUND(SUMIFS(Leads!T:T,Leads!$I:$I,Positivação!$I70,Leads!$G:$G,Positivação!$G70)*_xlfn.XLOOKUP($AB70,'Balizador da Meta'!$F$4:$F$9,'Balizador da Meta'!P$4:P$9),0)</f>
        <v>3</v>
      </c>
      <c r="V70" s="38">
        <f>ROUND(SUMIFS(Leads!U:U,Leads!$I:$I,Positivação!$I70,Leads!$G:$G,Positivação!$G70)*_xlfn.XLOOKUP($AB70,'Balizador da Meta'!$F$4:$F$9,'Balizador da Meta'!Q$4:Q$9),0)</f>
        <v>3</v>
      </c>
      <c r="W70" s="38">
        <f>ROUND(SUMIFS(Leads!V:V,Leads!$I:$I,Positivação!$I70,Leads!$G:$G,Positivação!$G70)*_xlfn.XLOOKUP($AB70,'Balizador da Meta'!$F$4:$F$9,'Balizador da Meta'!R$4:R$9),0)</f>
        <v>3</v>
      </c>
      <c r="X70" s="29"/>
      <c r="Y70" s="28">
        <f>IFERROR(SUMIFS('Historico - FAT'!AO:AO,'Historico - FAT'!I:I,Positivação!I70,'Historico - FAT'!G:G,Positivação!G70)/SUM(L70:T70),0)</f>
        <v>314.90785714285715</v>
      </c>
      <c r="Z70" s="28">
        <v>600</v>
      </c>
      <c r="AA70" s="29"/>
      <c r="AB70" s="38" t="s">
        <v>180</v>
      </c>
      <c r="AC70" s="29"/>
      <c r="AD70" s="38">
        <v>4</v>
      </c>
      <c r="AE70" s="38"/>
    </row>
    <row r="71" spans="1:31" x14ac:dyDescent="0.3">
      <c r="A71" s="2">
        <v>1000184670</v>
      </c>
      <c r="B71" s="2" t="s">
        <v>147</v>
      </c>
      <c r="C71" s="4"/>
      <c r="D71" s="4"/>
      <c r="E71" s="2">
        <v>1000184764</v>
      </c>
      <c r="F71" s="2" t="s">
        <v>70</v>
      </c>
      <c r="G71" s="4">
        <v>1000189823</v>
      </c>
      <c r="H71" s="4" t="s">
        <v>73</v>
      </c>
      <c r="I71" s="2">
        <v>1000189270</v>
      </c>
      <c r="J71" s="2" t="s">
        <v>34</v>
      </c>
      <c r="K71" s="2" t="str">
        <f t="shared" si="2"/>
        <v>100018467010001898231000189270</v>
      </c>
      <c r="L71" s="38">
        <f>ROUND(SUMIFS(Leads!K:K,Leads!$I:$I,Positivação!$I71,Leads!$G:$G,Positivação!$G71)*_xlfn.XLOOKUP($AB71,'Balizador da Meta'!$F$4:$F$9,'Balizador da Meta'!G$4:G$9),0)</f>
        <v>1</v>
      </c>
      <c r="M71" s="38">
        <f>ROUND(SUMIFS(Leads!L:L,Leads!$I:$I,Positivação!$I71,Leads!$G:$G,Positivação!$G71)*_xlfn.XLOOKUP($AB71,'Balizador da Meta'!$F$4:$F$9,'Balizador da Meta'!H$4:H$9),0)</f>
        <v>2</v>
      </c>
      <c r="N71" s="38">
        <f>ROUND(SUMIFS(Leads!M:M,Leads!$I:$I,Positivação!$I71,Leads!$G:$G,Positivação!$G71)*_xlfn.XLOOKUP($AB71,'Balizador da Meta'!$F$4:$F$9,'Balizador da Meta'!I$4:I$9),0)</f>
        <v>2</v>
      </c>
      <c r="O71" s="38">
        <f>ROUND(SUMIFS(Leads!N:N,Leads!$I:$I,Positivação!$I71,Leads!$G:$G,Positivação!$G71)*_xlfn.XLOOKUP($AB71,'Balizador da Meta'!$F$4:$F$9,'Balizador da Meta'!J$4:J$9),0)</f>
        <v>2</v>
      </c>
      <c r="P71" s="38">
        <f>ROUND(SUMIFS(Leads!O:O,Leads!$I:$I,Positivação!$I71,Leads!$G:$G,Positivação!$G71)*_xlfn.XLOOKUP($AB71,'Balizador da Meta'!$F$4:$F$9,'Balizador da Meta'!K$4:K$9),0)</f>
        <v>2</v>
      </c>
      <c r="Q71" s="38">
        <f>ROUND(SUMIFS(Leads!P:P,Leads!$I:$I,Positivação!$I71,Leads!$G:$G,Positivação!$G71)*_xlfn.XLOOKUP($AB71,'Balizador da Meta'!$F$4:$F$9,'Balizador da Meta'!L$4:L$9),0)</f>
        <v>2</v>
      </c>
      <c r="R71" s="38">
        <f>ROUND(SUMIFS(Leads!Q:Q,Leads!$I:$I,Positivação!$I71,Leads!$G:$G,Positivação!$G71)*_xlfn.XLOOKUP($AB71,'Balizador da Meta'!$F$4:$F$9,'Balizador da Meta'!M$4:M$9),0)</f>
        <v>3</v>
      </c>
      <c r="S71" s="38">
        <f>ROUND(SUMIFS(Leads!R:R,Leads!$I:$I,Positivação!$I71,Leads!$G:$G,Positivação!$G71)*_xlfn.XLOOKUP($AB71,'Balizador da Meta'!$F$4:$F$9,'Balizador da Meta'!N$4:N$9),0)</f>
        <v>3</v>
      </c>
      <c r="T71" s="38">
        <f>ROUND(SUMIFS(Leads!S:S,Leads!$I:$I,Positivação!$I71,Leads!$G:$G,Positivação!$G71)*_xlfn.XLOOKUP($AB71,'Balizador da Meta'!$F$4:$F$9,'Balizador da Meta'!O$4:O$9),0)</f>
        <v>3</v>
      </c>
      <c r="U71" s="38">
        <f>ROUND(SUMIFS(Leads!T:T,Leads!$I:$I,Positivação!$I71,Leads!$G:$G,Positivação!$G71)*_xlfn.XLOOKUP($AB71,'Balizador da Meta'!$F$4:$F$9,'Balizador da Meta'!P$4:P$9),0)</f>
        <v>3</v>
      </c>
      <c r="V71" s="38">
        <f>ROUND(SUMIFS(Leads!U:U,Leads!$I:$I,Positivação!$I71,Leads!$G:$G,Positivação!$G71)*_xlfn.XLOOKUP($AB71,'Balizador da Meta'!$F$4:$F$9,'Balizador da Meta'!Q$4:Q$9),0)</f>
        <v>3</v>
      </c>
      <c r="W71" s="38">
        <f>ROUND(SUMIFS(Leads!V:V,Leads!$I:$I,Positivação!$I71,Leads!$G:$G,Positivação!$G71)*_xlfn.XLOOKUP($AB71,'Balizador da Meta'!$F$4:$F$9,'Balizador da Meta'!R$4:R$9),0)</f>
        <v>4</v>
      </c>
      <c r="X71" s="29"/>
      <c r="Y71" s="28">
        <f>IFERROR(SUMIFS('Historico - FAT'!AO:AO,'Historico - FAT'!I:I,Positivação!I71,'Historico - FAT'!G:G,Positivação!G71)/SUM(L71:T71),0)</f>
        <v>62.344000000000008</v>
      </c>
      <c r="Z71" s="28">
        <v>600</v>
      </c>
      <c r="AA71" s="29"/>
      <c r="AB71" s="38" t="s">
        <v>180</v>
      </c>
      <c r="AC71" s="29"/>
      <c r="AD71" s="38">
        <v>6</v>
      </c>
      <c r="AE71" s="38"/>
    </row>
    <row r="72" spans="1:31" x14ac:dyDescent="0.3">
      <c r="A72" s="2">
        <v>1000184670</v>
      </c>
      <c r="B72" s="2" t="s">
        <v>147</v>
      </c>
      <c r="C72" s="4"/>
      <c r="D72" s="4"/>
      <c r="E72" s="2">
        <v>1000185288</v>
      </c>
      <c r="F72" s="2" t="s">
        <v>64</v>
      </c>
      <c r="G72" s="4">
        <v>1000189792</v>
      </c>
      <c r="H72" s="4" t="s">
        <v>116</v>
      </c>
      <c r="I72" s="2">
        <v>1000189270</v>
      </c>
      <c r="J72" s="2" t="s">
        <v>34</v>
      </c>
      <c r="K72" s="2" t="str">
        <f t="shared" si="2"/>
        <v>100018467010001897921000189270</v>
      </c>
      <c r="L72" s="38">
        <f>ROUND(SUMIFS(Leads!K:K,Leads!$I:$I,Positivação!$I72,Leads!$G:$G,Positivação!$G72)*_xlfn.XLOOKUP($AB72,'Balizador da Meta'!$F$4:$F$9,'Balizador da Meta'!G$4:G$9),0)</f>
        <v>1</v>
      </c>
      <c r="M72" s="38">
        <f>ROUND(SUMIFS(Leads!L:L,Leads!$I:$I,Positivação!$I72,Leads!$G:$G,Positivação!$G72)*_xlfn.XLOOKUP($AB72,'Balizador da Meta'!$F$4:$F$9,'Balizador da Meta'!H$4:H$9),0)</f>
        <v>1</v>
      </c>
      <c r="N72" s="38">
        <f>ROUND(SUMIFS(Leads!M:M,Leads!$I:$I,Positivação!$I72,Leads!$G:$G,Positivação!$G72)*_xlfn.XLOOKUP($AB72,'Balizador da Meta'!$F$4:$F$9,'Balizador da Meta'!I$4:I$9),0)</f>
        <v>2</v>
      </c>
      <c r="O72" s="38">
        <f>ROUND(SUMIFS(Leads!N:N,Leads!$I:$I,Positivação!$I72,Leads!$G:$G,Positivação!$G72)*_xlfn.XLOOKUP($AB72,'Balizador da Meta'!$F$4:$F$9,'Balizador da Meta'!J$4:J$9),0)</f>
        <v>2</v>
      </c>
      <c r="P72" s="38">
        <f>ROUND(SUMIFS(Leads!O:O,Leads!$I:$I,Positivação!$I72,Leads!$G:$G,Positivação!$G72)*_xlfn.XLOOKUP($AB72,'Balizador da Meta'!$F$4:$F$9,'Balizador da Meta'!K$4:K$9),0)</f>
        <v>2</v>
      </c>
      <c r="Q72" s="38">
        <f>ROUND(SUMIFS(Leads!P:P,Leads!$I:$I,Positivação!$I72,Leads!$G:$G,Positivação!$G72)*_xlfn.XLOOKUP($AB72,'Balizador da Meta'!$F$4:$F$9,'Balizador da Meta'!L$4:L$9),0)</f>
        <v>2</v>
      </c>
      <c r="R72" s="38">
        <f>ROUND(SUMIFS(Leads!Q:Q,Leads!$I:$I,Positivação!$I72,Leads!$G:$G,Positivação!$G72)*_xlfn.XLOOKUP($AB72,'Balizador da Meta'!$F$4:$F$9,'Balizador da Meta'!M$4:M$9),0)</f>
        <v>2</v>
      </c>
      <c r="S72" s="38">
        <f>ROUND(SUMIFS(Leads!R:R,Leads!$I:$I,Positivação!$I72,Leads!$G:$G,Positivação!$G72)*_xlfn.XLOOKUP($AB72,'Balizador da Meta'!$F$4:$F$9,'Balizador da Meta'!N$4:N$9),0)</f>
        <v>3</v>
      </c>
      <c r="T72" s="38">
        <f>ROUND(SUMIFS(Leads!S:S,Leads!$I:$I,Positivação!$I72,Leads!$G:$G,Positivação!$G72)*_xlfn.XLOOKUP($AB72,'Balizador da Meta'!$F$4:$F$9,'Balizador da Meta'!O$4:O$9),0)</f>
        <v>3</v>
      </c>
      <c r="U72" s="38">
        <f>ROUND(SUMIFS(Leads!T:T,Leads!$I:$I,Positivação!$I72,Leads!$G:$G,Positivação!$G72)*_xlfn.XLOOKUP($AB72,'Balizador da Meta'!$F$4:$F$9,'Balizador da Meta'!P$4:P$9),0)</f>
        <v>3</v>
      </c>
      <c r="V72" s="38">
        <f>ROUND(SUMIFS(Leads!U:U,Leads!$I:$I,Positivação!$I72,Leads!$G:$G,Positivação!$G72)*_xlfn.XLOOKUP($AB72,'Balizador da Meta'!$F$4:$F$9,'Balizador da Meta'!Q$4:Q$9),0)</f>
        <v>3</v>
      </c>
      <c r="W72" s="38">
        <f>ROUND(SUMIFS(Leads!V:V,Leads!$I:$I,Positivação!$I72,Leads!$G:$G,Positivação!$G72)*_xlfn.XLOOKUP($AB72,'Balizador da Meta'!$F$4:$F$9,'Balizador da Meta'!R$4:R$9),0)</f>
        <v>3</v>
      </c>
      <c r="X72" s="29"/>
      <c r="Y72" s="28">
        <f>IFERROR(SUMIFS('Historico - FAT'!AO:AO,'Historico - FAT'!I:I,Positivação!I72,'Historico - FAT'!G:G,Positivação!G72)/SUM(L72:T72),0)</f>
        <v>76.166666666666671</v>
      </c>
      <c r="Z72" s="28">
        <v>600</v>
      </c>
      <c r="AA72" s="29"/>
      <c r="AB72" s="38" t="s">
        <v>180</v>
      </c>
      <c r="AC72" s="29"/>
      <c r="AD72" s="38">
        <v>6</v>
      </c>
      <c r="AE72" s="38"/>
    </row>
    <row r="73" spans="1:31" x14ac:dyDescent="0.3">
      <c r="A73" s="2">
        <v>1000184670</v>
      </c>
      <c r="B73" s="2" t="s">
        <v>147</v>
      </c>
      <c r="C73" s="4"/>
      <c r="D73" s="4"/>
      <c r="E73" s="2">
        <v>1000185288</v>
      </c>
      <c r="F73" s="2" t="s">
        <v>64</v>
      </c>
      <c r="G73" s="4">
        <v>1000189793</v>
      </c>
      <c r="H73" s="4" t="s">
        <v>85</v>
      </c>
      <c r="I73" s="2">
        <v>1000189270</v>
      </c>
      <c r="J73" s="2" t="s">
        <v>34</v>
      </c>
      <c r="K73" s="2" t="str">
        <f t="shared" si="2"/>
        <v>100018467010001897931000189270</v>
      </c>
      <c r="L73" s="38">
        <f>ROUND(SUMIFS(Leads!K:K,Leads!$I:$I,Positivação!$I73,Leads!$G:$G,Positivação!$G73)*_xlfn.XLOOKUP($AB73,'Balizador da Meta'!$F$4:$F$9,'Balizador da Meta'!G$4:G$9),0)</f>
        <v>24</v>
      </c>
      <c r="M73" s="38">
        <f>ROUND(SUMIFS(Leads!L:L,Leads!$I:$I,Positivação!$I73,Leads!$G:$G,Positivação!$G73)*_xlfn.XLOOKUP($AB73,'Balizador da Meta'!$F$4:$F$9,'Balizador da Meta'!H$4:H$9),0)</f>
        <v>24</v>
      </c>
      <c r="N73" s="38">
        <f>ROUND(SUMIFS(Leads!M:M,Leads!$I:$I,Positivação!$I73,Leads!$G:$G,Positivação!$G73)*_xlfn.XLOOKUP($AB73,'Balizador da Meta'!$F$4:$F$9,'Balizador da Meta'!I$4:I$9),0)</f>
        <v>25</v>
      </c>
      <c r="O73" s="38">
        <f>ROUND(SUMIFS(Leads!N:N,Leads!$I:$I,Positivação!$I73,Leads!$G:$G,Positivação!$G73)*_xlfn.XLOOKUP($AB73,'Balizador da Meta'!$F$4:$F$9,'Balizador da Meta'!J$4:J$9),0)</f>
        <v>25</v>
      </c>
      <c r="P73" s="38">
        <f>ROUND(SUMIFS(Leads!O:O,Leads!$I:$I,Positivação!$I73,Leads!$G:$G,Positivação!$G73)*_xlfn.XLOOKUP($AB73,'Balizador da Meta'!$F$4:$F$9,'Balizador da Meta'!K$4:K$9),0)</f>
        <v>25</v>
      </c>
      <c r="Q73" s="38">
        <f>ROUND(SUMIFS(Leads!P:P,Leads!$I:$I,Positivação!$I73,Leads!$G:$G,Positivação!$G73)*_xlfn.XLOOKUP($AB73,'Balizador da Meta'!$F$4:$F$9,'Balizador da Meta'!L$4:L$9),0)</f>
        <v>26</v>
      </c>
      <c r="R73" s="38">
        <f>ROUND(SUMIFS(Leads!Q:Q,Leads!$I:$I,Positivação!$I73,Leads!$G:$G,Positivação!$G73)*_xlfn.XLOOKUP($AB73,'Balizador da Meta'!$F$4:$F$9,'Balizador da Meta'!M$4:M$9),0)</f>
        <v>26</v>
      </c>
      <c r="S73" s="38">
        <f>ROUND(SUMIFS(Leads!R:R,Leads!$I:$I,Positivação!$I73,Leads!$G:$G,Positivação!$G73)*_xlfn.XLOOKUP($AB73,'Balizador da Meta'!$F$4:$F$9,'Balizador da Meta'!N$4:N$9),0)</f>
        <v>27</v>
      </c>
      <c r="T73" s="38">
        <f>ROUND(SUMIFS(Leads!S:S,Leads!$I:$I,Positivação!$I73,Leads!$G:$G,Positivação!$G73)*_xlfn.XLOOKUP($AB73,'Balizador da Meta'!$F$4:$F$9,'Balizador da Meta'!O$4:O$9),0)</f>
        <v>27</v>
      </c>
      <c r="U73" s="38">
        <f>ROUND(SUMIFS(Leads!T:T,Leads!$I:$I,Positivação!$I73,Leads!$G:$G,Positivação!$G73)*_xlfn.XLOOKUP($AB73,'Balizador da Meta'!$F$4:$F$9,'Balizador da Meta'!P$4:P$9),0)</f>
        <v>27</v>
      </c>
      <c r="V73" s="38">
        <f>ROUND(SUMIFS(Leads!U:U,Leads!$I:$I,Positivação!$I73,Leads!$G:$G,Positivação!$G73)*_xlfn.XLOOKUP($AB73,'Balizador da Meta'!$F$4:$F$9,'Balizador da Meta'!Q$4:Q$9),0)</f>
        <v>28</v>
      </c>
      <c r="W73" s="38">
        <f>ROUND(SUMIFS(Leads!V:V,Leads!$I:$I,Positivação!$I73,Leads!$G:$G,Positivação!$G73)*_xlfn.XLOOKUP($AB73,'Balizador da Meta'!$F$4:$F$9,'Balizador da Meta'!R$4:R$9),0)</f>
        <v>28</v>
      </c>
      <c r="X73" s="29"/>
      <c r="Y73" s="28">
        <f>IFERROR(SUMIFS('Historico - FAT'!AO:AO,'Historico - FAT'!I:I,Positivação!I73,'Historico - FAT'!G:G,Positivação!G73)/SUM(L73:T73),0)</f>
        <v>1154.3625327510915</v>
      </c>
      <c r="Z73" s="28">
        <v>600</v>
      </c>
      <c r="AA73" s="29"/>
      <c r="AB73" s="38" t="s">
        <v>180</v>
      </c>
      <c r="AC73" s="29"/>
      <c r="AD73" s="38">
        <v>116</v>
      </c>
      <c r="AE73" s="38"/>
    </row>
    <row r="74" spans="1:31" x14ac:dyDescent="0.3">
      <c r="A74" s="2">
        <v>1000184670</v>
      </c>
      <c r="B74" s="2" t="s">
        <v>147</v>
      </c>
      <c r="C74" s="4"/>
      <c r="D74" s="4"/>
      <c r="E74" s="2">
        <v>1000185288</v>
      </c>
      <c r="F74" s="2" t="s">
        <v>64</v>
      </c>
      <c r="G74" s="4">
        <v>1000189794</v>
      </c>
      <c r="H74" s="4" t="s">
        <v>117</v>
      </c>
      <c r="I74" s="2">
        <v>1000189270</v>
      </c>
      <c r="J74" s="2" t="s">
        <v>34</v>
      </c>
      <c r="K74" s="2" t="str">
        <f t="shared" si="2"/>
        <v>100018467010001897941000189270</v>
      </c>
      <c r="L74" s="38">
        <f>ROUND(SUMIFS(Leads!K:K,Leads!$I:$I,Positivação!$I74,Leads!$G:$G,Positivação!$G74)*_xlfn.XLOOKUP($AB74,'Balizador da Meta'!$F$4:$F$9,'Balizador da Meta'!G$4:G$9),0)</f>
        <v>7</v>
      </c>
      <c r="M74" s="38">
        <f>ROUND(SUMIFS(Leads!L:L,Leads!$I:$I,Positivação!$I74,Leads!$G:$G,Positivação!$G74)*_xlfn.XLOOKUP($AB74,'Balizador da Meta'!$F$4:$F$9,'Balizador da Meta'!H$4:H$9),0)</f>
        <v>7</v>
      </c>
      <c r="N74" s="38">
        <f>ROUND(SUMIFS(Leads!M:M,Leads!$I:$I,Positivação!$I74,Leads!$G:$G,Positivação!$G74)*_xlfn.XLOOKUP($AB74,'Balizador da Meta'!$F$4:$F$9,'Balizador da Meta'!I$4:I$9),0)</f>
        <v>7</v>
      </c>
      <c r="O74" s="38">
        <f>ROUND(SUMIFS(Leads!N:N,Leads!$I:$I,Positivação!$I74,Leads!$G:$G,Positivação!$G74)*_xlfn.XLOOKUP($AB74,'Balizador da Meta'!$F$4:$F$9,'Balizador da Meta'!J$4:J$9),0)</f>
        <v>8</v>
      </c>
      <c r="P74" s="38">
        <f>ROUND(SUMIFS(Leads!O:O,Leads!$I:$I,Positivação!$I74,Leads!$G:$G,Positivação!$G74)*_xlfn.XLOOKUP($AB74,'Balizador da Meta'!$F$4:$F$9,'Balizador da Meta'!K$4:K$9),0)</f>
        <v>8</v>
      </c>
      <c r="Q74" s="38">
        <f>ROUND(SUMIFS(Leads!P:P,Leads!$I:$I,Positivação!$I74,Leads!$G:$G,Positivação!$G74)*_xlfn.XLOOKUP($AB74,'Balizador da Meta'!$F$4:$F$9,'Balizador da Meta'!L$4:L$9),0)</f>
        <v>8</v>
      </c>
      <c r="R74" s="38">
        <f>ROUND(SUMIFS(Leads!Q:Q,Leads!$I:$I,Positivação!$I74,Leads!$G:$G,Positivação!$G74)*_xlfn.XLOOKUP($AB74,'Balizador da Meta'!$F$4:$F$9,'Balizador da Meta'!M$4:M$9),0)</f>
        <v>8</v>
      </c>
      <c r="S74" s="38">
        <f>ROUND(SUMIFS(Leads!R:R,Leads!$I:$I,Positivação!$I74,Leads!$G:$G,Positivação!$G74)*_xlfn.XLOOKUP($AB74,'Balizador da Meta'!$F$4:$F$9,'Balizador da Meta'!N$4:N$9),0)</f>
        <v>8</v>
      </c>
      <c r="T74" s="38">
        <f>ROUND(SUMIFS(Leads!S:S,Leads!$I:$I,Positivação!$I74,Leads!$G:$G,Positivação!$G74)*_xlfn.XLOOKUP($AB74,'Balizador da Meta'!$F$4:$F$9,'Balizador da Meta'!O$4:O$9),0)</f>
        <v>9</v>
      </c>
      <c r="U74" s="38">
        <f>ROUND(SUMIFS(Leads!T:T,Leads!$I:$I,Positivação!$I74,Leads!$G:$G,Positivação!$G74)*_xlfn.XLOOKUP($AB74,'Balizador da Meta'!$F$4:$F$9,'Balizador da Meta'!P$4:P$9),0)</f>
        <v>9</v>
      </c>
      <c r="V74" s="38">
        <f>ROUND(SUMIFS(Leads!U:U,Leads!$I:$I,Positivação!$I74,Leads!$G:$G,Positivação!$G74)*_xlfn.XLOOKUP($AB74,'Balizador da Meta'!$F$4:$F$9,'Balizador da Meta'!Q$4:Q$9),0)</f>
        <v>9</v>
      </c>
      <c r="W74" s="38">
        <f>ROUND(SUMIFS(Leads!V:V,Leads!$I:$I,Positivação!$I74,Leads!$G:$G,Positivação!$G74)*_xlfn.XLOOKUP($AB74,'Balizador da Meta'!$F$4:$F$9,'Balizador da Meta'!R$4:R$9),0)</f>
        <v>9</v>
      </c>
      <c r="X74" s="29"/>
      <c r="Y74" s="28">
        <f>IFERROR(SUMIFS('Historico - FAT'!AO:AO,'Historico - FAT'!I:I,Positivação!I74,'Historico - FAT'!G:G,Positivação!G74)/SUM(L74:T74),0)</f>
        <v>71.869285714285724</v>
      </c>
      <c r="Z74" s="28">
        <v>600</v>
      </c>
      <c r="AA74" s="29"/>
      <c r="AB74" s="38" t="s">
        <v>180</v>
      </c>
      <c r="AC74" s="29"/>
      <c r="AD74" s="38">
        <v>35</v>
      </c>
      <c r="AE74" s="38"/>
    </row>
    <row r="75" spans="1:31" x14ac:dyDescent="0.3">
      <c r="A75" s="2">
        <v>1000184670</v>
      </c>
      <c r="B75" s="2" t="s">
        <v>147</v>
      </c>
      <c r="C75" s="4"/>
      <c r="D75" s="4"/>
      <c r="E75" s="2">
        <v>1000185288</v>
      </c>
      <c r="F75" s="2" t="s">
        <v>64</v>
      </c>
      <c r="G75" s="4">
        <v>1000189795</v>
      </c>
      <c r="H75" s="4" t="s">
        <v>65</v>
      </c>
      <c r="I75" s="2">
        <v>1000189270</v>
      </c>
      <c r="J75" s="2" t="s">
        <v>34</v>
      </c>
      <c r="K75" s="2" t="str">
        <f t="shared" si="2"/>
        <v>100018467010001897951000189270</v>
      </c>
      <c r="L75" s="38">
        <f>ROUND(SUMIFS(Leads!K:K,Leads!$I:$I,Positivação!$I75,Leads!$G:$G,Positivação!$G75)*_xlfn.XLOOKUP($AB75,'Balizador da Meta'!$F$4:$F$9,'Balizador da Meta'!G$4:G$9),0)</f>
        <v>9</v>
      </c>
      <c r="M75" s="38">
        <f>ROUND(SUMIFS(Leads!L:L,Leads!$I:$I,Positivação!$I75,Leads!$G:$G,Positivação!$G75)*_xlfn.XLOOKUP($AB75,'Balizador da Meta'!$F$4:$F$9,'Balizador da Meta'!H$4:H$9),0)</f>
        <v>10</v>
      </c>
      <c r="N75" s="38">
        <f>ROUND(SUMIFS(Leads!M:M,Leads!$I:$I,Positivação!$I75,Leads!$G:$G,Positivação!$G75)*_xlfn.XLOOKUP($AB75,'Balizador da Meta'!$F$4:$F$9,'Balizador da Meta'!I$4:I$9),0)</f>
        <v>10</v>
      </c>
      <c r="O75" s="38">
        <f>ROUND(SUMIFS(Leads!N:N,Leads!$I:$I,Positivação!$I75,Leads!$G:$G,Positivação!$G75)*_xlfn.XLOOKUP($AB75,'Balizador da Meta'!$F$4:$F$9,'Balizador da Meta'!J$4:J$9),0)</f>
        <v>10</v>
      </c>
      <c r="P75" s="38">
        <f>ROUND(SUMIFS(Leads!O:O,Leads!$I:$I,Positivação!$I75,Leads!$G:$G,Positivação!$G75)*_xlfn.XLOOKUP($AB75,'Balizador da Meta'!$F$4:$F$9,'Balizador da Meta'!K$4:K$9),0)</f>
        <v>10</v>
      </c>
      <c r="Q75" s="38">
        <f>ROUND(SUMIFS(Leads!P:P,Leads!$I:$I,Positivação!$I75,Leads!$G:$G,Positivação!$G75)*_xlfn.XLOOKUP($AB75,'Balizador da Meta'!$F$4:$F$9,'Balizador da Meta'!L$4:L$9),0)</f>
        <v>10</v>
      </c>
      <c r="R75" s="38">
        <f>ROUND(SUMIFS(Leads!Q:Q,Leads!$I:$I,Positivação!$I75,Leads!$G:$G,Positivação!$G75)*_xlfn.XLOOKUP($AB75,'Balizador da Meta'!$F$4:$F$9,'Balizador da Meta'!M$4:M$9),0)</f>
        <v>11</v>
      </c>
      <c r="S75" s="38">
        <f>ROUND(SUMIFS(Leads!R:R,Leads!$I:$I,Positivação!$I75,Leads!$G:$G,Positivação!$G75)*_xlfn.XLOOKUP($AB75,'Balizador da Meta'!$F$4:$F$9,'Balizador da Meta'!N$4:N$9),0)</f>
        <v>11</v>
      </c>
      <c r="T75" s="38">
        <f>ROUND(SUMIFS(Leads!S:S,Leads!$I:$I,Positivação!$I75,Leads!$G:$G,Positivação!$G75)*_xlfn.XLOOKUP($AB75,'Balizador da Meta'!$F$4:$F$9,'Balizador da Meta'!O$4:O$9),0)</f>
        <v>11</v>
      </c>
      <c r="U75" s="38">
        <f>ROUND(SUMIFS(Leads!T:T,Leads!$I:$I,Positivação!$I75,Leads!$G:$G,Positivação!$G75)*_xlfn.XLOOKUP($AB75,'Balizador da Meta'!$F$4:$F$9,'Balizador da Meta'!P$4:P$9),0)</f>
        <v>11</v>
      </c>
      <c r="V75" s="38">
        <f>ROUND(SUMIFS(Leads!U:U,Leads!$I:$I,Positivação!$I75,Leads!$G:$G,Positivação!$G75)*_xlfn.XLOOKUP($AB75,'Balizador da Meta'!$F$4:$F$9,'Balizador da Meta'!Q$4:Q$9),0)</f>
        <v>11</v>
      </c>
      <c r="W75" s="38">
        <f>ROUND(SUMIFS(Leads!V:V,Leads!$I:$I,Positivação!$I75,Leads!$G:$G,Positivação!$G75)*_xlfn.XLOOKUP($AB75,'Balizador da Meta'!$F$4:$F$9,'Balizador da Meta'!R$4:R$9),0)</f>
        <v>12</v>
      </c>
      <c r="X75" s="29"/>
      <c r="Y75" s="28">
        <f>IFERROR(SUMIFS('Historico - FAT'!AO:AO,'Historico - FAT'!I:I,Positivação!I75,'Historico - FAT'!G:G,Positivação!G75)/SUM(L75:T75),0)</f>
        <v>725.58673913043458</v>
      </c>
      <c r="Z75" s="28">
        <v>600</v>
      </c>
      <c r="AA75" s="29"/>
      <c r="AB75" s="38" t="s">
        <v>180</v>
      </c>
      <c r="AC75" s="29"/>
      <c r="AD75" s="38">
        <v>44</v>
      </c>
      <c r="AE75" s="38"/>
    </row>
    <row r="76" spans="1:31" x14ac:dyDescent="0.3">
      <c r="A76" s="2">
        <v>1000184670</v>
      </c>
      <c r="B76" s="2" t="s">
        <v>147</v>
      </c>
      <c r="C76" s="4"/>
      <c r="D76" s="4"/>
      <c r="E76" s="2">
        <v>1000185288</v>
      </c>
      <c r="F76" s="2" t="s">
        <v>64</v>
      </c>
      <c r="G76" s="4">
        <v>1000189803</v>
      </c>
      <c r="H76" s="4" t="s">
        <v>97</v>
      </c>
      <c r="I76" s="2">
        <v>1000189270</v>
      </c>
      <c r="J76" s="2" t="s">
        <v>34</v>
      </c>
      <c r="K76" s="2" t="str">
        <f t="shared" si="2"/>
        <v>100018467010001898031000189270</v>
      </c>
      <c r="L76" s="38">
        <f>ROUND(SUMIFS(Leads!K:K,Leads!$I:$I,Positivação!$I76,Leads!$G:$G,Positivação!$G76)*_xlfn.XLOOKUP($AB76,'Balizador da Meta'!$F$4:$F$9,'Balizador da Meta'!G$4:G$9),0)</f>
        <v>12</v>
      </c>
      <c r="M76" s="38">
        <f>ROUND(SUMIFS(Leads!L:L,Leads!$I:$I,Positivação!$I76,Leads!$G:$G,Positivação!$G76)*_xlfn.XLOOKUP($AB76,'Balizador da Meta'!$F$4:$F$9,'Balizador da Meta'!H$4:H$9),0)</f>
        <v>12</v>
      </c>
      <c r="N76" s="38">
        <f>ROUND(SUMIFS(Leads!M:M,Leads!$I:$I,Positivação!$I76,Leads!$G:$G,Positivação!$G76)*_xlfn.XLOOKUP($AB76,'Balizador da Meta'!$F$4:$F$9,'Balizador da Meta'!I$4:I$9),0)</f>
        <v>12</v>
      </c>
      <c r="O76" s="38">
        <f>ROUND(SUMIFS(Leads!N:N,Leads!$I:$I,Positivação!$I76,Leads!$G:$G,Positivação!$G76)*_xlfn.XLOOKUP($AB76,'Balizador da Meta'!$F$4:$F$9,'Balizador da Meta'!J$4:J$9),0)</f>
        <v>12</v>
      </c>
      <c r="P76" s="38">
        <f>ROUND(SUMIFS(Leads!O:O,Leads!$I:$I,Positivação!$I76,Leads!$G:$G,Positivação!$G76)*_xlfn.XLOOKUP($AB76,'Balizador da Meta'!$F$4:$F$9,'Balizador da Meta'!K$4:K$9),0)</f>
        <v>12</v>
      </c>
      <c r="Q76" s="38">
        <f>ROUND(SUMIFS(Leads!P:P,Leads!$I:$I,Positivação!$I76,Leads!$G:$G,Positivação!$G76)*_xlfn.XLOOKUP($AB76,'Balizador da Meta'!$F$4:$F$9,'Balizador da Meta'!L$4:L$9),0)</f>
        <v>13</v>
      </c>
      <c r="R76" s="38">
        <f>ROUND(SUMIFS(Leads!Q:Q,Leads!$I:$I,Positivação!$I76,Leads!$G:$G,Positivação!$G76)*_xlfn.XLOOKUP($AB76,'Balizador da Meta'!$F$4:$F$9,'Balizador da Meta'!M$4:M$9),0)</f>
        <v>13</v>
      </c>
      <c r="S76" s="38">
        <f>ROUND(SUMIFS(Leads!R:R,Leads!$I:$I,Positivação!$I76,Leads!$G:$G,Positivação!$G76)*_xlfn.XLOOKUP($AB76,'Balizador da Meta'!$F$4:$F$9,'Balizador da Meta'!N$4:N$9),0)</f>
        <v>13</v>
      </c>
      <c r="T76" s="38">
        <f>ROUND(SUMIFS(Leads!S:S,Leads!$I:$I,Positivação!$I76,Leads!$G:$G,Positivação!$G76)*_xlfn.XLOOKUP($AB76,'Balizador da Meta'!$F$4:$F$9,'Balizador da Meta'!O$4:O$9),0)</f>
        <v>13</v>
      </c>
      <c r="U76" s="38">
        <f>ROUND(SUMIFS(Leads!T:T,Leads!$I:$I,Positivação!$I76,Leads!$G:$G,Positivação!$G76)*_xlfn.XLOOKUP($AB76,'Balizador da Meta'!$F$4:$F$9,'Balizador da Meta'!P$4:P$9),0)</f>
        <v>13</v>
      </c>
      <c r="V76" s="38">
        <f>ROUND(SUMIFS(Leads!U:U,Leads!$I:$I,Positivação!$I76,Leads!$G:$G,Positivação!$G76)*_xlfn.XLOOKUP($AB76,'Balizador da Meta'!$F$4:$F$9,'Balizador da Meta'!Q$4:Q$9),0)</f>
        <v>14</v>
      </c>
      <c r="W76" s="38">
        <f>ROUND(SUMIFS(Leads!V:V,Leads!$I:$I,Positivação!$I76,Leads!$G:$G,Positivação!$G76)*_xlfn.XLOOKUP($AB76,'Balizador da Meta'!$F$4:$F$9,'Balizador da Meta'!R$4:R$9),0)</f>
        <v>14</v>
      </c>
      <c r="X76" s="29"/>
      <c r="Y76" s="28">
        <f>IFERROR(SUMIFS('Historico - FAT'!AO:AO,'Historico - FAT'!I:I,Positivação!I76,'Historico - FAT'!G:G,Positivação!G76)/SUM(L76:T76),0)</f>
        <v>338.89669642857137</v>
      </c>
      <c r="Z76" s="28">
        <v>600</v>
      </c>
      <c r="AA76" s="29"/>
      <c r="AB76" s="38" t="s">
        <v>180</v>
      </c>
      <c r="AC76" s="29"/>
      <c r="AD76" s="38">
        <v>56</v>
      </c>
      <c r="AE76" s="38"/>
    </row>
    <row r="77" spans="1:31" x14ac:dyDescent="0.3">
      <c r="A77" s="2">
        <v>1000184670</v>
      </c>
      <c r="B77" s="2" t="s">
        <v>147</v>
      </c>
      <c r="C77" s="4"/>
      <c r="D77" s="4"/>
      <c r="E77" s="2">
        <v>1000185288</v>
      </c>
      <c r="F77" s="2" t="s">
        <v>64</v>
      </c>
      <c r="G77" s="4">
        <v>1000189804</v>
      </c>
      <c r="H77" s="4" t="s">
        <v>89</v>
      </c>
      <c r="I77" s="2">
        <v>1000189270</v>
      </c>
      <c r="J77" s="2" t="s">
        <v>34</v>
      </c>
      <c r="K77" s="2" t="str">
        <f t="shared" si="2"/>
        <v>100018467010001898041000189270</v>
      </c>
      <c r="L77" s="38">
        <f>ROUND(SUMIFS(Leads!K:K,Leads!$I:$I,Positivação!$I77,Leads!$G:$G,Positivação!$G77)*_xlfn.XLOOKUP($AB77,'Balizador da Meta'!$F$4:$F$9,'Balizador da Meta'!G$4:G$9),0)</f>
        <v>10</v>
      </c>
      <c r="M77" s="38">
        <f>ROUND(SUMIFS(Leads!L:L,Leads!$I:$I,Positivação!$I77,Leads!$G:$G,Positivação!$G77)*_xlfn.XLOOKUP($AB77,'Balizador da Meta'!$F$4:$F$9,'Balizador da Meta'!H$4:H$9),0)</f>
        <v>10</v>
      </c>
      <c r="N77" s="38">
        <f>ROUND(SUMIFS(Leads!M:M,Leads!$I:$I,Positivação!$I77,Leads!$G:$G,Positivação!$G77)*_xlfn.XLOOKUP($AB77,'Balizador da Meta'!$F$4:$F$9,'Balizador da Meta'!I$4:I$9),0)</f>
        <v>10</v>
      </c>
      <c r="O77" s="38">
        <f>ROUND(SUMIFS(Leads!N:N,Leads!$I:$I,Positivação!$I77,Leads!$G:$G,Positivação!$G77)*_xlfn.XLOOKUP($AB77,'Balizador da Meta'!$F$4:$F$9,'Balizador da Meta'!J$4:J$9),0)</f>
        <v>10</v>
      </c>
      <c r="P77" s="38">
        <f>ROUND(SUMIFS(Leads!O:O,Leads!$I:$I,Positivação!$I77,Leads!$G:$G,Positivação!$G77)*_xlfn.XLOOKUP($AB77,'Balizador da Meta'!$F$4:$F$9,'Balizador da Meta'!K$4:K$9),0)</f>
        <v>10</v>
      </c>
      <c r="Q77" s="38">
        <f>ROUND(SUMIFS(Leads!P:P,Leads!$I:$I,Positivação!$I77,Leads!$G:$G,Positivação!$G77)*_xlfn.XLOOKUP($AB77,'Balizador da Meta'!$F$4:$F$9,'Balizador da Meta'!L$4:L$9),0)</f>
        <v>11</v>
      </c>
      <c r="R77" s="38">
        <f>ROUND(SUMIFS(Leads!Q:Q,Leads!$I:$I,Positivação!$I77,Leads!$G:$G,Positivação!$G77)*_xlfn.XLOOKUP($AB77,'Balizador da Meta'!$F$4:$F$9,'Balizador da Meta'!M$4:M$9),0)</f>
        <v>11</v>
      </c>
      <c r="S77" s="38">
        <f>ROUND(SUMIFS(Leads!R:R,Leads!$I:$I,Positivação!$I77,Leads!$G:$G,Positivação!$G77)*_xlfn.XLOOKUP($AB77,'Balizador da Meta'!$F$4:$F$9,'Balizador da Meta'!N$4:N$9),0)</f>
        <v>11</v>
      </c>
      <c r="T77" s="38">
        <f>ROUND(SUMIFS(Leads!S:S,Leads!$I:$I,Positivação!$I77,Leads!$G:$G,Positivação!$G77)*_xlfn.XLOOKUP($AB77,'Balizador da Meta'!$F$4:$F$9,'Balizador da Meta'!O$4:O$9),0)</f>
        <v>11</v>
      </c>
      <c r="U77" s="38">
        <f>ROUND(SUMIFS(Leads!T:T,Leads!$I:$I,Positivação!$I77,Leads!$G:$G,Positivação!$G77)*_xlfn.XLOOKUP($AB77,'Balizador da Meta'!$F$4:$F$9,'Balizador da Meta'!P$4:P$9),0)</f>
        <v>11</v>
      </c>
      <c r="V77" s="38">
        <f>ROUND(SUMIFS(Leads!U:U,Leads!$I:$I,Positivação!$I77,Leads!$G:$G,Positivação!$G77)*_xlfn.XLOOKUP($AB77,'Balizador da Meta'!$F$4:$F$9,'Balizador da Meta'!Q$4:Q$9),0)</f>
        <v>12</v>
      </c>
      <c r="W77" s="38">
        <f>ROUND(SUMIFS(Leads!V:V,Leads!$I:$I,Positivação!$I77,Leads!$G:$G,Positivação!$G77)*_xlfn.XLOOKUP($AB77,'Balizador da Meta'!$F$4:$F$9,'Balizador da Meta'!R$4:R$9),0)</f>
        <v>12</v>
      </c>
      <c r="X77" s="29"/>
      <c r="Y77" s="28">
        <f>IFERROR(SUMIFS('Historico - FAT'!AO:AO,'Historico - FAT'!I:I,Positivação!I77,'Historico - FAT'!G:G,Positivação!G77)/SUM(L77:T77),0)</f>
        <v>45.275957446808519</v>
      </c>
      <c r="Z77" s="28">
        <v>600</v>
      </c>
      <c r="AA77" s="29"/>
      <c r="AB77" s="38" t="s">
        <v>180</v>
      </c>
      <c r="AC77" s="29"/>
      <c r="AD77" s="38">
        <v>48</v>
      </c>
      <c r="AE77" s="38"/>
    </row>
    <row r="78" spans="1:31" x14ac:dyDescent="0.3">
      <c r="A78" s="2">
        <v>1000184670</v>
      </c>
      <c r="B78" s="2" t="s">
        <v>147</v>
      </c>
      <c r="C78" s="4"/>
      <c r="D78" s="4"/>
      <c r="E78" s="2">
        <v>1000185288</v>
      </c>
      <c r="F78" s="2" t="s">
        <v>64</v>
      </c>
      <c r="G78" s="4">
        <v>1000189805</v>
      </c>
      <c r="H78" s="4" t="s">
        <v>118</v>
      </c>
      <c r="I78" s="2">
        <v>1000189270</v>
      </c>
      <c r="J78" s="2" t="s">
        <v>34</v>
      </c>
      <c r="K78" s="2" t="str">
        <f>_xlfn.CONCAT(A78,C78,G78,I78)</f>
        <v>100018467010001898051000189270</v>
      </c>
      <c r="L78" s="38">
        <f>ROUND(SUMIFS(Leads!K:K,Leads!$I:$I,Positivação!$I78,Leads!$G:$G,Positivação!$G78)*_xlfn.XLOOKUP($AB78,'Balizador da Meta'!$F$4:$F$9,'Balizador da Meta'!G$4:G$9),0)</f>
        <v>2</v>
      </c>
      <c r="M78" s="38">
        <f>ROUND(SUMIFS(Leads!L:L,Leads!$I:$I,Positivação!$I78,Leads!$G:$G,Positivação!$G78)*_xlfn.XLOOKUP($AB78,'Balizador da Meta'!$F$4:$F$9,'Balizador da Meta'!H$4:H$9),0)</f>
        <v>3</v>
      </c>
      <c r="N78" s="38">
        <f>ROUND(SUMIFS(Leads!M:M,Leads!$I:$I,Positivação!$I78,Leads!$G:$G,Positivação!$G78)*_xlfn.XLOOKUP($AB78,'Balizador da Meta'!$F$4:$F$9,'Balizador da Meta'!I$4:I$9),0)</f>
        <v>3</v>
      </c>
      <c r="O78" s="38">
        <f>ROUND(SUMIFS(Leads!N:N,Leads!$I:$I,Positivação!$I78,Leads!$G:$G,Positivação!$G78)*_xlfn.XLOOKUP($AB78,'Balizador da Meta'!$F$4:$F$9,'Balizador da Meta'!J$4:J$9),0)</f>
        <v>3</v>
      </c>
      <c r="P78" s="38">
        <f>ROUND(SUMIFS(Leads!O:O,Leads!$I:$I,Positivação!$I78,Leads!$G:$G,Positivação!$G78)*_xlfn.XLOOKUP($AB78,'Balizador da Meta'!$F$4:$F$9,'Balizador da Meta'!K$4:K$9),0)</f>
        <v>3</v>
      </c>
      <c r="Q78" s="38">
        <f>ROUND(SUMIFS(Leads!P:P,Leads!$I:$I,Positivação!$I78,Leads!$G:$G,Positivação!$G78)*_xlfn.XLOOKUP($AB78,'Balizador da Meta'!$F$4:$F$9,'Balizador da Meta'!L$4:L$9),0)</f>
        <v>3</v>
      </c>
      <c r="R78" s="38">
        <f>ROUND(SUMIFS(Leads!Q:Q,Leads!$I:$I,Positivação!$I78,Leads!$G:$G,Positivação!$G78)*_xlfn.XLOOKUP($AB78,'Balizador da Meta'!$F$4:$F$9,'Balizador da Meta'!M$4:M$9),0)</f>
        <v>4</v>
      </c>
      <c r="S78" s="38">
        <f>ROUND(SUMIFS(Leads!R:R,Leads!$I:$I,Positivação!$I78,Leads!$G:$G,Positivação!$G78)*_xlfn.XLOOKUP($AB78,'Balizador da Meta'!$F$4:$F$9,'Balizador da Meta'!N$4:N$9),0)</f>
        <v>4</v>
      </c>
      <c r="T78" s="38">
        <f>ROUND(SUMIFS(Leads!S:S,Leads!$I:$I,Positivação!$I78,Leads!$G:$G,Positivação!$G78)*_xlfn.XLOOKUP($AB78,'Balizador da Meta'!$F$4:$F$9,'Balizador da Meta'!O$4:O$9),0)</f>
        <v>4</v>
      </c>
      <c r="U78" s="38">
        <f>ROUND(SUMIFS(Leads!T:T,Leads!$I:$I,Positivação!$I78,Leads!$G:$G,Positivação!$G78)*_xlfn.XLOOKUP($AB78,'Balizador da Meta'!$F$4:$F$9,'Balizador da Meta'!P$4:P$9),0)</f>
        <v>4</v>
      </c>
      <c r="V78" s="38">
        <f>ROUND(SUMIFS(Leads!U:U,Leads!$I:$I,Positivação!$I78,Leads!$G:$G,Positivação!$G78)*_xlfn.XLOOKUP($AB78,'Balizador da Meta'!$F$4:$F$9,'Balizador da Meta'!Q$4:Q$9),0)</f>
        <v>4</v>
      </c>
      <c r="W78" s="38">
        <f>ROUND(SUMIFS(Leads!V:V,Leads!$I:$I,Positivação!$I78,Leads!$G:$G,Positivação!$G78)*_xlfn.XLOOKUP($AB78,'Balizador da Meta'!$F$4:$F$9,'Balizador da Meta'!R$4:R$9),0)</f>
        <v>5</v>
      </c>
      <c r="X78" s="29"/>
      <c r="Y78" s="28">
        <f>IFERROR(SUMIFS('Historico - FAT'!AO:AO,'Historico - FAT'!I:I,Positivação!I78,'Historico - FAT'!G:G,Positivação!G78)/SUM(L78:T78),0)</f>
        <v>169.39310344827584</v>
      </c>
      <c r="Z78" s="28">
        <v>600</v>
      </c>
      <c r="AA78" s="29"/>
      <c r="AB78" s="38" t="s">
        <v>180</v>
      </c>
      <c r="AC78" s="29"/>
      <c r="AD78" s="38">
        <v>12</v>
      </c>
      <c r="AE78" s="38"/>
    </row>
    <row r="79" spans="1:31" x14ac:dyDescent="0.3">
      <c r="A79" s="2">
        <v>1000184670</v>
      </c>
      <c r="B79" s="2" t="s">
        <v>147</v>
      </c>
      <c r="C79" s="4"/>
      <c r="D79" s="4"/>
      <c r="E79" s="2">
        <v>1000185288</v>
      </c>
      <c r="F79" s="2" t="s">
        <v>64</v>
      </c>
      <c r="G79" s="4">
        <v>1000189806</v>
      </c>
      <c r="H79" s="4" t="s">
        <v>119</v>
      </c>
      <c r="I79" s="2">
        <v>1000189270</v>
      </c>
      <c r="J79" s="2" t="s">
        <v>34</v>
      </c>
      <c r="K79" s="2" t="str">
        <f t="shared" ref="K79:K83" si="3">_xlfn.CONCAT(A79,C79,G79,I79)</f>
        <v>100018467010001898061000189270</v>
      </c>
      <c r="L79" s="38">
        <f>ROUND(SUMIFS(Leads!K:K,Leads!$I:$I,Positivação!$I79,Leads!$G:$G,Positivação!$G79)*_xlfn.XLOOKUP($AB79,'Balizador da Meta'!$F$4:$F$9,'Balizador da Meta'!G$4:G$9),0)</f>
        <v>1</v>
      </c>
      <c r="M79" s="38">
        <f>ROUND(SUMIFS(Leads!L:L,Leads!$I:$I,Positivação!$I79,Leads!$G:$G,Positivação!$G79)*_xlfn.XLOOKUP($AB79,'Balizador da Meta'!$F$4:$F$9,'Balizador da Meta'!H$4:H$9),0)</f>
        <v>2</v>
      </c>
      <c r="N79" s="38">
        <f>ROUND(SUMIFS(Leads!M:M,Leads!$I:$I,Positivação!$I79,Leads!$G:$G,Positivação!$G79)*_xlfn.XLOOKUP($AB79,'Balizador da Meta'!$F$4:$F$9,'Balizador da Meta'!I$4:I$9),0)</f>
        <v>2</v>
      </c>
      <c r="O79" s="38">
        <f>ROUND(SUMIFS(Leads!N:N,Leads!$I:$I,Positivação!$I79,Leads!$G:$G,Positivação!$G79)*_xlfn.XLOOKUP($AB79,'Balizador da Meta'!$F$4:$F$9,'Balizador da Meta'!J$4:J$9),0)</f>
        <v>2</v>
      </c>
      <c r="P79" s="38">
        <f>ROUND(SUMIFS(Leads!O:O,Leads!$I:$I,Positivação!$I79,Leads!$G:$G,Positivação!$G79)*_xlfn.XLOOKUP($AB79,'Balizador da Meta'!$F$4:$F$9,'Balizador da Meta'!K$4:K$9),0)</f>
        <v>2</v>
      </c>
      <c r="Q79" s="38">
        <f>ROUND(SUMIFS(Leads!P:P,Leads!$I:$I,Positivação!$I79,Leads!$G:$G,Positivação!$G79)*_xlfn.XLOOKUP($AB79,'Balizador da Meta'!$F$4:$F$9,'Balizador da Meta'!L$4:L$9),0)</f>
        <v>2</v>
      </c>
      <c r="R79" s="38">
        <f>ROUND(SUMIFS(Leads!Q:Q,Leads!$I:$I,Positivação!$I79,Leads!$G:$G,Positivação!$G79)*_xlfn.XLOOKUP($AB79,'Balizador da Meta'!$F$4:$F$9,'Balizador da Meta'!M$4:M$9),0)</f>
        <v>3</v>
      </c>
      <c r="S79" s="38">
        <f>ROUND(SUMIFS(Leads!R:R,Leads!$I:$I,Positivação!$I79,Leads!$G:$G,Positivação!$G79)*_xlfn.XLOOKUP($AB79,'Balizador da Meta'!$F$4:$F$9,'Balizador da Meta'!N$4:N$9),0)</f>
        <v>3</v>
      </c>
      <c r="T79" s="38">
        <f>ROUND(SUMIFS(Leads!S:S,Leads!$I:$I,Positivação!$I79,Leads!$G:$G,Positivação!$G79)*_xlfn.XLOOKUP($AB79,'Balizador da Meta'!$F$4:$F$9,'Balizador da Meta'!O$4:O$9),0)</f>
        <v>3</v>
      </c>
      <c r="U79" s="38">
        <f>ROUND(SUMIFS(Leads!T:T,Leads!$I:$I,Positivação!$I79,Leads!$G:$G,Positivação!$G79)*_xlfn.XLOOKUP($AB79,'Balizador da Meta'!$F$4:$F$9,'Balizador da Meta'!P$4:P$9),0)</f>
        <v>3</v>
      </c>
      <c r="V79" s="38">
        <f>ROUND(SUMIFS(Leads!U:U,Leads!$I:$I,Positivação!$I79,Leads!$G:$G,Positivação!$G79)*_xlfn.XLOOKUP($AB79,'Balizador da Meta'!$F$4:$F$9,'Balizador da Meta'!Q$4:Q$9),0)</f>
        <v>3</v>
      </c>
      <c r="W79" s="38">
        <f>ROUND(SUMIFS(Leads!V:V,Leads!$I:$I,Positivação!$I79,Leads!$G:$G,Positivação!$G79)*_xlfn.XLOOKUP($AB79,'Balizador da Meta'!$F$4:$F$9,'Balizador da Meta'!R$4:R$9),0)</f>
        <v>4</v>
      </c>
      <c r="X79" s="29"/>
      <c r="Y79" s="28">
        <f>IFERROR(SUMIFS('Historico - FAT'!AO:AO,'Historico - FAT'!I:I,Positivação!I79,'Historico - FAT'!G:G,Positivação!G79)/SUM(L79:T79),0)</f>
        <v>308.78100000000001</v>
      </c>
      <c r="Z79" s="28">
        <v>600</v>
      </c>
      <c r="AA79" s="29"/>
      <c r="AB79" s="38" t="s">
        <v>180</v>
      </c>
      <c r="AC79" s="29"/>
      <c r="AD79" s="38">
        <v>7</v>
      </c>
      <c r="AE79" s="38"/>
    </row>
    <row r="80" spans="1:31" x14ac:dyDescent="0.3">
      <c r="A80" s="2">
        <v>1000184670</v>
      </c>
      <c r="B80" s="2" t="s">
        <v>147</v>
      </c>
      <c r="C80" s="4"/>
      <c r="D80" s="4"/>
      <c r="E80" s="2">
        <v>1000185288</v>
      </c>
      <c r="F80" s="2" t="s">
        <v>64</v>
      </c>
      <c r="G80" s="4">
        <v>1000189807</v>
      </c>
      <c r="H80" s="4" t="s">
        <v>81</v>
      </c>
      <c r="I80" s="2">
        <v>1000189270</v>
      </c>
      <c r="J80" s="2" t="s">
        <v>34</v>
      </c>
      <c r="K80" s="2" t="str">
        <f t="shared" si="3"/>
        <v>100018467010001898071000189270</v>
      </c>
      <c r="L80" s="38">
        <f>ROUND(SUMIFS(Leads!K:K,Leads!$I:$I,Positivação!$I80,Leads!$G:$G,Positivação!$G80)*_xlfn.XLOOKUP($AB80,'Balizador da Meta'!$F$4:$F$9,'Balizador da Meta'!G$4:G$9),0)</f>
        <v>28</v>
      </c>
      <c r="M80" s="38">
        <f>ROUND(SUMIFS(Leads!L:L,Leads!$I:$I,Positivação!$I80,Leads!$G:$G,Positivação!$G80)*_xlfn.XLOOKUP($AB80,'Balizador da Meta'!$F$4:$F$9,'Balizador da Meta'!H$4:H$9),0)</f>
        <v>29</v>
      </c>
      <c r="N80" s="38">
        <f>ROUND(SUMIFS(Leads!M:M,Leads!$I:$I,Positivação!$I80,Leads!$G:$G,Positivação!$G80)*_xlfn.XLOOKUP($AB80,'Balizador da Meta'!$F$4:$F$9,'Balizador da Meta'!I$4:I$9),0)</f>
        <v>29</v>
      </c>
      <c r="O80" s="38">
        <f>ROUND(SUMIFS(Leads!N:N,Leads!$I:$I,Positivação!$I80,Leads!$G:$G,Positivação!$G80)*_xlfn.XLOOKUP($AB80,'Balizador da Meta'!$F$4:$F$9,'Balizador da Meta'!J$4:J$9),0)</f>
        <v>29</v>
      </c>
      <c r="P80" s="38">
        <f>ROUND(SUMIFS(Leads!O:O,Leads!$I:$I,Positivação!$I80,Leads!$G:$G,Positivação!$G80)*_xlfn.XLOOKUP($AB80,'Balizador da Meta'!$F$4:$F$9,'Balizador da Meta'!K$4:K$9),0)</f>
        <v>30</v>
      </c>
      <c r="Q80" s="38">
        <f>ROUND(SUMIFS(Leads!P:P,Leads!$I:$I,Positivação!$I80,Leads!$G:$G,Positivação!$G80)*_xlfn.XLOOKUP($AB80,'Balizador da Meta'!$F$4:$F$9,'Balizador da Meta'!L$4:L$9),0)</f>
        <v>30</v>
      </c>
      <c r="R80" s="38">
        <f>ROUND(SUMIFS(Leads!Q:Q,Leads!$I:$I,Positivação!$I80,Leads!$G:$G,Positivação!$G80)*_xlfn.XLOOKUP($AB80,'Balizador da Meta'!$F$4:$F$9,'Balizador da Meta'!M$4:M$9),0)</f>
        <v>31</v>
      </c>
      <c r="S80" s="38">
        <f>ROUND(SUMIFS(Leads!R:R,Leads!$I:$I,Positivação!$I80,Leads!$G:$G,Positivação!$G80)*_xlfn.XLOOKUP($AB80,'Balizador da Meta'!$F$4:$F$9,'Balizador da Meta'!N$4:N$9),0)</f>
        <v>31</v>
      </c>
      <c r="T80" s="38">
        <f>ROUND(SUMIFS(Leads!S:S,Leads!$I:$I,Positivação!$I80,Leads!$G:$G,Positivação!$G80)*_xlfn.XLOOKUP($AB80,'Balizador da Meta'!$F$4:$F$9,'Balizador da Meta'!O$4:O$9),0)</f>
        <v>31</v>
      </c>
      <c r="U80" s="38">
        <f>ROUND(SUMIFS(Leads!T:T,Leads!$I:$I,Positivação!$I80,Leads!$G:$G,Positivação!$G80)*_xlfn.XLOOKUP($AB80,'Balizador da Meta'!$F$4:$F$9,'Balizador da Meta'!P$4:P$9),0)</f>
        <v>32</v>
      </c>
      <c r="V80" s="38">
        <f>ROUND(SUMIFS(Leads!U:U,Leads!$I:$I,Positivação!$I80,Leads!$G:$G,Positivação!$G80)*_xlfn.XLOOKUP($AB80,'Balizador da Meta'!$F$4:$F$9,'Balizador da Meta'!Q$4:Q$9),0)</f>
        <v>32</v>
      </c>
      <c r="W80" s="38">
        <f>ROUND(SUMIFS(Leads!V:V,Leads!$I:$I,Positivação!$I80,Leads!$G:$G,Positivação!$G80)*_xlfn.XLOOKUP($AB80,'Balizador da Meta'!$F$4:$F$9,'Balizador da Meta'!R$4:R$9),0)</f>
        <v>33</v>
      </c>
      <c r="X80" s="29"/>
      <c r="Y80" s="28">
        <f>IFERROR(SUMIFS('Historico - FAT'!AO:AO,'Historico - FAT'!I:I,Positivação!I80,'Historico - FAT'!G:G,Positivação!G80)/SUM(L80:T80),0)</f>
        <v>603.9902611940297</v>
      </c>
      <c r="Z80" s="28">
        <v>600</v>
      </c>
      <c r="AA80" s="29"/>
      <c r="AB80" s="38" t="s">
        <v>180</v>
      </c>
      <c r="AC80" s="29"/>
      <c r="AD80" s="38">
        <v>137</v>
      </c>
      <c r="AE80" s="38"/>
    </row>
    <row r="81" spans="1:31" x14ac:dyDescent="0.3">
      <c r="A81" s="2">
        <v>1000184670</v>
      </c>
      <c r="B81" s="2" t="s">
        <v>147</v>
      </c>
      <c r="C81" s="4"/>
      <c r="D81" s="4"/>
      <c r="E81" s="2">
        <v>1000185288</v>
      </c>
      <c r="F81" s="2" t="s">
        <v>64</v>
      </c>
      <c r="G81" s="4">
        <v>1000189808</v>
      </c>
      <c r="H81" s="4" t="s">
        <v>120</v>
      </c>
      <c r="I81" s="2">
        <v>1000189270</v>
      </c>
      <c r="J81" s="2" t="s">
        <v>34</v>
      </c>
      <c r="K81" s="2" t="str">
        <f t="shared" si="3"/>
        <v>100018467010001898081000189270</v>
      </c>
      <c r="L81" s="38">
        <f>ROUND(SUMIFS(Leads!K:K,Leads!$I:$I,Positivação!$I81,Leads!$G:$G,Positivação!$G81)*_xlfn.XLOOKUP($AB81,'Balizador da Meta'!$F$4:$F$9,'Balizador da Meta'!G$4:G$9),0)</f>
        <v>17</v>
      </c>
      <c r="M81" s="38">
        <f>ROUND(SUMIFS(Leads!L:L,Leads!$I:$I,Positivação!$I81,Leads!$G:$G,Positivação!$G81)*_xlfn.XLOOKUP($AB81,'Balizador da Meta'!$F$4:$F$9,'Balizador da Meta'!H$4:H$9),0)</f>
        <v>17</v>
      </c>
      <c r="N81" s="38">
        <f>ROUND(SUMIFS(Leads!M:M,Leads!$I:$I,Positivação!$I81,Leads!$G:$G,Positivação!$G81)*_xlfn.XLOOKUP($AB81,'Balizador da Meta'!$F$4:$F$9,'Balizador da Meta'!I$4:I$9),0)</f>
        <v>17</v>
      </c>
      <c r="O81" s="38">
        <f>ROUND(SUMIFS(Leads!N:N,Leads!$I:$I,Positivação!$I81,Leads!$G:$G,Positivação!$G81)*_xlfn.XLOOKUP($AB81,'Balizador da Meta'!$F$4:$F$9,'Balizador da Meta'!J$4:J$9),0)</f>
        <v>18</v>
      </c>
      <c r="P81" s="38">
        <f>ROUND(SUMIFS(Leads!O:O,Leads!$I:$I,Positivação!$I81,Leads!$G:$G,Positivação!$G81)*_xlfn.XLOOKUP($AB81,'Balizador da Meta'!$F$4:$F$9,'Balizador da Meta'!K$4:K$9),0)</f>
        <v>18</v>
      </c>
      <c r="Q81" s="38">
        <f>ROUND(SUMIFS(Leads!P:P,Leads!$I:$I,Positivação!$I81,Leads!$G:$G,Positivação!$G81)*_xlfn.XLOOKUP($AB81,'Balizador da Meta'!$F$4:$F$9,'Balizador da Meta'!L$4:L$9),0)</f>
        <v>18</v>
      </c>
      <c r="R81" s="38">
        <f>ROUND(SUMIFS(Leads!Q:Q,Leads!$I:$I,Positivação!$I81,Leads!$G:$G,Positivação!$G81)*_xlfn.XLOOKUP($AB81,'Balizador da Meta'!$F$4:$F$9,'Balizador da Meta'!M$4:M$9),0)</f>
        <v>18</v>
      </c>
      <c r="S81" s="38">
        <f>ROUND(SUMIFS(Leads!R:R,Leads!$I:$I,Positivação!$I81,Leads!$G:$G,Positivação!$G81)*_xlfn.XLOOKUP($AB81,'Balizador da Meta'!$F$4:$F$9,'Balizador da Meta'!N$4:N$9),0)</f>
        <v>18</v>
      </c>
      <c r="T81" s="38">
        <f>ROUND(SUMIFS(Leads!S:S,Leads!$I:$I,Positivação!$I81,Leads!$G:$G,Positivação!$G81)*_xlfn.XLOOKUP($AB81,'Balizador da Meta'!$F$4:$F$9,'Balizador da Meta'!O$4:O$9),0)</f>
        <v>19</v>
      </c>
      <c r="U81" s="38">
        <f>ROUND(SUMIFS(Leads!T:T,Leads!$I:$I,Positivação!$I81,Leads!$G:$G,Positivação!$G81)*_xlfn.XLOOKUP($AB81,'Balizador da Meta'!$F$4:$F$9,'Balizador da Meta'!P$4:P$9),0)</f>
        <v>19</v>
      </c>
      <c r="V81" s="38">
        <f>ROUND(SUMIFS(Leads!U:U,Leads!$I:$I,Positivação!$I81,Leads!$G:$G,Positivação!$G81)*_xlfn.XLOOKUP($AB81,'Balizador da Meta'!$F$4:$F$9,'Balizador da Meta'!Q$4:Q$9),0)</f>
        <v>19</v>
      </c>
      <c r="W81" s="38">
        <f>ROUND(SUMIFS(Leads!V:V,Leads!$I:$I,Positivação!$I81,Leads!$G:$G,Positivação!$G81)*_xlfn.XLOOKUP($AB81,'Balizador da Meta'!$F$4:$F$9,'Balizador da Meta'!R$4:R$9),0)</f>
        <v>19</v>
      </c>
      <c r="X81" s="29"/>
      <c r="Y81" s="28">
        <f>IFERROR(SUMIFS('Historico - FAT'!AO:AO,'Historico - FAT'!I:I,Positivação!I81,'Historico - FAT'!G:G,Positivação!G81)/SUM(L81:T81),0)</f>
        <v>182.85206250000002</v>
      </c>
      <c r="Z81" s="28">
        <v>600</v>
      </c>
      <c r="AA81" s="29"/>
      <c r="AB81" s="38" t="s">
        <v>180</v>
      </c>
      <c r="AC81" s="29"/>
      <c r="AD81" s="38">
        <v>85</v>
      </c>
      <c r="AE81" s="38"/>
    </row>
    <row r="82" spans="1:31" x14ac:dyDescent="0.3">
      <c r="A82" s="2">
        <v>1000184670</v>
      </c>
      <c r="B82" s="2" t="s">
        <v>147</v>
      </c>
      <c r="C82" s="4"/>
      <c r="D82" s="4"/>
      <c r="E82" s="2">
        <v>1000185288</v>
      </c>
      <c r="F82" s="2" t="s">
        <v>64</v>
      </c>
      <c r="G82" s="4">
        <v>1000189809</v>
      </c>
      <c r="H82" s="4" t="s">
        <v>92</v>
      </c>
      <c r="I82" s="2">
        <v>1000189270</v>
      </c>
      <c r="J82" s="2" t="s">
        <v>34</v>
      </c>
      <c r="K82" s="2" t="str">
        <f t="shared" si="3"/>
        <v>100018467010001898091000189270</v>
      </c>
      <c r="L82" s="38">
        <f>ROUND(SUMIFS(Leads!K:K,Leads!$I:$I,Positivação!$I82,Leads!$G:$G,Positivação!$G82)*_xlfn.XLOOKUP($AB82,'Balizador da Meta'!$F$4:$F$9,'Balizador da Meta'!G$4:G$9),0)</f>
        <v>9</v>
      </c>
      <c r="M82" s="38">
        <f>ROUND(SUMIFS(Leads!L:L,Leads!$I:$I,Positivação!$I82,Leads!$G:$G,Positivação!$G82)*_xlfn.XLOOKUP($AB82,'Balizador da Meta'!$F$4:$F$9,'Balizador da Meta'!H$4:H$9),0)</f>
        <v>10</v>
      </c>
      <c r="N82" s="38">
        <f>ROUND(SUMIFS(Leads!M:M,Leads!$I:$I,Positivação!$I82,Leads!$G:$G,Positivação!$G82)*_xlfn.XLOOKUP($AB82,'Balizador da Meta'!$F$4:$F$9,'Balizador da Meta'!I$4:I$9),0)</f>
        <v>10</v>
      </c>
      <c r="O82" s="38">
        <f>ROUND(SUMIFS(Leads!N:N,Leads!$I:$I,Positivação!$I82,Leads!$G:$G,Positivação!$G82)*_xlfn.XLOOKUP($AB82,'Balizador da Meta'!$F$4:$F$9,'Balizador da Meta'!J$4:J$9),0)</f>
        <v>10</v>
      </c>
      <c r="P82" s="38">
        <f>ROUND(SUMIFS(Leads!O:O,Leads!$I:$I,Positivação!$I82,Leads!$G:$G,Positivação!$G82)*_xlfn.XLOOKUP($AB82,'Balizador da Meta'!$F$4:$F$9,'Balizador da Meta'!K$4:K$9),0)</f>
        <v>10</v>
      </c>
      <c r="Q82" s="38">
        <f>ROUND(SUMIFS(Leads!P:P,Leads!$I:$I,Positivação!$I82,Leads!$G:$G,Positivação!$G82)*_xlfn.XLOOKUP($AB82,'Balizador da Meta'!$F$4:$F$9,'Balizador da Meta'!L$4:L$9),0)</f>
        <v>10</v>
      </c>
      <c r="R82" s="38">
        <f>ROUND(SUMIFS(Leads!Q:Q,Leads!$I:$I,Positivação!$I82,Leads!$G:$G,Positivação!$G82)*_xlfn.XLOOKUP($AB82,'Balizador da Meta'!$F$4:$F$9,'Balizador da Meta'!M$4:M$9),0)</f>
        <v>11</v>
      </c>
      <c r="S82" s="38">
        <f>ROUND(SUMIFS(Leads!R:R,Leads!$I:$I,Positivação!$I82,Leads!$G:$G,Positivação!$G82)*_xlfn.XLOOKUP($AB82,'Balizador da Meta'!$F$4:$F$9,'Balizador da Meta'!N$4:N$9),0)</f>
        <v>11</v>
      </c>
      <c r="T82" s="38">
        <f>ROUND(SUMIFS(Leads!S:S,Leads!$I:$I,Positivação!$I82,Leads!$G:$G,Positivação!$G82)*_xlfn.XLOOKUP($AB82,'Balizador da Meta'!$F$4:$F$9,'Balizador da Meta'!O$4:O$9),0)</f>
        <v>11</v>
      </c>
      <c r="U82" s="38">
        <f>ROUND(SUMIFS(Leads!T:T,Leads!$I:$I,Positivação!$I82,Leads!$G:$G,Positivação!$G82)*_xlfn.XLOOKUP($AB82,'Balizador da Meta'!$F$4:$F$9,'Balizador da Meta'!P$4:P$9),0)</f>
        <v>11</v>
      </c>
      <c r="V82" s="38">
        <f>ROUND(SUMIFS(Leads!U:U,Leads!$I:$I,Positivação!$I82,Leads!$G:$G,Positivação!$G82)*_xlfn.XLOOKUP($AB82,'Balizador da Meta'!$F$4:$F$9,'Balizador da Meta'!Q$4:Q$9),0)</f>
        <v>11</v>
      </c>
      <c r="W82" s="38">
        <f>ROUND(SUMIFS(Leads!V:V,Leads!$I:$I,Positivação!$I82,Leads!$G:$G,Positivação!$G82)*_xlfn.XLOOKUP($AB82,'Balizador da Meta'!$F$4:$F$9,'Balizador da Meta'!R$4:R$9),0)</f>
        <v>12</v>
      </c>
      <c r="X82" s="29"/>
      <c r="Y82" s="28">
        <f>IFERROR(SUMIFS('Historico - FAT'!AO:AO,'Historico - FAT'!I:I,Positivação!I82,'Historico - FAT'!G:G,Positivação!G82)/SUM(L82:T82),0)</f>
        <v>192.64119565217388</v>
      </c>
      <c r="Z82" s="28">
        <v>600</v>
      </c>
      <c r="AA82" s="29"/>
      <c r="AB82" s="38" t="s">
        <v>180</v>
      </c>
      <c r="AC82" s="29"/>
      <c r="AD82" s="38">
        <v>47</v>
      </c>
      <c r="AE82" s="38"/>
    </row>
    <row r="83" spans="1:31" x14ac:dyDescent="0.3">
      <c r="A83" s="2">
        <v>1000184670</v>
      </c>
      <c r="B83" s="2" t="s">
        <v>147</v>
      </c>
      <c r="C83" s="4"/>
      <c r="D83" s="4"/>
      <c r="E83" s="2">
        <v>1000185288</v>
      </c>
      <c r="F83" s="2" t="s">
        <v>64</v>
      </c>
      <c r="G83" s="4">
        <v>1000189810</v>
      </c>
      <c r="H83" s="4" t="s">
        <v>96</v>
      </c>
      <c r="I83" s="2">
        <v>1000189270</v>
      </c>
      <c r="J83" s="2" t="s">
        <v>34</v>
      </c>
      <c r="K83" s="2" t="str">
        <f t="shared" si="3"/>
        <v>100018467010001898101000189270</v>
      </c>
      <c r="L83" s="38">
        <f>ROUND(SUMIFS(Leads!K:K,Leads!$I:$I,Positivação!$I83,Leads!$G:$G,Positivação!$G83)*_xlfn.XLOOKUP($AB83,'Balizador da Meta'!$F$4:$F$9,'Balizador da Meta'!G$4:G$9),0)</f>
        <v>9</v>
      </c>
      <c r="M83" s="38">
        <f>ROUND(SUMIFS(Leads!L:L,Leads!$I:$I,Positivação!$I83,Leads!$G:$G,Positivação!$G83)*_xlfn.XLOOKUP($AB83,'Balizador da Meta'!$F$4:$F$9,'Balizador da Meta'!H$4:H$9),0)</f>
        <v>9</v>
      </c>
      <c r="N83" s="38">
        <f>ROUND(SUMIFS(Leads!M:M,Leads!$I:$I,Positivação!$I83,Leads!$G:$G,Positivação!$G83)*_xlfn.XLOOKUP($AB83,'Balizador da Meta'!$F$4:$F$9,'Balizador da Meta'!I$4:I$9),0)</f>
        <v>10</v>
      </c>
      <c r="O83" s="38">
        <f>ROUND(SUMIFS(Leads!N:N,Leads!$I:$I,Positivação!$I83,Leads!$G:$G,Positivação!$G83)*_xlfn.XLOOKUP($AB83,'Balizador da Meta'!$F$4:$F$9,'Balizador da Meta'!J$4:J$9),0)</f>
        <v>10</v>
      </c>
      <c r="P83" s="38">
        <f>ROUND(SUMIFS(Leads!O:O,Leads!$I:$I,Positivação!$I83,Leads!$G:$G,Positivação!$G83)*_xlfn.XLOOKUP($AB83,'Balizador da Meta'!$F$4:$F$9,'Balizador da Meta'!K$4:K$9),0)</f>
        <v>10</v>
      </c>
      <c r="Q83" s="38">
        <f>ROUND(SUMIFS(Leads!P:P,Leads!$I:$I,Positivação!$I83,Leads!$G:$G,Positivação!$G83)*_xlfn.XLOOKUP($AB83,'Balizador da Meta'!$F$4:$F$9,'Balizador da Meta'!L$4:L$9),0)</f>
        <v>10</v>
      </c>
      <c r="R83" s="38">
        <f>ROUND(SUMIFS(Leads!Q:Q,Leads!$I:$I,Positivação!$I83,Leads!$G:$G,Positivação!$G83)*_xlfn.XLOOKUP($AB83,'Balizador da Meta'!$F$4:$F$9,'Balizador da Meta'!M$4:M$9),0)</f>
        <v>10</v>
      </c>
      <c r="S83" s="38">
        <f>ROUND(SUMIFS(Leads!R:R,Leads!$I:$I,Positivação!$I83,Leads!$G:$G,Positivação!$G83)*_xlfn.XLOOKUP($AB83,'Balizador da Meta'!$F$4:$F$9,'Balizador da Meta'!N$4:N$9),0)</f>
        <v>11</v>
      </c>
      <c r="T83" s="38">
        <f>ROUND(SUMIFS(Leads!S:S,Leads!$I:$I,Positivação!$I83,Leads!$G:$G,Positivação!$G83)*_xlfn.XLOOKUP($AB83,'Balizador da Meta'!$F$4:$F$9,'Balizador da Meta'!O$4:O$9),0)</f>
        <v>11</v>
      </c>
      <c r="U83" s="38">
        <f>ROUND(SUMIFS(Leads!T:T,Leads!$I:$I,Positivação!$I83,Leads!$G:$G,Positivação!$G83)*_xlfn.XLOOKUP($AB83,'Balizador da Meta'!$F$4:$F$9,'Balizador da Meta'!P$4:P$9),0)</f>
        <v>11</v>
      </c>
      <c r="V83" s="38">
        <f>ROUND(SUMIFS(Leads!U:U,Leads!$I:$I,Positivação!$I83,Leads!$G:$G,Positivação!$G83)*_xlfn.XLOOKUP($AB83,'Balizador da Meta'!$F$4:$F$9,'Balizador da Meta'!Q$4:Q$9),0)</f>
        <v>11</v>
      </c>
      <c r="W83" s="38">
        <f>ROUND(SUMIFS(Leads!V:V,Leads!$I:$I,Positivação!$I83,Leads!$G:$G,Positivação!$G83)*_xlfn.XLOOKUP($AB83,'Balizador da Meta'!$F$4:$F$9,'Balizador da Meta'!R$4:R$9),0)</f>
        <v>11</v>
      </c>
      <c r="X83" s="29"/>
      <c r="Y83" s="28">
        <f>IFERROR(SUMIFS('Historico - FAT'!AO:AO,'Historico - FAT'!I:I,Positivação!I83,'Historico - FAT'!G:G,Positivação!G83)/SUM(L83:T83),0)</f>
        <v>302.3443333333334</v>
      </c>
      <c r="Z83" s="28">
        <v>600</v>
      </c>
      <c r="AA83" s="29"/>
      <c r="AB83" s="38" t="s">
        <v>180</v>
      </c>
      <c r="AC83" s="29"/>
      <c r="AD83" s="38">
        <v>44</v>
      </c>
      <c r="AE83" s="38"/>
    </row>
  </sheetData>
  <autoFilter ref="A3:AC83" xr:uid="{AA39836C-8A83-4052-9663-079085D4299E}"/>
  <conditionalFormatting sqref="A4:K83">
    <cfRule type="expression" dxfId="3" priority="5">
      <formula>#REF!="SIM"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EA9790-AA91-489D-BD4D-E92FA65EF06C}">
          <x14:formula1>
            <xm:f>'Balizador da Meta'!$F$4:$F$9</xm:f>
          </x14:formula1>
          <xm:sqref>AB4:AB1048576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04A5-EE91-48A3-8845-640F0A71AF43}">
  <sheetPr filterMode="1"/>
  <dimension ref="A1:AI1523"/>
  <sheetViews>
    <sheetView showGridLines="0" topLeftCell="J1" zoomScale="85" zoomScaleNormal="85" workbookViewId="0">
      <pane ySplit="3" topLeftCell="A4" activePane="bottomLeft" state="frozen"/>
      <selection pane="bottomLeft" activeCell="M42" sqref="M42"/>
    </sheetView>
  </sheetViews>
  <sheetFormatPr defaultColWidth="10.21875" defaultRowHeight="14.4" outlineLevelCol="1" x14ac:dyDescent="0.3"/>
  <cols>
    <col min="1" max="1" width="10.21875" style="1" customWidth="1"/>
    <col min="2" max="2" width="14.44140625" style="1" customWidth="1"/>
    <col min="3" max="3" width="29.44140625" style="1" customWidth="1"/>
    <col min="4" max="4" width="14.44140625" style="1" customWidth="1"/>
    <col min="5" max="5" width="29.44140625" style="1" customWidth="1"/>
    <col min="6" max="6" width="14.44140625" style="1" customWidth="1"/>
    <col min="7" max="7" width="29.44140625" style="1" customWidth="1"/>
    <col min="8" max="8" width="14.44140625" style="1" customWidth="1"/>
    <col min="9" max="9" width="29.44140625" style="1" customWidth="1"/>
    <col min="10" max="10" width="14.44140625" style="1" customWidth="1"/>
    <col min="11" max="12" width="29.44140625" style="1" customWidth="1"/>
    <col min="13" max="13" width="50.5546875" style="1" bestFit="1" customWidth="1"/>
    <col min="14" max="25" width="13.44140625" style="7" customWidth="1" outlineLevel="1"/>
    <col min="26" max="26" width="13.44140625" style="12" customWidth="1"/>
    <col min="27" max="27" width="4.5546875" customWidth="1"/>
    <col min="28" max="30" width="13.44140625" style="7" customWidth="1"/>
    <col min="31" max="31" width="14" style="7" customWidth="1"/>
    <col min="32" max="32" width="3.44140625" style="1" customWidth="1"/>
    <col min="33" max="35" width="14" style="6" customWidth="1"/>
    <col min="36" max="16384" width="10.21875" style="1"/>
  </cols>
  <sheetData>
    <row r="1" spans="1:35" ht="15.75" customHeight="1" x14ac:dyDescent="0.3"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13"/>
      <c r="AA1" s="6"/>
      <c r="AB1" s="15"/>
      <c r="AC1" s="15"/>
      <c r="AD1" s="15"/>
      <c r="AE1"/>
      <c r="AG1"/>
      <c r="AH1"/>
      <c r="AI1"/>
    </row>
    <row r="2" spans="1:35" ht="15.75" customHeight="1" x14ac:dyDescent="0.3">
      <c r="N2" s="30">
        <f t="shared" ref="N2:Y2" si="0">SUM(N4:N2114)/2</f>
        <v>333600</v>
      </c>
      <c r="O2" s="30">
        <f t="shared" si="0"/>
        <v>348600</v>
      </c>
      <c r="P2" s="30">
        <f t="shared" si="0"/>
        <v>357000</v>
      </c>
      <c r="Q2" s="30">
        <f t="shared" si="0"/>
        <v>366300</v>
      </c>
      <c r="R2" s="30">
        <f t="shared" si="0"/>
        <v>378300</v>
      </c>
      <c r="S2" s="30">
        <f t="shared" si="0"/>
        <v>388200</v>
      </c>
      <c r="T2" s="30">
        <f t="shared" si="0"/>
        <v>403200</v>
      </c>
      <c r="U2" s="30">
        <f t="shared" si="0"/>
        <v>413100</v>
      </c>
      <c r="V2" s="30">
        <f t="shared" si="0"/>
        <v>422400</v>
      </c>
      <c r="W2" s="30">
        <f t="shared" si="0"/>
        <v>432900</v>
      </c>
      <c r="X2" s="30">
        <f t="shared" si="0"/>
        <v>444300</v>
      </c>
      <c r="Y2" s="30">
        <f t="shared" si="0"/>
        <v>459300</v>
      </c>
      <c r="Z2" s="30">
        <f>SUBTOTAL(9,Z4:Z2114)</f>
        <v>4747200</v>
      </c>
      <c r="AA2" s="29"/>
      <c r="AB2" s="30">
        <f>SUM(AB4:AB2114)/2</f>
        <v>39639.477500000008</v>
      </c>
      <c r="AC2" s="30">
        <f>SUM(AC4:AC2114)/2</f>
        <v>137466.20416666652</v>
      </c>
      <c r="AD2" s="30">
        <f>SUM(AD4:AD2114)/2</f>
        <v>211210.46666666673</v>
      </c>
      <c r="AE2" s="30">
        <f>SUM(AE4:AE2114)/2</f>
        <v>160591.13400000014</v>
      </c>
    </row>
    <row r="3" spans="1:35" s="5" customFormat="1" ht="24.75" customHeight="1" x14ac:dyDescent="0.3">
      <c r="A3" s="10" t="s">
        <v>30</v>
      </c>
      <c r="B3" s="10" t="s">
        <v>35</v>
      </c>
      <c r="C3" s="10" t="s">
        <v>36</v>
      </c>
      <c r="D3" s="10" t="s">
        <v>37</v>
      </c>
      <c r="E3" s="10" t="s">
        <v>38</v>
      </c>
      <c r="F3" s="10" t="s">
        <v>39</v>
      </c>
      <c r="G3" s="10" t="s">
        <v>40</v>
      </c>
      <c r="H3" s="10" t="s">
        <v>41</v>
      </c>
      <c r="I3" s="10" t="s">
        <v>42</v>
      </c>
      <c r="J3" s="10" t="s">
        <v>123</v>
      </c>
      <c r="K3" s="10" t="s">
        <v>122</v>
      </c>
      <c r="L3" s="10" t="s">
        <v>0</v>
      </c>
      <c r="M3" s="10"/>
      <c r="N3" s="33" t="s">
        <v>1</v>
      </c>
      <c r="O3" s="33" t="s">
        <v>2</v>
      </c>
      <c r="P3" s="33" t="s">
        <v>3</v>
      </c>
      <c r="Q3" s="33" t="s">
        <v>4</v>
      </c>
      <c r="R3" s="33" t="s">
        <v>5</v>
      </c>
      <c r="S3" s="33" t="s">
        <v>6</v>
      </c>
      <c r="T3" s="33" t="s">
        <v>7</v>
      </c>
      <c r="U3" s="33" t="s">
        <v>8</v>
      </c>
      <c r="V3" s="33" t="s">
        <v>9</v>
      </c>
      <c r="W3" s="33" t="s">
        <v>10</v>
      </c>
      <c r="X3" s="33" t="s">
        <v>11</v>
      </c>
      <c r="Y3" s="33" t="s">
        <v>12</v>
      </c>
      <c r="Z3" s="11" t="s">
        <v>192</v>
      </c>
      <c r="AB3" s="11" t="s">
        <v>128</v>
      </c>
      <c r="AC3" s="11" t="s">
        <v>129</v>
      </c>
      <c r="AD3" s="11" t="s">
        <v>130</v>
      </c>
      <c r="AE3" s="11" t="s">
        <v>170</v>
      </c>
      <c r="AG3" s="11" t="s">
        <v>132</v>
      </c>
      <c r="AH3" s="11" t="s">
        <v>133</v>
      </c>
      <c r="AI3" s="11" t="s">
        <v>134</v>
      </c>
    </row>
    <row r="4" spans="1:35" x14ac:dyDescent="0.3">
      <c r="A4" s="2" t="str">
        <f>IF(OR(H4&lt;&gt;H3,J4&lt;&gt;J3),"SIM","NÃO")</f>
        <v>SIM</v>
      </c>
      <c r="B4" s="2">
        <v>1000184670</v>
      </c>
      <c r="C4" s="2" t="s">
        <v>147</v>
      </c>
      <c r="D4" s="4">
        <v>1000186197</v>
      </c>
      <c r="E4" s="4" t="s">
        <v>166</v>
      </c>
      <c r="F4" s="2">
        <v>1000185288</v>
      </c>
      <c r="G4" s="2" t="s">
        <v>64</v>
      </c>
      <c r="H4" s="4">
        <v>1000189807</v>
      </c>
      <c r="I4" s="4" t="s">
        <v>81</v>
      </c>
      <c r="J4" s="2">
        <v>1000189749</v>
      </c>
      <c r="K4" s="2" t="s">
        <v>154</v>
      </c>
      <c r="L4" s="4" t="s">
        <v>124</v>
      </c>
      <c r="M4" s="4" t="str">
        <f>_xlfn.CONCAT(B4,D4,H4,J4,L4,)</f>
        <v>100018467010001861971000189807100018974901. TOTAL</v>
      </c>
      <c r="N4" s="28">
        <f>SUMIFS(Positivação!L:L,Positivação!$I:$I,Faturamento!$J4,Positivação!$G:$G,Faturamento!$H4)*SUMIFS(Positivação!$Z:$Z,Positivação!$I:$I,Faturamento!$J4,Positivação!$G:$G,Faturamento!$H4)</f>
        <v>3000</v>
      </c>
      <c r="O4" s="28">
        <f>SUMIFS(Positivação!M:M,Positivação!$I:$I,Faturamento!$J4,Positivação!$G:$G,Faturamento!$H4)*SUMIFS(Positivação!$Z:$Z,Positivação!$I:$I,Faturamento!$J4,Positivação!$G:$G,Faturamento!$H4)</f>
        <v>3000</v>
      </c>
      <c r="P4" s="28">
        <f>SUMIFS(Positivação!N:N,Positivação!$I:$I,Faturamento!$J4,Positivação!$G:$G,Faturamento!$H4)*SUMIFS(Positivação!$Z:$Z,Positivação!$I:$I,Faturamento!$J4,Positivação!$G:$G,Faturamento!$H4)</f>
        <v>3000</v>
      </c>
      <c r="Q4" s="28">
        <f>SUMIFS(Positivação!O:O,Positivação!$I:$I,Faturamento!$J4,Positivação!$G:$G,Faturamento!$H4)*SUMIFS(Positivação!$Z:$Z,Positivação!$I:$I,Faturamento!$J4,Positivação!$G:$G,Faturamento!$H4)</f>
        <v>3000</v>
      </c>
      <c r="R4" s="28">
        <f>SUMIFS(Positivação!P:P,Positivação!$I:$I,Faturamento!$J4,Positivação!$G:$G,Faturamento!$H4)*SUMIFS(Positivação!$Z:$Z,Positivação!$I:$I,Faturamento!$J4,Positivação!$G:$G,Faturamento!$H4)</f>
        <v>3000</v>
      </c>
      <c r="S4" s="28">
        <f>SUMIFS(Positivação!Q:Q,Positivação!$I:$I,Faturamento!$J4,Positivação!$G:$G,Faturamento!$H4)*SUMIFS(Positivação!$Z:$Z,Positivação!$I:$I,Faturamento!$J4,Positivação!$G:$G,Faturamento!$H4)</f>
        <v>3000</v>
      </c>
      <c r="T4" s="28">
        <f>SUMIFS(Positivação!R:R,Positivação!$I:$I,Faturamento!$J4,Positivação!$G:$G,Faturamento!$H4)*SUMIFS(Positivação!$Z:$Z,Positivação!$I:$I,Faturamento!$J4,Positivação!$G:$G,Faturamento!$H4)</f>
        <v>3000</v>
      </c>
      <c r="U4" s="28">
        <f>SUMIFS(Positivação!S:S,Positivação!$I:$I,Faturamento!$J4,Positivação!$G:$G,Faturamento!$H4)*SUMIFS(Positivação!$Z:$Z,Positivação!$I:$I,Faturamento!$J4,Positivação!$G:$G,Faturamento!$H4)</f>
        <v>3000</v>
      </c>
      <c r="V4" s="28">
        <f>SUMIFS(Positivação!T:T,Positivação!$I:$I,Faturamento!$J4,Positivação!$G:$G,Faturamento!$H4)*SUMIFS(Positivação!$Z:$Z,Positivação!$I:$I,Faturamento!$J4,Positivação!$G:$G,Faturamento!$H4)</f>
        <v>3000</v>
      </c>
      <c r="W4" s="28">
        <f>SUMIFS(Positivação!U:U,Positivação!$I:$I,Faturamento!$J4,Positivação!$G:$G,Faturamento!$H4)*SUMIFS(Positivação!$Z:$Z,Positivação!$I:$I,Faturamento!$J4,Positivação!$G:$G,Faturamento!$H4)</f>
        <v>3000</v>
      </c>
      <c r="X4" s="28">
        <f>SUMIFS(Positivação!V:V,Positivação!$I:$I,Faturamento!$J4,Positivação!$G:$G,Faturamento!$H4)*SUMIFS(Positivação!$Z:$Z,Positivação!$I:$I,Faturamento!$J4,Positivação!$G:$G,Faturamento!$H4)</f>
        <v>3000</v>
      </c>
      <c r="Y4" s="28">
        <f>SUMIFS(Positivação!W:W,Positivação!$I:$I,Faturamento!$J4,Positivação!$G:$G,Faturamento!$H4)*SUMIFS(Positivação!$Z:$Z,Positivação!$I:$I,Faturamento!$J4,Positivação!$G:$G,Faturamento!$H4)</f>
        <v>3000</v>
      </c>
      <c r="Z4" s="28">
        <f t="shared" ref="Z4" si="1">SUM(Z5:Z22)</f>
        <v>36000</v>
      </c>
      <c r="AA4" s="29"/>
      <c r="AB4" s="28">
        <f t="shared" ref="AB4:AE4" si="2">SUM(AB5:AB22)</f>
        <v>0</v>
      </c>
      <c r="AC4" s="28">
        <f t="shared" si="2"/>
        <v>0</v>
      </c>
      <c r="AD4" s="28">
        <f t="shared" si="2"/>
        <v>0</v>
      </c>
      <c r="AE4" s="28">
        <f t="shared" si="2"/>
        <v>0</v>
      </c>
      <c r="AG4" s="24">
        <f>IFERROR((AVERAGE(W4:Y4)-AB4)/AVERAGE(W4:Y4),"")</f>
        <v>1</v>
      </c>
      <c r="AH4" s="24">
        <f>IFERROR((AVERAGE(W4:Y4)-AC4)/AVERAGE(W4:Y4),"")</f>
        <v>1</v>
      </c>
      <c r="AI4" s="24">
        <f>IFERROR((AVERAGE(W4:Y4)-AD4)/AVERAGE(W4:Y4),"")</f>
        <v>1</v>
      </c>
    </row>
    <row r="5" spans="1:35" hidden="1" x14ac:dyDescent="0.3">
      <c r="A5" s="2" t="str">
        <f t="shared" ref="A5:A64" si="3">IF(OR(H5&lt;&gt;H4,J5&lt;&gt;J4),"SIM","NÃO")</f>
        <v>NÃO</v>
      </c>
      <c r="B5" s="2">
        <v>1000184670</v>
      </c>
      <c r="C5" s="2" t="s">
        <v>147</v>
      </c>
      <c r="D5" s="4">
        <v>1000186197</v>
      </c>
      <c r="E5" s="4" t="s">
        <v>166</v>
      </c>
      <c r="F5" s="2">
        <v>1000185288</v>
      </c>
      <c r="G5" s="2" t="s">
        <v>64</v>
      </c>
      <c r="H5" s="4">
        <v>1000189807</v>
      </c>
      <c r="I5" s="4" t="s">
        <v>81</v>
      </c>
      <c r="J5" s="2">
        <v>1000189749</v>
      </c>
      <c r="K5" s="2" t="s">
        <v>154</v>
      </c>
      <c r="L5" s="4" t="s">
        <v>13</v>
      </c>
      <c r="M5" s="4" t="str">
        <f t="shared" ref="M5:M68" si="4">_xlfn.CONCAT(B5,D5,H5,J5,L5,)</f>
        <v>1000184670100018619710001898071000189749BISCOITO</v>
      </c>
      <c r="N5" s="28">
        <f>N4*_xlfn.XLOOKUP($L5,'Balizador da Meta'!$B$4:$B$21,'Balizador da Meta'!$C$4:$C$21)</f>
        <v>210.00000000000003</v>
      </c>
      <c r="O5" s="28">
        <f>O4*_xlfn.XLOOKUP($L5,'Balizador da Meta'!$B$4:$B$21,'Balizador da Meta'!$C$4:$C$21)</f>
        <v>210.00000000000003</v>
      </c>
      <c r="P5" s="28">
        <f>P4*_xlfn.XLOOKUP($L5,'Balizador da Meta'!$B$4:$B$21,'Balizador da Meta'!$C$4:$C$21)</f>
        <v>210.00000000000003</v>
      </c>
      <c r="Q5" s="28">
        <f>Q4*_xlfn.XLOOKUP($L5,'Balizador da Meta'!$B$4:$B$21,'Balizador da Meta'!$C$4:$C$21)</f>
        <v>210.00000000000003</v>
      </c>
      <c r="R5" s="28">
        <f>R4*_xlfn.XLOOKUP($L5,'Balizador da Meta'!$B$4:$B$21,'Balizador da Meta'!$C$4:$C$21)</f>
        <v>210.00000000000003</v>
      </c>
      <c r="S5" s="28">
        <f>S4*_xlfn.XLOOKUP($L5,'Balizador da Meta'!$B$4:$B$21,'Balizador da Meta'!$C$4:$C$21)</f>
        <v>210.00000000000003</v>
      </c>
      <c r="T5" s="28">
        <f>T4*_xlfn.XLOOKUP($L5,'Balizador da Meta'!$B$4:$B$21,'Balizador da Meta'!$C$4:$C$21)</f>
        <v>210.00000000000003</v>
      </c>
      <c r="U5" s="28">
        <f>U4*_xlfn.XLOOKUP($L5,'Balizador da Meta'!$B$4:$B$21,'Balizador da Meta'!$C$4:$C$21)</f>
        <v>210.00000000000003</v>
      </c>
      <c r="V5" s="28">
        <f>V4*_xlfn.XLOOKUP($L5,'Balizador da Meta'!$B$4:$B$21,'Balizador da Meta'!$C$4:$C$21)</f>
        <v>210.00000000000003</v>
      </c>
      <c r="W5" s="28">
        <f>W4*_xlfn.XLOOKUP($L5,'Balizador da Meta'!$B$4:$B$21,'Balizador da Meta'!$C$4:$C$21)</f>
        <v>210.00000000000003</v>
      </c>
      <c r="X5" s="28">
        <f>X4*_xlfn.XLOOKUP($L5,'Balizador da Meta'!$B$4:$B$21,'Balizador da Meta'!$C$4:$C$21)</f>
        <v>210.00000000000003</v>
      </c>
      <c r="Y5" s="28">
        <f>Y4*_xlfn.XLOOKUP($L5,'Balizador da Meta'!$B$4:$B$21,'Balizador da Meta'!$C$4:$C$21)</f>
        <v>210.00000000000003</v>
      </c>
      <c r="Z5" s="30">
        <f t="shared" ref="Z5:Z22" si="5">SUM(N5:Y5)</f>
        <v>2520.0000000000005</v>
      </c>
      <c r="AA5" s="29"/>
      <c r="AB5" s="31">
        <f>SUMIFS('Historico - FAT'!AK:AK,'Historico - FAT'!$K:$K,Faturamento!$L5,'Historico - FAT'!$I:$I,Faturamento!$J5,'Historico - FAT'!$G:$G,Faturamento!$H5)</f>
        <v>0</v>
      </c>
      <c r="AC5" s="31">
        <f>SUMIFS('Historico - FAT'!AL:AL,'Historico - FAT'!$K:$K,Faturamento!$L5,'Historico - FAT'!$I:$I,Faturamento!$J5,'Historico - FAT'!$G:$G,Faturamento!$H5)</f>
        <v>0</v>
      </c>
      <c r="AD5" s="31">
        <f>SUMIFS('Historico - FAT'!AM:AM,'Historico - FAT'!$K:$K,Faturamento!$L5,'Historico - FAT'!$I:$I,Faturamento!$J5,'Historico - FAT'!$G:$G,Faturamento!$H5)</f>
        <v>0</v>
      </c>
      <c r="AE5" s="27">
        <f>SUMIFS('Historico - FAT'!AN:AN,'Historico - FAT'!$K:$K,Faturamento!$L5,'Historico - FAT'!$I:$I,Faturamento!$J5,'Historico - FAT'!$G:$G,Faturamento!$H5)</f>
        <v>0</v>
      </c>
      <c r="AG5" s="24">
        <f t="shared" ref="AG5:AG60" si="6">IFERROR((AVERAGE(W5:Y5)-AB5)/AVERAGE(W5:Y5),"")</f>
        <v>1</v>
      </c>
      <c r="AH5" s="24">
        <f t="shared" ref="AH5:AH60" si="7">IFERROR((AVERAGE(W5:Y5)-AC5)/AVERAGE(W5:Y5),"")</f>
        <v>1</v>
      </c>
      <c r="AI5" s="24">
        <f t="shared" ref="AI5:AI60" si="8">IFERROR((AVERAGE(W5:Y5)-AD5)/AVERAGE(W5:Y5),"")</f>
        <v>1</v>
      </c>
    </row>
    <row r="6" spans="1:35" hidden="1" x14ac:dyDescent="0.3">
      <c r="A6" s="2" t="str">
        <f t="shared" si="3"/>
        <v>NÃO</v>
      </c>
      <c r="B6" s="2">
        <v>1000184670</v>
      </c>
      <c r="C6" s="2" t="s">
        <v>147</v>
      </c>
      <c r="D6" s="4">
        <v>1000186197</v>
      </c>
      <c r="E6" s="4" t="s">
        <v>166</v>
      </c>
      <c r="F6" s="2">
        <v>1000185288</v>
      </c>
      <c r="G6" s="2" t="s">
        <v>64</v>
      </c>
      <c r="H6" s="4">
        <v>1000189807</v>
      </c>
      <c r="I6" s="4" t="s">
        <v>81</v>
      </c>
      <c r="J6" s="2">
        <v>1000189749</v>
      </c>
      <c r="K6" s="2" t="s">
        <v>154</v>
      </c>
      <c r="L6" s="4" t="s">
        <v>14</v>
      </c>
      <c r="M6" s="4" t="str">
        <f t="shared" si="4"/>
        <v>1000184670100018619710001898071000189749CHOCOLATES</v>
      </c>
      <c r="N6" s="28">
        <f>N4*_xlfn.XLOOKUP($L6,'Balizador da Meta'!$B$4:$B$21,'Balizador da Meta'!$C$4:$C$21)</f>
        <v>210.00000000000003</v>
      </c>
      <c r="O6" s="28">
        <f>O4*_xlfn.XLOOKUP($L6,'Balizador da Meta'!$B$4:$B$21,'Balizador da Meta'!$C$4:$C$21)</f>
        <v>210.00000000000003</v>
      </c>
      <c r="P6" s="28">
        <f>P4*_xlfn.XLOOKUP($L6,'Balizador da Meta'!$B$4:$B$21,'Balizador da Meta'!$C$4:$C$21)</f>
        <v>210.00000000000003</v>
      </c>
      <c r="Q6" s="28">
        <f>Q4*_xlfn.XLOOKUP($L6,'Balizador da Meta'!$B$4:$B$21,'Balizador da Meta'!$C$4:$C$21)</f>
        <v>210.00000000000003</v>
      </c>
      <c r="R6" s="28">
        <f>R4*_xlfn.XLOOKUP($L6,'Balizador da Meta'!$B$4:$B$21,'Balizador da Meta'!$C$4:$C$21)</f>
        <v>210.00000000000003</v>
      </c>
      <c r="S6" s="28">
        <f>S4*_xlfn.XLOOKUP($L6,'Balizador da Meta'!$B$4:$B$21,'Balizador da Meta'!$C$4:$C$21)</f>
        <v>210.00000000000003</v>
      </c>
      <c r="T6" s="28">
        <f>T4*_xlfn.XLOOKUP($L6,'Balizador da Meta'!$B$4:$B$21,'Balizador da Meta'!$C$4:$C$21)</f>
        <v>210.00000000000003</v>
      </c>
      <c r="U6" s="28">
        <f>U4*_xlfn.XLOOKUP($L6,'Balizador da Meta'!$B$4:$B$21,'Balizador da Meta'!$C$4:$C$21)</f>
        <v>210.00000000000003</v>
      </c>
      <c r="V6" s="28">
        <f>V4*_xlfn.XLOOKUP($L6,'Balizador da Meta'!$B$4:$B$21,'Balizador da Meta'!$C$4:$C$21)</f>
        <v>210.00000000000003</v>
      </c>
      <c r="W6" s="28">
        <f>W4*_xlfn.XLOOKUP($L6,'Balizador da Meta'!$B$4:$B$21,'Balizador da Meta'!$C$4:$C$21)</f>
        <v>210.00000000000003</v>
      </c>
      <c r="X6" s="28">
        <f>X4*_xlfn.XLOOKUP($L6,'Balizador da Meta'!$B$4:$B$21,'Balizador da Meta'!$C$4:$C$21)</f>
        <v>210.00000000000003</v>
      </c>
      <c r="Y6" s="28">
        <f>Y4*_xlfn.XLOOKUP($L6,'Balizador da Meta'!$B$4:$B$21,'Balizador da Meta'!$C$4:$C$21)</f>
        <v>210.00000000000003</v>
      </c>
      <c r="Z6" s="30">
        <f t="shared" si="5"/>
        <v>2520.0000000000005</v>
      </c>
      <c r="AA6" s="29"/>
      <c r="AB6" s="31">
        <f>SUMIFS('Historico - FAT'!AK:AK,'Historico - FAT'!$K:$K,Faturamento!$L6,'Historico - FAT'!$I:$I,Faturamento!$J6,'Historico - FAT'!$G:$G,Faturamento!$H6)</f>
        <v>0</v>
      </c>
      <c r="AC6" s="31">
        <f>SUMIFS('Historico - FAT'!AL:AL,'Historico - FAT'!$K:$K,Faturamento!$L6,'Historico - FAT'!$I:$I,Faturamento!$J6,'Historico - FAT'!$G:$G,Faturamento!$H6)</f>
        <v>0</v>
      </c>
      <c r="AD6" s="31">
        <f>SUMIFS('Historico - FAT'!AM:AM,'Historico - FAT'!$K:$K,Faturamento!$L6,'Historico - FAT'!$I:$I,Faturamento!$J6,'Historico - FAT'!$G:$G,Faturamento!$H6)</f>
        <v>0</v>
      </c>
      <c r="AE6" s="27">
        <f>SUMIFS('Historico - FAT'!AN:AN,'Historico - FAT'!$K:$K,Faturamento!$L6,'Historico - FAT'!$I:$I,Faturamento!$J6,'Historico - FAT'!$G:$G,Faturamento!$H6)</f>
        <v>0</v>
      </c>
      <c r="AG6" s="24">
        <f t="shared" si="6"/>
        <v>1</v>
      </c>
      <c r="AH6" s="24">
        <f t="shared" si="7"/>
        <v>1</v>
      </c>
      <c r="AI6" s="24">
        <f t="shared" si="8"/>
        <v>1</v>
      </c>
    </row>
    <row r="7" spans="1:35" hidden="1" x14ac:dyDescent="0.3">
      <c r="A7" s="2" t="str">
        <f t="shared" si="3"/>
        <v>NÃO</v>
      </c>
      <c r="B7" s="2">
        <v>1000184670</v>
      </c>
      <c r="C7" s="2" t="s">
        <v>147</v>
      </c>
      <c r="D7" s="4">
        <v>1000186197</v>
      </c>
      <c r="E7" s="4" t="s">
        <v>166</v>
      </c>
      <c r="F7" s="2">
        <v>1000185288</v>
      </c>
      <c r="G7" s="2" t="s">
        <v>64</v>
      </c>
      <c r="H7" s="4">
        <v>1000189807</v>
      </c>
      <c r="I7" s="4" t="s">
        <v>81</v>
      </c>
      <c r="J7" s="2">
        <v>1000189749</v>
      </c>
      <c r="K7" s="2" t="s">
        <v>154</v>
      </c>
      <c r="L7" s="4" t="s">
        <v>16</v>
      </c>
      <c r="M7" s="4" t="str">
        <f t="shared" si="4"/>
        <v>1000184670100018619710001898071000189749DISNEY</v>
      </c>
      <c r="N7" s="28">
        <f>N4*_xlfn.XLOOKUP($L7,'Balizador da Meta'!$B$4:$B$21,'Balizador da Meta'!$C$4:$C$21)</f>
        <v>240</v>
      </c>
      <c r="O7" s="28">
        <f>O4*_xlfn.XLOOKUP($L7,'Balizador da Meta'!$B$4:$B$21,'Balizador da Meta'!$C$4:$C$21)</f>
        <v>240</v>
      </c>
      <c r="P7" s="28">
        <f>P4*_xlfn.XLOOKUP($L7,'Balizador da Meta'!$B$4:$B$21,'Balizador da Meta'!$C$4:$C$21)</f>
        <v>240</v>
      </c>
      <c r="Q7" s="28">
        <f>Q4*_xlfn.XLOOKUP($L7,'Balizador da Meta'!$B$4:$B$21,'Balizador da Meta'!$C$4:$C$21)</f>
        <v>240</v>
      </c>
      <c r="R7" s="28">
        <f>R4*_xlfn.XLOOKUP($L7,'Balizador da Meta'!$B$4:$B$21,'Balizador da Meta'!$C$4:$C$21)</f>
        <v>240</v>
      </c>
      <c r="S7" s="28">
        <f>S4*_xlfn.XLOOKUP($L7,'Balizador da Meta'!$B$4:$B$21,'Balizador da Meta'!$C$4:$C$21)</f>
        <v>240</v>
      </c>
      <c r="T7" s="28">
        <f>T4*_xlfn.XLOOKUP($L7,'Balizador da Meta'!$B$4:$B$21,'Balizador da Meta'!$C$4:$C$21)</f>
        <v>240</v>
      </c>
      <c r="U7" s="28">
        <f>U4*_xlfn.XLOOKUP($L7,'Balizador da Meta'!$B$4:$B$21,'Balizador da Meta'!$C$4:$C$21)</f>
        <v>240</v>
      </c>
      <c r="V7" s="28">
        <f>V4*_xlfn.XLOOKUP($L7,'Balizador da Meta'!$B$4:$B$21,'Balizador da Meta'!$C$4:$C$21)</f>
        <v>240</v>
      </c>
      <c r="W7" s="28">
        <f>W4*_xlfn.XLOOKUP($L7,'Balizador da Meta'!$B$4:$B$21,'Balizador da Meta'!$C$4:$C$21)</f>
        <v>240</v>
      </c>
      <c r="X7" s="28">
        <f>X4*_xlfn.XLOOKUP($L7,'Balizador da Meta'!$B$4:$B$21,'Balizador da Meta'!$C$4:$C$21)</f>
        <v>240</v>
      </c>
      <c r="Y7" s="28">
        <f>Y4*_xlfn.XLOOKUP($L7,'Balizador da Meta'!$B$4:$B$21,'Balizador da Meta'!$C$4:$C$21)</f>
        <v>240</v>
      </c>
      <c r="Z7" s="30">
        <f t="shared" si="5"/>
        <v>2880</v>
      </c>
      <c r="AA7" s="29"/>
      <c r="AB7" s="31">
        <f>SUMIFS('Historico - FAT'!AK:AK,'Historico - FAT'!$K:$K,Faturamento!$L7,'Historico - FAT'!$I:$I,Faturamento!$J7,'Historico - FAT'!$G:$G,Faturamento!$H7)</f>
        <v>0</v>
      </c>
      <c r="AC7" s="31">
        <f>SUMIFS('Historico - FAT'!AL:AL,'Historico - FAT'!$K:$K,Faturamento!$L7,'Historico - FAT'!$I:$I,Faturamento!$J7,'Historico - FAT'!$G:$G,Faturamento!$H7)</f>
        <v>0</v>
      </c>
      <c r="AD7" s="31">
        <f>SUMIFS('Historico - FAT'!AM:AM,'Historico - FAT'!$K:$K,Faturamento!$L7,'Historico - FAT'!$I:$I,Faturamento!$J7,'Historico - FAT'!$G:$G,Faturamento!$H7)</f>
        <v>0</v>
      </c>
      <c r="AE7" s="27">
        <f>SUMIFS('Historico - FAT'!AN:AN,'Historico - FAT'!$K:$K,Faturamento!$L7,'Historico - FAT'!$I:$I,Faturamento!$J7,'Historico - FAT'!$G:$G,Faturamento!$H7)</f>
        <v>0</v>
      </c>
      <c r="AG7" s="24">
        <f t="shared" si="6"/>
        <v>1</v>
      </c>
      <c r="AH7" s="24">
        <f t="shared" si="7"/>
        <v>1</v>
      </c>
      <c r="AI7" s="24">
        <f t="shared" si="8"/>
        <v>1</v>
      </c>
    </row>
    <row r="8" spans="1:35" hidden="1" x14ac:dyDescent="0.3">
      <c r="A8" s="2" t="str">
        <f t="shared" si="3"/>
        <v>NÃO</v>
      </c>
      <c r="B8" s="2">
        <v>1000184670</v>
      </c>
      <c r="C8" s="2" t="s">
        <v>147</v>
      </c>
      <c r="D8" s="4">
        <v>1000186197</v>
      </c>
      <c r="E8" s="4" t="s">
        <v>166</v>
      </c>
      <c r="F8" s="2">
        <v>1000185288</v>
      </c>
      <c r="G8" s="2" t="s">
        <v>64</v>
      </c>
      <c r="H8" s="4">
        <v>1000189807</v>
      </c>
      <c r="I8" s="4" t="s">
        <v>81</v>
      </c>
      <c r="J8" s="2">
        <v>1000189749</v>
      </c>
      <c r="K8" s="2" t="s">
        <v>154</v>
      </c>
      <c r="L8" s="4" t="s">
        <v>15</v>
      </c>
      <c r="M8" s="4" t="str">
        <f t="shared" si="4"/>
        <v>1000184670100018619710001898071000189749DOCES</v>
      </c>
      <c r="N8" s="28">
        <f>N4*_xlfn.XLOOKUP($L8,'Balizador da Meta'!$B$4:$B$21,'Balizador da Meta'!$C$4:$C$21)</f>
        <v>270</v>
      </c>
      <c r="O8" s="28">
        <f>O4*_xlfn.XLOOKUP($L8,'Balizador da Meta'!$B$4:$B$21,'Balizador da Meta'!$C$4:$C$21)</f>
        <v>270</v>
      </c>
      <c r="P8" s="28">
        <f>P4*_xlfn.XLOOKUP($L8,'Balizador da Meta'!$B$4:$B$21,'Balizador da Meta'!$C$4:$C$21)</f>
        <v>270</v>
      </c>
      <c r="Q8" s="28">
        <f>Q4*_xlfn.XLOOKUP($L8,'Balizador da Meta'!$B$4:$B$21,'Balizador da Meta'!$C$4:$C$21)</f>
        <v>270</v>
      </c>
      <c r="R8" s="28">
        <f>R4*_xlfn.XLOOKUP($L8,'Balizador da Meta'!$B$4:$B$21,'Balizador da Meta'!$C$4:$C$21)</f>
        <v>270</v>
      </c>
      <c r="S8" s="28">
        <f>S4*_xlfn.XLOOKUP($L8,'Balizador da Meta'!$B$4:$B$21,'Balizador da Meta'!$C$4:$C$21)</f>
        <v>270</v>
      </c>
      <c r="T8" s="28">
        <f>T4*_xlfn.XLOOKUP($L8,'Balizador da Meta'!$B$4:$B$21,'Balizador da Meta'!$C$4:$C$21)</f>
        <v>270</v>
      </c>
      <c r="U8" s="28">
        <f>U4*_xlfn.XLOOKUP($L8,'Balizador da Meta'!$B$4:$B$21,'Balizador da Meta'!$C$4:$C$21)</f>
        <v>270</v>
      </c>
      <c r="V8" s="28">
        <f>V4*_xlfn.XLOOKUP($L8,'Balizador da Meta'!$B$4:$B$21,'Balizador da Meta'!$C$4:$C$21)</f>
        <v>270</v>
      </c>
      <c r="W8" s="28">
        <f>W4*_xlfn.XLOOKUP($L8,'Balizador da Meta'!$B$4:$B$21,'Balizador da Meta'!$C$4:$C$21)</f>
        <v>270</v>
      </c>
      <c r="X8" s="28">
        <f>X4*_xlfn.XLOOKUP($L8,'Balizador da Meta'!$B$4:$B$21,'Balizador da Meta'!$C$4:$C$21)</f>
        <v>270</v>
      </c>
      <c r="Y8" s="28">
        <f>Y4*_xlfn.XLOOKUP($L8,'Balizador da Meta'!$B$4:$B$21,'Balizador da Meta'!$C$4:$C$21)</f>
        <v>270</v>
      </c>
      <c r="Z8" s="30">
        <f t="shared" si="5"/>
        <v>3240</v>
      </c>
      <c r="AA8" s="29"/>
      <c r="AB8" s="31">
        <f>SUMIFS('Historico - FAT'!AK:AK,'Historico - FAT'!$K:$K,Faturamento!$L8,'Historico - FAT'!$I:$I,Faturamento!$J8,'Historico - FAT'!$G:$G,Faturamento!$H8)</f>
        <v>0</v>
      </c>
      <c r="AC8" s="31">
        <f>SUMIFS('Historico - FAT'!AL:AL,'Historico - FAT'!$K:$K,Faturamento!$L8,'Historico - FAT'!$I:$I,Faturamento!$J8,'Historico - FAT'!$G:$G,Faturamento!$H8)</f>
        <v>0</v>
      </c>
      <c r="AD8" s="31">
        <f>SUMIFS('Historico - FAT'!AM:AM,'Historico - FAT'!$K:$K,Faturamento!$L8,'Historico - FAT'!$I:$I,Faturamento!$J8,'Historico - FAT'!$G:$G,Faturamento!$H8)</f>
        <v>0</v>
      </c>
      <c r="AE8" s="27">
        <f>SUMIFS('Historico - FAT'!AN:AN,'Historico - FAT'!$K:$K,Faturamento!$L8,'Historico - FAT'!$I:$I,Faturamento!$J8,'Historico - FAT'!$G:$G,Faturamento!$H8)</f>
        <v>0</v>
      </c>
      <c r="AG8" s="24">
        <f t="shared" si="6"/>
        <v>1</v>
      </c>
      <c r="AH8" s="24">
        <f t="shared" si="7"/>
        <v>1</v>
      </c>
      <c r="AI8" s="24">
        <f t="shared" si="8"/>
        <v>1</v>
      </c>
    </row>
    <row r="9" spans="1:35" hidden="1" x14ac:dyDescent="0.3">
      <c r="A9" s="2" t="str">
        <f t="shared" si="3"/>
        <v>NÃO</v>
      </c>
      <c r="B9" s="2">
        <v>1000184670</v>
      </c>
      <c r="C9" s="2" t="s">
        <v>147</v>
      </c>
      <c r="D9" s="4">
        <v>1000186197</v>
      </c>
      <c r="E9" s="4" t="s">
        <v>166</v>
      </c>
      <c r="F9" s="2">
        <v>1000185288</v>
      </c>
      <c r="G9" s="2" t="s">
        <v>64</v>
      </c>
      <c r="H9" s="4">
        <v>1000189807</v>
      </c>
      <c r="I9" s="4" t="s">
        <v>81</v>
      </c>
      <c r="J9" s="2">
        <v>1000189749</v>
      </c>
      <c r="K9" s="2" t="s">
        <v>154</v>
      </c>
      <c r="L9" s="4" t="s">
        <v>33</v>
      </c>
      <c r="M9" s="4" t="str">
        <f t="shared" si="4"/>
        <v>1000184670100018619710001898071000189749FOOD SERVICE</v>
      </c>
      <c r="N9" s="28">
        <f>N4*_xlfn.XLOOKUP($L9,'Balizador da Meta'!$B$4:$B$21,'Balizador da Meta'!$C$4:$C$21)</f>
        <v>0</v>
      </c>
      <c r="O9" s="28">
        <f>O4*_xlfn.XLOOKUP($L9,'Balizador da Meta'!$B$4:$B$21,'Balizador da Meta'!$C$4:$C$21)</f>
        <v>0</v>
      </c>
      <c r="P9" s="28">
        <f>P4*_xlfn.XLOOKUP($L9,'Balizador da Meta'!$B$4:$B$21,'Balizador da Meta'!$C$4:$C$21)</f>
        <v>0</v>
      </c>
      <c r="Q9" s="28">
        <f>Q4*_xlfn.XLOOKUP($L9,'Balizador da Meta'!$B$4:$B$21,'Balizador da Meta'!$C$4:$C$21)</f>
        <v>0</v>
      </c>
      <c r="R9" s="28">
        <f>R4*_xlfn.XLOOKUP($L9,'Balizador da Meta'!$B$4:$B$21,'Balizador da Meta'!$C$4:$C$21)</f>
        <v>0</v>
      </c>
      <c r="S9" s="28">
        <f>S4*_xlfn.XLOOKUP($L9,'Balizador da Meta'!$B$4:$B$21,'Balizador da Meta'!$C$4:$C$21)</f>
        <v>0</v>
      </c>
      <c r="T9" s="28">
        <f>T4*_xlfn.XLOOKUP($L9,'Balizador da Meta'!$B$4:$B$21,'Balizador da Meta'!$C$4:$C$21)</f>
        <v>0</v>
      </c>
      <c r="U9" s="28">
        <f>U4*_xlfn.XLOOKUP($L9,'Balizador da Meta'!$B$4:$B$21,'Balizador da Meta'!$C$4:$C$21)</f>
        <v>0</v>
      </c>
      <c r="V9" s="28">
        <f>V4*_xlfn.XLOOKUP($L9,'Balizador da Meta'!$B$4:$B$21,'Balizador da Meta'!$C$4:$C$21)</f>
        <v>0</v>
      </c>
      <c r="W9" s="28">
        <f>W4*_xlfn.XLOOKUP($L9,'Balizador da Meta'!$B$4:$B$21,'Balizador da Meta'!$C$4:$C$21)</f>
        <v>0</v>
      </c>
      <c r="X9" s="28">
        <f>X4*_xlfn.XLOOKUP($L9,'Balizador da Meta'!$B$4:$B$21,'Balizador da Meta'!$C$4:$C$21)</f>
        <v>0</v>
      </c>
      <c r="Y9" s="28">
        <f>Y4*_xlfn.XLOOKUP($L9,'Balizador da Meta'!$B$4:$B$21,'Balizador da Meta'!$C$4:$C$21)</f>
        <v>0</v>
      </c>
      <c r="Z9" s="30">
        <f t="shared" si="5"/>
        <v>0</v>
      </c>
      <c r="AA9" s="29"/>
      <c r="AB9" s="31">
        <f>SUMIFS('Historico - FAT'!AK:AK,'Historico - FAT'!$K:$K,Faturamento!$L9,'Historico - FAT'!$I:$I,Faturamento!$J9,'Historico - FAT'!$G:$G,Faturamento!$H9)</f>
        <v>0</v>
      </c>
      <c r="AC9" s="31">
        <f>SUMIFS('Historico - FAT'!AL:AL,'Historico - FAT'!$K:$K,Faturamento!$L9,'Historico - FAT'!$I:$I,Faturamento!$J9,'Historico - FAT'!$G:$G,Faturamento!$H9)</f>
        <v>0</v>
      </c>
      <c r="AD9" s="31">
        <f>SUMIFS('Historico - FAT'!AM:AM,'Historico - FAT'!$K:$K,Faturamento!$L9,'Historico - FAT'!$I:$I,Faturamento!$J9,'Historico - FAT'!$G:$G,Faturamento!$H9)</f>
        <v>0</v>
      </c>
      <c r="AE9" s="27">
        <f>SUMIFS('Historico - FAT'!AN:AN,'Historico - FAT'!$K:$K,Faturamento!$L9,'Historico - FAT'!$I:$I,Faturamento!$J9,'Historico - FAT'!$G:$G,Faturamento!$H9)</f>
        <v>0</v>
      </c>
      <c r="AG9" s="24" t="str">
        <f t="shared" si="6"/>
        <v/>
      </c>
      <c r="AH9" s="24" t="str">
        <f t="shared" si="7"/>
        <v/>
      </c>
      <c r="AI9" s="24" t="str">
        <f t="shared" si="8"/>
        <v/>
      </c>
    </row>
    <row r="10" spans="1:35" hidden="1" x14ac:dyDescent="0.3">
      <c r="A10" s="2" t="str">
        <f t="shared" si="3"/>
        <v>NÃO</v>
      </c>
      <c r="B10" s="2">
        <v>1000184670</v>
      </c>
      <c r="C10" s="2" t="s">
        <v>147</v>
      </c>
      <c r="D10" s="4">
        <v>1000186197</v>
      </c>
      <c r="E10" s="4" t="s">
        <v>166</v>
      </c>
      <c r="F10" s="2">
        <v>1000185288</v>
      </c>
      <c r="G10" s="2" t="s">
        <v>64</v>
      </c>
      <c r="H10" s="4">
        <v>1000189807</v>
      </c>
      <c r="I10" s="4" t="s">
        <v>81</v>
      </c>
      <c r="J10" s="2">
        <v>1000189749</v>
      </c>
      <c r="K10" s="2" t="s">
        <v>154</v>
      </c>
      <c r="L10" s="4" t="s">
        <v>19</v>
      </c>
      <c r="M10" s="4" t="str">
        <f t="shared" si="4"/>
        <v>1000184670100018619710001898071000189749GELEIA</v>
      </c>
      <c r="N10" s="28">
        <f>N4*_xlfn.XLOOKUP($L10,'Balizador da Meta'!$B$4:$B$21,'Balizador da Meta'!$C$4:$C$21)</f>
        <v>59.999999999999993</v>
      </c>
      <c r="O10" s="28">
        <f>O4*_xlfn.XLOOKUP($L10,'Balizador da Meta'!$B$4:$B$21,'Balizador da Meta'!$C$4:$C$21)</f>
        <v>59.999999999999993</v>
      </c>
      <c r="P10" s="28">
        <f>P4*_xlfn.XLOOKUP($L10,'Balizador da Meta'!$B$4:$B$21,'Balizador da Meta'!$C$4:$C$21)</f>
        <v>59.999999999999993</v>
      </c>
      <c r="Q10" s="28">
        <f>Q4*_xlfn.XLOOKUP($L10,'Balizador da Meta'!$B$4:$B$21,'Balizador da Meta'!$C$4:$C$21)</f>
        <v>59.999999999999993</v>
      </c>
      <c r="R10" s="28">
        <f>R4*_xlfn.XLOOKUP($L10,'Balizador da Meta'!$B$4:$B$21,'Balizador da Meta'!$C$4:$C$21)</f>
        <v>59.999999999999993</v>
      </c>
      <c r="S10" s="28">
        <f>S4*_xlfn.XLOOKUP($L10,'Balizador da Meta'!$B$4:$B$21,'Balizador da Meta'!$C$4:$C$21)</f>
        <v>59.999999999999993</v>
      </c>
      <c r="T10" s="28">
        <f>T4*_xlfn.XLOOKUP($L10,'Balizador da Meta'!$B$4:$B$21,'Balizador da Meta'!$C$4:$C$21)</f>
        <v>59.999999999999993</v>
      </c>
      <c r="U10" s="28">
        <f>U4*_xlfn.XLOOKUP($L10,'Balizador da Meta'!$B$4:$B$21,'Balizador da Meta'!$C$4:$C$21)</f>
        <v>59.999999999999993</v>
      </c>
      <c r="V10" s="28">
        <f>V4*_xlfn.XLOOKUP($L10,'Balizador da Meta'!$B$4:$B$21,'Balizador da Meta'!$C$4:$C$21)</f>
        <v>59.999999999999993</v>
      </c>
      <c r="W10" s="28">
        <f>W4*_xlfn.XLOOKUP($L10,'Balizador da Meta'!$B$4:$B$21,'Balizador da Meta'!$C$4:$C$21)</f>
        <v>59.999999999999993</v>
      </c>
      <c r="X10" s="28">
        <f>X4*_xlfn.XLOOKUP($L10,'Balizador da Meta'!$B$4:$B$21,'Balizador da Meta'!$C$4:$C$21)</f>
        <v>59.999999999999993</v>
      </c>
      <c r="Y10" s="28">
        <f>Y4*_xlfn.XLOOKUP($L10,'Balizador da Meta'!$B$4:$B$21,'Balizador da Meta'!$C$4:$C$21)</f>
        <v>59.999999999999993</v>
      </c>
      <c r="Z10" s="30">
        <f t="shared" si="5"/>
        <v>719.99999999999989</v>
      </c>
      <c r="AA10" s="29"/>
      <c r="AB10" s="31">
        <f>SUMIFS('Historico - FAT'!AK:AK,'Historico - FAT'!$K:$K,Faturamento!$L10,'Historico - FAT'!$I:$I,Faturamento!$J10,'Historico - FAT'!$G:$G,Faturamento!$H10)</f>
        <v>0</v>
      </c>
      <c r="AC10" s="31">
        <f>SUMIFS('Historico - FAT'!AL:AL,'Historico - FAT'!$K:$K,Faturamento!$L10,'Historico - FAT'!$I:$I,Faturamento!$J10,'Historico - FAT'!$G:$G,Faturamento!$H10)</f>
        <v>0</v>
      </c>
      <c r="AD10" s="31">
        <f>SUMIFS('Historico - FAT'!AM:AM,'Historico - FAT'!$K:$K,Faturamento!$L10,'Historico - FAT'!$I:$I,Faturamento!$J10,'Historico - FAT'!$G:$G,Faturamento!$H10)</f>
        <v>0</v>
      </c>
      <c r="AE10" s="27">
        <f>SUMIFS('Historico - FAT'!AN:AN,'Historico - FAT'!$K:$K,Faturamento!$L10,'Historico - FAT'!$I:$I,Faturamento!$J10,'Historico - FAT'!$G:$G,Faturamento!$H10)</f>
        <v>0</v>
      </c>
      <c r="AG10" s="24">
        <f t="shared" si="6"/>
        <v>1</v>
      </c>
      <c r="AH10" s="24">
        <f t="shared" si="7"/>
        <v>1</v>
      </c>
      <c r="AI10" s="24">
        <f t="shared" si="8"/>
        <v>1</v>
      </c>
    </row>
    <row r="11" spans="1:35" hidden="1" x14ac:dyDescent="0.3">
      <c r="A11" s="2" t="str">
        <f t="shared" si="3"/>
        <v>NÃO</v>
      </c>
      <c r="B11" s="2">
        <v>1000184670</v>
      </c>
      <c r="C11" s="2" t="s">
        <v>147</v>
      </c>
      <c r="D11" s="4">
        <v>1000186197</v>
      </c>
      <c r="E11" s="4" t="s">
        <v>166</v>
      </c>
      <c r="F11" s="2">
        <v>1000185288</v>
      </c>
      <c r="G11" s="2" t="s">
        <v>64</v>
      </c>
      <c r="H11" s="4">
        <v>1000189807</v>
      </c>
      <c r="I11" s="4" t="s">
        <v>81</v>
      </c>
      <c r="J11" s="2">
        <v>1000189749</v>
      </c>
      <c r="K11" s="2" t="s">
        <v>154</v>
      </c>
      <c r="L11" s="4" t="s">
        <v>17</v>
      </c>
      <c r="M11" s="4" t="str">
        <f t="shared" si="4"/>
        <v>1000184670100018619710001898071000189749GRANOLA</v>
      </c>
      <c r="N11" s="28">
        <f>N4*_xlfn.XLOOKUP($L11,'Balizador da Meta'!$B$4:$B$21,'Balizador da Meta'!$C$4:$C$21)</f>
        <v>60</v>
      </c>
      <c r="O11" s="28">
        <f>O4*_xlfn.XLOOKUP($L11,'Balizador da Meta'!$B$4:$B$21,'Balizador da Meta'!$C$4:$C$21)</f>
        <v>60</v>
      </c>
      <c r="P11" s="28">
        <f>P4*_xlfn.XLOOKUP($L11,'Balizador da Meta'!$B$4:$B$21,'Balizador da Meta'!$C$4:$C$21)</f>
        <v>60</v>
      </c>
      <c r="Q11" s="28">
        <f>Q4*_xlfn.XLOOKUP($L11,'Balizador da Meta'!$B$4:$B$21,'Balizador da Meta'!$C$4:$C$21)</f>
        <v>60</v>
      </c>
      <c r="R11" s="28">
        <f>R4*_xlfn.XLOOKUP($L11,'Balizador da Meta'!$B$4:$B$21,'Balizador da Meta'!$C$4:$C$21)</f>
        <v>60</v>
      </c>
      <c r="S11" s="28">
        <f>S4*_xlfn.XLOOKUP($L11,'Balizador da Meta'!$B$4:$B$21,'Balizador da Meta'!$C$4:$C$21)</f>
        <v>60</v>
      </c>
      <c r="T11" s="28">
        <f>T4*_xlfn.XLOOKUP($L11,'Balizador da Meta'!$B$4:$B$21,'Balizador da Meta'!$C$4:$C$21)</f>
        <v>60</v>
      </c>
      <c r="U11" s="28">
        <f>U4*_xlfn.XLOOKUP($L11,'Balizador da Meta'!$B$4:$B$21,'Balizador da Meta'!$C$4:$C$21)</f>
        <v>60</v>
      </c>
      <c r="V11" s="28">
        <f>V4*_xlfn.XLOOKUP($L11,'Balizador da Meta'!$B$4:$B$21,'Balizador da Meta'!$C$4:$C$21)</f>
        <v>60</v>
      </c>
      <c r="W11" s="28">
        <f>W4*_xlfn.XLOOKUP($L11,'Balizador da Meta'!$B$4:$B$21,'Balizador da Meta'!$C$4:$C$21)</f>
        <v>60</v>
      </c>
      <c r="X11" s="28">
        <f>X4*_xlfn.XLOOKUP($L11,'Balizador da Meta'!$B$4:$B$21,'Balizador da Meta'!$C$4:$C$21)</f>
        <v>60</v>
      </c>
      <c r="Y11" s="28">
        <f>Y4*_xlfn.XLOOKUP($L11,'Balizador da Meta'!$B$4:$B$21,'Balizador da Meta'!$C$4:$C$21)</f>
        <v>60</v>
      </c>
      <c r="Z11" s="30">
        <f t="shared" si="5"/>
        <v>720</v>
      </c>
      <c r="AA11" s="29"/>
      <c r="AB11" s="31">
        <f>SUMIFS('Historico - FAT'!AK:AK,'Historico - FAT'!$K:$K,Faturamento!$L11,'Historico - FAT'!$I:$I,Faturamento!$J11,'Historico - FAT'!$G:$G,Faturamento!$H11)</f>
        <v>0</v>
      </c>
      <c r="AC11" s="31">
        <f>SUMIFS('Historico - FAT'!AL:AL,'Historico - FAT'!$K:$K,Faturamento!$L11,'Historico - FAT'!$I:$I,Faturamento!$J11,'Historico - FAT'!$G:$G,Faturamento!$H11)</f>
        <v>0</v>
      </c>
      <c r="AD11" s="31">
        <f>SUMIFS('Historico - FAT'!AM:AM,'Historico - FAT'!$K:$K,Faturamento!$L11,'Historico - FAT'!$I:$I,Faturamento!$J11,'Historico - FAT'!$G:$G,Faturamento!$H11)</f>
        <v>0</v>
      </c>
      <c r="AE11" s="27">
        <f>SUMIFS('Historico - FAT'!AN:AN,'Historico - FAT'!$K:$K,Faturamento!$L11,'Historico - FAT'!$I:$I,Faturamento!$J11,'Historico - FAT'!$G:$G,Faturamento!$H11)</f>
        <v>0</v>
      </c>
      <c r="AG11" s="24">
        <f t="shared" si="6"/>
        <v>1</v>
      </c>
      <c r="AH11" s="24">
        <f t="shared" si="7"/>
        <v>1</v>
      </c>
      <c r="AI11" s="24">
        <f t="shared" si="8"/>
        <v>1</v>
      </c>
    </row>
    <row r="12" spans="1:35" hidden="1" x14ac:dyDescent="0.3">
      <c r="A12" s="2" t="str">
        <f t="shared" si="3"/>
        <v>NÃO</v>
      </c>
      <c r="B12" s="2">
        <v>1000184670</v>
      </c>
      <c r="C12" s="2" t="s">
        <v>147</v>
      </c>
      <c r="D12" s="4">
        <v>1000186197</v>
      </c>
      <c r="E12" s="4" t="s">
        <v>166</v>
      </c>
      <c r="F12" s="2">
        <v>1000185288</v>
      </c>
      <c r="G12" s="2" t="s">
        <v>64</v>
      </c>
      <c r="H12" s="4">
        <v>1000189807</v>
      </c>
      <c r="I12" s="4" t="s">
        <v>81</v>
      </c>
      <c r="J12" s="2">
        <v>1000189749</v>
      </c>
      <c r="K12" s="2" t="s">
        <v>154</v>
      </c>
      <c r="L12" s="4" t="s">
        <v>24</v>
      </c>
      <c r="M12" s="4" t="str">
        <f t="shared" si="4"/>
        <v>1000184670100018619710001898071000189749KIDS</v>
      </c>
      <c r="N12" s="28">
        <f>N4*_xlfn.XLOOKUP($L12,'Balizador da Meta'!$B$4:$B$21,'Balizador da Meta'!$C$4:$C$21)</f>
        <v>0</v>
      </c>
      <c r="O12" s="28">
        <f>O4*_xlfn.XLOOKUP($L12,'Balizador da Meta'!$B$4:$B$21,'Balizador da Meta'!$C$4:$C$21)</f>
        <v>0</v>
      </c>
      <c r="P12" s="28">
        <f>P4*_xlfn.XLOOKUP($L12,'Balizador da Meta'!$B$4:$B$21,'Balizador da Meta'!$C$4:$C$21)</f>
        <v>0</v>
      </c>
      <c r="Q12" s="28">
        <f>Q4*_xlfn.XLOOKUP($L12,'Balizador da Meta'!$B$4:$B$21,'Balizador da Meta'!$C$4:$C$21)</f>
        <v>0</v>
      </c>
      <c r="R12" s="28">
        <f>R4*_xlfn.XLOOKUP($L12,'Balizador da Meta'!$B$4:$B$21,'Balizador da Meta'!$C$4:$C$21)</f>
        <v>0</v>
      </c>
      <c r="S12" s="28">
        <f>S4*_xlfn.XLOOKUP($L12,'Balizador da Meta'!$B$4:$B$21,'Balizador da Meta'!$C$4:$C$21)</f>
        <v>0</v>
      </c>
      <c r="T12" s="28">
        <f>T4*_xlfn.XLOOKUP($L12,'Balizador da Meta'!$B$4:$B$21,'Balizador da Meta'!$C$4:$C$21)</f>
        <v>0</v>
      </c>
      <c r="U12" s="28">
        <f>U4*_xlfn.XLOOKUP($L12,'Balizador da Meta'!$B$4:$B$21,'Balizador da Meta'!$C$4:$C$21)</f>
        <v>0</v>
      </c>
      <c r="V12" s="28">
        <f>V4*_xlfn.XLOOKUP($L12,'Balizador da Meta'!$B$4:$B$21,'Balizador da Meta'!$C$4:$C$21)</f>
        <v>0</v>
      </c>
      <c r="W12" s="28">
        <f>W4*_xlfn.XLOOKUP($L12,'Balizador da Meta'!$B$4:$B$21,'Balizador da Meta'!$C$4:$C$21)</f>
        <v>0</v>
      </c>
      <c r="X12" s="28">
        <f>X4*_xlfn.XLOOKUP($L12,'Balizador da Meta'!$B$4:$B$21,'Balizador da Meta'!$C$4:$C$21)</f>
        <v>0</v>
      </c>
      <c r="Y12" s="28">
        <f>Y4*_xlfn.XLOOKUP($L12,'Balizador da Meta'!$B$4:$B$21,'Balizador da Meta'!$C$4:$C$21)</f>
        <v>0</v>
      </c>
      <c r="Z12" s="30">
        <f t="shared" si="5"/>
        <v>0</v>
      </c>
      <c r="AA12" s="29"/>
      <c r="AB12" s="31">
        <f>SUMIFS('Historico - FAT'!AK:AK,'Historico - FAT'!$K:$K,Faturamento!$L12,'Historico - FAT'!$I:$I,Faturamento!$J12,'Historico - FAT'!$G:$G,Faturamento!$H12)</f>
        <v>0</v>
      </c>
      <c r="AC12" s="31">
        <f>SUMIFS('Historico - FAT'!AL:AL,'Historico - FAT'!$K:$K,Faturamento!$L12,'Historico - FAT'!$I:$I,Faturamento!$J12,'Historico - FAT'!$G:$G,Faturamento!$H12)</f>
        <v>0</v>
      </c>
      <c r="AD12" s="31">
        <f>SUMIFS('Historico - FAT'!AM:AM,'Historico - FAT'!$K:$K,Faturamento!$L12,'Historico - FAT'!$I:$I,Faturamento!$J12,'Historico - FAT'!$G:$G,Faturamento!$H12)</f>
        <v>0</v>
      </c>
      <c r="AE12" s="27">
        <f>SUMIFS('Historico - FAT'!AN:AN,'Historico - FAT'!$K:$K,Faturamento!$L12,'Historico - FAT'!$I:$I,Faturamento!$J12,'Historico - FAT'!$G:$G,Faturamento!$H12)</f>
        <v>0</v>
      </c>
      <c r="AG12" s="24" t="str">
        <f t="shared" si="6"/>
        <v/>
      </c>
      <c r="AH12" s="24" t="str">
        <f t="shared" si="7"/>
        <v/>
      </c>
      <c r="AI12" s="24" t="str">
        <f t="shared" si="8"/>
        <v/>
      </c>
    </row>
    <row r="13" spans="1:35" hidden="1" x14ac:dyDescent="0.3">
      <c r="A13" s="2" t="str">
        <f t="shared" si="3"/>
        <v>NÃO</v>
      </c>
      <c r="B13" s="2">
        <v>1000184670</v>
      </c>
      <c r="C13" s="2" t="s">
        <v>147</v>
      </c>
      <c r="D13" s="4">
        <v>1000186197</v>
      </c>
      <c r="E13" s="4" t="s">
        <v>166</v>
      </c>
      <c r="F13" s="2">
        <v>1000185288</v>
      </c>
      <c r="G13" s="2" t="s">
        <v>64</v>
      </c>
      <c r="H13" s="4">
        <v>1000189807</v>
      </c>
      <c r="I13" s="4" t="s">
        <v>81</v>
      </c>
      <c r="J13" s="2">
        <v>1000189749</v>
      </c>
      <c r="K13" s="2" t="s">
        <v>154</v>
      </c>
      <c r="L13" s="4" t="s">
        <v>18</v>
      </c>
      <c r="M13" s="4" t="str">
        <f t="shared" si="4"/>
        <v>1000184670100018619710001898071000189749LANCHES</v>
      </c>
      <c r="N13" s="28">
        <f>N4*_xlfn.XLOOKUP($L13,'Balizador da Meta'!$B$4:$B$21,'Balizador da Meta'!$C$4:$C$21)</f>
        <v>30</v>
      </c>
      <c r="O13" s="28">
        <f>O4*_xlfn.XLOOKUP($L13,'Balizador da Meta'!$B$4:$B$21,'Balizador da Meta'!$C$4:$C$21)</f>
        <v>30</v>
      </c>
      <c r="P13" s="28">
        <f>P4*_xlfn.XLOOKUP($L13,'Balizador da Meta'!$B$4:$B$21,'Balizador da Meta'!$C$4:$C$21)</f>
        <v>30</v>
      </c>
      <c r="Q13" s="28">
        <f>Q4*_xlfn.XLOOKUP($L13,'Balizador da Meta'!$B$4:$B$21,'Balizador da Meta'!$C$4:$C$21)</f>
        <v>30</v>
      </c>
      <c r="R13" s="28">
        <f>R4*_xlfn.XLOOKUP($L13,'Balizador da Meta'!$B$4:$B$21,'Balizador da Meta'!$C$4:$C$21)</f>
        <v>30</v>
      </c>
      <c r="S13" s="28">
        <f>S4*_xlfn.XLOOKUP($L13,'Balizador da Meta'!$B$4:$B$21,'Balizador da Meta'!$C$4:$C$21)</f>
        <v>30</v>
      </c>
      <c r="T13" s="28">
        <f>T4*_xlfn.XLOOKUP($L13,'Balizador da Meta'!$B$4:$B$21,'Balizador da Meta'!$C$4:$C$21)</f>
        <v>30</v>
      </c>
      <c r="U13" s="28">
        <f>U4*_xlfn.XLOOKUP($L13,'Balizador da Meta'!$B$4:$B$21,'Balizador da Meta'!$C$4:$C$21)</f>
        <v>30</v>
      </c>
      <c r="V13" s="28">
        <f>V4*_xlfn.XLOOKUP($L13,'Balizador da Meta'!$B$4:$B$21,'Balizador da Meta'!$C$4:$C$21)</f>
        <v>30</v>
      </c>
      <c r="W13" s="28">
        <f>W4*_xlfn.XLOOKUP($L13,'Balizador da Meta'!$B$4:$B$21,'Balizador da Meta'!$C$4:$C$21)</f>
        <v>30</v>
      </c>
      <c r="X13" s="28">
        <f>X4*_xlfn.XLOOKUP($L13,'Balizador da Meta'!$B$4:$B$21,'Balizador da Meta'!$C$4:$C$21)</f>
        <v>30</v>
      </c>
      <c r="Y13" s="28">
        <f>Y4*_xlfn.XLOOKUP($L13,'Balizador da Meta'!$B$4:$B$21,'Balizador da Meta'!$C$4:$C$21)</f>
        <v>30</v>
      </c>
      <c r="Z13" s="30">
        <f t="shared" si="5"/>
        <v>360</v>
      </c>
      <c r="AA13" s="29"/>
      <c r="AB13" s="31">
        <f>SUMIFS('Historico - FAT'!AK:AK,'Historico - FAT'!$K:$K,Faturamento!$L13,'Historico - FAT'!$I:$I,Faturamento!$J13,'Historico - FAT'!$G:$G,Faturamento!$H13)</f>
        <v>0</v>
      </c>
      <c r="AC13" s="31">
        <f>SUMIFS('Historico - FAT'!AL:AL,'Historico - FAT'!$K:$K,Faturamento!$L13,'Historico - FAT'!$I:$I,Faturamento!$J13,'Historico - FAT'!$G:$G,Faturamento!$H13)</f>
        <v>0</v>
      </c>
      <c r="AD13" s="31">
        <f>SUMIFS('Historico - FAT'!AM:AM,'Historico - FAT'!$K:$K,Faturamento!$L13,'Historico - FAT'!$I:$I,Faturamento!$J13,'Historico - FAT'!$G:$G,Faturamento!$H13)</f>
        <v>0</v>
      </c>
      <c r="AE13" s="27">
        <f>SUMIFS('Historico - FAT'!AN:AN,'Historico - FAT'!$K:$K,Faturamento!$L13,'Historico - FAT'!$I:$I,Faturamento!$J13,'Historico - FAT'!$G:$G,Faturamento!$H13)</f>
        <v>0</v>
      </c>
      <c r="AG13" s="24">
        <f t="shared" si="6"/>
        <v>1</v>
      </c>
      <c r="AH13" s="24">
        <f t="shared" si="7"/>
        <v>1</v>
      </c>
      <c r="AI13" s="24">
        <f t="shared" si="8"/>
        <v>1</v>
      </c>
    </row>
    <row r="14" spans="1:35" hidden="1" x14ac:dyDescent="0.3">
      <c r="A14" s="2" t="str">
        <f t="shared" si="3"/>
        <v>NÃO</v>
      </c>
      <c r="B14" s="2">
        <v>1000184670</v>
      </c>
      <c r="C14" s="2" t="s">
        <v>147</v>
      </c>
      <c r="D14" s="4">
        <v>1000186197</v>
      </c>
      <c r="E14" s="4" t="s">
        <v>166</v>
      </c>
      <c r="F14" s="2">
        <v>1000185288</v>
      </c>
      <c r="G14" s="2" t="s">
        <v>64</v>
      </c>
      <c r="H14" s="4">
        <v>1000189807</v>
      </c>
      <c r="I14" s="4" t="s">
        <v>81</v>
      </c>
      <c r="J14" s="2">
        <v>1000189749</v>
      </c>
      <c r="K14" s="2" t="s">
        <v>154</v>
      </c>
      <c r="L14" s="4" t="s">
        <v>29</v>
      </c>
      <c r="M14" s="4" t="str">
        <f t="shared" si="4"/>
        <v>1000184670100018619710001898071000189749MAIS GRANEL</v>
      </c>
      <c r="N14" s="28">
        <f>N4*_xlfn.XLOOKUP($L14,'Balizador da Meta'!$B$4:$B$21,'Balizador da Meta'!$C$4:$C$21)</f>
        <v>960</v>
      </c>
      <c r="O14" s="28">
        <f>O4*_xlfn.XLOOKUP($L14,'Balizador da Meta'!$B$4:$B$21,'Balizador da Meta'!$C$4:$C$21)</f>
        <v>960</v>
      </c>
      <c r="P14" s="28">
        <f>P4*_xlfn.XLOOKUP($L14,'Balizador da Meta'!$B$4:$B$21,'Balizador da Meta'!$C$4:$C$21)</f>
        <v>960</v>
      </c>
      <c r="Q14" s="28">
        <f>Q4*_xlfn.XLOOKUP($L14,'Balizador da Meta'!$B$4:$B$21,'Balizador da Meta'!$C$4:$C$21)</f>
        <v>960</v>
      </c>
      <c r="R14" s="28">
        <f>R4*_xlfn.XLOOKUP($L14,'Balizador da Meta'!$B$4:$B$21,'Balizador da Meta'!$C$4:$C$21)</f>
        <v>960</v>
      </c>
      <c r="S14" s="28">
        <f>S4*_xlfn.XLOOKUP($L14,'Balizador da Meta'!$B$4:$B$21,'Balizador da Meta'!$C$4:$C$21)</f>
        <v>960</v>
      </c>
      <c r="T14" s="28">
        <f>T4*_xlfn.XLOOKUP($L14,'Balizador da Meta'!$B$4:$B$21,'Balizador da Meta'!$C$4:$C$21)</f>
        <v>960</v>
      </c>
      <c r="U14" s="28">
        <f>U4*_xlfn.XLOOKUP($L14,'Balizador da Meta'!$B$4:$B$21,'Balizador da Meta'!$C$4:$C$21)</f>
        <v>960</v>
      </c>
      <c r="V14" s="28">
        <f>V4*_xlfn.XLOOKUP($L14,'Balizador da Meta'!$B$4:$B$21,'Balizador da Meta'!$C$4:$C$21)</f>
        <v>960</v>
      </c>
      <c r="W14" s="28">
        <f>W4*_xlfn.XLOOKUP($L14,'Balizador da Meta'!$B$4:$B$21,'Balizador da Meta'!$C$4:$C$21)</f>
        <v>960</v>
      </c>
      <c r="X14" s="28">
        <f>X4*_xlfn.XLOOKUP($L14,'Balizador da Meta'!$B$4:$B$21,'Balizador da Meta'!$C$4:$C$21)</f>
        <v>960</v>
      </c>
      <c r="Y14" s="28">
        <f>Y4*_xlfn.XLOOKUP($L14,'Balizador da Meta'!$B$4:$B$21,'Balizador da Meta'!$C$4:$C$21)</f>
        <v>960</v>
      </c>
      <c r="Z14" s="30">
        <f t="shared" si="5"/>
        <v>11520</v>
      </c>
      <c r="AA14" s="29"/>
      <c r="AB14" s="31">
        <f>SUMIFS('Historico - FAT'!AK:AK,'Historico - FAT'!$K:$K,Faturamento!$L14,'Historico - FAT'!$I:$I,Faturamento!$J14,'Historico - FAT'!$G:$G,Faturamento!$H14)</f>
        <v>0</v>
      </c>
      <c r="AC14" s="31">
        <f>SUMIFS('Historico - FAT'!AL:AL,'Historico - FAT'!$K:$K,Faturamento!$L14,'Historico - FAT'!$I:$I,Faturamento!$J14,'Historico - FAT'!$G:$G,Faturamento!$H14)</f>
        <v>0</v>
      </c>
      <c r="AD14" s="31">
        <f>SUMIFS('Historico - FAT'!AM:AM,'Historico - FAT'!$K:$K,Faturamento!$L14,'Historico - FAT'!$I:$I,Faturamento!$J14,'Historico - FAT'!$G:$G,Faturamento!$H14)</f>
        <v>0</v>
      </c>
      <c r="AE14" s="27">
        <f>SUMIFS('Historico - FAT'!AN:AN,'Historico - FAT'!$K:$K,Faturamento!$L14,'Historico - FAT'!$I:$I,Faturamento!$J14,'Historico - FAT'!$G:$G,Faturamento!$H14)</f>
        <v>0</v>
      </c>
      <c r="AG14" s="24">
        <f t="shared" si="6"/>
        <v>1</v>
      </c>
      <c r="AH14" s="24">
        <f t="shared" si="7"/>
        <v>1</v>
      </c>
      <c r="AI14" s="24">
        <f t="shared" si="8"/>
        <v>1</v>
      </c>
    </row>
    <row r="15" spans="1:35" hidden="1" x14ac:dyDescent="0.3">
      <c r="A15" s="2" t="str">
        <f t="shared" si="3"/>
        <v>NÃO</v>
      </c>
      <c r="B15" s="2">
        <v>1000184670</v>
      </c>
      <c r="C15" s="2" t="s">
        <v>147</v>
      </c>
      <c r="D15" s="4">
        <v>1000186197</v>
      </c>
      <c r="E15" s="4" t="s">
        <v>166</v>
      </c>
      <c r="F15" s="2">
        <v>1000185288</v>
      </c>
      <c r="G15" s="2" t="s">
        <v>64</v>
      </c>
      <c r="H15" s="4">
        <v>1000189807</v>
      </c>
      <c r="I15" s="4" t="s">
        <v>81</v>
      </c>
      <c r="J15" s="2">
        <v>1000189749</v>
      </c>
      <c r="K15" s="2" t="s">
        <v>154</v>
      </c>
      <c r="L15" s="4" t="s">
        <v>21</v>
      </c>
      <c r="M15" s="4" t="str">
        <f t="shared" si="4"/>
        <v>1000184670100018619710001898071000189749NATURATTA</v>
      </c>
      <c r="N15" s="28">
        <f>N4*_xlfn.XLOOKUP($L15,'Balizador da Meta'!$B$4:$B$21,'Balizador da Meta'!$C$4:$C$21)</f>
        <v>150</v>
      </c>
      <c r="O15" s="28">
        <f>O4*_xlfn.XLOOKUP($L15,'Balizador da Meta'!$B$4:$B$21,'Balizador da Meta'!$C$4:$C$21)</f>
        <v>150</v>
      </c>
      <c r="P15" s="28">
        <f>P4*_xlfn.XLOOKUP($L15,'Balizador da Meta'!$B$4:$B$21,'Balizador da Meta'!$C$4:$C$21)</f>
        <v>150</v>
      </c>
      <c r="Q15" s="28">
        <f>Q4*_xlfn.XLOOKUP($L15,'Balizador da Meta'!$B$4:$B$21,'Balizador da Meta'!$C$4:$C$21)</f>
        <v>150</v>
      </c>
      <c r="R15" s="28">
        <f>R4*_xlfn.XLOOKUP($L15,'Balizador da Meta'!$B$4:$B$21,'Balizador da Meta'!$C$4:$C$21)</f>
        <v>150</v>
      </c>
      <c r="S15" s="28">
        <f>S4*_xlfn.XLOOKUP($L15,'Balizador da Meta'!$B$4:$B$21,'Balizador da Meta'!$C$4:$C$21)</f>
        <v>150</v>
      </c>
      <c r="T15" s="28">
        <f>T4*_xlfn.XLOOKUP($L15,'Balizador da Meta'!$B$4:$B$21,'Balizador da Meta'!$C$4:$C$21)</f>
        <v>150</v>
      </c>
      <c r="U15" s="28">
        <f>U4*_xlfn.XLOOKUP($L15,'Balizador da Meta'!$B$4:$B$21,'Balizador da Meta'!$C$4:$C$21)</f>
        <v>150</v>
      </c>
      <c r="V15" s="28">
        <f>V4*_xlfn.XLOOKUP($L15,'Balizador da Meta'!$B$4:$B$21,'Balizador da Meta'!$C$4:$C$21)</f>
        <v>150</v>
      </c>
      <c r="W15" s="28">
        <f>W4*_xlfn.XLOOKUP($L15,'Balizador da Meta'!$B$4:$B$21,'Balizador da Meta'!$C$4:$C$21)</f>
        <v>150</v>
      </c>
      <c r="X15" s="28">
        <f>X4*_xlfn.XLOOKUP($L15,'Balizador da Meta'!$B$4:$B$21,'Balizador da Meta'!$C$4:$C$21)</f>
        <v>150</v>
      </c>
      <c r="Y15" s="28">
        <f>Y4*_xlfn.XLOOKUP($L15,'Balizador da Meta'!$B$4:$B$21,'Balizador da Meta'!$C$4:$C$21)</f>
        <v>150</v>
      </c>
      <c r="Z15" s="30">
        <f t="shared" si="5"/>
        <v>1800</v>
      </c>
      <c r="AA15" s="29"/>
      <c r="AB15" s="31">
        <f>SUMIFS('Historico - FAT'!AK:AK,'Historico - FAT'!$K:$K,Faturamento!$L15,'Historico - FAT'!$I:$I,Faturamento!$J15,'Historico - FAT'!$G:$G,Faturamento!$H15)</f>
        <v>0</v>
      </c>
      <c r="AC15" s="31">
        <f>SUMIFS('Historico - FAT'!AL:AL,'Historico - FAT'!$K:$K,Faturamento!$L15,'Historico - FAT'!$I:$I,Faturamento!$J15,'Historico - FAT'!$G:$G,Faturamento!$H15)</f>
        <v>0</v>
      </c>
      <c r="AD15" s="31">
        <f>SUMIFS('Historico - FAT'!AM:AM,'Historico - FAT'!$K:$K,Faturamento!$L15,'Historico - FAT'!$I:$I,Faturamento!$J15,'Historico - FAT'!$G:$G,Faturamento!$H15)</f>
        <v>0</v>
      </c>
      <c r="AE15" s="27">
        <f>SUMIFS('Historico - FAT'!AN:AN,'Historico - FAT'!$K:$K,Faturamento!$L15,'Historico - FAT'!$I:$I,Faturamento!$J15,'Historico - FAT'!$G:$G,Faturamento!$H15)</f>
        <v>0</v>
      </c>
      <c r="AG15" s="24">
        <f t="shared" si="6"/>
        <v>1</v>
      </c>
      <c r="AH15" s="24">
        <f t="shared" si="7"/>
        <v>1</v>
      </c>
      <c r="AI15" s="24">
        <f t="shared" si="8"/>
        <v>1</v>
      </c>
    </row>
    <row r="16" spans="1:35" hidden="1" x14ac:dyDescent="0.3">
      <c r="A16" s="2" t="str">
        <f t="shared" si="3"/>
        <v>NÃO</v>
      </c>
      <c r="B16" s="2">
        <v>1000184670</v>
      </c>
      <c r="C16" s="2" t="s">
        <v>147</v>
      </c>
      <c r="D16" s="4">
        <v>1000186197</v>
      </c>
      <c r="E16" s="4" t="s">
        <v>166</v>
      </c>
      <c r="F16" s="2">
        <v>1000185288</v>
      </c>
      <c r="G16" s="2" t="s">
        <v>64</v>
      </c>
      <c r="H16" s="4">
        <v>1000189807</v>
      </c>
      <c r="I16" s="4" t="s">
        <v>81</v>
      </c>
      <c r="J16" s="2">
        <v>1000189749</v>
      </c>
      <c r="K16" s="2" t="s">
        <v>154</v>
      </c>
      <c r="L16" s="4" t="s">
        <v>20</v>
      </c>
      <c r="M16" s="4" t="str">
        <f t="shared" si="4"/>
        <v>1000184670100018619710001898071000189749REEMBALADOS</v>
      </c>
      <c r="N16" s="28">
        <f>N4*_xlfn.XLOOKUP($L16,'Balizador da Meta'!$B$4:$B$21,'Balizador da Meta'!$C$4:$C$21)</f>
        <v>120</v>
      </c>
      <c r="O16" s="28">
        <f>O4*_xlfn.XLOOKUP($L16,'Balizador da Meta'!$B$4:$B$21,'Balizador da Meta'!$C$4:$C$21)</f>
        <v>120</v>
      </c>
      <c r="P16" s="28">
        <f>P4*_xlfn.XLOOKUP($L16,'Balizador da Meta'!$B$4:$B$21,'Balizador da Meta'!$C$4:$C$21)</f>
        <v>120</v>
      </c>
      <c r="Q16" s="28">
        <f>Q4*_xlfn.XLOOKUP($L16,'Balizador da Meta'!$B$4:$B$21,'Balizador da Meta'!$C$4:$C$21)</f>
        <v>120</v>
      </c>
      <c r="R16" s="28">
        <f>R4*_xlfn.XLOOKUP($L16,'Balizador da Meta'!$B$4:$B$21,'Balizador da Meta'!$C$4:$C$21)</f>
        <v>120</v>
      </c>
      <c r="S16" s="28">
        <f>S4*_xlfn.XLOOKUP($L16,'Balizador da Meta'!$B$4:$B$21,'Balizador da Meta'!$C$4:$C$21)</f>
        <v>120</v>
      </c>
      <c r="T16" s="28">
        <f>T4*_xlfn.XLOOKUP($L16,'Balizador da Meta'!$B$4:$B$21,'Balizador da Meta'!$C$4:$C$21)</f>
        <v>120</v>
      </c>
      <c r="U16" s="28">
        <f>U4*_xlfn.XLOOKUP($L16,'Balizador da Meta'!$B$4:$B$21,'Balizador da Meta'!$C$4:$C$21)</f>
        <v>120</v>
      </c>
      <c r="V16" s="28">
        <f>V4*_xlfn.XLOOKUP($L16,'Balizador da Meta'!$B$4:$B$21,'Balizador da Meta'!$C$4:$C$21)</f>
        <v>120</v>
      </c>
      <c r="W16" s="28">
        <f>W4*_xlfn.XLOOKUP($L16,'Balizador da Meta'!$B$4:$B$21,'Balizador da Meta'!$C$4:$C$21)</f>
        <v>120</v>
      </c>
      <c r="X16" s="28">
        <f>X4*_xlfn.XLOOKUP($L16,'Balizador da Meta'!$B$4:$B$21,'Balizador da Meta'!$C$4:$C$21)</f>
        <v>120</v>
      </c>
      <c r="Y16" s="28">
        <f>Y4*_xlfn.XLOOKUP($L16,'Balizador da Meta'!$B$4:$B$21,'Balizador da Meta'!$C$4:$C$21)</f>
        <v>120</v>
      </c>
      <c r="Z16" s="30">
        <f t="shared" si="5"/>
        <v>1440</v>
      </c>
      <c r="AA16" s="29"/>
      <c r="AB16" s="31">
        <f>SUMIFS('Historico - FAT'!AK:AK,'Historico - FAT'!$K:$K,Faturamento!$L16,'Historico - FAT'!$I:$I,Faturamento!$J16,'Historico - FAT'!$G:$G,Faturamento!$H16)</f>
        <v>0</v>
      </c>
      <c r="AC16" s="31">
        <f>SUMIFS('Historico - FAT'!AL:AL,'Historico - FAT'!$K:$K,Faturamento!$L16,'Historico - FAT'!$I:$I,Faturamento!$J16,'Historico - FAT'!$G:$G,Faturamento!$H16)</f>
        <v>0</v>
      </c>
      <c r="AD16" s="31">
        <f>SUMIFS('Historico - FAT'!AM:AM,'Historico - FAT'!$K:$K,Faturamento!$L16,'Historico - FAT'!$I:$I,Faturamento!$J16,'Historico - FAT'!$G:$G,Faturamento!$H16)</f>
        <v>0</v>
      </c>
      <c r="AE16" s="27">
        <f>SUMIFS('Historico - FAT'!AN:AN,'Historico - FAT'!$K:$K,Faturamento!$L16,'Historico - FAT'!$I:$I,Faturamento!$J16,'Historico - FAT'!$G:$G,Faturamento!$H16)</f>
        <v>0</v>
      </c>
      <c r="AG16" s="24">
        <f t="shared" si="6"/>
        <v>1</v>
      </c>
      <c r="AH16" s="24">
        <f t="shared" si="7"/>
        <v>1</v>
      </c>
      <c r="AI16" s="24">
        <f t="shared" si="8"/>
        <v>1</v>
      </c>
    </row>
    <row r="17" spans="1:35" hidden="1" x14ac:dyDescent="0.3">
      <c r="A17" s="2" t="str">
        <f t="shared" si="3"/>
        <v>NÃO</v>
      </c>
      <c r="B17" s="2">
        <v>1000184670</v>
      </c>
      <c r="C17" s="2" t="s">
        <v>147</v>
      </c>
      <c r="D17" s="4">
        <v>1000186197</v>
      </c>
      <c r="E17" s="4" t="s">
        <v>166</v>
      </c>
      <c r="F17" s="2">
        <v>1000185288</v>
      </c>
      <c r="G17" s="2" t="s">
        <v>64</v>
      </c>
      <c r="H17" s="4">
        <v>1000189807</v>
      </c>
      <c r="I17" s="4" t="s">
        <v>81</v>
      </c>
      <c r="J17" s="2">
        <v>1000189749</v>
      </c>
      <c r="K17" s="2" t="s">
        <v>154</v>
      </c>
      <c r="L17" s="4" t="s">
        <v>22</v>
      </c>
      <c r="M17" s="4" t="str">
        <f t="shared" si="4"/>
        <v>1000184670100018619710001898071000189749S GLUTEN</v>
      </c>
      <c r="N17" s="28">
        <f>N4*_xlfn.XLOOKUP($L17,'Balizador da Meta'!$B$4:$B$21,'Balizador da Meta'!$C$4:$C$21)</f>
        <v>120</v>
      </c>
      <c r="O17" s="28">
        <f>O4*_xlfn.XLOOKUP($L17,'Balizador da Meta'!$B$4:$B$21,'Balizador da Meta'!$C$4:$C$21)</f>
        <v>120</v>
      </c>
      <c r="P17" s="28">
        <f>P4*_xlfn.XLOOKUP($L17,'Balizador da Meta'!$B$4:$B$21,'Balizador da Meta'!$C$4:$C$21)</f>
        <v>120</v>
      </c>
      <c r="Q17" s="28">
        <f>Q4*_xlfn.XLOOKUP($L17,'Balizador da Meta'!$B$4:$B$21,'Balizador da Meta'!$C$4:$C$21)</f>
        <v>120</v>
      </c>
      <c r="R17" s="28">
        <f>R4*_xlfn.XLOOKUP($L17,'Balizador da Meta'!$B$4:$B$21,'Balizador da Meta'!$C$4:$C$21)</f>
        <v>120</v>
      </c>
      <c r="S17" s="28">
        <f>S4*_xlfn.XLOOKUP($L17,'Balizador da Meta'!$B$4:$B$21,'Balizador da Meta'!$C$4:$C$21)</f>
        <v>120</v>
      </c>
      <c r="T17" s="28">
        <f>T4*_xlfn.XLOOKUP($L17,'Balizador da Meta'!$B$4:$B$21,'Balizador da Meta'!$C$4:$C$21)</f>
        <v>120</v>
      </c>
      <c r="U17" s="28">
        <f>U4*_xlfn.XLOOKUP($L17,'Balizador da Meta'!$B$4:$B$21,'Balizador da Meta'!$C$4:$C$21)</f>
        <v>120</v>
      </c>
      <c r="V17" s="28">
        <f>V4*_xlfn.XLOOKUP($L17,'Balizador da Meta'!$B$4:$B$21,'Balizador da Meta'!$C$4:$C$21)</f>
        <v>120</v>
      </c>
      <c r="W17" s="28">
        <f>W4*_xlfn.XLOOKUP($L17,'Balizador da Meta'!$B$4:$B$21,'Balizador da Meta'!$C$4:$C$21)</f>
        <v>120</v>
      </c>
      <c r="X17" s="28">
        <f>X4*_xlfn.XLOOKUP($L17,'Balizador da Meta'!$B$4:$B$21,'Balizador da Meta'!$C$4:$C$21)</f>
        <v>120</v>
      </c>
      <c r="Y17" s="28">
        <f>Y4*_xlfn.XLOOKUP($L17,'Balizador da Meta'!$B$4:$B$21,'Balizador da Meta'!$C$4:$C$21)</f>
        <v>120</v>
      </c>
      <c r="Z17" s="30">
        <f t="shared" si="5"/>
        <v>1440</v>
      </c>
      <c r="AA17" s="29"/>
      <c r="AB17" s="31">
        <f>SUMIFS('Historico - FAT'!AK:AK,'Historico - FAT'!$K:$K,Faturamento!$L17,'Historico - FAT'!$I:$I,Faturamento!$J17,'Historico - FAT'!$G:$G,Faturamento!$H17)</f>
        <v>0</v>
      </c>
      <c r="AC17" s="31">
        <f>SUMIFS('Historico - FAT'!AL:AL,'Historico - FAT'!$K:$K,Faturamento!$L17,'Historico - FAT'!$I:$I,Faturamento!$J17,'Historico - FAT'!$G:$G,Faturamento!$H17)</f>
        <v>0</v>
      </c>
      <c r="AD17" s="31">
        <f>SUMIFS('Historico - FAT'!AM:AM,'Historico - FAT'!$K:$K,Faturamento!$L17,'Historico - FAT'!$I:$I,Faturamento!$J17,'Historico - FAT'!$G:$G,Faturamento!$H17)</f>
        <v>0</v>
      </c>
      <c r="AE17" s="27">
        <f>SUMIFS('Historico - FAT'!AN:AN,'Historico - FAT'!$K:$K,Faturamento!$L17,'Historico - FAT'!$I:$I,Faturamento!$J17,'Historico - FAT'!$G:$G,Faturamento!$H17)</f>
        <v>0</v>
      </c>
      <c r="AG17" s="24">
        <f t="shared" si="6"/>
        <v>1</v>
      </c>
      <c r="AH17" s="24">
        <f t="shared" si="7"/>
        <v>1</v>
      </c>
      <c r="AI17" s="24">
        <f t="shared" si="8"/>
        <v>1</v>
      </c>
    </row>
    <row r="18" spans="1:35" hidden="1" x14ac:dyDescent="0.3">
      <c r="A18" s="2" t="str">
        <f t="shared" si="3"/>
        <v>NÃO</v>
      </c>
      <c r="B18" s="2">
        <v>1000184670</v>
      </c>
      <c r="C18" s="2" t="s">
        <v>147</v>
      </c>
      <c r="D18" s="4">
        <v>1000186197</v>
      </c>
      <c r="E18" s="4" t="s">
        <v>166</v>
      </c>
      <c r="F18" s="2">
        <v>1000185288</v>
      </c>
      <c r="G18" s="2" t="s">
        <v>64</v>
      </c>
      <c r="H18" s="4">
        <v>1000189807</v>
      </c>
      <c r="I18" s="4" t="s">
        <v>81</v>
      </c>
      <c r="J18" s="2">
        <v>1000189749</v>
      </c>
      <c r="K18" s="2" t="s">
        <v>154</v>
      </c>
      <c r="L18" s="4" t="s">
        <v>23</v>
      </c>
      <c r="M18" s="4" t="str">
        <f t="shared" si="4"/>
        <v>1000184670100018619710001898071000189749SABORES DO CAMPO</v>
      </c>
      <c r="N18" s="28">
        <f>N4*_xlfn.XLOOKUP($L18,'Balizador da Meta'!$B$4:$B$21,'Balizador da Meta'!$C$4:$C$21)</f>
        <v>0</v>
      </c>
      <c r="O18" s="28">
        <f>O4*_xlfn.XLOOKUP($L18,'Balizador da Meta'!$B$4:$B$21,'Balizador da Meta'!$C$4:$C$21)</f>
        <v>0</v>
      </c>
      <c r="P18" s="28">
        <f>P4*_xlfn.XLOOKUP($L18,'Balizador da Meta'!$B$4:$B$21,'Balizador da Meta'!$C$4:$C$21)</f>
        <v>0</v>
      </c>
      <c r="Q18" s="28">
        <f>Q4*_xlfn.XLOOKUP($L18,'Balizador da Meta'!$B$4:$B$21,'Balizador da Meta'!$C$4:$C$21)</f>
        <v>0</v>
      </c>
      <c r="R18" s="28">
        <f>R4*_xlfn.XLOOKUP($L18,'Balizador da Meta'!$B$4:$B$21,'Balizador da Meta'!$C$4:$C$21)</f>
        <v>0</v>
      </c>
      <c r="S18" s="28">
        <f>S4*_xlfn.XLOOKUP($L18,'Balizador da Meta'!$B$4:$B$21,'Balizador da Meta'!$C$4:$C$21)</f>
        <v>0</v>
      </c>
      <c r="T18" s="28">
        <f>T4*_xlfn.XLOOKUP($L18,'Balizador da Meta'!$B$4:$B$21,'Balizador da Meta'!$C$4:$C$21)</f>
        <v>0</v>
      </c>
      <c r="U18" s="28">
        <f>U4*_xlfn.XLOOKUP($L18,'Balizador da Meta'!$B$4:$B$21,'Balizador da Meta'!$C$4:$C$21)</f>
        <v>0</v>
      </c>
      <c r="V18" s="28">
        <f>V4*_xlfn.XLOOKUP($L18,'Balizador da Meta'!$B$4:$B$21,'Balizador da Meta'!$C$4:$C$21)</f>
        <v>0</v>
      </c>
      <c r="W18" s="28">
        <f>W4*_xlfn.XLOOKUP($L18,'Balizador da Meta'!$B$4:$B$21,'Balizador da Meta'!$C$4:$C$21)</f>
        <v>0</v>
      </c>
      <c r="X18" s="28">
        <f>X4*_xlfn.XLOOKUP($L18,'Balizador da Meta'!$B$4:$B$21,'Balizador da Meta'!$C$4:$C$21)</f>
        <v>0</v>
      </c>
      <c r="Y18" s="28">
        <f>Y4*_xlfn.XLOOKUP($L18,'Balizador da Meta'!$B$4:$B$21,'Balizador da Meta'!$C$4:$C$21)</f>
        <v>0</v>
      </c>
      <c r="Z18" s="30">
        <f t="shared" si="5"/>
        <v>0</v>
      </c>
      <c r="AA18" s="29"/>
      <c r="AB18" s="31">
        <f>SUMIFS('Historico - FAT'!AK:AK,'Historico - FAT'!$K:$K,Faturamento!$L18,'Historico - FAT'!$I:$I,Faturamento!$J18,'Historico - FAT'!$G:$G,Faturamento!$H18)</f>
        <v>0</v>
      </c>
      <c r="AC18" s="31">
        <f>SUMIFS('Historico - FAT'!AL:AL,'Historico - FAT'!$K:$K,Faturamento!$L18,'Historico - FAT'!$I:$I,Faturamento!$J18,'Historico - FAT'!$G:$G,Faturamento!$H18)</f>
        <v>0</v>
      </c>
      <c r="AD18" s="31">
        <f>SUMIFS('Historico - FAT'!AM:AM,'Historico - FAT'!$K:$K,Faturamento!$L18,'Historico - FAT'!$I:$I,Faturamento!$J18,'Historico - FAT'!$G:$G,Faturamento!$H18)</f>
        <v>0</v>
      </c>
      <c r="AE18" s="27">
        <f>SUMIFS('Historico - FAT'!AN:AN,'Historico - FAT'!$K:$K,Faturamento!$L18,'Historico - FAT'!$I:$I,Faturamento!$J18,'Historico - FAT'!$G:$G,Faturamento!$H18)</f>
        <v>0</v>
      </c>
      <c r="AG18" s="24" t="str">
        <f t="shared" si="6"/>
        <v/>
      </c>
      <c r="AH18" s="24" t="str">
        <f t="shared" si="7"/>
        <v/>
      </c>
      <c r="AI18" s="24" t="str">
        <f t="shared" si="8"/>
        <v/>
      </c>
    </row>
    <row r="19" spans="1:35" hidden="1" x14ac:dyDescent="0.3">
      <c r="A19" s="2" t="str">
        <f t="shared" si="3"/>
        <v>NÃO</v>
      </c>
      <c r="B19" s="2">
        <v>1000184670</v>
      </c>
      <c r="C19" s="2" t="s">
        <v>147</v>
      </c>
      <c r="D19" s="4">
        <v>1000186197</v>
      </c>
      <c r="E19" s="4" t="s">
        <v>166</v>
      </c>
      <c r="F19" s="2">
        <v>1000185288</v>
      </c>
      <c r="G19" s="2" t="s">
        <v>64</v>
      </c>
      <c r="H19" s="4">
        <v>1000189807</v>
      </c>
      <c r="I19" s="4" t="s">
        <v>81</v>
      </c>
      <c r="J19" s="2">
        <v>1000189749</v>
      </c>
      <c r="K19" s="2" t="s">
        <v>154</v>
      </c>
      <c r="L19" s="4" t="s">
        <v>28</v>
      </c>
      <c r="M19" s="4" t="str">
        <f t="shared" si="4"/>
        <v>1000184670100018619710001898071000189749SAL</v>
      </c>
      <c r="N19" s="28">
        <f>N4*_xlfn.XLOOKUP($L19,'Balizador da Meta'!$B$4:$B$21,'Balizador da Meta'!$C$4:$C$21)</f>
        <v>60</v>
      </c>
      <c r="O19" s="28">
        <f>O4*_xlfn.XLOOKUP($L19,'Balizador da Meta'!$B$4:$B$21,'Balizador da Meta'!$C$4:$C$21)</f>
        <v>60</v>
      </c>
      <c r="P19" s="28">
        <f>P4*_xlfn.XLOOKUP($L19,'Balizador da Meta'!$B$4:$B$21,'Balizador da Meta'!$C$4:$C$21)</f>
        <v>60</v>
      </c>
      <c r="Q19" s="28">
        <f>Q4*_xlfn.XLOOKUP($L19,'Balizador da Meta'!$B$4:$B$21,'Balizador da Meta'!$C$4:$C$21)</f>
        <v>60</v>
      </c>
      <c r="R19" s="28">
        <f>R4*_xlfn.XLOOKUP($L19,'Balizador da Meta'!$B$4:$B$21,'Balizador da Meta'!$C$4:$C$21)</f>
        <v>60</v>
      </c>
      <c r="S19" s="28">
        <f>S4*_xlfn.XLOOKUP($L19,'Balizador da Meta'!$B$4:$B$21,'Balizador da Meta'!$C$4:$C$21)</f>
        <v>60</v>
      </c>
      <c r="T19" s="28">
        <f>T4*_xlfn.XLOOKUP($L19,'Balizador da Meta'!$B$4:$B$21,'Balizador da Meta'!$C$4:$C$21)</f>
        <v>60</v>
      </c>
      <c r="U19" s="28">
        <f>U4*_xlfn.XLOOKUP($L19,'Balizador da Meta'!$B$4:$B$21,'Balizador da Meta'!$C$4:$C$21)</f>
        <v>60</v>
      </c>
      <c r="V19" s="28">
        <f>V4*_xlfn.XLOOKUP($L19,'Balizador da Meta'!$B$4:$B$21,'Balizador da Meta'!$C$4:$C$21)</f>
        <v>60</v>
      </c>
      <c r="W19" s="28">
        <f>W4*_xlfn.XLOOKUP($L19,'Balizador da Meta'!$B$4:$B$21,'Balizador da Meta'!$C$4:$C$21)</f>
        <v>60</v>
      </c>
      <c r="X19" s="28">
        <f>X4*_xlfn.XLOOKUP($L19,'Balizador da Meta'!$B$4:$B$21,'Balizador da Meta'!$C$4:$C$21)</f>
        <v>60</v>
      </c>
      <c r="Y19" s="28">
        <f>Y4*_xlfn.XLOOKUP($L19,'Balizador da Meta'!$B$4:$B$21,'Balizador da Meta'!$C$4:$C$21)</f>
        <v>60</v>
      </c>
      <c r="Z19" s="30">
        <f t="shared" si="5"/>
        <v>720</v>
      </c>
      <c r="AA19" s="29"/>
      <c r="AB19" s="31">
        <f>SUMIFS('Historico - FAT'!AK:AK,'Historico - FAT'!$K:$K,Faturamento!$L19,'Historico - FAT'!$I:$I,Faturamento!$J19,'Historico - FAT'!$G:$G,Faturamento!$H19)</f>
        <v>0</v>
      </c>
      <c r="AC19" s="31">
        <f>SUMIFS('Historico - FAT'!AL:AL,'Historico - FAT'!$K:$K,Faturamento!$L19,'Historico - FAT'!$I:$I,Faturamento!$J19,'Historico - FAT'!$G:$G,Faturamento!$H19)</f>
        <v>0</v>
      </c>
      <c r="AD19" s="31">
        <f>SUMIFS('Historico - FAT'!AM:AM,'Historico - FAT'!$K:$K,Faturamento!$L19,'Historico - FAT'!$I:$I,Faturamento!$J19,'Historico - FAT'!$G:$G,Faturamento!$H19)</f>
        <v>0</v>
      </c>
      <c r="AE19" s="27">
        <f>SUMIFS('Historico - FAT'!AN:AN,'Historico - FAT'!$K:$K,Faturamento!$L19,'Historico - FAT'!$I:$I,Faturamento!$J19,'Historico - FAT'!$G:$G,Faturamento!$H19)</f>
        <v>0</v>
      </c>
      <c r="AG19" s="24">
        <f t="shared" si="6"/>
        <v>1</v>
      </c>
      <c r="AH19" s="24">
        <f t="shared" si="7"/>
        <v>1</v>
      </c>
      <c r="AI19" s="24">
        <f t="shared" si="8"/>
        <v>1</v>
      </c>
    </row>
    <row r="20" spans="1:35" hidden="1" x14ac:dyDescent="0.3">
      <c r="A20" s="2" t="str">
        <f t="shared" si="3"/>
        <v>NÃO</v>
      </c>
      <c r="B20" s="2">
        <v>1000184670</v>
      </c>
      <c r="C20" s="2" t="s">
        <v>147</v>
      </c>
      <c r="D20" s="4">
        <v>1000186197</v>
      </c>
      <c r="E20" s="4" t="s">
        <v>166</v>
      </c>
      <c r="F20" s="2">
        <v>1000185288</v>
      </c>
      <c r="G20" s="2" t="s">
        <v>64</v>
      </c>
      <c r="H20" s="4">
        <v>1000189807</v>
      </c>
      <c r="I20" s="4" t="s">
        <v>81</v>
      </c>
      <c r="J20" s="2">
        <v>1000189749</v>
      </c>
      <c r="K20" s="2" t="s">
        <v>154</v>
      </c>
      <c r="L20" s="4" t="s">
        <v>26</v>
      </c>
      <c r="M20" s="4" t="str">
        <f t="shared" si="4"/>
        <v>1000184670100018619710001898071000189749SOULPRO</v>
      </c>
      <c r="N20" s="28">
        <f>N4*_xlfn.XLOOKUP($L20,'Balizador da Meta'!$B$4:$B$21,'Balizador da Meta'!$C$4:$C$21)</f>
        <v>180</v>
      </c>
      <c r="O20" s="28">
        <f>O4*_xlfn.XLOOKUP($L20,'Balizador da Meta'!$B$4:$B$21,'Balizador da Meta'!$C$4:$C$21)</f>
        <v>180</v>
      </c>
      <c r="P20" s="28">
        <f>P4*_xlfn.XLOOKUP($L20,'Balizador da Meta'!$B$4:$B$21,'Balizador da Meta'!$C$4:$C$21)</f>
        <v>180</v>
      </c>
      <c r="Q20" s="28">
        <f>Q4*_xlfn.XLOOKUP($L20,'Balizador da Meta'!$B$4:$B$21,'Balizador da Meta'!$C$4:$C$21)</f>
        <v>180</v>
      </c>
      <c r="R20" s="28">
        <f>R4*_xlfn.XLOOKUP($L20,'Balizador da Meta'!$B$4:$B$21,'Balizador da Meta'!$C$4:$C$21)</f>
        <v>180</v>
      </c>
      <c r="S20" s="28">
        <f>S4*_xlfn.XLOOKUP($L20,'Balizador da Meta'!$B$4:$B$21,'Balizador da Meta'!$C$4:$C$21)</f>
        <v>180</v>
      </c>
      <c r="T20" s="28">
        <f>T4*_xlfn.XLOOKUP($L20,'Balizador da Meta'!$B$4:$B$21,'Balizador da Meta'!$C$4:$C$21)</f>
        <v>180</v>
      </c>
      <c r="U20" s="28">
        <f>U4*_xlfn.XLOOKUP($L20,'Balizador da Meta'!$B$4:$B$21,'Balizador da Meta'!$C$4:$C$21)</f>
        <v>180</v>
      </c>
      <c r="V20" s="28">
        <f>V4*_xlfn.XLOOKUP($L20,'Balizador da Meta'!$B$4:$B$21,'Balizador da Meta'!$C$4:$C$21)</f>
        <v>180</v>
      </c>
      <c r="W20" s="28">
        <f>W4*_xlfn.XLOOKUP($L20,'Balizador da Meta'!$B$4:$B$21,'Balizador da Meta'!$C$4:$C$21)</f>
        <v>180</v>
      </c>
      <c r="X20" s="28">
        <f>X4*_xlfn.XLOOKUP($L20,'Balizador da Meta'!$B$4:$B$21,'Balizador da Meta'!$C$4:$C$21)</f>
        <v>180</v>
      </c>
      <c r="Y20" s="28">
        <f>Y4*_xlfn.XLOOKUP($L20,'Balizador da Meta'!$B$4:$B$21,'Balizador da Meta'!$C$4:$C$21)</f>
        <v>180</v>
      </c>
      <c r="Z20" s="30">
        <f t="shared" si="5"/>
        <v>2160</v>
      </c>
      <c r="AA20" s="29"/>
      <c r="AB20" s="31">
        <f>SUMIFS('Historico - FAT'!AK:AK,'Historico - FAT'!$K:$K,Faturamento!$L20,'Historico - FAT'!$I:$I,Faturamento!$J20,'Historico - FAT'!$G:$G,Faturamento!$H20)</f>
        <v>0</v>
      </c>
      <c r="AC20" s="31">
        <f>SUMIFS('Historico - FAT'!AL:AL,'Historico - FAT'!$K:$K,Faturamento!$L20,'Historico - FAT'!$I:$I,Faturamento!$J20,'Historico - FAT'!$G:$G,Faturamento!$H20)</f>
        <v>0</v>
      </c>
      <c r="AD20" s="31">
        <f>SUMIFS('Historico - FAT'!AM:AM,'Historico - FAT'!$K:$K,Faturamento!$L20,'Historico - FAT'!$I:$I,Faturamento!$J20,'Historico - FAT'!$G:$G,Faturamento!$H20)</f>
        <v>0</v>
      </c>
      <c r="AE20" s="27">
        <f>SUMIFS('Historico - FAT'!AN:AN,'Historico - FAT'!$K:$K,Faturamento!$L20,'Historico - FAT'!$I:$I,Faturamento!$J20,'Historico - FAT'!$G:$G,Faturamento!$H20)</f>
        <v>0</v>
      </c>
      <c r="AG20" s="24">
        <f t="shared" si="6"/>
        <v>1</v>
      </c>
      <c r="AH20" s="24">
        <f t="shared" si="7"/>
        <v>1</v>
      </c>
      <c r="AI20" s="24">
        <f t="shared" si="8"/>
        <v>1</v>
      </c>
    </row>
    <row r="21" spans="1:35" hidden="1" x14ac:dyDescent="0.3">
      <c r="A21" s="2" t="str">
        <f t="shared" si="3"/>
        <v>NÃO</v>
      </c>
      <c r="B21" s="2">
        <v>1000184670</v>
      </c>
      <c r="C21" s="2" t="s">
        <v>147</v>
      </c>
      <c r="D21" s="4">
        <v>1000186197</v>
      </c>
      <c r="E21" s="4" t="s">
        <v>166</v>
      </c>
      <c r="F21" s="2">
        <v>1000185288</v>
      </c>
      <c r="G21" s="2" t="s">
        <v>64</v>
      </c>
      <c r="H21" s="4">
        <v>1000189807</v>
      </c>
      <c r="I21" s="4" t="s">
        <v>81</v>
      </c>
      <c r="J21" s="2">
        <v>1000189749</v>
      </c>
      <c r="K21" s="2" t="s">
        <v>154</v>
      </c>
      <c r="L21" s="4" t="s">
        <v>27</v>
      </c>
      <c r="M21" s="4" t="str">
        <f t="shared" si="4"/>
        <v>1000184670100018619710001898071000189749TAMARA</v>
      </c>
      <c r="N21" s="28">
        <f>N4*_xlfn.XLOOKUP($L21,'Balizador da Meta'!$B$4:$B$21,'Balizador da Meta'!$C$4:$C$21)</f>
        <v>240</v>
      </c>
      <c r="O21" s="28">
        <f>O4*_xlfn.XLOOKUP($L21,'Balizador da Meta'!$B$4:$B$21,'Balizador da Meta'!$C$4:$C$21)</f>
        <v>240</v>
      </c>
      <c r="P21" s="28">
        <f>P4*_xlfn.XLOOKUP($L21,'Balizador da Meta'!$B$4:$B$21,'Balizador da Meta'!$C$4:$C$21)</f>
        <v>240</v>
      </c>
      <c r="Q21" s="28">
        <f>Q4*_xlfn.XLOOKUP($L21,'Balizador da Meta'!$B$4:$B$21,'Balizador da Meta'!$C$4:$C$21)</f>
        <v>240</v>
      </c>
      <c r="R21" s="28">
        <f>R4*_xlfn.XLOOKUP($L21,'Balizador da Meta'!$B$4:$B$21,'Balizador da Meta'!$C$4:$C$21)</f>
        <v>240</v>
      </c>
      <c r="S21" s="28">
        <f>S4*_xlfn.XLOOKUP($L21,'Balizador da Meta'!$B$4:$B$21,'Balizador da Meta'!$C$4:$C$21)</f>
        <v>240</v>
      </c>
      <c r="T21" s="28">
        <f>T4*_xlfn.XLOOKUP($L21,'Balizador da Meta'!$B$4:$B$21,'Balizador da Meta'!$C$4:$C$21)</f>
        <v>240</v>
      </c>
      <c r="U21" s="28">
        <f>U4*_xlfn.XLOOKUP($L21,'Balizador da Meta'!$B$4:$B$21,'Balizador da Meta'!$C$4:$C$21)</f>
        <v>240</v>
      </c>
      <c r="V21" s="28">
        <f>V4*_xlfn.XLOOKUP($L21,'Balizador da Meta'!$B$4:$B$21,'Balizador da Meta'!$C$4:$C$21)</f>
        <v>240</v>
      </c>
      <c r="W21" s="28">
        <f>W4*_xlfn.XLOOKUP($L21,'Balizador da Meta'!$B$4:$B$21,'Balizador da Meta'!$C$4:$C$21)</f>
        <v>240</v>
      </c>
      <c r="X21" s="28">
        <f>X4*_xlfn.XLOOKUP($L21,'Balizador da Meta'!$B$4:$B$21,'Balizador da Meta'!$C$4:$C$21)</f>
        <v>240</v>
      </c>
      <c r="Y21" s="28">
        <f>Y4*_xlfn.XLOOKUP($L21,'Balizador da Meta'!$B$4:$B$21,'Balizador da Meta'!$C$4:$C$21)</f>
        <v>240</v>
      </c>
      <c r="Z21" s="30">
        <f t="shared" si="5"/>
        <v>2880</v>
      </c>
      <c r="AA21" s="29"/>
      <c r="AB21" s="31">
        <f>SUMIFS('Historico - FAT'!AK:AK,'Historico - FAT'!$K:$K,Faturamento!$L21,'Historico - FAT'!$I:$I,Faturamento!$J21,'Historico - FAT'!$G:$G,Faturamento!$H21)</f>
        <v>0</v>
      </c>
      <c r="AC21" s="31">
        <f>SUMIFS('Historico - FAT'!AL:AL,'Historico - FAT'!$K:$K,Faturamento!$L21,'Historico - FAT'!$I:$I,Faturamento!$J21,'Historico - FAT'!$G:$G,Faturamento!$H21)</f>
        <v>0</v>
      </c>
      <c r="AD21" s="31">
        <f>SUMIFS('Historico - FAT'!AM:AM,'Historico - FAT'!$K:$K,Faturamento!$L21,'Historico - FAT'!$I:$I,Faturamento!$J21,'Historico - FAT'!$G:$G,Faturamento!$H21)</f>
        <v>0</v>
      </c>
      <c r="AE21" s="27">
        <f>SUMIFS('Historico - FAT'!AN:AN,'Historico - FAT'!$K:$K,Faturamento!$L21,'Historico - FAT'!$I:$I,Faturamento!$J21,'Historico - FAT'!$G:$G,Faturamento!$H21)</f>
        <v>0</v>
      </c>
      <c r="AG21" s="24">
        <f t="shared" si="6"/>
        <v>1</v>
      </c>
      <c r="AH21" s="24">
        <f t="shared" si="7"/>
        <v>1</v>
      </c>
      <c r="AI21" s="24">
        <f t="shared" si="8"/>
        <v>1</v>
      </c>
    </row>
    <row r="22" spans="1:35" hidden="1" x14ac:dyDescent="0.3">
      <c r="A22" s="2" t="str">
        <f t="shared" si="3"/>
        <v>NÃO</v>
      </c>
      <c r="B22" s="2">
        <v>1000184670</v>
      </c>
      <c r="C22" s="2" t="s">
        <v>147</v>
      </c>
      <c r="D22" s="4">
        <v>1000186197</v>
      </c>
      <c r="E22" s="4" t="s">
        <v>166</v>
      </c>
      <c r="F22" s="2">
        <v>1000185288</v>
      </c>
      <c r="G22" s="2" t="s">
        <v>64</v>
      </c>
      <c r="H22" s="4">
        <v>1000189807</v>
      </c>
      <c r="I22" s="4" t="s">
        <v>81</v>
      </c>
      <c r="J22" s="2">
        <v>1000189749</v>
      </c>
      <c r="K22" s="2" t="s">
        <v>154</v>
      </c>
      <c r="L22" s="4" t="s">
        <v>25</v>
      </c>
      <c r="M22" s="4" t="str">
        <f t="shared" si="4"/>
        <v>1000184670100018619710001898071000189749VICCIO</v>
      </c>
      <c r="N22" s="28">
        <f>N4*_xlfn.XLOOKUP($L22,'Balizador da Meta'!$B$4:$B$21,'Balizador da Meta'!$C$4:$C$21)</f>
        <v>90</v>
      </c>
      <c r="O22" s="28">
        <f>O4*_xlfn.XLOOKUP($L22,'Balizador da Meta'!$B$4:$B$21,'Balizador da Meta'!$C$4:$C$21)</f>
        <v>90</v>
      </c>
      <c r="P22" s="28">
        <f>P4*_xlfn.XLOOKUP($L22,'Balizador da Meta'!$B$4:$B$21,'Balizador da Meta'!$C$4:$C$21)</f>
        <v>90</v>
      </c>
      <c r="Q22" s="28">
        <f>Q4*_xlfn.XLOOKUP($L22,'Balizador da Meta'!$B$4:$B$21,'Balizador da Meta'!$C$4:$C$21)</f>
        <v>90</v>
      </c>
      <c r="R22" s="28">
        <f>R4*_xlfn.XLOOKUP($L22,'Balizador da Meta'!$B$4:$B$21,'Balizador da Meta'!$C$4:$C$21)</f>
        <v>90</v>
      </c>
      <c r="S22" s="28">
        <f>S4*_xlfn.XLOOKUP($L22,'Balizador da Meta'!$B$4:$B$21,'Balizador da Meta'!$C$4:$C$21)</f>
        <v>90</v>
      </c>
      <c r="T22" s="28">
        <f>T4*_xlfn.XLOOKUP($L22,'Balizador da Meta'!$B$4:$B$21,'Balizador da Meta'!$C$4:$C$21)</f>
        <v>90</v>
      </c>
      <c r="U22" s="28">
        <f>U4*_xlfn.XLOOKUP($L22,'Balizador da Meta'!$B$4:$B$21,'Balizador da Meta'!$C$4:$C$21)</f>
        <v>90</v>
      </c>
      <c r="V22" s="28">
        <f>V4*_xlfn.XLOOKUP($L22,'Balizador da Meta'!$B$4:$B$21,'Balizador da Meta'!$C$4:$C$21)</f>
        <v>90</v>
      </c>
      <c r="W22" s="28">
        <f>W4*_xlfn.XLOOKUP($L22,'Balizador da Meta'!$B$4:$B$21,'Balizador da Meta'!$C$4:$C$21)</f>
        <v>90</v>
      </c>
      <c r="X22" s="28">
        <f>X4*_xlfn.XLOOKUP($L22,'Balizador da Meta'!$B$4:$B$21,'Balizador da Meta'!$C$4:$C$21)</f>
        <v>90</v>
      </c>
      <c r="Y22" s="28">
        <f>Y4*_xlfn.XLOOKUP($L22,'Balizador da Meta'!$B$4:$B$21,'Balizador da Meta'!$C$4:$C$21)</f>
        <v>90</v>
      </c>
      <c r="Z22" s="30">
        <f t="shared" si="5"/>
        <v>1080</v>
      </c>
      <c r="AA22" s="29"/>
      <c r="AB22" s="31">
        <f>SUMIFS('Historico - FAT'!AK:AK,'Historico - FAT'!$K:$K,Faturamento!$L22,'Historico - FAT'!$I:$I,Faturamento!$J22,'Historico - FAT'!$G:$G,Faturamento!$H22)</f>
        <v>0</v>
      </c>
      <c r="AC22" s="31">
        <f>SUMIFS('Historico - FAT'!AL:AL,'Historico - FAT'!$K:$K,Faturamento!$L22,'Historico - FAT'!$I:$I,Faturamento!$J22,'Historico - FAT'!$G:$G,Faturamento!$H22)</f>
        <v>0</v>
      </c>
      <c r="AD22" s="31">
        <f>SUMIFS('Historico - FAT'!AM:AM,'Historico - FAT'!$K:$K,Faturamento!$L22,'Historico - FAT'!$I:$I,Faturamento!$J22,'Historico - FAT'!$G:$G,Faturamento!$H22)</f>
        <v>0</v>
      </c>
      <c r="AE22" s="27">
        <f>SUMIFS('Historico - FAT'!AN:AN,'Historico - FAT'!$K:$K,Faturamento!$L22,'Historico - FAT'!$I:$I,Faturamento!$J22,'Historico - FAT'!$G:$G,Faturamento!$H22)</f>
        <v>0</v>
      </c>
      <c r="AG22" s="24">
        <f t="shared" si="6"/>
        <v>1</v>
      </c>
      <c r="AH22" s="24">
        <f t="shared" si="7"/>
        <v>1</v>
      </c>
      <c r="AI22" s="24">
        <f t="shared" si="8"/>
        <v>1</v>
      </c>
    </row>
    <row r="23" spans="1:35" x14ac:dyDescent="0.3">
      <c r="A23" s="2" t="str">
        <f t="shared" si="3"/>
        <v>SIM</v>
      </c>
      <c r="B23" s="2">
        <v>1000184670</v>
      </c>
      <c r="C23" s="2" t="s">
        <v>147</v>
      </c>
      <c r="D23" s="4">
        <v>1000186197</v>
      </c>
      <c r="E23" s="4" t="s">
        <v>166</v>
      </c>
      <c r="F23" s="2">
        <v>1000198600</v>
      </c>
      <c r="G23" s="2" t="s">
        <v>148</v>
      </c>
      <c r="H23" s="4">
        <v>1000198601</v>
      </c>
      <c r="I23" s="4" t="s">
        <v>149</v>
      </c>
      <c r="J23" s="2">
        <v>1000189750</v>
      </c>
      <c r="K23" s="2" t="s">
        <v>136</v>
      </c>
      <c r="L23" s="4" t="s">
        <v>124</v>
      </c>
      <c r="M23" s="4" t="str">
        <f t="shared" si="4"/>
        <v>100018467010001861971000198601100018975001. TOTAL</v>
      </c>
      <c r="N23" s="28">
        <f>SUMIFS(Positivação!L:L,Positivação!$I:$I,Faturamento!$J23,Positivação!$G:$G,Faturamento!$H23)*SUMIFS(Positivação!$Z:$Z,Positivação!$I:$I,Faturamento!$J23,Positivação!$G:$G,Faturamento!$H23)</f>
        <v>6000</v>
      </c>
      <c r="O23" s="28">
        <f>SUMIFS(Positivação!M:M,Positivação!$I:$I,Faturamento!$J23,Positivação!$G:$G,Faturamento!$H23)*SUMIFS(Positivação!$Z:$Z,Positivação!$I:$I,Faturamento!$J23,Positivação!$G:$G,Faturamento!$H23)</f>
        <v>6000</v>
      </c>
      <c r="P23" s="28">
        <f>SUMIFS(Positivação!N:N,Positivação!$I:$I,Faturamento!$J23,Positivação!$G:$G,Faturamento!$H23)*SUMIFS(Positivação!$Z:$Z,Positivação!$I:$I,Faturamento!$J23,Positivação!$G:$G,Faturamento!$H23)</f>
        <v>7500</v>
      </c>
      <c r="Q23" s="28">
        <f>SUMIFS(Positivação!O:O,Positivação!$I:$I,Faturamento!$J23,Positivação!$G:$G,Faturamento!$H23)*SUMIFS(Positivação!$Z:$Z,Positivação!$I:$I,Faturamento!$J23,Positivação!$G:$G,Faturamento!$H23)</f>
        <v>7500</v>
      </c>
      <c r="R23" s="28">
        <f>SUMIFS(Positivação!P:P,Positivação!$I:$I,Faturamento!$J23,Positivação!$G:$G,Faturamento!$H23)*SUMIFS(Positivação!$Z:$Z,Positivação!$I:$I,Faturamento!$J23,Positivação!$G:$G,Faturamento!$H23)</f>
        <v>7500</v>
      </c>
      <c r="S23" s="28">
        <f>SUMIFS(Positivação!Q:Q,Positivação!$I:$I,Faturamento!$J23,Positivação!$G:$G,Faturamento!$H23)*SUMIFS(Positivação!$Z:$Z,Positivação!$I:$I,Faturamento!$J23,Positivação!$G:$G,Faturamento!$H23)</f>
        <v>7500</v>
      </c>
      <c r="T23" s="28">
        <f>SUMIFS(Positivação!R:R,Positivação!$I:$I,Faturamento!$J23,Positivação!$G:$G,Faturamento!$H23)*SUMIFS(Positivação!$Z:$Z,Positivação!$I:$I,Faturamento!$J23,Positivação!$G:$G,Faturamento!$H23)</f>
        <v>9000</v>
      </c>
      <c r="U23" s="28">
        <f>SUMIFS(Positivação!S:S,Positivação!$I:$I,Faturamento!$J23,Positivação!$G:$G,Faturamento!$H23)*SUMIFS(Positivação!$Z:$Z,Positivação!$I:$I,Faturamento!$J23,Positivação!$G:$G,Faturamento!$H23)</f>
        <v>9000</v>
      </c>
      <c r="V23" s="28">
        <f>SUMIFS(Positivação!T:T,Positivação!$I:$I,Faturamento!$J23,Positivação!$G:$G,Faturamento!$H23)*SUMIFS(Positivação!$Z:$Z,Positivação!$I:$I,Faturamento!$J23,Positivação!$G:$G,Faturamento!$H23)</f>
        <v>9000</v>
      </c>
      <c r="W23" s="28">
        <f>SUMIFS(Positivação!U:U,Positivação!$I:$I,Faturamento!$J23,Positivação!$G:$G,Faturamento!$H23)*SUMIFS(Positivação!$Z:$Z,Positivação!$I:$I,Faturamento!$J23,Positivação!$G:$G,Faturamento!$H23)</f>
        <v>10500</v>
      </c>
      <c r="X23" s="28">
        <f>SUMIFS(Positivação!V:V,Positivação!$I:$I,Faturamento!$J23,Positivação!$G:$G,Faturamento!$H23)*SUMIFS(Positivação!$Z:$Z,Positivação!$I:$I,Faturamento!$J23,Positivação!$G:$G,Faturamento!$H23)</f>
        <v>10500</v>
      </c>
      <c r="Y23" s="28">
        <f>SUMIFS(Positivação!W:W,Positivação!$I:$I,Faturamento!$J23,Positivação!$G:$G,Faturamento!$H23)*SUMIFS(Positivação!$Z:$Z,Positivação!$I:$I,Faturamento!$J23,Positivação!$G:$G,Faturamento!$H23)</f>
        <v>10500</v>
      </c>
      <c r="Z23" s="28">
        <f>SUM(Z24:Z41)</f>
        <v>100500</v>
      </c>
      <c r="AA23" s="29"/>
      <c r="AB23" s="28">
        <f t="shared" ref="AB23:AE23" si="9">SUM(AB24:AB41)</f>
        <v>0</v>
      </c>
      <c r="AC23" s="28">
        <f t="shared" si="9"/>
        <v>272.21333333333331</v>
      </c>
      <c r="AD23" s="28">
        <f t="shared" si="9"/>
        <v>544.42666666666662</v>
      </c>
      <c r="AE23" s="28">
        <f t="shared" si="9"/>
        <v>326.65600000000001</v>
      </c>
      <c r="AG23" s="24">
        <f t="shared" si="6"/>
        <v>1</v>
      </c>
      <c r="AH23" s="24">
        <f t="shared" si="7"/>
        <v>0.97407492063492063</v>
      </c>
      <c r="AI23" s="24">
        <f t="shared" si="8"/>
        <v>0.94814984126984125</v>
      </c>
    </row>
    <row r="24" spans="1:35" hidden="1" x14ac:dyDescent="0.3">
      <c r="A24" s="2" t="str">
        <f t="shared" si="3"/>
        <v>NÃO</v>
      </c>
      <c r="B24" s="2">
        <v>1000184670</v>
      </c>
      <c r="C24" s="2" t="s">
        <v>147</v>
      </c>
      <c r="D24" s="4">
        <v>1000186197</v>
      </c>
      <c r="E24" s="4" t="s">
        <v>166</v>
      </c>
      <c r="F24" s="2">
        <v>1000198600</v>
      </c>
      <c r="G24" s="2" t="s">
        <v>148</v>
      </c>
      <c r="H24" s="4">
        <v>1000198601</v>
      </c>
      <c r="I24" s="4" t="s">
        <v>149</v>
      </c>
      <c r="J24" s="2">
        <v>1000189750</v>
      </c>
      <c r="K24" s="2" t="s">
        <v>136</v>
      </c>
      <c r="L24" s="4" t="s">
        <v>13</v>
      </c>
      <c r="M24" s="4" t="str">
        <f t="shared" si="4"/>
        <v>1000184670100018619710001986011000189750BISCOITO</v>
      </c>
      <c r="N24" s="28">
        <f>N23*_xlfn.XLOOKUP($L24,'Balizador da Meta'!$B$4:$B$21,'Balizador da Meta'!$C$4:$C$21)</f>
        <v>420.00000000000006</v>
      </c>
      <c r="O24" s="28">
        <f>O23*_xlfn.XLOOKUP($L24,'Balizador da Meta'!$B$4:$B$21,'Balizador da Meta'!$C$4:$C$21)</f>
        <v>420.00000000000006</v>
      </c>
      <c r="P24" s="28">
        <f>P23*_xlfn.XLOOKUP($L24,'Balizador da Meta'!$B$4:$B$21,'Balizador da Meta'!$C$4:$C$21)</f>
        <v>525</v>
      </c>
      <c r="Q24" s="28">
        <f>Q23*_xlfn.XLOOKUP($L24,'Balizador da Meta'!$B$4:$B$21,'Balizador da Meta'!$C$4:$C$21)</f>
        <v>525</v>
      </c>
      <c r="R24" s="28">
        <f>R23*_xlfn.XLOOKUP($L24,'Balizador da Meta'!$B$4:$B$21,'Balizador da Meta'!$C$4:$C$21)</f>
        <v>525</v>
      </c>
      <c r="S24" s="28">
        <f>S23*_xlfn.XLOOKUP($L24,'Balizador da Meta'!$B$4:$B$21,'Balizador da Meta'!$C$4:$C$21)</f>
        <v>525</v>
      </c>
      <c r="T24" s="28">
        <f>T23*_xlfn.XLOOKUP($L24,'Balizador da Meta'!$B$4:$B$21,'Balizador da Meta'!$C$4:$C$21)</f>
        <v>630.00000000000011</v>
      </c>
      <c r="U24" s="28">
        <f>U23*_xlfn.XLOOKUP($L24,'Balizador da Meta'!$B$4:$B$21,'Balizador da Meta'!$C$4:$C$21)</f>
        <v>630.00000000000011</v>
      </c>
      <c r="V24" s="28">
        <f>V23*_xlfn.XLOOKUP($L24,'Balizador da Meta'!$B$4:$B$21,'Balizador da Meta'!$C$4:$C$21)</f>
        <v>630.00000000000011</v>
      </c>
      <c r="W24" s="28">
        <f>W23*_xlfn.XLOOKUP($L24,'Balizador da Meta'!$B$4:$B$21,'Balizador da Meta'!$C$4:$C$21)</f>
        <v>735.00000000000011</v>
      </c>
      <c r="X24" s="28">
        <f>X23*_xlfn.XLOOKUP($L24,'Balizador da Meta'!$B$4:$B$21,'Balizador da Meta'!$C$4:$C$21)</f>
        <v>735.00000000000011</v>
      </c>
      <c r="Y24" s="28">
        <f>Y23*_xlfn.XLOOKUP($L24,'Balizador da Meta'!$B$4:$B$21,'Balizador da Meta'!$C$4:$C$21)</f>
        <v>735.00000000000011</v>
      </c>
      <c r="Z24" s="30">
        <f t="shared" ref="Z24:Z41" si="10">SUM(N24:Y24)</f>
        <v>7035</v>
      </c>
      <c r="AA24" s="29"/>
      <c r="AB24" s="31">
        <f>SUMIFS('Historico - FAT'!AK:AK,'Historico - FAT'!$K:$K,Faturamento!$L24,'Historico - FAT'!$I:$I,Faturamento!$J24,'Historico - FAT'!$G:$G,Faturamento!$H24)</f>
        <v>0</v>
      </c>
      <c r="AC24" s="31">
        <f>SUMIFS('Historico - FAT'!AL:AL,'Historico - FAT'!$K:$K,Faturamento!$L24,'Historico - FAT'!$I:$I,Faturamento!$J24,'Historico - FAT'!$G:$G,Faturamento!$H24)</f>
        <v>0</v>
      </c>
      <c r="AD24" s="31">
        <f>SUMIFS('Historico - FAT'!AM:AM,'Historico - FAT'!$K:$K,Faturamento!$L24,'Historico - FAT'!$I:$I,Faturamento!$J24,'Historico - FAT'!$G:$G,Faturamento!$H24)</f>
        <v>0</v>
      </c>
      <c r="AE24" s="27">
        <f>SUMIFS('Historico - FAT'!AN:AN,'Historico - FAT'!$K:$K,Faturamento!$L24,'Historico - FAT'!$I:$I,Faturamento!$J24,'Historico - FAT'!$G:$G,Faturamento!$H24)</f>
        <v>0</v>
      </c>
      <c r="AG24" s="24">
        <f t="shared" si="6"/>
        <v>1</v>
      </c>
      <c r="AH24" s="24">
        <f t="shared" si="7"/>
        <v>1</v>
      </c>
      <c r="AI24" s="24">
        <f t="shared" si="8"/>
        <v>1</v>
      </c>
    </row>
    <row r="25" spans="1:35" hidden="1" x14ac:dyDescent="0.3">
      <c r="A25" s="2" t="str">
        <f t="shared" si="3"/>
        <v>NÃO</v>
      </c>
      <c r="B25" s="2">
        <v>1000184670</v>
      </c>
      <c r="C25" s="2" t="s">
        <v>147</v>
      </c>
      <c r="D25" s="4">
        <v>1000186197</v>
      </c>
      <c r="E25" s="4" t="s">
        <v>166</v>
      </c>
      <c r="F25" s="2">
        <v>1000198600</v>
      </c>
      <c r="G25" s="2" t="s">
        <v>148</v>
      </c>
      <c r="H25" s="4">
        <v>1000198601</v>
      </c>
      <c r="I25" s="4" t="s">
        <v>149</v>
      </c>
      <c r="J25" s="2">
        <v>1000189750</v>
      </c>
      <c r="K25" s="2" t="s">
        <v>136</v>
      </c>
      <c r="L25" s="4" t="s">
        <v>14</v>
      </c>
      <c r="M25" s="4" t="str">
        <f t="shared" si="4"/>
        <v>1000184670100018619710001986011000189750CHOCOLATES</v>
      </c>
      <c r="N25" s="28">
        <f>N23*_xlfn.XLOOKUP($L25,'Balizador da Meta'!$B$4:$B$21,'Balizador da Meta'!$C$4:$C$21)</f>
        <v>420.00000000000006</v>
      </c>
      <c r="O25" s="28">
        <f>O23*_xlfn.XLOOKUP($L25,'Balizador da Meta'!$B$4:$B$21,'Balizador da Meta'!$C$4:$C$21)</f>
        <v>420.00000000000006</v>
      </c>
      <c r="P25" s="28">
        <f>P23*_xlfn.XLOOKUP($L25,'Balizador da Meta'!$B$4:$B$21,'Balizador da Meta'!$C$4:$C$21)</f>
        <v>525</v>
      </c>
      <c r="Q25" s="28">
        <f>Q23*_xlfn.XLOOKUP($L25,'Balizador da Meta'!$B$4:$B$21,'Balizador da Meta'!$C$4:$C$21)</f>
        <v>525</v>
      </c>
      <c r="R25" s="28">
        <f>R23*_xlfn.XLOOKUP($L25,'Balizador da Meta'!$B$4:$B$21,'Balizador da Meta'!$C$4:$C$21)</f>
        <v>525</v>
      </c>
      <c r="S25" s="28">
        <f>S23*_xlfn.XLOOKUP($L25,'Balizador da Meta'!$B$4:$B$21,'Balizador da Meta'!$C$4:$C$21)</f>
        <v>525</v>
      </c>
      <c r="T25" s="28">
        <f>T23*_xlfn.XLOOKUP($L25,'Balizador da Meta'!$B$4:$B$21,'Balizador da Meta'!$C$4:$C$21)</f>
        <v>630.00000000000011</v>
      </c>
      <c r="U25" s="28">
        <f>U23*_xlfn.XLOOKUP($L25,'Balizador da Meta'!$B$4:$B$21,'Balizador da Meta'!$C$4:$C$21)</f>
        <v>630.00000000000011</v>
      </c>
      <c r="V25" s="28">
        <f>V23*_xlfn.XLOOKUP($L25,'Balizador da Meta'!$B$4:$B$21,'Balizador da Meta'!$C$4:$C$21)</f>
        <v>630.00000000000011</v>
      </c>
      <c r="W25" s="28">
        <f>W23*_xlfn.XLOOKUP($L25,'Balizador da Meta'!$B$4:$B$21,'Balizador da Meta'!$C$4:$C$21)</f>
        <v>735.00000000000011</v>
      </c>
      <c r="X25" s="28">
        <f>X23*_xlfn.XLOOKUP($L25,'Balizador da Meta'!$B$4:$B$21,'Balizador da Meta'!$C$4:$C$21)</f>
        <v>735.00000000000011</v>
      </c>
      <c r="Y25" s="28">
        <f>Y23*_xlfn.XLOOKUP($L25,'Balizador da Meta'!$B$4:$B$21,'Balizador da Meta'!$C$4:$C$21)</f>
        <v>735.00000000000011</v>
      </c>
      <c r="Z25" s="30">
        <f t="shared" si="10"/>
        <v>7035</v>
      </c>
      <c r="AA25" s="29"/>
      <c r="AB25" s="31">
        <f>SUMIFS('Historico - FAT'!AK:AK,'Historico - FAT'!$K:$K,Faturamento!$L25,'Historico - FAT'!$I:$I,Faturamento!$J25,'Historico - FAT'!$G:$G,Faturamento!$H25)</f>
        <v>0</v>
      </c>
      <c r="AC25" s="31">
        <f>SUMIFS('Historico - FAT'!AL:AL,'Historico - FAT'!$K:$K,Faturamento!$L25,'Historico - FAT'!$I:$I,Faturamento!$J25,'Historico - FAT'!$G:$G,Faturamento!$H25)</f>
        <v>14.108333333333334</v>
      </c>
      <c r="AD25" s="31">
        <f>SUMIFS('Historico - FAT'!AM:AM,'Historico - FAT'!$K:$K,Faturamento!$L25,'Historico - FAT'!$I:$I,Faturamento!$J25,'Historico - FAT'!$G:$G,Faturamento!$H25)</f>
        <v>28.216666666666669</v>
      </c>
      <c r="AE25" s="27">
        <f>SUMIFS('Historico - FAT'!AN:AN,'Historico - FAT'!$K:$K,Faturamento!$L25,'Historico - FAT'!$I:$I,Faturamento!$J25,'Historico - FAT'!$G:$G,Faturamento!$H25)</f>
        <v>16.93</v>
      </c>
      <c r="AG25" s="24">
        <f t="shared" si="6"/>
        <v>1</v>
      </c>
      <c r="AH25" s="24">
        <f t="shared" si="7"/>
        <v>0.9808049886621315</v>
      </c>
      <c r="AI25" s="24">
        <f t="shared" si="8"/>
        <v>0.96160997732426301</v>
      </c>
    </row>
    <row r="26" spans="1:35" hidden="1" x14ac:dyDescent="0.3">
      <c r="A26" s="2" t="str">
        <f t="shared" si="3"/>
        <v>NÃO</v>
      </c>
      <c r="B26" s="2">
        <v>1000184670</v>
      </c>
      <c r="C26" s="2" t="s">
        <v>147</v>
      </c>
      <c r="D26" s="4">
        <v>1000186197</v>
      </c>
      <c r="E26" s="4" t="s">
        <v>166</v>
      </c>
      <c r="F26" s="2">
        <v>1000198600</v>
      </c>
      <c r="G26" s="2" t="s">
        <v>148</v>
      </c>
      <c r="H26" s="4">
        <v>1000198601</v>
      </c>
      <c r="I26" s="4" t="s">
        <v>149</v>
      </c>
      <c r="J26" s="2">
        <v>1000189750</v>
      </c>
      <c r="K26" s="2" t="s">
        <v>136</v>
      </c>
      <c r="L26" s="4" t="s">
        <v>16</v>
      </c>
      <c r="M26" s="4" t="str">
        <f t="shared" si="4"/>
        <v>1000184670100018619710001986011000189750DISNEY</v>
      </c>
      <c r="N26" s="28">
        <f>N23*_xlfn.XLOOKUP($L26,'Balizador da Meta'!$B$4:$B$21,'Balizador da Meta'!$C$4:$C$21)</f>
        <v>480</v>
      </c>
      <c r="O26" s="28">
        <f>O23*_xlfn.XLOOKUP($L26,'Balizador da Meta'!$B$4:$B$21,'Balizador da Meta'!$C$4:$C$21)</f>
        <v>480</v>
      </c>
      <c r="P26" s="28">
        <f>P23*_xlfn.XLOOKUP($L26,'Balizador da Meta'!$B$4:$B$21,'Balizador da Meta'!$C$4:$C$21)</f>
        <v>600</v>
      </c>
      <c r="Q26" s="28">
        <f>Q23*_xlfn.XLOOKUP($L26,'Balizador da Meta'!$B$4:$B$21,'Balizador da Meta'!$C$4:$C$21)</f>
        <v>600</v>
      </c>
      <c r="R26" s="28">
        <f>R23*_xlfn.XLOOKUP($L26,'Balizador da Meta'!$B$4:$B$21,'Balizador da Meta'!$C$4:$C$21)</f>
        <v>600</v>
      </c>
      <c r="S26" s="28">
        <f>S23*_xlfn.XLOOKUP($L26,'Balizador da Meta'!$B$4:$B$21,'Balizador da Meta'!$C$4:$C$21)</f>
        <v>600</v>
      </c>
      <c r="T26" s="28">
        <f>T23*_xlfn.XLOOKUP($L26,'Balizador da Meta'!$B$4:$B$21,'Balizador da Meta'!$C$4:$C$21)</f>
        <v>720</v>
      </c>
      <c r="U26" s="28">
        <f>U23*_xlfn.XLOOKUP($L26,'Balizador da Meta'!$B$4:$B$21,'Balizador da Meta'!$C$4:$C$21)</f>
        <v>720</v>
      </c>
      <c r="V26" s="28">
        <f>V23*_xlfn.XLOOKUP($L26,'Balizador da Meta'!$B$4:$B$21,'Balizador da Meta'!$C$4:$C$21)</f>
        <v>720</v>
      </c>
      <c r="W26" s="28">
        <f>W23*_xlfn.XLOOKUP($L26,'Balizador da Meta'!$B$4:$B$21,'Balizador da Meta'!$C$4:$C$21)</f>
        <v>840</v>
      </c>
      <c r="X26" s="28">
        <f>X23*_xlfn.XLOOKUP($L26,'Balizador da Meta'!$B$4:$B$21,'Balizador da Meta'!$C$4:$C$21)</f>
        <v>840</v>
      </c>
      <c r="Y26" s="28">
        <f>Y23*_xlfn.XLOOKUP($L26,'Balizador da Meta'!$B$4:$B$21,'Balizador da Meta'!$C$4:$C$21)</f>
        <v>840</v>
      </c>
      <c r="Z26" s="30">
        <f t="shared" si="10"/>
        <v>8040</v>
      </c>
      <c r="AA26" s="29"/>
      <c r="AB26" s="31">
        <f>SUMIFS('Historico - FAT'!AK:AK,'Historico - FAT'!$K:$K,Faturamento!$L26,'Historico - FAT'!$I:$I,Faturamento!$J26,'Historico - FAT'!$G:$G,Faturamento!$H26)</f>
        <v>0</v>
      </c>
      <c r="AC26" s="31">
        <f>SUMIFS('Historico - FAT'!AL:AL,'Historico - FAT'!$K:$K,Faturamento!$L26,'Historico - FAT'!$I:$I,Faturamento!$J26,'Historico - FAT'!$G:$G,Faturamento!$H26)</f>
        <v>22.1525</v>
      </c>
      <c r="AD26" s="31">
        <f>SUMIFS('Historico - FAT'!AM:AM,'Historico - FAT'!$K:$K,Faturamento!$L26,'Historico - FAT'!$I:$I,Faturamento!$J26,'Historico - FAT'!$G:$G,Faturamento!$H26)</f>
        <v>44.305</v>
      </c>
      <c r="AE26" s="27">
        <f>SUMIFS('Historico - FAT'!AN:AN,'Historico - FAT'!$K:$K,Faturamento!$L26,'Historico - FAT'!$I:$I,Faturamento!$J26,'Historico - FAT'!$G:$G,Faturamento!$H26)</f>
        <v>26.582999999999998</v>
      </c>
      <c r="AG26" s="24">
        <f t="shared" si="6"/>
        <v>1</v>
      </c>
      <c r="AH26" s="24">
        <f t="shared" si="7"/>
        <v>0.97362797619047614</v>
      </c>
      <c r="AI26" s="24">
        <f t="shared" si="8"/>
        <v>0.94725595238095239</v>
      </c>
    </row>
    <row r="27" spans="1:35" hidden="1" x14ac:dyDescent="0.3">
      <c r="A27" s="2" t="str">
        <f t="shared" si="3"/>
        <v>NÃO</v>
      </c>
      <c r="B27" s="2">
        <v>1000184670</v>
      </c>
      <c r="C27" s="2" t="s">
        <v>147</v>
      </c>
      <c r="D27" s="4">
        <v>1000186197</v>
      </c>
      <c r="E27" s="4" t="s">
        <v>166</v>
      </c>
      <c r="F27" s="2">
        <v>1000198600</v>
      </c>
      <c r="G27" s="2" t="s">
        <v>148</v>
      </c>
      <c r="H27" s="4">
        <v>1000198601</v>
      </c>
      <c r="I27" s="4" t="s">
        <v>149</v>
      </c>
      <c r="J27" s="2">
        <v>1000189750</v>
      </c>
      <c r="K27" s="2" t="s">
        <v>136</v>
      </c>
      <c r="L27" s="4" t="s">
        <v>15</v>
      </c>
      <c r="M27" s="4" t="str">
        <f t="shared" si="4"/>
        <v>1000184670100018619710001986011000189750DOCES</v>
      </c>
      <c r="N27" s="28">
        <f>N23*_xlfn.XLOOKUP($L27,'Balizador da Meta'!$B$4:$B$21,'Balizador da Meta'!$C$4:$C$21)</f>
        <v>540</v>
      </c>
      <c r="O27" s="28">
        <f>O23*_xlfn.XLOOKUP($L27,'Balizador da Meta'!$B$4:$B$21,'Balizador da Meta'!$C$4:$C$21)</f>
        <v>540</v>
      </c>
      <c r="P27" s="28">
        <f>P23*_xlfn.XLOOKUP($L27,'Balizador da Meta'!$B$4:$B$21,'Balizador da Meta'!$C$4:$C$21)</f>
        <v>675</v>
      </c>
      <c r="Q27" s="28">
        <f>Q23*_xlfn.XLOOKUP($L27,'Balizador da Meta'!$B$4:$B$21,'Balizador da Meta'!$C$4:$C$21)</f>
        <v>675</v>
      </c>
      <c r="R27" s="28">
        <f>R23*_xlfn.XLOOKUP($L27,'Balizador da Meta'!$B$4:$B$21,'Balizador da Meta'!$C$4:$C$21)</f>
        <v>675</v>
      </c>
      <c r="S27" s="28">
        <f>S23*_xlfn.XLOOKUP($L27,'Balizador da Meta'!$B$4:$B$21,'Balizador da Meta'!$C$4:$C$21)</f>
        <v>675</v>
      </c>
      <c r="T27" s="28">
        <f>T23*_xlfn.XLOOKUP($L27,'Balizador da Meta'!$B$4:$B$21,'Balizador da Meta'!$C$4:$C$21)</f>
        <v>810</v>
      </c>
      <c r="U27" s="28">
        <f>U23*_xlfn.XLOOKUP($L27,'Balizador da Meta'!$B$4:$B$21,'Balizador da Meta'!$C$4:$C$21)</f>
        <v>810</v>
      </c>
      <c r="V27" s="28">
        <f>V23*_xlfn.XLOOKUP($L27,'Balizador da Meta'!$B$4:$B$21,'Balizador da Meta'!$C$4:$C$21)</f>
        <v>810</v>
      </c>
      <c r="W27" s="28">
        <f>W23*_xlfn.XLOOKUP($L27,'Balizador da Meta'!$B$4:$B$21,'Balizador da Meta'!$C$4:$C$21)</f>
        <v>945</v>
      </c>
      <c r="X27" s="28">
        <f>X23*_xlfn.XLOOKUP($L27,'Balizador da Meta'!$B$4:$B$21,'Balizador da Meta'!$C$4:$C$21)</f>
        <v>945</v>
      </c>
      <c r="Y27" s="28">
        <f>Y23*_xlfn.XLOOKUP($L27,'Balizador da Meta'!$B$4:$B$21,'Balizador da Meta'!$C$4:$C$21)</f>
        <v>945</v>
      </c>
      <c r="Z27" s="30">
        <f t="shared" si="10"/>
        <v>9045</v>
      </c>
      <c r="AA27" s="29"/>
      <c r="AB27" s="31">
        <f>SUMIFS('Historico - FAT'!AK:AK,'Historico - FAT'!$K:$K,Faturamento!$L27,'Historico - FAT'!$I:$I,Faturamento!$J27,'Historico - FAT'!$G:$G,Faturamento!$H27)</f>
        <v>0</v>
      </c>
      <c r="AC27" s="31">
        <f>SUMIFS('Historico - FAT'!AL:AL,'Historico - FAT'!$K:$K,Faturamento!$L27,'Historico - FAT'!$I:$I,Faturamento!$J27,'Historico - FAT'!$G:$G,Faturamento!$H27)</f>
        <v>3.5258333333333334</v>
      </c>
      <c r="AD27" s="31">
        <f>SUMIFS('Historico - FAT'!AM:AM,'Historico - FAT'!$K:$K,Faturamento!$L27,'Historico - FAT'!$I:$I,Faturamento!$J27,'Historico - FAT'!$G:$G,Faturamento!$H27)</f>
        <v>7.0516666666666667</v>
      </c>
      <c r="AE27" s="27">
        <f>SUMIFS('Historico - FAT'!AN:AN,'Historico - FAT'!$K:$K,Faturamento!$L27,'Historico - FAT'!$I:$I,Faturamento!$J27,'Historico - FAT'!$G:$G,Faturamento!$H27)</f>
        <v>4.2309999999999999</v>
      </c>
      <c r="AG27" s="24">
        <f t="shared" si="6"/>
        <v>1</v>
      </c>
      <c r="AH27" s="24">
        <f t="shared" si="7"/>
        <v>0.9962689594356261</v>
      </c>
      <c r="AI27" s="24">
        <f t="shared" si="8"/>
        <v>0.9925379188712522</v>
      </c>
    </row>
    <row r="28" spans="1:35" hidden="1" x14ac:dyDescent="0.3">
      <c r="A28" s="2" t="str">
        <f t="shared" si="3"/>
        <v>NÃO</v>
      </c>
      <c r="B28" s="2">
        <v>1000184670</v>
      </c>
      <c r="C28" s="2" t="s">
        <v>147</v>
      </c>
      <c r="D28" s="4">
        <v>1000186197</v>
      </c>
      <c r="E28" s="4" t="s">
        <v>166</v>
      </c>
      <c r="F28" s="2">
        <v>1000198600</v>
      </c>
      <c r="G28" s="2" t="s">
        <v>148</v>
      </c>
      <c r="H28" s="4">
        <v>1000198601</v>
      </c>
      <c r="I28" s="4" t="s">
        <v>149</v>
      </c>
      <c r="J28" s="2">
        <v>1000189750</v>
      </c>
      <c r="K28" s="2" t="s">
        <v>136</v>
      </c>
      <c r="L28" s="4" t="s">
        <v>33</v>
      </c>
      <c r="M28" s="4" t="str">
        <f t="shared" si="4"/>
        <v>1000184670100018619710001986011000189750FOOD SERVICE</v>
      </c>
      <c r="N28" s="28">
        <f>N23*_xlfn.XLOOKUP($L28,'Balizador da Meta'!$B$4:$B$21,'Balizador da Meta'!$C$4:$C$21)</f>
        <v>0</v>
      </c>
      <c r="O28" s="28">
        <f>O23*_xlfn.XLOOKUP($L28,'Balizador da Meta'!$B$4:$B$21,'Balizador da Meta'!$C$4:$C$21)</f>
        <v>0</v>
      </c>
      <c r="P28" s="28">
        <f>P23*_xlfn.XLOOKUP($L28,'Balizador da Meta'!$B$4:$B$21,'Balizador da Meta'!$C$4:$C$21)</f>
        <v>0</v>
      </c>
      <c r="Q28" s="28">
        <f>Q23*_xlfn.XLOOKUP($L28,'Balizador da Meta'!$B$4:$B$21,'Balizador da Meta'!$C$4:$C$21)</f>
        <v>0</v>
      </c>
      <c r="R28" s="28">
        <f>R23*_xlfn.XLOOKUP($L28,'Balizador da Meta'!$B$4:$B$21,'Balizador da Meta'!$C$4:$C$21)</f>
        <v>0</v>
      </c>
      <c r="S28" s="28">
        <f>S23*_xlfn.XLOOKUP($L28,'Balizador da Meta'!$B$4:$B$21,'Balizador da Meta'!$C$4:$C$21)</f>
        <v>0</v>
      </c>
      <c r="T28" s="28">
        <f>T23*_xlfn.XLOOKUP($L28,'Balizador da Meta'!$B$4:$B$21,'Balizador da Meta'!$C$4:$C$21)</f>
        <v>0</v>
      </c>
      <c r="U28" s="28">
        <f>U23*_xlfn.XLOOKUP($L28,'Balizador da Meta'!$B$4:$B$21,'Balizador da Meta'!$C$4:$C$21)</f>
        <v>0</v>
      </c>
      <c r="V28" s="28">
        <f>V23*_xlfn.XLOOKUP($L28,'Balizador da Meta'!$B$4:$B$21,'Balizador da Meta'!$C$4:$C$21)</f>
        <v>0</v>
      </c>
      <c r="W28" s="28">
        <f>W23*_xlfn.XLOOKUP($L28,'Balizador da Meta'!$B$4:$B$21,'Balizador da Meta'!$C$4:$C$21)</f>
        <v>0</v>
      </c>
      <c r="X28" s="28">
        <f>X23*_xlfn.XLOOKUP($L28,'Balizador da Meta'!$B$4:$B$21,'Balizador da Meta'!$C$4:$C$21)</f>
        <v>0</v>
      </c>
      <c r="Y28" s="28">
        <f>Y23*_xlfn.XLOOKUP($L28,'Balizador da Meta'!$B$4:$B$21,'Balizador da Meta'!$C$4:$C$21)</f>
        <v>0</v>
      </c>
      <c r="Z28" s="30">
        <f t="shared" si="10"/>
        <v>0</v>
      </c>
      <c r="AA28" s="29"/>
      <c r="AB28" s="31">
        <f>SUMIFS('Historico - FAT'!AK:AK,'Historico - FAT'!$K:$K,Faturamento!$L28,'Historico - FAT'!$I:$I,Faturamento!$J28,'Historico - FAT'!$G:$G,Faturamento!$H28)</f>
        <v>0</v>
      </c>
      <c r="AC28" s="31">
        <f>SUMIFS('Historico - FAT'!AL:AL,'Historico - FAT'!$K:$K,Faturamento!$L28,'Historico - FAT'!$I:$I,Faturamento!$J28,'Historico - FAT'!$G:$G,Faturamento!$H28)</f>
        <v>0</v>
      </c>
      <c r="AD28" s="31">
        <f>SUMIFS('Historico - FAT'!AM:AM,'Historico - FAT'!$K:$K,Faturamento!$L28,'Historico - FAT'!$I:$I,Faturamento!$J28,'Historico - FAT'!$G:$G,Faturamento!$H28)</f>
        <v>0</v>
      </c>
      <c r="AE28" s="27">
        <f>SUMIFS('Historico - FAT'!AN:AN,'Historico - FAT'!$K:$K,Faturamento!$L28,'Historico - FAT'!$I:$I,Faturamento!$J28,'Historico - FAT'!$G:$G,Faturamento!$H28)</f>
        <v>0</v>
      </c>
      <c r="AG28" s="24" t="str">
        <f t="shared" si="6"/>
        <v/>
      </c>
      <c r="AH28" s="24" t="str">
        <f t="shared" si="7"/>
        <v/>
      </c>
      <c r="AI28" s="24" t="str">
        <f t="shared" si="8"/>
        <v/>
      </c>
    </row>
    <row r="29" spans="1:35" hidden="1" x14ac:dyDescent="0.3">
      <c r="A29" s="2" t="str">
        <f t="shared" si="3"/>
        <v>NÃO</v>
      </c>
      <c r="B29" s="2">
        <v>1000184670</v>
      </c>
      <c r="C29" s="2" t="s">
        <v>147</v>
      </c>
      <c r="D29" s="4">
        <v>1000186197</v>
      </c>
      <c r="E29" s="4" t="s">
        <v>166</v>
      </c>
      <c r="F29" s="2">
        <v>1000198600</v>
      </c>
      <c r="G29" s="2" t="s">
        <v>148</v>
      </c>
      <c r="H29" s="4">
        <v>1000198601</v>
      </c>
      <c r="I29" s="4" t="s">
        <v>149</v>
      </c>
      <c r="J29" s="2">
        <v>1000189750</v>
      </c>
      <c r="K29" s="2" t="s">
        <v>136</v>
      </c>
      <c r="L29" s="4" t="s">
        <v>19</v>
      </c>
      <c r="M29" s="4" t="str">
        <f t="shared" si="4"/>
        <v>1000184670100018619710001986011000189750GELEIA</v>
      </c>
      <c r="N29" s="28">
        <f>N23*_xlfn.XLOOKUP($L29,'Balizador da Meta'!$B$4:$B$21,'Balizador da Meta'!$C$4:$C$21)</f>
        <v>119.99999999999999</v>
      </c>
      <c r="O29" s="28">
        <f>O23*_xlfn.XLOOKUP($L29,'Balizador da Meta'!$B$4:$B$21,'Balizador da Meta'!$C$4:$C$21)</f>
        <v>119.99999999999999</v>
      </c>
      <c r="P29" s="28">
        <f>P23*_xlfn.XLOOKUP($L29,'Balizador da Meta'!$B$4:$B$21,'Balizador da Meta'!$C$4:$C$21)</f>
        <v>149.99999999999997</v>
      </c>
      <c r="Q29" s="28">
        <f>Q23*_xlfn.XLOOKUP($L29,'Balizador da Meta'!$B$4:$B$21,'Balizador da Meta'!$C$4:$C$21)</f>
        <v>149.99999999999997</v>
      </c>
      <c r="R29" s="28">
        <f>R23*_xlfn.XLOOKUP($L29,'Balizador da Meta'!$B$4:$B$21,'Balizador da Meta'!$C$4:$C$21)</f>
        <v>149.99999999999997</v>
      </c>
      <c r="S29" s="28">
        <f>S23*_xlfn.XLOOKUP($L29,'Balizador da Meta'!$B$4:$B$21,'Balizador da Meta'!$C$4:$C$21)</f>
        <v>149.99999999999997</v>
      </c>
      <c r="T29" s="28">
        <f>T23*_xlfn.XLOOKUP($L29,'Balizador da Meta'!$B$4:$B$21,'Balizador da Meta'!$C$4:$C$21)</f>
        <v>179.99999999999997</v>
      </c>
      <c r="U29" s="28">
        <f>U23*_xlfn.XLOOKUP($L29,'Balizador da Meta'!$B$4:$B$21,'Balizador da Meta'!$C$4:$C$21)</f>
        <v>179.99999999999997</v>
      </c>
      <c r="V29" s="28">
        <f>V23*_xlfn.XLOOKUP($L29,'Balizador da Meta'!$B$4:$B$21,'Balizador da Meta'!$C$4:$C$21)</f>
        <v>179.99999999999997</v>
      </c>
      <c r="W29" s="28">
        <f>W23*_xlfn.XLOOKUP($L29,'Balizador da Meta'!$B$4:$B$21,'Balizador da Meta'!$C$4:$C$21)</f>
        <v>209.99999999999997</v>
      </c>
      <c r="X29" s="28">
        <f>X23*_xlfn.XLOOKUP($L29,'Balizador da Meta'!$B$4:$B$21,'Balizador da Meta'!$C$4:$C$21)</f>
        <v>209.99999999999997</v>
      </c>
      <c r="Y29" s="28">
        <f>Y23*_xlfn.XLOOKUP($L29,'Balizador da Meta'!$B$4:$B$21,'Balizador da Meta'!$C$4:$C$21)</f>
        <v>209.99999999999997</v>
      </c>
      <c r="Z29" s="30">
        <f t="shared" si="10"/>
        <v>2009.9999999999998</v>
      </c>
      <c r="AA29" s="29"/>
      <c r="AB29" s="31">
        <f>SUMIFS('Historico - FAT'!AK:AK,'Historico - FAT'!$K:$K,Faturamento!$L29,'Historico - FAT'!$I:$I,Faturamento!$J29,'Historico - FAT'!$G:$G,Faturamento!$H29)</f>
        <v>0</v>
      </c>
      <c r="AC29" s="31">
        <f>SUMIFS('Historico - FAT'!AL:AL,'Historico - FAT'!$K:$K,Faturamento!$L29,'Historico - FAT'!$I:$I,Faturamento!$J29,'Historico - FAT'!$G:$G,Faturamento!$H29)</f>
        <v>6.8016666666666667</v>
      </c>
      <c r="AD29" s="31">
        <f>SUMIFS('Historico - FAT'!AM:AM,'Historico - FAT'!$K:$K,Faturamento!$L29,'Historico - FAT'!$I:$I,Faturamento!$J29,'Historico - FAT'!$G:$G,Faturamento!$H29)</f>
        <v>13.603333333333333</v>
      </c>
      <c r="AE29" s="27">
        <f>SUMIFS('Historico - FAT'!AN:AN,'Historico - FAT'!$K:$K,Faturamento!$L29,'Historico - FAT'!$I:$I,Faturamento!$J29,'Historico - FAT'!$G:$G,Faturamento!$H29)</f>
        <v>8.1620000000000008</v>
      </c>
      <c r="AG29" s="24">
        <f t="shared" si="6"/>
        <v>1</v>
      </c>
      <c r="AH29" s="24">
        <f t="shared" si="7"/>
        <v>0.96761111111111109</v>
      </c>
      <c r="AI29" s="24">
        <f t="shared" si="8"/>
        <v>0.93522222222222229</v>
      </c>
    </row>
    <row r="30" spans="1:35" hidden="1" x14ac:dyDescent="0.3">
      <c r="A30" s="2" t="str">
        <f t="shared" si="3"/>
        <v>NÃO</v>
      </c>
      <c r="B30" s="2">
        <v>1000184670</v>
      </c>
      <c r="C30" s="2" t="s">
        <v>147</v>
      </c>
      <c r="D30" s="4">
        <v>1000186197</v>
      </c>
      <c r="E30" s="4" t="s">
        <v>166</v>
      </c>
      <c r="F30" s="2">
        <v>1000198600</v>
      </c>
      <c r="G30" s="2" t="s">
        <v>148</v>
      </c>
      <c r="H30" s="4">
        <v>1000198601</v>
      </c>
      <c r="I30" s="4" t="s">
        <v>149</v>
      </c>
      <c r="J30" s="2">
        <v>1000189750</v>
      </c>
      <c r="K30" s="2" t="s">
        <v>136</v>
      </c>
      <c r="L30" s="4" t="s">
        <v>17</v>
      </c>
      <c r="M30" s="4" t="str">
        <f t="shared" si="4"/>
        <v>1000184670100018619710001986011000189750GRANOLA</v>
      </c>
      <c r="N30" s="28">
        <f>N23*_xlfn.XLOOKUP($L30,'Balizador da Meta'!$B$4:$B$21,'Balizador da Meta'!$C$4:$C$21)</f>
        <v>120</v>
      </c>
      <c r="O30" s="28">
        <f>O23*_xlfn.XLOOKUP($L30,'Balizador da Meta'!$B$4:$B$21,'Balizador da Meta'!$C$4:$C$21)</f>
        <v>120</v>
      </c>
      <c r="P30" s="28">
        <f>P23*_xlfn.XLOOKUP($L30,'Balizador da Meta'!$B$4:$B$21,'Balizador da Meta'!$C$4:$C$21)</f>
        <v>150</v>
      </c>
      <c r="Q30" s="28">
        <f>Q23*_xlfn.XLOOKUP($L30,'Balizador da Meta'!$B$4:$B$21,'Balizador da Meta'!$C$4:$C$21)</f>
        <v>150</v>
      </c>
      <c r="R30" s="28">
        <f>R23*_xlfn.XLOOKUP($L30,'Balizador da Meta'!$B$4:$B$21,'Balizador da Meta'!$C$4:$C$21)</f>
        <v>150</v>
      </c>
      <c r="S30" s="28">
        <f>S23*_xlfn.XLOOKUP($L30,'Balizador da Meta'!$B$4:$B$21,'Balizador da Meta'!$C$4:$C$21)</f>
        <v>150</v>
      </c>
      <c r="T30" s="28">
        <f>T23*_xlfn.XLOOKUP($L30,'Balizador da Meta'!$B$4:$B$21,'Balizador da Meta'!$C$4:$C$21)</f>
        <v>180</v>
      </c>
      <c r="U30" s="28">
        <f>U23*_xlfn.XLOOKUP($L30,'Balizador da Meta'!$B$4:$B$21,'Balizador da Meta'!$C$4:$C$21)</f>
        <v>180</v>
      </c>
      <c r="V30" s="28">
        <f>V23*_xlfn.XLOOKUP($L30,'Balizador da Meta'!$B$4:$B$21,'Balizador da Meta'!$C$4:$C$21)</f>
        <v>180</v>
      </c>
      <c r="W30" s="28">
        <f>W23*_xlfn.XLOOKUP($L30,'Balizador da Meta'!$B$4:$B$21,'Balizador da Meta'!$C$4:$C$21)</f>
        <v>210</v>
      </c>
      <c r="X30" s="28">
        <f>X23*_xlfn.XLOOKUP($L30,'Balizador da Meta'!$B$4:$B$21,'Balizador da Meta'!$C$4:$C$21)</f>
        <v>210</v>
      </c>
      <c r="Y30" s="28">
        <f>Y23*_xlfn.XLOOKUP($L30,'Balizador da Meta'!$B$4:$B$21,'Balizador da Meta'!$C$4:$C$21)</f>
        <v>210</v>
      </c>
      <c r="Z30" s="30">
        <f t="shared" si="10"/>
        <v>2010</v>
      </c>
      <c r="AA30" s="29"/>
      <c r="AB30" s="31">
        <f>SUMIFS('Historico - FAT'!AK:AK,'Historico - FAT'!$K:$K,Faturamento!$L30,'Historico - FAT'!$I:$I,Faturamento!$J30,'Historico - FAT'!$G:$G,Faturamento!$H30)</f>
        <v>0</v>
      </c>
      <c r="AC30" s="31">
        <f>SUMIFS('Historico - FAT'!AL:AL,'Historico - FAT'!$K:$K,Faturamento!$L30,'Historico - FAT'!$I:$I,Faturamento!$J30,'Historico - FAT'!$G:$G,Faturamento!$H30)</f>
        <v>0</v>
      </c>
      <c r="AD30" s="31">
        <f>SUMIFS('Historico - FAT'!AM:AM,'Historico - FAT'!$K:$K,Faturamento!$L30,'Historico - FAT'!$I:$I,Faturamento!$J30,'Historico - FAT'!$G:$G,Faturamento!$H30)</f>
        <v>0</v>
      </c>
      <c r="AE30" s="27">
        <f>SUMIFS('Historico - FAT'!AN:AN,'Historico - FAT'!$K:$K,Faturamento!$L30,'Historico - FAT'!$I:$I,Faturamento!$J30,'Historico - FAT'!$G:$G,Faturamento!$H30)</f>
        <v>0</v>
      </c>
      <c r="AG30" s="24">
        <f t="shared" si="6"/>
        <v>1</v>
      </c>
      <c r="AH30" s="24">
        <f t="shared" si="7"/>
        <v>1</v>
      </c>
      <c r="AI30" s="24">
        <f t="shared" si="8"/>
        <v>1</v>
      </c>
    </row>
    <row r="31" spans="1:35" hidden="1" x14ac:dyDescent="0.3">
      <c r="A31" s="2" t="str">
        <f t="shared" si="3"/>
        <v>NÃO</v>
      </c>
      <c r="B31" s="2">
        <v>1000184670</v>
      </c>
      <c r="C31" s="2" t="s">
        <v>147</v>
      </c>
      <c r="D31" s="4">
        <v>1000186197</v>
      </c>
      <c r="E31" s="4" t="s">
        <v>166</v>
      </c>
      <c r="F31" s="2">
        <v>1000198600</v>
      </c>
      <c r="G31" s="2" t="s">
        <v>148</v>
      </c>
      <c r="H31" s="4">
        <v>1000198601</v>
      </c>
      <c r="I31" s="4" t="s">
        <v>149</v>
      </c>
      <c r="J31" s="2">
        <v>1000189750</v>
      </c>
      <c r="K31" s="2" t="s">
        <v>136</v>
      </c>
      <c r="L31" s="4" t="s">
        <v>24</v>
      </c>
      <c r="M31" s="4" t="str">
        <f t="shared" si="4"/>
        <v>1000184670100018619710001986011000189750KIDS</v>
      </c>
      <c r="N31" s="28">
        <f>N23*_xlfn.XLOOKUP($L31,'Balizador da Meta'!$B$4:$B$21,'Balizador da Meta'!$C$4:$C$21)</f>
        <v>0</v>
      </c>
      <c r="O31" s="28">
        <f>O23*_xlfn.XLOOKUP($L31,'Balizador da Meta'!$B$4:$B$21,'Balizador da Meta'!$C$4:$C$21)</f>
        <v>0</v>
      </c>
      <c r="P31" s="28">
        <f>P23*_xlfn.XLOOKUP($L31,'Balizador da Meta'!$B$4:$B$21,'Balizador da Meta'!$C$4:$C$21)</f>
        <v>0</v>
      </c>
      <c r="Q31" s="28">
        <f>Q23*_xlfn.XLOOKUP($L31,'Balizador da Meta'!$B$4:$B$21,'Balizador da Meta'!$C$4:$C$21)</f>
        <v>0</v>
      </c>
      <c r="R31" s="28">
        <f>R23*_xlfn.XLOOKUP($L31,'Balizador da Meta'!$B$4:$B$21,'Balizador da Meta'!$C$4:$C$21)</f>
        <v>0</v>
      </c>
      <c r="S31" s="28">
        <f>S23*_xlfn.XLOOKUP($L31,'Balizador da Meta'!$B$4:$B$21,'Balizador da Meta'!$C$4:$C$21)</f>
        <v>0</v>
      </c>
      <c r="T31" s="28">
        <f>T23*_xlfn.XLOOKUP($L31,'Balizador da Meta'!$B$4:$B$21,'Balizador da Meta'!$C$4:$C$21)</f>
        <v>0</v>
      </c>
      <c r="U31" s="28">
        <f>U23*_xlfn.XLOOKUP($L31,'Balizador da Meta'!$B$4:$B$21,'Balizador da Meta'!$C$4:$C$21)</f>
        <v>0</v>
      </c>
      <c r="V31" s="28">
        <f>V23*_xlfn.XLOOKUP($L31,'Balizador da Meta'!$B$4:$B$21,'Balizador da Meta'!$C$4:$C$21)</f>
        <v>0</v>
      </c>
      <c r="W31" s="28">
        <f>W23*_xlfn.XLOOKUP($L31,'Balizador da Meta'!$B$4:$B$21,'Balizador da Meta'!$C$4:$C$21)</f>
        <v>0</v>
      </c>
      <c r="X31" s="28">
        <f>X23*_xlfn.XLOOKUP($L31,'Balizador da Meta'!$B$4:$B$21,'Balizador da Meta'!$C$4:$C$21)</f>
        <v>0</v>
      </c>
      <c r="Y31" s="28">
        <f>Y23*_xlfn.XLOOKUP($L31,'Balizador da Meta'!$B$4:$B$21,'Balizador da Meta'!$C$4:$C$21)</f>
        <v>0</v>
      </c>
      <c r="Z31" s="30">
        <f t="shared" si="10"/>
        <v>0</v>
      </c>
      <c r="AA31" s="29"/>
      <c r="AB31" s="31">
        <f>SUMIFS('Historico - FAT'!AK:AK,'Historico - FAT'!$K:$K,Faturamento!$L31,'Historico - FAT'!$I:$I,Faturamento!$J31,'Historico - FAT'!$G:$G,Faturamento!$H31)</f>
        <v>0</v>
      </c>
      <c r="AC31" s="31">
        <f>SUMIFS('Historico - FAT'!AL:AL,'Historico - FAT'!$K:$K,Faturamento!$L31,'Historico - FAT'!$I:$I,Faturamento!$J31,'Historico - FAT'!$G:$G,Faturamento!$H31)</f>
        <v>0</v>
      </c>
      <c r="AD31" s="31">
        <f>SUMIFS('Historico - FAT'!AM:AM,'Historico - FAT'!$K:$K,Faturamento!$L31,'Historico - FAT'!$I:$I,Faturamento!$J31,'Historico - FAT'!$G:$G,Faturamento!$H31)</f>
        <v>0</v>
      </c>
      <c r="AE31" s="27">
        <f>SUMIFS('Historico - FAT'!AN:AN,'Historico - FAT'!$K:$K,Faturamento!$L31,'Historico - FAT'!$I:$I,Faturamento!$J31,'Historico - FAT'!$G:$G,Faturamento!$H31)</f>
        <v>0</v>
      </c>
      <c r="AG31" s="24" t="str">
        <f t="shared" si="6"/>
        <v/>
      </c>
      <c r="AH31" s="24" t="str">
        <f t="shared" si="7"/>
        <v/>
      </c>
      <c r="AI31" s="24" t="str">
        <f t="shared" si="8"/>
        <v/>
      </c>
    </row>
    <row r="32" spans="1:35" hidden="1" x14ac:dyDescent="0.3">
      <c r="A32" s="2" t="str">
        <f t="shared" si="3"/>
        <v>NÃO</v>
      </c>
      <c r="B32" s="2">
        <v>1000184670</v>
      </c>
      <c r="C32" s="2" t="s">
        <v>147</v>
      </c>
      <c r="D32" s="4">
        <v>1000186197</v>
      </c>
      <c r="E32" s="4" t="s">
        <v>166</v>
      </c>
      <c r="F32" s="2">
        <v>1000198600</v>
      </c>
      <c r="G32" s="2" t="s">
        <v>148</v>
      </c>
      <c r="H32" s="4">
        <v>1000198601</v>
      </c>
      <c r="I32" s="4" t="s">
        <v>149</v>
      </c>
      <c r="J32" s="2">
        <v>1000189750</v>
      </c>
      <c r="K32" s="2" t="s">
        <v>136</v>
      </c>
      <c r="L32" s="4" t="s">
        <v>18</v>
      </c>
      <c r="M32" s="4" t="str">
        <f t="shared" si="4"/>
        <v>1000184670100018619710001986011000189750LANCHES</v>
      </c>
      <c r="N32" s="28">
        <f>N23*_xlfn.XLOOKUP($L32,'Balizador da Meta'!$B$4:$B$21,'Balizador da Meta'!$C$4:$C$21)</f>
        <v>60</v>
      </c>
      <c r="O32" s="28">
        <f>O23*_xlfn.XLOOKUP($L32,'Balizador da Meta'!$B$4:$B$21,'Balizador da Meta'!$C$4:$C$21)</f>
        <v>60</v>
      </c>
      <c r="P32" s="28">
        <f>P23*_xlfn.XLOOKUP($L32,'Balizador da Meta'!$B$4:$B$21,'Balizador da Meta'!$C$4:$C$21)</f>
        <v>75</v>
      </c>
      <c r="Q32" s="28">
        <f>Q23*_xlfn.XLOOKUP($L32,'Balizador da Meta'!$B$4:$B$21,'Balizador da Meta'!$C$4:$C$21)</f>
        <v>75</v>
      </c>
      <c r="R32" s="28">
        <f>R23*_xlfn.XLOOKUP($L32,'Balizador da Meta'!$B$4:$B$21,'Balizador da Meta'!$C$4:$C$21)</f>
        <v>75</v>
      </c>
      <c r="S32" s="28">
        <f>S23*_xlfn.XLOOKUP($L32,'Balizador da Meta'!$B$4:$B$21,'Balizador da Meta'!$C$4:$C$21)</f>
        <v>75</v>
      </c>
      <c r="T32" s="28">
        <f>T23*_xlfn.XLOOKUP($L32,'Balizador da Meta'!$B$4:$B$21,'Balizador da Meta'!$C$4:$C$21)</f>
        <v>90</v>
      </c>
      <c r="U32" s="28">
        <f>U23*_xlfn.XLOOKUP($L32,'Balizador da Meta'!$B$4:$B$21,'Balizador da Meta'!$C$4:$C$21)</f>
        <v>90</v>
      </c>
      <c r="V32" s="28">
        <f>V23*_xlfn.XLOOKUP($L32,'Balizador da Meta'!$B$4:$B$21,'Balizador da Meta'!$C$4:$C$21)</f>
        <v>90</v>
      </c>
      <c r="W32" s="28">
        <f>W23*_xlfn.XLOOKUP($L32,'Balizador da Meta'!$B$4:$B$21,'Balizador da Meta'!$C$4:$C$21)</f>
        <v>105</v>
      </c>
      <c r="X32" s="28">
        <f>X23*_xlfn.XLOOKUP($L32,'Balizador da Meta'!$B$4:$B$21,'Balizador da Meta'!$C$4:$C$21)</f>
        <v>105</v>
      </c>
      <c r="Y32" s="28">
        <f>Y23*_xlfn.XLOOKUP($L32,'Balizador da Meta'!$B$4:$B$21,'Balizador da Meta'!$C$4:$C$21)</f>
        <v>105</v>
      </c>
      <c r="Z32" s="30">
        <f t="shared" si="10"/>
        <v>1005</v>
      </c>
      <c r="AA32" s="29"/>
      <c r="AB32" s="31">
        <f>SUMIFS('Historico - FAT'!AK:AK,'Historico - FAT'!$K:$K,Faturamento!$L32,'Historico - FAT'!$I:$I,Faturamento!$J32,'Historico - FAT'!$G:$G,Faturamento!$H32)</f>
        <v>0</v>
      </c>
      <c r="AC32" s="31">
        <f>SUMIFS('Historico - FAT'!AL:AL,'Historico - FAT'!$K:$K,Faturamento!$L32,'Historico - FAT'!$I:$I,Faturamento!$J32,'Historico - FAT'!$G:$G,Faturamento!$H32)</f>
        <v>0</v>
      </c>
      <c r="AD32" s="31">
        <f>SUMIFS('Historico - FAT'!AM:AM,'Historico - FAT'!$K:$K,Faturamento!$L32,'Historico - FAT'!$I:$I,Faturamento!$J32,'Historico - FAT'!$G:$G,Faturamento!$H32)</f>
        <v>0</v>
      </c>
      <c r="AE32" s="27">
        <f>SUMIFS('Historico - FAT'!AN:AN,'Historico - FAT'!$K:$K,Faturamento!$L32,'Historico - FAT'!$I:$I,Faturamento!$J32,'Historico - FAT'!$G:$G,Faturamento!$H32)</f>
        <v>0</v>
      </c>
      <c r="AG32" s="24">
        <f t="shared" si="6"/>
        <v>1</v>
      </c>
      <c r="AH32" s="24">
        <f t="shared" si="7"/>
        <v>1</v>
      </c>
      <c r="AI32" s="24">
        <f t="shared" si="8"/>
        <v>1</v>
      </c>
    </row>
    <row r="33" spans="1:35" hidden="1" x14ac:dyDescent="0.3">
      <c r="A33" s="2" t="str">
        <f t="shared" si="3"/>
        <v>NÃO</v>
      </c>
      <c r="B33" s="2">
        <v>1000184670</v>
      </c>
      <c r="C33" s="2" t="s">
        <v>147</v>
      </c>
      <c r="D33" s="4">
        <v>1000186197</v>
      </c>
      <c r="E33" s="4" t="s">
        <v>166</v>
      </c>
      <c r="F33" s="2">
        <v>1000198600</v>
      </c>
      <c r="G33" s="2" t="s">
        <v>148</v>
      </c>
      <c r="H33" s="4">
        <v>1000198601</v>
      </c>
      <c r="I33" s="4" t="s">
        <v>149</v>
      </c>
      <c r="J33" s="2">
        <v>1000189750</v>
      </c>
      <c r="K33" s="2" t="s">
        <v>136</v>
      </c>
      <c r="L33" s="4" t="s">
        <v>29</v>
      </c>
      <c r="M33" s="4" t="str">
        <f t="shared" si="4"/>
        <v>1000184670100018619710001986011000189750MAIS GRANEL</v>
      </c>
      <c r="N33" s="28">
        <f>N23*_xlfn.XLOOKUP($L33,'Balizador da Meta'!$B$4:$B$21,'Balizador da Meta'!$C$4:$C$21)</f>
        <v>1920</v>
      </c>
      <c r="O33" s="28">
        <f>O23*_xlfn.XLOOKUP($L33,'Balizador da Meta'!$B$4:$B$21,'Balizador da Meta'!$C$4:$C$21)</f>
        <v>1920</v>
      </c>
      <c r="P33" s="28">
        <f>P23*_xlfn.XLOOKUP($L33,'Balizador da Meta'!$B$4:$B$21,'Balizador da Meta'!$C$4:$C$21)</f>
        <v>2400</v>
      </c>
      <c r="Q33" s="28">
        <f>Q23*_xlfn.XLOOKUP($L33,'Balizador da Meta'!$B$4:$B$21,'Balizador da Meta'!$C$4:$C$21)</f>
        <v>2400</v>
      </c>
      <c r="R33" s="28">
        <f>R23*_xlfn.XLOOKUP($L33,'Balizador da Meta'!$B$4:$B$21,'Balizador da Meta'!$C$4:$C$21)</f>
        <v>2400</v>
      </c>
      <c r="S33" s="28">
        <f>S23*_xlfn.XLOOKUP($L33,'Balizador da Meta'!$B$4:$B$21,'Balizador da Meta'!$C$4:$C$21)</f>
        <v>2400</v>
      </c>
      <c r="T33" s="28">
        <f>T23*_xlfn.XLOOKUP($L33,'Balizador da Meta'!$B$4:$B$21,'Balizador da Meta'!$C$4:$C$21)</f>
        <v>2880</v>
      </c>
      <c r="U33" s="28">
        <f>U23*_xlfn.XLOOKUP($L33,'Balizador da Meta'!$B$4:$B$21,'Balizador da Meta'!$C$4:$C$21)</f>
        <v>2880</v>
      </c>
      <c r="V33" s="28">
        <f>V23*_xlfn.XLOOKUP($L33,'Balizador da Meta'!$B$4:$B$21,'Balizador da Meta'!$C$4:$C$21)</f>
        <v>2880</v>
      </c>
      <c r="W33" s="28">
        <f>W23*_xlfn.XLOOKUP($L33,'Balizador da Meta'!$B$4:$B$21,'Balizador da Meta'!$C$4:$C$21)</f>
        <v>3360</v>
      </c>
      <c r="X33" s="28">
        <f>X23*_xlfn.XLOOKUP($L33,'Balizador da Meta'!$B$4:$B$21,'Balizador da Meta'!$C$4:$C$21)</f>
        <v>3360</v>
      </c>
      <c r="Y33" s="28">
        <f>Y23*_xlfn.XLOOKUP($L33,'Balizador da Meta'!$B$4:$B$21,'Balizador da Meta'!$C$4:$C$21)</f>
        <v>3360</v>
      </c>
      <c r="Z33" s="30">
        <f t="shared" si="10"/>
        <v>32160</v>
      </c>
      <c r="AA33" s="29"/>
      <c r="AB33" s="31">
        <f>SUMIFS('Historico - FAT'!AK:AK,'Historico - FAT'!$K:$K,Faturamento!$L33,'Historico - FAT'!$I:$I,Faturamento!$J33,'Historico - FAT'!$G:$G,Faturamento!$H33)</f>
        <v>0</v>
      </c>
      <c r="AC33" s="31">
        <f>SUMIFS('Historico - FAT'!AL:AL,'Historico - FAT'!$K:$K,Faturamento!$L33,'Historico - FAT'!$I:$I,Faturamento!$J33,'Historico - FAT'!$G:$G,Faturamento!$H33)</f>
        <v>215.1</v>
      </c>
      <c r="AD33" s="31">
        <f>SUMIFS('Historico - FAT'!AM:AM,'Historico - FAT'!$K:$K,Faturamento!$L33,'Historico - FAT'!$I:$I,Faturamento!$J33,'Historico - FAT'!$G:$G,Faturamento!$H33)</f>
        <v>430.2</v>
      </c>
      <c r="AE33" s="27">
        <f>SUMIFS('Historico - FAT'!AN:AN,'Historico - FAT'!$K:$K,Faturamento!$L33,'Historico - FAT'!$I:$I,Faturamento!$J33,'Historico - FAT'!$G:$G,Faturamento!$H33)</f>
        <v>258.12</v>
      </c>
      <c r="AG33" s="24">
        <f t="shared" si="6"/>
        <v>1</v>
      </c>
      <c r="AH33" s="24">
        <f t="shared" si="7"/>
        <v>0.93598214285714287</v>
      </c>
      <c r="AI33" s="24">
        <f t="shared" si="8"/>
        <v>0.87196428571428575</v>
      </c>
    </row>
    <row r="34" spans="1:35" hidden="1" x14ac:dyDescent="0.3">
      <c r="A34" s="2" t="str">
        <f t="shared" si="3"/>
        <v>NÃO</v>
      </c>
      <c r="B34" s="2">
        <v>1000184670</v>
      </c>
      <c r="C34" s="2" t="s">
        <v>147</v>
      </c>
      <c r="D34" s="4">
        <v>1000186197</v>
      </c>
      <c r="E34" s="4" t="s">
        <v>166</v>
      </c>
      <c r="F34" s="2">
        <v>1000198600</v>
      </c>
      <c r="G34" s="2" t="s">
        <v>148</v>
      </c>
      <c r="H34" s="4">
        <v>1000198601</v>
      </c>
      <c r="I34" s="4" t="s">
        <v>149</v>
      </c>
      <c r="J34" s="2">
        <v>1000189750</v>
      </c>
      <c r="K34" s="2" t="s">
        <v>136</v>
      </c>
      <c r="L34" s="4" t="s">
        <v>21</v>
      </c>
      <c r="M34" s="4" t="str">
        <f t="shared" si="4"/>
        <v>1000184670100018619710001986011000189750NATURATTA</v>
      </c>
      <c r="N34" s="28">
        <f>N23*_xlfn.XLOOKUP($L34,'Balizador da Meta'!$B$4:$B$21,'Balizador da Meta'!$C$4:$C$21)</f>
        <v>300</v>
      </c>
      <c r="O34" s="28">
        <f>O23*_xlfn.XLOOKUP($L34,'Balizador da Meta'!$B$4:$B$21,'Balizador da Meta'!$C$4:$C$21)</f>
        <v>300</v>
      </c>
      <c r="P34" s="28">
        <f>P23*_xlfn.XLOOKUP($L34,'Balizador da Meta'!$B$4:$B$21,'Balizador da Meta'!$C$4:$C$21)</f>
        <v>375</v>
      </c>
      <c r="Q34" s="28">
        <f>Q23*_xlfn.XLOOKUP($L34,'Balizador da Meta'!$B$4:$B$21,'Balizador da Meta'!$C$4:$C$21)</f>
        <v>375</v>
      </c>
      <c r="R34" s="28">
        <f>R23*_xlfn.XLOOKUP($L34,'Balizador da Meta'!$B$4:$B$21,'Balizador da Meta'!$C$4:$C$21)</f>
        <v>375</v>
      </c>
      <c r="S34" s="28">
        <f>S23*_xlfn.XLOOKUP($L34,'Balizador da Meta'!$B$4:$B$21,'Balizador da Meta'!$C$4:$C$21)</f>
        <v>375</v>
      </c>
      <c r="T34" s="28">
        <f>T23*_xlfn.XLOOKUP($L34,'Balizador da Meta'!$B$4:$B$21,'Balizador da Meta'!$C$4:$C$21)</f>
        <v>450</v>
      </c>
      <c r="U34" s="28">
        <f>U23*_xlfn.XLOOKUP($L34,'Balizador da Meta'!$B$4:$B$21,'Balizador da Meta'!$C$4:$C$21)</f>
        <v>450</v>
      </c>
      <c r="V34" s="28">
        <f>V23*_xlfn.XLOOKUP($L34,'Balizador da Meta'!$B$4:$B$21,'Balizador da Meta'!$C$4:$C$21)</f>
        <v>450</v>
      </c>
      <c r="W34" s="28">
        <f>W23*_xlfn.XLOOKUP($L34,'Balizador da Meta'!$B$4:$B$21,'Balizador da Meta'!$C$4:$C$21)</f>
        <v>525</v>
      </c>
      <c r="X34" s="28">
        <f>X23*_xlfn.XLOOKUP($L34,'Balizador da Meta'!$B$4:$B$21,'Balizador da Meta'!$C$4:$C$21)</f>
        <v>525</v>
      </c>
      <c r="Y34" s="28">
        <f>Y23*_xlfn.XLOOKUP($L34,'Balizador da Meta'!$B$4:$B$21,'Balizador da Meta'!$C$4:$C$21)</f>
        <v>525</v>
      </c>
      <c r="Z34" s="30">
        <f t="shared" si="10"/>
        <v>5025</v>
      </c>
      <c r="AA34" s="29"/>
      <c r="AB34" s="31">
        <f>SUMIFS('Historico - FAT'!AK:AK,'Historico - FAT'!$K:$K,Faturamento!$L34,'Historico - FAT'!$I:$I,Faturamento!$J34,'Historico - FAT'!$G:$G,Faturamento!$H34)</f>
        <v>0</v>
      </c>
      <c r="AC34" s="31">
        <f>SUMIFS('Historico - FAT'!AL:AL,'Historico - FAT'!$K:$K,Faturamento!$L34,'Historico - FAT'!$I:$I,Faturamento!$J34,'Historico - FAT'!$G:$G,Faturamento!$H34)</f>
        <v>1.3858333333333333</v>
      </c>
      <c r="AD34" s="31">
        <f>SUMIFS('Historico - FAT'!AM:AM,'Historico - FAT'!$K:$K,Faturamento!$L34,'Historico - FAT'!$I:$I,Faturamento!$J34,'Historico - FAT'!$G:$G,Faturamento!$H34)</f>
        <v>2.7716666666666665</v>
      </c>
      <c r="AE34" s="27">
        <f>SUMIFS('Historico - FAT'!AN:AN,'Historico - FAT'!$K:$K,Faturamento!$L34,'Historico - FAT'!$I:$I,Faturamento!$J34,'Historico - FAT'!$G:$G,Faturamento!$H34)</f>
        <v>1.6629999999999998</v>
      </c>
      <c r="AG34" s="24">
        <f t="shared" si="6"/>
        <v>1</v>
      </c>
      <c r="AH34" s="24">
        <f t="shared" si="7"/>
        <v>0.99736031746031739</v>
      </c>
      <c r="AI34" s="24">
        <f t="shared" si="8"/>
        <v>0.99472063492063501</v>
      </c>
    </row>
    <row r="35" spans="1:35" hidden="1" x14ac:dyDescent="0.3">
      <c r="A35" s="2" t="str">
        <f t="shared" si="3"/>
        <v>NÃO</v>
      </c>
      <c r="B35" s="2">
        <v>1000184670</v>
      </c>
      <c r="C35" s="2" t="s">
        <v>147</v>
      </c>
      <c r="D35" s="4">
        <v>1000186197</v>
      </c>
      <c r="E35" s="4" t="s">
        <v>166</v>
      </c>
      <c r="F35" s="2">
        <v>1000198600</v>
      </c>
      <c r="G35" s="2" t="s">
        <v>148</v>
      </c>
      <c r="H35" s="4">
        <v>1000198601</v>
      </c>
      <c r="I35" s="4" t="s">
        <v>149</v>
      </c>
      <c r="J35" s="2">
        <v>1000189750</v>
      </c>
      <c r="K35" s="2" t="s">
        <v>136</v>
      </c>
      <c r="L35" s="4" t="s">
        <v>20</v>
      </c>
      <c r="M35" s="4" t="str">
        <f t="shared" si="4"/>
        <v>1000184670100018619710001986011000189750REEMBALADOS</v>
      </c>
      <c r="N35" s="28">
        <f>N23*_xlfn.XLOOKUP($L35,'Balizador da Meta'!$B$4:$B$21,'Balizador da Meta'!$C$4:$C$21)</f>
        <v>240</v>
      </c>
      <c r="O35" s="28">
        <f>O23*_xlfn.XLOOKUP($L35,'Balizador da Meta'!$B$4:$B$21,'Balizador da Meta'!$C$4:$C$21)</f>
        <v>240</v>
      </c>
      <c r="P35" s="28">
        <f>P23*_xlfn.XLOOKUP($L35,'Balizador da Meta'!$B$4:$B$21,'Balizador da Meta'!$C$4:$C$21)</f>
        <v>300</v>
      </c>
      <c r="Q35" s="28">
        <f>Q23*_xlfn.XLOOKUP($L35,'Balizador da Meta'!$B$4:$B$21,'Balizador da Meta'!$C$4:$C$21)</f>
        <v>300</v>
      </c>
      <c r="R35" s="28">
        <f>R23*_xlfn.XLOOKUP($L35,'Balizador da Meta'!$B$4:$B$21,'Balizador da Meta'!$C$4:$C$21)</f>
        <v>300</v>
      </c>
      <c r="S35" s="28">
        <f>S23*_xlfn.XLOOKUP($L35,'Balizador da Meta'!$B$4:$B$21,'Balizador da Meta'!$C$4:$C$21)</f>
        <v>300</v>
      </c>
      <c r="T35" s="28">
        <f>T23*_xlfn.XLOOKUP($L35,'Balizador da Meta'!$B$4:$B$21,'Balizador da Meta'!$C$4:$C$21)</f>
        <v>360</v>
      </c>
      <c r="U35" s="28">
        <f>U23*_xlfn.XLOOKUP($L35,'Balizador da Meta'!$B$4:$B$21,'Balizador da Meta'!$C$4:$C$21)</f>
        <v>360</v>
      </c>
      <c r="V35" s="28">
        <f>V23*_xlfn.XLOOKUP($L35,'Balizador da Meta'!$B$4:$B$21,'Balizador da Meta'!$C$4:$C$21)</f>
        <v>360</v>
      </c>
      <c r="W35" s="28">
        <f>W23*_xlfn.XLOOKUP($L35,'Balizador da Meta'!$B$4:$B$21,'Balizador da Meta'!$C$4:$C$21)</f>
        <v>420</v>
      </c>
      <c r="X35" s="28">
        <f>X23*_xlfn.XLOOKUP($L35,'Balizador da Meta'!$B$4:$B$21,'Balizador da Meta'!$C$4:$C$21)</f>
        <v>420</v>
      </c>
      <c r="Y35" s="28">
        <f>Y23*_xlfn.XLOOKUP($L35,'Balizador da Meta'!$B$4:$B$21,'Balizador da Meta'!$C$4:$C$21)</f>
        <v>420</v>
      </c>
      <c r="Z35" s="30">
        <f t="shared" si="10"/>
        <v>4020</v>
      </c>
      <c r="AA35" s="29"/>
      <c r="AB35" s="31">
        <f>SUMIFS('Historico - FAT'!AK:AK,'Historico - FAT'!$K:$K,Faturamento!$L35,'Historico - FAT'!$I:$I,Faturamento!$J35,'Historico - FAT'!$G:$G,Faturamento!$H35)</f>
        <v>0</v>
      </c>
      <c r="AC35" s="31">
        <f>SUMIFS('Historico - FAT'!AL:AL,'Historico - FAT'!$K:$K,Faturamento!$L35,'Historico - FAT'!$I:$I,Faturamento!$J35,'Historico - FAT'!$G:$G,Faturamento!$H35)</f>
        <v>0</v>
      </c>
      <c r="AD35" s="31">
        <f>SUMIFS('Historico - FAT'!AM:AM,'Historico - FAT'!$K:$K,Faturamento!$L35,'Historico - FAT'!$I:$I,Faturamento!$J35,'Historico - FAT'!$G:$G,Faturamento!$H35)</f>
        <v>0</v>
      </c>
      <c r="AE35" s="27">
        <f>SUMIFS('Historico - FAT'!AN:AN,'Historico - FAT'!$K:$K,Faturamento!$L35,'Historico - FAT'!$I:$I,Faturamento!$J35,'Historico - FAT'!$G:$G,Faturamento!$H35)</f>
        <v>0</v>
      </c>
      <c r="AG35" s="24">
        <f t="shared" si="6"/>
        <v>1</v>
      </c>
      <c r="AH35" s="24">
        <f t="shared" si="7"/>
        <v>1</v>
      </c>
      <c r="AI35" s="24">
        <f t="shared" si="8"/>
        <v>1</v>
      </c>
    </row>
    <row r="36" spans="1:35" hidden="1" x14ac:dyDescent="0.3">
      <c r="A36" s="2" t="str">
        <f t="shared" si="3"/>
        <v>NÃO</v>
      </c>
      <c r="B36" s="2">
        <v>1000184670</v>
      </c>
      <c r="C36" s="2" t="s">
        <v>147</v>
      </c>
      <c r="D36" s="4">
        <v>1000186197</v>
      </c>
      <c r="E36" s="4" t="s">
        <v>166</v>
      </c>
      <c r="F36" s="2">
        <v>1000198600</v>
      </c>
      <c r="G36" s="2" t="s">
        <v>148</v>
      </c>
      <c r="H36" s="4">
        <v>1000198601</v>
      </c>
      <c r="I36" s="4" t="s">
        <v>149</v>
      </c>
      <c r="J36" s="2">
        <v>1000189750</v>
      </c>
      <c r="K36" s="2" t="s">
        <v>136</v>
      </c>
      <c r="L36" s="4" t="s">
        <v>22</v>
      </c>
      <c r="M36" s="4" t="str">
        <f t="shared" si="4"/>
        <v>1000184670100018619710001986011000189750S GLUTEN</v>
      </c>
      <c r="N36" s="28">
        <f>N23*_xlfn.XLOOKUP($L36,'Balizador da Meta'!$B$4:$B$21,'Balizador da Meta'!$C$4:$C$21)</f>
        <v>240</v>
      </c>
      <c r="O36" s="28">
        <f>O23*_xlfn.XLOOKUP($L36,'Balizador da Meta'!$B$4:$B$21,'Balizador da Meta'!$C$4:$C$21)</f>
        <v>240</v>
      </c>
      <c r="P36" s="28">
        <f>P23*_xlfn.XLOOKUP($L36,'Balizador da Meta'!$B$4:$B$21,'Balizador da Meta'!$C$4:$C$21)</f>
        <v>300</v>
      </c>
      <c r="Q36" s="28">
        <f>Q23*_xlfn.XLOOKUP($L36,'Balizador da Meta'!$B$4:$B$21,'Balizador da Meta'!$C$4:$C$21)</f>
        <v>300</v>
      </c>
      <c r="R36" s="28">
        <f>R23*_xlfn.XLOOKUP($L36,'Balizador da Meta'!$B$4:$B$21,'Balizador da Meta'!$C$4:$C$21)</f>
        <v>300</v>
      </c>
      <c r="S36" s="28">
        <f>S23*_xlfn.XLOOKUP($L36,'Balizador da Meta'!$B$4:$B$21,'Balizador da Meta'!$C$4:$C$21)</f>
        <v>300</v>
      </c>
      <c r="T36" s="28">
        <f>T23*_xlfn.XLOOKUP($L36,'Balizador da Meta'!$B$4:$B$21,'Balizador da Meta'!$C$4:$C$21)</f>
        <v>360</v>
      </c>
      <c r="U36" s="28">
        <f>U23*_xlfn.XLOOKUP($L36,'Balizador da Meta'!$B$4:$B$21,'Balizador da Meta'!$C$4:$C$21)</f>
        <v>360</v>
      </c>
      <c r="V36" s="28">
        <f>V23*_xlfn.XLOOKUP($L36,'Balizador da Meta'!$B$4:$B$21,'Balizador da Meta'!$C$4:$C$21)</f>
        <v>360</v>
      </c>
      <c r="W36" s="28">
        <f>W23*_xlfn.XLOOKUP($L36,'Balizador da Meta'!$B$4:$B$21,'Balizador da Meta'!$C$4:$C$21)</f>
        <v>420</v>
      </c>
      <c r="X36" s="28">
        <f>X23*_xlfn.XLOOKUP($L36,'Balizador da Meta'!$B$4:$B$21,'Balizador da Meta'!$C$4:$C$21)</f>
        <v>420</v>
      </c>
      <c r="Y36" s="28">
        <f>Y23*_xlfn.XLOOKUP($L36,'Balizador da Meta'!$B$4:$B$21,'Balizador da Meta'!$C$4:$C$21)</f>
        <v>420</v>
      </c>
      <c r="Z36" s="30">
        <f t="shared" si="10"/>
        <v>4020</v>
      </c>
      <c r="AA36" s="29"/>
      <c r="AB36" s="31">
        <f>SUMIFS('Historico - FAT'!AK:AK,'Historico - FAT'!$K:$K,Faturamento!$L36,'Historico - FAT'!$I:$I,Faturamento!$J36,'Historico - FAT'!$G:$G,Faturamento!$H36)</f>
        <v>0</v>
      </c>
      <c r="AC36" s="31">
        <f>SUMIFS('Historico - FAT'!AL:AL,'Historico - FAT'!$K:$K,Faturamento!$L36,'Historico - FAT'!$I:$I,Faturamento!$J36,'Historico - FAT'!$G:$G,Faturamento!$H36)</f>
        <v>0</v>
      </c>
      <c r="AD36" s="31">
        <f>SUMIFS('Historico - FAT'!AM:AM,'Historico - FAT'!$K:$K,Faturamento!$L36,'Historico - FAT'!$I:$I,Faturamento!$J36,'Historico - FAT'!$G:$G,Faturamento!$H36)</f>
        <v>0</v>
      </c>
      <c r="AE36" s="27">
        <f>SUMIFS('Historico - FAT'!AN:AN,'Historico - FAT'!$K:$K,Faturamento!$L36,'Historico - FAT'!$I:$I,Faturamento!$J36,'Historico - FAT'!$G:$G,Faturamento!$H36)</f>
        <v>0</v>
      </c>
      <c r="AG36" s="24">
        <f t="shared" si="6"/>
        <v>1</v>
      </c>
      <c r="AH36" s="24">
        <f t="shared" si="7"/>
        <v>1</v>
      </c>
      <c r="AI36" s="24">
        <f t="shared" si="8"/>
        <v>1</v>
      </c>
    </row>
    <row r="37" spans="1:35" hidden="1" x14ac:dyDescent="0.3">
      <c r="A37" s="2" t="str">
        <f t="shared" si="3"/>
        <v>NÃO</v>
      </c>
      <c r="B37" s="2">
        <v>1000184670</v>
      </c>
      <c r="C37" s="2" t="s">
        <v>147</v>
      </c>
      <c r="D37" s="4">
        <v>1000186197</v>
      </c>
      <c r="E37" s="4" t="s">
        <v>166</v>
      </c>
      <c r="F37" s="2">
        <v>1000198600</v>
      </c>
      <c r="G37" s="2" t="s">
        <v>148</v>
      </c>
      <c r="H37" s="4">
        <v>1000198601</v>
      </c>
      <c r="I37" s="4" t="s">
        <v>149</v>
      </c>
      <c r="J37" s="2">
        <v>1000189750</v>
      </c>
      <c r="K37" s="2" t="s">
        <v>136</v>
      </c>
      <c r="L37" s="4" t="s">
        <v>23</v>
      </c>
      <c r="M37" s="4" t="str">
        <f t="shared" si="4"/>
        <v>1000184670100018619710001986011000189750SABORES DO CAMPO</v>
      </c>
      <c r="N37" s="28">
        <f>N23*_xlfn.XLOOKUP($L37,'Balizador da Meta'!$B$4:$B$21,'Balizador da Meta'!$C$4:$C$21)</f>
        <v>0</v>
      </c>
      <c r="O37" s="28">
        <f>O23*_xlfn.XLOOKUP($L37,'Balizador da Meta'!$B$4:$B$21,'Balizador da Meta'!$C$4:$C$21)</f>
        <v>0</v>
      </c>
      <c r="P37" s="28">
        <f>P23*_xlfn.XLOOKUP($L37,'Balizador da Meta'!$B$4:$B$21,'Balizador da Meta'!$C$4:$C$21)</f>
        <v>0</v>
      </c>
      <c r="Q37" s="28">
        <f>Q23*_xlfn.XLOOKUP($L37,'Balizador da Meta'!$B$4:$B$21,'Balizador da Meta'!$C$4:$C$21)</f>
        <v>0</v>
      </c>
      <c r="R37" s="28">
        <f>R23*_xlfn.XLOOKUP($L37,'Balizador da Meta'!$B$4:$B$21,'Balizador da Meta'!$C$4:$C$21)</f>
        <v>0</v>
      </c>
      <c r="S37" s="28">
        <f>S23*_xlfn.XLOOKUP($L37,'Balizador da Meta'!$B$4:$B$21,'Balizador da Meta'!$C$4:$C$21)</f>
        <v>0</v>
      </c>
      <c r="T37" s="28">
        <f>T23*_xlfn.XLOOKUP($L37,'Balizador da Meta'!$B$4:$B$21,'Balizador da Meta'!$C$4:$C$21)</f>
        <v>0</v>
      </c>
      <c r="U37" s="28">
        <f>U23*_xlfn.XLOOKUP($L37,'Balizador da Meta'!$B$4:$B$21,'Balizador da Meta'!$C$4:$C$21)</f>
        <v>0</v>
      </c>
      <c r="V37" s="28">
        <f>V23*_xlfn.XLOOKUP($L37,'Balizador da Meta'!$B$4:$B$21,'Balizador da Meta'!$C$4:$C$21)</f>
        <v>0</v>
      </c>
      <c r="W37" s="28">
        <f>W23*_xlfn.XLOOKUP($L37,'Balizador da Meta'!$B$4:$B$21,'Balizador da Meta'!$C$4:$C$21)</f>
        <v>0</v>
      </c>
      <c r="X37" s="28">
        <f>X23*_xlfn.XLOOKUP($L37,'Balizador da Meta'!$B$4:$B$21,'Balizador da Meta'!$C$4:$C$21)</f>
        <v>0</v>
      </c>
      <c r="Y37" s="28">
        <f>Y23*_xlfn.XLOOKUP($L37,'Balizador da Meta'!$B$4:$B$21,'Balizador da Meta'!$C$4:$C$21)</f>
        <v>0</v>
      </c>
      <c r="Z37" s="30">
        <f t="shared" si="10"/>
        <v>0</v>
      </c>
      <c r="AA37" s="29"/>
      <c r="AB37" s="31">
        <f>SUMIFS('Historico - FAT'!AK:AK,'Historico - FAT'!$K:$K,Faturamento!$L37,'Historico - FAT'!$I:$I,Faturamento!$J37,'Historico - FAT'!$G:$G,Faturamento!$H37)</f>
        <v>0</v>
      </c>
      <c r="AC37" s="31">
        <f>SUMIFS('Historico - FAT'!AL:AL,'Historico - FAT'!$K:$K,Faturamento!$L37,'Historico - FAT'!$I:$I,Faturamento!$J37,'Historico - FAT'!$G:$G,Faturamento!$H37)</f>
        <v>0</v>
      </c>
      <c r="AD37" s="31">
        <f>SUMIFS('Historico - FAT'!AM:AM,'Historico - FAT'!$K:$K,Faturamento!$L37,'Historico - FAT'!$I:$I,Faturamento!$J37,'Historico - FAT'!$G:$G,Faturamento!$H37)</f>
        <v>0</v>
      </c>
      <c r="AE37" s="27">
        <f>SUMIFS('Historico - FAT'!AN:AN,'Historico - FAT'!$K:$K,Faturamento!$L37,'Historico - FAT'!$I:$I,Faturamento!$J37,'Historico - FAT'!$G:$G,Faturamento!$H37)</f>
        <v>0</v>
      </c>
      <c r="AG37" s="24" t="str">
        <f t="shared" si="6"/>
        <v/>
      </c>
      <c r="AH37" s="24" t="str">
        <f t="shared" si="7"/>
        <v/>
      </c>
      <c r="AI37" s="24" t="str">
        <f t="shared" si="8"/>
        <v/>
      </c>
    </row>
    <row r="38" spans="1:35" hidden="1" x14ac:dyDescent="0.3">
      <c r="A38" s="2" t="str">
        <f t="shared" si="3"/>
        <v>NÃO</v>
      </c>
      <c r="B38" s="2">
        <v>1000184670</v>
      </c>
      <c r="C38" s="2" t="s">
        <v>147</v>
      </c>
      <c r="D38" s="4">
        <v>1000186197</v>
      </c>
      <c r="E38" s="4" t="s">
        <v>166</v>
      </c>
      <c r="F38" s="2">
        <v>1000198600</v>
      </c>
      <c r="G38" s="2" t="s">
        <v>148</v>
      </c>
      <c r="H38" s="4">
        <v>1000198601</v>
      </c>
      <c r="I38" s="4" t="s">
        <v>149</v>
      </c>
      <c r="J38" s="2">
        <v>1000189750</v>
      </c>
      <c r="K38" s="2" t="s">
        <v>136</v>
      </c>
      <c r="L38" s="4" t="s">
        <v>28</v>
      </c>
      <c r="M38" s="4" t="str">
        <f t="shared" si="4"/>
        <v>1000184670100018619710001986011000189750SAL</v>
      </c>
      <c r="N38" s="28">
        <f>N23*_xlfn.XLOOKUP($L38,'Balizador da Meta'!$B$4:$B$21,'Balizador da Meta'!$C$4:$C$21)</f>
        <v>120</v>
      </c>
      <c r="O38" s="28">
        <f>O23*_xlfn.XLOOKUP($L38,'Balizador da Meta'!$B$4:$B$21,'Balizador da Meta'!$C$4:$C$21)</f>
        <v>120</v>
      </c>
      <c r="P38" s="28">
        <f>P23*_xlfn.XLOOKUP($L38,'Balizador da Meta'!$B$4:$B$21,'Balizador da Meta'!$C$4:$C$21)</f>
        <v>150</v>
      </c>
      <c r="Q38" s="28">
        <f>Q23*_xlfn.XLOOKUP($L38,'Balizador da Meta'!$B$4:$B$21,'Balizador da Meta'!$C$4:$C$21)</f>
        <v>150</v>
      </c>
      <c r="R38" s="28">
        <f>R23*_xlfn.XLOOKUP($L38,'Balizador da Meta'!$B$4:$B$21,'Balizador da Meta'!$C$4:$C$21)</f>
        <v>150</v>
      </c>
      <c r="S38" s="28">
        <f>S23*_xlfn.XLOOKUP($L38,'Balizador da Meta'!$B$4:$B$21,'Balizador da Meta'!$C$4:$C$21)</f>
        <v>150</v>
      </c>
      <c r="T38" s="28">
        <f>T23*_xlfn.XLOOKUP($L38,'Balizador da Meta'!$B$4:$B$21,'Balizador da Meta'!$C$4:$C$21)</f>
        <v>180</v>
      </c>
      <c r="U38" s="28">
        <f>U23*_xlfn.XLOOKUP($L38,'Balizador da Meta'!$B$4:$B$21,'Balizador da Meta'!$C$4:$C$21)</f>
        <v>180</v>
      </c>
      <c r="V38" s="28">
        <f>V23*_xlfn.XLOOKUP($L38,'Balizador da Meta'!$B$4:$B$21,'Balizador da Meta'!$C$4:$C$21)</f>
        <v>180</v>
      </c>
      <c r="W38" s="28">
        <f>W23*_xlfn.XLOOKUP($L38,'Balizador da Meta'!$B$4:$B$21,'Balizador da Meta'!$C$4:$C$21)</f>
        <v>210</v>
      </c>
      <c r="X38" s="28">
        <f>X23*_xlfn.XLOOKUP($L38,'Balizador da Meta'!$B$4:$B$21,'Balizador da Meta'!$C$4:$C$21)</f>
        <v>210</v>
      </c>
      <c r="Y38" s="28">
        <f>Y23*_xlfn.XLOOKUP($L38,'Balizador da Meta'!$B$4:$B$21,'Balizador da Meta'!$C$4:$C$21)</f>
        <v>210</v>
      </c>
      <c r="Z38" s="30">
        <f t="shared" si="10"/>
        <v>2010</v>
      </c>
      <c r="AA38" s="29"/>
      <c r="AB38" s="31">
        <f>SUMIFS('Historico - FAT'!AK:AK,'Historico - FAT'!$K:$K,Faturamento!$L38,'Historico - FAT'!$I:$I,Faturamento!$J38,'Historico - FAT'!$G:$G,Faturamento!$H38)</f>
        <v>0</v>
      </c>
      <c r="AC38" s="31">
        <f>SUMIFS('Historico - FAT'!AL:AL,'Historico - FAT'!$K:$K,Faturamento!$L38,'Historico - FAT'!$I:$I,Faturamento!$J38,'Historico - FAT'!$G:$G,Faturamento!$H38)</f>
        <v>0</v>
      </c>
      <c r="AD38" s="31">
        <f>SUMIFS('Historico - FAT'!AM:AM,'Historico - FAT'!$K:$K,Faturamento!$L38,'Historico - FAT'!$I:$I,Faturamento!$J38,'Historico - FAT'!$G:$G,Faturamento!$H38)</f>
        <v>0</v>
      </c>
      <c r="AE38" s="27">
        <f>SUMIFS('Historico - FAT'!AN:AN,'Historico - FAT'!$K:$K,Faturamento!$L38,'Historico - FAT'!$I:$I,Faturamento!$J38,'Historico - FAT'!$G:$G,Faturamento!$H38)</f>
        <v>0</v>
      </c>
      <c r="AG38" s="24">
        <f t="shared" si="6"/>
        <v>1</v>
      </c>
      <c r="AH38" s="24">
        <f t="shared" si="7"/>
        <v>1</v>
      </c>
      <c r="AI38" s="24">
        <f t="shared" si="8"/>
        <v>1</v>
      </c>
    </row>
    <row r="39" spans="1:35" hidden="1" x14ac:dyDescent="0.3">
      <c r="A39" s="2" t="str">
        <f t="shared" si="3"/>
        <v>NÃO</v>
      </c>
      <c r="B39" s="2">
        <v>1000184670</v>
      </c>
      <c r="C39" s="2" t="s">
        <v>147</v>
      </c>
      <c r="D39" s="4">
        <v>1000186197</v>
      </c>
      <c r="E39" s="4" t="s">
        <v>166</v>
      </c>
      <c r="F39" s="2">
        <v>1000198600</v>
      </c>
      <c r="G39" s="2" t="s">
        <v>148</v>
      </c>
      <c r="H39" s="4">
        <v>1000198601</v>
      </c>
      <c r="I39" s="4" t="s">
        <v>149</v>
      </c>
      <c r="J39" s="2">
        <v>1000189750</v>
      </c>
      <c r="K39" s="2" t="s">
        <v>136</v>
      </c>
      <c r="L39" s="4" t="s">
        <v>26</v>
      </c>
      <c r="M39" s="4" t="str">
        <f t="shared" si="4"/>
        <v>1000184670100018619710001986011000189750SOULPRO</v>
      </c>
      <c r="N39" s="28">
        <f>N23*_xlfn.XLOOKUP($L39,'Balizador da Meta'!$B$4:$B$21,'Balizador da Meta'!$C$4:$C$21)</f>
        <v>360</v>
      </c>
      <c r="O39" s="28">
        <f>O23*_xlfn.XLOOKUP($L39,'Balizador da Meta'!$B$4:$B$21,'Balizador da Meta'!$C$4:$C$21)</f>
        <v>360</v>
      </c>
      <c r="P39" s="28">
        <f>P23*_xlfn.XLOOKUP($L39,'Balizador da Meta'!$B$4:$B$21,'Balizador da Meta'!$C$4:$C$21)</f>
        <v>450</v>
      </c>
      <c r="Q39" s="28">
        <f>Q23*_xlfn.XLOOKUP($L39,'Balizador da Meta'!$B$4:$B$21,'Balizador da Meta'!$C$4:$C$21)</f>
        <v>450</v>
      </c>
      <c r="R39" s="28">
        <f>R23*_xlfn.XLOOKUP($L39,'Balizador da Meta'!$B$4:$B$21,'Balizador da Meta'!$C$4:$C$21)</f>
        <v>450</v>
      </c>
      <c r="S39" s="28">
        <f>S23*_xlfn.XLOOKUP($L39,'Balizador da Meta'!$B$4:$B$21,'Balizador da Meta'!$C$4:$C$21)</f>
        <v>450</v>
      </c>
      <c r="T39" s="28">
        <f>T23*_xlfn.XLOOKUP($L39,'Balizador da Meta'!$B$4:$B$21,'Balizador da Meta'!$C$4:$C$21)</f>
        <v>540</v>
      </c>
      <c r="U39" s="28">
        <f>U23*_xlfn.XLOOKUP($L39,'Balizador da Meta'!$B$4:$B$21,'Balizador da Meta'!$C$4:$C$21)</f>
        <v>540</v>
      </c>
      <c r="V39" s="28">
        <f>V23*_xlfn.XLOOKUP($L39,'Balizador da Meta'!$B$4:$B$21,'Balizador da Meta'!$C$4:$C$21)</f>
        <v>540</v>
      </c>
      <c r="W39" s="28">
        <f>W23*_xlfn.XLOOKUP($L39,'Balizador da Meta'!$B$4:$B$21,'Balizador da Meta'!$C$4:$C$21)</f>
        <v>630</v>
      </c>
      <c r="X39" s="28">
        <f>X23*_xlfn.XLOOKUP($L39,'Balizador da Meta'!$B$4:$B$21,'Balizador da Meta'!$C$4:$C$21)</f>
        <v>630</v>
      </c>
      <c r="Y39" s="28">
        <f>Y23*_xlfn.XLOOKUP($L39,'Balizador da Meta'!$B$4:$B$21,'Balizador da Meta'!$C$4:$C$21)</f>
        <v>630</v>
      </c>
      <c r="Z39" s="30">
        <f t="shared" si="10"/>
        <v>6030</v>
      </c>
      <c r="AA39" s="29"/>
      <c r="AB39" s="31">
        <f>SUMIFS('Historico - FAT'!AK:AK,'Historico - FAT'!$K:$K,Faturamento!$L39,'Historico - FAT'!$I:$I,Faturamento!$J39,'Historico - FAT'!$G:$G,Faturamento!$H39)</f>
        <v>0</v>
      </c>
      <c r="AC39" s="31">
        <f>SUMIFS('Historico - FAT'!AL:AL,'Historico - FAT'!$K:$K,Faturamento!$L39,'Historico - FAT'!$I:$I,Faturamento!$J39,'Historico - FAT'!$G:$G,Faturamento!$H39)</f>
        <v>0</v>
      </c>
      <c r="AD39" s="31">
        <f>SUMIFS('Historico - FAT'!AM:AM,'Historico - FAT'!$K:$K,Faturamento!$L39,'Historico - FAT'!$I:$I,Faturamento!$J39,'Historico - FAT'!$G:$G,Faturamento!$H39)</f>
        <v>0</v>
      </c>
      <c r="AE39" s="27">
        <f>SUMIFS('Historico - FAT'!AN:AN,'Historico - FAT'!$K:$K,Faturamento!$L39,'Historico - FAT'!$I:$I,Faturamento!$J39,'Historico - FAT'!$G:$G,Faturamento!$H39)</f>
        <v>0</v>
      </c>
      <c r="AG39" s="24">
        <f t="shared" si="6"/>
        <v>1</v>
      </c>
      <c r="AH39" s="24">
        <f t="shared" si="7"/>
        <v>1</v>
      </c>
      <c r="AI39" s="24">
        <f t="shared" si="8"/>
        <v>1</v>
      </c>
    </row>
    <row r="40" spans="1:35" hidden="1" x14ac:dyDescent="0.3">
      <c r="A40" s="2" t="str">
        <f t="shared" si="3"/>
        <v>NÃO</v>
      </c>
      <c r="B40" s="2">
        <v>1000184670</v>
      </c>
      <c r="C40" s="2" t="s">
        <v>147</v>
      </c>
      <c r="D40" s="4">
        <v>1000186197</v>
      </c>
      <c r="E40" s="4" t="s">
        <v>166</v>
      </c>
      <c r="F40" s="2">
        <v>1000198600</v>
      </c>
      <c r="G40" s="2" t="s">
        <v>148</v>
      </c>
      <c r="H40" s="4">
        <v>1000198601</v>
      </c>
      <c r="I40" s="4" t="s">
        <v>149</v>
      </c>
      <c r="J40" s="2">
        <v>1000189750</v>
      </c>
      <c r="K40" s="2" t="s">
        <v>136</v>
      </c>
      <c r="L40" s="4" t="s">
        <v>27</v>
      </c>
      <c r="M40" s="4" t="str">
        <f t="shared" si="4"/>
        <v>1000184670100018619710001986011000189750TAMARA</v>
      </c>
      <c r="N40" s="28">
        <f>N23*_xlfn.XLOOKUP($L40,'Balizador da Meta'!$B$4:$B$21,'Balizador da Meta'!$C$4:$C$21)</f>
        <v>480</v>
      </c>
      <c r="O40" s="28">
        <f>O23*_xlfn.XLOOKUP($L40,'Balizador da Meta'!$B$4:$B$21,'Balizador da Meta'!$C$4:$C$21)</f>
        <v>480</v>
      </c>
      <c r="P40" s="28">
        <f>P23*_xlfn.XLOOKUP($L40,'Balizador da Meta'!$B$4:$B$21,'Balizador da Meta'!$C$4:$C$21)</f>
        <v>600</v>
      </c>
      <c r="Q40" s="28">
        <f>Q23*_xlfn.XLOOKUP($L40,'Balizador da Meta'!$B$4:$B$21,'Balizador da Meta'!$C$4:$C$21)</f>
        <v>600</v>
      </c>
      <c r="R40" s="28">
        <f>R23*_xlfn.XLOOKUP($L40,'Balizador da Meta'!$B$4:$B$21,'Balizador da Meta'!$C$4:$C$21)</f>
        <v>600</v>
      </c>
      <c r="S40" s="28">
        <f>S23*_xlfn.XLOOKUP($L40,'Balizador da Meta'!$B$4:$B$21,'Balizador da Meta'!$C$4:$C$21)</f>
        <v>600</v>
      </c>
      <c r="T40" s="28">
        <f>T23*_xlfn.XLOOKUP($L40,'Balizador da Meta'!$B$4:$B$21,'Balizador da Meta'!$C$4:$C$21)</f>
        <v>720</v>
      </c>
      <c r="U40" s="28">
        <f>U23*_xlfn.XLOOKUP($L40,'Balizador da Meta'!$B$4:$B$21,'Balizador da Meta'!$C$4:$C$21)</f>
        <v>720</v>
      </c>
      <c r="V40" s="28">
        <f>V23*_xlfn.XLOOKUP($L40,'Balizador da Meta'!$B$4:$B$21,'Balizador da Meta'!$C$4:$C$21)</f>
        <v>720</v>
      </c>
      <c r="W40" s="28">
        <f>W23*_xlfn.XLOOKUP($L40,'Balizador da Meta'!$B$4:$B$21,'Balizador da Meta'!$C$4:$C$21)</f>
        <v>840</v>
      </c>
      <c r="X40" s="28">
        <f>X23*_xlfn.XLOOKUP($L40,'Balizador da Meta'!$B$4:$B$21,'Balizador da Meta'!$C$4:$C$21)</f>
        <v>840</v>
      </c>
      <c r="Y40" s="28">
        <f>Y23*_xlfn.XLOOKUP($L40,'Balizador da Meta'!$B$4:$B$21,'Balizador da Meta'!$C$4:$C$21)</f>
        <v>840</v>
      </c>
      <c r="Z40" s="30">
        <f t="shared" si="10"/>
        <v>8040</v>
      </c>
      <c r="AA40" s="29"/>
      <c r="AB40" s="31">
        <f>SUMIFS('Historico - FAT'!AK:AK,'Historico - FAT'!$K:$K,Faturamento!$L40,'Historico - FAT'!$I:$I,Faturamento!$J40,'Historico - FAT'!$G:$G,Faturamento!$H40)</f>
        <v>0</v>
      </c>
      <c r="AC40" s="31">
        <f>SUMIFS('Historico - FAT'!AL:AL,'Historico - FAT'!$K:$K,Faturamento!$L40,'Historico - FAT'!$I:$I,Faturamento!$J40,'Historico - FAT'!$G:$G,Faturamento!$H40)</f>
        <v>0</v>
      </c>
      <c r="AD40" s="31">
        <f>SUMIFS('Historico - FAT'!AM:AM,'Historico - FAT'!$K:$K,Faturamento!$L40,'Historico - FAT'!$I:$I,Faturamento!$J40,'Historico - FAT'!$G:$G,Faturamento!$H40)</f>
        <v>0</v>
      </c>
      <c r="AE40" s="27">
        <f>SUMIFS('Historico - FAT'!AN:AN,'Historico - FAT'!$K:$K,Faturamento!$L40,'Historico - FAT'!$I:$I,Faturamento!$J40,'Historico - FAT'!$G:$G,Faturamento!$H40)</f>
        <v>0</v>
      </c>
      <c r="AG40" s="24">
        <f t="shared" si="6"/>
        <v>1</v>
      </c>
      <c r="AH40" s="24">
        <f t="shared" si="7"/>
        <v>1</v>
      </c>
      <c r="AI40" s="24">
        <f t="shared" si="8"/>
        <v>1</v>
      </c>
    </row>
    <row r="41" spans="1:35" hidden="1" x14ac:dyDescent="0.3">
      <c r="A41" s="2" t="str">
        <f t="shared" si="3"/>
        <v>NÃO</v>
      </c>
      <c r="B41" s="2">
        <v>1000184670</v>
      </c>
      <c r="C41" s="2" t="s">
        <v>147</v>
      </c>
      <c r="D41" s="4">
        <v>1000186197</v>
      </c>
      <c r="E41" s="4" t="s">
        <v>166</v>
      </c>
      <c r="F41" s="2">
        <v>1000198600</v>
      </c>
      <c r="G41" s="2" t="s">
        <v>148</v>
      </c>
      <c r="H41" s="4">
        <v>1000198601</v>
      </c>
      <c r="I41" s="4" t="s">
        <v>149</v>
      </c>
      <c r="J41" s="2">
        <v>1000189750</v>
      </c>
      <c r="K41" s="2" t="s">
        <v>136</v>
      </c>
      <c r="L41" s="4" t="s">
        <v>25</v>
      </c>
      <c r="M41" s="4" t="str">
        <f t="shared" si="4"/>
        <v>1000184670100018619710001986011000189750VICCIO</v>
      </c>
      <c r="N41" s="28">
        <f>N23*_xlfn.XLOOKUP($L41,'Balizador da Meta'!$B$4:$B$21,'Balizador da Meta'!$C$4:$C$21)</f>
        <v>180</v>
      </c>
      <c r="O41" s="28">
        <f>O23*_xlfn.XLOOKUP($L41,'Balizador da Meta'!$B$4:$B$21,'Balizador da Meta'!$C$4:$C$21)</f>
        <v>180</v>
      </c>
      <c r="P41" s="28">
        <f>P23*_xlfn.XLOOKUP($L41,'Balizador da Meta'!$B$4:$B$21,'Balizador da Meta'!$C$4:$C$21)</f>
        <v>225</v>
      </c>
      <c r="Q41" s="28">
        <f>Q23*_xlfn.XLOOKUP($L41,'Balizador da Meta'!$B$4:$B$21,'Balizador da Meta'!$C$4:$C$21)</f>
        <v>225</v>
      </c>
      <c r="R41" s="28">
        <f>R23*_xlfn.XLOOKUP($L41,'Balizador da Meta'!$B$4:$B$21,'Balizador da Meta'!$C$4:$C$21)</f>
        <v>225</v>
      </c>
      <c r="S41" s="28">
        <f>S23*_xlfn.XLOOKUP($L41,'Balizador da Meta'!$B$4:$B$21,'Balizador da Meta'!$C$4:$C$21)</f>
        <v>225</v>
      </c>
      <c r="T41" s="28">
        <f>T23*_xlfn.XLOOKUP($L41,'Balizador da Meta'!$B$4:$B$21,'Balizador da Meta'!$C$4:$C$21)</f>
        <v>270</v>
      </c>
      <c r="U41" s="28">
        <f>U23*_xlfn.XLOOKUP($L41,'Balizador da Meta'!$B$4:$B$21,'Balizador da Meta'!$C$4:$C$21)</f>
        <v>270</v>
      </c>
      <c r="V41" s="28">
        <f>V23*_xlfn.XLOOKUP($L41,'Balizador da Meta'!$B$4:$B$21,'Balizador da Meta'!$C$4:$C$21)</f>
        <v>270</v>
      </c>
      <c r="W41" s="28">
        <f>W23*_xlfn.XLOOKUP($L41,'Balizador da Meta'!$B$4:$B$21,'Balizador da Meta'!$C$4:$C$21)</f>
        <v>315</v>
      </c>
      <c r="X41" s="28">
        <f>X23*_xlfn.XLOOKUP($L41,'Balizador da Meta'!$B$4:$B$21,'Balizador da Meta'!$C$4:$C$21)</f>
        <v>315</v>
      </c>
      <c r="Y41" s="28">
        <f>Y23*_xlfn.XLOOKUP($L41,'Balizador da Meta'!$B$4:$B$21,'Balizador da Meta'!$C$4:$C$21)</f>
        <v>315</v>
      </c>
      <c r="Z41" s="30">
        <f t="shared" si="10"/>
        <v>3015</v>
      </c>
      <c r="AA41" s="29"/>
      <c r="AB41" s="31">
        <f>SUMIFS('Historico - FAT'!AK:AK,'Historico - FAT'!$K:$K,Faturamento!$L41,'Historico - FAT'!$I:$I,Faturamento!$J41,'Historico - FAT'!$G:$G,Faturamento!$H41)</f>
        <v>0</v>
      </c>
      <c r="AC41" s="31">
        <f>SUMIFS('Historico - FAT'!AL:AL,'Historico - FAT'!$K:$K,Faturamento!$L41,'Historico - FAT'!$I:$I,Faturamento!$J41,'Historico - FAT'!$G:$G,Faturamento!$H41)</f>
        <v>9.1391666666666662</v>
      </c>
      <c r="AD41" s="31">
        <f>SUMIFS('Historico - FAT'!AM:AM,'Historico - FAT'!$K:$K,Faturamento!$L41,'Historico - FAT'!$I:$I,Faturamento!$J41,'Historico - FAT'!$G:$G,Faturamento!$H41)</f>
        <v>18.278333333333332</v>
      </c>
      <c r="AE41" s="27">
        <f>SUMIFS('Historico - FAT'!AN:AN,'Historico - FAT'!$K:$K,Faturamento!$L41,'Historico - FAT'!$I:$I,Faturamento!$J41,'Historico - FAT'!$G:$G,Faturamento!$H41)</f>
        <v>10.967000000000001</v>
      </c>
      <c r="AG41" s="24">
        <f t="shared" si="6"/>
        <v>1</v>
      </c>
      <c r="AH41" s="24">
        <f t="shared" si="7"/>
        <v>0.97098677248677256</v>
      </c>
      <c r="AI41" s="24">
        <f t="shared" si="8"/>
        <v>0.94197354497354502</v>
      </c>
    </row>
    <row r="42" spans="1:35" x14ac:dyDescent="0.3">
      <c r="A42" s="2" t="str">
        <f t="shared" si="3"/>
        <v>SIM</v>
      </c>
      <c r="B42" s="2">
        <v>1000184670</v>
      </c>
      <c r="C42" s="2" t="s">
        <v>147</v>
      </c>
      <c r="D42" s="4">
        <v>1000186197</v>
      </c>
      <c r="E42" s="4" t="s">
        <v>166</v>
      </c>
      <c r="F42" s="2">
        <v>1000198600</v>
      </c>
      <c r="G42" s="2" t="s">
        <v>148</v>
      </c>
      <c r="H42" s="4">
        <v>1000198601</v>
      </c>
      <c r="I42" s="4" t="s">
        <v>149</v>
      </c>
      <c r="J42" s="2">
        <v>1000189751</v>
      </c>
      <c r="K42" s="2" t="s">
        <v>137</v>
      </c>
      <c r="L42" s="4" t="s">
        <v>124</v>
      </c>
      <c r="M42" s="4" t="str">
        <f t="shared" si="4"/>
        <v>100018467010001861971000198601100018975101. TOTAL</v>
      </c>
      <c r="N42" s="28">
        <f>SUMIFS(Positivação!L:L,Positivação!$I:$I,Faturamento!$J42,Positivação!$G:$G,Faturamento!$H42)*SUMIFS(Positivação!$Z:$Z,Positivação!$I:$I,Faturamento!$J42,Positivação!$G:$G,Faturamento!$H42)</f>
        <v>52500</v>
      </c>
      <c r="O42" s="28">
        <f>SUMIFS(Positivação!M:M,Positivação!$I:$I,Faturamento!$J42,Positivação!$G:$G,Faturamento!$H42)*SUMIFS(Positivação!$Z:$Z,Positivação!$I:$I,Faturamento!$J42,Positivação!$G:$G,Faturamento!$H42)</f>
        <v>55500</v>
      </c>
      <c r="P42" s="28">
        <f>SUMIFS(Positivação!N:N,Positivação!$I:$I,Faturamento!$J42,Positivação!$G:$G,Faturamento!$H42)*SUMIFS(Positivação!$Z:$Z,Positivação!$I:$I,Faturamento!$J42,Positivação!$G:$G,Faturamento!$H42)</f>
        <v>57000</v>
      </c>
      <c r="Q42" s="28">
        <f>SUMIFS(Positivação!O:O,Positivação!$I:$I,Faturamento!$J42,Positivação!$G:$G,Faturamento!$H42)*SUMIFS(Positivação!$Z:$Z,Positivação!$I:$I,Faturamento!$J42,Positivação!$G:$G,Faturamento!$H42)</f>
        <v>60000</v>
      </c>
      <c r="R42" s="28">
        <f>SUMIFS(Positivação!P:P,Positivação!$I:$I,Faturamento!$J42,Positivação!$G:$G,Faturamento!$H42)*SUMIFS(Positivação!$Z:$Z,Positivação!$I:$I,Faturamento!$J42,Positivação!$G:$G,Faturamento!$H42)</f>
        <v>61500</v>
      </c>
      <c r="S42" s="28">
        <f>SUMIFS(Positivação!Q:Q,Positivação!$I:$I,Faturamento!$J42,Positivação!$G:$G,Faturamento!$H42)*SUMIFS(Positivação!$Z:$Z,Positivação!$I:$I,Faturamento!$J42,Positivação!$G:$G,Faturamento!$H42)</f>
        <v>64500</v>
      </c>
      <c r="T42" s="28">
        <f>SUMIFS(Positivação!R:R,Positivação!$I:$I,Faturamento!$J42,Positivação!$G:$G,Faturamento!$H42)*SUMIFS(Positivação!$Z:$Z,Positivação!$I:$I,Faturamento!$J42,Positivação!$G:$G,Faturamento!$H42)</f>
        <v>66000</v>
      </c>
      <c r="U42" s="28">
        <f>SUMIFS(Positivação!S:S,Positivação!$I:$I,Faturamento!$J42,Positivação!$G:$G,Faturamento!$H42)*SUMIFS(Positivação!$Z:$Z,Positivação!$I:$I,Faturamento!$J42,Positivação!$G:$G,Faturamento!$H42)</f>
        <v>69000</v>
      </c>
      <c r="V42" s="28">
        <f>SUMIFS(Positivação!T:T,Positivação!$I:$I,Faturamento!$J42,Positivação!$G:$G,Faturamento!$H42)*SUMIFS(Positivação!$Z:$Z,Positivação!$I:$I,Faturamento!$J42,Positivação!$G:$G,Faturamento!$H42)</f>
        <v>70500</v>
      </c>
      <c r="W42" s="28">
        <f>SUMIFS(Positivação!U:U,Positivação!$I:$I,Faturamento!$J42,Positivação!$G:$G,Faturamento!$H42)*SUMIFS(Positivação!$Z:$Z,Positivação!$I:$I,Faturamento!$J42,Positivação!$G:$G,Faturamento!$H42)</f>
        <v>73500</v>
      </c>
      <c r="X42" s="28">
        <f>SUMIFS(Positivação!V:V,Positivação!$I:$I,Faturamento!$J42,Positivação!$G:$G,Faturamento!$H42)*SUMIFS(Positivação!$Z:$Z,Positivação!$I:$I,Faturamento!$J42,Positivação!$G:$G,Faturamento!$H42)</f>
        <v>75000</v>
      </c>
      <c r="Y42" s="28">
        <f>SUMIFS(Positivação!W:W,Positivação!$I:$I,Faturamento!$J42,Positivação!$G:$G,Faturamento!$H42)*SUMIFS(Positivação!$Z:$Z,Positivação!$I:$I,Faturamento!$J42,Positivação!$G:$G,Faturamento!$H42)</f>
        <v>78000</v>
      </c>
      <c r="Z42" s="28">
        <f t="shared" ref="Z42" si="11">SUM(Z43:Z60)</f>
        <v>783000</v>
      </c>
      <c r="AA42" s="29"/>
      <c r="AB42" s="28">
        <f t="shared" ref="AB42:AE42" si="12">SUM(AB43:AB60)</f>
        <v>0</v>
      </c>
      <c r="AC42" s="28">
        <f t="shared" si="12"/>
        <v>829.65333333333331</v>
      </c>
      <c r="AD42" s="28">
        <f t="shared" si="12"/>
        <v>1659.3066666666666</v>
      </c>
      <c r="AE42" s="28">
        <f t="shared" si="12"/>
        <v>995.58399999999995</v>
      </c>
      <c r="AG42" s="24">
        <f t="shared" si="6"/>
        <v>1</v>
      </c>
      <c r="AH42" s="24">
        <f t="shared" si="7"/>
        <v>0.98901121412803528</v>
      </c>
      <c r="AI42" s="24">
        <f t="shared" si="8"/>
        <v>0.97802242825607055</v>
      </c>
    </row>
    <row r="43" spans="1:35" hidden="1" x14ac:dyDescent="0.3">
      <c r="A43" s="2" t="str">
        <f t="shared" si="3"/>
        <v>NÃO</v>
      </c>
      <c r="B43" s="2">
        <v>1000184670</v>
      </c>
      <c r="C43" s="2" t="s">
        <v>147</v>
      </c>
      <c r="D43" s="4">
        <v>1000186197</v>
      </c>
      <c r="E43" s="4" t="s">
        <v>166</v>
      </c>
      <c r="F43" s="2">
        <v>1000198600</v>
      </c>
      <c r="G43" s="2" t="s">
        <v>148</v>
      </c>
      <c r="H43" s="4">
        <v>1000198601</v>
      </c>
      <c r="I43" s="4" t="s">
        <v>149</v>
      </c>
      <c r="J43" s="2">
        <v>1000189751</v>
      </c>
      <c r="K43" s="2" t="s">
        <v>137</v>
      </c>
      <c r="L43" s="4" t="s">
        <v>13</v>
      </c>
      <c r="M43" s="4" t="str">
        <f t="shared" si="4"/>
        <v>1000184670100018619710001986011000189751BISCOITO</v>
      </c>
      <c r="N43" s="28">
        <f>N42*_xlfn.XLOOKUP($L43,'Balizador da Meta'!$B$4:$B$21,'Balizador da Meta'!$C$4:$C$21)</f>
        <v>3675.0000000000005</v>
      </c>
      <c r="O43" s="28">
        <f>O42*_xlfn.XLOOKUP($L43,'Balizador da Meta'!$B$4:$B$21,'Balizador da Meta'!$C$4:$C$21)</f>
        <v>3885.0000000000005</v>
      </c>
      <c r="P43" s="28">
        <f>P42*_xlfn.XLOOKUP($L43,'Balizador da Meta'!$B$4:$B$21,'Balizador da Meta'!$C$4:$C$21)</f>
        <v>3990.0000000000005</v>
      </c>
      <c r="Q43" s="28">
        <f>Q42*_xlfn.XLOOKUP($L43,'Balizador da Meta'!$B$4:$B$21,'Balizador da Meta'!$C$4:$C$21)</f>
        <v>4200</v>
      </c>
      <c r="R43" s="28">
        <f>R42*_xlfn.XLOOKUP($L43,'Balizador da Meta'!$B$4:$B$21,'Balizador da Meta'!$C$4:$C$21)</f>
        <v>4305</v>
      </c>
      <c r="S43" s="28">
        <f>S42*_xlfn.XLOOKUP($L43,'Balizador da Meta'!$B$4:$B$21,'Balizador da Meta'!$C$4:$C$21)</f>
        <v>4515</v>
      </c>
      <c r="T43" s="28">
        <f>T42*_xlfn.XLOOKUP($L43,'Balizador da Meta'!$B$4:$B$21,'Balizador da Meta'!$C$4:$C$21)</f>
        <v>4620</v>
      </c>
      <c r="U43" s="28">
        <f>U42*_xlfn.XLOOKUP($L43,'Balizador da Meta'!$B$4:$B$21,'Balizador da Meta'!$C$4:$C$21)</f>
        <v>4830.0000000000009</v>
      </c>
      <c r="V43" s="28">
        <f>V42*_xlfn.XLOOKUP($L43,'Balizador da Meta'!$B$4:$B$21,'Balizador da Meta'!$C$4:$C$21)</f>
        <v>4935.0000000000009</v>
      </c>
      <c r="W43" s="28">
        <f>W42*_xlfn.XLOOKUP($L43,'Balizador da Meta'!$B$4:$B$21,'Balizador da Meta'!$C$4:$C$21)</f>
        <v>5145.0000000000009</v>
      </c>
      <c r="X43" s="28">
        <f>X42*_xlfn.XLOOKUP($L43,'Balizador da Meta'!$B$4:$B$21,'Balizador da Meta'!$C$4:$C$21)</f>
        <v>5250.0000000000009</v>
      </c>
      <c r="Y43" s="28">
        <f>Y42*_xlfn.XLOOKUP($L43,'Balizador da Meta'!$B$4:$B$21,'Balizador da Meta'!$C$4:$C$21)</f>
        <v>5460.0000000000009</v>
      </c>
      <c r="Z43" s="30">
        <f t="shared" ref="Z43:Z60" si="13">SUM(N43:Y43)</f>
        <v>54810</v>
      </c>
      <c r="AA43" s="29"/>
      <c r="AB43" s="31">
        <f>SUMIFS('Historico - FAT'!AK:AK,'Historico - FAT'!$K:$K,Faturamento!$L43,'Historico - FAT'!$I:$I,Faturamento!$J43,'Historico - FAT'!$G:$G,Faturamento!$H43)</f>
        <v>0</v>
      </c>
      <c r="AC43" s="31">
        <f>SUMIFS('Historico - FAT'!AL:AL,'Historico - FAT'!$K:$K,Faturamento!$L43,'Historico - FAT'!$I:$I,Faturamento!$J43,'Historico - FAT'!$G:$G,Faturamento!$H43)</f>
        <v>18.57</v>
      </c>
      <c r="AD43" s="31">
        <f>SUMIFS('Historico - FAT'!AM:AM,'Historico - FAT'!$K:$K,Faturamento!$L43,'Historico - FAT'!$I:$I,Faturamento!$J43,'Historico - FAT'!$G:$G,Faturamento!$H43)</f>
        <v>37.14</v>
      </c>
      <c r="AE43" s="27">
        <f>SUMIFS('Historico - FAT'!AN:AN,'Historico - FAT'!$K:$K,Faturamento!$L43,'Historico - FAT'!$I:$I,Faturamento!$J43,'Historico - FAT'!$G:$G,Faturamento!$H43)</f>
        <v>22.283999999999999</v>
      </c>
      <c r="AG43" s="24">
        <f t="shared" si="6"/>
        <v>1</v>
      </c>
      <c r="AH43" s="24">
        <f t="shared" si="7"/>
        <v>0.99648628192999056</v>
      </c>
      <c r="AI43" s="24">
        <f t="shared" si="8"/>
        <v>0.99297256385998101</v>
      </c>
    </row>
    <row r="44" spans="1:35" hidden="1" x14ac:dyDescent="0.3">
      <c r="A44" s="2" t="str">
        <f t="shared" si="3"/>
        <v>NÃO</v>
      </c>
      <c r="B44" s="2">
        <v>1000184670</v>
      </c>
      <c r="C44" s="2" t="s">
        <v>147</v>
      </c>
      <c r="D44" s="4">
        <v>1000186197</v>
      </c>
      <c r="E44" s="4" t="s">
        <v>166</v>
      </c>
      <c r="F44" s="2">
        <v>1000198600</v>
      </c>
      <c r="G44" s="2" t="s">
        <v>148</v>
      </c>
      <c r="H44" s="4">
        <v>1000198601</v>
      </c>
      <c r="I44" s="4" t="s">
        <v>149</v>
      </c>
      <c r="J44" s="2">
        <v>1000189751</v>
      </c>
      <c r="K44" s="2" t="s">
        <v>137</v>
      </c>
      <c r="L44" s="4" t="s">
        <v>14</v>
      </c>
      <c r="M44" s="4" t="str">
        <f t="shared" si="4"/>
        <v>1000184670100018619710001986011000189751CHOCOLATES</v>
      </c>
      <c r="N44" s="28">
        <f>N42*_xlfn.XLOOKUP($L44,'Balizador da Meta'!$B$4:$B$21,'Balizador da Meta'!$C$4:$C$21)</f>
        <v>3675.0000000000005</v>
      </c>
      <c r="O44" s="28">
        <f>O42*_xlfn.XLOOKUP($L44,'Balizador da Meta'!$B$4:$B$21,'Balizador da Meta'!$C$4:$C$21)</f>
        <v>3885.0000000000005</v>
      </c>
      <c r="P44" s="28">
        <f>P42*_xlfn.XLOOKUP($L44,'Balizador da Meta'!$B$4:$B$21,'Balizador da Meta'!$C$4:$C$21)</f>
        <v>3990.0000000000005</v>
      </c>
      <c r="Q44" s="28">
        <f>Q42*_xlfn.XLOOKUP($L44,'Balizador da Meta'!$B$4:$B$21,'Balizador da Meta'!$C$4:$C$21)</f>
        <v>4200</v>
      </c>
      <c r="R44" s="28">
        <f>R42*_xlfn.XLOOKUP($L44,'Balizador da Meta'!$B$4:$B$21,'Balizador da Meta'!$C$4:$C$21)</f>
        <v>4305</v>
      </c>
      <c r="S44" s="28">
        <f>S42*_xlfn.XLOOKUP($L44,'Balizador da Meta'!$B$4:$B$21,'Balizador da Meta'!$C$4:$C$21)</f>
        <v>4515</v>
      </c>
      <c r="T44" s="28">
        <f>T42*_xlfn.XLOOKUP($L44,'Balizador da Meta'!$B$4:$B$21,'Balizador da Meta'!$C$4:$C$21)</f>
        <v>4620</v>
      </c>
      <c r="U44" s="28">
        <f>U42*_xlfn.XLOOKUP($L44,'Balizador da Meta'!$B$4:$B$21,'Balizador da Meta'!$C$4:$C$21)</f>
        <v>4830.0000000000009</v>
      </c>
      <c r="V44" s="28">
        <f>V42*_xlfn.XLOOKUP($L44,'Balizador da Meta'!$B$4:$B$21,'Balizador da Meta'!$C$4:$C$21)</f>
        <v>4935.0000000000009</v>
      </c>
      <c r="W44" s="28">
        <f>W42*_xlfn.XLOOKUP($L44,'Balizador da Meta'!$B$4:$B$21,'Balizador da Meta'!$C$4:$C$21)</f>
        <v>5145.0000000000009</v>
      </c>
      <c r="X44" s="28">
        <f>X42*_xlfn.XLOOKUP($L44,'Balizador da Meta'!$B$4:$B$21,'Balizador da Meta'!$C$4:$C$21)</f>
        <v>5250.0000000000009</v>
      </c>
      <c r="Y44" s="28">
        <f>Y42*_xlfn.XLOOKUP($L44,'Balizador da Meta'!$B$4:$B$21,'Balizador da Meta'!$C$4:$C$21)</f>
        <v>5460.0000000000009</v>
      </c>
      <c r="Z44" s="30">
        <f t="shared" si="13"/>
        <v>54810</v>
      </c>
      <c r="AA44" s="29"/>
      <c r="AB44" s="31">
        <f>SUMIFS('Historico - FAT'!AK:AK,'Historico - FAT'!$K:$K,Faturamento!$L44,'Historico - FAT'!$I:$I,Faturamento!$J44,'Historico - FAT'!$G:$G,Faturamento!$H44)</f>
        <v>0</v>
      </c>
      <c r="AC44" s="31">
        <f>SUMIFS('Historico - FAT'!AL:AL,'Historico - FAT'!$K:$K,Faturamento!$L44,'Historico - FAT'!$I:$I,Faturamento!$J44,'Historico - FAT'!$G:$G,Faturamento!$H44)</f>
        <v>0</v>
      </c>
      <c r="AD44" s="31">
        <f>SUMIFS('Historico - FAT'!AM:AM,'Historico - FAT'!$K:$K,Faturamento!$L44,'Historico - FAT'!$I:$I,Faturamento!$J44,'Historico - FAT'!$G:$G,Faturamento!$H44)</f>
        <v>0</v>
      </c>
      <c r="AE44" s="27">
        <f>SUMIFS('Historico - FAT'!AN:AN,'Historico - FAT'!$K:$K,Faturamento!$L44,'Historico - FAT'!$I:$I,Faturamento!$J44,'Historico - FAT'!$G:$G,Faturamento!$H44)</f>
        <v>0</v>
      </c>
      <c r="AG44" s="24">
        <f t="shared" si="6"/>
        <v>1</v>
      </c>
      <c r="AH44" s="24">
        <f t="shared" si="7"/>
        <v>1</v>
      </c>
      <c r="AI44" s="24">
        <f t="shared" si="8"/>
        <v>1</v>
      </c>
    </row>
    <row r="45" spans="1:35" hidden="1" x14ac:dyDescent="0.3">
      <c r="A45" s="2" t="str">
        <f t="shared" si="3"/>
        <v>NÃO</v>
      </c>
      <c r="B45" s="2">
        <v>1000184670</v>
      </c>
      <c r="C45" s="2" t="s">
        <v>147</v>
      </c>
      <c r="D45" s="4">
        <v>1000186197</v>
      </c>
      <c r="E45" s="4" t="s">
        <v>166</v>
      </c>
      <c r="F45" s="2">
        <v>1000198600</v>
      </c>
      <c r="G45" s="2" t="s">
        <v>148</v>
      </c>
      <c r="H45" s="4">
        <v>1000198601</v>
      </c>
      <c r="I45" s="4" t="s">
        <v>149</v>
      </c>
      <c r="J45" s="2">
        <v>1000189751</v>
      </c>
      <c r="K45" s="2" t="s">
        <v>137</v>
      </c>
      <c r="L45" s="4" t="s">
        <v>16</v>
      </c>
      <c r="M45" s="4" t="str">
        <f t="shared" si="4"/>
        <v>1000184670100018619710001986011000189751DISNEY</v>
      </c>
      <c r="N45" s="28">
        <f>N42*_xlfn.XLOOKUP($L45,'Balizador da Meta'!$B$4:$B$21,'Balizador da Meta'!$C$4:$C$21)</f>
        <v>4200</v>
      </c>
      <c r="O45" s="28">
        <f>O42*_xlfn.XLOOKUP($L45,'Balizador da Meta'!$B$4:$B$21,'Balizador da Meta'!$C$4:$C$21)</f>
        <v>4440</v>
      </c>
      <c r="P45" s="28">
        <f>P42*_xlfn.XLOOKUP($L45,'Balizador da Meta'!$B$4:$B$21,'Balizador da Meta'!$C$4:$C$21)</f>
        <v>4560</v>
      </c>
      <c r="Q45" s="28">
        <f>Q42*_xlfn.XLOOKUP($L45,'Balizador da Meta'!$B$4:$B$21,'Balizador da Meta'!$C$4:$C$21)</f>
        <v>4800</v>
      </c>
      <c r="R45" s="28">
        <f>R42*_xlfn.XLOOKUP($L45,'Balizador da Meta'!$B$4:$B$21,'Balizador da Meta'!$C$4:$C$21)</f>
        <v>4920</v>
      </c>
      <c r="S45" s="28">
        <f>S42*_xlfn.XLOOKUP($L45,'Balizador da Meta'!$B$4:$B$21,'Balizador da Meta'!$C$4:$C$21)</f>
        <v>5160</v>
      </c>
      <c r="T45" s="28">
        <f>T42*_xlfn.XLOOKUP($L45,'Balizador da Meta'!$B$4:$B$21,'Balizador da Meta'!$C$4:$C$21)</f>
        <v>5280</v>
      </c>
      <c r="U45" s="28">
        <f>U42*_xlfn.XLOOKUP($L45,'Balizador da Meta'!$B$4:$B$21,'Balizador da Meta'!$C$4:$C$21)</f>
        <v>5520</v>
      </c>
      <c r="V45" s="28">
        <f>V42*_xlfn.XLOOKUP($L45,'Balizador da Meta'!$B$4:$B$21,'Balizador da Meta'!$C$4:$C$21)</f>
        <v>5640</v>
      </c>
      <c r="W45" s="28">
        <f>W42*_xlfn.XLOOKUP($L45,'Balizador da Meta'!$B$4:$B$21,'Balizador da Meta'!$C$4:$C$21)</f>
        <v>5880</v>
      </c>
      <c r="X45" s="28">
        <f>X42*_xlfn.XLOOKUP($L45,'Balizador da Meta'!$B$4:$B$21,'Balizador da Meta'!$C$4:$C$21)</f>
        <v>6000</v>
      </c>
      <c r="Y45" s="28">
        <f>Y42*_xlfn.XLOOKUP($L45,'Balizador da Meta'!$B$4:$B$21,'Balizador da Meta'!$C$4:$C$21)</f>
        <v>6240</v>
      </c>
      <c r="Z45" s="30">
        <f t="shared" si="13"/>
        <v>62640</v>
      </c>
      <c r="AA45" s="29"/>
      <c r="AB45" s="31">
        <f>SUMIFS('Historico - FAT'!AK:AK,'Historico - FAT'!$K:$K,Faturamento!$L45,'Historico - FAT'!$I:$I,Faturamento!$J45,'Historico - FAT'!$G:$G,Faturamento!$H45)</f>
        <v>0</v>
      </c>
      <c r="AC45" s="31">
        <f>SUMIFS('Historico - FAT'!AL:AL,'Historico - FAT'!$K:$K,Faturamento!$L45,'Historico - FAT'!$I:$I,Faturamento!$J45,'Historico - FAT'!$G:$G,Faturamento!$H45)</f>
        <v>103.1925</v>
      </c>
      <c r="AD45" s="31">
        <f>SUMIFS('Historico - FAT'!AM:AM,'Historico - FAT'!$K:$K,Faturamento!$L45,'Historico - FAT'!$I:$I,Faturamento!$J45,'Historico - FAT'!$G:$G,Faturamento!$H45)</f>
        <v>206.38499999999999</v>
      </c>
      <c r="AE45" s="27">
        <f>SUMIFS('Historico - FAT'!AN:AN,'Historico - FAT'!$K:$K,Faturamento!$L45,'Historico - FAT'!$I:$I,Faturamento!$J45,'Historico - FAT'!$G:$G,Faturamento!$H45)</f>
        <v>123.83099999999999</v>
      </c>
      <c r="AG45" s="24">
        <f t="shared" si="6"/>
        <v>1</v>
      </c>
      <c r="AH45" s="24">
        <f t="shared" si="7"/>
        <v>0.98291514900662247</v>
      </c>
      <c r="AI45" s="24">
        <f t="shared" si="8"/>
        <v>0.96583029801324505</v>
      </c>
    </row>
    <row r="46" spans="1:35" hidden="1" x14ac:dyDescent="0.3">
      <c r="A46" s="2" t="str">
        <f t="shared" si="3"/>
        <v>NÃO</v>
      </c>
      <c r="B46" s="2">
        <v>1000184670</v>
      </c>
      <c r="C46" s="2" t="s">
        <v>147</v>
      </c>
      <c r="D46" s="4">
        <v>1000186197</v>
      </c>
      <c r="E46" s="4" t="s">
        <v>166</v>
      </c>
      <c r="F46" s="2">
        <v>1000198600</v>
      </c>
      <c r="G46" s="2" t="s">
        <v>148</v>
      </c>
      <c r="H46" s="4">
        <v>1000198601</v>
      </c>
      <c r="I46" s="4" t="s">
        <v>149</v>
      </c>
      <c r="J46" s="2">
        <v>1000189751</v>
      </c>
      <c r="K46" s="2" t="s">
        <v>137</v>
      </c>
      <c r="L46" s="4" t="s">
        <v>15</v>
      </c>
      <c r="M46" s="4" t="str">
        <f t="shared" si="4"/>
        <v>1000184670100018619710001986011000189751DOCES</v>
      </c>
      <c r="N46" s="28">
        <f>N42*_xlfn.XLOOKUP($L46,'Balizador da Meta'!$B$4:$B$21,'Balizador da Meta'!$C$4:$C$21)</f>
        <v>4725</v>
      </c>
      <c r="O46" s="28">
        <f>O42*_xlfn.XLOOKUP($L46,'Balizador da Meta'!$B$4:$B$21,'Balizador da Meta'!$C$4:$C$21)</f>
        <v>4995</v>
      </c>
      <c r="P46" s="28">
        <f>P42*_xlfn.XLOOKUP($L46,'Balizador da Meta'!$B$4:$B$21,'Balizador da Meta'!$C$4:$C$21)</f>
        <v>5130</v>
      </c>
      <c r="Q46" s="28">
        <f>Q42*_xlfn.XLOOKUP($L46,'Balizador da Meta'!$B$4:$B$21,'Balizador da Meta'!$C$4:$C$21)</f>
        <v>5400</v>
      </c>
      <c r="R46" s="28">
        <f>R42*_xlfn.XLOOKUP($L46,'Balizador da Meta'!$B$4:$B$21,'Balizador da Meta'!$C$4:$C$21)</f>
        <v>5535</v>
      </c>
      <c r="S46" s="28">
        <f>S42*_xlfn.XLOOKUP($L46,'Balizador da Meta'!$B$4:$B$21,'Balizador da Meta'!$C$4:$C$21)</f>
        <v>5805</v>
      </c>
      <c r="T46" s="28">
        <f>T42*_xlfn.XLOOKUP($L46,'Balizador da Meta'!$B$4:$B$21,'Balizador da Meta'!$C$4:$C$21)</f>
        <v>5940</v>
      </c>
      <c r="U46" s="28">
        <f>U42*_xlfn.XLOOKUP($L46,'Balizador da Meta'!$B$4:$B$21,'Balizador da Meta'!$C$4:$C$21)</f>
        <v>6210</v>
      </c>
      <c r="V46" s="28">
        <f>V42*_xlfn.XLOOKUP($L46,'Balizador da Meta'!$B$4:$B$21,'Balizador da Meta'!$C$4:$C$21)</f>
        <v>6345</v>
      </c>
      <c r="W46" s="28">
        <f>W42*_xlfn.XLOOKUP($L46,'Balizador da Meta'!$B$4:$B$21,'Balizador da Meta'!$C$4:$C$21)</f>
        <v>6615</v>
      </c>
      <c r="X46" s="28">
        <f>X42*_xlfn.XLOOKUP($L46,'Balizador da Meta'!$B$4:$B$21,'Balizador da Meta'!$C$4:$C$21)</f>
        <v>6750</v>
      </c>
      <c r="Y46" s="28">
        <f>Y42*_xlfn.XLOOKUP($L46,'Balizador da Meta'!$B$4:$B$21,'Balizador da Meta'!$C$4:$C$21)</f>
        <v>7020</v>
      </c>
      <c r="Z46" s="30">
        <f t="shared" si="13"/>
        <v>70470</v>
      </c>
      <c r="AA46" s="29"/>
      <c r="AB46" s="31">
        <f>SUMIFS('Historico - FAT'!AK:AK,'Historico - FAT'!$K:$K,Faturamento!$L46,'Historico - FAT'!$I:$I,Faturamento!$J46,'Historico - FAT'!$G:$G,Faturamento!$H46)</f>
        <v>0</v>
      </c>
      <c r="AC46" s="31">
        <f>SUMIFS('Historico - FAT'!AL:AL,'Historico - FAT'!$K:$K,Faturamento!$L46,'Historico - FAT'!$I:$I,Faturamento!$J46,'Historico - FAT'!$G:$G,Faturamento!$H46)</f>
        <v>100.98666666666668</v>
      </c>
      <c r="AD46" s="31">
        <f>SUMIFS('Historico - FAT'!AM:AM,'Historico - FAT'!$K:$K,Faturamento!$L46,'Historico - FAT'!$I:$I,Faturamento!$J46,'Historico - FAT'!$G:$G,Faturamento!$H46)</f>
        <v>201.97333333333336</v>
      </c>
      <c r="AE46" s="27">
        <f>SUMIFS('Historico - FAT'!AN:AN,'Historico - FAT'!$K:$K,Faturamento!$L46,'Historico - FAT'!$I:$I,Faturamento!$J46,'Historico - FAT'!$G:$G,Faturamento!$H46)</f>
        <v>121.18400000000001</v>
      </c>
      <c r="AG46" s="24">
        <f t="shared" si="6"/>
        <v>1</v>
      </c>
      <c r="AH46" s="24">
        <f t="shared" si="7"/>
        <v>0.98513809173411826</v>
      </c>
      <c r="AI46" s="24">
        <f t="shared" si="8"/>
        <v>0.97027618346823641</v>
      </c>
    </row>
    <row r="47" spans="1:35" hidden="1" x14ac:dyDescent="0.3">
      <c r="A47" s="2" t="str">
        <f t="shared" si="3"/>
        <v>NÃO</v>
      </c>
      <c r="B47" s="2">
        <v>1000184670</v>
      </c>
      <c r="C47" s="2" t="s">
        <v>147</v>
      </c>
      <c r="D47" s="4">
        <v>1000186197</v>
      </c>
      <c r="E47" s="4" t="s">
        <v>166</v>
      </c>
      <c r="F47" s="2">
        <v>1000198600</v>
      </c>
      <c r="G47" s="2" t="s">
        <v>148</v>
      </c>
      <c r="H47" s="4">
        <v>1000198601</v>
      </c>
      <c r="I47" s="4" t="s">
        <v>149</v>
      </c>
      <c r="J47" s="2">
        <v>1000189751</v>
      </c>
      <c r="K47" s="2" t="s">
        <v>137</v>
      </c>
      <c r="L47" s="4" t="s">
        <v>33</v>
      </c>
      <c r="M47" s="4" t="str">
        <f t="shared" si="4"/>
        <v>1000184670100018619710001986011000189751FOOD SERVICE</v>
      </c>
      <c r="N47" s="28">
        <f>N42*_xlfn.XLOOKUP($L47,'Balizador da Meta'!$B$4:$B$21,'Balizador da Meta'!$C$4:$C$21)</f>
        <v>0</v>
      </c>
      <c r="O47" s="28">
        <f>O42*_xlfn.XLOOKUP($L47,'Balizador da Meta'!$B$4:$B$21,'Balizador da Meta'!$C$4:$C$21)</f>
        <v>0</v>
      </c>
      <c r="P47" s="28">
        <f>P42*_xlfn.XLOOKUP($L47,'Balizador da Meta'!$B$4:$B$21,'Balizador da Meta'!$C$4:$C$21)</f>
        <v>0</v>
      </c>
      <c r="Q47" s="28">
        <f>Q42*_xlfn.XLOOKUP($L47,'Balizador da Meta'!$B$4:$B$21,'Balizador da Meta'!$C$4:$C$21)</f>
        <v>0</v>
      </c>
      <c r="R47" s="28">
        <f>R42*_xlfn.XLOOKUP($L47,'Balizador da Meta'!$B$4:$B$21,'Balizador da Meta'!$C$4:$C$21)</f>
        <v>0</v>
      </c>
      <c r="S47" s="28">
        <f>S42*_xlfn.XLOOKUP($L47,'Balizador da Meta'!$B$4:$B$21,'Balizador da Meta'!$C$4:$C$21)</f>
        <v>0</v>
      </c>
      <c r="T47" s="28">
        <f>T42*_xlfn.XLOOKUP($L47,'Balizador da Meta'!$B$4:$B$21,'Balizador da Meta'!$C$4:$C$21)</f>
        <v>0</v>
      </c>
      <c r="U47" s="28">
        <f>U42*_xlfn.XLOOKUP($L47,'Balizador da Meta'!$B$4:$B$21,'Balizador da Meta'!$C$4:$C$21)</f>
        <v>0</v>
      </c>
      <c r="V47" s="28">
        <f>V42*_xlfn.XLOOKUP($L47,'Balizador da Meta'!$B$4:$B$21,'Balizador da Meta'!$C$4:$C$21)</f>
        <v>0</v>
      </c>
      <c r="W47" s="28">
        <f>W42*_xlfn.XLOOKUP($L47,'Balizador da Meta'!$B$4:$B$21,'Balizador da Meta'!$C$4:$C$21)</f>
        <v>0</v>
      </c>
      <c r="X47" s="28">
        <f>X42*_xlfn.XLOOKUP($L47,'Balizador da Meta'!$B$4:$B$21,'Balizador da Meta'!$C$4:$C$21)</f>
        <v>0</v>
      </c>
      <c r="Y47" s="28">
        <f>Y42*_xlfn.XLOOKUP($L47,'Balizador da Meta'!$B$4:$B$21,'Balizador da Meta'!$C$4:$C$21)</f>
        <v>0</v>
      </c>
      <c r="Z47" s="30">
        <f t="shared" si="13"/>
        <v>0</v>
      </c>
      <c r="AA47" s="29"/>
      <c r="AB47" s="31">
        <f>SUMIFS('Historico - FAT'!AK:AK,'Historico - FAT'!$K:$K,Faturamento!$L47,'Historico - FAT'!$I:$I,Faturamento!$J47,'Historico - FAT'!$G:$G,Faturamento!$H47)</f>
        <v>0</v>
      </c>
      <c r="AC47" s="31">
        <f>SUMIFS('Historico - FAT'!AL:AL,'Historico - FAT'!$K:$K,Faturamento!$L47,'Historico - FAT'!$I:$I,Faturamento!$J47,'Historico - FAT'!$G:$G,Faturamento!$H47)</f>
        <v>0</v>
      </c>
      <c r="AD47" s="31">
        <f>SUMIFS('Historico - FAT'!AM:AM,'Historico - FAT'!$K:$K,Faturamento!$L47,'Historico - FAT'!$I:$I,Faturamento!$J47,'Historico - FAT'!$G:$G,Faturamento!$H47)</f>
        <v>0</v>
      </c>
      <c r="AE47" s="27">
        <f>SUMIFS('Historico - FAT'!AN:AN,'Historico - FAT'!$K:$K,Faturamento!$L47,'Historico - FAT'!$I:$I,Faturamento!$J47,'Historico - FAT'!$G:$G,Faturamento!$H47)</f>
        <v>0</v>
      </c>
      <c r="AG47" s="24" t="str">
        <f t="shared" si="6"/>
        <v/>
      </c>
      <c r="AH47" s="24" t="str">
        <f t="shared" si="7"/>
        <v/>
      </c>
      <c r="AI47" s="24" t="str">
        <f t="shared" si="8"/>
        <v/>
      </c>
    </row>
    <row r="48" spans="1:35" hidden="1" x14ac:dyDescent="0.3">
      <c r="A48" s="2" t="str">
        <f t="shared" si="3"/>
        <v>NÃO</v>
      </c>
      <c r="B48" s="2">
        <v>1000184670</v>
      </c>
      <c r="C48" s="2" t="s">
        <v>147</v>
      </c>
      <c r="D48" s="4">
        <v>1000186197</v>
      </c>
      <c r="E48" s="4" t="s">
        <v>166</v>
      </c>
      <c r="F48" s="2">
        <v>1000198600</v>
      </c>
      <c r="G48" s="2" t="s">
        <v>148</v>
      </c>
      <c r="H48" s="4">
        <v>1000198601</v>
      </c>
      <c r="I48" s="4" t="s">
        <v>149</v>
      </c>
      <c r="J48" s="2">
        <v>1000189751</v>
      </c>
      <c r="K48" s="2" t="s">
        <v>137</v>
      </c>
      <c r="L48" s="4" t="s">
        <v>19</v>
      </c>
      <c r="M48" s="4" t="str">
        <f t="shared" si="4"/>
        <v>1000184670100018619710001986011000189751GELEIA</v>
      </c>
      <c r="N48" s="28">
        <f>N42*_xlfn.XLOOKUP($L48,'Balizador da Meta'!$B$4:$B$21,'Balizador da Meta'!$C$4:$C$21)</f>
        <v>1049.9999999999998</v>
      </c>
      <c r="O48" s="28">
        <f>O42*_xlfn.XLOOKUP($L48,'Balizador da Meta'!$B$4:$B$21,'Balizador da Meta'!$C$4:$C$21)</f>
        <v>1109.9999999999998</v>
      </c>
      <c r="P48" s="28">
        <f>P42*_xlfn.XLOOKUP($L48,'Balizador da Meta'!$B$4:$B$21,'Balizador da Meta'!$C$4:$C$21)</f>
        <v>1139.9999999999998</v>
      </c>
      <c r="Q48" s="28">
        <f>Q42*_xlfn.XLOOKUP($L48,'Balizador da Meta'!$B$4:$B$21,'Balizador da Meta'!$C$4:$C$21)</f>
        <v>1199.9999999999998</v>
      </c>
      <c r="R48" s="28">
        <f>R42*_xlfn.XLOOKUP($L48,'Balizador da Meta'!$B$4:$B$21,'Balizador da Meta'!$C$4:$C$21)</f>
        <v>1229.9999999999998</v>
      </c>
      <c r="S48" s="28">
        <f>S42*_xlfn.XLOOKUP($L48,'Balizador da Meta'!$B$4:$B$21,'Balizador da Meta'!$C$4:$C$21)</f>
        <v>1289.9999999999998</v>
      </c>
      <c r="T48" s="28">
        <f>T42*_xlfn.XLOOKUP($L48,'Balizador da Meta'!$B$4:$B$21,'Balizador da Meta'!$C$4:$C$21)</f>
        <v>1319.9999999999998</v>
      </c>
      <c r="U48" s="28">
        <f>U42*_xlfn.XLOOKUP($L48,'Balizador da Meta'!$B$4:$B$21,'Balizador da Meta'!$C$4:$C$21)</f>
        <v>1379.9999999999998</v>
      </c>
      <c r="V48" s="28">
        <f>V42*_xlfn.XLOOKUP($L48,'Balizador da Meta'!$B$4:$B$21,'Balizador da Meta'!$C$4:$C$21)</f>
        <v>1409.9999999999998</v>
      </c>
      <c r="W48" s="28">
        <f>W42*_xlfn.XLOOKUP($L48,'Balizador da Meta'!$B$4:$B$21,'Balizador da Meta'!$C$4:$C$21)</f>
        <v>1469.9999999999998</v>
      </c>
      <c r="X48" s="28">
        <f>X42*_xlfn.XLOOKUP($L48,'Balizador da Meta'!$B$4:$B$21,'Balizador da Meta'!$C$4:$C$21)</f>
        <v>1499.9999999999998</v>
      </c>
      <c r="Y48" s="28">
        <f>Y42*_xlfn.XLOOKUP($L48,'Balizador da Meta'!$B$4:$B$21,'Balizador da Meta'!$C$4:$C$21)</f>
        <v>1559.9999999999998</v>
      </c>
      <c r="Z48" s="30">
        <f t="shared" si="13"/>
        <v>15659.999999999998</v>
      </c>
      <c r="AA48" s="29"/>
      <c r="AB48" s="31">
        <f>SUMIFS('Historico - FAT'!AK:AK,'Historico - FAT'!$K:$K,Faturamento!$L48,'Historico - FAT'!$I:$I,Faturamento!$J48,'Historico - FAT'!$G:$G,Faturamento!$H48)</f>
        <v>0</v>
      </c>
      <c r="AC48" s="31">
        <f>SUMIFS('Historico - FAT'!AL:AL,'Historico - FAT'!$K:$K,Faturamento!$L48,'Historico - FAT'!$I:$I,Faturamento!$J48,'Historico - FAT'!$G:$G,Faturamento!$H48)</f>
        <v>30.375</v>
      </c>
      <c r="AD48" s="31">
        <f>SUMIFS('Historico - FAT'!AM:AM,'Historico - FAT'!$K:$K,Faturamento!$L48,'Historico - FAT'!$I:$I,Faturamento!$J48,'Historico - FAT'!$G:$G,Faturamento!$H48)</f>
        <v>60.75</v>
      </c>
      <c r="AE48" s="27">
        <f>SUMIFS('Historico - FAT'!AN:AN,'Historico - FAT'!$K:$K,Faturamento!$L48,'Historico - FAT'!$I:$I,Faturamento!$J48,'Historico - FAT'!$G:$G,Faturamento!$H48)</f>
        <v>36.450000000000003</v>
      </c>
      <c r="AG48" s="24">
        <f t="shared" si="6"/>
        <v>1</v>
      </c>
      <c r="AH48" s="24">
        <f t="shared" si="7"/>
        <v>0.97988410596026487</v>
      </c>
      <c r="AI48" s="24">
        <f t="shared" si="8"/>
        <v>0.95976821192052975</v>
      </c>
    </row>
    <row r="49" spans="1:35" hidden="1" x14ac:dyDescent="0.3">
      <c r="A49" s="2" t="str">
        <f t="shared" si="3"/>
        <v>NÃO</v>
      </c>
      <c r="B49" s="2">
        <v>1000184670</v>
      </c>
      <c r="C49" s="2" t="s">
        <v>147</v>
      </c>
      <c r="D49" s="4">
        <v>1000186197</v>
      </c>
      <c r="E49" s="4" t="s">
        <v>166</v>
      </c>
      <c r="F49" s="2">
        <v>1000198600</v>
      </c>
      <c r="G49" s="2" t="s">
        <v>148</v>
      </c>
      <c r="H49" s="4">
        <v>1000198601</v>
      </c>
      <c r="I49" s="4" t="s">
        <v>149</v>
      </c>
      <c r="J49" s="2">
        <v>1000189751</v>
      </c>
      <c r="K49" s="2" t="s">
        <v>137</v>
      </c>
      <c r="L49" s="4" t="s">
        <v>17</v>
      </c>
      <c r="M49" s="4" t="str">
        <f t="shared" si="4"/>
        <v>1000184670100018619710001986011000189751GRANOLA</v>
      </c>
      <c r="N49" s="28">
        <f>N42*_xlfn.XLOOKUP($L49,'Balizador da Meta'!$B$4:$B$21,'Balizador da Meta'!$C$4:$C$21)</f>
        <v>1050</v>
      </c>
      <c r="O49" s="28">
        <f>O42*_xlfn.XLOOKUP($L49,'Balizador da Meta'!$B$4:$B$21,'Balizador da Meta'!$C$4:$C$21)</f>
        <v>1110</v>
      </c>
      <c r="P49" s="28">
        <f>P42*_xlfn.XLOOKUP($L49,'Balizador da Meta'!$B$4:$B$21,'Balizador da Meta'!$C$4:$C$21)</f>
        <v>1140</v>
      </c>
      <c r="Q49" s="28">
        <f>Q42*_xlfn.XLOOKUP($L49,'Balizador da Meta'!$B$4:$B$21,'Balizador da Meta'!$C$4:$C$21)</f>
        <v>1200</v>
      </c>
      <c r="R49" s="28">
        <f>R42*_xlfn.XLOOKUP($L49,'Balizador da Meta'!$B$4:$B$21,'Balizador da Meta'!$C$4:$C$21)</f>
        <v>1230</v>
      </c>
      <c r="S49" s="28">
        <f>S42*_xlfn.XLOOKUP($L49,'Balizador da Meta'!$B$4:$B$21,'Balizador da Meta'!$C$4:$C$21)</f>
        <v>1290</v>
      </c>
      <c r="T49" s="28">
        <f>T42*_xlfn.XLOOKUP($L49,'Balizador da Meta'!$B$4:$B$21,'Balizador da Meta'!$C$4:$C$21)</f>
        <v>1320</v>
      </c>
      <c r="U49" s="28">
        <f>U42*_xlfn.XLOOKUP($L49,'Balizador da Meta'!$B$4:$B$21,'Balizador da Meta'!$C$4:$C$21)</f>
        <v>1380</v>
      </c>
      <c r="V49" s="28">
        <f>V42*_xlfn.XLOOKUP($L49,'Balizador da Meta'!$B$4:$B$21,'Balizador da Meta'!$C$4:$C$21)</f>
        <v>1410</v>
      </c>
      <c r="W49" s="28">
        <f>W42*_xlfn.XLOOKUP($L49,'Balizador da Meta'!$B$4:$B$21,'Balizador da Meta'!$C$4:$C$21)</f>
        <v>1470</v>
      </c>
      <c r="X49" s="28">
        <f>X42*_xlfn.XLOOKUP($L49,'Balizador da Meta'!$B$4:$B$21,'Balizador da Meta'!$C$4:$C$21)</f>
        <v>1500</v>
      </c>
      <c r="Y49" s="28">
        <f>Y42*_xlfn.XLOOKUP($L49,'Balizador da Meta'!$B$4:$B$21,'Balizador da Meta'!$C$4:$C$21)</f>
        <v>1560</v>
      </c>
      <c r="Z49" s="30">
        <f t="shared" si="13"/>
        <v>15660</v>
      </c>
      <c r="AA49" s="29"/>
      <c r="AB49" s="31">
        <f>SUMIFS('Historico - FAT'!AK:AK,'Historico - FAT'!$K:$K,Faturamento!$L49,'Historico - FAT'!$I:$I,Faturamento!$J49,'Historico - FAT'!$G:$G,Faturamento!$H49)</f>
        <v>0</v>
      </c>
      <c r="AC49" s="31">
        <f>SUMIFS('Historico - FAT'!AL:AL,'Historico - FAT'!$K:$K,Faturamento!$L49,'Historico - FAT'!$I:$I,Faturamento!$J49,'Historico - FAT'!$G:$G,Faturamento!$H49)</f>
        <v>0</v>
      </c>
      <c r="AD49" s="31">
        <f>SUMIFS('Historico - FAT'!AM:AM,'Historico - FAT'!$K:$K,Faturamento!$L49,'Historico - FAT'!$I:$I,Faturamento!$J49,'Historico - FAT'!$G:$G,Faturamento!$H49)</f>
        <v>0</v>
      </c>
      <c r="AE49" s="27">
        <f>SUMIFS('Historico - FAT'!AN:AN,'Historico - FAT'!$K:$K,Faturamento!$L49,'Historico - FAT'!$I:$I,Faturamento!$J49,'Historico - FAT'!$G:$G,Faturamento!$H49)</f>
        <v>0</v>
      </c>
      <c r="AG49" s="24">
        <f t="shared" si="6"/>
        <v>1</v>
      </c>
      <c r="AH49" s="24">
        <f t="shared" si="7"/>
        <v>1</v>
      </c>
      <c r="AI49" s="24">
        <f t="shared" si="8"/>
        <v>1</v>
      </c>
    </row>
    <row r="50" spans="1:35" hidden="1" x14ac:dyDescent="0.3">
      <c r="A50" s="2" t="str">
        <f t="shared" si="3"/>
        <v>NÃO</v>
      </c>
      <c r="B50" s="2">
        <v>1000184670</v>
      </c>
      <c r="C50" s="2" t="s">
        <v>147</v>
      </c>
      <c r="D50" s="4">
        <v>1000186197</v>
      </c>
      <c r="E50" s="4" t="s">
        <v>166</v>
      </c>
      <c r="F50" s="2">
        <v>1000198600</v>
      </c>
      <c r="G50" s="2" t="s">
        <v>148</v>
      </c>
      <c r="H50" s="4">
        <v>1000198601</v>
      </c>
      <c r="I50" s="4" t="s">
        <v>149</v>
      </c>
      <c r="J50" s="2">
        <v>1000189751</v>
      </c>
      <c r="K50" s="2" t="s">
        <v>137</v>
      </c>
      <c r="L50" s="4" t="s">
        <v>24</v>
      </c>
      <c r="M50" s="4" t="str">
        <f t="shared" si="4"/>
        <v>1000184670100018619710001986011000189751KIDS</v>
      </c>
      <c r="N50" s="28">
        <f>N42*_xlfn.XLOOKUP($L50,'Balizador da Meta'!$B$4:$B$21,'Balizador da Meta'!$C$4:$C$21)</f>
        <v>0</v>
      </c>
      <c r="O50" s="28">
        <f>O42*_xlfn.XLOOKUP($L50,'Balizador da Meta'!$B$4:$B$21,'Balizador da Meta'!$C$4:$C$21)</f>
        <v>0</v>
      </c>
      <c r="P50" s="28">
        <f>P42*_xlfn.XLOOKUP($L50,'Balizador da Meta'!$B$4:$B$21,'Balizador da Meta'!$C$4:$C$21)</f>
        <v>0</v>
      </c>
      <c r="Q50" s="28">
        <f>Q42*_xlfn.XLOOKUP($L50,'Balizador da Meta'!$B$4:$B$21,'Balizador da Meta'!$C$4:$C$21)</f>
        <v>0</v>
      </c>
      <c r="R50" s="28">
        <f>R42*_xlfn.XLOOKUP($L50,'Balizador da Meta'!$B$4:$B$21,'Balizador da Meta'!$C$4:$C$21)</f>
        <v>0</v>
      </c>
      <c r="S50" s="28">
        <f>S42*_xlfn.XLOOKUP($L50,'Balizador da Meta'!$B$4:$B$21,'Balizador da Meta'!$C$4:$C$21)</f>
        <v>0</v>
      </c>
      <c r="T50" s="28">
        <f>T42*_xlfn.XLOOKUP($L50,'Balizador da Meta'!$B$4:$B$21,'Balizador da Meta'!$C$4:$C$21)</f>
        <v>0</v>
      </c>
      <c r="U50" s="28">
        <f>U42*_xlfn.XLOOKUP($L50,'Balizador da Meta'!$B$4:$B$21,'Balizador da Meta'!$C$4:$C$21)</f>
        <v>0</v>
      </c>
      <c r="V50" s="28">
        <f>V42*_xlfn.XLOOKUP($L50,'Balizador da Meta'!$B$4:$B$21,'Balizador da Meta'!$C$4:$C$21)</f>
        <v>0</v>
      </c>
      <c r="W50" s="28">
        <f>W42*_xlfn.XLOOKUP($L50,'Balizador da Meta'!$B$4:$B$21,'Balizador da Meta'!$C$4:$C$21)</f>
        <v>0</v>
      </c>
      <c r="X50" s="28">
        <f>X42*_xlfn.XLOOKUP($L50,'Balizador da Meta'!$B$4:$B$21,'Balizador da Meta'!$C$4:$C$21)</f>
        <v>0</v>
      </c>
      <c r="Y50" s="28">
        <f>Y42*_xlfn.XLOOKUP($L50,'Balizador da Meta'!$B$4:$B$21,'Balizador da Meta'!$C$4:$C$21)</f>
        <v>0</v>
      </c>
      <c r="Z50" s="30">
        <f t="shared" si="13"/>
        <v>0</v>
      </c>
      <c r="AA50" s="29"/>
      <c r="AB50" s="31">
        <f>SUMIFS('Historico - FAT'!AK:AK,'Historico - FAT'!$K:$K,Faturamento!$L50,'Historico - FAT'!$I:$I,Faturamento!$J50,'Historico - FAT'!$G:$G,Faturamento!$H50)</f>
        <v>0</v>
      </c>
      <c r="AC50" s="31">
        <f>SUMIFS('Historico - FAT'!AL:AL,'Historico - FAT'!$K:$K,Faturamento!$L50,'Historico - FAT'!$I:$I,Faturamento!$J50,'Historico - FAT'!$G:$G,Faturamento!$H50)</f>
        <v>9.7249999999999996</v>
      </c>
      <c r="AD50" s="31">
        <f>SUMIFS('Historico - FAT'!AM:AM,'Historico - FAT'!$K:$K,Faturamento!$L50,'Historico - FAT'!$I:$I,Faturamento!$J50,'Historico - FAT'!$G:$G,Faturamento!$H50)</f>
        <v>19.45</v>
      </c>
      <c r="AE50" s="27">
        <f>SUMIFS('Historico - FAT'!AN:AN,'Historico - FAT'!$K:$K,Faturamento!$L50,'Historico - FAT'!$I:$I,Faturamento!$J50,'Historico - FAT'!$G:$G,Faturamento!$H50)</f>
        <v>11.67</v>
      </c>
      <c r="AG50" s="24" t="str">
        <f t="shared" si="6"/>
        <v/>
      </c>
      <c r="AH50" s="24" t="str">
        <f t="shared" si="7"/>
        <v/>
      </c>
      <c r="AI50" s="24" t="str">
        <f t="shared" si="8"/>
        <v/>
      </c>
    </row>
    <row r="51" spans="1:35" hidden="1" x14ac:dyDescent="0.3">
      <c r="A51" s="2" t="str">
        <f t="shared" si="3"/>
        <v>NÃO</v>
      </c>
      <c r="B51" s="2">
        <v>1000184670</v>
      </c>
      <c r="C51" s="2" t="s">
        <v>147</v>
      </c>
      <c r="D51" s="4">
        <v>1000186197</v>
      </c>
      <c r="E51" s="4" t="s">
        <v>166</v>
      </c>
      <c r="F51" s="2">
        <v>1000198600</v>
      </c>
      <c r="G51" s="2" t="s">
        <v>148</v>
      </c>
      <c r="H51" s="4">
        <v>1000198601</v>
      </c>
      <c r="I51" s="4" t="s">
        <v>149</v>
      </c>
      <c r="J51" s="2">
        <v>1000189751</v>
      </c>
      <c r="K51" s="2" t="s">
        <v>137</v>
      </c>
      <c r="L51" s="4" t="s">
        <v>18</v>
      </c>
      <c r="M51" s="4" t="str">
        <f t="shared" si="4"/>
        <v>1000184670100018619710001986011000189751LANCHES</v>
      </c>
      <c r="N51" s="28">
        <f>N42*_xlfn.XLOOKUP($L51,'Balizador da Meta'!$B$4:$B$21,'Balizador da Meta'!$C$4:$C$21)</f>
        <v>525</v>
      </c>
      <c r="O51" s="28">
        <f>O42*_xlfn.XLOOKUP($L51,'Balizador da Meta'!$B$4:$B$21,'Balizador da Meta'!$C$4:$C$21)</f>
        <v>555</v>
      </c>
      <c r="P51" s="28">
        <f>P42*_xlfn.XLOOKUP($L51,'Balizador da Meta'!$B$4:$B$21,'Balizador da Meta'!$C$4:$C$21)</f>
        <v>570</v>
      </c>
      <c r="Q51" s="28">
        <f>Q42*_xlfn.XLOOKUP($L51,'Balizador da Meta'!$B$4:$B$21,'Balizador da Meta'!$C$4:$C$21)</f>
        <v>600</v>
      </c>
      <c r="R51" s="28">
        <f>R42*_xlfn.XLOOKUP($L51,'Balizador da Meta'!$B$4:$B$21,'Balizador da Meta'!$C$4:$C$21)</f>
        <v>615</v>
      </c>
      <c r="S51" s="28">
        <f>S42*_xlfn.XLOOKUP($L51,'Balizador da Meta'!$B$4:$B$21,'Balizador da Meta'!$C$4:$C$21)</f>
        <v>645</v>
      </c>
      <c r="T51" s="28">
        <f>T42*_xlfn.XLOOKUP($L51,'Balizador da Meta'!$B$4:$B$21,'Balizador da Meta'!$C$4:$C$21)</f>
        <v>660</v>
      </c>
      <c r="U51" s="28">
        <f>U42*_xlfn.XLOOKUP($L51,'Balizador da Meta'!$B$4:$B$21,'Balizador da Meta'!$C$4:$C$21)</f>
        <v>690</v>
      </c>
      <c r="V51" s="28">
        <f>V42*_xlfn.XLOOKUP($L51,'Balizador da Meta'!$B$4:$B$21,'Balizador da Meta'!$C$4:$C$21)</f>
        <v>705</v>
      </c>
      <c r="W51" s="28">
        <f>W42*_xlfn.XLOOKUP($L51,'Balizador da Meta'!$B$4:$B$21,'Balizador da Meta'!$C$4:$C$21)</f>
        <v>735</v>
      </c>
      <c r="X51" s="28">
        <f>X42*_xlfn.XLOOKUP($L51,'Balizador da Meta'!$B$4:$B$21,'Balizador da Meta'!$C$4:$C$21)</f>
        <v>750</v>
      </c>
      <c r="Y51" s="28">
        <f>Y42*_xlfn.XLOOKUP($L51,'Balizador da Meta'!$B$4:$B$21,'Balizador da Meta'!$C$4:$C$21)</f>
        <v>780</v>
      </c>
      <c r="Z51" s="30">
        <f t="shared" si="13"/>
        <v>7830</v>
      </c>
      <c r="AA51" s="29"/>
      <c r="AB51" s="31">
        <f>SUMIFS('Historico - FAT'!AK:AK,'Historico - FAT'!$K:$K,Faturamento!$L51,'Historico - FAT'!$I:$I,Faturamento!$J51,'Historico - FAT'!$G:$G,Faturamento!$H51)</f>
        <v>0</v>
      </c>
      <c r="AC51" s="31">
        <f>SUMIFS('Historico - FAT'!AL:AL,'Historico - FAT'!$K:$K,Faturamento!$L51,'Historico - FAT'!$I:$I,Faturamento!$J51,'Historico - FAT'!$G:$G,Faturamento!$H51)</f>
        <v>2</v>
      </c>
      <c r="AD51" s="31">
        <f>SUMIFS('Historico - FAT'!AM:AM,'Historico - FAT'!$K:$K,Faturamento!$L51,'Historico - FAT'!$I:$I,Faturamento!$J51,'Historico - FAT'!$G:$G,Faturamento!$H51)</f>
        <v>4</v>
      </c>
      <c r="AE51" s="27">
        <f>SUMIFS('Historico - FAT'!AN:AN,'Historico - FAT'!$K:$K,Faturamento!$L51,'Historico - FAT'!$I:$I,Faturamento!$J51,'Historico - FAT'!$G:$G,Faturamento!$H51)</f>
        <v>2.4</v>
      </c>
      <c r="AG51" s="24">
        <f t="shared" si="6"/>
        <v>1</v>
      </c>
      <c r="AH51" s="24">
        <f t="shared" si="7"/>
        <v>0.99735099337748345</v>
      </c>
      <c r="AI51" s="24">
        <f t="shared" si="8"/>
        <v>0.9947019867549669</v>
      </c>
    </row>
    <row r="52" spans="1:35" hidden="1" x14ac:dyDescent="0.3">
      <c r="A52" s="2" t="str">
        <f t="shared" si="3"/>
        <v>NÃO</v>
      </c>
      <c r="B52" s="2">
        <v>1000184670</v>
      </c>
      <c r="C52" s="2" t="s">
        <v>147</v>
      </c>
      <c r="D52" s="4">
        <v>1000186197</v>
      </c>
      <c r="E52" s="4" t="s">
        <v>166</v>
      </c>
      <c r="F52" s="2">
        <v>1000198600</v>
      </c>
      <c r="G52" s="2" t="s">
        <v>148</v>
      </c>
      <c r="H52" s="4">
        <v>1000198601</v>
      </c>
      <c r="I52" s="4" t="s">
        <v>149</v>
      </c>
      <c r="J52" s="2">
        <v>1000189751</v>
      </c>
      <c r="K52" s="2" t="s">
        <v>137</v>
      </c>
      <c r="L52" s="4" t="s">
        <v>29</v>
      </c>
      <c r="M52" s="4" t="str">
        <f t="shared" si="4"/>
        <v>1000184670100018619710001986011000189751MAIS GRANEL</v>
      </c>
      <c r="N52" s="28">
        <f>N42*_xlfn.XLOOKUP($L52,'Balizador da Meta'!$B$4:$B$21,'Balizador da Meta'!$C$4:$C$21)</f>
        <v>16800</v>
      </c>
      <c r="O52" s="28">
        <f>O42*_xlfn.XLOOKUP($L52,'Balizador da Meta'!$B$4:$B$21,'Balizador da Meta'!$C$4:$C$21)</f>
        <v>17760</v>
      </c>
      <c r="P52" s="28">
        <f>P42*_xlfn.XLOOKUP($L52,'Balizador da Meta'!$B$4:$B$21,'Balizador da Meta'!$C$4:$C$21)</f>
        <v>18240</v>
      </c>
      <c r="Q52" s="28">
        <f>Q42*_xlfn.XLOOKUP($L52,'Balizador da Meta'!$B$4:$B$21,'Balizador da Meta'!$C$4:$C$21)</f>
        <v>19200</v>
      </c>
      <c r="R52" s="28">
        <f>R42*_xlfn.XLOOKUP($L52,'Balizador da Meta'!$B$4:$B$21,'Balizador da Meta'!$C$4:$C$21)</f>
        <v>19680</v>
      </c>
      <c r="S52" s="28">
        <f>S42*_xlfn.XLOOKUP($L52,'Balizador da Meta'!$B$4:$B$21,'Balizador da Meta'!$C$4:$C$21)</f>
        <v>20640</v>
      </c>
      <c r="T52" s="28">
        <f>T42*_xlfn.XLOOKUP($L52,'Balizador da Meta'!$B$4:$B$21,'Balizador da Meta'!$C$4:$C$21)</f>
        <v>21120</v>
      </c>
      <c r="U52" s="28">
        <f>U42*_xlfn.XLOOKUP($L52,'Balizador da Meta'!$B$4:$B$21,'Balizador da Meta'!$C$4:$C$21)</f>
        <v>22080</v>
      </c>
      <c r="V52" s="28">
        <f>V42*_xlfn.XLOOKUP($L52,'Balizador da Meta'!$B$4:$B$21,'Balizador da Meta'!$C$4:$C$21)</f>
        <v>22560</v>
      </c>
      <c r="W52" s="28">
        <f>W42*_xlfn.XLOOKUP($L52,'Balizador da Meta'!$B$4:$B$21,'Balizador da Meta'!$C$4:$C$21)</f>
        <v>23520</v>
      </c>
      <c r="X52" s="28">
        <f>X42*_xlfn.XLOOKUP($L52,'Balizador da Meta'!$B$4:$B$21,'Balizador da Meta'!$C$4:$C$21)</f>
        <v>24000</v>
      </c>
      <c r="Y52" s="28">
        <f>Y42*_xlfn.XLOOKUP($L52,'Balizador da Meta'!$B$4:$B$21,'Balizador da Meta'!$C$4:$C$21)</f>
        <v>24960</v>
      </c>
      <c r="Z52" s="30">
        <f t="shared" si="13"/>
        <v>250560</v>
      </c>
      <c r="AA52" s="29"/>
      <c r="AB52" s="31">
        <f>SUMIFS('Historico - FAT'!AK:AK,'Historico - FAT'!$K:$K,Faturamento!$L52,'Historico - FAT'!$I:$I,Faturamento!$J52,'Historico - FAT'!$G:$G,Faturamento!$H52)</f>
        <v>0</v>
      </c>
      <c r="AC52" s="31">
        <f>SUMIFS('Historico - FAT'!AL:AL,'Historico - FAT'!$K:$K,Faturamento!$L52,'Historico - FAT'!$I:$I,Faturamento!$J52,'Historico - FAT'!$G:$G,Faturamento!$H52)</f>
        <v>450.48499999999996</v>
      </c>
      <c r="AD52" s="31">
        <f>SUMIFS('Historico - FAT'!AM:AM,'Historico - FAT'!$K:$K,Faturamento!$L52,'Historico - FAT'!$I:$I,Faturamento!$J52,'Historico - FAT'!$G:$G,Faturamento!$H52)</f>
        <v>900.96999999999991</v>
      </c>
      <c r="AE52" s="27">
        <f>SUMIFS('Historico - FAT'!AN:AN,'Historico - FAT'!$K:$K,Faturamento!$L52,'Historico - FAT'!$I:$I,Faturamento!$J52,'Historico - FAT'!$G:$G,Faturamento!$H52)</f>
        <v>540.58199999999999</v>
      </c>
      <c r="AG52" s="24">
        <f t="shared" si="6"/>
        <v>1</v>
      </c>
      <c r="AH52" s="24">
        <f t="shared" si="7"/>
        <v>0.98135409768211923</v>
      </c>
      <c r="AI52" s="24">
        <f t="shared" si="8"/>
        <v>0.96270819536423835</v>
      </c>
    </row>
    <row r="53" spans="1:35" hidden="1" x14ac:dyDescent="0.3">
      <c r="A53" s="2" t="str">
        <f t="shared" si="3"/>
        <v>NÃO</v>
      </c>
      <c r="B53" s="2">
        <v>1000184670</v>
      </c>
      <c r="C53" s="2" t="s">
        <v>147</v>
      </c>
      <c r="D53" s="4">
        <v>1000186197</v>
      </c>
      <c r="E53" s="4" t="s">
        <v>166</v>
      </c>
      <c r="F53" s="2">
        <v>1000198600</v>
      </c>
      <c r="G53" s="2" t="s">
        <v>148</v>
      </c>
      <c r="H53" s="4">
        <v>1000198601</v>
      </c>
      <c r="I53" s="4" t="s">
        <v>149</v>
      </c>
      <c r="J53" s="2">
        <v>1000189751</v>
      </c>
      <c r="K53" s="2" t="s">
        <v>137</v>
      </c>
      <c r="L53" s="4" t="s">
        <v>21</v>
      </c>
      <c r="M53" s="4" t="str">
        <f t="shared" si="4"/>
        <v>1000184670100018619710001986011000189751NATURATTA</v>
      </c>
      <c r="N53" s="28">
        <f>N42*_xlfn.XLOOKUP($L53,'Balizador da Meta'!$B$4:$B$21,'Balizador da Meta'!$C$4:$C$21)</f>
        <v>2625</v>
      </c>
      <c r="O53" s="28">
        <f>O42*_xlfn.XLOOKUP($L53,'Balizador da Meta'!$B$4:$B$21,'Balizador da Meta'!$C$4:$C$21)</f>
        <v>2775</v>
      </c>
      <c r="P53" s="28">
        <f>P42*_xlfn.XLOOKUP($L53,'Balizador da Meta'!$B$4:$B$21,'Balizador da Meta'!$C$4:$C$21)</f>
        <v>2850</v>
      </c>
      <c r="Q53" s="28">
        <f>Q42*_xlfn.XLOOKUP($L53,'Balizador da Meta'!$B$4:$B$21,'Balizador da Meta'!$C$4:$C$21)</f>
        <v>3000</v>
      </c>
      <c r="R53" s="28">
        <f>R42*_xlfn.XLOOKUP($L53,'Balizador da Meta'!$B$4:$B$21,'Balizador da Meta'!$C$4:$C$21)</f>
        <v>3075</v>
      </c>
      <c r="S53" s="28">
        <f>S42*_xlfn.XLOOKUP($L53,'Balizador da Meta'!$B$4:$B$21,'Balizador da Meta'!$C$4:$C$21)</f>
        <v>3225</v>
      </c>
      <c r="T53" s="28">
        <f>T42*_xlfn.XLOOKUP($L53,'Balizador da Meta'!$B$4:$B$21,'Balizador da Meta'!$C$4:$C$21)</f>
        <v>3300</v>
      </c>
      <c r="U53" s="28">
        <f>U42*_xlfn.XLOOKUP($L53,'Balizador da Meta'!$B$4:$B$21,'Balizador da Meta'!$C$4:$C$21)</f>
        <v>3450</v>
      </c>
      <c r="V53" s="28">
        <f>V42*_xlfn.XLOOKUP($L53,'Balizador da Meta'!$B$4:$B$21,'Balizador da Meta'!$C$4:$C$21)</f>
        <v>3525</v>
      </c>
      <c r="W53" s="28">
        <f>W42*_xlfn.XLOOKUP($L53,'Balizador da Meta'!$B$4:$B$21,'Balizador da Meta'!$C$4:$C$21)</f>
        <v>3675</v>
      </c>
      <c r="X53" s="28">
        <f>X42*_xlfn.XLOOKUP($L53,'Balizador da Meta'!$B$4:$B$21,'Balizador da Meta'!$C$4:$C$21)</f>
        <v>3750</v>
      </c>
      <c r="Y53" s="28">
        <f>Y42*_xlfn.XLOOKUP($L53,'Balizador da Meta'!$B$4:$B$21,'Balizador da Meta'!$C$4:$C$21)</f>
        <v>3900</v>
      </c>
      <c r="Z53" s="30">
        <f t="shared" si="13"/>
        <v>39150</v>
      </c>
      <c r="AA53" s="29"/>
      <c r="AB53" s="31">
        <f>SUMIFS('Historico - FAT'!AK:AK,'Historico - FAT'!$K:$K,Faturamento!$L53,'Historico - FAT'!$I:$I,Faturamento!$J53,'Historico - FAT'!$G:$G,Faturamento!$H53)</f>
        <v>0</v>
      </c>
      <c r="AC53" s="31">
        <f>SUMIFS('Historico - FAT'!AL:AL,'Historico - FAT'!$K:$K,Faturamento!$L53,'Historico - FAT'!$I:$I,Faturamento!$J53,'Historico - FAT'!$G:$G,Faturamento!$H53)</f>
        <v>93.694166666666661</v>
      </c>
      <c r="AD53" s="31">
        <f>SUMIFS('Historico - FAT'!AM:AM,'Historico - FAT'!$K:$K,Faturamento!$L53,'Historico - FAT'!$I:$I,Faturamento!$J53,'Historico - FAT'!$G:$G,Faturamento!$H53)</f>
        <v>187.38833333333332</v>
      </c>
      <c r="AE53" s="27">
        <f>SUMIFS('Historico - FAT'!AN:AN,'Historico - FAT'!$K:$K,Faturamento!$L53,'Historico - FAT'!$I:$I,Faturamento!$J53,'Historico - FAT'!$G:$G,Faturamento!$H53)</f>
        <v>112.43299999999999</v>
      </c>
      <c r="AG53" s="24">
        <f t="shared" si="6"/>
        <v>1</v>
      </c>
      <c r="AH53" s="24">
        <f t="shared" si="7"/>
        <v>0.97518035320088303</v>
      </c>
      <c r="AI53" s="24">
        <f t="shared" si="8"/>
        <v>0.95036070640176595</v>
      </c>
    </row>
    <row r="54" spans="1:35" hidden="1" x14ac:dyDescent="0.3">
      <c r="A54" s="2" t="str">
        <f t="shared" si="3"/>
        <v>NÃO</v>
      </c>
      <c r="B54" s="2">
        <v>1000184670</v>
      </c>
      <c r="C54" s="2" t="s">
        <v>147</v>
      </c>
      <c r="D54" s="4">
        <v>1000186197</v>
      </c>
      <c r="E54" s="4" t="s">
        <v>166</v>
      </c>
      <c r="F54" s="2">
        <v>1000198600</v>
      </c>
      <c r="G54" s="2" t="s">
        <v>148</v>
      </c>
      <c r="H54" s="4">
        <v>1000198601</v>
      </c>
      <c r="I54" s="4" t="s">
        <v>149</v>
      </c>
      <c r="J54" s="2">
        <v>1000189751</v>
      </c>
      <c r="K54" s="2" t="s">
        <v>137</v>
      </c>
      <c r="L54" s="4" t="s">
        <v>20</v>
      </c>
      <c r="M54" s="4" t="str">
        <f t="shared" si="4"/>
        <v>1000184670100018619710001986011000189751REEMBALADOS</v>
      </c>
      <c r="N54" s="28">
        <f>N42*_xlfn.XLOOKUP($L54,'Balizador da Meta'!$B$4:$B$21,'Balizador da Meta'!$C$4:$C$21)</f>
        <v>2100</v>
      </c>
      <c r="O54" s="28">
        <f>O42*_xlfn.XLOOKUP($L54,'Balizador da Meta'!$B$4:$B$21,'Balizador da Meta'!$C$4:$C$21)</f>
        <v>2220</v>
      </c>
      <c r="P54" s="28">
        <f>P42*_xlfn.XLOOKUP($L54,'Balizador da Meta'!$B$4:$B$21,'Balizador da Meta'!$C$4:$C$21)</f>
        <v>2280</v>
      </c>
      <c r="Q54" s="28">
        <f>Q42*_xlfn.XLOOKUP($L54,'Balizador da Meta'!$B$4:$B$21,'Balizador da Meta'!$C$4:$C$21)</f>
        <v>2400</v>
      </c>
      <c r="R54" s="28">
        <f>R42*_xlfn.XLOOKUP($L54,'Balizador da Meta'!$B$4:$B$21,'Balizador da Meta'!$C$4:$C$21)</f>
        <v>2460</v>
      </c>
      <c r="S54" s="28">
        <f>S42*_xlfn.XLOOKUP($L54,'Balizador da Meta'!$B$4:$B$21,'Balizador da Meta'!$C$4:$C$21)</f>
        <v>2580</v>
      </c>
      <c r="T54" s="28">
        <f>T42*_xlfn.XLOOKUP($L54,'Balizador da Meta'!$B$4:$B$21,'Balizador da Meta'!$C$4:$C$21)</f>
        <v>2640</v>
      </c>
      <c r="U54" s="28">
        <f>U42*_xlfn.XLOOKUP($L54,'Balizador da Meta'!$B$4:$B$21,'Balizador da Meta'!$C$4:$C$21)</f>
        <v>2760</v>
      </c>
      <c r="V54" s="28">
        <f>V42*_xlfn.XLOOKUP($L54,'Balizador da Meta'!$B$4:$B$21,'Balizador da Meta'!$C$4:$C$21)</f>
        <v>2820</v>
      </c>
      <c r="W54" s="28">
        <f>W42*_xlfn.XLOOKUP($L54,'Balizador da Meta'!$B$4:$B$21,'Balizador da Meta'!$C$4:$C$21)</f>
        <v>2940</v>
      </c>
      <c r="X54" s="28">
        <f>X42*_xlfn.XLOOKUP($L54,'Balizador da Meta'!$B$4:$B$21,'Balizador da Meta'!$C$4:$C$21)</f>
        <v>3000</v>
      </c>
      <c r="Y54" s="28">
        <f>Y42*_xlfn.XLOOKUP($L54,'Balizador da Meta'!$B$4:$B$21,'Balizador da Meta'!$C$4:$C$21)</f>
        <v>3120</v>
      </c>
      <c r="Z54" s="30">
        <f t="shared" si="13"/>
        <v>31320</v>
      </c>
      <c r="AA54" s="29"/>
      <c r="AB54" s="31">
        <f>SUMIFS('Historico - FAT'!AK:AK,'Historico - FAT'!$K:$K,Faturamento!$L54,'Historico - FAT'!$I:$I,Faturamento!$J54,'Historico - FAT'!$G:$G,Faturamento!$H54)</f>
        <v>0</v>
      </c>
      <c r="AC54" s="31">
        <f>SUMIFS('Historico - FAT'!AL:AL,'Historico - FAT'!$K:$K,Faturamento!$L54,'Historico - FAT'!$I:$I,Faturamento!$J54,'Historico - FAT'!$G:$G,Faturamento!$H54)</f>
        <v>0</v>
      </c>
      <c r="AD54" s="31">
        <f>SUMIFS('Historico - FAT'!AM:AM,'Historico - FAT'!$K:$K,Faturamento!$L54,'Historico - FAT'!$I:$I,Faturamento!$J54,'Historico - FAT'!$G:$G,Faturamento!$H54)</f>
        <v>0</v>
      </c>
      <c r="AE54" s="27">
        <f>SUMIFS('Historico - FAT'!AN:AN,'Historico - FAT'!$K:$K,Faturamento!$L54,'Historico - FAT'!$I:$I,Faturamento!$J54,'Historico - FAT'!$G:$G,Faturamento!$H54)</f>
        <v>0</v>
      </c>
      <c r="AG54" s="24">
        <f t="shared" si="6"/>
        <v>1</v>
      </c>
      <c r="AH54" s="24">
        <f t="shared" si="7"/>
        <v>1</v>
      </c>
      <c r="AI54" s="24">
        <f t="shared" si="8"/>
        <v>1</v>
      </c>
    </row>
    <row r="55" spans="1:35" hidden="1" x14ac:dyDescent="0.3">
      <c r="A55" s="2" t="str">
        <f t="shared" si="3"/>
        <v>NÃO</v>
      </c>
      <c r="B55" s="2">
        <v>1000184670</v>
      </c>
      <c r="C55" s="2" t="s">
        <v>147</v>
      </c>
      <c r="D55" s="4">
        <v>1000186197</v>
      </c>
      <c r="E55" s="4" t="s">
        <v>166</v>
      </c>
      <c r="F55" s="2">
        <v>1000198600</v>
      </c>
      <c r="G55" s="2" t="s">
        <v>148</v>
      </c>
      <c r="H55" s="4">
        <v>1000198601</v>
      </c>
      <c r="I55" s="4" t="s">
        <v>149</v>
      </c>
      <c r="J55" s="2">
        <v>1000189751</v>
      </c>
      <c r="K55" s="2" t="s">
        <v>137</v>
      </c>
      <c r="L55" s="4" t="s">
        <v>22</v>
      </c>
      <c r="M55" s="4" t="str">
        <f t="shared" si="4"/>
        <v>1000184670100018619710001986011000189751S GLUTEN</v>
      </c>
      <c r="N55" s="28">
        <f>N42*_xlfn.XLOOKUP($L55,'Balizador da Meta'!$B$4:$B$21,'Balizador da Meta'!$C$4:$C$21)</f>
        <v>2100</v>
      </c>
      <c r="O55" s="28">
        <f>O42*_xlfn.XLOOKUP($L55,'Balizador da Meta'!$B$4:$B$21,'Balizador da Meta'!$C$4:$C$21)</f>
        <v>2220</v>
      </c>
      <c r="P55" s="28">
        <f>P42*_xlfn.XLOOKUP($L55,'Balizador da Meta'!$B$4:$B$21,'Balizador da Meta'!$C$4:$C$21)</f>
        <v>2280</v>
      </c>
      <c r="Q55" s="28">
        <f>Q42*_xlfn.XLOOKUP($L55,'Balizador da Meta'!$B$4:$B$21,'Balizador da Meta'!$C$4:$C$21)</f>
        <v>2400</v>
      </c>
      <c r="R55" s="28">
        <f>R42*_xlfn.XLOOKUP($L55,'Balizador da Meta'!$B$4:$B$21,'Balizador da Meta'!$C$4:$C$21)</f>
        <v>2460</v>
      </c>
      <c r="S55" s="28">
        <f>S42*_xlfn.XLOOKUP($L55,'Balizador da Meta'!$B$4:$B$21,'Balizador da Meta'!$C$4:$C$21)</f>
        <v>2580</v>
      </c>
      <c r="T55" s="28">
        <f>T42*_xlfn.XLOOKUP($L55,'Balizador da Meta'!$B$4:$B$21,'Balizador da Meta'!$C$4:$C$21)</f>
        <v>2640</v>
      </c>
      <c r="U55" s="28">
        <f>U42*_xlfn.XLOOKUP($L55,'Balizador da Meta'!$B$4:$B$21,'Balizador da Meta'!$C$4:$C$21)</f>
        <v>2760</v>
      </c>
      <c r="V55" s="28">
        <f>V42*_xlfn.XLOOKUP($L55,'Balizador da Meta'!$B$4:$B$21,'Balizador da Meta'!$C$4:$C$21)</f>
        <v>2820</v>
      </c>
      <c r="W55" s="28">
        <f>W42*_xlfn.XLOOKUP($L55,'Balizador da Meta'!$B$4:$B$21,'Balizador da Meta'!$C$4:$C$21)</f>
        <v>2940</v>
      </c>
      <c r="X55" s="28">
        <f>X42*_xlfn.XLOOKUP($L55,'Balizador da Meta'!$B$4:$B$21,'Balizador da Meta'!$C$4:$C$21)</f>
        <v>3000</v>
      </c>
      <c r="Y55" s="28">
        <f>Y42*_xlfn.XLOOKUP($L55,'Balizador da Meta'!$B$4:$B$21,'Balizador da Meta'!$C$4:$C$21)</f>
        <v>3120</v>
      </c>
      <c r="Z55" s="30">
        <f t="shared" si="13"/>
        <v>31320</v>
      </c>
      <c r="AA55" s="29"/>
      <c r="AB55" s="31">
        <f>SUMIFS('Historico - FAT'!AK:AK,'Historico - FAT'!$K:$K,Faturamento!$L55,'Historico - FAT'!$I:$I,Faturamento!$J55,'Historico - FAT'!$G:$G,Faturamento!$H55)</f>
        <v>0</v>
      </c>
      <c r="AC55" s="31">
        <f>SUMIFS('Historico - FAT'!AL:AL,'Historico - FAT'!$K:$K,Faturamento!$L55,'Historico - FAT'!$I:$I,Faturamento!$J55,'Historico - FAT'!$G:$G,Faturamento!$H55)</f>
        <v>0</v>
      </c>
      <c r="AD55" s="31">
        <f>SUMIFS('Historico - FAT'!AM:AM,'Historico - FAT'!$K:$K,Faturamento!$L55,'Historico - FAT'!$I:$I,Faturamento!$J55,'Historico - FAT'!$G:$G,Faturamento!$H55)</f>
        <v>0</v>
      </c>
      <c r="AE55" s="27">
        <f>SUMIFS('Historico - FAT'!AN:AN,'Historico - FAT'!$K:$K,Faturamento!$L55,'Historico - FAT'!$I:$I,Faturamento!$J55,'Historico - FAT'!$G:$G,Faturamento!$H55)</f>
        <v>0</v>
      </c>
      <c r="AG55" s="24">
        <f t="shared" si="6"/>
        <v>1</v>
      </c>
      <c r="AH55" s="24">
        <f t="shared" si="7"/>
        <v>1</v>
      </c>
      <c r="AI55" s="24">
        <f t="shared" si="8"/>
        <v>1</v>
      </c>
    </row>
    <row r="56" spans="1:35" hidden="1" x14ac:dyDescent="0.3">
      <c r="A56" s="2" t="str">
        <f t="shared" si="3"/>
        <v>NÃO</v>
      </c>
      <c r="B56" s="2">
        <v>1000184670</v>
      </c>
      <c r="C56" s="2" t="s">
        <v>147</v>
      </c>
      <c r="D56" s="4">
        <v>1000186197</v>
      </c>
      <c r="E56" s="4" t="s">
        <v>166</v>
      </c>
      <c r="F56" s="2">
        <v>1000198600</v>
      </c>
      <c r="G56" s="2" t="s">
        <v>148</v>
      </c>
      <c r="H56" s="4">
        <v>1000198601</v>
      </c>
      <c r="I56" s="4" t="s">
        <v>149</v>
      </c>
      <c r="J56" s="2">
        <v>1000189751</v>
      </c>
      <c r="K56" s="2" t="s">
        <v>137</v>
      </c>
      <c r="L56" s="4" t="s">
        <v>23</v>
      </c>
      <c r="M56" s="4" t="str">
        <f t="shared" si="4"/>
        <v>1000184670100018619710001986011000189751SABORES DO CAMPO</v>
      </c>
      <c r="N56" s="28">
        <f>N42*_xlfn.XLOOKUP($L56,'Balizador da Meta'!$B$4:$B$21,'Balizador da Meta'!$C$4:$C$21)</f>
        <v>0</v>
      </c>
      <c r="O56" s="28">
        <f>O42*_xlfn.XLOOKUP($L56,'Balizador da Meta'!$B$4:$B$21,'Balizador da Meta'!$C$4:$C$21)</f>
        <v>0</v>
      </c>
      <c r="P56" s="28">
        <f>P42*_xlfn.XLOOKUP($L56,'Balizador da Meta'!$B$4:$B$21,'Balizador da Meta'!$C$4:$C$21)</f>
        <v>0</v>
      </c>
      <c r="Q56" s="28">
        <f>Q42*_xlfn.XLOOKUP($L56,'Balizador da Meta'!$B$4:$B$21,'Balizador da Meta'!$C$4:$C$21)</f>
        <v>0</v>
      </c>
      <c r="R56" s="28">
        <f>R42*_xlfn.XLOOKUP($L56,'Balizador da Meta'!$B$4:$B$21,'Balizador da Meta'!$C$4:$C$21)</f>
        <v>0</v>
      </c>
      <c r="S56" s="28">
        <f>S42*_xlfn.XLOOKUP($L56,'Balizador da Meta'!$B$4:$B$21,'Balizador da Meta'!$C$4:$C$21)</f>
        <v>0</v>
      </c>
      <c r="T56" s="28">
        <f>T42*_xlfn.XLOOKUP($L56,'Balizador da Meta'!$B$4:$B$21,'Balizador da Meta'!$C$4:$C$21)</f>
        <v>0</v>
      </c>
      <c r="U56" s="28">
        <f>U42*_xlfn.XLOOKUP($L56,'Balizador da Meta'!$B$4:$B$21,'Balizador da Meta'!$C$4:$C$21)</f>
        <v>0</v>
      </c>
      <c r="V56" s="28">
        <f>V42*_xlfn.XLOOKUP($L56,'Balizador da Meta'!$B$4:$B$21,'Balizador da Meta'!$C$4:$C$21)</f>
        <v>0</v>
      </c>
      <c r="W56" s="28">
        <f>W42*_xlfn.XLOOKUP($L56,'Balizador da Meta'!$B$4:$B$21,'Balizador da Meta'!$C$4:$C$21)</f>
        <v>0</v>
      </c>
      <c r="X56" s="28">
        <f>X42*_xlfn.XLOOKUP($L56,'Balizador da Meta'!$B$4:$B$21,'Balizador da Meta'!$C$4:$C$21)</f>
        <v>0</v>
      </c>
      <c r="Y56" s="28">
        <f>Y42*_xlfn.XLOOKUP($L56,'Balizador da Meta'!$B$4:$B$21,'Balizador da Meta'!$C$4:$C$21)</f>
        <v>0</v>
      </c>
      <c r="Z56" s="30">
        <f t="shared" si="13"/>
        <v>0</v>
      </c>
      <c r="AA56" s="29"/>
      <c r="AB56" s="31">
        <f>SUMIFS('Historico - FAT'!AK:AK,'Historico - FAT'!$K:$K,Faturamento!$L56,'Historico - FAT'!$I:$I,Faturamento!$J56,'Historico - FAT'!$G:$G,Faturamento!$H56)</f>
        <v>0</v>
      </c>
      <c r="AC56" s="31">
        <f>SUMIFS('Historico - FAT'!AL:AL,'Historico - FAT'!$K:$K,Faturamento!$L56,'Historico - FAT'!$I:$I,Faturamento!$J56,'Historico - FAT'!$G:$G,Faturamento!$H56)</f>
        <v>0</v>
      </c>
      <c r="AD56" s="31">
        <f>SUMIFS('Historico - FAT'!AM:AM,'Historico - FAT'!$K:$K,Faturamento!$L56,'Historico - FAT'!$I:$I,Faturamento!$J56,'Historico - FAT'!$G:$G,Faturamento!$H56)</f>
        <v>0</v>
      </c>
      <c r="AE56" s="27">
        <f>SUMIFS('Historico - FAT'!AN:AN,'Historico - FAT'!$K:$K,Faturamento!$L56,'Historico - FAT'!$I:$I,Faturamento!$J56,'Historico - FAT'!$G:$G,Faturamento!$H56)</f>
        <v>0</v>
      </c>
      <c r="AG56" s="24" t="str">
        <f t="shared" si="6"/>
        <v/>
      </c>
      <c r="AH56" s="24" t="str">
        <f t="shared" si="7"/>
        <v/>
      </c>
      <c r="AI56" s="24" t="str">
        <f t="shared" si="8"/>
        <v/>
      </c>
    </row>
    <row r="57" spans="1:35" hidden="1" x14ac:dyDescent="0.3">
      <c r="A57" s="2" t="str">
        <f t="shared" si="3"/>
        <v>NÃO</v>
      </c>
      <c r="B57" s="2">
        <v>1000184670</v>
      </c>
      <c r="C57" s="2" t="s">
        <v>147</v>
      </c>
      <c r="D57" s="4">
        <v>1000186197</v>
      </c>
      <c r="E57" s="4" t="s">
        <v>166</v>
      </c>
      <c r="F57" s="2">
        <v>1000198600</v>
      </c>
      <c r="G57" s="2" t="s">
        <v>148</v>
      </c>
      <c r="H57" s="4">
        <v>1000198601</v>
      </c>
      <c r="I57" s="4" t="s">
        <v>149</v>
      </c>
      <c r="J57" s="2">
        <v>1000189751</v>
      </c>
      <c r="K57" s="2" t="s">
        <v>137</v>
      </c>
      <c r="L57" s="4" t="s">
        <v>28</v>
      </c>
      <c r="M57" s="4" t="str">
        <f t="shared" si="4"/>
        <v>1000184670100018619710001986011000189751SAL</v>
      </c>
      <c r="N57" s="28">
        <f>N42*_xlfn.XLOOKUP($L57,'Balizador da Meta'!$B$4:$B$21,'Balizador da Meta'!$C$4:$C$21)</f>
        <v>1050</v>
      </c>
      <c r="O57" s="28">
        <f>O42*_xlfn.XLOOKUP($L57,'Balizador da Meta'!$B$4:$B$21,'Balizador da Meta'!$C$4:$C$21)</f>
        <v>1110</v>
      </c>
      <c r="P57" s="28">
        <f>P42*_xlfn.XLOOKUP($L57,'Balizador da Meta'!$B$4:$B$21,'Balizador da Meta'!$C$4:$C$21)</f>
        <v>1140</v>
      </c>
      <c r="Q57" s="28">
        <f>Q42*_xlfn.XLOOKUP($L57,'Balizador da Meta'!$B$4:$B$21,'Balizador da Meta'!$C$4:$C$21)</f>
        <v>1200</v>
      </c>
      <c r="R57" s="28">
        <f>R42*_xlfn.XLOOKUP($L57,'Balizador da Meta'!$B$4:$B$21,'Balizador da Meta'!$C$4:$C$21)</f>
        <v>1230</v>
      </c>
      <c r="S57" s="28">
        <f>S42*_xlfn.XLOOKUP($L57,'Balizador da Meta'!$B$4:$B$21,'Balizador da Meta'!$C$4:$C$21)</f>
        <v>1290</v>
      </c>
      <c r="T57" s="28">
        <f>T42*_xlfn.XLOOKUP($L57,'Balizador da Meta'!$B$4:$B$21,'Balizador da Meta'!$C$4:$C$21)</f>
        <v>1320</v>
      </c>
      <c r="U57" s="28">
        <f>U42*_xlfn.XLOOKUP($L57,'Balizador da Meta'!$B$4:$B$21,'Balizador da Meta'!$C$4:$C$21)</f>
        <v>1380</v>
      </c>
      <c r="V57" s="28">
        <f>V42*_xlfn.XLOOKUP($L57,'Balizador da Meta'!$B$4:$B$21,'Balizador da Meta'!$C$4:$C$21)</f>
        <v>1410</v>
      </c>
      <c r="W57" s="28">
        <f>W42*_xlfn.XLOOKUP($L57,'Balizador da Meta'!$B$4:$B$21,'Balizador da Meta'!$C$4:$C$21)</f>
        <v>1470</v>
      </c>
      <c r="X57" s="28">
        <f>X42*_xlfn.XLOOKUP($L57,'Balizador da Meta'!$B$4:$B$21,'Balizador da Meta'!$C$4:$C$21)</f>
        <v>1500</v>
      </c>
      <c r="Y57" s="28">
        <f>Y42*_xlfn.XLOOKUP($L57,'Balizador da Meta'!$B$4:$B$21,'Balizador da Meta'!$C$4:$C$21)</f>
        <v>1560</v>
      </c>
      <c r="Z57" s="30">
        <f t="shared" si="13"/>
        <v>15660</v>
      </c>
      <c r="AA57" s="29"/>
      <c r="AB57" s="31">
        <f>SUMIFS('Historico - FAT'!AK:AK,'Historico - FAT'!$K:$K,Faturamento!$L57,'Historico - FAT'!$I:$I,Faturamento!$J57,'Historico - FAT'!$G:$G,Faturamento!$H57)</f>
        <v>0</v>
      </c>
      <c r="AC57" s="31">
        <f>SUMIFS('Historico - FAT'!AL:AL,'Historico - FAT'!$K:$K,Faturamento!$L57,'Historico - FAT'!$I:$I,Faturamento!$J57,'Historico - FAT'!$G:$G,Faturamento!$H57)</f>
        <v>0</v>
      </c>
      <c r="AD57" s="31">
        <f>SUMIFS('Historico - FAT'!AM:AM,'Historico - FAT'!$K:$K,Faturamento!$L57,'Historico - FAT'!$I:$I,Faturamento!$J57,'Historico - FAT'!$G:$G,Faturamento!$H57)</f>
        <v>0</v>
      </c>
      <c r="AE57" s="27">
        <f>SUMIFS('Historico - FAT'!AN:AN,'Historico - FAT'!$K:$K,Faturamento!$L57,'Historico - FAT'!$I:$I,Faturamento!$J57,'Historico - FAT'!$G:$G,Faturamento!$H57)</f>
        <v>0</v>
      </c>
      <c r="AG57" s="24">
        <f t="shared" si="6"/>
        <v>1</v>
      </c>
      <c r="AH57" s="24">
        <f t="shared" si="7"/>
        <v>1</v>
      </c>
      <c r="AI57" s="24">
        <f t="shared" si="8"/>
        <v>1</v>
      </c>
    </row>
    <row r="58" spans="1:35" hidden="1" x14ac:dyDescent="0.3">
      <c r="A58" s="2" t="str">
        <f t="shared" si="3"/>
        <v>NÃO</v>
      </c>
      <c r="B58" s="2">
        <v>1000184670</v>
      </c>
      <c r="C58" s="2" t="s">
        <v>147</v>
      </c>
      <c r="D58" s="4">
        <v>1000186197</v>
      </c>
      <c r="E58" s="4" t="s">
        <v>166</v>
      </c>
      <c r="F58" s="2">
        <v>1000198600</v>
      </c>
      <c r="G58" s="2" t="s">
        <v>148</v>
      </c>
      <c r="H58" s="4">
        <v>1000198601</v>
      </c>
      <c r="I58" s="4" t="s">
        <v>149</v>
      </c>
      <c r="J58" s="2">
        <v>1000189751</v>
      </c>
      <c r="K58" s="2" t="s">
        <v>137</v>
      </c>
      <c r="L58" s="4" t="s">
        <v>26</v>
      </c>
      <c r="M58" s="4" t="str">
        <f t="shared" si="4"/>
        <v>1000184670100018619710001986011000189751SOULPRO</v>
      </c>
      <c r="N58" s="28">
        <f>N42*_xlfn.XLOOKUP($L58,'Balizador da Meta'!$B$4:$B$21,'Balizador da Meta'!$C$4:$C$21)</f>
        <v>3150</v>
      </c>
      <c r="O58" s="28">
        <f>O42*_xlfn.XLOOKUP($L58,'Balizador da Meta'!$B$4:$B$21,'Balizador da Meta'!$C$4:$C$21)</f>
        <v>3330</v>
      </c>
      <c r="P58" s="28">
        <f>P42*_xlfn.XLOOKUP($L58,'Balizador da Meta'!$B$4:$B$21,'Balizador da Meta'!$C$4:$C$21)</f>
        <v>3420</v>
      </c>
      <c r="Q58" s="28">
        <f>Q42*_xlfn.XLOOKUP($L58,'Balizador da Meta'!$B$4:$B$21,'Balizador da Meta'!$C$4:$C$21)</f>
        <v>3600</v>
      </c>
      <c r="R58" s="28">
        <f>R42*_xlfn.XLOOKUP($L58,'Balizador da Meta'!$B$4:$B$21,'Balizador da Meta'!$C$4:$C$21)</f>
        <v>3690</v>
      </c>
      <c r="S58" s="28">
        <f>S42*_xlfn.XLOOKUP($L58,'Balizador da Meta'!$B$4:$B$21,'Balizador da Meta'!$C$4:$C$21)</f>
        <v>3870</v>
      </c>
      <c r="T58" s="28">
        <f>T42*_xlfn.XLOOKUP($L58,'Balizador da Meta'!$B$4:$B$21,'Balizador da Meta'!$C$4:$C$21)</f>
        <v>3960</v>
      </c>
      <c r="U58" s="28">
        <f>U42*_xlfn.XLOOKUP($L58,'Balizador da Meta'!$B$4:$B$21,'Balizador da Meta'!$C$4:$C$21)</f>
        <v>4140</v>
      </c>
      <c r="V58" s="28">
        <f>V42*_xlfn.XLOOKUP($L58,'Balizador da Meta'!$B$4:$B$21,'Balizador da Meta'!$C$4:$C$21)</f>
        <v>4230</v>
      </c>
      <c r="W58" s="28">
        <f>W42*_xlfn.XLOOKUP($L58,'Balizador da Meta'!$B$4:$B$21,'Balizador da Meta'!$C$4:$C$21)</f>
        <v>4410</v>
      </c>
      <c r="X58" s="28">
        <f>X42*_xlfn.XLOOKUP($L58,'Balizador da Meta'!$B$4:$B$21,'Balizador da Meta'!$C$4:$C$21)</f>
        <v>4500</v>
      </c>
      <c r="Y58" s="28">
        <f>Y42*_xlfn.XLOOKUP($L58,'Balizador da Meta'!$B$4:$B$21,'Balizador da Meta'!$C$4:$C$21)</f>
        <v>4680</v>
      </c>
      <c r="Z58" s="30">
        <f t="shared" si="13"/>
        <v>46980</v>
      </c>
      <c r="AA58" s="29"/>
      <c r="AB58" s="31">
        <f>SUMIFS('Historico - FAT'!AK:AK,'Historico - FAT'!$K:$K,Faturamento!$L58,'Historico - FAT'!$I:$I,Faturamento!$J58,'Historico - FAT'!$G:$G,Faturamento!$H58)</f>
        <v>0</v>
      </c>
      <c r="AC58" s="31">
        <f>SUMIFS('Historico - FAT'!AL:AL,'Historico - FAT'!$K:$K,Faturamento!$L58,'Historico - FAT'!$I:$I,Faturamento!$J58,'Historico - FAT'!$G:$G,Faturamento!$H58)</f>
        <v>0</v>
      </c>
      <c r="AD58" s="31">
        <f>SUMIFS('Historico - FAT'!AM:AM,'Historico - FAT'!$K:$K,Faturamento!$L58,'Historico - FAT'!$I:$I,Faturamento!$J58,'Historico - FAT'!$G:$G,Faturamento!$H58)</f>
        <v>0</v>
      </c>
      <c r="AE58" s="27">
        <f>SUMIFS('Historico - FAT'!AN:AN,'Historico - FAT'!$K:$K,Faturamento!$L58,'Historico - FAT'!$I:$I,Faturamento!$J58,'Historico - FAT'!$G:$G,Faturamento!$H58)</f>
        <v>0</v>
      </c>
      <c r="AG58" s="24">
        <f t="shared" si="6"/>
        <v>1</v>
      </c>
      <c r="AH58" s="24">
        <f t="shared" si="7"/>
        <v>1</v>
      </c>
      <c r="AI58" s="24">
        <f t="shared" si="8"/>
        <v>1</v>
      </c>
    </row>
    <row r="59" spans="1:35" hidden="1" x14ac:dyDescent="0.3">
      <c r="A59" s="2" t="str">
        <f t="shared" si="3"/>
        <v>NÃO</v>
      </c>
      <c r="B59" s="2">
        <v>1000184670</v>
      </c>
      <c r="C59" s="2" t="s">
        <v>147</v>
      </c>
      <c r="D59" s="4">
        <v>1000186197</v>
      </c>
      <c r="E59" s="4" t="s">
        <v>166</v>
      </c>
      <c r="F59" s="2">
        <v>1000198600</v>
      </c>
      <c r="G59" s="2" t="s">
        <v>148</v>
      </c>
      <c r="H59" s="4">
        <v>1000198601</v>
      </c>
      <c r="I59" s="4" t="s">
        <v>149</v>
      </c>
      <c r="J59" s="2">
        <v>1000189751</v>
      </c>
      <c r="K59" s="2" t="s">
        <v>137</v>
      </c>
      <c r="L59" s="4" t="s">
        <v>27</v>
      </c>
      <c r="M59" s="4" t="str">
        <f t="shared" si="4"/>
        <v>1000184670100018619710001986011000189751TAMARA</v>
      </c>
      <c r="N59" s="28">
        <f>N42*_xlfn.XLOOKUP($L59,'Balizador da Meta'!$B$4:$B$21,'Balizador da Meta'!$C$4:$C$21)</f>
        <v>4200</v>
      </c>
      <c r="O59" s="28">
        <f>O42*_xlfn.XLOOKUP($L59,'Balizador da Meta'!$B$4:$B$21,'Balizador da Meta'!$C$4:$C$21)</f>
        <v>4440</v>
      </c>
      <c r="P59" s="28">
        <f>P42*_xlfn.XLOOKUP($L59,'Balizador da Meta'!$B$4:$B$21,'Balizador da Meta'!$C$4:$C$21)</f>
        <v>4560</v>
      </c>
      <c r="Q59" s="28">
        <f>Q42*_xlfn.XLOOKUP($L59,'Balizador da Meta'!$B$4:$B$21,'Balizador da Meta'!$C$4:$C$21)</f>
        <v>4800</v>
      </c>
      <c r="R59" s="28">
        <f>R42*_xlfn.XLOOKUP($L59,'Balizador da Meta'!$B$4:$B$21,'Balizador da Meta'!$C$4:$C$21)</f>
        <v>4920</v>
      </c>
      <c r="S59" s="28">
        <f>S42*_xlfn.XLOOKUP($L59,'Balizador da Meta'!$B$4:$B$21,'Balizador da Meta'!$C$4:$C$21)</f>
        <v>5160</v>
      </c>
      <c r="T59" s="28">
        <f>T42*_xlfn.XLOOKUP($L59,'Balizador da Meta'!$B$4:$B$21,'Balizador da Meta'!$C$4:$C$21)</f>
        <v>5280</v>
      </c>
      <c r="U59" s="28">
        <f>U42*_xlfn.XLOOKUP($L59,'Balizador da Meta'!$B$4:$B$21,'Balizador da Meta'!$C$4:$C$21)</f>
        <v>5520</v>
      </c>
      <c r="V59" s="28">
        <f>V42*_xlfn.XLOOKUP($L59,'Balizador da Meta'!$B$4:$B$21,'Balizador da Meta'!$C$4:$C$21)</f>
        <v>5640</v>
      </c>
      <c r="W59" s="28">
        <f>W42*_xlfn.XLOOKUP($L59,'Balizador da Meta'!$B$4:$B$21,'Balizador da Meta'!$C$4:$C$21)</f>
        <v>5880</v>
      </c>
      <c r="X59" s="28">
        <f>X42*_xlfn.XLOOKUP($L59,'Balizador da Meta'!$B$4:$B$21,'Balizador da Meta'!$C$4:$C$21)</f>
        <v>6000</v>
      </c>
      <c r="Y59" s="28">
        <f>Y42*_xlfn.XLOOKUP($L59,'Balizador da Meta'!$B$4:$B$21,'Balizador da Meta'!$C$4:$C$21)</f>
        <v>6240</v>
      </c>
      <c r="Z59" s="30">
        <f t="shared" si="13"/>
        <v>62640</v>
      </c>
      <c r="AA59" s="29"/>
      <c r="AB59" s="31">
        <f>SUMIFS('Historico - FAT'!AK:AK,'Historico - FAT'!$K:$K,Faturamento!$L59,'Historico - FAT'!$I:$I,Faturamento!$J59,'Historico - FAT'!$G:$G,Faturamento!$H59)</f>
        <v>0</v>
      </c>
      <c r="AC59" s="31">
        <f>SUMIFS('Historico - FAT'!AL:AL,'Historico - FAT'!$K:$K,Faturamento!$L59,'Historico - FAT'!$I:$I,Faturamento!$J59,'Historico - FAT'!$G:$G,Faturamento!$H59)</f>
        <v>0</v>
      </c>
      <c r="AD59" s="31">
        <f>SUMIFS('Historico - FAT'!AM:AM,'Historico - FAT'!$K:$K,Faturamento!$L59,'Historico - FAT'!$I:$I,Faturamento!$J59,'Historico - FAT'!$G:$G,Faturamento!$H59)</f>
        <v>0</v>
      </c>
      <c r="AE59" s="27">
        <f>SUMIFS('Historico - FAT'!AN:AN,'Historico - FAT'!$K:$K,Faturamento!$L59,'Historico - FAT'!$I:$I,Faturamento!$J59,'Historico - FAT'!$G:$G,Faturamento!$H59)</f>
        <v>0</v>
      </c>
      <c r="AG59" s="24">
        <f t="shared" si="6"/>
        <v>1</v>
      </c>
      <c r="AH59" s="24">
        <f t="shared" si="7"/>
        <v>1</v>
      </c>
      <c r="AI59" s="24">
        <f t="shared" si="8"/>
        <v>1</v>
      </c>
    </row>
    <row r="60" spans="1:35" hidden="1" x14ac:dyDescent="0.3">
      <c r="A60" s="2" t="str">
        <f t="shared" si="3"/>
        <v>NÃO</v>
      </c>
      <c r="B60" s="2">
        <v>1000184670</v>
      </c>
      <c r="C60" s="2" t="s">
        <v>147</v>
      </c>
      <c r="D60" s="4">
        <v>1000186197</v>
      </c>
      <c r="E60" s="4" t="s">
        <v>166</v>
      </c>
      <c r="F60" s="2">
        <v>1000198600</v>
      </c>
      <c r="G60" s="2" t="s">
        <v>148</v>
      </c>
      <c r="H60" s="4">
        <v>1000198601</v>
      </c>
      <c r="I60" s="4" t="s">
        <v>149</v>
      </c>
      <c r="J60" s="2">
        <v>1000189751</v>
      </c>
      <c r="K60" s="2" t="s">
        <v>137</v>
      </c>
      <c r="L60" s="4" t="s">
        <v>25</v>
      </c>
      <c r="M60" s="4" t="str">
        <f t="shared" si="4"/>
        <v>1000184670100018619710001986011000189751VICCIO</v>
      </c>
      <c r="N60" s="28">
        <f>N42*_xlfn.XLOOKUP($L60,'Balizador da Meta'!$B$4:$B$21,'Balizador da Meta'!$C$4:$C$21)</f>
        <v>1575</v>
      </c>
      <c r="O60" s="28">
        <f>O42*_xlfn.XLOOKUP($L60,'Balizador da Meta'!$B$4:$B$21,'Balizador da Meta'!$C$4:$C$21)</f>
        <v>1665</v>
      </c>
      <c r="P60" s="28">
        <f>P42*_xlfn.XLOOKUP($L60,'Balizador da Meta'!$B$4:$B$21,'Balizador da Meta'!$C$4:$C$21)</f>
        <v>1710</v>
      </c>
      <c r="Q60" s="28">
        <f>Q42*_xlfn.XLOOKUP($L60,'Balizador da Meta'!$B$4:$B$21,'Balizador da Meta'!$C$4:$C$21)</f>
        <v>1800</v>
      </c>
      <c r="R60" s="28">
        <f>R42*_xlfn.XLOOKUP($L60,'Balizador da Meta'!$B$4:$B$21,'Balizador da Meta'!$C$4:$C$21)</f>
        <v>1845</v>
      </c>
      <c r="S60" s="28">
        <f>S42*_xlfn.XLOOKUP($L60,'Balizador da Meta'!$B$4:$B$21,'Balizador da Meta'!$C$4:$C$21)</f>
        <v>1935</v>
      </c>
      <c r="T60" s="28">
        <f>T42*_xlfn.XLOOKUP($L60,'Balizador da Meta'!$B$4:$B$21,'Balizador da Meta'!$C$4:$C$21)</f>
        <v>1980</v>
      </c>
      <c r="U60" s="28">
        <f>U42*_xlfn.XLOOKUP($L60,'Balizador da Meta'!$B$4:$B$21,'Balizador da Meta'!$C$4:$C$21)</f>
        <v>2070</v>
      </c>
      <c r="V60" s="28">
        <f>V42*_xlfn.XLOOKUP($L60,'Balizador da Meta'!$B$4:$B$21,'Balizador da Meta'!$C$4:$C$21)</f>
        <v>2115</v>
      </c>
      <c r="W60" s="28">
        <f>W42*_xlfn.XLOOKUP($L60,'Balizador da Meta'!$B$4:$B$21,'Balizador da Meta'!$C$4:$C$21)</f>
        <v>2205</v>
      </c>
      <c r="X60" s="28">
        <f>X42*_xlfn.XLOOKUP($L60,'Balizador da Meta'!$B$4:$B$21,'Balizador da Meta'!$C$4:$C$21)</f>
        <v>2250</v>
      </c>
      <c r="Y60" s="28">
        <f>Y42*_xlfn.XLOOKUP($L60,'Balizador da Meta'!$B$4:$B$21,'Balizador da Meta'!$C$4:$C$21)</f>
        <v>2340</v>
      </c>
      <c r="Z60" s="30">
        <f t="shared" si="13"/>
        <v>23490</v>
      </c>
      <c r="AA60" s="29"/>
      <c r="AB60" s="31">
        <f>SUMIFS('Historico - FAT'!AK:AK,'Historico - FAT'!$K:$K,Faturamento!$L60,'Historico - FAT'!$I:$I,Faturamento!$J60,'Historico - FAT'!$G:$G,Faturamento!$H60)</f>
        <v>0</v>
      </c>
      <c r="AC60" s="31">
        <f>SUMIFS('Historico - FAT'!AL:AL,'Historico - FAT'!$K:$K,Faturamento!$L60,'Historico - FAT'!$I:$I,Faturamento!$J60,'Historico - FAT'!$G:$G,Faturamento!$H60)</f>
        <v>20.625</v>
      </c>
      <c r="AD60" s="31">
        <f>SUMIFS('Historico - FAT'!AM:AM,'Historico - FAT'!$K:$K,Faturamento!$L60,'Historico - FAT'!$I:$I,Faturamento!$J60,'Historico - FAT'!$G:$G,Faturamento!$H60)</f>
        <v>41.25</v>
      </c>
      <c r="AE60" s="27">
        <f>SUMIFS('Historico - FAT'!AN:AN,'Historico - FAT'!$K:$K,Faturamento!$L60,'Historico - FAT'!$I:$I,Faturamento!$J60,'Historico - FAT'!$G:$G,Faturamento!$H60)</f>
        <v>24.75</v>
      </c>
      <c r="AG60" s="24">
        <f t="shared" si="6"/>
        <v>1</v>
      </c>
      <c r="AH60" s="24">
        <f t="shared" si="7"/>
        <v>0.99089403973509937</v>
      </c>
      <c r="AI60" s="24">
        <f t="shared" si="8"/>
        <v>0.98178807947019864</v>
      </c>
    </row>
    <row r="61" spans="1:35" x14ac:dyDescent="0.3">
      <c r="A61" s="2" t="str">
        <f t="shared" si="3"/>
        <v>SIM</v>
      </c>
      <c r="B61" s="2">
        <v>1000184670</v>
      </c>
      <c r="C61" s="2" t="s">
        <v>147</v>
      </c>
      <c r="D61" s="4">
        <v>1000186197</v>
      </c>
      <c r="E61" s="4" t="s">
        <v>166</v>
      </c>
      <c r="F61" s="2">
        <v>1000198600</v>
      </c>
      <c r="G61" s="2" t="s">
        <v>148</v>
      </c>
      <c r="H61" s="4">
        <v>1000198601</v>
      </c>
      <c r="I61" s="4" t="s">
        <v>149</v>
      </c>
      <c r="J61" s="2">
        <v>1000189753</v>
      </c>
      <c r="K61" s="2" t="s">
        <v>138</v>
      </c>
      <c r="L61" s="4" t="s">
        <v>124</v>
      </c>
      <c r="M61" s="4" t="str">
        <f t="shared" si="4"/>
        <v>100018467010001861971000198601100018975301. TOTAL</v>
      </c>
      <c r="N61" s="28">
        <f>SUMIFS(Positivação!L:L,Positivação!$I:$I,Faturamento!$J61,Positivação!$G:$G,Faturamento!$H61)*SUMIFS(Positivação!$Z:$Z,Positivação!$I:$I,Faturamento!$J61,Positivação!$G:$G,Faturamento!$H61)</f>
        <v>24000</v>
      </c>
      <c r="O61" s="28">
        <f>SUMIFS(Positivação!M:M,Positivação!$I:$I,Faturamento!$J61,Positivação!$G:$G,Faturamento!$H61)*SUMIFS(Positivação!$Z:$Z,Positivação!$I:$I,Faturamento!$J61,Positivação!$G:$G,Faturamento!$H61)</f>
        <v>25500</v>
      </c>
      <c r="P61" s="28">
        <f>SUMIFS(Positivação!N:N,Positivação!$I:$I,Faturamento!$J61,Positivação!$G:$G,Faturamento!$H61)*SUMIFS(Positivação!$Z:$Z,Positivação!$I:$I,Faturamento!$J61,Positivação!$G:$G,Faturamento!$H61)</f>
        <v>25500</v>
      </c>
      <c r="Q61" s="28">
        <f>SUMIFS(Positivação!O:O,Positivação!$I:$I,Faturamento!$J61,Positivação!$G:$G,Faturamento!$H61)*SUMIFS(Positivação!$Z:$Z,Positivação!$I:$I,Faturamento!$J61,Positivação!$G:$G,Faturamento!$H61)</f>
        <v>27000</v>
      </c>
      <c r="R61" s="28">
        <f>SUMIFS(Positivação!P:P,Positivação!$I:$I,Faturamento!$J61,Positivação!$G:$G,Faturamento!$H61)*SUMIFS(Positivação!$Z:$Z,Positivação!$I:$I,Faturamento!$J61,Positivação!$G:$G,Faturamento!$H61)</f>
        <v>27000</v>
      </c>
      <c r="S61" s="28">
        <f>SUMIFS(Positivação!Q:Q,Positivação!$I:$I,Faturamento!$J61,Positivação!$G:$G,Faturamento!$H61)*SUMIFS(Positivação!$Z:$Z,Positivação!$I:$I,Faturamento!$J61,Positivação!$G:$G,Faturamento!$H61)</f>
        <v>28500</v>
      </c>
      <c r="T61" s="28">
        <f>SUMIFS(Positivação!R:R,Positivação!$I:$I,Faturamento!$J61,Positivação!$G:$G,Faturamento!$H61)*SUMIFS(Positivação!$Z:$Z,Positivação!$I:$I,Faturamento!$J61,Positivação!$G:$G,Faturamento!$H61)</f>
        <v>30000</v>
      </c>
      <c r="U61" s="28">
        <f>SUMIFS(Positivação!S:S,Positivação!$I:$I,Faturamento!$J61,Positivação!$G:$G,Faturamento!$H61)*SUMIFS(Positivação!$Z:$Z,Positivação!$I:$I,Faturamento!$J61,Positivação!$G:$G,Faturamento!$H61)</f>
        <v>30000</v>
      </c>
      <c r="V61" s="28">
        <f>SUMIFS(Positivação!T:T,Positivação!$I:$I,Faturamento!$J61,Positivação!$G:$G,Faturamento!$H61)*SUMIFS(Positivação!$Z:$Z,Positivação!$I:$I,Faturamento!$J61,Positivação!$G:$G,Faturamento!$H61)</f>
        <v>31500</v>
      </c>
      <c r="W61" s="28">
        <f>SUMIFS(Positivação!U:U,Positivação!$I:$I,Faturamento!$J61,Positivação!$G:$G,Faturamento!$H61)*SUMIFS(Positivação!$Z:$Z,Positivação!$I:$I,Faturamento!$J61,Positivação!$G:$G,Faturamento!$H61)</f>
        <v>31500</v>
      </c>
      <c r="X61" s="28">
        <f>SUMIFS(Positivação!V:V,Positivação!$I:$I,Faturamento!$J61,Positivação!$G:$G,Faturamento!$H61)*SUMIFS(Positivação!$Z:$Z,Positivação!$I:$I,Faturamento!$J61,Positivação!$G:$G,Faturamento!$H61)</f>
        <v>33000</v>
      </c>
      <c r="Y61" s="28">
        <f>SUMIFS(Positivação!W:W,Positivação!$I:$I,Faturamento!$J61,Positivação!$G:$G,Faturamento!$H61)*SUMIFS(Positivação!$Z:$Z,Positivação!$I:$I,Faturamento!$J61,Positivação!$G:$G,Faturamento!$H61)</f>
        <v>34500</v>
      </c>
      <c r="Z61" s="28">
        <f t="shared" ref="Z61" si="14">SUM(Z62:Z79)</f>
        <v>348000</v>
      </c>
      <c r="AA61" s="29"/>
      <c r="AB61" s="28">
        <f t="shared" ref="AB61:AE61" si="15">SUM(AB62:AB79)</f>
        <v>0</v>
      </c>
      <c r="AC61" s="28">
        <f t="shared" si="15"/>
        <v>704.12166666666667</v>
      </c>
      <c r="AD61" s="28">
        <f t="shared" si="15"/>
        <v>1408.2433333333333</v>
      </c>
      <c r="AE61" s="28">
        <f t="shared" si="15"/>
        <v>844.94600000000003</v>
      </c>
      <c r="AG61" s="24">
        <f t="shared" ref="AG61:AG113" si="16">IFERROR((AVERAGE(W61:Y61)-AB61)/AVERAGE(W61:Y61),"")</f>
        <v>1</v>
      </c>
      <c r="AH61" s="24">
        <f t="shared" ref="AH61:AH113" si="17">IFERROR((AVERAGE(W61:Y61)-AC61)/AVERAGE(W61:Y61),"")</f>
        <v>0.97866297979797978</v>
      </c>
      <c r="AI61" s="24">
        <f t="shared" ref="AI61:AI113" si="18">IFERROR((AVERAGE(W61:Y61)-AD61)/AVERAGE(W61:Y61),"")</f>
        <v>0.95732595959595967</v>
      </c>
    </row>
    <row r="62" spans="1:35" hidden="1" x14ac:dyDescent="0.3">
      <c r="A62" s="2" t="str">
        <f t="shared" si="3"/>
        <v>NÃO</v>
      </c>
      <c r="B62" s="2">
        <v>1000184670</v>
      </c>
      <c r="C62" s="2" t="s">
        <v>147</v>
      </c>
      <c r="D62" s="4">
        <v>1000186197</v>
      </c>
      <c r="E62" s="4" t="s">
        <v>166</v>
      </c>
      <c r="F62" s="2">
        <v>1000198600</v>
      </c>
      <c r="G62" s="2" t="s">
        <v>148</v>
      </c>
      <c r="H62" s="4">
        <v>1000198601</v>
      </c>
      <c r="I62" s="4" t="s">
        <v>149</v>
      </c>
      <c r="J62" s="2">
        <v>1000189753</v>
      </c>
      <c r="K62" s="2" t="s">
        <v>138</v>
      </c>
      <c r="L62" s="4" t="s">
        <v>13</v>
      </c>
      <c r="M62" s="4" t="str">
        <f t="shared" si="4"/>
        <v>1000184670100018619710001986011000189753BISCOITO</v>
      </c>
      <c r="N62" s="28">
        <f>N61*_xlfn.XLOOKUP($L62,'Balizador da Meta'!$B$4:$B$21,'Balizador da Meta'!$C$4:$C$21)</f>
        <v>1680.0000000000002</v>
      </c>
      <c r="O62" s="28">
        <f>O61*_xlfn.XLOOKUP($L62,'Balizador da Meta'!$B$4:$B$21,'Balizador da Meta'!$C$4:$C$21)</f>
        <v>1785.0000000000002</v>
      </c>
      <c r="P62" s="28">
        <f>P61*_xlfn.XLOOKUP($L62,'Balizador da Meta'!$B$4:$B$21,'Balizador da Meta'!$C$4:$C$21)</f>
        <v>1785.0000000000002</v>
      </c>
      <c r="Q62" s="28">
        <f>Q61*_xlfn.XLOOKUP($L62,'Balizador da Meta'!$B$4:$B$21,'Balizador da Meta'!$C$4:$C$21)</f>
        <v>1890.0000000000002</v>
      </c>
      <c r="R62" s="28">
        <f>R61*_xlfn.XLOOKUP($L62,'Balizador da Meta'!$B$4:$B$21,'Balizador da Meta'!$C$4:$C$21)</f>
        <v>1890.0000000000002</v>
      </c>
      <c r="S62" s="28">
        <f>S61*_xlfn.XLOOKUP($L62,'Balizador da Meta'!$B$4:$B$21,'Balizador da Meta'!$C$4:$C$21)</f>
        <v>1995.0000000000002</v>
      </c>
      <c r="T62" s="28">
        <f>T61*_xlfn.XLOOKUP($L62,'Balizador da Meta'!$B$4:$B$21,'Balizador da Meta'!$C$4:$C$21)</f>
        <v>2100</v>
      </c>
      <c r="U62" s="28">
        <f>U61*_xlfn.XLOOKUP($L62,'Balizador da Meta'!$B$4:$B$21,'Balizador da Meta'!$C$4:$C$21)</f>
        <v>2100</v>
      </c>
      <c r="V62" s="28">
        <f>V61*_xlfn.XLOOKUP($L62,'Balizador da Meta'!$B$4:$B$21,'Balizador da Meta'!$C$4:$C$21)</f>
        <v>2205</v>
      </c>
      <c r="W62" s="28">
        <f>W61*_xlfn.XLOOKUP($L62,'Balizador da Meta'!$B$4:$B$21,'Balizador da Meta'!$C$4:$C$21)</f>
        <v>2205</v>
      </c>
      <c r="X62" s="28">
        <f>X61*_xlfn.XLOOKUP($L62,'Balizador da Meta'!$B$4:$B$21,'Balizador da Meta'!$C$4:$C$21)</f>
        <v>2310</v>
      </c>
      <c r="Y62" s="28">
        <f>Y61*_xlfn.XLOOKUP($L62,'Balizador da Meta'!$B$4:$B$21,'Balizador da Meta'!$C$4:$C$21)</f>
        <v>2415.0000000000005</v>
      </c>
      <c r="Z62" s="30">
        <f t="shared" ref="Z62:Z79" si="19">SUM(N62:Y62)</f>
        <v>24360</v>
      </c>
      <c r="AA62" s="29"/>
      <c r="AB62" s="31">
        <f>SUMIFS('Historico - FAT'!AK:AK,'Historico - FAT'!$K:$K,Faturamento!$L62,'Historico - FAT'!$I:$I,Faturamento!$J62,'Historico - FAT'!$G:$G,Faturamento!$H62)</f>
        <v>0</v>
      </c>
      <c r="AC62" s="31">
        <f>SUMIFS('Historico - FAT'!AL:AL,'Historico - FAT'!$K:$K,Faturamento!$L62,'Historico - FAT'!$I:$I,Faturamento!$J62,'Historico - FAT'!$G:$G,Faturamento!$H62)</f>
        <v>82.30916666666667</v>
      </c>
      <c r="AD62" s="31">
        <f>SUMIFS('Historico - FAT'!AM:AM,'Historico - FAT'!$K:$K,Faturamento!$L62,'Historico - FAT'!$I:$I,Faturamento!$J62,'Historico - FAT'!$G:$G,Faturamento!$H62)</f>
        <v>164.61833333333334</v>
      </c>
      <c r="AE62" s="27">
        <f>SUMIFS('Historico - FAT'!AN:AN,'Historico - FAT'!$K:$K,Faturamento!$L62,'Historico - FAT'!$I:$I,Faturamento!$J62,'Historico - FAT'!$G:$G,Faturamento!$H62)</f>
        <v>98.771000000000001</v>
      </c>
      <c r="AG62" s="24">
        <f t="shared" si="16"/>
        <v>1</v>
      </c>
      <c r="AH62" s="24">
        <f t="shared" si="17"/>
        <v>0.96436832611832601</v>
      </c>
      <c r="AI62" s="24">
        <f t="shared" si="18"/>
        <v>0.92873665223665225</v>
      </c>
    </row>
    <row r="63" spans="1:35" hidden="1" x14ac:dyDescent="0.3">
      <c r="A63" s="2" t="str">
        <f t="shared" si="3"/>
        <v>NÃO</v>
      </c>
      <c r="B63" s="2">
        <v>1000184670</v>
      </c>
      <c r="C63" s="2" t="s">
        <v>147</v>
      </c>
      <c r="D63" s="4">
        <v>1000186197</v>
      </c>
      <c r="E63" s="4" t="s">
        <v>166</v>
      </c>
      <c r="F63" s="2">
        <v>1000198600</v>
      </c>
      <c r="G63" s="2" t="s">
        <v>148</v>
      </c>
      <c r="H63" s="4">
        <v>1000198601</v>
      </c>
      <c r="I63" s="4" t="s">
        <v>149</v>
      </c>
      <c r="J63" s="2">
        <v>1000189753</v>
      </c>
      <c r="K63" s="2" t="s">
        <v>138</v>
      </c>
      <c r="L63" s="4" t="s">
        <v>14</v>
      </c>
      <c r="M63" s="4" t="str">
        <f t="shared" si="4"/>
        <v>1000184670100018619710001986011000189753CHOCOLATES</v>
      </c>
      <c r="N63" s="28">
        <f>N61*_xlfn.XLOOKUP($L63,'Balizador da Meta'!$B$4:$B$21,'Balizador da Meta'!$C$4:$C$21)</f>
        <v>1680.0000000000002</v>
      </c>
      <c r="O63" s="28">
        <f>O61*_xlfn.XLOOKUP($L63,'Balizador da Meta'!$B$4:$B$21,'Balizador da Meta'!$C$4:$C$21)</f>
        <v>1785.0000000000002</v>
      </c>
      <c r="P63" s="28">
        <f>P61*_xlfn.XLOOKUP($L63,'Balizador da Meta'!$B$4:$B$21,'Balizador da Meta'!$C$4:$C$21)</f>
        <v>1785.0000000000002</v>
      </c>
      <c r="Q63" s="28">
        <f>Q61*_xlfn.XLOOKUP($L63,'Balizador da Meta'!$B$4:$B$21,'Balizador da Meta'!$C$4:$C$21)</f>
        <v>1890.0000000000002</v>
      </c>
      <c r="R63" s="28">
        <f>R61*_xlfn.XLOOKUP($L63,'Balizador da Meta'!$B$4:$B$21,'Balizador da Meta'!$C$4:$C$21)</f>
        <v>1890.0000000000002</v>
      </c>
      <c r="S63" s="28">
        <f>S61*_xlfn.XLOOKUP($L63,'Balizador da Meta'!$B$4:$B$21,'Balizador da Meta'!$C$4:$C$21)</f>
        <v>1995.0000000000002</v>
      </c>
      <c r="T63" s="28">
        <f>T61*_xlfn.XLOOKUP($L63,'Balizador da Meta'!$B$4:$B$21,'Balizador da Meta'!$C$4:$C$21)</f>
        <v>2100</v>
      </c>
      <c r="U63" s="28">
        <f>U61*_xlfn.XLOOKUP($L63,'Balizador da Meta'!$B$4:$B$21,'Balizador da Meta'!$C$4:$C$21)</f>
        <v>2100</v>
      </c>
      <c r="V63" s="28">
        <f>V61*_xlfn.XLOOKUP($L63,'Balizador da Meta'!$B$4:$B$21,'Balizador da Meta'!$C$4:$C$21)</f>
        <v>2205</v>
      </c>
      <c r="W63" s="28">
        <f>W61*_xlfn.XLOOKUP($L63,'Balizador da Meta'!$B$4:$B$21,'Balizador da Meta'!$C$4:$C$21)</f>
        <v>2205</v>
      </c>
      <c r="X63" s="28">
        <f>X61*_xlfn.XLOOKUP($L63,'Balizador da Meta'!$B$4:$B$21,'Balizador da Meta'!$C$4:$C$21)</f>
        <v>2310</v>
      </c>
      <c r="Y63" s="28">
        <f>Y61*_xlfn.XLOOKUP($L63,'Balizador da Meta'!$B$4:$B$21,'Balizador da Meta'!$C$4:$C$21)</f>
        <v>2415.0000000000005</v>
      </c>
      <c r="Z63" s="30">
        <f t="shared" si="19"/>
        <v>24360</v>
      </c>
      <c r="AA63" s="29"/>
      <c r="AB63" s="31">
        <f>SUMIFS('Historico - FAT'!AK:AK,'Historico - FAT'!$K:$K,Faturamento!$L63,'Historico - FAT'!$I:$I,Faturamento!$J63,'Historico - FAT'!$G:$G,Faturamento!$H63)</f>
        <v>0</v>
      </c>
      <c r="AC63" s="31">
        <f>SUMIFS('Historico - FAT'!AL:AL,'Historico - FAT'!$K:$K,Faturamento!$L63,'Historico - FAT'!$I:$I,Faturamento!$J63,'Historico - FAT'!$G:$G,Faturamento!$H63)</f>
        <v>16.150000000000002</v>
      </c>
      <c r="AD63" s="31">
        <f>SUMIFS('Historico - FAT'!AM:AM,'Historico - FAT'!$K:$K,Faturamento!$L63,'Historico - FAT'!$I:$I,Faturamento!$J63,'Historico - FAT'!$G:$G,Faturamento!$H63)</f>
        <v>32.300000000000004</v>
      </c>
      <c r="AE63" s="27">
        <f>SUMIFS('Historico - FAT'!AN:AN,'Historico - FAT'!$K:$K,Faturamento!$L63,'Historico - FAT'!$I:$I,Faturamento!$J63,'Historico - FAT'!$G:$G,Faturamento!$H63)</f>
        <v>19.380000000000003</v>
      </c>
      <c r="AG63" s="24">
        <f t="shared" si="16"/>
        <v>1</v>
      </c>
      <c r="AH63" s="24">
        <f t="shared" si="17"/>
        <v>0.99300865800865801</v>
      </c>
      <c r="AI63" s="24">
        <f t="shared" si="18"/>
        <v>0.9860173160173159</v>
      </c>
    </row>
    <row r="64" spans="1:35" hidden="1" x14ac:dyDescent="0.3">
      <c r="A64" s="2" t="str">
        <f t="shared" si="3"/>
        <v>NÃO</v>
      </c>
      <c r="B64" s="2">
        <v>1000184670</v>
      </c>
      <c r="C64" s="2" t="s">
        <v>147</v>
      </c>
      <c r="D64" s="4">
        <v>1000186197</v>
      </c>
      <c r="E64" s="4" t="s">
        <v>166</v>
      </c>
      <c r="F64" s="2">
        <v>1000198600</v>
      </c>
      <c r="G64" s="2" t="s">
        <v>148</v>
      </c>
      <c r="H64" s="4">
        <v>1000198601</v>
      </c>
      <c r="I64" s="4" t="s">
        <v>149</v>
      </c>
      <c r="J64" s="2">
        <v>1000189753</v>
      </c>
      <c r="K64" s="2" t="s">
        <v>138</v>
      </c>
      <c r="L64" s="4" t="s">
        <v>16</v>
      </c>
      <c r="M64" s="4" t="str">
        <f t="shared" si="4"/>
        <v>1000184670100018619710001986011000189753DISNEY</v>
      </c>
      <c r="N64" s="28">
        <f>N61*_xlfn.XLOOKUP($L64,'Balizador da Meta'!$B$4:$B$21,'Balizador da Meta'!$C$4:$C$21)</f>
        <v>1920</v>
      </c>
      <c r="O64" s="28">
        <f>O61*_xlfn.XLOOKUP($L64,'Balizador da Meta'!$B$4:$B$21,'Balizador da Meta'!$C$4:$C$21)</f>
        <v>2040</v>
      </c>
      <c r="P64" s="28">
        <f>P61*_xlfn.XLOOKUP($L64,'Balizador da Meta'!$B$4:$B$21,'Balizador da Meta'!$C$4:$C$21)</f>
        <v>2040</v>
      </c>
      <c r="Q64" s="28">
        <f>Q61*_xlfn.XLOOKUP($L64,'Balizador da Meta'!$B$4:$B$21,'Balizador da Meta'!$C$4:$C$21)</f>
        <v>2160</v>
      </c>
      <c r="R64" s="28">
        <f>R61*_xlfn.XLOOKUP($L64,'Balizador da Meta'!$B$4:$B$21,'Balizador da Meta'!$C$4:$C$21)</f>
        <v>2160</v>
      </c>
      <c r="S64" s="28">
        <f>S61*_xlfn.XLOOKUP($L64,'Balizador da Meta'!$B$4:$B$21,'Balizador da Meta'!$C$4:$C$21)</f>
        <v>2280</v>
      </c>
      <c r="T64" s="28">
        <f>T61*_xlfn.XLOOKUP($L64,'Balizador da Meta'!$B$4:$B$21,'Balizador da Meta'!$C$4:$C$21)</f>
        <v>2400</v>
      </c>
      <c r="U64" s="28">
        <f>U61*_xlfn.XLOOKUP($L64,'Balizador da Meta'!$B$4:$B$21,'Balizador da Meta'!$C$4:$C$21)</f>
        <v>2400</v>
      </c>
      <c r="V64" s="28">
        <f>V61*_xlfn.XLOOKUP($L64,'Balizador da Meta'!$B$4:$B$21,'Balizador da Meta'!$C$4:$C$21)</f>
        <v>2520</v>
      </c>
      <c r="W64" s="28">
        <f>W61*_xlfn.XLOOKUP($L64,'Balizador da Meta'!$B$4:$B$21,'Balizador da Meta'!$C$4:$C$21)</f>
        <v>2520</v>
      </c>
      <c r="X64" s="28">
        <f>X61*_xlfn.XLOOKUP($L64,'Balizador da Meta'!$B$4:$B$21,'Balizador da Meta'!$C$4:$C$21)</f>
        <v>2640</v>
      </c>
      <c r="Y64" s="28">
        <f>Y61*_xlfn.XLOOKUP($L64,'Balizador da Meta'!$B$4:$B$21,'Balizador da Meta'!$C$4:$C$21)</f>
        <v>2760</v>
      </c>
      <c r="Z64" s="30">
        <f t="shared" si="19"/>
        <v>27840</v>
      </c>
      <c r="AA64" s="29"/>
      <c r="AB64" s="31">
        <f>SUMIFS('Historico - FAT'!AK:AK,'Historico - FAT'!$K:$K,Faturamento!$L64,'Historico - FAT'!$I:$I,Faturamento!$J64,'Historico - FAT'!$G:$G,Faturamento!$H64)</f>
        <v>0</v>
      </c>
      <c r="AC64" s="31">
        <f>SUMIFS('Historico - FAT'!AL:AL,'Historico - FAT'!$K:$K,Faturamento!$L64,'Historico - FAT'!$I:$I,Faturamento!$J64,'Historico - FAT'!$G:$G,Faturamento!$H64)</f>
        <v>53.892500000000005</v>
      </c>
      <c r="AD64" s="31">
        <f>SUMIFS('Historico - FAT'!AM:AM,'Historico - FAT'!$K:$K,Faturamento!$L64,'Historico - FAT'!$I:$I,Faturamento!$J64,'Historico - FAT'!$G:$G,Faturamento!$H64)</f>
        <v>107.78500000000001</v>
      </c>
      <c r="AE64" s="27">
        <f>SUMIFS('Historico - FAT'!AN:AN,'Historico - FAT'!$K:$K,Faturamento!$L64,'Historico - FAT'!$I:$I,Faturamento!$J64,'Historico - FAT'!$G:$G,Faturamento!$H64)</f>
        <v>64.671000000000006</v>
      </c>
      <c r="AG64" s="24">
        <f t="shared" si="16"/>
        <v>1</v>
      </c>
      <c r="AH64" s="24">
        <f t="shared" si="17"/>
        <v>0.97958617424242422</v>
      </c>
      <c r="AI64" s="24">
        <f t="shared" si="18"/>
        <v>0.95917234848484856</v>
      </c>
    </row>
    <row r="65" spans="1:35" hidden="1" x14ac:dyDescent="0.3">
      <c r="A65" s="2" t="str">
        <f t="shared" ref="A65:A113" si="20">IF(OR(H65&lt;&gt;H64,J65&lt;&gt;J64),"SIM","NÃO")</f>
        <v>NÃO</v>
      </c>
      <c r="B65" s="2">
        <v>1000184670</v>
      </c>
      <c r="C65" s="2" t="s">
        <v>147</v>
      </c>
      <c r="D65" s="4">
        <v>1000186197</v>
      </c>
      <c r="E65" s="4" t="s">
        <v>166</v>
      </c>
      <c r="F65" s="2">
        <v>1000198600</v>
      </c>
      <c r="G65" s="2" t="s">
        <v>148</v>
      </c>
      <c r="H65" s="4">
        <v>1000198601</v>
      </c>
      <c r="I65" s="4" t="s">
        <v>149</v>
      </c>
      <c r="J65" s="2">
        <v>1000189753</v>
      </c>
      <c r="K65" s="2" t="s">
        <v>138</v>
      </c>
      <c r="L65" s="4" t="s">
        <v>15</v>
      </c>
      <c r="M65" s="4" t="str">
        <f t="shared" si="4"/>
        <v>1000184670100018619710001986011000189753DOCES</v>
      </c>
      <c r="N65" s="28">
        <f>N61*_xlfn.XLOOKUP($L65,'Balizador da Meta'!$B$4:$B$21,'Balizador da Meta'!$C$4:$C$21)</f>
        <v>2160</v>
      </c>
      <c r="O65" s="28">
        <f>O61*_xlfn.XLOOKUP($L65,'Balizador da Meta'!$B$4:$B$21,'Balizador da Meta'!$C$4:$C$21)</f>
        <v>2295</v>
      </c>
      <c r="P65" s="28">
        <f>P61*_xlfn.XLOOKUP($L65,'Balizador da Meta'!$B$4:$B$21,'Balizador da Meta'!$C$4:$C$21)</f>
        <v>2295</v>
      </c>
      <c r="Q65" s="28">
        <f>Q61*_xlfn.XLOOKUP($L65,'Balizador da Meta'!$B$4:$B$21,'Balizador da Meta'!$C$4:$C$21)</f>
        <v>2430</v>
      </c>
      <c r="R65" s="28">
        <f>R61*_xlfn.XLOOKUP($L65,'Balizador da Meta'!$B$4:$B$21,'Balizador da Meta'!$C$4:$C$21)</f>
        <v>2430</v>
      </c>
      <c r="S65" s="28">
        <f>S61*_xlfn.XLOOKUP($L65,'Balizador da Meta'!$B$4:$B$21,'Balizador da Meta'!$C$4:$C$21)</f>
        <v>2565</v>
      </c>
      <c r="T65" s="28">
        <f>T61*_xlfn.XLOOKUP($L65,'Balizador da Meta'!$B$4:$B$21,'Balizador da Meta'!$C$4:$C$21)</f>
        <v>2700</v>
      </c>
      <c r="U65" s="28">
        <f>U61*_xlfn.XLOOKUP($L65,'Balizador da Meta'!$B$4:$B$21,'Balizador da Meta'!$C$4:$C$21)</f>
        <v>2700</v>
      </c>
      <c r="V65" s="28">
        <f>V61*_xlfn.XLOOKUP($L65,'Balizador da Meta'!$B$4:$B$21,'Balizador da Meta'!$C$4:$C$21)</f>
        <v>2835</v>
      </c>
      <c r="W65" s="28">
        <f>W61*_xlfn.XLOOKUP($L65,'Balizador da Meta'!$B$4:$B$21,'Balizador da Meta'!$C$4:$C$21)</f>
        <v>2835</v>
      </c>
      <c r="X65" s="28">
        <f>X61*_xlfn.XLOOKUP($L65,'Balizador da Meta'!$B$4:$B$21,'Balizador da Meta'!$C$4:$C$21)</f>
        <v>2970</v>
      </c>
      <c r="Y65" s="28">
        <f>Y61*_xlfn.XLOOKUP($L65,'Balizador da Meta'!$B$4:$B$21,'Balizador da Meta'!$C$4:$C$21)</f>
        <v>3105</v>
      </c>
      <c r="Z65" s="30">
        <f t="shared" si="19"/>
        <v>31320</v>
      </c>
      <c r="AA65" s="29"/>
      <c r="AB65" s="31">
        <f>SUMIFS('Historico - FAT'!AK:AK,'Historico - FAT'!$K:$K,Faturamento!$L65,'Historico - FAT'!$I:$I,Faturamento!$J65,'Historico - FAT'!$G:$G,Faturamento!$H65)</f>
        <v>0</v>
      </c>
      <c r="AC65" s="31">
        <f>SUMIFS('Historico - FAT'!AL:AL,'Historico - FAT'!$K:$K,Faturamento!$L65,'Historico - FAT'!$I:$I,Faturamento!$J65,'Historico - FAT'!$G:$G,Faturamento!$H65)</f>
        <v>76.125</v>
      </c>
      <c r="AD65" s="31">
        <f>SUMIFS('Historico - FAT'!AM:AM,'Historico - FAT'!$K:$K,Faturamento!$L65,'Historico - FAT'!$I:$I,Faturamento!$J65,'Historico - FAT'!$G:$G,Faturamento!$H65)</f>
        <v>152.25</v>
      </c>
      <c r="AE65" s="27">
        <f>SUMIFS('Historico - FAT'!AN:AN,'Historico - FAT'!$K:$K,Faturamento!$L65,'Historico - FAT'!$I:$I,Faturamento!$J65,'Historico - FAT'!$G:$G,Faturamento!$H65)</f>
        <v>91.35</v>
      </c>
      <c r="AG65" s="24">
        <f t="shared" si="16"/>
        <v>1</v>
      </c>
      <c r="AH65" s="24">
        <f t="shared" si="17"/>
        <v>0.97436868686868683</v>
      </c>
      <c r="AI65" s="24">
        <f t="shared" si="18"/>
        <v>0.94873737373737377</v>
      </c>
    </row>
    <row r="66" spans="1:35" hidden="1" x14ac:dyDescent="0.3">
      <c r="A66" s="2" t="str">
        <f t="shared" si="20"/>
        <v>NÃO</v>
      </c>
      <c r="B66" s="2">
        <v>1000184670</v>
      </c>
      <c r="C66" s="2" t="s">
        <v>147</v>
      </c>
      <c r="D66" s="4">
        <v>1000186197</v>
      </c>
      <c r="E66" s="4" t="s">
        <v>166</v>
      </c>
      <c r="F66" s="2">
        <v>1000198600</v>
      </c>
      <c r="G66" s="2" t="s">
        <v>148</v>
      </c>
      <c r="H66" s="4">
        <v>1000198601</v>
      </c>
      <c r="I66" s="4" t="s">
        <v>149</v>
      </c>
      <c r="J66" s="2">
        <v>1000189753</v>
      </c>
      <c r="K66" s="2" t="s">
        <v>138</v>
      </c>
      <c r="L66" s="4" t="s">
        <v>33</v>
      </c>
      <c r="M66" s="4" t="str">
        <f t="shared" si="4"/>
        <v>1000184670100018619710001986011000189753FOOD SERVICE</v>
      </c>
      <c r="N66" s="28">
        <f>N61*_xlfn.XLOOKUP($L66,'Balizador da Meta'!$B$4:$B$21,'Balizador da Meta'!$C$4:$C$21)</f>
        <v>0</v>
      </c>
      <c r="O66" s="28">
        <f>O61*_xlfn.XLOOKUP($L66,'Balizador da Meta'!$B$4:$B$21,'Balizador da Meta'!$C$4:$C$21)</f>
        <v>0</v>
      </c>
      <c r="P66" s="28">
        <f>P61*_xlfn.XLOOKUP($L66,'Balizador da Meta'!$B$4:$B$21,'Balizador da Meta'!$C$4:$C$21)</f>
        <v>0</v>
      </c>
      <c r="Q66" s="28">
        <f>Q61*_xlfn.XLOOKUP($L66,'Balizador da Meta'!$B$4:$B$21,'Balizador da Meta'!$C$4:$C$21)</f>
        <v>0</v>
      </c>
      <c r="R66" s="28">
        <f>R61*_xlfn.XLOOKUP($L66,'Balizador da Meta'!$B$4:$B$21,'Balizador da Meta'!$C$4:$C$21)</f>
        <v>0</v>
      </c>
      <c r="S66" s="28">
        <f>S61*_xlfn.XLOOKUP($L66,'Balizador da Meta'!$B$4:$B$21,'Balizador da Meta'!$C$4:$C$21)</f>
        <v>0</v>
      </c>
      <c r="T66" s="28">
        <f>T61*_xlfn.XLOOKUP($L66,'Balizador da Meta'!$B$4:$B$21,'Balizador da Meta'!$C$4:$C$21)</f>
        <v>0</v>
      </c>
      <c r="U66" s="28">
        <f>U61*_xlfn.XLOOKUP($L66,'Balizador da Meta'!$B$4:$B$21,'Balizador da Meta'!$C$4:$C$21)</f>
        <v>0</v>
      </c>
      <c r="V66" s="28">
        <f>V61*_xlfn.XLOOKUP($L66,'Balizador da Meta'!$B$4:$B$21,'Balizador da Meta'!$C$4:$C$21)</f>
        <v>0</v>
      </c>
      <c r="W66" s="28">
        <f>W61*_xlfn.XLOOKUP($L66,'Balizador da Meta'!$B$4:$B$21,'Balizador da Meta'!$C$4:$C$21)</f>
        <v>0</v>
      </c>
      <c r="X66" s="28">
        <f>X61*_xlfn.XLOOKUP($L66,'Balizador da Meta'!$B$4:$B$21,'Balizador da Meta'!$C$4:$C$21)</f>
        <v>0</v>
      </c>
      <c r="Y66" s="28">
        <f>Y61*_xlfn.XLOOKUP($L66,'Balizador da Meta'!$B$4:$B$21,'Balizador da Meta'!$C$4:$C$21)</f>
        <v>0</v>
      </c>
      <c r="Z66" s="30">
        <f t="shared" si="19"/>
        <v>0</v>
      </c>
      <c r="AA66" s="29"/>
      <c r="AB66" s="31">
        <f>SUMIFS('Historico - FAT'!AK:AK,'Historico - FAT'!$K:$K,Faturamento!$L66,'Historico - FAT'!$I:$I,Faturamento!$J66,'Historico - FAT'!$G:$G,Faturamento!$H66)</f>
        <v>0</v>
      </c>
      <c r="AC66" s="31">
        <f>SUMIFS('Historico - FAT'!AL:AL,'Historico - FAT'!$K:$K,Faturamento!$L66,'Historico - FAT'!$I:$I,Faturamento!$J66,'Historico - FAT'!$G:$G,Faturamento!$H66)</f>
        <v>0</v>
      </c>
      <c r="AD66" s="31">
        <f>SUMIFS('Historico - FAT'!AM:AM,'Historico - FAT'!$K:$K,Faturamento!$L66,'Historico - FAT'!$I:$I,Faturamento!$J66,'Historico - FAT'!$G:$G,Faturamento!$H66)</f>
        <v>0</v>
      </c>
      <c r="AE66" s="27">
        <f>SUMIFS('Historico - FAT'!AN:AN,'Historico - FAT'!$K:$K,Faturamento!$L66,'Historico - FAT'!$I:$I,Faturamento!$J66,'Historico - FAT'!$G:$G,Faturamento!$H66)</f>
        <v>0</v>
      </c>
      <c r="AG66" s="24" t="str">
        <f t="shared" si="16"/>
        <v/>
      </c>
      <c r="AH66" s="24" t="str">
        <f t="shared" si="17"/>
        <v/>
      </c>
      <c r="AI66" s="24" t="str">
        <f t="shared" si="18"/>
        <v/>
      </c>
    </row>
    <row r="67" spans="1:35" hidden="1" x14ac:dyDescent="0.3">
      <c r="A67" s="2" t="str">
        <f t="shared" si="20"/>
        <v>NÃO</v>
      </c>
      <c r="B67" s="2">
        <v>1000184670</v>
      </c>
      <c r="C67" s="2" t="s">
        <v>147</v>
      </c>
      <c r="D67" s="4">
        <v>1000186197</v>
      </c>
      <c r="E67" s="4" t="s">
        <v>166</v>
      </c>
      <c r="F67" s="2">
        <v>1000198600</v>
      </c>
      <c r="G67" s="2" t="s">
        <v>148</v>
      </c>
      <c r="H67" s="4">
        <v>1000198601</v>
      </c>
      <c r="I67" s="4" t="s">
        <v>149</v>
      </c>
      <c r="J67" s="2">
        <v>1000189753</v>
      </c>
      <c r="K67" s="2" t="s">
        <v>138</v>
      </c>
      <c r="L67" s="4" t="s">
        <v>19</v>
      </c>
      <c r="M67" s="4" t="str">
        <f t="shared" si="4"/>
        <v>1000184670100018619710001986011000189753GELEIA</v>
      </c>
      <c r="N67" s="28">
        <f>N61*_xlfn.XLOOKUP($L67,'Balizador da Meta'!$B$4:$B$21,'Balizador da Meta'!$C$4:$C$21)</f>
        <v>479.99999999999994</v>
      </c>
      <c r="O67" s="28">
        <f>O61*_xlfn.XLOOKUP($L67,'Balizador da Meta'!$B$4:$B$21,'Balizador da Meta'!$C$4:$C$21)</f>
        <v>509.99999999999994</v>
      </c>
      <c r="P67" s="28">
        <f>P61*_xlfn.XLOOKUP($L67,'Balizador da Meta'!$B$4:$B$21,'Balizador da Meta'!$C$4:$C$21)</f>
        <v>509.99999999999994</v>
      </c>
      <c r="Q67" s="28">
        <f>Q61*_xlfn.XLOOKUP($L67,'Balizador da Meta'!$B$4:$B$21,'Balizador da Meta'!$C$4:$C$21)</f>
        <v>539.99999999999989</v>
      </c>
      <c r="R67" s="28">
        <f>R61*_xlfn.XLOOKUP($L67,'Balizador da Meta'!$B$4:$B$21,'Balizador da Meta'!$C$4:$C$21)</f>
        <v>539.99999999999989</v>
      </c>
      <c r="S67" s="28">
        <f>S61*_xlfn.XLOOKUP($L67,'Balizador da Meta'!$B$4:$B$21,'Balizador da Meta'!$C$4:$C$21)</f>
        <v>569.99999999999989</v>
      </c>
      <c r="T67" s="28">
        <f>T61*_xlfn.XLOOKUP($L67,'Balizador da Meta'!$B$4:$B$21,'Balizador da Meta'!$C$4:$C$21)</f>
        <v>599.99999999999989</v>
      </c>
      <c r="U67" s="28">
        <f>U61*_xlfn.XLOOKUP($L67,'Balizador da Meta'!$B$4:$B$21,'Balizador da Meta'!$C$4:$C$21)</f>
        <v>599.99999999999989</v>
      </c>
      <c r="V67" s="28">
        <f>V61*_xlfn.XLOOKUP($L67,'Balizador da Meta'!$B$4:$B$21,'Balizador da Meta'!$C$4:$C$21)</f>
        <v>629.99999999999989</v>
      </c>
      <c r="W67" s="28">
        <f>W61*_xlfn.XLOOKUP($L67,'Balizador da Meta'!$B$4:$B$21,'Balizador da Meta'!$C$4:$C$21)</f>
        <v>629.99999999999989</v>
      </c>
      <c r="X67" s="28">
        <f>X61*_xlfn.XLOOKUP($L67,'Balizador da Meta'!$B$4:$B$21,'Balizador da Meta'!$C$4:$C$21)</f>
        <v>659.99999999999989</v>
      </c>
      <c r="Y67" s="28">
        <f>Y61*_xlfn.XLOOKUP($L67,'Balizador da Meta'!$B$4:$B$21,'Balizador da Meta'!$C$4:$C$21)</f>
        <v>689.99999999999989</v>
      </c>
      <c r="Z67" s="30">
        <f t="shared" si="19"/>
        <v>6959.9999999999991</v>
      </c>
      <c r="AA67" s="29"/>
      <c r="AB67" s="31">
        <f>SUMIFS('Historico - FAT'!AK:AK,'Historico - FAT'!$K:$K,Faturamento!$L67,'Historico - FAT'!$I:$I,Faturamento!$J67,'Historico - FAT'!$G:$G,Faturamento!$H67)</f>
        <v>0</v>
      </c>
      <c r="AC67" s="31">
        <f>SUMIFS('Historico - FAT'!AL:AL,'Historico - FAT'!$K:$K,Faturamento!$L67,'Historico - FAT'!$I:$I,Faturamento!$J67,'Historico - FAT'!$G:$G,Faturamento!$H67)</f>
        <v>24.3</v>
      </c>
      <c r="AD67" s="31">
        <f>SUMIFS('Historico - FAT'!AM:AM,'Historico - FAT'!$K:$K,Faturamento!$L67,'Historico - FAT'!$I:$I,Faturamento!$J67,'Historico - FAT'!$G:$G,Faturamento!$H67)</f>
        <v>48.6</v>
      </c>
      <c r="AE67" s="27">
        <f>SUMIFS('Historico - FAT'!AN:AN,'Historico - FAT'!$K:$K,Faturamento!$L67,'Historico - FAT'!$I:$I,Faturamento!$J67,'Historico - FAT'!$G:$G,Faturamento!$H67)</f>
        <v>29.160000000000004</v>
      </c>
      <c r="AG67" s="24">
        <f t="shared" si="16"/>
        <v>1</v>
      </c>
      <c r="AH67" s="24">
        <f t="shared" si="17"/>
        <v>0.96318181818181825</v>
      </c>
      <c r="AI67" s="24">
        <f t="shared" si="18"/>
        <v>0.92636363636363628</v>
      </c>
    </row>
    <row r="68" spans="1:35" hidden="1" x14ac:dyDescent="0.3">
      <c r="A68" s="2" t="str">
        <f t="shared" si="20"/>
        <v>NÃO</v>
      </c>
      <c r="B68" s="2">
        <v>1000184670</v>
      </c>
      <c r="C68" s="2" t="s">
        <v>147</v>
      </c>
      <c r="D68" s="4">
        <v>1000186197</v>
      </c>
      <c r="E68" s="4" t="s">
        <v>166</v>
      </c>
      <c r="F68" s="2">
        <v>1000198600</v>
      </c>
      <c r="G68" s="2" t="s">
        <v>148</v>
      </c>
      <c r="H68" s="4">
        <v>1000198601</v>
      </c>
      <c r="I68" s="4" t="s">
        <v>149</v>
      </c>
      <c r="J68" s="2">
        <v>1000189753</v>
      </c>
      <c r="K68" s="2" t="s">
        <v>138</v>
      </c>
      <c r="L68" s="4" t="s">
        <v>17</v>
      </c>
      <c r="M68" s="4" t="str">
        <f t="shared" si="4"/>
        <v>1000184670100018619710001986011000189753GRANOLA</v>
      </c>
      <c r="N68" s="28">
        <f>N61*_xlfn.XLOOKUP($L68,'Balizador da Meta'!$B$4:$B$21,'Balizador da Meta'!$C$4:$C$21)</f>
        <v>480</v>
      </c>
      <c r="O68" s="28">
        <f>O61*_xlfn.XLOOKUP($L68,'Balizador da Meta'!$B$4:$B$21,'Balizador da Meta'!$C$4:$C$21)</f>
        <v>510</v>
      </c>
      <c r="P68" s="28">
        <f>P61*_xlfn.XLOOKUP($L68,'Balizador da Meta'!$B$4:$B$21,'Balizador da Meta'!$C$4:$C$21)</f>
        <v>510</v>
      </c>
      <c r="Q68" s="28">
        <f>Q61*_xlfn.XLOOKUP($L68,'Balizador da Meta'!$B$4:$B$21,'Balizador da Meta'!$C$4:$C$21)</f>
        <v>540</v>
      </c>
      <c r="R68" s="28">
        <f>R61*_xlfn.XLOOKUP($L68,'Balizador da Meta'!$B$4:$B$21,'Balizador da Meta'!$C$4:$C$21)</f>
        <v>540</v>
      </c>
      <c r="S68" s="28">
        <f>S61*_xlfn.XLOOKUP($L68,'Balizador da Meta'!$B$4:$B$21,'Balizador da Meta'!$C$4:$C$21)</f>
        <v>570</v>
      </c>
      <c r="T68" s="28">
        <f>T61*_xlfn.XLOOKUP($L68,'Balizador da Meta'!$B$4:$B$21,'Balizador da Meta'!$C$4:$C$21)</f>
        <v>600</v>
      </c>
      <c r="U68" s="28">
        <f>U61*_xlfn.XLOOKUP($L68,'Balizador da Meta'!$B$4:$B$21,'Balizador da Meta'!$C$4:$C$21)</f>
        <v>600</v>
      </c>
      <c r="V68" s="28">
        <f>V61*_xlfn.XLOOKUP($L68,'Balizador da Meta'!$B$4:$B$21,'Balizador da Meta'!$C$4:$C$21)</f>
        <v>630</v>
      </c>
      <c r="W68" s="28">
        <f>W61*_xlfn.XLOOKUP($L68,'Balizador da Meta'!$B$4:$B$21,'Balizador da Meta'!$C$4:$C$21)</f>
        <v>630</v>
      </c>
      <c r="X68" s="28">
        <f>X61*_xlfn.XLOOKUP($L68,'Balizador da Meta'!$B$4:$B$21,'Balizador da Meta'!$C$4:$C$21)</f>
        <v>660</v>
      </c>
      <c r="Y68" s="28">
        <f>Y61*_xlfn.XLOOKUP($L68,'Balizador da Meta'!$B$4:$B$21,'Balizador da Meta'!$C$4:$C$21)</f>
        <v>690</v>
      </c>
      <c r="Z68" s="30">
        <f t="shared" si="19"/>
        <v>6960</v>
      </c>
      <c r="AA68" s="29"/>
      <c r="AB68" s="31">
        <f>SUMIFS('Historico - FAT'!AK:AK,'Historico - FAT'!$K:$K,Faturamento!$L68,'Historico - FAT'!$I:$I,Faturamento!$J68,'Historico - FAT'!$G:$G,Faturamento!$H68)</f>
        <v>0</v>
      </c>
      <c r="AC68" s="31">
        <f>SUMIFS('Historico - FAT'!AL:AL,'Historico - FAT'!$K:$K,Faturamento!$L68,'Historico - FAT'!$I:$I,Faturamento!$J68,'Historico - FAT'!$G:$G,Faturamento!$H68)</f>
        <v>0</v>
      </c>
      <c r="AD68" s="31">
        <f>SUMIFS('Historico - FAT'!AM:AM,'Historico - FAT'!$K:$K,Faturamento!$L68,'Historico - FAT'!$I:$I,Faturamento!$J68,'Historico - FAT'!$G:$G,Faturamento!$H68)</f>
        <v>0</v>
      </c>
      <c r="AE68" s="27">
        <f>SUMIFS('Historico - FAT'!AN:AN,'Historico - FAT'!$K:$K,Faturamento!$L68,'Historico - FAT'!$I:$I,Faturamento!$J68,'Historico - FAT'!$G:$G,Faturamento!$H68)</f>
        <v>0</v>
      </c>
      <c r="AG68" s="24">
        <f t="shared" si="16"/>
        <v>1</v>
      </c>
      <c r="AH68" s="24">
        <f t="shared" si="17"/>
        <v>1</v>
      </c>
      <c r="AI68" s="24">
        <f t="shared" si="18"/>
        <v>1</v>
      </c>
    </row>
    <row r="69" spans="1:35" hidden="1" x14ac:dyDescent="0.3">
      <c r="A69" s="2" t="str">
        <f t="shared" si="20"/>
        <v>NÃO</v>
      </c>
      <c r="B69" s="2">
        <v>1000184670</v>
      </c>
      <c r="C69" s="2" t="s">
        <v>147</v>
      </c>
      <c r="D69" s="4">
        <v>1000186197</v>
      </c>
      <c r="E69" s="4" t="s">
        <v>166</v>
      </c>
      <c r="F69" s="2">
        <v>1000198600</v>
      </c>
      <c r="G69" s="2" t="s">
        <v>148</v>
      </c>
      <c r="H69" s="4">
        <v>1000198601</v>
      </c>
      <c r="I69" s="4" t="s">
        <v>149</v>
      </c>
      <c r="J69" s="2">
        <v>1000189753</v>
      </c>
      <c r="K69" s="2" t="s">
        <v>138</v>
      </c>
      <c r="L69" s="4" t="s">
        <v>24</v>
      </c>
      <c r="M69" s="4" t="str">
        <f t="shared" ref="M69:M132" si="21">_xlfn.CONCAT(B69,D69,H69,J69,L69,)</f>
        <v>1000184670100018619710001986011000189753KIDS</v>
      </c>
      <c r="N69" s="28">
        <f>N61*_xlfn.XLOOKUP($L69,'Balizador da Meta'!$B$4:$B$21,'Balizador da Meta'!$C$4:$C$21)</f>
        <v>0</v>
      </c>
      <c r="O69" s="28">
        <f>O61*_xlfn.XLOOKUP($L69,'Balizador da Meta'!$B$4:$B$21,'Balizador da Meta'!$C$4:$C$21)</f>
        <v>0</v>
      </c>
      <c r="P69" s="28">
        <f>P61*_xlfn.XLOOKUP($L69,'Balizador da Meta'!$B$4:$B$21,'Balizador da Meta'!$C$4:$C$21)</f>
        <v>0</v>
      </c>
      <c r="Q69" s="28">
        <f>Q61*_xlfn.XLOOKUP($L69,'Balizador da Meta'!$B$4:$B$21,'Balizador da Meta'!$C$4:$C$21)</f>
        <v>0</v>
      </c>
      <c r="R69" s="28">
        <f>R61*_xlfn.XLOOKUP($L69,'Balizador da Meta'!$B$4:$B$21,'Balizador da Meta'!$C$4:$C$21)</f>
        <v>0</v>
      </c>
      <c r="S69" s="28">
        <f>S61*_xlfn.XLOOKUP($L69,'Balizador da Meta'!$B$4:$B$21,'Balizador da Meta'!$C$4:$C$21)</f>
        <v>0</v>
      </c>
      <c r="T69" s="28">
        <f>T61*_xlfn.XLOOKUP($L69,'Balizador da Meta'!$B$4:$B$21,'Balizador da Meta'!$C$4:$C$21)</f>
        <v>0</v>
      </c>
      <c r="U69" s="28">
        <f>U61*_xlfn.XLOOKUP($L69,'Balizador da Meta'!$B$4:$B$21,'Balizador da Meta'!$C$4:$C$21)</f>
        <v>0</v>
      </c>
      <c r="V69" s="28">
        <f>V61*_xlfn.XLOOKUP($L69,'Balizador da Meta'!$B$4:$B$21,'Balizador da Meta'!$C$4:$C$21)</f>
        <v>0</v>
      </c>
      <c r="W69" s="28">
        <f>W61*_xlfn.XLOOKUP($L69,'Balizador da Meta'!$B$4:$B$21,'Balizador da Meta'!$C$4:$C$21)</f>
        <v>0</v>
      </c>
      <c r="X69" s="28">
        <f>X61*_xlfn.XLOOKUP($L69,'Balizador da Meta'!$B$4:$B$21,'Balizador da Meta'!$C$4:$C$21)</f>
        <v>0</v>
      </c>
      <c r="Y69" s="28">
        <f>Y61*_xlfn.XLOOKUP($L69,'Balizador da Meta'!$B$4:$B$21,'Balizador da Meta'!$C$4:$C$21)</f>
        <v>0</v>
      </c>
      <c r="Z69" s="30">
        <f t="shared" si="19"/>
        <v>0</v>
      </c>
      <c r="AA69" s="29"/>
      <c r="AB69" s="31">
        <f>SUMIFS('Historico - FAT'!AK:AK,'Historico - FAT'!$K:$K,Faturamento!$L69,'Historico - FAT'!$I:$I,Faturamento!$J69,'Historico - FAT'!$G:$G,Faturamento!$H69)</f>
        <v>0</v>
      </c>
      <c r="AC69" s="31">
        <f>SUMIFS('Historico - FAT'!AL:AL,'Historico - FAT'!$K:$K,Faturamento!$L69,'Historico - FAT'!$I:$I,Faturamento!$J69,'Historico - FAT'!$G:$G,Faturamento!$H69)</f>
        <v>46.3125</v>
      </c>
      <c r="AD69" s="31">
        <f>SUMIFS('Historico - FAT'!AM:AM,'Historico - FAT'!$K:$K,Faturamento!$L69,'Historico - FAT'!$I:$I,Faturamento!$J69,'Historico - FAT'!$G:$G,Faturamento!$H69)</f>
        <v>92.625</v>
      </c>
      <c r="AE69" s="27">
        <f>SUMIFS('Historico - FAT'!AN:AN,'Historico - FAT'!$K:$K,Faturamento!$L69,'Historico - FAT'!$I:$I,Faturamento!$J69,'Historico - FAT'!$G:$G,Faturamento!$H69)</f>
        <v>55.575000000000003</v>
      </c>
      <c r="AG69" s="24" t="str">
        <f t="shared" si="16"/>
        <v/>
      </c>
      <c r="AH69" s="24" t="str">
        <f t="shared" si="17"/>
        <v/>
      </c>
      <c r="AI69" s="24" t="str">
        <f t="shared" si="18"/>
        <v/>
      </c>
    </row>
    <row r="70" spans="1:35" hidden="1" x14ac:dyDescent="0.3">
      <c r="A70" s="2" t="str">
        <f t="shared" si="20"/>
        <v>NÃO</v>
      </c>
      <c r="B70" s="2">
        <v>1000184670</v>
      </c>
      <c r="C70" s="2" t="s">
        <v>147</v>
      </c>
      <c r="D70" s="4">
        <v>1000186197</v>
      </c>
      <c r="E70" s="4" t="s">
        <v>166</v>
      </c>
      <c r="F70" s="2">
        <v>1000198600</v>
      </c>
      <c r="G70" s="2" t="s">
        <v>148</v>
      </c>
      <c r="H70" s="4">
        <v>1000198601</v>
      </c>
      <c r="I70" s="4" t="s">
        <v>149</v>
      </c>
      <c r="J70" s="2">
        <v>1000189753</v>
      </c>
      <c r="K70" s="2" t="s">
        <v>138</v>
      </c>
      <c r="L70" s="4" t="s">
        <v>18</v>
      </c>
      <c r="M70" s="4" t="str">
        <f t="shared" si="21"/>
        <v>1000184670100018619710001986011000189753LANCHES</v>
      </c>
      <c r="N70" s="28">
        <f>N61*_xlfn.XLOOKUP($L70,'Balizador da Meta'!$B$4:$B$21,'Balizador da Meta'!$C$4:$C$21)</f>
        <v>240</v>
      </c>
      <c r="O70" s="28">
        <f>O61*_xlfn.XLOOKUP($L70,'Balizador da Meta'!$B$4:$B$21,'Balizador da Meta'!$C$4:$C$21)</f>
        <v>255</v>
      </c>
      <c r="P70" s="28">
        <f>P61*_xlfn.XLOOKUP($L70,'Balizador da Meta'!$B$4:$B$21,'Balizador da Meta'!$C$4:$C$21)</f>
        <v>255</v>
      </c>
      <c r="Q70" s="28">
        <f>Q61*_xlfn.XLOOKUP($L70,'Balizador da Meta'!$B$4:$B$21,'Balizador da Meta'!$C$4:$C$21)</f>
        <v>270</v>
      </c>
      <c r="R70" s="28">
        <f>R61*_xlfn.XLOOKUP($L70,'Balizador da Meta'!$B$4:$B$21,'Balizador da Meta'!$C$4:$C$21)</f>
        <v>270</v>
      </c>
      <c r="S70" s="28">
        <f>S61*_xlfn.XLOOKUP($L70,'Balizador da Meta'!$B$4:$B$21,'Balizador da Meta'!$C$4:$C$21)</f>
        <v>285</v>
      </c>
      <c r="T70" s="28">
        <f>T61*_xlfn.XLOOKUP($L70,'Balizador da Meta'!$B$4:$B$21,'Balizador da Meta'!$C$4:$C$21)</f>
        <v>300</v>
      </c>
      <c r="U70" s="28">
        <f>U61*_xlfn.XLOOKUP($L70,'Balizador da Meta'!$B$4:$B$21,'Balizador da Meta'!$C$4:$C$21)</f>
        <v>300</v>
      </c>
      <c r="V70" s="28">
        <f>V61*_xlfn.XLOOKUP($L70,'Balizador da Meta'!$B$4:$B$21,'Balizador da Meta'!$C$4:$C$21)</f>
        <v>315</v>
      </c>
      <c r="W70" s="28">
        <f>W61*_xlfn.XLOOKUP($L70,'Balizador da Meta'!$B$4:$B$21,'Balizador da Meta'!$C$4:$C$21)</f>
        <v>315</v>
      </c>
      <c r="X70" s="28">
        <f>X61*_xlfn.XLOOKUP($L70,'Balizador da Meta'!$B$4:$B$21,'Balizador da Meta'!$C$4:$C$21)</f>
        <v>330</v>
      </c>
      <c r="Y70" s="28">
        <f>Y61*_xlfn.XLOOKUP($L70,'Balizador da Meta'!$B$4:$B$21,'Balizador da Meta'!$C$4:$C$21)</f>
        <v>345</v>
      </c>
      <c r="Z70" s="30">
        <f t="shared" si="19"/>
        <v>3480</v>
      </c>
      <c r="AA70" s="29"/>
      <c r="AB70" s="31">
        <f>SUMIFS('Historico - FAT'!AK:AK,'Historico - FAT'!$K:$K,Faturamento!$L70,'Historico - FAT'!$I:$I,Faturamento!$J70,'Historico - FAT'!$G:$G,Faturamento!$H70)</f>
        <v>0</v>
      </c>
      <c r="AC70" s="31">
        <f>SUMIFS('Historico - FAT'!AL:AL,'Historico - FAT'!$K:$K,Faturamento!$L70,'Historico - FAT'!$I:$I,Faturamento!$J70,'Historico - FAT'!$G:$G,Faturamento!$H70)</f>
        <v>11.466666666666667</v>
      </c>
      <c r="AD70" s="31">
        <f>SUMIFS('Historico - FAT'!AM:AM,'Historico - FAT'!$K:$K,Faturamento!$L70,'Historico - FAT'!$I:$I,Faturamento!$J70,'Historico - FAT'!$G:$G,Faturamento!$H70)</f>
        <v>22.933333333333334</v>
      </c>
      <c r="AE70" s="27">
        <f>SUMIFS('Historico - FAT'!AN:AN,'Historico - FAT'!$K:$K,Faturamento!$L70,'Historico - FAT'!$I:$I,Faturamento!$J70,'Historico - FAT'!$G:$G,Faturamento!$H70)</f>
        <v>13.76</v>
      </c>
      <c r="AG70" s="24">
        <f t="shared" si="16"/>
        <v>1</v>
      </c>
      <c r="AH70" s="24">
        <f t="shared" si="17"/>
        <v>0.96525252525252536</v>
      </c>
      <c r="AI70" s="24">
        <f t="shared" si="18"/>
        <v>0.9305050505050505</v>
      </c>
    </row>
    <row r="71" spans="1:35" hidden="1" x14ac:dyDescent="0.3">
      <c r="A71" s="2" t="str">
        <f t="shared" si="20"/>
        <v>NÃO</v>
      </c>
      <c r="B71" s="2">
        <v>1000184670</v>
      </c>
      <c r="C71" s="2" t="s">
        <v>147</v>
      </c>
      <c r="D71" s="4">
        <v>1000186197</v>
      </c>
      <c r="E71" s="4" t="s">
        <v>166</v>
      </c>
      <c r="F71" s="2">
        <v>1000198600</v>
      </c>
      <c r="G71" s="2" t="s">
        <v>148</v>
      </c>
      <c r="H71" s="4">
        <v>1000198601</v>
      </c>
      <c r="I71" s="4" t="s">
        <v>149</v>
      </c>
      <c r="J71" s="2">
        <v>1000189753</v>
      </c>
      <c r="K71" s="2" t="s">
        <v>138</v>
      </c>
      <c r="L71" s="4" t="s">
        <v>29</v>
      </c>
      <c r="M71" s="4" t="str">
        <f t="shared" si="21"/>
        <v>1000184670100018619710001986011000189753MAIS GRANEL</v>
      </c>
      <c r="N71" s="28">
        <f>N61*_xlfn.XLOOKUP($L71,'Balizador da Meta'!$B$4:$B$21,'Balizador da Meta'!$C$4:$C$21)</f>
        <v>7680</v>
      </c>
      <c r="O71" s="28">
        <f>O61*_xlfn.XLOOKUP($L71,'Balizador da Meta'!$B$4:$B$21,'Balizador da Meta'!$C$4:$C$21)</f>
        <v>8160</v>
      </c>
      <c r="P71" s="28">
        <f>P61*_xlfn.XLOOKUP($L71,'Balizador da Meta'!$B$4:$B$21,'Balizador da Meta'!$C$4:$C$21)</f>
        <v>8160</v>
      </c>
      <c r="Q71" s="28">
        <f>Q61*_xlfn.XLOOKUP($L71,'Balizador da Meta'!$B$4:$B$21,'Balizador da Meta'!$C$4:$C$21)</f>
        <v>8640</v>
      </c>
      <c r="R71" s="28">
        <f>R61*_xlfn.XLOOKUP($L71,'Balizador da Meta'!$B$4:$B$21,'Balizador da Meta'!$C$4:$C$21)</f>
        <v>8640</v>
      </c>
      <c r="S71" s="28">
        <f>S61*_xlfn.XLOOKUP($L71,'Balizador da Meta'!$B$4:$B$21,'Balizador da Meta'!$C$4:$C$21)</f>
        <v>9120</v>
      </c>
      <c r="T71" s="28">
        <f>T61*_xlfn.XLOOKUP($L71,'Balizador da Meta'!$B$4:$B$21,'Balizador da Meta'!$C$4:$C$21)</f>
        <v>9600</v>
      </c>
      <c r="U71" s="28">
        <f>U61*_xlfn.XLOOKUP($L71,'Balizador da Meta'!$B$4:$B$21,'Balizador da Meta'!$C$4:$C$21)</f>
        <v>9600</v>
      </c>
      <c r="V71" s="28">
        <f>V61*_xlfn.XLOOKUP($L71,'Balizador da Meta'!$B$4:$B$21,'Balizador da Meta'!$C$4:$C$21)</f>
        <v>10080</v>
      </c>
      <c r="W71" s="28">
        <f>W61*_xlfn.XLOOKUP($L71,'Balizador da Meta'!$B$4:$B$21,'Balizador da Meta'!$C$4:$C$21)</f>
        <v>10080</v>
      </c>
      <c r="X71" s="28">
        <f>X61*_xlfn.XLOOKUP($L71,'Balizador da Meta'!$B$4:$B$21,'Balizador da Meta'!$C$4:$C$21)</f>
        <v>10560</v>
      </c>
      <c r="Y71" s="28">
        <f>Y61*_xlfn.XLOOKUP($L71,'Balizador da Meta'!$B$4:$B$21,'Balizador da Meta'!$C$4:$C$21)</f>
        <v>11040</v>
      </c>
      <c r="Z71" s="30">
        <f t="shared" si="19"/>
        <v>111360</v>
      </c>
      <c r="AA71" s="29"/>
      <c r="AB71" s="31">
        <f>SUMIFS('Historico - FAT'!AK:AK,'Historico - FAT'!$K:$K,Faturamento!$L71,'Historico - FAT'!$I:$I,Faturamento!$J71,'Historico - FAT'!$G:$G,Faturamento!$H71)</f>
        <v>0</v>
      </c>
      <c r="AC71" s="31">
        <f>SUMIFS('Historico - FAT'!AL:AL,'Historico - FAT'!$K:$K,Faturamento!$L71,'Historico - FAT'!$I:$I,Faturamento!$J71,'Historico - FAT'!$G:$G,Faturamento!$H71)</f>
        <v>219.57500000000002</v>
      </c>
      <c r="AD71" s="31">
        <f>SUMIFS('Historico - FAT'!AM:AM,'Historico - FAT'!$K:$K,Faturamento!$L71,'Historico - FAT'!$I:$I,Faturamento!$J71,'Historico - FAT'!$G:$G,Faturamento!$H71)</f>
        <v>439.15000000000003</v>
      </c>
      <c r="AE71" s="27">
        <f>SUMIFS('Historico - FAT'!AN:AN,'Historico - FAT'!$K:$K,Faturamento!$L71,'Historico - FAT'!$I:$I,Faturamento!$J71,'Historico - FAT'!$G:$G,Faturamento!$H71)</f>
        <v>263.49</v>
      </c>
      <c r="AG71" s="24">
        <f t="shared" si="16"/>
        <v>1</v>
      </c>
      <c r="AH71" s="24">
        <f t="shared" si="17"/>
        <v>0.97920691287878781</v>
      </c>
      <c r="AI71" s="24">
        <f t="shared" si="18"/>
        <v>0.95841382575757583</v>
      </c>
    </row>
    <row r="72" spans="1:35" hidden="1" x14ac:dyDescent="0.3">
      <c r="A72" s="2" t="str">
        <f t="shared" si="20"/>
        <v>NÃO</v>
      </c>
      <c r="B72" s="2">
        <v>1000184670</v>
      </c>
      <c r="C72" s="2" t="s">
        <v>147</v>
      </c>
      <c r="D72" s="4">
        <v>1000186197</v>
      </c>
      <c r="E72" s="4" t="s">
        <v>166</v>
      </c>
      <c r="F72" s="2">
        <v>1000198600</v>
      </c>
      <c r="G72" s="2" t="s">
        <v>148</v>
      </c>
      <c r="H72" s="4">
        <v>1000198601</v>
      </c>
      <c r="I72" s="4" t="s">
        <v>149</v>
      </c>
      <c r="J72" s="2">
        <v>1000189753</v>
      </c>
      <c r="K72" s="2" t="s">
        <v>138</v>
      </c>
      <c r="L72" s="4" t="s">
        <v>21</v>
      </c>
      <c r="M72" s="4" t="str">
        <f t="shared" si="21"/>
        <v>1000184670100018619710001986011000189753NATURATTA</v>
      </c>
      <c r="N72" s="28">
        <f>N61*_xlfn.XLOOKUP($L72,'Balizador da Meta'!$B$4:$B$21,'Balizador da Meta'!$C$4:$C$21)</f>
        <v>1200</v>
      </c>
      <c r="O72" s="28">
        <f>O61*_xlfn.XLOOKUP($L72,'Balizador da Meta'!$B$4:$B$21,'Balizador da Meta'!$C$4:$C$21)</f>
        <v>1275</v>
      </c>
      <c r="P72" s="28">
        <f>P61*_xlfn.XLOOKUP($L72,'Balizador da Meta'!$B$4:$B$21,'Balizador da Meta'!$C$4:$C$21)</f>
        <v>1275</v>
      </c>
      <c r="Q72" s="28">
        <f>Q61*_xlfn.XLOOKUP($L72,'Balizador da Meta'!$B$4:$B$21,'Balizador da Meta'!$C$4:$C$21)</f>
        <v>1350</v>
      </c>
      <c r="R72" s="28">
        <f>R61*_xlfn.XLOOKUP($L72,'Balizador da Meta'!$B$4:$B$21,'Balizador da Meta'!$C$4:$C$21)</f>
        <v>1350</v>
      </c>
      <c r="S72" s="28">
        <f>S61*_xlfn.XLOOKUP($L72,'Balizador da Meta'!$B$4:$B$21,'Balizador da Meta'!$C$4:$C$21)</f>
        <v>1425</v>
      </c>
      <c r="T72" s="28">
        <f>T61*_xlfn.XLOOKUP($L72,'Balizador da Meta'!$B$4:$B$21,'Balizador da Meta'!$C$4:$C$21)</f>
        <v>1500</v>
      </c>
      <c r="U72" s="28">
        <f>U61*_xlfn.XLOOKUP($L72,'Balizador da Meta'!$B$4:$B$21,'Balizador da Meta'!$C$4:$C$21)</f>
        <v>1500</v>
      </c>
      <c r="V72" s="28">
        <f>V61*_xlfn.XLOOKUP($L72,'Balizador da Meta'!$B$4:$B$21,'Balizador da Meta'!$C$4:$C$21)</f>
        <v>1575</v>
      </c>
      <c r="W72" s="28">
        <f>W61*_xlfn.XLOOKUP($L72,'Balizador da Meta'!$B$4:$B$21,'Balizador da Meta'!$C$4:$C$21)</f>
        <v>1575</v>
      </c>
      <c r="X72" s="28">
        <f>X61*_xlfn.XLOOKUP($L72,'Balizador da Meta'!$B$4:$B$21,'Balizador da Meta'!$C$4:$C$21)</f>
        <v>1650</v>
      </c>
      <c r="Y72" s="28">
        <f>Y61*_xlfn.XLOOKUP($L72,'Balizador da Meta'!$B$4:$B$21,'Balizador da Meta'!$C$4:$C$21)</f>
        <v>1725</v>
      </c>
      <c r="Z72" s="30">
        <f t="shared" si="19"/>
        <v>17400</v>
      </c>
      <c r="AA72" s="29"/>
      <c r="AB72" s="31">
        <f>SUMIFS('Historico - FAT'!AK:AK,'Historico - FAT'!$K:$K,Faturamento!$L72,'Historico - FAT'!$I:$I,Faturamento!$J72,'Historico - FAT'!$G:$G,Faturamento!$H72)</f>
        <v>0</v>
      </c>
      <c r="AC72" s="31">
        <f>SUMIFS('Historico - FAT'!AL:AL,'Historico - FAT'!$K:$K,Faturamento!$L72,'Historico - FAT'!$I:$I,Faturamento!$J72,'Historico - FAT'!$G:$G,Faturamento!$H72)</f>
        <v>38.208333333333336</v>
      </c>
      <c r="AD72" s="31">
        <f>SUMIFS('Historico - FAT'!AM:AM,'Historico - FAT'!$K:$K,Faturamento!$L72,'Historico - FAT'!$I:$I,Faturamento!$J72,'Historico - FAT'!$G:$G,Faturamento!$H72)</f>
        <v>76.416666666666671</v>
      </c>
      <c r="AE72" s="27">
        <f>SUMIFS('Historico - FAT'!AN:AN,'Historico - FAT'!$K:$K,Faturamento!$L72,'Historico - FAT'!$I:$I,Faturamento!$J72,'Historico - FAT'!$G:$G,Faturamento!$H72)</f>
        <v>45.85</v>
      </c>
      <c r="AG72" s="24">
        <f t="shared" si="16"/>
        <v>1</v>
      </c>
      <c r="AH72" s="24">
        <f t="shared" si="17"/>
        <v>0.97684343434343435</v>
      </c>
      <c r="AI72" s="24">
        <f t="shared" si="18"/>
        <v>0.95368686868686869</v>
      </c>
    </row>
    <row r="73" spans="1:35" hidden="1" x14ac:dyDescent="0.3">
      <c r="A73" s="2" t="str">
        <f t="shared" si="20"/>
        <v>NÃO</v>
      </c>
      <c r="B73" s="2">
        <v>1000184670</v>
      </c>
      <c r="C73" s="2" t="s">
        <v>147</v>
      </c>
      <c r="D73" s="4">
        <v>1000186197</v>
      </c>
      <c r="E73" s="4" t="s">
        <v>166</v>
      </c>
      <c r="F73" s="2">
        <v>1000198600</v>
      </c>
      <c r="G73" s="2" t="s">
        <v>148</v>
      </c>
      <c r="H73" s="4">
        <v>1000198601</v>
      </c>
      <c r="I73" s="4" t="s">
        <v>149</v>
      </c>
      <c r="J73" s="2">
        <v>1000189753</v>
      </c>
      <c r="K73" s="2" t="s">
        <v>138</v>
      </c>
      <c r="L73" s="4" t="s">
        <v>20</v>
      </c>
      <c r="M73" s="4" t="str">
        <f t="shared" si="21"/>
        <v>1000184670100018619710001986011000189753REEMBALADOS</v>
      </c>
      <c r="N73" s="28">
        <f>N61*_xlfn.XLOOKUP($L73,'Balizador da Meta'!$B$4:$B$21,'Balizador da Meta'!$C$4:$C$21)</f>
        <v>960</v>
      </c>
      <c r="O73" s="28">
        <f>O61*_xlfn.XLOOKUP($L73,'Balizador da Meta'!$B$4:$B$21,'Balizador da Meta'!$C$4:$C$21)</f>
        <v>1020</v>
      </c>
      <c r="P73" s="28">
        <f>P61*_xlfn.XLOOKUP($L73,'Balizador da Meta'!$B$4:$B$21,'Balizador da Meta'!$C$4:$C$21)</f>
        <v>1020</v>
      </c>
      <c r="Q73" s="28">
        <f>Q61*_xlfn.XLOOKUP($L73,'Balizador da Meta'!$B$4:$B$21,'Balizador da Meta'!$C$4:$C$21)</f>
        <v>1080</v>
      </c>
      <c r="R73" s="28">
        <f>R61*_xlfn.XLOOKUP($L73,'Balizador da Meta'!$B$4:$B$21,'Balizador da Meta'!$C$4:$C$21)</f>
        <v>1080</v>
      </c>
      <c r="S73" s="28">
        <f>S61*_xlfn.XLOOKUP($L73,'Balizador da Meta'!$B$4:$B$21,'Balizador da Meta'!$C$4:$C$21)</f>
        <v>1140</v>
      </c>
      <c r="T73" s="28">
        <f>T61*_xlfn.XLOOKUP($L73,'Balizador da Meta'!$B$4:$B$21,'Balizador da Meta'!$C$4:$C$21)</f>
        <v>1200</v>
      </c>
      <c r="U73" s="28">
        <f>U61*_xlfn.XLOOKUP($L73,'Balizador da Meta'!$B$4:$B$21,'Balizador da Meta'!$C$4:$C$21)</f>
        <v>1200</v>
      </c>
      <c r="V73" s="28">
        <f>V61*_xlfn.XLOOKUP($L73,'Balizador da Meta'!$B$4:$B$21,'Balizador da Meta'!$C$4:$C$21)</f>
        <v>1260</v>
      </c>
      <c r="W73" s="28">
        <f>W61*_xlfn.XLOOKUP($L73,'Balizador da Meta'!$B$4:$B$21,'Balizador da Meta'!$C$4:$C$21)</f>
        <v>1260</v>
      </c>
      <c r="X73" s="28">
        <f>X61*_xlfn.XLOOKUP($L73,'Balizador da Meta'!$B$4:$B$21,'Balizador da Meta'!$C$4:$C$21)</f>
        <v>1320</v>
      </c>
      <c r="Y73" s="28">
        <f>Y61*_xlfn.XLOOKUP($L73,'Balizador da Meta'!$B$4:$B$21,'Balizador da Meta'!$C$4:$C$21)</f>
        <v>1380</v>
      </c>
      <c r="Z73" s="30">
        <f t="shared" si="19"/>
        <v>13920</v>
      </c>
      <c r="AA73" s="29"/>
      <c r="AB73" s="31">
        <f>SUMIFS('Historico - FAT'!AK:AK,'Historico - FAT'!$K:$K,Faturamento!$L73,'Historico - FAT'!$I:$I,Faturamento!$J73,'Historico - FAT'!$G:$G,Faturamento!$H73)</f>
        <v>0</v>
      </c>
      <c r="AC73" s="31">
        <f>SUMIFS('Historico - FAT'!AL:AL,'Historico - FAT'!$K:$K,Faturamento!$L73,'Historico - FAT'!$I:$I,Faturamento!$J73,'Historico - FAT'!$G:$G,Faturamento!$H73)</f>
        <v>28.123333333333335</v>
      </c>
      <c r="AD73" s="31">
        <f>SUMIFS('Historico - FAT'!AM:AM,'Historico - FAT'!$K:$K,Faturamento!$L73,'Historico - FAT'!$I:$I,Faturamento!$J73,'Historico - FAT'!$G:$G,Faturamento!$H73)</f>
        <v>56.24666666666667</v>
      </c>
      <c r="AE73" s="27">
        <f>SUMIFS('Historico - FAT'!AN:AN,'Historico - FAT'!$K:$K,Faturamento!$L73,'Historico - FAT'!$I:$I,Faturamento!$J73,'Historico - FAT'!$G:$G,Faturamento!$H73)</f>
        <v>33.748000000000005</v>
      </c>
      <c r="AG73" s="24">
        <f t="shared" si="16"/>
        <v>1</v>
      </c>
      <c r="AH73" s="24">
        <f t="shared" si="17"/>
        <v>0.97869444444444431</v>
      </c>
      <c r="AI73" s="24">
        <f t="shared" si="18"/>
        <v>0.95738888888888884</v>
      </c>
    </row>
    <row r="74" spans="1:35" hidden="1" x14ac:dyDescent="0.3">
      <c r="A74" s="2" t="str">
        <f t="shared" si="20"/>
        <v>NÃO</v>
      </c>
      <c r="B74" s="2">
        <v>1000184670</v>
      </c>
      <c r="C74" s="2" t="s">
        <v>147</v>
      </c>
      <c r="D74" s="4">
        <v>1000186197</v>
      </c>
      <c r="E74" s="4" t="s">
        <v>166</v>
      </c>
      <c r="F74" s="2">
        <v>1000198600</v>
      </c>
      <c r="G74" s="2" t="s">
        <v>148</v>
      </c>
      <c r="H74" s="4">
        <v>1000198601</v>
      </c>
      <c r="I74" s="4" t="s">
        <v>149</v>
      </c>
      <c r="J74" s="2">
        <v>1000189753</v>
      </c>
      <c r="K74" s="2" t="s">
        <v>138</v>
      </c>
      <c r="L74" s="4" t="s">
        <v>22</v>
      </c>
      <c r="M74" s="4" t="str">
        <f t="shared" si="21"/>
        <v>1000184670100018619710001986011000189753S GLUTEN</v>
      </c>
      <c r="N74" s="28">
        <f>N61*_xlfn.XLOOKUP($L74,'Balizador da Meta'!$B$4:$B$21,'Balizador da Meta'!$C$4:$C$21)</f>
        <v>960</v>
      </c>
      <c r="O74" s="28">
        <f>O61*_xlfn.XLOOKUP($L74,'Balizador da Meta'!$B$4:$B$21,'Balizador da Meta'!$C$4:$C$21)</f>
        <v>1020</v>
      </c>
      <c r="P74" s="28">
        <f>P61*_xlfn.XLOOKUP($L74,'Balizador da Meta'!$B$4:$B$21,'Balizador da Meta'!$C$4:$C$21)</f>
        <v>1020</v>
      </c>
      <c r="Q74" s="28">
        <f>Q61*_xlfn.XLOOKUP($L74,'Balizador da Meta'!$B$4:$B$21,'Balizador da Meta'!$C$4:$C$21)</f>
        <v>1080</v>
      </c>
      <c r="R74" s="28">
        <f>R61*_xlfn.XLOOKUP($L74,'Balizador da Meta'!$B$4:$B$21,'Balizador da Meta'!$C$4:$C$21)</f>
        <v>1080</v>
      </c>
      <c r="S74" s="28">
        <f>S61*_xlfn.XLOOKUP($L74,'Balizador da Meta'!$B$4:$B$21,'Balizador da Meta'!$C$4:$C$21)</f>
        <v>1140</v>
      </c>
      <c r="T74" s="28">
        <f>T61*_xlfn.XLOOKUP($L74,'Balizador da Meta'!$B$4:$B$21,'Balizador da Meta'!$C$4:$C$21)</f>
        <v>1200</v>
      </c>
      <c r="U74" s="28">
        <f>U61*_xlfn.XLOOKUP($L74,'Balizador da Meta'!$B$4:$B$21,'Balizador da Meta'!$C$4:$C$21)</f>
        <v>1200</v>
      </c>
      <c r="V74" s="28">
        <f>V61*_xlfn.XLOOKUP($L74,'Balizador da Meta'!$B$4:$B$21,'Balizador da Meta'!$C$4:$C$21)</f>
        <v>1260</v>
      </c>
      <c r="W74" s="28">
        <f>W61*_xlfn.XLOOKUP($L74,'Balizador da Meta'!$B$4:$B$21,'Balizador da Meta'!$C$4:$C$21)</f>
        <v>1260</v>
      </c>
      <c r="X74" s="28">
        <f>X61*_xlfn.XLOOKUP($L74,'Balizador da Meta'!$B$4:$B$21,'Balizador da Meta'!$C$4:$C$21)</f>
        <v>1320</v>
      </c>
      <c r="Y74" s="28">
        <f>Y61*_xlfn.XLOOKUP($L74,'Balizador da Meta'!$B$4:$B$21,'Balizador da Meta'!$C$4:$C$21)</f>
        <v>1380</v>
      </c>
      <c r="Z74" s="30">
        <f t="shared" si="19"/>
        <v>13920</v>
      </c>
      <c r="AA74" s="29"/>
      <c r="AB74" s="31">
        <f>SUMIFS('Historico - FAT'!AK:AK,'Historico - FAT'!$K:$K,Faturamento!$L74,'Historico - FAT'!$I:$I,Faturamento!$J74,'Historico - FAT'!$G:$G,Faturamento!$H74)</f>
        <v>0</v>
      </c>
      <c r="AC74" s="31">
        <f>SUMIFS('Historico - FAT'!AL:AL,'Historico - FAT'!$K:$K,Faturamento!$L74,'Historico - FAT'!$I:$I,Faturamento!$J74,'Historico - FAT'!$G:$G,Faturamento!$H74)</f>
        <v>52.1175</v>
      </c>
      <c r="AD74" s="31">
        <f>SUMIFS('Historico - FAT'!AM:AM,'Historico - FAT'!$K:$K,Faturamento!$L74,'Historico - FAT'!$I:$I,Faturamento!$J74,'Historico - FAT'!$G:$G,Faturamento!$H74)</f>
        <v>104.235</v>
      </c>
      <c r="AE74" s="27">
        <f>SUMIFS('Historico - FAT'!AN:AN,'Historico - FAT'!$K:$K,Faturamento!$L74,'Historico - FAT'!$I:$I,Faturamento!$J74,'Historico - FAT'!$G:$G,Faturamento!$H74)</f>
        <v>62.540999999999997</v>
      </c>
      <c r="AG74" s="24">
        <f t="shared" si="16"/>
        <v>1</v>
      </c>
      <c r="AH74" s="24">
        <f t="shared" si="17"/>
        <v>0.96051704545454542</v>
      </c>
      <c r="AI74" s="24">
        <f t="shared" si="18"/>
        <v>0.92103409090909094</v>
      </c>
    </row>
    <row r="75" spans="1:35" hidden="1" x14ac:dyDescent="0.3">
      <c r="A75" s="2" t="str">
        <f t="shared" si="20"/>
        <v>NÃO</v>
      </c>
      <c r="B75" s="2">
        <v>1000184670</v>
      </c>
      <c r="C75" s="2" t="s">
        <v>147</v>
      </c>
      <c r="D75" s="4">
        <v>1000186197</v>
      </c>
      <c r="E75" s="4" t="s">
        <v>166</v>
      </c>
      <c r="F75" s="2">
        <v>1000198600</v>
      </c>
      <c r="G75" s="2" t="s">
        <v>148</v>
      </c>
      <c r="H75" s="4">
        <v>1000198601</v>
      </c>
      <c r="I75" s="4" t="s">
        <v>149</v>
      </c>
      <c r="J75" s="2">
        <v>1000189753</v>
      </c>
      <c r="K75" s="2" t="s">
        <v>138</v>
      </c>
      <c r="L75" s="4" t="s">
        <v>23</v>
      </c>
      <c r="M75" s="4" t="str">
        <f t="shared" si="21"/>
        <v>1000184670100018619710001986011000189753SABORES DO CAMPO</v>
      </c>
      <c r="N75" s="28">
        <f>N61*_xlfn.XLOOKUP($L75,'Balizador da Meta'!$B$4:$B$21,'Balizador da Meta'!$C$4:$C$21)</f>
        <v>0</v>
      </c>
      <c r="O75" s="28">
        <f>O61*_xlfn.XLOOKUP($L75,'Balizador da Meta'!$B$4:$B$21,'Balizador da Meta'!$C$4:$C$21)</f>
        <v>0</v>
      </c>
      <c r="P75" s="28">
        <f>P61*_xlfn.XLOOKUP($L75,'Balizador da Meta'!$B$4:$B$21,'Balizador da Meta'!$C$4:$C$21)</f>
        <v>0</v>
      </c>
      <c r="Q75" s="28">
        <f>Q61*_xlfn.XLOOKUP($L75,'Balizador da Meta'!$B$4:$B$21,'Balizador da Meta'!$C$4:$C$21)</f>
        <v>0</v>
      </c>
      <c r="R75" s="28">
        <f>R61*_xlfn.XLOOKUP($L75,'Balizador da Meta'!$B$4:$B$21,'Balizador da Meta'!$C$4:$C$21)</f>
        <v>0</v>
      </c>
      <c r="S75" s="28">
        <f>S61*_xlfn.XLOOKUP($L75,'Balizador da Meta'!$B$4:$B$21,'Balizador da Meta'!$C$4:$C$21)</f>
        <v>0</v>
      </c>
      <c r="T75" s="28">
        <f>T61*_xlfn.XLOOKUP($L75,'Balizador da Meta'!$B$4:$B$21,'Balizador da Meta'!$C$4:$C$21)</f>
        <v>0</v>
      </c>
      <c r="U75" s="28">
        <f>U61*_xlfn.XLOOKUP($L75,'Balizador da Meta'!$B$4:$B$21,'Balizador da Meta'!$C$4:$C$21)</f>
        <v>0</v>
      </c>
      <c r="V75" s="28">
        <f>V61*_xlfn.XLOOKUP($L75,'Balizador da Meta'!$B$4:$B$21,'Balizador da Meta'!$C$4:$C$21)</f>
        <v>0</v>
      </c>
      <c r="W75" s="28">
        <f>W61*_xlfn.XLOOKUP($L75,'Balizador da Meta'!$B$4:$B$21,'Balizador da Meta'!$C$4:$C$21)</f>
        <v>0</v>
      </c>
      <c r="X75" s="28">
        <f>X61*_xlfn.XLOOKUP($L75,'Balizador da Meta'!$B$4:$B$21,'Balizador da Meta'!$C$4:$C$21)</f>
        <v>0</v>
      </c>
      <c r="Y75" s="28">
        <f>Y61*_xlfn.XLOOKUP($L75,'Balizador da Meta'!$B$4:$B$21,'Balizador da Meta'!$C$4:$C$21)</f>
        <v>0</v>
      </c>
      <c r="Z75" s="30">
        <f t="shared" si="19"/>
        <v>0</v>
      </c>
      <c r="AA75" s="29"/>
      <c r="AB75" s="31">
        <f>SUMIFS('Historico - FAT'!AK:AK,'Historico - FAT'!$K:$K,Faturamento!$L75,'Historico - FAT'!$I:$I,Faturamento!$J75,'Historico - FAT'!$G:$G,Faturamento!$H75)</f>
        <v>0</v>
      </c>
      <c r="AC75" s="31">
        <f>SUMIFS('Historico - FAT'!AL:AL,'Historico - FAT'!$K:$K,Faturamento!$L75,'Historico - FAT'!$I:$I,Faturamento!$J75,'Historico - FAT'!$G:$G,Faturamento!$H75)</f>
        <v>0</v>
      </c>
      <c r="AD75" s="31">
        <f>SUMIFS('Historico - FAT'!AM:AM,'Historico - FAT'!$K:$K,Faturamento!$L75,'Historico - FAT'!$I:$I,Faturamento!$J75,'Historico - FAT'!$G:$G,Faturamento!$H75)</f>
        <v>0</v>
      </c>
      <c r="AE75" s="27">
        <f>SUMIFS('Historico - FAT'!AN:AN,'Historico - FAT'!$K:$K,Faturamento!$L75,'Historico - FAT'!$I:$I,Faturamento!$J75,'Historico - FAT'!$G:$G,Faturamento!$H75)</f>
        <v>0</v>
      </c>
      <c r="AG75" s="24" t="str">
        <f t="shared" si="16"/>
        <v/>
      </c>
      <c r="AH75" s="24" t="str">
        <f t="shared" si="17"/>
        <v/>
      </c>
      <c r="AI75" s="24" t="str">
        <f t="shared" si="18"/>
        <v/>
      </c>
    </row>
    <row r="76" spans="1:35" hidden="1" x14ac:dyDescent="0.3">
      <c r="A76" s="2" t="str">
        <f t="shared" si="20"/>
        <v>NÃO</v>
      </c>
      <c r="B76" s="2">
        <v>1000184670</v>
      </c>
      <c r="C76" s="2" t="s">
        <v>147</v>
      </c>
      <c r="D76" s="4">
        <v>1000186197</v>
      </c>
      <c r="E76" s="4" t="s">
        <v>166</v>
      </c>
      <c r="F76" s="2">
        <v>1000198600</v>
      </c>
      <c r="G76" s="2" t="s">
        <v>148</v>
      </c>
      <c r="H76" s="4">
        <v>1000198601</v>
      </c>
      <c r="I76" s="4" t="s">
        <v>149</v>
      </c>
      <c r="J76" s="2">
        <v>1000189753</v>
      </c>
      <c r="K76" s="2" t="s">
        <v>138</v>
      </c>
      <c r="L76" s="4" t="s">
        <v>28</v>
      </c>
      <c r="M76" s="4" t="str">
        <f t="shared" si="21"/>
        <v>1000184670100018619710001986011000189753SAL</v>
      </c>
      <c r="N76" s="28">
        <f>N61*_xlfn.XLOOKUP($L76,'Balizador da Meta'!$B$4:$B$21,'Balizador da Meta'!$C$4:$C$21)</f>
        <v>480</v>
      </c>
      <c r="O76" s="28">
        <f>O61*_xlfn.XLOOKUP($L76,'Balizador da Meta'!$B$4:$B$21,'Balizador da Meta'!$C$4:$C$21)</f>
        <v>510</v>
      </c>
      <c r="P76" s="28">
        <f>P61*_xlfn.XLOOKUP($L76,'Balizador da Meta'!$B$4:$B$21,'Balizador da Meta'!$C$4:$C$21)</f>
        <v>510</v>
      </c>
      <c r="Q76" s="28">
        <f>Q61*_xlfn.XLOOKUP($L76,'Balizador da Meta'!$B$4:$B$21,'Balizador da Meta'!$C$4:$C$21)</f>
        <v>540</v>
      </c>
      <c r="R76" s="28">
        <f>R61*_xlfn.XLOOKUP($L76,'Balizador da Meta'!$B$4:$B$21,'Balizador da Meta'!$C$4:$C$21)</f>
        <v>540</v>
      </c>
      <c r="S76" s="28">
        <f>S61*_xlfn.XLOOKUP($L76,'Balizador da Meta'!$B$4:$B$21,'Balizador da Meta'!$C$4:$C$21)</f>
        <v>570</v>
      </c>
      <c r="T76" s="28">
        <f>T61*_xlfn.XLOOKUP($L76,'Balizador da Meta'!$B$4:$B$21,'Balizador da Meta'!$C$4:$C$21)</f>
        <v>600</v>
      </c>
      <c r="U76" s="28">
        <f>U61*_xlfn.XLOOKUP($L76,'Balizador da Meta'!$B$4:$B$21,'Balizador da Meta'!$C$4:$C$21)</f>
        <v>600</v>
      </c>
      <c r="V76" s="28">
        <f>V61*_xlfn.XLOOKUP($L76,'Balizador da Meta'!$B$4:$B$21,'Balizador da Meta'!$C$4:$C$21)</f>
        <v>630</v>
      </c>
      <c r="W76" s="28">
        <f>W61*_xlfn.XLOOKUP($L76,'Balizador da Meta'!$B$4:$B$21,'Balizador da Meta'!$C$4:$C$21)</f>
        <v>630</v>
      </c>
      <c r="X76" s="28">
        <f>X61*_xlfn.XLOOKUP($L76,'Balizador da Meta'!$B$4:$B$21,'Balizador da Meta'!$C$4:$C$21)</f>
        <v>660</v>
      </c>
      <c r="Y76" s="28">
        <f>Y61*_xlfn.XLOOKUP($L76,'Balizador da Meta'!$B$4:$B$21,'Balizador da Meta'!$C$4:$C$21)</f>
        <v>690</v>
      </c>
      <c r="Z76" s="30">
        <f t="shared" si="19"/>
        <v>6960</v>
      </c>
      <c r="AA76" s="29"/>
      <c r="AB76" s="31">
        <f>SUMIFS('Historico - FAT'!AK:AK,'Historico - FAT'!$K:$K,Faturamento!$L76,'Historico - FAT'!$I:$I,Faturamento!$J76,'Historico - FAT'!$G:$G,Faturamento!$H76)</f>
        <v>0</v>
      </c>
      <c r="AC76" s="31">
        <f>SUMIFS('Historico - FAT'!AL:AL,'Historico - FAT'!$K:$K,Faturamento!$L76,'Historico - FAT'!$I:$I,Faturamento!$J76,'Historico - FAT'!$G:$G,Faturamento!$H76)</f>
        <v>1.5416666666666667</v>
      </c>
      <c r="AD76" s="31">
        <f>SUMIFS('Historico - FAT'!AM:AM,'Historico - FAT'!$K:$K,Faturamento!$L76,'Historico - FAT'!$I:$I,Faturamento!$J76,'Historico - FAT'!$G:$G,Faturamento!$H76)</f>
        <v>3.0833333333333335</v>
      </c>
      <c r="AE76" s="27">
        <f>SUMIFS('Historico - FAT'!AN:AN,'Historico - FAT'!$K:$K,Faturamento!$L76,'Historico - FAT'!$I:$I,Faturamento!$J76,'Historico - FAT'!$G:$G,Faturamento!$H76)</f>
        <v>1.85</v>
      </c>
      <c r="AG76" s="24">
        <f t="shared" si="16"/>
        <v>1</v>
      </c>
      <c r="AH76" s="24">
        <f t="shared" si="17"/>
        <v>0.9976641414141415</v>
      </c>
      <c r="AI76" s="24">
        <f t="shared" si="18"/>
        <v>0.99532828282828278</v>
      </c>
    </row>
    <row r="77" spans="1:35" hidden="1" x14ac:dyDescent="0.3">
      <c r="A77" s="2" t="str">
        <f t="shared" si="20"/>
        <v>NÃO</v>
      </c>
      <c r="B77" s="2">
        <v>1000184670</v>
      </c>
      <c r="C77" s="2" t="s">
        <v>147</v>
      </c>
      <c r="D77" s="4">
        <v>1000186197</v>
      </c>
      <c r="E77" s="4" t="s">
        <v>166</v>
      </c>
      <c r="F77" s="2">
        <v>1000198600</v>
      </c>
      <c r="G77" s="2" t="s">
        <v>148</v>
      </c>
      <c r="H77" s="4">
        <v>1000198601</v>
      </c>
      <c r="I77" s="4" t="s">
        <v>149</v>
      </c>
      <c r="J77" s="2">
        <v>1000189753</v>
      </c>
      <c r="K77" s="2" t="s">
        <v>138</v>
      </c>
      <c r="L77" s="4" t="s">
        <v>26</v>
      </c>
      <c r="M77" s="4" t="str">
        <f t="shared" si="21"/>
        <v>1000184670100018619710001986011000189753SOULPRO</v>
      </c>
      <c r="N77" s="28">
        <f>N61*_xlfn.XLOOKUP($L77,'Balizador da Meta'!$B$4:$B$21,'Balizador da Meta'!$C$4:$C$21)</f>
        <v>1440</v>
      </c>
      <c r="O77" s="28">
        <f>O61*_xlfn.XLOOKUP($L77,'Balizador da Meta'!$B$4:$B$21,'Balizador da Meta'!$C$4:$C$21)</f>
        <v>1530</v>
      </c>
      <c r="P77" s="28">
        <f>P61*_xlfn.XLOOKUP($L77,'Balizador da Meta'!$B$4:$B$21,'Balizador da Meta'!$C$4:$C$21)</f>
        <v>1530</v>
      </c>
      <c r="Q77" s="28">
        <f>Q61*_xlfn.XLOOKUP($L77,'Balizador da Meta'!$B$4:$B$21,'Balizador da Meta'!$C$4:$C$21)</f>
        <v>1620</v>
      </c>
      <c r="R77" s="28">
        <f>R61*_xlfn.XLOOKUP($L77,'Balizador da Meta'!$B$4:$B$21,'Balizador da Meta'!$C$4:$C$21)</f>
        <v>1620</v>
      </c>
      <c r="S77" s="28">
        <f>S61*_xlfn.XLOOKUP($L77,'Balizador da Meta'!$B$4:$B$21,'Balizador da Meta'!$C$4:$C$21)</f>
        <v>1710</v>
      </c>
      <c r="T77" s="28">
        <f>T61*_xlfn.XLOOKUP($L77,'Balizador da Meta'!$B$4:$B$21,'Balizador da Meta'!$C$4:$C$21)</f>
        <v>1800</v>
      </c>
      <c r="U77" s="28">
        <f>U61*_xlfn.XLOOKUP($L77,'Balizador da Meta'!$B$4:$B$21,'Balizador da Meta'!$C$4:$C$21)</f>
        <v>1800</v>
      </c>
      <c r="V77" s="28">
        <f>V61*_xlfn.XLOOKUP($L77,'Balizador da Meta'!$B$4:$B$21,'Balizador da Meta'!$C$4:$C$21)</f>
        <v>1890</v>
      </c>
      <c r="W77" s="28">
        <f>W61*_xlfn.XLOOKUP($L77,'Balizador da Meta'!$B$4:$B$21,'Balizador da Meta'!$C$4:$C$21)</f>
        <v>1890</v>
      </c>
      <c r="X77" s="28">
        <f>X61*_xlfn.XLOOKUP($L77,'Balizador da Meta'!$B$4:$B$21,'Balizador da Meta'!$C$4:$C$21)</f>
        <v>1980</v>
      </c>
      <c r="Y77" s="28">
        <f>Y61*_xlfn.XLOOKUP($L77,'Balizador da Meta'!$B$4:$B$21,'Balizador da Meta'!$C$4:$C$21)</f>
        <v>2070</v>
      </c>
      <c r="Z77" s="30">
        <f t="shared" si="19"/>
        <v>20880</v>
      </c>
      <c r="AA77" s="29"/>
      <c r="AB77" s="31">
        <f>SUMIFS('Historico - FAT'!AK:AK,'Historico - FAT'!$K:$K,Faturamento!$L77,'Historico - FAT'!$I:$I,Faturamento!$J77,'Historico - FAT'!$G:$G,Faturamento!$H77)</f>
        <v>0</v>
      </c>
      <c r="AC77" s="31">
        <f>SUMIFS('Historico - FAT'!AL:AL,'Historico - FAT'!$K:$K,Faturamento!$L77,'Historico - FAT'!$I:$I,Faturamento!$J77,'Historico - FAT'!$G:$G,Faturamento!$H77)</f>
        <v>54</v>
      </c>
      <c r="AD77" s="31">
        <f>SUMIFS('Historico - FAT'!AM:AM,'Historico - FAT'!$K:$K,Faturamento!$L77,'Historico - FAT'!$I:$I,Faturamento!$J77,'Historico - FAT'!$G:$G,Faturamento!$H77)</f>
        <v>108</v>
      </c>
      <c r="AE77" s="27">
        <f>SUMIFS('Historico - FAT'!AN:AN,'Historico - FAT'!$K:$K,Faturamento!$L77,'Historico - FAT'!$I:$I,Faturamento!$J77,'Historico - FAT'!$G:$G,Faturamento!$H77)</f>
        <v>64.8</v>
      </c>
      <c r="AG77" s="24">
        <f t="shared" si="16"/>
        <v>1</v>
      </c>
      <c r="AH77" s="24">
        <f t="shared" si="17"/>
        <v>0.97272727272727277</v>
      </c>
      <c r="AI77" s="24">
        <f t="shared" si="18"/>
        <v>0.94545454545454544</v>
      </c>
    </row>
    <row r="78" spans="1:35" hidden="1" x14ac:dyDescent="0.3">
      <c r="A78" s="2" t="str">
        <f t="shared" si="20"/>
        <v>NÃO</v>
      </c>
      <c r="B78" s="2">
        <v>1000184670</v>
      </c>
      <c r="C78" s="2" t="s">
        <v>147</v>
      </c>
      <c r="D78" s="4">
        <v>1000186197</v>
      </c>
      <c r="E78" s="4" t="s">
        <v>166</v>
      </c>
      <c r="F78" s="2">
        <v>1000198600</v>
      </c>
      <c r="G78" s="2" t="s">
        <v>148</v>
      </c>
      <c r="H78" s="4">
        <v>1000198601</v>
      </c>
      <c r="I78" s="4" t="s">
        <v>149</v>
      </c>
      <c r="J78" s="2">
        <v>1000189753</v>
      </c>
      <c r="K78" s="2" t="s">
        <v>138</v>
      </c>
      <c r="L78" s="4" t="s">
        <v>27</v>
      </c>
      <c r="M78" s="4" t="str">
        <f t="shared" si="21"/>
        <v>1000184670100018619710001986011000189753TAMARA</v>
      </c>
      <c r="N78" s="28">
        <f>N61*_xlfn.XLOOKUP($L78,'Balizador da Meta'!$B$4:$B$21,'Balizador da Meta'!$C$4:$C$21)</f>
        <v>1920</v>
      </c>
      <c r="O78" s="28">
        <f>O61*_xlfn.XLOOKUP($L78,'Balizador da Meta'!$B$4:$B$21,'Balizador da Meta'!$C$4:$C$21)</f>
        <v>2040</v>
      </c>
      <c r="P78" s="28">
        <f>P61*_xlfn.XLOOKUP($L78,'Balizador da Meta'!$B$4:$B$21,'Balizador da Meta'!$C$4:$C$21)</f>
        <v>2040</v>
      </c>
      <c r="Q78" s="28">
        <f>Q61*_xlfn.XLOOKUP($L78,'Balizador da Meta'!$B$4:$B$21,'Balizador da Meta'!$C$4:$C$21)</f>
        <v>2160</v>
      </c>
      <c r="R78" s="28">
        <f>R61*_xlfn.XLOOKUP($L78,'Balizador da Meta'!$B$4:$B$21,'Balizador da Meta'!$C$4:$C$21)</f>
        <v>2160</v>
      </c>
      <c r="S78" s="28">
        <f>S61*_xlfn.XLOOKUP($L78,'Balizador da Meta'!$B$4:$B$21,'Balizador da Meta'!$C$4:$C$21)</f>
        <v>2280</v>
      </c>
      <c r="T78" s="28">
        <f>T61*_xlfn.XLOOKUP($L78,'Balizador da Meta'!$B$4:$B$21,'Balizador da Meta'!$C$4:$C$21)</f>
        <v>2400</v>
      </c>
      <c r="U78" s="28">
        <f>U61*_xlfn.XLOOKUP($L78,'Balizador da Meta'!$B$4:$B$21,'Balizador da Meta'!$C$4:$C$21)</f>
        <v>2400</v>
      </c>
      <c r="V78" s="28">
        <f>V61*_xlfn.XLOOKUP($L78,'Balizador da Meta'!$B$4:$B$21,'Balizador da Meta'!$C$4:$C$21)</f>
        <v>2520</v>
      </c>
      <c r="W78" s="28">
        <f>W61*_xlfn.XLOOKUP($L78,'Balizador da Meta'!$B$4:$B$21,'Balizador da Meta'!$C$4:$C$21)</f>
        <v>2520</v>
      </c>
      <c r="X78" s="28">
        <f>X61*_xlfn.XLOOKUP($L78,'Balizador da Meta'!$B$4:$B$21,'Balizador da Meta'!$C$4:$C$21)</f>
        <v>2640</v>
      </c>
      <c r="Y78" s="28">
        <f>Y61*_xlfn.XLOOKUP($L78,'Balizador da Meta'!$B$4:$B$21,'Balizador da Meta'!$C$4:$C$21)</f>
        <v>2760</v>
      </c>
      <c r="Z78" s="30">
        <f t="shared" si="19"/>
        <v>27840</v>
      </c>
      <c r="AA78" s="29"/>
      <c r="AB78" s="31">
        <f>SUMIFS('Historico - FAT'!AK:AK,'Historico - FAT'!$K:$K,Faturamento!$L78,'Historico - FAT'!$I:$I,Faturamento!$J78,'Historico - FAT'!$G:$G,Faturamento!$H78)</f>
        <v>0</v>
      </c>
      <c r="AC78" s="31">
        <f>SUMIFS('Historico - FAT'!AL:AL,'Historico - FAT'!$K:$K,Faturamento!$L78,'Historico - FAT'!$I:$I,Faturamento!$J78,'Historico - FAT'!$G:$G,Faturamento!$H78)</f>
        <v>0</v>
      </c>
      <c r="AD78" s="31">
        <f>SUMIFS('Historico - FAT'!AM:AM,'Historico - FAT'!$K:$K,Faturamento!$L78,'Historico - FAT'!$I:$I,Faturamento!$J78,'Historico - FAT'!$G:$G,Faturamento!$H78)</f>
        <v>0</v>
      </c>
      <c r="AE78" s="27">
        <f>SUMIFS('Historico - FAT'!AN:AN,'Historico - FAT'!$K:$K,Faturamento!$L78,'Historico - FAT'!$I:$I,Faturamento!$J78,'Historico - FAT'!$G:$G,Faturamento!$H78)</f>
        <v>0</v>
      </c>
      <c r="AG78" s="24">
        <f t="shared" si="16"/>
        <v>1</v>
      </c>
      <c r="AH78" s="24">
        <f t="shared" si="17"/>
        <v>1</v>
      </c>
      <c r="AI78" s="24">
        <f t="shared" si="18"/>
        <v>1</v>
      </c>
    </row>
    <row r="79" spans="1:35" hidden="1" x14ac:dyDescent="0.3">
      <c r="A79" s="2" t="str">
        <f t="shared" si="20"/>
        <v>NÃO</v>
      </c>
      <c r="B79" s="2">
        <v>1000184670</v>
      </c>
      <c r="C79" s="2" t="s">
        <v>147</v>
      </c>
      <c r="D79" s="4">
        <v>1000186197</v>
      </c>
      <c r="E79" s="4" t="s">
        <v>166</v>
      </c>
      <c r="F79" s="2">
        <v>1000198600</v>
      </c>
      <c r="G79" s="2" t="s">
        <v>148</v>
      </c>
      <c r="H79" s="4">
        <v>1000198601</v>
      </c>
      <c r="I79" s="4" t="s">
        <v>149</v>
      </c>
      <c r="J79" s="2">
        <v>1000189753</v>
      </c>
      <c r="K79" s="2" t="s">
        <v>138</v>
      </c>
      <c r="L79" s="4" t="s">
        <v>25</v>
      </c>
      <c r="M79" s="4" t="str">
        <f t="shared" si="21"/>
        <v>1000184670100018619710001986011000189753VICCIO</v>
      </c>
      <c r="N79" s="28">
        <f>N61*_xlfn.XLOOKUP($L79,'Balizador da Meta'!$B$4:$B$21,'Balizador da Meta'!$C$4:$C$21)</f>
        <v>720</v>
      </c>
      <c r="O79" s="28">
        <f>O61*_xlfn.XLOOKUP($L79,'Balizador da Meta'!$B$4:$B$21,'Balizador da Meta'!$C$4:$C$21)</f>
        <v>765</v>
      </c>
      <c r="P79" s="28">
        <f>P61*_xlfn.XLOOKUP($L79,'Balizador da Meta'!$B$4:$B$21,'Balizador da Meta'!$C$4:$C$21)</f>
        <v>765</v>
      </c>
      <c r="Q79" s="28">
        <f>Q61*_xlfn.XLOOKUP($L79,'Balizador da Meta'!$B$4:$B$21,'Balizador da Meta'!$C$4:$C$21)</f>
        <v>810</v>
      </c>
      <c r="R79" s="28">
        <f>R61*_xlfn.XLOOKUP($L79,'Balizador da Meta'!$B$4:$B$21,'Balizador da Meta'!$C$4:$C$21)</f>
        <v>810</v>
      </c>
      <c r="S79" s="28">
        <f>S61*_xlfn.XLOOKUP($L79,'Balizador da Meta'!$B$4:$B$21,'Balizador da Meta'!$C$4:$C$21)</f>
        <v>855</v>
      </c>
      <c r="T79" s="28">
        <f>T61*_xlfn.XLOOKUP($L79,'Balizador da Meta'!$B$4:$B$21,'Balizador da Meta'!$C$4:$C$21)</f>
        <v>900</v>
      </c>
      <c r="U79" s="28">
        <f>U61*_xlfn.XLOOKUP($L79,'Balizador da Meta'!$B$4:$B$21,'Balizador da Meta'!$C$4:$C$21)</f>
        <v>900</v>
      </c>
      <c r="V79" s="28">
        <f>V61*_xlfn.XLOOKUP($L79,'Balizador da Meta'!$B$4:$B$21,'Balizador da Meta'!$C$4:$C$21)</f>
        <v>945</v>
      </c>
      <c r="W79" s="28">
        <f>W61*_xlfn.XLOOKUP($L79,'Balizador da Meta'!$B$4:$B$21,'Balizador da Meta'!$C$4:$C$21)</f>
        <v>945</v>
      </c>
      <c r="X79" s="28">
        <f>X61*_xlfn.XLOOKUP($L79,'Balizador da Meta'!$B$4:$B$21,'Balizador da Meta'!$C$4:$C$21)</f>
        <v>990</v>
      </c>
      <c r="Y79" s="28">
        <f>Y61*_xlfn.XLOOKUP($L79,'Balizador da Meta'!$B$4:$B$21,'Balizador da Meta'!$C$4:$C$21)</f>
        <v>1035</v>
      </c>
      <c r="Z79" s="30">
        <f t="shared" si="19"/>
        <v>10440</v>
      </c>
      <c r="AA79" s="29"/>
      <c r="AB79" s="31">
        <f>SUMIFS('Historico - FAT'!AK:AK,'Historico - FAT'!$K:$K,Faturamento!$L79,'Historico - FAT'!$I:$I,Faturamento!$J79,'Historico - FAT'!$G:$G,Faturamento!$H79)</f>
        <v>0</v>
      </c>
      <c r="AC79" s="31">
        <f>SUMIFS('Historico - FAT'!AL:AL,'Historico - FAT'!$K:$K,Faturamento!$L79,'Historico - FAT'!$I:$I,Faturamento!$J79,'Historico - FAT'!$G:$G,Faturamento!$H79)</f>
        <v>0</v>
      </c>
      <c r="AD79" s="31">
        <f>SUMIFS('Historico - FAT'!AM:AM,'Historico - FAT'!$K:$K,Faturamento!$L79,'Historico - FAT'!$I:$I,Faturamento!$J79,'Historico - FAT'!$G:$G,Faturamento!$H79)</f>
        <v>0</v>
      </c>
      <c r="AE79" s="27">
        <f>SUMIFS('Historico - FAT'!AN:AN,'Historico - FAT'!$K:$K,Faturamento!$L79,'Historico - FAT'!$I:$I,Faturamento!$J79,'Historico - FAT'!$G:$G,Faturamento!$H79)</f>
        <v>0</v>
      </c>
      <c r="AG79" s="24">
        <f t="shared" si="16"/>
        <v>1</v>
      </c>
      <c r="AH79" s="24">
        <f t="shared" si="17"/>
        <v>1</v>
      </c>
      <c r="AI79" s="24">
        <f t="shared" si="18"/>
        <v>1</v>
      </c>
    </row>
    <row r="80" spans="1:35" x14ac:dyDescent="0.3">
      <c r="A80" s="2" t="str">
        <f t="shared" si="20"/>
        <v>SIM</v>
      </c>
      <c r="B80" s="2">
        <v>1000184670</v>
      </c>
      <c r="C80" s="2" t="s">
        <v>147</v>
      </c>
      <c r="D80" s="4">
        <v>1000186198</v>
      </c>
      <c r="E80" s="4" t="s">
        <v>168</v>
      </c>
      <c r="F80" s="2">
        <v>1000185288</v>
      </c>
      <c r="G80" s="2" t="s">
        <v>64</v>
      </c>
      <c r="H80" s="4">
        <v>1000189803</v>
      </c>
      <c r="I80" s="4" t="s">
        <v>97</v>
      </c>
      <c r="J80" s="2">
        <v>1000189754</v>
      </c>
      <c r="K80" s="2" t="s">
        <v>157</v>
      </c>
      <c r="L80" s="4" t="s">
        <v>124</v>
      </c>
      <c r="M80" s="4" t="str">
        <f t="shared" si="21"/>
        <v>100018467010001861981000189803100018975401. TOTAL</v>
      </c>
      <c r="N80" s="28">
        <f>SUMIFS(Positivação!L:L,Positivação!$I:$I,Faturamento!$J80,Positivação!$G:$G,Faturamento!$H80)*SUMIFS(Positivação!$Z:$Z,Positivação!$I:$I,Faturamento!$J80,Positivação!$G:$G,Faturamento!$H80)</f>
        <v>3000</v>
      </c>
      <c r="O80" s="28">
        <f>SUMIFS(Positivação!M:M,Positivação!$I:$I,Faturamento!$J80,Positivação!$G:$G,Faturamento!$H80)*SUMIFS(Positivação!$Z:$Z,Positivação!$I:$I,Faturamento!$J80,Positivação!$G:$G,Faturamento!$H80)</f>
        <v>3000</v>
      </c>
      <c r="P80" s="28">
        <f>SUMIFS(Positivação!N:N,Positivação!$I:$I,Faturamento!$J80,Positivação!$G:$G,Faturamento!$H80)*SUMIFS(Positivação!$Z:$Z,Positivação!$I:$I,Faturamento!$J80,Positivação!$G:$G,Faturamento!$H80)</f>
        <v>3000</v>
      </c>
      <c r="Q80" s="28">
        <f>SUMIFS(Positivação!O:O,Positivação!$I:$I,Faturamento!$J80,Positivação!$G:$G,Faturamento!$H80)*SUMIFS(Positivação!$Z:$Z,Positivação!$I:$I,Faturamento!$J80,Positivação!$G:$G,Faturamento!$H80)</f>
        <v>3000</v>
      </c>
      <c r="R80" s="28">
        <f>SUMIFS(Positivação!P:P,Positivação!$I:$I,Faturamento!$J80,Positivação!$G:$G,Faturamento!$H80)*SUMIFS(Positivação!$Z:$Z,Positivação!$I:$I,Faturamento!$J80,Positivação!$G:$G,Faturamento!$H80)</f>
        <v>3000</v>
      </c>
      <c r="S80" s="28">
        <f>SUMIFS(Positivação!Q:Q,Positivação!$I:$I,Faturamento!$J80,Positivação!$G:$G,Faturamento!$H80)*SUMIFS(Positivação!$Z:$Z,Positivação!$I:$I,Faturamento!$J80,Positivação!$G:$G,Faturamento!$H80)</f>
        <v>3000</v>
      </c>
      <c r="T80" s="28">
        <f>SUMIFS(Positivação!R:R,Positivação!$I:$I,Faturamento!$J80,Positivação!$G:$G,Faturamento!$H80)*SUMIFS(Positivação!$Z:$Z,Positivação!$I:$I,Faturamento!$J80,Positivação!$G:$G,Faturamento!$H80)</f>
        <v>3000</v>
      </c>
      <c r="U80" s="28">
        <f>SUMIFS(Positivação!S:S,Positivação!$I:$I,Faturamento!$J80,Positivação!$G:$G,Faturamento!$H80)*SUMIFS(Positivação!$Z:$Z,Positivação!$I:$I,Faturamento!$J80,Positivação!$G:$G,Faturamento!$H80)</f>
        <v>3000</v>
      </c>
      <c r="V80" s="28">
        <f>SUMIFS(Positivação!T:T,Positivação!$I:$I,Faturamento!$J80,Positivação!$G:$G,Faturamento!$H80)*SUMIFS(Positivação!$Z:$Z,Positivação!$I:$I,Faturamento!$J80,Positivação!$G:$G,Faturamento!$H80)</f>
        <v>3000</v>
      </c>
      <c r="W80" s="28">
        <f>SUMIFS(Positivação!U:U,Positivação!$I:$I,Faturamento!$J80,Positivação!$G:$G,Faturamento!$H80)*SUMIFS(Positivação!$Z:$Z,Positivação!$I:$I,Faturamento!$J80,Positivação!$G:$G,Faturamento!$H80)</f>
        <v>3000</v>
      </c>
      <c r="X80" s="28">
        <f>SUMIFS(Positivação!V:V,Positivação!$I:$I,Faturamento!$J80,Positivação!$G:$G,Faturamento!$H80)*SUMIFS(Positivação!$Z:$Z,Positivação!$I:$I,Faturamento!$J80,Positivação!$G:$G,Faturamento!$H80)</f>
        <v>3000</v>
      </c>
      <c r="Y80" s="28">
        <f>SUMIFS(Positivação!W:W,Positivação!$I:$I,Faturamento!$J80,Positivação!$G:$G,Faturamento!$H80)*SUMIFS(Positivação!$Z:$Z,Positivação!$I:$I,Faturamento!$J80,Positivação!$G:$G,Faturamento!$H80)</f>
        <v>3000</v>
      </c>
      <c r="Z80" s="28">
        <f t="shared" ref="Z80" si="22">SUM(Z81:Z98)</f>
        <v>36000</v>
      </c>
      <c r="AA80" s="29"/>
      <c r="AB80" s="28">
        <f t="shared" ref="AB80:AE80" si="23">SUM(AB81:AB98)</f>
        <v>0</v>
      </c>
      <c r="AC80" s="28">
        <f t="shared" si="23"/>
        <v>2035.9716666666668</v>
      </c>
      <c r="AD80" s="28">
        <f t="shared" si="23"/>
        <v>4071.9433333333336</v>
      </c>
      <c r="AE80" s="28">
        <f t="shared" si="23"/>
        <v>2443.1660000000002</v>
      </c>
      <c r="AG80" s="24">
        <f t="shared" si="16"/>
        <v>1</v>
      </c>
      <c r="AH80" s="24">
        <f t="shared" si="17"/>
        <v>0.32134277777777775</v>
      </c>
      <c r="AI80" s="24">
        <f t="shared" si="18"/>
        <v>-0.35731444444444455</v>
      </c>
    </row>
    <row r="81" spans="1:35" hidden="1" x14ac:dyDescent="0.3">
      <c r="A81" s="2" t="str">
        <f t="shared" si="20"/>
        <v>NÃO</v>
      </c>
      <c r="B81" s="2">
        <v>1000184670</v>
      </c>
      <c r="C81" s="2" t="s">
        <v>147</v>
      </c>
      <c r="D81" s="4">
        <v>1000186198</v>
      </c>
      <c r="E81" s="4" t="s">
        <v>168</v>
      </c>
      <c r="F81" s="2">
        <v>1000185288</v>
      </c>
      <c r="G81" s="2" t="s">
        <v>64</v>
      </c>
      <c r="H81" s="4">
        <v>1000189803</v>
      </c>
      <c r="I81" s="4" t="s">
        <v>97</v>
      </c>
      <c r="J81" s="2">
        <v>1000189754</v>
      </c>
      <c r="K81" s="2" t="s">
        <v>157</v>
      </c>
      <c r="L81" s="4" t="s">
        <v>13</v>
      </c>
      <c r="M81" s="4" t="str">
        <f t="shared" si="21"/>
        <v>1000184670100018619810001898031000189754BISCOITO</v>
      </c>
      <c r="N81" s="28">
        <f>N80*_xlfn.XLOOKUP($L81,'Balizador da Meta'!$B$4:$B$21,'Balizador da Meta'!$C$4:$C$21)</f>
        <v>210.00000000000003</v>
      </c>
      <c r="O81" s="28">
        <f>O80*_xlfn.XLOOKUP($L81,'Balizador da Meta'!$B$4:$B$21,'Balizador da Meta'!$C$4:$C$21)</f>
        <v>210.00000000000003</v>
      </c>
      <c r="P81" s="28">
        <f>P80*_xlfn.XLOOKUP($L81,'Balizador da Meta'!$B$4:$B$21,'Balizador da Meta'!$C$4:$C$21)</f>
        <v>210.00000000000003</v>
      </c>
      <c r="Q81" s="28">
        <f>Q80*_xlfn.XLOOKUP($L81,'Balizador da Meta'!$B$4:$B$21,'Balizador da Meta'!$C$4:$C$21)</f>
        <v>210.00000000000003</v>
      </c>
      <c r="R81" s="28">
        <f>R80*_xlfn.XLOOKUP($L81,'Balizador da Meta'!$B$4:$B$21,'Balizador da Meta'!$C$4:$C$21)</f>
        <v>210.00000000000003</v>
      </c>
      <c r="S81" s="28">
        <f>S80*_xlfn.XLOOKUP($L81,'Balizador da Meta'!$B$4:$B$21,'Balizador da Meta'!$C$4:$C$21)</f>
        <v>210.00000000000003</v>
      </c>
      <c r="T81" s="28">
        <f>T80*_xlfn.XLOOKUP($L81,'Balizador da Meta'!$B$4:$B$21,'Balizador da Meta'!$C$4:$C$21)</f>
        <v>210.00000000000003</v>
      </c>
      <c r="U81" s="28">
        <f>U80*_xlfn.XLOOKUP($L81,'Balizador da Meta'!$B$4:$B$21,'Balizador da Meta'!$C$4:$C$21)</f>
        <v>210.00000000000003</v>
      </c>
      <c r="V81" s="28">
        <f>V80*_xlfn.XLOOKUP($L81,'Balizador da Meta'!$B$4:$B$21,'Balizador da Meta'!$C$4:$C$21)</f>
        <v>210.00000000000003</v>
      </c>
      <c r="W81" s="28">
        <f>W80*_xlfn.XLOOKUP($L81,'Balizador da Meta'!$B$4:$B$21,'Balizador da Meta'!$C$4:$C$21)</f>
        <v>210.00000000000003</v>
      </c>
      <c r="X81" s="28">
        <f>X80*_xlfn.XLOOKUP($L81,'Balizador da Meta'!$B$4:$B$21,'Balizador da Meta'!$C$4:$C$21)</f>
        <v>210.00000000000003</v>
      </c>
      <c r="Y81" s="28">
        <f>Y80*_xlfn.XLOOKUP($L81,'Balizador da Meta'!$B$4:$B$21,'Balizador da Meta'!$C$4:$C$21)</f>
        <v>210.00000000000003</v>
      </c>
      <c r="Z81" s="30">
        <f t="shared" ref="Z81:Z98" si="24">SUM(N81:Y81)</f>
        <v>2520.0000000000005</v>
      </c>
      <c r="AA81" s="29"/>
      <c r="AB81" s="31">
        <f>SUMIFS('Historico - FAT'!AK:AK,'Historico - FAT'!$K:$K,Faturamento!$L81,'Historico - FAT'!$I:$I,Faturamento!$J81,'Historico - FAT'!$G:$G,Faturamento!$H81)</f>
        <v>0</v>
      </c>
      <c r="AC81" s="31">
        <f>SUMIFS('Historico - FAT'!AL:AL,'Historico - FAT'!$K:$K,Faturamento!$L81,'Historico - FAT'!$I:$I,Faturamento!$J81,'Historico - FAT'!$G:$G,Faturamento!$H81)</f>
        <v>0</v>
      </c>
      <c r="AD81" s="31">
        <f>SUMIFS('Historico - FAT'!AM:AM,'Historico - FAT'!$K:$K,Faturamento!$L81,'Historico - FAT'!$I:$I,Faturamento!$J81,'Historico - FAT'!$G:$G,Faturamento!$H81)</f>
        <v>0</v>
      </c>
      <c r="AE81" s="27">
        <f>SUMIFS('Historico - FAT'!AN:AN,'Historico - FAT'!$K:$K,Faturamento!$L81,'Historico - FAT'!$I:$I,Faturamento!$J81,'Historico - FAT'!$G:$G,Faturamento!$H81)</f>
        <v>0</v>
      </c>
      <c r="AG81" s="24">
        <f t="shared" si="16"/>
        <v>1</v>
      </c>
      <c r="AH81" s="24">
        <f t="shared" si="17"/>
        <v>1</v>
      </c>
      <c r="AI81" s="24">
        <f t="shared" si="18"/>
        <v>1</v>
      </c>
    </row>
    <row r="82" spans="1:35" hidden="1" x14ac:dyDescent="0.3">
      <c r="A82" s="2" t="str">
        <f t="shared" si="20"/>
        <v>NÃO</v>
      </c>
      <c r="B82" s="2">
        <v>1000184670</v>
      </c>
      <c r="C82" s="2" t="s">
        <v>147</v>
      </c>
      <c r="D82" s="4">
        <v>1000186198</v>
      </c>
      <c r="E82" s="4" t="s">
        <v>168</v>
      </c>
      <c r="F82" s="2">
        <v>1000185288</v>
      </c>
      <c r="G82" s="2" t="s">
        <v>64</v>
      </c>
      <c r="H82" s="4">
        <v>1000189803</v>
      </c>
      <c r="I82" s="4" t="s">
        <v>97</v>
      </c>
      <c r="J82" s="2">
        <v>1000189754</v>
      </c>
      <c r="K82" s="2" t="s">
        <v>157</v>
      </c>
      <c r="L82" s="4" t="s">
        <v>14</v>
      </c>
      <c r="M82" s="4" t="str">
        <f t="shared" si="21"/>
        <v>1000184670100018619810001898031000189754CHOCOLATES</v>
      </c>
      <c r="N82" s="28">
        <f>N80*_xlfn.XLOOKUP($L82,'Balizador da Meta'!$B$4:$B$21,'Balizador da Meta'!$C$4:$C$21)</f>
        <v>210.00000000000003</v>
      </c>
      <c r="O82" s="28">
        <f>O80*_xlfn.XLOOKUP($L82,'Balizador da Meta'!$B$4:$B$21,'Balizador da Meta'!$C$4:$C$21)</f>
        <v>210.00000000000003</v>
      </c>
      <c r="P82" s="28">
        <f>P80*_xlfn.XLOOKUP($L82,'Balizador da Meta'!$B$4:$B$21,'Balizador da Meta'!$C$4:$C$21)</f>
        <v>210.00000000000003</v>
      </c>
      <c r="Q82" s="28">
        <f>Q80*_xlfn.XLOOKUP($L82,'Balizador da Meta'!$B$4:$B$21,'Balizador da Meta'!$C$4:$C$21)</f>
        <v>210.00000000000003</v>
      </c>
      <c r="R82" s="28">
        <f>R80*_xlfn.XLOOKUP($L82,'Balizador da Meta'!$B$4:$B$21,'Balizador da Meta'!$C$4:$C$21)</f>
        <v>210.00000000000003</v>
      </c>
      <c r="S82" s="28">
        <f>S80*_xlfn.XLOOKUP($L82,'Balizador da Meta'!$B$4:$B$21,'Balizador da Meta'!$C$4:$C$21)</f>
        <v>210.00000000000003</v>
      </c>
      <c r="T82" s="28">
        <f>T80*_xlfn.XLOOKUP($L82,'Balizador da Meta'!$B$4:$B$21,'Balizador da Meta'!$C$4:$C$21)</f>
        <v>210.00000000000003</v>
      </c>
      <c r="U82" s="28">
        <f>U80*_xlfn.XLOOKUP($L82,'Balizador da Meta'!$B$4:$B$21,'Balizador da Meta'!$C$4:$C$21)</f>
        <v>210.00000000000003</v>
      </c>
      <c r="V82" s="28">
        <f>V80*_xlfn.XLOOKUP($L82,'Balizador da Meta'!$B$4:$B$21,'Balizador da Meta'!$C$4:$C$21)</f>
        <v>210.00000000000003</v>
      </c>
      <c r="W82" s="28">
        <f>W80*_xlfn.XLOOKUP($L82,'Balizador da Meta'!$B$4:$B$21,'Balizador da Meta'!$C$4:$C$21)</f>
        <v>210.00000000000003</v>
      </c>
      <c r="X82" s="28">
        <f>X80*_xlfn.XLOOKUP($L82,'Balizador da Meta'!$B$4:$B$21,'Balizador da Meta'!$C$4:$C$21)</f>
        <v>210.00000000000003</v>
      </c>
      <c r="Y82" s="28">
        <f>Y80*_xlfn.XLOOKUP($L82,'Balizador da Meta'!$B$4:$B$21,'Balizador da Meta'!$C$4:$C$21)</f>
        <v>210.00000000000003</v>
      </c>
      <c r="Z82" s="30">
        <f t="shared" si="24"/>
        <v>2520.0000000000005</v>
      </c>
      <c r="AA82" s="29"/>
      <c r="AB82" s="31">
        <f>SUMIFS('Historico - FAT'!AK:AK,'Historico - FAT'!$K:$K,Faturamento!$L82,'Historico - FAT'!$I:$I,Faturamento!$J82,'Historico - FAT'!$G:$G,Faturamento!$H82)</f>
        <v>0</v>
      </c>
      <c r="AC82" s="31">
        <f>SUMIFS('Historico - FAT'!AL:AL,'Historico - FAT'!$K:$K,Faturamento!$L82,'Historico - FAT'!$I:$I,Faturamento!$J82,'Historico - FAT'!$G:$G,Faturamento!$H82)</f>
        <v>117.34333333333332</v>
      </c>
      <c r="AD82" s="31">
        <f>SUMIFS('Historico - FAT'!AM:AM,'Historico - FAT'!$K:$K,Faturamento!$L82,'Historico - FAT'!$I:$I,Faturamento!$J82,'Historico - FAT'!$G:$G,Faturamento!$H82)</f>
        <v>234.68666666666664</v>
      </c>
      <c r="AE82" s="27">
        <f>SUMIFS('Historico - FAT'!AN:AN,'Historico - FAT'!$K:$K,Faturamento!$L82,'Historico - FAT'!$I:$I,Faturamento!$J82,'Historico - FAT'!$G:$G,Faturamento!$H82)</f>
        <v>140.81199999999998</v>
      </c>
      <c r="AG82" s="24">
        <f t="shared" si="16"/>
        <v>1</v>
      </c>
      <c r="AH82" s="24">
        <f t="shared" si="17"/>
        <v>0.44122222222222235</v>
      </c>
      <c r="AI82" s="24">
        <f t="shared" si="18"/>
        <v>-0.11755555555555527</v>
      </c>
    </row>
    <row r="83" spans="1:35" hidden="1" x14ac:dyDescent="0.3">
      <c r="A83" s="2" t="str">
        <f t="shared" si="20"/>
        <v>NÃO</v>
      </c>
      <c r="B83" s="2">
        <v>1000184670</v>
      </c>
      <c r="C83" s="2" t="s">
        <v>147</v>
      </c>
      <c r="D83" s="4">
        <v>1000186198</v>
      </c>
      <c r="E83" s="4" t="s">
        <v>168</v>
      </c>
      <c r="F83" s="2">
        <v>1000185288</v>
      </c>
      <c r="G83" s="2" t="s">
        <v>64</v>
      </c>
      <c r="H83" s="4">
        <v>1000189803</v>
      </c>
      <c r="I83" s="4" t="s">
        <v>97</v>
      </c>
      <c r="J83" s="2">
        <v>1000189754</v>
      </c>
      <c r="K83" s="2" t="s">
        <v>157</v>
      </c>
      <c r="L83" s="4" t="s">
        <v>16</v>
      </c>
      <c r="M83" s="4" t="str">
        <f t="shared" si="21"/>
        <v>1000184670100018619810001898031000189754DISNEY</v>
      </c>
      <c r="N83" s="28">
        <f>N80*_xlfn.XLOOKUP($L83,'Balizador da Meta'!$B$4:$B$21,'Balizador da Meta'!$C$4:$C$21)</f>
        <v>240</v>
      </c>
      <c r="O83" s="28">
        <f>O80*_xlfn.XLOOKUP($L83,'Balizador da Meta'!$B$4:$B$21,'Balizador da Meta'!$C$4:$C$21)</f>
        <v>240</v>
      </c>
      <c r="P83" s="28">
        <f>P80*_xlfn.XLOOKUP($L83,'Balizador da Meta'!$B$4:$B$21,'Balizador da Meta'!$C$4:$C$21)</f>
        <v>240</v>
      </c>
      <c r="Q83" s="28">
        <f>Q80*_xlfn.XLOOKUP($L83,'Balizador da Meta'!$B$4:$B$21,'Balizador da Meta'!$C$4:$C$21)</f>
        <v>240</v>
      </c>
      <c r="R83" s="28">
        <f>R80*_xlfn.XLOOKUP($L83,'Balizador da Meta'!$B$4:$B$21,'Balizador da Meta'!$C$4:$C$21)</f>
        <v>240</v>
      </c>
      <c r="S83" s="28">
        <f>S80*_xlfn.XLOOKUP($L83,'Balizador da Meta'!$B$4:$B$21,'Balizador da Meta'!$C$4:$C$21)</f>
        <v>240</v>
      </c>
      <c r="T83" s="28">
        <f>T80*_xlfn.XLOOKUP($L83,'Balizador da Meta'!$B$4:$B$21,'Balizador da Meta'!$C$4:$C$21)</f>
        <v>240</v>
      </c>
      <c r="U83" s="28">
        <f>U80*_xlfn.XLOOKUP($L83,'Balizador da Meta'!$B$4:$B$21,'Balizador da Meta'!$C$4:$C$21)</f>
        <v>240</v>
      </c>
      <c r="V83" s="28">
        <f>V80*_xlfn.XLOOKUP($L83,'Balizador da Meta'!$B$4:$B$21,'Balizador da Meta'!$C$4:$C$21)</f>
        <v>240</v>
      </c>
      <c r="W83" s="28">
        <f>W80*_xlfn.XLOOKUP($L83,'Balizador da Meta'!$B$4:$B$21,'Balizador da Meta'!$C$4:$C$21)</f>
        <v>240</v>
      </c>
      <c r="X83" s="28">
        <f>X80*_xlfn.XLOOKUP($L83,'Balizador da Meta'!$B$4:$B$21,'Balizador da Meta'!$C$4:$C$21)</f>
        <v>240</v>
      </c>
      <c r="Y83" s="28">
        <f>Y80*_xlfn.XLOOKUP($L83,'Balizador da Meta'!$B$4:$B$21,'Balizador da Meta'!$C$4:$C$21)</f>
        <v>240</v>
      </c>
      <c r="Z83" s="30">
        <f t="shared" si="24"/>
        <v>2880</v>
      </c>
      <c r="AA83" s="29"/>
      <c r="AB83" s="31">
        <f>SUMIFS('Historico - FAT'!AK:AK,'Historico - FAT'!$K:$K,Faturamento!$L83,'Historico - FAT'!$I:$I,Faturamento!$J83,'Historico - FAT'!$G:$G,Faturamento!$H83)</f>
        <v>0</v>
      </c>
      <c r="AC83" s="31">
        <f>SUMIFS('Historico - FAT'!AL:AL,'Historico - FAT'!$K:$K,Faturamento!$L83,'Historico - FAT'!$I:$I,Faturamento!$J83,'Historico - FAT'!$G:$G,Faturamento!$H83)</f>
        <v>69.432500000000005</v>
      </c>
      <c r="AD83" s="31">
        <f>SUMIFS('Historico - FAT'!AM:AM,'Historico - FAT'!$K:$K,Faturamento!$L83,'Historico - FAT'!$I:$I,Faturamento!$J83,'Historico - FAT'!$G:$G,Faturamento!$H83)</f>
        <v>138.86500000000001</v>
      </c>
      <c r="AE83" s="27">
        <f>SUMIFS('Historico - FAT'!AN:AN,'Historico - FAT'!$K:$K,Faturamento!$L83,'Historico - FAT'!$I:$I,Faturamento!$J83,'Historico - FAT'!$G:$G,Faturamento!$H83)</f>
        <v>83.319000000000003</v>
      </c>
      <c r="AG83" s="24">
        <f t="shared" si="16"/>
        <v>1</v>
      </c>
      <c r="AH83" s="24">
        <f t="shared" si="17"/>
        <v>0.7106979166666666</v>
      </c>
      <c r="AI83" s="24">
        <f t="shared" si="18"/>
        <v>0.4213958333333333</v>
      </c>
    </row>
    <row r="84" spans="1:35" hidden="1" x14ac:dyDescent="0.3">
      <c r="A84" s="2" t="str">
        <f t="shared" si="20"/>
        <v>NÃO</v>
      </c>
      <c r="B84" s="2">
        <v>1000184670</v>
      </c>
      <c r="C84" s="2" t="s">
        <v>147</v>
      </c>
      <c r="D84" s="4">
        <v>1000186198</v>
      </c>
      <c r="E84" s="4" t="s">
        <v>168</v>
      </c>
      <c r="F84" s="2">
        <v>1000185288</v>
      </c>
      <c r="G84" s="2" t="s">
        <v>64</v>
      </c>
      <c r="H84" s="4">
        <v>1000189803</v>
      </c>
      <c r="I84" s="4" t="s">
        <v>97</v>
      </c>
      <c r="J84" s="2">
        <v>1000189754</v>
      </c>
      <c r="K84" s="2" t="s">
        <v>157</v>
      </c>
      <c r="L84" s="4" t="s">
        <v>15</v>
      </c>
      <c r="M84" s="4" t="str">
        <f t="shared" si="21"/>
        <v>1000184670100018619810001898031000189754DOCES</v>
      </c>
      <c r="N84" s="28">
        <f>N80*_xlfn.XLOOKUP($L84,'Balizador da Meta'!$B$4:$B$21,'Balizador da Meta'!$C$4:$C$21)</f>
        <v>270</v>
      </c>
      <c r="O84" s="28">
        <f>O80*_xlfn.XLOOKUP($L84,'Balizador da Meta'!$B$4:$B$21,'Balizador da Meta'!$C$4:$C$21)</f>
        <v>270</v>
      </c>
      <c r="P84" s="28">
        <f>P80*_xlfn.XLOOKUP($L84,'Balizador da Meta'!$B$4:$B$21,'Balizador da Meta'!$C$4:$C$21)</f>
        <v>270</v>
      </c>
      <c r="Q84" s="28">
        <f>Q80*_xlfn.XLOOKUP($L84,'Balizador da Meta'!$B$4:$B$21,'Balizador da Meta'!$C$4:$C$21)</f>
        <v>270</v>
      </c>
      <c r="R84" s="28">
        <f>R80*_xlfn.XLOOKUP($L84,'Balizador da Meta'!$B$4:$B$21,'Balizador da Meta'!$C$4:$C$21)</f>
        <v>270</v>
      </c>
      <c r="S84" s="28">
        <f>S80*_xlfn.XLOOKUP($L84,'Balizador da Meta'!$B$4:$B$21,'Balizador da Meta'!$C$4:$C$21)</f>
        <v>270</v>
      </c>
      <c r="T84" s="28">
        <f>T80*_xlfn.XLOOKUP($L84,'Balizador da Meta'!$B$4:$B$21,'Balizador da Meta'!$C$4:$C$21)</f>
        <v>270</v>
      </c>
      <c r="U84" s="28">
        <f>U80*_xlfn.XLOOKUP($L84,'Balizador da Meta'!$B$4:$B$21,'Balizador da Meta'!$C$4:$C$21)</f>
        <v>270</v>
      </c>
      <c r="V84" s="28">
        <f>V80*_xlfn.XLOOKUP($L84,'Balizador da Meta'!$B$4:$B$21,'Balizador da Meta'!$C$4:$C$21)</f>
        <v>270</v>
      </c>
      <c r="W84" s="28">
        <f>W80*_xlfn.XLOOKUP($L84,'Balizador da Meta'!$B$4:$B$21,'Balizador da Meta'!$C$4:$C$21)</f>
        <v>270</v>
      </c>
      <c r="X84" s="28">
        <f>X80*_xlfn.XLOOKUP($L84,'Balizador da Meta'!$B$4:$B$21,'Balizador da Meta'!$C$4:$C$21)</f>
        <v>270</v>
      </c>
      <c r="Y84" s="28">
        <f>Y80*_xlfn.XLOOKUP($L84,'Balizador da Meta'!$B$4:$B$21,'Balizador da Meta'!$C$4:$C$21)</f>
        <v>270</v>
      </c>
      <c r="Z84" s="30">
        <f t="shared" si="24"/>
        <v>3240</v>
      </c>
      <c r="AA84" s="29"/>
      <c r="AB84" s="31">
        <f>SUMIFS('Historico - FAT'!AK:AK,'Historico - FAT'!$K:$K,Faturamento!$L84,'Historico - FAT'!$I:$I,Faturamento!$J84,'Historico - FAT'!$G:$G,Faturamento!$H84)</f>
        <v>0</v>
      </c>
      <c r="AC84" s="31">
        <f>SUMIFS('Historico - FAT'!AL:AL,'Historico - FAT'!$K:$K,Faturamento!$L84,'Historico - FAT'!$I:$I,Faturamento!$J84,'Historico - FAT'!$G:$G,Faturamento!$H84)</f>
        <v>0</v>
      </c>
      <c r="AD84" s="31">
        <f>SUMIFS('Historico - FAT'!AM:AM,'Historico - FAT'!$K:$K,Faturamento!$L84,'Historico - FAT'!$I:$I,Faturamento!$J84,'Historico - FAT'!$G:$G,Faturamento!$H84)</f>
        <v>0</v>
      </c>
      <c r="AE84" s="27">
        <f>SUMIFS('Historico - FAT'!AN:AN,'Historico - FAT'!$K:$K,Faturamento!$L84,'Historico - FAT'!$I:$I,Faturamento!$J84,'Historico - FAT'!$G:$G,Faturamento!$H84)</f>
        <v>0</v>
      </c>
      <c r="AG84" s="24">
        <f t="shared" si="16"/>
        <v>1</v>
      </c>
      <c r="AH84" s="24">
        <f t="shared" si="17"/>
        <v>1</v>
      </c>
      <c r="AI84" s="24">
        <f t="shared" si="18"/>
        <v>1</v>
      </c>
    </row>
    <row r="85" spans="1:35" hidden="1" x14ac:dyDescent="0.3">
      <c r="A85" s="2" t="str">
        <f t="shared" si="20"/>
        <v>NÃO</v>
      </c>
      <c r="B85" s="2">
        <v>1000184670</v>
      </c>
      <c r="C85" s="2" t="s">
        <v>147</v>
      </c>
      <c r="D85" s="4">
        <v>1000186198</v>
      </c>
      <c r="E85" s="4" t="s">
        <v>168</v>
      </c>
      <c r="F85" s="2">
        <v>1000185288</v>
      </c>
      <c r="G85" s="2" t="s">
        <v>64</v>
      </c>
      <c r="H85" s="4">
        <v>1000189803</v>
      </c>
      <c r="I85" s="4" t="s">
        <v>97</v>
      </c>
      <c r="J85" s="2">
        <v>1000189754</v>
      </c>
      <c r="K85" s="2" t="s">
        <v>157</v>
      </c>
      <c r="L85" s="4" t="s">
        <v>33</v>
      </c>
      <c r="M85" s="4" t="str">
        <f t="shared" si="21"/>
        <v>1000184670100018619810001898031000189754FOOD SERVICE</v>
      </c>
      <c r="N85" s="28">
        <f>N80*_xlfn.XLOOKUP($L85,'Balizador da Meta'!$B$4:$B$21,'Balizador da Meta'!$C$4:$C$21)</f>
        <v>0</v>
      </c>
      <c r="O85" s="28">
        <f>O80*_xlfn.XLOOKUP($L85,'Balizador da Meta'!$B$4:$B$21,'Balizador da Meta'!$C$4:$C$21)</f>
        <v>0</v>
      </c>
      <c r="P85" s="28">
        <f>P80*_xlfn.XLOOKUP($L85,'Balizador da Meta'!$B$4:$B$21,'Balizador da Meta'!$C$4:$C$21)</f>
        <v>0</v>
      </c>
      <c r="Q85" s="28">
        <f>Q80*_xlfn.XLOOKUP($L85,'Balizador da Meta'!$B$4:$B$21,'Balizador da Meta'!$C$4:$C$21)</f>
        <v>0</v>
      </c>
      <c r="R85" s="28">
        <f>R80*_xlfn.XLOOKUP($L85,'Balizador da Meta'!$B$4:$B$21,'Balizador da Meta'!$C$4:$C$21)</f>
        <v>0</v>
      </c>
      <c r="S85" s="28">
        <f>S80*_xlfn.XLOOKUP($L85,'Balizador da Meta'!$B$4:$B$21,'Balizador da Meta'!$C$4:$C$21)</f>
        <v>0</v>
      </c>
      <c r="T85" s="28">
        <f>T80*_xlfn.XLOOKUP($L85,'Balizador da Meta'!$B$4:$B$21,'Balizador da Meta'!$C$4:$C$21)</f>
        <v>0</v>
      </c>
      <c r="U85" s="28">
        <f>U80*_xlfn.XLOOKUP($L85,'Balizador da Meta'!$B$4:$B$21,'Balizador da Meta'!$C$4:$C$21)</f>
        <v>0</v>
      </c>
      <c r="V85" s="28">
        <f>V80*_xlfn.XLOOKUP($L85,'Balizador da Meta'!$B$4:$B$21,'Balizador da Meta'!$C$4:$C$21)</f>
        <v>0</v>
      </c>
      <c r="W85" s="28">
        <f>W80*_xlfn.XLOOKUP($L85,'Balizador da Meta'!$B$4:$B$21,'Balizador da Meta'!$C$4:$C$21)</f>
        <v>0</v>
      </c>
      <c r="X85" s="28">
        <f>X80*_xlfn.XLOOKUP($L85,'Balizador da Meta'!$B$4:$B$21,'Balizador da Meta'!$C$4:$C$21)</f>
        <v>0</v>
      </c>
      <c r="Y85" s="28">
        <f>Y80*_xlfn.XLOOKUP($L85,'Balizador da Meta'!$B$4:$B$21,'Balizador da Meta'!$C$4:$C$21)</f>
        <v>0</v>
      </c>
      <c r="Z85" s="30">
        <f t="shared" si="24"/>
        <v>0</v>
      </c>
      <c r="AA85" s="29"/>
      <c r="AB85" s="31">
        <f>SUMIFS('Historico - FAT'!AK:AK,'Historico - FAT'!$K:$K,Faturamento!$L85,'Historico - FAT'!$I:$I,Faturamento!$J85,'Historico - FAT'!$G:$G,Faturamento!$H85)</f>
        <v>0</v>
      </c>
      <c r="AC85" s="31">
        <f>SUMIFS('Historico - FAT'!AL:AL,'Historico - FAT'!$K:$K,Faturamento!$L85,'Historico - FAT'!$I:$I,Faturamento!$J85,'Historico - FAT'!$G:$G,Faturamento!$H85)</f>
        <v>0</v>
      </c>
      <c r="AD85" s="31">
        <f>SUMIFS('Historico - FAT'!AM:AM,'Historico - FAT'!$K:$K,Faturamento!$L85,'Historico - FAT'!$I:$I,Faturamento!$J85,'Historico - FAT'!$G:$G,Faturamento!$H85)</f>
        <v>0</v>
      </c>
      <c r="AE85" s="27">
        <f>SUMIFS('Historico - FAT'!AN:AN,'Historico - FAT'!$K:$K,Faturamento!$L85,'Historico - FAT'!$I:$I,Faturamento!$J85,'Historico - FAT'!$G:$G,Faturamento!$H85)</f>
        <v>0</v>
      </c>
      <c r="AG85" s="24" t="str">
        <f t="shared" si="16"/>
        <v/>
      </c>
      <c r="AH85" s="24" t="str">
        <f t="shared" si="17"/>
        <v/>
      </c>
      <c r="AI85" s="24" t="str">
        <f t="shared" si="18"/>
        <v/>
      </c>
    </row>
    <row r="86" spans="1:35" hidden="1" x14ac:dyDescent="0.3">
      <c r="A86" s="2" t="str">
        <f t="shared" si="20"/>
        <v>NÃO</v>
      </c>
      <c r="B86" s="2">
        <v>1000184670</v>
      </c>
      <c r="C86" s="2" t="s">
        <v>147</v>
      </c>
      <c r="D86" s="4">
        <v>1000186198</v>
      </c>
      <c r="E86" s="4" t="s">
        <v>168</v>
      </c>
      <c r="F86" s="2">
        <v>1000185288</v>
      </c>
      <c r="G86" s="2" t="s">
        <v>64</v>
      </c>
      <c r="H86" s="4">
        <v>1000189803</v>
      </c>
      <c r="I86" s="4" t="s">
        <v>97</v>
      </c>
      <c r="J86" s="2">
        <v>1000189754</v>
      </c>
      <c r="K86" s="2" t="s">
        <v>157</v>
      </c>
      <c r="L86" s="4" t="s">
        <v>19</v>
      </c>
      <c r="M86" s="4" t="str">
        <f t="shared" si="21"/>
        <v>1000184670100018619810001898031000189754GELEIA</v>
      </c>
      <c r="N86" s="28">
        <f>N80*_xlfn.XLOOKUP($L86,'Balizador da Meta'!$B$4:$B$21,'Balizador da Meta'!$C$4:$C$21)</f>
        <v>59.999999999999993</v>
      </c>
      <c r="O86" s="28">
        <f>O80*_xlfn.XLOOKUP($L86,'Balizador da Meta'!$B$4:$B$21,'Balizador da Meta'!$C$4:$C$21)</f>
        <v>59.999999999999993</v>
      </c>
      <c r="P86" s="28">
        <f>P80*_xlfn.XLOOKUP($L86,'Balizador da Meta'!$B$4:$B$21,'Balizador da Meta'!$C$4:$C$21)</f>
        <v>59.999999999999993</v>
      </c>
      <c r="Q86" s="28">
        <f>Q80*_xlfn.XLOOKUP($L86,'Balizador da Meta'!$B$4:$B$21,'Balizador da Meta'!$C$4:$C$21)</f>
        <v>59.999999999999993</v>
      </c>
      <c r="R86" s="28">
        <f>R80*_xlfn.XLOOKUP($L86,'Balizador da Meta'!$B$4:$B$21,'Balizador da Meta'!$C$4:$C$21)</f>
        <v>59.999999999999993</v>
      </c>
      <c r="S86" s="28">
        <f>S80*_xlfn.XLOOKUP($L86,'Balizador da Meta'!$B$4:$B$21,'Balizador da Meta'!$C$4:$C$21)</f>
        <v>59.999999999999993</v>
      </c>
      <c r="T86" s="28">
        <f>T80*_xlfn.XLOOKUP($L86,'Balizador da Meta'!$B$4:$B$21,'Balizador da Meta'!$C$4:$C$21)</f>
        <v>59.999999999999993</v>
      </c>
      <c r="U86" s="28">
        <f>U80*_xlfn.XLOOKUP($L86,'Balizador da Meta'!$B$4:$B$21,'Balizador da Meta'!$C$4:$C$21)</f>
        <v>59.999999999999993</v>
      </c>
      <c r="V86" s="28">
        <f>V80*_xlfn.XLOOKUP($L86,'Balizador da Meta'!$B$4:$B$21,'Balizador da Meta'!$C$4:$C$21)</f>
        <v>59.999999999999993</v>
      </c>
      <c r="W86" s="28">
        <f>W80*_xlfn.XLOOKUP($L86,'Balizador da Meta'!$B$4:$B$21,'Balizador da Meta'!$C$4:$C$21)</f>
        <v>59.999999999999993</v>
      </c>
      <c r="X86" s="28">
        <f>X80*_xlfn.XLOOKUP($L86,'Balizador da Meta'!$B$4:$B$21,'Balizador da Meta'!$C$4:$C$21)</f>
        <v>59.999999999999993</v>
      </c>
      <c r="Y86" s="28">
        <f>Y80*_xlfn.XLOOKUP($L86,'Balizador da Meta'!$B$4:$B$21,'Balizador da Meta'!$C$4:$C$21)</f>
        <v>59.999999999999993</v>
      </c>
      <c r="Z86" s="30">
        <f t="shared" si="24"/>
        <v>719.99999999999989</v>
      </c>
      <c r="AA86" s="29"/>
      <c r="AB86" s="31">
        <f>SUMIFS('Historico - FAT'!AK:AK,'Historico - FAT'!$K:$K,Faturamento!$L86,'Historico - FAT'!$I:$I,Faturamento!$J86,'Historico - FAT'!$G:$G,Faturamento!$H86)</f>
        <v>0</v>
      </c>
      <c r="AC86" s="31">
        <f>SUMIFS('Historico - FAT'!AL:AL,'Historico - FAT'!$K:$K,Faturamento!$L86,'Historico - FAT'!$I:$I,Faturamento!$J86,'Historico - FAT'!$G:$G,Faturamento!$H86)</f>
        <v>0</v>
      </c>
      <c r="AD86" s="31">
        <f>SUMIFS('Historico - FAT'!AM:AM,'Historico - FAT'!$K:$K,Faturamento!$L86,'Historico - FAT'!$I:$I,Faturamento!$J86,'Historico - FAT'!$G:$G,Faturamento!$H86)</f>
        <v>0</v>
      </c>
      <c r="AE86" s="27">
        <f>SUMIFS('Historico - FAT'!AN:AN,'Historico - FAT'!$K:$K,Faturamento!$L86,'Historico - FAT'!$I:$I,Faturamento!$J86,'Historico - FAT'!$G:$G,Faturamento!$H86)</f>
        <v>0</v>
      </c>
      <c r="AG86" s="24">
        <f t="shared" si="16"/>
        <v>1</v>
      </c>
      <c r="AH86" s="24">
        <f t="shared" si="17"/>
        <v>1</v>
      </c>
      <c r="AI86" s="24">
        <f t="shared" si="18"/>
        <v>1</v>
      </c>
    </row>
    <row r="87" spans="1:35" hidden="1" x14ac:dyDescent="0.3">
      <c r="A87" s="2" t="str">
        <f t="shared" si="20"/>
        <v>NÃO</v>
      </c>
      <c r="B87" s="2">
        <v>1000184670</v>
      </c>
      <c r="C87" s="2" t="s">
        <v>147</v>
      </c>
      <c r="D87" s="4">
        <v>1000186198</v>
      </c>
      <c r="E87" s="4" t="s">
        <v>168</v>
      </c>
      <c r="F87" s="2">
        <v>1000185288</v>
      </c>
      <c r="G87" s="2" t="s">
        <v>64</v>
      </c>
      <c r="H87" s="4">
        <v>1000189803</v>
      </c>
      <c r="I87" s="4" t="s">
        <v>97</v>
      </c>
      <c r="J87" s="2">
        <v>1000189754</v>
      </c>
      <c r="K87" s="2" t="s">
        <v>157</v>
      </c>
      <c r="L87" s="4" t="s">
        <v>17</v>
      </c>
      <c r="M87" s="4" t="str">
        <f t="shared" si="21"/>
        <v>1000184670100018619810001898031000189754GRANOLA</v>
      </c>
      <c r="N87" s="28">
        <f>N80*_xlfn.XLOOKUP($L87,'Balizador da Meta'!$B$4:$B$21,'Balizador da Meta'!$C$4:$C$21)</f>
        <v>60</v>
      </c>
      <c r="O87" s="28">
        <f>O80*_xlfn.XLOOKUP($L87,'Balizador da Meta'!$B$4:$B$21,'Balizador da Meta'!$C$4:$C$21)</f>
        <v>60</v>
      </c>
      <c r="P87" s="28">
        <f>P80*_xlfn.XLOOKUP($L87,'Balizador da Meta'!$B$4:$B$21,'Balizador da Meta'!$C$4:$C$21)</f>
        <v>60</v>
      </c>
      <c r="Q87" s="28">
        <f>Q80*_xlfn.XLOOKUP($L87,'Balizador da Meta'!$B$4:$B$21,'Balizador da Meta'!$C$4:$C$21)</f>
        <v>60</v>
      </c>
      <c r="R87" s="28">
        <f>R80*_xlfn.XLOOKUP($L87,'Balizador da Meta'!$B$4:$B$21,'Balizador da Meta'!$C$4:$C$21)</f>
        <v>60</v>
      </c>
      <c r="S87" s="28">
        <f>S80*_xlfn.XLOOKUP($L87,'Balizador da Meta'!$B$4:$B$21,'Balizador da Meta'!$C$4:$C$21)</f>
        <v>60</v>
      </c>
      <c r="T87" s="28">
        <f>T80*_xlfn.XLOOKUP($L87,'Balizador da Meta'!$B$4:$B$21,'Balizador da Meta'!$C$4:$C$21)</f>
        <v>60</v>
      </c>
      <c r="U87" s="28">
        <f>U80*_xlfn.XLOOKUP($L87,'Balizador da Meta'!$B$4:$B$21,'Balizador da Meta'!$C$4:$C$21)</f>
        <v>60</v>
      </c>
      <c r="V87" s="28">
        <f>V80*_xlfn.XLOOKUP($L87,'Balizador da Meta'!$B$4:$B$21,'Balizador da Meta'!$C$4:$C$21)</f>
        <v>60</v>
      </c>
      <c r="W87" s="28">
        <f>W80*_xlfn.XLOOKUP($L87,'Balizador da Meta'!$B$4:$B$21,'Balizador da Meta'!$C$4:$C$21)</f>
        <v>60</v>
      </c>
      <c r="X87" s="28">
        <f>X80*_xlfn.XLOOKUP($L87,'Balizador da Meta'!$B$4:$B$21,'Balizador da Meta'!$C$4:$C$21)</f>
        <v>60</v>
      </c>
      <c r="Y87" s="28">
        <f>Y80*_xlfn.XLOOKUP($L87,'Balizador da Meta'!$B$4:$B$21,'Balizador da Meta'!$C$4:$C$21)</f>
        <v>60</v>
      </c>
      <c r="Z87" s="30">
        <f t="shared" si="24"/>
        <v>720</v>
      </c>
      <c r="AA87" s="29"/>
      <c r="AB87" s="31">
        <f>SUMIFS('Historico - FAT'!AK:AK,'Historico - FAT'!$K:$K,Faturamento!$L87,'Historico - FAT'!$I:$I,Faturamento!$J87,'Historico - FAT'!$G:$G,Faturamento!$H87)</f>
        <v>0</v>
      </c>
      <c r="AC87" s="31">
        <f>SUMIFS('Historico - FAT'!AL:AL,'Historico - FAT'!$K:$K,Faturamento!$L87,'Historico - FAT'!$I:$I,Faturamento!$J87,'Historico - FAT'!$G:$G,Faturamento!$H87)</f>
        <v>0</v>
      </c>
      <c r="AD87" s="31">
        <f>SUMIFS('Historico - FAT'!AM:AM,'Historico - FAT'!$K:$K,Faturamento!$L87,'Historico - FAT'!$I:$I,Faturamento!$J87,'Historico - FAT'!$G:$G,Faturamento!$H87)</f>
        <v>0</v>
      </c>
      <c r="AE87" s="27">
        <f>SUMIFS('Historico - FAT'!AN:AN,'Historico - FAT'!$K:$K,Faturamento!$L87,'Historico - FAT'!$I:$I,Faturamento!$J87,'Historico - FAT'!$G:$G,Faturamento!$H87)</f>
        <v>0</v>
      </c>
      <c r="AG87" s="24">
        <f t="shared" si="16"/>
        <v>1</v>
      </c>
      <c r="AH87" s="24">
        <f t="shared" si="17"/>
        <v>1</v>
      </c>
      <c r="AI87" s="24">
        <f t="shared" si="18"/>
        <v>1</v>
      </c>
    </row>
    <row r="88" spans="1:35" hidden="1" x14ac:dyDescent="0.3">
      <c r="A88" s="2" t="str">
        <f t="shared" si="20"/>
        <v>NÃO</v>
      </c>
      <c r="B88" s="2">
        <v>1000184670</v>
      </c>
      <c r="C88" s="2" t="s">
        <v>147</v>
      </c>
      <c r="D88" s="4">
        <v>1000186198</v>
      </c>
      <c r="E88" s="4" t="s">
        <v>168</v>
      </c>
      <c r="F88" s="2">
        <v>1000185288</v>
      </c>
      <c r="G88" s="2" t="s">
        <v>64</v>
      </c>
      <c r="H88" s="4">
        <v>1000189803</v>
      </c>
      <c r="I88" s="4" t="s">
        <v>97</v>
      </c>
      <c r="J88" s="2">
        <v>1000189754</v>
      </c>
      <c r="K88" s="2" t="s">
        <v>157</v>
      </c>
      <c r="L88" s="4" t="s">
        <v>24</v>
      </c>
      <c r="M88" s="4" t="str">
        <f t="shared" si="21"/>
        <v>1000184670100018619810001898031000189754KIDS</v>
      </c>
      <c r="N88" s="28">
        <f>N80*_xlfn.XLOOKUP($L88,'Balizador da Meta'!$B$4:$B$21,'Balizador da Meta'!$C$4:$C$21)</f>
        <v>0</v>
      </c>
      <c r="O88" s="28">
        <f>O80*_xlfn.XLOOKUP($L88,'Balizador da Meta'!$B$4:$B$21,'Balizador da Meta'!$C$4:$C$21)</f>
        <v>0</v>
      </c>
      <c r="P88" s="28">
        <f>P80*_xlfn.XLOOKUP($L88,'Balizador da Meta'!$B$4:$B$21,'Balizador da Meta'!$C$4:$C$21)</f>
        <v>0</v>
      </c>
      <c r="Q88" s="28">
        <f>Q80*_xlfn.XLOOKUP($L88,'Balizador da Meta'!$B$4:$B$21,'Balizador da Meta'!$C$4:$C$21)</f>
        <v>0</v>
      </c>
      <c r="R88" s="28">
        <f>R80*_xlfn.XLOOKUP($L88,'Balizador da Meta'!$B$4:$B$21,'Balizador da Meta'!$C$4:$C$21)</f>
        <v>0</v>
      </c>
      <c r="S88" s="28">
        <f>S80*_xlfn.XLOOKUP($L88,'Balizador da Meta'!$B$4:$B$21,'Balizador da Meta'!$C$4:$C$21)</f>
        <v>0</v>
      </c>
      <c r="T88" s="28">
        <f>T80*_xlfn.XLOOKUP($L88,'Balizador da Meta'!$B$4:$B$21,'Balizador da Meta'!$C$4:$C$21)</f>
        <v>0</v>
      </c>
      <c r="U88" s="28">
        <f>U80*_xlfn.XLOOKUP($L88,'Balizador da Meta'!$B$4:$B$21,'Balizador da Meta'!$C$4:$C$21)</f>
        <v>0</v>
      </c>
      <c r="V88" s="28">
        <f>V80*_xlfn.XLOOKUP($L88,'Balizador da Meta'!$B$4:$B$21,'Balizador da Meta'!$C$4:$C$21)</f>
        <v>0</v>
      </c>
      <c r="W88" s="28">
        <f>W80*_xlfn.XLOOKUP($L88,'Balizador da Meta'!$B$4:$B$21,'Balizador da Meta'!$C$4:$C$21)</f>
        <v>0</v>
      </c>
      <c r="X88" s="28">
        <f>X80*_xlfn.XLOOKUP($L88,'Balizador da Meta'!$B$4:$B$21,'Balizador da Meta'!$C$4:$C$21)</f>
        <v>0</v>
      </c>
      <c r="Y88" s="28">
        <f>Y80*_xlfn.XLOOKUP($L88,'Balizador da Meta'!$B$4:$B$21,'Balizador da Meta'!$C$4:$C$21)</f>
        <v>0</v>
      </c>
      <c r="Z88" s="30">
        <f t="shared" si="24"/>
        <v>0</v>
      </c>
      <c r="AA88" s="29"/>
      <c r="AB88" s="31">
        <f>SUMIFS('Historico - FAT'!AK:AK,'Historico - FAT'!$K:$K,Faturamento!$L88,'Historico - FAT'!$I:$I,Faturamento!$J88,'Historico - FAT'!$G:$G,Faturamento!$H88)</f>
        <v>0</v>
      </c>
      <c r="AC88" s="31">
        <f>SUMIFS('Historico - FAT'!AL:AL,'Historico - FAT'!$K:$K,Faturamento!$L88,'Historico - FAT'!$I:$I,Faturamento!$J88,'Historico - FAT'!$G:$G,Faturamento!$H88)</f>
        <v>0</v>
      </c>
      <c r="AD88" s="31">
        <f>SUMIFS('Historico - FAT'!AM:AM,'Historico - FAT'!$K:$K,Faturamento!$L88,'Historico - FAT'!$I:$I,Faturamento!$J88,'Historico - FAT'!$G:$G,Faturamento!$H88)</f>
        <v>0</v>
      </c>
      <c r="AE88" s="27">
        <f>SUMIFS('Historico - FAT'!AN:AN,'Historico - FAT'!$K:$K,Faturamento!$L88,'Historico - FAT'!$I:$I,Faturamento!$J88,'Historico - FAT'!$G:$G,Faturamento!$H88)</f>
        <v>0</v>
      </c>
      <c r="AG88" s="24" t="str">
        <f t="shared" si="16"/>
        <v/>
      </c>
      <c r="AH88" s="24" t="str">
        <f t="shared" si="17"/>
        <v/>
      </c>
      <c r="AI88" s="24" t="str">
        <f t="shared" si="18"/>
        <v/>
      </c>
    </row>
    <row r="89" spans="1:35" hidden="1" x14ac:dyDescent="0.3">
      <c r="A89" s="2" t="str">
        <f t="shared" si="20"/>
        <v>NÃO</v>
      </c>
      <c r="B89" s="2">
        <v>1000184670</v>
      </c>
      <c r="C89" s="2" t="s">
        <v>147</v>
      </c>
      <c r="D89" s="4">
        <v>1000186198</v>
      </c>
      <c r="E89" s="4" t="s">
        <v>168</v>
      </c>
      <c r="F89" s="2">
        <v>1000185288</v>
      </c>
      <c r="G89" s="2" t="s">
        <v>64</v>
      </c>
      <c r="H89" s="4">
        <v>1000189803</v>
      </c>
      <c r="I89" s="4" t="s">
        <v>97</v>
      </c>
      <c r="J89" s="2">
        <v>1000189754</v>
      </c>
      <c r="K89" s="2" t="s">
        <v>157</v>
      </c>
      <c r="L89" s="4" t="s">
        <v>18</v>
      </c>
      <c r="M89" s="4" t="str">
        <f t="shared" si="21"/>
        <v>1000184670100018619810001898031000189754LANCHES</v>
      </c>
      <c r="N89" s="28">
        <f>N80*_xlfn.XLOOKUP($L89,'Balizador da Meta'!$B$4:$B$21,'Balizador da Meta'!$C$4:$C$21)</f>
        <v>30</v>
      </c>
      <c r="O89" s="28">
        <f>O80*_xlfn.XLOOKUP($L89,'Balizador da Meta'!$B$4:$B$21,'Balizador da Meta'!$C$4:$C$21)</f>
        <v>30</v>
      </c>
      <c r="P89" s="28">
        <f>P80*_xlfn.XLOOKUP($L89,'Balizador da Meta'!$B$4:$B$21,'Balizador da Meta'!$C$4:$C$21)</f>
        <v>30</v>
      </c>
      <c r="Q89" s="28">
        <f>Q80*_xlfn.XLOOKUP($L89,'Balizador da Meta'!$B$4:$B$21,'Balizador da Meta'!$C$4:$C$21)</f>
        <v>30</v>
      </c>
      <c r="R89" s="28">
        <f>R80*_xlfn.XLOOKUP($L89,'Balizador da Meta'!$B$4:$B$21,'Balizador da Meta'!$C$4:$C$21)</f>
        <v>30</v>
      </c>
      <c r="S89" s="28">
        <f>S80*_xlfn.XLOOKUP($L89,'Balizador da Meta'!$B$4:$B$21,'Balizador da Meta'!$C$4:$C$21)</f>
        <v>30</v>
      </c>
      <c r="T89" s="28">
        <f>T80*_xlfn.XLOOKUP($L89,'Balizador da Meta'!$B$4:$B$21,'Balizador da Meta'!$C$4:$C$21)</f>
        <v>30</v>
      </c>
      <c r="U89" s="28">
        <f>U80*_xlfn.XLOOKUP($L89,'Balizador da Meta'!$B$4:$B$21,'Balizador da Meta'!$C$4:$C$21)</f>
        <v>30</v>
      </c>
      <c r="V89" s="28">
        <f>V80*_xlfn.XLOOKUP($L89,'Balizador da Meta'!$B$4:$B$21,'Balizador da Meta'!$C$4:$C$21)</f>
        <v>30</v>
      </c>
      <c r="W89" s="28">
        <f>W80*_xlfn.XLOOKUP($L89,'Balizador da Meta'!$B$4:$B$21,'Balizador da Meta'!$C$4:$C$21)</f>
        <v>30</v>
      </c>
      <c r="X89" s="28">
        <f>X80*_xlfn.XLOOKUP($L89,'Balizador da Meta'!$B$4:$B$21,'Balizador da Meta'!$C$4:$C$21)</f>
        <v>30</v>
      </c>
      <c r="Y89" s="28">
        <f>Y80*_xlfn.XLOOKUP($L89,'Balizador da Meta'!$B$4:$B$21,'Balizador da Meta'!$C$4:$C$21)</f>
        <v>30</v>
      </c>
      <c r="Z89" s="30">
        <f t="shared" si="24"/>
        <v>360</v>
      </c>
      <c r="AA89" s="29"/>
      <c r="AB89" s="31">
        <f>SUMIFS('Historico - FAT'!AK:AK,'Historico - FAT'!$K:$K,Faturamento!$L89,'Historico - FAT'!$I:$I,Faturamento!$J89,'Historico - FAT'!$G:$G,Faturamento!$H89)</f>
        <v>0</v>
      </c>
      <c r="AC89" s="31">
        <f>SUMIFS('Historico - FAT'!AL:AL,'Historico - FAT'!$K:$K,Faturamento!$L89,'Historico - FAT'!$I:$I,Faturamento!$J89,'Historico - FAT'!$G:$G,Faturamento!$H89)</f>
        <v>0</v>
      </c>
      <c r="AD89" s="31">
        <f>SUMIFS('Historico - FAT'!AM:AM,'Historico - FAT'!$K:$K,Faturamento!$L89,'Historico - FAT'!$I:$I,Faturamento!$J89,'Historico - FAT'!$G:$G,Faturamento!$H89)</f>
        <v>0</v>
      </c>
      <c r="AE89" s="27">
        <f>SUMIFS('Historico - FAT'!AN:AN,'Historico - FAT'!$K:$K,Faturamento!$L89,'Historico - FAT'!$I:$I,Faturamento!$J89,'Historico - FAT'!$G:$G,Faturamento!$H89)</f>
        <v>0</v>
      </c>
      <c r="AG89" s="24">
        <f t="shared" si="16"/>
        <v>1</v>
      </c>
      <c r="AH89" s="24">
        <f t="shared" si="17"/>
        <v>1</v>
      </c>
      <c r="AI89" s="24">
        <f t="shared" si="18"/>
        <v>1</v>
      </c>
    </row>
    <row r="90" spans="1:35" hidden="1" x14ac:dyDescent="0.3">
      <c r="A90" s="2" t="str">
        <f t="shared" si="20"/>
        <v>NÃO</v>
      </c>
      <c r="B90" s="2">
        <v>1000184670</v>
      </c>
      <c r="C90" s="2" t="s">
        <v>147</v>
      </c>
      <c r="D90" s="4">
        <v>1000186198</v>
      </c>
      <c r="E90" s="4" t="s">
        <v>168</v>
      </c>
      <c r="F90" s="2">
        <v>1000185288</v>
      </c>
      <c r="G90" s="2" t="s">
        <v>64</v>
      </c>
      <c r="H90" s="4">
        <v>1000189803</v>
      </c>
      <c r="I90" s="4" t="s">
        <v>97</v>
      </c>
      <c r="J90" s="2">
        <v>1000189754</v>
      </c>
      <c r="K90" s="2" t="s">
        <v>157</v>
      </c>
      <c r="L90" s="4" t="s">
        <v>29</v>
      </c>
      <c r="M90" s="4" t="str">
        <f t="shared" si="21"/>
        <v>1000184670100018619810001898031000189754MAIS GRANEL</v>
      </c>
      <c r="N90" s="28">
        <f>N80*_xlfn.XLOOKUP($L90,'Balizador da Meta'!$B$4:$B$21,'Balizador da Meta'!$C$4:$C$21)</f>
        <v>960</v>
      </c>
      <c r="O90" s="28">
        <f>O80*_xlfn.XLOOKUP($L90,'Balizador da Meta'!$B$4:$B$21,'Balizador da Meta'!$C$4:$C$21)</f>
        <v>960</v>
      </c>
      <c r="P90" s="28">
        <f>P80*_xlfn.XLOOKUP($L90,'Balizador da Meta'!$B$4:$B$21,'Balizador da Meta'!$C$4:$C$21)</f>
        <v>960</v>
      </c>
      <c r="Q90" s="28">
        <f>Q80*_xlfn.XLOOKUP($L90,'Balizador da Meta'!$B$4:$B$21,'Balizador da Meta'!$C$4:$C$21)</f>
        <v>960</v>
      </c>
      <c r="R90" s="28">
        <f>R80*_xlfn.XLOOKUP($L90,'Balizador da Meta'!$B$4:$B$21,'Balizador da Meta'!$C$4:$C$21)</f>
        <v>960</v>
      </c>
      <c r="S90" s="28">
        <f>S80*_xlfn.XLOOKUP($L90,'Balizador da Meta'!$B$4:$B$21,'Balizador da Meta'!$C$4:$C$21)</f>
        <v>960</v>
      </c>
      <c r="T90" s="28">
        <f>T80*_xlfn.XLOOKUP($L90,'Balizador da Meta'!$B$4:$B$21,'Balizador da Meta'!$C$4:$C$21)</f>
        <v>960</v>
      </c>
      <c r="U90" s="28">
        <f>U80*_xlfn.XLOOKUP($L90,'Balizador da Meta'!$B$4:$B$21,'Balizador da Meta'!$C$4:$C$21)</f>
        <v>960</v>
      </c>
      <c r="V90" s="28">
        <f>V80*_xlfn.XLOOKUP($L90,'Balizador da Meta'!$B$4:$B$21,'Balizador da Meta'!$C$4:$C$21)</f>
        <v>960</v>
      </c>
      <c r="W90" s="28">
        <f>W80*_xlfn.XLOOKUP($L90,'Balizador da Meta'!$B$4:$B$21,'Balizador da Meta'!$C$4:$C$21)</f>
        <v>960</v>
      </c>
      <c r="X90" s="28">
        <f>X80*_xlfn.XLOOKUP($L90,'Balizador da Meta'!$B$4:$B$21,'Balizador da Meta'!$C$4:$C$21)</f>
        <v>960</v>
      </c>
      <c r="Y90" s="28">
        <f>Y80*_xlfn.XLOOKUP($L90,'Balizador da Meta'!$B$4:$B$21,'Balizador da Meta'!$C$4:$C$21)</f>
        <v>960</v>
      </c>
      <c r="Z90" s="30">
        <f t="shared" si="24"/>
        <v>11520</v>
      </c>
      <c r="AA90" s="29"/>
      <c r="AB90" s="31">
        <f>SUMIFS('Historico - FAT'!AK:AK,'Historico - FAT'!$K:$K,Faturamento!$L90,'Historico - FAT'!$I:$I,Faturamento!$J90,'Historico - FAT'!$G:$G,Faturamento!$H90)</f>
        <v>0</v>
      </c>
      <c r="AC90" s="31">
        <f>SUMIFS('Historico - FAT'!AL:AL,'Historico - FAT'!$K:$K,Faturamento!$L90,'Historico - FAT'!$I:$I,Faturamento!$J90,'Historico - FAT'!$G:$G,Faturamento!$H90)</f>
        <v>0</v>
      </c>
      <c r="AD90" s="31">
        <f>SUMIFS('Historico - FAT'!AM:AM,'Historico - FAT'!$K:$K,Faturamento!$L90,'Historico - FAT'!$I:$I,Faturamento!$J90,'Historico - FAT'!$G:$G,Faturamento!$H90)</f>
        <v>0</v>
      </c>
      <c r="AE90" s="27">
        <f>SUMIFS('Historico - FAT'!AN:AN,'Historico - FAT'!$K:$K,Faturamento!$L90,'Historico - FAT'!$I:$I,Faturamento!$J90,'Historico - FAT'!$G:$G,Faturamento!$H90)</f>
        <v>0</v>
      </c>
      <c r="AG90" s="24">
        <f t="shared" si="16"/>
        <v>1</v>
      </c>
      <c r="AH90" s="24">
        <f t="shared" si="17"/>
        <v>1</v>
      </c>
      <c r="AI90" s="24">
        <f t="shared" si="18"/>
        <v>1</v>
      </c>
    </row>
    <row r="91" spans="1:35" hidden="1" x14ac:dyDescent="0.3">
      <c r="A91" s="2" t="str">
        <f t="shared" si="20"/>
        <v>NÃO</v>
      </c>
      <c r="B91" s="2">
        <v>1000184670</v>
      </c>
      <c r="C91" s="2" t="s">
        <v>147</v>
      </c>
      <c r="D91" s="4">
        <v>1000186198</v>
      </c>
      <c r="E91" s="4" t="s">
        <v>168</v>
      </c>
      <c r="F91" s="2">
        <v>1000185288</v>
      </c>
      <c r="G91" s="2" t="s">
        <v>64</v>
      </c>
      <c r="H91" s="4">
        <v>1000189803</v>
      </c>
      <c r="I91" s="4" t="s">
        <v>97</v>
      </c>
      <c r="J91" s="2">
        <v>1000189754</v>
      </c>
      <c r="K91" s="2" t="s">
        <v>157</v>
      </c>
      <c r="L91" s="4" t="s">
        <v>21</v>
      </c>
      <c r="M91" s="4" t="str">
        <f t="shared" si="21"/>
        <v>1000184670100018619810001898031000189754NATURATTA</v>
      </c>
      <c r="N91" s="28">
        <f>N80*_xlfn.XLOOKUP($L91,'Balizador da Meta'!$B$4:$B$21,'Balizador da Meta'!$C$4:$C$21)</f>
        <v>150</v>
      </c>
      <c r="O91" s="28">
        <f>O80*_xlfn.XLOOKUP($L91,'Balizador da Meta'!$B$4:$B$21,'Balizador da Meta'!$C$4:$C$21)</f>
        <v>150</v>
      </c>
      <c r="P91" s="28">
        <f>P80*_xlfn.XLOOKUP($L91,'Balizador da Meta'!$B$4:$B$21,'Balizador da Meta'!$C$4:$C$21)</f>
        <v>150</v>
      </c>
      <c r="Q91" s="28">
        <f>Q80*_xlfn.XLOOKUP($L91,'Balizador da Meta'!$B$4:$B$21,'Balizador da Meta'!$C$4:$C$21)</f>
        <v>150</v>
      </c>
      <c r="R91" s="28">
        <f>R80*_xlfn.XLOOKUP($L91,'Balizador da Meta'!$B$4:$B$21,'Balizador da Meta'!$C$4:$C$21)</f>
        <v>150</v>
      </c>
      <c r="S91" s="28">
        <f>S80*_xlfn.XLOOKUP($L91,'Balizador da Meta'!$B$4:$B$21,'Balizador da Meta'!$C$4:$C$21)</f>
        <v>150</v>
      </c>
      <c r="T91" s="28">
        <f>T80*_xlfn.XLOOKUP($L91,'Balizador da Meta'!$B$4:$B$21,'Balizador da Meta'!$C$4:$C$21)</f>
        <v>150</v>
      </c>
      <c r="U91" s="28">
        <f>U80*_xlfn.XLOOKUP($L91,'Balizador da Meta'!$B$4:$B$21,'Balizador da Meta'!$C$4:$C$21)</f>
        <v>150</v>
      </c>
      <c r="V91" s="28">
        <f>V80*_xlfn.XLOOKUP($L91,'Balizador da Meta'!$B$4:$B$21,'Balizador da Meta'!$C$4:$C$21)</f>
        <v>150</v>
      </c>
      <c r="W91" s="28">
        <f>W80*_xlfn.XLOOKUP($L91,'Balizador da Meta'!$B$4:$B$21,'Balizador da Meta'!$C$4:$C$21)</f>
        <v>150</v>
      </c>
      <c r="X91" s="28">
        <f>X80*_xlfn.XLOOKUP($L91,'Balizador da Meta'!$B$4:$B$21,'Balizador da Meta'!$C$4:$C$21)</f>
        <v>150</v>
      </c>
      <c r="Y91" s="28">
        <f>Y80*_xlfn.XLOOKUP($L91,'Balizador da Meta'!$B$4:$B$21,'Balizador da Meta'!$C$4:$C$21)</f>
        <v>150</v>
      </c>
      <c r="Z91" s="30">
        <f t="shared" si="24"/>
        <v>1800</v>
      </c>
      <c r="AA91" s="29"/>
      <c r="AB91" s="31">
        <f>SUMIFS('Historico - FAT'!AK:AK,'Historico - FAT'!$K:$K,Faturamento!$L91,'Historico - FAT'!$I:$I,Faturamento!$J91,'Historico - FAT'!$G:$G,Faturamento!$H91)</f>
        <v>0</v>
      </c>
      <c r="AC91" s="31">
        <f>SUMIFS('Historico - FAT'!AL:AL,'Historico - FAT'!$K:$K,Faturamento!$L91,'Historico - FAT'!$I:$I,Faturamento!$J91,'Historico - FAT'!$G:$G,Faturamento!$H91)</f>
        <v>0</v>
      </c>
      <c r="AD91" s="31">
        <f>SUMIFS('Historico - FAT'!AM:AM,'Historico - FAT'!$K:$K,Faturamento!$L91,'Historico - FAT'!$I:$I,Faturamento!$J91,'Historico - FAT'!$G:$G,Faturamento!$H91)</f>
        <v>0</v>
      </c>
      <c r="AE91" s="27">
        <f>SUMIFS('Historico - FAT'!AN:AN,'Historico - FAT'!$K:$K,Faturamento!$L91,'Historico - FAT'!$I:$I,Faturamento!$J91,'Historico - FAT'!$G:$G,Faturamento!$H91)</f>
        <v>0</v>
      </c>
      <c r="AG91" s="24">
        <f t="shared" si="16"/>
        <v>1</v>
      </c>
      <c r="AH91" s="24">
        <f t="shared" si="17"/>
        <v>1</v>
      </c>
      <c r="AI91" s="24">
        <f t="shared" si="18"/>
        <v>1</v>
      </c>
    </row>
    <row r="92" spans="1:35" hidden="1" x14ac:dyDescent="0.3">
      <c r="A92" s="2" t="str">
        <f t="shared" si="20"/>
        <v>NÃO</v>
      </c>
      <c r="B92" s="2">
        <v>1000184670</v>
      </c>
      <c r="C92" s="2" t="s">
        <v>147</v>
      </c>
      <c r="D92" s="4">
        <v>1000186198</v>
      </c>
      <c r="E92" s="4" t="s">
        <v>168</v>
      </c>
      <c r="F92" s="2">
        <v>1000185288</v>
      </c>
      <c r="G92" s="2" t="s">
        <v>64</v>
      </c>
      <c r="H92" s="4">
        <v>1000189803</v>
      </c>
      <c r="I92" s="4" t="s">
        <v>97</v>
      </c>
      <c r="J92" s="2">
        <v>1000189754</v>
      </c>
      <c r="K92" s="2" t="s">
        <v>157</v>
      </c>
      <c r="L92" s="4" t="s">
        <v>20</v>
      </c>
      <c r="M92" s="4" t="str">
        <f t="shared" si="21"/>
        <v>1000184670100018619810001898031000189754REEMBALADOS</v>
      </c>
      <c r="N92" s="28">
        <f>N80*_xlfn.XLOOKUP($L92,'Balizador da Meta'!$B$4:$B$21,'Balizador da Meta'!$C$4:$C$21)</f>
        <v>120</v>
      </c>
      <c r="O92" s="28">
        <f>O80*_xlfn.XLOOKUP($L92,'Balizador da Meta'!$B$4:$B$21,'Balizador da Meta'!$C$4:$C$21)</f>
        <v>120</v>
      </c>
      <c r="P92" s="28">
        <f>P80*_xlfn.XLOOKUP($L92,'Balizador da Meta'!$B$4:$B$21,'Balizador da Meta'!$C$4:$C$21)</f>
        <v>120</v>
      </c>
      <c r="Q92" s="28">
        <f>Q80*_xlfn.XLOOKUP($L92,'Balizador da Meta'!$B$4:$B$21,'Balizador da Meta'!$C$4:$C$21)</f>
        <v>120</v>
      </c>
      <c r="R92" s="28">
        <f>R80*_xlfn.XLOOKUP($L92,'Balizador da Meta'!$B$4:$B$21,'Balizador da Meta'!$C$4:$C$21)</f>
        <v>120</v>
      </c>
      <c r="S92" s="28">
        <f>S80*_xlfn.XLOOKUP($L92,'Balizador da Meta'!$B$4:$B$21,'Balizador da Meta'!$C$4:$C$21)</f>
        <v>120</v>
      </c>
      <c r="T92" s="28">
        <f>T80*_xlfn.XLOOKUP($L92,'Balizador da Meta'!$B$4:$B$21,'Balizador da Meta'!$C$4:$C$21)</f>
        <v>120</v>
      </c>
      <c r="U92" s="28">
        <f>U80*_xlfn.XLOOKUP($L92,'Balizador da Meta'!$B$4:$B$21,'Balizador da Meta'!$C$4:$C$21)</f>
        <v>120</v>
      </c>
      <c r="V92" s="28">
        <f>V80*_xlfn.XLOOKUP($L92,'Balizador da Meta'!$B$4:$B$21,'Balizador da Meta'!$C$4:$C$21)</f>
        <v>120</v>
      </c>
      <c r="W92" s="28">
        <f>W80*_xlfn.XLOOKUP($L92,'Balizador da Meta'!$B$4:$B$21,'Balizador da Meta'!$C$4:$C$21)</f>
        <v>120</v>
      </c>
      <c r="X92" s="28">
        <f>X80*_xlfn.XLOOKUP($L92,'Balizador da Meta'!$B$4:$B$21,'Balizador da Meta'!$C$4:$C$21)</f>
        <v>120</v>
      </c>
      <c r="Y92" s="28">
        <f>Y80*_xlfn.XLOOKUP($L92,'Balizador da Meta'!$B$4:$B$21,'Balizador da Meta'!$C$4:$C$21)</f>
        <v>120</v>
      </c>
      <c r="Z92" s="30">
        <f t="shared" si="24"/>
        <v>1440</v>
      </c>
      <c r="AA92" s="29"/>
      <c r="AB92" s="31">
        <f>SUMIFS('Historico - FAT'!AK:AK,'Historico - FAT'!$K:$K,Faturamento!$L92,'Historico - FAT'!$I:$I,Faturamento!$J92,'Historico - FAT'!$G:$G,Faturamento!$H92)</f>
        <v>0</v>
      </c>
      <c r="AC92" s="31">
        <f>SUMIFS('Historico - FAT'!AL:AL,'Historico - FAT'!$K:$K,Faturamento!$L92,'Historico - FAT'!$I:$I,Faturamento!$J92,'Historico - FAT'!$G:$G,Faturamento!$H92)</f>
        <v>0</v>
      </c>
      <c r="AD92" s="31">
        <f>SUMIFS('Historico - FAT'!AM:AM,'Historico - FAT'!$K:$K,Faturamento!$L92,'Historico - FAT'!$I:$I,Faturamento!$J92,'Historico - FAT'!$G:$G,Faturamento!$H92)</f>
        <v>0</v>
      </c>
      <c r="AE92" s="27">
        <f>SUMIFS('Historico - FAT'!AN:AN,'Historico - FAT'!$K:$K,Faturamento!$L92,'Historico - FAT'!$I:$I,Faturamento!$J92,'Historico - FAT'!$G:$G,Faturamento!$H92)</f>
        <v>0</v>
      </c>
      <c r="AG92" s="24">
        <f t="shared" si="16"/>
        <v>1</v>
      </c>
      <c r="AH92" s="24">
        <f t="shared" si="17"/>
        <v>1</v>
      </c>
      <c r="AI92" s="24">
        <f t="shared" si="18"/>
        <v>1</v>
      </c>
    </row>
    <row r="93" spans="1:35" hidden="1" x14ac:dyDescent="0.3">
      <c r="A93" s="2" t="str">
        <f t="shared" si="20"/>
        <v>NÃO</v>
      </c>
      <c r="B93" s="2">
        <v>1000184670</v>
      </c>
      <c r="C93" s="2" t="s">
        <v>147</v>
      </c>
      <c r="D93" s="4">
        <v>1000186198</v>
      </c>
      <c r="E93" s="4" t="s">
        <v>168</v>
      </c>
      <c r="F93" s="2">
        <v>1000185288</v>
      </c>
      <c r="G93" s="2" t="s">
        <v>64</v>
      </c>
      <c r="H93" s="4">
        <v>1000189803</v>
      </c>
      <c r="I93" s="4" t="s">
        <v>97</v>
      </c>
      <c r="J93" s="2">
        <v>1000189754</v>
      </c>
      <c r="K93" s="2" t="s">
        <v>157</v>
      </c>
      <c r="L93" s="4" t="s">
        <v>22</v>
      </c>
      <c r="M93" s="4" t="str">
        <f t="shared" si="21"/>
        <v>1000184670100018619810001898031000189754S GLUTEN</v>
      </c>
      <c r="N93" s="28">
        <f>N80*_xlfn.XLOOKUP($L93,'Balizador da Meta'!$B$4:$B$21,'Balizador da Meta'!$C$4:$C$21)</f>
        <v>120</v>
      </c>
      <c r="O93" s="28">
        <f>O80*_xlfn.XLOOKUP($L93,'Balizador da Meta'!$B$4:$B$21,'Balizador da Meta'!$C$4:$C$21)</f>
        <v>120</v>
      </c>
      <c r="P93" s="28">
        <f>P80*_xlfn.XLOOKUP($L93,'Balizador da Meta'!$B$4:$B$21,'Balizador da Meta'!$C$4:$C$21)</f>
        <v>120</v>
      </c>
      <c r="Q93" s="28">
        <f>Q80*_xlfn.XLOOKUP($L93,'Balizador da Meta'!$B$4:$B$21,'Balizador da Meta'!$C$4:$C$21)</f>
        <v>120</v>
      </c>
      <c r="R93" s="28">
        <f>R80*_xlfn.XLOOKUP($L93,'Balizador da Meta'!$B$4:$B$21,'Balizador da Meta'!$C$4:$C$21)</f>
        <v>120</v>
      </c>
      <c r="S93" s="28">
        <f>S80*_xlfn.XLOOKUP($L93,'Balizador da Meta'!$B$4:$B$21,'Balizador da Meta'!$C$4:$C$21)</f>
        <v>120</v>
      </c>
      <c r="T93" s="28">
        <f>T80*_xlfn.XLOOKUP($L93,'Balizador da Meta'!$B$4:$B$21,'Balizador da Meta'!$C$4:$C$21)</f>
        <v>120</v>
      </c>
      <c r="U93" s="28">
        <f>U80*_xlfn.XLOOKUP($L93,'Balizador da Meta'!$B$4:$B$21,'Balizador da Meta'!$C$4:$C$21)</f>
        <v>120</v>
      </c>
      <c r="V93" s="28">
        <f>V80*_xlfn.XLOOKUP($L93,'Balizador da Meta'!$B$4:$B$21,'Balizador da Meta'!$C$4:$C$21)</f>
        <v>120</v>
      </c>
      <c r="W93" s="28">
        <f>W80*_xlfn.XLOOKUP($L93,'Balizador da Meta'!$B$4:$B$21,'Balizador da Meta'!$C$4:$C$21)</f>
        <v>120</v>
      </c>
      <c r="X93" s="28">
        <f>X80*_xlfn.XLOOKUP($L93,'Balizador da Meta'!$B$4:$B$21,'Balizador da Meta'!$C$4:$C$21)</f>
        <v>120</v>
      </c>
      <c r="Y93" s="28">
        <f>Y80*_xlfn.XLOOKUP($L93,'Balizador da Meta'!$B$4:$B$21,'Balizador da Meta'!$C$4:$C$21)</f>
        <v>120</v>
      </c>
      <c r="Z93" s="30">
        <f t="shared" si="24"/>
        <v>1440</v>
      </c>
      <c r="AA93" s="29"/>
      <c r="AB93" s="31">
        <f>SUMIFS('Historico - FAT'!AK:AK,'Historico - FAT'!$K:$K,Faturamento!$L93,'Historico - FAT'!$I:$I,Faturamento!$J93,'Historico - FAT'!$G:$G,Faturamento!$H93)</f>
        <v>0</v>
      </c>
      <c r="AC93" s="31">
        <f>SUMIFS('Historico - FAT'!AL:AL,'Historico - FAT'!$K:$K,Faturamento!$L93,'Historico - FAT'!$I:$I,Faturamento!$J93,'Historico - FAT'!$G:$G,Faturamento!$H93)</f>
        <v>0</v>
      </c>
      <c r="AD93" s="31">
        <f>SUMIFS('Historico - FAT'!AM:AM,'Historico - FAT'!$K:$K,Faturamento!$L93,'Historico - FAT'!$I:$I,Faturamento!$J93,'Historico - FAT'!$G:$G,Faturamento!$H93)</f>
        <v>0</v>
      </c>
      <c r="AE93" s="27">
        <f>SUMIFS('Historico - FAT'!AN:AN,'Historico - FAT'!$K:$K,Faturamento!$L93,'Historico - FAT'!$I:$I,Faturamento!$J93,'Historico - FAT'!$G:$G,Faturamento!$H93)</f>
        <v>0</v>
      </c>
      <c r="AG93" s="24">
        <f t="shared" si="16"/>
        <v>1</v>
      </c>
      <c r="AH93" s="24">
        <f t="shared" si="17"/>
        <v>1</v>
      </c>
      <c r="AI93" s="24">
        <f t="shared" si="18"/>
        <v>1</v>
      </c>
    </row>
    <row r="94" spans="1:35" hidden="1" x14ac:dyDescent="0.3">
      <c r="A94" s="2" t="str">
        <f t="shared" si="20"/>
        <v>NÃO</v>
      </c>
      <c r="B94" s="2">
        <v>1000184670</v>
      </c>
      <c r="C94" s="2" t="s">
        <v>147</v>
      </c>
      <c r="D94" s="4">
        <v>1000186198</v>
      </c>
      <c r="E94" s="4" t="s">
        <v>168</v>
      </c>
      <c r="F94" s="2">
        <v>1000185288</v>
      </c>
      <c r="G94" s="2" t="s">
        <v>64</v>
      </c>
      <c r="H94" s="4">
        <v>1000189803</v>
      </c>
      <c r="I94" s="4" t="s">
        <v>97</v>
      </c>
      <c r="J94" s="2">
        <v>1000189754</v>
      </c>
      <c r="K94" s="2" t="s">
        <v>157</v>
      </c>
      <c r="L94" s="4" t="s">
        <v>23</v>
      </c>
      <c r="M94" s="4" t="str">
        <f t="shared" si="21"/>
        <v>1000184670100018619810001898031000189754SABORES DO CAMPO</v>
      </c>
      <c r="N94" s="28">
        <f>N80*_xlfn.XLOOKUP($L94,'Balizador da Meta'!$B$4:$B$21,'Balizador da Meta'!$C$4:$C$21)</f>
        <v>0</v>
      </c>
      <c r="O94" s="28">
        <f>O80*_xlfn.XLOOKUP($L94,'Balizador da Meta'!$B$4:$B$21,'Balizador da Meta'!$C$4:$C$21)</f>
        <v>0</v>
      </c>
      <c r="P94" s="28">
        <f>P80*_xlfn.XLOOKUP($L94,'Balizador da Meta'!$B$4:$B$21,'Balizador da Meta'!$C$4:$C$21)</f>
        <v>0</v>
      </c>
      <c r="Q94" s="28">
        <f>Q80*_xlfn.XLOOKUP($L94,'Balizador da Meta'!$B$4:$B$21,'Balizador da Meta'!$C$4:$C$21)</f>
        <v>0</v>
      </c>
      <c r="R94" s="28">
        <f>R80*_xlfn.XLOOKUP($L94,'Balizador da Meta'!$B$4:$B$21,'Balizador da Meta'!$C$4:$C$21)</f>
        <v>0</v>
      </c>
      <c r="S94" s="28">
        <f>S80*_xlfn.XLOOKUP($L94,'Balizador da Meta'!$B$4:$B$21,'Balizador da Meta'!$C$4:$C$21)</f>
        <v>0</v>
      </c>
      <c r="T94" s="28">
        <f>T80*_xlfn.XLOOKUP($L94,'Balizador da Meta'!$B$4:$B$21,'Balizador da Meta'!$C$4:$C$21)</f>
        <v>0</v>
      </c>
      <c r="U94" s="28">
        <f>U80*_xlfn.XLOOKUP($L94,'Balizador da Meta'!$B$4:$B$21,'Balizador da Meta'!$C$4:$C$21)</f>
        <v>0</v>
      </c>
      <c r="V94" s="28">
        <f>V80*_xlfn.XLOOKUP($L94,'Balizador da Meta'!$B$4:$B$21,'Balizador da Meta'!$C$4:$C$21)</f>
        <v>0</v>
      </c>
      <c r="W94" s="28">
        <f>W80*_xlfn.XLOOKUP($L94,'Balizador da Meta'!$B$4:$B$21,'Balizador da Meta'!$C$4:$C$21)</f>
        <v>0</v>
      </c>
      <c r="X94" s="28">
        <f>X80*_xlfn.XLOOKUP($L94,'Balizador da Meta'!$B$4:$B$21,'Balizador da Meta'!$C$4:$C$21)</f>
        <v>0</v>
      </c>
      <c r="Y94" s="28">
        <f>Y80*_xlfn.XLOOKUP($L94,'Balizador da Meta'!$B$4:$B$21,'Balizador da Meta'!$C$4:$C$21)</f>
        <v>0</v>
      </c>
      <c r="Z94" s="30">
        <f t="shared" si="24"/>
        <v>0</v>
      </c>
      <c r="AA94" s="29"/>
      <c r="AB94" s="31">
        <f>SUMIFS('Historico - FAT'!AK:AK,'Historico - FAT'!$K:$K,Faturamento!$L94,'Historico - FAT'!$I:$I,Faturamento!$J94,'Historico - FAT'!$G:$G,Faturamento!$H94)</f>
        <v>0</v>
      </c>
      <c r="AC94" s="31">
        <f>SUMIFS('Historico - FAT'!AL:AL,'Historico - FAT'!$K:$K,Faturamento!$L94,'Historico - FAT'!$I:$I,Faturamento!$J94,'Historico - FAT'!$G:$G,Faturamento!$H94)</f>
        <v>0</v>
      </c>
      <c r="AD94" s="31">
        <f>SUMIFS('Historico - FAT'!AM:AM,'Historico - FAT'!$K:$K,Faturamento!$L94,'Historico - FAT'!$I:$I,Faturamento!$J94,'Historico - FAT'!$G:$G,Faturamento!$H94)</f>
        <v>0</v>
      </c>
      <c r="AE94" s="27">
        <f>SUMIFS('Historico - FAT'!AN:AN,'Historico - FAT'!$K:$K,Faturamento!$L94,'Historico - FAT'!$I:$I,Faturamento!$J94,'Historico - FAT'!$G:$G,Faturamento!$H94)</f>
        <v>0</v>
      </c>
      <c r="AG94" s="24" t="str">
        <f t="shared" si="16"/>
        <v/>
      </c>
      <c r="AH94" s="24" t="str">
        <f t="shared" si="17"/>
        <v/>
      </c>
      <c r="AI94" s="24" t="str">
        <f t="shared" si="18"/>
        <v/>
      </c>
    </row>
    <row r="95" spans="1:35" hidden="1" x14ac:dyDescent="0.3">
      <c r="A95" s="2" t="str">
        <f t="shared" si="20"/>
        <v>NÃO</v>
      </c>
      <c r="B95" s="2">
        <v>1000184670</v>
      </c>
      <c r="C95" s="2" t="s">
        <v>147</v>
      </c>
      <c r="D95" s="4">
        <v>1000186198</v>
      </c>
      <c r="E95" s="4" t="s">
        <v>168</v>
      </c>
      <c r="F95" s="2">
        <v>1000185288</v>
      </c>
      <c r="G95" s="2" t="s">
        <v>64</v>
      </c>
      <c r="H95" s="4">
        <v>1000189803</v>
      </c>
      <c r="I95" s="4" t="s">
        <v>97</v>
      </c>
      <c r="J95" s="2">
        <v>1000189754</v>
      </c>
      <c r="K95" s="2" t="s">
        <v>157</v>
      </c>
      <c r="L95" s="4" t="s">
        <v>28</v>
      </c>
      <c r="M95" s="4" t="str">
        <f t="shared" si="21"/>
        <v>1000184670100018619810001898031000189754SAL</v>
      </c>
      <c r="N95" s="28">
        <f>N80*_xlfn.XLOOKUP($L95,'Balizador da Meta'!$B$4:$B$21,'Balizador da Meta'!$C$4:$C$21)</f>
        <v>60</v>
      </c>
      <c r="O95" s="28">
        <f>O80*_xlfn.XLOOKUP($L95,'Balizador da Meta'!$B$4:$B$21,'Balizador da Meta'!$C$4:$C$21)</f>
        <v>60</v>
      </c>
      <c r="P95" s="28">
        <f>P80*_xlfn.XLOOKUP($L95,'Balizador da Meta'!$B$4:$B$21,'Balizador da Meta'!$C$4:$C$21)</f>
        <v>60</v>
      </c>
      <c r="Q95" s="28">
        <f>Q80*_xlfn.XLOOKUP($L95,'Balizador da Meta'!$B$4:$B$21,'Balizador da Meta'!$C$4:$C$21)</f>
        <v>60</v>
      </c>
      <c r="R95" s="28">
        <f>R80*_xlfn.XLOOKUP($L95,'Balizador da Meta'!$B$4:$B$21,'Balizador da Meta'!$C$4:$C$21)</f>
        <v>60</v>
      </c>
      <c r="S95" s="28">
        <f>S80*_xlfn.XLOOKUP($L95,'Balizador da Meta'!$B$4:$B$21,'Balizador da Meta'!$C$4:$C$21)</f>
        <v>60</v>
      </c>
      <c r="T95" s="28">
        <f>T80*_xlfn.XLOOKUP($L95,'Balizador da Meta'!$B$4:$B$21,'Balizador da Meta'!$C$4:$C$21)</f>
        <v>60</v>
      </c>
      <c r="U95" s="28">
        <f>U80*_xlfn.XLOOKUP($L95,'Balizador da Meta'!$B$4:$B$21,'Balizador da Meta'!$C$4:$C$21)</f>
        <v>60</v>
      </c>
      <c r="V95" s="28">
        <f>V80*_xlfn.XLOOKUP($L95,'Balizador da Meta'!$B$4:$B$21,'Balizador da Meta'!$C$4:$C$21)</f>
        <v>60</v>
      </c>
      <c r="W95" s="28">
        <f>W80*_xlfn.XLOOKUP($L95,'Balizador da Meta'!$B$4:$B$21,'Balizador da Meta'!$C$4:$C$21)</f>
        <v>60</v>
      </c>
      <c r="X95" s="28">
        <f>X80*_xlfn.XLOOKUP($L95,'Balizador da Meta'!$B$4:$B$21,'Balizador da Meta'!$C$4:$C$21)</f>
        <v>60</v>
      </c>
      <c r="Y95" s="28">
        <f>Y80*_xlfn.XLOOKUP($L95,'Balizador da Meta'!$B$4:$B$21,'Balizador da Meta'!$C$4:$C$21)</f>
        <v>60</v>
      </c>
      <c r="Z95" s="30">
        <f t="shared" si="24"/>
        <v>720</v>
      </c>
      <c r="AA95" s="29"/>
      <c r="AB95" s="31">
        <f>SUMIFS('Historico - FAT'!AK:AK,'Historico - FAT'!$K:$K,Faturamento!$L95,'Historico - FAT'!$I:$I,Faturamento!$J95,'Historico - FAT'!$G:$G,Faturamento!$H95)</f>
        <v>0</v>
      </c>
      <c r="AC95" s="31">
        <f>SUMIFS('Historico - FAT'!AL:AL,'Historico - FAT'!$K:$K,Faturamento!$L95,'Historico - FAT'!$I:$I,Faturamento!$J95,'Historico - FAT'!$G:$G,Faturamento!$H95)</f>
        <v>0</v>
      </c>
      <c r="AD95" s="31">
        <f>SUMIFS('Historico - FAT'!AM:AM,'Historico - FAT'!$K:$K,Faturamento!$L95,'Historico - FAT'!$I:$I,Faturamento!$J95,'Historico - FAT'!$G:$G,Faturamento!$H95)</f>
        <v>0</v>
      </c>
      <c r="AE95" s="27">
        <f>SUMIFS('Historico - FAT'!AN:AN,'Historico - FAT'!$K:$K,Faturamento!$L95,'Historico - FAT'!$I:$I,Faturamento!$J95,'Historico - FAT'!$G:$G,Faturamento!$H95)</f>
        <v>0</v>
      </c>
      <c r="AG95" s="24">
        <f t="shared" si="16"/>
        <v>1</v>
      </c>
      <c r="AH95" s="24">
        <f t="shared" si="17"/>
        <v>1</v>
      </c>
      <c r="AI95" s="24">
        <f t="shared" si="18"/>
        <v>1</v>
      </c>
    </row>
    <row r="96" spans="1:35" hidden="1" x14ac:dyDescent="0.3">
      <c r="A96" s="2" t="str">
        <f t="shared" si="20"/>
        <v>NÃO</v>
      </c>
      <c r="B96" s="2">
        <v>1000184670</v>
      </c>
      <c r="C96" s="2" t="s">
        <v>147</v>
      </c>
      <c r="D96" s="4">
        <v>1000186198</v>
      </c>
      <c r="E96" s="4" t="s">
        <v>168</v>
      </c>
      <c r="F96" s="2">
        <v>1000185288</v>
      </c>
      <c r="G96" s="2" t="s">
        <v>64</v>
      </c>
      <c r="H96" s="4">
        <v>1000189803</v>
      </c>
      <c r="I96" s="4" t="s">
        <v>97</v>
      </c>
      <c r="J96" s="2">
        <v>1000189754</v>
      </c>
      <c r="K96" s="2" t="s">
        <v>157</v>
      </c>
      <c r="L96" s="4" t="s">
        <v>26</v>
      </c>
      <c r="M96" s="4" t="str">
        <f t="shared" si="21"/>
        <v>1000184670100018619810001898031000189754SOULPRO</v>
      </c>
      <c r="N96" s="28">
        <f>N80*_xlfn.XLOOKUP($L96,'Balizador da Meta'!$B$4:$B$21,'Balizador da Meta'!$C$4:$C$21)</f>
        <v>180</v>
      </c>
      <c r="O96" s="28">
        <f>O80*_xlfn.XLOOKUP($L96,'Balizador da Meta'!$B$4:$B$21,'Balizador da Meta'!$C$4:$C$21)</f>
        <v>180</v>
      </c>
      <c r="P96" s="28">
        <f>P80*_xlfn.XLOOKUP($L96,'Balizador da Meta'!$B$4:$B$21,'Balizador da Meta'!$C$4:$C$21)</f>
        <v>180</v>
      </c>
      <c r="Q96" s="28">
        <f>Q80*_xlfn.XLOOKUP($L96,'Balizador da Meta'!$B$4:$B$21,'Balizador da Meta'!$C$4:$C$21)</f>
        <v>180</v>
      </c>
      <c r="R96" s="28">
        <f>R80*_xlfn.XLOOKUP($L96,'Balizador da Meta'!$B$4:$B$21,'Balizador da Meta'!$C$4:$C$21)</f>
        <v>180</v>
      </c>
      <c r="S96" s="28">
        <f>S80*_xlfn.XLOOKUP($L96,'Balizador da Meta'!$B$4:$B$21,'Balizador da Meta'!$C$4:$C$21)</f>
        <v>180</v>
      </c>
      <c r="T96" s="28">
        <f>T80*_xlfn.XLOOKUP($L96,'Balizador da Meta'!$B$4:$B$21,'Balizador da Meta'!$C$4:$C$21)</f>
        <v>180</v>
      </c>
      <c r="U96" s="28">
        <f>U80*_xlfn.XLOOKUP($L96,'Balizador da Meta'!$B$4:$B$21,'Balizador da Meta'!$C$4:$C$21)</f>
        <v>180</v>
      </c>
      <c r="V96" s="28">
        <f>V80*_xlfn.XLOOKUP($L96,'Balizador da Meta'!$B$4:$B$21,'Balizador da Meta'!$C$4:$C$21)</f>
        <v>180</v>
      </c>
      <c r="W96" s="28">
        <f>W80*_xlfn.XLOOKUP($L96,'Balizador da Meta'!$B$4:$B$21,'Balizador da Meta'!$C$4:$C$21)</f>
        <v>180</v>
      </c>
      <c r="X96" s="28">
        <f>X80*_xlfn.XLOOKUP($L96,'Balizador da Meta'!$B$4:$B$21,'Balizador da Meta'!$C$4:$C$21)</f>
        <v>180</v>
      </c>
      <c r="Y96" s="28">
        <f>Y80*_xlfn.XLOOKUP($L96,'Balizador da Meta'!$B$4:$B$21,'Balizador da Meta'!$C$4:$C$21)</f>
        <v>180</v>
      </c>
      <c r="Z96" s="30">
        <f t="shared" si="24"/>
        <v>2160</v>
      </c>
      <c r="AA96" s="29"/>
      <c r="AB96" s="31">
        <f>SUMIFS('Historico - FAT'!AK:AK,'Historico - FAT'!$K:$K,Faturamento!$L96,'Historico - FAT'!$I:$I,Faturamento!$J96,'Historico - FAT'!$G:$G,Faturamento!$H96)</f>
        <v>0</v>
      </c>
      <c r="AC96" s="31">
        <f>SUMIFS('Historico - FAT'!AL:AL,'Historico - FAT'!$K:$K,Faturamento!$L96,'Historico - FAT'!$I:$I,Faturamento!$J96,'Historico - FAT'!$G:$G,Faturamento!$H96)</f>
        <v>125.2325</v>
      </c>
      <c r="AD96" s="31">
        <f>SUMIFS('Historico - FAT'!AM:AM,'Historico - FAT'!$K:$K,Faturamento!$L96,'Historico - FAT'!$I:$I,Faturamento!$J96,'Historico - FAT'!$G:$G,Faturamento!$H96)</f>
        <v>250.465</v>
      </c>
      <c r="AE96" s="27">
        <f>SUMIFS('Historico - FAT'!AN:AN,'Historico - FAT'!$K:$K,Faturamento!$L96,'Historico - FAT'!$I:$I,Faturamento!$J96,'Historico - FAT'!$G:$G,Faturamento!$H96)</f>
        <v>150.279</v>
      </c>
      <c r="AG96" s="24">
        <f t="shared" si="16"/>
        <v>1</v>
      </c>
      <c r="AH96" s="24">
        <f t="shared" si="17"/>
        <v>0.30426388888888889</v>
      </c>
      <c r="AI96" s="24">
        <f t="shared" si="18"/>
        <v>-0.39147222222222222</v>
      </c>
    </row>
    <row r="97" spans="1:35" hidden="1" x14ac:dyDescent="0.3">
      <c r="A97" s="2" t="str">
        <f t="shared" si="20"/>
        <v>NÃO</v>
      </c>
      <c r="B97" s="2">
        <v>1000184670</v>
      </c>
      <c r="C97" s="2" t="s">
        <v>147</v>
      </c>
      <c r="D97" s="4">
        <v>1000186198</v>
      </c>
      <c r="E97" s="4" t="s">
        <v>168</v>
      </c>
      <c r="F97" s="2">
        <v>1000185288</v>
      </c>
      <c r="G97" s="2" t="s">
        <v>64</v>
      </c>
      <c r="H97" s="4">
        <v>1000189803</v>
      </c>
      <c r="I97" s="4" t="s">
        <v>97</v>
      </c>
      <c r="J97" s="2">
        <v>1000189754</v>
      </c>
      <c r="K97" s="2" t="s">
        <v>157</v>
      </c>
      <c r="L97" s="4" t="s">
        <v>27</v>
      </c>
      <c r="M97" s="4" t="str">
        <f t="shared" si="21"/>
        <v>1000184670100018619810001898031000189754TAMARA</v>
      </c>
      <c r="N97" s="28">
        <f>N80*_xlfn.XLOOKUP($L97,'Balizador da Meta'!$B$4:$B$21,'Balizador da Meta'!$C$4:$C$21)</f>
        <v>240</v>
      </c>
      <c r="O97" s="28">
        <f>O80*_xlfn.XLOOKUP($L97,'Balizador da Meta'!$B$4:$B$21,'Balizador da Meta'!$C$4:$C$21)</f>
        <v>240</v>
      </c>
      <c r="P97" s="28">
        <f>P80*_xlfn.XLOOKUP($L97,'Balizador da Meta'!$B$4:$B$21,'Balizador da Meta'!$C$4:$C$21)</f>
        <v>240</v>
      </c>
      <c r="Q97" s="28">
        <f>Q80*_xlfn.XLOOKUP($L97,'Balizador da Meta'!$B$4:$B$21,'Balizador da Meta'!$C$4:$C$21)</f>
        <v>240</v>
      </c>
      <c r="R97" s="28">
        <f>R80*_xlfn.XLOOKUP($L97,'Balizador da Meta'!$B$4:$B$21,'Balizador da Meta'!$C$4:$C$21)</f>
        <v>240</v>
      </c>
      <c r="S97" s="28">
        <f>S80*_xlfn.XLOOKUP($L97,'Balizador da Meta'!$B$4:$B$21,'Balizador da Meta'!$C$4:$C$21)</f>
        <v>240</v>
      </c>
      <c r="T97" s="28">
        <f>T80*_xlfn.XLOOKUP($L97,'Balizador da Meta'!$B$4:$B$21,'Balizador da Meta'!$C$4:$C$21)</f>
        <v>240</v>
      </c>
      <c r="U97" s="28">
        <f>U80*_xlfn.XLOOKUP($L97,'Balizador da Meta'!$B$4:$B$21,'Balizador da Meta'!$C$4:$C$21)</f>
        <v>240</v>
      </c>
      <c r="V97" s="28">
        <f>V80*_xlfn.XLOOKUP($L97,'Balizador da Meta'!$B$4:$B$21,'Balizador da Meta'!$C$4:$C$21)</f>
        <v>240</v>
      </c>
      <c r="W97" s="28">
        <f>W80*_xlfn.XLOOKUP($L97,'Balizador da Meta'!$B$4:$B$21,'Balizador da Meta'!$C$4:$C$21)</f>
        <v>240</v>
      </c>
      <c r="X97" s="28">
        <f>X80*_xlfn.XLOOKUP($L97,'Balizador da Meta'!$B$4:$B$21,'Balizador da Meta'!$C$4:$C$21)</f>
        <v>240</v>
      </c>
      <c r="Y97" s="28">
        <f>Y80*_xlfn.XLOOKUP($L97,'Balizador da Meta'!$B$4:$B$21,'Balizador da Meta'!$C$4:$C$21)</f>
        <v>240</v>
      </c>
      <c r="Z97" s="30">
        <f t="shared" si="24"/>
        <v>2880</v>
      </c>
      <c r="AA97" s="29"/>
      <c r="AB97" s="31">
        <f>SUMIFS('Historico - FAT'!AK:AK,'Historico - FAT'!$K:$K,Faturamento!$L97,'Historico - FAT'!$I:$I,Faturamento!$J97,'Historico - FAT'!$G:$G,Faturamento!$H97)</f>
        <v>0</v>
      </c>
      <c r="AC97" s="31">
        <f>SUMIFS('Historico - FAT'!AL:AL,'Historico - FAT'!$K:$K,Faturamento!$L97,'Historico - FAT'!$I:$I,Faturamento!$J97,'Historico - FAT'!$G:$G,Faturamento!$H97)</f>
        <v>0</v>
      </c>
      <c r="AD97" s="31">
        <f>SUMIFS('Historico - FAT'!AM:AM,'Historico - FAT'!$K:$K,Faturamento!$L97,'Historico - FAT'!$I:$I,Faturamento!$J97,'Historico - FAT'!$G:$G,Faturamento!$H97)</f>
        <v>0</v>
      </c>
      <c r="AE97" s="27">
        <f>SUMIFS('Historico - FAT'!AN:AN,'Historico - FAT'!$K:$K,Faturamento!$L97,'Historico - FAT'!$I:$I,Faturamento!$J97,'Historico - FAT'!$G:$G,Faturamento!$H97)</f>
        <v>0</v>
      </c>
      <c r="AG97" s="24">
        <f t="shared" si="16"/>
        <v>1</v>
      </c>
      <c r="AH97" s="24">
        <f t="shared" si="17"/>
        <v>1</v>
      </c>
      <c r="AI97" s="24">
        <f t="shared" si="18"/>
        <v>1</v>
      </c>
    </row>
    <row r="98" spans="1:35" hidden="1" x14ac:dyDescent="0.3">
      <c r="A98" s="2" t="str">
        <f t="shared" si="20"/>
        <v>NÃO</v>
      </c>
      <c r="B98" s="2">
        <v>1000184670</v>
      </c>
      <c r="C98" s="2" t="s">
        <v>147</v>
      </c>
      <c r="D98" s="4">
        <v>1000186198</v>
      </c>
      <c r="E98" s="4" t="s">
        <v>168</v>
      </c>
      <c r="F98" s="2">
        <v>1000185288</v>
      </c>
      <c r="G98" s="2" t="s">
        <v>64</v>
      </c>
      <c r="H98" s="4">
        <v>1000189803</v>
      </c>
      <c r="I98" s="4" t="s">
        <v>97</v>
      </c>
      <c r="J98" s="2">
        <v>1000189754</v>
      </c>
      <c r="K98" s="2" t="s">
        <v>157</v>
      </c>
      <c r="L98" s="4" t="s">
        <v>25</v>
      </c>
      <c r="M98" s="4" t="str">
        <f t="shared" si="21"/>
        <v>1000184670100018619810001898031000189754VICCIO</v>
      </c>
      <c r="N98" s="28">
        <f>N80*_xlfn.XLOOKUP($L98,'Balizador da Meta'!$B$4:$B$21,'Balizador da Meta'!$C$4:$C$21)</f>
        <v>90</v>
      </c>
      <c r="O98" s="28">
        <f>O80*_xlfn.XLOOKUP($L98,'Balizador da Meta'!$B$4:$B$21,'Balizador da Meta'!$C$4:$C$21)</f>
        <v>90</v>
      </c>
      <c r="P98" s="28">
        <f>P80*_xlfn.XLOOKUP($L98,'Balizador da Meta'!$B$4:$B$21,'Balizador da Meta'!$C$4:$C$21)</f>
        <v>90</v>
      </c>
      <c r="Q98" s="28">
        <f>Q80*_xlfn.XLOOKUP($L98,'Balizador da Meta'!$B$4:$B$21,'Balizador da Meta'!$C$4:$C$21)</f>
        <v>90</v>
      </c>
      <c r="R98" s="28">
        <f>R80*_xlfn.XLOOKUP($L98,'Balizador da Meta'!$B$4:$B$21,'Balizador da Meta'!$C$4:$C$21)</f>
        <v>90</v>
      </c>
      <c r="S98" s="28">
        <f>S80*_xlfn.XLOOKUP($L98,'Balizador da Meta'!$B$4:$B$21,'Balizador da Meta'!$C$4:$C$21)</f>
        <v>90</v>
      </c>
      <c r="T98" s="28">
        <f>T80*_xlfn.XLOOKUP($L98,'Balizador da Meta'!$B$4:$B$21,'Balizador da Meta'!$C$4:$C$21)</f>
        <v>90</v>
      </c>
      <c r="U98" s="28">
        <f>U80*_xlfn.XLOOKUP($L98,'Balizador da Meta'!$B$4:$B$21,'Balizador da Meta'!$C$4:$C$21)</f>
        <v>90</v>
      </c>
      <c r="V98" s="28">
        <f>V80*_xlfn.XLOOKUP($L98,'Balizador da Meta'!$B$4:$B$21,'Balizador da Meta'!$C$4:$C$21)</f>
        <v>90</v>
      </c>
      <c r="W98" s="28">
        <f>W80*_xlfn.XLOOKUP($L98,'Balizador da Meta'!$B$4:$B$21,'Balizador da Meta'!$C$4:$C$21)</f>
        <v>90</v>
      </c>
      <c r="X98" s="28">
        <f>X80*_xlfn.XLOOKUP($L98,'Balizador da Meta'!$B$4:$B$21,'Balizador da Meta'!$C$4:$C$21)</f>
        <v>90</v>
      </c>
      <c r="Y98" s="28">
        <f>Y80*_xlfn.XLOOKUP($L98,'Balizador da Meta'!$B$4:$B$21,'Balizador da Meta'!$C$4:$C$21)</f>
        <v>90</v>
      </c>
      <c r="Z98" s="30">
        <f t="shared" si="24"/>
        <v>1080</v>
      </c>
      <c r="AA98" s="29"/>
      <c r="AB98" s="31">
        <f>SUMIFS('Historico - FAT'!AK:AK,'Historico - FAT'!$K:$K,Faturamento!$L98,'Historico - FAT'!$I:$I,Faturamento!$J98,'Historico - FAT'!$G:$G,Faturamento!$H98)</f>
        <v>0</v>
      </c>
      <c r="AC98" s="31">
        <f>SUMIFS('Historico - FAT'!AL:AL,'Historico - FAT'!$K:$K,Faturamento!$L98,'Historico - FAT'!$I:$I,Faturamento!$J98,'Historico - FAT'!$G:$G,Faturamento!$H98)</f>
        <v>1723.9633333333334</v>
      </c>
      <c r="AD98" s="31">
        <f>SUMIFS('Historico - FAT'!AM:AM,'Historico - FAT'!$K:$K,Faturamento!$L98,'Historico - FAT'!$I:$I,Faturamento!$J98,'Historico - FAT'!$G:$G,Faturamento!$H98)</f>
        <v>3447.9266666666667</v>
      </c>
      <c r="AE98" s="27">
        <f>SUMIFS('Historico - FAT'!AN:AN,'Historico - FAT'!$K:$K,Faturamento!$L98,'Historico - FAT'!$I:$I,Faturamento!$J98,'Historico - FAT'!$G:$G,Faturamento!$H98)</f>
        <v>2068.7560000000003</v>
      </c>
      <c r="AG98" s="24">
        <f t="shared" si="16"/>
        <v>1</v>
      </c>
      <c r="AH98" s="24">
        <f t="shared" si="17"/>
        <v>-18.15514814814815</v>
      </c>
      <c r="AI98" s="24">
        <f t="shared" si="18"/>
        <v>-37.310296296296301</v>
      </c>
    </row>
    <row r="99" spans="1:35" x14ac:dyDescent="0.3">
      <c r="A99" s="2" t="str">
        <f t="shared" si="20"/>
        <v>SIM</v>
      </c>
      <c r="B99" s="2">
        <v>1000184670</v>
      </c>
      <c r="C99" s="2" t="s">
        <v>147</v>
      </c>
      <c r="D99" s="4">
        <v>1000185711</v>
      </c>
      <c r="E99" s="4" t="s">
        <v>167</v>
      </c>
      <c r="F99" s="2">
        <v>1000184762</v>
      </c>
      <c r="G99" s="2" t="s">
        <v>58</v>
      </c>
      <c r="H99" s="4">
        <v>1000189815</v>
      </c>
      <c r="I99" s="4" t="s">
        <v>59</v>
      </c>
      <c r="J99" s="2">
        <v>1000189755</v>
      </c>
      <c r="K99" s="2" t="s">
        <v>160</v>
      </c>
      <c r="L99" s="4" t="s">
        <v>124</v>
      </c>
      <c r="M99" s="4" t="str">
        <f t="shared" si="21"/>
        <v>100018467010001857111000189815100018975501. TOTAL</v>
      </c>
      <c r="N99" s="28">
        <f>SUMIFS(Positivação!L:L,Positivação!$I:$I,Faturamento!$J99,Positivação!$G:$G,Faturamento!$H99)*SUMIFS(Positivação!$Z:$Z,Positivação!$I:$I,Faturamento!$J99,Positivação!$G:$G,Faturamento!$H99)</f>
        <v>0</v>
      </c>
      <c r="O99" s="28">
        <f>SUMIFS(Positivação!M:M,Positivação!$I:$I,Faturamento!$J99,Positivação!$G:$G,Faturamento!$H99)*SUMIFS(Positivação!$Z:$Z,Positivação!$I:$I,Faturamento!$J99,Positivação!$G:$G,Faturamento!$H99)</f>
        <v>0</v>
      </c>
      <c r="P99" s="28">
        <f>SUMIFS(Positivação!N:N,Positivação!$I:$I,Faturamento!$J99,Positivação!$G:$G,Faturamento!$H99)*SUMIFS(Positivação!$Z:$Z,Positivação!$I:$I,Faturamento!$J99,Positivação!$G:$G,Faturamento!$H99)</f>
        <v>0</v>
      </c>
      <c r="Q99" s="28">
        <f>SUMIFS(Positivação!O:O,Positivação!$I:$I,Faturamento!$J99,Positivação!$G:$G,Faturamento!$H99)*SUMIFS(Positivação!$Z:$Z,Positivação!$I:$I,Faturamento!$J99,Positivação!$G:$G,Faturamento!$H99)</f>
        <v>0</v>
      </c>
      <c r="R99" s="28">
        <f>SUMIFS(Positivação!P:P,Positivação!$I:$I,Faturamento!$J99,Positivação!$G:$G,Faturamento!$H99)*SUMIFS(Positivação!$Z:$Z,Positivação!$I:$I,Faturamento!$J99,Positivação!$G:$G,Faturamento!$H99)</f>
        <v>0</v>
      </c>
      <c r="S99" s="28">
        <f>SUMIFS(Positivação!Q:Q,Positivação!$I:$I,Faturamento!$J99,Positivação!$G:$G,Faturamento!$H99)*SUMIFS(Positivação!$Z:$Z,Positivação!$I:$I,Faturamento!$J99,Positivação!$G:$G,Faturamento!$H99)</f>
        <v>0</v>
      </c>
      <c r="T99" s="28">
        <f>SUMIFS(Positivação!R:R,Positivação!$I:$I,Faturamento!$J99,Positivação!$G:$G,Faturamento!$H99)*SUMIFS(Positivação!$Z:$Z,Positivação!$I:$I,Faturamento!$J99,Positivação!$G:$G,Faturamento!$H99)</f>
        <v>0</v>
      </c>
      <c r="U99" s="28">
        <f>SUMIFS(Positivação!S:S,Positivação!$I:$I,Faturamento!$J99,Positivação!$G:$G,Faturamento!$H99)*SUMIFS(Positivação!$Z:$Z,Positivação!$I:$I,Faturamento!$J99,Positivação!$G:$G,Faturamento!$H99)</f>
        <v>0</v>
      </c>
      <c r="V99" s="28">
        <f>SUMIFS(Positivação!T:T,Positivação!$I:$I,Faturamento!$J99,Positivação!$G:$G,Faturamento!$H99)*SUMIFS(Positivação!$Z:$Z,Positivação!$I:$I,Faturamento!$J99,Positivação!$G:$G,Faturamento!$H99)</f>
        <v>0</v>
      </c>
      <c r="W99" s="28">
        <f>SUMIFS(Positivação!U:U,Positivação!$I:$I,Faturamento!$J99,Positivação!$G:$G,Faturamento!$H99)*SUMIFS(Positivação!$Z:$Z,Positivação!$I:$I,Faturamento!$J99,Positivação!$G:$G,Faturamento!$H99)</f>
        <v>0</v>
      </c>
      <c r="X99" s="28">
        <f>SUMIFS(Positivação!V:V,Positivação!$I:$I,Faturamento!$J99,Positivação!$G:$G,Faturamento!$H99)*SUMIFS(Positivação!$Z:$Z,Positivação!$I:$I,Faturamento!$J99,Positivação!$G:$G,Faturamento!$H99)</f>
        <v>0</v>
      </c>
      <c r="Y99" s="28">
        <f>SUMIFS(Positivação!W:W,Positivação!$I:$I,Faturamento!$J99,Positivação!$G:$G,Faturamento!$H99)*SUMIFS(Positivação!$Z:$Z,Positivação!$I:$I,Faturamento!$J99,Positivação!$G:$G,Faturamento!$H99)</f>
        <v>0</v>
      </c>
      <c r="Z99" s="28">
        <f t="shared" ref="Z99" si="25">SUM(Z100:Z117)</f>
        <v>0</v>
      </c>
      <c r="AA99" s="29"/>
      <c r="AB99" s="28">
        <f t="shared" ref="AB99:AE99" si="26">SUM(AB100:AB117)</f>
        <v>0</v>
      </c>
      <c r="AC99" s="28">
        <f t="shared" si="26"/>
        <v>0</v>
      </c>
      <c r="AD99" s="28">
        <f t="shared" si="26"/>
        <v>0</v>
      </c>
      <c r="AE99" s="28">
        <f t="shared" si="26"/>
        <v>0</v>
      </c>
      <c r="AG99" s="24" t="str">
        <f t="shared" si="16"/>
        <v/>
      </c>
      <c r="AH99" s="24" t="str">
        <f t="shared" si="17"/>
        <v/>
      </c>
      <c r="AI99" s="24" t="str">
        <f t="shared" si="18"/>
        <v/>
      </c>
    </row>
    <row r="100" spans="1:35" hidden="1" x14ac:dyDescent="0.3">
      <c r="A100" s="2" t="str">
        <f t="shared" si="20"/>
        <v>NÃO</v>
      </c>
      <c r="B100" s="2">
        <v>1000184670</v>
      </c>
      <c r="C100" s="2" t="s">
        <v>147</v>
      </c>
      <c r="D100" s="4">
        <v>1000185711</v>
      </c>
      <c r="E100" s="4" t="s">
        <v>167</v>
      </c>
      <c r="F100" s="2">
        <v>1000184762</v>
      </c>
      <c r="G100" s="2" t="s">
        <v>58</v>
      </c>
      <c r="H100" s="4">
        <v>1000189815</v>
      </c>
      <c r="I100" s="4" t="s">
        <v>59</v>
      </c>
      <c r="J100" s="2">
        <v>1000189755</v>
      </c>
      <c r="K100" s="2" t="s">
        <v>160</v>
      </c>
      <c r="L100" s="4" t="s">
        <v>13</v>
      </c>
      <c r="M100" s="4" t="str">
        <f t="shared" si="21"/>
        <v>1000184670100018571110001898151000189755BISCOITO</v>
      </c>
      <c r="N100" s="28">
        <f>N99*_xlfn.XLOOKUP($L100,'Balizador da Meta'!$B$4:$B$21,'Balizador da Meta'!$C$4:$C$21)</f>
        <v>0</v>
      </c>
      <c r="O100" s="28">
        <f>O99*_xlfn.XLOOKUP($L100,'Balizador da Meta'!$B$4:$B$21,'Balizador da Meta'!$C$4:$C$21)</f>
        <v>0</v>
      </c>
      <c r="P100" s="28">
        <f>P99*_xlfn.XLOOKUP($L100,'Balizador da Meta'!$B$4:$B$21,'Balizador da Meta'!$C$4:$C$21)</f>
        <v>0</v>
      </c>
      <c r="Q100" s="28">
        <f>Q99*_xlfn.XLOOKUP($L100,'Balizador da Meta'!$B$4:$B$21,'Balizador da Meta'!$C$4:$C$21)</f>
        <v>0</v>
      </c>
      <c r="R100" s="28">
        <f>R99*_xlfn.XLOOKUP($L100,'Balizador da Meta'!$B$4:$B$21,'Balizador da Meta'!$C$4:$C$21)</f>
        <v>0</v>
      </c>
      <c r="S100" s="28">
        <f>S99*_xlfn.XLOOKUP($L100,'Balizador da Meta'!$B$4:$B$21,'Balizador da Meta'!$C$4:$C$21)</f>
        <v>0</v>
      </c>
      <c r="T100" s="28">
        <f>T99*_xlfn.XLOOKUP($L100,'Balizador da Meta'!$B$4:$B$21,'Balizador da Meta'!$C$4:$C$21)</f>
        <v>0</v>
      </c>
      <c r="U100" s="28">
        <f>U99*_xlfn.XLOOKUP($L100,'Balizador da Meta'!$B$4:$B$21,'Balizador da Meta'!$C$4:$C$21)</f>
        <v>0</v>
      </c>
      <c r="V100" s="28">
        <f>V99*_xlfn.XLOOKUP($L100,'Balizador da Meta'!$B$4:$B$21,'Balizador da Meta'!$C$4:$C$21)</f>
        <v>0</v>
      </c>
      <c r="W100" s="28">
        <f>W99*_xlfn.XLOOKUP($L100,'Balizador da Meta'!$B$4:$B$21,'Balizador da Meta'!$C$4:$C$21)</f>
        <v>0</v>
      </c>
      <c r="X100" s="28">
        <f>X99*_xlfn.XLOOKUP($L100,'Balizador da Meta'!$B$4:$B$21,'Balizador da Meta'!$C$4:$C$21)</f>
        <v>0</v>
      </c>
      <c r="Y100" s="28">
        <f>Y99*_xlfn.XLOOKUP($L100,'Balizador da Meta'!$B$4:$B$21,'Balizador da Meta'!$C$4:$C$21)</f>
        <v>0</v>
      </c>
      <c r="Z100" s="30">
        <f t="shared" ref="Z100:Z117" si="27">SUM(N100:Y100)</f>
        <v>0</v>
      </c>
      <c r="AA100" s="29"/>
      <c r="AB100" s="31">
        <f>SUMIFS('Historico - FAT'!AK:AK,'Historico - FAT'!$K:$K,Faturamento!$L100,'Historico - FAT'!$I:$I,Faturamento!$J100,'Historico - FAT'!$G:$G,Faturamento!$H100)</f>
        <v>0</v>
      </c>
      <c r="AC100" s="31">
        <f>SUMIFS('Historico - FAT'!AL:AL,'Historico - FAT'!$K:$K,Faturamento!$L100,'Historico - FAT'!$I:$I,Faturamento!$J100,'Historico - FAT'!$G:$G,Faturamento!$H100)</f>
        <v>0</v>
      </c>
      <c r="AD100" s="31">
        <f>SUMIFS('Historico - FAT'!AM:AM,'Historico - FAT'!$K:$K,Faturamento!$L100,'Historico - FAT'!$I:$I,Faturamento!$J100,'Historico - FAT'!$G:$G,Faturamento!$H100)</f>
        <v>0</v>
      </c>
      <c r="AE100" s="27">
        <f>SUMIFS('Historico - FAT'!AN:AN,'Historico - FAT'!$K:$K,Faturamento!$L100,'Historico - FAT'!$I:$I,Faturamento!$J100,'Historico - FAT'!$G:$G,Faturamento!$H100)</f>
        <v>0</v>
      </c>
      <c r="AG100" s="24" t="str">
        <f t="shared" si="16"/>
        <v/>
      </c>
      <c r="AH100" s="24" t="str">
        <f t="shared" si="17"/>
        <v/>
      </c>
      <c r="AI100" s="24" t="str">
        <f t="shared" si="18"/>
        <v/>
      </c>
    </row>
    <row r="101" spans="1:35" hidden="1" x14ac:dyDescent="0.3">
      <c r="A101" s="2" t="str">
        <f t="shared" si="20"/>
        <v>NÃO</v>
      </c>
      <c r="B101" s="2">
        <v>1000184670</v>
      </c>
      <c r="C101" s="2" t="s">
        <v>147</v>
      </c>
      <c r="D101" s="4">
        <v>1000185711</v>
      </c>
      <c r="E101" s="4" t="s">
        <v>167</v>
      </c>
      <c r="F101" s="2">
        <v>1000184762</v>
      </c>
      <c r="G101" s="2" t="s">
        <v>58</v>
      </c>
      <c r="H101" s="4">
        <v>1000189815</v>
      </c>
      <c r="I101" s="4" t="s">
        <v>59</v>
      </c>
      <c r="J101" s="2">
        <v>1000189755</v>
      </c>
      <c r="K101" s="2" t="s">
        <v>160</v>
      </c>
      <c r="L101" s="4" t="s">
        <v>14</v>
      </c>
      <c r="M101" s="4" t="str">
        <f t="shared" si="21"/>
        <v>1000184670100018571110001898151000189755CHOCOLATES</v>
      </c>
      <c r="N101" s="28">
        <f>N99*_xlfn.XLOOKUP($L101,'Balizador da Meta'!$B$4:$B$21,'Balizador da Meta'!$C$4:$C$21)</f>
        <v>0</v>
      </c>
      <c r="O101" s="28">
        <f>O99*_xlfn.XLOOKUP($L101,'Balizador da Meta'!$B$4:$B$21,'Balizador da Meta'!$C$4:$C$21)</f>
        <v>0</v>
      </c>
      <c r="P101" s="28">
        <f>P99*_xlfn.XLOOKUP($L101,'Balizador da Meta'!$B$4:$B$21,'Balizador da Meta'!$C$4:$C$21)</f>
        <v>0</v>
      </c>
      <c r="Q101" s="28">
        <f>Q99*_xlfn.XLOOKUP($L101,'Balizador da Meta'!$B$4:$B$21,'Balizador da Meta'!$C$4:$C$21)</f>
        <v>0</v>
      </c>
      <c r="R101" s="28">
        <f>R99*_xlfn.XLOOKUP($L101,'Balizador da Meta'!$B$4:$B$21,'Balizador da Meta'!$C$4:$C$21)</f>
        <v>0</v>
      </c>
      <c r="S101" s="28">
        <f>S99*_xlfn.XLOOKUP($L101,'Balizador da Meta'!$B$4:$B$21,'Balizador da Meta'!$C$4:$C$21)</f>
        <v>0</v>
      </c>
      <c r="T101" s="28">
        <f>T99*_xlfn.XLOOKUP($L101,'Balizador da Meta'!$B$4:$B$21,'Balizador da Meta'!$C$4:$C$21)</f>
        <v>0</v>
      </c>
      <c r="U101" s="28">
        <f>U99*_xlfn.XLOOKUP($L101,'Balizador da Meta'!$B$4:$B$21,'Balizador da Meta'!$C$4:$C$21)</f>
        <v>0</v>
      </c>
      <c r="V101" s="28">
        <f>V99*_xlfn.XLOOKUP($L101,'Balizador da Meta'!$B$4:$B$21,'Balizador da Meta'!$C$4:$C$21)</f>
        <v>0</v>
      </c>
      <c r="W101" s="28">
        <f>W99*_xlfn.XLOOKUP($L101,'Balizador da Meta'!$B$4:$B$21,'Balizador da Meta'!$C$4:$C$21)</f>
        <v>0</v>
      </c>
      <c r="X101" s="28">
        <f>X99*_xlfn.XLOOKUP($L101,'Balizador da Meta'!$B$4:$B$21,'Balizador da Meta'!$C$4:$C$21)</f>
        <v>0</v>
      </c>
      <c r="Y101" s="28">
        <f>Y99*_xlfn.XLOOKUP($L101,'Balizador da Meta'!$B$4:$B$21,'Balizador da Meta'!$C$4:$C$21)</f>
        <v>0</v>
      </c>
      <c r="Z101" s="30">
        <f t="shared" si="27"/>
        <v>0</v>
      </c>
      <c r="AA101" s="29"/>
      <c r="AB101" s="31">
        <f>SUMIFS('Historico - FAT'!AK:AK,'Historico - FAT'!$K:$K,Faturamento!$L101,'Historico - FAT'!$I:$I,Faturamento!$J101,'Historico - FAT'!$G:$G,Faturamento!$H101)</f>
        <v>0</v>
      </c>
      <c r="AC101" s="31">
        <f>SUMIFS('Historico - FAT'!AL:AL,'Historico - FAT'!$K:$K,Faturamento!$L101,'Historico - FAT'!$I:$I,Faturamento!$J101,'Historico - FAT'!$G:$G,Faturamento!$H101)</f>
        <v>0</v>
      </c>
      <c r="AD101" s="31">
        <f>SUMIFS('Historico - FAT'!AM:AM,'Historico - FAT'!$K:$K,Faturamento!$L101,'Historico - FAT'!$I:$I,Faturamento!$J101,'Historico - FAT'!$G:$G,Faturamento!$H101)</f>
        <v>0</v>
      </c>
      <c r="AE101" s="27">
        <f>SUMIFS('Historico - FAT'!AN:AN,'Historico - FAT'!$K:$K,Faturamento!$L101,'Historico - FAT'!$I:$I,Faturamento!$J101,'Historico - FAT'!$G:$G,Faturamento!$H101)</f>
        <v>0</v>
      </c>
      <c r="AG101" s="24" t="str">
        <f t="shared" si="16"/>
        <v/>
      </c>
      <c r="AH101" s="24" t="str">
        <f t="shared" si="17"/>
        <v/>
      </c>
      <c r="AI101" s="24" t="str">
        <f t="shared" si="18"/>
        <v/>
      </c>
    </row>
    <row r="102" spans="1:35" hidden="1" x14ac:dyDescent="0.3">
      <c r="A102" s="2" t="str">
        <f t="shared" si="20"/>
        <v>NÃO</v>
      </c>
      <c r="B102" s="2">
        <v>1000184670</v>
      </c>
      <c r="C102" s="2" t="s">
        <v>147</v>
      </c>
      <c r="D102" s="4">
        <v>1000185711</v>
      </c>
      <c r="E102" s="4" t="s">
        <v>167</v>
      </c>
      <c r="F102" s="2">
        <v>1000184762</v>
      </c>
      <c r="G102" s="2" t="s">
        <v>58</v>
      </c>
      <c r="H102" s="4">
        <v>1000189815</v>
      </c>
      <c r="I102" s="4" t="s">
        <v>59</v>
      </c>
      <c r="J102" s="2">
        <v>1000189755</v>
      </c>
      <c r="K102" s="2" t="s">
        <v>160</v>
      </c>
      <c r="L102" s="4" t="s">
        <v>16</v>
      </c>
      <c r="M102" s="4" t="str">
        <f t="shared" si="21"/>
        <v>1000184670100018571110001898151000189755DISNEY</v>
      </c>
      <c r="N102" s="28">
        <f>N99*_xlfn.XLOOKUP($L102,'Balizador da Meta'!$B$4:$B$21,'Balizador da Meta'!$C$4:$C$21)</f>
        <v>0</v>
      </c>
      <c r="O102" s="28">
        <f>O99*_xlfn.XLOOKUP($L102,'Balizador da Meta'!$B$4:$B$21,'Balizador da Meta'!$C$4:$C$21)</f>
        <v>0</v>
      </c>
      <c r="P102" s="28">
        <f>P99*_xlfn.XLOOKUP($L102,'Balizador da Meta'!$B$4:$B$21,'Balizador da Meta'!$C$4:$C$21)</f>
        <v>0</v>
      </c>
      <c r="Q102" s="28">
        <f>Q99*_xlfn.XLOOKUP($L102,'Balizador da Meta'!$B$4:$B$21,'Balizador da Meta'!$C$4:$C$21)</f>
        <v>0</v>
      </c>
      <c r="R102" s="28">
        <f>R99*_xlfn.XLOOKUP($L102,'Balizador da Meta'!$B$4:$B$21,'Balizador da Meta'!$C$4:$C$21)</f>
        <v>0</v>
      </c>
      <c r="S102" s="28">
        <f>S99*_xlfn.XLOOKUP($L102,'Balizador da Meta'!$B$4:$B$21,'Balizador da Meta'!$C$4:$C$21)</f>
        <v>0</v>
      </c>
      <c r="T102" s="28">
        <f>T99*_xlfn.XLOOKUP($L102,'Balizador da Meta'!$B$4:$B$21,'Balizador da Meta'!$C$4:$C$21)</f>
        <v>0</v>
      </c>
      <c r="U102" s="28">
        <f>U99*_xlfn.XLOOKUP($L102,'Balizador da Meta'!$B$4:$B$21,'Balizador da Meta'!$C$4:$C$21)</f>
        <v>0</v>
      </c>
      <c r="V102" s="28">
        <f>V99*_xlfn.XLOOKUP($L102,'Balizador da Meta'!$B$4:$B$21,'Balizador da Meta'!$C$4:$C$21)</f>
        <v>0</v>
      </c>
      <c r="W102" s="28">
        <f>W99*_xlfn.XLOOKUP($L102,'Balizador da Meta'!$B$4:$B$21,'Balizador da Meta'!$C$4:$C$21)</f>
        <v>0</v>
      </c>
      <c r="X102" s="28">
        <f>X99*_xlfn.XLOOKUP($L102,'Balizador da Meta'!$B$4:$B$21,'Balizador da Meta'!$C$4:$C$21)</f>
        <v>0</v>
      </c>
      <c r="Y102" s="28">
        <f>Y99*_xlfn.XLOOKUP($L102,'Balizador da Meta'!$B$4:$B$21,'Balizador da Meta'!$C$4:$C$21)</f>
        <v>0</v>
      </c>
      <c r="Z102" s="30">
        <f t="shared" si="27"/>
        <v>0</v>
      </c>
      <c r="AA102" s="29"/>
      <c r="AB102" s="31">
        <f>SUMIFS('Historico - FAT'!AK:AK,'Historico - FAT'!$K:$K,Faturamento!$L102,'Historico - FAT'!$I:$I,Faturamento!$J102,'Historico - FAT'!$G:$G,Faturamento!$H102)</f>
        <v>0</v>
      </c>
      <c r="AC102" s="31">
        <f>SUMIFS('Historico - FAT'!AL:AL,'Historico - FAT'!$K:$K,Faturamento!$L102,'Historico - FAT'!$I:$I,Faturamento!$J102,'Historico - FAT'!$G:$G,Faturamento!$H102)</f>
        <v>0</v>
      </c>
      <c r="AD102" s="31">
        <f>SUMIFS('Historico - FAT'!AM:AM,'Historico - FAT'!$K:$K,Faturamento!$L102,'Historico - FAT'!$I:$I,Faturamento!$J102,'Historico - FAT'!$G:$G,Faturamento!$H102)</f>
        <v>0</v>
      </c>
      <c r="AE102" s="27">
        <f>SUMIFS('Historico - FAT'!AN:AN,'Historico - FAT'!$K:$K,Faturamento!$L102,'Historico - FAT'!$I:$I,Faturamento!$J102,'Historico - FAT'!$G:$G,Faturamento!$H102)</f>
        <v>0</v>
      </c>
      <c r="AG102" s="24" t="str">
        <f t="shared" si="16"/>
        <v/>
      </c>
      <c r="AH102" s="24" t="str">
        <f t="shared" si="17"/>
        <v/>
      </c>
      <c r="AI102" s="24" t="str">
        <f t="shared" si="18"/>
        <v/>
      </c>
    </row>
    <row r="103" spans="1:35" hidden="1" x14ac:dyDescent="0.3">
      <c r="A103" s="2" t="str">
        <f t="shared" si="20"/>
        <v>NÃO</v>
      </c>
      <c r="B103" s="2">
        <v>1000184670</v>
      </c>
      <c r="C103" s="2" t="s">
        <v>147</v>
      </c>
      <c r="D103" s="4">
        <v>1000185711</v>
      </c>
      <c r="E103" s="4" t="s">
        <v>167</v>
      </c>
      <c r="F103" s="2">
        <v>1000184762</v>
      </c>
      <c r="G103" s="2" t="s">
        <v>58</v>
      </c>
      <c r="H103" s="4">
        <v>1000189815</v>
      </c>
      <c r="I103" s="4" t="s">
        <v>59</v>
      </c>
      <c r="J103" s="2">
        <v>1000189755</v>
      </c>
      <c r="K103" s="2" t="s">
        <v>160</v>
      </c>
      <c r="L103" s="4" t="s">
        <v>15</v>
      </c>
      <c r="M103" s="4" t="str">
        <f t="shared" si="21"/>
        <v>1000184670100018571110001898151000189755DOCES</v>
      </c>
      <c r="N103" s="28">
        <f>N99*_xlfn.XLOOKUP($L103,'Balizador da Meta'!$B$4:$B$21,'Balizador da Meta'!$C$4:$C$21)</f>
        <v>0</v>
      </c>
      <c r="O103" s="28">
        <f>O99*_xlfn.XLOOKUP($L103,'Balizador da Meta'!$B$4:$B$21,'Balizador da Meta'!$C$4:$C$21)</f>
        <v>0</v>
      </c>
      <c r="P103" s="28">
        <f>P99*_xlfn.XLOOKUP($L103,'Balizador da Meta'!$B$4:$B$21,'Balizador da Meta'!$C$4:$C$21)</f>
        <v>0</v>
      </c>
      <c r="Q103" s="28">
        <f>Q99*_xlfn.XLOOKUP($L103,'Balizador da Meta'!$B$4:$B$21,'Balizador da Meta'!$C$4:$C$21)</f>
        <v>0</v>
      </c>
      <c r="R103" s="28">
        <f>R99*_xlfn.XLOOKUP($L103,'Balizador da Meta'!$B$4:$B$21,'Balizador da Meta'!$C$4:$C$21)</f>
        <v>0</v>
      </c>
      <c r="S103" s="28">
        <f>S99*_xlfn.XLOOKUP($L103,'Balizador da Meta'!$B$4:$B$21,'Balizador da Meta'!$C$4:$C$21)</f>
        <v>0</v>
      </c>
      <c r="T103" s="28">
        <f>T99*_xlfn.XLOOKUP($L103,'Balizador da Meta'!$B$4:$B$21,'Balizador da Meta'!$C$4:$C$21)</f>
        <v>0</v>
      </c>
      <c r="U103" s="28">
        <f>U99*_xlfn.XLOOKUP($L103,'Balizador da Meta'!$B$4:$B$21,'Balizador da Meta'!$C$4:$C$21)</f>
        <v>0</v>
      </c>
      <c r="V103" s="28">
        <f>V99*_xlfn.XLOOKUP($L103,'Balizador da Meta'!$B$4:$B$21,'Balizador da Meta'!$C$4:$C$21)</f>
        <v>0</v>
      </c>
      <c r="W103" s="28">
        <f>W99*_xlfn.XLOOKUP($L103,'Balizador da Meta'!$B$4:$B$21,'Balizador da Meta'!$C$4:$C$21)</f>
        <v>0</v>
      </c>
      <c r="X103" s="28">
        <f>X99*_xlfn.XLOOKUP($L103,'Balizador da Meta'!$B$4:$B$21,'Balizador da Meta'!$C$4:$C$21)</f>
        <v>0</v>
      </c>
      <c r="Y103" s="28">
        <f>Y99*_xlfn.XLOOKUP($L103,'Balizador da Meta'!$B$4:$B$21,'Balizador da Meta'!$C$4:$C$21)</f>
        <v>0</v>
      </c>
      <c r="Z103" s="30">
        <f t="shared" si="27"/>
        <v>0</v>
      </c>
      <c r="AA103" s="29"/>
      <c r="AB103" s="31">
        <f>SUMIFS('Historico - FAT'!AK:AK,'Historico - FAT'!$K:$K,Faturamento!$L103,'Historico - FAT'!$I:$I,Faturamento!$J103,'Historico - FAT'!$G:$G,Faturamento!$H103)</f>
        <v>0</v>
      </c>
      <c r="AC103" s="31">
        <f>SUMIFS('Historico - FAT'!AL:AL,'Historico - FAT'!$K:$K,Faturamento!$L103,'Historico - FAT'!$I:$I,Faturamento!$J103,'Historico - FAT'!$G:$G,Faturamento!$H103)</f>
        <v>0</v>
      </c>
      <c r="AD103" s="31">
        <f>SUMIFS('Historico - FAT'!AM:AM,'Historico - FAT'!$K:$K,Faturamento!$L103,'Historico - FAT'!$I:$I,Faturamento!$J103,'Historico - FAT'!$G:$G,Faturamento!$H103)</f>
        <v>0</v>
      </c>
      <c r="AE103" s="27">
        <f>SUMIFS('Historico - FAT'!AN:AN,'Historico - FAT'!$K:$K,Faturamento!$L103,'Historico - FAT'!$I:$I,Faturamento!$J103,'Historico - FAT'!$G:$G,Faturamento!$H103)</f>
        <v>0</v>
      </c>
      <c r="AG103" s="24" t="str">
        <f t="shared" si="16"/>
        <v/>
      </c>
      <c r="AH103" s="24" t="str">
        <f t="shared" si="17"/>
        <v/>
      </c>
      <c r="AI103" s="24" t="str">
        <f t="shared" si="18"/>
        <v/>
      </c>
    </row>
    <row r="104" spans="1:35" hidden="1" x14ac:dyDescent="0.3">
      <c r="A104" s="2" t="str">
        <f t="shared" si="20"/>
        <v>NÃO</v>
      </c>
      <c r="B104" s="2">
        <v>1000184670</v>
      </c>
      <c r="C104" s="2" t="s">
        <v>147</v>
      </c>
      <c r="D104" s="4">
        <v>1000185711</v>
      </c>
      <c r="E104" s="4" t="s">
        <v>167</v>
      </c>
      <c r="F104" s="2">
        <v>1000184762</v>
      </c>
      <c r="G104" s="2" t="s">
        <v>58</v>
      </c>
      <c r="H104" s="4">
        <v>1000189815</v>
      </c>
      <c r="I104" s="4" t="s">
        <v>59</v>
      </c>
      <c r="J104" s="2">
        <v>1000189755</v>
      </c>
      <c r="K104" s="2" t="s">
        <v>160</v>
      </c>
      <c r="L104" s="4" t="s">
        <v>33</v>
      </c>
      <c r="M104" s="4" t="str">
        <f t="shared" si="21"/>
        <v>1000184670100018571110001898151000189755FOOD SERVICE</v>
      </c>
      <c r="N104" s="28">
        <f>N99*_xlfn.XLOOKUP($L104,'Balizador da Meta'!$B$4:$B$21,'Balizador da Meta'!$C$4:$C$21)</f>
        <v>0</v>
      </c>
      <c r="O104" s="28">
        <f>O99*_xlfn.XLOOKUP($L104,'Balizador da Meta'!$B$4:$B$21,'Balizador da Meta'!$C$4:$C$21)</f>
        <v>0</v>
      </c>
      <c r="P104" s="28">
        <f>P99*_xlfn.XLOOKUP($L104,'Balizador da Meta'!$B$4:$B$21,'Balizador da Meta'!$C$4:$C$21)</f>
        <v>0</v>
      </c>
      <c r="Q104" s="28">
        <f>Q99*_xlfn.XLOOKUP($L104,'Balizador da Meta'!$B$4:$B$21,'Balizador da Meta'!$C$4:$C$21)</f>
        <v>0</v>
      </c>
      <c r="R104" s="28">
        <f>R99*_xlfn.XLOOKUP($L104,'Balizador da Meta'!$B$4:$B$21,'Balizador da Meta'!$C$4:$C$21)</f>
        <v>0</v>
      </c>
      <c r="S104" s="28">
        <f>S99*_xlfn.XLOOKUP($L104,'Balizador da Meta'!$B$4:$B$21,'Balizador da Meta'!$C$4:$C$21)</f>
        <v>0</v>
      </c>
      <c r="T104" s="28">
        <f>T99*_xlfn.XLOOKUP($L104,'Balizador da Meta'!$B$4:$B$21,'Balizador da Meta'!$C$4:$C$21)</f>
        <v>0</v>
      </c>
      <c r="U104" s="28">
        <f>U99*_xlfn.XLOOKUP($L104,'Balizador da Meta'!$B$4:$B$21,'Balizador da Meta'!$C$4:$C$21)</f>
        <v>0</v>
      </c>
      <c r="V104" s="28">
        <f>V99*_xlfn.XLOOKUP($L104,'Balizador da Meta'!$B$4:$B$21,'Balizador da Meta'!$C$4:$C$21)</f>
        <v>0</v>
      </c>
      <c r="W104" s="28">
        <f>W99*_xlfn.XLOOKUP($L104,'Balizador da Meta'!$B$4:$B$21,'Balizador da Meta'!$C$4:$C$21)</f>
        <v>0</v>
      </c>
      <c r="X104" s="28">
        <f>X99*_xlfn.XLOOKUP($L104,'Balizador da Meta'!$B$4:$B$21,'Balizador da Meta'!$C$4:$C$21)</f>
        <v>0</v>
      </c>
      <c r="Y104" s="28">
        <f>Y99*_xlfn.XLOOKUP($L104,'Balizador da Meta'!$B$4:$B$21,'Balizador da Meta'!$C$4:$C$21)</f>
        <v>0</v>
      </c>
      <c r="Z104" s="30">
        <f t="shared" si="27"/>
        <v>0</v>
      </c>
      <c r="AA104" s="29"/>
      <c r="AB104" s="31">
        <f>SUMIFS('Historico - FAT'!AK:AK,'Historico - FAT'!$K:$K,Faturamento!$L104,'Historico - FAT'!$I:$I,Faturamento!$J104,'Historico - FAT'!$G:$G,Faturamento!$H104)</f>
        <v>0</v>
      </c>
      <c r="AC104" s="31">
        <f>SUMIFS('Historico - FAT'!AL:AL,'Historico - FAT'!$K:$K,Faturamento!$L104,'Historico - FAT'!$I:$I,Faturamento!$J104,'Historico - FAT'!$G:$G,Faturamento!$H104)</f>
        <v>0</v>
      </c>
      <c r="AD104" s="31">
        <f>SUMIFS('Historico - FAT'!AM:AM,'Historico - FAT'!$K:$K,Faturamento!$L104,'Historico - FAT'!$I:$I,Faturamento!$J104,'Historico - FAT'!$G:$G,Faturamento!$H104)</f>
        <v>0</v>
      </c>
      <c r="AE104" s="27">
        <f>SUMIFS('Historico - FAT'!AN:AN,'Historico - FAT'!$K:$K,Faturamento!$L104,'Historico - FAT'!$I:$I,Faturamento!$J104,'Historico - FAT'!$G:$G,Faturamento!$H104)</f>
        <v>0</v>
      </c>
      <c r="AG104" s="24" t="str">
        <f t="shared" si="16"/>
        <v/>
      </c>
      <c r="AH104" s="24" t="str">
        <f t="shared" si="17"/>
        <v/>
      </c>
      <c r="AI104" s="24" t="str">
        <f t="shared" si="18"/>
        <v/>
      </c>
    </row>
    <row r="105" spans="1:35" hidden="1" x14ac:dyDescent="0.3">
      <c r="A105" s="2" t="str">
        <f t="shared" si="20"/>
        <v>NÃO</v>
      </c>
      <c r="B105" s="2">
        <v>1000184670</v>
      </c>
      <c r="C105" s="2" t="s">
        <v>147</v>
      </c>
      <c r="D105" s="4">
        <v>1000185711</v>
      </c>
      <c r="E105" s="4" t="s">
        <v>167</v>
      </c>
      <c r="F105" s="2">
        <v>1000184762</v>
      </c>
      <c r="G105" s="2" t="s">
        <v>58</v>
      </c>
      <c r="H105" s="4">
        <v>1000189815</v>
      </c>
      <c r="I105" s="4" t="s">
        <v>59</v>
      </c>
      <c r="J105" s="2">
        <v>1000189755</v>
      </c>
      <c r="K105" s="2" t="s">
        <v>160</v>
      </c>
      <c r="L105" s="4" t="s">
        <v>19</v>
      </c>
      <c r="M105" s="4" t="str">
        <f t="shared" si="21"/>
        <v>1000184670100018571110001898151000189755GELEIA</v>
      </c>
      <c r="N105" s="28">
        <f>N99*_xlfn.XLOOKUP($L105,'Balizador da Meta'!$B$4:$B$21,'Balizador da Meta'!$C$4:$C$21)</f>
        <v>0</v>
      </c>
      <c r="O105" s="28">
        <f>O99*_xlfn.XLOOKUP($L105,'Balizador da Meta'!$B$4:$B$21,'Balizador da Meta'!$C$4:$C$21)</f>
        <v>0</v>
      </c>
      <c r="P105" s="28">
        <f>P99*_xlfn.XLOOKUP($L105,'Balizador da Meta'!$B$4:$B$21,'Balizador da Meta'!$C$4:$C$21)</f>
        <v>0</v>
      </c>
      <c r="Q105" s="28">
        <f>Q99*_xlfn.XLOOKUP($L105,'Balizador da Meta'!$B$4:$B$21,'Balizador da Meta'!$C$4:$C$21)</f>
        <v>0</v>
      </c>
      <c r="R105" s="28">
        <f>R99*_xlfn.XLOOKUP($L105,'Balizador da Meta'!$B$4:$B$21,'Balizador da Meta'!$C$4:$C$21)</f>
        <v>0</v>
      </c>
      <c r="S105" s="28">
        <f>S99*_xlfn.XLOOKUP($L105,'Balizador da Meta'!$B$4:$B$21,'Balizador da Meta'!$C$4:$C$21)</f>
        <v>0</v>
      </c>
      <c r="T105" s="28">
        <f>T99*_xlfn.XLOOKUP($L105,'Balizador da Meta'!$B$4:$B$21,'Balizador da Meta'!$C$4:$C$21)</f>
        <v>0</v>
      </c>
      <c r="U105" s="28">
        <f>U99*_xlfn.XLOOKUP($L105,'Balizador da Meta'!$B$4:$B$21,'Balizador da Meta'!$C$4:$C$21)</f>
        <v>0</v>
      </c>
      <c r="V105" s="28">
        <f>V99*_xlfn.XLOOKUP($L105,'Balizador da Meta'!$B$4:$B$21,'Balizador da Meta'!$C$4:$C$21)</f>
        <v>0</v>
      </c>
      <c r="W105" s="28">
        <f>W99*_xlfn.XLOOKUP($L105,'Balizador da Meta'!$B$4:$B$21,'Balizador da Meta'!$C$4:$C$21)</f>
        <v>0</v>
      </c>
      <c r="X105" s="28">
        <f>X99*_xlfn.XLOOKUP($L105,'Balizador da Meta'!$B$4:$B$21,'Balizador da Meta'!$C$4:$C$21)</f>
        <v>0</v>
      </c>
      <c r="Y105" s="28">
        <f>Y99*_xlfn.XLOOKUP($L105,'Balizador da Meta'!$B$4:$B$21,'Balizador da Meta'!$C$4:$C$21)</f>
        <v>0</v>
      </c>
      <c r="Z105" s="30">
        <f t="shared" si="27"/>
        <v>0</v>
      </c>
      <c r="AA105" s="29"/>
      <c r="AB105" s="31">
        <f>SUMIFS('Historico - FAT'!AK:AK,'Historico - FAT'!$K:$K,Faturamento!$L105,'Historico - FAT'!$I:$I,Faturamento!$J105,'Historico - FAT'!$G:$G,Faturamento!$H105)</f>
        <v>0</v>
      </c>
      <c r="AC105" s="31">
        <f>SUMIFS('Historico - FAT'!AL:AL,'Historico - FAT'!$K:$K,Faturamento!$L105,'Historico - FAT'!$I:$I,Faturamento!$J105,'Historico - FAT'!$G:$G,Faturamento!$H105)</f>
        <v>0</v>
      </c>
      <c r="AD105" s="31">
        <f>SUMIFS('Historico - FAT'!AM:AM,'Historico - FAT'!$K:$K,Faturamento!$L105,'Historico - FAT'!$I:$I,Faturamento!$J105,'Historico - FAT'!$G:$G,Faturamento!$H105)</f>
        <v>0</v>
      </c>
      <c r="AE105" s="27">
        <f>SUMIFS('Historico - FAT'!AN:AN,'Historico - FAT'!$K:$K,Faturamento!$L105,'Historico - FAT'!$I:$I,Faturamento!$J105,'Historico - FAT'!$G:$G,Faturamento!$H105)</f>
        <v>0</v>
      </c>
      <c r="AG105" s="24" t="str">
        <f t="shared" si="16"/>
        <v/>
      </c>
      <c r="AH105" s="24" t="str">
        <f t="shared" si="17"/>
        <v/>
      </c>
      <c r="AI105" s="24" t="str">
        <f t="shared" si="18"/>
        <v/>
      </c>
    </row>
    <row r="106" spans="1:35" hidden="1" x14ac:dyDescent="0.3">
      <c r="A106" s="2" t="str">
        <f t="shared" si="20"/>
        <v>NÃO</v>
      </c>
      <c r="B106" s="2">
        <v>1000184670</v>
      </c>
      <c r="C106" s="2" t="s">
        <v>147</v>
      </c>
      <c r="D106" s="4">
        <v>1000185711</v>
      </c>
      <c r="E106" s="4" t="s">
        <v>167</v>
      </c>
      <c r="F106" s="2">
        <v>1000184762</v>
      </c>
      <c r="G106" s="2" t="s">
        <v>58</v>
      </c>
      <c r="H106" s="4">
        <v>1000189815</v>
      </c>
      <c r="I106" s="4" t="s">
        <v>59</v>
      </c>
      <c r="J106" s="2">
        <v>1000189755</v>
      </c>
      <c r="K106" s="2" t="s">
        <v>160</v>
      </c>
      <c r="L106" s="4" t="s">
        <v>17</v>
      </c>
      <c r="M106" s="4" t="str">
        <f t="shared" si="21"/>
        <v>1000184670100018571110001898151000189755GRANOLA</v>
      </c>
      <c r="N106" s="28">
        <f>N99*_xlfn.XLOOKUP($L106,'Balizador da Meta'!$B$4:$B$21,'Balizador da Meta'!$C$4:$C$21)</f>
        <v>0</v>
      </c>
      <c r="O106" s="28">
        <f>O99*_xlfn.XLOOKUP($L106,'Balizador da Meta'!$B$4:$B$21,'Balizador da Meta'!$C$4:$C$21)</f>
        <v>0</v>
      </c>
      <c r="P106" s="28">
        <f>P99*_xlfn.XLOOKUP($L106,'Balizador da Meta'!$B$4:$B$21,'Balizador da Meta'!$C$4:$C$21)</f>
        <v>0</v>
      </c>
      <c r="Q106" s="28">
        <f>Q99*_xlfn.XLOOKUP($L106,'Balizador da Meta'!$B$4:$B$21,'Balizador da Meta'!$C$4:$C$21)</f>
        <v>0</v>
      </c>
      <c r="R106" s="28">
        <f>R99*_xlfn.XLOOKUP($L106,'Balizador da Meta'!$B$4:$B$21,'Balizador da Meta'!$C$4:$C$21)</f>
        <v>0</v>
      </c>
      <c r="S106" s="28">
        <f>S99*_xlfn.XLOOKUP($L106,'Balizador da Meta'!$B$4:$B$21,'Balizador da Meta'!$C$4:$C$21)</f>
        <v>0</v>
      </c>
      <c r="T106" s="28">
        <f>T99*_xlfn.XLOOKUP($L106,'Balizador da Meta'!$B$4:$B$21,'Balizador da Meta'!$C$4:$C$21)</f>
        <v>0</v>
      </c>
      <c r="U106" s="28">
        <f>U99*_xlfn.XLOOKUP($L106,'Balizador da Meta'!$B$4:$B$21,'Balizador da Meta'!$C$4:$C$21)</f>
        <v>0</v>
      </c>
      <c r="V106" s="28">
        <f>V99*_xlfn.XLOOKUP($L106,'Balizador da Meta'!$B$4:$B$21,'Balizador da Meta'!$C$4:$C$21)</f>
        <v>0</v>
      </c>
      <c r="W106" s="28">
        <f>W99*_xlfn.XLOOKUP($L106,'Balizador da Meta'!$B$4:$B$21,'Balizador da Meta'!$C$4:$C$21)</f>
        <v>0</v>
      </c>
      <c r="X106" s="28">
        <f>X99*_xlfn.XLOOKUP($L106,'Balizador da Meta'!$B$4:$B$21,'Balizador da Meta'!$C$4:$C$21)</f>
        <v>0</v>
      </c>
      <c r="Y106" s="28">
        <f>Y99*_xlfn.XLOOKUP($L106,'Balizador da Meta'!$B$4:$B$21,'Balizador da Meta'!$C$4:$C$21)</f>
        <v>0</v>
      </c>
      <c r="Z106" s="30">
        <f t="shared" si="27"/>
        <v>0</v>
      </c>
      <c r="AA106" s="29"/>
      <c r="AB106" s="31">
        <f>SUMIFS('Historico - FAT'!AK:AK,'Historico - FAT'!$K:$K,Faturamento!$L106,'Historico - FAT'!$I:$I,Faturamento!$J106,'Historico - FAT'!$G:$G,Faturamento!$H106)</f>
        <v>0</v>
      </c>
      <c r="AC106" s="31">
        <f>SUMIFS('Historico - FAT'!AL:AL,'Historico - FAT'!$K:$K,Faturamento!$L106,'Historico - FAT'!$I:$I,Faturamento!$J106,'Historico - FAT'!$G:$G,Faturamento!$H106)</f>
        <v>0</v>
      </c>
      <c r="AD106" s="31">
        <f>SUMIFS('Historico - FAT'!AM:AM,'Historico - FAT'!$K:$K,Faturamento!$L106,'Historico - FAT'!$I:$I,Faturamento!$J106,'Historico - FAT'!$G:$G,Faturamento!$H106)</f>
        <v>0</v>
      </c>
      <c r="AE106" s="27">
        <f>SUMIFS('Historico - FAT'!AN:AN,'Historico - FAT'!$K:$K,Faturamento!$L106,'Historico - FAT'!$I:$I,Faturamento!$J106,'Historico - FAT'!$G:$G,Faturamento!$H106)</f>
        <v>0</v>
      </c>
      <c r="AG106" s="24" t="str">
        <f t="shared" si="16"/>
        <v/>
      </c>
      <c r="AH106" s="24" t="str">
        <f t="shared" si="17"/>
        <v/>
      </c>
      <c r="AI106" s="24" t="str">
        <f t="shared" si="18"/>
        <v/>
      </c>
    </row>
    <row r="107" spans="1:35" hidden="1" x14ac:dyDescent="0.3">
      <c r="A107" s="2" t="str">
        <f t="shared" si="20"/>
        <v>NÃO</v>
      </c>
      <c r="B107" s="2">
        <v>1000184670</v>
      </c>
      <c r="C107" s="2" t="s">
        <v>147</v>
      </c>
      <c r="D107" s="4">
        <v>1000185711</v>
      </c>
      <c r="E107" s="4" t="s">
        <v>167</v>
      </c>
      <c r="F107" s="2">
        <v>1000184762</v>
      </c>
      <c r="G107" s="2" t="s">
        <v>58</v>
      </c>
      <c r="H107" s="4">
        <v>1000189815</v>
      </c>
      <c r="I107" s="4" t="s">
        <v>59</v>
      </c>
      <c r="J107" s="2">
        <v>1000189755</v>
      </c>
      <c r="K107" s="2" t="s">
        <v>160</v>
      </c>
      <c r="L107" s="4" t="s">
        <v>24</v>
      </c>
      <c r="M107" s="4" t="str">
        <f t="shared" si="21"/>
        <v>1000184670100018571110001898151000189755KIDS</v>
      </c>
      <c r="N107" s="28">
        <f>N99*_xlfn.XLOOKUP($L107,'Balizador da Meta'!$B$4:$B$21,'Balizador da Meta'!$C$4:$C$21)</f>
        <v>0</v>
      </c>
      <c r="O107" s="28">
        <f>O99*_xlfn.XLOOKUP($L107,'Balizador da Meta'!$B$4:$B$21,'Balizador da Meta'!$C$4:$C$21)</f>
        <v>0</v>
      </c>
      <c r="P107" s="28">
        <f>P99*_xlfn.XLOOKUP($L107,'Balizador da Meta'!$B$4:$B$21,'Balizador da Meta'!$C$4:$C$21)</f>
        <v>0</v>
      </c>
      <c r="Q107" s="28">
        <f>Q99*_xlfn.XLOOKUP($L107,'Balizador da Meta'!$B$4:$B$21,'Balizador da Meta'!$C$4:$C$21)</f>
        <v>0</v>
      </c>
      <c r="R107" s="28">
        <f>R99*_xlfn.XLOOKUP($L107,'Balizador da Meta'!$B$4:$B$21,'Balizador da Meta'!$C$4:$C$21)</f>
        <v>0</v>
      </c>
      <c r="S107" s="28">
        <f>S99*_xlfn.XLOOKUP($L107,'Balizador da Meta'!$B$4:$B$21,'Balizador da Meta'!$C$4:$C$21)</f>
        <v>0</v>
      </c>
      <c r="T107" s="28">
        <f>T99*_xlfn.XLOOKUP($L107,'Balizador da Meta'!$B$4:$B$21,'Balizador da Meta'!$C$4:$C$21)</f>
        <v>0</v>
      </c>
      <c r="U107" s="28">
        <f>U99*_xlfn.XLOOKUP($L107,'Balizador da Meta'!$B$4:$B$21,'Balizador da Meta'!$C$4:$C$21)</f>
        <v>0</v>
      </c>
      <c r="V107" s="28">
        <f>V99*_xlfn.XLOOKUP($L107,'Balizador da Meta'!$B$4:$B$21,'Balizador da Meta'!$C$4:$C$21)</f>
        <v>0</v>
      </c>
      <c r="W107" s="28">
        <f>W99*_xlfn.XLOOKUP($L107,'Balizador da Meta'!$B$4:$B$21,'Balizador da Meta'!$C$4:$C$21)</f>
        <v>0</v>
      </c>
      <c r="X107" s="28">
        <f>X99*_xlfn.XLOOKUP($L107,'Balizador da Meta'!$B$4:$B$21,'Balizador da Meta'!$C$4:$C$21)</f>
        <v>0</v>
      </c>
      <c r="Y107" s="28">
        <f>Y99*_xlfn.XLOOKUP($L107,'Balizador da Meta'!$B$4:$B$21,'Balizador da Meta'!$C$4:$C$21)</f>
        <v>0</v>
      </c>
      <c r="Z107" s="30">
        <f t="shared" si="27"/>
        <v>0</v>
      </c>
      <c r="AA107" s="29"/>
      <c r="AB107" s="31">
        <f>SUMIFS('Historico - FAT'!AK:AK,'Historico - FAT'!$K:$K,Faturamento!$L107,'Historico - FAT'!$I:$I,Faturamento!$J107,'Historico - FAT'!$G:$G,Faturamento!$H107)</f>
        <v>0</v>
      </c>
      <c r="AC107" s="31">
        <f>SUMIFS('Historico - FAT'!AL:AL,'Historico - FAT'!$K:$K,Faturamento!$L107,'Historico - FAT'!$I:$I,Faturamento!$J107,'Historico - FAT'!$G:$G,Faturamento!$H107)</f>
        <v>0</v>
      </c>
      <c r="AD107" s="31">
        <f>SUMIFS('Historico - FAT'!AM:AM,'Historico - FAT'!$K:$K,Faturamento!$L107,'Historico - FAT'!$I:$I,Faturamento!$J107,'Historico - FAT'!$G:$G,Faturamento!$H107)</f>
        <v>0</v>
      </c>
      <c r="AE107" s="27">
        <f>SUMIFS('Historico - FAT'!AN:AN,'Historico - FAT'!$K:$K,Faturamento!$L107,'Historico - FAT'!$I:$I,Faturamento!$J107,'Historico - FAT'!$G:$G,Faturamento!$H107)</f>
        <v>0</v>
      </c>
      <c r="AG107" s="24" t="str">
        <f t="shared" si="16"/>
        <v/>
      </c>
      <c r="AH107" s="24" t="str">
        <f t="shared" si="17"/>
        <v/>
      </c>
      <c r="AI107" s="24" t="str">
        <f t="shared" si="18"/>
        <v/>
      </c>
    </row>
    <row r="108" spans="1:35" hidden="1" x14ac:dyDescent="0.3">
      <c r="A108" s="2" t="str">
        <f t="shared" si="20"/>
        <v>NÃO</v>
      </c>
      <c r="B108" s="2">
        <v>1000184670</v>
      </c>
      <c r="C108" s="2" t="s">
        <v>147</v>
      </c>
      <c r="D108" s="4">
        <v>1000185711</v>
      </c>
      <c r="E108" s="4" t="s">
        <v>167</v>
      </c>
      <c r="F108" s="2">
        <v>1000184762</v>
      </c>
      <c r="G108" s="2" t="s">
        <v>58</v>
      </c>
      <c r="H108" s="4">
        <v>1000189815</v>
      </c>
      <c r="I108" s="4" t="s">
        <v>59</v>
      </c>
      <c r="J108" s="2">
        <v>1000189755</v>
      </c>
      <c r="K108" s="2" t="s">
        <v>160</v>
      </c>
      <c r="L108" s="4" t="s">
        <v>18</v>
      </c>
      <c r="M108" s="4" t="str">
        <f t="shared" si="21"/>
        <v>1000184670100018571110001898151000189755LANCHES</v>
      </c>
      <c r="N108" s="28">
        <f>N99*_xlfn.XLOOKUP($L108,'Balizador da Meta'!$B$4:$B$21,'Balizador da Meta'!$C$4:$C$21)</f>
        <v>0</v>
      </c>
      <c r="O108" s="28">
        <f>O99*_xlfn.XLOOKUP($L108,'Balizador da Meta'!$B$4:$B$21,'Balizador da Meta'!$C$4:$C$21)</f>
        <v>0</v>
      </c>
      <c r="P108" s="28">
        <f>P99*_xlfn.XLOOKUP($L108,'Balizador da Meta'!$B$4:$B$21,'Balizador da Meta'!$C$4:$C$21)</f>
        <v>0</v>
      </c>
      <c r="Q108" s="28">
        <f>Q99*_xlfn.XLOOKUP($L108,'Balizador da Meta'!$B$4:$B$21,'Balizador da Meta'!$C$4:$C$21)</f>
        <v>0</v>
      </c>
      <c r="R108" s="28">
        <f>R99*_xlfn.XLOOKUP($L108,'Balizador da Meta'!$B$4:$B$21,'Balizador da Meta'!$C$4:$C$21)</f>
        <v>0</v>
      </c>
      <c r="S108" s="28">
        <f>S99*_xlfn.XLOOKUP($L108,'Balizador da Meta'!$B$4:$B$21,'Balizador da Meta'!$C$4:$C$21)</f>
        <v>0</v>
      </c>
      <c r="T108" s="28">
        <f>T99*_xlfn.XLOOKUP($L108,'Balizador da Meta'!$B$4:$B$21,'Balizador da Meta'!$C$4:$C$21)</f>
        <v>0</v>
      </c>
      <c r="U108" s="28">
        <f>U99*_xlfn.XLOOKUP($L108,'Balizador da Meta'!$B$4:$B$21,'Balizador da Meta'!$C$4:$C$21)</f>
        <v>0</v>
      </c>
      <c r="V108" s="28">
        <f>V99*_xlfn.XLOOKUP($L108,'Balizador da Meta'!$B$4:$B$21,'Balizador da Meta'!$C$4:$C$21)</f>
        <v>0</v>
      </c>
      <c r="W108" s="28">
        <f>W99*_xlfn.XLOOKUP($L108,'Balizador da Meta'!$B$4:$B$21,'Balizador da Meta'!$C$4:$C$21)</f>
        <v>0</v>
      </c>
      <c r="X108" s="28">
        <f>X99*_xlfn.XLOOKUP($L108,'Balizador da Meta'!$B$4:$B$21,'Balizador da Meta'!$C$4:$C$21)</f>
        <v>0</v>
      </c>
      <c r="Y108" s="28">
        <f>Y99*_xlfn.XLOOKUP($L108,'Balizador da Meta'!$B$4:$B$21,'Balizador da Meta'!$C$4:$C$21)</f>
        <v>0</v>
      </c>
      <c r="Z108" s="30">
        <f t="shared" si="27"/>
        <v>0</v>
      </c>
      <c r="AA108" s="29"/>
      <c r="AB108" s="31">
        <f>SUMIFS('Historico - FAT'!AK:AK,'Historico - FAT'!$K:$K,Faturamento!$L108,'Historico - FAT'!$I:$I,Faturamento!$J108,'Historico - FAT'!$G:$G,Faturamento!$H108)</f>
        <v>0</v>
      </c>
      <c r="AC108" s="31">
        <f>SUMIFS('Historico - FAT'!AL:AL,'Historico - FAT'!$K:$K,Faturamento!$L108,'Historico - FAT'!$I:$I,Faturamento!$J108,'Historico - FAT'!$G:$G,Faturamento!$H108)</f>
        <v>0</v>
      </c>
      <c r="AD108" s="31">
        <f>SUMIFS('Historico - FAT'!AM:AM,'Historico - FAT'!$K:$K,Faturamento!$L108,'Historico - FAT'!$I:$I,Faturamento!$J108,'Historico - FAT'!$G:$G,Faturamento!$H108)</f>
        <v>0</v>
      </c>
      <c r="AE108" s="27">
        <f>SUMIFS('Historico - FAT'!AN:AN,'Historico - FAT'!$K:$K,Faturamento!$L108,'Historico - FAT'!$I:$I,Faturamento!$J108,'Historico - FAT'!$G:$G,Faturamento!$H108)</f>
        <v>0</v>
      </c>
      <c r="AG108" s="24" t="str">
        <f t="shared" si="16"/>
        <v/>
      </c>
      <c r="AH108" s="24" t="str">
        <f t="shared" si="17"/>
        <v/>
      </c>
      <c r="AI108" s="24" t="str">
        <f t="shared" si="18"/>
        <v/>
      </c>
    </row>
    <row r="109" spans="1:35" hidden="1" x14ac:dyDescent="0.3">
      <c r="A109" s="2" t="str">
        <f t="shared" si="20"/>
        <v>NÃO</v>
      </c>
      <c r="B109" s="2">
        <v>1000184670</v>
      </c>
      <c r="C109" s="2" t="s">
        <v>147</v>
      </c>
      <c r="D109" s="4">
        <v>1000185711</v>
      </c>
      <c r="E109" s="4" t="s">
        <v>167</v>
      </c>
      <c r="F109" s="2">
        <v>1000184762</v>
      </c>
      <c r="G109" s="2" t="s">
        <v>58</v>
      </c>
      <c r="H109" s="4">
        <v>1000189815</v>
      </c>
      <c r="I109" s="4" t="s">
        <v>59</v>
      </c>
      <c r="J109" s="2">
        <v>1000189755</v>
      </c>
      <c r="K109" s="2" t="s">
        <v>160</v>
      </c>
      <c r="L109" s="4" t="s">
        <v>29</v>
      </c>
      <c r="M109" s="4" t="str">
        <f t="shared" si="21"/>
        <v>1000184670100018571110001898151000189755MAIS GRANEL</v>
      </c>
      <c r="N109" s="28">
        <f>N99*_xlfn.XLOOKUP($L109,'Balizador da Meta'!$B$4:$B$21,'Balizador da Meta'!$C$4:$C$21)</f>
        <v>0</v>
      </c>
      <c r="O109" s="28">
        <f>O99*_xlfn.XLOOKUP($L109,'Balizador da Meta'!$B$4:$B$21,'Balizador da Meta'!$C$4:$C$21)</f>
        <v>0</v>
      </c>
      <c r="P109" s="28">
        <f>P99*_xlfn.XLOOKUP($L109,'Balizador da Meta'!$B$4:$B$21,'Balizador da Meta'!$C$4:$C$21)</f>
        <v>0</v>
      </c>
      <c r="Q109" s="28">
        <f>Q99*_xlfn.XLOOKUP($L109,'Balizador da Meta'!$B$4:$B$21,'Balizador da Meta'!$C$4:$C$21)</f>
        <v>0</v>
      </c>
      <c r="R109" s="28">
        <f>R99*_xlfn.XLOOKUP($L109,'Balizador da Meta'!$B$4:$B$21,'Balizador da Meta'!$C$4:$C$21)</f>
        <v>0</v>
      </c>
      <c r="S109" s="28">
        <f>S99*_xlfn.XLOOKUP($L109,'Balizador da Meta'!$B$4:$B$21,'Balizador da Meta'!$C$4:$C$21)</f>
        <v>0</v>
      </c>
      <c r="T109" s="28">
        <f>T99*_xlfn.XLOOKUP($L109,'Balizador da Meta'!$B$4:$B$21,'Balizador da Meta'!$C$4:$C$21)</f>
        <v>0</v>
      </c>
      <c r="U109" s="28">
        <f>U99*_xlfn.XLOOKUP($L109,'Balizador da Meta'!$B$4:$B$21,'Balizador da Meta'!$C$4:$C$21)</f>
        <v>0</v>
      </c>
      <c r="V109" s="28">
        <f>V99*_xlfn.XLOOKUP($L109,'Balizador da Meta'!$B$4:$B$21,'Balizador da Meta'!$C$4:$C$21)</f>
        <v>0</v>
      </c>
      <c r="W109" s="28">
        <f>W99*_xlfn.XLOOKUP($L109,'Balizador da Meta'!$B$4:$B$21,'Balizador da Meta'!$C$4:$C$21)</f>
        <v>0</v>
      </c>
      <c r="X109" s="28">
        <f>X99*_xlfn.XLOOKUP($L109,'Balizador da Meta'!$B$4:$B$21,'Balizador da Meta'!$C$4:$C$21)</f>
        <v>0</v>
      </c>
      <c r="Y109" s="28">
        <f>Y99*_xlfn.XLOOKUP($L109,'Balizador da Meta'!$B$4:$B$21,'Balizador da Meta'!$C$4:$C$21)</f>
        <v>0</v>
      </c>
      <c r="Z109" s="30">
        <f t="shared" si="27"/>
        <v>0</v>
      </c>
      <c r="AA109" s="29"/>
      <c r="AB109" s="31">
        <f>SUMIFS('Historico - FAT'!AK:AK,'Historico - FAT'!$K:$K,Faturamento!$L109,'Historico - FAT'!$I:$I,Faturamento!$J109,'Historico - FAT'!$G:$G,Faturamento!$H109)</f>
        <v>0</v>
      </c>
      <c r="AC109" s="31">
        <f>SUMIFS('Historico - FAT'!AL:AL,'Historico - FAT'!$K:$K,Faturamento!$L109,'Historico - FAT'!$I:$I,Faturamento!$J109,'Historico - FAT'!$G:$G,Faturamento!$H109)</f>
        <v>0</v>
      </c>
      <c r="AD109" s="31">
        <f>SUMIFS('Historico - FAT'!AM:AM,'Historico - FAT'!$K:$K,Faturamento!$L109,'Historico - FAT'!$I:$I,Faturamento!$J109,'Historico - FAT'!$G:$G,Faturamento!$H109)</f>
        <v>0</v>
      </c>
      <c r="AE109" s="27">
        <f>SUMIFS('Historico - FAT'!AN:AN,'Historico - FAT'!$K:$K,Faturamento!$L109,'Historico - FAT'!$I:$I,Faturamento!$J109,'Historico - FAT'!$G:$G,Faturamento!$H109)</f>
        <v>0</v>
      </c>
      <c r="AG109" s="24" t="str">
        <f t="shared" si="16"/>
        <v/>
      </c>
      <c r="AH109" s="24" t="str">
        <f t="shared" si="17"/>
        <v/>
      </c>
      <c r="AI109" s="24" t="str">
        <f t="shared" si="18"/>
        <v/>
      </c>
    </row>
    <row r="110" spans="1:35" hidden="1" x14ac:dyDescent="0.3">
      <c r="A110" s="2" t="str">
        <f t="shared" si="20"/>
        <v>NÃO</v>
      </c>
      <c r="B110" s="2">
        <v>1000184670</v>
      </c>
      <c r="C110" s="2" t="s">
        <v>147</v>
      </c>
      <c r="D110" s="4">
        <v>1000185711</v>
      </c>
      <c r="E110" s="4" t="s">
        <v>167</v>
      </c>
      <c r="F110" s="2">
        <v>1000184762</v>
      </c>
      <c r="G110" s="2" t="s">
        <v>58</v>
      </c>
      <c r="H110" s="4">
        <v>1000189815</v>
      </c>
      <c r="I110" s="4" t="s">
        <v>59</v>
      </c>
      <c r="J110" s="2">
        <v>1000189755</v>
      </c>
      <c r="K110" s="2" t="s">
        <v>160</v>
      </c>
      <c r="L110" s="4" t="s">
        <v>21</v>
      </c>
      <c r="M110" s="4" t="str">
        <f t="shared" si="21"/>
        <v>1000184670100018571110001898151000189755NATURATTA</v>
      </c>
      <c r="N110" s="28">
        <f>N99*_xlfn.XLOOKUP($L110,'Balizador da Meta'!$B$4:$B$21,'Balizador da Meta'!$C$4:$C$21)</f>
        <v>0</v>
      </c>
      <c r="O110" s="28">
        <f>O99*_xlfn.XLOOKUP($L110,'Balizador da Meta'!$B$4:$B$21,'Balizador da Meta'!$C$4:$C$21)</f>
        <v>0</v>
      </c>
      <c r="P110" s="28">
        <f>P99*_xlfn.XLOOKUP($L110,'Balizador da Meta'!$B$4:$B$21,'Balizador da Meta'!$C$4:$C$21)</f>
        <v>0</v>
      </c>
      <c r="Q110" s="28">
        <f>Q99*_xlfn.XLOOKUP($L110,'Balizador da Meta'!$B$4:$B$21,'Balizador da Meta'!$C$4:$C$21)</f>
        <v>0</v>
      </c>
      <c r="R110" s="28">
        <f>R99*_xlfn.XLOOKUP($L110,'Balizador da Meta'!$B$4:$B$21,'Balizador da Meta'!$C$4:$C$21)</f>
        <v>0</v>
      </c>
      <c r="S110" s="28">
        <f>S99*_xlfn.XLOOKUP($L110,'Balizador da Meta'!$B$4:$B$21,'Balizador da Meta'!$C$4:$C$21)</f>
        <v>0</v>
      </c>
      <c r="T110" s="28">
        <f>T99*_xlfn.XLOOKUP($L110,'Balizador da Meta'!$B$4:$B$21,'Balizador da Meta'!$C$4:$C$21)</f>
        <v>0</v>
      </c>
      <c r="U110" s="28">
        <f>U99*_xlfn.XLOOKUP($L110,'Balizador da Meta'!$B$4:$B$21,'Balizador da Meta'!$C$4:$C$21)</f>
        <v>0</v>
      </c>
      <c r="V110" s="28">
        <f>V99*_xlfn.XLOOKUP($L110,'Balizador da Meta'!$B$4:$B$21,'Balizador da Meta'!$C$4:$C$21)</f>
        <v>0</v>
      </c>
      <c r="W110" s="28">
        <f>W99*_xlfn.XLOOKUP($L110,'Balizador da Meta'!$B$4:$B$21,'Balizador da Meta'!$C$4:$C$21)</f>
        <v>0</v>
      </c>
      <c r="X110" s="28">
        <f>X99*_xlfn.XLOOKUP($L110,'Balizador da Meta'!$B$4:$B$21,'Balizador da Meta'!$C$4:$C$21)</f>
        <v>0</v>
      </c>
      <c r="Y110" s="28">
        <f>Y99*_xlfn.XLOOKUP($L110,'Balizador da Meta'!$B$4:$B$21,'Balizador da Meta'!$C$4:$C$21)</f>
        <v>0</v>
      </c>
      <c r="Z110" s="30">
        <f t="shared" si="27"/>
        <v>0</v>
      </c>
      <c r="AA110" s="29"/>
      <c r="AB110" s="31">
        <f>SUMIFS('Historico - FAT'!AK:AK,'Historico - FAT'!$K:$K,Faturamento!$L110,'Historico - FAT'!$I:$I,Faturamento!$J110,'Historico - FAT'!$G:$G,Faturamento!$H110)</f>
        <v>0</v>
      </c>
      <c r="AC110" s="31">
        <f>SUMIFS('Historico - FAT'!AL:AL,'Historico - FAT'!$K:$K,Faturamento!$L110,'Historico - FAT'!$I:$I,Faturamento!$J110,'Historico - FAT'!$G:$G,Faturamento!$H110)</f>
        <v>0</v>
      </c>
      <c r="AD110" s="31">
        <f>SUMIFS('Historico - FAT'!AM:AM,'Historico - FAT'!$K:$K,Faturamento!$L110,'Historico - FAT'!$I:$I,Faturamento!$J110,'Historico - FAT'!$G:$G,Faturamento!$H110)</f>
        <v>0</v>
      </c>
      <c r="AE110" s="27">
        <f>SUMIFS('Historico - FAT'!AN:AN,'Historico - FAT'!$K:$K,Faturamento!$L110,'Historico - FAT'!$I:$I,Faturamento!$J110,'Historico - FAT'!$G:$G,Faturamento!$H110)</f>
        <v>0</v>
      </c>
      <c r="AG110" s="24" t="str">
        <f t="shared" si="16"/>
        <v/>
      </c>
      <c r="AH110" s="24" t="str">
        <f t="shared" si="17"/>
        <v/>
      </c>
      <c r="AI110" s="24" t="str">
        <f t="shared" si="18"/>
        <v/>
      </c>
    </row>
    <row r="111" spans="1:35" hidden="1" x14ac:dyDescent="0.3">
      <c r="A111" s="2" t="str">
        <f t="shared" si="20"/>
        <v>NÃO</v>
      </c>
      <c r="B111" s="2">
        <v>1000184670</v>
      </c>
      <c r="C111" s="2" t="s">
        <v>147</v>
      </c>
      <c r="D111" s="4">
        <v>1000185711</v>
      </c>
      <c r="E111" s="4" t="s">
        <v>167</v>
      </c>
      <c r="F111" s="2">
        <v>1000184762</v>
      </c>
      <c r="G111" s="2" t="s">
        <v>58</v>
      </c>
      <c r="H111" s="4">
        <v>1000189815</v>
      </c>
      <c r="I111" s="4" t="s">
        <v>59</v>
      </c>
      <c r="J111" s="2">
        <v>1000189755</v>
      </c>
      <c r="K111" s="2" t="s">
        <v>160</v>
      </c>
      <c r="L111" s="4" t="s">
        <v>20</v>
      </c>
      <c r="M111" s="4" t="str">
        <f t="shared" si="21"/>
        <v>1000184670100018571110001898151000189755REEMBALADOS</v>
      </c>
      <c r="N111" s="28">
        <f>N99*_xlfn.XLOOKUP($L111,'Balizador da Meta'!$B$4:$B$21,'Balizador da Meta'!$C$4:$C$21)</f>
        <v>0</v>
      </c>
      <c r="O111" s="28">
        <f>O99*_xlfn.XLOOKUP($L111,'Balizador da Meta'!$B$4:$B$21,'Balizador da Meta'!$C$4:$C$21)</f>
        <v>0</v>
      </c>
      <c r="P111" s="28">
        <f>P99*_xlfn.XLOOKUP($L111,'Balizador da Meta'!$B$4:$B$21,'Balizador da Meta'!$C$4:$C$21)</f>
        <v>0</v>
      </c>
      <c r="Q111" s="28">
        <f>Q99*_xlfn.XLOOKUP($L111,'Balizador da Meta'!$B$4:$B$21,'Balizador da Meta'!$C$4:$C$21)</f>
        <v>0</v>
      </c>
      <c r="R111" s="28">
        <f>R99*_xlfn.XLOOKUP($L111,'Balizador da Meta'!$B$4:$B$21,'Balizador da Meta'!$C$4:$C$21)</f>
        <v>0</v>
      </c>
      <c r="S111" s="28">
        <f>S99*_xlfn.XLOOKUP($L111,'Balizador da Meta'!$B$4:$B$21,'Balizador da Meta'!$C$4:$C$21)</f>
        <v>0</v>
      </c>
      <c r="T111" s="28">
        <f>T99*_xlfn.XLOOKUP($L111,'Balizador da Meta'!$B$4:$B$21,'Balizador da Meta'!$C$4:$C$21)</f>
        <v>0</v>
      </c>
      <c r="U111" s="28">
        <f>U99*_xlfn.XLOOKUP($L111,'Balizador da Meta'!$B$4:$B$21,'Balizador da Meta'!$C$4:$C$21)</f>
        <v>0</v>
      </c>
      <c r="V111" s="28">
        <f>V99*_xlfn.XLOOKUP($L111,'Balizador da Meta'!$B$4:$B$21,'Balizador da Meta'!$C$4:$C$21)</f>
        <v>0</v>
      </c>
      <c r="W111" s="28">
        <f>W99*_xlfn.XLOOKUP($L111,'Balizador da Meta'!$B$4:$B$21,'Balizador da Meta'!$C$4:$C$21)</f>
        <v>0</v>
      </c>
      <c r="X111" s="28">
        <f>X99*_xlfn.XLOOKUP($L111,'Balizador da Meta'!$B$4:$B$21,'Balizador da Meta'!$C$4:$C$21)</f>
        <v>0</v>
      </c>
      <c r="Y111" s="28">
        <f>Y99*_xlfn.XLOOKUP($L111,'Balizador da Meta'!$B$4:$B$21,'Balizador da Meta'!$C$4:$C$21)</f>
        <v>0</v>
      </c>
      <c r="Z111" s="30">
        <f t="shared" si="27"/>
        <v>0</v>
      </c>
      <c r="AA111" s="29"/>
      <c r="AB111" s="31">
        <f>SUMIFS('Historico - FAT'!AK:AK,'Historico - FAT'!$K:$K,Faturamento!$L111,'Historico - FAT'!$I:$I,Faturamento!$J111,'Historico - FAT'!$G:$G,Faturamento!$H111)</f>
        <v>0</v>
      </c>
      <c r="AC111" s="31">
        <f>SUMIFS('Historico - FAT'!AL:AL,'Historico - FAT'!$K:$K,Faturamento!$L111,'Historico - FAT'!$I:$I,Faturamento!$J111,'Historico - FAT'!$G:$G,Faturamento!$H111)</f>
        <v>0</v>
      </c>
      <c r="AD111" s="31">
        <f>SUMIFS('Historico - FAT'!AM:AM,'Historico - FAT'!$K:$K,Faturamento!$L111,'Historico - FAT'!$I:$I,Faturamento!$J111,'Historico - FAT'!$G:$G,Faturamento!$H111)</f>
        <v>0</v>
      </c>
      <c r="AE111" s="27">
        <f>SUMIFS('Historico - FAT'!AN:AN,'Historico - FAT'!$K:$K,Faturamento!$L111,'Historico - FAT'!$I:$I,Faturamento!$J111,'Historico - FAT'!$G:$G,Faturamento!$H111)</f>
        <v>0</v>
      </c>
      <c r="AG111" s="24" t="str">
        <f t="shared" si="16"/>
        <v/>
      </c>
      <c r="AH111" s="24" t="str">
        <f t="shared" si="17"/>
        <v/>
      </c>
      <c r="AI111" s="24" t="str">
        <f t="shared" si="18"/>
        <v/>
      </c>
    </row>
    <row r="112" spans="1:35" hidden="1" x14ac:dyDescent="0.3">
      <c r="A112" s="2" t="str">
        <f t="shared" si="20"/>
        <v>NÃO</v>
      </c>
      <c r="B112" s="2">
        <v>1000184670</v>
      </c>
      <c r="C112" s="2" t="s">
        <v>147</v>
      </c>
      <c r="D112" s="4">
        <v>1000185711</v>
      </c>
      <c r="E112" s="4" t="s">
        <v>167</v>
      </c>
      <c r="F112" s="2">
        <v>1000184762</v>
      </c>
      <c r="G112" s="2" t="s">
        <v>58</v>
      </c>
      <c r="H112" s="4">
        <v>1000189815</v>
      </c>
      <c r="I112" s="4" t="s">
        <v>59</v>
      </c>
      <c r="J112" s="2">
        <v>1000189755</v>
      </c>
      <c r="K112" s="2" t="s">
        <v>160</v>
      </c>
      <c r="L112" s="4" t="s">
        <v>22</v>
      </c>
      <c r="M112" s="4" t="str">
        <f t="shared" si="21"/>
        <v>1000184670100018571110001898151000189755S GLUTEN</v>
      </c>
      <c r="N112" s="28">
        <f>N99*_xlfn.XLOOKUP($L112,'Balizador da Meta'!$B$4:$B$21,'Balizador da Meta'!$C$4:$C$21)</f>
        <v>0</v>
      </c>
      <c r="O112" s="28">
        <f>O99*_xlfn.XLOOKUP($L112,'Balizador da Meta'!$B$4:$B$21,'Balizador da Meta'!$C$4:$C$21)</f>
        <v>0</v>
      </c>
      <c r="P112" s="28">
        <f>P99*_xlfn.XLOOKUP($L112,'Balizador da Meta'!$B$4:$B$21,'Balizador da Meta'!$C$4:$C$21)</f>
        <v>0</v>
      </c>
      <c r="Q112" s="28">
        <f>Q99*_xlfn.XLOOKUP($L112,'Balizador da Meta'!$B$4:$B$21,'Balizador da Meta'!$C$4:$C$21)</f>
        <v>0</v>
      </c>
      <c r="R112" s="28">
        <f>R99*_xlfn.XLOOKUP($L112,'Balizador da Meta'!$B$4:$B$21,'Balizador da Meta'!$C$4:$C$21)</f>
        <v>0</v>
      </c>
      <c r="S112" s="28">
        <f>S99*_xlfn.XLOOKUP($L112,'Balizador da Meta'!$B$4:$B$21,'Balizador da Meta'!$C$4:$C$21)</f>
        <v>0</v>
      </c>
      <c r="T112" s="28">
        <f>T99*_xlfn.XLOOKUP($L112,'Balizador da Meta'!$B$4:$B$21,'Balizador da Meta'!$C$4:$C$21)</f>
        <v>0</v>
      </c>
      <c r="U112" s="28">
        <f>U99*_xlfn.XLOOKUP($L112,'Balizador da Meta'!$B$4:$B$21,'Balizador da Meta'!$C$4:$C$21)</f>
        <v>0</v>
      </c>
      <c r="V112" s="28">
        <f>V99*_xlfn.XLOOKUP($L112,'Balizador da Meta'!$B$4:$B$21,'Balizador da Meta'!$C$4:$C$21)</f>
        <v>0</v>
      </c>
      <c r="W112" s="28">
        <f>W99*_xlfn.XLOOKUP($L112,'Balizador da Meta'!$B$4:$B$21,'Balizador da Meta'!$C$4:$C$21)</f>
        <v>0</v>
      </c>
      <c r="X112" s="28">
        <f>X99*_xlfn.XLOOKUP($L112,'Balizador da Meta'!$B$4:$B$21,'Balizador da Meta'!$C$4:$C$21)</f>
        <v>0</v>
      </c>
      <c r="Y112" s="28">
        <f>Y99*_xlfn.XLOOKUP($L112,'Balizador da Meta'!$B$4:$B$21,'Balizador da Meta'!$C$4:$C$21)</f>
        <v>0</v>
      </c>
      <c r="Z112" s="30">
        <f t="shared" si="27"/>
        <v>0</v>
      </c>
      <c r="AA112" s="29"/>
      <c r="AB112" s="31">
        <f>SUMIFS('Historico - FAT'!AK:AK,'Historico - FAT'!$K:$K,Faturamento!$L112,'Historico - FAT'!$I:$I,Faturamento!$J112,'Historico - FAT'!$G:$G,Faturamento!$H112)</f>
        <v>0</v>
      </c>
      <c r="AC112" s="31">
        <f>SUMIFS('Historico - FAT'!AL:AL,'Historico - FAT'!$K:$K,Faturamento!$L112,'Historico - FAT'!$I:$I,Faturamento!$J112,'Historico - FAT'!$G:$G,Faturamento!$H112)</f>
        <v>0</v>
      </c>
      <c r="AD112" s="31">
        <f>SUMIFS('Historico - FAT'!AM:AM,'Historico - FAT'!$K:$K,Faturamento!$L112,'Historico - FAT'!$I:$I,Faturamento!$J112,'Historico - FAT'!$G:$G,Faturamento!$H112)</f>
        <v>0</v>
      </c>
      <c r="AE112" s="27">
        <f>SUMIFS('Historico - FAT'!AN:AN,'Historico - FAT'!$K:$K,Faturamento!$L112,'Historico - FAT'!$I:$I,Faturamento!$J112,'Historico - FAT'!$G:$G,Faturamento!$H112)</f>
        <v>0</v>
      </c>
      <c r="AG112" s="24" t="str">
        <f t="shared" si="16"/>
        <v/>
      </c>
      <c r="AH112" s="24" t="str">
        <f t="shared" si="17"/>
        <v/>
      </c>
      <c r="AI112" s="24" t="str">
        <f t="shared" si="18"/>
        <v/>
      </c>
    </row>
    <row r="113" spans="1:35" hidden="1" x14ac:dyDescent="0.3">
      <c r="A113" s="2" t="str">
        <f t="shared" si="20"/>
        <v>NÃO</v>
      </c>
      <c r="B113" s="2">
        <v>1000184670</v>
      </c>
      <c r="C113" s="2" t="s">
        <v>147</v>
      </c>
      <c r="D113" s="4">
        <v>1000185711</v>
      </c>
      <c r="E113" s="4" t="s">
        <v>167</v>
      </c>
      <c r="F113" s="2">
        <v>1000184762</v>
      </c>
      <c r="G113" s="2" t="s">
        <v>58</v>
      </c>
      <c r="H113" s="4">
        <v>1000189815</v>
      </c>
      <c r="I113" s="4" t="s">
        <v>59</v>
      </c>
      <c r="J113" s="2">
        <v>1000189755</v>
      </c>
      <c r="K113" s="2" t="s">
        <v>160</v>
      </c>
      <c r="L113" s="4" t="s">
        <v>23</v>
      </c>
      <c r="M113" s="4" t="str">
        <f t="shared" si="21"/>
        <v>1000184670100018571110001898151000189755SABORES DO CAMPO</v>
      </c>
      <c r="N113" s="28">
        <f>N99*_xlfn.XLOOKUP($L113,'Balizador da Meta'!$B$4:$B$21,'Balizador da Meta'!$C$4:$C$21)</f>
        <v>0</v>
      </c>
      <c r="O113" s="28">
        <f>O99*_xlfn.XLOOKUP($L113,'Balizador da Meta'!$B$4:$B$21,'Balizador da Meta'!$C$4:$C$21)</f>
        <v>0</v>
      </c>
      <c r="P113" s="28">
        <f>P99*_xlfn.XLOOKUP($L113,'Balizador da Meta'!$B$4:$B$21,'Balizador da Meta'!$C$4:$C$21)</f>
        <v>0</v>
      </c>
      <c r="Q113" s="28">
        <f>Q99*_xlfn.XLOOKUP($L113,'Balizador da Meta'!$B$4:$B$21,'Balizador da Meta'!$C$4:$C$21)</f>
        <v>0</v>
      </c>
      <c r="R113" s="28">
        <f>R99*_xlfn.XLOOKUP($L113,'Balizador da Meta'!$B$4:$B$21,'Balizador da Meta'!$C$4:$C$21)</f>
        <v>0</v>
      </c>
      <c r="S113" s="28">
        <f>S99*_xlfn.XLOOKUP($L113,'Balizador da Meta'!$B$4:$B$21,'Balizador da Meta'!$C$4:$C$21)</f>
        <v>0</v>
      </c>
      <c r="T113" s="28">
        <f>T99*_xlfn.XLOOKUP($L113,'Balizador da Meta'!$B$4:$B$21,'Balizador da Meta'!$C$4:$C$21)</f>
        <v>0</v>
      </c>
      <c r="U113" s="28">
        <f>U99*_xlfn.XLOOKUP($L113,'Balizador da Meta'!$B$4:$B$21,'Balizador da Meta'!$C$4:$C$21)</f>
        <v>0</v>
      </c>
      <c r="V113" s="28">
        <f>V99*_xlfn.XLOOKUP($L113,'Balizador da Meta'!$B$4:$B$21,'Balizador da Meta'!$C$4:$C$21)</f>
        <v>0</v>
      </c>
      <c r="W113" s="28">
        <f>W99*_xlfn.XLOOKUP($L113,'Balizador da Meta'!$B$4:$B$21,'Balizador da Meta'!$C$4:$C$21)</f>
        <v>0</v>
      </c>
      <c r="X113" s="28">
        <f>X99*_xlfn.XLOOKUP($L113,'Balizador da Meta'!$B$4:$B$21,'Balizador da Meta'!$C$4:$C$21)</f>
        <v>0</v>
      </c>
      <c r="Y113" s="28">
        <f>Y99*_xlfn.XLOOKUP($L113,'Balizador da Meta'!$B$4:$B$21,'Balizador da Meta'!$C$4:$C$21)</f>
        <v>0</v>
      </c>
      <c r="Z113" s="30">
        <f t="shared" si="27"/>
        <v>0</v>
      </c>
      <c r="AA113" s="29"/>
      <c r="AB113" s="31">
        <f>SUMIFS('Historico - FAT'!AK:AK,'Historico - FAT'!$K:$K,Faturamento!$L113,'Historico - FAT'!$I:$I,Faturamento!$J113,'Historico - FAT'!$G:$G,Faturamento!$H113)</f>
        <v>0</v>
      </c>
      <c r="AC113" s="31">
        <f>SUMIFS('Historico - FAT'!AL:AL,'Historico - FAT'!$K:$K,Faturamento!$L113,'Historico - FAT'!$I:$I,Faturamento!$J113,'Historico - FAT'!$G:$G,Faturamento!$H113)</f>
        <v>0</v>
      </c>
      <c r="AD113" s="31">
        <f>SUMIFS('Historico - FAT'!AM:AM,'Historico - FAT'!$K:$K,Faturamento!$L113,'Historico - FAT'!$I:$I,Faturamento!$J113,'Historico - FAT'!$G:$G,Faturamento!$H113)</f>
        <v>0</v>
      </c>
      <c r="AE113" s="27">
        <f>SUMIFS('Historico - FAT'!AN:AN,'Historico - FAT'!$K:$K,Faturamento!$L113,'Historico - FAT'!$I:$I,Faturamento!$J113,'Historico - FAT'!$G:$G,Faturamento!$H113)</f>
        <v>0</v>
      </c>
      <c r="AG113" s="24" t="str">
        <f t="shared" si="16"/>
        <v/>
      </c>
      <c r="AH113" s="24" t="str">
        <f t="shared" si="17"/>
        <v/>
      </c>
      <c r="AI113" s="24" t="str">
        <f t="shared" si="18"/>
        <v/>
      </c>
    </row>
    <row r="114" spans="1:35" hidden="1" x14ac:dyDescent="0.3">
      <c r="A114" s="2" t="str">
        <f t="shared" ref="A114:A177" si="28">IF(OR(H114&lt;&gt;H113,J114&lt;&gt;J113),"SIM","NÃO")</f>
        <v>NÃO</v>
      </c>
      <c r="B114" s="2">
        <v>1000184670</v>
      </c>
      <c r="C114" s="2" t="s">
        <v>147</v>
      </c>
      <c r="D114" s="4">
        <v>1000185711</v>
      </c>
      <c r="E114" s="4" t="s">
        <v>167</v>
      </c>
      <c r="F114" s="2">
        <v>1000184762</v>
      </c>
      <c r="G114" s="2" t="s">
        <v>58</v>
      </c>
      <c r="H114" s="4">
        <v>1000189815</v>
      </c>
      <c r="I114" s="4" t="s">
        <v>59</v>
      </c>
      <c r="J114" s="2">
        <v>1000189755</v>
      </c>
      <c r="K114" s="2" t="s">
        <v>160</v>
      </c>
      <c r="L114" s="4" t="s">
        <v>28</v>
      </c>
      <c r="M114" s="4" t="str">
        <f t="shared" si="21"/>
        <v>1000184670100018571110001898151000189755SAL</v>
      </c>
      <c r="N114" s="28">
        <f>N99*_xlfn.XLOOKUP($L114,'Balizador da Meta'!$B$4:$B$21,'Balizador da Meta'!$C$4:$C$21)</f>
        <v>0</v>
      </c>
      <c r="O114" s="28">
        <f>O99*_xlfn.XLOOKUP($L114,'Balizador da Meta'!$B$4:$B$21,'Balizador da Meta'!$C$4:$C$21)</f>
        <v>0</v>
      </c>
      <c r="P114" s="28">
        <f>P99*_xlfn.XLOOKUP($L114,'Balizador da Meta'!$B$4:$B$21,'Balizador da Meta'!$C$4:$C$21)</f>
        <v>0</v>
      </c>
      <c r="Q114" s="28">
        <f>Q99*_xlfn.XLOOKUP($L114,'Balizador da Meta'!$B$4:$B$21,'Balizador da Meta'!$C$4:$C$21)</f>
        <v>0</v>
      </c>
      <c r="R114" s="28">
        <f>R99*_xlfn.XLOOKUP($L114,'Balizador da Meta'!$B$4:$B$21,'Balizador da Meta'!$C$4:$C$21)</f>
        <v>0</v>
      </c>
      <c r="S114" s="28">
        <f>S99*_xlfn.XLOOKUP($L114,'Balizador da Meta'!$B$4:$B$21,'Balizador da Meta'!$C$4:$C$21)</f>
        <v>0</v>
      </c>
      <c r="T114" s="28">
        <f>T99*_xlfn.XLOOKUP($L114,'Balizador da Meta'!$B$4:$B$21,'Balizador da Meta'!$C$4:$C$21)</f>
        <v>0</v>
      </c>
      <c r="U114" s="28">
        <f>U99*_xlfn.XLOOKUP($L114,'Balizador da Meta'!$B$4:$B$21,'Balizador da Meta'!$C$4:$C$21)</f>
        <v>0</v>
      </c>
      <c r="V114" s="28">
        <f>V99*_xlfn.XLOOKUP($L114,'Balizador da Meta'!$B$4:$B$21,'Balizador da Meta'!$C$4:$C$21)</f>
        <v>0</v>
      </c>
      <c r="W114" s="28">
        <f>W99*_xlfn.XLOOKUP($L114,'Balizador da Meta'!$B$4:$B$21,'Balizador da Meta'!$C$4:$C$21)</f>
        <v>0</v>
      </c>
      <c r="X114" s="28">
        <f>X99*_xlfn.XLOOKUP($L114,'Balizador da Meta'!$B$4:$B$21,'Balizador da Meta'!$C$4:$C$21)</f>
        <v>0</v>
      </c>
      <c r="Y114" s="28">
        <f>Y99*_xlfn.XLOOKUP($L114,'Balizador da Meta'!$B$4:$B$21,'Balizador da Meta'!$C$4:$C$21)</f>
        <v>0</v>
      </c>
      <c r="Z114" s="30">
        <f t="shared" si="27"/>
        <v>0</v>
      </c>
      <c r="AA114" s="29"/>
      <c r="AB114" s="31">
        <f>SUMIFS('Historico - FAT'!AK:AK,'Historico - FAT'!$K:$K,Faturamento!$L114,'Historico - FAT'!$I:$I,Faturamento!$J114,'Historico - FAT'!$G:$G,Faturamento!$H114)</f>
        <v>0</v>
      </c>
      <c r="AC114" s="31">
        <f>SUMIFS('Historico - FAT'!AL:AL,'Historico - FAT'!$K:$K,Faturamento!$L114,'Historico - FAT'!$I:$I,Faturamento!$J114,'Historico - FAT'!$G:$G,Faturamento!$H114)</f>
        <v>0</v>
      </c>
      <c r="AD114" s="31">
        <f>SUMIFS('Historico - FAT'!AM:AM,'Historico - FAT'!$K:$K,Faturamento!$L114,'Historico - FAT'!$I:$I,Faturamento!$J114,'Historico - FAT'!$G:$G,Faturamento!$H114)</f>
        <v>0</v>
      </c>
      <c r="AE114" s="27">
        <f>SUMIFS('Historico - FAT'!AN:AN,'Historico - FAT'!$K:$K,Faturamento!$L114,'Historico - FAT'!$I:$I,Faturamento!$J114,'Historico - FAT'!$G:$G,Faturamento!$H114)</f>
        <v>0</v>
      </c>
      <c r="AG114" s="24" t="str">
        <f t="shared" ref="AG114:AG177" si="29">IFERROR((AVERAGE(W114:Y114)-AB114)/AVERAGE(W114:Y114),"")</f>
        <v/>
      </c>
      <c r="AH114" s="24" t="str">
        <f t="shared" ref="AH114:AH177" si="30">IFERROR((AVERAGE(W114:Y114)-AC114)/AVERAGE(W114:Y114),"")</f>
        <v/>
      </c>
      <c r="AI114" s="24" t="str">
        <f t="shared" ref="AI114:AI177" si="31">IFERROR((AVERAGE(W114:Y114)-AD114)/AVERAGE(W114:Y114),"")</f>
        <v/>
      </c>
    </row>
    <row r="115" spans="1:35" hidden="1" x14ac:dyDescent="0.3">
      <c r="A115" s="2" t="str">
        <f t="shared" si="28"/>
        <v>NÃO</v>
      </c>
      <c r="B115" s="2">
        <v>1000184670</v>
      </c>
      <c r="C115" s="2" t="s">
        <v>147</v>
      </c>
      <c r="D115" s="4">
        <v>1000185711</v>
      </c>
      <c r="E115" s="4" t="s">
        <v>167</v>
      </c>
      <c r="F115" s="2">
        <v>1000184762</v>
      </c>
      <c r="G115" s="2" t="s">
        <v>58</v>
      </c>
      <c r="H115" s="4">
        <v>1000189815</v>
      </c>
      <c r="I115" s="4" t="s">
        <v>59</v>
      </c>
      <c r="J115" s="2">
        <v>1000189755</v>
      </c>
      <c r="K115" s="2" t="s">
        <v>160</v>
      </c>
      <c r="L115" s="4" t="s">
        <v>26</v>
      </c>
      <c r="M115" s="4" t="str">
        <f t="shared" si="21"/>
        <v>1000184670100018571110001898151000189755SOULPRO</v>
      </c>
      <c r="N115" s="28">
        <f>N99*_xlfn.XLOOKUP($L115,'Balizador da Meta'!$B$4:$B$21,'Balizador da Meta'!$C$4:$C$21)</f>
        <v>0</v>
      </c>
      <c r="O115" s="28">
        <f>O99*_xlfn.XLOOKUP($L115,'Balizador da Meta'!$B$4:$B$21,'Balizador da Meta'!$C$4:$C$21)</f>
        <v>0</v>
      </c>
      <c r="P115" s="28">
        <f>P99*_xlfn.XLOOKUP($L115,'Balizador da Meta'!$B$4:$B$21,'Balizador da Meta'!$C$4:$C$21)</f>
        <v>0</v>
      </c>
      <c r="Q115" s="28">
        <f>Q99*_xlfn.XLOOKUP($L115,'Balizador da Meta'!$B$4:$B$21,'Balizador da Meta'!$C$4:$C$21)</f>
        <v>0</v>
      </c>
      <c r="R115" s="28">
        <f>R99*_xlfn.XLOOKUP($L115,'Balizador da Meta'!$B$4:$B$21,'Balizador da Meta'!$C$4:$C$21)</f>
        <v>0</v>
      </c>
      <c r="S115" s="28">
        <f>S99*_xlfn.XLOOKUP($L115,'Balizador da Meta'!$B$4:$B$21,'Balizador da Meta'!$C$4:$C$21)</f>
        <v>0</v>
      </c>
      <c r="T115" s="28">
        <f>T99*_xlfn.XLOOKUP($L115,'Balizador da Meta'!$B$4:$B$21,'Balizador da Meta'!$C$4:$C$21)</f>
        <v>0</v>
      </c>
      <c r="U115" s="28">
        <f>U99*_xlfn.XLOOKUP($L115,'Balizador da Meta'!$B$4:$B$21,'Balizador da Meta'!$C$4:$C$21)</f>
        <v>0</v>
      </c>
      <c r="V115" s="28">
        <f>V99*_xlfn.XLOOKUP($L115,'Balizador da Meta'!$B$4:$B$21,'Balizador da Meta'!$C$4:$C$21)</f>
        <v>0</v>
      </c>
      <c r="W115" s="28">
        <f>W99*_xlfn.XLOOKUP($L115,'Balizador da Meta'!$B$4:$B$21,'Balizador da Meta'!$C$4:$C$21)</f>
        <v>0</v>
      </c>
      <c r="X115" s="28">
        <f>X99*_xlfn.XLOOKUP($L115,'Balizador da Meta'!$B$4:$B$21,'Balizador da Meta'!$C$4:$C$21)</f>
        <v>0</v>
      </c>
      <c r="Y115" s="28">
        <f>Y99*_xlfn.XLOOKUP($L115,'Balizador da Meta'!$B$4:$B$21,'Balizador da Meta'!$C$4:$C$21)</f>
        <v>0</v>
      </c>
      <c r="Z115" s="30">
        <f t="shared" si="27"/>
        <v>0</v>
      </c>
      <c r="AA115" s="29"/>
      <c r="AB115" s="31">
        <f>SUMIFS('Historico - FAT'!AK:AK,'Historico - FAT'!$K:$K,Faturamento!$L115,'Historico - FAT'!$I:$I,Faturamento!$J115,'Historico - FAT'!$G:$G,Faturamento!$H115)</f>
        <v>0</v>
      </c>
      <c r="AC115" s="31">
        <f>SUMIFS('Historico - FAT'!AL:AL,'Historico - FAT'!$K:$K,Faturamento!$L115,'Historico - FAT'!$I:$I,Faturamento!$J115,'Historico - FAT'!$G:$G,Faturamento!$H115)</f>
        <v>0</v>
      </c>
      <c r="AD115" s="31">
        <f>SUMIFS('Historico - FAT'!AM:AM,'Historico - FAT'!$K:$K,Faturamento!$L115,'Historico - FAT'!$I:$I,Faturamento!$J115,'Historico - FAT'!$G:$G,Faturamento!$H115)</f>
        <v>0</v>
      </c>
      <c r="AE115" s="27">
        <f>SUMIFS('Historico - FAT'!AN:AN,'Historico - FAT'!$K:$K,Faturamento!$L115,'Historico - FAT'!$I:$I,Faturamento!$J115,'Historico - FAT'!$G:$G,Faturamento!$H115)</f>
        <v>0</v>
      </c>
      <c r="AG115" s="24" t="str">
        <f t="shared" si="29"/>
        <v/>
      </c>
      <c r="AH115" s="24" t="str">
        <f t="shared" si="30"/>
        <v/>
      </c>
      <c r="AI115" s="24" t="str">
        <f t="shared" si="31"/>
        <v/>
      </c>
    </row>
    <row r="116" spans="1:35" hidden="1" x14ac:dyDescent="0.3">
      <c r="A116" s="2" t="str">
        <f t="shared" si="28"/>
        <v>NÃO</v>
      </c>
      <c r="B116" s="2">
        <v>1000184670</v>
      </c>
      <c r="C116" s="2" t="s">
        <v>147</v>
      </c>
      <c r="D116" s="4">
        <v>1000185711</v>
      </c>
      <c r="E116" s="4" t="s">
        <v>167</v>
      </c>
      <c r="F116" s="2">
        <v>1000184762</v>
      </c>
      <c r="G116" s="2" t="s">
        <v>58</v>
      </c>
      <c r="H116" s="4">
        <v>1000189815</v>
      </c>
      <c r="I116" s="4" t="s">
        <v>59</v>
      </c>
      <c r="J116" s="2">
        <v>1000189755</v>
      </c>
      <c r="K116" s="2" t="s">
        <v>160</v>
      </c>
      <c r="L116" s="4" t="s">
        <v>27</v>
      </c>
      <c r="M116" s="4" t="str">
        <f t="shared" si="21"/>
        <v>1000184670100018571110001898151000189755TAMARA</v>
      </c>
      <c r="N116" s="28">
        <f>N99*_xlfn.XLOOKUP($L116,'Balizador da Meta'!$B$4:$B$21,'Balizador da Meta'!$C$4:$C$21)</f>
        <v>0</v>
      </c>
      <c r="O116" s="28">
        <f>O99*_xlfn.XLOOKUP($L116,'Balizador da Meta'!$B$4:$B$21,'Balizador da Meta'!$C$4:$C$21)</f>
        <v>0</v>
      </c>
      <c r="P116" s="28">
        <f>P99*_xlfn.XLOOKUP($L116,'Balizador da Meta'!$B$4:$B$21,'Balizador da Meta'!$C$4:$C$21)</f>
        <v>0</v>
      </c>
      <c r="Q116" s="28">
        <f>Q99*_xlfn.XLOOKUP($L116,'Balizador da Meta'!$B$4:$B$21,'Balizador da Meta'!$C$4:$C$21)</f>
        <v>0</v>
      </c>
      <c r="R116" s="28">
        <f>R99*_xlfn.XLOOKUP($L116,'Balizador da Meta'!$B$4:$B$21,'Balizador da Meta'!$C$4:$C$21)</f>
        <v>0</v>
      </c>
      <c r="S116" s="28">
        <f>S99*_xlfn.XLOOKUP($L116,'Balizador da Meta'!$B$4:$B$21,'Balizador da Meta'!$C$4:$C$21)</f>
        <v>0</v>
      </c>
      <c r="T116" s="28">
        <f>T99*_xlfn.XLOOKUP($L116,'Balizador da Meta'!$B$4:$B$21,'Balizador da Meta'!$C$4:$C$21)</f>
        <v>0</v>
      </c>
      <c r="U116" s="28">
        <f>U99*_xlfn.XLOOKUP($L116,'Balizador da Meta'!$B$4:$B$21,'Balizador da Meta'!$C$4:$C$21)</f>
        <v>0</v>
      </c>
      <c r="V116" s="28">
        <f>V99*_xlfn.XLOOKUP($L116,'Balizador da Meta'!$B$4:$B$21,'Balizador da Meta'!$C$4:$C$21)</f>
        <v>0</v>
      </c>
      <c r="W116" s="28">
        <f>W99*_xlfn.XLOOKUP($L116,'Balizador da Meta'!$B$4:$B$21,'Balizador da Meta'!$C$4:$C$21)</f>
        <v>0</v>
      </c>
      <c r="X116" s="28">
        <f>X99*_xlfn.XLOOKUP($L116,'Balizador da Meta'!$B$4:$B$21,'Balizador da Meta'!$C$4:$C$21)</f>
        <v>0</v>
      </c>
      <c r="Y116" s="28">
        <f>Y99*_xlfn.XLOOKUP($L116,'Balizador da Meta'!$B$4:$B$21,'Balizador da Meta'!$C$4:$C$21)</f>
        <v>0</v>
      </c>
      <c r="Z116" s="30">
        <f t="shared" si="27"/>
        <v>0</v>
      </c>
      <c r="AA116" s="29"/>
      <c r="AB116" s="31">
        <f>SUMIFS('Historico - FAT'!AK:AK,'Historico - FAT'!$K:$K,Faturamento!$L116,'Historico - FAT'!$I:$I,Faturamento!$J116,'Historico - FAT'!$G:$G,Faturamento!$H116)</f>
        <v>0</v>
      </c>
      <c r="AC116" s="31">
        <f>SUMIFS('Historico - FAT'!AL:AL,'Historico - FAT'!$K:$K,Faturamento!$L116,'Historico - FAT'!$I:$I,Faturamento!$J116,'Historico - FAT'!$G:$G,Faturamento!$H116)</f>
        <v>0</v>
      </c>
      <c r="AD116" s="31">
        <f>SUMIFS('Historico - FAT'!AM:AM,'Historico - FAT'!$K:$K,Faturamento!$L116,'Historico - FAT'!$I:$I,Faturamento!$J116,'Historico - FAT'!$G:$G,Faturamento!$H116)</f>
        <v>0</v>
      </c>
      <c r="AE116" s="27">
        <f>SUMIFS('Historico - FAT'!AN:AN,'Historico - FAT'!$K:$K,Faturamento!$L116,'Historico - FAT'!$I:$I,Faturamento!$J116,'Historico - FAT'!$G:$G,Faturamento!$H116)</f>
        <v>0</v>
      </c>
      <c r="AG116" s="24" t="str">
        <f t="shared" si="29"/>
        <v/>
      </c>
      <c r="AH116" s="24" t="str">
        <f t="shared" si="30"/>
        <v/>
      </c>
      <c r="AI116" s="24" t="str">
        <f t="shared" si="31"/>
        <v/>
      </c>
    </row>
    <row r="117" spans="1:35" hidden="1" x14ac:dyDescent="0.3">
      <c r="A117" s="2" t="str">
        <f t="shared" si="28"/>
        <v>NÃO</v>
      </c>
      <c r="B117" s="2">
        <v>1000184670</v>
      </c>
      <c r="C117" s="2" t="s">
        <v>147</v>
      </c>
      <c r="D117" s="4">
        <v>1000185711</v>
      </c>
      <c r="E117" s="4" t="s">
        <v>167</v>
      </c>
      <c r="F117" s="2">
        <v>1000184762</v>
      </c>
      <c r="G117" s="2" t="s">
        <v>58</v>
      </c>
      <c r="H117" s="4">
        <v>1000189815</v>
      </c>
      <c r="I117" s="4" t="s">
        <v>59</v>
      </c>
      <c r="J117" s="2">
        <v>1000189755</v>
      </c>
      <c r="K117" s="2" t="s">
        <v>160</v>
      </c>
      <c r="L117" s="4" t="s">
        <v>25</v>
      </c>
      <c r="M117" s="4" t="str">
        <f t="shared" si="21"/>
        <v>1000184670100018571110001898151000189755VICCIO</v>
      </c>
      <c r="N117" s="28">
        <f>N99*_xlfn.XLOOKUP($L117,'Balizador da Meta'!$B$4:$B$21,'Balizador da Meta'!$C$4:$C$21)</f>
        <v>0</v>
      </c>
      <c r="O117" s="28">
        <f>O99*_xlfn.XLOOKUP($L117,'Balizador da Meta'!$B$4:$B$21,'Balizador da Meta'!$C$4:$C$21)</f>
        <v>0</v>
      </c>
      <c r="P117" s="28">
        <f>P99*_xlfn.XLOOKUP($L117,'Balizador da Meta'!$B$4:$B$21,'Balizador da Meta'!$C$4:$C$21)</f>
        <v>0</v>
      </c>
      <c r="Q117" s="28">
        <f>Q99*_xlfn.XLOOKUP($L117,'Balizador da Meta'!$B$4:$B$21,'Balizador da Meta'!$C$4:$C$21)</f>
        <v>0</v>
      </c>
      <c r="R117" s="28">
        <f>R99*_xlfn.XLOOKUP($L117,'Balizador da Meta'!$B$4:$B$21,'Balizador da Meta'!$C$4:$C$21)</f>
        <v>0</v>
      </c>
      <c r="S117" s="28">
        <f>S99*_xlfn.XLOOKUP($L117,'Balizador da Meta'!$B$4:$B$21,'Balizador da Meta'!$C$4:$C$21)</f>
        <v>0</v>
      </c>
      <c r="T117" s="28">
        <f>T99*_xlfn.XLOOKUP($L117,'Balizador da Meta'!$B$4:$B$21,'Balizador da Meta'!$C$4:$C$21)</f>
        <v>0</v>
      </c>
      <c r="U117" s="28">
        <f>U99*_xlfn.XLOOKUP($L117,'Balizador da Meta'!$B$4:$B$21,'Balizador da Meta'!$C$4:$C$21)</f>
        <v>0</v>
      </c>
      <c r="V117" s="28">
        <f>V99*_xlfn.XLOOKUP($L117,'Balizador da Meta'!$B$4:$B$21,'Balizador da Meta'!$C$4:$C$21)</f>
        <v>0</v>
      </c>
      <c r="W117" s="28">
        <f>W99*_xlfn.XLOOKUP($L117,'Balizador da Meta'!$B$4:$B$21,'Balizador da Meta'!$C$4:$C$21)</f>
        <v>0</v>
      </c>
      <c r="X117" s="28">
        <f>X99*_xlfn.XLOOKUP($L117,'Balizador da Meta'!$B$4:$B$21,'Balizador da Meta'!$C$4:$C$21)</f>
        <v>0</v>
      </c>
      <c r="Y117" s="28">
        <f>Y99*_xlfn.XLOOKUP($L117,'Balizador da Meta'!$B$4:$B$21,'Balizador da Meta'!$C$4:$C$21)</f>
        <v>0</v>
      </c>
      <c r="Z117" s="30">
        <f t="shared" si="27"/>
        <v>0</v>
      </c>
      <c r="AA117" s="29"/>
      <c r="AB117" s="31">
        <f>SUMIFS('Historico - FAT'!AK:AK,'Historico - FAT'!$K:$K,Faturamento!$L117,'Historico - FAT'!$I:$I,Faturamento!$J117,'Historico - FAT'!$G:$G,Faturamento!$H117)</f>
        <v>0</v>
      </c>
      <c r="AC117" s="31">
        <f>SUMIFS('Historico - FAT'!AL:AL,'Historico - FAT'!$K:$K,Faturamento!$L117,'Historico - FAT'!$I:$I,Faturamento!$J117,'Historico - FAT'!$G:$G,Faturamento!$H117)</f>
        <v>0</v>
      </c>
      <c r="AD117" s="31">
        <f>SUMIFS('Historico - FAT'!AM:AM,'Historico - FAT'!$K:$K,Faturamento!$L117,'Historico - FAT'!$I:$I,Faturamento!$J117,'Historico - FAT'!$G:$G,Faturamento!$H117)</f>
        <v>0</v>
      </c>
      <c r="AE117" s="27">
        <f>SUMIFS('Historico - FAT'!AN:AN,'Historico - FAT'!$K:$K,Faturamento!$L117,'Historico - FAT'!$I:$I,Faturamento!$J117,'Historico - FAT'!$G:$G,Faturamento!$H117)</f>
        <v>0</v>
      </c>
      <c r="AG117" s="24" t="str">
        <f t="shared" si="29"/>
        <v/>
      </c>
      <c r="AH117" s="24" t="str">
        <f t="shared" si="30"/>
        <v/>
      </c>
      <c r="AI117" s="24" t="str">
        <f t="shared" si="31"/>
        <v/>
      </c>
    </row>
    <row r="118" spans="1:35" x14ac:dyDescent="0.3">
      <c r="A118" s="2" t="str">
        <f t="shared" si="28"/>
        <v>SIM</v>
      </c>
      <c r="B118" s="2">
        <v>1000184670</v>
      </c>
      <c r="C118" s="2" t="s">
        <v>147</v>
      </c>
      <c r="D118" s="4">
        <v>1000186197</v>
      </c>
      <c r="E118" s="4" t="s">
        <v>166</v>
      </c>
      <c r="F118" s="2">
        <v>1000198600</v>
      </c>
      <c r="G118" s="2" t="s">
        <v>148</v>
      </c>
      <c r="H118" s="4">
        <v>1000198601</v>
      </c>
      <c r="I118" s="4" t="s">
        <v>149</v>
      </c>
      <c r="J118" s="2">
        <v>1000189756</v>
      </c>
      <c r="K118" s="2" t="s">
        <v>139</v>
      </c>
      <c r="L118" s="4" t="s">
        <v>124</v>
      </c>
      <c r="M118" s="4" t="str">
        <f t="shared" si="21"/>
        <v>100018467010001861971000198601100018975601. TOTAL</v>
      </c>
      <c r="N118" s="28">
        <f>SUMIFS(Positivação!L:L,Positivação!$I:$I,Faturamento!$J118,Positivação!$G:$G,Faturamento!$H118)*SUMIFS(Positivação!$Z:$Z,Positivação!$I:$I,Faturamento!$J118,Positivação!$G:$G,Faturamento!$H118)</f>
        <v>43500</v>
      </c>
      <c r="O118" s="28">
        <f>SUMIFS(Positivação!M:M,Positivação!$I:$I,Faturamento!$J118,Positivação!$G:$G,Faturamento!$H118)*SUMIFS(Positivação!$Z:$Z,Positivação!$I:$I,Faturamento!$J118,Positivação!$G:$G,Faturamento!$H118)</f>
        <v>45000</v>
      </c>
      <c r="P118" s="28">
        <f>SUMIFS(Positivação!N:N,Positivação!$I:$I,Faturamento!$J118,Positivação!$G:$G,Faturamento!$H118)*SUMIFS(Positivação!$Z:$Z,Positivação!$I:$I,Faturamento!$J118,Positivação!$G:$G,Faturamento!$H118)</f>
        <v>46500</v>
      </c>
      <c r="Q118" s="28">
        <f>SUMIFS(Positivação!O:O,Positivação!$I:$I,Faturamento!$J118,Positivação!$G:$G,Faturamento!$H118)*SUMIFS(Positivação!$Z:$Z,Positivação!$I:$I,Faturamento!$J118,Positivação!$G:$G,Faturamento!$H118)</f>
        <v>48000</v>
      </c>
      <c r="R118" s="28">
        <f>SUMIFS(Positivação!P:P,Positivação!$I:$I,Faturamento!$J118,Positivação!$G:$G,Faturamento!$H118)*SUMIFS(Positivação!$Z:$Z,Positivação!$I:$I,Faturamento!$J118,Positivação!$G:$G,Faturamento!$H118)</f>
        <v>49500</v>
      </c>
      <c r="S118" s="28">
        <f>SUMIFS(Positivação!Q:Q,Positivação!$I:$I,Faturamento!$J118,Positivação!$G:$G,Faturamento!$H118)*SUMIFS(Positivação!$Z:$Z,Positivação!$I:$I,Faturamento!$J118,Positivação!$G:$G,Faturamento!$H118)</f>
        <v>51000</v>
      </c>
      <c r="T118" s="28">
        <f>SUMIFS(Positivação!R:R,Positivação!$I:$I,Faturamento!$J118,Positivação!$G:$G,Faturamento!$H118)*SUMIFS(Positivação!$Z:$Z,Positivação!$I:$I,Faturamento!$J118,Positivação!$G:$G,Faturamento!$H118)</f>
        <v>52500</v>
      </c>
      <c r="U118" s="28">
        <f>SUMIFS(Positivação!S:S,Positivação!$I:$I,Faturamento!$J118,Positivação!$G:$G,Faturamento!$H118)*SUMIFS(Positivação!$Z:$Z,Positivação!$I:$I,Faturamento!$J118,Positivação!$G:$G,Faturamento!$H118)</f>
        <v>54000</v>
      </c>
      <c r="V118" s="28">
        <f>SUMIFS(Positivação!T:T,Positivação!$I:$I,Faturamento!$J118,Positivação!$G:$G,Faturamento!$H118)*SUMIFS(Positivação!$Z:$Z,Positivação!$I:$I,Faturamento!$J118,Positivação!$G:$G,Faturamento!$H118)</f>
        <v>55500</v>
      </c>
      <c r="W118" s="28">
        <f>SUMIFS(Positivação!U:U,Positivação!$I:$I,Faturamento!$J118,Positivação!$G:$G,Faturamento!$H118)*SUMIFS(Positivação!$Z:$Z,Positivação!$I:$I,Faturamento!$J118,Positivação!$G:$G,Faturamento!$H118)</f>
        <v>57000</v>
      </c>
      <c r="X118" s="28">
        <f>SUMIFS(Positivação!V:V,Positivação!$I:$I,Faturamento!$J118,Positivação!$G:$G,Faturamento!$H118)*SUMIFS(Positivação!$Z:$Z,Positivação!$I:$I,Faturamento!$J118,Positivação!$G:$G,Faturamento!$H118)</f>
        <v>58500</v>
      </c>
      <c r="Y118" s="28">
        <f>SUMIFS(Positivação!W:W,Positivação!$I:$I,Faturamento!$J118,Positivação!$G:$G,Faturamento!$H118)*SUMIFS(Positivação!$Z:$Z,Positivação!$I:$I,Faturamento!$J118,Positivação!$G:$G,Faturamento!$H118)</f>
        <v>60000</v>
      </c>
      <c r="Z118" s="28">
        <f t="shared" ref="Z118" si="32">SUM(Z119:Z136)</f>
        <v>621000</v>
      </c>
      <c r="AA118" s="29"/>
      <c r="AB118" s="28">
        <f t="shared" ref="AB118:AE118" si="33">SUM(AB119:AB136)</f>
        <v>58.069166666666661</v>
      </c>
      <c r="AC118" s="28">
        <f t="shared" si="33"/>
        <v>4920.1916666666675</v>
      </c>
      <c r="AD118" s="28">
        <f t="shared" si="33"/>
        <v>9326.1400000000012</v>
      </c>
      <c r="AE118" s="28">
        <f t="shared" si="33"/>
        <v>5834.5470000000005</v>
      </c>
      <c r="AG118" s="24">
        <f t="shared" si="29"/>
        <v>0.99900736467236462</v>
      </c>
      <c r="AH118" s="24">
        <f t="shared" si="30"/>
        <v>0.91589415954415954</v>
      </c>
      <c r="AI118" s="24">
        <f t="shared" si="31"/>
        <v>0.84057880341880342</v>
      </c>
    </row>
    <row r="119" spans="1:35" hidden="1" x14ac:dyDescent="0.3">
      <c r="A119" s="2" t="str">
        <f t="shared" si="28"/>
        <v>NÃO</v>
      </c>
      <c r="B119" s="2">
        <v>1000184670</v>
      </c>
      <c r="C119" s="2" t="s">
        <v>147</v>
      </c>
      <c r="D119" s="4">
        <v>1000186197</v>
      </c>
      <c r="E119" s="4" t="s">
        <v>166</v>
      </c>
      <c r="F119" s="2">
        <v>1000198600</v>
      </c>
      <c r="G119" s="2" t="s">
        <v>148</v>
      </c>
      <c r="H119" s="4">
        <v>1000198601</v>
      </c>
      <c r="I119" s="4" t="s">
        <v>149</v>
      </c>
      <c r="J119" s="2">
        <v>1000189756</v>
      </c>
      <c r="K119" s="2" t="s">
        <v>139</v>
      </c>
      <c r="L119" s="4" t="s">
        <v>13</v>
      </c>
      <c r="M119" s="4" t="str">
        <f t="shared" si="21"/>
        <v>1000184670100018619710001986011000189756BISCOITO</v>
      </c>
      <c r="N119" s="28">
        <f>N118*_xlfn.XLOOKUP($L119,'Balizador da Meta'!$B$4:$B$21,'Balizador da Meta'!$C$4:$C$21)</f>
        <v>3045.0000000000005</v>
      </c>
      <c r="O119" s="28">
        <f>O118*_xlfn.XLOOKUP($L119,'Balizador da Meta'!$B$4:$B$21,'Balizador da Meta'!$C$4:$C$21)</f>
        <v>3150.0000000000005</v>
      </c>
      <c r="P119" s="28">
        <f>P118*_xlfn.XLOOKUP($L119,'Balizador da Meta'!$B$4:$B$21,'Balizador da Meta'!$C$4:$C$21)</f>
        <v>3255.0000000000005</v>
      </c>
      <c r="Q119" s="28">
        <f>Q118*_xlfn.XLOOKUP($L119,'Balizador da Meta'!$B$4:$B$21,'Balizador da Meta'!$C$4:$C$21)</f>
        <v>3360.0000000000005</v>
      </c>
      <c r="R119" s="28">
        <f>R118*_xlfn.XLOOKUP($L119,'Balizador da Meta'!$B$4:$B$21,'Balizador da Meta'!$C$4:$C$21)</f>
        <v>3465.0000000000005</v>
      </c>
      <c r="S119" s="28">
        <f>S118*_xlfn.XLOOKUP($L119,'Balizador da Meta'!$B$4:$B$21,'Balizador da Meta'!$C$4:$C$21)</f>
        <v>3570.0000000000005</v>
      </c>
      <c r="T119" s="28">
        <f>T118*_xlfn.XLOOKUP($L119,'Balizador da Meta'!$B$4:$B$21,'Balizador da Meta'!$C$4:$C$21)</f>
        <v>3675.0000000000005</v>
      </c>
      <c r="U119" s="28">
        <f>U118*_xlfn.XLOOKUP($L119,'Balizador da Meta'!$B$4:$B$21,'Balizador da Meta'!$C$4:$C$21)</f>
        <v>3780.0000000000005</v>
      </c>
      <c r="V119" s="28">
        <f>V118*_xlfn.XLOOKUP($L119,'Balizador da Meta'!$B$4:$B$21,'Balizador da Meta'!$C$4:$C$21)</f>
        <v>3885.0000000000005</v>
      </c>
      <c r="W119" s="28">
        <f>W118*_xlfn.XLOOKUP($L119,'Balizador da Meta'!$B$4:$B$21,'Balizador da Meta'!$C$4:$C$21)</f>
        <v>3990.0000000000005</v>
      </c>
      <c r="X119" s="28">
        <f>X118*_xlfn.XLOOKUP($L119,'Balizador da Meta'!$B$4:$B$21,'Balizador da Meta'!$C$4:$C$21)</f>
        <v>4095.0000000000005</v>
      </c>
      <c r="Y119" s="28">
        <f>Y118*_xlfn.XLOOKUP($L119,'Balizador da Meta'!$B$4:$B$21,'Balizador da Meta'!$C$4:$C$21)</f>
        <v>4200</v>
      </c>
      <c r="Z119" s="30">
        <f t="shared" ref="Z119:Z136" si="34">SUM(N119:Y119)</f>
        <v>43470.000000000007</v>
      </c>
      <c r="AA119" s="29"/>
      <c r="AB119" s="31">
        <f>SUMIFS('Historico - FAT'!AK:AK,'Historico - FAT'!$K:$K,Faturamento!$L119,'Historico - FAT'!$I:$I,Faturamento!$J119,'Historico - FAT'!$G:$G,Faturamento!$H119)</f>
        <v>0</v>
      </c>
      <c r="AC119" s="31">
        <f>SUMIFS('Historico - FAT'!AL:AL,'Historico - FAT'!$K:$K,Faturamento!$L119,'Historico - FAT'!$I:$I,Faturamento!$J119,'Historico - FAT'!$G:$G,Faturamento!$H119)</f>
        <v>0</v>
      </c>
      <c r="AD119" s="31">
        <f>SUMIFS('Historico - FAT'!AM:AM,'Historico - FAT'!$K:$K,Faturamento!$L119,'Historico - FAT'!$I:$I,Faturamento!$J119,'Historico - FAT'!$G:$G,Faturamento!$H119)</f>
        <v>0</v>
      </c>
      <c r="AE119" s="27">
        <f>SUMIFS('Historico - FAT'!AN:AN,'Historico - FAT'!$K:$K,Faturamento!$L119,'Historico - FAT'!$I:$I,Faturamento!$J119,'Historico - FAT'!$G:$G,Faturamento!$H119)</f>
        <v>0</v>
      </c>
      <c r="AG119" s="24">
        <f t="shared" si="29"/>
        <v>1</v>
      </c>
      <c r="AH119" s="24">
        <f t="shared" si="30"/>
        <v>1</v>
      </c>
      <c r="AI119" s="24">
        <f t="shared" si="31"/>
        <v>1</v>
      </c>
    </row>
    <row r="120" spans="1:35" hidden="1" x14ac:dyDescent="0.3">
      <c r="A120" s="2" t="str">
        <f t="shared" si="28"/>
        <v>NÃO</v>
      </c>
      <c r="B120" s="2">
        <v>1000184670</v>
      </c>
      <c r="C120" s="2" t="s">
        <v>147</v>
      </c>
      <c r="D120" s="4">
        <v>1000186197</v>
      </c>
      <c r="E120" s="4" t="s">
        <v>166</v>
      </c>
      <c r="F120" s="2">
        <v>1000198600</v>
      </c>
      <c r="G120" s="2" t="s">
        <v>148</v>
      </c>
      <c r="H120" s="4">
        <v>1000198601</v>
      </c>
      <c r="I120" s="4" t="s">
        <v>149</v>
      </c>
      <c r="J120" s="2">
        <v>1000189756</v>
      </c>
      <c r="K120" s="2" t="s">
        <v>139</v>
      </c>
      <c r="L120" s="4" t="s">
        <v>14</v>
      </c>
      <c r="M120" s="4" t="str">
        <f t="shared" si="21"/>
        <v>1000184670100018619710001986011000189756CHOCOLATES</v>
      </c>
      <c r="N120" s="28">
        <f>N118*_xlfn.XLOOKUP($L120,'Balizador da Meta'!$B$4:$B$21,'Balizador da Meta'!$C$4:$C$21)</f>
        <v>3045.0000000000005</v>
      </c>
      <c r="O120" s="28">
        <f>O118*_xlfn.XLOOKUP($L120,'Balizador da Meta'!$B$4:$B$21,'Balizador da Meta'!$C$4:$C$21)</f>
        <v>3150.0000000000005</v>
      </c>
      <c r="P120" s="28">
        <f>P118*_xlfn.XLOOKUP($L120,'Balizador da Meta'!$B$4:$B$21,'Balizador da Meta'!$C$4:$C$21)</f>
        <v>3255.0000000000005</v>
      </c>
      <c r="Q120" s="28">
        <f>Q118*_xlfn.XLOOKUP($L120,'Balizador da Meta'!$B$4:$B$21,'Balizador da Meta'!$C$4:$C$21)</f>
        <v>3360.0000000000005</v>
      </c>
      <c r="R120" s="28">
        <f>R118*_xlfn.XLOOKUP($L120,'Balizador da Meta'!$B$4:$B$21,'Balizador da Meta'!$C$4:$C$21)</f>
        <v>3465.0000000000005</v>
      </c>
      <c r="S120" s="28">
        <f>S118*_xlfn.XLOOKUP($L120,'Balizador da Meta'!$B$4:$B$21,'Balizador da Meta'!$C$4:$C$21)</f>
        <v>3570.0000000000005</v>
      </c>
      <c r="T120" s="28">
        <f>T118*_xlfn.XLOOKUP($L120,'Balizador da Meta'!$B$4:$B$21,'Balizador da Meta'!$C$4:$C$21)</f>
        <v>3675.0000000000005</v>
      </c>
      <c r="U120" s="28">
        <f>U118*_xlfn.XLOOKUP($L120,'Balizador da Meta'!$B$4:$B$21,'Balizador da Meta'!$C$4:$C$21)</f>
        <v>3780.0000000000005</v>
      </c>
      <c r="V120" s="28">
        <f>V118*_xlfn.XLOOKUP($L120,'Balizador da Meta'!$B$4:$B$21,'Balizador da Meta'!$C$4:$C$21)</f>
        <v>3885.0000000000005</v>
      </c>
      <c r="W120" s="28">
        <f>W118*_xlfn.XLOOKUP($L120,'Balizador da Meta'!$B$4:$B$21,'Balizador da Meta'!$C$4:$C$21)</f>
        <v>3990.0000000000005</v>
      </c>
      <c r="X120" s="28">
        <f>X118*_xlfn.XLOOKUP($L120,'Balizador da Meta'!$B$4:$B$21,'Balizador da Meta'!$C$4:$C$21)</f>
        <v>4095.0000000000005</v>
      </c>
      <c r="Y120" s="28">
        <f>Y118*_xlfn.XLOOKUP($L120,'Balizador da Meta'!$B$4:$B$21,'Balizador da Meta'!$C$4:$C$21)</f>
        <v>4200</v>
      </c>
      <c r="Z120" s="30">
        <f t="shared" si="34"/>
        <v>43470.000000000007</v>
      </c>
      <c r="AA120" s="29"/>
      <c r="AB120" s="31">
        <f>SUMIFS('Historico - FAT'!AK:AK,'Historico - FAT'!$K:$K,Faturamento!$L120,'Historico - FAT'!$I:$I,Faturamento!$J120,'Historico - FAT'!$G:$G,Faturamento!$H120)</f>
        <v>0</v>
      </c>
      <c r="AC120" s="31">
        <f>SUMIFS('Historico - FAT'!AL:AL,'Historico - FAT'!$K:$K,Faturamento!$L120,'Historico - FAT'!$I:$I,Faturamento!$J120,'Historico - FAT'!$G:$G,Faturamento!$H120)</f>
        <v>16.875</v>
      </c>
      <c r="AD120" s="31">
        <f>SUMIFS('Historico - FAT'!AM:AM,'Historico - FAT'!$K:$K,Faturamento!$L120,'Historico - FAT'!$I:$I,Faturamento!$J120,'Historico - FAT'!$G:$G,Faturamento!$H120)</f>
        <v>33.75</v>
      </c>
      <c r="AE120" s="27">
        <f>SUMIFS('Historico - FAT'!AN:AN,'Historico - FAT'!$K:$K,Faturamento!$L120,'Historico - FAT'!$I:$I,Faturamento!$J120,'Historico - FAT'!$G:$G,Faturamento!$H120)</f>
        <v>20.25</v>
      </c>
      <c r="AG120" s="24">
        <f t="shared" si="29"/>
        <v>1</v>
      </c>
      <c r="AH120" s="24">
        <f t="shared" si="30"/>
        <v>0.99587912087912089</v>
      </c>
      <c r="AI120" s="24">
        <f t="shared" si="31"/>
        <v>0.99175824175824179</v>
      </c>
    </row>
    <row r="121" spans="1:35" hidden="1" x14ac:dyDescent="0.3">
      <c r="A121" s="2" t="str">
        <f t="shared" si="28"/>
        <v>NÃO</v>
      </c>
      <c r="B121" s="2">
        <v>1000184670</v>
      </c>
      <c r="C121" s="2" t="s">
        <v>147</v>
      </c>
      <c r="D121" s="4">
        <v>1000186197</v>
      </c>
      <c r="E121" s="4" t="s">
        <v>166</v>
      </c>
      <c r="F121" s="2">
        <v>1000198600</v>
      </c>
      <c r="G121" s="2" t="s">
        <v>148</v>
      </c>
      <c r="H121" s="4">
        <v>1000198601</v>
      </c>
      <c r="I121" s="4" t="s">
        <v>149</v>
      </c>
      <c r="J121" s="2">
        <v>1000189756</v>
      </c>
      <c r="K121" s="2" t="s">
        <v>139</v>
      </c>
      <c r="L121" s="4" t="s">
        <v>16</v>
      </c>
      <c r="M121" s="4" t="str">
        <f t="shared" si="21"/>
        <v>1000184670100018619710001986011000189756DISNEY</v>
      </c>
      <c r="N121" s="28">
        <f>N118*_xlfn.XLOOKUP($L121,'Balizador da Meta'!$B$4:$B$21,'Balizador da Meta'!$C$4:$C$21)</f>
        <v>3480</v>
      </c>
      <c r="O121" s="28">
        <f>O118*_xlfn.XLOOKUP($L121,'Balizador da Meta'!$B$4:$B$21,'Balizador da Meta'!$C$4:$C$21)</f>
        <v>3600</v>
      </c>
      <c r="P121" s="28">
        <f>P118*_xlfn.XLOOKUP($L121,'Balizador da Meta'!$B$4:$B$21,'Balizador da Meta'!$C$4:$C$21)</f>
        <v>3720</v>
      </c>
      <c r="Q121" s="28">
        <f>Q118*_xlfn.XLOOKUP($L121,'Balizador da Meta'!$B$4:$B$21,'Balizador da Meta'!$C$4:$C$21)</f>
        <v>3840</v>
      </c>
      <c r="R121" s="28">
        <f>R118*_xlfn.XLOOKUP($L121,'Balizador da Meta'!$B$4:$B$21,'Balizador da Meta'!$C$4:$C$21)</f>
        <v>3960</v>
      </c>
      <c r="S121" s="28">
        <f>S118*_xlfn.XLOOKUP($L121,'Balizador da Meta'!$B$4:$B$21,'Balizador da Meta'!$C$4:$C$21)</f>
        <v>4080</v>
      </c>
      <c r="T121" s="28">
        <f>T118*_xlfn.XLOOKUP($L121,'Balizador da Meta'!$B$4:$B$21,'Balizador da Meta'!$C$4:$C$21)</f>
        <v>4200</v>
      </c>
      <c r="U121" s="28">
        <f>U118*_xlfn.XLOOKUP($L121,'Balizador da Meta'!$B$4:$B$21,'Balizador da Meta'!$C$4:$C$21)</f>
        <v>4320</v>
      </c>
      <c r="V121" s="28">
        <f>V118*_xlfn.XLOOKUP($L121,'Balizador da Meta'!$B$4:$B$21,'Balizador da Meta'!$C$4:$C$21)</f>
        <v>4440</v>
      </c>
      <c r="W121" s="28">
        <f>W118*_xlfn.XLOOKUP($L121,'Balizador da Meta'!$B$4:$B$21,'Balizador da Meta'!$C$4:$C$21)</f>
        <v>4560</v>
      </c>
      <c r="X121" s="28">
        <f>X118*_xlfn.XLOOKUP($L121,'Balizador da Meta'!$B$4:$B$21,'Balizador da Meta'!$C$4:$C$21)</f>
        <v>4680</v>
      </c>
      <c r="Y121" s="28">
        <f>Y118*_xlfn.XLOOKUP($L121,'Balizador da Meta'!$B$4:$B$21,'Balizador da Meta'!$C$4:$C$21)</f>
        <v>4800</v>
      </c>
      <c r="Z121" s="30">
        <f t="shared" si="34"/>
        <v>49680</v>
      </c>
      <c r="AA121" s="29"/>
      <c r="AB121" s="31">
        <f>SUMIFS('Historico - FAT'!AK:AK,'Historico - FAT'!$K:$K,Faturamento!$L121,'Historico - FAT'!$I:$I,Faturamento!$J121,'Historico - FAT'!$G:$G,Faturamento!$H121)</f>
        <v>0</v>
      </c>
      <c r="AC121" s="31">
        <f>SUMIFS('Historico - FAT'!AL:AL,'Historico - FAT'!$K:$K,Faturamento!$L121,'Historico - FAT'!$I:$I,Faturamento!$J121,'Historico - FAT'!$G:$G,Faturamento!$H121)</f>
        <v>477.36333333333329</v>
      </c>
      <c r="AD121" s="31">
        <f>SUMIFS('Historico - FAT'!AM:AM,'Historico - FAT'!$K:$K,Faturamento!$L121,'Historico - FAT'!$I:$I,Faturamento!$J121,'Historico - FAT'!$G:$G,Faturamento!$H121)</f>
        <v>954.72666666666657</v>
      </c>
      <c r="AE121" s="27">
        <f>SUMIFS('Historico - FAT'!AN:AN,'Historico - FAT'!$K:$K,Faturamento!$L121,'Historico - FAT'!$I:$I,Faturamento!$J121,'Historico - FAT'!$G:$G,Faturamento!$H121)</f>
        <v>572.83600000000001</v>
      </c>
      <c r="AG121" s="24">
        <f t="shared" si="29"/>
        <v>1</v>
      </c>
      <c r="AH121" s="24">
        <f t="shared" si="30"/>
        <v>0.89799928774928772</v>
      </c>
      <c r="AI121" s="24">
        <f t="shared" si="31"/>
        <v>0.79599857549857556</v>
      </c>
    </row>
    <row r="122" spans="1:35" hidden="1" x14ac:dyDescent="0.3">
      <c r="A122" s="2" t="str">
        <f t="shared" si="28"/>
        <v>NÃO</v>
      </c>
      <c r="B122" s="2">
        <v>1000184670</v>
      </c>
      <c r="C122" s="2" t="s">
        <v>147</v>
      </c>
      <c r="D122" s="4">
        <v>1000186197</v>
      </c>
      <c r="E122" s="4" t="s">
        <v>166</v>
      </c>
      <c r="F122" s="2">
        <v>1000198600</v>
      </c>
      <c r="G122" s="2" t="s">
        <v>148</v>
      </c>
      <c r="H122" s="4">
        <v>1000198601</v>
      </c>
      <c r="I122" s="4" t="s">
        <v>149</v>
      </c>
      <c r="J122" s="2">
        <v>1000189756</v>
      </c>
      <c r="K122" s="2" t="s">
        <v>139</v>
      </c>
      <c r="L122" s="4" t="s">
        <v>15</v>
      </c>
      <c r="M122" s="4" t="str">
        <f t="shared" si="21"/>
        <v>1000184670100018619710001986011000189756DOCES</v>
      </c>
      <c r="N122" s="28">
        <f>N118*_xlfn.XLOOKUP($L122,'Balizador da Meta'!$B$4:$B$21,'Balizador da Meta'!$C$4:$C$21)</f>
        <v>3915</v>
      </c>
      <c r="O122" s="28">
        <f>O118*_xlfn.XLOOKUP($L122,'Balizador da Meta'!$B$4:$B$21,'Balizador da Meta'!$C$4:$C$21)</f>
        <v>4050</v>
      </c>
      <c r="P122" s="28">
        <f>P118*_xlfn.XLOOKUP($L122,'Balizador da Meta'!$B$4:$B$21,'Balizador da Meta'!$C$4:$C$21)</f>
        <v>4185</v>
      </c>
      <c r="Q122" s="28">
        <f>Q118*_xlfn.XLOOKUP($L122,'Balizador da Meta'!$B$4:$B$21,'Balizador da Meta'!$C$4:$C$21)</f>
        <v>4320</v>
      </c>
      <c r="R122" s="28">
        <f>R118*_xlfn.XLOOKUP($L122,'Balizador da Meta'!$B$4:$B$21,'Balizador da Meta'!$C$4:$C$21)</f>
        <v>4455</v>
      </c>
      <c r="S122" s="28">
        <f>S118*_xlfn.XLOOKUP($L122,'Balizador da Meta'!$B$4:$B$21,'Balizador da Meta'!$C$4:$C$21)</f>
        <v>4590</v>
      </c>
      <c r="T122" s="28">
        <f>T118*_xlfn.XLOOKUP($L122,'Balizador da Meta'!$B$4:$B$21,'Balizador da Meta'!$C$4:$C$21)</f>
        <v>4725</v>
      </c>
      <c r="U122" s="28">
        <f>U118*_xlfn.XLOOKUP($L122,'Balizador da Meta'!$B$4:$B$21,'Balizador da Meta'!$C$4:$C$21)</f>
        <v>4860</v>
      </c>
      <c r="V122" s="28">
        <f>V118*_xlfn.XLOOKUP($L122,'Balizador da Meta'!$B$4:$B$21,'Balizador da Meta'!$C$4:$C$21)</f>
        <v>4995</v>
      </c>
      <c r="W122" s="28">
        <f>W118*_xlfn.XLOOKUP($L122,'Balizador da Meta'!$B$4:$B$21,'Balizador da Meta'!$C$4:$C$21)</f>
        <v>5130</v>
      </c>
      <c r="X122" s="28">
        <f>X118*_xlfn.XLOOKUP($L122,'Balizador da Meta'!$B$4:$B$21,'Balizador da Meta'!$C$4:$C$21)</f>
        <v>5265</v>
      </c>
      <c r="Y122" s="28">
        <f>Y118*_xlfn.XLOOKUP($L122,'Balizador da Meta'!$B$4:$B$21,'Balizador da Meta'!$C$4:$C$21)</f>
        <v>5400</v>
      </c>
      <c r="Z122" s="30">
        <f t="shared" si="34"/>
        <v>55890</v>
      </c>
      <c r="AA122" s="29"/>
      <c r="AB122" s="31">
        <f>SUMIFS('Historico - FAT'!AK:AK,'Historico - FAT'!$K:$K,Faturamento!$L122,'Historico - FAT'!$I:$I,Faturamento!$J122,'Historico - FAT'!$G:$G,Faturamento!$H122)</f>
        <v>0</v>
      </c>
      <c r="AC122" s="31">
        <f>SUMIFS('Historico - FAT'!AL:AL,'Historico - FAT'!$K:$K,Faturamento!$L122,'Historico - FAT'!$I:$I,Faturamento!$J122,'Historico - FAT'!$G:$G,Faturamento!$H122)</f>
        <v>76.154166666666669</v>
      </c>
      <c r="AD122" s="31">
        <f>SUMIFS('Historico - FAT'!AM:AM,'Historico - FAT'!$K:$K,Faturamento!$L122,'Historico - FAT'!$I:$I,Faturamento!$J122,'Historico - FAT'!$G:$G,Faturamento!$H122)</f>
        <v>152.30833333333334</v>
      </c>
      <c r="AE122" s="27">
        <f>SUMIFS('Historico - FAT'!AN:AN,'Historico - FAT'!$K:$K,Faturamento!$L122,'Historico - FAT'!$I:$I,Faturamento!$J122,'Historico - FAT'!$G:$G,Faturamento!$H122)</f>
        <v>91.385000000000005</v>
      </c>
      <c r="AG122" s="24">
        <f t="shared" si="29"/>
        <v>1</v>
      </c>
      <c r="AH122" s="24">
        <f t="shared" si="30"/>
        <v>0.98553577081354871</v>
      </c>
      <c r="AI122" s="24">
        <f t="shared" si="31"/>
        <v>0.97107154162709719</v>
      </c>
    </row>
    <row r="123" spans="1:35" hidden="1" x14ac:dyDescent="0.3">
      <c r="A123" s="2" t="str">
        <f t="shared" si="28"/>
        <v>NÃO</v>
      </c>
      <c r="B123" s="2">
        <v>1000184670</v>
      </c>
      <c r="C123" s="2" t="s">
        <v>147</v>
      </c>
      <c r="D123" s="4">
        <v>1000186197</v>
      </c>
      <c r="E123" s="4" t="s">
        <v>166</v>
      </c>
      <c r="F123" s="2">
        <v>1000198600</v>
      </c>
      <c r="G123" s="2" t="s">
        <v>148</v>
      </c>
      <c r="H123" s="4">
        <v>1000198601</v>
      </c>
      <c r="I123" s="4" t="s">
        <v>149</v>
      </c>
      <c r="J123" s="2">
        <v>1000189756</v>
      </c>
      <c r="K123" s="2" t="s">
        <v>139</v>
      </c>
      <c r="L123" s="4" t="s">
        <v>33</v>
      </c>
      <c r="M123" s="4" t="str">
        <f t="shared" si="21"/>
        <v>1000184670100018619710001986011000189756FOOD SERVICE</v>
      </c>
      <c r="N123" s="28">
        <f>N118*_xlfn.XLOOKUP($L123,'Balizador da Meta'!$B$4:$B$21,'Balizador da Meta'!$C$4:$C$21)</f>
        <v>0</v>
      </c>
      <c r="O123" s="28">
        <f>O118*_xlfn.XLOOKUP($L123,'Balizador da Meta'!$B$4:$B$21,'Balizador da Meta'!$C$4:$C$21)</f>
        <v>0</v>
      </c>
      <c r="P123" s="28">
        <f>P118*_xlfn.XLOOKUP($L123,'Balizador da Meta'!$B$4:$B$21,'Balizador da Meta'!$C$4:$C$21)</f>
        <v>0</v>
      </c>
      <c r="Q123" s="28">
        <f>Q118*_xlfn.XLOOKUP($L123,'Balizador da Meta'!$B$4:$B$21,'Balizador da Meta'!$C$4:$C$21)</f>
        <v>0</v>
      </c>
      <c r="R123" s="28">
        <f>R118*_xlfn.XLOOKUP($L123,'Balizador da Meta'!$B$4:$B$21,'Balizador da Meta'!$C$4:$C$21)</f>
        <v>0</v>
      </c>
      <c r="S123" s="28">
        <f>S118*_xlfn.XLOOKUP($L123,'Balizador da Meta'!$B$4:$B$21,'Balizador da Meta'!$C$4:$C$21)</f>
        <v>0</v>
      </c>
      <c r="T123" s="28">
        <f>T118*_xlfn.XLOOKUP($L123,'Balizador da Meta'!$B$4:$B$21,'Balizador da Meta'!$C$4:$C$21)</f>
        <v>0</v>
      </c>
      <c r="U123" s="28">
        <f>U118*_xlfn.XLOOKUP($L123,'Balizador da Meta'!$B$4:$B$21,'Balizador da Meta'!$C$4:$C$21)</f>
        <v>0</v>
      </c>
      <c r="V123" s="28">
        <f>V118*_xlfn.XLOOKUP($L123,'Balizador da Meta'!$B$4:$B$21,'Balizador da Meta'!$C$4:$C$21)</f>
        <v>0</v>
      </c>
      <c r="W123" s="28">
        <f>W118*_xlfn.XLOOKUP($L123,'Balizador da Meta'!$B$4:$B$21,'Balizador da Meta'!$C$4:$C$21)</f>
        <v>0</v>
      </c>
      <c r="X123" s="28">
        <f>X118*_xlfn.XLOOKUP($L123,'Balizador da Meta'!$B$4:$B$21,'Balizador da Meta'!$C$4:$C$21)</f>
        <v>0</v>
      </c>
      <c r="Y123" s="28">
        <f>Y118*_xlfn.XLOOKUP($L123,'Balizador da Meta'!$B$4:$B$21,'Balizador da Meta'!$C$4:$C$21)</f>
        <v>0</v>
      </c>
      <c r="Z123" s="30">
        <f t="shared" si="34"/>
        <v>0</v>
      </c>
      <c r="AA123" s="29"/>
      <c r="AB123" s="31">
        <f>SUMIFS('Historico - FAT'!AK:AK,'Historico - FAT'!$K:$K,Faturamento!$L123,'Historico - FAT'!$I:$I,Faturamento!$J123,'Historico - FAT'!$G:$G,Faturamento!$H123)</f>
        <v>0</v>
      </c>
      <c r="AC123" s="31">
        <f>SUMIFS('Historico - FAT'!AL:AL,'Historico - FAT'!$K:$K,Faturamento!$L123,'Historico - FAT'!$I:$I,Faturamento!$J123,'Historico - FAT'!$G:$G,Faturamento!$H123)</f>
        <v>0</v>
      </c>
      <c r="AD123" s="31">
        <f>SUMIFS('Historico - FAT'!AM:AM,'Historico - FAT'!$K:$K,Faturamento!$L123,'Historico - FAT'!$I:$I,Faturamento!$J123,'Historico - FAT'!$G:$G,Faturamento!$H123)</f>
        <v>0</v>
      </c>
      <c r="AE123" s="27">
        <f>SUMIFS('Historico - FAT'!AN:AN,'Historico - FAT'!$K:$K,Faturamento!$L123,'Historico - FAT'!$I:$I,Faturamento!$J123,'Historico - FAT'!$G:$G,Faturamento!$H123)</f>
        <v>0</v>
      </c>
      <c r="AG123" s="24" t="str">
        <f t="shared" si="29"/>
        <v/>
      </c>
      <c r="AH123" s="24" t="str">
        <f t="shared" si="30"/>
        <v/>
      </c>
      <c r="AI123" s="24" t="str">
        <f t="shared" si="31"/>
        <v/>
      </c>
    </row>
    <row r="124" spans="1:35" hidden="1" x14ac:dyDescent="0.3">
      <c r="A124" s="2" t="str">
        <f t="shared" si="28"/>
        <v>NÃO</v>
      </c>
      <c r="B124" s="2">
        <v>1000184670</v>
      </c>
      <c r="C124" s="2" t="s">
        <v>147</v>
      </c>
      <c r="D124" s="4">
        <v>1000186197</v>
      </c>
      <c r="E124" s="4" t="s">
        <v>166</v>
      </c>
      <c r="F124" s="2">
        <v>1000198600</v>
      </c>
      <c r="G124" s="2" t="s">
        <v>148</v>
      </c>
      <c r="H124" s="4">
        <v>1000198601</v>
      </c>
      <c r="I124" s="4" t="s">
        <v>149</v>
      </c>
      <c r="J124" s="2">
        <v>1000189756</v>
      </c>
      <c r="K124" s="2" t="s">
        <v>139</v>
      </c>
      <c r="L124" s="4" t="s">
        <v>19</v>
      </c>
      <c r="M124" s="4" t="str">
        <f t="shared" si="21"/>
        <v>1000184670100018619710001986011000189756GELEIA</v>
      </c>
      <c r="N124" s="28">
        <f>N118*_xlfn.XLOOKUP($L124,'Balizador da Meta'!$B$4:$B$21,'Balizador da Meta'!$C$4:$C$21)</f>
        <v>869.99999999999989</v>
      </c>
      <c r="O124" s="28">
        <f>O118*_xlfn.XLOOKUP($L124,'Balizador da Meta'!$B$4:$B$21,'Balizador da Meta'!$C$4:$C$21)</f>
        <v>899.99999999999989</v>
      </c>
      <c r="P124" s="28">
        <f>P118*_xlfn.XLOOKUP($L124,'Balizador da Meta'!$B$4:$B$21,'Balizador da Meta'!$C$4:$C$21)</f>
        <v>929.99999999999989</v>
      </c>
      <c r="Q124" s="28">
        <f>Q118*_xlfn.XLOOKUP($L124,'Balizador da Meta'!$B$4:$B$21,'Balizador da Meta'!$C$4:$C$21)</f>
        <v>959.99999999999989</v>
      </c>
      <c r="R124" s="28">
        <f>R118*_xlfn.XLOOKUP($L124,'Balizador da Meta'!$B$4:$B$21,'Balizador da Meta'!$C$4:$C$21)</f>
        <v>989.99999999999989</v>
      </c>
      <c r="S124" s="28">
        <f>S118*_xlfn.XLOOKUP($L124,'Balizador da Meta'!$B$4:$B$21,'Balizador da Meta'!$C$4:$C$21)</f>
        <v>1019.9999999999999</v>
      </c>
      <c r="T124" s="28">
        <f>T118*_xlfn.XLOOKUP($L124,'Balizador da Meta'!$B$4:$B$21,'Balizador da Meta'!$C$4:$C$21)</f>
        <v>1049.9999999999998</v>
      </c>
      <c r="U124" s="28">
        <f>U118*_xlfn.XLOOKUP($L124,'Balizador da Meta'!$B$4:$B$21,'Balizador da Meta'!$C$4:$C$21)</f>
        <v>1079.9999999999998</v>
      </c>
      <c r="V124" s="28">
        <f>V118*_xlfn.XLOOKUP($L124,'Balizador da Meta'!$B$4:$B$21,'Balizador da Meta'!$C$4:$C$21)</f>
        <v>1109.9999999999998</v>
      </c>
      <c r="W124" s="28">
        <f>W118*_xlfn.XLOOKUP($L124,'Balizador da Meta'!$B$4:$B$21,'Balizador da Meta'!$C$4:$C$21)</f>
        <v>1139.9999999999998</v>
      </c>
      <c r="X124" s="28">
        <f>X118*_xlfn.XLOOKUP($L124,'Balizador da Meta'!$B$4:$B$21,'Balizador da Meta'!$C$4:$C$21)</f>
        <v>1169.9999999999998</v>
      </c>
      <c r="Y124" s="28">
        <f>Y118*_xlfn.XLOOKUP($L124,'Balizador da Meta'!$B$4:$B$21,'Balizador da Meta'!$C$4:$C$21)</f>
        <v>1199.9999999999998</v>
      </c>
      <c r="Z124" s="30">
        <f t="shared" si="34"/>
        <v>12419.999999999998</v>
      </c>
      <c r="AA124" s="29"/>
      <c r="AB124" s="31">
        <f>SUMIFS('Historico - FAT'!AK:AK,'Historico - FAT'!$K:$K,Faturamento!$L124,'Historico - FAT'!$I:$I,Faturamento!$J124,'Historico - FAT'!$G:$G,Faturamento!$H124)</f>
        <v>0</v>
      </c>
      <c r="AC124" s="31">
        <f>SUMIFS('Historico - FAT'!AL:AL,'Historico - FAT'!$K:$K,Faturamento!$L124,'Historico - FAT'!$I:$I,Faturamento!$J124,'Historico - FAT'!$G:$G,Faturamento!$H124)</f>
        <v>8.2675000000000001</v>
      </c>
      <c r="AD124" s="31">
        <f>SUMIFS('Historico - FAT'!AM:AM,'Historico - FAT'!$K:$K,Faturamento!$L124,'Historico - FAT'!$I:$I,Faturamento!$J124,'Historico - FAT'!$G:$G,Faturamento!$H124)</f>
        <v>16.535</v>
      </c>
      <c r="AE124" s="27">
        <f>SUMIFS('Historico - FAT'!AN:AN,'Historico - FAT'!$K:$K,Faturamento!$L124,'Historico - FAT'!$I:$I,Faturamento!$J124,'Historico - FAT'!$G:$G,Faturamento!$H124)</f>
        <v>9.9209999999999994</v>
      </c>
      <c r="AG124" s="24">
        <f t="shared" si="29"/>
        <v>1</v>
      </c>
      <c r="AH124" s="24">
        <f t="shared" si="30"/>
        <v>0.99293376068376071</v>
      </c>
      <c r="AI124" s="24">
        <f t="shared" si="31"/>
        <v>0.98586752136752132</v>
      </c>
    </row>
    <row r="125" spans="1:35" hidden="1" x14ac:dyDescent="0.3">
      <c r="A125" s="2" t="str">
        <f t="shared" si="28"/>
        <v>NÃO</v>
      </c>
      <c r="B125" s="2">
        <v>1000184670</v>
      </c>
      <c r="C125" s="2" t="s">
        <v>147</v>
      </c>
      <c r="D125" s="4">
        <v>1000186197</v>
      </c>
      <c r="E125" s="4" t="s">
        <v>166</v>
      </c>
      <c r="F125" s="2">
        <v>1000198600</v>
      </c>
      <c r="G125" s="2" t="s">
        <v>148</v>
      </c>
      <c r="H125" s="4">
        <v>1000198601</v>
      </c>
      <c r="I125" s="4" t="s">
        <v>149</v>
      </c>
      <c r="J125" s="2">
        <v>1000189756</v>
      </c>
      <c r="K125" s="2" t="s">
        <v>139</v>
      </c>
      <c r="L125" s="4" t="s">
        <v>17</v>
      </c>
      <c r="M125" s="4" t="str">
        <f t="shared" si="21"/>
        <v>1000184670100018619710001986011000189756GRANOLA</v>
      </c>
      <c r="N125" s="28">
        <f>N118*_xlfn.XLOOKUP($L125,'Balizador da Meta'!$B$4:$B$21,'Balizador da Meta'!$C$4:$C$21)</f>
        <v>870</v>
      </c>
      <c r="O125" s="28">
        <f>O118*_xlfn.XLOOKUP($L125,'Balizador da Meta'!$B$4:$B$21,'Balizador da Meta'!$C$4:$C$21)</f>
        <v>900</v>
      </c>
      <c r="P125" s="28">
        <f>P118*_xlfn.XLOOKUP($L125,'Balizador da Meta'!$B$4:$B$21,'Balizador da Meta'!$C$4:$C$21)</f>
        <v>930</v>
      </c>
      <c r="Q125" s="28">
        <f>Q118*_xlfn.XLOOKUP($L125,'Balizador da Meta'!$B$4:$B$21,'Balizador da Meta'!$C$4:$C$21)</f>
        <v>960</v>
      </c>
      <c r="R125" s="28">
        <f>R118*_xlfn.XLOOKUP($L125,'Balizador da Meta'!$B$4:$B$21,'Balizador da Meta'!$C$4:$C$21)</f>
        <v>990</v>
      </c>
      <c r="S125" s="28">
        <f>S118*_xlfn.XLOOKUP($L125,'Balizador da Meta'!$B$4:$B$21,'Balizador da Meta'!$C$4:$C$21)</f>
        <v>1020</v>
      </c>
      <c r="T125" s="28">
        <f>T118*_xlfn.XLOOKUP($L125,'Balizador da Meta'!$B$4:$B$21,'Balizador da Meta'!$C$4:$C$21)</f>
        <v>1050</v>
      </c>
      <c r="U125" s="28">
        <f>U118*_xlfn.XLOOKUP($L125,'Balizador da Meta'!$B$4:$B$21,'Balizador da Meta'!$C$4:$C$21)</f>
        <v>1080</v>
      </c>
      <c r="V125" s="28">
        <f>V118*_xlfn.XLOOKUP($L125,'Balizador da Meta'!$B$4:$B$21,'Balizador da Meta'!$C$4:$C$21)</f>
        <v>1110</v>
      </c>
      <c r="W125" s="28">
        <f>W118*_xlfn.XLOOKUP($L125,'Balizador da Meta'!$B$4:$B$21,'Balizador da Meta'!$C$4:$C$21)</f>
        <v>1140</v>
      </c>
      <c r="X125" s="28">
        <f>X118*_xlfn.XLOOKUP($L125,'Balizador da Meta'!$B$4:$B$21,'Balizador da Meta'!$C$4:$C$21)</f>
        <v>1170</v>
      </c>
      <c r="Y125" s="28">
        <f>Y118*_xlfn.XLOOKUP($L125,'Balizador da Meta'!$B$4:$B$21,'Balizador da Meta'!$C$4:$C$21)</f>
        <v>1200</v>
      </c>
      <c r="Z125" s="30">
        <f t="shared" si="34"/>
        <v>12420</v>
      </c>
      <c r="AA125" s="29"/>
      <c r="AB125" s="31">
        <f>SUMIFS('Historico - FAT'!AK:AK,'Historico - FAT'!$K:$K,Faturamento!$L125,'Historico - FAT'!$I:$I,Faturamento!$J125,'Historico - FAT'!$G:$G,Faturamento!$H125)</f>
        <v>0</v>
      </c>
      <c r="AC125" s="31">
        <f>SUMIFS('Historico - FAT'!AL:AL,'Historico - FAT'!$K:$K,Faturamento!$L125,'Historico - FAT'!$I:$I,Faturamento!$J125,'Historico - FAT'!$G:$G,Faturamento!$H125)</f>
        <v>0</v>
      </c>
      <c r="AD125" s="31">
        <f>SUMIFS('Historico - FAT'!AM:AM,'Historico - FAT'!$K:$K,Faturamento!$L125,'Historico - FAT'!$I:$I,Faturamento!$J125,'Historico - FAT'!$G:$G,Faturamento!$H125)</f>
        <v>0</v>
      </c>
      <c r="AE125" s="27">
        <f>SUMIFS('Historico - FAT'!AN:AN,'Historico - FAT'!$K:$K,Faturamento!$L125,'Historico - FAT'!$I:$I,Faturamento!$J125,'Historico - FAT'!$G:$G,Faturamento!$H125)</f>
        <v>0</v>
      </c>
      <c r="AG125" s="24">
        <f t="shared" si="29"/>
        <v>1</v>
      </c>
      <c r="AH125" s="24">
        <f t="shared" si="30"/>
        <v>1</v>
      </c>
      <c r="AI125" s="24">
        <f t="shared" si="31"/>
        <v>1</v>
      </c>
    </row>
    <row r="126" spans="1:35" hidden="1" x14ac:dyDescent="0.3">
      <c r="A126" s="2" t="str">
        <f t="shared" si="28"/>
        <v>NÃO</v>
      </c>
      <c r="B126" s="2">
        <v>1000184670</v>
      </c>
      <c r="C126" s="2" t="s">
        <v>147</v>
      </c>
      <c r="D126" s="4">
        <v>1000186197</v>
      </c>
      <c r="E126" s="4" t="s">
        <v>166</v>
      </c>
      <c r="F126" s="2">
        <v>1000198600</v>
      </c>
      <c r="G126" s="2" t="s">
        <v>148</v>
      </c>
      <c r="H126" s="4">
        <v>1000198601</v>
      </c>
      <c r="I126" s="4" t="s">
        <v>149</v>
      </c>
      <c r="J126" s="2">
        <v>1000189756</v>
      </c>
      <c r="K126" s="2" t="s">
        <v>139</v>
      </c>
      <c r="L126" s="4" t="s">
        <v>24</v>
      </c>
      <c r="M126" s="4" t="str">
        <f t="shared" si="21"/>
        <v>1000184670100018619710001986011000189756KIDS</v>
      </c>
      <c r="N126" s="28">
        <f>N118*_xlfn.XLOOKUP($L126,'Balizador da Meta'!$B$4:$B$21,'Balizador da Meta'!$C$4:$C$21)</f>
        <v>0</v>
      </c>
      <c r="O126" s="28">
        <f>O118*_xlfn.XLOOKUP($L126,'Balizador da Meta'!$B$4:$B$21,'Balizador da Meta'!$C$4:$C$21)</f>
        <v>0</v>
      </c>
      <c r="P126" s="28">
        <f>P118*_xlfn.XLOOKUP($L126,'Balizador da Meta'!$B$4:$B$21,'Balizador da Meta'!$C$4:$C$21)</f>
        <v>0</v>
      </c>
      <c r="Q126" s="28">
        <f>Q118*_xlfn.XLOOKUP($L126,'Balizador da Meta'!$B$4:$B$21,'Balizador da Meta'!$C$4:$C$21)</f>
        <v>0</v>
      </c>
      <c r="R126" s="28">
        <f>R118*_xlfn.XLOOKUP($L126,'Balizador da Meta'!$B$4:$B$21,'Balizador da Meta'!$C$4:$C$21)</f>
        <v>0</v>
      </c>
      <c r="S126" s="28">
        <f>S118*_xlfn.XLOOKUP($L126,'Balizador da Meta'!$B$4:$B$21,'Balizador da Meta'!$C$4:$C$21)</f>
        <v>0</v>
      </c>
      <c r="T126" s="28">
        <f>T118*_xlfn.XLOOKUP($L126,'Balizador da Meta'!$B$4:$B$21,'Balizador da Meta'!$C$4:$C$21)</f>
        <v>0</v>
      </c>
      <c r="U126" s="28">
        <f>U118*_xlfn.XLOOKUP($L126,'Balizador da Meta'!$B$4:$B$21,'Balizador da Meta'!$C$4:$C$21)</f>
        <v>0</v>
      </c>
      <c r="V126" s="28">
        <f>V118*_xlfn.XLOOKUP($L126,'Balizador da Meta'!$B$4:$B$21,'Balizador da Meta'!$C$4:$C$21)</f>
        <v>0</v>
      </c>
      <c r="W126" s="28">
        <f>W118*_xlfn.XLOOKUP($L126,'Balizador da Meta'!$B$4:$B$21,'Balizador da Meta'!$C$4:$C$21)</f>
        <v>0</v>
      </c>
      <c r="X126" s="28">
        <f>X118*_xlfn.XLOOKUP($L126,'Balizador da Meta'!$B$4:$B$21,'Balizador da Meta'!$C$4:$C$21)</f>
        <v>0</v>
      </c>
      <c r="Y126" s="28">
        <f>Y118*_xlfn.XLOOKUP($L126,'Balizador da Meta'!$B$4:$B$21,'Balizador da Meta'!$C$4:$C$21)</f>
        <v>0</v>
      </c>
      <c r="Z126" s="30">
        <f t="shared" si="34"/>
        <v>0</v>
      </c>
      <c r="AA126" s="29"/>
      <c r="AB126" s="31">
        <f>SUMIFS('Historico - FAT'!AK:AK,'Historico - FAT'!$K:$K,Faturamento!$L126,'Historico - FAT'!$I:$I,Faturamento!$J126,'Historico - FAT'!$G:$G,Faturamento!$H126)</f>
        <v>0</v>
      </c>
      <c r="AC126" s="31">
        <f>SUMIFS('Historico - FAT'!AL:AL,'Historico - FAT'!$K:$K,Faturamento!$L126,'Historico - FAT'!$I:$I,Faturamento!$J126,'Historico - FAT'!$G:$G,Faturamento!$H126)</f>
        <v>0</v>
      </c>
      <c r="AD126" s="31">
        <f>SUMIFS('Historico - FAT'!AM:AM,'Historico - FAT'!$K:$K,Faturamento!$L126,'Historico - FAT'!$I:$I,Faturamento!$J126,'Historico - FAT'!$G:$G,Faturamento!$H126)</f>
        <v>0</v>
      </c>
      <c r="AE126" s="27">
        <f>SUMIFS('Historico - FAT'!AN:AN,'Historico - FAT'!$K:$K,Faturamento!$L126,'Historico - FAT'!$I:$I,Faturamento!$J126,'Historico - FAT'!$G:$G,Faturamento!$H126)</f>
        <v>0</v>
      </c>
      <c r="AG126" s="24" t="str">
        <f t="shared" si="29"/>
        <v/>
      </c>
      <c r="AH126" s="24" t="str">
        <f t="shared" si="30"/>
        <v/>
      </c>
      <c r="AI126" s="24" t="str">
        <f t="shared" si="31"/>
        <v/>
      </c>
    </row>
    <row r="127" spans="1:35" hidden="1" x14ac:dyDescent="0.3">
      <c r="A127" s="2" t="str">
        <f t="shared" si="28"/>
        <v>NÃO</v>
      </c>
      <c r="B127" s="2">
        <v>1000184670</v>
      </c>
      <c r="C127" s="2" t="s">
        <v>147</v>
      </c>
      <c r="D127" s="4">
        <v>1000186197</v>
      </c>
      <c r="E127" s="4" t="s">
        <v>166</v>
      </c>
      <c r="F127" s="2">
        <v>1000198600</v>
      </c>
      <c r="G127" s="2" t="s">
        <v>148</v>
      </c>
      <c r="H127" s="4">
        <v>1000198601</v>
      </c>
      <c r="I127" s="4" t="s">
        <v>149</v>
      </c>
      <c r="J127" s="2">
        <v>1000189756</v>
      </c>
      <c r="K127" s="2" t="s">
        <v>139</v>
      </c>
      <c r="L127" s="4" t="s">
        <v>18</v>
      </c>
      <c r="M127" s="4" t="str">
        <f t="shared" si="21"/>
        <v>1000184670100018619710001986011000189756LANCHES</v>
      </c>
      <c r="N127" s="28">
        <f>N118*_xlfn.XLOOKUP($L127,'Balizador da Meta'!$B$4:$B$21,'Balizador da Meta'!$C$4:$C$21)</f>
        <v>435</v>
      </c>
      <c r="O127" s="28">
        <f>O118*_xlfn.XLOOKUP($L127,'Balizador da Meta'!$B$4:$B$21,'Balizador da Meta'!$C$4:$C$21)</f>
        <v>450</v>
      </c>
      <c r="P127" s="28">
        <f>P118*_xlfn.XLOOKUP($L127,'Balizador da Meta'!$B$4:$B$21,'Balizador da Meta'!$C$4:$C$21)</f>
        <v>465</v>
      </c>
      <c r="Q127" s="28">
        <f>Q118*_xlfn.XLOOKUP($L127,'Balizador da Meta'!$B$4:$B$21,'Balizador da Meta'!$C$4:$C$21)</f>
        <v>480</v>
      </c>
      <c r="R127" s="28">
        <f>R118*_xlfn.XLOOKUP($L127,'Balizador da Meta'!$B$4:$B$21,'Balizador da Meta'!$C$4:$C$21)</f>
        <v>495</v>
      </c>
      <c r="S127" s="28">
        <f>S118*_xlfn.XLOOKUP($L127,'Balizador da Meta'!$B$4:$B$21,'Balizador da Meta'!$C$4:$C$21)</f>
        <v>510</v>
      </c>
      <c r="T127" s="28">
        <f>T118*_xlfn.XLOOKUP($L127,'Balizador da Meta'!$B$4:$B$21,'Balizador da Meta'!$C$4:$C$21)</f>
        <v>525</v>
      </c>
      <c r="U127" s="28">
        <f>U118*_xlfn.XLOOKUP($L127,'Balizador da Meta'!$B$4:$B$21,'Balizador da Meta'!$C$4:$C$21)</f>
        <v>540</v>
      </c>
      <c r="V127" s="28">
        <f>V118*_xlfn.XLOOKUP($L127,'Balizador da Meta'!$B$4:$B$21,'Balizador da Meta'!$C$4:$C$21)</f>
        <v>555</v>
      </c>
      <c r="W127" s="28">
        <f>W118*_xlfn.XLOOKUP($L127,'Balizador da Meta'!$B$4:$B$21,'Balizador da Meta'!$C$4:$C$21)</f>
        <v>570</v>
      </c>
      <c r="X127" s="28">
        <f>X118*_xlfn.XLOOKUP($L127,'Balizador da Meta'!$B$4:$B$21,'Balizador da Meta'!$C$4:$C$21)</f>
        <v>585</v>
      </c>
      <c r="Y127" s="28">
        <f>Y118*_xlfn.XLOOKUP($L127,'Balizador da Meta'!$B$4:$B$21,'Balizador da Meta'!$C$4:$C$21)</f>
        <v>600</v>
      </c>
      <c r="Z127" s="30">
        <f t="shared" si="34"/>
        <v>6210</v>
      </c>
      <c r="AA127" s="29"/>
      <c r="AB127" s="31">
        <f>SUMIFS('Historico - FAT'!AK:AK,'Historico - FAT'!$K:$K,Faturamento!$L127,'Historico - FAT'!$I:$I,Faturamento!$J127,'Historico - FAT'!$G:$G,Faturamento!$H127)</f>
        <v>0</v>
      </c>
      <c r="AC127" s="31">
        <f>SUMIFS('Historico - FAT'!AL:AL,'Historico - FAT'!$K:$K,Faturamento!$L127,'Historico - FAT'!$I:$I,Faturamento!$J127,'Historico - FAT'!$G:$G,Faturamento!$H127)</f>
        <v>0</v>
      </c>
      <c r="AD127" s="31">
        <f>SUMIFS('Historico - FAT'!AM:AM,'Historico - FAT'!$K:$K,Faturamento!$L127,'Historico - FAT'!$I:$I,Faturamento!$J127,'Historico - FAT'!$G:$G,Faturamento!$H127)</f>
        <v>0</v>
      </c>
      <c r="AE127" s="27">
        <f>SUMIFS('Historico - FAT'!AN:AN,'Historico - FAT'!$K:$K,Faturamento!$L127,'Historico - FAT'!$I:$I,Faturamento!$J127,'Historico - FAT'!$G:$G,Faturamento!$H127)</f>
        <v>0</v>
      </c>
      <c r="AG127" s="24">
        <f t="shared" si="29"/>
        <v>1</v>
      </c>
      <c r="AH127" s="24">
        <f t="shared" si="30"/>
        <v>1</v>
      </c>
      <c r="AI127" s="24">
        <f t="shared" si="31"/>
        <v>1</v>
      </c>
    </row>
    <row r="128" spans="1:35" hidden="1" x14ac:dyDescent="0.3">
      <c r="A128" s="2" t="str">
        <f t="shared" si="28"/>
        <v>NÃO</v>
      </c>
      <c r="B128" s="2">
        <v>1000184670</v>
      </c>
      <c r="C128" s="2" t="s">
        <v>147</v>
      </c>
      <c r="D128" s="4">
        <v>1000186197</v>
      </c>
      <c r="E128" s="4" t="s">
        <v>166</v>
      </c>
      <c r="F128" s="2">
        <v>1000198600</v>
      </c>
      <c r="G128" s="2" t="s">
        <v>148</v>
      </c>
      <c r="H128" s="4">
        <v>1000198601</v>
      </c>
      <c r="I128" s="4" t="s">
        <v>149</v>
      </c>
      <c r="J128" s="2">
        <v>1000189756</v>
      </c>
      <c r="K128" s="2" t="s">
        <v>139</v>
      </c>
      <c r="L128" s="4" t="s">
        <v>29</v>
      </c>
      <c r="M128" s="4" t="str">
        <f t="shared" si="21"/>
        <v>1000184670100018619710001986011000189756MAIS GRANEL</v>
      </c>
      <c r="N128" s="28">
        <f>N118*_xlfn.XLOOKUP($L128,'Balizador da Meta'!$B$4:$B$21,'Balizador da Meta'!$C$4:$C$21)</f>
        <v>13920</v>
      </c>
      <c r="O128" s="28">
        <f>O118*_xlfn.XLOOKUP($L128,'Balizador da Meta'!$B$4:$B$21,'Balizador da Meta'!$C$4:$C$21)</f>
        <v>14400</v>
      </c>
      <c r="P128" s="28">
        <f>P118*_xlfn.XLOOKUP($L128,'Balizador da Meta'!$B$4:$B$21,'Balizador da Meta'!$C$4:$C$21)</f>
        <v>14880</v>
      </c>
      <c r="Q128" s="28">
        <f>Q118*_xlfn.XLOOKUP($L128,'Balizador da Meta'!$B$4:$B$21,'Balizador da Meta'!$C$4:$C$21)</f>
        <v>15360</v>
      </c>
      <c r="R128" s="28">
        <f>R118*_xlfn.XLOOKUP($L128,'Balizador da Meta'!$B$4:$B$21,'Balizador da Meta'!$C$4:$C$21)</f>
        <v>15840</v>
      </c>
      <c r="S128" s="28">
        <f>S118*_xlfn.XLOOKUP($L128,'Balizador da Meta'!$B$4:$B$21,'Balizador da Meta'!$C$4:$C$21)</f>
        <v>16320</v>
      </c>
      <c r="T128" s="28">
        <f>T118*_xlfn.XLOOKUP($L128,'Balizador da Meta'!$B$4:$B$21,'Balizador da Meta'!$C$4:$C$21)</f>
        <v>16800</v>
      </c>
      <c r="U128" s="28">
        <f>U118*_xlfn.XLOOKUP($L128,'Balizador da Meta'!$B$4:$B$21,'Balizador da Meta'!$C$4:$C$21)</f>
        <v>17280</v>
      </c>
      <c r="V128" s="28">
        <f>V118*_xlfn.XLOOKUP($L128,'Balizador da Meta'!$B$4:$B$21,'Balizador da Meta'!$C$4:$C$21)</f>
        <v>17760</v>
      </c>
      <c r="W128" s="28">
        <f>W118*_xlfn.XLOOKUP($L128,'Balizador da Meta'!$B$4:$B$21,'Balizador da Meta'!$C$4:$C$21)</f>
        <v>18240</v>
      </c>
      <c r="X128" s="28">
        <f>X118*_xlfn.XLOOKUP($L128,'Balizador da Meta'!$B$4:$B$21,'Balizador da Meta'!$C$4:$C$21)</f>
        <v>18720</v>
      </c>
      <c r="Y128" s="28">
        <f>Y118*_xlfn.XLOOKUP($L128,'Balizador da Meta'!$B$4:$B$21,'Balizador da Meta'!$C$4:$C$21)</f>
        <v>19200</v>
      </c>
      <c r="Z128" s="30">
        <f t="shared" si="34"/>
        <v>198720</v>
      </c>
      <c r="AA128" s="29"/>
      <c r="AB128" s="31">
        <f>SUMIFS('Historico - FAT'!AK:AK,'Historico - FAT'!$K:$K,Faturamento!$L128,'Historico - FAT'!$I:$I,Faturamento!$J128,'Historico - FAT'!$G:$G,Faturamento!$H128)</f>
        <v>0</v>
      </c>
      <c r="AC128" s="31">
        <f>SUMIFS('Historico - FAT'!AL:AL,'Historico - FAT'!$K:$K,Faturamento!$L128,'Historico - FAT'!$I:$I,Faturamento!$J128,'Historico - FAT'!$G:$G,Faturamento!$H128)</f>
        <v>3484.9749999999999</v>
      </c>
      <c r="AD128" s="31">
        <f>SUMIFS('Historico - FAT'!AM:AM,'Historico - FAT'!$K:$K,Faturamento!$L128,'Historico - FAT'!$I:$I,Faturamento!$J128,'Historico - FAT'!$G:$G,Faturamento!$H128)</f>
        <v>6969.95</v>
      </c>
      <c r="AE128" s="27">
        <f>SUMIFS('Historico - FAT'!AN:AN,'Historico - FAT'!$K:$K,Faturamento!$L128,'Historico - FAT'!$I:$I,Faturamento!$J128,'Historico - FAT'!$G:$G,Faturamento!$H128)</f>
        <v>4181.9699999999993</v>
      </c>
      <c r="AG128" s="24">
        <f t="shared" si="29"/>
        <v>1</v>
      </c>
      <c r="AH128" s="24">
        <f t="shared" si="30"/>
        <v>0.81383680555555549</v>
      </c>
      <c r="AI128" s="24">
        <f t="shared" si="31"/>
        <v>0.62767361111111108</v>
      </c>
    </row>
    <row r="129" spans="1:35" hidden="1" x14ac:dyDescent="0.3">
      <c r="A129" s="2" t="str">
        <f t="shared" si="28"/>
        <v>NÃO</v>
      </c>
      <c r="B129" s="2">
        <v>1000184670</v>
      </c>
      <c r="C129" s="2" t="s">
        <v>147</v>
      </c>
      <c r="D129" s="4">
        <v>1000186197</v>
      </c>
      <c r="E129" s="4" t="s">
        <v>166</v>
      </c>
      <c r="F129" s="2">
        <v>1000198600</v>
      </c>
      <c r="G129" s="2" t="s">
        <v>148</v>
      </c>
      <c r="H129" s="4">
        <v>1000198601</v>
      </c>
      <c r="I129" s="4" t="s">
        <v>149</v>
      </c>
      <c r="J129" s="2">
        <v>1000189756</v>
      </c>
      <c r="K129" s="2" t="s">
        <v>139</v>
      </c>
      <c r="L129" s="4" t="s">
        <v>21</v>
      </c>
      <c r="M129" s="4" t="str">
        <f t="shared" si="21"/>
        <v>1000184670100018619710001986011000189756NATURATTA</v>
      </c>
      <c r="N129" s="28">
        <f>N118*_xlfn.XLOOKUP($L129,'Balizador da Meta'!$B$4:$B$21,'Balizador da Meta'!$C$4:$C$21)</f>
        <v>2175</v>
      </c>
      <c r="O129" s="28">
        <f>O118*_xlfn.XLOOKUP($L129,'Balizador da Meta'!$B$4:$B$21,'Balizador da Meta'!$C$4:$C$21)</f>
        <v>2250</v>
      </c>
      <c r="P129" s="28">
        <f>P118*_xlfn.XLOOKUP($L129,'Balizador da Meta'!$B$4:$B$21,'Balizador da Meta'!$C$4:$C$21)</f>
        <v>2325</v>
      </c>
      <c r="Q129" s="28">
        <f>Q118*_xlfn.XLOOKUP($L129,'Balizador da Meta'!$B$4:$B$21,'Balizador da Meta'!$C$4:$C$21)</f>
        <v>2400</v>
      </c>
      <c r="R129" s="28">
        <f>R118*_xlfn.XLOOKUP($L129,'Balizador da Meta'!$B$4:$B$21,'Balizador da Meta'!$C$4:$C$21)</f>
        <v>2475</v>
      </c>
      <c r="S129" s="28">
        <f>S118*_xlfn.XLOOKUP($L129,'Balizador da Meta'!$B$4:$B$21,'Balizador da Meta'!$C$4:$C$21)</f>
        <v>2550</v>
      </c>
      <c r="T129" s="28">
        <f>T118*_xlfn.XLOOKUP($L129,'Balizador da Meta'!$B$4:$B$21,'Balizador da Meta'!$C$4:$C$21)</f>
        <v>2625</v>
      </c>
      <c r="U129" s="28">
        <f>U118*_xlfn.XLOOKUP($L129,'Balizador da Meta'!$B$4:$B$21,'Balizador da Meta'!$C$4:$C$21)</f>
        <v>2700</v>
      </c>
      <c r="V129" s="28">
        <f>V118*_xlfn.XLOOKUP($L129,'Balizador da Meta'!$B$4:$B$21,'Balizador da Meta'!$C$4:$C$21)</f>
        <v>2775</v>
      </c>
      <c r="W129" s="28">
        <f>W118*_xlfn.XLOOKUP($L129,'Balizador da Meta'!$B$4:$B$21,'Balizador da Meta'!$C$4:$C$21)</f>
        <v>2850</v>
      </c>
      <c r="X129" s="28">
        <f>X118*_xlfn.XLOOKUP($L129,'Balizador da Meta'!$B$4:$B$21,'Balizador da Meta'!$C$4:$C$21)</f>
        <v>2925</v>
      </c>
      <c r="Y129" s="28">
        <f>Y118*_xlfn.XLOOKUP($L129,'Balizador da Meta'!$B$4:$B$21,'Balizador da Meta'!$C$4:$C$21)</f>
        <v>3000</v>
      </c>
      <c r="Z129" s="30">
        <f t="shared" si="34"/>
        <v>31050</v>
      </c>
      <c r="AA129" s="29"/>
      <c r="AB129" s="31">
        <f>SUMIFS('Historico - FAT'!AK:AK,'Historico - FAT'!$K:$K,Faturamento!$L129,'Historico - FAT'!$I:$I,Faturamento!$J129,'Historico - FAT'!$G:$G,Faturamento!$H129)</f>
        <v>0</v>
      </c>
      <c r="AC129" s="31">
        <f>SUMIFS('Historico - FAT'!AL:AL,'Historico - FAT'!$K:$K,Faturamento!$L129,'Historico - FAT'!$I:$I,Faturamento!$J129,'Historico - FAT'!$G:$G,Faturamento!$H129)</f>
        <v>298.89583333333331</v>
      </c>
      <c r="AD129" s="31">
        <f>SUMIFS('Historico - FAT'!AM:AM,'Historico - FAT'!$K:$K,Faturamento!$L129,'Historico - FAT'!$I:$I,Faturamento!$J129,'Historico - FAT'!$G:$G,Faturamento!$H129)</f>
        <v>597.79166666666663</v>
      </c>
      <c r="AE129" s="27">
        <f>SUMIFS('Historico - FAT'!AN:AN,'Historico - FAT'!$K:$K,Faturamento!$L129,'Historico - FAT'!$I:$I,Faturamento!$J129,'Historico - FAT'!$G:$G,Faturamento!$H129)</f>
        <v>358.67500000000001</v>
      </c>
      <c r="AG129" s="24">
        <f t="shared" si="29"/>
        <v>1</v>
      </c>
      <c r="AH129" s="24">
        <f t="shared" si="30"/>
        <v>0.89781339031339025</v>
      </c>
      <c r="AI129" s="24">
        <f t="shared" si="31"/>
        <v>0.79562678062678072</v>
      </c>
    </row>
    <row r="130" spans="1:35" hidden="1" x14ac:dyDescent="0.3">
      <c r="A130" s="2" t="str">
        <f t="shared" si="28"/>
        <v>NÃO</v>
      </c>
      <c r="B130" s="2">
        <v>1000184670</v>
      </c>
      <c r="C130" s="2" t="s">
        <v>147</v>
      </c>
      <c r="D130" s="4">
        <v>1000186197</v>
      </c>
      <c r="E130" s="4" t="s">
        <v>166</v>
      </c>
      <c r="F130" s="2">
        <v>1000198600</v>
      </c>
      <c r="G130" s="2" t="s">
        <v>148</v>
      </c>
      <c r="H130" s="4">
        <v>1000198601</v>
      </c>
      <c r="I130" s="4" t="s">
        <v>149</v>
      </c>
      <c r="J130" s="2">
        <v>1000189756</v>
      </c>
      <c r="K130" s="2" t="s">
        <v>139</v>
      </c>
      <c r="L130" s="4" t="s">
        <v>20</v>
      </c>
      <c r="M130" s="4" t="str">
        <f t="shared" si="21"/>
        <v>1000184670100018619710001986011000189756REEMBALADOS</v>
      </c>
      <c r="N130" s="28">
        <f>N118*_xlfn.XLOOKUP($L130,'Balizador da Meta'!$B$4:$B$21,'Balizador da Meta'!$C$4:$C$21)</f>
        <v>1740</v>
      </c>
      <c r="O130" s="28">
        <f>O118*_xlfn.XLOOKUP($L130,'Balizador da Meta'!$B$4:$B$21,'Balizador da Meta'!$C$4:$C$21)</f>
        <v>1800</v>
      </c>
      <c r="P130" s="28">
        <f>P118*_xlfn.XLOOKUP($L130,'Balizador da Meta'!$B$4:$B$21,'Balizador da Meta'!$C$4:$C$21)</f>
        <v>1860</v>
      </c>
      <c r="Q130" s="28">
        <f>Q118*_xlfn.XLOOKUP($L130,'Balizador da Meta'!$B$4:$B$21,'Balizador da Meta'!$C$4:$C$21)</f>
        <v>1920</v>
      </c>
      <c r="R130" s="28">
        <f>R118*_xlfn.XLOOKUP($L130,'Balizador da Meta'!$B$4:$B$21,'Balizador da Meta'!$C$4:$C$21)</f>
        <v>1980</v>
      </c>
      <c r="S130" s="28">
        <f>S118*_xlfn.XLOOKUP($L130,'Balizador da Meta'!$B$4:$B$21,'Balizador da Meta'!$C$4:$C$21)</f>
        <v>2040</v>
      </c>
      <c r="T130" s="28">
        <f>T118*_xlfn.XLOOKUP($L130,'Balizador da Meta'!$B$4:$B$21,'Balizador da Meta'!$C$4:$C$21)</f>
        <v>2100</v>
      </c>
      <c r="U130" s="28">
        <f>U118*_xlfn.XLOOKUP($L130,'Balizador da Meta'!$B$4:$B$21,'Balizador da Meta'!$C$4:$C$21)</f>
        <v>2160</v>
      </c>
      <c r="V130" s="28">
        <f>V118*_xlfn.XLOOKUP($L130,'Balizador da Meta'!$B$4:$B$21,'Balizador da Meta'!$C$4:$C$21)</f>
        <v>2220</v>
      </c>
      <c r="W130" s="28">
        <f>W118*_xlfn.XLOOKUP($L130,'Balizador da Meta'!$B$4:$B$21,'Balizador da Meta'!$C$4:$C$21)</f>
        <v>2280</v>
      </c>
      <c r="X130" s="28">
        <f>X118*_xlfn.XLOOKUP($L130,'Balizador da Meta'!$B$4:$B$21,'Balizador da Meta'!$C$4:$C$21)</f>
        <v>2340</v>
      </c>
      <c r="Y130" s="28">
        <f>Y118*_xlfn.XLOOKUP($L130,'Balizador da Meta'!$B$4:$B$21,'Balizador da Meta'!$C$4:$C$21)</f>
        <v>2400</v>
      </c>
      <c r="Z130" s="30">
        <f t="shared" si="34"/>
        <v>24840</v>
      </c>
      <c r="AA130" s="29"/>
      <c r="AB130" s="31">
        <f>SUMIFS('Historico - FAT'!AK:AK,'Historico - FAT'!$K:$K,Faturamento!$L130,'Historico - FAT'!$I:$I,Faturamento!$J130,'Historico - FAT'!$G:$G,Faturamento!$H130)</f>
        <v>0</v>
      </c>
      <c r="AC130" s="31">
        <f>SUMIFS('Historico - FAT'!AL:AL,'Historico - FAT'!$K:$K,Faturamento!$L130,'Historico - FAT'!$I:$I,Faturamento!$J130,'Historico - FAT'!$G:$G,Faturamento!$H130)</f>
        <v>0</v>
      </c>
      <c r="AD130" s="31">
        <f>SUMIFS('Historico - FAT'!AM:AM,'Historico - FAT'!$K:$K,Faturamento!$L130,'Historico - FAT'!$I:$I,Faturamento!$J130,'Historico - FAT'!$G:$G,Faturamento!$H130)</f>
        <v>0</v>
      </c>
      <c r="AE130" s="27">
        <f>SUMIFS('Historico - FAT'!AN:AN,'Historico - FAT'!$K:$K,Faturamento!$L130,'Historico - FAT'!$I:$I,Faturamento!$J130,'Historico - FAT'!$G:$G,Faturamento!$H130)</f>
        <v>0</v>
      </c>
      <c r="AG130" s="24">
        <f t="shared" si="29"/>
        <v>1</v>
      </c>
      <c r="AH130" s="24">
        <f t="shared" si="30"/>
        <v>1</v>
      </c>
      <c r="AI130" s="24">
        <f t="shared" si="31"/>
        <v>1</v>
      </c>
    </row>
    <row r="131" spans="1:35" hidden="1" x14ac:dyDescent="0.3">
      <c r="A131" s="2" t="str">
        <f t="shared" si="28"/>
        <v>NÃO</v>
      </c>
      <c r="B131" s="2">
        <v>1000184670</v>
      </c>
      <c r="C131" s="2" t="s">
        <v>147</v>
      </c>
      <c r="D131" s="4">
        <v>1000186197</v>
      </c>
      <c r="E131" s="4" t="s">
        <v>166</v>
      </c>
      <c r="F131" s="2">
        <v>1000198600</v>
      </c>
      <c r="G131" s="2" t="s">
        <v>148</v>
      </c>
      <c r="H131" s="4">
        <v>1000198601</v>
      </c>
      <c r="I131" s="4" t="s">
        <v>149</v>
      </c>
      <c r="J131" s="2">
        <v>1000189756</v>
      </c>
      <c r="K131" s="2" t="s">
        <v>139</v>
      </c>
      <c r="L131" s="4" t="s">
        <v>22</v>
      </c>
      <c r="M131" s="4" t="str">
        <f t="shared" si="21"/>
        <v>1000184670100018619710001986011000189756S GLUTEN</v>
      </c>
      <c r="N131" s="28">
        <f>N118*_xlfn.XLOOKUP($L131,'Balizador da Meta'!$B$4:$B$21,'Balizador da Meta'!$C$4:$C$21)</f>
        <v>1740</v>
      </c>
      <c r="O131" s="28">
        <f>O118*_xlfn.XLOOKUP($L131,'Balizador da Meta'!$B$4:$B$21,'Balizador da Meta'!$C$4:$C$21)</f>
        <v>1800</v>
      </c>
      <c r="P131" s="28">
        <f>P118*_xlfn.XLOOKUP($L131,'Balizador da Meta'!$B$4:$B$21,'Balizador da Meta'!$C$4:$C$21)</f>
        <v>1860</v>
      </c>
      <c r="Q131" s="28">
        <f>Q118*_xlfn.XLOOKUP($L131,'Balizador da Meta'!$B$4:$B$21,'Balizador da Meta'!$C$4:$C$21)</f>
        <v>1920</v>
      </c>
      <c r="R131" s="28">
        <f>R118*_xlfn.XLOOKUP($L131,'Balizador da Meta'!$B$4:$B$21,'Balizador da Meta'!$C$4:$C$21)</f>
        <v>1980</v>
      </c>
      <c r="S131" s="28">
        <f>S118*_xlfn.XLOOKUP($L131,'Balizador da Meta'!$B$4:$B$21,'Balizador da Meta'!$C$4:$C$21)</f>
        <v>2040</v>
      </c>
      <c r="T131" s="28">
        <f>T118*_xlfn.XLOOKUP($L131,'Balizador da Meta'!$B$4:$B$21,'Balizador da Meta'!$C$4:$C$21)</f>
        <v>2100</v>
      </c>
      <c r="U131" s="28">
        <f>U118*_xlfn.XLOOKUP($L131,'Balizador da Meta'!$B$4:$B$21,'Balizador da Meta'!$C$4:$C$21)</f>
        <v>2160</v>
      </c>
      <c r="V131" s="28">
        <f>V118*_xlfn.XLOOKUP($L131,'Balizador da Meta'!$B$4:$B$21,'Balizador da Meta'!$C$4:$C$21)</f>
        <v>2220</v>
      </c>
      <c r="W131" s="28">
        <f>W118*_xlfn.XLOOKUP($L131,'Balizador da Meta'!$B$4:$B$21,'Balizador da Meta'!$C$4:$C$21)</f>
        <v>2280</v>
      </c>
      <c r="X131" s="28">
        <f>X118*_xlfn.XLOOKUP($L131,'Balizador da Meta'!$B$4:$B$21,'Balizador da Meta'!$C$4:$C$21)</f>
        <v>2340</v>
      </c>
      <c r="Y131" s="28">
        <f>Y118*_xlfn.XLOOKUP($L131,'Balizador da Meta'!$B$4:$B$21,'Balizador da Meta'!$C$4:$C$21)</f>
        <v>2400</v>
      </c>
      <c r="Z131" s="30">
        <f t="shared" si="34"/>
        <v>24840</v>
      </c>
      <c r="AA131" s="29"/>
      <c r="AB131" s="31">
        <f>SUMIFS('Historico - FAT'!AK:AK,'Historico - FAT'!$K:$K,Faturamento!$L131,'Historico - FAT'!$I:$I,Faturamento!$J131,'Historico - FAT'!$G:$G,Faturamento!$H131)</f>
        <v>0</v>
      </c>
      <c r="AC131" s="31">
        <f>SUMIFS('Historico - FAT'!AL:AL,'Historico - FAT'!$K:$K,Faturamento!$L131,'Historico - FAT'!$I:$I,Faturamento!$J131,'Historico - FAT'!$G:$G,Faturamento!$H131)</f>
        <v>0.22500000000000023</v>
      </c>
      <c r="AD131" s="31">
        <f>SUMIFS('Historico - FAT'!AM:AM,'Historico - FAT'!$K:$K,Faturamento!$L131,'Historico - FAT'!$I:$I,Faturamento!$J131,'Historico - FAT'!$G:$G,Faturamento!$H131)</f>
        <v>0.45000000000000046</v>
      </c>
      <c r="AE131" s="27">
        <f>SUMIFS('Historico - FAT'!AN:AN,'Historico - FAT'!$K:$K,Faturamento!$L131,'Historico - FAT'!$I:$I,Faturamento!$J131,'Historico - FAT'!$G:$G,Faturamento!$H131)</f>
        <v>0.2700000000000003</v>
      </c>
      <c r="AG131" s="24">
        <f t="shared" si="29"/>
        <v>1</v>
      </c>
      <c r="AH131" s="24">
        <f t="shared" si="30"/>
        <v>0.9999038461538462</v>
      </c>
      <c r="AI131" s="24">
        <f t="shared" si="31"/>
        <v>0.9998076923076924</v>
      </c>
    </row>
    <row r="132" spans="1:35" hidden="1" x14ac:dyDescent="0.3">
      <c r="A132" s="2" t="str">
        <f t="shared" si="28"/>
        <v>NÃO</v>
      </c>
      <c r="B132" s="2">
        <v>1000184670</v>
      </c>
      <c r="C132" s="2" t="s">
        <v>147</v>
      </c>
      <c r="D132" s="4">
        <v>1000186197</v>
      </c>
      <c r="E132" s="4" t="s">
        <v>166</v>
      </c>
      <c r="F132" s="2">
        <v>1000198600</v>
      </c>
      <c r="G132" s="2" t="s">
        <v>148</v>
      </c>
      <c r="H132" s="4">
        <v>1000198601</v>
      </c>
      <c r="I132" s="4" t="s">
        <v>149</v>
      </c>
      <c r="J132" s="2">
        <v>1000189756</v>
      </c>
      <c r="K132" s="2" t="s">
        <v>139</v>
      </c>
      <c r="L132" s="4" t="s">
        <v>23</v>
      </c>
      <c r="M132" s="4" t="str">
        <f t="shared" si="21"/>
        <v>1000184670100018619710001986011000189756SABORES DO CAMPO</v>
      </c>
      <c r="N132" s="28">
        <f>N118*_xlfn.XLOOKUP($L132,'Balizador da Meta'!$B$4:$B$21,'Balizador da Meta'!$C$4:$C$21)</f>
        <v>0</v>
      </c>
      <c r="O132" s="28">
        <f>O118*_xlfn.XLOOKUP($L132,'Balizador da Meta'!$B$4:$B$21,'Balizador da Meta'!$C$4:$C$21)</f>
        <v>0</v>
      </c>
      <c r="P132" s="28">
        <f>P118*_xlfn.XLOOKUP($L132,'Balizador da Meta'!$B$4:$B$21,'Balizador da Meta'!$C$4:$C$21)</f>
        <v>0</v>
      </c>
      <c r="Q132" s="28">
        <f>Q118*_xlfn.XLOOKUP($L132,'Balizador da Meta'!$B$4:$B$21,'Balizador da Meta'!$C$4:$C$21)</f>
        <v>0</v>
      </c>
      <c r="R132" s="28">
        <f>R118*_xlfn.XLOOKUP($L132,'Balizador da Meta'!$B$4:$B$21,'Balizador da Meta'!$C$4:$C$21)</f>
        <v>0</v>
      </c>
      <c r="S132" s="28">
        <f>S118*_xlfn.XLOOKUP($L132,'Balizador da Meta'!$B$4:$B$21,'Balizador da Meta'!$C$4:$C$21)</f>
        <v>0</v>
      </c>
      <c r="T132" s="28">
        <f>T118*_xlfn.XLOOKUP($L132,'Balizador da Meta'!$B$4:$B$21,'Balizador da Meta'!$C$4:$C$21)</f>
        <v>0</v>
      </c>
      <c r="U132" s="28">
        <f>U118*_xlfn.XLOOKUP($L132,'Balizador da Meta'!$B$4:$B$21,'Balizador da Meta'!$C$4:$C$21)</f>
        <v>0</v>
      </c>
      <c r="V132" s="28">
        <f>V118*_xlfn.XLOOKUP($L132,'Balizador da Meta'!$B$4:$B$21,'Balizador da Meta'!$C$4:$C$21)</f>
        <v>0</v>
      </c>
      <c r="W132" s="28">
        <f>W118*_xlfn.XLOOKUP($L132,'Balizador da Meta'!$B$4:$B$21,'Balizador da Meta'!$C$4:$C$21)</f>
        <v>0</v>
      </c>
      <c r="X132" s="28">
        <f>X118*_xlfn.XLOOKUP($L132,'Balizador da Meta'!$B$4:$B$21,'Balizador da Meta'!$C$4:$C$21)</f>
        <v>0</v>
      </c>
      <c r="Y132" s="28">
        <f>Y118*_xlfn.XLOOKUP($L132,'Balizador da Meta'!$B$4:$B$21,'Balizador da Meta'!$C$4:$C$21)</f>
        <v>0</v>
      </c>
      <c r="Z132" s="30">
        <f t="shared" si="34"/>
        <v>0</v>
      </c>
      <c r="AA132" s="29"/>
      <c r="AB132" s="31">
        <f>SUMIFS('Historico - FAT'!AK:AK,'Historico - FAT'!$K:$K,Faturamento!$L132,'Historico - FAT'!$I:$I,Faturamento!$J132,'Historico - FAT'!$G:$G,Faturamento!$H132)</f>
        <v>0</v>
      </c>
      <c r="AC132" s="31">
        <f>SUMIFS('Historico - FAT'!AL:AL,'Historico - FAT'!$K:$K,Faturamento!$L132,'Historico - FAT'!$I:$I,Faturamento!$J132,'Historico - FAT'!$G:$G,Faturamento!$H132)</f>
        <v>0</v>
      </c>
      <c r="AD132" s="31">
        <f>SUMIFS('Historico - FAT'!AM:AM,'Historico - FAT'!$K:$K,Faturamento!$L132,'Historico - FAT'!$I:$I,Faturamento!$J132,'Historico - FAT'!$G:$G,Faturamento!$H132)</f>
        <v>0</v>
      </c>
      <c r="AE132" s="27">
        <f>SUMIFS('Historico - FAT'!AN:AN,'Historico - FAT'!$K:$K,Faturamento!$L132,'Historico - FAT'!$I:$I,Faturamento!$J132,'Historico - FAT'!$G:$G,Faturamento!$H132)</f>
        <v>0</v>
      </c>
      <c r="AG132" s="24" t="str">
        <f t="shared" si="29"/>
        <v/>
      </c>
      <c r="AH132" s="24" t="str">
        <f t="shared" si="30"/>
        <v/>
      </c>
      <c r="AI132" s="24" t="str">
        <f t="shared" si="31"/>
        <v/>
      </c>
    </row>
    <row r="133" spans="1:35" hidden="1" x14ac:dyDescent="0.3">
      <c r="A133" s="2" t="str">
        <f t="shared" si="28"/>
        <v>NÃO</v>
      </c>
      <c r="B133" s="2">
        <v>1000184670</v>
      </c>
      <c r="C133" s="2" t="s">
        <v>147</v>
      </c>
      <c r="D133" s="4">
        <v>1000186197</v>
      </c>
      <c r="E133" s="4" t="s">
        <v>166</v>
      </c>
      <c r="F133" s="2">
        <v>1000198600</v>
      </c>
      <c r="G133" s="2" t="s">
        <v>148</v>
      </c>
      <c r="H133" s="4">
        <v>1000198601</v>
      </c>
      <c r="I133" s="4" t="s">
        <v>149</v>
      </c>
      <c r="J133" s="2">
        <v>1000189756</v>
      </c>
      <c r="K133" s="2" t="s">
        <v>139</v>
      </c>
      <c r="L133" s="4" t="s">
        <v>28</v>
      </c>
      <c r="M133" s="4" t="str">
        <f t="shared" ref="M133:M196" si="35">_xlfn.CONCAT(B133,D133,H133,J133,L133,)</f>
        <v>1000184670100018619710001986011000189756SAL</v>
      </c>
      <c r="N133" s="28">
        <f>N118*_xlfn.XLOOKUP($L133,'Balizador da Meta'!$B$4:$B$21,'Balizador da Meta'!$C$4:$C$21)</f>
        <v>870</v>
      </c>
      <c r="O133" s="28">
        <f>O118*_xlfn.XLOOKUP($L133,'Balizador da Meta'!$B$4:$B$21,'Balizador da Meta'!$C$4:$C$21)</f>
        <v>900</v>
      </c>
      <c r="P133" s="28">
        <f>P118*_xlfn.XLOOKUP($L133,'Balizador da Meta'!$B$4:$B$21,'Balizador da Meta'!$C$4:$C$21)</f>
        <v>930</v>
      </c>
      <c r="Q133" s="28">
        <f>Q118*_xlfn.XLOOKUP($L133,'Balizador da Meta'!$B$4:$B$21,'Balizador da Meta'!$C$4:$C$21)</f>
        <v>960</v>
      </c>
      <c r="R133" s="28">
        <f>R118*_xlfn.XLOOKUP($L133,'Balizador da Meta'!$B$4:$B$21,'Balizador da Meta'!$C$4:$C$21)</f>
        <v>990</v>
      </c>
      <c r="S133" s="28">
        <f>S118*_xlfn.XLOOKUP($L133,'Balizador da Meta'!$B$4:$B$21,'Balizador da Meta'!$C$4:$C$21)</f>
        <v>1020</v>
      </c>
      <c r="T133" s="28">
        <f>T118*_xlfn.XLOOKUP($L133,'Balizador da Meta'!$B$4:$B$21,'Balizador da Meta'!$C$4:$C$21)</f>
        <v>1050</v>
      </c>
      <c r="U133" s="28">
        <f>U118*_xlfn.XLOOKUP($L133,'Balizador da Meta'!$B$4:$B$21,'Balizador da Meta'!$C$4:$C$21)</f>
        <v>1080</v>
      </c>
      <c r="V133" s="28">
        <f>V118*_xlfn.XLOOKUP($L133,'Balizador da Meta'!$B$4:$B$21,'Balizador da Meta'!$C$4:$C$21)</f>
        <v>1110</v>
      </c>
      <c r="W133" s="28">
        <f>W118*_xlfn.XLOOKUP($L133,'Balizador da Meta'!$B$4:$B$21,'Balizador da Meta'!$C$4:$C$21)</f>
        <v>1140</v>
      </c>
      <c r="X133" s="28">
        <f>X118*_xlfn.XLOOKUP($L133,'Balizador da Meta'!$B$4:$B$21,'Balizador da Meta'!$C$4:$C$21)</f>
        <v>1170</v>
      </c>
      <c r="Y133" s="28">
        <f>Y118*_xlfn.XLOOKUP($L133,'Balizador da Meta'!$B$4:$B$21,'Balizador da Meta'!$C$4:$C$21)</f>
        <v>1200</v>
      </c>
      <c r="Z133" s="30">
        <f t="shared" si="34"/>
        <v>12420</v>
      </c>
      <c r="AA133" s="29"/>
      <c r="AB133" s="31">
        <f>SUMIFS('Historico - FAT'!AK:AK,'Historico - FAT'!$K:$K,Faturamento!$L133,'Historico - FAT'!$I:$I,Faturamento!$J133,'Historico - FAT'!$G:$G,Faturamento!$H133)</f>
        <v>0</v>
      </c>
      <c r="AC133" s="31">
        <f>SUMIFS('Historico - FAT'!AL:AL,'Historico - FAT'!$K:$K,Faturamento!$L133,'Historico - FAT'!$I:$I,Faturamento!$J133,'Historico - FAT'!$G:$G,Faturamento!$H133)</f>
        <v>0</v>
      </c>
      <c r="AD133" s="31">
        <f>SUMIFS('Historico - FAT'!AM:AM,'Historico - FAT'!$K:$K,Faturamento!$L133,'Historico - FAT'!$I:$I,Faturamento!$J133,'Historico - FAT'!$G:$G,Faturamento!$H133)</f>
        <v>0</v>
      </c>
      <c r="AE133" s="27">
        <f>SUMIFS('Historico - FAT'!AN:AN,'Historico - FAT'!$K:$K,Faturamento!$L133,'Historico - FAT'!$I:$I,Faturamento!$J133,'Historico - FAT'!$G:$G,Faturamento!$H133)</f>
        <v>0</v>
      </c>
      <c r="AG133" s="24">
        <f t="shared" si="29"/>
        <v>1</v>
      </c>
      <c r="AH133" s="24">
        <f t="shared" si="30"/>
        <v>1</v>
      </c>
      <c r="AI133" s="24">
        <f t="shared" si="31"/>
        <v>1</v>
      </c>
    </row>
    <row r="134" spans="1:35" hidden="1" x14ac:dyDescent="0.3">
      <c r="A134" s="2" t="str">
        <f t="shared" si="28"/>
        <v>NÃO</v>
      </c>
      <c r="B134" s="2">
        <v>1000184670</v>
      </c>
      <c r="C134" s="2" t="s">
        <v>147</v>
      </c>
      <c r="D134" s="4">
        <v>1000186197</v>
      </c>
      <c r="E134" s="4" t="s">
        <v>166</v>
      </c>
      <c r="F134" s="2">
        <v>1000198600</v>
      </c>
      <c r="G134" s="2" t="s">
        <v>148</v>
      </c>
      <c r="H134" s="4">
        <v>1000198601</v>
      </c>
      <c r="I134" s="4" t="s">
        <v>149</v>
      </c>
      <c r="J134" s="2">
        <v>1000189756</v>
      </c>
      <c r="K134" s="2" t="s">
        <v>139</v>
      </c>
      <c r="L134" s="4" t="s">
        <v>26</v>
      </c>
      <c r="M134" s="4" t="str">
        <f t="shared" si="35"/>
        <v>1000184670100018619710001986011000189756SOULPRO</v>
      </c>
      <c r="N134" s="28">
        <f>N118*_xlfn.XLOOKUP($L134,'Balizador da Meta'!$B$4:$B$21,'Balizador da Meta'!$C$4:$C$21)</f>
        <v>2610</v>
      </c>
      <c r="O134" s="28">
        <f>O118*_xlfn.XLOOKUP($L134,'Balizador da Meta'!$B$4:$B$21,'Balizador da Meta'!$C$4:$C$21)</f>
        <v>2700</v>
      </c>
      <c r="P134" s="28">
        <f>P118*_xlfn.XLOOKUP($L134,'Balizador da Meta'!$B$4:$B$21,'Balizador da Meta'!$C$4:$C$21)</f>
        <v>2790</v>
      </c>
      <c r="Q134" s="28">
        <f>Q118*_xlfn.XLOOKUP($L134,'Balizador da Meta'!$B$4:$B$21,'Balizador da Meta'!$C$4:$C$21)</f>
        <v>2880</v>
      </c>
      <c r="R134" s="28">
        <f>R118*_xlfn.XLOOKUP($L134,'Balizador da Meta'!$B$4:$B$21,'Balizador da Meta'!$C$4:$C$21)</f>
        <v>2970</v>
      </c>
      <c r="S134" s="28">
        <f>S118*_xlfn.XLOOKUP($L134,'Balizador da Meta'!$B$4:$B$21,'Balizador da Meta'!$C$4:$C$21)</f>
        <v>3060</v>
      </c>
      <c r="T134" s="28">
        <f>T118*_xlfn.XLOOKUP($L134,'Balizador da Meta'!$B$4:$B$21,'Balizador da Meta'!$C$4:$C$21)</f>
        <v>3150</v>
      </c>
      <c r="U134" s="28">
        <f>U118*_xlfn.XLOOKUP($L134,'Balizador da Meta'!$B$4:$B$21,'Balizador da Meta'!$C$4:$C$21)</f>
        <v>3240</v>
      </c>
      <c r="V134" s="28">
        <f>V118*_xlfn.XLOOKUP($L134,'Balizador da Meta'!$B$4:$B$21,'Balizador da Meta'!$C$4:$C$21)</f>
        <v>3330</v>
      </c>
      <c r="W134" s="28">
        <f>W118*_xlfn.XLOOKUP($L134,'Balizador da Meta'!$B$4:$B$21,'Balizador da Meta'!$C$4:$C$21)</f>
        <v>3420</v>
      </c>
      <c r="X134" s="28">
        <f>X118*_xlfn.XLOOKUP($L134,'Balizador da Meta'!$B$4:$B$21,'Balizador da Meta'!$C$4:$C$21)</f>
        <v>3510</v>
      </c>
      <c r="Y134" s="28">
        <f>Y118*_xlfn.XLOOKUP($L134,'Balizador da Meta'!$B$4:$B$21,'Balizador da Meta'!$C$4:$C$21)</f>
        <v>3600</v>
      </c>
      <c r="Z134" s="30">
        <f t="shared" si="34"/>
        <v>37260</v>
      </c>
      <c r="AA134" s="29"/>
      <c r="AB134" s="31">
        <f>SUMIFS('Historico - FAT'!AK:AK,'Historico - FAT'!$K:$K,Faturamento!$L134,'Historico - FAT'!$I:$I,Faturamento!$J134,'Historico - FAT'!$G:$G,Faturamento!$H134)</f>
        <v>58.069166666666661</v>
      </c>
      <c r="AC134" s="31">
        <f>SUMIFS('Historico - FAT'!AL:AL,'Historico - FAT'!$K:$K,Faturamento!$L134,'Historico - FAT'!$I:$I,Faturamento!$J134,'Historico - FAT'!$G:$G,Faturamento!$H134)</f>
        <v>541.11333333333334</v>
      </c>
      <c r="AD134" s="31">
        <f>SUMIFS('Historico - FAT'!AM:AM,'Historico - FAT'!$K:$K,Faturamento!$L134,'Historico - FAT'!$I:$I,Faturamento!$J134,'Historico - FAT'!$G:$G,Faturamento!$H134)</f>
        <v>593.61666666666667</v>
      </c>
      <c r="AE134" s="27">
        <f>SUMIFS('Historico - FAT'!AN:AN,'Historico - FAT'!$K:$K,Faturamento!$L134,'Historico - FAT'!$I:$I,Faturamento!$J134,'Historico - FAT'!$G:$G,Faturamento!$H134)</f>
        <v>579.65300000000002</v>
      </c>
      <c r="AG134" s="24">
        <f t="shared" si="29"/>
        <v>0.98345607787274458</v>
      </c>
      <c r="AH134" s="24">
        <f t="shared" si="30"/>
        <v>0.84583665716999057</v>
      </c>
      <c r="AI134" s="24">
        <f t="shared" si="31"/>
        <v>0.83087844254510923</v>
      </c>
    </row>
    <row r="135" spans="1:35" hidden="1" x14ac:dyDescent="0.3">
      <c r="A135" s="2" t="str">
        <f t="shared" si="28"/>
        <v>NÃO</v>
      </c>
      <c r="B135" s="2">
        <v>1000184670</v>
      </c>
      <c r="C135" s="2" t="s">
        <v>147</v>
      </c>
      <c r="D135" s="4">
        <v>1000186197</v>
      </c>
      <c r="E135" s="4" t="s">
        <v>166</v>
      </c>
      <c r="F135" s="2">
        <v>1000198600</v>
      </c>
      <c r="G135" s="2" t="s">
        <v>148</v>
      </c>
      <c r="H135" s="4">
        <v>1000198601</v>
      </c>
      <c r="I135" s="4" t="s">
        <v>149</v>
      </c>
      <c r="J135" s="2">
        <v>1000189756</v>
      </c>
      <c r="K135" s="2" t="s">
        <v>139</v>
      </c>
      <c r="L135" s="4" t="s">
        <v>27</v>
      </c>
      <c r="M135" s="4" t="str">
        <f t="shared" si="35"/>
        <v>1000184670100018619710001986011000189756TAMARA</v>
      </c>
      <c r="N135" s="28">
        <f>N118*_xlfn.XLOOKUP($L135,'Balizador da Meta'!$B$4:$B$21,'Balizador da Meta'!$C$4:$C$21)</f>
        <v>3480</v>
      </c>
      <c r="O135" s="28">
        <f>O118*_xlfn.XLOOKUP($L135,'Balizador da Meta'!$B$4:$B$21,'Balizador da Meta'!$C$4:$C$21)</f>
        <v>3600</v>
      </c>
      <c r="P135" s="28">
        <f>P118*_xlfn.XLOOKUP($L135,'Balizador da Meta'!$B$4:$B$21,'Balizador da Meta'!$C$4:$C$21)</f>
        <v>3720</v>
      </c>
      <c r="Q135" s="28">
        <f>Q118*_xlfn.XLOOKUP($L135,'Balizador da Meta'!$B$4:$B$21,'Balizador da Meta'!$C$4:$C$21)</f>
        <v>3840</v>
      </c>
      <c r="R135" s="28">
        <f>R118*_xlfn.XLOOKUP($L135,'Balizador da Meta'!$B$4:$B$21,'Balizador da Meta'!$C$4:$C$21)</f>
        <v>3960</v>
      </c>
      <c r="S135" s="28">
        <f>S118*_xlfn.XLOOKUP($L135,'Balizador da Meta'!$B$4:$B$21,'Balizador da Meta'!$C$4:$C$21)</f>
        <v>4080</v>
      </c>
      <c r="T135" s="28">
        <f>T118*_xlfn.XLOOKUP($L135,'Balizador da Meta'!$B$4:$B$21,'Balizador da Meta'!$C$4:$C$21)</f>
        <v>4200</v>
      </c>
      <c r="U135" s="28">
        <f>U118*_xlfn.XLOOKUP($L135,'Balizador da Meta'!$B$4:$B$21,'Balizador da Meta'!$C$4:$C$21)</f>
        <v>4320</v>
      </c>
      <c r="V135" s="28">
        <f>V118*_xlfn.XLOOKUP($L135,'Balizador da Meta'!$B$4:$B$21,'Balizador da Meta'!$C$4:$C$21)</f>
        <v>4440</v>
      </c>
      <c r="W135" s="28">
        <f>W118*_xlfn.XLOOKUP($L135,'Balizador da Meta'!$B$4:$B$21,'Balizador da Meta'!$C$4:$C$21)</f>
        <v>4560</v>
      </c>
      <c r="X135" s="28">
        <f>X118*_xlfn.XLOOKUP($L135,'Balizador da Meta'!$B$4:$B$21,'Balizador da Meta'!$C$4:$C$21)</f>
        <v>4680</v>
      </c>
      <c r="Y135" s="28">
        <f>Y118*_xlfn.XLOOKUP($L135,'Balizador da Meta'!$B$4:$B$21,'Balizador da Meta'!$C$4:$C$21)</f>
        <v>4800</v>
      </c>
      <c r="Z135" s="30">
        <f t="shared" si="34"/>
        <v>49680</v>
      </c>
      <c r="AA135" s="29"/>
      <c r="AB135" s="31">
        <f>SUMIFS('Historico - FAT'!AK:AK,'Historico - FAT'!$K:$K,Faturamento!$L135,'Historico - FAT'!$I:$I,Faturamento!$J135,'Historico - FAT'!$G:$G,Faturamento!$H135)</f>
        <v>0</v>
      </c>
      <c r="AC135" s="31">
        <f>SUMIFS('Historico - FAT'!AL:AL,'Historico - FAT'!$K:$K,Faturamento!$L135,'Historico - FAT'!$I:$I,Faturamento!$J135,'Historico - FAT'!$G:$G,Faturamento!$H135)</f>
        <v>0</v>
      </c>
      <c r="AD135" s="31">
        <f>SUMIFS('Historico - FAT'!AM:AM,'Historico - FAT'!$K:$K,Faturamento!$L135,'Historico - FAT'!$I:$I,Faturamento!$J135,'Historico - FAT'!$G:$G,Faturamento!$H135)</f>
        <v>0</v>
      </c>
      <c r="AE135" s="27">
        <f>SUMIFS('Historico - FAT'!AN:AN,'Historico - FAT'!$K:$K,Faturamento!$L135,'Historico - FAT'!$I:$I,Faturamento!$J135,'Historico - FAT'!$G:$G,Faturamento!$H135)</f>
        <v>0</v>
      </c>
      <c r="AG135" s="24">
        <f t="shared" si="29"/>
        <v>1</v>
      </c>
      <c r="AH135" s="24">
        <f t="shared" si="30"/>
        <v>1</v>
      </c>
      <c r="AI135" s="24">
        <f t="shared" si="31"/>
        <v>1</v>
      </c>
    </row>
    <row r="136" spans="1:35" hidden="1" x14ac:dyDescent="0.3">
      <c r="A136" s="2" t="str">
        <f t="shared" si="28"/>
        <v>NÃO</v>
      </c>
      <c r="B136" s="2">
        <v>1000184670</v>
      </c>
      <c r="C136" s="2" t="s">
        <v>147</v>
      </c>
      <c r="D136" s="4">
        <v>1000186197</v>
      </c>
      <c r="E136" s="4" t="s">
        <v>166</v>
      </c>
      <c r="F136" s="2">
        <v>1000198600</v>
      </c>
      <c r="G136" s="2" t="s">
        <v>148</v>
      </c>
      <c r="H136" s="4">
        <v>1000198601</v>
      </c>
      <c r="I136" s="4" t="s">
        <v>149</v>
      </c>
      <c r="J136" s="2">
        <v>1000189756</v>
      </c>
      <c r="K136" s="2" t="s">
        <v>139</v>
      </c>
      <c r="L136" s="4" t="s">
        <v>25</v>
      </c>
      <c r="M136" s="4" t="str">
        <f t="shared" si="35"/>
        <v>1000184670100018619710001986011000189756VICCIO</v>
      </c>
      <c r="N136" s="28">
        <f>N118*_xlfn.XLOOKUP($L136,'Balizador da Meta'!$B$4:$B$21,'Balizador da Meta'!$C$4:$C$21)</f>
        <v>1305</v>
      </c>
      <c r="O136" s="28">
        <f>O118*_xlfn.XLOOKUP($L136,'Balizador da Meta'!$B$4:$B$21,'Balizador da Meta'!$C$4:$C$21)</f>
        <v>1350</v>
      </c>
      <c r="P136" s="28">
        <f>P118*_xlfn.XLOOKUP($L136,'Balizador da Meta'!$B$4:$B$21,'Balizador da Meta'!$C$4:$C$21)</f>
        <v>1395</v>
      </c>
      <c r="Q136" s="28">
        <f>Q118*_xlfn.XLOOKUP($L136,'Balizador da Meta'!$B$4:$B$21,'Balizador da Meta'!$C$4:$C$21)</f>
        <v>1440</v>
      </c>
      <c r="R136" s="28">
        <f>R118*_xlfn.XLOOKUP($L136,'Balizador da Meta'!$B$4:$B$21,'Balizador da Meta'!$C$4:$C$21)</f>
        <v>1485</v>
      </c>
      <c r="S136" s="28">
        <f>S118*_xlfn.XLOOKUP($L136,'Balizador da Meta'!$B$4:$B$21,'Balizador da Meta'!$C$4:$C$21)</f>
        <v>1530</v>
      </c>
      <c r="T136" s="28">
        <f>T118*_xlfn.XLOOKUP($L136,'Balizador da Meta'!$B$4:$B$21,'Balizador da Meta'!$C$4:$C$21)</f>
        <v>1575</v>
      </c>
      <c r="U136" s="28">
        <f>U118*_xlfn.XLOOKUP($L136,'Balizador da Meta'!$B$4:$B$21,'Balizador da Meta'!$C$4:$C$21)</f>
        <v>1620</v>
      </c>
      <c r="V136" s="28">
        <f>V118*_xlfn.XLOOKUP($L136,'Balizador da Meta'!$B$4:$B$21,'Balizador da Meta'!$C$4:$C$21)</f>
        <v>1665</v>
      </c>
      <c r="W136" s="28">
        <f>W118*_xlfn.XLOOKUP($L136,'Balizador da Meta'!$B$4:$B$21,'Balizador da Meta'!$C$4:$C$21)</f>
        <v>1710</v>
      </c>
      <c r="X136" s="28">
        <f>X118*_xlfn.XLOOKUP($L136,'Balizador da Meta'!$B$4:$B$21,'Balizador da Meta'!$C$4:$C$21)</f>
        <v>1755</v>
      </c>
      <c r="Y136" s="28">
        <f>Y118*_xlfn.XLOOKUP($L136,'Balizador da Meta'!$B$4:$B$21,'Balizador da Meta'!$C$4:$C$21)</f>
        <v>1800</v>
      </c>
      <c r="Z136" s="30">
        <f t="shared" si="34"/>
        <v>18630</v>
      </c>
      <c r="AA136" s="29"/>
      <c r="AB136" s="31">
        <f>SUMIFS('Historico - FAT'!AK:AK,'Historico - FAT'!$K:$K,Faturamento!$L136,'Historico - FAT'!$I:$I,Faturamento!$J136,'Historico - FAT'!$G:$G,Faturamento!$H136)</f>
        <v>0</v>
      </c>
      <c r="AC136" s="31">
        <f>SUMIFS('Historico - FAT'!AL:AL,'Historico - FAT'!$K:$K,Faturamento!$L136,'Historico - FAT'!$I:$I,Faturamento!$J136,'Historico - FAT'!$G:$G,Faturamento!$H136)</f>
        <v>16.322500000000002</v>
      </c>
      <c r="AD136" s="31">
        <f>SUMIFS('Historico - FAT'!AM:AM,'Historico - FAT'!$K:$K,Faturamento!$L136,'Historico - FAT'!$I:$I,Faturamento!$J136,'Historico - FAT'!$G:$G,Faturamento!$H136)</f>
        <v>7.0116666666666667</v>
      </c>
      <c r="AE136" s="27">
        <f>SUMIFS('Historico - FAT'!AN:AN,'Historico - FAT'!$K:$K,Faturamento!$L136,'Historico - FAT'!$I:$I,Faturamento!$J136,'Historico - FAT'!$G:$G,Faturamento!$H136)</f>
        <v>19.587</v>
      </c>
      <c r="AG136" s="24">
        <f t="shared" si="29"/>
        <v>1</v>
      </c>
      <c r="AH136" s="24">
        <f t="shared" si="30"/>
        <v>0.99069943019943019</v>
      </c>
      <c r="AI136" s="24">
        <f t="shared" si="31"/>
        <v>0.99600474833808161</v>
      </c>
    </row>
    <row r="137" spans="1:35" x14ac:dyDescent="0.3">
      <c r="A137" s="2" t="str">
        <f t="shared" si="28"/>
        <v>SIM</v>
      </c>
      <c r="B137" s="2">
        <v>1000184670</v>
      </c>
      <c r="C137" s="2" t="s">
        <v>147</v>
      </c>
      <c r="D137" s="4">
        <v>1000186197</v>
      </c>
      <c r="E137" s="4" t="s">
        <v>166</v>
      </c>
      <c r="F137" s="2">
        <v>1000198600</v>
      </c>
      <c r="G137" s="2" t="s">
        <v>148</v>
      </c>
      <c r="H137" s="4">
        <v>1000198601</v>
      </c>
      <c r="I137" s="4" t="s">
        <v>149</v>
      </c>
      <c r="J137" s="2">
        <v>1000190599</v>
      </c>
      <c r="K137" s="2" t="s">
        <v>140</v>
      </c>
      <c r="L137" s="4" t="s">
        <v>124</v>
      </c>
      <c r="M137" s="4" t="str">
        <f t="shared" si="35"/>
        <v>100018467010001861971000198601100019059901. TOTAL</v>
      </c>
      <c r="N137" s="28">
        <f>SUMIFS(Positivação!L:L,Positivação!$I:$I,Faturamento!$J137,Positivação!$G:$G,Faturamento!$H137)*SUMIFS(Positivação!$Z:$Z,Positivação!$I:$I,Faturamento!$J137,Positivação!$G:$G,Faturamento!$H137)</f>
        <v>0</v>
      </c>
      <c r="O137" s="28">
        <f>SUMIFS(Positivação!M:M,Positivação!$I:$I,Faturamento!$J137,Positivação!$G:$G,Faturamento!$H137)*SUMIFS(Positivação!$Z:$Z,Positivação!$I:$I,Faturamento!$J137,Positivação!$G:$G,Faturamento!$H137)</f>
        <v>1500</v>
      </c>
      <c r="P137" s="28">
        <f>SUMIFS(Positivação!N:N,Positivação!$I:$I,Faturamento!$J137,Positivação!$G:$G,Faturamento!$H137)*SUMIFS(Positivação!$Z:$Z,Positivação!$I:$I,Faturamento!$J137,Positivação!$G:$G,Faturamento!$H137)</f>
        <v>1500</v>
      </c>
      <c r="Q137" s="28">
        <f>SUMIFS(Positivação!O:O,Positivação!$I:$I,Faturamento!$J137,Positivação!$G:$G,Faturamento!$H137)*SUMIFS(Positivação!$Z:$Z,Positivação!$I:$I,Faturamento!$J137,Positivação!$G:$G,Faturamento!$H137)</f>
        <v>1500</v>
      </c>
      <c r="R137" s="28">
        <f>SUMIFS(Positivação!P:P,Positivação!$I:$I,Faturamento!$J137,Positivação!$G:$G,Faturamento!$H137)*SUMIFS(Positivação!$Z:$Z,Positivação!$I:$I,Faturamento!$J137,Positivação!$G:$G,Faturamento!$H137)</f>
        <v>3000</v>
      </c>
      <c r="S137" s="28">
        <f>SUMIFS(Positivação!Q:Q,Positivação!$I:$I,Faturamento!$J137,Positivação!$G:$G,Faturamento!$H137)*SUMIFS(Positivação!$Z:$Z,Positivação!$I:$I,Faturamento!$J137,Positivação!$G:$G,Faturamento!$H137)</f>
        <v>3000</v>
      </c>
      <c r="T137" s="28">
        <f>SUMIFS(Positivação!R:R,Positivação!$I:$I,Faturamento!$J137,Positivação!$G:$G,Faturamento!$H137)*SUMIFS(Positivação!$Z:$Z,Positivação!$I:$I,Faturamento!$J137,Positivação!$G:$G,Faturamento!$H137)</f>
        <v>3000</v>
      </c>
      <c r="U137" s="28">
        <f>SUMIFS(Positivação!S:S,Positivação!$I:$I,Faturamento!$J137,Positivação!$G:$G,Faturamento!$H137)*SUMIFS(Positivação!$Z:$Z,Positivação!$I:$I,Faturamento!$J137,Positivação!$G:$G,Faturamento!$H137)</f>
        <v>3000</v>
      </c>
      <c r="V137" s="28">
        <f>SUMIFS(Positivação!T:T,Positivação!$I:$I,Faturamento!$J137,Positivação!$G:$G,Faturamento!$H137)*SUMIFS(Positivação!$Z:$Z,Positivação!$I:$I,Faturamento!$J137,Positivação!$G:$G,Faturamento!$H137)</f>
        <v>4500</v>
      </c>
      <c r="W137" s="28">
        <f>SUMIFS(Positivação!U:U,Positivação!$I:$I,Faturamento!$J137,Positivação!$G:$G,Faturamento!$H137)*SUMIFS(Positivação!$Z:$Z,Positivação!$I:$I,Faturamento!$J137,Positivação!$G:$G,Faturamento!$H137)</f>
        <v>4500</v>
      </c>
      <c r="X137" s="28">
        <f>SUMIFS(Positivação!V:V,Positivação!$I:$I,Faturamento!$J137,Positivação!$G:$G,Faturamento!$H137)*SUMIFS(Positivação!$Z:$Z,Positivação!$I:$I,Faturamento!$J137,Positivação!$G:$G,Faturamento!$H137)</f>
        <v>4500</v>
      </c>
      <c r="Y137" s="28">
        <f>SUMIFS(Positivação!W:W,Positivação!$I:$I,Faturamento!$J137,Positivação!$G:$G,Faturamento!$H137)*SUMIFS(Positivação!$Z:$Z,Positivação!$I:$I,Faturamento!$J137,Positivação!$G:$G,Faturamento!$H137)</f>
        <v>6000</v>
      </c>
      <c r="Z137" s="28">
        <f t="shared" ref="Z137" si="36">SUM(Z138:Z155)</f>
        <v>36000</v>
      </c>
      <c r="AA137" s="29"/>
      <c r="AB137" s="28">
        <f t="shared" ref="AB137:AE137" si="37">SUM(AB138:AB155)</f>
        <v>0</v>
      </c>
      <c r="AC137" s="28">
        <f t="shared" si="37"/>
        <v>0</v>
      </c>
      <c r="AD137" s="28">
        <f t="shared" si="37"/>
        <v>0</v>
      </c>
      <c r="AE137" s="28">
        <f t="shared" si="37"/>
        <v>0</v>
      </c>
      <c r="AG137" s="24">
        <f t="shared" si="29"/>
        <v>1</v>
      </c>
      <c r="AH137" s="24">
        <f t="shared" si="30"/>
        <v>1</v>
      </c>
      <c r="AI137" s="24">
        <f t="shared" si="31"/>
        <v>1</v>
      </c>
    </row>
    <row r="138" spans="1:35" hidden="1" x14ac:dyDescent="0.3">
      <c r="A138" s="2" t="str">
        <f t="shared" si="28"/>
        <v>NÃO</v>
      </c>
      <c r="B138" s="2">
        <v>1000184670</v>
      </c>
      <c r="C138" s="2" t="s">
        <v>147</v>
      </c>
      <c r="D138" s="4">
        <v>1000186197</v>
      </c>
      <c r="E138" s="4" t="s">
        <v>166</v>
      </c>
      <c r="F138" s="2">
        <v>1000198600</v>
      </c>
      <c r="G138" s="2" t="s">
        <v>148</v>
      </c>
      <c r="H138" s="4">
        <v>1000198601</v>
      </c>
      <c r="I138" s="4" t="s">
        <v>149</v>
      </c>
      <c r="J138" s="2">
        <v>1000190599</v>
      </c>
      <c r="K138" s="2" t="s">
        <v>140</v>
      </c>
      <c r="L138" s="4" t="s">
        <v>13</v>
      </c>
      <c r="M138" s="4" t="str">
        <f t="shared" si="35"/>
        <v>1000184670100018619710001986011000190599BISCOITO</v>
      </c>
      <c r="N138" s="28">
        <f>N137*_xlfn.XLOOKUP($L138,'Balizador da Meta'!$B$4:$B$21,'Balizador da Meta'!$C$4:$C$21)</f>
        <v>0</v>
      </c>
      <c r="O138" s="28">
        <f>O137*_xlfn.XLOOKUP($L138,'Balizador da Meta'!$B$4:$B$21,'Balizador da Meta'!$C$4:$C$21)</f>
        <v>105.00000000000001</v>
      </c>
      <c r="P138" s="28">
        <f>P137*_xlfn.XLOOKUP($L138,'Balizador da Meta'!$B$4:$B$21,'Balizador da Meta'!$C$4:$C$21)</f>
        <v>105.00000000000001</v>
      </c>
      <c r="Q138" s="28">
        <f>Q137*_xlfn.XLOOKUP($L138,'Balizador da Meta'!$B$4:$B$21,'Balizador da Meta'!$C$4:$C$21)</f>
        <v>105.00000000000001</v>
      </c>
      <c r="R138" s="28">
        <f>R137*_xlfn.XLOOKUP($L138,'Balizador da Meta'!$B$4:$B$21,'Balizador da Meta'!$C$4:$C$21)</f>
        <v>210.00000000000003</v>
      </c>
      <c r="S138" s="28">
        <f>S137*_xlfn.XLOOKUP($L138,'Balizador da Meta'!$B$4:$B$21,'Balizador da Meta'!$C$4:$C$21)</f>
        <v>210.00000000000003</v>
      </c>
      <c r="T138" s="28">
        <f>T137*_xlfn.XLOOKUP($L138,'Balizador da Meta'!$B$4:$B$21,'Balizador da Meta'!$C$4:$C$21)</f>
        <v>210.00000000000003</v>
      </c>
      <c r="U138" s="28">
        <f>U137*_xlfn.XLOOKUP($L138,'Balizador da Meta'!$B$4:$B$21,'Balizador da Meta'!$C$4:$C$21)</f>
        <v>210.00000000000003</v>
      </c>
      <c r="V138" s="28">
        <f>V137*_xlfn.XLOOKUP($L138,'Balizador da Meta'!$B$4:$B$21,'Balizador da Meta'!$C$4:$C$21)</f>
        <v>315.00000000000006</v>
      </c>
      <c r="W138" s="28">
        <f>W137*_xlfn.XLOOKUP($L138,'Balizador da Meta'!$B$4:$B$21,'Balizador da Meta'!$C$4:$C$21)</f>
        <v>315.00000000000006</v>
      </c>
      <c r="X138" s="28">
        <f>X137*_xlfn.XLOOKUP($L138,'Balizador da Meta'!$B$4:$B$21,'Balizador da Meta'!$C$4:$C$21)</f>
        <v>315.00000000000006</v>
      </c>
      <c r="Y138" s="28">
        <f>Y137*_xlfn.XLOOKUP($L138,'Balizador da Meta'!$B$4:$B$21,'Balizador da Meta'!$C$4:$C$21)</f>
        <v>420.00000000000006</v>
      </c>
      <c r="Z138" s="30">
        <f t="shared" ref="Z138:Z155" si="38">SUM(N138:Y138)</f>
        <v>2520.0000000000005</v>
      </c>
      <c r="AA138" s="29"/>
      <c r="AB138" s="31">
        <f>SUMIFS('Historico - FAT'!AK:AK,'Historico - FAT'!$K:$K,Faturamento!$L138,'Historico - FAT'!$I:$I,Faturamento!$J138,'Historico - FAT'!$G:$G,Faturamento!$H138)</f>
        <v>0</v>
      </c>
      <c r="AC138" s="31">
        <f>SUMIFS('Historico - FAT'!AL:AL,'Historico - FAT'!$K:$K,Faturamento!$L138,'Historico - FAT'!$I:$I,Faturamento!$J138,'Historico - FAT'!$G:$G,Faturamento!$H138)</f>
        <v>0</v>
      </c>
      <c r="AD138" s="31">
        <f>SUMIFS('Historico - FAT'!AM:AM,'Historico - FAT'!$K:$K,Faturamento!$L138,'Historico - FAT'!$I:$I,Faturamento!$J138,'Historico - FAT'!$G:$G,Faturamento!$H138)</f>
        <v>0</v>
      </c>
      <c r="AE138" s="27">
        <f>SUMIFS('Historico - FAT'!AN:AN,'Historico - FAT'!$K:$K,Faturamento!$L138,'Historico - FAT'!$I:$I,Faturamento!$J138,'Historico - FAT'!$G:$G,Faturamento!$H138)</f>
        <v>0</v>
      </c>
      <c r="AG138" s="24">
        <f t="shared" si="29"/>
        <v>1</v>
      </c>
      <c r="AH138" s="24">
        <f t="shared" si="30"/>
        <v>1</v>
      </c>
      <c r="AI138" s="24">
        <f t="shared" si="31"/>
        <v>1</v>
      </c>
    </row>
    <row r="139" spans="1:35" hidden="1" x14ac:dyDescent="0.3">
      <c r="A139" s="2" t="str">
        <f t="shared" si="28"/>
        <v>NÃO</v>
      </c>
      <c r="B139" s="2">
        <v>1000184670</v>
      </c>
      <c r="C139" s="2" t="s">
        <v>147</v>
      </c>
      <c r="D139" s="4">
        <v>1000186197</v>
      </c>
      <c r="E139" s="4" t="s">
        <v>166</v>
      </c>
      <c r="F139" s="2">
        <v>1000198600</v>
      </c>
      <c r="G139" s="2" t="s">
        <v>148</v>
      </c>
      <c r="H139" s="4">
        <v>1000198601</v>
      </c>
      <c r="I139" s="4" t="s">
        <v>149</v>
      </c>
      <c r="J139" s="2">
        <v>1000190599</v>
      </c>
      <c r="K139" s="2" t="s">
        <v>140</v>
      </c>
      <c r="L139" s="4" t="s">
        <v>14</v>
      </c>
      <c r="M139" s="4" t="str">
        <f t="shared" si="35"/>
        <v>1000184670100018619710001986011000190599CHOCOLATES</v>
      </c>
      <c r="N139" s="28">
        <f>N137*_xlfn.XLOOKUP($L139,'Balizador da Meta'!$B$4:$B$21,'Balizador da Meta'!$C$4:$C$21)</f>
        <v>0</v>
      </c>
      <c r="O139" s="28">
        <f>O137*_xlfn.XLOOKUP($L139,'Balizador da Meta'!$B$4:$B$21,'Balizador da Meta'!$C$4:$C$21)</f>
        <v>105.00000000000001</v>
      </c>
      <c r="P139" s="28">
        <f>P137*_xlfn.XLOOKUP($L139,'Balizador da Meta'!$B$4:$B$21,'Balizador da Meta'!$C$4:$C$21)</f>
        <v>105.00000000000001</v>
      </c>
      <c r="Q139" s="28">
        <f>Q137*_xlfn.XLOOKUP($L139,'Balizador da Meta'!$B$4:$B$21,'Balizador da Meta'!$C$4:$C$21)</f>
        <v>105.00000000000001</v>
      </c>
      <c r="R139" s="28">
        <f>R137*_xlfn.XLOOKUP($L139,'Balizador da Meta'!$B$4:$B$21,'Balizador da Meta'!$C$4:$C$21)</f>
        <v>210.00000000000003</v>
      </c>
      <c r="S139" s="28">
        <f>S137*_xlfn.XLOOKUP($L139,'Balizador da Meta'!$B$4:$B$21,'Balizador da Meta'!$C$4:$C$21)</f>
        <v>210.00000000000003</v>
      </c>
      <c r="T139" s="28">
        <f>T137*_xlfn.XLOOKUP($L139,'Balizador da Meta'!$B$4:$B$21,'Balizador da Meta'!$C$4:$C$21)</f>
        <v>210.00000000000003</v>
      </c>
      <c r="U139" s="28">
        <f>U137*_xlfn.XLOOKUP($L139,'Balizador da Meta'!$B$4:$B$21,'Balizador da Meta'!$C$4:$C$21)</f>
        <v>210.00000000000003</v>
      </c>
      <c r="V139" s="28">
        <f>V137*_xlfn.XLOOKUP($L139,'Balizador da Meta'!$B$4:$B$21,'Balizador da Meta'!$C$4:$C$21)</f>
        <v>315.00000000000006</v>
      </c>
      <c r="W139" s="28">
        <f>W137*_xlfn.XLOOKUP($L139,'Balizador da Meta'!$B$4:$B$21,'Balizador da Meta'!$C$4:$C$21)</f>
        <v>315.00000000000006</v>
      </c>
      <c r="X139" s="28">
        <f>X137*_xlfn.XLOOKUP($L139,'Balizador da Meta'!$B$4:$B$21,'Balizador da Meta'!$C$4:$C$21)</f>
        <v>315.00000000000006</v>
      </c>
      <c r="Y139" s="28">
        <f>Y137*_xlfn.XLOOKUP($L139,'Balizador da Meta'!$B$4:$B$21,'Balizador da Meta'!$C$4:$C$21)</f>
        <v>420.00000000000006</v>
      </c>
      <c r="Z139" s="30">
        <f t="shared" si="38"/>
        <v>2520.0000000000005</v>
      </c>
      <c r="AA139" s="29"/>
      <c r="AB139" s="31">
        <f>SUMIFS('Historico - FAT'!AK:AK,'Historico - FAT'!$K:$K,Faturamento!$L139,'Historico - FAT'!$I:$I,Faturamento!$J139,'Historico - FAT'!$G:$G,Faturamento!$H139)</f>
        <v>0</v>
      </c>
      <c r="AC139" s="31">
        <f>SUMIFS('Historico - FAT'!AL:AL,'Historico - FAT'!$K:$K,Faturamento!$L139,'Historico - FAT'!$I:$I,Faturamento!$J139,'Historico - FAT'!$G:$G,Faturamento!$H139)</f>
        <v>0</v>
      </c>
      <c r="AD139" s="31">
        <f>SUMIFS('Historico - FAT'!AM:AM,'Historico - FAT'!$K:$K,Faturamento!$L139,'Historico - FAT'!$I:$I,Faturamento!$J139,'Historico - FAT'!$G:$G,Faturamento!$H139)</f>
        <v>0</v>
      </c>
      <c r="AE139" s="27">
        <f>SUMIFS('Historico - FAT'!AN:AN,'Historico - FAT'!$K:$K,Faturamento!$L139,'Historico - FAT'!$I:$I,Faturamento!$J139,'Historico - FAT'!$G:$G,Faturamento!$H139)</f>
        <v>0</v>
      </c>
      <c r="AG139" s="24">
        <f t="shared" si="29"/>
        <v>1</v>
      </c>
      <c r="AH139" s="24">
        <f t="shared" si="30"/>
        <v>1</v>
      </c>
      <c r="AI139" s="24">
        <f t="shared" si="31"/>
        <v>1</v>
      </c>
    </row>
    <row r="140" spans="1:35" hidden="1" x14ac:dyDescent="0.3">
      <c r="A140" s="2" t="str">
        <f t="shared" si="28"/>
        <v>NÃO</v>
      </c>
      <c r="B140" s="2">
        <v>1000184670</v>
      </c>
      <c r="C140" s="2" t="s">
        <v>147</v>
      </c>
      <c r="D140" s="4">
        <v>1000186197</v>
      </c>
      <c r="E140" s="4" t="s">
        <v>166</v>
      </c>
      <c r="F140" s="2">
        <v>1000198600</v>
      </c>
      <c r="G140" s="2" t="s">
        <v>148</v>
      </c>
      <c r="H140" s="4">
        <v>1000198601</v>
      </c>
      <c r="I140" s="4" t="s">
        <v>149</v>
      </c>
      <c r="J140" s="2">
        <v>1000190599</v>
      </c>
      <c r="K140" s="2" t="s">
        <v>140</v>
      </c>
      <c r="L140" s="4" t="s">
        <v>16</v>
      </c>
      <c r="M140" s="4" t="str">
        <f t="shared" si="35"/>
        <v>1000184670100018619710001986011000190599DISNEY</v>
      </c>
      <c r="N140" s="28">
        <f>N137*_xlfn.XLOOKUP($L140,'Balizador da Meta'!$B$4:$B$21,'Balizador da Meta'!$C$4:$C$21)</f>
        <v>0</v>
      </c>
      <c r="O140" s="28">
        <f>O137*_xlfn.XLOOKUP($L140,'Balizador da Meta'!$B$4:$B$21,'Balizador da Meta'!$C$4:$C$21)</f>
        <v>120</v>
      </c>
      <c r="P140" s="28">
        <f>P137*_xlfn.XLOOKUP($L140,'Balizador da Meta'!$B$4:$B$21,'Balizador da Meta'!$C$4:$C$21)</f>
        <v>120</v>
      </c>
      <c r="Q140" s="28">
        <f>Q137*_xlfn.XLOOKUP($L140,'Balizador da Meta'!$B$4:$B$21,'Balizador da Meta'!$C$4:$C$21)</f>
        <v>120</v>
      </c>
      <c r="R140" s="28">
        <f>R137*_xlfn.XLOOKUP($L140,'Balizador da Meta'!$B$4:$B$21,'Balizador da Meta'!$C$4:$C$21)</f>
        <v>240</v>
      </c>
      <c r="S140" s="28">
        <f>S137*_xlfn.XLOOKUP($L140,'Balizador da Meta'!$B$4:$B$21,'Balizador da Meta'!$C$4:$C$21)</f>
        <v>240</v>
      </c>
      <c r="T140" s="28">
        <f>T137*_xlfn.XLOOKUP($L140,'Balizador da Meta'!$B$4:$B$21,'Balizador da Meta'!$C$4:$C$21)</f>
        <v>240</v>
      </c>
      <c r="U140" s="28">
        <f>U137*_xlfn.XLOOKUP($L140,'Balizador da Meta'!$B$4:$B$21,'Balizador da Meta'!$C$4:$C$21)</f>
        <v>240</v>
      </c>
      <c r="V140" s="28">
        <f>V137*_xlfn.XLOOKUP($L140,'Balizador da Meta'!$B$4:$B$21,'Balizador da Meta'!$C$4:$C$21)</f>
        <v>360</v>
      </c>
      <c r="W140" s="28">
        <f>W137*_xlfn.XLOOKUP($L140,'Balizador da Meta'!$B$4:$B$21,'Balizador da Meta'!$C$4:$C$21)</f>
        <v>360</v>
      </c>
      <c r="X140" s="28">
        <f>X137*_xlfn.XLOOKUP($L140,'Balizador da Meta'!$B$4:$B$21,'Balizador da Meta'!$C$4:$C$21)</f>
        <v>360</v>
      </c>
      <c r="Y140" s="28">
        <f>Y137*_xlfn.XLOOKUP($L140,'Balizador da Meta'!$B$4:$B$21,'Balizador da Meta'!$C$4:$C$21)</f>
        <v>480</v>
      </c>
      <c r="Z140" s="30">
        <f t="shared" si="38"/>
        <v>2880</v>
      </c>
      <c r="AA140" s="29"/>
      <c r="AB140" s="31">
        <f>SUMIFS('Historico - FAT'!AK:AK,'Historico - FAT'!$K:$K,Faturamento!$L140,'Historico - FAT'!$I:$I,Faturamento!$J140,'Historico - FAT'!$G:$G,Faturamento!$H140)</f>
        <v>0</v>
      </c>
      <c r="AC140" s="31">
        <f>SUMIFS('Historico - FAT'!AL:AL,'Historico - FAT'!$K:$K,Faturamento!$L140,'Historico - FAT'!$I:$I,Faturamento!$J140,'Historico - FAT'!$G:$G,Faturamento!$H140)</f>
        <v>0</v>
      </c>
      <c r="AD140" s="31">
        <f>SUMIFS('Historico - FAT'!AM:AM,'Historico - FAT'!$K:$K,Faturamento!$L140,'Historico - FAT'!$I:$I,Faturamento!$J140,'Historico - FAT'!$G:$G,Faturamento!$H140)</f>
        <v>0</v>
      </c>
      <c r="AE140" s="27">
        <f>SUMIFS('Historico - FAT'!AN:AN,'Historico - FAT'!$K:$K,Faturamento!$L140,'Historico - FAT'!$I:$I,Faturamento!$J140,'Historico - FAT'!$G:$G,Faturamento!$H140)</f>
        <v>0</v>
      </c>
      <c r="AG140" s="24">
        <f t="shared" si="29"/>
        <v>1</v>
      </c>
      <c r="AH140" s="24">
        <f t="shared" si="30"/>
        <v>1</v>
      </c>
      <c r="AI140" s="24">
        <f t="shared" si="31"/>
        <v>1</v>
      </c>
    </row>
    <row r="141" spans="1:35" hidden="1" x14ac:dyDescent="0.3">
      <c r="A141" s="2" t="str">
        <f t="shared" si="28"/>
        <v>NÃO</v>
      </c>
      <c r="B141" s="2">
        <v>1000184670</v>
      </c>
      <c r="C141" s="2" t="s">
        <v>147</v>
      </c>
      <c r="D141" s="4">
        <v>1000186197</v>
      </c>
      <c r="E141" s="4" t="s">
        <v>166</v>
      </c>
      <c r="F141" s="2">
        <v>1000198600</v>
      </c>
      <c r="G141" s="2" t="s">
        <v>148</v>
      </c>
      <c r="H141" s="4">
        <v>1000198601</v>
      </c>
      <c r="I141" s="4" t="s">
        <v>149</v>
      </c>
      <c r="J141" s="2">
        <v>1000190599</v>
      </c>
      <c r="K141" s="2" t="s">
        <v>140</v>
      </c>
      <c r="L141" s="4" t="s">
        <v>15</v>
      </c>
      <c r="M141" s="4" t="str">
        <f t="shared" si="35"/>
        <v>1000184670100018619710001986011000190599DOCES</v>
      </c>
      <c r="N141" s="28">
        <f>N137*_xlfn.XLOOKUP($L141,'Balizador da Meta'!$B$4:$B$21,'Balizador da Meta'!$C$4:$C$21)</f>
        <v>0</v>
      </c>
      <c r="O141" s="28">
        <f>O137*_xlfn.XLOOKUP($L141,'Balizador da Meta'!$B$4:$B$21,'Balizador da Meta'!$C$4:$C$21)</f>
        <v>135</v>
      </c>
      <c r="P141" s="28">
        <f>P137*_xlfn.XLOOKUP($L141,'Balizador da Meta'!$B$4:$B$21,'Balizador da Meta'!$C$4:$C$21)</f>
        <v>135</v>
      </c>
      <c r="Q141" s="28">
        <f>Q137*_xlfn.XLOOKUP($L141,'Balizador da Meta'!$B$4:$B$21,'Balizador da Meta'!$C$4:$C$21)</f>
        <v>135</v>
      </c>
      <c r="R141" s="28">
        <f>R137*_xlfn.XLOOKUP($L141,'Balizador da Meta'!$B$4:$B$21,'Balizador da Meta'!$C$4:$C$21)</f>
        <v>270</v>
      </c>
      <c r="S141" s="28">
        <f>S137*_xlfn.XLOOKUP($L141,'Balizador da Meta'!$B$4:$B$21,'Balizador da Meta'!$C$4:$C$21)</f>
        <v>270</v>
      </c>
      <c r="T141" s="28">
        <f>T137*_xlfn.XLOOKUP($L141,'Balizador da Meta'!$B$4:$B$21,'Balizador da Meta'!$C$4:$C$21)</f>
        <v>270</v>
      </c>
      <c r="U141" s="28">
        <f>U137*_xlfn.XLOOKUP($L141,'Balizador da Meta'!$B$4:$B$21,'Balizador da Meta'!$C$4:$C$21)</f>
        <v>270</v>
      </c>
      <c r="V141" s="28">
        <f>V137*_xlfn.XLOOKUP($L141,'Balizador da Meta'!$B$4:$B$21,'Balizador da Meta'!$C$4:$C$21)</f>
        <v>405</v>
      </c>
      <c r="W141" s="28">
        <f>W137*_xlfn.XLOOKUP($L141,'Balizador da Meta'!$B$4:$B$21,'Balizador da Meta'!$C$4:$C$21)</f>
        <v>405</v>
      </c>
      <c r="X141" s="28">
        <f>X137*_xlfn.XLOOKUP($L141,'Balizador da Meta'!$B$4:$B$21,'Balizador da Meta'!$C$4:$C$21)</f>
        <v>405</v>
      </c>
      <c r="Y141" s="28">
        <f>Y137*_xlfn.XLOOKUP($L141,'Balizador da Meta'!$B$4:$B$21,'Balizador da Meta'!$C$4:$C$21)</f>
        <v>540</v>
      </c>
      <c r="Z141" s="30">
        <f t="shared" si="38"/>
        <v>3240</v>
      </c>
      <c r="AA141" s="29"/>
      <c r="AB141" s="31">
        <f>SUMIFS('Historico - FAT'!AK:AK,'Historico - FAT'!$K:$K,Faturamento!$L141,'Historico - FAT'!$I:$I,Faturamento!$J141,'Historico - FAT'!$G:$G,Faturamento!$H141)</f>
        <v>0</v>
      </c>
      <c r="AC141" s="31">
        <f>SUMIFS('Historico - FAT'!AL:AL,'Historico - FAT'!$K:$K,Faturamento!$L141,'Historico - FAT'!$I:$I,Faturamento!$J141,'Historico - FAT'!$G:$G,Faturamento!$H141)</f>
        <v>0</v>
      </c>
      <c r="AD141" s="31">
        <f>SUMIFS('Historico - FAT'!AM:AM,'Historico - FAT'!$K:$K,Faturamento!$L141,'Historico - FAT'!$I:$I,Faturamento!$J141,'Historico - FAT'!$G:$G,Faturamento!$H141)</f>
        <v>0</v>
      </c>
      <c r="AE141" s="27">
        <f>SUMIFS('Historico - FAT'!AN:AN,'Historico - FAT'!$K:$K,Faturamento!$L141,'Historico - FAT'!$I:$I,Faturamento!$J141,'Historico - FAT'!$G:$G,Faturamento!$H141)</f>
        <v>0</v>
      </c>
      <c r="AG141" s="24">
        <f t="shared" si="29"/>
        <v>1</v>
      </c>
      <c r="AH141" s="24">
        <f t="shared" si="30"/>
        <v>1</v>
      </c>
      <c r="AI141" s="24">
        <f t="shared" si="31"/>
        <v>1</v>
      </c>
    </row>
    <row r="142" spans="1:35" hidden="1" x14ac:dyDescent="0.3">
      <c r="A142" s="2" t="str">
        <f t="shared" si="28"/>
        <v>NÃO</v>
      </c>
      <c r="B142" s="2">
        <v>1000184670</v>
      </c>
      <c r="C142" s="2" t="s">
        <v>147</v>
      </c>
      <c r="D142" s="4">
        <v>1000186197</v>
      </c>
      <c r="E142" s="4" t="s">
        <v>166</v>
      </c>
      <c r="F142" s="2">
        <v>1000198600</v>
      </c>
      <c r="G142" s="2" t="s">
        <v>148</v>
      </c>
      <c r="H142" s="4">
        <v>1000198601</v>
      </c>
      <c r="I142" s="4" t="s">
        <v>149</v>
      </c>
      <c r="J142" s="2">
        <v>1000190599</v>
      </c>
      <c r="K142" s="2" t="s">
        <v>140</v>
      </c>
      <c r="L142" s="4" t="s">
        <v>33</v>
      </c>
      <c r="M142" s="4" t="str">
        <f t="shared" si="35"/>
        <v>1000184670100018619710001986011000190599FOOD SERVICE</v>
      </c>
      <c r="N142" s="28">
        <f>N137*_xlfn.XLOOKUP($L142,'Balizador da Meta'!$B$4:$B$21,'Balizador da Meta'!$C$4:$C$21)</f>
        <v>0</v>
      </c>
      <c r="O142" s="28">
        <f>O137*_xlfn.XLOOKUP($L142,'Balizador da Meta'!$B$4:$B$21,'Balizador da Meta'!$C$4:$C$21)</f>
        <v>0</v>
      </c>
      <c r="P142" s="28">
        <f>P137*_xlfn.XLOOKUP($L142,'Balizador da Meta'!$B$4:$B$21,'Balizador da Meta'!$C$4:$C$21)</f>
        <v>0</v>
      </c>
      <c r="Q142" s="28">
        <f>Q137*_xlfn.XLOOKUP($L142,'Balizador da Meta'!$B$4:$B$21,'Balizador da Meta'!$C$4:$C$21)</f>
        <v>0</v>
      </c>
      <c r="R142" s="28">
        <f>R137*_xlfn.XLOOKUP($L142,'Balizador da Meta'!$B$4:$B$21,'Balizador da Meta'!$C$4:$C$21)</f>
        <v>0</v>
      </c>
      <c r="S142" s="28">
        <f>S137*_xlfn.XLOOKUP($L142,'Balizador da Meta'!$B$4:$B$21,'Balizador da Meta'!$C$4:$C$21)</f>
        <v>0</v>
      </c>
      <c r="T142" s="28">
        <f>T137*_xlfn.XLOOKUP($L142,'Balizador da Meta'!$B$4:$B$21,'Balizador da Meta'!$C$4:$C$21)</f>
        <v>0</v>
      </c>
      <c r="U142" s="28">
        <f>U137*_xlfn.XLOOKUP($L142,'Balizador da Meta'!$B$4:$B$21,'Balizador da Meta'!$C$4:$C$21)</f>
        <v>0</v>
      </c>
      <c r="V142" s="28">
        <f>V137*_xlfn.XLOOKUP($L142,'Balizador da Meta'!$B$4:$B$21,'Balizador da Meta'!$C$4:$C$21)</f>
        <v>0</v>
      </c>
      <c r="W142" s="28">
        <f>W137*_xlfn.XLOOKUP($L142,'Balizador da Meta'!$B$4:$B$21,'Balizador da Meta'!$C$4:$C$21)</f>
        <v>0</v>
      </c>
      <c r="X142" s="28">
        <f>X137*_xlfn.XLOOKUP($L142,'Balizador da Meta'!$B$4:$B$21,'Balizador da Meta'!$C$4:$C$21)</f>
        <v>0</v>
      </c>
      <c r="Y142" s="28">
        <f>Y137*_xlfn.XLOOKUP($L142,'Balizador da Meta'!$B$4:$B$21,'Balizador da Meta'!$C$4:$C$21)</f>
        <v>0</v>
      </c>
      <c r="Z142" s="30">
        <f t="shared" si="38"/>
        <v>0</v>
      </c>
      <c r="AA142" s="29"/>
      <c r="AB142" s="31">
        <f>SUMIFS('Historico - FAT'!AK:AK,'Historico - FAT'!$K:$K,Faturamento!$L142,'Historico - FAT'!$I:$I,Faturamento!$J142,'Historico - FAT'!$G:$G,Faturamento!$H142)</f>
        <v>0</v>
      </c>
      <c r="AC142" s="31">
        <f>SUMIFS('Historico - FAT'!AL:AL,'Historico - FAT'!$K:$K,Faturamento!$L142,'Historico - FAT'!$I:$I,Faturamento!$J142,'Historico - FAT'!$G:$G,Faturamento!$H142)</f>
        <v>0</v>
      </c>
      <c r="AD142" s="31">
        <f>SUMIFS('Historico - FAT'!AM:AM,'Historico - FAT'!$K:$K,Faturamento!$L142,'Historico - FAT'!$I:$I,Faturamento!$J142,'Historico - FAT'!$G:$G,Faturamento!$H142)</f>
        <v>0</v>
      </c>
      <c r="AE142" s="27">
        <f>SUMIFS('Historico - FAT'!AN:AN,'Historico - FAT'!$K:$K,Faturamento!$L142,'Historico - FAT'!$I:$I,Faturamento!$J142,'Historico - FAT'!$G:$G,Faturamento!$H142)</f>
        <v>0</v>
      </c>
      <c r="AG142" s="24" t="str">
        <f t="shared" si="29"/>
        <v/>
      </c>
      <c r="AH142" s="24" t="str">
        <f t="shared" si="30"/>
        <v/>
      </c>
      <c r="AI142" s="24" t="str">
        <f t="shared" si="31"/>
        <v/>
      </c>
    </row>
    <row r="143" spans="1:35" hidden="1" x14ac:dyDescent="0.3">
      <c r="A143" s="2" t="str">
        <f t="shared" si="28"/>
        <v>NÃO</v>
      </c>
      <c r="B143" s="2">
        <v>1000184670</v>
      </c>
      <c r="C143" s="2" t="s">
        <v>147</v>
      </c>
      <c r="D143" s="4">
        <v>1000186197</v>
      </c>
      <c r="E143" s="4" t="s">
        <v>166</v>
      </c>
      <c r="F143" s="2">
        <v>1000198600</v>
      </c>
      <c r="G143" s="2" t="s">
        <v>148</v>
      </c>
      <c r="H143" s="4">
        <v>1000198601</v>
      </c>
      <c r="I143" s="4" t="s">
        <v>149</v>
      </c>
      <c r="J143" s="2">
        <v>1000190599</v>
      </c>
      <c r="K143" s="2" t="s">
        <v>140</v>
      </c>
      <c r="L143" s="4" t="s">
        <v>19</v>
      </c>
      <c r="M143" s="4" t="str">
        <f t="shared" si="35"/>
        <v>1000184670100018619710001986011000190599GELEIA</v>
      </c>
      <c r="N143" s="28">
        <f>N137*_xlfn.XLOOKUP($L143,'Balizador da Meta'!$B$4:$B$21,'Balizador da Meta'!$C$4:$C$21)</f>
        <v>0</v>
      </c>
      <c r="O143" s="28">
        <f>O137*_xlfn.XLOOKUP($L143,'Balizador da Meta'!$B$4:$B$21,'Balizador da Meta'!$C$4:$C$21)</f>
        <v>29.999999999999996</v>
      </c>
      <c r="P143" s="28">
        <f>P137*_xlfn.XLOOKUP($L143,'Balizador da Meta'!$B$4:$B$21,'Balizador da Meta'!$C$4:$C$21)</f>
        <v>29.999999999999996</v>
      </c>
      <c r="Q143" s="28">
        <f>Q137*_xlfn.XLOOKUP($L143,'Balizador da Meta'!$B$4:$B$21,'Balizador da Meta'!$C$4:$C$21)</f>
        <v>29.999999999999996</v>
      </c>
      <c r="R143" s="28">
        <f>R137*_xlfn.XLOOKUP($L143,'Balizador da Meta'!$B$4:$B$21,'Balizador da Meta'!$C$4:$C$21)</f>
        <v>59.999999999999993</v>
      </c>
      <c r="S143" s="28">
        <f>S137*_xlfn.XLOOKUP($L143,'Balizador da Meta'!$B$4:$B$21,'Balizador da Meta'!$C$4:$C$21)</f>
        <v>59.999999999999993</v>
      </c>
      <c r="T143" s="28">
        <f>T137*_xlfn.XLOOKUP($L143,'Balizador da Meta'!$B$4:$B$21,'Balizador da Meta'!$C$4:$C$21)</f>
        <v>59.999999999999993</v>
      </c>
      <c r="U143" s="28">
        <f>U137*_xlfn.XLOOKUP($L143,'Balizador da Meta'!$B$4:$B$21,'Balizador da Meta'!$C$4:$C$21)</f>
        <v>59.999999999999993</v>
      </c>
      <c r="V143" s="28">
        <f>V137*_xlfn.XLOOKUP($L143,'Balizador da Meta'!$B$4:$B$21,'Balizador da Meta'!$C$4:$C$21)</f>
        <v>89.999999999999986</v>
      </c>
      <c r="W143" s="28">
        <f>W137*_xlfn.XLOOKUP($L143,'Balizador da Meta'!$B$4:$B$21,'Balizador da Meta'!$C$4:$C$21)</f>
        <v>89.999999999999986</v>
      </c>
      <c r="X143" s="28">
        <f>X137*_xlfn.XLOOKUP($L143,'Balizador da Meta'!$B$4:$B$21,'Balizador da Meta'!$C$4:$C$21)</f>
        <v>89.999999999999986</v>
      </c>
      <c r="Y143" s="28">
        <f>Y137*_xlfn.XLOOKUP($L143,'Balizador da Meta'!$B$4:$B$21,'Balizador da Meta'!$C$4:$C$21)</f>
        <v>119.99999999999999</v>
      </c>
      <c r="Z143" s="30">
        <f t="shared" si="38"/>
        <v>719.99999999999989</v>
      </c>
      <c r="AA143" s="29"/>
      <c r="AB143" s="31">
        <f>SUMIFS('Historico - FAT'!AK:AK,'Historico - FAT'!$K:$K,Faturamento!$L143,'Historico - FAT'!$I:$I,Faturamento!$J143,'Historico - FAT'!$G:$G,Faturamento!$H143)</f>
        <v>0</v>
      </c>
      <c r="AC143" s="31">
        <f>SUMIFS('Historico - FAT'!AL:AL,'Historico - FAT'!$K:$K,Faturamento!$L143,'Historico - FAT'!$I:$I,Faturamento!$J143,'Historico - FAT'!$G:$G,Faturamento!$H143)</f>
        <v>0</v>
      </c>
      <c r="AD143" s="31">
        <f>SUMIFS('Historico - FAT'!AM:AM,'Historico - FAT'!$K:$K,Faturamento!$L143,'Historico - FAT'!$I:$I,Faturamento!$J143,'Historico - FAT'!$G:$G,Faturamento!$H143)</f>
        <v>0</v>
      </c>
      <c r="AE143" s="27">
        <f>SUMIFS('Historico - FAT'!AN:AN,'Historico - FAT'!$K:$K,Faturamento!$L143,'Historico - FAT'!$I:$I,Faturamento!$J143,'Historico - FAT'!$G:$G,Faturamento!$H143)</f>
        <v>0</v>
      </c>
      <c r="AG143" s="24">
        <f t="shared" si="29"/>
        <v>1</v>
      </c>
      <c r="AH143" s="24">
        <f t="shared" si="30"/>
        <v>1</v>
      </c>
      <c r="AI143" s="24">
        <f t="shared" si="31"/>
        <v>1</v>
      </c>
    </row>
    <row r="144" spans="1:35" hidden="1" x14ac:dyDescent="0.3">
      <c r="A144" s="2" t="str">
        <f t="shared" si="28"/>
        <v>NÃO</v>
      </c>
      <c r="B144" s="2">
        <v>1000184670</v>
      </c>
      <c r="C144" s="2" t="s">
        <v>147</v>
      </c>
      <c r="D144" s="4">
        <v>1000186197</v>
      </c>
      <c r="E144" s="4" t="s">
        <v>166</v>
      </c>
      <c r="F144" s="2">
        <v>1000198600</v>
      </c>
      <c r="G144" s="2" t="s">
        <v>148</v>
      </c>
      <c r="H144" s="4">
        <v>1000198601</v>
      </c>
      <c r="I144" s="4" t="s">
        <v>149</v>
      </c>
      <c r="J144" s="2">
        <v>1000190599</v>
      </c>
      <c r="K144" s="2" t="s">
        <v>140</v>
      </c>
      <c r="L144" s="4" t="s">
        <v>17</v>
      </c>
      <c r="M144" s="4" t="str">
        <f t="shared" si="35"/>
        <v>1000184670100018619710001986011000190599GRANOLA</v>
      </c>
      <c r="N144" s="28">
        <f>N137*_xlfn.XLOOKUP($L144,'Balizador da Meta'!$B$4:$B$21,'Balizador da Meta'!$C$4:$C$21)</f>
        <v>0</v>
      </c>
      <c r="O144" s="28">
        <f>O137*_xlfn.XLOOKUP($L144,'Balizador da Meta'!$B$4:$B$21,'Balizador da Meta'!$C$4:$C$21)</f>
        <v>30</v>
      </c>
      <c r="P144" s="28">
        <f>P137*_xlfn.XLOOKUP($L144,'Balizador da Meta'!$B$4:$B$21,'Balizador da Meta'!$C$4:$C$21)</f>
        <v>30</v>
      </c>
      <c r="Q144" s="28">
        <f>Q137*_xlfn.XLOOKUP($L144,'Balizador da Meta'!$B$4:$B$21,'Balizador da Meta'!$C$4:$C$21)</f>
        <v>30</v>
      </c>
      <c r="R144" s="28">
        <f>R137*_xlfn.XLOOKUP($L144,'Balizador da Meta'!$B$4:$B$21,'Balizador da Meta'!$C$4:$C$21)</f>
        <v>60</v>
      </c>
      <c r="S144" s="28">
        <f>S137*_xlfn.XLOOKUP($L144,'Balizador da Meta'!$B$4:$B$21,'Balizador da Meta'!$C$4:$C$21)</f>
        <v>60</v>
      </c>
      <c r="T144" s="28">
        <f>T137*_xlfn.XLOOKUP($L144,'Balizador da Meta'!$B$4:$B$21,'Balizador da Meta'!$C$4:$C$21)</f>
        <v>60</v>
      </c>
      <c r="U144" s="28">
        <f>U137*_xlfn.XLOOKUP($L144,'Balizador da Meta'!$B$4:$B$21,'Balizador da Meta'!$C$4:$C$21)</f>
        <v>60</v>
      </c>
      <c r="V144" s="28">
        <f>V137*_xlfn.XLOOKUP($L144,'Balizador da Meta'!$B$4:$B$21,'Balizador da Meta'!$C$4:$C$21)</f>
        <v>90</v>
      </c>
      <c r="W144" s="28">
        <f>W137*_xlfn.XLOOKUP($L144,'Balizador da Meta'!$B$4:$B$21,'Balizador da Meta'!$C$4:$C$21)</f>
        <v>90</v>
      </c>
      <c r="X144" s="28">
        <f>X137*_xlfn.XLOOKUP($L144,'Balizador da Meta'!$B$4:$B$21,'Balizador da Meta'!$C$4:$C$21)</f>
        <v>90</v>
      </c>
      <c r="Y144" s="28">
        <f>Y137*_xlfn.XLOOKUP($L144,'Balizador da Meta'!$B$4:$B$21,'Balizador da Meta'!$C$4:$C$21)</f>
        <v>120</v>
      </c>
      <c r="Z144" s="30">
        <f t="shared" si="38"/>
        <v>720</v>
      </c>
      <c r="AA144" s="29"/>
      <c r="AB144" s="31">
        <f>SUMIFS('Historico - FAT'!AK:AK,'Historico - FAT'!$K:$K,Faturamento!$L144,'Historico - FAT'!$I:$I,Faturamento!$J144,'Historico - FAT'!$G:$G,Faturamento!$H144)</f>
        <v>0</v>
      </c>
      <c r="AC144" s="31">
        <f>SUMIFS('Historico - FAT'!AL:AL,'Historico - FAT'!$K:$K,Faturamento!$L144,'Historico - FAT'!$I:$I,Faturamento!$J144,'Historico - FAT'!$G:$G,Faturamento!$H144)</f>
        <v>0</v>
      </c>
      <c r="AD144" s="31">
        <f>SUMIFS('Historico - FAT'!AM:AM,'Historico - FAT'!$K:$K,Faturamento!$L144,'Historico - FAT'!$I:$I,Faturamento!$J144,'Historico - FAT'!$G:$G,Faturamento!$H144)</f>
        <v>0</v>
      </c>
      <c r="AE144" s="27">
        <f>SUMIFS('Historico - FAT'!AN:AN,'Historico - FAT'!$K:$K,Faturamento!$L144,'Historico - FAT'!$I:$I,Faturamento!$J144,'Historico - FAT'!$G:$G,Faturamento!$H144)</f>
        <v>0</v>
      </c>
      <c r="AG144" s="24">
        <f t="shared" si="29"/>
        <v>1</v>
      </c>
      <c r="AH144" s="24">
        <f t="shared" si="30"/>
        <v>1</v>
      </c>
      <c r="AI144" s="24">
        <f t="shared" si="31"/>
        <v>1</v>
      </c>
    </row>
    <row r="145" spans="1:35" hidden="1" x14ac:dyDescent="0.3">
      <c r="A145" s="2" t="str">
        <f t="shared" si="28"/>
        <v>NÃO</v>
      </c>
      <c r="B145" s="2">
        <v>1000184670</v>
      </c>
      <c r="C145" s="2" t="s">
        <v>147</v>
      </c>
      <c r="D145" s="4">
        <v>1000186197</v>
      </c>
      <c r="E145" s="4" t="s">
        <v>166</v>
      </c>
      <c r="F145" s="2">
        <v>1000198600</v>
      </c>
      <c r="G145" s="2" t="s">
        <v>148</v>
      </c>
      <c r="H145" s="4">
        <v>1000198601</v>
      </c>
      <c r="I145" s="4" t="s">
        <v>149</v>
      </c>
      <c r="J145" s="2">
        <v>1000190599</v>
      </c>
      <c r="K145" s="2" t="s">
        <v>140</v>
      </c>
      <c r="L145" s="4" t="s">
        <v>24</v>
      </c>
      <c r="M145" s="4" t="str">
        <f t="shared" si="35"/>
        <v>1000184670100018619710001986011000190599KIDS</v>
      </c>
      <c r="N145" s="28">
        <f>N137*_xlfn.XLOOKUP($L145,'Balizador da Meta'!$B$4:$B$21,'Balizador da Meta'!$C$4:$C$21)</f>
        <v>0</v>
      </c>
      <c r="O145" s="28">
        <f>O137*_xlfn.XLOOKUP($L145,'Balizador da Meta'!$B$4:$B$21,'Balizador da Meta'!$C$4:$C$21)</f>
        <v>0</v>
      </c>
      <c r="P145" s="28">
        <f>P137*_xlfn.XLOOKUP($L145,'Balizador da Meta'!$B$4:$B$21,'Balizador da Meta'!$C$4:$C$21)</f>
        <v>0</v>
      </c>
      <c r="Q145" s="28">
        <f>Q137*_xlfn.XLOOKUP($L145,'Balizador da Meta'!$B$4:$B$21,'Balizador da Meta'!$C$4:$C$21)</f>
        <v>0</v>
      </c>
      <c r="R145" s="28">
        <f>R137*_xlfn.XLOOKUP($L145,'Balizador da Meta'!$B$4:$B$21,'Balizador da Meta'!$C$4:$C$21)</f>
        <v>0</v>
      </c>
      <c r="S145" s="28">
        <f>S137*_xlfn.XLOOKUP($L145,'Balizador da Meta'!$B$4:$B$21,'Balizador da Meta'!$C$4:$C$21)</f>
        <v>0</v>
      </c>
      <c r="T145" s="28">
        <f>T137*_xlfn.XLOOKUP($L145,'Balizador da Meta'!$B$4:$B$21,'Balizador da Meta'!$C$4:$C$21)</f>
        <v>0</v>
      </c>
      <c r="U145" s="28">
        <f>U137*_xlfn.XLOOKUP($L145,'Balizador da Meta'!$B$4:$B$21,'Balizador da Meta'!$C$4:$C$21)</f>
        <v>0</v>
      </c>
      <c r="V145" s="28">
        <f>V137*_xlfn.XLOOKUP($L145,'Balizador da Meta'!$B$4:$B$21,'Balizador da Meta'!$C$4:$C$21)</f>
        <v>0</v>
      </c>
      <c r="W145" s="28">
        <f>W137*_xlfn.XLOOKUP($L145,'Balizador da Meta'!$B$4:$B$21,'Balizador da Meta'!$C$4:$C$21)</f>
        <v>0</v>
      </c>
      <c r="X145" s="28">
        <f>X137*_xlfn.XLOOKUP($L145,'Balizador da Meta'!$B$4:$B$21,'Balizador da Meta'!$C$4:$C$21)</f>
        <v>0</v>
      </c>
      <c r="Y145" s="28">
        <f>Y137*_xlfn.XLOOKUP($L145,'Balizador da Meta'!$B$4:$B$21,'Balizador da Meta'!$C$4:$C$21)</f>
        <v>0</v>
      </c>
      <c r="Z145" s="30">
        <f t="shared" si="38"/>
        <v>0</v>
      </c>
      <c r="AA145" s="29"/>
      <c r="AB145" s="31">
        <f>SUMIFS('Historico - FAT'!AK:AK,'Historico - FAT'!$K:$K,Faturamento!$L145,'Historico - FAT'!$I:$I,Faturamento!$J145,'Historico - FAT'!$G:$G,Faturamento!$H145)</f>
        <v>0</v>
      </c>
      <c r="AC145" s="31">
        <f>SUMIFS('Historico - FAT'!AL:AL,'Historico - FAT'!$K:$K,Faturamento!$L145,'Historico - FAT'!$I:$I,Faturamento!$J145,'Historico - FAT'!$G:$G,Faturamento!$H145)</f>
        <v>0</v>
      </c>
      <c r="AD145" s="31">
        <f>SUMIFS('Historico - FAT'!AM:AM,'Historico - FAT'!$K:$K,Faturamento!$L145,'Historico - FAT'!$I:$I,Faturamento!$J145,'Historico - FAT'!$G:$G,Faturamento!$H145)</f>
        <v>0</v>
      </c>
      <c r="AE145" s="27">
        <f>SUMIFS('Historico - FAT'!AN:AN,'Historico - FAT'!$K:$K,Faturamento!$L145,'Historico - FAT'!$I:$I,Faturamento!$J145,'Historico - FAT'!$G:$G,Faturamento!$H145)</f>
        <v>0</v>
      </c>
      <c r="AG145" s="24" t="str">
        <f t="shared" si="29"/>
        <v/>
      </c>
      <c r="AH145" s="24" t="str">
        <f t="shared" si="30"/>
        <v/>
      </c>
      <c r="AI145" s="24" t="str">
        <f t="shared" si="31"/>
        <v/>
      </c>
    </row>
    <row r="146" spans="1:35" hidden="1" x14ac:dyDescent="0.3">
      <c r="A146" s="2" t="str">
        <f t="shared" si="28"/>
        <v>NÃO</v>
      </c>
      <c r="B146" s="2">
        <v>1000184670</v>
      </c>
      <c r="C146" s="2" t="s">
        <v>147</v>
      </c>
      <c r="D146" s="4">
        <v>1000186197</v>
      </c>
      <c r="E146" s="4" t="s">
        <v>166</v>
      </c>
      <c r="F146" s="2">
        <v>1000198600</v>
      </c>
      <c r="G146" s="2" t="s">
        <v>148</v>
      </c>
      <c r="H146" s="4">
        <v>1000198601</v>
      </c>
      <c r="I146" s="4" t="s">
        <v>149</v>
      </c>
      <c r="J146" s="2">
        <v>1000190599</v>
      </c>
      <c r="K146" s="2" t="s">
        <v>140</v>
      </c>
      <c r="L146" s="4" t="s">
        <v>18</v>
      </c>
      <c r="M146" s="4" t="str">
        <f t="shared" si="35"/>
        <v>1000184670100018619710001986011000190599LANCHES</v>
      </c>
      <c r="N146" s="28">
        <f>N137*_xlfn.XLOOKUP($L146,'Balizador da Meta'!$B$4:$B$21,'Balizador da Meta'!$C$4:$C$21)</f>
        <v>0</v>
      </c>
      <c r="O146" s="28">
        <f>O137*_xlfn.XLOOKUP($L146,'Balizador da Meta'!$B$4:$B$21,'Balizador da Meta'!$C$4:$C$21)</f>
        <v>15</v>
      </c>
      <c r="P146" s="28">
        <f>P137*_xlfn.XLOOKUP($L146,'Balizador da Meta'!$B$4:$B$21,'Balizador da Meta'!$C$4:$C$21)</f>
        <v>15</v>
      </c>
      <c r="Q146" s="28">
        <f>Q137*_xlfn.XLOOKUP($L146,'Balizador da Meta'!$B$4:$B$21,'Balizador da Meta'!$C$4:$C$21)</f>
        <v>15</v>
      </c>
      <c r="R146" s="28">
        <f>R137*_xlfn.XLOOKUP($L146,'Balizador da Meta'!$B$4:$B$21,'Balizador da Meta'!$C$4:$C$21)</f>
        <v>30</v>
      </c>
      <c r="S146" s="28">
        <f>S137*_xlfn.XLOOKUP($L146,'Balizador da Meta'!$B$4:$B$21,'Balizador da Meta'!$C$4:$C$21)</f>
        <v>30</v>
      </c>
      <c r="T146" s="28">
        <f>T137*_xlfn.XLOOKUP($L146,'Balizador da Meta'!$B$4:$B$21,'Balizador da Meta'!$C$4:$C$21)</f>
        <v>30</v>
      </c>
      <c r="U146" s="28">
        <f>U137*_xlfn.XLOOKUP($L146,'Balizador da Meta'!$B$4:$B$21,'Balizador da Meta'!$C$4:$C$21)</f>
        <v>30</v>
      </c>
      <c r="V146" s="28">
        <f>V137*_xlfn.XLOOKUP($L146,'Balizador da Meta'!$B$4:$B$21,'Balizador da Meta'!$C$4:$C$21)</f>
        <v>45</v>
      </c>
      <c r="W146" s="28">
        <f>W137*_xlfn.XLOOKUP($L146,'Balizador da Meta'!$B$4:$B$21,'Balizador da Meta'!$C$4:$C$21)</f>
        <v>45</v>
      </c>
      <c r="X146" s="28">
        <f>X137*_xlfn.XLOOKUP($L146,'Balizador da Meta'!$B$4:$B$21,'Balizador da Meta'!$C$4:$C$21)</f>
        <v>45</v>
      </c>
      <c r="Y146" s="28">
        <f>Y137*_xlfn.XLOOKUP($L146,'Balizador da Meta'!$B$4:$B$21,'Balizador da Meta'!$C$4:$C$21)</f>
        <v>60</v>
      </c>
      <c r="Z146" s="30">
        <f t="shared" si="38"/>
        <v>360</v>
      </c>
      <c r="AA146" s="29"/>
      <c r="AB146" s="31">
        <f>SUMIFS('Historico - FAT'!AK:AK,'Historico - FAT'!$K:$K,Faturamento!$L146,'Historico - FAT'!$I:$I,Faturamento!$J146,'Historico - FAT'!$G:$G,Faturamento!$H146)</f>
        <v>0</v>
      </c>
      <c r="AC146" s="31">
        <f>SUMIFS('Historico - FAT'!AL:AL,'Historico - FAT'!$K:$K,Faturamento!$L146,'Historico - FAT'!$I:$I,Faturamento!$J146,'Historico - FAT'!$G:$G,Faturamento!$H146)</f>
        <v>0</v>
      </c>
      <c r="AD146" s="31">
        <f>SUMIFS('Historico - FAT'!AM:AM,'Historico - FAT'!$K:$K,Faturamento!$L146,'Historico - FAT'!$I:$I,Faturamento!$J146,'Historico - FAT'!$G:$G,Faturamento!$H146)</f>
        <v>0</v>
      </c>
      <c r="AE146" s="27">
        <f>SUMIFS('Historico - FAT'!AN:AN,'Historico - FAT'!$K:$K,Faturamento!$L146,'Historico - FAT'!$I:$I,Faturamento!$J146,'Historico - FAT'!$G:$G,Faturamento!$H146)</f>
        <v>0</v>
      </c>
      <c r="AG146" s="24">
        <f t="shared" si="29"/>
        <v>1</v>
      </c>
      <c r="AH146" s="24">
        <f t="shared" si="30"/>
        <v>1</v>
      </c>
      <c r="AI146" s="24">
        <f t="shared" si="31"/>
        <v>1</v>
      </c>
    </row>
    <row r="147" spans="1:35" hidden="1" x14ac:dyDescent="0.3">
      <c r="A147" s="2" t="str">
        <f t="shared" si="28"/>
        <v>NÃO</v>
      </c>
      <c r="B147" s="2">
        <v>1000184670</v>
      </c>
      <c r="C147" s="2" t="s">
        <v>147</v>
      </c>
      <c r="D147" s="4">
        <v>1000186197</v>
      </c>
      <c r="E147" s="4" t="s">
        <v>166</v>
      </c>
      <c r="F147" s="2">
        <v>1000198600</v>
      </c>
      <c r="G147" s="2" t="s">
        <v>148</v>
      </c>
      <c r="H147" s="4">
        <v>1000198601</v>
      </c>
      <c r="I147" s="4" t="s">
        <v>149</v>
      </c>
      <c r="J147" s="2">
        <v>1000190599</v>
      </c>
      <c r="K147" s="2" t="s">
        <v>140</v>
      </c>
      <c r="L147" s="4" t="s">
        <v>29</v>
      </c>
      <c r="M147" s="4" t="str">
        <f t="shared" si="35"/>
        <v>1000184670100018619710001986011000190599MAIS GRANEL</v>
      </c>
      <c r="N147" s="28">
        <f>N137*_xlfn.XLOOKUP($L147,'Balizador da Meta'!$B$4:$B$21,'Balizador da Meta'!$C$4:$C$21)</f>
        <v>0</v>
      </c>
      <c r="O147" s="28">
        <f>O137*_xlfn.XLOOKUP($L147,'Balizador da Meta'!$B$4:$B$21,'Balizador da Meta'!$C$4:$C$21)</f>
        <v>480</v>
      </c>
      <c r="P147" s="28">
        <f>P137*_xlfn.XLOOKUP($L147,'Balizador da Meta'!$B$4:$B$21,'Balizador da Meta'!$C$4:$C$21)</f>
        <v>480</v>
      </c>
      <c r="Q147" s="28">
        <f>Q137*_xlfn.XLOOKUP($L147,'Balizador da Meta'!$B$4:$B$21,'Balizador da Meta'!$C$4:$C$21)</f>
        <v>480</v>
      </c>
      <c r="R147" s="28">
        <f>R137*_xlfn.XLOOKUP($L147,'Balizador da Meta'!$B$4:$B$21,'Balizador da Meta'!$C$4:$C$21)</f>
        <v>960</v>
      </c>
      <c r="S147" s="28">
        <f>S137*_xlfn.XLOOKUP($L147,'Balizador da Meta'!$B$4:$B$21,'Balizador da Meta'!$C$4:$C$21)</f>
        <v>960</v>
      </c>
      <c r="T147" s="28">
        <f>T137*_xlfn.XLOOKUP($L147,'Balizador da Meta'!$B$4:$B$21,'Balizador da Meta'!$C$4:$C$21)</f>
        <v>960</v>
      </c>
      <c r="U147" s="28">
        <f>U137*_xlfn.XLOOKUP($L147,'Balizador da Meta'!$B$4:$B$21,'Balizador da Meta'!$C$4:$C$21)</f>
        <v>960</v>
      </c>
      <c r="V147" s="28">
        <f>V137*_xlfn.XLOOKUP($L147,'Balizador da Meta'!$B$4:$B$21,'Balizador da Meta'!$C$4:$C$21)</f>
        <v>1440</v>
      </c>
      <c r="W147" s="28">
        <f>W137*_xlfn.XLOOKUP($L147,'Balizador da Meta'!$B$4:$B$21,'Balizador da Meta'!$C$4:$C$21)</f>
        <v>1440</v>
      </c>
      <c r="X147" s="28">
        <f>X137*_xlfn.XLOOKUP($L147,'Balizador da Meta'!$B$4:$B$21,'Balizador da Meta'!$C$4:$C$21)</f>
        <v>1440</v>
      </c>
      <c r="Y147" s="28">
        <f>Y137*_xlfn.XLOOKUP($L147,'Balizador da Meta'!$B$4:$B$21,'Balizador da Meta'!$C$4:$C$21)</f>
        <v>1920</v>
      </c>
      <c r="Z147" s="30">
        <f t="shared" si="38"/>
        <v>11520</v>
      </c>
      <c r="AA147" s="29"/>
      <c r="AB147" s="31">
        <f>SUMIFS('Historico - FAT'!AK:AK,'Historico - FAT'!$K:$K,Faturamento!$L147,'Historico - FAT'!$I:$I,Faturamento!$J147,'Historico - FAT'!$G:$G,Faturamento!$H147)</f>
        <v>0</v>
      </c>
      <c r="AC147" s="31">
        <f>SUMIFS('Historico - FAT'!AL:AL,'Historico - FAT'!$K:$K,Faturamento!$L147,'Historico - FAT'!$I:$I,Faturamento!$J147,'Historico - FAT'!$G:$G,Faturamento!$H147)</f>
        <v>0</v>
      </c>
      <c r="AD147" s="31">
        <f>SUMIFS('Historico - FAT'!AM:AM,'Historico - FAT'!$K:$K,Faturamento!$L147,'Historico - FAT'!$I:$I,Faturamento!$J147,'Historico - FAT'!$G:$G,Faturamento!$H147)</f>
        <v>0</v>
      </c>
      <c r="AE147" s="27">
        <f>SUMIFS('Historico - FAT'!AN:AN,'Historico - FAT'!$K:$K,Faturamento!$L147,'Historico - FAT'!$I:$I,Faturamento!$J147,'Historico - FAT'!$G:$G,Faturamento!$H147)</f>
        <v>0</v>
      </c>
      <c r="AG147" s="24">
        <f t="shared" si="29"/>
        <v>1</v>
      </c>
      <c r="AH147" s="24">
        <f t="shared" si="30"/>
        <v>1</v>
      </c>
      <c r="AI147" s="24">
        <f t="shared" si="31"/>
        <v>1</v>
      </c>
    </row>
    <row r="148" spans="1:35" hidden="1" x14ac:dyDescent="0.3">
      <c r="A148" s="2" t="str">
        <f t="shared" si="28"/>
        <v>NÃO</v>
      </c>
      <c r="B148" s="2">
        <v>1000184670</v>
      </c>
      <c r="C148" s="2" t="s">
        <v>147</v>
      </c>
      <c r="D148" s="4">
        <v>1000186197</v>
      </c>
      <c r="E148" s="4" t="s">
        <v>166</v>
      </c>
      <c r="F148" s="2">
        <v>1000198600</v>
      </c>
      <c r="G148" s="2" t="s">
        <v>148</v>
      </c>
      <c r="H148" s="4">
        <v>1000198601</v>
      </c>
      <c r="I148" s="4" t="s">
        <v>149</v>
      </c>
      <c r="J148" s="2">
        <v>1000190599</v>
      </c>
      <c r="K148" s="2" t="s">
        <v>140</v>
      </c>
      <c r="L148" s="4" t="s">
        <v>21</v>
      </c>
      <c r="M148" s="4" t="str">
        <f t="shared" si="35"/>
        <v>1000184670100018619710001986011000190599NATURATTA</v>
      </c>
      <c r="N148" s="28">
        <f>N137*_xlfn.XLOOKUP($L148,'Balizador da Meta'!$B$4:$B$21,'Balizador da Meta'!$C$4:$C$21)</f>
        <v>0</v>
      </c>
      <c r="O148" s="28">
        <f>O137*_xlfn.XLOOKUP($L148,'Balizador da Meta'!$B$4:$B$21,'Balizador da Meta'!$C$4:$C$21)</f>
        <v>75</v>
      </c>
      <c r="P148" s="28">
        <f>P137*_xlfn.XLOOKUP($L148,'Balizador da Meta'!$B$4:$B$21,'Balizador da Meta'!$C$4:$C$21)</f>
        <v>75</v>
      </c>
      <c r="Q148" s="28">
        <f>Q137*_xlfn.XLOOKUP($L148,'Balizador da Meta'!$B$4:$B$21,'Balizador da Meta'!$C$4:$C$21)</f>
        <v>75</v>
      </c>
      <c r="R148" s="28">
        <f>R137*_xlfn.XLOOKUP($L148,'Balizador da Meta'!$B$4:$B$21,'Balizador da Meta'!$C$4:$C$21)</f>
        <v>150</v>
      </c>
      <c r="S148" s="28">
        <f>S137*_xlfn.XLOOKUP($L148,'Balizador da Meta'!$B$4:$B$21,'Balizador da Meta'!$C$4:$C$21)</f>
        <v>150</v>
      </c>
      <c r="T148" s="28">
        <f>T137*_xlfn.XLOOKUP($L148,'Balizador da Meta'!$B$4:$B$21,'Balizador da Meta'!$C$4:$C$21)</f>
        <v>150</v>
      </c>
      <c r="U148" s="28">
        <f>U137*_xlfn.XLOOKUP($L148,'Balizador da Meta'!$B$4:$B$21,'Balizador da Meta'!$C$4:$C$21)</f>
        <v>150</v>
      </c>
      <c r="V148" s="28">
        <f>V137*_xlfn.XLOOKUP($L148,'Balizador da Meta'!$B$4:$B$21,'Balizador da Meta'!$C$4:$C$21)</f>
        <v>225</v>
      </c>
      <c r="W148" s="28">
        <f>W137*_xlfn.XLOOKUP($L148,'Balizador da Meta'!$B$4:$B$21,'Balizador da Meta'!$C$4:$C$21)</f>
        <v>225</v>
      </c>
      <c r="X148" s="28">
        <f>X137*_xlfn.XLOOKUP($L148,'Balizador da Meta'!$B$4:$B$21,'Balizador da Meta'!$C$4:$C$21)</f>
        <v>225</v>
      </c>
      <c r="Y148" s="28">
        <f>Y137*_xlfn.XLOOKUP($L148,'Balizador da Meta'!$B$4:$B$21,'Balizador da Meta'!$C$4:$C$21)</f>
        <v>300</v>
      </c>
      <c r="Z148" s="30">
        <f t="shared" si="38"/>
        <v>1800</v>
      </c>
      <c r="AA148" s="29"/>
      <c r="AB148" s="31">
        <f>SUMIFS('Historico - FAT'!AK:AK,'Historico - FAT'!$K:$K,Faturamento!$L148,'Historico - FAT'!$I:$I,Faturamento!$J148,'Historico - FAT'!$G:$G,Faturamento!$H148)</f>
        <v>0</v>
      </c>
      <c r="AC148" s="31">
        <f>SUMIFS('Historico - FAT'!AL:AL,'Historico - FAT'!$K:$K,Faturamento!$L148,'Historico - FAT'!$I:$I,Faturamento!$J148,'Historico - FAT'!$G:$G,Faturamento!$H148)</f>
        <v>0</v>
      </c>
      <c r="AD148" s="31">
        <f>SUMIFS('Historico - FAT'!AM:AM,'Historico - FAT'!$K:$K,Faturamento!$L148,'Historico - FAT'!$I:$I,Faturamento!$J148,'Historico - FAT'!$G:$G,Faturamento!$H148)</f>
        <v>0</v>
      </c>
      <c r="AE148" s="27">
        <f>SUMIFS('Historico - FAT'!AN:AN,'Historico - FAT'!$K:$K,Faturamento!$L148,'Historico - FAT'!$I:$I,Faturamento!$J148,'Historico - FAT'!$G:$G,Faturamento!$H148)</f>
        <v>0</v>
      </c>
      <c r="AG148" s="24">
        <f t="shared" si="29"/>
        <v>1</v>
      </c>
      <c r="AH148" s="24">
        <f t="shared" si="30"/>
        <v>1</v>
      </c>
      <c r="AI148" s="24">
        <f t="shared" si="31"/>
        <v>1</v>
      </c>
    </row>
    <row r="149" spans="1:35" hidden="1" x14ac:dyDescent="0.3">
      <c r="A149" s="2" t="str">
        <f t="shared" si="28"/>
        <v>NÃO</v>
      </c>
      <c r="B149" s="2">
        <v>1000184670</v>
      </c>
      <c r="C149" s="2" t="s">
        <v>147</v>
      </c>
      <c r="D149" s="4">
        <v>1000186197</v>
      </c>
      <c r="E149" s="4" t="s">
        <v>166</v>
      </c>
      <c r="F149" s="2">
        <v>1000198600</v>
      </c>
      <c r="G149" s="2" t="s">
        <v>148</v>
      </c>
      <c r="H149" s="4">
        <v>1000198601</v>
      </c>
      <c r="I149" s="4" t="s">
        <v>149</v>
      </c>
      <c r="J149" s="2">
        <v>1000190599</v>
      </c>
      <c r="K149" s="2" t="s">
        <v>140</v>
      </c>
      <c r="L149" s="4" t="s">
        <v>20</v>
      </c>
      <c r="M149" s="4" t="str">
        <f t="shared" si="35"/>
        <v>1000184670100018619710001986011000190599REEMBALADOS</v>
      </c>
      <c r="N149" s="28">
        <f>N137*_xlfn.XLOOKUP($L149,'Balizador da Meta'!$B$4:$B$21,'Balizador da Meta'!$C$4:$C$21)</f>
        <v>0</v>
      </c>
      <c r="O149" s="28">
        <f>O137*_xlfn.XLOOKUP($L149,'Balizador da Meta'!$B$4:$B$21,'Balizador da Meta'!$C$4:$C$21)</f>
        <v>60</v>
      </c>
      <c r="P149" s="28">
        <f>P137*_xlfn.XLOOKUP($L149,'Balizador da Meta'!$B$4:$B$21,'Balizador da Meta'!$C$4:$C$21)</f>
        <v>60</v>
      </c>
      <c r="Q149" s="28">
        <f>Q137*_xlfn.XLOOKUP($L149,'Balizador da Meta'!$B$4:$B$21,'Balizador da Meta'!$C$4:$C$21)</f>
        <v>60</v>
      </c>
      <c r="R149" s="28">
        <f>R137*_xlfn.XLOOKUP($L149,'Balizador da Meta'!$B$4:$B$21,'Balizador da Meta'!$C$4:$C$21)</f>
        <v>120</v>
      </c>
      <c r="S149" s="28">
        <f>S137*_xlfn.XLOOKUP($L149,'Balizador da Meta'!$B$4:$B$21,'Balizador da Meta'!$C$4:$C$21)</f>
        <v>120</v>
      </c>
      <c r="T149" s="28">
        <f>T137*_xlfn.XLOOKUP($L149,'Balizador da Meta'!$B$4:$B$21,'Balizador da Meta'!$C$4:$C$21)</f>
        <v>120</v>
      </c>
      <c r="U149" s="28">
        <f>U137*_xlfn.XLOOKUP($L149,'Balizador da Meta'!$B$4:$B$21,'Balizador da Meta'!$C$4:$C$21)</f>
        <v>120</v>
      </c>
      <c r="V149" s="28">
        <f>V137*_xlfn.XLOOKUP($L149,'Balizador da Meta'!$B$4:$B$21,'Balizador da Meta'!$C$4:$C$21)</f>
        <v>180</v>
      </c>
      <c r="W149" s="28">
        <f>W137*_xlfn.XLOOKUP($L149,'Balizador da Meta'!$B$4:$B$21,'Balizador da Meta'!$C$4:$C$21)</f>
        <v>180</v>
      </c>
      <c r="X149" s="28">
        <f>X137*_xlfn.XLOOKUP($L149,'Balizador da Meta'!$B$4:$B$21,'Balizador da Meta'!$C$4:$C$21)</f>
        <v>180</v>
      </c>
      <c r="Y149" s="28">
        <f>Y137*_xlfn.XLOOKUP($L149,'Balizador da Meta'!$B$4:$B$21,'Balizador da Meta'!$C$4:$C$21)</f>
        <v>240</v>
      </c>
      <c r="Z149" s="30">
        <f t="shared" si="38"/>
        <v>1440</v>
      </c>
      <c r="AA149" s="29"/>
      <c r="AB149" s="31">
        <f>SUMIFS('Historico - FAT'!AK:AK,'Historico - FAT'!$K:$K,Faturamento!$L149,'Historico - FAT'!$I:$I,Faturamento!$J149,'Historico - FAT'!$G:$G,Faturamento!$H149)</f>
        <v>0</v>
      </c>
      <c r="AC149" s="31">
        <f>SUMIFS('Historico - FAT'!AL:AL,'Historico - FAT'!$K:$K,Faturamento!$L149,'Historico - FAT'!$I:$I,Faturamento!$J149,'Historico - FAT'!$G:$G,Faturamento!$H149)</f>
        <v>0</v>
      </c>
      <c r="AD149" s="31">
        <f>SUMIFS('Historico - FAT'!AM:AM,'Historico - FAT'!$K:$K,Faturamento!$L149,'Historico - FAT'!$I:$I,Faturamento!$J149,'Historico - FAT'!$G:$G,Faturamento!$H149)</f>
        <v>0</v>
      </c>
      <c r="AE149" s="27">
        <f>SUMIFS('Historico - FAT'!AN:AN,'Historico - FAT'!$K:$K,Faturamento!$L149,'Historico - FAT'!$I:$I,Faturamento!$J149,'Historico - FAT'!$G:$G,Faturamento!$H149)</f>
        <v>0</v>
      </c>
      <c r="AG149" s="24">
        <f t="shared" si="29"/>
        <v>1</v>
      </c>
      <c r="AH149" s="24">
        <f t="shared" si="30"/>
        <v>1</v>
      </c>
      <c r="AI149" s="24">
        <f t="shared" si="31"/>
        <v>1</v>
      </c>
    </row>
    <row r="150" spans="1:35" hidden="1" x14ac:dyDescent="0.3">
      <c r="A150" s="2" t="str">
        <f t="shared" si="28"/>
        <v>NÃO</v>
      </c>
      <c r="B150" s="2">
        <v>1000184670</v>
      </c>
      <c r="C150" s="2" t="s">
        <v>147</v>
      </c>
      <c r="D150" s="4">
        <v>1000186197</v>
      </c>
      <c r="E150" s="4" t="s">
        <v>166</v>
      </c>
      <c r="F150" s="2">
        <v>1000198600</v>
      </c>
      <c r="G150" s="2" t="s">
        <v>148</v>
      </c>
      <c r="H150" s="4">
        <v>1000198601</v>
      </c>
      <c r="I150" s="4" t="s">
        <v>149</v>
      </c>
      <c r="J150" s="2">
        <v>1000190599</v>
      </c>
      <c r="K150" s="2" t="s">
        <v>140</v>
      </c>
      <c r="L150" s="4" t="s">
        <v>22</v>
      </c>
      <c r="M150" s="4" t="str">
        <f t="shared" si="35"/>
        <v>1000184670100018619710001986011000190599S GLUTEN</v>
      </c>
      <c r="N150" s="28">
        <f>N137*_xlfn.XLOOKUP($L150,'Balizador da Meta'!$B$4:$B$21,'Balizador da Meta'!$C$4:$C$21)</f>
        <v>0</v>
      </c>
      <c r="O150" s="28">
        <f>O137*_xlfn.XLOOKUP($L150,'Balizador da Meta'!$B$4:$B$21,'Balizador da Meta'!$C$4:$C$21)</f>
        <v>60</v>
      </c>
      <c r="P150" s="28">
        <f>P137*_xlfn.XLOOKUP($L150,'Balizador da Meta'!$B$4:$B$21,'Balizador da Meta'!$C$4:$C$21)</f>
        <v>60</v>
      </c>
      <c r="Q150" s="28">
        <f>Q137*_xlfn.XLOOKUP($L150,'Balizador da Meta'!$B$4:$B$21,'Balizador da Meta'!$C$4:$C$21)</f>
        <v>60</v>
      </c>
      <c r="R150" s="28">
        <f>R137*_xlfn.XLOOKUP($L150,'Balizador da Meta'!$B$4:$B$21,'Balizador da Meta'!$C$4:$C$21)</f>
        <v>120</v>
      </c>
      <c r="S150" s="28">
        <f>S137*_xlfn.XLOOKUP($L150,'Balizador da Meta'!$B$4:$B$21,'Balizador da Meta'!$C$4:$C$21)</f>
        <v>120</v>
      </c>
      <c r="T150" s="28">
        <f>T137*_xlfn.XLOOKUP($L150,'Balizador da Meta'!$B$4:$B$21,'Balizador da Meta'!$C$4:$C$21)</f>
        <v>120</v>
      </c>
      <c r="U150" s="28">
        <f>U137*_xlfn.XLOOKUP($L150,'Balizador da Meta'!$B$4:$B$21,'Balizador da Meta'!$C$4:$C$21)</f>
        <v>120</v>
      </c>
      <c r="V150" s="28">
        <f>V137*_xlfn.XLOOKUP($L150,'Balizador da Meta'!$B$4:$B$21,'Balizador da Meta'!$C$4:$C$21)</f>
        <v>180</v>
      </c>
      <c r="W150" s="28">
        <f>W137*_xlfn.XLOOKUP($L150,'Balizador da Meta'!$B$4:$B$21,'Balizador da Meta'!$C$4:$C$21)</f>
        <v>180</v>
      </c>
      <c r="X150" s="28">
        <f>X137*_xlfn.XLOOKUP($L150,'Balizador da Meta'!$B$4:$B$21,'Balizador da Meta'!$C$4:$C$21)</f>
        <v>180</v>
      </c>
      <c r="Y150" s="28">
        <f>Y137*_xlfn.XLOOKUP($L150,'Balizador da Meta'!$B$4:$B$21,'Balizador da Meta'!$C$4:$C$21)</f>
        <v>240</v>
      </c>
      <c r="Z150" s="30">
        <f t="shared" si="38"/>
        <v>1440</v>
      </c>
      <c r="AA150" s="29"/>
      <c r="AB150" s="31">
        <f>SUMIFS('Historico - FAT'!AK:AK,'Historico - FAT'!$K:$K,Faturamento!$L150,'Historico - FAT'!$I:$I,Faturamento!$J150,'Historico - FAT'!$G:$G,Faturamento!$H150)</f>
        <v>0</v>
      </c>
      <c r="AC150" s="31">
        <f>SUMIFS('Historico - FAT'!AL:AL,'Historico - FAT'!$K:$K,Faturamento!$L150,'Historico - FAT'!$I:$I,Faturamento!$J150,'Historico - FAT'!$G:$G,Faturamento!$H150)</f>
        <v>0</v>
      </c>
      <c r="AD150" s="31">
        <f>SUMIFS('Historico - FAT'!AM:AM,'Historico - FAT'!$K:$K,Faturamento!$L150,'Historico - FAT'!$I:$I,Faturamento!$J150,'Historico - FAT'!$G:$G,Faturamento!$H150)</f>
        <v>0</v>
      </c>
      <c r="AE150" s="27">
        <f>SUMIFS('Historico - FAT'!AN:AN,'Historico - FAT'!$K:$K,Faturamento!$L150,'Historico - FAT'!$I:$I,Faturamento!$J150,'Historico - FAT'!$G:$G,Faturamento!$H150)</f>
        <v>0</v>
      </c>
      <c r="AG150" s="24">
        <f t="shared" si="29"/>
        <v>1</v>
      </c>
      <c r="AH150" s="24">
        <f t="shared" si="30"/>
        <v>1</v>
      </c>
      <c r="AI150" s="24">
        <f t="shared" si="31"/>
        <v>1</v>
      </c>
    </row>
    <row r="151" spans="1:35" hidden="1" x14ac:dyDescent="0.3">
      <c r="A151" s="2" t="str">
        <f t="shared" si="28"/>
        <v>NÃO</v>
      </c>
      <c r="B151" s="2">
        <v>1000184670</v>
      </c>
      <c r="C151" s="2" t="s">
        <v>147</v>
      </c>
      <c r="D151" s="4">
        <v>1000186197</v>
      </c>
      <c r="E151" s="4" t="s">
        <v>166</v>
      </c>
      <c r="F151" s="2">
        <v>1000198600</v>
      </c>
      <c r="G151" s="2" t="s">
        <v>148</v>
      </c>
      <c r="H151" s="4">
        <v>1000198601</v>
      </c>
      <c r="I151" s="4" t="s">
        <v>149</v>
      </c>
      <c r="J151" s="2">
        <v>1000190599</v>
      </c>
      <c r="K151" s="2" t="s">
        <v>140</v>
      </c>
      <c r="L151" s="4" t="s">
        <v>23</v>
      </c>
      <c r="M151" s="4" t="str">
        <f t="shared" si="35"/>
        <v>1000184670100018619710001986011000190599SABORES DO CAMPO</v>
      </c>
      <c r="N151" s="28">
        <f>N137*_xlfn.XLOOKUP($L151,'Balizador da Meta'!$B$4:$B$21,'Balizador da Meta'!$C$4:$C$21)</f>
        <v>0</v>
      </c>
      <c r="O151" s="28">
        <f>O137*_xlfn.XLOOKUP($L151,'Balizador da Meta'!$B$4:$B$21,'Balizador da Meta'!$C$4:$C$21)</f>
        <v>0</v>
      </c>
      <c r="P151" s="28">
        <f>P137*_xlfn.XLOOKUP($L151,'Balizador da Meta'!$B$4:$B$21,'Balizador da Meta'!$C$4:$C$21)</f>
        <v>0</v>
      </c>
      <c r="Q151" s="28">
        <f>Q137*_xlfn.XLOOKUP($L151,'Balizador da Meta'!$B$4:$B$21,'Balizador da Meta'!$C$4:$C$21)</f>
        <v>0</v>
      </c>
      <c r="R151" s="28">
        <f>R137*_xlfn.XLOOKUP($L151,'Balizador da Meta'!$B$4:$B$21,'Balizador da Meta'!$C$4:$C$21)</f>
        <v>0</v>
      </c>
      <c r="S151" s="28">
        <f>S137*_xlfn.XLOOKUP($L151,'Balizador da Meta'!$B$4:$B$21,'Balizador da Meta'!$C$4:$C$21)</f>
        <v>0</v>
      </c>
      <c r="T151" s="28">
        <f>T137*_xlfn.XLOOKUP($L151,'Balizador da Meta'!$B$4:$B$21,'Balizador da Meta'!$C$4:$C$21)</f>
        <v>0</v>
      </c>
      <c r="U151" s="28">
        <f>U137*_xlfn.XLOOKUP($L151,'Balizador da Meta'!$B$4:$B$21,'Balizador da Meta'!$C$4:$C$21)</f>
        <v>0</v>
      </c>
      <c r="V151" s="28">
        <f>V137*_xlfn.XLOOKUP($L151,'Balizador da Meta'!$B$4:$B$21,'Balizador da Meta'!$C$4:$C$21)</f>
        <v>0</v>
      </c>
      <c r="W151" s="28">
        <f>W137*_xlfn.XLOOKUP($L151,'Balizador da Meta'!$B$4:$B$21,'Balizador da Meta'!$C$4:$C$21)</f>
        <v>0</v>
      </c>
      <c r="X151" s="28">
        <f>X137*_xlfn.XLOOKUP($L151,'Balizador da Meta'!$B$4:$B$21,'Balizador da Meta'!$C$4:$C$21)</f>
        <v>0</v>
      </c>
      <c r="Y151" s="28">
        <f>Y137*_xlfn.XLOOKUP($L151,'Balizador da Meta'!$B$4:$B$21,'Balizador da Meta'!$C$4:$C$21)</f>
        <v>0</v>
      </c>
      <c r="Z151" s="30">
        <f t="shared" si="38"/>
        <v>0</v>
      </c>
      <c r="AA151" s="29"/>
      <c r="AB151" s="31">
        <f>SUMIFS('Historico - FAT'!AK:AK,'Historico - FAT'!$K:$K,Faturamento!$L151,'Historico - FAT'!$I:$I,Faturamento!$J151,'Historico - FAT'!$G:$G,Faturamento!$H151)</f>
        <v>0</v>
      </c>
      <c r="AC151" s="31">
        <f>SUMIFS('Historico - FAT'!AL:AL,'Historico - FAT'!$K:$K,Faturamento!$L151,'Historico - FAT'!$I:$I,Faturamento!$J151,'Historico - FAT'!$G:$G,Faturamento!$H151)</f>
        <v>0</v>
      </c>
      <c r="AD151" s="31">
        <f>SUMIFS('Historico - FAT'!AM:AM,'Historico - FAT'!$K:$K,Faturamento!$L151,'Historico - FAT'!$I:$I,Faturamento!$J151,'Historico - FAT'!$G:$G,Faturamento!$H151)</f>
        <v>0</v>
      </c>
      <c r="AE151" s="27">
        <f>SUMIFS('Historico - FAT'!AN:AN,'Historico - FAT'!$K:$K,Faturamento!$L151,'Historico - FAT'!$I:$I,Faturamento!$J151,'Historico - FAT'!$G:$G,Faturamento!$H151)</f>
        <v>0</v>
      </c>
      <c r="AG151" s="24" t="str">
        <f t="shared" si="29"/>
        <v/>
      </c>
      <c r="AH151" s="24" t="str">
        <f t="shared" si="30"/>
        <v/>
      </c>
      <c r="AI151" s="24" t="str">
        <f t="shared" si="31"/>
        <v/>
      </c>
    </row>
    <row r="152" spans="1:35" hidden="1" x14ac:dyDescent="0.3">
      <c r="A152" s="2" t="str">
        <f t="shared" si="28"/>
        <v>NÃO</v>
      </c>
      <c r="B152" s="2">
        <v>1000184670</v>
      </c>
      <c r="C152" s="2" t="s">
        <v>147</v>
      </c>
      <c r="D152" s="4">
        <v>1000186197</v>
      </c>
      <c r="E152" s="4" t="s">
        <v>166</v>
      </c>
      <c r="F152" s="2">
        <v>1000198600</v>
      </c>
      <c r="G152" s="2" t="s">
        <v>148</v>
      </c>
      <c r="H152" s="4">
        <v>1000198601</v>
      </c>
      <c r="I152" s="4" t="s">
        <v>149</v>
      </c>
      <c r="J152" s="2">
        <v>1000190599</v>
      </c>
      <c r="K152" s="2" t="s">
        <v>140</v>
      </c>
      <c r="L152" s="4" t="s">
        <v>28</v>
      </c>
      <c r="M152" s="4" t="str">
        <f t="shared" si="35"/>
        <v>1000184670100018619710001986011000190599SAL</v>
      </c>
      <c r="N152" s="28">
        <f>N137*_xlfn.XLOOKUP($L152,'Balizador da Meta'!$B$4:$B$21,'Balizador da Meta'!$C$4:$C$21)</f>
        <v>0</v>
      </c>
      <c r="O152" s="28">
        <f>O137*_xlfn.XLOOKUP($L152,'Balizador da Meta'!$B$4:$B$21,'Balizador da Meta'!$C$4:$C$21)</f>
        <v>30</v>
      </c>
      <c r="P152" s="28">
        <f>P137*_xlfn.XLOOKUP($L152,'Balizador da Meta'!$B$4:$B$21,'Balizador da Meta'!$C$4:$C$21)</f>
        <v>30</v>
      </c>
      <c r="Q152" s="28">
        <f>Q137*_xlfn.XLOOKUP($L152,'Balizador da Meta'!$B$4:$B$21,'Balizador da Meta'!$C$4:$C$21)</f>
        <v>30</v>
      </c>
      <c r="R152" s="28">
        <f>R137*_xlfn.XLOOKUP($L152,'Balizador da Meta'!$B$4:$B$21,'Balizador da Meta'!$C$4:$C$21)</f>
        <v>60</v>
      </c>
      <c r="S152" s="28">
        <f>S137*_xlfn.XLOOKUP($L152,'Balizador da Meta'!$B$4:$B$21,'Balizador da Meta'!$C$4:$C$21)</f>
        <v>60</v>
      </c>
      <c r="T152" s="28">
        <f>T137*_xlfn.XLOOKUP($L152,'Balizador da Meta'!$B$4:$B$21,'Balizador da Meta'!$C$4:$C$21)</f>
        <v>60</v>
      </c>
      <c r="U152" s="28">
        <f>U137*_xlfn.XLOOKUP($L152,'Balizador da Meta'!$B$4:$B$21,'Balizador da Meta'!$C$4:$C$21)</f>
        <v>60</v>
      </c>
      <c r="V152" s="28">
        <f>V137*_xlfn.XLOOKUP($L152,'Balizador da Meta'!$B$4:$B$21,'Balizador da Meta'!$C$4:$C$21)</f>
        <v>90</v>
      </c>
      <c r="W152" s="28">
        <f>W137*_xlfn.XLOOKUP($L152,'Balizador da Meta'!$B$4:$B$21,'Balizador da Meta'!$C$4:$C$21)</f>
        <v>90</v>
      </c>
      <c r="X152" s="28">
        <f>X137*_xlfn.XLOOKUP($L152,'Balizador da Meta'!$B$4:$B$21,'Balizador da Meta'!$C$4:$C$21)</f>
        <v>90</v>
      </c>
      <c r="Y152" s="28">
        <f>Y137*_xlfn.XLOOKUP($L152,'Balizador da Meta'!$B$4:$B$21,'Balizador da Meta'!$C$4:$C$21)</f>
        <v>120</v>
      </c>
      <c r="Z152" s="30">
        <f t="shared" si="38"/>
        <v>720</v>
      </c>
      <c r="AA152" s="29"/>
      <c r="AB152" s="31">
        <f>SUMIFS('Historico - FAT'!AK:AK,'Historico - FAT'!$K:$K,Faturamento!$L152,'Historico - FAT'!$I:$I,Faturamento!$J152,'Historico - FAT'!$G:$G,Faturamento!$H152)</f>
        <v>0</v>
      </c>
      <c r="AC152" s="31">
        <f>SUMIFS('Historico - FAT'!AL:AL,'Historico - FAT'!$K:$K,Faturamento!$L152,'Historico - FAT'!$I:$I,Faturamento!$J152,'Historico - FAT'!$G:$G,Faturamento!$H152)</f>
        <v>0</v>
      </c>
      <c r="AD152" s="31">
        <f>SUMIFS('Historico - FAT'!AM:AM,'Historico - FAT'!$K:$K,Faturamento!$L152,'Historico - FAT'!$I:$I,Faturamento!$J152,'Historico - FAT'!$G:$G,Faturamento!$H152)</f>
        <v>0</v>
      </c>
      <c r="AE152" s="27">
        <f>SUMIFS('Historico - FAT'!AN:AN,'Historico - FAT'!$K:$K,Faturamento!$L152,'Historico - FAT'!$I:$I,Faturamento!$J152,'Historico - FAT'!$G:$G,Faturamento!$H152)</f>
        <v>0</v>
      </c>
      <c r="AG152" s="24">
        <f t="shared" si="29"/>
        <v>1</v>
      </c>
      <c r="AH152" s="24">
        <f t="shared" si="30"/>
        <v>1</v>
      </c>
      <c r="AI152" s="24">
        <f t="shared" si="31"/>
        <v>1</v>
      </c>
    </row>
    <row r="153" spans="1:35" hidden="1" x14ac:dyDescent="0.3">
      <c r="A153" s="2" t="str">
        <f t="shared" si="28"/>
        <v>NÃO</v>
      </c>
      <c r="B153" s="2">
        <v>1000184670</v>
      </c>
      <c r="C153" s="2" t="s">
        <v>147</v>
      </c>
      <c r="D153" s="4">
        <v>1000186197</v>
      </c>
      <c r="E153" s="4" t="s">
        <v>166</v>
      </c>
      <c r="F153" s="2">
        <v>1000198600</v>
      </c>
      <c r="G153" s="2" t="s">
        <v>148</v>
      </c>
      <c r="H153" s="4">
        <v>1000198601</v>
      </c>
      <c r="I153" s="4" t="s">
        <v>149</v>
      </c>
      <c r="J153" s="2">
        <v>1000190599</v>
      </c>
      <c r="K153" s="2" t="s">
        <v>140</v>
      </c>
      <c r="L153" s="4" t="s">
        <v>26</v>
      </c>
      <c r="M153" s="4" t="str">
        <f t="shared" si="35"/>
        <v>1000184670100018619710001986011000190599SOULPRO</v>
      </c>
      <c r="N153" s="28">
        <f>N137*_xlfn.XLOOKUP($L153,'Balizador da Meta'!$B$4:$B$21,'Balizador da Meta'!$C$4:$C$21)</f>
        <v>0</v>
      </c>
      <c r="O153" s="28">
        <f>O137*_xlfn.XLOOKUP($L153,'Balizador da Meta'!$B$4:$B$21,'Balizador da Meta'!$C$4:$C$21)</f>
        <v>90</v>
      </c>
      <c r="P153" s="28">
        <f>P137*_xlfn.XLOOKUP($L153,'Balizador da Meta'!$B$4:$B$21,'Balizador da Meta'!$C$4:$C$21)</f>
        <v>90</v>
      </c>
      <c r="Q153" s="28">
        <f>Q137*_xlfn.XLOOKUP($L153,'Balizador da Meta'!$B$4:$B$21,'Balizador da Meta'!$C$4:$C$21)</f>
        <v>90</v>
      </c>
      <c r="R153" s="28">
        <f>R137*_xlfn.XLOOKUP($L153,'Balizador da Meta'!$B$4:$B$21,'Balizador da Meta'!$C$4:$C$21)</f>
        <v>180</v>
      </c>
      <c r="S153" s="28">
        <f>S137*_xlfn.XLOOKUP($L153,'Balizador da Meta'!$B$4:$B$21,'Balizador da Meta'!$C$4:$C$21)</f>
        <v>180</v>
      </c>
      <c r="T153" s="28">
        <f>T137*_xlfn.XLOOKUP($L153,'Balizador da Meta'!$B$4:$B$21,'Balizador da Meta'!$C$4:$C$21)</f>
        <v>180</v>
      </c>
      <c r="U153" s="28">
        <f>U137*_xlfn.XLOOKUP($L153,'Balizador da Meta'!$B$4:$B$21,'Balizador da Meta'!$C$4:$C$21)</f>
        <v>180</v>
      </c>
      <c r="V153" s="28">
        <f>V137*_xlfn.XLOOKUP($L153,'Balizador da Meta'!$B$4:$B$21,'Balizador da Meta'!$C$4:$C$21)</f>
        <v>270</v>
      </c>
      <c r="W153" s="28">
        <f>W137*_xlfn.XLOOKUP($L153,'Balizador da Meta'!$B$4:$B$21,'Balizador da Meta'!$C$4:$C$21)</f>
        <v>270</v>
      </c>
      <c r="X153" s="28">
        <f>X137*_xlfn.XLOOKUP($L153,'Balizador da Meta'!$B$4:$B$21,'Balizador da Meta'!$C$4:$C$21)</f>
        <v>270</v>
      </c>
      <c r="Y153" s="28">
        <f>Y137*_xlfn.XLOOKUP($L153,'Balizador da Meta'!$B$4:$B$21,'Balizador da Meta'!$C$4:$C$21)</f>
        <v>360</v>
      </c>
      <c r="Z153" s="30">
        <f t="shared" si="38"/>
        <v>2160</v>
      </c>
      <c r="AA153" s="29"/>
      <c r="AB153" s="31">
        <f>SUMIFS('Historico - FAT'!AK:AK,'Historico - FAT'!$K:$K,Faturamento!$L153,'Historico - FAT'!$I:$I,Faturamento!$J153,'Historico - FAT'!$G:$G,Faturamento!$H153)</f>
        <v>0</v>
      </c>
      <c r="AC153" s="31">
        <f>SUMIFS('Historico - FAT'!AL:AL,'Historico - FAT'!$K:$K,Faturamento!$L153,'Historico - FAT'!$I:$I,Faturamento!$J153,'Historico - FAT'!$G:$G,Faturamento!$H153)</f>
        <v>0</v>
      </c>
      <c r="AD153" s="31">
        <f>SUMIFS('Historico - FAT'!AM:AM,'Historico - FAT'!$K:$K,Faturamento!$L153,'Historico - FAT'!$I:$I,Faturamento!$J153,'Historico - FAT'!$G:$G,Faturamento!$H153)</f>
        <v>0</v>
      </c>
      <c r="AE153" s="27">
        <f>SUMIFS('Historico - FAT'!AN:AN,'Historico - FAT'!$K:$K,Faturamento!$L153,'Historico - FAT'!$I:$I,Faturamento!$J153,'Historico - FAT'!$G:$G,Faturamento!$H153)</f>
        <v>0</v>
      </c>
      <c r="AG153" s="24">
        <f t="shared" si="29"/>
        <v>1</v>
      </c>
      <c r="AH153" s="24">
        <f t="shared" si="30"/>
        <v>1</v>
      </c>
      <c r="AI153" s="24">
        <f t="shared" si="31"/>
        <v>1</v>
      </c>
    </row>
    <row r="154" spans="1:35" hidden="1" x14ac:dyDescent="0.3">
      <c r="A154" s="2" t="str">
        <f t="shared" si="28"/>
        <v>NÃO</v>
      </c>
      <c r="B154" s="2">
        <v>1000184670</v>
      </c>
      <c r="C154" s="2" t="s">
        <v>147</v>
      </c>
      <c r="D154" s="4">
        <v>1000186197</v>
      </c>
      <c r="E154" s="4" t="s">
        <v>166</v>
      </c>
      <c r="F154" s="2">
        <v>1000198600</v>
      </c>
      <c r="G154" s="2" t="s">
        <v>148</v>
      </c>
      <c r="H154" s="4">
        <v>1000198601</v>
      </c>
      <c r="I154" s="4" t="s">
        <v>149</v>
      </c>
      <c r="J154" s="2">
        <v>1000190599</v>
      </c>
      <c r="K154" s="2" t="s">
        <v>140</v>
      </c>
      <c r="L154" s="4" t="s">
        <v>27</v>
      </c>
      <c r="M154" s="4" t="str">
        <f t="shared" si="35"/>
        <v>1000184670100018619710001986011000190599TAMARA</v>
      </c>
      <c r="N154" s="28">
        <f>N137*_xlfn.XLOOKUP($L154,'Balizador da Meta'!$B$4:$B$21,'Balizador da Meta'!$C$4:$C$21)</f>
        <v>0</v>
      </c>
      <c r="O154" s="28">
        <f>O137*_xlfn.XLOOKUP($L154,'Balizador da Meta'!$B$4:$B$21,'Balizador da Meta'!$C$4:$C$21)</f>
        <v>120</v>
      </c>
      <c r="P154" s="28">
        <f>P137*_xlfn.XLOOKUP($L154,'Balizador da Meta'!$B$4:$B$21,'Balizador da Meta'!$C$4:$C$21)</f>
        <v>120</v>
      </c>
      <c r="Q154" s="28">
        <f>Q137*_xlfn.XLOOKUP($L154,'Balizador da Meta'!$B$4:$B$21,'Balizador da Meta'!$C$4:$C$21)</f>
        <v>120</v>
      </c>
      <c r="R154" s="28">
        <f>R137*_xlfn.XLOOKUP($L154,'Balizador da Meta'!$B$4:$B$21,'Balizador da Meta'!$C$4:$C$21)</f>
        <v>240</v>
      </c>
      <c r="S154" s="28">
        <f>S137*_xlfn.XLOOKUP($L154,'Balizador da Meta'!$B$4:$B$21,'Balizador da Meta'!$C$4:$C$21)</f>
        <v>240</v>
      </c>
      <c r="T154" s="28">
        <f>T137*_xlfn.XLOOKUP($L154,'Balizador da Meta'!$B$4:$B$21,'Balizador da Meta'!$C$4:$C$21)</f>
        <v>240</v>
      </c>
      <c r="U154" s="28">
        <f>U137*_xlfn.XLOOKUP($L154,'Balizador da Meta'!$B$4:$B$21,'Balizador da Meta'!$C$4:$C$21)</f>
        <v>240</v>
      </c>
      <c r="V154" s="28">
        <f>V137*_xlfn.XLOOKUP($L154,'Balizador da Meta'!$B$4:$B$21,'Balizador da Meta'!$C$4:$C$21)</f>
        <v>360</v>
      </c>
      <c r="W154" s="28">
        <f>W137*_xlfn.XLOOKUP($L154,'Balizador da Meta'!$B$4:$B$21,'Balizador da Meta'!$C$4:$C$21)</f>
        <v>360</v>
      </c>
      <c r="X154" s="28">
        <f>X137*_xlfn.XLOOKUP($L154,'Balizador da Meta'!$B$4:$B$21,'Balizador da Meta'!$C$4:$C$21)</f>
        <v>360</v>
      </c>
      <c r="Y154" s="28">
        <f>Y137*_xlfn.XLOOKUP($L154,'Balizador da Meta'!$B$4:$B$21,'Balizador da Meta'!$C$4:$C$21)</f>
        <v>480</v>
      </c>
      <c r="Z154" s="30">
        <f t="shared" si="38"/>
        <v>2880</v>
      </c>
      <c r="AA154" s="29"/>
      <c r="AB154" s="31">
        <f>SUMIFS('Historico - FAT'!AK:AK,'Historico - FAT'!$K:$K,Faturamento!$L154,'Historico - FAT'!$I:$I,Faturamento!$J154,'Historico - FAT'!$G:$G,Faturamento!$H154)</f>
        <v>0</v>
      </c>
      <c r="AC154" s="31">
        <f>SUMIFS('Historico - FAT'!AL:AL,'Historico - FAT'!$K:$K,Faturamento!$L154,'Historico - FAT'!$I:$I,Faturamento!$J154,'Historico - FAT'!$G:$G,Faturamento!$H154)</f>
        <v>0</v>
      </c>
      <c r="AD154" s="31">
        <f>SUMIFS('Historico - FAT'!AM:AM,'Historico - FAT'!$K:$K,Faturamento!$L154,'Historico - FAT'!$I:$I,Faturamento!$J154,'Historico - FAT'!$G:$G,Faturamento!$H154)</f>
        <v>0</v>
      </c>
      <c r="AE154" s="27">
        <f>SUMIFS('Historico - FAT'!AN:AN,'Historico - FAT'!$K:$K,Faturamento!$L154,'Historico - FAT'!$I:$I,Faturamento!$J154,'Historico - FAT'!$G:$G,Faturamento!$H154)</f>
        <v>0</v>
      </c>
      <c r="AG154" s="24">
        <f t="shared" si="29"/>
        <v>1</v>
      </c>
      <c r="AH154" s="24">
        <f t="shared" si="30"/>
        <v>1</v>
      </c>
      <c r="AI154" s="24">
        <f t="shared" si="31"/>
        <v>1</v>
      </c>
    </row>
    <row r="155" spans="1:35" hidden="1" x14ac:dyDescent="0.3">
      <c r="A155" s="2" t="str">
        <f t="shared" si="28"/>
        <v>NÃO</v>
      </c>
      <c r="B155" s="2">
        <v>1000184670</v>
      </c>
      <c r="C155" s="2" t="s">
        <v>147</v>
      </c>
      <c r="D155" s="4">
        <v>1000186197</v>
      </c>
      <c r="E155" s="4" t="s">
        <v>166</v>
      </c>
      <c r="F155" s="2">
        <v>1000198600</v>
      </c>
      <c r="G155" s="2" t="s">
        <v>148</v>
      </c>
      <c r="H155" s="4">
        <v>1000198601</v>
      </c>
      <c r="I155" s="4" t="s">
        <v>149</v>
      </c>
      <c r="J155" s="2">
        <v>1000190599</v>
      </c>
      <c r="K155" s="2" t="s">
        <v>140</v>
      </c>
      <c r="L155" s="4" t="s">
        <v>25</v>
      </c>
      <c r="M155" s="4" t="str">
        <f t="shared" si="35"/>
        <v>1000184670100018619710001986011000190599VICCIO</v>
      </c>
      <c r="N155" s="28">
        <f>N137*_xlfn.XLOOKUP($L155,'Balizador da Meta'!$B$4:$B$21,'Balizador da Meta'!$C$4:$C$21)</f>
        <v>0</v>
      </c>
      <c r="O155" s="28">
        <f>O137*_xlfn.XLOOKUP($L155,'Balizador da Meta'!$B$4:$B$21,'Balizador da Meta'!$C$4:$C$21)</f>
        <v>45</v>
      </c>
      <c r="P155" s="28">
        <f>P137*_xlfn.XLOOKUP($L155,'Balizador da Meta'!$B$4:$B$21,'Balizador da Meta'!$C$4:$C$21)</f>
        <v>45</v>
      </c>
      <c r="Q155" s="28">
        <f>Q137*_xlfn.XLOOKUP($L155,'Balizador da Meta'!$B$4:$B$21,'Balizador da Meta'!$C$4:$C$21)</f>
        <v>45</v>
      </c>
      <c r="R155" s="28">
        <f>R137*_xlfn.XLOOKUP($L155,'Balizador da Meta'!$B$4:$B$21,'Balizador da Meta'!$C$4:$C$21)</f>
        <v>90</v>
      </c>
      <c r="S155" s="28">
        <f>S137*_xlfn.XLOOKUP($L155,'Balizador da Meta'!$B$4:$B$21,'Balizador da Meta'!$C$4:$C$21)</f>
        <v>90</v>
      </c>
      <c r="T155" s="28">
        <f>T137*_xlfn.XLOOKUP($L155,'Balizador da Meta'!$B$4:$B$21,'Balizador da Meta'!$C$4:$C$21)</f>
        <v>90</v>
      </c>
      <c r="U155" s="28">
        <f>U137*_xlfn.XLOOKUP($L155,'Balizador da Meta'!$B$4:$B$21,'Balizador da Meta'!$C$4:$C$21)</f>
        <v>90</v>
      </c>
      <c r="V155" s="28">
        <f>V137*_xlfn.XLOOKUP($L155,'Balizador da Meta'!$B$4:$B$21,'Balizador da Meta'!$C$4:$C$21)</f>
        <v>135</v>
      </c>
      <c r="W155" s="28">
        <f>W137*_xlfn.XLOOKUP($L155,'Balizador da Meta'!$B$4:$B$21,'Balizador da Meta'!$C$4:$C$21)</f>
        <v>135</v>
      </c>
      <c r="X155" s="28">
        <f>X137*_xlfn.XLOOKUP($L155,'Balizador da Meta'!$B$4:$B$21,'Balizador da Meta'!$C$4:$C$21)</f>
        <v>135</v>
      </c>
      <c r="Y155" s="28">
        <f>Y137*_xlfn.XLOOKUP($L155,'Balizador da Meta'!$B$4:$B$21,'Balizador da Meta'!$C$4:$C$21)</f>
        <v>180</v>
      </c>
      <c r="Z155" s="30">
        <f t="shared" si="38"/>
        <v>1080</v>
      </c>
      <c r="AA155" s="29"/>
      <c r="AB155" s="31">
        <f>SUMIFS('Historico - FAT'!AK:AK,'Historico - FAT'!$K:$K,Faturamento!$L155,'Historico - FAT'!$I:$I,Faturamento!$J155,'Historico - FAT'!$G:$G,Faturamento!$H155)</f>
        <v>0</v>
      </c>
      <c r="AC155" s="31">
        <f>SUMIFS('Historico - FAT'!AL:AL,'Historico - FAT'!$K:$K,Faturamento!$L155,'Historico - FAT'!$I:$I,Faturamento!$J155,'Historico - FAT'!$G:$G,Faturamento!$H155)</f>
        <v>0</v>
      </c>
      <c r="AD155" s="31">
        <f>SUMIFS('Historico - FAT'!AM:AM,'Historico - FAT'!$K:$K,Faturamento!$L155,'Historico - FAT'!$I:$I,Faturamento!$J155,'Historico - FAT'!$G:$G,Faturamento!$H155)</f>
        <v>0</v>
      </c>
      <c r="AE155" s="27">
        <f>SUMIFS('Historico - FAT'!AN:AN,'Historico - FAT'!$K:$K,Faturamento!$L155,'Historico - FAT'!$I:$I,Faturamento!$J155,'Historico - FAT'!$G:$G,Faturamento!$H155)</f>
        <v>0</v>
      </c>
      <c r="AG155" s="24">
        <f t="shared" si="29"/>
        <v>1</v>
      </c>
      <c r="AH155" s="24">
        <f t="shared" si="30"/>
        <v>1</v>
      </c>
      <c r="AI155" s="24">
        <f t="shared" si="31"/>
        <v>1</v>
      </c>
    </row>
    <row r="156" spans="1:35" x14ac:dyDescent="0.3">
      <c r="A156" s="2" t="str">
        <f t="shared" si="28"/>
        <v>SIM</v>
      </c>
      <c r="B156" s="2">
        <v>1000184670</v>
      </c>
      <c r="C156" s="2" t="s">
        <v>147</v>
      </c>
      <c r="D156" s="4">
        <v>1000186197</v>
      </c>
      <c r="E156" s="4" t="s">
        <v>166</v>
      </c>
      <c r="F156" s="2">
        <v>1000198600</v>
      </c>
      <c r="G156" s="2" t="s">
        <v>148</v>
      </c>
      <c r="H156" s="4">
        <v>1000198601</v>
      </c>
      <c r="I156" s="4" t="s">
        <v>149</v>
      </c>
      <c r="J156" s="2">
        <v>1000189757</v>
      </c>
      <c r="K156" s="2" t="s">
        <v>141</v>
      </c>
      <c r="L156" s="4" t="s">
        <v>124</v>
      </c>
      <c r="M156" s="4" t="str">
        <f t="shared" si="35"/>
        <v>100018467010001861971000198601100018975701. TOTAL</v>
      </c>
      <c r="N156" s="28">
        <f>SUMIFS(Positivação!L:L,Positivação!$I:$I,Faturamento!$J156,Positivação!$G:$G,Faturamento!$H156)*SUMIFS(Positivação!$Z:$Z,Positivação!$I:$I,Faturamento!$J156,Positivação!$G:$G,Faturamento!$H156)</f>
        <v>1500</v>
      </c>
      <c r="O156" s="28">
        <f>SUMIFS(Positivação!M:M,Positivação!$I:$I,Faturamento!$J156,Positivação!$G:$G,Faturamento!$H156)*SUMIFS(Positivação!$Z:$Z,Positivação!$I:$I,Faturamento!$J156,Positivação!$G:$G,Faturamento!$H156)</f>
        <v>1500</v>
      </c>
      <c r="P156" s="28">
        <f>SUMIFS(Positivação!N:N,Positivação!$I:$I,Faturamento!$J156,Positivação!$G:$G,Faturamento!$H156)*SUMIFS(Positivação!$Z:$Z,Positivação!$I:$I,Faturamento!$J156,Positivação!$G:$G,Faturamento!$H156)</f>
        <v>1500</v>
      </c>
      <c r="Q156" s="28">
        <f>SUMIFS(Positivação!O:O,Positivação!$I:$I,Faturamento!$J156,Positivação!$G:$G,Faturamento!$H156)*SUMIFS(Positivação!$Z:$Z,Positivação!$I:$I,Faturamento!$J156,Positivação!$G:$G,Faturamento!$H156)</f>
        <v>1500</v>
      </c>
      <c r="R156" s="28">
        <f>SUMIFS(Positivação!P:P,Positivação!$I:$I,Faturamento!$J156,Positivação!$G:$G,Faturamento!$H156)*SUMIFS(Positivação!$Z:$Z,Positivação!$I:$I,Faturamento!$J156,Positivação!$G:$G,Faturamento!$H156)</f>
        <v>1500</v>
      </c>
      <c r="S156" s="28">
        <f>SUMIFS(Positivação!Q:Q,Positivação!$I:$I,Faturamento!$J156,Positivação!$G:$G,Faturamento!$H156)*SUMIFS(Positivação!$Z:$Z,Positivação!$I:$I,Faturamento!$J156,Positivação!$G:$G,Faturamento!$H156)</f>
        <v>1500</v>
      </c>
      <c r="T156" s="28">
        <f>SUMIFS(Positivação!R:R,Positivação!$I:$I,Faturamento!$J156,Positivação!$G:$G,Faturamento!$H156)*SUMIFS(Positivação!$Z:$Z,Positivação!$I:$I,Faturamento!$J156,Positivação!$G:$G,Faturamento!$H156)</f>
        <v>1500</v>
      </c>
      <c r="U156" s="28">
        <f>SUMIFS(Positivação!S:S,Positivação!$I:$I,Faturamento!$J156,Positivação!$G:$G,Faturamento!$H156)*SUMIFS(Positivação!$Z:$Z,Positivação!$I:$I,Faturamento!$J156,Positivação!$G:$G,Faturamento!$H156)</f>
        <v>1500</v>
      </c>
      <c r="V156" s="28">
        <f>SUMIFS(Positivação!T:T,Positivação!$I:$I,Faturamento!$J156,Positivação!$G:$G,Faturamento!$H156)*SUMIFS(Positivação!$Z:$Z,Positivação!$I:$I,Faturamento!$J156,Positivação!$G:$G,Faturamento!$H156)</f>
        <v>1500</v>
      </c>
      <c r="W156" s="28">
        <f>SUMIFS(Positivação!U:U,Positivação!$I:$I,Faturamento!$J156,Positivação!$G:$G,Faturamento!$H156)*SUMIFS(Positivação!$Z:$Z,Positivação!$I:$I,Faturamento!$J156,Positivação!$G:$G,Faturamento!$H156)</f>
        <v>1500</v>
      </c>
      <c r="X156" s="28">
        <f>SUMIFS(Positivação!V:V,Positivação!$I:$I,Faturamento!$J156,Positivação!$G:$G,Faturamento!$H156)*SUMIFS(Positivação!$Z:$Z,Positivação!$I:$I,Faturamento!$J156,Positivação!$G:$G,Faturamento!$H156)</f>
        <v>1500</v>
      </c>
      <c r="Y156" s="28">
        <f>SUMIFS(Positivação!W:W,Positivação!$I:$I,Faturamento!$J156,Positivação!$G:$G,Faturamento!$H156)*SUMIFS(Positivação!$Z:$Z,Positivação!$I:$I,Faturamento!$J156,Positivação!$G:$G,Faturamento!$H156)</f>
        <v>1500</v>
      </c>
      <c r="Z156" s="28">
        <f t="shared" ref="Z156" si="39">SUM(Z157:Z174)</f>
        <v>18000</v>
      </c>
      <c r="AA156" s="29"/>
      <c r="AB156" s="28">
        <f t="shared" ref="AB156:AE156" si="40">SUM(AB157:AB174)</f>
        <v>161.66000000000003</v>
      </c>
      <c r="AC156" s="28">
        <f t="shared" si="40"/>
        <v>361.69249999999994</v>
      </c>
      <c r="AD156" s="28">
        <f t="shared" si="40"/>
        <v>0</v>
      </c>
      <c r="AE156" s="28">
        <f t="shared" si="40"/>
        <v>620.154</v>
      </c>
      <c r="AG156" s="24">
        <f t="shared" si="29"/>
        <v>0.89222666666666661</v>
      </c>
      <c r="AH156" s="24">
        <f t="shared" si="30"/>
        <v>0.75887166666666672</v>
      </c>
      <c r="AI156" s="24">
        <f t="shared" si="31"/>
        <v>1</v>
      </c>
    </row>
    <row r="157" spans="1:35" hidden="1" x14ac:dyDescent="0.3">
      <c r="A157" s="2" t="str">
        <f t="shared" si="28"/>
        <v>NÃO</v>
      </c>
      <c r="B157" s="2">
        <v>1000184670</v>
      </c>
      <c r="C157" s="2" t="s">
        <v>147</v>
      </c>
      <c r="D157" s="4">
        <v>1000186197</v>
      </c>
      <c r="E157" s="4" t="s">
        <v>166</v>
      </c>
      <c r="F157" s="2">
        <v>1000198600</v>
      </c>
      <c r="G157" s="2" t="s">
        <v>148</v>
      </c>
      <c r="H157" s="4">
        <v>1000198601</v>
      </c>
      <c r="I157" s="4" t="s">
        <v>149</v>
      </c>
      <c r="J157" s="2">
        <v>1000189757</v>
      </c>
      <c r="K157" s="2" t="s">
        <v>141</v>
      </c>
      <c r="L157" s="4" t="s">
        <v>13</v>
      </c>
      <c r="M157" s="4" t="str">
        <f t="shared" si="35"/>
        <v>1000184670100018619710001986011000189757BISCOITO</v>
      </c>
      <c r="N157" s="28">
        <f>N156*_xlfn.XLOOKUP($L157,'Balizador da Meta'!$B$4:$B$21,'Balizador da Meta'!$C$4:$C$21)</f>
        <v>105.00000000000001</v>
      </c>
      <c r="O157" s="28">
        <f>O156*_xlfn.XLOOKUP($L157,'Balizador da Meta'!$B$4:$B$21,'Balizador da Meta'!$C$4:$C$21)</f>
        <v>105.00000000000001</v>
      </c>
      <c r="P157" s="28">
        <f>P156*_xlfn.XLOOKUP($L157,'Balizador da Meta'!$B$4:$B$21,'Balizador da Meta'!$C$4:$C$21)</f>
        <v>105.00000000000001</v>
      </c>
      <c r="Q157" s="28">
        <f>Q156*_xlfn.XLOOKUP($L157,'Balizador da Meta'!$B$4:$B$21,'Balizador da Meta'!$C$4:$C$21)</f>
        <v>105.00000000000001</v>
      </c>
      <c r="R157" s="28">
        <f>R156*_xlfn.XLOOKUP($L157,'Balizador da Meta'!$B$4:$B$21,'Balizador da Meta'!$C$4:$C$21)</f>
        <v>105.00000000000001</v>
      </c>
      <c r="S157" s="28">
        <f>S156*_xlfn.XLOOKUP($L157,'Balizador da Meta'!$B$4:$B$21,'Balizador da Meta'!$C$4:$C$21)</f>
        <v>105.00000000000001</v>
      </c>
      <c r="T157" s="28">
        <f>T156*_xlfn.XLOOKUP($L157,'Balizador da Meta'!$B$4:$B$21,'Balizador da Meta'!$C$4:$C$21)</f>
        <v>105.00000000000001</v>
      </c>
      <c r="U157" s="28">
        <f>U156*_xlfn.XLOOKUP($L157,'Balizador da Meta'!$B$4:$B$21,'Balizador da Meta'!$C$4:$C$21)</f>
        <v>105.00000000000001</v>
      </c>
      <c r="V157" s="28">
        <f>V156*_xlfn.XLOOKUP($L157,'Balizador da Meta'!$B$4:$B$21,'Balizador da Meta'!$C$4:$C$21)</f>
        <v>105.00000000000001</v>
      </c>
      <c r="W157" s="28">
        <f>W156*_xlfn.XLOOKUP($L157,'Balizador da Meta'!$B$4:$B$21,'Balizador da Meta'!$C$4:$C$21)</f>
        <v>105.00000000000001</v>
      </c>
      <c r="X157" s="28">
        <f>X156*_xlfn.XLOOKUP($L157,'Balizador da Meta'!$B$4:$B$21,'Balizador da Meta'!$C$4:$C$21)</f>
        <v>105.00000000000001</v>
      </c>
      <c r="Y157" s="28">
        <f>Y156*_xlfn.XLOOKUP($L157,'Balizador da Meta'!$B$4:$B$21,'Balizador da Meta'!$C$4:$C$21)</f>
        <v>105.00000000000001</v>
      </c>
      <c r="Z157" s="30">
        <f t="shared" ref="Z157:Z174" si="41">SUM(N157:Y157)</f>
        <v>1260.0000000000002</v>
      </c>
      <c r="AA157" s="29"/>
      <c r="AB157" s="31">
        <f>SUMIFS('Historico - FAT'!AK:AK,'Historico - FAT'!$K:$K,Faturamento!$L157,'Historico - FAT'!$I:$I,Faturamento!$J157,'Historico - FAT'!$G:$G,Faturamento!$H157)</f>
        <v>27.3125</v>
      </c>
      <c r="AC157" s="31">
        <f>SUMIFS('Historico - FAT'!AL:AL,'Historico - FAT'!$K:$K,Faturamento!$L157,'Historico - FAT'!$I:$I,Faturamento!$J157,'Historico - FAT'!$G:$G,Faturamento!$H157)</f>
        <v>123.49583333333334</v>
      </c>
      <c r="AD157" s="31">
        <f>SUMIFS('Historico - FAT'!AM:AM,'Historico - FAT'!$K:$K,Faturamento!$L157,'Historico - FAT'!$I:$I,Faturamento!$J157,'Historico - FAT'!$G:$G,Faturamento!$H157)</f>
        <v>0</v>
      </c>
      <c r="AE157" s="27">
        <f>SUMIFS('Historico - FAT'!AN:AN,'Historico - FAT'!$K:$K,Faturamento!$L157,'Historico - FAT'!$I:$I,Faturamento!$J157,'Historico - FAT'!$G:$G,Faturamento!$H157)</f>
        <v>180.97000000000003</v>
      </c>
      <c r="AG157" s="24">
        <f t="shared" si="29"/>
        <v>0.73988095238095242</v>
      </c>
      <c r="AH157" s="24">
        <f t="shared" si="30"/>
        <v>-0.17615079365079353</v>
      </c>
      <c r="AI157" s="24">
        <f t="shared" si="31"/>
        <v>1</v>
      </c>
    </row>
    <row r="158" spans="1:35" hidden="1" x14ac:dyDescent="0.3">
      <c r="A158" s="2" t="str">
        <f t="shared" si="28"/>
        <v>NÃO</v>
      </c>
      <c r="B158" s="2">
        <v>1000184670</v>
      </c>
      <c r="C158" s="2" t="s">
        <v>147</v>
      </c>
      <c r="D158" s="4">
        <v>1000186197</v>
      </c>
      <c r="E158" s="4" t="s">
        <v>166</v>
      </c>
      <c r="F158" s="2">
        <v>1000198600</v>
      </c>
      <c r="G158" s="2" t="s">
        <v>148</v>
      </c>
      <c r="H158" s="4">
        <v>1000198601</v>
      </c>
      <c r="I158" s="4" t="s">
        <v>149</v>
      </c>
      <c r="J158" s="2">
        <v>1000189757</v>
      </c>
      <c r="K158" s="2" t="s">
        <v>141</v>
      </c>
      <c r="L158" s="4" t="s">
        <v>14</v>
      </c>
      <c r="M158" s="4" t="str">
        <f t="shared" si="35"/>
        <v>1000184670100018619710001986011000189757CHOCOLATES</v>
      </c>
      <c r="N158" s="28">
        <f>N156*_xlfn.XLOOKUP($L158,'Balizador da Meta'!$B$4:$B$21,'Balizador da Meta'!$C$4:$C$21)</f>
        <v>105.00000000000001</v>
      </c>
      <c r="O158" s="28">
        <f>O156*_xlfn.XLOOKUP($L158,'Balizador da Meta'!$B$4:$B$21,'Balizador da Meta'!$C$4:$C$21)</f>
        <v>105.00000000000001</v>
      </c>
      <c r="P158" s="28">
        <f>P156*_xlfn.XLOOKUP($L158,'Balizador da Meta'!$B$4:$B$21,'Balizador da Meta'!$C$4:$C$21)</f>
        <v>105.00000000000001</v>
      </c>
      <c r="Q158" s="28">
        <f>Q156*_xlfn.XLOOKUP($L158,'Balizador da Meta'!$B$4:$B$21,'Balizador da Meta'!$C$4:$C$21)</f>
        <v>105.00000000000001</v>
      </c>
      <c r="R158" s="28">
        <f>R156*_xlfn.XLOOKUP($L158,'Balizador da Meta'!$B$4:$B$21,'Balizador da Meta'!$C$4:$C$21)</f>
        <v>105.00000000000001</v>
      </c>
      <c r="S158" s="28">
        <f>S156*_xlfn.XLOOKUP($L158,'Balizador da Meta'!$B$4:$B$21,'Balizador da Meta'!$C$4:$C$21)</f>
        <v>105.00000000000001</v>
      </c>
      <c r="T158" s="28">
        <f>T156*_xlfn.XLOOKUP($L158,'Balizador da Meta'!$B$4:$B$21,'Balizador da Meta'!$C$4:$C$21)</f>
        <v>105.00000000000001</v>
      </c>
      <c r="U158" s="28">
        <f>U156*_xlfn.XLOOKUP($L158,'Balizador da Meta'!$B$4:$B$21,'Balizador da Meta'!$C$4:$C$21)</f>
        <v>105.00000000000001</v>
      </c>
      <c r="V158" s="28">
        <f>V156*_xlfn.XLOOKUP($L158,'Balizador da Meta'!$B$4:$B$21,'Balizador da Meta'!$C$4:$C$21)</f>
        <v>105.00000000000001</v>
      </c>
      <c r="W158" s="28">
        <f>W156*_xlfn.XLOOKUP($L158,'Balizador da Meta'!$B$4:$B$21,'Balizador da Meta'!$C$4:$C$21)</f>
        <v>105.00000000000001</v>
      </c>
      <c r="X158" s="28">
        <f>X156*_xlfn.XLOOKUP($L158,'Balizador da Meta'!$B$4:$B$21,'Balizador da Meta'!$C$4:$C$21)</f>
        <v>105.00000000000001</v>
      </c>
      <c r="Y158" s="28">
        <f>Y156*_xlfn.XLOOKUP($L158,'Balizador da Meta'!$B$4:$B$21,'Balizador da Meta'!$C$4:$C$21)</f>
        <v>105.00000000000001</v>
      </c>
      <c r="Z158" s="30">
        <f t="shared" si="41"/>
        <v>1260.0000000000002</v>
      </c>
      <c r="AA158" s="29"/>
      <c r="AB158" s="31">
        <f>SUMIFS('Historico - FAT'!AK:AK,'Historico - FAT'!$K:$K,Faturamento!$L158,'Historico - FAT'!$I:$I,Faturamento!$J158,'Historico - FAT'!$G:$G,Faturamento!$H158)</f>
        <v>0</v>
      </c>
      <c r="AC158" s="31">
        <f>SUMIFS('Historico - FAT'!AL:AL,'Historico - FAT'!$K:$K,Faturamento!$L158,'Historico - FAT'!$I:$I,Faturamento!$J158,'Historico - FAT'!$G:$G,Faturamento!$H158)</f>
        <v>0</v>
      </c>
      <c r="AD158" s="31">
        <f>SUMIFS('Historico - FAT'!AM:AM,'Historico - FAT'!$K:$K,Faturamento!$L158,'Historico - FAT'!$I:$I,Faturamento!$J158,'Historico - FAT'!$G:$G,Faturamento!$H158)</f>
        <v>0</v>
      </c>
      <c r="AE158" s="27">
        <f>SUMIFS('Historico - FAT'!AN:AN,'Historico - FAT'!$K:$K,Faturamento!$L158,'Historico - FAT'!$I:$I,Faturamento!$J158,'Historico - FAT'!$G:$G,Faturamento!$H158)</f>
        <v>0</v>
      </c>
      <c r="AG158" s="24">
        <f t="shared" si="29"/>
        <v>1</v>
      </c>
      <c r="AH158" s="24">
        <f t="shared" si="30"/>
        <v>1</v>
      </c>
      <c r="AI158" s="24">
        <f t="shared" si="31"/>
        <v>1</v>
      </c>
    </row>
    <row r="159" spans="1:35" hidden="1" x14ac:dyDescent="0.3">
      <c r="A159" s="2" t="str">
        <f t="shared" si="28"/>
        <v>NÃO</v>
      </c>
      <c r="B159" s="2">
        <v>1000184670</v>
      </c>
      <c r="C159" s="2" t="s">
        <v>147</v>
      </c>
      <c r="D159" s="4">
        <v>1000186197</v>
      </c>
      <c r="E159" s="4" t="s">
        <v>166</v>
      </c>
      <c r="F159" s="2">
        <v>1000198600</v>
      </c>
      <c r="G159" s="2" t="s">
        <v>148</v>
      </c>
      <c r="H159" s="4">
        <v>1000198601</v>
      </c>
      <c r="I159" s="4" t="s">
        <v>149</v>
      </c>
      <c r="J159" s="2">
        <v>1000189757</v>
      </c>
      <c r="K159" s="2" t="s">
        <v>141</v>
      </c>
      <c r="L159" s="4" t="s">
        <v>16</v>
      </c>
      <c r="M159" s="4" t="str">
        <f t="shared" si="35"/>
        <v>1000184670100018619710001986011000189757DISNEY</v>
      </c>
      <c r="N159" s="28">
        <f>N156*_xlfn.XLOOKUP($L159,'Balizador da Meta'!$B$4:$B$21,'Balizador da Meta'!$C$4:$C$21)</f>
        <v>120</v>
      </c>
      <c r="O159" s="28">
        <f>O156*_xlfn.XLOOKUP($L159,'Balizador da Meta'!$B$4:$B$21,'Balizador da Meta'!$C$4:$C$21)</f>
        <v>120</v>
      </c>
      <c r="P159" s="28">
        <f>P156*_xlfn.XLOOKUP($L159,'Balizador da Meta'!$B$4:$B$21,'Balizador da Meta'!$C$4:$C$21)</f>
        <v>120</v>
      </c>
      <c r="Q159" s="28">
        <f>Q156*_xlfn.XLOOKUP($L159,'Balizador da Meta'!$B$4:$B$21,'Balizador da Meta'!$C$4:$C$21)</f>
        <v>120</v>
      </c>
      <c r="R159" s="28">
        <f>R156*_xlfn.XLOOKUP($L159,'Balizador da Meta'!$B$4:$B$21,'Balizador da Meta'!$C$4:$C$21)</f>
        <v>120</v>
      </c>
      <c r="S159" s="28">
        <f>S156*_xlfn.XLOOKUP($L159,'Balizador da Meta'!$B$4:$B$21,'Balizador da Meta'!$C$4:$C$21)</f>
        <v>120</v>
      </c>
      <c r="T159" s="28">
        <f>T156*_xlfn.XLOOKUP($L159,'Balizador da Meta'!$B$4:$B$21,'Balizador da Meta'!$C$4:$C$21)</f>
        <v>120</v>
      </c>
      <c r="U159" s="28">
        <f>U156*_xlfn.XLOOKUP($L159,'Balizador da Meta'!$B$4:$B$21,'Balizador da Meta'!$C$4:$C$21)</f>
        <v>120</v>
      </c>
      <c r="V159" s="28">
        <f>V156*_xlfn.XLOOKUP($L159,'Balizador da Meta'!$B$4:$B$21,'Balizador da Meta'!$C$4:$C$21)</f>
        <v>120</v>
      </c>
      <c r="W159" s="28">
        <f>W156*_xlfn.XLOOKUP($L159,'Balizador da Meta'!$B$4:$B$21,'Balizador da Meta'!$C$4:$C$21)</f>
        <v>120</v>
      </c>
      <c r="X159" s="28">
        <f>X156*_xlfn.XLOOKUP($L159,'Balizador da Meta'!$B$4:$B$21,'Balizador da Meta'!$C$4:$C$21)</f>
        <v>120</v>
      </c>
      <c r="Y159" s="28">
        <f>Y156*_xlfn.XLOOKUP($L159,'Balizador da Meta'!$B$4:$B$21,'Balizador da Meta'!$C$4:$C$21)</f>
        <v>120</v>
      </c>
      <c r="Z159" s="30">
        <f t="shared" si="41"/>
        <v>1440</v>
      </c>
      <c r="AA159" s="29"/>
      <c r="AB159" s="31">
        <f>SUMIFS('Historico - FAT'!AK:AK,'Historico - FAT'!$K:$K,Faturamento!$L159,'Historico - FAT'!$I:$I,Faturamento!$J159,'Historico - FAT'!$G:$G,Faturamento!$H159)</f>
        <v>110.34750000000001</v>
      </c>
      <c r="AC159" s="31">
        <f>SUMIFS('Historico - FAT'!AL:AL,'Historico - FAT'!$K:$K,Faturamento!$L159,'Historico - FAT'!$I:$I,Faturamento!$J159,'Historico - FAT'!$G:$G,Faturamento!$H159)</f>
        <v>140.85833333333332</v>
      </c>
      <c r="AD159" s="31">
        <f>SUMIFS('Historico - FAT'!AM:AM,'Historico - FAT'!$K:$K,Faturamento!$L159,'Historico - FAT'!$I:$I,Faturamento!$J159,'Historico - FAT'!$G:$G,Faturamento!$H159)</f>
        <v>0</v>
      </c>
      <c r="AE159" s="27">
        <f>SUMIFS('Historico - FAT'!AN:AN,'Historico - FAT'!$K:$K,Faturamento!$L159,'Historico - FAT'!$I:$I,Faturamento!$J159,'Historico - FAT'!$G:$G,Faturamento!$H159)</f>
        <v>293.57800000000003</v>
      </c>
      <c r="AG159" s="24">
        <f t="shared" si="29"/>
        <v>8.0437499999999912E-2</v>
      </c>
      <c r="AH159" s="24">
        <f t="shared" si="30"/>
        <v>-0.17381944444444433</v>
      </c>
      <c r="AI159" s="24">
        <f t="shared" si="31"/>
        <v>1</v>
      </c>
    </row>
    <row r="160" spans="1:35" hidden="1" x14ac:dyDescent="0.3">
      <c r="A160" s="2" t="str">
        <f t="shared" si="28"/>
        <v>NÃO</v>
      </c>
      <c r="B160" s="2">
        <v>1000184670</v>
      </c>
      <c r="C160" s="2" t="s">
        <v>147</v>
      </c>
      <c r="D160" s="4">
        <v>1000186197</v>
      </c>
      <c r="E160" s="4" t="s">
        <v>166</v>
      </c>
      <c r="F160" s="2">
        <v>1000198600</v>
      </c>
      <c r="G160" s="2" t="s">
        <v>148</v>
      </c>
      <c r="H160" s="4">
        <v>1000198601</v>
      </c>
      <c r="I160" s="4" t="s">
        <v>149</v>
      </c>
      <c r="J160" s="2">
        <v>1000189757</v>
      </c>
      <c r="K160" s="2" t="s">
        <v>141</v>
      </c>
      <c r="L160" s="4" t="s">
        <v>15</v>
      </c>
      <c r="M160" s="4" t="str">
        <f t="shared" si="35"/>
        <v>1000184670100018619710001986011000189757DOCES</v>
      </c>
      <c r="N160" s="28">
        <f>N156*_xlfn.XLOOKUP($L160,'Balizador da Meta'!$B$4:$B$21,'Balizador da Meta'!$C$4:$C$21)</f>
        <v>135</v>
      </c>
      <c r="O160" s="28">
        <f>O156*_xlfn.XLOOKUP($L160,'Balizador da Meta'!$B$4:$B$21,'Balizador da Meta'!$C$4:$C$21)</f>
        <v>135</v>
      </c>
      <c r="P160" s="28">
        <f>P156*_xlfn.XLOOKUP($L160,'Balizador da Meta'!$B$4:$B$21,'Balizador da Meta'!$C$4:$C$21)</f>
        <v>135</v>
      </c>
      <c r="Q160" s="28">
        <f>Q156*_xlfn.XLOOKUP($L160,'Balizador da Meta'!$B$4:$B$21,'Balizador da Meta'!$C$4:$C$21)</f>
        <v>135</v>
      </c>
      <c r="R160" s="28">
        <f>R156*_xlfn.XLOOKUP($L160,'Balizador da Meta'!$B$4:$B$21,'Balizador da Meta'!$C$4:$C$21)</f>
        <v>135</v>
      </c>
      <c r="S160" s="28">
        <f>S156*_xlfn.XLOOKUP($L160,'Balizador da Meta'!$B$4:$B$21,'Balizador da Meta'!$C$4:$C$21)</f>
        <v>135</v>
      </c>
      <c r="T160" s="28">
        <f>T156*_xlfn.XLOOKUP($L160,'Balizador da Meta'!$B$4:$B$21,'Balizador da Meta'!$C$4:$C$21)</f>
        <v>135</v>
      </c>
      <c r="U160" s="28">
        <f>U156*_xlfn.XLOOKUP($L160,'Balizador da Meta'!$B$4:$B$21,'Balizador da Meta'!$C$4:$C$21)</f>
        <v>135</v>
      </c>
      <c r="V160" s="28">
        <f>V156*_xlfn.XLOOKUP($L160,'Balizador da Meta'!$B$4:$B$21,'Balizador da Meta'!$C$4:$C$21)</f>
        <v>135</v>
      </c>
      <c r="W160" s="28">
        <f>W156*_xlfn.XLOOKUP($L160,'Balizador da Meta'!$B$4:$B$21,'Balizador da Meta'!$C$4:$C$21)</f>
        <v>135</v>
      </c>
      <c r="X160" s="28">
        <f>X156*_xlfn.XLOOKUP($L160,'Balizador da Meta'!$B$4:$B$21,'Balizador da Meta'!$C$4:$C$21)</f>
        <v>135</v>
      </c>
      <c r="Y160" s="28">
        <f>Y156*_xlfn.XLOOKUP($L160,'Balizador da Meta'!$B$4:$B$21,'Balizador da Meta'!$C$4:$C$21)</f>
        <v>135</v>
      </c>
      <c r="Z160" s="30">
        <f t="shared" si="41"/>
        <v>1620</v>
      </c>
      <c r="AA160" s="29"/>
      <c r="AB160" s="31">
        <f>SUMIFS('Historico - FAT'!AK:AK,'Historico - FAT'!$K:$K,Faturamento!$L160,'Historico - FAT'!$I:$I,Faturamento!$J160,'Historico - FAT'!$G:$G,Faturamento!$H160)</f>
        <v>24</v>
      </c>
      <c r="AC160" s="31">
        <f>SUMIFS('Historico - FAT'!AL:AL,'Historico - FAT'!$K:$K,Faturamento!$L160,'Historico - FAT'!$I:$I,Faturamento!$J160,'Historico - FAT'!$G:$G,Faturamento!$H160)</f>
        <v>97.338333333333324</v>
      </c>
      <c r="AD160" s="31">
        <f>SUMIFS('Historico - FAT'!AM:AM,'Historico - FAT'!$K:$K,Faturamento!$L160,'Historico - FAT'!$I:$I,Faturamento!$J160,'Historico - FAT'!$G:$G,Faturamento!$H160)</f>
        <v>0</v>
      </c>
      <c r="AE160" s="27">
        <f>SUMIFS('Historico - FAT'!AN:AN,'Historico - FAT'!$K:$K,Faturamento!$L160,'Historico - FAT'!$I:$I,Faturamento!$J160,'Historico - FAT'!$G:$G,Faturamento!$H160)</f>
        <v>145.60599999999999</v>
      </c>
      <c r="AG160" s="24">
        <f t="shared" si="29"/>
        <v>0.82222222222222219</v>
      </c>
      <c r="AH160" s="24">
        <f t="shared" si="30"/>
        <v>0.27897530864197539</v>
      </c>
      <c r="AI160" s="24">
        <f t="shared" si="31"/>
        <v>1</v>
      </c>
    </row>
    <row r="161" spans="1:35" hidden="1" x14ac:dyDescent="0.3">
      <c r="A161" s="2" t="str">
        <f t="shared" si="28"/>
        <v>NÃO</v>
      </c>
      <c r="B161" s="2">
        <v>1000184670</v>
      </c>
      <c r="C161" s="2" t="s">
        <v>147</v>
      </c>
      <c r="D161" s="4">
        <v>1000186197</v>
      </c>
      <c r="E161" s="4" t="s">
        <v>166</v>
      </c>
      <c r="F161" s="2">
        <v>1000198600</v>
      </c>
      <c r="G161" s="2" t="s">
        <v>148</v>
      </c>
      <c r="H161" s="4">
        <v>1000198601</v>
      </c>
      <c r="I161" s="4" t="s">
        <v>149</v>
      </c>
      <c r="J161" s="2">
        <v>1000189757</v>
      </c>
      <c r="K161" s="2" t="s">
        <v>141</v>
      </c>
      <c r="L161" s="4" t="s">
        <v>33</v>
      </c>
      <c r="M161" s="4" t="str">
        <f t="shared" si="35"/>
        <v>1000184670100018619710001986011000189757FOOD SERVICE</v>
      </c>
      <c r="N161" s="28">
        <f>N156*_xlfn.XLOOKUP($L161,'Balizador da Meta'!$B$4:$B$21,'Balizador da Meta'!$C$4:$C$21)</f>
        <v>0</v>
      </c>
      <c r="O161" s="28">
        <f>O156*_xlfn.XLOOKUP($L161,'Balizador da Meta'!$B$4:$B$21,'Balizador da Meta'!$C$4:$C$21)</f>
        <v>0</v>
      </c>
      <c r="P161" s="28">
        <f>P156*_xlfn.XLOOKUP($L161,'Balizador da Meta'!$B$4:$B$21,'Balizador da Meta'!$C$4:$C$21)</f>
        <v>0</v>
      </c>
      <c r="Q161" s="28">
        <f>Q156*_xlfn.XLOOKUP($L161,'Balizador da Meta'!$B$4:$B$21,'Balizador da Meta'!$C$4:$C$21)</f>
        <v>0</v>
      </c>
      <c r="R161" s="28">
        <f>R156*_xlfn.XLOOKUP($L161,'Balizador da Meta'!$B$4:$B$21,'Balizador da Meta'!$C$4:$C$21)</f>
        <v>0</v>
      </c>
      <c r="S161" s="28">
        <f>S156*_xlfn.XLOOKUP($L161,'Balizador da Meta'!$B$4:$B$21,'Balizador da Meta'!$C$4:$C$21)</f>
        <v>0</v>
      </c>
      <c r="T161" s="28">
        <f>T156*_xlfn.XLOOKUP($L161,'Balizador da Meta'!$B$4:$B$21,'Balizador da Meta'!$C$4:$C$21)</f>
        <v>0</v>
      </c>
      <c r="U161" s="28">
        <f>U156*_xlfn.XLOOKUP($L161,'Balizador da Meta'!$B$4:$B$21,'Balizador da Meta'!$C$4:$C$21)</f>
        <v>0</v>
      </c>
      <c r="V161" s="28">
        <f>V156*_xlfn.XLOOKUP($L161,'Balizador da Meta'!$B$4:$B$21,'Balizador da Meta'!$C$4:$C$21)</f>
        <v>0</v>
      </c>
      <c r="W161" s="28">
        <f>W156*_xlfn.XLOOKUP($L161,'Balizador da Meta'!$B$4:$B$21,'Balizador da Meta'!$C$4:$C$21)</f>
        <v>0</v>
      </c>
      <c r="X161" s="28">
        <f>X156*_xlfn.XLOOKUP($L161,'Balizador da Meta'!$B$4:$B$21,'Balizador da Meta'!$C$4:$C$21)</f>
        <v>0</v>
      </c>
      <c r="Y161" s="28">
        <f>Y156*_xlfn.XLOOKUP($L161,'Balizador da Meta'!$B$4:$B$21,'Balizador da Meta'!$C$4:$C$21)</f>
        <v>0</v>
      </c>
      <c r="Z161" s="30">
        <f t="shared" si="41"/>
        <v>0</v>
      </c>
      <c r="AA161" s="29"/>
      <c r="AB161" s="31">
        <f>SUMIFS('Historico - FAT'!AK:AK,'Historico - FAT'!$K:$K,Faturamento!$L161,'Historico - FAT'!$I:$I,Faturamento!$J161,'Historico - FAT'!$G:$G,Faturamento!$H161)</f>
        <v>0</v>
      </c>
      <c r="AC161" s="31">
        <f>SUMIFS('Historico - FAT'!AL:AL,'Historico - FAT'!$K:$K,Faturamento!$L161,'Historico - FAT'!$I:$I,Faturamento!$J161,'Historico - FAT'!$G:$G,Faturamento!$H161)</f>
        <v>0</v>
      </c>
      <c r="AD161" s="31">
        <f>SUMIFS('Historico - FAT'!AM:AM,'Historico - FAT'!$K:$K,Faturamento!$L161,'Historico - FAT'!$I:$I,Faturamento!$J161,'Historico - FAT'!$G:$G,Faturamento!$H161)</f>
        <v>0</v>
      </c>
      <c r="AE161" s="27">
        <f>SUMIFS('Historico - FAT'!AN:AN,'Historico - FAT'!$K:$K,Faturamento!$L161,'Historico - FAT'!$I:$I,Faturamento!$J161,'Historico - FAT'!$G:$G,Faturamento!$H161)</f>
        <v>0</v>
      </c>
      <c r="AG161" s="24" t="str">
        <f t="shared" si="29"/>
        <v/>
      </c>
      <c r="AH161" s="24" t="str">
        <f t="shared" si="30"/>
        <v/>
      </c>
      <c r="AI161" s="24" t="str">
        <f t="shared" si="31"/>
        <v/>
      </c>
    </row>
    <row r="162" spans="1:35" hidden="1" x14ac:dyDescent="0.3">
      <c r="A162" s="2" t="str">
        <f t="shared" si="28"/>
        <v>NÃO</v>
      </c>
      <c r="B162" s="2">
        <v>1000184670</v>
      </c>
      <c r="C162" s="2" t="s">
        <v>147</v>
      </c>
      <c r="D162" s="4">
        <v>1000186197</v>
      </c>
      <c r="E162" s="4" t="s">
        <v>166</v>
      </c>
      <c r="F162" s="2">
        <v>1000198600</v>
      </c>
      <c r="G162" s="2" t="s">
        <v>148</v>
      </c>
      <c r="H162" s="4">
        <v>1000198601</v>
      </c>
      <c r="I162" s="4" t="s">
        <v>149</v>
      </c>
      <c r="J162" s="2">
        <v>1000189757</v>
      </c>
      <c r="K162" s="2" t="s">
        <v>141</v>
      </c>
      <c r="L162" s="4" t="s">
        <v>19</v>
      </c>
      <c r="M162" s="4" t="str">
        <f t="shared" si="35"/>
        <v>1000184670100018619710001986011000189757GELEIA</v>
      </c>
      <c r="N162" s="28">
        <f>N156*_xlfn.XLOOKUP($L162,'Balizador da Meta'!$B$4:$B$21,'Balizador da Meta'!$C$4:$C$21)</f>
        <v>29.999999999999996</v>
      </c>
      <c r="O162" s="28">
        <f>O156*_xlfn.XLOOKUP($L162,'Balizador da Meta'!$B$4:$B$21,'Balizador da Meta'!$C$4:$C$21)</f>
        <v>29.999999999999996</v>
      </c>
      <c r="P162" s="28">
        <f>P156*_xlfn.XLOOKUP($L162,'Balizador da Meta'!$B$4:$B$21,'Balizador da Meta'!$C$4:$C$21)</f>
        <v>29.999999999999996</v>
      </c>
      <c r="Q162" s="28">
        <f>Q156*_xlfn.XLOOKUP($L162,'Balizador da Meta'!$B$4:$B$21,'Balizador da Meta'!$C$4:$C$21)</f>
        <v>29.999999999999996</v>
      </c>
      <c r="R162" s="28">
        <f>R156*_xlfn.XLOOKUP($L162,'Balizador da Meta'!$B$4:$B$21,'Balizador da Meta'!$C$4:$C$21)</f>
        <v>29.999999999999996</v>
      </c>
      <c r="S162" s="28">
        <f>S156*_xlfn.XLOOKUP($L162,'Balizador da Meta'!$B$4:$B$21,'Balizador da Meta'!$C$4:$C$21)</f>
        <v>29.999999999999996</v>
      </c>
      <c r="T162" s="28">
        <f>T156*_xlfn.XLOOKUP($L162,'Balizador da Meta'!$B$4:$B$21,'Balizador da Meta'!$C$4:$C$21)</f>
        <v>29.999999999999996</v>
      </c>
      <c r="U162" s="28">
        <f>U156*_xlfn.XLOOKUP($L162,'Balizador da Meta'!$B$4:$B$21,'Balizador da Meta'!$C$4:$C$21)</f>
        <v>29.999999999999996</v>
      </c>
      <c r="V162" s="28">
        <f>V156*_xlfn.XLOOKUP($L162,'Balizador da Meta'!$B$4:$B$21,'Balizador da Meta'!$C$4:$C$21)</f>
        <v>29.999999999999996</v>
      </c>
      <c r="W162" s="28">
        <f>W156*_xlfn.XLOOKUP($L162,'Balizador da Meta'!$B$4:$B$21,'Balizador da Meta'!$C$4:$C$21)</f>
        <v>29.999999999999996</v>
      </c>
      <c r="X162" s="28">
        <f>X156*_xlfn.XLOOKUP($L162,'Balizador da Meta'!$B$4:$B$21,'Balizador da Meta'!$C$4:$C$21)</f>
        <v>29.999999999999996</v>
      </c>
      <c r="Y162" s="28">
        <f>Y156*_xlfn.XLOOKUP($L162,'Balizador da Meta'!$B$4:$B$21,'Balizador da Meta'!$C$4:$C$21)</f>
        <v>29.999999999999996</v>
      </c>
      <c r="Z162" s="30">
        <f t="shared" si="41"/>
        <v>359.99999999999994</v>
      </c>
      <c r="AA162" s="29"/>
      <c r="AB162" s="31">
        <f>SUMIFS('Historico - FAT'!AK:AK,'Historico - FAT'!$K:$K,Faturamento!$L162,'Historico - FAT'!$I:$I,Faturamento!$J162,'Historico - FAT'!$G:$G,Faturamento!$H162)</f>
        <v>0</v>
      </c>
      <c r="AC162" s="31">
        <f>SUMIFS('Historico - FAT'!AL:AL,'Historico - FAT'!$K:$K,Faturamento!$L162,'Historico - FAT'!$I:$I,Faturamento!$J162,'Historico - FAT'!$G:$G,Faturamento!$H162)</f>
        <v>0</v>
      </c>
      <c r="AD162" s="31">
        <f>SUMIFS('Historico - FAT'!AM:AM,'Historico - FAT'!$K:$K,Faturamento!$L162,'Historico - FAT'!$I:$I,Faturamento!$J162,'Historico - FAT'!$G:$G,Faturamento!$H162)</f>
        <v>0</v>
      </c>
      <c r="AE162" s="27">
        <f>SUMIFS('Historico - FAT'!AN:AN,'Historico - FAT'!$K:$K,Faturamento!$L162,'Historico - FAT'!$I:$I,Faturamento!$J162,'Historico - FAT'!$G:$G,Faturamento!$H162)</f>
        <v>0</v>
      </c>
      <c r="AG162" s="24">
        <f t="shared" si="29"/>
        <v>1</v>
      </c>
      <c r="AH162" s="24">
        <f t="shared" si="30"/>
        <v>1</v>
      </c>
      <c r="AI162" s="24">
        <f t="shared" si="31"/>
        <v>1</v>
      </c>
    </row>
    <row r="163" spans="1:35" hidden="1" x14ac:dyDescent="0.3">
      <c r="A163" s="2" t="str">
        <f t="shared" si="28"/>
        <v>NÃO</v>
      </c>
      <c r="B163" s="2">
        <v>1000184670</v>
      </c>
      <c r="C163" s="2" t="s">
        <v>147</v>
      </c>
      <c r="D163" s="4">
        <v>1000186197</v>
      </c>
      <c r="E163" s="4" t="s">
        <v>166</v>
      </c>
      <c r="F163" s="2">
        <v>1000198600</v>
      </c>
      <c r="G163" s="2" t="s">
        <v>148</v>
      </c>
      <c r="H163" s="4">
        <v>1000198601</v>
      </c>
      <c r="I163" s="4" t="s">
        <v>149</v>
      </c>
      <c r="J163" s="2">
        <v>1000189757</v>
      </c>
      <c r="K163" s="2" t="s">
        <v>141</v>
      </c>
      <c r="L163" s="4" t="s">
        <v>17</v>
      </c>
      <c r="M163" s="4" t="str">
        <f t="shared" si="35"/>
        <v>1000184670100018619710001986011000189757GRANOLA</v>
      </c>
      <c r="N163" s="28">
        <f>N156*_xlfn.XLOOKUP($L163,'Balizador da Meta'!$B$4:$B$21,'Balizador da Meta'!$C$4:$C$21)</f>
        <v>30</v>
      </c>
      <c r="O163" s="28">
        <f>O156*_xlfn.XLOOKUP($L163,'Balizador da Meta'!$B$4:$B$21,'Balizador da Meta'!$C$4:$C$21)</f>
        <v>30</v>
      </c>
      <c r="P163" s="28">
        <f>P156*_xlfn.XLOOKUP($L163,'Balizador da Meta'!$B$4:$B$21,'Balizador da Meta'!$C$4:$C$21)</f>
        <v>30</v>
      </c>
      <c r="Q163" s="28">
        <f>Q156*_xlfn.XLOOKUP($L163,'Balizador da Meta'!$B$4:$B$21,'Balizador da Meta'!$C$4:$C$21)</f>
        <v>30</v>
      </c>
      <c r="R163" s="28">
        <f>R156*_xlfn.XLOOKUP($L163,'Balizador da Meta'!$B$4:$B$21,'Balizador da Meta'!$C$4:$C$21)</f>
        <v>30</v>
      </c>
      <c r="S163" s="28">
        <f>S156*_xlfn.XLOOKUP($L163,'Balizador da Meta'!$B$4:$B$21,'Balizador da Meta'!$C$4:$C$21)</f>
        <v>30</v>
      </c>
      <c r="T163" s="28">
        <f>T156*_xlfn.XLOOKUP($L163,'Balizador da Meta'!$B$4:$B$21,'Balizador da Meta'!$C$4:$C$21)</f>
        <v>30</v>
      </c>
      <c r="U163" s="28">
        <f>U156*_xlfn.XLOOKUP($L163,'Balizador da Meta'!$B$4:$B$21,'Balizador da Meta'!$C$4:$C$21)</f>
        <v>30</v>
      </c>
      <c r="V163" s="28">
        <f>V156*_xlfn.XLOOKUP($L163,'Balizador da Meta'!$B$4:$B$21,'Balizador da Meta'!$C$4:$C$21)</f>
        <v>30</v>
      </c>
      <c r="W163" s="28">
        <f>W156*_xlfn.XLOOKUP($L163,'Balizador da Meta'!$B$4:$B$21,'Balizador da Meta'!$C$4:$C$21)</f>
        <v>30</v>
      </c>
      <c r="X163" s="28">
        <f>X156*_xlfn.XLOOKUP($L163,'Balizador da Meta'!$B$4:$B$21,'Balizador da Meta'!$C$4:$C$21)</f>
        <v>30</v>
      </c>
      <c r="Y163" s="28">
        <f>Y156*_xlfn.XLOOKUP($L163,'Balizador da Meta'!$B$4:$B$21,'Balizador da Meta'!$C$4:$C$21)</f>
        <v>30</v>
      </c>
      <c r="Z163" s="30">
        <f t="shared" si="41"/>
        <v>360</v>
      </c>
      <c r="AA163" s="29"/>
      <c r="AB163" s="31">
        <f>SUMIFS('Historico - FAT'!AK:AK,'Historico - FAT'!$K:$K,Faturamento!$L163,'Historico - FAT'!$I:$I,Faturamento!$J163,'Historico - FAT'!$G:$G,Faturamento!$H163)</f>
        <v>0</v>
      </c>
      <c r="AC163" s="31">
        <f>SUMIFS('Historico - FAT'!AL:AL,'Historico - FAT'!$K:$K,Faturamento!$L163,'Historico - FAT'!$I:$I,Faturamento!$J163,'Historico - FAT'!$G:$G,Faturamento!$H163)</f>
        <v>0</v>
      </c>
      <c r="AD163" s="31">
        <f>SUMIFS('Historico - FAT'!AM:AM,'Historico - FAT'!$K:$K,Faturamento!$L163,'Historico - FAT'!$I:$I,Faturamento!$J163,'Historico - FAT'!$G:$G,Faturamento!$H163)</f>
        <v>0</v>
      </c>
      <c r="AE163" s="27">
        <f>SUMIFS('Historico - FAT'!AN:AN,'Historico - FAT'!$K:$K,Faturamento!$L163,'Historico - FAT'!$I:$I,Faturamento!$J163,'Historico - FAT'!$G:$G,Faturamento!$H163)</f>
        <v>0</v>
      </c>
      <c r="AG163" s="24">
        <f t="shared" si="29"/>
        <v>1</v>
      </c>
      <c r="AH163" s="24">
        <f t="shared" si="30"/>
        <v>1</v>
      </c>
      <c r="AI163" s="24">
        <f t="shared" si="31"/>
        <v>1</v>
      </c>
    </row>
    <row r="164" spans="1:35" hidden="1" x14ac:dyDescent="0.3">
      <c r="A164" s="2" t="str">
        <f t="shared" si="28"/>
        <v>NÃO</v>
      </c>
      <c r="B164" s="2">
        <v>1000184670</v>
      </c>
      <c r="C164" s="2" t="s">
        <v>147</v>
      </c>
      <c r="D164" s="4">
        <v>1000186197</v>
      </c>
      <c r="E164" s="4" t="s">
        <v>166</v>
      </c>
      <c r="F164" s="2">
        <v>1000198600</v>
      </c>
      <c r="G164" s="2" t="s">
        <v>148</v>
      </c>
      <c r="H164" s="4">
        <v>1000198601</v>
      </c>
      <c r="I164" s="4" t="s">
        <v>149</v>
      </c>
      <c r="J164" s="2">
        <v>1000189757</v>
      </c>
      <c r="K164" s="2" t="s">
        <v>141</v>
      </c>
      <c r="L164" s="4" t="s">
        <v>24</v>
      </c>
      <c r="M164" s="4" t="str">
        <f t="shared" si="35"/>
        <v>1000184670100018619710001986011000189757KIDS</v>
      </c>
      <c r="N164" s="28">
        <f>N156*_xlfn.XLOOKUP($L164,'Balizador da Meta'!$B$4:$B$21,'Balizador da Meta'!$C$4:$C$21)</f>
        <v>0</v>
      </c>
      <c r="O164" s="28">
        <f>O156*_xlfn.XLOOKUP($L164,'Balizador da Meta'!$B$4:$B$21,'Balizador da Meta'!$C$4:$C$21)</f>
        <v>0</v>
      </c>
      <c r="P164" s="28">
        <f>P156*_xlfn.XLOOKUP($L164,'Balizador da Meta'!$B$4:$B$21,'Balizador da Meta'!$C$4:$C$21)</f>
        <v>0</v>
      </c>
      <c r="Q164" s="28">
        <f>Q156*_xlfn.XLOOKUP($L164,'Balizador da Meta'!$B$4:$B$21,'Balizador da Meta'!$C$4:$C$21)</f>
        <v>0</v>
      </c>
      <c r="R164" s="28">
        <f>R156*_xlfn.XLOOKUP($L164,'Balizador da Meta'!$B$4:$B$21,'Balizador da Meta'!$C$4:$C$21)</f>
        <v>0</v>
      </c>
      <c r="S164" s="28">
        <f>S156*_xlfn.XLOOKUP($L164,'Balizador da Meta'!$B$4:$B$21,'Balizador da Meta'!$C$4:$C$21)</f>
        <v>0</v>
      </c>
      <c r="T164" s="28">
        <f>T156*_xlfn.XLOOKUP($L164,'Balizador da Meta'!$B$4:$B$21,'Balizador da Meta'!$C$4:$C$21)</f>
        <v>0</v>
      </c>
      <c r="U164" s="28">
        <f>U156*_xlfn.XLOOKUP($L164,'Balizador da Meta'!$B$4:$B$21,'Balizador da Meta'!$C$4:$C$21)</f>
        <v>0</v>
      </c>
      <c r="V164" s="28">
        <f>V156*_xlfn.XLOOKUP($L164,'Balizador da Meta'!$B$4:$B$21,'Balizador da Meta'!$C$4:$C$21)</f>
        <v>0</v>
      </c>
      <c r="W164" s="28">
        <f>W156*_xlfn.XLOOKUP($L164,'Balizador da Meta'!$B$4:$B$21,'Balizador da Meta'!$C$4:$C$21)</f>
        <v>0</v>
      </c>
      <c r="X164" s="28">
        <f>X156*_xlfn.XLOOKUP($L164,'Balizador da Meta'!$B$4:$B$21,'Balizador da Meta'!$C$4:$C$21)</f>
        <v>0</v>
      </c>
      <c r="Y164" s="28">
        <f>Y156*_xlfn.XLOOKUP($L164,'Balizador da Meta'!$B$4:$B$21,'Balizador da Meta'!$C$4:$C$21)</f>
        <v>0</v>
      </c>
      <c r="Z164" s="30">
        <f t="shared" si="41"/>
        <v>0</v>
      </c>
      <c r="AA164" s="29"/>
      <c r="AB164" s="31">
        <f>SUMIFS('Historico - FAT'!AK:AK,'Historico - FAT'!$K:$K,Faturamento!$L164,'Historico - FAT'!$I:$I,Faturamento!$J164,'Historico - FAT'!$G:$G,Faturamento!$H164)</f>
        <v>0</v>
      </c>
      <c r="AC164" s="31">
        <f>SUMIFS('Historico - FAT'!AL:AL,'Historico - FAT'!$K:$K,Faturamento!$L164,'Historico - FAT'!$I:$I,Faturamento!$J164,'Historico - FAT'!$G:$G,Faturamento!$H164)</f>
        <v>0</v>
      </c>
      <c r="AD164" s="31">
        <f>SUMIFS('Historico - FAT'!AM:AM,'Historico - FAT'!$K:$K,Faturamento!$L164,'Historico - FAT'!$I:$I,Faturamento!$J164,'Historico - FAT'!$G:$G,Faturamento!$H164)</f>
        <v>0</v>
      </c>
      <c r="AE164" s="27">
        <f>SUMIFS('Historico - FAT'!AN:AN,'Historico - FAT'!$K:$K,Faturamento!$L164,'Historico - FAT'!$I:$I,Faturamento!$J164,'Historico - FAT'!$G:$G,Faturamento!$H164)</f>
        <v>0</v>
      </c>
      <c r="AG164" s="24" t="str">
        <f t="shared" si="29"/>
        <v/>
      </c>
      <c r="AH164" s="24" t="str">
        <f t="shared" si="30"/>
        <v/>
      </c>
      <c r="AI164" s="24" t="str">
        <f t="shared" si="31"/>
        <v/>
      </c>
    </row>
    <row r="165" spans="1:35" hidden="1" x14ac:dyDescent="0.3">
      <c r="A165" s="2" t="str">
        <f t="shared" si="28"/>
        <v>NÃO</v>
      </c>
      <c r="B165" s="2">
        <v>1000184670</v>
      </c>
      <c r="C165" s="2" t="s">
        <v>147</v>
      </c>
      <c r="D165" s="4">
        <v>1000186197</v>
      </c>
      <c r="E165" s="4" t="s">
        <v>166</v>
      </c>
      <c r="F165" s="2">
        <v>1000198600</v>
      </c>
      <c r="G165" s="2" t="s">
        <v>148</v>
      </c>
      <c r="H165" s="4">
        <v>1000198601</v>
      </c>
      <c r="I165" s="4" t="s">
        <v>149</v>
      </c>
      <c r="J165" s="2">
        <v>1000189757</v>
      </c>
      <c r="K165" s="2" t="s">
        <v>141</v>
      </c>
      <c r="L165" s="4" t="s">
        <v>18</v>
      </c>
      <c r="M165" s="4" t="str">
        <f t="shared" si="35"/>
        <v>1000184670100018619710001986011000189757LANCHES</v>
      </c>
      <c r="N165" s="28">
        <f>N156*_xlfn.XLOOKUP($L165,'Balizador da Meta'!$B$4:$B$21,'Balizador da Meta'!$C$4:$C$21)</f>
        <v>15</v>
      </c>
      <c r="O165" s="28">
        <f>O156*_xlfn.XLOOKUP($L165,'Balizador da Meta'!$B$4:$B$21,'Balizador da Meta'!$C$4:$C$21)</f>
        <v>15</v>
      </c>
      <c r="P165" s="28">
        <f>P156*_xlfn.XLOOKUP($L165,'Balizador da Meta'!$B$4:$B$21,'Balizador da Meta'!$C$4:$C$21)</f>
        <v>15</v>
      </c>
      <c r="Q165" s="28">
        <f>Q156*_xlfn.XLOOKUP($L165,'Balizador da Meta'!$B$4:$B$21,'Balizador da Meta'!$C$4:$C$21)</f>
        <v>15</v>
      </c>
      <c r="R165" s="28">
        <f>R156*_xlfn.XLOOKUP($L165,'Balizador da Meta'!$B$4:$B$21,'Balizador da Meta'!$C$4:$C$21)</f>
        <v>15</v>
      </c>
      <c r="S165" s="28">
        <f>S156*_xlfn.XLOOKUP($L165,'Balizador da Meta'!$B$4:$B$21,'Balizador da Meta'!$C$4:$C$21)</f>
        <v>15</v>
      </c>
      <c r="T165" s="28">
        <f>T156*_xlfn.XLOOKUP($L165,'Balizador da Meta'!$B$4:$B$21,'Balizador da Meta'!$C$4:$C$21)</f>
        <v>15</v>
      </c>
      <c r="U165" s="28">
        <f>U156*_xlfn.XLOOKUP($L165,'Balizador da Meta'!$B$4:$B$21,'Balizador da Meta'!$C$4:$C$21)</f>
        <v>15</v>
      </c>
      <c r="V165" s="28">
        <f>V156*_xlfn.XLOOKUP($L165,'Balizador da Meta'!$B$4:$B$21,'Balizador da Meta'!$C$4:$C$21)</f>
        <v>15</v>
      </c>
      <c r="W165" s="28">
        <f>W156*_xlfn.XLOOKUP($L165,'Balizador da Meta'!$B$4:$B$21,'Balizador da Meta'!$C$4:$C$21)</f>
        <v>15</v>
      </c>
      <c r="X165" s="28">
        <f>X156*_xlfn.XLOOKUP($L165,'Balizador da Meta'!$B$4:$B$21,'Balizador da Meta'!$C$4:$C$21)</f>
        <v>15</v>
      </c>
      <c r="Y165" s="28">
        <f>Y156*_xlfn.XLOOKUP($L165,'Balizador da Meta'!$B$4:$B$21,'Balizador da Meta'!$C$4:$C$21)</f>
        <v>15</v>
      </c>
      <c r="Z165" s="30">
        <f t="shared" si="41"/>
        <v>180</v>
      </c>
      <c r="AA165" s="29"/>
      <c r="AB165" s="31">
        <f>SUMIFS('Historico - FAT'!AK:AK,'Historico - FAT'!$K:$K,Faturamento!$L165,'Historico - FAT'!$I:$I,Faturamento!$J165,'Historico - FAT'!$G:$G,Faturamento!$H165)</f>
        <v>0</v>
      </c>
      <c r="AC165" s="31">
        <f>SUMIFS('Historico - FAT'!AL:AL,'Historico - FAT'!$K:$K,Faturamento!$L165,'Historico - FAT'!$I:$I,Faturamento!$J165,'Historico - FAT'!$G:$G,Faturamento!$H165)</f>
        <v>0</v>
      </c>
      <c r="AD165" s="31">
        <f>SUMIFS('Historico - FAT'!AM:AM,'Historico - FAT'!$K:$K,Faturamento!$L165,'Historico - FAT'!$I:$I,Faturamento!$J165,'Historico - FAT'!$G:$G,Faturamento!$H165)</f>
        <v>0</v>
      </c>
      <c r="AE165" s="27">
        <f>SUMIFS('Historico - FAT'!AN:AN,'Historico - FAT'!$K:$K,Faturamento!$L165,'Historico - FAT'!$I:$I,Faturamento!$J165,'Historico - FAT'!$G:$G,Faturamento!$H165)</f>
        <v>0</v>
      </c>
      <c r="AG165" s="24">
        <f t="shared" si="29"/>
        <v>1</v>
      </c>
      <c r="AH165" s="24">
        <f t="shared" si="30"/>
        <v>1</v>
      </c>
      <c r="AI165" s="24">
        <f t="shared" si="31"/>
        <v>1</v>
      </c>
    </row>
    <row r="166" spans="1:35" hidden="1" x14ac:dyDescent="0.3">
      <c r="A166" s="2" t="str">
        <f t="shared" si="28"/>
        <v>NÃO</v>
      </c>
      <c r="B166" s="2">
        <v>1000184670</v>
      </c>
      <c r="C166" s="2" t="s">
        <v>147</v>
      </c>
      <c r="D166" s="4">
        <v>1000186197</v>
      </c>
      <c r="E166" s="4" t="s">
        <v>166</v>
      </c>
      <c r="F166" s="2">
        <v>1000198600</v>
      </c>
      <c r="G166" s="2" t="s">
        <v>148</v>
      </c>
      <c r="H166" s="4">
        <v>1000198601</v>
      </c>
      <c r="I166" s="4" t="s">
        <v>149</v>
      </c>
      <c r="J166" s="2">
        <v>1000189757</v>
      </c>
      <c r="K166" s="2" t="s">
        <v>141</v>
      </c>
      <c r="L166" s="4" t="s">
        <v>29</v>
      </c>
      <c r="M166" s="4" t="str">
        <f t="shared" si="35"/>
        <v>1000184670100018619710001986011000189757MAIS GRANEL</v>
      </c>
      <c r="N166" s="28">
        <f>N156*_xlfn.XLOOKUP($L166,'Balizador da Meta'!$B$4:$B$21,'Balizador da Meta'!$C$4:$C$21)</f>
        <v>480</v>
      </c>
      <c r="O166" s="28">
        <f>O156*_xlfn.XLOOKUP($L166,'Balizador da Meta'!$B$4:$B$21,'Balizador da Meta'!$C$4:$C$21)</f>
        <v>480</v>
      </c>
      <c r="P166" s="28">
        <f>P156*_xlfn.XLOOKUP($L166,'Balizador da Meta'!$B$4:$B$21,'Balizador da Meta'!$C$4:$C$21)</f>
        <v>480</v>
      </c>
      <c r="Q166" s="28">
        <f>Q156*_xlfn.XLOOKUP($L166,'Balizador da Meta'!$B$4:$B$21,'Balizador da Meta'!$C$4:$C$21)</f>
        <v>480</v>
      </c>
      <c r="R166" s="28">
        <f>R156*_xlfn.XLOOKUP($L166,'Balizador da Meta'!$B$4:$B$21,'Balizador da Meta'!$C$4:$C$21)</f>
        <v>480</v>
      </c>
      <c r="S166" s="28">
        <f>S156*_xlfn.XLOOKUP($L166,'Balizador da Meta'!$B$4:$B$21,'Balizador da Meta'!$C$4:$C$21)</f>
        <v>480</v>
      </c>
      <c r="T166" s="28">
        <f>T156*_xlfn.XLOOKUP($L166,'Balizador da Meta'!$B$4:$B$21,'Balizador da Meta'!$C$4:$C$21)</f>
        <v>480</v>
      </c>
      <c r="U166" s="28">
        <f>U156*_xlfn.XLOOKUP($L166,'Balizador da Meta'!$B$4:$B$21,'Balizador da Meta'!$C$4:$C$21)</f>
        <v>480</v>
      </c>
      <c r="V166" s="28">
        <f>V156*_xlfn.XLOOKUP($L166,'Balizador da Meta'!$B$4:$B$21,'Balizador da Meta'!$C$4:$C$21)</f>
        <v>480</v>
      </c>
      <c r="W166" s="28">
        <f>W156*_xlfn.XLOOKUP($L166,'Balizador da Meta'!$B$4:$B$21,'Balizador da Meta'!$C$4:$C$21)</f>
        <v>480</v>
      </c>
      <c r="X166" s="28">
        <f>X156*_xlfn.XLOOKUP($L166,'Balizador da Meta'!$B$4:$B$21,'Balizador da Meta'!$C$4:$C$21)</f>
        <v>480</v>
      </c>
      <c r="Y166" s="28">
        <f>Y156*_xlfn.XLOOKUP($L166,'Balizador da Meta'!$B$4:$B$21,'Balizador da Meta'!$C$4:$C$21)</f>
        <v>480</v>
      </c>
      <c r="Z166" s="30">
        <f t="shared" si="41"/>
        <v>5760</v>
      </c>
      <c r="AA166" s="29"/>
      <c r="AB166" s="31">
        <f>SUMIFS('Historico - FAT'!AK:AK,'Historico - FAT'!$K:$K,Faturamento!$L166,'Historico - FAT'!$I:$I,Faturamento!$J166,'Historico - FAT'!$G:$G,Faturamento!$H166)</f>
        <v>0</v>
      </c>
      <c r="AC166" s="31">
        <f>SUMIFS('Historico - FAT'!AL:AL,'Historico - FAT'!$K:$K,Faturamento!$L166,'Historico - FAT'!$I:$I,Faturamento!$J166,'Historico - FAT'!$G:$G,Faturamento!$H166)</f>
        <v>0</v>
      </c>
      <c r="AD166" s="31">
        <f>SUMIFS('Historico - FAT'!AM:AM,'Historico - FAT'!$K:$K,Faturamento!$L166,'Historico - FAT'!$I:$I,Faturamento!$J166,'Historico - FAT'!$G:$G,Faturamento!$H166)</f>
        <v>0</v>
      </c>
      <c r="AE166" s="27">
        <f>SUMIFS('Historico - FAT'!AN:AN,'Historico - FAT'!$K:$K,Faturamento!$L166,'Historico - FAT'!$I:$I,Faturamento!$J166,'Historico - FAT'!$G:$G,Faturamento!$H166)</f>
        <v>0</v>
      </c>
      <c r="AG166" s="24">
        <f t="shared" si="29"/>
        <v>1</v>
      </c>
      <c r="AH166" s="24">
        <f t="shared" si="30"/>
        <v>1</v>
      </c>
      <c r="AI166" s="24">
        <f t="shared" si="31"/>
        <v>1</v>
      </c>
    </row>
    <row r="167" spans="1:35" hidden="1" x14ac:dyDescent="0.3">
      <c r="A167" s="2" t="str">
        <f t="shared" si="28"/>
        <v>NÃO</v>
      </c>
      <c r="B167" s="2">
        <v>1000184670</v>
      </c>
      <c r="C167" s="2" t="s">
        <v>147</v>
      </c>
      <c r="D167" s="4">
        <v>1000186197</v>
      </c>
      <c r="E167" s="4" t="s">
        <v>166</v>
      </c>
      <c r="F167" s="2">
        <v>1000198600</v>
      </c>
      <c r="G167" s="2" t="s">
        <v>148</v>
      </c>
      <c r="H167" s="4">
        <v>1000198601</v>
      </c>
      <c r="I167" s="4" t="s">
        <v>149</v>
      </c>
      <c r="J167" s="2">
        <v>1000189757</v>
      </c>
      <c r="K167" s="2" t="s">
        <v>141</v>
      </c>
      <c r="L167" s="4" t="s">
        <v>21</v>
      </c>
      <c r="M167" s="4" t="str">
        <f t="shared" si="35"/>
        <v>1000184670100018619710001986011000189757NATURATTA</v>
      </c>
      <c r="N167" s="28">
        <f>N156*_xlfn.XLOOKUP($L167,'Balizador da Meta'!$B$4:$B$21,'Balizador da Meta'!$C$4:$C$21)</f>
        <v>75</v>
      </c>
      <c r="O167" s="28">
        <f>O156*_xlfn.XLOOKUP($L167,'Balizador da Meta'!$B$4:$B$21,'Balizador da Meta'!$C$4:$C$21)</f>
        <v>75</v>
      </c>
      <c r="P167" s="28">
        <f>P156*_xlfn.XLOOKUP($L167,'Balizador da Meta'!$B$4:$B$21,'Balizador da Meta'!$C$4:$C$21)</f>
        <v>75</v>
      </c>
      <c r="Q167" s="28">
        <f>Q156*_xlfn.XLOOKUP($L167,'Balizador da Meta'!$B$4:$B$21,'Balizador da Meta'!$C$4:$C$21)</f>
        <v>75</v>
      </c>
      <c r="R167" s="28">
        <f>R156*_xlfn.XLOOKUP($L167,'Balizador da Meta'!$B$4:$B$21,'Balizador da Meta'!$C$4:$C$21)</f>
        <v>75</v>
      </c>
      <c r="S167" s="28">
        <f>S156*_xlfn.XLOOKUP($L167,'Balizador da Meta'!$B$4:$B$21,'Balizador da Meta'!$C$4:$C$21)</f>
        <v>75</v>
      </c>
      <c r="T167" s="28">
        <f>T156*_xlfn.XLOOKUP($L167,'Balizador da Meta'!$B$4:$B$21,'Balizador da Meta'!$C$4:$C$21)</f>
        <v>75</v>
      </c>
      <c r="U167" s="28">
        <f>U156*_xlfn.XLOOKUP($L167,'Balizador da Meta'!$B$4:$B$21,'Balizador da Meta'!$C$4:$C$21)</f>
        <v>75</v>
      </c>
      <c r="V167" s="28">
        <f>V156*_xlfn.XLOOKUP($L167,'Balizador da Meta'!$B$4:$B$21,'Balizador da Meta'!$C$4:$C$21)</f>
        <v>75</v>
      </c>
      <c r="W167" s="28">
        <f>W156*_xlfn.XLOOKUP($L167,'Balizador da Meta'!$B$4:$B$21,'Balizador da Meta'!$C$4:$C$21)</f>
        <v>75</v>
      </c>
      <c r="X167" s="28">
        <f>X156*_xlfn.XLOOKUP($L167,'Balizador da Meta'!$B$4:$B$21,'Balizador da Meta'!$C$4:$C$21)</f>
        <v>75</v>
      </c>
      <c r="Y167" s="28">
        <f>Y156*_xlfn.XLOOKUP($L167,'Balizador da Meta'!$B$4:$B$21,'Balizador da Meta'!$C$4:$C$21)</f>
        <v>75</v>
      </c>
      <c r="Z167" s="30">
        <f t="shared" si="41"/>
        <v>900</v>
      </c>
      <c r="AA167" s="29"/>
      <c r="AB167" s="31">
        <f>SUMIFS('Historico - FAT'!AK:AK,'Historico - FAT'!$K:$K,Faturamento!$L167,'Historico - FAT'!$I:$I,Faturamento!$J167,'Historico - FAT'!$G:$G,Faturamento!$H167)</f>
        <v>0</v>
      </c>
      <c r="AC167" s="31">
        <f>SUMIFS('Historico - FAT'!AL:AL,'Historico - FAT'!$K:$K,Faturamento!$L167,'Historico - FAT'!$I:$I,Faturamento!$J167,'Historico - FAT'!$G:$G,Faturamento!$H167)</f>
        <v>0</v>
      </c>
      <c r="AD167" s="31">
        <f>SUMIFS('Historico - FAT'!AM:AM,'Historico - FAT'!$K:$K,Faturamento!$L167,'Historico - FAT'!$I:$I,Faturamento!$J167,'Historico - FAT'!$G:$G,Faturamento!$H167)</f>
        <v>0</v>
      </c>
      <c r="AE167" s="27">
        <f>SUMIFS('Historico - FAT'!AN:AN,'Historico - FAT'!$K:$K,Faturamento!$L167,'Historico - FAT'!$I:$I,Faturamento!$J167,'Historico - FAT'!$G:$G,Faturamento!$H167)</f>
        <v>0</v>
      </c>
      <c r="AG167" s="24">
        <f t="shared" si="29"/>
        <v>1</v>
      </c>
      <c r="AH167" s="24">
        <f t="shared" si="30"/>
        <v>1</v>
      </c>
      <c r="AI167" s="24">
        <f t="shared" si="31"/>
        <v>1</v>
      </c>
    </row>
    <row r="168" spans="1:35" hidden="1" x14ac:dyDescent="0.3">
      <c r="A168" s="2" t="str">
        <f t="shared" si="28"/>
        <v>NÃO</v>
      </c>
      <c r="B168" s="2">
        <v>1000184670</v>
      </c>
      <c r="C168" s="2" t="s">
        <v>147</v>
      </c>
      <c r="D168" s="4">
        <v>1000186197</v>
      </c>
      <c r="E168" s="4" t="s">
        <v>166</v>
      </c>
      <c r="F168" s="2">
        <v>1000198600</v>
      </c>
      <c r="G168" s="2" t="s">
        <v>148</v>
      </c>
      <c r="H168" s="4">
        <v>1000198601</v>
      </c>
      <c r="I168" s="4" t="s">
        <v>149</v>
      </c>
      <c r="J168" s="2">
        <v>1000189757</v>
      </c>
      <c r="K168" s="2" t="s">
        <v>141</v>
      </c>
      <c r="L168" s="4" t="s">
        <v>20</v>
      </c>
      <c r="M168" s="4" t="str">
        <f t="shared" si="35"/>
        <v>1000184670100018619710001986011000189757REEMBALADOS</v>
      </c>
      <c r="N168" s="28">
        <f>N156*_xlfn.XLOOKUP($L168,'Balizador da Meta'!$B$4:$B$21,'Balizador da Meta'!$C$4:$C$21)</f>
        <v>60</v>
      </c>
      <c r="O168" s="28">
        <f>O156*_xlfn.XLOOKUP($L168,'Balizador da Meta'!$B$4:$B$21,'Balizador da Meta'!$C$4:$C$21)</f>
        <v>60</v>
      </c>
      <c r="P168" s="28">
        <f>P156*_xlfn.XLOOKUP($L168,'Balizador da Meta'!$B$4:$B$21,'Balizador da Meta'!$C$4:$C$21)</f>
        <v>60</v>
      </c>
      <c r="Q168" s="28">
        <f>Q156*_xlfn.XLOOKUP($L168,'Balizador da Meta'!$B$4:$B$21,'Balizador da Meta'!$C$4:$C$21)</f>
        <v>60</v>
      </c>
      <c r="R168" s="28">
        <f>R156*_xlfn.XLOOKUP($L168,'Balizador da Meta'!$B$4:$B$21,'Balizador da Meta'!$C$4:$C$21)</f>
        <v>60</v>
      </c>
      <c r="S168" s="28">
        <f>S156*_xlfn.XLOOKUP($L168,'Balizador da Meta'!$B$4:$B$21,'Balizador da Meta'!$C$4:$C$21)</f>
        <v>60</v>
      </c>
      <c r="T168" s="28">
        <f>T156*_xlfn.XLOOKUP($L168,'Balizador da Meta'!$B$4:$B$21,'Balizador da Meta'!$C$4:$C$21)</f>
        <v>60</v>
      </c>
      <c r="U168" s="28">
        <f>U156*_xlfn.XLOOKUP($L168,'Balizador da Meta'!$B$4:$B$21,'Balizador da Meta'!$C$4:$C$21)</f>
        <v>60</v>
      </c>
      <c r="V168" s="28">
        <f>V156*_xlfn.XLOOKUP($L168,'Balizador da Meta'!$B$4:$B$21,'Balizador da Meta'!$C$4:$C$21)</f>
        <v>60</v>
      </c>
      <c r="W168" s="28">
        <f>W156*_xlfn.XLOOKUP($L168,'Balizador da Meta'!$B$4:$B$21,'Balizador da Meta'!$C$4:$C$21)</f>
        <v>60</v>
      </c>
      <c r="X168" s="28">
        <f>X156*_xlfn.XLOOKUP($L168,'Balizador da Meta'!$B$4:$B$21,'Balizador da Meta'!$C$4:$C$21)</f>
        <v>60</v>
      </c>
      <c r="Y168" s="28">
        <f>Y156*_xlfn.XLOOKUP($L168,'Balizador da Meta'!$B$4:$B$21,'Balizador da Meta'!$C$4:$C$21)</f>
        <v>60</v>
      </c>
      <c r="Z168" s="30">
        <f t="shared" si="41"/>
        <v>720</v>
      </c>
      <c r="AA168" s="29"/>
      <c r="AB168" s="31">
        <f>SUMIFS('Historico - FAT'!AK:AK,'Historico - FAT'!$K:$K,Faturamento!$L168,'Historico - FAT'!$I:$I,Faturamento!$J168,'Historico - FAT'!$G:$G,Faturamento!$H168)</f>
        <v>0</v>
      </c>
      <c r="AC168" s="31">
        <f>SUMIFS('Historico - FAT'!AL:AL,'Historico - FAT'!$K:$K,Faturamento!$L168,'Historico - FAT'!$I:$I,Faturamento!$J168,'Historico - FAT'!$G:$G,Faturamento!$H168)</f>
        <v>0</v>
      </c>
      <c r="AD168" s="31">
        <f>SUMIFS('Historico - FAT'!AM:AM,'Historico - FAT'!$K:$K,Faturamento!$L168,'Historico - FAT'!$I:$I,Faturamento!$J168,'Historico - FAT'!$G:$G,Faturamento!$H168)</f>
        <v>0</v>
      </c>
      <c r="AE168" s="27">
        <f>SUMIFS('Historico - FAT'!AN:AN,'Historico - FAT'!$K:$K,Faturamento!$L168,'Historico - FAT'!$I:$I,Faturamento!$J168,'Historico - FAT'!$G:$G,Faturamento!$H168)</f>
        <v>0</v>
      </c>
      <c r="AG168" s="24">
        <f t="shared" si="29"/>
        <v>1</v>
      </c>
      <c r="AH168" s="24">
        <f t="shared" si="30"/>
        <v>1</v>
      </c>
      <c r="AI168" s="24">
        <f t="shared" si="31"/>
        <v>1</v>
      </c>
    </row>
    <row r="169" spans="1:35" hidden="1" x14ac:dyDescent="0.3">
      <c r="A169" s="2" t="str">
        <f t="shared" si="28"/>
        <v>NÃO</v>
      </c>
      <c r="B169" s="2">
        <v>1000184670</v>
      </c>
      <c r="C169" s="2" t="s">
        <v>147</v>
      </c>
      <c r="D169" s="4">
        <v>1000186197</v>
      </c>
      <c r="E169" s="4" t="s">
        <v>166</v>
      </c>
      <c r="F169" s="2">
        <v>1000198600</v>
      </c>
      <c r="G169" s="2" t="s">
        <v>148</v>
      </c>
      <c r="H169" s="4">
        <v>1000198601</v>
      </c>
      <c r="I169" s="4" t="s">
        <v>149</v>
      </c>
      <c r="J169" s="2">
        <v>1000189757</v>
      </c>
      <c r="K169" s="2" t="s">
        <v>141</v>
      </c>
      <c r="L169" s="4" t="s">
        <v>22</v>
      </c>
      <c r="M169" s="4" t="str">
        <f t="shared" si="35"/>
        <v>1000184670100018619710001986011000189757S GLUTEN</v>
      </c>
      <c r="N169" s="28">
        <f>N156*_xlfn.XLOOKUP($L169,'Balizador da Meta'!$B$4:$B$21,'Balizador da Meta'!$C$4:$C$21)</f>
        <v>60</v>
      </c>
      <c r="O169" s="28">
        <f>O156*_xlfn.XLOOKUP($L169,'Balizador da Meta'!$B$4:$B$21,'Balizador da Meta'!$C$4:$C$21)</f>
        <v>60</v>
      </c>
      <c r="P169" s="28">
        <f>P156*_xlfn.XLOOKUP($L169,'Balizador da Meta'!$B$4:$B$21,'Balizador da Meta'!$C$4:$C$21)</f>
        <v>60</v>
      </c>
      <c r="Q169" s="28">
        <f>Q156*_xlfn.XLOOKUP($L169,'Balizador da Meta'!$B$4:$B$21,'Balizador da Meta'!$C$4:$C$21)</f>
        <v>60</v>
      </c>
      <c r="R169" s="28">
        <f>R156*_xlfn.XLOOKUP($L169,'Balizador da Meta'!$B$4:$B$21,'Balizador da Meta'!$C$4:$C$21)</f>
        <v>60</v>
      </c>
      <c r="S169" s="28">
        <f>S156*_xlfn.XLOOKUP($L169,'Balizador da Meta'!$B$4:$B$21,'Balizador da Meta'!$C$4:$C$21)</f>
        <v>60</v>
      </c>
      <c r="T169" s="28">
        <f>T156*_xlfn.XLOOKUP($L169,'Balizador da Meta'!$B$4:$B$21,'Balizador da Meta'!$C$4:$C$21)</f>
        <v>60</v>
      </c>
      <c r="U169" s="28">
        <f>U156*_xlfn.XLOOKUP($L169,'Balizador da Meta'!$B$4:$B$21,'Balizador da Meta'!$C$4:$C$21)</f>
        <v>60</v>
      </c>
      <c r="V169" s="28">
        <f>V156*_xlfn.XLOOKUP($L169,'Balizador da Meta'!$B$4:$B$21,'Balizador da Meta'!$C$4:$C$21)</f>
        <v>60</v>
      </c>
      <c r="W169" s="28">
        <f>W156*_xlfn.XLOOKUP($L169,'Balizador da Meta'!$B$4:$B$21,'Balizador da Meta'!$C$4:$C$21)</f>
        <v>60</v>
      </c>
      <c r="X169" s="28">
        <f>X156*_xlfn.XLOOKUP($L169,'Balizador da Meta'!$B$4:$B$21,'Balizador da Meta'!$C$4:$C$21)</f>
        <v>60</v>
      </c>
      <c r="Y169" s="28">
        <f>Y156*_xlfn.XLOOKUP($L169,'Balizador da Meta'!$B$4:$B$21,'Balizador da Meta'!$C$4:$C$21)</f>
        <v>60</v>
      </c>
      <c r="Z169" s="30">
        <f t="shared" si="41"/>
        <v>720</v>
      </c>
      <c r="AA169" s="29"/>
      <c r="AB169" s="31">
        <f>SUMIFS('Historico - FAT'!AK:AK,'Historico - FAT'!$K:$K,Faturamento!$L169,'Historico - FAT'!$I:$I,Faturamento!$J169,'Historico - FAT'!$G:$G,Faturamento!$H169)</f>
        <v>0</v>
      </c>
      <c r="AC169" s="31">
        <f>SUMIFS('Historico - FAT'!AL:AL,'Historico - FAT'!$K:$K,Faturamento!$L169,'Historico - FAT'!$I:$I,Faturamento!$J169,'Historico - FAT'!$G:$G,Faturamento!$H169)</f>
        <v>0</v>
      </c>
      <c r="AD169" s="31">
        <f>SUMIFS('Historico - FAT'!AM:AM,'Historico - FAT'!$K:$K,Faturamento!$L169,'Historico - FAT'!$I:$I,Faturamento!$J169,'Historico - FAT'!$G:$G,Faturamento!$H169)</f>
        <v>0</v>
      </c>
      <c r="AE169" s="27">
        <f>SUMIFS('Historico - FAT'!AN:AN,'Historico - FAT'!$K:$K,Faturamento!$L169,'Historico - FAT'!$I:$I,Faturamento!$J169,'Historico - FAT'!$G:$G,Faturamento!$H169)</f>
        <v>0</v>
      </c>
      <c r="AG169" s="24">
        <f t="shared" si="29"/>
        <v>1</v>
      </c>
      <c r="AH169" s="24">
        <f t="shared" si="30"/>
        <v>1</v>
      </c>
      <c r="AI169" s="24">
        <f t="shared" si="31"/>
        <v>1</v>
      </c>
    </row>
    <row r="170" spans="1:35" hidden="1" x14ac:dyDescent="0.3">
      <c r="A170" s="2" t="str">
        <f t="shared" si="28"/>
        <v>NÃO</v>
      </c>
      <c r="B170" s="2">
        <v>1000184670</v>
      </c>
      <c r="C170" s="2" t="s">
        <v>147</v>
      </c>
      <c r="D170" s="4">
        <v>1000186197</v>
      </c>
      <c r="E170" s="4" t="s">
        <v>166</v>
      </c>
      <c r="F170" s="2">
        <v>1000198600</v>
      </c>
      <c r="G170" s="2" t="s">
        <v>148</v>
      </c>
      <c r="H170" s="4">
        <v>1000198601</v>
      </c>
      <c r="I170" s="4" t="s">
        <v>149</v>
      </c>
      <c r="J170" s="2">
        <v>1000189757</v>
      </c>
      <c r="K170" s="2" t="s">
        <v>141</v>
      </c>
      <c r="L170" s="4" t="s">
        <v>23</v>
      </c>
      <c r="M170" s="4" t="str">
        <f t="shared" si="35"/>
        <v>1000184670100018619710001986011000189757SABORES DO CAMPO</v>
      </c>
      <c r="N170" s="28">
        <f>N156*_xlfn.XLOOKUP($L170,'Balizador da Meta'!$B$4:$B$21,'Balizador da Meta'!$C$4:$C$21)</f>
        <v>0</v>
      </c>
      <c r="O170" s="28">
        <f>O156*_xlfn.XLOOKUP($L170,'Balizador da Meta'!$B$4:$B$21,'Balizador da Meta'!$C$4:$C$21)</f>
        <v>0</v>
      </c>
      <c r="P170" s="28">
        <f>P156*_xlfn.XLOOKUP($L170,'Balizador da Meta'!$B$4:$B$21,'Balizador da Meta'!$C$4:$C$21)</f>
        <v>0</v>
      </c>
      <c r="Q170" s="28">
        <f>Q156*_xlfn.XLOOKUP($L170,'Balizador da Meta'!$B$4:$B$21,'Balizador da Meta'!$C$4:$C$21)</f>
        <v>0</v>
      </c>
      <c r="R170" s="28">
        <f>R156*_xlfn.XLOOKUP($L170,'Balizador da Meta'!$B$4:$B$21,'Balizador da Meta'!$C$4:$C$21)</f>
        <v>0</v>
      </c>
      <c r="S170" s="28">
        <f>S156*_xlfn.XLOOKUP($L170,'Balizador da Meta'!$B$4:$B$21,'Balizador da Meta'!$C$4:$C$21)</f>
        <v>0</v>
      </c>
      <c r="T170" s="28">
        <f>T156*_xlfn.XLOOKUP($L170,'Balizador da Meta'!$B$4:$B$21,'Balizador da Meta'!$C$4:$C$21)</f>
        <v>0</v>
      </c>
      <c r="U170" s="28">
        <f>U156*_xlfn.XLOOKUP($L170,'Balizador da Meta'!$B$4:$B$21,'Balizador da Meta'!$C$4:$C$21)</f>
        <v>0</v>
      </c>
      <c r="V170" s="28">
        <f>V156*_xlfn.XLOOKUP($L170,'Balizador da Meta'!$B$4:$B$21,'Balizador da Meta'!$C$4:$C$21)</f>
        <v>0</v>
      </c>
      <c r="W170" s="28">
        <f>W156*_xlfn.XLOOKUP($L170,'Balizador da Meta'!$B$4:$B$21,'Balizador da Meta'!$C$4:$C$21)</f>
        <v>0</v>
      </c>
      <c r="X170" s="28">
        <f>X156*_xlfn.XLOOKUP($L170,'Balizador da Meta'!$B$4:$B$21,'Balizador da Meta'!$C$4:$C$21)</f>
        <v>0</v>
      </c>
      <c r="Y170" s="28">
        <f>Y156*_xlfn.XLOOKUP($L170,'Balizador da Meta'!$B$4:$B$21,'Balizador da Meta'!$C$4:$C$21)</f>
        <v>0</v>
      </c>
      <c r="Z170" s="30">
        <f t="shared" si="41"/>
        <v>0</v>
      </c>
      <c r="AA170" s="29"/>
      <c r="AB170" s="31">
        <f>SUMIFS('Historico - FAT'!AK:AK,'Historico - FAT'!$K:$K,Faturamento!$L170,'Historico - FAT'!$I:$I,Faturamento!$J170,'Historico - FAT'!$G:$G,Faturamento!$H170)</f>
        <v>0</v>
      </c>
      <c r="AC170" s="31">
        <f>SUMIFS('Historico - FAT'!AL:AL,'Historico - FAT'!$K:$K,Faturamento!$L170,'Historico - FAT'!$I:$I,Faturamento!$J170,'Historico - FAT'!$G:$G,Faturamento!$H170)</f>
        <v>0</v>
      </c>
      <c r="AD170" s="31">
        <f>SUMIFS('Historico - FAT'!AM:AM,'Historico - FAT'!$K:$K,Faturamento!$L170,'Historico - FAT'!$I:$I,Faturamento!$J170,'Historico - FAT'!$G:$G,Faturamento!$H170)</f>
        <v>0</v>
      </c>
      <c r="AE170" s="27">
        <f>SUMIFS('Historico - FAT'!AN:AN,'Historico - FAT'!$K:$K,Faturamento!$L170,'Historico - FAT'!$I:$I,Faturamento!$J170,'Historico - FAT'!$G:$G,Faturamento!$H170)</f>
        <v>0</v>
      </c>
      <c r="AG170" s="24" t="str">
        <f t="shared" si="29"/>
        <v/>
      </c>
      <c r="AH170" s="24" t="str">
        <f t="shared" si="30"/>
        <v/>
      </c>
      <c r="AI170" s="24" t="str">
        <f t="shared" si="31"/>
        <v/>
      </c>
    </row>
    <row r="171" spans="1:35" hidden="1" x14ac:dyDescent="0.3">
      <c r="A171" s="2" t="str">
        <f t="shared" si="28"/>
        <v>NÃO</v>
      </c>
      <c r="B171" s="2">
        <v>1000184670</v>
      </c>
      <c r="C171" s="2" t="s">
        <v>147</v>
      </c>
      <c r="D171" s="4">
        <v>1000186197</v>
      </c>
      <c r="E171" s="4" t="s">
        <v>166</v>
      </c>
      <c r="F171" s="2">
        <v>1000198600</v>
      </c>
      <c r="G171" s="2" t="s">
        <v>148</v>
      </c>
      <c r="H171" s="4">
        <v>1000198601</v>
      </c>
      <c r="I171" s="4" t="s">
        <v>149</v>
      </c>
      <c r="J171" s="2">
        <v>1000189757</v>
      </c>
      <c r="K171" s="2" t="s">
        <v>141</v>
      </c>
      <c r="L171" s="4" t="s">
        <v>28</v>
      </c>
      <c r="M171" s="4" t="str">
        <f t="shared" si="35"/>
        <v>1000184670100018619710001986011000189757SAL</v>
      </c>
      <c r="N171" s="28">
        <f>N156*_xlfn.XLOOKUP($L171,'Balizador da Meta'!$B$4:$B$21,'Balizador da Meta'!$C$4:$C$21)</f>
        <v>30</v>
      </c>
      <c r="O171" s="28">
        <f>O156*_xlfn.XLOOKUP($L171,'Balizador da Meta'!$B$4:$B$21,'Balizador da Meta'!$C$4:$C$21)</f>
        <v>30</v>
      </c>
      <c r="P171" s="28">
        <f>P156*_xlfn.XLOOKUP($L171,'Balizador da Meta'!$B$4:$B$21,'Balizador da Meta'!$C$4:$C$21)</f>
        <v>30</v>
      </c>
      <c r="Q171" s="28">
        <f>Q156*_xlfn.XLOOKUP($L171,'Balizador da Meta'!$B$4:$B$21,'Balizador da Meta'!$C$4:$C$21)</f>
        <v>30</v>
      </c>
      <c r="R171" s="28">
        <f>R156*_xlfn.XLOOKUP($L171,'Balizador da Meta'!$B$4:$B$21,'Balizador da Meta'!$C$4:$C$21)</f>
        <v>30</v>
      </c>
      <c r="S171" s="28">
        <f>S156*_xlfn.XLOOKUP($L171,'Balizador da Meta'!$B$4:$B$21,'Balizador da Meta'!$C$4:$C$21)</f>
        <v>30</v>
      </c>
      <c r="T171" s="28">
        <f>T156*_xlfn.XLOOKUP($L171,'Balizador da Meta'!$B$4:$B$21,'Balizador da Meta'!$C$4:$C$21)</f>
        <v>30</v>
      </c>
      <c r="U171" s="28">
        <f>U156*_xlfn.XLOOKUP($L171,'Balizador da Meta'!$B$4:$B$21,'Balizador da Meta'!$C$4:$C$21)</f>
        <v>30</v>
      </c>
      <c r="V171" s="28">
        <f>V156*_xlfn.XLOOKUP($L171,'Balizador da Meta'!$B$4:$B$21,'Balizador da Meta'!$C$4:$C$21)</f>
        <v>30</v>
      </c>
      <c r="W171" s="28">
        <f>W156*_xlfn.XLOOKUP($L171,'Balizador da Meta'!$B$4:$B$21,'Balizador da Meta'!$C$4:$C$21)</f>
        <v>30</v>
      </c>
      <c r="X171" s="28">
        <f>X156*_xlfn.XLOOKUP($L171,'Balizador da Meta'!$B$4:$B$21,'Balizador da Meta'!$C$4:$C$21)</f>
        <v>30</v>
      </c>
      <c r="Y171" s="28">
        <f>Y156*_xlfn.XLOOKUP($L171,'Balizador da Meta'!$B$4:$B$21,'Balizador da Meta'!$C$4:$C$21)</f>
        <v>30</v>
      </c>
      <c r="Z171" s="30">
        <f t="shared" si="41"/>
        <v>360</v>
      </c>
      <c r="AA171" s="29"/>
      <c r="AB171" s="31">
        <f>SUMIFS('Historico - FAT'!AK:AK,'Historico - FAT'!$K:$K,Faturamento!$L171,'Historico - FAT'!$I:$I,Faturamento!$J171,'Historico - FAT'!$G:$G,Faturamento!$H171)</f>
        <v>0</v>
      </c>
      <c r="AC171" s="31">
        <f>SUMIFS('Historico - FAT'!AL:AL,'Historico - FAT'!$K:$K,Faturamento!$L171,'Historico - FAT'!$I:$I,Faturamento!$J171,'Historico - FAT'!$G:$G,Faturamento!$H171)</f>
        <v>0</v>
      </c>
      <c r="AD171" s="31">
        <f>SUMIFS('Historico - FAT'!AM:AM,'Historico - FAT'!$K:$K,Faturamento!$L171,'Historico - FAT'!$I:$I,Faturamento!$J171,'Historico - FAT'!$G:$G,Faturamento!$H171)</f>
        <v>0</v>
      </c>
      <c r="AE171" s="27">
        <f>SUMIFS('Historico - FAT'!AN:AN,'Historico - FAT'!$K:$K,Faturamento!$L171,'Historico - FAT'!$I:$I,Faturamento!$J171,'Historico - FAT'!$G:$G,Faturamento!$H171)</f>
        <v>0</v>
      </c>
      <c r="AG171" s="24">
        <f t="shared" si="29"/>
        <v>1</v>
      </c>
      <c r="AH171" s="24">
        <f t="shared" si="30"/>
        <v>1</v>
      </c>
      <c r="AI171" s="24">
        <f t="shared" si="31"/>
        <v>1</v>
      </c>
    </row>
    <row r="172" spans="1:35" hidden="1" x14ac:dyDescent="0.3">
      <c r="A172" s="2" t="str">
        <f t="shared" si="28"/>
        <v>NÃO</v>
      </c>
      <c r="B172" s="2">
        <v>1000184670</v>
      </c>
      <c r="C172" s="2" t="s">
        <v>147</v>
      </c>
      <c r="D172" s="4">
        <v>1000186197</v>
      </c>
      <c r="E172" s="4" t="s">
        <v>166</v>
      </c>
      <c r="F172" s="2">
        <v>1000198600</v>
      </c>
      <c r="G172" s="2" t="s">
        <v>148</v>
      </c>
      <c r="H172" s="4">
        <v>1000198601</v>
      </c>
      <c r="I172" s="4" t="s">
        <v>149</v>
      </c>
      <c r="J172" s="2">
        <v>1000189757</v>
      </c>
      <c r="K172" s="2" t="s">
        <v>141</v>
      </c>
      <c r="L172" s="4" t="s">
        <v>26</v>
      </c>
      <c r="M172" s="4" t="str">
        <f t="shared" si="35"/>
        <v>1000184670100018619710001986011000189757SOULPRO</v>
      </c>
      <c r="N172" s="28">
        <f>N156*_xlfn.XLOOKUP($L172,'Balizador da Meta'!$B$4:$B$21,'Balizador da Meta'!$C$4:$C$21)</f>
        <v>90</v>
      </c>
      <c r="O172" s="28">
        <f>O156*_xlfn.XLOOKUP($L172,'Balizador da Meta'!$B$4:$B$21,'Balizador da Meta'!$C$4:$C$21)</f>
        <v>90</v>
      </c>
      <c r="P172" s="28">
        <f>P156*_xlfn.XLOOKUP($L172,'Balizador da Meta'!$B$4:$B$21,'Balizador da Meta'!$C$4:$C$21)</f>
        <v>90</v>
      </c>
      <c r="Q172" s="28">
        <f>Q156*_xlfn.XLOOKUP($L172,'Balizador da Meta'!$B$4:$B$21,'Balizador da Meta'!$C$4:$C$21)</f>
        <v>90</v>
      </c>
      <c r="R172" s="28">
        <f>R156*_xlfn.XLOOKUP($L172,'Balizador da Meta'!$B$4:$B$21,'Balizador da Meta'!$C$4:$C$21)</f>
        <v>90</v>
      </c>
      <c r="S172" s="28">
        <f>S156*_xlfn.XLOOKUP($L172,'Balizador da Meta'!$B$4:$B$21,'Balizador da Meta'!$C$4:$C$21)</f>
        <v>90</v>
      </c>
      <c r="T172" s="28">
        <f>T156*_xlfn.XLOOKUP($L172,'Balizador da Meta'!$B$4:$B$21,'Balizador da Meta'!$C$4:$C$21)</f>
        <v>90</v>
      </c>
      <c r="U172" s="28">
        <f>U156*_xlfn.XLOOKUP($L172,'Balizador da Meta'!$B$4:$B$21,'Balizador da Meta'!$C$4:$C$21)</f>
        <v>90</v>
      </c>
      <c r="V172" s="28">
        <f>V156*_xlfn.XLOOKUP($L172,'Balizador da Meta'!$B$4:$B$21,'Balizador da Meta'!$C$4:$C$21)</f>
        <v>90</v>
      </c>
      <c r="W172" s="28">
        <f>W156*_xlfn.XLOOKUP($L172,'Balizador da Meta'!$B$4:$B$21,'Balizador da Meta'!$C$4:$C$21)</f>
        <v>90</v>
      </c>
      <c r="X172" s="28">
        <f>X156*_xlfn.XLOOKUP($L172,'Balizador da Meta'!$B$4:$B$21,'Balizador da Meta'!$C$4:$C$21)</f>
        <v>90</v>
      </c>
      <c r="Y172" s="28">
        <f>Y156*_xlfn.XLOOKUP($L172,'Balizador da Meta'!$B$4:$B$21,'Balizador da Meta'!$C$4:$C$21)</f>
        <v>90</v>
      </c>
      <c r="Z172" s="30">
        <f t="shared" si="41"/>
        <v>1080</v>
      </c>
      <c r="AA172" s="29"/>
      <c r="AB172" s="31">
        <f>SUMIFS('Historico - FAT'!AK:AK,'Historico - FAT'!$K:$K,Faturamento!$L172,'Historico - FAT'!$I:$I,Faturamento!$J172,'Historico - FAT'!$G:$G,Faturamento!$H172)</f>
        <v>0</v>
      </c>
      <c r="AC172" s="31">
        <f>SUMIFS('Historico - FAT'!AL:AL,'Historico - FAT'!$K:$K,Faturamento!$L172,'Historico - FAT'!$I:$I,Faturamento!$J172,'Historico - FAT'!$G:$G,Faturamento!$H172)</f>
        <v>0</v>
      </c>
      <c r="AD172" s="31">
        <f>SUMIFS('Historico - FAT'!AM:AM,'Historico - FAT'!$K:$K,Faturamento!$L172,'Historico - FAT'!$I:$I,Faturamento!$J172,'Historico - FAT'!$G:$G,Faturamento!$H172)</f>
        <v>0</v>
      </c>
      <c r="AE172" s="27">
        <f>SUMIFS('Historico - FAT'!AN:AN,'Historico - FAT'!$K:$K,Faturamento!$L172,'Historico - FAT'!$I:$I,Faturamento!$J172,'Historico - FAT'!$G:$G,Faturamento!$H172)</f>
        <v>0</v>
      </c>
      <c r="AG172" s="24">
        <f t="shared" si="29"/>
        <v>1</v>
      </c>
      <c r="AH172" s="24">
        <f t="shared" si="30"/>
        <v>1</v>
      </c>
      <c r="AI172" s="24">
        <f t="shared" si="31"/>
        <v>1</v>
      </c>
    </row>
    <row r="173" spans="1:35" hidden="1" x14ac:dyDescent="0.3">
      <c r="A173" s="2" t="str">
        <f t="shared" si="28"/>
        <v>NÃO</v>
      </c>
      <c r="B173" s="2">
        <v>1000184670</v>
      </c>
      <c r="C173" s="2" t="s">
        <v>147</v>
      </c>
      <c r="D173" s="4">
        <v>1000186197</v>
      </c>
      <c r="E173" s="4" t="s">
        <v>166</v>
      </c>
      <c r="F173" s="2">
        <v>1000198600</v>
      </c>
      <c r="G173" s="2" t="s">
        <v>148</v>
      </c>
      <c r="H173" s="4">
        <v>1000198601</v>
      </c>
      <c r="I173" s="4" t="s">
        <v>149</v>
      </c>
      <c r="J173" s="2">
        <v>1000189757</v>
      </c>
      <c r="K173" s="2" t="s">
        <v>141</v>
      </c>
      <c r="L173" s="4" t="s">
        <v>27</v>
      </c>
      <c r="M173" s="4" t="str">
        <f t="shared" si="35"/>
        <v>1000184670100018619710001986011000189757TAMARA</v>
      </c>
      <c r="N173" s="28">
        <f>N156*_xlfn.XLOOKUP($L173,'Balizador da Meta'!$B$4:$B$21,'Balizador da Meta'!$C$4:$C$21)</f>
        <v>120</v>
      </c>
      <c r="O173" s="28">
        <f>O156*_xlfn.XLOOKUP($L173,'Balizador da Meta'!$B$4:$B$21,'Balizador da Meta'!$C$4:$C$21)</f>
        <v>120</v>
      </c>
      <c r="P173" s="28">
        <f>P156*_xlfn.XLOOKUP($L173,'Balizador da Meta'!$B$4:$B$21,'Balizador da Meta'!$C$4:$C$21)</f>
        <v>120</v>
      </c>
      <c r="Q173" s="28">
        <f>Q156*_xlfn.XLOOKUP($L173,'Balizador da Meta'!$B$4:$B$21,'Balizador da Meta'!$C$4:$C$21)</f>
        <v>120</v>
      </c>
      <c r="R173" s="28">
        <f>R156*_xlfn.XLOOKUP($L173,'Balizador da Meta'!$B$4:$B$21,'Balizador da Meta'!$C$4:$C$21)</f>
        <v>120</v>
      </c>
      <c r="S173" s="28">
        <f>S156*_xlfn.XLOOKUP($L173,'Balizador da Meta'!$B$4:$B$21,'Balizador da Meta'!$C$4:$C$21)</f>
        <v>120</v>
      </c>
      <c r="T173" s="28">
        <f>T156*_xlfn.XLOOKUP($L173,'Balizador da Meta'!$B$4:$B$21,'Balizador da Meta'!$C$4:$C$21)</f>
        <v>120</v>
      </c>
      <c r="U173" s="28">
        <f>U156*_xlfn.XLOOKUP($L173,'Balizador da Meta'!$B$4:$B$21,'Balizador da Meta'!$C$4:$C$21)</f>
        <v>120</v>
      </c>
      <c r="V173" s="28">
        <f>V156*_xlfn.XLOOKUP($L173,'Balizador da Meta'!$B$4:$B$21,'Balizador da Meta'!$C$4:$C$21)</f>
        <v>120</v>
      </c>
      <c r="W173" s="28">
        <f>W156*_xlfn.XLOOKUP($L173,'Balizador da Meta'!$B$4:$B$21,'Balizador da Meta'!$C$4:$C$21)</f>
        <v>120</v>
      </c>
      <c r="X173" s="28">
        <f>X156*_xlfn.XLOOKUP($L173,'Balizador da Meta'!$B$4:$B$21,'Balizador da Meta'!$C$4:$C$21)</f>
        <v>120</v>
      </c>
      <c r="Y173" s="28">
        <f>Y156*_xlfn.XLOOKUP($L173,'Balizador da Meta'!$B$4:$B$21,'Balizador da Meta'!$C$4:$C$21)</f>
        <v>120</v>
      </c>
      <c r="Z173" s="30">
        <f t="shared" si="41"/>
        <v>1440</v>
      </c>
      <c r="AA173" s="29"/>
      <c r="AB173" s="31">
        <f>SUMIFS('Historico - FAT'!AK:AK,'Historico - FAT'!$K:$K,Faturamento!$L173,'Historico - FAT'!$I:$I,Faturamento!$J173,'Historico - FAT'!$G:$G,Faturamento!$H173)</f>
        <v>0</v>
      </c>
      <c r="AC173" s="31">
        <f>SUMIFS('Historico - FAT'!AL:AL,'Historico - FAT'!$K:$K,Faturamento!$L173,'Historico - FAT'!$I:$I,Faturamento!$J173,'Historico - FAT'!$G:$G,Faturamento!$H173)</f>
        <v>0</v>
      </c>
      <c r="AD173" s="31">
        <f>SUMIFS('Historico - FAT'!AM:AM,'Historico - FAT'!$K:$K,Faturamento!$L173,'Historico - FAT'!$I:$I,Faturamento!$J173,'Historico - FAT'!$G:$G,Faturamento!$H173)</f>
        <v>0</v>
      </c>
      <c r="AE173" s="27">
        <f>SUMIFS('Historico - FAT'!AN:AN,'Historico - FAT'!$K:$K,Faturamento!$L173,'Historico - FAT'!$I:$I,Faturamento!$J173,'Historico - FAT'!$G:$G,Faturamento!$H173)</f>
        <v>0</v>
      </c>
      <c r="AG173" s="24">
        <f t="shared" si="29"/>
        <v>1</v>
      </c>
      <c r="AH173" s="24">
        <f t="shared" si="30"/>
        <v>1</v>
      </c>
      <c r="AI173" s="24">
        <f t="shared" si="31"/>
        <v>1</v>
      </c>
    </row>
    <row r="174" spans="1:35" hidden="1" x14ac:dyDescent="0.3">
      <c r="A174" s="2" t="str">
        <f t="shared" si="28"/>
        <v>NÃO</v>
      </c>
      <c r="B174" s="2">
        <v>1000184670</v>
      </c>
      <c r="C174" s="2" t="s">
        <v>147</v>
      </c>
      <c r="D174" s="4">
        <v>1000186197</v>
      </c>
      <c r="E174" s="4" t="s">
        <v>166</v>
      </c>
      <c r="F174" s="2">
        <v>1000198600</v>
      </c>
      <c r="G174" s="2" t="s">
        <v>148</v>
      </c>
      <c r="H174" s="4">
        <v>1000198601</v>
      </c>
      <c r="I174" s="4" t="s">
        <v>149</v>
      </c>
      <c r="J174" s="2">
        <v>1000189757</v>
      </c>
      <c r="K174" s="2" t="s">
        <v>141</v>
      </c>
      <c r="L174" s="4" t="s">
        <v>25</v>
      </c>
      <c r="M174" s="4" t="str">
        <f t="shared" si="35"/>
        <v>1000184670100018619710001986011000189757VICCIO</v>
      </c>
      <c r="N174" s="28">
        <f>N156*_xlfn.XLOOKUP($L174,'Balizador da Meta'!$B$4:$B$21,'Balizador da Meta'!$C$4:$C$21)</f>
        <v>45</v>
      </c>
      <c r="O174" s="28">
        <f>O156*_xlfn.XLOOKUP($L174,'Balizador da Meta'!$B$4:$B$21,'Balizador da Meta'!$C$4:$C$21)</f>
        <v>45</v>
      </c>
      <c r="P174" s="28">
        <f>P156*_xlfn.XLOOKUP($L174,'Balizador da Meta'!$B$4:$B$21,'Balizador da Meta'!$C$4:$C$21)</f>
        <v>45</v>
      </c>
      <c r="Q174" s="28">
        <f>Q156*_xlfn.XLOOKUP($L174,'Balizador da Meta'!$B$4:$B$21,'Balizador da Meta'!$C$4:$C$21)</f>
        <v>45</v>
      </c>
      <c r="R174" s="28">
        <f>R156*_xlfn.XLOOKUP($L174,'Balizador da Meta'!$B$4:$B$21,'Balizador da Meta'!$C$4:$C$21)</f>
        <v>45</v>
      </c>
      <c r="S174" s="28">
        <f>S156*_xlfn.XLOOKUP($L174,'Balizador da Meta'!$B$4:$B$21,'Balizador da Meta'!$C$4:$C$21)</f>
        <v>45</v>
      </c>
      <c r="T174" s="28">
        <f>T156*_xlfn.XLOOKUP($L174,'Balizador da Meta'!$B$4:$B$21,'Balizador da Meta'!$C$4:$C$21)</f>
        <v>45</v>
      </c>
      <c r="U174" s="28">
        <f>U156*_xlfn.XLOOKUP($L174,'Balizador da Meta'!$B$4:$B$21,'Balizador da Meta'!$C$4:$C$21)</f>
        <v>45</v>
      </c>
      <c r="V174" s="28">
        <f>V156*_xlfn.XLOOKUP($L174,'Balizador da Meta'!$B$4:$B$21,'Balizador da Meta'!$C$4:$C$21)</f>
        <v>45</v>
      </c>
      <c r="W174" s="28">
        <f>W156*_xlfn.XLOOKUP($L174,'Balizador da Meta'!$B$4:$B$21,'Balizador da Meta'!$C$4:$C$21)</f>
        <v>45</v>
      </c>
      <c r="X174" s="28">
        <f>X156*_xlfn.XLOOKUP($L174,'Balizador da Meta'!$B$4:$B$21,'Balizador da Meta'!$C$4:$C$21)</f>
        <v>45</v>
      </c>
      <c r="Y174" s="28">
        <f>Y156*_xlfn.XLOOKUP($L174,'Balizador da Meta'!$B$4:$B$21,'Balizador da Meta'!$C$4:$C$21)</f>
        <v>45</v>
      </c>
      <c r="Z174" s="30">
        <f t="shared" si="41"/>
        <v>540</v>
      </c>
      <c r="AA174" s="29"/>
      <c r="AB174" s="31">
        <f>SUMIFS('Historico - FAT'!AK:AK,'Historico - FAT'!$K:$K,Faturamento!$L174,'Historico - FAT'!$I:$I,Faturamento!$J174,'Historico - FAT'!$G:$G,Faturamento!$H174)</f>
        <v>0</v>
      </c>
      <c r="AC174" s="31">
        <f>SUMIFS('Historico - FAT'!AL:AL,'Historico - FAT'!$K:$K,Faturamento!$L174,'Historico - FAT'!$I:$I,Faturamento!$J174,'Historico - FAT'!$G:$G,Faturamento!$H174)</f>
        <v>0</v>
      </c>
      <c r="AD174" s="31">
        <f>SUMIFS('Historico - FAT'!AM:AM,'Historico - FAT'!$K:$K,Faturamento!$L174,'Historico - FAT'!$I:$I,Faturamento!$J174,'Historico - FAT'!$G:$G,Faturamento!$H174)</f>
        <v>0</v>
      </c>
      <c r="AE174" s="27">
        <f>SUMIFS('Historico - FAT'!AN:AN,'Historico - FAT'!$K:$K,Faturamento!$L174,'Historico - FAT'!$I:$I,Faturamento!$J174,'Historico - FAT'!$G:$G,Faturamento!$H174)</f>
        <v>0</v>
      </c>
      <c r="AG174" s="24">
        <f t="shared" si="29"/>
        <v>1</v>
      </c>
      <c r="AH174" s="24">
        <f t="shared" si="30"/>
        <v>1</v>
      </c>
      <c r="AI174" s="24">
        <f t="shared" si="31"/>
        <v>1</v>
      </c>
    </row>
    <row r="175" spans="1:35" x14ac:dyDescent="0.3">
      <c r="A175" s="2" t="str">
        <f t="shared" si="28"/>
        <v>SIM</v>
      </c>
      <c r="B175" s="2">
        <v>1000184670</v>
      </c>
      <c r="C175" s="2" t="s">
        <v>147</v>
      </c>
      <c r="D175" s="4">
        <v>1000186197</v>
      </c>
      <c r="E175" s="4" t="s">
        <v>166</v>
      </c>
      <c r="F175" s="2">
        <v>1000198600</v>
      </c>
      <c r="G175" s="2" t="s">
        <v>148</v>
      </c>
      <c r="H175" s="4">
        <v>1000198601</v>
      </c>
      <c r="I175" s="4" t="s">
        <v>149</v>
      </c>
      <c r="J175" s="2">
        <v>1000190613</v>
      </c>
      <c r="K175" s="2" t="s">
        <v>142</v>
      </c>
      <c r="L175" s="4" t="s">
        <v>124</v>
      </c>
      <c r="M175" s="4" t="str">
        <f t="shared" si="35"/>
        <v>100018467010001861971000198601100019061301. TOTAL</v>
      </c>
      <c r="N175" s="28">
        <f>SUMIFS(Positivação!L:L,Positivação!$I:$I,Faturamento!$J175,Positivação!$G:$G,Faturamento!$H175)*SUMIFS(Positivação!$Z:$Z,Positivação!$I:$I,Faturamento!$J175,Positivação!$G:$G,Faturamento!$H175)</f>
        <v>0</v>
      </c>
      <c r="O175" s="28">
        <f>SUMIFS(Positivação!M:M,Positivação!$I:$I,Faturamento!$J175,Positivação!$G:$G,Faturamento!$H175)*SUMIFS(Positivação!$Z:$Z,Positivação!$I:$I,Faturamento!$J175,Positivação!$G:$G,Faturamento!$H175)</f>
        <v>1500</v>
      </c>
      <c r="P175" s="28">
        <f>SUMIFS(Positivação!N:N,Positivação!$I:$I,Faturamento!$J175,Positivação!$G:$G,Faturamento!$H175)*SUMIFS(Positivação!$Z:$Z,Positivação!$I:$I,Faturamento!$J175,Positivação!$G:$G,Faturamento!$H175)</f>
        <v>1500</v>
      </c>
      <c r="Q175" s="28">
        <f>SUMIFS(Positivação!O:O,Positivação!$I:$I,Faturamento!$J175,Positivação!$G:$G,Faturamento!$H175)*SUMIFS(Positivação!$Z:$Z,Positivação!$I:$I,Faturamento!$J175,Positivação!$G:$G,Faturamento!$H175)</f>
        <v>1500</v>
      </c>
      <c r="R175" s="28">
        <f>SUMIFS(Positivação!P:P,Positivação!$I:$I,Faturamento!$J175,Positivação!$G:$G,Faturamento!$H175)*SUMIFS(Positivação!$Z:$Z,Positivação!$I:$I,Faturamento!$J175,Positivação!$G:$G,Faturamento!$H175)</f>
        <v>3000</v>
      </c>
      <c r="S175" s="28">
        <f>SUMIFS(Positivação!Q:Q,Positivação!$I:$I,Faturamento!$J175,Positivação!$G:$G,Faturamento!$H175)*SUMIFS(Positivação!$Z:$Z,Positivação!$I:$I,Faturamento!$J175,Positivação!$G:$G,Faturamento!$H175)</f>
        <v>3000</v>
      </c>
      <c r="T175" s="28">
        <f>SUMIFS(Positivação!R:R,Positivação!$I:$I,Faturamento!$J175,Positivação!$G:$G,Faturamento!$H175)*SUMIFS(Positivação!$Z:$Z,Positivação!$I:$I,Faturamento!$J175,Positivação!$G:$G,Faturamento!$H175)</f>
        <v>3000</v>
      </c>
      <c r="U175" s="28">
        <f>SUMIFS(Positivação!S:S,Positivação!$I:$I,Faturamento!$J175,Positivação!$G:$G,Faturamento!$H175)*SUMIFS(Positivação!$Z:$Z,Positivação!$I:$I,Faturamento!$J175,Positivação!$G:$G,Faturamento!$H175)</f>
        <v>3000</v>
      </c>
      <c r="V175" s="28">
        <f>SUMIFS(Positivação!T:T,Positivação!$I:$I,Faturamento!$J175,Positivação!$G:$G,Faturamento!$H175)*SUMIFS(Positivação!$Z:$Z,Positivação!$I:$I,Faturamento!$J175,Positivação!$G:$G,Faturamento!$H175)</f>
        <v>3000</v>
      </c>
      <c r="W175" s="28">
        <f>SUMIFS(Positivação!U:U,Positivação!$I:$I,Faturamento!$J175,Positivação!$G:$G,Faturamento!$H175)*SUMIFS(Positivação!$Z:$Z,Positivação!$I:$I,Faturamento!$J175,Positivação!$G:$G,Faturamento!$H175)</f>
        <v>3000</v>
      </c>
      <c r="X175" s="28">
        <f>SUMIFS(Positivação!V:V,Positivação!$I:$I,Faturamento!$J175,Positivação!$G:$G,Faturamento!$H175)*SUMIFS(Positivação!$Z:$Z,Positivação!$I:$I,Faturamento!$J175,Positivação!$G:$G,Faturamento!$H175)</f>
        <v>3000</v>
      </c>
      <c r="Y175" s="28">
        <f>SUMIFS(Positivação!W:W,Positivação!$I:$I,Faturamento!$J175,Positivação!$G:$G,Faturamento!$H175)*SUMIFS(Positivação!$Z:$Z,Positivação!$I:$I,Faturamento!$J175,Positivação!$G:$G,Faturamento!$H175)</f>
        <v>3000</v>
      </c>
      <c r="Z175" s="28">
        <f t="shared" ref="Z175" si="42">SUM(Z176:Z193)</f>
        <v>28500</v>
      </c>
      <c r="AA175" s="29"/>
      <c r="AB175" s="28">
        <f t="shared" ref="AB175:AE175" si="43">SUM(AB176:AB193)</f>
        <v>0</v>
      </c>
      <c r="AC175" s="28">
        <f t="shared" si="43"/>
        <v>605.09833333333336</v>
      </c>
      <c r="AD175" s="28">
        <f t="shared" si="43"/>
        <v>813.86166666666668</v>
      </c>
      <c r="AE175" s="28">
        <f t="shared" si="43"/>
        <v>726.11799999999994</v>
      </c>
      <c r="AG175" s="24">
        <f t="shared" si="29"/>
        <v>1</v>
      </c>
      <c r="AH175" s="24">
        <f t="shared" si="30"/>
        <v>0.79830055555555557</v>
      </c>
      <c r="AI175" s="24">
        <f t="shared" si="31"/>
        <v>0.72871277777777776</v>
      </c>
    </row>
    <row r="176" spans="1:35" hidden="1" x14ac:dyDescent="0.3">
      <c r="A176" s="2" t="str">
        <f t="shared" si="28"/>
        <v>NÃO</v>
      </c>
      <c r="B176" s="2">
        <v>1000184670</v>
      </c>
      <c r="C176" s="2" t="s">
        <v>147</v>
      </c>
      <c r="D176" s="4">
        <v>1000186197</v>
      </c>
      <c r="E176" s="4" t="s">
        <v>166</v>
      </c>
      <c r="F176" s="2">
        <v>1000198600</v>
      </c>
      <c r="G176" s="2" t="s">
        <v>148</v>
      </c>
      <c r="H176" s="4">
        <v>1000198601</v>
      </c>
      <c r="I176" s="4" t="s">
        <v>149</v>
      </c>
      <c r="J176" s="2">
        <v>1000190613</v>
      </c>
      <c r="K176" s="2" t="s">
        <v>142</v>
      </c>
      <c r="L176" s="4" t="s">
        <v>13</v>
      </c>
      <c r="M176" s="4" t="str">
        <f t="shared" si="35"/>
        <v>1000184670100018619710001986011000190613BISCOITO</v>
      </c>
      <c r="N176" s="28">
        <f>N175*_xlfn.XLOOKUP($L176,'Balizador da Meta'!$B$4:$B$21,'Balizador da Meta'!$C$4:$C$21)</f>
        <v>0</v>
      </c>
      <c r="O176" s="28">
        <f>O175*_xlfn.XLOOKUP($L176,'Balizador da Meta'!$B$4:$B$21,'Balizador da Meta'!$C$4:$C$21)</f>
        <v>105.00000000000001</v>
      </c>
      <c r="P176" s="28">
        <f>P175*_xlfn.XLOOKUP($L176,'Balizador da Meta'!$B$4:$B$21,'Balizador da Meta'!$C$4:$C$21)</f>
        <v>105.00000000000001</v>
      </c>
      <c r="Q176" s="28">
        <f>Q175*_xlfn.XLOOKUP($L176,'Balizador da Meta'!$B$4:$B$21,'Balizador da Meta'!$C$4:$C$21)</f>
        <v>105.00000000000001</v>
      </c>
      <c r="R176" s="28">
        <f>R175*_xlfn.XLOOKUP($L176,'Balizador da Meta'!$B$4:$B$21,'Balizador da Meta'!$C$4:$C$21)</f>
        <v>210.00000000000003</v>
      </c>
      <c r="S176" s="28">
        <f>S175*_xlfn.XLOOKUP($L176,'Balizador da Meta'!$B$4:$B$21,'Balizador da Meta'!$C$4:$C$21)</f>
        <v>210.00000000000003</v>
      </c>
      <c r="T176" s="28">
        <f>T175*_xlfn.XLOOKUP($L176,'Balizador da Meta'!$B$4:$B$21,'Balizador da Meta'!$C$4:$C$21)</f>
        <v>210.00000000000003</v>
      </c>
      <c r="U176" s="28">
        <f>U175*_xlfn.XLOOKUP($L176,'Balizador da Meta'!$B$4:$B$21,'Balizador da Meta'!$C$4:$C$21)</f>
        <v>210.00000000000003</v>
      </c>
      <c r="V176" s="28">
        <f>V175*_xlfn.XLOOKUP($L176,'Balizador da Meta'!$B$4:$B$21,'Balizador da Meta'!$C$4:$C$21)</f>
        <v>210.00000000000003</v>
      </c>
      <c r="W176" s="28">
        <f>W175*_xlfn.XLOOKUP($L176,'Balizador da Meta'!$B$4:$B$21,'Balizador da Meta'!$C$4:$C$21)</f>
        <v>210.00000000000003</v>
      </c>
      <c r="X176" s="28">
        <f>X175*_xlfn.XLOOKUP($L176,'Balizador da Meta'!$B$4:$B$21,'Balizador da Meta'!$C$4:$C$21)</f>
        <v>210.00000000000003</v>
      </c>
      <c r="Y176" s="28">
        <f>Y175*_xlfn.XLOOKUP($L176,'Balizador da Meta'!$B$4:$B$21,'Balizador da Meta'!$C$4:$C$21)</f>
        <v>210.00000000000003</v>
      </c>
      <c r="Z176" s="30">
        <f t="shared" ref="Z176:Z193" si="44">SUM(N176:Y176)</f>
        <v>1995.0000000000002</v>
      </c>
      <c r="AA176" s="29"/>
      <c r="AB176" s="31">
        <f>SUMIFS('Historico - FAT'!AK:AK,'Historico - FAT'!$K:$K,Faturamento!$L176,'Historico - FAT'!$I:$I,Faturamento!$J176,'Historico - FAT'!$G:$G,Faturamento!$H176)</f>
        <v>0</v>
      </c>
      <c r="AC176" s="31">
        <f>SUMIFS('Historico - FAT'!AL:AL,'Historico - FAT'!$K:$K,Faturamento!$L176,'Historico - FAT'!$I:$I,Faturamento!$J176,'Historico - FAT'!$G:$G,Faturamento!$H176)</f>
        <v>0</v>
      </c>
      <c r="AD176" s="31">
        <f>SUMIFS('Historico - FAT'!AM:AM,'Historico - FAT'!$K:$K,Faturamento!$L176,'Historico - FAT'!$I:$I,Faturamento!$J176,'Historico - FAT'!$G:$G,Faturamento!$H176)</f>
        <v>0</v>
      </c>
      <c r="AE176" s="27">
        <f>SUMIFS('Historico - FAT'!AN:AN,'Historico - FAT'!$K:$K,Faturamento!$L176,'Historico - FAT'!$I:$I,Faturamento!$J176,'Historico - FAT'!$G:$G,Faturamento!$H176)</f>
        <v>0</v>
      </c>
      <c r="AG176" s="24">
        <f t="shared" si="29"/>
        <v>1</v>
      </c>
      <c r="AH176" s="24">
        <f t="shared" si="30"/>
        <v>1</v>
      </c>
      <c r="AI176" s="24">
        <f t="shared" si="31"/>
        <v>1</v>
      </c>
    </row>
    <row r="177" spans="1:35" hidden="1" x14ac:dyDescent="0.3">
      <c r="A177" s="2" t="str">
        <f t="shared" si="28"/>
        <v>NÃO</v>
      </c>
      <c r="B177" s="2">
        <v>1000184670</v>
      </c>
      <c r="C177" s="2" t="s">
        <v>147</v>
      </c>
      <c r="D177" s="4">
        <v>1000186197</v>
      </c>
      <c r="E177" s="4" t="s">
        <v>166</v>
      </c>
      <c r="F177" s="2">
        <v>1000198600</v>
      </c>
      <c r="G177" s="2" t="s">
        <v>148</v>
      </c>
      <c r="H177" s="4">
        <v>1000198601</v>
      </c>
      <c r="I177" s="4" t="s">
        <v>149</v>
      </c>
      <c r="J177" s="2">
        <v>1000190613</v>
      </c>
      <c r="K177" s="2" t="s">
        <v>142</v>
      </c>
      <c r="L177" s="4" t="s">
        <v>14</v>
      </c>
      <c r="M177" s="4" t="str">
        <f t="shared" si="35"/>
        <v>1000184670100018619710001986011000190613CHOCOLATES</v>
      </c>
      <c r="N177" s="28">
        <f>N175*_xlfn.XLOOKUP($L177,'Balizador da Meta'!$B$4:$B$21,'Balizador da Meta'!$C$4:$C$21)</f>
        <v>0</v>
      </c>
      <c r="O177" s="28">
        <f>O175*_xlfn.XLOOKUP($L177,'Balizador da Meta'!$B$4:$B$21,'Balizador da Meta'!$C$4:$C$21)</f>
        <v>105.00000000000001</v>
      </c>
      <c r="P177" s="28">
        <f>P175*_xlfn.XLOOKUP($L177,'Balizador da Meta'!$B$4:$B$21,'Balizador da Meta'!$C$4:$C$21)</f>
        <v>105.00000000000001</v>
      </c>
      <c r="Q177" s="28">
        <f>Q175*_xlfn.XLOOKUP($L177,'Balizador da Meta'!$B$4:$B$21,'Balizador da Meta'!$C$4:$C$21)</f>
        <v>105.00000000000001</v>
      </c>
      <c r="R177" s="28">
        <f>R175*_xlfn.XLOOKUP($L177,'Balizador da Meta'!$B$4:$B$21,'Balizador da Meta'!$C$4:$C$21)</f>
        <v>210.00000000000003</v>
      </c>
      <c r="S177" s="28">
        <f>S175*_xlfn.XLOOKUP($L177,'Balizador da Meta'!$B$4:$B$21,'Balizador da Meta'!$C$4:$C$21)</f>
        <v>210.00000000000003</v>
      </c>
      <c r="T177" s="28">
        <f>T175*_xlfn.XLOOKUP($L177,'Balizador da Meta'!$B$4:$B$21,'Balizador da Meta'!$C$4:$C$21)</f>
        <v>210.00000000000003</v>
      </c>
      <c r="U177" s="28">
        <f>U175*_xlfn.XLOOKUP($L177,'Balizador da Meta'!$B$4:$B$21,'Balizador da Meta'!$C$4:$C$21)</f>
        <v>210.00000000000003</v>
      </c>
      <c r="V177" s="28">
        <f>V175*_xlfn.XLOOKUP($L177,'Balizador da Meta'!$B$4:$B$21,'Balizador da Meta'!$C$4:$C$21)</f>
        <v>210.00000000000003</v>
      </c>
      <c r="W177" s="28">
        <f>W175*_xlfn.XLOOKUP($L177,'Balizador da Meta'!$B$4:$B$21,'Balizador da Meta'!$C$4:$C$21)</f>
        <v>210.00000000000003</v>
      </c>
      <c r="X177" s="28">
        <f>X175*_xlfn.XLOOKUP($L177,'Balizador da Meta'!$B$4:$B$21,'Balizador da Meta'!$C$4:$C$21)</f>
        <v>210.00000000000003</v>
      </c>
      <c r="Y177" s="28">
        <f>Y175*_xlfn.XLOOKUP($L177,'Balizador da Meta'!$B$4:$B$21,'Balizador da Meta'!$C$4:$C$21)</f>
        <v>210.00000000000003</v>
      </c>
      <c r="Z177" s="30">
        <f t="shared" si="44"/>
        <v>1995.0000000000002</v>
      </c>
      <c r="AA177" s="29"/>
      <c r="AB177" s="31">
        <f>SUMIFS('Historico - FAT'!AK:AK,'Historico - FAT'!$K:$K,Faturamento!$L177,'Historico - FAT'!$I:$I,Faturamento!$J177,'Historico - FAT'!$G:$G,Faturamento!$H177)</f>
        <v>0</v>
      </c>
      <c r="AC177" s="31">
        <f>SUMIFS('Historico - FAT'!AL:AL,'Historico - FAT'!$K:$K,Faturamento!$L177,'Historico - FAT'!$I:$I,Faturamento!$J177,'Historico - FAT'!$G:$G,Faturamento!$H177)</f>
        <v>0</v>
      </c>
      <c r="AD177" s="31">
        <f>SUMIFS('Historico - FAT'!AM:AM,'Historico - FAT'!$K:$K,Faturamento!$L177,'Historico - FAT'!$I:$I,Faturamento!$J177,'Historico - FAT'!$G:$G,Faturamento!$H177)</f>
        <v>0</v>
      </c>
      <c r="AE177" s="27">
        <f>SUMIFS('Historico - FAT'!AN:AN,'Historico - FAT'!$K:$K,Faturamento!$L177,'Historico - FAT'!$I:$I,Faturamento!$J177,'Historico - FAT'!$G:$G,Faturamento!$H177)</f>
        <v>0</v>
      </c>
      <c r="AG177" s="24">
        <f t="shared" si="29"/>
        <v>1</v>
      </c>
      <c r="AH177" s="24">
        <f t="shared" si="30"/>
        <v>1</v>
      </c>
      <c r="AI177" s="24">
        <f t="shared" si="31"/>
        <v>1</v>
      </c>
    </row>
    <row r="178" spans="1:35" hidden="1" x14ac:dyDescent="0.3">
      <c r="A178" s="2" t="str">
        <f t="shared" ref="A178:A241" si="45">IF(OR(H178&lt;&gt;H177,J178&lt;&gt;J177),"SIM","NÃO")</f>
        <v>NÃO</v>
      </c>
      <c r="B178" s="2">
        <v>1000184670</v>
      </c>
      <c r="C178" s="2" t="s">
        <v>147</v>
      </c>
      <c r="D178" s="4">
        <v>1000186197</v>
      </c>
      <c r="E178" s="4" t="s">
        <v>166</v>
      </c>
      <c r="F178" s="2">
        <v>1000198600</v>
      </c>
      <c r="G178" s="2" t="s">
        <v>148</v>
      </c>
      <c r="H178" s="4">
        <v>1000198601</v>
      </c>
      <c r="I178" s="4" t="s">
        <v>149</v>
      </c>
      <c r="J178" s="2">
        <v>1000190613</v>
      </c>
      <c r="K178" s="2" t="s">
        <v>142</v>
      </c>
      <c r="L178" s="4" t="s">
        <v>16</v>
      </c>
      <c r="M178" s="4" t="str">
        <f t="shared" si="35"/>
        <v>1000184670100018619710001986011000190613DISNEY</v>
      </c>
      <c r="N178" s="28">
        <f>N175*_xlfn.XLOOKUP($L178,'Balizador da Meta'!$B$4:$B$21,'Balizador da Meta'!$C$4:$C$21)</f>
        <v>0</v>
      </c>
      <c r="O178" s="28">
        <f>O175*_xlfn.XLOOKUP($L178,'Balizador da Meta'!$B$4:$B$21,'Balizador da Meta'!$C$4:$C$21)</f>
        <v>120</v>
      </c>
      <c r="P178" s="28">
        <f>P175*_xlfn.XLOOKUP($L178,'Balizador da Meta'!$B$4:$B$21,'Balizador da Meta'!$C$4:$C$21)</f>
        <v>120</v>
      </c>
      <c r="Q178" s="28">
        <f>Q175*_xlfn.XLOOKUP($L178,'Balizador da Meta'!$B$4:$B$21,'Balizador da Meta'!$C$4:$C$21)</f>
        <v>120</v>
      </c>
      <c r="R178" s="28">
        <f>R175*_xlfn.XLOOKUP($L178,'Balizador da Meta'!$B$4:$B$21,'Balizador da Meta'!$C$4:$C$21)</f>
        <v>240</v>
      </c>
      <c r="S178" s="28">
        <f>S175*_xlfn.XLOOKUP($L178,'Balizador da Meta'!$B$4:$B$21,'Balizador da Meta'!$C$4:$C$21)</f>
        <v>240</v>
      </c>
      <c r="T178" s="28">
        <f>T175*_xlfn.XLOOKUP($L178,'Balizador da Meta'!$B$4:$B$21,'Balizador da Meta'!$C$4:$C$21)</f>
        <v>240</v>
      </c>
      <c r="U178" s="28">
        <f>U175*_xlfn.XLOOKUP($L178,'Balizador da Meta'!$B$4:$B$21,'Balizador da Meta'!$C$4:$C$21)</f>
        <v>240</v>
      </c>
      <c r="V178" s="28">
        <f>V175*_xlfn.XLOOKUP($L178,'Balizador da Meta'!$B$4:$B$21,'Balizador da Meta'!$C$4:$C$21)</f>
        <v>240</v>
      </c>
      <c r="W178" s="28">
        <f>W175*_xlfn.XLOOKUP($L178,'Balizador da Meta'!$B$4:$B$21,'Balizador da Meta'!$C$4:$C$21)</f>
        <v>240</v>
      </c>
      <c r="X178" s="28">
        <f>X175*_xlfn.XLOOKUP($L178,'Balizador da Meta'!$B$4:$B$21,'Balizador da Meta'!$C$4:$C$21)</f>
        <v>240</v>
      </c>
      <c r="Y178" s="28">
        <f>Y175*_xlfn.XLOOKUP($L178,'Balizador da Meta'!$B$4:$B$21,'Balizador da Meta'!$C$4:$C$21)</f>
        <v>240</v>
      </c>
      <c r="Z178" s="30">
        <f t="shared" si="44"/>
        <v>2280</v>
      </c>
      <c r="AA178" s="29"/>
      <c r="AB178" s="31">
        <f>SUMIFS('Historico - FAT'!AK:AK,'Historico - FAT'!$K:$K,Faturamento!$L178,'Historico - FAT'!$I:$I,Faturamento!$J178,'Historico - FAT'!$G:$G,Faturamento!$H178)</f>
        <v>0</v>
      </c>
      <c r="AC178" s="31">
        <f>SUMIFS('Historico - FAT'!AL:AL,'Historico - FAT'!$K:$K,Faturamento!$L178,'Historico - FAT'!$I:$I,Faturamento!$J178,'Historico - FAT'!$G:$G,Faturamento!$H178)</f>
        <v>0</v>
      </c>
      <c r="AD178" s="31">
        <f>SUMIFS('Historico - FAT'!AM:AM,'Historico - FAT'!$K:$K,Faturamento!$L178,'Historico - FAT'!$I:$I,Faturamento!$J178,'Historico - FAT'!$G:$G,Faturamento!$H178)</f>
        <v>0</v>
      </c>
      <c r="AE178" s="27">
        <f>SUMIFS('Historico - FAT'!AN:AN,'Historico - FAT'!$K:$K,Faturamento!$L178,'Historico - FAT'!$I:$I,Faturamento!$J178,'Historico - FAT'!$G:$G,Faturamento!$H178)</f>
        <v>0</v>
      </c>
      <c r="AG178" s="24">
        <f t="shared" ref="AG178:AG241" si="46">IFERROR((AVERAGE(W178:Y178)-AB178)/AVERAGE(W178:Y178),"")</f>
        <v>1</v>
      </c>
      <c r="AH178" s="24">
        <f t="shared" ref="AH178:AH241" si="47">IFERROR((AVERAGE(W178:Y178)-AC178)/AVERAGE(W178:Y178),"")</f>
        <v>1</v>
      </c>
      <c r="AI178" s="24">
        <f t="shared" ref="AI178:AI241" si="48">IFERROR((AVERAGE(W178:Y178)-AD178)/AVERAGE(W178:Y178),"")</f>
        <v>1</v>
      </c>
    </row>
    <row r="179" spans="1:35" hidden="1" x14ac:dyDescent="0.3">
      <c r="A179" s="2" t="str">
        <f t="shared" si="45"/>
        <v>NÃO</v>
      </c>
      <c r="B179" s="2">
        <v>1000184670</v>
      </c>
      <c r="C179" s="2" t="s">
        <v>147</v>
      </c>
      <c r="D179" s="4">
        <v>1000186197</v>
      </c>
      <c r="E179" s="4" t="s">
        <v>166</v>
      </c>
      <c r="F179" s="2">
        <v>1000198600</v>
      </c>
      <c r="G179" s="2" t="s">
        <v>148</v>
      </c>
      <c r="H179" s="4">
        <v>1000198601</v>
      </c>
      <c r="I179" s="4" t="s">
        <v>149</v>
      </c>
      <c r="J179" s="2">
        <v>1000190613</v>
      </c>
      <c r="K179" s="2" t="s">
        <v>142</v>
      </c>
      <c r="L179" s="4" t="s">
        <v>15</v>
      </c>
      <c r="M179" s="4" t="str">
        <f t="shared" si="35"/>
        <v>1000184670100018619710001986011000190613DOCES</v>
      </c>
      <c r="N179" s="28">
        <f>N175*_xlfn.XLOOKUP($L179,'Balizador da Meta'!$B$4:$B$21,'Balizador da Meta'!$C$4:$C$21)</f>
        <v>0</v>
      </c>
      <c r="O179" s="28">
        <f>O175*_xlfn.XLOOKUP($L179,'Balizador da Meta'!$B$4:$B$21,'Balizador da Meta'!$C$4:$C$21)</f>
        <v>135</v>
      </c>
      <c r="P179" s="28">
        <f>P175*_xlfn.XLOOKUP($L179,'Balizador da Meta'!$B$4:$B$21,'Balizador da Meta'!$C$4:$C$21)</f>
        <v>135</v>
      </c>
      <c r="Q179" s="28">
        <f>Q175*_xlfn.XLOOKUP($L179,'Balizador da Meta'!$B$4:$B$21,'Balizador da Meta'!$C$4:$C$21)</f>
        <v>135</v>
      </c>
      <c r="R179" s="28">
        <f>R175*_xlfn.XLOOKUP($L179,'Balizador da Meta'!$B$4:$B$21,'Balizador da Meta'!$C$4:$C$21)</f>
        <v>270</v>
      </c>
      <c r="S179" s="28">
        <f>S175*_xlfn.XLOOKUP($L179,'Balizador da Meta'!$B$4:$B$21,'Balizador da Meta'!$C$4:$C$21)</f>
        <v>270</v>
      </c>
      <c r="T179" s="28">
        <f>T175*_xlfn.XLOOKUP($L179,'Balizador da Meta'!$B$4:$B$21,'Balizador da Meta'!$C$4:$C$21)</f>
        <v>270</v>
      </c>
      <c r="U179" s="28">
        <f>U175*_xlfn.XLOOKUP($L179,'Balizador da Meta'!$B$4:$B$21,'Balizador da Meta'!$C$4:$C$21)</f>
        <v>270</v>
      </c>
      <c r="V179" s="28">
        <f>V175*_xlfn.XLOOKUP($L179,'Balizador da Meta'!$B$4:$B$21,'Balizador da Meta'!$C$4:$C$21)</f>
        <v>270</v>
      </c>
      <c r="W179" s="28">
        <f>W175*_xlfn.XLOOKUP($L179,'Balizador da Meta'!$B$4:$B$21,'Balizador da Meta'!$C$4:$C$21)</f>
        <v>270</v>
      </c>
      <c r="X179" s="28">
        <f>X175*_xlfn.XLOOKUP($L179,'Balizador da Meta'!$B$4:$B$21,'Balizador da Meta'!$C$4:$C$21)</f>
        <v>270</v>
      </c>
      <c r="Y179" s="28">
        <f>Y175*_xlfn.XLOOKUP($L179,'Balizador da Meta'!$B$4:$B$21,'Balizador da Meta'!$C$4:$C$21)</f>
        <v>270</v>
      </c>
      <c r="Z179" s="30">
        <f t="shared" si="44"/>
        <v>2565</v>
      </c>
      <c r="AA179" s="29"/>
      <c r="AB179" s="31">
        <f>SUMIFS('Historico - FAT'!AK:AK,'Historico - FAT'!$K:$K,Faturamento!$L179,'Historico - FAT'!$I:$I,Faturamento!$J179,'Historico - FAT'!$G:$G,Faturamento!$H179)</f>
        <v>0</v>
      </c>
      <c r="AC179" s="31">
        <f>SUMIFS('Historico - FAT'!AL:AL,'Historico - FAT'!$K:$K,Faturamento!$L179,'Historico - FAT'!$I:$I,Faturamento!$J179,'Historico - FAT'!$G:$G,Faturamento!$H179)</f>
        <v>0</v>
      </c>
      <c r="AD179" s="31">
        <f>SUMIFS('Historico - FAT'!AM:AM,'Historico - FAT'!$K:$K,Faturamento!$L179,'Historico - FAT'!$I:$I,Faturamento!$J179,'Historico - FAT'!$G:$G,Faturamento!$H179)</f>
        <v>0</v>
      </c>
      <c r="AE179" s="27">
        <f>SUMIFS('Historico - FAT'!AN:AN,'Historico - FAT'!$K:$K,Faturamento!$L179,'Historico - FAT'!$I:$I,Faturamento!$J179,'Historico - FAT'!$G:$G,Faturamento!$H179)</f>
        <v>0</v>
      </c>
      <c r="AG179" s="24">
        <f t="shared" si="46"/>
        <v>1</v>
      </c>
      <c r="AH179" s="24">
        <f t="shared" si="47"/>
        <v>1</v>
      </c>
      <c r="AI179" s="24">
        <f t="shared" si="48"/>
        <v>1</v>
      </c>
    </row>
    <row r="180" spans="1:35" hidden="1" x14ac:dyDescent="0.3">
      <c r="A180" s="2" t="str">
        <f t="shared" si="45"/>
        <v>NÃO</v>
      </c>
      <c r="B180" s="2">
        <v>1000184670</v>
      </c>
      <c r="C180" s="2" t="s">
        <v>147</v>
      </c>
      <c r="D180" s="4">
        <v>1000186197</v>
      </c>
      <c r="E180" s="4" t="s">
        <v>166</v>
      </c>
      <c r="F180" s="2">
        <v>1000198600</v>
      </c>
      <c r="G180" s="2" t="s">
        <v>148</v>
      </c>
      <c r="H180" s="4">
        <v>1000198601</v>
      </c>
      <c r="I180" s="4" t="s">
        <v>149</v>
      </c>
      <c r="J180" s="2">
        <v>1000190613</v>
      </c>
      <c r="K180" s="2" t="s">
        <v>142</v>
      </c>
      <c r="L180" s="4" t="s">
        <v>33</v>
      </c>
      <c r="M180" s="4" t="str">
        <f t="shared" si="35"/>
        <v>1000184670100018619710001986011000190613FOOD SERVICE</v>
      </c>
      <c r="N180" s="28">
        <f>N175*_xlfn.XLOOKUP($L180,'Balizador da Meta'!$B$4:$B$21,'Balizador da Meta'!$C$4:$C$21)</f>
        <v>0</v>
      </c>
      <c r="O180" s="28">
        <f>O175*_xlfn.XLOOKUP($L180,'Balizador da Meta'!$B$4:$B$21,'Balizador da Meta'!$C$4:$C$21)</f>
        <v>0</v>
      </c>
      <c r="P180" s="28">
        <f>P175*_xlfn.XLOOKUP($L180,'Balizador da Meta'!$B$4:$B$21,'Balizador da Meta'!$C$4:$C$21)</f>
        <v>0</v>
      </c>
      <c r="Q180" s="28">
        <f>Q175*_xlfn.XLOOKUP($L180,'Balizador da Meta'!$B$4:$B$21,'Balizador da Meta'!$C$4:$C$21)</f>
        <v>0</v>
      </c>
      <c r="R180" s="28">
        <f>R175*_xlfn.XLOOKUP($L180,'Balizador da Meta'!$B$4:$B$21,'Balizador da Meta'!$C$4:$C$21)</f>
        <v>0</v>
      </c>
      <c r="S180" s="28">
        <f>S175*_xlfn.XLOOKUP($L180,'Balizador da Meta'!$B$4:$B$21,'Balizador da Meta'!$C$4:$C$21)</f>
        <v>0</v>
      </c>
      <c r="T180" s="28">
        <f>T175*_xlfn.XLOOKUP($L180,'Balizador da Meta'!$B$4:$B$21,'Balizador da Meta'!$C$4:$C$21)</f>
        <v>0</v>
      </c>
      <c r="U180" s="28">
        <f>U175*_xlfn.XLOOKUP($L180,'Balizador da Meta'!$B$4:$B$21,'Balizador da Meta'!$C$4:$C$21)</f>
        <v>0</v>
      </c>
      <c r="V180" s="28">
        <f>V175*_xlfn.XLOOKUP($L180,'Balizador da Meta'!$B$4:$B$21,'Balizador da Meta'!$C$4:$C$21)</f>
        <v>0</v>
      </c>
      <c r="W180" s="28">
        <f>W175*_xlfn.XLOOKUP($L180,'Balizador da Meta'!$B$4:$B$21,'Balizador da Meta'!$C$4:$C$21)</f>
        <v>0</v>
      </c>
      <c r="X180" s="28">
        <f>X175*_xlfn.XLOOKUP($L180,'Balizador da Meta'!$B$4:$B$21,'Balizador da Meta'!$C$4:$C$21)</f>
        <v>0</v>
      </c>
      <c r="Y180" s="28">
        <f>Y175*_xlfn.XLOOKUP($L180,'Balizador da Meta'!$B$4:$B$21,'Balizador da Meta'!$C$4:$C$21)</f>
        <v>0</v>
      </c>
      <c r="Z180" s="30">
        <f t="shared" si="44"/>
        <v>0</v>
      </c>
      <c r="AA180" s="29"/>
      <c r="AB180" s="31">
        <f>SUMIFS('Historico - FAT'!AK:AK,'Historico - FAT'!$K:$K,Faturamento!$L180,'Historico - FAT'!$I:$I,Faturamento!$J180,'Historico - FAT'!$G:$G,Faturamento!$H180)</f>
        <v>0</v>
      </c>
      <c r="AC180" s="31">
        <f>SUMIFS('Historico - FAT'!AL:AL,'Historico - FAT'!$K:$K,Faturamento!$L180,'Historico - FAT'!$I:$I,Faturamento!$J180,'Historico - FAT'!$G:$G,Faturamento!$H180)</f>
        <v>0</v>
      </c>
      <c r="AD180" s="31">
        <f>SUMIFS('Historico - FAT'!AM:AM,'Historico - FAT'!$K:$K,Faturamento!$L180,'Historico - FAT'!$I:$I,Faturamento!$J180,'Historico - FAT'!$G:$G,Faturamento!$H180)</f>
        <v>0</v>
      </c>
      <c r="AE180" s="27">
        <f>SUMIFS('Historico - FAT'!AN:AN,'Historico - FAT'!$K:$K,Faturamento!$L180,'Historico - FAT'!$I:$I,Faturamento!$J180,'Historico - FAT'!$G:$G,Faturamento!$H180)</f>
        <v>0</v>
      </c>
      <c r="AG180" s="24" t="str">
        <f t="shared" si="46"/>
        <v/>
      </c>
      <c r="AH180" s="24" t="str">
        <f t="shared" si="47"/>
        <v/>
      </c>
      <c r="AI180" s="24" t="str">
        <f t="shared" si="48"/>
        <v/>
      </c>
    </row>
    <row r="181" spans="1:35" hidden="1" x14ac:dyDescent="0.3">
      <c r="A181" s="2" t="str">
        <f t="shared" si="45"/>
        <v>NÃO</v>
      </c>
      <c r="B181" s="2">
        <v>1000184670</v>
      </c>
      <c r="C181" s="2" t="s">
        <v>147</v>
      </c>
      <c r="D181" s="4">
        <v>1000186197</v>
      </c>
      <c r="E181" s="4" t="s">
        <v>166</v>
      </c>
      <c r="F181" s="2">
        <v>1000198600</v>
      </c>
      <c r="G181" s="2" t="s">
        <v>148</v>
      </c>
      <c r="H181" s="4">
        <v>1000198601</v>
      </c>
      <c r="I181" s="4" t="s">
        <v>149</v>
      </c>
      <c r="J181" s="2">
        <v>1000190613</v>
      </c>
      <c r="K181" s="2" t="s">
        <v>142</v>
      </c>
      <c r="L181" s="4" t="s">
        <v>19</v>
      </c>
      <c r="M181" s="4" t="str">
        <f t="shared" si="35"/>
        <v>1000184670100018619710001986011000190613GELEIA</v>
      </c>
      <c r="N181" s="28">
        <f>N175*_xlfn.XLOOKUP($L181,'Balizador da Meta'!$B$4:$B$21,'Balizador da Meta'!$C$4:$C$21)</f>
        <v>0</v>
      </c>
      <c r="O181" s="28">
        <f>O175*_xlfn.XLOOKUP($L181,'Balizador da Meta'!$B$4:$B$21,'Balizador da Meta'!$C$4:$C$21)</f>
        <v>29.999999999999996</v>
      </c>
      <c r="P181" s="28">
        <f>P175*_xlfn.XLOOKUP($L181,'Balizador da Meta'!$B$4:$B$21,'Balizador da Meta'!$C$4:$C$21)</f>
        <v>29.999999999999996</v>
      </c>
      <c r="Q181" s="28">
        <f>Q175*_xlfn.XLOOKUP($L181,'Balizador da Meta'!$B$4:$B$21,'Balizador da Meta'!$C$4:$C$21)</f>
        <v>29.999999999999996</v>
      </c>
      <c r="R181" s="28">
        <f>R175*_xlfn.XLOOKUP($L181,'Balizador da Meta'!$B$4:$B$21,'Balizador da Meta'!$C$4:$C$21)</f>
        <v>59.999999999999993</v>
      </c>
      <c r="S181" s="28">
        <f>S175*_xlfn.XLOOKUP($L181,'Balizador da Meta'!$B$4:$B$21,'Balizador da Meta'!$C$4:$C$21)</f>
        <v>59.999999999999993</v>
      </c>
      <c r="T181" s="28">
        <f>T175*_xlfn.XLOOKUP($L181,'Balizador da Meta'!$B$4:$B$21,'Balizador da Meta'!$C$4:$C$21)</f>
        <v>59.999999999999993</v>
      </c>
      <c r="U181" s="28">
        <f>U175*_xlfn.XLOOKUP($L181,'Balizador da Meta'!$B$4:$B$21,'Balizador da Meta'!$C$4:$C$21)</f>
        <v>59.999999999999993</v>
      </c>
      <c r="V181" s="28">
        <f>V175*_xlfn.XLOOKUP($L181,'Balizador da Meta'!$B$4:$B$21,'Balizador da Meta'!$C$4:$C$21)</f>
        <v>59.999999999999993</v>
      </c>
      <c r="W181" s="28">
        <f>W175*_xlfn.XLOOKUP($L181,'Balizador da Meta'!$B$4:$B$21,'Balizador da Meta'!$C$4:$C$21)</f>
        <v>59.999999999999993</v>
      </c>
      <c r="X181" s="28">
        <f>X175*_xlfn.XLOOKUP($L181,'Balizador da Meta'!$B$4:$B$21,'Balizador da Meta'!$C$4:$C$21)</f>
        <v>59.999999999999993</v>
      </c>
      <c r="Y181" s="28">
        <f>Y175*_xlfn.XLOOKUP($L181,'Balizador da Meta'!$B$4:$B$21,'Balizador da Meta'!$C$4:$C$21)</f>
        <v>59.999999999999993</v>
      </c>
      <c r="Z181" s="30">
        <f t="shared" si="44"/>
        <v>569.99999999999989</v>
      </c>
      <c r="AA181" s="29"/>
      <c r="AB181" s="31">
        <f>SUMIFS('Historico - FAT'!AK:AK,'Historico - FAT'!$K:$K,Faturamento!$L181,'Historico - FAT'!$I:$I,Faturamento!$J181,'Historico - FAT'!$G:$G,Faturamento!$H181)</f>
        <v>0</v>
      </c>
      <c r="AC181" s="31">
        <f>SUMIFS('Historico - FAT'!AL:AL,'Historico - FAT'!$K:$K,Faturamento!$L181,'Historico - FAT'!$I:$I,Faturamento!$J181,'Historico - FAT'!$G:$G,Faturamento!$H181)</f>
        <v>0</v>
      </c>
      <c r="AD181" s="31">
        <f>SUMIFS('Historico - FAT'!AM:AM,'Historico - FAT'!$K:$K,Faturamento!$L181,'Historico - FAT'!$I:$I,Faturamento!$J181,'Historico - FAT'!$G:$G,Faturamento!$H181)</f>
        <v>0</v>
      </c>
      <c r="AE181" s="27">
        <f>SUMIFS('Historico - FAT'!AN:AN,'Historico - FAT'!$K:$K,Faturamento!$L181,'Historico - FAT'!$I:$I,Faturamento!$J181,'Historico - FAT'!$G:$G,Faturamento!$H181)</f>
        <v>0</v>
      </c>
      <c r="AG181" s="24">
        <f t="shared" si="46"/>
        <v>1</v>
      </c>
      <c r="AH181" s="24">
        <f t="shared" si="47"/>
        <v>1</v>
      </c>
      <c r="AI181" s="24">
        <f t="shared" si="48"/>
        <v>1</v>
      </c>
    </row>
    <row r="182" spans="1:35" hidden="1" x14ac:dyDescent="0.3">
      <c r="A182" s="2" t="str">
        <f t="shared" si="45"/>
        <v>NÃO</v>
      </c>
      <c r="B182" s="2">
        <v>1000184670</v>
      </c>
      <c r="C182" s="2" t="s">
        <v>147</v>
      </c>
      <c r="D182" s="4">
        <v>1000186197</v>
      </c>
      <c r="E182" s="4" t="s">
        <v>166</v>
      </c>
      <c r="F182" s="2">
        <v>1000198600</v>
      </c>
      <c r="G182" s="2" t="s">
        <v>148</v>
      </c>
      <c r="H182" s="4">
        <v>1000198601</v>
      </c>
      <c r="I182" s="4" t="s">
        <v>149</v>
      </c>
      <c r="J182" s="2">
        <v>1000190613</v>
      </c>
      <c r="K182" s="2" t="s">
        <v>142</v>
      </c>
      <c r="L182" s="4" t="s">
        <v>17</v>
      </c>
      <c r="M182" s="4" t="str">
        <f t="shared" si="35"/>
        <v>1000184670100018619710001986011000190613GRANOLA</v>
      </c>
      <c r="N182" s="28">
        <f>N175*_xlfn.XLOOKUP($L182,'Balizador da Meta'!$B$4:$B$21,'Balizador da Meta'!$C$4:$C$21)</f>
        <v>0</v>
      </c>
      <c r="O182" s="28">
        <f>O175*_xlfn.XLOOKUP($L182,'Balizador da Meta'!$B$4:$B$21,'Balizador da Meta'!$C$4:$C$21)</f>
        <v>30</v>
      </c>
      <c r="P182" s="28">
        <f>P175*_xlfn.XLOOKUP($L182,'Balizador da Meta'!$B$4:$B$21,'Balizador da Meta'!$C$4:$C$21)</f>
        <v>30</v>
      </c>
      <c r="Q182" s="28">
        <f>Q175*_xlfn.XLOOKUP($L182,'Balizador da Meta'!$B$4:$B$21,'Balizador da Meta'!$C$4:$C$21)</f>
        <v>30</v>
      </c>
      <c r="R182" s="28">
        <f>R175*_xlfn.XLOOKUP($L182,'Balizador da Meta'!$B$4:$B$21,'Balizador da Meta'!$C$4:$C$21)</f>
        <v>60</v>
      </c>
      <c r="S182" s="28">
        <f>S175*_xlfn.XLOOKUP($L182,'Balizador da Meta'!$B$4:$B$21,'Balizador da Meta'!$C$4:$C$21)</f>
        <v>60</v>
      </c>
      <c r="T182" s="28">
        <f>T175*_xlfn.XLOOKUP($L182,'Balizador da Meta'!$B$4:$B$21,'Balizador da Meta'!$C$4:$C$21)</f>
        <v>60</v>
      </c>
      <c r="U182" s="28">
        <f>U175*_xlfn.XLOOKUP($L182,'Balizador da Meta'!$B$4:$B$21,'Balizador da Meta'!$C$4:$C$21)</f>
        <v>60</v>
      </c>
      <c r="V182" s="28">
        <f>V175*_xlfn.XLOOKUP($L182,'Balizador da Meta'!$B$4:$B$21,'Balizador da Meta'!$C$4:$C$21)</f>
        <v>60</v>
      </c>
      <c r="W182" s="28">
        <f>W175*_xlfn.XLOOKUP($L182,'Balizador da Meta'!$B$4:$B$21,'Balizador da Meta'!$C$4:$C$21)</f>
        <v>60</v>
      </c>
      <c r="X182" s="28">
        <f>X175*_xlfn.XLOOKUP($L182,'Balizador da Meta'!$B$4:$B$21,'Balizador da Meta'!$C$4:$C$21)</f>
        <v>60</v>
      </c>
      <c r="Y182" s="28">
        <f>Y175*_xlfn.XLOOKUP($L182,'Balizador da Meta'!$B$4:$B$21,'Balizador da Meta'!$C$4:$C$21)</f>
        <v>60</v>
      </c>
      <c r="Z182" s="30">
        <f t="shared" si="44"/>
        <v>570</v>
      </c>
      <c r="AA182" s="29"/>
      <c r="AB182" s="31">
        <f>SUMIFS('Historico - FAT'!AK:AK,'Historico - FAT'!$K:$K,Faturamento!$L182,'Historico - FAT'!$I:$I,Faturamento!$J182,'Historico - FAT'!$G:$G,Faturamento!$H182)</f>
        <v>0</v>
      </c>
      <c r="AC182" s="31">
        <f>SUMIFS('Historico - FAT'!AL:AL,'Historico - FAT'!$K:$K,Faturamento!$L182,'Historico - FAT'!$I:$I,Faturamento!$J182,'Historico - FAT'!$G:$G,Faturamento!$H182)</f>
        <v>0</v>
      </c>
      <c r="AD182" s="31">
        <f>SUMIFS('Historico - FAT'!AM:AM,'Historico - FAT'!$K:$K,Faturamento!$L182,'Historico - FAT'!$I:$I,Faturamento!$J182,'Historico - FAT'!$G:$G,Faturamento!$H182)</f>
        <v>0</v>
      </c>
      <c r="AE182" s="27">
        <f>SUMIFS('Historico - FAT'!AN:AN,'Historico - FAT'!$K:$K,Faturamento!$L182,'Historico - FAT'!$I:$I,Faturamento!$J182,'Historico - FAT'!$G:$G,Faturamento!$H182)</f>
        <v>0</v>
      </c>
      <c r="AG182" s="24">
        <f t="shared" si="46"/>
        <v>1</v>
      </c>
      <c r="AH182" s="24">
        <f t="shared" si="47"/>
        <v>1</v>
      </c>
      <c r="AI182" s="24">
        <f t="shared" si="48"/>
        <v>1</v>
      </c>
    </row>
    <row r="183" spans="1:35" hidden="1" x14ac:dyDescent="0.3">
      <c r="A183" s="2" t="str">
        <f t="shared" si="45"/>
        <v>NÃO</v>
      </c>
      <c r="B183" s="2">
        <v>1000184670</v>
      </c>
      <c r="C183" s="2" t="s">
        <v>147</v>
      </c>
      <c r="D183" s="4">
        <v>1000186197</v>
      </c>
      <c r="E183" s="4" t="s">
        <v>166</v>
      </c>
      <c r="F183" s="2">
        <v>1000198600</v>
      </c>
      <c r="G183" s="2" t="s">
        <v>148</v>
      </c>
      <c r="H183" s="4">
        <v>1000198601</v>
      </c>
      <c r="I183" s="4" t="s">
        <v>149</v>
      </c>
      <c r="J183" s="2">
        <v>1000190613</v>
      </c>
      <c r="K183" s="2" t="s">
        <v>142</v>
      </c>
      <c r="L183" s="4" t="s">
        <v>24</v>
      </c>
      <c r="M183" s="4" t="str">
        <f t="shared" si="35"/>
        <v>1000184670100018619710001986011000190613KIDS</v>
      </c>
      <c r="N183" s="28">
        <f>N175*_xlfn.XLOOKUP($L183,'Balizador da Meta'!$B$4:$B$21,'Balizador da Meta'!$C$4:$C$21)</f>
        <v>0</v>
      </c>
      <c r="O183" s="28">
        <f>O175*_xlfn.XLOOKUP($L183,'Balizador da Meta'!$B$4:$B$21,'Balizador da Meta'!$C$4:$C$21)</f>
        <v>0</v>
      </c>
      <c r="P183" s="28">
        <f>P175*_xlfn.XLOOKUP($L183,'Balizador da Meta'!$B$4:$B$21,'Balizador da Meta'!$C$4:$C$21)</f>
        <v>0</v>
      </c>
      <c r="Q183" s="28">
        <f>Q175*_xlfn.XLOOKUP($L183,'Balizador da Meta'!$B$4:$B$21,'Balizador da Meta'!$C$4:$C$21)</f>
        <v>0</v>
      </c>
      <c r="R183" s="28">
        <f>R175*_xlfn.XLOOKUP($L183,'Balizador da Meta'!$B$4:$B$21,'Balizador da Meta'!$C$4:$C$21)</f>
        <v>0</v>
      </c>
      <c r="S183" s="28">
        <f>S175*_xlfn.XLOOKUP($L183,'Balizador da Meta'!$B$4:$B$21,'Balizador da Meta'!$C$4:$C$21)</f>
        <v>0</v>
      </c>
      <c r="T183" s="28">
        <f>T175*_xlfn.XLOOKUP($L183,'Balizador da Meta'!$B$4:$B$21,'Balizador da Meta'!$C$4:$C$21)</f>
        <v>0</v>
      </c>
      <c r="U183" s="28">
        <f>U175*_xlfn.XLOOKUP($L183,'Balizador da Meta'!$B$4:$B$21,'Balizador da Meta'!$C$4:$C$21)</f>
        <v>0</v>
      </c>
      <c r="V183" s="28">
        <f>V175*_xlfn.XLOOKUP($L183,'Balizador da Meta'!$B$4:$B$21,'Balizador da Meta'!$C$4:$C$21)</f>
        <v>0</v>
      </c>
      <c r="W183" s="28">
        <f>W175*_xlfn.XLOOKUP($L183,'Balizador da Meta'!$B$4:$B$21,'Balizador da Meta'!$C$4:$C$21)</f>
        <v>0</v>
      </c>
      <c r="X183" s="28">
        <f>X175*_xlfn.XLOOKUP($L183,'Balizador da Meta'!$B$4:$B$21,'Balizador da Meta'!$C$4:$C$21)</f>
        <v>0</v>
      </c>
      <c r="Y183" s="28">
        <f>Y175*_xlfn.XLOOKUP($L183,'Balizador da Meta'!$B$4:$B$21,'Balizador da Meta'!$C$4:$C$21)</f>
        <v>0</v>
      </c>
      <c r="Z183" s="30">
        <f t="shared" si="44"/>
        <v>0</v>
      </c>
      <c r="AA183" s="29"/>
      <c r="AB183" s="31">
        <f>SUMIFS('Historico - FAT'!AK:AK,'Historico - FAT'!$K:$K,Faturamento!$L183,'Historico - FAT'!$I:$I,Faturamento!$J183,'Historico - FAT'!$G:$G,Faturamento!$H183)</f>
        <v>0</v>
      </c>
      <c r="AC183" s="31">
        <f>SUMIFS('Historico - FAT'!AL:AL,'Historico - FAT'!$K:$K,Faturamento!$L183,'Historico - FAT'!$I:$I,Faturamento!$J183,'Historico - FAT'!$G:$G,Faturamento!$H183)</f>
        <v>0</v>
      </c>
      <c r="AD183" s="31">
        <f>SUMIFS('Historico - FAT'!AM:AM,'Historico - FAT'!$K:$K,Faturamento!$L183,'Historico - FAT'!$I:$I,Faturamento!$J183,'Historico - FAT'!$G:$G,Faturamento!$H183)</f>
        <v>0</v>
      </c>
      <c r="AE183" s="27">
        <f>SUMIFS('Historico - FAT'!AN:AN,'Historico - FAT'!$K:$K,Faturamento!$L183,'Historico - FAT'!$I:$I,Faturamento!$J183,'Historico - FAT'!$G:$G,Faturamento!$H183)</f>
        <v>0</v>
      </c>
      <c r="AG183" s="24" t="str">
        <f t="shared" si="46"/>
        <v/>
      </c>
      <c r="AH183" s="24" t="str">
        <f t="shared" si="47"/>
        <v/>
      </c>
      <c r="AI183" s="24" t="str">
        <f t="shared" si="48"/>
        <v/>
      </c>
    </row>
    <row r="184" spans="1:35" hidden="1" x14ac:dyDescent="0.3">
      <c r="A184" s="2" t="str">
        <f t="shared" si="45"/>
        <v>NÃO</v>
      </c>
      <c r="B184" s="2">
        <v>1000184670</v>
      </c>
      <c r="C184" s="2" t="s">
        <v>147</v>
      </c>
      <c r="D184" s="4">
        <v>1000186197</v>
      </c>
      <c r="E184" s="4" t="s">
        <v>166</v>
      </c>
      <c r="F184" s="2">
        <v>1000198600</v>
      </c>
      <c r="G184" s="2" t="s">
        <v>148</v>
      </c>
      <c r="H184" s="4">
        <v>1000198601</v>
      </c>
      <c r="I184" s="4" t="s">
        <v>149</v>
      </c>
      <c r="J184" s="2">
        <v>1000190613</v>
      </c>
      <c r="K184" s="2" t="s">
        <v>142</v>
      </c>
      <c r="L184" s="4" t="s">
        <v>18</v>
      </c>
      <c r="M184" s="4" t="str">
        <f t="shared" si="35"/>
        <v>1000184670100018619710001986011000190613LANCHES</v>
      </c>
      <c r="N184" s="28">
        <f>N175*_xlfn.XLOOKUP($L184,'Balizador da Meta'!$B$4:$B$21,'Balizador da Meta'!$C$4:$C$21)</f>
        <v>0</v>
      </c>
      <c r="O184" s="28">
        <f>O175*_xlfn.XLOOKUP($L184,'Balizador da Meta'!$B$4:$B$21,'Balizador da Meta'!$C$4:$C$21)</f>
        <v>15</v>
      </c>
      <c r="P184" s="28">
        <f>P175*_xlfn.XLOOKUP($L184,'Balizador da Meta'!$B$4:$B$21,'Balizador da Meta'!$C$4:$C$21)</f>
        <v>15</v>
      </c>
      <c r="Q184" s="28">
        <f>Q175*_xlfn.XLOOKUP($L184,'Balizador da Meta'!$B$4:$B$21,'Balizador da Meta'!$C$4:$C$21)</f>
        <v>15</v>
      </c>
      <c r="R184" s="28">
        <f>R175*_xlfn.XLOOKUP($L184,'Balizador da Meta'!$B$4:$B$21,'Balizador da Meta'!$C$4:$C$21)</f>
        <v>30</v>
      </c>
      <c r="S184" s="28">
        <f>S175*_xlfn.XLOOKUP($L184,'Balizador da Meta'!$B$4:$B$21,'Balizador da Meta'!$C$4:$C$21)</f>
        <v>30</v>
      </c>
      <c r="T184" s="28">
        <f>T175*_xlfn.XLOOKUP($L184,'Balizador da Meta'!$B$4:$B$21,'Balizador da Meta'!$C$4:$C$21)</f>
        <v>30</v>
      </c>
      <c r="U184" s="28">
        <f>U175*_xlfn.XLOOKUP($L184,'Balizador da Meta'!$B$4:$B$21,'Balizador da Meta'!$C$4:$C$21)</f>
        <v>30</v>
      </c>
      <c r="V184" s="28">
        <f>V175*_xlfn.XLOOKUP($L184,'Balizador da Meta'!$B$4:$B$21,'Balizador da Meta'!$C$4:$C$21)</f>
        <v>30</v>
      </c>
      <c r="W184" s="28">
        <f>W175*_xlfn.XLOOKUP($L184,'Balizador da Meta'!$B$4:$B$21,'Balizador da Meta'!$C$4:$C$21)</f>
        <v>30</v>
      </c>
      <c r="X184" s="28">
        <f>X175*_xlfn.XLOOKUP($L184,'Balizador da Meta'!$B$4:$B$21,'Balizador da Meta'!$C$4:$C$21)</f>
        <v>30</v>
      </c>
      <c r="Y184" s="28">
        <f>Y175*_xlfn.XLOOKUP($L184,'Balizador da Meta'!$B$4:$B$21,'Balizador da Meta'!$C$4:$C$21)</f>
        <v>30</v>
      </c>
      <c r="Z184" s="30">
        <f t="shared" si="44"/>
        <v>285</v>
      </c>
      <c r="AA184" s="29"/>
      <c r="AB184" s="31">
        <f>SUMIFS('Historico - FAT'!AK:AK,'Historico - FAT'!$K:$K,Faturamento!$L184,'Historico - FAT'!$I:$I,Faturamento!$J184,'Historico - FAT'!$G:$G,Faturamento!$H184)</f>
        <v>0</v>
      </c>
      <c r="AC184" s="31">
        <f>SUMIFS('Historico - FAT'!AL:AL,'Historico - FAT'!$K:$K,Faturamento!$L184,'Historico - FAT'!$I:$I,Faturamento!$J184,'Historico - FAT'!$G:$G,Faturamento!$H184)</f>
        <v>0</v>
      </c>
      <c r="AD184" s="31">
        <f>SUMIFS('Historico - FAT'!AM:AM,'Historico - FAT'!$K:$K,Faturamento!$L184,'Historico - FAT'!$I:$I,Faturamento!$J184,'Historico - FAT'!$G:$G,Faturamento!$H184)</f>
        <v>0</v>
      </c>
      <c r="AE184" s="27">
        <f>SUMIFS('Historico - FAT'!AN:AN,'Historico - FAT'!$K:$K,Faturamento!$L184,'Historico - FAT'!$I:$I,Faturamento!$J184,'Historico - FAT'!$G:$G,Faturamento!$H184)</f>
        <v>0</v>
      </c>
      <c r="AG184" s="24">
        <f t="shared" si="46"/>
        <v>1</v>
      </c>
      <c r="AH184" s="24">
        <f t="shared" si="47"/>
        <v>1</v>
      </c>
      <c r="AI184" s="24">
        <f t="shared" si="48"/>
        <v>1</v>
      </c>
    </row>
    <row r="185" spans="1:35" hidden="1" x14ac:dyDescent="0.3">
      <c r="A185" s="2" t="str">
        <f t="shared" si="45"/>
        <v>NÃO</v>
      </c>
      <c r="B185" s="2">
        <v>1000184670</v>
      </c>
      <c r="C185" s="2" t="s">
        <v>147</v>
      </c>
      <c r="D185" s="4">
        <v>1000186197</v>
      </c>
      <c r="E185" s="4" t="s">
        <v>166</v>
      </c>
      <c r="F185" s="2">
        <v>1000198600</v>
      </c>
      <c r="G185" s="2" t="s">
        <v>148</v>
      </c>
      <c r="H185" s="4">
        <v>1000198601</v>
      </c>
      <c r="I185" s="4" t="s">
        <v>149</v>
      </c>
      <c r="J185" s="2">
        <v>1000190613</v>
      </c>
      <c r="K185" s="2" t="s">
        <v>142</v>
      </c>
      <c r="L185" s="4" t="s">
        <v>29</v>
      </c>
      <c r="M185" s="4" t="str">
        <f t="shared" si="35"/>
        <v>1000184670100018619710001986011000190613MAIS GRANEL</v>
      </c>
      <c r="N185" s="28">
        <f>N175*_xlfn.XLOOKUP($L185,'Balizador da Meta'!$B$4:$B$21,'Balizador da Meta'!$C$4:$C$21)</f>
        <v>0</v>
      </c>
      <c r="O185" s="28">
        <f>O175*_xlfn.XLOOKUP($L185,'Balizador da Meta'!$B$4:$B$21,'Balizador da Meta'!$C$4:$C$21)</f>
        <v>480</v>
      </c>
      <c r="P185" s="28">
        <f>P175*_xlfn.XLOOKUP($L185,'Balizador da Meta'!$B$4:$B$21,'Balizador da Meta'!$C$4:$C$21)</f>
        <v>480</v>
      </c>
      <c r="Q185" s="28">
        <f>Q175*_xlfn.XLOOKUP($L185,'Balizador da Meta'!$B$4:$B$21,'Balizador da Meta'!$C$4:$C$21)</f>
        <v>480</v>
      </c>
      <c r="R185" s="28">
        <f>R175*_xlfn.XLOOKUP($L185,'Balizador da Meta'!$B$4:$B$21,'Balizador da Meta'!$C$4:$C$21)</f>
        <v>960</v>
      </c>
      <c r="S185" s="28">
        <f>S175*_xlfn.XLOOKUP($L185,'Balizador da Meta'!$B$4:$B$21,'Balizador da Meta'!$C$4:$C$21)</f>
        <v>960</v>
      </c>
      <c r="T185" s="28">
        <f>T175*_xlfn.XLOOKUP($L185,'Balizador da Meta'!$B$4:$B$21,'Balizador da Meta'!$C$4:$C$21)</f>
        <v>960</v>
      </c>
      <c r="U185" s="28">
        <f>U175*_xlfn.XLOOKUP($L185,'Balizador da Meta'!$B$4:$B$21,'Balizador da Meta'!$C$4:$C$21)</f>
        <v>960</v>
      </c>
      <c r="V185" s="28">
        <f>V175*_xlfn.XLOOKUP($L185,'Balizador da Meta'!$B$4:$B$21,'Balizador da Meta'!$C$4:$C$21)</f>
        <v>960</v>
      </c>
      <c r="W185" s="28">
        <f>W175*_xlfn.XLOOKUP($L185,'Balizador da Meta'!$B$4:$B$21,'Balizador da Meta'!$C$4:$C$21)</f>
        <v>960</v>
      </c>
      <c r="X185" s="28">
        <f>X175*_xlfn.XLOOKUP($L185,'Balizador da Meta'!$B$4:$B$21,'Balizador da Meta'!$C$4:$C$21)</f>
        <v>960</v>
      </c>
      <c r="Y185" s="28">
        <f>Y175*_xlfn.XLOOKUP($L185,'Balizador da Meta'!$B$4:$B$21,'Balizador da Meta'!$C$4:$C$21)</f>
        <v>960</v>
      </c>
      <c r="Z185" s="30">
        <f t="shared" si="44"/>
        <v>9120</v>
      </c>
      <c r="AA185" s="29"/>
      <c r="AB185" s="31">
        <f>SUMIFS('Historico - FAT'!AK:AK,'Historico - FAT'!$K:$K,Faturamento!$L185,'Historico - FAT'!$I:$I,Faturamento!$J185,'Historico - FAT'!$G:$G,Faturamento!$H185)</f>
        <v>0</v>
      </c>
      <c r="AC185" s="31">
        <f>SUMIFS('Historico - FAT'!AL:AL,'Historico - FAT'!$K:$K,Faturamento!$L185,'Historico - FAT'!$I:$I,Faturamento!$J185,'Historico - FAT'!$G:$G,Faturamento!$H185)</f>
        <v>598.09749999999997</v>
      </c>
      <c r="AD185" s="31">
        <f>SUMIFS('Historico - FAT'!AM:AM,'Historico - FAT'!$K:$K,Faturamento!$L185,'Historico - FAT'!$I:$I,Faturamento!$J185,'Historico - FAT'!$G:$G,Faturamento!$H185)</f>
        <v>799.86</v>
      </c>
      <c r="AE185" s="27">
        <f>SUMIFS('Historico - FAT'!AN:AN,'Historico - FAT'!$K:$K,Faturamento!$L185,'Historico - FAT'!$I:$I,Faturamento!$J185,'Historico - FAT'!$G:$G,Faturamento!$H185)</f>
        <v>717.71699999999998</v>
      </c>
      <c r="AG185" s="24">
        <f t="shared" si="46"/>
        <v>1</v>
      </c>
      <c r="AH185" s="24">
        <f t="shared" si="47"/>
        <v>0.37698177083333334</v>
      </c>
      <c r="AI185" s="24">
        <f t="shared" si="48"/>
        <v>0.16681249999999997</v>
      </c>
    </row>
    <row r="186" spans="1:35" hidden="1" x14ac:dyDescent="0.3">
      <c r="A186" s="2" t="str">
        <f t="shared" si="45"/>
        <v>NÃO</v>
      </c>
      <c r="B186" s="2">
        <v>1000184670</v>
      </c>
      <c r="C186" s="2" t="s">
        <v>147</v>
      </c>
      <c r="D186" s="4">
        <v>1000186197</v>
      </c>
      <c r="E186" s="4" t="s">
        <v>166</v>
      </c>
      <c r="F186" s="2">
        <v>1000198600</v>
      </c>
      <c r="G186" s="2" t="s">
        <v>148</v>
      </c>
      <c r="H186" s="4">
        <v>1000198601</v>
      </c>
      <c r="I186" s="4" t="s">
        <v>149</v>
      </c>
      <c r="J186" s="2">
        <v>1000190613</v>
      </c>
      <c r="K186" s="2" t="s">
        <v>142</v>
      </c>
      <c r="L186" s="4" t="s">
        <v>21</v>
      </c>
      <c r="M186" s="4" t="str">
        <f t="shared" si="35"/>
        <v>1000184670100018619710001986011000190613NATURATTA</v>
      </c>
      <c r="N186" s="28">
        <f>N175*_xlfn.XLOOKUP($L186,'Balizador da Meta'!$B$4:$B$21,'Balizador da Meta'!$C$4:$C$21)</f>
        <v>0</v>
      </c>
      <c r="O186" s="28">
        <f>O175*_xlfn.XLOOKUP($L186,'Balizador da Meta'!$B$4:$B$21,'Balizador da Meta'!$C$4:$C$21)</f>
        <v>75</v>
      </c>
      <c r="P186" s="28">
        <f>P175*_xlfn.XLOOKUP($L186,'Balizador da Meta'!$B$4:$B$21,'Balizador da Meta'!$C$4:$C$21)</f>
        <v>75</v>
      </c>
      <c r="Q186" s="28">
        <f>Q175*_xlfn.XLOOKUP($L186,'Balizador da Meta'!$B$4:$B$21,'Balizador da Meta'!$C$4:$C$21)</f>
        <v>75</v>
      </c>
      <c r="R186" s="28">
        <f>R175*_xlfn.XLOOKUP($L186,'Balizador da Meta'!$B$4:$B$21,'Balizador da Meta'!$C$4:$C$21)</f>
        <v>150</v>
      </c>
      <c r="S186" s="28">
        <f>S175*_xlfn.XLOOKUP($L186,'Balizador da Meta'!$B$4:$B$21,'Balizador da Meta'!$C$4:$C$21)</f>
        <v>150</v>
      </c>
      <c r="T186" s="28">
        <f>T175*_xlfn.XLOOKUP($L186,'Balizador da Meta'!$B$4:$B$21,'Balizador da Meta'!$C$4:$C$21)</f>
        <v>150</v>
      </c>
      <c r="U186" s="28">
        <f>U175*_xlfn.XLOOKUP($L186,'Balizador da Meta'!$B$4:$B$21,'Balizador da Meta'!$C$4:$C$21)</f>
        <v>150</v>
      </c>
      <c r="V186" s="28">
        <f>V175*_xlfn.XLOOKUP($L186,'Balizador da Meta'!$B$4:$B$21,'Balizador da Meta'!$C$4:$C$21)</f>
        <v>150</v>
      </c>
      <c r="W186" s="28">
        <f>W175*_xlfn.XLOOKUP($L186,'Balizador da Meta'!$B$4:$B$21,'Balizador da Meta'!$C$4:$C$21)</f>
        <v>150</v>
      </c>
      <c r="X186" s="28">
        <f>X175*_xlfn.XLOOKUP($L186,'Balizador da Meta'!$B$4:$B$21,'Balizador da Meta'!$C$4:$C$21)</f>
        <v>150</v>
      </c>
      <c r="Y186" s="28">
        <f>Y175*_xlfn.XLOOKUP($L186,'Balizador da Meta'!$B$4:$B$21,'Balizador da Meta'!$C$4:$C$21)</f>
        <v>150</v>
      </c>
      <c r="Z186" s="30">
        <f t="shared" si="44"/>
        <v>1425</v>
      </c>
      <c r="AA186" s="29"/>
      <c r="AB186" s="31">
        <f>SUMIFS('Historico - FAT'!AK:AK,'Historico - FAT'!$K:$K,Faturamento!$L186,'Historico - FAT'!$I:$I,Faturamento!$J186,'Historico - FAT'!$G:$G,Faturamento!$H186)</f>
        <v>0</v>
      </c>
      <c r="AC186" s="31">
        <f>SUMIFS('Historico - FAT'!AL:AL,'Historico - FAT'!$K:$K,Faturamento!$L186,'Historico - FAT'!$I:$I,Faturamento!$J186,'Historico - FAT'!$G:$G,Faturamento!$H186)</f>
        <v>0</v>
      </c>
      <c r="AD186" s="31">
        <f>SUMIFS('Historico - FAT'!AM:AM,'Historico - FAT'!$K:$K,Faturamento!$L186,'Historico - FAT'!$I:$I,Faturamento!$J186,'Historico - FAT'!$G:$G,Faturamento!$H186)</f>
        <v>0</v>
      </c>
      <c r="AE186" s="27">
        <f>SUMIFS('Historico - FAT'!AN:AN,'Historico - FAT'!$K:$K,Faturamento!$L186,'Historico - FAT'!$I:$I,Faturamento!$J186,'Historico - FAT'!$G:$G,Faturamento!$H186)</f>
        <v>0</v>
      </c>
      <c r="AG186" s="24">
        <f t="shared" si="46"/>
        <v>1</v>
      </c>
      <c r="AH186" s="24">
        <f t="shared" si="47"/>
        <v>1</v>
      </c>
      <c r="AI186" s="24">
        <f t="shared" si="48"/>
        <v>1</v>
      </c>
    </row>
    <row r="187" spans="1:35" hidden="1" x14ac:dyDescent="0.3">
      <c r="A187" s="2" t="str">
        <f t="shared" si="45"/>
        <v>NÃO</v>
      </c>
      <c r="B187" s="2">
        <v>1000184670</v>
      </c>
      <c r="C187" s="2" t="s">
        <v>147</v>
      </c>
      <c r="D187" s="4">
        <v>1000186197</v>
      </c>
      <c r="E187" s="4" t="s">
        <v>166</v>
      </c>
      <c r="F187" s="2">
        <v>1000198600</v>
      </c>
      <c r="G187" s="2" t="s">
        <v>148</v>
      </c>
      <c r="H187" s="4">
        <v>1000198601</v>
      </c>
      <c r="I187" s="4" t="s">
        <v>149</v>
      </c>
      <c r="J187" s="2">
        <v>1000190613</v>
      </c>
      <c r="K187" s="2" t="s">
        <v>142</v>
      </c>
      <c r="L187" s="4" t="s">
        <v>20</v>
      </c>
      <c r="M187" s="4" t="str">
        <f t="shared" si="35"/>
        <v>1000184670100018619710001986011000190613REEMBALADOS</v>
      </c>
      <c r="N187" s="28">
        <f>N175*_xlfn.XLOOKUP($L187,'Balizador da Meta'!$B$4:$B$21,'Balizador da Meta'!$C$4:$C$21)</f>
        <v>0</v>
      </c>
      <c r="O187" s="28">
        <f>O175*_xlfn.XLOOKUP($L187,'Balizador da Meta'!$B$4:$B$21,'Balizador da Meta'!$C$4:$C$21)</f>
        <v>60</v>
      </c>
      <c r="P187" s="28">
        <f>P175*_xlfn.XLOOKUP($L187,'Balizador da Meta'!$B$4:$B$21,'Balizador da Meta'!$C$4:$C$21)</f>
        <v>60</v>
      </c>
      <c r="Q187" s="28">
        <f>Q175*_xlfn.XLOOKUP($L187,'Balizador da Meta'!$B$4:$B$21,'Balizador da Meta'!$C$4:$C$21)</f>
        <v>60</v>
      </c>
      <c r="R187" s="28">
        <f>R175*_xlfn.XLOOKUP($L187,'Balizador da Meta'!$B$4:$B$21,'Balizador da Meta'!$C$4:$C$21)</f>
        <v>120</v>
      </c>
      <c r="S187" s="28">
        <f>S175*_xlfn.XLOOKUP($L187,'Balizador da Meta'!$B$4:$B$21,'Balizador da Meta'!$C$4:$C$21)</f>
        <v>120</v>
      </c>
      <c r="T187" s="28">
        <f>T175*_xlfn.XLOOKUP($L187,'Balizador da Meta'!$B$4:$B$21,'Balizador da Meta'!$C$4:$C$21)</f>
        <v>120</v>
      </c>
      <c r="U187" s="28">
        <f>U175*_xlfn.XLOOKUP($L187,'Balizador da Meta'!$B$4:$B$21,'Balizador da Meta'!$C$4:$C$21)</f>
        <v>120</v>
      </c>
      <c r="V187" s="28">
        <f>V175*_xlfn.XLOOKUP($L187,'Balizador da Meta'!$B$4:$B$21,'Balizador da Meta'!$C$4:$C$21)</f>
        <v>120</v>
      </c>
      <c r="W187" s="28">
        <f>W175*_xlfn.XLOOKUP($L187,'Balizador da Meta'!$B$4:$B$21,'Balizador da Meta'!$C$4:$C$21)</f>
        <v>120</v>
      </c>
      <c r="X187" s="28">
        <f>X175*_xlfn.XLOOKUP($L187,'Balizador da Meta'!$B$4:$B$21,'Balizador da Meta'!$C$4:$C$21)</f>
        <v>120</v>
      </c>
      <c r="Y187" s="28">
        <f>Y175*_xlfn.XLOOKUP($L187,'Balizador da Meta'!$B$4:$B$21,'Balizador da Meta'!$C$4:$C$21)</f>
        <v>120</v>
      </c>
      <c r="Z187" s="30">
        <f t="shared" si="44"/>
        <v>1140</v>
      </c>
      <c r="AA187" s="29"/>
      <c r="AB187" s="31">
        <f>SUMIFS('Historico - FAT'!AK:AK,'Historico - FAT'!$K:$K,Faturamento!$L187,'Historico - FAT'!$I:$I,Faturamento!$J187,'Historico - FAT'!$G:$G,Faturamento!$H187)</f>
        <v>0</v>
      </c>
      <c r="AC187" s="31">
        <f>SUMIFS('Historico - FAT'!AL:AL,'Historico - FAT'!$K:$K,Faturamento!$L187,'Historico - FAT'!$I:$I,Faturamento!$J187,'Historico - FAT'!$G:$G,Faturamento!$H187)</f>
        <v>0</v>
      </c>
      <c r="AD187" s="31">
        <f>SUMIFS('Historico - FAT'!AM:AM,'Historico - FAT'!$K:$K,Faturamento!$L187,'Historico - FAT'!$I:$I,Faturamento!$J187,'Historico - FAT'!$G:$G,Faturamento!$H187)</f>
        <v>0</v>
      </c>
      <c r="AE187" s="27">
        <f>SUMIFS('Historico - FAT'!AN:AN,'Historico - FAT'!$K:$K,Faturamento!$L187,'Historico - FAT'!$I:$I,Faturamento!$J187,'Historico - FAT'!$G:$G,Faturamento!$H187)</f>
        <v>0</v>
      </c>
      <c r="AG187" s="24">
        <f t="shared" si="46"/>
        <v>1</v>
      </c>
      <c r="AH187" s="24">
        <f t="shared" si="47"/>
        <v>1</v>
      </c>
      <c r="AI187" s="24">
        <f t="shared" si="48"/>
        <v>1</v>
      </c>
    </row>
    <row r="188" spans="1:35" hidden="1" x14ac:dyDescent="0.3">
      <c r="A188" s="2" t="str">
        <f t="shared" si="45"/>
        <v>NÃO</v>
      </c>
      <c r="B188" s="2">
        <v>1000184670</v>
      </c>
      <c r="C188" s="2" t="s">
        <v>147</v>
      </c>
      <c r="D188" s="4">
        <v>1000186197</v>
      </c>
      <c r="E188" s="4" t="s">
        <v>166</v>
      </c>
      <c r="F188" s="2">
        <v>1000198600</v>
      </c>
      <c r="G188" s="2" t="s">
        <v>148</v>
      </c>
      <c r="H188" s="4">
        <v>1000198601</v>
      </c>
      <c r="I188" s="4" t="s">
        <v>149</v>
      </c>
      <c r="J188" s="2">
        <v>1000190613</v>
      </c>
      <c r="K188" s="2" t="s">
        <v>142</v>
      </c>
      <c r="L188" s="4" t="s">
        <v>22</v>
      </c>
      <c r="M188" s="4" t="str">
        <f t="shared" si="35"/>
        <v>1000184670100018619710001986011000190613S GLUTEN</v>
      </c>
      <c r="N188" s="28">
        <f>N175*_xlfn.XLOOKUP($L188,'Balizador da Meta'!$B$4:$B$21,'Balizador da Meta'!$C$4:$C$21)</f>
        <v>0</v>
      </c>
      <c r="O188" s="28">
        <f>O175*_xlfn.XLOOKUP($L188,'Balizador da Meta'!$B$4:$B$21,'Balizador da Meta'!$C$4:$C$21)</f>
        <v>60</v>
      </c>
      <c r="P188" s="28">
        <f>P175*_xlfn.XLOOKUP($L188,'Balizador da Meta'!$B$4:$B$21,'Balizador da Meta'!$C$4:$C$21)</f>
        <v>60</v>
      </c>
      <c r="Q188" s="28">
        <f>Q175*_xlfn.XLOOKUP($L188,'Balizador da Meta'!$B$4:$B$21,'Balizador da Meta'!$C$4:$C$21)</f>
        <v>60</v>
      </c>
      <c r="R188" s="28">
        <f>R175*_xlfn.XLOOKUP($L188,'Balizador da Meta'!$B$4:$B$21,'Balizador da Meta'!$C$4:$C$21)</f>
        <v>120</v>
      </c>
      <c r="S188" s="28">
        <f>S175*_xlfn.XLOOKUP($L188,'Balizador da Meta'!$B$4:$B$21,'Balizador da Meta'!$C$4:$C$21)</f>
        <v>120</v>
      </c>
      <c r="T188" s="28">
        <f>T175*_xlfn.XLOOKUP($L188,'Balizador da Meta'!$B$4:$B$21,'Balizador da Meta'!$C$4:$C$21)</f>
        <v>120</v>
      </c>
      <c r="U188" s="28">
        <f>U175*_xlfn.XLOOKUP($L188,'Balizador da Meta'!$B$4:$B$21,'Balizador da Meta'!$C$4:$C$21)</f>
        <v>120</v>
      </c>
      <c r="V188" s="28">
        <f>V175*_xlfn.XLOOKUP($L188,'Balizador da Meta'!$B$4:$B$21,'Balizador da Meta'!$C$4:$C$21)</f>
        <v>120</v>
      </c>
      <c r="W188" s="28">
        <f>W175*_xlfn.XLOOKUP($L188,'Balizador da Meta'!$B$4:$B$21,'Balizador da Meta'!$C$4:$C$21)</f>
        <v>120</v>
      </c>
      <c r="X188" s="28">
        <f>X175*_xlfn.XLOOKUP($L188,'Balizador da Meta'!$B$4:$B$21,'Balizador da Meta'!$C$4:$C$21)</f>
        <v>120</v>
      </c>
      <c r="Y188" s="28">
        <f>Y175*_xlfn.XLOOKUP($L188,'Balizador da Meta'!$B$4:$B$21,'Balizador da Meta'!$C$4:$C$21)</f>
        <v>120</v>
      </c>
      <c r="Z188" s="30">
        <f t="shared" si="44"/>
        <v>1140</v>
      </c>
      <c r="AA188" s="29"/>
      <c r="AB188" s="31">
        <f>SUMIFS('Historico - FAT'!AK:AK,'Historico - FAT'!$K:$K,Faturamento!$L188,'Historico - FAT'!$I:$I,Faturamento!$J188,'Historico - FAT'!$G:$G,Faturamento!$H188)</f>
        <v>0</v>
      </c>
      <c r="AC188" s="31">
        <f>SUMIFS('Historico - FAT'!AL:AL,'Historico - FAT'!$K:$K,Faturamento!$L188,'Historico - FAT'!$I:$I,Faturamento!$J188,'Historico - FAT'!$G:$G,Faturamento!$H188)</f>
        <v>0</v>
      </c>
      <c r="AD188" s="31">
        <f>SUMIFS('Historico - FAT'!AM:AM,'Historico - FAT'!$K:$K,Faturamento!$L188,'Historico - FAT'!$I:$I,Faturamento!$J188,'Historico - FAT'!$G:$G,Faturamento!$H188)</f>
        <v>0</v>
      </c>
      <c r="AE188" s="27">
        <f>SUMIFS('Historico - FAT'!AN:AN,'Historico - FAT'!$K:$K,Faturamento!$L188,'Historico - FAT'!$I:$I,Faturamento!$J188,'Historico - FAT'!$G:$G,Faturamento!$H188)</f>
        <v>0</v>
      </c>
      <c r="AG188" s="24">
        <f t="shared" si="46"/>
        <v>1</v>
      </c>
      <c r="AH188" s="24">
        <f t="shared" si="47"/>
        <v>1</v>
      </c>
      <c r="AI188" s="24">
        <f t="shared" si="48"/>
        <v>1</v>
      </c>
    </row>
    <row r="189" spans="1:35" hidden="1" x14ac:dyDescent="0.3">
      <c r="A189" s="2" t="str">
        <f t="shared" si="45"/>
        <v>NÃO</v>
      </c>
      <c r="B189" s="2">
        <v>1000184670</v>
      </c>
      <c r="C189" s="2" t="s">
        <v>147</v>
      </c>
      <c r="D189" s="4">
        <v>1000186197</v>
      </c>
      <c r="E189" s="4" t="s">
        <v>166</v>
      </c>
      <c r="F189" s="2">
        <v>1000198600</v>
      </c>
      <c r="G189" s="2" t="s">
        <v>148</v>
      </c>
      <c r="H189" s="4">
        <v>1000198601</v>
      </c>
      <c r="I189" s="4" t="s">
        <v>149</v>
      </c>
      <c r="J189" s="2">
        <v>1000190613</v>
      </c>
      <c r="K189" s="2" t="s">
        <v>142</v>
      </c>
      <c r="L189" s="4" t="s">
        <v>23</v>
      </c>
      <c r="M189" s="4" t="str">
        <f t="shared" si="35"/>
        <v>1000184670100018619710001986011000190613SABORES DO CAMPO</v>
      </c>
      <c r="N189" s="28">
        <f>N175*_xlfn.XLOOKUP($L189,'Balizador da Meta'!$B$4:$B$21,'Balizador da Meta'!$C$4:$C$21)</f>
        <v>0</v>
      </c>
      <c r="O189" s="28">
        <f>O175*_xlfn.XLOOKUP($L189,'Balizador da Meta'!$B$4:$B$21,'Balizador da Meta'!$C$4:$C$21)</f>
        <v>0</v>
      </c>
      <c r="P189" s="28">
        <f>P175*_xlfn.XLOOKUP($L189,'Balizador da Meta'!$B$4:$B$21,'Balizador da Meta'!$C$4:$C$21)</f>
        <v>0</v>
      </c>
      <c r="Q189" s="28">
        <f>Q175*_xlfn.XLOOKUP($L189,'Balizador da Meta'!$B$4:$B$21,'Balizador da Meta'!$C$4:$C$21)</f>
        <v>0</v>
      </c>
      <c r="R189" s="28">
        <f>R175*_xlfn.XLOOKUP($L189,'Balizador da Meta'!$B$4:$B$21,'Balizador da Meta'!$C$4:$C$21)</f>
        <v>0</v>
      </c>
      <c r="S189" s="28">
        <f>S175*_xlfn.XLOOKUP($L189,'Balizador da Meta'!$B$4:$B$21,'Balizador da Meta'!$C$4:$C$21)</f>
        <v>0</v>
      </c>
      <c r="T189" s="28">
        <f>T175*_xlfn.XLOOKUP($L189,'Balizador da Meta'!$B$4:$B$21,'Balizador da Meta'!$C$4:$C$21)</f>
        <v>0</v>
      </c>
      <c r="U189" s="28">
        <f>U175*_xlfn.XLOOKUP($L189,'Balizador da Meta'!$B$4:$B$21,'Balizador da Meta'!$C$4:$C$21)</f>
        <v>0</v>
      </c>
      <c r="V189" s="28">
        <f>V175*_xlfn.XLOOKUP($L189,'Balizador da Meta'!$B$4:$B$21,'Balizador da Meta'!$C$4:$C$21)</f>
        <v>0</v>
      </c>
      <c r="W189" s="28">
        <f>W175*_xlfn.XLOOKUP($L189,'Balizador da Meta'!$B$4:$B$21,'Balizador da Meta'!$C$4:$C$21)</f>
        <v>0</v>
      </c>
      <c r="X189" s="28">
        <f>X175*_xlfn.XLOOKUP($L189,'Balizador da Meta'!$B$4:$B$21,'Balizador da Meta'!$C$4:$C$21)</f>
        <v>0</v>
      </c>
      <c r="Y189" s="28">
        <f>Y175*_xlfn.XLOOKUP($L189,'Balizador da Meta'!$B$4:$B$21,'Balizador da Meta'!$C$4:$C$21)</f>
        <v>0</v>
      </c>
      <c r="Z189" s="30">
        <f t="shared" si="44"/>
        <v>0</v>
      </c>
      <c r="AA189" s="29"/>
      <c r="AB189" s="31">
        <f>SUMIFS('Historico - FAT'!AK:AK,'Historico - FAT'!$K:$K,Faturamento!$L189,'Historico - FAT'!$I:$I,Faturamento!$J189,'Historico - FAT'!$G:$G,Faturamento!$H189)</f>
        <v>0</v>
      </c>
      <c r="AC189" s="31">
        <f>SUMIFS('Historico - FAT'!AL:AL,'Historico - FAT'!$K:$K,Faturamento!$L189,'Historico - FAT'!$I:$I,Faturamento!$J189,'Historico - FAT'!$G:$G,Faturamento!$H189)</f>
        <v>0</v>
      </c>
      <c r="AD189" s="31">
        <f>SUMIFS('Historico - FAT'!AM:AM,'Historico - FAT'!$K:$K,Faturamento!$L189,'Historico - FAT'!$I:$I,Faturamento!$J189,'Historico - FAT'!$G:$G,Faturamento!$H189)</f>
        <v>0</v>
      </c>
      <c r="AE189" s="27">
        <f>SUMIFS('Historico - FAT'!AN:AN,'Historico - FAT'!$K:$K,Faturamento!$L189,'Historico - FAT'!$I:$I,Faturamento!$J189,'Historico - FAT'!$G:$G,Faturamento!$H189)</f>
        <v>0</v>
      </c>
      <c r="AG189" s="24" t="str">
        <f t="shared" si="46"/>
        <v/>
      </c>
      <c r="AH189" s="24" t="str">
        <f t="shared" si="47"/>
        <v/>
      </c>
      <c r="AI189" s="24" t="str">
        <f t="shared" si="48"/>
        <v/>
      </c>
    </row>
    <row r="190" spans="1:35" hidden="1" x14ac:dyDescent="0.3">
      <c r="A190" s="2" t="str">
        <f t="shared" si="45"/>
        <v>NÃO</v>
      </c>
      <c r="B190" s="2">
        <v>1000184670</v>
      </c>
      <c r="C190" s="2" t="s">
        <v>147</v>
      </c>
      <c r="D190" s="4">
        <v>1000186197</v>
      </c>
      <c r="E190" s="4" t="s">
        <v>166</v>
      </c>
      <c r="F190" s="2">
        <v>1000198600</v>
      </c>
      <c r="G190" s="2" t="s">
        <v>148</v>
      </c>
      <c r="H190" s="4">
        <v>1000198601</v>
      </c>
      <c r="I190" s="4" t="s">
        <v>149</v>
      </c>
      <c r="J190" s="2">
        <v>1000190613</v>
      </c>
      <c r="K190" s="2" t="s">
        <v>142</v>
      </c>
      <c r="L190" s="4" t="s">
        <v>28</v>
      </c>
      <c r="M190" s="4" t="str">
        <f t="shared" si="35"/>
        <v>1000184670100018619710001986011000190613SAL</v>
      </c>
      <c r="N190" s="28">
        <f>N175*_xlfn.XLOOKUP($L190,'Balizador da Meta'!$B$4:$B$21,'Balizador da Meta'!$C$4:$C$21)</f>
        <v>0</v>
      </c>
      <c r="O190" s="28">
        <f>O175*_xlfn.XLOOKUP($L190,'Balizador da Meta'!$B$4:$B$21,'Balizador da Meta'!$C$4:$C$21)</f>
        <v>30</v>
      </c>
      <c r="P190" s="28">
        <f>P175*_xlfn.XLOOKUP($L190,'Balizador da Meta'!$B$4:$B$21,'Balizador da Meta'!$C$4:$C$21)</f>
        <v>30</v>
      </c>
      <c r="Q190" s="28">
        <f>Q175*_xlfn.XLOOKUP($L190,'Balizador da Meta'!$B$4:$B$21,'Balizador da Meta'!$C$4:$C$21)</f>
        <v>30</v>
      </c>
      <c r="R190" s="28">
        <f>R175*_xlfn.XLOOKUP($L190,'Balizador da Meta'!$B$4:$B$21,'Balizador da Meta'!$C$4:$C$21)</f>
        <v>60</v>
      </c>
      <c r="S190" s="28">
        <f>S175*_xlfn.XLOOKUP($L190,'Balizador da Meta'!$B$4:$B$21,'Balizador da Meta'!$C$4:$C$21)</f>
        <v>60</v>
      </c>
      <c r="T190" s="28">
        <f>T175*_xlfn.XLOOKUP($L190,'Balizador da Meta'!$B$4:$B$21,'Balizador da Meta'!$C$4:$C$21)</f>
        <v>60</v>
      </c>
      <c r="U190" s="28">
        <f>U175*_xlfn.XLOOKUP($L190,'Balizador da Meta'!$B$4:$B$21,'Balizador da Meta'!$C$4:$C$21)</f>
        <v>60</v>
      </c>
      <c r="V190" s="28">
        <f>V175*_xlfn.XLOOKUP($L190,'Balizador da Meta'!$B$4:$B$21,'Balizador da Meta'!$C$4:$C$21)</f>
        <v>60</v>
      </c>
      <c r="W190" s="28">
        <f>W175*_xlfn.XLOOKUP($L190,'Balizador da Meta'!$B$4:$B$21,'Balizador da Meta'!$C$4:$C$21)</f>
        <v>60</v>
      </c>
      <c r="X190" s="28">
        <f>X175*_xlfn.XLOOKUP($L190,'Balizador da Meta'!$B$4:$B$21,'Balizador da Meta'!$C$4:$C$21)</f>
        <v>60</v>
      </c>
      <c r="Y190" s="28">
        <f>Y175*_xlfn.XLOOKUP($L190,'Balizador da Meta'!$B$4:$B$21,'Balizador da Meta'!$C$4:$C$21)</f>
        <v>60</v>
      </c>
      <c r="Z190" s="30">
        <f t="shared" si="44"/>
        <v>570</v>
      </c>
      <c r="AA190" s="29"/>
      <c r="AB190" s="31">
        <f>SUMIFS('Historico - FAT'!AK:AK,'Historico - FAT'!$K:$K,Faturamento!$L190,'Historico - FAT'!$I:$I,Faturamento!$J190,'Historico - FAT'!$G:$G,Faturamento!$H190)</f>
        <v>0</v>
      </c>
      <c r="AC190" s="31">
        <f>SUMIFS('Historico - FAT'!AL:AL,'Historico - FAT'!$K:$K,Faturamento!$L190,'Historico - FAT'!$I:$I,Faturamento!$J190,'Historico - FAT'!$G:$G,Faturamento!$H190)</f>
        <v>0</v>
      </c>
      <c r="AD190" s="31">
        <f>SUMIFS('Historico - FAT'!AM:AM,'Historico - FAT'!$K:$K,Faturamento!$L190,'Historico - FAT'!$I:$I,Faturamento!$J190,'Historico - FAT'!$G:$G,Faturamento!$H190)</f>
        <v>0</v>
      </c>
      <c r="AE190" s="27">
        <f>SUMIFS('Historico - FAT'!AN:AN,'Historico - FAT'!$K:$K,Faturamento!$L190,'Historico - FAT'!$I:$I,Faturamento!$J190,'Historico - FAT'!$G:$G,Faturamento!$H190)</f>
        <v>0</v>
      </c>
      <c r="AG190" s="24">
        <f t="shared" si="46"/>
        <v>1</v>
      </c>
      <c r="AH190" s="24">
        <f t="shared" si="47"/>
        <v>1</v>
      </c>
      <c r="AI190" s="24">
        <f t="shared" si="48"/>
        <v>1</v>
      </c>
    </row>
    <row r="191" spans="1:35" hidden="1" x14ac:dyDescent="0.3">
      <c r="A191" s="2" t="str">
        <f t="shared" si="45"/>
        <v>NÃO</v>
      </c>
      <c r="B191" s="2">
        <v>1000184670</v>
      </c>
      <c r="C191" s="2" t="s">
        <v>147</v>
      </c>
      <c r="D191" s="4">
        <v>1000186197</v>
      </c>
      <c r="E191" s="4" t="s">
        <v>166</v>
      </c>
      <c r="F191" s="2">
        <v>1000198600</v>
      </c>
      <c r="G191" s="2" t="s">
        <v>148</v>
      </c>
      <c r="H191" s="4">
        <v>1000198601</v>
      </c>
      <c r="I191" s="4" t="s">
        <v>149</v>
      </c>
      <c r="J191" s="2">
        <v>1000190613</v>
      </c>
      <c r="K191" s="2" t="s">
        <v>142</v>
      </c>
      <c r="L191" s="4" t="s">
        <v>26</v>
      </c>
      <c r="M191" s="4" t="str">
        <f t="shared" si="35"/>
        <v>1000184670100018619710001986011000190613SOULPRO</v>
      </c>
      <c r="N191" s="28">
        <f>N175*_xlfn.XLOOKUP($L191,'Balizador da Meta'!$B$4:$B$21,'Balizador da Meta'!$C$4:$C$21)</f>
        <v>0</v>
      </c>
      <c r="O191" s="28">
        <f>O175*_xlfn.XLOOKUP($L191,'Balizador da Meta'!$B$4:$B$21,'Balizador da Meta'!$C$4:$C$21)</f>
        <v>90</v>
      </c>
      <c r="P191" s="28">
        <f>P175*_xlfn.XLOOKUP($L191,'Balizador da Meta'!$B$4:$B$21,'Balizador da Meta'!$C$4:$C$21)</f>
        <v>90</v>
      </c>
      <c r="Q191" s="28">
        <f>Q175*_xlfn.XLOOKUP($L191,'Balizador da Meta'!$B$4:$B$21,'Balizador da Meta'!$C$4:$C$21)</f>
        <v>90</v>
      </c>
      <c r="R191" s="28">
        <f>R175*_xlfn.XLOOKUP($L191,'Balizador da Meta'!$B$4:$B$21,'Balizador da Meta'!$C$4:$C$21)</f>
        <v>180</v>
      </c>
      <c r="S191" s="28">
        <f>S175*_xlfn.XLOOKUP($L191,'Balizador da Meta'!$B$4:$B$21,'Balizador da Meta'!$C$4:$C$21)</f>
        <v>180</v>
      </c>
      <c r="T191" s="28">
        <f>T175*_xlfn.XLOOKUP($L191,'Balizador da Meta'!$B$4:$B$21,'Balizador da Meta'!$C$4:$C$21)</f>
        <v>180</v>
      </c>
      <c r="U191" s="28">
        <f>U175*_xlfn.XLOOKUP($L191,'Balizador da Meta'!$B$4:$B$21,'Balizador da Meta'!$C$4:$C$21)</f>
        <v>180</v>
      </c>
      <c r="V191" s="28">
        <f>V175*_xlfn.XLOOKUP($L191,'Balizador da Meta'!$B$4:$B$21,'Balizador da Meta'!$C$4:$C$21)</f>
        <v>180</v>
      </c>
      <c r="W191" s="28">
        <f>W175*_xlfn.XLOOKUP($L191,'Balizador da Meta'!$B$4:$B$21,'Balizador da Meta'!$C$4:$C$21)</f>
        <v>180</v>
      </c>
      <c r="X191" s="28">
        <f>X175*_xlfn.XLOOKUP($L191,'Balizador da Meta'!$B$4:$B$21,'Balizador da Meta'!$C$4:$C$21)</f>
        <v>180</v>
      </c>
      <c r="Y191" s="28">
        <f>Y175*_xlfn.XLOOKUP($L191,'Balizador da Meta'!$B$4:$B$21,'Balizador da Meta'!$C$4:$C$21)</f>
        <v>180</v>
      </c>
      <c r="Z191" s="30">
        <f t="shared" si="44"/>
        <v>1710</v>
      </c>
      <c r="AA191" s="29"/>
      <c r="AB191" s="31">
        <f>SUMIFS('Historico - FAT'!AK:AK,'Historico - FAT'!$K:$K,Faturamento!$L191,'Historico - FAT'!$I:$I,Faturamento!$J191,'Historico - FAT'!$G:$G,Faturamento!$H191)</f>
        <v>0</v>
      </c>
      <c r="AC191" s="31">
        <f>SUMIFS('Historico - FAT'!AL:AL,'Historico - FAT'!$K:$K,Faturamento!$L191,'Historico - FAT'!$I:$I,Faturamento!$J191,'Historico - FAT'!$G:$G,Faturamento!$H191)</f>
        <v>0</v>
      </c>
      <c r="AD191" s="31">
        <f>SUMIFS('Historico - FAT'!AM:AM,'Historico - FAT'!$K:$K,Faturamento!$L191,'Historico - FAT'!$I:$I,Faturamento!$J191,'Historico - FAT'!$G:$G,Faturamento!$H191)</f>
        <v>0</v>
      </c>
      <c r="AE191" s="27">
        <f>SUMIFS('Historico - FAT'!AN:AN,'Historico - FAT'!$K:$K,Faturamento!$L191,'Historico - FAT'!$I:$I,Faturamento!$J191,'Historico - FAT'!$G:$G,Faturamento!$H191)</f>
        <v>0</v>
      </c>
      <c r="AG191" s="24">
        <f t="shared" si="46"/>
        <v>1</v>
      </c>
      <c r="AH191" s="24">
        <f t="shared" si="47"/>
        <v>1</v>
      </c>
      <c r="AI191" s="24">
        <f t="shared" si="48"/>
        <v>1</v>
      </c>
    </row>
    <row r="192" spans="1:35" hidden="1" x14ac:dyDescent="0.3">
      <c r="A192" s="2" t="str">
        <f t="shared" si="45"/>
        <v>NÃO</v>
      </c>
      <c r="B192" s="2">
        <v>1000184670</v>
      </c>
      <c r="C192" s="2" t="s">
        <v>147</v>
      </c>
      <c r="D192" s="4">
        <v>1000186197</v>
      </c>
      <c r="E192" s="4" t="s">
        <v>166</v>
      </c>
      <c r="F192" s="2">
        <v>1000198600</v>
      </c>
      <c r="G192" s="2" t="s">
        <v>148</v>
      </c>
      <c r="H192" s="4">
        <v>1000198601</v>
      </c>
      <c r="I192" s="4" t="s">
        <v>149</v>
      </c>
      <c r="J192" s="2">
        <v>1000190613</v>
      </c>
      <c r="K192" s="2" t="s">
        <v>142</v>
      </c>
      <c r="L192" s="4" t="s">
        <v>27</v>
      </c>
      <c r="M192" s="4" t="str">
        <f t="shared" si="35"/>
        <v>1000184670100018619710001986011000190613TAMARA</v>
      </c>
      <c r="N192" s="28">
        <f>N175*_xlfn.XLOOKUP($L192,'Balizador da Meta'!$B$4:$B$21,'Balizador da Meta'!$C$4:$C$21)</f>
        <v>0</v>
      </c>
      <c r="O192" s="28">
        <f>O175*_xlfn.XLOOKUP($L192,'Balizador da Meta'!$B$4:$B$21,'Balizador da Meta'!$C$4:$C$21)</f>
        <v>120</v>
      </c>
      <c r="P192" s="28">
        <f>P175*_xlfn.XLOOKUP($L192,'Balizador da Meta'!$B$4:$B$21,'Balizador da Meta'!$C$4:$C$21)</f>
        <v>120</v>
      </c>
      <c r="Q192" s="28">
        <f>Q175*_xlfn.XLOOKUP($L192,'Balizador da Meta'!$B$4:$B$21,'Balizador da Meta'!$C$4:$C$21)</f>
        <v>120</v>
      </c>
      <c r="R192" s="28">
        <f>R175*_xlfn.XLOOKUP($L192,'Balizador da Meta'!$B$4:$B$21,'Balizador da Meta'!$C$4:$C$21)</f>
        <v>240</v>
      </c>
      <c r="S192" s="28">
        <f>S175*_xlfn.XLOOKUP($L192,'Balizador da Meta'!$B$4:$B$21,'Balizador da Meta'!$C$4:$C$21)</f>
        <v>240</v>
      </c>
      <c r="T192" s="28">
        <f>T175*_xlfn.XLOOKUP($L192,'Balizador da Meta'!$B$4:$B$21,'Balizador da Meta'!$C$4:$C$21)</f>
        <v>240</v>
      </c>
      <c r="U192" s="28">
        <f>U175*_xlfn.XLOOKUP($L192,'Balizador da Meta'!$B$4:$B$21,'Balizador da Meta'!$C$4:$C$21)</f>
        <v>240</v>
      </c>
      <c r="V192" s="28">
        <f>V175*_xlfn.XLOOKUP($L192,'Balizador da Meta'!$B$4:$B$21,'Balizador da Meta'!$C$4:$C$21)</f>
        <v>240</v>
      </c>
      <c r="W192" s="28">
        <f>W175*_xlfn.XLOOKUP($L192,'Balizador da Meta'!$B$4:$B$21,'Balizador da Meta'!$C$4:$C$21)</f>
        <v>240</v>
      </c>
      <c r="X192" s="28">
        <f>X175*_xlfn.XLOOKUP($L192,'Balizador da Meta'!$B$4:$B$21,'Balizador da Meta'!$C$4:$C$21)</f>
        <v>240</v>
      </c>
      <c r="Y192" s="28">
        <f>Y175*_xlfn.XLOOKUP($L192,'Balizador da Meta'!$B$4:$B$21,'Balizador da Meta'!$C$4:$C$21)</f>
        <v>240</v>
      </c>
      <c r="Z192" s="30">
        <f t="shared" si="44"/>
        <v>2280</v>
      </c>
      <c r="AA192" s="29"/>
      <c r="AB192" s="31">
        <f>SUMIFS('Historico - FAT'!AK:AK,'Historico - FAT'!$K:$K,Faturamento!$L192,'Historico - FAT'!$I:$I,Faturamento!$J192,'Historico - FAT'!$G:$G,Faturamento!$H192)</f>
        <v>0</v>
      </c>
      <c r="AC192" s="31">
        <f>SUMIFS('Historico - FAT'!AL:AL,'Historico - FAT'!$K:$K,Faturamento!$L192,'Historico - FAT'!$I:$I,Faturamento!$J192,'Historico - FAT'!$G:$G,Faturamento!$H192)</f>
        <v>7.0008333333333335</v>
      </c>
      <c r="AD192" s="31">
        <f>SUMIFS('Historico - FAT'!AM:AM,'Historico - FAT'!$K:$K,Faturamento!$L192,'Historico - FAT'!$I:$I,Faturamento!$J192,'Historico - FAT'!$G:$G,Faturamento!$H192)</f>
        <v>14.001666666666667</v>
      </c>
      <c r="AE192" s="27">
        <f>SUMIFS('Historico - FAT'!AN:AN,'Historico - FAT'!$K:$K,Faturamento!$L192,'Historico - FAT'!$I:$I,Faturamento!$J192,'Historico - FAT'!$G:$G,Faturamento!$H192)</f>
        <v>8.4009999999999998</v>
      </c>
      <c r="AG192" s="24">
        <f t="shared" si="46"/>
        <v>1</v>
      </c>
      <c r="AH192" s="24">
        <f t="shared" si="47"/>
        <v>0.97082986111111114</v>
      </c>
      <c r="AI192" s="24">
        <f t="shared" si="48"/>
        <v>0.94165972222222227</v>
      </c>
    </row>
    <row r="193" spans="1:35" hidden="1" x14ac:dyDescent="0.3">
      <c r="A193" s="2" t="str">
        <f t="shared" si="45"/>
        <v>NÃO</v>
      </c>
      <c r="B193" s="2">
        <v>1000184670</v>
      </c>
      <c r="C193" s="2" t="s">
        <v>147</v>
      </c>
      <c r="D193" s="4">
        <v>1000186197</v>
      </c>
      <c r="E193" s="4" t="s">
        <v>166</v>
      </c>
      <c r="F193" s="2">
        <v>1000198600</v>
      </c>
      <c r="G193" s="2" t="s">
        <v>148</v>
      </c>
      <c r="H193" s="4">
        <v>1000198601</v>
      </c>
      <c r="I193" s="4" t="s">
        <v>149</v>
      </c>
      <c r="J193" s="2">
        <v>1000190613</v>
      </c>
      <c r="K193" s="2" t="s">
        <v>142</v>
      </c>
      <c r="L193" s="4" t="s">
        <v>25</v>
      </c>
      <c r="M193" s="4" t="str">
        <f t="shared" si="35"/>
        <v>1000184670100018619710001986011000190613VICCIO</v>
      </c>
      <c r="N193" s="28">
        <f>N175*_xlfn.XLOOKUP($L193,'Balizador da Meta'!$B$4:$B$21,'Balizador da Meta'!$C$4:$C$21)</f>
        <v>0</v>
      </c>
      <c r="O193" s="28">
        <f>O175*_xlfn.XLOOKUP($L193,'Balizador da Meta'!$B$4:$B$21,'Balizador da Meta'!$C$4:$C$21)</f>
        <v>45</v>
      </c>
      <c r="P193" s="28">
        <f>P175*_xlfn.XLOOKUP($L193,'Balizador da Meta'!$B$4:$B$21,'Balizador da Meta'!$C$4:$C$21)</f>
        <v>45</v>
      </c>
      <c r="Q193" s="28">
        <f>Q175*_xlfn.XLOOKUP($L193,'Balizador da Meta'!$B$4:$B$21,'Balizador da Meta'!$C$4:$C$21)</f>
        <v>45</v>
      </c>
      <c r="R193" s="28">
        <f>R175*_xlfn.XLOOKUP($L193,'Balizador da Meta'!$B$4:$B$21,'Balizador da Meta'!$C$4:$C$21)</f>
        <v>90</v>
      </c>
      <c r="S193" s="28">
        <f>S175*_xlfn.XLOOKUP($L193,'Balizador da Meta'!$B$4:$B$21,'Balizador da Meta'!$C$4:$C$21)</f>
        <v>90</v>
      </c>
      <c r="T193" s="28">
        <f>T175*_xlfn.XLOOKUP($L193,'Balizador da Meta'!$B$4:$B$21,'Balizador da Meta'!$C$4:$C$21)</f>
        <v>90</v>
      </c>
      <c r="U193" s="28">
        <f>U175*_xlfn.XLOOKUP($L193,'Balizador da Meta'!$B$4:$B$21,'Balizador da Meta'!$C$4:$C$21)</f>
        <v>90</v>
      </c>
      <c r="V193" s="28">
        <f>V175*_xlfn.XLOOKUP($L193,'Balizador da Meta'!$B$4:$B$21,'Balizador da Meta'!$C$4:$C$21)</f>
        <v>90</v>
      </c>
      <c r="W193" s="28">
        <f>W175*_xlfn.XLOOKUP($L193,'Balizador da Meta'!$B$4:$B$21,'Balizador da Meta'!$C$4:$C$21)</f>
        <v>90</v>
      </c>
      <c r="X193" s="28">
        <f>X175*_xlfn.XLOOKUP($L193,'Balizador da Meta'!$B$4:$B$21,'Balizador da Meta'!$C$4:$C$21)</f>
        <v>90</v>
      </c>
      <c r="Y193" s="28">
        <f>Y175*_xlfn.XLOOKUP($L193,'Balizador da Meta'!$B$4:$B$21,'Balizador da Meta'!$C$4:$C$21)</f>
        <v>90</v>
      </c>
      <c r="Z193" s="30">
        <f t="shared" si="44"/>
        <v>855</v>
      </c>
      <c r="AA193" s="29"/>
      <c r="AB193" s="31">
        <f>SUMIFS('Historico - FAT'!AK:AK,'Historico - FAT'!$K:$K,Faturamento!$L193,'Historico - FAT'!$I:$I,Faturamento!$J193,'Historico - FAT'!$G:$G,Faturamento!$H193)</f>
        <v>0</v>
      </c>
      <c r="AC193" s="31">
        <f>SUMIFS('Historico - FAT'!AL:AL,'Historico - FAT'!$K:$K,Faturamento!$L193,'Historico - FAT'!$I:$I,Faturamento!$J193,'Historico - FAT'!$G:$G,Faturamento!$H193)</f>
        <v>0</v>
      </c>
      <c r="AD193" s="31">
        <f>SUMIFS('Historico - FAT'!AM:AM,'Historico - FAT'!$K:$K,Faturamento!$L193,'Historico - FAT'!$I:$I,Faturamento!$J193,'Historico - FAT'!$G:$G,Faturamento!$H193)</f>
        <v>0</v>
      </c>
      <c r="AE193" s="27">
        <f>SUMIFS('Historico - FAT'!AN:AN,'Historico - FAT'!$K:$K,Faturamento!$L193,'Historico - FAT'!$I:$I,Faturamento!$J193,'Historico - FAT'!$G:$G,Faturamento!$H193)</f>
        <v>0</v>
      </c>
      <c r="AG193" s="24">
        <f t="shared" si="46"/>
        <v>1</v>
      </c>
      <c r="AH193" s="24">
        <f t="shared" si="47"/>
        <v>1</v>
      </c>
      <c r="AI193" s="24">
        <f t="shared" si="48"/>
        <v>1</v>
      </c>
    </row>
    <row r="194" spans="1:35" x14ac:dyDescent="0.3">
      <c r="A194" s="2" t="str">
        <f t="shared" si="45"/>
        <v>SIM</v>
      </c>
      <c r="B194" s="2">
        <v>1000184670</v>
      </c>
      <c r="C194" s="2" t="s">
        <v>147</v>
      </c>
      <c r="D194" s="4">
        <v>1000186197</v>
      </c>
      <c r="E194" s="4" t="s">
        <v>166</v>
      </c>
      <c r="F194" s="2">
        <v>1000185288</v>
      </c>
      <c r="G194" s="2" t="s">
        <v>64</v>
      </c>
      <c r="H194" s="4">
        <v>1000189807</v>
      </c>
      <c r="I194" s="4" t="s">
        <v>81</v>
      </c>
      <c r="J194" s="2">
        <v>1000189758</v>
      </c>
      <c r="K194" s="2" t="s">
        <v>159</v>
      </c>
      <c r="L194" s="4" t="s">
        <v>124</v>
      </c>
      <c r="M194" s="4" t="str">
        <f t="shared" si="35"/>
        <v>100018467010001861971000189807100018975801. TOTAL</v>
      </c>
      <c r="N194" s="28">
        <f>SUMIFS(Positivação!L:L,Positivação!$I:$I,Faturamento!$J194,Positivação!$G:$G,Faturamento!$H194)*SUMIFS(Positivação!$Z:$Z,Positivação!$I:$I,Faturamento!$J194,Positivação!$G:$G,Faturamento!$H194)</f>
        <v>1500</v>
      </c>
      <c r="O194" s="28">
        <f>SUMIFS(Positivação!M:M,Positivação!$I:$I,Faturamento!$J194,Positivação!$G:$G,Faturamento!$H194)*SUMIFS(Positivação!$Z:$Z,Positivação!$I:$I,Faturamento!$J194,Positivação!$G:$G,Faturamento!$H194)</f>
        <v>1500</v>
      </c>
      <c r="P194" s="28">
        <f>SUMIFS(Positivação!N:N,Positivação!$I:$I,Faturamento!$J194,Positivação!$G:$G,Faturamento!$H194)*SUMIFS(Positivação!$Z:$Z,Positivação!$I:$I,Faturamento!$J194,Positivação!$G:$G,Faturamento!$H194)</f>
        <v>1500</v>
      </c>
      <c r="Q194" s="28">
        <f>SUMIFS(Positivação!O:O,Positivação!$I:$I,Faturamento!$J194,Positivação!$G:$G,Faturamento!$H194)*SUMIFS(Positivação!$Z:$Z,Positivação!$I:$I,Faturamento!$J194,Positivação!$G:$G,Faturamento!$H194)</f>
        <v>1500</v>
      </c>
      <c r="R194" s="28">
        <f>SUMIFS(Positivação!P:P,Positivação!$I:$I,Faturamento!$J194,Positivação!$G:$G,Faturamento!$H194)*SUMIFS(Positivação!$Z:$Z,Positivação!$I:$I,Faturamento!$J194,Positivação!$G:$G,Faturamento!$H194)</f>
        <v>1500</v>
      </c>
      <c r="S194" s="28">
        <f>SUMIFS(Positivação!Q:Q,Positivação!$I:$I,Faturamento!$J194,Positivação!$G:$G,Faturamento!$H194)*SUMIFS(Positivação!$Z:$Z,Positivação!$I:$I,Faturamento!$J194,Positivação!$G:$G,Faturamento!$H194)</f>
        <v>1500</v>
      </c>
      <c r="T194" s="28">
        <f>SUMIFS(Positivação!R:R,Positivação!$I:$I,Faturamento!$J194,Positivação!$G:$G,Faturamento!$H194)*SUMIFS(Positivação!$Z:$Z,Positivação!$I:$I,Faturamento!$J194,Positivação!$G:$G,Faturamento!$H194)</f>
        <v>1500</v>
      </c>
      <c r="U194" s="28">
        <f>SUMIFS(Positivação!S:S,Positivação!$I:$I,Faturamento!$J194,Positivação!$G:$G,Faturamento!$H194)*SUMIFS(Positivação!$Z:$Z,Positivação!$I:$I,Faturamento!$J194,Positivação!$G:$G,Faturamento!$H194)</f>
        <v>1500</v>
      </c>
      <c r="V194" s="28">
        <f>SUMIFS(Positivação!T:T,Positivação!$I:$I,Faturamento!$J194,Positivação!$G:$G,Faturamento!$H194)*SUMIFS(Positivação!$Z:$Z,Positivação!$I:$I,Faturamento!$J194,Positivação!$G:$G,Faturamento!$H194)</f>
        <v>1500</v>
      </c>
      <c r="W194" s="28">
        <f>SUMIFS(Positivação!U:U,Positivação!$I:$I,Faturamento!$J194,Positivação!$G:$G,Faturamento!$H194)*SUMIFS(Positivação!$Z:$Z,Positivação!$I:$I,Faturamento!$J194,Positivação!$G:$G,Faturamento!$H194)</f>
        <v>1500</v>
      </c>
      <c r="X194" s="28">
        <f>SUMIFS(Positivação!V:V,Positivação!$I:$I,Faturamento!$J194,Positivação!$G:$G,Faturamento!$H194)*SUMIFS(Positivação!$Z:$Z,Positivação!$I:$I,Faturamento!$J194,Positivação!$G:$G,Faturamento!$H194)</f>
        <v>1500</v>
      </c>
      <c r="Y194" s="28">
        <f>SUMIFS(Positivação!W:W,Positivação!$I:$I,Faturamento!$J194,Positivação!$G:$G,Faturamento!$H194)*SUMIFS(Positivação!$Z:$Z,Positivação!$I:$I,Faturamento!$J194,Positivação!$G:$G,Faturamento!$H194)</f>
        <v>1500</v>
      </c>
      <c r="Z194" s="28">
        <f t="shared" ref="Z194" si="49">SUM(Z195:Z212)</f>
        <v>18000</v>
      </c>
      <c r="AA194" s="29"/>
      <c r="AB194" s="28">
        <f t="shared" ref="AB194:AE194" si="50">SUM(AB195:AB212)</f>
        <v>1729.1033333333332</v>
      </c>
      <c r="AC194" s="28">
        <f t="shared" si="50"/>
        <v>832.63</v>
      </c>
      <c r="AD194" s="28">
        <f t="shared" si="50"/>
        <v>1665.26</v>
      </c>
      <c r="AE194" s="28">
        <f t="shared" si="50"/>
        <v>999.15599999999995</v>
      </c>
      <c r="AG194" s="24">
        <f t="shared" si="46"/>
        <v>-0.15273555555555549</v>
      </c>
      <c r="AH194" s="24">
        <f t="shared" si="47"/>
        <v>0.44491333333333333</v>
      </c>
      <c r="AI194" s="24">
        <f t="shared" si="48"/>
        <v>-0.11017333333333333</v>
      </c>
    </row>
    <row r="195" spans="1:35" hidden="1" x14ac:dyDescent="0.3">
      <c r="A195" s="2" t="str">
        <f t="shared" si="45"/>
        <v>NÃO</v>
      </c>
      <c r="B195" s="2">
        <v>1000184670</v>
      </c>
      <c r="C195" s="2" t="s">
        <v>147</v>
      </c>
      <c r="D195" s="4">
        <v>1000186197</v>
      </c>
      <c r="E195" s="4" t="s">
        <v>166</v>
      </c>
      <c r="F195" s="2">
        <v>1000185288</v>
      </c>
      <c r="G195" s="2" t="s">
        <v>64</v>
      </c>
      <c r="H195" s="4">
        <v>1000189807</v>
      </c>
      <c r="I195" s="4" t="s">
        <v>81</v>
      </c>
      <c r="J195" s="2">
        <v>1000189758</v>
      </c>
      <c r="K195" s="2" t="s">
        <v>159</v>
      </c>
      <c r="L195" s="4" t="s">
        <v>13</v>
      </c>
      <c r="M195" s="4" t="str">
        <f t="shared" si="35"/>
        <v>1000184670100018619710001898071000189758BISCOITO</v>
      </c>
      <c r="N195" s="28">
        <f>N194*_xlfn.XLOOKUP($L195,'Balizador da Meta'!$B$4:$B$21,'Balizador da Meta'!$C$4:$C$21)</f>
        <v>105.00000000000001</v>
      </c>
      <c r="O195" s="28">
        <f>O194*_xlfn.XLOOKUP($L195,'Balizador da Meta'!$B$4:$B$21,'Balizador da Meta'!$C$4:$C$21)</f>
        <v>105.00000000000001</v>
      </c>
      <c r="P195" s="28">
        <f>P194*_xlfn.XLOOKUP($L195,'Balizador da Meta'!$B$4:$B$21,'Balizador da Meta'!$C$4:$C$21)</f>
        <v>105.00000000000001</v>
      </c>
      <c r="Q195" s="28">
        <f>Q194*_xlfn.XLOOKUP($L195,'Balizador da Meta'!$B$4:$B$21,'Balizador da Meta'!$C$4:$C$21)</f>
        <v>105.00000000000001</v>
      </c>
      <c r="R195" s="28">
        <f>R194*_xlfn.XLOOKUP($L195,'Balizador da Meta'!$B$4:$B$21,'Balizador da Meta'!$C$4:$C$21)</f>
        <v>105.00000000000001</v>
      </c>
      <c r="S195" s="28">
        <f>S194*_xlfn.XLOOKUP($L195,'Balizador da Meta'!$B$4:$B$21,'Balizador da Meta'!$C$4:$C$21)</f>
        <v>105.00000000000001</v>
      </c>
      <c r="T195" s="28">
        <f>T194*_xlfn.XLOOKUP($L195,'Balizador da Meta'!$B$4:$B$21,'Balizador da Meta'!$C$4:$C$21)</f>
        <v>105.00000000000001</v>
      </c>
      <c r="U195" s="28">
        <f>U194*_xlfn.XLOOKUP($L195,'Balizador da Meta'!$B$4:$B$21,'Balizador da Meta'!$C$4:$C$21)</f>
        <v>105.00000000000001</v>
      </c>
      <c r="V195" s="28">
        <f>V194*_xlfn.XLOOKUP($L195,'Balizador da Meta'!$B$4:$B$21,'Balizador da Meta'!$C$4:$C$21)</f>
        <v>105.00000000000001</v>
      </c>
      <c r="W195" s="28">
        <f>W194*_xlfn.XLOOKUP($L195,'Balizador da Meta'!$B$4:$B$21,'Balizador da Meta'!$C$4:$C$21)</f>
        <v>105.00000000000001</v>
      </c>
      <c r="X195" s="28">
        <f>X194*_xlfn.XLOOKUP($L195,'Balizador da Meta'!$B$4:$B$21,'Balizador da Meta'!$C$4:$C$21)</f>
        <v>105.00000000000001</v>
      </c>
      <c r="Y195" s="28">
        <f>Y194*_xlfn.XLOOKUP($L195,'Balizador da Meta'!$B$4:$B$21,'Balizador da Meta'!$C$4:$C$21)</f>
        <v>105.00000000000001</v>
      </c>
      <c r="Z195" s="30">
        <f t="shared" ref="Z195:Z212" si="51">SUM(N195:Y195)</f>
        <v>1260.0000000000002</v>
      </c>
      <c r="AA195" s="29"/>
      <c r="AB195" s="31">
        <f>SUMIFS('Historico - FAT'!AK:AK,'Historico - FAT'!$K:$K,Faturamento!$L195,'Historico - FAT'!$I:$I,Faturamento!$J195,'Historico - FAT'!$G:$G,Faturamento!$H195)</f>
        <v>150.94416666666666</v>
      </c>
      <c r="AC195" s="31">
        <f>SUMIFS('Historico - FAT'!AL:AL,'Historico - FAT'!$K:$K,Faturamento!$L195,'Historico - FAT'!$I:$I,Faturamento!$J195,'Historico - FAT'!$G:$G,Faturamento!$H195)</f>
        <v>116.9325</v>
      </c>
      <c r="AD195" s="31">
        <f>SUMIFS('Historico - FAT'!AM:AM,'Historico - FAT'!$K:$K,Faturamento!$L195,'Historico - FAT'!$I:$I,Faturamento!$J195,'Historico - FAT'!$G:$G,Faturamento!$H195)</f>
        <v>233.86500000000001</v>
      </c>
      <c r="AE195" s="27">
        <f>SUMIFS('Historico - FAT'!AN:AN,'Historico - FAT'!$K:$K,Faturamento!$L195,'Historico - FAT'!$I:$I,Faturamento!$J195,'Historico - FAT'!$G:$G,Faturamento!$H195)</f>
        <v>140.31900000000002</v>
      </c>
      <c r="AG195" s="24">
        <f t="shared" si="46"/>
        <v>-0.43756349206349182</v>
      </c>
      <c r="AH195" s="24">
        <f t="shared" si="47"/>
        <v>-0.11364285714285703</v>
      </c>
      <c r="AI195" s="24">
        <f t="shared" si="48"/>
        <v>-1.2272857142857143</v>
      </c>
    </row>
    <row r="196" spans="1:35" hidden="1" x14ac:dyDescent="0.3">
      <c r="A196" s="2" t="str">
        <f t="shared" si="45"/>
        <v>NÃO</v>
      </c>
      <c r="B196" s="2">
        <v>1000184670</v>
      </c>
      <c r="C196" s="2" t="s">
        <v>147</v>
      </c>
      <c r="D196" s="4">
        <v>1000186197</v>
      </c>
      <c r="E196" s="4" t="s">
        <v>166</v>
      </c>
      <c r="F196" s="2">
        <v>1000185288</v>
      </c>
      <c r="G196" s="2" t="s">
        <v>64</v>
      </c>
      <c r="H196" s="4">
        <v>1000189807</v>
      </c>
      <c r="I196" s="4" t="s">
        <v>81</v>
      </c>
      <c r="J196" s="2">
        <v>1000189758</v>
      </c>
      <c r="K196" s="2" t="s">
        <v>159</v>
      </c>
      <c r="L196" s="4" t="s">
        <v>14</v>
      </c>
      <c r="M196" s="4" t="str">
        <f t="shared" si="35"/>
        <v>1000184670100018619710001898071000189758CHOCOLATES</v>
      </c>
      <c r="N196" s="28">
        <f>N194*_xlfn.XLOOKUP($L196,'Balizador da Meta'!$B$4:$B$21,'Balizador da Meta'!$C$4:$C$21)</f>
        <v>105.00000000000001</v>
      </c>
      <c r="O196" s="28">
        <f>O194*_xlfn.XLOOKUP($L196,'Balizador da Meta'!$B$4:$B$21,'Balizador da Meta'!$C$4:$C$21)</f>
        <v>105.00000000000001</v>
      </c>
      <c r="P196" s="28">
        <f>P194*_xlfn.XLOOKUP($L196,'Balizador da Meta'!$B$4:$B$21,'Balizador da Meta'!$C$4:$C$21)</f>
        <v>105.00000000000001</v>
      </c>
      <c r="Q196" s="28">
        <f>Q194*_xlfn.XLOOKUP($L196,'Balizador da Meta'!$B$4:$B$21,'Balizador da Meta'!$C$4:$C$21)</f>
        <v>105.00000000000001</v>
      </c>
      <c r="R196" s="28">
        <f>R194*_xlfn.XLOOKUP($L196,'Balizador da Meta'!$B$4:$B$21,'Balizador da Meta'!$C$4:$C$21)</f>
        <v>105.00000000000001</v>
      </c>
      <c r="S196" s="28">
        <f>S194*_xlfn.XLOOKUP($L196,'Balizador da Meta'!$B$4:$B$21,'Balizador da Meta'!$C$4:$C$21)</f>
        <v>105.00000000000001</v>
      </c>
      <c r="T196" s="28">
        <f>T194*_xlfn.XLOOKUP($L196,'Balizador da Meta'!$B$4:$B$21,'Balizador da Meta'!$C$4:$C$21)</f>
        <v>105.00000000000001</v>
      </c>
      <c r="U196" s="28">
        <f>U194*_xlfn.XLOOKUP($L196,'Balizador da Meta'!$B$4:$B$21,'Balizador da Meta'!$C$4:$C$21)</f>
        <v>105.00000000000001</v>
      </c>
      <c r="V196" s="28">
        <f>V194*_xlfn.XLOOKUP($L196,'Balizador da Meta'!$B$4:$B$21,'Balizador da Meta'!$C$4:$C$21)</f>
        <v>105.00000000000001</v>
      </c>
      <c r="W196" s="28">
        <f>W194*_xlfn.XLOOKUP($L196,'Balizador da Meta'!$B$4:$B$21,'Balizador da Meta'!$C$4:$C$21)</f>
        <v>105.00000000000001</v>
      </c>
      <c r="X196" s="28">
        <f>X194*_xlfn.XLOOKUP($L196,'Balizador da Meta'!$B$4:$B$21,'Balizador da Meta'!$C$4:$C$21)</f>
        <v>105.00000000000001</v>
      </c>
      <c r="Y196" s="28">
        <f>Y194*_xlfn.XLOOKUP($L196,'Balizador da Meta'!$B$4:$B$21,'Balizador da Meta'!$C$4:$C$21)</f>
        <v>105.00000000000001</v>
      </c>
      <c r="Z196" s="30">
        <f t="shared" si="51"/>
        <v>1260.0000000000002</v>
      </c>
      <c r="AA196" s="29"/>
      <c r="AB196" s="31">
        <f>SUMIFS('Historico - FAT'!AK:AK,'Historico - FAT'!$K:$K,Faturamento!$L196,'Historico - FAT'!$I:$I,Faturamento!$J196,'Historico - FAT'!$G:$G,Faturamento!$H196)</f>
        <v>413.58</v>
      </c>
      <c r="AC196" s="31">
        <f>SUMIFS('Historico - FAT'!AL:AL,'Historico - FAT'!$K:$K,Faturamento!$L196,'Historico - FAT'!$I:$I,Faturamento!$J196,'Historico - FAT'!$G:$G,Faturamento!$H196)</f>
        <v>0</v>
      </c>
      <c r="AD196" s="31">
        <f>SUMIFS('Historico - FAT'!AM:AM,'Historico - FAT'!$K:$K,Faturamento!$L196,'Historico - FAT'!$I:$I,Faturamento!$J196,'Historico - FAT'!$G:$G,Faturamento!$H196)</f>
        <v>0</v>
      </c>
      <c r="AE196" s="27">
        <f>SUMIFS('Historico - FAT'!AN:AN,'Historico - FAT'!$K:$K,Faturamento!$L196,'Historico - FAT'!$I:$I,Faturamento!$J196,'Historico - FAT'!$G:$G,Faturamento!$H196)</f>
        <v>0</v>
      </c>
      <c r="AG196" s="24">
        <f t="shared" si="46"/>
        <v>-2.9388571428571422</v>
      </c>
      <c r="AH196" s="24">
        <f t="shared" si="47"/>
        <v>1</v>
      </c>
      <c r="AI196" s="24">
        <f t="shared" si="48"/>
        <v>1</v>
      </c>
    </row>
    <row r="197" spans="1:35" hidden="1" x14ac:dyDescent="0.3">
      <c r="A197" s="2" t="str">
        <f t="shared" si="45"/>
        <v>NÃO</v>
      </c>
      <c r="B197" s="2">
        <v>1000184670</v>
      </c>
      <c r="C197" s="2" t="s">
        <v>147</v>
      </c>
      <c r="D197" s="4">
        <v>1000186197</v>
      </c>
      <c r="E197" s="4" t="s">
        <v>166</v>
      </c>
      <c r="F197" s="2">
        <v>1000185288</v>
      </c>
      <c r="G197" s="2" t="s">
        <v>64</v>
      </c>
      <c r="H197" s="4">
        <v>1000189807</v>
      </c>
      <c r="I197" s="4" t="s">
        <v>81</v>
      </c>
      <c r="J197" s="2">
        <v>1000189758</v>
      </c>
      <c r="K197" s="2" t="s">
        <v>159</v>
      </c>
      <c r="L197" s="4" t="s">
        <v>16</v>
      </c>
      <c r="M197" s="4" t="str">
        <f t="shared" ref="M197:M260" si="52">_xlfn.CONCAT(B197,D197,H197,J197,L197,)</f>
        <v>1000184670100018619710001898071000189758DISNEY</v>
      </c>
      <c r="N197" s="28">
        <f>N194*_xlfn.XLOOKUP($L197,'Balizador da Meta'!$B$4:$B$21,'Balizador da Meta'!$C$4:$C$21)</f>
        <v>120</v>
      </c>
      <c r="O197" s="28">
        <f>O194*_xlfn.XLOOKUP($L197,'Balizador da Meta'!$B$4:$B$21,'Balizador da Meta'!$C$4:$C$21)</f>
        <v>120</v>
      </c>
      <c r="P197" s="28">
        <f>P194*_xlfn.XLOOKUP($L197,'Balizador da Meta'!$B$4:$B$21,'Balizador da Meta'!$C$4:$C$21)</f>
        <v>120</v>
      </c>
      <c r="Q197" s="28">
        <f>Q194*_xlfn.XLOOKUP($L197,'Balizador da Meta'!$B$4:$B$21,'Balizador da Meta'!$C$4:$C$21)</f>
        <v>120</v>
      </c>
      <c r="R197" s="28">
        <f>R194*_xlfn.XLOOKUP($L197,'Balizador da Meta'!$B$4:$B$21,'Balizador da Meta'!$C$4:$C$21)</f>
        <v>120</v>
      </c>
      <c r="S197" s="28">
        <f>S194*_xlfn.XLOOKUP($L197,'Balizador da Meta'!$B$4:$B$21,'Balizador da Meta'!$C$4:$C$21)</f>
        <v>120</v>
      </c>
      <c r="T197" s="28">
        <f>T194*_xlfn.XLOOKUP($L197,'Balizador da Meta'!$B$4:$B$21,'Balizador da Meta'!$C$4:$C$21)</f>
        <v>120</v>
      </c>
      <c r="U197" s="28">
        <f>U194*_xlfn.XLOOKUP($L197,'Balizador da Meta'!$B$4:$B$21,'Balizador da Meta'!$C$4:$C$21)</f>
        <v>120</v>
      </c>
      <c r="V197" s="28">
        <f>V194*_xlfn.XLOOKUP($L197,'Balizador da Meta'!$B$4:$B$21,'Balizador da Meta'!$C$4:$C$21)</f>
        <v>120</v>
      </c>
      <c r="W197" s="28">
        <f>W194*_xlfn.XLOOKUP($L197,'Balizador da Meta'!$B$4:$B$21,'Balizador da Meta'!$C$4:$C$21)</f>
        <v>120</v>
      </c>
      <c r="X197" s="28">
        <f>X194*_xlfn.XLOOKUP($L197,'Balizador da Meta'!$B$4:$B$21,'Balizador da Meta'!$C$4:$C$21)</f>
        <v>120</v>
      </c>
      <c r="Y197" s="28">
        <f>Y194*_xlfn.XLOOKUP($L197,'Balizador da Meta'!$B$4:$B$21,'Balizador da Meta'!$C$4:$C$21)</f>
        <v>120</v>
      </c>
      <c r="Z197" s="30">
        <f t="shared" si="51"/>
        <v>1440</v>
      </c>
      <c r="AA197" s="29"/>
      <c r="AB197" s="31">
        <f>SUMIFS('Historico - FAT'!AK:AK,'Historico - FAT'!$K:$K,Faturamento!$L197,'Historico - FAT'!$I:$I,Faturamento!$J197,'Historico - FAT'!$G:$G,Faturamento!$H197)</f>
        <v>0</v>
      </c>
      <c r="AC197" s="31">
        <f>SUMIFS('Historico - FAT'!AL:AL,'Historico - FAT'!$K:$K,Faturamento!$L197,'Historico - FAT'!$I:$I,Faturamento!$J197,'Historico - FAT'!$G:$G,Faturamento!$H197)</f>
        <v>0</v>
      </c>
      <c r="AD197" s="31">
        <f>SUMIFS('Historico - FAT'!AM:AM,'Historico - FAT'!$K:$K,Faturamento!$L197,'Historico - FAT'!$I:$I,Faturamento!$J197,'Historico - FAT'!$G:$G,Faturamento!$H197)</f>
        <v>0</v>
      </c>
      <c r="AE197" s="27">
        <f>SUMIFS('Historico - FAT'!AN:AN,'Historico - FAT'!$K:$K,Faturamento!$L197,'Historico - FAT'!$I:$I,Faturamento!$J197,'Historico - FAT'!$G:$G,Faturamento!$H197)</f>
        <v>0</v>
      </c>
      <c r="AG197" s="24">
        <f t="shared" si="46"/>
        <v>1</v>
      </c>
      <c r="AH197" s="24">
        <f t="shared" si="47"/>
        <v>1</v>
      </c>
      <c r="AI197" s="24">
        <f t="shared" si="48"/>
        <v>1</v>
      </c>
    </row>
    <row r="198" spans="1:35" hidden="1" x14ac:dyDescent="0.3">
      <c r="A198" s="2" t="str">
        <f t="shared" si="45"/>
        <v>NÃO</v>
      </c>
      <c r="B198" s="2">
        <v>1000184670</v>
      </c>
      <c r="C198" s="2" t="s">
        <v>147</v>
      </c>
      <c r="D198" s="4">
        <v>1000186197</v>
      </c>
      <c r="E198" s="4" t="s">
        <v>166</v>
      </c>
      <c r="F198" s="2">
        <v>1000185288</v>
      </c>
      <c r="G198" s="2" t="s">
        <v>64</v>
      </c>
      <c r="H198" s="4">
        <v>1000189807</v>
      </c>
      <c r="I198" s="4" t="s">
        <v>81</v>
      </c>
      <c r="J198" s="2">
        <v>1000189758</v>
      </c>
      <c r="K198" s="2" t="s">
        <v>159</v>
      </c>
      <c r="L198" s="4" t="s">
        <v>15</v>
      </c>
      <c r="M198" s="4" t="str">
        <f t="shared" si="52"/>
        <v>1000184670100018619710001898071000189758DOCES</v>
      </c>
      <c r="N198" s="28">
        <f>N194*_xlfn.XLOOKUP($L198,'Balizador da Meta'!$B$4:$B$21,'Balizador da Meta'!$C$4:$C$21)</f>
        <v>135</v>
      </c>
      <c r="O198" s="28">
        <f>O194*_xlfn.XLOOKUP($L198,'Balizador da Meta'!$B$4:$B$21,'Balizador da Meta'!$C$4:$C$21)</f>
        <v>135</v>
      </c>
      <c r="P198" s="28">
        <f>P194*_xlfn.XLOOKUP($L198,'Balizador da Meta'!$B$4:$B$21,'Balizador da Meta'!$C$4:$C$21)</f>
        <v>135</v>
      </c>
      <c r="Q198" s="28">
        <f>Q194*_xlfn.XLOOKUP($L198,'Balizador da Meta'!$B$4:$B$21,'Balizador da Meta'!$C$4:$C$21)</f>
        <v>135</v>
      </c>
      <c r="R198" s="28">
        <f>R194*_xlfn.XLOOKUP($L198,'Balizador da Meta'!$B$4:$B$21,'Balizador da Meta'!$C$4:$C$21)</f>
        <v>135</v>
      </c>
      <c r="S198" s="28">
        <f>S194*_xlfn.XLOOKUP($L198,'Balizador da Meta'!$B$4:$B$21,'Balizador da Meta'!$C$4:$C$21)</f>
        <v>135</v>
      </c>
      <c r="T198" s="28">
        <f>T194*_xlfn.XLOOKUP($L198,'Balizador da Meta'!$B$4:$B$21,'Balizador da Meta'!$C$4:$C$21)</f>
        <v>135</v>
      </c>
      <c r="U198" s="28">
        <f>U194*_xlfn.XLOOKUP($L198,'Balizador da Meta'!$B$4:$B$21,'Balizador da Meta'!$C$4:$C$21)</f>
        <v>135</v>
      </c>
      <c r="V198" s="28">
        <f>V194*_xlfn.XLOOKUP($L198,'Balizador da Meta'!$B$4:$B$21,'Balizador da Meta'!$C$4:$C$21)</f>
        <v>135</v>
      </c>
      <c r="W198" s="28">
        <f>W194*_xlfn.XLOOKUP($L198,'Balizador da Meta'!$B$4:$B$21,'Balizador da Meta'!$C$4:$C$21)</f>
        <v>135</v>
      </c>
      <c r="X198" s="28">
        <f>X194*_xlfn.XLOOKUP($L198,'Balizador da Meta'!$B$4:$B$21,'Balizador da Meta'!$C$4:$C$21)</f>
        <v>135</v>
      </c>
      <c r="Y198" s="28">
        <f>Y194*_xlfn.XLOOKUP($L198,'Balizador da Meta'!$B$4:$B$21,'Balizador da Meta'!$C$4:$C$21)</f>
        <v>135</v>
      </c>
      <c r="Z198" s="30">
        <f t="shared" si="51"/>
        <v>1620</v>
      </c>
      <c r="AA198" s="29"/>
      <c r="AB198" s="31">
        <f>SUMIFS('Historico - FAT'!AK:AK,'Historico - FAT'!$K:$K,Faturamento!$L198,'Historico - FAT'!$I:$I,Faturamento!$J198,'Historico - FAT'!$G:$G,Faturamento!$H198)</f>
        <v>0</v>
      </c>
      <c r="AC198" s="31">
        <f>SUMIFS('Historico - FAT'!AL:AL,'Historico - FAT'!$K:$K,Faturamento!$L198,'Historico - FAT'!$I:$I,Faturamento!$J198,'Historico - FAT'!$G:$G,Faturamento!$H198)</f>
        <v>0</v>
      </c>
      <c r="AD198" s="31">
        <f>SUMIFS('Historico - FAT'!AM:AM,'Historico - FAT'!$K:$K,Faturamento!$L198,'Historico - FAT'!$I:$I,Faturamento!$J198,'Historico - FAT'!$G:$G,Faturamento!$H198)</f>
        <v>0</v>
      </c>
      <c r="AE198" s="27">
        <f>SUMIFS('Historico - FAT'!AN:AN,'Historico - FAT'!$K:$K,Faturamento!$L198,'Historico - FAT'!$I:$I,Faturamento!$J198,'Historico - FAT'!$G:$G,Faturamento!$H198)</f>
        <v>0</v>
      </c>
      <c r="AG198" s="24">
        <f t="shared" si="46"/>
        <v>1</v>
      </c>
      <c r="AH198" s="24">
        <f t="shared" si="47"/>
        <v>1</v>
      </c>
      <c r="AI198" s="24">
        <f t="shared" si="48"/>
        <v>1</v>
      </c>
    </row>
    <row r="199" spans="1:35" hidden="1" x14ac:dyDescent="0.3">
      <c r="A199" s="2" t="str">
        <f t="shared" si="45"/>
        <v>NÃO</v>
      </c>
      <c r="B199" s="2">
        <v>1000184670</v>
      </c>
      <c r="C199" s="2" t="s">
        <v>147</v>
      </c>
      <c r="D199" s="4">
        <v>1000186197</v>
      </c>
      <c r="E199" s="4" t="s">
        <v>166</v>
      </c>
      <c r="F199" s="2">
        <v>1000185288</v>
      </c>
      <c r="G199" s="2" t="s">
        <v>64</v>
      </c>
      <c r="H199" s="4">
        <v>1000189807</v>
      </c>
      <c r="I199" s="4" t="s">
        <v>81</v>
      </c>
      <c r="J199" s="2">
        <v>1000189758</v>
      </c>
      <c r="K199" s="2" t="s">
        <v>159</v>
      </c>
      <c r="L199" s="4" t="s">
        <v>33</v>
      </c>
      <c r="M199" s="4" t="str">
        <f t="shared" si="52"/>
        <v>1000184670100018619710001898071000189758FOOD SERVICE</v>
      </c>
      <c r="N199" s="28">
        <f>N194*_xlfn.XLOOKUP($L199,'Balizador da Meta'!$B$4:$B$21,'Balizador da Meta'!$C$4:$C$21)</f>
        <v>0</v>
      </c>
      <c r="O199" s="28">
        <f>O194*_xlfn.XLOOKUP($L199,'Balizador da Meta'!$B$4:$B$21,'Balizador da Meta'!$C$4:$C$21)</f>
        <v>0</v>
      </c>
      <c r="P199" s="28">
        <f>P194*_xlfn.XLOOKUP($L199,'Balizador da Meta'!$B$4:$B$21,'Balizador da Meta'!$C$4:$C$21)</f>
        <v>0</v>
      </c>
      <c r="Q199" s="28">
        <f>Q194*_xlfn.XLOOKUP($L199,'Balizador da Meta'!$B$4:$B$21,'Balizador da Meta'!$C$4:$C$21)</f>
        <v>0</v>
      </c>
      <c r="R199" s="28">
        <f>R194*_xlfn.XLOOKUP($L199,'Balizador da Meta'!$B$4:$B$21,'Balizador da Meta'!$C$4:$C$21)</f>
        <v>0</v>
      </c>
      <c r="S199" s="28">
        <f>S194*_xlfn.XLOOKUP($L199,'Balizador da Meta'!$B$4:$B$21,'Balizador da Meta'!$C$4:$C$21)</f>
        <v>0</v>
      </c>
      <c r="T199" s="28">
        <f>T194*_xlfn.XLOOKUP($L199,'Balizador da Meta'!$B$4:$B$21,'Balizador da Meta'!$C$4:$C$21)</f>
        <v>0</v>
      </c>
      <c r="U199" s="28">
        <f>U194*_xlfn.XLOOKUP($L199,'Balizador da Meta'!$B$4:$B$21,'Balizador da Meta'!$C$4:$C$21)</f>
        <v>0</v>
      </c>
      <c r="V199" s="28">
        <f>V194*_xlfn.XLOOKUP($L199,'Balizador da Meta'!$B$4:$B$21,'Balizador da Meta'!$C$4:$C$21)</f>
        <v>0</v>
      </c>
      <c r="W199" s="28">
        <f>W194*_xlfn.XLOOKUP($L199,'Balizador da Meta'!$B$4:$B$21,'Balizador da Meta'!$C$4:$C$21)</f>
        <v>0</v>
      </c>
      <c r="X199" s="28">
        <f>X194*_xlfn.XLOOKUP($L199,'Balizador da Meta'!$B$4:$B$21,'Balizador da Meta'!$C$4:$C$21)</f>
        <v>0</v>
      </c>
      <c r="Y199" s="28">
        <f>Y194*_xlfn.XLOOKUP($L199,'Balizador da Meta'!$B$4:$B$21,'Balizador da Meta'!$C$4:$C$21)</f>
        <v>0</v>
      </c>
      <c r="Z199" s="30">
        <f t="shared" si="51"/>
        <v>0</v>
      </c>
      <c r="AA199" s="29"/>
      <c r="AB199" s="31">
        <f>SUMIFS('Historico - FAT'!AK:AK,'Historico - FAT'!$K:$K,Faturamento!$L199,'Historico - FAT'!$I:$I,Faturamento!$J199,'Historico - FAT'!$G:$G,Faturamento!$H199)</f>
        <v>0</v>
      </c>
      <c r="AC199" s="31">
        <f>SUMIFS('Historico - FAT'!AL:AL,'Historico - FAT'!$K:$K,Faturamento!$L199,'Historico - FAT'!$I:$I,Faturamento!$J199,'Historico - FAT'!$G:$G,Faturamento!$H199)</f>
        <v>0</v>
      </c>
      <c r="AD199" s="31">
        <f>SUMIFS('Historico - FAT'!AM:AM,'Historico - FAT'!$K:$K,Faturamento!$L199,'Historico - FAT'!$I:$I,Faturamento!$J199,'Historico - FAT'!$G:$G,Faturamento!$H199)</f>
        <v>0</v>
      </c>
      <c r="AE199" s="27">
        <f>SUMIFS('Historico - FAT'!AN:AN,'Historico - FAT'!$K:$K,Faturamento!$L199,'Historico - FAT'!$I:$I,Faturamento!$J199,'Historico - FAT'!$G:$G,Faturamento!$H199)</f>
        <v>0</v>
      </c>
      <c r="AG199" s="24" t="str">
        <f t="shared" si="46"/>
        <v/>
      </c>
      <c r="AH199" s="24" t="str">
        <f t="shared" si="47"/>
        <v/>
      </c>
      <c r="AI199" s="24" t="str">
        <f t="shared" si="48"/>
        <v/>
      </c>
    </row>
    <row r="200" spans="1:35" hidden="1" x14ac:dyDescent="0.3">
      <c r="A200" s="2" t="str">
        <f t="shared" si="45"/>
        <v>NÃO</v>
      </c>
      <c r="B200" s="2">
        <v>1000184670</v>
      </c>
      <c r="C200" s="2" t="s">
        <v>147</v>
      </c>
      <c r="D200" s="4">
        <v>1000186197</v>
      </c>
      <c r="E200" s="4" t="s">
        <v>166</v>
      </c>
      <c r="F200" s="2">
        <v>1000185288</v>
      </c>
      <c r="G200" s="2" t="s">
        <v>64</v>
      </c>
      <c r="H200" s="4">
        <v>1000189807</v>
      </c>
      <c r="I200" s="4" t="s">
        <v>81</v>
      </c>
      <c r="J200" s="2">
        <v>1000189758</v>
      </c>
      <c r="K200" s="2" t="s">
        <v>159</v>
      </c>
      <c r="L200" s="4" t="s">
        <v>19</v>
      </c>
      <c r="M200" s="4" t="str">
        <f t="shared" si="52"/>
        <v>1000184670100018619710001898071000189758GELEIA</v>
      </c>
      <c r="N200" s="28">
        <f>N194*_xlfn.XLOOKUP($L200,'Balizador da Meta'!$B$4:$B$21,'Balizador da Meta'!$C$4:$C$21)</f>
        <v>29.999999999999996</v>
      </c>
      <c r="O200" s="28">
        <f>O194*_xlfn.XLOOKUP($L200,'Balizador da Meta'!$B$4:$B$21,'Balizador da Meta'!$C$4:$C$21)</f>
        <v>29.999999999999996</v>
      </c>
      <c r="P200" s="28">
        <f>P194*_xlfn.XLOOKUP($L200,'Balizador da Meta'!$B$4:$B$21,'Balizador da Meta'!$C$4:$C$21)</f>
        <v>29.999999999999996</v>
      </c>
      <c r="Q200" s="28">
        <f>Q194*_xlfn.XLOOKUP($L200,'Balizador da Meta'!$B$4:$B$21,'Balizador da Meta'!$C$4:$C$21)</f>
        <v>29.999999999999996</v>
      </c>
      <c r="R200" s="28">
        <f>R194*_xlfn.XLOOKUP($L200,'Balizador da Meta'!$B$4:$B$21,'Balizador da Meta'!$C$4:$C$21)</f>
        <v>29.999999999999996</v>
      </c>
      <c r="S200" s="28">
        <f>S194*_xlfn.XLOOKUP($L200,'Balizador da Meta'!$B$4:$B$21,'Balizador da Meta'!$C$4:$C$21)</f>
        <v>29.999999999999996</v>
      </c>
      <c r="T200" s="28">
        <f>T194*_xlfn.XLOOKUP($L200,'Balizador da Meta'!$B$4:$B$21,'Balizador da Meta'!$C$4:$C$21)</f>
        <v>29.999999999999996</v>
      </c>
      <c r="U200" s="28">
        <f>U194*_xlfn.XLOOKUP($L200,'Balizador da Meta'!$B$4:$B$21,'Balizador da Meta'!$C$4:$C$21)</f>
        <v>29.999999999999996</v>
      </c>
      <c r="V200" s="28">
        <f>V194*_xlfn.XLOOKUP($L200,'Balizador da Meta'!$B$4:$B$21,'Balizador da Meta'!$C$4:$C$21)</f>
        <v>29.999999999999996</v>
      </c>
      <c r="W200" s="28">
        <f>W194*_xlfn.XLOOKUP($L200,'Balizador da Meta'!$B$4:$B$21,'Balizador da Meta'!$C$4:$C$21)</f>
        <v>29.999999999999996</v>
      </c>
      <c r="X200" s="28">
        <f>X194*_xlfn.XLOOKUP($L200,'Balizador da Meta'!$B$4:$B$21,'Balizador da Meta'!$C$4:$C$21)</f>
        <v>29.999999999999996</v>
      </c>
      <c r="Y200" s="28">
        <f>Y194*_xlfn.XLOOKUP($L200,'Balizador da Meta'!$B$4:$B$21,'Balizador da Meta'!$C$4:$C$21)</f>
        <v>29.999999999999996</v>
      </c>
      <c r="Z200" s="30">
        <f t="shared" si="51"/>
        <v>359.99999999999994</v>
      </c>
      <c r="AA200" s="29"/>
      <c r="AB200" s="31">
        <f>SUMIFS('Historico - FAT'!AK:AK,'Historico - FAT'!$K:$K,Faturamento!$L200,'Historico - FAT'!$I:$I,Faturamento!$J200,'Historico - FAT'!$G:$G,Faturamento!$H200)</f>
        <v>0</v>
      </c>
      <c r="AC200" s="31">
        <f>SUMIFS('Historico - FAT'!AL:AL,'Historico - FAT'!$K:$K,Faturamento!$L200,'Historico - FAT'!$I:$I,Faturamento!$J200,'Historico - FAT'!$G:$G,Faturamento!$H200)</f>
        <v>0</v>
      </c>
      <c r="AD200" s="31">
        <f>SUMIFS('Historico - FAT'!AM:AM,'Historico - FAT'!$K:$K,Faturamento!$L200,'Historico - FAT'!$I:$I,Faturamento!$J200,'Historico - FAT'!$G:$G,Faturamento!$H200)</f>
        <v>0</v>
      </c>
      <c r="AE200" s="27">
        <f>SUMIFS('Historico - FAT'!AN:AN,'Historico - FAT'!$K:$K,Faturamento!$L200,'Historico - FAT'!$I:$I,Faturamento!$J200,'Historico - FAT'!$G:$G,Faturamento!$H200)</f>
        <v>0</v>
      </c>
      <c r="AG200" s="24">
        <f t="shared" si="46"/>
        <v>1</v>
      </c>
      <c r="AH200" s="24">
        <f t="shared" si="47"/>
        <v>1</v>
      </c>
      <c r="AI200" s="24">
        <f t="shared" si="48"/>
        <v>1</v>
      </c>
    </row>
    <row r="201" spans="1:35" hidden="1" x14ac:dyDescent="0.3">
      <c r="A201" s="2" t="str">
        <f t="shared" si="45"/>
        <v>NÃO</v>
      </c>
      <c r="B201" s="2">
        <v>1000184670</v>
      </c>
      <c r="C201" s="2" t="s">
        <v>147</v>
      </c>
      <c r="D201" s="4">
        <v>1000186197</v>
      </c>
      <c r="E201" s="4" t="s">
        <v>166</v>
      </c>
      <c r="F201" s="2">
        <v>1000185288</v>
      </c>
      <c r="G201" s="2" t="s">
        <v>64</v>
      </c>
      <c r="H201" s="4">
        <v>1000189807</v>
      </c>
      <c r="I201" s="4" t="s">
        <v>81</v>
      </c>
      <c r="J201" s="2">
        <v>1000189758</v>
      </c>
      <c r="K201" s="2" t="s">
        <v>159</v>
      </c>
      <c r="L201" s="4" t="s">
        <v>17</v>
      </c>
      <c r="M201" s="4" t="str">
        <f t="shared" si="52"/>
        <v>1000184670100018619710001898071000189758GRANOLA</v>
      </c>
      <c r="N201" s="28">
        <f>N194*_xlfn.XLOOKUP($L201,'Balizador da Meta'!$B$4:$B$21,'Balizador da Meta'!$C$4:$C$21)</f>
        <v>30</v>
      </c>
      <c r="O201" s="28">
        <f>O194*_xlfn.XLOOKUP($L201,'Balizador da Meta'!$B$4:$B$21,'Balizador da Meta'!$C$4:$C$21)</f>
        <v>30</v>
      </c>
      <c r="P201" s="28">
        <f>P194*_xlfn.XLOOKUP($L201,'Balizador da Meta'!$B$4:$B$21,'Balizador da Meta'!$C$4:$C$21)</f>
        <v>30</v>
      </c>
      <c r="Q201" s="28">
        <f>Q194*_xlfn.XLOOKUP($L201,'Balizador da Meta'!$B$4:$B$21,'Balizador da Meta'!$C$4:$C$21)</f>
        <v>30</v>
      </c>
      <c r="R201" s="28">
        <f>R194*_xlfn.XLOOKUP($L201,'Balizador da Meta'!$B$4:$B$21,'Balizador da Meta'!$C$4:$C$21)</f>
        <v>30</v>
      </c>
      <c r="S201" s="28">
        <f>S194*_xlfn.XLOOKUP($L201,'Balizador da Meta'!$B$4:$B$21,'Balizador da Meta'!$C$4:$C$21)</f>
        <v>30</v>
      </c>
      <c r="T201" s="28">
        <f>T194*_xlfn.XLOOKUP($L201,'Balizador da Meta'!$B$4:$B$21,'Balizador da Meta'!$C$4:$C$21)</f>
        <v>30</v>
      </c>
      <c r="U201" s="28">
        <f>U194*_xlfn.XLOOKUP($L201,'Balizador da Meta'!$B$4:$B$21,'Balizador da Meta'!$C$4:$C$21)</f>
        <v>30</v>
      </c>
      <c r="V201" s="28">
        <f>V194*_xlfn.XLOOKUP($L201,'Balizador da Meta'!$B$4:$B$21,'Balizador da Meta'!$C$4:$C$21)</f>
        <v>30</v>
      </c>
      <c r="W201" s="28">
        <f>W194*_xlfn.XLOOKUP($L201,'Balizador da Meta'!$B$4:$B$21,'Balizador da Meta'!$C$4:$C$21)</f>
        <v>30</v>
      </c>
      <c r="X201" s="28">
        <f>X194*_xlfn.XLOOKUP($L201,'Balizador da Meta'!$B$4:$B$21,'Balizador da Meta'!$C$4:$C$21)</f>
        <v>30</v>
      </c>
      <c r="Y201" s="28">
        <f>Y194*_xlfn.XLOOKUP($L201,'Balizador da Meta'!$B$4:$B$21,'Balizador da Meta'!$C$4:$C$21)</f>
        <v>30</v>
      </c>
      <c r="Z201" s="30">
        <f t="shared" si="51"/>
        <v>360</v>
      </c>
      <c r="AA201" s="29"/>
      <c r="AB201" s="31">
        <f>SUMIFS('Historico - FAT'!AK:AK,'Historico - FAT'!$K:$K,Faturamento!$L201,'Historico - FAT'!$I:$I,Faturamento!$J201,'Historico - FAT'!$G:$G,Faturamento!$H201)</f>
        <v>215.13833333333332</v>
      </c>
      <c r="AC201" s="31">
        <f>SUMIFS('Historico - FAT'!AL:AL,'Historico - FAT'!$K:$K,Faturamento!$L201,'Historico - FAT'!$I:$I,Faturamento!$J201,'Historico - FAT'!$G:$G,Faturamento!$H201)</f>
        <v>138.45333333333335</v>
      </c>
      <c r="AD201" s="31">
        <f>SUMIFS('Historico - FAT'!AM:AM,'Historico - FAT'!$K:$K,Faturamento!$L201,'Historico - FAT'!$I:$I,Faturamento!$J201,'Historico - FAT'!$G:$G,Faturamento!$H201)</f>
        <v>276.90666666666669</v>
      </c>
      <c r="AE201" s="27">
        <f>SUMIFS('Historico - FAT'!AN:AN,'Historico - FAT'!$K:$K,Faturamento!$L201,'Historico - FAT'!$I:$I,Faturamento!$J201,'Historico - FAT'!$G:$G,Faturamento!$H201)</f>
        <v>166.14400000000001</v>
      </c>
      <c r="AG201" s="24">
        <f t="shared" si="46"/>
        <v>-6.1712777777777772</v>
      </c>
      <c r="AH201" s="24">
        <f t="shared" si="47"/>
        <v>-3.6151111111111116</v>
      </c>
      <c r="AI201" s="24">
        <f t="shared" si="48"/>
        <v>-8.2302222222222223</v>
      </c>
    </row>
    <row r="202" spans="1:35" hidden="1" x14ac:dyDescent="0.3">
      <c r="A202" s="2" t="str">
        <f t="shared" si="45"/>
        <v>NÃO</v>
      </c>
      <c r="B202" s="2">
        <v>1000184670</v>
      </c>
      <c r="C202" s="2" t="s">
        <v>147</v>
      </c>
      <c r="D202" s="4">
        <v>1000186197</v>
      </c>
      <c r="E202" s="4" t="s">
        <v>166</v>
      </c>
      <c r="F202" s="2">
        <v>1000185288</v>
      </c>
      <c r="G202" s="2" t="s">
        <v>64</v>
      </c>
      <c r="H202" s="4">
        <v>1000189807</v>
      </c>
      <c r="I202" s="4" t="s">
        <v>81</v>
      </c>
      <c r="J202" s="2">
        <v>1000189758</v>
      </c>
      <c r="K202" s="2" t="s">
        <v>159</v>
      </c>
      <c r="L202" s="4" t="s">
        <v>24</v>
      </c>
      <c r="M202" s="4" t="str">
        <f t="shared" si="52"/>
        <v>1000184670100018619710001898071000189758KIDS</v>
      </c>
      <c r="N202" s="28">
        <f>N194*_xlfn.XLOOKUP($L202,'Balizador da Meta'!$B$4:$B$21,'Balizador da Meta'!$C$4:$C$21)</f>
        <v>0</v>
      </c>
      <c r="O202" s="28">
        <f>O194*_xlfn.XLOOKUP($L202,'Balizador da Meta'!$B$4:$B$21,'Balizador da Meta'!$C$4:$C$21)</f>
        <v>0</v>
      </c>
      <c r="P202" s="28">
        <f>P194*_xlfn.XLOOKUP($L202,'Balizador da Meta'!$B$4:$B$21,'Balizador da Meta'!$C$4:$C$21)</f>
        <v>0</v>
      </c>
      <c r="Q202" s="28">
        <f>Q194*_xlfn.XLOOKUP($L202,'Balizador da Meta'!$B$4:$B$21,'Balizador da Meta'!$C$4:$C$21)</f>
        <v>0</v>
      </c>
      <c r="R202" s="28">
        <f>R194*_xlfn.XLOOKUP($L202,'Balizador da Meta'!$B$4:$B$21,'Balizador da Meta'!$C$4:$C$21)</f>
        <v>0</v>
      </c>
      <c r="S202" s="28">
        <f>S194*_xlfn.XLOOKUP($L202,'Balizador da Meta'!$B$4:$B$21,'Balizador da Meta'!$C$4:$C$21)</f>
        <v>0</v>
      </c>
      <c r="T202" s="28">
        <f>T194*_xlfn.XLOOKUP($L202,'Balizador da Meta'!$B$4:$B$21,'Balizador da Meta'!$C$4:$C$21)</f>
        <v>0</v>
      </c>
      <c r="U202" s="28">
        <f>U194*_xlfn.XLOOKUP($L202,'Balizador da Meta'!$B$4:$B$21,'Balizador da Meta'!$C$4:$C$21)</f>
        <v>0</v>
      </c>
      <c r="V202" s="28">
        <f>V194*_xlfn.XLOOKUP($L202,'Balizador da Meta'!$B$4:$B$21,'Balizador da Meta'!$C$4:$C$21)</f>
        <v>0</v>
      </c>
      <c r="W202" s="28">
        <f>W194*_xlfn.XLOOKUP($L202,'Balizador da Meta'!$B$4:$B$21,'Balizador da Meta'!$C$4:$C$21)</f>
        <v>0</v>
      </c>
      <c r="X202" s="28">
        <f>X194*_xlfn.XLOOKUP($L202,'Balizador da Meta'!$B$4:$B$21,'Balizador da Meta'!$C$4:$C$21)</f>
        <v>0</v>
      </c>
      <c r="Y202" s="28">
        <f>Y194*_xlfn.XLOOKUP($L202,'Balizador da Meta'!$B$4:$B$21,'Balizador da Meta'!$C$4:$C$21)</f>
        <v>0</v>
      </c>
      <c r="Z202" s="30">
        <f t="shared" si="51"/>
        <v>0</v>
      </c>
      <c r="AA202" s="29"/>
      <c r="AB202" s="31">
        <f>SUMIFS('Historico - FAT'!AK:AK,'Historico - FAT'!$K:$K,Faturamento!$L202,'Historico - FAT'!$I:$I,Faturamento!$J202,'Historico - FAT'!$G:$G,Faturamento!$H202)</f>
        <v>0</v>
      </c>
      <c r="AC202" s="31">
        <f>SUMIFS('Historico - FAT'!AL:AL,'Historico - FAT'!$K:$K,Faturamento!$L202,'Historico - FAT'!$I:$I,Faturamento!$J202,'Historico - FAT'!$G:$G,Faturamento!$H202)</f>
        <v>0</v>
      </c>
      <c r="AD202" s="31">
        <f>SUMIFS('Historico - FAT'!AM:AM,'Historico - FAT'!$K:$K,Faturamento!$L202,'Historico - FAT'!$I:$I,Faturamento!$J202,'Historico - FAT'!$G:$G,Faturamento!$H202)</f>
        <v>0</v>
      </c>
      <c r="AE202" s="27">
        <f>SUMIFS('Historico - FAT'!AN:AN,'Historico - FAT'!$K:$K,Faturamento!$L202,'Historico - FAT'!$I:$I,Faturamento!$J202,'Historico - FAT'!$G:$G,Faturamento!$H202)</f>
        <v>0</v>
      </c>
      <c r="AG202" s="24" t="str">
        <f t="shared" si="46"/>
        <v/>
      </c>
      <c r="AH202" s="24" t="str">
        <f t="shared" si="47"/>
        <v/>
      </c>
      <c r="AI202" s="24" t="str">
        <f t="shared" si="48"/>
        <v/>
      </c>
    </row>
    <row r="203" spans="1:35" hidden="1" x14ac:dyDescent="0.3">
      <c r="A203" s="2" t="str">
        <f t="shared" si="45"/>
        <v>NÃO</v>
      </c>
      <c r="B203" s="2">
        <v>1000184670</v>
      </c>
      <c r="C203" s="2" t="s">
        <v>147</v>
      </c>
      <c r="D203" s="4">
        <v>1000186197</v>
      </c>
      <c r="E203" s="4" t="s">
        <v>166</v>
      </c>
      <c r="F203" s="2">
        <v>1000185288</v>
      </c>
      <c r="G203" s="2" t="s">
        <v>64</v>
      </c>
      <c r="H203" s="4">
        <v>1000189807</v>
      </c>
      <c r="I203" s="4" t="s">
        <v>81</v>
      </c>
      <c r="J203" s="2">
        <v>1000189758</v>
      </c>
      <c r="K203" s="2" t="s">
        <v>159</v>
      </c>
      <c r="L203" s="4" t="s">
        <v>18</v>
      </c>
      <c r="M203" s="4" t="str">
        <f t="shared" si="52"/>
        <v>1000184670100018619710001898071000189758LANCHES</v>
      </c>
      <c r="N203" s="28">
        <f>N194*_xlfn.XLOOKUP($L203,'Balizador da Meta'!$B$4:$B$21,'Balizador da Meta'!$C$4:$C$21)</f>
        <v>15</v>
      </c>
      <c r="O203" s="28">
        <f>O194*_xlfn.XLOOKUP($L203,'Balizador da Meta'!$B$4:$B$21,'Balizador da Meta'!$C$4:$C$21)</f>
        <v>15</v>
      </c>
      <c r="P203" s="28">
        <f>P194*_xlfn.XLOOKUP($L203,'Balizador da Meta'!$B$4:$B$21,'Balizador da Meta'!$C$4:$C$21)</f>
        <v>15</v>
      </c>
      <c r="Q203" s="28">
        <f>Q194*_xlfn.XLOOKUP($L203,'Balizador da Meta'!$B$4:$B$21,'Balizador da Meta'!$C$4:$C$21)</f>
        <v>15</v>
      </c>
      <c r="R203" s="28">
        <f>R194*_xlfn.XLOOKUP($L203,'Balizador da Meta'!$B$4:$B$21,'Balizador da Meta'!$C$4:$C$21)</f>
        <v>15</v>
      </c>
      <c r="S203" s="28">
        <f>S194*_xlfn.XLOOKUP($L203,'Balizador da Meta'!$B$4:$B$21,'Balizador da Meta'!$C$4:$C$21)</f>
        <v>15</v>
      </c>
      <c r="T203" s="28">
        <f>T194*_xlfn.XLOOKUP($L203,'Balizador da Meta'!$B$4:$B$21,'Balizador da Meta'!$C$4:$C$21)</f>
        <v>15</v>
      </c>
      <c r="U203" s="28">
        <f>U194*_xlfn.XLOOKUP($L203,'Balizador da Meta'!$B$4:$B$21,'Balizador da Meta'!$C$4:$C$21)</f>
        <v>15</v>
      </c>
      <c r="V203" s="28">
        <f>V194*_xlfn.XLOOKUP($L203,'Balizador da Meta'!$B$4:$B$21,'Balizador da Meta'!$C$4:$C$21)</f>
        <v>15</v>
      </c>
      <c r="W203" s="28">
        <f>W194*_xlfn.XLOOKUP($L203,'Balizador da Meta'!$B$4:$B$21,'Balizador da Meta'!$C$4:$C$21)</f>
        <v>15</v>
      </c>
      <c r="X203" s="28">
        <f>X194*_xlfn.XLOOKUP($L203,'Balizador da Meta'!$B$4:$B$21,'Balizador da Meta'!$C$4:$C$21)</f>
        <v>15</v>
      </c>
      <c r="Y203" s="28">
        <f>Y194*_xlfn.XLOOKUP($L203,'Balizador da Meta'!$B$4:$B$21,'Balizador da Meta'!$C$4:$C$21)</f>
        <v>15</v>
      </c>
      <c r="Z203" s="30">
        <f t="shared" si="51"/>
        <v>180</v>
      </c>
      <c r="AA203" s="29"/>
      <c r="AB203" s="31">
        <f>SUMIFS('Historico - FAT'!AK:AK,'Historico - FAT'!$K:$K,Faturamento!$L203,'Historico - FAT'!$I:$I,Faturamento!$J203,'Historico - FAT'!$G:$G,Faturamento!$H203)</f>
        <v>0</v>
      </c>
      <c r="AC203" s="31">
        <f>SUMIFS('Historico - FAT'!AL:AL,'Historico - FAT'!$K:$K,Faturamento!$L203,'Historico - FAT'!$I:$I,Faturamento!$J203,'Historico - FAT'!$G:$G,Faturamento!$H203)</f>
        <v>0</v>
      </c>
      <c r="AD203" s="31">
        <f>SUMIFS('Historico - FAT'!AM:AM,'Historico - FAT'!$K:$K,Faturamento!$L203,'Historico - FAT'!$I:$I,Faturamento!$J203,'Historico - FAT'!$G:$G,Faturamento!$H203)</f>
        <v>0</v>
      </c>
      <c r="AE203" s="27">
        <f>SUMIFS('Historico - FAT'!AN:AN,'Historico - FAT'!$K:$K,Faturamento!$L203,'Historico - FAT'!$I:$I,Faturamento!$J203,'Historico - FAT'!$G:$G,Faturamento!$H203)</f>
        <v>0</v>
      </c>
      <c r="AG203" s="24">
        <f t="shared" si="46"/>
        <v>1</v>
      </c>
      <c r="AH203" s="24">
        <f t="shared" si="47"/>
        <v>1</v>
      </c>
      <c r="AI203" s="24">
        <f t="shared" si="48"/>
        <v>1</v>
      </c>
    </row>
    <row r="204" spans="1:35" hidden="1" x14ac:dyDescent="0.3">
      <c r="A204" s="2" t="str">
        <f t="shared" si="45"/>
        <v>NÃO</v>
      </c>
      <c r="B204" s="2">
        <v>1000184670</v>
      </c>
      <c r="C204" s="2" t="s">
        <v>147</v>
      </c>
      <c r="D204" s="4">
        <v>1000186197</v>
      </c>
      <c r="E204" s="4" t="s">
        <v>166</v>
      </c>
      <c r="F204" s="2">
        <v>1000185288</v>
      </c>
      <c r="G204" s="2" t="s">
        <v>64</v>
      </c>
      <c r="H204" s="4">
        <v>1000189807</v>
      </c>
      <c r="I204" s="4" t="s">
        <v>81</v>
      </c>
      <c r="J204" s="2">
        <v>1000189758</v>
      </c>
      <c r="K204" s="2" t="s">
        <v>159</v>
      </c>
      <c r="L204" s="4" t="s">
        <v>29</v>
      </c>
      <c r="M204" s="4" t="str">
        <f t="shared" si="52"/>
        <v>1000184670100018619710001898071000189758MAIS GRANEL</v>
      </c>
      <c r="N204" s="28">
        <f>N194*_xlfn.XLOOKUP($L204,'Balizador da Meta'!$B$4:$B$21,'Balizador da Meta'!$C$4:$C$21)</f>
        <v>480</v>
      </c>
      <c r="O204" s="28">
        <f>O194*_xlfn.XLOOKUP($L204,'Balizador da Meta'!$B$4:$B$21,'Balizador da Meta'!$C$4:$C$21)</f>
        <v>480</v>
      </c>
      <c r="P204" s="28">
        <f>P194*_xlfn.XLOOKUP($L204,'Balizador da Meta'!$B$4:$B$21,'Balizador da Meta'!$C$4:$C$21)</f>
        <v>480</v>
      </c>
      <c r="Q204" s="28">
        <f>Q194*_xlfn.XLOOKUP($L204,'Balizador da Meta'!$B$4:$B$21,'Balizador da Meta'!$C$4:$C$21)</f>
        <v>480</v>
      </c>
      <c r="R204" s="28">
        <f>R194*_xlfn.XLOOKUP($L204,'Balizador da Meta'!$B$4:$B$21,'Balizador da Meta'!$C$4:$C$21)</f>
        <v>480</v>
      </c>
      <c r="S204" s="28">
        <f>S194*_xlfn.XLOOKUP($L204,'Balizador da Meta'!$B$4:$B$21,'Balizador da Meta'!$C$4:$C$21)</f>
        <v>480</v>
      </c>
      <c r="T204" s="28">
        <f>T194*_xlfn.XLOOKUP($L204,'Balizador da Meta'!$B$4:$B$21,'Balizador da Meta'!$C$4:$C$21)</f>
        <v>480</v>
      </c>
      <c r="U204" s="28">
        <f>U194*_xlfn.XLOOKUP($L204,'Balizador da Meta'!$B$4:$B$21,'Balizador da Meta'!$C$4:$C$21)</f>
        <v>480</v>
      </c>
      <c r="V204" s="28">
        <f>V194*_xlfn.XLOOKUP($L204,'Balizador da Meta'!$B$4:$B$21,'Balizador da Meta'!$C$4:$C$21)</f>
        <v>480</v>
      </c>
      <c r="W204" s="28">
        <f>W194*_xlfn.XLOOKUP($L204,'Balizador da Meta'!$B$4:$B$21,'Balizador da Meta'!$C$4:$C$21)</f>
        <v>480</v>
      </c>
      <c r="X204" s="28">
        <f>X194*_xlfn.XLOOKUP($L204,'Balizador da Meta'!$B$4:$B$21,'Balizador da Meta'!$C$4:$C$21)</f>
        <v>480</v>
      </c>
      <c r="Y204" s="28">
        <f>Y194*_xlfn.XLOOKUP($L204,'Balizador da Meta'!$B$4:$B$21,'Balizador da Meta'!$C$4:$C$21)</f>
        <v>480</v>
      </c>
      <c r="Z204" s="30">
        <f t="shared" si="51"/>
        <v>5760</v>
      </c>
      <c r="AA204" s="29"/>
      <c r="AB204" s="31">
        <f>SUMIFS('Historico - FAT'!AK:AK,'Historico - FAT'!$K:$K,Faturamento!$L204,'Historico - FAT'!$I:$I,Faturamento!$J204,'Historico - FAT'!$G:$G,Faturamento!$H204)</f>
        <v>0</v>
      </c>
      <c r="AC204" s="31">
        <f>SUMIFS('Historico - FAT'!AL:AL,'Historico - FAT'!$K:$K,Faturamento!$L204,'Historico - FAT'!$I:$I,Faturamento!$J204,'Historico - FAT'!$G:$G,Faturamento!$H204)</f>
        <v>0</v>
      </c>
      <c r="AD204" s="31">
        <f>SUMIFS('Historico - FAT'!AM:AM,'Historico - FAT'!$K:$K,Faturamento!$L204,'Historico - FAT'!$I:$I,Faturamento!$J204,'Historico - FAT'!$G:$G,Faturamento!$H204)</f>
        <v>0</v>
      </c>
      <c r="AE204" s="27">
        <f>SUMIFS('Historico - FAT'!AN:AN,'Historico - FAT'!$K:$K,Faturamento!$L204,'Historico - FAT'!$I:$I,Faturamento!$J204,'Historico - FAT'!$G:$G,Faturamento!$H204)</f>
        <v>0</v>
      </c>
      <c r="AG204" s="24">
        <f t="shared" si="46"/>
        <v>1</v>
      </c>
      <c r="AH204" s="24">
        <f t="shared" si="47"/>
        <v>1</v>
      </c>
      <c r="AI204" s="24">
        <f t="shared" si="48"/>
        <v>1</v>
      </c>
    </row>
    <row r="205" spans="1:35" hidden="1" x14ac:dyDescent="0.3">
      <c r="A205" s="2" t="str">
        <f t="shared" si="45"/>
        <v>NÃO</v>
      </c>
      <c r="B205" s="2">
        <v>1000184670</v>
      </c>
      <c r="C205" s="2" t="s">
        <v>147</v>
      </c>
      <c r="D205" s="4">
        <v>1000186197</v>
      </c>
      <c r="E205" s="4" t="s">
        <v>166</v>
      </c>
      <c r="F205" s="2">
        <v>1000185288</v>
      </c>
      <c r="G205" s="2" t="s">
        <v>64</v>
      </c>
      <c r="H205" s="4">
        <v>1000189807</v>
      </c>
      <c r="I205" s="4" t="s">
        <v>81</v>
      </c>
      <c r="J205" s="2">
        <v>1000189758</v>
      </c>
      <c r="K205" s="2" t="s">
        <v>159</v>
      </c>
      <c r="L205" s="4" t="s">
        <v>21</v>
      </c>
      <c r="M205" s="4" t="str">
        <f t="shared" si="52"/>
        <v>1000184670100018619710001898071000189758NATURATTA</v>
      </c>
      <c r="N205" s="28">
        <f>N194*_xlfn.XLOOKUP($L205,'Balizador da Meta'!$B$4:$B$21,'Balizador da Meta'!$C$4:$C$21)</f>
        <v>75</v>
      </c>
      <c r="O205" s="28">
        <f>O194*_xlfn.XLOOKUP($L205,'Balizador da Meta'!$B$4:$B$21,'Balizador da Meta'!$C$4:$C$21)</f>
        <v>75</v>
      </c>
      <c r="P205" s="28">
        <f>P194*_xlfn.XLOOKUP($L205,'Balizador da Meta'!$B$4:$B$21,'Balizador da Meta'!$C$4:$C$21)</f>
        <v>75</v>
      </c>
      <c r="Q205" s="28">
        <f>Q194*_xlfn.XLOOKUP($L205,'Balizador da Meta'!$B$4:$B$21,'Balizador da Meta'!$C$4:$C$21)</f>
        <v>75</v>
      </c>
      <c r="R205" s="28">
        <f>R194*_xlfn.XLOOKUP($L205,'Balizador da Meta'!$B$4:$B$21,'Balizador da Meta'!$C$4:$C$21)</f>
        <v>75</v>
      </c>
      <c r="S205" s="28">
        <f>S194*_xlfn.XLOOKUP($L205,'Balizador da Meta'!$B$4:$B$21,'Balizador da Meta'!$C$4:$C$21)</f>
        <v>75</v>
      </c>
      <c r="T205" s="28">
        <f>T194*_xlfn.XLOOKUP($L205,'Balizador da Meta'!$B$4:$B$21,'Balizador da Meta'!$C$4:$C$21)</f>
        <v>75</v>
      </c>
      <c r="U205" s="28">
        <f>U194*_xlfn.XLOOKUP($L205,'Balizador da Meta'!$B$4:$B$21,'Balizador da Meta'!$C$4:$C$21)</f>
        <v>75</v>
      </c>
      <c r="V205" s="28">
        <f>V194*_xlfn.XLOOKUP($L205,'Balizador da Meta'!$B$4:$B$21,'Balizador da Meta'!$C$4:$C$21)</f>
        <v>75</v>
      </c>
      <c r="W205" s="28">
        <f>W194*_xlfn.XLOOKUP($L205,'Balizador da Meta'!$B$4:$B$21,'Balizador da Meta'!$C$4:$C$21)</f>
        <v>75</v>
      </c>
      <c r="X205" s="28">
        <f>X194*_xlfn.XLOOKUP($L205,'Balizador da Meta'!$B$4:$B$21,'Balizador da Meta'!$C$4:$C$21)</f>
        <v>75</v>
      </c>
      <c r="Y205" s="28">
        <f>Y194*_xlfn.XLOOKUP($L205,'Balizador da Meta'!$B$4:$B$21,'Balizador da Meta'!$C$4:$C$21)</f>
        <v>75</v>
      </c>
      <c r="Z205" s="30">
        <f t="shared" si="51"/>
        <v>900</v>
      </c>
      <c r="AA205" s="29"/>
      <c r="AB205" s="31">
        <f>SUMIFS('Historico - FAT'!AK:AK,'Historico - FAT'!$K:$K,Faturamento!$L205,'Historico - FAT'!$I:$I,Faturamento!$J205,'Historico - FAT'!$G:$G,Faturamento!$H205)</f>
        <v>0</v>
      </c>
      <c r="AC205" s="31">
        <f>SUMIFS('Historico - FAT'!AL:AL,'Historico - FAT'!$K:$K,Faturamento!$L205,'Historico - FAT'!$I:$I,Faturamento!$J205,'Historico - FAT'!$G:$G,Faturamento!$H205)</f>
        <v>0</v>
      </c>
      <c r="AD205" s="31">
        <f>SUMIFS('Historico - FAT'!AM:AM,'Historico - FAT'!$K:$K,Faturamento!$L205,'Historico - FAT'!$I:$I,Faturamento!$J205,'Historico - FAT'!$G:$G,Faturamento!$H205)</f>
        <v>0</v>
      </c>
      <c r="AE205" s="27">
        <f>SUMIFS('Historico - FAT'!AN:AN,'Historico - FAT'!$K:$K,Faturamento!$L205,'Historico - FAT'!$I:$I,Faturamento!$J205,'Historico - FAT'!$G:$G,Faturamento!$H205)</f>
        <v>0</v>
      </c>
      <c r="AG205" s="24">
        <f t="shared" si="46"/>
        <v>1</v>
      </c>
      <c r="AH205" s="24">
        <f t="shared" si="47"/>
        <v>1</v>
      </c>
      <c r="AI205" s="24">
        <f t="shared" si="48"/>
        <v>1</v>
      </c>
    </row>
    <row r="206" spans="1:35" hidden="1" x14ac:dyDescent="0.3">
      <c r="A206" s="2" t="str">
        <f t="shared" si="45"/>
        <v>NÃO</v>
      </c>
      <c r="B206" s="2">
        <v>1000184670</v>
      </c>
      <c r="C206" s="2" t="s">
        <v>147</v>
      </c>
      <c r="D206" s="4">
        <v>1000186197</v>
      </c>
      <c r="E206" s="4" t="s">
        <v>166</v>
      </c>
      <c r="F206" s="2">
        <v>1000185288</v>
      </c>
      <c r="G206" s="2" t="s">
        <v>64</v>
      </c>
      <c r="H206" s="4">
        <v>1000189807</v>
      </c>
      <c r="I206" s="4" t="s">
        <v>81</v>
      </c>
      <c r="J206" s="2">
        <v>1000189758</v>
      </c>
      <c r="K206" s="2" t="s">
        <v>159</v>
      </c>
      <c r="L206" s="4" t="s">
        <v>20</v>
      </c>
      <c r="M206" s="4" t="str">
        <f t="shared" si="52"/>
        <v>1000184670100018619710001898071000189758REEMBALADOS</v>
      </c>
      <c r="N206" s="28">
        <f>N194*_xlfn.XLOOKUP($L206,'Balizador da Meta'!$B$4:$B$21,'Balizador da Meta'!$C$4:$C$21)</f>
        <v>60</v>
      </c>
      <c r="O206" s="28">
        <f>O194*_xlfn.XLOOKUP($L206,'Balizador da Meta'!$B$4:$B$21,'Balizador da Meta'!$C$4:$C$21)</f>
        <v>60</v>
      </c>
      <c r="P206" s="28">
        <f>P194*_xlfn.XLOOKUP($L206,'Balizador da Meta'!$B$4:$B$21,'Balizador da Meta'!$C$4:$C$21)</f>
        <v>60</v>
      </c>
      <c r="Q206" s="28">
        <f>Q194*_xlfn.XLOOKUP($L206,'Balizador da Meta'!$B$4:$B$21,'Balizador da Meta'!$C$4:$C$21)</f>
        <v>60</v>
      </c>
      <c r="R206" s="28">
        <f>R194*_xlfn.XLOOKUP($L206,'Balizador da Meta'!$B$4:$B$21,'Balizador da Meta'!$C$4:$C$21)</f>
        <v>60</v>
      </c>
      <c r="S206" s="28">
        <f>S194*_xlfn.XLOOKUP($L206,'Balizador da Meta'!$B$4:$B$21,'Balizador da Meta'!$C$4:$C$21)</f>
        <v>60</v>
      </c>
      <c r="T206" s="28">
        <f>T194*_xlfn.XLOOKUP($L206,'Balizador da Meta'!$B$4:$B$21,'Balizador da Meta'!$C$4:$C$21)</f>
        <v>60</v>
      </c>
      <c r="U206" s="28">
        <f>U194*_xlfn.XLOOKUP($L206,'Balizador da Meta'!$B$4:$B$21,'Balizador da Meta'!$C$4:$C$21)</f>
        <v>60</v>
      </c>
      <c r="V206" s="28">
        <f>V194*_xlfn.XLOOKUP($L206,'Balizador da Meta'!$B$4:$B$21,'Balizador da Meta'!$C$4:$C$21)</f>
        <v>60</v>
      </c>
      <c r="W206" s="28">
        <f>W194*_xlfn.XLOOKUP($L206,'Balizador da Meta'!$B$4:$B$21,'Balizador da Meta'!$C$4:$C$21)</f>
        <v>60</v>
      </c>
      <c r="X206" s="28">
        <f>X194*_xlfn.XLOOKUP($L206,'Balizador da Meta'!$B$4:$B$21,'Balizador da Meta'!$C$4:$C$21)</f>
        <v>60</v>
      </c>
      <c r="Y206" s="28">
        <f>Y194*_xlfn.XLOOKUP($L206,'Balizador da Meta'!$B$4:$B$21,'Balizador da Meta'!$C$4:$C$21)</f>
        <v>60</v>
      </c>
      <c r="Z206" s="30">
        <f t="shared" si="51"/>
        <v>720</v>
      </c>
      <c r="AA206" s="29"/>
      <c r="AB206" s="31">
        <f>SUMIFS('Historico - FAT'!AK:AK,'Historico - FAT'!$K:$K,Faturamento!$L206,'Historico - FAT'!$I:$I,Faturamento!$J206,'Historico - FAT'!$G:$G,Faturamento!$H206)</f>
        <v>292.1225</v>
      </c>
      <c r="AC206" s="31">
        <f>SUMIFS('Historico - FAT'!AL:AL,'Historico - FAT'!$K:$K,Faturamento!$L206,'Historico - FAT'!$I:$I,Faturamento!$J206,'Historico - FAT'!$G:$G,Faturamento!$H206)</f>
        <v>172.63749999999996</v>
      </c>
      <c r="AD206" s="31">
        <f>SUMIFS('Historico - FAT'!AM:AM,'Historico - FAT'!$K:$K,Faturamento!$L206,'Historico - FAT'!$I:$I,Faturamento!$J206,'Historico - FAT'!$G:$G,Faturamento!$H206)</f>
        <v>345.27499999999992</v>
      </c>
      <c r="AE206" s="27">
        <f>SUMIFS('Historico - FAT'!AN:AN,'Historico - FAT'!$K:$K,Faturamento!$L206,'Historico - FAT'!$I:$I,Faturamento!$J206,'Historico - FAT'!$G:$G,Faturamento!$H206)</f>
        <v>207.16499999999996</v>
      </c>
      <c r="AG206" s="24">
        <f t="shared" si="46"/>
        <v>-3.8687083333333332</v>
      </c>
      <c r="AH206" s="24">
        <f t="shared" si="47"/>
        <v>-1.8772916666666659</v>
      </c>
      <c r="AI206" s="24">
        <f t="shared" si="48"/>
        <v>-4.7545833333333318</v>
      </c>
    </row>
    <row r="207" spans="1:35" hidden="1" x14ac:dyDescent="0.3">
      <c r="A207" s="2" t="str">
        <f t="shared" si="45"/>
        <v>NÃO</v>
      </c>
      <c r="B207" s="2">
        <v>1000184670</v>
      </c>
      <c r="C207" s="2" t="s">
        <v>147</v>
      </c>
      <c r="D207" s="4">
        <v>1000186197</v>
      </c>
      <c r="E207" s="4" t="s">
        <v>166</v>
      </c>
      <c r="F207" s="2">
        <v>1000185288</v>
      </c>
      <c r="G207" s="2" t="s">
        <v>64</v>
      </c>
      <c r="H207" s="4">
        <v>1000189807</v>
      </c>
      <c r="I207" s="4" t="s">
        <v>81</v>
      </c>
      <c r="J207" s="2">
        <v>1000189758</v>
      </c>
      <c r="K207" s="2" t="s">
        <v>159</v>
      </c>
      <c r="L207" s="4" t="s">
        <v>22</v>
      </c>
      <c r="M207" s="4" t="str">
        <f t="shared" si="52"/>
        <v>1000184670100018619710001898071000189758S GLUTEN</v>
      </c>
      <c r="N207" s="28">
        <f>N194*_xlfn.XLOOKUP($L207,'Balizador da Meta'!$B$4:$B$21,'Balizador da Meta'!$C$4:$C$21)</f>
        <v>60</v>
      </c>
      <c r="O207" s="28">
        <f>O194*_xlfn.XLOOKUP($L207,'Balizador da Meta'!$B$4:$B$21,'Balizador da Meta'!$C$4:$C$21)</f>
        <v>60</v>
      </c>
      <c r="P207" s="28">
        <f>P194*_xlfn.XLOOKUP($L207,'Balizador da Meta'!$B$4:$B$21,'Balizador da Meta'!$C$4:$C$21)</f>
        <v>60</v>
      </c>
      <c r="Q207" s="28">
        <f>Q194*_xlfn.XLOOKUP($L207,'Balizador da Meta'!$B$4:$B$21,'Balizador da Meta'!$C$4:$C$21)</f>
        <v>60</v>
      </c>
      <c r="R207" s="28">
        <f>R194*_xlfn.XLOOKUP($L207,'Balizador da Meta'!$B$4:$B$21,'Balizador da Meta'!$C$4:$C$21)</f>
        <v>60</v>
      </c>
      <c r="S207" s="28">
        <f>S194*_xlfn.XLOOKUP($L207,'Balizador da Meta'!$B$4:$B$21,'Balizador da Meta'!$C$4:$C$21)</f>
        <v>60</v>
      </c>
      <c r="T207" s="28">
        <f>T194*_xlfn.XLOOKUP($L207,'Balizador da Meta'!$B$4:$B$21,'Balizador da Meta'!$C$4:$C$21)</f>
        <v>60</v>
      </c>
      <c r="U207" s="28">
        <f>U194*_xlfn.XLOOKUP($L207,'Balizador da Meta'!$B$4:$B$21,'Balizador da Meta'!$C$4:$C$21)</f>
        <v>60</v>
      </c>
      <c r="V207" s="28">
        <f>V194*_xlfn.XLOOKUP($L207,'Balizador da Meta'!$B$4:$B$21,'Balizador da Meta'!$C$4:$C$21)</f>
        <v>60</v>
      </c>
      <c r="W207" s="28">
        <f>W194*_xlfn.XLOOKUP($L207,'Balizador da Meta'!$B$4:$B$21,'Balizador da Meta'!$C$4:$C$21)</f>
        <v>60</v>
      </c>
      <c r="X207" s="28">
        <f>X194*_xlfn.XLOOKUP($L207,'Balizador da Meta'!$B$4:$B$21,'Balizador da Meta'!$C$4:$C$21)</f>
        <v>60</v>
      </c>
      <c r="Y207" s="28">
        <f>Y194*_xlfn.XLOOKUP($L207,'Balizador da Meta'!$B$4:$B$21,'Balizador da Meta'!$C$4:$C$21)</f>
        <v>60</v>
      </c>
      <c r="Z207" s="30">
        <f t="shared" si="51"/>
        <v>720</v>
      </c>
      <c r="AA207" s="29"/>
      <c r="AB207" s="31">
        <f>SUMIFS('Historico - FAT'!AK:AK,'Historico - FAT'!$K:$K,Faturamento!$L207,'Historico - FAT'!$I:$I,Faturamento!$J207,'Historico - FAT'!$G:$G,Faturamento!$H207)</f>
        <v>22.670833333333334</v>
      </c>
      <c r="AC207" s="31">
        <f>SUMIFS('Historico - FAT'!AL:AL,'Historico - FAT'!$K:$K,Faturamento!$L207,'Historico - FAT'!$I:$I,Faturamento!$J207,'Historico - FAT'!$G:$G,Faturamento!$H207)</f>
        <v>0</v>
      </c>
      <c r="AD207" s="31">
        <f>SUMIFS('Historico - FAT'!AM:AM,'Historico - FAT'!$K:$K,Faturamento!$L207,'Historico - FAT'!$I:$I,Faturamento!$J207,'Historico - FAT'!$G:$G,Faturamento!$H207)</f>
        <v>0</v>
      </c>
      <c r="AE207" s="27">
        <f>SUMIFS('Historico - FAT'!AN:AN,'Historico - FAT'!$K:$K,Faturamento!$L207,'Historico - FAT'!$I:$I,Faturamento!$J207,'Historico - FAT'!$G:$G,Faturamento!$H207)</f>
        <v>0</v>
      </c>
      <c r="AG207" s="24">
        <f t="shared" si="46"/>
        <v>0.62215277777777778</v>
      </c>
      <c r="AH207" s="24">
        <f t="shared" si="47"/>
        <v>1</v>
      </c>
      <c r="AI207" s="24">
        <f t="shared" si="48"/>
        <v>1</v>
      </c>
    </row>
    <row r="208" spans="1:35" hidden="1" x14ac:dyDescent="0.3">
      <c r="A208" s="2" t="str">
        <f t="shared" si="45"/>
        <v>NÃO</v>
      </c>
      <c r="B208" s="2">
        <v>1000184670</v>
      </c>
      <c r="C208" s="2" t="s">
        <v>147</v>
      </c>
      <c r="D208" s="4">
        <v>1000186197</v>
      </c>
      <c r="E208" s="4" t="s">
        <v>166</v>
      </c>
      <c r="F208" s="2">
        <v>1000185288</v>
      </c>
      <c r="G208" s="2" t="s">
        <v>64</v>
      </c>
      <c r="H208" s="4">
        <v>1000189807</v>
      </c>
      <c r="I208" s="4" t="s">
        <v>81</v>
      </c>
      <c r="J208" s="2">
        <v>1000189758</v>
      </c>
      <c r="K208" s="2" t="s">
        <v>159</v>
      </c>
      <c r="L208" s="4" t="s">
        <v>23</v>
      </c>
      <c r="M208" s="4" t="str">
        <f t="shared" si="52"/>
        <v>1000184670100018619710001898071000189758SABORES DO CAMPO</v>
      </c>
      <c r="N208" s="28">
        <f>N194*_xlfn.XLOOKUP($L208,'Balizador da Meta'!$B$4:$B$21,'Balizador da Meta'!$C$4:$C$21)</f>
        <v>0</v>
      </c>
      <c r="O208" s="28">
        <f>O194*_xlfn.XLOOKUP($L208,'Balizador da Meta'!$B$4:$B$21,'Balizador da Meta'!$C$4:$C$21)</f>
        <v>0</v>
      </c>
      <c r="P208" s="28">
        <f>P194*_xlfn.XLOOKUP($L208,'Balizador da Meta'!$B$4:$B$21,'Balizador da Meta'!$C$4:$C$21)</f>
        <v>0</v>
      </c>
      <c r="Q208" s="28">
        <f>Q194*_xlfn.XLOOKUP($L208,'Balizador da Meta'!$B$4:$B$21,'Balizador da Meta'!$C$4:$C$21)</f>
        <v>0</v>
      </c>
      <c r="R208" s="28">
        <f>R194*_xlfn.XLOOKUP($L208,'Balizador da Meta'!$B$4:$B$21,'Balizador da Meta'!$C$4:$C$21)</f>
        <v>0</v>
      </c>
      <c r="S208" s="28">
        <f>S194*_xlfn.XLOOKUP($L208,'Balizador da Meta'!$B$4:$B$21,'Balizador da Meta'!$C$4:$C$21)</f>
        <v>0</v>
      </c>
      <c r="T208" s="28">
        <f>T194*_xlfn.XLOOKUP($L208,'Balizador da Meta'!$B$4:$B$21,'Balizador da Meta'!$C$4:$C$21)</f>
        <v>0</v>
      </c>
      <c r="U208" s="28">
        <f>U194*_xlfn.XLOOKUP($L208,'Balizador da Meta'!$B$4:$B$21,'Balizador da Meta'!$C$4:$C$21)</f>
        <v>0</v>
      </c>
      <c r="V208" s="28">
        <f>V194*_xlfn.XLOOKUP($L208,'Balizador da Meta'!$B$4:$B$21,'Balizador da Meta'!$C$4:$C$21)</f>
        <v>0</v>
      </c>
      <c r="W208" s="28">
        <f>W194*_xlfn.XLOOKUP($L208,'Balizador da Meta'!$B$4:$B$21,'Balizador da Meta'!$C$4:$C$21)</f>
        <v>0</v>
      </c>
      <c r="X208" s="28">
        <f>X194*_xlfn.XLOOKUP($L208,'Balizador da Meta'!$B$4:$B$21,'Balizador da Meta'!$C$4:$C$21)</f>
        <v>0</v>
      </c>
      <c r="Y208" s="28">
        <f>Y194*_xlfn.XLOOKUP($L208,'Balizador da Meta'!$B$4:$B$21,'Balizador da Meta'!$C$4:$C$21)</f>
        <v>0</v>
      </c>
      <c r="Z208" s="30">
        <f t="shared" si="51"/>
        <v>0</v>
      </c>
      <c r="AA208" s="29"/>
      <c r="AB208" s="31">
        <f>SUMIFS('Historico - FAT'!AK:AK,'Historico - FAT'!$K:$K,Faturamento!$L208,'Historico - FAT'!$I:$I,Faturamento!$J208,'Historico - FAT'!$G:$G,Faturamento!$H208)</f>
        <v>394.60083333333336</v>
      </c>
      <c r="AC208" s="31">
        <f>SUMIFS('Historico - FAT'!AL:AL,'Historico - FAT'!$K:$K,Faturamento!$L208,'Historico - FAT'!$I:$I,Faturamento!$J208,'Historico - FAT'!$G:$G,Faturamento!$H208)</f>
        <v>339.04416666666668</v>
      </c>
      <c r="AD208" s="31">
        <f>SUMIFS('Historico - FAT'!AM:AM,'Historico - FAT'!$K:$K,Faturamento!$L208,'Historico - FAT'!$I:$I,Faturamento!$J208,'Historico - FAT'!$G:$G,Faturamento!$H208)</f>
        <v>678.08833333333337</v>
      </c>
      <c r="AE208" s="27">
        <f>SUMIFS('Historico - FAT'!AN:AN,'Historico - FAT'!$K:$K,Faturamento!$L208,'Historico - FAT'!$I:$I,Faturamento!$J208,'Historico - FAT'!$G:$G,Faturamento!$H208)</f>
        <v>406.85300000000001</v>
      </c>
      <c r="AG208" s="24" t="str">
        <f t="shared" si="46"/>
        <v/>
      </c>
      <c r="AH208" s="24" t="str">
        <f t="shared" si="47"/>
        <v/>
      </c>
      <c r="AI208" s="24" t="str">
        <f t="shared" si="48"/>
        <v/>
      </c>
    </row>
    <row r="209" spans="1:35" hidden="1" x14ac:dyDescent="0.3">
      <c r="A209" s="2" t="str">
        <f t="shared" si="45"/>
        <v>NÃO</v>
      </c>
      <c r="B209" s="2">
        <v>1000184670</v>
      </c>
      <c r="C209" s="2" t="s">
        <v>147</v>
      </c>
      <c r="D209" s="4">
        <v>1000186197</v>
      </c>
      <c r="E209" s="4" t="s">
        <v>166</v>
      </c>
      <c r="F209" s="2">
        <v>1000185288</v>
      </c>
      <c r="G209" s="2" t="s">
        <v>64</v>
      </c>
      <c r="H209" s="4">
        <v>1000189807</v>
      </c>
      <c r="I209" s="4" t="s">
        <v>81</v>
      </c>
      <c r="J209" s="2">
        <v>1000189758</v>
      </c>
      <c r="K209" s="2" t="s">
        <v>159</v>
      </c>
      <c r="L209" s="4" t="s">
        <v>28</v>
      </c>
      <c r="M209" s="4" t="str">
        <f t="shared" si="52"/>
        <v>1000184670100018619710001898071000189758SAL</v>
      </c>
      <c r="N209" s="28">
        <f>N194*_xlfn.XLOOKUP($L209,'Balizador da Meta'!$B$4:$B$21,'Balizador da Meta'!$C$4:$C$21)</f>
        <v>30</v>
      </c>
      <c r="O209" s="28">
        <f>O194*_xlfn.XLOOKUP($L209,'Balizador da Meta'!$B$4:$B$21,'Balizador da Meta'!$C$4:$C$21)</f>
        <v>30</v>
      </c>
      <c r="P209" s="28">
        <f>P194*_xlfn.XLOOKUP($L209,'Balizador da Meta'!$B$4:$B$21,'Balizador da Meta'!$C$4:$C$21)</f>
        <v>30</v>
      </c>
      <c r="Q209" s="28">
        <f>Q194*_xlfn.XLOOKUP($L209,'Balizador da Meta'!$B$4:$B$21,'Balizador da Meta'!$C$4:$C$21)</f>
        <v>30</v>
      </c>
      <c r="R209" s="28">
        <f>R194*_xlfn.XLOOKUP($L209,'Balizador da Meta'!$B$4:$B$21,'Balizador da Meta'!$C$4:$C$21)</f>
        <v>30</v>
      </c>
      <c r="S209" s="28">
        <f>S194*_xlfn.XLOOKUP($L209,'Balizador da Meta'!$B$4:$B$21,'Balizador da Meta'!$C$4:$C$21)</f>
        <v>30</v>
      </c>
      <c r="T209" s="28">
        <f>T194*_xlfn.XLOOKUP($L209,'Balizador da Meta'!$B$4:$B$21,'Balizador da Meta'!$C$4:$C$21)</f>
        <v>30</v>
      </c>
      <c r="U209" s="28">
        <f>U194*_xlfn.XLOOKUP($L209,'Balizador da Meta'!$B$4:$B$21,'Balizador da Meta'!$C$4:$C$21)</f>
        <v>30</v>
      </c>
      <c r="V209" s="28">
        <f>V194*_xlfn.XLOOKUP($L209,'Balizador da Meta'!$B$4:$B$21,'Balizador da Meta'!$C$4:$C$21)</f>
        <v>30</v>
      </c>
      <c r="W209" s="28">
        <f>W194*_xlfn.XLOOKUP($L209,'Balizador da Meta'!$B$4:$B$21,'Balizador da Meta'!$C$4:$C$21)</f>
        <v>30</v>
      </c>
      <c r="X209" s="28">
        <f>X194*_xlfn.XLOOKUP($L209,'Balizador da Meta'!$B$4:$B$21,'Balizador da Meta'!$C$4:$C$21)</f>
        <v>30</v>
      </c>
      <c r="Y209" s="28">
        <f>Y194*_xlfn.XLOOKUP($L209,'Balizador da Meta'!$B$4:$B$21,'Balizador da Meta'!$C$4:$C$21)</f>
        <v>30</v>
      </c>
      <c r="Z209" s="30">
        <f t="shared" si="51"/>
        <v>360</v>
      </c>
      <c r="AA209" s="29"/>
      <c r="AB209" s="31">
        <f>SUMIFS('Historico - FAT'!AK:AK,'Historico - FAT'!$K:$K,Faturamento!$L209,'Historico - FAT'!$I:$I,Faturamento!$J209,'Historico - FAT'!$G:$G,Faturamento!$H209)</f>
        <v>73.516666666666666</v>
      </c>
      <c r="AC209" s="31">
        <f>SUMIFS('Historico - FAT'!AL:AL,'Historico - FAT'!$K:$K,Faturamento!$L209,'Historico - FAT'!$I:$I,Faturamento!$J209,'Historico - FAT'!$G:$G,Faturamento!$H209)</f>
        <v>65.5625</v>
      </c>
      <c r="AD209" s="31">
        <f>SUMIFS('Historico - FAT'!AM:AM,'Historico - FAT'!$K:$K,Faturamento!$L209,'Historico - FAT'!$I:$I,Faturamento!$J209,'Historico - FAT'!$G:$G,Faturamento!$H209)</f>
        <v>131.125</v>
      </c>
      <c r="AE209" s="27">
        <f>SUMIFS('Historico - FAT'!AN:AN,'Historico - FAT'!$K:$K,Faturamento!$L209,'Historico - FAT'!$I:$I,Faturamento!$J209,'Historico - FAT'!$G:$G,Faturamento!$H209)</f>
        <v>78.674999999999997</v>
      </c>
      <c r="AG209" s="24">
        <f t="shared" si="46"/>
        <v>-1.4505555555555556</v>
      </c>
      <c r="AH209" s="24">
        <f t="shared" si="47"/>
        <v>-1.1854166666666666</v>
      </c>
      <c r="AI209" s="24">
        <f t="shared" si="48"/>
        <v>-3.3708333333333331</v>
      </c>
    </row>
    <row r="210" spans="1:35" hidden="1" x14ac:dyDescent="0.3">
      <c r="A210" s="2" t="str">
        <f t="shared" si="45"/>
        <v>NÃO</v>
      </c>
      <c r="B210" s="2">
        <v>1000184670</v>
      </c>
      <c r="C210" s="2" t="s">
        <v>147</v>
      </c>
      <c r="D210" s="4">
        <v>1000186197</v>
      </c>
      <c r="E210" s="4" t="s">
        <v>166</v>
      </c>
      <c r="F210" s="2">
        <v>1000185288</v>
      </c>
      <c r="G210" s="2" t="s">
        <v>64</v>
      </c>
      <c r="H210" s="4">
        <v>1000189807</v>
      </c>
      <c r="I210" s="4" t="s">
        <v>81</v>
      </c>
      <c r="J210" s="2">
        <v>1000189758</v>
      </c>
      <c r="K210" s="2" t="s">
        <v>159</v>
      </c>
      <c r="L210" s="4" t="s">
        <v>26</v>
      </c>
      <c r="M210" s="4" t="str">
        <f t="shared" si="52"/>
        <v>1000184670100018619710001898071000189758SOULPRO</v>
      </c>
      <c r="N210" s="28">
        <f>N194*_xlfn.XLOOKUP($L210,'Balizador da Meta'!$B$4:$B$21,'Balizador da Meta'!$C$4:$C$21)</f>
        <v>90</v>
      </c>
      <c r="O210" s="28">
        <f>O194*_xlfn.XLOOKUP($L210,'Balizador da Meta'!$B$4:$B$21,'Balizador da Meta'!$C$4:$C$21)</f>
        <v>90</v>
      </c>
      <c r="P210" s="28">
        <f>P194*_xlfn.XLOOKUP($L210,'Balizador da Meta'!$B$4:$B$21,'Balizador da Meta'!$C$4:$C$21)</f>
        <v>90</v>
      </c>
      <c r="Q210" s="28">
        <f>Q194*_xlfn.XLOOKUP($L210,'Balizador da Meta'!$B$4:$B$21,'Balizador da Meta'!$C$4:$C$21)</f>
        <v>90</v>
      </c>
      <c r="R210" s="28">
        <f>R194*_xlfn.XLOOKUP($L210,'Balizador da Meta'!$B$4:$B$21,'Balizador da Meta'!$C$4:$C$21)</f>
        <v>90</v>
      </c>
      <c r="S210" s="28">
        <f>S194*_xlfn.XLOOKUP($L210,'Balizador da Meta'!$B$4:$B$21,'Balizador da Meta'!$C$4:$C$21)</f>
        <v>90</v>
      </c>
      <c r="T210" s="28">
        <f>T194*_xlfn.XLOOKUP($L210,'Balizador da Meta'!$B$4:$B$21,'Balizador da Meta'!$C$4:$C$21)</f>
        <v>90</v>
      </c>
      <c r="U210" s="28">
        <f>U194*_xlfn.XLOOKUP($L210,'Balizador da Meta'!$B$4:$B$21,'Balizador da Meta'!$C$4:$C$21)</f>
        <v>90</v>
      </c>
      <c r="V210" s="28">
        <f>V194*_xlfn.XLOOKUP($L210,'Balizador da Meta'!$B$4:$B$21,'Balizador da Meta'!$C$4:$C$21)</f>
        <v>90</v>
      </c>
      <c r="W210" s="28">
        <f>W194*_xlfn.XLOOKUP($L210,'Balizador da Meta'!$B$4:$B$21,'Balizador da Meta'!$C$4:$C$21)</f>
        <v>90</v>
      </c>
      <c r="X210" s="28">
        <f>X194*_xlfn.XLOOKUP($L210,'Balizador da Meta'!$B$4:$B$21,'Balizador da Meta'!$C$4:$C$21)</f>
        <v>90</v>
      </c>
      <c r="Y210" s="28">
        <f>Y194*_xlfn.XLOOKUP($L210,'Balizador da Meta'!$B$4:$B$21,'Balizador da Meta'!$C$4:$C$21)</f>
        <v>90</v>
      </c>
      <c r="Z210" s="30">
        <f t="shared" si="51"/>
        <v>1080</v>
      </c>
      <c r="AA210" s="29"/>
      <c r="AB210" s="31">
        <f>SUMIFS('Historico - FAT'!AK:AK,'Historico - FAT'!$K:$K,Faturamento!$L210,'Historico - FAT'!$I:$I,Faturamento!$J210,'Historico - FAT'!$G:$G,Faturamento!$H210)</f>
        <v>0</v>
      </c>
      <c r="AC210" s="31">
        <f>SUMIFS('Historico - FAT'!AL:AL,'Historico - FAT'!$K:$K,Faturamento!$L210,'Historico - FAT'!$I:$I,Faturamento!$J210,'Historico - FAT'!$G:$G,Faturamento!$H210)</f>
        <v>0</v>
      </c>
      <c r="AD210" s="31">
        <f>SUMIFS('Historico - FAT'!AM:AM,'Historico - FAT'!$K:$K,Faturamento!$L210,'Historico - FAT'!$I:$I,Faturamento!$J210,'Historico - FAT'!$G:$G,Faturamento!$H210)</f>
        <v>0</v>
      </c>
      <c r="AE210" s="27">
        <f>SUMIFS('Historico - FAT'!AN:AN,'Historico - FAT'!$K:$K,Faturamento!$L210,'Historico - FAT'!$I:$I,Faturamento!$J210,'Historico - FAT'!$G:$G,Faturamento!$H210)</f>
        <v>0</v>
      </c>
      <c r="AG210" s="24">
        <f t="shared" si="46"/>
        <v>1</v>
      </c>
      <c r="AH210" s="24">
        <f t="shared" si="47"/>
        <v>1</v>
      </c>
      <c r="AI210" s="24">
        <f t="shared" si="48"/>
        <v>1</v>
      </c>
    </row>
    <row r="211" spans="1:35" hidden="1" x14ac:dyDescent="0.3">
      <c r="A211" s="2" t="str">
        <f t="shared" si="45"/>
        <v>NÃO</v>
      </c>
      <c r="B211" s="2">
        <v>1000184670</v>
      </c>
      <c r="C211" s="2" t="s">
        <v>147</v>
      </c>
      <c r="D211" s="4">
        <v>1000186197</v>
      </c>
      <c r="E211" s="4" t="s">
        <v>166</v>
      </c>
      <c r="F211" s="2">
        <v>1000185288</v>
      </c>
      <c r="G211" s="2" t="s">
        <v>64</v>
      </c>
      <c r="H211" s="4">
        <v>1000189807</v>
      </c>
      <c r="I211" s="4" t="s">
        <v>81</v>
      </c>
      <c r="J211" s="2">
        <v>1000189758</v>
      </c>
      <c r="K211" s="2" t="s">
        <v>159</v>
      </c>
      <c r="L211" s="4" t="s">
        <v>27</v>
      </c>
      <c r="M211" s="4" t="str">
        <f t="shared" si="52"/>
        <v>1000184670100018619710001898071000189758TAMARA</v>
      </c>
      <c r="N211" s="28">
        <f>N194*_xlfn.XLOOKUP($L211,'Balizador da Meta'!$B$4:$B$21,'Balizador da Meta'!$C$4:$C$21)</f>
        <v>120</v>
      </c>
      <c r="O211" s="28">
        <f>O194*_xlfn.XLOOKUP($L211,'Balizador da Meta'!$B$4:$B$21,'Balizador da Meta'!$C$4:$C$21)</f>
        <v>120</v>
      </c>
      <c r="P211" s="28">
        <f>P194*_xlfn.XLOOKUP($L211,'Balizador da Meta'!$B$4:$B$21,'Balizador da Meta'!$C$4:$C$21)</f>
        <v>120</v>
      </c>
      <c r="Q211" s="28">
        <f>Q194*_xlfn.XLOOKUP($L211,'Balizador da Meta'!$B$4:$B$21,'Balizador da Meta'!$C$4:$C$21)</f>
        <v>120</v>
      </c>
      <c r="R211" s="28">
        <f>R194*_xlfn.XLOOKUP($L211,'Balizador da Meta'!$B$4:$B$21,'Balizador da Meta'!$C$4:$C$21)</f>
        <v>120</v>
      </c>
      <c r="S211" s="28">
        <f>S194*_xlfn.XLOOKUP($L211,'Balizador da Meta'!$B$4:$B$21,'Balizador da Meta'!$C$4:$C$21)</f>
        <v>120</v>
      </c>
      <c r="T211" s="28">
        <f>T194*_xlfn.XLOOKUP($L211,'Balizador da Meta'!$B$4:$B$21,'Balizador da Meta'!$C$4:$C$21)</f>
        <v>120</v>
      </c>
      <c r="U211" s="28">
        <f>U194*_xlfn.XLOOKUP($L211,'Balizador da Meta'!$B$4:$B$21,'Balizador da Meta'!$C$4:$C$21)</f>
        <v>120</v>
      </c>
      <c r="V211" s="28">
        <f>V194*_xlfn.XLOOKUP($L211,'Balizador da Meta'!$B$4:$B$21,'Balizador da Meta'!$C$4:$C$21)</f>
        <v>120</v>
      </c>
      <c r="W211" s="28">
        <f>W194*_xlfn.XLOOKUP($L211,'Balizador da Meta'!$B$4:$B$21,'Balizador da Meta'!$C$4:$C$21)</f>
        <v>120</v>
      </c>
      <c r="X211" s="28">
        <f>X194*_xlfn.XLOOKUP($L211,'Balizador da Meta'!$B$4:$B$21,'Balizador da Meta'!$C$4:$C$21)</f>
        <v>120</v>
      </c>
      <c r="Y211" s="28">
        <f>Y194*_xlfn.XLOOKUP($L211,'Balizador da Meta'!$B$4:$B$21,'Balizador da Meta'!$C$4:$C$21)</f>
        <v>120</v>
      </c>
      <c r="Z211" s="30">
        <f t="shared" si="51"/>
        <v>1440</v>
      </c>
      <c r="AA211" s="29"/>
      <c r="AB211" s="31">
        <f>SUMIFS('Historico - FAT'!AK:AK,'Historico - FAT'!$K:$K,Faturamento!$L211,'Historico - FAT'!$I:$I,Faturamento!$J211,'Historico - FAT'!$G:$G,Faturamento!$H211)</f>
        <v>0</v>
      </c>
      <c r="AC211" s="31">
        <f>SUMIFS('Historico - FAT'!AL:AL,'Historico - FAT'!$K:$K,Faturamento!$L211,'Historico - FAT'!$I:$I,Faturamento!$J211,'Historico - FAT'!$G:$G,Faturamento!$H211)</f>
        <v>0</v>
      </c>
      <c r="AD211" s="31">
        <f>SUMIFS('Historico - FAT'!AM:AM,'Historico - FAT'!$K:$K,Faturamento!$L211,'Historico - FAT'!$I:$I,Faturamento!$J211,'Historico - FAT'!$G:$G,Faturamento!$H211)</f>
        <v>0</v>
      </c>
      <c r="AE211" s="27">
        <f>SUMIFS('Historico - FAT'!AN:AN,'Historico - FAT'!$K:$K,Faturamento!$L211,'Historico - FAT'!$I:$I,Faturamento!$J211,'Historico - FAT'!$G:$G,Faturamento!$H211)</f>
        <v>0</v>
      </c>
      <c r="AG211" s="24">
        <f t="shared" si="46"/>
        <v>1</v>
      </c>
      <c r="AH211" s="24">
        <f t="shared" si="47"/>
        <v>1</v>
      </c>
      <c r="AI211" s="24">
        <f t="shared" si="48"/>
        <v>1</v>
      </c>
    </row>
    <row r="212" spans="1:35" hidden="1" x14ac:dyDescent="0.3">
      <c r="A212" s="2" t="str">
        <f t="shared" si="45"/>
        <v>NÃO</v>
      </c>
      <c r="B212" s="2">
        <v>1000184670</v>
      </c>
      <c r="C212" s="2" t="s">
        <v>147</v>
      </c>
      <c r="D212" s="4">
        <v>1000186197</v>
      </c>
      <c r="E212" s="4" t="s">
        <v>166</v>
      </c>
      <c r="F212" s="2">
        <v>1000185288</v>
      </c>
      <c r="G212" s="2" t="s">
        <v>64</v>
      </c>
      <c r="H212" s="4">
        <v>1000189807</v>
      </c>
      <c r="I212" s="4" t="s">
        <v>81</v>
      </c>
      <c r="J212" s="2">
        <v>1000189758</v>
      </c>
      <c r="K212" s="2" t="s">
        <v>159</v>
      </c>
      <c r="L212" s="4" t="s">
        <v>25</v>
      </c>
      <c r="M212" s="4" t="str">
        <f t="shared" si="52"/>
        <v>1000184670100018619710001898071000189758VICCIO</v>
      </c>
      <c r="N212" s="28">
        <f>N194*_xlfn.XLOOKUP($L212,'Balizador da Meta'!$B$4:$B$21,'Balizador da Meta'!$C$4:$C$21)</f>
        <v>45</v>
      </c>
      <c r="O212" s="28">
        <f>O194*_xlfn.XLOOKUP($L212,'Balizador da Meta'!$B$4:$B$21,'Balizador da Meta'!$C$4:$C$21)</f>
        <v>45</v>
      </c>
      <c r="P212" s="28">
        <f>P194*_xlfn.XLOOKUP($L212,'Balizador da Meta'!$B$4:$B$21,'Balizador da Meta'!$C$4:$C$21)</f>
        <v>45</v>
      </c>
      <c r="Q212" s="28">
        <f>Q194*_xlfn.XLOOKUP($L212,'Balizador da Meta'!$B$4:$B$21,'Balizador da Meta'!$C$4:$C$21)</f>
        <v>45</v>
      </c>
      <c r="R212" s="28">
        <f>R194*_xlfn.XLOOKUP($L212,'Balizador da Meta'!$B$4:$B$21,'Balizador da Meta'!$C$4:$C$21)</f>
        <v>45</v>
      </c>
      <c r="S212" s="28">
        <f>S194*_xlfn.XLOOKUP($L212,'Balizador da Meta'!$B$4:$B$21,'Balizador da Meta'!$C$4:$C$21)</f>
        <v>45</v>
      </c>
      <c r="T212" s="28">
        <f>T194*_xlfn.XLOOKUP($L212,'Balizador da Meta'!$B$4:$B$21,'Balizador da Meta'!$C$4:$C$21)</f>
        <v>45</v>
      </c>
      <c r="U212" s="28">
        <f>U194*_xlfn.XLOOKUP($L212,'Balizador da Meta'!$B$4:$B$21,'Balizador da Meta'!$C$4:$C$21)</f>
        <v>45</v>
      </c>
      <c r="V212" s="28">
        <f>V194*_xlfn.XLOOKUP($L212,'Balizador da Meta'!$B$4:$B$21,'Balizador da Meta'!$C$4:$C$21)</f>
        <v>45</v>
      </c>
      <c r="W212" s="28">
        <f>W194*_xlfn.XLOOKUP($L212,'Balizador da Meta'!$B$4:$B$21,'Balizador da Meta'!$C$4:$C$21)</f>
        <v>45</v>
      </c>
      <c r="X212" s="28">
        <f>X194*_xlfn.XLOOKUP($L212,'Balizador da Meta'!$B$4:$B$21,'Balizador da Meta'!$C$4:$C$21)</f>
        <v>45</v>
      </c>
      <c r="Y212" s="28">
        <f>Y194*_xlfn.XLOOKUP($L212,'Balizador da Meta'!$B$4:$B$21,'Balizador da Meta'!$C$4:$C$21)</f>
        <v>45</v>
      </c>
      <c r="Z212" s="30">
        <f t="shared" si="51"/>
        <v>540</v>
      </c>
      <c r="AA212" s="29"/>
      <c r="AB212" s="31">
        <f>SUMIFS('Historico - FAT'!AK:AK,'Historico - FAT'!$K:$K,Faturamento!$L212,'Historico - FAT'!$I:$I,Faturamento!$J212,'Historico - FAT'!$G:$G,Faturamento!$H212)</f>
        <v>166.53</v>
      </c>
      <c r="AC212" s="31">
        <f>SUMIFS('Historico - FAT'!AL:AL,'Historico - FAT'!$K:$K,Faturamento!$L212,'Historico - FAT'!$I:$I,Faturamento!$J212,'Historico - FAT'!$G:$G,Faturamento!$H212)</f>
        <v>0</v>
      </c>
      <c r="AD212" s="31">
        <f>SUMIFS('Historico - FAT'!AM:AM,'Historico - FAT'!$K:$K,Faturamento!$L212,'Historico - FAT'!$I:$I,Faturamento!$J212,'Historico - FAT'!$G:$G,Faturamento!$H212)</f>
        <v>0</v>
      </c>
      <c r="AE212" s="27">
        <f>SUMIFS('Historico - FAT'!AN:AN,'Historico - FAT'!$K:$K,Faturamento!$L212,'Historico - FAT'!$I:$I,Faturamento!$J212,'Historico - FAT'!$G:$G,Faturamento!$H212)</f>
        <v>0</v>
      </c>
      <c r="AG212" s="24">
        <f t="shared" si="46"/>
        <v>-2.7006666666666668</v>
      </c>
      <c r="AH212" s="24">
        <f t="shared" si="47"/>
        <v>1</v>
      </c>
      <c r="AI212" s="24">
        <f t="shared" si="48"/>
        <v>1</v>
      </c>
    </row>
    <row r="213" spans="1:35" x14ac:dyDescent="0.3">
      <c r="A213" s="2" t="str">
        <f t="shared" si="45"/>
        <v>SIM</v>
      </c>
      <c r="B213" s="2">
        <v>1000184670</v>
      </c>
      <c r="C213" s="2" t="s">
        <v>147</v>
      </c>
      <c r="D213" s="4">
        <v>1000185711</v>
      </c>
      <c r="E213" s="4" t="s">
        <v>167</v>
      </c>
      <c r="F213" s="2">
        <v>1000184764</v>
      </c>
      <c r="G213" s="2" t="s">
        <v>70</v>
      </c>
      <c r="H213" s="4">
        <v>1000189818</v>
      </c>
      <c r="I213" s="4" t="s">
        <v>72</v>
      </c>
      <c r="J213" s="2">
        <v>1000189759</v>
      </c>
      <c r="K213" s="2" t="s">
        <v>155</v>
      </c>
      <c r="L213" s="4" t="s">
        <v>124</v>
      </c>
      <c r="M213" s="4" t="str">
        <f t="shared" si="52"/>
        <v>100018467010001857111000189818100018975901. TOTAL</v>
      </c>
      <c r="N213" s="28">
        <f>SUMIFS(Positivação!L:L,Positivação!$I:$I,Faturamento!$J213,Positivação!$G:$G,Faturamento!$H213)*SUMIFS(Positivação!$Z:$Z,Positivação!$I:$I,Faturamento!$J213,Positivação!$G:$G,Faturamento!$H213)</f>
        <v>0</v>
      </c>
      <c r="O213" s="28">
        <f>SUMIFS(Positivação!M:M,Positivação!$I:$I,Faturamento!$J213,Positivação!$G:$G,Faturamento!$H213)*SUMIFS(Positivação!$Z:$Z,Positivação!$I:$I,Faturamento!$J213,Positivação!$G:$G,Faturamento!$H213)</f>
        <v>0</v>
      </c>
      <c r="P213" s="28">
        <f>SUMIFS(Positivação!N:N,Positivação!$I:$I,Faturamento!$J213,Positivação!$G:$G,Faturamento!$H213)*SUMIFS(Positivação!$Z:$Z,Positivação!$I:$I,Faturamento!$J213,Positivação!$G:$G,Faturamento!$H213)</f>
        <v>0</v>
      </c>
      <c r="Q213" s="28">
        <f>SUMIFS(Positivação!O:O,Positivação!$I:$I,Faturamento!$J213,Positivação!$G:$G,Faturamento!$H213)*SUMIFS(Positivação!$Z:$Z,Positivação!$I:$I,Faturamento!$J213,Positivação!$G:$G,Faturamento!$H213)</f>
        <v>0</v>
      </c>
      <c r="R213" s="28">
        <f>SUMIFS(Positivação!P:P,Positivação!$I:$I,Faturamento!$J213,Positivação!$G:$G,Faturamento!$H213)*SUMIFS(Positivação!$Z:$Z,Positivação!$I:$I,Faturamento!$J213,Positivação!$G:$G,Faturamento!$H213)</f>
        <v>0</v>
      </c>
      <c r="S213" s="28">
        <f>SUMIFS(Positivação!Q:Q,Positivação!$I:$I,Faturamento!$J213,Positivação!$G:$G,Faturamento!$H213)*SUMIFS(Positivação!$Z:$Z,Positivação!$I:$I,Faturamento!$J213,Positivação!$G:$G,Faturamento!$H213)</f>
        <v>0</v>
      </c>
      <c r="T213" s="28">
        <f>SUMIFS(Positivação!R:R,Positivação!$I:$I,Faturamento!$J213,Positivação!$G:$G,Faturamento!$H213)*SUMIFS(Positivação!$Z:$Z,Positivação!$I:$I,Faturamento!$J213,Positivação!$G:$G,Faturamento!$H213)</f>
        <v>0</v>
      </c>
      <c r="U213" s="28">
        <f>SUMIFS(Positivação!S:S,Positivação!$I:$I,Faturamento!$J213,Positivação!$G:$G,Faturamento!$H213)*SUMIFS(Positivação!$Z:$Z,Positivação!$I:$I,Faturamento!$J213,Positivação!$G:$G,Faturamento!$H213)</f>
        <v>0</v>
      </c>
      <c r="V213" s="28">
        <f>SUMIFS(Positivação!T:T,Positivação!$I:$I,Faturamento!$J213,Positivação!$G:$G,Faturamento!$H213)*SUMIFS(Positivação!$Z:$Z,Positivação!$I:$I,Faturamento!$J213,Positivação!$G:$G,Faturamento!$H213)</f>
        <v>0</v>
      </c>
      <c r="W213" s="28">
        <f>SUMIFS(Positivação!U:U,Positivação!$I:$I,Faturamento!$J213,Positivação!$G:$G,Faturamento!$H213)*SUMIFS(Positivação!$Z:$Z,Positivação!$I:$I,Faturamento!$J213,Positivação!$G:$G,Faturamento!$H213)</f>
        <v>0</v>
      </c>
      <c r="X213" s="28">
        <f>SUMIFS(Positivação!V:V,Positivação!$I:$I,Faturamento!$J213,Positivação!$G:$G,Faturamento!$H213)*SUMIFS(Positivação!$Z:$Z,Positivação!$I:$I,Faturamento!$J213,Positivação!$G:$G,Faturamento!$H213)</f>
        <v>0</v>
      </c>
      <c r="Y213" s="28">
        <f>SUMIFS(Positivação!W:W,Positivação!$I:$I,Faturamento!$J213,Positivação!$G:$G,Faturamento!$H213)*SUMIFS(Positivação!$Z:$Z,Positivação!$I:$I,Faturamento!$J213,Positivação!$G:$G,Faturamento!$H213)</f>
        <v>0</v>
      </c>
      <c r="Z213" s="28">
        <f t="shared" ref="Z213" si="53">SUM(Z214:Z231)</f>
        <v>0</v>
      </c>
      <c r="AA213" s="29"/>
      <c r="AB213" s="28">
        <f t="shared" ref="AB213:AE213" si="54">SUM(AB214:AB231)</f>
        <v>0</v>
      </c>
      <c r="AC213" s="28">
        <f t="shared" si="54"/>
        <v>0</v>
      </c>
      <c r="AD213" s="28">
        <f t="shared" si="54"/>
        <v>0</v>
      </c>
      <c r="AE213" s="28">
        <f t="shared" si="54"/>
        <v>0</v>
      </c>
      <c r="AG213" s="24" t="str">
        <f t="shared" si="46"/>
        <v/>
      </c>
      <c r="AH213" s="24" t="str">
        <f t="shared" si="47"/>
        <v/>
      </c>
      <c r="AI213" s="24" t="str">
        <f t="shared" si="48"/>
        <v/>
      </c>
    </row>
    <row r="214" spans="1:35" hidden="1" x14ac:dyDescent="0.3">
      <c r="A214" s="2" t="str">
        <f t="shared" si="45"/>
        <v>NÃO</v>
      </c>
      <c r="B214" s="2">
        <v>1000184670</v>
      </c>
      <c r="C214" s="2" t="s">
        <v>147</v>
      </c>
      <c r="D214" s="4">
        <v>1000185711</v>
      </c>
      <c r="E214" s="4" t="s">
        <v>167</v>
      </c>
      <c r="F214" s="2">
        <v>1000184764</v>
      </c>
      <c r="G214" s="2" t="s">
        <v>70</v>
      </c>
      <c r="H214" s="4">
        <v>1000189818</v>
      </c>
      <c r="I214" s="4" t="s">
        <v>72</v>
      </c>
      <c r="J214" s="2">
        <v>1000189759</v>
      </c>
      <c r="K214" s="2" t="s">
        <v>155</v>
      </c>
      <c r="L214" s="4" t="s">
        <v>13</v>
      </c>
      <c r="M214" s="4" t="str">
        <f t="shared" si="52"/>
        <v>1000184670100018571110001898181000189759BISCOITO</v>
      </c>
      <c r="N214" s="28">
        <f>N213*_xlfn.XLOOKUP($L214,'Balizador da Meta'!$B$4:$B$21,'Balizador da Meta'!$C$4:$C$21)</f>
        <v>0</v>
      </c>
      <c r="O214" s="28">
        <f>O213*_xlfn.XLOOKUP($L214,'Balizador da Meta'!$B$4:$B$21,'Balizador da Meta'!$C$4:$C$21)</f>
        <v>0</v>
      </c>
      <c r="P214" s="28">
        <f>P213*_xlfn.XLOOKUP($L214,'Balizador da Meta'!$B$4:$B$21,'Balizador da Meta'!$C$4:$C$21)</f>
        <v>0</v>
      </c>
      <c r="Q214" s="28">
        <f>Q213*_xlfn.XLOOKUP($L214,'Balizador da Meta'!$B$4:$B$21,'Balizador da Meta'!$C$4:$C$21)</f>
        <v>0</v>
      </c>
      <c r="R214" s="28">
        <f>R213*_xlfn.XLOOKUP($L214,'Balizador da Meta'!$B$4:$B$21,'Balizador da Meta'!$C$4:$C$21)</f>
        <v>0</v>
      </c>
      <c r="S214" s="28">
        <f>S213*_xlfn.XLOOKUP($L214,'Balizador da Meta'!$B$4:$B$21,'Balizador da Meta'!$C$4:$C$21)</f>
        <v>0</v>
      </c>
      <c r="T214" s="28">
        <f>T213*_xlfn.XLOOKUP($L214,'Balizador da Meta'!$B$4:$B$21,'Balizador da Meta'!$C$4:$C$21)</f>
        <v>0</v>
      </c>
      <c r="U214" s="28">
        <f>U213*_xlfn.XLOOKUP($L214,'Balizador da Meta'!$B$4:$B$21,'Balizador da Meta'!$C$4:$C$21)</f>
        <v>0</v>
      </c>
      <c r="V214" s="28">
        <f>V213*_xlfn.XLOOKUP($L214,'Balizador da Meta'!$B$4:$B$21,'Balizador da Meta'!$C$4:$C$21)</f>
        <v>0</v>
      </c>
      <c r="W214" s="28">
        <f>W213*_xlfn.XLOOKUP($L214,'Balizador da Meta'!$B$4:$B$21,'Balizador da Meta'!$C$4:$C$21)</f>
        <v>0</v>
      </c>
      <c r="X214" s="28">
        <f>X213*_xlfn.XLOOKUP($L214,'Balizador da Meta'!$B$4:$B$21,'Balizador da Meta'!$C$4:$C$21)</f>
        <v>0</v>
      </c>
      <c r="Y214" s="28">
        <f>Y213*_xlfn.XLOOKUP($L214,'Balizador da Meta'!$B$4:$B$21,'Balizador da Meta'!$C$4:$C$21)</f>
        <v>0</v>
      </c>
      <c r="Z214" s="30">
        <f t="shared" ref="Z214:Z231" si="55">SUM(N214:Y214)</f>
        <v>0</v>
      </c>
      <c r="AA214" s="29"/>
      <c r="AB214" s="31">
        <f>SUMIFS('Historico - FAT'!AK:AK,'Historico - FAT'!$K:$K,Faturamento!$L214,'Historico - FAT'!$I:$I,Faturamento!$J214,'Historico - FAT'!$G:$G,Faturamento!$H214)</f>
        <v>0</v>
      </c>
      <c r="AC214" s="31">
        <f>SUMIFS('Historico - FAT'!AL:AL,'Historico - FAT'!$K:$K,Faturamento!$L214,'Historico - FAT'!$I:$I,Faturamento!$J214,'Historico - FAT'!$G:$G,Faturamento!$H214)</f>
        <v>0</v>
      </c>
      <c r="AD214" s="31">
        <f>SUMIFS('Historico - FAT'!AM:AM,'Historico - FAT'!$K:$K,Faturamento!$L214,'Historico - FAT'!$I:$I,Faturamento!$J214,'Historico - FAT'!$G:$G,Faturamento!$H214)</f>
        <v>0</v>
      </c>
      <c r="AE214" s="27">
        <f>SUMIFS('Historico - FAT'!AN:AN,'Historico - FAT'!$K:$K,Faturamento!$L214,'Historico - FAT'!$I:$I,Faturamento!$J214,'Historico - FAT'!$G:$G,Faturamento!$H214)</f>
        <v>0</v>
      </c>
      <c r="AG214" s="24" t="str">
        <f t="shared" si="46"/>
        <v/>
      </c>
      <c r="AH214" s="24" t="str">
        <f t="shared" si="47"/>
        <v/>
      </c>
      <c r="AI214" s="24" t="str">
        <f t="shared" si="48"/>
        <v/>
      </c>
    </row>
    <row r="215" spans="1:35" hidden="1" x14ac:dyDescent="0.3">
      <c r="A215" s="2" t="str">
        <f t="shared" si="45"/>
        <v>NÃO</v>
      </c>
      <c r="B215" s="2">
        <v>1000184670</v>
      </c>
      <c r="C215" s="2" t="s">
        <v>147</v>
      </c>
      <c r="D215" s="4">
        <v>1000185711</v>
      </c>
      <c r="E215" s="4" t="s">
        <v>167</v>
      </c>
      <c r="F215" s="2">
        <v>1000184764</v>
      </c>
      <c r="G215" s="2" t="s">
        <v>70</v>
      </c>
      <c r="H215" s="4">
        <v>1000189818</v>
      </c>
      <c r="I215" s="4" t="s">
        <v>72</v>
      </c>
      <c r="J215" s="2">
        <v>1000189759</v>
      </c>
      <c r="K215" s="2" t="s">
        <v>155</v>
      </c>
      <c r="L215" s="4" t="s">
        <v>14</v>
      </c>
      <c r="M215" s="4" t="str">
        <f t="shared" si="52"/>
        <v>1000184670100018571110001898181000189759CHOCOLATES</v>
      </c>
      <c r="N215" s="28">
        <f>N213*_xlfn.XLOOKUP($L215,'Balizador da Meta'!$B$4:$B$21,'Balizador da Meta'!$C$4:$C$21)</f>
        <v>0</v>
      </c>
      <c r="O215" s="28">
        <f>O213*_xlfn.XLOOKUP($L215,'Balizador da Meta'!$B$4:$B$21,'Balizador da Meta'!$C$4:$C$21)</f>
        <v>0</v>
      </c>
      <c r="P215" s="28">
        <f>P213*_xlfn.XLOOKUP($L215,'Balizador da Meta'!$B$4:$B$21,'Balizador da Meta'!$C$4:$C$21)</f>
        <v>0</v>
      </c>
      <c r="Q215" s="28">
        <f>Q213*_xlfn.XLOOKUP($L215,'Balizador da Meta'!$B$4:$B$21,'Balizador da Meta'!$C$4:$C$21)</f>
        <v>0</v>
      </c>
      <c r="R215" s="28">
        <f>R213*_xlfn.XLOOKUP($L215,'Balizador da Meta'!$B$4:$B$21,'Balizador da Meta'!$C$4:$C$21)</f>
        <v>0</v>
      </c>
      <c r="S215" s="28">
        <f>S213*_xlfn.XLOOKUP($L215,'Balizador da Meta'!$B$4:$B$21,'Balizador da Meta'!$C$4:$C$21)</f>
        <v>0</v>
      </c>
      <c r="T215" s="28">
        <f>T213*_xlfn.XLOOKUP($L215,'Balizador da Meta'!$B$4:$B$21,'Balizador da Meta'!$C$4:$C$21)</f>
        <v>0</v>
      </c>
      <c r="U215" s="28">
        <f>U213*_xlfn.XLOOKUP($L215,'Balizador da Meta'!$B$4:$B$21,'Balizador da Meta'!$C$4:$C$21)</f>
        <v>0</v>
      </c>
      <c r="V215" s="28">
        <f>V213*_xlfn.XLOOKUP($L215,'Balizador da Meta'!$B$4:$B$21,'Balizador da Meta'!$C$4:$C$21)</f>
        <v>0</v>
      </c>
      <c r="W215" s="28">
        <f>W213*_xlfn.XLOOKUP($L215,'Balizador da Meta'!$B$4:$B$21,'Balizador da Meta'!$C$4:$C$21)</f>
        <v>0</v>
      </c>
      <c r="X215" s="28">
        <f>X213*_xlfn.XLOOKUP($L215,'Balizador da Meta'!$B$4:$B$21,'Balizador da Meta'!$C$4:$C$21)</f>
        <v>0</v>
      </c>
      <c r="Y215" s="28">
        <f>Y213*_xlfn.XLOOKUP($L215,'Balizador da Meta'!$B$4:$B$21,'Balizador da Meta'!$C$4:$C$21)</f>
        <v>0</v>
      </c>
      <c r="Z215" s="30">
        <f t="shared" si="55"/>
        <v>0</v>
      </c>
      <c r="AA215" s="29"/>
      <c r="AB215" s="31">
        <f>SUMIFS('Historico - FAT'!AK:AK,'Historico - FAT'!$K:$K,Faturamento!$L215,'Historico - FAT'!$I:$I,Faturamento!$J215,'Historico - FAT'!$G:$G,Faturamento!$H215)</f>
        <v>0</v>
      </c>
      <c r="AC215" s="31">
        <f>SUMIFS('Historico - FAT'!AL:AL,'Historico - FAT'!$K:$K,Faturamento!$L215,'Historico - FAT'!$I:$I,Faturamento!$J215,'Historico - FAT'!$G:$G,Faturamento!$H215)</f>
        <v>0</v>
      </c>
      <c r="AD215" s="31">
        <f>SUMIFS('Historico - FAT'!AM:AM,'Historico - FAT'!$K:$K,Faturamento!$L215,'Historico - FAT'!$I:$I,Faturamento!$J215,'Historico - FAT'!$G:$G,Faturamento!$H215)</f>
        <v>0</v>
      </c>
      <c r="AE215" s="27">
        <f>SUMIFS('Historico - FAT'!AN:AN,'Historico - FAT'!$K:$K,Faturamento!$L215,'Historico - FAT'!$I:$I,Faturamento!$J215,'Historico - FAT'!$G:$G,Faturamento!$H215)</f>
        <v>0</v>
      </c>
      <c r="AG215" s="24" t="str">
        <f t="shared" si="46"/>
        <v/>
      </c>
      <c r="AH215" s="24" t="str">
        <f t="shared" si="47"/>
        <v/>
      </c>
      <c r="AI215" s="24" t="str">
        <f t="shared" si="48"/>
        <v/>
      </c>
    </row>
    <row r="216" spans="1:35" hidden="1" x14ac:dyDescent="0.3">
      <c r="A216" s="2" t="str">
        <f t="shared" si="45"/>
        <v>NÃO</v>
      </c>
      <c r="B216" s="2">
        <v>1000184670</v>
      </c>
      <c r="C216" s="2" t="s">
        <v>147</v>
      </c>
      <c r="D216" s="4">
        <v>1000185711</v>
      </c>
      <c r="E216" s="4" t="s">
        <v>167</v>
      </c>
      <c r="F216" s="2">
        <v>1000184764</v>
      </c>
      <c r="G216" s="2" t="s">
        <v>70</v>
      </c>
      <c r="H216" s="4">
        <v>1000189818</v>
      </c>
      <c r="I216" s="4" t="s">
        <v>72</v>
      </c>
      <c r="J216" s="2">
        <v>1000189759</v>
      </c>
      <c r="K216" s="2" t="s">
        <v>155</v>
      </c>
      <c r="L216" s="4" t="s">
        <v>16</v>
      </c>
      <c r="M216" s="4" t="str">
        <f t="shared" si="52"/>
        <v>1000184670100018571110001898181000189759DISNEY</v>
      </c>
      <c r="N216" s="28">
        <f>N213*_xlfn.XLOOKUP($L216,'Balizador da Meta'!$B$4:$B$21,'Balizador da Meta'!$C$4:$C$21)</f>
        <v>0</v>
      </c>
      <c r="O216" s="28">
        <f>O213*_xlfn.XLOOKUP($L216,'Balizador da Meta'!$B$4:$B$21,'Balizador da Meta'!$C$4:$C$21)</f>
        <v>0</v>
      </c>
      <c r="P216" s="28">
        <f>P213*_xlfn.XLOOKUP($L216,'Balizador da Meta'!$B$4:$B$21,'Balizador da Meta'!$C$4:$C$21)</f>
        <v>0</v>
      </c>
      <c r="Q216" s="28">
        <f>Q213*_xlfn.XLOOKUP($L216,'Balizador da Meta'!$B$4:$B$21,'Balizador da Meta'!$C$4:$C$21)</f>
        <v>0</v>
      </c>
      <c r="R216" s="28">
        <f>R213*_xlfn.XLOOKUP($L216,'Balizador da Meta'!$B$4:$B$21,'Balizador da Meta'!$C$4:$C$21)</f>
        <v>0</v>
      </c>
      <c r="S216" s="28">
        <f>S213*_xlfn.XLOOKUP($L216,'Balizador da Meta'!$B$4:$B$21,'Balizador da Meta'!$C$4:$C$21)</f>
        <v>0</v>
      </c>
      <c r="T216" s="28">
        <f>T213*_xlfn.XLOOKUP($L216,'Balizador da Meta'!$B$4:$B$21,'Balizador da Meta'!$C$4:$C$21)</f>
        <v>0</v>
      </c>
      <c r="U216" s="28">
        <f>U213*_xlfn.XLOOKUP($L216,'Balizador da Meta'!$B$4:$B$21,'Balizador da Meta'!$C$4:$C$21)</f>
        <v>0</v>
      </c>
      <c r="V216" s="28">
        <f>V213*_xlfn.XLOOKUP($L216,'Balizador da Meta'!$B$4:$B$21,'Balizador da Meta'!$C$4:$C$21)</f>
        <v>0</v>
      </c>
      <c r="W216" s="28">
        <f>W213*_xlfn.XLOOKUP($L216,'Balizador da Meta'!$B$4:$B$21,'Balizador da Meta'!$C$4:$C$21)</f>
        <v>0</v>
      </c>
      <c r="X216" s="28">
        <f>X213*_xlfn.XLOOKUP($L216,'Balizador da Meta'!$B$4:$B$21,'Balizador da Meta'!$C$4:$C$21)</f>
        <v>0</v>
      </c>
      <c r="Y216" s="28">
        <f>Y213*_xlfn.XLOOKUP($L216,'Balizador da Meta'!$B$4:$B$21,'Balizador da Meta'!$C$4:$C$21)</f>
        <v>0</v>
      </c>
      <c r="Z216" s="30">
        <f t="shared" si="55"/>
        <v>0</v>
      </c>
      <c r="AA216" s="29"/>
      <c r="AB216" s="31">
        <f>SUMIFS('Historico - FAT'!AK:AK,'Historico - FAT'!$K:$K,Faturamento!$L216,'Historico - FAT'!$I:$I,Faturamento!$J216,'Historico - FAT'!$G:$G,Faturamento!$H216)</f>
        <v>0</v>
      </c>
      <c r="AC216" s="31">
        <f>SUMIFS('Historico - FAT'!AL:AL,'Historico - FAT'!$K:$K,Faturamento!$L216,'Historico - FAT'!$I:$I,Faturamento!$J216,'Historico - FAT'!$G:$G,Faturamento!$H216)</f>
        <v>0</v>
      </c>
      <c r="AD216" s="31">
        <f>SUMIFS('Historico - FAT'!AM:AM,'Historico - FAT'!$K:$K,Faturamento!$L216,'Historico - FAT'!$I:$I,Faturamento!$J216,'Historico - FAT'!$G:$G,Faturamento!$H216)</f>
        <v>0</v>
      </c>
      <c r="AE216" s="27">
        <f>SUMIFS('Historico - FAT'!AN:AN,'Historico - FAT'!$K:$K,Faturamento!$L216,'Historico - FAT'!$I:$I,Faturamento!$J216,'Historico - FAT'!$G:$G,Faturamento!$H216)</f>
        <v>0</v>
      </c>
      <c r="AG216" s="24" t="str">
        <f t="shared" si="46"/>
        <v/>
      </c>
      <c r="AH216" s="24" t="str">
        <f t="shared" si="47"/>
        <v/>
      </c>
      <c r="AI216" s="24" t="str">
        <f t="shared" si="48"/>
        <v/>
      </c>
    </row>
    <row r="217" spans="1:35" hidden="1" x14ac:dyDescent="0.3">
      <c r="A217" s="2" t="str">
        <f t="shared" si="45"/>
        <v>NÃO</v>
      </c>
      <c r="B217" s="2">
        <v>1000184670</v>
      </c>
      <c r="C217" s="2" t="s">
        <v>147</v>
      </c>
      <c r="D217" s="4">
        <v>1000185711</v>
      </c>
      <c r="E217" s="4" t="s">
        <v>167</v>
      </c>
      <c r="F217" s="2">
        <v>1000184764</v>
      </c>
      <c r="G217" s="2" t="s">
        <v>70</v>
      </c>
      <c r="H217" s="4">
        <v>1000189818</v>
      </c>
      <c r="I217" s="4" t="s">
        <v>72</v>
      </c>
      <c r="J217" s="2">
        <v>1000189759</v>
      </c>
      <c r="K217" s="2" t="s">
        <v>155</v>
      </c>
      <c r="L217" s="4" t="s">
        <v>15</v>
      </c>
      <c r="M217" s="4" t="str">
        <f t="shared" si="52"/>
        <v>1000184670100018571110001898181000189759DOCES</v>
      </c>
      <c r="N217" s="28">
        <f>N213*_xlfn.XLOOKUP($L217,'Balizador da Meta'!$B$4:$B$21,'Balizador da Meta'!$C$4:$C$21)</f>
        <v>0</v>
      </c>
      <c r="O217" s="28">
        <f>O213*_xlfn.XLOOKUP($L217,'Balizador da Meta'!$B$4:$B$21,'Balizador da Meta'!$C$4:$C$21)</f>
        <v>0</v>
      </c>
      <c r="P217" s="28">
        <f>P213*_xlfn.XLOOKUP($L217,'Balizador da Meta'!$B$4:$B$21,'Balizador da Meta'!$C$4:$C$21)</f>
        <v>0</v>
      </c>
      <c r="Q217" s="28">
        <f>Q213*_xlfn.XLOOKUP($L217,'Balizador da Meta'!$B$4:$B$21,'Balizador da Meta'!$C$4:$C$21)</f>
        <v>0</v>
      </c>
      <c r="R217" s="28">
        <f>R213*_xlfn.XLOOKUP($L217,'Balizador da Meta'!$B$4:$B$21,'Balizador da Meta'!$C$4:$C$21)</f>
        <v>0</v>
      </c>
      <c r="S217" s="28">
        <f>S213*_xlfn.XLOOKUP($L217,'Balizador da Meta'!$B$4:$B$21,'Balizador da Meta'!$C$4:$C$21)</f>
        <v>0</v>
      </c>
      <c r="T217" s="28">
        <f>T213*_xlfn.XLOOKUP($L217,'Balizador da Meta'!$B$4:$B$21,'Balizador da Meta'!$C$4:$C$21)</f>
        <v>0</v>
      </c>
      <c r="U217" s="28">
        <f>U213*_xlfn.XLOOKUP($L217,'Balizador da Meta'!$B$4:$B$21,'Balizador da Meta'!$C$4:$C$21)</f>
        <v>0</v>
      </c>
      <c r="V217" s="28">
        <f>V213*_xlfn.XLOOKUP($L217,'Balizador da Meta'!$B$4:$B$21,'Balizador da Meta'!$C$4:$C$21)</f>
        <v>0</v>
      </c>
      <c r="W217" s="28">
        <f>W213*_xlfn.XLOOKUP($L217,'Balizador da Meta'!$B$4:$B$21,'Balizador da Meta'!$C$4:$C$21)</f>
        <v>0</v>
      </c>
      <c r="X217" s="28">
        <f>X213*_xlfn.XLOOKUP($L217,'Balizador da Meta'!$B$4:$B$21,'Balizador da Meta'!$C$4:$C$21)</f>
        <v>0</v>
      </c>
      <c r="Y217" s="28">
        <f>Y213*_xlfn.XLOOKUP($L217,'Balizador da Meta'!$B$4:$B$21,'Balizador da Meta'!$C$4:$C$21)</f>
        <v>0</v>
      </c>
      <c r="Z217" s="30">
        <f t="shared" si="55"/>
        <v>0</v>
      </c>
      <c r="AA217" s="29"/>
      <c r="AB217" s="31">
        <f>SUMIFS('Historico - FAT'!AK:AK,'Historico - FAT'!$K:$K,Faturamento!$L217,'Historico - FAT'!$I:$I,Faturamento!$J217,'Historico - FAT'!$G:$G,Faturamento!$H217)</f>
        <v>0</v>
      </c>
      <c r="AC217" s="31">
        <f>SUMIFS('Historico - FAT'!AL:AL,'Historico - FAT'!$K:$K,Faturamento!$L217,'Historico - FAT'!$I:$I,Faturamento!$J217,'Historico - FAT'!$G:$G,Faturamento!$H217)</f>
        <v>0</v>
      </c>
      <c r="AD217" s="31">
        <f>SUMIFS('Historico - FAT'!AM:AM,'Historico - FAT'!$K:$K,Faturamento!$L217,'Historico - FAT'!$I:$I,Faturamento!$J217,'Historico - FAT'!$G:$G,Faturamento!$H217)</f>
        <v>0</v>
      </c>
      <c r="AE217" s="27">
        <f>SUMIFS('Historico - FAT'!AN:AN,'Historico - FAT'!$K:$K,Faturamento!$L217,'Historico - FAT'!$I:$I,Faturamento!$J217,'Historico - FAT'!$G:$G,Faturamento!$H217)</f>
        <v>0</v>
      </c>
      <c r="AG217" s="24" t="str">
        <f t="shared" si="46"/>
        <v/>
      </c>
      <c r="AH217" s="24" t="str">
        <f t="shared" si="47"/>
        <v/>
      </c>
      <c r="AI217" s="24" t="str">
        <f t="shared" si="48"/>
        <v/>
      </c>
    </row>
    <row r="218" spans="1:35" hidden="1" x14ac:dyDescent="0.3">
      <c r="A218" s="2" t="str">
        <f t="shared" si="45"/>
        <v>NÃO</v>
      </c>
      <c r="B218" s="2">
        <v>1000184670</v>
      </c>
      <c r="C218" s="2" t="s">
        <v>147</v>
      </c>
      <c r="D218" s="4">
        <v>1000185711</v>
      </c>
      <c r="E218" s="4" t="s">
        <v>167</v>
      </c>
      <c r="F218" s="2">
        <v>1000184764</v>
      </c>
      <c r="G218" s="2" t="s">
        <v>70</v>
      </c>
      <c r="H218" s="4">
        <v>1000189818</v>
      </c>
      <c r="I218" s="4" t="s">
        <v>72</v>
      </c>
      <c r="J218" s="2">
        <v>1000189759</v>
      </c>
      <c r="K218" s="2" t="s">
        <v>155</v>
      </c>
      <c r="L218" s="4" t="s">
        <v>33</v>
      </c>
      <c r="M218" s="4" t="str">
        <f t="shared" si="52"/>
        <v>1000184670100018571110001898181000189759FOOD SERVICE</v>
      </c>
      <c r="N218" s="28">
        <f>N213*_xlfn.XLOOKUP($L218,'Balizador da Meta'!$B$4:$B$21,'Balizador da Meta'!$C$4:$C$21)</f>
        <v>0</v>
      </c>
      <c r="O218" s="28">
        <f>O213*_xlfn.XLOOKUP($L218,'Balizador da Meta'!$B$4:$B$21,'Balizador da Meta'!$C$4:$C$21)</f>
        <v>0</v>
      </c>
      <c r="P218" s="28">
        <f>P213*_xlfn.XLOOKUP($L218,'Balizador da Meta'!$B$4:$B$21,'Balizador da Meta'!$C$4:$C$21)</f>
        <v>0</v>
      </c>
      <c r="Q218" s="28">
        <f>Q213*_xlfn.XLOOKUP($L218,'Balizador da Meta'!$B$4:$B$21,'Balizador da Meta'!$C$4:$C$21)</f>
        <v>0</v>
      </c>
      <c r="R218" s="28">
        <f>R213*_xlfn.XLOOKUP($L218,'Balizador da Meta'!$B$4:$B$21,'Balizador da Meta'!$C$4:$C$21)</f>
        <v>0</v>
      </c>
      <c r="S218" s="28">
        <f>S213*_xlfn.XLOOKUP($L218,'Balizador da Meta'!$B$4:$B$21,'Balizador da Meta'!$C$4:$C$21)</f>
        <v>0</v>
      </c>
      <c r="T218" s="28">
        <f>T213*_xlfn.XLOOKUP($L218,'Balizador da Meta'!$B$4:$B$21,'Balizador da Meta'!$C$4:$C$21)</f>
        <v>0</v>
      </c>
      <c r="U218" s="28">
        <f>U213*_xlfn.XLOOKUP($L218,'Balizador da Meta'!$B$4:$B$21,'Balizador da Meta'!$C$4:$C$21)</f>
        <v>0</v>
      </c>
      <c r="V218" s="28">
        <f>V213*_xlfn.XLOOKUP($L218,'Balizador da Meta'!$B$4:$B$21,'Balizador da Meta'!$C$4:$C$21)</f>
        <v>0</v>
      </c>
      <c r="W218" s="28">
        <f>W213*_xlfn.XLOOKUP($L218,'Balizador da Meta'!$B$4:$B$21,'Balizador da Meta'!$C$4:$C$21)</f>
        <v>0</v>
      </c>
      <c r="X218" s="28">
        <f>X213*_xlfn.XLOOKUP($L218,'Balizador da Meta'!$B$4:$B$21,'Balizador da Meta'!$C$4:$C$21)</f>
        <v>0</v>
      </c>
      <c r="Y218" s="28">
        <f>Y213*_xlfn.XLOOKUP($L218,'Balizador da Meta'!$B$4:$B$21,'Balizador da Meta'!$C$4:$C$21)</f>
        <v>0</v>
      </c>
      <c r="Z218" s="30">
        <f t="shared" si="55"/>
        <v>0</v>
      </c>
      <c r="AA218" s="29"/>
      <c r="AB218" s="31">
        <f>SUMIFS('Historico - FAT'!AK:AK,'Historico - FAT'!$K:$K,Faturamento!$L218,'Historico - FAT'!$I:$I,Faturamento!$J218,'Historico - FAT'!$G:$G,Faturamento!$H218)</f>
        <v>0</v>
      </c>
      <c r="AC218" s="31">
        <f>SUMIFS('Historico - FAT'!AL:AL,'Historico - FAT'!$K:$K,Faturamento!$L218,'Historico - FAT'!$I:$I,Faturamento!$J218,'Historico - FAT'!$G:$G,Faturamento!$H218)</f>
        <v>0</v>
      </c>
      <c r="AD218" s="31">
        <f>SUMIFS('Historico - FAT'!AM:AM,'Historico - FAT'!$K:$K,Faturamento!$L218,'Historico - FAT'!$I:$I,Faturamento!$J218,'Historico - FAT'!$G:$G,Faturamento!$H218)</f>
        <v>0</v>
      </c>
      <c r="AE218" s="27">
        <f>SUMIFS('Historico - FAT'!AN:AN,'Historico - FAT'!$K:$K,Faturamento!$L218,'Historico - FAT'!$I:$I,Faturamento!$J218,'Historico - FAT'!$G:$G,Faturamento!$H218)</f>
        <v>0</v>
      </c>
      <c r="AG218" s="24" t="str">
        <f t="shared" si="46"/>
        <v/>
      </c>
      <c r="AH218" s="24" t="str">
        <f t="shared" si="47"/>
        <v/>
      </c>
      <c r="AI218" s="24" t="str">
        <f t="shared" si="48"/>
        <v/>
      </c>
    </row>
    <row r="219" spans="1:35" hidden="1" x14ac:dyDescent="0.3">
      <c r="A219" s="2" t="str">
        <f t="shared" si="45"/>
        <v>NÃO</v>
      </c>
      <c r="B219" s="2">
        <v>1000184670</v>
      </c>
      <c r="C219" s="2" t="s">
        <v>147</v>
      </c>
      <c r="D219" s="4">
        <v>1000185711</v>
      </c>
      <c r="E219" s="4" t="s">
        <v>167</v>
      </c>
      <c r="F219" s="2">
        <v>1000184764</v>
      </c>
      <c r="G219" s="2" t="s">
        <v>70</v>
      </c>
      <c r="H219" s="4">
        <v>1000189818</v>
      </c>
      <c r="I219" s="4" t="s">
        <v>72</v>
      </c>
      <c r="J219" s="2">
        <v>1000189759</v>
      </c>
      <c r="K219" s="2" t="s">
        <v>155</v>
      </c>
      <c r="L219" s="4" t="s">
        <v>19</v>
      </c>
      <c r="M219" s="4" t="str">
        <f t="shared" si="52"/>
        <v>1000184670100018571110001898181000189759GELEIA</v>
      </c>
      <c r="N219" s="28">
        <f>N213*_xlfn.XLOOKUP($L219,'Balizador da Meta'!$B$4:$B$21,'Balizador da Meta'!$C$4:$C$21)</f>
        <v>0</v>
      </c>
      <c r="O219" s="28">
        <f>O213*_xlfn.XLOOKUP($L219,'Balizador da Meta'!$B$4:$B$21,'Balizador da Meta'!$C$4:$C$21)</f>
        <v>0</v>
      </c>
      <c r="P219" s="28">
        <f>P213*_xlfn.XLOOKUP($L219,'Balizador da Meta'!$B$4:$B$21,'Balizador da Meta'!$C$4:$C$21)</f>
        <v>0</v>
      </c>
      <c r="Q219" s="28">
        <f>Q213*_xlfn.XLOOKUP($L219,'Balizador da Meta'!$B$4:$B$21,'Balizador da Meta'!$C$4:$C$21)</f>
        <v>0</v>
      </c>
      <c r="R219" s="28">
        <f>R213*_xlfn.XLOOKUP($L219,'Balizador da Meta'!$B$4:$B$21,'Balizador da Meta'!$C$4:$C$21)</f>
        <v>0</v>
      </c>
      <c r="S219" s="28">
        <f>S213*_xlfn.XLOOKUP($L219,'Balizador da Meta'!$B$4:$B$21,'Balizador da Meta'!$C$4:$C$21)</f>
        <v>0</v>
      </c>
      <c r="T219" s="28">
        <f>T213*_xlfn.XLOOKUP($L219,'Balizador da Meta'!$B$4:$B$21,'Balizador da Meta'!$C$4:$C$21)</f>
        <v>0</v>
      </c>
      <c r="U219" s="28">
        <f>U213*_xlfn.XLOOKUP($L219,'Balizador da Meta'!$B$4:$B$21,'Balizador da Meta'!$C$4:$C$21)</f>
        <v>0</v>
      </c>
      <c r="V219" s="28">
        <f>V213*_xlfn.XLOOKUP($L219,'Balizador da Meta'!$B$4:$B$21,'Balizador da Meta'!$C$4:$C$21)</f>
        <v>0</v>
      </c>
      <c r="W219" s="28">
        <f>W213*_xlfn.XLOOKUP($L219,'Balizador da Meta'!$B$4:$B$21,'Balizador da Meta'!$C$4:$C$21)</f>
        <v>0</v>
      </c>
      <c r="X219" s="28">
        <f>X213*_xlfn.XLOOKUP($L219,'Balizador da Meta'!$B$4:$B$21,'Balizador da Meta'!$C$4:$C$21)</f>
        <v>0</v>
      </c>
      <c r="Y219" s="28">
        <f>Y213*_xlfn.XLOOKUP($L219,'Balizador da Meta'!$B$4:$B$21,'Balizador da Meta'!$C$4:$C$21)</f>
        <v>0</v>
      </c>
      <c r="Z219" s="30">
        <f t="shared" si="55"/>
        <v>0</v>
      </c>
      <c r="AA219" s="29"/>
      <c r="AB219" s="31">
        <f>SUMIFS('Historico - FAT'!AK:AK,'Historico - FAT'!$K:$K,Faturamento!$L219,'Historico - FAT'!$I:$I,Faturamento!$J219,'Historico - FAT'!$G:$G,Faturamento!$H219)</f>
        <v>0</v>
      </c>
      <c r="AC219" s="31">
        <f>SUMIFS('Historico - FAT'!AL:AL,'Historico - FAT'!$K:$K,Faturamento!$L219,'Historico - FAT'!$I:$I,Faturamento!$J219,'Historico - FAT'!$G:$G,Faturamento!$H219)</f>
        <v>0</v>
      </c>
      <c r="AD219" s="31">
        <f>SUMIFS('Historico - FAT'!AM:AM,'Historico - FAT'!$K:$K,Faturamento!$L219,'Historico - FAT'!$I:$I,Faturamento!$J219,'Historico - FAT'!$G:$G,Faturamento!$H219)</f>
        <v>0</v>
      </c>
      <c r="AE219" s="27">
        <f>SUMIFS('Historico - FAT'!AN:AN,'Historico - FAT'!$K:$K,Faturamento!$L219,'Historico - FAT'!$I:$I,Faturamento!$J219,'Historico - FAT'!$G:$G,Faturamento!$H219)</f>
        <v>0</v>
      </c>
      <c r="AG219" s="24" t="str">
        <f t="shared" si="46"/>
        <v/>
      </c>
      <c r="AH219" s="24" t="str">
        <f t="shared" si="47"/>
        <v/>
      </c>
      <c r="AI219" s="24" t="str">
        <f t="shared" si="48"/>
        <v/>
      </c>
    </row>
    <row r="220" spans="1:35" hidden="1" x14ac:dyDescent="0.3">
      <c r="A220" s="2" t="str">
        <f t="shared" si="45"/>
        <v>NÃO</v>
      </c>
      <c r="B220" s="2">
        <v>1000184670</v>
      </c>
      <c r="C220" s="2" t="s">
        <v>147</v>
      </c>
      <c r="D220" s="4">
        <v>1000185711</v>
      </c>
      <c r="E220" s="4" t="s">
        <v>167</v>
      </c>
      <c r="F220" s="2">
        <v>1000184764</v>
      </c>
      <c r="G220" s="2" t="s">
        <v>70</v>
      </c>
      <c r="H220" s="4">
        <v>1000189818</v>
      </c>
      <c r="I220" s="4" t="s">
        <v>72</v>
      </c>
      <c r="J220" s="2">
        <v>1000189759</v>
      </c>
      <c r="K220" s="2" t="s">
        <v>155</v>
      </c>
      <c r="L220" s="4" t="s">
        <v>17</v>
      </c>
      <c r="M220" s="4" t="str">
        <f t="shared" si="52"/>
        <v>1000184670100018571110001898181000189759GRANOLA</v>
      </c>
      <c r="N220" s="28">
        <f>N213*_xlfn.XLOOKUP($L220,'Balizador da Meta'!$B$4:$B$21,'Balizador da Meta'!$C$4:$C$21)</f>
        <v>0</v>
      </c>
      <c r="O220" s="28">
        <f>O213*_xlfn.XLOOKUP($L220,'Balizador da Meta'!$B$4:$B$21,'Balizador da Meta'!$C$4:$C$21)</f>
        <v>0</v>
      </c>
      <c r="P220" s="28">
        <f>P213*_xlfn.XLOOKUP($L220,'Balizador da Meta'!$B$4:$B$21,'Balizador da Meta'!$C$4:$C$21)</f>
        <v>0</v>
      </c>
      <c r="Q220" s="28">
        <f>Q213*_xlfn.XLOOKUP($L220,'Balizador da Meta'!$B$4:$B$21,'Balizador da Meta'!$C$4:$C$21)</f>
        <v>0</v>
      </c>
      <c r="R220" s="28">
        <f>R213*_xlfn.XLOOKUP($L220,'Balizador da Meta'!$B$4:$B$21,'Balizador da Meta'!$C$4:$C$21)</f>
        <v>0</v>
      </c>
      <c r="S220" s="28">
        <f>S213*_xlfn.XLOOKUP($L220,'Balizador da Meta'!$B$4:$B$21,'Balizador da Meta'!$C$4:$C$21)</f>
        <v>0</v>
      </c>
      <c r="T220" s="28">
        <f>T213*_xlfn.XLOOKUP($L220,'Balizador da Meta'!$B$4:$B$21,'Balizador da Meta'!$C$4:$C$21)</f>
        <v>0</v>
      </c>
      <c r="U220" s="28">
        <f>U213*_xlfn.XLOOKUP($L220,'Balizador da Meta'!$B$4:$B$21,'Balizador da Meta'!$C$4:$C$21)</f>
        <v>0</v>
      </c>
      <c r="V220" s="28">
        <f>V213*_xlfn.XLOOKUP($L220,'Balizador da Meta'!$B$4:$B$21,'Balizador da Meta'!$C$4:$C$21)</f>
        <v>0</v>
      </c>
      <c r="W220" s="28">
        <f>W213*_xlfn.XLOOKUP($L220,'Balizador da Meta'!$B$4:$B$21,'Balizador da Meta'!$C$4:$C$21)</f>
        <v>0</v>
      </c>
      <c r="X220" s="28">
        <f>X213*_xlfn.XLOOKUP($L220,'Balizador da Meta'!$B$4:$B$21,'Balizador da Meta'!$C$4:$C$21)</f>
        <v>0</v>
      </c>
      <c r="Y220" s="28">
        <f>Y213*_xlfn.XLOOKUP($L220,'Balizador da Meta'!$B$4:$B$21,'Balizador da Meta'!$C$4:$C$21)</f>
        <v>0</v>
      </c>
      <c r="Z220" s="30">
        <f t="shared" si="55"/>
        <v>0</v>
      </c>
      <c r="AA220" s="29"/>
      <c r="AB220" s="31">
        <f>SUMIFS('Historico - FAT'!AK:AK,'Historico - FAT'!$K:$K,Faturamento!$L220,'Historico - FAT'!$I:$I,Faturamento!$J220,'Historico - FAT'!$G:$G,Faturamento!$H220)</f>
        <v>0</v>
      </c>
      <c r="AC220" s="31">
        <f>SUMIFS('Historico - FAT'!AL:AL,'Historico - FAT'!$K:$K,Faturamento!$L220,'Historico - FAT'!$I:$I,Faturamento!$J220,'Historico - FAT'!$G:$G,Faturamento!$H220)</f>
        <v>0</v>
      </c>
      <c r="AD220" s="31">
        <f>SUMIFS('Historico - FAT'!AM:AM,'Historico - FAT'!$K:$K,Faturamento!$L220,'Historico - FAT'!$I:$I,Faturamento!$J220,'Historico - FAT'!$G:$G,Faturamento!$H220)</f>
        <v>0</v>
      </c>
      <c r="AE220" s="27">
        <f>SUMIFS('Historico - FAT'!AN:AN,'Historico - FAT'!$K:$K,Faturamento!$L220,'Historico - FAT'!$I:$I,Faturamento!$J220,'Historico - FAT'!$G:$G,Faturamento!$H220)</f>
        <v>0</v>
      </c>
      <c r="AG220" s="24" t="str">
        <f t="shared" si="46"/>
        <v/>
      </c>
      <c r="AH220" s="24" t="str">
        <f t="shared" si="47"/>
        <v/>
      </c>
      <c r="AI220" s="24" t="str">
        <f t="shared" si="48"/>
        <v/>
      </c>
    </row>
    <row r="221" spans="1:35" hidden="1" x14ac:dyDescent="0.3">
      <c r="A221" s="2" t="str">
        <f t="shared" si="45"/>
        <v>NÃO</v>
      </c>
      <c r="B221" s="2">
        <v>1000184670</v>
      </c>
      <c r="C221" s="2" t="s">
        <v>147</v>
      </c>
      <c r="D221" s="4">
        <v>1000185711</v>
      </c>
      <c r="E221" s="4" t="s">
        <v>167</v>
      </c>
      <c r="F221" s="2">
        <v>1000184764</v>
      </c>
      <c r="G221" s="2" t="s">
        <v>70</v>
      </c>
      <c r="H221" s="4">
        <v>1000189818</v>
      </c>
      <c r="I221" s="4" t="s">
        <v>72</v>
      </c>
      <c r="J221" s="2">
        <v>1000189759</v>
      </c>
      <c r="K221" s="2" t="s">
        <v>155</v>
      </c>
      <c r="L221" s="4" t="s">
        <v>24</v>
      </c>
      <c r="M221" s="4" t="str">
        <f t="shared" si="52"/>
        <v>1000184670100018571110001898181000189759KIDS</v>
      </c>
      <c r="N221" s="28">
        <f>N213*_xlfn.XLOOKUP($L221,'Balizador da Meta'!$B$4:$B$21,'Balizador da Meta'!$C$4:$C$21)</f>
        <v>0</v>
      </c>
      <c r="O221" s="28">
        <f>O213*_xlfn.XLOOKUP($L221,'Balizador da Meta'!$B$4:$B$21,'Balizador da Meta'!$C$4:$C$21)</f>
        <v>0</v>
      </c>
      <c r="P221" s="28">
        <f>P213*_xlfn.XLOOKUP($L221,'Balizador da Meta'!$B$4:$B$21,'Balizador da Meta'!$C$4:$C$21)</f>
        <v>0</v>
      </c>
      <c r="Q221" s="28">
        <f>Q213*_xlfn.XLOOKUP($L221,'Balizador da Meta'!$B$4:$B$21,'Balizador da Meta'!$C$4:$C$21)</f>
        <v>0</v>
      </c>
      <c r="R221" s="28">
        <f>R213*_xlfn.XLOOKUP($L221,'Balizador da Meta'!$B$4:$B$21,'Balizador da Meta'!$C$4:$C$21)</f>
        <v>0</v>
      </c>
      <c r="S221" s="28">
        <f>S213*_xlfn.XLOOKUP($L221,'Balizador da Meta'!$B$4:$B$21,'Balizador da Meta'!$C$4:$C$21)</f>
        <v>0</v>
      </c>
      <c r="T221" s="28">
        <f>T213*_xlfn.XLOOKUP($L221,'Balizador da Meta'!$B$4:$B$21,'Balizador da Meta'!$C$4:$C$21)</f>
        <v>0</v>
      </c>
      <c r="U221" s="28">
        <f>U213*_xlfn.XLOOKUP($L221,'Balizador da Meta'!$B$4:$B$21,'Balizador da Meta'!$C$4:$C$21)</f>
        <v>0</v>
      </c>
      <c r="V221" s="28">
        <f>V213*_xlfn.XLOOKUP($L221,'Balizador da Meta'!$B$4:$B$21,'Balizador da Meta'!$C$4:$C$21)</f>
        <v>0</v>
      </c>
      <c r="W221" s="28">
        <f>W213*_xlfn.XLOOKUP($L221,'Balizador da Meta'!$B$4:$B$21,'Balizador da Meta'!$C$4:$C$21)</f>
        <v>0</v>
      </c>
      <c r="X221" s="28">
        <f>X213*_xlfn.XLOOKUP($L221,'Balizador da Meta'!$B$4:$B$21,'Balizador da Meta'!$C$4:$C$21)</f>
        <v>0</v>
      </c>
      <c r="Y221" s="28">
        <f>Y213*_xlfn.XLOOKUP($L221,'Balizador da Meta'!$B$4:$B$21,'Balizador da Meta'!$C$4:$C$21)</f>
        <v>0</v>
      </c>
      <c r="Z221" s="30">
        <f t="shared" si="55"/>
        <v>0</v>
      </c>
      <c r="AA221" s="29"/>
      <c r="AB221" s="31">
        <f>SUMIFS('Historico - FAT'!AK:AK,'Historico - FAT'!$K:$K,Faturamento!$L221,'Historico - FAT'!$I:$I,Faturamento!$J221,'Historico - FAT'!$G:$G,Faturamento!$H221)</f>
        <v>0</v>
      </c>
      <c r="AC221" s="31">
        <f>SUMIFS('Historico - FAT'!AL:AL,'Historico - FAT'!$K:$K,Faturamento!$L221,'Historico - FAT'!$I:$I,Faturamento!$J221,'Historico - FAT'!$G:$G,Faturamento!$H221)</f>
        <v>0</v>
      </c>
      <c r="AD221" s="31">
        <f>SUMIFS('Historico - FAT'!AM:AM,'Historico - FAT'!$K:$K,Faturamento!$L221,'Historico - FAT'!$I:$I,Faturamento!$J221,'Historico - FAT'!$G:$G,Faturamento!$H221)</f>
        <v>0</v>
      </c>
      <c r="AE221" s="27">
        <f>SUMIFS('Historico - FAT'!AN:AN,'Historico - FAT'!$K:$K,Faturamento!$L221,'Historico - FAT'!$I:$I,Faturamento!$J221,'Historico - FAT'!$G:$G,Faturamento!$H221)</f>
        <v>0</v>
      </c>
      <c r="AG221" s="24" t="str">
        <f t="shared" si="46"/>
        <v/>
      </c>
      <c r="AH221" s="24" t="str">
        <f t="shared" si="47"/>
        <v/>
      </c>
      <c r="AI221" s="24" t="str">
        <f t="shared" si="48"/>
        <v/>
      </c>
    </row>
    <row r="222" spans="1:35" hidden="1" x14ac:dyDescent="0.3">
      <c r="A222" s="2" t="str">
        <f t="shared" si="45"/>
        <v>NÃO</v>
      </c>
      <c r="B222" s="2">
        <v>1000184670</v>
      </c>
      <c r="C222" s="2" t="s">
        <v>147</v>
      </c>
      <c r="D222" s="4">
        <v>1000185711</v>
      </c>
      <c r="E222" s="4" t="s">
        <v>167</v>
      </c>
      <c r="F222" s="2">
        <v>1000184764</v>
      </c>
      <c r="G222" s="2" t="s">
        <v>70</v>
      </c>
      <c r="H222" s="4">
        <v>1000189818</v>
      </c>
      <c r="I222" s="4" t="s">
        <v>72</v>
      </c>
      <c r="J222" s="2">
        <v>1000189759</v>
      </c>
      <c r="K222" s="2" t="s">
        <v>155</v>
      </c>
      <c r="L222" s="4" t="s">
        <v>18</v>
      </c>
      <c r="M222" s="4" t="str">
        <f t="shared" si="52"/>
        <v>1000184670100018571110001898181000189759LANCHES</v>
      </c>
      <c r="N222" s="28">
        <f>N213*_xlfn.XLOOKUP($L222,'Balizador da Meta'!$B$4:$B$21,'Balizador da Meta'!$C$4:$C$21)</f>
        <v>0</v>
      </c>
      <c r="O222" s="28">
        <f>O213*_xlfn.XLOOKUP($L222,'Balizador da Meta'!$B$4:$B$21,'Balizador da Meta'!$C$4:$C$21)</f>
        <v>0</v>
      </c>
      <c r="P222" s="28">
        <f>P213*_xlfn.XLOOKUP($L222,'Balizador da Meta'!$B$4:$B$21,'Balizador da Meta'!$C$4:$C$21)</f>
        <v>0</v>
      </c>
      <c r="Q222" s="28">
        <f>Q213*_xlfn.XLOOKUP($L222,'Balizador da Meta'!$B$4:$B$21,'Balizador da Meta'!$C$4:$C$21)</f>
        <v>0</v>
      </c>
      <c r="R222" s="28">
        <f>R213*_xlfn.XLOOKUP($L222,'Balizador da Meta'!$B$4:$B$21,'Balizador da Meta'!$C$4:$C$21)</f>
        <v>0</v>
      </c>
      <c r="S222" s="28">
        <f>S213*_xlfn.XLOOKUP($L222,'Balizador da Meta'!$B$4:$B$21,'Balizador da Meta'!$C$4:$C$21)</f>
        <v>0</v>
      </c>
      <c r="T222" s="28">
        <f>T213*_xlfn.XLOOKUP($L222,'Balizador da Meta'!$B$4:$B$21,'Balizador da Meta'!$C$4:$C$21)</f>
        <v>0</v>
      </c>
      <c r="U222" s="28">
        <f>U213*_xlfn.XLOOKUP($L222,'Balizador da Meta'!$B$4:$B$21,'Balizador da Meta'!$C$4:$C$21)</f>
        <v>0</v>
      </c>
      <c r="V222" s="28">
        <f>V213*_xlfn.XLOOKUP($L222,'Balizador da Meta'!$B$4:$B$21,'Balizador da Meta'!$C$4:$C$21)</f>
        <v>0</v>
      </c>
      <c r="W222" s="28">
        <f>W213*_xlfn.XLOOKUP($L222,'Balizador da Meta'!$B$4:$B$21,'Balizador da Meta'!$C$4:$C$21)</f>
        <v>0</v>
      </c>
      <c r="X222" s="28">
        <f>X213*_xlfn.XLOOKUP($L222,'Balizador da Meta'!$B$4:$B$21,'Balizador da Meta'!$C$4:$C$21)</f>
        <v>0</v>
      </c>
      <c r="Y222" s="28">
        <f>Y213*_xlfn.XLOOKUP($L222,'Balizador da Meta'!$B$4:$B$21,'Balizador da Meta'!$C$4:$C$21)</f>
        <v>0</v>
      </c>
      <c r="Z222" s="30">
        <f t="shared" si="55"/>
        <v>0</v>
      </c>
      <c r="AA222" s="29"/>
      <c r="AB222" s="31">
        <f>SUMIFS('Historico - FAT'!AK:AK,'Historico - FAT'!$K:$K,Faturamento!$L222,'Historico - FAT'!$I:$I,Faturamento!$J222,'Historico - FAT'!$G:$G,Faturamento!$H222)</f>
        <v>0</v>
      </c>
      <c r="AC222" s="31">
        <f>SUMIFS('Historico - FAT'!AL:AL,'Historico - FAT'!$K:$K,Faturamento!$L222,'Historico - FAT'!$I:$I,Faturamento!$J222,'Historico - FAT'!$G:$G,Faturamento!$H222)</f>
        <v>0</v>
      </c>
      <c r="AD222" s="31">
        <f>SUMIFS('Historico - FAT'!AM:AM,'Historico - FAT'!$K:$K,Faturamento!$L222,'Historico - FAT'!$I:$I,Faturamento!$J222,'Historico - FAT'!$G:$G,Faturamento!$H222)</f>
        <v>0</v>
      </c>
      <c r="AE222" s="27">
        <f>SUMIFS('Historico - FAT'!AN:AN,'Historico - FAT'!$K:$K,Faturamento!$L222,'Historico - FAT'!$I:$I,Faturamento!$J222,'Historico - FAT'!$G:$G,Faturamento!$H222)</f>
        <v>0</v>
      </c>
      <c r="AG222" s="24" t="str">
        <f t="shared" si="46"/>
        <v/>
      </c>
      <c r="AH222" s="24" t="str">
        <f t="shared" si="47"/>
        <v/>
      </c>
      <c r="AI222" s="24" t="str">
        <f t="shared" si="48"/>
        <v/>
      </c>
    </row>
    <row r="223" spans="1:35" hidden="1" x14ac:dyDescent="0.3">
      <c r="A223" s="2" t="str">
        <f t="shared" si="45"/>
        <v>NÃO</v>
      </c>
      <c r="B223" s="2">
        <v>1000184670</v>
      </c>
      <c r="C223" s="2" t="s">
        <v>147</v>
      </c>
      <c r="D223" s="4">
        <v>1000185711</v>
      </c>
      <c r="E223" s="4" t="s">
        <v>167</v>
      </c>
      <c r="F223" s="2">
        <v>1000184764</v>
      </c>
      <c r="G223" s="2" t="s">
        <v>70</v>
      </c>
      <c r="H223" s="4">
        <v>1000189818</v>
      </c>
      <c r="I223" s="4" t="s">
        <v>72</v>
      </c>
      <c r="J223" s="2">
        <v>1000189759</v>
      </c>
      <c r="K223" s="2" t="s">
        <v>155</v>
      </c>
      <c r="L223" s="4" t="s">
        <v>29</v>
      </c>
      <c r="M223" s="4" t="str">
        <f t="shared" si="52"/>
        <v>1000184670100018571110001898181000189759MAIS GRANEL</v>
      </c>
      <c r="N223" s="28">
        <f>N213*_xlfn.XLOOKUP($L223,'Balizador da Meta'!$B$4:$B$21,'Balizador da Meta'!$C$4:$C$21)</f>
        <v>0</v>
      </c>
      <c r="O223" s="28">
        <f>O213*_xlfn.XLOOKUP($L223,'Balizador da Meta'!$B$4:$B$21,'Balizador da Meta'!$C$4:$C$21)</f>
        <v>0</v>
      </c>
      <c r="P223" s="28">
        <f>P213*_xlfn.XLOOKUP($L223,'Balizador da Meta'!$B$4:$B$21,'Balizador da Meta'!$C$4:$C$21)</f>
        <v>0</v>
      </c>
      <c r="Q223" s="28">
        <f>Q213*_xlfn.XLOOKUP($L223,'Balizador da Meta'!$B$4:$B$21,'Balizador da Meta'!$C$4:$C$21)</f>
        <v>0</v>
      </c>
      <c r="R223" s="28">
        <f>R213*_xlfn.XLOOKUP($L223,'Balizador da Meta'!$B$4:$B$21,'Balizador da Meta'!$C$4:$C$21)</f>
        <v>0</v>
      </c>
      <c r="S223" s="28">
        <f>S213*_xlfn.XLOOKUP($L223,'Balizador da Meta'!$B$4:$B$21,'Balizador da Meta'!$C$4:$C$21)</f>
        <v>0</v>
      </c>
      <c r="T223" s="28">
        <f>T213*_xlfn.XLOOKUP($L223,'Balizador da Meta'!$B$4:$B$21,'Balizador da Meta'!$C$4:$C$21)</f>
        <v>0</v>
      </c>
      <c r="U223" s="28">
        <f>U213*_xlfn.XLOOKUP($L223,'Balizador da Meta'!$B$4:$B$21,'Balizador da Meta'!$C$4:$C$21)</f>
        <v>0</v>
      </c>
      <c r="V223" s="28">
        <f>V213*_xlfn.XLOOKUP($L223,'Balizador da Meta'!$B$4:$B$21,'Balizador da Meta'!$C$4:$C$21)</f>
        <v>0</v>
      </c>
      <c r="W223" s="28">
        <f>W213*_xlfn.XLOOKUP($L223,'Balizador da Meta'!$B$4:$B$21,'Balizador da Meta'!$C$4:$C$21)</f>
        <v>0</v>
      </c>
      <c r="X223" s="28">
        <f>X213*_xlfn.XLOOKUP($L223,'Balizador da Meta'!$B$4:$B$21,'Balizador da Meta'!$C$4:$C$21)</f>
        <v>0</v>
      </c>
      <c r="Y223" s="28">
        <f>Y213*_xlfn.XLOOKUP($L223,'Balizador da Meta'!$B$4:$B$21,'Balizador da Meta'!$C$4:$C$21)</f>
        <v>0</v>
      </c>
      <c r="Z223" s="30">
        <f t="shared" si="55"/>
        <v>0</v>
      </c>
      <c r="AA223" s="29"/>
      <c r="AB223" s="31">
        <f>SUMIFS('Historico - FAT'!AK:AK,'Historico - FAT'!$K:$K,Faturamento!$L223,'Historico - FAT'!$I:$I,Faturamento!$J223,'Historico - FAT'!$G:$G,Faturamento!$H223)</f>
        <v>0</v>
      </c>
      <c r="AC223" s="31">
        <f>SUMIFS('Historico - FAT'!AL:AL,'Historico - FAT'!$K:$K,Faturamento!$L223,'Historico - FAT'!$I:$I,Faturamento!$J223,'Historico - FAT'!$G:$G,Faturamento!$H223)</f>
        <v>0</v>
      </c>
      <c r="AD223" s="31">
        <f>SUMIFS('Historico - FAT'!AM:AM,'Historico - FAT'!$K:$K,Faturamento!$L223,'Historico - FAT'!$I:$I,Faturamento!$J223,'Historico - FAT'!$G:$G,Faturamento!$H223)</f>
        <v>0</v>
      </c>
      <c r="AE223" s="27">
        <f>SUMIFS('Historico - FAT'!AN:AN,'Historico - FAT'!$K:$K,Faturamento!$L223,'Historico - FAT'!$I:$I,Faturamento!$J223,'Historico - FAT'!$G:$G,Faturamento!$H223)</f>
        <v>0</v>
      </c>
      <c r="AG223" s="24" t="str">
        <f t="shared" si="46"/>
        <v/>
      </c>
      <c r="AH223" s="24" t="str">
        <f t="shared" si="47"/>
        <v/>
      </c>
      <c r="AI223" s="24" t="str">
        <f t="shared" si="48"/>
        <v/>
      </c>
    </row>
    <row r="224" spans="1:35" hidden="1" x14ac:dyDescent="0.3">
      <c r="A224" s="2" t="str">
        <f t="shared" si="45"/>
        <v>NÃO</v>
      </c>
      <c r="B224" s="2">
        <v>1000184670</v>
      </c>
      <c r="C224" s="2" t="s">
        <v>147</v>
      </c>
      <c r="D224" s="4">
        <v>1000185711</v>
      </c>
      <c r="E224" s="4" t="s">
        <v>167</v>
      </c>
      <c r="F224" s="2">
        <v>1000184764</v>
      </c>
      <c r="G224" s="2" t="s">
        <v>70</v>
      </c>
      <c r="H224" s="4">
        <v>1000189818</v>
      </c>
      <c r="I224" s="4" t="s">
        <v>72</v>
      </c>
      <c r="J224" s="2">
        <v>1000189759</v>
      </c>
      <c r="K224" s="2" t="s">
        <v>155</v>
      </c>
      <c r="L224" s="4" t="s">
        <v>21</v>
      </c>
      <c r="M224" s="4" t="str">
        <f t="shared" si="52"/>
        <v>1000184670100018571110001898181000189759NATURATTA</v>
      </c>
      <c r="N224" s="28">
        <f>N213*_xlfn.XLOOKUP($L224,'Balizador da Meta'!$B$4:$B$21,'Balizador da Meta'!$C$4:$C$21)</f>
        <v>0</v>
      </c>
      <c r="O224" s="28">
        <f>O213*_xlfn.XLOOKUP($L224,'Balizador da Meta'!$B$4:$B$21,'Balizador da Meta'!$C$4:$C$21)</f>
        <v>0</v>
      </c>
      <c r="P224" s="28">
        <f>P213*_xlfn.XLOOKUP($L224,'Balizador da Meta'!$B$4:$B$21,'Balizador da Meta'!$C$4:$C$21)</f>
        <v>0</v>
      </c>
      <c r="Q224" s="28">
        <f>Q213*_xlfn.XLOOKUP($L224,'Balizador da Meta'!$B$4:$B$21,'Balizador da Meta'!$C$4:$C$21)</f>
        <v>0</v>
      </c>
      <c r="R224" s="28">
        <f>R213*_xlfn.XLOOKUP($L224,'Balizador da Meta'!$B$4:$B$21,'Balizador da Meta'!$C$4:$C$21)</f>
        <v>0</v>
      </c>
      <c r="S224" s="28">
        <f>S213*_xlfn.XLOOKUP($L224,'Balizador da Meta'!$B$4:$B$21,'Balizador da Meta'!$C$4:$C$21)</f>
        <v>0</v>
      </c>
      <c r="T224" s="28">
        <f>T213*_xlfn.XLOOKUP($L224,'Balizador da Meta'!$B$4:$B$21,'Balizador da Meta'!$C$4:$C$21)</f>
        <v>0</v>
      </c>
      <c r="U224" s="28">
        <f>U213*_xlfn.XLOOKUP($L224,'Balizador da Meta'!$B$4:$B$21,'Balizador da Meta'!$C$4:$C$21)</f>
        <v>0</v>
      </c>
      <c r="V224" s="28">
        <f>V213*_xlfn.XLOOKUP($L224,'Balizador da Meta'!$B$4:$B$21,'Balizador da Meta'!$C$4:$C$21)</f>
        <v>0</v>
      </c>
      <c r="W224" s="28">
        <f>W213*_xlfn.XLOOKUP($L224,'Balizador da Meta'!$B$4:$B$21,'Balizador da Meta'!$C$4:$C$21)</f>
        <v>0</v>
      </c>
      <c r="X224" s="28">
        <f>X213*_xlfn.XLOOKUP($L224,'Balizador da Meta'!$B$4:$B$21,'Balizador da Meta'!$C$4:$C$21)</f>
        <v>0</v>
      </c>
      <c r="Y224" s="28">
        <f>Y213*_xlfn.XLOOKUP($L224,'Balizador da Meta'!$B$4:$B$21,'Balizador da Meta'!$C$4:$C$21)</f>
        <v>0</v>
      </c>
      <c r="Z224" s="30">
        <f t="shared" si="55"/>
        <v>0</v>
      </c>
      <c r="AA224" s="29"/>
      <c r="AB224" s="31">
        <f>SUMIFS('Historico - FAT'!AK:AK,'Historico - FAT'!$K:$K,Faturamento!$L224,'Historico - FAT'!$I:$I,Faturamento!$J224,'Historico - FAT'!$G:$G,Faturamento!$H224)</f>
        <v>0</v>
      </c>
      <c r="AC224" s="31">
        <f>SUMIFS('Historico - FAT'!AL:AL,'Historico - FAT'!$K:$K,Faturamento!$L224,'Historico - FAT'!$I:$I,Faturamento!$J224,'Historico - FAT'!$G:$G,Faturamento!$H224)</f>
        <v>0</v>
      </c>
      <c r="AD224" s="31">
        <f>SUMIFS('Historico - FAT'!AM:AM,'Historico - FAT'!$K:$K,Faturamento!$L224,'Historico - FAT'!$I:$I,Faturamento!$J224,'Historico - FAT'!$G:$G,Faturamento!$H224)</f>
        <v>0</v>
      </c>
      <c r="AE224" s="27">
        <f>SUMIFS('Historico - FAT'!AN:AN,'Historico - FAT'!$K:$K,Faturamento!$L224,'Historico - FAT'!$I:$I,Faturamento!$J224,'Historico - FAT'!$G:$G,Faturamento!$H224)</f>
        <v>0</v>
      </c>
      <c r="AG224" s="24" t="str">
        <f t="shared" si="46"/>
        <v/>
      </c>
      <c r="AH224" s="24" t="str">
        <f t="shared" si="47"/>
        <v/>
      </c>
      <c r="AI224" s="24" t="str">
        <f t="shared" si="48"/>
        <v/>
      </c>
    </row>
    <row r="225" spans="1:35" hidden="1" x14ac:dyDescent="0.3">
      <c r="A225" s="2" t="str">
        <f t="shared" si="45"/>
        <v>NÃO</v>
      </c>
      <c r="B225" s="2">
        <v>1000184670</v>
      </c>
      <c r="C225" s="2" t="s">
        <v>147</v>
      </c>
      <c r="D225" s="4">
        <v>1000185711</v>
      </c>
      <c r="E225" s="4" t="s">
        <v>167</v>
      </c>
      <c r="F225" s="2">
        <v>1000184764</v>
      </c>
      <c r="G225" s="2" t="s">
        <v>70</v>
      </c>
      <c r="H225" s="4">
        <v>1000189818</v>
      </c>
      <c r="I225" s="4" t="s">
        <v>72</v>
      </c>
      <c r="J225" s="2">
        <v>1000189759</v>
      </c>
      <c r="K225" s="2" t="s">
        <v>155</v>
      </c>
      <c r="L225" s="4" t="s">
        <v>20</v>
      </c>
      <c r="M225" s="4" t="str">
        <f t="shared" si="52"/>
        <v>1000184670100018571110001898181000189759REEMBALADOS</v>
      </c>
      <c r="N225" s="28">
        <f>N213*_xlfn.XLOOKUP($L225,'Balizador da Meta'!$B$4:$B$21,'Balizador da Meta'!$C$4:$C$21)</f>
        <v>0</v>
      </c>
      <c r="O225" s="28">
        <f>O213*_xlfn.XLOOKUP($L225,'Balizador da Meta'!$B$4:$B$21,'Balizador da Meta'!$C$4:$C$21)</f>
        <v>0</v>
      </c>
      <c r="P225" s="28">
        <f>P213*_xlfn.XLOOKUP($L225,'Balizador da Meta'!$B$4:$B$21,'Balizador da Meta'!$C$4:$C$21)</f>
        <v>0</v>
      </c>
      <c r="Q225" s="28">
        <f>Q213*_xlfn.XLOOKUP($L225,'Balizador da Meta'!$B$4:$B$21,'Balizador da Meta'!$C$4:$C$21)</f>
        <v>0</v>
      </c>
      <c r="R225" s="28">
        <f>R213*_xlfn.XLOOKUP($L225,'Balizador da Meta'!$B$4:$B$21,'Balizador da Meta'!$C$4:$C$21)</f>
        <v>0</v>
      </c>
      <c r="S225" s="28">
        <f>S213*_xlfn.XLOOKUP($L225,'Balizador da Meta'!$B$4:$B$21,'Balizador da Meta'!$C$4:$C$21)</f>
        <v>0</v>
      </c>
      <c r="T225" s="28">
        <f>T213*_xlfn.XLOOKUP($L225,'Balizador da Meta'!$B$4:$B$21,'Balizador da Meta'!$C$4:$C$21)</f>
        <v>0</v>
      </c>
      <c r="U225" s="28">
        <f>U213*_xlfn.XLOOKUP($L225,'Balizador da Meta'!$B$4:$B$21,'Balizador da Meta'!$C$4:$C$21)</f>
        <v>0</v>
      </c>
      <c r="V225" s="28">
        <f>V213*_xlfn.XLOOKUP($L225,'Balizador da Meta'!$B$4:$B$21,'Balizador da Meta'!$C$4:$C$21)</f>
        <v>0</v>
      </c>
      <c r="W225" s="28">
        <f>W213*_xlfn.XLOOKUP($L225,'Balizador da Meta'!$B$4:$B$21,'Balizador da Meta'!$C$4:$C$21)</f>
        <v>0</v>
      </c>
      <c r="X225" s="28">
        <f>X213*_xlfn.XLOOKUP($L225,'Balizador da Meta'!$B$4:$B$21,'Balizador da Meta'!$C$4:$C$21)</f>
        <v>0</v>
      </c>
      <c r="Y225" s="28">
        <f>Y213*_xlfn.XLOOKUP($L225,'Balizador da Meta'!$B$4:$B$21,'Balizador da Meta'!$C$4:$C$21)</f>
        <v>0</v>
      </c>
      <c r="Z225" s="30">
        <f t="shared" si="55"/>
        <v>0</v>
      </c>
      <c r="AA225" s="29"/>
      <c r="AB225" s="31">
        <f>SUMIFS('Historico - FAT'!AK:AK,'Historico - FAT'!$K:$K,Faturamento!$L225,'Historico - FAT'!$I:$I,Faturamento!$J225,'Historico - FAT'!$G:$G,Faturamento!$H225)</f>
        <v>0</v>
      </c>
      <c r="AC225" s="31">
        <f>SUMIFS('Historico - FAT'!AL:AL,'Historico - FAT'!$K:$K,Faturamento!$L225,'Historico - FAT'!$I:$I,Faturamento!$J225,'Historico - FAT'!$G:$G,Faturamento!$H225)</f>
        <v>0</v>
      </c>
      <c r="AD225" s="31">
        <f>SUMIFS('Historico - FAT'!AM:AM,'Historico - FAT'!$K:$K,Faturamento!$L225,'Historico - FAT'!$I:$I,Faturamento!$J225,'Historico - FAT'!$G:$G,Faturamento!$H225)</f>
        <v>0</v>
      </c>
      <c r="AE225" s="27">
        <f>SUMIFS('Historico - FAT'!AN:AN,'Historico - FAT'!$K:$K,Faturamento!$L225,'Historico - FAT'!$I:$I,Faturamento!$J225,'Historico - FAT'!$G:$G,Faturamento!$H225)</f>
        <v>0</v>
      </c>
      <c r="AG225" s="24" t="str">
        <f t="shared" si="46"/>
        <v/>
      </c>
      <c r="AH225" s="24" t="str">
        <f t="shared" si="47"/>
        <v/>
      </c>
      <c r="AI225" s="24" t="str">
        <f t="shared" si="48"/>
        <v/>
      </c>
    </row>
    <row r="226" spans="1:35" hidden="1" x14ac:dyDescent="0.3">
      <c r="A226" s="2" t="str">
        <f t="shared" si="45"/>
        <v>NÃO</v>
      </c>
      <c r="B226" s="2">
        <v>1000184670</v>
      </c>
      <c r="C226" s="2" t="s">
        <v>147</v>
      </c>
      <c r="D226" s="4">
        <v>1000185711</v>
      </c>
      <c r="E226" s="4" t="s">
        <v>167</v>
      </c>
      <c r="F226" s="2">
        <v>1000184764</v>
      </c>
      <c r="G226" s="2" t="s">
        <v>70</v>
      </c>
      <c r="H226" s="4">
        <v>1000189818</v>
      </c>
      <c r="I226" s="4" t="s">
        <v>72</v>
      </c>
      <c r="J226" s="2">
        <v>1000189759</v>
      </c>
      <c r="K226" s="2" t="s">
        <v>155</v>
      </c>
      <c r="L226" s="4" t="s">
        <v>22</v>
      </c>
      <c r="M226" s="4" t="str">
        <f t="shared" si="52"/>
        <v>1000184670100018571110001898181000189759S GLUTEN</v>
      </c>
      <c r="N226" s="28">
        <f>N213*_xlfn.XLOOKUP($L226,'Balizador da Meta'!$B$4:$B$21,'Balizador da Meta'!$C$4:$C$21)</f>
        <v>0</v>
      </c>
      <c r="O226" s="28">
        <f>O213*_xlfn.XLOOKUP($L226,'Balizador da Meta'!$B$4:$B$21,'Balizador da Meta'!$C$4:$C$21)</f>
        <v>0</v>
      </c>
      <c r="P226" s="28">
        <f>P213*_xlfn.XLOOKUP($L226,'Balizador da Meta'!$B$4:$B$21,'Balizador da Meta'!$C$4:$C$21)</f>
        <v>0</v>
      </c>
      <c r="Q226" s="28">
        <f>Q213*_xlfn.XLOOKUP($L226,'Balizador da Meta'!$B$4:$B$21,'Balizador da Meta'!$C$4:$C$21)</f>
        <v>0</v>
      </c>
      <c r="R226" s="28">
        <f>R213*_xlfn.XLOOKUP($L226,'Balizador da Meta'!$B$4:$B$21,'Balizador da Meta'!$C$4:$C$21)</f>
        <v>0</v>
      </c>
      <c r="S226" s="28">
        <f>S213*_xlfn.XLOOKUP($L226,'Balizador da Meta'!$B$4:$B$21,'Balizador da Meta'!$C$4:$C$21)</f>
        <v>0</v>
      </c>
      <c r="T226" s="28">
        <f>T213*_xlfn.XLOOKUP($L226,'Balizador da Meta'!$B$4:$B$21,'Balizador da Meta'!$C$4:$C$21)</f>
        <v>0</v>
      </c>
      <c r="U226" s="28">
        <f>U213*_xlfn.XLOOKUP($L226,'Balizador da Meta'!$B$4:$B$21,'Balizador da Meta'!$C$4:$C$21)</f>
        <v>0</v>
      </c>
      <c r="V226" s="28">
        <f>V213*_xlfn.XLOOKUP($L226,'Balizador da Meta'!$B$4:$B$21,'Balizador da Meta'!$C$4:$C$21)</f>
        <v>0</v>
      </c>
      <c r="W226" s="28">
        <f>W213*_xlfn.XLOOKUP($L226,'Balizador da Meta'!$B$4:$B$21,'Balizador da Meta'!$C$4:$C$21)</f>
        <v>0</v>
      </c>
      <c r="X226" s="28">
        <f>X213*_xlfn.XLOOKUP($L226,'Balizador da Meta'!$B$4:$B$21,'Balizador da Meta'!$C$4:$C$21)</f>
        <v>0</v>
      </c>
      <c r="Y226" s="28">
        <f>Y213*_xlfn.XLOOKUP($L226,'Balizador da Meta'!$B$4:$B$21,'Balizador da Meta'!$C$4:$C$21)</f>
        <v>0</v>
      </c>
      <c r="Z226" s="30">
        <f t="shared" si="55"/>
        <v>0</v>
      </c>
      <c r="AA226" s="29"/>
      <c r="AB226" s="31">
        <f>SUMIFS('Historico - FAT'!AK:AK,'Historico - FAT'!$K:$K,Faturamento!$L226,'Historico - FAT'!$I:$I,Faturamento!$J226,'Historico - FAT'!$G:$G,Faturamento!$H226)</f>
        <v>0</v>
      </c>
      <c r="AC226" s="31">
        <f>SUMIFS('Historico - FAT'!AL:AL,'Historico - FAT'!$K:$K,Faturamento!$L226,'Historico - FAT'!$I:$I,Faturamento!$J226,'Historico - FAT'!$G:$G,Faturamento!$H226)</f>
        <v>0</v>
      </c>
      <c r="AD226" s="31">
        <f>SUMIFS('Historico - FAT'!AM:AM,'Historico - FAT'!$K:$K,Faturamento!$L226,'Historico - FAT'!$I:$I,Faturamento!$J226,'Historico - FAT'!$G:$G,Faturamento!$H226)</f>
        <v>0</v>
      </c>
      <c r="AE226" s="27">
        <f>SUMIFS('Historico - FAT'!AN:AN,'Historico - FAT'!$K:$K,Faturamento!$L226,'Historico - FAT'!$I:$I,Faturamento!$J226,'Historico - FAT'!$G:$G,Faturamento!$H226)</f>
        <v>0</v>
      </c>
      <c r="AG226" s="24" t="str">
        <f t="shared" si="46"/>
        <v/>
      </c>
      <c r="AH226" s="24" t="str">
        <f t="shared" si="47"/>
        <v/>
      </c>
      <c r="AI226" s="24" t="str">
        <f t="shared" si="48"/>
        <v/>
      </c>
    </row>
    <row r="227" spans="1:35" hidden="1" x14ac:dyDescent="0.3">
      <c r="A227" s="2" t="str">
        <f t="shared" si="45"/>
        <v>NÃO</v>
      </c>
      <c r="B227" s="2">
        <v>1000184670</v>
      </c>
      <c r="C227" s="2" t="s">
        <v>147</v>
      </c>
      <c r="D227" s="4">
        <v>1000185711</v>
      </c>
      <c r="E227" s="4" t="s">
        <v>167</v>
      </c>
      <c r="F227" s="2">
        <v>1000184764</v>
      </c>
      <c r="G227" s="2" t="s">
        <v>70</v>
      </c>
      <c r="H227" s="4">
        <v>1000189818</v>
      </c>
      <c r="I227" s="4" t="s">
        <v>72</v>
      </c>
      <c r="J227" s="2">
        <v>1000189759</v>
      </c>
      <c r="K227" s="2" t="s">
        <v>155</v>
      </c>
      <c r="L227" s="4" t="s">
        <v>23</v>
      </c>
      <c r="M227" s="4" t="str">
        <f t="shared" si="52"/>
        <v>1000184670100018571110001898181000189759SABORES DO CAMPO</v>
      </c>
      <c r="N227" s="28">
        <f>N213*_xlfn.XLOOKUP($L227,'Balizador da Meta'!$B$4:$B$21,'Balizador da Meta'!$C$4:$C$21)</f>
        <v>0</v>
      </c>
      <c r="O227" s="28">
        <f>O213*_xlfn.XLOOKUP($L227,'Balizador da Meta'!$B$4:$B$21,'Balizador da Meta'!$C$4:$C$21)</f>
        <v>0</v>
      </c>
      <c r="P227" s="28">
        <f>P213*_xlfn.XLOOKUP($L227,'Balizador da Meta'!$B$4:$B$21,'Balizador da Meta'!$C$4:$C$21)</f>
        <v>0</v>
      </c>
      <c r="Q227" s="28">
        <f>Q213*_xlfn.XLOOKUP($L227,'Balizador da Meta'!$B$4:$B$21,'Balizador da Meta'!$C$4:$C$21)</f>
        <v>0</v>
      </c>
      <c r="R227" s="28">
        <f>R213*_xlfn.XLOOKUP($L227,'Balizador da Meta'!$B$4:$B$21,'Balizador da Meta'!$C$4:$C$21)</f>
        <v>0</v>
      </c>
      <c r="S227" s="28">
        <f>S213*_xlfn.XLOOKUP($L227,'Balizador da Meta'!$B$4:$B$21,'Balizador da Meta'!$C$4:$C$21)</f>
        <v>0</v>
      </c>
      <c r="T227" s="28">
        <f>T213*_xlfn.XLOOKUP($L227,'Balizador da Meta'!$B$4:$B$21,'Balizador da Meta'!$C$4:$C$21)</f>
        <v>0</v>
      </c>
      <c r="U227" s="28">
        <f>U213*_xlfn.XLOOKUP($L227,'Balizador da Meta'!$B$4:$B$21,'Balizador da Meta'!$C$4:$C$21)</f>
        <v>0</v>
      </c>
      <c r="V227" s="28">
        <f>V213*_xlfn.XLOOKUP($L227,'Balizador da Meta'!$B$4:$B$21,'Balizador da Meta'!$C$4:$C$21)</f>
        <v>0</v>
      </c>
      <c r="W227" s="28">
        <f>W213*_xlfn.XLOOKUP($L227,'Balizador da Meta'!$B$4:$B$21,'Balizador da Meta'!$C$4:$C$21)</f>
        <v>0</v>
      </c>
      <c r="X227" s="28">
        <f>X213*_xlfn.XLOOKUP($L227,'Balizador da Meta'!$B$4:$B$21,'Balizador da Meta'!$C$4:$C$21)</f>
        <v>0</v>
      </c>
      <c r="Y227" s="28">
        <f>Y213*_xlfn.XLOOKUP($L227,'Balizador da Meta'!$B$4:$B$21,'Balizador da Meta'!$C$4:$C$21)</f>
        <v>0</v>
      </c>
      <c r="Z227" s="30">
        <f t="shared" si="55"/>
        <v>0</v>
      </c>
      <c r="AA227" s="29"/>
      <c r="AB227" s="31">
        <f>SUMIFS('Historico - FAT'!AK:AK,'Historico - FAT'!$K:$K,Faturamento!$L227,'Historico - FAT'!$I:$I,Faturamento!$J227,'Historico - FAT'!$G:$G,Faturamento!$H227)</f>
        <v>0</v>
      </c>
      <c r="AC227" s="31">
        <f>SUMIFS('Historico - FAT'!AL:AL,'Historico - FAT'!$K:$K,Faturamento!$L227,'Historico - FAT'!$I:$I,Faturamento!$J227,'Historico - FAT'!$G:$G,Faturamento!$H227)</f>
        <v>0</v>
      </c>
      <c r="AD227" s="31">
        <f>SUMIFS('Historico - FAT'!AM:AM,'Historico - FAT'!$K:$K,Faturamento!$L227,'Historico - FAT'!$I:$I,Faturamento!$J227,'Historico - FAT'!$G:$G,Faturamento!$H227)</f>
        <v>0</v>
      </c>
      <c r="AE227" s="27">
        <f>SUMIFS('Historico - FAT'!AN:AN,'Historico - FAT'!$K:$K,Faturamento!$L227,'Historico - FAT'!$I:$I,Faturamento!$J227,'Historico - FAT'!$G:$G,Faturamento!$H227)</f>
        <v>0</v>
      </c>
      <c r="AG227" s="24" t="str">
        <f t="shared" si="46"/>
        <v/>
      </c>
      <c r="AH227" s="24" t="str">
        <f t="shared" si="47"/>
        <v/>
      </c>
      <c r="AI227" s="24" t="str">
        <f t="shared" si="48"/>
        <v/>
      </c>
    </row>
    <row r="228" spans="1:35" hidden="1" x14ac:dyDescent="0.3">
      <c r="A228" s="2" t="str">
        <f t="shared" si="45"/>
        <v>NÃO</v>
      </c>
      <c r="B228" s="2">
        <v>1000184670</v>
      </c>
      <c r="C228" s="2" t="s">
        <v>147</v>
      </c>
      <c r="D228" s="4">
        <v>1000185711</v>
      </c>
      <c r="E228" s="4" t="s">
        <v>167</v>
      </c>
      <c r="F228" s="2">
        <v>1000184764</v>
      </c>
      <c r="G228" s="2" t="s">
        <v>70</v>
      </c>
      <c r="H228" s="4">
        <v>1000189818</v>
      </c>
      <c r="I228" s="4" t="s">
        <v>72</v>
      </c>
      <c r="J228" s="2">
        <v>1000189759</v>
      </c>
      <c r="K228" s="2" t="s">
        <v>155</v>
      </c>
      <c r="L228" s="4" t="s">
        <v>28</v>
      </c>
      <c r="M228" s="4" t="str">
        <f t="shared" si="52"/>
        <v>1000184670100018571110001898181000189759SAL</v>
      </c>
      <c r="N228" s="28">
        <f>N213*_xlfn.XLOOKUP($L228,'Balizador da Meta'!$B$4:$B$21,'Balizador da Meta'!$C$4:$C$21)</f>
        <v>0</v>
      </c>
      <c r="O228" s="28">
        <f>O213*_xlfn.XLOOKUP($L228,'Balizador da Meta'!$B$4:$B$21,'Balizador da Meta'!$C$4:$C$21)</f>
        <v>0</v>
      </c>
      <c r="P228" s="28">
        <f>P213*_xlfn.XLOOKUP($L228,'Balizador da Meta'!$B$4:$B$21,'Balizador da Meta'!$C$4:$C$21)</f>
        <v>0</v>
      </c>
      <c r="Q228" s="28">
        <f>Q213*_xlfn.XLOOKUP($L228,'Balizador da Meta'!$B$4:$B$21,'Balizador da Meta'!$C$4:$C$21)</f>
        <v>0</v>
      </c>
      <c r="R228" s="28">
        <f>R213*_xlfn.XLOOKUP($L228,'Balizador da Meta'!$B$4:$B$21,'Balizador da Meta'!$C$4:$C$21)</f>
        <v>0</v>
      </c>
      <c r="S228" s="28">
        <f>S213*_xlfn.XLOOKUP($L228,'Balizador da Meta'!$B$4:$B$21,'Balizador da Meta'!$C$4:$C$21)</f>
        <v>0</v>
      </c>
      <c r="T228" s="28">
        <f>T213*_xlfn.XLOOKUP($L228,'Balizador da Meta'!$B$4:$B$21,'Balizador da Meta'!$C$4:$C$21)</f>
        <v>0</v>
      </c>
      <c r="U228" s="28">
        <f>U213*_xlfn.XLOOKUP($L228,'Balizador da Meta'!$B$4:$B$21,'Balizador da Meta'!$C$4:$C$21)</f>
        <v>0</v>
      </c>
      <c r="V228" s="28">
        <f>V213*_xlfn.XLOOKUP($L228,'Balizador da Meta'!$B$4:$B$21,'Balizador da Meta'!$C$4:$C$21)</f>
        <v>0</v>
      </c>
      <c r="W228" s="28">
        <f>W213*_xlfn.XLOOKUP($L228,'Balizador da Meta'!$B$4:$B$21,'Balizador da Meta'!$C$4:$C$21)</f>
        <v>0</v>
      </c>
      <c r="X228" s="28">
        <f>X213*_xlfn.XLOOKUP($L228,'Balizador da Meta'!$B$4:$B$21,'Balizador da Meta'!$C$4:$C$21)</f>
        <v>0</v>
      </c>
      <c r="Y228" s="28">
        <f>Y213*_xlfn.XLOOKUP($L228,'Balizador da Meta'!$B$4:$B$21,'Balizador da Meta'!$C$4:$C$21)</f>
        <v>0</v>
      </c>
      <c r="Z228" s="30">
        <f t="shared" si="55"/>
        <v>0</v>
      </c>
      <c r="AA228" s="29"/>
      <c r="AB228" s="31">
        <f>SUMIFS('Historico - FAT'!AK:AK,'Historico - FAT'!$K:$K,Faturamento!$L228,'Historico - FAT'!$I:$I,Faturamento!$J228,'Historico - FAT'!$G:$G,Faturamento!$H228)</f>
        <v>0</v>
      </c>
      <c r="AC228" s="31">
        <f>SUMIFS('Historico - FAT'!AL:AL,'Historico - FAT'!$K:$K,Faturamento!$L228,'Historico - FAT'!$I:$I,Faturamento!$J228,'Historico - FAT'!$G:$G,Faturamento!$H228)</f>
        <v>0</v>
      </c>
      <c r="AD228" s="31">
        <f>SUMIFS('Historico - FAT'!AM:AM,'Historico - FAT'!$K:$K,Faturamento!$L228,'Historico - FAT'!$I:$I,Faturamento!$J228,'Historico - FAT'!$G:$G,Faturamento!$H228)</f>
        <v>0</v>
      </c>
      <c r="AE228" s="27">
        <f>SUMIFS('Historico - FAT'!AN:AN,'Historico - FAT'!$K:$K,Faturamento!$L228,'Historico - FAT'!$I:$I,Faturamento!$J228,'Historico - FAT'!$G:$G,Faturamento!$H228)</f>
        <v>0</v>
      </c>
      <c r="AG228" s="24" t="str">
        <f t="shared" si="46"/>
        <v/>
      </c>
      <c r="AH228" s="24" t="str">
        <f t="shared" si="47"/>
        <v/>
      </c>
      <c r="AI228" s="24" t="str">
        <f t="shared" si="48"/>
        <v/>
      </c>
    </row>
    <row r="229" spans="1:35" hidden="1" x14ac:dyDescent="0.3">
      <c r="A229" s="2" t="str">
        <f t="shared" si="45"/>
        <v>NÃO</v>
      </c>
      <c r="B229" s="2">
        <v>1000184670</v>
      </c>
      <c r="C229" s="2" t="s">
        <v>147</v>
      </c>
      <c r="D229" s="4">
        <v>1000185711</v>
      </c>
      <c r="E229" s="4" t="s">
        <v>167</v>
      </c>
      <c r="F229" s="2">
        <v>1000184764</v>
      </c>
      <c r="G229" s="2" t="s">
        <v>70</v>
      </c>
      <c r="H229" s="4">
        <v>1000189818</v>
      </c>
      <c r="I229" s="4" t="s">
        <v>72</v>
      </c>
      <c r="J229" s="2">
        <v>1000189759</v>
      </c>
      <c r="K229" s="2" t="s">
        <v>155</v>
      </c>
      <c r="L229" s="4" t="s">
        <v>26</v>
      </c>
      <c r="M229" s="4" t="str">
        <f t="shared" si="52"/>
        <v>1000184670100018571110001898181000189759SOULPRO</v>
      </c>
      <c r="N229" s="28">
        <f>N213*_xlfn.XLOOKUP($L229,'Balizador da Meta'!$B$4:$B$21,'Balizador da Meta'!$C$4:$C$21)</f>
        <v>0</v>
      </c>
      <c r="O229" s="28">
        <f>O213*_xlfn.XLOOKUP($L229,'Balizador da Meta'!$B$4:$B$21,'Balizador da Meta'!$C$4:$C$21)</f>
        <v>0</v>
      </c>
      <c r="P229" s="28">
        <f>P213*_xlfn.XLOOKUP($L229,'Balizador da Meta'!$B$4:$B$21,'Balizador da Meta'!$C$4:$C$21)</f>
        <v>0</v>
      </c>
      <c r="Q229" s="28">
        <f>Q213*_xlfn.XLOOKUP($L229,'Balizador da Meta'!$B$4:$B$21,'Balizador da Meta'!$C$4:$C$21)</f>
        <v>0</v>
      </c>
      <c r="R229" s="28">
        <f>R213*_xlfn.XLOOKUP($L229,'Balizador da Meta'!$B$4:$B$21,'Balizador da Meta'!$C$4:$C$21)</f>
        <v>0</v>
      </c>
      <c r="S229" s="28">
        <f>S213*_xlfn.XLOOKUP($L229,'Balizador da Meta'!$B$4:$B$21,'Balizador da Meta'!$C$4:$C$21)</f>
        <v>0</v>
      </c>
      <c r="T229" s="28">
        <f>T213*_xlfn.XLOOKUP($L229,'Balizador da Meta'!$B$4:$B$21,'Balizador da Meta'!$C$4:$C$21)</f>
        <v>0</v>
      </c>
      <c r="U229" s="28">
        <f>U213*_xlfn.XLOOKUP($L229,'Balizador da Meta'!$B$4:$B$21,'Balizador da Meta'!$C$4:$C$21)</f>
        <v>0</v>
      </c>
      <c r="V229" s="28">
        <f>V213*_xlfn.XLOOKUP($L229,'Balizador da Meta'!$B$4:$B$21,'Balizador da Meta'!$C$4:$C$21)</f>
        <v>0</v>
      </c>
      <c r="W229" s="28">
        <f>W213*_xlfn.XLOOKUP($L229,'Balizador da Meta'!$B$4:$B$21,'Balizador da Meta'!$C$4:$C$21)</f>
        <v>0</v>
      </c>
      <c r="X229" s="28">
        <f>X213*_xlfn.XLOOKUP($L229,'Balizador da Meta'!$B$4:$B$21,'Balizador da Meta'!$C$4:$C$21)</f>
        <v>0</v>
      </c>
      <c r="Y229" s="28">
        <f>Y213*_xlfn.XLOOKUP($L229,'Balizador da Meta'!$B$4:$B$21,'Balizador da Meta'!$C$4:$C$21)</f>
        <v>0</v>
      </c>
      <c r="Z229" s="30">
        <f t="shared" si="55"/>
        <v>0</v>
      </c>
      <c r="AA229" s="29"/>
      <c r="AB229" s="31">
        <f>SUMIFS('Historico - FAT'!AK:AK,'Historico - FAT'!$K:$K,Faturamento!$L229,'Historico - FAT'!$I:$I,Faturamento!$J229,'Historico - FAT'!$G:$G,Faturamento!$H229)</f>
        <v>0</v>
      </c>
      <c r="AC229" s="31">
        <f>SUMIFS('Historico - FAT'!AL:AL,'Historico - FAT'!$K:$K,Faturamento!$L229,'Historico - FAT'!$I:$I,Faturamento!$J229,'Historico - FAT'!$G:$G,Faturamento!$H229)</f>
        <v>0</v>
      </c>
      <c r="AD229" s="31">
        <f>SUMIFS('Historico - FAT'!AM:AM,'Historico - FAT'!$K:$K,Faturamento!$L229,'Historico - FAT'!$I:$I,Faturamento!$J229,'Historico - FAT'!$G:$G,Faturamento!$H229)</f>
        <v>0</v>
      </c>
      <c r="AE229" s="27">
        <f>SUMIFS('Historico - FAT'!AN:AN,'Historico - FAT'!$K:$K,Faturamento!$L229,'Historico - FAT'!$I:$I,Faturamento!$J229,'Historico - FAT'!$G:$G,Faturamento!$H229)</f>
        <v>0</v>
      </c>
      <c r="AG229" s="24" t="str">
        <f t="shared" si="46"/>
        <v/>
      </c>
      <c r="AH229" s="24" t="str">
        <f t="shared" si="47"/>
        <v/>
      </c>
      <c r="AI229" s="24" t="str">
        <f t="shared" si="48"/>
        <v/>
      </c>
    </row>
    <row r="230" spans="1:35" hidden="1" x14ac:dyDescent="0.3">
      <c r="A230" s="2" t="str">
        <f t="shared" si="45"/>
        <v>NÃO</v>
      </c>
      <c r="B230" s="2">
        <v>1000184670</v>
      </c>
      <c r="C230" s="2" t="s">
        <v>147</v>
      </c>
      <c r="D230" s="4">
        <v>1000185711</v>
      </c>
      <c r="E230" s="4" t="s">
        <v>167</v>
      </c>
      <c r="F230" s="2">
        <v>1000184764</v>
      </c>
      <c r="G230" s="2" t="s">
        <v>70</v>
      </c>
      <c r="H230" s="4">
        <v>1000189818</v>
      </c>
      <c r="I230" s="4" t="s">
        <v>72</v>
      </c>
      <c r="J230" s="2">
        <v>1000189759</v>
      </c>
      <c r="K230" s="2" t="s">
        <v>155</v>
      </c>
      <c r="L230" s="4" t="s">
        <v>27</v>
      </c>
      <c r="M230" s="4" t="str">
        <f t="shared" si="52"/>
        <v>1000184670100018571110001898181000189759TAMARA</v>
      </c>
      <c r="N230" s="28">
        <f>N213*_xlfn.XLOOKUP($L230,'Balizador da Meta'!$B$4:$B$21,'Balizador da Meta'!$C$4:$C$21)</f>
        <v>0</v>
      </c>
      <c r="O230" s="28">
        <f>O213*_xlfn.XLOOKUP($L230,'Balizador da Meta'!$B$4:$B$21,'Balizador da Meta'!$C$4:$C$21)</f>
        <v>0</v>
      </c>
      <c r="P230" s="28">
        <f>P213*_xlfn.XLOOKUP($L230,'Balizador da Meta'!$B$4:$B$21,'Balizador da Meta'!$C$4:$C$21)</f>
        <v>0</v>
      </c>
      <c r="Q230" s="28">
        <f>Q213*_xlfn.XLOOKUP($L230,'Balizador da Meta'!$B$4:$B$21,'Balizador da Meta'!$C$4:$C$21)</f>
        <v>0</v>
      </c>
      <c r="R230" s="28">
        <f>R213*_xlfn.XLOOKUP($L230,'Balizador da Meta'!$B$4:$B$21,'Balizador da Meta'!$C$4:$C$21)</f>
        <v>0</v>
      </c>
      <c r="S230" s="28">
        <f>S213*_xlfn.XLOOKUP($L230,'Balizador da Meta'!$B$4:$B$21,'Balizador da Meta'!$C$4:$C$21)</f>
        <v>0</v>
      </c>
      <c r="T230" s="28">
        <f>T213*_xlfn.XLOOKUP($L230,'Balizador da Meta'!$B$4:$B$21,'Balizador da Meta'!$C$4:$C$21)</f>
        <v>0</v>
      </c>
      <c r="U230" s="28">
        <f>U213*_xlfn.XLOOKUP($L230,'Balizador da Meta'!$B$4:$B$21,'Balizador da Meta'!$C$4:$C$21)</f>
        <v>0</v>
      </c>
      <c r="V230" s="28">
        <f>V213*_xlfn.XLOOKUP($L230,'Balizador da Meta'!$B$4:$B$21,'Balizador da Meta'!$C$4:$C$21)</f>
        <v>0</v>
      </c>
      <c r="W230" s="28">
        <f>W213*_xlfn.XLOOKUP($L230,'Balizador da Meta'!$B$4:$B$21,'Balizador da Meta'!$C$4:$C$21)</f>
        <v>0</v>
      </c>
      <c r="X230" s="28">
        <f>X213*_xlfn.XLOOKUP($L230,'Balizador da Meta'!$B$4:$B$21,'Balizador da Meta'!$C$4:$C$21)</f>
        <v>0</v>
      </c>
      <c r="Y230" s="28">
        <f>Y213*_xlfn.XLOOKUP($L230,'Balizador da Meta'!$B$4:$B$21,'Balizador da Meta'!$C$4:$C$21)</f>
        <v>0</v>
      </c>
      <c r="Z230" s="30">
        <f t="shared" si="55"/>
        <v>0</v>
      </c>
      <c r="AA230" s="29"/>
      <c r="AB230" s="31">
        <f>SUMIFS('Historico - FAT'!AK:AK,'Historico - FAT'!$K:$K,Faturamento!$L230,'Historico - FAT'!$I:$I,Faturamento!$J230,'Historico - FAT'!$G:$G,Faturamento!$H230)</f>
        <v>0</v>
      </c>
      <c r="AC230" s="31">
        <f>SUMIFS('Historico - FAT'!AL:AL,'Historico - FAT'!$K:$K,Faturamento!$L230,'Historico - FAT'!$I:$I,Faturamento!$J230,'Historico - FAT'!$G:$G,Faturamento!$H230)</f>
        <v>0</v>
      </c>
      <c r="AD230" s="31">
        <f>SUMIFS('Historico - FAT'!AM:AM,'Historico - FAT'!$K:$K,Faturamento!$L230,'Historico - FAT'!$I:$I,Faturamento!$J230,'Historico - FAT'!$G:$G,Faturamento!$H230)</f>
        <v>0</v>
      </c>
      <c r="AE230" s="27">
        <f>SUMIFS('Historico - FAT'!AN:AN,'Historico - FAT'!$K:$K,Faturamento!$L230,'Historico - FAT'!$I:$I,Faturamento!$J230,'Historico - FAT'!$G:$G,Faturamento!$H230)</f>
        <v>0</v>
      </c>
      <c r="AG230" s="24" t="str">
        <f t="shared" si="46"/>
        <v/>
      </c>
      <c r="AH230" s="24" t="str">
        <f t="shared" si="47"/>
        <v/>
      </c>
      <c r="AI230" s="24" t="str">
        <f t="shared" si="48"/>
        <v/>
      </c>
    </row>
    <row r="231" spans="1:35" hidden="1" x14ac:dyDescent="0.3">
      <c r="A231" s="2" t="str">
        <f t="shared" si="45"/>
        <v>NÃO</v>
      </c>
      <c r="B231" s="2">
        <v>1000184670</v>
      </c>
      <c r="C231" s="2" t="s">
        <v>147</v>
      </c>
      <c r="D231" s="4">
        <v>1000185711</v>
      </c>
      <c r="E231" s="4" t="s">
        <v>167</v>
      </c>
      <c r="F231" s="2">
        <v>1000184764</v>
      </c>
      <c r="G231" s="2" t="s">
        <v>70</v>
      </c>
      <c r="H231" s="4">
        <v>1000189818</v>
      </c>
      <c r="I231" s="4" t="s">
        <v>72</v>
      </c>
      <c r="J231" s="2">
        <v>1000189759</v>
      </c>
      <c r="K231" s="2" t="s">
        <v>155</v>
      </c>
      <c r="L231" s="4" t="s">
        <v>25</v>
      </c>
      <c r="M231" s="4" t="str">
        <f t="shared" si="52"/>
        <v>1000184670100018571110001898181000189759VICCIO</v>
      </c>
      <c r="N231" s="28">
        <f>N213*_xlfn.XLOOKUP($L231,'Balizador da Meta'!$B$4:$B$21,'Balizador da Meta'!$C$4:$C$21)</f>
        <v>0</v>
      </c>
      <c r="O231" s="28">
        <f>O213*_xlfn.XLOOKUP($L231,'Balizador da Meta'!$B$4:$B$21,'Balizador da Meta'!$C$4:$C$21)</f>
        <v>0</v>
      </c>
      <c r="P231" s="28">
        <f>P213*_xlfn.XLOOKUP($L231,'Balizador da Meta'!$B$4:$B$21,'Balizador da Meta'!$C$4:$C$21)</f>
        <v>0</v>
      </c>
      <c r="Q231" s="28">
        <f>Q213*_xlfn.XLOOKUP($L231,'Balizador da Meta'!$B$4:$B$21,'Balizador da Meta'!$C$4:$C$21)</f>
        <v>0</v>
      </c>
      <c r="R231" s="28">
        <f>R213*_xlfn.XLOOKUP($L231,'Balizador da Meta'!$B$4:$B$21,'Balizador da Meta'!$C$4:$C$21)</f>
        <v>0</v>
      </c>
      <c r="S231" s="28">
        <f>S213*_xlfn.XLOOKUP($L231,'Balizador da Meta'!$B$4:$B$21,'Balizador da Meta'!$C$4:$C$21)</f>
        <v>0</v>
      </c>
      <c r="T231" s="28">
        <f>T213*_xlfn.XLOOKUP($L231,'Balizador da Meta'!$B$4:$B$21,'Balizador da Meta'!$C$4:$C$21)</f>
        <v>0</v>
      </c>
      <c r="U231" s="28">
        <f>U213*_xlfn.XLOOKUP($L231,'Balizador da Meta'!$B$4:$B$21,'Balizador da Meta'!$C$4:$C$21)</f>
        <v>0</v>
      </c>
      <c r="V231" s="28">
        <f>V213*_xlfn.XLOOKUP($L231,'Balizador da Meta'!$B$4:$B$21,'Balizador da Meta'!$C$4:$C$21)</f>
        <v>0</v>
      </c>
      <c r="W231" s="28">
        <f>W213*_xlfn.XLOOKUP($L231,'Balizador da Meta'!$B$4:$B$21,'Balizador da Meta'!$C$4:$C$21)</f>
        <v>0</v>
      </c>
      <c r="X231" s="28">
        <f>X213*_xlfn.XLOOKUP($L231,'Balizador da Meta'!$B$4:$B$21,'Balizador da Meta'!$C$4:$C$21)</f>
        <v>0</v>
      </c>
      <c r="Y231" s="28">
        <f>Y213*_xlfn.XLOOKUP($L231,'Balizador da Meta'!$B$4:$B$21,'Balizador da Meta'!$C$4:$C$21)</f>
        <v>0</v>
      </c>
      <c r="Z231" s="30">
        <f t="shared" si="55"/>
        <v>0</v>
      </c>
      <c r="AA231" s="29"/>
      <c r="AB231" s="31">
        <f>SUMIFS('Historico - FAT'!AK:AK,'Historico - FAT'!$K:$K,Faturamento!$L231,'Historico - FAT'!$I:$I,Faturamento!$J231,'Historico - FAT'!$G:$G,Faturamento!$H231)</f>
        <v>0</v>
      </c>
      <c r="AC231" s="31">
        <f>SUMIFS('Historico - FAT'!AL:AL,'Historico - FAT'!$K:$K,Faturamento!$L231,'Historico - FAT'!$I:$I,Faturamento!$J231,'Historico - FAT'!$G:$G,Faturamento!$H231)</f>
        <v>0</v>
      </c>
      <c r="AD231" s="31">
        <f>SUMIFS('Historico - FAT'!AM:AM,'Historico - FAT'!$K:$K,Faturamento!$L231,'Historico - FAT'!$I:$I,Faturamento!$J231,'Historico - FAT'!$G:$G,Faturamento!$H231)</f>
        <v>0</v>
      </c>
      <c r="AE231" s="27">
        <f>SUMIFS('Historico - FAT'!AN:AN,'Historico - FAT'!$K:$K,Faturamento!$L231,'Historico - FAT'!$I:$I,Faturamento!$J231,'Historico - FAT'!$G:$G,Faturamento!$H231)</f>
        <v>0</v>
      </c>
      <c r="AG231" s="24" t="str">
        <f t="shared" si="46"/>
        <v/>
      </c>
      <c r="AH231" s="24" t="str">
        <f t="shared" si="47"/>
        <v/>
      </c>
      <c r="AI231" s="24" t="str">
        <f t="shared" si="48"/>
        <v/>
      </c>
    </row>
    <row r="232" spans="1:35" x14ac:dyDescent="0.3">
      <c r="A232" s="2" t="str">
        <f t="shared" si="45"/>
        <v>SIM</v>
      </c>
      <c r="B232" s="2">
        <v>1000184670</v>
      </c>
      <c r="C232" s="2" t="s">
        <v>147</v>
      </c>
      <c r="D232" s="4">
        <v>1000186197</v>
      </c>
      <c r="E232" s="4" t="s">
        <v>166</v>
      </c>
      <c r="F232" s="2">
        <v>1000198600</v>
      </c>
      <c r="G232" s="2" t="s">
        <v>148</v>
      </c>
      <c r="H232" s="4">
        <v>1000198601</v>
      </c>
      <c r="I232" s="4" t="s">
        <v>149</v>
      </c>
      <c r="J232" s="2">
        <v>1000189760</v>
      </c>
      <c r="K232" s="2" t="s">
        <v>143</v>
      </c>
      <c r="L232" s="4" t="s">
        <v>124</v>
      </c>
      <c r="M232" s="4" t="str">
        <f t="shared" si="52"/>
        <v>100018467010001861971000198601100018976001. TOTAL</v>
      </c>
      <c r="N232" s="28">
        <f>SUMIFS(Positivação!L:L,Positivação!$I:$I,Faturamento!$J232,Positivação!$G:$G,Faturamento!$H232)*SUMIFS(Positivação!$Z:$Z,Positivação!$I:$I,Faturamento!$J232,Positivação!$G:$G,Faturamento!$H232)</f>
        <v>3000</v>
      </c>
      <c r="O232" s="28">
        <f>SUMIFS(Positivação!M:M,Positivação!$I:$I,Faturamento!$J232,Positivação!$G:$G,Faturamento!$H232)*SUMIFS(Positivação!$Z:$Z,Positivação!$I:$I,Faturamento!$J232,Positivação!$G:$G,Faturamento!$H232)</f>
        <v>3000</v>
      </c>
      <c r="P232" s="28">
        <f>SUMIFS(Positivação!N:N,Positivação!$I:$I,Faturamento!$J232,Positivação!$G:$G,Faturamento!$H232)*SUMIFS(Positivação!$Z:$Z,Positivação!$I:$I,Faturamento!$J232,Positivação!$G:$G,Faturamento!$H232)</f>
        <v>3000</v>
      </c>
      <c r="Q232" s="28">
        <f>SUMIFS(Positivação!O:O,Positivação!$I:$I,Faturamento!$J232,Positivação!$G:$G,Faturamento!$H232)*SUMIFS(Positivação!$Z:$Z,Positivação!$I:$I,Faturamento!$J232,Positivação!$G:$G,Faturamento!$H232)</f>
        <v>3000</v>
      </c>
      <c r="R232" s="28">
        <f>SUMIFS(Positivação!P:P,Positivação!$I:$I,Faturamento!$J232,Positivação!$G:$G,Faturamento!$H232)*SUMIFS(Positivação!$Z:$Z,Positivação!$I:$I,Faturamento!$J232,Positivação!$G:$G,Faturamento!$H232)</f>
        <v>4500</v>
      </c>
      <c r="S232" s="28">
        <f>SUMIFS(Positivação!Q:Q,Positivação!$I:$I,Faturamento!$J232,Positivação!$G:$G,Faturamento!$H232)*SUMIFS(Positivação!$Z:$Z,Positivação!$I:$I,Faturamento!$J232,Positivação!$G:$G,Faturamento!$H232)</f>
        <v>4500</v>
      </c>
      <c r="T232" s="28">
        <f>SUMIFS(Positivação!R:R,Positivação!$I:$I,Faturamento!$J232,Positivação!$G:$G,Faturamento!$H232)*SUMIFS(Positivação!$Z:$Z,Positivação!$I:$I,Faturamento!$J232,Positivação!$G:$G,Faturamento!$H232)</f>
        <v>4500</v>
      </c>
      <c r="U232" s="28">
        <f>SUMIFS(Positivação!S:S,Positivação!$I:$I,Faturamento!$J232,Positivação!$G:$G,Faturamento!$H232)*SUMIFS(Positivação!$Z:$Z,Positivação!$I:$I,Faturamento!$J232,Positivação!$G:$G,Faturamento!$H232)</f>
        <v>6000</v>
      </c>
      <c r="V232" s="28">
        <f>SUMIFS(Positivação!T:T,Positivação!$I:$I,Faturamento!$J232,Positivação!$G:$G,Faturamento!$H232)*SUMIFS(Positivação!$Z:$Z,Positivação!$I:$I,Faturamento!$J232,Positivação!$G:$G,Faturamento!$H232)</f>
        <v>6000</v>
      </c>
      <c r="W232" s="28">
        <f>SUMIFS(Positivação!U:U,Positivação!$I:$I,Faturamento!$J232,Positivação!$G:$G,Faturamento!$H232)*SUMIFS(Positivação!$Z:$Z,Positivação!$I:$I,Faturamento!$J232,Positivação!$G:$G,Faturamento!$H232)</f>
        <v>6000</v>
      </c>
      <c r="X232" s="28">
        <f>SUMIFS(Positivação!V:V,Positivação!$I:$I,Faturamento!$J232,Positivação!$G:$G,Faturamento!$H232)*SUMIFS(Positivação!$Z:$Z,Positivação!$I:$I,Faturamento!$J232,Positivação!$G:$G,Faturamento!$H232)</f>
        <v>7500</v>
      </c>
      <c r="Y232" s="28">
        <f>SUMIFS(Positivação!W:W,Positivação!$I:$I,Faturamento!$J232,Positivação!$G:$G,Faturamento!$H232)*SUMIFS(Positivação!$Z:$Z,Positivação!$I:$I,Faturamento!$J232,Positivação!$G:$G,Faturamento!$H232)</f>
        <v>7500</v>
      </c>
      <c r="Z232" s="28">
        <f t="shared" ref="Z232" si="56">SUM(Z233:Z250)</f>
        <v>58500</v>
      </c>
      <c r="AA232" s="29"/>
      <c r="AB232" s="28">
        <f t="shared" ref="AB232:AE232" si="57">SUM(AB233:AB250)</f>
        <v>0</v>
      </c>
      <c r="AC232" s="28">
        <f t="shared" si="57"/>
        <v>245.22083333333333</v>
      </c>
      <c r="AD232" s="28">
        <f t="shared" si="57"/>
        <v>490.44166666666666</v>
      </c>
      <c r="AE232" s="28">
        <f t="shared" si="57"/>
        <v>294.26499999999999</v>
      </c>
      <c r="AG232" s="24">
        <f t="shared" si="46"/>
        <v>1</v>
      </c>
      <c r="AH232" s="24">
        <f t="shared" si="47"/>
        <v>0.9649684523809523</v>
      </c>
      <c r="AI232" s="24">
        <f t="shared" si="48"/>
        <v>0.92993690476190483</v>
      </c>
    </row>
    <row r="233" spans="1:35" hidden="1" x14ac:dyDescent="0.3">
      <c r="A233" s="2" t="str">
        <f t="shared" si="45"/>
        <v>NÃO</v>
      </c>
      <c r="B233" s="2">
        <v>1000184670</v>
      </c>
      <c r="C233" s="2" t="s">
        <v>147</v>
      </c>
      <c r="D233" s="4">
        <v>1000186197</v>
      </c>
      <c r="E233" s="4" t="s">
        <v>166</v>
      </c>
      <c r="F233" s="2">
        <v>1000198600</v>
      </c>
      <c r="G233" s="2" t="s">
        <v>148</v>
      </c>
      <c r="H233" s="4">
        <v>1000198601</v>
      </c>
      <c r="I233" s="4" t="s">
        <v>149</v>
      </c>
      <c r="J233" s="2">
        <v>1000189760</v>
      </c>
      <c r="K233" s="2" t="s">
        <v>143</v>
      </c>
      <c r="L233" s="4" t="s">
        <v>13</v>
      </c>
      <c r="M233" s="4" t="str">
        <f t="shared" si="52"/>
        <v>1000184670100018619710001986011000189760BISCOITO</v>
      </c>
      <c r="N233" s="28">
        <f>N232*_xlfn.XLOOKUP($L233,'Balizador da Meta'!$B$4:$B$21,'Balizador da Meta'!$C$4:$C$21)</f>
        <v>210.00000000000003</v>
      </c>
      <c r="O233" s="28">
        <f>O232*_xlfn.XLOOKUP($L233,'Balizador da Meta'!$B$4:$B$21,'Balizador da Meta'!$C$4:$C$21)</f>
        <v>210.00000000000003</v>
      </c>
      <c r="P233" s="28">
        <f>P232*_xlfn.XLOOKUP($L233,'Balizador da Meta'!$B$4:$B$21,'Balizador da Meta'!$C$4:$C$21)</f>
        <v>210.00000000000003</v>
      </c>
      <c r="Q233" s="28">
        <f>Q232*_xlfn.XLOOKUP($L233,'Balizador da Meta'!$B$4:$B$21,'Balizador da Meta'!$C$4:$C$21)</f>
        <v>210.00000000000003</v>
      </c>
      <c r="R233" s="28">
        <f>R232*_xlfn.XLOOKUP($L233,'Balizador da Meta'!$B$4:$B$21,'Balizador da Meta'!$C$4:$C$21)</f>
        <v>315.00000000000006</v>
      </c>
      <c r="S233" s="28">
        <f>S232*_xlfn.XLOOKUP($L233,'Balizador da Meta'!$B$4:$B$21,'Balizador da Meta'!$C$4:$C$21)</f>
        <v>315.00000000000006</v>
      </c>
      <c r="T233" s="28">
        <f>T232*_xlfn.XLOOKUP($L233,'Balizador da Meta'!$B$4:$B$21,'Balizador da Meta'!$C$4:$C$21)</f>
        <v>315.00000000000006</v>
      </c>
      <c r="U233" s="28">
        <f>U232*_xlfn.XLOOKUP($L233,'Balizador da Meta'!$B$4:$B$21,'Balizador da Meta'!$C$4:$C$21)</f>
        <v>420.00000000000006</v>
      </c>
      <c r="V233" s="28">
        <f>V232*_xlfn.XLOOKUP($L233,'Balizador da Meta'!$B$4:$B$21,'Balizador da Meta'!$C$4:$C$21)</f>
        <v>420.00000000000006</v>
      </c>
      <c r="W233" s="28">
        <f>W232*_xlfn.XLOOKUP($L233,'Balizador da Meta'!$B$4:$B$21,'Balizador da Meta'!$C$4:$C$21)</f>
        <v>420.00000000000006</v>
      </c>
      <c r="X233" s="28">
        <f>X232*_xlfn.XLOOKUP($L233,'Balizador da Meta'!$B$4:$B$21,'Balizador da Meta'!$C$4:$C$21)</f>
        <v>525</v>
      </c>
      <c r="Y233" s="28">
        <f>Y232*_xlfn.XLOOKUP($L233,'Balizador da Meta'!$B$4:$B$21,'Balizador da Meta'!$C$4:$C$21)</f>
        <v>525</v>
      </c>
      <c r="Z233" s="30">
        <f t="shared" ref="Z233:Z250" si="58">SUM(N233:Y233)</f>
        <v>4095.0000000000005</v>
      </c>
      <c r="AA233" s="29"/>
      <c r="AB233" s="31">
        <f>SUMIFS('Historico - FAT'!AK:AK,'Historico - FAT'!$K:$K,Faturamento!$L233,'Historico - FAT'!$I:$I,Faturamento!$J233,'Historico - FAT'!$G:$G,Faturamento!$H233)</f>
        <v>0</v>
      </c>
      <c r="AC233" s="31">
        <f>SUMIFS('Historico - FAT'!AL:AL,'Historico - FAT'!$K:$K,Faturamento!$L233,'Historico - FAT'!$I:$I,Faturamento!$J233,'Historico - FAT'!$G:$G,Faturamento!$H233)</f>
        <v>0</v>
      </c>
      <c r="AD233" s="31">
        <f>SUMIFS('Historico - FAT'!AM:AM,'Historico - FAT'!$K:$K,Faturamento!$L233,'Historico - FAT'!$I:$I,Faturamento!$J233,'Historico - FAT'!$G:$G,Faturamento!$H233)</f>
        <v>0</v>
      </c>
      <c r="AE233" s="27">
        <f>SUMIFS('Historico - FAT'!AN:AN,'Historico - FAT'!$K:$K,Faturamento!$L233,'Historico - FAT'!$I:$I,Faturamento!$J233,'Historico - FAT'!$G:$G,Faturamento!$H233)</f>
        <v>0</v>
      </c>
      <c r="AG233" s="24">
        <f t="shared" si="46"/>
        <v>1</v>
      </c>
      <c r="AH233" s="24">
        <f t="shared" si="47"/>
        <v>1</v>
      </c>
      <c r="AI233" s="24">
        <f t="shared" si="48"/>
        <v>1</v>
      </c>
    </row>
    <row r="234" spans="1:35" hidden="1" x14ac:dyDescent="0.3">
      <c r="A234" s="2" t="str">
        <f t="shared" si="45"/>
        <v>NÃO</v>
      </c>
      <c r="B234" s="2">
        <v>1000184670</v>
      </c>
      <c r="C234" s="2" t="s">
        <v>147</v>
      </c>
      <c r="D234" s="4">
        <v>1000186197</v>
      </c>
      <c r="E234" s="4" t="s">
        <v>166</v>
      </c>
      <c r="F234" s="2">
        <v>1000198600</v>
      </c>
      <c r="G234" s="2" t="s">
        <v>148</v>
      </c>
      <c r="H234" s="4">
        <v>1000198601</v>
      </c>
      <c r="I234" s="4" t="s">
        <v>149</v>
      </c>
      <c r="J234" s="2">
        <v>1000189760</v>
      </c>
      <c r="K234" s="2" t="s">
        <v>143</v>
      </c>
      <c r="L234" s="4" t="s">
        <v>14</v>
      </c>
      <c r="M234" s="4" t="str">
        <f t="shared" si="52"/>
        <v>1000184670100018619710001986011000189760CHOCOLATES</v>
      </c>
      <c r="N234" s="28">
        <f>N232*_xlfn.XLOOKUP($L234,'Balizador da Meta'!$B$4:$B$21,'Balizador da Meta'!$C$4:$C$21)</f>
        <v>210.00000000000003</v>
      </c>
      <c r="O234" s="28">
        <f>O232*_xlfn.XLOOKUP($L234,'Balizador da Meta'!$B$4:$B$21,'Balizador da Meta'!$C$4:$C$21)</f>
        <v>210.00000000000003</v>
      </c>
      <c r="P234" s="28">
        <f>P232*_xlfn.XLOOKUP($L234,'Balizador da Meta'!$B$4:$B$21,'Balizador da Meta'!$C$4:$C$21)</f>
        <v>210.00000000000003</v>
      </c>
      <c r="Q234" s="28">
        <f>Q232*_xlfn.XLOOKUP($L234,'Balizador da Meta'!$B$4:$B$21,'Balizador da Meta'!$C$4:$C$21)</f>
        <v>210.00000000000003</v>
      </c>
      <c r="R234" s="28">
        <f>R232*_xlfn.XLOOKUP($L234,'Balizador da Meta'!$B$4:$B$21,'Balizador da Meta'!$C$4:$C$21)</f>
        <v>315.00000000000006</v>
      </c>
      <c r="S234" s="28">
        <f>S232*_xlfn.XLOOKUP($L234,'Balizador da Meta'!$B$4:$B$21,'Balizador da Meta'!$C$4:$C$21)</f>
        <v>315.00000000000006</v>
      </c>
      <c r="T234" s="28">
        <f>T232*_xlfn.XLOOKUP($L234,'Balizador da Meta'!$B$4:$B$21,'Balizador da Meta'!$C$4:$C$21)</f>
        <v>315.00000000000006</v>
      </c>
      <c r="U234" s="28">
        <f>U232*_xlfn.XLOOKUP($L234,'Balizador da Meta'!$B$4:$B$21,'Balizador da Meta'!$C$4:$C$21)</f>
        <v>420.00000000000006</v>
      </c>
      <c r="V234" s="28">
        <f>V232*_xlfn.XLOOKUP($L234,'Balizador da Meta'!$B$4:$B$21,'Balizador da Meta'!$C$4:$C$21)</f>
        <v>420.00000000000006</v>
      </c>
      <c r="W234" s="28">
        <f>W232*_xlfn.XLOOKUP($L234,'Balizador da Meta'!$B$4:$B$21,'Balizador da Meta'!$C$4:$C$21)</f>
        <v>420.00000000000006</v>
      </c>
      <c r="X234" s="28">
        <f>X232*_xlfn.XLOOKUP($L234,'Balizador da Meta'!$B$4:$B$21,'Balizador da Meta'!$C$4:$C$21)</f>
        <v>525</v>
      </c>
      <c r="Y234" s="28">
        <f>Y232*_xlfn.XLOOKUP($L234,'Balizador da Meta'!$B$4:$B$21,'Balizador da Meta'!$C$4:$C$21)</f>
        <v>525</v>
      </c>
      <c r="Z234" s="30">
        <f t="shared" si="58"/>
        <v>4095.0000000000005</v>
      </c>
      <c r="AA234" s="29"/>
      <c r="AB234" s="31">
        <f>SUMIFS('Historico - FAT'!AK:AK,'Historico - FAT'!$K:$K,Faturamento!$L234,'Historico - FAT'!$I:$I,Faturamento!$J234,'Historico - FAT'!$G:$G,Faturamento!$H234)</f>
        <v>0</v>
      </c>
      <c r="AC234" s="31">
        <f>SUMIFS('Historico - FAT'!AL:AL,'Historico - FAT'!$K:$K,Faturamento!$L234,'Historico - FAT'!$I:$I,Faturamento!$J234,'Historico - FAT'!$G:$G,Faturamento!$H234)</f>
        <v>0</v>
      </c>
      <c r="AD234" s="31">
        <f>SUMIFS('Historico - FAT'!AM:AM,'Historico - FAT'!$K:$K,Faturamento!$L234,'Historico - FAT'!$I:$I,Faturamento!$J234,'Historico - FAT'!$G:$G,Faturamento!$H234)</f>
        <v>0</v>
      </c>
      <c r="AE234" s="27">
        <f>SUMIFS('Historico - FAT'!AN:AN,'Historico - FAT'!$K:$K,Faturamento!$L234,'Historico - FAT'!$I:$I,Faturamento!$J234,'Historico - FAT'!$G:$G,Faturamento!$H234)</f>
        <v>0</v>
      </c>
      <c r="AG234" s="24">
        <f t="shared" si="46"/>
        <v>1</v>
      </c>
      <c r="AH234" s="24">
        <f t="shared" si="47"/>
        <v>1</v>
      </c>
      <c r="AI234" s="24">
        <f t="shared" si="48"/>
        <v>1</v>
      </c>
    </row>
    <row r="235" spans="1:35" hidden="1" x14ac:dyDescent="0.3">
      <c r="A235" s="2" t="str">
        <f t="shared" si="45"/>
        <v>NÃO</v>
      </c>
      <c r="B235" s="2">
        <v>1000184670</v>
      </c>
      <c r="C235" s="2" t="s">
        <v>147</v>
      </c>
      <c r="D235" s="4">
        <v>1000186197</v>
      </c>
      <c r="E235" s="4" t="s">
        <v>166</v>
      </c>
      <c r="F235" s="2">
        <v>1000198600</v>
      </c>
      <c r="G235" s="2" t="s">
        <v>148</v>
      </c>
      <c r="H235" s="4">
        <v>1000198601</v>
      </c>
      <c r="I235" s="4" t="s">
        <v>149</v>
      </c>
      <c r="J235" s="2">
        <v>1000189760</v>
      </c>
      <c r="K235" s="2" t="s">
        <v>143</v>
      </c>
      <c r="L235" s="4" t="s">
        <v>16</v>
      </c>
      <c r="M235" s="4" t="str">
        <f t="shared" si="52"/>
        <v>1000184670100018619710001986011000189760DISNEY</v>
      </c>
      <c r="N235" s="28">
        <f>N232*_xlfn.XLOOKUP($L235,'Balizador da Meta'!$B$4:$B$21,'Balizador da Meta'!$C$4:$C$21)</f>
        <v>240</v>
      </c>
      <c r="O235" s="28">
        <f>O232*_xlfn.XLOOKUP($L235,'Balizador da Meta'!$B$4:$B$21,'Balizador da Meta'!$C$4:$C$21)</f>
        <v>240</v>
      </c>
      <c r="P235" s="28">
        <f>P232*_xlfn.XLOOKUP($L235,'Balizador da Meta'!$B$4:$B$21,'Balizador da Meta'!$C$4:$C$21)</f>
        <v>240</v>
      </c>
      <c r="Q235" s="28">
        <f>Q232*_xlfn.XLOOKUP($L235,'Balizador da Meta'!$B$4:$B$21,'Balizador da Meta'!$C$4:$C$21)</f>
        <v>240</v>
      </c>
      <c r="R235" s="28">
        <f>R232*_xlfn.XLOOKUP($L235,'Balizador da Meta'!$B$4:$B$21,'Balizador da Meta'!$C$4:$C$21)</f>
        <v>360</v>
      </c>
      <c r="S235" s="28">
        <f>S232*_xlfn.XLOOKUP($L235,'Balizador da Meta'!$B$4:$B$21,'Balizador da Meta'!$C$4:$C$21)</f>
        <v>360</v>
      </c>
      <c r="T235" s="28">
        <f>T232*_xlfn.XLOOKUP($L235,'Balizador da Meta'!$B$4:$B$21,'Balizador da Meta'!$C$4:$C$21)</f>
        <v>360</v>
      </c>
      <c r="U235" s="28">
        <f>U232*_xlfn.XLOOKUP($L235,'Balizador da Meta'!$B$4:$B$21,'Balizador da Meta'!$C$4:$C$21)</f>
        <v>480</v>
      </c>
      <c r="V235" s="28">
        <f>V232*_xlfn.XLOOKUP($L235,'Balizador da Meta'!$B$4:$B$21,'Balizador da Meta'!$C$4:$C$21)</f>
        <v>480</v>
      </c>
      <c r="W235" s="28">
        <f>W232*_xlfn.XLOOKUP($L235,'Balizador da Meta'!$B$4:$B$21,'Balizador da Meta'!$C$4:$C$21)</f>
        <v>480</v>
      </c>
      <c r="X235" s="28">
        <f>X232*_xlfn.XLOOKUP($L235,'Balizador da Meta'!$B$4:$B$21,'Balizador da Meta'!$C$4:$C$21)</f>
        <v>600</v>
      </c>
      <c r="Y235" s="28">
        <f>Y232*_xlfn.XLOOKUP($L235,'Balizador da Meta'!$B$4:$B$21,'Balizador da Meta'!$C$4:$C$21)</f>
        <v>600</v>
      </c>
      <c r="Z235" s="30">
        <f t="shared" si="58"/>
        <v>4680</v>
      </c>
      <c r="AA235" s="29"/>
      <c r="AB235" s="31">
        <f>SUMIFS('Historico - FAT'!AK:AK,'Historico - FAT'!$K:$K,Faturamento!$L235,'Historico - FAT'!$I:$I,Faturamento!$J235,'Historico - FAT'!$G:$G,Faturamento!$H235)</f>
        <v>0</v>
      </c>
      <c r="AC235" s="31">
        <f>SUMIFS('Historico - FAT'!AL:AL,'Historico - FAT'!$K:$K,Faturamento!$L235,'Historico - FAT'!$I:$I,Faturamento!$J235,'Historico - FAT'!$G:$G,Faturamento!$H235)</f>
        <v>0</v>
      </c>
      <c r="AD235" s="31">
        <f>SUMIFS('Historico - FAT'!AM:AM,'Historico - FAT'!$K:$K,Faturamento!$L235,'Historico - FAT'!$I:$I,Faturamento!$J235,'Historico - FAT'!$G:$G,Faturamento!$H235)</f>
        <v>0</v>
      </c>
      <c r="AE235" s="27">
        <f>SUMIFS('Historico - FAT'!AN:AN,'Historico - FAT'!$K:$K,Faturamento!$L235,'Historico - FAT'!$I:$I,Faturamento!$J235,'Historico - FAT'!$G:$G,Faturamento!$H235)</f>
        <v>0</v>
      </c>
      <c r="AG235" s="24">
        <f t="shared" si="46"/>
        <v>1</v>
      </c>
      <c r="AH235" s="24">
        <f t="shared" si="47"/>
        <v>1</v>
      </c>
      <c r="AI235" s="24">
        <f t="shared" si="48"/>
        <v>1</v>
      </c>
    </row>
    <row r="236" spans="1:35" hidden="1" x14ac:dyDescent="0.3">
      <c r="A236" s="2" t="str">
        <f t="shared" si="45"/>
        <v>NÃO</v>
      </c>
      <c r="B236" s="2">
        <v>1000184670</v>
      </c>
      <c r="C236" s="2" t="s">
        <v>147</v>
      </c>
      <c r="D236" s="4">
        <v>1000186197</v>
      </c>
      <c r="E236" s="4" t="s">
        <v>166</v>
      </c>
      <c r="F236" s="2">
        <v>1000198600</v>
      </c>
      <c r="G236" s="2" t="s">
        <v>148</v>
      </c>
      <c r="H236" s="4">
        <v>1000198601</v>
      </c>
      <c r="I236" s="4" t="s">
        <v>149</v>
      </c>
      <c r="J236" s="2">
        <v>1000189760</v>
      </c>
      <c r="K236" s="2" t="s">
        <v>143</v>
      </c>
      <c r="L236" s="4" t="s">
        <v>15</v>
      </c>
      <c r="M236" s="4" t="str">
        <f t="shared" si="52"/>
        <v>1000184670100018619710001986011000189760DOCES</v>
      </c>
      <c r="N236" s="28">
        <f>N232*_xlfn.XLOOKUP($L236,'Balizador da Meta'!$B$4:$B$21,'Balizador da Meta'!$C$4:$C$21)</f>
        <v>270</v>
      </c>
      <c r="O236" s="28">
        <f>O232*_xlfn.XLOOKUP($L236,'Balizador da Meta'!$B$4:$B$21,'Balizador da Meta'!$C$4:$C$21)</f>
        <v>270</v>
      </c>
      <c r="P236" s="28">
        <f>P232*_xlfn.XLOOKUP($L236,'Balizador da Meta'!$B$4:$B$21,'Balizador da Meta'!$C$4:$C$21)</f>
        <v>270</v>
      </c>
      <c r="Q236" s="28">
        <f>Q232*_xlfn.XLOOKUP($L236,'Balizador da Meta'!$B$4:$B$21,'Balizador da Meta'!$C$4:$C$21)</f>
        <v>270</v>
      </c>
      <c r="R236" s="28">
        <f>R232*_xlfn.XLOOKUP($L236,'Balizador da Meta'!$B$4:$B$21,'Balizador da Meta'!$C$4:$C$21)</f>
        <v>405</v>
      </c>
      <c r="S236" s="28">
        <f>S232*_xlfn.XLOOKUP($L236,'Balizador da Meta'!$B$4:$B$21,'Balizador da Meta'!$C$4:$C$21)</f>
        <v>405</v>
      </c>
      <c r="T236" s="28">
        <f>T232*_xlfn.XLOOKUP($L236,'Balizador da Meta'!$B$4:$B$21,'Balizador da Meta'!$C$4:$C$21)</f>
        <v>405</v>
      </c>
      <c r="U236" s="28">
        <f>U232*_xlfn.XLOOKUP($L236,'Balizador da Meta'!$B$4:$B$21,'Balizador da Meta'!$C$4:$C$21)</f>
        <v>540</v>
      </c>
      <c r="V236" s="28">
        <f>V232*_xlfn.XLOOKUP($L236,'Balizador da Meta'!$B$4:$B$21,'Balizador da Meta'!$C$4:$C$21)</f>
        <v>540</v>
      </c>
      <c r="W236" s="28">
        <f>W232*_xlfn.XLOOKUP($L236,'Balizador da Meta'!$B$4:$B$21,'Balizador da Meta'!$C$4:$C$21)</f>
        <v>540</v>
      </c>
      <c r="X236" s="28">
        <f>X232*_xlfn.XLOOKUP($L236,'Balizador da Meta'!$B$4:$B$21,'Balizador da Meta'!$C$4:$C$21)</f>
        <v>675</v>
      </c>
      <c r="Y236" s="28">
        <f>Y232*_xlfn.XLOOKUP($L236,'Balizador da Meta'!$B$4:$B$21,'Balizador da Meta'!$C$4:$C$21)</f>
        <v>675</v>
      </c>
      <c r="Z236" s="30">
        <f t="shared" si="58"/>
        <v>5265</v>
      </c>
      <c r="AA236" s="29"/>
      <c r="AB236" s="31">
        <f>SUMIFS('Historico - FAT'!AK:AK,'Historico - FAT'!$K:$K,Faturamento!$L236,'Historico - FAT'!$I:$I,Faturamento!$J236,'Historico - FAT'!$G:$G,Faturamento!$H236)</f>
        <v>0</v>
      </c>
      <c r="AC236" s="31">
        <f>SUMIFS('Historico - FAT'!AL:AL,'Historico - FAT'!$K:$K,Faturamento!$L236,'Historico - FAT'!$I:$I,Faturamento!$J236,'Historico - FAT'!$G:$G,Faturamento!$H236)</f>
        <v>0</v>
      </c>
      <c r="AD236" s="31">
        <f>SUMIFS('Historico - FAT'!AM:AM,'Historico - FAT'!$K:$K,Faturamento!$L236,'Historico - FAT'!$I:$I,Faturamento!$J236,'Historico - FAT'!$G:$G,Faturamento!$H236)</f>
        <v>0</v>
      </c>
      <c r="AE236" s="27">
        <f>SUMIFS('Historico - FAT'!AN:AN,'Historico - FAT'!$K:$K,Faturamento!$L236,'Historico - FAT'!$I:$I,Faturamento!$J236,'Historico - FAT'!$G:$G,Faturamento!$H236)</f>
        <v>0</v>
      </c>
      <c r="AG236" s="24">
        <f t="shared" si="46"/>
        <v>1</v>
      </c>
      <c r="AH236" s="24">
        <f t="shared" si="47"/>
        <v>1</v>
      </c>
      <c r="AI236" s="24">
        <f t="shared" si="48"/>
        <v>1</v>
      </c>
    </row>
    <row r="237" spans="1:35" hidden="1" x14ac:dyDescent="0.3">
      <c r="A237" s="2" t="str">
        <f t="shared" si="45"/>
        <v>NÃO</v>
      </c>
      <c r="B237" s="2">
        <v>1000184670</v>
      </c>
      <c r="C237" s="2" t="s">
        <v>147</v>
      </c>
      <c r="D237" s="4">
        <v>1000186197</v>
      </c>
      <c r="E237" s="4" t="s">
        <v>166</v>
      </c>
      <c r="F237" s="2">
        <v>1000198600</v>
      </c>
      <c r="G237" s="2" t="s">
        <v>148</v>
      </c>
      <c r="H237" s="4">
        <v>1000198601</v>
      </c>
      <c r="I237" s="4" t="s">
        <v>149</v>
      </c>
      <c r="J237" s="2">
        <v>1000189760</v>
      </c>
      <c r="K237" s="2" t="s">
        <v>143</v>
      </c>
      <c r="L237" s="4" t="s">
        <v>33</v>
      </c>
      <c r="M237" s="4" t="str">
        <f t="shared" si="52"/>
        <v>1000184670100018619710001986011000189760FOOD SERVICE</v>
      </c>
      <c r="N237" s="28">
        <f>N232*_xlfn.XLOOKUP($L237,'Balizador da Meta'!$B$4:$B$21,'Balizador da Meta'!$C$4:$C$21)</f>
        <v>0</v>
      </c>
      <c r="O237" s="28">
        <f>O232*_xlfn.XLOOKUP($L237,'Balizador da Meta'!$B$4:$B$21,'Balizador da Meta'!$C$4:$C$21)</f>
        <v>0</v>
      </c>
      <c r="P237" s="28">
        <f>P232*_xlfn.XLOOKUP($L237,'Balizador da Meta'!$B$4:$B$21,'Balizador da Meta'!$C$4:$C$21)</f>
        <v>0</v>
      </c>
      <c r="Q237" s="28">
        <f>Q232*_xlfn.XLOOKUP($L237,'Balizador da Meta'!$B$4:$B$21,'Balizador da Meta'!$C$4:$C$21)</f>
        <v>0</v>
      </c>
      <c r="R237" s="28">
        <f>R232*_xlfn.XLOOKUP($L237,'Balizador da Meta'!$B$4:$B$21,'Balizador da Meta'!$C$4:$C$21)</f>
        <v>0</v>
      </c>
      <c r="S237" s="28">
        <f>S232*_xlfn.XLOOKUP($L237,'Balizador da Meta'!$B$4:$B$21,'Balizador da Meta'!$C$4:$C$21)</f>
        <v>0</v>
      </c>
      <c r="T237" s="28">
        <f>T232*_xlfn.XLOOKUP($L237,'Balizador da Meta'!$B$4:$B$21,'Balizador da Meta'!$C$4:$C$21)</f>
        <v>0</v>
      </c>
      <c r="U237" s="28">
        <f>U232*_xlfn.XLOOKUP($L237,'Balizador da Meta'!$B$4:$B$21,'Balizador da Meta'!$C$4:$C$21)</f>
        <v>0</v>
      </c>
      <c r="V237" s="28">
        <f>V232*_xlfn.XLOOKUP($L237,'Balizador da Meta'!$B$4:$B$21,'Balizador da Meta'!$C$4:$C$21)</f>
        <v>0</v>
      </c>
      <c r="W237" s="28">
        <f>W232*_xlfn.XLOOKUP($L237,'Balizador da Meta'!$B$4:$B$21,'Balizador da Meta'!$C$4:$C$21)</f>
        <v>0</v>
      </c>
      <c r="X237" s="28">
        <f>X232*_xlfn.XLOOKUP($L237,'Balizador da Meta'!$B$4:$B$21,'Balizador da Meta'!$C$4:$C$21)</f>
        <v>0</v>
      </c>
      <c r="Y237" s="28">
        <f>Y232*_xlfn.XLOOKUP($L237,'Balizador da Meta'!$B$4:$B$21,'Balizador da Meta'!$C$4:$C$21)</f>
        <v>0</v>
      </c>
      <c r="Z237" s="30">
        <f t="shared" si="58"/>
        <v>0</v>
      </c>
      <c r="AA237" s="29"/>
      <c r="AB237" s="31">
        <f>SUMIFS('Historico - FAT'!AK:AK,'Historico - FAT'!$K:$K,Faturamento!$L237,'Historico - FAT'!$I:$I,Faturamento!$J237,'Historico - FAT'!$G:$G,Faturamento!$H237)</f>
        <v>0</v>
      </c>
      <c r="AC237" s="31">
        <f>SUMIFS('Historico - FAT'!AL:AL,'Historico - FAT'!$K:$K,Faturamento!$L237,'Historico - FAT'!$I:$I,Faturamento!$J237,'Historico - FAT'!$G:$G,Faturamento!$H237)</f>
        <v>0</v>
      </c>
      <c r="AD237" s="31">
        <f>SUMIFS('Historico - FAT'!AM:AM,'Historico - FAT'!$K:$K,Faturamento!$L237,'Historico - FAT'!$I:$I,Faturamento!$J237,'Historico - FAT'!$G:$G,Faturamento!$H237)</f>
        <v>0</v>
      </c>
      <c r="AE237" s="27">
        <f>SUMIFS('Historico - FAT'!AN:AN,'Historico - FAT'!$K:$K,Faturamento!$L237,'Historico - FAT'!$I:$I,Faturamento!$J237,'Historico - FAT'!$G:$G,Faturamento!$H237)</f>
        <v>0</v>
      </c>
      <c r="AG237" s="24" t="str">
        <f t="shared" si="46"/>
        <v/>
      </c>
      <c r="AH237" s="24" t="str">
        <f t="shared" si="47"/>
        <v/>
      </c>
      <c r="AI237" s="24" t="str">
        <f t="shared" si="48"/>
        <v/>
      </c>
    </row>
    <row r="238" spans="1:35" hidden="1" x14ac:dyDescent="0.3">
      <c r="A238" s="2" t="str">
        <f t="shared" si="45"/>
        <v>NÃO</v>
      </c>
      <c r="B238" s="2">
        <v>1000184670</v>
      </c>
      <c r="C238" s="2" t="s">
        <v>147</v>
      </c>
      <c r="D238" s="4">
        <v>1000186197</v>
      </c>
      <c r="E238" s="4" t="s">
        <v>166</v>
      </c>
      <c r="F238" s="2">
        <v>1000198600</v>
      </c>
      <c r="G238" s="2" t="s">
        <v>148</v>
      </c>
      <c r="H238" s="4">
        <v>1000198601</v>
      </c>
      <c r="I238" s="4" t="s">
        <v>149</v>
      </c>
      <c r="J238" s="2">
        <v>1000189760</v>
      </c>
      <c r="K238" s="2" t="s">
        <v>143</v>
      </c>
      <c r="L238" s="4" t="s">
        <v>19</v>
      </c>
      <c r="M238" s="4" t="str">
        <f t="shared" si="52"/>
        <v>1000184670100018619710001986011000189760GELEIA</v>
      </c>
      <c r="N238" s="28">
        <f>N232*_xlfn.XLOOKUP($L238,'Balizador da Meta'!$B$4:$B$21,'Balizador da Meta'!$C$4:$C$21)</f>
        <v>59.999999999999993</v>
      </c>
      <c r="O238" s="28">
        <f>O232*_xlfn.XLOOKUP($L238,'Balizador da Meta'!$B$4:$B$21,'Balizador da Meta'!$C$4:$C$21)</f>
        <v>59.999999999999993</v>
      </c>
      <c r="P238" s="28">
        <f>P232*_xlfn.XLOOKUP($L238,'Balizador da Meta'!$B$4:$B$21,'Balizador da Meta'!$C$4:$C$21)</f>
        <v>59.999999999999993</v>
      </c>
      <c r="Q238" s="28">
        <f>Q232*_xlfn.XLOOKUP($L238,'Balizador da Meta'!$B$4:$B$21,'Balizador da Meta'!$C$4:$C$21)</f>
        <v>59.999999999999993</v>
      </c>
      <c r="R238" s="28">
        <f>R232*_xlfn.XLOOKUP($L238,'Balizador da Meta'!$B$4:$B$21,'Balizador da Meta'!$C$4:$C$21)</f>
        <v>89.999999999999986</v>
      </c>
      <c r="S238" s="28">
        <f>S232*_xlfn.XLOOKUP($L238,'Balizador da Meta'!$B$4:$B$21,'Balizador da Meta'!$C$4:$C$21)</f>
        <v>89.999999999999986</v>
      </c>
      <c r="T238" s="28">
        <f>T232*_xlfn.XLOOKUP($L238,'Balizador da Meta'!$B$4:$B$21,'Balizador da Meta'!$C$4:$C$21)</f>
        <v>89.999999999999986</v>
      </c>
      <c r="U238" s="28">
        <f>U232*_xlfn.XLOOKUP($L238,'Balizador da Meta'!$B$4:$B$21,'Balizador da Meta'!$C$4:$C$21)</f>
        <v>119.99999999999999</v>
      </c>
      <c r="V238" s="28">
        <f>V232*_xlfn.XLOOKUP($L238,'Balizador da Meta'!$B$4:$B$21,'Balizador da Meta'!$C$4:$C$21)</f>
        <v>119.99999999999999</v>
      </c>
      <c r="W238" s="28">
        <f>W232*_xlfn.XLOOKUP($L238,'Balizador da Meta'!$B$4:$B$21,'Balizador da Meta'!$C$4:$C$21)</f>
        <v>119.99999999999999</v>
      </c>
      <c r="X238" s="28">
        <f>X232*_xlfn.XLOOKUP($L238,'Balizador da Meta'!$B$4:$B$21,'Balizador da Meta'!$C$4:$C$21)</f>
        <v>149.99999999999997</v>
      </c>
      <c r="Y238" s="28">
        <f>Y232*_xlfn.XLOOKUP($L238,'Balizador da Meta'!$B$4:$B$21,'Balizador da Meta'!$C$4:$C$21)</f>
        <v>149.99999999999997</v>
      </c>
      <c r="Z238" s="30">
        <f t="shared" si="58"/>
        <v>1169.9999999999998</v>
      </c>
      <c r="AA238" s="29"/>
      <c r="AB238" s="31">
        <f>SUMIFS('Historico - FAT'!AK:AK,'Historico - FAT'!$K:$K,Faturamento!$L238,'Historico - FAT'!$I:$I,Faturamento!$J238,'Historico - FAT'!$G:$G,Faturamento!$H238)</f>
        <v>0</v>
      </c>
      <c r="AC238" s="31">
        <f>SUMIFS('Historico - FAT'!AL:AL,'Historico - FAT'!$K:$K,Faturamento!$L238,'Historico - FAT'!$I:$I,Faturamento!$J238,'Historico - FAT'!$G:$G,Faturamento!$H238)</f>
        <v>0</v>
      </c>
      <c r="AD238" s="31">
        <f>SUMIFS('Historico - FAT'!AM:AM,'Historico - FAT'!$K:$K,Faturamento!$L238,'Historico - FAT'!$I:$I,Faturamento!$J238,'Historico - FAT'!$G:$G,Faturamento!$H238)</f>
        <v>0</v>
      </c>
      <c r="AE238" s="27">
        <f>SUMIFS('Historico - FAT'!AN:AN,'Historico - FAT'!$K:$K,Faturamento!$L238,'Historico - FAT'!$I:$I,Faturamento!$J238,'Historico - FAT'!$G:$G,Faturamento!$H238)</f>
        <v>0</v>
      </c>
      <c r="AG238" s="24">
        <f t="shared" si="46"/>
        <v>1</v>
      </c>
      <c r="AH238" s="24">
        <f t="shared" si="47"/>
        <v>1</v>
      </c>
      <c r="AI238" s="24">
        <f t="shared" si="48"/>
        <v>1</v>
      </c>
    </row>
    <row r="239" spans="1:35" hidden="1" x14ac:dyDescent="0.3">
      <c r="A239" s="2" t="str">
        <f t="shared" si="45"/>
        <v>NÃO</v>
      </c>
      <c r="B239" s="2">
        <v>1000184670</v>
      </c>
      <c r="C239" s="2" t="s">
        <v>147</v>
      </c>
      <c r="D239" s="4">
        <v>1000186197</v>
      </c>
      <c r="E239" s="4" t="s">
        <v>166</v>
      </c>
      <c r="F239" s="2">
        <v>1000198600</v>
      </c>
      <c r="G239" s="2" t="s">
        <v>148</v>
      </c>
      <c r="H239" s="4">
        <v>1000198601</v>
      </c>
      <c r="I239" s="4" t="s">
        <v>149</v>
      </c>
      <c r="J239" s="2">
        <v>1000189760</v>
      </c>
      <c r="K239" s="2" t="s">
        <v>143</v>
      </c>
      <c r="L239" s="4" t="s">
        <v>17</v>
      </c>
      <c r="M239" s="4" t="str">
        <f t="shared" si="52"/>
        <v>1000184670100018619710001986011000189760GRANOLA</v>
      </c>
      <c r="N239" s="28">
        <f>N232*_xlfn.XLOOKUP($L239,'Balizador da Meta'!$B$4:$B$21,'Balizador da Meta'!$C$4:$C$21)</f>
        <v>60</v>
      </c>
      <c r="O239" s="28">
        <f>O232*_xlfn.XLOOKUP($L239,'Balizador da Meta'!$B$4:$B$21,'Balizador da Meta'!$C$4:$C$21)</f>
        <v>60</v>
      </c>
      <c r="P239" s="28">
        <f>P232*_xlfn.XLOOKUP($L239,'Balizador da Meta'!$B$4:$B$21,'Balizador da Meta'!$C$4:$C$21)</f>
        <v>60</v>
      </c>
      <c r="Q239" s="28">
        <f>Q232*_xlfn.XLOOKUP($L239,'Balizador da Meta'!$B$4:$B$21,'Balizador da Meta'!$C$4:$C$21)</f>
        <v>60</v>
      </c>
      <c r="R239" s="28">
        <f>R232*_xlfn.XLOOKUP($L239,'Balizador da Meta'!$B$4:$B$21,'Balizador da Meta'!$C$4:$C$21)</f>
        <v>90</v>
      </c>
      <c r="S239" s="28">
        <f>S232*_xlfn.XLOOKUP($L239,'Balizador da Meta'!$B$4:$B$21,'Balizador da Meta'!$C$4:$C$21)</f>
        <v>90</v>
      </c>
      <c r="T239" s="28">
        <f>T232*_xlfn.XLOOKUP($L239,'Balizador da Meta'!$B$4:$B$21,'Balizador da Meta'!$C$4:$C$21)</f>
        <v>90</v>
      </c>
      <c r="U239" s="28">
        <f>U232*_xlfn.XLOOKUP($L239,'Balizador da Meta'!$B$4:$B$21,'Balizador da Meta'!$C$4:$C$21)</f>
        <v>120</v>
      </c>
      <c r="V239" s="28">
        <f>V232*_xlfn.XLOOKUP($L239,'Balizador da Meta'!$B$4:$B$21,'Balizador da Meta'!$C$4:$C$21)</f>
        <v>120</v>
      </c>
      <c r="W239" s="28">
        <f>W232*_xlfn.XLOOKUP($L239,'Balizador da Meta'!$B$4:$B$21,'Balizador da Meta'!$C$4:$C$21)</f>
        <v>120</v>
      </c>
      <c r="X239" s="28">
        <f>X232*_xlfn.XLOOKUP($L239,'Balizador da Meta'!$B$4:$B$21,'Balizador da Meta'!$C$4:$C$21)</f>
        <v>150</v>
      </c>
      <c r="Y239" s="28">
        <f>Y232*_xlfn.XLOOKUP($L239,'Balizador da Meta'!$B$4:$B$21,'Balizador da Meta'!$C$4:$C$21)</f>
        <v>150</v>
      </c>
      <c r="Z239" s="30">
        <f t="shared" si="58"/>
        <v>1170</v>
      </c>
      <c r="AA239" s="29"/>
      <c r="AB239" s="31">
        <f>SUMIFS('Historico - FAT'!AK:AK,'Historico - FAT'!$K:$K,Faturamento!$L239,'Historico - FAT'!$I:$I,Faturamento!$J239,'Historico - FAT'!$G:$G,Faturamento!$H239)</f>
        <v>0</v>
      </c>
      <c r="AC239" s="31">
        <f>SUMIFS('Historico - FAT'!AL:AL,'Historico - FAT'!$K:$K,Faturamento!$L239,'Historico - FAT'!$I:$I,Faturamento!$J239,'Historico - FAT'!$G:$G,Faturamento!$H239)</f>
        <v>0</v>
      </c>
      <c r="AD239" s="31">
        <f>SUMIFS('Historico - FAT'!AM:AM,'Historico - FAT'!$K:$K,Faturamento!$L239,'Historico - FAT'!$I:$I,Faturamento!$J239,'Historico - FAT'!$G:$G,Faturamento!$H239)</f>
        <v>0</v>
      </c>
      <c r="AE239" s="27">
        <f>SUMIFS('Historico - FAT'!AN:AN,'Historico - FAT'!$K:$K,Faturamento!$L239,'Historico - FAT'!$I:$I,Faturamento!$J239,'Historico - FAT'!$G:$G,Faturamento!$H239)</f>
        <v>0</v>
      </c>
      <c r="AG239" s="24">
        <f t="shared" si="46"/>
        <v>1</v>
      </c>
      <c r="AH239" s="24">
        <f t="shared" si="47"/>
        <v>1</v>
      </c>
      <c r="AI239" s="24">
        <f t="shared" si="48"/>
        <v>1</v>
      </c>
    </row>
    <row r="240" spans="1:35" hidden="1" x14ac:dyDescent="0.3">
      <c r="A240" s="2" t="str">
        <f t="shared" si="45"/>
        <v>NÃO</v>
      </c>
      <c r="B240" s="2">
        <v>1000184670</v>
      </c>
      <c r="C240" s="2" t="s">
        <v>147</v>
      </c>
      <c r="D240" s="4">
        <v>1000186197</v>
      </c>
      <c r="E240" s="4" t="s">
        <v>166</v>
      </c>
      <c r="F240" s="2">
        <v>1000198600</v>
      </c>
      <c r="G240" s="2" t="s">
        <v>148</v>
      </c>
      <c r="H240" s="4">
        <v>1000198601</v>
      </c>
      <c r="I240" s="4" t="s">
        <v>149</v>
      </c>
      <c r="J240" s="2">
        <v>1000189760</v>
      </c>
      <c r="K240" s="2" t="s">
        <v>143</v>
      </c>
      <c r="L240" s="4" t="s">
        <v>24</v>
      </c>
      <c r="M240" s="4" t="str">
        <f t="shared" si="52"/>
        <v>1000184670100018619710001986011000189760KIDS</v>
      </c>
      <c r="N240" s="28">
        <f>N232*_xlfn.XLOOKUP($L240,'Balizador da Meta'!$B$4:$B$21,'Balizador da Meta'!$C$4:$C$21)</f>
        <v>0</v>
      </c>
      <c r="O240" s="28">
        <f>O232*_xlfn.XLOOKUP($L240,'Balizador da Meta'!$B$4:$B$21,'Balizador da Meta'!$C$4:$C$21)</f>
        <v>0</v>
      </c>
      <c r="P240" s="28">
        <f>P232*_xlfn.XLOOKUP($L240,'Balizador da Meta'!$B$4:$B$21,'Balizador da Meta'!$C$4:$C$21)</f>
        <v>0</v>
      </c>
      <c r="Q240" s="28">
        <f>Q232*_xlfn.XLOOKUP($L240,'Balizador da Meta'!$B$4:$B$21,'Balizador da Meta'!$C$4:$C$21)</f>
        <v>0</v>
      </c>
      <c r="R240" s="28">
        <f>R232*_xlfn.XLOOKUP($L240,'Balizador da Meta'!$B$4:$B$21,'Balizador da Meta'!$C$4:$C$21)</f>
        <v>0</v>
      </c>
      <c r="S240" s="28">
        <f>S232*_xlfn.XLOOKUP($L240,'Balizador da Meta'!$B$4:$B$21,'Balizador da Meta'!$C$4:$C$21)</f>
        <v>0</v>
      </c>
      <c r="T240" s="28">
        <f>T232*_xlfn.XLOOKUP($L240,'Balizador da Meta'!$B$4:$B$21,'Balizador da Meta'!$C$4:$C$21)</f>
        <v>0</v>
      </c>
      <c r="U240" s="28">
        <f>U232*_xlfn.XLOOKUP($L240,'Balizador da Meta'!$B$4:$B$21,'Balizador da Meta'!$C$4:$C$21)</f>
        <v>0</v>
      </c>
      <c r="V240" s="28">
        <f>V232*_xlfn.XLOOKUP($L240,'Balizador da Meta'!$B$4:$B$21,'Balizador da Meta'!$C$4:$C$21)</f>
        <v>0</v>
      </c>
      <c r="W240" s="28">
        <f>W232*_xlfn.XLOOKUP($L240,'Balizador da Meta'!$B$4:$B$21,'Balizador da Meta'!$C$4:$C$21)</f>
        <v>0</v>
      </c>
      <c r="X240" s="28">
        <f>X232*_xlfn.XLOOKUP($L240,'Balizador da Meta'!$B$4:$B$21,'Balizador da Meta'!$C$4:$C$21)</f>
        <v>0</v>
      </c>
      <c r="Y240" s="28">
        <f>Y232*_xlfn.XLOOKUP($L240,'Balizador da Meta'!$B$4:$B$21,'Balizador da Meta'!$C$4:$C$21)</f>
        <v>0</v>
      </c>
      <c r="Z240" s="30">
        <f t="shared" si="58"/>
        <v>0</v>
      </c>
      <c r="AA240" s="29"/>
      <c r="AB240" s="31">
        <f>SUMIFS('Historico - FAT'!AK:AK,'Historico - FAT'!$K:$K,Faturamento!$L240,'Historico - FAT'!$I:$I,Faturamento!$J240,'Historico - FAT'!$G:$G,Faturamento!$H240)</f>
        <v>0</v>
      </c>
      <c r="AC240" s="31">
        <f>SUMIFS('Historico - FAT'!AL:AL,'Historico - FAT'!$K:$K,Faturamento!$L240,'Historico - FAT'!$I:$I,Faturamento!$J240,'Historico - FAT'!$G:$G,Faturamento!$H240)</f>
        <v>0</v>
      </c>
      <c r="AD240" s="31">
        <f>SUMIFS('Historico - FAT'!AM:AM,'Historico - FAT'!$K:$K,Faturamento!$L240,'Historico - FAT'!$I:$I,Faturamento!$J240,'Historico - FAT'!$G:$G,Faturamento!$H240)</f>
        <v>0</v>
      </c>
      <c r="AE240" s="27">
        <f>SUMIFS('Historico - FAT'!AN:AN,'Historico - FAT'!$K:$K,Faturamento!$L240,'Historico - FAT'!$I:$I,Faturamento!$J240,'Historico - FAT'!$G:$G,Faturamento!$H240)</f>
        <v>0</v>
      </c>
      <c r="AG240" s="24" t="str">
        <f t="shared" si="46"/>
        <v/>
      </c>
      <c r="AH240" s="24" t="str">
        <f t="shared" si="47"/>
        <v/>
      </c>
      <c r="AI240" s="24" t="str">
        <f t="shared" si="48"/>
        <v/>
      </c>
    </row>
    <row r="241" spans="1:35" hidden="1" x14ac:dyDescent="0.3">
      <c r="A241" s="2" t="str">
        <f t="shared" si="45"/>
        <v>NÃO</v>
      </c>
      <c r="B241" s="2">
        <v>1000184670</v>
      </c>
      <c r="C241" s="2" t="s">
        <v>147</v>
      </c>
      <c r="D241" s="4">
        <v>1000186197</v>
      </c>
      <c r="E241" s="4" t="s">
        <v>166</v>
      </c>
      <c r="F241" s="2">
        <v>1000198600</v>
      </c>
      <c r="G241" s="2" t="s">
        <v>148</v>
      </c>
      <c r="H241" s="4">
        <v>1000198601</v>
      </c>
      <c r="I241" s="4" t="s">
        <v>149</v>
      </c>
      <c r="J241" s="2">
        <v>1000189760</v>
      </c>
      <c r="K241" s="2" t="s">
        <v>143</v>
      </c>
      <c r="L241" s="4" t="s">
        <v>18</v>
      </c>
      <c r="M241" s="4" t="str">
        <f t="shared" si="52"/>
        <v>1000184670100018619710001986011000189760LANCHES</v>
      </c>
      <c r="N241" s="28">
        <f>N232*_xlfn.XLOOKUP($L241,'Balizador da Meta'!$B$4:$B$21,'Balizador da Meta'!$C$4:$C$21)</f>
        <v>30</v>
      </c>
      <c r="O241" s="28">
        <f>O232*_xlfn.XLOOKUP($L241,'Balizador da Meta'!$B$4:$B$21,'Balizador da Meta'!$C$4:$C$21)</f>
        <v>30</v>
      </c>
      <c r="P241" s="28">
        <f>P232*_xlfn.XLOOKUP($L241,'Balizador da Meta'!$B$4:$B$21,'Balizador da Meta'!$C$4:$C$21)</f>
        <v>30</v>
      </c>
      <c r="Q241" s="28">
        <f>Q232*_xlfn.XLOOKUP($L241,'Balizador da Meta'!$B$4:$B$21,'Balizador da Meta'!$C$4:$C$21)</f>
        <v>30</v>
      </c>
      <c r="R241" s="28">
        <f>R232*_xlfn.XLOOKUP($L241,'Balizador da Meta'!$B$4:$B$21,'Balizador da Meta'!$C$4:$C$21)</f>
        <v>45</v>
      </c>
      <c r="S241" s="28">
        <f>S232*_xlfn.XLOOKUP($L241,'Balizador da Meta'!$B$4:$B$21,'Balizador da Meta'!$C$4:$C$21)</f>
        <v>45</v>
      </c>
      <c r="T241" s="28">
        <f>T232*_xlfn.XLOOKUP($L241,'Balizador da Meta'!$B$4:$B$21,'Balizador da Meta'!$C$4:$C$21)</f>
        <v>45</v>
      </c>
      <c r="U241" s="28">
        <f>U232*_xlfn.XLOOKUP($L241,'Balizador da Meta'!$B$4:$B$21,'Balizador da Meta'!$C$4:$C$21)</f>
        <v>60</v>
      </c>
      <c r="V241" s="28">
        <f>V232*_xlfn.XLOOKUP($L241,'Balizador da Meta'!$B$4:$B$21,'Balizador da Meta'!$C$4:$C$21)</f>
        <v>60</v>
      </c>
      <c r="W241" s="28">
        <f>W232*_xlfn.XLOOKUP($L241,'Balizador da Meta'!$B$4:$B$21,'Balizador da Meta'!$C$4:$C$21)</f>
        <v>60</v>
      </c>
      <c r="X241" s="28">
        <f>X232*_xlfn.XLOOKUP($L241,'Balizador da Meta'!$B$4:$B$21,'Balizador da Meta'!$C$4:$C$21)</f>
        <v>75</v>
      </c>
      <c r="Y241" s="28">
        <f>Y232*_xlfn.XLOOKUP($L241,'Balizador da Meta'!$B$4:$B$21,'Balizador da Meta'!$C$4:$C$21)</f>
        <v>75</v>
      </c>
      <c r="Z241" s="30">
        <f t="shared" si="58"/>
        <v>585</v>
      </c>
      <c r="AA241" s="29"/>
      <c r="AB241" s="31">
        <f>SUMIFS('Historico - FAT'!AK:AK,'Historico - FAT'!$K:$K,Faturamento!$L241,'Historico - FAT'!$I:$I,Faturamento!$J241,'Historico - FAT'!$G:$G,Faturamento!$H241)</f>
        <v>0</v>
      </c>
      <c r="AC241" s="31">
        <f>SUMIFS('Historico - FAT'!AL:AL,'Historico - FAT'!$K:$K,Faturamento!$L241,'Historico - FAT'!$I:$I,Faturamento!$J241,'Historico - FAT'!$G:$G,Faturamento!$H241)</f>
        <v>0</v>
      </c>
      <c r="AD241" s="31">
        <f>SUMIFS('Historico - FAT'!AM:AM,'Historico - FAT'!$K:$K,Faturamento!$L241,'Historico - FAT'!$I:$I,Faturamento!$J241,'Historico - FAT'!$G:$G,Faturamento!$H241)</f>
        <v>0</v>
      </c>
      <c r="AE241" s="27">
        <f>SUMIFS('Historico - FAT'!AN:AN,'Historico - FAT'!$K:$K,Faturamento!$L241,'Historico - FAT'!$I:$I,Faturamento!$J241,'Historico - FAT'!$G:$G,Faturamento!$H241)</f>
        <v>0</v>
      </c>
      <c r="AG241" s="24">
        <f t="shared" si="46"/>
        <v>1</v>
      </c>
      <c r="AH241" s="24">
        <f t="shared" si="47"/>
        <v>1</v>
      </c>
      <c r="AI241" s="24">
        <f t="shared" si="48"/>
        <v>1</v>
      </c>
    </row>
    <row r="242" spans="1:35" hidden="1" x14ac:dyDescent="0.3">
      <c r="A242" s="2" t="str">
        <f t="shared" ref="A242:A305" si="59">IF(OR(H242&lt;&gt;H241,J242&lt;&gt;J241),"SIM","NÃO")</f>
        <v>NÃO</v>
      </c>
      <c r="B242" s="2">
        <v>1000184670</v>
      </c>
      <c r="C242" s="2" t="s">
        <v>147</v>
      </c>
      <c r="D242" s="4">
        <v>1000186197</v>
      </c>
      <c r="E242" s="4" t="s">
        <v>166</v>
      </c>
      <c r="F242" s="2">
        <v>1000198600</v>
      </c>
      <c r="G242" s="2" t="s">
        <v>148</v>
      </c>
      <c r="H242" s="4">
        <v>1000198601</v>
      </c>
      <c r="I242" s="4" t="s">
        <v>149</v>
      </c>
      <c r="J242" s="2">
        <v>1000189760</v>
      </c>
      <c r="K242" s="2" t="s">
        <v>143</v>
      </c>
      <c r="L242" s="4" t="s">
        <v>29</v>
      </c>
      <c r="M242" s="4" t="str">
        <f t="shared" si="52"/>
        <v>1000184670100018619710001986011000189760MAIS GRANEL</v>
      </c>
      <c r="N242" s="28">
        <f>N232*_xlfn.XLOOKUP($L242,'Balizador da Meta'!$B$4:$B$21,'Balizador da Meta'!$C$4:$C$21)</f>
        <v>960</v>
      </c>
      <c r="O242" s="28">
        <f>O232*_xlfn.XLOOKUP($L242,'Balizador da Meta'!$B$4:$B$21,'Balizador da Meta'!$C$4:$C$21)</f>
        <v>960</v>
      </c>
      <c r="P242" s="28">
        <f>P232*_xlfn.XLOOKUP($L242,'Balizador da Meta'!$B$4:$B$21,'Balizador da Meta'!$C$4:$C$21)</f>
        <v>960</v>
      </c>
      <c r="Q242" s="28">
        <f>Q232*_xlfn.XLOOKUP($L242,'Balizador da Meta'!$B$4:$B$21,'Balizador da Meta'!$C$4:$C$21)</f>
        <v>960</v>
      </c>
      <c r="R242" s="28">
        <f>R232*_xlfn.XLOOKUP($L242,'Balizador da Meta'!$B$4:$B$21,'Balizador da Meta'!$C$4:$C$21)</f>
        <v>1440</v>
      </c>
      <c r="S242" s="28">
        <f>S232*_xlfn.XLOOKUP($L242,'Balizador da Meta'!$B$4:$B$21,'Balizador da Meta'!$C$4:$C$21)</f>
        <v>1440</v>
      </c>
      <c r="T242" s="28">
        <f>T232*_xlfn.XLOOKUP($L242,'Balizador da Meta'!$B$4:$B$21,'Balizador da Meta'!$C$4:$C$21)</f>
        <v>1440</v>
      </c>
      <c r="U242" s="28">
        <f>U232*_xlfn.XLOOKUP($L242,'Balizador da Meta'!$B$4:$B$21,'Balizador da Meta'!$C$4:$C$21)</f>
        <v>1920</v>
      </c>
      <c r="V242" s="28">
        <f>V232*_xlfn.XLOOKUP($L242,'Balizador da Meta'!$B$4:$B$21,'Balizador da Meta'!$C$4:$C$21)</f>
        <v>1920</v>
      </c>
      <c r="W242" s="28">
        <f>W232*_xlfn.XLOOKUP($L242,'Balizador da Meta'!$B$4:$B$21,'Balizador da Meta'!$C$4:$C$21)</f>
        <v>1920</v>
      </c>
      <c r="X242" s="28">
        <f>X232*_xlfn.XLOOKUP($L242,'Balizador da Meta'!$B$4:$B$21,'Balizador da Meta'!$C$4:$C$21)</f>
        <v>2400</v>
      </c>
      <c r="Y242" s="28">
        <f>Y232*_xlfn.XLOOKUP($L242,'Balizador da Meta'!$B$4:$B$21,'Balizador da Meta'!$C$4:$C$21)</f>
        <v>2400</v>
      </c>
      <c r="Z242" s="30">
        <f t="shared" si="58"/>
        <v>18720</v>
      </c>
      <c r="AA242" s="29"/>
      <c r="AB242" s="31">
        <f>SUMIFS('Historico - FAT'!AK:AK,'Historico - FAT'!$K:$K,Faturamento!$L242,'Historico - FAT'!$I:$I,Faturamento!$J242,'Historico - FAT'!$G:$G,Faturamento!$H242)</f>
        <v>0</v>
      </c>
      <c r="AC242" s="31">
        <f>SUMIFS('Historico - FAT'!AL:AL,'Historico - FAT'!$K:$K,Faturamento!$L242,'Historico - FAT'!$I:$I,Faturamento!$J242,'Historico - FAT'!$G:$G,Faturamento!$H242)</f>
        <v>245.22083333333333</v>
      </c>
      <c r="AD242" s="31">
        <f>SUMIFS('Historico - FAT'!AM:AM,'Historico - FAT'!$K:$K,Faturamento!$L242,'Historico - FAT'!$I:$I,Faturamento!$J242,'Historico - FAT'!$G:$G,Faturamento!$H242)</f>
        <v>490.44166666666666</v>
      </c>
      <c r="AE242" s="27">
        <f>SUMIFS('Historico - FAT'!AN:AN,'Historico - FAT'!$K:$K,Faturamento!$L242,'Historico - FAT'!$I:$I,Faturamento!$J242,'Historico - FAT'!$G:$G,Faturamento!$H242)</f>
        <v>294.26499999999999</v>
      </c>
      <c r="AG242" s="24">
        <f t="shared" ref="AG242:AG305" si="60">IFERROR((AVERAGE(W242:Y242)-AB242)/AVERAGE(W242:Y242),"")</f>
        <v>1</v>
      </c>
      <c r="AH242" s="24">
        <f t="shared" ref="AH242:AH305" si="61">IFERROR((AVERAGE(W242:Y242)-AC242)/AVERAGE(W242:Y242),"")</f>
        <v>0.89052641369047625</v>
      </c>
      <c r="AI242" s="24">
        <f t="shared" ref="AI242:AI305" si="62">IFERROR((AVERAGE(W242:Y242)-AD242)/AVERAGE(W242:Y242),"")</f>
        <v>0.78105282738095239</v>
      </c>
    </row>
    <row r="243" spans="1:35" hidden="1" x14ac:dyDescent="0.3">
      <c r="A243" s="2" t="str">
        <f t="shared" si="59"/>
        <v>NÃO</v>
      </c>
      <c r="B243" s="2">
        <v>1000184670</v>
      </c>
      <c r="C243" s="2" t="s">
        <v>147</v>
      </c>
      <c r="D243" s="4">
        <v>1000186197</v>
      </c>
      <c r="E243" s="4" t="s">
        <v>166</v>
      </c>
      <c r="F243" s="2">
        <v>1000198600</v>
      </c>
      <c r="G243" s="2" t="s">
        <v>148</v>
      </c>
      <c r="H243" s="4">
        <v>1000198601</v>
      </c>
      <c r="I243" s="4" t="s">
        <v>149</v>
      </c>
      <c r="J243" s="2">
        <v>1000189760</v>
      </c>
      <c r="K243" s="2" t="s">
        <v>143</v>
      </c>
      <c r="L243" s="4" t="s">
        <v>21</v>
      </c>
      <c r="M243" s="4" t="str">
        <f t="shared" si="52"/>
        <v>1000184670100018619710001986011000189760NATURATTA</v>
      </c>
      <c r="N243" s="28">
        <f>N232*_xlfn.XLOOKUP($L243,'Balizador da Meta'!$B$4:$B$21,'Balizador da Meta'!$C$4:$C$21)</f>
        <v>150</v>
      </c>
      <c r="O243" s="28">
        <f>O232*_xlfn.XLOOKUP($L243,'Balizador da Meta'!$B$4:$B$21,'Balizador da Meta'!$C$4:$C$21)</f>
        <v>150</v>
      </c>
      <c r="P243" s="28">
        <f>P232*_xlfn.XLOOKUP($L243,'Balizador da Meta'!$B$4:$B$21,'Balizador da Meta'!$C$4:$C$21)</f>
        <v>150</v>
      </c>
      <c r="Q243" s="28">
        <f>Q232*_xlfn.XLOOKUP($L243,'Balizador da Meta'!$B$4:$B$21,'Balizador da Meta'!$C$4:$C$21)</f>
        <v>150</v>
      </c>
      <c r="R243" s="28">
        <f>R232*_xlfn.XLOOKUP($L243,'Balizador da Meta'!$B$4:$B$21,'Balizador da Meta'!$C$4:$C$21)</f>
        <v>225</v>
      </c>
      <c r="S243" s="28">
        <f>S232*_xlfn.XLOOKUP($L243,'Balizador da Meta'!$B$4:$B$21,'Balizador da Meta'!$C$4:$C$21)</f>
        <v>225</v>
      </c>
      <c r="T243" s="28">
        <f>T232*_xlfn.XLOOKUP($L243,'Balizador da Meta'!$B$4:$B$21,'Balizador da Meta'!$C$4:$C$21)</f>
        <v>225</v>
      </c>
      <c r="U243" s="28">
        <f>U232*_xlfn.XLOOKUP($L243,'Balizador da Meta'!$B$4:$B$21,'Balizador da Meta'!$C$4:$C$21)</f>
        <v>300</v>
      </c>
      <c r="V243" s="28">
        <f>V232*_xlfn.XLOOKUP($L243,'Balizador da Meta'!$B$4:$B$21,'Balizador da Meta'!$C$4:$C$21)</f>
        <v>300</v>
      </c>
      <c r="W243" s="28">
        <f>W232*_xlfn.XLOOKUP($L243,'Balizador da Meta'!$B$4:$B$21,'Balizador da Meta'!$C$4:$C$21)</f>
        <v>300</v>
      </c>
      <c r="X243" s="28">
        <f>X232*_xlfn.XLOOKUP($L243,'Balizador da Meta'!$B$4:$B$21,'Balizador da Meta'!$C$4:$C$21)</f>
        <v>375</v>
      </c>
      <c r="Y243" s="28">
        <f>Y232*_xlfn.XLOOKUP($L243,'Balizador da Meta'!$B$4:$B$21,'Balizador da Meta'!$C$4:$C$21)</f>
        <v>375</v>
      </c>
      <c r="Z243" s="30">
        <f t="shared" si="58"/>
        <v>2925</v>
      </c>
      <c r="AA243" s="29"/>
      <c r="AB243" s="31">
        <f>SUMIFS('Historico - FAT'!AK:AK,'Historico - FAT'!$K:$K,Faturamento!$L243,'Historico - FAT'!$I:$I,Faturamento!$J243,'Historico - FAT'!$G:$G,Faturamento!$H243)</f>
        <v>0</v>
      </c>
      <c r="AC243" s="31">
        <f>SUMIFS('Historico - FAT'!AL:AL,'Historico - FAT'!$K:$K,Faturamento!$L243,'Historico - FAT'!$I:$I,Faturamento!$J243,'Historico - FAT'!$G:$G,Faturamento!$H243)</f>
        <v>0</v>
      </c>
      <c r="AD243" s="31">
        <f>SUMIFS('Historico - FAT'!AM:AM,'Historico - FAT'!$K:$K,Faturamento!$L243,'Historico - FAT'!$I:$I,Faturamento!$J243,'Historico - FAT'!$G:$G,Faturamento!$H243)</f>
        <v>0</v>
      </c>
      <c r="AE243" s="27">
        <f>SUMIFS('Historico - FAT'!AN:AN,'Historico - FAT'!$K:$K,Faturamento!$L243,'Historico - FAT'!$I:$I,Faturamento!$J243,'Historico - FAT'!$G:$G,Faturamento!$H243)</f>
        <v>0</v>
      </c>
      <c r="AG243" s="24">
        <f t="shared" si="60"/>
        <v>1</v>
      </c>
      <c r="AH243" s="24">
        <f t="shared" si="61"/>
        <v>1</v>
      </c>
      <c r="AI243" s="24">
        <f t="shared" si="62"/>
        <v>1</v>
      </c>
    </row>
    <row r="244" spans="1:35" hidden="1" x14ac:dyDescent="0.3">
      <c r="A244" s="2" t="str">
        <f t="shared" si="59"/>
        <v>NÃO</v>
      </c>
      <c r="B244" s="2">
        <v>1000184670</v>
      </c>
      <c r="C244" s="2" t="s">
        <v>147</v>
      </c>
      <c r="D244" s="4">
        <v>1000186197</v>
      </c>
      <c r="E244" s="4" t="s">
        <v>166</v>
      </c>
      <c r="F244" s="2">
        <v>1000198600</v>
      </c>
      <c r="G244" s="2" t="s">
        <v>148</v>
      </c>
      <c r="H244" s="4">
        <v>1000198601</v>
      </c>
      <c r="I244" s="4" t="s">
        <v>149</v>
      </c>
      <c r="J244" s="2">
        <v>1000189760</v>
      </c>
      <c r="K244" s="2" t="s">
        <v>143</v>
      </c>
      <c r="L244" s="4" t="s">
        <v>20</v>
      </c>
      <c r="M244" s="4" t="str">
        <f t="shared" si="52"/>
        <v>1000184670100018619710001986011000189760REEMBALADOS</v>
      </c>
      <c r="N244" s="28">
        <f>N232*_xlfn.XLOOKUP($L244,'Balizador da Meta'!$B$4:$B$21,'Balizador da Meta'!$C$4:$C$21)</f>
        <v>120</v>
      </c>
      <c r="O244" s="28">
        <f>O232*_xlfn.XLOOKUP($L244,'Balizador da Meta'!$B$4:$B$21,'Balizador da Meta'!$C$4:$C$21)</f>
        <v>120</v>
      </c>
      <c r="P244" s="28">
        <f>P232*_xlfn.XLOOKUP($L244,'Balizador da Meta'!$B$4:$B$21,'Balizador da Meta'!$C$4:$C$21)</f>
        <v>120</v>
      </c>
      <c r="Q244" s="28">
        <f>Q232*_xlfn.XLOOKUP($L244,'Balizador da Meta'!$B$4:$B$21,'Balizador da Meta'!$C$4:$C$21)</f>
        <v>120</v>
      </c>
      <c r="R244" s="28">
        <f>R232*_xlfn.XLOOKUP($L244,'Balizador da Meta'!$B$4:$B$21,'Balizador da Meta'!$C$4:$C$21)</f>
        <v>180</v>
      </c>
      <c r="S244" s="28">
        <f>S232*_xlfn.XLOOKUP($L244,'Balizador da Meta'!$B$4:$B$21,'Balizador da Meta'!$C$4:$C$21)</f>
        <v>180</v>
      </c>
      <c r="T244" s="28">
        <f>T232*_xlfn.XLOOKUP($L244,'Balizador da Meta'!$B$4:$B$21,'Balizador da Meta'!$C$4:$C$21)</f>
        <v>180</v>
      </c>
      <c r="U244" s="28">
        <f>U232*_xlfn.XLOOKUP($L244,'Balizador da Meta'!$B$4:$B$21,'Balizador da Meta'!$C$4:$C$21)</f>
        <v>240</v>
      </c>
      <c r="V244" s="28">
        <f>V232*_xlfn.XLOOKUP($L244,'Balizador da Meta'!$B$4:$B$21,'Balizador da Meta'!$C$4:$C$21)</f>
        <v>240</v>
      </c>
      <c r="W244" s="28">
        <f>W232*_xlfn.XLOOKUP($L244,'Balizador da Meta'!$B$4:$B$21,'Balizador da Meta'!$C$4:$C$21)</f>
        <v>240</v>
      </c>
      <c r="X244" s="28">
        <f>X232*_xlfn.XLOOKUP($L244,'Balizador da Meta'!$B$4:$B$21,'Balizador da Meta'!$C$4:$C$21)</f>
        <v>300</v>
      </c>
      <c r="Y244" s="28">
        <f>Y232*_xlfn.XLOOKUP($L244,'Balizador da Meta'!$B$4:$B$21,'Balizador da Meta'!$C$4:$C$21)</f>
        <v>300</v>
      </c>
      <c r="Z244" s="30">
        <f t="shared" si="58"/>
        <v>2340</v>
      </c>
      <c r="AA244" s="29"/>
      <c r="AB244" s="31">
        <f>SUMIFS('Historico - FAT'!AK:AK,'Historico - FAT'!$K:$K,Faturamento!$L244,'Historico - FAT'!$I:$I,Faturamento!$J244,'Historico - FAT'!$G:$G,Faturamento!$H244)</f>
        <v>0</v>
      </c>
      <c r="AC244" s="31">
        <f>SUMIFS('Historico - FAT'!AL:AL,'Historico - FAT'!$K:$K,Faturamento!$L244,'Historico - FAT'!$I:$I,Faturamento!$J244,'Historico - FAT'!$G:$G,Faturamento!$H244)</f>
        <v>0</v>
      </c>
      <c r="AD244" s="31">
        <f>SUMIFS('Historico - FAT'!AM:AM,'Historico - FAT'!$K:$K,Faturamento!$L244,'Historico - FAT'!$I:$I,Faturamento!$J244,'Historico - FAT'!$G:$G,Faturamento!$H244)</f>
        <v>0</v>
      </c>
      <c r="AE244" s="27">
        <f>SUMIFS('Historico - FAT'!AN:AN,'Historico - FAT'!$K:$K,Faturamento!$L244,'Historico - FAT'!$I:$I,Faturamento!$J244,'Historico - FAT'!$G:$G,Faturamento!$H244)</f>
        <v>0</v>
      </c>
      <c r="AG244" s="24">
        <f t="shared" si="60"/>
        <v>1</v>
      </c>
      <c r="AH244" s="24">
        <f t="shared" si="61"/>
        <v>1</v>
      </c>
      <c r="AI244" s="24">
        <f t="shared" si="62"/>
        <v>1</v>
      </c>
    </row>
    <row r="245" spans="1:35" hidden="1" x14ac:dyDescent="0.3">
      <c r="A245" s="2" t="str">
        <f t="shared" si="59"/>
        <v>NÃO</v>
      </c>
      <c r="B245" s="2">
        <v>1000184670</v>
      </c>
      <c r="C245" s="2" t="s">
        <v>147</v>
      </c>
      <c r="D245" s="4">
        <v>1000186197</v>
      </c>
      <c r="E245" s="4" t="s">
        <v>166</v>
      </c>
      <c r="F245" s="2">
        <v>1000198600</v>
      </c>
      <c r="G245" s="2" t="s">
        <v>148</v>
      </c>
      <c r="H245" s="4">
        <v>1000198601</v>
      </c>
      <c r="I245" s="4" t="s">
        <v>149</v>
      </c>
      <c r="J245" s="2">
        <v>1000189760</v>
      </c>
      <c r="K245" s="2" t="s">
        <v>143</v>
      </c>
      <c r="L245" s="4" t="s">
        <v>22</v>
      </c>
      <c r="M245" s="4" t="str">
        <f t="shared" si="52"/>
        <v>1000184670100018619710001986011000189760S GLUTEN</v>
      </c>
      <c r="N245" s="28">
        <f>N232*_xlfn.XLOOKUP($L245,'Balizador da Meta'!$B$4:$B$21,'Balizador da Meta'!$C$4:$C$21)</f>
        <v>120</v>
      </c>
      <c r="O245" s="28">
        <f>O232*_xlfn.XLOOKUP($L245,'Balizador da Meta'!$B$4:$B$21,'Balizador da Meta'!$C$4:$C$21)</f>
        <v>120</v>
      </c>
      <c r="P245" s="28">
        <f>P232*_xlfn.XLOOKUP($L245,'Balizador da Meta'!$B$4:$B$21,'Balizador da Meta'!$C$4:$C$21)</f>
        <v>120</v>
      </c>
      <c r="Q245" s="28">
        <f>Q232*_xlfn.XLOOKUP($L245,'Balizador da Meta'!$B$4:$B$21,'Balizador da Meta'!$C$4:$C$21)</f>
        <v>120</v>
      </c>
      <c r="R245" s="28">
        <f>R232*_xlfn.XLOOKUP($L245,'Balizador da Meta'!$B$4:$B$21,'Balizador da Meta'!$C$4:$C$21)</f>
        <v>180</v>
      </c>
      <c r="S245" s="28">
        <f>S232*_xlfn.XLOOKUP($L245,'Balizador da Meta'!$B$4:$B$21,'Balizador da Meta'!$C$4:$C$21)</f>
        <v>180</v>
      </c>
      <c r="T245" s="28">
        <f>T232*_xlfn.XLOOKUP($L245,'Balizador da Meta'!$B$4:$B$21,'Balizador da Meta'!$C$4:$C$21)</f>
        <v>180</v>
      </c>
      <c r="U245" s="28">
        <f>U232*_xlfn.XLOOKUP($L245,'Balizador da Meta'!$B$4:$B$21,'Balizador da Meta'!$C$4:$C$21)</f>
        <v>240</v>
      </c>
      <c r="V245" s="28">
        <f>V232*_xlfn.XLOOKUP($L245,'Balizador da Meta'!$B$4:$B$21,'Balizador da Meta'!$C$4:$C$21)</f>
        <v>240</v>
      </c>
      <c r="W245" s="28">
        <f>W232*_xlfn.XLOOKUP($L245,'Balizador da Meta'!$B$4:$B$21,'Balizador da Meta'!$C$4:$C$21)</f>
        <v>240</v>
      </c>
      <c r="X245" s="28">
        <f>X232*_xlfn.XLOOKUP($L245,'Balizador da Meta'!$B$4:$B$21,'Balizador da Meta'!$C$4:$C$21)</f>
        <v>300</v>
      </c>
      <c r="Y245" s="28">
        <f>Y232*_xlfn.XLOOKUP($L245,'Balizador da Meta'!$B$4:$B$21,'Balizador da Meta'!$C$4:$C$21)</f>
        <v>300</v>
      </c>
      <c r="Z245" s="30">
        <f t="shared" si="58"/>
        <v>2340</v>
      </c>
      <c r="AA245" s="29"/>
      <c r="AB245" s="31">
        <f>SUMIFS('Historico - FAT'!AK:AK,'Historico - FAT'!$K:$K,Faturamento!$L245,'Historico - FAT'!$I:$I,Faturamento!$J245,'Historico - FAT'!$G:$G,Faturamento!$H245)</f>
        <v>0</v>
      </c>
      <c r="AC245" s="31">
        <f>SUMIFS('Historico - FAT'!AL:AL,'Historico - FAT'!$K:$K,Faturamento!$L245,'Historico - FAT'!$I:$I,Faturamento!$J245,'Historico - FAT'!$G:$G,Faturamento!$H245)</f>
        <v>0</v>
      </c>
      <c r="AD245" s="31">
        <f>SUMIFS('Historico - FAT'!AM:AM,'Historico - FAT'!$K:$K,Faturamento!$L245,'Historico - FAT'!$I:$I,Faturamento!$J245,'Historico - FAT'!$G:$G,Faturamento!$H245)</f>
        <v>0</v>
      </c>
      <c r="AE245" s="27">
        <f>SUMIFS('Historico - FAT'!AN:AN,'Historico - FAT'!$K:$K,Faturamento!$L245,'Historico - FAT'!$I:$I,Faturamento!$J245,'Historico - FAT'!$G:$G,Faturamento!$H245)</f>
        <v>0</v>
      </c>
      <c r="AG245" s="24">
        <f t="shared" si="60"/>
        <v>1</v>
      </c>
      <c r="AH245" s="24">
        <f t="shared" si="61"/>
        <v>1</v>
      </c>
      <c r="AI245" s="24">
        <f t="shared" si="62"/>
        <v>1</v>
      </c>
    </row>
    <row r="246" spans="1:35" hidden="1" x14ac:dyDescent="0.3">
      <c r="A246" s="2" t="str">
        <f t="shared" si="59"/>
        <v>NÃO</v>
      </c>
      <c r="B246" s="2">
        <v>1000184670</v>
      </c>
      <c r="C246" s="2" t="s">
        <v>147</v>
      </c>
      <c r="D246" s="4">
        <v>1000186197</v>
      </c>
      <c r="E246" s="4" t="s">
        <v>166</v>
      </c>
      <c r="F246" s="2">
        <v>1000198600</v>
      </c>
      <c r="G246" s="2" t="s">
        <v>148</v>
      </c>
      <c r="H246" s="4">
        <v>1000198601</v>
      </c>
      <c r="I246" s="4" t="s">
        <v>149</v>
      </c>
      <c r="J246" s="2">
        <v>1000189760</v>
      </c>
      <c r="K246" s="2" t="s">
        <v>143</v>
      </c>
      <c r="L246" s="4" t="s">
        <v>23</v>
      </c>
      <c r="M246" s="4" t="str">
        <f t="shared" si="52"/>
        <v>1000184670100018619710001986011000189760SABORES DO CAMPO</v>
      </c>
      <c r="N246" s="28">
        <f>N232*_xlfn.XLOOKUP($L246,'Balizador da Meta'!$B$4:$B$21,'Balizador da Meta'!$C$4:$C$21)</f>
        <v>0</v>
      </c>
      <c r="O246" s="28">
        <f>O232*_xlfn.XLOOKUP($L246,'Balizador da Meta'!$B$4:$B$21,'Balizador da Meta'!$C$4:$C$21)</f>
        <v>0</v>
      </c>
      <c r="P246" s="28">
        <f>P232*_xlfn.XLOOKUP($L246,'Balizador da Meta'!$B$4:$B$21,'Balizador da Meta'!$C$4:$C$21)</f>
        <v>0</v>
      </c>
      <c r="Q246" s="28">
        <f>Q232*_xlfn.XLOOKUP($L246,'Balizador da Meta'!$B$4:$B$21,'Balizador da Meta'!$C$4:$C$21)</f>
        <v>0</v>
      </c>
      <c r="R246" s="28">
        <f>R232*_xlfn.XLOOKUP($L246,'Balizador da Meta'!$B$4:$B$21,'Balizador da Meta'!$C$4:$C$21)</f>
        <v>0</v>
      </c>
      <c r="S246" s="28">
        <f>S232*_xlfn.XLOOKUP($L246,'Balizador da Meta'!$B$4:$B$21,'Balizador da Meta'!$C$4:$C$21)</f>
        <v>0</v>
      </c>
      <c r="T246" s="28">
        <f>T232*_xlfn.XLOOKUP($L246,'Balizador da Meta'!$B$4:$B$21,'Balizador da Meta'!$C$4:$C$21)</f>
        <v>0</v>
      </c>
      <c r="U246" s="28">
        <f>U232*_xlfn.XLOOKUP($L246,'Balizador da Meta'!$B$4:$B$21,'Balizador da Meta'!$C$4:$C$21)</f>
        <v>0</v>
      </c>
      <c r="V246" s="28">
        <f>V232*_xlfn.XLOOKUP($L246,'Balizador da Meta'!$B$4:$B$21,'Balizador da Meta'!$C$4:$C$21)</f>
        <v>0</v>
      </c>
      <c r="W246" s="28">
        <f>W232*_xlfn.XLOOKUP($L246,'Balizador da Meta'!$B$4:$B$21,'Balizador da Meta'!$C$4:$C$21)</f>
        <v>0</v>
      </c>
      <c r="X246" s="28">
        <f>X232*_xlfn.XLOOKUP($L246,'Balizador da Meta'!$B$4:$B$21,'Balizador da Meta'!$C$4:$C$21)</f>
        <v>0</v>
      </c>
      <c r="Y246" s="28">
        <f>Y232*_xlfn.XLOOKUP($L246,'Balizador da Meta'!$B$4:$B$21,'Balizador da Meta'!$C$4:$C$21)</f>
        <v>0</v>
      </c>
      <c r="Z246" s="30">
        <f t="shared" si="58"/>
        <v>0</v>
      </c>
      <c r="AA246" s="29"/>
      <c r="AB246" s="31">
        <f>SUMIFS('Historico - FAT'!AK:AK,'Historico - FAT'!$K:$K,Faturamento!$L246,'Historico - FAT'!$I:$I,Faturamento!$J246,'Historico - FAT'!$G:$G,Faturamento!$H246)</f>
        <v>0</v>
      </c>
      <c r="AC246" s="31">
        <f>SUMIFS('Historico - FAT'!AL:AL,'Historico - FAT'!$K:$K,Faturamento!$L246,'Historico - FAT'!$I:$I,Faturamento!$J246,'Historico - FAT'!$G:$G,Faturamento!$H246)</f>
        <v>0</v>
      </c>
      <c r="AD246" s="31">
        <f>SUMIFS('Historico - FAT'!AM:AM,'Historico - FAT'!$K:$K,Faturamento!$L246,'Historico - FAT'!$I:$I,Faturamento!$J246,'Historico - FAT'!$G:$G,Faturamento!$H246)</f>
        <v>0</v>
      </c>
      <c r="AE246" s="27">
        <f>SUMIFS('Historico - FAT'!AN:AN,'Historico - FAT'!$K:$K,Faturamento!$L246,'Historico - FAT'!$I:$I,Faturamento!$J246,'Historico - FAT'!$G:$G,Faturamento!$H246)</f>
        <v>0</v>
      </c>
      <c r="AG246" s="24" t="str">
        <f t="shared" si="60"/>
        <v/>
      </c>
      <c r="AH246" s="24" t="str">
        <f t="shared" si="61"/>
        <v/>
      </c>
      <c r="AI246" s="24" t="str">
        <f t="shared" si="62"/>
        <v/>
      </c>
    </row>
    <row r="247" spans="1:35" hidden="1" x14ac:dyDescent="0.3">
      <c r="A247" s="2" t="str">
        <f t="shared" si="59"/>
        <v>NÃO</v>
      </c>
      <c r="B247" s="2">
        <v>1000184670</v>
      </c>
      <c r="C247" s="2" t="s">
        <v>147</v>
      </c>
      <c r="D247" s="4">
        <v>1000186197</v>
      </c>
      <c r="E247" s="4" t="s">
        <v>166</v>
      </c>
      <c r="F247" s="2">
        <v>1000198600</v>
      </c>
      <c r="G247" s="2" t="s">
        <v>148</v>
      </c>
      <c r="H247" s="4">
        <v>1000198601</v>
      </c>
      <c r="I247" s="4" t="s">
        <v>149</v>
      </c>
      <c r="J247" s="2">
        <v>1000189760</v>
      </c>
      <c r="K247" s="2" t="s">
        <v>143</v>
      </c>
      <c r="L247" s="4" t="s">
        <v>28</v>
      </c>
      <c r="M247" s="4" t="str">
        <f t="shared" si="52"/>
        <v>1000184670100018619710001986011000189760SAL</v>
      </c>
      <c r="N247" s="28">
        <f>N232*_xlfn.XLOOKUP($L247,'Balizador da Meta'!$B$4:$B$21,'Balizador da Meta'!$C$4:$C$21)</f>
        <v>60</v>
      </c>
      <c r="O247" s="28">
        <f>O232*_xlfn.XLOOKUP($L247,'Balizador da Meta'!$B$4:$B$21,'Balizador da Meta'!$C$4:$C$21)</f>
        <v>60</v>
      </c>
      <c r="P247" s="28">
        <f>P232*_xlfn.XLOOKUP($L247,'Balizador da Meta'!$B$4:$B$21,'Balizador da Meta'!$C$4:$C$21)</f>
        <v>60</v>
      </c>
      <c r="Q247" s="28">
        <f>Q232*_xlfn.XLOOKUP($L247,'Balizador da Meta'!$B$4:$B$21,'Balizador da Meta'!$C$4:$C$21)</f>
        <v>60</v>
      </c>
      <c r="R247" s="28">
        <f>R232*_xlfn.XLOOKUP($L247,'Balizador da Meta'!$B$4:$B$21,'Balizador da Meta'!$C$4:$C$21)</f>
        <v>90</v>
      </c>
      <c r="S247" s="28">
        <f>S232*_xlfn.XLOOKUP($L247,'Balizador da Meta'!$B$4:$B$21,'Balizador da Meta'!$C$4:$C$21)</f>
        <v>90</v>
      </c>
      <c r="T247" s="28">
        <f>T232*_xlfn.XLOOKUP($L247,'Balizador da Meta'!$B$4:$B$21,'Balizador da Meta'!$C$4:$C$21)</f>
        <v>90</v>
      </c>
      <c r="U247" s="28">
        <f>U232*_xlfn.XLOOKUP($L247,'Balizador da Meta'!$B$4:$B$21,'Balizador da Meta'!$C$4:$C$21)</f>
        <v>120</v>
      </c>
      <c r="V247" s="28">
        <f>V232*_xlfn.XLOOKUP($L247,'Balizador da Meta'!$B$4:$B$21,'Balizador da Meta'!$C$4:$C$21)</f>
        <v>120</v>
      </c>
      <c r="W247" s="28">
        <f>W232*_xlfn.XLOOKUP($L247,'Balizador da Meta'!$B$4:$B$21,'Balizador da Meta'!$C$4:$C$21)</f>
        <v>120</v>
      </c>
      <c r="X247" s="28">
        <f>X232*_xlfn.XLOOKUP($L247,'Balizador da Meta'!$B$4:$B$21,'Balizador da Meta'!$C$4:$C$21)</f>
        <v>150</v>
      </c>
      <c r="Y247" s="28">
        <f>Y232*_xlfn.XLOOKUP($L247,'Balizador da Meta'!$B$4:$B$21,'Balizador da Meta'!$C$4:$C$21)</f>
        <v>150</v>
      </c>
      <c r="Z247" s="30">
        <f t="shared" si="58"/>
        <v>1170</v>
      </c>
      <c r="AA247" s="29"/>
      <c r="AB247" s="31">
        <f>SUMIFS('Historico - FAT'!AK:AK,'Historico - FAT'!$K:$K,Faturamento!$L247,'Historico - FAT'!$I:$I,Faturamento!$J247,'Historico - FAT'!$G:$G,Faturamento!$H247)</f>
        <v>0</v>
      </c>
      <c r="AC247" s="31">
        <f>SUMIFS('Historico - FAT'!AL:AL,'Historico - FAT'!$K:$K,Faturamento!$L247,'Historico - FAT'!$I:$I,Faturamento!$J247,'Historico - FAT'!$G:$G,Faturamento!$H247)</f>
        <v>0</v>
      </c>
      <c r="AD247" s="31">
        <f>SUMIFS('Historico - FAT'!AM:AM,'Historico - FAT'!$K:$K,Faturamento!$L247,'Historico - FAT'!$I:$I,Faturamento!$J247,'Historico - FAT'!$G:$G,Faturamento!$H247)</f>
        <v>0</v>
      </c>
      <c r="AE247" s="27">
        <f>SUMIFS('Historico - FAT'!AN:AN,'Historico - FAT'!$K:$K,Faturamento!$L247,'Historico - FAT'!$I:$I,Faturamento!$J247,'Historico - FAT'!$G:$G,Faturamento!$H247)</f>
        <v>0</v>
      </c>
      <c r="AG247" s="24">
        <f t="shared" si="60"/>
        <v>1</v>
      </c>
      <c r="AH247" s="24">
        <f t="shared" si="61"/>
        <v>1</v>
      </c>
      <c r="AI247" s="24">
        <f t="shared" si="62"/>
        <v>1</v>
      </c>
    </row>
    <row r="248" spans="1:35" hidden="1" x14ac:dyDescent="0.3">
      <c r="A248" s="2" t="str">
        <f t="shared" si="59"/>
        <v>NÃO</v>
      </c>
      <c r="B248" s="2">
        <v>1000184670</v>
      </c>
      <c r="C248" s="2" t="s">
        <v>147</v>
      </c>
      <c r="D248" s="4">
        <v>1000186197</v>
      </c>
      <c r="E248" s="4" t="s">
        <v>166</v>
      </c>
      <c r="F248" s="2">
        <v>1000198600</v>
      </c>
      <c r="G248" s="2" t="s">
        <v>148</v>
      </c>
      <c r="H248" s="4">
        <v>1000198601</v>
      </c>
      <c r="I248" s="4" t="s">
        <v>149</v>
      </c>
      <c r="J248" s="2">
        <v>1000189760</v>
      </c>
      <c r="K248" s="2" t="s">
        <v>143</v>
      </c>
      <c r="L248" s="4" t="s">
        <v>26</v>
      </c>
      <c r="M248" s="4" t="str">
        <f t="shared" si="52"/>
        <v>1000184670100018619710001986011000189760SOULPRO</v>
      </c>
      <c r="N248" s="28">
        <f>N232*_xlfn.XLOOKUP($L248,'Balizador da Meta'!$B$4:$B$21,'Balizador da Meta'!$C$4:$C$21)</f>
        <v>180</v>
      </c>
      <c r="O248" s="28">
        <f>O232*_xlfn.XLOOKUP($L248,'Balizador da Meta'!$B$4:$B$21,'Balizador da Meta'!$C$4:$C$21)</f>
        <v>180</v>
      </c>
      <c r="P248" s="28">
        <f>P232*_xlfn.XLOOKUP($L248,'Balizador da Meta'!$B$4:$B$21,'Balizador da Meta'!$C$4:$C$21)</f>
        <v>180</v>
      </c>
      <c r="Q248" s="28">
        <f>Q232*_xlfn.XLOOKUP($L248,'Balizador da Meta'!$B$4:$B$21,'Balizador da Meta'!$C$4:$C$21)</f>
        <v>180</v>
      </c>
      <c r="R248" s="28">
        <f>R232*_xlfn.XLOOKUP($L248,'Balizador da Meta'!$B$4:$B$21,'Balizador da Meta'!$C$4:$C$21)</f>
        <v>270</v>
      </c>
      <c r="S248" s="28">
        <f>S232*_xlfn.XLOOKUP($L248,'Balizador da Meta'!$B$4:$B$21,'Balizador da Meta'!$C$4:$C$21)</f>
        <v>270</v>
      </c>
      <c r="T248" s="28">
        <f>T232*_xlfn.XLOOKUP($L248,'Balizador da Meta'!$B$4:$B$21,'Balizador da Meta'!$C$4:$C$21)</f>
        <v>270</v>
      </c>
      <c r="U248" s="28">
        <f>U232*_xlfn.XLOOKUP($L248,'Balizador da Meta'!$B$4:$B$21,'Balizador da Meta'!$C$4:$C$21)</f>
        <v>360</v>
      </c>
      <c r="V248" s="28">
        <f>V232*_xlfn.XLOOKUP($L248,'Balizador da Meta'!$B$4:$B$21,'Balizador da Meta'!$C$4:$C$21)</f>
        <v>360</v>
      </c>
      <c r="W248" s="28">
        <f>W232*_xlfn.XLOOKUP($L248,'Balizador da Meta'!$B$4:$B$21,'Balizador da Meta'!$C$4:$C$21)</f>
        <v>360</v>
      </c>
      <c r="X248" s="28">
        <f>X232*_xlfn.XLOOKUP($L248,'Balizador da Meta'!$B$4:$B$21,'Balizador da Meta'!$C$4:$C$21)</f>
        <v>450</v>
      </c>
      <c r="Y248" s="28">
        <f>Y232*_xlfn.XLOOKUP($L248,'Balizador da Meta'!$B$4:$B$21,'Balizador da Meta'!$C$4:$C$21)</f>
        <v>450</v>
      </c>
      <c r="Z248" s="30">
        <f t="shared" si="58"/>
        <v>3510</v>
      </c>
      <c r="AA248" s="29"/>
      <c r="AB248" s="31">
        <f>SUMIFS('Historico - FAT'!AK:AK,'Historico - FAT'!$K:$K,Faturamento!$L248,'Historico - FAT'!$I:$I,Faturamento!$J248,'Historico - FAT'!$G:$G,Faturamento!$H248)</f>
        <v>0</v>
      </c>
      <c r="AC248" s="31">
        <f>SUMIFS('Historico - FAT'!AL:AL,'Historico - FAT'!$K:$K,Faturamento!$L248,'Historico - FAT'!$I:$I,Faturamento!$J248,'Historico - FAT'!$G:$G,Faturamento!$H248)</f>
        <v>0</v>
      </c>
      <c r="AD248" s="31">
        <f>SUMIFS('Historico - FAT'!AM:AM,'Historico - FAT'!$K:$K,Faturamento!$L248,'Historico - FAT'!$I:$I,Faturamento!$J248,'Historico - FAT'!$G:$G,Faturamento!$H248)</f>
        <v>0</v>
      </c>
      <c r="AE248" s="27">
        <f>SUMIFS('Historico - FAT'!AN:AN,'Historico - FAT'!$K:$K,Faturamento!$L248,'Historico - FAT'!$I:$I,Faturamento!$J248,'Historico - FAT'!$G:$G,Faturamento!$H248)</f>
        <v>0</v>
      </c>
      <c r="AG248" s="24">
        <f t="shared" si="60"/>
        <v>1</v>
      </c>
      <c r="AH248" s="24">
        <f t="shared" si="61"/>
        <v>1</v>
      </c>
      <c r="AI248" s="24">
        <f t="shared" si="62"/>
        <v>1</v>
      </c>
    </row>
    <row r="249" spans="1:35" hidden="1" x14ac:dyDescent="0.3">
      <c r="A249" s="2" t="str">
        <f t="shared" si="59"/>
        <v>NÃO</v>
      </c>
      <c r="B249" s="2">
        <v>1000184670</v>
      </c>
      <c r="C249" s="2" t="s">
        <v>147</v>
      </c>
      <c r="D249" s="4">
        <v>1000186197</v>
      </c>
      <c r="E249" s="4" t="s">
        <v>166</v>
      </c>
      <c r="F249" s="2">
        <v>1000198600</v>
      </c>
      <c r="G249" s="2" t="s">
        <v>148</v>
      </c>
      <c r="H249" s="4">
        <v>1000198601</v>
      </c>
      <c r="I249" s="4" t="s">
        <v>149</v>
      </c>
      <c r="J249" s="2">
        <v>1000189760</v>
      </c>
      <c r="K249" s="2" t="s">
        <v>143</v>
      </c>
      <c r="L249" s="4" t="s">
        <v>27</v>
      </c>
      <c r="M249" s="4" t="str">
        <f t="shared" si="52"/>
        <v>1000184670100018619710001986011000189760TAMARA</v>
      </c>
      <c r="N249" s="28">
        <f>N232*_xlfn.XLOOKUP($L249,'Balizador da Meta'!$B$4:$B$21,'Balizador da Meta'!$C$4:$C$21)</f>
        <v>240</v>
      </c>
      <c r="O249" s="28">
        <f>O232*_xlfn.XLOOKUP($L249,'Balizador da Meta'!$B$4:$B$21,'Balizador da Meta'!$C$4:$C$21)</f>
        <v>240</v>
      </c>
      <c r="P249" s="28">
        <f>P232*_xlfn.XLOOKUP($L249,'Balizador da Meta'!$B$4:$B$21,'Balizador da Meta'!$C$4:$C$21)</f>
        <v>240</v>
      </c>
      <c r="Q249" s="28">
        <f>Q232*_xlfn.XLOOKUP($L249,'Balizador da Meta'!$B$4:$B$21,'Balizador da Meta'!$C$4:$C$21)</f>
        <v>240</v>
      </c>
      <c r="R249" s="28">
        <f>R232*_xlfn.XLOOKUP($L249,'Balizador da Meta'!$B$4:$B$21,'Balizador da Meta'!$C$4:$C$21)</f>
        <v>360</v>
      </c>
      <c r="S249" s="28">
        <f>S232*_xlfn.XLOOKUP($L249,'Balizador da Meta'!$B$4:$B$21,'Balizador da Meta'!$C$4:$C$21)</f>
        <v>360</v>
      </c>
      <c r="T249" s="28">
        <f>T232*_xlfn.XLOOKUP($L249,'Balizador da Meta'!$B$4:$B$21,'Balizador da Meta'!$C$4:$C$21)</f>
        <v>360</v>
      </c>
      <c r="U249" s="28">
        <f>U232*_xlfn.XLOOKUP($L249,'Balizador da Meta'!$B$4:$B$21,'Balizador da Meta'!$C$4:$C$21)</f>
        <v>480</v>
      </c>
      <c r="V249" s="28">
        <f>V232*_xlfn.XLOOKUP($L249,'Balizador da Meta'!$B$4:$B$21,'Balizador da Meta'!$C$4:$C$21)</f>
        <v>480</v>
      </c>
      <c r="W249" s="28">
        <f>W232*_xlfn.XLOOKUP($L249,'Balizador da Meta'!$B$4:$B$21,'Balizador da Meta'!$C$4:$C$21)</f>
        <v>480</v>
      </c>
      <c r="X249" s="28">
        <f>X232*_xlfn.XLOOKUP($L249,'Balizador da Meta'!$B$4:$B$21,'Balizador da Meta'!$C$4:$C$21)</f>
        <v>600</v>
      </c>
      <c r="Y249" s="28">
        <f>Y232*_xlfn.XLOOKUP($L249,'Balizador da Meta'!$B$4:$B$21,'Balizador da Meta'!$C$4:$C$21)</f>
        <v>600</v>
      </c>
      <c r="Z249" s="30">
        <f t="shared" si="58"/>
        <v>4680</v>
      </c>
      <c r="AA249" s="29"/>
      <c r="AB249" s="31">
        <f>SUMIFS('Historico - FAT'!AK:AK,'Historico - FAT'!$K:$K,Faturamento!$L249,'Historico - FAT'!$I:$I,Faturamento!$J249,'Historico - FAT'!$G:$G,Faturamento!$H249)</f>
        <v>0</v>
      </c>
      <c r="AC249" s="31">
        <f>SUMIFS('Historico - FAT'!AL:AL,'Historico - FAT'!$K:$K,Faturamento!$L249,'Historico - FAT'!$I:$I,Faturamento!$J249,'Historico - FAT'!$G:$G,Faturamento!$H249)</f>
        <v>0</v>
      </c>
      <c r="AD249" s="31">
        <f>SUMIFS('Historico - FAT'!AM:AM,'Historico - FAT'!$K:$K,Faturamento!$L249,'Historico - FAT'!$I:$I,Faturamento!$J249,'Historico - FAT'!$G:$G,Faturamento!$H249)</f>
        <v>0</v>
      </c>
      <c r="AE249" s="27">
        <f>SUMIFS('Historico - FAT'!AN:AN,'Historico - FAT'!$K:$K,Faturamento!$L249,'Historico - FAT'!$I:$I,Faturamento!$J249,'Historico - FAT'!$G:$G,Faturamento!$H249)</f>
        <v>0</v>
      </c>
      <c r="AG249" s="24">
        <f t="shared" si="60"/>
        <v>1</v>
      </c>
      <c r="AH249" s="24">
        <f t="shared" si="61"/>
        <v>1</v>
      </c>
      <c r="AI249" s="24">
        <f t="shared" si="62"/>
        <v>1</v>
      </c>
    </row>
    <row r="250" spans="1:35" hidden="1" x14ac:dyDescent="0.3">
      <c r="A250" s="2" t="str">
        <f t="shared" si="59"/>
        <v>NÃO</v>
      </c>
      <c r="B250" s="2">
        <v>1000184670</v>
      </c>
      <c r="C250" s="2" t="s">
        <v>147</v>
      </c>
      <c r="D250" s="4">
        <v>1000186197</v>
      </c>
      <c r="E250" s="4" t="s">
        <v>166</v>
      </c>
      <c r="F250" s="2">
        <v>1000198600</v>
      </c>
      <c r="G250" s="2" t="s">
        <v>148</v>
      </c>
      <c r="H250" s="4">
        <v>1000198601</v>
      </c>
      <c r="I250" s="4" t="s">
        <v>149</v>
      </c>
      <c r="J250" s="2">
        <v>1000189760</v>
      </c>
      <c r="K250" s="2" t="s">
        <v>143</v>
      </c>
      <c r="L250" s="4" t="s">
        <v>25</v>
      </c>
      <c r="M250" s="4" t="str">
        <f t="shared" si="52"/>
        <v>1000184670100018619710001986011000189760VICCIO</v>
      </c>
      <c r="N250" s="28">
        <f>N232*_xlfn.XLOOKUP($L250,'Balizador da Meta'!$B$4:$B$21,'Balizador da Meta'!$C$4:$C$21)</f>
        <v>90</v>
      </c>
      <c r="O250" s="28">
        <f>O232*_xlfn.XLOOKUP($L250,'Balizador da Meta'!$B$4:$B$21,'Balizador da Meta'!$C$4:$C$21)</f>
        <v>90</v>
      </c>
      <c r="P250" s="28">
        <f>P232*_xlfn.XLOOKUP($L250,'Balizador da Meta'!$B$4:$B$21,'Balizador da Meta'!$C$4:$C$21)</f>
        <v>90</v>
      </c>
      <c r="Q250" s="28">
        <f>Q232*_xlfn.XLOOKUP($L250,'Balizador da Meta'!$B$4:$B$21,'Balizador da Meta'!$C$4:$C$21)</f>
        <v>90</v>
      </c>
      <c r="R250" s="28">
        <f>R232*_xlfn.XLOOKUP($L250,'Balizador da Meta'!$B$4:$B$21,'Balizador da Meta'!$C$4:$C$21)</f>
        <v>135</v>
      </c>
      <c r="S250" s="28">
        <f>S232*_xlfn.XLOOKUP($L250,'Balizador da Meta'!$B$4:$B$21,'Balizador da Meta'!$C$4:$C$21)</f>
        <v>135</v>
      </c>
      <c r="T250" s="28">
        <f>T232*_xlfn.XLOOKUP($L250,'Balizador da Meta'!$B$4:$B$21,'Balizador da Meta'!$C$4:$C$21)</f>
        <v>135</v>
      </c>
      <c r="U250" s="28">
        <f>U232*_xlfn.XLOOKUP($L250,'Balizador da Meta'!$B$4:$B$21,'Balizador da Meta'!$C$4:$C$21)</f>
        <v>180</v>
      </c>
      <c r="V250" s="28">
        <f>V232*_xlfn.XLOOKUP($L250,'Balizador da Meta'!$B$4:$B$21,'Balizador da Meta'!$C$4:$C$21)</f>
        <v>180</v>
      </c>
      <c r="W250" s="28">
        <f>W232*_xlfn.XLOOKUP($L250,'Balizador da Meta'!$B$4:$B$21,'Balizador da Meta'!$C$4:$C$21)</f>
        <v>180</v>
      </c>
      <c r="X250" s="28">
        <f>X232*_xlfn.XLOOKUP($L250,'Balizador da Meta'!$B$4:$B$21,'Balizador da Meta'!$C$4:$C$21)</f>
        <v>225</v>
      </c>
      <c r="Y250" s="28">
        <f>Y232*_xlfn.XLOOKUP($L250,'Balizador da Meta'!$B$4:$B$21,'Balizador da Meta'!$C$4:$C$21)</f>
        <v>225</v>
      </c>
      <c r="Z250" s="30">
        <f t="shared" si="58"/>
        <v>1755</v>
      </c>
      <c r="AA250" s="29"/>
      <c r="AB250" s="31">
        <f>SUMIFS('Historico - FAT'!AK:AK,'Historico - FAT'!$K:$K,Faturamento!$L250,'Historico - FAT'!$I:$I,Faturamento!$J250,'Historico - FAT'!$G:$G,Faturamento!$H250)</f>
        <v>0</v>
      </c>
      <c r="AC250" s="31">
        <f>SUMIFS('Historico - FAT'!AL:AL,'Historico - FAT'!$K:$K,Faturamento!$L250,'Historico - FAT'!$I:$I,Faturamento!$J250,'Historico - FAT'!$G:$G,Faturamento!$H250)</f>
        <v>0</v>
      </c>
      <c r="AD250" s="31">
        <f>SUMIFS('Historico - FAT'!AM:AM,'Historico - FAT'!$K:$K,Faturamento!$L250,'Historico - FAT'!$I:$I,Faturamento!$J250,'Historico - FAT'!$G:$G,Faturamento!$H250)</f>
        <v>0</v>
      </c>
      <c r="AE250" s="27">
        <f>SUMIFS('Historico - FAT'!AN:AN,'Historico - FAT'!$K:$K,Faturamento!$L250,'Historico - FAT'!$I:$I,Faturamento!$J250,'Historico - FAT'!$G:$G,Faturamento!$H250)</f>
        <v>0</v>
      </c>
      <c r="AG250" s="24">
        <f t="shared" si="60"/>
        <v>1</v>
      </c>
      <c r="AH250" s="24">
        <f t="shared" si="61"/>
        <v>1</v>
      </c>
      <c r="AI250" s="24">
        <f t="shared" si="62"/>
        <v>1</v>
      </c>
    </row>
    <row r="251" spans="1:35" x14ac:dyDescent="0.3">
      <c r="A251" s="2" t="str">
        <f t="shared" si="59"/>
        <v>SIM</v>
      </c>
      <c r="B251" s="2">
        <v>1000184670</v>
      </c>
      <c r="C251" s="2" t="s">
        <v>147</v>
      </c>
      <c r="D251" s="4">
        <v>1000186197</v>
      </c>
      <c r="E251" s="4" t="s">
        <v>166</v>
      </c>
      <c r="F251" s="2">
        <v>1000198600</v>
      </c>
      <c r="G251" s="2" t="s">
        <v>148</v>
      </c>
      <c r="H251" s="4">
        <v>1000198601</v>
      </c>
      <c r="I251" s="4" t="s">
        <v>149</v>
      </c>
      <c r="J251" s="2">
        <v>1000189761</v>
      </c>
      <c r="K251" s="2" t="s">
        <v>144</v>
      </c>
      <c r="L251" s="4" t="s">
        <v>124</v>
      </c>
      <c r="M251" s="4" t="str">
        <f t="shared" si="52"/>
        <v>100018467010001861971000198601100018976101. TOTAL</v>
      </c>
      <c r="N251" s="28">
        <f>SUMIFS(Positivação!L:L,Positivação!$I:$I,Faturamento!$J251,Positivação!$G:$G,Faturamento!$H251)*SUMIFS(Positivação!$Z:$Z,Positivação!$I:$I,Faturamento!$J251,Positivação!$G:$G,Faturamento!$H251)</f>
        <v>3000</v>
      </c>
      <c r="O251" s="28">
        <f>SUMIFS(Positivação!M:M,Positivação!$I:$I,Faturamento!$J251,Positivação!$G:$G,Faturamento!$H251)*SUMIFS(Positivação!$Z:$Z,Positivação!$I:$I,Faturamento!$J251,Positivação!$G:$G,Faturamento!$H251)</f>
        <v>3000</v>
      </c>
      <c r="P251" s="28">
        <f>SUMIFS(Positivação!N:N,Positivação!$I:$I,Faturamento!$J251,Positivação!$G:$G,Faturamento!$H251)*SUMIFS(Positivação!$Z:$Z,Positivação!$I:$I,Faturamento!$J251,Positivação!$G:$G,Faturamento!$H251)</f>
        <v>3000</v>
      </c>
      <c r="Q251" s="28">
        <f>SUMIFS(Positivação!O:O,Positivação!$I:$I,Faturamento!$J251,Positivação!$G:$G,Faturamento!$H251)*SUMIFS(Positivação!$Z:$Z,Positivação!$I:$I,Faturamento!$J251,Positivação!$G:$G,Faturamento!$H251)</f>
        <v>3000</v>
      </c>
      <c r="R251" s="28">
        <f>SUMIFS(Positivação!P:P,Positivação!$I:$I,Faturamento!$J251,Positivação!$G:$G,Faturamento!$H251)*SUMIFS(Positivação!$Z:$Z,Positivação!$I:$I,Faturamento!$J251,Positivação!$G:$G,Faturamento!$H251)</f>
        <v>3000</v>
      </c>
      <c r="S251" s="28">
        <f>SUMIFS(Positivação!Q:Q,Positivação!$I:$I,Faturamento!$J251,Positivação!$G:$G,Faturamento!$H251)*SUMIFS(Positivação!$Z:$Z,Positivação!$I:$I,Faturamento!$J251,Positivação!$G:$G,Faturamento!$H251)</f>
        <v>3000</v>
      </c>
      <c r="T251" s="28">
        <f>SUMIFS(Positivação!R:R,Positivação!$I:$I,Faturamento!$J251,Positivação!$G:$G,Faturamento!$H251)*SUMIFS(Positivação!$Z:$Z,Positivação!$I:$I,Faturamento!$J251,Positivação!$G:$G,Faturamento!$H251)</f>
        <v>3000</v>
      </c>
      <c r="U251" s="28">
        <f>SUMIFS(Positivação!S:S,Positivação!$I:$I,Faturamento!$J251,Positivação!$G:$G,Faturamento!$H251)*SUMIFS(Positivação!$Z:$Z,Positivação!$I:$I,Faturamento!$J251,Positivação!$G:$G,Faturamento!$H251)</f>
        <v>3000</v>
      </c>
      <c r="V251" s="28">
        <f>SUMIFS(Positivação!T:T,Positivação!$I:$I,Faturamento!$J251,Positivação!$G:$G,Faturamento!$H251)*SUMIFS(Positivação!$Z:$Z,Positivação!$I:$I,Faturamento!$J251,Positivação!$G:$G,Faturamento!$H251)</f>
        <v>3000</v>
      </c>
      <c r="W251" s="28">
        <f>SUMIFS(Positivação!U:U,Positivação!$I:$I,Faturamento!$J251,Positivação!$G:$G,Faturamento!$H251)*SUMIFS(Positivação!$Z:$Z,Positivação!$I:$I,Faturamento!$J251,Positivação!$G:$G,Faturamento!$H251)</f>
        <v>3000</v>
      </c>
      <c r="X251" s="28">
        <f>SUMIFS(Positivação!V:V,Positivação!$I:$I,Faturamento!$J251,Positivação!$G:$G,Faturamento!$H251)*SUMIFS(Positivação!$Z:$Z,Positivação!$I:$I,Faturamento!$J251,Positivação!$G:$G,Faturamento!$H251)</f>
        <v>3000</v>
      </c>
      <c r="Y251" s="28">
        <f>SUMIFS(Positivação!W:W,Positivação!$I:$I,Faturamento!$J251,Positivação!$G:$G,Faturamento!$H251)*SUMIFS(Positivação!$Z:$Z,Positivação!$I:$I,Faturamento!$J251,Positivação!$G:$G,Faturamento!$H251)</f>
        <v>3000</v>
      </c>
      <c r="Z251" s="28">
        <f t="shared" ref="Z251" si="63">SUM(Z252:Z269)</f>
        <v>36000</v>
      </c>
      <c r="AA251" s="29"/>
      <c r="AB251" s="28">
        <f t="shared" ref="AB251:AE251" si="64">SUM(AB252:AB269)</f>
        <v>0</v>
      </c>
      <c r="AC251" s="28">
        <f t="shared" si="64"/>
        <v>2030.1441666666667</v>
      </c>
      <c r="AD251" s="28">
        <f t="shared" si="64"/>
        <v>4060.2883333333334</v>
      </c>
      <c r="AE251" s="28">
        <f t="shared" si="64"/>
        <v>2436.1729999999998</v>
      </c>
      <c r="AG251" s="24">
        <f t="shared" si="60"/>
        <v>1</v>
      </c>
      <c r="AH251" s="24">
        <f t="shared" si="61"/>
        <v>0.32328527777777777</v>
      </c>
      <c r="AI251" s="24">
        <f t="shared" si="62"/>
        <v>-0.35342944444444446</v>
      </c>
    </row>
    <row r="252" spans="1:35" hidden="1" x14ac:dyDescent="0.3">
      <c r="A252" s="2" t="str">
        <f t="shared" si="59"/>
        <v>NÃO</v>
      </c>
      <c r="B252" s="2">
        <v>1000184670</v>
      </c>
      <c r="C252" s="2" t="s">
        <v>147</v>
      </c>
      <c r="D252" s="4">
        <v>1000186197</v>
      </c>
      <c r="E252" s="4" t="s">
        <v>166</v>
      </c>
      <c r="F252" s="2">
        <v>1000198600</v>
      </c>
      <c r="G252" s="2" t="s">
        <v>148</v>
      </c>
      <c r="H252" s="4">
        <v>1000198601</v>
      </c>
      <c r="I252" s="4" t="s">
        <v>149</v>
      </c>
      <c r="J252" s="2">
        <v>1000189761</v>
      </c>
      <c r="K252" s="2" t="s">
        <v>144</v>
      </c>
      <c r="L252" s="4" t="s">
        <v>13</v>
      </c>
      <c r="M252" s="4" t="str">
        <f t="shared" si="52"/>
        <v>1000184670100018619710001986011000189761BISCOITO</v>
      </c>
      <c r="N252" s="28">
        <f>N251*_xlfn.XLOOKUP($L252,'Balizador da Meta'!$B$4:$B$21,'Balizador da Meta'!$C$4:$C$21)</f>
        <v>210.00000000000003</v>
      </c>
      <c r="O252" s="28">
        <f>O251*_xlfn.XLOOKUP($L252,'Balizador da Meta'!$B$4:$B$21,'Balizador da Meta'!$C$4:$C$21)</f>
        <v>210.00000000000003</v>
      </c>
      <c r="P252" s="28">
        <f>P251*_xlfn.XLOOKUP($L252,'Balizador da Meta'!$B$4:$B$21,'Balizador da Meta'!$C$4:$C$21)</f>
        <v>210.00000000000003</v>
      </c>
      <c r="Q252" s="28">
        <f>Q251*_xlfn.XLOOKUP($L252,'Balizador da Meta'!$B$4:$B$21,'Balizador da Meta'!$C$4:$C$21)</f>
        <v>210.00000000000003</v>
      </c>
      <c r="R252" s="28">
        <f>R251*_xlfn.XLOOKUP($L252,'Balizador da Meta'!$B$4:$B$21,'Balizador da Meta'!$C$4:$C$21)</f>
        <v>210.00000000000003</v>
      </c>
      <c r="S252" s="28">
        <f>S251*_xlfn.XLOOKUP($L252,'Balizador da Meta'!$B$4:$B$21,'Balizador da Meta'!$C$4:$C$21)</f>
        <v>210.00000000000003</v>
      </c>
      <c r="T252" s="28">
        <f>T251*_xlfn.XLOOKUP($L252,'Balizador da Meta'!$B$4:$B$21,'Balizador da Meta'!$C$4:$C$21)</f>
        <v>210.00000000000003</v>
      </c>
      <c r="U252" s="28">
        <f>U251*_xlfn.XLOOKUP($L252,'Balizador da Meta'!$B$4:$B$21,'Balizador da Meta'!$C$4:$C$21)</f>
        <v>210.00000000000003</v>
      </c>
      <c r="V252" s="28">
        <f>V251*_xlfn.XLOOKUP($L252,'Balizador da Meta'!$B$4:$B$21,'Balizador da Meta'!$C$4:$C$21)</f>
        <v>210.00000000000003</v>
      </c>
      <c r="W252" s="28">
        <f>W251*_xlfn.XLOOKUP($L252,'Balizador da Meta'!$B$4:$B$21,'Balizador da Meta'!$C$4:$C$21)</f>
        <v>210.00000000000003</v>
      </c>
      <c r="X252" s="28">
        <f>X251*_xlfn.XLOOKUP($L252,'Balizador da Meta'!$B$4:$B$21,'Balizador da Meta'!$C$4:$C$21)</f>
        <v>210.00000000000003</v>
      </c>
      <c r="Y252" s="28">
        <f>Y251*_xlfn.XLOOKUP($L252,'Balizador da Meta'!$B$4:$B$21,'Balizador da Meta'!$C$4:$C$21)</f>
        <v>210.00000000000003</v>
      </c>
      <c r="Z252" s="30">
        <f t="shared" ref="Z252:Z269" si="65">SUM(N252:Y252)</f>
        <v>2520.0000000000005</v>
      </c>
      <c r="AA252" s="29"/>
      <c r="AB252" s="31">
        <f>SUMIFS('Historico - FAT'!AK:AK,'Historico - FAT'!$K:$K,Faturamento!$L252,'Historico - FAT'!$I:$I,Faturamento!$J252,'Historico - FAT'!$G:$G,Faturamento!$H252)</f>
        <v>0</v>
      </c>
      <c r="AC252" s="31">
        <f>SUMIFS('Historico - FAT'!AL:AL,'Historico - FAT'!$K:$K,Faturamento!$L252,'Historico - FAT'!$I:$I,Faturamento!$J252,'Historico - FAT'!$G:$G,Faturamento!$H252)</f>
        <v>0</v>
      </c>
      <c r="AD252" s="31">
        <f>SUMIFS('Historico - FAT'!AM:AM,'Historico - FAT'!$K:$K,Faturamento!$L252,'Historico - FAT'!$I:$I,Faturamento!$J252,'Historico - FAT'!$G:$G,Faturamento!$H252)</f>
        <v>0</v>
      </c>
      <c r="AE252" s="27">
        <f>SUMIFS('Historico - FAT'!AN:AN,'Historico - FAT'!$K:$K,Faturamento!$L252,'Historico - FAT'!$I:$I,Faturamento!$J252,'Historico - FAT'!$G:$G,Faturamento!$H252)</f>
        <v>0</v>
      </c>
      <c r="AG252" s="24">
        <f t="shared" si="60"/>
        <v>1</v>
      </c>
      <c r="AH252" s="24">
        <f t="shared" si="61"/>
        <v>1</v>
      </c>
      <c r="AI252" s="24">
        <f t="shared" si="62"/>
        <v>1</v>
      </c>
    </row>
    <row r="253" spans="1:35" hidden="1" x14ac:dyDescent="0.3">
      <c r="A253" s="2" t="str">
        <f t="shared" si="59"/>
        <v>NÃO</v>
      </c>
      <c r="B253" s="2">
        <v>1000184670</v>
      </c>
      <c r="C253" s="2" t="s">
        <v>147</v>
      </c>
      <c r="D253" s="4">
        <v>1000186197</v>
      </c>
      <c r="E253" s="4" t="s">
        <v>166</v>
      </c>
      <c r="F253" s="2">
        <v>1000198600</v>
      </c>
      <c r="G253" s="2" t="s">
        <v>148</v>
      </c>
      <c r="H253" s="4">
        <v>1000198601</v>
      </c>
      <c r="I253" s="4" t="s">
        <v>149</v>
      </c>
      <c r="J253" s="2">
        <v>1000189761</v>
      </c>
      <c r="K253" s="2" t="s">
        <v>144</v>
      </c>
      <c r="L253" s="4" t="s">
        <v>14</v>
      </c>
      <c r="M253" s="4" t="str">
        <f t="shared" si="52"/>
        <v>1000184670100018619710001986011000189761CHOCOLATES</v>
      </c>
      <c r="N253" s="28">
        <f>N251*_xlfn.XLOOKUP($L253,'Balizador da Meta'!$B$4:$B$21,'Balizador da Meta'!$C$4:$C$21)</f>
        <v>210.00000000000003</v>
      </c>
      <c r="O253" s="28">
        <f>O251*_xlfn.XLOOKUP($L253,'Balizador da Meta'!$B$4:$B$21,'Balizador da Meta'!$C$4:$C$21)</f>
        <v>210.00000000000003</v>
      </c>
      <c r="P253" s="28">
        <f>P251*_xlfn.XLOOKUP($L253,'Balizador da Meta'!$B$4:$B$21,'Balizador da Meta'!$C$4:$C$21)</f>
        <v>210.00000000000003</v>
      </c>
      <c r="Q253" s="28">
        <f>Q251*_xlfn.XLOOKUP($L253,'Balizador da Meta'!$B$4:$B$21,'Balizador da Meta'!$C$4:$C$21)</f>
        <v>210.00000000000003</v>
      </c>
      <c r="R253" s="28">
        <f>R251*_xlfn.XLOOKUP($L253,'Balizador da Meta'!$B$4:$B$21,'Balizador da Meta'!$C$4:$C$21)</f>
        <v>210.00000000000003</v>
      </c>
      <c r="S253" s="28">
        <f>S251*_xlfn.XLOOKUP($L253,'Balizador da Meta'!$B$4:$B$21,'Balizador da Meta'!$C$4:$C$21)</f>
        <v>210.00000000000003</v>
      </c>
      <c r="T253" s="28">
        <f>T251*_xlfn.XLOOKUP($L253,'Balizador da Meta'!$B$4:$B$21,'Balizador da Meta'!$C$4:$C$21)</f>
        <v>210.00000000000003</v>
      </c>
      <c r="U253" s="28">
        <f>U251*_xlfn.XLOOKUP($L253,'Balizador da Meta'!$B$4:$B$21,'Balizador da Meta'!$C$4:$C$21)</f>
        <v>210.00000000000003</v>
      </c>
      <c r="V253" s="28">
        <f>V251*_xlfn.XLOOKUP($L253,'Balizador da Meta'!$B$4:$B$21,'Balizador da Meta'!$C$4:$C$21)</f>
        <v>210.00000000000003</v>
      </c>
      <c r="W253" s="28">
        <f>W251*_xlfn.XLOOKUP($L253,'Balizador da Meta'!$B$4:$B$21,'Balizador da Meta'!$C$4:$C$21)</f>
        <v>210.00000000000003</v>
      </c>
      <c r="X253" s="28">
        <f>X251*_xlfn.XLOOKUP($L253,'Balizador da Meta'!$B$4:$B$21,'Balizador da Meta'!$C$4:$C$21)</f>
        <v>210.00000000000003</v>
      </c>
      <c r="Y253" s="28">
        <f>Y251*_xlfn.XLOOKUP($L253,'Balizador da Meta'!$B$4:$B$21,'Balizador da Meta'!$C$4:$C$21)</f>
        <v>210.00000000000003</v>
      </c>
      <c r="Z253" s="30">
        <f t="shared" si="65"/>
        <v>2520.0000000000005</v>
      </c>
      <c r="AA253" s="29"/>
      <c r="AB253" s="31">
        <f>SUMIFS('Historico - FAT'!AK:AK,'Historico - FAT'!$K:$K,Faturamento!$L253,'Historico - FAT'!$I:$I,Faturamento!$J253,'Historico - FAT'!$G:$G,Faturamento!$H253)</f>
        <v>0</v>
      </c>
      <c r="AC253" s="31">
        <f>SUMIFS('Historico - FAT'!AL:AL,'Historico - FAT'!$K:$K,Faturamento!$L253,'Historico - FAT'!$I:$I,Faturamento!$J253,'Historico - FAT'!$G:$G,Faturamento!$H253)</f>
        <v>59.5</v>
      </c>
      <c r="AD253" s="31">
        <f>SUMIFS('Historico - FAT'!AM:AM,'Historico - FAT'!$K:$K,Faturamento!$L253,'Historico - FAT'!$I:$I,Faturamento!$J253,'Historico - FAT'!$G:$G,Faturamento!$H253)</f>
        <v>119</v>
      </c>
      <c r="AE253" s="27">
        <f>SUMIFS('Historico - FAT'!AN:AN,'Historico - FAT'!$K:$K,Faturamento!$L253,'Historico - FAT'!$I:$I,Faturamento!$J253,'Historico - FAT'!$G:$G,Faturamento!$H253)</f>
        <v>71.400000000000006</v>
      </c>
      <c r="AG253" s="24">
        <f t="shared" si="60"/>
        <v>1</v>
      </c>
      <c r="AH253" s="24">
        <f t="shared" si="61"/>
        <v>0.71666666666666667</v>
      </c>
      <c r="AI253" s="24">
        <f t="shared" si="62"/>
        <v>0.4333333333333334</v>
      </c>
    </row>
    <row r="254" spans="1:35" hidden="1" x14ac:dyDescent="0.3">
      <c r="A254" s="2" t="str">
        <f t="shared" si="59"/>
        <v>NÃO</v>
      </c>
      <c r="B254" s="2">
        <v>1000184670</v>
      </c>
      <c r="C254" s="2" t="s">
        <v>147</v>
      </c>
      <c r="D254" s="4">
        <v>1000186197</v>
      </c>
      <c r="E254" s="4" t="s">
        <v>166</v>
      </c>
      <c r="F254" s="2">
        <v>1000198600</v>
      </c>
      <c r="G254" s="2" t="s">
        <v>148</v>
      </c>
      <c r="H254" s="4">
        <v>1000198601</v>
      </c>
      <c r="I254" s="4" t="s">
        <v>149</v>
      </c>
      <c r="J254" s="2">
        <v>1000189761</v>
      </c>
      <c r="K254" s="2" t="s">
        <v>144</v>
      </c>
      <c r="L254" s="4" t="s">
        <v>16</v>
      </c>
      <c r="M254" s="4" t="str">
        <f t="shared" si="52"/>
        <v>1000184670100018619710001986011000189761DISNEY</v>
      </c>
      <c r="N254" s="28">
        <f>N251*_xlfn.XLOOKUP($L254,'Balizador da Meta'!$B$4:$B$21,'Balizador da Meta'!$C$4:$C$21)</f>
        <v>240</v>
      </c>
      <c r="O254" s="28">
        <f>O251*_xlfn.XLOOKUP($L254,'Balizador da Meta'!$B$4:$B$21,'Balizador da Meta'!$C$4:$C$21)</f>
        <v>240</v>
      </c>
      <c r="P254" s="28">
        <f>P251*_xlfn.XLOOKUP($L254,'Balizador da Meta'!$B$4:$B$21,'Balizador da Meta'!$C$4:$C$21)</f>
        <v>240</v>
      </c>
      <c r="Q254" s="28">
        <f>Q251*_xlfn.XLOOKUP($L254,'Balizador da Meta'!$B$4:$B$21,'Balizador da Meta'!$C$4:$C$21)</f>
        <v>240</v>
      </c>
      <c r="R254" s="28">
        <f>R251*_xlfn.XLOOKUP($L254,'Balizador da Meta'!$B$4:$B$21,'Balizador da Meta'!$C$4:$C$21)</f>
        <v>240</v>
      </c>
      <c r="S254" s="28">
        <f>S251*_xlfn.XLOOKUP($L254,'Balizador da Meta'!$B$4:$B$21,'Balizador da Meta'!$C$4:$C$21)</f>
        <v>240</v>
      </c>
      <c r="T254" s="28">
        <f>T251*_xlfn.XLOOKUP($L254,'Balizador da Meta'!$B$4:$B$21,'Balizador da Meta'!$C$4:$C$21)</f>
        <v>240</v>
      </c>
      <c r="U254" s="28">
        <f>U251*_xlfn.XLOOKUP($L254,'Balizador da Meta'!$B$4:$B$21,'Balizador da Meta'!$C$4:$C$21)</f>
        <v>240</v>
      </c>
      <c r="V254" s="28">
        <f>V251*_xlfn.XLOOKUP($L254,'Balizador da Meta'!$B$4:$B$21,'Balizador da Meta'!$C$4:$C$21)</f>
        <v>240</v>
      </c>
      <c r="W254" s="28">
        <f>W251*_xlfn.XLOOKUP($L254,'Balizador da Meta'!$B$4:$B$21,'Balizador da Meta'!$C$4:$C$21)</f>
        <v>240</v>
      </c>
      <c r="X254" s="28">
        <f>X251*_xlfn.XLOOKUP($L254,'Balizador da Meta'!$B$4:$B$21,'Balizador da Meta'!$C$4:$C$21)</f>
        <v>240</v>
      </c>
      <c r="Y254" s="28">
        <f>Y251*_xlfn.XLOOKUP($L254,'Balizador da Meta'!$B$4:$B$21,'Balizador da Meta'!$C$4:$C$21)</f>
        <v>240</v>
      </c>
      <c r="Z254" s="30">
        <f t="shared" si="65"/>
        <v>2880</v>
      </c>
      <c r="AA254" s="29"/>
      <c r="AB254" s="31">
        <f>SUMIFS('Historico - FAT'!AK:AK,'Historico - FAT'!$K:$K,Faturamento!$L254,'Historico - FAT'!$I:$I,Faturamento!$J254,'Historico - FAT'!$G:$G,Faturamento!$H254)</f>
        <v>0</v>
      </c>
      <c r="AC254" s="31">
        <f>SUMIFS('Historico - FAT'!AL:AL,'Historico - FAT'!$K:$K,Faturamento!$L254,'Historico - FAT'!$I:$I,Faturamento!$J254,'Historico - FAT'!$G:$G,Faturamento!$H254)</f>
        <v>0</v>
      </c>
      <c r="AD254" s="31">
        <f>SUMIFS('Historico - FAT'!AM:AM,'Historico - FAT'!$K:$K,Faturamento!$L254,'Historico - FAT'!$I:$I,Faturamento!$J254,'Historico - FAT'!$G:$G,Faturamento!$H254)</f>
        <v>0</v>
      </c>
      <c r="AE254" s="27">
        <f>SUMIFS('Historico - FAT'!AN:AN,'Historico - FAT'!$K:$K,Faturamento!$L254,'Historico - FAT'!$I:$I,Faturamento!$J254,'Historico - FAT'!$G:$G,Faturamento!$H254)</f>
        <v>0</v>
      </c>
      <c r="AG254" s="24">
        <f t="shared" si="60"/>
        <v>1</v>
      </c>
      <c r="AH254" s="24">
        <f t="shared" si="61"/>
        <v>1</v>
      </c>
      <c r="AI254" s="24">
        <f t="shared" si="62"/>
        <v>1</v>
      </c>
    </row>
    <row r="255" spans="1:35" hidden="1" x14ac:dyDescent="0.3">
      <c r="A255" s="2" t="str">
        <f t="shared" si="59"/>
        <v>NÃO</v>
      </c>
      <c r="B255" s="2">
        <v>1000184670</v>
      </c>
      <c r="C255" s="2" t="s">
        <v>147</v>
      </c>
      <c r="D255" s="4">
        <v>1000186197</v>
      </c>
      <c r="E255" s="4" t="s">
        <v>166</v>
      </c>
      <c r="F255" s="2">
        <v>1000198600</v>
      </c>
      <c r="G255" s="2" t="s">
        <v>148</v>
      </c>
      <c r="H255" s="4">
        <v>1000198601</v>
      </c>
      <c r="I255" s="4" t="s">
        <v>149</v>
      </c>
      <c r="J255" s="2">
        <v>1000189761</v>
      </c>
      <c r="K255" s="2" t="s">
        <v>144</v>
      </c>
      <c r="L255" s="4" t="s">
        <v>15</v>
      </c>
      <c r="M255" s="4" t="str">
        <f t="shared" si="52"/>
        <v>1000184670100018619710001986011000189761DOCES</v>
      </c>
      <c r="N255" s="28">
        <f>N251*_xlfn.XLOOKUP($L255,'Balizador da Meta'!$B$4:$B$21,'Balizador da Meta'!$C$4:$C$21)</f>
        <v>270</v>
      </c>
      <c r="O255" s="28">
        <f>O251*_xlfn.XLOOKUP($L255,'Balizador da Meta'!$B$4:$B$21,'Balizador da Meta'!$C$4:$C$21)</f>
        <v>270</v>
      </c>
      <c r="P255" s="28">
        <f>P251*_xlfn.XLOOKUP($L255,'Balizador da Meta'!$B$4:$B$21,'Balizador da Meta'!$C$4:$C$21)</f>
        <v>270</v>
      </c>
      <c r="Q255" s="28">
        <f>Q251*_xlfn.XLOOKUP($L255,'Balizador da Meta'!$B$4:$B$21,'Balizador da Meta'!$C$4:$C$21)</f>
        <v>270</v>
      </c>
      <c r="R255" s="28">
        <f>R251*_xlfn.XLOOKUP($L255,'Balizador da Meta'!$B$4:$B$21,'Balizador da Meta'!$C$4:$C$21)</f>
        <v>270</v>
      </c>
      <c r="S255" s="28">
        <f>S251*_xlfn.XLOOKUP($L255,'Balizador da Meta'!$B$4:$B$21,'Balizador da Meta'!$C$4:$C$21)</f>
        <v>270</v>
      </c>
      <c r="T255" s="28">
        <f>T251*_xlfn.XLOOKUP($L255,'Balizador da Meta'!$B$4:$B$21,'Balizador da Meta'!$C$4:$C$21)</f>
        <v>270</v>
      </c>
      <c r="U255" s="28">
        <f>U251*_xlfn.XLOOKUP($L255,'Balizador da Meta'!$B$4:$B$21,'Balizador da Meta'!$C$4:$C$21)</f>
        <v>270</v>
      </c>
      <c r="V255" s="28">
        <f>V251*_xlfn.XLOOKUP($L255,'Balizador da Meta'!$B$4:$B$21,'Balizador da Meta'!$C$4:$C$21)</f>
        <v>270</v>
      </c>
      <c r="W255" s="28">
        <f>W251*_xlfn.XLOOKUP($L255,'Balizador da Meta'!$B$4:$B$21,'Balizador da Meta'!$C$4:$C$21)</f>
        <v>270</v>
      </c>
      <c r="X255" s="28">
        <f>X251*_xlfn.XLOOKUP($L255,'Balizador da Meta'!$B$4:$B$21,'Balizador da Meta'!$C$4:$C$21)</f>
        <v>270</v>
      </c>
      <c r="Y255" s="28">
        <f>Y251*_xlfn.XLOOKUP($L255,'Balizador da Meta'!$B$4:$B$21,'Balizador da Meta'!$C$4:$C$21)</f>
        <v>270</v>
      </c>
      <c r="Z255" s="30">
        <f t="shared" si="65"/>
        <v>3240</v>
      </c>
      <c r="AA255" s="29"/>
      <c r="AB255" s="31">
        <f>SUMIFS('Historico - FAT'!AK:AK,'Historico - FAT'!$K:$K,Faturamento!$L255,'Historico - FAT'!$I:$I,Faturamento!$J255,'Historico - FAT'!$G:$G,Faturamento!$H255)</f>
        <v>0</v>
      </c>
      <c r="AC255" s="31">
        <f>SUMIFS('Historico - FAT'!AL:AL,'Historico - FAT'!$K:$K,Faturamento!$L255,'Historico - FAT'!$I:$I,Faturamento!$J255,'Historico - FAT'!$G:$G,Faturamento!$H255)</f>
        <v>141.31333333333336</v>
      </c>
      <c r="AD255" s="31">
        <f>SUMIFS('Historico - FAT'!AM:AM,'Historico - FAT'!$K:$K,Faturamento!$L255,'Historico - FAT'!$I:$I,Faturamento!$J255,'Historico - FAT'!$G:$G,Faturamento!$H255)</f>
        <v>282.62666666666672</v>
      </c>
      <c r="AE255" s="27">
        <f>SUMIFS('Historico - FAT'!AN:AN,'Historico - FAT'!$K:$K,Faturamento!$L255,'Historico - FAT'!$I:$I,Faturamento!$J255,'Historico - FAT'!$G:$G,Faturamento!$H255)</f>
        <v>169.57600000000002</v>
      </c>
      <c r="AG255" s="24">
        <f t="shared" si="60"/>
        <v>1</v>
      </c>
      <c r="AH255" s="24">
        <f t="shared" si="61"/>
        <v>0.4766172839506172</v>
      </c>
      <c r="AI255" s="24">
        <f t="shared" si="62"/>
        <v>-4.6765432098765637E-2</v>
      </c>
    </row>
    <row r="256" spans="1:35" hidden="1" x14ac:dyDescent="0.3">
      <c r="A256" s="2" t="str">
        <f t="shared" si="59"/>
        <v>NÃO</v>
      </c>
      <c r="B256" s="2">
        <v>1000184670</v>
      </c>
      <c r="C256" s="2" t="s">
        <v>147</v>
      </c>
      <c r="D256" s="4">
        <v>1000186197</v>
      </c>
      <c r="E256" s="4" t="s">
        <v>166</v>
      </c>
      <c r="F256" s="2">
        <v>1000198600</v>
      </c>
      <c r="G256" s="2" t="s">
        <v>148</v>
      </c>
      <c r="H256" s="4">
        <v>1000198601</v>
      </c>
      <c r="I256" s="4" t="s">
        <v>149</v>
      </c>
      <c r="J256" s="2">
        <v>1000189761</v>
      </c>
      <c r="K256" s="2" t="s">
        <v>144</v>
      </c>
      <c r="L256" s="4" t="s">
        <v>33</v>
      </c>
      <c r="M256" s="4" t="str">
        <f t="shared" si="52"/>
        <v>1000184670100018619710001986011000189761FOOD SERVICE</v>
      </c>
      <c r="N256" s="28">
        <f>N251*_xlfn.XLOOKUP($L256,'Balizador da Meta'!$B$4:$B$21,'Balizador da Meta'!$C$4:$C$21)</f>
        <v>0</v>
      </c>
      <c r="O256" s="28">
        <f>O251*_xlfn.XLOOKUP($L256,'Balizador da Meta'!$B$4:$B$21,'Balizador da Meta'!$C$4:$C$21)</f>
        <v>0</v>
      </c>
      <c r="P256" s="28">
        <f>P251*_xlfn.XLOOKUP($L256,'Balizador da Meta'!$B$4:$B$21,'Balizador da Meta'!$C$4:$C$21)</f>
        <v>0</v>
      </c>
      <c r="Q256" s="28">
        <f>Q251*_xlfn.XLOOKUP($L256,'Balizador da Meta'!$B$4:$B$21,'Balizador da Meta'!$C$4:$C$21)</f>
        <v>0</v>
      </c>
      <c r="R256" s="28">
        <f>R251*_xlfn.XLOOKUP($L256,'Balizador da Meta'!$B$4:$B$21,'Balizador da Meta'!$C$4:$C$21)</f>
        <v>0</v>
      </c>
      <c r="S256" s="28">
        <f>S251*_xlfn.XLOOKUP($L256,'Balizador da Meta'!$B$4:$B$21,'Balizador da Meta'!$C$4:$C$21)</f>
        <v>0</v>
      </c>
      <c r="T256" s="28">
        <f>T251*_xlfn.XLOOKUP($L256,'Balizador da Meta'!$B$4:$B$21,'Balizador da Meta'!$C$4:$C$21)</f>
        <v>0</v>
      </c>
      <c r="U256" s="28">
        <f>U251*_xlfn.XLOOKUP($L256,'Balizador da Meta'!$B$4:$B$21,'Balizador da Meta'!$C$4:$C$21)</f>
        <v>0</v>
      </c>
      <c r="V256" s="28">
        <f>V251*_xlfn.XLOOKUP($L256,'Balizador da Meta'!$B$4:$B$21,'Balizador da Meta'!$C$4:$C$21)</f>
        <v>0</v>
      </c>
      <c r="W256" s="28">
        <f>W251*_xlfn.XLOOKUP($L256,'Balizador da Meta'!$B$4:$B$21,'Balizador da Meta'!$C$4:$C$21)</f>
        <v>0</v>
      </c>
      <c r="X256" s="28">
        <f>X251*_xlfn.XLOOKUP($L256,'Balizador da Meta'!$B$4:$B$21,'Balizador da Meta'!$C$4:$C$21)</f>
        <v>0</v>
      </c>
      <c r="Y256" s="28">
        <f>Y251*_xlfn.XLOOKUP($L256,'Balizador da Meta'!$B$4:$B$21,'Balizador da Meta'!$C$4:$C$21)</f>
        <v>0</v>
      </c>
      <c r="Z256" s="30">
        <f t="shared" si="65"/>
        <v>0</v>
      </c>
      <c r="AA256" s="29"/>
      <c r="AB256" s="31">
        <f>SUMIFS('Historico - FAT'!AK:AK,'Historico - FAT'!$K:$K,Faturamento!$L256,'Historico - FAT'!$I:$I,Faturamento!$J256,'Historico - FAT'!$G:$G,Faturamento!$H256)</f>
        <v>0</v>
      </c>
      <c r="AC256" s="31">
        <f>SUMIFS('Historico - FAT'!AL:AL,'Historico - FAT'!$K:$K,Faturamento!$L256,'Historico - FAT'!$I:$I,Faturamento!$J256,'Historico - FAT'!$G:$G,Faturamento!$H256)</f>
        <v>0</v>
      </c>
      <c r="AD256" s="31">
        <f>SUMIFS('Historico - FAT'!AM:AM,'Historico - FAT'!$K:$K,Faturamento!$L256,'Historico - FAT'!$I:$I,Faturamento!$J256,'Historico - FAT'!$G:$G,Faturamento!$H256)</f>
        <v>0</v>
      </c>
      <c r="AE256" s="27">
        <f>SUMIFS('Historico - FAT'!AN:AN,'Historico - FAT'!$K:$K,Faturamento!$L256,'Historico - FAT'!$I:$I,Faturamento!$J256,'Historico - FAT'!$G:$G,Faturamento!$H256)</f>
        <v>0</v>
      </c>
      <c r="AG256" s="24" t="str">
        <f t="shared" si="60"/>
        <v/>
      </c>
      <c r="AH256" s="24" t="str">
        <f t="shared" si="61"/>
        <v/>
      </c>
      <c r="AI256" s="24" t="str">
        <f t="shared" si="62"/>
        <v/>
      </c>
    </row>
    <row r="257" spans="1:35" hidden="1" x14ac:dyDescent="0.3">
      <c r="A257" s="2" t="str">
        <f t="shared" si="59"/>
        <v>NÃO</v>
      </c>
      <c r="B257" s="2">
        <v>1000184670</v>
      </c>
      <c r="C257" s="2" t="s">
        <v>147</v>
      </c>
      <c r="D257" s="4">
        <v>1000186197</v>
      </c>
      <c r="E257" s="4" t="s">
        <v>166</v>
      </c>
      <c r="F257" s="2">
        <v>1000198600</v>
      </c>
      <c r="G257" s="2" t="s">
        <v>148</v>
      </c>
      <c r="H257" s="4">
        <v>1000198601</v>
      </c>
      <c r="I257" s="4" t="s">
        <v>149</v>
      </c>
      <c r="J257" s="2">
        <v>1000189761</v>
      </c>
      <c r="K257" s="2" t="s">
        <v>144</v>
      </c>
      <c r="L257" s="4" t="s">
        <v>19</v>
      </c>
      <c r="M257" s="4" t="str">
        <f t="shared" si="52"/>
        <v>1000184670100018619710001986011000189761GELEIA</v>
      </c>
      <c r="N257" s="28">
        <f>N251*_xlfn.XLOOKUP($L257,'Balizador da Meta'!$B$4:$B$21,'Balizador da Meta'!$C$4:$C$21)</f>
        <v>59.999999999999993</v>
      </c>
      <c r="O257" s="28">
        <f>O251*_xlfn.XLOOKUP($L257,'Balizador da Meta'!$B$4:$B$21,'Balizador da Meta'!$C$4:$C$21)</f>
        <v>59.999999999999993</v>
      </c>
      <c r="P257" s="28">
        <f>P251*_xlfn.XLOOKUP($L257,'Balizador da Meta'!$B$4:$B$21,'Balizador da Meta'!$C$4:$C$21)</f>
        <v>59.999999999999993</v>
      </c>
      <c r="Q257" s="28">
        <f>Q251*_xlfn.XLOOKUP($L257,'Balizador da Meta'!$B$4:$B$21,'Balizador da Meta'!$C$4:$C$21)</f>
        <v>59.999999999999993</v>
      </c>
      <c r="R257" s="28">
        <f>R251*_xlfn.XLOOKUP($L257,'Balizador da Meta'!$B$4:$B$21,'Balizador da Meta'!$C$4:$C$21)</f>
        <v>59.999999999999993</v>
      </c>
      <c r="S257" s="28">
        <f>S251*_xlfn.XLOOKUP($L257,'Balizador da Meta'!$B$4:$B$21,'Balizador da Meta'!$C$4:$C$21)</f>
        <v>59.999999999999993</v>
      </c>
      <c r="T257" s="28">
        <f>T251*_xlfn.XLOOKUP($L257,'Balizador da Meta'!$B$4:$B$21,'Balizador da Meta'!$C$4:$C$21)</f>
        <v>59.999999999999993</v>
      </c>
      <c r="U257" s="28">
        <f>U251*_xlfn.XLOOKUP($L257,'Balizador da Meta'!$B$4:$B$21,'Balizador da Meta'!$C$4:$C$21)</f>
        <v>59.999999999999993</v>
      </c>
      <c r="V257" s="28">
        <f>V251*_xlfn.XLOOKUP($L257,'Balizador da Meta'!$B$4:$B$21,'Balizador da Meta'!$C$4:$C$21)</f>
        <v>59.999999999999993</v>
      </c>
      <c r="W257" s="28">
        <f>W251*_xlfn.XLOOKUP($L257,'Balizador da Meta'!$B$4:$B$21,'Balizador da Meta'!$C$4:$C$21)</f>
        <v>59.999999999999993</v>
      </c>
      <c r="X257" s="28">
        <f>X251*_xlfn.XLOOKUP($L257,'Balizador da Meta'!$B$4:$B$21,'Balizador da Meta'!$C$4:$C$21)</f>
        <v>59.999999999999993</v>
      </c>
      <c r="Y257" s="28">
        <f>Y251*_xlfn.XLOOKUP($L257,'Balizador da Meta'!$B$4:$B$21,'Balizador da Meta'!$C$4:$C$21)</f>
        <v>59.999999999999993</v>
      </c>
      <c r="Z257" s="30">
        <f t="shared" si="65"/>
        <v>719.99999999999989</v>
      </c>
      <c r="AA257" s="29"/>
      <c r="AB257" s="31">
        <f>SUMIFS('Historico - FAT'!AK:AK,'Historico - FAT'!$K:$K,Faturamento!$L257,'Historico - FAT'!$I:$I,Faturamento!$J257,'Historico - FAT'!$G:$G,Faturamento!$H257)</f>
        <v>0</v>
      </c>
      <c r="AC257" s="31">
        <f>SUMIFS('Historico - FAT'!AL:AL,'Historico - FAT'!$K:$K,Faturamento!$L257,'Historico - FAT'!$I:$I,Faturamento!$J257,'Historico - FAT'!$G:$G,Faturamento!$H257)</f>
        <v>0</v>
      </c>
      <c r="AD257" s="31">
        <f>SUMIFS('Historico - FAT'!AM:AM,'Historico - FAT'!$K:$K,Faturamento!$L257,'Historico - FAT'!$I:$I,Faturamento!$J257,'Historico - FAT'!$G:$G,Faturamento!$H257)</f>
        <v>0</v>
      </c>
      <c r="AE257" s="27">
        <f>SUMIFS('Historico - FAT'!AN:AN,'Historico - FAT'!$K:$K,Faturamento!$L257,'Historico - FAT'!$I:$I,Faturamento!$J257,'Historico - FAT'!$G:$G,Faturamento!$H257)</f>
        <v>0</v>
      </c>
      <c r="AG257" s="24">
        <f t="shared" si="60"/>
        <v>1</v>
      </c>
      <c r="AH257" s="24">
        <f t="shared" si="61"/>
        <v>1</v>
      </c>
      <c r="AI257" s="24">
        <f t="shared" si="62"/>
        <v>1</v>
      </c>
    </row>
    <row r="258" spans="1:35" hidden="1" x14ac:dyDescent="0.3">
      <c r="A258" s="2" t="str">
        <f t="shared" si="59"/>
        <v>NÃO</v>
      </c>
      <c r="B258" s="2">
        <v>1000184670</v>
      </c>
      <c r="C258" s="2" t="s">
        <v>147</v>
      </c>
      <c r="D258" s="4">
        <v>1000186197</v>
      </c>
      <c r="E258" s="4" t="s">
        <v>166</v>
      </c>
      <c r="F258" s="2">
        <v>1000198600</v>
      </c>
      <c r="G258" s="2" t="s">
        <v>148</v>
      </c>
      <c r="H258" s="4">
        <v>1000198601</v>
      </c>
      <c r="I258" s="4" t="s">
        <v>149</v>
      </c>
      <c r="J258" s="2">
        <v>1000189761</v>
      </c>
      <c r="K258" s="2" t="s">
        <v>144</v>
      </c>
      <c r="L258" s="4" t="s">
        <v>17</v>
      </c>
      <c r="M258" s="4" t="str">
        <f t="shared" si="52"/>
        <v>1000184670100018619710001986011000189761GRANOLA</v>
      </c>
      <c r="N258" s="28">
        <f>N251*_xlfn.XLOOKUP($L258,'Balizador da Meta'!$B$4:$B$21,'Balizador da Meta'!$C$4:$C$21)</f>
        <v>60</v>
      </c>
      <c r="O258" s="28">
        <f>O251*_xlfn.XLOOKUP($L258,'Balizador da Meta'!$B$4:$B$21,'Balizador da Meta'!$C$4:$C$21)</f>
        <v>60</v>
      </c>
      <c r="P258" s="28">
        <f>P251*_xlfn.XLOOKUP($L258,'Balizador da Meta'!$B$4:$B$21,'Balizador da Meta'!$C$4:$C$21)</f>
        <v>60</v>
      </c>
      <c r="Q258" s="28">
        <f>Q251*_xlfn.XLOOKUP($L258,'Balizador da Meta'!$B$4:$B$21,'Balizador da Meta'!$C$4:$C$21)</f>
        <v>60</v>
      </c>
      <c r="R258" s="28">
        <f>R251*_xlfn.XLOOKUP($L258,'Balizador da Meta'!$B$4:$B$21,'Balizador da Meta'!$C$4:$C$21)</f>
        <v>60</v>
      </c>
      <c r="S258" s="28">
        <f>S251*_xlfn.XLOOKUP($L258,'Balizador da Meta'!$B$4:$B$21,'Balizador da Meta'!$C$4:$C$21)</f>
        <v>60</v>
      </c>
      <c r="T258" s="28">
        <f>T251*_xlfn.XLOOKUP($L258,'Balizador da Meta'!$B$4:$B$21,'Balizador da Meta'!$C$4:$C$21)</f>
        <v>60</v>
      </c>
      <c r="U258" s="28">
        <f>U251*_xlfn.XLOOKUP($L258,'Balizador da Meta'!$B$4:$B$21,'Balizador da Meta'!$C$4:$C$21)</f>
        <v>60</v>
      </c>
      <c r="V258" s="28">
        <f>V251*_xlfn.XLOOKUP($L258,'Balizador da Meta'!$B$4:$B$21,'Balizador da Meta'!$C$4:$C$21)</f>
        <v>60</v>
      </c>
      <c r="W258" s="28">
        <f>W251*_xlfn.XLOOKUP($L258,'Balizador da Meta'!$B$4:$B$21,'Balizador da Meta'!$C$4:$C$21)</f>
        <v>60</v>
      </c>
      <c r="X258" s="28">
        <f>X251*_xlfn.XLOOKUP($L258,'Balizador da Meta'!$B$4:$B$21,'Balizador da Meta'!$C$4:$C$21)</f>
        <v>60</v>
      </c>
      <c r="Y258" s="28">
        <f>Y251*_xlfn.XLOOKUP($L258,'Balizador da Meta'!$B$4:$B$21,'Balizador da Meta'!$C$4:$C$21)</f>
        <v>60</v>
      </c>
      <c r="Z258" s="30">
        <f t="shared" si="65"/>
        <v>720</v>
      </c>
      <c r="AA258" s="29"/>
      <c r="AB258" s="31">
        <f>SUMIFS('Historico - FAT'!AK:AK,'Historico - FAT'!$K:$K,Faturamento!$L258,'Historico - FAT'!$I:$I,Faturamento!$J258,'Historico - FAT'!$G:$G,Faturamento!$H258)</f>
        <v>0</v>
      </c>
      <c r="AC258" s="31">
        <f>SUMIFS('Historico - FAT'!AL:AL,'Historico - FAT'!$K:$K,Faturamento!$L258,'Historico - FAT'!$I:$I,Faturamento!$J258,'Historico - FAT'!$G:$G,Faturamento!$H258)</f>
        <v>0</v>
      </c>
      <c r="AD258" s="31">
        <f>SUMIFS('Historico - FAT'!AM:AM,'Historico - FAT'!$K:$K,Faturamento!$L258,'Historico - FAT'!$I:$I,Faturamento!$J258,'Historico - FAT'!$G:$G,Faturamento!$H258)</f>
        <v>0</v>
      </c>
      <c r="AE258" s="27">
        <f>SUMIFS('Historico - FAT'!AN:AN,'Historico - FAT'!$K:$K,Faturamento!$L258,'Historico - FAT'!$I:$I,Faturamento!$J258,'Historico - FAT'!$G:$G,Faturamento!$H258)</f>
        <v>0</v>
      </c>
      <c r="AG258" s="24">
        <f t="shared" si="60"/>
        <v>1</v>
      </c>
      <c r="AH258" s="24">
        <f t="shared" si="61"/>
        <v>1</v>
      </c>
      <c r="AI258" s="24">
        <f t="shared" si="62"/>
        <v>1</v>
      </c>
    </row>
    <row r="259" spans="1:35" hidden="1" x14ac:dyDescent="0.3">
      <c r="A259" s="2" t="str">
        <f t="shared" si="59"/>
        <v>NÃO</v>
      </c>
      <c r="B259" s="2">
        <v>1000184670</v>
      </c>
      <c r="C259" s="2" t="s">
        <v>147</v>
      </c>
      <c r="D259" s="4">
        <v>1000186197</v>
      </c>
      <c r="E259" s="4" t="s">
        <v>166</v>
      </c>
      <c r="F259" s="2">
        <v>1000198600</v>
      </c>
      <c r="G259" s="2" t="s">
        <v>148</v>
      </c>
      <c r="H259" s="4">
        <v>1000198601</v>
      </c>
      <c r="I259" s="4" t="s">
        <v>149</v>
      </c>
      <c r="J259" s="2">
        <v>1000189761</v>
      </c>
      <c r="K259" s="2" t="s">
        <v>144</v>
      </c>
      <c r="L259" s="4" t="s">
        <v>24</v>
      </c>
      <c r="M259" s="4" t="str">
        <f t="shared" si="52"/>
        <v>1000184670100018619710001986011000189761KIDS</v>
      </c>
      <c r="N259" s="28">
        <f>N251*_xlfn.XLOOKUP($L259,'Balizador da Meta'!$B$4:$B$21,'Balizador da Meta'!$C$4:$C$21)</f>
        <v>0</v>
      </c>
      <c r="O259" s="28">
        <f>O251*_xlfn.XLOOKUP($L259,'Balizador da Meta'!$B$4:$B$21,'Balizador da Meta'!$C$4:$C$21)</f>
        <v>0</v>
      </c>
      <c r="P259" s="28">
        <f>P251*_xlfn.XLOOKUP($L259,'Balizador da Meta'!$B$4:$B$21,'Balizador da Meta'!$C$4:$C$21)</f>
        <v>0</v>
      </c>
      <c r="Q259" s="28">
        <f>Q251*_xlfn.XLOOKUP($L259,'Balizador da Meta'!$B$4:$B$21,'Balizador da Meta'!$C$4:$C$21)</f>
        <v>0</v>
      </c>
      <c r="R259" s="28">
        <f>R251*_xlfn.XLOOKUP($L259,'Balizador da Meta'!$B$4:$B$21,'Balizador da Meta'!$C$4:$C$21)</f>
        <v>0</v>
      </c>
      <c r="S259" s="28">
        <f>S251*_xlfn.XLOOKUP($L259,'Balizador da Meta'!$B$4:$B$21,'Balizador da Meta'!$C$4:$C$21)</f>
        <v>0</v>
      </c>
      <c r="T259" s="28">
        <f>T251*_xlfn.XLOOKUP($L259,'Balizador da Meta'!$B$4:$B$21,'Balizador da Meta'!$C$4:$C$21)</f>
        <v>0</v>
      </c>
      <c r="U259" s="28">
        <f>U251*_xlfn.XLOOKUP($L259,'Balizador da Meta'!$B$4:$B$21,'Balizador da Meta'!$C$4:$C$21)</f>
        <v>0</v>
      </c>
      <c r="V259" s="28">
        <f>V251*_xlfn.XLOOKUP($L259,'Balizador da Meta'!$B$4:$B$21,'Balizador da Meta'!$C$4:$C$21)</f>
        <v>0</v>
      </c>
      <c r="W259" s="28">
        <f>W251*_xlfn.XLOOKUP($L259,'Balizador da Meta'!$B$4:$B$21,'Balizador da Meta'!$C$4:$C$21)</f>
        <v>0</v>
      </c>
      <c r="X259" s="28">
        <f>X251*_xlfn.XLOOKUP($L259,'Balizador da Meta'!$B$4:$B$21,'Balizador da Meta'!$C$4:$C$21)</f>
        <v>0</v>
      </c>
      <c r="Y259" s="28">
        <f>Y251*_xlfn.XLOOKUP($L259,'Balizador da Meta'!$B$4:$B$21,'Balizador da Meta'!$C$4:$C$21)</f>
        <v>0</v>
      </c>
      <c r="Z259" s="30">
        <f t="shared" si="65"/>
        <v>0</v>
      </c>
      <c r="AA259" s="29"/>
      <c r="AB259" s="31">
        <f>SUMIFS('Historico - FAT'!AK:AK,'Historico - FAT'!$K:$K,Faturamento!$L259,'Historico - FAT'!$I:$I,Faturamento!$J259,'Historico - FAT'!$G:$G,Faturamento!$H259)</f>
        <v>0</v>
      </c>
      <c r="AC259" s="31">
        <f>SUMIFS('Historico - FAT'!AL:AL,'Historico - FAT'!$K:$K,Faturamento!$L259,'Historico - FAT'!$I:$I,Faturamento!$J259,'Historico - FAT'!$G:$G,Faturamento!$H259)</f>
        <v>0</v>
      </c>
      <c r="AD259" s="31">
        <f>SUMIFS('Historico - FAT'!AM:AM,'Historico - FAT'!$K:$K,Faturamento!$L259,'Historico - FAT'!$I:$I,Faturamento!$J259,'Historico - FAT'!$G:$G,Faturamento!$H259)</f>
        <v>0</v>
      </c>
      <c r="AE259" s="27">
        <f>SUMIFS('Historico - FAT'!AN:AN,'Historico - FAT'!$K:$K,Faturamento!$L259,'Historico - FAT'!$I:$I,Faturamento!$J259,'Historico - FAT'!$G:$G,Faturamento!$H259)</f>
        <v>0</v>
      </c>
      <c r="AG259" s="24" t="str">
        <f t="shared" si="60"/>
        <v/>
      </c>
      <c r="AH259" s="24" t="str">
        <f t="shared" si="61"/>
        <v/>
      </c>
      <c r="AI259" s="24" t="str">
        <f t="shared" si="62"/>
        <v/>
      </c>
    </row>
    <row r="260" spans="1:35" hidden="1" x14ac:dyDescent="0.3">
      <c r="A260" s="2" t="str">
        <f t="shared" si="59"/>
        <v>NÃO</v>
      </c>
      <c r="B260" s="2">
        <v>1000184670</v>
      </c>
      <c r="C260" s="2" t="s">
        <v>147</v>
      </c>
      <c r="D260" s="4">
        <v>1000186197</v>
      </c>
      <c r="E260" s="4" t="s">
        <v>166</v>
      </c>
      <c r="F260" s="2">
        <v>1000198600</v>
      </c>
      <c r="G260" s="2" t="s">
        <v>148</v>
      </c>
      <c r="H260" s="4">
        <v>1000198601</v>
      </c>
      <c r="I260" s="4" t="s">
        <v>149</v>
      </c>
      <c r="J260" s="2">
        <v>1000189761</v>
      </c>
      <c r="K260" s="2" t="s">
        <v>144</v>
      </c>
      <c r="L260" s="4" t="s">
        <v>18</v>
      </c>
      <c r="M260" s="4" t="str">
        <f t="shared" si="52"/>
        <v>1000184670100018619710001986011000189761LANCHES</v>
      </c>
      <c r="N260" s="28">
        <f>N251*_xlfn.XLOOKUP($L260,'Balizador da Meta'!$B$4:$B$21,'Balizador da Meta'!$C$4:$C$21)</f>
        <v>30</v>
      </c>
      <c r="O260" s="28">
        <f>O251*_xlfn.XLOOKUP($L260,'Balizador da Meta'!$B$4:$B$21,'Balizador da Meta'!$C$4:$C$21)</f>
        <v>30</v>
      </c>
      <c r="P260" s="28">
        <f>P251*_xlfn.XLOOKUP($L260,'Balizador da Meta'!$B$4:$B$21,'Balizador da Meta'!$C$4:$C$21)</f>
        <v>30</v>
      </c>
      <c r="Q260" s="28">
        <f>Q251*_xlfn.XLOOKUP($L260,'Balizador da Meta'!$B$4:$B$21,'Balizador da Meta'!$C$4:$C$21)</f>
        <v>30</v>
      </c>
      <c r="R260" s="28">
        <f>R251*_xlfn.XLOOKUP($L260,'Balizador da Meta'!$B$4:$B$21,'Balizador da Meta'!$C$4:$C$21)</f>
        <v>30</v>
      </c>
      <c r="S260" s="28">
        <f>S251*_xlfn.XLOOKUP($L260,'Balizador da Meta'!$B$4:$B$21,'Balizador da Meta'!$C$4:$C$21)</f>
        <v>30</v>
      </c>
      <c r="T260" s="28">
        <f>T251*_xlfn.XLOOKUP($L260,'Balizador da Meta'!$B$4:$B$21,'Balizador da Meta'!$C$4:$C$21)</f>
        <v>30</v>
      </c>
      <c r="U260" s="28">
        <f>U251*_xlfn.XLOOKUP($L260,'Balizador da Meta'!$B$4:$B$21,'Balizador da Meta'!$C$4:$C$21)</f>
        <v>30</v>
      </c>
      <c r="V260" s="28">
        <f>V251*_xlfn.XLOOKUP($L260,'Balizador da Meta'!$B$4:$B$21,'Balizador da Meta'!$C$4:$C$21)</f>
        <v>30</v>
      </c>
      <c r="W260" s="28">
        <f>W251*_xlfn.XLOOKUP($L260,'Balizador da Meta'!$B$4:$B$21,'Balizador da Meta'!$C$4:$C$21)</f>
        <v>30</v>
      </c>
      <c r="X260" s="28">
        <f>X251*_xlfn.XLOOKUP($L260,'Balizador da Meta'!$B$4:$B$21,'Balizador da Meta'!$C$4:$C$21)</f>
        <v>30</v>
      </c>
      <c r="Y260" s="28">
        <f>Y251*_xlfn.XLOOKUP($L260,'Balizador da Meta'!$B$4:$B$21,'Balizador da Meta'!$C$4:$C$21)</f>
        <v>30</v>
      </c>
      <c r="Z260" s="30">
        <f t="shared" si="65"/>
        <v>360</v>
      </c>
      <c r="AA260" s="29"/>
      <c r="AB260" s="31">
        <f>SUMIFS('Historico - FAT'!AK:AK,'Historico - FAT'!$K:$K,Faturamento!$L260,'Historico - FAT'!$I:$I,Faturamento!$J260,'Historico - FAT'!$G:$G,Faturamento!$H260)</f>
        <v>0</v>
      </c>
      <c r="AC260" s="31">
        <f>SUMIFS('Historico - FAT'!AL:AL,'Historico - FAT'!$K:$K,Faturamento!$L260,'Historico - FAT'!$I:$I,Faturamento!$J260,'Historico - FAT'!$G:$G,Faturamento!$H260)</f>
        <v>0</v>
      </c>
      <c r="AD260" s="31">
        <f>SUMIFS('Historico - FAT'!AM:AM,'Historico - FAT'!$K:$K,Faturamento!$L260,'Historico - FAT'!$I:$I,Faturamento!$J260,'Historico - FAT'!$G:$G,Faturamento!$H260)</f>
        <v>0</v>
      </c>
      <c r="AE260" s="27">
        <f>SUMIFS('Historico - FAT'!AN:AN,'Historico - FAT'!$K:$K,Faturamento!$L260,'Historico - FAT'!$I:$I,Faturamento!$J260,'Historico - FAT'!$G:$G,Faturamento!$H260)</f>
        <v>0</v>
      </c>
      <c r="AG260" s="24">
        <f t="shared" si="60"/>
        <v>1</v>
      </c>
      <c r="AH260" s="24">
        <f t="shared" si="61"/>
        <v>1</v>
      </c>
      <c r="AI260" s="24">
        <f t="shared" si="62"/>
        <v>1</v>
      </c>
    </row>
    <row r="261" spans="1:35" hidden="1" x14ac:dyDescent="0.3">
      <c r="A261" s="2" t="str">
        <f t="shared" si="59"/>
        <v>NÃO</v>
      </c>
      <c r="B261" s="2">
        <v>1000184670</v>
      </c>
      <c r="C261" s="2" t="s">
        <v>147</v>
      </c>
      <c r="D261" s="4">
        <v>1000186197</v>
      </c>
      <c r="E261" s="4" t="s">
        <v>166</v>
      </c>
      <c r="F261" s="2">
        <v>1000198600</v>
      </c>
      <c r="G261" s="2" t="s">
        <v>148</v>
      </c>
      <c r="H261" s="4">
        <v>1000198601</v>
      </c>
      <c r="I261" s="4" t="s">
        <v>149</v>
      </c>
      <c r="J261" s="2">
        <v>1000189761</v>
      </c>
      <c r="K261" s="2" t="s">
        <v>144</v>
      </c>
      <c r="L261" s="4" t="s">
        <v>29</v>
      </c>
      <c r="M261" s="4" t="str">
        <f t="shared" ref="M261:M324" si="66">_xlfn.CONCAT(B261,D261,H261,J261,L261,)</f>
        <v>1000184670100018619710001986011000189761MAIS GRANEL</v>
      </c>
      <c r="N261" s="28">
        <f>N251*_xlfn.XLOOKUP($L261,'Balizador da Meta'!$B$4:$B$21,'Balizador da Meta'!$C$4:$C$21)</f>
        <v>960</v>
      </c>
      <c r="O261" s="28">
        <f>O251*_xlfn.XLOOKUP($L261,'Balizador da Meta'!$B$4:$B$21,'Balizador da Meta'!$C$4:$C$21)</f>
        <v>960</v>
      </c>
      <c r="P261" s="28">
        <f>P251*_xlfn.XLOOKUP($L261,'Balizador da Meta'!$B$4:$B$21,'Balizador da Meta'!$C$4:$C$21)</f>
        <v>960</v>
      </c>
      <c r="Q261" s="28">
        <f>Q251*_xlfn.XLOOKUP($L261,'Balizador da Meta'!$B$4:$B$21,'Balizador da Meta'!$C$4:$C$21)</f>
        <v>960</v>
      </c>
      <c r="R261" s="28">
        <f>R251*_xlfn.XLOOKUP($L261,'Balizador da Meta'!$B$4:$B$21,'Balizador da Meta'!$C$4:$C$21)</f>
        <v>960</v>
      </c>
      <c r="S261" s="28">
        <f>S251*_xlfn.XLOOKUP($L261,'Balizador da Meta'!$B$4:$B$21,'Balizador da Meta'!$C$4:$C$21)</f>
        <v>960</v>
      </c>
      <c r="T261" s="28">
        <f>T251*_xlfn.XLOOKUP($L261,'Balizador da Meta'!$B$4:$B$21,'Balizador da Meta'!$C$4:$C$21)</f>
        <v>960</v>
      </c>
      <c r="U261" s="28">
        <f>U251*_xlfn.XLOOKUP($L261,'Balizador da Meta'!$B$4:$B$21,'Balizador da Meta'!$C$4:$C$21)</f>
        <v>960</v>
      </c>
      <c r="V261" s="28">
        <f>V251*_xlfn.XLOOKUP($L261,'Balizador da Meta'!$B$4:$B$21,'Balizador da Meta'!$C$4:$C$21)</f>
        <v>960</v>
      </c>
      <c r="W261" s="28">
        <f>W251*_xlfn.XLOOKUP($L261,'Balizador da Meta'!$B$4:$B$21,'Balizador da Meta'!$C$4:$C$21)</f>
        <v>960</v>
      </c>
      <c r="X261" s="28">
        <f>X251*_xlfn.XLOOKUP($L261,'Balizador da Meta'!$B$4:$B$21,'Balizador da Meta'!$C$4:$C$21)</f>
        <v>960</v>
      </c>
      <c r="Y261" s="28">
        <f>Y251*_xlfn.XLOOKUP($L261,'Balizador da Meta'!$B$4:$B$21,'Balizador da Meta'!$C$4:$C$21)</f>
        <v>960</v>
      </c>
      <c r="Z261" s="30">
        <f t="shared" si="65"/>
        <v>11520</v>
      </c>
      <c r="AA261" s="29"/>
      <c r="AB261" s="31">
        <f>SUMIFS('Historico - FAT'!AK:AK,'Historico - FAT'!$K:$K,Faturamento!$L261,'Historico - FAT'!$I:$I,Faturamento!$J261,'Historico - FAT'!$G:$G,Faturamento!$H261)</f>
        <v>0</v>
      </c>
      <c r="AC261" s="31">
        <f>SUMIFS('Historico - FAT'!AL:AL,'Historico - FAT'!$K:$K,Faturamento!$L261,'Historico - FAT'!$I:$I,Faturamento!$J261,'Historico - FAT'!$G:$G,Faturamento!$H261)</f>
        <v>1257.7333333333333</v>
      </c>
      <c r="AD261" s="31">
        <f>SUMIFS('Historico - FAT'!AM:AM,'Historico - FAT'!$K:$K,Faturamento!$L261,'Historico - FAT'!$I:$I,Faturamento!$J261,'Historico - FAT'!$G:$G,Faturamento!$H261)</f>
        <v>2515.4666666666667</v>
      </c>
      <c r="AE261" s="27">
        <f>SUMIFS('Historico - FAT'!AN:AN,'Historico - FAT'!$K:$K,Faturamento!$L261,'Historico - FAT'!$I:$I,Faturamento!$J261,'Historico - FAT'!$G:$G,Faturamento!$H261)</f>
        <v>1509.28</v>
      </c>
      <c r="AG261" s="24">
        <f t="shared" si="60"/>
        <v>1</v>
      </c>
      <c r="AH261" s="24">
        <f t="shared" si="61"/>
        <v>-0.31013888888888891</v>
      </c>
      <c r="AI261" s="24">
        <f t="shared" si="62"/>
        <v>-1.6202777777777777</v>
      </c>
    </row>
    <row r="262" spans="1:35" hidden="1" x14ac:dyDescent="0.3">
      <c r="A262" s="2" t="str">
        <f t="shared" si="59"/>
        <v>NÃO</v>
      </c>
      <c r="B262" s="2">
        <v>1000184670</v>
      </c>
      <c r="C262" s="2" t="s">
        <v>147</v>
      </c>
      <c r="D262" s="4">
        <v>1000186197</v>
      </c>
      <c r="E262" s="4" t="s">
        <v>166</v>
      </c>
      <c r="F262" s="2">
        <v>1000198600</v>
      </c>
      <c r="G262" s="2" t="s">
        <v>148</v>
      </c>
      <c r="H262" s="4">
        <v>1000198601</v>
      </c>
      <c r="I262" s="4" t="s">
        <v>149</v>
      </c>
      <c r="J262" s="2">
        <v>1000189761</v>
      </c>
      <c r="K262" s="2" t="s">
        <v>144</v>
      </c>
      <c r="L262" s="4" t="s">
        <v>21</v>
      </c>
      <c r="M262" s="4" t="str">
        <f t="shared" si="66"/>
        <v>1000184670100018619710001986011000189761NATURATTA</v>
      </c>
      <c r="N262" s="28">
        <f>N251*_xlfn.XLOOKUP($L262,'Balizador da Meta'!$B$4:$B$21,'Balizador da Meta'!$C$4:$C$21)</f>
        <v>150</v>
      </c>
      <c r="O262" s="28">
        <f>O251*_xlfn.XLOOKUP($L262,'Balizador da Meta'!$B$4:$B$21,'Balizador da Meta'!$C$4:$C$21)</f>
        <v>150</v>
      </c>
      <c r="P262" s="28">
        <f>P251*_xlfn.XLOOKUP($L262,'Balizador da Meta'!$B$4:$B$21,'Balizador da Meta'!$C$4:$C$21)</f>
        <v>150</v>
      </c>
      <c r="Q262" s="28">
        <f>Q251*_xlfn.XLOOKUP($L262,'Balizador da Meta'!$B$4:$B$21,'Balizador da Meta'!$C$4:$C$21)</f>
        <v>150</v>
      </c>
      <c r="R262" s="28">
        <f>R251*_xlfn.XLOOKUP($L262,'Balizador da Meta'!$B$4:$B$21,'Balizador da Meta'!$C$4:$C$21)</f>
        <v>150</v>
      </c>
      <c r="S262" s="28">
        <f>S251*_xlfn.XLOOKUP($L262,'Balizador da Meta'!$B$4:$B$21,'Balizador da Meta'!$C$4:$C$21)</f>
        <v>150</v>
      </c>
      <c r="T262" s="28">
        <f>T251*_xlfn.XLOOKUP($L262,'Balizador da Meta'!$B$4:$B$21,'Balizador da Meta'!$C$4:$C$21)</f>
        <v>150</v>
      </c>
      <c r="U262" s="28">
        <f>U251*_xlfn.XLOOKUP($L262,'Balizador da Meta'!$B$4:$B$21,'Balizador da Meta'!$C$4:$C$21)</f>
        <v>150</v>
      </c>
      <c r="V262" s="28">
        <f>V251*_xlfn.XLOOKUP($L262,'Balizador da Meta'!$B$4:$B$21,'Balizador da Meta'!$C$4:$C$21)</f>
        <v>150</v>
      </c>
      <c r="W262" s="28">
        <f>W251*_xlfn.XLOOKUP($L262,'Balizador da Meta'!$B$4:$B$21,'Balizador da Meta'!$C$4:$C$21)</f>
        <v>150</v>
      </c>
      <c r="X262" s="28">
        <f>X251*_xlfn.XLOOKUP($L262,'Balizador da Meta'!$B$4:$B$21,'Balizador da Meta'!$C$4:$C$21)</f>
        <v>150</v>
      </c>
      <c r="Y262" s="28">
        <f>Y251*_xlfn.XLOOKUP($L262,'Balizador da Meta'!$B$4:$B$21,'Balizador da Meta'!$C$4:$C$21)</f>
        <v>150</v>
      </c>
      <c r="Z262" s="30">
        <f t="shared" si="65"/>
        <v>1800</v>
      </c>
      <c r="AA262" s="29"/>
      <c r="AB262" s="31">
        <f>SUMIFS('Historico - FAT'!AK:AK,'Historico - FAT'!$K:$K,Faturamento!$L262,'Historico - FAT'!$I:$I,Faturamento!$J262,'Historico - FAT'!$G:$G,Faturamento!$H262)</f>
        <v>0</v>
      </c>
      <c r="AC262" s="31">
        <f>SUMIFS('Historico - FAT'!AL:AL,'Historico - FAT'!$K:$K,Faturamento!$L262,'Historico - FAT'!$I:$I,Faturamento!$J262,'Historico - FAT'!$G:$G,Faturamento!$H262)</f>
        <v>187.14916666666667</v>
      </c>
      <c r="AD262" s="31">
        <f>SUMIFS('Historico - FAT'!AM:AM,'Historico - FAT'!$K:$K,Faturamento!$L262,'Historico - FAT'!$I:$I,Faturamento!$J262,'Historico - FAT'!$G:$G,Faturamento!$H262)</f>
        <v>374.29833333333335</v>
      </c>
      <c r="AE262" s="27">
        <f>SUMIFS('Historico - FAT'!AN:AN,'Historico - FAT'!$K:$K,Faturamento!$L262,'Historico - FAT'!$I:$I,Faturamento!$J262,'Historico - FAT'!$G:$G,Faturamento!$H262)</f>
        <v>224.57900000000001</v>
      </c>
      <c r="AG262" s="24">
        <f t="shared" si="60"/>
        <v>1</v>
      </c>
      <c r="AH262" s="24">
        <f t="shared" si="61"/>
        <v>-0.24766111111111117</v>
      </c>
      <c r="AI262" s="24">
        <f t="shared" si="62"/>
        <v>-1.4953222222222222</v>
      </c>
    </row>
    <row r="263" spans="1:35" hidden="1" x14ac:dyDescent="0.3">
      <c r="A263" s="2" t="str">
        <f t="shared" si="59"/>
        <v>NÃO</v>
      </c>
      <c r="B263" s="2">
        <v>1000184670</v>
      </c>
      <c r="C263" s="2" t="s">
        <v>147</v>
      </c>
      <c r="D263" s="4">
        <v>1000186197</v>
      </c>
      <c r="E263" s="4" t="s">
        <v>166</v>
      </c>
      <c r="F263" s="2">
        <v>1000198600</v>
      </c>
      <c r="G263" s="2" t="s">
        <v>148</v>
      </c>
      <c r="H263" s="4">
        <v>1000198601</v>
      </c>
      <c r="I263" s="4" t="s">
        <v>149</v>
      </c>
      <c r="J263" s="2">
        <v>1000189761</v>
      </c>
      <c r="K263" s="2" t="s">
        <v>144</v>
      </c>
      <c r="L263" s="4" t="s">
        <v>20</v>
      </c>
      <c r="M263" s="4" t="str">
        <f t="shared" si="66"/>
        <v>1000184670100018619710001986011000189761REEMBALADOS</v>
      </c>
      <c r="N263" s="28">
        <f>N251*_xlfn.XLOOKUP($L263,'Balizador da Meta'!$B$4:$B$21,'Balizador da Meta'!$C$4:$C$21)</f>
        <v>120</v>
      </c>
      <c r="O263" s="28">
        <f>O251*_xlfn.XLOOKUP($L263,'Balizador da Meta'!$B$4:$B$21,'Balizador da Meta'!$C$4:$C$21)</f>
        <v>120</v>
      </c>
      <c r="P263" s="28">
        <f>P251*_xlfn.XLOOKUP($L263,'Balizador da Meta'!$B$4:$B$21,'Balizador da Meta'!$C$4:$C$21)</f>
        <v>120</v>
      </c>
      <c r="Q263" s="28">
        <f>Q251*_xlfn.XLOOKUP($L263,'Balizador da Meta'!$B$4:$B$21,'Balizador da Meta'!$C$4:$C$21)</f>
        <v>120</v>
      </c>
      <c r="R263" s="28">
        <f>R251*_xlfn.XLOOKUP($L263,'Balizador da Meta'!$B$4:$B$21,'Balizador da Meta'!$C$4:$C$21)</f>
        <v>120</v>
      </c>
      <c r="S263" s="28">
        <f>S251*_xlfn.XLOOKUP($L263,'Balizador da Meta'!$B$4:$B$21,'Balizador da Meta'!$C$4:$C$21)</f>
        <v>120</v>
      </c>
      <c r="T263" s="28">
        <f>T251*_xlfn.XLOOKUP($L263,'Balizador da Meta'!$B$4:$B$21,'Balizador da Meta'!$C$4:$C$21)</f>
        <v>120</v>
      </c>
      <c r="U263" s="28">
        <f>U251*_xlfn.XLOOKUP($L263,'Balizador da Meta'!$B$4:$B$21,'Balizador da Meta'!$C$4:$C$21)</f>
        <v>120</v>
      </c>
      <c r="V263" s="28">
        <f>V251*_xlfn.XLOOKUP($L263,'Balizador da Meta'!$B$4:$B$21,'Balizador da Meta'!$C$4:$C$21)</f>
        <v>120</v>
      </c>
      <c r="W263" s="28">
        <f>W251*_xlfn.XLOOKUP($L263,'Balizador da Meta'!$B$4:$B$21,'Balizador da Meta'!$C$4:$C$21)</f>
        <v>120</v>
      </c>
      <c r="X263" s="28">
        <f>X251*_xlfn.XLOOKUP($L263,'Balizador da Meta'!$B$4:$B$21,'Balizador da Meta'!$C$4:$C$21)</f>
        <v>120</v>
      </c>
      <c r="Y263" s="28">
        <f>Y251*_xlfn.XLOOKUP($L263,'Balizador da Meta'!$B$4:$B$21,'Balizador da Meta'!$C$4:$C$21)</f>
        <v>120</v>
      </c>
      <c r="Z263" s="30">
        <f t="shared" si="65"/>
        <v>1440</v>
      </c>
      <c r="AA263" s="29"/>
      <c r="AB263" s="31">
        <f>SUMIFS('Historico - FAT'!AK:AK,'Historico - FAT'!$K:$K,Faturamento!$L263,'Historico - FAT'!$I:$I,Faturamento!$J263,'Historico - FAT'!$G:$G,Faturamento!$H263)</f>
        <v>0</v>
      </c>
      <c r="AC263" s="31">
        <f>SUMIFS('Historico - FAT'!AL:AL,'Historico - FAT'!$K:$K,Faturamento!$L263,'Historico - FAT'!$I:$I,Faturamento!$J263,'Historico - FAT'!$G:$G,Faturamento!$H263)</f>
        <v>7.2716666666666674</v>
      </c>
      <c r="AD263" s="31">
        <f>SUMIFS('Historico - FAT'!AM:AM,'Historico - FAT'!$K:$K,Faturamento!$L263,'Historico - FAT'!$I:$I,Faturamento!$J263,'Historico - FAT'!$G:$G,Faturamento!$H263)</f>
        <v>14.543333333333335</v>
      </c>
      <c r="AE263" s="27">
        <f>SUMIFS('Historico - FAT'!AN:AN,'Historico - FAT'!$K:$K,Faturamento!$L263,'Historico - FAT'!$I:$I,Faturamento!$J263,'Historico - FAT'!$G:$G,Faturamento!$H263)</f>
        <v>8.7260000000000009</v>
      </c>
      <c r="AG263" s="24">
        <f t="shared" si="60"/>
        <v>1</v>
      </c>
      <c r="AH263" s="24">
        <f t="shared" si="61"/>
        <v>0.93940277777777781</v>
      </c>
      <c r="AI263" s="24">
        <f t="shared" si="62"/>
        <v>0.87880555555555551</v>
      </c>
    </row>
    <row r="264" spans="1:35" hidden="1" x14ac:dyDescent="0.3">
      <c r="A264" s="2" t="str">
        <f t="shared" si="59"/>
        <v>NÃO</v>
      </c>
      <c r="B264" s="2">
        <v>1000184670</v>
      </c>
      <c r="C264" s="2" t="s">
        <v>147</v>
      </c>
      <c r="D264" s="4">
        <v>1000186197</v>
      </c>
      <c r="E264" s="4" t="s">
        <v>166</v>
      </c>
      <c r="F264" s="2">
        <v>1000198600</v>
      </c>
      <c r="G264" s="2" t="s">
        <v>148</v>
      </c>
      <c r="H264" s="4">
        <v>1000198601</v>
      </c>
      <c r="I264" s="4" t="s">
        <v>149</v>
      </c>
      <c r="J264" s="2">
        <v>1000189761</v>
      </c>
      <c r="K264" s="2" t="s">
        <v>144</v>
      </c>
      <c r="L264" s="4" t="s">
        <v>22</v>
      </c>
      <c r="M264" s="4" t="str">
        <f t="shared" si="66"/>
        <v>1000184670100018619710001986011000189761S GLUTEN</v>
      </c>
      <c r="N264" s="28">
        <f>N251*_xlfn.XLOOKUP($L264,'Balizador da Meta'!$B$4:$B$21,'Balizador da Meta'!$C$4:$C$21)</f>
        <v>120</v>
      </c>
      <c r="O264" s="28">
        <f>O251*_xlfn.XLOOKUP($L264,'Balizador da Meta'!$B$4:$B$21,'Balizador da Meta'!$C$4:$C$21)</f>
        <v>120</v>
      </c>
      <c r="P264" s="28">
        <f>P251*_xlfn.XLOOKUP($L264,'Balizador da Meta'!$B$4:$B$21,'Balizador da Meta'!$C$4:$C$21)</f>
        <v>120</v>
      </c>
      <c r="Q264" s="28">
        <f>Q251*_xlfn.XLOOKUP($L264,'Balizador da Meta'!$B$4:$B$21,'Balizador da Meta'!$C$4:$C$21)</f>
        <v>120</v>
      </c>
      <c r="R264" s="28">
        <f>R251*_xlfn.XLOOKUP($L264,'Balizador da Meta'!$B$4:$B$21,'Balizador da Meta'!$C$4:$C$21)</f>
        <v>120</v>
      </c>
      <c r="S264" s="28">
        <f>S251*_xlfn.XLOOKUP($L264,'Balizador da Meta'!$B$4:$B$21,'Balizador da Meta'!$C$4:$C$21)</f>
        <v>120</v>
      </c>
      <c r="T264" s="28">
        <f>T251*_xlfn.XLOOKUP($L264,'Balizador da Meta'!$B$4:$B$21,'Balizador da Meta'!$C$4:$C$21)</f>
        <v>120</v>
      </c>
      <c r="U264" s="28">
        <f>U251*_xlfn.XLOOKUP($L264,'Balizador da Meta'!$B$4:$B$21,'Balizador da Meta'!$C$4:$C$21)</f>
        <v>120</v>
      </c>
      <c r="V264" s="28">
        <f>V251*_xlfn.XLOOKUP($L264,'Balizador da Meta'!$B$4:$B$21,'Balizador da Meta'!$C$4:$C$21)</f>
        <v>120</v>
      </c>
      <c r="W264" s="28">
        <f>W251*_xlfn.XLOOKUP($L264,'Balizador da Meta'!$B$4:$B$21,'Balizador da Meta'!$C$4:$C$21)</f>
        <v>120</v>
      </c>
      <c r="X264" s="28">
        <f>X251*_xlfn.XLOOKUP($L264,'Balizador da Meta'!$B$4:$B$21,'Balizador da Meta'!$C$4:$C$21)</f>
        <v>120</v>
      </c>
      <c r="Y264" s="28">
        <f>Y251*_xlfn.XLOOKUP($L264,'Balizador da Meta'!$B$4:$B$21,'Balizador da Meta'!$C$4:$C$21)</f>
        <v>120</v>
      </c>
      <c r="Z264" s="30">
        <f t="shared" si="65"/>
        <v>1440</v>
      </c>
      <c r="AA264" s="29"/>
      <c r="AB264" s="31">
        <f>SUMIFS('Historico - FAT'!AK:AK,'Historico - FAT'!$K:$K,Faturamento!$L264,'Historico - FAT'!$I:$I,Faturamento!$J264,'Historico - FAT'!$G:$G,Faturamento!$H264)</f>
        <v>0</v>
      </c>
      <c r="AC264" s="31">
        <f>SUMIFS('Historico - FAT'!AL:AL,'Historico - FAT'!$K:$K,Faturamento!$L264,'Historico - FAT'!$I:$I,Faturamento!$J264,'Historico - FAT'!$G:$G,Faturamento!$H264)</f>
        <v>0</v>
      </c>
      <c r="AD264" s="31">
        <f>SUMIFS('Historico - FAT'!AM:AM,'Historico - FAT'!$K:$K,Faturamento!$L264,'Historico - FAT'!$I:$I,Faturamento!$J264,'Historico - FAT'!$G:$G,Faturamento!$H264)</f>
        <v>0</v>
      </c>
      <c r="AE264" s="27">
        <f>SUMIFS('Historico - FAT'!AN:AN,'Historico - FAT'!$K:$K,Faturamento!$L264,'Historico - FAT'!$I:$I,Faturamento!$J264,'Historico - FAT'!$G:$G,Faturamento!$H264)</f>
        <v>0</v>
      </c>
      <c r="AG264" s="24">
        <f t="shared" si="60"/>
        <v>1</v>
      </c>
      <c r="AH264" s="24">
        <f t="shared" si="61"/>
        <v>1</v>
      </c>
      <c r="AI264" s="24">
        <f t="shared" si="62"/>
        <v>1</v>
      </c>
    </row>
    <row r="265" spans="1:35" hidden="1" x14ac:dyDescent="0.3">
      <c r="A265" s="2" t="str">
        <f t="shared" si="59"/>
        <v>NÃO</v>
      </c>
      <c r="B265" s="2">
        <v>1000184670</v>
      </c>
      <c r="C265" s="2" t="s">
        <v>147</v>
      </c>
      <c r="D265" s="4">
        <v>1000186197</v>
      </c>
      <c r="E265" s="4" t="s">
        <v>166</v>
      </c>
      <c r="F265" s="2">
        <v>1000198600</v>
      </c>
      <c r="G265" s="2" t="s">
        <v>148</v>
      </c>
      <c r="H265" s="4">
        <v>1000198601</v>
      </c>
      <c r="I265" s="4" t="s">
        <v>149</v>
      </c>
      <c r="J265" s="2">
        <v>1000189761</v>
      </c>
      <c r="K265" s="2" t="s">
        <v>144</v>
      </c>
      <c r="L265" s="4" t="s">
        <v>23</v>
      </c>
      <c r="M265" s="4" t="str">
        <f t="shared" si="66"/>
        <v>1000184670100018619710001986011000189761SABORES DO CAMPO</v>
      </c>
      <c r="N265" s="28">
        <f>N251*_xlfn.XLOOKUP($L265,'Balizador da Meta'!$B$4:$B$21,'Balizador da Meta'!$C$4:$C$21)</f>
        <v>0</v>
      </c>
      <c r="O265" s="28">
        <f>O251*_xlfn.XLOOKUP($L265,'Balizador da Meta'!$B$4:$B$21,'Balizador da Meta'!$C$4:$C$21)</f>
        <v>0</v>
      </c>
      <c r="P265" s="28">
        <f>P251*_xlfn.XLOOKUP($L265,'Balizador da Meta'!$B$4:$B$21,'Balizador da Meta'!$C$4:$C$21)</f>
        <v>0</v>
      </c>
      <c r="Q265" s="28">
        <f>Q251*_xlfn.XLOOKUP($L265,'Balizador da Meta'!$B$4:$B$21,'Balizador da Meta'!$C$4:$C$21)</f>
        <v>0</v>
      </c>
      <c r="R265" s="28">
        <f>R251*_xlfn.XLOOKUP($L265,'Balizador da Meta'!$B$4:$B$21,'Balizador da Meta'!$C$4:$C$21)</f>
        <v>0</v>
      </c>
      <c r="S265" s="28">
        <f>S251*_xlfn.XLOOKUP($L265,'Balizador da Meta'!$B$4:$B$21,'Balizador da Meta'!$C$4:$C$21)</f>
        <v>0</v>
      </c>
      <c r="T265" s="28">
        <f>T251*_xlfn.XLOOKUP($L265,'Balizador da Meta'!$B$4:$B$21,'Balizador da Meta'!$C$4:$C$21)</f>
        <v>0</v>
      </c>
      <c r="U265" s="28">
        <f>U251*_xlfn.XLOOKUP($L265,'Balizador da Meta'!$B$4:$B$21,'Balizador da Meta'!$C$4:$C$21)</f>
        <v>0</v>
      </c>
      <c r="V265" s="28">
        <f>V251*_xlfn.XLOOKUP($L265,'Balizador da Meta'!$B$4:$B$21,'Balizador da Meta'!$C$4:$C$21)</f>
        <v>0</v>
      </c>
      <c r="W265" s="28">
        <f>W251*_xlfn.XLOOKUP($L265,'Balizador da Meta'!$B$4:$B$21,'Balizador da Meta'!$C$4:$C$21)</f>
        <v>0</v>
      </c>
      <c r="X265" s="28">
        <f>X251*_xlfn.XLOOKUP($L265,'Balizador da Meta'!$B$4:$B$21,'Balizador da Meta'!$C$4:$C$21)</f>
        <v>0</v>
      </c>
      <c r="Y265" s="28">
        <f>Y251*_xlfn.XLOOKUP($L265,'Balizador da Meta'!$B$4:$B$21,'Balizador da Meta'!$C$4:$C$21)</f>
        <v>0</v>
      </c>
      <c r="Z265" s="30">
        <f t="shared" si="65"/>
        <v>0</v>
      </c>
      <c r="AA265" s="29"/>
      <c r="AB265" s="31">
        <f>SUMIFS('Historico - FAT'!AK:AK,'Historico - FAT'!$K:$K,Faturamento!$L265,'Historico - FAT'!$I:$I,Faturamento!$J265,'Historico - FAT'!$G:$G,Faturamento!$H265)</f>
        <v>0</v>
      </c>
      <c r="AC265" s="31">
        <f>SUMIFS('Historico - FAT'!AL:AL,'Historico - FAT'!$K:$K,Faturamento!$L265,'Historico - FAT'!$I:$I,Faturamento!$J265,'Historico - FAT'!$G:$G,Faturamento!$H265)</f>
        <v>0</v>
      </c>
      <c r="AD265" s="31">
        <f>SUMIFS('Historico - FAT'!AM:AM,'Historico - FAT'!$K:$K,Faturamento!$L265,'Historico - FAT'!$I:$I,Faturamento!$J265,'Historico - FAT'!$G:$G,Faturamento!$H265)</f>
        <v>0</v>
      </c>
      <c r="AE265" s="27">
        <f>SUMIFS('Historico - FAT'!AN:AN,'Historico - FAT'!$K:$K,Faturamento!$L265,'Historico - FAT'!$I:$I,Faturamento!$J265,'Historico - FAT'!$G:$G,Faturamento!$H265)</f>
        <v>0</v>
      </c>
      <c r="AG265" s="24" t="str">
        <f t="shared" si="60"/>
        <v/>
      </c>
      <c r="AH265" s="24" t="str">
        <f t="shared" si="61"/>
        <v/>
      </c>
      <c r="AI265" s="24" t="str">
        <f t="shared" si="62"/>
        <v/>
      </c>
    </row>
    <row r="266" spans="1:35" hidden="1" x14ac:dyDescent="0.3">
      <c r="A266" s="2" t="str">
        <f t="shared" si="59"/>
        <v>NÃO</v>
      </c>
      <c r="B266" s="2">
        <v>1000184670</v>
      </c>
      <c r="C266" s="2" t="s">
        <v>147</v>
      </c>
      <c r="D266" s="4">
        <v>1000186197</v>
      </c>
      <c r="E266" s="4" t="s">
        <v>166</v>
      </c>
      <c r="F266" s="2">
        <v>1000198600</v>
      </c>
      <c r="G266" s="2" t="s">
        <v>148</v>
      </c>
      <c r="H266" s="4">
        <v>1000198601</v>
      </c>
      <c r="I266" s="4" t="s">
        <v>149</v>
      </c>
      <c r="J266" s="2">
        <v>1000189761</v>
      </c>
      <c r="K266" s="2" t="s">
        <v>144</v>
      </c>
      <c r="L266" s="4" t="s">
        <v>28</v>
      </c>
      <c r="M266" s="4" t="str">
        <f t="shared" si="66"/>
        <v>1000184670100018619710001986011000189761SAL</v>
      </c>
      <c r="N266" s="28">
        <f>N251*_xlfn.XLOOKUP($L266,'Balizador da Meta'!$B$4:$B$21,'Balizador da Meta'!$C$4:$C$21)</f>
        <v>60</v>
      </c>
      <c r="O266" s="28">
        <f>O251*_xlfn.XLOOKUP($L266,'Balizador da Meta'!$B$4:$B$21,'Balizador da Meta'!$C$4:$C$21)</f>
        <v>60</v>
      </c>
      <c r="P266" s="28">
        <f>P251*_xlfn.XLOOKUP($L266,'Balizador da Meta'!$B$4:$B$21,'Balizador da Meta'!$C$4:$C$21)</f>
        <v>60</v>
      </c>
      <c r="Q266" s="28">
        <f>Q251*_xlfn.XLOOKUP($L266,'Balizador da Meta'!$B$4:$B$21,'Balizador da Meta'!$C$4:$C$21)</f>
        <v>60</v>
      </c>
      <c r="R266" s="28">
        <f>R251*_xlfn.XLOOKUP($L266,'Balizador da Meta'!$B$4:$B$21,'Balizador da Meta'!$C$4:$C$21)</f>
        <v>60</v>
      </c>
      <c r="S266" s="28">
        <f>S251*_xlfn.XLOOKUP($L266,'Balizador da Meta'!$B$4:$B$21,'Balizador da Meta'!$C$4:$C$21)</f>
        <v>60</v>
      </c>
      <c r="T266" s="28">
        <f>T251*_xlfn.XLOOKUP($L266,'Balizador da Meta'!$B$4:$B$21,'Balizador da Meta'!$C$4:$C$21)</f>
        <v>60</v>
      </c>
      <c r="U266" s="28">
        <f>U251*_xlfn.XLOOKUP($L266,'Balizador da Meta'!$B$4:$B$21,'Balizador da Meta'!$C$4:$C$21)</f>
        <v>60</v>
      </c>
      <c r="V266" s="28">
        <f>V251*_xlfn.XLOOKUP($L266,'Balizador da Meta'!$B$4:$B$21,'Balizador da Meta'!$C$4:$C$21)</f>
        <v>60</v>
      </c>
      <c r="W266" s="28">
        <f>W251*_xlfn.XLOOKUP($L266,'Balizador da Meta'!$B$4:$B$21,'Balizador da Meta'!$C$4:$C$21)</f>
        <v>60</v>
      </c>
      <c r="X266" s="28">
        <f>X251*_xlfn.XLOOKUP($L266,'Balizador da Meta'!$B$4:$B$21,'Balizador da Meta'!$C$4:$C$21)</f>
        <v>60</v>
      </c>
      <c r="Y266" s="28">
        <f>Y251*_xlfn.XLOOKUP($L266,'Balizador da Meta'!$B$4:$B$21,'Balizador da Meta'!$C$4:$C$21)</f>
        <v>60</v>
      </c>
      <c r="Z266" s="30">
        <f t="shared" si="65"/>
        <v>720</v>
      </c>
      <c r="AA266" s="29"/>
      <c r="AB266" s="31">
        <f>SUMIFS('Historico - FAT'!AK:AK,'Historico - FAT'!$K:$K,Faturamento!$L266,'Historico - FAT'!$I:$I,Faturamento!$J266,'Historico - FAT'!$G:$G,Faturamento!$H266)</f>
        <v>0</v>
      </c>
      <c r="AC266" s="31">
        <f>SUMIFS('Historico - FAT'!AL:AL,'Historico - FAT'!$K:$K,Faturamento!$L266,'Historico - FAT'!$I:$I,Faturamento!$J266,'Historico - FAT'!$G:$G,Faturamento!$H266)</f>
        <v>0</v>
      </c>
      <c r="AD266" s="31">
        <f>SUMIFS('Historico - FAT'!AM:AM,'Historico - FAT'!$K:$K,Faturamento!$L266,'Historico - FAT'!$I:$I,Faturamento!$J266,'Historico - FAT'!$G:$G,Faturamento!$H266)</f>
        <v>0</v>
      </c>
      <c r="AE266" s="27">
        <f>SUMIFS('Historico - FAT'!AN:AN,'Historico - FAT'!$K:$K,Faturamento!$L266,'Historico - FAT'!$I:$I,Faturamento!$J266,'Historico - FAT'!$G:$G,Faturamento!$H266)</f>
        <v>0</v>
      </c>
      <c r="AG266" s="24">
        <f t="shared" si="60"/>
        <v>1</v>
      </c>
      <c r="AH266" s="24">
        <f t="shared" si="61"/>
        <v>1</v>
      </c>
      <c r="AI266" s="24">
        <f t="shared" si="62"/>
        <v>1</v>
      </c>
    </row>
    <row r="267" spans="1:35" hidden="1" x14ac:dyDescent="0.3">
      <c r="A267" s="2" t="str">
        <f t="shared" si="59"/>
        <v>NÃO</v>
      </c>
      <c r="B267" s="2">
        <v>1000184670</v>
      </c>
      <c r="C267" s="2" t="s">
        <v>147</v>
      </c>
      <c r="D267" s="4">
        <v>1000186197</v>
      </c>
      <c r="E267" s="4" t="s">
        <v>166</v>
      </c>
      <c r="F267" s="2">
        <v>1000198600</v>
      </c>
      <c r="G267" s="2" t="s">
        <v>148</v>
      </c>
      <c r="H267" s="4">
        <v>1000198601</v>
      </c>
      <c r="I267" s="4" t="s">
        <v>149</v>
      </c>
      <c r="J267" s="2">
        <v>1000189761</v>
      </c>
      <c r="K267" s="2" t="s">
        <v>144</v>
      </c>
      <c r="L267" s="4" t="s">
        <v>26</v>
      </c>
      <c r="M267" s="4" t="str">
        <f t="shared" si="66"/>
        <v>1000184670100018619710001986011000189761SOULPRO</v>
      </c>
      <c r="N267" s="28">
        <f>N251*_xlfn.XLOOKUP($L267,'Balizador da Meta'!$B$4:$B$21,'Balizador da Meta'!$C$4:$C$21)</f>
        <v>180</v>
      </c>
      <c r="O267" s="28">
        <f>O251*_xlfn.XLOOKUP($L267,'Balizador da Meta'!$B$4:$B$21,'Balizador da Meta'!$C$4:$C$21)</f>
        <v>180</v>
      </c>
      <c r="P267" s="28">
        <f>P251*_xlfn.XLOOKUP($L267,'Balizador da Meta'!$B$4:$B$21,'Balizador da Meta'!$C$4:$C$21)</f>
        <v>180</v>
      </c>
      <c r="Q267" s="28">
        <f>Q251*_xlfn.XLOOKUP($L267,'Balizador da Meta'!$B$4:$B$21,'Balizador da Meta'!$C$4:$C$21)</f>
        <v>180</v>
      </c>
      <c r="R267" s="28">
        <f>R251*_xlfn.XLOOKUP($L267,'Balizador da Meta'!$B$4:$B$21,'Balizador da Meta'!$C$4:$C$21)</f>
        <v>180</v>
      </c>
      <c r="S267" s="28">
        <f>S251*_xlfn.XLOOKUP($L267,'Balizador da Meta'!$B$4:$B$21,'Balizador da Meta'!$C$4:$C$21)</f>
        <v>180</v>
      </c>
      <c r="T267" s="28">
        <f>T251*_xlfn.XLOOKUP($L267,'Balizador da Meta'!$B$4:$B$21,'Balizador da Meta'!$C$4:$C$21)</f>
        <v>180</v>
      </c>
      <c r="U267" s="28">
        <f>U251*_xlfn.XLOOKUP($L267,'Balizador da Meta'!$B$4:$B$21,'Balizador da Meta'!$C$4:$C$21)</f>
        <v>180</v>
      </c>
      <c r="V267" s="28">
        <f>V251*_xlfn.XLOOKUP($L267,'Balizador da Meta'!$B$4:$B$21,'Balizador da Meta'!$C$4:$C$21)</f>
        <v>180</v>
      </c>
      <c r="W267" s="28">
        <f>W251*_xlfn.XLOOKUP($L267,'Balizador da Meta'!$B$4:$B$21,'Balizador da Meta'!$C$4:$C$21)</f>
        <v>180</v>
      </c>
      <c r="X267" s="28">
        <f>X251*_xlfn.XLOOKUP($L267,'Balizador da Meta'!$B$4:$B$21,'Balizador da Meta'!$C$4:$C$21)</f>
        <v>180</v>
      </c>
      <c r="Y267" s="28">
        <f>Y251*_xlfn.XLOOKUP($L267,'Balizador da Meta'!$B$4:$B$21,'Balizador da Meta'!$C$4:$C$21)</f>
        <v>180</v>
      </c>
      <c r="Z267" s="30">
        <f t="shared" si="65"/>
        <v>2160</v>
      </c>
      <c r="AA267" s="29"/>
      <c r="AB267" s="31">
        <f>SUMIFS('Historico - FAT'!AK:AK,'Historico - FAT'!$K:$K,Faturamento!$L267,'Historico - FAT'!$I:$I,Faturamento!$J267,'Historico - FAT'!$G:$G,Faturamento!$H267)</f>
        <v>0</v>
      </c>
      <c r="AC267" s="31">
        <f>SUMIFS('Historico - FAT'!AL:AL,'Historico - FAT'!$K:$K,Faturamento!$L267,'Historico - FAT'!$I:$I,Faturamento!$J267,'Historico - FAT'!$G:$G,Faturamento!$H267)</f>
        <v>312.39000000000004</v>
      </c>
      <c r="AD267" s="31">
        <f>SUMIFS('Historico - FAT'!AM:AM,'Historico - FAT'!$K:$K,Faturamento!$L267,'Historico - FAT'!$I:$I,Faturamento!$J267,'Historico - FAT'!$G:$G,Faturamento!$H267)</f>
        <v>624.78000000000009</v>
      </c>
      <c r="AE267" s="27">
        <f>SUMIFS('Historico - FAT'!AN:AN,'Historico - FAT'!$K:$K,Faturamento!$L267,'Historico - FAT'!$I:$I,Faturamento!$J267,'Historico - FAT'!$G:$G,Faturamento!$H267)</f>
        <v>374.86800000000005</v>
      </c>
      <c r="AG267" s="24">
        <f t="shared" si="60"/>
        <v>1</v>
      </c>
      <c r="AH267" s="24">
        <f t="shared" si="61"/>
        <v>-0.73550000000000026</v>
      </c>
      <c r="AI267" s="24">
        <f t="shared" si="62"/>
        <v>-2.4710000000000005</v>
      </c>
    </row>
    <row r="268" spans="1:35" hidden="1" x14ac:dyDescent="0.3">
      <c r="A268" s="2" t="str">
        <f t="shared" si="59"/>
        <v>NÃO</v>
      </c>
      <c r="B268" s="2">
        <v>1000184670</v>
      </c>
      <c r="C268" s="2" t="s">
        <v>147</v>
      </c>
      <c r="D268" s="4">
        <v>1000186197</v>
      </c>
      <c r="E268" s="4" t="s">
        <v>166</v>
      </c>
      <c r="F268" s="2">
        <v>1000198600</v>
      </c>
      <c r="G268" s="2" t="s">
        <v>148</v>
      </c>
      <c r="H268" s="4">
        <v>1000198601</v>
      </c>
      <c r="I268" s="4" t="s">
        <v>149</v>
      </c>
      <c r="J268" s="2">
        <v>1000189761</v>
      </c>
      <c r="K268" s="2" t="s">
        <v>144</v>
      </c>
      <c r="L268" s="4" t="s">
        <v>27</v>
      </c>
      <c r="M268" s="4" t="str">
        <f t="shared" si="66"/>
        <v>1000184670100018619710001986011000189761TAMARA</v>
      </c>
      <c r="N268" s="28">
        <f>N251*_xlfn.XLOOKUP($L268,'Balizador da Meta'!$B$4:$B$21,'Balizador da Meta'!$C$4:$C$21)</f>
        <v>240</v>
      </c>
      <c r="O268" s="28">
        <f>O251*_xlfn.XLOOKUP($L268,'Balizador da Meta'!$B$4:$B$21,'Balizador da Meta'!$C$4:$C$21)</f>
        <v>240</v>
      </c>
      <c r="P268" s="28">
        <f>P251*_xlfn.XLOOKUP($L268,'Balizador da Meta'!$B$4:$B$21,'Balizador da Meta'!$C$4:$C$21)</f>
        <v>240</v>
      </c>
      <c r="Q268" s="28">
        <f>Q251*_xlfn.XLOOKUP($L268,'Balizador da Meta'!$B$4:$B$21,'Balizador da Meta'!$C$4:$C$21)</f>
        <v>240</v>
      </c>
      <c r="R268" s="28">
        <f>R251*_xlfn.XLOOKUP($L268,'Balizador da Meta'!$B$4:$B$21,'Balizador da Meta'!$C$4:$C$21)</f>
        <v>240</v>
      </c>
      <c r="S268" s="28">
        <f>S251*_xlfn.XLOOKUP($L268,'Balizador da Meta'!$B$4:$B$21,'Balizador da Meta'!$C$4:$C$21)</f>
        <v>240</v>
      </c>
      <c r="T268" s="28">
        <f>T251*_xlfn.XLOOKUP($L268,'Balizador da Meta'!$B$4:$B$21,'Balizador da Meta'!$C$4:$C$21)</f>
        <v>240</v>
      </c>
      <c r="U268" s="28">
        <f>U251*_xlfn.XLOOKUP($L268,'Balizador da Meta'!$B$4:$B$21,'Balizador da Meta'!$C$4:$C$21)</f>
        <v>240</v>
      </c>
      <c r="V268" s="28">
        <f>V251*_xlfn.XLOOKUP($L268,'Balizador da Meta'!$B$4:$B$21,'Balizador da Meta'!$C$4:$C$21)</f>
        <v>240</v>
      </c>
      <c r="W268" s="28">
        <f>W251*_xlfn.XLOOKUP($L268,'Balizador da Meta'!$B$4:$B$21,'Balizador da Meta'!$C$4:$C$21)</f>
        <v>240</v>
      </c>
      <c r="X268" s="28">
        <f>X251*_xlfn.XLOOKUP($L268,'Balizador da Meta'!$B$4:$B$21,'Balizador da Meta'!$C$4:$C$21)</f>
        <v>240</v>
      </c>
      <c r="Y268" s="28">
        <f>Y251*_xlfn.XLOOKUP($L268,'Balizador da Meta'!$B$4:$B$21,'Balizador da Meta'!$C$4:$C$21)</f>
        <v>240</v>
      </c>
      <c r="Z268" s="30">
        <f t="shared" si="65"/>
        <v>2880</v>
      </c>
      <c r="AA268" s="29"/>
      <c r="AB268" s="31">
        <f>SUMIFS('Historico - FAT'!AK:AK,'Historico - FAT'!$K:$K,Faturamento!$L268,'Historico - FAT'!$I:$I,Faturamento!$J268,'Historico - FAT'!$G:$G,Faturamento!$H268)</f>
        <v>0</v>
      </c>
      <c r="AC268" s="31">
        <f>SUMIFS('Historico - FAT'!AL:AL,'Historico - FAT'!$K:$K,Faturamento!$L268,'Historico - FAT'!$I:$I,Faturamento!$J268,'Historico - FAT'!$G:$G,Faturamento!$H268)</f>
        <v>14.668333333333335</v>
      </c>
      <c r="AD268" s="31">
        <f>SUMIFS('Historico - FAT'!AM:AM,'Historico - FAT'!$K:$K,Faturamento!$L268,'Historico - FAT'!$I:$I,Faturamento!$J268,'Historico - FAT'!$G:$G,Faturamento!$H268)</f>
        <v>29.33666666666667</v>
      </c>
      <c r="AE268" s="27">
        <f>SUMIFS('Historico - FAT'!AN:AN,'Historico - FAT'!$K:$K,Faturamento!$L268,'Historico - FAT'!$I:$I,Faturamento!$J268,'Historico - FAT'!$G:$G,Faturamento!$H268)</f>
        <v>17.602</v>
      </c>
      <c r="AG268" s="24">
        <f t="shared" si="60"/>
        <v>1</v>
      </c>
      <c r="AH268" s="24">
        <f t="shared" si="61"/>
        <v>0.93888194444444451</v>
      </c>
      <c r="AI268" s="24">
        <f t="shared" si="62"/>
        <v>0.8777638888888889</v>
      </c>
    </row>
    <row r="269" spans="1:35" hidden="1" x14ac:dyDescent="0.3">
      <c r="A269" s="2" t="str">
        <f t="shared" si="59"/>
        <v>NÃO</v>
      </c>
      <c r="B269" s="2">
        <v>1000184670</v>
      </c>
      <c r="C269" s="2" t="s">
        <v>147</v>
      </c>
      <c r="D269" s="4">
        <v>1000186197</v>
      </c>
      <c r="E269" s="4" t="s">
        <v>166</v>
      </c>
      <c r="F269" s="2">
        <v>1000198600</v>
      </c>
      <c r="G269" s="2" t="s">
        <v>148</v>
      </c>
      <c r="H269" s="4">
        <v>1000198601</v>
      </c>
      <c r="I269" s="4" t="s">
        <v>149</v>
      </c>
      <c r="J269" s="2">
        <v>1000189761</v>
      </c>
      <c r="K269" s="2" t="s">
        <v>144</v>
      </c>
      <c r="L269" s="4" t="s">
        <v>25</v>
      </c>
      <c r="M269" s="4" t="str">
        <f t="shared" si="66"/>
        <v>1000184670100018619710001986011000189761VICCIO</v>
      </c>
      <c r="N269" s="28">
        <f>N251*_xlfn.XLOOKUP($L269,'Balizador da Meta'!$B$4:$B$21,'Balizador da Meta'!$C$4:$C$21)</f>
        <v>90</v>
      </c>
      <c r="O269" s="28">
        <f>O251*_xlfn.XLOOKUP($L269,'Balizador da Meta'!$B$4:$B$21,'Balizador da Meta'!$C$4:$C$21)</f>
        <v>90</v>
      </c>
      <c r="P269" s="28">
        <f>P251*_xlfn.XLOOKUP($L269,'Balizador da Meta'!$B$4:$B$21,'Balizador da Meta'!$C$4:$C$21)</f>
        <v>90</v>
      </c>
      <c r="Q269" s="28">
        <f>Q251*_xlfn.XLOOKUP($L269,'Balizador da Meta'!$B$4:$B$21,'Balizador da Meta'!$C$4:$C$21)</f>
        <v>90</v>
      </c>
      <c r="R269" s="28">
        <f>R251*_xlfn.XLOOKUP($L269,'Balizador da Meta'!$B$4:$B$21,'Balizador da Meta'!$C$4:$C$21)</f>
        <v>90</v>
      </c>
      <c r="S269" s="28">
        <f>S251*_xlfn.XLOOKUP($L269,'Balizador da Meta'!$B$4:$B$21,'Balizador da Meta'!$C$4:$C$21)</f>
        <v>90</v>
      </c>
      <c r="T269" s="28">
        <f>T251*_xlfn.XLOOKUP($L269,'Balizador da Meta'!$B$4:$B$21,'Balizador da Meta'!$C$4:$C$21)</f>
        <v>90</v>
      </c>
      <c r="U269" s="28">
        <f>U251*_xlfn.XLOOKUP($L269,'Balizador da Meta'!$B$4:$B$21,'Balizador da Meta'!$C$4:$C$21)</f>
        <v>90</v>
      </c>
      <c r="V269" s="28">
        <f>V251*_xlfn.XLOOKUP($L269,'Balizador da Meta'!$B$4:$B$21,'Balizador da Meta'!$C$4:$C$21)</f>
        <v>90</v>
      </c>
      <c r="W269" s="28">
        <f>W251*_xlfn.XLOOKUP($L269,'Balizador da Meta'!$B$4:$B$21,'Balizador da Meta'!$C$4:$C$21)</f>
        <v>90</v>
      </c>
      <c r="X269" s="28">
        <f>X251*_xlfn.XLOOKUP($L269,'Balizador da Meta'!$B$4:$B$21,'Balizador da Meta'!$C$4:$C$21)</f>
        <v>90</v>
      </c>
      <c r="Y269" s="28">
        <f>Y251*_xlfn.XLOOKUP($L269,'Balizador da Meta'!$B$4:$B$21,'Balizador da Meta'!$C$4:$C$21)</f>
        <v>90</v>
      </c>
      <c r="Z269" s="30">
        <f t="shared" si="65"/>
        <v>1080</v>
      </c>
      <c r="AA269" s="29"/>
      <c r="AB269" s="31">
        <f>SUMIFS('Historico - FAT'!AK:AK,'Historico - FAT'!$K:$K,Faturamento!$L269,'Historico - FAT'!$I:$I,Faturamento!$J269,'Historico - FAT'!$G:$G,Faturamento!$H269)</f>
        <v>0</v>
      </c>
      <c r="AC269" s="31">
        <f>SUMIFS('Historico - FAT'!AL:AL,'Historico - FAT'!$K:$K,Faturamento!$L269,'Historico - FAT'!$I:$I,Faturamento!$J269,'Historico - FAT'!$G:$G,Faturamento!$H269)</f>
        <v>50.118333333333339</v>
      </c>
      <c r="AD269" s="31">
        <f>SUMIFS('Historico - FAT'!AM:AM,'Historico - FAT'!$K:$K,Faturamento!$L269,'Historico - FAT'!$I:$I,Faturamento!$J269,'Historico - FAT'!$G:$G,Faturamento!$H269)</f>
        <v>100.23666666666668</v>
      </c>
      <c r="AE269" s="27">
        <f>SUMIFS('Historico - FAT'!AN:AN,'Historico - FAT'!$K:$K,Faturamento!$L269,'Historico - FAT'!$I:$I,Faturamento!$J269,'Historico - FAT'!$G:$G,Faturamento!$H269)</f>
        <v>60.14200000000001</v>
      </c>
      <c r="AG269" s="24">
        <f t="shared" si="60"/>
        <v>1</v>
      </c>
      <c r="AH269" s="24">
        <f t="shared" si="61"/>
        <v>0.44312962962962954</v>
      </c>
      <c r="AI269" s="24">
        <f t="shared" si="62"/>
        <v>-0.11374074074074088</v>
      </c>
    </row>
    <row r="270" spans="1:35" x14ac:dyDescent="0.3">
      <c r="A270" s="2" t="str">
        <f t="shared" si="59"/>
        <v>SIM</v>
      </c>
      <c r="B270" s="2">
        <v>1000184670</v>
      </c>
      <c r="C270" s="2" t="s">
        <v>147</v>
      </c>
      <c r="D270" s="4">
        <v>1000186197</v>
      </c>
      <c r="E270" s="4" t="s">
        <v>166</v>
      </c>
      <c r="F270" s="2">
        <v>1000184760</v>
      </c>
      <c r="G270" s="2" t="s">
        <v>60</v>
      </c>
      <c r="H270" s="4">
        <v>1000189796</v>
      </c>
      <c r="I270" s="4" t="s">
        <v>61</v>
      </c>
      <c r="J270" s="2">
        <v>1000189762</v>
      </c>
      <c r="K270" s="2" t="s">
        <v>158</v>
      </c>
      <c r="L270" s="4" t="s">
        <v>124</v>
      </c>
      <c r="M270" s="4" t="str">
        <f t="shared" si="66"/>
        <v>100018467010001861971000189796100018976201. TOTAL</v>
      </c>
      <c r="N270" s="28">
        <f>SUMIFS(Positivação!L:L,Positivação!$I:$I,Faturamento!$J270,Positivação!$G:$G,Faturamento!$H270)*SUMIFS(Positivação!$Z:$Z,Positivação!$I:$I,Faturamento!$J270,Positivação!$G:$G,Faturamento!$H270)</f>
        <v>0</v>
      </c>
      <c r="O270" s="28">
        <f>SUMIFS(Positivação!M:M,Positivação!$I:$I,Faturamento!$J270,Positivação!$G:$G,Faturamento!$H270)*SUMIFS(Positivação!$Z:$Z,Positivação!$I:$I,Faturamento!$J270,Positivação!$G:$G,Faturamento!$H270)</f>
        <v>0</v>
      </c>
      <c r="P270" s="28">
        <f>SUMIFS(Positivação!N:N,Positivação!$I:$I,Faturamento!$J270,Positivação!$G:$G,Faturamento!$H270)*SUMIFS(Positivação!$Z:$Z,Positivação!$I:$I,Faturamento!$J270,Positivação!$G:$G,Faturamento!$H270)</f>
        <v>0</v>
      </c>
      <c r="Q270" s="28">
        <f>SUMIFS(Positivação!O:O,Positivação!$I:$I,Faturamento!$J270,Positivação!$G:$G,Faturamento!$H270)*SUMIFS(Positivação!$Z:$Z,Positivação!$I:$I,Faturamento!$J270,Positivação!$G:$G,Faturamento!$H270)</f>
        <v>0</v>
      </c>
      <c r="R270" s="28">
        <f>SUMIFS(Positivação!P:P,Positivação!$I:$I,Faturamento!$J270,Positivação!$G:$G,Faturamento!$H270)*SUMIFS(Positivação!$Z:$Z,Positivação!$I:$I,Faturamento!$J270,Positivação!$G:$G,Faturamento!$H270)</f>
        <v>0</v>
      </c>
      <c r="S270" s="28">
        <f>SUMIFS(Positivação!Q:Q,Positivação!$I:$I,Faturamento!$J270,Positivação!$G:$G,Faturamento!$H270)*SUMIFS(Positivação!$Z:$Z,Positivação!$I:$I,Faturamento!$J270,Positivação!$G:$G,Faturamento!$H270)</f>
        <v>0</v>
      </c>
      <c r="T270" s="28">
        <f>SUMIFS(Positivação!R:R,Positivação!$I:$I,Faturamento!$J270,Positivação!$G:$G,Faturamento!$H270)*SUMIFS(Positivação!$Z:$Z,Positivação!$I:$I,Faturamento!$J270,Positivação!$G:$G,Faturamento!$H270)</f>
        <v>0</v>
      </c>
      <c r="U270" s="28">
        <f>SUMIFS(Positivação!S:S,Positivação!$I:$I,Faturamento!$J270,Positivação!$G:$G,Faturamento!$H270)*SUMIFS(Positivação!$Z:$Z,Positivação!$I:$I,Faturamento!$J270,Positivação!$G:$G,Faturamento!$H270)</f>
        <v>0</v>
      </c>
      <c r="V270" s="28">
        <f>SUMIFS(Positivação!T:T,Positivação!$I:$I,Faturamento!$J270,Positivação!$G:$G,Faturamento!$H270)*SUMIFS(Positivação!$Z:$Z,Positivação!$I:$I,Faturamento!$J270,Positivação!$G:$G,Faturamento!$H270)</f>
        <v>0</v>
      </c>
      <c r="W270" s="28">
        <f>SUMIFS(Positivação!U:U,Positivação!$I:$I,Faturamento!$J270,Positivação!$G:$G,Faturamento!$H270)*SUMIFS(Positivação!$Z:$Z,Positivação!$I:$I,Faturamento!$J270,Positivação!$G:$G,Faturamento!$H270)</f>
        <v>0</v>
      </c>
      <c r="X270" s="28">
        <f>SUMIFS(Positivação!V:V,Positivação!$I:$I,Faturamento!$J270,Positivação!$G:$G,Faturamento!$H270)*SUMIFS(Positivação!$Z:$Z,Positivação!$I:$I,Faturamento!$J270,Positivação!$G:$G,Faturamento!$H270)</f>
        <v>0</v>
      </c>
      <c r="Y270" s="28">
        <f>SUMIFS(Positivação!W:W,Positivação!$I:$I,Faturamento!$J270,Positivação!$G:$G,Faturamento!$H270)*SUMIFS(Positivação!$Z:$Z,Positivação!$I:$I,Faturamento!$J270,Positivação!$G:$G,Faturamento!$H270)</f>
        <v>0</v>
      </c>
      <c r="Z270" s="28">
        <f t="shared" ref="Z270" si="67">SUM(Z271:Z288)</f>
        <v>0</v>
      </c>
      <c r="AA270" s="29"/>
      <c r="AB270" s="28">
        <f t="shared" ref="AB270:AE270" si="68">SUM(AB271:AB288)</f>
        <v>0</v>
      </c>
      <c r="AC270" s="28">
        <f t="shared" si="68"/>
        <v>0</v>
      </c>
      <c r="AD270" s="28">
        <f t="shared" si="68"/>
        <v>0</v>
      </c>
      <c r="AE270" s="28">
        <f t="shared" si="68"/>
        <v>0</v>
      </c>
      <c r="AG270" s="24" t="str">
        <f t="shared" si="60"/>
        <v/>
      </c>
      <c r="AH270" s="24" t="str">
        <f t="shared" si="61"/>
        <v/>
      </c>
      <c r="AI270" s="24" t="str">
        <f t="shared" si="62"/>
        <v/>
      </c>
    </row>
    <row r="271" spans="1:35" hidden="1" x14ac:dyDescent="0.3">
      <c r="A271" s="2" t="str">
        <f t="shared" si="59"/>
        <v>NÃO</v>
      </c>
      <c r="B271" s="2">
        <v>1000184670</v>
      </c>
      <c r="C271" s="2" t="s">
        <v>147</v>
      </c>
      <c r="D271" s="4">
        <v>1000186197</v>
      </c>
      <c r="E271" s="4" t="s">
        <v>166</v>
      </c>
      <c r="F271" s="2">
        <v>1000184760</v>
      </c>
      <c r="G271" s="2" t="s">
        <v>60</v>
      </c>
      <c r="H271" s="4">
        <v>1000189796</v>
      </c>
      <c r="I271" s="4" t="s">
        <v>61</v>
      </c>
      <c r="J271" s="2">
        <v>1000189762</v>
      </c>
      <c r="K271" s="2" t="s">
        <v>158</v>
      </c>
      <c r="L271" s="4" t="s">
        <v>13</v>
      </c>
      <c r="M271" s="4" t="str">
        <f t="shared" si="66"/>
        <v>1000184670100018619710001897961000189762BISCOITO</v>
      </c>
      <c r="N271" s="28">
        <f>N270*_xlfn.XLOOKUP($L271,'Balizador da Meta'!$B$4:$B$21,'Balizador da Meta'!$C$4:$C$21)</f>
        <v>0</v>
      </c>
      <c r="O271" s="28">
        <f>O270*_xlfn.XLOOKUP($L271,'Balizador da Meta'!$B$4:$B$21,'Balizador da Meta'!$C$4:$C$21)</f>
        <v>0</v>
      </c>
      <c r="P271" s="28">
        <f>P270*_xlfn.XLOOKUP($L271,'Balizador da Meta'!$B$4:$B$21,'Balizador da Meta'!$C$4:$C$21)</f>
        <v>0</v>
      </c>
      <c r="Q271" s="28">
        <f>Q270*_xlfn.XLOOKUP($L271,'Balizador da Meta'!$B$4:$B$21,'Balizador da Meta'!$C$4:$C$21)</f>
        <v>0</v>
      </c>
      <c r="R271" s="28">
        <f>R270*_xlfn.XLOOKUP($L271,'Balizador da Meta'!$B$4:$B$21,'Balizador da Meta'!$C$4:$C$21)</f>
        <v>0</v>
      </c>
      <c r="S271" s="28">
        <f>S270*_xlfn.XLOOKUP($L271,'Balizador da Meta'!$B$4:$B$21,'Balizador da Meta'!$C$4:$C$21)</f>
        <v>0</v>
      </c>
      <c r="T271" s="28">
        <f>T270*_xlfn.XLOOKUP($L271,'Balizador da Meta'!$B$4:$B$21,'Balizador da Meta'!$C$4:$C$21)</f>
        <v>0</v>
      </c>
      <c r="U271" s="28">
        <f>U270*_xlfn.XLOOKUP($L271,'Balizador da Meta'!$B$4:$B$21,'Balizador da Meta'!$C$4:$C$21)</f>
        <v>0</v>
      </c>
      <c r="V271" s="28">
        <f>V270*_xlfn.XLOOKUP($L271,'Balizador da Meta'!$B$4:$B$21,'Balizador da Meta'!$C$4:$C$21)</f>
        <v>0</v>
      </c>
      <c r="W271" s="28">
        <f>W270*_xlfn.XLOOKUP($L271,'Balizador da Meta'!$B$4:$B$21,'Balizador da Meta'!$C$4:$C$21)</f>
        <v>0</v>
      </c>
      <c r="X271" s="28">
        <f>X270*_xlfn.XLOOKUP($L271,'Balizador da Meta'!$B$4:$B$21,'Balizador da Meta'!$C$4:$C$21)</f>
        <v>0</v>
      </c>
      <c r="Y271" s="28">
        <f>Y270*_xlfn.XLOOKUP($L271,'Balizador da Meta'!$B$4:$B$21,'Balizador da Meta'!$C$4:$C$21)</f>
        <v>0</v>
      </c>
      <c r="Z271" s="30">
        <f t="shared" ref="Z271:Z288" si="69">SUM(N271:Y271)</f>
        <v>0</v>
      </c>
      <c r="AA271" s="29"/>
      <c r="AB271" s="31">
        <f>SUMIFS('Historico - FAT'!AK:AK,'Historico - FAT'!$K:$K,Faturamento!$L271,'Historico - FAT'!$I:$I,Faturamento!$J271,'Historico - FAT'!$G:$G,Faturamento!$H271)</f>
        <v>0</v>
      </c>
      <c r="AC271" s="31">
        <f>SUMIFS('Historico - FAT'!AL:AL,'Historico - FAT'!$K:$K,Faturamento!$L271,'Historico - FAT'!$I:$I,Faturamento!$J271,'Historico - FAT'!$G:$G,Faturamento!$H271)</f>
        <v>0</v>
      </c>
      <c r="AD271" s="31">
        <f>SUMIFS('Historico - FAT'!AM:AM,'Historico - FAT'!$K:$K,Faturamento!$L271,'Historico - FAT'!$I:$I,Faturamento!$J271,'Historico - FAT'!$G:$G,Faturamento!$H271)</f>
        <v>0</v>
      </c>
      <c r="AE271" s="27">
        <f>SUMIFS('Historico - FAT'!AN:AN,'Historico - FAT'!$K:$K,Faturamento!$L271,'Historico - FAT'!$I:$I,Faturamento!$J271,'Historico - FAT'!$G:$G,Faturamento!$H271)</f>
        <v>0</v>
      </c>
      <c r="AG271" s="24" t="str">
        <f t="shared" si="60"/>
        <v/>
      </c>
      <c r="AH271" s="24" t="str">
        <f t="shared" si="61"/>
        <v/>
      </c>
      <c r="AI271" s="24" t="str">
        <f t="shared" si="62"/>
        <v/>
      </c>
    </row>
    <row r="272" spans="1:35" hidden="1" x14ac:dyDescent="0.3">
      <c r="A272" s="2" t="str">
        <f t="shared" si="59"/>
        <v>NÃO</v>
      </c>
      <c r="B272" s="2">
        <v>1000184670</v>
      </c>
      <c r="C272" s="2" t="s">
        <v>147</v>
      </c>
      <c r="D272" s="4">
        <v>1000186197</v>
      </c>
      <c r="E272" s="4" t="s">
        <v>166</v>
      </c>
      <c r="F272" s="2">
        <v>1000184760</v>
      </c>
      <c r="G272" s="2" t="s">
        <v>60</v>
      </c>
      <c r="H272" s="4">
        <v>1000189796</v>
      </c>
      <c r="I272" s="4" t="s">
        <v>61</v>
      </c>
      <c r="J272" s="2">
        <v>1000189762</v>
      </c>
      <c r="K272" s="2" t="s">
        <v>158</v>
      </c>
      <c r="L272" s="4" t="s">
        <v>14</v>
      </c>
      <c r="M272" s="4" t="str">
        <f t="shared" si="66"/>
        <v>1000184670100018619710001897961000189762CHOCOLATES</v>
      </c>
      <c r="N272" s="28">
        <f>N270*_xlfn.XLOOKUP($L272,'Balizador da Meta'!$B$4:$B$21,'Balizador da Meta'!$C$4:$C$21)</f>
        <v>0</v>
      </c>
      <c r="O272" s="28">
        <f>O270*_xlfn.XLOOKUP($L272,'Balizador da Meta'!$B$4:$B$21,'Balizador da Meta'!$C$4:$C$21)</f>
        <v>0</v>
      </c>
      <c r="P272" s="28">
        <f>P270*_xlfn.XLOOKUP($L272,'Balizador da Meta'!$B$4:$B$21,'Balizador da Meta'!$C$4:$C$21)</f>
        <v>0</v>
      </c>
      <c r="Q272" s="28">
        <f>Q270*_xlfn.XLOOKUP($L272,'Balizador da Meta'!$B$4:$B$21,'Balizador da Meta'!$C$4:$C$21)</f>
        <v>0</v>
      </c>
      <c r="R272" s="28">
        <f>R270*_xlfn.XLOOKUP($L272,'Balizador da Meta'!$B$4:$B$21,'Balizador da Meta'!$C$4:$C$21)</f>
        <v>0</v>
      </c>
      <c r="S272" s="28">
        <f>S270*_xlfn.XLOOKUP($L272,'Balizador da Meta'!$B$4:$B$21,'Balizador da Meta'!$C$4:$C$21)</f>
        <v>0</v>
      </c>
      <c r="T272" s="28">
        <f>T270*_xlfn.XLOOKUP($L272,'Balizador da Meta'!$B$4:$B$21,'Balizador da Meta'!$C$4:$C$21)</f>
        <v>0</v>
      </c>
      <c r="U272" s="28">
        <f>U270*_xlfn.XLOOKUP($L272,'Balizador da Meta'!$B$4:$B$21,'Balizador da Meta'!$C$4:$C$21)</f>
        <v>0</v>
      </c>
      <c r="V272" s="28">
        <f>V270*_xlfn.XLOOKUP($L272,'Balizador da Meta'!$B$4:$B$21,'Balizador da Meta'!$C$4:$C$21)</f>
        <v>0</v>
      </c>
      <c r="W272" s="28">
        <f>W270*_xlfn.XLOOKUP($L272,'Balizador da Meta'!$B$4:$B$21,'Balizador da Meta'!$C$4:$C$21)</f>
        <v>0</v>
      </c>
      <c r="X272" s="28">
        <f>X270*_xlfn.XLOOKUP($L272,'Balizador da Meta'!$B$4:$B$21,'Balizador da Meta'!$C$4:$C$21)</f>
        <v>0</v>
      </c>
      <c r="Y272" s="28">
        <f>Y270*_xlfn.XLOOKUP($L272,'Balizador da Meta'!$B$4:$B$21,'Balizador da Meta'!$C$4:$C$21)</f>
        <v>0</v>
      </c>
      <c r="Z272" s="30">
        <f t="shared" si="69"/>
        <v>0</v>
      </c>
      <c r="AA272" s="29"/>
      <c r="AB272" s="31">
        <f>SUMIFS('Historico - FAT'!AK:AK,'Historico - FAT'!$K:$K,Faturamento!$L272,'Historico - FAT'!$I:$I,Faturamento!$J272,'Historico - FAT'!$G:$G,Faturamento!$H272)</f>
        <v>0</v>
      </c>
      <c r="AC272" s="31">
        <f>SUMIFS('Historico - FAT'!AL:AL,'Historico - FAT'!$K:$K,Faturamento!$L272,'Historico - FAT'!$I:$I,Faturamento!$J272,'Historico - FAT'!$G:$G,Faturamento!$H272)</f>
        <v>0</v>
      </c>
      <c r="AD272" s="31">
        <f>SUMIFS('Historico - FAT'!AM:AM,'Historico - FAT'!$K:$K,Faturamento!$L272,'Historico - FAT'!$I:$I,Faturamento!$J272,'Historico - FAT'!$G:$G,Faturamento!$H272)</f>
        <v>0</v>
      </c>
      <c r="AE272" s="27">
        <f>SUMIFS('Historico - FAT'!AN:AN,'Historico - FAT'!$K:$K,Faturamento!$L272,'Historico - FAT'!$I:$I,Faturamento!$J272,'Historico - FAT'!$G:$G,Faturamento!$H272)</f>
        <v>0</v>
      </c>
      <c r="AG272" s="24" t="str">
        <f t="shared" si="60"/>
        <v/>
      </c>
      <c r="AH272" s="24" t="str">
        <f t="shared" si="61"/>
        <v/>
      </c>
      <c r="AI272" s="24" t="str">
        <f t="shared" si="62"/>
        <v/>
      </c>
    </row>
    <row r="273" spans="1:35" hidden="1" x14ac:dyDescent="0.3">
      <c r="A273" s="2" t="str">
        <f t="shared" si="59"/>
        <v>NÃO</v>
      </c>
      <c r="B273" s="2">
        <v>1000184670</v>
      </c>
      <c r="C273" s="2" t="s">
        <v>147</v>
      </c>
      <c r="D273" s="4">
        <v>1000186197</v>
      </c>
      <c r="E273" s="4" t="s">
        <v>166</v>
      </c>
      <c r="F273" s="2">
        <v>1000184760</v>
      </c>
      <c r="G273" s="2" t="s">
        <v>60</v>
      </c>
      <c r="H273" s="4">
        <v>1000189796</v>
      </c>
      <c r="I273" s="4" t="s">
        <v>61</v>
      </c>
      <c r="J273" s="2">
        <v>1000189762</v>
      </c>
      <c r="K273" s="2" t="s">
        <v>158</v>
      </c>
      <c r="L273" s="4" t="s">
        <v>16</v>
      </c>
      <c r="M273" s="4" t="str">
        <f t="shared" si="66"/>
        <v>1000184670100018619710001897961000189762DISNEY</v>
      </c>
      <c r="N273" s="28">
        <f>N270*_xlfn.XLOOKUP($L273,'Balizador da Meta'!$B$4:$B$21,'Balizador da Meta'!$C$4:$C$21)</f>
        <v>0</v>
      </c>
      <c r="O273" s="28">
        <f>O270*_xlfn.XLOOKUP($L273,'Balizador da Meta'!$B$4:$B$21,'Balizador da Meta'!$C$4:$C$21)</f>
        <v>0</v>
      </c>
      <c r="P273" s="28">
        <f>P270*_xlfn.XLOOKUP($L273,'Balizador da Meta'!$B$4:$B$21,'Balizador da Meta'!$C$4:$C$21)</f>
        <v>0</v>
      </c>
      <c r="Q273" s="28">
        <f>Q270*_xlfn.XLOOKUP($L273,'Balizador da Meta'!$B$4:$B$21,'Balizador da Meta'!$C$4:$C$21)</f>
        <v>0</v>
      </c>
      <c r="R273" s="28">
        <f>R270*_xlfn.XLOOKUP($L273,'Balizador da Meta'!$B$4:$B$21,'Balizador da Meta'!$C$4:$C$21)</f>
        <v>0</v>
      </c>
      <c r="S273" s="28">
        <f>S270*_xlfn.XLOOKUP($L273,'Balizador da Meta'!$B$4:$B$21,'Balizador da Meta'!$C$4:$C$21)</f>
        <v>0</v>
      </c>
      <c r="T273" s="28">
        <f>T270*_xlfn.XLOOKUP($L273,'Balizador da Meta'!$B$4:$B$21,'Balizador da Meta'!$C$4:$C$21)</f>
        <v>0</v>
      </c>
      <c r="U273" s="28">
        <f>U270*_xlfn.XLOOKUP($L273,'Balizador da Meta'!$B$4:$B$21,'Balizador da Meta'!$C$4:$C$21)</f>
        <v>0</v>
      </c>
      <c r="V273" s="28">
        <f>V270*_xlfn.XLOOKUP($L273,'Balizador da Meta'!$B$4:$B$21,'Balizador da Meta'!$C$4:$C$21)</f>
        <v>0</v>
      </c>
      <c r="W273" s="28">
        <f>W270*_xlfn.XLOOKUP($L273,'Balizador da Meta'!$B$4:$B$21,'Balizador da Meta'!$C$4:$C$21)</f>
        <v>0</v>
      </c>
      <c r="X273" s="28">
        <f>X270*_xlfn.XLOOKUP($L273,'Balizador da Meta'!$B$4:$B$21,'Balizador da Meta'!$C$4:$C$21)</f>
        <v>0</v>
      </c>
      <c r="Y273" s="28">
        <f>Y270*_xlfn.XLOOKUP($L273,'Balizador da Meta'!$B$4:$B$21,'Balizador da Meta'!$C$4:$C$21)</f>
        <v>0</v>
      </c>
      <c r="Z273" s="30">
        <f t="shared" si="69"/>
        <v>0</v>
      </c>
      <c r="AA273" s="29"/>
      <c r="AB273" s="31">
        <f>SUMIFS('Historico - FAT'!AK:AK,'Historico - FAT'!$K:$K,Faturamento!$L273,'Historico - FAT'!$I:$I,Faturamento!$J273,'Historico - FAT'!$G:$G,Faturamento!$H273)</f>
        <v>0</v>
      </c>
      <c r="AC273" s="31">
        <f>SUMIFS('Historico - FAT'!AL:AL,'Historico - FAT'!$K:$K,Faturamento!$L273,'Historico - FAT'!$I:$I,Faturamento!$J273,'Historico - FAT'!$G:$G,Faturamento!$H273)</f>
        <v>0</v>
      </c>
      <c r="AD273" s="31">
        <f>SUMIFS('Historico - FAT'!AM:AM,'Historico - FAT'!$K:$K,Faturamento!$L273,'Historico - FAT'!$I:$I,Faturamento!$J273,'Historico - FAT'!$G:$G,Faturamento!$H273)</f>
        <v>0</v>
      </c>
      <c r="AE273" s="27">
        <f>SUMIFS('Historico - FAT'!AN:AN,'Historico - FAT'!$K:$K,Faturamento!$L273,'Historico - FAT'!$I:$I,Faturamento!$J273,'Historico - FAT'!$G:$G,Faturamento!$H273)</f>
        <v>0</v>
      </c>
      <c r="AG273" s="24" t="str">
        <f t="shared" si="60"/>
        <v/>
      </c>
      <c r="AH273" s="24" t="str">
        <f t="shared" si="61"/>
        <v/>
      </c>
      <c r="AI273" s="24" t="str">
        <f t="shared" si="62"/>
        <v/>
      </c>
    </row>
    <row r="274" spans="1:35" hidden="1" x14ac:dyDescent="0.3">
      <c r="A274" s="2" t="str">
        <f t="shared" si="59"/>
        <v>NÃO</v>
      </c>
      <c r="B274" s="2">
        <v>1000184670</v>
      </c>
      <c r="C274" s="2" t="s">
        <v>147</v>
      </c>
      <c r="D274" s="4">
        <v>1000186197</v>
      </c>
      <c r="E274" s="4" t="s">
        <v>166</v>
      </c>
      <c r="F274" s="2">
        <v>1000184760</v>
      </c>
      <c r="G274" s="2" t="s">
        <v>60</v>
      </c>
      <c r="H274" s="4">
        <v>1000189796</v>
      </c>
      <c r="I274" s="4" t="s">
        <v>61</v>
      </c>
      <c r="J274" s="2">
        <v>1000189762</v>
      </c>
      <c r="K274" s="2" t="s">
        <v>158</v>
      </c>
      <c r="L274" s="4" t="s">
        <v>15</v>
      </c>
      <c r="M274" s="4" t="str">
        <f t="shared" si="66"/>
        <v>1000184670100018619710001897961000189762DOCES</v>
      </c>
      <c r="N274" s="28">
        <f>N270*_xlfn.XLOOKUP($L274,'Balizador da Meta'!$B$4:$B$21,'Balizador da Meta'!$C$4:$C$21)</f>
        <v>0</v>
      </c>
      <c r="O274" s="28">
        <f>O270*_xlfn.XLOOKUP($L274,'Balizador da Meta'!$B$4:$B$21,'Balizador da Meta'!$C$4:$C$21)</f>
        <v>0</v>
      </c>
      <c r="P274" s="28">
        <f>P270*_xlfn.XLOOKUP($L274,'Balizador da Meta'!$B$4:$B$21,'Balizador da Meta'!$C$4:$C$21)</f>
        <v>0</v>
      </c>
      <c r="Q274" s="28">
        <f>Q270*_xlfn.XLOOKUP($L274,'Balizador da Meta'!$B$4:$B$21,'Balizador da Meta'!$C$4:$C$21)</f>
        <v>0</v>
      </c>
      <c r="R274" s="28">
        <f>R270*_xlfn.XLOOKUP($L274,'Balizador da Meta'!$B$4:$B$21,'Balizador da Meta'!$C$4:$C$21)</f>
        <v>0</v>
      </c>
      <c r="S274" s="28">
        <f>S270*_xlfn.XLOOKUP($L274,'Balizador da Meta'!$B$4:$B$21,'Balizador da Meta'!$C$4:$C$21)</f>
        <v>0</v>
      </c>
      <c r="T274" s="28">
        <f>T270*_xlfn.XLOOKUP($L274,'Balizador da Meta'!$B$4:$B$21,'Balizador da Meta'!$C$4:$C$21)</f>
        <v>0</v>
      </c>
      <c r="U274" s="28">
        <f>U270*_xlfn.XLOOKUP($L274,'Balizador da Meta'!$B$4:$B$21,'Balizador da Meta'!$C$4:$C$21)</f>
        <v>0</v>
      </c>
      <c r="V274" s="28">
        <f>V270*_xlfn.XLOOKUP($L274,'Balizador da Meta'!$B$4:$B$21,'Balizador da Meta'!$C$4:$C$21)</f>
        <v>0</v>
      </c>
      <c r="W274" s="28">
        <f>W270*_xlfn.XLOOKUP($L274,'Balizador da Meta'!$B$4:$B$21,'Balizador da Meta'!$C$4:$C$21)</f>
        <v>0</v>
      </c>
      <c r="X274" s="28">
        <f>X270*_xlfn.XLOOKUP($L274,'Balizador da Meta'!$B$4:$B$21,'Balizador da Meta'!$C$4:$C$21)</f>
        <v>0</v>
      </c>
      <c r="Y274" s="28">
        <f>Y270*_xlfn.XLOOKUP($L274,'Balizador da Meta'!$B$4:$B$21,'Balizador da Meta'!$C$4:$C$21)</f>
        <v>0</v>
      </c>
      <c r="Z274" s="30">
        <f t="shared" si="69"/>
        <v>0</v>
      </c>
      <c r="AA274" s="29"/>
      <c r="AB274" s="31">
        <f>SUMIFS('Historico - FAT'!AK:AK,'Historico - FAT'!$K:$K,Faturamento!$L274,'Historico - FAT'!$I:$I,Faturamento!$J274,'Historico - FAT'!$G:$G,Faturamento!$H274)</f>
        <v>0</v>
      </c>
      <c r="AC274" s="31">
        <f>SUMIFS('Historico - FAT'!AL:AL,'Historico - FAT'!$K:$K,Faturamento!$L274,'Historico - FAT'!$I:$I,Faturamento!$J274,'Historico - FAT'!$G:$G,Faturamento!$H274)</f>
        <v>0</v>
      </c>
      <c r="AD274" s="31">
        <f>SUMIFS('Historico - FAT'!AM:AM,'Historico - FAT'!$K:$K,Faturamento!$L274,'Historico - FAT'!$I:$I,Faturamento!$J274,'Historico - FAT'!$G:$G,Faturamento!$H274)</f>
        <v>0</v>
      </c>
      <c r="AE274" s="27">
        <f>SUMIFS('Historico - FAT'!AN:AN,'Historico - FAT'!$K:$K,Faturamento!$L274,'Historico - FAT'!$I:$I,Faturamento!$J274,'Historico - FAT'!$G:$G,Faturamento!$H274)</f>
        <v>0</v>
      </c>
      <c r="AG274" s="24" t="str">
        <f t="shared" si="60"/>
        <v/>
      </c>
      <c r="AH274" s="24" t="str">
        <f t="shared" si="61"/>
        <v/>
      </c>
      <c r="AI274" s="24" t="str">
        <f t="shared" si="62"/>
        <v/>
      </c>
    </row>
    <row r="275" spans="1:35" hidden="1" x14ac:dyDescent="0.3">
      <c r="A275" s="2" t="str">
        <f t="shared" si="59"/>
        <v>NÃO</v>
      </c>
      <c r="B275" s="2">
        <v>1000184670</v>
      </c>
      <c r="C275" s="2" t="s">
        <v>147</v>
      </c>
      <c r="D275" s="4">
        <v>1000186197</v>
      </c>
      <c r="E275" s="4" t="s">
        <v>166</v>
      </c>
      <c r="F275" s="2">
        <v>1000184760</v>
      </c>
      <c r="G275" s="2" t="s">
        <v>60</v>
      </c>
      <c r="H275" s="4">
        <v>1000189796</v>
      </c>
      <c r="I275" s="4" t="s">
        <v>61</v>
      </c>
      <c r="J275" s="2">
        <v>1000189762</v>
      </c>
      <c r="K275" s="2" t="s">
        <v>158</v>
      </c>
      <c r="L275" s="4" t="s">
        <v>33</v>
      </c>
      <c r="M275" s="4" t="str">
        <f t="shared" si="66"/>
        <v>1000184670100018619710001897961000189762FOOD SERVICE</v>
      </c>
      <c r="N275" s="28">
        <f>N270*_xlfn.XLOOKUP($L275,'Balizador da Meta'!$B$4:$B$21,'Balizador da Meta'!$C$4:$C$21)</f>
        <v>0</v>
      </c>
      <c r="O275" s="28">
        <f>O270*_xlfn.XLOOKUP($L275,'Balizador da Meta'!$B$4:$B$21,'Balizador da Meta'!$C$4:$C$21)</f>
        <v>0</v>
      </c>
      <c r="P275" s="28">
        <f>P270*_xlfn.XLOOKUP($L275,'Balizador da Meta'!$B$4:$B$21,'Balizador da Meta'!$C$4:$C$21)</f>
        <v>0</v>
      </c>
      <c r="Q275" s="28">
        <f>Q270*_xlfn.XLOOKUP($L275,'Balizador da Meta'!$B$4:$B$21,'Balizador da Meta'!$C$4:$C$21)</f>
        <v>0</v>
      </c>
      <c r="R275" s="28">
        <f>R270*_xlfn.XLOOKUP($L275,'Balizador da Meta'!$B$4:$B$21,'Balizador da Meta'!$C$4:$C$21)</f>
        <v>0</v>
      </c>
      <c r="S275" s="28">
        <f>S270*_xlfn.XLOOKUP($L275,'Balizador da Meta'!$B$4:$B$21,'Balizador da Meta'!$C$4:$C$21)</f>
        <v>0</v>
      </c>
      <c r="T275" s="28">
        <f>T270*_xlfn.XLOOKUP($L275,'Balizador da Meta'!$B$4:$B$21,'Balizador da Meta'!$C$4:$C$21)</f>
        <v>0</v>
      </c>
      <c r="U275" s="28">
        <f>U270*_xlfn.XLOOKUP($L275,'Balizador da Meta'!$B$4:$B$21,'Balizador da Meta'!$C$4:$C$21)</f>
        <v>0</v>
      </c>
      <c r="V275" s="28">
        <f>V270*_xlfn.XLOOKUP($L275,'Balizador da Meta'!$B$4:$B$21,'Balizador da Meta'!$C$4:$C$21)</f>
        <v>0</v>
      </c>
      <c r="W275" s="28">
        <f>W270*_xlfn.XLOOKUP($L275,'Balizador da Meta'!$B$4:$B$21,'Balizador da Meta'!$C$4:$C$21)</f>
        <v>0</v>
      </c>
      <c r="X275" s="28">
        <f>X270*_xlfn.XLOOKUP($L275,'Balizador da Meta'!$B$4:$B$21,'Balizador da Meta'!$C$4:$C$21)</f>
        <v>0</v>
      </c>
      <c r="Y275" s="28">
        <f>Y270*_xlfn.XLOOKUP($L275,'Balizador da Meta'!$B$4:$B$21,'Balizador da Meta'!$C$4:$C$21)</f>
        <v>0</v>
      </c>
      <c r="Z275" s="30">
        <f t="shared" si="69"/>
        <v>0</v>
      </c>
      <c r="AA275" s="29"/>
      <c r="AB275" s="31">
        <f>SUMIFS('Historico - FAT'!AK:AK,'Historico - FAT'!$K:$K,Faturamento!$L275,'Historico - FAT'!$I:$I,Faturamento!$J275,'Historico - FAT'!$G:$G,Faturamento!$H275)</f>
        <v>0</v>
      </c>
      <c r="AC275" s="31">
        <f>SUMIFS('Historico - FAT'!AL:AL,'Historico - FAT'!$K:$K,Faturamento!$L275,'Historico - FAT'!$I:$I,Faturamento!$J275,'Historico - FAT'!$G:$G,Faturamento!$H275)</f>
        <v>0</v>
      </c>
      <c r="AD275" s="31">
        <f>SUMIFS('Historico - FAT'!AM:AM,'Historico - FAT'!$K:$K,Faturamento!$L275,'Historico - FAT'!$I:$I,Faturamento!$J275,'Historico - FAT'!$G:$G,Faturamento!$H275)</f>
        <v>0</v>
      </c>
      <c r="AE275" s="27">
        <f>SUMIFS('Historico - FAT'!AN:AN,'Historico - FAT'!$K:$K,Faturamento!$L275,'Historico - FAT'!$I:$I,Faturamento!$J275,'Historico - FAT'!$G:$G,Faturamento!$H275)</f>
        <v>0</v>
      </c>
      <c r="AG275" s="24" t="str">
        <f t="shared" si="60"/>
        <v/>
      </c>
      <c r="AH275" s="24" t="str">
        <f t="shared" si="61"/>
        <v/>
      </c>
      <c r="AI275" s="24" t="str">
        <f t="shared" si="62"/>
        <v/>
      </c>
    </row>
    <row r="276" spans="1:35" hidden="1" x14ac:dyDescent="0.3">
      <c r="A276" s="2" t="str">
        <f t="shared" si="59"/>
        <v>NÃO</v>
      </c>
      <c r="B276" s="2">
        <v>1000184670</v>
      </c>
      <c r="C276" s="2" t="s">
        <v>147</v>
      </c>
      <c r="D276" s="4">
        <v>1000186197</v>
      </c>
      <c r="E276" s="4" t="s">
        <v>166</v>
      </c>
      <c r="F276" s="2">
        <v>1000184760</v>
      </c>
      <c r="G276" s="2" t="s">
        <v>60</v>
      </c>
      <c r="H276" s="4">
        <v>1000189796</v>
      </c>
      <c r="I276" s="4" t="s">
        <v>61</v>
      </c>
      <c r="J276" s="2">
        <v>1000189762</v>
      </c>
      <c r="K276" s="2" t="s">
        <v>158</v>
      </c>
      <c r="L276" s="4" t="s">
        <v>19</v>
      </c>
      <c r="M276" s="4" t="str">
        <f t="shared" si="66"/>
        <v>1000184670100018619710001897961000189762GELEIA</v>
      </c>
      <c r="N276" s="28">
        <f>N270*_xlfn.XLOOKUP($L276,'Balizador da Meta'!$B$4:$B$21,'Balizador da Meta'!$C$4:$C$21)</f>
        <v>0</v>
      </c>
      <c r="O276" s="28">
        <f>O270*_xlfn.XLOOKUP($L276,'Balizador da Meta'!$B$4:$B$21,'Balizador da Meta'!$C$4:$C$21)</f>
        <v>0</v>
      </c>
      <c r="P276" s="28">
        <f>P270*_xlfn.XLOOKUP($L276,'Balizador da Meta'!$B$4:$B$21,'Balizador da Meta'!$C$4:$C$21)</f>
        <v>0</v>
      </c>
      <c r="Q276" s="28">
        <f>Q270*_xlfn.XLOOKUP($L276,'Balizador da Meta'!$B$4:$B$21,'Balizador da Meta'!$C$4:$C$21)</f>
        <v>0</v>
      </c>
      <c r="R276" s="28">
        <f>R270*_xlfn.XLOOKUP($L276,'Balizador da Meta'!$B$4:$B$21,'Balizador da Meta'!$C$4:$C$21)</f>
        <v>0</v>
      </c>
      <c r="S276" s="28">
        <f>S270*_xlfn.XLOOKUP($L276,'Balizador da Meta'!$B$4:$B$21,'Balizador da Meta'!$C$4:$C$21)</f>
        <v>0</v>
      </c>
      <c r="T276" s="28">
        <f>T270*_xlfn.XLOOKUP($L276,'Balizador da Meta'!$B$4:$B$21,'Balizador da Meta'!$C$4:$C$21)</f>
        <v>0</v>
      </c>
      <c r="U276" s="28">
        <f>U270*_xlfn.XLOOKUP($L276,'Balizador da Meta'!$B$4:$B$21,'Balizador da Meta'!$C$4:$C$21)</f>
        <v>0</v>
      </c>
      <c r="V276" s="28">
        <f>V270*_xlfn.XLOOKUP($L276,'Balizador da Meta'!$B$4:$B$21,'Balizador da Meta'!$C$4:$C$21)</f>
        <v>0</v>
      </c>
      <c r="W276" s="28">
        <f>W270*_xlfn.XLOOKUP($L276,'Balizador da Meta'!$B$4:$B$21,'Balizador da Meta'!$C$4:$C$21)</f>
        <v>0</v>
      </c>
      <c r="X276" s="28">
        <f>X270*_xlfn.XLOOKUP($L276,'Balizador da Meta'!$B$4:$B$21,'Balizador da Meta'!$C$4:$C$21)</f>
        <v>0</v>
      </c>
      <c r="Y276" s="28">
        <f>Y270*_xlfn.XLOOKUP($L276,'Balizador da Meta'!$B$4:$B$21,'Balizador da Meta'!$C$4:$C$21)</f>
        <v>0</v>
      </c>
      <c r="Z276" s="30">
        <f t="shared" si="69"/>
        <v>0</v>
      </c>
      <c r="AA276" s="29"/>
      <c r="AB276" s="31">
        <f>SUMIFS('Historico - FAT'!AK:AK,'Historico - FAT'!$K:$K,Faturamento!$L276,'Historico - FAT'!$I:$I,Faturamento!$J276,'Historico - FAT'!$G:$G,Faturamento!$H276)</f>
        <v>0</v>
      </c>
      <c r="AC276" s="31">
        <f>SUMIFS('Historico - FAT'!AL:AL,'Historico - FAT'!$K:$K,Faturamento!$L276,'Historico - FAT'!$I:$I,Faturamento!$J276,'Historico - FAT'!$G:$G,Faturamento!$H276)</f>
        <v>0</v>
      </c>
      <c r="AD276" s="31">
        <f>SUMIFS('Historico - FAT'!AM:AM,'Historico - FAT'!$K:$K,Faturamento!$L276,'Historico - FAT'!$I:$I,Faturamento!$J276,'Historico - FAT'!$G:$G,Faturamento!$H276)</f>
        <v>0</v>
      </c>
      <c r="AE276" s="27">
        <f>SUMIFS('Historico - FAT'!AN:AN,'Historico - FAT'!$K:$K,Faturamento!$L276,'Historico - FAT'!$I:$I,Faturamento!$J276,'Historico - FAT'!$G:$G,Faturamento!$H276)</f>
        <v>0</v>
      </c>
      <c r="AG276" s="24" t="str">
        <f t="shared" si="60"/>
        <v/>
      </c>
      <c r="AH276" s="24" t="str">
        <f t="shared" si="61"/>
        <v/>
      </c>
      <c r="AI276" s="24" t="str">
        <f t="shared" si="62"/>
        <v/>
      </c>
    </row>
    <row r="277" spans="1:35" hidden="1" x14ac:dyDescent="0.3">
      <c r="A277" s="2" t="str">
        <f t="shared" si="59"/>
        <v>NÃO</v>
      </c>
      <c r="B277" s="2">
        <v>1000184670</v>
      </c>
      <c r="C277" s="2" t="s">
        <v>147</v>
      </c>
      <c r="D277" s="4">
        <v>1000186197</v>
      </c>
      <c r="E277" s="4" t="s">
        <v>166</v>
      </c>
      <c r="F277" s="2">
        <v>1000184760</v>
      </c>
      <c r="G277" s="2" t="s">
        <v>60</v>
      </c>
      <c r="H277" s="4">
        <v>1000189796</v>
      </c>
      <c r="I277" s="4" t="s">
        <v>61</v>
      </c>
      <c r="J277" s="2">
        <v>1000189762</v>
      </c>
      <c r="K277" s="2" t="s">
        <v>158</v>
      </c>
      <c r="L277" s="4" t="s">
        <v>17</v>
      </c>
      <c r="M277" s="4" t="str">
        <f t="shared" si="66"/>
        <v>1000184670100018619710001897961000189762GRANOLA</v>
      </c>
      <c r="N277" s="28">
        <f>N270*_xlfn.XLOOKUP($L277,'Balizador da Meta'!$B$4:$B$21,'Balizador da Meta'!$C$4:$C$21)</f>
        <v>0</v>
      </c>
      <c r="O277" s="28">
        <f>O270*_xlfn.XLOOKUP($L277,'Balizador da Meta'!$B$4:$B$21,'Balizador da Meta'!$C$4:$C$21)</f>
        <v>0</v>
      </c>
      <c r="P277" s="28">
        <f>P270*_xlfn.XLOOKUP($L277,'Balizador da Meta'!$B$4:$B$21,'Balizador da Meta'!$C$4:$C$21)</f>
        <v>0</v>
      </c>
      <c r="Q277" s="28">
        <f>Q270*_xlfn.XLOOKUP($L277,'Balizador da Meta'!$B$4:$B$21,'Balizador da Meta'!$C$4:$C$21)</f>
        <v>0</v>
      </c>
      <c r="R277" s="28">
        <f>R270*_xlfn.XLOOKUP($L277,'Balizador da Meta'!$B$4:$B$21,'Balizador da Meta'!$C$4:$C$21)</f>
        <v>0</v>
      </c>
      <c r="S277" s="28">
        <f>S270*_xlfn.XLOOKUP($L277,'Balizador da Meta'!$B$4:$B$21,'Balizador da Meta'!$C$4:$C$21)</f>
        <v>0</v>
      </c>
      <c r="T277" s="28">
        <f>T270*_xlfn.XLOOKUP($L277,'Balizador da Meta'!$B$4:$B$21,'Balizador da Meta'!$C$4:$C$21)</f>
        <v>0</v>
      </c>
      <c r="U277" s="28">
        <f>U270*_xlfn.XLOOKUP($L277,'Balizador da Meta'!$B$4:$B$21,'Balizador da Meta'!$C$4:$C$21)</f>
        <v>0</v>
      </c>
      <c r="V277" s="28">
        <f>V270*_xlfn.XLOOKUP($L277,'Balizador da Meta'!$B$4:$B$21,'Balizador da Meta'!$C$4:$C$21)</f>
        <v>0</v>
      </c>
      <c r="W277" s="28">
        <f>W270*_xlfn.XLOOKUP($L277,'Balizador da Meta'!$B$4:$B$21,'Balizador da Meta'!$C$4:$C$21)</f>
        <v>0</v>
      </c>
      <c r="X277" s="28">
        <f>X270*_xlfn.XLOOKUP($L277,'Balizador da Meta'!$B$4:$B$21,'Balizador da Meta'!$C$4:$C$21)</f>
        <v>0</v>
      </c>
      <c r="Y277" s="28">
        <f>Y270*_xlfn.XLOOKUP($L277,'Balizador da Meta'!$B$4:$B$21,'Balizador da Meta'!$C$4:$C$21)</f>
        <v>0</v>
      </c>
      <c r="Z277" s="30">
        <f t="shared" si="69"/>
        <v>0</v>
      </c>
      <c r="AA277" s="29"/>
      <c r="AB277" s="31">
        <f>SUMIFS('Historico - FAT'!AK:AK,'Historico - FAT'!$K:$K,Faturamento!$L277,'Historico - FAT'!$I:$I,Faturamento!$J277,'Historico - FAT'!$G:$G,Faturamento!$H277)</f>
        <v>0</v>
      </c>
      <c r="AC277" s="31">
        <f>SUMIFS('Historico - FAT'!AL:AL,'Historico - FAT'!$K:$K,Faturamento!$L277,'Historico - FAT'!$I:$I,Faturamento!$J277,'Historico - FAT'!$G:$G,Faturamento!$H277)</f>
        <v>0</v>
      </c>
      <c r="AD277" s="31">
        <f>SUMIFS('Historico - FAT'!AM:AM,'Historico - FAT'!$K:$K,Faturamento!$L277,'Historico - FAT'!$I:$I,Faturamento!$J277,'Historico - FAT'!$G:$G,Faturamento!$H277)</f>
        <v>0</v>
      </c>
      <c r="AE277" s="27">
        <f>SUMIFS('Historico - FAT'!AN:AN,'Historico - FAT'!$K:$K,Faturamento!$L277,'Historico - FAT'!$I:$I,Faturamento!$J277,'Historico - FAT'!$G:$G,Faturamento!$H277)</f>
        <v>0</v>
      </c>
      <c r="AG277" s="24" t="str">
        <f t="shared" si="60"/>
        <v/>
      </c>
      <c r="AH277" s="24" t="str">
        <f t="shared" si="61"/>
        <v/>
      </c>
      <c r="AI277" s="24" t="str">
        <f t="shared" si="62"/>
        <v/>
      </c>
    </row>
    <row r="278" spans="1:35" hidden="1" x14ac:dyDescent="0.3">
      <c r="A278" s="2" t="str">
        <f t="shared" si="59"/>
        <v>NÃO</v>
      </c>
      <c r="B278" s="2">
        <v>1000184670</v>
      </c>
      <c r="C278" s="2" t="s">
        <v>147</v>
      </c>
      <c r="D278" s="4">
        <v>1000186197</v>
      </c>
      <c r="E278" s="4" t="s">
        <v>166</v>
      </c>
      <c r="F278" s="2">
        <v>1000184760</v>
      </c>
      <c r="G278" s="2" t="s">
        <v>60</v>
      </c>
      <c r="H278" s="4">
        <v>1000189796</v>
      </c>
      <c r="I278" s="4" t="s">
        <v>61</v>
      </c>
      <c r="J278" s="2">
        <v>1000189762</v>
      </c>
      <c r="K278" s="2" t="s">
        <v>158</v>
      </c>
      <c r="L278" s="4" t="s">
        <v>24</v>
      </c>
      <c r="M278" s="4" t="str">
        <f t="shared" si="66"/>
        <v>1000184670100018619710001897961000189762KIDS</v>
      </c>
      <c r="N278" s="28">
        <f>N270*_xlfn.XLOOKUP($L278,'Balizador da Meta'!$B$4:$B$21,'Balizador da Meta'!$C$4:$C$21)</f>
        <v>0</v>
      </c>
      <c r="O278" s="28">
        <f>O270*_xlfn.XLOOKUP($L278,'Balizador da Meta'!$B$4:$B$21,'Balizador da Meta'!$C$4:$C$21)</f>
        <v>0</v>
      </c>
      <c r="P278" s="28">
        <f>P270*_xlfn.XLOOKUP($L278,'Balizador da Meta'!$B$4:$B$21,'Balizador da Meta'!$C$4:$C$21)</f>
        <v>0</v>
      </c>
      <c r="Q278" s="28">
        <f>Q270*_xlfn.XLOOKUP($L278,'Balizador da Meta'!$B$4:$B$21,'Balizador da Meta'!$C$4:$C$21)</f>
        <v>0</v>
      </c>
      <c r="R278" s="28">
        <f>R270*_xlfn.XLOOKUP($L278,'Balizador da Meta'!$B$4:$B$21,'Balizador da Meta'!$C$4:$C$21)</f>
        <v>0</v>
      </c>
      <c r="S278" s="28">
        <f>S270*_xlfn.XLOOKUP($L278,'Balizador da Meta'!$B$4:$B$21,'Balizador da Meta'!$C$4:$C$21)</f>
        <v>0</v>
      </c>
      <c r="T278" s="28">
        <f>T270*_xlfn.XLOOKUP($L278,'Balizador da Meta'!$B$4:$B$21,'Balizador da Meta'!$C$4:$C$21)</f>
        <v>0</v>
      </c>
      <c r="U278" s="28">
        <f>U270*_xlfn.XLOOKUP($L278,'Balizador da Meta'!$B$4:$B$21,'Balizador da Meta'!$C$4:$C$21)</f>
        <v>0</v>
      </c>
      <c r="V278" s="28">
        <f>V270*_xlfn.XLOOKUP($L278,'Balizador da Meta'!$B$4:$B$21,'Balizador da Meta'!$C$4:$C$21)</f>
        <v>0</v>
      </c>
      <c r="W278" s="28">
        <f>W270*_xlfn.XLOOKUP($L278,'Balizador da Meta'!$B$4:$B$21,'Balizador da Meta'!$C$4:$C$21)</f>
        <v>0</v>
      </c>
      <c r="X278" s="28">
        <f>X270*_xlfn.XLOOKUP($L278,'Balizador da Meta'!$B$4:$B$21,'Balizador da Meta'!$C$4:$C$21)</f>
        <v>0</v>
      </c>
      <c r="Y278" s="28">
        <f>Y270*_xlfn.XLOOKUP($L278,'Balizador da Meta'!$B$4:$B$21,'Balizador da Meta'!$C$4:$C$21)</f>
        <v>0</v>
      </c>
      <c r="Z278" s="30">
        <f t="shared" si="69"/>
        <v>0</v>
      </c>
      <c r="AA278" s="29"/>
      <c r="AB278" s="31">
        <f>SUMIFS('Historico - FAT'!AK:AK,'Historico - FAT'!$K:$K,Faturamento!$L278,'Historico - FAT'!$I:$I,Faturamento!$J278,'Historico - FAT'!$G:$G,Faturamento!$H278)</f>
        <v>0</v>
      </c>
      <c r="AC278" s="31">
        <f>SUMIFS('Historico - FAT'!AL:AL,'Historico - FAT'!$K:$K,Faturamento!$L278,'Historico - FAT'!$I:$I,Faturamento!$J278,'Historico - FAT'!$G:$G,Faturamento!$H278)</f>
        <v>0</v>
      </c>
      <c r="AD278" s="31">
        <f>SUMIFS('Historico - FAT'!AM:AM,'Historico - FAT'!$K:$K,Faturamento!$L278,'Historico - FAT'!$I:$I,Faturamento!$J278,'Historico - FAT'!$G:$G,Faturamento!$H278)</f>
        <v>0</v>
      </c>
      <c r="AE278" s="27">
        <f>SUMIFS('Historico - FAT'!AN:AN,'Historico - FAT'!$K:$K,Faturamento!$L278,'Historico - FAT'!$I:$I,Faturamento!$J278,'Historico - FAT'!$G:$G,Faturamento!$H278)</f>
        <v>0</v>
      </c>
      <c r="AG278" s="24" t="str">
        <f t="shared" si="60"/>
        <v/>
      </c>
      <c r="AH278" s="24" t="str">
        <f t="shared" si="61"/>
        <v/>
      </c>
      <c r="AI278" s="24" t="str">
        <f t="shared" si="62"/>
        <v/>
      </c>
    </row>
    <row r="279" spans="1:35" hidden="1" x14ac:dyDescent="0.3">
      <c r="A279" s="2" t="str">
        <f t="shared" si="59"/>
        <v>NÃO</v>
      </c>
      <c r="B279" s="2">
        <v>1000184670</v>
      </c>
      <c r="C279" s="2" t="s">
        <v>147</v>
      </c>
      <c r="D279" s="4">
        <v>1000186197</v>
      </c>
      <c r="E279" s="4" t="s">
        <v>166</v>
      </c>
      <c r="F279" s="2">
        <v>1000184760</v>
      </c>
      <c r="G279" s="2" t="s">
        <v>60</v>
      </c>
      <c r="H279" s="4">
        <v>1000189796</v>
      </c>
      <c r="I279" s="4" t="s">
        <v>61</v>
      </c>
      <c r="J279" s="2">
        <v>1000189762</v>
      </c>
      <c r="K279" s="2" t="s">
        <v>158</v>
      </c>
      <c r="L279" s="4" t="s">
        <v>18</v>
      </c>
      <c r="M279" s="4" t="str">
        <f t="shared" si="66"/>
        <v>1000184670100018619710001897961000189762LANCHES</v>
      </c>
      <c r="N279" s="28">
        <f>N270*_xlfn.XLOOKUP($L279,'Balizador da Meta'!$B$4:$B$21,'Balizador da Meta'!$C$4:$C$21)</f>
        <v>0</v>
      </c>
      <c r="O279" s="28">
        <f>O270*_xlfn.XLOOKUP($L279,'Balizador da Meta'!$B$4:$B$21,'Balizador da Meta'!$C$4:$C$21)</f>
        <v>0</v>
      </c>
      <c r="P279" s="28">
        <f>P270*_xlfn.XLOOKUP($L279,'Balizador da Meta'!$B$4:$B$21,'Balizador da Meta'!$C$4:$C$21)</f>
        <v>0</v>
      </c>
      <c r="Q279" s="28">
        <f>Q270*_xlfn.XLOOKUP($L279,'Balizador da Meta'!$B$4:$B$21,'Balizador da Meta'!$C$4:$C$21)</f>
        <v>0</v>
      </c>
      <c r="R279" s="28">
        <f>R270*_xlfn.XLOOKUP($L279,'Balizador da Meta'!$B$4:$B$21,'Balizador da Meta'!$C$4:$C$21)</f>
        <v>0</v>
      </c>
      <c r="S279" s="28">
        <f>S270*_xlfn.XLOOKUP($L279,'Balizador da Meta'!$B$4:$B$21,'Balizador da Meta'!$C$4:$C$21)</f>
        <v>0</v>
      </c>
      <c r="T279" s="28">
        <f>T270*_xlfn.XLOOKUP($L279,'Balizador da Meta'!$B$4:$B$21,'Balizador da Meta'!$C$4:$C$21)</f>
        <v>0</v>
      </c>
      <c r="U279" s="28">
        <f>U270*_xlfn.XLOOKUP($L279,'Balizador da Meta'!$B$4:$B$21,'Balizador da Meta'!$C$4:$C$21)</f>
        <v>0</v>
      </c>
      <c r="V279" s="28">
        <f>V270*_xlfn.XLOOKUP($L279,'Balizador da Meta'!$B$4:$B$21,'Balizador da Meta'!$C$4:$C$21)</f>
        <v>0</v>
      </c>
      <c r="W279" s="28">
        <f>W270*_xlfn.XLOOKUP($L279,'Balizador da Meta'!$B$4:$B$21,'Balizador da Meta'!$C$4:$C$21)</f>
        <v>0</v>
      </c>
      <c r="X279" s="28">
        <f>X270*_xlfn.XLOOKUP($L279,'Balizador da Meta'!$B$4:$B$21,'Balizador da Meta'!$C$4:$C$21)</f>
        <v>0</v>
      </c>
      <c r="Y279" s="28">
        <f>Y270*_xlfn.XLOOKUP($L279,'Balizador da Meta'!$B$4:$B$21,'Balizador da Meta'!$C$4:$C$21)</f>
        <v>0</v>
      </c>
      <c r="Z279" s="30">
        <f t="shared" si="69"/>
        <v>0</v>
      </c>
      <c r="AA279" s="29"/>
      <c r="AB279" s="31">
        <f>SUMIFS('Historico - FAT'!AK:AK,'Historico - FAT'!$K:$K,Faturamento!$L279,'Historico - FAT'!$I:$I,Faturamento!$J279,'Historico - FAT'!$G:$G,Faturamento!$H279)</f>
        <v>0</v>
      </c>
      <c r="AC279" s="31">
        <f>SUMIFS('Historico - FAT'!AL:AL,'Historico - FAT'!$K:$K,Faturamento!$L279,'Historico - FAT'!$I:$I,Faturamento!$J279,'Historico - FAT'!$G:$G,Faturamento!$H279)</f>
        <v>0</v>
      </c>
      <c r="AD279" s="31">
        <f>SUMIFS('Historico - FAT'!AM:AM,'Historico - FAT'!$K:$K,Faturamento!$L279,'Historico - FAT'!$I:$I,Faturamento!$J279,'Historico - FAT'!$G:$G,Faturamento!$H279)</f>
        <v>0</v>
      </c>
      <c r="AE279" s="27">
        <f>SUMIFS('Historico - FAT'!AN:AN,'Historico - FAT'!$K:$K,Faturamento!$L279,'Historico - FAT'!$I:$I,Faturamento!$J279,'Historico - FAT'!$G:$G,Faturamento!$H279)</f>
        <v>0</v>
      </c>
      <c r="AG279" s="24" t="str">
        <f t="shared" si="60"/>
        <v/>
      </c>
      <c r="AH279" s="24" t="str">
        <f t="shared" si="61"/>
        <v/>
      </c>
      <c r="AI279" s="24" t="str">
        <f t="shared" si="62"/>
        <v/>
      </c>
    </row>
    <row r="280" spans="1:35" hidden="1" x14ac:dyDescent="0.3">
      <c r="A280" s="2" t="str">
        <f t="shared" si="59"/>
        <v>NÃO</v>
      </c>
      <c r="B280" s="2">
        <v>1000184670</v>
      </c>
      <c r="C280" s="2" t="s">
        <v>147</v>
      </c>
      <c r="D280" s="4">
        <v>1000186197</v>
      </c>
      <c r="E280" s="4" t="s">
        <v>166</v>
      </c>
      <c r="F280" s="2">
        <v>1000184760</v>
      </c>
      <c r="G280" s="2" t="s">
        <v>60</v>
      </c>
      <c r="H280" s="4">
        <v>1000189796</v>
      </c>
      <c r="I280" s="4" t="s">
        <v>61</v>
      </c>
      <c r="J280" s="2">
        <v>1000189762</v>
      </c>
      <c r="K280" s="2" t="s">
        <v>158</v>
      </c>
      <c r="L280" s="4" t="s">
        <v>29</v>
      </c>
      <c r="M280" s="4" t="str">
        <f t="shared" si="66"/>
        <v>1000184670100018619710001897961000189762MAIS GRANEL</v>
      </c>
      <c r="N280" s="28">
        <f>N270*_xlfn.XLOOKUP($L280,'Balizador da Meta'!$B$4:$B$21,'Balizador da Meta'!$C$4:$C$21)</f>
        <v>0</v>
      </c>
      <c r="O280" s="28">
        <f>O270*_xlfn.XLOOKUP($L280,'Balizador da Meta'!$B$4:$B$21,'Balizador da Meta'!$C$4:$C$21)</f>
        <v>0</v>
      </c>
      <c r="P280" s="28">
        <f>P270*_xlfn.XLOOKUP($L280,'Balizador da Meta'!$B$4:$B$21,'Balizador da Meta'!$C$4:$C$21)</f>
        <v>0</v>
      </c>
      <c r="Q280" s="28">
        <f>Q270*_xlfn.XLOOKUP($L280,'Balizador da Meta'!$B$4:$B$21,'Balizador da Meta'!$C$4:$C$21)</f>
        <v>0</v>
      </c>
      <c r="R280" s="28">
        <f>R270*_xlfn.XLOOKUP($L280,'Balizador da Meta'!$B$4:$B$21,'Balizador da Meta'!$C$4:$C$21)</f>
        <v>0</v>
      </c>
      <c r="S280" s="28">
        <f>S270*_xlfn.XLOOKUP($L280,'Balizador da Meta'!$B$4:$B$21,'Balizador da Meta'!$C$4:$C$21)</f>
        <v>0</v>
      </c>
      <c r="T280" s="28">
        <f>T270*_xlfn.XLOOKUP($L280,'Balizador da Meta'!$B$4:$B$21,'Balizador da Meta'!$C$4:$C$21)</f>
        <v>0</v>
      </c>
      <c r="U280" s="28">
        <f>U270*_xlfn.XLOOKUP($L280,'Balizador da Meta'!$B$4:$B$21,'Balizador da Meta'!$C$4:$C$21)</f>
        <v>0</v>
      </c>
      <c r="V280" s="28">
        <f>V270*_xlfn.XLOOKUP($L280,'Balizador da Meta'!$B$4:$B$21,'Balizador da Meta'!$C$4:$C$21)</f>
        <v>0</v>
      </c>
      <c r="W280" s="28">
        <f>W270*_xlfn.XLOOKUP($L280,'Balizador da Meta'!$B$4:$B$21,'Balizador da Meta'!$C$4:$C$21)</f>
        <v>0</v>
      </c>
      <c r="X280" s="28">
        <f>X270*_xlfn.XLOOKUP($L280,'Balizador da Meta'!$B$4:$B$21,'Balizador da Meta'!$C$4:$C$21)</f>
        <v>0</v>
      </c>
      <c r="Y280" s="28">
        <f>Y270*_xlfn.XLOOKUP($L280,'Balizador da Meta'!$B$4:$B$21,'Balizador da Meta'!$C$4:$C$21)</f>
        <v>0</v>
      </c>
      <c r="Z280" s="30">
        <f t="shared" si="69"/>
        <v>0</v>
      </c>
      <c r="AA280" s="29"/>
      <c r="AB280" s="31">
        <f>SUMIFS('Historico - FAT'!AK:AK,'Historico - FAT'!$K:$K,Faturamento!$L280,'Historico - FAT'!$I:$I,Faturamento!$J280,'Historico - FAT'!$G:$G,Faturamento!$H280)</f>
        <v>0</v>
      </c>
      <c r="AC280" s="31">
        <f>SUMIFS('Historico - FAT'!AL:AL,'Historico - FAT'!$K:$K,Faturamento!$L280,'Historico - FAT'!$I:$I,Faturamento!$J280,'Historico - FAT'!$G:$G,Faturamento!$H280)</f>
        <v>0</v>
      </c>
      <c r="AD280" s="31">
        <f>SUMIFS('Historico - FAT'!AM:AM,'Historico - FAT'!$K:$K,Faturamento!$L280,'Historico - FAT'!$I:$I,Faturamento!$J280,'Historico - FAT'!$G:$G,Faturamento!$H280)</f>
        <v>0</v>
      </c>
      <c r="AE280" s="27">
        <f>SUMIFS('Historico - FAT'!AN:AN,'Historico - FAT'!$K:$K,Faturamento!$L280,'Historico - FAT'!$I:$I,Faturamento!$J280,'Historico - FAT'!$G:$G,Faturamento!$H280)</f>
        <v>0</v>
      </c>
      <c r="AG280" s="24" t="str">
        <f t="shared" si="60"/>
        <v/>
      </c>
      <c r="AH280" s="24" t="str">
        <f t="shared" si="61"/>
        <v/>
      </c>
      <c r="AI280" s="24" t="str">
        <f t="shared" si="62"/>
        <v/>
      </c>
    </row>
    <row r="281" spans="1:35" hidden="1" x14ac:dyDescent="0.3">
      <c r="A281" s="2" t="str">
        <f t="shared" si="59"/>
        <v>NÃO</v>
      </c>
      <c r="B281" s="2">
        <v>1000184670</v>
      </c>
      <c r="C281" s="2" t="s">
        <v>147</v>
      </c>
      <c r="D281" s="4">
        <v>1000186197</v>
      </c>
      <c r="E281" s="4" t="s">
        <v>166</v>
      </c>
      <c r="F281" s="2">
        <v>1000184760</v>
      </c>
      <c r="G281" s="2" t="s">
        <v>60</v>
      </c>
      <c r="H281" s="4">
        <v>1000189796</v>
      </c>
      <c r="I281" s="4" t="s">
        <v>61</v>
      </c>
      <c r="J281" s="2">
        <v>1000189762</v>
      </c>
      <c r="K281" s="2" t="s">
        <v>158</v>
      </c>
      <c r="L281" s="4" t="s">
        <v>21</v>
      </c>
      <c r="M281" s="4" t="str">
        <f t="shared" si="66"/>
        <v>1000184670100018619710001897961000189762NATURATTA</v>
      </c>
      <c r="N281" s="28">
        <f>N270*_xlfn.XLOOKUP($L281,'Balizador da Meta'!$B$4:$B$21,'Balizador da Meta'!$C$4:$C$21)</f>
        <v>0</v>
      </c>
      <c r="O281" s="28">
        <f>O270*_xlfn.XLOOKUP($L281,'Balizador da Meta'!$B$4:$B$21,'Balizador da Meta'!$C$4:$C$21)</f>
        <v>0</v>
      </c>
      <c r="P281" s="28">
        <f>P270*_xlfn.XLOOKUP($L281,'Balizador da Meta'!$B$4:$B$21,'Balizador da Meta'!$C$4:$C$21)</f>
        <v>0</v>
      </c>
      <c r="Q281" s="28">
        <f>Q270*_xlfn.XLOOKUP($L281,'Balizador da Meta'!$B$4:$B$21,'Balizador da Meta'!$C$4:$C$21)</f>
        <v>0</v>
      </c>
      <c r="R281" s="28">
        <f>R270*_xlfn.XLOOKUP($L281,'Balizador da Meta'!$B$4:$B$21,'Balizador da Meta'!$C$4:$C$21)</f>
        <v>0</v>
      </c>
      <c r="S281" s="28">
        <f>S270*_xlfn.XLOOKUP($L281,'Balizador da Meta'!$B$4:$B$21,'Balizador da Meta'!$C$4:$C$21)</f>
        <v>0</v>
      </c>
      <c r="T281" s="28">
        <f>T270*_xlfn.XLOOKUP($L281,'Balizador da Meta'!$B$4:$B$21,'Balizador da Meta'!$C$4:$C$21)</f>
        <v>0</v>
      </c>
      <c r="U281" s="28">
        <f>U270*_xlfn.XLOOKUP($L281,'Balizador da Meta'!$B$4:$B$21,'Balizador da Meta'!$C$4:$C$21)</f>
        <v>0</v>
      </c>
      <c r="V281" s="28">
        <f>V270*_xlfn.XLOOKUP($L281,'Balizador da Meta'!$B$4:$B$21,'Balizador da Meta'!$C$4:$C$21)</f>
        <v>0</v>
      </c>
      <c r="W281" s="28">
        <f>W270*_xlfn.XLOOKUP($L281,'Balizador da Meta'!$B$4:$B$21,'Balizador da Meta'!$C$4:$C$21)</f>
        <v>0</v>
      </c>
      <c r="X281" s="28">
        <f>X270*_xlfn.XLOOKUP($L281,'Balizador da Meta'!$B$4:$B$21,'Balizador da Meta'!$C$4:$C$21)</f>
        <v>0</v>
      </c>
      <c r="Y281" s="28">
        <f>Y270*_xlfn.XLOOKUP($L281,'Balizador da Meta'!$B$4:$B$21,'Balizador da Meta'!$C$4:$C$21)</f>
        <v>0</v>
      </c>
      <c r="Z281" s="30">
        <f t="shared" si="69"/>
        <v>0</v>
      </c>
      <c r="AA281" s="29"/>
      <c r="AB281" s="31">
        <f>SUMIFS('Historico - FAT'!AK:AK,'Historico - FAT'!$K:$K,Faturamento!$L281,'Historico - FAT'!$I:$I,Faturamento!$J281,'Historico - FAT'!$G:$G,Faturamento!$H281)</f>
        <v>0</v>
      </c>
      <c r="AC281" s="31">
        <f>SUMIFS('Historico - FAT'!AL:AL,'Historico - FAT'!$K:$K,Faturamento!$L281,'Historico - FAT'!$I:$I,Faturamento!$J281,'Historico - FAT'!$G:$G,Faturamento!$H281)</f>
        <v>0</v>
      </c>
      <c r="AD281" s="31">
        <f>SUMIFS('Historico - FAT'!AM:AM,'Historico - FAT'!$K:$K,Faturamento!$L281,'Historico - FAT'!$I:$I,Faturamento!$J281,'Historico - FAT'!$G:$G,Faturamento!$H281)</f>
        <v>0</v>
      </c>
      <c r="AE281" s="27">
        <f>SUMIFS('Historico - FAT'!AN:AN,'Historico - FAT'!$K:$K,Faturamento!$L281,'Historico - FAT'!$I:$I,Faturamento!$J281,'Historico - FAT'!$G:$G,Faturamento!$H281)</f>
        <v>0</v>
      </c>
      <c r="AG281" s="24" t="str">
        <f t="shared" si="60"/>
        <v/>
      </c>
      <c r="AH281" s="24" t="str">
        <f t="shared" si="61"/>
        <v/>
      </c>
      <c r="AI281" s="24" t="str">
        <f t="shared" si="62"/>
        <v/>
      </c>
    </row>
    <row r="282" spans="1:35" hidden="1" x14ac:dyDescent="0.3">
      <c r="A282" s="2" t="str">
        <f t="shared" si="59"/>
        <v>NÃO</v>
      </c>
      <c r="B282" s="2">
        <v>1000184670</v>
      </c>
      <c r="C282" s="2" t="s">
        <v>147</v>
      </c>
      <c r="D282" s="4">
        <v>1000186197</v>
      </c>
      <c r="E282" s="4" t="s">
        <v>166</v>
      </c>
      <c r="F282" s="2">
        <v>1000184760</v>
      </c>
      <c r="G282" s="2" t="s">
        <v>60</v>
      </c>
      <c r="H282" s="4">
        <v>1000189796</v>
      </c>
      <c r="I282" s="4" t="s">
        <v>61</v>
      </c>
      <c r="J282" s="2">
        <v>1000189762</v>
      </c>
      <c r="K282" s="2" t="s">
        <v>158</v>
      </c>
      <c r="L282" s="4" t="s">
        <v>20</v>
      </c>
      <c r="M282" s="4" t="str">
        <f t="shared" si="66"/>
        <v>1000184670100018619710001897961000189762REEMBALADOS</v>
      </c>
      <c r="N282" s="28">
        <f>N270*_xlfn.XLOOKUP($L282,'Balizador da Meta'!$B$4:$B$21,'Balizador da Meta'!$C$4:$C$21)</f>
        <v>0</v>
      </c>
      <c r="O282" s="28">
        <f>O270*_xlfn.XLOOKUP($L282,'Balizador da Meta'!$B$4:$B$21,'Balizador da Meta'!$C$4:$C$21)</f>
        <v>0</v>
      </c>
      <c r="P282" s="28">
        <f>P270*_xlfn.XLOOKUP($L282,'Balizador da Meta'!$B$4:$B$21,'Balizador da Meta'!$C$4:$C$21)</f>
        <v>0</v>
      </c>
      <c r="Q282" s="28">
        <f>Q270*_xlfn.XLOOKUP($L282,'Balizador da Meta'!$B$4:$B$21,'Balizador da Meta'!$C$4:$C$21)</f>
        <v>0</v>
      </c>
      <c r="R282" s="28">
        <f>R270*_xlfn.XLOOKUP($L282,'Balizador da Meta'!$B$4:$B$21,'Balizador da Meta'!$C$4:$C$21)</f>
        <v>0</v>
      </c>
      <c r="S282" s="28">
        <f>S270*_xlfn.XLOOKUP($L282,'Balizador da Meta'!$B$4:$B$21,'Balizador da Meta'!$C$4:$C$21)</f>
        <v>0</v>
      </c>
      <c r="T282" s="28">
        <f>T270*_xlfn.XLOOKUP($L282,'Balizador da Meta'!$B$4:$B$21,'Balizador da Meta'!$C$4:$C$21)</f>
        <v>0</v>
      </c>
      <c r="U282" s="28">
        <f>U270*_xlfn.XLOOKUP($L282,'Balizador da Meta'!$B$4:$B$21,'Balizador da Meta'!$C$4:$C$21)</f>
        <v>0</v>
      </c>
      <c r="V282" s="28">
        <f>V270*_xlfn.XLOOKUP($L282,'Balizador da Meta'!$B$4:$B$21,'Balizador da Meta'!$C$4:$C$21)</f>
        <v>0</v>
      </c>
      <c r="W282" s="28">
        <f>W270*_xlfn.XLOOKUP($L282,'Balizador da Meta'!$B$4:$B$21,'Balizador da Meta'!$C$4:$C$21)</f>
        <v>0</v>
      </c>
      <c r="X282" s="28">
        <f>X270*_xlfn.XLOOKUP($L282,'Balizador da Meta'!$B$4:$B$21,'Balizador da Meta'!$C$4:$C$21)</f>
        <v>0</v>
      </c>
      <c r="Y282" s="28">
        <f>Y270*_xlfn.XLOOKUP($L282,'Balizador da Meta'!$B$4:$B$21,'Balizador da Meta'!$C$4:$C$21)</f>
        <v>0</v>
      </c>
      <c r="Z282" s="30">
        <f t="shared" si="69"/>
        <v>0</v>
      </c>
      <c r="AA282" s="29"/>
      <c r="AB282" s="31">
        <f>SUMIFS('Historico - FAT'!AK:AK,'Historico - FAT'!$K:$K,Faturamento!$L282,'Historico - FAT'!$I:$I,Faturamento!$J282,'Historico - FAT'!$G:$G,Faturamento!$H282)</f>
        <v>0</v>
      </c>
      <c r="AC282" s="31">
        <f>SUMIFS('Historico - FAT'!AL:AL,'Historico - FAT'!$K:$K,Faturamento!$L282,'Historico - FAT'!$I:$I,Faturamento!$J282,'Historico - FAT'!$G:$G,Faturamento!$H282)</f>
        <v>0</v>
      </c>
      <c r="AD282" s="31">
        <f>SUMIFS('Historico - FAT'!AM:AM,'Historico - FAT'!$K:$K,Faturamento!$L282,'Historico - FAT'!$I:$I,Faturamento!$J282,'Historico - FAT'!$G:$G,Faturamento!$H282)</f>
        <v>0</v>
      </c>
      <c r="AE282" s="27">
        <f>SUMIFS('Historico - FAT'!AN:AN,'Historico - FAT'!$K:$K,Faturamento!$L282,'Historico - FAT'!$I:$I,Faturamento!$J282,'Historico - FAT'!$G:$G,Faturamento!$H282)</f>
        <v>0</v>
      </c>
      <c r="AG282" s="24" t="str">
        <f t="shared" si="60"/>
        <v/>
      </c>
      <c r="AH282" s="24" t="str">
        <f t="shared" si="61"/>
        <v/>
      </c>
      <c r="AI282" s="24" t="str">
        <f t="shared" si="62"/>
        <v/>
      </c>
    </row>
    <row r="283" spans="1:35" hidden="1" x14ac:dyDescent="0.3">
      <c r="A283" s="2" t="str">
        <f t="shared" si="59"/>
        <v>NÃO</v>
      </c>
      <c r="B283" s="2">
        <v>1000184670</v>
      </c>
      <c r="C283" s="2" t="s">
        <v>147</v>
      </c>
      <c r="D283" s="4">
        <v>1000186197</v>
      </c>
      <c r="E283" s="4" t="s">
        <v>166</v>
      </c>
      <c r="F283" s="2">
        <v>1000184760</v>
      </c>
      <c r="G283" s="2" t="s">
        <v>60</v>
      </c>
      <c r="H283" s="4">
        <v>1000189796</v>
      </c>
      <c r="I283" s="4" t="s">
        <v>61</v>
      </c>
      <c r="J283" s="2">
        <v>1000189762</v>
      </c>
      <c r="K283" s="2" t="s">
        <v>158</v>
      </c>
      <c r="L283" s="4" t="s">
        <v>22</v>
      </c>
      <c r="M283" s="4" t="str">
        <f t="shared" si="66"/>
        <v>1000184670100018619710001897961000189762S GLUTEN</v>
      </c>
      <c r="N283" s="28">
        <f>N270*_xlfn.XLOOKUP($L283,'Balizador da Meta'!$B$4:$B$21,'Balizador da Meta'!$C$4:$C$21)</f>
        <v>0</v>
      </c>
      <c r="O283" s="28">
        <f>O270*_xlfn.XLOOKUP($L283,'Balizador da Meta'!$B$4:$B$21,'Balizador da Meta'!$C$4:$C$21)</f>
        <v>0</v>
      </c>
      <c r="P283" s="28">
        <f>P270*_xlfn.XLOOKUP($L283,'Balizador da Meta'!$B$4:$B$21,'Balizador da Meta'!$C$4:$C$21)</f>
        <v>0</v>
      </c>
      <c r="Q283" s="28">
        <f>Q270*_xlfn.XLOOKUP($L283,'Balizador da Meta'!$B$4:$B$21,'Balizador da Meta'!$C$4:$C$21)</f>
        <v>0</v>
      </c>
      <c r="R283" s="28">
        <f>R270*_xlfn.XLOOKUP($L283,'Balizador da Meta'!$B$4:$B$21,'Balizador da Meta'!$C$4:$C$21)</f>
        <v>0</v>
      </c>
      <c r="S283" s="28">
        <f>S270*_xlfn.XLOOKUP($L283,'Balizador da Meta'!$B$4:$B$21,'Balizador da Meta'!$C$4:$C$21)</f>
        <v>0</v>
      </c>
      <c r="T283" s="28">
        <f>T270*_xlfn.XLOOKUP($L283,'Balizador da Meta'!$B$4:$B$21,'Balizador da Meta'!$C$4:$C$21)</f>
        <v>0</v>
      </c>
      <c r="U283" s="28">
        <f>U270*_xlfn.XLOOKUP($L283,'Balizador da Meta'!$B$4:$B$21,'Balizador da Meta'!$C$4:$C$21)</f>
        <v>0</v>
      </c>
      <c r="V283" s="28">
        <f>V270*_xlfn.XLOOKUP($L283,'Balizador da Meta'!$B$4:$B$21,'Balizador da Meta'!$C$4:$C$21)</f>
        <v>0</v>
      </c>
      <c r="W283" s="28">
        <f>W270*_xlfn.XLOOKUP($L283,'Balizador da Meta'!$B$4:$B$21,'Balizador da Meta'!$C$4:$C$21)</f>
        <v>0</v>
      </c>
      <c r="X283" s="28">
        <f>X270*_xlfn.XLOOKUP($L283,'Balizador da Meta'!$B$4:$B$21,'Balizador da Meta'!$C$4:$C$21)</f>
        <v>0</v>
      </c>
      <c r="Y283" s="28">
        <f>Y270*_xlfn.XLOOKUP($L283,'Balizador da Meta'!$B$4:$B$21,'Balizador da Meta'!$C$4:$C$21)</f>
        <v>0</v>
      </c>
      <c r="Z283" s="30">
        <f t="shared" si="69"/>
        <v>0</v>
      </c>
      <c r="AA283" s="29"/>
      <c r="AB283" s="31">
        <f>SUMIFS('Historico - FAT'!AK:AK,'Historico - FAT'!$K:$K,Faturamento!$L283,'Historico - FAT'!$I:$I,Faturamento!$J283,'Historico - FAT'!$G:$G,Faturamento!$H283)</f>
        <v>0</v>
      </c>
      <c r="AC283" s="31">
        <f>SUMIFS('Historico - FAT'!AL:AL,'Historico - FAT'!$K:$K,Faturamento!$L283,'Historico - FAT'!$I:$I,Faturamento!$J283,'Historico - FAT'!$G:$G,Faturamento!$H283)</f>
        <v>0</v>
      </c>
      <c r="AD283" s="31">
        <f>SUMIFS('Historico - FAT'!AM:AM,'Historico - FAT'!$K:$K,Faturamento!$L283,'Historico - FAT'!$I:$I,Faturamento!$J283,'Historico - FAT'!$G:$G,Faturamento!$H283)</f>
        <v>0</v>
      </c>
      <c r="AE283" s="27">
        <f>SUMIFS('Historico - FAT'!AN:AN,'Historico - FAT'!$K:$K,Faturamento!$L283,'Historico - FAT'!$I:$I,Faturamento!$J283,'Historico - FAT'!$G:$G,Faturamento!$H283)</f>
        <v>0</v>
      </c>
      <c r="AG283" s="24" t="str">
        <f t="shared" si="60"/>
        <v/>
      </c>
      <c r="AH283" s="24" t="str">
        <f t="shared" si="61"/>
        <v/>
      </c>
      <c r="AI283" s="24" t="str">
        <f t="shared" si="62"/>
        <v/>
      </c>
    </row>
    <row r="284" spans="1:35" hidden="1" x14ac:dyDescent="0.3">
      <c r="A284" s="2" t="str">
        <f t="shared" si="59"/>
        <v>NÃO</v>
      </c>
      <c r="B284" s="2">
        <v>1000184670</v>
      </c>
      <c r="C284" s="2" t="s">
        <v>147</v>
      </c>
      <c r="D284" s="4">
        <v>1000186197</v>
      </c>
      <c r="E284" s="4" t="s">
        <v>166</v>
      </c>
      <c r="F284" s="2">
        <v>1000184760</v>
      </c>
      <c r="G284" s="2" t="s">
        <v>60</v>
      </c>
      <c r="H284" s="4">
        <v>1000189796</v>
      </c>
      <c r="I284" s="4" t="s">
        <v>61</v>
      </c>
      <c r="J284" s="2">
        <v>1000189762</v>
      </c>
      <c r="K284" s="2" t="s">
        <v>158</v>
      </c>
      <c r="L284" s="4" t="s">
        <v>23</v>
      </c>
      <c r="M284" s="4" t="str">
        <f t="shared" si="66"/>
        <v>1000184670100018619710001897961000189762SABORES DO CAMPO</v>
      </c>
      <c r="N284" s="28">
        <f>N270*_xlfn.XLOOKUP($L284,'Balizador da Meta'!$B$4:$B$21,'Balizador da Meta'!$C$4:$C$21)</f>
        <v>0</v>
      </c>
      <c r="O284" s="28">
        <f>O270*_xlfn.XLOOKUP($L284,'Balizador da Meta'!$B$4:$B$21,'Balizador da Meta'!$C$4:$C$21)</f>
        <v>0</v>
      </c>
      <c r="P284" s="28">
        <f>P270*_xlfn.XLOOKUP($L284,'Balizador da Meta'!$B$4:$B$21,'Balizador da Meta'!$C$4:$C$21)</f>
        <v>0</v>
      </c>
      <c r="Q284" s="28">
        <f>Q270*_xlfn.XLOOKUP($L284,'Balizador da Meta'!$B$4:$B$21,'Balizador da Meta'!$C$4:$C$21)</f>
        <v>0</v>
      </c>
      <c r="R284" s="28">
        <f>R270*_xlfn.XLOOKUP($L284,'Balizador da Meta'!$B$4:$B$21,'Balizador da Meta'!$C$4:$C$21)</f>
        <v>0</v>
      </c>
      <c r="S284" s="28">
        <f>S270*_xlfn.XLOOKUP($L284,'Balizador da Meta'!$B$4:$B$21,'Balizador da Meta'!$C$4:$C$21)</f>
        <v>0</v>
      </c>
      <c r="T284" s="28">
        <f>T270*_xlfn.XLOOKUP($L284,'Balizador da Meta'!$B$4:$B$21,'Balizador da Meta'!$C$4:$C$21)</f>
        <v>0</v>
      </c>
      <c r="U284" s="28">
        <f>U270*_xlfn.XLOOKUP($L284,'Balizador da Meta'!$B$4:$B$21,'Balizador da Meta'!$C$4:$C$21)</f>
        <v>0</v>
      </c>
      <c r="V284" s="28">
        <f>V270*_xlfn.XLOOKUP($L284,'Balizador da Meta'!$B$4:$B$21,'Balizador da Meta'!$C$4:$C$21)</f>
        <v>0</v>
      </c>
      <c r="W284" s="28">
        <f>W270*_xlfn.XLOOKUP($L284,'Balizador da Meta'!$B$4:$B$21,'Balizador da Meta'!$C$4:$C$21)</f>
        <v>0</v>
      </c>
      <c r="X284" s="28">
        <f>X270*_xlfn.XLOOKUP($L284,'Balizador da Meta'!$B$4:$B$21,'Balizador da Meta'!$C$4:$C$21)</f>
        <v>0</v>
      </c>
      <c r="Y284" s="28">
        <f>Y270*_xlfn.XLOOKUP($L284,'Balizador da Meta'!$B$4:$B$21,'Balizador da Meta'!$C$4:$C$21)</f>
        <v>0</v>
      </c>
      <c r="Z284" s="30">
        <f t="shared" si="69"/>
        <v>0</v>
      </c>
      <c r="AA284" s="29"/>
      <c r="AB284" s="31">
        <f>SUMIFS('Historico - FAT'!AK:AK,'Historico - FAT'!$K:$K,Faturamento!$L284,'Historico - FAT'!$I:$I,Faturamento!$J284,'Historico - FAT'!$G:$G,Faturamento!$H284)</f>
        <v>0</v>
      </c>
      <c r="AC284" s="31">
        <f>SUMIFS('Historico - FAT'!AL:AL,'Historico - FAT'!$K:$K,Faturamento!$L284,'Historico - FAT'!$I:$I,Faturamento!$J284,'Historico - FAT'!$G:$G,Faturamento!$H284)</f>
        <v>0</v>
      </c>
      <c r="AD284" s="31">
        <f>SUMIFS('Historico - FAT'!AM:AM,'Historico - FAT'!$K:$K,Faturamento!$L284,'Historico - FAT'!$I:$I,Faturamento!$J284,'Historico - FAT'!$G:$G,Faturamento!$H284)</f>
        <v>0</v>
      </c>
      <c r="AE284" s="27">
        <f>SUMIFS('Historico - FAT'!AN:AN,'Historico - FAT'!$K:$K,Faturamento!$L284,'Historico - FAT'!$I:$I,Faturamento!$J284,'Historico - FAT'!$G:$G,Faturamento!$H284)</f>
        <v>0</v>
      </c>
      <c r="AG284" s="24" t="str">
        <f t="shared" si="60"/>
        <v/>
      </c>
      <c r="AH284" s="24" t="str">
        <f t="shared" si="61"/>
        <v/>
      </c>
      <c r="AI284" s="24" t="str">
        <f t="shared" si="62"/>
        <v/>
      </c>
    </row>
    <row r="285" spans="1:35" hidden="1" x14ac:dyDescent="0.3">
      <c r="A285" s="2" t="str">
        <f t="shared" si="59"/>
        <v>NÃO</v>
      </c>
      <c r="B285" s="2">
        <v>1000184670</v>
      </c>
      <c r="C285" s="2" t="s">
        <v>147</v>
      </c>
      <c r="D285" s="4">
        <v>1000186197</v>
      </c>
      <c r="E285" s="4" t="s">
        <v>166</v>
      </c>
      <c r="F285" s="2">
        <v>1000184760</v>
      </c>
      <c r="G285" s="2" t="s">
        <v>60</v>
      </c>
      <c r="H285" s="4">
        <v>1000189796</v>
      </c>
      <c r="I285" s="4" t="s">
        <v>61</v>
      </c>
      <c r="J285" s="2">
        <v>1000189762</v>
      </c>
      <c r="K285" s="2" t="s">
        <v>158</v>
      </c>
      <c r="L285" s="4" t="s">
        <v>28</v>
      </c>
      <c r="M285" s="4" t="str">
        <f t="shared" si="66"/>
        <v>1000184670100018619710001897961000189762SAL</v>
      </c>
      <c r="N285" s="28">
        <f>N270*_xlfn.XLOOKUP($L285,'Balizador da Meta'!$B$4:$B$21,'Balizador da Meta'!$C$4:$C$21)</f>
        <v>0</v>
      </c>
      <c r="O285" s="28">
        <f>O270*_xlfn.XLOOKUP($L285,'Balizador da Meta'!$B$4:$B$21,'Balizador da Meta'!$C$4:$C$21)</f>
        <v>0</v>
      </c>
      <c r="P285" s="28">
        <f>P270*_xlfn.XLOOKUP($L285,'Balizador da Meta'!$B$4:$B$21,'Balizador da Meta'!$C$4:$C$21)</f>
        <v>0</v>
      </c>
      <c r="Q285" s="28">
        <f>Q270*_xlfn.XLOOKUP($L285,'Balizador da Meta'!$B$4:$B$21,'Balizador da Meta'!$C$4:$C$21)</f>
        <v>0</v>
      </c>
      <c r="R285" s="28">
        <f>R270*_xlfn.XLOOKUP($L285,'Balizador da Meta'!$B$4:$B$21,'Balizador da Meta'!$C$4:$C$21)</f>
        <v>0</v>
      </c>
      <c r="S285" s="28">
        <f>S270*_xlfn.XLOOKUP($L285,'Balizador da Meta'!$B$4:$B$21,'Balizador da Meta'!$C$4:$C$21)</f>
        <v>0</v>
      </c>
      <c r="T285" s="28">
        <f>T270*_xlfn.XLOOKUP($L285,'Balizador da Meta'!$B$4:$B$21,'Balizador da Meta'!$C$4:$C$21)</f>
        <v>0</v>
      </c>
      <c r="U285" s="28">
        <f>U270*_xlfn.XLOOKUP($L285,'Balizador da Meta'!$B$4:$B$21,'Balizador da Meta'!$C$4:$C$21)</f>
        <v>0</v>
      </c>
      <c r="V285" s="28">
        <f>V270*_xlfn.XLOOKUP($L285,'Balizador da Meta'!$B$4:$B$21,'Balizador da Meta'!$C$4:$C$21)</f>
        <v>0</v>
      </c>
      <c r="W285" s="28">
        <f>W270*_xlfn.XLOOKUP($L285,'Balizador da Meta'!$B$4:$B$21,'Balizador da Meta'!$C$4:$C$21)</f>
        <v>0</v>
      </c>
      <c r="X285" s="28">
        <f>X270*_xlfn.XLOOKUP($L285,'Balizador da Meta'!$B$4:$B$21,'Balizador da Meta'!$C$4:$C$21)</f>
        <v>0</v>
      </c>
      <c r="Y285" s="28">
        <f>Y270*_xlfn.XLOOKUP($L285,'Balizador da Meta'!$B$4:$B$21,'Balizador da Meta'!$C$4:$C$21)</f>
        <v>0</v>
      </c>
      <c r="Z285" s="30">
        <f t="shared" si="69"/>
        <v>0</v>
      </c>
      <c r="AA285" s="29"/>
      <c r="AB285" s="31">
        <f>SUMIFS('Historico - FAT'!AK:AK,'Historico - FAT'!$K:$K,Faturamento!$L285,'Historico - FAT'!$I:$I,Faturamento!$J285,'Historico - FAT'!$G:$G,Faturamento!$H285)</f>
        <v>0</v>
      </c>
      <c r="AC285" s="31">
        <f>SUMIFS('Historico - FAT'!AL:AL,'Historico - FAT'!$K:$K,Faturamento!$L285,'Historico - FAT'!$I:$I,Faturamento!$J285,'Historico - FAT'!$G:$G,Faturamento!$H285)</f>
        <v>0</v>
      </c>
      <c r="AD285" s="31">
        <f>SUMIFS('Historico - FAT'!AM:AM,'Historico - FAT'!$K:$K,Faturamento!$L285,'Historico - FAT'!$I:$I,Faturamento!$J285,'Historico - FAT'!$G:$G,Faturamento!$H285)</f>
        <v>0</v>
      </c>
      <c r="AE285" s="27">
        <f>SUMIFS('Historico - FAT'!AN:AN,'Historico - FAT'!$K:$K,Faturamento!$L285,'Historico - FAT'!$I:$I,Faturamento!$J285,'Historico - FAT'!$G:$G,Faturamento!$H285)</f>
        <v>0</v>
      </c>
      <c r="AG285" s="24" t="str">
        <f t="shared" si="60"/>
        <v/>
      </c>
      <c r="AH285" s="24" t="str">
        <f t="shared" si="61"/>
        <v/>
      </c>
      <c r="AI285" s="24" t="str">
        <f t="shared" si="62"/>
        <v/>
      </c>
    </row>
    <row r="286" spans="1:35" hidden="1" x14ac:dyDescent="0.3">
      <c r="A286" s="2" t="str">
        <f t="shared" si="59"/>
        <v>NÃO</v>
      </c>
      <c r="B286" s="2">
        <v>1000184670</v>
      </c>
      <c r="C286" s="2" t="s">
        <v>147</v>
      </c>
      <c r="D286" s="4">
        <v>1000186197</v>
      </c>
      <c r="E286" s="4" t="s">
        <v>166</v>
      </c>
      <c r="F286" s="2">
        <v>1000184760</v>
      </c>
      <c r="G286" s="2" t="s">
        <v>60</v>
      </c>
      <c r="H286" s="4">
        <v>1000189796</v>
      </c>
      <c r="I286" s="4" t="s">
        <v>61</v>
      </c>
      <c r="J286" s="2">
        <v>1000189762</v>
      </c>
      <c r="K286" s="2" t="s">
        <v>158</v>
      </c>
      <c r="L286" s="4" t="s">
        <v>26</v>
      </c>
      <c r="M286" s="4" t="str">
        <f t="shared" si="66"/>
        <v>1000184670100018619710001897961000189762SOULPRO</v>
      </c>
      <c r="N286" s="28">
        <f>N270*_xlfn.XLOOKUP($L286,'Balizador da Meta'!$B$4:$B$21,'Balizador da Meta'!$C$4:$C$21)</f>
        <v>0</v>
      </c>
      <c r="O286" s="28">
        <f>O270*_xlfn.XLOOKUP($L286,'Balizador da Meta'!$B$4:$B$21,'Balizador da Meta'!$C$4:$C$21)</f>
        <v>0</v>
      </c>
      <c r="P286" s="28">
        <f>P270*_xlfn.XLOOKUP($L286,'Balizador da Meta'!$B$4:$B$21,'Balizador da Meta'!$C$4:$C$21)</f>
        <v>0</v>
      </c>
      <c r="Q286" s="28">
        <f>Q270*_xlfn.XLOOKUP($L286,'Balizador da Meta'!$B$4:$B$21,'Balizador da Meta'!$C$4:$C$21)</f>
        <v>0</v>
      </c>
      <c r="R286" s="28">
        <f>R270*_xlfn.XLOOKUP($L286,'Balizador da Meta'!$B$4:$B$21,'Balizador da Meta'!$C$4:$C$21)</f>
        <v>0</v>
      </c>
      <c r="S286" s="28">
        <f>S270*_xlfn.XLOOKUP($L286,'Balizador da Meta'!$B$4:$B$21,'Balizador da Meta'!$C$4:$C$21)</f>
        <v>0</v>
      </c>
      <c r="T286" s="28">
        <f>T270*_xlfn.XLOOKUP($L286,'Balizador da Meta'!$B$4:$B$21,'Balizador da Meta'!$C$4:$C$21)</f>
        <v>0</v>
      </c>
      <c r="U286" s="28">
        <f>U270*_xlfn.XLOOKUP($L286,'Balizador da Meta'!$B$4:$B$21,'Balizador da Meta'!$C$4:$C$21)</f>
        <v>0</v>
      </c>
      <c r="V286" s="28">
        <f>V270*_xlfn.XLOOKUP($L286,'Balizador da Meta'!$B$4:$B$21,'Balizador da Meta'!$C$4:$C$21)</f>
        <v>0</v>
      </c>
      <c r="W286" s="28">
        <f>W270*_xlfn.XLOOKUP($L286,'Balizador da Meta'!$B$4:$B$21,'Balizador da Meta'!$C$4:$C$21)</f>
        <v>0</v>
      </c>
      <c r="X286" s="28">
        <f>X270*_xlfn.XLOOKUP($L286,'Balizador da Meta'!$B$4:$B$21,'Balizador da Meta'!$C$4:$C$21)</f>
        <v>0</v>
      </c>
      <c r="Y286" s="28">
        <f>Y270*_xlfn.XLOOKUP($L286,'Balizador da Meta'!$B$4:$B$21,'Balizador da Meta'!$C$4:$C$21)</f>
        <v>0</v>
      </c>
      <c r="Z286" s="30">
        <f t="shared" si="69"/>
        <v>0</v>
      </c>
      <c r="AA286" s="29"/>
      <c r="AB286" s="31">
        <f>SUMIFS('Historico - FAT'!AK:AK,'Historico - FAT'!$K:$K,Faturamento!$L286,'Historico - FAT'!$I:$I,Faturamento!$J286,'Historico - FAT'!$G:$G,Faturamento!$H286)</f>
        <v>0</v>
      </c>
      <c r="AC286" s="31">
        <f>SUMIFS('Historico - FAT'!AL:AL,'Historico - FAT'!$K:$K,Faturamento!$L286,'Historico - FAT'!$I:$I,Faturamento!$J286,'Historico - FAT'!$G:$G,Faturamento!$H286)</f>
        <v>0</v>
      </c>
      <c r="AD286" s="31">
        <f>SUMIFS('Historico - FAT'!AM:AM,'Historico - FAT'!$K:$K,Faturamento!$L286,'Historico - FAT'!$I:$I,Faturamento!$J286,'Historico - FAT'!$G:$G,Faturamento!$H286)</f>
        <v>0</v>
      </c>
      <c r="AE286" s="27">
        <f>SUMIFS('Historico - FAT'!AN:AN,'Historico - FAT'!$K:$K,Faturamento!$L286,'Historico - FAT'!$I:$I,Faturamento!$J286,'Historico - FAT'!$G:$G,Faturamento!$H286)</f>
        <v>0</v>
      </c>
      <c r="AG286" s="24" t="str">
        <f t="shared" si="60"/>
        <v/>
      </c>
      <c r="AH286" s="24" t="str">
        <f t="shared" si="61"/>
        <v/>
      </c>
      <c r="AI286" s="24" t="str">
        <f t="shared" si="62"/>
        <v/>
      </c>
    </row>
    <row r="287" spans="1:35" hidden="1" x14ac:dyDescent="0.3">
      <c r="A287" s="2" t="str">
        <f t="shared" si="59"/>
        <v>NÃO</v>
      </c>
      <c r="B287" s="2">
        <v>1000184670</v>
      </c>
      <c r="C287" s="2" t="s">
        <v>147</v>
      </c>
      <c r="D287" s="4">
        <v>1000186197</v>
      </c>
      <c r="E287" s="4" t="s">
        <v>166</v>
      </c>
      <c r="F287" s="2">
        <v>1000184760</v>
      </c>
      <c r="G287" s="2" t="s">
        <v>60</v>
      </c>
      <c r="H287" s="4">
        <v>1000189796</v>
      </c>
      <c r="I287" s="4" t="s">
        <v>61</v>
      </c>
      <c r="J287" s="2">
        <v>1000189762</v>
      </c>
      <c r="K287" s="2" t="s">
        <v>158</v>
      </c>
      <c r="L287" s="4" t="s">
        <v>27</v>
      </c>
      <c r="M287" s="4" t="str">
        <f t="shared" si="66"/>
        <v>1000184670100018619710001897961000189762TAMARA</v>
      </c>
      <c r="N287" s="28">
        <f>N270*_xlfn.XLOOKUP($L287,'Balizador da Meta'!$B$4:$B$21,'Balizador da Meta'!$C$4:$C$21)</f>
        <v>0</v>
      </c>
      <c r="O287" s="28">
        <f>O270*_xlfn.XLOOKUP($L287,'Balizador da Meta'!$B$4:$B$21,'Balizador da Meta'!$C$4:$C$21)</f>
        <v>0</v>
      </c>
      <c r="P287" s="28">
        <f>P270*_xlfn.XLOOKUP($L287,'Balizador da Meta'!$B$4:$B$21,'Balizador da Meta'!$C$4:$C$21)</f>
        <v>0</v>
      </c>
      <c r="Q287" s="28">
        <f>Q270*_xlfn.XLOOKUP($L287,'Balizador da Meta'!$B$4:$B$21,'Balizador da Meta'!$C$4:$C$21)</f>
        <v>0</v>
      </c>
      <c r="R287" s="28">
        <f>R270*_xlfn.XLOOKUP($L287,'Balizador da Meta'!$B$4:$B$21,'Balizador da Meta'!$C$4:$C$21)</f>
        <v>0</v>
      </c>
      <c r="S287" s="28">
        <f>S270*_xlfn.XLOOKUP($L287,'Balizador da Meta'!$B$4:$B$21,'Balizador da Meta'!$C$4:$C$21)</f>
        <v>0</v>
      </c>
      <c r="T287" s="28">
        <f>T270*_xlfn.XLOOKUP($L287,'Balizador da Meta'!$B$4:$B$21,'Balizador da Meta'!$C$4:$C$21)</f>
        <v>0</v>
      </c>
      <c r="U287" s="28">
        <f>U270*_xlfn.XLOOKUP($L287,'Balizador da Meta'!$B$4:$B$21,'Balizador da Meta'!$C$4:$C$21)</f>
        <v>0</v>
      </c>
      <c r="V287" s="28">
        <f>V270*_xlfn.XLOOKUP($L287,'Balizador da Meta'!$B$4:$B$21,'Balizador da Meta'!$C$4:$C$21)</f>
        <v>0</v>
      </c>
      <c r="W287" s="28">
        <f>W270*_xlfn.XLOOKUP($L287,'Balizador da Meta'!$B$4:$B$21,'Balizador da Meta'!$C$4:$C$21)</f>
        <v>0</v>
      </c>
      <c r="X287" s="28">
        <f>X270*_xlfn.XLOOKUP($L287,'Balizador da Meta'!$B$4:$B$21,'Balizador da Meta'!$C$4:$C$21)</f>
        <v>0</v>
      </c>
      <c r="Y287" s="28">
        <f>Y270*_xlfn.XLOOKUP($L287,'Balizador da Meta'!$B$4:$B$21,'Balizador da Meta'!$C$4:$C$21)</f>
        <v>0</v>
      </c>
      <c r="Z287" s="30">
        <f t="shared" si="69"/>
        <v>0</v>
      </c>
      <c r="AA287" s="29"/>
      <c r="AB287" s="31">
        <f>SUMIFS('Historico - FAT'!AK:AK,'Historico - FAT'!$K:$K,Faturamento!$L287,'Historico - FAT'!$I:$I,Faturamento!$J287,'Historico - FAT'!$G:$G,Faturamento!$H287)</f>
        <v>0</v>
      </c>
      <c r="AC287" s="31">
        <f>SUMIFS('Historico - FAT'!AL:AL,'Historico - FAT'!$K:$K,Faturamento!$L287,'Historico - FAT'!$I:$I,Faturamento!$J287,'Historico - FAT'!$G:$G,Faturamento!$H287)</f>
        <v>0</v>
      </c>
      <c r="AD287" s="31">
        <f>SUMIFS('Historico - FAT'!AM:AM,'Historico - FAT'!$K:$K,Faturamento!$L287,'Historico - FAT'!$I:$I,Faturamento!$J287,'Historico - FAT'!$G:$G,Faturamento!$H287)</f>
        <v>0</v>
      </c>
      <c r="AE287" s="27">
        <f>SUMIFS('Historico - FAT'!AN:AN,'Historico - FAT'!$K:$K,Faturamento!$L287,'Historico - FAT'!$I:$I,Faturamento!$J287,'Historico - FAT'!$G:$G,Faturamento!$H287)</f>
        <v>0</v>
      </c>
      <c r="AG287" s="24" t="str">
        <f t="shared" si="60"/>
        <v/>
      </c>
      <c r="AH287" s="24" t="str">
        <f t="shared" si="61"/>
        <v/>
      </c>
      <c r="AI287" s="24" t="str">
        <f t="shared" si="62"/>
        <v/>
      </c>
    </row>
    <row r="288" spans="1:35" hidden="1" x14ac:dyDescent="0.3">
      <c r="A288" s="2" t="str">
        <f t="shared" si="59"/>
        <v>NÃO</v>
      </c>
      <c r="B288" s="2">
        <v>1000184670</v>
      </c>
      <c r="C288" s="2" t="s">
        <v>147</v>
      </c>
      <c r="D288" s="4">
        <v>1000186197</v>
      </c>
      <c r="E288" s="4" t="s">
        <v>166</v>
      </c>
      <c r="F288" s="2">
        <v>1000184760</v>
      </c>
      <c r="G288" s="2" t="s">
        <v>60</v>
      </c>
      <c r="H288" s="4">
        <v>1000189796</v>
      </c>
      <c r="I288" s="4" t="s">
        <v>61</v>
      </c>
      <c r="J288" s="2">
        <v>1000189762</v>
      </c>
      <c r="K288" s="2" t="s">
        <v>158</v>
      </c>
      <c r="L288" s="4" t="s">
        <v>25</v>
      </c>
      <c r="M288" s="4" t="str">
        <f t="shared" si="66"/>
        <v>1000184670100018619710001897961000189762VICCIO</v>
      </c>
      <c r="N288" s="28">
        <f>N270*_xlfn.XLOOKUP($L288,'Balizador da Meta'!$B$4:$B$21,'Balizador da Meta'!$C$4:$C$21)</f>
        <v>0</v>
      </c>
      <c r="O288" s="28">
        <f>O270*_xlfn.XLOOKUP($L288,'Balizador da Meta'!$B$4:$B$21,'Balizador da Meta'!$C$4:$C$21)</f>
        <v>0</v>
      </c>
      <c r="P288" s="28">
        <f>P270*_xlfn.XLOOKUP($L288,'Balizador da Meta'!$B$4:$B$21,'Balizador da Meta'!$C$4:$C$21)</f>
        <v>0</v>
      </c>
      <c r="Q288" s="28">
        <f>Q270*_xlfn.XLOOKUP($L288,'Balizador da Meta'!$B$4:$B$21,'Balizador da Meta'!$C$4:$C$21)</f>
        <v>0</v>
      </c>
      <c r="R288" s="28">
        <f>R270*_xlfn.XLOOKUP($L288,'Balizador da Meta'!$B$4:$B$21,'Balizador da Meta'!$C$4:$C$21)</f>
        <v>0</v>
      </c>
      <c r="S288" s="28">
        <f>S270*_xlfn.XLOOKUP($L288,'Balizador da Meta'!$B$4:$B$21,'Balizador da Meta'!$C$4:$C$21)</f>
        <v>0</v>
      </c>
      <c r="T288" s="28">
        <f>T270*_xlfn.XLOOKUP($L288,'Balizador da Meta'!$B$4:$B$21,'Balizador da Meta'!$C$4:$C$21)</f>
        <v>0</v>
      </c>
      <c r="U288" s="28">
        <f>U270*_xlfn.XLOOKUP($L288,'Balizador da Meta'!$B$4:$B$21,'Balizador da Meta'!$C$4:$C$21)</f>
        <v>0</v>
      </c>
      <c r="V288" s="28">
        <f>V270*_xlfn.XLOOKUP($L288,'Balizador da Meta'!$B$4:$B$21,'Balizador da Meta'!$C$4:$C$21)</f>
        <v>0</v>
      </c>
      <c r="W288" s="28">
        <f>W270*_xlfn.XLOOKUP($L288,'Balizador da Meta'!$B$4:$B$21,'Balizador da Meta'!$C$4:$C$21)</f>
        <v>0</v>
      </c>
      <c r="X288" s="28">
        <f>X270*_xlfn.XLOOKUP($L288,'Balizador da Meta'!$B$4:$B$21,'Balizador da Meta'!$C$4:$C$21)</f>
        <v>0</v>
      </c>
      <c r="Y288" s="28">
        <f>Y270*_xlfn.XLOOKUP($L288,'Balizador da Meta'!$B$4:$B$21,'Balizador da Meta'!$C$4:$C$21)</f>
        <v>0</v>
      </c>
      <c r="Z288" s="30">
        <f t="shared" si="69"/>
        <v>0</v>
      </c>
      <c r="AA288" s="29"/>
      <c r="AB288" s="31">
        <f>SUMIFS('Historico - FAT'!AK:AK,'Historico - FAT'!$K:$K,Faturamento!$L288,'Historico - FAT'!$I:$I,Faturamento!$J288,'Historico - FAT'!$G:$G,Faturamento!$H288)</f>
        <v>0</v>
      </c>
      <c r="AC288" s="31">
        <f>SUMIFS('Historico - FAT'!AL:AL,'Historico - FAT'!$K:$K,Faturamento!$L288,'Historico - FAT'!$I:$I,Faturamento!$J288,'Historico - FAT'!$G:$G,Faturamento!$H288)</f>
        <v>0</v>
      </c>
      <c r="AD288" s="31">
        <f>SUMIFS('Historico - FAT'!AM:AM,'Historico - FAT'!$K:$K,Faturamento!$L288,'Historico - FAT'!$I:$I,Faturamento!$J288,'Historico - FAT'!$G:$G,Faturamento!$H288)</f>
        <v>0</v>
      </c>
      <c r="AE288" s="27">
        <f>SUMIFS('Historico - FAT'!AN:AN,'Historico - FAT'!$K:$K,Faturamento!$L288,'Historico - FAT'!$I:$I,Faturamento!$J288,'Historico - FAT'!$G:$G,Faturamento!$H288)</f>
        <v>0</v>
      </c>
      <c r="AG288" s="24" t="str">
        <f t="shared" si="60"/>
        <v/>
      </c>
      <c r="AH288" s="24" t="str">
        <f t="shared" si="61"/>
        <v/>
      </c>
      <c r="AI288" s="24" t="str">
        <f t="shared" si="62"/>
        <v/>
      </c>
    </row>
    <row r="289" spans="1:35" x14ac:dyDescent="0.3">
      <c r="A289" s="2" t="str">
        <f t="shared" si="59"/>
        <v>SIM</v>
      </c>
      <c r="B289" s="2">
        <v>1000184670</v>
      </c>
      <c r="C289" s="2" t="s">
        <v>147</v>
      </c>
      <c r="D289" s="4">
        <v>1000186197</v>
      </c>
      <c r="E289" s="4" t="s">
        <v>166</v>
      </c>
      <c r="F289" s="2">
        <v>1000184758</v>
      </c>
      <c r="G289" s="2" t="s">
        <v>55</v>
      </c>
      <c r="H289" s="4">
        <v>1000189786</v>
      </c>
      <c r="I289" s="4" t="s">
        <v>104</v>
      </c>
      <c r="J289" s="2">
        <v>1000195872</v>
      </c>
      <c r="K289" s="2" t="s">
        <v>161</v>
      </c>
      <c r="L289" s="4" t="s">
        <v>124</v>
      </c>
      <c r="M289" s="4" t="str">
        <f t="shared" si="66"/>
        <v>100018467010001861971000189786100019587201. TOTAL</v>
      </c>
      <c r="N289" s="28">
        <f>SUMIFS(Positivação!L:L,Positivação!$I:$I,Faturamento!$J289,Positivação!$G:$G,Faturamento!$H289)*SUMIFS(Positivação!$Z:$Z,Positivação!$I:$I,Faturamento!$J289,Positivação!$G:$G,Faturamento!$H289)</f>
        <v>0</v>
      </c>
      <c r="O289" s="28">
        <f>SUMIFS(Positivação!M:M,Positivação!$I:$I,Faturamento!$J289,Positivação!$G:$G,Faturamento!$H289)*SUMIFS(Positivação!$Z:$Z,Positivação!$I:$I,Faturamento!$J289,Positivação!$G:$G,Faturamento!$H289)</f>
        <v>0</v>
      </c>
      <c r="P289" s="28">
        <f>SUMIFS(Positivação!N:N,Positivação!$I:$I,Faturamento!$J289,Positivação!$G:$G,Faturamento!$H289)*SUMIFS(Positivação!$Z:$Z,Positivação!$I:$I,Faturamento!$J289,Positivação!$G:$G,Faturamento!$H289)</f>
        <v>0</v>
      </c>
      <c r="Q289" s="28">
        <f>SUMIFS(Positivação!O:O,Positivação!$I:$I,Faturamento!$J289,Positivação!$G:$G,Faturamento!$H289)*SUMIFS(Positivação!$Z:$Z,Positivação!$I:$I,Faturamento!$J289,Positivação!$G:$G,Faturamento!$H289)</f>
        <v>0</v>
      </c>
      <c r="R289" s="28">
        <f>SUMIFS(Positivação!P:P,Positivação!$I:$I,Faturamento!$J289,Positivação!$G:$G,Faturamento!$H289)*SUMIFS(Positivação!$Z:$Z,Positivação!$I:$I,Faturamento!$J289,Positivação!$G:$G,Faturamento!$H289)</f>
        <v>0</v>
      </c>
      <c r="S289" s="28">
        <f>SUMIFS(Positivação!Q:Q,Positivação!$I:$I,Faturamento!$J289,Positivação!$G:$G,Faturamento!$H289)*SUMIFS(Positivação!$Z:$Z,Positivação!$I:$I,Faturamento!$J289,Positivação!$G:$G,Faturamento!$H289)</f>
        <v>0</v>
      </c>
      <c r="T289" s="28">
        <f>SUMIFS(Positivação!R:R,Positivação!$I:$I,Faturamento!$J289,Positivação!$G:$G,Faturamento!$H289)*SUMIFS(Positivação!$Z:$Z,Positivação!$I:$I,Faturamento!$J289,Positivação!$G:$G,Faturamento!$H289)</f>
        <v>0</v>
      </c>
      <c r="U289" s="28">
        <f>SUMIFS(Positivação!S:S,Positivação!$I:$I,Faturamento!$J289,Positivação!$G:$G,Faturamento!$H289)*SUMIFS(Positivação!$Z:$Z,Positivação!$I:$I,Faturamento!$J289,Positivação!$G:$G,Faturamento!$H289)</f>
        <v>0</v>
      </c>
      <c r="V289" s="28">
        <f>SUMIFS(Positivação!T:T,Positivação!$I:$I,Faturamento!$J289,Positivação!$G:$G,Faturamento!$H289)*SUMIFS(Positivação!$Z:$Z,Positivação!$I:$I,Faturamento!$J289,Positivação!$G:$G,Faturamento!$H289)</f>
        <v>0</v>
      </c>
      <c r="W289" s="28">
        <f>SUMIFS(Positivação!U:U,Positivação!$I:$I,Faturamento!$J289,Positivação!$G:$G,Faturamento!$H289)*SUMIFS(Positivação!$Z:$Z,Positivação!$I:$I,Faturamento!$J289,Positivação!$G:$G,Faturamento!$H289)</f>
        <v>0</v>
      </c>
      <c r="X289" s="28">
        <f>SUMIFS(Positivação!V:V,Positivação!$I:$I,Faturamento!$J289,Positivação!$G:$G,Faturamento!$H289)*SUMIFS(Positivação!$Z:$Z,Positivação!$I:$I,Faturamento!$J289,Positivação!$G:$G,Faturamento!$H289)</f>
        <v>0</v>
      </c>
      <c r="Y289" s="28">
        <f>SUMIFS(Positivação!W:W,Positivação!$I:$I,Faturamento!$J289,Positivação!$G:$G,Faturamento!$H289)*SUMIFS(Positivação!$Z:$Z,Positivação!$I:$I,Faturamento!$J289,Positivação!$G:$G,Faturamento!$H289)</f>
        <v>0</v>
      </c>
      <c r="Z289" s="28">
        <f t="shared" ref="Z289" si="70">SUM(Z290:Z307)</f>
        <v>0</v>
      </c>
      <c r="AA289" s="29"/>
      <c r="AB289" s="28">
        <f t="shared" ref="AB289:AE289" si="71">SUM(AB290:AB307)</f>
        <v>0</v>
      </c>
      <c r="AC289" s="28">
        <f t="shared" si="71"/>
        <v>47.315833333333337</v>
      </c>
      <c r="AD289" s="28">
        <f t="shared" si="71"/>
        <v>0</v>
      </c>
      <c r="AE289" s="28">
        <f t="shared" si="71"/>
        <v>56.779000000000003</v>
      </c>
      <c r="AG289" s="24" t="str">
        <f t="shared" si="60"/>
        <v/>
      </c>
      <c r="AH289" s="24" t="str">
        <f t="shared" si="61"/>
        <v/>
      </c>
      <c r="AI289" s="24" t="str">
        <f t="shared" si="62"/>
        <v/>
      </c>
    </row>
    <row r="290" spans="1:35" hidden="1" x14ac:dyDescent="0.3">
      <c r="A290" s="2" t="str">
        <f t="shared" si="59"/>
        <v>NÃO</v>
      </c>
      <c r="B290" s="2">
        <v>1000184670</v>
      </c>
      <c r="C290" s="2" t="s">
        <v>147</v>
      </c>
      <c r="D290" s="4">
        <v>1000186197</v>
      </c>
      <c r="E290" s="4" t="s">
        <v>166</v>
      </c>
      <c r="F290" s="2">
        <v>1000184758</v>
      </c>
      <c r="G290" s="2" t="s">
        <v>55</v>
      </c>
      <c r="H290" s="4">
        <v>1000189786</v>
      </c>
      <c r="I290" s="4" t="s">
        <v>104</v>
      </c>
      <c r="J290" s="2">
        <v>1000195872</v>
      </c>
      <c r="K290" s="2" t="s">
        <v>161</v>
      </c>
      <c r="L290" s="4" t="s">
        <v>13</v>
      </c>
      <c r="M290" s="4" t="str">
        <f t="shared" si="66"/>
        <v>1000184670100018619710001897861000195872BISCOITO</v>
      </c>
      <c r="N290" s="28">
        <f>N289*_xlfn.XLOOKUP($L290,'Balizador da Meta'!$B$4:$B$21,'Balizador da Meta'!$C$4:$C$21)</f>
        <v>0</v>
      </c>
      <c r="O290" s="28">
        <f>O289*_xlfn.XLOOKUP($L290,'Balizador da Meta'!$B$4:$B$21,'Balizador da Meta'!$C$4:$C$21)</f>
        <v>0</v>
      </c>
      <c r="P290" s="28">
        <f>P289*_xlfn.XLOOKUP($L290,'Balizador da Meta'!$B$4:$B$21,'Balizador da Meta'!$C$4:$C$21)</f>
        <v>0</v>
      </c>
      <c r="Q290" s="28">
        <f>Q289*_xlfn.XLOOKUP($L290,'Balizador da Meta'!$B$4:$B$21,'Balizador da Meta'!$C$4:$C$21)</f>
        <v>0</v>
      </c>
      <c r="R290" s="28">
        <f>R289*_xlfn.XLOOKUP($L290,'Balizador da Meta'!$B$4:$B$21,'Balizador da Meta'!$C$4:$C$21)</f>
        <v>0</v>
      </c>
      <c r="S290" s="28">
        <f>S289*_xlfn.XLOOKUP($L290,'Balizador da Meta'!$B$4:$B$21,'Balizador da Meta'!$C$4:$C$21)</f>
        <v>0</v>
      </c>
      <c r="T290" s="28">
        <f>T289*_xlfn.XLOOKUP($L290,'Balizador da Meta'!$B$4:$B$21,'Balizador da Meta'!$C$4:$C$21)</f>
        <v>0</v>
      </c>
      <c r="U290" s="28">
        <f>U289*_xlfn.XLOOKUP($L290,'Balizador da Meta'!$B$4:$B$21,'Balizador da Meta'!$C$4:$C$21)</f>
        <v>0</v>
      </c>
      <c r="V290" s="28">
        <f>V289*_xlfn.XLOOKUP($L290,'Balizador da Meta'!$B$4:$B$21,'Balizador da Meta'!$C$4:$C$21)</f>
        <v>0</v>
      </c>
      <c r="W290" s="28">
        <f>W289*_xlfn.XLOOKUP($L290,'Balizador da Meta'!$B$4:$B$21,'Balizador da Meta'!$C$4:$C$21)</f>
        <v>0</v>
      </c>
      <c r="X290" s="28">
        <f>X289*_xlfn.XLOOKUP($L290,'Balizador da Meta'!$B$4:$B$21,'Balizador da Meta'!$C$4:$C$21)</f>
        <v>0</v>
      </c>
      <c r="Y290" s="28">
        <f>Y289*_xlfn.XLOOKUP($L290,'Balizador da Meta'!$B$4:$B$21,'Balizador da Meta'!$C$4:$C$21)</f>
        <v>0</v>
      </c>
      <c r="Z290" s="30">
        <f t="shared" ref="Z290:Z307" si="72">SUM(N290:Y290)</f>
        <v>0</v>
      </c>
      <c r="AA290" s="29"/>
      <c r="AB290" s="31">
        <f>SUMIFS('Historico - FAT'!AK:AK,'Historico - FAT'!$K:$K,Faturamento!$L290,'Historico - FAT'!$I:$I,Faturamento!$J290,'Historico - FAT'!$G:$G,Faturamento!$H290)</f>
        <v>0</v>
      </c>
      <c r="AC290" s="31">
        <f>SUMIFS('Historico - FAT'!AL:AL,'Historico - FAT'!$K:$K,Faturamento!$L290,'Historico - FAT'!$I:$I,Faturamento!$J290,'Historico - FAT'!$G:$G,Faturamento!$H290)</f>
        <v>0</v>
      </c>
      <c r="AD290" s="31">
        <f>SUMIFS('Historico - FAT'!AM:AM,'Historico - FAT'!$K:$K,Faturamento!$L290,'Historico - FAT'!$I:$I,Faturamento!$J290,'Historico - FAT'!$G:$G,Faturamento!$H290)</f>
        <v>0</v>
      </c>
      <c r="AE290" s="27">
        <f>SUMIFS('Historico - FAT'!AN:AN,'Historico - FAT'!$K:$K,Faturamento!$L290,'Historico - FAT'!$I:$I,Faturamento!$J290,'Historico - FAT'!$G:$G,Faturamento!$H290)</f>
        <v>0</v>
      </c>
      <c r="AG290" s="24" t="str">
        <f t="shared" si="60"/>
        <v/>
      </c>
      <c r="AH290" s="24" t="str">
        <f t="shared" si="61"/>
        <v/>
      </c>
      <c r="AI290" s="24" t="str">
        <f t="shared" si="62"/>
        <v/>
      </c>
    </row>
    <row r="291" spans="1:35" hidden="1" x14ac:dyDescent="0.3">
      <c r="A291" s="2" t="str">
        <f t="shared" si="59"/>
        <v>NÃO</v>
      </c>
      <c r="B291" s="2">
        <v>1000184670</v>
      </c>
      <c r="C291" s="2" t="s">
        <v>147</v>
      </c>
      <c r="D291" s="4">
        <v>1000186197</v>
      </c>
      <c r="E291" s="4" t="s">
        <v>166</v>
      </c>
      <c r="F291" s="2">
        <v>1000184758</v>
      </c>
      <c r="G291" s="2" t="s">
        <v>55</v>
      </c>
      <c r="H291" s="4">
        <v>1000189786</v>
      </c>
      <c r="I291" s="4" t="s">
        <v>104</v>
      </c>
      <c r="J291" s="2">
        <v>1000195872</v>
      </c>
      <c r="K291" s="2" t="s">
        <v>161</v>
      </c>
      <c r="L291" s="4" t="s">
        <v>14</v>
      </c>
      <c r="M291" s="4" t="str">
        <f t="shared" si="66"/>
        <v>1000184670100018619710001897861000195872CHOCOLATES</v>
      </c>
      <c r="N291" s="28">
        <f>N289*_xlfn.XLOOKUP($L291,'Balizador da Meta'!$B$4:$B$21,'Balizador da Meta'!$C$4:$C$21)</f>
        <v>0</v>
      </c>
      <c r="O291" s="28">
        <f>O289*_xlfn.XLOOKUP($L291,'Balizador da Meta'!$B$4:$B$21,'Balizador da Meta'!$C$4:$C$21)</f>
        <v>0</v>
      </c>
      <c r="P291" s="28">
        <f>P289*_xlfn.XLOOKUP($L291,'Balizador da Meta'!$B$4:$B$21,'Balizador da Meta'!$C$4:$C$21)</f>
        <v>0</v>
      </c>
      <c r="Q291" s="28">
        <f>Q289*_xlfn.XLOOKUP($L291,'Balizador da Meta'!$B$4:$B$21,'Balizador da Meta'!$C$4:$C$21)</f>
        <v>0</v>
      </c>
      <c r="R291" s="28">
        <f>R289*_xlfn.XLOOKUP($L291,'Balizador da Meta'!$B$4:$B$21,'Balizador da Meta'!$C$4:$C$21)</f>
        <v>0</v>
      </c>
      <c r="S291" s="28">
        <f>S289*_xlfn.XLOOKUP($L291,'Balizador da Meta'!$B$4:$B$21,'Balizador da Meta'!$C$4:$C$21)</f>
        <v>0</v>
      </c>
      <c r="T291" s="28">
        <f>T289*_xlfn.XLOOKUP($L291,'Balizador da Meta'!$B$4:$B$21,'Balizador da Meta'!$C$4:$C$21)</f>
        <v>0</v>
      </c>
      <c r="U291" s="28">
        <f>U289*_xlfn.XLOOKUP($L291,'Balizador da Meta'!$B$4:$B$21,'Balizador da Meta'!$C$4:$C$21)</f>
        <v>0</v>
      </c>
      <c r="V291" s="28">
        <f>V289*_xlfn.XLOOKUP($L291,'Balizador da Meta'!$B$4:$B$21,'Balizador da Meta'!$C$4:$C$21)</f>
        <v>0</v>
      </c>
      <c r="W291" s="28">
        <f>W289*_xlfn.XLOOKUP($L291,'Balizador da Meta'!$B$4:$B$21,'Balizador da Meta'!$C$4:$C$21)</f>
        <v>0</v>
      </c>
      <c r="X291" s="28">
        <f>X289*_xlfn.XLOOKUP($L291,'Balizador da Meta'!$B$4:$B$21,'Balizador da Meta'!$C$4:$C$21)</f>
        <v>0</v>
      </c>
      <c r="Y291" s="28">
        <f>Y289*_xlfn.XLOOKUP($L291,'Balizador da Meta'!$B$4:$B$21,'Balizador da Meta'!$C$4:$C$21)</f>
        <v>0</v>
      </c>
      <c r="Z291" s="30">
        <f t="shared" si="72"/>
        <v>0</v>
      </c>
      <c r="AA291" s="29"/>
      <c r="AB291" s="31">
        <f>SUMIFS('Historico - FAT'!AK:AK,'Historico - FAT'!$K:$K,Faturamento!$L291,'Historico - FAT'!$I:$I,Faturamento!$J291,'Historico - FAT'!$G:$G,Faturamento!$H291)</f>
        <v>0</v>
      </c>
      <c r="AC291" s="31">
        <f>SUMIFS('Historico - FAT'!AL:AL,'Historico - FAT'!$K:$K,Faturamento!$L291,'Historico - FAT'!$I:$I,Faturamento!$J291,'Historico - FAT'!$G:$G,Faturamento!$H291)</f>
        <v>0</v>
      </c>
      <c r="AD291" s="31">
        <f>SUMIFS('Historico - FAT'!AM:AM,'Historico - FAT'!$K:$K,Faturamento!$L291,'Historico - FAT'!$I:$I,Faturamento!$J291,'Historico - FAT'!$G:$G,Faturamento!$H291)</f>
        <v>0</v>
      </c>
      <c r="AE291" s="27">
        <f>SUMIFS('Historico - FAT'!AN:AN,'Historico - FAT'!$K:$K,Faturamento!$L291,'Historico - FAT'!$I:$I,Faturamento!$J291,'Historico - FAT'!$G:$G,Faturamento!$H291)</f>
        <v>0</v>
      </c>
      <c r="AG291" s="24" t="str">
        <f t="shared" si="60"/>
        <v/>
      </c>
      <c r="AH291" s="24" t="str">
        <f t="shared" si="61"/>
        <v/>
      </c>
      <c r="AI291" s="24" t="str">
        <f t="shared" si="62"/>
        <v/>
      </c>
    </row>
    <row r="292" spans="1:35" hidden="1" x14ac:dyDescent="0.3">
      <c r="A292" s="2" t="str">
        <f t="shared" si="59"/>
        <v>NÃO</v>
      </c>
      <c r="B292" s="2">
        <v>1000184670</v>
      </c>
      <c r="C292" s="2" t="s">
        <v>147</v>
      </c>
      <c r="D292" s="4">
        <v>1000186197</v>
      </c>
      <c r="E292" s="4" t="s">
        <v>166</v>
      </c>
      <c r="F292" s="2">
        <v>1000184758</v>
      </c>
      <c r="G292" s="2" t="s">
        <v>55</v>
      </c>
      <c r="H292" s="4">
        <v>1000189786</v>
      </c>
      <c r="I292" s="4" t="s">
        <v>104</v>
      </c>
      <c r="J292" s="2">
        <v>1000195872</v>
      </c>
      <c r="K292" s="2" t="s">
        <v>161</v>
      </c>
      <c r="L292" s="4" t="s">
        <v>16</v>
      </c>
      <c r="M292" s="4" t="str">
        <f t="shared" si="66"/>
        <v>1000184670100018619710001897861000195872DISNEY</v>
      </c>
      <c r="N292" s="28">
        <f>N289*_xlfn.XLOOKUP($L292,'Balizador da Meta'!$B$4:$B$21,'Balizador da Meta'!$C$4:$C$21)</f>
        <v>0</v>
      </c>
      <c r="O292" s="28">
        <f>O289*_xlfn.XLOOKUP($L292,'Balizador da Meta'!$B$4:$B$21,'Balizador da Meta'!$C$4:$C$21)</f>
        <v>0</v>
      </c>
      <c r="P292" s="28">
        <f>P289*_xlfn.XLOOKUP($L292,'Balizador da Meta'!$B$4:$B$21,'Balizador da Meta'!$C$4:$C$21)</f>
        <v>0</v>
      </c>
      <c r="Q292" s="28">
        <f>Q289*_xlfn.XLOOKUP($L292,'Balizador da Meta'!$B$4:$B$21,'Balizador da Meta'!$C$4:$C$21)</f>
        <v>0</v>
      </c>
      <c r="R292" s="28">
        <f>R289*_xlfn.XLOOKUP($L292,'Balizador da Meta'!$B$4:$B$21,'Balizador da Meta'!$C$4:$C$21)</f>
        <v>0</v>
      </c>
      <c r="S292" s="28">
        <f>S289*_xlfn.XLOOKUP($L292,'Balizador da Meta'!$B$4:$B$21,'Balizador da Meta'!$C$4:$C$21)</f>
        <v>0</v>
      </c>
      <c r="T292" s="28">
        <f>T289*_xlfn.XLOOKUP($L292,'Balizador da Meta'!$B$4:$B$21,'Balizador da Meta'!$C$4:$C$21)</f>
        <v>0</v>
      </c>
      <c r="U292" s="28">
        <f>U289*_xlfn.XLOOKUP($L292,'Balizador da Meta'!$B$4:$B$21,'Balizador da Meta'!$C$4:$C$21)</f>
        <v>0</v>
      </c>
      <c r="V292" s="28">
        <f>V289*_xlfn.XLOOKUP($L292,'Balizador da Meta'!$B$4:$B$21,'Balizador da Meta'!$C$4:$C$21)</f>
        <v>0</v>
      </c>
      <c r="W292" s="28">
        <f>W289*_xlfn.XLOOKUP($L292,'Balizador da Meta'!$B$4:$B$21,'Balizador da Meta'!$C$4:$C$21)</f>
        <v>0</v>
      </c>
      <c r="X292" s="28">
        <f>X289*_xlfn.XLOOKUP($L292,'Balizador da Meta'!$B$4:$B$21,'Balizador da Meta'!$C$4:$C$21)</f>
        <v>0</v>
      </c>
      <c r="Y292" s="28">
        <f>Y289*_xlfn.XLOOKUP($L292,'Balizador da Meta'!$B$4:$B$21,'Balizador da Meta'!$C$4:$C$21)</f>
        <v>0</v>
      </c>
      <c r="Z292" s="30">
        <f t="shared" si="72"/>
        <v>0</v>
      </c>
      <c r="AA292" s="29"/>
      <c r="AB292" s="31">
        <f>SUMIFS('Historico - FAT'!AK:AK,'Historico - FAT'!$K:$K,Faturamento!$L292,'Historico - FAT'!$I:$I,Faturamento!$J292,'Historico - FAT'!$G:$G,Faturamento!$H292)</f>
        <v>0</v>
      </c>
      <c r="AC292" s="31">
        <f>SUMIFS('Historico - FAT'!AL:AL,'Historico - FAT'!$K:$K,Faturamento!$L292,'Historico - FAT'!$I:$I,Faturamento!$J292,'Historico - FAT'!$G:$G,Faturamento!$H292)</f>
        <v>0</v>
      </c>
      <c r="AD292" s="31">
        <f>SUMIFS('Historico - FAT'!AM:AM,'Historico - FAT'!$K:$K,Faturamento!$L292,'Historico - FAT'!$I:$I,Faturamento!$J292,'Historico - FAT'!$G:$G,Faturamento!$H292)</f>
        <v>0</v>
      </c>
      <c r="AE292" s="27">
        <f>SUMIFS('Historico - FAT'!AN:AN,'Historico - FAT'!$K:$K,Faturamento!$L292,'Historico - FAT'!$I:$I,Faturamento!$J292,'Historico - FAT'!$G:$G,Faturamento!$H292)</f>
        <v>0</v>
      </c>
      <c r="AG292" s="24" t="str">
        <f t="shared" si="60"/>
        <v/>
      </c>
      <c r="AH292" s="24" t="str">
        <f t="shared" si="61"/>
        <v/>
      </c>
      <c r="AI292" s="24" t="str">
        <f t="shared" si="62"/>
        <v/>
      </c>
    </row>
    <row r="293" spans="1:35" hidden="1" x14ac:dyDescent="0.3">
      <c r="A293" s="2" t="str">
        <f t="shared" si="59"/>
        <v>NÃO</v>
      </c>
      <c r="B293" s="2">
        <v>1000184670</v>
      </c>
      <c r="C293" s="2" t="s">
        <v>147</v>
      </c>
      <c r="D293" s="4">
        <v>1000186197</v>
      </c>
      <c r="E293" s="4" t="s">
        <v>166</v>
      </c>
      <c r="F293" s="2">
        <v>1000184758</v>
      </c>
      <c r="G293" s="2" t="s">
        <v>55</v>
      </c>
      <c r="H293" s="4">
        <v>1000189786</v>
      </c>
      <c r="I293" s="4" t="s">
        <v>104</v>
      </c>
      <c r="J293" s="2">
        <v>1000195872</v>
      </c>
      <c r="K293" s="2" t="s">
        <v>161</v>
      </c>
      <c r="L293" s="4" t="s">
        <v>15</v>
      </c>
      <c r="M293" s="4" t="str">
        <f t="shared" si="66"/>
        <v>1000184670100018619710001897861000195872DOCES</v>
      </c>
      <c r="N293" s="28">
        <f>N289*_xlfn.XLOOKUP($L293,'Balizador da Meta'!$B$4:$B$21,'Balizador da Meta'!$C$4:$C$21)</f>
        <v>0</v>
      </c>
      <c r="O293" s="28">
        <f>O289*_xlfn.XLOOKUP($L293,'Balizador da Meta'!$B$4:$B$21,'Balizador da Meta'!$C$4:$C$21)</f>
        <v>0</v>
      </c>
      <c r="P293" s="28">
        <f>P289*_xlfn.XLOOKUP($L293,'Balizador da Meta'!$B$4:$B$21,'Balizador da Meta'!$C$4:$C$21)</f>
        <v>0</v>
      </c>
      <c r="Q293" s="28">
        <f>Q289*_xlfn.XLOOKUP($L293,'Balizador da Meta'!$B$4:$B$21,'Balizador da Meta'!$C$4:$C$21)</f>
        <v>0</v>
      </c>
      <c r="R293" s="28">
        <f>R289*_xlfn.XLOOKUP($L293,'Balizador da Meta'!$B$4:$B$21,'Balizador da Meta'!$C$4:$C$21)</f>
        <v>0</v>
      </c>
      <c r="S293" s="28">
        <f>S289*_xlfn.XLOOKUP($L293,'Balizador da Meta'!$B$4:$B$21,'Balizador da Meta'!$C$4:$C$21)</f>
        <v>0</v>
      </c>
      <c r="T293" s="28">
        <f>T289*_xlfn.XLOOKUP($L293,'Balizador da Meta'!$B$4:$B$21,'Balizador da Meta'!$C$4:$C$21)</f>
        <v>0</v>
      </c>
      <c r="U293" s="28">
        <f>U289*_xlfn.XLOOKUP($L293,'Balizador da Meta'!$B$4:$B$21,'Balizador da Meta'!$C$4:$C$21)</f>
        <v>0</v>
      </c>
      <c r="V293" s="28">
        <f>V289*_xlfn.XLOOKUP($L293,'Balizador da Meta'!$B$4:$B$21,'Balizador da Meta'!$C$4:$C$21)</f>
        <v>0</v>
      </c>
      <c r="W293" s="28">
        <f>W289*_xlfn.XLOOKUP($L293,'Balizador da Meta'!$B$4:$B$21,'Balizador da Meta'!$C$4:$C$21)</f>
        <v>0</v>
      </c>
      <c r="X293" s="28">
        <f>X289*_xlfn.XLOOKUP($L293,'Balizador da Meta'!$B$4:$B$21,'Balizador da Meta'!$C$4:$C$21)</f>
        <v>0</v>
      </c>
      <c r="Y293" s="28">
        <f>Y289*_xlfn.XLOOKUP($L293,'Balizador da Meta'!$B$4:$B$21,'Balizador da Meta'!$C$4:$C$21)</f>
        <v>0</v>
      </c>
      <c r="Z293" s="30">
        <f t="shared" si="72"/>
        <v>0</v>
      </c>
      <c r="AA293" s="29"/>
      <c r="AB293" s="31">
        <f>SUMIFS('Historico - FAT'!AK:AK,'Historico - FAT'!$K:$K,Faturamento!$L293,'Historico - FAT'!$I:$I,Faturamento!$J293,'Historico - FAT'!$G:$G,Faturamento!$H293)</f>
        <v>0</v>
      </c>
      <c r="AC293" s="31">
        <f>SUMIFS('Historico - FAT'!AL:AL,'Historico - FAT'!$K:$K,Faturamento!$L293,'Historico - FAT'!$I:$I,Faturamento!$J293,'Historico - FAT'!$G:$G,Faturamento!$H293)</f>
        <v>19.0625</v>
      </c>
      <c r="AD293" s="31">
        <f>SUMIFS('Historico - FAT'!AM:AM,'Historico - FAT'!$K:$K,Faturamento!$L293,'Historico - FAT'!$I:$I,Faturamento!$J293,'Historico - FAT'!$G:$G,Faturamento!$H293)</f>
        <v>0</v>
      </c>
      <c r="AE293" s="27">
        <f>SUMIFS('Historico - FAT'!AN:AN,'Historico - FAT'!$K:$K,Faturamento!$L293,'Historico - FAT'!$I:$I,Faturamento!$J293,'Historico - FAT'!$G:$G,Faturamento!$H293)</f>
        <v>22.875</v>
      </c>
      <c r="AG293" s="24" t="str">
        <f t="shared" si="60"/>
        <v/>
      </c>
      <c r="AH293" s="24" t="str">
        <f t="shared" si="61"/>
        <v/>
      </c>
      <c r="AI293" s="24" t="str">
        <f t="shared" si="62"/>
        <v/>
      </c>
    </row>
    <row r="294" spans="1:35" hidden="1" x14ac:dyDescent="0.3">
      <c r="A294" s="2" t="str">
        <f t="shared" si="59"/>
        <v>NÃO</v>
      </c>
      <c r="B294" s="2">
        <v>1000184670</v>
      </c>
      <c r="C294" s="2" t="s">
        <v>147</v>
      </c>
      <c r="D294" s="4">
        <v>1000186197</v>
      </c>
      <c r="E294" s="4" t="s">
        <v>166</v>
      </c>
      <c r="F294" s="2">
        <v>1000184758</v>
      </c>
      <c r="G294" s="2" t="s">
        <v>55</v>
      </c>
      <c r="H294" s="4">
        <v>1000189786</v>
      </c>
      <c r="I294" s="4" t="s">
        <v>104</v>
      </c>
      <c r="J294" s="2">
        <v>1000195872</v>
      </c>
      <c r="K294" s="2" t="s">
        <v>161</v>
      </c>
      <c r="L294" s="4" t="s">
        <v>33</v>
      </c>
      <c r="M294" s="4" t="str">
        <f t="shared" si="66"/>
        <v>1000184670100018619710001897861000195872FOOD SERVICE</v>
      </c>
      <c r="N294" s="28">
        <f>N289*_xlfn.XLOOKUP($L294,'Balizador da Meta'!$B$4:$B$21,'Balizador da Meta'!$C$4:$C$21)</f>
        <v>0</v>
      </c>
      <c r="O294" s="28">
        <f>O289*_xlfn.XLOOKUP($L294,'Balizador da Meta'!$B$4:$B$21,'Balizador da Meta'!$C$4:$C$21)</f>
        <v>0</v>
      </c>
      <c r="P294" s="28">
        <f>P289*_xlfn.XLOOKUP($L294,'Balizador da Meta'!$B$4:$B$21,'Balizador da Meta'!$C$4:$C$21)</f>
        <v>0</v>
      </c>
      <c r="Q294" s="28">
        <f>Q289*_xlfn.XLOOKUP($L294,'Balizador da Meta'!$B$4:$B$21,'Balizador da Meta'!$C$4:$C$21)</f>
        <v>0</v>
      </c>
      <c r="R294" s="28">
        <f>R289*_xlfn.XLOOKUP($L294,'Balizador da Meta'!$B$4:$B$21,'Balizador da Meta'!$C$4:$C$21)</f>
        <v>0</v>
      </c>
      <c r="S294" s="28">
        <f>S289*_xlfn.XLOOKUP($L294,'Balizador da Meta'!$B$4:$B$21,'Balizador da Meta'!$C$4:$C$21)</f>
        <v>0</v>
      </c>
      <c r="T294" s="28">
        <f>T289*_xlfn.XLOOKUP($L294,'Balizador da Meta'!$B$4:$B$21,'Balizador da Meta'!$C$4:$C$21)</f>
        <v>0</v>
      </c>
      <c r="U294" s="28">
        <f>U289*_xlfn.XLOOKUP($L294,'Balizador da Meta'!$B$4:$B$21,'Balizador da Meta'!$C$4:$C$21)</f>
        <v>0</v>
      </c>
      <c r="V294" s="28">
        <f>V289*_xlfn.XLOOKUP($L294,'Balizador da Meta'!$B$4:$B$21,'Balizador da Meta'!$C$4:$C$21)</f>
        <v>0</v>
      </c>
      <c r="W294" s="28">
        <f>W289*_xlfn.XLOOKUP($L294,'Balizador da Meta'!$B$4:$B$21,'Balizador da Meta'!$C$4:$C$21)</f>
        <v>0</v>
      </c>
      <c r="X294" s="28">
        <f>X289*_xlfn.XLOOKUP($L294,'Balizador da Meta'!$B$4:$B$21,'Balizador da Meta'!$C$4:$C$21)</f>
        <v>0</v>
      </c>
      <c r="Y294" s="28">
        <f>Y289*_xlfn.XLOOKUP($L294,'Balizador da Meta'!$B$4:$B$21,'Balizador da Meta'!$C$4:$C$21)</f>
        <v>0</v>
      </c>
      <c r="Z294" s="30">
        <f t="shared" si="72"/>
        <v>0</v>
      </c>
      <c r="AA294" s="29"/>
      <c r="AB294" s="31">
        <f>SUMIFS('Historico - FAT'!AK:AK,'Historico - FAT'!$K:$K,Faturamento!$L294,'Historico - FAT'!$I:$I,Faturamento!$J294,'Historico - FAT'!$G:$G,Faturamento!$H294)</f>
        <v>0</v>
      </c>
      <c r="AC294" s="31">
        <f>SUMIFS('Historico - FAT'!AL:AL,'Historico - FAT'!$K:$K,Faturamento!$L294,'Historico - FAT'!$I:$I,Faturamento!$J294,'Historico - FAT'!$G:$G,Faturamento!$H294)</f>
        <v>0</v>
      </c>
      <c r="AD294" s="31">
        <f>SUMIFS('Historico - FAT'!AM:AM,'Historico - FAT'!$K:$K,Faturamento!$L294,'Historico - FAT'!$I:$I,Faturamento!$J294,'Historico - FAT'!$G:$G,Faturamento!$H294)</f>
        <v>0</v>
      </c>
      <c r="AE294" s="27">
        <f>SUMIFS('Historico - FAT'!AN:AN,'Historico - FAT'!$K:$K,Faturamento!$L294,'Historico - FAT'!$I:$I,Faturamento!$J294,'Historico - FAT'!$G:$G,Faturamento!$H294)</f>
        <v>0</v>
      </c>
      <c r="AG294" s="24" t="str">
        <f t="shared" si="60"/>
        <v/>
      </c>
      <c r="AH294" s="24" t="str">
        <f t="shared" si="61"/>
        <v/>
      </c>
      <c r="AI294" s="24" t="str">
        <f t="shared" si="62"/>
        <v/>
      </c>
    </row>
    <row r="295" spans="1:35" hidden="1" x14ac:dyDescent="0.3">
      <c r="A295" s="2" t="str">
        <f t="shared" si="59"/>
        <v>NÃO</v>
      </c>
      <c r="B295" s="2">
        <v>1000184670</v>
      </c>
      <c r="C295" s="2" t="s">
        <v>147</v>
      </c>
      <c r="D295" s="4">
        <v>1000186197</v>
      </c>
      <c r="E295" s="4" t="s">
        <v>166</v>
      </c>
      <c r="F295" s="2">
        <v>1000184758</v>
      </c>
      <c r="G295" s="2" t="s">
        <v>55</v>
      </c>
      <c r="H295" s="4">
        <v>1000189786</v>
      </c>
      <c r="I295" s="4" t="s">
        <v>104</v>
      </c>
      <c r="J295" s="2">
        <v>1000195872</v>
      </c>
      <c r="K295" s="2" t="s">
        <v>161</v>
      </c>
      <c r="L295" s="4" t="s">
        <v>19</v>
      </c>
      <c r="M295" s="4" t="str">
        <f t="shared" si="66"/>
        <v>1000184670100018619710001897861000195872GELEIA</v>
      </c>
      <c r="N295" s="28">
        <f>N289*_xlfn.XLOOKUP($L295,'Balizador da Meta'!$B$4:$B$21,'Balizador da Meta'!$C$4:$C$21)</f>
        <v>0</v>
      </c>
      <c r="O295" s="28">
        <f>O289*_xlfn.XLOOKUP($L295,'Balizador da Meta'!$B$4:$B$21,'Balizador da Meta'!$C$4:$C$21)</f>
        <v>0</v>
      </c>
      <c r="P295" s="28">
        <f>P289*_xlfn.XLOOKUP($L295,'Balizador da Meta'!$B$4:$B$21,'Balizador da Meta'!$C$4:$C$21)</f>
        <v>0</v>
      </c>
      <c r="Q295" s="28">
        <f>Q289*_xlfn.XLOOKUP($L295,'Balizador da Meta'!$B$4:$B$21,'Balizador da Meta'!$C$4:$C$21)</f>
        <v>0</v>
      </c>
      <c r="R295" s="28">
        <f>R289*_xlfn.XLOOKUP($L295,'Balizador da Meta'!$B$4:$B$21,'Balizador da Meta'!$C$4:$C$21)</f>
        <v>0</v>
      </c>
      <c r="S295" s="28">
        <f>S289*_xlfn.XLOOKUP($L295,'Balizador da Meta'!$B$4:$B$21,'Balizador da Meta'!$C$4:$C$21)</f>
        <v>0</v>
      </c>
      <c r="T295" s="28">
        <f>T289*_xlfn.XLOOKUP($L295,'Balizador da Meta'!$B$4:$B$21,'Balizador da Meta'!$C$4:$C$21)</f>
        <v>0</v>
      </c>
      <c r="U295" s="28">
        <f>U289*_xlfn.XLOOKUP($L295,'Balizador da Meta'!$B$4:$B$21,'Balizador da Meta'!$C$4:$C$21)</f>
        <v>0</v>
      </c>
      <c r="V295" s="28">
        <f>V289*_xlfn.XLOOKUP($L295,'Balizador da Meta'!$B$4:$B$21,'Balizador da Meta'!$C$4:$C$21)</f>
        <v>0</v>
      </c>
      <c r="W295" s="28">
        <f>W289*_xlfn.XLOOKUP($L295,'Balizador da Meta'!$B$4:$B$21,'Balizador da Meta'!$C$4:$C$21)</f>
        <v>0</v>
      </c>
      <c r="X295" s="28">
        <f>X289*_xlfn.XLOOKUP($L295,'Balizador da Meta'!$B$4:$B$21,'Balizador da Meta'!$C$4:$C$21)</f>
        <v>0</v>
      </c>
      <c r="Y295" s="28">
        <f>Y289*_xlfn.XLOOKUP($L295,'Balizador da Meta'!$B$4:$B$21,'Balizador da Meta'!$C$4:$C$21)</f>
        <v>0</v>
      </c>
      <c r="Z295" s="30">
        <f t="shared" si="72"/>
        <v>0</v>
      </c>
      <c r="AA295" s="29"/>
      <c r="AB295" s="31">
        <f>SUMIFS('Historico - FAT'!AK:AK,'Historico - FAT'!$K:$K,Faturamento!$L295,'Historico - FAT'!$I:$I,Faturamento!$J295,'Historico - FAT'!$G:$G,Faturamento!$H295)</f>
        <v>0</v>
      </c>
      <c r="AC295" s="31">
        <f>SUMIFS('Historico - FAT'!AL:AL,'Historico - FAT'!$K:$K,Faturamento!$L295,'Historico - FAT'!$I:$I,Faturamento!$J295,'Historico - FAT'!$G:$G,Faturamento!$H295)</f>
        <v>0</v>
      </c>
      <c r="AD295" s="31">
        <f>SUMIFS('Historico - FAT'!AM:AM,'Historico - FAT'!$K:$K,Faturamento!$L295,'Historico - FAT'!$I:$I,Faturamento!$J295,'Historico - FAT'!$G:$G,Faturamento!$H295)</f>
        <v>0</v>
      </c>
      <c r="AE295" s="27">
        <f>SUMIFS('Historico - FAT'!AN:AN,'Historico - FAT'!$K:$K,Faturamento!$L295,'Historico - FAT'!$I:$I,Faturamento!$J295,'Historico - FAT'!$G:$G,Faturamento!$H295)</f>
        <v>0</v>
      </c>
      <c r="AG295" s="24" t="str">
        <f t="shared" si="60"/>
        <v/>
      </c>
      <c r="AH295" s="24" t="str">
        <f t="shared" si="61"/>
        <v/>
      </c>
      <c r="AI295" s="24" t="str">
        <f t="shared" si="62"/>
        <v/>
      </c>
    </row>
    <row r="296" spans="1:35" hidden="1" x14ac:dyDescent="0.3">
      <c r="A296" s="2" t="str">
        <f t="shared" si="59"/>
        <v>NÃO</v>
      </c>
      <c r="B296" s="2">
        <v>1000184670</v>
      </c>
      <c r="C296" s="2" t="s">
        <v>147</v>
      </c>
      <c r="D296" s="4">
        <v>1000186197</v>
      </c>
      <c r="E296" s="4" t="s">
        <v>166</v>
      </c>
      <c r="F296" s="2">
        <v>1000184758</v>
      </c>
      <c r="G296" s="2" t="s">
        <v>55</v>
      </c>
      <c r="H296" s="4">
        <v>1000189786</v>
      </c>
      <c r="I296" s="4" t="s">
        <v>104</v>
      </c>
      <c r="J296" s="2">
        <v>1000195872</v>
      </c>
      <c r="K296" s="2" t="s">
        <v>161</v>
      </c>
      <c r="L296" s="4" t="s">
        <v>17</v>
      </c>
      <c r="M296" s="4" t="str">
        <f t="shared" si="66"/>
        <v>1000184670100018619710001897861000195872GRANOLA</v>
      </c>
      <c r="N296" s="28">
        <f>N289*_xlfn.XLOOKUP($L296,'Balizador da Meta'!$B$4:$B$21,'Balizador da Meta'!$C$4:$C$21)</f>
        <v>0</v>
      </c>
      <c r="O296" s="28">
        <f>O289*_xlfn.XLOOKUP($L296,'Balizador da Meta'!$B$4:$B$21,'Balizador da Meta'!$C$4:$C$21)</f>
        <v>0</v>
      </c>
      <c r="P296" s="28">
        <f>P289*_xlfn.XLOOKUP($L296,'Balizador da Meta'!$B$4:$B$21,'Balizador da Meta'!$C$4:$C$21)</f>
        <v>0</v>
      </c>
      <c r="Q296" s="28">
        <f>Q289*_xlfn.XLOOKUP($L296,'Balizador da Meta'!$B$4:$B$21,'Balizador da Meta'!$C$4:$C$21)</f>
        <v>0</v>
      </c>
      <c r="R296" s="28">
        <f>R289*_xlfn.XLOOKUP($L296,'Balizador da Meta'!$B$4:$B$21,'Balizador da Meta'!$C$4:$C$21)</f>
        <v>0</v>
      </c>
      <c r="S296" s="28">
        <f>S289*_xlfn.XLOOKUP($L296,'Balizador da Meta'!$B$4:$B$21,'Balizador da Meta'!$C$4:$C$21)</f>
        <v>0</v>
      </c>
      <c r="T296" s="28">
        <f>T289*_xlfn.XLOOKUP($L296,'Balizador da Meta'!$B$4:$B$21,'Balizador da Meta'!$C$4:$C$21)</f>
        <v>0</v>
      </c>
      <c r="U296" s="28">
        <f>U289*_xlfn.XLOOKUP($L296,'Balizador da Meta'!$B$4:$B$21,'Balizador da Meta'!$C$4:$C$21)</f>
        <v>0</v>
      </c>
      <c r="V296" s="28">
        <f>V289*_xlfn.XLOOKUP($L296,'Balizador da Meta'!$B$4:$B$21,'Balizador da Meta'!$C$4:$C$21)</f>
        <v>0</v>
      </c>
      <c r="W296" s="28">
        <f>W289*_xlfn.XLOOKUP($L296,'Balizador da Meta'!$B$4:$B$21,'Balizador da Meta'!$C$4:$C$21)</f>
        <v>0</v>
      </c>
      <c r="X296" s="28">
        <f>X289*_xlfn.XLOOKUP($L296,'Balizador da Meta'!$B$4:$B$21,'Balizador da Meta'!$C$4:$C$21)</f>
        <v>0</v>
      </c>
      <c r="Y296" s="28">
        <f>Y289*_xlfn.XLOOKUP($L296,'Balizador da Meta'!$B$4:$B$21,'Balizador da Meta'!$C$4:$C$21)</f>
        <v>0</v>
      </c>
      <c r="Z296" s="30">
        <f t="shared" si="72"/>
        <v>0</v>
      </c>
      <c r="AA296" s="29"/>
      <c r="AB296" s="31">
        <f>SUMIFS('Historico - FAT'!AK:AK,'Historico - FAT'!$K:$K,Faturamento!$L296,'Historico - FAT'!$I:$I,Faturamento!$J296,'Historico - FAT'!$G:$G,Faturamento!$H296)</f>
        <v>0</v>
      </c>
      <c r="AC296" s="31">
        <f>SUMIFS('Historico - FAT'!AL:AL,'Historico - FAT'!$K:$K,Faturamento!$L296,'Historico - FAT'!$I:$I,Faturamento!$J296,'Historico - FAT'!$G:$G,Faturamento!$H296)</f>
        <v>0</v>
      </c>
      <c r="AD296" s="31">
        <f>SUMIFS('Historico - FAT'!AM:AM,'Historico - FAT'!$K:$K,Faturamento!$L296,'Historico - FAT'!$I:$I,Faturamento!$J296,'Historico - FAT'!$G:$G,Faturamento!$H296)</f>
        <v>0</v>
      </c>
      <c r="AE296" s="27">
        <f>SUMIFS('Historico - FAT'!AN:AN,'Historico - FAT'!$K:$K,Faturamento!$L296,'Historico - FAT'!$I:$I,Faturamento!$J296,'Historico - FAT'!$G:$G,Faturamento!$H296)</f>
        <v>0</v>
      </c>
      <c r="AG296" s="24" t="str">
        <f t="shared" si="60"/>
        <v/>
      </c>
      <c r="AH296" s="24" t="str">
        <f t="shared" si="61"/>
        <v/>
      </c>
      <c r="AI296" s="24" t="str">
        <f t="shared" si="62"/>
        <v/>
      </c>
    </row>
    <row r="297" spans="1:35" hidden="1" x14ac:dyDescent="0.3">
      <c r="A297" s="2" t="str">
        <f t="shared" si="59"/>
        <v>NÃO</v>
      </c>
      <c r="B297" s="2">
        <v>1000184670</v>
      </c>
      <c r="C297" s="2" t="s">
        <v>147</v>
      </c>
      <c r="D297" s="4">
        <v>1000186197</v>
      </c>
      <c r="E297" s="4" t="s">
        <v>166</v>
      </c>
      <c r="F297" s="2">
        <v>1000184758</v>
      </c>
      <c r="G297" s="2" t="s">
        <v>55</v>
      </c>
      <c r="H297" s="4">
        <v>1000189786</v>
      </c>
      <c r="I297" s="4" t="s">
        <v>104</v>
      </c>
      <c r="J297" s="2">
        <v>1000195872</v>
      </c>
      <c r="K297" s="2" t="s">
        <v>161</v>
      </c>
      <c r="L297" s="4" t="s">
        <v>24</v>
      </c>
      <c r="M297" s="4" t="str">
        <f t="shared" si="66"/>
        <v>1000184670100018619710001897861000195872KIDS</v>
      </c>
      <c r="N297" s="28">
        <f>N289*_xlfn.XLOOKUP($L297,'Balizador da Meta'!$B$4:$B$21,'Balizador da Meta'!$C$4:$C$21)</f>
        <v>0</v>
      </c>
      <c r="O297" s="28">
        <f>O289*_xlfn.XLOOKUP($L297,'Balizador da Meta'!$B$4:$B$21,'Balizador da Meta'!$C$4:$C$21)</f>
        <v>0</v>
      </c>
      <c r="P297" s="28">
        <f>P289*_xlfn.XLOOKUP($L297,'Balizador da Meta'!$B$4:$B$21,'Balizador da Meta'!$C$4:$C$21)</f>
        <v>0</v>
      </c>
      <c r="Q297" s="28">
        <f>Q289*_xlfn.XLOOKUP($L297,'Balizador da Meta'!$B$4:$B$21,'Balizador da Meta'!$C$4:$C$21)</f>
        <v>0</v>
      </c>
      <c r="R297" s="28">
        <f>R289*_xlfn.XLOOKUP($L297,'Balizador da Meta'!$B$4:$B$21,'Balizador da Meta'!$C$4:$C$21)</f>
        <v>0</v>
      </c>
      <c r="S297" s="28">
        <f>S289*_xlfn.XLOOKUP($L297,'Balizador da Meta'!$B$4:$B$21,'Balizador da Meta'!$C$4:$C$21)</f>
        <v>0</v>
      </c>
      <c r="T297" s="28">
        <f>T289*_xlfn.XLOOKUP($L297,'Balizador da Meta'!$B$4:$B$21,'Balizador da Meta'!$C$4:$C$21)</f>
        <v>0</v>
      </c>
      <c r="U297" s="28">
        <f>U289*_xlfn.XLOOKUP($L297,'Balizador da Meta'!$B$4:$B$21,'Balizador da Meta'!$C$4:$C$21)</f>
        <v>0</v>
      </c>
      <c r="V297" s="28">
        <f>V289*_xlfn.XLOOKUP($L297,'Balizador da Meta'!$B$4:$B$21,'Balizador da Meta'!$C$4:$C$21)</f>
        <v>0</v>
      </c>
      <c r="W297" s="28">
        <f>W289*_xlfn.XLOOKUP($L297,'Balizador da Meta'!$B$4:$B$21,'Balizador da Meta'!$C$4:$C$21)</f>
        <v>0</v>
      </c>
      <c r="X297" s="28">
        <f>X289*_xlfn.XLOOKUP($L297,'Balizador da Meta'!$B$4:$B$21,'Balizador da Meta'!$C$4:$C$21)</f>
        <v>0</v>
      </c>
      <c r="Y297" s="28">
        <f>Y289*_xlfn.XLOOKUP($L297,'Balizador da Meta'!$B$4:$B$21,'Balizador da Meta'!$C$4:$C$21)</f>
        <v>0</v>
      </c>
      <c r="Z297" s="30">
        <f t="shared" si="72"/>
        <v>0</v>
      </c>
      <c r="AA297" s="29"/>
      <c r="AB297" s="31">
        <f>SUMIFS('Historico - FAT'!AK:AK,'Historico - FAT'!$K:$K,Faturamento!$L297,'Historico - FAT'!$I:$I,Faturamento!$J297,'Historico - FAT'!$G:$G,Faturamento!$H297)</f>
        <v>0</v>
      </c>
      <c r="AC297" s="31">
        <f>SUMIFS('Historico - FAT'!AL:AL,'Historico - FAT'!$K:$K,Faturamento!$L297,'Historico - FAT'!$I:$I,Faturamento!$J297,'Historico - FAT'!$G:$G,Faturamento!$H297)</f>
        <v>0</v>
      </c>
      <c r="AD297" s="31">
        <f>SUMIFS('Historico - FAT'!AM:AM,'Historico - FAT'!$K:$K,Faturamento!$L297,'Historico - FAT'!$I:$I,Faturamento!$J297,'Historico - FAT'!$G:$G,Faturamento!$H297)</f>
        <v>0</v>
      </c>
      <c r="AE297" s="27">
        <f>SUMIFS('Historico - FAT'!AN:AN,'Historico - FAT'!$K:$K,Faturamento!$L297,'Historico - FAT'!$I:$I,Faturamento!$J297,'Historico - FAT'!$G:$G,Faturamento!$H297)</f>
        <v>0</v>
      </c>
      <c r="AG297" s="24" t="str">
        <f t="shared" si="60"/>
        <v/>
      </c>
      <c r="AH297" s="24" t="str">
        <f t="shared" si="61"/>
        <v/>
      </c>
      <c r="AI297" s="24" t="str">
        <f t="shared" si="62"/>
        <v/>
      </c>
    </row>
    <row r="298" spans="1:35" hidden="1" x14ac:dyDescent="0.3">
      <c r="A298" s="2" t="str">
        <f t="shared" si="59"/>
        <v>NÃO</v>
      </c>
      <c r="B298" s="2">
        <v>1000184670</v>
      </c>
      <c r="C298" s="2" t="s">
        <v>147</v>
      </c>
      <c r="D298" s="4">
        <v>1000186197</v>
      </c>
      <c r="E298" s="4" t="s">
        <v>166</v>
      </c>
      <c r="F298" s="2">
        <v>1000184758</v>
      </c>
      <c r="G298" s="2" t="s">
        <v>55</v>
      </c>
      <c r="H298" s="4">
        <v>1000189786</v>
      </c>
      <c r="I298" s="4" t="s">
        <v>104</v>
      </c>
      <c r="J298" s="2">
        <v>1000195872</v>
      </c>
      <c r="K298" s="2" t="s">
        <v>161</v>
      </c>
      <c r="L298" s="4" t="s">
        <v>18</v>
      </c>
      <c r="M298" s="4" t="str">
        <f t="shared" si="66"/>
        <v>1000184670100018619710001897861000195872LANCHES</v>
      </c>
      <c r="N298" s="28">
        <f>N289*_xlfn.XLOOKUP($L298,'Balizador da Meta'!$B$4:$B$21,'Balizador da Meta'!$C$4:$C$21)</f>
        <v>0</v>
      </c>
      <c r="O298" s="28">
        <f>O289*_xlfn.XLOOKUP($L298,'Balizador da Meta'!$B$4:$B$21,'Balizador da Meta'!$C$4:$C$21)</f>
        <v>0</v>
      </c>
      <c r="P298" s="28">
        <f>P289*_xlfn.XLOOKUP($L298,'Balizador da Meta'!$B$4:$B$21,'Balizador da Meta'!$C$4:$C$21)</f>
        <v>0</v>
      </c>
      <c r="Q298" s="28">
        <f>Q289*_xlfn.XLOOKUP($L298,'Balizador da Meta'!$B$4:$B$21,'Balizador da Meta'!$C$4:$C$21)</f>
        <v>0</v>
      </c>
      <c r="R298" s="28">
        <f>R289*_xlfn.XLOOKUP($L298,'Balizador da Meta'!$B$4:$B$21,'Balizador da Meta'!$C$4:$C$21)</f>
        <v>0</v>
      </c>
      <c r="S298" s="28">
        <f>S289*_xlfn.XLOOKUP($L298,'Balizador da Meta'!$B$4:$B$21,'Balizador da Meta'!$C$4:$C$21)</f>
        <v>0</v>
      </c>
      <c r="T298" s="28">
        <f>T289*_xlfn.XLOOKUP($L298,'Balizador da Meta'!$B$4:$B$21,'Balizador da Meta'!$C$4:$C$21)</f>
        <v>0</v>
      </c>
      <c r="U298" s="28">
        <f>U289*_xlfn.XLOOKUP($L298,'Balizador da Meta'!$B$4:$B$21,'Balizador da Meta'!$C$4:$C$21)</f>
        <v>0</v>
      </c>
      <c r="V298" s="28">
        <f>V289*_xlfn.XLOOKUP($L298,'Balizador da Meta'!$B$4:$B$21,'Balizador da Meta'!$C$4:$C$21)</f>
        <v>0</v>
      </c>
      <c r="W298" s="28">
        <f>W289*_xlfn.XLOOKUP($L298,'Balizador da Meta'!$B$4:$B$21,'Balizador da Meta'!$C$4:$C$21)</f>
        <v>0</v>
      </c>
      <c r="X298" s="28">
        <f>X289*_xlfn.XLOOKUP($L298,'Balizador da Meta'!$B$4:$B$21,'Balizador da Meta'!$C$4:$C$21)</f>
        <v>0</v>
      </c>
      <c r="Y298" s="28">
        <f>Y289*_xlfn.XLOOKUP($L298,'Balizador da Meta'!$B$4:$B$21,'Balizador da Meta'!$C$4:$C$21)</f>
        <v>0</v>
      </c>
      <c r="Z298" s="30">
        <f t="shared" si="72"/>
        <v>0</v>
      </c>
      <c r="AA298" s="29"/>
      <c r="AB298" s="31">
        <f>SUMIFS('Historico - FAT'!AK:AK,'Historico - FAT'!$K:$K,Faturamento!$L298,'Historico - FAT'!$I:$I,Faturamento!$J298,'Historico - FAT'!$G:$G,Faturamento!$H298)</f>
        <v>0</v>
      </c>
      <c r="AC298" s="31">
        <f>SUMIFS('Historico - FAT'!AL:AL,'Historico - FAT'!$K:$K,Faturamento!$L298,'Historico - FAT'!$I:$I,Faturamento!$J298,'Historico - FAT'!$G:$G,Faturamento!$H298)</f>
        <v>0</v>
      </c>
      <c r="AD298" s="31">
        <f>SUMIFS('Historico - FAT'!AM:AM,'Historico - FAT'!$K:$K,Faturamento!$L298,'Historico - FAT'!$I:$I,Faturamento!$J298,'Historico - FAT'!$G:$G,Faturamento!$H298)</f>
        <v>0</v>
      </c>
      <c r="AE298" s="27">
        <f>SUMIFS('Historico - FAT'!AN:AN,'Historico - FAT'!$K:$K,Faturamento!$L298,'Historico - FAT'!$I:$I,Faturamento!$J298,'Historico - FAT'!$G:$G,Faturamento!$H298)</f>
        <v>0</v>
      </c>
      <c r="AG298" s="24" t="str">
        <f t="shared" si="60"/>
        <v/>
      </c>
      <c r="AH298" s="24" t="str">
        <f t="shared" si="61"/>
        <v/>
      </c>
      <c r="AI298" s="24" t="str">
        <f t="shared" si="62"/>
        <v/>
      </c>
    </row>
    <row r="299" spans="1:35" hidden="1" x14ac:dyDescent="0.3">
      <c r="A299" s="2" t="str">
        <f t="shared" si="59"/>
        <v>NÃO</v>
      </c>
      <c r="B299" s="2">
        <v>1000184670</v>
      </c>
      <c r="C299" s="2" t="s">
        <v>147</v>
      </c>
      <c r="D299" s="4">
        <v>1000186197</v>
      </c>
      <c r="E299" s="4" t="s">
        <v>166</v>
      </c>
      <c r="F299" s="2">
        <v>1000184758</v>
      </c>
      <c r="G299" s="2" t="s">
        <v>55</v>
      </c>
      <c r="H299" s="4">
        <v>1000189786</v>
      </c>
      <c r="I299" s="4" t="s">
        <v>104</v>
      </c>
      <c r="J299" s="2">
        <v>1000195872</v>
      </c>
      <c r="K299" s="2" t="s">
        <v>161</v>
      </c>
      <c r="L299" s="4" t="s">
        <v>29</v>
      </c>
      <c r="M299" s="4" t="str">
        <f t="shared" si="66"/>
        <v>1000184670100018619710001897861000195872MAIS GRANEL</v>
      </c>
      <c r="N299" s="28">
        <f>N289*_xlfn.XLOOKUP($L299,'Balizador da Meta'!$B$4:$B$21,'Balizador da Meta'!$C$4:$C$21)</f>
        <v>0</v>
      </c>
      <c r="O299" s="28">
        <f>O289*_xlfn.XLOOKUP($L299,'Balizador da Meta'!$B$4:$B$21,'Balizador da Meta'!$C$4:$C$21)</f>
        <v>0</v>
      </c>
      <c r="P299" s="28">
        <f>P289*_xlfn.XLOOKUP($L299,'Balizador da Meta'!$B$4:$B$21,'Balizador da Meta'!$C$4:$C$21)</f>
        <v>0</v>
      </c>
      <c r="Q299" s="28">
        <f>Q289*_xlfn.XLOOKUP($L299,'Balizador da Meta'!$B$4:$B$21,'Balizador da Meta'!$C$4:$C$21)</f>
        <v>0</v>
      </c>
      <c r="R299" s="28">
        <f>R289*_xlfn.XLOOKUP($L299,'Balizador da Meta'!$B$4:$B$21,'Balizador da Meta'!$C$4:$C$21)</f>
        <v>0</v>
      </c>
      <c r="S299" s="28">
        <f>S289*_xlfn.XLOOKUP($L299,'Balizador da Meta'!$B$4:$B$21,'Balizador da Meta'!$C$4:$C$21)</f>
        <v>0</v>
      </c>
      <c r="T299" s="28">
        <f>T289*_xlfn.XLOOKUP($L299,'Balizador da Meta'!$B$4:$B$21,'Balizador da Meta'!$C$4:$C$21)</f>
        <v>0</v>
      </c>
      <c r="U299" s="28">
        <f>U289*_xlfn.XLOOKUP($L299,'Balizador da Meta'!$B$4:$B$21,'Balizador da Meta'!$C$4:$C$21)</f>
        <v>0</v>
      </c>
      <c r="V299" s="28">
        <f>V289*_xlfn.XLOOKUP($L299,'Balizador da Meta'!$B$4:$B$21,'Balizador da Meta'!$C$4:$C$21)</f>
        <v>0</v>
      </c>
      <c r="W299" s="28">
        <f>W289*_xlfn.XLOOKUP($L299,'Balizador da Meta'!$B$4:$B$21,'Balizador da Meta'!$C$4:$C$21)</f>
        <v>0</v>
      </c>
      <c r="X299" s="28">
        <f>X289*_xlfn.XLOOKUP($L299,'Balizador da Meta'!$B$4:$B$21,'Balizador da Meta'!$C$4:$C$21)</f>
        <v>0</v>
      </c>
      <c r="Y299" s="28">
        <f>Y289*_xlfn.XLOOKUP($L299,'Balizador da Meta'!$B$4:$B$21,'Balizador da Meta'!$C$4:$C$21)</f>
        <v>0</v>
      </c>
      <c r="Z299" s="30">
        <f t="shared" si="72"/>
        <v>0</v>
      </c>
      <c r="AA299" s="29"/>
      <c r="AB299" s="31">
        <f>SUMIFS('Historico - FAT'!AK:AK,'Historico - FAT'!$K:$K,Faturamento!$L299,'Historico - FAT'!$I:$I,Faturamento!$J299,'Historico - FAT'!$G:$G,Faturamento!$H299)</f>
        <v>0</v>
      </c>
      <c r="AC299" s="31">
        <f>SUMIFS('Historico - FAT'!AL:AL,'Historico - FAT'!$K:$K,Faturamento!$L299,'Historico - FAT'!$I:$I,Faturamento!$J299,'Historico - FAT'!$G:$G,Faturamento!$H299)</f>
        <v>0</v>
      </c>
      <c r="AD299" s="31">
        <f>SUMIFS('Historico - FAT'!AM:AM,'Historico - FAT'!$K:$K,Faturamento!$L299,'Historico - FAT'!$I:$I,Faturamento!$J299,'Historico - FAT'!$G:$G,Faturamento!$H299)</f>
        <v>0</v>
      </c>
      <c r="AE299" s="27">
        <f>SUMIFS('Historico - FAT'!AN:AN,'Historico - FAT'!$K:$K,Faturamento!$L299,'Historico - FAT'!$I:$I,Faturamento!$J299,'Historico - FAT'!$G:$G,Faturamento!$H299)</f>
        <v>0</v>
      </c>
      <c r="AG299" s="24" t="str">
        <f t="shared" si="60"/>
        <v/>
      </c>
      <c r="AH299" s="24" t="str">
        <f t="shared" si="61"/>
        <v/>
      </c>
      <c r="AI299" s="24" t="str">
        <f t="shared" si="62"/>
        <v/>
      </c>
    </row>
    <row r="300" spans="1:35" hidden="1" x14ac:dyDescent="0.3">
      <c r="A300" s="2" t="str">
        <f t="shared" si="59"/>
        <v>NÃO</v>
      </c>
      <c r="B300" s="2">
        <v>1000184670</v>
      </c>
      <c r="C300" s="2" t="s">
        <v>147</v>
      </c>
      <c r="D300" s="4">
        <v>1000186197</v>
      </c>
      <c r="E300" s="4" t="s">
        <v>166</v>
      </c>
      <c r="F300" s="2">
        <v>1000184758</v>
      </c>
      <c r="G300" s="2" t="s">
        <v>55</v>
      </c>
      <c r="H300" s="4">
        <v>1000189786</v>
      </c>
      <c r="I300" s="4" t="s">
        <v>104</v>
      </c>
      <c r="J300" s="2">
        <v>1000195872</v>
      </c>
      <c r="K300" s="2" t="s">
        <v>161</v>
      </c>
      <c r="L300" s="4" t="s">
        <v>21</v>
      </c>
      <c r="M300" s="4" t="str">
        <f t="shared" si="66"/>
        <v>1000184670100018619710001897861000195872NATURATTA</v>
      </c>
      <c r="N300" s="28">
        <f>N289*_xlfn.XLOOKUP($L300,'Balizador da Meta'!$B$4:$B$21,'Balizador da Meta'!$C$4:$C$21)</f>
        <v>0</v>
      </c>
      <c r="O300" s="28">
        <f>O289*_xlfn.XLOOKUP($L300,'Balizador da Meta'!$B$4:$B$21,'Balizador da Meta'!$C$4:$C$21)</f>
        <v>0</v>
      </c>
      <c r="P300" s="28">
        <f>P289*_xlfn.XLOOKUP($L300,'Balizador da Meta'!$B$4:$B$21,'Balizador da Meta'!$C$4:$C$21)</f>
        <v>0</v>
      </c>
      <c r="Q300" s="28">
        <f>Q289*_xlfn.XLOOKUP($L300,'Balizador da Meta'!$B$4:$B$21,'Balizador da Meta'!$C$4:$C$21)</f>
        <v>0</v>
      </c>
      <c r="R300" s="28">
        <f>R289*_xlfn.XLOOKUP($L300,'Balizador da Meta'!$B$4:$B$21,'Balizador da Meta'!$C$4:$C$21)</f>
        <v>0</v>
      </c>
      <c r="S300" s="28">
        <f>S289*_xlfn.XLOOKUP($L300,'Balizador da Meta'!$B$4:$B$21,'Balizador da Meta'!$C$4:$C$21)</f>
        <v>0</v>
      </c>
      <c r="T300" s="28">
        <f>T289*_xlfn.XLOOKUP($L300,'Balizador da Meta'!$B$4:$B$21,'Balizador da Meta'!$C$4:$C$21)</f>
        <v>0</v>
      </c>
      <c r="U300" s="28">
        <f>U289*_xlfn.XLOOKUP($L300,'Balizador da Meta'!$B$4:$B$21,'Balizador da Meta'!$C$4:$C$21)</f>
        <v>0</v>
      </c>
      <c r="V300" s="28">
        <f>V289*_xlfn.XLOOKUP($L300,'Balizador da Meta'!$B$4:$B$21,'Balizador da Meta'!$C$4:$C$21)</f>
        <v>0</v>
      </c>
      <c r="W300" s="28">
        <f>W289*_xlfn.XLOOKUP($L300,'Balizador da Meta'!$B$4:$B$21,'Balizador da Meta'!$C$4:$C$21)</f>
        <v>0</v>
      </c>
      <c r="X300" s="28">
        <f>X289*_xlfn.XLOOKUP($L300,'Balizador da Meta'!$B$4:$B$21,'Balizador da Meta'!$C$4:$C$21)</f>
        <v>0</v>
      </c>
      <c r="Y300" s="28">
        <f>Y289*_xlfn.XLOOKUP($L300,'Balizador da Meta'!$B$4:$B$21,'Balizador da Meta'!$C$4:$C$21)</f>
        <v>0</v>
      </c>
      <c r="Z300" s="30">
        <f t="shared" si="72"/>
        <v>0</v>
      </c>
      <c r="AA300" s="29"/>
      <c r="AB300" s="31">
        <f>SUMIFS('Historico - FAT'!AK:AK,'Historico - FAT'!$K:$K,Faturamento!$L300,'Historico - FAT'!$I:$I,Faturamento!$J300,'Historico - FAT'!$G:$G,Faturamento!$H300)</f>
        <v>0</v>
      </c>
      <c r="AC300" s="31">
        <f>SUMIFS('Historico - FAT'!AL:AL,'Historico - FAT'!$K:$K,Faturamento!$L300,'Historico - FAT'!$I:$I,Faturamento!$J300,'Historico - FAT'!$G:$G,Faturamento!$H300)</f>
        <v>0</v>
      </c>
      <c r="AD300" s="31">
        <f>SUMIFS('Historico - FAT'!AM:AM,'Historico - FAT'!$K:$K,Faturamento!$L300,'Historico - FAT'!$I:$I,Faturamento!$J300,'Historico - FAT'!$G:$G,Faturamento!$H300)</f>
        <v>0</v>
      </c>
      <c r="AE300" s="27">
        <f>SUMIFS('Historico - FAT'!AN:AN,'Historico - FAT'!$K:$K,Faturamento!$L300,'Historico - FAT'!$I:$I,Faturamento!$J300,'Historico - FAT'!$G:$G,Faturamento!$H300)</f>
        <v>0</v>
      </c>
      <c r="AG300" s="24" t="str">
        <f t="shared" si="60"/>
        <v/>
      </c>
      <c r="AH300" s="24" t="str">
        <f t="shared" si="61"/>
        <v/>
      </c>
      <c r="AI300" s="24" t="str">
        <f t="shared" si="62"/>
        <v/>
      </c>
    </row>
    <row r="301" spans="1:35" hidden="1" x14ac:dyDescent="0.3">
      <c r="A301" s="2" t="str">
        <f t="shared" si="59"/>
        <v>NÃO</v>
      </c>
      <c r="B301" s="2">
        <v>1000184670</v>
      </c>
      <c r="C301" s="2" t="s">
        <v>147</v>
      </c>
      <c r="D301" s="4">
        <v>1000186197</v>
      </c>
      <c r="E301" s="4" t="s">
        <v>166</v>
      </c>
      <c r="F301" s="2">
        <v>1000184758</v>
      </c>
      <c r="G301" s="2" t="s">
        <v>55</v>
      </c>
      <c r="H301" s="4">
        <v>1000189786</v>
      </c>
      <c r="I301" s="4" t="s">
        <v>104</v>
      </c>
      <c r="J301" s="2">
        <v>1000195872</v>
      </c>
      <c r="K301" s="2" t="s">
        <v>161</v>
      </c>
      <c r="L301" s="4" t="s">
        <v>20</v>
      </c>
      <c r="M301" s="4" t="str">
        <f t="shared" si="66"/>
        <v>1000184670100018619710001897861000195872REEMBALADOS</v>
      </c>
      <c r="N301" s="28">
        <f>N289*_xlfn.XLOOKUP($L301,'Balizador da Meta'!$B$4:$B$21,'Balizador da Meta'!$C$4:$C$21)</f>
        <v>0</v>
      </c>
      <c r="O301" s="28">
        <f>O289*_xlfn.XLOOKUP($L301,'Balizador da Meta'!$B$4:$B$21,'Balizador da Meta'!$C$4:$C$21)</f>
        <v>0</v>
      </c>
      <c r="P301" s="28">
        <f>P289*_xlfn.XLOOKUP($L301,'Balizador da Meta'!$B$4:$B$21,'Balizador da Meta'!$C$4:$C$21)</f>
        <v>0</v>
      </c>
      <c r="Q301" s="28">
        <f>Q289*_xlfn.XLOOKUP($L301,'Balizador da Meta'!$B$4:$B$21,'Balizador da Meta'!$C$4:$C$21)</f>
        <v>0</v>
      </c>
      <c r="R301" s="28">
        <f>R289*_xlfn.XLOOKUP($L301,'Balizador da Meta'!$B$4:$B$21,'Balizador da Meta'!$C$4:$C$21)</f>
        <v>0</v>
      </c>
      <c r="S301" s="28">
        <f>S289*_xlfn.XLOOKUP($L301,'Balizador da Meta'!$B$4:$B$21,'Balizador da Meta'!$C$4:$C$21)</f>
        <v>0</v>
      </c>
      <c r="T301" s="28">
        <f>T289*_xlfn.XLOOKUP($L301,'Balizador da Meta'!$B$4:$B$21,'Balizador da Meta'!$C$4:$C$21)</f>
        <v>0</v>
      </c>
      <c r="U301" s="28">
        <f>U289*_xlfn.XLOOKUP($L301,'Balizador da Meta'!$B$4:$B$21,'Balizador da Meta'!$C$4:$C$21)</f>
        <v>0</v>
      </c>
      <c r="V301" s="28">
        <f>V289*_xlfn.XLOOKUP($L301,'Balizador da Meta'!$B$4:$B$21,'Balizador da Meta'!$C$4:$C$21)</f>
        <v>0</v>
      </c>
      <c r="W301" s="28">
        <f>W289*_xlfn.XLOOKUP($L301,'Balizador da Meta'!$B$4:$B$21,'Balizador da Meta'!$C$4:$C$21)</f>
        <v>0</v>
      </c>
      <c r="X301" s="28">
        <f>X289*_xlfn.XLOOKUP($L301,'Balizador da Meta'!$B$4:$B$21,'Balizador da Meta'!$C$4:$C$21)</f>
        <v>0</v>
      </c>
      <c r="Y301" s="28">
        <f>Y289*_xlfn.XLOOKUP($L301,'Balizador da Meta'!$B$4:$B$21,'Balizador da Meta'!$C$4:$C$21)</f>
        <v>0</v>
      </c>
      <c r="Z301" s="30">
        <f t="shared" si="72"/>
        <v>0</v>
      </c>
      <c r="AA301" s="29"/>
      <c r="AB301" s="31">
        <f>SUMIFS('Historico - FAT'!AK:AK,'Historico - FAT'!$K:$K,Faturamento!$L301,'Historico - FAT'!$I:$I,Faturamento!$J301,'Historico - FAT'!$G:$G,Faturamento!$H301)</f>
        <v>0</v>
      </c>
      <c r="AC301" s="31">
        <f>SUMIFS('Historico - FAT'!AL:AL,'Historico - FAT'!$K:$K,Faturamento!$L301,'Historico - FAT'!$I:$I,Faturamento!$J301,'Historico - FAT'!$G:$G,Faturamento!$H301)</f>
        <v>0.69833333333333336</v>
      </c>
      <c r="AD301" s="31">
        <f>SUMIFS('Historico - FAT'!AM:AM,'Historico - FAT'!$K:$K,Faturamento!$L301,'Historico - FAT'!$I:$I,Faturamento!$J301,'Historico - FAT'!$G:$G,Faturamento!$H301)</f>
        <v>0</v>
      </c>
      <c r="AE301" s="27">
        <f>SUMIFS('Historico - FAT'!AN:AN,'Historico - FAT'!$K:$K,Faturamento!$L301,'Historico - FAT'!$I:$I,Faturamento!$J301,'Historico - FAT'!$G:$G,Faturamento!$H301)</f>
        <v>0.83800000000000008</v>
      </c>
      <c r="AG301" s="24" t="str">
        <f t="shared" si="60"/>
        <v/>
      </c>
      <c r="AH301" s="24" t="str">
        <f t="shared" si="61"/>
        <v/>
      </c>
      <c r="AI301" s="24" t="str">
        <f t="shared" si="62"/>
        <v/>
      </c>
    </row>
    <row r="302" spans="1:35" hidden="1" x14ac:dyDescent="0.3">
      <c r="A302" s="2" t="str">
        <f t="shared" si="59"/>
        <v>NÃO</v>
      </c>
      <c r="B302" s="2">
        <v>1000184670</v>
      </c>
      <c r="C302" s="2" t="s">
        <v>147</v>
      </c>
      <c r="D302" s="4">
        <v>1000186197</v>
      </c>
      <c r="E302" s="4" t="s">
        <v>166</v>
      </c>
      <c r="F302" s="2">
        <v>1000184758</v>
      </c>
      <c r="G302" s="2" t="s">
        <v>55</v>
      </c>
      <c r="H302" s="4">
        <v>1000189786</v>
      </c>
      <c r="I302" s="4" t="s">
        <v>104</v>
      </c>
      <c r="J302" s="2">
        <v>1000195872</v>
      </c>
      <c r="K302" s="2" t="s">
        <v>161</v>
      </c>
      <c r="L302" s="4" t="s">
        <v>22</v>
      </c>
      <c r="M302" s="4" t="str">
        <f t="shared" si="66"/>
        <v>1000184670100018619710001897861000195872S GLUTEN</v>
      </c>
      <c r="N302" s="28">
        <f>N289*_xlfn.XLOOKUP($L302,'Balizador da Meta'!$B$4:$B$21,'Balizador da Meta'!$C$4:$C$21)</f>
        <v>0</v>
      </c>
      <c r="O302" s="28">
        <f>O289*_xlfn.XLOOKUP($L302,'Balizador da Meta'!$B$4:$B$21,'Balizador da Meta'!$C$4:$C$21)</f>
        <v>0</v>
      </c>
      <c r="P302" s="28">
        <f>P289*_xlfn.XLOOKUP($L302,'Balizador da Meta'!$B$4:$B$21,'Balizador da Meta'!$C$4:$C$21)</f>
        <v>0</v>
      </c>
      <c r="Q302" s="28">
        <f>Q289*_xlfn.XLOOKUP($L302,'Balizador da Meta'!$B$4:$B$21,'Balizador da Meta'!$C$4:$C$21)</f>
        <v>0</v>
      </c>
      <c r="R302" s="28">
        <f>R289*_xlfn.XLOOKUP($L302,'Balizador da Meta'!$B$4:$B$21,'Balizador da Meta'!$C$4:$C$21)</f>
        <v>0</v>
      </c>
      <c r="S302" s="28">
        <f>S289*_xlfn.XLOOKUP($L302,'Balizador da Meta'!$B$4:$B$21,'Balizador da Meta'!$C$4:$C$21)</f>
        <v>0</v>
      </c>
      <c r="T302" s="28">
        <f>T289*_xlfn.XLOOKUP($L302,'Balizador da Meta'!$B$4:$B$21,'Balizador da Meta'!$C$4:$C$21)</f>
        <v>0</v>
      </c>
      <c r="U302" s="28">
        <f>U289*_xlfn.XLOOKUP($L302,'Balizador da Meta'!$B$4:$B$21,'Balizador da Meta'!$C$4:$C$21)</f>
        <v>0</v>
      </c>
      <c r="V302" s="28">
        <f>V289*_xlfn.XLOOKUP($L302,'Balizador da Meta'!$B$4:$B$21,'Balizador da Meta'!$C$4:$C$21)</f>
        <v>0</v>
      </c>
      <c r="W302" s="28">
        <f>W289*_xlfn.XLOOKUP($L302,'Balizador da Meta'!$B$4:$B$21,'Balizador da Meta'!$C$4:$C$21)</f>
        <v>0</v>
      </c>
      <c r="X302" s="28">
        <f>X289*_xlfn.XLOOKUP($L302,'Balizador da Meta'!$B$4:$B$21,'Balizador da Meta'!$C$4:$C$21)</f>
        <v>0</v>
      </c>
      <c r="Y302" s="28">
        <f>Y289*_xlfn.XLOOKUP($L302,'Balizador da Meta'!$B$4:$B$21,'Balizador da Meta'!$C$4:$C$21)</f>
        <v>0</v>
      </c>
      <c r="Z302" s="30">
        <f t="shared" si="72"/>
        <v>0</v>
      </c>
      <c r="AA302" s="29"/>
      <c r="AB302" s="31">
        <f>SUMIFS('Historico - FAT'!AK:AK,'Historico - FAT'!$K:$K,Faturamento!$L302,'Historico - FAT'!$I:$I,Faturamento!$J302,'Historico - FAT'!$G:$G,Faturamento!$H302)</f>
        <v>0</v>
      </c>
      <c r="AC302" s="31">
        <f>SUMIFS('Historico - FAT'!AL:AL,'Historico - FAT'!$K:$K,Faturamento!$L302,'Historico - FAT'!$I:$I,Faturamento!$J302,'Historico - FAT'!$G:$G,Faturamento!$H302)</f>
        <v>0</v>
      </c>
      <c r="AD302" s="31">
        <f>SUMIFS('Historico - FAT'!AM:AM,'Historico - FAT'!$K:$K,Faturamento!$L302,'Historico - FAT'!$I:$I,Faturamento!$J302,'Historico - FAT'!$G:$G,Faturamento!$H302)</f>
        <v>0</v>
      </c>
      <c r="AE302" s="27">
        <f>SUMIFS('Historico - FAT'!AN:AN,'Historico - FAT'!$K:$K,Faturamento!$L302,'Historico - FAT'!$I:$I,Faturamento!$J302,'Historico - FAT'!$G:$G,Faturamento!$H302)</f>
        <v>0</v>
      </c>
      <c r="AG302" s="24" t="str">
        <f t="shared" si="60"/>
        <v/>
      </c>
      <c r="AH302" s="24" t="str">
        <f t="shared" si="61"/>
        <v/>
      </c>
      <c r="AI302" s="24" t="str">
        <f t="shared" si="62"/>
        <v/>
      </c>
    </row>
    <row r="303" spans="1:35" hidden="1" x14ac:dyDescent="0.3">
      <c r="A303" s="2" t="str">
        <f t="shared" si="59"/>
        <v>NÃO</v>
      </c>
      <c r="B303" s="2">
        <v>1000184670</v>
      </c>
      <c r="C303" s="2" t="s">
        <v>147</v>
      </c>
      <c r="D303" s="4">
        <v>1000186197</v>
      </c>
      <c r="E303" s="4" t="s">
        <v>166</v>
      </c>
      <c r="F303" s="2">
        <v>1000184758</v>
      </c>
      <c r="G303" s="2" t="s">
        <v>55</v>
      </c>
      <c r="H303" s="4">
        <v>1000189786</v>
      </c>
      <c r="I303" s="4" t="s">
        <v>104</v>
      </c>
      <c r="J303" s="2">
        <v>1000195872</v>
      </c>
      <c r="K303" s="2" t="s">
        <v>161</v>
      </c>
      <c r="L303" s="4" t="s">
        <v>23</v>
      </c>
      <c r="M303" s="4" t="str">
        <f t="shared" si="66"/>
        <v>1000184670100018619710001897861000195872SABORES DO CAMPO</v>
      </c>
      <c r="N303" s="28">
        <f>N289*_xlfn.XLOOKUP($L303,'Balizador da Meta'!$B$4:$B$21,'Balizador da Meta'!$C$4:$C$21)</f>
        <v>0</v>
      </c>
      <c r="O303" s="28">
        <f>O289*_xlfn.XLOOKUP($L303,'Balizador da Meta'!$B$4:$B$21,'Balizador da Meta'!$C$4:$C$21)</f>
        <v>0</v>
      </c>
      <c r="P303" s="28">
        <f>P289*_xlfn.XLOOKUP($L303,'Balizador da Meta'!$B$4:$B$21,'Balizador da Meta'!$C$4:$C$21)</f>
        <v>0</v>
      </c>
      <c r="Q303" s="28">
        <f>Q289*_xlfn.XLOOKUP($L303,'Balizador da Meta'!$B$4:$B$21,'Balizador da Meta'!$C$4:$C$21)</f>
        <v>0</v>
      </c>
      <c r="R303" s="28">
        <f>R289*_xlfn.XLOOKUP($L303,'Balizador da Meta'!$B$4:$B$21,'Balizador da Meta'!$C$4:$C$21)</f>
        <v>0</v>
      </c>
      <c r="S303" s="28">
        <f>S289*_xlfn.XLOOKUP($L303,'Balizador da Meta'!$B$4:$B$21,'Balizador da Meta'!$C$4:$C$21)</f>
        <v>0</v>
      </c>
      <c r="T303" s="28">
        <f>T289*_xlfn.XLOOKUP($L303,'Balizador da Meta'!$B$4:$B$21,'Balizador da Meta'!$C$4:$C$21)</f>
        <v>0</v>
      </c>
      <c r="U303" s="28">
        <f>U289*_xlfn.XLOOKUP($L303,'Balizador da Meta'!$B$4:$B$21,'Balizador da Meta'!$C$4:$C$21)</f>
        <v>0</v>
      </c>
      <c r="V303" s="28">
        <f>V289*_xlfn.XLOOKUP($L303,'Balizador da Meta'!$B$4:$B$21,'Balizador da Meta'!$C$4:$C$21)</f>
        <v>0</v>
      </c>
      <c r="W303" s="28">
        <f>W289*_xlfn.XLOOKUP($L303,'Balizador da Meta'!$B$4:$B$21,'Balizador da Meta'!$C$4:$C$21)</f>
        <v>0</v>
      </c>
      <c r="X303" s="28">
        <f>X289*_xlfn.XLOOKUP($L303,'Balizador da Meta'!$B$4:$B$21,'Balizador da Meta'!$C$4:$C$21)</f>
        <v>0</v>
      </c>
      <c r="Y303" s="28">
        <f>Y289*_xlfn.XLOOKUP($L303,'Balizador da Meta'!$B$4:$B$21,'Balizador da Meta'!$C$4:$C$21)</f>
        <v>0</v>
      </c>
      <c r="Z303" s="30">
        <f t="shared" si="72"/>
        <v>0</v>
      </c>
      <c r="AA303" s="29"/>
      <c r="AB303" s="31">
        <f>SUMIFS('Historico - FAT'!AK:AK,'Historico - FAT'!$K:$K,Faturamento!$L303,'Historico - FAT'!$I:$I,Faturamento!$J303,'Historico - FAT'!$G:$G,Faturamento!$H303)</f>
        <v>0</v>
      </c>
      <c r="AC303" s="31">
        <f>SUMIFS('Historico - FAT'!AL:AL,'Historico - FAT'!$K:$K,Faturamento!$L303,'Historico - FAT'!$I:$I,Faturamento!$J303,'Historico - FAT'!$G:$G,Faturamento!$H303)</f>
        <v>0</v>
      </c>
      <c r="AD303" s="31">
        <f>SUMIFS('Historico - FAT'!AM:AM,'Historico - FAT'!$K:$K,Faturamento!$L303,'Historico - FAT'!$I:$I,Faturamento!$J303,'Historico - FAT'!$G:$G,Faturamento!$H303)</f>
        <v>0</v>
      </c>
      <c r="AE303" s="27">
        <f>SUMIFS('Historico - FAT'!AN:AN,'Historico - FAT'!$K:$K,Faturamento!$L303,'Historico - FAT'!$I:$I,Faturamento!$J303,'Historico - FAT'!$G:$G,Faturamento!$H303)</f>
        <v>0</v>
      </c>
      <c r="AG303" s="24" t="str">
        <f t="shared" si="60"/>
        <v/>
      </c>
      <c r="AH303" s="24" t="str">
        <f t="shared" si="61"/>
        <v/>
      </c>
      <c r="AI303" s="24" t="str">
        <f t="shared" si="62"/>
        <v/>
      </c>
    </row>
    <row r="304" spans="1:35" hidden="1" x14ac:dyDescent="0.3">
      <c r="A304" s="2" t="str">
        <f t="shared" si="59"/>
        <v>NÃO</v>
      </c>
      <c r="B304" s="2">
        <v>1000184670</v>
      </c>
      <c r="C304" s="2" t="s">
        <v>147</v>
      </c>
      <c r="D304" s="4">
        <v>1000186197</v>
      </c>
      <c r="E304" s="4" t="s">
        <v>166</v>
      </c>
      <c r="F304" s="2">
        <v>1000184758</v>
      </c>
      <c r="G304" s="2" t="s">
        <v>55</v>
      </c>
      <c r="H304" s="4">
        <v>1000189786</v>
      </c>
      <c r="I304" s="4" t="s">
        <v>104</v>
      </c>
      <c r="J304" s="2">
        <v>1000195872</v>
      </c>
      <c r="K304" s="2" t="s">
        <v>161</v>
      </c>
      <c r="L304" s="4" t="s">
        <v>28</v>
      </c>
      <c r="M304" s="4" t="str">
        <f t="shared" si="66"/>
        <v>1000184670100018619710001897861000195872SAL</v>
      </c>
      <c r="N304" s="28">
        <f>N289*_xlfn.XLOOKUP($L304,'Balizador da Meta'!$B$4:$B$21,'Balizador da Meta'!$C$4:$C$21)</f>
        <v>0</v>
      </c>
      <c r="O304" s="28">
        <f>O289*_xlfn.XLOOKUP($L304,'Balizador da Meta'!$B$4:$B$21,'Balizador da Meta'!$C$4:$C$21)</f>
        <v>0</v>
      </c>
      <c r="P304" s="28">
        <f>P289*_xlfn.XLOOKUP($L304,'Balizador da Meta'!$B$4:$B$21,'Balizador da Meta'!$C$4:$C$21)</f>
        <v>0</v>
      </c>
      <c r="Q304" s="28">
        <f>Q289*_xlfn.XLOOKUP($L304,'Balizador da Meta'!$B$4:$B$21,'Balizador da Meta'!$C$4:$C$21)</f>
        <v>0</v>
      </c>
      <c r="R304" s="28">
        <f>R289*_xlfn.XLOOKUP($L304,'Balizador da Meta'!$B$4:$B$21,'Balizador da Meta'!$C$4:$C$21)</f>
        <v>0</v>
      </c>
      <c r="S304" s="28">
        <f>S289*_xlfn.XLOOKUP($L304,'Balizador da Meta'!$B$4:$B$21,'Balizador da Meta'!$C$4:$C$21)</f>
        <v>0</v>
      </c>
      <c r="T304" s="28">
        <f>T289*_xlfn.XLOOKUP($L304,'Balizador da Meta'!$B$4:$B$21,'Balizador da Meta'!$C$4:$C$21)</f>
        <v>0</v>
      </c>
      <c r="U304" s="28">
        <f>U289*_xlfn.XLOOKUP($L304,'Balizador da Meta'!$B$4:$B$21,'Balizador da Meta'!$C$4:$C$21)</f>
        <v>0</v>
      </c>
      <c r="V304" s="28">
        <f>V289*_xlfn.XLOOKUP($L304,'Balizador da Meta'!$B$4:$B$21,'Balizador da Meta'!$C$4:$C$21)</f>
        <v>0</v>
      </c>
      <c r="W304" s="28">
        <f>W289*_xlfn.XLOOKUP($L304,'Balizador da Meta'!$B$4:$B$21,'Balizador da Meta'!$C$4:$C$21)</f>
        <v>0</v>
      </c>
      <c r="X304" s="28">
        <f>X289*_xlfn.XLOOKUP($L304,'Balizador da Meta'!$B$4:$B$21,'Balizador da Meta'!$C$4:$C$21)</f>
        <v>0</v>
      </c>
      <c r="Y304" s="28">
        <f>Y289*_xlfn.XLOOKUP($L304,'Balizador da Meta'!$B$4:$B$21,'Balizador da Meta'!$C$4:$C$21)</f>
        <v>0</v>
      </c>
      <c r="Z304" s="30">
        <f t="shared" si="72"/>
        <v>0</v>
      </c>
      <c r="AA304" s="29"/>
      <c r="AB304" s="31">
        <f>SUMIFS('Historico - FAT'!AK:AK,'Historico - FAT'!$K:$K,Faturamento!$L304,'Historico - FAT'!$I:$I,Faturamento!$J304,'Historico - FAT'!$G:$G,Faturamento!$H304)</f>
        <v>0</v>
      </c>
      <c r="AC304" s="31">
        <f>SUMIFS('Historico - FAT'!AL:AL,'Historico - FAT'!$K:$K,Faturamento!$L304,'Historico - FAT'!$I:$I,Faturamento!$J304,'Historico - FAT'!$G:$G,Faturamento!$H304)</f>
        <v>0</v>
      </c>
      <c r="AD304" s="31">
        <f>SUMIFS('Historico - FAT'!AM:AM,'Historico - FAT'!$K:$K,Faturamento!$L304,'Historico - FAT'!$I:$I,Faturamento!$J304,'Historico - FAT'!$G:$G,Faturamento!$H304)</f>
        <v>0</v>
      </c>
      <c r="AE304" s="27">
        <f>SUMIFS('Historico - FAT'!AN:AN,'Historico - FAT'!$K:$K,Faturamento!$L304,'Historico - FAT'!$I:$I,Faturamento!$J304,'Historico - FAT'!$G:$G,Faturamento!$H304)</f>
        <v>0</v>
      </c>
      <c r="AG304" s="24" t="str">
        <f t="shared" si="60"/>
        <v/>
      </c>
      <c r="AH304" s="24" t="str">
        <f t="shared" si="61"/>
        <v/>
      </c>
      <c r="AI304" s="24" t="str">
        <f t="shared" si="62"/>
        <v/>
      </c>
    </row>
    <row r="305" spans="1:35" hidden="1" x14ac:dyDescent="0.3">
      <c r="A305" s="2" t="str">
        <f t="shared" si="59"/>
        <v>NÃO</v>
      </c>
      <c r="B305" s="2">
        <v>1000184670</v>
      </c>
      <c r="C305" s="2" t="s">
        <v>147</v>
      </c>
      <c r="D305" s="4">
        <v>1000186197</v>
      </c>
      <c r="E305" s="4" t="s">
        <v>166</v>
      </c>
      <c r="F305" s="2">
        <v>1000184758</v>
      </c>
      <c r="G305" s="2" t="s">
        <v>55</v>
      </c>
      <c r="H305" s="4">
        <v>1000189786</v>
      </c>
      <c r="I305" s="4" t="s">
        <v>104</v>
      </c>
      <c r="J305" s="2">
        <v>1000195872</v>
      </c>
      <c r="K305" s="2" t="s">
        <v>161</v>
      </c>
      <c r="L305" s="4" t="s">
        <v>26</v>
      </c>
      <c r="M305" s="4" t="str">
        <f t="shared" si="66"/>
        <v>1000184670100018619710001897861000195872SOULPRO</v>
      </c>
      <c r="N305" s="28">
        <f>N289*_xlfn.XLOOKUP($L305,'Balizador da Meta'!$B$4:$B$21,'Balizador da Meta'!$C$4:$C$21)</f>
        <v>0</v>
      </c>
      <c r="O305" s="28">
        <f>O289*_xlfn.XLOOKUP($L305,'Balizador da Meta'!$B$4:$B$21,'Balizador da Meta'!$C$4:$C$21)</f>
        <v>0</v>
      </c>
      <c r="P305" s="28">
        <f>P289*_xlfn.XLOOKUP($L305,'Balizador da Meta'!$B$4:$B$21,'Balizador da Meta'!$C$4:$C$21)</f>
        <v>0</v>
      </c>
      <c r="Q305" s="28">
        <f>Q289*_xlfn.XLOOKUP($L305,'Balizador da Meta'!$B$4:$B$21,'Balizador da Meta'!$C$4:$C$21)</f>
        <v>0</v>
      </c>
      <c r="R305" s="28">
        <f>R289*_xlfn.XLOOKUP($L305,'Balizador da Meta'!$B$4:$B$21,'Balizador da Meta'!$C$4:$C$21)</f>
        <v>0</v>
      </c>
      <c r="S305" s="28">
        <f>S289*_xlfn.XLOOKUP($L305,'Balizador da Meta'!$B$4:$B$21,'Balizador da Meta'!$C$4:$C$21)</f>
        <v>0</v>
      </c>
      <c r="T305" s="28">
        <f>T289*_xlfn.XLOOKUP($L305,'Balizador da Meta'!$B$4:$B$21,'Balizador da Meta'!$C$4:$C$21)</f>
        <v>0</v>
      </c>
      <c r="U305" s="28">
        <f>U289*_xlfn.XLOOKUP($L305,'Balizador da Meta'!$B$4:$B$21,'Balizador da Meta'!$C$4:$C$21)</f>
        <v>0</v>
      </c>
      <c r="V305" s="28">
        <f>V289*_xlfn.XLOOKUP($L305,'Balizador da Meta'!$B$4:$B$21,'Balizador da Meta'!$C$4:$C$21)</f>
        <v>0</v>
      </c>
      <c r="W305" s="28">
        <f>W289*_xlfn.XLOOKUP($L305,'Balizador da Meta'!$B$4:$B$21,'Balizador da Meta'!$C$4:$C$21)</f>
        <v>0</v>
      </c>
      <c r="X305" s="28">
        <f>X289*_xlfn.XLOOKUP($L305,'Balizador da Meta'!$B$4:$B$21,'Balizador da Meta'!$C$4:$C$21)</f>
        <v>0</v>
      </c>
      <c r="Y305" s="28">
        <f>Y289*_xlfn.XLOOKUP($L305,'Balizador da Meta'!$B$4:$B$21,'Balizador da Meta'!$C$4:$C$21)</f>
        <v>0</v>
      </c>
      <c r="Z305" s="30">
        <f t="shared" si="72"/>
        <v>0</v>
      </c>
      <c r="AA305" s="29"/>
      <c r="AB305" s="31">
        <f>SUMIFS('Historico - FAT'!AK:AK,'Historico - FAT'!$K:$K,Faturamento!$L305,'Historico - FAT'!$I:$I,Faturamento!$J305,'Historico - FAT'!$G:$G,Faturamento!$H305)</f>
        <v>0</v>
      </c>
      <c r="AC305" s="31">
        <f>SUMIFS('Historico - FAT'!AL:AL,'Historico - FAT'!$K:$K,Faturamento!$L305,'Historico - FAT'!$I:$I,Faturamento!$J305,'Historico - FAT'!$G:$G,Faturamento!$H305)</f>
        <v>27.555000000000003</v>
      </c>
      <c r="AD305" s="31">
        <f>SUMIFS('Historico - FAT'!AM:AM,'Historico - FAT'!$K:$K,Faturamento!$L305,'Historico - FAT'!$I:$I,Faturamento!$J305,'Historico - FAT'!$G:$G,Faturamento!$H305)</f>
        <v>0</v>
      </c>
      <c r="AE305" s="27">
        <f>SUMIFS('Historico - FAT'!AN:AN,'Historico - FAT'!$K:$K,Faturamento!$L305,'Historico - FAT'!$I:$I,Faturamento!$J305,'Historico - FAT'!$G:$G,Faturamento!$H305)</f>
        <v>33.066000000000003</v>
      </c>
      <c r="AG305" s="24" t="str">
        <f t="shared" si="60"/>
        <v/>
      </c>
      <c r="AH305" s="24" t="str">
        <f t="shared" si="61"/>
        <v/>
      </c>
      <c r="AI305" s="24" t="str">
        <f t="shared" si="62"/>
        <v/>
      </c>
    </row>
    <row r="306" spans="1:35" hidden="1" x14ac:dyDescent="0.3">
      <c r="A306" s="2" t="str">
        <f t="shared" ref="A306:A369" si="73">IF(OR(H306&lt;&gt;H305,J306&lt;&gt;J305),"SIM","NÃO")</f>
        <v>NÃO</v>
      </c>
      <c r="B306" s="2">
        <v>1000184670</v>
      </c>
      <c r="C306" s="2" t="s">
        <v>147</v>
      </c>
      <c r="D306" s="4">
        <v>1000186197</v>
      </c>
      <c r="E306" s="4" t="s">
        <v>166</v>
      </c>
      <c r="F306" s="2">
        <v>1000184758</v>
      </c>
      <c r="G306" s="2" t="s">
        <v>55</v>
      </c>
      <c r="H306" s="4">
        <v>1000189786</v>
      </c>
      <c r="I306" s="4" t="s">
        <v>104</v>
      </c>
      <c r="J306" s="2">
        <v>1000195872</v>
      </c>
      <c r="K306" s="2" t="s">
        <v>161</v>
      </c>
      <c r="L306" s="4" t="s">
        <v>27</v>
      </c>
      <c r="M306" s="4" t="str">
        <f t="shared" si="66"/>
        <v>1000184670100018619710001897861000195872TAMARA</v>
      </c>
      <c r="N306" s="28">
        <f>N289*_xlfn.XLOOKUP($L306,'Balizador da Meta'!$B$4:$B$21,'Balizador da Meta'!$C$4:$C$21)</f>
        <v>0</v>
      </c>
      <c r="O306" s="28">
        <f>O289*_xlfn.XLOOKUP($L306,'Balizador da Meta'!$B$4:$B$21,'Balizador da Meta'!$C$4:$C$21)</f>
        <v>0</v>
      </c>
      <c r="P306" s="28">
        <f>P289*_xlfn.XLOOKUP($L306,'Balizador da Meta'!$B$4:$B$21,'Balizador da Meta'!$C$4:$C$21)</f>
        <v>0</v>
      </c>
      <c r="Q306" s="28">
        <f>Q289*_xlfn.XLOOKUP($L306,'Balizador da Meta'!$B$4:$B$21,'Balizador da Meta'!$C$4:$C$21)</f>
        <v>0</v>
      </c>
      <c r="R306" s="28">
        <f>R289*_xlfn.XLOOKUP($L306,'Balizador da Meta'!$B$4:$B$21,'Balizador da Meta'!$C$4:$C$21)</f>
        <v>0</v>
      </c>
      <c r="S306" s="28">
        <f>S289*_xlfn.XLOOKUP($L306,'Balizador da Meta'!$B$4:$B$21,'Balizador da Meta'!$C$4:$C$21)</f>
        <v>0</v>
      </c>
      <c r="T306" s="28">
        <f>T289*_xlfn.XLOOKUP($L306,'Balizador da Meta'!$B$4:$B$21,'Balizador da Meta'!$C$4:$C$21)</f>
        <v>0</v>
      </c>
      <c r="U306" s="28">
        <f>U289*_xlfn.XLOOKUP($L306,'Balizador da Meta'!$B$4:$B$21,'Balizador da Meta'!$C$4:$C$21)</f>
        <v>0</v>
      </c>
      <c r="V306" s="28">
        <f>V289*_xlfn.XLOOKUP($L306,'Balizador da Meta'!$B$4:$B$21,'Balizador da Meta'!$C$4:$C$21)</f>
        <v>0</v>
      </c>
      <c r="W306" s="28">
        <f>W289*_xlfn.XLOOKUP($L306,'Balizador da Meta'!$B$4:$B$21,'Balizador da Meta'!$C$4:$C$21)</f>
        <v>0</v>
      </c>
      <c r="X306" s="28">
        <f>X289*_xlfn.XLOOKUP($L306,'Balizador da Meta'!$B$4:$B$21,'Balizador da Meta'!$C$4:$C$21)</f>
        <v>0</v>
      </c>
      <c r="Y306" s="28">
        <f>Y289*_xlfn.XLOOKUP($L306,'Balizador da Meta'!$B$4:$B$21,'Balizador da Meta'!$C$4:$C$21)</f>
        <v>0</v>
      </c>
      <c r="Z306" s="30">
        <f t="shared" si="72"/>
        <v>0</v>
      </c>
      <c r="AA306" s="29"/>
      <c r="AB306" s="31">
        <f>SUMIFS('Historico - FAT'!AK:AK,'Historico - FAT'!$K:$K,Faturamento!$L306,'Historico - FAT'!$I:$I,Faturamento!$J306,'Historico - FAT'!$G:$G,Faturamento!$H306)</f>
        <v>0</v>
      </c>
      <c r="AC306" s="31">
        <f>SUMIFS('Historico - FAT'!AL:AL,'Historico - FAT'!$K:$K,Faturamento!$L306,'Historico - FAT'!$I:$I,Faturamento!$J306,'Historico - FAT'!$G:$G,Faturamento!$H306)</f>
        <v>0</v>
      </c>
      <c r="AD306" s="31">
        <f>SUMIFS('Historico - FAT'!AM:AM,'Historico - FAT'!$K:$K,Faturamento!$L306,'Historico - FAT'!$I:$I,Faturamento!$J306,'Historico - FAT'!$G:$G,Faturamento!$H306)</f>
        <v>0</v>
      </c>
      <c r="AE306" s="27">
        <f>SUMIFS('Historico - FAT'!AN:AN,'Historico - FAT'!$K:$K,Faturamento!$L306,'Historico - FAT'!$I:$I,Faturamento!$J306,'Historico - FAT'!$G:$G,Faturamento!$H306)</f>
        <v>0</v>
      </c>
      <c r="AG306" s="24" t="str">
        <f t="shared" ref="AG306:AG369" si="74">IFERROR((AVERAGE(W306:Y306)-AB306)/AVERAGE(W306:Y306),"")</f>
        <v/>
      </c>
      <c r="AH306" s="24" t="str">
        <f t="shared" ref="AH306:AH369" si="75">IFERROR((AVERAGE(W306:Y306)-AC306)/AVERAGE(W306:Y306),"")</f>
        <v/>
      </c>
      <c r="AI306" s="24" t="str">
        <f t="shared" ref="AI306:AI369" si="76">IFERROR((AVERAGE(W306:Y306)-AD306)/AVERAGE(W306:Y306),"")</f>
        <v/>
      </c>
    </row>
    <row r="307" spans="1:35" hidden="1" x14ac:dyDescent="0.3">
      <c r="A307" s="2" t="str">
        <f t="shared" si="73"/>
        <v>NÃO</v>
      </c>
      <c r="B307" s="2">
        <v>1000184670</v>
      </c>
      <c r="C307" s="2" t="s">
        <v>147</v>
      </c>
      <c r="D307" s="4">
        <v>1000186197</v>
      </c>
      <c r="E307" s="4" t="s">
        <v>166</v>
      </c>
      <c r="F307" s="2">
        <v>1000184758</v>
      </c>
      <c r="G307" s="2" t="s">
        <v>55</v>
      </c>
      <c r="H307" s="4">
        <v>1000189786</v>
      </c>
      <c r="I307" s="4" t="s">
        <v>104</v>
      </c>
      <c r="J307" s="2">
        <v>1000195872</v>
      </c>
      <c r="K307" s="2" t="s">
        <v>161</v>
      </c>
      <c r="L307" s="4" t="s">
        <v>25</v>
      </c>
      <c r="M307" s="4" t="str">
        <f t="shared" si="66"/>
        <v>1000184670100018619710001897861000195872VICCIO</v>
      </c>
      <c r="N307" s="28">
        <f>N289*_xlfn.XLOOKUP($L307,'Balizador da Meta'!$B$4:$B$21,'Balizador da Meta'!$C$4:$C$21)</f>
        <v>0</v>
      </c>
      <c r="O307" s="28">
        <f>O289*_xlfn.XLOOKUP($L307,'Balizador da Meta'!$B$4:$B$21,'Balizador da Meta'!$C$4:$C$21)</f>
        <v>0</v>
      </c>
      <c r="P307" s="28">
        <f>P289*_xlfn.XLOOKUP($L307,'Balizador da Meta'!$B$4:$B$21,'Balizador da Meta'!$C$4:$C$21)</f>
        <v>0</v>
      </c>
      <c r="Q307" s="28">
        <f>Q289*_xlfn.XLOOKUP($L307,'Balizador da Meta'!$B$4:$B$21,'Balizador da Meta'!$C$4:$C$21)</f>
        <v>0</v>
      </c>
      <c r="R307" s="28">
        <f>R289*_xlfn.XLOOKUP($L307,'Balizador da Meta'!$B$4:$B$21,'Balizador da Meta'!$C$4:$C$21)</f>
        <v>0</v>
      </c>
      <c r="S307" s="28">
        <f>S289*_xlfn.XLOOKUP($L307,'Balizador da Meta'!$B$4:$B$21,'Balizador da Meta'!$C$4:$C$21)</f>
        <v>0</v>
      </c>
      <c r="T307" s="28">
        <f>T289*_xlfn.XLOOKUP($L307,'Balizador da Meta'!$B$4:$B$21,'Balizador da Meta'!$C$4:$C$21)</f>
        <v>0</v>
      </c>
      <c r="U307" s="28">
        <f>U289*_xlfn.XLOOKUP($L307,'Balizador da Meta'!$B$4:$B$21,'Balizador da Meta'!$C$4:$C$21)</f>
        <v>0</v>
      </c>
      <c r="V307" s="28">
        <f>V289*_xlfn.XLOOKUP($L307,'Balizador da Meta'!$B$4:$B$21,'Balizador da Meta'!$C$4:$C$21)</f>
        <v>0</v>
      </c>
      <c r="W307" s="28">
        <f>W289*_xlfn.XLOOKUP($L307,'Balizador da Meta'!$B$4:$B$21,'Balizador da Meta'!$C$4:$C$21)</f>
        <v>0</v>
      </c>
      <c r="X307" s="28">
        <f>X289*_xlfn.XLOOKUP($L307,'Balizador da Meta'!$B$4:$B$21,'Balizador da Meta'!$C$4:$C$21)</f>
        <v>0</v>
      </c>
      <c r="Y307" s="28">
        <f>Y289*_xlfn.XLOOKUP($L307,'Balizador da Meta'!$B$4:$B$21,'Balizador da Meta'!$C$4:$C$21)</f>
        <v>0</v>
      </c>
      <c r="Z307" s="30">
        <f t="shared" si="72"/>
        <v>0</v>
      </c>
      <c r="AA307" s="29"/>
      <c r="AB307" s="31">
        <f>SUMIFS('Historico - FAT'!AK:AK,'Historico - FAT'!$K:$K,Faturamento!$L307,'Historico - FAT'!$I:$I,Faturamento!$J307,'Historico - FAT'!$G:$G,Faturamento!$H307)</f>
        <v>0</v>
      </c>
      <c r="AC307" s="31">
        <f>SUMIFS('Historico - FAT'!AL:AL,'Historico - FAT'!$K:$K,Faturamento!$L307,'Historico - FAT'!$I:$I,Faturamento!$J307,'Historico - FAT'!$G:$G,Faturamento!$H307)</f>
        <v>0</v>
      </c>
      <c r="AD307" s="31">
        <f>SUMIFS('Historico - FAT'!AM:AM,'Historico - FAT'!$K:$K,Faturamento!$L307,'Historico - FAT'!$I:$I,Faturamento!$J307,'Historico - FAT'!$G:$G,Faturamento!$H307)</f>
        <v>0</v>
      </c>
      <c r="AE307" s="27">
        <f>SUMIFS('Historico - FAT'!AN:AN,'Historico - FAT'!$K:$K,Faturamento!$L307,'Historico - FAT'!$I:$I,Faturamento!$J307,'Historico - FAT'!$G:$G,Faturamento!$H307)</f>
        <v>0</v>
      </c>
      <c r="AG307" s="24" t="str">
        <f t="shared" si="74"/>
        <v/>
      </c>
      <c r="AH307" s="24" t="str">
        <f t="shared" si="75"/>
        <v/>
      </c>
      <c r="AI307" s="24" t="str">
        <f t="shared" si="76"/>
        <v/>
      </c>
    </row>
    <row r="308" spans="1:35" x14ac:dyDescent="0.3">
      <c r="A308" s="2" t="str">
        <f t="shared" si="73"/>
        <v>SIM</v>
      </c>
      <c r="B308" s="2">
        <v>1000184670</v>
      </c>
      <c r="C308" s="2" t="s">
        <v>147</v>
      </c>
      <c r="D308" s="4">
        <v>1000186198</v>
      </c>
      <c r="E308" s="4" t="s">
        <v>168</v>
      </c>
      <c r="F308" s="2">
        <v>1000185288</v>
      </c>
      <c r="G308" s="2" t="s">
        <v>64</v>
      </c>
      <c r="H308" s="4">
        <v>1000189793</v>
      </c>
      <c r="I308" s="4" t="s">
        <v>85</v>
      </c>
      <c r="J308" s="2">
        <v>1000189763</v>
      </c>
      <c r="K308" s="2" t="s">
        <v>156</v>
      </c>
      <c r="L308" s="4" t="s">
        <v>124</v>
      </c>
      <c r="M308" s="4" t="str">
        <f t="shared" si="66"/>
        <v>100018467010001861981000189793100018976301. TOTAL</v>
      </c>
      <c r="N308" s="28">
        <f>SUMIFS(Positivação!L:L,Positivação!$I:$I,Faturamento!$J308,Positivação!$G:$G,Faturamento!$H308)*SUMIFS(Positivação!$Z:$Z,Positivação!$I:$I,Faturamento!$J308,Positivação!$G:$G,Faturamento!$H308)</f>
        <v>1500</v>
      </c>
      <c r="O308" s="28">
        <f>SUMIFS(Positivação!M:M,Positivação!$I:$I,Faturamento!$J308,Positivação!$G:$G,Faturamento!$H308)*SUMIFS(Positivação!$Z:$Z,Positivação!$I:$I,Faturamento!$J308,Positivação!$G:$G,Faturamento!$H308)</f>
        <v>1500</v>
      </c>
      <c r="P308" s="28">
        <f>SUMIFS(Positivação!N:N,Positivação!$I:$I,Faturamento!$J308,Positivação!$G:$G,Faturamento!$H308)*SUMIFS(Positivação!$Z:$Z,Positivação!$I:$I,Faturamento!$J308,Positivação!$G:$G,Faturamento!$H308)</f>
        <v>1500</v>
      </c>
      <c r="Q308" s="28">
        <f>SUMIFS(Positivação!O:O,Positivação!$I:$I,Faturamento!$J308,Positivação!$G:$G,Faturamento!$H308)*SUMIFS(Positivação!$Z:$Z,Positivação!$I:$I,Faturamento!$J308,Positivação!$G:$G,Faturamento!$H308)</f>
        <v>1500</v>
      </c>
      <c r="R308" s="28">
        <f>SUMIFS(Positivação!P:P,Positivação!$I:$I,Faturamento!$J308,Positivação!$G:$G,Faturamento!$H308)*SUMIFS(Positivação!$Z:$Z,Positivação!$I:$I,Faturamento!$J308,Positivação!$G:$G,Faturamento!$H308)</f>
        <v>1500</v>
      </c>
      <c r="S308" s="28">
        <f>SUMIFS(Positivação!Q:Q,Positivação!$I:$I,Faturamento!$J308,Positivação!$G:$G,Faturamento!$H308)*SUMIFS(Positivação!$Z:$Z,Positivação!$I:$I,Faturamento!$J308,Positivação!$G:$G,Faturamento!$H308)</f>
        <v>1500</v>
      </c>
      <c r="T308" s="28">
        <f>SUMIFS(Positivação!R:R,Positivação!$I:$I,Faturamento!$J308,Positivação!$G:$G,Faturamento!$H308)*SUMIFS(Positivação!$Z:$Z,Positivação!$I:$I,Faturamento!$J308,Positivação!$G:$G,Faturamento!$H308)</f>
        <v>1500</v>
      </c>
      <c r="U308" s="28">
        <f>SUMIFS(Positivação!S:S,Positivação!$I:$I,Faturamento!$J308,Positivação!$G:$G,Faturamento!$H308)*SUMIFS(Positivação!$Z:$Z,Positivação!$I:$I,Faturamento!$J308,Positivação!$G:$G,Faturamento!$H308)</f>
        <v>1500</v>
      </c>
      <c r="V308" s="28">
        <f>SUMIFS(Positivação!T:T,Positivação!$I:$I,Faturamento!$J308,Positivação!$G:$G,Faturamento!$H308)*SUMIFS(Positivação!$Z:$Z,Positivação!$I:$I,Faturamento!$J308,Positivação!$G:$G,Faturamento!$H308)</f>
        <v>1500</v>
      </c>
      <c r="W308" s="28">
        <f>SUMIFS(Positivação!U:U,Positivação!$I:$I,Faturamento!$J308,Positivação!$G:$G,Faturamento!$H308)*SUMIFS(Positivação!$Z:$Z,Positivação!$I:$I,Faturamento!$J308,Positivação!$G:$G,Faturamento!$H308)</f>
        <v>1500</v>
      </c>
      <c r="X308" s="28">
        <f>SUMIFS(Positivação!V:V,Positivação!$I:$I,Faturamento!$J308,Positivação!$G:$G,Faturamento!$H308)*SUMIFS(Positivação!$Z:$Z,Positivação!$I:$I,Faturamento!$J308,Positivação!$G:$G,Faturamento!$H308)</f>
        <v>1500</v>
      </c>
      <c r="Y308" s="28">
        <f>SUMIFS(Positivação!W:W,Positivação!$I:$I,Faturamento!$J308,Positivação!$G:$G,Faturamento!$H308)*SUMIFS(Positivação!$Z:$Z,Positivação!$I:$I,Faturamento!$J308,Positivação!$G:$G,Faturamento!$H308)</f>
        <v>1500</v>
      </c>
      <c r="Z308" s="28">
        <f t="shared" ref="Z308" si="77">SUM(Z309:Z326)</f>
        <v>18000</v>
      </c>
      <c r="AA308" s="29"/>
      <c r="AB308" s="28">
        <f t="shared" ref="AB308:AE308" si="78">SUM(AB309:AB326)</f>
        <v>0</v>
      </c>
      <c r="AC308" s="28">
        <f t="shared" si="78"/>
        <v>1127.0024999999998</v>
      </c>
      <c r="AD308" s="28">
        <f t="shared" si="78"/>
        <v>2254.0049999999997</v>
      </c>
      <c r="AE308" s="28">
        <f t="shared" si="78"/>
        <v>1352.4029999999998</v>
      </c>
      <c r="AG308" s="24">
        <f t="shared" si="74"/>
        <v>1</v>
      </c>
      <c r="AH308" s="24">
        <f t="shared" si="75"/>
        <v>0.24866500000000011</v>
      </c>
      <c r="AI308" s="24">
        <f t="shared" si="76"/>
        <v>-0.50266999999999973</v>
      </c>
    </row>
    <row r="309" spans="1:35" hidden="1" x14ac:dyDescent="0.3">
      <c r="A309" s="2" t="str">
        <f t="shared" si="73"/>
        <v>NÃO</v>
      </c>
      <c r="B309" s="2">
        <v>1000184670</v>
      </c>
      <c r="C309" s="2" t="s">
        <v>147</v>
      </c>
      <c r="D309" s="4">
        <v>1000186198</v>
      </c>
      <c r="E309" s="4" t="s">
        <v>168</v>
      </c>
      <c r="F309" s="2">
        <v>1000185288</v>
      </c>
      <c r="G309" s="2" t="s">
        <v>64</v>
      </c>
      <c r="H309" s="4">
        <v>1000189793</v>
      </c>
      <c r="I309" s="4" t="s">
        <v>85</v>
      </c>
      <c r="J309" s="2">
        <v>1000189763</v>
      </c>
      <c r="K309" s="2" t="s">
        <v>156</v>
      </c>
      <c r="L309" s="4" t="s">
        <v>13</v>
      </c>
      <c r="M309" s="4" t="str">
        <f t="shared" si="66"/>
        <v>1000184670100018619810001897931000189763BISCOITO</v>
      </c>
      <c r="N309" s="28">
        <f>N308*_xlfn.XLOOKUP($L309,'Balizador da Meta'!$B$4:$B$21,'Balizador da Meta'!$C$4:$C$21)</f>
        <v>105.00000000000001</v>
      </c>
      <c r="O309" s="28">
        <f>O308*_xlfn.XLOOKUP($L309,'Balizador da Meta'!$B$4:$B$21,'Balizador da Meta'!$C$4:$C$21)</f>
        <v>105.00000000000001</v>
      </c>
      <c r="P309" s="28">
        <f>P308*_xlfn.XLOOKUP($L309,'Balizador da Meta'!$B$4:$B$21,'Balizador da Meta'!$C$4:$C$21)</f>
        <v>105.00000000000001</v>
      </c>
      <c r="Q309" s="28">
        <f>Q308*_xlfn.XLOOKUP($L309,'Balizador da Meta'!$B$4:$B$21,'Balizador da Meta'!$C$4:$C$21)</f>
        <v>105.00000000000001</v>
      </c>
      <c r="R309" s="28">
        <f>R308*_xlfn.XLOOKUP($L309,'Balizador da Meta'!$B$4:$B$21,'Balizador da Meta'!$C$4:$C$21)</f>
        <v>105.00000000000001</v>
      </c>
      <c r="S309" s="28">
        <f>S308*_xlfn.XLOOKUP($L309,'Balizador da Meta'!$B$4:$B$21,'Balizador da Meta'!$C$4:$C$21)</f>
        <v>105.00000000000001</v>
      </c>
      <c r="T309" s="28">
        <f>T308*_xlfn.XLOOKUP($L309,'Balizador da Meta'!$B$4:$B$21,'Balizador da Meta'!$C$4:$C$21)</f>
        <v>105.00000000000001</v>
      </c>
      <c r="U309" s="28">
        <f>U308*_xlfn.XLOOKUP($L309,'Balizador da Meta'!$B$4:$B$21,'Balizador da Meta'!$C$4:$C$21)</f>
        <v>105.00000000000001</v>
      </c>
      <c r="V309" s="28">
        <f>V308*_xlfn.XLOOKUP($L309,'Balizador da Meta'!$B$4:$B$21,'Balizador da Meta'!$C$4:$C$21)</f>
        <v>105.00000000000001</v>
      </c>
      <c r="W309" s="28">
        <f>W308*_xlfn.XLOOKUP($L309,'Balizador da Meta'!$B$4:$B$21,'Balizador da Meta'!$C$4:$C$21)</f>
        <v>105.00000000000001</v>
      </c>
      <c r="X309" s="28">
        <f>X308*_xlfn.XLOOKUP($L309,'Balizador da Meta'!$B$4:$B$21,'Balizador da Meta'!$C$4:$C$21)</f>
        <v>105.00000000000001</v>
      </c>
      <c r="Y309" s="28">
        <f>Y308*_xlfn.XLOOKUP($L309,'Balizador da Meta'!$B$4:$B$21,'Balizador da Meta'!$C$4:$C$21)</f>
        <v>105.00000000000001</v>
      </c>
      <c r="Z309" s="30">
        <f t="shared" ref="Z309:Z326" si="79">SUM(N309:Y309)</f>
        <v>1260.0000000000002</v>
      </c>
      <c r="AA309" s="29"/>
      <c r="AB309" s="31">
        <f>SUMIFS('Historico - FAT'!AK:AK,'Historico - FAT'!$K:$K,Faturamento!$L309,'Historico - FAT'!$I:$I,Faturamento!$J309,'Historico - FAT'!$G:$G,Faturamento!$H309)</f>
        <v>0</v>
      </c>
      <c r="AC309" s="31">
        <f>SUMIFS('Historico - FAT'!AL:AL,'Historico - FAT'!$K:$K,Faturamento!$L309,'Historico - FAT'!$I:$I,Faturamento!$J309,'Historico - FAT'!$G:$G,Faturamento!$H309)</f>
        <v>108.52999999999999</v>
      </c>
      <c r="AD309" s="31">
        <f>SUMIFS('Historico - FAT'!AM:AM,'Historico - FAT'!$K:$K,Faturamento!$L309,'Historico - FAT'!$I:$I,Faturamento!$J309,'Historico - FAT'!$G:$G,Faturamento!$H309)</f>
        <v>217.05999999999997</v>
      </c>
      <c r="AE309" s="27">
        <f>SUMIFS('Historico - FAT'!AN:AN,'Historico - FAT'!$K:$K,Faturamento!$L309,'Historico - FAT'!$I:$I,Faturamento!$J309,'Historico - FAT'!$G:$G,Faturamento!$H309)</f>
        <v>130.23599999999999</v>
      </c>
      <c r="AG309" s="24">
        <f t="shared" si="74"/>
        <v>1</v>
      </c>
      <c r="AH309" s="24">
        <f t="shared" si="75"/>
        <v>-3.3619047619047354E-2</v>
      </c>
      <c r="AI309" s="24">
        <f t="shared" si="76"/>
        <v>-1.0672380952380947</v>
      </c>
    </row>
    <row r="310" spans="1:35" hidden="1" x14ac:dyDescent="0.3">
      <c r="A310" s="2" t="str">
        <f t="shared" si="73"/>
        <v>NÃO</v>
      </c>
      <c r="B310" s="2">
        <v>1000184670</v>
      </c>
      <c r="C310" s="2" t="s">
        <v>147</v>
      </c>
      <c r="D310" s="4">
        <v>1000186198</v>
      </c>
      <c r="E310" s="4" t="s">
        <v>168</v>
      </c>
      <c r="F310" s="2">
        <v>1000185288</v>
      </c>
      <c r="G310" s="2" t="s">
        <v>64</v>
      </c>
      <c r="H310" s="4">
        <v>1000189793</v>
      </c>
      <c r="I310" s="4" t="s">
        <v>85</v>
      </c>
      <c r="J310" s="2">
        <v>1000189763</v>
      </c>
      <c r="K310" s="2" t="s">
        <v>156</v>
      </c>
      <c r="L310" s="4" t="s">
        <v>14</v>
      </c>
      <c r="M310" s="4" t="str">
        <f t="shared" si="66"/>
        <v>1000184670100018619810001897931000189763CHOCOLATES</v>
      </c>
      <c r="N310" s="28">
        <f>N308*_xlfn.XLOOKUP($L310,'Balizador da Meta'!$B$4:$B$21,'Balizador da Meta'!$C$4:$C$21)</f>
        <v>105.00000000000001</v>
      </c>
      <c r="O310" s="28">
        <f>O308*_xlfn.XLOOKUP($L310,'Balizador da Meta'!$B$4:$B$21,'Balizador da Meta'!$C$4:$C$21)</f>
        <v>105.00000000000001</v>
      </c>
      <c r="P310" s="28">
        <f>P308*_xlfn.XLOOKUP($L310,'Balizador da Meta'!$B$4:$B$21,'Balizador da Meta'!$C$4:$C$21)</f>
        <v>105.00000000000001</v>
      </c>
      <c r="Q310" s="28">
        <f>Q308*_xlfn.XLOOKUP($L310,'Balizador da Meta'!$B$4:$B$21,'Balizador da Meta'!$C$4:$C$21)</f>
        <v>105.00000000000001</v>
      </c>
      <c r="R310" s="28">
        <f>R308*_xlfn.XLOOKUP($L310,'Balizador da Meta'!$B$4:$B$21,'Balizador da Meta'!$C$4:$C$21)</f>
        <v>105.00000000000001</v>
      </c>
      <c r="S310" s="28">
        <f>S308*_xlfn.XLOOKUP($L310,'Balizador da Meta'!$B$4:$B$21,'Balizador da Meta'!$C$4:$C$21)</f>
        <v>105.00000000000001</v>
      </c>
      <c r="T310" s="28">
        <f>T308*_xlfn.XLOOKUP($L310,'Balizador da Meta'!$B$4:$B$21,'Balizador da Meta'!$C$4:$C$21)</f>
        <v>105.00000000000001</v>
      </c>
      <c r="U310" s="28">
        <f>U308*_xlfn.XLOOKUP($L310,'Balizador da Meta'!$B$4:$B$21,'Balizador da Meta'!$C$4:$C$21)</f>
        <v>105.00000000000001</v>
      </c>
      <c r="V310" s="28">
        <f>V308*_xlfn.XLOOKUP($L310,'Balizador da Meta'!$B$4:$B$21,'Balizador da Meta'!$C$4:$C$21)</f>
        <v>105.00000000000001</v>
      </c>
      <c r="W310" s="28">
        <f>W308*_xlfn.XLOOKUP($L310,'Balizador da Meta'!$B$4:$B$21,'Balizador da Meta'!$C$4:$C$21)</f>
        <v>105.00000000000001</v>
      </c>
      <c r="X310" s="28">
        <f>X308*_xlfn.XLOOKUP($L310,'Balizador da Meta'!$B$4:$B$21,'Balizador da Meta'!$C$4:$C$21)</f>
        <v>105.00000000000001</v>
      </c>
      <c r="Y310" s="28">
        <f>Y308*_xlfn.XLOOKUP($L310,'Balizador da Meta'!$B$4:$B$21,'Balizador da Meta'!$C$4:$C$21)</f>
        <v>105.00000000000001</v>
      </c>
      <c r="Z310" s="30">
        <f t="shared" si="79"/>
        <v>1260.0000000000002</v>
      </c>
      <c r="AA310" s="29"/>
      <c r="AB310" s="31">
        <f>SUMIFS('Historico - FAT'!AK:AK,'Historico - FAT'!$K:$K,Faturamento!$L310,'Historico - FAT'!$I:$I,Faturamento!$J310,'Historico - FAT'!$G:$G,Faturamento!$H310)</f>
        <v>0</v>
      </c>
      <c r="AC310" s="31">
        <f>SUMIFS('Historico - FAT'!AL:AL,'Historico - FAT'!$K:$K,Faturamento!$L310,'Historico - FAT'!$I:$I,Faturamento!$J310,'Historico - FAT'!$G:$G,Faturamento!$H310)</f>
        <v>90.5</v>
      </c>
      <c r="AD310" s="31">
        <f>SUMIFS('Historico - FAT'!AM:AM,'Historico - FAT'!$K:$K,Faturamento!$L310,'Historico - FAT'!$I:$I,Faturamento!$J310,'Historico - FAT'!$G:$G,Faturamento!$H310)</f>
        <v>181</v>
      </c>
      <c r="AE310" s="27">
        <f>SUMIFS('Historico - FAT'!AN:AN,'Historico - FAT'!$K:$K,Faturamento!$L310,'Historico - FAT'!$I:$I,Faturamento!$J310,'Historico - FAT'!$G:$G,Faturamento!$H310)</f>
        <v>108.6</v>
      </c>
      <c r="AG310" s="24">
        <f t="shared" si="74"/>
        <v>1</v>
      </c>
      <c r="AH310" s="24">
        <f t="shared" si="75"/>
        <v>0.13809523809523822</v>
      </c>
      <c r="AI310" s="24">
        <f t="shared" si="76"/>
        <v>-0.72380952380952357</v>
      </c>
    </row>
    <row r="311" spans="1:35" hidden="1" x14ac:dyDescent="0.3">
      <c r="A311" s="2" t="str">
        <f t="shared" si="73"/>
        <v>NÃO</v>
      </c>
      <c r="B311" s="2">
        <v>1000184670</v>
      </c>
      <c r="C311" s="2" t="s">
        <v>147</v>
      </c>
      <c r="D311" s="4">
        <v>1000186198</v>
      </c>
      <c r="E311" s="4" t="s">
        <v>168</v>
      </c>
      <c r="F311" s="2">
        <v>1000185288</v>
      </c>
      <c r="G311" s="2" t="s">
        <v>64</v>
      </c>
      <c r="H311" s="4">
        <v>1000189793</v>
      </c>
      <c r="I311" s="4" t="s">
        <v>85</v>
      </c>
      <c r="J311" s="2">
        <v>1000189763</v>
      </c>
      <c r="K311" s="2" t="s">
        <v>156</v>
      </c>
      <c r="L311" s="4" t="s">
        <v>16</v>
      </c>
      <c r="M311" s="4" t="str">
        <f t="shared" si="66"/>
        <v>1000184670100018619810001897931000189763DISNEY</v>
      </c>
      <c r="N311" s="28">
        <f>N308*_xlfn.XLOOKUP($L311,'Balizador da Meta'!$B$4:$B$21,'Balizador da Meta'!$C$4:$C$21)</f>
        <v>120</v>
      </c>
      <c r="O311" s="28">
        <f>O308*_xlfn.XLOOKUP($L311,'Balizador da Meta'!$B$4:$B$21,'Balizador da Meta'!$C$4:$C$21)</f>
        <v>120</v>
      </c>
      <c r="P311" s="28">
        <f>P308*_xlfn.XLOOKUP($L311,'Balizador da Meta'!$B$4:$B$21,'Balizador da Meta'!$C$4:$C$21)</f>
        <v>120</v>
      </c>
      <c r="Q311" s="28">
        <f>Q308*_xlfn.XLOOKUP($L311,'Balizador da Meta'!$B$4:$B$21,'Balizador da Meta'!$C$4:$C$21)</f>
        <v>120</v>
      </c>
      <c r="R311" s="28">
        <f>R308*_xlfn.XLOOKUP($L311,'Balizador da Meta'!$B$4:$B$21,'Balizador da Meta'!$C$4:$C$21)</f>
        <v>120</v>
      </c>
      <c r="S311" s="28">
        <f>S308*_xlfn.XLOOKUP($L311,'Balizador da Meta'!$B$4:$B$21,'Balizador da Meta'!$C$4:$C$21)</f>
        <v>120</v>
      </c>
      <c r="T311" s="28">
        <f>T308*_xlfn.XLOOKUP($L311,'Balizador da Meta'!$B$4:$B$21,'Balizador da Meta'!$C$4:$C$21)</f>
        <v>120</v>
      </c>
      <c r="U311" s="28">
        <f>U308*_xlfn.XLOOKUP($L311,'Balizador da Meta'!$B$4:$B$21,'Balizador da Meta'!$C$4:$C$21)</f>
        <v>120</v>
      </c>
      <c r="V311" s="28">
        <f>V308*_xlfn.XLOOKUP($L311,'Balizador da Meta'!$B$4:$B$21,'Balizador da Meta'!$C$4:$C$21)</f>
        <v>120</v>
      </c>
      <c r="W311" s="28">
        <f>W308*_xlfn.XLOOKUP($L311,'Balizador da Meta'!$B$4:$B$21,'Balizador da Meta'!$C$4:$C$21)</f>
        <v>120</v>
      </c>
      <c r="X311" s="28">
        <f>X308*_xlfn.XLOOKUP($L311,'Balizador da Meta'!$B$4:$B$21,'Balizador da Meta'!$C$4:$C$21)</f>
        <v>120</v>
      </c>
      <c r="Y311" s="28">
        <f>Y308*_xlfn.XLOOKUP($L311,'Balizador da Meta'!$B$4:$B$21,'Balizador da Meta'!$C$4:$C$21)</f>
        <v>120</v>
      </c>
      <c r="Z311" s="30">
        <f t="shared" si="79"/>
        <v>1440</v>
      </c>
      <c r="AA311" s="29"/>
      <c r="AB311" s="31">
        <f>SUMIFS('Historico - FAT'!AK:AK,'Historico - FAT'!$K:$K,Faturamento!$L311,'Historico - FAT'!$I:$I,Faturamento!$J311,'Historico - FAT'!$G:$G,Faturamento!$H311)</f>
        <v>0</v>
      </c>
      <c r="AC311" s="31">
        <f>SUMIFS('Historico - FAT'!AL:AL,'Historico - FAT'!$K:$K,Faturamento!$L311,'Historico - FAT'!$I:$I,Faturamento!$J311,'Historico - FAT'!$G:$G,Faturamento!$H311)</f>
        <v>84.316666666666663</v>
      </c>
      <c r="AD311" s="31">
        <f>SUMIFS('Historico - FAT'!AM:AM,'Historico - FAT'!$K:$K,Faturamento!$L311,'Historico - FAT'!$I:$I,Faturamento!$J311,'Historico - FAT'!$G:$G,Faturamento!$H311)</f>
        <v>168.63333333333333</v>
      </c>
      <c r="AE311" s="27">
        <f>SUMIFS('Historico - FAT'!AN:AN,'Historico - FAT'!$K:$K,Faturamento!$L311,'Historico - FAT'!$I:$I,Faturamento!$J311,'Historico - FAT'!$G:$G,Faturamento!$H311)</f>
        <v>101.17999999999999</v>
      </c>
      <c r="AG311" s="24">
        <f t="shared" si="74"/>
        <v>1</v>
      </c>
      <c r="AH311" s="24">
        <f t="shared" si="75"/>
        <v>0.29736111111111113</v>
      </c>
      <c r="AI311" s="24">
        <f t="shared" si="76"/>
        <v>-0.40527777777777774</v>
      </c>
    </row>
    <row r="312" spans="1:35" hidden="1" x14ac:dyDescent="0.3">
      <c r="A312" s="2" t="str">
        <f t="shared" si="73"/>
        <v>NÃO</v>
      </c>
      <c r="B312" s="2">
        <v>1000184670</v>
      </c>
      <c r="C312" s="2" t="s">
        <v>147</v>
      </c>
      <c r="D312" s="4">
        <v>1000186198</v>
      </c>
      <c r="E312" s="4" t="s">
        <v>168</v>
      </c>
      <c r="F312" s="2">
        <v>1000185288</v>
      </c>
      <c r="G312" s="2" t="s">
        <v>64</v>
      </c>
      <c r="H312" s="4">
        <v>1000189793</v>
      </c>
      <c r="I312" s="4" t="s">
        <v>85</v>
      </c>
      <c r="J312" s="2">
        <v>1000189763</v>
      </c>
      <c r="K312" s="2" t="s">
        <v>156</v>
      </c>
      <c r="L312" s="4" t="s">
        <v>15</v>
      </c>
      <c r="M312" s="4" t="str">
        <f t="shared" si="66"/>
        <v>1000184670100018619810001897931000189763DOCES</v>
      </c>
      <c r="N312" s="28">
        <f>N308*_xlfn.XLOOKUP($L312,'Balizador da Meta'!$B$4:$B$21,'Balizador da Meta'!$C$4:$C$21)</f>
        <v>135</v>
      </c>
      <c r="O312" s="28">
        <f>O308*_xlfn.XLOOKUP($L312,'Balizador da Meta'!$B$4:$B$21,'Balizador da Meta'!$C$4:$C$21)</f>
        <v>135</v>
      </c>
      <c r="P312" s="28">
        <f>P308*_xlfn.XLOOKUP($L312,'Balizador da Meta'!$B$4:$B$21,'Balizador da Meta'!$C$4:$C$21)</f>
        <v>135</v>
      </c>
      <c r="Q312" s="28">
        <f>Q308*_xlfn.XLOOKUP($L312,'Balizador da Meta'!$B$4:$B$21,'Balizador da Meta'!$C$4:$C$21)</f>
        <v>135</v>
      </c>
      <c r="R312" s="28">
        <f>R308*_xlfn.XLOOKUP($L312,'Balizador da Meta'!$B$4:$B$21,'Balizador da Meta'!$C$4:$C$21)</f>
        <v>135</v>
      </c>
      <c r="S312" s="28">
        <f>S308*_xlfn.XLOOKUP($L312,'Balizador da Meta'!$B$4:$B$21,'Balizador da Meta'!$C$4:$C$21)</f>
        <v>135</v>
      </c>
      <c r="T312" s="28">
        <f>T308*_xlfn.XLOOKUP($L312,'Balizador da Meta'!$B$4:$B$21,'Balizador da Meta'!$C$4:$C$21)</f>
        <v>135</v>
      </c>
      <c r="U312" s="28">
        <f>U308*_xlfn.XLOOKUP($L312,'Balizador da Meta'!$B$4:$B$21,'Balizador da Meta'!$C$4:$C$21)</f>
        <v>135</v>
      </c>
      <c r="V312" s="28">
        <f>V308*_xlfn.XLOOKUP($L312,'Balizador da Meta'!$B$4:$B$21,'Balizador da Meta'!$C$4:$C$21)</f>
        <v>135</v>
      </c>
      <c r="W312" s="28">
        <f>W308*_xlfn.XLOOKUP($L312,'Balizador da Meta'!$B$4:$B$21,'Balizador da Meta'!$C$4:$C$21)</f>
        <v>135</v>
      </c>
      <c r="X312" s="28">
        <f>X308*_xlfn.XLOOKUP($L312,'Balizador da Meta'!$B$4:$B$21,'Balizador da Meta'!$C$4:$C$21)</f>
        <v>135</v>
      </c>
      <c r="Y312" s="28">
        <f>Y308*_xlfn.XLOOKUP($L312,'Balizador da Meta'!$B$4:$B$21,'Balizador da Meta'!$C$4:$C$21)</f>
        <v>135</v>
      </c>
      <c r="Z312" s="30">
        <f t="shared" si="79"/>
        <v>1620</v>
      </c>
      <c r="AA312" s="29"/>
      <c r="AB312" s="31">
        <f>SUMIFS('Historico - FAT'!AK:AK,'Historico - FAT'!$K:$K,Faturamento!$L312,'Historico - FAT'!$I:$I,Faturamento!$J312,'Historico - FAT'!$G:$G,Faturamento!$H312)</f>
        <v>0</v>
      </c>
      <c r="AC312" s="31">
        <f>SUMIFS('Historico - FAT'!AL:AL,'Historico - FAT'!$K:$K,Faturamento!$L312,'Historico - FAT'!$I:$I,Faturamento!$J312,'Historico - FAT'!$G:$G,Faturamento!$H312)</f>
        <v>61.297500000000007</v>
      </c>
      <c r="AD312" s="31">
        <f>SUMIFS('Historico - FAT'!AM:AM,'Historico - FAT'!$K:$K,Faturamento!$L312,'Historico - FAT'!$I:$I,Faturamento!$J312,'Historico - FAT'!$G:$G,Faturamento!$H312)</f>
        <v>122.59500000000001</v>
      </c>
      <c r="AE312" s="27">
        <f>SUMIFS('Historico - FAT'!AN:AN,'Historico - FAT'!$K:$K,Faturamento!$L312,'Historico - FAT'!$I:$I,Faturamento!$J312,'Historico - FAT'!$G:$G,Faturamento!$H312)</f>
        <v>73.557000000000002</v>
      </c>
      <c r="AG312" s="24">
        <f t="shared" si="74"/>
        <v>1</v>
      </c>
      <c r="AH312" s="24">
        <f t="shared" si="75"/>
        <v>0.54594444444444434</v>
      </c>
      <c r="AI312" s="24">
        <f t="shared" si="76"/>
        <v>9.1888888888888798E-2</v>
      </c>
    </row>
    <row r="313" spans="1:35" hidden="1" x14ac:dyDescent="0.3">
      <c r="A313" s="2" t="str">
        <f t="shared" si="73"/>
        <v>NÃO</v>
      </c>
      <c r="B313" s="2">
        <v>1000184670</v>
      </c>
      <c r="C313" s="2" t="s">
        <v>147</v>
      </c>
      <c r="D313" s="4">
        <v>1000186198</v>
      </c>
      <c r="E313" s="4" t="s">
        <v>168</v>
      </c>
      <c r="F313" s="2">
        <v>1000185288</v>
      </c>
      <c r="G313" s="2" t="s">
        <v>64</v>
      </c>
      <c r="H313" s="4">
        <v>1000189793</v>
      </c>
      <c r="I313" s="4" t="s">
        <v>85</v>
      </c>
      <c r="J313" s="2">
        <v>1000189763</v>
      </c>
      <c r="K313" s="2" t="s">
        <v>156</v>
      </c>
      <c r="L313" s="4" t="s">
        <v>33</v>
      </c>
      <c r="M313" s="4" t="str">
        <f t="shared" si="66"/>
        <v>1000184670100018619810001897931000189763FOOD SERVICE</v>
      </c>
      <c r="N313" s="28">
        <f>N308*_xlfn.XLOOKUP($L313,'Balizador da Meta'!$B$4:$B$21,'Balizador da Meta'!$C$4:$C$21)</f>
        <v>0</v>
      </c>
      <c r="O313" s="28">
        <f>O308*_xlfn.XLOOKUP($L313,'Balizador da Meta'!$B$4:$B$21,'Balizador da Meta'!$C$4:$C$21)</f>
        <v>0</v>
      </c>
      <c r="P313" s="28">
        <f>P308*_xlfn.XLOOKUP($L313,'Balizador da Meta'!$B$4:$B$21,'Balizador da Meta'!$C$4:$C$21)</f>
        <v>0</v>
      </c>
      <c r="Q313" s="28">
        <f>Q308*_xlfn.XLOOKUP($L313,'Balizador da Meta'!$B$4:$B$21,'Balizador da Meta'!$C$4:$C$21)</f>
        <v>0</v>
      </c>
      <c r="R313" s="28">
        <f>R308*_xlfn.XLOOKUP($L313,'Balizador da Meta'!$B$4:$B$21,'Balizador da Meta'!$C$4:$C$21)</f>
        <v>0</v>
      </c>
      <c r="S313" s="28">
        <f>S308*_xlfn.XLOOKUP($L313,'Balizador da Meta'!$B$4:$B$21,'Balizador da Meta'!$C$4:$C$21)</f>
        <v>0</v>
      </c>
      <c r="T313" s="28">
        <f>T308*_xlfn.XLOOKUP($L313,'Balizador da Meta'!$B$4:$B$21,'Balizador da Meta'!$C$4:$C$21)</f>
        <v>0</v>
      </c>
      <c r="U313" s="28">
        <f>U308*_xlfn.XLOOKUP($L313,'Balizador da Meta'!$B$4:$B$21,'Balizador da Meta'!$C$4:$C$21)</f>
        <v>0</v>
      </c>
      <c r="V313" s="28">
        <f>V308*_xlfn.XLOOKUP($L313,'Balizador da Meta'!$B$4:$B$21,'Balizador da Meta'!$C$4:$C$21)</f>
        <v>0</v>
      </c>
      <c r="W313" s="28">
        <f>W308*_xlfn.XLOOKUP($L313,'Balizador da Meta'!$B$4:$B$21,'Balizador da Meta'!$C$4:$C$21)</f>
        <v>0</v>
      </c>
      <c r="X313" s="28">
        <f>X308*_xlfn.XLOOKUP($L313,'Balizador da Meta'!$B$4:$B$21,'Balizador da Meta'!$C$4:$C$21)</f>
        <v>0</v>
      </c>
      <c r="Y313" s="28">
        <f>Y308*_xlfn.XLOOKUP($L313,'Balizador da Meta'!$B$4:$B$21,'Balizador da Meta'!$C$4:$C$21)</f>
        <v>0</v>
      </c>
      <c r="Z313" s="30">
        <f t="shared" si="79"/>
        <v>0</v>
      </c>
      <c r="AA313" s="29"/>
      <c r="AB313" s="31">
        <f>SUMIFS('Historico - FAT'!AK:AK,'Historico - FAT'!$K:$K,Faturamento!$L313,'Historico - FAT'!$I:$I,Faturamento!$J313,'Historico - FAT'!$G:$G,Faturamento!$H313)</f>
        <v>0</v>
      </c>
      <c r="AC313" s="31">
        <f>SUMIFS('Historico - FAT'!AL:AL,'Historico - FAT'!$K:$K,Faturamento!$L313,'Historico - FAT'!$I:$I,Faturamento!$J313,'Historico - FAT'!$G:$G,Faturamento!$H313)</f>
        <v>0</v>
      </c>
      <c r="AD313" s="31">
        <f>SUMIFS('Historico - FAT'!AM:AM,'Historico - FAT'!$K:$K,Faturamento!$L313,'Historico - FAT'!$I:$I,Faturamento!$J313,'Historico - FAT'!$G:$G,Faturamento!$H313)</f>
        <v>0</v>
      </c>
      <c r="AE313" s="27">
        <f>SUMIFS('Historico - FAT'!AN:AN,'Historico - FAT'!$K:$K,Faturamento!$L313,'Historico - FAT'!$I:$I,Faturamento!$J313,'Historico - FAT'!$G:$G,Faturamento!$H313)</f>
        <v>0</v>
      </c>
      <c r="AG313" s="24" t="str">
        <f t="shared" si="74"/>
        <v/>
      </c>
      <c r="AH313" s="24" t="str">
        <f t="shared" si="75"/>
        <v/>
      </c>
      <c r="AI313" s="24" t="str">
        <f t="shared" si="76"/>
        <v/>
      </c>
    </row>
    <row r="314" spans="1:35" hidden="1" x14ac:dyDescent="0.3">
      <c r="A314" s="2" t="str">
        <f t="shared" si="73"/>
        <v>NÃO</v>
      </c>
      <c r="B314" s="2">
        <v>1000184670</v>
      </c>
      <c r="C314" s="2" t="s">
        <v>147</v>
      </c>
      <c r="D314" s="4">
        <v>1000186198</v>
      </c>
      <c r="E314" s="4" t="s">
        <v>168</v>
      </c>
      <c r="F314" s="2">
        <v>1000185288</v>
      </c>
      <c r="G314" s="2" t="s">
        <v>64</v>
      </c>
      <c r="H314" s="4">
        <v>1000189793</v>
      </c>
      <c r="I314" s="4" t="s">
        <v>85</v>
      </c>
      <c r="J314" s="2">
        <v>1000189763</v>
      </c>
      <c r="K314" s="2" t="s">
        <v>156</v>
      </c>
      <c r="L314" s="4" t="s">
        <v>19</v>
      </c>
      <c r="M314" s="4" t="str">
        <f t="shared" si="66"/>
        <v>1000184670100018619810001897931000189763GELEIA</v>
      </c>
      <c r="N314" s="28">
        <f>N308*_xlfn.XLOOKUP($L314,'Balizador da Meta'!$B$4:$B$21,'Balizador da Meta'!$C$4:$C$21)</f>
        <v>29.999999999999996</v>
      </c>
      <c r="O314" s="28">
        <f>O308*_xlfn.XLOOKUP($L314,'Balizador da Meta'!$B$4:$B$21,'Balizador da Meta'!$C$4:$C$21)</f>
        <v>29.999999999999996</v>
      </c>
      <c r="P314" s="28">
        <f>P308*_xlfn.XLOOKUP($L314,'Balizador da Meta'!$B$4:$B$21,'Balizador da Meta'!$C$4:$C$21)</f>
        <v>29.999999999999996</v>
      </c>
      <c r="Q314" s="28">
        <f>Q308*_xlfn.XLOOKUP($L314,'Balizador da Meta'!$B$4:$B$21,'Balizador da Meta'!$C$4:$C$21)</f>
        <v>29.999999999999996</v>
      </c>
      <c r="R314" s="28">
        <f>R308*_xlfn.XLOOKUP($L314,'Balizador da Meta'!$B$4:$B$21,'Balizador da Meta'!$C$4:$C$21)</f>
        <v>29.999999999999996</v>
      </c>
      <c r="S314" s="28">
        <f>S308*_xlfn.XLOOKUP($L314,'Balizador da Meta'!$B$4:$B$21,'Balizador da Meta'!$C$4:$C$21)</f>
        <v>29.999999999999996</v>
      </c>
      <c r="T314" s="28">
        <f>T308*_xlfn.XLOOKUP($L314,'Balizador da Meta'!$B$4:$B$21,'Balizador da Meta'!$C$4:$C$21)</f>
        <v>29.999999999999996</v>
      </c>
      <c r="U314" s="28">
        <f>U308*_xlfn.XLOOKUP($L314,'Balizador da Meta'!$B$4:$B$21,'Balizador da Meta'!$C$4:$C$21)</f>
        <v>29.999999999999996</v>
      </c>
      <c r="V314" s="28">
        <f>V308*_xlfn.XLOOKUP($L314,'Balizador da Meta'!$B$4:$B$21,'Balizador da Meta'!$C$4:$C$21)</f>
        <v>29.999999999999996</v>
      </c>
      <c r="W314" s="28">
        <f>W308*_xlfn.XLOOKUP($L314,'Balizador da Meta'!$B$4:$B$21,'Balizador da Meta'!$C$4:$C$21)</f>
        <v>29.999999999999996</v>
      </c>
      <c r="X314" s="28">
        <f>X308*_xlfn.XLOOKUP($L314,'Balizador da Meta'!$B$4:$B$21,'Balizador da Meta'!$C$4:$C$21)</f>
        <v>29.999999999999996</v>
      </c>
      <c r="Y314" s="28">
        <f>Y308*_xlfn.XLOOKUP($L314,'Balizador da Meta'!$B$4:$B$21,'Balizador da Meta'!$C$4:$C$21)</f>
        <v>29.999999999999996</v>
      </c>
      <c r="Z314" s="30">
        <f t="shared" si="79"/>
        <v>359.99999999999994</v>
      </c>
      <c r="AA314" s="29"/>
      <c r="AB314" s="31">
        <f>SUMIFS('Historico - FAT'!AK:AK,'Historico - FAT'!$K:$K,Faturamento!$L314,'Historico - FAT'!$I:$I,Faturamento!$J314,'Historico - FAT'!$G:$G,Faturamento!$H314)</f>
        <v>0</v>
      </c>
      <c r="AC314" s="31">
        <f>SUMIFS('Historico - FAT'!AL:AL,'Historico - FAT'!$K:$K,Faturamento!$L314,'Historico - FAT'!$I:$I,Faturamento!$J314,'Historico - FAT'!$G:$G,Faturamento!$H314)</f>
        <v>12</v>
      </c>
      <c r="AD314" s="31">
        <f>SUMIFS('Historico - FAT'!AM:AM,'Historico - FAT'!$K:$K,Faturamento!$L314,'Historico - FAT'!$I:$I,Faturamento!$J314,'Historico - FAT'!$G:$G,Faturamento!$H314)</f>
        <v>24</v>
      </c>
      <c r="AE314" s="27">
        <f>SUMIFS('Historico - FAT'!AN:AN,'Historico - FAT'!$K:$K,Faturamento!$L314,'Historico - FAT'!$I:$I,Faturamento!$J314,'Historico - FAT'!$G:$G,Faturamento!$H314)</f>
        <v>14.4</v>
      </c>
      <c r="AG314" s="24">
        <f t="shared" si="74"/>
        <v>1</v>
      </c>
      <c r="AH314" s="24">
        <f t="shared" si="75"/>
        <v>0.6</v>
      </c>
      <c r="AI314" s="24">
        <f t="shared" si="76"/>
        <v>0.1999999999999999</v>
      </c>
    </row>
    <row r="315" spans="1:35" hidden="1" x14ac:dyDescent="0.3">
      <c r="A315" s="2" t="str">
        <f t="shared" si="73"/>
        <v>NÃO</v>
      </c>
      <c r="B315" s="2">
        <v>1000184670</v>
      </c>
      <c r="C315" s="2" t="s">
        <v>147</v>
      </c>
      <c r="D315" s="4">
        <v>1000186198</v>
      </c>
      <c r="E315" s="4" t="s">
        <v>168</v>
      </c>
      <c r="F315" s="2">
        <v>1000185288</v>
      </c>
      <c r="G315" s="2" t="s">
        <v>64</v>
      </c>
      <c r="H315" s="4">
        <v>1000189793</v>
      </c>
      <c r="I315" s="4" t="s">
        <v>85</v>
      </c>
      <c r="J315" s="2">
        <v>1000189763</v>
      </c>
      <c r="K315" s="2" t="s">
        <v>156</v>
      </c>
      <c r="L315" s="4" t="s">
        <v>17</v>
      </c>
      <c r="M315" s="4" t="str">
        <f t="shared" si="66"/>
        <v>1000184670100018619810001897931000189763GRANOLA</v>
      </c>
      <c r="N315" s="28">
        <f>N308*_xlfn.XLOOKUP($L315,'Balizador da Meta'!$B$4:$B$21,'Balizador da Meta'!$C$4:$C$21)</f>
        <v>30</v>
      </c>
      <c r="O315" s="28">
        <f>O308*_xlfn.XLOOKUP($L315,'Balizador da Meta'!$B$4:$B$21,'Balizador da Meta'!$C$4:$C$21)</f>
        <v>30</v>
      </c>
      <c r="P315" s="28">
        <f>P308*_xlfn.XLOOKUP($L315,'Balizador da Meta'!$B$4:$B$21,'Balizador da Meta'!$C$4:$C$21)</f>
        <v>30</v>
      </c>
      <c r="Q315" s="28">
        <f>Q308*_xlfn.XLOOKUP($L315,'Balizador da Meta'!$B$4:$B$21,'Balizador da Meta'!$C$4:$C$21)</f>
        <v>30</v>
      </c>
      <c r="R315" s="28">
        <f>R308*_xlfn.XLOOKUP($L315,'Balizador da Meta'!$B$4:$B$21,'Balizador da Meta'!$C$4:$C$21)</f>
        <v>30</v>
      </c>
      <c r="S315" s="28">
        <f>S308*_xlfn.XLOOKUP($L315,'Balizador da Meta'!$B$4:$B$21,'Balizador da Meta'!$C$4:$C$21)</f>
        <v>30</v>
      </c>
      <c r="T315" s="28">
        <f>T308*_xlfn.XLOOKUP($L315,'Balizador da Meta'!$B$4:$B$21,'Balizador da Meta'!$C$4:$C$21)</f>
        <v>30</v>
      </c>
      <c r="U315" s="28">
        <f>U308*_xlfn.XLOOKUP($L315,'Balizador da Meta'!$B$4:$B$21,'Balizador da Meta'!$C$4:$C$21)</f>
        <v>30</v>
      </c>
      <c r="V315" s="28">
        <f>V308*_xlfn.XLOOKUP($L315,'Balizador da Meta'!$B$4:$B$21,'Balizador da Meta'!$C$4:$C$21)</f>
        <v>30</v>
      </c>
      <c r="W315" s="28">
        <f>W308*_xlfn.XLOOKUP($L315,'Balizador da Meta'!$B$4:$B$21,'Balizador da Meta'!$C$4:$C$21)</f>
        <v>30</v>
      </c>
      <c r="X315" s="28">
        <f>X308*_xlfn.XLOOKUP($L315,'Balizador da Meta'!$B$4:$B$21,'Balizador da Meta'!$C$4:$C$21)</f>
        <v>30</v>
      </c>
      <c r="Y315" s="28">
        <f>Y308*_xlfn.XLOOKUP($L315,'Balizador da Meta'!$B$4:$B$21,'Balizador da Meta'!$C$4:$C$21)</f>
        <v>30</v>
      </c>
      <c r="Z315" s="30">
        <f t="shared" si="79"/>
        <v>360</v>
      </c>
      <c r="AA315" s="29"/>
      <c r="AB315" s="31">
        <f>SUMIFS('Historico - FAT'!AK:AK,'Historico - FAT'!$K:$K,Faturamento!$L315,'Historico - FAT'!$I:$I,Faturamento!$J315,'Historico - FAT'!$G:$G,Faturamento!$H315)</f>
        <v>0</v>
      </c>
      <c r="AC315" s="31">
        <f>SUMIFS('Historico - FAT'!AL:AL,'Historico - FAT'!$K:$K,Faturamento!$L315,'Historico - FAT'!$I:$I,Faturamento!$J315,'Historico - FAT'!$G:$G,Faturamento!$H315)</f>
        <v>7.06</v>
      </c>
      <c r="AD315" s="31">
        <f>SUMIFS('Historico - FAT'!AM:AM,'Historico - FAT'!$K:$K,Faturamento!$L315,'Historico - FAT'!$I:$I,Faturamento!$J315,'Historico - FAT'!$G:$G,Faturamento!$H315)</f>
        <v>14.12</v>
      </c>
      <c r="AE315" s="27">
        <f>SUMIFS('Historico - FAT'!AN:AN,'Historico - FAT'!$K:$K,Faturamento!$L315,'Historico - FAT'!$I:$I,Faturamento!$J315,'Historico - FAT'!$G:$G,Faturamento!$H315)</f>
        <v>8.4719999999999995</v>
      </c>
      <c r="AG315" s="24">
        <f t="shared" si="74"/>
        <v>1</v>
      </c>
      <c r="AH315" s="24">
        <f t="shared" si="75"/>
        <v>0.76466666666666672</v>
      </c>
      <c r="AI315" s="24">
        <f t="shared" si="76"/>
        <v>0.52933333333333332</v>
      </c>
    </row>
    <row r="316" spans="1:35" hidden="1" x14ac:dyDescent="0.3">
      <c r="A316" s="2" t="str">
        <f t="shared" si="73"/>
        <v>NÃO</v>
      </c>
      <c r="B316" s="2">
        <v>1000184670</v>
      </c>
      <c r="C316" s="2" t="s">
        <v>147</v>
      </c>
      <c r="D316" s="4">
        <v>1000186198</v>
      </c>
      <c r="E316" s="4" t="s">
        <v>168</v>
      </c>
      <c r="F316" s="2">
        <v>1000185288</v>
      </c>
      <c r="G316" s="2" t="s">
        <v>64</v>
      </c>
      <c r="H316" s="4">
        <v>1000189793</v>
      </c>
      <c r="I316" s="4" t="s">
        <v>85</v>
      </c>
      <c r="J316" s="2">
        <v>1000189763</v>
      </c>
      <c r="K316" s="2" t="s">
        <v>156</v>
      </c>
      <c r="L316" s="4" t="s">
        <v>24</v>
      </c>
      <c r="M316" s="4" t="str">
        <f t="shared" si="66"/>
        <v>1000184670100018619810001897931000189763KIDS</v>
      </c>
      <c r="N316" s="28">
        <f>N308*_xlfn.XLOOKUP($L316,'Balizador da Meta'!$B$4:$B$21,'Balizador da Meta'!$C$4:$C$21)</f>
        <v>0</v>
      </c>
      <c r="O316" s="28">
        <f>O308*_xlfn.XLOOKUP($L316,'Balizador da Meta'!$B$4:$B$21,'Balizador da Meta'!$C$4:$C$21)</f>
        <v>0</v>
      </c>
      <c r="P316" s="28">
        <f>P308*_xlfn.XLOOKUP($L316,'Balizador da Meta'!$B$4:$B$21,'Balizador da Meta'!$C$4:$C$21)</f>
        <v>0</v>
      </c>
      <c r="Q316" s="28">
        <f>Q308*_xlfn.XLOOKUP($L316,'Balizador da Meta'!$B$4:$B$21,'Balizador da Meta'!$C$4:$C$21)</f>
        <v>0</v>
      </c>
      <c r="R316" s="28">
        <f>R308*_xlfn.XLOOKUP($L316,'Balizador da Meta'!$B$4:$B$21,'Balizador da Meta'!$C$4:$C$21)</f>
        <v>0</v>
      </c>
      <c r="S316" s="28">
        <f>S308*_xlfn.XLOOKUP($L316,'Balizador da Meta'!$B$4:$B$21,'Balizador da Meta'!$C$4:$C$21)</f>
        <v>0</v>
      </c>
      <c r="T316" s="28">
        <f>T308*_xlfn.XLOOKUP($L316,'Balizador da Meta'!$B$4:$B$21,'Balizador da Meta'!$C$4:$C$21)</f>
        <v>0</v>
      </c>
      <c r="U316" s="28">
        <f>U308*_xlfn.XLOOKUP($L316,'Balizador da Meta'!$B$4:$B$21,'Balizador da Meta'!$C$4:$C$21)</f>
        <v>0</v>
      </c>
      <c r="V316" s="28">
        <f>V308*_xlfn.XLOOKUP($L316,'Balizador da Meta'!$B$4:$B$21,'Balizador da Meta'!$C$4:$C$21)</f>
        <v>0</v>
      </c>
      <c r="W316" s="28">
        <f>W308*_xlfn.XLOOKUP($L316,'Balizador da Meta'!$B$4:$B$21,'Balizador da Meta'!$C$4:$C$21)</f>
        <v>0</v>
      </c>
      <c r="X316" s="28">
        <f>X308*_xlfn.XLOOKUP($L316,'Balizador da Meta'!$B$4:$B$21,'Balizador da Meta'!$C$4:$C$21)</f>
        <v>0</v>
      </c>
      <c r="Y316" s="28">
        <f>Y308*_xlfn.XLOOKUP($L316,'Balizador da Meta'!$B$4:$B$21,'Balizador da Meta'!$C$4:$C$21)</f>
        <v>0</v>
      </c>
      <c r="Z316" s="30">
        <f t="shared" si="79"/>
        <v>0</v>
      </c>
      <c r="AA316" s="29"/>
      <c r="AB316" s="31">
        <f>SUMIFS('Historico - FAT'!AK:AK,'Historico - FAT'!$K:$K,Faturamento!$L316,'Historico - FAT'!$I:$I,Faturamento!$J316,'Historico - FAT'!$G:$G,Faturamento!$H316)</f>
        <v>0</v>
      </c>
      <c r="AC316" s="31">
        <f>SUMIFS('Historico - FAT'!AL:AL,'Historico - FAT'!$K:$K,Faturamento!$L316,'Historico - FAT'!$I:$I,Faturamento!$J316,'Historico - FAT'!$G:$G,Faturamento!$H316)</f>
        <v>14.96</v>
      </c>
      <c r="AD316" s="31">
        <f>SUMIFS('Historico - FAT'!AM:AM,'Historico - FAT'!$K:$K,Faturamento!$L316,'Historico - FAT'!$I:$I,Faturamento!$J316,'Historico - FAT'!$G:$G,Faturamento!$H316)</f>
        <v>29.92</v>
      </c>
      <c r="AE316" s="27">
        <f>SUMIFS('Historico - FAT'!AN:AN,'Historico - FAT'!$K:$K,Faturamento!$L316,'Historico - FAT'!$I:$I,Faturamento!$J316,'Historico - FAT'!$G:$G,Faturamento!$H316)</f>
        <v>17.952000000000002</v>
      </c>
      <c r="AG316" s="24" t="str">
        <f t="shared" si="74"/>
        <v/>
      </c>
      <c r="AH316" s="24" t="str">
        <f t="shared" si="75"/>
        <v/>
      </c>
      <c r="AI316" s="24" t="str">
        <f t="shared" si="76"/>
        <v/>
      </c>
    </row>
    <row r="317" spans="1:35" hidden="1" x14ac:dyDescent="0.3">
      <c r="A317" s="2" t="str">
        <f t="shared" si="73"/>
        <v>NÃO</v>
      </c>
      <c r="B317" s="2">
        <v>1000184670</v>
      </c>
      <c r="C317" s="2" t="s">
        <v>147</v>
      </c>
      <c r="D317" s="4">
        <v>1000186198</v>
      </c>
      <c r="E317" s="4" t="s">
        <v>168</v>
      </c>
      <c r="F317" s="2">
        <v>1000185288</v>
      </c>
      <c r="G317" s="2" t="s">
        <v>64</v>
      </c>
      <c r="H317" s="4">
        <v>1000189793</v>
      </c>
      <c r="I317" s="4" t="s">
        <v>85</v>
      </c>
      <c r="J317" s="2">
        <v>1000189763</v>
      </c>
      <c r="K317" s="2" t="s">
        <v>156</v>
      </c>
      <c r="L317" s="4" t="s">
        <v>18</v>
      </c>
      <c r="M317" s="4" t="str">
        <f t="shared" si="66"/>
        <v>1000184670100018619810001897931000189763LANCHES</v>
      </c>
      <c r="N317" s="28">
        <f>N308*_xlfn.XLOOKUP($L317,'Balizador da Meta'!$B$4:$B$21,'Balizador da Meta'!$C$4:$C$21)</f>
        <v>15</v>
      </c>
      <c r="O317" s="28">
        <f>O308*_xlfn.XLOOKUP($L317,'Balizador da Meta'!$B$4:$B$21,'Balizador da Meta'!$C$4:$C$21)</f>
        <v>15</v>
      </c>
      <c r="P317" s="28">
        <f>P308*_xlfn.XLOOKUP($L317,'Balizador da Meta'!$B$4:$B$21,'Balizador da Meta'!$C$4:$C$21)</f>
        <v>15</v>
      </c>
      <c r="Q317" s="28">
        <f>Q308*_xlfn.XLOOKUP($L317,'Balizador da Meta'!$B$4:$B$21,'Balizador da Meta'!$C$4:$C$21)</f>
        <v>15</v>
      </c>
      <c r="R317" s="28">
        <f>R308*_xlfn.XLOOKUP($L317,'Balizador da Meta'!$B$4:$B$21,'Balizador da Meta'!$C$4:$C$21)</f>
        <v>15</v>
      </c>
      <c r="S317" s="28">
        <f>S308*_xlfn.XLOOKUP($L317,'Balizador da Meta'!$B$4:$B$21,'Balizador da Meta'!$C$4:$C$21)</f>
        <v>15</v>
      </c>
      <c r="T317" s="28">
        <f>T308*_xlfn.XLOOKUP($L317,'Balizador da Meta'!$B$4:$B$21,'Balizador da Meta'!$C$4:$C$21)</f>
        <v>15</v>
      </c>
      <c r="U317" s="28">
        <f>U308*_xlfn.XLOOKUP($L317,'Balizador da Meta'!$B$4:$B$21,'Balizador da Meta'!$C$4:$C$21)</f>
        <v>15</v>
      </c>
      <c r="V317" s="28">
        <f>V308*_xlfn.XLOOKUP($L317,'Balizador da Meta'!$B$4:$B$21,'Balizador da Meta'!$C$4:$C$21)</f>
        <v>15</v>
      </c>
      <c r="W317" s="28">
        <f>W308*_xlfn.XLOOKUP($L317,'Balizador da Meta'!$B$4:$B$21,'Balizador da Meta'!$C$4:$C$21)</f>
        <v>15</v>
      </c>
      <c r="X317" s="28">
        <f>X308*_xlfn.XLOOKUP($L317,'Balizador da Meta'!$B$4:$B$21,'Balizador da Meta'!$C$4:$C$21)</f>
        <v>15</v>
      </c>
      <c r="Y317" s="28">
        <f>Y308*_xlfn.XLOOKUP($L317,'Balizador da Meta'!$B$4:$B$21,'Balizador da Meta'!$C$4:$C$21)</f>
        <v>15</v>
      </c>
      <c r="Z317" s="30">
        <f t="shared" si="79"/>
        <v>180</v>
      </c>
      <c r="AA317" s="29"/>
      <c r="AB317" s="31">
        <f>SUMIFS('Historico - FAT'!AK:AK,'Historico - FAT'!$K:$K,Faturamento!$L317,'Historico - FAT'!$I:$I,Faturamento!$J317,'Historico - FAT'!$G:$G,Faturamento!$H317)</f>
        <v>0</v>
      </c>
      <c r="AC317" s="31">
        <f>SUMIFS('Historico - FAT'!AL:AL,'Historico - FAT'!$K:$K,Faturamento!$L317,'Historico - FAT'!$I:$I,Faturamento!$J317,'Historico - FAT'!$G:$G,Faturamento!$H317)</f>
        <v>53.9</v>
      </c>
      <c r="AD317" s="31">
        <f>SUMIFS('Historico - FAT'!AM:AM,'Historico - FAT'!$K:$K,Faturamento!$L317,'Historico - FAT'!$I:$I,Faturamento!$J317,'Historico - FAT'!$G:$G,Faturamento!$H317)</f>
        <v>107.8</v>
      </c>
      <c r="AE317" s="27">
        <f>SUMIFS('Historico - FAT'!AN:AN,'Historico - FAT'!$K:$K,Faturamento!$L317,'Historico - FAT'!$I:$I,Faturamento!$J317,'Historico - FAT'!$G:$G,Faturamento!$H317)</f>
        <v>64.679999999999993</v>
      </c>
      <c r="AG317" s="24">
        <f t="shared" si="74"/>
        <v>1</v>
      </c>
      <c r="AH317" s="24">
        <f t="shared" si="75"/>
        <v>-2.5933333333333333</v>
      </c>
      <c r="AI317" s="24">
        <f t="shared" si="76"/>
        <v>-6.1866666666666665</v>
      </c>
    </row>
    <row r="318" spans="1:35" hidden="1" x14ac:dyDescent="0.3">
      <c r="A318" s="2" t="str">
        <f t="shared" si="73"/>
        <v>NÃO</v>
      </c>
      <c r="B318" s="2">
        <v>1000184670</v>
      </c>
      <c r="C318" s="2" t="s">
        <v>147</v>
      </c>
      <c r="D318" s="4">
        <v>1000186198</v>
      </c>
      <c r="E318" s="4" t="s">
        <v>168</v>
      </c>
      <c r="F318" s="2">
        <v>1000185288</v>
      </c>
      <c r="G318" s="2" t="s">
        <v>64</v>
      </c>
      <c r="H318" s="4">
        <v>1000189793</v>
      </c>
      <c r="I318" s="4" t="s">
        <v>85</v>
      </c>
      <c r="J318" s="2">
        <v>1000189763</v>
      </c>
      <c r="K318" s="2" t="s">
        <v>156</v>
      </c>
      <c r="L318" s="4" t="s">
        <v>29</v>
      </c>
      <c r="M318" s="4" t="str">
        <f t="shared" si="66"/>
        <v>1000184670100018619810001897931000189763MAIS GRANEL</v>
      </c>
      <c r="N318" s="28">
        <f>N308*_xlfn.XLOOKUP($L318,'Balizador da Meta'!$B$4:$B$21,'Balizador da Meta'!$C$4:$C$21)</f>
        <v>480</v>
      </c>
      <c r="O318" s="28">
        <f>O308*_xlfn.XLOOKUP($L318,'Balizador da Meta'!$B$4:$B$21,'Balizador da Meta'!$C$4:$C$21)</f>
        <v>480</v>
      </c>
      <c r="P318" s="28">
        <f>P308*_xlfn.XLOOKUP($L318,'Balizador da Meta'!$B$4:$B$21,'Balizador da Meta'!$C$4:$C$21)</f>
        <v>480</v>
      </c>
      <c r="Q318" s="28">
        <f>Q308*_xlfn.XLOOKUP($L318,'Balizador da Meta'!$B$4:$B$21,'Balizador da Meta'!$C$4:$C$21)</f>
        <v>480</v>
      </c>
      <c r="R318" s="28">
        <f>R308*_xlfn.XLOOKUP($L318,'Balizador da Meta'!$B$4:$B$21,'Balizador da Meta'!$C$4:$C$21)</f>
        <v>480</v>
      </c>
      <c r="S318" s="28">
        <f>S308*_xlfn.XLOOKUP($L318,'Balizador da Meta'!$B$4:$B$21,'Balizador da Meta'!$C$4:$C$21)</f>
        <v>480</v>
      </c>
      <c r="T318" s="28">
        <f>T308*_xlfn.XLOOKUP($L318,'Balizador da Meta'!$B$4:$B$21,'Balizador da Meta'!$C$4:$C$21)</f>
        <v>480</v>
      </c>
      <c r="U318" s="28">
        <f>U308*_xlfn.XLOOKUP($L318,'Balizador da Meta'!$B$4:$B$21,'Balizador da Meta'!$C$4:$C$21)</f>
        <v>480</v>
      </c>
      <c r="V318" s="28">
        <f>V308*_xlfn.XLOOKUP($L318,'Balizador da Meta'!$B$4:$B$21,'Balizador da Meta'!$C$4:$C$21)</f>
        <v>480</v>
      </c>
      <c r="W318" s="28">
        <f>W308*_xlfn.XLOOKUP($L318,'Balizador da Meta'!$B$4:$B$21,'Balizador da Meta'!$C$4:$C$21)</f>
        <v>480</v>
      </c>
      <c r="X318" s="28">
        <f>X308*_xlfn.XLOOKUP($L318,'Balizador da Meta'!$B$4:$B$21,'Balizador da Meta'!$C$4:$C$21)</f>
        <v>480</v>
      </c>
      <c r="Y318" s="28">
        <f>Y308*_xlfn.XLOOKUP($L318,'Balizador da Meta'!$B$4:$B$21,'Balizador da Meta'!$C$4:$C$21)</f>
        <v>480</v>
      </c>
      <c r="Z318" s="30">
        <f t="shared" si="79"/>
        <v>5760</v>
      </c>
      <c r="AA318" s="29"/>
      <c r="AB318" s="31">
        <f>SUMIFS('Historico - FAT'!AK:AK,'Historico - FAT'!$K:$K,Faturamento!$L318,'Historico - FAT'!$I:$I,Faturamento!$J318,'Historico - FAT'!$G:$G,Faturamento!$H318)</f>
        <v>0</v>
      </c>
      <c r="AC318" s="31">
        <f>SUMIFS('Historico - FAT'!AL:AL,'Historico - FAT'!$K:$K,Faturamento!$L318,'Historico - FAT'!$I:$I,Faturamento!$J318,'Historico - FAT'!$G:$G,Faturamento!$H318)</f>
        <v>0</v>
      </c>
      <c r="AD318" s="31">
        <f>SUMIFS('Historico - FAT'!AM:AM,'Historico - FAT'!$K:$K,Faturamento!$L318,'Historico - FAT'!$I:$I,Faturamento!$J318,'Historico - FAT'!$G:$G,Faturamento!$H318)</f>
        <v>0</v>
      </c>
      <c r="AE318" s="27">
        <f>SUMIFS('Historico - FAT'!AN:AN,'Historico - FAT'!$K:$K,Faturamento!$L318,'Historico - FAT'!$I:$I,Faturamento!$J318,'Historico - FAT'!$G:$G,Faturamento!$H318)</f>
        <v>0</v>
      </c>
      <c r="AG318" s="24">
        <f t="shared" si="74"/>
        <v>1</v>
      </c>
      <c r="AH318" s="24">
        <f t="shared" si="75"/>
        <v>1</v>
      </c>
      <c r="AI318" s="24">
        <f t="shared" si="76"/>
        <v>1</v>
      </c>
    </row>
    <row r="319" spans="1:35" hidden="1" x14ac:dyDescent="0.3">
      <c r="A319" s="2" t="str">
        <f t="shared" si="73"/>
        <v>NÃO</v>
      </c>
      <c r="B319" s="2">
        <v>1000184670</v>
      </c>
      <c r="C319" s="2" t="s">
        <v>147</v>
      </c>
      <c r="D319" s="4">
        <v>1000186198</v>
      </c>
      <c r="E319" s="4" t="s">
        <v>168</v>
      </c>
      <c r="F319" s="2">
        <v>1000185288</v>
      </c>
      <c r="G319" s="2" t="s">
        <v>64</v>
      </c>
      <c r="H319" s="4">
        <v>1000189793</v>
      </c>
      <c r="I319" s="4" t="s">
        <v>85</v>
      </c>
      <c r="J319" s="2">
        <v>1000189763</v>
      </c>
      <c r="K319" s="2" t="s">
        <v>156</v>
      </c>
      <c r="L319" s="4" t="s">
        <v>21</v>
      </c>
      <c r="M319" s="4" t="str">
        <f t="shared" si="66"/>
        <v>1000184670100018619810001897931000189763NATURATTA</v>
      </c>
      <c r="N319" s="28">
        <f>N308*_xlfn.XLOOKUP($L319,'Balizador da Meta'!$B$4:$B$21,'Balizador da Meta'!$C$4:$C$21)</f>
        <v>75</v>
      </c>
      <c r="O319" s="28">
        <f>O308*_xlfn.XLOOKUP($L319,'Balizador da Meta'!$B$4:$B$21,'Balizador da Meta'!$C$4:$C$21)</f>
        <v>75</v>
      </c>
      <c r="P319" s="28">
        <f>P308*_xlfn.XLOOKUP($L319,'Balizador da Meta'!$B$4:$B$21,'Balizador da Meta'!$C$4:$C$21)</f>
        <v>75</v>
      </c>
      <c r="Q319" s="28">
        <f>Q308*_xlfn.XLOOKUP($L319,'Balizador da Meta'!$B$4:$B$21,'Balizador da Meta'!$C$4:$C$21)</f>
        <v>75</v>
      </c>
      <c r="R319" s="28">
        <f>R308*_xlfn.XLOOKUP($L319,'Balizador da Meta'!$B$4:$B$21,'Balizador da Meta'!$C$4:$C$21)</f>
        <v>75</v>
      </c>
      <c r="S319" s="28">
        <f>S308*_xlfn.XLOOKUP($L319,'Balizador da Meta'!$B$4:$B$21,'Balizador da Meta'!$C$4:$C$21)</f>
        <v>75</v>
      </c>
      <c r="T319" s="28">
        <f>T308*_xlfn.XLOOKUP($L319,'Balizador da Meta'!$B$4:$B$21,'Balizador da Meta'!$C$4:$C$21)</f>
        <v>75</v>
      </c>
      <c r="U319" s="28">
        <f>U308*_xlfn.XLOOKUP($L319,'Balizador da Meta'!$B$4:$B$21,'Balizador da Meta'!$C$4:$C$21)</f>
        <v>75</v>
      </c>
      <c r="V319" s="28">
        <f>V308*_xlfn.XLOOKUP($L319,'Balizador da Meta'!$B$4:$B$21,'Balizador da Meta'!$C$4:$C$21)</f>
        <v>75</v>
      </c>
      <c r="W319" s="28">
        <f>W308*_xlfn.XLOOKUP($L319,'Balizador da Meta'!$B$4:$B$21,'Balizador da Meta'!$C$4:$C$21)</f>
        <v>75</v>
      </c>
      <c r="X319" s="28">
        <f>X308*_xlfn.XLOOKUP($L319,'Balizador da Meta'!$B$4:$B$21,'Balizador da Meta'!$C$4:$C$21)</f>
        <v>75</v>
      </c>
      <c r="Y319" s="28">
        <f>Y308*_xlfn.XLOOKUP($L319,'Balizador da Meta'!$B$4:$B$21,'Balizador da Meta'!$C$4:$C$21)</f>
        <v>75</v>
      </c>
      <c r="Z319" s="30">
        <f t="shared" si="79"/>
        <v>900</v>
      </c>
      <c r="AA319" s="29"/>
      <c r="AB319" s="31">
        <f>SUMIFS('Historico - FAT'!AK:AK,'Historico - FAT'!$K:$K,Faturamento!$L319,'Historico - FAT'!$I:$I,Faturamento!$J319,'Historico - FAT'!$G:$G,Faturamento!$H319)</f>
        <v>0</v>
      </c>
      <c r="AC319" s="31">
        <f>SUMIFS('Historico - FAT'!AL:AL,'Historico - FAT'!$K:$K,Faturamento!$L319,'Historico - FAT'!$I:$I,Faturamento!$J319,'Historico - FAT'!$G:$G,Faturamento!$H319)</f>
        <v>96.144999999999996</v>
      </c>
      <c r="AD319" s="31">
        <f>SUMIFS('Historico - FAT'!AM:AM,'Historico - FAT'!$K:$K,Faturamento!$L319,'Historico - FAT'!$I:$I,Faturamento!$J319,'Historico - FAT'!$G:$G,Faturamento!$H319)</f>
        <v>192.29</v>
      </c>
      <c r="AE319" s="27">
        <f>SUMIFS('Historico - FAT'!AN:AN,'Historico - FAT'!$K:$K,Faturamento!$L319,'Historico - FAT'!$I:$I,Faturamento!$J319,'Historico - FAT'!$G:$G,Faturamento!$H319)</f>
        <v>115.374</v>
      </c>
      <c r="AG319" s="24">
        <f t="shared" si="74"/>
        <v>1</v>
      </c>
      <c r="AH319" s="24">
        <f t="shared" si="75"/>
        <v>-0.28193333333333326</v>
      </c>
      <c r="AI319" s="24">
        <f t="shared" si="76"/>
        <v>-1.5638666666666665</v>
      </c>
    </row>
    <row r="320" spans="1:35" hidden="1" x14ac:dyDescent="0.3">
      <c r="A320" s="2" t="str">
        <f t="shared" si="73"/>
        <v>NÃO</v>
      </c>
      <c r="B320" s="2">
        <v>1000184670</v>
      </c>
      <c r="C320" s="2" t="s">
        <v>147</v>
      </c>
      <c r="D320" s="4">
        <v>1000186198</v>
      </c>
      <c r="E320" s="4" t="s">
        <v>168</v>
      </c>
      <c r="F320" s="2">
        <v>1000185288</v>
      </c>
      <c r="G320" s="2" t="s">
        <v>64</v>
      </c>
      <c r="H320" s="4">
        <v>1000189793</v>
      </c>
      <c r="I320" s="4" t="s">
        <v>85</v>
      </c>
      <c r="J320" s="2">
        <v>1000189763</v>
      </c>
      <c r="K320" s="2" t="s">
        <v>156</v>
      </c>
      <c r="L320" s="4" t="s">
        <v>20</v>
      </c>
      <c r="M320" s="4" t="str">
        <f t="shared" si="66"/>
        <v>1000184670100018619810001897931000189763REEMBALADOS</v>
      </c>
      <c r="N320" s="28">
        <f>N308*_xlfn.XLOOKUP($L320,'Balizador da Meta'!$B$4:$B$21,'Balizador da Meta'!$C$4:$C$21)</f>
        <v>60</v>
      </c>
      <c r="O320" s="28">
        <f>O308*_xlfn.XLOOKUP($L320,'Balizador da Meta'!$B$4:$B$21,'Balizador da Meta'!$C$4:$C$21)</f>
        <v>60</v>
      </c>
      <c r="P320" s="28">
        <f>P308*_xlfn.XLOOKUP($L320,'Balizador da Meta'!$B$4:$B$21,'Balizador da Meta'!$C$4:$C$21)</f>
        <v>60</v>
      </c>
      <c r="Q320" s="28">
        <f>Q308*_xlfn.XLOOKUP($L320,'Balizador da Meta'!$B$4:$B$21,'Balizador da Meta'!$C$4:$C$21)</f>
        <v>60</v>
      </c>
      <c r="R320" s="28">
        <f>R308*_xlfn.XLOOKUP($L320,'Balizador da Meta'!$B$4:$B$21,'Balizador da Meta'!$C$4:$C$21)</f>
        <v>60</v>
      </c>
      <c r="S320" s="28">
        <f>S308*_xlfn.XLOOKUP($L320,'Balizador da Meta'!$B$4:$B$21,'Balizador da Meta'!$C$4:$C$21)</f>
        <v>60</v>
      </c>
      <c r="T320" s="28">
        <f>T308*_xlfn.XLOOKUP($L320,'Balizador da Meta'!$B$4:$B$21,'Balizador da Meta'!$C$4:$C$21)</f>
        <v>60</v>
      </c>
      <c r="U320" s="28">
        <f>U308*_xlfn.XLOOKUP($L320,'Balizador da Meta'!$B$4:$B$21,'Balizador da Meta'!$C$4:$C$21)</f>
        <v>60</v>
      </c>
      <c r="V320" s="28">
        <f>V308*_xlfn.XLOOKUP($L320,'Balizador da Meta'!$B$4:$B$21,'Balizador da Meta'!$C$4:$C$21)</f>
        <v>60</v>
      </c>
      <c r="W320" s="28">
        <f>W308*_xlfn.XLOOKUP($L320,'Balizador da Meta'!$B$4:$B$21,'Balizador da Meta'!$C$4:$C$21)</f>
        <v>60</v>
      </c>
      <c r="X320" s="28">
        <f>X308*_xlfn.XLOOKUP($L320,'Balizador da Meta'!$B$4:$B$21,'Balizador da Meta'!$C$4:$C$21)</f>
        <v>60</v>
      </c>
      <c r="Y320" s="28">
        <f>Y308*_xlfn.XLOOKUP($L320,'Balizador da Meta'!$B$4:$B$21,'Balizador da Meta'!$C$4:$C$21)</f>
        <v>60</v>
      </c>
      <c r="Z320" s="30">
        <f t="shared" si="79"/>
        <v>720</v>
      </c>
      <c r="AA320" s="29"/>
      <c r="AB320" s="31">
        <f>SUMIFS('Historico - FAT'!AK:AK,'Historico - FAT'!$K:$K,Faturamento!$L320,'Historico - FAT'!$I:$I,Faturamento!$J320,'Historico - FAT'!$G:$G,Faturamento!$H320)</f>
        <v>0</v>
      </c>
      <c r="AC320" s="31">
        <f>SUMIFS('Historico - FAT'!AL:AL,'Historico - FAT'!$K:$K,Faturamento!$L320,'Historico - FAT'!$I:$I,Faturamento!$J320,'Historico - FAT'!$G:$G,Faturamento!$H320)</f>
        <v>7.3533333333333326</v>
      </c>
      <c r="AD320" s="31">
        <f>SUMIFS('Historico - FAT'!AM:AM,'Historico - FAT'!$K:$K,Faturamento!$L320,'Historico - FAT'!$I:$I,Faturamento!$J320,'Historico - FAT'!$G:$G,Faturamento!$H320)</f>
        <v>14.706666666666665</v>
      </c>
      <c r="AE320" s="27">
        <f>SUMIFS('Historico - FAT'!AN:AN,'Historico - FAT'!$K:$K,Faturamento!$L320,'Historico - FAT'!$I:$I,Faturamento!$J320,'Historico - FAT'!$G:$G,Faturamento!$H320)</f>
        <v>8.8239999999999998</v>
      </c>
      <c r="AG320" s="24">
        <f t="shared" si="74"/>
        <v>1</v>
      </c>
      <c r="AH320" s="24">
        <f t="shared" si="75"/>
        <v>0.87744444444444447</v>
      </c>
      <c r="AI320" s="24">
        <f t="shared" si="76"/>
        <v>0.75488888888888894</v>
      </c>
    </row>
    <row r="321" spans="1:35" hidden="1" x14ac:dyDescent="0.3">
      <c r="A321" s="2" t="str">
        <f t="shared" si="73"/>
        <v>NÃO</v>
      </c>
      <c r="B321" s="2">
        <v>1000184670</v>
      </c>
      <c r="C321" s="2" t="s">
        <v>147</v>
      </c>
      <c r="D321" s="4">
        <v>1000186198</v>
      </c>
      <c r="E321" s="4" t="s">
        <v>168</v>
      </c>
      <c r="F321" s="2">
        <v>1000185288</v>
      </c>
      <c r="G321" s="2" t="s">
        <v>64</v>
      </c>
      <c r="H321" s="4">
        <v>1000189793</v>
      </c>
      <c r="I321" s="4" t="s">
        <v>85</v>
      </c>
      <c r="J321" s="2">
        <v>1000189763</v>
      </c>
      <c r="K321" s="2" t="s">
        <v>156</v>
      </c>
      <c r="L321" s="4" t="s">
        <v>22</v>
      </c>
      <c r="M321" s="4" t="str">
        <f t="shared" si="66"/>
        <v>1000184670100018619810001897931000189763S GLUTEN</v>
      </c>
      <c r="N321" s="28">
        <f>N308*_xlfn.XLOOKUP($L321,'Balizador da Meta'!$B$4:$B$21,'Balizador da Meta'!$C$4:$C$21)</f>
        <v>60</v>
      </c>
      <c r="O321" s="28">
        <f>O308*_xlfn.XLOOKUP($L321,'Balizador da Meta'!$B$4:$B$21,'Balizador da Meta'!$C$4:$C$21)</f>
        <v>60</v>
      </c>
      <c r="P321" s="28">
        <f>P308*_xlfn.XLOOKUP($L321,'Balizador da Meta'!$B$4:$B$21,'Balizador da Meta'!$C$4:$C$21)</f>
        <v>60</v>
      </c>
      <c r="Q321" s="28">
        <f>Q308*_xlfn.XLOOKUP($L321,'Balizador da Meta'!$B$4:$B$21,'Balizador da Meta'!$C$4:$C$21)</f>
        <v>60</v>
      </c>
      <c r="R321" s="28">
        <f>R308*_xlfn.XLOOKUP($L321,'Balizador da Meta'!$B$4:$B$21,'Balizador da Meta'!$C$4:$C$21)</f>
        <v>60</v>
      </c>
      <c r="S321" s="28">
        <f>S308*_xlfn.XLOOKUP($L321,'Balizador da Meta'!$B$4:$B$21,'Balizador da Meta'!$C$4:$C$21)</f>
        <v>60</v>
      </c>
      <c r="T321" s="28">
        <f>T308*_xlfn.XLOOKUP($L321,'Balizador da Meta'!$B$4:$B$21,'Balizador da Meta'!$C$4:$C$21)</f>
        <v>60</v>
      </c>
      <c r="U321" s="28">
        <f>U308*_xlfn.XLOOKUP($L321,'Balizador da Meta'!$B$4:$B$21,'Balizador da Meta'!$C$4:$C$21)</f>
        <v>60</v>
      </c>
      <c r="V321" s="28">
        <f>V308*_xlfn.XLOOKUP($L321,'Balizador da Meta'!$B$4:$B$21,'Balizador da Meta'!$C$4:$C$21)</f>
        <v>60</v>
      </c>
      <c r="W321" s="28">
        <f>W308*_xlfn.XLOOKUP($L321,'Balizador da Meta'!$B$4:$B$21,'Balizador da Meta'!$C$4:$C$21)</f>
        <v>60</v>
      </c>
      <c r="X321" s="28">
        <f>X308*_xlfn.XLOOKUP($L321,'Balizador da Meta'!$B$4:$B$21,'Balizador da Meta'!$C$4:$C$21)</f>
        <v>60</v>
      </c>
      <c r="Y321" s="28">
        <f>Y308*_xlfn.XLOOKUP($L321,'Balizador da Meta'!$B$4:$B$21,'Balizador da Meta'!$C$4:$C$21)</f>
        <v>60</v>
      </c>
      <c r="Z321" s="30">
        <f t="shared" si="79"/>
        <v>720</v>
      </c>
      <c r="AA321" s="29"/>
      <c r="AB321" s="31">
        <f>SUMIFS('Historico - FAT'!AK:AK,'Historico - FAT'!$K:$K,Faturamento!$L321,'Historico - FAT'!$I:$I,Faturamento!$J321,'Historico - FAT'!$G:$G,Faturamento!$H321)</f>
        <v>0</v>
      </c>
      <c r="AC321" s="31">
        <f>SUMIFS('Historico - FAT'!AL:AL,'Historico - FAT'!$K:$K,Faturamento!$L321,'Historico - FAT'!$I:$I,Faturamento!$J321,'Historico - FAT'!$G:$G,Faturamento!$H321)</f>
        <v>0</v>
      </c>
      <c r="AD321" s="31">
        <f>SUMIFS('Historico - FAT'!AM:AM,'Historico - FAT'!$K:$K,Faturamento!$L321,'Historico - FAT'!$I:$I,Faturamento!$J321,'Historico - FAT'!$G:$G,Faturamento!$H321)</f>
        <v>0</v>
      </c>
      <c r="AE321" s="27">
        <f>SUMIFS('Historico - FAT'!AN:AN,'Historico - FAT'!$K:$K,Faturamento!$L321,'Historico - FAT'!$I:$I,Faturamento!$J321,'Historico - FAT'!$G:$G,Faturamento!$H321)</f>
        <v>0</v>
      </c>
      <c r="AG321" s="24">
        <f t="shared" si="74"/>
        <v>1</v>
      </c>
      <c r="AH321" s="24">
        <f t="shared" si="75"/>
        <v>1</v>
      </c>
      <c r="AI321" s="24">
        <f t="shared" si="76"/>
        <v>1</v>
      </c>
    </row>
    <row r="322" spans="1:35" hidden="1" x14ac:dyDescent="0.3">
      <c r="A322" s="2" t="str">
        <f t="shared" si="73"/>
        <v>NÃO</v>
      </c>
      <c r="B322" s="2">
        <v>1000184670</v>
      </c>
      <c r="C322" s="2" t="s">
        <v>147</v>
      </c>
      <c r="D322" s="4">
        <v>1000186198</v>
      </c>
      <c r="E322" s="4" t="s">
        <v>168</v>
      </c>
      <c r="F322" s="2">
        <v>1000185288</v>
      </c>
      <c r="G322" s="2" t="s">
        <v>64</v>
      </c>
      <c r="H322" s="4">
        <v>1000189793</v>
      </c>
      <c r="I322" s="4" t="s">
        <v>85</v>
      </c>
      <c r="J322" s="2">
        <v>1000189763</v>
      </c>
      <c r="K322" s="2" t="s">
        <v>156</v>
      </c>
      <c r="L322" s="4" t="s">
        <v>23</v>
      </c>
      <c r="M322" s="4" t="str">
        <f t="shared" si="66"/>
        <v>1000184670100018619810001897931000189763SABORES DO CAMPO</v>
      </c>
      <c r="N322" s="28">
        <f>N308*_xlfn.XLOOKUP($L322,'Balizador da Meta'!$B$4:$B$21,'Balizador da Meta'!$C$4:$C$21)</f>
        <v>0</v>
      </c>
      <c r="O322" s="28">
        <f>O308*_xlfn.XLOOKUP($L322,'Balizador da Meta'!$B$4:$B$21,'Balizador da Meta'!$C$4:$C$21)</f>
        <v>0</v>
      </c>
      <c r="P322" s="28">
        <f>P308*_xlfn.XLOOKUP($L322,'Balizador da Meta'!$B$4:$B$21,'Balizador da Meta'!$C$4:$C$21)</f>
        <v>0</v>
      </c>
      <c r="Q322" s="28">
        <f>Q308*_xlfn.XLOOKUP($L322,'Balizador da Meta'!$B$4:$B$21,'Balizador da Meta'!$C$4:$C$21)</f>
        <v>0</v>
      </c>
      <c r="R322" s="28">
        <f>R308*_xlfn.XLOOKUP($L322,'Balizador da Meta'!$B$4:$B$21,'Balizador da Meta'!$C$4:$C$21)</f>
        <v>0</v>
      </c>
      <c r="S322" s="28">
        <f>S308*_xlfn.XLOOKUP($L322,'Balizador da Meta'!$B$4:$B$21,'Balizador da Meta'!$C$4:$C$21)</f>
        <v>0</v>
      </c>
      <c r="T322" s="28">
        <f>T308*_xlfn.XLOOKUP($L322,'Balizador da Meta'!$B$4:$B$21,'Balizador da Meta'!$C$4:$C$21)</f>
        <v>0</v>
      </c>
      <c r="U322" s="28">
        <f>U308*_xlfn.XLOOKUP($L322,'Balizador da Meta'!$B$4:$B$21,'Balizador da Meta'!$C$4:$C$21)</f>
        <v>0</v>
      </c>
      <c r="V322" s="28">
        <f>V308*_xlfn.XLOOKUP($L322,'Balizador da Meta'!$B$4:$B$21,'Balizador da Meta'!$C$4:$C$21)</f>
        <v>0</v>
      </c>
      <c r="W322" s="28">
        <f>W308*_xlfn.XLOOKUP($L322,'Balizador da Meta'!$B$4:$B$21,'Balizador da Meta'!$C$4:$C$21)</f>
        <v>0</v>
      </c>
      <c r="X322" s="28">
        <f>X308*_xlfn.XLOOKUP($L322,'Balizador da Meta'!$B$4:$B$21,'Balizador da Meta'!$C$4:$C$21)</f>
        <v>0</v>
      </c>
      <c r="Y322" s="28">
        <f>Y308*_xlfn.XLOOKUP($L322,'Balizador da Meta'!$B$4:$B$21,'Balizador da Meta'!$C$4:$C$21)</f>
        <v>0</v>
      </c>
      <c r="Z322" s="30">
        <f t="shared" si="79"/>
        <v>0</v>
      </c>
      <c r="AA322" s="29"/>
      <c r="AB322" s="31">
        <f>SUMIFS('Historico - FAT'!AK:AK,'Historico - FAT'!$K:$K,Faturamento!$L322,'Historico - FAT'!$I:$I,Faturamento!$J322,'Historico - FAT'!$G:$G,Faturamento!$H322)</f>
        <v>0</v>
      </c>
      <c r="AC322" s="31">
        <f>SUMIFS('Historico - FAT'!AL:AL,'Historico - FAT'!$K:$K,Faturamento!$L322,'Historico - FAT'!$I:$I,Faturamento!$J322,'Historico - FAT'!$G:$G,Faturamento!$H322)</f>
        <v>0</v>
      </c>
      <c r="AD322" s="31">
        <f>SUMIFS('Historico - FAT'!AM:AM,'Historico - FAT'!$K:$K,Faturamento!$L322,'Historico - FAT'!$I:$I,Faturamento!$J322,'Historico - FAT'!$G:$G,Faturamento!$H322)</f>
        <v>0</v>
      </c>
      <c r="AE322" s="27">
        <f>SUMIFS('Historico - FAT'!AN:AN,'Historico - FAT'!$K:$K,Faturamento!$L322,'Historico - FAT'!$I:$I,Faturamento!$J322,'Historico - FAT'!$G:$G,Faturamento!$H322)</f>
        <v>0</v>
      </c>
      <c r="AG322" s="24" t="str">
        <f t="shared" si="74"/>
        <v/>
      </c>
      <c r="AH322" s="24" t="str">
        <f t="shared" si="75"/>
        <v/>
      </c>
      <c r="AI322" s="24" t="str">
        <f t="shared" si="76"/>
        <v/>
      </c>
    </row>
    <row r="323" spans="1:35" hidden="1" x14ac:dyDescent="0.3">
      <c r="A323" s="2" t="str">
        <f t="shared" si="73"/>
        <v>NÃO</v>
      </c>
      <c r="B323" s="2">
        <v>1000184670</v>
      </c>
      <c r="C323" s="2" t="s">
        <v>147</v>
      </c>
      <c r="D323" s="4">
        <v>1000186198</v>
      </c>
      <c r="E323" s="4" t="s">
        <v>168</v>
      </c>
      <c r="F323" s="2">
        <v>1000185288</v>
      </c>
      <c r="G323" s="2" t="s">
        <v>64</v>
      </c>
      <c r="H323" s="4">
        <v>1000189793</v>
      </c>
      <c r="I323" s="4" t="s">
        <v>85</v>
      </c>
      <c r="J323" s="2">
        <v>1000189763</v>
      </c>
      <c r="K323" s="2" t="s">
        <v>156</v>
      </c>
      <c r="L323" s="4" t="s">
        <v>28</v>
      </c>
      <c r="M323" s="4" t="str">
        <f t="shared" si="66"/>
        <v>1000184670100018619810001897931000189763SAL</v>
      </c>
      <c r="N323" s="28">
        <f>N308*_xlfn.XLOOKUP($L323,'Balizador da Meta'!$B$4:$B$21,'Balizador da Meta'!$C$4:$C$21)</f>
        <v>30</v>
      </c>
      <c r="O323" s="28">
        <f>O308*_xlfn.XLOOKUP($L323,'Balizador da Meta'!$B$4:$B$21,'Balizador da Meta'!$C$4:$C$21)</f>
        <v>30</v>
      </c>
      <c r="P323" s="28">
        <f>P308*_xlfn.XLOOKUP($L323,'Balizador da Meta'!$B$4:$B$21,'Balizador da Meta'!$C$4:$C$21)</f>
        <v>30</v>
      </c>
      <c r="Q323" s="28">
        <f>Q308*_xlfn.XLOOKUP($L323,'Balizador da Meta'!$B$4:$B$21,'Balizador da Meta'!$C$4:$C$21)</f>
        <v>30</v>
      </c>
      <c r="R323" s="28">
        <f>R308*_xlfn.XLOOKUP($L323,'Balizador da Meta'!$B$4:$B$21,'Balizador da Meta'!$C$4:$C$21)</f>
        <v>30</v>
      </c>
      <c r="S323" s="28">
        <f>S308*_xlfn.XLOOKUP($L323,'Balizador da Meta'!$B$4:$B$21,'Balizador da Meta'!$C$4:$C$21)</f>
        <v>30</v>
      </c>
      <c r="T323" s="28">
        <f>T308*_xlfn.XLOOKUP($L323,'Balizador da Meta'!$B$4:$B$21,'Balizador da Meta'!$C$4:$C$21)</f>
        <v>30</v>
      </c>
      <c r="U323" s="28">
        <f>U308*_xlfn.XLOOKUP($L323,'Balizador da Meta'!$B$4:$B$21,'Balizador da Meta'!$C$4:$C$21)</f>
        <v>30</v>
      </c>
      <c r="V323" s="28">
        <f>V308*_xlfn.XLOOKUP($L323,'Balizador da Meta'!$B$4:$B$21,'Balizador da Meta'!$C$4:$C$21)</f>
        <v>30</v>
      </c>
      <c r="W323" s="28">
        <f>W308*_xlfn.XLOOKUP($L323,'Balizador da Meta'!$B$4:$B$21,'Balizador da Meta'!$C$4:$C$21)</f>
        <v>30</v>
      </c>
      <c r="X323" s="28">
        <f>X308*_xlfn.XLOOKUP($L323,'Balizador da Meta'!$B$4:$B$21,'Balizador da Meta'!$C$4:$C$21)</f>
        <v>30</v>
      </c>
      <c r="Y323" s="28">
        <f>Y308*_xlfn.XLOOKUP($L323,'Balizador da Meta'!$B$4:$B$21,'Balizador da Meta'!$C$4:$C$21)</f>
        <v>30</v>
      </c>
      <c r="Z323" s="30">
        <f t="shared" si="79"/>
        <v>360</v>
      </c>
      <c r="AA323" s="29"/>
      <c r="AB323" s="31">
        <f>SUMIFS('Historico - FAT'!AK:AK,'Historico - FAT'!$K:$K,Faturamento!$L323,'Historico - FAT'!$I:$I,Faturamento!$J323,'Historico - FAT'!$G:$G,Faturamento!$H323)</f>
        <v>0</v>
      </c>
      <c r="AC323" s="31">
        <f>SUMIFS('Historico - FAT'!AL:AL,'Historico - FAT'!$K:$K,Faturamento!$L323,'Historico - FAT'!$I:$I,Faturamento!$J323,'Historico - FAT'!$G:$G,Faturamento!$H323)</f>
        <v>2.7183333333333333</v>
      </c>
      <c r="AD323" s="31">
        <f>SUMIFS('Historico - FAT'!AM:AM,'Historico - FAT'!$K:$K,Faturamento!$L323,'Historico - FAT'!$I:$I,Faturamento!$J323,'Historico - FAT'!$G:$G,Faturamento!$H323)</f>
        <v>5.4366666666666665</v>
      </c>
      <c r="AE323" s="27">
        <f>SUMIFS('Historico - FAT'!AN:AN,'Historico - FAT'!$K:$K,Faturamento!$L323,'Historico - FAT'!$I:$I,Faturamento!$J323,'Historico - FAT'!$G:$G,Faturamento!$H323)</f>
        <v>3.2619999999999996</v>
      </c>
      <c r="AG323" s="24">
        <f t="shared" si="74"/>
        <v>1</v>
      </c>
      <c r="AH323" s="24">
        <f t="shared" si="75"/>
        <v>0.90938888888888891</v>
      </c>
      <c r="AI323" s="24">
        <f t="shared" si="76"/>
        <v>0.81877777777777772</v>
      </c>
    </row>
    <row r="324" spans="1:35" hidden="1" x14ac:dyDescent="0.3">
      <c r="A324" s="2" t="str">
        <f t="shared" si="73"/>
        <v>NÃO</v>
      </c>
      <c r="B324" s="2">
        <v>1000184670</v>
      </c>
      <c r="C324" s="2" t="s">
        <v>147</v>
      </c>
      <c r="D324" s="4">
        <v>1000186198</v>
      </c>
      <c r="E324" s="4" t="s">
        <v>168</v>
      </c>
      <c r="F324" s="2">
        <v>1000185288</v>
      </c>
      <c r="G324" s="2" t="s">
        <v>64</v>
      </c>
      <c r="H324" s="4">
        <v>1000189793</v>
      </c>
      <c r="I324" s="4" t="s">
        <v>85</v>
      </c>
      <c r="J324" s="2">
        <v>1000189763</v>
      </c>
      <c r="K324" s="2" t="s">
        <v>156</v>
      </c>
      <c r="L324" s="4" t="s">
        <v>26</v>
      </c>
      <c r="M324" s="4" t="str">
        <f t="shared" si="66"/>
        <v>1000184670100018619810001897931000189763SOULPRO</v>
      </c>
      <c r="N324" s="28">
        <f>N308*_xlfn.XLOOKUP($L324,'Balizador da Meta'!$B$4:$B$21,'Balizador da Meta'!$C$4:$C$21)</f>
        <v>90</v>
      </c>
      <c r="O324" s="28">
        <f>O308*_xlfn.XLOOKUP($L324,'Balizador da Meta'!$B$4:$B$21,'Balizador da Meta'!$C$4:$C$21)</f>
        <v>90</v>
      </c>
      <c r="P324" s="28">
        <f>P308*_xlfn.XLOOKUP($L324,'Balizador da Meta'!$B$4:$B$21,'Balizador da Meta'!$C$4:$C$21)</f>
        <v>90</v>
      </c>
      <c r="Q324" s="28">
        <f>Q308*_xlfn.XLOOKUP($L324,'Balizador da Meta'!$B$4:$B$21,'Balizador da Meta'!$C$4:$C$21)</f>
        <v>90</v>
      </c>
      <c r="R324" s="28">
        <f>R308*_xlfn.XLOOKUP($L324,'Balizador da Meta'!$B$4:$B$21,'Balizador da Meta'!$C$4:$C$21)</f>
        <v>90</v>
      </c>
      <c r="S324" s="28">
        <f>S308*_xlfn.XLOOKUP($L324,'Balizador da Meta'!$B$4:$B$21,'Balizador da Meta'!$C$4:$C$21)</f>
        <v>90</v>
      </c>
      <c r="T324" s="28">
        <f>T308*_xlfn.XLOOKUP($L324,'Balizador da Meta'!$B$4:$B$21,'Balizador da Meta'!$C$4:$C$21)</f>
        <v>90</v>
      </c>
      <c r="U324" s="28">
        <f>U308*_xlfn.XLOOKUP($L324,'Balizador da Meta'!$B$4:$B$21,'Balizador da Meta'!$C$4:$C$21)</f>
        <v>90</v>
      </c>
      <c r="V324" s="28">
        <f>V308*_xlfn.XLOOKUP($L324,'Balizador da Meta'!$B$4:$B$21,'Balizador da Meta'!$C$4:$C$21)</f>
        <v>90</v>
      </c>
      <c r="W324" s="28">
        <f>W308*_xlfn.XLOOKUP($L324,'Balizador da Meta'!$B$4:$B$21,'Balizador da Meta'!$C$4:$C$21)</f>
        <v>90</v>
      </c>
      <c r="X324" s="28">
        <f>X308*_xlfn.XLOOKUP($L324,'Balizador da Meta'!$B$4:$B$21,'Balizador da Meta'!$C$4:$C$21)</f>
        <v>90</v>
      </c>
      <c r="Y324" s="28">
        <f>Y308*_xlfn.XLOOKUP($L324,'Balizador da Meta'!$B$4:$B$21,'Balizador da Meta'!$C$4:$C$21)</f>
        <v>90</v>
      </c>
      <c r="Z324" s="30">
        <f t="shared" si="79"/>
        <v>1080</v>
      </c>
      <c r="AA324" s="29"/>
      <c r="AB324" s="31">
        <f>SUMIFS('Historico - FAT'!AK:AK,'Historico - FAT'!$K:$K,Faturamento!$L324,'Historico - FAT'!$I:$I,Faturamento!$J324,'Historico - FAT'!$G:$G,Faturamento!$H324)</f>
        <v>0</v>
      </c>
      <c r="AC324" s="31">
        <f>SUMIFS('Historico - FAT'!AL:AL,'Historico - FAT'!$K:$K,Faturamento!$L324,'Historico - FAT'!$I:$I,Faturamento!$J324,'Historico - FAT'!$G:$G,Faturamento!$H324)</f>
        <v>494.96000000000004</v>
      </c>
      <c r="AD324" s="31">
        <f>SUMIFS('Historico - FAT'!AM:AM,'Historico - FAT'!$K:$K,Faturamento!$L324,'Historico - FAT'!$I:$I,Faturamento!$J324,'Historico - FAT'!$G:$G,Faturamento!$H324)</f>
        <v>989.92000000000007</v>
      </c>
      <c r="AE324" s="27">
        <f>SUMIFS('Historico - FAT'!AN:AN,'Historico - FAT'!$K:$K,Faturamento!$L324,'Historico - FAT'!$I:$I,Faturamento!$J324,'Historico - FAT'!$G:$G,Faturamento!$H324)</f>
        <v>593.952</v>
      </c>
      <c r="AG324" s="24">
        <f t="shared" si="74"/>
        <v>1</v>
      </c>
      <c r="AH324" s="24">
        <f t="shared" si="75"/>
        <v>-4.4995555555555562</v>
      </c>
      <c r="AI324" s="24">
        <f t="shared" si="76"/>
        <v>-9.9991111111111124</v>
      </c>
    </row>
    <row r="325" spans="1:35" hidden="1" x14ac:dyDescent="0.3">
      <c r="A325" s="2" t="str">
        <f t="shared" si="73"/>
        <v>NÃO</v>
      </c>
      <c r="B325" s="2">
        <v>1000184670</v>
      </c>
      <c r="C325" s="2" t="s">
        <v>147</v>
      </c>
      <c r="D325" s="4">
        <v>1000186198</v>
      </c>
      <c r="E325" s="4" t="s">
        <v>168</v>
      </c>
      <c r="F325" s="2">
        <v>1000185288</v>
      </c>
      <c r="G325" s="2" t="s">
        <v>64</v>
      </c>
      <c r="H325" s="4">
        <v>1000189793</v>
      </c>
      <c r="I325" s="4" t="s">
        <v>85</v>
      </c>
      <c r="J325" s="2">
        <v>1000189763</v>
      </c>
      <c r="K325" s="2" t="s">
        <v>156</v>
      </c>
      <c r="L325" s="4" t="s">
        <v>27</v>
      </c>
      <c r="M325" s="4" t="str">
        <f t="shared" ref="M325:M388" si="80">_xlfn.CONCAT(B325,D325,H325,J325,L325,)</f>
        <v>1000184670100018619810001897931000189763TAMARA</v>
      </c>
      <c r="N325" s="28">
        <f>N308*_xlfn.XLOOKUP($L325,'Balizador da Meta'!$B$4:$B$21,'Balizador da Meta'!$C$4:$C$21)</f>
        <v>120</v>
      </c>
      <c r="O325" s="28">
        <f>O308*_xlfn.XLOOKUP($L325,'Balizador da Meta'!$B$4:$B$21,'Balizador da Meta'!$C$4:$C$21)</f>
        <v>120</v>
      </c>
      <c r="P325" s="28">
        <f>P308*_xlfn.XLOOKUP($L325,'Balizador da Meta'!$B$4:$B$21,'Balizador da Meta'!$C$4:$C$21)</f>
        <v>120</v>
      </c>
      <c r="Q325" s="28">
        <f>Q308*_xlfn.XLOOKUP($L325,'Balizador da Meta'!$B$4:$B$21,'Balizador da Meta'!$C$4:$C$21)</f>
        <v>120</v>
      </c>
      <c r="R325" s="28">
        <f>R308*_xlfn.XLOOKUP($L325,'Balizador da Meta'!$B$4:$B$21,'Balizador da Meta'!$C$4:$C$21)</f>
        <v>120</v>
      </c>
      <c r="S325" s="28">
        <f>S308*_xlfn.XLOOKUP($L325,'Balizador da Meta'!$B$4:$B$21,'Balizador da Meta'!$C$4:$C$21)</f>
        <v>120</v>
      </c>
      <c r="T325" s="28">
        <f>T308*_xlfn.XLOOKUP($L325,'Balizador da Meta'!$B$4:$B$21,'Balizador da Meta'!$C$4:$C$21)</f>
        <v>120</v>
      </c>
      <c r="U325" s="28">
        <f>U308*_xlfn.XLOOKUP($L325,'Balizador da Meta'!$B$4:$B$21,'Balizador da Meta'!$C$4:$C$21)</f>
        <v>120</v>
      </c>
      <c r="V325" s="28">
        <f>V308*_xlfn.XLOOKUP($L325,'Balizador da Meta'!$B$4:$B$21,'Balizador da Meta'!$C$4:$C$21)</f>
        <v>120</v>
      </c>
      <c r="W325" s="28">
        <f>W308*_xlfn.XLOOKUP($L325,'Balizador da Meta'!$B$4:$B$21,'Balizador da Meta'!$C$4:$C$21)</f>
        <v>120</v>
      </c>
      <c r="X325" s="28">
        <f>X308*_xlfn.XLOOKUP($L325,'Balizador da Meta'!$B$4:$B$21,'Balizador da Meta'!$C$4:$C$21)</f>
        <v>120</v>
      </c>
      <c r="Y325" s="28">
        <f>Y308*_xlfn.XLOOKUP($L325,'Balizador da Meta'!$B$4:$B$21,'Balizador da Meta'!$C$4:$C$21)</f>
        <v>120</v>
      </c>
      <c r="Z325" s="30">
        <f t="shared" si="79"/>
        <v>1440</v>
      </c>
      <c r="AA325" s="29"/>
      <c r="AB325" s="31">
        <f>SUMIFS('Historico - FAT'!AK:AK,'Historico - FAT'!$K:$K,Faturamento!$L325,'Historico - FAT'!$I:$I,Faturamento!$J325,'Historico - FAT'!$G:$G,Faturamento!$H325)</f>
        <v>0</v>
      </c>
      <c r="AC325" s="31">
        <f>SUMIFS('Historico - FAT'!AL:AL,'Historico - FAT'!$K:$K,Faturamento!$L325,'Historico - FAT'!$I:$I,Faturamento!$J325,'Historico - FAT'!$G:$G,Faturamento!$H325)</f>
        <v>61.274166666666666</v>
      </c>
      <c r="AD325" s="31">
        <f>SUMIFS('Historico - FAT'!AM:AM,'Historico - FAT'!$K:$K,Faturamento!$L325,'Historico - FAT'!$I:$I,Faturamento!$J325,'Historico - FAT'!$G:$G,Faturamento!$H325)</f>
        <v>122.54833333333333</v>
      </c>
      <c r="AE325" s="27">
        <f>SUMIFS('Historico - FAT'!AN:AN,'Historico - FAT'!$K:$K,Faturamento!$L325,'Historico - FAT'!$I:$I,Faturamento!$J325,'Historico - FAT'!$G:$G,Faturamento!$H325)</f>
        <v>73.528999999999996</v>
      </c>
      <c r="AG325" s="24">
        <f t="shared" si="74"/>
        <v>1</v>
      </c>
      <c r="AH325" s="24">
        <f t="shared" si="75"/>
        <v>0.48938194444444444</v>
      </c>
      <c r="AI325" s="24">
        <f t="shared" si="76"/>
        <v>-2.1236111111111101E-2</v>
      </c>
    </row>
    <row r="326" spans="1:35" hidden="1" x14ac:dyDescent="0.3">
      <c r="A326" s="2" t="str">
        <f t="shared" si="73"/>
        <v>NÃO</v>
      </c>
      <c r="B326" s="2">
        <v>1000184670</v>
      </c>
      <c r="C326" s="2" t="s">
        <v>147</v>
      </c>
      <c r="D326" s="4">
        <v>1000186198</v>
      </c>
      <c r="E326" s="4" t="s">
        <v>168</v>
      </c>
      <c r="F326" s="2">
        <v>1000185288</v>
      </c>
      <c r="G326" s="2" t="s">
        <v>64</v>
      </c>
      <c r="H326" s="4">
        <v>1000189793</v>
      </c>
      <c r="I326" s="4" t="s">
        <v>85</v>
      </c>
      <c r="J326" s="2">
        <v>1000189763</v>
      </c>
      <c r="K326" s="2" t="s">
        <v>156</v>
      </c>
      <c r="L326" s="4" t="s">
        <v>25</v>
      </c>
      <c r="M326" s="4" t="str">
        <f t="shared" si="80"/>
        <v>1000184670100018619810001897931000189763VICCIO</v>
      </c>
      <c r="N326" s="28">
        <f>N308*_xlfn.XLOOKUP($L326,'Balizador da Meta'!$B$4:$B$21,'Balizador da Meta'!$C$4:$C$21)</f>
        <v>45</v>
      </c>
      <c r="O326" s="28">
        <f>O308*_xlfn.XLOOKUP($L326,'Balizador da Meta'!$B$4:$B$21,'Balizador da Meta'!$C$4:$C$21)</f>
        <v>45</v>
      </c>
      <c r="P326" s="28">
        <f>P308*_xlfn.XLOOKUP($L326,'Balizador da Meta'!$B$4:$B$21,'Balizador da Meta'!$C$4:$C$21)</f>
        <v>45</v>
      </c>
      <c r="Q326" s="28">
        <f>Q308*_xlfn.XLOOKUP($L326,'Balizador da Meta'!$B$4:$B$21,'Balizador da Meta'!$C$4:$C$21)</f>
        <v>45</v>
      </c>
      <c r="R326" s="28">
        <f>R308*_xlfn.XLOOKUP($L326,'Balizador da Meta'!$B$4:$B$21,'Balizador da Meta'!$C$4:$C$21)</f>
        <v>45</v>
      </c>
      <c r="S326" s="28">
        <f>S308*_xlfn.XLOOKUP($L326,'Balizador da Meta'!$B$4:$B$21,'Balizador da Meta'!$C$4:$C$21)</f>
        <v>45</v>
      </c>
      <c r="T326" s="28">
        <f>T308*_xlfn.XLOOKUP($L326,'Balizador da Meta'!$B$4:$B$21,'Balizador da Meta'!$C$4:$C$21)</f>
        <v>45</v>
      </c>
      <c r="U326" s="28">
        <f>U308*_xlfn.XLOOKUP($L326,'Balizador da Meta'!$B$4:$B$21,'Balizador da Meta'!$C$4:$C$21)</f>
        <v>45</v>
      </c>
      <c r="V326" s="28">
        <f>V308*_xlfn.XLOOKUP($L326,'Balizador da Meta'!$B$4:$B$21,'Balizador da Meta'!$C$4:$C$21)</f>
        <v>45</v>
      </c>
      <c r="W326" s="28">
        <f>W308*_xlfn.XLOOKUP($L326,'Balizador da Meta'!$B$4:$B$21,'Balizador da Meta'!$C$4:$C$21)</f>
        <v>45</v>
      </c>
      <c r="X326" s="28">
        <f>X308*_xlfn.XLOOKUP($L326,'Balizador da Meta'!$B$4:$B$21,'Balizador da Meta'!$C$4:$C$21)</f>
        <v>45</v>
      </c>
      <c r="Y326" s="28">
        <f>Y308*_xlfn.XLOOKUP($L326,'Balizador da Meta'!$B$4:$B$21,'Balizador da Meta'!$C$4:$C$21)</f>
        <v>45</v>
      </c>
      <c r="Z326" s="30">
        <f t="shared" si="79"/>
        <v>540</v>
      </c>
      <c r="AA326" s="29"/>
      <c r="AB326" s="31">
        <f>SUMIFS('Historico - FAT'!AK:AK,'Historico - FAT'!$K:$K,Faturamento!$L326,'Historico - FAT'!$I:$I,Faturamento!$J326,'Historico - FAT'!$G:$G,Faturamento!$H326)</f>
        <v>0</v>
      </c>
      <c r="AC326" s="31">
        <f>SUMIFS('Historico - FAT'!AL:AL,'Historico - FAT'!$K:$K,Faturamento!$L326,'Historico - FAT'!$I:$I,Faturamento!$J326,'Historico - FAT'!$G:$G,Faturamento!$H326)</f>
        <v>31.987500000000001</v>
      </c>
      <c r="AD326" s="31">
        <f>SUMIFS('Historico - FAT'!AM:AM,'Historico - FAT'!$K:$K,Faturamento!$L326,'Historico - FAT'!$I:$I,Faturamento!$J326,'Historico - FAT'!$G:$G,Faturamento!$H326)</f>
        <v>63.975000000000001</v>
      </c>
      <c r="AE326" s="27">
        <f>SUMIFS('Historico - FAT'!AN:AN,'Historico - FAT'!$K:$K,Faturamento!$L326,'Historico - FAT'!$I:$I,Faturamento!$J326,'Historico - FAT'!$G:$G,Faturamento!$H326)</f>
        <v>38.385000000000005</v>
      </c>
      <c r="AG326" s="24">
        <f t="shared" si="74"/>
        <v>1</v>
      </c>
      <c r="AH326" s="24">
        <f t="shared" si="75"/>
        <v>0.28916666666666663</v>
      </c>
      <c r="AI326" s="24">
        <f t="shared" si="76"/>
        <v>-0.42166666666666669</v>
      </c>
    </row>
    <row r="327" spans="1:35" x14ac:dyDescent="0.3">
      <c r="A327" s="2" t="str">
        <f t="shared" si="73"/>
        <v>SIM</v>
      </c>
      <c r="B327" s="2">
        <v>1000184670</v>
      </c>
      <c r="C327" s="2" t="s">
        <v>147</v>
      </c>
      <c r="D327" s="4">
        <v>1000186197</v>
      </c>
      <c r="E327" s="4" t="s">
        <v>166</v>
      </c>
      <c r="F327" s="2">
        <v>1000198600</v>
      </c>
      <c r="G327" s="2" t="s">
        <v>148</v>
      </c>
      <c r="H327" s="4">
        <v>1000198601</v>
      </c>
      <c r="I327" s="4" t="s">
        <v>149</v>
      </c>
      <c r="J327" s="2">
        <v>1000190614</v>
      </c>
      <c r="K327" s="2" t="s">
        <v>145</v>
      </c>
      <c r="L327" s="4" t="s">
        <v>124</v>
      </c>
      <c r="M327" s="4" t="str">
        <f t="shared" si="80"/>
        <v>100018467010001861971000198601100019061401. TOTAL</v>
      </c>
      <c r="N327" s="28">
        <f>SUMIFS(Positivação!L:L,Positivação!$I:$I,Faturamento!$J327,Positivação!$G:$G,Faturamento!$H327)*SUMIFS(Positivação!$Z:$Z,Positivação!$I:$I,Faturamento!$J327,Positivação!$G:$G,Faturamento!$H327)</f>
        <v>4500</v>
      </c>
      <c r="O327" s="28">
        <f>SUMIFS(Positivação!M:M,Positivação!$I:$I,Faturamento!$J327,Positivação!$G:$G,Faturamento!$H327)*SUMIFS(Positivação!$Z:$Z,Positivação!$I:$I,Faturamento!$J327,Positivação!$G:$G,Faturamento!$H327)</f>
        <v>4500</v>
      </c>
      <c r="P327" s="28">
        <f>SUMIFS(Positivação!N:N,Positivação!$I:$I,Faturamento!$J327,Positivação!$G:$G,Faturamento!$H327)*SUMIFS(Positivação!$Z:$Z,Positivação!$I:$I,Faturamento!$J327,Positivação!$G:$G,Faturamento!$H327)</f>
        <v>4500</v>
      </c>
      <c r="Q327" s="28">
        <f>SUMIFS(Positivação!O:O,Positivação!$I:$I,Faturamento!$J327,Positivação!$G:$G,Faturamento!$H327)*SUMIFS(Positivação!$Z:$Z,Positivação!$I:$I,Faturamento!$J327,Positivação!$G:$G,Faturamento!$H327)</f>
        <v>6000</v>
      </c>
      <c r="R327" s="28">
        <f>SUMIFS(Positivação!P:P,Positivação!$I:$I,Faturamento!$J327,Positivação!$G:$G,Faturamento!$H327)*SUMIFS(Positivação!$Z:$Z,Positivação!$I:$I,Faturamento!$J327,Positivação!$G:$G,Faturamento!$H327)</f>
        <v>6000</v>
      </c>
      <c r="S327" s="28">
        <f>SUMIFS(Positivação!Q:Q,Positivação!$I:$I,Faturamento!$J327,Positivação!$G:$G,Faturamento!$H327)*SUMIFS(Positivação!$Z:$Z,Positivação!$I:$I,Faturamento!$J327,Positivação!$G:$G,Faturamento!$H327)</f>
        <v>6000</v>
      </c>
      <c r="T327" s="28">
        <f>SUMIFS(Positivação!R:R,Positivação!$I:$I,Faturamento!$J327,Positivação!$G:$G,Faturamento!$H327)*SUMIFS(Positivação!$Z:$Z,Positivação!$I:$I,Faturamento!$J327,Positivação!$G:$G,Faturamento!$H327)</f>
        <v>7500</v>
      </c>
      <c r="U327" s="28">
        <f>SUMIFS(Positivação!S:S,Positivação!$I:$I,Faturamento!$J327,Positivação!$G:$G,Faturamento!$H327)*SUMIFS(Positivação!$Z:$Z,Positivação!$I:$I,Faturamento!$J327,Positivação!$G:$G,Faturamento!$H327)</f>
        <v>7500</v>
      </c>
      <c r="V327" s="28">
        <f>SUMIFS(Positivação!T:T,Positivação!$I:$I,Faturamento!$J327,Positivação!$G:$G,Faturamento!$H327)*SUMIFS(Positivação!$Z:$Z,Positivação!$I:$I,Faturamento!$J327,Positivação!$G:$G,Faturamento!$H327)</f>
        <v>7500</v>
      </c>
      <c r="W327" s="28">
        <f>SUMIFS(Positivação!U:U,Positivação!$I:$I,Faturamento!$J327,Positivação!$G:$G,Faturamento!$H327)*SUMIFS(Positivação!$Z:$Z,Positivação!$I:$I,Faturamento!$J327,Positivação!$G:$G,Faturamento!$H327)</f>
        <v>7500</v>
      </c>
      <c r="X327" s="28">
        <f>SUMIFS(Positivação!V:V,Positivação!$I:$I,Faturamento!$J327,Positivação!$G:$G,Faturamento!$H327)*SUMIFS(Positivação!$Z:$Z,Positivação!$I:$I,Faturamento!$J327,Positivação!$G:$G,Faturamento!$H327)</f>
        <v>9000</v>
      </c>
      <c r="Y327" s="28">
        <f>SUMIFS(Positivação!W:W,Positivação!$I:$I,Faturamento!$J327,Positivação!$G:$G,Faturamento!$H327)*SUMIFS(Positivação!$Z:$Z,Positivação!$I:$I,Faturamento!$J327,Positivação!$G:$G,Faturamento!$H327)</f>
        <v>9000</v>
      </c>
      <c r="Z327" s="28">
        <f t="shared" ref="Z327" si="81">SUM(Z328:Z345)</f>
        <v>79500</v>
      </c>
      <c r="AA327" s="29"/>
      <c r="AB327" s="28">
        <f t="shared" ref="AB327:AE327" si="82">SUM(AB328:AB345)</f>
        <v>0</v>
      </c>
      <c r="AC327" s="28">
        <f t="shared" si="82"/>
        <v>379.93333333333334</v>
      </c>
      <c r="AD327" s="28">
        <f t="shared" si="82"/>
        <v>759.86666666666667</v>
      </c>
      <c r="AE327" s="28">
        <f t="shared" si="82"/>
        <v>455.91999999999996</v>
      </c>
      <c r="AG327" s="24">
        <f t="shared" si="74"/>
        <v>1</v>
      </c>
      <c r="AH327" s="24">
        <f t="shared" si="75"/>
        <v>0.95530196078431373</v>
      </c>
      <c r="AI327" s="24">
        <f t="shared" si="76"/>
        <v>0.91060392156862746</v>
      </c>
    </row>
    <row r="328" spans="1:35" hidden="1" x14ac:dyDescent="0.3">
      <c r="A328" s="2" t="str">
        <f t="shared" si="73"/>
        <v>NÃO</v>
      </c>
      <c r="B328" s="2">
        <v>1000184670</v>
      </c>
      <c r="C328" s="2" t="s">
        <v>147</v>
      </c>
      <c r="D328" s="4">
        <v>1000186197</v>
      </c>
      <c r="E328" s="4" t="s">
        <v>166</v>
      </c>
      <c r="F328" s="2">
        <v>1000198600</v>
      </c>
      <c r="G328" s="2" t="s">
        <v>148</v>
      </c>
      <c r="H328" s="4">
        <v>1000198601</v>
      </c>
      <c r="I328" s="4" t="s">
        <v>149</v>
      </c>
      <c r="J328" s="2">
        <v>1000190614</v>
      </c>
      <c r="K328" s="2" t="s">
        <v>145</v>
      </c>
      <c r="L328" s="4" t="s">
        <v>13</v>
      </c>
      <c r="M328" s="4" t="str">
        <f t="shared" si="80"/>
        <v>1000184670100018619710001986011000190614BISCOITO</v>
      </c>
      <c r="N328" s="28">
        <f>N327*_xlfn.XLOOKUP($L328,'Balizador da Meta'!$B$4:$B$21,'Balizador da Meta'!$C$4:$C$21)</f>
        <v>315.00000000000006</v>
      </c>
      <c r="O328" s="28">
        <f>O327*_xlfn.XLOOKUP($L328,'Balizador da Meta'!$B$4:$B$21,'Balizador da Meta'!$C$4:$C$21)</f>
        <v>315.00000000000006</v>
      </c>
      <c r="P328" s="28">
        <f>P327*_xlfn.XLOOKUP($L328,'Balizador da Meta'!$B$4:$B$21,'Balizador da Meta'!$C$4:$C$21)</f>
        <v>315.00000000000006</v>
      </c>
      <c r="Q328" s="28">
        <f>Q327*_xlfn.XLOOKUP($L328,'Balizador da Meta'!$B$4:$B$21,'Balizador da Meta'!$C$4:$C$21)</f>
        <v>420.00000000000006</v>
      </c>
      <c r="R328" s="28">
        <f>R327*_xlfn.XLOOKUP($L328,'Balizador da Meta'!$B$4:$B$21,'Balizador da Meta'!$C$4:$C$21)</f>
        <v>420.00000000000006</v>
      </c>
      <c r="S328" s="28">
        <f>S327*_xlfn.XLOOKUP($L328,'Balizador da Meta'!$B$4:$B$21,'Balizador da Meta'!$C$4:$C$21)</f>
        <v>420.00000000000006</v>
      </c>
      <c r="T328" s="28">
        <f>T327*_xlfn.XLOOKUP($L328,'Balizador da Meta'!$B$4:$B$21,'Balizador da Meta'!$C$4:$C$21)</f>
        <v>525</v>
      </c>
      <c r="U328" s="28">
        <f>U327*_xlfn.XLOOKUP($L328,'Balizador da Meta'!$B$4:$B$21,'Balizador da Meta'!$C$4:$C$21)</f>
        <v>525</v>
      </c>
      <c r="V328" s="28">
        <f>V327*_xlfn.XLOOKUP($L328,'Balizador da Meta'!$B$4:$B$21,'Balizador da Meta'!$C$4:$C$21)</f>
        <v>525</v>
      </c>
      <c r="W328" s="28">
        <f>W327*_xlfn.XLOOKUP($L328,'Balizador da Meta'!$B$4:$B$21,'Balizador da Meta'!$C$4:$C$21)</f>
        <v>525</v>
      </c>
      <c r="X328" s="28">
        <f>X327*_xlfn.XLOOKUP($L328,'Balizador da Meta'!$B$4:$B$21,'Balizador da Meta'!$C$4:$C$21)</f>
        <v>630.00000000000011</v>
      </c>
      <c r="Y328" s="28">
        <f>Y327*_xlfn.XLOOKUP($L328,'Balizador da Meta'!$B$4:$B$21,'Balizador da Meta'!$C$4:$C$21)</f>
        <v>630.00000000000011</v>
      </c>
      <c r="Z328" s="30">
        <f t="shared" ref="Z328:Z345" si="83">SUM(N328:Y328)</f>
        <v>5565</v>
      </c>
      <c r="AA328" s="29"/>
      <c r="AB328" s="31">
        <f>SUMIFS('Historico - FAT'!AK:AK,'Historico - FAT'!$K:$K,Faturamento!$L328,'Historico - FAT'!$I:$I,Faturamento!$J328,'Historico - FAT'!$G:$G,Faturamento!$H328)</f>
        <v>0</v>
      </c>
      <c r="AC328" s="31">
        <f>SUMIFS('Historico - FAT'!AL:AL,'Historico - FAT'!$K:$K,Faturamento!$L328,'Historico - FAT'!$I:$I,Faturamento!$J328,'Historico - FAT'!$G:$G,Faturamento!$H328)</f>
        <v>2.4</v>
      </c>
      <c r="AD328" s="31">
        <f>SUMIFS('Historico - FAT'!AM:AM,'Historico - FAT'!$K:$K,Faturamento!$L328,'Historico - FAT'!$I:$I,Faturamento!$J328,'Historico - FAT'!$G:$G,Faturamento!$H328)</f>
        <v>4.8</v>
      </c>
      <c r="AE328" s="27">
        <f>SUMIFS('Historico - FAT'!AN:AN,'Historico - FAT'!$K:$K,Faturamento!$L328,'Historico - FAT'!$I:$I,Faturamento!$J328,'Historico - FAT'!$G:$G,Faturamento!$H328)</f>
        <v>2.88</v>
      </c>
      <c r="AG328" s="24">
        <f t="shared" si="74"/>
        <v>1</v>
      </c>
      <c r="AH328" s="24">
        <f t="shared" si="75"/>
        <v>0.99596638655462189</v>
      </c>
      <c r="AI328" s="24">
        <f t="shared" si="76"/>
        <v>0.99193277310924377</v>
      </c>
    </row>
    <row r="329" spans="1:35" hidden="1" x14ac:dyDescent="0.3">
      <c r="A329" s="2" t="str">
        <f t="shared" si="73"/>
        <v>NÃO</v>
      </c>
      <c r="B329" s="2">
        <v>1000184670</v>
      </c>
      <c r="C329" s="2" t="s">
        <v>147</v>
      </c>
      <c r="D329" s="4">
        <v>1000186197</v>
      </c>
      <c r="E329" s="4" t="s">
        <v>166</v>
      </c>
      <c r="F329" s="2">
        <v>1000198600</v>
      </c>
      <c r="G329" s="2" t="s">
        <v>148</v>
      </c>
      <c r="H329" s="4">
        <v>1000198601</v>
      </c>
      <c r="I329" s="4" t="s">
        <v>149</v>
      </c>
      <c r="J329" s="2">
        <v>1000190614</v>
      </c>
      <c r="K329" s="2" t="s">
        <v>145</v>
      </c>
      <c r="L329" s="4" t="s">
        <v>14</v>
      </c>
      <c r="M329" s="4" t="str">
        <f t="shared" si="80"/>
        <v>1000184670100018619710001986011000190614CHOCOLATES</v>
      </c>
      <c r="N329" s="28">
        <f>N327*_xlfn.XLOOKUP($L329,'Balizador da Meta'!$B$4:$B$21,'Balizador da Meta'!$C$4:$C$21)</f>
        <v>315.00000000000006</v>
      </c>
      <c r="O329" s="28">
        <f>O327*_xlfn.XLOOKUP($L329,'Balizador da Meta'!$B$4:$B$21,'Balizador da Meta'!$C$4:$C$21)</f>
        <v>315.00000000000006</v>
      </c>
      <c r="P329" s="28">
        <f>P327*_xlfn.XLOOKUP($L329,'Balizador da Meta'!$B$4:$B$21,'Balizador da Meta'!$C$4:$C$21)</f>
        <v>315.00000000000006</v>
      </c>
      <c r="Q329" s="28">
        <f>Q327*_xlfn.XLOOKUP($L329,'Balizador da Meta'!$B$4:$B$21,'Balizador da Meta'!$C$4:$C$21)</f>
        <v>420.00000000000006</v>
      </c>
      <c r="R329" s="28">
        <f>R327*_xlfn.XLOOKUP($L329,'Balizador da Meta'!$B$4:$B$21,'Balizador da Meta'!$C$4:$C$21)</f>
        <v>420.00000000000006</v>
      </c>
      <c r="S329" s="28">
        <f>S327*_xlfn.XLOOKUP($L329,'Balizador da Meta'!$B$4:$B$21,'Balizador da Meta'!$C$4:$C$21)</f>
        <v>420.00000000000006</v>
      </c>
      <c r="T329" s="28">
        <f>T327*_xlfn.XLOOKUP($L329,'Balizador da Meta'!$B$4:$B$21,'Balizador da Meta'!$C$4:$C$21)</f>
        <v>525</v>
      </c>
      <c r="U329" s="28">
        <f>U327*_xlfn.XLOOKUP($L329,'Balizador da Meta'!$B$4:$B$21,'Balizador da Meta'!$C$4:$C$21)</f>
        <v>525</v>
      </c>
      <c r="V329" s="28">
        <f>V327*_xlfn.XLOOKUP($L329,'Balizador da Meta'!$B$4:$B$21,'Balizador da Meta'!$C$4:$C$21)</f>
        <v>525</v>
      </c>
      <c r="W329" s="28">
        <f>W327*_xlfn.XLOOKUP($L329,'Balizador da Meta'!$B$4:$B$21,'Balizador da Meta'!$C$4:$C$21)</f>
        <v>525</v>
      </c>
      <c r="X329" s="28">
        <f>X327*_xlfn.XLOOKUP($L329,'Balizador da Meta'!$B$4:$B$21,'Balizador da Meta'!$C$4:$C$21)</f>
        <v>630.00000000000011</v>
      </c>
      <c r="Y329" s="28">
        <f>Y327*_xlfn.XLOOKUP($L329,'Balizador da Meta'!$B$4:$B$21,'Balizador da Meta'!$C$4:$C$21)</f>
        <v>630.00000000000011</v>
      </c>
      <c r="Z329" s="30">
        <f t="shared" si="83"/>
        <v>5565</v>
      </c>
      <c r="AA329" s="29"/>
      <c r="AB329" s="31">
        <f>SUMIFS('Historico - FAT'!AK:AK,'Historico - FAT'!$K:$K,Faturamento!$L329,'Historico - FAT'!$I:$I,Faturamento!$J329,'Historico - FAT'!$G:$G,Faturamento!$H329)</f>
        <v>0</v>
      </c>
      <c r="AC329" s="31">
        <f>SUMIFS('Historico - FAT'!AL:AL,'Historico - FAT'!$K:$K,Faturamento!$L329,'Historico - FAT'!$I:$I,Faturamento!$J329,'Historico - FAT'!$G:$G,Faturamento!$H329)</f>
        <v>0</v>
      </c>
      <c r="AD329" s="31">
        <f>SUMIFS('Historico - FAT'!AM:AM,'Historico - FAT'!$K:$K,Faturamento!$L329,'Historico - FAT'!$I:$I,Faturamento!$J329,'Historico - FAT'!$G:$G,Faturamento!$H329)</f>
        <v>0</v>
      </c>
      <c r="AE329" s="27">
        <f>SUMIFS('Historico - FAT'!AN:AN,'Historico - FAT'!$K:$K,Faturamento!$L329,'Historico - FAT'!$I:$I,Faturamento!$J329,'Historico - FAT'!$G:$G,Faturamento!$H329)</f>
        <v>0</v>
      </c>
      <c r="AG329" s="24">
        <f t="shared" si="74"/>
        <v>1</v>
      </c>
      <c r="AH329" s="24">
        <f t="shared" si="75"/>
        <v>1</v>
      </c>
      <c r="AI329" s="24">
        <f t="shared" si="76"/>
        <v>1</v>
      </c>
    </row>
    <row r="330" spans="1:35" hidden="1" x14ac:dyDescent="0.3">
      <c r="A330" s="2" t="str">
        <f t="shared" si="73"/>
        <v>NÃO</v>
      </c>
      <c r="B330" s="2">
        <v>1000184670</v>
      </c>
      <c r="C330" s="2" t="s">
        <v>147</v>
      </c>
      <c r="D330" s="4">
        <v>1000186197</v>
      </c>
      <c r="E330" s="4" t="s">
        <v>166</v>
      </c>
      <c r="F330" s="2">
        <v>1000198600</v>
      </c>
      <c r="G330" s="2" t="s">
        <v>148</v>
      </c>
      <c r="H330" s="4">
        <v>1000198601</v>
      </c>
      <c r="I330" s="4" t="s">
        <v>149</v>
      </c>
      <c r="J330" s="2">
        <v>1000190614</v>
      </c>
      <c r="K330" s="2" t="s">
        <v>145</v>
      </c>
      <c r="L330" s="4" t="s">
        <v>16</v>
      </c>
      <c r="M330" s="4" t="str">
        <f t="shared" si="80"/>
        <v>1000184670100018619710001986011000190614DISNEY</v>
      </c>
      <c r="N330" s="28">
        <f>N327*_xlfn.XLOOKUP($L330,'Balizador da Meta'!$B$4:$B$21,'Balizador da Meta'!$C$4:$C$21)</f>
        <v>360</v>
      </c>
      <c r="O330" s="28">
        <f>O327*_xlfn.XLOOKUP($L330,'Balizador da Meta'!$B$4:$B$21,'Balizador da Meta'!$C$4:$C$21)</f>
        <v>360</v>
      </c>
      <c r="P330" s="28">
        <f>P327*_xlfn.XLOOKUP($L330,'Balizador da Meta'!$B$4:$B$21,'Balizador da Meta'!$C$4:$C$21)</f>
        <v>360</v>
      </c>
      <c r="Q330" s="28">
        <f>Q327*_xlfn.XLOOKUP($L330,'Balizador da Meta'!$B$4:$B$21,'Balizador da Meta'!$C$4:$C$21)</f>
        <v>480</v>
      </c>
      <c r="R330" s="28">
        <f>R327*_xlfn.XLOOKUP($L330,'Balizador da Meta'!$B$4:$B$21,'Balizador da Meta'!$C$4:$C$21)</f>
        <v>480</v>
      </c>
      <c r="S330" s="28">
        <f>S327*_xlfn.XLOOKUP($L330,'Balizador da Meta'!$B$4:$B$21,'Balizador da Meta'!$C$4:$C$21)</f>
        <v>480</v>
      </c>
      <c r="T330" s="28">
        <f>T327*_xlfn.XLOOKUP($L330,'Balizador da Meta'!$B$4:$B$21,'Balizador da Meta'!$C$4:$C$21)</f>
        <v>600</v>
      </c>
      <c r="U330" s="28">
        <f>U327*_xlfn.XLOOKUP($L330,'Balizador da Meta'!$B$4:$B$21,'Balizador da Meta'!$C$4:$C$21)</f>
        <v>600</v>
      </c>
      <c r="V330" s="28">
        <f>V327*_xlfn.XLOOKUP($L330,'Balizador da Meta'!$B$4:$B$21,'Balizador da Meta'!$C$4:$C$21)</f>
        <v>600</v>
      </c>
      <c r="W330" s="28">
        <f>W327*_xlfn.XLOOKUP($L330,'Balizador da Meta'!$B$4:$B$21,'Balizador da Meta'!$C$4:$C$21)</f>
        <v>600</v>
      </c>
      <c r="X330" s="28">
        <f>X327*_xlfn.XLOOKUP($L330,'Balizador da Meta'!$B$4:$B$21,'Balizador da Meta'!$C$4:$C$21)</f>
        <v>720</v>
      </c>
      <c r="Y330" s="28">
        <f>Y327*_xlfn.XLOOKUP($L330,'Balizador da Meta'!$B$4:$B$21,'Balizador da Meta'!$C$4:$C$21)</f>
        <v>720</v>
      </c>
      <c r="Z330" s="30">
        <f t="shared" si="83"/>
        <v>6360</v>
      </c>
      <c r="AA330" s="29"/>
      <c r="AB330" s="31">
        <f>SUMIFS('Historico - FAT'!AK:AK,'Historico - FAT'!$K:$K,Faturamento!$L330,'Historico - FAT'!$I:$I,Faturamento!$J330,'Historico - FAT'!$G:$G,Faturamento!$H330)</f>
        <v>0</v>
      </c>
      <c r="AC330" s="31">
        <f>SUMIFS('Historico - FAT'!AL:AL,'Historico - FAT'!$K:$K,Faturamento!$L330,'Historico - FAT'!$I:$I,Faturamento!$J330,'Historico - FAT'!$G:$G,Faturamento!$H330)</f>
        <v>82.1</v>
      </c>
      <c r="AD330" s="31">
        <f>SUMIFS('Historico - FAT'!AM:AM,'Historico - FAT'!$K:$K,Faturamento!$L330,'Historico - FAT'!$I:$I,Faturamento!$J330,'Historico - FAT'!$G:$G,Faturamento!$H330)</f>
        <v>164.2</v>
      </c>
      <c r="AE330" s="27">
        <f>SUMIFS('Historico - FAT'!AN:AN,'Historico - FAT'!$K:$K,Faturamento!$L330,'Historico - FAT'!$I:$I,Faturamento!$J330,'Historico - FAT'!$G:$G,Faturamento!$H330)</f>
        <v>98.52</v>
      </c>
      <c r="AG330" s="24">
        <f t="shared" si="74"/>
        <v>1</v>
      </c>
      <c r="AH330" s="24">
        <f t="shared" si="75"/>
        <v>0.87926470588235295</v>
      </c>
      <c r="AI330" s="24">
        <f t="shared" si="76"/>
        <v>0.75852941176470579</v>
      </c>
    </row>
    <row r="331" spans="1:35" hidden="1" x14ac:dyDescent="0.3">
      <c r="A331" s="2" t="str">
        <f t="shared" si="73"/>
        <v>NÃO</v>
      </c>
      <c r="B331" s="2">
        <v>1000184670</v>
      </c>
      <c r="C331" s="2" t="s">
        <v>147</v>
      </c>
      <c r="D331" s="4">
        <v>1000186197</v>
      </c>
      <c r="E331" s="4" t="s">
        <v>166</v>
      </c>
      <c r="F331" s="2">
        <v>1000198600</v>
      </c>
      <c r="G331" s="2" t="s">
        <v>148</v>
      </c>
      <c r="H331" s="4">
        <v>1000198601</v>
      </c>
      <c r="I331" s="4" t="s">
        <v>149</v>
      </c>
      <c r="J331" s="2">
        <v>1000190614</v>
      </c>
      <c r="K331" s="2" t="s">
        <v>145</v>
      </c>
      <c r="L331" s="4" t="s">
        <v>15</v>
      </c>
      <c r="M331" s="4" t="str">
        <f t="shared" si="80"/>
        <v>1000184670100018619710001986011000190614DOCES</v>
      </c>
      <c r="N331" s="28">
        <f>N327*_xlfn.XLOOKUP($L331,'Balizador da Meta'!$B$4:$B$21,'Balizador da Meta'!$C$4:$C$21)</f>
        <v>405</v>
      </c>
      <c r="O331" s="28">
        <f>O327*_xlfn.XLOOKUP($L331,'Balizador da Meta'!$B$4:$B$21,'Balizador da Meta'!$C$4:$C$21)</f>
        <v>405</v>
      </c>
      <c r="P331" s="28">
        <f>P327*_xlfn.XLOOKUP($L331,'Balizador da Meta'!$B$4:$B$21,'Balizador da Meta'!$C$4:$C$21)</f>
        <v>405</v>
      </c>
      <c r="Q331" s="28">
        <f>Q327*_xlfn.XLOOKUP($L331,'Balizador da Meta'!$B$4:$B$21,'Balizador da Meta'!$C$4:$C$21)</f>
        <v>540</v>
      </c>
      <c r="R331" s="28">
        <f>R327*_xlfn.XLOOKUP($L331,'Balizador da Meta'!$B$4:$B$21,'Balizador da Meta'!$C$4:$C$21)</f>
        <v>540</v>
      </c>
      <c r="S331" s="28">
        <f>S327*_xlfn.XLOOKUP($L331,'Balizador da Meta'!$B$4:$B$21,'Balizador da Meta'!$C$4:$C$21)</f>
        <v>540</v>
      </c>
      <c r="T331" s="28">
        <f>T327*_xlfn.XLOOKUP($L331,'Balizador da Meta'!$B$4:$B$21,'Balizador da Meta'!$C$4:$C$21)</f>
        <v>675</v>
      </c>
      <c r="U331" s="28">
        <f>U327*_xlfn.XLOOKUP($L331,'Balizador da Meta'!$B$4:$B$21,'Balizador da Meta'!$C$4:$C$21)</f>
        <v>675</v>
      </c>
      <c r="V331" s="28">
        <f>V327*_xlfn.XLOOKUP($L331,'Balizador da Meta'!$B$4:$B$21,'Balizador da Meta'!$C$4:$C$21)</f>
        <v>675</v>
      </c>
      <c r="W331" s="28">
        <f>W327*_xlfn.XLOOKUP($L331,'Balizador da Meta'!$B$4:$B$21,'Balizador da Meta'!$C$4:$C$21)</f>
        <v>675</v>
      </c>
      <c r="X331" s="28">
        <f>X327*_xlfn.XLOOKUP($L331,'Balizador da Meta'!$B$4:$B$21,'Balizador da Meta'!$C$4:$C$21)</f>
        <v>810</v>
      </c>
      <c r="Y331" s="28">
        <f>Y327*_xlfn.XLOOKUP($L331,'Balizador da Meta'!$B$4:$B$21,'Balizador da Meta'!$C$4:$C$21)</f>
        <v>810</v>
      </c>
      <c r="Z331" s="30">
        <f t="shared" si="83"/>
        <v>7155</v>
      </c>
      <c r="AA331" s="29"/>
      <c r="AB331" s="31">
        <f>SUMIFS('Historico - FAT'!AK:AK,'Historico - FAT'!$K:$K,Faturamento!$L331,'Historico - FAT'!$I:$I,Faturamento!$J331,'Historico - FAT'!$G:$G,Faturamento!$H331)</f>
        <v>0</v>
      </c>
      <c r="AC331" s="31">
        <f>SUMIFS('Historico - FAT'!AL:AL,'Historico - FAT'!$K:$K,Faturamento!$L331,'Historico - FAT'!$I:$I,Faturamento!$J331,'Historico - FAT'!$G:$G,Faturamento!$H331)</f>
        <v>21</v>
      </c>
      <c r="AD331" s="31">
        <f>SUMIFS('Historico - FAT'!AM:AM,'Historico - FAT'!$K:$K,Faturamento!$L331,'Historico - FAT'!$I:$I,Faturamento!$J331,'Historico - FAT'!$G:$G,Faturamento!$H331)</f>
        <v>42</v>
      </c>
      <c r="AE331" s="27">
        <f>SUMIFS('Historico - FAT'!AN:AN,'Historico - FAT'!$K:$K,Faturamento!$L331,'Historico - FAT'!$I:$I,Faturamento!$J331,'Historico - FAT'!$G:$G,Faturamento!$H331)</f>
        <v>25.2</v>
      </c>
      <c r="AG331" s="24">
        <f t="shared" si="74"/>
        <v>1</v>
      </c>
      <c r="AH331" s="24">
        <f t="shared" si="75"/>
        <v>0.97254901960784312</v>
      </c>
      <c r="AI331" s="24">
        <f t="shared" si="76"/>
        <v>0.94509803921568625</v>
      </c>
    </row>
    <row r="332" spans="1:35" hidden="1" x14ac:dyDescent="0.3">
      <c r="A332" s="2" t="str">
        <f t="shared" si="73"/>
        <v>NÃO</v>
      </c>
      <c r="B332" s="2">
        <v>1000184670</v>
      </c>
      <c r="C332" s="2" t="s">
        <v>147</v>
      </c>
      <c r="D332" s="4">
        <v>1000186197</v>
      </c>
      <c r="E332" s="4" t="s">
        <v>166</v>
      </c>
      <c r="F332" s="2">
        <v>1000198600</v>
      </c>
      <c r="G332" s="2" t="s">
        <v>148</v>
      </c>
      <c r="H332" s="4">
        <v>1000198601</v>
      </c>
      <c r="I332" s="4" t="s">
        <v>149</v>
      </c>
      <c r="J332" s="2">
        <v>1000190614</v>
      </c>
      <c r="K332" s="2" t="s">
        <v>145</v>
      </c>
      <c r="L332" s="4" t="s">
        <v>33</v>
      </c>
      <c r="M332" s="4" t="str">
        <f t="shared" si="80"/>
        <v>1000184670100018619710001986011000190614FOOD SERVICE</v>
      </c>
      <c r="N332" s="28">
        <f>N327*_xlfn.XLOOKUP($L332,'Balizador da Meta'!$B$4:$B$21,'Balizador da Meta'!$C$4:$C$21)</f>
        <v>0</v>
      </c>
      <c r="O332" s="28">
        <f>O327*_xlfn.XLOOKUP($L332,'Balizador da Meta'!$B$4:$B$21,'Balizador da Meta'!$C$4:$C$21)</f>
        <v>0</v>
      </c>
      <c r="P332" s="28">
        <f>P327*_xlfn.XLOOKUP($L332,'Balizador da Meta'!$B$4:$B$21,'Balizador da Meta'!$C$4:$C$21)</f>
        <v>0</v>
      </c>
      <c r="Q332" s="28">
        <f>Q327*_xlfn.XLOOKUP($L332,'Balizador da Meta'!$B$4:$B$21,'Balizador da Meta'!$C$4:$C$21)</f>
        <v>0</v>
      </c>
      <c r="R332" s="28">
        <f>R327*_xlfn.XLOOKUP($L332,'Balizador da Meta'!$B$4:$B$21,'Balizador da Meta'!$C$4:$C$21)</f>
        <v>0</v>
      </c>
      <c r="S332" s="28">
        <f>S327*_xlfn.XLOOKUP($L332,'Balizador da Meta'!$B$4:$B$21,'Balizador da Meta'!$C$4:$C$21)</f>
        <v>0</v>
      </c>
      <c r="T332" s="28">
        <f>T327*_xlfn.XLOOKUP($L332,'Balizador da Meta'!$B$4:$B$21,'Balizador da Meta'!$C$4:$C$21)</f>
        <v>0</v>
      </c>
      <c r="U332" s="28">
        <f>U327*_xlfn.XLOOKUP($L332,'Balizador da Meta'!$B$4:$B$21,'Balizador da Meta'!$C$4:$C$21)</f>
        <v>0</v>
      </c>
      <c r="V332" s="28">
        <f>V327*_xlfn.XLOOKUP($L332,'Balizador da Meta'!$B$4:$B$21,'Balizador da Meta'!$C$4:$C$21)</f>
        <v>0</v>
      </c>
      <c r="W332" s="28">
        <f>W327*_xlfn.XLOOKUP($L332,'Balizador da Meta'!$B$4:$B$21,'Balizador da Meta'!$C$4:$C$21)</f>
        <v>0</v>
      </c>
      <c r="X332" s="28">
        <f>X327*_xlfn.XLOOKUP($L332,'Balizador da Meta'!$B$4:$B$21,'Balizador da Meta'!$C$4:$C$21)</f>
        <v>0</v>
      </c>
      <c r="Y332" s="28">
        <f>Y327*_xlfn.XLOOKUP($L332,'Balizador da Meta'!$B$4:$B$21,'Balizador da Meta'!$C$4:$C$21)</f>
        <v>0</v>
      </c>
      <c r="Z332" s="30">
        <f t="shared" si="83"/>
        <v>0</v>
      </c>
      <c r="AA332" s="29"/>
      <c r="AB332" s="31">
        <f>SUMIFS('Historico - FAT'!AK:AK,'Historico - FAT'!$K:$K,Faturamento!$L332,'Historico - FAT'!$I:$I,Faturamento!$J332,'Historico - FAT'!$G:$G,Faturamento!$H332)</f>
        <v>0</v>
      </c>
      <c r="AC332" s="31">
        <f>SUMIFS('Historico - FAT'!AL:AL,'Historico - FAT'!$K:$K,Faturamento!$L332,'Historico - FAT'!$I:$I,Faturamento!$J332,'Historico - FAT'!$G:$G,Faturamento!$H332)</f>
        <v>0</v>
      </c>
      <c r="AD332" s="31">
        <f>SUMIFS('Historico - FAT'!AM:AM,'Historico - FAT'!$K:$K,Faturamento!$L332,'Historico - FAT'!$I:$I,Faturamento!$J332,'Historico - FAT'!$G:$G,Faturamento!$H332)</f>
        <v>0</v>
      </c>
      <c r="AE332" s="27">
        <f>SUMIFS('Historico - FAT'!AN:AN,'Historico - FAT'!$K:$K,Faturamento!$L332,'Historico - FAT'!$I:$I,Faturamento!$J332,'Historico - FAT'!$G:$G,Faturamento!$H332)</f>
        <v>0</v>
      </c>
      <c r="AG332" s="24" t="str">
        <f t="shared" si="74"/>
        <v/>
      </c>
      <c r="AH332" s="24" t="str">
        <f t="shared" si="75"/>
        <v/>
      </c>
      <c r="AI332" s="24" t="str">
        <f t="shared" si="76"/>
        <v/>
      </c>
    </row>
    <row r="333" spans="1:35" hidden="1" x14ac:dyDescent="0.3">
      <c r="A333" s="2" t="str">
        <f t="shared" si="73"/>
        <v>NÃO</v>
      </c>
      <c r="B333" s="2">
        <v>1000184670</v>
      </c>
      <c r="C333" s="2" t="s">
        <v>147</v>
      </c>
      <c r="D333" s="4">
        <v>1000186197</v>
      </c>
      <c r="E333" s="4" t="s">
        <v>166</v>
      </c>
      <c r="F333" s="2">
        <v>1000198600</v>
      </c>
      <c r="G333" s="2" t="s">
        <v>148</v>
      </c>
      <c r="H333" s="4">
        <v>1000198601</v>
      </c>
      <c r="I333" s="4" t="s">
        <v>149</v>
      </c>
      <c r="J333" s="2">
        <v>1000190614</v>
      </c>
      <c r="K333" s="2" t="s">
        <v>145</v>
      </c>
      <c r="L333" s="4" t="s">
        <v>19</v>
      </c>
      <c r="M333" s="4" t="str">
        <f t="shared" si="80"/>
        <v>1000184670100018619710001986011000190614GELEIA</v>
      </c>
      <c r="N333" s="28">
        <f>N327*_xlfn.XLOOKUP($L333,'Balizador da Meta'!$B$4:$B$21,'Balizador da Meta'!$C$4:$C$21)</f>
        <v>89.999999999999986</v>
      </c>
      <c r="O333" s="28">
        <f>O327*_xlfn.XLOOKUP($L333,'Balizador da Meta'!$B$4:$B$21,'Balizador da Meta'!$C$4:$C$21)</f>
        <v>89.999999999999986</v>
      </c>
      <c r="P333" s="28">
        <f>P327*_xlfn.XLOOKUP($L333,'Balizador da Meta'!$B$4:$B$21,'Balizador da Meta'!$C$4:$C$21)</f>
        <v>89.999999999999986</v>
      </c>
      <c r="Q333" s="28">
        <f>Q327*_xlfn.XLOOKUP($L333,'Balizador da Meta'!$B$4:$B$21,'Balizador da Meta'!$C$4:$C$21)</f>
        <v>119.99999999999999</v>
      </c>
      <c r="R333" s="28">
        <f>R327*_xlfn.XLOOKUP($L333,'Balizador da Meta'!$B$4:$B$21,'Balizador da Meta'!$C$4:$C$21)</f>
        <v>119.99999999999999</v>
      </c>
      <c r="S333" s="28">
        <f>S327*_xlfn.XLOOKUP($L333,'Balizador da Meta'!$B$4:$B$21,'Balizador da Meta'!$C$4:$C$21)</f>
        <v>119.99999999999999</v>
      </c>
      <c r="T333" s="28">
        <f>T327*_xlfn.XLOOKUP($L333,'Balizador da Meta'!$B$4:$B$21,'Balizador da Meta'!$C$4:$C$21)</f>
        <v>149.99999999999997</v>
      </c>
      <c r="U333" s="28">
        <f>U327*_xlfn.XLOOKUP($L333,'Balizador da Meta'!$B$4:$B$21,'Balizador da Meta'!$C$4:$C$21)</f>
        <v>149.99999999999997</v>
      </c>
      <c r="V333" s="28">
        <f>V327*_xlfn.XLOOKUP($L333,'Balizador da Meta'!$B$4:$B$21,'Balizador da Meta'!$C$4:$C$21)</f>
        <v>149.99999999999997</v>
      </c>
      <c r="W333" s="28">
        <f>W327*_xlfn.XLOOKUP($L333,'Balizador da Meta'!$B$4:$B$21,'Balizador da Meta'!$C$4:$C$21)</f>
        <v>149.99999999999997</v>
      </c>
      <c r="X333" s="28">
        <f>X327*_xlfn.XLOOKUP($L333,'Balizador da Meta'!$B$4:$B$21,'Balizador da Meta'!$C$4:$C$21)</f>
        <v>179.99999999999997</v>
      </c>
      <c r="Y333" s="28">
        <f>Y327*_xlfn.XLOOKUP($L333,'Balizador da Meta'!$B$4:$B$21,'Balizador da Meta'!$C$4:$C$21)</f>
        <v>179.99999999999997</v>
      </c>
      <c r="Z333" s="30">
        <f t="shared" si="83"/>
        <v>1589.9999999999998</v>
      </c>
      <c r="AA333" s="29"/>
      <c r="AB333" s="31">
        <f>SUMIFS('Historico - FAT'!AK:AK,'Historico - FAT'!$K:$K,Faturamento!$L333,'Historico - FAT'!$I:$I,Faturamento!$J333,'Historico - FAT'!$G:$G,Faturamento!$H333)</f>
        <v>0</v>
      </c>
      <c r="AC333" s="31">
        <f>SUMIFS('Historico - FAT'!AL:AL,'Historico - FAT'!$K:$K,Faturamento!$L333,'Historico - FAT'!$I:$I,Faturamento!$J333,'Historico - FAT'!$G:$G,Faturamento!$H333)</f>
        <v>0</v>
      </c>
      <c r="AD333" s="31">
        <f>SUMIFS('Historico - FAT'!AM:AM,'Historico - FAT'!$K:$K,Faturamento!$L333,'Historico - FAT'!$I:$I,Faturamento!$J333,'Historico - FAT'!$G:$G,Faturamento!$H333)</f>
        <v>0</v>
      </c>
      <c r="AE333" s="27">
        <f>SUMIFS('Historico - FAT'!AN:AN,'Historico - FAT'!$K:$K,Faturamento!$L333,'Historico - FAT'!$I:$I,Faturamento!$J333,'Historico - FAT'!$G:$G,Faturamento!$H333)</f>
        <v>0</v>
      </c>
      <c r="AG333" s="24">
        <f t="shared" si="74"/>
        <v>1</v>
      </c>
      <c r="AH333" s="24">
        <f t="shared" si="75"/>
        <v>1</v>
      </c>
      <c r="AI333" s="24">
        <f t="shared" si="76"/>
        <v>1</v>
      </c>
    </row>
    <row r="334" spans="1:35" hidden="1" x14ac:dyDescent="0.3">
      <c r="A334" s="2" t="str">
        <f t="shared" si="73"/>
        <v>NÃO</v>
      </c>
      <c r="B334" s="2">
        <v>1000184670</v>
      </c>
      <c r="C334" s="2" t="s">
        <v>147</v>
      </c>
      <c r="D334" s="4">
        <v>1000186197</v>
      </c>
      <c r="E334" s="4" t="s">
        <v>166</v>
      </c>
      <c r="F334" s="2">
        <v>1000198600</v>
      </c>
      <c r="G334" s="2" t="s">
        <v>148</v>
      </c>
      <c r="H334" s="4">
        <v>1000198601</v>
      </c>
      <c r="I334" s="4" t="s">
        <v>149</v>
      </c>
      <c r="J334" s="2">
        <v>1000190614</v>
      </c>
      <c r="K334" s="2" t="s">
        <v>145</v>
      </c>
      <c r="L334" s="4" t="s">
        <v>17</v>
      </c>
      <c r="M334" s="4" t="str">
        <f t="shared" si="80"/>
        <v>1000184670100018619710001986011000190614GRANOLA</v>
      </c>
      <c r="N334" s="28">
        <f>N327*_xlfn.XLOOKUP($L334,'Balizador da Meta'!$B$4:$B$21,'Balizador da Meta'!$C$4:$C$21)</f>
        <v>90</v>
      </c>
      <c r="O334" s="28">
        <f>O327*_xlfn.XLOOKUP($L334,'Balizador da Meta'!$B$4:$B$21,'Balizador da Meta'!$C$4:$C$21)</f>
        <v>90</v>
      </c>
      <c r="P334" s="28">
        <f>P327*_xlfn.XLOOKUP($L334,'Balizador da Meta'!$B$4:$B$21,'Balizador da Meta'!$C$4:$C$21)</f>
        <v>90</v>
      </c>
      <c r="Q334" s="28">
        <f>Q327*_xlfn.XLOOKUP($L334,'Balizador da Meta'!$B$4:$B$21,'Balizador da Meta'!$C$4:$C$21)</f>
        <v>120</v>
      </c>
      <c r="R334" s="28">
        <f>R327*_xlfn.XLOOKUP($L334,'Balizador da Meta'!$B$4:$B$21,'Balizador da Meta'!$C$4:$C$21)</f>
        <v>120</v>
      </c>
      <c r="S334" s="28">
        <f>S327*_xlfn.XLOOKUP($L334,'Balizador da Meta'!$B$4:$B$21,'Balizador da Meta'!$C$4:$C$21)</f>
        <v>120</v>
      </c>
      <c r="T334" s="28">
        <f>T327*_xlfn.XLOOKUP($L334,'Balizador da Meta'!$B$4:$B$21,'Balizador da Meta'!$C$4:$C$21)</f>
        <v>150</v>
      </c>
      <c r="U334" s="28">
        <f>U327*_xlfn.XLOOKUP($L334,'Balizador da Meta'!$B$4:$B$21,'Balizador da Meta'!$C$4:$C$21)</f>
        <v>150</v>
      </c>
      <c r="V334" s="28">
        <f>V327*_xlfn.XLOOKUP($L334,'Balizador da Meta'!$B$4:$B$21,'Balizador da Meta'!$C$4:$C$21)</f>
        <v>150</v>
      </c>
      <c r="W334" s="28">
        <f>W327*_xlfn.XLOOKUP($L334,'Balizador da Meta'!$B$4:$B$21,'Balizador da Meta'!$C$4:$C$21)</f>
        <v>150</v>
      </c>
      <c r="X334" s="28">
        <f>X327*_xlfn.XLOOKUP($L334,'Balizador da Meta'!$B$4:$B$21,'Balizador da Meta'!$C$4:$C$21)</f>
        <v>180</v>
      </c>
      <c r="Y334" s="28">
        <f>Y327*_xlfn.XLOOKUP($L334,'Balizador da Meta'!$B$4:$B$21,'Balizador da Meta'!$C$4:$C$21)</f>
        <v>180</v>
      </c>
      <c r="Z334" s="30">
        <f t="shared" si="83"/>
        <v>1590</v>
      </c>
      <c r="AA334" s="29"/>
      <c r="AB334" s="31">
        <f>SUMIFS('Historico - FAT'!AK:AK,'Historico - FAT'!$K:$K,Faturamento!$L334,'Historico - FAT'!$I:$I,Faturamento!$J334,'Historico - FAT'!$G:$G,Faturamento!$H334)</f>
        <v>0</v>
      </c>
      <c r="AC334" s="31">
        <f>SUMIFS('Historico - FAT'!AL:AL,'Historico - FAT'!$K:$K,Faturamento!$L334,'Historico - FAT'!$I:$I,Faturamento!$J334,'Historico - FAT'!$G:$G,Faturamento!$H334)</f>
        <v>0</v>
      </c>
      <c r="AD334" s="31">
        <f>SUMIFS('Historico - FAT'!AM:AM,'Historico - FAT'!$K:$K,Faturamento!$L334,'Historico - FAT'!$I:$I,Faturamento!$J334,'Historico - FAT'!$G:$G,Faturamento!$H334)</f>
        <v>0</v>
      </c>
      <c r="AE334" s="27">
        <f>SUMIFS('Historico - FAT'!AN:AN,'Historico - FAT'!$K:$K,Faturamento!$L334,'Historico - FAT'!$I:$I,Faturamento!$J334,'Historico - FAT'!$G:$G,Faturamento!$H334)</f>
        <v>0</v>
      </c>
      <c r="AG334" s="24">
        <f t="shared" si="74"/>
        <v>1</v>
      </c>
      <c r="AH334" s="24">
        <f t="shared" si="75"/>
        <v>1</v>
      </c>
      <c r="AI334" s="24">
        <f t="shared" si="76"/>
        <v>1</v>
      </c>
    </row>
    <row r="335" spans="1:35" hidden="1" x14ac:dyDescent="0.3">
      <c r="A335" s="2" t="str">
        <f t="shared" si="73"/>
        <v>NÃO</v>
      </c>
      <c r="B335" s="2">
        <v>1000184670</v>
      </c>
      <c r="C335" s="2" t="s">
        <v>147</v>
      </c>
      <c r="D335" s="4">
        <v>1000186197</v>
      </c>
      <c r="E335" s="4" t="s">
        <v>166</v>
      </c>
      <c r="F335" s="2">
        <v>1000198600</v>
      </c>
      <c r="G335" s="2" t="s">
        <v>148</v>
      </c>
      <c r="H335" s="4">
        <v>1000198601</v>
      </c>
      <c r="I335" s="4" t="s">
        <v>149</v>
      </c>
      <c r="J335" s="2">
        <v>1000190614</v>
      </c>
      <c r="K335" s="2" t="s">
        <v>145</v>
      </c>
      <c r="L335" s="4" t="s">
        <v>24</v>
      </c>
      <c r="M335" s="4" t="str">
        <f t="shared" si="80"/>
        <v>1000184670100018619710001986011000190614KIDS</v>
      </c>
      <c r="N335" s="28">
        <f>N327*_xlfn.XLOOKUP($L335,'Balizador da Meta'!$B$4:$B$21,'Balizador da Meta'!$C$4:$C$21)</f>
        <v>0</v>
      </c>
      <c r="O335" s="28">
        <f>O327*_xlfn.XLOOKUP($L335,'Balizador da Meta'!$B$4:$B$21,'Balizador da Meta'!$C$4:$C$21)</f>
        <v>0</v>
      </c>
      <c r="P335" s="28">
        <f>P327*_xlfn.XLOOKUP($L335,'Balizador da Meta'!$B$4:$B$21,'Balizador da Meta'!$C$4:$C$21)</f>
        <v>0</v>
      </c>
      <c r="Q335" s="28">
        <f>Q327*_xlfn.XLOOKUP($L335,'Balizador da Meta'!$B$4:$B$21,'Balizador da Meta'!$C$4:$C$21)</f>
        <v>0</v>
      </c>
      <c r="R335" s="28">
        <f>R327*_xlfn.XLOOKUP($L335,'Balizador da Meta'!$B$4:$B$21,'Balizador da Meta'!$C$4:$C$21)</f>
        <v>0</v>
      </c>
      <c r="S335" s="28">
        <f>S327*_xlfn.XLOOKUP($L335,'Balizador da Meta'!$B$4:$B$21,'Balizador da Meta'!$C$4:$C$21)</f>
        <v>0</v>
      </c>
      <c r="T335" s="28">
        <f>T327*_xlfn.XLOOKUP($L335,'Balizador da Meta'!$B$4:$B$21,'Balizador da Meta'!$C$4:$C$21)</f>
        <v>0</v>
      </c>
      <c r="U335" s="28">
        <f>U327*_xlfn.XLOOKUP($L335,'Balizador da Meta'!$B$4:$B$21,'Balizador da Meta'!$C$4:$C$21)</f>
        <v>0</v>
      </c>
      <c r="V335" s="28">
        <f>V327*_xlfn.XLOOKUP($L335,'Balizador da Meta'!$B$4:$B$21,'Balizador da Meta'!$C$4:$C$21)</f>
        <v>0</v>
      </c>
      <c r="W335" s="28">
        <f>W327*_xlfn.XLOOKUP($L335,'Balizador da Meta'!$B$4:$B$21,'Balizador da Meta'!$C$4:$C$21)</f>
        <v>0</v>
      </c>
      <c r="X335" s="28">
        <f>X327*_xlfn.XLOOKUP($L335,'Balizador da Meta'!$B$4:$B$21,'Balizador da Meta'!$C$4:$C$21)</f>
        <v>0</v>
      </c>
      <c r="Y335" s="28">
        <f>Y327*_xlfn.XLOOKUP($L335,'Balizador da Meta'!$B$4:$B$21,'Balizador da Meta'!$C$4:$C$21)</f>
        <v>0</v>
      </c>
      <c r="Z335" s="30">
        <f t="shared" si="83"/>
        <v>0</v>
      </c>
      <c r="AA335" s="29"/>
      <c r="AB335" s="31">
        <f>SUMIFS('Historico - FAT'!AK:AK,'Historico - FAT'!$K:$K,Faturamento!$L335,'Historico - FAT'!$I:$I,Faturamento!$J335,'Historico - FAT'!$G:$G,Faturamento!$H335)</f>
        <v>0</v>
      </c>
      <c r="AC335" s="31">
        <f>SUMIFS('Historico - FAT'!AL:AL,'Historico - FAT'!$K:$K,Faturamento!$L335,'Historico - FAT'!$I:$I,Faturamento!$J335,'Historico - FAT'!$G:$G,Faturamento!$H335)</f>
        <v>0</v>
      </c>
      <c r="AD335" s="31">
        <f>SUMIFS('Historico - FAT'!AM:AM,'Historico - FAT'!$K:$K,Faturamento!$L335,'Historico - FAT'!$I:$I,Faturamento!$J335,'Historico - FAT'!$G:$G,Faturamento!$H335)</f>
        <v>0</v>
      </c>
      <c r="AE335" s="27">
        <f>SUMIFS('Historico - FAT'!AN:AN,'Historico - FAT'!$K:$K,Faturamento!$L335,'Historico - FAT'!$I:$I,Faturamento!$J335,'Historico - FAT'!$G:$G,Faturamento!$H335)</f>
        <v>0</v>
      </c>
      <c r="AG335" s="24" t="str">
        <f t="shared" si="74"/>
        <v/>
      </c>
      <c r="AH335" s="24" t="str">
        <f t="shared" si="75"/>
        <v/>
      </c>
      <c r="AI335" s="24" t="str">
        <f t="shared" si="76"/>
        <v/>
      </c>
    </row>
    <row r="336" spans="1:35" hidden="1" x14ac:dyDescent="0.3">
      <c r="A336" s="2" t="str">
        <f t="shared" si="73"/>
        <v>NÃO</v>
      </c>
      <c r="B336" s="2">
        <v>1000184670</v>
      </c>
      <c r="C336" s="2" t="s">
        <v>147</v>
      </c>
      <c r="D336" s="4">
        <v>1000186197</v>
      </c>
      <c r="E336" s="4" t="s">
        <v>166</v>
      </c>
      <c r="F336" s="2">
        <v>1000198600</v>
      </c>
      <c r="G336" s="2" t="s">
        <v>148</v>
      </c>
      <c r="H336" s="4">
        <v>1000198601</v>
      </c>
      <c r="I336" s="4" t="s">
        <v>149</v>
      </c>
      <c r="J336" s="2">
        <v>1000190614</v>
      </c>
      <c r="K336" s="2" t="s">
        <v>145</v>
      </c>
      <c r="L336" s="4" t="s">
        <v>18</v>
      </c>
      <c r="M336" s="4" t="str">
        <f t="shared" si="80"/>
        <v>1000184670100018619710001986011000190614LANCHES</v>
      </c>
      <c r="N336" s="28">
        <f>N327*_xlfn.XLOOKUP($L336,'Balizador da Meta'!$B$4:$B$21,'Balizador da Meta'!$C$4:$C$21)</f>
        <v>45</v>
      </c>
      <c r="O336" s="28">
        <f>O327*_xlfn.XLOOKUP($L336,'Balizador da Meta'!$B$4:$B$21,'Balizador da Meta'!$C$4:$C$21)</f>
        <v>45</v>
      </c>
      <c r="P336" s="28">
        <f>P327*_xlfn.XLOOKUP($L336,'Balizador da Meta'!$B$4:$B$21,'Balizador da Meta'!$C$4:$C$21)</f>
        <v>45</v>
      </c>
      <c r="Q336" s="28">
        <f>Q327*_xlfn.XLOOKUP($L336,'Balizador da Meta'!$B$4:$B$21,'Balizador da Meta'!$C$4:$C$21)</f>
        <v>60</v>
      </c>
      <c r="R336" s="28">
        <f>R327*_xlfn.XLOOKUP($L336,'Balizador da Meta'!$B$4:$B$21,'Balizador da Meta'!$C$4:$C$21)</f>
        <v>60</v>
      </c>
      <c r="S336" s="28">
        <f>S327*_xlfn.XLOOKUP($L336,'Balizador da Meta'!$B$4:$B$21,'Balizador da Meta'!$C$4:$C$21)</f>
        <v>60</v>
      </c>
      <c r="T336" s="28">
        <f>T327*_xlfn.XLOOKUP($L336,'Balizador da Meta'!$B$4:$B$21,'Balizador da Meta'!$C$4:$C$21)</f>
        <v>75</v>
      </c>
      <c r="U336" s="28">
        <f>U327*_xlfn.XLOOKUP($L336,'Balizador da Meta'!$B$4:$B$21,'Balizador da Meta'!$C$4:$C$21)</f>
        <v>75</v>
      </c>
      <c r="V336" s="28">
        <f>V327*_xlfn.XLOOKUP($L336,'Balizador da Meta'!$B$4:$B$21,'Balizador da Meta'!$C$4:$C$21)</f>
        <v>75</v>
      </c>
      <c r="W336" s="28">
        <f>W327*_xlfn.XLOOKUP($L336,'Balizador da Meta'!$B$4:$B$21,'Balizador da Meta'!$C$4:$C$21)</f>
        <v>75</v>
      </c>
      <c r="X336" s="28">
        <f>X327*_xlfn.XLOOKUP($L336,'Balizador da Meta'!$B$4:$B$21,'Balizador da Meta'!$C$4:$C$21)</f>
        <v>90</v>
      </c>
      <c r="Y336" s="28">
        <f>Y327*_xlfn.XLOOKUP($L336,'Balizador da Meta'!$B$4:$B$21,'Balizador da Meta'!$C$4:$C$21)</f>
        <v>90</v>
      </c>
      <c r="Z336" s="30">
        <f t="shared" si="83"/>
        <v>795</v>
      </c>
      <c r="AA336" s="29"/>
      <c r="AB336" s="31">
        <f>SUMIFS('Historico - FAT'!AK:AK,'Historico - FAT'!$K:$K,Faturamento!$L336,'Historico - FAT'!$I:$I,Faturamento!$J336,'Historico - FAT'!$G:$G,Faturamento!$H336)</f>
        <v>0</v>
      </c>
      <c r="AC336" s="31">
        <f>SUMIFS('Historico - FAT'!AL:AL,'Historico - FAT'!$K:$K,Faturamento!$L336,'Historico - FAT'!$I:$I,Faturamento!$J336,'Historico - FAT'!$G:$G,Faturamento!$H336)</f>
        <v>0</v>
      </c>
      <c r="AD336" s="31">
        <f>SUMIFS('Historico - FAT'!AM:AM,'Historico - FAT'!$K:$K,Faturamento!$L336,'Historico - FAT'!$I:$I,Faturamento!$J336,'Historico - FAT'!$G:$G,Faturamento!$H336)</f>
        <v>0</v>
      </c>
      <c r="AE336" s="27">
        <f>SUMIFS('Historico - FAT'!AN:AN,'Historico - FAT'!$K:$K,Faturamento!$L336,'Historico - FAT'!$I:$I,Faturamento!$J336,'Historico - FAT'!$G:$G,Faturamento!$H336)</f>
        <v>0</v>
      </c>
      <c r="AG336" s="24">
        <f t="shared" si="74"/>
        <v>1</v>
      </c>
      <c r="AH336" s="24">
        <f t="shared" si="75"/>
        <v>1</v>
      </c>
      <c r="AI336" s="24">
        <f t="shared" si="76"/>
        <v>1</v>
      </c>
    </row>
    <row r="337" spans="1:35" hidden="1" x14ac:dyDescent="0.3">
      <c r="A337" s="2" t="str">
        <f t="shared" si="73"/>
        <v>NÃO</v>
      </c>
      <c r="B337" s="2">
        <v>1000184670</v>
      </c>
      <c r="C337" s="2" t="s">
        <v>147</v>
      </c>
      <c r="D337" s="4">
        <v>1000186197</v>
      </c>
      <c r="E337" s="4" t="s">
        <v>166</v>
      </c>
      <c r="F337" s="2">
        <v>1000198600</v>
      </c>
      <c r="G337" s="2" t="s">
        <v>148</v>
      </c>
      <c r="H337" s="4">
        <v>1000198601</v>
      </c>
      <c r="I337" s="4" t="s">
        <v>149</v>
      </c>
      <c r="J337" s="2">
        <v>1000190614</v>
      </c>
      <c r="K337" s="2" t="s">
        <v>145</v>
      </c>
      <c r="L337" s="4" t="s">
        <v>29</v>
      </c>
      <c r="M337" s="4" t="str">
        <f t="shared" si="80"/>
        <v>1000184670100018619710001986011000190614MAIS GRANEL</v>
      </c>
      <c r="N337" s="28">
        <f>N327*_xlfn.XLOOKUP($L337,'Balizador da Meta'!$B$4:$B$21,'Balizador da Meta'!$C$4:$C$21)</f>
        <v>1440</v>
      </c>
      <c r="O337" s="28">
        <f>O327*_xlfn.XLOOKUP($L337,'Balizador da Meta'!$B$4:$B$21,'Balizador da Meta'!$C$4:$C$21)</f>
        <v>1440</v>
      </c>
      <c r="P337" s="28">
        <f>P327*_xlfn.XLOOKUP($L337,'Balizador da Meta'!$B$4:$B$21,'Balizador da Meta'!$C$4:$C$21)</f>
        <v>1440</v>
      </c>
      <c r="Q337" s="28">
        <f>Q327*_xlfn.XLOOKUP($L337,'Balizador da Meta'!$B$4:$B$21,'Balizador da Meta'!$C$4:$C$21)</f>
        <v>1920</v>
      </c>
      <c r="R337" s="28">
        <f>R327*_xlfn.XLOOKUP($L337,'Balizador da Meta'!$B$4:$B$21,'Balizador da Meta'!$C$4:$C$21)</f>
        <v>1920</v>
      </c>
      <c r="S337" s="28">
        <f>S327*_xlfn.XLOOKUP($L337,'Balizador da Meta'!$B$4:$B$21,'Balizador da Meta'!$C$4:$C$21)</f>
        <v>1920</v>
      </c>
      <c r="T337" s="28">
        <f>T327*_xlfn.XLOOKUP($L337,'Balizador da Meta'!$B$4:$B$21,'Balizador da Meta'!$C$4:$C$21)</f>
        <v>2400</v>
      </c>
      <c r="U337" s="28">
        <f>U327*_xlfn.XLOOKUP($L337,'Balizador da Meta'!$B$4:$B$21,'Balizador da Meta'!$C$4:$C$21)</f>
        <v>2400</v>
      </c>
      <c r="V337" s="28">
        <f>V327*_xlfn.XLOOKUP($L337,'Balizador da Meta'!$B$4:$B$21,'Balizador da Meta'!$C$4:$C$21)</f>
        <v>2400</v>
      </c>
      <c r="W337" s="28">
        <f>W327*_xlfn.XLOOKUP($L337,'Balizador da Meta'!$B$4:$B$21,'Balizador da Meta'!$C$4:$C$21)</f>
        <v>2400</v>
      </c>
      <c r="X337" s="28">
        <f>X327*_xlfn.XLOOKUP($L337,'Balizador da Meta'!$B$4:$B$21,'Balizador da Meta'!$C$4:$C$21)</f>
        <v>2880</v>
      </c>
      <c r="Y337" s="28">
        <f>Y327*_xlfn.XLOOKUP($L337,'Balizador da Meta'!$B$4:$B$21,'Balizador da Meta'!$C$4:$C$21)</f>
        <v>2880</v>
      </c>
      <c r="Z337" s="30">
        <f t="shared" si="83"/>
        <v>25440</v>
      </c>
      <c r="AA337" s="29"/>
      <c r="AB337" s="31">
        <f>SUMIFS('Historico - FAT'!AK:AK,'Historico - FAT'!$K:$K,Faturamento!$L337,'Historico - FAT'!$I:$I,Faturamento!$J337,'Historico - FAT'!$G:$G,Faturamento!$H337)</f>
        <v>0</v>
      </c>
      <c r="AC337" s="31">
        <f>SUMIFS('Historico - FAT'!AL:AL,'Historico - FAT'!$K:$K,Faturamento!$L337,'Historico - FAT'!$I:$I,Faturamento!$J337,'Historico - FAT'!$G:$G,Faturamento!$H337)</f>
        <v>268.07499999999999</v>
      </c>
      <c r="AD337" s="31">
        <f>SUMIFS('Historico - FAT'!AM:AM,'Historico - FAT'!$K:$K,Faturamento!$L337,'Historico - FAT'!$I:$I,Faturamento!$J337,'Historico - FAT'!$G:$G,Faturamento!$H337)</f>
        <v>536.15</v>
      </c>
      <c r="AE337" s="27">
        <f>SUMIFS('Historico - FAT'!AN:AN,'Historico - FAT'!$K:$K,Faturamento!$L337,'Historico - FAT'!$I:$I,Faturamento!$J337,'Historico - FAT'!$G:$G,Faturamento!$H337)</f>
        <v>321.69</v>
      </c>
      <c r="AG337" s="24">
        <f t="shared" si="74"/>
        <v>1</v>
      </c>
      <c r="AH337" s="24">
        <f t="shared" si="75"/>
        <v>0.90144301470588239</v>
      </c>
      <c r="AI337" s="24">
        <f t="shared" si="76"/>
        <v>0.80288602941176468</v>
      </c>
    </row>
    <row r="338" spans="1:35" hidden="1" x14ac:dyDescent="0.3">
      <c r="A338" s="2" t="str">
        <f t="shared" si="73"/>
        <v>NÃO</v>
      </c>
      <c r="B338" s="2">
        <v>1000184670</v>
      </c>
      <c r="C338" s="2" t="s">
        <v>147</v>
      </c>
      <c r="D338" s="4">
        <v>1000186197</v>
      </c>
      <c r="E338" s="4" t="s">
        <v>166</v>
      </c>
      <c r="F338" s="2">
        <v>1000198600</v>
      </c>
      <c r="G338" s="2" t="s">
        <v>148</v>
      </c>
      <c r="H338" s="4">
        <v>1000198601</v>
      </c>
      <c r="I338" s="4" t="s">
        <v>149</v>
      </c>
      <c r="J338" s="2">
        <v>1000190614</v>
      </c>
      <c r="K338" s="2" t="s">
        <v>145</v>
      </c>
      <c r="L338" s="4" t="s">
        <v>21</v>
      </c>
      <c r="M338" s="4" t="str">
        <f t="shared" si="80"/>
        <v>1000184670100018619710001986011000190614NATURATTA</v>
      </c>
      <c r="N338" s="28">
        <f>N327*_xlfn.XLOOKUP($L338,'Balizador da Meta'!$B$4:$B$21,'Balizador da Meta'!$C$4:$C$21)</f>
        <v>225</v>
      </c>
      <c r="O338" s="28">
        <f>O327*_xlfn.XLOOKUP($L338,'Balizador da Meta'!$B$4:$B$21,'Balizador da Meta'!$C$4:$C$21)</f>
        <v>225</v>
      </c>
      <c r="P338" s="28">
        <f>P327*_xlfn.XLOOKUP($L338,'Balizador da Meta'!$B$4:$B$21,'Balizador da Meta'!$C$4:$C$21)</f>
        <v>225</v>
      </c>
      <c r="Q338" s="28">
        <f>Q327*_xlfn.XLOOKUP($L338,'Balizador da Meta'!$B$4:$B$21,'Balizador da Meta'!$C$4:$C$21)</f>
        <v>300</v>
      </c>
      <c r="R338" s="28">
        <f>R327*_xlfn.XLOOKUP($L338,'Balizador da Meta'!$B$4:$B$21,'Balizador da Meta'!$C$4:$C$21)</f>
        <v>300</v>
      </c>
      <c r="S338" s="28">
        <f>S327*_xlfn.XLOOKUP($L338,'Balizador da Meta'!$B$4:$B$21,'Balizador da Meta'!$C$4:$C$21)</f>
        <v>300</v>
      </c>
      <c r="T338" s="28">
        <f>T327*_xlfn.XLOOKUP($L338,'Balizador da Meta'!$B$4:$B$21,'Balizador da Meta'!$C$4:$C$21)</f>
        <v>375</v>
      </c>
      <c r="U338" s="28">
        <f>U327*_xlfn.XLOOKUP($L338,'Balizador da Meta'!$B$4:$B$21,'Balizador da Meta'!$C$4:$C$21)</f>
        <v>375</v>
      </c>
      <c r="V338" s="28">
        <f>V327*_xlfn.XLOOKUP($L338,'Balizador da Meta'!$B$4:$B$21,'Balizador da Meta'!$C$4:$C$21)</f>
        <v>375</v>
      </c>
      <c r="W338" s="28">
        <f>W327*_xlfn.XLOOKUP($L338,'Balizador da Meta'!$B$4:$B$21,'Balizador da Meta'!$C$4:$C$21)</f>
        <v>375</v>
      </c>
      <c r="X338" s="28">
        <f>X327*_xlfn.XLOOKUP($L338,'Balizador da Meta'!$B$4:$B$21,'Balizador da Meta'!$C$4:$C$21)</f>
        <v>450</v>
      </c>
      <c r="Y338" s="28">
        <f>Y327*_xlfn.XLOOKUP($L338,'Balizador da Meta'!$B$4:$B$21,'Balizador da Meta'!$C$4:$C$21)</f>
        <v>450</v>
      </c>
      <c r="Z338" s="30">
        <f t="shared" si="83"/>
        <v>3975</v>
      </c>
      <c r="AA338" s="29"/>
      <c r="AB338" s="31">
        <f>SUMIFS('Historico - FAT'!AK:AK,'Historico - FAT'!$K:$K,Faturamento!$L338,'Historico - FAT'!$I:$I,Faturamento!$J338,'Historico - FAT'!$G:$G,Faturamento!$H338)</f>
        <v>0</v>
      </c>
      <c r="AC338" s="31">
        <f>SUMIFS('Historico - FAT'!AL:AL,'Historico - FAT'!$K:$K,Faturamento!$L338,'Historico - FAT'!$I:$I,Faturamento!$J338,'Historico - FAT'!$G:$G,Faturamento!$H338)</f>
        <v>0</v>
      </c>
      <c r="AD338" s="31">
        <f>SUMIFS('Historico - FAT'!AM:AM,'Historico - FAT'!$K:$K,Faturamento!$L338,'Historico - FAT'!$I:$I,Faturamento!$J338,'Historico - FAT'!$G:$G,Faturamento!$H338)</f>
        <v>0</v>
      </c>
      <c r="AE338" s="27">
        <f>SUMIFS('Historico - FAT'!AN:AN,'Historico - FAT'!$K:$K,Faturamento!$L338,'Historico - FAT'!$I:$I,Faturamento!$J338,'Historico - FAT'!$G:$G,Faturamento!$H338)</f>
        <v>0</v>
      </c>
      <c r="AG338" s="24">
        <f t="shared" si="74"/>
        <v>1</v>
      </c>
      <c r="AH338" s="24">
        <f t="shared" si="75"/>
        <v>1</v>
      </c>
      <c r="AI338" s="24">
        <f t="shared" si="76"/>
        <v>1</v>
      </c>
    </row>
    <row r="339" spans="1:35" hidden="1" x14ac:dyDescent="0.3">
      <c r="A339" s="2" t="str">
        <f t="shared" si="73"/>
        <v>NÃO</v>
      </c>
      <c r="B339" s="2">
        <v>1000184670</v>
      </c>
      <c r="C339" s="2" t="s">
        <v>147</v>
      </c>
      <c r="D339" s="4">
        <v>1000186197</v>
      </c>
      <c r="E339" s="4" t="s">
        <v>166</v>
      </c>
      <c r="F339" s="2">
        <v>1000198600</v>
      </c>
      <c r="G339" s="2" t="s">
        <v>148</v>
      </c>
      <c r="H339" s="4">
        <v>1000198601</v>
      </c>
      <c r="I339" s="4" t="s">
        <v>149</v>
      </c>
      <c r="J339" s="2">
        <v>1000190614</v>
      </c>
      <c r="K339" s="2" t="s">
        <v>145</v>
      </c>
      <c r="L339" s="4" t="s">
        <v>20</v>
      </c>
      <c r="M339" s="4" t="str">
        <f t="shared" si="80"/>
        <v>1000184670100018619710001986011000190614REEMBALADOS</v>
      </c>
      <c r="N339" s="28">
        <f>N327*_xlfn.XLOOKUP($L339,'Balizador da Meta'!$B$4:$B$21,'Balizador da Meta'!$C$4:$C$21)</f>
        <v>180</v>
      </c>
      <c r="O339" s="28">
        <f>O327*_xlfn.XLOOKUP($L339,'Balizador da Meta'!$B$4:$B$21,'Balizador da Meta'!$C$4:$C$21)</f>
        <v>180</v>
      </c>
      <c r="P339" s="28">
        <f>P327*_xlfn.XLOOKUP($L339,'Balizador da Meta'!$B$4:$B$21,'Balizador da Meta'!$C$4:$C$21)</f>
        <v>180</v>
      </c>
      <c r="Q339" s="28">
        <f>Q327*_xlfn.XLOOKUP($L339,'Balizador da Meta'!$B$4:$B$21,'Balizador da Meta'!$C$4:$C$21)</f>
        <v>240</v>
      </c>
      <c r="R339" s="28">
        <f>R327*_xlfn.XLOOKUP($L339,'Balizador da Meta'!$B$4:$B$21,'Balizador da Meta'!$C$4:$C$21)</f>
        <v>240</v>
      </c>
      <c r="S339" s="28">
        <f>S327*_xlfn.XLOOKUP($L339,'Balizador da Meta'!$B$4:$B$21,'Balizador da Meta'!$C$4:$C$21)</f>
        <v>240</v>
      </c>
      <c r="T339" s="28">
        <f>T327*_xlfn.XLOOKUP($L339,'Balizador da Meta'!$B$4:$B$21,'Balizador da Meta'!$C$4:$C$21)</f>
        <v>300</v>
      </c>
      <c r="U339" s="28">
        <f>U327*_xlfn.XLOOKUP($L339,'Balizador da Meta'!$B$4:$B$21,'Balizador da Meta'!$C$4:$C$21)</f>
        <v>300</v>
      </c>
      <c r="V339" s="28">
        <f>V327*_xlfn.XLOOKUP($L339,'Balizador da Meta'!$B$4:$B$21,'Balizador da Meta'!$C$4:$C$21)</f>
        <v>300</v>
      </c>
      <c r="W339" s="28">
        <f>W327*_xlfn.XLOOKUP($L339,'Balizador da Meta'!$B$4:$B$21,'Balizador da Meta'!$C$4:$C$21)</f>
        <v>300</v>
      </c>
      <c r="X339" s="28">
        <f>X327*_xlfn.XLOOKUP($L339,'Balizador da Meta'!$B$4:$B$21,'Balizador da Meta'!$C$4:$C$21)</f>
        <v>360</v>
      </c>
      <c r="Y339" s="28">
        <f>Y327*_xlfn.XLOOKUP($L339,'Balizador da Meta'!$B$4:$B$21,'Balizador da Meta'!$C$4:$C$21)</f>
        <v>360</v>
      </c>
      <c r="Z339" s="30">
        <f t="shared" si="83"/>
        <v>3180</v>
      </c>
      <c r="AA339" s="29"/>
      <c r="AB339" s="31">
        <f>SUMIFS('Historico - FAT'!AK:AK,'Historico - FAT'!$K:$K,Faturamento!$L339,'Historico - FAT'!$I:$I,Faturamento!$J339,'Historico - FAT'!$G:$G,Faturamento!$H339)</f>
        <v>0</v>
      </c>
      <c r="AC339" s="31">
        <f>SUMIFS('Historico - FAT'!AL:AL,'Historico - FAT'!$K:$K,Faturamento!$L339,'Historico - FAT'!$I:$I,Faturamento!$J339,'Historico - FAT'!$G:$G,Faturamento!$H339)</f>
        <v>0</v>
      </c>
      <c r="AD339" s="31">
        <f>SUMIFS('Historico - FAT'!AM:AM,'Historico - FAT'!$K:$K,Faturamento!$L339,'Historico - FAT'!$I:$I,Faturamento!$J339,'Historico - FAT'!$G:$G,Faturamento!$H339)</f>
        <v>0</v>
      </c>
      <c r="AE339" s="27">
        <f>SUMIFS('Historico - FAT'!AN:AN,'Historico - FAT'!$K:$K,Faturamento!$L339,'Historico - FAT'!$I:$I,Faturamento!$J339,'Historico - FAT'!$G:$G,Faturamento!$H339)</f>
        <v>0</v>
      </c>
      <c r="AG339" s="24">
        <f t="shared" si="74"/>
        <v>1</v>
      </c>
      <c r="AH339" s="24">
        <f t="shared" si="75"/>
        <v>1</v>
      </c>
      <c r="AI339" s="24">
        <f t="shared" si="76"/>
        <v>1</v>
      </c>
    </row>
    <row r="340" spans="1:35" hidden="1" x14ac:dyDescent="0.3">
      <c r="A340" s="2" t="str">
        <f t="shared" si="73"/>
        <v>NÃO</v>
      </c>
      <c r="B340" s="2">
        <v>1000184670</v>
      </c>
      <c r="C340" s="2" t="s">
        <v>147</v>
      </c>
      <c r="D340" s="4">
        <v>1000186197</v>
      </c>
      <c r="E340" s="4" t="s">
        <v>166</v>
      </c>
      <c r="F340" s="2">
        <v>1000198600</v>
      </c>
      <c r="G340" s="2" t="s">
        <v>148</v>
      </c>
      <c r="H340" s="4">
        <v>1000198601</v>
      </c>
      <c r="I340" s="4" t="s">
        <v>149</v>
      </c>
      <c r="J340" s="2">
        <v>1000190614</v>
      </c>
      <c r="K340" s="2" t="s">
        <v>145</v>
      </c>
      <c r="L340" s="4" t="s">
        <v>22</v>
      </c>
      <c r="M340" s="4" t="str">
        <f t="shared" si="80"/>
        <v>1000184670100018619710001986011000190614S GLUTEN</v>
      </c>
      <c r="N340" s="28">
        <f>N327*_xlfn.XLOOKUP($L340,'Balizador da Meta'!$B$4:$B$21,'Balizador da Meta'!$C$4:$C$21)</f>
        <v>180</v>
      </c>
      <c r="O340" s="28">
        <f>O327*_xlfn.XLOOKUP($L340,'Balizador da Meta'!$B$4:$B$21,'Balizador da Meta'!$C$4:$C$21)</f>
        <v>180</v>
      </c>
      <c r="P340" s="28">
        <f>P327*_xlfn.XLOOKUP($L340,'Balizador da Meta'!$B$4:$B$21,'Balizador da Meta'!$C$4:$C$21)</f>
        <v>180</v>
      </c>
      <c r="Q340" s="28">
        <f>Q327*_xlfn.XLOOKUP($L340,'Balizador da Meta'!$B$4:$B$21,'Balizador da Meta'!$C$4:$C$21)</f>
        <v>240</v>
      </c>
      <c r="R340" s="28">
        <f>R327*_xlfn.XLOOKUP($L340,'Balizador da Meta'!$B$4:$B$21,'Balizador da Meta'!$C$4:$C$21)</f>
        <v>240</v>
      </c>
      <c r="S340" s="28">
        <f>S327*_xlfn.XLOOKUP($L340,'Balizador da Meta'!$B$4:$B$21,'Balizador da Meta'!$C$4:$C$21)</f>
        <v>240</v>
      </c>
      <c r="T340" s="28">
        <f>T327*_xlfn.XLOOKUP($L340,'Balizador da Meta'!$B$4:$B$21,'Balizador da Meta'!$C$4:$C$21)</f>
        <v>300</v>
      </c>
      <c r="U340" s="28">
        <f>U327*_xlfn.XLOOKUP($L340,'Balizador da Meta'!$B$4:$B$21,'Balizador da Meta'!$C$4:$C$21)</f>
        <v>300</v>
      </c>
      <c r="V340" s="28">
        <f>V327*_xlfn.XLOOKUP($L340,'Balizador da Meta'!$B$4:$B$21,'Balizador da Meta'!$C$4:$C$21)</f>
        <v>300</v>
      </c>
      <c r="W340" s="28">
        <f>W327*_xlfn.XLOOKUP($L340,'Balizador da Meta'!$B$4:$B$21,'Balizador da Meta'!$C$4:$C$21)</f>
        <v>300</v>
      </c>
      <c r="X340" s="28">
        <f>X327*_xlfn.XLOOKUP($L340,'Balizador da Meta'!$B$4:$B$21,'Balizador da Meta'!$C$4:$C$21)</f>
        <v>360</v>
      </c>
      <c r="Y340" s="28">
        <f>Y327*_xlfn.XLOOKUP($L340,'Balizador da Meta'!$B$4:$B$21,'Balizador da Meta'!$C$4:$C$21)</f>
        <v>360</v>
      </c>
      <c r="Z340" s="30">
        <f t="shared" si="83"/>
        <v>3180</v>
      </c>
      <c r="AA340" s="29"/>
      <c r="AB340" s="31">
        <f>SUMIFS('Historico - FAT'!AK:AK,'Historico - FAT'!$K:$K,Faturamento!$L340,'Historico - FAT'!$I:$I,Faturamento!$J340,'Historico - FAT'!$G:$G,Faturamento!$H340)</f>
        <v>0</v>
      </c>
      <c r="AC340" s="31">
        <f>SUMIFS('Historico - FAT'!AL:AL,'Historico - FAT'!$K:$K,Faturamento!$L340,'Historico - FAT'!$I:$I,Faturamento!$J340,'Historico - FAT'!$G:$G,Faturamento!$H340)</f>
        <v>3.625</v>
      </c>
      <c r="AD340" s="31">
        <f>SUMIFS('Historico - FAT'!AM:AM,'Historico - FAT'!$K:$K,Faturamento!$L340,'Historico - FAT'!$I:$I,Faturamento!$J340,'Historico - FAT'!$G:$G,Faturamento!$H340)</f>
        <v>7.25</v>
      </c>
      <c r="AE340" s="27">
        <f>SUMIFS('Historico - FAT'!AN:AN,'Historico - FAT'!$K:$K,Faturamento!$L340,'Historico - FAT'!$I:$I,Faturamento!$J340,'Historico - FAT'!$G:$G,Faturamento!$H340)</f>
        <v>4.3499999999999996</v>
      </c>
      <c r="AG340" s="24">
        <f t="shared" si="74"/>
        <v>1</v>
      </c>
      <c r="AH340" s="24">
        <f t="shared" si="75"/>
        <v>0.98933823529411768</v>
      </c>
      <c r="AI340" s="24">
        <f t="shared" si="76"/>
        <v>0.97867647058823526</v>
      </c>
    </row>
    <row r="341" spans="1:35" hidden="1" x14ac:dyDescent="0.3">
      <c r="A341" s="2" t="str">
        <f t="shared" si="73"/>
        <v>NÃO</v>
      </c>
      <c r="B341" s="2">
        <v>1000184670</v>
      </c>
      <c r="C341" s="2" t="s">
        <v>147</v>
      </c>
      <c r="D341" s="4">
        <v>1000186197</v>
      </c>
      <c r="E341" s="4" t="s">
        <v>166</v>
      </c>
      <c r="F341" s="2">
        <v>1000198600</v>
      </c>
      <c r="G341" s="2" t="s">
        <v>148</v>
      </c>
      <c r="H341" s="4">
        <v>1000198601</v>
      </c>
      <c r="I341" s="4" t="s">
        <v>149</v>
      </c>
      <c r="J341" s="2">
        <v>1000190614</v>
      </c>
      <c r="K341" s="2" t="s">
        <v>145</v>
      </c>
      <c r="L341" s="4" t="s">
        <v>23</v>
      </c>
      <c r="M341" s="4" t="str">
        <f t="shared" si="80"/>
        <v>1000184670100018619710001986011000190614SABORES DO CAMPO</v>
      </c>
      <c r="N341" s="28">
        <f>N327*_xlfn.XLOOKUP($L341,'Balizador da Meta'!$B$4:$B$21,'Balizador da Meta'!$C$4:$C$21)</f>
        <v>0</v>
      </c>
      <c r="O341" s="28">
        <f>O327*_xlfn.XLOOKUP($L341,'Balizador da Meta'!$B$4:$B$21,'Balizador da Meta'!$C$4:$C$21)</f>
        <v>0</v>
      </c>
      <c r="P341" s="28">
        <f>P327*_xlfn.XLOOKUP($L341,'Balizador da Meta'!$B$4:$B$21,'Balizador da Meta'!$C$4:$C$21)</f>
        <v>0</v>
      </c>
      <c r="Q341" s="28">
        <f>Q327*_xlfn.XLOOKUP($L341,'Balizador da Meta'!$B$4:$B$21,'Balizador da Meta'!$C$4:$C$21)</f>
        <v>0</v>
      </c>
      <c r="R341" s="28">
        <f>R327*_xlfn.XLOOKUP($L341,'Balizador da Meta'!$B$4:$B$21,'Balizador da Meta'!$C$4:$C$21)</f>
        <v>0</v>
      </c>
      <c r="S341" s="28">
        <f>S327*_xlfn.XLOOKUP($L341,'Balizador da Meta'!$B$4:$B$21,'Balizador da Meta'!$C$4:$C$21)</f>
        <v>0</v>
      </c>
      <c r="T341" s="28">
        <f>T327*_xlfn.XLOOKUP($L341,'Balizador da Meta'!$B$4:$B$21,'Balizador da Meta'!$C$4:$C$21)</f>
        <v>0</v>
      </c>
      <c r="U341" s="28">
        <f>U327*_xlfn.XLOOKUP($L341,'Balizador da Meta'!$B$4:$B$21,'Balizador da Meta'!$C$4:$C$21)</f>
        <v>0</v>
      </c>
      <c r="V341" s="28">
        <f>V327*_xlfn.XLOOKUP($L341,'Balizador da Meta'!$B$4:$B$21,'Balizador da Meta'!$C$4:$C$21)</f>
        <v>0</v>
      </c>
      <c r="W341" s="28">
        <f>W327*_xlfn.XLOOKUP($L341,'Balizador da Meta'!$B$4:$B$21,'Balizador da Meta'!$C$4:$C$21)</f>
        <v>0</v>
      </c>
      <c r="X341" s="28">
        <f>X327*_xlfn.XLOOKUP($L341,'Balizador da Meta'!$B$4:$B$21,'Balizador da Meta'!$C$4:$C$21)</f>
        <v>0</v>
      </c>
      <c r="Y341" s="28">
        <f>Y327*_xlfn.XLOOKUP($L341,'Balizador da Meta'!$B$4:$B$21,'Balizador da Meta'!$C$4:$C$21)</f>
        <v>0</v>
      </c>
      <c r="Z341" s="30">
        <f t="shared" si="83"/>
        <v>0</v>
      </c>
      <c r="AA341" s="29"/>
      <c r="AB341" s="31">
        <f>SUMIFS('Historico - FAT'!AK:AK,'Historico - FAT'!$K:$K,Faturamento!$L341,'Historico - FAT'!$I:$I,Faturamento!$J341,'Historico - FAT'!$G:$G,Faturamento!$H341)</f>
        <v>0</v>
      </c>
      <c r="AC341" s="31">
        <f>SUMIFS('Historico - FAT'!AL:AL,'Historico - FAT'!$K:$K,Faturamento!$L341,'Historico - FAT'!$I:$I,Faturamento!$J341,'Historico - FAT'!$G:$G,Faturamento!$H341)</f>
        <v>2.7333333333333329</v>
      </c>
      <c r="AD341" s="31">
        <f>SUMIFS('Historico - FAT'!AM:AM,'Historico - FAT'!$K:$K,Faturamento!$L341,'Historico - FAT'!$I:$I,Faturamento!$J341,'Historico - FAT'!$G:$G,Faturamento!$H341)</f>
        <v>5.4666666666666659</v>
      </c>
      <c r="AE341" s="27">
        <f>SUMIFS('Historico - FAT'!AN:AN,'Historico - FAT'!$K:$K,Faturamento!$L341,'Historico - FAT'!$I:$I,Faturamento!$J341,'Historico - FAT'!$G:$G,Faturamento!$H341)</f>
        <v>3.28</v>
      </c>
      <c r="AG341" s="24" t="str">
        <f t="shared" si="74"/>
        <v/>
      </c>
      <c r="AH341" s="24" t="str">
        <f t="shared" si="75"/>
        <v/>
      </c>
      <c r="AI341" s="24" t="str">
        <f t="shared" si="76"/>
        <v/>
      </c>
    </row>
    <row r="342" spans="1:35" hidden="1" x14ac:dyDescent="0.3">
      <c r="A342" s="2" t="str">
        <f t="shared" si="73"/>
        <v>NÃO</v>
      </c>
      <c r="B342" s="2">
        <v>1000184670</v>
      </c>
      <c r="C342" s="2" t="s">
        <v>147</v>
      </c>
      <c r="D342" s="4">
        <v>1000186197</v>
      </c>
      <c r="E342" s="4" t="s">
        <v>166</v>
      </c>
      <c r="F342" s="2">
        <v>1000198600</v>
      </c>
      <c r="G342" s="2" t="s">
        <v>148</v>
      </c>
      <c r="H342" s="4">
        <v>1000198601</v>
      </c>
      <c r="I342" s="4" t="s">
        <v>149</v>
      </c>
      <c r="J342" s="2">
        <v>1000190614</v>
      </c>
      <c r="K342" s="2" t="s">
        <v>145</v>
      </c>
      <c r="L342" s="4" t="s">
        <v>28</v>
      </c>
      <c r="M342" s="4" t="str">
        <f t="shared" si="80"/>
        <v>1000184670100018619710001986011000190614SAL</v>
      </c>
      <c r="N342" s="28">
        <f>N327*_xlfn.XLOOKUP($L342,'Balizador da Meta'!$B$4:$B$21,'Balizador da Meta'!$C$4:$C$21)</f>
        <v>90</v>
      </c>
      <c r="O342" s="28">
        <f>O327*_xlfn.XLOOKUP($L342,'Balizador da Meta'!$B$4:$B$21,'Balizador da Meta'!$C$4:$C$21)</f>
        <v>90</v>
      </c>
      <c r="P342" s="28">
        <f>P327*_xlfn.XLOOKUP($L342,'Balizador da Meta'!$B$4:$B$21,'Balizador da Meta'!$C$4:$C$21)</f>
        <v>90</v>
      </c>
      <c r="Q342" s="28">
        <f>Q327*_xlfn.XLOOKUP($L342,'Balizador da Meta'!$B$4:$B$21,'Balizador da Meta'!$C$4:$C$21)</f>
        <v>120</v>
      </c>
      <c r="R342" s="28">
        <f>R327*_xlfn.XLOOKUP($L342,'Balizador da Meta'!$B$4:$B$21,'Balizador da Meta'!$C$4:$C$21)</f>
        <v>120</v>
      </c>
      <c r="S342" s="28">
        <f>S327*_xlfn.XLOOKUP($L342,'Balizador da Meta'!$B$4:$B$21,'Balizador da Meta'!$C$4:$C$21)</f>
        <v>120</v>
      </c>
      <c r="T342" s="28">
        <f>T327*_xlfn.XLOOKUP($L342,'Balizador da Meta'!$B$4:$B$21,'Balizador da Meta'!$C$4:$C$21)</f>
        <v>150</v>
      </c>
      <c r="U342" s="28">
        <f>U327*_xlfn.XLOOKUP($L342,'Balizador da Meta'!$B$4:$B$21,'Balizador da Meta'!$C$4:$C$21)</f>
        <v>150</v>
      </c>
      <c r="V342" s="28">
        <f>V327*_xlfn.XLOOKUP($L342,'Balizador da Meta'!$B$4:$B$21,'Balizador da Meta'!$C$4:$C$21)</f>
        <v>150</v>
      </c>
      <c r="W342" s="28">
        <f>W327*_xlfn.XLOOKUP($L342,'Balizador da Meta'!$B$4:$B$21,'Balizador da Meta'!$C$4:$C$21)</f>
        <v>150</v>
      </c>
      <c r="X342" s="28">
        <f>X327*_xlfn.XLOOKUP($L342,'Balizador da Meta'!$B$4:$B$21,'Balizador da Meta'!$C$4:$C$21)</f>
        <v>180</v>
      </c>
      <c r="Y342" s="28">
        <f>Y327*_xlfn.XLOOKUP($L342,'Balizador da Meta'!$B$4:$B$21,'Balizador da Meta'!$C$4:$C$21)</f>
        <v>180</v>
      </c>
      <c r="Z342" s="30">
        <f t="shared" si="83"/>
        <v>1590</v>
      </c>
      <c r="AA342" s="29"/>
      <c r="AB342" s="31">
        <f>SUMIFS('Historico - FAT'!AK:AK,'Historico - FAT'!$K:$K,Faturamento!$L342,'Historico - FAT'!$I:$I,Faturamento!$J342,'Historico - FAT'!$G:$G,Faturamento!$H342)</f>
        <v>0</v>
      </c>
      <c r="AC342" s="31">
        <f>SUMIFS('Historico - FAT'!AL:AL,'Historico - FAT'!$K:$K,Faturamento!$L342,'Historico - FAT'!$I:$I,Faturamento!$J342,'Historico - FAT'!$G:$G,Faturamento!$H342)</f>
        <v>0</v>
      </c>
      <c r="AD342" s="31">
        <f>SUMIFS('Historico - FAT'!AM:AM,'Historico - FAT'!$K:$K,Faturamento!$L342,'Historico - FAT'!$I:$I,Faturamento!$J342,'Historico - FAT'!$G:$G,Faturamento!$H342)</f>
        <v>0</v>
      </c>
      <c r="AE342" s="27">
        <f>SUMIFS('Historico - FAT'!AN:AN,'Historico - FAT'!$K:$K,Faturamento!$L342,'Historico - FAT'!$I:$I,Faturamento!$J342,'Historico - FAT'!$G:$G,Faturamento!$H342)</f>
        <v>0</v>
      </c>
      <c r="AG342" s="24">
        <f t="shared" si="74"/>
        <v>1</v>
      </c>
      <c r="AH342" s="24">
        <f t="shared" si="75"/>
        <v>1</v>
      </c>
      <c r="AI342" s="24">
        <f t="shared" si="76"/>
        <v>1</v>
      </c>
    </row>
    <row r="343" spans="1:35" hidden="1" x14ac:dyDescent="0.3">
      <c r="A343" s="2" t="str">
        <f t="shared" si="73"/>
        <v>NÃO</v>
      </c>
      <c r="B343" s="2">
        <v>1000184670</v>
      </c>
      <c r="C343" s="2" t="s">
        <v>147</v>
      </c>
      <c r="D343" s="4">
        <v>1000186197</v>
      </c>
      <c r="E343" s="4" t="s">
        <v>166</v>
      </c>
      <c r="F343" s="2">
        <v>1000198600</v>
      </c>
      <c r="G343" s="2" t="s">
        <v>148</v>
      </c>
      <c r="H343" s="4">
        <v>1000198601</v>
      </c>
      <c r="I343" s="4" t="s">
        <v>149</v>
      </c>
      <c r="J343" s="2">
        <v>1000190614</v>
      </c>
      <c r="K343" s="2" t="s">
        <v>145</v>
      </c>
      <c r="L343" s="4" t="s">
        <v>26</v>
      </c>
      <c r="M343" s="4" t="str">
        <f t="shared" si="80"/>
        <v>1000184670100018619710001986011000190614SOULPRO</v>
      </c>
      <c r="N343" s="28">
        <f>N327*_xlfn.XLOOKUP($L343,'Balizador da Meta'!$B$4:$B$21,'Balizador da Meta'!$C$4:$C$21)</f>
        <v>270</v>
      </c>
      <c r="O343" s="28">
        <f>O327*_xlfn.XLOOKUP($L343,'Balizador da Meta'!$B$4:$B$21,'Balizador da Meta'!$C$4:$C$21)</f>
        <v>270</v>
      </c>
      <c r="P343" s="28">
        <f>P327*_xlfn.XLOOKUP($L343,'Balizador da Meta'!$B$4:$B$21,'Balizador da Meta'!$C$4:$C$21)</f>
        <v>270</v>
      </c>
      <c r="Q343" s="28">
        <f>Q327*_xlfn.XLOOKUP($L343,'Balizador da Meta'!$B$4:$B$21,'Balizador da Meta'!$C$4:$C$21)</f>
        <v>360</v>
      </c>
      <c r="R343" s="28">
        <f>R327*_xlfn.XLOOKUP($L343,'Balizador da Meta'!$B$4:$B$21,'Balizador da Meta'!$C$4:$C$21)</f>
        <v>360</v>
      </c>
      <c r="S343" s="28">
        <f>S327*_xlfn.XLOOKUP($L343,'Balizador da Meta'!$B$4:$B$21,'Balizador da Meta'!$C$4:$C$21)</f>
        <v>360</v>
      </c>
      <c r="T343" s="28">
        <f>T327*_xlfn.XLOOKUP($L343,'Balizador da Meta'!$B$4:$B$21,'Balizador da Meta'!$C$4:$C$21)</f>
        <v>450</v>
      </c>
      <c r="U343" s="28">
        <f>U327*_xlfn.XLOOKUP($L343,'Balizador da Meta'!$B$4:$B$21,'Balizador da Meta'!$C$4:$C$21)</f>
        <v>450</v>
      </c>
      <c r="V343" s="28">
        <f>V327*_xlfn.XLOOKUP($L343,'Balizador da Meta'!$B$4:$B$21,'Balizador da Meta'!$C$4:$C$21)</f>
        <v>450</v>
      </c>
      <c r="W343" s="28">
        <f>W327*_xlfn.XLOOKUP($L343,'Balizador da Meta'!$B$4:$B$21,'Balizador da Meta'!$C$4:$C$21)</f>
        <v>450</v>
      </c>
      <c r="X343" s="28">
        <f>X327*_xlfn.XLOOKUP($L343,'Balizador da Meta'!$B$4:$B$21,'Balizador da Meta'!$C$4:$C$21)</f>
        <v>540</v>
      </c>
      <c r="Y343" s="28">
        <f>Y327*_xlfn.XLOOKUP($L343,'Balizador da Meta'!$B$4:$B$21,'Balizador da Meta'!$C$4:$C$21)</f>
        <v>540</v>
      </c>
      <c r="Z343" s="30">
        <f t="shared" si="83"/>
        <v>4770</v>
      </c>
      <c r="AA343" s="29"/>
      <c r="AB343" s="31">
        <f>SUMIFS('Historico - FAT'!AK:AK,'Historico - FAT'!$K:$K,Faturamento!$L343,'Historico - FAT'!$I:$I,Faturamento!$J343,'Historico - FAT'!$G:$G,Faturamento!$H343)</f>
        <v>0</v>
      </c>
      <c r="AC343" s="31">
        <f>SUMIFS('Historico - FAT'!AL:AL,'Historico - FAT'!$K:$K,Faturamento!$L343,'Historico - FAT'!$I:$I,Faturamento!$J343,'Historico - FAT'!$G:$G,Faturamento!$H343)</f>
        <v>0</v>
      </c>
      <c r="AD343" s="31">
        <f>SUMIFS('Historico - FAT'!AM:AM,'Historico - FAT'!$K:$K,Faturamento!$L343,'Historico - FAT'!$I:$I,Faturamento!$J343,'Historico - FAT'!$G:$G,Faturamento!$H343)</f>
        <v>0</v>
      </c>
      <c r="AE343" s="27">
        <f>SUMIFS('Historico - FAT'!AN:AN,'Historico - FAT'!$K:$K,Faturamento!$L343,'Historico - FAT'!$I:$I,Faturamento!$J343,'Historico - FAT'!$G:$G,Faturamento!$H343)</f>
        <v>0</v>
      </c>
      <c r="AG343" s="24">
        <f t="shared" si="74"/>
        <v>1</v>
      </c>
      <c r="AH343" s="24">
        <f t="shared" si="75"/>
        <v>1</v>
      </c>
      <c r="AI343" s="24">
        <f t="shared" si="76"/>
        <v>1</v>
      </c>
    </row>
    <row r="344" spans="1:35" hidden="1" x14ac:dyDescent="0.3">
      <c r="A344" s="2" t="str">
        <f t="shared" si="73"/>
        <v>NÃO</v>
      </c>
      <c r="B344" s="2">
        <v>1000184670</v>
      </c>
      <c r="C344" s="2" t="s">
        <v>147</v>
      </c>
      <c r="D344" s="4">
        <v>1000186197</v>
      </c>
      <c r="E344" s="4" t="s">
        <v>166</v>
      </c>
      <c r="F344" s="2">
        <v>1000198600</v>
      </c>
      <c r="G344" s="2" t="s">
        <v>148</v>
      </c>
      <c r="H344" s="4">
        <v>1000198601</v>
      </c>
      <c r="I344" s="4" t="s">
        <v>149</v>
      </c>
      <c r="J344" s="2">
        <v>1000190614</v>
      </c>
      <c r="K344" s="2" t="s">
        <v>145</v>
      </c>
      <c r="L344" s="4" t="s">
        <v>27</v>
      </c>
      <c r="M344" s="4" t="str">
        <f t="shared" si="80"/>
        <v>1000184670100018619710001986011000190614TAMARA</v>
      </c>
      <c r="N344" s="28">
        <f>N327*_xlfn.XLOOKUP($L344,'Balizador da Meta'!$B$4:$B$21,'Balizador da Meta'!$C$4:$C$21)</f>
        <v>360</v>
      </c>
      <c r="O344" s="28">
        <f>O327*_xlfn.XLOOKUP($L344,'Balizador da Meta'!$B$4:$B$21,'Balizador da Meta'!$C$4:$C$21)</f>
        <v>360</v>
      </c>
      <c r="P344" s="28">
        <f>P327*_xlfn.XLOOKUP($L344,'Balizador da Meta'!$B$4:$B$21,'Balizador da Meta'!$C$4:$C$21)</f>
        <v>360</v>
      </c>
      <c r="Q344" s="28">
        <f>Q327*_xlfn.XLOOKUP($L344,'Balizador da Meta'!$B$4:$B$21,'Balizador da Meta'!$C$4:$C$21)</f>
        <v>480</v>
      </c>
      <c r="R344" s="28">
        <f>R327*_xlfn.XLOOKUP($L344,'Balizador da Meta'!$B$4:$B$21,'Balizador da Meta'!$C$4:$C$21)</f>
        <v>480</v>
      </c>
      <c r="S344" s="28">
        <f>S327*_xlfn.XLOOKUP($L344,'Balizador da Meta'!$B$4:$B$21,'Balizador da Meta'!$C$4:$C$21)</f>
        <v>480</v>
      </c>
      <c r="T344" s="28">
        <f>T327*_xlfn.XLOOKUP($L344,'Balizador da Meta'!$B$4:$B$21,'Balizador da Meta'!$C$4:$C$21)</f>
        <v>600</v>
      </c>
      <c r="U344" s="28">
        <f>U327*_xlfn.XLOOKUP($L344,'Balizador da Meta'!$B$4:$B$21,'Balizador da Meta'!$C$4:$C$21)</f>
        <v>600</v>
      </c>
      <c r="V344" s="28">
        <f>V327*_xlfn.XLOOKUP($L344,'Balizador da Meta'!$B$4:$B$21,'Balizador da Meta'!$C$4:$C$21)</f>
        <v>600</v>
      </c>
      <c r="W344" s="28">
        <f>W327*_xlfn.XLOOKUP($L344,'Balizador da Meta'!$B$4:$B$21,'Balizador da Meta'!$C$4:$C$21)</f>
        <v>600</v>
      </c>
      <c r="X344" s="28">
        <f>X327*_xlfn.XLOOKUP($L344,'Balizador da Meta'!$B$4:$B$21,'Balizador da Meta'!$C$4:$C$21)</f>
        <v>720</v>
      </c>
      <c r="Y344" s="28">
        <f>Y327*_xlfn.XLOOKUP($L344,'Balizador da Meta'!$B$4:$B$21,'Balizador da Meta'!$C$4:$C$21)</f>
        <v>720</v>
      </c>
      <c r="Z344" s="30">
        <f t="shared" si="83"/>
        <v>6360</v>
      </c>
      <c r="AA344" s="29"/>
      <c r="AB344" s="31">
        <f>SUMIFS('Historico - FAT'!AK:AK,'Historico - FAT'!$K:$K,Faturamento!$L344,'Historico - FAT'!$I:$I,Faturamento!$J344,'Historico - FAT'!$G:$G,Faturamento!$H344)</f>
        <v>0</v>
      </c>
      <c r="AC344" s="31">
        <f>SUMIFS('Historico - FAT'!AL:AL,'Historico - FAT'!$K:$K,Faturamento!$L344,'Historico - FAT'!$I:$I,Faturamento!$J344,'Historico - FAT'!$G:$G,Faturamento!$H344)</f>
        <v>0</v>
      </c>
      <c r="AD344" s="31">
        <f>SUMIFS('Historico - FAT'!AM:AM,'Historico - FAT'!$K:$K,Faturamento!$L344,'Historico - FAT'!$I:$I,Faturamento!$J344,'Historico - FAT'!$G:$G,Faturamento!$H344)</f>
        <v>0</v>
      </c>
      <c r="AE344" s="27">
        <f>SUMIFS('Historico - FAT'!AN:AN,'Historico - FAT'!$K:$K,Faturamento!$L344,'Historico - FAT'!$I:$I,Faturamento!$J344,'Historico - FAT'!$G:$G,Faturamento!$H344)</f>
        <v>0</v>
      </c>
      <c r="AG344" s="24">
        <f t="shared" si="74"/>
        <v>1</v>
      </c>
      <c r="AH344" s="24">
        <f t="shared" si="75"/>
        <v>1</v>
      </c>
      <c r="AI344" s="24">
        <f t="shared" si="76"/>
        <v>1</v>
      </c>
    </row>
    <row r="345" spans="1:35" hidden="1" x14ac:dyDescent="0.3">
      <c r="A345" s="2" t="str">
        <f t="shared" si="73"/>
        <v>NÃO</v>
      </c>
      <c r="B345" s="2">
        <v>1000184670</v>
      </c>
      <c r="C345" s="2" t="s">
        <v>147</v>
      </c>
      <c r="D345" s="4">
        <v>1000186197</v>
      </c>
      <c r="E345" s="4" t="s">
        <v>166</v>
      </c>
      <c r="F345" s="2">
        <v>1000198600</v>
      </c>
      <c r="G345" s="2" t="s">
        <v>148</v>
      </c>
      <c r="H345" s="4">
        <v>1000198601</v>
      </c>
      <c r="I345" s="4" t="s">
        <v>149</v>
      </c>
      <c r="J345" s="2">
        <v>1000190614</v>
      </c>
      <c r="K345" s="2" t="s">
        <v>145</v>
      </c>
      <c r="L345" s="4" t="s">
        <v>25</v>
      </c>
      <c r="M345" s="4" t="str">
        <f t="shared" si="80"/>
        <v>1000184670100018619710001986011000190614VICCIO</v>
      </c>
      <c r="N345" s="28">
        <f>N327*_xlfn.XLOOKUP($L345,'Balizador da Meta'!$B$4:$B$21,'Balizador da Meta'!$C$4:$C$21)</f>
        <v>135</v>
      </c>
      <c r="O345" s="28">
        <f>O327*_xlfn.XLOOKUP($L345,'Balizador da Meta'!$B$4:$B$21,'Balizador da Meta'!$C$4:$C$21)</f>
        <v>135</v>
      </c>
      <c r="P345" s="28">
        <f>P327*_xlfn.XLOOKUP($L345,'Balizador da Meta'!$B$4:$B$21,'Balizador da Meta'!$C$4:$C$21)</f>
        <v>135</v>
      </c>
      <c r="Q345" s="28">
        <f>Q327*_xlfn.XLOOKUP($L345,'Balizador da Meta'!$B$4:$B$21,'Balizador da Meta'!$C$4:$C$21)</f>
        <v>180</v>
      </c>
      <c r="R345" s="28">
        <f>R327*_xlfn.XLOOKUP($L345,'Balizador da Meta'!$B$4:$B$21,'Balizador da Meta'!$C$4:$C$21)</f>
        <v>180</v>
      </c>
      <c r="S345" s="28">
        <f>S327*_xlfn.XLOOKUP($L345,'Balizador da Meta'!$B$4:$B$21,'Balizador da Meta'!$C$4:$C$21)</f>
        <v>180</v>
      </c>
      <c r="T345" s="28">
        <f>T327*_xlfn.XLOOKUP($L345,'Balizador da Meta'!$B$4:$B$21,'Balizador da Meta'!$C$4:$C$21)</f>
        <v>225</v>
      </c>
      <c r="U345" s="28">
        <f>U327*_xlfn.XLOOKUP($L345,'Balizador da Meta'!$B$4:$B$21,'Balizador da Meta'!$C$4:$C$21)</f>
        <v>225</v>
      </c>
      <c r="V345" s="28">
        <f>V327*_xlfn.XLOOKUP($L345,'Balizador da Meta'!$B$4:$B$21,'Balizador da Meta'!$C$4:$C$21)</f>
        <v>225</v>
      </c>
      <c r="W345" s="28">
        <f>W327*_xlfn.XLOOKUP($L345,'Balizador da Meta'!$B$4:$B$21,'Balizador da Meta'!$C$4:$C$21)</f>
        <v>225</v>
      </c>
      <c r="X345" s="28">
        <f>X327*_xlfn.XLOOKUP($L345,'Balizador da Meta'!$B$4:$B$21,'Balizador da Meta'!$C$4:$C$21)</f>
        <v>270</v>
      </c>
      <c r="Y345" s="28">
        <f>Y327*_xlfn.XLOOKUP($L345,'Balizador da Meta'!$B$4:$B$21,'Balizador da Meta'!$C$4:$C$21)</f>
        <v>270</v>
      </c>
      <c r="Z345" s="30">
        <f t="shared" si="83"/>
        <v>2385</v>
      </c>
      <c r="AA345" s="29"/>
      <c r="AB345" s="31">
        <f>SUMIFS('Historico - FAT'!AK:AK,'Historico - FAT'!$K:$K,Faturamento!$L345,'Historico - FAT'!$I:$I,Faturamento!$J345,'Historico - FAT'!$G:$G,Faturamento!$H345)</f>
        <v>0</v>
      </c>
      <c r="AC345" s="31">
        <f>SUMIFS('Historico - FAT'!AL:AL,'Historico - FAT'!$K:$K,Faturamento!$L345,'Historico - FAT'!$I:$I,Faturamento!$J345,'Historico - FAT'!$G:$G,Faturamento!$H345)</f>
        <v>0</v>
      </c>
      <c r="AD345" s="31">
        <f>SUMIFS('Historico - FAT'!AM:AM,'Historico - FAT'!$K:$K,Faturamento!$L345,'Historico - FAT'!$I:$I,Faturamento!$J345,'Historico - FAT'!$G:$G,Faturamento!$H345)</f>
        <v>0</v>
      </c>
      <c r="AE345" s="27">
        <f>SUMIFS('Historico - FAT'!AN:AN,'Historico - FAT'!$K:$K,Faturamento!$L345,'Historico - FAT'!$I:$I,Faturamento!$J345,'Historico - FAT'!$G:$G,Faturamento!$H345)</f>
        <v>0</v>
      </c>
      <c r="AG345" s="24">
        <f t="shared" si="74"/>
        <v>1</v>
      </c>
      <c r="AH345" s="24">
        <f t="shared" si="75"/>
        <v>1</v>
      </c>
      <c r="AI345" s="24">
        <f t="shared" si="76"/>
        <v>1</v>
      </c>
    </row>
    <row r="346" spans="1:35" x14ac:dyDescent="0.3">
      <c r="A346" s="2" t="str">
        <f t="shared" si="73"/>
        <v>SIM</v>
      </c>
      <c r="B346" s="2">
        <v>1000184670</v>
      </c>
      <c r="C346" s="2" t="s">
        <v>147</v>
      </c>
      <c r="D346" s="4">
        <v>1000186197</v>
      </c>
      <c r="E346" s="4" t="s">
        <v>166</v>
      </c>
      <c r="F346" s="2">
        <v>1000198600</v>
      </c>
      <c r="G346" s="2" t="s">
        <v>148</v>
      </c>
      <c r="H346" s="4">
        <v>1000198601</v>
      </c>
      <c r="I346" s="4" t="s">
        <v>149</v>
      </c>
      <c r="J346" s="2">
        <v>1000190600</v>
      </c>
      <c r="K346" s="2" t="s">
        <v>146</v>
      </c>
      <c r="L346" s="4" t="s">
        <v>124</v>
      </c>
      <c r="M346" s="4" t="str">
        <f t="shared" si="80"/>
        <v>100018467010001861971000198601100019060001. TOTAL</v>
      </c>
      <c r="N346" s="28">
        <f>SUMIFS(Positivação!L:L,Positivação!$I:$I,Faturamento!$J346,Positivação!$G:$G,Faturamento!$H346)*SUMIFS(Positivação!$Z:$Z,Positivação!$I:$I,Faturamento!$J346,Positivação!$G:$G,Faturamento!$H346)</f>
        <v>24000</v>
      </c>
      <c r="O346" s="28">
        <f>SUMIFS(Positivação!M:M,Positivação!$I:$I,Faturamento!$J346,Positivação!$G:$G,Faturamento!$H346)*SUMIFS(Positivação!$Z:$Z,Positivação!$I:$I,Faturamento!$J346,Positivação!$G:$G,Faturamento!$H346)</f>
        <v>24000</v>
      </c>
      <c r="P346" s="28">
        <f>SUMIFS(Positivação!N:N,Positivação!$I:$I,Faturamento!$J346,Positivação!$G:$G,Faturamento!$H346)*SUMIFS(Positivação!$Z:$Z,Positivação!$I:$I,Faturamento!$J346,Positivação!$G:$G,Faturamento!$H346)</f>
        <v>25500</v>
      </c>
      <c r="Q346" s="28">
        <f>SUMIFS(Positivação!O:O,Positivação!$I:$I,Faturamento!$J346,Positivação!$G:$G,Faturamento!$H346)*SUMIFS(Positivação!$Z:$Z,Positivação!$I:$I,Faturamento!$J346,Positivação!$G:$G,Faturamento!$H346)</f>
        <v>25500</v>
      </c>
      <c r="R346" s="28">
        <f>SUMIFS(Positivação!P:P,Positivação!$I:$I,Faturamento!$J346,Positivação!$G:$G,Faturamento!$H346)*SUMIFS(Positivação!$Z:$Z,Positivação!$I:$I,Faturamento!$J346,Positivação!$G:$G,Faturamento!$H346)</f>
        <v>27000</v>
      </c>
      <c r="S346" s="28">
        <f>SUMIFS(Positivação!Q:Q,Positivação!$I:$I,Faturamento!$J346,Positivação!$G:$G,Faturamento!$H346)*SUMIFS(Positivação!$Z:$Z,Positivação!$I:$I,Faturamento!$J346,Positivação!$G:$G,Faturamento!$H346)</f>
        <v>28500</v>
      </c>
      <c r="T346" s="28">
        <f>SUMIFS(Positivação!R:R,Positivação!$I:$I,Faturamento!$J346,Positivação!$G:$G,Faturamento!$H346)*SUMIFS(Positivação!$Z:$Z,Positivação!$I:$I,Faturamento!$J346,Positivação!$G:$G,Faturamento!$H346)</f>
        <v>30000</v>
      </c>
      <c r="U346" s="28">
        <f>SUMIFS(Positivação!S:S,Positivação!$I:$I,Faturamento!$J346,Positivação!$G:$G,Faturamento!$H346)*SUMIFS(Positivação!$Z:$Z,Positivação!$I:$I,Faturamento!$J346,Positivação!$G:$G,Faturamento!$H346)</f>
        <v>31500</v>
      </c>
      <c r="V346" s="28">
        <f>SUMIFS(Positivação!T:T,Positivação!$I:$I,Faturamento!$J346,Positivação!$G:$G,Faturamento!$H346)*SUMIFS(Positivação!$Z:$Z,Positivação!$I:$I,Faturamento!$J346,Positivação!$G:$G,Faturamento!$H346)</f>
        <v>33000</v>
      </c>
      <c r="W346" s="28">
        <f>SUMIFS(Positivação!U:U,Positivação!$I:$I,Faturamento!$J346,Positivação!$G:$G,Faturamento!$H346)*SUMIFS(Positivação!$Z:$Z,Positivação!$I:$I,Faturamento!$J346,Positivação!$G:$G,Faturamento!$H346)</f>
        <v>34500</v>
      </c>
      <c r="X346" s="28">
        <f>SUMIFS(Positivação!V:V,Positivação!$I:$I,Faturamento!$J346,Positivação!$G:$G,Faturamento!$H346)*SUMIFS(Positivação!$Z:$Z,Positivação!$I:$I,Faturamento!$J346,Positivação!$G:$G,Faturamento!$H346)</f>
        <v>36000</v>
      </c>
      <c r="Y346" s="28">
        <f>SUMIFS(Positivação!W:W,Positivação!$I:$I,Faturamento!$J346,Positivação!$G:$G,Faturamento!$H346)*SUMIFS(Positivação!$Z:$Z,Positivação!$I:$I,Faturamento!$J346,Positivação!$G:$G,Faturamento!$H346)</f>
        <v>37500</v>
      </c>
      <c r="Z346" s="28">
        <f t="shared" ref="Z346" si="84">SUM(Z347:Z364)</f>
        <v>357000</v>
      </c>
      <c r="AA346" s="29"/>
      <c r="AB346" s="28">
        <f t="shared" ref="AB346:AE346" si="85">SUM(AB347:AB364)</f>
        <v>86.2</v>
      </c>
      <c r="AC346" s="28">
        <f t="shared" si="85"/>
        <v>2271.020833333333</v>
      </c>
      <c r="AD346" s="28">
        <f t="shared" si="85"/>
        <v>4456.6416666666664</v>
      </c>
      <c r="AE346" s="28">
        <f t="shared" si="85"/>
        <v>2673.9850000000006</v>
      </c>
      <c r="AG346" s="24">
        <f t="shared" si="74"/>
        <v>0.99760555555555563</v>
      </c>
      <c r="AH346" s="24">
        <f t="shared" si="75"/>
        <v>0.93691608796296288</v>
      </c>
      <c r="AI346" s="24">
        <f t="shared" si="76"/>
        <v>0.8762043981481481</v>
      </c>
    </row>
    <row r="347" spans="1:35" hidden="1" x14ac:dyDescent="0.3">
      <c r="A347" s="2" t="str">
        <f t="shared" si="73"/>
        <v>NÃO</v>
      </c>
      <c r="B347" s="2">
        <v>1000184670</v>
      </c>
      <c r="C347" s="2" t="s">
        <v>147</v>
      </c>
      <c r="D347" s="4">
        <v>1000186197</v>
      </c>
      <c r="E347" s="4" t="s">
        <v>166</v>
      </c>
      <c r="F347" s="2">
        <v>1000198600</v>
      </c>
      <c r="G347" s="2" t="s">
        <v>148</v>
      </c>
      <c r="H347" s="4">
        <v>1000198601</v>
      </c>
      <c r="I347" s="4" t="s">
        <v>149</v>
      </c>
      <c r="J347" s="2">
        <v>1000190600</v>
      </c>
      <c r="K347" s="2" t="s">
        <v>146</v>
      </c>
      <c r="L347" s="4" t="s">
        <v>13</v>
      </c>
      <c r="M347" s="4" t="str">
        <f t="shared" si="80"/>
        <v>1000184670100018619710001986011000190600BISCOITO</v>
      </c>
      <c r="N347" s="28">
        <f>N346*_xlfn.XLOOKUP($L347,'Balizador da Meta'!$B$4:$B$21,'Balizador da Meta'!$C$4:$C$21)</f>
        <v>1680.0000000000002</v>
      </c>
      <c r="O347" s="28">
        <f>O346*_xlfn.XLOOKUP($L347,'Balizador da Meta'!$B$4:$B$21,'Balizador da Meta'!$C$4:$C$21)</f>
        <v>1680.0000000000002</v>
      </c>
      <c r="P347" s="28">
        <f>P346*_xlfn.XLOOKUP($L347,'Balizador da Meta'!$B$4:$B$21,'Balizador da Meta'!$C$4:$C$21)</f>
        <v>1785.0000000000002</v>
      </c>
      <c r="Q347" s="28">
        <f>Q346*_xlfn.XLOOKUP($L347,'Balizador da Meta'!$B$4:$B$21,'Balizador da Meta'!$C$4:$C$21)</f>
        <v>1785.0000000000002</v>
      </c>
      <c r="R347" s="28">
        <f>R346*_xlfn.XLOOKUP($L347,'Balizador da Meta'!$B$4:$B$21,'Balizador da Meta'!$C$4:$C$21)</f>
        <v>1890.0000000000002</v>
      </c>
      <c r="S347" s="28">
        <f>S346*_xlfn.XLOOKUP($L347,'Balizador da Meta'!$B$4:$B$21,'Balizador da Meta'!$C$4:$C$21)</f>
        <v>1995.0000000000002</v>
      </c>
      <c r="T347" s="28">
        <f>T346*_xlfn.XLOOKUP($L347,'Balizador da Meta'!$B$4:$B$21,'Balizador da Meta'!$C$4:$C$21)</f>
        <v>2100</v>
      </c>
      <c r="U347" s="28">
        <f>U346*_xlfn.XLOOKUP($L347,'Balizador da Meta'!$B$4:$B$21,'Balizador da Meta'!$C$4:$C$21)</f>
        <v>2205</v>
      </c>
      <c r="V347" s="28">
        <f>V346*_xlfn.XLOOKUP($L347,'Balizador da Meta'!$B$4:$B$21,'Balizador da Meta'!$C$4:$C$21)</f>
        <v>2310</v>
      </c>
      <c r="W347" s="28">
        <f>W346*_xlfn.XLOOKUP($L347,'Balizador da Meta'!$B$4:$B$21,'Balizador da Meta'!$C$4:$C$21)</f>
        <v>2415.0000000000005</v>
      </c>
      <c r="X347" s="28">
        <f>X346*_xlfn.XLOOKUP($L347,'Balizador da Meta'!$B$4:$B$21,'Balizador da Meta'!$C$4:$C$21)</f>
        <v>2520.0000000000005</v>
      </c>
      <c r="Y347" s="28">
        <f>Y346*_xlfn.XLOOKUP($L347,'Balizador da Meta'!$B$4:$B$21,'Balizador da Meta'!$C$4:$C$21)</f>
        <v>2625.0000000000005</v>
      </c>
      <c r="Z347" s="30">
        <f t="shared" ref="Z347:Z364" si="86">SUM(N347:Y347)</f>
        <v>24990</v>
      </c>
      <c r="AA347" s="29"/>
      <c r="AB347" s="31">
        <f>SUMIFS('Historico - FAT'!AK:AK,'Historico - FAT'!$K:$K,Faturamento!$L347,'Historico - FAT'!$I:$I,Faturamento!$J347,'Historico - FAT'!$G:$G,Faturamento!$H347)</f>
        <v>0</v>
      </c>
      <c r="AC347" s="31">
        <f>SUMIFS('Historico - FAT'!AL:AL,'Historico - FAT'!$K:$K,Faturamento!$L347,'Historico - FAT'!$I:$I,Faturamento!$J347,'Historico - FAT'!$G:$G,Faturamento!$H347)</f>
        <v>15.31</v>
      </c>
      <c r="AD347" s="31">
        <f>SUMIFS('Historico - FAT'!AM:AM,'Historico - FAT'!$K:$K,Faturamento!$L347,'Historico - FAT'!$I:$I,Faturamento!$J347,'Historico - FAT'!$G:$G,Faturamento!$H347)</f>
        <v>30.62</v>
      </c>
      <c r="AE347" s="27">
        <f>SUMIFS('Historico - FAT'!AN:AN,'Historico - FAT'!$K:$K,Faturamento!$L347,'Historico - FAT'!$I:$I,Faturamento!$J347,'Historico - FAT'!$G:$G,Faturamento!$H347)</f>
        <v>18.372</v>
      </c>
      <c r="AG347" s="24">
        <f t="shared" si="74"/>
        <v>1</v>
      </c>
      <c r="AH347" s="24">
        <f t="shared" si="75"/>
        <v>0.99392460317460318</v>
      </c>
      <c r="AI347" s="24">
        <f t="shared" si="76"/>
        <v>0.98784920634920637</v>
      </c>
    </row>
    <row r="348" spans="1:35" hidden="1" x14ac:dyDescent="0.3">
      <c r="A348" s="2" t="str">
        <f t="shared" si="73"/>
        <v>NÃO</v>
      </c>
      <c r="B348" s="2">
        <v>1000184670</v>
      </c>
      <c r="C348" s="2" t="s">
        <v>147</v>
      </c>
      <c r="D348" s="4">
        <v>1000186197</v>
      </c>
      <c r="E348" s="4" t="s">
        <v>166</v>
      </c>
      <c r="F348" s="2">
        <v>1000198600</v>
      </c>
      <c r="G348" s="2" t="s">
        <v>148</v>
      </c>
      <c r="H348" s="4">
        <v>1000198601</v>
      </c>
      <c r="I348" s="4" t="s">
        <v>149</v>
      </c>
      <c r="J348" s="2">
        <v>1000190600</v>
      </c>
      <c r="K348" s="2" t="s">
        <v>146</v>
      </c>
      <c r="L348" s="4" t="s">
        <v>14</v>
      </c>
      <c r="M348" s="4" t="str">
        <f t="shared" si="80"/>
        <v>1000184670100018619710001986011000190600CHOCOLATES</v>
      </c>
      <c r="N348" s="28">
        <f>N346*_xlfn.XLOOKUP($L348,'Balizador da Meta'!$B$4:$B$21,'Balizador da Meta'!$C$4:$C$21)</f>
        <v>1680.0000000000002</v>
      </c>
      <c r="O348" s="28">
        <f>O346*_xlfn.XLOOKUP($L348,'Balizador da Meta'!$B$4:$B$21,'Balizador da Meta'!$C$4:$C$21)</f>
        <v>1680.0000000000002</v>
      </c>
      <c r="P348" s="28">
        <f>P346*_xlfn.XLOOKUP($L348,'Balizador da Meta'!$B$4:$B$21,'Balizador da Meta'!$C$4:$C$21)</f>
        <v>1785.0000000000002</v>
      </c>
      <c r="Q348" s="28">
        <f>Q346*_xlfn.XLOOKUP($L348,'Balizador da Meta'!$B$4:$B$21,'Balizador da Meta'!$C$4:$C$21)</f>
        <v>1785.0000000000002</v>
      </c>
      <c r="R348" s="28">
        <f>R346*_xlfn.XLOOKUP($L348,'Balizador da Meta'!$B$4:$B$21,'Balizador da Meta'!$C$4:$C$21)</f>
        <v>1890.0000000000002</v>
      </c>
      <c r="S348" s="28">
        <f>S346*_xlfn.XLOOKUP($L348,'Balizador da Meta'!$B$4:$B$21,'Balizador da Meta'!$C$4:$C$21)</f>
        <v>1995.0000000000002</v>
      </c>
      <c r="T348" s="28">
        <f>T346*_xlfn.XLOOKUP($L348,'Balizador da Meta'!$B$4:$B$21,'Balizador da Meta'!$C$4:$C$21)</f>
        <v>2100</v>
      </c>
      <c r="U348" s="28">
        <f>U346*_xlfn.XLOOKUP($L348,'Balizador da Meta'!$B$4:$B$21,'Balizador da Meta'!$C$4:$C$21)</f>
        <v>2205</v>
      </c>
      <c r="V348" s="28">
        <f>V346*_xlfn.XLOOKUP($L348,'Balizador da Meta'!$B$4:$B$21,'Balizador da Meta'!$C$4:$C$21)</f>
        <v>2310</v>
      </c>
      <c r="W348" s="28">
        <f>W346*_xlfn.XLOOKUP($L348,'Balizador da Meta'!$B$4:$B$21,'Balizador da Meta'!$C$4:$C$21)</f>
        <v>2415.0000000000005</v>
      </c>
      <c r="X348" s="28">
        <f>X346*_xlfn.XLOOKUP($L348,'Balizador da Meta'!$B$4:$B$21,'Balizador da Meta'!$C$4:$C$21)</f>
        <v>2520.0000000000005</v>
      </c>
      <c r="Y348" s="28">
        <f>Y346*_xlfn.XLOOKUP($L348,'Balizador da Meta'!$B$4:$B$21,'Balizador da Meta'!$C$4:$C$21)</f>
        <v>2625.0000000000005</v>
      </c>
      <c r="Z348" s="30">
        <f t="shared" si="86"/>
        <v>24990</v>
      </c>
      <c r="AA348" s="29"/>
      <c r="AB348" s="31">
        <f>SUMIFS('Historico - FAT'!AK:AK,'Historico - FAT'!$K:$K,Faturamento!$L348,'Historico - FAT'!$I:$I,Faturamento!$J348,'Historico - FAT'!$G:$G,Faturamento!$H348)</f>
        <v>0</v>
      </c>
      <c r="AC348" s="31">
        <f>SUMIFS('Historico - FAT'!AL:AL,'Historico - FAT'!$K:$K,Faturamento!$L348,'Historico - FAT'!$I:$I,Faturamento!$J348,'Historico - FAT'!$G:$G,Faturamento!$H348)</f>
        <v>117.425</v>
      </c>
      <c r="AD348" s="31">
        <f>SUMIFS('Historico - FAT'!AM:AM,'Historico - FAT'!$K:$K,Faturamento!$L348,'Historico - FAT'!$I:$I,Faturamento!$J348,'Historico - FAT'!$G:$G,Faturamento!$H348)</f>
        <v>234.85</v>
      </c>
      <c r="AE348" s="27">
        <f>SUMIFS('Historico - FAT'!AN:AN,'Historico - FAT'!$K:$K,Faturamento!$L348,'Historico - FAT'!$I:$I,Faturamento!$J348,'Historico - FAT'!$G:$G,Faturamento!$H348)</f>
        <v>140.91</v>
      </c>
      <c r="AG348" s="24">
        <f t="shared" si="74"/>
        <v>1</v>
      </c>
      <c r="AH348" s="24">
        <f t="shared" si="75"/>
        <v>0.95340277777777771</v>
      </c>
      <c r="AI348" s="24">
        <f t="shared" si="76"/>
        <v>0.90680555555555564</v>
      </c>
    </row>
    <row r="349" spans="1:35" hidden="1" x14ac:dyDescent="0.3">
      <c r="A349" s="2" t="str">
        <f t="shared" si="73"/>
        <v>NÃO</v>
      </c>
      <c r="B349" s="2">
        <v>1000184670</v>
      </c>
      <c r="C349" s="2" t="s">
        <v>147</v>
      </c>
      <c r="D349" s="4">
        <v>1000186197</v>
      </c>
      <c r="E349" s="4" t="s">
        <v>166</v>
      </c>
      <c r="F349" s="2">
        <v>1000198600</v>
      </c>
      <c r="G349" s="2" t="s">
        <v>148</v>
      </c>
      <c r="H349" s="4">
        <v>1000198601</v>
      </c>
      <c r="I349" s="4" t="s">
        <v>149</v>
      </c>
      <c r="J349" s="2">
        <v>1000190600</v>
      </c>
      <c r="K349" s="2" t="s">
        <v>146</v>
      </c>
      <c r="L349" s="4" t="s">
        <v>16</v>
      </c>
      <c r="M349" s="4" t="str">
        <f t="shared" si="80"/>
        <v>1000184670100018619710001986011000190600DISNEY</v>
      </c>
      <c r="N349" s="28">
        <f>N346*_xlfn.XLOOKUP($L349,'Balizador da Meta'!$B$4:$B$21,'Balizador da Meta'!$C$4:$C$21)</f>
        <v>1920</v>
      </c>
      <c r="O349" s="28">
        <f>O346*_xlfn.XLOOKUP($L349,'Balizador da Meta'!$B$4:$B$21,'Balizador da Meta'!$C$4:$C$21)</f>
        <v>1920</v>
      </c>
      <c r="P349" s="28">
        <f>P346*_xlfn.XLOOKUP($L349,'Balizador da Meta'!$B$4:$B$21,'Balizador da Meta'!$C$4:$C$21)</f>
        <v>2040</v>
      </c>
      <c r="Q349" s="28">
        <f>Q346*_xlfn.XLOOKUP($L349,'Balizador da Meta'!$B$4:$B$21,'Balizador da Meta'!$C$4:$C$21)</f>
        <v>2040</v>
      </c>
      <c r="R349" s="28">
        <f>R346*_xlfn.XLOOKUP($L349,'Balizador da Meta'!$B$4:$B$21,'Balizador da Meta'!$C$4:$C$21)</f>
        <v>2160</v>
      </c>
      <c r="S349" s="28">
        <f>S346*_xlfn.XLOOKUP($L349,'Balizador da Meta'!$B$4:$B$21,'Balizador da Meta'!$C$4:$C$21)</f>
        <v>2280</v>
      </c>
      <c r="T349" s="28">
        <f>T346*_xlfn.XLOOKUP($L349,'Balizador da Meta'!$B$4:$B$21,'Balizador da Meta'!$C$4:$C$21)</f>
        <v>2400</v>
      </c>
      <c r="U349" s="28">
        <f>U346*_xlfn.XLOOKUP($L349,'Balizador da Meta'!$B$4:$B$21,'Balizador da Meta'!$C$4:$C$21)</f>
        <v>2520</v>
      </c>
      <c r="V349" s="28">
        <f>V346*_xlfn.XLOOKUP($L349,'Balizador da Meta'!$B$4:$B$21,'Balizador da Meta'!$C$4:$C$21)</f>
        <v>2640</v>
      </c>
      <c r="W349" s="28">
        <f>W346*_xlfn.XLOOKUP($L349,'Balizador da Meta'!$B$4:$B$21,'Balizador da Meta'!$C$4:$C$21)</f>
        <v>2760</v>
      </c>
      <c r="X349" s="28">
        <f>X346*_xlfn.XLOOKUP($L349,'Balizador da Meta'!$B$4:$B$21,'Balizador da Meta'!$C$4:$C$21)</f>
        <v>2880</v>
      </c>
      <c r="Y349" s="28">
        <f>Y346*_xlfn.XLOOKUP($L349,'Balizador da Meta'!$B$4:$B$21,'Balizador da Meta'!$C$4:$C$21)</f>
        <v>3000</v>
      </c>
      <c r="Z349" s="30">
        <f t="shared" si="86"/>
        <v>28560</v>
      </c>
      <c r="AA349" s="29"/>
      <c r="AB349" s="31">
        <f>SUMIFS('Historico - FAT'!AK:AK,'Historico - FAT'!$K:$K,Faturamento!$L349,'Historico - FAT'!$I:$I,Faturamento!$J349,'Historico - FAT'!$G:$G,Faturamento!$H349)</f>
        <v>0</v>
      </c>
      <c r="AC349" s="31">
        <f>SUMIFS('Historico - FAT'!AL:AL,'Historico - FAT'!$K:$K,Faturamento!$L349,'Historico - FAT'!$I:$I,Faturamento!$J349,'Historico - FAT'!$G:$G,Faturamento!$H349)</f>
        <v>113.995</v>
      </c>
      <c r="AD349" s="31">
        <f>SUMIFS('Historico - FAT'!AM:AM,'Historico - FAT'!$K:$K,Faturamento!$L349,'Historico - FAT'!$I:$I,Faturamento!$J349,'Historico - FAT'!$G:$G,Faturamento!$H349)</f>
        <v>227.99</v>
      </c>
      <c r="AE349" s="27">
        <f>SUMIFS('Historico - FAT'!AN:AN,'Historico - FAT'!$K:$K,Faturamento!$L349,'Historico - FAT'!$I:$I,Faturamento!$J349,'Historico - FAT'!$G:$G,Faturamento!$H349)</f>
        <v>136.79400000000001</v>
      </c>
      <c r="AG349" s="24">
        <f t="shared" si="74"/>
        <v>1</v>
      </c>
      <c r="AH349" s="24">
        <f t="shared" si="75"/>
        <v>0.96041840277777779</v>
      </c>
      <c r="AI349" s="24">
        <f t="shared" si="76"/>
        <v>0.92083680555555558</v>
      </c>
    </row>
    <row r="350" spans="1:35" hidden="1" x14ac:dyDescent="0.3">
      <c r="A350" s="2" t="str">
        <f t="shared" si="73"/>
        <v>NÃO</v>
      </c>
      <c r="B350" s="2">
        <v>1000184670</v>
      </c>
      <c r="C350" s="2" t="s">
        <v>147</v>
      </c>
      <c r="D350" s="4">
        <v>1000186197</v>
      </c>
      <c r="E350" s="4" t="s">
        <v>166</v>
      </c>
      <c r="F350" s="2">
        <v>1000198600</v>
      </c>
      <c r="G350" s="2" t="s">
        <v>148</v>
      </c>
      <c r="H350" s="4">
        <v>1000198601</v>
      </c>
      <c r="I350" s="4" t="s">
        <v>149</v>
      </c>
      <c r="J350" s="2">
        <v>1000190600</v>
      </c>
      <c r="K350" s="2" t="s">
        <v>146</v>
      </c>
      <c r="L350" s="4" t="s">
        <v>15</v>
      </c>
      <c r="M350" s="4" t="str">
        <f t="shared" si="80"/>
        <v>1000184670100018619710001986011000190600DOCES</v>
      </c>
      <c r="N350" s="28">
        <f>N346*_xlfn.XLOOKUP($L350,'Balizador da Meta'!$B$4:$B$21,'Balizador da Meta'!$C$4:$C$21)</f>
        <v>2160</v>
      </c>
      <c r="O350" s="28">
        <f>O346*_xlfn.XLOOKUP($L350,'Balizador da Meta'!$B$4:$B$21,'Balizador da Meta'!$C$4:$C$21)</f>
        <v>2160</v>
      </c>
      <c r="P350" s="28">
        <f>P346*_xlfn.XLOOKUP($L350,'Balizador da Meta'!$B$4:$B$21,'Balizador da Meta'!$C$4:$C$21)</f>
        <v>2295</v>
      </c>
      <c r="Q350" s="28">
        <f>Q346*_xlfn.XLOOKUP($L350,'Balizador da Meta'!$B$4:$B$21,'Balizador da Meta'!$C$4:$C$21)</f>
        <v>2295</v>
      </c>
      <c r="R350" s="28">
        <f>R346*_xlfn.XLOOKUP($L350,'Balizador da Meta'!$B$4:$B$21,'Balizador da Meta'!$C$4:$C$21)</f>
        <v>2430</v>
      </c>
      <c r="S350" s="28">
        <f>S346*_xlfn.XLOOKUP($L350,'Balizador da Meta'!$B$4:$B$21,'Balizador da Meta'!$C$4:$C$21)</f>
        <v>2565</v>
      </c>
      <c r="T350" s="28">
        <f>T346*_xlfn.XLOOKUP($L350,'Balizador da Meta'!$B$4:$B$21,'Balizador da Meta'!$C$4:$C$21)</f>
        <v>2700</v>
      </c>
      <c r="U350" s="28">
        <f>U346*_xlfn.XLOOKUP($L350,'Balizador da Meta'!$B$4:$B$21,'Balizador da Meta'!$C$4:$C$21)</f>
        <v>2835</v>
      </c>
      <c r="V350" s="28">
        <f>V346*_xlfn.XLOOKUP($L350,'Balizador da Meta'!$B$4:$B$21,'Balizador da Meta'!$C$4:$C$21)</f>
        <v>2970</v>
      </c>
      <c r="W350" s="28">
        <f>W346*_xlfn.XLOOKUP($L350,'Balizador da Meta'!$B$4:$B$21,'Balizador da Meta'!$C$4:$C$21)</f>
        <v>3105</v>
      </c>
      <c r="X350" s="28">
        <f>X346*_xlfn.XLOOKUP($L350,'Balizador da Meta'!$B$4:$B$21,'Balizador da Meta'!$C$4:$C$21)</f>
        <v>3240</v>
      </c>
      <c r="Y350" s="28">
        <f>Y346*_xlfn.XLOOKUP($L350,'Balizador da Meta'!$B$4:$B$21,'Balizador da Meta'!$C$4:$C$21)</f>
        <v>3375</v>
      </c>
      <c r="Z350" s="30">
        <f t="shared" si="86"/>
        <v>32130</v>
      </c>
      <c r="AA350" s="29"/>
      <c r="AB350" s="31">
        <f>SUMIFS('Historico - FAT'!AK:AK,'Historico - FAT'!$K:$K,Faturamento!$L350,'Historico - FAT'!$I:$I,Faturamento!$J350,'Historico - FAT'!$G:$G,Faturamento!$H350)</f>
        <v>0</v>
      </c>
      <c r="AC350" s="31">
        <f>SUMIFS('Historico - FAT'!AL:AL,'Historico - FAT'!$K:$K,Faturamento!$L350,'Historico - FAT'!$I:$I,Faturamento!$J350,'Historico - FAT'!$G:$G,Faturamento!$H350)</f>
        <v>111.00583333333333</v>
      </c>
      <c r="AD350" s="31">
        <f>SUMIFS('Historico - FAT'!AM:AM,'Historico - FAT'!$K:$K,Faturamento!$L350,'Historico - FAT'!$I:$I,Faturamento!$J350,'Historico - FAT'!$G:$G,Faturamento!$H350)</f>
        <v>222.01166666666666</v>
      </c>
      <c r="AE350" s="27">
        <f>SUMIFS('Historico - FAT'!AN:AN,'Historico - FAT'!$K:$K,Faturamento!$L350,'Historico - FAT'!$I:$I,Faturamento!$J350,'Historico - FAT'!$G:$G,Faturamento!$H350)</f>
        <v>133.20699999999999</v>
      </c>
      <c r="AG350" s="24">
        <f t="shared" si="74"/>
        <v>1</v>
      </c>
      <c r="AH350" s="24">
        <f t="shared" si="75"/>
        <v>0.96573894032921814</v>
      </c>
      <c r="AI350" s="24">
        <f t="shared" si="76"/>
        <v>0.93147788065843617</v>
      </c>
    </row>
    <row r="351" spans="1:35" hidden="1" x14ac:dyDescent="0.3">
      <c r="A351" s="2" t="str">
        <f t="shared" si="73"/>
        <v>NÃO</v>
      </c>
      <c r="B351" s="2">
        <v>1000184670</v>
      </c>
      <c r="C351" s="2" t="s">
        <v>147</v>
      </c>
      <c r="D351" s="4">
        <v>1000186197</v>
      </c>
      <c r="E351" s="4" t="s">
        <v>166</v>
      </c>
      <c r="F351" s="2">
        <v>1000198600</v>
      </c>
      <c r="G351" s="2" t="s">
        <v>148</v>
      </c>
      <c r="H351" s="4">
        <v>1000198601</v>
      </c>
      <c r="I351" s="4" t="s">
        <v>149</v>
      </c>
      <c r="J351" s="2">
        <v>1000190600</v>
      </c>
      <c r="K351" s="2" t="s">
        <v>146</v>
      </c>
      <c r="L351" s="4" t="s">
        <v>33</v>
      </c>
      <c r="M351" s="4" t="str">
        <f t="shared" si="80"/>
        <v>1000184670100018619710001986011000190600FOOD SERVICE</v>
      </c>
      <c r="N351" s="28">
        <f>N346*_xlfn.XLOOKUP($L351,'Balizador da Meta'!$B$4:$B$21,'Balizador da Meta'!$C$4:$C$21)</f>
        <v>0</v>
      </c>
      <c r="O351" s="28">
        <f>O346*_xlfn.XLOOKUP($L351,'Balizador da Meta'!$B$4:$B$21,'Balizador da Meta'!$C$4:$C$21)</f>
        <v>0</v>
      </c>
      <c r="P351" s="28">
        <f>P346*_xlfn.XLOOKUP($L351,'Balizador da Meta'!$B$4:$B$21,'Balizador da Meta'!$C$4:$C$21)</f>
        <v>0</v>
      </c>
      <c r="Q351" s="28">
        <f>Q346*_xlfn.XLOOKUP($L351,'Balizador da Meta'!$B$4:$B$21,'Balizador da Meta'!$C$4:$C$21)</f>
        <v>0</v>
      </c>
      <c r="R351" s="28">
        <f>R346*_xlfn.XLOOKUP($L351,'Balizador da Meta'!$B$4:$B$21,'Balizador da Meta'!$C$4:$C$21)</f>
        <v>0</v>
      </c>
      <c r="S351" s="28">
        <f>S346*_xlfn.XLOOKUP($L351,'Balizador da Meta'!$B$4:$B$21,'Balizador da Meta'!$C$4:$C$21)</f>
        <v>0</v>
      </c>
      <c r="T351" s="28">
        <f>T346*_xlfn.XLOOKUP($L351,'Balizador da Meta'!$B$4:$B$21,'Balizador da Meta'!$C$4:$C$21)</f>
        <v>0</v>
      </c>
      <c r="U351" s="28">
        <f>U346*_xlfn.XLOOKUP($L351,'Balizador da Meta'!$B$4:$B$21,'Balizador da Meta'!$C$4:$C$21)</f>
        <v>0</v>
      </c>
      <c r="V351" s="28">
        <f>V346*_xlfn.XLOOKUP($L351,'Balizador da Meta'!$B$4:$B$21,'Balizador da Meta'!$C$4:$C$21)</f>
        <v>0</v>
      </c>
      <c r="W351" s="28">
        <f>W346*_xlfn.XLOOKUP($L351,'Balizador da Meta'!$B$4:$B$21,'Balizador da Meta'!$C$4:$C$21)</f>
        <v>0</v>
      </c>
      <c r="X351" s="28">
        <f>X346*_xlfn.XLOOKUP($L351,'Balizador da Meta'!$B$4:$B$21,'Balizador da Meta'!$C$4:$C$21)</f>
        <v>0</v>
      </c>
      <c r="Y351" s="28">
        <f>Y346*_xlfn.XLOOKUP($L351,'Balizador da Meta'!$B$4:$B$21,'Balizador da Meta'!$C$4:$C$21)</f>
        <v>0</v>
      </c>
      <c r="Z351" s="30">
        <f t="shared" si="86"/>
        <v>0</v>
      </c>
      <c r="AA351" s="29"/>
      <c r="AB351" s="31">
        <f>SUMIFS('Historico - FAT'!AK:AK,'Historico - FAT'!$K:$K,Faturamento!$L351,'Historico - FAT'!$I:$I,Faturamento!$J351,'Historico - FAT'!$G:$G,Faturamento!$H351)</f>
        <v>0</v>
      </c>
      <c r="AC351" s="31">
        <f>SUMIFS('Historico - FAT'!AL:AL,'Historico - FAT'!$K:$K,Faturamento!$L351,'Historico - FAT'!$I:$I,Faturamento!$J351,'Historico - FAT'!$G:$G,Faturamento!$H351)</f>
        <v>22.5</v>
      </c>
      <c r="AD351" s="31">
        <f>SUMIFS('Historico - FAT'!AM:AM,'Historico - FAT'!$K:$K,Faturamento!$L351,'Historico - FAT'!$I:$I,Faturamento!$J351,'Historico - FAT'!$G:$G,Faturamento!$H351)</f>
        <v>45</v>
      </c>
      <c r="AE351" s="27">
        <f>SUMIFS('Historico - FAT'!AN:AN,'Historico - FAT'!$K:$K,Faturamento!$L351,'Historico - FAT'!$I:$I,Faturamento!$J351,'Historico - FAT'!$G:$G,Faturamento!$H351)</f>
        <v>27</v>
      </c>
      <c r="AG351" s="24" t="str">
        <f t="shared" si="74"/>
        <v/>
      </c>
      <c r="AH351" s="24" t="str">
        <f t="shared" si="75"/>
        <v/>
      </c>
      <c r="AI351" s="24" t="str">
        <f t="shared" si="76"/>
        <v/>
      </c>
    </row>
    <row r="352" spans="1:35" hidden="1" x14ac:dyDescent="0.3">
      <c r="A352" s="2" t="str">
        <f t="shared" si="73"/>
        <v>NÃO</v>
      </c>
      <c r="B352" s="2">
        <v>1000184670</v>
      </c>
      <c r="C352" s="2" t="s">
        <v>147</v>
      </c>
      <c r="D352" s="4">
        <v>1000186197</v>
      </c>
      <c r="E352" s="4" t="s">
        <v>166</v>
      </c>
      <c r="F352" s="2">
        <v>1000198600</v>
      </c>
      <c r="G352" s="2" t="s">
        <v>148</v>
      </c>
      <c r="H352" s="4">
        <v>1000198601</v>
      </c>
      <c r="I352" s="4" t="s">
        <v>149</v>
      </c>
      <c r="J352" s="2">
        <v>1000190600</v>
      </c>
      <c r="K352" s="2" t="s">
        <v>146</v>
      </c>
      <c r="L352" s="4" t="s">
        <v>19</v>
      </c>
      <c r="M352" s="4" t="str">
        <f t="shared" si="80"/>
        <v>1000184670100018619710001986011000190600GELEIA</v>
      </c>
      <c r="N352" s="28">
        <f>N346*_xlfn.XLOOKUP($L352,'Balizador da Meta'!$B$4:$B$21,'Balizador da Meta'!$C$4:$C$21)</f>
        <v>479.99999999999994</v>
      </c>
      <c r="O352" s="28">
        <f>O346*_xlfn.XLOOKUP($L352,'Balizador da Meta'!$B$4:$B$21,'Balizador da Meta'!$C$4:$C$21)</f>
        <v>479.99999999999994</v>
      </c>
      <c r="P352" s="28">
        <f>P346*_xlfn.XLOOKUP($L352,'Balizador da Meta'!$B$4:$B$21,'Balizador da Meta'!$C$4:$C$21)</f>
        <v>509.99999999999994</v>
      </c>
      <c r="Q352" s="28">
        <f>Q346*_xlfn.XLOOKUP($L352,'Balizador da Meta'!$B$4:$B$21,'Balizador da Meta'!$C$4:$C$21)</f>
        <v>509.99999999999994</v>
      </c>
      <c r="R352" s="28">
        <f>R346*_xlfn.XLOOKUP($L352,'Balizador da Meta'!$B$4:$B$21,'Balizador da Meta'!$C$4:$C$21)</f>
        <v>539.99999999999989</v>
      </c>
      <c r="S352" s="28">
        <f>S346*_xlfn.XLOOKUP($L352,'Balizador da Meta'!$B$4:$B$21,'Balizador da Meta'!$C$4:$C$21)</f>
        <v>569.99999999999989</v>
      </c>
      <c r="T352" s="28">
        <f>T346*_xlfn.XLOOKUP($L352,'Balizador da Meta'!$B$4:$B$21,'Balizador da Meta'!$C$4:$C$21)</f>
        <v>599.99999999999989</v>
      </c>
      <c r="U352" s="28">
        <f>U346*_xlfn.XLOOKUP($L352,'Balizador da Meta'!$B$4:$B$21,'Balizador da Meta'!$C$4:$C$21)</f>
        <v>629.99999999999989</v>
      </c>
      <c r="V352" s="28">
        <f>V346*_xlfn.XLOOKUP($L352,'Balizador da Meta'!$B$4:$B$21,'Balizador da Meta'!$C$4:$C$21)</f>
        <v>659.99999999999989</v>
      </c>
      <c r="W352" s="28">
        <f>W346*_xlfn.XLOOKUP($L352,'Balizador da Meta'!$B$4:$B$21,'Balizador da Meta'!$C$4:$C$21)</f>
        <v>689.99999999999989</v>
      </c>
      <c r="X352" s="28">
        <f>X346*_xlfn.XLOOKUP($L352,'Balizador da Meta'!$B$4:$B$21,'Balizador da Meta'!$C$4:$C$21)</f>
        <v>719.99999999999989</v>
      </c>
      <c r="Y352" s="28">
        <f>Y346*_xlfn.XLOOKUP($L352,'Balizador da Meta'!$B$4:$B$21,'Balizador da Meta'!$C$4:$C$21)</f>
        <v>749.99999999999989</v>
      </c>
      <c r="Z352" s="30">
        <f t="shared" si="86"/>
        <v>7139.9999999999991</v>
      </c>
      <c r="AA352" s="29"/>
      <c r="AB352" s="31">
        <f>SUMIFS('Historico - FAT'!AK:AK,'Historico - FAT'!$K:$K,Faturamento!$L352,'Historico - FAT'!$I:$I,Faturamento!$J352,'Historico - FAT'!$G:$G,Faturamento!$H352)</f>
        <v>0</v>
      </c>
      <c r="AC352" s="31">
        <f>SUMIFS('Historico - FAT'!AL:AL,'Historico - FAT'!$K:$K,Faturamento!$L352,'Historico - FAT'!$I:$I,Faturamento!$J352,'Historico - FAT'!$G:$G,Faturamento!$H352)</f>
        <v>58.894166666666671</v>
      </c>
      <c r="AD352" s="31">
        <f>SUMIFS('Historico - FAT'!AM:AM,'Historico - FAT'!$K:$K,Faturamento!$L352,'Historico - FAT'!$I:$I,Faturamento!$J352,'Historico - FAT'!$G:$G,Faturamento!$H352)</f>
        <v>117.78833333333334</v>
      </c>
      <c r="AE352" s="27">
        <f>SUMIFS('Historico - FAT'!AN:AN,'Historico - FAT'!$K:$K,Faturamento!$L352,'Historico - FAT'!$I:$I,Faturamento!$J352,'Historico - FAT'!$G:$G,Faturamento!$H352)</f>
        <v>70.673000000000002</v>
      </c>
      <c r="AG352" s="24">
        <f t="shared" si="74"/>
        <v>1</v>
      </c>
      <c r="AH352" s="24">
        <f t="shared" si="75"/>
        <v>0.91820254629629627</v>
      </c>
      <c r="AI352" s="24">
        <f t="shared" si="76"/>
        <v>0.83640509259259266</v>
      </c>
    </row>
    <row r="353" spans="1:35" hidden="1" x14ac:dyDescent="0.3">
      <c r="A353" s="2" t="str">
        <f t="shared" si="73"/>
        <v>NÃO</v>
      </c>
      <c r="B353" s="2">
        <v>1000184670</v>
      </c>
      <c r="C353" s="2" t="s">
        <v>147</v>
      </c>
      <c r="D353" s="4">
        <v>1000186197</v>
      </c>
      <c r="E353" s="4" t="s">
        <v>166</v>
      </c>
      <c r="F353" s="2">
        <v>1000198600</v>
      </c>
      <c r="G353" s="2" t="s">
        <v>148</v>
      </c>
      <c r="H353" s="4">
        <v>1000198601</v>
      </c>
      <c r="I353" s="4" t="s">
        <v>149</v>
      </c>
      <c r="J353" s="2">
        <v>1000190600</v>
      </c>
      <c r="K353" s="2" t="s">
        <v>146</v>
      </c>
      <c r="L353" s="4" t="s">
        <v>17</v>
      </c>
      <c r="M353" s="4" t="str">
        <f t="shared" si="80"/>
        <v>1000184670100018619710001986011000190600GRANOLA</v>
      </c>
      <c r="N353" s="28">
        <f>N346*_xlfn.XLOOKUP($L353,'Balizador da Meta'!$B$4:$B$21,'Balizador da Meta'!$C$4:$C$21)</f>
        <v>480</v>
      </c>
      <c r="O353" s="28">
        <f>O346*_xlfn.XLOOKUP($L353,'Balizador da Meta'!$B$4:$B$21,'Balizador da Meta'!$C$4:$C$21)</f>
        <v>480</v>
      </c>
      <c r="P353" s="28">
        <f>P346*_xlfn.XLOOKUP($L353,'Balizador da Meta'!$B$4:$B$21,'Balizador da Meta'!$C$4:$C$21)</f>
        <v>510</v>
      </c>
      <c r="Q353" s="28">
        <f>Q346*_xlfn.XLOOKUP($L353,'Balizador da Meta'!$B$4:$B$21,'Balizador da Meta'!$C$4:$C$21)</f>
        <v>510</v>
      </c>
      <c r="R353" s="28">
        <f>R346*_xlfn.XLOOKUP($L353,'Balizador da Meta'!$B$4:$B$21,'Balizador da Meta'!$C$4:$C$21)</f>
        <v>540</v>
      </c>
      <c r="S353" s="28">
        <f>S346*_xlfn.XLOOKUP($L353,'Balizador da Meta'!$B$4:$B$21,'Balizador da Meta'!$C$4:$C$21)</f>
        <v>570</v>
      </c>
      <c r="T353" s="28">
        <f>T346*_xlfn.XLOOKUP($L353,'Balizador da Meta'!$B$4:$B$21,'Balizador da Meta'!$C$4:$C$21)</f>
        <v>600</v>
      </c>
      <c r="U353" s="28">
        <f>U346*_xlfn.XLOOKUP($L353,'Balizador da Meta'!$B$4:$B$21,'Balizador da Meta'!$C$4:$C$21)</f>
        <v>630</v>
      </c>
      <c r="V353" s="28">
        <f>V346*_xlfn.XLOOKUP($L353,'Balizador da Meta'!$B$4:$B$21,'Balizador da Meta'!$C$4:$C$21)</f>
        <v>660</v>
      </c>
      <c r="W353" s="28">
        <f>W346*_xlfn.XLOOKUP($L353,'Balizador da Meta'!$B$4:$B$21,'Balizador da Meta'!$C$4:$C$21)</f>
        <v>690</v>
      </c>
      <c r="X353" s="28">
        <f>X346*_xlfn.XLOOKUP($L353,'Balizador da Meta'!$B$4:$B$21,'Balizador da Meta'!$C$4:$C$21)</f>
        <v>720</v>
      </c>
      <c r="Y353" s="28">
        <f>Y346*_xlfn.XLOOKUP($L353,'Balizador da Meta'!$B$4:$B$21,'Balizador da Meta'!$C$4:$C$21)</f>
        <v>750</v>
      </c>
      <c r="Z353" s="30">
        <f t="shared" si="86"/>
        <v>7140</v>
      </c>
      <c r="AA353" s="29"/>
      <c r="AB353" s="31">
        <f>SUMIFS('Historico - FAT'!AK:AK,'Historico - FAT'!$K:$K,Faturamento!$L353,'Historico - FAT'!$I:$I,Faturamento!$J353,'Historico - FAT'!$G:$G,Faturamento!$H353)</f>
        <v>0</v>
      </c>
      <c r="AC353" s="31">
        <f>SUMIFS('Historico - FAT'!AL:AL,'Historico - FAT'!$K:$K,Faturamento!$L353,'Historico - FAT'!$I:$I,Faturamento!$J353,'Historico - FAT'!$G:$G,Faturamento!$H353)</f>
        <v>0</v>
      </c>
      <c r="AD353" s="31">
        <f>SUMIFS('Historico - FAT'!AM:AM,'Historico - FAT'!$K:$K,Faturamento!$L353,'Historico - FAT'!$I:$I,Faturamento!$J353,'Historico - FAT'!$G:$G,Faturamento!$H353)</f>
        <v>0</v>
      </c>
      <c r="AE353" s="27">
        <f>SUMIFS('Historico - FAT'!AN:AN,'Historico - FAT'!$K:$K,Faturamento!$L353,'Historico - FAT'!$I:$I,Faturamento!$J353,'Historico - FAT'!$G:$G,Faturamento!$H353)</f>
        <v>0</v>
      </c>
      <c r="AG353" s="24">
        <f t="shared" si="74"/>
        <v>1</v>
      </c>
      <c r="AH353" s="24">
        <f t="shared" si="75"/>
        <v>1</v>
      </c>
      <c r="AI353" s="24">
        <f t="shared" si="76"/>
        <v>1</v>
      </c>
    </row>
    <row r="354" spans="1:35" hidden="1" x14ac:dyDescent="0.3">
      <c r="A354" s="2" t="str">
        <f t="shared" si="73"/>
        <v>NÃO</v>
      </c>
      <c r="B354" s="2">
        <v>1000184670</v>
      </c>
      <c r="C354" s="2" t="s">
        <v>147</v>
      </c>
      <c r="D354" s="4">
        <v>1000186197</v>
      </c>
      <c r="E354" s="4" t="s">
        <v>166</v>
      </c>
      <c r="F354" s="2">
        <v>1000198600</v>
      </c>
      <c r="G354" s="2" t="s">
        <v>148</v>
      </c>
      <c r="H354" s="4">
        <v>1000198601</v>
      </c>
      <c r="I354" s="4" t="s">
        <v>149</v>
      </c>
      <c r="J354" s="2">
        <v>1000190600</v>
      </c>
      <c r="K354" s="2" t="s">
        <v>146</v>
      </c>
      <c r="L354" s="4" t="s">
        <v>24</v>
      </c>
      <c r="M354" s="4" t="str">
        <f t="shared" si="80"/>
        <v>1000184670100018619710001986011000190600KIDS</v>
      </c>
      <c r="N354" s="28">
        <f>N346*_xlfn.XLOOKUP($L354,'Balizador da Meta'!$B$4:$B$21,'Balizador da Meta'!$C$4:$C$21)</f>
        <v>0</v>
      </c>
      <c r="O354" s="28">
        <f>O346*_xlfn.XLOOKUP($L354,'Balizador da Meta'!$B$4:$B$21,'Balizador da Meta'!$C$4:$C$21)</f>
        <v>0</v>
      </c>
      <c r="P354" s="28">
        <f>P346*_xlfn.XLOOKUP($L354,'Balizador da Meta'!$B$4:$B$21,'Balizador da Meta'!$C$4:$C$21)</f>
        <v>0</v>
      </c>
      <c r="Q354" s="28">
        <f>Q346*_xlfn.XLOOKUP($L354,'Balizador da Meta'!$B$4:$B$21,'Balizador da Meta'!$C$4:$C$21)</f>
        <v>0</v>
      </c>
      <c r="R354" s="28">
        <f>R346*_xlfn.XLOOKUP($L354,'Balizador da Meta'!$B$4:$B$21,'Balizador da Meta'!$C$4:$C$21)</f>
        <v>0</v>
      </c>
      <c r="S354" s="28">
        <f>S346*_xlfn.XLOOKUP($L354,'Balizador da Meta'!$B$4:$B$21,'Balizador da Meta'!$C$4:$C$21)</f>
        <v>0</v>
      </c>
      <c r="T354" s="28">
        <f>T346*_xlfn.XLOOKUP($L354,'Balizador da Meta'!$B$4:$B$21,'Balizador da Meta'!$C$4:$C$21)</f>
        <v>0</v>
      </c>
      <c r="U354" s="28">
        <f>U346*_xlfn.XLOOKUP($L354,'Balizador da Meta'!$B$4:$B$21,'Balizador da Meta'!$C$4:$C$21)</f>
        <v>0</v>
      </c>
      <c r="V354" s="28">
        <f>V346*_xlfn.XLOOKUP($L354,'Balizador da Meta'!$B$4:$B$21,'Balizador da Meta'!$C$4:$C$21)</f>
        <v>0</v>
      </c>
      <c r="W354" s="28">
        <f>W346*_xlfn.XLOOKUP($L354,'Balizador da Meta'!$B$4:$B$21,'Balizador da Meta'!$C$4:$C$21)</f>
        <v>0</v>
      </c>
      <c r="X354" s="28">
        <f>X346*_xlfn.XLOOKUP($L354,'Balizador da Meta'!$B$4:$B$21,'Balizador da Meta'!$C$4:$C$21)</f>
        <v>0</v>
      </c>
      <c r="Y354" s="28">
        <f>Y346*_xlfn.XLOOKUP($L354,'Balizador da Meta'!$B$4:$B$21,'Balizador da Meta'!$C$4:$C$21)</f>
        <v>0</v>
      </c>
      <c r="Z354" s="30">
        <f t="shared" si="86"/>
        <v>0</v>
      </c>
      <c r="AA354" s="29"/>
      <c r="AB354" s="31">
        <f>SUMIFS('Historico - FAT'!AK:AK,'Historico - FAT'!$K:$K,Faturamento!$L354,'Historico - FAT'!$I:$I,Faturamento!$J354,'Historico - FAT'!$G:$G,Faturamento!$H354)</f>
        <v>0</v>
      </c>
      <c r="AC354" s="31">
        <f>SUMIFS('Historico - FAT'!AL:AL,'Historico - FAT'!$K:$K,Faturamento!$L354,'Historico - FAT'!$I:$I,Faturamento!$J354,'Historico - FAT'!$G:$G,Faturamento!$H354)</f>
        <v>26.205833333333334</v>
      </c>
      <c r="AD354" s="31">
        <f>SUMIFS('Historico - FAT'!AM:AM,'Historico - FAT'!$K:$K,Faturamento!$L354,'Historico - FAT'!$I:$I,Faturamento!$J354,'Historico - FAT'!$G:$G,Faturamento!$H354)</f>
        <v>52.411666666666669</v>
      </c>
      <c r="AE354" s="27">
        <f>SUMIFS('Historico - FAT'!AN:AN,'Historico - FAT'!$K:$K,Faturamento!$L354,'Historico - FAT'!$I:$I,Faturamento!$J354,'Historico - FAT'!$G:$G,Faturamento!$H354)</f>
        <v>31.447000000000003</v>
      </c>
      <c r="AG354" s="24" t="str">
        <f t="shared" si="74"/>
        <v/>
      </c>
      <c r="AH354" s="24" t="str">
        <f t="shared" si="75"/>
        <v/>
      </c>
      <c r="AI354" s="24" t="str">
        <f t="shared" si="76"/>
        <v/>
      </c>
    </row>
    <row r="355" spans="1:35" hidden="1" x14ac:dyDescent="0.3">
      <c r="A355" s="2" t="str">
        <f t="shared" si="73"/>
        <v>NÃO</v>
      </c>
      <c r="B355" s="2">
        <v>1000184670</v>
      </c>
      <c r="C355" s="2" t="s">
        <v>147</v>
      </c>
      <c r="D355" s="4">
        <v>1000186197</v>
      </c>
      <c r="E355" s="4" t="s">
        <v>166</v>
      </c>
      <c r="F355" s="2">
        <v>1000198600</v>
      </c>
      <c r="G355" s="2" t="s">
        <v>148</v>
      </c>
      <c r="H355" s="4">
        <v>1000198601</v>
      </c>
      <c r="I355" s="4" t="s">
        <v>149</v>
      </c>
      <c r="J355" s="2">
        <v>1000190600</v>
      </c>
      <c r="K355" s="2" t="s">
        <v>146</v>
      </c>
      <c r="L355" s="4" t="s">
        <v>18</v>
      </c>
      <c r="M355" s="4" t="str">
        <f t="shared" si="80"/>
        <v>1000184670100018619710001986011000190600LANCHES</v>
      </c>
      <c r="N355" s="28">
        <f>N346*_xlfn.XLOOKUP($L355,'Balizador da Meta'!$B$4:$B$21,'Balizador da Meta'!$C$4:$C$21)</f>
        <v>240</v>
      </c>
      <c r="O355" s="28">
        <f>O346*_xlfn.XLOOKUP($L355,'Balizador da Meta'!$B$4:$B$21,'Balizador da Meta'!$C$4:$C$21)</f>
        <v>240</v>
      </c>
      <c r="P355" s="28">
        <f>P346*_xlfn.XLOOKUP($L355,'Balizador da Meta'!$B$4:$B$21,'Balizador da Meta'!$C$4:$C$21)</f>
        <v>255</v>
      </c>
      <c r="Q355" s="28">
        <f>Q346*_xlfn.XLOOKUP($L355,'Balizador da Meta'!$B$4:$B$21,'Balizador da Meta'!$C$4:$C$21)</f>
        <v>255</v>
      </c>
      <c r="R355" s="28">
        <f>R346*_xlfn.XLOOKUP($L355,'Balizador da Meta'!$B$4:$B$21,'Balizador da Meta'!$C$4:$C$21)</f>
        <v>270</v>
      </c>
      <c r="S355" s="28">
        <f>S346*_xlfn.XLOOKUP($L355,'Balizador da Meta'!$B$4:$B$21,'Balizador da Meta'!$C$4:$C$21)</f>
        <v>285</v>
      </c>
      <c r="T355" s="28">
        <f>T346*_xlfn.XLOOKUP($L355,'Balizador da Meta'!$B$4:$B$21,'Balizador da Meta'!$C$4:$C$21)</f>
        <v>300</v>
      </c>
      <c r="U355" s="28">
        <f>U346*_xlfn.XLOOKUP($L355,'Balizador da Meta'!$B$4:$B$21,'Balizador da Meta'!$C$4:$C$21)</f>
        <v>315</v>
      </c>
      <c r="V355" s="28">
        <f>V346*_xlfn.XLOOKUP($L355,'Balizador da Meta'!$B$4:$B$21,'Balizador da Meta'!$C$4:$C$21)</f>
        <v>330</v>
      </c>
      <c r="W355" s="28">
        <f>W346*_xlfn.XLOOKUP($L355,'Balizador da Meta'!$B$4:$B$21,'Balizador da Meta'!$C$4:$C$21)</f>
        <v>345</v>
      </c>
      <c r="X355" s="28">
        <f>X346*_xlfn.XLOOKUP($L355,'Balizador da Meta'!$B$4:$B$21,'Balizador da Meta'!$C$4:$C$21)</f>
        <v>360</v>
      </c>
      <c r="Y355" s="28">
        <f>Y346*_xlfn.XLOOKUP($L355,'Balizador da Meta'!$B$4:$B$21,'Balizador da Meta'!$C$4:$C$21)</f>
        <v>375</v>
      </c>
      <c r="Z355" s="30">
        <f t="shared" si="86"/>
        <v>3570</v>
      </c>
      <c r="AA355" s="29"/>
      <c r="AB355" s="31">
        <f>SUMIFS('Historico - FAT'!AK:AK,'Historico - FAT'!$K:$K,Faturamento!$L355,'Historico - FAT'!$I:$I,Faturamento!$J355,'Historico - FAT'!$G:$G,Faturamento!$H355)</f>
        <v>0</v>
      </c>
      <c r="AC355" s="31">
        <f>SUMIFS('Historico - FAT'!AL:AL,'Historico - FAT'!$K:$K,Faturamento!$L355,'Historico - FAT'!$I:$I,Faturamento!$J355,'Historico - FAT'!$G:$G,Faturamento!$H355)</f>
        <v>1.4166666666666667</v>
      </c>
      <c r="AD355" s="31">
        <f>SUMIFS('Historico - FAT'!AM:AM,'Historico - FAT'!$K:$K,Faturamento!$L355,'Historico - FAT'!$I:$I,Faturamento!$J355,'Historico - FAT'!$G:$G,Faturamento!$H355)</f>
        <v>2.8333333333333335</v>
      </c>
      <c r="AE355" s="27">
        <f>SUMIFS('Historico - FAT'!AN:AN,'Historico - FAT'!$K:$K,Faturamento!$L355,'Historico - FAT'!$I:$I,Faturamento!$J355,'Historico - FAT'!$G:$G,Faturamento!$H355)</f>
        <v>1.7</v>
      </c>
      <c r="AG355" s="24">
        <f t="shared" si="74"/>
        <v>1</v>
      </c>
      <c r="AH355" s="24">
        <f t="shared" si="75"/>
        <v>0.99606481481481479</v>
      </c>
      <c r="AI355" s="24">
        <f t="shared" si="76"/>
        <v>0.99212962962962969</v>
      </c>
    </row>
    <row r="356" spans="1:35" hidden="1" x14ac:dyDescent="0.3">
      <c r="A356" s="2" t="str">
        <f t="shared" si="73"/>
        <v>NÃO</v>
      </c>
      <c r="B356" s="2">
        <v>1000184670</v>
      </c>
      <c r="C356" s="2" t="s">
        <v>147</v>
      </c>
      <c r="D356" s="4">
        <v>1000186197</v>
      </c>
      <c r="E356" s="4" t="s">
        <v>166</v>
      </c>
      <c r="F356" s="2">
        <v>1000198600</v>
      </c>
      <c r="G356" s="2" t="s">
        <v>148</v>
      </c>
      <c r="H356" s="4">
        <v>1000198601</v>
      </c>
      <c r="I356" s="4" t="s">
        <v>149</v>
      </c>
      <c r="J356" s="2">
        <v>1000190600</v>
      </c>
      <c r="K356" s="2" t="s">
        <v>146</v>
      </c>
      <c r="L356" s="4" t="s">
        <v>29</v>
      </c>
      <c r="M356" s="4" t="str">
        <f t="shared" si="80"/>
        <v>1000184670100018619710001986011000190600MAIS GRANEL</v>
      </c>
      <c r="N356" s="28">
        <f>N346*_xlfn.XLOOKUP($L356,'Balizador da Meta'!$B$4:$B$21,'Balizador da Meta'!$C$4:$C$21)</f>
        <v>7680</v>
      </c>
      <c r="O356" s="28">
        <f>O346*_xlfn.XLOOKUP($L356,'Balizador da Meta'!$B$4:$B$21,'Balizador da Meta'!$C$4:$C$21)</f>
        <v>7680</v>
      </c>
      <c r="P356" s="28">
        <f>P346*_xlfn.XLOOKUP($L356,'Balizador da Meta'!$B$4:$B$21,'Balizador da Meta'!$C$4:$C$21)</f>
        <v>8160</v>
      </c>
      <c r="Q356" s="28">
        <f>Q346*_xlfn.XLOOKUP($L356,'Balizador da Meta'!$B$4:$B$21,'Balizador da Meta'!$C$4:$C$21)</f>
        <v>8160</v>
      </c>
      <c r="R356" s="28">
        <f>R346*_xlfn.XLOOKUP($L356,'Balizador da Meta'!$B$4:$B$21,'Balizador da Meta'!$C$4:$C$21)</f>
        <v>8640</v>
      </c>
      <c r="S356" s="28">
        <f>S346*_xlfn.XLOOKUP($L356,'Balizador da Meta'!$B$4:$B$21,'Balizador da Meta'!$C$4:$C$21)</f>
        <v>9120</v>
      </c>
      <c r="T356" s="28">
        <f>T346*_xlfn.XLOOKUP($L356,'Balizador da Meta'!$B$4:$B$21,'Balizador da Meta'!$C$4:$C$21)</f>
        <v>9600</v>
      </c>
      <c r="U356" s="28">
        <f>U346*_xlfn.XLOOKUP($L356,'Balizador da Meta'!$B$4:$B$21,'Balizador da Meta'!$C$4:$C$21)</f>
        <v>10080</v>
      </c>
      <c r="V356" s="28">
        <f>V346*_xlfn.XLOOKUP($L356,'Balizador da Meta'!$B$4:$B$21,'Balizador da Meta'!$C$4:$C$21)</f>
        <v>10560</v>
      </c>
      <c r="W356" s="28">
        <f>W346*_xlfn.XLOOKUP($L356,'Balizador da Meta'!$B$4:$B$21,'Balizador da Meta'!$C$4:$C$21)</f>
        <v>11040</v>
      </c>
      <c r="X356" s="28">
        <f>X346*_xlfn.XLOOKUP($L356,'Balizador da Meta'!$B$4:$B$21,'Balizador da Meta'!$C$4:$C$21)</f>
        <v>11520</v>
      </c>
      <c r="Y356" s="28">
        <f>Y346*_xlfn.XLOOKUP($L356,'Balizador da Meta'!$B$4:$B$21,'Balizador da Meta'!$C$4:$C$21)</f>
        <v>12000</v>
      </c>
      <c r="Z356" s="30">
        <f t="shared" si="86"/>
        <v>114240</v>
      </c>
      <c r="AA356" s="29"/>
      <c r="AB356" s="31">
        <f>SUMIFS('Historico - FAT'!AK:AK,'Historico - FAT'!$K:$K,Faturamento!$L356,'Historico - FAT'!$I:$I,Faturamento!$J356,'Historico - FAT'!$G:$G,Faturamento!$H356)</f>
        <v>0</v>
      </c>
      <c r="AC356" s="31">
        <f>SUMIFS('Historico - FAT'!AL:AL,'Historico - FAT'!$K:$K,Faturamento!$L356,'Historico - FAT'!$I:$I,Faturamento!$J356,'Historico - FAT'!$G:$G,Faturamento!$H356)</f>
        <v>1430.2833333333335</v>
      </c>
      <c r="AD356" s="31">
        <f>SUMIFS('Historico - FAT'!AM:AM,'Historico - FAT'!$K:$K,Faturamento!$L356,'Historico - FAT'!$I:$I,Faturamento!$J356,'Historico - FAT'!$G:$G,Faturamento!$H356)</f>
        <v>2860.5666666666671</v>
      </c>
      <c r="AE356" s="27">
        <f>SUMIFS('Historico - FAT'!AN:AN,'Historico - FAT'!$K:$K,Faturamento!$L356,'Historico - FAT'!$I:$I,Faturamento!$J356,'Historico - FAT'!$G:$G,Faturamento!$H356)</f>
        <v>1716.3400000000001</v>
      </c>
      <c r="AG356" s="24">
        <f t="shared" si="74"/>
        <v>1</v>
      </c>
      <c r="AH356" s="24">
        <f t="shared" si="75"/>
        <v>0.87584346064814822</v>
      </c>
      <c r="AI356" s="24">
        <f t="shared" si="76"/>
        <v>0.75168692129629622</v>
      </c>
    </row>
    <row r="357" spans="1:35" hidden="1" x14ac:dyDescent="0.3">
      <c r="A357" s="2" t="str">
        <f t="shared" si="73"/>
        <v>NÃO</v>
      </c>
      <c r="B357" s="2">
        <v>1000184670</v>
      </c>
      <c r="C357" s="2" t="s">
        <v>147</v>
      </c>
      <c r="D357" s="4">
        <v>1000186197</v>
      </c>
      <c r="E357" s="4" t="s">
        <v>166</v>
      </c>
      <c r="F357" s="2">
        <v>1000198600</v>
      </c>
      <c r="G357" s="2" t="s">
        <v>148</v>
      </c>
      <c r="H357" s="4">
        <v>1000198601</v>
      </c>
      <c r="I357" s="4" t="s">
        <v>149</v>
      </c>
      <c r="J357" s="2">
        <v>1000190600</v>
      </c>
      <c r="K357" s="2" t="s">
        <v>146</v>
      </c>
      <c r="L357" s="4" t="s">
        <v>21</v>
      </c>
      <c r="M357" s="4" t="str">
        <f t="shared" si="80"/>
        <v>1000184670100018619710001986011000190600NATURATTA</v>
      </c>
      <c r="N357" s="28">
        <f>N346*_xlfn.XLOOKUP($L357,'Balizador da Meta'!$B$4:$B$21,'Balizador da Meta'!$C$4:$C$21)</f>
        <v>1200</v>
      </c>
      <c r="O357" s="28">
        <f>O346*_xlfn.XLOOKUP($L357,'Balizador da Meta'!$B$4:$B$21,'Balizador da Meta'!$C$4:$C$21)</f>
        <v>1200</v>
      </c>
      <c r="P357" s="28">
        <f>P346*_xlfn.XLOOKUP($L357,'Balizador da Meta'!$B$4:$B$21,'Balizador da Meta'!$C$4:$C$21)</f>
        <v>1275</v>
      </c>
      <c r="Q357" s="28">
        <f>Q346*_xlfn.XLOOKUP($L357,'Balizador da Meta'!$B$4:$B$21,'Balizador da Meta'!$C$4:$C$21)</f>
        <v>1275</v>
      </c>
      <c r="R357" s="28">
        <f>R346*_xlfn.XLOOKUP($L357,'Balizador da Meta'!$B$4:$B$21,'Balizador da Meta'!$C$4:$C$21)</f>
        <v>1350</v>
      </c>
      <c r="S357" s="28">
        <f>S346*_xlfn.XLOOKUP($L357,'Balizador da Meta'!$B$4:$B$21,'Balizador da Meta'!$C$4:$C$21)</f>
        <v>1425</v>
      </c>
      <c r="T357" s="28">
        <f>T346*_xlfn.XLOOKUP($L357,'Balizador da Meta'!$B$4:$B$21,'Balizador da Meta'!$C$4:$C$21)</f>
        <v>1500</v>
      </c>
      <c r="U357" s="28">
        <f>U346*_xlfn.XLOOKUP($L357,'Balizador da Meta'!$B$4:$B$21,'Balizador da Meta'!$C$4:$C$21)</f>
        <v>1575</v>
      </c>
      <c r="V357" s="28">
        <f>V346*_xlfn.XLOOKUP($L357,'Balizador da Meta'!$B$4:$B$21,'Balizador da Meta'!$C$4:$C$21)</f>
        <v>1650</v>
      </c>
      <c r="W357" s="28">
        <f>W346*_xlfn.XLOOKUP($L357,'Balizador da Meta'!$B$4:$B$21,'Balizador da Meta'!$C$4:$C$21)</f>
        <v>1725</v>
      </c>
      <c r="X357" s="28">
        <f>X346*_xlfn.XLOOKUP($L357,'Balizador da Meta'!$B$4:$B$21,'Balizador da Meta'!$C$4:$C$21)</f>
        <v>1800</v>
      </c>
      <c r="Y357" s="28">
        <f>Y346*_xlfn.XLOOKUP($L357,'Balizador da Meta'!$B$4:$B$21,'Balizador da Meta'!$C$4:$C$21)</f>
        <v>1875</v>
      </c>
      <c r="Z357" s="30">
        <f t="shared" si="86"/>
        <v>17850</v>
      </c>
      <c r="AA357" s="29"/>
      <c r="AB357" s="31">
        <f>SUMIFS('Historico - FAT'!AK:AK,'Historico - FAT'!$K:$K,Faturamento!$L357,'Historico - FAT'!$I:$I,Faturamento!$J357,'Historico - FAT'!$G:$G,Faturamento!$H357)</f>
        <v>86.2</v>
      </c>
      <c r="AC357" s="31">
        <f>SUMIFS('Historico - FAT'!AL:AL,'Historico - FAT'!$K:$K,Faturamento!$L357,'Historico - FAT'!$I:$I,Faturamento!$J357,'Historico - FAT'!$G:$G,Faturamento!$H357)</f>
        <v>90.674999999999997</v>
      </c>
      <c r="AD357" s="31">
        <f>SUMIFS('Historico - FAT'!AM:AM,'Historico - FAT'!$K:$K,Faturamento!$L357,'Historico - FAT'!$I:$I,Faturamento!$J357,'Historico - FAT'!$G:$G,Faturamento!$H357)</f>
        <v>95.949999999999989</v>
      </c>
      <c r="AE357" s="27">
        <f>SUMIFS('Historico - FAT'!AN:AN,'Historico - FAT'!$K:$K,Faturamento!$L357,'Historico - FAT'!$I:$I,Faturamento!$J357,'Historico - FAT'!$G:$G,Faturamento!$H357)</f>
        <v>57.569999999999993</v>
      </c>
      <c r="AG357" s="24">
        <f t="shared" si="74"/>
        <v>0.95211111111111113</v>
      </c>
      <c r="AH357" s="24">
        <f t="shared" si="75"/>
        <v>0.94962500000000005</v>
      </c>
      <c r="AI357" s="24">
        <f t="shared" si="76"/>
        <v>0.94669444444444439</v>
      </c>
    </row>
    <row r="358" spans="1:35" hidden="1" x14ac:dyDescent="0.3">
      <c r="A358" s="2" t="str">
        <f t="shared" si="73"/>
        <v>NÃO</v>
      </c>
      <c r="B358" s="2">
        <v>1000184670</v>
      </c>
      <c r="C358" s="2" t="s">
        <v>147</v>
      </c>
      <c r="D358" s="4">
        <v>1000186197</v>
      </c>
      <c r="E358" s="4" t="s">
        <v>166</v>
      </c>
      <c r="F358" s="2">
        <v>1000198600</v>
      </c>
      <c r="G358" s="2" t="s">
        <v>148</v>
      </c>
      <c r="H358" s="4">
        <v>1000198601</v>
      </c>
      <c r="I358" s="4" t="s">
        <v>149</v>
      </c>
      <c r="J358" s="2">
        <v>1000190600</v>
      </c>
      <c r="K358" s="2" t="s">
        <v>146</v>
      </c>
      <c r="L358" s="4" t="s">
        <v>20</v>
      </c>
      <c r="M358" s="4" t="str">
        <f t="shared" si="80"/>
        <v>1000184670100018619710001986011000190600REEMBALADOS</v>
      </c>
      <c r="N358" s="28">
        <f>N346*_xlfn.XLOOKUP($L358,'Balizador da Meta'!$B$4:$B$21,'Balizador da Meta'!$C$4:$C$21)</f>
        <v>960</v>
      </c>
      <c r="O358" s="28">
        <f>O346*_xlfn.XLOOKUP($L358,'Balizador da Meta'!$B$4:$B$21,'Balizador da Meta'!$C$4:$C$21)</f>
        <v>960</v>
      </c>
      <c r="P358" s="28">
        <f>P346*_xlfn.XLOOKUP($L358,'Balizador da Meta'!$B$4:$B$21,'Balizador da Meta'!$C$4:$C$21)</f>
        <v>1020</v>
      </c>
      <c r="Q358" s="28">
        <f>Q346*_xlfn.XLOOKUP($L358,'Balizador da Meta'!$B$4:$B$21,'Balizador da Meta'!$C$4:$C$21)</f>
        <v>1020</v>
      </c>
      <c r="R358" s="28">
        <f>R346*_xlfn.XLOOKUP($L358,'Balizador da Meta'!$B$4:$B$21,'Balizador da Meta'!$C$4:$C$21)</f>
        <v>1080</v>
      </c>
      <c r="S358" s="28">
        <f>S346*_xlfn.XLOOKUP($L358,'Balizador da Meta'!$B$4:$B$21,'Balizador da Meta'!$C$4:$C$21)</f>
        <v>1140</v>
      </c>
      <c r="T358" s="28">
        <f>T346*_xlfn.XLOOKUP($L358,'Balizador da Meta'!$B$4:$B$21,'Balizador da Meta'!$C$4:$C$21)</f>
        <v>1200</v>
      </c>
      <c r="U358" s="28">
        <f>U346*_xlfn.XLOOKUP($L358,'Balizador da Meta'!$B$4:$B$21,'Balizador da Meta'!$C$4:$C$21)</f>
        <v>1260</v>
      </c>
      <c r="V358" s="28">
        <f>V346*_xlfn.XLOOKUP($L358,'Balizador da Meta'!$B$4:$B$21,'Balizador da Meta'!$C$4:$C$21)</f>
        <v>1320</v>
      </c>
      <c r="W358" s="28">
        <f>W346*_xlfn.XLOOKUP($L358,'Balizador da Meta'!$B$4:$B$21,'Balizador da Meta'!$C$4:$C$21)</f>
        <v>1380</v>
      </c>
      <c r="X358" s="28">
        <f>X346*_xlfn.XLOOKUP($L358,'Balizador da Meta'!$B$4:$B$21,'Balizador da Meta'!$C$4:$C$21)</f>
        <v>1440</v>
      </c>
      <c r="Y358" s="28">
        <f>Y346*_xlfn.XLOOKUP($L358,'Balizador da Meta'!$B$4:$B$21,'Balizador da Meta'!$C$4:$C$21)</f>
        <v>1500</v>
      </c>
      <c r="Z358" s="30">
        <f t="shared" si="86"/>
        <v>14280</v>
      </c>
      <c r="AA358" s="29"/>
      <c r="AB358" s="31">
        <f>SUMIFS('Historico - FAT'!AK:AK,'Historico - FAT'!$K:$K,Faturamento!$L358,'Historico - FAT'!$I:$I,Faturamento!$J358,'Historico - FAT'!$G:$G,Faturamento!$H358)</f>
        <v>0</v>
      </c>
      <c r="AC358" s="31">
        <f>SUMIFS('Historico - FAT'!AL:AL,'Historico - FAT'!$K:$K,Faturamento!$L358,'Historico - FAT'!$I:$I,Faturamento!$J358,'Historico - FAT'!$G:$G,Faturamento!$H358)</f>
        <v>11.027500000000002</v>
      </c>
      <c r="AD358" s="31">
        <f>SUMIFS('Historico - FAT'!AM:AM,'Historico - FAT'!$K:$K,Faturamento!$L358,'Historico - FAT'!$I:$I,Faturamento!$J358,'Historico - FAT'!$G:$G,Faturamento!$H358)</f>
        <v>22.055000000000003</v>
      </c>
      <c r="AE358" s="27">
        <f>SUMIFS('Historico - FAT'!AN:AN,'Historico - FAT'!$K:$K,Faturamento!$L358,'Historico - FAT'!$I:$I,Faturamento!$J358,'Historico - FAT'!$G:$G,Faturamento!$H358)</f>
        <v>13.233000000000001</v>
      </c>
      <c r="AG358" s="24">
        <f t="shared" si="74"/>
        <v>1</v>
      </c>
      <c r="AH358" s="24">
        <f t="shared" si="75"/>
        <v>0.99234201388888899</v>
      </c>
      <c r="AI358" s="24">
        <f t="shared" si="76"/>
        <v>0.98468402777777775</v>
      </c>
    </row>
    <row r="359" spans="1:35" hidden="1" x14ac:dyDescent="0.3">
      <c r="A359" s="2" t="str">
        <f t="shared" si="73"/>
        <v>NÃO</v>
      </c>
      <c r="B359" s="2">
        <v>1000184670</v>
      </c>
      <c r="C359" s="2" t="s">
        <v>147</v>
      </c>
      <c r="D359" s="4">
        <v>1000186197</v>
      </c>
      <c r="E359" s="4" t="s">
        <v>166</v>
      </c>
      <c r="F359" s="2">
        <v>1000198600</v>
      </c>
      <c r="G359" s="2" t="s">
        <v>148</v>
      </c>
      <c r="H359" s="4">
        <v>1000198601</v>
      </c>
      <c r="I359" s="4" t="s">
        <v>149</v>
      </c>
      <c r="J359" s="2">
        <v>1000190600</v>
      </c>
      <c r="K359" s="2" t="s">
        <v>146</v>
      </c>
      <c r="L359" s="4" t="s">
        <v>22</v>
      </c>
      <c r="M359" s="4" t="str">
        <f t="shared" si="80"/>
        <v>1000184670100018619710001986011000190600S GLUTEN</v>
      </c>
      <c r="N359" s="28">
        <f>N346*_xlfn.XLOOKUP($L359,'Balizador da Meta'!$B$4:$B$21,'Balizador da Meta'!$C$4:$C$21)</f>
        <v>960</v>
      </c>
      <c r="O359" s="28">
        <f>O346*_xlfn.XLOOKUP($L359,'Balizador da Meta'!$B$4:$B$21,'Balizador da Meta'!$C$4:$C$21)</f>
        <v>960</v>
      </c>
      <c r="P359" s="28">
        <f>P346*_xlfn.XLOOKUP($L359,'Balizador da Meta'!$B$4:$B$21,'Balizador da Meta'!$C$4:$C$21)</f>
        <v>1020</v>
      </c>
      <c r="Q359" s="28">
        <f>Q346*_xlfn.XLOOKUP($L359,'Balizador da Meta'!$B$4:$B$21,'Balizador da Meta'!$C$4:$C$21)</f>
        <v>1020</v>
      </c>
      <c r="R359" s="28">
        <f>R346*_xlfn.XLOOKUP($L359,'Balizador da Meta'!$B$4:$B$21,'Balizador da Meta'!$C$4:$C$21)</f>
        <v>1080</v>
      </c>
      <c r="S359" s="28">
        <f>S346*_xlfn.XLOOKUP($L359,'Balizador da Meta'!$B$4:$B$21,'Balizador da Meta'!$C$4:$C$21)</f>
        <v>1140</v>
      </c>
      <c r="T359" s="28">
        <f>T346*_xlfn.XLOOKUP($L359,'Balizador da Meta'!$B$4:$B$21,'Balizador da Meta'!$C$4:$C$21)</f>
        <v>1200</v>
      </c>
      <c r="U359" s="28">
        <f>U346*_xlfn.XLOOKUP($L359,'Balizador da Meta'!$B$4:$B$21,'Balizador da Meta'!$C$4:$C$21)</f>
        <v>1260</v>
      </c>
      <c r="V359" s="28">
        <f>V346*_xlfn.XLOOKUP($L359,'Balizador da Meta'!$B$4:$B$21,'Balizador da Meta'!$C$4:$C$21)</f>
        <v>1320</v>
      </c>
      <c r="W359" s="28">
        <f>W346*_xlfn.XLOOKUP($L359,'Balizador da Meta'!$B$4:$B$21,'Balizador da Meta'!$C$4:$C$21)</f>
        <v>1380</v>
      </c>
      <c r="X359" s="28">
        <f>X346*_xlfn.XLOOKUP($L359,'Balizador da Meta'!$B$4:$B$21,'Balizador da Meta'!$C$4:$C$21)</f>
        <v>1440</v>
      </c>
      <c r="Y359" s="28">
        <f>Y346*_xlfn.XLOOKUP($L359,'Balizador da Meta'!$B$4:$B$21,'Balizador da Meta'!$C$4:$C$21)</f>
        <v>1500</v>
      </c>
      <c r="Z359" s="30">
        <f t="shared" si="86"/>
        <v>14280</v>
      </c>
      <c r="AA359" s="29"/>
      <c r="AB359" s="31">
        <f>SUMIFS('Historico - FAT'!AK:AK,'Historico - FAT'!$K:$K,Faturamento!$L359,'Historico - FAT'!$I:$I,Faturamento!$J359,'Historico - FAT'!$G:$G,Faturamento!$H359)</f>
        <v>0</v>
      </c>
      <c r="AC359" s="31">
        <f>SUMIFS('Historico - FAT'!AL:AL,'Historico - FAT'!$K:$K,Faturamento!$L359,'Historico - FAT'!$I:$I,Faturamento!$J359,'Historico - FAT'!$G:$G,Faturamento!$H359)</f>
        <v>72.914166666666674</v>
      </c>
      <c r="AD359" s="31">
        <f>SUMIFS('Historico - FAT'!AM:AM,'Historico - FAT'!$K:$K,Faturamento!$L359,'Historico - FAT'!$I:$I,Faturamento!$J359,'Historico - FAT'!$G:$G,Faturamento!$H359)</f>
        <v>145.82833333333335</v>
      </c>
      <c r="AE359" s="27">
        <f>SUMIFS('Historico - FAT'!AN:AN,'Historico - FAT'!$K:$K,Faturamento!$L359,'Historico - FAT'!$I:$I,Faturamento!$J359,'Historico - FAT'!$G:$G,Faturamento!$H359)</f>
        <v>87.497</v>
      </c>
      <c r="AG359" s="24">
        <f t="shared" si="74"/>
        <v>1</v>
      </c>
      <c r="AH359" s="24">
        <f t="shared" si="75"/>
        <v>0.94936516203703702</v>
      </c>
      <c r="AI359" s="24">
        <f t="shared" si="76"/>
        <v>0.89873032407407405</v>
      </c>
    </row>
    <row r="360" spans="1:35" hidden="1" x14ac:dyDescent="0.3">
      <c r="A360" s="2" t="str">
        <f t="shared" si="73"/>
        <v>NÃO</v>
      </c>
      <c r="B360" s="2">
        <v>1000184670</v>
      </c>
      <c r="C360" s="2" t="s">
        <v>147</v>
      </c>
      <c r="D360" s="4">
        <v>1000186197</v>
      </c>
      <c r="E360" s="4" t="s">
        <v>166</v>
      </c>
      <c r="F360" s="2">
        <v>1000198600</v>
      </c>
      <c r="G360" s="2" t="s">
        <v>148</v>
      </c>
      <c r="H360" s="4">
        <v>1000198601</v>
      </c>
      <c r="I360" s="4" t="s">
        <v>149</v>
      </c>
      <c r="J360" s="2">
        <v>1000190600</v>
      </c>
      <c r="K360" s="2" t="s">
        <v>146</v>
      </c>
      <c r="L360" s="4" t="s">
        <v>23</v>
      </c>
      <c r="M360" s="4" t="str">
        <f t="shared" si="80"/>
        <v>1000184670100018619710001986011000190600SABORES DO CAMPO</v>
      </c>
      <c r="N360" s="28">
        <f>N346*_xlfn.XLOOKUP($L360,'Balizador da Meta'!$B$4:$B$21,'Balizador da Meta'!$C$4:$C$21)</f>
        <v>0</v>
      </c>
      <c r="O360" s="28">
        <f>O346*_xlfn.XLOOKUP($L360,'Balizador da Meta'!$B$4:$B$21,'Balizador da Meta'!$C$4:$C$21)</f>
        <v>0</v>
      </c>
      <c r="P360" s="28">
        <f>P346*_xlfn.XLOOKUP($L360,'Balizador da Meta'!$B$4:$B$21,'Balizador da Meta'!$C$4:$C$21)</f>
        <v>0</v>
      </c>
      <c r="Q360" s="28">
        <f>Q346*_xlfn.XLOOKUP($L360,'Balizador da Meta'!$B$4:$B$21,'Balizador da Meta'!$C$4:$C$21)</f>
        <v>0</v>
      </c>
      <c r="R360" s="28">
        <f>R346*_xlfn.XLOOKUP($L360,'Balizador da Meta'!$B$4:$B$21,'Balizador da Meta'!$C$4:$C$21)</f>
        <v>0</v>
      </c>
      <c r="S360" s="28">
        <f>S346*_xlfn.XLOOKUP($L360,'Balizador da Meta'!$B$4:$B$21,'Balizador da Meta'!$C$4:$C$21)</f>
        <v>0</v>
      </c>
      <c r="T360" s="28">
        <f>T346*_xlfn.XLOOKUP($L360,'Balizador da Meta'!$B$4:$B$21,'Balizador da Meta'!$C$4:$C$21)</f>
        <v>0</v>
      </c>
      <c r="U360" s="28">
        <f>U346*_xlfn.XLOOKUP($L360,'Balizador da Meta'!$B$4:$B$21,'Balizador da Meta'!$C$4:$C$21)</f>
        <v>0</v>
      </c>
      <c r="V360" s="28">
        <f>V346*_xlfn.XLOOKUP($L360,'Balizador da Meta'!$B$4:$B$21,'Balizador da Meta'!$C$4:$C$21)</f>
        <v>0</v>
      </c>
      <c r="W360" s="28">
        <f>W346*_xlfn.XLOOKUP($L360,'Balizador da Meta'!$B$4:$B$21,'Balizador da Meta'!$C$4:$C$21)</f>
        <v>0</v>
      </c>
      <c r="X360" s="28">
        <f>X346*_xlfn.XLOOKUP($L360,'Balizador da Meta'!$B$4:$B$21,'Balizador da Meta'!$C$4:$C$21)</f>
        <v>0</v>
      </c>
      <c r="Y360" s="28">
        <f>Y346*_xlfn.XLOOKUP($L360,'Balizador da Meta'!$B$4:$B$21,'Balizador da Meta'!$C$4:$C$21)</f>
        <v>0</v>
      </c>
      <c r="Z360" s="30">
        <f t="shared" si="86"/>
        <v>0</v>
      </c>
      <c r="AA360" s="29"/>
      <c r="AB360" s="31">
        <f>SUMIFS('Historico - FAT'!AK:AK,'Historico - FAT'!$K:$K,Faturamento!$L360,'Historico - FAT'!$I:$I,Faturamento!$J360,'Historico - FAT'!$G:$G,Faturamento!$H360)</f>
        <v>0</v>
      </c>
      <c r="AC360" s="31">
        <f>SUMIFS('Historico - FAT'!AL:AL,'Historico - FAT'!$K:$K,Faturamento!$L360,'Historico - FAT'!$I:$I,Faturamento!$J360,'Historico - FAT'!$G:$G,Faturamento!$H360)</f>
        <v>2.5283333333333333</v>
      </c>
      <c r="AD360" s="31">
        <f>SUMIFS('Historico - FAT'!AM:AM,'Historico - FAT'!$K:$K,Faturamento!$L360,'Historico - FAT'!$I:$I,Faturamento!$J360,'Historico - FAT'!$G:$G,Faturamento!$H360)</f>
        <v>5.0566666666666666</v>
      </c>
      <c r="AE360" s="27">
        <f>SUMIFS('Historico - FAT'!AN:AN,'Historico - FAT'!$K:$K,Faturamento!$L360,'Historico - FAT'!$I:$I,Faturamento!$J360,'Historico - FAT'!$G:$G,Faturamento!$H360)</f>
        <v>3.0339999999999998</v>
      </c>
      <c r="AG360" s="24" t="str">
        <f t="shared" si="74"/>
        <v/>
      </c>
      <c r="AH360" s="24" t="str">
        <f t="shared" si="75"/>
        <v/>
      </c>
      <c r="AI360" s="24" t="str">
        <f t="shared" si="76"/>
        <v/>
      </c>
    </row>
    <row r="361" spans="1:35" hidden="1" x14ac:dyDescent="0.3">
      <c r="A361" s="2" t="str">
        <f t="shared" si="73"/>
        <v>NÃO</v>
      </c>
      <c r="B361" s="2">
        <v>1000184670</v>
      </c>
      <c r="C361" s="2" t="s">
        <v>147</v>
      </c>
      <c r="D361" s="4">
        <v>1000186197</v>
      </c>
      <c r="E361" s="4" t="s">
        <v>166</v>
      </c>
      <c r="F361" s="2">
        <v>1000198600</v>
      </c>
      <c r="G361" s="2" t="s">
        <v>148</v>
      </c>
      <c r="H361" s="4">
        <v>1000198601</v>
      </c>
      <c r="I361" s="4" t="s">
        <v>149</v>
      </c>
      <c r="J361" s="2">
        <v>1000190600</v>
      </c>
      <c r="K361" s="2" t="s">
        <v>146</v>
      </c>
      <c r="L361" s="4" t="s">
        <v>28</v>
      </c>
      <c r="M361" s="4" t="str">
        <f t="shared" si="80"/>
        <v>1000184670100018619710001986011000190600SAL</v>
      </c>
      <c r="N361" s="28">
        <f>N346*_xlfn.XLOOKUP($L361,'Balizador da Meta'!$B$4:$B$21,'Balizador da Meta'!$C$4:$C$21)</f>
        <v>480</v>
      </c>
      <c r="O361" s="28">
        <f>O346*_xlfn.XLOOKUP($L361,'Balizador da Meta'!$B$4:$B$21,'Balizador da Meta'!$C$4:$C$21)</f>
        <v>480</v>
      </c>
      <c r="P361" s="28">
        <f>P346*_xlfn.XLOOKUP($L361,'Balizador da Meta'!$B$4:$B$21,'Balizador da Meta'!$C$4:$C$21)</f>
        <v>510</v>
      </c>
      <c r="Q361" s="28">
        <f>Q346*_xlfn.XLOOKUP($L361,'Balizador da Meta'!$B$4:$B$21,'Balizador da Meta'!$C$4:$C$21)</f>
        <v>510</v>
      </c>
      <c r="R361" s="28">
        <f>R346*_xlfn.XLOOKUP($L361,'Balizador da Meta'!$B$4:$B$21,'Balizador da Meta'!$C$4:$C$21)</f>
        <v>540</v>
      </c>
      <c r="S361" s="28">
        <f>S346*_xlfn.XLOOKUP($L361,'Balizador da Meta'!$B$4:$B$21,'Balizador da Meta'!$C$4:$C$21)</f>
        <v>570</v>
      </c>
      <c r="T361" s="28">
        <f>T346*_xlfn.XLOOKUP($L361,'Balizador da Meta'!$B$4:$B$21,'Balizador da Meta'!$C$4:$C$21)</f>
        <v>600</v>
      </c>
      <c r="U361" s="28">
        <f>U346*_xlfn.XLOOKUP($L361,'Balizador da Meta'!$B$4:$B$21,'Balizador da Meta'!$C$4:$C$21)</f>
        <v>630</v>
      </c>
      <c r="V361" s="28">
        <f>V346*_xlfn.XLOOKUP($L361,'Balizador da Meta'!$B$4:$B$21,'Balizador da Meta'!$C$4:$C$21)</f>
        <v>660</v>
      </c>
      <c r="W361" s="28">
        <f>W346*_xlfn.XLOOKUP($L361,'Balizador da Meta'!$B$4:$B$21,'Balizador da Meta'!$C$4:$C$21)</f>
        <v>690</v>
      </c>
      <c r="X361" s="28">
        <f>X346*_xlfn.XLOOKUP($L361,'Balizador da Meta'!$B$4:$B$21,'Balizador da Meta'!$C$4:$C$21)</f>
        <v>720</v>
      </c>
      <c r="Y361" s="28">
        <f>Y346*_xlfn.XLOOKUP($L361,'Balizador da Meta'!$B$4:$B$21,'Balizador da Meta'!$C$4:$C$21)</f>
        <v>750</v>
      </c>
      <c r="Z361" s="30">
        <f t="shared" si="86"/>
        <v>7140</v>
      </c>
      <c r="AA361" s="29"/>
      <c r="AB361" s="31">
        <f>SUMIFS('Historico - FAT'!AK:AK,'Historico - FAT'!$K:$K,Faturamento!$L361,'Historico - FAT'!$I:$I,Faturamento!$J361,'Historico - FAT'!$G:$G,Faturamento!$H361)</f>
        <v>0</v>
      </c>
      <c r="AC361" s="31">
        <f>SUMIFS('Historico - FAT'!AL:AL,'Historico - FAT'!$K:$K,Faturamento!$L361,'Historico - FAT'!$I:$I,Faturamento!$J361,'Historico - FAT'!$G:$G,Faturamento!$H361)</f>
        <v>0</v>
      </c>
      <c r="AD361" s="31">
        <f>SUMIFS('Historico - FAT'!AM:AM,'Historico - FAT'!$K:$K,Faturamento!$L361,'Historico - FAT'!$I:$I,Faturamento!$J361,'Historico - FAT'!$G:$G,Faturamento!$H361)</f>
        <v>0</v>
      </c>
      <c r="AE361" s="27">
        <f>SUMIFS('Historico - FAT'!AN:AN,'Historico - FAT'!$K:$K,Faturamento!$L361,'Historico - FAT'!$I:$I,Faturamento!$J361,'Historico - FAT'!$G:$G,Faturamento!$H361)</f>
        <v>0</v>
      </c>
      <c r="AG361" s="24">
        <f t="shared" si="74"/>
        <v>1</v>
      </c>
      <c r="AH361" s="24">
        <f t="shared" si="75"/>
        <v>1</v>
      </c>
      <c r="AI361" s="24">
        <f t="shared" si="76"/>
        <v>1</v>
      </c>
    </row>
    <row r="362" spans="1:35" hidden="1" x14ac:dyDescent="0.3">
      <c r="A362" s="2" t="str">
        <f t="shared" si="73"/>
        <v>NÃO</v>
      </c>
      <c r="B362" s="2">
        <v>1000184670</v>
      </c>
      <c r="C362" s="2" t="s">
        <v>147</v>
      </c>
      <c r="D362" s="4">
        <v>1000186197</v>
      </c>
      <c r="E362" s="4" t="s">
        <v>166</v>
      </c>
      <c r="F362" s="2">
        <v>1000198600</v>
      </c>
      <c r="G362" s="2" t="s">
        <v>148</v>
      </c>
      <c r="H362" s="4">
        <v>1000198601</v>
      </c>
      <c r="I362" s="4" t="s">
        <v>149</v>
      </c>
      <c r="J362" s="2">
        <v>1000190600</v>
      </c>
      <c r="K362" s="2" t="s">
        <v>146</v>
      </c>
      <c r="L362" s="4" t="s">
        <v>26</v>
      </c>
      <c r="M362" s="4" t="str">
        <f t="shared" si="80"/>
        <v>1000184670100018619710001986011000190600SOULPRO</v>
      </c>
      <c r="N362" s="28">
        <f>N346*_xlfn.XLOOKUP($L362,'Balizador da Meta'!$B$4:$B$21,'Balizador da Meta'!$C$4:$C$21)</f>
        <v>1440</v>
      </c>
      <c r="O362" s="28">
        <f>O346*_xlfn.XLOOKUP($L362,'Balizador da Meta'!$B$4:$B$21,'Balizador da Meta'!$C$4:$C$21)</f>
        <v>1440</v>
      </c>
      <c r="P362" s="28">
        <f>P346*_xlfn.XLOOKUP($L362,'Balizador da Meta'!$B$4:$B$21,'Balizador da Meta'!$C$4:$C$21)</f>
        <v>1530</v>
      </c>
      <c r="Q362" s="28">
        <f>Q346*_xlfn.XLOOKUP($L362,'Balizador da Meta'!$B$4:$B$21,'Balizador da Meta'!$C$4:$C$21)</f>
        <v>1530</v>
      </c>
      <c r="R362" s="28">
        <f>R346*_xlfn.XLOOKUP($L362,'Balizador da Meta'!$B$4:$B$21,'Balizador da Meta'!$C$4:$C$21)</f>
        <v>1620</v>
      </c>
      <c r="S362" s="28">
        <f>S346*_xlfn.XLOOKUP($L362,'Balizador da Meta'!$B$4:$B$21,'Balizador da Meta'!$C$4:$C$21)</f>
        <v>1710</v>
      </c>
      <c r="T362" s="28">
        <f>T346*_xlfn.XLOOKUP($L362,'Balizador da Meta'!$B$4:$B$21,'Balizador da Meta'!$C$4:$C$21)</f>
        <v>1800</v>
      </c>
      <c r="U362" s="28">
        <f>U346*_xlfn.XLOOKUP($L362,'Balizador da Meta'!$B$4:$B$21,'Balizador da Meta'!$C$4:$C$21)</f>
        <v>1890</v>
      </c>
      <c r="V362" s="28">
        <f>V346*_xlfn.XLOOKUP($L362,'Balizador da Meta'!$B$4:$B$21,'Balizador da Meta'!$C$4:$C$21)</f>
        <v>1980</v>
      </c>
      <c r="W362" s="28">
        <f>W346*_xlfn.XLOOKUP($L362,'Balizador da Meta'!$B$4:$B$21,'Balizador da Meta'!$C$4:$C$21)</f>
        <v>2070</v>
      </c>
      <c r="X362" s="28">
        <f>X346*_xlfn.XLOOKUP($L362,'Balizador da Meta'!$B$4:$B$21,'Balizador da Meta'!$C$4:$C$21)</f>
        <v>2160</v>
      </c>
      <c r="Y362" s="28">
        <f>Y346*_xlfn.XLOOKUP($L362,'Balizador da Meta'!$B$4:$B$21,'Balizador da Meta'!$C$4:$C$21)</f>
        <v>2250</v>
      </c>
      <c r="Z362" s="30">
        <f t="shared" si="86"/>
        <v>21420</v>
      </c>
      <c r="AA362" s="29"/>
      <c r="AB362" s="31">
        <f>SUMIFS('Historico - FAT'!AK:AK,'Historico - FAT'!$K:$K,Faturamento!$L362,'Historico - FAT'!$I:$I,Faturamento!$J362,'Historico - FAT'!$G:$G,Faturamento!$H362)</f>
        <v>0</v>
      </c>
      <c r="AC362" s="31">
        <f>SUMIFS('Historico - FAT'!AL:AL,'Historico - FAT'!$K:$K,Faturamento!$L362,'Historico - FAT'!$I:$I,Faturamento!$J362,'Historico - FAT'!$G:$G,Faturamento!$H362)</f>
        <v>140.9</v>
      </c>
      <c r="AD362" s="31">
        <f>SUMIFS('Historico - FAT'!AM:AM,'Historico - FAT'!$K:$K,Faturamento!$L362,'Historico - FAT'!$I:$I,Faturamento!$J362,'Historico - FAT'!$G:$G,Faturamento!$H362)</f>
        <v>281.8</v>
      </c>
      <c r="AE362" s="27">
        <f>SUMIFS('Historico - FAT'!AN:AN,'Historico - FAT'!$K:$K,Faturamento!$L362,'Historico - FAT'!$I:$I,Faturamento!$J362,'Historico - FAT'!$G:$G,Faturamento!$H362)</f>
        <v>169.07999999999998</v>
      </c>
      <c r="AG362" s="24">
        <f t="shared" si="74"/>
        <v>1</v>
      </c>
      <c r="AH362" s="24">
        <f t="shared" si="75"/>
        <v>0.9347685185185185</v>
      </c>
      <c r="AI362" s="24">
        <f t="shared" si="76"/>
        <v>0.86953703703703711</v>
      </c>
    </row>
    <row r="363" spans="1:35" hidden="1" x14ac:dyDescent="0.3">
      <c r="A363" s="2" t="str">
        <f t="shared" si="73"/>
        <v>NÃO</v>
      </c>
      <c r="B363" s="2">
        <v>1000184670</v>
      </c>
      <c r="C363" s="2" t="s">
        <v>147</v>
      </c>
      <c r="D363" s="4">
        <v>1000186197</v>
      </c>
      <c r="E363" s="4" t="s">
        <v>166</v>
      </c>
      <c r="F363" s="2">
        <v>1000198600</v>
      </c>
      <c r="G363" s="2" t="s">
        <v>148</v>
      </c>
      <c r="H363" s="4">
        <v>1000198601</v>
      </c>
      <c r="I363" s="4" t="s">
        <v>149</v>
      </c>
      <c r="J363" s="2">
        <v>1000190600</v>
      </c>
      <c r="K363" s="2" t="s">
        <v>146</v>
      </c>
      <c r="L363" s="4" t="s">
        <v>27</v>
      </c>
      <c r="M363" s="4" t="str">
        <f t="shared" si="80"/>
        <v>1000184670100018619710001986011000190600TAMARA</v>
      </c>
      <c r="N363" s="28">
        <f>N346*_xlfn.XLOOKUP($L363,'Balizador da Meta'!$B$4:$B$21,'Balizador da Meta'!$C$4:$C$21)</f>
        <v>1920</v>
      </c>
      <c r="O363" s="28">
        <f>O346*_xlfn.XLOOKUP($L363,'Balizador da Meta'!$B$4:$B$21,'Balizador da Meta'!$C$4:$C$21)</f>
        <v>1920</v>
      </c>
      <c r="P363" s="28">
        <f>P346*_xlfn.XLOOKUP($L363,'Balizador da Meta'!$B$4:$B$21,'Balizador da Meta'!$C$4:$C$21)</f>
        <v>2040</v>
      </c>
      <c r="Q363" s="28">
        <f>Q346*_xlfn.XLOOKUP($L363,'Balizador da Meta'!$B$4:$B$21,'Balizador da Meta'!$C$4:$C$21)</f>
        <v>2040</v>
      </c>
      <c r="R363" s="28">
        <f>R346*_xlfn.XLOOKUP($L363,'Balizador da Meta'!$B$4:$B$21,'Balizador da Meta'!$C$4:$C$21)</f>
        <v>2160</v>
      </c>
      <c r="S363" s="28">
        <f>S346*_xlfn.XLOOKUP($L363,'Balizador da Meta'!$B$4:$B$21,'Balizador da Meta'!$C$4:$C$21)</f>
        <v>2280</v>
      </c>
      <c r="T363" s="28">
        <f>T346*_xlfn.XLOOKUP($L363,'Balizador da Meta'!$B$4:$B$21,'Balizador da Meta'!$C$4:$C$21)</f>
        <v>2400</v>
      </c>
      <c r="U363" s="28">
        <f>U346*_xlfn.XLOOKUP($L363,'Balizador da Meta'!$B$4:$B$21,'Balizador da Meta'!$C$4:$C$21)</f>
        <v>2520</v>
      </c>
      <c r="V363" s="28">
        <f>V346*_xlfn.XLOOKUP($L363,'Balizador da Meta'!$B$4:$B$21,'Balizador da Meta'!$C$4:$C$21)</f>
        <v>2640</v>
      </c>
      <c r="W363" s="28">
        <f>W346*_xlfn.XLOOKUP($L363,'Balizador da Meta'!$B$4:$B$21,'Balizador da Meta'!$C$4:$C$21)</f>
        <v>2760</v>
      </c>
      <c r="X363" s="28">
        <f>X346*_xlfn.XLOOKUP($L363,'Balizador da Meta'!$B$4:$B$21,'Balizador da Meta'!$C$4:$C$21)</f>
        <v>2880</v>
      </c>
      <c r="Y363" s="28">
        <f>Y346*_xlfn.XLOOKUP($L363,'Balizador da Meta'!$B$4:$B$21,'Balizador da Meta'!$C$4:$C$21)</f>
        <v>3000</v>
      </c>
      <c r="Z363" s="30">
        <f t="shared" si="86"/>
        <v>28560</v>
      </c>
      <c r="AA363" s="29"/>
      <c r="AB363" s="31">
        <f>SUMIFS('Historico - FAT'!AK:AK,'Historico - FAT'!$K:$K,Faturamento!$L363,'Historico - FAT'!$I:$I,Faturamento!$J363,'Historico - FAT'!$G:$G,Faturamento!$H363)</f>
        <v>0</v>
      </c>
      <c r="AC363" s="31">
        <f>SUMIFS('Historico - FAT'!AL:AL,'Historico - FAT'!$K:$K,Faturamento!$L363,'Historico - FAT'!$I:$I,Faturamento!$J363,'Historico - FAT'!$G:$G,Faturamento!$H363)</f>
        <v>9.3324999999999996</v>
      </c>
      <c r="AD363" s="31">
        <f>SUMIFS('Historico - FAT'!AM:AM,'Historico - FAT'!$K:$K,Faturamento!$L363,'Historico - FAT'!$I:$I,Faturamento!$J363,'Historico - FAT'!$G:$G,Faturamento!$H363)</f>
        <v>18.664999999999999</v>
      </c>
      <c r="AE363" s="27">
        <f>SUMIFS('Historico - FAT'!AN:AN,'Historico - FAT'!$K:$K,Faturamento!$L363,'Historico - FAT'!$I:$I,Faturamento!$J363,'Historico - FAT'!$G:$G,Faturamento!$H363)</f>
        <v>11.199</v>
      </c>
      <c r="AG363" s="24">
        <f t="shared" si="74"/>
        <v>1</v>
      </c>
      <c r="AH363" s="24">
        <f t="shared" si="75"/>
        <v>0.99675954861111116</v>
      </c>
      <c r="AI363" s="24">
        <f t="shared" si="76"/>
        <v>0.9935190972222222</v>
      </c>
    </row>
    <row r="364" spans="1:35" hidden="1" x14ac:dyDescent="0.3">
      <c r="A364" s="2" t="str">
        <f t="shared" si="73"/>
        <v>NÃO</v>
      </c>
      <c r="B364" s="2">
        <v>1000184670</v>
      </c>
      <c r="C364" s="2" t="s">
        <v>147</v>
      </c>
      <c r="D364" s="4">
        <v>1000186197</v>
      </c>
      <c r="E364" s="4" t="s">
        <v>166</v>
      </c>
      <c r="F364" s="2">
        <v>1000198600</v>
      </c>
      <c r="G364" s="2" t="s">
        <v>148</v>
      </c>
      <c r="H364" s="4">
        <v>1000198601</v>
      </c>
      <c r="I364" s="4" t="s">
        <v>149</v>
      </c>
      <c r="J364" s="2">
        <v>1000190600</v>
      </c>
      <c r="K364" s="2" t="s">
        <v>146</v>
      </c>
      <c r="L364" s="4" t="s">
        <v>25</v>
      </c>
      <c r="M364" s="4" t="str">
        <f t="shared" si="80"/>
        <v>1000184670100018619710001986011000190600VICCIO</v>
      </c>
      <c r="N364" s="28">
        <f>N346*_xlfn.XLOOKUP($L364,'Balizador da Meta'!$B$4:$B$21,'Balizador da Meta'!$C$4:$C$21)</f>
        <v>720</v>
      </c>
      <c r="O364" s="28">
        <f>O346*_xlfn.XLOOKUP($L364,'Balizador da Meta'!$B$4:$B$21,'Balizador da Meta'!$C$4:$C$21)</f>
        <v>720</v>
      </c>
      <c r="P364" s="28">
        <f>P346*_xlfn.XLOOKUP($L364,'Balizador da Meta'!$B$4:$B$21,'Balizador da Meta'!$C$4:$C$21)</f>
        <v>765</v>
      </c>
      <c r="Q364" s="28">
        <f>Q346*_xlfn.XLOOKUP($L364,'Balizador da Meta'!$B$4:$B$21,'Balizador da Meta'!$C$4:$C$21)</f>
        <v>765</v>
      </c>
      <c r="R364" s="28">
        <f>R346*_xlfn.XLOOKUP($L364,'Balizador da Meta'!$B$4:$B$21,'Balizador da Meta'!$C$4:$C$21)</f>
        <v>810</v>
      </c>
      <c r="S364" s="28">
        <f>S346*_xlfn.XLOOKUP($L364,'Balizador da Meta'!$B$4:$B$21,'Balizador da Meta'!$C$4:$C$21)</f>
        <v>855</v>
      </c>
      <c r="T364" s="28">
        <f>T346*_xlfn.XLOOKUP($L364,'Balizador da Meta'!$B$4:$B$21,'Balizador da Meta'!$C$4:$C$21)</f>
        <v>900</v>
      </c>
      <c r="U364" s="28">
        <f>U346*_xlfn.XLOOKUP($L364,'Balizador da Meta'!$B$4:$B$21,'Balizador da Meta'!$C$4:$C$21)</f>
        <v>945</v>
      </c>
      <c r="V364" s="28">
        <f>V346*_xlfn.XLOOKUP($L364,'Balizador da Meta'!$B$4:$B$21,'Balizador da Meta'!$C$4:$C$21)</f>
        <v>990</v>
      </c>
      <c r="W364" s="28">
        <f>W346*_xlfn.XLOOKUP($L364,'Balizador da Meta'!$B$4:$B$21,'Balizador da Meta'!$C$4:$C$21)</f>
        <v>1035</v>
      </c>
      <c r="X364" s="28">
        <f>X346*_xlfn.XLOOKUP($L364,'Balizador da Meta'!$B$4:$B$21,'Balizador da Meta'!$C$4:$C$21)</f>
        <v>1080</v>
      </c>
      <c r="Y364" s="28">
        <f>Y346*_xlfn.XLOOKUP($L364,'Balizador da Meta'!$B$4:$B$21,'Balizador da Meta'!$C$4:$C$21)</f>
        <v>1125</v>
      </c>
      <c r="Z364" s="30">
        <f t="shared" si="86"/>
        <v>10710</v>
      </c>
      <c r="AA364" s="29"/>
      <c r="AB364" s="31">
        <f>SUMIFS('Historico - FAT'!AK:AK,'Historico - FAT'!$K:$K,Faturamento!$L364,'Historico - FAT'!$I:$I,Faturamento!$J364,'Historico - FAT'!$G:$G,Faturamento!$H364)</f>
        <v>0</v>
      </c>
      <c r="AC364" s="31">
        <f>SUMIFS('Historico - FAT'!AL:AL,'Historico - FAT'!$K:$K,Faturamento!$L364,'Historico - FAT'!$I:$I,Faturamento!$J364,'Historico - FAT'!$G:$G,Faturamento!$H364)</f>
        <v>46.607499999999995</v>
      </c>
      <c r="AD364" s="31">
        <f>SUMIFS('Historico - FAT'!AM:AM,'Historico - FAT'!$K:$K,Faturamento!$L364,'Historico - FAT'!$I:$I,Faturamento!$J364,'Historico - FAT'!$G:$G,Faturamento!$H364)</f>
        <v>93.214999999999989</v>
      </c>
      <c r="AE364" s="27">
        <f>SUMIFS('Historico - FAT'!AN:AN,'Historico - FAT'!$K:$K,Faturamento!$L364,'Historico - FAT'!$I:$I,Faturamento!$J364,'Historico - FAT'!$G:$G,Faturamento!$H364)</f>
        <v>55.928999999999995</v>
      </c>
      <c r="AG364" s="24">
        <f t="shared" si="74"/>
        <v>1</v>
      </c>
      <c r="AH364" s="24">
        <f t="shared" si="75"/>
        <v>0.95684490740740735</v>
      </c>
      <c r="AI364" s="24">
        <f t="shared" si="76"/>
        <v>0.91368981481481482</v>
      </c>
    </row>
    <row r="365" spans="1:35" x14ac:dyDescent="0.3">
      <c r="A365" s="2" t="str">
        <f t="shared" si="73"/>
        <v>SIM</v>
      </c>
      <c r="B365" s="2">
        <v>1000184670</v>
      </c>
      <c r="C365" s="2" t="s">
        <v>147</v>
      </c>
      <c r="D365" s="4">
        <v>1000186197</v>
      </c>
      <c r="E365" s="4" t="s">
        <v>166</v>
      </c>
      <c r="F365" s="2">
        <v>1000184758</v>
      </c>
      <c r="G365" s="2" t="s">
        <v>55</v>
      </c>
      <c r="H365" s="4">
        <v>1000189764</v>
      </c>
      <c r="I365" s="4" t="s">
        <v>83</v>
      </c>
      <c r="J365" s="2">
        <v>1000189270</v>
      </c>
      <c r="K365" s="2" t="s">
        <v>34</v>
      </c>
      <c r="L365" s="4" t="s">
        <v>124</v>
      </c>
      <c r="M365" s="4" t="str">
        <f t="shared" si="80"/>
        <v>100018467010001861971000189764100018927001. TOTAL</v>
      </c>
      <c r="N365" s="28">
        <f>SUMIFS(Positivação!L:L,Positivação!$I:$I,Faturamento!$J365,Positivação!$G:$G,Faturamento!$H365)*SUMIFS(Positivação!$Z:$Z,Positivação!$I:$I,Faturamento!$J365,Positivação!$G:$G,Faturamento!$H365)</f>
        <v>0</v>
      </c>
      <c r="O365" s="28">
        <f>SUMIFS(Positivação!M:M,Positivação!$I:$I,Faturamento!$J365,Positivação!$G:$G,Faturamento!$H365)*SUMIFS(Positivação!$Z:$Z,Positivação!$I:$I,Faturamento!$J365,Positivação!$G:$G,Faturamento!$H365)</f>
        <v>0</v>
      </c>
      <c r="P365" s="28">
        <f>SUMIFS(Positivação!N:N,Positivação!$I:$I,Faturamento!$J365,Positivação!$G:$G,Faturamento!$H365)*SUMIFS(Positivação!$Z:$Z,Positivação!$I:$I,Faturamento!$J365,Positivação!$G:$G,Faturamento!$H365)</f>
        <v>0</v>
      </c>
      <c r="Q365" s="28">
        <f>SUMIFS(Positivação!O:O,Positivação!$I:$I,Faturamento!$J365,Positivação!$G:$G,Faturamento!$H365)*SUMIFS(Positivação!$Z:$Z,Positivação!$I:$I,Faturamento!$J365,Positivação!$G:$G,Faturamento!$H365)</f>
        <v>0</v>
      </c>
      <c r="R365" s="28">
        <f>SUMIFS(Positivação!P:P,Positivação!$I:$I,Faturamento!$J365,Positivação!$G:$G,Faturamento!$H365)*SUMIFS(Positivação!$Z:$Z,Positivação!$I:$I,Faturamento!$J365,Positivação!$G:$G,Faturamento!$H365)</f>
        <v>0</v>
      </c>
      <c r="S365" s="28">
        <f>SUMIFS(Positivação!Q:Q,Positivação!$I:$I,Faturamento!$J365,Positivação!$G:$G,Faturamento!$H365)*SUMIFS(Positivação!$Z:$Z,Positivação!$I:$I,Faturamento!$J365,Positivação!$G:$G,Faturamento!$H365)</f>
        <v>0</v>
      </c>
      <c r="T365" s="28">
        <f>SUMIFS(Positivação!R:R,Positivação!$I:$I,Faturamento!$J365,Positivação!$G:$G,Faturamento!$H365)*SUMIFS(Positivação!$Z:$Z,Positivação!$I:$I,Faturamento!$J365,Positivação!$G:$G,Faturamento!$H365)</f>
        <v>0</v>
      </c>
      <c r="U365" s="28">
        <f>SUMIFS(Positivação!S:S,Positivação!$I:$I,Faturamento!$J365,Positivação!$G:$G,Faturamento!$H365)*SUMIFS(Positivação!$Z:$Z,Positivação!$I:$I,Faturamento!$J365,Positivação!$G:$G,Faturamento!$H365)</f>
        <v>0</v>
      </c>
      <c r="V365" s="28">
        <f>SUMIFS(Positivação!T:T,Positivação!$I:$I,Faturamento!$J365,Positivação!$G:$G,Faturamento!$H365)*SUMIFS(Positivação!$Z:$Z,Positivação!$I:$I,Faturamento!$J365,Positivação!$G:$G,Faturamento!$H365)</f>
        <v>0</v>
      </c>
      <c r="W365" s="28">
        <f>SUMIFS(Positivação!U:U,Positivação!$I:$I,Faturamento!$J365,Positivação!$G:$G,Faturamento!$H365)*SUMIFS(Positivação!$Z:$Z,Positivação!$I:$I,Faturamento!$J365,Positivação!$G:$G,Faturamento!$H365)</f>
        <v>0</v>
      </c>
      <c r="X365" s="28">
        <f>SUMIFS(Positivação!V:V,Positivação!$I:$I,Faturamento!$J365,Positivação!$G:$G,Faturamento!$H365)*SUMIFS(Positivação!$Z:$Z,Positivação!$I:$I,Faturamento!$J365,Positivação!$G:$G,Faturamento!$H365)</f>
        <v>0</v>
      </c>
      <c r="Y365" s="28">
        <f>SUMIFS(Positivação!W:W,Positivação!$I:$I,Faturamento!$J365,Positivação!$G:$G,Faturamento!$H365)*SUMIFS(Positivação!$Z:$Z,Positivação!$I:$I,Faturamento!$J365,Positivação!$G:$G,Faturamento!$H365)</f>
        <v>0</v>
      </c>
      <c r="Z365" s="28">
        <f t="shared" ref="Z365" si="87">SUM(Z366:Z383)</f>
        <v>0</v>
      </c>
      <c r="AA365" s="29"/>
      <c r="AB365" s="28">
        <f t="shared" ref="AB365:AE365" si="88">SUM(AB366:AB383)</f>
        <v>0</v>
      </c>
      <c r="AC365" s="28">
        <f t="shared" si="88"/>
        <v>0</v>
      </c>
      <c r="AD365" s="28">
        <f t="shared" si="88"/>
        <v>0</v>
      </c>
      <c r="AE365" s="28">
        <f t="shared" si="88"/>
        <v>0</v>
      </c>
      <c r="AG365" s="24" t="str">
        <f t="shared" si="74"/>
        <v/>
      </c>
      <c r="AH365" s="24" t="str">
        <f t="shared" si="75"/>
        <v/>
      </c>
      <c r="AI365" s="24" t="str">
        <f t="shared" si="76"/>
        <v/>
      </c>
    </row>
    <row r="366" spans="1:35" hidden="1" x14ac:dyDescent="0.3">
      <c r="A366" s="2" t="str">
        <f t="shared" si="73"/>
        <v>NÃO</v>
      </c>
      <c r="B366" s="2">
        <v>1000184670</v>
      </c>
      <c r="C366" s="2" t="s">
        <v>147</v>
      </c>
      <c r="D366" s="4">
        <v>1000186197</v>
      </c>
      <c r="E366" s="4" t="s">
        <v>166</v>
      </c>
      <c r="F366" s="2">
        <v>1000184758</v>
      </c>
      <c r="G366" s="2" t="s">
        <v>55</v>
      </c>
      <c r="H366" s="4">
        <v>1000189764</v>
      </c>
      <c r="I366" s="4" t="s">
        <v>83</v>
      </c>
      <c r="J366" s="2">
        <v>1000189270</v>
      </c>
      <c r="K366" s="2" t="s">
        <v>34</v>
      </c>
      <c r="L366" s="4" t="s">
        <v>13</v>
      </c>
      <c r="M366" s="4" t="str">
        <f t="shared" si="80"/>
        <v>1000184670100018619710001897641000189270BISCOITO</v>
      </c>
      <c r="N366" s="28">
        <f>N365*_xlfn.XLOOKUP($L366,'Balizador da Meta'!$B$4:$B$21,'Balizador da Meta'!$C$4:$C$21)</f>
        <v>0</v>
      </c>
      <c r="O366" s="28">
        <f>O365*_xlfn.XLOOKUP($L366,'Balizador da Meta'!$B$4:$B$21,'Balizador da Meta'!$C$4:$C$21)</f>
        <v>0</v>
      </c>
      <c r="P366" s="28">
        <f>P365*_xlfn.XLOOKUP($L366,'Balizador da Meta'!$B$4:$B$21,'Balizador da Meta'!$C$4:$C$21)</f>
        <v>0</v>
      </c>
      <c r="Q366" s="28">
        <f>Q365*_xlfn.XLOOKUP($L366,'Balizador da Meta'!$B$4:$B$21,'Balizador da Meta'!$C$4:$C$21)</f>
        <v>0</v>
      </c>
      <c r="R366" s="28">
        <f>R365*_xlfn.XLOOKUP($L366,'Balizador da Meta'!$B$4:$B$21,'Balizador da Meta'!$C$4:$C$21)</f>
        <v>0</v>
      </c>
      <c r="S366" s="28">
        <f>S365*_xlfn.XLOOKUP($L366,'Balizador da Meta'!$B$4:$B$21,'Balizador da Meta'!$C$4:$C$21)</f>
        <v>0</v>
      </c>
      <c r="T366" s="28">
        <f>T365*_xlfn.XLOOKUP($L366,'Balizador da Meta'!$B$4:$B$21,'Balizador da Meta'!$C$4:$C$21)</f>
        <v>0</v>
      </c>
      <c r="U366" s="28">
        <f>U365*_xlfn.XLOOKUP($L366,'Balizador da Meta'!$B$4:$B$21,'Balizador da Meta'!$C$4:$C$21)</f>
        <v>0</v>
      </c>
      <c r="V366" s="28">
        <f>V365*_xlfn.XLOOKUP($L366,'Balizador da Meta'!$B$4:$B$21,'Balizador da Meta'!$C$4:$C$21)</f>
        <v>0</v>
      </c>
      <c r="W366" s="28">
        <f>W365*_xlfn.XLOOKUP($L366,'Balizador da Meta'!$B$4:$B$21,'Balizador da Meta'!$C$4:$C$21)</f>
        <v>0</v>
      </c>
      <c r="X366" s="28">
        <f>X365*_xlfn.XLOOKUP($L366,'Balizador da Meta'!$B$4:$B$21,'Balizador da Meta'!$C$4:$C$21)</f>
        <v>0</v>
      </c>
      <c r="Y366" s="28">
        <f>Y365*_xlfn.XLOOKUP($L366,'Balizador da Meta'!$B$4:$B$21,'Balizador da Meta'!$C$4:$C$21)</f>
        <v>0</v>
      </c>
      <c r="Z366" s="30">
        <f t="shared" ref="Z366:Z383" si="89">SUM(N366:Y366)</f>
        <v>0</v>
      </c>
      <c r="AA366" s="29"/>
      <c r="AB366" s="31">
        <f>SUMIFS('Historico - FAT'!AK:AK,'Historico - FAT'!$K:$K,Faturamento!$L366,'Historico - FAT'!$I:$I,Faturamento!$J366,'Historico - FAT'!$G:$G,Faturamento!$H366)</f>
        <v>0</v>
      </c>
      <c r="AC366" s="31">
        <f>SUMIFS('Historico - FAT'!AL:AL,'Historico - FAT'!$K:$K,Faturamento!$L366,'Historico - FAT'!$I:$I,Faturamento!$J366,'Historico - FAT'!$G:$G,Faturamento!$H366)</f>
        <v>0</v>
      </c>
      <c r="AD366" s="31">
        <f>SUMIFS('Historico - FAT'!AM:AM,'Historico - FAT'!$K:$K,Faturamento!$L366,'Historico - FAT'!$I:$I,Faturamento!$J366,'Historico - FAT'!$G:$G,Faturamento!$H366)</f>
        <v>0</v>
      </c>
      <c r="AE366" s="27">
        <f>SUMIFS('Historico - FAT'!AN:AN,'Historico - FAT'!$K:$K,Faturamento!$L366,'Historico - FAT'!$I:$I,Faturamento!$J366,'Historico - FAT'!$G:$G,Faturamento!$H366)</f>
        <v>0</v>
      </c>
      <c r="AG366" s="24" t="str">
        <f t="shared" si="74"/>
        <v/>
      </c>
      <c r="AH366" s="24" t="str">
        <f t="shared" si="75"/>
        <v/>
      </c>
      <c r="AI366" s="24" t="str">
        <f t="shared" si="76"/>
        <v/>
      </c>
    </row>
    <row r="367" spans="1:35" hidden="1" x14ac:dyDescent="0.3">
      <c r="A367" s="2" t="str">
        <f t="shared" si="73"/>
        <v>NÃO</v>
      </c>
      <c r="B367" s="2">
        <v>1000184670</v>
      </c>
      <c r="C367" s="2" t="s">
        <v>147</v>
      </c>
      <c r="D367" s="4">
        <v>1000186197</v>
      </c>
      <c r="E367" s="4" t="s">
        <v>166</v>
      </c>
      <c r="F367" s="2">
        <v>1000184758</v>
      </c>
      <c r="G367" s="2" t="s">
        <v>55</v>
      </c>
      <c r="H367" s="4">
        <v>1000189764</v>
      </c>
      <c r="I367" s="4" t="s">
        <v>83</v>
      </c>
      <c r="J367" s="2">
        <v>1000189270</v>
      </c>
      <c r="K367" s="2" t="s">
        <v>34</v>
      </c>
      <c r="L367" s="4" t="s">
        <v>14</v>
      </c>
      <c r="M367" s="4" t="str">
        <f t="shared" si="80"/>
        <v>1000184670100018619710001897641000189270CHOCOLATES</v>
      </c>
      <c r="N367" s="28">
        <f>N365*_xlfn.XLOOKUP($L367,'Balizador da Meta'!$B$4:$B$21,'Balizador da Meta'!$C$4:$C$21)</f>
        <v>0</v>
      </c>
      <c r="O367" s="28">
        <f>O365*_xlfn.XLOOKUP($L367,'Balizador da Meta'!$B$4:$B$21,'Balizador da Meta'!$C$4:$C$21)</f>
        <v>0</v>
      </c>
      <c r="P367" s="28">
        <f>P365*_xlfn.XLOOKUP($L367,'Balizador da Meta'!$B$4:$B$21,'Balizador da Meta'!$C$4:$C$21)</f>
        <v>0</v>
      </c>
      <c r="Q367" s="28">
        <f>Q365*_xlfn.XLOOKUP($L367,'Balizador da Meta'!$B$4:$B$21,'Balizador da Meta'!$C$4:$C$21)</f>
        <v>0</v>
      </c>
      <c r="R367" s="28">
        <f>R365*_xlfn.XLOOKUP($L367,'Balizador da Meta'!$B$4:$B$21,'Balizador da Meta'!$C$4:$C$21)</f>
        <v>0</v>
      </c>
      <c r="S367" s="28">
        <f>S365*_xlfn.XLOOKUP($L367,'Balizador da Meta'!$B$4:$B$21,'Balizador da Meta'!$C$4:$C$21)</f>
        <v>0</v>
      </c>
      <c r="T367" s="28">
        <f>T365*_xlfn.XLOOKUP($L367,'Balizador da Meta'!$B$4:$B$21,'Balizador da Meta'!$C$4:$C$21)</f>
        <v>0</v>
      </c>
      <c r="U367" s="28">
        <f>U365*_xlfn.XLOOKUP($L367,'Balizador da Meta'!$B$4:$B$21,'Balizador da Meta'!$C$4:$C$21)</f>
        <v>0</v>
      </c>
      <c r="V367" s="28">
        <f>V365*_xlfn.XLOOKUP($L367,'Balizador da Meta'!$B$4:$B$21,'Balizador da Meta'!$C$4:$C$21)</f>
        <v>0</v>
      </c>
      <c r="W367" s="28">
        <f>W365*_xlfn.XLOOKUP($L367,'Balizador da Meta'!$B$4:$B$21,'Balizador da Meta'!$C$4:$C$21)</f>
        <v>0</v>
      </c>
      <c r="X367" s="28">
        <f>X365*_xlfn.XLOOKUP($L367,'Balizador da Meta'!$B$4:$B$21,'Balizador da Meta'!$C$4:$C$21)</f>
        <v>0</v>
      </c>
      <c r="Y367" s="28">
        <f>Y365*_xlfn.XLOOKUP($L367,'Balizador da Meta'!$B$4:$B$21,'Balizador da Meta'!$C$4:$C$21)</f>
        <v>0</v>
      </c>
      <c r="Z367" s="30">
        <f t="shared" si="89"/>
        <v>0</v>
      </c>
      <c r="AA367" s="29"/>
      <c r="AB367" s="31">
        <f>SUMIFS('Historico - FAT'!AK:AK,'Historico - FAT'!$K:$K,Faturamento!$L367,'Historico - FAT'!$I:$I,Faturamento!$J367,'Historico - FAT'!$G:$G,Faturamento!$H367)</f>
        <v>0</v>
      </c>
      <c r="AC367" s="31">
        <f>SUMIFS('Historico - FAT'!AL:AL,'Historico - FAT'!$K:$K,Faturamento!$L367,'Historico - FAT'!$I:$I,Faturamento!$J367,'Historico - FAT'!$G:$G,Faturamento!$H367)</f>
        <v>0</v>
      </c>
      <c r="AD367" s="31">
        <f>SUMIFS('Historico - FAT'!AM:AM,'Historico - FAT'!$K:$K,Faturamento!$L367,'Historico - FAT'!$I:$I,Faturamento!$J367,'Historico - FAT'!$G:$G,Faturamento!$H367)</f>
        <v>0</v>
      </c>
      <c r="AE367" s="27">
        <f>SUMIFS('Historico - FAT'!AN:AN,'Historico - FAT'!$K:$K,Faturamento!$L367,'Historico - FAT'!$I:$I,Faturamento!$J367,'Historico - FAT'!$G:$G,Faturamento!$H367)</f>
        <v>0</v>
      </c>
      <c r="AG367" s="24" t="str">
        <f t="shared" si="74"/>
        <v/>
      </c>
      <c r="AH367" s="24" t="str">
        <f t="shared" si="75"/>
        <v/>
      </c>
      <c r="AI367" s="24" t="str">
        <f t="shared" si="76"/>
        <v/>
      </c>
    </row>
    <row r="368" spans="1:35" hidden="1" x14ac:dyDescent="0.3">
      <c r="A368" s="2" t="str">
        <f t="shared" si="73"/>
        <v>NÃO</v>
      </c>
      <c r="B368" s="2">
        <v>1000184670</v>
      </c>
      <c r="C368" s="2" t="s">
        <v>147</v>
      </c>
      <c r="D368" s="4">
        <v>1000186197</v>
      </c>
      <c r="E368" s="4" t="s">
        <v>166</v>
      </c>
      <c r="F368" s="2">
        <v>1000184758</v>
      </c>
      <c r="G368" s="2" t="s">
        <v>55</v>
      </c>
      <c r="H368" s="4">
        <v>1000189764</v>
      </c>
      <c r="I368" s="4" t="s">
        <v>83</v>
      </c>
      <c r="J368" s="2">
        <v>1000189270</v>
      </c>
      <c r="K368" s="2" t="s">
        <v>34</v>
      </c>
      <c r="L368" s="4" t="s">
        <v>16</v>
      </c>
      <c r="M368" s="4" t="str">
        <f t="shared" si="80"/>
        <v>1000184670100018619710001897641000189270DISNEY</v>
      </c>
      <c r="N368" s="28">
        <f>N365*_xlfn.XLOOKUP($L368,'Balizador da Meta'!$B$4:$B$21,'Balizador da Meta'!$C$4:$C$21)</f>
        <v>0</v>
      </c>
      <c r="O368" s="28">
        <f>O365*_xlfn.XLOOKUP($L368,'Balizador da Meta'!$B$4:$B$21,'Balizador da Meta'!$C$4:$C$21)</f>
        <v>0</v>
      </c>
      <c r="P368" s="28">
        <f>P365*_xlfn.XLOOKUP($L368,'Balizador da Meta'!$B$4:$B$21,'Balizador da Meta'!$C$4:$C$21)</f>
        <v>0</v>
      </c>
      <c r="Q368" s="28">
        <f>Q365*_xlfn.XLOOKUP($L368,'Balizador da Meta'!$B$4:$B$21,'Balizador da Meta'!$C$4:$C$21)</f>
        <v>0</v>
      </c>
      <c r="R368" s="28">
        <f>R365*_xlfn.XLOOKUP($L368,'Balizador da Meta'!$B$4:$B$21,'Balizador da Meta'!$C$4:$C$21)</f>
        <v>0</v>
      </c>
      <c r="S368" s="28">
        <f>S365*_xlfn.XLOOKUP($L368,'Balizador da Meta'!$B$4:$B$21,'Balizador da Meta'!$C$4:$C$21)</f>
        <v>0</v>
      </c>
      <c r="T368" s="28">
        <f>T365*_xlfn.XLOOKUP($L368,'Balizador da Meta'!$B$4:$B$21,'Balizador da Meta'!$C$4:$C$21)</f>
        <v>0</v>
      </c>
      <c r="U368" s="28">
        <f>U365*_xlfn.XLOOKUP($L368,'Balizador da Meta'!$B$4:$B$21,'Balizador da Meta'!$C$4:$C$21)</f>
        <v>0</v>
      </c>
      <c r="V368" s="28">
        <f>V365*_xlfn.XLOOKUP($L368,'Balizador da Meta'!$B$4:$B$21,'Balizador da Meta'!$C$4:$C$21)</f>
        <v>0</v>
      </c>
      <c r="W368" s="28">
        <f>W365*_xlfn.XLOOKUP($L368,'Balizador da Meta'!$B$4:$B$21,'Balizador da Meta'!$C$4:$C$21)</f>
        <v>0</v>
      </c>
      <c r="X368" s="28">
        <f>X365*_xlfn.XLOOKUP($L368,'Balizador da Meta'!$B$4:$B$21,'Balizador da Meta'!$C$4:$C$21)</f>
        <v>0</v>
      </c>
      <c r="Y368" s="28">
        <f>Y365*_xlfn.XLOOKUP($L368,'Balizador da Meta'!$B$4:$B$21,'Balizador da Meta'!$C$4:$C$21)</f>
        <v>0</v>
      </c>
      <c r="Z368" s="30">
        <f t="shared" si="89"/>
        <v>0</v>
      </c>
      <c r="AA368" s="29"/>
      <c r="AB368" s="31">
        <f>SUMIFS('Historico - FAT'!AK:AK,'Historico - FAT'!$K:$K,Faturamento!$L368,'Historico - FAT'!$I:$I,Faturamento!$J368,'Historico - FAT'!$G:$G,Faturamento!$H368)</f>
        <v>0</v>
      </c>
      <c r="AC368" s="31">
        <f>SUMIFS('Historico - FAT'!AL:AL,'Historico - FAT'!$K:$K,Faturamento!$L368,'Historico - FAT'!$I:$I,Faturamento!$J368,'Historico - FAT'!$G:$G,Faturamento!$H368)</f>
        <v>0</v>
      </c>
      <c r="AD368" s="31">
        <f>SUMIFS('Historico - FAT'!AM:AM,'Historico - FAT'!$K:$K,Faturamento!$L368,'Historico - FAT'!$I:$I,Faturamento!$J368,'Historico - FAT'!$G:$G,Faturamento!$H368)</f>
        <v>0</v>
      </c>
      <c r="AE368" s="27">
        <f>SUMIFS('Historico - FAT'!AN:AN,'Historico - FAT'!$K:$K,Faturamento!$L368,'Historico - FAT'!$I:$I,Faturamento!$J368,'Historico - FAT'!$G:$G,Faturamento!$H368)</f>
        <v>0</v>
      </c>
      <c r="AG368" s="24" t="str">
        <f t="shared" si="74"/>
        <v/>
      </c>
      <c r="AH368" s="24" t="str">
        <f t="shared" si="75"/>
        <v/>
      </c>
      <c r="AI368" s="24" t="str">
        <f t="shared" si="76"/>
        <v/>
      </c>
    </row>
    <row r="369" spans="1:35" hidden="1" x14ac:dyDescent="0.3">
      <c r="A369" s="2" t="str">
        <f t="shared" si="73"/>
        <v>NÃO</v>
      </c>
      <c r="B369" s="2">
        <v>1000184670</v>
      </c>
      <c r="C369" s="2" t="s">
        <v>147</v>
      </c>
      <c r="D369" s="4">
        <v>1000186197</v>
      </c>
      <c r="E369" s="4" t="s">
        <v>166</v>
      </c>
      <c r="F369" s="2">
        <v>1000184758</v>
      </c>
      <c r="G369" s="2" t="s">
        <v>55</v>
      </c>
      <c r="H369" s="4">
        <v>1000189764</v>
      </c>
      <c r="I369" s="4" t="s">
        <v>83</v>
      </c>
      <c r="J369" s="2">
        <v>1000189270</v>
      </c>
      <c r="K369" s="2" t="s">
        <v>34</v>
      </c>
      <c r="L369" s="4" t="s">
        <v>15</v>
      </c>
      <c r="M369" s="4" t="str">
        <f t="shared" si="80"/>
        <v>1000184670100018619710001897641000189270DOCES</v>
      </c>
      <c r="N369" s="28">
        <f>N365*_xlfn.XLOOKUP($L369,'Balizador da Meta'!$B$4:$B$21,'Balizador da Meta'!$C$4:$C$21)</f>
        <v>0</v>
      </c>
      <c r="O369" s="28">
        <f>O365*_xlfn.XLOOKUP($L369,'Balizador da Meta'!$B$4:$B$21,'Balizador da Meta'!$C$4:$C$21)</f>
        <v>0</v>
      </c>
      <c r="P369" s="28">
        <f>P365*_xlfn.XLOOKUP($L369,'Balizador da Meta'!$B$4:$B$21,'Balizador da Meta'!$C$4:$C$21)</f>
        <v>0</v>
      </c>
      <c r="Q369" s="28">
        <f>Q365*_xlfn.XLOOKUP($L369,'Balizador da Meta'!$B$4:$B$21,'Balizador da Meta'!$C$4:$C$21)</f>
        <v>0</v>
      </c>
      <c r="R369" s="28">
        <f>R365*_xlfn.XLOOKUP($L369,'Balizador da Meta'!$B$4:$B$21,'Balizador da Meta'!$C$4:$C$21)</f>
        <v>0</v>
      </c>
      <c r="S369" s="28">
        <f>S365*_xlfn.XLOOKUP($L369,'Balizador da Meta'!$B$4:$B$21,'Balizador da Meta'!$C$4:$C$21)</f>
        <v>0</v>
      </c>
      <c r="T369" s="28">
        <f>T365*_xlfn.XLOOKUP($L369,'Balizador da Meta'!$B$4:$B$21,'Balizador da Meta'!$C$4:$C$21)</f>
        <v>0</v>
      </c>
      <c r="U369" s="28">
        <f>U365*_xlfn.XLOOKUP($L369,'Balizador da Meta'!$B$4:$B$21,'Balizador da Meta'!$C$4:$C$21)</f>
        <v>0</v>
      </c>
      <c r="V369" s="28">
        <f>V365*_xlfn.XLOOKUP($L369,'Balizador da Meta'!$B$4:$B$21,'Balizador da Meta'!$C$4:$C$21)</f>
        <v>0</v>
      </c>
      <c r="W369" s="28">
        <f>W365*_xlfn.XLOOKUP($L369,'Balizador da Meta'!$B$4:$B$21,'Balizador da Meta'!$C$4:$C$21)</f>
        <v>0</v>
      </c>
      <c r="X369" s="28">
        <f>X365*_xlfn.XLOOKUP($L369,'Balizador da Meta'!$B$4:$B$21,'Balizador da Meta'!$C$4:$C$21)</f>
        <v>0</v>
      </c>
      <c r="Y369" s="28">
        <f>Y365*_xlfn.XLOOKUP($L369,'Balizador da Meta'!$B$4:$B$21,'Balizador da Meta'!$C$4:$C$21)</f>
        <v>0</v>
      </c>
      <c r="Z369" s="30">
        <f t="shared" si="89"/>
        <v>0</v>
      </c>
      <c r="AA369" s="29"/>
      <c r="AB369" s="31">
        <f>SUMIFS('Historico - FAT'!AK:AK,'Historico - FAT'!$K:$K,Faturamento!$L369,'Historico - FAT'!$I:$I,Faturamento!$J369,'Historico - FAT'!$G:$G,Faturamento!$H369)</f>
        <v>0</v>
      </c>
      <c r="AC369" s="31">
        <f>SUMIFS('Historico - FAT'!AL:AL,'Historico - FAT'!$K:$K,Faturamento!$L369,'Historico - FAT'!$I:$I,Faturamento!$J369,'Historico - FAT'!$G:$G,Faturamento!$H369)</f>
        <v>0</v>
      </c>
      <c r="AD369" s="31">
        <f>SUMIFS('Historico - FAT'!AM:AM,'Historico - FAT'!$K:$K,Faturamento!$L369,'Historico - FAT'!$I:$I,Faturamento!$J369,'Historico - FAT'!$G:$G,Faturamento!$H369)</f>
        <v>0</v>
      </c>
      <c r="AE369" s="27">
        <f>SUMIFS('Historico - FAT'!AN:AN,'Historico - FAT'!$K:$K,Faturamento!$L369,'Historico - FAT'!$I:$I,Faturamento!$J369,'Historico - FAT'!$G:$G,Faturamento!$H369)</f>
        <v>0</v>
      </c>
      <c r="AG369" s="24" t="str">
        <f t="shared" si="74"/>
        <v/>
      </c>
      <c r="AH369" s="24" t="str">
        <f t="shared" si="75"/>
        <v/>
      </c>
      <c r="AI369" s="24" t="str">
        <f t="shared" si="76"/>
        <v/>
      </c>
    </row>
    <row r="370" spans="1:35" hidden="1" x14ac:dyDescent="0.3">
      <c r="A370" s="2" t="str">
        <f t="shared" ref="A370:A433" si="90">IF(OR(H370&lt;&gt;H369,J370&lt;&gt;J369),"SIM","NÃO")</f>
        <v>NÃO</v>
      </c>
      <c r="B370" s="2">
        <v>1000184670</v>
      </c>
      <c r="C370" s="2" t="s">
        <v>147</v>
      </c>
      <c r="D370" s="4">
        <v>1000186197</v>
      </c>
      <c r="E370" s="4" t="s">
        <v>166</v>
      </c>
      <c r="F370" s="2">
        <v>1000184758</v>
      </c>
      <c r="G370" s="2" t="s">
        <v>55</v>
      </c>
      <c r="H370" s="4">
        <v>1000189764</v>
      </c>
      <c r="I370" s="4" t="s">
        <v>83</v>
      </c>
      <c r="J370" s="2">
        <v>1000189270</v>
      </c>
      <c r="K370" s="2" t="s">
        <v>34</v>
      </c>
      <c r="L370" s="4" t="s">
        <v>33</v>
      </c>
      <c r="M370" s="4" t="str">
        <f t="shared" si="80"/>
        <v>1000184670100018619710001897641000189270FOOD SERVICE</v>
      </c>
      <c r="N370" s="28">
        <f>N365*_xlfn.XLOOKUP($L370,'Balizador da Meta'!$B$4:$B$21,'Balizador da Meta'!$C$4:$C$21)</f>
        <v>0</v>
      </c>
      <c r="O370" s="28">
        <f>O365*_xlfn.XLOOKUP($L370,'Balizador da Meta'!$B$4:$B$21,'Balizador da Meta'!$C$4:$C$21)</f>
        <v>0</v>
      </c>
      <c r="P370" s="28">
        <f>P365*_xlfn.XLOOKUP($L370,'Balizador da Meta'!$B$4:$B$21,'Balizador da Meta'!$C$4:$C$21)</f>
        <v>0</v>
      </c>
      <c r="Q370" s="28">
        <f>Q365*_xlfn.XLOOKUP($L370,'Balizador da Meta'!$B$4:$B$21,'Balizador da Meta'!$C$4:$C$21)</f>
        <v>0</v>
      </c>
      <c r="R370" s="28">
        <f>R365*_xlfn.XLOOKUP($L370,'Balizador da Meta'!$B$4:$B$21,'Balizador da Meta'!$C$4:$C$21)</f>
        <v>0</v>
      </c>
      <c r="S370" s="28">
        <f>S365*_xlfn.XLOOKUP($L370,'Balizador da Meta'!$B$4:$B$21,'Balizador da Meta'!$C$4:$C$21)</f>
        <v>0</v>
      </c>
      <c r="T370" s="28">
        <f>T365*_xlfn.XLOOKUP($L370,'Balizador da Meta'!$B$4:$B$21,'Balizador da Meta'!$C$4:$C$21)</f>
        <v>0</v>
      </c>
      <c r="U370" s="28">
        <f>U365*_xlfn.XLOOKUP($L370,'Balizador da Meta'!$B$4:$B$21,'Balizador da Meta'!$C$4:$C$21)</f>
        <v>0</v>
      </c>
      <c r="V370" s="28">
        <f>V365*_xlfn.XLOOKUP($L370,'Balizador da Meta'!$B$4:$B$21,'Balizador da Meta'!$C$4:$C$21)</f>
        <v>0</v>
      </c>
      <c r="W370" s="28">
        <f>W365*_xlfn.XLOOKUP($L370,'Balizador da Meta'!$B$4:$B$21,'Balizador da Meta'!$C$4:$C$21)</f>
        <v>0</v>
      </c>
      <c r="X370" s="28">
        <f>X365*_xlfn.XLOOKUP($L370,'Balizador da Meta'!$B$4:$B$21,'Balizador da Meta'!$C$4:$C$21)</f>
        <v>0</v>
      </c>
      <c r="Y370" s="28">
        <f>Y365*_xlfn.XLOOKUP($L370,'Balizador da Meta'!$B$4:$B$21,'Balizador da Meta'!$C$4:$C$21)</f>
        <v>0</v>
      </c>
      <c r="Z370" s="30">
        <f t="shared" si="89"/>
        <v>0</v>
      </c>
      <c r="AA370" s="29"/>
      <c r="AB370" s="31">
        <f>SUMIFS('Historico - FAT'!AK:AK,'Historico - FAT'!$K:$K,Faturamento!$L370,'Historico - FAT'!$I:$I,Faturamento!$J370,'Historico - FAT'!$G:$G,Faturamento!$H370)</f>
        <v>0</v>
      </c>
      <c r="AC370" s="31">
        <f>SUMIFS('Historico - FAT'!AL:AL,'Historico - FAT'!$K:$K,Faturamento!$L370,'Historico - FAT'!$I:$I,Faturamento!$J370,'Historico - FAT'!$G:$G,Faturamento!$H370)</f>
        <v>0</v>
      </c>
      <c r="AD370" s="31">
        <f>SUMIFS('Historico - FAT'!AM:AM,'Historico - FAT'!$K:$K,Faturamento!$L370,'Historico - FAT'!$I:$I,Faturamento!$J370,'Historico - FAT'!$G:$G,Faturamento!$H370)</f>
        <v>0</v>
      </c>
      <c r="AE370" s="27">
        <f>SUMIFS('Historico - FAT'!AN:AN,'Historico - FAT'!$K:$K,Faturamento!$L370,'Historico - FAT'!$I:$I,Faturamento!$J370,'Historico - FAT'!$G:$G,Faturamento!$H370)</f>
        <v>0</v>
      </c>
      <c r="AG370" s="24" t="str">
        <f t="shared" ref="AG370:AG433" si="91">IFERROR((AVERAGE(W370:Y370)-AB370)/AVERAGE(W370:Y370),"")</f>
        <v/>
      </c>
      <c r="AH370" s="24" t="str">
        <f t="shared" ref="AH370:AH433" si="92">IFERROR((AVERAGE(W370:Y370)-AC370)/AVERAGE(W370:Y370),"")</f>
        <v/>
      </c>
      <c r="AI370" s="24" t="str">
        <f t="shared" ref="AI370:AI433" si="93">IFERROR((AVERAGE(W370:Y370)-AD370)/AVERAGE(W370:Y370),"")</f>
        <v/>
      </c>
    </row>
    <row r="371" spans="1:35" hidden="1" x14ac:dyDescent="0.3">
      <c r="A371" s="2" t="str">
        <f t="shared" si="90"/>
        <v>NÃO</v>
      </c>
      <c r="B371" s="2">
        <v>1000184670</v>
      </c>
      <c r="C371" s="2" t="s">
        <v>147</v>
      </c>
      <c r="D371" s="4">
        <v>1000186197</v>
      </c>
      <c r="E371" s="4" t="s">
        <v>166</v>
      </c>
      <c r="F371" s="2">
        <v>1000184758</v>
      </c>
      <c r="G371" s="2" t="s">
        <v>55</v>
      </c>
      <c r="H371" s="4">
        <v>1000189764</v>
      </c>
      <c r="I371" s="4" t="s">
        <v>83</v>
      </c>
      <c r="J371" s="2">
        <v>1000189270</v>
      </c>
      <c r="K371" s="2" t="s">
        <v>34</v>
      </c>
      <c r="L371" s="4" t="s">
        <v>19</v>
      </c>
      <c r="M371" s="4" t="str">
        <f t="shared" si="80"/>
        <v>1000184670100018619710001897641000189270GELEIA</v>
      </c>
      <c r="N371" s="28">
        <f>N365*_xlfn.XLOOKUP($L371,'Balizador da Meta'!$B$4:$B$21,'Balizador da Meta'!$C$4:$C$21)</f>
        <v>0</v>
      </c>
      <c r="O371" s="28">
        <f>O365*_xlfn.XLOOKUP($L371,'Balizador da Meta'!$B$4:$B$21,'Balizador da Meta'!$C$4:$C$21)</f>
        <v>0</v>
      </c>
      <c r="P371" s="28">
        <f>P365*_xlfn.XLOOKUP($L371,'Balizador da Meta'!$B$4:$B$21,'Balizador da Meta'!$C$4:$C$21)</f>
        <v>0</v>
      </c>
      <c r="Q371" s="28">
        <f>Q365*_xlfn.XLOOKUP($L371,'Balizador da Meta'!$B$4:$B$21,'Balizador da Meta'!$C$4:$C$21)</f>
        <v>0</v>
      </c>
      <c r="R371" s="28">
        <f>R365*_xlfn.XLOOKUP($L371,'Balizador da Meta'!$B$4:$B$21,'Balizador da Meta'!$C$4:$C$21)</f>
        <v>0</v>
      </c>
      <c r="S371" s="28">
        <f>S365*_xlfn.XLOOKUP($L371,'Balizador da Meta'!$B$4:$B$21,'Balizador da Meta'!$C$4:$C$21)</f>
        <v>0</v>
      </c>
      <c r="T371" s="28">
        <f>T365*_xlfn.XLOOKUP($L371,'Balizador da Meta'!$B$4:$B$21,'Balizador da Meta'!$C$4:$C$21)</f>
        <v>0</v>
      </c>
      <c r="U371" s="28">
        <f>U365*_xlfn.XLOOKUP($L371,'Balizador da Meta'!$B$4:$B$21,'Balizador da Meta'!$C$4:$C$21)</f>
        <v>0</v>
      </c>
      <c r="V371" s="28">
        <f>V365*_xlfn.XLOOKUP($L371,'Balizador da Meta'!$B$4:$B$21,'Balizador da Meta'!$C$4:$C$21)</f>
        <v>0</v>
      </c>
      <c r="W371" s="28">
        <f>W365*_xlfn.XLOOKUP($L371,'Balizador da Meta'!$B$4:$B$21,'Balizador da Meta'!$C$4:$C$21)</f>
        <v>0</v>
      </c>
      <c r="X371" s="28">
        <f>X365*_xlfn.XLOOKUP($L371,'Balizador da Meta'!$B$4:$B$21,'Balizador da Meta'!$C$4:$C$21)</f>
        <v>0</v>
      </c>
      <c r="Y371" s="28">
        <f>Y365*_xlfn.XLOOKUP($L371,'Balizador da Meta'!$B$4:$B$21,'Balizador da Meta'!$C$4:$C$21)</f>
        <v>0</v>
      </c>
      <c r="Z371" s="30">
        <f t="shared" si="89"/>
        <v>0</v>
      </c>
      <c r="AA371" s="29"/>
      <c r="AB371" s="31">
        <f>SUMIFS('Historico - FAT'!AK:AK,'Historico - FAT'!$K:$K,Faturamento!$L371,'Historico - FAT'!$I:$I,Faturamento!$J371,'Historico - FAT'!$G:$G,Faturamento!$H371)</f>
        <v>0</v>
      </c>
      <c r="AC371" s="31">
        <f>SUMIFS('Historico - FAT'!AL:AL,'Historico - FAT'!$K:$K,Faturamento!$L371,'Historico - FAT'!$I:$I,Faturamento!$J371,'Historico - FAT'!$G:$G,Faturamento!$H371)</f>
        <v>0</v>
      </c>
      <c r="AD371" s="31">
        <f>SUMIFS('Historico - FAT'!AM:AM,'Historico - FAT'!$K:$K,Faturamento!$L371,'Historico - FAT'!$I:$I,Faturamento!$J371,'Historico - FAT'!$G:$G,Faturamento!$H371)</f>
        <v>0</v>
      </c>
      <c r="AE371" s="27">
        <f>SUMIFS('Historico - FAT'!AN:AN,'Historico - FAT'!$K:$K,Faturamento!$L371,'Historico - FAT'!$I:$I,Faturamento!$J371,'Historico - FAT'!$G:$G,Faturamento!$H371)</f>
        <v>0</v>
      </c>
      <c r="AG371" s="24" t="str">
        <f t="shared" si="91"/>
        <v/>
      </c>
      <c r="AH371" s="24" t="str">
        <f t="shared" si="92"/>
        <v/>
      </c>
      <c r="AI371" s="24" t="str">
        <f t="shared" si="93"/>
        <v/>
      </c>
    </row>
    <row r="372" spans="1:35" hidden="1" x14ac:dyDescent="0.3">
      <c r="A372" s="2" t="str">
        <f t="shared" si="90"/>
        <v>NÃO</v>
      </c>
      <c r="B372" s="2">
        <v>1000184670</v>
      </c>
      <c r="C372" s="2" t="s">
        <v>147</v>
      </c>
      <c r="D372" s="4">
        <v>1000186197</v>
      </c>
      <c r="E372" s="4" t="s">
        <v>166</v>
      </c>
      <c r="F372" s="2">
        <v>1000184758</v>
      </c>
      <c r="G372" s="2" t="s">
        <v>55</v>
      </c>
      <c r="H372" s="4">
        <v>1000189764</v>
      </c>
      <c r="I372" s="4" t="s">
        <v>83</v>
      </c>
      <c r="J372" s="2">
        <v>1000189270</v>
      </c>
      <c r="K372" s="2" t="s">
        <v>34</v>
      </c>
      <c r="L372" s="4" t="s">
        <v>17</v>
      </c>
      <c r="M372" s="4" t="str">
        <f t="shared" si="80"/>
        <v>1000184670100018619710001897641000189270GRANOLA</v>
      </c>
      <c r="N372" s="28">
        <f>N365*_xlfn.XLOOKUP($L372,'Balizador da Meta'!$B$4:$B$21,'Balizador da Meta'!$C$4:$C$21)</f>
        <v>0</v>
      </c>
      <c r="O372" s="28">
        <f>O365*_xlfn.XLOOKUP($L372,'Balizador da Meta'!$B$4:$B$21,'Balizador da Meta'!$C$4:$C$21)</f>
        <v>0</v>
      </c>
      <c r="P372" s="28">
        <f>P365*_xlfn.XLOOKUP($L372,'Balizador da Meta'!$B$4:$B$21,'Balizador da Meta'!$C$4:$C$21)</f>
        <v>0</v>
      </c>
      <c r="Q372" s="28">
        <f>Q365*_xlfn.XLOOKUP($L372,'Balizador da Meta'!$B$4:$B$21,'Balizador da Meta'!$C$4:$C$21)</f>
        <v>0</v>
      </c>
      <c r="R372" s="28">
        <f>R365*_xlfn.XLOOKUP($L372,'Balizador da Meta'!$B$4:$B$21,'Balizador da Meta'!$C$4:$C$21)</f>
        <v>0</v>
      </c>
      <c r="S372" s="28">
        <f>S365*_xlfn.XLOOKUP($L372,'Balizador da Meta'!$B$4:$B$21,'Balizador da Meta'!$C$4:$C$21)</f>
        <v>0</v>
      </c>
      <c r="T372" s="28">
        <f>T365*_xlfn.XLOOKUP($L372,'Balizador da Meta'!$B$4:$B$21,'Balizador da Meta'!$C$4:$C$21)</f>
        <v>0</v>
      </c>
      <c r="U372" s="28">
        <f>U365*_xlfn.XLOOKUP($L372,'Balizador da Meta'!$B$4:$B$21,'Balizador da Meta'!$C$4:$C$21)</f>
        <v>0</v>
      </c>
      <c r="V372" s="28">
        <f>V365*_xlfn.XLOOKUP($L372,'Balizador da Meta'!$B$4:$B$21,'Balizador da Meta'!$C$4:$C$21)</f>
        <v>0</v>
      </c>
      <c r="W372" s="28">
        <f>W365*_xlfn.XLOOKUP($L372,'Balizador da Meta'!$B$4:$B$21,'Balizador da Meta'!$C$4:$C$21)</f>
        <v>0</v>
      </c>
      <c r="X372" s="28">
        <f>X365*_xlfn.XLOOKUP($L372,'Balizador da Meta'!$B$4:$B$21,'Balizador da Meta'!$C$4:$C$21)</f>
        <v>0</v>
      </c>
      <c r="Y372" s="28">
        <f>Y365*_xlfn.XLOOKUP($L372,'Balizador da Meta'!$B$4:$B$21,'Balizador da Meta'!$C$4:$C$21)</f>
        <v>0</v>
      </c>
      <c r="Z372" s="30">
        <f t="shared" si="89"/>
        <v>0</v>
      </c>
      <c r="AA372" s="29"/>
      <c r="AB372" s="31">
        <f>SUMIFS('Historico - FAT'!AK:AK,'Historico - FAT'!$K:$K,Faturamento!$L372,'Historico - FAT'!$I:$I,Faturamento!$J372,'Historico - FAT'!$G:$G,Faturamento!$H372)</f>
        <v>0</v>
      </c>
      <c r="AC372" s="31">
        <f>SUMIFS('Historico - FAT'!AL:AL,'Historico - FAT'!$K:$K,Faturamento!$L372,'Historico - FAT'!$I:$I,Faturamento!$J372,'Historico - FAT'!$G:$G,Faturamento!$H372)</f>
        <v>0</v>
      </c>
      <c r="AD372" s="31">
        <f>SUMIFS('Historico - FAT'!AM:AM,'Historico - FAT'!$K:$K,Faturamento!$L372,'Historico - FAT'!$I:$I,Faturamento!$J372,'Historico - FAT'!$G:$G,Faturamento!$H372)</f>
        <v>0</v>
      </c>
      <c r="AE372" s="27">
        <f>SUMIFS('Historico - FAT'!AN:AN,'Historico - FAT'!$K:$K,Faturamento!$L372,'Historico - FAT'!$I:$I,Faturamento!$J372,'Historico - FAT'!$G:$G,Faturamento!$H372)</f>
        <v>0</v>
      </c>
      <c r="AG372" s="24" t="str">
        <f t="shared" si="91"/>
        <v/>
      </c>
      <c r="AH372" s="24" t="str">
        <f t="shared" si="92"/>
        <v/>
      </c>
      <c r="AI372" s="24" t="str">
        <f t="shared" si="93"/>
        <v/>
      </c>
    </row>
    <row r="373" spans="1:35" hidden="1" x14ac:dyDescent="0.3">
      <c r="A373" s="2" t="str">
        <f t="shared" si="90"/>
        <v>NÃO</v>
      </c>
      <c r="B373" s="2">
        <v>1000184670</v>
      </c>
      <c r="C373" s="2" t="s">
        <v>147</v>
      </c>
      <c r="D373" s="4">
        <v>1000186197</v>
      </c>
      <c r="E373" s="4" t="s">
        <v>166</v>
      </c>
      <c r="F373" s="2">
        <v>1000184758</v>
      </c>
      <c r="G373" s="2" t="s">
        <v>55</v>
      </c>
      <c r="H373" s="4">
        <v>1000189764</v>
      </c>
      <c r="I373" s="4" t="s">
        <v>83</v>
      </c>
      <c r="J373" s="2">
        <v>1000189270</v>
      </c>
      <c r="K373" s="2" t="s">
        <v>34</v>
      </c>
      <c r="L373" s="4" t="s">
        <v>24</v>
      </c>
      <c r="M373" s="4" t="str">
        <f t="shared" si="80"/>
        <v>1000184670100018619710001897641000189270KIDS</v>
      </c>
      <c r="N373" s="28">
        <f>N365*_xlfn.XLOOKUP($L373,'Balizador da Meta'!$B$4:$B$21,'Balizador da Meta'!$C$4:$C$21)</f>
        <v>0</v>
      </c>
      <c r="O373" s="28">
        <f>O365*_xlfn.XLOOKUP($L373,'Balizador da Meta'!$B$4:$B$21,'Balizador da Meta'!$C$4:$C$21)</f>
        <v>0</v>
      </c>
      <c r="P373" s="28">
        <f>P365*_xlfn.XLOOKUP($L373,'Balizador da Meta'!$B$4:$B$21,'Balizador da Meta'!$C$4:$C$21)</f>
        <v>0</v>
      </c>
      <c r="Q373" s="28">
        <f>Q365*_xlfn.XLOOKUP($L373,'Balizador da Meta'!$B$4:$B$21,'Balizador da Meta'!$C$4:$C$21)</f>
        <v>0</v>
      </c>
      <c r="R373" s="28">
        <f>R365*_xlfn.XLOOKUP($L373,'Balizador da Meta'!$B$4:$B$21,'Balizador da Meta'!$C$4:$C$21)</f>
        <v>0</v>
      </c>
      <c r="S373" s="28">
        <f>S365*_xlfn.XLOOKUP($L373,'Balizador da Meta'!$B$4:$B$21,'Balizador da Meta'!$C$4:$C$21)</f>
        <v>0</v>
      </c>
      <c r="T373" s="28">
        <f>T365*_xlfn.XLOOKUP($L373,'Balizador da Meta'!$B$4:$B$21,'Balizador da Meta'!$C$4:$C$21)</f>
        <v>0</v>
      </c>
      <c r="U373" s="28">
        <f>U365*_xlfn.XLOOKUP($L373,'Balizador da Meta'!$B$4:$B$21,'Balizador da Meta'!$C$4:$C$21)</f>
        <v>0</v>
      </c>
      <c r="V373" s="28">
        <f>V365*_xlfn.XLOOKUP($L373,'Balizador da Meta'!$B$4:$B$21,'Balizador da Meta'!$C$4:$C$21)</f>
        <v>0</v>
      </c>
      <c r="W373" s="28">
        <f>W365*_xlfn.XLOOKUP($L373,'Balizador da Meta'!$B$4:$B$21,'Balizador da Meta'!$C$4:$C$21)</f>
        <v>0</v>
      </c>
      <c r="X373" s="28">
        <f>X365*_xlfn.XLOOKUP($L373,'Balizador da Meta'!$B$4:$B$21,'Balizador da Meta'!$C$4:$C$21)</f>
        <v>0</v>
      </c>
      <c r="Y373" s="28">
        <f>Y365*_xlfn.XLOOKUP($L373,'Balizador da Meta'!$B$4:$B$21,'Balizador da Meta'!$C$4:$C$21)</f>
        <v>0</v>
      </c>
      <c r="Z373" s="30">
        <f t="shared" si="89"/>
        <v>0</v>
      </c>
      <c r="AA373" s="29"/>
      <c r="AB373" s="31">
        <f>SUMIFS('Historico - FAT'!AK:AK,'Historico - FAT'!$K:$K,Faturamento!$L373,'Historico - FAT'!$I:$I,Faturamento!$J373,'Historico - FAT'!$G:$G,Faturamento!$H373)</f>
        <v>0</v>
      </c>
      <c r="AC373" s="31">
        <f>SUMIFS('Historico - FAT'!AL:AL,'Historico - FAT'!$K:$K,Faturamento!$L373,'Historico - FAT'!$I:$I,Faturamento!$J373,'Historico - FAT'!$G:$G,Faturamento!$H373)</f>
        <v>0</v>
      </c>
      <c r="AD373" s="31">
        <f>SUMIFS('Historico - FAT'!AM:AM,'Historico - FAT'!$K:$K,Faturamento!$L373,'Historico - FAT'!$I:$I,Faturamento!$J373,'Historico - FAT'!$G:$G,Faturamento!$H373)</f>
        <v>0</v>
      </c>
      <c r="AE373" s="27">
        <f>SUMIFS('Historico - FAT'!AN:AN,'Historico - FAT'!$K:$K,Faturamento!$L373,'Historico - FAT'!$I:$I,Faturamento!$J373,'Historico - FAT'!$G:$G,Faturamento!$H373)</f>
        <v>0</v>
      </c>
      <c r="AG373" s="24" t="str">
        <f t="shared" si="91"/>
        <v/>
      </c>
      <c r="AH373" s="24" t="str">
        <f t="shared" si="92"/>
        <v/>
      </c>
      <c r="AI373" s="24" t="str">
        <f t="shared" si="93"/>
        <v/>
      </c>
    </row>
    <row r="374" spans="1:35" hidden="1" x14ac:dyDescent="0.3">
      <c r="A374" s="2" t="str">
        <f t="shared" si="90"/>
        <v>NÃO</v>
      </c>
      <c r="B374" s="2">
        <v>1000184670</v>
      </c>
      <c r="C374" s="2" t="s">
        <v>147</v>
      </c>
      <c r="D374" s="4">
        <v>1000186197</v>
      </c>
      <c r="E374" s="4" t="s">
        <v>166</v>
      </c>
      <c r="F374" s="2">
        <v>1000184758</v>
      </c>
      <c r="G374" s="2" t="s">
        <v>55</v>
      </c>
      <c r="H374" s="4">
        <v>1000189764</v>
      </c>
      <c r="I374" s="4" t="s">
        <v>83</v>
      </c>
      <c r="J374" s="2">
        <v>1000189270</v>
      </c>
      <c r="K374" s="2" t="s">
        <v>34</v>
      </c>
      <c r="L374" s="4" t="s">
        <v>18</v>
      </c>
      <c r="M374" s="4" t="str">
        <f t="shared" si="80"/>
        <v>1000184670100018619710001897641000189270LANCHES</v>
      </c>
      <c r="N374" s="28">
        <f>N365*_xlfn.XLOOKUP($L374,'Balizador da Meta'!$B$4:$B$21,'Balizador da Meta'!$C$4:$C$21)</f>
        <v>0</v>
      </c>
      <c r="O374" s="28">
        <f>O365*_xlfn.XLOOKUP($L374,'Balizador da Meta'!$B$4:$B$21,'Balizador da Meta'!$C$4:$C$21)</f>
        <v>0</v>
      </c>
      <c r="P374" s="28">
        <f>P365*_xlfn.XLOOKUP($L374,'Balizador da Meta'!$B$4:$B$21,'Balizador da Meta'!$C$4:$C$21)</f>
        <v>0</v>
      </c>
      <c r="Q374" s="28">
        <f>Q365*_xlfn.XLOOKUP($L374,'Balizador da Meta'!$B$4:$B$21,'Balizador da Meta'!$C$4:$C$21)</f>
        <v>0</v>
      </c>
      <c r="R374" s="28">
        <f>R365*_xlfn.XLOOKUP($L374,'Balizador da Meta'!$B$4:$B$21,'Balizador da Meta'!$C$4:$C$21)</f>
        <v>0</v>
      </c>
      <c r="S374" s="28">
        <f>S365*_xlfn.XLOOKUP($L374,'Balizador da Meta'!$B$4:$B$21,'Balizador da Meta'!$C$4:$C$21)</f>
        <v>0</v>
      </c>
      <c r="T374" s="28">
        <f>T365*_xlfn.XLOOKUP($L374,'Balizador da Meta'!$B$4:$B$21,'Balizador da Meta'!$C$4:$C$21)</f>
        <v>0</v>
      </c>
      <c r="U374" s="28">
        <f>U365*_xlfn.XLOOKUP($L374,'Balizador da Meta'!$B$4:$B$21,'Balizador da Meta'!$C$4:$C$21)</f>
        <v>0</v>
      </c>
      <c r="V374" s="28">
        <f>V365*_xlfn.XLOOKUP($L374,'Balizador da Meta'!$B$4:$B$21,'Balizador da Meta'!$C$4:$C$21)</f>
        <v>0</v>
      </c>
      <c r="W374" s="28">
        <f>W365*_xlfn.XLOOKUP($L374,'Balizador da Meta'!$B$4:$B$21,'Balizador da Meta'!$C$4:$C$21)</f>
        <v>0</v>
      </c>
      <c r="X374" s="28">
        <f>X365*_xlfn.XLOOKUP($L374,'Balizador da Meta'!$B$4:$B$21,'Balizador da Meta'!$C$4:$C$21)</f>
        <v>0</v>
      </c>
      <c r="Y374" s="28">
        <f>Y365*_xlfn.XLOOKUP($L374,'Balizador da Meta'!$B$4:$B$21,'Balizador da Meta'!$C$4:$C$21)</f>
        <v>0</v>
      </c>
      <c r="Z374" s="30">
        <f t="shared" si="89"/>
        <v>0</v>
      </c>
      <c r="AA374" s="29"/>
      <c r="AB374" s="31">
        <f>SUMIFS('Historico - FAT'!AK:AK,'Historico - FAT'!$K:$K,Faturamento!$L374,'Historico - FAT'!$I:$I,Faturamento!$J374,'Historico - FAT'!$G:$G,Faturamento!$H374)</f>
        <v>0</v>
      </c>
      <c r="AC374" s="31">
        <f>SUMIFS('Historico - FAT'!AL:AL,'Historico - FAT'!$K:$K,Faturamento!$L374,'Historico - FAT'!$I:$I,Faturamento!$J374,'Historico - FAT'!$G:$G,Faturamento!$H374)</f>
        <v>0</v>
      </c>
      <c r="AD374" s="31">
        <f>SUMIFS('Historico - FAT'!AM:AM,'Historico - FAT'!$K:$K,Faturamento!$L374,'Historico - FAT'!$I:$I,Faturamento!$J374,'Historico - FAT'!$G:$G,Faturamento!$H374)</f>
        <v>0</v>
      </c>
      <c r="AE374" s="27">
        <f>SUMIFS('Historico - FAT'!AN:AN,'Historico - FAT'!$K:$K,Faturamento!$L374,'Historico - FAT'!$I:$I,Faturamento!$J374,'Historico - FAT'!$G:$G,Faturamento!$H374)</f>
        <v>0</v>
      </c>
      <c r="AG374" s="24" t="str">
        <f t="shared" si="91"/>
        <v/>
      </c>
      <c r="AH374" s="24" t="str">
        <f t="shared" si="92"/>
        <v/>
      </c>
      <c r="AI374" s="24" t="str">
        <f t="shared" si="93"/>
        <v/>
      </c>
    </row>
    <row r="375" spans="1:35" hidden="1" x14ac:dyDescent="0.3">
      <c r="A375" s="2" t="str">
        <f t="shared" si="90"/>
        <v>NÃO</v>
      </c>
      <c r="B375" s="2">
        <v>1000184670</v>
      </c>
      <c r="C375" s="2" t="s">
        <v>147</v>
      </c>
      <c r="D375" s="4">
        <v>1000186197</v>
      </c>
      <c r="E375" s="4" t="s">
        <v>166</v>
      </c>
      <c r="F375" s="2">
        <v>1000184758</v>
      </c>
      <c r="G375" s="2" t="s">
        <v>55</v>
      </c>
      <c r="H375" s="4">
        <v>1000189764</v>
      </c>
      <c r="I375" s="4" t="s">
        <v>83</v>
      </c>
      <c r="J375" s="2">
        <v>1000189270</v>
      </c>
      <c r="K375" s="2" t="s">
        <v>34</v>
      </c>
      <c r="L375" s="4" t="s">
        <v>29</v>
      </c>
      <c r="M375" s="4" t="str">
        <f t="shared" si="80"/>
        <v>1000184670100018619710001897641000189270MAIS GRANEL</v>
      </c>
      <c r="N375" s="28">
        <f>N365*_xlfn.XLOOKUP($L375,'Balizador da Meta'!$B$4:$B$21,'Balizador da Meta'!$C$4:$C$21)</f>
        <v>0</v>
      </c>
      <c r="O375" s="28">
        <f>O365*_xlfn.XLOOKUP($L375,'Balizador da Meta'!$B$4:$B$21,'Balizador da Meta'!$C$4:$C$21)</f>
        <v>0</v>
      </c>
      <c r="P375" s="28">
        <f>P365*_xlfn.XLOOKUP($L375,'Balizador da Meta'!$B$4:$B$21,'Balizador da Meta'!$C$4:$C$21)</f>
        <v>0</v>
      </c>
      <c r="Q375" s="28">
        <f>Q365*_xlfn.XLOOKUP($L375,'Balizador da Meta'!$B$4:$B$21,'Balizador da Meta'!$C$4:$C$21)</f>
        <v>0</v>
      </c>
      <c r="R375" s="28">
        <f>R365*_xlfn.XLOOKUP($L375,'Balizador da Meta'!$B$4:$B$21,'Balizador da Meta'!$C$4:$C$21)</f>
        <v>0</v>
      </c>
      <c r="S375" s="28">
        <f>S365*_xlfn.XLOOKUP($L375,'Balizador da Meta'!$B$4:$B$21,'Balizador da Meta'!$C$4:$C$21)</f>
        <v>0</v>
      </c>
      <c r="T375" s="28">
        <f>T365*_xlfn.XLOOKUP($L375,'Balizador da Meta'!$B$4:$B$21,'Balizador da Meta'!$C$4:$C$21)</f>
        <v>0</v>
      </c>
      <c r="U375" s="28">
        <f>U365*_xlfn.XLOOKUP($L375,'Balizador da Meta'!$B$4:$B$21,'Balizador da Meta'!$C$4:$C$21)</f>
        <v>0</v>
      </c>
      <c r="V375" s="28">
        <f>V365*_xlfn.XLOOKUP($L375,'Balizador da Meta'!$B$4:$B$21,'Balizador da Meta'!$C$4:$C$21)</f>
        <v>0</v>
      </c>
      <c r="W375" s="28">
        <f>W365*_xlfn.XLOOKUP($L375,'Balizador da Meta'!$B$4:$B$21,'Balizador da Meta'!$C$4:$C$21)</f>
        <v>0</v>
      </c>
      <c r="X375" s="28">
        <f>X365*_xlfn.XLOOKUP($L375,'Balizador da Meta'!$B$4:$B$21,'Balizador da Meta'!$C$4:$C$21)</f>
        <v>0</v>
      </c>
      <c r="Y375" s="28">
        <f>Y365*_xlfn.XLOOKUP($L375,'Balizador da Meta'!$B$4:$B$21,'Balizador da Meta'!$C$4:$C$21)</f>
        <v>0</v>
      </c>
      <c r="Z375" s="30">
        <f t="shared" si="89"/>
        <v>0</v>
      </c>
      <c r="AA375" s="29"/>
      <c r="AB375" s="31">
        <f>SUMIFS('Historico - FAT'!AK:AK,'Historico - FAT'!$K:$K,Faturamento!$L375,'Historico - FAT'!$I:$I,Faturamento!$J375,'Historico - FAT'!$G:$G,Faturamento!$H375)</f>
        <v>0</v>
      </c>
      <c r="AC375" s="31">
        <f>SUMIFS('Historico - FAT'!AL:AL,'Historico - FAT'!$K:$K,Faturamento!$L375,'Historico - FAT'!$I:$I,Faturamento!$J375,'Historico - FAT'!$G:$G,Faturamento!$H375)</f>
        <v>0</v>
      </c>
      <c r="AD375" s="31">
        <f>SUMIFS('Historico - FAT'!AM:AM,'Historico - FAT'!$K:$K,Faturamento!$L375,'Historico - FAT'!$I:$I,Faturamento!$J375,'Historico - FAT'!$G:$G,Faturamento!$H375)</f>
        <v>0</v>
      </c>
      <c r="AE375" s="27">
        <f>SUMIFS('Historico - FAT'!AN:AN,'Historico - FAT'!$K:$K,Faturamento!$L375,'Historico - FAT'!$I:$I,Faturamento!$J375,'Historico - FAT'!$G:$G,Faturamento!$H375)</f>
        <v>0</v>
      </c>
      <c r="AG375" s="24" t="str">
        <f t="shared" si="91"/>
        <v/>
      </c>
      <c r="AH375" s="24" t="str">
        <f t="shared" si="92"/>
        <v/>
      </c>
      <c r="AI375" s="24" t="str">
        <f t="shared" si="93"/>
        <v/>
      </c>
    </row>
    <row r="376" spans="1:35" hidden="1" x14ac:dyDescent="0.3">
      <c r="A376" s="2" t="str">
        <f t="shared" si="90"/>
        <v>NÃO</v>
      </c>
      <c r="B376" s="2">
        <v>1000184670</v>
      </c>
      <c r="C376" s="2" t="s">
        <v>147</v>
      </c>
      <c r="D376" s="4">
        <v>1000186197</v>
      </c>
      <c r="E376" s="4" t="s">
        <v>166</v>
      </c>
      <c r="F376" s="2">
        <v>1000184758</v>
      </c>
      <c r="G376" s="2" t="s">
        <v>55</v>
      </c>
      <c r="H376" s="4">
        <v>1000189764</v>
      </c>
      <c r="I376" s="4" t="s">
        <v>83</v>
      </c>
      <c r="J376" s="2">
        <v>1000189270</v>
      </c>
      <c r="K376" s="2" t="s">
        <v>34</v>
      </c>
      <c r="L376" s="4" t="s">
        <v>21</v>
      </c>
      <c r="M376" s="4" t="str">
        <f t="shared" si="80"/>
        <v>1000184670100018619710001897641000189270NATURATTA</v>
      </c>
      <c r="N376" s="28">
        <f>N365*_xlfn.XLOOKUP($L376,'Balizador da Meta'!$B$4:$B$21,'Balizador da Meta'!$C$4:$C$21)</f>
        <v>0</v>
      </c>
      <c r="O376" s="28">
        <f>O365*_xlfn.XLOOKUP($L376,'Balizador da Meta'!$B$4:$B$21,'Balizador da Meta'!$C$4:$C$21)</f>
        <v>0</v>
      </c>
      <c r="P376" s="28">
        <f>P365*_xlfn.XLOOKUP($L376,'Balizador da Meta'!$B$4:$B$21,'Balizador da Meta'!$C$4:$C$21)</f>
        <v>0</v>
      </c>
      <c r="Q376" s="28">
        <f>Q365*_xlfn.XLOOKUP($L376,'Balizador da Meta'!$B$4:$B$21,'Balizador da Meta'!$C$4:$C$21)</f>
        <v>0</v>
      </c>
      <c r="R376" s="28">
        <f>R365*_xlfn.XLOOKUP($L376,'Balizador da Meta'!$B$4:$B$21,'Balizador da Meta'!$C$4:$C$21)</f>
        <v>0</v>
      </c>
      <c r="S376" s="28">
        <f>S365*_xlfn.XLOOKUP($L376,'Balizador da Meta'!$B$4:$B$21,'Balizador da Meta'!$C$4:$C$21)</f>
        <v>0</v>
      </c>
      <c r="T376" s="28">
        <f>T365*_xlfn.XLOOKUP($L376,'Balizador da Meta'!$B$4:$B$21,'Balizador da Meta'!$C$4:$C$21)</f>
        <v>0</v>
      </c>
      <c r="U376" s="28">
        <f>U365*_xlfn.XLOOKUP($L376,'Balizador da Meta'!$B$4:$B$21,'Balizador da Meta'!$C$4:$C$21)</f>
        <v>0</v>
      </c>
      <c r="V376" s="28">
        <f>V365*_xlfn.XLOOKUP($L376,'Balizador da Meta'!$B$4:$B$21,'Balizador da Meta'!$C$4:$C$21)</f>
        <v>0</v>
      </c>
      <c r="W376" s="28">
        <f>W365*_xlfn.XLOOKUP($L376,'Balizador da Meta'!$B$4:$B$21,'Balizador da Meta'!$C$4:$C$21)</f>
        <v>0</v>
      </c>
      <c r="X376" s="28">
        <f>X365*_xlfn.XLOOKUP($L376,'Balizador da Meta'!$B$4:$B$21,'Balizador da Meta'!$C$4:$C$21)</f>
        <v>0</v>
      </c>
      <c r="Y376" s="28">
        <f>Y365*_xlfn.XLOOKUP($L376,'Balizador da Meta'!$B$4:$B$21,'Balizador da Meta'!$C$4:$C$21)</f>
        <v>0</v>
      </c>
      <c r="Z376" s="30">
        <f t="shared" si="89"/>
        <v>0</v>
      </c>
      <c r="AA376" s="29"/>
      <c r="AB376" s="31">
        <f>SUMIFS('Historico - FAT'!AK:AK,'Historico - FAT'!$K:$K,Faturamento!$L376,'Historico - FAT'!$I:$I,Faturamento!$J376,'Historico - FAT'!$G:$G,Faturamento!$H376)</f>
        <v>0</v>
      </c>
      <c r="AC376" s="31">
        <f>SUMIFS('Historico - FAT'!AL:AL,'Historico - FAT'!$K:$K,Faturamento!$L376,'Historico - FAT'!$I:$I,Faturamento!$J376,'Historico - FAT'!$G:$G,Faturamento!$H376)</f>
        <v>0</v>
      </c>
      <c r="AD376" s="31">
        <f>SUMIFS('Historico - FAT'!AM:AM,'Historico - FAT'!$K:$K,Faturamento!$L376,'Historico - FAT'!$I:$I,Faturamento!$J376,'Historico - FAT'!$G:$G,Faturamento!$H376)</f>
        <v>0</v>
      </c>
      <c r="AE376" s="27">
        <f>SUMIFS('Historico - FAT'!AN:AN,'Historico - FAT'!$K:$K,Faturamento!$L376,'Historico - FAT'!$I:$I,Faturamento!$J376,'Historico - FAT'!$G:$G,Faturamento!$H376)</f>
        <v>0</v>
      </c>
      <c r="AG376" s="24" t="str">
        <f t="shared" si="91"/>
        <v/>
      </c>
      <c r="AH376" s="24" t="str">
        <f t="shared" si="92"/>
        <v/>
      </c>
      <c r="AI376" s="24" t="str">
        <f t="shared" si="93"/>
        <v/>
      </c>
    </row>
    <row r="377" spans="1:35" hidden="1" x14ac:dyDescent="0.3">
      <c r="A377" s="2" t="str">
        <f t="shared" si="90"/>
        <v>NÃO</v>
      </c>
      <c r="B377" s="2">
        <v>1000184670</v>
      </c>
      <c r="C377" s="2" t="s">
        <v>147</v>
      </c>
      <c r="D377" s="4">
        <v>1000186197</v>
      </c>
      <c r="E377" s="4" t="s">
        <v>166</v>
      </c>
      <c r="F377" s="2">
        <v>1000184758</v>
      </c>
      <c r="G377" s="2" t="s">
        <v>55</v>
      </c>
      <c r="H377" s="4">
        <v>1000189764</v>
      </c>
      <c r="I377" s="4" t="s">
        <v>83</v>
      </c>
      <c r="J377" s="2">
        <v>1000189270</v>
      </c>
      <c r="K377" s="2" t="s">
        <v>34</v>
      </c>
      <c r="L377" s="4" t="s">
        <v>20</v>
      </c>
      <c r="M377" s="4" t="str">
        <f t="shared" si="80"/>
        <v>1000184670100018619710001897641000189270REEMBALADOS</v>
      </c>
      <c r="N377" s="28">
        <f>N365*_xlfn.XLOOKUP($L377,'Balizador da Meta'!$B$4:$B$21,'Balizador da Meta'!$C$4:$C$21)</f>
        <v>0</v>
      </c>
      <c r="O377" s="28">
        <f>O365*_xlfn.XLOOKUP($L377,'Balizador da Meta'!$B$4:$B$21,'Balizador da Meta'!$C$4:$C$21)</f>
        <v>0</v>
      </c>
      <c r="P377" s="28">
        <f>P365*_xlfn.XLOOKUP($L377,'Balizador da Meta'!$B$4:$B$21,'Balizador da Meta'!$C$4:$C$21)</f>
        <v>0</v>
      </c>
      <c r="Q377" s="28">
        <f>Q365*_xlfn.XLOOKUP($L377,'Balizador da Meta'!$B$4:$B$21,'Balizador da Meta'!$C$4:$C$21)</f>
        <v>0</v>
      </c>
      <c r="R377" s="28">
        <f>R365*_xlfn.XLOOKUP($L377,'Balizador da Meta'!$B$4:$B$21,'Balizador da Meta'!$C$4:$C$21)</f>
        <v>0</v>
      </c>
      <c r="S377" s="28">
        <f>S365*_xlfn.XLOOKUP($L377,'Balizador da Meta'!$B$4:$B$21,'Balizador da Meta'!$C$4:$C$21)</f>
        <v>0</v>
      </c>
      <c r="T377" s="28">
        <f>T365*_xlfn.XLOOKUP($L377,'Balizador da Meta'!$B$4:$B$21,'Balizador da Meta'!$C$4:$C$21)</f>
        <v>0</v>
      </c>
      <c r="U377" s="28">
        <f>U365*_xlfn.XLOOKUP($L377,'Balizador da Meta'!$B$4:$B$21,'Balizador da Meta'!$C$4:$C$21)</f>
        <v>0</v>
      </c>
      <c r="V377" s="28">
        <f>V365*_xlfn.XLOOKUP($L377,'Balizador da Meta'!$B$4:$B$21,'Balizador da Meta'!$C$4:$C$21)</f>
        <v>0</v>
      </c>
      <c r="W377" s="28">
        <f>W365*_xlfn.XLOOKUP($L377,'Balizador da Meta'!$B$4:$B$21,'Balizador da Meta'!$C$4:$C$21)</f>
        <v>0</v>
      </c>
      <c r="X377" s="28">
        <f>X365*_xlfn.XLOOKUP($L377,'Balizador da Meta'!$B$4:$B$21,'Balizador da Meta'!$C$4:$C$21)</f>
        <v>0</v>
      </c>
      <c r="Y377" s="28">
        <f>Y365*_xlfn.XLOOKUP($L377,'Balizador da Meta'!$B$4:$B$21,'Balizador da Meta'!$C$4:$C$21)</f>
        <v>0</v>
      </c>
      <c r="Z377" s="30">
        <f t="shared" si="89"/>
        <v>0</v>
      </c>
      <c r="AA377" s="29"/>
      <c r="AB377" s="31">
        <f>SUMIFS('Historico - FAT'!AK:AK,'Historico - FAT'!$K:$K,Faturamento!$L377,'Historico - FAT'!$I:$I,Faturamento!$J377,'Historico - FAT'!$G:$G,Faturamento!$H377)</f>
        <v>0</v>
      </c>
      <c r="AC377" s="31">
        <f>SUMIFS('Historico - FAT'!AL:AL,'Historico - FAT'!$K:$K,Faturamento!$L377,'Historico - FAT'!$I:$I,Faturamento!$J377,'Historico - FAT'!$G:$G,Faturamento!$H377)</f>
        <v>0</v>
      </c>
      <c r="AD377" s="31">
        <f>SUMIFS('Historico - FAT'!AM:AM,'Historico - FAT'!$K:$K,Faturamento!$L377,'Historico - FAT'!$I:$I,Faturamento!$J377,'Historico - FAT'!$G:$G,Faturamento!$H377)</f>
        <v>0</v>
      </c>
      <c r="AE377" s="27">
        <f>SUMIFS('Historico - FAT'!AN:AN,'Historico - FAT'!$K:$K,Faturamento!$L377,'Historico - FAT'!$I:$I,Faturamento!$J377,'Historico - FAT'!$G:$G,Faturamento!$H377)</f>
        <v>0</v>
      </c>
      <c r="AG377" s="24" t="str">
        <f t="shared" si="91"/>
        <v/>
      </c>
      <c r="AH377" s="24" t="str">
        <f t="shared" si="92"/>
        <v/>
      </c>
      <c r="AI377" s="24" t="str">
        <f t="shared" si="93"/>
        <v/>
      </c>
    </row>
    <row r="378" spans="1:35" hidden="1" x14ac:dyDescent="0.3">
      <c r="A378" s="2" t="str">
        <f t="shared" si="90"/>
        <v>NÃO</v>
      </c>
      <c r="B378" s="2">
        <v>1000184670</v>
      </c>
      <c r="C378" s="2" t="s">
        <v>147</v>
      </c>
      <c r="D378" s="4">
        <v>1000186197</v>
      </c>
      <c r="E378" s="4" t="s">
        <v>166</v>
      </c>
      <c r="F378" s="2">
        <v>1000184758</v>
      </c>
      <c r="G378" s="2" t="s">
        <v>55</v>
      </c>
      <c r="H378" s="4">
        <v>1000189764</v>
      </c>
      <c r="I378" s="4" t="s">
        <v>83</v>
      </c>
      <c r="J378" s="2">
        <v>1000189270</v>
      </c>
      <c r="K378" s="2" t="s">
        <v>34</v>
      </c>
      <c r="L378" s="4" t="s">
        <v>22</v>
      </c>
      <c r="M378" s="4" t="str">
        <f t="shared" si="80"/>
        <v>1000184670100018619710001897641000189270S GLUTEN</v>
      </c>
      <c r="N378" s="28">
        <f>N365*_xlfn.XLOOKUP($L378,'Balizador da Meta'!$B$4:$B$21,'Balizador da Meta'!$C$4:$C$21)</f>
        <v>0</v>
      </c>
      <c r="O378" s="28">
        <f>O365*_xlfn.XLOOKUP($L378,'Balizador da Meta'!$B$4:$B$21,'Balizador da Meta'!$C$4:$C$21)</f>
        <v>0</v>
      </c>
      <c r="P378" s="28">
        <f>P365*_xlfn.XLOOKUP($L378,'Balizador da Meta'!$B$4:$B$21,'Balizador da Meta'!$C$4:$C$21)</f>
        <v>0</v>
      </c>
      <c r="Q378" s="28">
        <f>Q365*_xlfn.XLOOKUP($L378,'Balizador da Meta'!$B$4:$B$21,'Balizador da Meta'!$C$4:$C$21)</f>
        <v>0</v>
      </c>
      <c r="R378" s="28">
        <f>R365*_xlfn.XLOOKUP($L378,'Balizador da Meta'!$B$4:$B$21,'Balizador da Meta'!$C$4:$C$21)</f>
        <v>0</v>
      </c>
      <c r="S378" s="28">
        <f>S365*_xlfn.XLOOKUP($L378,'Balizador da Meta'!$B$4:$B$21,'Balizador da Meta'!$C$4:$C$21)</f>
        <v>0</v>
      </c>
      <c r="T378" s="28">
        <f>T365*_xlfn.XLOOKUP($L378,'Balizador da Meta'!$B$4:$B$21,'Balizador da Meta'!$C$4:$C$21)</f>
        <v>0</v>
      </c>
      <c r="U378" s="28">
        <f>U365*_xlfn.XLOOKUP($L378,'Balizador da Meta'!$B$4:$B$21,'Balizador da Meta'!$C$4:$C$21)</f>
        <v>0</v>
      </c>
      <c r="V378" s="28">
        <f>V365*_xlfn.XLOOKUP($L378,'Balizador da Meta'!$B$4:$B$21,'Balizador da Meta'!$C$4:$C$21)</f>
        <v>0</v>
      </c>
      <c r="W378" s="28">
        <f>W365*_xlfn.XLOOKUP($L378,'Balizador da Meta'!$B$4:$B$21,'Balizador da Meta'!$C$4:$C$21)</f>
        <v>0</v>
      </c>
      <c r="X378" s="28">
        <f>X365*_xlfn.XLOOKUP($L378,'Balizador da Meta'!$B$4:$B$21,'Balizador da Meta'!$C$4:$C$21)</f>
        <v>0</v>
      </c>
      <c r="Y378" s="28">
        <f>Y365*_xlfn.XLOOKUP($L378,'Balizador da Meta'!$B$4:$B$21,'Balizador da Meta'!$C$4:$C$21)</f>
        <v>0</v>
      </c>
      <c r="Z378" s="30">
        <f t="shared" si="89"/>
        <v>0</v>
      </c>
      <c r="AA378" s="29"/>
      <c r="AB378" s="31">
        <f>SUMIFS('Historico - FAT'!AK:AK,'Historico - FAT'!$K:$K,Faturamento!$L378,'Historico - FAT'!$I:$I,Faturamento!$J378,'Historico - FAT'!$G:$G,Faturamento!$H378)</f>
        <v>0</v>
      </c>
      <c r="AC378" s="31">
        <f>SUMIFS('Historico - FAT'!AL:AL,'Historico - FAT'!$K:$K,Faturamento!$L378,'Historico - FAT'!$I:$I,Faturamento!$J378,'Historico - FAT'!$G:$G,Faturamento!$H378)</f>
        <v>0</v>
      </c>
      <c r="AD378" s="31">
        <f>SUMIFS('Historico - FAT'!AM:AM,'Historico - FAT'!$K:$K,Faturamento!$L378,'Historico - FAT'!$I:$I,Faturamento!$J378,'Historico - FAT'!$G:$G,Faturamento!$H378)</f>
        <v>0</v>
      </c>
      <c r="AE378" s="27">
        <f>SUMIFS('Historico - FAT'!AN:AN,'Historico - FAT'!$K:$K,Faturamento!$L378,'Historico - FAT'!$I:$I,Faturamento!$J378,'Historico - FAT'!$G:$G,Faturamento!$H378)</f>
        <v>0</v>
      </c>
      <c r="AG378" s="24" t="str">
        <f t="shared" si="91"/>
        <v/>
      </c>
      <c r="AH378" s="24" t="str">
        <f t="shared" si="92"/>
        <v/>
      </c>
      <c r="AI378" s="24" t="str">
        <f t="shared" si="93"/>
        <v/>
      </c>
    </row>
    <row r="379" spans="1:35" hidden="1" x14ac:dyDescent="0.3">
      <c r="A379" s="2" t="str">
        <f t="shared" si="90"/>
        <v>NÃO</v>
      </c>
      <c r="B379" s="2">
        <v>1000184670</v>
      </c>
      <c r="C379" s="2" t="s">
        <v>147</v>
      </c>
      <c r="D379" s="4">
        <v>1000186197</v>
      </c>
      <c r="E379" s="4" t="s">
        <v>166</v>
      </c>
      <c r="F379" s="2">
        <v>1000184758</v>
      </c>
      <c r="G379" s="2" t="s">
        <v>55</v>
      </c>
      <c r="H379" s="4">
        <v>1000189764</v>
      </c>
      <c r="I379" s="4" t="s">
        <v>83</v>
      </c>
      <c r="J379" s="2">
        <v>1000189270</v>
      </c>
      <c r="K379" s="2" t="s">
        <v>34</v>
      </c>
      <c r="L379" s="4" t="s">
        <v>23</v>
      </c>
      <c r="M379" s="4" t="str">
        <f t="shared" si="80"/>
        <v>1000184670100018619710001897641000189270SABORES DO CAMPO</v>
      </c>
      <c r="N379" s="28">
        <f>N365*_xlfn.XLOOKUP($L379,'Balizador da Meta'!$B$4:$B$21,'Balizador da Meta'!$C$4:$C$21)</f>
        <v>0</v>
      </c>
      <c r="O379" s="28">
        <f>O365*_xlfn.XLOOKUP($L379,'Balizador da Meta'!$B$4:$B$21,'Balizador da Meta'!$C$4:$C$21)</f>
        <v>0</v>
      </c>
      <c r="P379" s="28">
        <f>P365*_xlfn.XLOOKUP($L379,'Balizador da Meta'!$B$4:$B$21,'Balizador da Meta'!$C$4:$C$21)</f>
        <v>0</v>
      </c>
      <c r="Q379" s="28">
        <f>Q365*_xlfn.XLOOKUP($L379,'Balizador da Meta'!$B$4:$B$21,'Balizador da Meta'!$C$4:$C$21)</f>
        <v>0</v>
      </c>
      <c r="R379" s="28">
        <f>R365*_xlfn.XLOOKUP($L379,'Balizador da Meta'!$B$4:$B$21,'Balizador da Meta'!$C$4:$C$21)</f>
        <v>0</v>
      </c>
      <c r="S379" s="28">
        <f>S365*_xlfn.XLOOKUP($L379,'Balizador da Meta'!$B$4:$B$21,'Balizador da Meta'!$C$4:$C$21)</f>
        <v>0</v>
      </c>
      <c r="T379" s="28">
        <f>T365*_xlfn.XLOOKUP($L379,'Balizador da Meta'!$B$4:$B$21,'Balizador da Meta'!$C$4:$C$21)</f>
        <v>0</v>
      </c>
      <c r="U379" s="28">
        <f>U365*_xlfn.XLOOKUP($L379,'Balizador da Meta'!$B$4:$B$21,'Balizador da Meta'!$C$4:$C$21)</f>
        <v>0</v>
      </c>
      <c r="V379" s="28">
        <f>V365*_xlfn.XLOOKUP($L379,'Balizador da Meta'!$B$4:$B$21,'Balizador da Meta'!$C$4:$C$21)</f>
        <v>0</v>
      </c>
      <c r="W379" s="28">
        <f>W365*_xlfn.XLOOKUP($L379,'Balizador da Meta'!$B$4:$B$21,'Balizador da Meta'!$C$4:$C$21)</f>
        <v>0</v>
      </c>
      <c r="X379" s="28">
        <f>X365*_xlfn.XLOOKUP($L379,'Balizador da Meta'!$B$4:$B$21,'Balizador da Meta'!$C$4:$C$21)</f>
        <v>0</v>
      </c>
      <c r="Y379" s="28">
        <f>Y365*_xlfn.XLOOKUP($L379,'Balizador da Meta'!$B$4:$B$21,'Balizador da Meta'!$C$4:$C$21)</f>
        <v>0</v>
      </c>
      <c r="Z379" s="30">
        <f t="shared" si="89"/>
        <v>0</v>
      </c>
      <c r="AA379" s="29"/>
      <c r="AB379" s="31">
        <f>SUMIFS('Historico - FAT'!AK:AK,'Historico - FAT'!$K:$K,Faturamento!$L379,'Historico - FAT'!$I:$I,Faturamento!$J379,'Historico - FAT'!$G:$G,Faturamento!$H379)</f>
        <v>0</v>
      </c>
      <c r="AC379" s="31">
        <f>SUMIFS('Historico - FAT'!AL:AL,'Historico - FAT'!$K:$K,Faturamento!$L379,'Historico - FAT'!$I:$I,Faturamento!$J379,'Historico - FAT'!$G:$G,Faturamento!$H379)</f>
        <v>0</v>
      </c>
      <c r="AD379" s="31">
        <f>SUMIFS('Historico - FAT'!AM:AM,'Historico - FAT'!$K:$K,Faturamento!$L379,'Historico - FAT'!$I:$I,Faturamento!$J379,'Historico - FAT'!$G:$G,Faturamento!$H379)</f>
        <v>0</v>
      </c>
      <c r="AE379" s="27">
        <f>SUMIFS('Historico - FAT'!AN:AN,'Historico - FAT'!$K:$K,Faturamento!$L379,'Historico - FAT'!$I:$I,Faturamento!$J379,'Historico - FAT'!$G:$G,Faturamento!$H379)</f>
        <v>0</v>
      </c>
      <c r="AG379" s="24" t="str">
        <f t="shared" si="91"/>
        <v/>
      </c>
      <c r="AH379" s="24" t="str">
        <f t="shared" si="92"/>
        <v/>
      </c>
      <c r="AI379" s="24" t="str">
        <f t="shared" si="93"/>
        <v/>
      </c>
    </row>
    <row r="380" spans="1:35" hidden="1" x14ac:dyDescent="0.3">
      <c r="A380" s="2" t="str">
        <f t="shared" si="90"/>
        <v>NÃO</v>
      </c>
      <c r="B380" s="2">
        <v>1000184670</v>
      </c>
      <c r="C380" s="2" t="s">
        <v>147</v>
      </c>
      <c r="D380" s="4">
        <v>1000186197</v>
      </c>
      <c r="E380" s="4" t="s">
        <v>166</v>
      </c>
      <c r="F380" s="2">
        <v>1000184758</v>
      </c>
      <c r="G380" s="2" t="s">
        <v>55</v>
      </c>
      <c r="H380" s="4">
        <v>1000189764</v>
      </c>
      <c r="I380" s="4" t="s">
        <v>83</v>
      </c>
      <c r="J380" s="2">
        <v>1000189270</v>
      </c>
      <c r="K380" s="2" t="s">
        <v>34</v>
      </c>
      <c r="L380" s="4" t="s">
        <v>28</v>
      </c>
      <c r="M380" s="4" t="str">
        <f t="shared" si="80"/>
        <v>1000184670100018619710001897641000189270SAL</v>
      </c>
      <c r="N380" s="28">
        <f>N365*_xlfn.XLOOKUP($L380,'Balizador da Meta'!$B$4:$B$21,'Balizador da Meta'!$C$4:$C$21)</f>
        <v>0</v>
      </c>
      <c r="O380" s="28">
        <f>O365*_xlfn.XLOOKUP($L380,'Balizador da Meta'!$B$4:$B$21,'Balizador da Meta'!$C$4:$C$21)</f>
        <v>0</v>
      </c>
      <c r="P380" s="28">
        <f>P365*_xlfn.XLOOKUP($L380,'Balizador da Meta'!$B$4:$B$21,'Balizador da Meta'!$C$4:$C$21)</f>
        <v>0</v>
      </c>
      <c r="Q380" s="28">
        <f>Q365*_xlfn.XLOOKUP($L380,'Balizador da Meta'!$B$4:$B$21,'Balizador da Meta'!$C$4:$C$21)</f>
        <v>0</v>
      </c>
      <c r="R380" s="28">
        <f>R365*_xlfn.XLOOKUP($L380,'Balizador da Meta'!$B$4:$B$21,'Balizador da Meta'!$C$4:$C$21)</f>
        <v>0</v>
      </c>
      <c r="S380" s="28">
        <f>S365*_xlfn.XLOOKUP($L380,'Balizador da Meta'!$B$4:$B$21,'Balizador da Meta'!$C$4:$C$21)</f>
        <v>0</v>
      </c>
      <c r="T380" s="28">
        <f>T365*_xlfn.XLOOKUP($L380,'Balizador da Meta'!$B$4:$B$21,'Balizador da Meta'!$C$4:$C$21)</f>
        <v>0</v>
      </c>
      <c r="U380" s="28">
        <f>U365*_xlfn.XLOOKUP($L380,'Balizador da Meta'!$B$4:$B$21,'Balizador da Meta'!$C$4:$C$21)</f>
        <v>0</v>
      </c>
      <c r="V380" s="28">
        <f>V365*_xlfn.XLOOKUP($L380,'Balizador da Meta'!$B$4:$B$21,'Balizador da Meta'!$C$4:$C$21)</f>
        <v>0</v>
      </c>
      <c r="W380" s="28">
        <f>W365*_xlfn.XLOOKUP($L380,'Balizador da Meta'!$B$4:$B$21,'Balizador da Meta'!$C$4:$C$21)</f>
        <v>0</v>
      </c>
      <c r="X380" s="28">
        <f>X365*_xlfn.XLOOKUP($L380,'Balizador da Meta'!$B$4:$B$21,'Balizador da Meta'!$C$4:$C$21)</f>
        <v>0</v>
      </c>
      <c r="Y380" s="28">
        <f>Y365*_xlfn.XLOOKUP($L380,'Balizador da Meta'!$B$4:$B$21,'Balizador da Meta'!$C$4:$C$21)</f>
        <v>0</v>
      </c>
      <c r="Z380" s="30">
        <f t="shared" si="89"/>
        <v>0</v>
      </c>
      <c r="AA380" s="29"/>
      <c r="AB380" s="31">
        <f>SUMIFS('Historico - FAT'!AK:AK,'Historico - FAT'!$K:$K,Faturamento!$L380,'Historico - FAT'!$I:$I,Faturamento!$J380,'Historico - FAT'!$G:$G,Faturamento!$H380)</f>
        <v>0</v>
      </c>
      <c r="AC380" s="31">
        <f>SUMIFS('Historico - FAT'!AL:AL,'Historico - FAT'!$K:$K,Faturamento!$L380,'Historico - FAT'!$I:$I,Faturamento!$J380,'Historico - FAT'!$G:$G,Faturamento!$H380)</f>
        <v>0</v>
      </c>
      <c r="AD380" s="31">
        <f>SUMIFS('Historico - FAT'!AM:AM,'Historico - FAT'!$K:$K,Faturamento!$L380,'Historico - FAT'!$I:$I,Faturamento!$J380,'Historico - FAT'!$G:$G,Faturamento!$H380)</f>
        <v>0</v>
      </c>
      <c r="AE380" s="27">
        <f>SUMIFS('Historico - FAT'!AN:AN,'Historico - FAT'!$K:$K,Faturamento!$L380,'Historico - FAT'!$I:$I,Faturamento!$J380,'Historico - FAT'!$G:$G,Faturamento!$H380)</f>
        <v>0</v>
      </c>
      <c r="AG380" s="24" t="str">
        <f t="shared" si="91"/>
        <v/>
      </c>
      <c r="AH380" s="24" t="str">
        <f t="shared" si="92"/>
        <v/>
      </c>
      <c r="AI380" s="24" t="str">
        <f t="shared" si="93"/>
        <v/>
      </c>
    </row>
    <row r="381" spans="1:35" hidden="1" x14ac:dyDescent="0.3">
      <c r="A381" s="2" t="str">
        <f t="shared" si="90"/>
        <v>NÃO</v>
      </c>
      <c r="B381" s="2">
        <v>1000184670</v>
      </c>
      <c r="C381" s="2" t="s">
        <v>147</v>
      </c>
      <c r="D381" s="4">
        <v>1000186197</v>
      </c>
      <c r="E381" s="4" t="s">
        <v>166</v>
      </c>
      <c r="F381" s="2">
        <v>1000184758</v>
      </c>
      <c r="G381" s="2" t="s">
        <v>55</v>
      </c>
      <c r="H381" s="4">
        <v>1000189764</v>
      </c>
      <c r="I381" s="4" t="s">
        <v>83</v>
      </c>
      <c r="J381" s="2">
        <v>1000189270</v>
      </c>
      <c r="K381" s="2" t="s">
        <v>34</v>
      </c>
      <c r="L381" s="4" t="s">
        <v>26</v>
      </c>
      <c r="M381" s="4" t="str">
        <f t="shared" si="80"/>
        <v>1000184670100018619710001897641000189270SOULPRO</v>
      </c>
      <c r="N381" s="28">
        <f>N365*_xlfn.XLOOKUP($L381,'Balizador da Meta'!$B$4:$B$21,'Balizador da Meta'!$C$4:$C$21)</f>
        <v>0</v>
      </c>
      <c r="O381" s="28">
        <f>O365*_xlfn.XLOOKUP($L381,'Balizador da Meta'!$B$4:$B$21,'Balizador da Meta'!$C$4:$C$21)</f>
        <v>0</v>
      </c>
      <c r="P381" s="28">
        <f>P365*_xlfn.XLOOKUP($L381,'Balizador da Meta'!$B$4:$B$21,'Balizador da Meta'!$C$4:$C$21)</f>
        <v>0</v>
      </c>
      <c r="Q381" s="28">
        <f>Q365*_xlfn.XLOOKUP($L381,'Balizador da Meta'!$B$4:$B$21,'Balizador da Meta'!$C$4:$C$21)</f>
        <v>0</v>
      </c>
      <c r="R381" s="28">
        <f>R365*_xlfn.XLOOKUP($L381,'Balizador da Meta'!$B$4:$B$21,'Balizador da Meta'!$C$4:$C$21)</f>
        <v>0</v>
      </c>
      <c r="S381" s="28">
        <f>S365*_xlfn.XLOOKUP($L381,'Balizador da Meta'!$B$4:$B$21,'Balizador da Meta'!$C$4:$C$21)</f>
        <v>0</v>
      </c>
      <c r="T381" s="28">
        <f>T365*_xlfn.XLOOKUP($L381,'Balizador da Meta'!$B$4:$B$21,'Balizador da Meta'!$C$4:$C$21)</f>
        <v>0</v>
      </c>
      <c r="U381" s="28">
        <f>U365*_xlfn.XLOOKUP($L381,'Balizador da Meta'!$B$4:$B$21,'Balizador da Meta'!$C$4:$C$21)</f>
        <v>0</v>
      </c>
      <c r="V381" s="28">
        <f>V365*_xlfn.XLOOKUP($L381,'Balizador da Meta'!$B$4:$B$21,'Balizador da Meta'!$C$4:$C$21)</f>
        <v>0</v>
      </c>
      <c r="W381" s="28">
        <f>W365*_xlfn.XLOOKUP($L381,'Balizador da Meta'!$B$4:$B$21,'Balizador da Meta'!$C$4:$C$21)</f>
        <v>0</v>
      </c>
      <c r="X381" s="28">
        <f>X365*_xlfn.XLOOKUP($L381,'Balizador da Meta'!$B$4:$B$21,'Balizador da Meta'!$C$4:$C$21)</f>
        <v>0</v>
      </c>
      <c r="Y381" s="28">
        <f>Y365*_xlfn.XLOOKUP($L381,'Balizador da Meta'!$B$4:$B$21,'Balizador da Meta'!$C$4:$C$21)</f>
        <v>0</v>
      </c>
      <c r="Z381" s="30">
        <f t="shared" si="89"/>
        <v>0</v>
      </c>
      <c r="AA381" s="29"/>
      <c r="AB381" s="31">
        <f>SUMIFS('Historico - FAT'!AK:AK,'Historico - FAT'!$K:$K,Faturamento!$L381,'Historico - FAT'!$I:$I,Faturamento!$J381,'Historico - FAT'!$G:$G,Faturamento!$H381)</f>
        <v>0</v>
      </c>
      <c r="AC381" s="31">
        <f>SUMIFS('Historico - FAT'!AL:AL,'Historico - FAT'!$K:$K,Faturamento!$L381,'Historico - FAT'!$I:$I,Faturamento!$J381,'Historico - FAT'!$G:$G,Faturamento!$H381)</f>
        <v>0</v>
      </c>
      <c r="AD381" s="31">
        <f>SUMIFS('Historico - FAT'!AM:AM,'Historico - FAT'!$K:$K,Faturamento!$L381,'Historico - FAT'!$I:$I,Faturamento!$J381,'Historico - FAT'!$G:$G,Faturamento!$H381)</f>
        <v>0</v>
      </c>
      <c r="AE381" s="27">
        <f>SUMIFS('Historico - FAT'!AN:AN,'Historico - FAT'!$K:$K,Faturamento!$L381,'Historico - FAT'!$I:$I,Faturamento!$J381,'Historico - FAT'!$G:$G,Faturamento!$H381)</f>
        <v>0</v>
      </c>
      <c r="AG381" s="24" t="str">
        <f t="shared" si="91"/>
        <v/>
      </c>
      <c r="AH381" s="24" t="str">
        <f t="shared" si="92"/>
        <v/>
      </c>
      <c r="AI381" s="24" t="str">
        <f t="shared" si="93"/>
        <v/>
      </c>
    </row>
    <row r="382" spans="1:35" hidden="1" x14ac:dyDescent="0.3">
      <c r="A382" s="2" t="str">
        <f t="shared" si="90"/>
        <v>NÃO</v>
      </c>
      <c r="B382" s="2">
        <v>1000184670</v>
      </c>
      <c r="C382" s="2" t="s">
        <v>147</v>
      </c>
      <c r="D382" s="4">
        <v>1000186197</v>
      </c>
      <c r="E382" s="4" t="s">
        <v>166</v>
      </c>
      <c r="F382" s="2">
        <v>1000184758</v>
      </c>
      <c r="G382" s="2" t="s">
        <v>55</v>
      </c>
      <c r="H382" s="4">
        <v>1000189764</v>
      </c>
      <c r="I382" s="4" t="s">
        <v>83</v>
      </c>
      <c r="J382" s="2">
        <v>1000189270</v>
      </c>
      <c r="K382" s="2" t="s">
        <v>34</v>
      </c>
      <c r="L382" s="4" t="s">
        <v>27</v>
      </c>
      <c r="M382" s="4" t="str">
        <f t="shared" si="80"/>
        <v>1000184670100018619710001897641000189270TAMARA</v>
      </c>
      <c r="N382" s="28">
        <f>N365*_xlfn.XLOOKUP($L382,'Balizador da Meta'!$B$4:$B$21,'Balizador da Meta'!$C$4:$C$21)</f>
        <v>0</v>
      </c>
      <c r="O382" s="28">
        <f>O365*_xlfn.XLOOKUP($L382,'Balizador da Meta'!$B$4:$B$21,'Balizador da Meta'!$C$4:$C$21)</f>
        <v>0</v>
      </c>
      <c r="P382" s="28">
        <f>P365*_xlfn.XLOOKUP($L382,'Balizador da Meta'!$B$4:$B$21,'Balizador da Meta'!$C$4:$C$21)</f>
        <v>0</v>
      </c>
      <c r="Q382" s="28">
        <f>Q365*_xlfn.XLOOKUP($L382,'Balizador da Meta'!$B$4:$B$21,'Balizador da Meta'!$C$4:$C$21)</f>
        <v>0</v>
      </c>
      <c r="R382" s="28">
        <f>R365*_xlfn.XLOOKUP($L382,'Balizador da Meta'!$B$4:$B$21,'Balizador da Meta'!$C$4:$C$21)</f>
        <v>0</v>
      </c>
      <c r="S382" s="28">
        <f>S365*_xlfn.XLOOKUP($L382,'Balizador da Meta'!$B$4:$B$21,'Balizador da Meta'!$C$4:$C$21)</f>
        <v>0</v>
      </c>
      <c r="T382" s="28">
        <f>T365*_xlfn.XLOOKUP($L382,'Balizador da Meta'!$B$4:$B$21,'Balizador da Meta'!$C$4:$C$21)</f>
        <v>0</v>
      </c>
      <c r="U382" s="28">
        <f>U365*_xlfn.XLOOKUP($L382,'Balizador da Meta'!$B$4:$B$21,'Balizador da Meta'!$C$4:$C$21)</f>
        <v>0</v>
      </c>
      <c r="V382" s="28">
        <f>V365*_xlfn.XLOOKUP($L382,'Balizador da Meta'!$B$4:$B$21,'Balizador da Meta'!$C$4:$C$21)</f>
        <v>0</v>
      </c>
      <c r="W382" s="28">
        <f>W365*_xlfn.XLOOKUP($L382,'Balizador da Meta'!$B$4:$B$21,'Balizador da Meta'!$C$4:$C$21)</f>
        <v>0</v>
      </c>
      <c r="X382" s="28">
        <f>X365*_xlfn.XLOOKUP($L382,'Balizador da Meta'!$B$4:$B$21,'Balizador da Meta'!$C$4:$C$21)</f>
        <v>0</v>
      </c>
      <c r="Y382" s="28">
        <f>Y365*_xlfn.XLOOKUP($L382,'Balizador da Meta'!$B$4:$B$21,'Balizador da Meta'!$C$4:$C$21)</f>
        <v>0</v>
      </c>
      <c r="Z382" s="30">
        <f t="shared" si="89"/>
        <v>0</v>
      </c>
      <c r="AA382" s="29"/>
      <c r="AB382" s="31">
        <f>SUMIFS('Historico - FAT'!AK:AK,'Historico - FAT'!$K:$K,Faturamento!$L382,'Historico - FAT'!$I:$I,Faturamento!$J382,'Historico - FAT'!$G:$G,Faturamento!$H382)</f>
        <v>0</v>
      </c>
      <c r="AC382" s="31">
        <f>SUMIFS('Historico - FAT'!AL:AL,'Historico - FAT'!$K:$K,Faturamento!$L382,'Historico - FAT'!$I:$I,Faturamento!$J382,'Historico - FAT'!$G:$G,Faturamento!$H382)</f>
        <v>0</v>
      </c>
      <c r="AD382" s="31">
        <f>SUMIFS('Historico - FAT'!AM:AM,'Historico - FAT'!$K:$K,Faturamento!$L382,'Historico - FAT'!$I:$I,Faturamento!$J382,'Historico - FAT'!$G:$G,Faturamento!$H382)</f>
        <v>0</v>
      </c>
      <c r="AE382" s="27">
        <f>SUMIFS('Historico - FAT'!AN:AN,'Historico - FAT'!$K:$K,Faturamento!$L382,'Historico - FAT'!$I:$I,Faturamento!$J382,'Historico - FAT'!$G:$G,Faturamento!$H382)</f>
        <v>0</v>
      </c>
      <c r="AG382" s="24" t="str">
        <f t="shared" si="91"/>
        <v/>
      </c>
      <c r="AH382" s="24" t="str">
        <f t="shared" si="92"/>
        <v/>
      </c>
      <c r="AI382" s="24" t="str">
        <f t="shared" si="93"/>
        <v/>
      </c>
    </row>
    <row r="383" spans="1:35" hidden="1" x14ac:dyDescent="0.3">
      <c r="A383" s="2" t="str">
        <f t="shared" si="90"/>
        <v>NÃO</v>
      </c>
      <c r="B383" s="2">
        <v>1000184670</v>
      </c>
      <c r="C383" s="2" t="s">
        <v>147</v>
      </c>
      <c r="D383" s="4">
        <v>1000186197</v>
      </c>
      <c r="E383" s="4" t="s">
        <v>166</v>
      </c>
      <c r="F383" s="2">
        <v>1000184758</v>
      </c>
      <c r="G383" s="2" t="s">
        <v>55</v>
      </c>
      <c r="H383" s="4">
        <v>1000189764</v>
      </c>
      <c r="I383" s="4" t="s">
        <v>83</v>
      </c>
      <c r="J383" s="2">
        <v>1000189270</v>
      </c>
      <c r="K383" s="2" t="s">
        <v>34</v>
      </c>
      <c r="L383" s="4" t="s">
        <v>25</v>
      </c>
      <c r="M383" s="4" t="str">
        <f t="shared" si="80"/>
        <v>1000184670100018619710001897641000189270VICCIO</v>
      </c>
      <c r="N383" s="28">
        <f>N365*_xlfn.XLOOKUP($L383,'Balizador da Meta'!$B$4:$B$21,'Balizador da Meta'!$C$4:$C$21)</f>
        <v>0</v>
      </c>
      <c r="O383" s="28">
        <f>O365*_xlfn.XLOOKUP($L383,'Balizador da Meta'!$B$4:$B$21,'Balizador da Meta'!$C$4:$C$21)</f>
        <v>0</v>
      </c>
      <c r="P383" s="28">
        <f>P365*_xlfn.XLOOKUP($L383,'Balizador da Meta'!$B$4:$B$21,'Balizador da Meta'!$C$4:$C$21)</f>
        <v>0</v>
      </c>
      <c r="Q383" s="28">
        <f>Q365*_xlfn.XLOOKUP($L383,'Balizador da Meta'!$B$4:$B$21,'Balizador da Meta'!$C$4:$C$21)</f>
        <v>0</v>
      </c>
      <c r="R383" s="28">
        <f>R365*_xlfn.XLOOKUP($L383,'Balizador da Meta'!$B$4:$B$21,'Balizador da Meta'!$C$4:$C$21)</f>
        <v>0</v>
      </c>
      <c r="S383" s="28">
        <f>S365*_xlfn.XLOOKUP($L383,'Balizador da Meta'!$B$4:$B$21,'Balizador da Meta'!$C$4:$C$21)</f>
        <v>0</v>
      </c>
      <c r="T383" s="28">
        <f>T365*_xlfn.XLOOKUP($L383,'Balizador da Meta'!$B$4:$B$21,'Balizador da Meta'!$C$4:$C$21)</f>
        <v>0</v>
      </c>
      <c r="U383" s="28">
        <f>U365*_xlfn.XLOOKUP($L383,'Balizador da Meta'!$B$4:$B$21,'Balizador da Meta'!$C$4:$C$21)</f>
        <v>0</v>
      </c>
      <c r="V383" s="28">
        <f>V365*_xlfn.XLOOKUP($L383,'Balizador da Meta'!$B$4:$B$21,'Balizador da Meta'!$C$4:$C$21)</f>
        <v>0</v>
      </c>
      <c r="W383" s="28">
        <f>W365*_xlfn.XLOOKUP($L383,'Balizador da Meta'!$B$4:$B$21,'Balizador da Meta'!$C$4:$C$21)</f>
        <v>0</v>
      </c>
      <c r="X383" s="28">
        <f>X365*_xlfn.XLOOKUP($L383,'Balizador da Meta'!$B$4:$B$21,'Balizador da Meta'!$C$4:$C$21)</f>
        <v>0</v>
      </c>
      <c r="Y383" s="28">
        <f>Y365*_xlfn.XLOOKUP($L383,'Balizador da Meta'!$B$4:$B$21,'Balizador da Meta'!$C$4:$C$21)</f>
        <v>0</v>
      </c>
      <c r="Z383" s="30">
        <f t="shared" si="89"/>
        <v>0</v>
      </c>
      <c r="AA383" s="29"/>
      <c r="AB383" s="31">
        <f>SUMIFS('Historico - FAT'!AK:AK,'Historico - FAT'!$K:$K,Faturamento!$L383,'Historico - FAT'!$I:$I,Faturamento!$J383,'Historico - FAT'!$G:$G,Faturamento!$H383)</f>
        <v>0</v>
      </c>
      <c r="AC383" s="31">
        <f>SUMIFS('Historico - FAT'!AL:AL,'Historico - FAT'!$K:$K,Faturamento!$L383,'Historico - FAT'!$I:$I,Faturamento!$J383,'Historico - FAT'!$G:$G,Faturamento!$H383)</f>
        <v>0</v>
      </c>
      <c r="AD383" s="31">
        <f>SUMIFS('Historico - FAT'!AM:AM,'Historico - FAT'!$K:$K,Faturamento!$L383,'Historico - FAT'!$I:$I,Faturamento!$J383,'Historico - FAT'!$G:$G,Faturamento!$H383)</f>
        <v>0</v>
      </c>
      <c r="AE383" s="27">
        <f>SUMIFS('Historico - FAT'!AN:AN,'Historico - FAT'!$K:$K,Faturamento!$L383,'Historico - FAT'!$I:$I,Faturamento!$J383,'Historico - FAT'!$G:$G,Faturamento!$H383)</f>
        <v>0</v>
      </c>
      <c r="AG383" s="24" t="str">
        <f t="shared" si="91"/>
        <v/>
      </c>
      <c r="AH383" s="24" t="str">
        <f t="shared" si="92"/>
        <v/>
      </c>
      <c r="AI383" s="24" t="str">
        <f t="shared" si="93"/>
        <v/>
      </c>
    </row>
    <row r="384" spans="1:35" x14ac:dyDescent="0.3">
      <c r="A384" s="2" t="str">
        <f t="shared" si="90"/>
        <v>SIM</v>
      </c>
      <c r="B384" s="2">
        <v>1000184670</v>
      </c>
      <c r="C384" s="2" t="s">
        <v>147</v>
      </c>
      <c r="D384" s="4">
        <v>1000186197</v>
      </c>
      <c r="E384" s="4" t="s">
        <v>166</v>
      </c>
      <c r="F384" s="2">
        <v>1000184757</v>
      </c>
      <c r="G384" s="2" t="s">
        <v>62</v>
      </c>
      <c r="H384" s="4">
        <v>1000189765</v>
      </c>
      <c r="I384" s="4" t="s">
        <v>99</v>
      </c>
      <c r="J384" s="2">
        <v>1000189270</v>
      </c>
      <c r="K384" s="2" t="s">
        <v>34</v>
      </c>
      <c r="L384" s="4" t="s">
        <v>124</v>
      </c>
      <c r="M384" s="4" t="str">
        <f t="shared" si="80"/>
        <v>100018467010001861971000189765100018927001. TOTAL</v>
      </c>
      <c r="N384" s="28">
        <f>SUMIFS(Positivação!L:L,Positivação!$I:$I,Faturamento!$J384,Positivação!$G:$G,Faturamento!$H384)*SUMIFS(Positivação!$Z:$Z,Positivação!$I:$I,Faturamento!$J384,Positivação!$G:$G,Faturamento!$H384)</f>
        <v>1200</v>
      </c>
      <c r="O384" s="28">
        <f>SUMIFS(Positivação!M:M,Positivação!$I:$I,Faturamento!$J384,Positivação!$G:$G,Faturamento!$H384)*SUMIFS(Positivação!$Z:$Z,Positivação!$I:$I,Faturamento!$J384,Positivação!$G:$G,Faturamento!$H384)</f>
        <v>1200</v>
      </c>
      <c r="P384" s="28">
        <f>SUMIFS(Positivação!N:N,Positivação!$I:$I,Faturamento!$J384,Positivação!$G:$G,Faturamento!$H384)*SUMIFS(Positivação!$Z:$Z,Positivação!$I:$I,Faturamento!$J384,Positivação!$G:$G,Faturamento!$H384)</f>
        <v>1200</v>
      </c>
      <c r="Q384" s="28">
        <f>SUMIFS(Positivação!O:O,Positivação!$I:$I,Faturamento!$J384,Positivação!$G:$G,Faturamento!$H384)*SUMIFS(Positivação!$Z:$Z,Positivação!$I:$I,Faturamento!$J384,Positivação!$G:$G,Faturamento!$H384)</f>
        <v>1200</v>
      </c>
      <c r="R384" s="28">
        <f>SUMIFS(Positivação!P:P,Positivação!$I:$I,Faturamento!$J384,Positivação!$G:$G,Faturamento!$H384)*SUMIFS(Positivação!$Z:$Z,Positivação!$I:$I,Faturamento!$J384,Positivação!$G:$G,Faturamento!$H384)</f>
        <v>1200</v>
      </c>
      <c r="S384" s="28">
        <f>SUMIFS(Positivação!Q:Q,Positivação!$I:$I,Faturamento!$J384,Positivação!$G:$G,Faturamento!$H384)*SUMIFS(Positivação!$Z:$Z,Positivação!$I:$I,Faturamento!$J384,Positivação!$G:$G,Faturamento!$H384)</f>
        <v>1200</v>
      </c>
      <c r="T384" s="28">
        <f>SUMIFS(Positivação!R:R,Positivação!$I:$I,Faturamento!$J384,Positivação!$G:$G,Faturamento!$H384)*SUMIFS(Positivação!$Z:$Z,Positivação!$I:$I,Faturamento!$J384,Positivação!$G:$G,Faturamento!$H384)</f>
        <v>1200</v>
      </c>
      <c r="U384" s="28">
        <f>SUMIFS(Positivação!S:S,Positivação!$I:$I,Faturamento!$J384,Positivação!$G:$G,Faturamento!$H384)*SUMIFS(Positivação!$Z:$Z,Positivação!$I:$I,Faturamento!$J384,Positivação!$G:$G,Faturamento!$H384)</f>
        <v>1200</v>
      </c>
      <c r="V384" s="28">
        <f>SUMIFS(Positivação!T:T,Positivação!$I:$I,Faturamento!$J384,Positivação!$G:$G,Faturamento!$H384)*SUMIFS(Positivação!$Z:$Z,Positivação!$I:$I,Faturamento!$J384,Positivação!$G:$G,Faturamento!$H384)</f>
        <v>1200</v>
      </c>
      <c r="W384" s="28">
        <f>SUMIFS(Positivação!U:U,Positivação!$I:$I,Faturamento!$J384,Positivação!$G:$G,Faturamento!$H384)*SUMIFS(Positivação!$Z:$Z,Positivação!$I:$I,Faturamento!$J384,Positivação!$G:$G,Faturamento!$H384)</f>
        <v>1200</v>
      </c>
      <c r="X384" s="28">
        <f>SUMIFS(Positivação!V:V,Positivação!$I:$I,Faturamento!$J384,Positivação!$G:$G,Faturamento!$H384)*SUMIFS(Positivação!$Z:$Z,Positivação!$I:$I,Faturamento!$J384,Positivação!$G:$G,Faturamento!$H384)</f>
        <v>1200</v>
      </c>
      <c r="Y384" s="28">
        <f>SUMIFS(Positivação!W:W,Positivação!$I:$I,Faturamento!$J384,Positivação!$G:$G,Faturamento!$H384)*SUMIFS(Positivação!$Z:$Z,Positivação!$I:$I,Faturamento!$J384,Positivação!$G:$G,Faturamento!$H384)</f>
        <v>1200</v>
      </c>
      <c r="Z384" s="28">
        <f t="shared" ref="Z384" si="94">SUM(Z385:Z402)</f>
        <v>14400</v>
      </c>
      <c r="AA384" s="29"/>
      <c r="AB384" s="28">
        <f t="shared" ref="AB384:AE384" si="95">SUM(AB385:AB402)</f>
        <v>0</v>
      </c>
      <c r="AC384" s="28">
        <f t="shared" si="95"/>
        <v>238.79750000000001</v>
      </c>
      <c r="AD384" s="28">
        <f t="shared" si="95"/>
        <v>477.59500000000003</v>
      </c>
      <c r="AE384" s="28">
        <f t="shared" si="95"/>
        <v>286.55699999999996</v>
      </c>
      <c r="AG384" s="24">
        <f t="shared" si="91"/>
        <v>1</v>
      </c>
      <c r="AH384" s="24">
        <f t="shared" si="92"/>
        <v>0.80100208333333334</v>
      </c>
      <c r="AI384" s="24">
        <f t="shared" si="93"/>
        <v>0.60200416666666667</v>
      </c>
    </row>
    <row r="385" spans="1:35" hidden="1" x14ac:dyDescent="0.3">
      <c r="A385" s="2" t="str">
        <f t="shared" si="90"/>
        <v>NÃO</v>
      </c>
      <c r="B385" s="2">
        <v>1000184670</v>
      </c>
      <c r="C385" s="2" t="s">
        <v>147</v>
      </c>
      <c r="D385" s="4">
        <v>1000186197</v>
      </c>
      <c r="E385" s="4" t="s">
        <v>166</v>
      </c>
      <c r="F385" s="2">
        <v>1000184757</v>
      </c>
      <c r="G385" s="2" t="s">
        <v>62</v>
      </c>
      <c r="H385" s="4">
        <v>1000189765</v>
      </c>
      <c r="I385" s="4" t="s">
        <v>99</v>
      </c>
      <c r="J385" s="2">
        <v>1000189270</v>
      </c>
      <c r="K385" s="2" t="s">
        <v>34</v>
      </c>
      <c r="L385" s="4" t="s">
        <v>13</v>
      </c>
      <c r="M385" s="4" t="str">
        <f t="shared" si="80"/>
        <v>1000184670100018619710001897651000189270BISCOITO</v>
      </c>
      <c r="N385" s="28">
        <f>N384*_xlfn.XLOOKUP($L385,'Balizador da Meta'!$B$4:$B$21,'Balizador da Meta'!$C$4:$C$21)</f>
        <v>84.000000000000014</v>
      </c>
      <c r="O385" s="28">
        <f>O384*_xlfn.XLOOKUP($L385,'Balizador da Meta'!$B$4:$B$21,'Balizador da Meta'!$C$4:$C$21)</f>
        <v>84.000000000000014</v>
      </c>
      <c r="P385" s="28">
        <f>P384*_xlfn.XLOOKUP($L385,'Balizador da Meta'!$B$4:$B$21,'Balizador da Meta'!$C$4:$C$21)</f>
        <v>84.000000000000014</v>
      </c>
      <c r="Q385" s="28">
        <f>Q384*_xlfn.XLOOKUP($L385,'Balizador da Meta'!$B$4:$B$21,'Balizador da Meta'!$C$4:$C$21)</f>
        <v>84.000000000000014</v>
      </c>
      <c r="R385" s="28">
        <f>R384*_xlfn.XLOOKUP($L385,'Balizador da Meta'!$B$4:$B$21,'Balizador da Meta'!$C$4:$C$21)</f>
        <v>84.000000000000014</v>
      </c>
      <c r="S385" s="28">
        <f>S384*_xlfn.XLOOKUP($L385,'Balizador da Meta'!$B$4:$B$21,'Balizador da Meta'!$C$4:$C$21)</f>
        <v>84.000000000000014</v>
      </c>
      <c r="T385" s="28">
        <f>T384*_xlfn.XLOOKUP($L385,'Balizador da Meta'!$B$4:$B$21,'Balizador da Meta'!$C$4:$C$21)</f>
        <v>84.000000000000014</v>
      </c>
      <c r="U385" s="28">
        <f>U384*_xlfn.XLOOKUP($L385,'Balizador da Meta'!$B$4:$B$21,'Balizador da Meta'!$C$4:$C$21)</f>
        <v>84.000000000000014</v>
      </c>
      <c r="V385" s="28">
        <f>V384*_xlfn.XLOOKUP($L385,'Balizador da Meta'!$B$4:$B$21,'Balizador da Meta'!$C$4:$C$21)</f>
        <v>84.000000000000014</v>
      </c>
      <c r="W385" s="28">
        <f>W384*_xlfn.XLOOKUP($L385,'Balizador da Meta'!$B$4:$B$21,'Balizador da Meta'!$C$4:$C$21)</f>
        <v>84.000000000000014</v>
      </c>
      <c r="X385" s="28">
        <f>X384*_xlfn.XLOOKUP($L385,'Balizador da Meta'!$B$4:$B$21,'Balizador da Meta'!$C$4:$C$21)</f>
        <v>84.000000000000014</v>
      </c>
      <c r="Y385" s="28">
        <f>Y384*_xlfn.XLOOKUP($L385,'Balizador da Meta'!$B$4:$B$21,'Balizador da Meta'!$C$4:$C$21)</f>
        <v>84.000000000000014</v>
      </c>
      <c r="Z385" s="30">
        <f>SUM(N385:Y385)</f>
        <v>1008.0000000000001</v>
      </c>
      <c r="AA385" s="29"/>
      <c r="AB385" s="31">
        <f>SUMIFS('Historico - FAT'!AK:AK,'Historico - FAT'!$K:$K,Faturamento!$L385,'Historico - FAT'!$I:$I,Faturamento!$J385,'Historico - FAT'!$G:$G,Faturamento!$H385)</f>
        <v>0</v>
      </c>
      <c r="AC385" s="31">
        <f>SUMIFS('Historico - FAT'!AL:AL,'Historico - FAT'!$K:$K,Faturamento!$L385,'Historico - FAT'!$I:$I,Faturamento!$J385,'Historico - FAT'!$G:$G,Faturamento!$H385)</f>
        <v>56.698333333333331</v>
      </c>
      <c r="AD385" s="31">
        <f>SUMIFS('Historico - FAT'!AM:AM,'Historico - FAT'!$K:$K,Faturamento!$L385,'Historico - FAT'!$I:$I,Faturamento!$J385,'Historico - FAT'!$G:$G,Faturamento!$H385)</f>
        <v>113.39666666666666</v>
      </c>
      <c r="AE385" s="27">
        <f>SUMIFS('Historico - FAT'!AN:AN,'Historico - FAT'!$K:$K,Faturamento!$L385,'Historico - FAT'!$I:$I,Faturamento!$J385,'Historico - FAT'!$G:$G,Faturamento!$H385)</f>
        <v>68.037999999999997</v>
      </c>
      <c r="AG385" s="24">
        <f t="shared" si="91"/>
        <v>1</v>
      </c>
      <c r="AH385" s="24">
        <f t="shared" si="92"/>
        <v>0.3250198412698414</v>
      </c>
      <c r="AI385" s="24">
        <f t="shared" si="93"/>
        <v>-0.34996031746031719</v>
      </c>
    </row>
    <row r="386" spans="1:35" hidden="1" x14ac:dyDescent="0.3">
      <c r="A386" s="2" t="str">
        <f t="shared" si="90"/>
        <v>NÃO</v>
      </c>
      <c r="B386" s="2">
        <v>1000184670</v>
      </c>
      <c r="C386" s="2" t="s">
        <v>147</v>
      </c>
      <c r="D386" s="4">
        <v>1000186197</v>
      </c>
      <c r="E386" s="4" t="s">
        <v>166</v>
      </c>
      <c r="F386" s="2">
        <v>1000184757</v>
      </c>
      <c r="G386" s="2" t="s">
        <v>62</v>
      </c>
      <c r="H386" s="4">
        <v>1000189765</v>
      </c>
      <c r="I386" s="4" t="s">
        <v>99</v>
      </c>
      <c r="J386" s="2">
        <v>1000189270</v>
      </c>
      <c r="K386" s="2" t="s">
        <v>34</v>
      </c>
      <c r="L386" s="4" t="s">
        <v>14</v>
      </c>
      <c r="M386" s="4" t="str">
        <f t="shared" si="80"/>
        <v>1000184670100018619710001897651000189270CHOCOLATES</v>
      </c>
      <c r="N386" s="28">
        <f>N384*_xlfn.XLOOKUP($L386,'Balizador da Meta'!$B$4:$B$21,'Balizador da Meta'!$C$4:$C$21)</f>
        <v>84.000000000000014</v>
      </c>
      <c r="O386" s="28">
        <f>O384*_xlfn.XLOOKUP($L386,'Balizador da Meta'!$B$4:$B$21,'Balizador da Meta'!$C$4:$C$21)</f>
        <v>84.000000000000014</v>
      </c>
      <c r="P386" s="28">
        <f>P384*_xlfn.XLOOKUP($L386,'Balizador da Meta'!$B$4:$B$21,'Balizador da Meta'!$C$4:$C$21)</f>
        <v>84.000000000000014</v>
      </c>
      <c r="Q386" s="28">
        <f>Q384*_xlfn.XLOOKUP($L386,'Balizador da Meta'!$B$4:$B$21,'Balizador da Meta'!$C$4:$C$21)</f>
        <v>84.000000000000014</v>
      </c>
      <c r="R386" s="28">
        <f>R384*_xlfn.XLOOKUP($L386,'Balizador da Meta'!$B$4:$B$21,'Balizador da Meta'!$C$4:$C$21)</f>
        <v>84.000000000000014</v>
      </c>
      <c r="S386" s="28">
        <f>S384*_xlfn.XLOOKUP($L386,'Balizador da Meta'!$B$4:$B$21,'Balizador da Meta'!$C$4:$C$21)</f>
        <v>84.000000000000014</v>
      </c>
      <c r="T386" s="28">
        <f>T384*_xlfn.XLOOKUP($L386,'Balizador da Meta'!$B$4:$B$21,'Balizador da Meta'!$C$4:$C$21)</f>
        <v>84.000000000000014</v>
      </c>
      <c r="U386" s="28">
        <f>U384*_xlfn.XLOOKUP($L386,'Balizador da Meta'!$B$4:$B$21,'Balizador da Meta'!$C$4:$C$21)</f>
        <v>84.000000000000014</v>
      </c>
      <c r="V386" s="28">
        <f>V384*_xlfn.XLOOKUP($L386,'Balizador da Meta'!$B$4:$B$21,'Balizador da Meta'!$C$4:$C$21)</f>
        <v>84.000000000000014</v>
      </c>
      <c r="W386" s="28">
        <f>W384*_xlfn.XLOOKUP($L386,'Balizador da Meta'!$B$4:$B$21,'Balizador da Meta'!$C$4:$C$21)</f>
        <v>84.000000000000014</v>
      </c>
      <c r="X386" s="28">
        <f>X384*_xlfn.XLOOKUP($L386,'Balizador da Meta'!$B$4:$B$21,'Balizador da Meta'!$C$4:$C$21)</f>
        <v>84.000000000000014</v>
      </c>
      <c r="Y386" s="28">
        <f>Y384*_xlfn.XLOOKUP($L386,'Balizador da Meta'!$B$4:$B$21,'Balizador da Meta'!$C$4:$C$21)</f>
        <v>84.000000000000014</v>
      </c>
      <c r="Z386" s="30">
        <f t="shared" ref="Z386:Z402" si="96">SUM(N386:Y386)</f>
        <v>1008.0000000000001</v>
      </c>
      <c r="AA386" s="29"/>
      <c r="AB386" s="31">
        <f>SUMIFS('Historico - FAT'!AK:AK,'Historico - FAT'!$K:$K,Faturamento!$L386,'Historico - FAT'!$I:$I,Faturamento!$J386,'Historico - FAT'!$G:$G,Faturamento!$H386)</f>
        <v>0</v>
      </c>
      <c r="AC386" s="31">
        <f>SUMIFS('Historico - FAT'!AL:AL,'Historico - FAT'!$K:$K,Faturamento!$L386,'Historico - FAT'!$I:$I,Faturamento!$J386,'Historico - FAT'!$G:$G,Faturamento!$H386)</f>
        <v>50.491666666666667</v>
      </c>
      <c r="AD386" s="31">
        <f>SUMIFS('Historico - FAT'!AM:AM,'Historico - FAT'!$K:$K,Faturamento!$L386,'Historico - FAT'!$I:$I,Faturamento!$J386,'Historico - FAT'!$G:$G,Faturamento!$H386)</f>
        <v>100.98333333333333</v>
      </c>
      <c r="AE386" s="27">
        <f>SUMIFS('Historico - FAT'!AN:AN,'Historico - FAT'!$K:$K,Faturamento!$L386,'Historico - FAT'!$I:$I,Faturamento!$J386,'Historico - FAT'!$G:$G,Faturamento!$H386)</f>
        <v>60.589999999999996</v>
      </c>
      <c r="AG386" s="24">
        <f t="shared" si="91"/>
        <v>1</v>
      </c>
      <c r="AH386" s="24">
        <f t="shared" si="92"/>
        <v>0.39890873015873024</v>
      </c>
      <c r="AI386" s="24">
        <f t="shared" si="93"/>
        <v>-0.20218253968253949</v>
      </c>
    </row>
    <row r="387" spans="1:35" hidden="1" x14ac:dyDescent="0.3">
      <c r="A387" s="2" t="str">
        <f t="shared" si="90"/>
        <v>NÃO</v>
      </c>
      <c r="B387" s="2">
        <v>1000184670</v>
      </c>
      <c r="C387" s="2" t="s">
        <v>147</v>
      </c>
      <c r="D387" s="4">
        <v>1000186197</v>
      </c>
      <c r="E387" s="4" t="s">
        <v>166</v>
      </c>
      <c r="F387" s="2">
        <v>1000184757</v>
      </c>
      <c r="G387" s="2" t="s">
        <v>62</v>
      </c>
      <c r="H387" s="4">
        <v>1000189765</v>
      </c>
      <c r="I387" s="4" t="s">
        <v>99</v>
      </c>
      <c r="J387" s="2">
        <v>1000189270</v>
      </c>
      <c r="K387" s="2" t="s">
        <v>34</v>
      </c>
      <c r="L387" s="4" t="s">
        <v>16</v>
      </c>
      <c r="M387" s="4" t="str">
        <f t="shared" si="80"/>
        <v>1000184670100018619710001897651000189270DISNEY</v>
      </c>
      <c r="N387" s="28">
        <f>N384*_xlfn.XLOOKUP($L387,'Balizador da Meta'!$B$4:$B$21,'Balizador da Meta'!$C$4:$C$21)</f>
        <v>96</v>
      </c>
      <c r="O387" s="28">
        <f>O384*_xlfn.XLOOKUP($L387,'Balizador da Meta'!$B$4:$B$21,'Balizador da Meta'!$C$4:$C$21)</f>
        <v>96</v>
      </c>
      <c r="P387" s="28">
        <f>P384*_xlfn.XLOOKUP($L387,'Balizador da Meta'!$B$4:$B$21,'Balizador da Meta'!$C$4:$C$21)</f>
        <v>96</v>
      </c>
      <c r="Q387" s="28">
        <f>Q384*_xlfn.XLOOKUP($L387,'Balizador da Meta'!$B$4:$B$21,'Balizador da Meta'!$C$4:$C$21)</f>
        <v>96</v>
      </c>
      <c r="R387" s="28">
        <f>R384*_xlfn.XLOOKUP($L387,'Balizador da Meta'!$B$4:$B$21,'Balizador da Meta'!$C$4:$C$21)</f>
        <v>96</v>
      </c>
      <c r="S387" s="28">
        <f>S384*_xlfn.XLOOKUP($L387,'Balizador da Meta'!$B$4:$B$21,'Balizador da Meta'!$C$4:$C$21)</f>
        <v>96</v>
      </c>
      <c r="T387" s="28">
        <f>T384*_xlfn.XLOOKUP($L387,'Balizador da Meta'!$B$4:$B$21,'Balizador da Meta'!$C$4:$C$21)</f>
        <v>96</v>
      </c>
      <c r="U387" s="28">
        <f>U384*_xlfn.XLOOKUP($L387,'Balizador da Meta'!$B$4:$B$21,'Balizador da Meta'!$C$4:$C$21)</f>
        <v>96</v>
      </c>
      <c r="V387" s="28">
        <f>V384*_xlfn.XLOOKUP($L387,'Balizador da Meta'!$B$4:$B$21,'Balizador da Meta'!$C$4:$C$21)</f>
        <v>96</v>
      </c>
      <c r="W387" s="28">
        <f>W384*_xlfn.XLOOKUP($L387,'Balizador da Meta'!$B$4:$B$21,'Balizador da Meta'!$C$4:$C$21)</f>
        <v>96</v>
      </c>
      <c r="X387" s="28">
        <f>X384*_xlfn.XLOOKUP($L387,'Balizador da Meta'!$B$4:$B$21,'Balizador da Meta'!$C$4:$C$21)</f>
        <v>96</v>
      </c>
      <c r="Y387" s="28">
        <f>Y384*_xlfn.XLOOKUP($L387,'Balizador da Meta'!$B$4:$B$21,'Balizador da Meta'!$C$4:$C$21)</f>
        <v>96</v>
      </c>
      <c r="Z387" s="30">
        <f t="shared" si="96"/>
        <v>1152</v>
      </c>
      <c r="AA387" s="29"/>
      <c r="AB387" s="31">
        <f>SUMIFS('Historico - FAT'!AK:AK,'Historico - FAT'!$K:$K,Faturamento!$L387,'Historico - FAT'!$I:$I,Faturamento!$J387,'Historico - FAT'!$G:$G,Faturamento!$H387)</f>
        <v>0</v>
      </c>
      <c r="AC387" s="31">
        <f>SUMIFS('Historico - FAT'!AL:AL,'Historico - FAT'!$K:$K,Faturamento!$L387,'Historico - FAT'!$I:$I,Faturamento!$J387,'Historico - FAT'!$G:$G,Faturamento!$H387)</f>
        <v>50.082500000000003</v>
      </c>
      <c r="AD387" s="31">
        <f>SUMIFS('Historico - FAT'!AM:AM,'Historico - FAT'!$K:$K,Faturamento!$L387,'Historico - FAT'!$I:$I,Faturamento!$J387,'Historico - FAT'!$G:$G,Faturamento!$H387)</f>
        <v>100.16500000000001</v>
      </c>
      <c r="AE387" s="27">
        <f>SUMIFS('Historico - FAT'!AN:AN,'Historico - FAT'!$K:$K,Faturamento!$L387,'Historico - FAT'!$I:$I,Faturamento!$J387,'Historico - FAT'!$G:$G,Faturamento!$H387)</f>
        <v>60.099000000000004</v>
      </c>
      <c r="AG387" s="24">
        <f t="shared" si="91"/>
        <v>1</v>
      </c>
      <c r="AH387" s="24">
        <f t="shared" si="92"/>
        <v>0.47830729166666663</v>
      </c>
      <c r="AI387" s="24">
        <f t="shared" si="93"/>
        <v>-4.3385416666666732E-2</v>
      </c>
    </row>
    <row r="388" spans="1:35" hidden="1" x14ac:dyDescent="0.3">
      <c r="A388" s="2" t="str">
        <f t="shared" si="90"/>
        <v>NÃO</v>
      </c>
      <c r="B388" s="2">
        <v>1000184670</v>
      </c>
      <c r="C388" s="2" t="s">
        <v>147</v>
      </c>
      <c r="D388" s="4">
        <v>1000186197</v>
      </c>
      <c r="E388" s="4" t="s">
        <v>166</v>
      </c>
      <c r="F388" s="2">
        <v>1000184757</v>
      </c>
      <c r="G388" s="2" t="s">
        <v>62</v>
      </c>
      <c r="H388" s="4">
        <v>1000189765</v>
      </c>
      <c r="I388" s="4" t="s">
        <v>99</v>
      </c>
      <c r="J388" s="2">
        <v>1000189270</v>
      </c>
      <c r="K388" s="2" t="s">
        <v>34</v>
      </c>
      <c r="L388" s="4" t="s">
        <v>15</v>
      </c>
      <c r="M388" s="4" t="str">
        <f t="shared" si="80"/>
        <v>1000184670100018619710001897651000189270DOCES</v>
      </c>
      <c r="N388" s="28">
        <f>N384*_xlfn.XLOOKUP($L388,'Balizador da Meta'!$B$4:$B$21,'Balizador da Meta'!$C$4:$C$21)</f>
        <v>108</v>
      </c>
      <c r="O388" s="28">
        <f>O384*_xlfn.XLOOKUP($L388,'Balizador da Meta'!$B$4:$B$21,'Balizador da Meta'!$C$4:$C$21)</f>
        <v>108</v>
      </c>
      <c r="P388" s="28">
        <f>P384*_xlfn.XLOOKUP($L388,'Balizador da Meta'!$B$4:$B$21,'Balizador da Meta'!$C$4:$C$21)</f>
        <v>108</v>
      </c>
      <c r="Q388" s="28">
        <f>Q384*_xlfn.XLOOKUP($L388,'Balizador da Meta'!$B$4:$B$21,'Balizador da Meta'!$C$4:$C$21)</f>
        <v>108</v>
      </c>
      <c r="R388" s="28">
        <f>R384*_xlfn.XLOOKUP($L388,'Balizador da Meta'!$B$4:$B$21,'Balizador da Meta'!$C$4:$C$21)</f>
        <v>108</v>
      </c>
      <c r="S388" s="28">
        <f>S384*_xlfn.XLOOKUP($L388,'Balizador da Meta'!$B$4:$B$21,'Balizador da Meta'!$C$4:$C$21)</f>
        <v>108</v>
      </c>
      <c r="T388" s="28">
        <f>T384*_xlfn.XLOOKUP($L388,'Balizador da Meta'!$B$4:$B$21,'Balizador da Meta'!$C$4:$C$21)</f>
        <v>108</v>
      </c>
      <c r="U388" s="28">
        <f>U384*_xlfn.XLOOKUP($L388,'Balizador da Meta'!$B$4:$B$21,'Balizador da Meta'!$C$4:$C$21)</f>
        <v>108</v>
      </c>
      <c r="V388" s="28">
        <f>V384*_xlfn.XLOOKUP($L388,'Balizador da Meta'!$B$4:$B$21,'Balizador da Meta'!$C$4:$C$21)</f>
        <v>108</v>
      </c>
      <c r="W388" s="28">
        <f>W384*_xlfn.XLOOKUP($L388,'Balizador da Meta'!$B$4:$B$21,'Balizador da Meta'!$C$4:$C$21)</f>
        <v>108</v>
      </c>
      <c r="X388" s="28">
        <f>X384*_xlfn.XLOOKUP($L388,'Balizador da Meta'!$B$4:$B$21,'Balizador da Meta'!$C$4:$C$21)</f>
        <v>108</v>
      </c>
      <c r="Y388" s="28">
        <f>Y384*_xlfn.XLOOKUP($L388,'Balizador da Meta'!$B$4:$B$21,'Balizador da Meta'!$C$4:$C$21)</f>
        <v>108</v>
      </c>
      <c r="Z388" s="30">
        <f t="shared" si="96"/>
        <v>1296</v>
      </c>
      <c r="AA388" s="29"/>
      <c r="AB388" s="31">
        <f>SUMIFS('Historico - FAT'!AK:AK,'Historico - FAT'!$K:$K,Faturamento!$L388,'Historico - FAT'!$I:$I,Faturamento!$J388,'Historico - FAT'!$G:$G,Faturamento!$H388)</f>
        <v>0</v>
      </c>
      <c r="AC388" s="31">
        <f>SUMIFS('Historico - FAT'!AL:AL,'Historico - FAT'!$K:$K,Faturamento!$L388,'Historico - FAT'!$I:$I,Faturamento!$J388,'Historico - FAT'!$G:$G,Faturamento!$H388)</f>
        <v>0</v>
      </c>
      <c r="AD388" s="31">
        <f>SUMIFS('Historico - FAT'!AM:AM,'Historico - FAT'!$K:$K,Faturamento!$L388,'Historico - FAT'!$I:$I,Faturamento!$J388,'Historico - FAT'!$G:$G,Faturamento!$H388)</f>
        <v>0</v>
      </c>
      <c r="AE388" s="27">
        <f>SUMIFS('Historico - FAT'!AN:AN,'Historico - FAT'!$K:$K,Faturamento!$L388,'Historico - FAT'!$I:$I,Faturamento!$J388,'Historico - FAT'!$G:$G,Faturamento!$H388)</f>
        <v>0</v>
      </c>
      <c r="AG388" s="24">
        <f t="shared" si="91"/>
        <v>1</v>
      </c>
      <c r="AH388" s="24">
        <f t="shared" si="92"/>
        <v>1</v>
      </c>
      <c r="AI388" s="24">
        <f t="shared" si="93"/>
        <v>1</v>
      </c>
    </row>
    <row r="389" spans="1:35" hidden="1" x14ac:dyDescent="0.3">
      <c r="A389" s="2" t="str">
        <f t="shared" si="90"/>
        <v>NÃO</v>
      </c>
      <c r="B389" s="2">
        <v>1000184670</v>
      </c>
      <c r="C389" s="2" t="s">
        <v>147</v>
      </c>
      <c r="D389" s="4">
        <v>1000186197</v>
      </c>
      <c r="E389" s="4" t="s">
        <v>166</v>
      </c>
      <c r="F389" s="2">
        <v>1000184757</v>
      </c>
      <c r="G389" s="2" t="s">
        <v>62</v>
      </c>
      <c r="H389" s="4">
        <v>1000189765</v>
      </c>
      <c r="I389" s="4" t="s">
        <v>99</v>
      </c>
      <c r="J389" s="2">
        <v>1000189270</v>
      </c>
      <c r="K389" s="2" t="s">
        <v>34</v>
      </c>
      <c r="L389" s="4" t="s">
        <v>33</v>
      </c>
      <c r="M389" s="4" t="str">
        <f t="shared" ref="M389:M452" si="97">_xlfn.CONCAT(B389,D389,H389,J389,L389,)</f>
        <v>1000184670100018619710001897651000189270FOOD SERVICE</v>
      </c>
      <c r="N389" s="28">
        <f>N384*_xlfn.XLOOKUP($L389,'Balizador da Meta'!$B$4:$B$21,'Balizador da Meta'!$C$4:$C$21)</f>
        <v>0</v>
      </c>
      <c r="O389" s="28">
        <f>O384*_xlfn.XLOOKUP($L389,'Balizador da Meta'!$B$4:$B$21,'Balizador da Meta'!$C$4:$C$21)</f>
        <v>0</v>
      </c>
      <c r="P389" s="28">
        <f>P384*_xlfn.XLOOKUP($L389,'Balizador da Meta'!$B$4:$B$21,'Balizador da Meta'!$C$4:$C$21)</f>
        <v>0</v>
      </c>
      <c r="Q389" s="28">
        <f>Q384*_xlfn.XLOOKUP($L389,'Balizador da Meta'!$B$4:$B$21,'Balizador da Meta'!$C$4:$C$21)</f>
        <v>0</v>
      </c>
      <c r="R389" s="28">
        <f>R384*_xlfn.XLOOKUP($L389,'Balizador da Meta'!$B$4:$B$21,'Balizador da Meta'!$C$4:$C$21)</f>
        <v>0</v>
      </c>
      <c r="S389" s="28">
        <f>S384*_xlfn.XLOOKUP($L389,'Balizador da Meta'!$B$4:$B$21,'Balizador da Meta'!$C$4:$C$21)</f>
        <v>0</v>
      </c>
      <c r="T389" s="28">
        <f>T384*_xlfn.XLOOKUP($L389,'Balizador da Meta'!$B$4:$B$21,'Balizador da Meta'!$C$4:$C$21)</f>
        <v>0</v>
      </c>
      <c r="U389" s="28">
        <f>U384*_xlfn.XLOOKUP($L389,'Balizador da Meta'!$B$4:$B$21,'Balizador da Meta'!$C$4:$C$21)</f>
        <v>0</v>
      </c>
      <c r="V389" s="28">
        <f>V384*_xlfn.XLOOKUP($L389,'Balizador da Meta'!$B$4:$B$21,'Balizador da Meta'!$C$4:$C$21)</f>
        <v>0</v>
      </c>
      <c r="W389" s="28">
        <f>W384*_xlfn.XLOOKUP($L389,'Balizador da Meta'!$B$4:$B$21,'Balizador da Meta'!$C$4:$C$21)</f>
        <v>0</v>
      </c>
      <c r="X389" s="28">
        <f>X384*_xlfn.XLOOKUP($L389,'Balizador da Meta'!$B$4:$B$21,'Balizador da Meta'!$C$4:$C$21)</f>
        <v>0</v>
      </c>
      <c r="Y389" s="28">
        <f>Y384*_xlfn.XLOOKUP($L389,'Balizador da Meta'!$B$4:$B$21,'Balizador da Meta'!$C$4:$C$21)</f>
        <v>0</v>
      </c>
      <c r="Z389" s="30">
        <f t="shared" si="96"/>
        <v>0</v>
      </c>
      <c r="AA389" s="29"/>
      <c r="AB389" s="31">
        <f>SUMIFS('Historico - FAT'!AK:AK,'Historico - FAT'!$K:$K,Faturamento!$L389,'Historico - FAT'!$I:$I,Faturamento!$J389,'Historico - FAT'!$G:$G,Faturamento!$H389)</f>
        <v>0</v>
      </c>
      <c r="AC389" s="31">
        <f>SUMIFS('Historico - FAT'!AL:AL,'Historico - FAT'!$K:$K,Faturamento!$L389,'Historico - FAT'!$I:$I,Faturamento!$J389,'Historico - FAT'!$G:$G,Faturamento!$H389)</f>
        <v>0</v>
      </c>
      <c r="AD389" s="31">
        <f>SUMIFS('Historico - FAT'!AM:AM,'Historico - FAT'!$K:$K,Faturamento!$L389,'Historico - FAT'!$I:$I,Faturamento!$J389,'Historico - FAT'!$G:$G,Faturamento!$H389)</f>
        <v>0</v>
      </c>
      <c r="AE389" s="27">
        <f>SUMIFS('Historico - FAT'!AN:AN,'Historico - FAT'!$K:$K,Faturamento!$L389,'Historico - FAT'!$I:$I,Faturamento!$J389,'Historico - FAT'!$G:$G,Faturamento!$H389)</f>
        <v>0</v>
      </c>
      <c r="AG389" s="24" t="str">
        <f t="shared" si="91"/>
        <v/>
      </c>
      <c r="AH389" s="24" t="str">
        <f t="shared" si="92"/>
        <v/>
      </c>
      <c r="AI389" s="24" t="str">
        <f t="shared" si="93"/>
        <v/>
      </c>
    </row>
    <row r="390" spans="1:35" hidden="1" x14ac:dyDescent="0.3">
      <c r="A390" s="2" t="str">
        <f t="shared" si="90"/>
        <v>NÃO</v>
      </c>
      <c r="B390" s="2">
        <v>1000184670</v>
      </c>
      <c r="C390" s="2" t="s">
        <v>147</v>
      </c>
      <c r="D390" s="4">
        <v>1000186197</v>
      </c>
      <c r="E390" s="4" t="s">
        <v>166</v>
      </c>
      <c r="F390" s="2">
        <v>1000184757</v>
      </c>
      <c r="G390" s="2" t="s">
        <v>62</v>
      </c>
      <c r="H390" s="4">
        <v>1000189765</v>
      </c>
      <c r="I390" s="4" t="s">
        <v>99</v>
      </c>
      <c r="J390" s="2">
        <v>1000189270</v>
      </c>
      <c r="K390" s="2" t="s">
        <v>34</v>
      </c>
      <c r="L390" s="4" t="s">
        <v>19</v>
      </c>
      <c r="M390" s="4" t="str">
        <f t="shared" si="97"/>
        <v>1000184670100018619710001897651000189270GELEIA</v>
      </c>
      <c r="N390" s="28">
        <f>N384*_xlfn.XLOOKUP($L390,'Balizador da Meta'!$B$4:$B$21,'Balizador da Meta'!$C$4:$C$21)</f>
        <v>23.999999999999996</v>
      </c>
      <c r="O390" s="28">
        <f>O384*_xlfn.XLOOKUP($L390,'Balizador da Meta'!$B$4:$B$21,'Balizador da Meta'!$C$4:$C$21)</f>
        <v>23.999999999999996</v>
      </c>
      <c r="P390" s="28">
        <f>P384*_xlfn.XLOOKUP($L390,'Balizador da Meta'!$B$4:$B$21,'Balizador da Meta'!$C$4:$C$21)</f>
        <v>23.999999999999996</v>
      </c>
      <c r="Q390" s="28">
        <f>Q384*_xlfn.XLOOKUP($L390,'Balizador da Meta'!$B$4:$B$21,'Balizador da Meta'!$C$4:$C$21)</f>
        <v>23.999999999999996</v>
      </c>
      <c r="R390" s="28">
        <f>R384*_xlfn.XLOOKUP($L390,'Balizador da Meta'!$B$4:$B$21,'Balizador da Meta'!$C$4:$C$21)</f>
        <v>23.999999999999996</v>
      </c>
      <c r="S390" s="28">
        <f>S384*_xlfn.XLOOKUP($L390,'Balizador da Meta'!$B$4:$B$21,'Balizador da Meta'!$C$4:$C$21)</f>
        <v>23.999999999999996</v>
      </c>
      <c r="T390" s="28">
        <f>T384*_xlfn.XLOOKUP($L390,'Balizador da Meta'!$B$4:$B$21,'Balizador da Meta'!$C$4:$C$21)</f>
        <v>23.999999999999996</v>
      </c>
      <c r="U390" s="28">
        <f>U384*_xlfn.XLOOKUP($L390,'Balizador da Meta'!$B$4:$B$21,'Balizador da Meta'!$C$4:$C$21)</f>
        <v>23.999999999999996</v>
      </c>
      <c r="V390" s="28">
        <f>V384*_xlfn.XLOOKUP($L390,'Balizador da Meta'!$B$4:$B$21,'Balizador da Meta'!$C$4:$C$21)</f>
        <v>23.999999999999996</v>
      </c>
      <c r="W390" s="28">
        <f>W384*_xlfn.XLOOKUP($L390,'Balizador da Meta'!$B$4:$B$21,'Balizador da Meta'!$C$4:$C$21)</f>
        <v>23.999999999999996</v>
      </c>
      <c r="X390" s="28">
        <f>X384*_xlfn.XLOOKUP($L390,'Balizador da Meta'!$B$4:$B$21,'Balizador da Meta'!$C$4:$C$21)</f>
        <v>23.999999999999996</v>
      </c>
      <c r="Y390" s="28">
        <f>Y384*_xlfn.XLOOKUP($L390,'Balizador da Meta'!$B$4:$B$21,'Balizador da Meta'!$C$4:$C$21)</f>
        <v>23.999999999999996</v>
      </c>
      <c r="Z390" s="30">
        <f t="shared" si="96"/>
        <v>287.99999999999994</v>
      </c>
      <c r="AA390" s="29"/>
      <c r="AB390" s="31">
        <f>SUMIFS('Historico - FAT'!AK:AK,'Historico - FAT'!$K:$K,Faturamento!$L390,'Historico - FAT'!$I:$I,Faturamento!$J390,'Historico - FAT'!$G:$G,Faturamento!$H390)</f>
        <v>0</v>
      </c>
      <c r="AC390" s="31">
        <f>SUMIFS('Historico - FAT'!AL:AL,'Historico - FAT'!$K:$K,Faturamento!$L390,'Historico - FAT'!$I:$I,Faturamento!$J390,'Historico - FAT'!$G:$G,Faturamento!$H390)</f>
        <v>0</v>
      </c>
      <c r="AD390" s="31">
        <f>SUMIFS('Historico - FAT'!AM:AM,'Historico - FAT'!$K:$K,Faturamento!$L390,'Historico - FAT'!$I:$I,Faturamento!$J390,'Historico - FAT'!$G:$G,Faturamento!$H390)</f>
        <v>0</v>
      </c>
      <c r="AE390" s="27">
        <f>SUMIFS('Historico - FAT'!AN:AN,'Historico - FAT'!$K:$K,Faturamento!$L390,'Historico - FAT'!$I:$I,Faturamento!$J390,'Historico - FAT'!$G:$G,Faturamento!$H390)</f>
        <v>0</v>
      </c>
      <c r="AG390" s="24">
        <f t="shared" si="91"/>
        <v>1</v>
      </c>
      <c r="AH390" s="24">
        <f t="shared" si="92"/>
        <v>1</v>
      </c>
      <c r="AI390" s="24">
        <f t="shared" si="93"/>
        <v>1</v>
      </c>
    </row>
    <row r="391" spans="1:35" hidden="1" x14ac:dyDescent="0.3">
      <c r="A391" s="2" t="str">
        <f t="shared" si="90"/>
        <v>NÃO</v>
      </c>
      <c r="B391" s="2">
        <v>1000184670</v>
      </c>
      <c r="C391" s="2" t="s">
        <v>147</v>
      </c>
      <c r="D391" s="4">
        <v>1000186197</v>
      </c>
      <c r="E391" s="4" t="s">
        <v>166</v>
      </c>
      <c r="F391" s="2">
        <v>1000184757</v>
      </c>
      <c r="G391" s="2" t="s">
        <v>62</v>
      </c>
      <c r="H391" s="4">
        <v>1000189765</v>
      </c>
      <c r="I391" s="4" t="s">
        <v>99</v>
      </c>
      <c r="J391" s="2">
        <v>1000189270</v>
      </c>
      <c r="K391" s="2" t="s">
        <v>34</v>
      </c>
      <c r="L391" s="4" t="s">
        <v>17</v>
      </c>
      <c r="M391" s="4" t="str">
        <f t="shared" si="97"/>
        <v>1000184670100018619710001897651000189270GRANOLA</v>
      </c>
      <c r="N391" s="28">
        <f>N384*_xlfn.XLOOKUP($L391,'Balizador da Meta'!$B$4:$B$21,'Balizador da Meta'!$C$4:$C$21)</f>
        <v>24</v>
      </c>
      <c r="O391" s="28">
        <f>O384*_xlfn.XLOOKUP($L391,'Balizador da Meta'!$B$4:$B$21,'Balizador da Meta'!$C$4:$C$21)</f>
        <v>24</v>
      </c>
      <c r="P391" s="28">
        <f>P384*_xlfn.XLOOKUP($L391,'Balizador da Meta'!$B$4:$B$21,'Balizador da Meta'!$C$4:$C$21)</f>
        <v>24</v>
      </c>
      <c r="Q391" s="28">
        <f>Q384*_xlfn.XLOOKUP($L391,'Balizador da Meta'!$B$4:$B$21,'Balizador da Meta'!$C$4:$C$21)</f>
        <v>24</v>
      </c>
      <c r="R391" s="28">
        <f>R384*_xlfn.XLOOKUP($L391,'Balizador da Meta'!$B$4:$B$21,'Balizador da Meta'!$C$4:$C$21)</f>
        <v>24</v>
      </c>
      <c r="S391" s="28">
        <f>S384*_xlfn.XLOOKUP($L391,'Balizador da Meta'!$B$4:$B$21,'Balizador da Meta'!$C$4:$C$21)</f>
        <v>24</v>
      </c>
      <c r="T391" s="28">
        <f>T384*_xlfn.XLOOKUP($L391,'Balizador da Meta'!$B$4:$B$21,'Balizador da Meta'!$C$4:$C$21)</f>
        <v>24</v>
      </c>
      <c r="U391" s="28">
        <f>U384*_xlfn.XLOOKUP($L391,'Balizador da Meta'!$B$4:$B$21,'Balizador da Meta'!$C$4:$C$21)</f>
        <v>24</v>
      </c>
      <c r="V391" s="28">
        <f>V384*_xlfn.XLOOKUP($L391,'Balizador da Meta'!$B$4:$B$21,'Balizador da Meta'!$C$4:$C$21)</f>
        <v>24</v>
      </c>
      <c r="W391" s="28">
        <f>W384*_xlfn.XLOOKUP($L391,'Balizador da Meta'!$B$4:$B$21,'Balizador da Meta'!$C$4:$C$21)</f>
        <v>24</v>
      </c>
      <c r="X391" s="28">
        <f>X384*_xlfn.XLOOKUP($L391,'Balizador da Meta'!$B$4:$B$21,'Balizador da Meta'!$C$4:$C$21)</f>
        <v>24</v>
      </c>
      <c r="Y391" s="28">
        <f>Y384*_xlfn.XLOOKUP($L391,'Balizador da Meta'!$B$4:$B$21,'Balizador da Meta'!$C$4:$C$21)</f>
        <v>24</v>
      </c>
      <c r="Z391" s="30">
        <f t="shared" si="96"/>
        <v>288</v>
      </c>
      <c r="AA391" s="29"/>
      <c r="AB391" s="31">
        <f>SUMIFS('Historico - FAT'!AK:AK,'Historico - FAT'!$K:$K,Faturamento!$L391,'Historico - FAT'!$I:$I,Faturamento!$J391,'Historico - FAT'!$G:$G,Faturamento!$H391)</f>
        <v>0</v>
      </c>
      <c r="AC391" s="31">
        <f>SUMIFS('Historico - FAT'!AL:AL,'Historico - FAT'!$K:$K,Faturamento!$L391,'Historico - FAT'!$I:$I,Faturamento!$J391,'Historico - FAT'!$G:$G,Faturamento!$H391)</f>
        <v>0</v>
      </c>
      <c r="AD391" s="31">
        <f>SUMIFS('Historico - FAT'!AM:AM,'Historico - FAT'!$K:$K,Faturamento!$L391,'Historico - FAT'!$I:$I,Faturamento!$J391,'Historico - FAT'!$G:$G,Faturamento!$H391)</f>
        <v>0</v>
      </c>
      <c r="AE391" s="27">
        <f>SUMIFS('Historico - FAT'!AN:AN,'Historico - FAT'!$K:$K,Faturamento!$L391,'Historico - FAT'!$I:$I,Faturamento!$J391,'Historico - FAT'!$G:$G,Faturamento!$H391)</f>
        <v>0</v>
      </c>
      <c r="AG391" s="24">
        <f t="shared" si="91"/>
        <v>1</v>
      </c>
      <c r="AH391" s="24">
        <f t="shared" si="92"/>
        <v>1</v>
      </c>
      <c r="AI391" s="24">
        <f t="shared" si="93"/>
        <v>1</v>
      </c>
    </row>
    <row r="392" spans="1:35" hidden="1" x14ac:dyDescent="0.3">
      <c r="A392" s="2" t="str">
        <f t="shared" si="90"/>
        <v>NÃO</v>
      </c>
      <c r="B392" s="2">
        <v>1000184670</v>
      </c>
      <c r="C392" s="2" t="s">
        <v>147</v>
      </c>
      <c r="D392" s="4">
        <v>1000186197</v>
      </c>
      <c r="E392" s="4" t="s">
        <v>166</v>
      </c>
      <c r="F392" s="2">
        <v>1000184757</v>
      </c>
      <c r="G392" s="2" t="s">
        <v>62</v>
      </c>
      <c r="H392" s="4">
        <v>1000189765</v>
      </c>
      <c r="I392" s="4" t="s">
        <v>99</v>
      </c>
      <c r="J392" s="2">
        <v>1000189270</v>
      </c>
      <c r="K392" s="2" t="s">
        <v>34</v>
      </c>
      <c r="L392" s="4" t="s">
        <v>24</v>
      </c>
      <c r="M392" s="4" t="str">
        <f t="shared" si="97"/>
        <v>1000184670100018619710001897651000189270KIDS</v>
      </c>
      <c r="N392" s="28">
        <f>N384*_xlfn.XLOOKUP($L392,'Balizador da Meta'!$B$4:$B$21,'Balizador da Meta'!$C$4:$C$21)</f>
        <v>0</v>
      </c>
      <c r="O392" s="28">
        <f>O384*_xlfn.XLOOKUP($L392,'Balizador da Meta'!$B$4:$B$21,'Balizador da Meta'!$C$4:$C$21)</f>
        <v>0</v>
      </c>
      <c r="P392" s="28">
        <f>P384*_xlfn.XLOOKUP($L392,'Balizador da Meta'!$B$4:$B$21,'Balizador da Meta'!$C$4:$C$21)</f>
        <v>0</v>
      </c>
      <c r="Q392" s="28">
        <f>Q384*_xlfn.XLOOKUP($L392,'Balizador da Meta'!$B$4:$B$21,'Balizador da Meta'!$C$4:$C$21)</f>
        <v>0</v>
      </c>
      <c r="R392" s="28">
        <f>R384*_xlfn.XLOOKUP($L392,'Balizador da Meta'!$B$4:$B$21,'Balizador da Meta'!$C$4:$C$21)</f>
        <v>0</v>
      </c>
      <c r="S392" s="28">
        <f>S384*_xlfn.XLOOKUP($L392,'Balizador da Meta'!$B$4:$B$21,'Balizador da Meta'!$C$4:$C$21)</f>
        <v>0</v>
      </c>
      <c r="T392" s="28">
        <f>T384*_xlfn.XLOOKUP($L392,'Balizador da Meta'!$B$4:$B$21,'Balizador da Meta'!$C$4:$C$21)</f>
        <v>0</v>
      </c>
      <c r="U392" s="28">
        <f>U384*_xlfn.XLOOKUP($L392,'Balizador da Meta'!$B$4:$B$21,'Balizador da Meta'!$C$4:$C$21)</f>
        <v>0</v>
      </c>
      <c r="V392" s="28">
        <f>V384*_xlfn.XLOOKUP($L392,'Balizador da Meta'!$B$4:$B$21,'Balizador da Meta'!$C$4:$C$21)</f>
        <v>0</v>
      </c>
      <c r="W392" s="28">
        <f>W384*_xlfn.XLOOKUP($L392,'Balizador da Meta'!$B$4:$B$21,'Balizador da Meta'!$C$4:$C$21)</f>
        <v>0</v>
      </c>
      <c r="X392" s="28">
        <f>X384*_xlfn.XLOOKUP($L392,'Balizador da Meta'!$B$4:$B$21,'Balizador da Meta'!$C$4:$C$21)</f>
        <v>0</v>
      </c>
      <c r="Y392" s="28">
        <f>Y384*_xlfn.XLOOKUP($L392,'Balizador da Meta'!$B$4:$B$21,'Balizador da Meta'!$C$4:$C$21)</f>
        <v>0</v>
      </c>
      <c r="Z392" s="30">
        <f t="shared" si="96"/>
        <v>0</v>
      </c>
      <c r="AA392" s="29"/>
      <c r="AB392" s="31">
        <f>SUMIFS('Historico - FAT'!AK:AK,'Historico - FAT'!$K:$K,Faturamento!$L392,'Historico - FAT'!$I:$I,Faturamento!$J392,'Historico - FAT'!$G:$G,Faturamento!$H392)</f>
        <v>0</v>
      </c>
      <c r="AC392" s="31">
        <f>SUMIFS('Historico - FAT'!AL:AL,'Historico - FAT'!$K:$K,Faturamento!$L392,'Historico - FAT'!$I:$I,Faturamento!$J392,'Historico - FAT'!$G:$G,Faturamento!$H392)</f>
        <v>10.365</v>
      </c>
      <c r="AD392" s="31">
        <f>SUMIFS('Historico - FAT'!AM:AM,'Historico - FAT'!$K:$K,Faturamento!$L392,'Historico - FAT'!$I:$I,Faturamento!$J392,'Historico - FAT'!$G:$G,Faturamento!$H392)</f>
        <v>20.73</v>
      </c>
      <c r="AE392" s="27">
        <f>SUMIFS('Historico - FAT'!AN:AN,'Historico - FAT'!$K:$K,Faturamento!$L392,'Historico - FAT'!$I:$I,Faturamento!$J392,'Historico - FAT'!$G:$G,Faturamento!$H392)</f>
        <v>12.437999999999999</v>
      </c>
      <c r="AG392" s="24" t="str">
        <f t="shared" si="91"/>
        <v/>
      </c>
      <c r="AH392" s="24" t="str">
        <f t="shared" si="92"/>
        <v/>
      </c>
      <c r="AI392" s="24" t="str">
        <f t="shared" si="93"/>
        <v/>
      </c>
    </row>
    <row r="393" spans="1:35" hidden="1" x14ac:dyDescent="0.3">
      <c r="A393" s="2" t="str">
        <f t="shared" si="90"/>
        <v>NÃO</v>
      </c>
      <c r="B393" s="2">
        <v>1000184670</v>
      </c>
      <c r="C393" s="2" t="s">
        <v>147</v>
      </c>
      <c r="D393" s="4">
        <v>1000186197</v>
      </c>
      <c r="E393" s="4" t="s">
        <v>166</v>
      </c>
      <c r="F393" s="2">
        <v>1000184757</v>
      </c>
      <c r="G393" s="2" t="s">
        <v>62</v>
      </c>
      <c r="H393" s="4">
        <v>1000189765</v>
      </c>
      <c r="I393" s="4" t="s">
        <v>99</v>
      </c>
      <c r="J393" s="2">
        <v>1000189270</v>
      </c>
      <c r="K393" s="2" t="s">
        <v>34</v>
      </c>
      <c r="L393" s="4" t="s">
        <v>18</v>
      </c>
      <c r="M393" s="4" t="str">
        <f t="shared" si="97"/>
        <v>1000184670100018619710001897651000189270LANCHES</v>
      </c>
      <c r="N393" s="28">
        <f>N384*_xlfn.XLOOKUP($L393,'Balizador da Meta'!$B$4:$B$21,'Balizador da Meta'!$C$4:$C$21)</f>
        <v>12</v>
      </c>
      <c r="O393" s="28">
        <f>O384*_xlfn.XLOOKUP($L393,'Balizador da Meta'!$B$4:$B$21,'Balizador da Meta'!$C$4:$C$21)</f>
        <v>12</v>
      </c>
      <c r="P393" s="28">
        <f>P384*_xlfn.XLOOKUP($L393,'Balizador da Meta'!$B$4:$B$21,'Balizador da Meta'!$C$4:$C$21)</f>
        <v>12</v>
      </c>
      <c r="Q393" s="28">
        <f>Q384*_xlfn.XLOOKUP($L393,'Balizador da Meta'!$B$4:$B$21,'Balizador da Meta'!$C$4:$C$21)</f>
        <v>12</v>
      </c>
      <c r="R393" s="28">
        <f>R384*_xlfn.XLOOKUP($L393,'Balizador da Meta'!$B$4:$B$21,'Balizador da Meta'!$C$4:$C$21)</f>
        <v>12</v>
      </c>
      <c r="S393" s="28">
        <f>S384*_xlfn.XLOOKUP($L393,'Balizador da Meta'!$B$4:$B$21,'Balizador da Meta'!$C$4:$C$21)</f>
        <v>12</v>
      </c>
      <c r="T393" s="28">
        <f>T384*_xlfn.XLOOKUP($L393,'Balizador da Meta'!$B$4:$B$21,'Balizador da Meta'!$C$4:$C$21)</f>
        <v>12</v>
      </c>
      <c r="U393" s="28">
        <f>U384*_xlfn.XLOOKUP($L393,'Balizador da Meta'!$B$4:$B$21,'Balizador da Meta'!$C$4:$C$21)</f>
        <v>12</v>
      </c>
      <c r="V393" s="28">
        <f>V384*_xlfn.XLOOKUP($L393,'Balizador da Meta'!$B$4:$B$21,'Balizador da Meta'!$C$4:$C$21)</f>
        <v>12</v>
      </c>
      <c r="W393" s="28">
        <f>W384*_xlfn.XLOOKUP($L393,'Balizador da Meta'!$B$4:$B$21,'Balizador da Meta'!$C$4:$C$21)</f>
        <v>12</v>
      </c>
      <c r="X393" s="28">
        <f>X384*_xlfn.XLOOKUP($L393,'Balizador da Meta'!$B$4:$B$21,'Balizador da Meta'!$C$4:$C$21)</f>
        <v>12</v>
      </c>
      <c r="Y393" s="28">
        <f>Y384*_xlfn.XLOOKUP($L393,'Balizador da Meta'!$B$4:$B$21,'Balizador da Meta'!$C$4:$C$21)</f>
        <v>12</v>
      </c>
      <c r="Z393" s="30">
        <f t="shared" si="96"/>
        <v>144</v>
      </c>
      <c r="AA393" s="29"/>
      <c r="AB393" s="31">
        <f>SUMIFS('Historico - FAT'!AK:AK,'Historico - FAT'!$K:$K,Faturamento!$L393,'Historico - FAT'!$I:$I,Faturamento!$J393,'Historico - FAT'!$G:$G,Faturamento!$H393)</f>
        <v>0</v>
      </c>
      <c r="AC393" s="31">
        <f>SUMIFS('Historico - FAT'!AL:AL,'Historico - FAT'!$K:$K,Faturamento!$L393,'Historico - FAT'!$I:$I,Faturamento!$J393,'Historico - FAT'!$G:$G,Faturamento!$H393)</f>
        <v>8.543333333333333</v>
      </c>
      <c r="AD393" s="31">
        <f>SUMIFS('Historico - FAT'!AM:AM,'Historico - FAT'!$K:$K,Faturamento!$L393,'Historico - FAT'!$I:$I,Faturamento!$J393,'Historico - FAT'!$G:$G,Faturamento!$H393)</f>
        <v>17.086666666666666</v>
      </c>
      <c r="AE393" s="27">
        <f>SUMIFS('Historico - FAT'!AN:AN,'Historico - FAT'!$K:$K,Faturamento!$L393,'Historico - FAT'!$I:$I,Faturamento!$J393,'Historico - FAT'!$G:$G,Faturamento!$H393)</f>
        <v>10.251999999999999</v>
      </c>
      <c r="AG393" s="24">
        <f t="shared" si="91"/>
        <v>1</v>
      </c>
      <c r="AH393" s="24">
        <f t="shared" si="92"/>
        <v>0.28805555555555556</v>
      </c>
      <c r="AI393" s="24">
        <f t="shared" si="93"/>
        <v>-0.42388888888888882</v>
      </c>
    </row>
    <row r="394" spans="1:35" hidden="1" x14ac:dyDescent="0.3">
      <c r="A394" s="2" t="str">
        <f t="shared" si="90"/>
        <v>NÃO</v>
      </c>
      <c r="B394" s="2">
        <v>1000184670</v>
      </c>
      <c r="C394" s="2" t="s">
        <v>147</v>
      </c>
      <c r="D394" s="4">
        <v>1000186197</v>
      </c>
      <c r="E394" s="4" t="s">
        <v>166</v>
      </c>
      <c r="F394" s="2">
        <v>1000184757</v>
      </c>
      <c r="G394" s="2" t="s">
        <v>62</v>
      </c>
      <c r="H394" s="4">
        <v>1000189765</v>
      </c>
      <c r="I394" s="4" t="s">
        <v>99</v>
      </c>
      <c r="J394" s="2">
        <v>1000189270</v>
      </c>
      <c r="K394" s="2" t="s">
        <v>34</v>
      </c>
      <c r="L394" s="4" t="s">
        <v>29</v>
      </c>
      <c r="M394" s="4" t="str">
        <f t="shared" si="97"/>
        <v>1000184670100018619710001897651000189270MAIS GRANEL</v>
      </c>
      <c r="N394" s="28">
        <f>N384*_xlfn.XLOOKUP($L394,'Balizador da Meta'!$B$4:$B$21,'Balizador da Meta'!$C$4:$C$21)</f>
        <v>384</v>
      </c>
      <c r="O394" s="28">
        <f>O384*_xlfn.XLOOKUP($L394,'Balizador da Meta'!$B$4:$B$21,'Balizador da Meta'!$C$4:$C$21)</f>
        <v>384</v>
      </c>
      <c r="P394" s="28">
        <f>P384*_xlfn.XLOOKUP($L394,'Balizador da Meta'!$B$4:$B$21,'Balizador da Meta'!$C$4:$C$21)</f>
        <v>384</v>
      </c>
      <c r="Q394" s="28">
        <f>Q384*_xlfn.XLOOKUP($L394,'Balizador da Meta'!$B$4:$B$21,'Balizador da Meta'!$C$4:$C$21)</f>
        <v>384</v>
      </c>
      <c r="R394" s="28">
        <f>R384*_xlfn.XLOOKUP($L394,'Balizador da Meta'!$B$4:$B$21,'Balizador da Meta'!$C$4:$C$21)</f>
        <v>384</v>
      </c>
      <c r="S394" s="28">
        <f>S384*_xlfn.XLOOKUP($L394,'Balizador da Meta'!$B$4:$B$21,'Balizador da Meta'!$C$4:$C$21)</f>
        <v>384</v>
      </c>
      <c r="T394" s="28">
        <f>T384*_xlfn.XLOOKUP($L394,'Balizador da Meta'!$B$4:$B$21,'Balizador da Meta'!$C$4:$C$21)</f>
        <v>384</v>
      </c>
      <c r="U394" s="28">
        <f>U384*_xlfn.XLOOKUP($L394,'Balizador da Meta'!$B$4:$B$21,'Balizador da Meta'!$C$4:$C$21)</f>
        <v>384</v>
      </c>
      <c r="V394" s="28">
        <f>V384*_xlfn.XLOOKUP($L394,'Balizador da Meta'!$B$4:$B$21,'Balizador da Meta'!$C$4:$C$21)</f>
        <v>384</v>
      </c>
      <c r="W394" s="28">
        <f>W384*_xlfn.XLOOKUP($L394,'Balizador da Meta'!$B$4:$B$21,'Balizador da Meta'!$C$4:$C$21)</f>
        <v>384</v>
      </c>
      <c r="X394" s="28">
        <f>X384*_xlfn.XLOOKUP($L394,'Balizador da Meta'!$B$4:$B$21,'Balizador da Meta'!$C$4:$C$21)</f>
        <v>384</v>
      </c>
      <c r="Y394" s="28">
        <f>Y384*_xlfn.XLOOKUP($L394,'Balizador da Meta'!$B$4:$B$21,'Balizador da Meta'!$C$4:$C$21)</f>
        <v>384</v>
      </c>
      <c r="Z394" s="30">
        <f t="shared" si="96"/>
        <v>4608</v>
      </c>
      <c r="AA394" s="29"/>
      <c r="AB394" s="31">
        <f>SUMIFS('Historico - FAT'!AK:AK,'Historico - FAT'!$K:$K,Faturamento!$L394,'Historico - FAT'!$I:$I,Faturamento!$J394,'Historico - FAT'!$G:$G,Faturamento!$H394)</f>
        <v>0</v>
      </c>
      <c r="AC394" s="31">
        <f>SUMIFS('Historico - FAT'!AL:AL,'Historico - FAT'!$K:$K,Faturamento!$L394,'Historico - FAT'!$I:$I,Faturamento!$J394,'Historico - FAT'!$G:$G,Faturamento!$H394)</f>
        <v>0</v>
      </c>
      <c r="AD394" s="31">
        <f>SUMIFS('Historico - FAT'!AM:AM,'Historico - FAT'!$K:$K,Faturamento!$L394,'Historico - FAT'!$I:$I,Faturamento!$J394,'Historico - FAT'!$G:$G,Faturamento!$H394)</f>
        <v>0</v>
      </c>
      <c r="AE394" s="27">
        <f>SUMIFS('Historico - FAT'!AN:AN,'Historico - FAT'!$K:$K,Faturamento!$L394,'Historico - FAT'!$I:$I,Faturamento!$J394,'Historico - FAT'!$G:$G,Faturamento!$H394)</f>
        <v>0</v>
      </c>
      <c r="AG394" s="24">
        <f t="shared" si="91"/>
        <v>1</v>
      </c>
      <c r="AH394" s="24">
        <f t="shared" si="92"/>
        <v>1</v>
      </c>
      <c r="AI394" s="24">
        <f t="shared" si="93"/>
        <v>1</v>
      </c>
    </row>
    <row r="395" spans="1:35" hidden="1" x14ac:dyDescent="0.3">
      <c r="A395" s="2" t="str">
        <f t="shared" si="90"/>
        <v>NÃO</v>
      </c>
      <c r="B395" s="2">
        <v>1000184670</v>
      </c>
      <c r="C395" s="2" t="s">
        <v>147</v>
      </c>
      <c r="D395" s="4">
        <v>1000186197</v>
      </c>
      <c r="E395" s="4" t="s">
        <v>166</v>
      </c>
      <c r="F395" s="2">
        <v>1000184757</v>
      </c>
      <c r="G395" s="2" t="s">
        <v>62</v>
      </c>
      <c r="H395" s="4">
        <v>1000189765</v>
      </c>
      <c r="I395" s="4" t="s">
        <v>99</v>
      </c>
      <c r="J395" s="2">
        <v>1000189270</v>
      </c>
      <c r="K395" s="2" t="s">
        <v>34</v>
      </c>
      <c r="L395" s="4" t="s">
        <v>21</v>
      </c>
      <c r="M395" s="4" t="str">
        <f t="shared" si="97"/>
        <v>1000184670100018619710001897651000189270NATURATTA</v>
      </c>
      <c r="N395" s="28">
        <f>N384*_xlfn.XLOOKUP($L395,'Balizador da Meta'!$B$4:$B$21,'Balizador da Meta'!$C$4:$C$21)</f>
        <v>60</v>
      </c>
      <c r="O395" s="28">
        <f>O384*_xlfn.XLOOKUP($L395,'Balizador da Meta'!$B$4:$B$21,'Balizador da Meta'!$C$4:$C$21)</f>
        <v>60</v>
      </c>
      <c r="P395" s="28">
        <f>P384*_xlfn.XLOOKUP($L395,'Balizador da Meta'!$B$4:$B$21,'Balizador da Meta'!$C$4:$C$21)</f>
        <v>60</v>
      </c>
      <c r="Q395" s="28">
        <f>Q384*_xlfn.XLOOKUP($L395,'Balizador da Meta'!$B$4:$B$21,'Balizador da Meta'!$C$4:$C$21)</f>
        <v>60</v>
      </c>
      <c r="R395" s="28">
        <f>R384*_xlfn.XLOOKUP($L395,'Balizador da Meta'!$B$4:$B$21,'Balizador da Meta'!$C$4:$C$21)</f>
        <v>60</v>
      </c>
      <c r="S395" s="28">
        <f>S384*_xlfn.XLOOKUP($L395,'Balizador da Meta'!$B$4:$B$21,'Balizador da Meta'!$C$4:$C$21)</f>
        <v>60</v>
      </c>
      <c r="T395" s="28">
        <f>T384*_xlfn.XLOOKUP($L395,'Balizador da Meta'!$B$4:$B$21,'Balizador da Meta'!$C$4:$C$21)</f>
        <v>60</v>
      </c>
      <c r="U395" s="28">
        <f>U384*_xlfn.XLOOKUP($L395,'Balizador da Meta'!$B$4:$B$21,'Balizador da Meta'!$C$4:$C$21)</f>
        <v>60</v>
      </c>
      <c r="V395" s="28">
        <f>V384*_xlfn.XLOOKUP($L395,'Balizador da Meta'!$B$4:$B$21,'Balizador da Meta'!$C$4:$C$21)</f>
        <v>60</v>
      </c>
      <c r="W395" s="28">
        <f>W384*_xlfn.XLOOKUP($L395,'Balizador da Meta'!$B$4:$B$21,'Balizador da Meta'!$C$4:$C$21)</f>
        <v>60</v>
      </c>
      <c r="X395" s="28">
        <f>X384*_xlfn.XLOOKUP($L395,'Balizador da Meta'!$B$4:$B$21,'Balizador da Meta'!$C$4:$C$21)</f>
        <v>60</v>
      </c>
      <c r="Y395" s="28">
        <f>Y384*_xlfn.XLOOKUP($L395,'Balizador da Meta'!$B$4:$B$21,'Balizador da Meta'!$C$4:$C$21)</f>
        <v>60</v>
      </c>
      <c r="Z395" s="30">
        <f t="shared" si="96"/>
        <v>720</v>
      </c>
      <c r="AA395" s="29"/>
      <c r="AB395" s="31">
        <f>SUMIFS('Historico - FAT'!AK:AK,'Historico - FAT'!$K:$K,Faturamento!$L395,'Historico - FAT'!$I:$I,Faturamento!$J395,'Historico - FAT'!$G:$G,Faturamento!$H395)</f>
        <v>0</v>
      </c>
      <c r="AC395" s="31">
        <f>SUMIFS('Historico - FAT'!AL:AL,'Historico - FAT'!$K:$K,Faturamento!$L395,'Historico - FAT'!$I:$I,Faturamento!$J395,'Historico - FAT'!$G:$G,Faturamento!$H395)</f>
        <v>23.296666666666667</v>
      </c>
      <c r="AD395" s="31">
        <f>SUMIFS('Historico - FAT'!AM:AM,'Historico - FAT'!$K:$K,Faturamento!$L395,'Historico - FAT'!$I:$I,Faturamento!$J395,'Historico - FAT'!$G:$G,Faturamento!$H395)</f>
        <v>46.593333333333334</v>
      </c>
      <c r="AE395" s="27">
        <f>SUMIFS('Historico - FAT'!AN:AN,'Historico - FAT'!$K:$K,Faturamento!$L395,'Historico - FAT'!$I:$I,Faturamento!$J395,'Historico - FAT'!$G:$G,Faturamento!$H395)</f>
        <v>27.956</v>
      </c>
      <c r="AG395" s="24">
        <f t="shared" si="91"/>
        <v>1</v>
      </c>
      <c r="AH395" s="24">
        <f t="shared" si="92"/>
        <v>0.61172222222222217</v>
      </c>
      <c r="AI395" s="24">
        <f t="shared" si="93"/>
        <v>0.22344444444444445</v>
      </c>
    </row>
    <row r="396" spans="1:35" hidden="1" x14ac:dyDescent="0.3">
      <c r="A396" s="2" t="str">
        <f t="shared" si="90"/>
        <v>NÃO</v>
      </c>
      <c r="B396" s="2">
        <v>1000184670</v>
      </c>
      <c r="C396" s="2" t="s">
        <v>147</v>
      </c>
      <c r="D396" s="4">
        <v>1000186197</v>
      </c>
      <c r="E396" s="4" t="s">
        <v>166</v>
      </c>
      <c r="F396" s="2">
        <v>1000184757</v>
      </c>
      <c r="G396" s="2" t="s">
        <v>62</v>
      </c>
      <c r="H396" s="4">
        <v>1000189765</v>
      </c>
      <c r="I396" s="4" t="s">
        <v>99</v>
      </c>
      <c r="J396" s="2">
        <v>1000189270</v>
      </c>
      <c r="K396" s="2" t="s">
        <v>34</v>
      </c>
      <c r="L396" s="4" t="s">
        <v>20</v>
      </c>
      <c r="M396" s="4" t="str">
        <f t="shared" si="97"/>
        <v>1000184670100018619710001897651000189270REEMBALADOS</v>
      </c>
      <c r="N396" s="28">
        <f>N384*_xlfn.XLOOKUP($L396,'Balizador da Meta'!$B$4:$B$21,'Balizador da Meta'!$C$4:$C$21)</f>
        <v>48</v>
      </c>
      <c r="O396" s="28">
        <f>O384*_xlfn.XLOOKUP($L396,'Balizador da Meta'!$B$4:$B$21,'Balizador da Meta'!$C$4:$C$21)</f>
        <v>48</v>
      </c>
      <c r="P396" s="28">
        <f>P384*_xlfn.XLOOKUP($L396,'Balizador da Meta'!$B$4:$B$21,'Balizador da Meta'!$C$4:$C$21)</f>
        <v>48</v>
      </c>
      <c r="Q396" s="28">
        <f>Q384*_xlfn.XLOOKUP($L396,'Balizador da Meta'!$B$4:$B$21,'Balizador da Meta'!$C$4:$C$21)</f>
        <v>48</v>
      </c>
      <c r="R396" s="28">
        <f>R384*_xlfn.XLOOKUP($L396,'Balizador da Meta'!$B$4:$B$21,'Balizador da Meta'!$C$4:$C$21)</f>
        <v>48</v>
      </c>
      <c r="S396" s="28">
        <f>S384*_xlfn.XLOOKUP($L396,'Balizador da Meta'!$B$4:$B$21,'Balizador da Meta'!$C$4:$C$21)</f>
        <v>48</v>
      </c>
      <c r="T396" s="28">
        <f>T384*_xlfn.XLOOKUP($L396,'Balizador da Meta'!$B$4:$B$21,'Balizador da Meta'!$C$4:$C$21)</f>
        <v>48</v>
      </c>
      <c r="U396" s="28">
        <f>U384*_xlfn.XLOOKUP($L396,'Balizador da Meta'!$B$4:$B$21,'Balizador da Meta'!$C$4:$C$21)</f>
        <v>48</v>
      </c>
      <c r="V396" s="28">
        <f>V384*_xlfn.XLOOKUP($L396,'Balizador da Meta'!$B$4:$B$21,'Balizador da Meta'!$C$4:$C$21)</f>
        <v>48</v>
      </c>
      <c r="W396" s="28">
        <f>W384*_xlfn.XLOOKUP($L396,'Balizador da Meta'!$B$4:$B$21,'Balizador da Meta'!$C$4:$C$21)</f>
        <v>48</v>
      </c>
      <c r="X396" s="28">
        <f>X384*_xlfn.XLOOKUP($L396,'Balizador da Meta'!$B$4:$B$21,'Balizador da Meta'!$C$4:$C$21)</f>
        <v>48</v>
      </c>
      <c r="Y396" s="28">
        <f>Y384*_xlfn.XLOOKUP($L396,'Balizador da Meta'!$B$4:$B$21,'Balizador da Meta'!$C$4:$C$21)</f>
        <v>48</v>
      </c>
      <c r="Z396" s="30">
        <f t="shared" si="96"/>
        <v>576</v>
      </c>
      <c r="AA396" s="29"/>
      <c r="AB396" s="31">
        <f>SUMIFS('Historico - FAT'!AK:AK,'Historico - FAT'!$K:$K,Faturamento!$L396,'Historico - FAT'!$I:$I,Faturamento!$J396,'Historico - FAT'!$G:$G,Faturamento!$H396)</f>
        <v>0</v>
      </c>
      <c r="AC396" s="31">
        <f>SUMIFS('Historico - FAT'!AL:AL,'Historico - FAT'!$K:$K,Faturamento!$L396,'Historico - FAT'!$I:$I,Faturamento!$J396,'Historico - FAT'!$G:$G,Faturamento!$H396)</f>
        <v>0</v>
      </c>
      <c r="AD396" s="31">
        <f>SUMIFS('Historico - FAT'!AM:AM,'Historico - FAT'!$K:$K,Faturamento!$L396,'Historico - FAT'!$I:$I,Faturamento!$J396,'Historico - FAT'!$G:$G,Faturamento!$H396)</f>
        <v>0</v>
      </c>
      <c r="AE396" s="27">
        <f>SUMIFS('Historico - FAT'!AN:AN,'Historico - FAT'!$K:$K,Faturamento!$L396,'Historico - FAT'!$I:$I,Faturamento!$J396,'Historico - FAT'!$G:$G,Faturamento!$H396)</f>
        <v>0</v>
      </c>
      <c r="AG396" s="24">
        <f t="shared" si="91"/>
        <v>1</v>
      </c>
      <c r="AH396" s="24">
        <f t="shared" si="92"/>
        <v>1</v>
      </c>
      <c r="AI396" s="24">
        <f t="shared" si="93"/>
        <v>1</v>
      </c>
    </row>
    <row r="397" spans="1:35" hidden="1" x14ac:dyDescent="0.3">
      <c r="A397" s="2" t="str">
        <f t="shared" si="90"/>
        <v>NÃO</v>
      </c>
      <c r="B397" s="2">
        <v>1000184670</v>
      </c>
      <c r="C397" s="2" t="s">
        <v>147</v>
      </c>
      <c r="D397" s="4">
        <v>1000186197</v>
      </c>
      <c r="E397" s="4" t="s">
        <v>166</v>
      </c>
      <c r="F397" s="2">
        <v>1000184757</v>
      </c>
      <c r="G397" s="2" t="s">
        <v>62</v>
      </c>
      <c r="H397" s="4">
        <v>1000189765</v>
      </c>
      <c r="I397" s="4" t="s">
        <v>99</v>
      </c>
      <c r="J397" s="2">
        <v>1000189270</v>
      </c>
      <c r="K397" s="2" t="s">
        <v>34</v>
      </c>
      <c r="L397" s="4" t="s">
        <v>22</v>
      </c>
      <c r="M397" s="4" t="str">
        <f t="shared" si="97"/>
        <v>1000184670100018619710001897651000189270S GLUTEN</v>
      </c>
      <c r="N397" s="28">
        <f>N384*_xlfn.XLOOKUP($L397,'Balizador da Meta'!$B$4:$B$21,'Balizador da Meta'!$C$4:$C$21)</f>
        <v>48</v>
      </c>
      <c r="O397" s="28">
        <f>O384*_xlfn.XLOOKUP($L397,'Balizador da Meta'!$B$4:$B$21,'Balizador da Meta'!$C$4:$C$21)</f>
        <v>48</v>
      </c>
      <c r="P397" s="28">
        <f>P384*_xlfn.XLOOKUP($L397,'Balizador da Meta'!$B$4:$B$21,'Balizador da Meta'!$C$4:$C$21)</f>
        <v>48</v>
      </c>
      <c r="Q397" s="28">
        <f>Q384*_xlfn.XLOOKUP($L397,'Balizador da Meta'!$B$4:$B$21,'Balizador da Meta'!$C$4:$C$21)</f>
        <v>48</v>
      </c>
      <c r="R397" s="28">
        <f>R384*_xlfn.XLOOKUP($L397,'Balizador da Meta'!$B$4:$B$21,'Balizador da Meta'!$C$4:$C$21)</f>
        <v>48</v>
      </c>
      <c r="S397" s="28">
        <f>S384*_xlfn.XLOOKUP($L397,'Balizador da Meta'!$B$4:$B$21,'Balizador da Meta'!$C$4:$C$21)</f>
        <v>48</v>
      </c>
      <c r="T397" s="28">
        <f>T384*_xlfn.XLOOKUP($L397,'Balizador da Meta'!$B$4:$B$21,'Balizador da Meta'!$C$4:$C$21)</f>
        <v>48</v>
      </c>
      <c r="U397" s="28">
        <f>U384*_xlfn.XLOOKUP($L397,'Balizador da Meta'!$B$4:$B$21,'Balizador da Meta'!$C$4:$C$21)</f>
        <v>48</v>
      </c>
      <c r="V397" s="28">
        <f>V384*_xlfn.XLOOKUP($L397,'Balizador da Meta'!$B$4:$B$21,'Balizador da Meta'!$C$4:$C$21)</f>
        <v>48</v>
      </c>
      <c r="W397" s="28">
        <f>W384*_xlfn.XLOOKUP($L397,'Balizador da Meta'!$B$4:$B$21,'Balizador da Meta'!$C$4:$C$21)</f>
        <v>48</v>
      </c>
      <c r="X397" s="28">
        <f>X384*_xlfn.XLOOKUP($L397,'Balizador da Meta'!$B$4:$B$21,'Balizador da Meta'!$C$4:$C$21)</f>
        <v>48</v>
      </c>
      <c r="Y397" s="28">
        <f>Y384*_xlfn.XLOOKUP($L397,'Balizador da Meta'!$B$4:$B$21,'Balizador da Meta'!$C$4:$C$21)</f>
        <v>48</v>
      </c>
      <c r="Z397" s="30">
        <f t="shared" si="96"/>
        <v>576</v>
      </c>
      <c r="AA397" s="29"/>
      <c r="AB397" s="31">
        <f>SUMIFS('Historico - FAT'!AK:AK,'Historico - FAT'!$K:$K,Faturamento!$L397,'Historico - FAT'!$I:$I,Faturamento!$J397,'Historico - FAT'!$G:$G,Faturamento!$H397)</f>
        <v>0</v>
      </c>
      <c r="AC397" s="31">
        <f>SUMIFS('Historico - FAT'!AL:AL,'Historico - FAT'!$K:$K,Faturamento!$L397,'Historico - FAT'!$I:$I,Faturamento!$J397,'Historico - FAT'!$G:$G,Faturamento!$H397)</f>
        <v>17.495000000000001</v>
      </c>
      <c r="AD397" s="31">
        <f>SUMIFS('Historico - FAT'!AM:AM,'Historico - FAT'!$K:$K,Faturamento!$L397,'Historico - FAT'!$I:$I,Faturamento!$J397,'Historico - FAT'!$G:$G,Faturamento!$H397)</f>
        <v>34.99</v>
      </c>
      <c r="AE397" s="27">
        <f>SUMIFS('Historico - FAT'!AN:AN,'Historico - FAT'!$K:$K,Faturamento!$L397,'Historico - FAT'!$I:$I,Faturamento!$J397,'Historico - FAT'!$G:$G,Faturamento!$H397)</f>
        <v>20.994</v>
      </c>
      <c r="AG397" s="24">
        <f t="shared" si="91"/>
        <v>1</v>
      </c>
      <c r="AH397" s="24">
        <f t="shared" si="92"/>
        <v>0.63552083333333331</v>
      </c>
      <c r="AI397" s="24">
        <f t="shared" si="93"/>
        <v>0.27104166666666663</v>
      </c>
    </row>
    <row r="398" spans="1:35" hidden="1" x14ac:dyDescent="0.3">
      <c r="A398" s="2" t="str">
        <f t="shared" si="90"/>
        <v>NÃO</v>
      </c>
      <c r="B398" s="2">
        <v>1000184670</v>
      </c>
      <c r="C398" s="2" t="s">
        <v>147</v>
      </c>
      <c r="D398" s="4">
        <v>1000186197</v>
      </c>
      <c r="E398" s="4" t="s">
        <v>166</v>
      </c>
      <c r="F398" s="2">
        <v>1000184757</v>
      </c>
      <c r="G398" s="2" t="s">
        <v>62</v>
      </c>
      <c r="H398" s="4">
        <v>1000189765</v>
      </c>
      <c r="I398" s="4" t="s">
        <v>99</v>
      </c>
      <c r="J398" s="2">
        <v>1000189270</v>
      </c>
      <c r="K398" s="2" t="s">
        <v>34</v>
      </c>
      <c r="L398" s="4" t="s">
        <v>23</v>
      </c>
      <c r="M398" s="4" t="str">
        <f t="shared" si="97"/>
        <v>1000184670100018619710001897651000189270SABORES DO CAMPO</v>
      </c>
      <c r="N398" s="28">
        <f>N384*_xlfn.XLOOKUP($L398,'Balizador da Meta'!$B$4:$B$21,'Balizador da Meta'!$C$4:$C$21)</f>
        <v>0</v>
      </c>
      <c r="O398" s="28">
        <f>O384*_xlfn.XLOOKUP($L398,'Balizador da Meta'!$B$4:$B$21,'Balizador da Meta'!$C$4:$C$21)</f>
        <v>0</v>
      </c>
      <c r="P398" s="28">
        <f>P384*_xlfn.XLOOKUP($L398,'Balizador da Meta'!$B$4:$B$21,'Balizador da Meta'!$C$4:$C$21)</f>
        <v>0</v>
      </c>
      <c r="Q398" s="28">
        <f>Q384*_xlfn.XLOOKUP($L398,'Balizador da Meta'!$B$4:$B$21,'Balizador da Meta'!$C$4:$C$21)</f>
        <v>0</v>
      </c>
      <c r="R398" s="28">
        <f>R384*_xlfn.XLOOKUP($L398,'Balizador da Meta'!$B$4:$B$21,'Balizador da Meta'!$C$4:$C$21)</f>
        <v>0</v>
      </c>
      <c r="S398" s="28">
        <f>S384*_xlfn.XLOOKUP($L398,'Balizador da Meta'!$B$4:$B$21,'Balizador da Meta'!$C$4:$C$21)</f>
        <v>0</v>
      </c>
      <c r="T398" s="28">
        <f>T384*_xlfn.XLOOKUP($L398,'Balizador da Meta'!$B$4:$B$21,'Balizador da Meta'!$C$4:$C$21)</f>
        <v>0</v>
      </c>
      <c r="U398" s="28">
        <f>U384*_xlfn.XLOOKUP($L398,'Balizador da Meta'!$B$4:$B$21,'Balizador da Meta'!$C$4:$C$21)</f>
        <v>0</v>
      </c>
      <c r="V398" s="28">
        <f>V384*_xlfn.XLOOKUP($L398,'Balizador da Meta'!$B$4:$B$21,'Balizador da Meta'!$C$4:$C$21)</f>
        <v>0</v>
      </c>
      <c r="W398" s="28">
        <f>W384*_xlfn.XLOOKUP($L398,'Balizador da Meta'!$B$4:$B$21,'Balizador da Meta'!$C$4:$C$21)</f>
        <v>0</v>
      </c>
      <c r="X398" s="28">
        <f>X384*_xlfn.XLOOKUP($L398,'Balizador da Meta'!$B$4:$B$21,'Balizador da Meta'!$C$4:$C$21)</f>
        <v>0</v>
      </c>
      <c r="Y398" s="28">
        <f>Y384*_xlfn.XLOOKUP($L398,'Balizador da Meta'!$B$4:$B$21,'Balizador da Meta'!$C$4:$C$21)</f>
        <v>0</v>
      </c>
      <c r="Z398" s="30">
        <f t="shared" si="96"/>
        <v>0</v>
      </c>
      <c r="AA398" s="29"/>
      <c r="AB398" s="31">
        <f>SUMIFS('Historico - FAT'!AK:AK,'Historico - FAT'!$K:$K,Faturamento!$L398,'Historico - FAT'!$I:$I,Faturamento!$J398,'Historico - FAT'!$G:$G,Faturamento!$H398)</f>
        <v>0</v>
      </c>
      <c r="AC398" s="31">
        <f>SUMIFS('Historico - FAT'!AL:AL,'Historico - FAT'!$K:$K,Faturamento!$L398,'Historico - FAT'!$I:$I,Faturamento!$J398,'Historico - FAT'!$G:$G,Faturamento!$H398)</f>
        <v>0</v>
      </c>
      <c r="AD398" s="31">
        <f>SUMIFS('Historico - FAT'!AM:AM,'Historico - FAT'!$K:$K,Faturamento!$L398,'Historico - FAT'!$I:$I,Faturamento!$J398,'Historico - FAT'!$G:$G,Faturamento!$H398)</f>
        <v>0</v>
      </c>
      <c r="AE398" s="27">
        <f>SUMIFS('Historico - FAT'!AN:AN,'Historico - FAT'!$K:$K,Faturamento!$L398,'Historico - FAT'!$I:$I,Faturamento!$J398,'Historico - FAT'!$G:$G,Faturamento!$H398)</f>
        <v>0</v>
      </c>
      <c r="AG398" s="24" t="str">
        <f t="shared" si="91"/>
        <v/>
      </c>
      <c r="AH398" s="24" t="str">
        <f t="shared" si="92"/>
        <v/>
      </c>
      <c r="AI398" s="24" t="str">
        <f t="shared" si="93"/>
        <v/>
      </c>
    </row>
    <row r="399" spans="1:35" hidden="1" x14ac:dyDescent="0.3">
      <c r="A399" s="2" t="str">
        <f t="shared" si="90"/>
        <v>NÃO</v>
      </c>
      <c r="B399" s="2">
        <v>1000184670</v>
      </c>
      <c r="C399" s="2" t="s">
        <v>147</v>
      </c>
      <c r="D399" s="4">
        <v>1000186197</v>
      </c>
      <c r="E399" s="4" t="s">
        <v>166</v>
      </c>
      <c r="F399" s="2">
        <v>1000184757</v>
      </c>
      <c r="G399" s="2" t="s">
        <v>62</v>
      </c>
      <c r="H399" s="4">
        <v>1000189765</v>
      </c>
      <c r="I399" s="4" t="s">
        <v>99</v>
      </c>
      <c r="J399" s="2">
        <v>1000189270</v>
      </c>
      <c r="K399" s="2" t="s">
        <v>34</v>
      </c>
      <c r="L399" s="4" t="s">
        <v>28</v>
      </c>
      <c r="M399" s="4" t="str">
        <f t="shared" si="97"/>
        <v>1000184670100018619710001897651000189270SAL</v>
      </c>
      <c r="N399" s="28">
        <f>N384*_xlfn.XLOOKUP($L399,'Balizador da Meta'!$B$4:$B$21,'Balizador da Meta'!$C$4:$C$21)</f>
        <v>24</v>
      </c>
      <c r="O399" s="28">
        <f>O384*_xlfn.XLOOKUP($L399,'Balizador da Meta'!$B$4:$B$21,'Balizador da Meta'!$C$4:$C$21)</f>
        <v>24</v>
      </c>
      <c r="P399" s="28">
        <f>P384*_xlfn.XLOOKUP($L399,'Balizador da Meta'!$B$4:$B$21,'Balizador da Meta'!$C$4:$C$21)</f>
        <v>24</v>
      </c>
      <c r="Q399" s="28">
        <f>Q384*_xlfn.XLOOKUP($L399,'Balizador da Meta'!$B$4:$B$21,'Balizador da Meta'!$C$4:$C$21)</f>
        <v>24</v>
      </c>
      <c r="R399" s="28">
        <f>R384*_xlfn.XLOOKUP($L399,'Balizador da Meta'!$B$4:$B$21,'Balizador da Meta'!$C$4:$C$21)</f>
        <v>24</v>
      </c>
      <c r="S399" s="28">
        <f>S384*_xlfn.XLOOKUP($L399,'Balizador da Meta'!$B$4:$B$21,'Balizador da Meta'!$C$4:$C$21)</f>
        <v>24</v>
      </c>
      <c r="T399" s="28">
        <f>T384*_xlfn.XLOOKUP($L399,'Balizador da Meta'!$B$4:$B$21,'Balizador da Meta'!$C$4:$C$21)</f>
        <v>24</v>
      </c>
      <c r="U399" s="28">
        <f>U384*_xlfn.XLOOKUP($L399,'Balizador da Meta'!$B$4:$B$21,'Balizador da Meta'!$C$4:$C$21)</f>
        <v>24</v>
      </c>
      <c r="V399" s="28">
        <f>V384*_xlfn.XLOOKUP($L399,'Balizador da Meta'!$B$4:$B$21,'Balizador da Meta'!$C$4:$C$21)</f>
        <v>24</v>
      </c>
      <c r="W399" s="28">
        <f>W384*_xlfn.XLOOKUP($L399,'Balizador da Meta'!$B$4:$B$21,'Balizador da Meta'!$C$4:$C$21)</f>
        <v>24</v>
      </c>
      <c r="X399" s="28">
        <f>X384*_xlfn.XLOOKUP($L399,'Balizador da Meta'!$B$4:$B$21,'Balizador da Meta'!$C$4:$C$21)</f>
        <v>24</v>
      </c>
      <c r="Y399" s="28">
        <f>Y384*_xlfn.XLOOKUP($L399,'Balizador da Meta'!$B$4:$B$21,'Balizador da Meta'!$C$4:$C$21)</f>
        <v>24</v>
      </c>
      <c r="Z399" s="30">
        <f t="shared" si="96"/>
        <v>288</v>
      </c>
      <c r="AA399" s="29"/>
      <c r="AB399" s="31">
        <f>SUMIFS('Historico - FAT'!AK:AK,'Historico - FAT'!$K:$K,Faturamento!$L399,'Historico - FAT'!$I:$I,Faturamento!$J399,'Historico - FAT'!$G:$G,Faturamento!$H399)</f>
        <v>0</v>
      </c>
      <c r="AC399" s="31">
        <f>SUMIFS('Historico - FAT'!AL:AL,'Historico - FAT'!$K:$K,Faturamento!$L399,'Historico - FAT'!$I:$I,Faturamento!$J399,'Historico - FAT'!$G:$G,Faturamento!$H399)</f>
        <v>0</v>
      </c>
      <c r="AD399" s="31">
        <f>SUMIFS('Historico - FAT'!AM:AM,'Historico - FAT'!$K:$K,Faturamento!$L399,'Historico - FAT'!$I:$I,Faturamento!$J399,'Historico - FAT'!$G:$G,Faturamento!$H399)</f>
        <v>0</v>
      </c>
      <c r="AE399" s="27">
        <f>SUMIFS('Historico - FAT'!AN:AN,'Historico - FAT'!$K:$K,Faturamento!$L399,'Historico - FAT'!$I:$I,Faturamento!$J399,'Historico - FAT'!$G:$G,Faturamento!$H399)</f>
        <v>0</v>
      </c>
      <c r="AG399" s="24">
        <f t="shared" si="91"/>
        <v>1</v>
      </c>
      <c r="AH399" s="24">
        <f t="shared" si="92"/>
        <v>1</v>
      </c>
      <c r="AI399" s="24">
        <f t="shared" si="93"/>
        <v>1</v>
      </c>
    </row>
    <row r="400" spans="1:35" hidden="1" x14ac:dyDescent="0.3">
      <c r="A400" s="2" t="str">
        <f t="shared" si="90"/>
        <v>NÃO</v>
      </c>
      <c r="B400" s="2">
        <v>1000184670</v>
      </c>
      <c r="C400" s="2" t="s">
        <v>147</v>
      </c>
      <c r="D400" s="4">
        <v>1000186197</v>
      </c>
      <c r="E400" s="4" t="s">
        <v>166</v>
      </c>
      <c r="F400" s="2">
        <v>1000184757</v>
      </c>
      <c r="G400" s="2" t="s">
        <v>62</v>
      </c>
      <c r="H400" s="4">
        <v>1000189765</v>
      </c>
      <c r="I400" s="4" t="s">
        <v>99</v>
      </c>
      <c r="J400" s="2">
        <v>1000189270</v>
      </c>
      <c r="K400" s="2" t="s">
        <v>34</v>
      </c>
      <c r="L400" s="4" t="s">
        <v>26</v>
      </c>
      <c r="M400" s="4" t="str">
        <f t="shared" si="97"/>
        <v>1000184670100018619710001897651000189270SOULPRO</v>
      </c>
      <c r="N400" s="28">
        <f>N384*_xlfn.XLOOKUP($L400,'Balizador da Meta'!$B$4:$B$21,'Balizador da Meta'!$C$4:$C$21)</f>
        <v>72</v>
      </c>
      <c r="O400" s="28">
        <f>O384*_xlfn.XLOOKUP($L400,'Balizador da Meta'!$B$4:$B$21,'Balizador da Meta'!$C$4:$C$21)</f>
        <v>72</v>
      </c>
      <c r="P400" s="28">
        <f>P384*_xlfn.XLOOKUP($L400,'Balizador da Meta'!$B$4:$B$21,'Balizador da Meta'!$C$4:$C$21)</f>
        <v>72</v>
      </c>
      <c r="Q400" s="28">
        <f>Q384*_xlfn.XLOOKUP($L400,'Balizador da Meta'!$B$4:$B$21,'Balizador da Meta'!$C$4:$C$21)</f>
        <v>72</v>
      </c>
      <c r="R400" s="28">
        <f>R384*_xlfn.XLOOKUP($L400,'Balizador da Meta'!$B$4:$B$21,'Balizador da Meta'!$C$4:$C$21)</f>
        <v>72</v>
      </c>
      <c r="S400" s="28">
        <f>S384*_xlfn.XLOOKUP($L400,'Balizador da Meta'!$B$4:$B$21,'Balizador da Meta'!$C$4:$C$21)</f>
        <v>72</v>
      </c>
      <c r="T400" s="28">
        <f>T384*_xlfn.XLOOKUP($L400,'Balizador da Meta'!$B$4:$B$21,'Balizador da Meta'!$C$4:$C$21)</f>
        <v>72</v>
      </c>
      <c r="U400" s="28">
        <f>U384*_xlfn.XLOOKUP($L400,'Balizador da Meta'!$B$4:$B$21,'Balizador da Meta'!$C$4:$C$21)</f>
        <v>72</v>
      </c>
      <c r="V400" s="28">
        <f>V384*_xlfn.XLOOKUP($L400,'Balizador da Meta'!$B$4:$B$21,'Balizador da Meta'!$C$4:$C$21)</f>
        <v>72</v>
      </c>
      <c r="W400" s="28">
        <f>W384*_xlfn.XLOOKUP($L400,'Balizador da Meta'!$B$4:$B$21,'Balizador da Meta'!$C$4:$C$21)</f>
        <v>72</v>
      </c>
      <c r="X400" s="28">
        <f>X384*_xlfn.XLOOKUP($L400,'Balizador da Meta'!$B$4:$B$21,'Balizador da Meta'!$C$4:$C$21)</f>
        <v>72</v>
      </c>
      <c r="Y400" s="28">
        <f>Y384*_xlfn.XLOOKUP($L400,'Balizador da Meta'!$B$4:$B$21,'Balizador da Meta'!$C$4:$C$21)</f>
        <v>72</v>
      </c>
      <c r="Z400" s="30">
        <f t="shared" si="96"/>
        <v>864</v>
      </c>
      <c r="AA400" s="29"/>
      <c r="AB400" s="31">
        <f>SUMIFS('Historico - FAT'!AK:AK,'Historico - FAT'!$K:$K,Faturamento!$L400,'Historico - FAT'!$I:$I,Faturamento!$J400,'Historico - FAT'!$G:$G,Faturamento!$H400)</f>
        <v>0</v>
      </c>
      <c r="AC400" s="31">
        <f>SUMIFS('Historico - FAT'!AL:AL,'Historico - FAT'!$K:$K,Faturamento!$L400,'Historico - FAT'!$I:$I,Faturamento!$J400,'Historico - FAT'!$G:$G,Faturamento!$H400)</f>
        <v>0</v>
      </c>
      <c r="AD400" s="31">
        <f>SUMIFS('Historico - FAT'!AM:AM,'Historico - FAT'!$K:$K,Faturamento!$L400,'Historico - FAT'!$I:$I,Faturamento!$J400,'Historico - FAT'!$G:$G,Faturamento!$H400)</f>
        <v>0</v>
      </c>
      <c r="AE400" s="27">
        <f>SUMIFS('Historico - FAT'!AN:AN,'Historico - FAT'!$K:$K,Faturamento!$L400,'Historico - FAT'!$I:$I,Faturamento!$J400,'Historico - FAT'!$G:$G,Faturamento!$H400)</f>
        <v>0</v>
      </c>
      <c r="AG400" s="24">
        <f t="shared" si="91"/>
        <v>1</v>
      </c>
      <c r="AH400" s="24">
        <f t="shared" si="92"/>
        <v>1</v>
      </c>
      <c r="AI400" s="24">
        <f t="shared" si="93"/>
        <v>1</v>
      </c>
    </row>
    <row r="401" spans="1:35" hidden="1" x14ac:dyDescent="0.3">
      <c r="A401" s="2" t="str">
        <f t="shared" si="90"/>
        <v>NÃO</v>
      </c>
      <c r="B401" s="2">
        <v>1000184670</v>
      </c>
      <c r="C401" s="2" t="s">
        <v>147</v>
      </c>
      <c r="D401" s="4">
        <v>1000186197</v>
      </c>
      <c r="E401" s="4" t="s">
        <v>166</v>
      </c>
      <c r="F401" s="2">
        <v>1000184757</v>
      </c>
      <c r="G401" s="2" t="s">
        <v>62</v>
      </c>
      <c r="H401" s="4">
        <v>1000189765</v>
      </c>
      <c r="I401" s="4" t="s">
        <v>99</v>
      </c>
      <c r="J401" s="2">
        <v>1000189270</v>
      </c>
      <c r="K401" s="2" t="s">
        <v>34</v>
      </c>
      <c r="L401" s="4" t="s">
        <v>27</v>
      </c>
      <c r="M401" s="4" t="str">
        <f t="shared" si="97"/>
        <v>1000184670100018619710001897651000189270TAMARA</v>
      </c>
      <c r="N401" s="28">
        <f>N384*_xlfn.XLOOKUP($L401,'Balizador da Meta'!$B$4:$B$21,'Balizador da Meta'!$C$4:$C$21)</f>
        <v>96</v>
      </c>
      <c r="O401" s="28">
        <f>O384*_xlfn.XLOOKUP($L401,'Balizador da Meta'!$B$4:$B$21,'Balizador da Meta'!$C$4:$C$21)</f>
        <v>96</v>
      </c>
      <c r="P401" s="28">
        <f>P384*_xlfn.XLOOKUP($L401,'Balizador da Meta'!$B$4:$B$21,'Balizador da Meta'!$C$4:$C$21)</f>
        <v>96</v>
      </c>
      <c r="Q401" s="28">
        <f>Q384*_xlfn.XLOOKUP($L401,'Balizador da Meta'!$B$4:$B$21,'Balizador da Meta'!$C$4:$C$21)</f>
        <v>96</v>
      </c>
      <c r="R401" s="28">
        <f>R384*_xlfn.XLOOKUP($L401,'Balizador da Meta'!$B$4:$B$21,'Balizador da Meta'!$C$4:$C$21)</f>
        <v>96</v>
      </c>
      <c r="S401" s="28">
        <f>S384*_xlfn.XLOOKUP($L401,'Balizador da Meta'!$B$4:$B$21,'Balizador da Meta'!$C$4:$C$21)</f>
        <v>96</v>
      </c>
      <c r="T401" s="28">
        <f>T384*_xlfn.XLOOKUP($L401,'Balizador da Meta'!$B$4:$B$21,'Balizador da Meta'!$C$4:$C$21)</f>
        <v>96</v>
      </c>
      <c r="U401" s="28">
        <f>U384*_xlfn.XLOOKUP($L401,'Balizador da Meta'!$B$4:$B$21,'Balizador da Meta'!$C$4:$C$21)</f>
        <v>96</v>
      </c>
      <c r="V401" s="28">
        <f>V384*_xlfn.XLOOKUP($L401,'Balizador da Meta'!$B$4:$B$21,'Balizador da Meta'!$C$4:$C$21)</f>
        <v>96</v>
      </c>
      <c r="W401" s="28">
        <f>W384*_xlfn.XLOOKUP($L401,'Balizador da Meta'!$B$4:$B$21,'Balizador da Meta'!$C$4:$C$21)</f>
        <v>96</v>
      </c>
      <c r="X401" s="28">
        <f>X384*_xlfn.XLOOKUP($L401,'Balizador da Meta'!$B$4:$B$21,'Balizador da Meta'!$C$4:$C$21)</f>
        <v>96</v>
      </c>
      <c r="Y401" s="28">
        <f>Y384*_xlfn.XLOOKUP($L401,'Balizador da Meta'!$B$4:$B$21,'Balizador da Meta'!$C$4:$C$21)</f>
        <v>96</v>
      </c>
      <c r="Z401" s="30">
        <f t="shared" si="96"/>
        <v>1152</v>
      </c>
      <c r="AA401" s="29"/>
      <c r="AB401" s="31">
        <f>SUMIFS('Historico - FAT'!AK:AK,'Historico - FAT'!$K:$K,Faturamento!$L401,'Historico - FAT'!$I:$I,Faturamento!$J401,'Historico - FAT'!$G:$G,Faturamento!$H401)</f>
        <v>0</v>
      </c>
      <c r="AC401" s="31">
        <f>SUMIFS('Historico - FAT'!AL:AL,'Historico - FAT'!$K:$K,Faturamento!$L401,'Historico - FAT'!$I:$I,Faturamento!$J401,'Historico - FAT'!$G:$G,Faturamento!$H401)</f>
        <v>0</v>
      </c>
      <c r="AD401" s="31">
        <f>SUMIFS('Historico - FAT'!AM:AM,'Historico - FAT'!$K:$K,Faturamento!$L401,'Historico - FAT'!$I:$I,Faturamento!$J401,'Historico - FAT'!$G:$G,Faturamento!$H401)</f>
        <v>0</v>
      </c>
      <c r="AE401" s="27">
        <f>SUMIFS('Historico - FAT'!AN:AN,'Historico - FAT'!$K:$K,Faturamento!$L401,'Historico - FAT'!$I:$I,Faturamento!$J401,'Historico - FAT'!$G:$G,Faturamento!$H401)</f>
        <v>0</v>
      </c>
      <c r="AG401" s="24">
        <f t="shared" si="91"/>
        <v>1</v>
      </c>
      <c r="AH401" s="24">
        <f t="shared" si="92"/>
        <v>1</v>
      </c>
      <c r="AI401" s="24">
        <f t="shared" si="93"/>
        <v>1</v>
      </c>
    </row>
    <row r="402" spans="1:35" hidden="1" x14ac:dyDescent="0.3">
      <c r="A402" s="2" t="str">
        <f t="shared" si="90"/>
        <v>NÃO</v>
      </c>
      <c r="B402" s="2">
        <v>1000184670</v>
      </c>
      <c r="C402" s="2" t="s">
        <v>147</v>
      </c>
      <c r="D402" s="4">
        <v>1000186197</v>
      </c>
      <c r="E402" s="4" t="s">
        <v>166</v>
      </c>
      <c r="F402" s="2">
        <v>1000184757</v>
      </c>
      <c r="G402" s="2" t="s">
        <v>62</v>
      </c>
      <c r="H402" s="4">
        <v>1000189765</v>
      </c>
      <c r="I402" s="4" t="s">
        <v>99</v>
      </c>
      <c r="J402" s="2">
        <v>1000189270</v>
      </c>
      <c r="K402" s="2" t="s">
        <v>34</v>
      </c>
      <c r="L402" s="4" t="s">
        <v>25</v>
      </c>
      <c r="M402" s="4" t="str">
        <f t="shared" si="97"/>
        <v>1000184670100018619710001897651000189270VICCIO</v>
      </c>
      <c r="N402" s="28">
        <f>N384*_xlfn.XLOOKUP($L402,'Balizador da Meta'!$B$4:$B$21,'Balizador da Meta'!$C$4:$C$21)</f>
        <v>36</v>
      </c>
      <c r="O402" s="28">
        <f>O384*_xlfn.XLOOKUP($L402,'Balizador da Meta'!$B$4:$B$21,'Balizador da Meta'!$C$4:$C$21)</f>
        <v>36</v>
      </c>
      <c r="P402" s="28">
        <f>P384*_xlfn.XLOOKUP($L402,'Balizador da Meta'!$B$4:$B$21,'Balizador da Meta'!$C$4:$C$21)</f>
        <v>36</v>
      </c>
      <c r="Q402" s="28">
        <f>Q384*_xlfn.XLOOKUP($L402,'Balizador da Meta'!$B$4:$B$21,'Balizador da Meta'!$C$4:$C$21)</f>
        <v>36</v>
      </c>
      <c r="R402" s="28">
        <f>R384*_xlfn.XLOOKUP($L402,'Balizador da Meta'!$B$4:$B$21,'Balizador da Meta'!$C$4:$C$21)</f>
        <v>36</v>
      </c>
      <c r="S402" s="28">
        <f>S384*_xlfn.XLOOKUP($L402,'Balizador da Meta'!$B$4:$B$21,'Balizador da Meta'!$C$4:$C$21)</f>
        <v>36</v>
      </c>
      <c r="T402" s="28">
        <f>T384*_xlfn.XLOOKUP($L402,'Balizador da Meta'!$B$4:$B$21,'Balizador da Meta'!$C$4:$C$21)</f>
        <v>36</v>
      </c>
      <c r="U402" s="28">
        <f>U384*_xlfn.XLOOKUP($L402,'Balizador da Meta'!$B$4:$B$21,'Balizador da Meta'!$C$4:$C$21)</f>
        <v>36</v>
      </c>
      <c r="V402" s="28">
        <f>V384*_xlfn.XLOOKUP($L402,'Balizador da Meta'!$B$4:$B$21,'Balizador da Meta'!$C$4:$C$21)</f>
        <v>36</v>
      </c>
      <c r="W402" s="28">
        <f>W384*_xlfn.XLOOKUP($L402,'Balizador da Meta'!$B$4:$B$21,'Balizador da Meta'!$C$4:$C$21)</f>
        <v>36</v>
      </c>
      <c r="X402" s="28">
        <f>X384*_xlfn.XLOOKUP($L402,'Balizador da Meta'!$B$4:$B$21,'Balizador da Meta'!$C$4:$C$21)</f>
        <v>36</v>
      </c>
      <c r="Y402" s="28">
        <f>Y384*_xlfn.XLOOKUP($L402,'Balizador da Meta'!$B$4:$B$21,'Balizador da Meta'!$C$4:$C$21)</f>
        <v>36</v>
      </c>
      <c r="Z402" s="30">
        <f t="shared" si="96"/>
        <v>432</v>
      </c>
      <c r="AA402" s="29"/>
      <c r="AB402" s="31">
        <f>SUMIFS('Historico - FAT'!AK:AK,'Historico - FAT'!$K:$K,Faturamento!$L402,'Historico - FAT'!$I:$I,Faturamento!$J402,'Historico - FAT'!$G:$G,Faturamento!$H402)</f>
        <v>0</v>
      </c>
      <c r="AC402" s="31">
        <f>SUMIFS('Historico - FAT'!AL:AL,'Historico - FAT'!$K:$K,Faturamento!$L402,'Historico - FAT'!$I:$I,Faturamento!$J402,'Historico - FAT'!$G:$G,Faturamento!$H402)</f>
        <v>21.824999999999999</v>
      </c>
      <c r="AD402" s="31">
        <f>SUMIFS('Historico - FAT'!AM:AM,'Historico - FAT'!$K:$K,Faturamento!$L402,'Historico - FAT'!$I:$I,Faturamento!$J402,'Historico - FAT'!$G:$G,Faturamento!$H402)</f>
        <v>43.65</v>
      </c>
      <c r="AE402" s="27">
        <f>SUMIFS('Historico - FAT'!AN:AN,'Historico - FAT'!$K:$K,Faturamento!$L402,'Historico - FAT'!$I:$I,Faturamento!$J402,'Historico - FAT'!$G:$G,Faturamento!$H402)</f>
        <v>26.189999999999998</v>
      </c>
      <c r="AG402" s="24">
        <f t="shared" si="91"/>
        <v>1</v>
      </c>
      <c r="AH402" s="24">
        <f t="shared" si="92"/>
        <v>0.39375000000000004</v>
      </c>
      <c r="AI402" s="24">
        <f t="shared" si="93"/>
        <v>-0.21249999999999997</v>
      </c>
    </row>
    <row r="403" spans="1:35" x14ac:dyDescent="0.3">
      <c r="A403" s="2" t="str">
        <f t="shared" si="90"/>
        <v>SIM</v>
      </c>
      <c r="B403" s="2">
        <v>1000184670</v>
      </c>
      <c r="C403" s="2" t="s">
        <v>147</v>
      </c>
      <c r="D403" s="4">
        <v>1000186197</v>
      </c>
      <c r="E403" s="4" t="s">
        <v>166</v>
      </c>
      <c r="F403" s="2">
        <v>1000184758</v>
      </c>
      <c r="G403" s="2" t="s">
        <v>55</v>
      </c>
      <c r="H403" s="4">
        <v>1000189766</v>
      </c>
      <c r="I403" s="4" t="s">
        <v>69</v>
      </c>
      <c r="J403" s="2">
        <v>1000189270</v>
      </c>
      <c r="K403" s="2" t="s">
        <v>34</v>
      </c>
      <c r="L403" s="4" t="s">
        <v>124</v>
      </c>
      <c r="M403" s="4" t="str">
        <f t="shared" si="97"/>
        <v>100018467010001861971000189766100018927001. TOTAL</v>
      </c>
      <c r="N403" s="28">
        <f>SUMIFS(Positivação!L:L,Positivação!$I:$I,Faturamento!$J403,Positivação!$G:$G,Faturamento!$H403)*SUMIFS(Positivação!$Z:$Z,Positivação!$I:$I,Faturamento!$J403,Positivação!$G:$G,Faturamento!$H403)</f>
        <v>600</v>
      </c>
      <c r="O403" s="28">
        <f>SUMIFS(Positivação!M:M,Positivação!$I:$I,Faturamento!$J403,Positivação!$G:$G,Faturamento!$H403)*SUMIFS(Positivação!$Z:$Z,Positivação!$I:$I,Faturamento!$J403,Positivação!$G:$G,Faturamento!$H403)</f>
        <v>600</v>
      </c>
      <c r="P403" s="28">
        <f>SUMIFS(Positivação!N:N,Positivação!$I:$I,Faturamento!$J403,Positivação!$G:$G,Faturamento!$H403)*SUMIFS(Positivação!$Z:$Z,Positivação!$I:$I,Faturamento!$J403,Positivação!$G:$G,Faturamento!$H403)</f>
        <v>600</v>
      </c>
      <c r="Q403" s="28">
        <f>SUMIFS(Positivação!O:O,Positivação!$I:$I,Faturamento!$J403,Positivação!$G:$G,Faturamento!$H403)*SUMIFS(Positivação!$Z:$Z,Positivação!$I:$I,Faturamento!$J403,Positivação!$G:$G,Faturamento!$H403)</f>
        <v>600</v>
      </c>
      <c r="R403" s="28">
        <f>SUMIFS(Positivação!P:P,Positivação!$I:$I,Faturamento!$J403,Positivação!$G:$G,Faturamento!$H403)*SUMIFS(Positivação!$Z:$Z,Positivação!$I:$I,Faturamento!$J403,Positivação!$G:$G,Faturamento!$H403)</f>
        <v>600</v>
      </c>
      <c r="S403" s="28">
        <f>SUMIFS(Positivação!Q:Q,Positivação!$I:$I,Faturamento!$J403,Positivação!$G:$G,Faturamento!$H403)*SUMIFS(Positivação!$Z:$Z,Positivação!$I:$I,Faturamento!$J403,Positivação!$G:$G,Faturamento!$H403)</f>
        <v>600</v>
      </c>
      <c r="T403" s="28">
        <f>SUMIFS(Positivação!R:R,Positivação!$I:$I,Faturamento!$J403,Positivação!$G:$G,Faturamento!$H403)*SUMIFS(Positivação!$Z:$Z,Positivação!$I:$I,Faturamento!$J403,Positivação!$G:$G,Faturamento!$H403)</f>
        <v>600</v>
      </c>
      <c r="U403" s="28">
        <f>SUMIFS(Positivação!S:S,Positivação!$I:$I,Faturamento!$J403,Positivação!$G:$G,Faturamento!$H403)*SUMIFS(Positivação!$Z:$Z,Positivação!$I:$I,Faturamento!$J403,Positivação!$G:$G,Faturamento!$H403)</f>
        <v>600</v>
      </c>
      <c r="V403" s="28">
        <f>SUMIFS(Positivação!T:T,Positivação!$I:$I,Faturamento!$J403,Positivação!$G:$G,Faturamento!$H403)*SUMIFS(Positivação!$Z:$Z,Positivação!$I:$I,Faturamento!$J403,Positivação!$G:$G,Faturamento!$H403)</f>
        <v>600</v>
      </c>
      <c r="W403" s="28">
        <f>SUMIFS(Positivação!U:U,Positivação!$I:$I,Faturamento!$J403,Positivação!$G:$G,Faturamento!$H403)*SUMIFS(Positivação!$Z:$Z,Positivação!$I:$I,Faturamento!$J403,Positivação!$G:$G,Faturamento!$H403)</f>
        <v>600</v>
      </c>
      <c r="X403" s="28">
        <f>SUMIFS(Positivação!V:V,Positivação!$I:$I,Faturamento!$J403,Positivação!$G:$G,Faturamento!$H403)*SUMIFS(Positivação!$Z:$Z,Positivação!$I:$I,Faturamento!$J403,Positivação!$G:$G,Faturamento!$H403)</f>
        <v>600</v>
      </c>
      <c r="Y403" s="28">
        <f>SUMIFS(Positivação!W:W,Positivação!$I:$I,Faturamento!$J403,Positivação!$G:$G,Faturamento!$H403)*SUMIFS(Positivação!$Z:$Z,Positivação!$I:$I,Faturamento!$J403,Positivação!$G:$G,Faturamento!$H403)</f>
        <v>600</v>
      </c>
      <c r="Z403" s="28">
        <f t="shared" ref="Z403" si="98">SUM(Z404:Z421)</f>
        <v>7200</v>
      </c>
      <c r="AA403" s="29"/>
      <c r="AB403" s="28">
        <f t="shared" ref="AB403:AE403" si="99">SUM(AB404:AB421)</f>
        <v>0</v>
      </c>
      <c r="AC403" s="28">
        <f t="shared" si="99"/>
        <v>0</v>
      </c>
      <c r="AD403" s="28">
        <f t="shared" si="99"/>
        <v>0</v>
      </c>
      <c r="AE403" s="28">
        <f t="shared" si="99"/>
        <v>0</v>
      </c>
      <c r="AG403" s="24">
        <f t="shared" si="91"/>
        <v>1</v>
      </c>
      <c r="AH403" s="24">
        <f t="shared" si="92"/>
        <v>1</v>
      </c>
      <c r="AI403" s="24">
        <f t="shared" si="93"/>
        <v>1</v>
      </c>
    </row>
    <row r="404" spans="1:35" hidden="1" x14ac:dyDescent="0.3">
      <c r="A404" s="2" t="str">
        <f t="shared" si="90"/>
        <v>NÃO</v>
      </c>
      <c r="B404" s="2">
        <v>1000184670</v>
      </c>
      <c r="C404" s="2" t="s">
        <v>147</v>
      </c>
      <c r="D404" s="4">
        <v>1000186197</v>
      </c>
      <c r="E404" s="4" t="s">
        <v>166</v>
      </c>
      <c r="F404" s="2">
        <v>1000184758</v>
      </c>
      <c r="G404" s="2" t="s">
        <v>55</v>
      </c>
      <c r="H404" s="4">
        <v>1000189766</v>
      </c>
      <c r="I404" s="4" t="s">
        <v>69</v>
      </c>
      <c r="J404" s="2">
        <v>1000189270</v>
      </c>
      <c r="K404" s="2" t="s">
        <v>34</v>
      </c>
      <c r="L404" s="4" t="s">
        <v>13</v>
      </c>
      <c r="M404" s="4" t="str">
        <f t="shared" si="97"/>
        <v>1000184670100018619710001897661000189270BISCOITO</v>
      </c>
      <c r="N404" s="28">
        <f>N403*_xlfn.XLOOKUP($L404,'Balizador da Meta'!$B$4:$B$21,'Balizador da Meta'!$C$4:$C$21)</f>
        <v>42.000000000000007</v>
      </c>
      <c r="O404" s="28">
        <f>O403*_xlfn.XLOOKUP($L404,'Balizador da Meta'!$B$4:$B$21,'Balizador da Meta'!$C$4:$C$21)</f>
        <v>42.000000000000007</v>
      </c>
      <c r="P404" s="28">
        <f>P403*_xlfn.XLOOKUP($L404,'Balizador da Meta'!$B$4:$B$21,'Balizador da Meta'!$C$4:$C$21)</f>
        <v>42.000000000000007</v>
      </c>
      <c r="Q404" s="28">
        <f>Q403*_xlfn.XLOOKUP($L404,'Balizador da Meta'!$B$4:$B$21,'Balizador da Meta'!$C$4:$C$21)</f>
        <v>42.000000000000007</v>
      </c>
      <c r="R404" s="28">
        <f>R403*_xlfn.XLOOKUP($L404,'Balizador da Meta'!$B$4:$B$21,'Balizador da Meta'!$C$4:$C$21)</f>
        <v>42.000000000000007</v>
      </c>
      <c r="S404" s="28">
        <f>S403*_xlfn.XLOOKUP($L404,'Balizador da Meta'!$B$4:$B$21,'Balizador da Meta'!$C$4:$C$21)</f>
        <v>42.000000000000007</v>
      </c>
      <c r="T404" s="28">
        <f>T403*_xlfn.XLOOKUP($L404,'Balizador da Meta'!$B$4:$B$21,'Balizador da Meta'!$C$4:$C$21)</f>
        <v>42.000000000000007</v>
      </c>
      <c r="U404" s="28">
        <f>U403*_xlfn.XLOOKUP($L404,'Balizador da Meta'!$B$4:$B$21,'Balizador da Meta'!$C$4:$C$21)</f>
        <v>42.000000000000007</v>
      </c>
      <c r="V404" s="28">
        <f>V403*_xlfn.XLOOKUP($L404,'Balizador da Meta'!$B$4:$B$21,'Balizador da Meta'!$C$4:$C$21)</f>
        <v>42.000000000000007</v>
      </c>
      <c r="W404" s="28">
        <f>W403*_xlfn.XLOOKUP($L404,'Balizador da Meta'!$B$4:$B$21,'Balizador da Meta'!$C$4:$C$21)</f>
        <v>42.000000000000007</v>
      </c>
      <c r="X404" s="28">
        <f>X403*_xlfn.XLOOKUP($L404,'Balizador da Meta'!$B$4:$B$21,'Balizador da Meta'!$C$4:$C$21)</f>
        <v>42.000000000000007</v>
      </c>
      <c r="Y404" s="28">
        <f>Y403*_xlfn.XLOOKUP($L404,'Balizador da Meta'!$B$4:$B$21,'Balizador da Meta'!$C$4:$C$21)</f>
        <v>42.000000000000007</v>
      </c>
      <c r="Z404" s="30">
        <f t="shared" ref="Z404:Z421" si="100">SUM(N404:Y404)</f>
        <v>504.00000000000006</v>
      </c>
      <c r="AA404" s="29"/>
      <c r="AB404" s="31">
        <f>SUMIFS('Historico - FAT'!AK:AK,'Historico - FAT'!$K:$K,Faturamento!$L404,'Historico - FAT'!$I:$I,Faturamento!$J404,'Historico - FAT'!$G:$G,Faturamento!$H404)</f>
        <v>0</v>
      </c>
      <c r="AC404" s="31">
        <f>SUMIFS('Historico - FAT'!AL:AL,'Historico - FAT'!$K:$K,Faturamento!$L404,'Historico - FAT'!$I:$I,Faturamento!$J404,'Historico - FAT'!$G:$G,Faturamento!$H404)</f>
        <v>0</v>
      </c>
      <c r="AD404" s="31">
        <f>SUMIFS('Historico - FAT'!AM:AM,'Historico - FAT'!$K:$K,Faturamento!$L404,'Historico - FAT'!$I:$I,Faturamento!$J404,'Historico - FAT'!$G:$G,Faturamento!$H404)</f>
        <v>0</v>
      </c>
      <c r="AE404" s="27">
        <f>SUMIFS('Historico - FAT'!AN:AN,'Historico - FAT'!$K:$K,Faturamento!$L404,'Historico - FAT'!$I:$I,Faturamento!$J404,'Historico - FAT'!$G:$G,Faturamento!$H404)</f>
        <v>0</v>
      </c>
      <c r="AG404" s="24">
        <f t="shared" si="91"/>
        <v>1</v>
      </c>
      <c r="AH404" s="24">
        <f t="shared" si="92"/>
        <v>1</v>
      </c>
      <c r="AI404" s="24">
        <f t="shared" si="93"/>
        <v>1</v>
      </c>
    </row>
    <row r="405" spans="1:35" hidden="1" x14ac:dyDescent="0.3">
      <c r="A405" s="2" t="str">
        <f t="shared" si="90"/>
        <v>NÃO</v>
      </c>
      <c r="B405" s="2">
        <v>1000184670</v>
      </c>
      <c r="C405" s="2" t="s">
        <v>147</v>
      </c>
      <c r="D405" s="4">
        <v>1000186197</v>
      </c>
      <c r="E405" s="4" t="s">
        <v>166</v>
      </c>
      <c r="F405" s="2">
        <v>1000184758</v>
      </c>
      <c r="G405" s="2" t="s">
        <v>55</v>
      </c>
      <c r="H405" s="4">
        <v>1000189766</v>
      </c>
      <c r="I405" s="4" t="s">
        <v>69</v>
      </c>
      <c r="J405" s="2">
        <v>1000189270</v>
      </c>
      <c r="K405" s="2" t="s">
        <v>34</v>
      </c>
      <c r="L405" s="4" t="s">
        <v>14</v>
      </c>
      <c r="M405" s="4" t="str">
        <f t="shared" si="97"/>
        <v>1000184670100018619710001897661000189270CHOCOLATES</v>
      </c>
      <c r="N405" s="28">
        <f>N403*_xlfn.XLOOKUP($L405,'Balizador da Meta'!$B$4:$B$21,'Balizador da Meta'!$C$4:$C$21)</f>
        <v>42.000000000000007</v>
      </c>
      <c r="O405" s="28">
        <f>O403*_xlfn.XLOOKUP($L405,'Balizador da Meta'!$B$4:$B$21,'Balizador da Meta'!$C$4:$C$21)</f>
        <v>42.000000000000007</v>
      </c>
      <c r="P405" s="28">
        <f>P403*_xlfn.XLOOKUP($L405,'Balizador da Meta'!$B$4:$B$21,'Balizador da Meta'!$C$4:$C$21)</f>
        <v>42.000000000000007</v>
      </c>
      <c r="Q405" s="28">
        <f>Q403*_xlfn.XLOOKUP($L405,'Balizador da Meta'!$B$4:$B$21,'Balizador da Meta'!$C$4:$C$21)</f>
        <v>42.000000000000007</v>
      </c>
      <c r="R405" s="28">
        <f>R403*_xlfn.XLOOKUP($L405,'Balizador da Meta'!$B$4:$B$21,'Balizador da Meta'!$C$4:$C$21)</f>
        <v>42.000000000000007</v>
      </c>
      <c r="S405" s="28">
        <f>S403*_xlfn.XLOOKUP($L405,'Balizador da Meta'!$B$4:$B$21,'Balizador da Meta'!$C$4:$C$21)</f>
        <v>42.000000000000007</v>
      </c>
      <c r="T405" s="28">
        <f>T403*_xlfn.XLOOKUP($L405,'Balizador da Meta'!$B$4:$B$21,'Balizador da Meta'!$C$4:$C$21)</f>
        <v>42.000000000000007</v>
      </c>
      <c r="U405" s="28">
        <f>U403*_xlfn.XLOOKUP($L405,'Balizador da Meta'!$B$4:$B$21,'Balizador da Meta'!$C$4:$C$21)</f>
        <v>42.000000000000007</v>
      </c>
      <c r="V405" s="28">
        <f>V403*_xlfn.XLOOKUP($L405,'Balizador da Meta'!$B$4:$B$21,'Balizador da Meta'!$C$4:$C$21)</f>
        <v>42.000000000000007</v>
      </c>
      <c r="W405" s="28">
        <f>W403*_xlfn.XLOOKUP($L405,'Balizador da Meta'!$B$4:$B$21,'Balizador da Meta'!$C$4:$C$21)</f>
        <v>42.000000000000007</v>
      </c>
      <c r="X405" s="28">
        <f>X403*_xlfn.XLOOKUP($L405,'Balizador da Meta'!$B$4:$B$21,'Balizador da Meta'!$C$4:$C$21)</f>
        <v>42.000000000000007</v>
      </c>
      <c r="Y405" s="28">
        <f>Y403*_xlfn.XLOOKUP($L405,'Balizador da Meta'!$B$4:$B$21,'Balizador da Meta'!$C$4:$C$21)</f>
        <v>42.000000000000007</v>
      </c>
      <c r="Z405" s="30">
        <f t="shared" si="100"/>
        <v>504.00000000000006</v>
      </c>
      <c r="AA405" s="29"/>
      <c r="AB405" s="31">
        <f>SUMIFS('Historico - FAT'!AK:AK,'Historico - FAT'!$K:$K,Faturamento!$L405,'Historico - FAT'!$I:$I,Faturamento!$J405,'Historico - FAT'!$G:$G,Faturamento!$H405)</f>
        <v>0</v>
      </c>
      <c r="AC405" s="31">
        <f>SUMIFS('Historico - FAT'!AL:AL,'Historico - FAT'!$K:$K,Faturamento!$L405,'Historico - FAT'!$I:$I,Faturamento!$J405,'Historico - FAT'!$G:$G,Faturamento!$H405)</f>
        <v>0</v>
      </c>
      <c r="AD405" s="31">
        <f>SUMIFS('Historico - FAT'!AM:AM,'Historico - FAT'!$K:$K,Faturamento!$L405,'Historico - FAT'!$I:$I,Faturamento!$J405,'Historico - FAT'!$G:$G,Faturamento!$H405)</f>
        <v>0</v>
      </c>
      <c r="AE405" s="27">
        <f>SUMIFS('Historico - FAT'!AN:AN,'Historico - FAT'!$K:$K,Faturamento!$L405,'Historico - FAT'!$I:$I,Faturamento!$J405,'Historico - FAT'!$G:$G,Faturamento!$H405)</f>
        <v>0</v>
      </c>
      <c r="AG405" s="24">
        <f t="shared" si="91"/>
        <v>1</v>
      </c>
      <c r="AH405" s="24">
        <f t="shared" si="92"/>
        <v>1</v>
      </c>
      <c r="AI405" s="24">
        <f t="shared" si="93"/>
        <v>1</v>
      </c>
    </row>
    <row r="406" spans="1:35" hidden="1" x14ac:dyDescent="0.3">
      <c r="A406" s="2" t="str">
        <f t="shared" si="90"/>
        <v>NÃO</v>
      </c>
      <c r="B406" s="2">
        <v>1000184670</v>
      </c>
      <c r="C406" s="2" t="s">
        <v>147</v>
      </c>
      <c r="D406" s="4">
        <v>1000186197</v>
      </c>
      <c r="E406" s="4" t="s">
        <v>166</v>
      </c>
      <c r="F406" s="2">
        <v>1000184758</v>
      </c>
      <c r="G406" s="2" t="s">
        <v>55</v>
      </c>
      <c r="H406" s="4">
        <v>1000189766</v>
      </c>
      <c r="I406" s="4" t="s">
        <v>69</v>
      </c>
      <c r="J406" s="2">
        <v>1000189270</v>
      </c>
      <c r="K406" s="2" t="s">
        <v>34</v>
      </c>
      <c r="L406" s="4" t="s">
        <v>16</v>
      </c>
      <c r="M406" s="4" t="str">
        <f t="shared" si="97"/>
        <v>1000184670100018619710001897661000189270DISNEY</v>
      </c>
      <c r="N406" s="28">
        <f>N403*_xlfn.XLOOKUP($L406,'Balizador da Meta'!$B$4:$B$21,'Balizador da Meta'!$C$4:$C$21)</f>
        <v>48</v>
      </c>
      <c r="O406" s="28">
        <f>O403*_xlfn.XLOOKUP($L406,'Balizador da Meta'!$B$4:$B$21,'Balizador da Meta'!$C$4:$C$21)</f>
        <v>48</v>
      </c>
      <c r="P406" s="28">
        <f>P403*_xlfn.XLOOKUP($L406,'Balizador da Meta'!$B$4:$B$21,'Balizador da Meta'!$C$4:$C$21)</f>
        <v>48</v>
      </c>
      <c r="Q406" s="28">
        <f>Q403*_xlfn.XLOOKUP($L406,'Balizador da Meta'!$B$4:$B$21,'Balizador da Meta'!$C$4:$C$21)</f>
        <v>48</v>
      </c>
      <c r="R406" s="28">
        <f>R403*_xlfn.XLOOKUP($L406,'Balizador da Meta'!$B$4:$B$21,'Balizador da Meta'!$C$4:$C$21)</f>
        <v>48</v>
      </c>
      <c r="S406" s="28">
        <f>S403*_xlfn.XLOOKUP($L406,'Balizador da Meta'!$B$4:$B$21,'Balizador da Meta'!$C$4:$C$21)</f>
        <v>48</v>
      </c>
      <c r="T406" s="28">
        <f>T403*_xlfn.XLOOKUP($L406,'Balizador da Meta'!$B$4:$B$21,'Balizador da Meta'!$C$4:$C$21)</f>
        <v>48</v>
      </c>
      <c r="U406" s="28">
        <f>U403*_xlfn.XLOOKUP($L406,'Balizador da Meta'!$B$4:$B$21,'Balizador da Meta'!$C$4:$C$21)</f>
        <v>48</v>
      </c>
      <c r="V406" s="28">
        <f>V403*_xlfn.XLOOKUP($L406,'Balizador da Meta'!$B$4:$B$21,'Balizador da Meta'!$C$4:$C$21)</f>
        <v>48</v>
      </c>
      <c r="W406" s="28">
        <f>W403*_xlfn.XLOOKUP($L406,'Balizador da Meta'!$B$4:$B$21,'Balizador da Meta'!$C$4:$C$21)</f>
        <v>48</v>
      </c>
      <c r="X406" s="28">
        <f>X403*_xlfn.XLOOKUP($L406,'Balizador da Meta'!$B$4:$B$21,'Balizador da Meta'!$C$4:$C$21)</f>
        <v>48</v>
      </c>
      <c r="Y406" s="28">
        <f>Y403*_xlfn.XLOOKUP($L406,'Balizador da Meta'!$B$4:$B$21,'Balizador da Meta'!$C$4:$C$21)</f>
        <v>48</v>
      </c>
      <c r="Z406" s="30">
        <f t="shared" si="100"/>
        <v>576</v>
      </c>
      <c r="AA406" s="29"/>
      <c r="AB406" s="31">
        <f>SUMIFS('Historico - FAT'!AK:AK,'Historico - FAT'!$K:$K,Faturamento!$L406,'Historico - FAT'!$I:$I,Faturamento!$J406,'Historico - FAT'!$G:$G,Faturamento!$H406)</f>
        <v>0</v>
      </c>
      <c r="AC406" s="31">
        <f>SUMIFS('Historico - FAT'!AL:AL,'Historico - FAT'!$K:$K,Faturamento!$L406,'Historico - FAT'!$I:$I,Faturamento!$J406,'Historico - FAT'!$G:$G,Faturamento!$H406)</f>
        <v>0</v>
      </c>
      <c r="AD406" s="31">
        <f>SUMIFS('Historico - FAT'!AM:AM,'Historico - FAT'!$K:$K,Faturamento!$L406,'Historico - FAT'!$I:$I,Faturamento!$J406,'Historico - FAT'!$G:$G,Faturamento!$H406)</f>
        <v>0</v>
      </c>
      <c r="AE406" s="27">
        <f>SUMIFS('Historico - FAT'!AN:AN,'Historico - FAT'!$K:$K,Faturamento!$L406,'Historico - FAT'!$I:$I,Faturamento!$J406,'Historico - FAT'!$G:$G,Faturamento!$H406)</f>
        <v>0</v>
      </c>
      <c r="AG406" s="24">
        <f t="shared" si="91"/>
        <v>1</v>
      </c>
      <c r="AH406" s="24">
        <f t="shared" si="92"/>
        <v>1</v>
      </c>
      <c r="AI406" s="24">
        <f t="shared" si="93"/>
        <v>1</v>
      </c>
    </row>
    <row r="407" spans="1:35" hidden="1" x14ac:dyDescent="0.3">
      <c r="A407" s="2" t="str">
        <f t="shared" si="90"/>
        <v>NÃO</v>
      </c>
      <c r="B407" s="2">
        <v>1000184670</v>
      </c>
      <c r="C407" s="2" t="s">
        <v>147</v>
      </c>
      <c r="D407" s="4">
        <v>1000186197</v>
      </c>
      <c r="E407" s="4" t="s">
        <v>166</v>
      </c>
      <c r="F407" s="2">
        <v>1000184758</v>
      </c>
      <c r="G407" s="2" t="s">
        <v>55</v>
      </c>
      <c r="H407" s="4">
        <v>1000189766</v>
      </c>
      <c r="I407" s="4" t="s">
        <v>69</v>
      </c>
      <c r="J407" s="2">
        <v>1000189270</v>
      </c>
      <c r="K407" s="2" t="s">
        <v>34</v>
      </c>
      <c r="L407" s="4" t="s">
        <v>15</v>
      </c>
      <c r="M407" s="4" t="str">
        <f t="shared" si="97"/>
        <v>1000184670100018619710001897661000189270DOCES</v>
      </c>
      <c r="N407" s="28">
        <f>N403*_xlfn.XLOOKUP($L407,'Balizador da Meta'!$B$4:$B$21,'Balizador da Meta'!$C$4:$C$21)</f>
        <v>54</v>
      </c>
      <c r="O407" s="28">
        <f>O403*_xlfn.XLOOKUP($L407,'Balizador da Meta'!$B$4:$B$21,'Balizador da Meta'!$C$4:$C$21)</f>
        <v>54</v>
      </c>
      <c r="P407" s="28">
        <f>P403*_xlfn.XLOOKUP($L407,'Balizador da Meta'!$B$4:$B$21,'Balizador da Meta'!$C$4:$C$21)</f>
        <v>54</v>
      </c>
      <c r="Q407" s="28">
        <f>Q403*_xlfn.XLOOKUP($L407,'Balizador da Meta'!$B$4:$B$21,'Balizador da Meta'!$C$4:$C$21)</f>
        <v>54</v>
      </c>
      <c r="R407" s="28">
        <f>R403*_xlfn.XLOOKUP($L407,'Balizador da Meta'!$B$4:$B$21,'Balizador da Meta'!$C$4:$C$21)</f>
        <v>54</v>
      </c>
      <c r="S407" s="28">
        <f>S403*_xlfn.XLOOKUP($L407,'Balizador da Meta'!$B$4:$B$21,'Balizador da Meta'!$C$4:$C$21)</f>
        <v>54</v>
      </c>
      <c r="T407" s="28">
        <f>T403*_xlfn.XLOOKUP($L407,'Balizador da Meta'!$B$4:$B$21,'Balizador da Meta'!$C$4:$C$21)</f>
        <v>54</v>
      </c>
      <c r="U407" s="28">
        <f>U403*_xlfn.XLOOKUP($L407,'Balizador da Meta'!$B$4:$B$21,'Balizador da Meta'!$C$4:$C$21)</f>
        <v>54</v>
      </c>
      <c r="V407" s="28">
        <f>V403*_xlfn.XLOOKUP($L407,'Balizador da Meta'!$B$4:$B$21,'Balizador da Meta'!$C$4:$C$21)</f>
        <v>54</v>
      </c>
      <c r="W407" s="28">
        <f>W403*_xlfn.XLOOKUP($L407,'Balizador da Meta'!$B$4:$B$21,'Balizador da Meta'!$C$4:$C$21)</f>
        <v>54</v>
      </c>
      <c r="X407" s="28">
        <f>X403*_xlfn.XLOOKUP($L407,'Balizador da Meta'!$B$4:$B$21,'Balizador da Meta'!$C$4:$C$21)</f>
        <v>54</v>
      </c>
      <c r="Y407" s="28">
        <f>Y403*_xlfn.XLOOKUP($L407,'Balizador da Meta'!$B$4:$B$21,'Balizador da Meta'!$C$4:$C$21)</f>
        <v>54</v>
      </c>
      <c r="Z407" s="30">
        <f t="shared" si="100"/>
        <v>648</v>
      </c>
      <c r="AA407" s="29"/>
      <c r="AB407" s="31">
        <f>SUMIFS('Historico - FAT'!AK:AK,'Historico - FAT'!$K:$K,Faturamento!$L407,'Historico - FAT'!$I:$I,Faturamento!$J407,'Historico - FAT'!$G:$G,Faturamento!$H407)</f>
        <v>0</v>
      </c>
      <c r="AC407" s="31">
        <f>SUMIFS('Historico - FAT'!AL:AL,'Historico - FAT'!$K:$K,Faturamento!$L407,'Historico - FAT'!$I:$I,Faturamento!$J407,'Historico - FAT'!$G:$G,Faturamento!$H407)</f>
        <v>0</v>
      </c>
      <c r="AD407" s="31">
        <f>SUMIFS('Historico - FAT'!AM:AM,'Historico - FAT'!$K:$K,Faturamento!$L407,'Historico - FAT'!$I:$I,Faturamento!$J407,'Historico - FAT'!$G:$G,Faturamento!$H407)</f>
        <v>0</v>
      </c>
      <c r="AE407" s="27">
        <f>SUMIFS('Historico - FAT'!AN:AN,'Historico - FAT'!$K:$K,Faturamento!$L407,'Historico - FAT'!$I:$I,Faturamento!$J407,'Historico - FAT'!$G:$G,Faturamento!$H407)</f>
        <v>0</v>
      </c>
      <c r="AG407" s="24">
        <f t="shared" si="91"/>
        <v>1</v>
      </c>
      <c r="AH407" s="24">
        <f t="shared" si="92"/>
        <v>1</v>
      </c>
      <c r="AI407" s="24">
        <f t="shared" si="93"/>
        <v>1</v>
      </c>
    </row>
    <row r="408" spans="1:35" hidden="1" x14ac:dyDescent="0.3">
      <c r="A408" s="2" t="str">
        <f t="shared" si="90"/>
        <v>NÃO</v>
      </c>
      <c r="B408" s="2">
        <v>1000184670</v>
      </c>
      <c r="C408" s="2" t="s">
        <v>147</v>
      </c>
      <c r="D408" s="4">
        <v>1000186197</v>
      </c>
      <c r="E408" s="4" t="s">
        <v>166</v>
      </c>
      <c r="F408" s="2">
        <v>1000184758</v>
      </c>
      <c r="G408" s="2" t="s">
        <v>55</v>
      </c>
      <c r="H408" s="4">
        <v>1000189766</v>
      </c>
      <c r="I408" s="4" t="s">
        <v>69</v>
      </c>
      <c r="J408" s="2">
        <v>1000189270</v>
      </c>
      <c r="K408" s="2" t="s">
        <v>34</v>
      </c>
      <c r="L408" s="4" t="s">
        <v>33</v>
      </c>
      <c r="M408" s="4" t="str">
        <f t="shared" si="97"/>
        <v>1000184670100018619710001897661000189270FOOD SERVICE</v>
      </c>
      <c r="N408" s="28">
        <f>N403*_xlfn.XLOOKUP($L408,'Balizador da Meta'!$B$4:$B$21,'Balizador da Meta'!$C$4:$C$21)</f>
        <v>0</v>
      </c>
      <c r="O408" s="28">
        <f>O403*_xlfn.XLOOKUP($L408,'Balizador da Meta'!$B$4:$B$21,'Balizador da Meta'!$C$4:$C$21)</f>
        <v>0</v>
      </c>
      <c r="P408" s="28">
        <f>P403*_xlfn.XLOOKUP($L408,'Balizador da Meta'!$B$4:$B$21,'Balizador da Meta'!$C$4:$C$21)</f>
        <v>0</v>
      </c>
      <c r="Q408" s="28">
        <f>Q403*_xlfn.XLOOKUP($L408,'Balizador da Meta'!$B$4:$B$21,'Balizador da Meta'!$C$4:$C$21)</f>
        <v>0</v>
      </c>
      <c r="R408" s="28">
        <f>R403*_xlfn.XLOOKUP($L408,'Balizador da Meta'!$B$4:$B$21,'Balizador da Meta'!$C$4:$C$21)</f>
        <v>0</v>
      </c>
      <c r="S408" s="28">
        <f>S403*_xlfn.XLOOKUP($L408,'Balizador da Meta'!$B$4:$B$21,'Balizador da Meta'!$C$4:$C$21)</f>
        <v>0</v>
      </c>
      <c r="T408" s="28">
        <f>T403*_xlfn.XLOOKUP($L408,'Balizador da Meta'!$B$4:$B$21,'Balizador da Meta'!$C$4:$C$21)</f>
        <v>0</v>
      </c>
      <c r="U408" s="28">
        <f>U403*_xlfn.XLOOKUP($L408,'Balizador da Meta'!$B$4:$B$21,'Balizador da Meta'!$C$4:$C$21)</f>
        <v>0</v>
      </c>
      <c r="V408" s="28">
        <f>V403*_xlfn.XLOOKUP($L408,'Balizador da Meta'!$B$4:$B$21,'Balizador da Meta'!$C$4:$C$21)</f>
        <v>0</v>
      </c>
      <c r="W408" s="28">
        <f>W403*_xlfn.XLOOKUP($L408,'Balizador da Meta'!$B$4:$B$21,'Balizador da Meta'!$C$4:$C$21)</f>
        <v>0</v>
      </c>
      <c r="X408" s="28">
        <f>X403*_xlfn.XLOOKUP($L408,'Balizador da Meta'!$B$4:$B$21,'Balizador da Meta'!$C$4:$C$21)</f>
        <v>0</v>
      </c>
      <c r="Y408" s="28">
        <f>Y403*_xlfn.XLOOKUP($L408,'Balizador da Meta'!$B$4:$B$21,'Balizador da Meta'!$C$4:$C$21)</f>
        <v>0</v>
      </c>
      <c r="Z408" s="30">
        <f t="shared" si="100"/>
        <v>0</v>
      </c>
      <c r="AA408" s="29"/>
      <c r="AB408" s="31">
        <f>SUMIFS('Historico - FAT'!AK:AK,'Historico - FAT'!$K:$K,Faturamento!$L408,'Historico - FAT'!$I:$I,Faturamento!$J408,'Historico - FAT'!$G:$G,Faturamento!$H408)</f>
        <v>0</v>
      </c>
      <c r="AC408" s="31">
        <f>SUMIFS('Historico - FAT'!AL:AL,'Historico - FAT'!$K:$K,Faturamento!$L408,'Historico - FAT'!$I:$I,Faturamento!$J408,'Historico - FAT'!$G:$G,Faturamento!$H408)</f>
        <v>0</v>
      </c>
      <c r="AD408" s="31">
        <f>SUMIFS('Historico - FAT'!AM:AM,'Historico - FAT'!$K:$K,Faturamento!$L408,'Historico - FAT'!$I:$I,Faturamento!$J408,'Historico - FAT'!$G:$G,Faturamento!$H408)</f>
        <v>0</v>
      </c>
      <c r="AE408" s="27">
        <f>SUMIFS('Historico - FAT'!AN:AN,'Historico - FAT'!$K:$K,Faturamento!$L408,'Historico - FAT'!$I:$I,Faturamento!$J408,'Historico - FAT'!$G:$G,Faturamento!$H408)</f>
        <v>0</v>
      </c>
      <c r="AG408" s="24" t="str">
        <f t="shared" si="91"/>
        <v/>
      </c>
      <c r="AH408" s="24" t="str">
        <f t="shared" si="92"/>
        <v/>
      </c>
      <c r="AI408" s="24" t="str">
        <f t="shared" si="93"/>
        <v/>
      </c>
    </row>
    <row r="409" spans="1:35" hidden="1" x14ac:dyDescent="0.3">
      <c r="A409" s="2" t="str">
        <f t="shared" si="90"/>
        <v>NÃO</v>
      </c>
      <c r="B409" s="2">
        <v>1000184670</v>
      </c>
      <c r="C409" s="2" t="s">
        <v>147</v>
      </c>
      <c r="D409" s="4">
        <v>1000186197</v>
      </c>
      <c r="E409" s="4" t="s">
        <v>166</v>
      </c>
      <c r="F409" s="2">
        <v>1000184758</v>
      </c>
      <c r="G409" s="2" t="s">
        <v>55</v>
      </c>
      <c r="H409" s="4">
        <v>1000189766</v>
      </c>
      <c r="I409" s="4" t="s">
        <v>69</v>
      </c>
      <c r="J409" s="2">
        <v>1000189270</v>
      </c>
      <c r="K409" s="2" t="s">
        <v>34</v>
      </c>
      <c r="L409" s="4" t="s">
        <v>19</v>
      </c>
      <c r="M409" s="4" t="str">
        <f t="shared" si="97"/>
        <v>1000184670100018619710001897661000189270GELEIA</v>
      </c>
      <c r="N409" s="28">
        <f>N403*_xlfn.XLOOKUP($L409,'Balizador da Meta'!$B$4:$B$21,'Balizador da Meta'!$C$4:$C$21)</f>
        <v>11.999999999999998</v>
      </c>
      <c r="O409" s="28">
        <f>O403*_xlfn.XLOOKUP($L409,'Balizador da Meta'!$B$4:$B$21,'Balizador da Meta'!$C$4:$C$21)</f>
        <v>11.999999999999998</v>
      </c>
      <c r="P409" s="28">
        <f>P403*_xlfn.XLOOKUP($L409,'Balizador da Meta'!$B$4:$B$21,'Balizador da Meta'!$C$4:$C$21)</f>
        <v>11.999999999999998</v>
      </c>
      <c r="Q409" s="28">
        <f>Q403*_xlfn.XLOOKUP($L409,'Balizador da Meta'!$B$4:$B$21,'Balizador da Meta'!$C$4:$C$21)</f>
        <v>11.999999999999998</v>
      </c>
      <c r="R409" s="28">
        <f>R403*_xlfn.XLOOKUP($L409,'Balizador da Meta'!$B$4:$B$21,'Balizador da Meta'!$C$4:$C$21)</f>
        <v>11.999999999999998</v>
      </c>
      <c r="S409" s="28">
        <f>S403*_xlfn.XLOOKUP($L409,'Balizador da Meta'!$B$4:$B$21,'Balizador da Meta'!$C$4:$C$21)</f>
        <v>11.999999999999998</v>
      </c>
      <c r="T409" s="28">
        <f>T403*_xlfn.XLOOKUP($L409,'Balizador da Meta'!$B$4:$B$21,'Balizador da Meta'!$C$4:$C$21)</f>
        <v>11.999999999999998</v>
      </c>
      <c r="U409" s="28">
        <f>U403*_xlfn.XLOOKUP($L409,'Balizador da Meta'!$B$4:$B$21,'Balizador da Meta'!$C$4:$C$21)</f>
        <v>11.999999999999998</v>
      </c>
      <c r="V409" s="28">
        <f>V403*_xlfn.XLOOKUP($L409,'Balizador da Meta'!$B$4:$B$21,'Balizador da Meta'!$C$4:$C$21)</f>
        <v>11.999999999999998</v>
      </c>
      <c r="W409" s="28">
        <f>W403*_xlfn.XLOOKUP($L409,'Balizador da Meta'!$B$4:$B$21,'Balizador da Meta'!$C$4:$C$21)</f>
        <v>11.999999999999998</v>
      </c>
      <c r="X409" s="28">
        <f>X403*_xlfn.XLOOKUP($L409,'Balizador da Meta'!$B$4:$B$21,'Balizador da Meta'!$C$4:$C$21)</f>
        <v>11.999999999999998</v>
      </c>
      <c r="Y409" s="28">
        <f>Y403*_xlfn.XLOOKUP($L409,'Balizador da Meta'!$B$4:$B$21,'Balizador da Meta'!$C$4:$C$21)</f>
        <v>11.999999999999998</v>
      </c>
      <c r="Z409" s="30">
        <f t="shared" si="100"/>
        <v>143.99999999999997</v>
      </c>
      <c r="AA409" s="29"/>
      <c r="AB409" s="31">
        <f>SUMIFS('Historico - FAT'!AK:AK,'Historico - FAT'!$K:$K,Faturamento!$L409,'Historico - FAT'!$I:$I,Faturamento!$J409,'Historico - FAT'!$G:$G,Faturamento!$H409)</f>
        <v>0</v>
      </c>
      <c r="AC409" s="31">
        <f>SUMIFS('Historico - FAT'!AL:AL,'Historico - FAT'!$K:$K,Faturamento!$L409,'Historico - FAT'!$I:$I,Faturamento!$J409,'Historico - FAT'!$G:$G,Faturamento!$H409)</f>
        <v>0</v>
      </c>
      <c r="AD409" s="31">
        <f>SUMIFS('Historico - FAT'!AM:AM,'Historico - FAT'!$K:$K,Faturamento!$L409,'Historico - FAT'!$I:$I,Faturamento!$J409,'Historico - FAT'!$G:$G,Faturamento!$H409)</f>
        <v>0</v>
      </c>
      <c r="AE409" s="27">
        <f>SUMIFS('Historico - FAT'!AN:AN,'Historico - FAT'!$K:$K,Faturamento!$L409,'Historico - FAT'!$I:$I,Faturamento!$J409,'Historico - FAT'!$G:$G,Faturamento!$H409)</f>
        <v>0</v>
      </c>
      <c r="AG409" s="24">
        <f t="shared" si="91"/>
        <v>1</v>
      </c>
      <c r="AH409" s="24">
        <f t="shared" si="92"/>
        <v>1</v>
      </c>
      <c r="AI409" s="24">
        <f t="shared" si="93"/>
        <v>1</v>
      </c>
    </row>
    <row r="410" spans="1:35" hidden="1" x14ac:dyDescent="0.3">
      <c r="A410" s="2" t="str">
        <f t="shared" si="90"/>
        <v>NÃO</v>
      </c>
      <c r="B410" s="2">
        <v>1000184670</v>
      </c>
      <c r="C410" s="2" t="s">
        <v>147</v>
      </c>
      <c r="D410" s="4">
        <v>1000186197</v>
      </c>
      <c r="E410" s="4" t="s">
        <v>166</v>
      </c>
      <c r="F410" s="2">
        <v>1000184758</v>
      </c>
      <c r="G410" s="2" t="s">
        <v>55</v>
      </c>
      <c r="H410" s="4">
        <v>1000189766</v>
      </c>
      <c r="I410" s="4" t="s">
        <v>69</v>
      </c>
      <c r="J410" s="2">
        <v>1000189270</v>
      </c>
      <c r="K410" s="2" t="s">
        <v>34</v>
      </c>
      <c r="L410" s="4" t="s">
        <v>17</v>
      </c>
      <c r="M410" s="4" t="str">
        <f t="shared" si="97"/>
        <v>1000184670100018619710001897661000189270GRANOLA</v>
      </c>
      <c r="N410" s="28">
        <f>N403*_xlfn.XLOOKUP($L410,'Balizador da Meta'!$B$4:$B$21,'Balizador da Meta'!$C$4:$C$21)</f>
        <v>12</v>
      </c>
      <c r="O410" s="28">
        <f>O403*_xlfn.XLOOKUP($L410,'Balizador da Meta'!$B$4:$B$21,'Balizador da Meta'!$C$4:$C$21)</f>
        <v>12</v>
      </c>
      <c r="P410" s="28">
        <f>P403*_xlfn.XLOOKUP($L410,'Balizador da Meta'!$B$4:$B$21,'Balizador da Meta'!$C$4:$C$21)</f>
        <v>12</v>
      </c>
      <c r="Q410" s="28">
        <f>Q403*_xlfn.XLOOKUP($L410,'Balizador da Meta'!$B$4:$B$21,'Balizador da Meta'!$C$4:$C$21)</f>
        <v>12</v>
      </c>
      <c r="R410" s="28">
        <f>R403*_xlfn.XLOOKUP($L410,'Balizador da Meta'!$B$4:$B$21,'Balizador da Meta'!$C$4:$C$21)</f>
        <v>12</v>
      </c>
      <c r="S410" s="28">
        <f>S403*_xlfn.XLOOKUP($L410,'Balizador da Meta'!$B$4:$B$21,'Balizador da Meta'!$C$4:$C$21)</f>
        <v>12</v>
      </c>
      <c r="T410" s="28">
        <f>T403*_xlfn.XLOOKUP($L410,'Balizador da Meta'!$B$4:$B$21,'Balizador da Meta'!$C$4:$C$21)</f>
        <v>12</v>
      </c>
      <c r="U410" s="28">
        <f>U403*_xlfn.XLOOKUP($L410,'Balizador da Meta'!$B$4:$B$21,'Balizador da Meta'!$C$4:$C$21)</f>
        <v>12</v>
      </c>
      <c r="V410" s="28">
        <f>V403*_xlfn.XLOOKUP($L410,'Balizador da Meta'!$B$4:$B$21,'Balizador da Meta'!$C$4:$C$21)</f>
        <v>12</v>
      </c>
      <c r="W410" s="28">
        <f>W403*_xlfn.XLOOKUP($L410,'Balizador da Meta'!$B$4:$B$21,'Balizador da Meta'!$C$4:$C$21)</f>
        <v>12</v>
      </c>
      <c r="X410" s="28">
        <f>X403*_xlfn.XLOOKUP($L410,'Balizador da Meta'!$B$4:$B$21,'Balizador da Meta'!$C$4:$C$21)</f>
        <v>12</v>
      </c>
      <c r="Y410" s="28">
        <f>Y403*_xlfn.XLOOKUP($L410,'Balizador da Meta'!$B$4:$B$21,'Balizador da Meta'!$C$4:$C$21)</f>
        <v>12</v>
      </c>
      <c r="Z410" s="30">
        <f t="shared" si="100"/>
        <v>144</v>
      </c>
      <c r="AA410" s="29"/>
      <c r="AB410" s="31">
        <f>SUMIFS('Historico - FAT'!AK:AK,'Historico - FAT'!$K:$K,Faturamento!$L410,'Historico - FAT'!$I:$I,Faturamento!$J410,'Historico - FAT'!$G:$G,Faturamento!$H410)</f>
        <v>0</v>
      </c>
      <c r="AC410" s="31">
        <f>SUMIFS('Historico - FAT'!AL:AL,'Historico - FAT'!$K:$K,Faturamento!$L410,'Historico - FAT'!$I:$I,Faturamento!$J410,'Historico - FAT'!$G:$G,Faturamento!$H410)</f>
        <v>0</v>
      </c>
      <c r="AD410" s="31">
        <f>SUMIFS('Historico - FAT'!AM:AM,'Historico - FAT'!$K:$K,Faturamento!$L410,'Historico - FAT'!$I:$I,Faturamento!$J410,'Historico - FAT'!$G:$G,Faturamento!$H410)</f>
        <v>0</v>
      </c>
      <c r="AE410" s="27">
        <f>SUMIFS('Historico - FAT'!AN:AN,'Historico - FAT'!$K:$K,Faturamento!$L410,'Historico - FAT'!$I:$I,Faturamento!$J410,'Historico - FAT'!$G:$G,Faturamento!$H410)</f>
        <v>0</v>
      </c>
      <c r="AG410" s="24">
        <f t="shared" si="91"/>
        <v>1</v>
      </c>
      <c r="AH410" s="24">
        <f t="shared" si="92"/>
        <v>1</v>
      </c>
      <c r="AI410" s="24">
        <f t="shared" si="93"/>
        <v>1</v>
      </c>
    </row>
    <row r="411" spans="1:35" hidden="1" x14ac:dyDescent="0.3">
      <c r="A411" s="2" t="str">
        <f t="shared" si="90"/>
        <v>NÃO</v>
      </c>
      <c r="B411" s="2">
        <v>1000184670</v>
      </c>
      <c r="C411" s="2" t="s">
        <v>147</v>
      </c>
      <c r="D411" s="4">
        <v>1000186197</v>
      </c>
      <c r="E411" s="4" t="s">
        <v>166</v>
      </c>
      <c r="F411" s="2">
        <v>1000184758</v>
      </c>
      <c r="G411" s="2" t="s">
        <v>55</v>
      </c>
      <c r="H411" s="4">
        <v>1000189766</v>
      </c>
      <c r="I411" s="4" t="s">
        <v>69</v>
      </c>
      <c r="J411" s="2">
        <v>1000189270</v>
      </c>
      <c r="K411" s="2" t="s">
        <v>34</v>
      </c>
      <c r="L411" s="4" t="s">
        <v>24</v>
      </c>
      <c r="M411" s="4" t="str">
        <f t="shared" si="97"/>
        <v>1000184670100018619710001897661000189270KIDS</v>
      </c>
      <c r="N411" s="28">
        <f>N403*_xlfn.XLOOKUP($L411,'Balizador da Meta'!$B$4:$B$21,'Balizador da Meta'!$C$4:$C$21)</f>
        <v>0</v>
      </c>
      <c r="O411" s="28">
        <f>O403*_xlfn.XLOOKUP($L411,'Balizador da Meta'!$B$4:$B$21,'Balizador da Meta'!$C$4:$C$21)</f>
        <v>0</v>
      </c>
      <c r="P411" s="28">
        <f>P403*_xlfn.XLOOKUP($L411,'Balizador da Meta'!$B$4:$B$21,'Balizador da Meta'!$C$4:$C$21)</f>
        <v>0</v>
      </c>
      <c r="Q411" s="28">
        <f>Q403*_xlfn.XLOOKUP($L411,'Balizador da Meta'!$B$4:$B$21,'Balizador da Meta'!$C$4:$C$21)</f>
        <v>0</v>
      </c>
      <c r="R411" s="28">
        <f>R403*_xlfn.XLOOKUP($L411,'Balizador da Meta'!$B$4:$B$21,'Balizador da Meta'!$C$4:$C$21)</f>
        <v>0</v>
      </c>
      <c r="S411" s="28">
        <f>S403*_xlfn.XLOOKUP($L411,'Balizador da Meta'!$B$4:$B$21,'Balizador da Meta'!$C$4:$C$21)</f>
        <v>0</v>
      </c>
      <c r="T411" s="28">
        <f>T403*_xlfn.XLOOKUP($L411,'Balizador da Meta'!$B$4:$B$21,'Balizador da Meta'!$C$4:$C$21)</f>
        <v>0</v>
      </c>
      <c r="U411" s="28">
        <f>U403*_xlfn.XLOOKUP($L411,'Balizador da Meta'!$B$4:$B$21,'Balizador da Meta'!$C$4:$C$21)</f>
        <v>0</v>
      </c>
      <c r="V411" s="28">
        <f>V403*_xlfn.XLOOKUP($L411,'Balizador da Meta'!$B$4:$B$21,'Balizador da Meta'!$C$4:$C$21)</f>
        <v>0</v>
      </c>
      <c r="W411" s="28">
        <f>W403*_xlfn.XLOOKUP($L411,'Balizador da Meta'!$B$4:$B$21,'Balizador da Meta'!$C$4:$C$21)</f>
        <v>0</v>
      </c>
      <c r="X411" s="28">
        <f>X403*_xlfn.XLOOKUP($L411,'Balizador da Meta'!$B$4:$B$21,'Balizador da Meta'!$C$4:$C$21)</f>
        <v>0</v>
      </c>
      <c r="Y411" s="28">
        <f>Y403*_xlfn.XLOOKUP($L411,'Balizador da Meta'!$B$4:$B$21,'Balizador da Meta'!$C$4:$C$21)</f>
        <v>0</v>
      </c>
      <c r="Z411" s="30">
        <f t="shared" si="100"/>
        <v>0</v>
      </c>
      <c r="AA411" s="29"/>
      <c r="AB411" s="31">
        <f>SUMIFS('Historico - FAT'!AK:AK,'Historico - FAT'!$K:$K,Faturamento!$L411,'Historico - FAT'!$I:$I,Faturamento!$J411,'Historico - FAT'!$G:$G,Faturamento!$H411)</f>
        <v>0</v>
      </c>
      <c r="AC411" s="31">
        <f>SUMIFS('Historico - FAT'!AL:AL,'Historico - FAT'!$K:$K,Faturamento!$L411,'Historico - FAT'!$I:$I,Faturamento!$J411,'Historico - FAT'!$G:$G,Faturamento!$H411)</f>
        <v>0</v>
      </c>
      <c r="AD411" s="31">
        <f>SUMIFS('Historico - FAT'!AM:AM,'Historico - FAT'!$K:$K,Faturamento!$L411,'Historico - FAT'!$I:$I,Faturamento!$J411,'Historico - FAT'!$G:$G,Faturamento!$H411)</f>
        <v>0</v>
      </c>
      <c r="AE411" s="27">
        <f>SUMIFS('Historico - FAT'!AN:AN,'Historico - FAT'!$K:$K,Faturamento!$L411,'Historico - FAT'!$I:$I,Faturamento!$J411,'Historico - FAT'!$G:$G,Faturamento!$H411)</f>
        <v>0</v>
      </c>
      <c r="AG411" s="24" t="str">
        <f t="shared" si="91"/>
        <v/>
      </c>
      <c r="AH411" s="24" t="str">
        <f t="shared" si="92"/>
        <v/>
      </c>
      <c r="AI411" s="24" t="str">
        <f t="shared" si="93"/>
        <v/>
      </c>
    </row>
    <row r="412" spans="1:35" hidden="1" x14ac:dyDescent="0.3">
      <c r="A412" s="2" t="str">
        <f t="shared" si="90"/>
        <v>NÃO</v>
      </c>
      <c r="B412" s="2">
        <v>1000184670</v>
      </c>
      <c r="C412" s="2" t="s">
        <v>147</v>
      </c>
      <c r="D412" s="4">
        <v>1000186197</v>
      </c>
      <c r="E412" s="4" t="s">
        <v>166</v>
      </c>
      <c r="F412" s="2">
        <v>1000184758</v>
      </c>
      <c r="G412" s="2" t="s">
        <v>55</v>
      </c>
      <c r="H412" s="4">
        <v>1000189766</v>
      </c>
      <c r="I412" s="4" t="s">
        <v>69</v>
      </c>
      <c r="J412" s="2">
        <v>1000189270</v>
      </c>
      <c r="K412" s="2" t="s">
        <v>34</v>
      </c>
      <c r="L412" s="4" t="s">
        <v>18</v>
      </c>
      <c r="M412" s="4" t="str">
        <f t="shared" si="97"/>
        <v>1000184670100018619710001897661000189270LANCHES</v>
      </c>
      <c r="N412" s="28">
        <f>N403*_xlfn.XLOOKUP($L412,'Balizador da Meta'!$B$4:$B$21,'Balizador da Meta'!$C$4:$C$21)</f>
        <v>6</v>
      </c>
      <c r="O412" s="28">
        <f>O403*_xlfn.XLOOKUP($L412,'Balizador da Meta'!$B$4:$B$21,'Balizador da Meta'!$C$4:$C$21)</f>
        <v>6</v>
      </c>
      <c r="P412" s="28">
        <f>P403*_xlfn.XLOOKUP($L412,'Balizador da Meta'!$B$4:$B$21,'Balizador da Meta'!$C$4:$C$21)</f>
        <v>6</v>
      </c>
      <c r="Q412" s="28">
        <f>Q403*_xlfn.XLOOKUP($L412,'Balizador da Meta'!$B$4:$B$21,'Balizador da Meta'!$C$4:$C$21)</f>
        <v>6</v>
      </c>
      <c r="R412" s="28">
        <f>R403*_xlfn.XLOOKUP($L412,'Balizador da Meta'!$B$4:$B$21,'Balizador da Meta'!$C$4:$C$21)</f>
        <v>6</v>
      </c>
      <c r="S412" s="28">
        <f>S403*_xlfn.XLOOKUP($L412,'Balizador da Meta'!$B$4:$B$21,'Balizador da Meta'!$C$4:$C$21)</f>
        <v>6</v>
      </c>
      <c r="T412" s="28">
        <f>T403*_xlfn.XLOOKUP($L412,'Balizador da Meta'!$B$4:$B$21,'Balizador da Meta'!$C$4:$C$21)</f>
        <v>6</v>
      </c>
      <c r="U412" s="28">
        <f>U403*_xlfn.XLOOKUP($L412,'Balizador da Meta'!$B$4:$B$21,'Balizador da Meta'!$C$4:$C$21)</f>
        <v>6</v>
      </c>
      <c r="V412" s="28">
        <f>V403*_xlfn.XLOOKUP($L412,'Balizador da Meta'!$B$4:$B$21,'Balizador da Meta'!$C$4:$C$21)</f>
        <v>6</v>
      </c>
      <c r="W412" s="28">
        <f>W403*_xlfn.XLOOKUP($L412,'Balizador da Meta'!$B$4:$B$21,'Balizador da Meta'!$C$4:$C$21)</f>
        <v>6</v>
      </c>
      <c r="X412" s="28">
        <f>X403*_xlfn.XLOOKUP($L412,'Balizador da Meta'!$B$4:$B$21,'Balizador da Meta'!$C$4:$C$21)</f>
        <v>6</v>
      </c>
      <c r="Y412" s="28">
        <f>Y403*_xlfn.XLOOKUP($L412,'Balizador da Meta'!$B$4:$B$21,'Balizador da Meta'!$C$4:$C$21)</f>
        <v>6</v>
      </c>
      <c r="Z412" s="30">
        <f t="shared" si="100"/>
        <v>72</v>
      </c>
      <c r="AA412" s="29"/>
      <c r="AB412" s="31">
        <f>SUMIFS('Historico - FAT'!AK:AK,'Historico - FAT'!$K:$K,Faturamento!$L412,'Historico - FAT'!$I:$I,Faturamento!$J412,'Historico - FAT'!$G:$G,Faturamento!$H412)</f>
        <v>0</v>
      </c>
      <c r="AC412" s="31">
        <f>SUMIFS('Historico - FAT'!AL:AL,'Historico - FAT'!$K:$K,Faturamento!$L412,'Historico - FAT'!$I:$I,Faturamento!$J412,'Historico - FAT'!$G:$G,Faturamento!$H412)</f>
        <v>0</v>
      </c>
      <c r="AD412" s="31">
        <f>SUMIFS('Historico - FAT'!AM:AM,'Historico - FAT'!$K:$K,Faturamento!$L412,'Historico - FAT'!$I:$I,Faturamento!$J412,'Historico - FAT'!$G:$G,Faturamento!$H412)</f>
        <v>0</v>
      </c>
      <c r="AE412" s="27">
        <f>SUMIFS('Historico - FAT'!AN:AN,'Historico - FAT'!$K:$K,Faturamento!$L412,'Historico - FAT'!$I:$I,Faturamento!$J412,'Historico - FAT'!$G:$G,Faturamento!$H412)</f>
        <v>0</v>
      </c>
      <c r="AG412" s="24">
        <f t="shared" si="91"/>
        <v>1</v>
      </c>
      <c r="AH412" s="24">
        <f t="shared" si="92"/>
        <v>1</v>
      </c>
      <c r="AI412" s="24">
        <f t="shared" si="93"/>
        <v>1</v>
      </c>
    </row>
    <row r="413" spans="1:35" hidden="1" x14ac:dyDescent="0.3">
      <c r="A413" s="2" t="str">
        <f t="shared" si="90"/>
        <v>NÃO</v>
      </c>
      <c r="B413" s="2">
        <v>1000184670</v>
      </c>
      <c r="C413" s="2" t="s">
        <v>147</v>
      </c>
      <c r="D413" s="4">
        <v>1000186197</v>
      </c>
      <c r="E413" s="4" t="s">
        <v>166</v>
      </c>
      <c r="F413" s="2">
        <v>1000184758</v>
      </c>
      <c r="G413" s="2" t="s">
        <v>55</v>
      </c>
      <c r="H413" s="4">
        <v>1000189766</v>
      </c>
      <c r="I413" s="4" t="s">
        <v>69</v>
      </c>
      <c r="J413" s="2">
        <v>1000189270</v>
      </c>
      <c r="K413" s="2" t="s">
        <v>34</v>
      </c>
      <c r="L413" s="4" t="s">
        <v>29</v>
      </c>
      <c r="M413" s="4" t="str">
        <f t="shared" si="97"/>
        <v>1000184670100018619710001897661000189270MAIS GRANEL</v>
      </c>
      <c r="N413" s="28">
        <f>N403*_xlfn.XLOOKUP($L413,'Balizador da Meta'!$B$4:$B$21,'Balizador da Meta'!$C$4:$C$21)</f>
        <v>192</v>
      </c>
      <c r="O413" s="28">
        <f>O403*_xlfn.XLOOKUP($L413,'Balizador da Meta'!$B$4:$B$21,'Balizador da Meta'!$C$4:$C$21)</f>
        <v>192</v>
      </c>
      <c r="P413" s="28">
        <f>P403*_xlfn.XLOOKUP($L413,'Balizador da Meta'!$B$4:$B$21,'Balizador da Meta'!$C$4:$C$21)</f>
        <v>192</v>
      </c>
      <c r="Q413" s="28">
        <f>Q403*_xlfn.XLOOKUP($L413,'Balizador da Meta'!$B$4:$B$21,'Balizador da Meta'!$C$4:$C$21)</f>
        <v>192</v>
      </c>
      <c r="R413" s="28">
        <f>R403*_xlfn.XLOOKUP($L413,'Balizador da Meta'!$B$4:$B$21,'Balizador da Meta'!$C$4:$C$21)</f>
        <v>192</v>
      </c>
      <c r="S413" s="28">
        <f>S403*_xlfn.XLOOKUP($L413,'Balizador da Meta'!$B$4:$B$21,'Balizador da Meta'!$C$4:$C$21)</f>
        <v>192</v>
      </c>
      <c r="T413" s="28">
        <f>T403*_xlfn.XLOOKUP($L413,'Balizador da Meta'!$B$4:$B$21,'Balizador da Meta'!$C$4:$C$21)</f>
        <v>192</v>
      </c>
      <c r="U413" s="28">
        <f>U403*_xlfn.XLOOKUP($L413,'Balizador da Meta'!$B$4:$B$21,'Balizador da Meta'!$C$4:$C$21)</f>
        <v>192</v>
      </c>
      <c r="V413" s="28">
        <f>V403*_xlfn.XLOOKUP($L413,'Balizador da Meta'!$B$4:$B$21,'Balizador da Meta'!$C$4:$C$21)</f>
        <v>192</v>
      </c>
      <c r="W413" s="28">
        <f>W403*_xlfn.XLOOKUP($L413,'Balizador da Meta'!$B$4:$B$21,'Balizador da Meta'!$C$4:$C$21)</f>
        <v>192</v>
      </c>
      <c r="X413" s="28">
        <f>X403*_xlfn.XLOOKUP($L413,'Balizador da Meta'!$B$4:$B$21,'Balizador da Meta'!$C$4:$C$21)</f>
        <v>192</v>
      </c>
      <c r="Y413" s="28">
        <f>Y403*_xlfn.XLOOKUP($L413,'Balizador da Meta'!$B$4:$B$21,'Balizador da Meta'!$C$4:$C$21)</f>
        <v>192</v>
      </c>
      <c r="Z413" s="30">
        <f t="shared" si="100"/>
        <v>2304</v>
      </c>
      <c r="AA413" s="29"/>
      <c r="AB413" s="31">
        <f>SUMIFS('Historico - FAT'!AK:AK,'Historico - FAT'!$K:$K,Faturamento!$L413,'Historico - FAT'!$I:$I,Faturamento!$J413,'Historico - FAT'!$G:$G,Faturamento!$H413)</f>
        <v>0</v>
      </c>
      <c r="AC413" s="31">
        <f>SUMIFS('Historico - FAT'!AL:AL,'Historico - FAT'!$K:$K,Faturamento!$L413,'Historico - FAT'!$I:$I,Faturamento!$J413,'Historico - FAT'!$G:$G,Faturamento!$H413)</f>
        <v>0</v>
      </c>
      <c r="AD413" s="31">
        <f>SUMIFS('Historico - FAT'!AM:AM,'Historico - FAT'!$K:$K,Faturamento!$L413,'Historico - FAT'!$I:$I,Faturamento!$J413,'Historico - FAT'!$G:$G,Faturamento!$H413)</f>
        <v>0</v>
      </c>
      <c r="AE413" s="27">
        <f>SUMIFS('Historico - FAT'!AN:AN,'Historico - FAT'!$K:$K,Faturamento!$L413,'Historico - FAT'!$I:$I,Faturamento!$J413,'Historico - FAT'!$G:$G,Faturamento!$H413)</f>
        <v>0</v>
      </c>
      <c r="AG413" s="24">
        <f t="shared" si="91"/>
        <v>1</v>
      </c>
      <c r="AH413" s="24">
        <f t="shared" si="92"/>
        <v>1</v>
      </c>
      <c r="AI413" s="24">
        <f t="shared" si="93"/>
        <v>1</v>
      </c>
    </row>
    <row r="414" spans="1:35" hidden="1" x14ac:dyDescent="0.3">
      <c r="A414" s="2" t="str">
        <f t="shared" si="90"/>
        <v>NÃO</v>
      </c>
      <c r="B414" s="2">
        <v>1000184670</v>
      </c>
      <c r="C414" s="2" t="s">
        <v>147</v>
      </c>
      <c r="D414" s="4">
        <v>1000186197</v>
      </c>
      <c r="E414" s="4" t="s">
        <v>166</v>
      </c>
      <c r="F414" s="2">
        <v>1000184758</v>
      </c>
      <c r="G414" s="2" t="s">
        <v>55</v>
      </c>
      <c r="H414" s="4">
        <v>1000189766</v>
      </c>
      <c r="I414" s="4" t="s">
        <v>69</v>
      </c>
      <c r="J414" s="2">
        <v>1000189270</v>
      </c>
      <c r="K414" s="2" t="s">
        <v>34</v>
      </c>
      <c r="L414" s="4" t="s">
        <v>21</v>
      </c>
      <c r="M414" s="4" t="str">
        <f t="shared" si="97"/>
        <v>1000184670100018619710001897661000189270NATURATTA</v>
      </c>
      <c r="N414" s="28">
        <f>N403*_xlfn.XLOOKUP($L414,'Balizador da Meta'!$B$4:$B$21,'Balizador da Meta'!$C$4:$C$21)</f>
        <v>30</v>
      </c>
      <c r="O414" s="28">
        <f>O403*_xlfn.XLOOKUP($L414,'Balizador da Meta'!$B$4:$B$21,'Balizador da Meta'!$C$4:$C$21)</f>
        <v>30</v>
      </c>
      <c r="P414" s="28">
        <f>P403*_xlfn.XLOOKUP($L414,'Balizador da Meta'!$B$4:$B$21,'Balizador da Meta'!$C$4:$C$21)</f>
        <v>30</v>
      </c>
      <c r="Q414" s="28">
        <f>Q403*_xlfn.XLOOKUP($L414,'Balizador da Meta'!$B$4:$B$21,'Balizador da Meta'!$C$4:$C$21)</f>
        <v>30</v>
      </c>
      <c r="R414" s="28">
        <f>R403*_xlfn.XLOOKUP($L414,'Balizador da Meta'!$B$4:$B$21,'Balizador da Meta'!$C$4:$C$21)</f>
        <v>30</v>
      </c>
      <c r="S414" s="28">
        <f>S403*_xlfn.XLOOKUP($L414,'Balizador da Meta'!$B$4:$B$21,'Balizador da Meta'!$C$4:$C$21)</f>
        <v>30</v>
      </c>
      <c r="T414" s="28">
        <f>T403*_xlfn.XLOOKUP($L414,'Balizador da Meta'!$B$4:$B$21,'Balizador da Meta'!$C$4:$C$21)</f>
        <v>30</v>
      </c>
      <c r="U414" s="28">
        <f>U403*_xlfn.XLOOKUP($L414,'Balizador da Meta'!$B$4:$B$21,'Balizador da Meta'!$C$4:$C$21)</f>
        <v>30</v>
      </c>
      <c r="V414" s="28">
        <f>V403*_xlfn.XLOOKUP($L414,'Balizador da Meta'!$B$4:$B$21,'Balizador da Meta'!$C$4:$C$21)</f>
        <v>30</v>
      </c>
      <c r="W414" s="28">
        <f>W403*_xlfn.XLOOKUP($L414,'Balizador da Meta'!$B$4:$B$21,'Balizador da Meta'!$C$4:$C$21)</f>
        <v>30</v>
      </c>
      <c r="X414" s="28">
        <f>X403*_xlfn.XLOOKUP($L414,'Balizador da Meta'!$B$4:$B$21,'Balizador da Meta'!$C$4:$C$21)</f>
        <v>30</v>
      </c>
      <c r="Y414" s="28">
        <f>Y403*_xlfn.XLOOKUP($L414,'Balizador da Meta'!$B$4:$B$21,'Balizador da Meta'!$C$4:$C$21)</f>
        <v>30</v>
      </c>
      <c r="Z414" s="30">
        <f t="shared" si="100"/>
        <v>360</v>
      </c>
      <c r="AA414" s="29"/>
      <c r="AB414" s="31">
        <f>SUMIFS('Historico - FAT'!AK:AK,'Historico - FAT'!$K:$K,Faturamento!$L414,'Historico - FAT'!$I:$I,Faturamento!$J414,'Historico - FAT'!$G:$G,Faturamento!$H414)</f>
        <v>0</v>
      </c>
      <c r="AC414" s="31">
        <f>SUMIFS('Historico - FAT'!AL:AL,'Historico - FAT'!$K:$K,Faturamento!$L414,'Historico - FAT'!$I:$I,Faturamento!$J414,'Historico - FAT'!$G:$G,Faturamento!$H414)</f>
        <v>0</v>
      </c>
      <c r="AD414" s="31">
        <f>SUMIFS('Historico - FAT'!AM:AM,'Historico - FAT'!$K:$K,Faturamento!$L414,'Historico - FAT'!$I:$I,Faturamento!$J414,'Historico - FAT'!$G:$G,Faturamento!$H414)</f>
        <v>0</v>
      </c>
      <c r="AE414" s="27">
        <f>SUMIFS('Historico - FAT'!AN:AN,'Historico - FAT'!$K:$K,Faturamento!$L414,'Historico - FAT'!$I:$I,Faturamento!$J414,'Historico - FAT'!$G:$G,Faturamento!$H414)</f>
        <v>0</v>
      </c>
      <c r="AG414" s="24">
        <f t="shared" si="91"/>
        <v>1</v>
      </c>
      <c r="AH414" s="24">
        <f t="shared" si="92"/>
        <v>1</v>
      </c>
      <c r="AI414" s="24">
        <f t="shared" si="93"/>
        <v>1</v>
      </c>
    </row>
    <row r="415" spans="1:35" hidden="1" x14ac:dyDescent="0.3">
      <c r="A415" s="2" t="str">
        <f t="shared" si="90"/>
        <v>NÃO</v>
      </c>
      <c r="B415" s="2">
        <v>1000184670</v>
      </c>
      <c r="C415" s="2" t="s">
        <v>147</v>
      </c>
      <c r="D415" s="4">
        <v>1000186197</v>
      </c>
      <c r="E415" s="4" t="s">
        <v>166</v>
      </c>
      <c r="F415" s="2">
        <v>1000184758</v>
      </c>
      <c r="G415" s="2" t="s">
        <v>55</v>
      </c>
      <c r="H415" s="4">
        <v>1000189766</v>
      </c>
      <c r="I415" s="4" t="s">
        <v>69</v>
      </c>
      <c r="J415" s="2">
        <v>1000189270</v>
      </c>
      <c r="K415" s="2" t="s">
        <v>34</v>
      </c>
      <c r="L415" s="4" t="s">
        <v>20</v>
      </c>
      <c r="M415" s="4" t="str">
        <f t="shared" si="97"/>
        <v>1000184670100018619710001897661000189270REEMBALADOS</v>
      </c>
      <c r="N415" s="28">
        <f>N403*_xlfn.XLOOKUP($L415,'Balizador da Meta'!$B$4:$B$21,'Balizador da Meta'!$C$4:$C$21)</f>
        <v>24</v>
      </c>
      <c r="O415" s="28">
        <f>O403*_xlfn.XLOOKUP($L415,'Balizador da Meta'!$B$4:$B$21,'Balizador da Meta'!$C$4:$C$21)</f>
        <v>24</v>
      </c>
      <c r="P415" s="28">
        <f>P403*_xlfn.XLOOKUP($L415,'Balizador da Meta'!$B$4:$B$21,'Balizador da Meta'!$C$4:$C$21)</f>
        <v>24</v>
      </c>
      <c r="Q415" s="28">
        <f>Q403*_xlfn.XLOOKUP($L415,'Balizador da Meta'!$B$4:$B$21,'Balizador da Meta'!$C$4:$C$21)</f>
        <v>24</v>
      </c>
      <c r="R415" s="28">
        <f>R403*_xlfn.XLOOKUP($L415,'Balizador da Meta'!$B$4:$B$21,'Balizador da Meta'!$C$4:$C$21)</f>
        <v>24</v>
      </c>
      <c r="S415" s="28">
        <f>S403*_xlfn.XLOOKUP($L415,'Balizador da Meta'!$B$4:$B$21,'Balizador da Meta'!$C$4:$C$21)</f>
        <v>24</v>
      </c>
      <c r="T415" s="28">
        <f>T403*_xlfn.XLOOKUP($L415,'Balizador da Meta'!$B$4:$B$21,'Balizador da Meta'!$C$4:$C$21)</f>
        <v>24</v>
      </c>
      <c r="U415" s="28">
        <f>U403*_xlfn.XLOOKUP($L415,'Balizador da Meta'!$B$4:$B$21,'Balizador da Meta'!$C$4:$C$21)</f>
        <v>24</v>
      </c>
      <c r="V415" s="28">
        <f>V403*_xlfn.XLOOKUP($L415,'Balizador da Meta'!$B$4:$B$21,'Balizador da Meta'!$C$4:$C$21)</f>
        <v>24</v>
      </c>
      <c r="W415" s="28">
        <f>W403*_xlfn.XLOOKUP($L415,'Balizador da Meta'!$B$4:$B$21,'Balizador da Meta'!$C$4:$C$21)</f>
        <v>24</v>
      </c>
      <c r="X415" s="28">
        <f>X403*_xlfn.XLOOKUP($L415,'Balizador da Meta'!$B$4:$B$21,'Balizador da Meta'!$C$4:$C$21)</f>
        <v>24</v>
      </c>
      <c r="Y415" s="28">
        <f>Y403*_xlfn.XLOOKUP($L415,'Balizador da Meta'!$B$4:$B$21,'Balizador da Meta'!$C$4:$C$21)</f>
        <v>24</v>
      </c>
      <c r="Z415" s="30">
        <f t="shared" si="100"/>
        <v>288</v>
      </c>
      <c r="AA415" s="29"/>
      <c r="AB415" s="31">
        <f>SUMIFS('Historico - FAT'!AK:AK,'Historico - FAT'!$K:$K,Faturamento!$L415,'Historico - FAT'!$I:$I,Faturamento!$J415,'Historico - FAT'!$G:$G,Faturamento!$H415)</f>
        <v>0</v>
      </c>
      <c r="AC415" s="31">
        <f>SUMIFS('Historico - FAT'!AL:AL,'Historico - FAT'!$K:$K,Faturamento!$L415,'Historico - FAT'!$I:$I,Faturamento!$J415,'Historico - FAT'!$G:$G,Faturamento!$H415)</f>
        <v>0</v>
      </c>
      <c r="AD415" s="31">
        <f>SUMIFS('Historico - FAT'!AM:AM,'Historico - FAT'!$K:$K,Faturamento!$L415,'Historico - FAT'!$I:$I,Faturamento!$J415,'Historico - FAT'!$G:$G,Faturamento!$H415)</f>
        <v>0</v>
      </c>
      <c r="AE415" s="27">
        <f>SUMIFS('Historico - FAT'!AN:AN,'Historico - FAT'!$K:$K,Faturamento!$L415,'Historico - FAT'!$I:$I,Faturamento!$J415,'Historico - FAT'!$G:$G,Faturamento!$H415)</f>
        <v>0</v>
      </c>
      <c r="AG415" s="24">
        <f t="shared" si="91"/>
        <v>1</v>
      </c>
      <c r="AH415" s="24">
        <f t="shared" si="92"/>
        <v>1</v>
      </c>
      <c r="AI415" s="24">
        <f t="shared" si="93"/>
        <v>1</v>
      </c>
    </row>
    <row r="416" spans="1:35" hidden="1" x14ac:dyDescent="0.3">
      <c r="A416" s="2" t="str">
        <f t="shared" si="90"/>
        <v>NÃO</v>
      </c>
      <c r="B416" s="2">
        <v>1000184670</v>
      </c>
      <c r="C416" s="2" t="s">
        <v>147</v>
      </c>
      <c r="D416" s="4">
        <v>1000186197</v>
      </c>
      <c r="E416" s="4" t="s">
        <v>166</v>
      </c>
      <c r="F416" s="2">
        <v>1000184758</v>
      </c>
      <c r="G416" s="2" t="s">
        <v>55</v>
      </c>
      <c r="H416" s="4">
        <v>1000189766</v>
      </c>
      <c r="I416" s="4" t="s">
        <v>69</v>
      </c>
      <c r="J416" s="2">
        <v>1000189270</v>
      </c>
      <c r="K416" s="2" t="s">
        <v>34</v>
      </c>
      <c r="L416" s="4" t="s">
        <v>22</v>
      </c>
      <c r="M416" s="4" t="str">
        <f t="shared" si="97"/>
        <v>1000184670100018619710001897661000189270S GLUTEN</v>
      </c>
      <c r="N416" s="28">
        <f>N403*_xlfn.XLOOKUP($L416,'Balizador da Meta'!$B$4:$B$21,'Balizador da Meta'!$C$4:$C$21)</f>
        <v>24</v>
      </c>
      <c r="O416" s="28">
        <f>O403*_xlfn.XLOOKUP($L416,'Balizador da Meta'!$B$4:$B$21,'Balizador da Meta'!$C$4:$C$21)</f>
        <v>24</v>
      </c>
      <c r="P416" s="28">
        <f>P403*_xlfn.XLOOKUP($L416,'Balizador da Meta'!$B$4:$B$21,'Balizador da Meta'!$C$4:$C$21)</f>
        <v>24</v>
      </c>
      <c r="Q416" s="28">
        <f>Q403*_xlfn.XLOOKUP($L416,'Balizador da Meta'!$B$4:$B$21,'Balizador da Meta'!$C$4:$C$21)</f>
        <v>24</v>
      </c>
      <c r="R416" s="28">
        <f>R403*_xlfn.XLOOKUP($L416,'Balizador da Meta'!$B$4:$B$21,'Balizador da Meta'!$C$4:$C$21)</f>
        <v>24</v>
      </c>
      <c r="S416" s="28">
        <f>S403*_xlfn.XLOOKUP($L416,'Balizador da Meta'!$B$4:$B$21,'Balizador da Meta'!$C$4:$C$21)</f>
        <v>24</v>
      </c>
      <c r="T416" s="28">
        <f>T403*_xlfn.XLOOKUP($L416,'Balizador da Meta'!$B$4:$B$21,'Balizador da Meta'!$C$4:$C$21)</f>
        <v>24</v>
      </c>
      <c r="U416" s="28">
        <f>U403*_xlfn.XLOOKUP($L416,'Balizador da Meta'!$B$4:$B$21,'Balizador da Meta'!$C$4:$C$21)</f>
        <v>24</v>
      </c>
      <c r="V416" s="28">
        <f>V403*_xlfn.XLOOKUP($L416,'Balizador da Meta'!$B$4:$B$21,'Balizador da Meta'!$C$4:$C$21)</f>
        <v>24</v>
      </c>
      <c r="W416" s="28">
        <f>W403*_xlfn.XLOOKUP($L416,'Balizador da Meta'!$B$4:$B$21,'Balizador da Meta'!$C$4:$C$21)</f>
        <v>24</v>
      </c>
      <c r="X416" s="28">
        <f>X403*_xlfn.XLOOKUP($L416,'Balizador da Meta'!$B$4:$B$21,'Balizador da Meta'!$C$4:$C$21)</f>
        <v>24</v>
      </c>
      <c r="Y416" s="28">
        <f>Y403*_xlfn.XLOOKUP($L416,'Balizador da Meta'!$B$4:$B$21,'Balizador da Meta'!$C$4:$C$21)</f>
        <v>24</v>
      </c>
      <c r="Z416" s="30">
        <f t="shared" si="100"/>
        <v>288</v>
      </c>
      <c r="AA416" s="29"/>
      <c r="AB416" s="31">
        <f>SUMIFS('Historico - FAT'!AK:AK,'Historico - FAT'!$K:$K,Faturamento!$L416,'Historico - FAT'!$I:$I,Faturamento!$J416,'Historico - FAT'!$G:$G,Faturamento!$H416)</f>
        <v>0</v>
      </c>
      <c r="AC416" s="31">
        <f>SUMIFS('Historico - FAT'!AL:AL,'Historico - FAT'!$K:$K,Faturamento!$L416,'Historico - FAT'!$I:$I,Faturamento!$J416,'Historico - FAT'!$G:$G,Faturamento!$H416)</f>
        <v>0</v>
      </c>
      <c r="AD416" s="31">
        <f>SUMIFS('Historico - FAT'!AM:AM,'Historico - FAT'!$K:$K,Faturamento!$L416,'Historico - FAT'!$I:$I,Faturamento!$J416,'Historico - FAT'!$G:$G,Faturamento!$H416)</f>
        <v>0</v>
      </c>
      <c r="AE416" s="27">
        <f>SUMIFS('Historico - FAT'!AN:AN,'Historico - FAT'!$K:$K,Faturamento!$L416,'Historico - FAT'!$I:$I,Faturamento!$J416,'Historico - FAT'!$G:$G,Faturamento!$H416)</f>
        <v>0</v>
      </c>
      <c r="AG416" s="24">
        <f t="shared" si="91"/>
        <v>1</v>
      </c>
      <c r="AH416" s="24">
        <f t="shared" si="92"/>
        <v>1</v>
      </c>
      <c r="AI416" s="24">
        <f t="shared" si="93"/>
        <v>1</v>
      </c>
    </row>
    <row r="417" spans="1:35" hidden="1" x14ac:dyDescent="0.3">
      <c r="A417" s="2" t="str">
        <f t="shared" si="90"/>
        <v>NÃO</v>
      </c>
      <c r="B417" s="2">
        <v>1000184670</v>
      </c>
      <c r="C417" s="2" t="s">
        <v>147</v>
      </c>
      <c r="D417" s="4">
        <v>1000186197</v>
      </c>
      <c r="E417" s="4" t="s">
        <v>166</v>
      </c>
      <c r="F417" s="2">
        <v>1000184758</v>
      </c>
      <c r="G417" s="2" t="s">
        <v>55</v>
      </c>
      <c r="H417" s="4">
        <v>1000189766</v>
      </c>
      <c r="I417" s="4" t="s">
        <v>69</v>
      </c>
      <c r="J417" s="2">
        <v>1000189270</v>
      </c>
      <c r="K417" s="2" t="s">
        <v>34</v>
      </c>
      <c r="L417" s="4" t="s">
        <v>23</v>
      </c>
      <c r="M417" s="4" t="str">
        <f t="shared" si="97"/>
        <v>1000184670100018619710001897661000189270SABORES DO CAMPO</v>
      </c>
      <c r="N417" s="28">
        <f>N403*_xlfn.XLOOKUP($L417,'Balizador da Meta'!$B$4:$B$21,'Balizador da Meta'!$C$4:$C$21)</f>
        <v>0</v>
      </c>
      <c r="O417" s="28">
        <f>O403*_xlfn.XLOOKUP($L417,'Balizador da Meta'!$B$4:$B$21,'Balizador da Meta'!$C$4:$C$21)</f>
        <v>0</v>
      </c>
      <c r="P417" s="28">
        <f>P403*_xlfn.XLOOKUP($L417,'Balizador da Meta'!$B$4:$B$21,'Balizador da Meta'!$C$4:$C$21)</f>
        <v>0</v>
      </c>
      <c r="Q417" s="28">
        <f>Q403*_xlfn.XLOOKUP($L417,'Balizador da Meta'!$B$4:$B$21,'Balizador da Meta'!$C$4:$C$21)</f>
        <v>0</v>
      </c>
      <c r="R417" s="28">
        <f>R403*_xlfn.XLOOKUP($L417,'Balizador da Meta'!$B$4:$B$21,'Balizador da Meta'!$C$4:$C$21)</f>
        <v>0</v>
      </c>
      <c r="S417" s="28">
        <f>S403*_xlfn.XLOOKUP($L417,'Balizador da Meta'!$B$4:$B$21,'Balizador da Meta'!$C$4:$C$21)</f>
        <v>0</v>
      </c>
      <c r="T417" s="28">
        <f>T403*_xlfn.XLOOKUP($L417,'Balizador da Meta'!$B$4:$B$21,'Balizador da Meta'!$C$4:$C$21)</f>
        <v>0</v>
      </c>
      <c r="U417" s="28">
        <f>U403*_xlfn.XLOOKUP($L417,'Balizador da Meta'!$B$4:$B$21,'Balizador da Meta'!$C$4:$C$21)</f>
        <v>0</v>
      </c>
      <c r="V417" s="28">
        <f>V403*_xlfn.XLOOKUP($L417,'Balizador da Meta'!$B$4:$B$21,'Balizador da Meta'!$C$4:$C$21)</f>
        <v>0</v>
      </c>
      <c r="W417" s="28">
        <f>W403*_xlfn.XLOOKUP($L417,'Balizador da Meta'!$B$4:$B$21,'Balizador da Meta'!$C$4:$C$21)</f>
        <v>0</v>
      </c>
      <c r="X417" s="28">
        <f>X403*_xlfn.XLOOKUP($L417,'Balizador da Meta'!$B$4:$B$21,'Balizador da Meta'!$C$4:$C$21)</f>
        <v>0</v>
      </c>
      <c r="Y417" s="28">
        <f>Y403*_xlfn.XLOOKUP($L417,'Balizador da Meta'!$B$4:$B$21,'Balizador da Meta'!$C$4:$C$21)</f>
        <v>0</v>
      </c>
      <c r="Z417" s="30">
        <f t="shared" si="100"/>
        <v>0</v>
      </c>
      <c r="AA417" s="29"/>
      <c r="AB417" s="31">
        <f>SUMIFS('Historico - FAT'!AK:AK,'Historico - FAT'!$K:$K,Faturamento!$L417,'Historico - FAT'!$I:$I,Faturamento!$J417,'Historico - FAT'!$G:$G,Faturamento!$H417)</f>
        <v>0</v>
      </c>
      <c r="AC417" s="31">
        <f>SUMIFS('Historico - FAT'!AL:AL,'Historico - FAT'!$K:$K,Faturamento!$L417,'Historico - FAT'!$I:$I,Faturamento!$J417,'Historico - FAT'!$G:$G,Faturamento!$H417)</f>
        <v>0</v>
      </c>
      <c r="AD417" s="31">
        <f>SUMIFS('Historico - FAT'!AM:AM,'Historico - FAT'!$K:$K,Faturamento!$L417,'Historico - FAT'!$I:$I,Faturamento!$J417,'Historico - FAT'!$G:$G,Faturamento!$H417)</f>
        <v>0</v>
      </c>
      <c r="AE417" s="27">
        <f>SUMIFS('Historico - FAT'!AN:AN,'Historico - FAT'!$K:$K,Faturamento!$L417,'Historico - FAT'!$I:$I,Faturamento!$J417,'Historico - FAT'!$G:$G,Faturamento!$H417)</f>
        <v>0</v>
      </c>
      <c r="AG417" s="24" t="str">
        <f t="shared" si="91"/>
        <v/>
      </c>
      <c r="AH417" s="24" t="str">
        <f t="shared" si="92"/>
        <v/>
      </c>
      <c r="AI417" s="24" t="str">
        <f t="shared" si="93"/>
        <v/>
      </c>
    </row>
    <row r="418" spans="1:35" hidden="1" x14ac:dyDescent="0.3">
      <c r="A418" s="2" t="str">
        <f t="shared" si="90"/>
        <v>NÃO</v>
      </c>
      <c r="B418" s="2">
        <v>1000184670</v>
      </c>
      <c r="C418" s="2" t="s">
        <v>147</v>
      </c>
      <c r="D418" s="4">
        <v>1000186197</v>
      </c>
      <c r="E418" s="4" t="s">
        <v>166</v>
      </c>
      <c r="F418" s="2">
        <v>1000184758</v>
      </c>
      <c r="G418" s="2" t="s">
        <v>55</v>
      </c>
      <c r="H418" s="4">
        <v>1000189766</v>
      </c>
      <c r="I418" s="4" t="s">
        <v>69</v>
      </c>
      <c r="J418" s="2">
        <v>1000189270</v>
      </c>
      <c r="K418" s="2" t="s">
        <v>34</v>
      </c>
      <c r="L418" s="4" t="s">
        <v>28</v>
      </c>
      <c r="M418" s="4" t="str">
        <f t="shared" si="97"/>
        <v>1000184670100018619710001897661000189270SAL</v>
      </c>
      <c r="N418" s="28">
        <f>N403*_xlfn.XLOOKUP($L418,'Balizador da Meta'!$B$4:$B$21,'Balizador da Meta'!$C$4:$C$21)</f>
        <v>12</v>
      </c>
      <c r="O418" s="28">
        <f>O403*_xlfn.XLOOKUP($L418,'Balizador da Meta'!$B$4:$B$21,'Balizador da Meta'!$C$4:$C$21)</f>
        <v>12</v>
      </c>
      <c r="P418" s="28">
        <f>P403*_xlfn.XLOOKUP($L418,'Balizador da Meta'!$B$4:$B$21,'Balizador da Meta'!$C$4:$C$21)</f>
        <v>12</v>
      </c>
      <c r="Q418" s="28">
        <f>Q403*_xlfn.XLOOKUP($L418,'Balizador da Meta'!$B$4:$B$21,'Balizador da Meta'!$C$4:$C$21)</f>
        <v>12</v>
      </c>
      <c r="R418" s="28">
        <f>R403*_xlfn.XLOOKUP($L418,'Balizador da Meta'!$B$4:$B$21,'Balizador da Meta'!$C$4:$C$21)</f>
        <v>12</v>
      </c>
      <c r="S418" s="28">
        <f>S403*_xlfn.XLOOKUP($L418,'Balizador da Meta'!$B$4:$B$21,'Balizador da Meta'!$C$4:$C$21)</f>
        <v>12</v>
      </c>
      <c r="T418" s="28">
        <f>T403*_xlfn.XLOOKUP($L418,'Balizador da Meta'!$B$4:$B$21,'Balizador da Meta'!$C$4:$C$21)</f>
        <v>12</v>
      </c>
      <c r="U418" s="28">
        <f>U403*_xlfn.XLOOKUP($L418,'Balizador da Meta'!$B$4:$B$21,'Balizador da Meta'!$C$4:$C$21)</f>
        <v>12</v>
      </c>
      <c r="V418" s="28">
        <f>V403*_xlfn.XLOOKUP($L418,'Balizador da Meta'!$B$4:$B$21,'Balizador da Meta'!$C$4:$C$21)</f>
        <v>12</v>
      </c>
      <c r="W418" s="28">
        <f>W403*_xlfn.XLOOKUP($L418,'Balizador da Meta'!$B$4:$B$21,'Balizador da Meta'!$C$4:$C$21)</f>
        <v>12</v>
      </c>
      <c r="X418" s="28">
        <f>X403*_xlfn.XLOOKUP($L418,'Balizador da Meta'!$B$4:$B$21,'Balizador da Meta'!$C$4:$C$21)</f>
        <v>12</v>
      </c>
      <c r="Y418" s="28">
        <f>Y403*_xlfn.XLOOKUP($L418,'Balizador da Meta'!$B$4:$B$21,'Balizador da Meta'!$C$4:$C$21)</f>
        <v>12</v>
      </c>
      <c r="Z418" s="30">
        <f t="shared" si="100"/>
        <v>144</v>
      </c>
      <c r="AA418" s="29"/>
      <c r="AB418" s="31">
        <f>SUMIFS('Historico - FAT'!AK:AK,'Historico - FAT'!$K:$K,Faturamento!$L418,'Historico - FAT'!$I:$I,Faturamento!$J418,'Historico - FAT'!$G:$G,Faturamento!$H418)</f>
        <v>0</v>
      </c>
      <c r="AC418" s="31">
        <f>SUMIFS('Historico - FAT'!AL:AL,'Historico - FAT'!$K:$K,Faturamento!$L418,'Historico - FAT'!$I:$I,Faturamento!$J418,'Historico - FAT'!$G:$G,Faturamento!$H418)</f>
        <v>0</v>
      </c>
      <c r="AD418" s="31">
        <f>SUMIFS('Historico - FAT'!AM:AM,'Historico - FAT'!$K:$K,Faturamento!$L418,'Historico - FAT'!$I:$I,Faturamento!$J418,'Historico - FAT'!$G:$G,Faturamento!$H418)</f>
        <v>0</v>
      </c>
      <c r="AE418" s="27">
        <f>SUMIFS('Historico - FAT'!AN:AN,'Historico - FAT'!$K:$K,Faturamento!$L418,'Historico - FAT'!$I:$I,Faturamento!$J418,'Historico - FAT'!$G:$G,Faturamento!$H418)</f>
        <v>0</v>
      </c>
      <c r="AG418" s="24">
        <f t="shared" si="91"/>
        <v>1</v>
      </c>
      <c r="AH418" s="24">
        <f t="shared" si="92"/>
        <v>1</v>
      </c>
      <c r="AI418" s="24">
        <f t="shared" si="93"/>
        <v>1</v>
      </c>
    </row>
    <row r="419" spans="1:35" hidden="1" x14ac:dyDescent="0.3">
      <c r="A419" s="2" t="str">
        <f t="shared" si="90"/>
        <v>NÃO</v>
      </c>
      <c r="B419" s="2">
        <v>1000184670</v>
      </c>
      <c r="C419" s="2" t="s">
        <v>147</v>
      </c>
      <c r="D419" s="4">
        <v>1000186197</v>
      </c>
      <c r="E419" s="4" t="s">
        <v>166</v>
      </c>
      <c r="F419" s="2">
        <v>1000184758</v>
      </c>
      <c r="G419" s="2" t="s">
        <v>55</v>
      </c>
      <c r="H419" s="4">
        <v>1000189766</v>
      </c>
      <c r="I419" s="4" t="s">
        <v>69</v>
      </c>
      <c r="J419" s="2">
        <v>1000189270</v>
      </c>
      <c r="K419" s="2" t="s">
        <v>34</v>
      </c>
      <c r="L419" s="4" t="s">
        <v>26</v>
      </c>
      <c r="M419" s="4" t="str">
        <f t="shared" si="97"/>
        <v>1000184670100018619710001897661000189270SOULPRO</v>
      </c>
      <c r="N419" s="28">
        <f>N403*_xlfn.XLOOKUP($L419,'Balizador da Meta'!$B$4:$B$21,'Balizador da Meta'!$C$4:$C$21)</f>
        <v>36</v>
      </c>
      <c r="O419" s="28">
        <f>O403*_xlfn.XLOOKUP($L419,'Balizador da Meta'!$B$4:$B$21,'Balizador da Meta'!$C$4:$C$21)</f>
        <v>36</v>
      </c>
      <c r="P419" s="28">
        <f>P403*_xlfn.XLOOKUP($L419,'Balizador da Meta'!$B$4:$B$21,'Balizador da Meta'!$C$4:$C$21)</f>
        <v>36</v>
      </c>
      <c r="Q419" s="28">
        <f>Q403*_xlfn.XLOOKUP($L419,'Balizador da Meta'!$B$4:$B$21,'Balizador da Meta'!$C$4:$C$21)</f>
        <v>36</v>
      </c>
      <c r="R419" s="28">
        <f>R403*_xlfn.XLOOKUP($L419,'Balizador da Meta'!$B$4:$B$21,'Balizador da Meta'!$C$4:$C$21)</f>
        <v>36</v>
      </c>
      <c r="S419" s="28">
        <f>S403*_xlfn.XLOOKUP($L419,'Balizador da Meta'!$B$4:$B$21,'Balizador da Meta'!$C$4:$C$21)</f>
        <v>36</v>
      </c>
      <c r="T419" s="28">
        <f>T403*_xlfn.XLOOKUP($L419,'Balizador da Meta'!$B$4:$B$21,'Balizador da Meta'!$C$4:$C$21)</f>
        <v>36</v>
      </c>
      <c r="U419" s="28">
        <f>U403*_xlfn.XLOOKUP($L419,'Balizador da Meta'!$B$4:$B$21,'Balizador da Meta'!$C$4:$C$21)</f>
        <v>36</v>
      </c>
      <c r="V419" s="28">
        <f>V403*_xlfn.XLOOKUP($L419,'Balizador da Meta'!$B$4:$B$21,'Balizador da Meta'!$C$4:$C$21)</f>
        <v>36</v>
      </c>
      <c r="W419" s="28">
        <f>W403*_xlfn.XLOOKUP($L419,'Balizador da Meta'!$B$4:$B$21,'Balizador da Meta'!$C$4:$C$21)</f>
        <v>36</v>
      </c>
      <c r="X419" s="28">
        <f>X403*_xlfn.XLOOKUP($L419,'Balizador da Meta'!$B$4:$B$21,'Balizador da Meta'!$C$4:$C$21)</f>
        <v>36</v>
      </c>
      <c r="Y419" s="28">
        <f>Y403*_xlfn.XLOOKUP($L419,'Balizador da Meta'!$B$4:$B$21,'Balizador da Meta'!$C$4:$C$21)</f>
        <v>36</v>
      </c>
      <c r="Z419" s="30">
        <f t="shared" si="100"/>
        <v>432</v>
      </c>
      <c r="AA419" s="29"/>
      <c r="AB419" s="31">
        <f>SUMIFS('Historico - FAT'!AK:AK,'Historico - FAT'!$K:$K,Faturamento!$L419,'Historico - FAT'!$I:$I,Faturamento!$J419,'Historico - FAT'!$G:$G,Faturamento!$H419)</f>
        <v>0</v>
      </c>
      <c r="AC419" s="31">
        <f>SUMIFS('Historico - FAT'!AL:AL,'Historico - FAT'!$K:$K,Faturamento!$L419,'Historico - FAT'!$I:$I,Faturamento!$J419,'Historico - FAT'!$G:$G,Faturamento!$H419)</f>
        <v>0</v>
      </c>
      <c r="AD419" s="31">
        <f>SUMIFS('Historico - FAT'!AM:AM,'Historico - FAT'!$K:$K,Faturamento!$L419,'Historico - FAT'!$I:$I,Faturamento!$J419,'Historico - FAT'!$G:$G,Faturamento!$H419)</f>
        <v>0</v>
      </c>
      <c r="AE419" s="27">
        <f>SUMIFS('Historico - FAT'!AN:AN,'Historico - FAT'!$K:$K,Faturamento!$L419,'Historico - FAT'!$I:$I,Faturamento!$J419,'Historico - FAT'!$G:$G,Faturamento!$H419)</f>
        <v>0</v>
      </c>
      <c r="AG419" s="24">
        <f t="shared" si="91"/>
        <v>1</v>
      </c>
      <c r="AH419" s="24">
        <f t="shared" si="92"/>
        <v>1</v>
      </c>
      <c r="AI419" s="24">
        <f t="shared" si="93"/>
        <v>1</v>
      </c>
    </row>
    <row r="420" spans="1:35" hidden="1" x14ac:dyDescent="0.3">
      <c r="A420" s="2" t="str">
        <f t="shared" si="90"/>
        <v>NÃO</v>
      </c>
      <c r="B420" s="2">
        <v>1000184670</v>
      </c>
      <c r="C420" s="2" t="s">
        <v>147</v>
      </c>
      <c r="D420" s="4">
        <v>1000186197</v>
      </c>
      <c r="E420" s="4" t="s">
        <v>166</v>
      </c>
      <c r="F420" s="2">
        <v>1000184758</v>
      </c>
      <c r="G420" s="2" t="s">
        <v>55</v>
      </c>
      <c r="H420" s="4">
        <v>1000189766</v>
      </c>
      <c r="I420" s="4" t="s">
        <v>69</v>
      </c>
      <c r="J420" s="2">
        <v>1000189270</v>
      </c>
      <c r="K420" s="2" t="s">
        <v>34</v>
      </c>
      <c r="L420" s="4" t="s">
        <v>27</v>
      </c>
      <c r="M420" s="4" t="str">
        <f t="shared" si="97"/>
        <v>1000184670100018619710001897661000189270TAMARA</v>
      </c>
      <c r="N420" s="28">
        <f>N403*_xlfn.XLOOKUP($L420,'Balizador da Meta'!$B$4:$B$21,'Balizador da Meta'!$C$4:$C$21)</f>
        <v>48</v>
      </c>
      <c r="O420" s="28">
        <f>O403*_xlfn.XLOOKUP($L420,'Balizador da Meta'!$B$4:$B$21,'Balizador da Meta'!$C$4:$C$21)</f>
        <v>48</v>
      </c>
      <c r="P420" s="28">
        <f>P403*_xlfn.XLOOKUP($L420,'Balizador da Meta'!$B$4:$B$21,'Balizador da Meta'!$C$4:$C$21)</f>
        <v>48</v>
      </c>
      <c r="Q420" s="28">
        <f>Q403*_xlfn.XLOOKUP($L420,'Balizador da Meta'!$B$4:$B$21,'Balizador da Meta'!$C$4:$C$21)</f>
        <v>48</v>
      </c>
      <c r="R420" s="28">
        <f>R403*_xlfn.XLOOKUP($L420,'Balizador da Meta'!$B$4:$B$21,'Balizador da Meta'!$C$4:$C$21)</f>
        <v>48</v>
      </c>
      <c r="S420" s="28">
        <f>S403*_xlfn.XLOOKUP($L420,'Balizador da Meta'!$B$4:$B$21,'Balizador da Meta'!$C$4:$C$21)</f>
        <v>48</v>
      </c>
      <c r="T420" s="28">
        <f>T403*_xlfn.XLOOKUP($L420,'Balizador da Meta'!$B$4:$B$21,'Balizador da Meta'!$C$4:$C$21)</f>
        <v>48</v>
      </c>
      <c r="U420" s="28">
        <f>U403*_xlfn.XLOOKUP($L420,'Balizador da Meta'!$B$4:$B$21,'Balizador da Meta'!$C$4:$C$21)</f>
        <v>48</v>
      </c>
      <c r="V420" s="28">
        <f>V403*_xlfn.XLOOKUP($L420,'Balizador da Meta'!$B$4:$B$21,'Balizador da Meta'!$C$4:$C$21)</f>
        <v>48</v>
      </c>
      <c r="W420" s="28">
        <f>W403*_xlfn.XLOOKUP($L420,'Balizador da Meta'!$B$4:$B$21,'Balizador da Meta'!$C$4:$C$21)</f>
        <v>48</v>
      </c>
      <c r="X420" s="28">
        <f>X403*_xlfn.XLOOKUP($L420,'Balizador da Meta'!$B$4:$B$21,'Balizador da Meta'!$C$4:$C$21)</f>
        <v>48</v>
      </c>
      <c r="Y420" s="28">
        <f>Y403*_xlfn.XLOOKUP($L420,'Balizador da Meta'!$B$4:$B$21,'Balizador da Meta'!$C$4:$C$21)</f>
        <v>48</v>
      </c>
      <c r="Z420" s="30">
        <f t="shared" si="100"/>
        <v>576</v>
      </c>
      <c r="AA420" s="29"/>
      <c r="AB420" s="31">
        <f>SUMIFS('Historico - FAT'!AK:AK,'Historico - FAT'!$K:$K,Faturamento!$L420,'Historico - FAT'!$I:$I,Faturamento!$J420,'Historico - FAT'!$G:$G,Faturamento!$H420)</f>
        <v>0</v>
      </c>
      <c r="AC420" s="31">
        <f>SUMIFS('Historico - FAT'!AL:AL,'Historico - FAT'!$K:$K,Faturamento!$L420,'Historico - FAT'!$I:$I,Faturamento!$J420,'Historico - FAT'!$G:$G,Faturamento!$H420)</f>
        <v>0</v>
      </c>
      <c r="AD420" s="31">
        <f>SUMIFS('Historico - FAT'!AM:AM,'Historico - FAT'!$K:$K,Faturamento!$L420,'Historico - FAT'!$I:$I,Faturamento!$J420,'Historico - FAT'!$G:$G,Faturamento!$H420)</f>
        <v>0</v>
      </c>
      <c r="AE420" s="27">
        <f>SUMIFS('Historico - FAT'!AN:AN,'Historico - FAT'!$K:$K,Faturamento!$L420,'Historico - FAT'!$I:$I,Faturamento!$J420,'Historico - FAT'!$G:$G,Faturamento!$H420)</f>
        <v>0</v>
      </c>
      <c r="AG420" s="24">
        <f t="shared" si="91"/>
        <v>1</v>
      </c>
      <c r="AH420" s="24">
        <f t="shared" si="92"/>
        <v>1</v>
      </c>
      <c r="AI420" s="24">
        <f t="shared" si="93"/>
        <v>1</v>
      </c>
    </row>
    <row r="421" spans="1:35" hidden="1" x14ac:dyDescent="0.3">
      <c r="A421" s="2" t="str">
        <f t="shared" si="90"/>
        <v>NÃO</v>
      </c>
      <c r="B421" s="2">
        <v>1000184670</v>
      </c>
      <c r="C421" s="2" t="s">
        <v>147</v>
      </c>
      <c r="D421" s="4">
        <v>1000186197</v>
      </c>
      <c r="E421" s="4" t="s">
        <v>166</v>
      </c>
      <c r="F421" s="2">
        <v>1000184758</v>
      </c>
      <c r="G421" s="2" t="s">
        <v>55</v>
      </c>
      <c r="H421" s="4">
        <v>1000189766</v>
      </c>
      <c r="I421" s="4" t="s">
        <v>69</v>
      </c>
      <c r="J421" s="2">
        <v>1000189270</v>
      </c>
      <c r="K421" s="2" t="s">
        <v>34</v>
      </c>
      <c r="L421" s="4" t="s">
        <v>25</v>
      </c>
      <c r="M421" s="4" t="str">
        <f t="shared" si="97"/>
        <v>1000184670100018619710001897661000189270VICCIO</v>
      </c>
      <c r="N421" s="28">
        <f>N403*_xlfn.XLOOKUP($L421,'Balizador da Meta'!$B$4:$B$21,'Balizador da Meta'!$C$4:$C$21)</f>
        <v>18</v>
      </c>
      <c r="O421" s="28">
        <f>O403*_xlfn.XLOOKUP($L421,'Balizador da Meta'!$B$4:$B$21,'Balizador da Meta'!$C$4:$C$21)</f>
        <v>18</v>
      </c>
      <c r="P421" s="28">
        <f>P403*_xlfn.XLOOKUP($L421,'Balizador da Meta'!$B$4:$B$21,'Balizador da Meta'!$C$4:$C$21)</f>
        <v>18</v>
      </c>
      <c r="Q421" s="28">
        <f>Q403*_xlfn.XLOOKUP($L421,'Balizador da Meta'!$B$4:$B$21,'Balizador da Meta'!$C$4:$C$21)</f>
        <v>18</v>
      </c>
      <c r="R421" s="28">
        <f>R403*_xlfn.XLOOKUP($L421,'Balizador da Meta'!$B$4:$B$21,'Balizador da Meta'!$C$4:$C$21)</f>
        <v>18</v>
      </c>
      <c r="S421" s="28">
        <f>S403*_xlfn.XLOOKUP($L421,'Balizador da Meta'!$B$4:$B$21,'Balizador da Meta'!$C$4:$C$21)</f>
        <v>18</v>
      </c>
      <c r="T421" s="28">
        <f>T403*_xlfn.XLOOKUP($L421,'Balizador da Meta'!$B$4:$B$21,'Balizador da Meta'!$C$4:$C$21)</f>
        <v>18</v>
      </c>
      <c r="U421" s="28">
        <f>U403*_xlfn.XLOOKUP($L421,'Balizador da Meta'!$B$4:$B$21,'Balizador da Meta'!$C$4:$C$21)</f>
        <v>18</v>
      </c>
      <c r="V421" s="28">
        <f>V403*_xlfn.XLOOKUP($L421,'Balizador da Meta'!$B$4:$B$21,'Balizador da Meta'!$C$4:$C$21)</f>
        <v>18</v>
      </c>
      <c r="W421" s="28">
        <f>W403*_xlfn.XLOOKUP($L421,'Balizador da Meta'!$B$4:$B$21,'Balizador da Meta'!$C$4:$C$21)</f>
        <v>18</v>
      </c>
      <c r="X421" s="28">
        <f>X403*_xlfn.XLOOKUP($L421,'Balizador da Meta'!$B$4:$B$21,'Balizador da Meta'!$C$4:$C$21)</f>
        <v>18</v>
      </c>
      <c r="Y421" s="28">
        <f>Y403*_xlfn.XLOOKUP($L421,'Balizador da Meta'!$B$4:$B$21,'Balizador da Meta'!$C$4:$C$21)</f>
        <v>18</v>
      </c>
      <c r="Z421" s="30">
        <f t="shared" si="100"/>
        <v>216</v>
      </c>
      <c r="AA421" s="29"/>
      <c r="AB421" s="31">
        <f>SUMIFS('Historico - FAT'!AK:AK,'Historico - FAT'!$K:$K,Faturamento!$L421,'Historico - FAT'!$I:$I,Faturamento!$J421,'Historico - FAT'!$G:$G,Faturamento!$H421)</f>
        <v>0</v>
      </c>
      <c r="AC421" s="31">
        <f>SUMIFS('Historico - FAT'!AL:AL,'Historico - FAT'!$K:$K,Faturamento!$L421,'Historico - FAT'!$I:$I,Faturamento!$J421,'Historico - FAT'!$G:$G,Faturamento!$H421)</f>
        <v>0</v>
      </c>
      <c r="AD421" s="31">
        <f>SUMIFS('Historico - FAT'!AM:AM,'Historico - FAT'!$K:$K,Faturamento!$L421,'Historico - FAT'!$I:$I,Faturamento!$J421,'Historico - FAT'!$G:$G,Faturamento!$H421)</f>
        <v>0</v>
      </c>
      <c r="AE421" s="27">
        <f>SUMIFS('Historico - FAT'!AN:AN,'Historico - FAT'!$K:$K,Faturamento!$L421,'Historico - FAT'!$I:$I,Faturamento!$J421,'Historico - FAT'!$G:$G,Faturamento!$H421)</f>
        <v>0</v>
      </c>
      <c r="AG421" s="24">
        <f t="shared" si="91"/>
        <v>1</v>
      </c>
      <c r="AH421" s="24">
        <f t="shared" si="92"/>
        <v>1</v>
      </c>
      <c r="AI421" s="24">
        <f t="shared" si="93"/>
        <v>1</v>
      </c>
    </row>
    <row r="422" spans="1:35" x14ac:dyDescent="0.3">
      <c r="A422" s="2" t="str">
        <f t="shared" si="90"/>
        <v>SIM</v>
      </c>
      <c r="B422" s="2">
        <v>1000184670</v>
      </c>
      <c r="C422" s="2" t="s">
        <v>147</v>
      </c>
      <c r="D422" s="4">
        <v>1000186197</v>
      </c>
      <c r="E422" s="4" t="s">
        <v>166</v>
      </c>
      <c r="F422" s="2">
        <v>1000184758</v>
      </c>
      <c r="G422" s="2" t="s">
        <v>55</v>
      </c>
      <c r="H422" s="4">
        <v>1000189767</v>
      </c>
      <c r="I422" s="4" t="s">
        <v>90</v>
      </c>
      <c r="J422" s="2">
        <v>1000189270</v>
      </c>
      <c r="K422" s="2" t="s">
        <v>34</v>
      </c>
      <c r="L422" s="4" t="s">
        <v>124</v>
      </c>
      <c r="M422" s="4" t="str">
        <f t="shared" si="97"/>
        <v>100018467010001861971000189767100018927001. TOTAL</v>
      </c>
      <c r="N422" s="28">
        <f>SUMIFS(Positivação!L:L,Positivação!$I:$I,Faturamento!$J422,Positivação!$G:$G,Faturamento!$H422)*SUMIFS(Positivação!$Z:$Z,Positivação!$I:$I,Faturamento!$J422,Positivação!$G:$G,Faturamento!$H422)</f>
        <v>0</v>
      </c>
      <c r="O422" s="28">
        <f>SUMIFS(Positivação!M:M,Positivação!$I:$I,Faturamento!$J422,Positivação!$G:$G,Faturamento!$H422)*SUMIFS(Positivação!$Z:$Z,Positivação!$I:$I,Faturamento!$J422,Positivação!$G:$G,Faturamento!$H422)</f>
        <v>0</v>
      </c>
      <c r="P422" s="28">
        <f>SUMIFS(Positivação!N:N,Positivação!$I:$I,Faturamento!$J422,Positivação!$G:$G,Faturamento!$H422)*SUMIFS(Positivação!$Z:$Z,Positivação!$I:$I,Faturamento!$J422,Positivação!$G:$G,Faturamento!$H422)</f>
        <v>0</v>
      </c>
      <c r="Q422" s="28">
        <f>SUMIFS(Positivação!O:O,Positivação!$I:$I,Faturamento!$J422,Positivação!$G:$G,Faturamento!$H422)*SUMIFS(Positivação!$Z:$Z,Positivação!$I:$I,Faturamento!$J422,Positivação!$G:$G,Faturamento!$H422)</f>
        <v>0</v>
      </c>
      <c r="R422" s="28">
        <f>SUMIFS(Positivação!P:P,Positivação!$I:$I,Faturamento!$J422,Positivação!$G:$G,Faturamento!$H422)*SUMIFS(Positivação!$Z:$Z,Positivação!$I:$I,Faturamento!$J422,Positivação!$G:$G,Faturamento!$H422)</f>
        <v>0</v>
      </c>
      <c r="S422" s="28">
        <f>SUMIFS(Positivação!Q:Q,Positivação!$I:$I,Faturamento!$J422,Positivação!$G:$G,Faturamento!$H422)*SUMIFS(Positivação!$Z:$Z,Positivação!$I:$I,Faturamento!$J422,Positivação!$G:$G,Faturamento!$H422)</f>
        <v>0</v>
      </c>
      <c r="T422" s="28">
        <f>SUMIFS(Positivação!R:R,Positivação!$I:$I,Faturamento!$J422,Positivação!$G:$G,Faturamento!$H422)*SUMIFS(Positivação!$Z:$Z,Positivação!$I:$I,Faturamento!$J422,Positivação!$G:$G,Faturamento!$H422)</f>
        <v>0</v>
      </c>
      <c r="U422" s="28">
        <f>SUMIFS(Positivação!S:S,Positivação!$I:$I,Faturamento!$J422,Positivação!$G:$G,Faturamento!$H422)*SUMIFS(Positivação!$Z:$Z,Positivação!$I:$I,Faturamento!$J422,Positivação!$G:$G,Faturamento!$H422)</f>
        <v>0</v>
      </c>
      <c r="V422" s="28">
        <f>SUMIFS(Positivação!T:T,Positivação!$I:$I,Faturamento!$J422,Positivação!$G:$G,Faturamento!$H422)*SUMIFS(Positivação!$Z:$Z,Positivação!$I:$I,Faturamento!$J422,Positivação!$G:$G,Faturamento!$H422)</f>
        <v>0</v>
      </c>
      <c r="W422" s="28">
        <f>SUMIFS(Positivação!U:U,Positivação!$I:$I,Faturamento!$J422,Positivação!$G:$G,Faturamento!$H422)*SUMIFS(Positivação!$Z:$Z,Positivação!$I:$I,Faturamento!$J422,Positivação!$G:$G,Faturamento!$H422)</f>
        <v>0</v>
      </c>
      <c r="X422" s="28">
        <f>SUMIFS(Positivação!V:V,Positivação!$I:$I,Faturamento!$J422,Positivação!$G:$G,Faturamento!$H422)*SUMIFS(Positivação!$Z:$Z,Positivação!$I:$I,Faturamento!$J422,Positivação!$G:$G,Faturamento!$H422)</f>
        <v>0</v>
      </c>
      <c r="Y422" s="28">
        <f>SUMIFS(Positivação!W:W,Positivação!$I:$I,Faturamento!$J422,Positivação!$G:$G,Faturamento!$H422)*SUMIFS(Positivação!$Z:$Z,Positivação!$I:$I,Faturamento!$J422,Positivação!$G:$G,Faturamento!$H422)</f>
        <v>0</v>
      </c>
      <c r="Z422" s="28">
        <f t="shared" ref="Z422" si="101">SUM(Z423:Z440)</f>
        <v>0</v>
      </c>
      <c r="AA422" s="29"/>
      <c r="AB422" s="28">
        <f t="shared" ref="AB422:AE422" si="102">SUM(AB423:AB440)</f>
        <v>0</v>
      </c>
      <c r="AC422" s="28">
        <f t="shared" si="102"/>
        <v>0</v>
      </c>
      <c r="AD422" s="28">
        <f t="shared" si="102"/>
        <v>0</v>
      </c>
      <c r="AE422" s="28">
        <f t="shared" si="102"/>
        <v>0</v>
      </c>
      <c r="AG422" s="24" t="str">
        <f t="shared" si="91"/>
        <v/>
      </c>
      <c r="AH422" s="24" t="str">
        <f t="shared" si="92"/>
        <v/>
      </c>
      <c r="AI422" s="24" t="str">
        <f t="shared" si="93"/>
        <v/>
      </c>
    </row>
    <row r="423" spans="1:35" hidden="1" x14ac:dyDescent="0.3">
      <c r="A423" s="2" t="str">
        <f t="shared" si="90"/>
        <v>NÃO</v>
      </c>
      <c r="B423" s="2">
        <v>1000184670</v>
      </c>
      <c r="C423" s="2" t="s">
        <v>147</v>
      </c>
      <c r="D423" s="4">
        <v>1000186197</v>
      </c>
      <c r="E423" s="4" t="s">
        <v>166</v>
      </c>
      <c r="F423" s="2">
        <v>1000184758</v>
      </c>
      <c r="G423" s="2" t="s">
        <v>55</v>
      </c>
      <c r="H423" s="4">
        <v>1000189767</v>
      </c>
      <c r="I423" s="4" t="s">
        <v>90</v>
      </c>
      <c r="J423" s="2">
        <v>1000189270</v>
      </c>
      <c r="K423" s="2" t="s">
        <v>34</v>
      </c>
      <c r="L423" s="4" t="s">
        <v>13</v>
      </c>
      <c r="M423" s="4" t="str">
        <f t="shared" si="97"/>
        <v>1000184670100018619710001897671000189270BISCOITO</v>
      </c>
      <c r="N423" s="28">
        <f>N422*_xlfn.XLOOKUP($L423,'Balizador da Meta'!$B$4:$B$21,'Balizador da Meta'!$C$4:$C$21)</f>
        <v>0</v>
      </c>
      <c r="O423" s="28">
        <f>O422*_xlfn.XLOOKUP($L423,'Balizador da Meta'!$B$4:$B$21,'Balizador da Meta'!$C$4:$C$21)</f>
        <v>0</v>
      </c>
      <c r="P423" s="28">
        <f>P422*_xlfn.XLOOKUP($L423,'Balizador da Meta'!$B$4:$B$21,'Balizador da Meta'!$C$4:$C$21)</f>
        <v>0</v>
      </c>
      <c r="Q423" s="28">
        <f>Q422*_xlfn.XLOOKUP($L423,'Balizador da Meta'!$B$4:$B$21,'Balizador da Meta'!$C$4:$C$21)</f>
        <v>0</v>
      </c>
      <c r="R423" s="28">
        <f>R422*_xlfn.XLOOKUP($L423,'Balizador da Meta'!$B$4:$B$21,'Balizador da Meta'!$C$4:$C$21)</f>
        <v>0</v>
      </c>
      <c r="S423" s="28">
        <f>S422*_xlfn.XLOOKUP($L423,'Balizador da Meta'!$B$4:$B$21,'Balizador da Meta'!$C$4:$C$21)</f>
        <v>0</v>
      </c>
      <c r="T423" s="28">
        <f>T422*_xlfn.XLOOKUP($L423,'Balizador da Meta'!$B$4:$B$21,'Balizador da Meta'!$C$4:$C$21)</f>
        <v>0</v>
      </c>
      <c r="U423" s="28">
        <f>U422*_xlfn.XLOOKUP($L423,'Balizador da Meta'!$B$4:$B$21,'Balizador da Meta'!$C$4:$C$21)</f>
        <v>0</v>
      </c>
      <c r="V423" s="28">
        <f>V422*_xlfn.XLOOKUP($L423,'Balizador da Meta'!$B$4:$B$21,'Balizador da Meta'!$C$4:$C$21)</f>
        <v>0</v>
      </c>
      <c r="W423" s="28">
        <f>W422*_xlfn.XLOOKUP($L423,'Balizador da Meta'!$B$4:$B$21,'Balizador da Meta'!$C$4:$C$21)</f>
        <v>0</v>
      </c>
      <c r="X423" s="28">
        <f>X422*_xlfn.XLOOKUP($L423,'Balizador da Meta'!$B$4:$B$21,'Balizador da Meta'!$C$4:$C$21)</f>
        <v>0</v>
      </c>
      <c r="Y423" s="28">
        <f>Y422*_xlfn.XLOOKUP($L423,'Balizador da Meta'!$B$4:$B$21,'Balizador da Meta'!$C$4:$C$21)</f>
        <v>0</v>
      </c>
      <c r="Z423" s="30">
        <f t="shared" ref="Z423:Z440" si="103">SUM(N423:Y423)</f>
        <v>0</v>
      </c>
      <c r="AA423" s="29"/>
      <c r="AB423" s="31">
        <f>SUMIFS('Historico - FAT'!AK:AK,'Historico - FAT'!$K:$K,Faturamento!$L423,'Historico - FAT'!$I:$I,Faturamento!$J423,'Historico - FAT'!$G:$G,Faturamento!$H423)</f>
        <v>0</v>
      </c>
      <c r="AC423" s="31">
        <f>SUMIFS('Historico - FAT'!AL:AL,'Historico - FAT'!$K:$K,Faturamento!$L423,'Historico - FAT'!$I:$I,Faturamento!$J423,'Historico - FAT'!$G:$G,Faturamento!$H423)</f>
        <v>0</v>
      </c>
      <c r="AD423" s="31">
        <f>SUMIFS('Historico - FAT'!AM:AM,'Historico - FAT'!$K:$K,Faturamento!$L423,'Historico - FAT'!$I:$I,Faturamento!$J423,'Historico - FAT'!$G:$G,Faturamento!$H423)</f>
        <v>0</v>
      </c>
      <c r="AE423" s="27">
        <f>SUMIFS('Historico - FAT'!AN:AN,'Historico - FAT'!$K:$K,Faturamento!$L423,'Historico - FAT'!$I:$I,Faturamento!$J423,'Historico - FAT'!$G:$G,Faturamento!$H423)</f>
        <v>0</v>
      </c>
      <c r="AG423" s="24" t="str">
        <f t="shared" si="91"/>
        <v/>
      </c>
      <c r="AH423" s="24" t="str">
        <f t="shared" si="92"/>
        <v/>
      </c>
      <c r="AI423" s="24" t="str">
        <f t="shared" si="93"/>
        <v/>
      </c>
    </row>
    <row r="424" spans="1:35" hidden="1" x14ac:dyDescent="0.3">
      <c r="A424" s="2" t="str">
        <f t="shared" si="90"/>
        <v>NÃO</v>
      </c>
      <c r="B424" s="2">
        <v>1000184670</v>
      </c>
      <c r="C424" s="2" t="s">
        <v>147</v>
      </c>
      <c r="D424" s="4">
        <v>1000186197</v>
      </c>
      <c r="E424" s="4" t="s">
        <v>166</v>
      </c>
      <c r="F424" s="2">
        <v>1000184758</v>
      </c>
      <c r="G424" s="2" t="s">
        <v>55</v>
      </c>
      <c r="H424" s="4">
        <v>1000189767</v>
      </c>
      <c r="I424" s="4" t="s">
        <v>90</v>
      </c>
      <c r="J424" s="2">
        <v>1000189270</v>
      </c>
      <c r="K424" s="2" t="s">
        <v>34</v>
      </c>
      <c r="L424" s="4" t="s">
        <v>14</v>
      </c>
      <c r="M424" s="4" t="str">
        <f t="shared" si="97"/>
        <v>1000184670100018619710001897671000189270CHOCOLATES</v>
      </c>
      <c r="N424" s="28">
        <f>N422*_xlfn.XLOOKUP($L424,'Balizador da Meta'!$B$4:$B$21,'Balizador da Meta'!$C$4:$C$21)</f>
        <v>0</v>
      </c>
      <c r="O424" s="28">
        <f>O422*_xlfn.XLOOKUP($L424,'Balizador da Meta'!$B$4:$B$21,'Balizador da Meta'!$C$4:$C$21)</f>
        <v>0</v>
      </c>
      <c r="P424" s="28">
        <f>P422*_xlfn.XLOOKUP($L424,'Balizador da Meta'!$B$4:$B$21,'Balizador da Meta'!$C$4:$C$21)</f>
        <v>0</v>
      </c>
      <c r="Q424" s="28">
        <f>Q422*_xlfn.XLOOKUP($L424,'Balizador da Meta'!$B$4:$B$21,'Balizador da Meta'!$C$4:$C$21)</f>
        <v>0</v>
      </c>
      <c r="R424" s="28">
        <f>R422*_xlfn.XLOOKUP($L424,'Balizador da Meta'!$B$4:$B$21,'Balizador da Meta'!$C$4:$C$21)</f>
        <v>0</v>
      </c>
      <c r="S424" s="28">
        <f>S422*_xlfn.XLOOKUP($L424,'Balizador da Meta'!$B$4:$B$21,'Balizador da Meta'!$C$4:$C$21)</f>
        <v>0</v>
      </c>
      <c r="T424" s="28">
        <f>T422*_xlfn.XLOOKUP($L424,'Balizador da Meta'!$B$4:$B$21,'Balizador da Meta'!$C$4:$C$21)</f>
        <v>0</v>
      </c>
      <c r="U424" s="28">
        <f>U422*_xlfn.XLOOKUP($L424,'Balizador da Meta'!$B$4:$B$21,'Balizador da Meta'!$C$4:$C$21)</f>
        <v>0</v>
      </c>
      <c r="V424" s="28">
        <f>V422*_xlfn.XLOOKUP($L424,'Balizador da Meta'!$B$4:$B$21,'Balizador da Meta'!$C$4:$C$21)</f>
        <v>0</v>
      </c>
      <c r="W424" s="28">
        <f>W422*_xlfn.XLOOKUP($L424,'Balizador da Meta'!$B$4:$B$21,'Balizador da Meta'!$C$4:$C$21)</f>
        <v>0</v>
      </c>
      <c r="X424" s="28">
        <f>X422*_xlfn.XLOOKUP($L424,'Balizador da Meta'!$B$4:$B$21,'Balizador da Meta'!$C$4:$C$21)</f>
        <v>0</v>
      </c>
      <c r="Y424" s="28">
        <f>Y422*_xlfn.XLOOKUP($L424,'Balizador da Meta'!$B$4:$B$21,'Balizador da Meta'!$C$4:$C$21)</f>
        <v>0</v>
      </c>
      <c r="Z424" s="30">
        <f t="shared" si="103"/>
        <v>0</v>
      </c>
      <c r="AA424" s="29"/>
      <c r="AB424" s="31">
        <f>SUMIFS('Historico - FAT'!AK:AK,'Historico - FAT'!$K:$K,Faturamento!$L424,'Historico - FAT'!$I:$I,Faturamento!$J424,'Historico - FAT'!$G:$G,Faturamento!$H424)</f>
        <v>0</v>
      </c>
      <c r="AC424" s="31">
        <f>SUMIFS('Historico - FAT'!AL:AL,'Historico - FAT'!$K:$K,Faturamento!$L424,'Historico - FAT'!$I:$I,Faturamento!$J424,'Historico - FAT'!$G:$G,Faturamento!$H424)</f>
        <v>0</v>
      </c>
      <c r="AD424" s="31">
        <f>SUMIFS('Historico - FAT'!AM:AM,'Historico - FAT'!$K:$K,Faturamento!$L424,'Historico - FAT'!$I:$I,Faturamento!$J424,'Historico - FAT'!$G:$G,Faturamento!$H424)</f>
        <v>0</v>
      </c>
      <c r="AE424" s="27">
        <f>SUMIFS('Historico - FAT'!AN:AN,'Historico - FAT'!$K:$K,Faturamento!$L424,'Historico - FAT'!$I:$I,Faturamento!$J424,'Historico - FAT'!$G:$G,Faturamento!$H424)</f>
        <v>0</v>
      </c>
      <c r="AG424" s="24" t="str">
        <f t="shared" si="91"/>
        <v/>
      </c>
      <c r="AH424" s="24" t="str">
        <f t="shared" si="92"/>
        <v/>
      </c>
      <c r="AI424" s="24" t="str">
        <f t="shared" si="93"/>
        <v/>
      </c>
    </row>
    <row r="425" spans="1:35" hidden="1" x14ac:dyDescent="0.3">
      <c r="A425" s="2" t="str">
        <f t="shared" si="90"/>
        <v>NÃO</v>
      </c>
      <c r="B425" s="2">
        <v>1000184670</v>
      </c>
      <c r="C425" s="2" t="s">
        <v>147</v>
      </c>
      <c r="D425" s="4">
        <v>1000186197</v>
      </c>
      <c r="E425" s="4" t="s">
        <v>166</v>
      </c>
      <c r="F425" s="2">
        <v>1000184758</v>
      </c>
      <c r="G425" s="2" t="s">
        <v>55</v>
      </c>
      <c r="H425" s="4">
        <v>1000189767</v>
      </c>
      <c r="I425" s="4" t="s">
        <v>90</v>
      </c>
      <c r="J425" s="2">
        <v>1000189270</v>
      </c>
      <c r="K425" s="2" t="s">
        <v>34</v>
      </c>
      <c r="L425" s="4" t="s">
        <v>16</v>
      </c>
      <c r="M425" s="4" t="str">
        <f t="shared" si="97"/>
        <v>1000184670100018619710001897671000189270DISNEY</v>
      </c>
      <c r="N425" s="28">
        <f>N422*_xlfn.XLOOKUP($L425,'Balizador da Meta'!$B$4:$B$21,'Balizador da Meta'!$C$4:$C$21)</f>
        <v>0</v>
      </c>
      <c r="O425" s="28">
        <f>O422*_xlfn.XLOOKUP($L425,'Balizador da Meta'!$B$4:$B$21,'Balizador da Meta'!$C$4:$C$21)</f>
        <v>0</v>
      </c>
      <c r="P425" s="28">
        <f>P422*_xlfn.XLOOKUP($L425,'Balizador da Meta'!$B$4:$B$21,'Balizador da Meta'!$C$4:$C$21)</f>
        <v>0</v>
      </c>
      <c r="Q425" s="28">
        <f>Q422*_xlfn.XLOOKUP($L425,'Balizador da Meta'!$B$4:$B$21,'Balizador da Meta'!$C$4:$C$21)</f>
        <v>0</v>
      </c>
      <c r="R425" s="28">
        <f>R422*_xlfn.XLOOKUP($L425,'Balizador da Meta'!$B$4:$B$21,'Balizador da Meta'!$C$4:$C$21)</f>
        <v>0</v>
      </c>
      <c r="S425" s="28">
        <f>S422*_xlfn.XLOOKUP($L425,'Balizador da Meta'!$B$4:$B$21,'Balizador da Meta'!$C$4:$C$21)</f>
        <v>0</v>
      </c>
      <c r="T425" s="28">
        <f>T422*_xlfn.XLOOKUP($L425,'Balizador da Meta'!$B$4:$B$21,'Balizador da Meta'!$C$4:$C$21)</f>
        <v>0</v>
      </c>
      <c r="U425" s="28">
        <f>U422*_xlfn.XLOOKUP($L425,'Balizador da Meta'!$B$4:$B$21,'Balizador da Meta'!$C$4:$C$21)</f>
        <v>0</v>
      </c>
      <c r="V425" s="28">
        <f>V422*_xlfn.XLOOKUP($L425,'Balizador da Meta'!$B$4:$B$21,'Balizador da Meta'!$C$4:$C$21)</f>
        <v>0</v>
      </c>
      <c r="W425" s="28">
        <f>W422*_xlfn.XLOOKUP($L425,'Balizador da Meta'!$B$4:$B$21,'Balizador da Meta'!$C$4:$C$21)</f>
        <v>0</v>
      </c>
      <c r="X425" s="28">
        <f>X422*_xlfn.XLOOKUP($L425,'Balizador da Meta'!$B$4:$B$21,'Balizador da Meta'!$C$4:$C$21)</f>
        <v>0</v>
      </c>
      <c r="Y425" s="28">
        <f>Y422*_xlfn.XLOOKUP($L425,'Balizador da Meta'!$B$4:$B$21,'Balizador da Meta'!$C$4:$C$21)</f>
        <v>0</v>
      </c>
      <c r="Z425" s="30">
        <f t="shared" si="103"/>
        <v>0</v>
      </c>
      <c r="AA425" s="29"/>
      <c r="AB425" s="31">
        <f>SUMIFS('Historico - FAT'!AK:AK,'Historico - FAT'!$K:$K,Faturamento!$L425,'Historico - FAT'!$I:$I,Faturamento!$J425,'Historico - FAT'!$G:$G,Faturamento!$H425)</f>
        <v>0</v>
      </c>
      <c r="AC425" s="31">
        <f>SUMIFS('Historico - FAT'!AL:AL,'Historico - FAT'!$K:$K,Faturamento!$L425,'Historico - FAT'!$I:$I,Faturamento!$J425,'Historico - FAT'!$G:$G,Faturamento!$H425)</f>
        <v>0</v>
      </c>
      <c r="AD425" s="31">
        <f>SUMIFS('Historico - FAT'!AM:AM,'Historico - FAT'!$K:$K,Faturamento!$L425,'Historico - FAT'!$I:$I,Faturamento!$J425,'Historico - FAT'!$G:$G,Faturamento!$H425)</f>
        <v>0</v>
      </c>
      <c r="AE425" s="27">
        <f>SUMIFS('Historico - FAT'!AN:AN,'Historico - FAT'!$K:$K,Faturamento!$L425,'Historico - FAT'!$I:$I,Faturamento!$J425,'Historico - FAT'!$G:$G,Faturamento!$H425)</f>
        <v>0</v>
      </c>
      <c r="AG425" s="24" t="str">
        <f t="shared" si="91"/>
        <v/>
      </c>
      <c r="AH425" s="24" t="str">
        <f t="shared" si="92"/>
        <v/>
      </c>
      <c r="AI425" s="24" t="str">
        <f t="shared" si="93"/>
        <v/>
      </c>
    </row>
    <row r="426" spans="1:35" hidden="1" x14ac:dyDescent="0.3">
      <c r="A426" s="2" t="str">
        <f t="shared" si="90"/>
        <v>NÃO</v>
      </c>
      <c r="B426" s="2">
        <v>1000184670</v>
      </c>
      <c r="C426" s="2" t="s">
        <v>147</v>
      </c>
      <c r="D426" s="4">
        <v>1000186197</v>
      </c>
      <c r="E426" s="4" t="s">
        <v>166</v>
      </c>
      <c r="F426" s="2">
        <v>1000184758</v>
      </c>
      <c r="G426" s="2" t="s">
        <v>55</v>
      </c>
      <c r="H426" s="4">
        <v>1000189767</v>
      </c>
      <c r="I426" s="4" t="s">
        <v>90</v>
      </c>
      <c r="J426" s="2">
        <v>1000189270</v>
      </c>
      <c r="K426" s="2" t="s">
        <v>34</v>
      </c>
      <c r="L426" s="4" t="s">
        <v>15</v>
      </c>
      <c r="M426" s="4" t="str">
        <f t="shared" si="97"/>
        <v>1000184670100018619710001897671000189270DOCES</v>
      </c>
      <c r="N426" s="28">
        <f>N422*_xlfn.XLOOKUP($L426,'Balizador da Meta'!$B$4:$B$21,'Balizador da Meta'!$C$4:$C$21)</f>
        <v>0</v>
      </c>
      <c r="O426" s="28">
        <f>O422*_xlfn.XLOOKUP($L426,'Balizador da Meta'!$B$4:$B$21,'Balizador da Meta'!$C$4:$C$21)</f>
        <v>0</v>
      </c>
      <c r="P426" s="28">
        <f>P422*_xlfn.XLOOKUP($L426,'Balizador da Meta'!$B$4:$B$21,'Balizador da Meta'!$C$4:$C$21)</f>
        <v>0</v>
      </c>
      <c r="Q426" s="28">
        <f>Q422*_xlfn.XLOOKUP($L426,'Balizador da Meta'!$B$4:$B$21,'Balizador da Meta'!$C$4:$C$21)</f>
        <v>0</v>
      </c>
      <c r="R426" s="28">
        <f>R422*_xlfn.XLOOKUP($L426,'Balizador da Meta'!$B$4:$B$21,'Balizador da Meta'!$C$4:$C$21)</f>
        <v>0</v>
      </c>
      <c r="S426" s="28">
        <f>S422*_xlfn.XLOOKUP($L426,'Balizador da Meta'!$B$4:$B$21,'Balizador da Meta'!$C$4:$C$21)</f>
        <v>0</v>
      </c>
      <c r="T426" s="28">
        <f>T422*_xlfn.XLOOKUP($L426,'Balizador da Meta'!$B$4:$B$21,'Balizador da Meta'!$C$4:$C$21)</f>
        <v>0</v>
      </c>
      <c r="U426" s="28">
        <f>U422*_xlfn.XLOOKUP($L426,'Balizador da Meta'!$B$4:$B$21,'Balizador da Meta'!$C$4:$C$21)</f>
        <v>0</v>
      </c>
      <c r="V426" s="28">
        <f>V422*_xlfn.XLOOKUP($L426,'Balizador da Meta'!$B$4:$B$21,'Balizador da Meta'!$C$4:$C$21)</f>
        <v>0</v>
      </c>
      <c r="W426" s="28">
        <f>W422*_xlfn.XLOOKUP($L426,'Balizador da Meta'!$B$4:$B$21,'Balizador da Meta'!$C$4:$C$21)</f>
        <v>0</v>
      </c>
      <c r="X426" s="28">
        <f>X422*_xlfn.XLOOKUP($L426,'Balizador da Meta'!$B$4:$B$21,'Balizador da Meta'!$C$4:$C$21)</f>
        <v>0</v>
      </c>
      <c r="Y426" s="28">
        <f>Y422*_xlfn.XLOOKUP($L426,'Balizador da Meta'!$B$4:$B$21,'Balizador da Meta'!$C$4:$C$21)</f>
        <v>0</v>
      </c>
      <c r="Z426" s="30">
        <f t="shared" si="103"/>
        <v>0</v>
      </c>
      <c r="AA426" s="29"/>
      <c r="AB426" s="31">
        <f>SUMIFS('Historico - FAT'!AK:AK,'Historico - FAT'!$K:$K,Faturamento!$L426,'Historico - FAT'!$I:$I,Faturamento!$J426,'Historico - FAT'!$G:$G,Faturamento!$H426)</f>
        <v>0</v>
      </c>
      <c r="AC426" s="31">
        <f>SUMIFS('Historico - FAT'!AL:AL,'Historico - FAT'!$K:$K,Faturamento!$L426,'Historico - FAT'!$I:$I,Faturamento!$J426,'Historico - FAT'!$G:$G,Faturamento!$H426)</f>
        <v>0</v>
      </c>
      <c r="AD426" s="31">
        <f>SUMIFS('Historico - FAT'!AM:AM,'Historico - FAT'!$K:$K,Faturamento!$L426,'Historico - FAT'!$I:$I,Faturamento!$J426,'Historico - FAT'!$G:$G,Faturamento!$H426)</f>
        <v>0</v>
      </c>
      <c r="AE426" s="27">
        <f>SUMIFS('Historico - FAT'!AN:AN,'Historico - FAT'!$K:$K,Faturamento!$L426,'Historico - FAT'!$I:$I,Faturamento!$J426,'Historico - FAT'!$G:$G,Faturamento!$H426)</f>
        <v>0</v>
      </c>
      <c r="AG426" s="24" t="str">
        <f t="shared" si="91"/>
        <v/>
      </c>
      <c r="AH426" s="24" t="str">
        <f t="shared" si="92"/>
        <v/>
      </c>
      <c r="AI426" s="24" t="str">
        <f t="shared" si="93"/>
        <v/>
      </c>
    </row>
    <row r="427" spans="1:35" hidden="1" x14ac:dyDescent="0.3">
      <c r="A427" s="2" t="str">
        <f t="shared" si="90"/>
        <v>NÃO</v>
      </c>
      <c r="B427" s="2">
        <v>1000184670</v>
      </c>
      <c r="C427" s="2" t="s">
        <v>147</v>
      </c>
      <c r="D427" s="4">
        <v>1000186197</v>
      </c>
      <c r="E427" s="4" t="s">
        <v>166</v>
      </c>
      <c r="F427" s="2">
        <v>1000184758</v>
      </c>
      <c r="G427" s="2" t="s">
        <v>55</v>
      </c>
      <c r="H427" s="4">
        <v>1000189767</v>
      </c>
      <c r="I427" s="4" t="s">
        <v>90</v>
      </c>
      <c r="J427" s="2">
        <v>1000189270</v>
      </c>
      <c r="K427" s="2" t="s">
        <v>34</v>
      </c>
      <c r="L427" s="4" t="s">
        <v>33</v>
      </c>
      <c r="M427" s="4" t="str">
        <f t="shared" si="97"/>
        <v>1000184670100018619710001897671000189270FOOD SERVICE</v>
      </c>
      <c r="N427" s="28">
        <f>N422*_xlfn.XLOOKUP($L427,'Balizador da Meta'!$B$4:$B$21,'Balizador da Meta'!$C$4:$C$21)</f>
        <v>0</v>
      </c>
      <c r="O427" s="28">
        <f>O422*_xlfn.XLOOKUP($L427,'Balizador da Meta'!$B$4:$B$21,'Balizador da Meta'!$C$4:$C$21)</f>
        <v>0</v>
      </c>
      <c r="P427" s="28">
        <f>P422*_xlfn.XLOOKUP($L427,'Balizador da Meta'!$B$4:$B$21,'Balizador da Meta'!$C$4:$C$21)</f>
        <v>0</v>
      </c>
      <c r="Q427" s="28">
        <f>Q422*_xlfn.XLOOKUP($L427,'Balizador da Meta'!$B$4:$B$21,'Balizador da Meta'!$C$4:$C$21)</f>
        <v>0</v>
      </c>
      <c r="R427" s="28">
        <f>R422*_xlfn.XLOOKUP($L427,'Balizador da Meta'!$B$4:$B$21,'Balizador da Meta'!$C$4:$C$21)</f>
        <v>0</v>
      </c>
      <c r="S427" s="28">
        <f>S422*_xlfn.XLOOKUP($L427,'Balizador da Meta'!$B$4:$B$21,'Balizador da Meta'!$C$4:$C$21)</f>
        <v>0</v>
      </c>
      <c r="T427" s="28">
        <f>T422*_xlfn.XLOOKUP($L427,'Balizador da Meta'!$B$4:$B$21,'Balizador da Meta'!$C$4:$C$21)</f>
        <v>0</v>
      </c>
      <c r="U427" s="28">
        <f>U422*_xlfn.XLOOKUP($L427,'Balizador da Meta'!$B$4:$B$21,'Balizador da Meta'!$C$4:$C$21)</f>
        <v>0</v>
      </c>
      <c r="V427" s="28">
        <f>V422*_xlfn.XLOOKUP($L427,'Balizador da Meta'!$B$4:$B$21,'Balizador da Meta'!$C$4:$C$21)</f>
        <v>0</v>
      </c>
      <c r="W427" s="28">
        <f>W422*_xlfn.XLOOKUP($L427,'Balizador da Meta'!$B$4:$B$21,'Balizador da Meta'!$C$4:$C$21)</f>
        <v>0</v>
      </c>
      <c r="X427" s="28">
        <f>X422*_xlfn.XLOOKUP($L427,'Balizador da Meta'!$B$4:$B$21,'Balizador da Meta'!$C$4:$C$21)</f>
        <v>0</v>
      </c>
      <c r="Y427" s="28">
        <f>Y422*_xlfn.XLOOKUP($L427,'Balizador da Meta'!$B$4:$B$21,'Balizador da Meta'!$C$4:$C$21)</f>
        <v>0</v>
      </c>
      <c r="Z427" s="30">
        <f t="shared" si="103"/>
        <v>0</v>
      </c>
      <c r="AA427" s="29"/>
      <c r="AB427" s="31">
        <f>SUMIFS('Historico - FAT'!AK:AK,'Historico - FAT'!$K:$K,Faturamento!$L427,'Historico - FAT'!$I:$I,Faturamento!$J427,'Historico - FAT'!$G:$G,Faturamento!$H427)</f>
        <v>0</v>
      </c>
      <c r="AC427" s="31">
        <f>SUMIFS('Historico - FAT'!AL:AL,'Historico - FAT'!$K:$K,Faturamento!$L427,'Historico - FAT'!$I:$I,Faturamento!$J427,'Historico - FAT'!$G:$G,Faturamento!$H427)</f>
        <v>0</v>
      </c>
      <c r="AD427" s="31">
        <f>SUMIFS('Historico - FAT'!AM:AM,'Historico - FAT'!$K:$K,Faturamento!$L427,'Historico - FAT'!$I:$I,Faturamento!$J427,'Historico - FAT'!$G:$G,Faturamento!$H427)</f>
        <v>0</v>
      </c>
      <c r="AE427" s="27">
        <f>SUMIFS('Historico - FAT'!AN:AN,'Historico - FAT'!$K:$K,Faturamento!$L427,'Historico - FAT'!$I:$I,Faturamento!$J427,'Historico - FAT'!$G:$G,Faturamento!$H427)</f>
        <v>0</v>
      </c>
      <c r="AG427" s="24" t="str">
        <f t="shared" si="91"/>
        <v/>
      </c>
      <c r="AH427" s="24" t="str">
        <f t="shared" si="92"/>
        <v/>
      </c>
      <c r="AI427" s="24" t="str">
        <f t="shared" si="93"/>
        <v/>
      </c>
    </row>
    <row r="428" spans="1:35" hidden="1" x14ac:dyDescent="0.3">
      <c r="A428" s="2" t="str">
        <f t="shared" si="90"/>
        <v>NÃO</v>
      </c>
      <c r="B428" s="2">
        <v>1000184670</v>
      </c>
      <c r="C428" s="2" t="s">
        <v>147</v>
      </c>
      <c r="D428" s="4">
        <v>1000186197</v>
      </c>
      <c r="E428" s="4" t="s">
        <v>166</v>
      </c>
      <c r="F428" s="2">
        <v>1000184758</v>
      </c>
      <c r="G428" s="2" t="s">
        <v>55</v>
      </c>
      <c r="H428" s="4">
        <v>1000189767</v>
      </c>
      <c r="I428" s="4" t="s">
        <v>90</v>
      </c>
      <c r="J428" s="2">
        <v>1000189270</v>
      </c>
      <c r="K428" s="2" t="s">
        <v>34</v>
      </c>
      <c r="L428" s="4" t="s">
        <v>19</v>
      </c>
      <c r="M428" s="4" t="str">
        <f t="shared" si="97"/>
        <v>1000184670100018619710001897671000189270GELEIA</v>
      </c>
      <c r="N428" s="28">
        <f>N422*_xlfn.XLOOKUP($L428,'Balizador da Meta'!$B$4:$B$21,'Balizador da Meta'!$C$4:$C$21)</f>
        <v>0</v>
      </c>
      <c r="O428" s="28">
        <f>O422*_xlfn.XLOOKUP($L428,'Balizador da Meta'!$B$4:$B$21,'Balizador da Meta'!$C$4:$C$21)</f>
        <v>0</v>
      </c>
      <c r="P428" s="28">
        <f>P422*_xlfn.XLOOKUP($L428,'Balizador da Meta'!$B$4:$B$21,'Balizador da Meta'!$C$4:$C$21)</f>
        <v>0</v>
      </c>
      <c r="Q428" s="28">
        <f>Q422*_xlfn.XLOOKUP($L428,'Balizador da Meta'!$B$4:$B$21,'Balizador da Meta'!$C$4:$C$21)</f>
        <v>0</v>
      </c>
      <c r="R428" s="28">
        <f>R422*_xlfn.XLOOKUP($L428,'Balizador da Meta'!$B$4:$B$21,'Balizador da Meta'!$C$4:$C$21)</f>
        <v>0</v>
      </c>
      <c r="S428" s="28">
        <f>S422*_xlfn.XLOOKUP($L428,'Balizador da Meta'!$B$4:$B$21,'Balizador da Meta'!$C$4:$C$21)</f>
        <v>0</v>
      </c>
      <c r="T428" s="28">
        <f>T422*_xlfn.XLOOKUP($L428,'Balizador da Meta'!$B$4:$B$21,'Balizador da Meta'!$C$4:$C$21)</f>
        <v>0</v>
      </c>
      <c r="U428" s="28">
        <f>U422*_xlfn.XLOOKUP($L428,'Balizador da Meta'!$B$4:$B$21,'Balizador da Meta'!$C$4:$C$21)</f>
        <v>0</v>
      </c>
      <c r="V428" s="28">
        <f>V422*_xlfn.XLOOKUP($L428,'Balizador da Meta'!$B$4:$B$21,'Balizador da Meta'!$C$4:$C$21)</f>
        <v>0</v>
      </c>
      <c r="W428" s="28">
        <f>W422*_xlfn.XLOOKUP($L428,'Balizador da Meta'!$B$4:$B$21,'Balizador da Meta'!$C$4:$C$21)</f>
        <v>0</v>
      </c>
      <c r="X428" s="28">
        <f>X422*_xlfn.XLOOKUP($L428,'Balizador da Meta'!$B$4:$B$21,'Balizador da Meta'!$C$4:$C$21)</f>
        <v>0</v>
      </c>
      <c r="Y428" s="28">
        <f>Y422*_xlfn.XLOOKUP($L428,'Balizador da Meta'!$B$4:$B$21,'Balizador da Meta'!$C$4:$C$21)</f>
        <v>0</v>
      </c>
      <c r="Z428" s="30">
        <f t="shared" si="103"/>
        <v>0</v>
      </c>
      <c r="AA428" s="29"/>
      <c r="AB428" s="31">
        <f>SUMIFS('Historico - FAT'!AK:AK,'Historico - FAT'!$K:$K,Faturamento!$L428,'Historico - FAT'!$I:$I,Faturamento!$J428,'Historico - FAT'!$G:$G,Faturamento!$H428)</f>
        <v>0</v>
      </c>
      <c r="AC428" s="31">
        <f>SUMIFS('Historico - FAT'!AL:AL,'Historico - FAT'!$K:$K,Faturamento!$L428,'Historico - FAT'!$I:$I,Faturamento!$J428,'Historico - FAT'!$G:$G,Faturamento!$H428)</f>
        <v>0</v>
      </c>
      <c r="AD428" s="31">
        <f>SUMIFS('Historico - FAT'!AM:AM,'Historico - FAT'!$K:$K,Faturamento!$L428,'Historico - FAT'!$I:$I,Faturamento!$J428,'Historico - FAT'!$G:$G,Faturamento!$H428)</f>
        <v>0</v>
      </c>
      <c r="AE428" s="27">
        <f>SUMIFS('Historico - FAT'!AN:AN,'Historico - FAT'!$K:$K,Faturamento!$L428,'Historico - FAT'!$I:$I,Faturamento!$J428,'Historico - FAT'!$G:$G,Faturamento!$H428)</f>
        <v>0</v>
      </c>
      <c r="AG428" s="24" t="str">
        <f t="shared" si="91"/>
        <v/>
      </c>
      <c r="AH428" s="24" t="str">
        <f t="shared" si="92"/>
        <v/>
      </c>
      <c r="AI428" s="24" t="str">
        <f t="shared" si="93"/>
        <v/>
      </c>
    </row>
    <row r="429" spans="1:35" hidden="1" x14ac:dyDescent="0.3">
      <c r="A429" s="2" t="str">
        <f t="shared" si="90"/>
        <v>NÃO</v>
      </c>
      <c r="B429" s="2">
        <v>1000184670</v>
      </c>
      <c r="C429" s="2" t="s">
        <v>147</v>
      </c>
      <c r="D429" s="4">
        <v>1000186197</v>
      </c>
      <c r="E429" s="4" t="s">
        <v>166</v>
      </c>
      <c r="F429" s="2">
        <v>1000184758</v>
      </c>
      <c r="G429" s="2" t="s">
        <v>55</v>
      </c>
      <c r="H429" s="4">
        <v>1000189767</v>
      </c>
      <c r="I429" s="4" t="s">
        <v>90</v>
      </c>
      <c r="J429" s="2">
        <v>1000189270</v>
      </c>
      <c r="K429" s="2" t="s">
        <v>34</v>
      </c>
      <c r="L429" s="4" t="s">
        <v>17</v>
      </c>
      <c r="M429" s="4" t="str">
        <f t="shared" si="97"/>
        <v>1000184670100018619710001897671000189270GRANOLA</v>
      </c>
      <c r="N429" s="28">
        <f>N422*_xlfn.XLOOKUP($L429,'Balizador da Meta'!$B$4:$B$21,'Balizador da Meta'!$C$4:$C$21)</f>
        <v>0</v>
      </c>
      <c r="O429" s="28">
        <f>O422*_xlfn.XLOOKUP($L429,'Balizador da Meta'!$B$4:$B$21,'Balizador da Meta'!$C$4:$C$21)</f>
        <v>0</v>
      </c>
      <c r="P429" s="28">
        <f>P422*_xlfn.XLOOKUP($L429,'Balizador da Meta'!$B$4:$B$21,'Balizador da Meta'!$C$4:$C$21)</f>
        <v>0</v>
      </c>
      <c r="Q429" s="28">
        <f>Q422*_xlfn.XLOOKUP($L429,'Balizador da Meta'!$B$4:$B$21,'Balizador da Meta'!$C$4:$C$21)</f>
        <v>0</v>
      </c>
      <c r="R429" s="28">
        <f>R422*_xlfn.XLOOKUP($L429,'Balizador da Meta'!$B$4:$B$21,'Balizador da Meta'!$C$4:$C$21)</f>
        <v>0</v>
      </c>
      <c r="S429" s="28">
        <f>S422*_xlfn.XLOOKUP($L429,'Balizador da Meta'!$B$4:$B$21,'Balizador da Meta'!$C$4:$C$21)</f>
        <v>0</v>
      </c>
      <c r="T429" s="28">
        <f>T422*_xlfn.XLOOKUP($L429,'Balizador da Meta'!$B$4:$B$21,'Balizador da Meta'!$C$4:$C$21)</f>
        <v>0</v>
      </c>
      <c r="U429" s="28">
        <f>U422*_xlfn.XLOOKUP($L429,'Balizador da Meta'!$B$4:$B$21,'Balizador da Meta'!$C$4:$C$21)</f>
        <v>0</v>
      </c>
      <c r="V429" s="28">
        <f>V422*_xlfn.XLOOKUP($L429,'Balizador da Meta'!$B$4:$B$21,'Balizador da Meta'!$C$4:$C$21)</f>
        <v>0</v>
      </c>
      <c r="W429" s="28">
        <f>W422*_xlfn.XLOOKUP($L429,'Balizador da Meta'!$B$4:$B$21,'Balizador da Meta'!$C$4:$C$21)</f>
        <v>0</v>
      </c>
      <c r="X429" s="28">
        <f>X422*_xlfn.XLOOKUP($L429,'Balizador da Meta'!$B$4:$B$21,'Balizador da Meta'!$C$4:$C$21)</f>
        <v>0</v>
      </c>
      <c r="Y429" s="28">
        <f>Y422*_xlfn.XLOOKUP($L429,'Balizador da Meta'!$B$4:$B$21,'Balizador da Meta'!$C$4:$C$21)</f>
        <v>0</v>
      </c>
      <c r="Z429" s="30">
        <f t="shared" si="103"/>
        <v>0</v>
      </c>
      <c r="AA429" s="29"/>
      <c r="AB429" s="31">
        <f>SUMIFS('Historico - FAT'!AK:AK,'Historico - FAT'!$K:$K,Faturamento!$L429,'Historico - FAT'!$I:$I,Faturamento!$J429,'Historico - FAT'!$G:$G,Faturamento!$H429)</f>
        <v>0</v>
      </c>
      <c r="AC429" s="31">
        <f>SUMIFS('Historico - FAT'!AL:AL,'Historico - FAT'!$K:$K,Faturamento!$L429,'Historico - FAT'!$I:$I,Faturamento!$J429,'Historico - FAT'!$G:$G,Faturamento!$H429)</f>
        <v>0</v>
      </c>
      <c r="AD429" s="31">
        <f>SUMIFS('Historico - FAT'!AM:AM,'Historico - FAT'!$K:$K,Faturamento!$L429,'Historico - FAT'!$I:$I,Faturamento!$J429,'Historico - FAT'!$G:$G,Faturamento!$H429)</f>
        <v>0</v>
      </c>
      <c r="AE429" s="27">
        <f>SUMIFS('Historico - FAT'!AN:AN,'Historico - FAT'!$K:$K,Faturamento!$L429,'Historico - FAT'!$I:$I,Faturamento!$J429,'Historico - FAT'!$G:$G,Faturamento!$H429)</f>
        <v>0</v>
      </c>
      <c r="AG429" s="24" t="str">
        <f t="shared" si="91"/>
        <v/>
      </c>
      <c r="AH429" s="24" t="str">
        <f t="shared" si="92"/>
        <v/>
      </c>
      <c r="AI429" s="24" t="str">
        <f t="shared" si="93"/>
        <v/>
      </c>
    </row>
    <row r="430" spans="1:35" hidden="1" x14ac:dyDescent="0.3">
      <c r="A430" s="2" t="str">
        <f t="shared" si="90"/>
        <v>NÃO</v>
      </c>
      <c r="B430" s="2">
        <v>1000184670</v>
      </c>
      <c r="C430" s="2" t="s">
        <v>147</v>
      </c>
      <c r="D430" s="4">
        <v>1000186197</v>
      </c>
      <c r="E430" s="4" t="s">
        <v>166</v>
      </c>
      <c r="F430" s="2">
        <v>1000184758</v>
      </c>
      <c r="G430" s="2" t="s">
        <v>55</v>
      </c>
      <c r="H430" s="4">
        <v>1000189767</v>
      </c>
      <c r="I430" s="4" t="s">
        <v>90</v>
      </c>
      <c r="J430" s="2">
        <v>1000189270</v>
      </c>
      <c r="K430" s="2" t="s">
        <v>34</v>
      </c>
      <c r="L430" s="4" t="s">
        <v>24</v>
      </c>
      <c r="M430" s="4" t="str">
        <f t="shared" si="97"/>
        <v>1000184670100018619710001897671000189270KIDS</v>
      </c>
      <c r="N430" s="28">
        <f>N422*_xlfn.XLOOKUP($L430,'Balizador da Meta'!$B$4:$B$21,'Balizador da Meta'!$C$4:$C$21)</f>
        <v>0</v>
      </c>
      <c r="O430" s="28">
        <f>O422*_xlfn.XLOOKUP($L430,'Balizador da Meta'!$B$4:$B$21,'Balizador da Meta'!$C$4:$C$21)</f>
        <v>0</v>
      </c>
      <c r="P430" s="28">
        <f>P422*_xlfn.XLOOKUP($L430,'Balizador da Meta'!$B$4:$B$21,'Balizador da Meta'!$C$4:$C$21)</f>
        <v>0</v>
      </c>
      <c r="Q430" s="28">
        <f>Q422*_xlfn.XLOOKUP($L430,'Balizador da Meta'!$B$4:$B$21,'Balizador da Meta'!$C$4:$C$21)</f>
        <v>0</v>
      </c>
      <c r="R430" s="28">
        <f>R422*_xlfn.XLOOKUP($L430,'Balizador da Meta'!$B$4:$B$21,'Balizador da Meta'!$C$4:$C$21)</f>
        <v>0</v>
      </c>
      <c r="S430" s="28">
        <f>S422*_xlfn.XLOOKUP($L430,'Balizador da Meta'!$B$4:$B$21,'Balizador da Meta'!$C$4:$C$21)</f>
        <v>0</v>
      </c>
      <c r="T430" s="28">
        <f>T422*_xlfn.XLOOKUP($L430,'Balizador da Meta'!$B$4:$B$21,'Balizador da Meta'!$C$4:$C$21)</f>
        <v>0</v>
      </c>
      <c r="U430" s="28">
        <f>U422*_xlfn.XLOOKUP($L430,'Balizador da Meta'!$B$4:$B$21,'Balizador da Meta'!$C$4:$C$21)</f>
        <v>0</v>
      </c>
      <c r="V430" s="28">
        <f>V422*_xlfn.XLOOKUP($L430,'Balizador da Meta'!$B$4:$B$21,'Balizador da Meta'!$C$4:$C$21)</f>
        <v>0</v>
      </c>
      <c r="W430" s="28">
        <f>W422*_xlfn.XLOOKUP($L430,'Balizador da Meta'!$B$4:$B$21,'Balizador da Meta'!$C$4:$C$21)</f>
        <v>0</v>
      </c>
      <c r="X430" s="28">
        <f>X422*_xlfn.XLOOKUP($L430,'Balizador da Meta'!$B$4:$B$21,'Balizador da Meta'!$C$4:$C$21)</f>
        <v>0</v>
      </c>
      <c r="Y430" s="28">
        <f>Y422*_xlfn.XLOOKUP($L430,'Balizador da Meta'!$B$4:$B$21,'Balizador da Meta'!$C$4:$C$21)</f>
        <v>0</v>
      </c>
      <c r="Z430" s="30">
        <f t="shared" si="103"/>
        <v>0</v>
      </c>
      <c r="AA430" s="29"/>
      <c r="AB430" s="31">
        <f>SUMIFS('Historico - FAT'!AK:AK,'Historico - FAT'!$K:$K,Faturamento!$L430,'Historico - FAT'!$I:$I,Faturamento!$J430,'Historico - FAT'!$G:$G,Faturamento!$H430)</f>
        <v>0</v>
      </c>
      <c r="AC430" s="31">
        <f>SUMIFS('Historico - FAT'!AL:AL,'Historico - FAT'!$K:$K,Faturamento!$L430,'Historico - FAT'!$I:$I,Faturamento!$J430,'Historico - FAT'!$G:$G,Faturamento!$H430)</f>
        <v>0</v>
      </c>
      <c r="AD430" s="31">
        <f>SUMIFS('Historico - FAT'!AM:AM,'Historico - FAT'!$K:$K,Faturamento!$L430,'Historico - FAT'!$I:$I,Faturamento!$J430,'Historico - FAT'!$G:$G,Faturamento!$H430)</f>
        <v>0</v>
      </c>
      <c r="AE430" s="27">
        <f>SUMIFS('Historico - FAT'!AN:AN,'Historico - FAT'!$K:$K,Faturamento!$L430,'Historico - FAT'!$I:$I,Faturamento!$J430,'Historico - FAT'!$G:$G,Faturamento!$H430)</f>
        <v>0</v>
      </c>
      <c r="AG430" s="24" t="str">
        <f t="shared" si="91"/>
        <v/>
      </c>
      <c r="AH430" s="24" t="str">
        <f t="shared" si="92"/>
        <v/>
      </c>
      <c r="AI430" s="24" t="str">
        <f t="shared" si="93"/>
        <v/>
      </c>
    </row>
    <row r="431" spans="1:35" hidden="1" x14ac:dyDescent="0.3">
      <c r="A431" s="2" t="str">
        <f t="shared" si="90"/>
        <v>NÃO</v>
      </c>
      <c r="B431" s="2">
        <v>1000184670</v>
      </c>
      <c r="C431" s="2" t="s">
        <v>147</v>
      </c>
      <c r="D431" s="4">
        <v>1000186197</v>
      </c>
      <c r="E431" s="4" t="s">
        <v>166</v>
      </c>
      <c r="F431" s="2">
        <v>1000184758</v>
      </c>
      <c r="G431" s="2" t="s">
        <v>55</v>
      </c>
      <c r="H431" s="4">
        <v>1000189767</v>
      </c>
      <c r="I431" s="4" t="s">
        <v>90</v>
      </c>
      <c r="J431" s="2">
        <v>1000189270</v>
      </c>
      <c r="K431" s="2" t="s">
        <v>34</v>
      </c>
      <c r="L431" s="4" t="s">
        <v>18</v>
      </c>
      <c r="M431" s="4" t="str">
        <f t="shared" si="97"/>
        <v>1000184670100018619710001897671000189270LANCHES</v>
      </c>
      <c r="N431" s="28">
        <f>N422*_xlfn.XLOOKUP($L431,'Balizador da Meta'!$B$4:$B$21,'Balizador da Meta'!$C$4:$C$21)</f>
        <v>0</v>
      </c>
      <c r="O431" s="28">
        <f>O422*_xlfn.XLOOKUP($L431,'Balizador da Meta'!$B$4:$B$21,'Balizador da Meta'!$C$4:$C$21)</f>
        <v>0</v>
      </c>
      <c r="P431" s="28">
        <f>P422*_xlfn.XLOOKUP($L431,'Balizador da Meta'!$B$4:$B$21,'Balizador da Meta'!$C$4:$C$21)</f>
        <v>0</v>
      </c>
      <c r="Q431" s="28">
        <f>Q422*_xlfn.XLOOKUP($L431,'Balizador da Meta'!$B$4:$B$21,'Balizador da Meta'!$C$4:$C$21)</f>
        <v>0</v>
      </c>
      <c r="R431" s="28">
        <f>R422*_xlfn.XLOOKUP($L431,'Balizador da Meta'!$B$4:$B$21,'Balizador da Meta'!$C$4:$C$21)</f>
        <v>0</v>
      </c>
      <c r="S431" s="28">
        <f>S422*_xlfn.XLOOKUP($L431,'Balizador da Meta'!$B$4:$B$21,'Balizador da Meta'!$C$4:$C$21)</f>
        <v>0</v>
      </c>
      <c r="T431" s="28">
        <f>T422*_xlfn.XLOOKUP($L431,'Balizador da Meta'!$B$4:$B$21,'Balizador da Meta'!$C$4:$C$21)</f>
        <v>0</v>
      </c>
      <c r="U431" s="28">
        <f>U422*_xlfn.XLOOKUP($L431,'Balizador da Meta'!$B$4:$B$21,'Balizador da Meta'!$C$4:$C$21)</f>
        <v>0</v>
      </c>
      <c r="V431" s="28">
        <f>V422*_xlfn.XLOOKUP($L431,'Balizador da Meta'!$B$4:$B$21,'Balizador da Meta'!$C$4:$C$21)</f>
        <v>0</v>
      </c>
      <c r="W431" s="28">
        <f>W422*_xlfn.XLOOKUP($L431,'Balizador da Meta'!$B$4:$B$21,'Balizador da Meta'!$C$4:$C$21)</f>
        <v>0</v>
      </c>
      <c r="X431" s="28">
        <f>X422*_xlfn.XLOOKUP($L431,'Balizador da Meta'!$B$4:$B$21,'Balizador da Meta'!$C$4:$C$21)</f>
        <v>0</v>
      </c>
      <c r="Y431" s="28">
        <f>Y422*_xlfn.XLOOKUP($L431,'Balizador da Meta'!$B$4:$B$21,'Balizador da Meta'!$C$4:$C$21)</f>
        <v>0</v>
      </c>
      <c r="Z431" s="30">
        <f t="shared" si="103"/>
        <v>0</v>
      </c>
      <c r="AA431" s="29"/>
      <c r="AB431" s="31">
        <f>SUMIFS('Historico - FAT'!AK:AK,'Historico - FAT'!$K:$K,Faturamento!$L431,'Historico - FAT'!$I:$I,Faturamento!$J431,'Historico - FAT'!$G:$G,Faturamento!$H431)</f>
        <v>0</v>
      </c>
      <c r="AC431" s="31">
        <f>SUMIFS('Historico - FAT'!AL:AL,'Historico - FAT'!$K:$K,Faturamento!$L431,'Historico - FAT'!$I:$I,Faturamento!$J431,'Historico - FAT'!$G:$G,Faturamento!$H431)</f>
        <v>0</v>
      </c>
      <c r="AD431" s="31">
        <f>SUMIFS('Historico - FAT'!AM:AM,'Historico - FAT'!$K:$K,Faturamento!$L431,'Historico - FAT'!$I:$I,Faturamento!$J431,'Historico - FAT'!$G:$G,Faturamento!$H431)</f>
        <v>0</v>
      </c>
      <c r="AE431" s="27">
        <f>SUMIFS('Historico - FAT'!AN:AN,'Historico - FAT'!$K:$K,Faturamento!$L431,'Historico - FAT'!$I:$I,Faturamento!$J431,'Historico - FAT'!$G:$G,Faturamento!$H431)</f>
        <v>0</v>
      </c>
      <c r="AG431" s="24" t="str">
        <f t="shared" si="91"/>
        <v/>
      </c>
      <c r="AH431" s="24" t="str">
        <f t="shared" si="92"/>
        <v/>
      </c>
      <c r="AI431" s="24" t="str">
        <f t="shared" si="93"/>
        <v/>
      </c>
    </row>
    <row r="432" spans="1:35" hidden="1" x14ac:dyDescent="0.3">
      <c r="A432" s="2" t="str">
        <f t="shared" si="90"/>
        <v>NÃO</v>
      </c>
      <c r="B432" s="2">
        <v>1000184670</v>
      </c>
      <c r="C432" s="2" t="s">
        <v>147</v>
      </c>
      <c r="D432" s="4">
        <v>1000186197</v>
      </c>
      <c r="E432" s="4" t="s">
        <v>166</v>
      </c>
      <c r="F432" s="2">
        <v>1000184758</v>
      </c>
      <c r="G432" s="2" t="s">
        <v>55</v>
      </c>
      <c r="H432" s="4">
        <v>1000189767</v>
      </c>
      <c r="I432" s="4" t="s">
        <v>90</v>
      </c>
      <c r="J432" s="2">
        <v>1000189270</v>
      </c>
      <c r="K432" s="2" t="s">
        <v>34</v>
      </c>
      <c r="L432" s="4" t="s">
        <v>29</v>
      </c>
      <c r="M432" s="4" t="str">
        <f t="shared" si="97"/>
        <v>1000184670100018619710001897671000189270MAIS GRANEL</v>
      </c>
      <c r="N432" s="28">
        <f>N422*_xlfn.XLOOKUP($L432,'Balizador da Meta'!$B$4:$B$21,'Balizador da Meta'!$C$4:$C$21)</f>
        <v>0</v>
      </c>
      <c r="O432" s="28">
        <f>O422*_xlfn.XLOOKUP($L432,'Balizador da Meta'!$B$4:$B$21,'Balizador da Meta'!$C$4:$C$21)</f>
        <v>0</v>
      </c>
      <c r="P432" s="28">
        <f>P422*_xlfn.XLOOKUP($L432,'Balizador da Meta'!$B$4:$B$21,'Balizador da Meta'!$C$4:$C$21)</f>
        <v>0</v>
      </c>
      <c r="Q432" s="28">
        <f>Q422*_xlfn.XLOOKUP($L432,'Balizador da Meta'!$B$4:$B$21,'Balizador da Meta'!$C$4:$C$21)</f>
        <v>0</v>
      </c>
      <c r="R432" s="28">
        <f>R422*_xlfn.XLOOKUP($L432,'Balizador da Meta'!$B$4:$B$21,'Balizador da Meta'!$C$4:$C$21)</f>
        <v>0</v>
      </c>
      <c r="S432" s="28">
        <f>S422*_xlfn.XLOOKUP($L432,'Balizador da Meta'!$B$4:$B$21,'Balizador da Meta'!$C$4:$C$21)</f>
        <v>0</v>
      </c>
      <c r="T432" s="28">
        <f>T422*_xlfn.XLOOKUP($L432,'Balizador da Meta'!$B$4:$B$21,'Balizador da Meta'!$C$4:$C$21)</f>
        <v>0</v>
      </c>
      <c r="U432" s="28">
        <f>U422*_xlfn.XLOOKUP($L432,'Balizador da Meta'!$B$4:$B$21,'Balizador da Meta'!$C$4:$C$21)</f>
        <v>0</v>
      </c>
      <c r="V432" s="28">
        <f>V422*_xlfn.XLOOKUP($L432,'Balizador da Meta'!$B$4:$B$21,'Balizador da Meta'!$C$4:$C$21)</f>
        <v>0</v>
      </c>
      <c r="W432" s="28">
        <f>W422*_xlfn.XLOOKUP($L432,'Balizador da Meta'!$B$4:$B$21,'Balizador da Meta'!$C$4:$C$21)</f>
        <v>0</v>
      </c>
      <c r="X432" s="28">
        <f>X422*_xlfn.XLOOKUP($L432,'Balizador da Meta'!$B$4:$B$21,'Balizador da Meta'!$C$4:$C$21)</f>
        <v>0</v>
      </c>
      <c r="Y432" s="28">
        <f>Y422*_xlfn.XLOOKUP($L432,'Balizador da Meta'!$B$4:$B$21,'Balizador da Meta'!$C$4:$C$21)</f>
        <v>0</v>
      </c>
      <c r="Z432" s="30">
        <f t="shared" si="103"/>
        <v>0</v>
      </c>
      <c r="AA432" s="29"/>
      <c r="AB432" s="31">
        <f>SUMIFS('Historico - FAT'!AK:AK,'Historico - FAT'!$K:$K,Faturamento!$L432,'Historico - FAT'!$I:$I,Faturamento!$J432,'Historico - FAT'!$G:$G,Faturamento!$H432)</f>
        <v>0</v>
      </c>
      <c r="AC432" s="31">
        <f>SUMIFS('Historico - FAT'!AL:AL,'Historico - FAT'!$K:$K,Faturamento!$L432,'Historico - FAT'!$I:$I,Faturamento!$J432,'Historico - FAT'!$G:$G,Faturamento!$H432)</f>
        <v>0</v>
      </c>
      <c r="AD432" s="31">
        <f>SUMIFS('Historico - FAT'!AM:AM,'Historico - FAT'!$K:$K,Faturamento!$L432,'Historico - FAT'!$I:$I,Faturamento!$J432,'Historico - FAT'!$G:$G,Faturamento!$H432)</f>
        <v>0</v>
      </c>
      <c r="AE432" s="27">
        <f>SUMIFS('Historico - FAT'!AN:AN,'Historico - FAT'!$K:$K,Faturamento!$L432,'Historico - FAT'!$I:$I,Faturamento!$J432,'Historico - FAT'!$G:$G,Faturamento!$H432)</f>
        <v>0</v>
      </c>
      <c r="AG432" s="24" t="str">
        <f t="shared" si="91"/>
        <v/>
      </c>
      <c r="AH432" s="24" t="str">
        <f t="shared" si="92"/>
        <v/>
      </c>
      <c r="AI432" s="24" t="str">
        <f t="shared" si="93"/>
        <v/>
      </c>
    </row>
    <row r="433" spans="1:35" hidden="1" x14ac:dyDescent="0.3">
      <c r="A433" s="2" t="str">
        <f t="shared" si="90"/>
        <v>NÃO</v>
      </c>
      <c r="B433" s="2">
        <v>1000184670</v>
      </c>
      <c r="C433" s="2" t="s">
        <v>147</v>
      </c>
      <c r="D433" s="4">
        <v>1000186197</v>
      </c>
      <c r="E433" s="4" t="s">
        <v>166</v>
      </c>
      <c r="F433" s="2">
        <v>1000184758</v>
      </c>
      <c r="G433" s="2" t="s">
        <v>55</v>
      </c>
      <c r="H433" s="4">
        <v>1000189767</v>
      </c>
      <c r="I433" s="4" t="s">
        <v>90</v>
      </c>
      <c r="J433" s="2">
        <v>1000189270</v>
      </c>
      <c r="K433" s="2" t="s">
        <v>34</v>
      </c>
      <c r="L433" s="4" t="s">
        <v>21</v>
      </c>
      <c r="M433" s="4" t="str">
        <f t="shared" si="97"/>
        <v>1000184670100018619710001897671000189270NATURATTA</v>
      </c>
      <c r="N433" s="28">
        <f>N422*_xlfn.XLOOKUP($L433,'Balizador da Meta'!$B$4:$B$21,'Balizador da Meta'!$C$4:$C$21)</f>
        <v>0</v>
      </c>
      <c r="O433" s="28">
        <f>O422*_xlfn.XLOOKUP($L433,'Balizador da Meta'!$B$4:$B$21,'Balizador da Meta'!$C$4:$C$21)</f>
        <v>0</v>
      </c>
      <c r="P433" s="28">
        <f>P422*_xlfn.XLOOKUP($L433,'Balizador da Meta'!$B$4:$B$21,'Balizador da Meta'!$C$4:$C$21)</f>
        <v>0</v>
      </c>
      <c r="Q433" s="28">
        <f>Q422*_xlfn.XLOOKUP($L433,'Balizador da Meta'!$B$4:$B$21,'Balizador da Meta'!$C$4:$C$21)</f>
        <v>0</v>
      </c>
      <c r="R433" s="28">
        <f>R422*_xlfn.XLOOKUP($L433,'Balizador da Meta'!$B$4:$B$21,'Balizador da Meta'!$C$4:$C$21)</f>
        <v>0</v>
      </c>
      <c r="S433" s="28">
        <f>S422*_xlfn.XLOOKUP($L433,'Balizador da Meta'!$B$4:$B$21,'Balizador da Meta'!$C$4:$C$21)</f>
        <v>0</v>
      </c>
      <c r="T433" s="28">
        <f>T422*_xlfn.XLOOKUP($L433,'Balizador da Meta'!$B$4:$B$21,'Balizador da Meta'!$C$4:$C$21)</f>
        <v>0</v>
      </c>
      <c r="U433" s="28">
        <f>U422*_xlfn.XLOOKUP($L433,'Balizador da Meta'!$B$4:$B$21,'Balizador da Meta'!$C$4:$C$21)</f>
        <v>0</v>
      </c>
      <c r="V433" s="28">
        <f>V422*_xlfn.XLOOKUP($L433,'Balizador da Meta'!$B$4:$B$21,'Balizador da Meta'!$C$4:$C$21)</f>
        <v>0</v>
      </c>
      <c r="W433" s="28">
        <f>W422*_xlfn.XLOOKUP($L433,'Balizador da Meta'!$B$4:$B$21,'Balizador da Meta'!$C$4:$C$21)</f>
        <v>0</v>
      </c>
      <c r="X433" s="28">
        <f>X422*_xlfn.XLOOKUP($L433,'Balizador da Meta'!$B$4:$B$21,'Balizador da Meta'!$C$4:$C$21)</f>
        <v>0</v>
      </c>
      <c r="Y433" s="28">
        <f>Y422*_xlfn.XLOOKUP($L433,'Balizador da Meta'!$B$4:$B$21,'Balizador da Meta'!$C$4:$C$21)</f>
        <v>0</v>
      </c>
      <c r="Z433" s="30">
        <f t="shared" si="103"/>
        <v>0</v>
      </c>
      <c r="AA433" s="29"/>
      <c r="AB433" s="31">
        <f>SUMIFS('Historico - FAT'!AK:AK,'Historico - FAT'!$K:$K,Faturamento!$L433,'Historico - FAT'!$I:$I,Faturamento!$J433,'Historico - FAT'!$G:$G,Faturamento!$H433)</f>
        <v>0</v>
      </c>
      <c r="AC433" s="31">
        <f>SUMIFS('Historico - FAT'!AL:AL,'Historico - FAT'!$K:$K,Faturamento!$L433,'Historico - FAT'!$I:$I,Faturamento!$J433,'Historico - FAT'!$G:$G,Faturamento!$H433)</f>
        <v>0</v>
      </c>
      <c r="AD433" s="31">
        <f>SUMIFS('Historico - FAT'!AM:AM,'Historico - FAT'!$K:$K,Faturamento!$L433,'Historico - FAT'!$I:$I,Faturamento!$J433,'Historico - FAT'!$G:$G,Faturamento!$H433)</f>
        <v>0</v>
      </c>
      <c r="AE433" s="27">
        <f>SUMIFS('Historico - FAT'!AN:AN,'Historico - FAT'!$K:$K,Faturamento!$L433,'Historico - FAT'!$I:$I,Faturamento!$J433,'Historico - FAT'!$G:$G,Faturamento!$H433)</f>
        <v>0</v>
      </c>
      <c r="AG433" s="24" t="str">
        <f t="shared" si="91"/>
        <v/>
      </c>
      <c r="AH433" s="24" t="str">
        <f t="shared" si="92"/>
        <v/>
      </c>
      <c r="AI433" s="24" t="str">
        <f t="shared" si="93"/>
        <v/>
      </c>
    </row>
    <row r="434" spans="1:35" hidden="1" x14ac:dyDescent="0.3">
      <c r="A434" s="2" t="str">
        <f t="shared" ref="A434:A497" si="104">IF(OR(H434&lt;&gt;H433,J434&lt;&gt;J433),"SIM","NÃO")</f>
        <v>NÃO</v>
      </c>
      <c r="B434" s="2">
        <v>1000184670</v>
      </c>
      <c r="C434" s="2" t="s">
        <v>147</v>
      </c>
      <c r="D434" s="4">
        <v>1000186197</v>
      </c>
      <c r="E434" s="4" t="s">
        <v>166</v>
      </c>
      <c r="F434" s="2">
        <v>1000184758</v>
      </c>
      <c r="G434" s="2" t="s">
        <v>55</v>
      </c>
      <c r="H434" s="4">
        <v>1000189767</v>
      </c>
      <c r="I434" s="4" t="s">
        <v>90</v>
      </c>
      <c r="J434" s="2">
        <v>1000189270</v>
      </c>
      <c r="K434" s="2" t="s">
        <v>34</v>
      </c>
      <c r="L434" s="4" t="s">
        <v>20</v>
      </c>
      <c r="M434" s="4" t="str">
        <f t="shared" si="97"/>
        <v>1000184670100018619710001897671000189270REEMBALADOS</v>
      </c>
      <c r="N434" s="28">
        <f>N422*_xlfn.XLOOKUP($L434,'Balizador da Meta'!$B$4:$B$21,'Balizador da Meta'!$C$4:$C$21)</f>
        <v>0</v>
      </c>
      <c r="O434" s="28">
        <f>O422*_xlfn.XLOOKUP($L434,'Balizador da Meta'!$B$4:$B$21,'Balizador da Meta'!$C$4:$C$21)</f>
        <v>0</v>
      </c>
      <c r="P434" s="28">
        <f>P422*_xlfn.XLOOKUP($L434,'Balizador da Meta'!$B$4:$B$21,'Balizador da Meta'!$C$4:$C$21)</f>
        <v>0</v>
      </c>
      <c r="Q434" s="28">
        <f>Q422*_xlfn.XLOOKUP($L434,'Balizador da Meta'!$B$4:$B$21,'Balizador da Meta'!$C$4:$C$21)</f>
        <v>0</v>
      </c>
      <c r="R434" s="28">
        <f>R422*_xlfn.XLOOKUP($L434,'Balizador da Meta'!$B$4:$B$21,'Balizador da Meta'!$C$4:$C$21)</f>
        <v>0</v>
      </c>
      <c r="S434" s="28">
        <f>S422*_xlfn.XLOOKUP($L434,'Balizador da Meta'!$B$4:$B$21,'Balizador da Meta'!$C$4:$C$21)</f>
        <v>0</v>
      </c>
      <c r="T434" s="28">
        <f>T422*_xlfn.XLOOKUP($L434,'Balizador da Meta'!$B$4:$B$21,'Balizador da Meta'!$C$4:$C$21)</f>
        <v>0</v>
      </c>
      <c r="U434" s="28">
        <f>U422*_xlfn.XLOOKUP($L434,'Balizador da Meta'!$B$4:$B$21,'Balizador da Meta'!$C$4:$C$21)</f>
        <v>0</v>
      </c>
      <c r="V434" s="28">
        <f>V422*_xlfn.XLOOKUP($L434,'Balizador da Meta'!$B$4:$B$21,'Balizador da Meta'!$C$4:$C$21)</f>
        <v>0</v>
      </c>
      <c r="W434" s="28">
        <f>W422*_xlfn.XLOOKUP($L434,'Balizador da Meta'!$B$4:$B$21,'Balizador da Meta'!$C$4:$C$21)</f>
        <v>0</v>
      </c>
      <c r="X434" s="28">
        <f>X422*_xlfn.XLOOKUP($L434,'Balizador da Meta'!$B$4:$B$21,'Balizador da Meta'!$C$4:$C$21)</f>
        <v>0</v>
      </c>
      <c r="Y434" s="28">
        <f>Y422*_xlfn.XLOOKUP($L434,'Balizador da Meta'!$B$4:$B$21,'Balizador da Meta'!$C$4:$C$21)</f>
        <v>0</v>
      </c>
      <c r="Z434" s="30">
        <f t="shared" si="103"/>
        <v>0</v>
      </c>
      <c r="AA434" s="29"/>
      <c r="AB434" s="31">
        <f>SUMIFS('Historico - FAT'!AK:AK,'Historico - FAT'!$K:$K,Faturamento!$L434,'Historico - FAT'!$I:$I,Faturamento!$J434,'Historico - FAT'!$G:$G,Faturamento!$H434)</f>
        <v>0</v>
      </c>
      <c r="AC434" s="31">
        <f>SUMIFS('Historico - FAT'!AL:AL,'Historico - FAT'!$K:$K,Faturamento!$L434,'Historico - FAT'!$I:$I,Faturamento!$J434,'Historico - FAT'!$G:$G,Faturamento!$H434)</f>
        <v>0</v>
      </c>
      <c r="AD434" s="31">
        <f>SUMIFS('Historico - FAT'!AM:AM,'Historico - FAT'!$K:$K,Faturamento!$L434,'Historico - FAT'!$I:$I,Faturamento!$J434,'Historico - FAT'!$G:$G,Faturamento!$H434)</f>
        <v>0</v>
      </c>
      <c r="AE434" s="27">
        <f>SUMIFS('Historico - FAT'!AN:AN,'Historico - FAT'!$K:$K,Faturamento!$L434,'Historico - FAT'!$I:$I,Faturamento!$J434,'Historico - FAT'!$G:$G,Faturamento!$H434)</f>
        <v>0</v>
      </c>
      <c r="AG434" s="24" t="str">
        <f t="shared" ref="AG434:AG497" si="105">IFERROR((AVERAGE(W434:Y434)-AB434)/AVERAGE(W434:Y434),"")</f>
        <v/>
      </c>
      <c r="AH434" s="24" t="str">
        <f t="shared" ref="AH434:AH497" si="106">IFERROR((AVERAGE(W434:Y434)-AC434)/AVERAGE(W434:Y434),"")</f>
        <v/>
      </c>
      <c r="AI434" s="24" t="str">
        <f t="shared" ref="AI434:AI497" si="107">IFERROR((AVERAGE(W434:Y434)-AD434)/AVERAGE(W434:Y434),"")</f>
        <v/>
      </c>
    </row>
    <row r="435" spans="1:35" hidden="1" x14ac:dyDescent="0.3">
      <c r="A435" s="2" t="str">
        <f t="shared" si="104"/>
        <v>NÃO</v>
      </c>
      <c r="B435" s="2">
        <v>1000184670</v>
      </c>
      <c r="C435" s="2" t="s">
        <v>147</v>
      </c>
      <c r="D435" s="4">
        <v>1000186197</v>
      </c>
      <c r="E435" s="4" t="s">
        <v>166</v>
      </c>
      <c r="F435" s="2">
        <v>1000184758</v>
      </c>
      <c r="G435" s="2" t="s">
        <v>55</v>
      </c>
      <c r="H435" s="4">
        <v>1000189767</v>
      </c>
      <c r="I435" s="4" t="s">
        <v>90</v>
      </c>
      <c r="J435" s="2">
        <v>1000189270</v>
      </c>
      <c r="K435" s="2" t="s">
        <v>34</v>
      </c>
      <c r="L435" s="4" t="s">
        <v>22</v>
      </c>
      <c r="M435" s="4" t="str">
        <f t="shared" si="97"/>
        <v>1000184670100018619710001897671000189270S GLUTEN</v>
      </c>
      <c r="N435" s="28">
        <f>N422*_xlfn.XLOOKUP($L435,'Balizador da Meta'!$B$4:$B$21,'Balizador da Meta'!$C$4:$C$21)</f>
        <v>0</v>
      </c>
      <c r="O435" s="28">
        <f>O422*_xlfn.XLOOKUP($L435,'Balizador da Meta'!$B$4:$B$21,'Balizador da Meta'!$C$4:$C$21)</f>
        <v>0</v>
      </c>
      <c r="P435" s="28">
        <f>P422*_xlfn.XLOOKUP($L435,'Balizador da Meta'!$B$4:$B$21,'Balizador da Meta'!$C$4:$C$21)</f>
        <v>0</v>
      </c>
      <c r="Q435" s="28">
        <f>Q422*_xlfn.XLOOKUP($L435,'Balizador da Meta'!$B$4:$B$21,'Balizador da Meta'!$C$4:$C$21)</f>
        <v>0</v>
      </c>
      <c r="R435" s="28">
        <f>R422*_xlfn.XLOOKUP($L435,'Balizador da Meta'!$B$4:$B$21,'Balizador da Meta'!$C$4:$C$21)</f>
        <v>0</v>
      </c>
      <c r="S435" s="28">
        <f>S422*_xlfn.XLOOKUP($L435,'Balizador da Meta'!$B$4:$B$21,'Balizador da Meta'!$C$4:$C$21)</f>
        <v>0</v>
      </c>
      <c r="T435" s="28">
        <f>T422*_xlfn.XLOOKUP($L435,'Balizador da Meta'!$B$4:$B$21,'Balizador da Meta'!$C$4:$C$21)</f>
        <v>0</v>
      </c>
      <c r="U435" s="28">
        <f>U422*_xlfn.XLOOKUP($L435,'Balizador da Meta'!$B$4:$B$21,'Balizador da Meta'!$C$4:$C$21)</f>
        <v>0</v>
      </c>
      <c r="V435" s="28">
        <f>V422*_xlfn.XLOOKUP($L435,'Balizador da Meta'!$B$4:$B$21,'Balizador da Meta'!$C$4:$C$21)</f>
        <v>0</v>
      </c>
      <c r="W435" s="28">
        <f>W422*_xlfn.XLOOKUP($L435,'Balizador da Meta'!$B$4:$B$21,'Balizador da Meta'!$C$4:$C$21)</f>
        <v>0</v>
      </c>
      <c r="X435" s="28">
        <f>X422*_xlfn.XLOOKUP($L435,'Balizador da Meta'!$B$4:$B$21,'Balizador da Meta'!$C$4:$C$21)</f>
        <v>0</v>
      </c>
      <c r="Y435" s="28">
        <f>Y422*_xlfn.XLOOKUP($L435,'Balizador da Meta'!$B$4:$B$21,'Balizador da Meta'!$C$4:$C$21)</f>
        <v>0</v>
      </c>
      <c r="Z435" s="30">
        <f t="shared" si="103"/>
        <v>0</v>
      </c>
      <c r="AA435" s="29"/>
      <c r="AB435" s="31">
        <f>SUMIFS('Historico - FAT'!AK:AK,'Historico - FAT'!$K:$K,Faturamento!$L435,'Historico - FAT'!$I:$I,Faturamento!$J435,'Historico - FAT'!$G:$G,Faturamento!$H435)</f>
        <v>0</v>
      </c>
      <c r="AC435" s="31">
        <f>SUMIFS('Historico - FAT'!AL:AL,'Historico - FAT'!$K:$K,Faturamento!$L435,'Historico - FAT'!$I:$I,Faturamento!$J435,'Historico - FAT'!$G:$G,Faturamento!$H435)</f>
        <v>0</v>
      </c>
      <c r="AD435" s="31">
        <f>SUMIFS('Historico - FAT'!AM:AM,'Historico - FAT'!$K:$K,Faturamento!$L435,'Historico - FAT'!$I:$I,Faturamento!$J435,'Historico - FAT'!$G:$G,Faturamento!$H435)</f>
        <v>0</v>
      </c>
      <c r="AE435" s="27">
        <f>SUMIFS('Historico - FAT'!AN:AN,'Historico - FAT'!$K:$K,Faturamento!$L435,'Historico - FAT'!$I:$I,Faturamento!$J435,'Historico - FAT'!$G:$G,Faturamento!$H435)</f>
        <v>0</v>
      </c>
      <c r="AG435" s="24" t="str">
        <f t="shared" si="105"/>
        <v/>
      </c>
      <c r="AH435" s="24" t="str">
        <f t="shared" si="106"/>
        <v/>
      </c>
      <c r="AI435" s="24" t="str">
        <f t="shared" si="107"/>
        <v/>
      </c>
    </row>
    <row r="436" spans="1:35" hidden="1" x14ac:dyDescent="0.3">
      <c r="A436" s="2" t="str">
        <f t="shared" si="104"/>
        <v>NÃO</v>
      </c>
      <c r="B436" s="2">
        <v>1000184670</v>
      </c>
      <c r="C436" s="2" t="s">
        <v>147</v>
      </c>
      <c r="D436" s="4">
        <v>1000186197</v>
      </c>
      <c r="E436" s="4" t="s">
        <v>166</v>
      </c>
      <c r="F436" s="2">
        <v>1000184758</v>
      </c>
      <c r="G436" s="2" t="s">
        <v>55</v>
      </c>
      <c r="H436" s="4">
        <v>1000189767</v>
      </c>
      <c r="I436" s="4" t="s">
        <v>90</v>
      </c>
      <c r="J436" s="2">
        <v>1000189270</v>
      </c>
      <c r="K436" s="2" t="s">
        <v>34</v>
      </c>
      <c r="L436" s="4" t="s">
        <v>23</v>
      </c>
      <c r="M436" s="4" t="str">
        <f t="shared" si="97"/>
        <v>1000184670100018619710001897671000189270SABORES DO CAMPO</v>
      </c>
      <c r="N436" s="28">
        <f>N422*_xlfn.XLOOKUP($L436,'Balizador da Meta'!$B$4:$B$21,'Balizador da Meta'!$C$4:$C$21)</f>
        <v>0</v>
      </c>
      <c r="O436" s="28">
        <f>O422*_xlfn.XLOOKUP($L436,'Balizador da Meta'!$B$4:$B$21,'Balizador da Meta'!$C$4:$C$21)</f>
        <v>0</v>
      </c>
      <c r="P436" s="28">
        <f>P422*_xlfn.XLOOKUP($L436,'Balizador da Meta'!$B$4:$B$21,'Balizador da Meta'!$C$4:$C$21)</f>
        <v>0</v>
      </c>
      <c r="Q436" s="28">
        <f>Q422*_xlfn.XLOOKUP($L436,'Balizador da Meta'!$B$4:$B$21,'Balizador da Meta'!$C$4:$C$21)</f>
        <v>0</v>
      </c>
      <c r="R436" s="28">
        <f>R422*_xlfn.XLOOKUP($L436,'Balizador da Meta'!$B$4:$B$21,'Balizador da Meta'!$C$4:$C$21)</f>
        <v>0</v>
      </c>
      <c r="S436" s="28">
        <f>S422*_xlfn.XLOOKUP($L436,'Balizador da Meta'!$B$4:$B$21,'Balizador da Meta'!$C$4:$C$21)</f>
        <v>0</v>
      </c>
      <c r="T436" s="28">
        <f>T422*_xlfn.XLOOKUP($L436,'Balizador da Meta'!$B$4:$B$21,'Balizador da Meta'!$C$4:$C$21)</f>
        <v>0</v>
      </c>
      <c r="U436" s="28">
        <f>U422*_xlfn.XLOOKUP($L436,'Balizador da Meta'!$B$4:$B$21,'Balizador da Meta'!$C$4:$C$21)</f>
        <v>0</v>
      </c>
      <c r="V436" s="28">
        <f>V422*_xlfn.XLOOKUP($L436,'Balizador da Meta'!$B$4:$B$21,'Balizador da Meta'!$C$4:$C$21)</f>
        <v>0</v>
      </c>
      <c r="W436" s="28">
        <f>W422*_xlfn.XLOOKUP($L436,'Balizador da Meta'!$B$4:$B$21,'Balizador da Meta'!$C$4:$C$21)</f>
        <v>0</v>
      </c>
      <c r="X436" s="28">
        <f>X422*_xlfn.XLOOKUP($L436,'Balizador da Meta'!$B$4:$B$21,'Balizador da Meta'!$C$4:$C$21)</f>
        <v>0</v>
      </c>
      <c r="Y436" s="28">
        <f>Y422*_xlfn.XLOOKUP($L436,'Balizador da Meta'!$B$4:$B$21,'Balizador da Meta'!$C$4:$C$21)</f>
        <v>0</v>
      </c>
      <c r="Z436" s="30">
        <f t="shared" si="103"/>
        <v>0</v>
      </c>
      <c r="AA436" s="29"/>
      <c r="AB436" s="31">
        <f>SUMIFS('Historico - FAT'!AK:AK,'Historico - FAT'!$K:$K,Faturamento!$L436,'Historico - FAT'!$I:$I,Faturamento!$J436,'Historico - FAT'!$G:$G,Faturamento!$H436)</f>
        <v>0</v>
      </c>
      <c r="AC436" s="31">
        <f>SUMIFS('Historico - FAT'!AL:AL,'Historico - FAT'!$K:$K,Faturamento!$L436,'Historico - FAT'!$I:$I,Faturamento!$J436,'Historico - FAT'!$G:$G,Faturamento!$H436)</f>
        <v>0</v>
      </c>
      <c r="AD436" s="31">
        <f>SUMIFS('Historico - FAT'!AM:AM,'Historico - FAT'!$K:$K,Faturamento!$L436,'Historico - FAT'!$I:$I,Faturamento!$J436,'Historico - FAT'!$G:$G,Faturamento!$H436)</f>
        <v>0</v>
      </c>
      <c r="AE436" s="27">
        <f>SUMIFS('Historico - FAT'!AN:AN,'Historico - FAT'!$K:$K,Faturamento!$L436,'Historico - FAT'!$I:$I,Faturamento!$J436,'Historico - FAT'!$G:$G,Faturamento!$H436)</f>
        <v>0</v>
      </c>
      <c r="AG436" s="24" t="str">
        <f t="shared" si="105"/>
        <v/>
      </c>
      <c r="AH436" s="24" t="str">
        <f t="shared" si="106"/>
        <v/>
      </c>
      <c r="AI436" s="24" t="str">
        <f t="shared" si="107"/>
        <v/>
      </c>
    </row>
    <row r="437" spans="1:35" hidden="1" x14ac:dyDescent="0.3">
      <c r="A437" s="2" t="str">
        <f t="shared" si="104"/>
        <v>NÃO</v>
      </c>
      <c r="B437" s="2">
        <v>1000184670</v>
      </c>
      <c r="C437" s="2" t="s">
        <v>147</v>
      </c>
      <c r="D437" s="4">
        <v>1000186197</v>
      </c>
      <c r="E437" s="4" t="s">
        <v>166</v>
      </c>
      <c r="F437" s="2">
        <v>1000184758</v>
      </c>
      <c r="G437" s="2" t="s">
        <v>55</v>
      </c>
      <c r="H437" s="4">
        <v>1000189767</v>
      </c>
      <c r="I437" s="4" t="s">
        <v>90</v>
      </c>
      <c r="J437" s="2">
        <v>1000189270</v>
      </c>
      <c r="K437" s="2" t="s">
        <v>34</v>
      </c>
      <c r="L437" s="4" t="s">
        <v>28</v>
      </c>
      <c r="M437" s="4" t="str">
        <f t="shared" si="97"/>
        <v>1000184670100018619710001897671000189270SAL</v>
      </c>
      <c r="N437" s="28">
        <f>N422*_xlfn.XLOOKUP($L437,'Balizador da Meta'!$B$4:$B$21,'Balizador da Meta'!$C$4:$C$21)</f>
        <v>0</v>
      </c>
      <c r="O437" s="28">
        <f>O422*_xlfn.XLOOKUP($L437,'Balizador da Meta'!$B$4:$B$21,'Balizador da Meta'!$C$4:$C$21)</f>
        <v>0</v>
      </c>
      <c r="P437" s="28">
        <f>P422*_xlfn.XLOOKUP($L437,'Balizador da Meta'!$B$4:$B$21,'Balizador da Meta'!$C$4:$C$21)</f>
        <v>0</v>
      </c>
      <c r="Q437" s="28">
        <f>Q422*_xlfn.XLOOKUP($L437,'Balizador da Meta'!$B$4:$B$21,'Balizador da Meta'!$C$4:$C$21)</f>
        <v>0</v>
      </c>
      <c r="R437" s="28">
        <f>R422*_xlfn.XLOOKUP($L437,'Balizador da Meta'!$B$4:$B$21,'Balizador da Meta'!$C$4:$C$21)</f>
        <v>0</v>
      </c>
      <c r="S437" s="28">
        <f>S422*_xlfn.XLOOKUP($L437,'Balizador da Meta'!$B$4:$B$21,'Balizador da Meta'!$C$4:$C$21)</f>
        <v>0</v>
      </c>
      <c r="T437" s="28">
        <f>T422*_xlfn.XLOOKUP($L437,'Balizador da Meta'!$B$4:$B$21,'Balizador da Meta'!$C$4:$C$21)</f>
        <v>0</v>
      </c>
      <c r="U437" s="28">
        <f>U422*_xlfn.XLOOKUP($L437,'Balizador da Meta'!$B$4:$B$21,'Balizador da Meta'!$C$4:$C$21)</f>
        <v>0</v>
      </c>
      <c r="V437" s="28">
        <f>V422*_xlfn.XLOOKUP($L437,'Balizador da Meta'!$B$4:$B$21,'Balizador da Meta'!$C$4:$C$21)</f>
        <v>0</v>
      </c>
      <c r="W437" s="28">
        <f>W422*_xlfn.XLOOKUP($L437,'Balizador da Meta'!$B$4:$B$21,'Balizador da Meta'!$C$4:$C$21)</f>
        <v>0</v>
      </c>
      <c r="X437" s="28">
        <f>X422*_xlfn.XLOOKUP($L437,'Balizador da Meta'!$B$4:$B$21,'Balizador da Meta'!$C$4:$C$21)</f>
        <v>0</v>
      </c>
      <c r="Y437" s="28">
        <f>Y422*_xlfn.XLOOKUP($L437,'Balizador da Meta'!$B$4:$B$21,'Balizador da Meta'!$C$4:$C$21)</f>
        <v>0</v>
      </c>
      <c r="Z437" s="30">
        <f t="shared" si="103"/>
        <v>0</v>
      </c>
      <c r="AA437" s="29"/>
      <c r="AB437" s="31">
        <f>SUMIFS('Historico - FAT'!AK:AK,'Historico - FAT'!$K:$K,Faturamento!$L437,'Historico - FAT'!$I:$I,Faturamento!$J437,'Historico - FAT'!$G:$G,Faturamento!$H437)</f>
        <v>0</v>
      </c>
      <c r="AC437" s="31">
        <f>SUMIFS('Historico - FAT'!AL:AL,'Historico - FAT'!$K:$K,Faturamento!$L437,'Historico - FAT'!$I:$I,Faturamento!$J437,'Historico - FAT'!$G:$G,Faturamento!$H437)</f>
        <v>0</v>
      </c>
      <c r="AD437" s="31">
        <f>SUMIFS('Historico - FAT'!AM:AM,'Historico - FAT'!$K:$K,Faturamento!$L437,'Historico - FAT'!$I:$I,Faturamento!$J437,'Historico - FAT'!$G:$G,Faturamento!$H437)</f>
        <v>0</v>
      </c>
      <c r="AE437" s="27">
        <f>SUMIFS('Historico - FAT'!AN:AN,'Historico - FAT'!$K:$K,Faturamento!$L437,'Historico - FAT'!$I:$I,Faturamento!$J437,'Historico - FAT'!$G:$G,Faturamento!$H437)</f>
        <v>0</v>
      </c>
      <c r="AG437" s="24" t="str">
        <f t="shared" si="105"/>
        <v/>
      </c>
      <c r="AH437" s="24" t="str">
        <f t="shared" si="106"/>
        <v/>
      </c>
      <c r="AI437" s="24" t="str">
        <f t="shared" si="107"/>
        <v/>
      </c>
    </row>
    <row r="438" spans="1:35" hidden="1" x14ac:dyDescent="0.3">
      <c r="A438" s="2" t="str">
        <f t="shared" si="104"/>
        <v>NÃO</v>
      </c>
      <c r="B438" s="2">
        <v>1000184670</v>
      </c>
      <c r="C438" s="2" t="s">
        <v>147</v>
      </c>
      <c r="D438" s="4">
        <v>1000186197</v>
      </c>
      <c r="E438" s="4" t="s">
        <v>166</v>
      </c>
      <c r="F438" s="2">
        <v>1000184758</v>
      </c>
      <c r="G438" s="2" t="s">
        <v>55</v>
      </c>
      <c r="H438" s="4">
        <v>1000189767</v>
      </c>
      <c r="I438" s="4" t="s">
        <v>90</v>
      </c>
      <c r="J438" s="2">
        <v>1000189270</v>
      </c>
      <c r="K438" s="2" t="s">
        <v>34</v>
      </c>
      <c r="L438" s="4" t="s">
        <v>26</v>
      </c>
      <c r="M438" s="4" t="str">
        <f t="shared" si="97"/>
        <v>1000184670100018619710001897671000189270SOULPRO</v>
      </c>
      <c r="N438" s="28">
        <f>N422*_xlfn.XLOOKUP($L438,'Balizador da Meta'!$B$4:$B$21,'Balizador da Meta'!$C$4:$C$21)</f>
        <v>0</v>
      </c>
      <c r="O438" s="28">
        <f>O422*_xlfn.XLOOKUP($L438,'Balizador da Meta'!$B$4:$B$21,'Balizador da Meta'!$C$4:$C$21)</f>
        <v>0</v>
      </c>
      <c r="P438" s="28">
        <f>P422*_xlfn.XLOOKUP($L438,'Balizador da Meta'!$B$4:$B$21,'Balizador da Meta'!$C$4:$C$21)</f>
        <v>0</v>
      </c>
      <c r="Q438" s="28">
        <f>Q422*_xlfn.XLOOKUP($L438,'Balizador da Meta'!$B$4:$B$21,'Balizador da Meta'!$C$4:$C$21)</f>
        <v>0</v>
      </c>
      <c r="R438" s="28">
        <f>R422*_xlfn.XLOOKUP($L438,'Balizador da Meta'!$B$4:$B$21,'Balizador da Meta'!$C$4:$C$21)</f>
        <v>0</v>
      </c>
      <c r="S438" s="28">
        <f>S422*_xlfn.XLOOKUP($L438,'Balizador da Meta'!$B$4:$B$21,'Balizador da Meta'!$C$4:$C$21)</f>
        <v>0</v>
      </c>
      <c r="T438" s="28">
        <f>T422*_xlfn.XLOOKUP($L438,'Balizador da Meta'!$B$4:$B$21,'Balizador da Meta'!$C$4:$C$21)</f>
        <v>0</v>
      </c>
      <c r="U438" s="28">
        <f>U422*_xlfn.XLOOKUP($L438,'Balizador da Meta'!$B$4:$B$21,'Balizador da Meta'!$C$4:$C$21)</f>
        <v>0</v>
      </c>
      <c r="V438" s="28">
        <f>V422*_xlfn.XLOOKUP($L438,'Balizador da Meta'!$B$4:$B$21,'Balizador da Meta'!$C$4:$C$21)</f>
        <v>0</v>
      </c>
      <c r="W438" s="28">
        <f>W422*_xlfn.XLOOKUP($L438,'Balizador da Meta'!$B$4:$B$21,'Balizador da Meta'!$C$4:$C$21)</f>
        <v>0</v>
      </c>
      <c r="X438" s="28">
        <f>X422*_xlfn.XLOOKUP($L438,'Balizador da Meta'!$B$4:$B$21,'Balizador da Meta'!$C$4:$C$21)</f>
        <v>0</v>
      </c>
      <c r="Y438" s="28">
        <f>Y422*_xlfn.XLOOKUP($L438,'Balizador da Meta'!$B$4:$B$21,'Balizador da Meta'!$C$4:$C$21)</f>
        <v>0</v>
      </c>
      <c r="Z438" s="30">
        <f t="shared" si="103"/>
        <v>0</v>
      </c>
      <c r="AA438" s="29"/>
      <c r="AB438" s="31">
        <f>SUMIFS('Historico - FAT'!AK:AK,'Historico - FAT'!$K:$K,Faturamento!$L438,'Historico - FAT'!$I:$I,Faturamento!$J438,'Historico - FAT'!$G:$G,Faturamento!$H438)</f>
        <v>0</v>
      </c>
      <c r="AC438" s="31">
        <f>SUMIFS('Historico - FAT'!AL:AL,'Historico - FAT'!$K:$K,Faturamento!$L438,'Historico - FAT'!$I:$I,Faturamento!$J438,'Historico - FAT'!$G:$G,Faturamento!$H438)</f>
        <v>0</v>
      </c>
      <c r="AD438" s="31">
        <f>SUMIFS('Historico - FAT'!AM:AM,'Historico - FAT'!$K:$K,Faturamento!$L438,'Historico - FAT'!$I:$I,Faturamento!$J438,'Historico - FAT'!$G:$G,Faturamento!$H438)</f>
        <v>0</v>
      </c>
      <c r="AE438" s="27">
        <f>SUMIFS('Historico - FAT'!AN:AN,'Historico - FAT'!$K:$K,Faturamento!$L438,'Historico - FAT'!$I:$I,Faturamento!$J438,'Historico - FAT'!$G:$G,Faturamento!$H438)</f>
        <v>0</v>
      </c>
      <c r="AG438" s="24" t="str">
        <f t="shared" si="105"/>
        <v/>
      </c>
      <c r="AH438" s="24" t="str">
        <f t="shared" si="106"/>
        <v/>
      </c>
      <c r="AI438" s="24" t="str">
        <f t="shared" si="107"/>
        <v/>
      </c>
    </row>
    <row r="439" spans="1:35" hidden="1" x14ac:dyDescent="0.3">
      <c r="A439" s="2" t="str">
        <f t="shared" si="104"/>
        <v>NÃO</v>
      </c>
      <c r="B439" s="2">
        <v>1000184670</v>
      </c>
      <c r="C439" s="2" t="s">
        <v>147</v>
      </c>
      <c r="D439" s="4">
        <v>1000186197</v>
      </c>
      <c r="E439" s="4" t="s">
        <v>166</v>
      </c>
      <c r="F439" s="2">
        <v>1000184758</v>
      </c>
      <c r="G439" s="2" t="s">
        <v>55</v>
      </c>
      <c r="H439" s="4">
        <v>1000189767</v>
      </c>
      <c r="I439" s="4" t="s">
        <v>90</v>
      </c>
      <c r="J439" s="2">
        <v>1000189270</v>
      </c>
      <c r="K439" s="2" t="s">
        <v>34</v>
      </c>
      <c r="L439" s="4" t="s">
        <v>27</v>
      </c>
      <c r="M439" s="4" t="str">
        <f t="shared" si="97"/>
        <v>1000184670100018619710001897671000189270TAMARA</v>
      </c>
      <c r="N439" s="28">
        <f>N422*_xlfn.XLOOKUP($L439,'Balizador da Meta'!$B$4:$B$21,'Balizador da Meta'!$C$4:$C$21)</f>
        <v>0</v>
      </c>
      <c r="O439" s="28">
        <f>O422*_xlfn.XLOOKUP($L439,'Balizador da Meta'!$B$4:$B$21,'Balizador da Meta'!$C$4:$C$21)</f>
        <v>0</v>
      </c>
      <c r="P439" s="28">
        <f>P422*_xlfn.XLOOKUP($L439,'Balizador da Meta'!$B$4:$B$21,'Balizador da Meta'!$C$4:$C$21)</f>
        <v>0</v>
      </c>
      <c r="Q439" s="28">
        <f>Q422*_xlfn.XLOOKUP($L439,'Balizador da Meta'!$B$4:$B$21,'Balizador da Meta'!$C$4:$C$21)</f>
        <v>0</v>
      </c>
      <c r="R439" s="28">
        <f>R422*_xlfn.XLOOKUP($L439,'Balizador da Meta'!$B$4:$B$21,'Balizador da Meta'!$C$4:$C$21)</f>
        <v>0</v>
      </c>
      <c r="S439" s="28">
        <f>S422*_xlfn.XLOOKUP($L439,'Balizador da Meta'!$B$4:$B$21,'Balizador da Meta'!$C$4:$C$21)</f>
        <v>0</v>
      </c>
      <c r="T439" s="28">
        <f>T422*_xlfn.XLOOKUP($L439,'Balizador da Meta'!$B$4:$B$21,'Balizador da Meta'!$C$4:$C$21)</f>
        <v>0</v>
      </c>
      <c r="U439" s="28">
        <f>U422*_xlfn.XLOOKUP($L439,'Balizador da Meta'!$B$4:$B$21,'Balizador da Meta'!$C$4:$C$21)</f>
        <v>0</v>
      </c>
      <c r="V439" s="28">
        <f>V422*_xlfn.XLOOKUP($L439,'Balizador da Meta'!$B$4:$B$21,'Balizador da Meta'!$C$4:$C$21)</f>
        <v>0</v>
      </c>
      <c r="W439" s="28">
        <f>W422*_xlfn.XLOOKUP($L439,'Balizador da Meta'!$B$4:$B$21,'Balizador da Meta'!$C$4:$C$21)</f>
        <v>0</v>
      </c>
      <c r="X439" s="28">
        <f>X422*_xlfn.XLOOKUP($L439,'Balizador da Meta'!$B$4:$B$21,'Balizador da Meta'!$C$4:$C$21)</f>
        <v>0</v>
      </c>
      <c r="Y439" s="28">
        <f>Y422*_xlfn.XLOOKUP($L439,'Balizador da Meta'!$B$4:$B$21,'Balizador da Meta'!$C$4:$C$21)</f>
        <v>0</v>
      </c>
      <c r="Z439" s="30">
        <f t="shared" si="103"/>
        <v>0</v>
      </c>
      <c r="AA439" s="29"/>
      <c r="AB439" s="31">
        <f>SUMIFS('Historico - FAT'!AK:AK,'Historico - FAT'!$K:$K,Faturamento!$L439,'Historico - FAT'!$I:$I,Faturamento!$J439,'Historico - FAT'!$G:$G,Faturamento!$H439)</f>
        <v>0</v>
      </c>
      <c r="AC439" s="31">
        <f>SUMIFS('Historico - FAT'!AL:AL,'Historico - FAT'!$K:$K,Faturamento!$L439,'Historico - FAT'!$I:$I,Faturamento!$J439,'Historico - FAT'!$G:$G,Faturamento!$H439)</f>
        <v>0</v>
      </c>
      <c r="AD439" s="31">
        <f>SUMIFS('Historico - FAT'!AM:AM,'Historico - FAT'!$K:$K,Faturamento!$L439,'Historico - FAT'!$I:$I,Faturamento!$J439,'Historico - FAT'!$G:$G,Faturamento!$H439)</f>
        <v>0</v>
      </c>
      <c r="AE439" s="27">
        <f>SUMIFS('Historico - FAT'!AN:AN,'Historico - FAT'!$K:$K,Faturamento!$L439,'Historico - FAT'!$I:$I,Faturamento!$J439,'Historico - FAT'!$G:$G,Faturamento!$H439)</f>
        <v>0</v>
      </c>
      <c r="AG439" s="24" t="str">
        <f t="shared" si="105"/>
        <v/>
      </c>
      <c r="AH439" s="24" t="str">
        <f t="shared" si="106"/>
        <v/>
      </c>
      <c r="AI439" s="24" t="str">
        <f t="shared" si="107"/>
        <v/>
      </c>
    </row>
    <row r="440" spans="1:35" hidden="1" x14ac:dyDescent="0.3">
      <c r="A440" s="2" t="str">
        <f t="shared" si="104"/>
        <v>NÃO</v>
      </c>
      <c r="B440" s="2">
        <v>1000184670</v>
      </c>
      <c r="C440" s="2" t="s">
        <v>147</v>
      </c>
      <c r="D440" s="4">
        <v>1000186197</v>
      </c>
      <c r="E440" s="4" t="s">
        <v>166</v>
      </c>
      <c r="F440" s="2">
        <v>1000184758</v>
      </c>
      <c r="G440" s="2" t="s">
        <v>55</v>
      </c>
      <c r="H440" s="4">
        <v>1000189767</v>
      </c>
      <c r="I440" s="4" t="s">
        <v>90</v>
      </c>
      <c r="J440" s="2">
        <v>1000189270</v>
      </c>
      <c r="K440" s="2" t="s">
        <v>34</v>
      </c>
      <c r="L440" s="4" t="s">
        <v>25</v>
      </c>
      <c r="M440" s="4" t="str">
        <f t="shared" si="97"/>
        <v>1000184670100018619710001897671000189270VICCIO</v>
      </c>
      <c r="N440" s="28">
        <f>N422*_xlfn.XLOOKUP($L440,'Balizador da Meta'!$B$4:$B$21,'Balizador da Meta'!$C$4:$C$21)</f>
        <v>0</v>
      </c>
      <c r="O440" s="28">
        <f>O422*_xlfn.XLOOKUP($L440,'Balizador da Meta'!$B$4:$B$21,'Balizador da Meta'!$C$4:$C$21)</f>
        <v>0</v>
      </c>
      <c r="P440" s="28">
        <f>P422*_xlfn.XLOOKUP($L440,'Balizador da Meta'!$B$4:$B$21,'Balizador da Meta'!$C$4:$C$21)</f>
        <v>0</v>
      </c>
      <c r="Q440" s="28">
        <f>Q422*_xlfn.XLOOKUP($L440,'Balizador da Meta'!$B$4:$B$21,'Balizador da Meta'!$C$4:$C$21)</f>
        <v>0</v>
      </c>
      <c r="R440" s="28">
        <f>R422*_xlfn.XLOOKUP($L440,'Balizador da Meta'!$B$4:$B$21,'Balizador da Meta'!$C$4:$C$21)</f>
        <v>0</v>
      </c>
      <c r="S440" s="28">
        <f>S422*_xlfn.XLOOKUP($L440,'Balizador da Meta'!$B$4:$B$21,'Balizador da Meta'!$C$4:$C$21)</f>
        <v>0</v>
      </c>
      <c r="T440" s="28">
        <f>T422*_xlfn.XLOOKUP($L440,'Balizador da Meta'!$B$4:$B$21,'Balizador da Meta'!$C$4:$C$21)</f>
        <v>0</v>
      </c>
      <c r="U440" s="28">
        <f>U422*_xlfn.XLOOKUP($L440,'Balizador da Meta'!$B$4:$B$21,'Balizador da Meta'!$C$4:$C$21)</f>
        <v>0</v>
      </c>
      <c r="V440" s="28">
        <f>V422*_xlfn.XLOOKUP($L440,'Balizador da Meta'!$B$4:$B$21,'Balizador da Meta'!$C$4:$C$21)</f>
        <v>0</v>
      </c>
      <c r="W440" s="28">
        <f>W422*_xlfn.XLOOKUP($L440,'Balizador da Meta'!$B$4:$B$21,'Balizador da Meta'!$C$4:$C$21)</f>
        <v>0</v>
      </c>
      <c r="X440" s="28">
        <f>X422*_xlfn.XLOOKUP($L440,'Balizador da Meta'!$B$4:$B$21,'Balizador da Meta'!$C$4:$C$21)</f>
        <v>0</v>
      </c>
      <c r="Y440" s="28">
        <f>Y422*_xlfn.XLOOKUP($L440,'Balizador da Meta'!$B$4:$B$21,'Balizador da Meta'!$C$4:$C$21)</f>
        <v>0</v>
      </c>
      <c r="Z440" s="30">
        <f t="shared" si="103"/>
        <v>0</v>
      </c>
      <c r="AA440" s="29"/>
      <c r="AB440" s="31">
        <f>SUMIFS('Historico - FAT'!AK:AK,'Historico - FAT'!$K:$K,Faturamento!$L440,'Historico - FAT'!$I:$I,Faturamento!$J440,'Historico - FAT'!$G:$G,Faturamento!$H440)</f>
        <v>0</v>
      </c>
      <c r="AC440" s="31">
        <f>SUMIFS('Historico - FAT'!AL:AL,'Historico - FAT'!$K:$K,Faturamento!$L440,'Historico - FAT'!$I:$I,Faturamento!$J440,'Historico - FAT'!$G:$G,Faturamento!$H440)</f>
        <v>0</v>
      </c>
      <c r="AD440" s="31">
        <f>SUMIFS('Historico - FAT'!AM:AM,'Historico - FAT'!$K:$K,Faturamento!$L440,'Historico - FAT'!$I:$I,Faturamento!$J440,'Historico - FAT'!$G:$G,Faturamento!$H440)</f>
        <v>0</v>
      </c>
      <c r="AE440" s="27">
        <f>SUMIFS('Historico - FAT'!AN:AN,'Historico - FAT'!$K:$K,Faturamento!$L440,'Historico - FAT'!$I:$I,Faturamento!$J440,'Historico - FAT'!$G:$G,Faturamento!$H440)</f>
        <v>0</v>
      </c>
      <c r="AG440" s="24" t="str">
        <f t="shared" si="105"/>
        <v/>
      </c>
      <c r="AH440" s="24" t="str">
        <f t="shared" si="106"/>
        <v/>
      </c>
      <c r="AI440" s="24" t="str">
        <f t="shared" si="107"/>
        <v/>
      </c>
    </row>
    <row r="441" spans="1:35" x14ac:dyDescent="0.3">
      <c r="A441" s="2" t="str">
        <f t="shared" si="104"/>
        <v>SIM</v>
      </c>
      <c r="B441" s="2">
        <v>1000184670</v>
      </c>
      <c r="C441" s="2" t="s">
        <v>147</v>
      </c>
      <c r="D441" s="4">
        <v>1000186197</v>
      </c>
      <c r="E441" s="4" t="s">
        <v>166</v>
      </c>
      <c r="F441" s="2">
        <v>1000184757</v>
      </c>
      <c r="G441" s="2" t="s">
        <v>62</v>
      </c>
      <c r="H441" s="4">
        <v>1000189768</v>
      </c>
      <c r="I441" s="4" t="s">
        <v>88</v>
      </c>
      <c r="J441" s="2">
        <v>1000189270</v>
      </c>
      <c r="K441" s="2" t="s">
        <v>34</v>
      </c>
      <c r="L441" s="4" t="s">
        <v>124</v>
      </c>
      <c r="M441" s="4" t="str">
        <f t="shared" si="97"/>
        <v>100018467010001861971000189768100018927001. TOTAL</v>
      </c>
      <c r="N441" s="28">
        <f>SUMIFS(Positivação!L:L,Positivação!$I:$I,Faturamento!$J441,Positivação!$G:$G,Faturamento!$H441)*SUMIFS(Positivação!$Z:$Z,Positivação!$I:$I,Faturamento!$J441,Positivação!$G:$G,Faturamento!$H441)</f>
        <v>1200</v>
      </c>
      <c r="O441" s="28">
        <f>SUMIFS(Positivação!M:M,Positivação!$I:$I,Faturamento!$J441,Positivação!$G:$G,Faturamento!$H441)*SUMIFS(Positivação!$Z:$Z,Positivação!$I:$I,Faturamento!$J441,Positivação!$G:$G,Faturamento!$H441)</f>
        <v>1200</v>
      </c>
      <c r="P441" s="28">
        <f>SUMIFS(Positivação!N:N,Positivação!$I:$I,Faturamento!$J441,Positivação!$G:$G,Faturamento!$H441)*SUMIFS(Positivação!$Z:$Z,Positivação!$I:$I,Faturamento!$J441,Positivação!$G:$G,Faturamento!$H441)</f>
        <v>1200</v>
      </c>
      <c r="Q441" s="28">
        <f>SUMIFS(Positivação!O:O,Positivação!$I:$I,Faturamento!$J441,Positivação!$G:$G,Faturamento!$H441)*SUMIFS(Positivação!$Z:$Z,Positivação!$I:$I,Faturamento!$J441,Positivação!$G:$G,Faturamento!$H441)</f>
        <v>1200</v>
      </c>
      <c r="R441" s="28">
        <f>SUMIFS(Positivação!P:P,Positivação!$I:$I,Faturamento!$J441,Positivação!$G:$G,Faturamento!$H441)*SUMIFS(Positivação!$Z:$Z,Positivação!$I:$I,Faturamento!$J441,Positivação!$G:$G,Faturamento!$H441)</f>
        <v>1200</v>
      </c>
      <c r="S441" s="28">
        <f>SUMIFS(Positivação!Q:Q,Positivação!$I:$I,Faturamento!$J441,Positivação!$G:$G,Faturamento!$H441)*SUMIFS(Positivação!$Z:$Z,Positivação!$I:$I,Faturamento!$J441,Positivação!$G:$G,Faturamento!$H441)</f>
        <v>1200</v>
      </c>
      <c r="T441" s="28">
        <f>SUMIFS(Positivação!R:R,Positivação!$I:$I,Faturamento!$J441,Positivação!$G:$G,Faturamento!$H441)*SUMIFS(Positivação!$Z:$Z,Positivação!$I:$I,Faturamento!$J441,Positivação!$G:$G,Faturamento!$H441)</f>
        <v>1200</v>
      </c>
      <c r="U441" s="28">
        <f>SUMIFS(Positivação!S:S,Positivação!$I:$I,Faturamento!$J441,Positivação!$G:$G,Faturamento!$H441)*SUMIFS(Positivação!$Z:$Z,Positivação!$I:$I,Faturamento!$J441,Positivação!$G:$G,Faturamento!$H441)</f>
        <v>1200</v>
      </c>
      <c r="V441" s="28">
        <f>SUMIFS(Positivação!T:T,Positivação!$I:$I,Faturamento!$J441,Positivação!$G:$G,Faturamento!$H441)*SUMIFS(Positivação!$Z:$Z,Positivação!$I:$I,Faturamento!$J441,Positivação!$G:$G,Faturamento!$H441)</f>
        <v>1200</v>
      </c>
      <c r="W441" s="28">
        <f>SUMIFS(Positivação!U:U,Positivação!$I:$I,Faturamento!$J441,Positivação!$G:$G,Faturamento!$H441)*SUMIFS(Positivação!$Z:$Z,Positivação!$I:$I,Faturamento!$J441,Positivação!$G:$G,Faturamento!$H441)</f>
        <v>1200</v>
      </c>
      <c r="X441" s="28">
        <f>SUMIFS(Positivação!V:V,Positivação!$I:$I,Faturamento!$J441,Positivação!$G:$G,Faturamento!$H441)*SUMIFS(Positivação!$Z:$Z,Positivação!$I:$I,Faturamento!$J441,Positivação!$G:$G,Faturamento!$H441)</f>
        <v>1200</v>
      </c>
      <c r="Y441" s="28">
        <f>SUMIFS(Positivação!W:W,Positivação!$I:$I,Faturamento!$J441,Positivação!$G:$G,Faturamento!$H441)*SUMIFS(Positivação!$Z:$Z,Positivação!$I:$I,Faturamento!$J441,Positivação!$G:$G,Faturamento!$H441)</f>
        <v>1200</v>
      </c>
      <c r="Z441" s="28">
        <f t="shared" ref="Z441" si="108">SUM(Z442:Z459)</f>
        <v>14400</v>
      </c>
      <c r="AA441" s="29"/>
      <c r="AB441" s="28">
        <f t="shared" ref="AB441:AE441" si="109">SUM(AB442:AB459)</f>
        <v>183.81916666666669</v>
      </c>
      <c r="AC441" s="28">
        <f t="shared" si="109"/>
        <v>46.633333333333333</v>
      </c>
      <c r="AD441" s="28">
        <f t="shared" si="109"/>
        <v>93.266666666666666</v>
      </c>
      <c r="AE441" s="28">
        <f t="shared" si="109"/>
        <v>55.96</v>
      </c>
      <c r="AG441" s="24">
        <f t="shared" si="105"/>
        <v>0.84681736111111117</v>
      </c>
      <c r="AH441" s="24">
        <f t="shared" si="106"/>
        <v>0.96113888888888876</v>
      </c>
      <c r="AI441" s="24">
        <f t="shared" si="107"/>
        <v>0.92227777777777775</v>
      </c>
    </row>
    <row r="442" spans="1:35" hidden="1" x14ac:dyDescent="0.3">
      <c r="A442" s="2" t="str">
        <f t="shared" si="104"/>
        <v>NÃO</v>
      </c>
      <c r="B442" s="2">
        <v>1000184670</v>
      </c>
      <c r="C442" s="2" t="s">
        <v>147</v>
      </c>
      <c r="D442" s="4">
        <v>1000186197</v>
      </c>
      <c r="E442" s="4" t="s">
        <v>166</v>
      </c>
      <c r="F442" s="2">
        <v>1000184757</v>
      </c>
      <c r="G442" s="2" t="s">
        <v>62</v>
      </c>
      <c r="H442" s="4">
        <v>1000189768</v>
      </c>
      <c r="I442" s="4" t="s">
        <v>88</v>
      </c>
      <c r="J442" s="2">
        <v>1000189270</v>
      </c>
      <c r="K442" s="2" t="s">
        <v>34</v>
      </c>
      <c r="L442" s="4" t="s">
        <v>13</v>
      </c>
      <c r="M442" s="4" t="str">
        <f t="shared" si="97"/>
        <v>1000184670100018619710001897681000189270BISCOITO</v>
      </c>
      <c r="N442" s="28">
        <f>N441*_xlfn.XLOOKUP($L442,'Balizador da Meta'!$B$4:$B$21,'Balizador da Meta'!$C$4:$C$21)</f>
        <v>84.000000000000014</v>
      </c>
      <c r="O442" s="28">
        <f>O441*_xlfn.XLOOKUP($L442,'Balizador da Meta'!$B$4:$B$21,'Balizador da Meta'!$C$4:$C$21)</f>
        <v>84.000000000000014</v>
      </c>
      <c r="P442" s="28">
        <f>P441*_xlfn.XLOOKUP($L442,'Balizador da Meta'!$B$4:$B$21,'Balizador da Meta'!$C$4:$C$21)</f>
        <v>84.000000000000014</v>
      </c>
      <c r="Q442" s="28">
        <f>Q441*_xlfn.XLOOKUP($L442,'Balizador da Meta'!$B$4:$B$21,'Balizador da Meta'!$C$4:$C$21)</f>
        <v>84.000000000000014</v>
      </c>
      <c r="R442" s="28">
        <f>R441*_xlfn.XLOOKUP($L442,'Balizador da Meta'!$B$4:$B$21,'Balizador da Meta'!$C$4:$C$21)</f>
        <v>84.000000000000014</v>
      </c>
      <c r="S442" s="28">
        <f>S441*_xlfn.XLOOKUP($L442,'Balizador da Meta'!$B$4:$B$21,'Balizador da Meta'!$C$4:$C$21)</f>
        <v>84.000000000000014</v>
      </c>
      <c r="T442" s="28">
        <f>T441*_xlfn.XLOOKUP($L442,'Balizador da Meta'!$B$4:$B$21,'Balizador da Meta'!$C$4:$C$21)</f>
        <v>84.000000000000014</v>
      </c>
      <c r="U442" s="28">
        <f>U441*_xlfn.XLOOKUP($L442,'Balizador da Meta'!$B$4:$B$21,'Balizador da Meta'!$C$4:$C$21)</f>
        <v>84.000000000000014</v>
      </c>
      <c r="V442" s="28">
        <f>V441*_xlfn.XLOOKUP($L442,'Balizador da Meta'!$B$4:$B$21,'Balizador da Meta'!$C$4:$C$21)</f>
        <v>84.000000000000014</v>
      </c>
      <c r="W442" s="28">
        <f>W441*_xlfn.XLOOKUP($L442,'Balizador da Meta'!$B$4:$B$21,'Balizador da Meta'!$C$4:$C$21)</f>
        <v>84.000000000000014</v>
      </c>
      <c r="X442" s="28">
        <f>X441*_xlfn.XLOOKUP($L442,'Balizador da Meta'!$B$4:$B$21,'Balizador da Meta'!$C$4:$C$21)</f>
        <v>84.000000000000014</v>
      </c>
      <c r="Y442" s="28">
        <f>Y441*_xlfn.XLOOKUP($L442,'Balizador da Meta'!$B$4:$B$21,'Balizador da Meta'!$C$4:$C$21)</f>
        <v>84.000000000000014</v>
      </c>
      <c r="Z442" s="30">
        <f t="shared" ref="Z442:Z459" si="110">SUM(N442:Y442)</f>
        <v>1008.0000000000001</v>
      </c>
      <c r="AA442" s="29"/>
      <c r="AB442" s="31">
        <f>SUMIFS('Historico - FAT'!AK:AK,'Historico - FAT'!$K:$K,Faturamento!$L442,'Historico - FAT'!$I:$I,Faturamento!$J442,'Historico - FAT'!$G:$G,Faturamento!$H442)</f>
        <v>15.299999999999999</v>
      </c>
      <c r="AC442" s="31">
        <f>SUMIFS('Historico - FAT'!AL:AL,'Historico - FAT'!$K:$K,Faturamento!$L442,'Historico - FAT'!$I:$I,Faturamento!$J442,'Historico - FAT'!$G:$G,Faturamento!$H442)</f>
        <v>0</v>
      </c>
      <c r="AD442" s="31">
        <f>SUMIFS('Historico - FAT'!AM:AM,'Historico - FAT'!$K:$K,Faturamento!$L442,'Historico - FAT'!$I:$I,Faturamento!$J442,'Historico - FAT'!$G:$G,Faturamento!$H442)</f>
        <v>0</v>
      </c>
      <c r="AE442" s="27">
        <f>SUMIFS('Historico - FAT'!AN:AN,'Historico - FAT'!$K:$K,Faturamento!$L442,'Historico - FAT'!$I:$I,Faturamento!$J442,'Historico - FAT'!$G:$G,Faturamento!$H442)</f>
        <v>0</v>
      </c>
      <c r="AG442" s="24">
        <f t="shared" si="105"/>
        <v>0.81785714285714295</v>
      </c>
      <c r="AH442" s="24">
        <f t="shared" si="106"/>
        <v>1</v>
      </c>
      <c r="AI442" s="24">
        <f t="shared" si="107"/>
        <v>1</v>
      </c>
    </row>
    <row r="443" spans="1:35" hidden="1" x14ac:dyDescent="0.3">
      <c r="A443" s="2" t="str">
        <f t="shared" si="104"/>
        <v>NÃO</v>
      </c>
      <c r="B443" s="2">
        <v>1000184670</v>
      </c>
      <c r="C443" s="2" t="s">
        <v>147</v>
      </c>
      <c r="D443" s="4">
        <v>1000186197</v>
      </c>
      <c r="E443" s="4" t="s">
        <v>166</v>
      </c>
      <c r="F443" s="2">
        <v>1000184757</v>
      </c>
      <c r="G443" s="2" t="s">
        <v>62</v>
      </c>
      <c r="H443" s="4">
        <v>1000189768</v>
      </c>
      <c r="I443" s="4" t="s">
        <v>88</v>
      </c>
      <c r="J443" s="2">
        <v>1000189270</v>
      </c>
      <c r="K443" s="2" t="s">
        <v>34</v>
      </c>
      <c r="L443" s="4" t="s">
        <v>14</v>
      </c>
      <c r="M443" s="4" t="str">
        <f t="shared" si="97"/>
        <v>1000184670100018619710001897681000189270CHOCOLATES</v>
      </c>
      <c r="N443" s="28">
        <f>N441*_xlfn.XLOOKUP($L443,'Balizador da Meta'!$B$4:$B$21,'Balizador da Meta'!$C$4:$C$21)</f>
        <v>84.000000000000014</v>
      </c>
      <c r="O443" s="28">
        <f>O441*_xlfn.XLOOKUP($L443,'Balizador da Meta'!$B$4:$B$21,'Balizador da Meta'!$C$4:$C$21)</f>
        <v>84.000000000000014</v>
      </c>
      <c r="P443" s="28">
        <f>P441*_xlfn.XLOOKUP($L443,'Balizador da Meta'!$B$4:$B$21,'Balizador da Meta'!$C$4:$C$21)</f>
        <v>84.000000000000014</v>
      </c>
      <c r="Q443" s="28">
        <f>Q441*_xlfn.XLOOKUP($L443,'Balizador da Meta'!$B$4:$B$21,'Balizador da Meta'!$C$4:$C$21)</f>
        <v>84.000000000000014</v>
      </c>
      <c r="R443" s="28">
        <f>R441*_xlfn.XLOOKUP($L443,'Balizador da Meta'!$B$4:$B$21,'Balizador da Meta'!$C$4:$C$21)</f>
        <v>84.000000000000014</v>
      </c>
      <c r="S443" s="28">
        <f>S441*_xlfn.XLOOKUP($L443,'Balizador da Meta'!$B$4:$B$21,'Balizador da Meta'!$C$4:$C$21)</f>
        <v>84.000000000000014</v>
      </c>
      <c r="T443" s="28">
        <f>T441*_xlfn.XLOOKUP($L443,'Balizador da Meta'!$B$4:$B$21,'Balizador da Meta'!$C$4:$C$21)</f>
        <v>84.000000000000014</v>
      </c>
      <c r="U443" s="28">
        <f>U441*_xlfn.XLOOKUP($L443,'Balizador da Meta'!$B$4:$B$21,'Balizador da Meta'!$C$4:$C$21)</f>
        <v>84.000000000000014</v>
      </c>
      <c r="V443" s="28">
        <f>V441*_xlfn.XLOOKUP($L443,'Balizador da Meta'!$B$4:$B$21,'Balizador da Meta'!$C$4:$C$21)</f>
        <v>84.000000000000014</v>
      </c>
      <c r="W443" s="28">
        <f>W441*_xlfn.XLOOKUP($L443,'Balizador da Meta'!$B$4:$B$21,'Balizador da Meta'!$C$4:$C$21)</f>
        <v>84.000000000000014</v>
      </c>
      <c r="X443" s="28">
        <f>X441*_xlfn.XLOOKUP($L443,'Balizador da Meta'!$B$4:$B$21,'Balizador da Meta'!$C$4:$C$21)</f>
        <v>84.000000000000014</v>
      </c>
      <c r="Y443" s="28">
        <f>Y441*_xlfn.XLOOKUP($L443,'Balizador da Meta'!$B$4:$B$21,'Balizador da Meta'!$C$4:$C$21)</f>
        <v>84.000000000000014</v>
      </c>
      <c r="Z443" s="30">
        <f t="shared" si="110"/>
        <v>1008.0000000000001</v>
      </c>
      <c r="AA443" s="29"/>
      <c r="AB443" s="31">
        <f>SUMIFS('Historico - FAT'!AK:AK,'Historico - FAT'!$K:$K,Faturamento!$L443,'Historico - FAT'!$I:$I,Faturamento!$J443,'Historico - FAT'!$G:$G,Faturamento!$H443)</f>
        <v>0</v>
      </c>
      <c r="AC443" s="31">
        <f>SUMIFS('Historico - FAT'!AL:AL,'Historico - FAT'!$K:$K,Faturamento!$L443,'Historico - FAT'!$I:$I,Faturamento!$J443,'Historico - FAT'!$G:$G,Faturamento!$H443)</f>
        <v>0</v>
      </c>
      <c r="AD443" s="31">
        <f>SUMIFS('Historico - FAT'!AM:AM,'Historico - FAT'!$K:$K,Faturamento!$L443,'Historico - FAT'!$I:$I,Faturamento!$J443,'Historico - FAT'!$G:$G,Faturamento!$H443)</f>
        <v>0</v>
      </c>
      <c r="AE443" s="27">
        <f>SUMIFS('Historico - FAT'!AN:AN,'Historico - FAT'!$K:$K,Faturamento!$L443,'Historico - FAT'!$I:$I,Faturamento!$J443,'Historico - FAT'!$G:$G,Faturamento!$H443)</f>
        <v>0</v>
      </c>
      <c r="AG443" s="24">
        <f t="shared" si="105"/>
        <v>1</v>
      </c>
      <c r="AH443" s="24">
        <f t="shared" si="106"/>
        <v>1</v>
      </c>
      <c r="AI443" s="24">
        <f t="shared" si="107"/>
        <v>1</v>
      </c>
    </row>
    <row r="444" spans="1:35" hidden="1" x14ac:dyDescent="0.3">
      <c r="A444" s="2" t="str">
        <f t="shared" si="104"/>
        <v>NÃO</v>
      </c>
      <c r="B444" s="2">
        <v>1000184670</v>
      </c>
      <c r="C444" s="2" t="s">
        <v>147</v>
      </c>
      <c r="D444" s="4">
        <v>1000186197</v>
      </c>
      <c r="E444" s="4" t="s">
        <v>166</v>
      </c>
      <c r="F444" s="2">
        <v>1000184757</v>
      </c>
      <c r="G444" s="2" t="s">
        <v>62</v>
      </c>
      <c r="H444" s="4">
        <v>1000189768</v>
      </c>
      <c r="I444" s="4" t="s">
        <v>88</v>
      </c>
      <c r="J444" s="2">
        <v>1000189270</v>
      </c>
      <c r="K444" s="2" t="s">
        <v>34</v>
      </c>
      <c r="L444" s="4" t="s">
        <v>16</v>
      </c>
      <c r="M444" s="4" t="str">
        <f t="shared" si="97"/>
        <v>1000184670100018619710001897681000189270DISNEY</v>
      </c>
      <c r="N444" s="28">
        <f>N441*_xlfn.XLOOKUP($L444,'Balizador da Meta'!$B$4:$B$21,'Balizador da Meta'!$C$4:$C$21)</f>
        <v>96</v>
      </c>
      <c r="O444" s="28">
        <f>O441*_xlfn.XLOOKUP($L444,'Balizador da Meta'!$B$4:$B$21,'Balizador da Meta'!$C$4:$C$21)</f>
        <v>96</v>
      </c>
      <c r="P444" s="28">
        <f>P441*_xlfn.XLOOKUP($L444,'Balizador da Meta'!$B$4:$B$21,'Balizador da Meta'!$C$4:$C$21)</f>
        <v>96</v>
      </c>
      <c r="Q444" s="28">
        <f>Q441*_xlfn.XLOOKUP($L444,'Balizador da Meta'!$B$4:$B$21,'Balizador da Meta'!$C$4:$C$21)</f>
        <v>96</v>
      </c>
      <c r="R444" s="28">
        <f>R441*_xlfn.XLOOKUP($L444,'Balizador da Meta'!$B$4:$B$21,'Balizador da Meta'!$C$4:$C$21)</f>
        <v>96</v>
      </c>
      <c r="S444" s="28">
        <f>S441*_xlfn.XLOOKUP($L444,'Balizador da Meta'!$B$4:$B$21,'Balizador da Meta'!$C$4:$C$21)</f>
        <v>96</v>
      </c>
      <c r="T444" s="28">
        <f>T441*_xlfn.XLOOKUP($L444,'Balizador da Meta'!$B$4:$B$21,'Balizador da Meta'!$C$4:$C$21)</f>
        <v>96</v>
      </c>
      <c r="U444" s="28">
        <f>U441*_xlfn.XLOOKUP($L444,'Balizador da Meta'!$B$4:$B$21,'Balizador da Meta'!$C$4:$C$21)</f>
        <v>96</v>
      </c>
      <c r="V444" s="28">
        <f>V441*_xlfn.XLOOKUP($L444,'Balizador da Meta'!$B$4:$B$21,'Balizador da Meta'!$C$4:$C$21)</f>
        <v>96</v>
      </c>
      <c r="W444" s="28">
        <f>W441*_xlfn.XLOOKUP($L444,'Balizador da Meta'!$B$4:$B$21,'Balizador da Meta'!$C$4:$C$21)</f>
        <v>96</v>
      </c>
      <c r="X444" s="28">
        <f>X441*_xlfn.XLOOKUP($L444,'Balizador da Meta'!$B$4:$B$21,'Balizador da Meta'!$C$4:$C$21)</f>
        <v>96</v>
      </c>
      <c r="Y444" s="28">
        <f>Y441*_xlfn.XLOOKUP($L444,'Balizador da Meta'!$B$4:$B$21,'Balizador da Meta'!$C$4:$C$21)</f>
        <v>96</v>
      </c>
      <c r="Z444" s="30">
        <f t="shared" si="110"/>
        <v>1152</v>
      </c>
      <c r="AA444" s="29"/>
      <c r="AB444" s="31">
        <f>SUMIFS('Historico - FAT'!AK:AK,'Historico - FAT'!$K:$K,Faturamento!$L444,'Historico - FAT'!$I:$I,Faturamento!$J444,'Historico - FAT'!$G:$G,Faturamento!$H444)</f>
        <v>0</v>
      </c>
      <c r="AC444" s="31">
        <f>SUMIFS('Historico - FAT'!AL:AL,'Historico - FAT'!$K:$K,Faturamento!$L444,'Historico - FAT'!$I:$I,Faturamento!$J444,'Historico - FAT'!$G:$G,Faturamento!$H444)</f>
        <v>0</v>
      </c>
      <c r="AD444" s="31">
        <f>SUMIFS('Historico - FAT'!AM:AM,'Historico - FAT'!$K:$K,Faturamento!$L444,'Historico - FAT'!$I:$I,Faturamento!$J444,'Historico - FAT'!$G:$G,Faturamento!$H444)</f>
        <v>0</v>
      </c>
      <c r="AE444" s="27">
        <f>SUMIFS('Historico - FAT'!AN:AN,'Historico - FAT'!$K:$K,Faturamento!$L444,'Historico - FAT'!$I:$I,Faturamento!$J444,'Historico - FAT'!$G:$G,Faturamento!$H444)</f>
        <v>0</v>
      </c>
      <c r="AG444" s="24">
        <f t="shared" si="105"/>
        <v>1</v>
      </c>
      <c r="AH444" s="24">
        <f t="shared" si="106"/>
        <v>1</v>
      </c>
      <c r="AI444" s="24">
        <f t="shared" si="107"/>
        <v>1</v>
      </c>
    </row>
    <row r="445" spans="1:35" hidden="1" x14ac:dyDescent="0.3">
      <c r="A445" s="2" t="str">
        <f t="shared" si="104"/>
        <v>NÃO</v>
      </c>
      <c r="B445" s="2">
        <v>1000184670</v>
      </c>
      <c r="C445" s="2" t="s">
        <v>147</v>
      </c>
      <c r="D445" s="4">
        <v>1000186197</v>
      </c>
      <c r="E445" s="4" t="s">
        <v>166</v>
      </c>
      <c r="F445" s="2">
        <v>1000184757</v>
      </c>
      <c r="G445" s="2" t="s">
        <v>62</v>
      </c>
      <c r="H445" s="4">
        <v>1000189768</v>
      </c>
      <c r="I445" s="4" t="s">
        <v>88</v>
      </c>
      <c r="J445" s="2">
        <v>1000189270</v>
      </c>
      <c r="K445" s="2" t="s">
        <v>34</v>
      </c>
      <c r="L445" s="4" t="s">
        <v>15</v>
      </c>
      <c r="M445" s="4" t="str">
        <f t="shared" si="97"/>
        <v>1000184670100018619710001897681000189270DOCES</v>
      </c>
      <c r="N445" s="28">
        <f>N441*_xlfn.XLOOKUP($L445,'Balizador da Meta'!$B$4:$B$21,'Balizador da Meta'!$C$4:$C$21)</f>
        <v>108</v>
      </c>
      <c r="O445" s="28">
        <f>O441*_xlfn.XLOOKUP($L445,'Balizador da Meta'!$B$4:$B$21,'Balizador da Meta'!$C$4:$C$21)</f>
        <v>108</v>
      </c>
      <c r="P445" s="28">
        <f>P441*_xlfn.XLOOKUP($L445,'Balizador da Meta'!$B$4:$B$21,'Balizador da Meta'!$C$4:$C$21)</f>
        <v>108</v>
      </c>
      <c r="Q445" s="28">
        <f>Q441*_xlfn.XLOOKUP($L445,'Balizador da Meta'!$B$4:$B$21,'Balizador da Meta'!$C$4:$C$21)</f>
        <v>108</v>
      </c>
      <c r="R445" s="28">
        <f>R441*_xlfn.XLOOKUP($L445,'Balizador da Meta'!$B$4:$B$21,'Balizador da Meta'!$C$4:$C$21)</f>
        <v>108</v>
      </c>
      <c r="S445" s="28">
        <f>S441*_xlfn.XLOOKUP($L445,'Balizador da Meta'!$B$4:$B$21,'Balizador da Meta'!$C$4:$C$21)</f>
        <v>108</v>
      </c>
      <c r="T445" s="28">
        <f>T441*_xlfn.XLOOKUP($L445,'Balizador da Meta'!$B$4:$B$21,'Balizador da Meta'!$C$4:$C$21)</f>
        <v>108</v>
      </c>
      <c r="U445" s="28">
        <f>U441*_xlfn.XLOOKUP($L445,'Balizador da Meta'!$B$4:$B$21,'Balizador da Meta'!$C$4:$C$21)</f>
        <v>108</v>
      </c>
      <c r="V445" s="28">
        <f>V441*_xlfn.XLOOKUP($L445,'Balizador da Meta'!$B$4:$B$21,'Balizador da Meta'!$C$4:$C$21)</f>
        <v>108</v>
      </c>
      <c r="W445" s="28">
        <f>W441*_xlfn.XLOOKUP($L445,'Balizador da Meta'!$B$4:$B$21,'Balizador da Meta'!$C$4:$C$21)</f>
        <v>108</v>
      </c>
      <c r="X445" s="28">
        <f>X441*_xlfn.XLOOKUP($L445,'Balizador da Meta'!$B$4:$B$21,'Balizador da Meta'!$C$4:$C$21)</f>
        <v>108</v>
      </c>
      <c r="Y445" s="28">
        <f>Y441*_xlfn.XLOOKUP($L445,'Balizador da Meta'!$B$4:$B$21,'Balizador da Meta'!$C$4:$C$21)</f>
        <v>108</v>
      </c>
      <c r="Z445" s="30">
        <f t="shared" si="110"/>
        <v>1296</v>
      </c>
      <c r="AA445" s="29"/>
      <c r="AB445" s="31">
        <f>SUMIFS('Historico - FAT'!AK:AK,'Historico - FAT'!$K:$K,Faturamento!$L445,'Historico - FAT'!$I:$I,Faturamento!$J445,'Historico - FAT'!$G:$G,Faturamento!$H445)</f>
        <v>39.534166666666671</v>
      </c>
      <c r="AC445" s="31">
        <f>SUMIFS('Historico - FAT'!AL:AL,'Historico - FAT'!$K:$K,Faturamento!$L445,'Historico - FAT'!$I:$I,Faturamento!$J445,'Historico - FAT'!$G:$G,Faturamento!$H445)</f>
        <v>0</v>
      </c>
      <c r="AD445" s="31">
        <f>SUMIFS('Historico - FAT'!AM:AM,'Historico - FAT'!$K:$K,Faturamento!$L445,'Historico - FAT'!$I:$I,Faturamento!$J445,'Historico - FAT'!$G:$G,Faturamento!$H445)</f>
        <v>0</v>
      </c>
      <c r="AE445" s="27">
        <f>SUMIFS('Historico - FAT'!AN:AN,'Historico - FAT'!$K:$K,Faturamento!$L445,'Historico - FAT'!$I:$I,Faturamento!$J445,'Historico - FAT'!$G:$G,Faturamento!$H445)</f>
        <v>0</v>
      </c>
      <c r="AG445" s="24">
        <f t="shared" si="105"/>
        <v>0.63394290123456798</v>
      </c>
      <c r="AH445" s="24">
        <f t="shared" si="106"/>
        <v>1</v>
      </c>
      <c r="AI445" s="24">
        <f t="shared" si="107"/>
        <v>1</v>
      </c>
    </row>
    <row r="446" spans="1:35" hidden="1" x14ac:dyDescent="0.3">
      <c r="A446" s="2" t="str">
        <f t="shared" si="104"/>
        <v>NÃO</v>
      </c>
      <c r="B446" s="2">
        <v>1000184670</v>
      </c>
      <c r="C446" s="2" t="s">
        <v>147</v>
      </c>
      <c r="D446" s="4">
        <v>1000186197</v>
      </c>
      <c r="E446" s="4" t="s">
        <v>166</v>
      </c>
      <c r="F446" s="2">
        <v>1000184757</v>
      </c>
      <c r="G446" s="2" t="s">
        <v>62</v>
      </c>
      <c r="H446" s="4">
        <v>1000189768</v>
      </c>
      <c r="I446" s="4" t="s">
        <v>88</v>
      </c>
      <c r="J446" s="2">
        <v>1000189270</v>
      </c>
      <c r="K446" s="2" t="s">
        <v>34</v>
      </c>
      <c r="L446" s="4" t="s">
        <v>33</v>
      </c>
      <c r="M446" s="4" t="str">
        <f t="shared" si="97"/>
        <v>1000184670100018619710001897681000189270FOOD SERVICE</v>
      </c>
      <c r="N446" s="28">
        <f>N441*_xlfn.XLOOKUP($L446,'Balizador da Meta'!$B$4:$B$21,'Balizador da Meta'!$C$4:$C$21)</f>
        <v>0</v>
      </c>
      <c r="O446" s="28">
        <f>O441*_xlfn.XLOOKUP($L446,'Balizador da Meta'!$B$4:$B$21,'Balizador da Meta'!$C$4:$C$21)</f>
        <v>0</v>
      </c>
      <c r="P446" s="28">
        <f>P441*_xlfn.XLOOKUP($L446,'Balizador da Meta'!$B$4:$B$21,'Balizador da Meta'!$C$4:$C$21)</f>
        <v>0</v>
      </c>
      <c r="Q446" s="28">
        <f>Q441*_xlfn.XLOOKUP($L446,'Balizador da Meta'!$B$4:$B$21,'Balizador da Meta'!$C$4:$C$21)</f>
        <v>0</v>
      </c>
      <c r="R446" s="28">
        <f>R441*_xlfn.XLOOKUP($L446,'Balizador da Meta'!$B$4:$B$21,'Balizador da Meta'!$C$4:$C$21)</f>
        <v>0</v>
      </c>
      <c r="S446" s="28">
        <f>S441*_xlfn.XLOOKUP($L446,'Balizador da Meta'!$B$4:$B$21,'Balizador da Meta'!$C$4:$C$21)</f>
        <v>0</v>
      </c>
      <c r="T446" s="28">
        <f>T441*_xlfn.XLOOKUP($L446,'Balizador da Meta'!$B$4:$B$21,'Balizador da Meta'!$C$4:$C$21)</f>
        <v>0</v>
      </c>
      <c r="U446" s="28">
        <f>U441*_xlfn.XLOOKUP($L446,'Balizador da Meta'!$B$4:$B$21,'Balizador da Meta'!$C$4:$C$21)</f>
        <v>0</v>
      </c>
      <c r="V446" s="28">
        <f>V441*_xlfn.XLOOKUP($L446,'Balizador da Meta'!$B$4:$B$21,'Balizador da Meta'!$C$4:$C$21)</f>
        <v>0</v>
      </c>
      <c r="W446" s="28">
        <f>W441*_xlfn.XLOOKUP($L446,'Balizador da Meta'!$B$4:$B$21,'Balizador da Meta'!$C$4:$C$21)</f>
        <v>0</v>
      </c>
      <c r="X446" s="28">
        <f>X441*_xlfn.XLOOKUP($L446,'Balizador da Meta'!$B$4:$B$21,'Balizador da Meta'!$C$4:$C$21)</f>
        <v>0</v>
      </c>
      <c r="Y446" s="28">
        <f>Y441*_xlfn.XLOOKUP($L446,'Balizador da Meta'!$B$4:$B$21,'Balizador da Meta'!$C$4:$C$21)</f>
        <v>0</v>
      </c>
      <c r="Z446" s="30">
        <f t="shared" si="110"/>
        <v>0</v>
      </c>
      <c r="AA446" s="29"/>
      <c r="AB446" s="31">
        <f>SUMIFS('Historico - FAT'!AK:AK,'Historico - FAT'!$K:$K,Faturamento!$L446,'Historico - FAT'!$I:$I,Faturamento!$J446,'Historico - FAT'!$G:$G,Faturamento!$H446)</f>
        <v>0</v>
      </c>
      <c r="AC446" s="31">
        <f>SUMIFS('Historico - FAT'!AL:AL,'Historico - FAT'!$K:$K,Faturamento!$L446,'Historico - FAT'!$I:$I,Faturamento!$J446,'Historico - FAT'!$G:$G,Faturamento!$H446)</f>
        <v>46.633333333333333</v>
      </c>
      <c r="AD446" s="31">
        <f>SUMIFS('Historico - FAT'!AM:AM,'Historico - FAT'!$K:$K,Faturamento!$L446,'Historico - FAT'!$I:$I,Faturamento!$J446,'Historico - FAT'!$G:$G,Faturamento!$H446)</f>
        <v>93.266666666666666</v>
      </c>
      <c r="AE446" s="27">
        <f>SUMIFS('Historico - FAT'!AN:AN,'Historico - FAT'!$K:$K,Faturamento!$L446,'Historico - FAT'!$I:$I,Faturamento!$J446,'Historico - FAT'!$G:$G,Faturamento!$H446)</f>
        <v>55.96</v>
      </c>
      <c r="AG446" s="24" t="str">
        <f t="shared" si="105"/>
        <v/>
      </c>
      <c r="AH446" s="24" t="str">
        <f t="shared" si="106"/>
        <v/>
      </c>
      <c r="AI446" s="24" t="str">
        <f t="shared" si="107"/>
        <v/>
      </c>
    </row>
    <row r="447" spans="1:35" hidden="1" x14ac:dyDescent="0.3">
      <c r="A447" s="2" t="str">
        <f t="shared" si="104"/>
        <v>NÃO</v>
      </c>
      <c r="B447" s="2">
        <v>1000184670</v>
      </c>
      <c r="C447" s="2" t="s">
        <v>147</v>
      </c>
      <c r="D447" s="4">
        <v>1000186197</v>
      </c>
      <c r="E447" s="4" t="s">
        <v>166</v>
      </c>
      <c r="F447" s="2">
        <v>1000184757</v>
      </c>
      <c r="G447" s="2" t="s">
        <v>62</v>
      </c>
      <c r="H447" s="4">
        <v>1000189768</v>
      </c>
      <c r="I447" s="4" t="s">
        <v>88</v>
      </c>
      <c r="J447" s="2">
        <v>1000189270</v>
      </c>
      <c r="K447" s="2" t="s">
        <v>34</v>
      </c>
      <c r="L447" s="4" t="s">
        <v>19</v>
      </c>
      <c r="M447" s="4" t="str">
        <f t="shared" si="97"/>
        <v>1000184670100018619710001897681000189270GELEIA</v>
      </c>
      <c r="N447" s="28">
        <f>N441*_xlfn.XLOOKUP($L447,'Balizador da Meta'!$B$4:$B$21,'Balizador da Meta'!$C$4:$C$21)</f>
        <v>23.999999999999996</v>
      </c>
      <c r="O447" s="28">
        <f>O441*_xlfn.XLOOKUP($L447,'Balizador da Meta'!$B$4:$B$21,'Balizador da Meta'!$C$4:$C$21)</f>
        <v>23.999999999999996</v>
      </c>
      <c r="P447" s="28">
        <f>P441*_xlfn.XLOOKUP($L447,'Balizador da Meta'!$B$4:$B$21,'Balizador da Meta'!$C$4:$C$21)</f>
        <v>23.999999999999996</v>
      </c>
      <c r="Q447" s="28">
        <f>Q441*_xlfn.XLOOKUP($L447,'Balizador da Meta'!$B$4:$B$21,'Balizador da Meta'!$C$4:$C$21)</f>
        <v>23.999999999999996</v>
      </c>
      <c r="R447" s="28">
        <f>R441*_xlfn.XLOOKUP($L447,'Balizador da Meta'!$B$4:$B$21,'Balizador da Meta'!$C$4:$C$21)</f>
        <v>23.999999999999996</v>
      </c>
      <c r="S447" s="28">
        <f>S441*_xlfn.XLOOKUP($L447,'Balizador da Meta'!$B$4:$B$21,'Balizador da Meta'!$C$4:$C$21)</f>
        <v>23.999999999999996</v>
      </c>
      <c r="T447" s="28">
        <f>T441*_xlfn.XLOOKUP($L447,'Balizador da Meta'!$B$4:$B$21,'Balizador da Meta'!$C$4:$C$21)</f>
        <v>23.999999999999996</v>
      </c>
      <c r="U447" s="28">
        <f>U441*_xlfn.XLOOKUP($L447,'Balizador da Meta'!$B$4:$B$21,'Balizador da Meta'!$C$4:$C$21)</f>
        <v>23.999999999999996</v>
      </c>
      <c r="V447" s="28">
        <f>V441*_xlfn.XLOOKUP($L447,'Balizador da Meta'!$B$4:$B$21,'Balizador da Meta'!$C$4:$C$21)</f>
        <v>23.999999999999996</v>
      </c>
      <c r="W447" s="28">
        <f>W441*_xlfn.XLOOKUP($L447,'Balizador da Meta'!$B$4:$B$21,'Balizador da Meta'!$C$4:$C$21)</f>
        <v>23.999999999999996</v>
      </c>
      <c r="X447" s="28">
        <f>X441*_xlfn.XLOOKUP($L447,'Balizador da Meta'!$B$4:$B$21,'Balizador da Meta'!$C$4:$C$21)</f>
        <v>23.999999999999996</v>
      </c>
      <c r="Y447" s="28">
        <f>Y441*_xlfn.XLOOKUP($L447,'Balizador da Meta'!$B$4:$B$21,'Balizador da Meta'!$C$4:$C$21)</f>
        <v>23.999999999999996</v>
      </c>
      <c r="Z447" s="30">
        <f t="shared" si="110"/>
        <v>287.99999999999994</v>
      </c>
      <c r="AA447" s="29"/>
      <c r="AB447" s="31">
        <f>SUMIFS('Historico - FAT'!AK:AK,'Historico - FAT'!$K:$K,Faturamento!$L447,'Historico - FAT'!$I:$I,Faturamento!$J447,'Historico - FAT'!$G:$G,Faturamento!$H447)</f>
        <v>0</v>
      </c>
      <c r="AC447" s="31">
        <f>SUMIFS('Historico - FAT'!AL:AL,'Historico - FAT'!$K:$K,Faturamento!$L447,'Historico - FAT'!$I:$I,Faturamento!$J447,'Historico - FAT'!$G:$G,Faturamento!$H447)</f>
        <v>0</v>
      </c>
      <c r="AD447" s="31">
        <f>SUMIFS('Historico - FAT'!AM:AM,'Historico - FAT'!$K:$K,Faturamento!$L447,'Historico - FAT'!$I:$I,Faturamento!$J447,'Historico - FAT'!$G:$G,Faturamento!$H447)</f>
        <v>0</v>
      </c>
      <c r="AE447" s="27">
        <f>SUMIFS('Historico - FAT'!AN:AN,'Historico - FAT'!$K:$K,Faturamento!$L447,'Historico - FAT'!$I:$I,Faturamento!$J447,'Historico - FAT'!$G:$G,Faturamento!$H447)</f>
        <v>0</v>
      </c>
      <c r="AG447" s="24">
        <f t="shared" si="105"/>
        <v>1</v>
      </c>
      <c r="AH447" s="24">
        <f t="shared" si="106"/>
        <v>1</v>
      </c>
      <c r="AI447" s="24">
        <f t="shared" si="107"/>
        <v>1</v>
      </c>
    </row>
    <row r="448" spans="1:35" hidden="1" x14ac:dyDescent="0.3">
      <c r="A448" s="2" t="str">
        <f t="shared" si="104"/>
        <v>NÃO</v>
      </c>
      <c r="B448" s="2">
        <v>1000184670</v>
      </c>
      <c r="C448" s="2" t="s">
        <v>147</v>
      </c>
      <c r="D448" s="4">
        <v>1000186197</v>
      </c>
      <c r="E448" s="4" t="s">
        <v>166</v>
      </c>
      <c r="F448" s="2">
        <v>1000184757</v>
      </c>
      <c r="G448" s="2" t="s">
        <v>62</v>
      </c>
      <c r="H448" s="4">
        <v>1000189768</v>
      </c>
      <c r="I448" s="4" t="s">
        <v>88</v>
      </c>
      <c r="J448" s="2">
        <v>1000189270</v>
      </c>
      <c r="K448" s="2" t="s">
        <v>34</v>
      </c>
      <c r="L448" s="4" t="s">
        <v>17</v>
      </c>
      <c r="M448" s="4" t="str">
        <f t="shared" si="97"/>
        <v>1000184670100018619710001897681000189270GRANOLA</v>
      </c>
      <c r="N448" s="28">
        <f>N441*_xlfn.XLOOKUP($L448,'Balizador da Meta'!$B$4:$B$21,'Balizador da Meta'!$C$4:$C$21)</f>
        <v>24</v>
      </c>
      <c r="O448" s="28">
        <f>O441*_xlfn.XLOOKUP($L448,'Balizador da Meta'!$B$4:$B$21,'Balizador da Meta'!$C$4:$C$21)</f>
        <v>24</v>
      </c>
      <c r="P448" s="28">
        <f>P441*_xlfn.XLOOKUP($L448,'Balizador da Meta'!$B$4:$B$21,'Balizador da Meta'!$C$4:$C$21)</f>
        <v>24</v>
      </c>
      <c r="Q448" s="28">
        <f>Q441*_xlfn.XLOOKUP($L448,'Balizador da Meta'!$B$4:$B$21,'Balizador da Meta'!$C$4:$C$21)</f>
        <v>24</v>
      </c>
      <c r="R448" s="28">
        <f>R441*_xlfn.XLOOKUP($L448,'Balizador da Meta'!$B$4:$B$21,'Balizador da Meta'!$C$4:$C$21)</f>
        <v>24</v>
      </c>
      <c r="S448" s="28">
        <f>S441*_xlfn.XLOOKUP($L448,'Balizador da Meta'!$B$4:$B$21,'Balizador da Meta'!$C$4:$C$21)</f>
        <v>24</v>
      </c>
      <c r="T448" s="28">
        <f>T441*_xlfn.XLOOKUP($L448,'Balizador da Meta'!$B$4:$B$21,'Balizador da Meta'!$C$4:$C$21)</f>
        <v>24</v>
      </c>
      <c r="U448" s="28">
        <f>U441*_xlfn.XLOOKUP($L448,'Balizador da Meta'!$B$4:$B$21,'Balizador da Meta'!$C$4:$C$21)</f>
        <v>24</v>
      </c>
      <c r="V448" s="28">
        <f>V441*_xlfn.XLOOKUP($L448,'Balizador da Meta'!$B$4:$B$21,'Balizador da Meta'!$C$4:$C$21)</f>
        <v>24</v>
      </c>
      <c r="W448" s="28">
        <f>W441*_xlfn.XLOOKUP($L448,'Balizador da Meta'!$B$4:$B$21,'Balizador da Meta'!$C$4:$C$21)</f>
        <v>24</v>
      </c>
      <c r="X448" s="28">
        <f>X441*_xlfn.XLOOKUP($L448,'Balizador da Meta'!$B$4:$B$21,'Balizador da Meta'!$C$4:$C$21)</f>
        <v>24</v>
      </c>
      <c r="Y448" s="28">
        <f>Y441*_xlfn.XLOOKUP($L448,'Balizador da Meta'!$B$4:$B$21,'Balizador da Meta'!$C$4:$C$21)</f>
        <v>24</v>
      </c>
      <c r="Z448" s="30">
        <f t="shared" si="110"/>
        <v>288</v>
      </c>
      <c r="AA448" s="29"/>
      <c r="AB448" s="31">
        <f>SUMIFS('Historico - FAT'!AK:AK,'Historico - FAT'!$K:$K,Faturamento!$L448,'Historico - FAT'!$I:$I,Faturamento!$J448,'Historico - FAT'!$G:$G,Faturamento!$H448)</f>
        <v>0</v>
      </c>
      <c r="AC448" s="31">
        <f>SUMIFS('Historico - FAT'!AL:AL,'Historico - FAT'!$K:$K,Faturamento!$L448,'Historico - FAT'!$I:$I,Faturamento!$J448,'Historico - FAT'!$G:$G,Faturamento!$H448)</f>
        <v>0</v>
      </c>
      <c r="AD448" s="31">
        <f>SUMIFS('Historico - FAT'!AM:AM,'Historico - FAT'!$K:$K,Faturamento!$L448,'Historico - FAT'!$I:$I,Faturamento!$J448,'Historico - FAT'!$G:$G,Faturamento!$H448)</f>
        <v>0</v>
      </c>
      <c r="AE448" s="27">
        <f>SUMIFS('Historico - FAT'!AN:AN,'Historico - FAT'!$K:$K,Faturamento!$L448,'Historico - FAT'!$I:$I,Faturamento!$J448,'Historico - FAT'!$G:$G,Faturamento!$H448)</f>
        <v>0</v>
      </c>
      <c r="AG448" s="24">
        <f t="shared" si="105"/>
        <v>1</v>
      </c>
      <c r="AH448" s="24">
        <f t="shared" si="106"/>
        <v>1</v>
      </c>
      <c r="AI448" s="24">
        <f t="shared" si="107"/>
        <v>1</v>
      </c>
    </row>
    <row r="449" spans="1:35" hidden="1" x14ac:dyDescent="0.3">
      <c r="A449" s="2" t="str">
        <f t="shared" si="104"/>
        <v>NÃO</v>
      </c>
      <c r="B449" s="2">
        <v>1000184670</v>
      </c>
      <c r="C449" s="2" t="s">
        <v>147</v>
      </c>
      <c r="D449" s="4">
        <v>1000186197</v>
      </c>
      <c r="E449" s="4" t="s">
        <v>166</v>
      </c>
      <c r="F449" s="2">
        <v>1000184757</v>
      </c>
      <c r="G449" s="2" t="s">
        <v>62</v>
      </c>
      <c r="H449" s="4">
        <v>1000189768</v>
      </c>
      <c r="I449" s="4" t="s">
        <v>88</v>
      </c>
      <c r="J449" s="2">
        <v>1000189270</v>
      </c>
      <c r="K449" s="2" t="s">
        <v>34</v>
      </c>
      <c r="L449" s="4" t="s">
        <v>24</v>
      </c>
      <c r="M449" s="4" t="str">
        <f t="shared" si="97"/>
        <v>1000184670100018619710001897681000189270KIDS</v>
      </c>
      <c r="N449" s="28">
        <f>N441*_xlfn.XLOOKUP($L449,'Balizador da Meta'!$B$4:$B$21,'Balizador da Meta'!$C$4:$C$21)</f>
        <v>0</v>
      </c>
      <c r="O449" s="28">
        <f>O441*_xlfn.XLOOKUP($L449,'Balizador da Meta'!$B$4:$B$21,'Balizador da Meta'!$C$4:$C$21)</f>
        <v>0</v>
      </c>
      <c r="P449" s="28">
        <f>P441*_xlfn.XLOOKUP($L449,'Balizador da Meta'!$B$4:$B$21,'Balizador da Meta'!$C$4:$C$21)</f>
        <v>0</v>
      </c>
      <c r="Q449" s="28">
        <f>Q441*_xlfn.XLOOKUP($L449,'Balizador da Meta'!$B$4:$B$21,'Balizador da Meta'!$C$4:$C$21)</f>
        <v>0</v>
      </c>
      <c r="R449" s="28">
        <f>R441*_xlfn.XLOOKUP($L449,'Balizador da Meta'!$B$4:$B$21,'Balizador da Meta'!$C$4:$C$21)</f>
        <v>0</v>
      </c>
      <c r="S449" s="28">
        <f>S441*_xlfn.XLOOKUP($L449,'Balizador da Meta'!$B$4:$B$21,'Balizador da Meta'!$C$4:$C$21)</f>
        <v>0</v>
      </c>
      <c r="T449" s="28">
        <f>T441*_xlfn.XLOOKUP($L449,'Balizador da Meta'!$B$4:$B$21,'Balizador da Meta'!$C$4:$C$21)</f>
        <v>0</v>
      </c>
      <c r="U449" s="28">
        <f>U441*_xlfn.XLOOKUP($L449,'Balizador da Meta'!$B$4:$B$21,'Balizador da Meta'!$C$4:$C$21)</f>
        <v>0</v>
      </c>
      <c r="V449" s="28">
        <f>V441*_xlfn.XLOOKUP($L449,'Balizador da Meta'!$B$4:$B$21,'Balizador da Meta'!$C$4:$C$21)</f>
        <v>0</v>
      </c>
      <c r="W449" s="28">
        <f>W441*_xlfn.XLOOKUP($L449,'Balizador da Meta'!$B$4:$B$21,'Balizador da Meta'!$C$4:$C$21)</f>
        <v>0</v>
      </c>
      <c r="X449" s="28">
        <f>X441*_xlfn.XLOOKUP($L449,'Balizador da Meta'!$B$4:$B$21,'Balizador da Meta'!$C$4:$C$21)</f>
        <v>0</v>
      </c>
      <c r="Y449" s="28">
        <f>Y441*_xlfn.XLOOKUP($L449,'Balizador da Meta'!$B$4:$B$21,'Balizador da Meta'!$C$4:$C$21)</f>
        <v>0</v>
      </c>
      <c r="Z449" s="30">
        <f t="shared" si="110"/>
        <v>0</v>
      </c>
      <c r="AA449" s="29"/>
      <c r="AB449" s="31">
        <f>SUMIFS('Historico - FAT'!AK:AK,'Historico - FAT'!$K:$K,Faturamento!$L449,'Historico - FAT'!$I:$I,Faturamento!$J449,'Historico - FAT'!$G:$G,Faturamento!$H449)</f>
        <v>0</v>
      </c>
      <c r="AC449" s="31">
        <f>SUMIFS('Historico - FAT'!AL:AL,'Historico - FAT'!$K:$K,Faturamento!$L449,'Historico - FAT'!$I:$I,Faturamento!$J449,'Historico - FAT'!$G:$G,Faturamento!$H449)</f>
        <v>0</v>
      </c>
      <c r="AD449" s="31">
        <f>SUMIFS('Historico - FAT'!AM:AM,'Historico - FAT'!$K:$K,Faturamento!$L449,'Historico - FAT'!$I:$I,Faturamento!$J449,'Historico - FAT'!$G:$G,Faturamento!$H449)</f>
        <v>0</v>
      </c>
      <c r="AE449" s="27">
        <f>SUMIFS('Historico - FAT'!AN:AN,'Historico - FAT'!$K:$K,Faturamento!$L449,'Historico - FAT'!$I:$I,Faturamento!$J449,'Historico - FAT'!$G:$G,Faturamento!$H449)</f>
        <v>0</v>
      </c>
      <c r="AG449" s="24" t="str">
        <f t="shared" si="105"/>
        <v/>
      </c>
      <c r="AH449" s="24" t="str">
        <f t="shared" si="106"/>
        <v/>
      </c>
      <c r="AI449" s="24" t="str">
        <f t="shared" si="107"/>
        <v/>
      </c>
    </row>
    <row r="450" spans="1:35" hidden="1" x14ac:dyDescent="0.3">
      <c r="A450" s="2" t="str">
        <f t="shared" si="104"/>
        <v>NÃO</v>
      </c>
      <c r="B450" s="2">
        <v>1000184670</v>
      </c>
      <c r="C450" s="2" t="s">
        <v>147</v>
      </c>
      <c r="D450" s="4">
        <v>1000186197</v>
      </c>
      <c r="E450" s="4" t="s">
        <v>166</v>
      </c>
      <c r="F450" s="2">
        <v>1000184757</v>
      </c>
      <c r="G450" s="2" t="s">
        <v>62</v>
      </c>
      <c r="H450" s="4">
        <v>1000189768</v>
      </c>
      <c r="I450" s="4" t="s">
        <v>88</v>
      </c>
      <c r="J450" s="2">
        <v>1000189270</v>
      </c>
      <c r="K450" s="2" t="s">
        <v>34</v>
      </c>
      <c r="L450" s="4" t="s">
        <v>18</v>
      </c>
      <c r="M450" s="4" t="str">
        <f t="shared" si="97"/>
        <v>1000184670100018619710001897681000189270LANCHES</v>
      </c>
      <c r="N450" s="28">
        <f>N441*_xlfn.XLOOKUP($L450,'Balizador da Meta'!$B$4:$B$21,'Balizador da Meta'!$C$4:$C$21)</f>
        <v>12</v>
      </c>
      <c r="O450" s="28">
        <f>O441*_xlfn.XLOOKUP($L450,'Balizador da Meta'!$B$4:$B$21,'Balizador da Meta'!$C$4:$C$21)</f>
        <v>12</v>
      </c>
      <c r="P450" s="28">
        <f>P441*_xlfn.XLOOKUP($L450,'Balizador da Meta'!$B$4:$B$21,'Balizador da Meta'!$C$4:$C$21)</f>
        <v>12</v>
      </c>
      <c r="Q450" s="28">
        <f>Q441*_xlfn.XLOOKUP($L450,'Balizador da Meta'!$B$4:$B$21,'Balizador da Meta'!$C$4:$C$21)</f>
        <v>12</v>
      </c>
      <c r="R450" s="28">
        <f>R441*_xlfn.XLOOKUP($L450,'Balizador da Meta'!$B$4:$B$21,'Balizador da Meta'!$C$4:$C$21)</f>
        <v>12</v>
      </c>
      <c r="S450" s="28">
        <f>S441*_xlfn.XLOOKUP($L450,'Balizador da Meta'!$B$4:$B$21,'Balizador da Meta'!$C$4:$C$21)</f>
        <v>12</v>
      </c>
      <c r="T450" s="28">
        <f>T441*_xlfn.XLOOKUP($L450,'Balizador da Meta'!$B$4:$B$21,'Balizador da Meta'!$C$4:$C$21)</f>
        <v>12</v>
      </c>
      <c r="U450" s="28">
        <f>U441*_xlfn.XLOOKUP($L450,'Balizador da Meta'!$B$4:$B$21,'Balizador da Meta'!$C$4:$C$21)</f>
        <v>12</v>
      </c>
      <c r="V450" s="28">
        <f>V441*_xlfn.XLOOKUP($L450,'Balizador da Meta'!$B$4:$B$21,'Balizador da Meta'!$C$4:$C$21)</f>
        <v>12</v>
      </c>
      <c r="W450" s="28">
        <f>W441*_xlfn.XLOOKUP($L450,'Balizador da Meta'!$B$4:$B$21,'Balizador da Meta'!$C$4:$C$21)</f>
        <v>12</v>
      </c>
      <c r="X450" s="28">
        <f>X441*_xlfn.XLOOKUP($L450,'Balizador da Meta'!$B$4:$B$21,'Balizador da Meta'!$C$4:$C$21)</f>
        <v>12</v>
      </c>
      <c r="Y450" s="28">
        <f>Y441*_xlfn.XLOOKUP($L450,'Balizador da Meta'!$B$4:$B$21,'Balizador da Meta'!$C$4:$C$21)</f>
        <v>12</v>
      </c>
      <c r="Z450" s="30">
        <f t="shared" si="110"/>
        <v>144</v>
      </c>
      <c r="AA450" s="29"/>
      <c r="AB450" s="31">
        <f>SUMIFS('Historico - FAT'!AK:AK,'Historico - FAT'!$K:$K,Faturamento!$L450,'Historico - FAT'!$I:$I,Faturamento!$J450,'Historico - FAT'!$G:$G,Faturamento!$H450)</f>
        <v>0</v>
      </c>
      <c r="AC450" s="31">
        <f>SUMIFS('Historico - FAT'!AL:AL,'Historico - FAT'!$K:$K,Faturamento!$L450,'Historico - FAT'!$I:$I,Faturamento!$J450,'Historico - FAT'!$G:$G,Faturamento!$H450)</f>
        <v>0</v>
      </c>
      <c r="AD450" s="31">
        <f>SUMIFS('Historico - FAT'!AM:AM,'Historico - FAT'!$K:$K,Faturamento!$L450,'Historico - FAT'!$I:$I,Faturamento!$J450,'Historico - FAT'!$G:$G,Faturamento!$H450)</f>
        <v>0</v>
      </c>
      <c r="AE450" s="27">
        <f>SUMIFS('Historico - FAT'!AN:AN,'Historico - FAT'!$K:$K,Faturamento!$L450,'Historico - FAT'!$I:$I,Faturamento!$J450,'Historico - FAT'!$G:$G,Faturamento!$H450)</f>
        <v>0</v>
      </c>
      <c r="AG450" s="24">
        <f t="shared" si="105"/>
        <v>1</v>
      </c>
      <c r="AH450" s="24">
        <f t="shared" si="106"/>
        <v>1</v>
      </c>
      <c r="AI450" s="24">
        <f t="shared" si="107"/>
        <v>1</v>
      </c>
    </row>
    <row r="451" spans="1:35" hidden="1" x14ac:dyDescent="0.3">
      <c r="A451" s="2" t="str">
        <f t="shared" si="104"/>
        <v>NÃO</v>
      </c>
      <c r="B451" s="2">
        <v>1000184670</v>
      </c>
      <c r="C451" s="2" t="s">
        <v>147</v>
      </c>
      <c r="D451" s="4">
        <v>1000186197</v>
      </c>
      <c r="E451" s="4" t="s">
        <v>166</v>
      </c>
      <c r="F451" s="2">
        <v>1000184757</v>
      </c>
      <c r="G451" s="2" t="s">
        <v>62</v>
      </c>
      <c r="H451" s="4">
        <v>1000189768</v>
      </c>
      <c r="I451" s="4" t="s">
        <v>88</v>
      </c>
      <c r="J451" s="2">
        <v>1000189270</v>
      </c>
      <c r="K451" s="2" t="s">
        <v>34</v>
      </c>
      <c r="L451" s="4" t="s">
        <v>29</v>
      </c>
      <c r="M451" s="4" t="str">
        <f t="shared" si="97"/>
        <v>1000184670100018619710001897681000189270MAIS GRANEL</v>
      </c>
      <c r="N451" s="28">
        <f>N441*_xlfn.XLOOKUP($L451,'Balizador da Meta'!$B$4:$B$21,'Balizador da Meta'!$C$4:$C$21)</f>
        <v>384</v>
      </c>
      <c r="O451" s="28">
        <f>O441*_xlfn.XLOOKUP($L451,'Balizador da Meta'!$B$4:$B$21,'Balizador da Meta'!$C$4:$C$21)</f>
        <v>384</v>
      </c>
      <c r="P451" s="28">
        <f>P441*_xlfn.XLOOKUP($L451,'Balizador da Meta'!$B$4:$B$21,'Balizador da Meta'!$C$4:$C$21)</f>
        <v>384</v>
      </c>
      <c r="Q451" s="28">
        <f>Q441*_xlfn.XLOOKUP($L451,'Balizador da Meta'!$B$4:$B$21,'Balizador da Meta'!$C$4:$C$21)</f>
        <v>384</v>
      </c>
      <c r="R451" s="28">
        <f>R441*_xlfn.XLOOKUP($L451,'Balizador da Meta'!$B$4:$B$21,'Balizador da Meta'!$C$4:$C$21)</f>
        <v>384</v>
      </c>
      <c r="S451" s="28">
        <f>S441*_xlfn.XLOOKUP($L451,'Balizador da Meta'!$B$4:$B$21,'Balizador da Meta'!$C$4:$C$21)</f>
        <v>384</v>
      </c>
      <c r="T451" s="28">
        <f>T441*_xlfn.XLOOKUP($L451,'Balizador da Meta'!$B$4:$B$21,'Balizador da Meta'!$C$4:$C$21)</f>
        <v>384</v>
      </c>
      <c r="U451" s="28">
        <f>U441*_xlfn.XLOOKUP($L451,'Balizador da Meta'!$B$4:$B$21,'Balizador da Meta'!$C$4:$C$21)</f>
        <v>384</v>
      </c>
      <c r="V451" s="28">
        <f>V441*_xlfn.XLOOKUP($L451,'Balizador da Meta'!$B$4:$B$21,'Balizador da Meta'!$C$4:$C$21)</f>
        <v>384</v>
      </c>
      <c r="W451" s="28">
        <f>W441*_xlfn.XLOOKUP($L451,'Balizador da Meta'!$B$4:$B$21,'Balizador da Meta'!$C$4:$C$21)</f>
        <v>384</v>
      </c>
      <c r="X451" s="28">
        <f>X441*_xlfn.XLOOKUP($L451,'Balizador da Meta'!$B$4:$B$21,'Balizador da Meta'!$C$4:$C$21)</f>
        <v>384</v>
      </c>
      <c r="Y451" s="28">
        <f>Y441*_xlfn.XLOOKUP($L451,'Balizador da Meta'!$B$4:$B$21,'Balizador da Meta'!$C$4:$C$21)</f>
        <v>384</v>
      </c>
      <c r="Z451" s="30">
        <f t="shared" si="110"/>
        <v>4608</v>
      </c>
      <c r="AA451" s="29"/>
      <c r="AB451" s="31">
        <f>SUMIFS('Historico - FAT'!AK:AK,'Historico - FAT'!$K:$K,Faturamento!$L451,'Historico - FAT'!$I:$I,Faturamento!$J451,'Historico - FAT'!$G:$G,Faturamento!$H451)</f>
        <v>0</v>
      </c>
      <c r="AC451" s="31">
        <f>SUMIFS('Historico - FAT'!AL:AL,'Historico - FAT'!$K:$K,Faturamento!$L451,'Historico - FAT'!$I:$I,Faturamento!$J451,'Historico - FAT'!$G:$G,Faturamento!$H451)</f>
        <v>0</v>
      </c>
      <c r="AD451" s="31">
        <f>SUMIFS('Historico - FAT'!AM:AM,'Historico - FAT'!$K:$K,Faturamento!$L451,'Historico - FAT'!$I:$I,Faturamento!$J451,'Historico - FAT'!$G:$G,Faturamento!$H451)</f>
        <v>0</v>
      </c>
      <c r="AE451" s="27">
        <f>SUMIFS('Historico - FAT'!AN:AN,'Historico - FAT'!$K:$K,Faturamento!$L451,'Historico - FAT'!$I:$I,Faturamento!$J451,'Historico - FAT'!$G:$G,Faturamento!$H451)</f>
        <v>0</v>
      </c>
      <c r="AG451" s="24">
        <f t="shared" si="105"/>
        <v>1</v>
      </c>
      <c r="AH451" s="24">
        <f t="shared" si="106"/>
        <v>1</v>
      </c>
      <c r="AI451" s="24">
        <f t="shared" si="107"/>
        <v>1</v>
      </c>
    </row>
    <row r="452" spans="1:35" hidden="1" x14ac:dyDescent="0.3">
      <c r="A452" s="2" t="str">
        <f t="shared" si="104"/>
        <v>NÃO</v>
      </c>
      <c r="B452" s="2">
        <v>1000184670</v>
      </c>
      <c r="C452" s="2" t="s">
        <v>147</v>
      </c>
      <c r="D452" s="4">
        <v>1000186197</v>
      </c>
      <c r="E452" s="4" t="s">
        <v>166</v>
      </c>
      <c r="F452" s="2">
        <v>1000184757</v>
      </c>
      <c r="G452" s="2" t="s">
        <v>62</v>
      </c>
      <c r="H452" s="4">
        <v>1000189768</v>
      </c>
      <c r="I452" s="4" t="s">
        <v>88</v>
      </c>
      <c r="J452" s="2">
        <v>1000189270</v>
      </c>
      <c r="K452" s="2" t="s">
        <v>34</v>
      </c>
      <c r="L452" s="4" t="s">
        <v>21</v>
      </c>
      <c r="M452" s="4" t="str">
        <f t="shared" si="97"/>
        <v>1000184670100018619710001897681000189270NATURATTA</v>
      </c>
      <c r="N452" s="28">
        <f>N441*_xlfn.XLOOKUP($L452,'Balizador da Meta'!$B$4:$B$21,'Balizador da Meta'!$C$4:$C$21)</f>
        <v>60</v>
      </c>
      <c r="O452" s="28">
        <f>O441*_xlfn.XLOOKUP($L452,'Balizador da Meta'!$B$4:$B$21,'Balizador da Meta'!$C$4:$C$21)</f>
        <v>60</v>
      </c>
      <c r="P452" s="28">
        <f>P441*_xlfn.XLOOKUP($L452,'Balizador da Meta'!$B$4:$B$21,'Balizador da Meta'!$C$4:$C$21)</f>
        <v>60</v>
      </c>
      <c r="Q452" s="28">
        <f>Q441*_xlfn.XLOOKUP($L452,'Balizador da Meta'!$B$4:$B$21,'Balizador da Meta'!$C$4:$C$21)</f>
        <v>60</v>
      </c>
      <c r="R452" s="28">
        <f>R441*_xlfn.XLOOKUP($L452,'Balizador da Meta'!$B$4:$B$21,'Balizador da Meta'!$C$4:$C$21)</f>
        <v>60</v>
      </c>
      <c r="S452" s="28">
        <f>S441*_xlfn.XLOOKUP($L452,'Balizador da Meta'!$B$4:$B$21,'Balizador da Meta'!$C$4:$C$21)</f>
        <v>60</v>
      </c>
      <c r="T452" s="28">
        <f>T441*_xlfn.XLOOKUP($L452,'Balizador da Meta'!$B$4:$B$21,'Balizador da Meta'!$C$4:$C$21)</f>
        <v>60</v>
      </c>
      <c r="U452" s="28">
        <f>U441*_xlfn.XLOOKUP($L452,'Balizador da Meta'!$B$4:$B$21,'Balizador da Meta'!$C$4:$C$21)</f>
        <v>60</v>
      </c>
      <c r="V452" s="28">
        <f>V441*_xlfn.XLOOKUP($L452,'Balizador da Meta'!$B$4:$B$21,'Balizador da Meta'!$C$4:$C$21)</f>
        <v>60</v>
      </c>
      <c r="W452" s="28">
        <f>W441*_xlfn.XLOOKUP($L452,'Balizador da Meta'!$B$4:$B$21,'Balizador da Meta'!$C$4:$C$21)</f>
        <v>60</v>
      </c>
      <c r="X452" s="28">
        <f>X441*_xlfn.XLOOKUP($L452,'Balizador da Meta'!$B$4:$B$21,'Balizador da Meta'!$C$4:$C$21)</f>
        <v>60</v>
      </c>
      <c r="Y452" s="28">
        <f>Y441*_xlfn.XLOOKUP($L452,'Balizador da Meta'!$B$4:$B$21,'Balizador da Meta'!$C$4:$C$21)</f>
        <v>60</v>
      </c>
      <c r="Z452" s="30">
        <f t="shared" si="110"/>
        <v>720</v>
      </c>
      <c r="AA452" s="29"/>
      <c r="AB452" s="31">
        <f>SUMIFS('Historico - FAT'!AK:AK,'Historico - FAT'!$K:$K,Faturamento!$L452,'Historico - FAT'!$I:$I,Faturamento!$J452,'Historico - FAT'!$G:$G,Faturamento!$H452)</f>
        <v>65.625</v>
      </c>
      <c r="AC452" s="31">
        <f>SUMIFS('Historico - FAT'!AL:AL,'Historico - FAT'!$K:$K,Faturamento!$L452,'Historico - FAT'!$I:$I,Faturamento!$J452,'Historico - FAT'!$G:$G,Faturamento!$H452)</f>
        <v>0</v>
      </c>
      <c r="AD452" s="31">
        <f>SUMIFS('Historico - FAT'!AM:AM,'Historico - FAT'!$K:$K,Faturamento!$L452,'Historico - FAT'!$I:$I,Faturamento!$J452,'Historico - FAT'!$G:$G,Faturamento!$H452)</f>
        <v>0</v>
      </c>
      <c r="AE452" s="27">
        <f>SUMIFS('Historico - FAT'!AN:AN,'Historico - FAT'!$K:$K,Faturamento!$L452,'Historico - FAT'!$I:$I,Faturamento!$J452,'Historico - FAT'!$G:$G,Faturamento!$H452)</f>
        <v>0</v>
      </c>
      <c r="AG452" s="24">
        <f t="shared" si="105"/>
        <v>-9.375E-2</v>
      </c>
      <c r="AH452" s="24">
        <f t="shared" si="106"/>
        <v>1</v>
      </c>
      <c r="AI452" s="24">
        <f t="shared" si="107"/>
        <v>1</v>
      </c>
    </row>
    <row r="453" spans="1:35" hidden="1" x14ac:dyDescent="0.3">
      <c r="A453" s="2" t="str">
        <f t="shared" si="104"/>
        <v>NÃO</v>
      </c>
      <c r="B453" s="2">
        <v>1000184670</v>
      </c>
      <c r="C453" s="2" t="s">
        <v>147</v>
      </c>
      <c r="D453" s="4">
        <v>1000186197</v>
      </c>
      <c r="E453" s="4" t="s">
        <v>166</v>
      </c>
      <c r="F453" s="2">
        <v>1000184757</v>
      </c>
      <c r="G453" s="2" t="s">
        <v>62</v>
      </c>
      <c r="H453" s="4">
        <v>1000189768</v>
      </c>
      <c r="I453" s="4" t="s">
        <v>88</v>
      </c>
      <c r="J453" s="2">
        <v>1000189270</v>
      </c>
      <c r="K453" s="2" t="s">
        <v>34</v>
      </c>
      <c r="L453" s="4" t="s">
        <v>20</v>
      </c>
      <c r="M453" s="4" t="str">
        <f t="shared" ref="M453:M516" si="111">_xlfn.CONCAT(B453,D453,H453,J453,L453,)</f>
        <v>1000184670100018619710001897681000189270REEMBALADOS</v>
      </c>
      <c r="N453" s="28">
        <f>N441*_xlfn.XLOOKUP($L453,'Balizador da Meta'!$B$4:$B$21,'Balizador da Meta'!$C$4:$C$21)</f>
        <v>48</v>
      </c>
      <c r="O453" s="28">
        <f>O441*_xlfn.XLOOKUP($L453,'Balizador da Meta'!$B$4:$B$21,'Balizador da Meta'!$C$4:$C$21)</f>
        <v>48</v>
      </c>
      <c r="P453" s="28">
        <f>P441*_xlfn.XLOOKUP($L453,'Balizador da Meta'!$B$4:$B$21,'Balizador da Meta'!$C$4:$C$21)</f>
        <v>48</v>
      </c>
      <c r="Q453" s="28">
        <f>Q441*_xlfn.XLOOKUP($L453,'Balizador da Meta'!$B$4:$B$21,'Balizador da Meta'!$C$4:$C$21)</f>
        <v>48</v>
      </c>
      <c r="R453" s="28">
        <f>R441*_xlfn.XLOOKUP($L453,'Balizador da Meta'!$B$4:$B$21,'Balizador da Meta'!$C$4:$C$21)</f>
        <v>48</v>
      </c>
      <c r="S453" s="28">
        <f>S441*_xlfn.XLOOKUP($L453,'Balizador da Meta'!$B$4:$B$21,'Balizador da Meta'!$C$4:$C$21)</f>
        <v>48</v>
      </c>
      <c r="T453" s="28">
        <f>T441*_xlfn.XLOOKUP($L453,'Balizador da Meta'!$B$4:$B$21,'Balizador da Meta'!$C$4:$C$21)</f>
        <v>48</v>
      </c>
      <c r="U453" s="28">
        <f>U441*_xlfn.XLOOKUP($L453,'Balizador da Meta'!$B$4:$B$21,'Balizador da Meta'!$C$4:$C$21)</f>
        <v>48</v>
      </c>
      <c r="V453" s="28">
        <f>V441*_xlfn.XLOOKUP($L453,'Balizador da Meta'!$B$4:$B$21,'Balizador da Meta'!$C$4:$C$21)</f>
        <v>48</v>
      </c>
      <c r="W453" s="28">
        <f>W441*_xlfn.XLOOKUP($L453,'Balizador da Meta'!$B$4:$B$21,'Balizador da Meta'!$C$4:$C$21)</f>
        <v>48</v>
      </c>
      <c r="X453" s="28">
        <f>X441*_xlfn.XLOOKUP($L453,'Balizador da Meta'!$B$4:$B$21,'Balizador da Meta'!$C$4:$C$21)</f>
        <v>48</v>
      </c>
      <c r="Y453" s="28">
        <f>Y441*_xlfn.XLOOKUP($L453,'Balizador da Meta'!$B$4:$B$21,'Balizador da Meta'!$C$4:$C$21)</f>
        <v>48</v>
      </c>
      <c r="Z453" s="30">
        <f t="shared" si="110"/>
        <v>576</v>
      </c>
      <c r="AA453" s="29"/>
      <c r="AB453" s="31">
        <f>SUMIFS('Historico - FAT'!AK:AK,'Historico - FAT'!$K:$K,Faturamento!$L453,'Historico - FAT'!$I:$I,Faturamento!$J453,'Historico - FAT'!$G:$G,Faturamento!$H453)</f>
        <v>0</v>
      </c>
      <c r="AC453" s="31">
        <f>SUMIFS('Historico - FAT'!AL:AL,'Historico - FAT'!$K:$K,Faturamento!$L453,'Historico - FAT'!$I:$I,Faturamento!$J453,'Historico - FAT'!$G:$G,Faturamento!$H453)</f>
        <v>0</v>
      </c>
      <c r="AD453" s="31">
        <f>SUMIFS('Historico - FAT'!AM:AM,'Historico - FAT'!$K:$K,Faturamento!$L453,'Historico - FAT'!$I:$I,Faturamento!$J453,'Historico - FAT'!$G:$G,Faturamento!$H453)</f>
        <v>0</v>
      </c>
      <c r="AE453" s="27">
        <f>SUMIFS('Historico - FAT'!AN:AN,'Historico - FAT'!$K:$K,Faturamento!$L453,'Historico - FAT'!$I:$I,Faturamento!$J453,'Historico - FAT'!$G:$G,Faturamento!$H453)</f>
        <v>0</v>
      </c>
      <c r="AG453" s="24">
        <f t="shared" si="105"/>
        <v>1</v>
      </c>
      <c r="AH453" s="24">
        <f t="shared" si="106"/>
        <v>1</v>
      </c>
      <c r="AI453" s="24">
        <f t="shared" si="107"/>
        <v>1</v>
      </c>
    </row>
    <row r="454" spans="1:35" hidden="1" x14ac:dyDescent="0.3">
      <c r="A454" s="2" t="str">
        <f t="shared" si="104"/>
        <v>NÃO</v>
      </c>
      <c r="B454" s="2">
        <v>1000184670</v>
      </c>
      <c r="C454" s="2" t="s">
        <v>147</v>
      </c>
      <c r="D454" s="4">
        <v>1000186197</v>
      </c>
      <c r="E454" s="4" t="s">
        <v>166</v>
      </c>
      <c r="F454" s="2">
        <v>1000184757</v>
      </c>
      <c r="G454" s="2" t="s">
        <v>62</v>
      </c>
      <c r="H454" s="4">
        <v>1000189768</v>
      </c>
      <c r="I454" s="4" t="s">
        <v>88</v>
      </c>
      <c r="J454" s="2">
        <v>1000189270</v>
      </c>
      <c r="K454" s="2" t="s">
        <v>34</v>
      </c>
      <c r="L454" s="4" t="s">
        <v>22</v>
      </c>
      <c r="M454" s="4" t="str">
        <f t="shared" si="111"/>
        <v>1000184670100018619710001897681000189270S GLUTEN</v>
      </c>
      <c r="N454" s="28">
        <f>N441*_xlfn.XLOOKUP($L454,'Balizador da Meta'!$B$4:$B$21,'Balizador da Meta'!$C$4:$C$21)</f>
        <v>48</v>
      </c>
      <c r="O454" s="28">
        <f>O441*_xlfn.XLOOKUP($L454,'Balizador da Meta'!$B$4:$B$21,'Balizador da Meta'!$C$4:$C$21)</f>
        <v>48</v>
      </c>
      <c r="P454" s="28">
        <f>P441*_xlfn.XLOOKUP($L454,'Balizador da Meta'!$B$4:$B$21,'Balizador da Meta'!$C$4:$C$21)</f>
        <v>48</v>
      </c>
      <c r="Q454" s="28">
        <f>Q441*_xlfn.XLOOKUP($L454,'Balizador da Meta'!$B$4:$B$21,'Balizador da Meta'!$C$4:$C$21)</f>
        <v>48</v>
      </c>
      <c r="R454" s="28">
        <f>R441*_xlfn.XLOOKUP($L454,'Balizador da Meta'!$B$4:$B$21,'Balizador da Meta'!$C$4:$C$21)</f>
        <v>48</v>
      </c>
      <c r="S454" s="28">
        <f>S441*_xlfn.XLOOKUP($L454,'Balizador da Meta'!$B$4:$B$21,'Balizador da Meta'!$C$4:$C$21)</f>
        <v>48</v>
      </c>
      <c r="T454" s="28">
        <f>T441*_xlfn.XLOOKUP($L454,'Balizador da Meta'!$B$4:$B$21,'Balizador da Meta'!$C$4:$C$21)</f>
        <v>48</v>
      </c>
      <c r="U454" s="28">
        <f>U441*_xlfn.XLOOKUP($L454,'Balizador da Meta'!$B$4:$B$21,'Balizador da Meta'!$C$4:$C$21)</f>
        <v>48</v>
      </c>
      <c r="V454" s="28">
        <f>V441*_xlfn.XLOOKUP($L454,'Balizador da Meta'!$B$4:$B$21,'Balizador da Meta'!$C$4:$C$21)</f>
        <v>48</v>
      </c>
      <c r="W454" s="28">
        <f>W441*_xlfn.XLOOKUP($L454,'Balizador da Meta'!$B$4:$B$21,'Balizador da Meta'!$C$4:$C$21)</f>
        <v>48</v>
      </c>
      <c r="X454" s="28">
        <f>X441*_xlfn.XLOOKUP($L454,'Balizador da Meta'!$B$4:$B$21,'Balizador da Meta'!$C$4:$C$21)</f>
        <v>48</v>
      </c>
      <c r="Y454" s="28">
        <f>Y441*_xlfn.XLOOKUP($L454,'Balizador da Meta'!$B$4:$B$21,'Balizador da Meta'!$C$4:$C$21)</f>
        <v>48</v>
      </c>
      <c r="Z454" s="30">
        <f t="shared" si="110"/>
        <v>576</v>
      </c>
      <c r="AA454" s="29"/>
      <c r="AB454" s="31">
        <f>SUMIFS('Historico - FAT'!AK:AK,'Historico - FAT'!$K:$K,Faturamento!$L454,'Historico - FAT'!$I:$I,Faturamento!$J454,'Historico - FAT'!$G:$G,Faturamento!$H454)</f>
        <v>0</v>
      </c>
      <c r="AC454" s="31">
        <f>SUMIFS('Historico - FAT'!AL:AL,'Historico - FAT'!$K:$K,Faturamento!$L454,'Historico - FAT'!$I:$I,Faturamento!$J454,'Historico - FAT'!$G:$G,Faturamento!$H454)</f>
        <v>0</v>
      </c>
      <c r="AD454" s="31">
        <f>SUMIFS('Historico - FAT'!AM:AM,'Historico - FAT'!$K:$K,Faturamento!$L454,'Historico - FAT'!$I:$I,Faturamento!$J454,'Historico - FAT'!$G:$G,Faturamento!$H454)</f>
        <v>0</v>
      </c>
      <c r="AE454" s="27">
        <f>SUMIFS('Historico - FAT'!AN:AN,'Historico - FAT'!$K:$K,Faturamento!$L454,'Historico - FAT'!$I:$I,Faturamento!$J454,'Historico - FAT'!$G:$G,Faturamento!$H454)</f>
        <v>0</v>
      </c>
      <c r="AG454" s="24">
        <f t="shared" si="105"/>
        <v>1</v>
      </c>
      <c r="AH454" s="24">
        <f t="shared" si="106"/>
        <v>1</v>
      </c>
      <c r="AI454" s="24">
        <f t="shared" si="107"/>
        <v>1</v>
      </c>
    </row>
    <row r="455" spans="1:35" hidden="1" x14ac:dyDescent="0.3">
      <c r="A455" s="2" t="str">
        <f t="shared" si="104"/>
        <v>NÃO</v>
      </c>
      <c r="B455" s="2">
        <v>1000184670</v>
      </c>
      <c r="C455" s="2" t="s">
        <v>147</v>
      </c>
      <c r="D455" s="4">
        <v>1000186197</v>
      </c>
      <c r="E455" s="4" t="s">
        <v>166</v>
      </c>
      <c r="F455" s="2">
        <v>1000184757</v>
      </c>
      <c r="G455" s="2" t="s">
        <v>62</v>
      </c>
      <c r="H455" s="4">
        <v>1000189768</v>
      </c>
      <c r="I455" s="4" t="s">
        <v>88</v>
      </c>
      <c r="J455" s="2">
        <v>1000189270</v>
      </c>
      <c r="K455" s="2" t="s">
        <v>34</v>
      </c>
      <c r="L455" s="4" t="s">
        <v>23</v>
      </c>
      <c r="M455" s="4" t="str">
        <f t="shared" si="111"/>
        <v>1000184670100018619710001897681000189270SABORES DO CAMPO</v>
      </c>
      <c r="N455" s="28">
        <f>N441*_xlfn.XLOOKUP($L455,'Balizador da Meta'!$B$4:$B$21,'Balizador da Meta'!$C$4:$C$21)</f>
        <v>0</v>
      </c>
      <c r="O455" s="28">
        <f>O441*_xlfn.XLOOKUP($L455,'Balizador da Meta'!$B$4:$B$21,'Balizador da Meta'!$C$4:$C$21)</f>
        <v>0</v>
      </c>
      <c r="P455" s="28">
        <f>P441*_xlfn.XLOOKUP($L455,'Balizador da Meta'!$B$4:$B$21,'Balizador da Meta'!$C$4:$C$21)</f>
        <v>0</v>
      </c>
      <c r="Q455" s="28">
        <f>Q441*_xlfn.XLOOKUP($L455,'Balizador da Meta'!$B$4:$B$21,'Balizador da Meta'!$C$4:$C$21)</f>
        <v>0</v>
      </c>
      <c r="R455" s="28">
        <f>R441*_xlfn.XLOOKUP($L455,'Balizador da Meta'!$B$4:$B$21,'Balizador da Meta'!$C$4:$C$21)</f>
        <v>0</v>
      </c>
      <c r="S455" s="28">
        <f>S441*_xlfn.XLOOKUP($L455,'Balizador da Meta'!$B$4:$B$21,'Balizador da Meta'!$C$4:$C$21)</f>
        <v>0</v>
      </c>
      <c r="T455" s="28">
        <f>T441*_xlfn.XLOOKUP($L455,'Balizador da Meta'!$B$4:$B$21,'Balizador da Meta'!$C$4:$C$21)</f>
        <v>0</v>
      </c>
      <c r="U455" s="28">
        <f>U441*_xlfn.XLOOKUP($L455,'Balizador da Meta'!$B$4:$B$21,'Balizador da Meta'!$C$4:$C$21)</f>
        <v>0</v>
      </c>
      <c r="V455" s="28">
        <f>V441*_xlfn.XLOOKUP($L455,'Balizador da Meta'!$B$4:$B$21,'Balizador da Meta'!$C$4:$C$21)</f>
        <v>0</v>
      </c>
      <c r="W455" s="28">
        <f>W441*_xlfn.XLOOKUP($L455,'Balizador da Meta'!$B$4:$B$21,'Balizador da Meta'!$C$4:$C$21)</f>
        <v>0</v>
      </c>
      <c r="X455" s="28">
        <f>X441*_xlfn.XLOOKUP($L455,'Balizador da Meta'!$B$4:$B$21,'Balizador da Meta'!$C$4:$C$21)</f>
        <v>0</v>
      </c>
      <c r="Y455" s="28">
        <f>Y441*_xlfn.XLOOKUP($L455,'Balizador da Meta'!$B$4:$B$21,'Balizador da Meta'!$C$4:$C$21)</f>
        <v>0</v>
      </c>
      <c r="Z455" s="30">
        <f t="shared" si="110"/>
        <v>0</v>
      </c>
      <c r="AA455" s="29"/>
      <c r="AB455" s="31">
        <f>SUMIFS('Historico - FAT'!AK:AK,'Historico - FAT'!$K:$K,Faturamento!$L455,'Historico - FAT'!$I:$I,Faturamento!$J455,'Historico - FAT'!$G:$G,Faturamento!$H455)</f>
        <v>0</v>
      </c>
      <c r="AC455" s="31">
        <f>SUMIFS('Historico - FAT'!AL:AL,'Historico - FAT'!$K:$K,Faturamento!$L455,'Historico - FAT'!$I:$I,Faturamento!$J455,'Historico - FAT'!$G:$G,Faturamento!$H455)</f>
        <v>0</v>
      </c>
      <c r="AD455" s="31">
        <f>SUMIFS('Historico - FAT'!AM:AM,'Historico - FAT'!$K:$K,Faturamento!$L455,'Historico - FAT'!$I:$I,Faturamento!$J455,'Historico - FAT'!$G:$G,Faturamento!$H455)</f>
        <v>0</v>
      </c>
      <c r="AE455" s="27">
        <f>SUMIFS('Historico - FAT'!AN:AN,'Historico - FAT'!$K:$K,Faturamento!$L455,'Historico - FAT'!$I:$I,Faturamento!$J455,'Historico - FAT'!$G:$G,Faturamento!$H455)</f>
        <v>0</v>
      </c>
      <c r="AG455" s="24" t="str">
        <f t="shared" si="105"/>
        <v/>
      </c>
      <c r="AH455" s="24" t="str">
        <f t="shared" si="106"/>
        <v/>
      </c>
      <c r="AI455" s="24" t="str">
        <f t="shared" si="107"/>
        <v/>
      </c>
    </row>
    <row r="456" spans="1:35" hidden="1" x14ac:dyDescent="0.3">
      <c r="A456" s="2" t="str">
        <f t="shared" si="104"/>
        <v>NÃO</v>
      </c>
      <c r="B456" s="2">
        <v>1000184670</v>
      </c>
      <c r="C456" s="2" t="s">
        <v>147</v>
      </c>
      <c r="D456" s="4">
        <v>1000186197</v>
      </c>
      <c r="E456" s="4" t="s">
        <v>166</v>
      </c>
      <c r="F456" s="2">
        <v>1000184757</v>
      </c>
      <c r="G456" s="2" t="s">
        <v>62</v>
      </c>
      <c r="H456" s="4">
        <v>1000189768</v>
      </c>
      <c r="I456" s="4" t="s">
        <v>88</v>
      </c>
      <c r="J456" s="2">
        <v>1000189270</v>
      </c>
      <c r="K456" s="2" t="s">
        <v>34</v>
      </c>
      <c r="L456" s="4" t="s">
        <v>28</v>
      </c>
      <c r="M456" s="4" t="str">
        <f t="shared" si="111"/>
        <v>1000184670100018619710001897681000189270SAL</v>
      </c>
      <c r="N456" s="28">
        <f>N441*_xlfn.XLOOKUP($L456,'Balizador da Meta'!$B$4:$B$21,'Balizador da Meta'!$C$4:$C$21)</f>
        <v>24</v>
      </c>
      <c r="O456" s="28">
        <f>O441*_xlfn.XLOOKUP($L456,'Balizador da Meta'!$B$4:$B$21,'Balizador da Meta'!$C$4:$C$21)</f>
        <v>24</v>
      </c>
      <c r="P456" s="28">
        <f>P441*_xlfn.XLOOKUP($L456,'Balizador da Meta'!$B$4:$B$21,'Balizador da Meta'!$C$4:$C$21)</f>
        <v>24</v>
      </c>
      <c r="Q456" s="28">
        <f>Q441*_xlfn.XLOOKUP($L456,'Balizador da Meta'!$B$4:$B$21,'Balizador da Meta'!$C$4:$C$21)</f>
        <v>24</v>
      </c>
      <c r="R456" s="28">
        <f>R441*_xlfn.XLOOKUP($L456,'Balizador da Meta'!$B$4:$B$21,'Balizador da Meta'!$C$4:$C$21)</f>
        <v>24</v>
      </c>
      <c r="S456" s="28">
        <f>S441*_xlfn.XLOOKUP($L456,'Balizador da Meta'!$B$4:$B$21,'Balizador da Meta'!$C$4:$C$21)</f>
        <v>24</v>
      </c>
      <c r="T456" s="28">
        <f>T441*_xlfn.XLOOKUP($L456,'Balizador da Meta'!$B$4:$B$21,'Balizador da Meta'!$C$4:$C$21)</f>
        <v>24</v>
      </c>
      <c r="U456" s="28">
        <f>U441*_xlfn.XLOOKUP($L456,'Balizador da Meta'!$B$4:$B$21,'Balizador da Meta'!$C$4:$C$21)</f>
        <v>24</v>
      </c>
      <c r="V456" s="28">
        <f>V441*_xlfn.XLOOKUP($L456,'Balizador da Meta'!$B$4:$B$21,'Balizador da Meta'!$C$4:$C$21)</f>
        <v>24</v>
      </c>
      <c r="W456" s="28">
        <f>W441*_xlfn.XLOOKUP($L456,'Balizador da Meta'!$B$4:$B$21,'Balizador da Meta'!$C$4:$C$21)</f>
        <v>24</v>
      </c>
      <c r="X456" s="28">
        <f>X441*_xlfn.XLOOKUP($L456,'Balizador da Meta'!$B$4:$B$21,'Balizador da Meta'!$C$4:$C$21)</f>
        <v>24</v>
      </c>
      <c r="Y456" s="28">
        <f>Y441*_xlfn.XLOOKUP($L456,'Balizador da Meta'!$B$4:$B$21,'Balizador da Meta'!$C$4:$C$21)</f>
        <v>24</v>
      </c>
      <c r="Z456" s="30">
        <f t="shared" si="110"/>
        <v>288</v>
      </c>
      <c r="AA456" s="29"/>
      <c r="AB456" s="31">
        <f>SUMIFS('Historico - FAT'!AK:AK,'Historico - FAT'!$K:$K,Faturamento!$L456,'Historico - FAT'!$I:$I,Faturamento!$J456,'Historico - FAT'!$G:$G,Faturamento!$H456)</f>
        <v>0</v>
      </c>
      <c r="AC456" s="31">
        <f>SUMIFS('Historico - FAT'!AL:AL,'Historico - FAT'!$K:$K,Faturamento!$L456,'Historico - FAT'!$I:$I,Faturamento!$J456,'Historico - FAT'!$G:$G,Faturamento!$H456)</f>
        <v>0</v>
      </c>
      <c r="AD456" s="31">
        <f>SUMIFS('Historico - FAT'!AM:AM,'Historico - FAT'!$K:$K,Faturamento!$L456,'Historico - FAT'!$I:$I,Faturamento!$J456,'Historico - FAT'!$G:$G,Faturamento!$H456)</f>
        <v>0</v>
      </c>
      <c r="AE456" s="27">
        <f>SUMIFS('Historico - FAT'!AN:AN,'Historico - FAT'!$K:$K,Faturamento!$L456,'Historico - FAT'!$I:$I,Faturamento!$J456,'Historico - FAT'!$G:$G,Faturamento!$H456)</f>
        <v>0</v>
      </c>
      <c r="AG456" s="24">
        <f t="shared" si="105"/>
        <v>1</v>
      </c>
      <c r="AH456" s="24">
        <f t="shared" si="106"/>
        <v>1</v>
      </c>
      <c r="AI456" s="24">
        <f t="shared" si="107"/>
        <v>1</v>
      </c>
    </row>
    <row r="457" spans="1:35" hidden="1" x14ac:dyDescent="0.3">
      <c r="A457" s="2" t="str">
        <f t="shared" si="104"/>
        <v>NÃO</v>
      </c>
      <c r="B457" s="2">
        <v>1000184670</v>
      </c>
      <c r="C457" s="2" t="s">
        <v>147</v>
      </c>
      <c r="D457" s="4">
        <v>1000186197</v>
      </c>
      <c r="E457" s="4" t="s">
        <v>166</v>
      </c>
      <c r="F457" s="2">
        <v>1000184757</v>
      </c>
      <c r="G457" s="2" t="s">
        <v>62</v>
      </c>
      <c r="H457" s="4">
        <v>1000189768</v>
      </c>
      <c r="I457" s="4" t="s">
        <v>88</v>
      </c>
      <c r="J457" s="2">
        <v>1000189270</v>
      </c>
      <c r="K457" s="2" t="s">
        <v>34</v>
      </c>
      <c r="L457" s="4" t="s">
        <v>26</v>
      </c>
      <c r="M457" s="4" t="str">
        <f t="shared" si="111"/>
        <v>1000184670100018619710001897681000189270SOULPRO</v>
      </c>
      <c r="N457" s="28">
        <f>N441*_xlfn.XLOOKUP($L457,'Balizador da Meta'!$B$4:$B$21,'Balizador da Meta'!$C$4:$C$21)</f>
        <v>72</v>
      </c>
      <c r="O457" s="28">
        <f>O441*_xlfn.XLOOKUP($L457,'Balizador da Meta'!$B$4:$B$21,'Balizador da Meta'!$C$4:$C$21)</f>
        <v>72</v>
      </c>
      <c r="P457" s="28">
        <f>P441*_xlfn.XLOOKUP($L457,'Balizador da Meta'!$B$4:$B$21,'Balizador da Meta'!$C$4:$C$21)</f>
        <v>72</v>
      </c>
      <c r="Q457" s="28">
        <f>Q441*_xlfn.XLOOKUP($L457,'Balizador da Meta'!$B$4:$B$21,'Balizador da Meta'!$C$4:$C$21)</f>
        <v>72</v>
      </c>
      <c r="R457" s="28">
        <f>R441*_xlfn.XLOOKUP($L457,'Balizador da Meta'!$B$4:$B$21,'Balizador da Meta'!$C$4:$C$21)</f>
        <v>72</v>
      </c>
      <c r="S457" s="28">
        <f>S441*_xlfn.XLOOKUP($L457,'Balizador da Meta'!$B$4:$B$21,'Balizador da Meta'!$C$4:$C$21)</f>
        <v>72</v>
      </c>
      <c r="T457" s="28">
        <f>T441*_xlfn.XLOOKUP($L457,'Balizador da Meta'!$B$4:$B$21,'Balizador da Meta'!$C$4:$C$21)</f>
        <v>72</v>
      </c>
      <c r="U457" s="28">
        <f>U441*_xlfn.XLOOKUP($L457,'Balizador da Meta'!$B$4:$B$21,'Balizador da Meta'!$C$4:$C$21)</f>
        <v>72</v>
      </c>
      <c r="V457" s="28">
        <f>V441*_xlfn.XLOOKUP($L457,'Balizador da Meta'!$B$4:$B$21,'Balizador da Meta'!$C$4:$C$21)</f>
        <v>72</v>
      </c>
      <c r="W457" s="28">
        <f>W441*_xlfn.XLOOKUP($L457,'Balizador da Meta'!$B$4:$B$21,'Balizador da Meta'!$C$4:$C$21)</f>
        <v>72</v>
      </c>
      <c r="X457" s="28">
        <f>X441*_xlfn.XLOOKUP($L457,'Balizador da Meta'!$B$4:$B$21,'Balizador da Meta'!$C$4:$C$21)</f>
        <v>72</v>
      </c>
      <c r="Y457" s="28">
        <f>Y441*_xlfn.XLOOKUP($L457,'Balizador da Meta'!$B$4:$B$21,'Balizador da Meta'!$C$4:$C$21)</f>
        <v>72</v>
      </c>
      <c r="Z457" s="30">
        <f t="shared" si="110"/>
        <v>864</v>
      </c>
      <c r="AA457" s="29"/>
      <c r="AB457" s="31">
        <f>SUMIFS('Historico - FAT'!AK:AK,'Historico - FAT'!$K:$K,Faturamento!$L457,'Historico - FAT'!$I:$I,Faturamento!$J457,'Historico - FAT'!$G:$G,Faturamento!$H457)</f>
        <v>63.360000000000007</v>
      </c>
      <c r="AC457" s="31">
        <f>SUMIFS('Historico - FAT'!AL:AL,'Historico - FAT'!$K:$K,Faturamento!$L457,'Historico - FAT'!$I:$I,Faturamento!$J457,'Historico - FAT'!$G:$G,Faturamento!$H457)</f>
        <v>0</v>
      </c>
      <c r="AD457" s="31">
        <f>SUMIFS('Historico - FAT'!AM:AM,'Historico - FAT'!$K:$K,Faturamento!$L457,'Historico - FAT'!$I:$I,Faturamento!$J457,'Historico - FAT'!$G:$G,Faturamento!$H457)</f>
        <v>0</v>
      </c>
      <c r="AE457" s="27">
        <f>SUMIFS('Historico - FAT'!AN:AN,'Historico - FAT'!$K:$K,Faturamento!$L457,'Historico - FAT'!$I:$I,Faturamento!$J457,'Historico - FAT'!$G:$G,Faturamento!$H457)</f>
        <v>0</v>
      </c>
      <c r="AG457" s="24">
        <f t="shared" si="105"/>
        <v>0.11999999999999991</v>
      </c>
      <c r="AH457" s="24">
        <f t="shared" si="106"/>
        <v>1</v>
      </c>
      <c r="AI457" s="24">
        <f t="shared" si="107"/>
        <v>1</v>
      </c>
    </row>
    <row r="458" spans="1:35" hidden="1" x14ac:dyDescent="0.3">
      <c r="A458" s="2" t="str">
        <f t="shared" si="104"/>
        <v>NÃO</v>
      </c>
      <c r="B458" s="2">
        <v>1000184670</v>
      </c>
      <c r="C458" s="2" t="s">
        <v>147</v>
      </c>
      <c r="D458" s="4">
        <v>1000186197</v>
      </c>
      <c r="E458" s="4" t="s">
        <v>166</v>
      </c>
      <c r="F458" s="2">
        <v>1000184757</v>
      </c>
      <c r="G458" s="2" t="s">
        <v>62</v>
      </c>
      <c r="H458" s="4">
        <v>1000189768</v>
      </c>
      <c r="I458" s="4" t="s">
        <v>88</v>
      </c>
      <c r="J458" s="2">
        <v>1000189270</v>
      </c>
      <c r="K458" s="2" t="s">
        <v>34</v>
      </c>
      <c r="L458" s="4" t="s">
        <v>27</v>
      </c>
      <c r="M458" s="4" t="str">
        <f t="shared" si="111"/>
        <v>1000184670100018619710001897681000189270TAMARA</v>
      </c>
      <c r="N458" s="28">
        <f>N441*_xlfn.XLOOKUP($L458,'Balizador da Meta'!$B$4:$B$21,'Balizador da Meta'!$C$4:$C$21)</f>
        <v>96</v>
      </c>
      <c r="O458" s="28">
        <f>O441*_xlfn.XLOOKUP($L458,'Balizador da Meta'!$B$4:$B$21,'Balizador da Meta'!$C$4:$C$21)</f>
        <v>96</v>
      </c>
      <c r="P458" s="28">
        <f>P441*_xlfn.XLOOKUP($L458,'Balizador da Meta'!$B$4:$B$21,'Balizador da Meta'!$C$4:$C$21)</f>
        <v>96</v>
      </c>
      <c r="Q458" s="28">
        <f>Q441*_xlfn.XLOOKUP($L458,'Balizador da Meta'!$B$4:$B$21,'Balizador da Meta'!$C$4:$C$21)</f>
        <v>96</v>
      </c>
      <c r="R458" s="28">
        <f>R441*_xlfn.XLOOKUP($L458,'Balizador da Meta'!$B$4:$B$21,'Balizador da Meta'!$C$4:$C$21)</f>
        <v>96</v>
      </c>
      <c r="S458" s="28">
        <f>S441*_xlfn.XLOOKUP($L458,'Balizador da Meta'!$B$4:$B$21,'Balizador da Meta'!$C$4:$C$21)</f>
        <v>96</v>
      </c>
      <c r="T458" s="28">
        <f>T441*_xlfn.XLOOKUP($L458,'Balizador da Meta'!$B$4:$B$21,'Balizador da Meta'!$C$4:$C$21)</f>
        <v>96</v>
      </c>
      <c r="U458" s="28">
        <f>U441*_xlfn.XLOOKUP($L458,'Balizador da Meta'!$B$4:$B$21,'Balizador da Meta'!$C$4:$C$21)</f>
        <v>96</v>
      </c>
      <c r="V458" s="28">
        <f>V441*_xlfn.XLOOKUP($L458,'Balizador da Meta'!$B$4:$B$21,'Balizador da Meta'!$C$4:$C$21)</f>
        <v>96</v>
      </c>
      <c r="W458" s="28">
        <f>W441*_xlfn.XLOOKUP($L458,'Balizador da Meta'!$B$4:$B$21,'Balizador da Meta'!$C$4:$C$21)</f>
        <v>96</v>
      </c>
      <c r="X458" s="28">
        <f>X441*_xlfn.XLOOKUP($L458,'Balizador da Meta'!$B$4:$B$21,'Balizador da Meta'!$C$4:$C$21)</f>
        <v>96</v>
      </c>
      <c r="Y458" s="28">
        <f>Y441*_xlfn.XLOOKUP($L458,'Balizador da Meta'!$B$4:$B$21,'Balizador da Meta'!$C$4:$C$21)</f>
        <v>96</v>
      </c>
      <c r="Z458" s="30">
        <f t="shared" si="110"/>
        <v>1152</v>
      </c>
      <c r="AA458" s="29"/>
      <c r="AB458" s="31">
        <f>SUMIFS('Historico - FAT'!AK:AK,'Historico - FAT'!$K:$K,Faturamento!$L458,'Historico - FAT'!$I:$I,Faturamento!$J458,'Historico - FAT'!$G:$G,Faturamento!$H458)</f>
        <v>0</v>
      </c>
      <c r="AC458" s="31">
        <f>SUMIFS('Historico - FAT'!AL:AL,'Historico - FAT'!$K:$K,Faturamento!$L458,'Historico - FAT'!$I:$I,Faturamento!$J458,'Historico - FAT'!$G:$G,Faturamento!$H458)</f>
        <v>0</v>
      </c>
      <c r="AD458" s="31">
        <f>SUMIFS('Historico - FAT'!AM:AM,'Historico - FAT'!$K:$K,Faturamento!$L458,'Historico - FAT'!$I:$I,Faturamento!$J458,'Historico - FAT'!$G:$G,Faturamento!$H458)</f>
        <v>0</v>
      </c>
      <c r="AE458" s="27">
        <f>SUMIFS('Historico - FAT'!AN:AN,'Historico - FAT'!$K:$K,Faturamento!$L458,'Historico - FAT'!$I:$I,Faturamento!$J458,'Historico - FAT'!$G:$G,Faturamento!$H458)</f>
        <v>0</v>
      </c>
      <c r="AG458" s="24">
        <f t="shared" si="105"/>
        <v>1</v>
      </c>
      <c r="AH458" s="24">
        <f t="shared" si="106"/>
        <v>1</v>
      </c>
      <c r="AI458" s="24">
        <f t="shared" si="107"/>
        <v>1</v>
      </c>
    </row>
    <row r="459" spans="1:35" hidden="1" x14ac:dyDescent="0.3">
      <c r="A459" s="2" t="str">
        <f t="shared" si="104"/>
        <v>NÃO</v>
      </c>
      <c r="B459" s="2">
        <v>1000184670</v>
      </c>
      <c r="C459" s="2" t="s">
        <v>147</v>
      </c>
      <c r="D459" s="4">
        <v>1000186197</v>
      </c>
      <c r="E459" s="4" t="s">
        <v>166</v>
      </c>
      <c r="F459" s="2">
        <v>1000184757</v>
      </c>
      <c r="G459" s="2" t="s">
        <v>62</v>
      </c>
      <c r="H459" s="4">
        <v>1000189768</v>
      </c>
      <c r="I459" s="4" t="s">
        <v>88</v>
      </c>
      <c r="J459" s="2">
        <v>1000189270</v>
      </c>
      <c r="K459" s="2" t="s">
        <v>34</v>
      </c>
      <c r="L459" s="4" t="s">
        <v>25</v>
      </c>
      <c r="M459" s="4" t="str">
        <f t="shared" si="111"/>
        <v>1000184670100018619710001897681000189270VICCIO</v>
      </c>
      <c r="N459" s="28">
        <f>N441*_xlfn.XLOOKUP($L459,'Balizador da Meta'!$B$4:$B$21,'Balizador da Meta'!$C$4:$C$21)</f>
        <v>36</v>
      </c>
      <c r="O459" s="28">
        <f>O441*_xlfn.XLOOKUP($L459,'Balizador da Meta'!$B$4:$B$21,'Balizador da Meta'!$C$4:$C$21)</f>
        <v>36</v>
      </c>
      <c r="P459" s="28">
        <f>P441*_xlfn.XLOOKUP($L459,'Balizador da Meta'!$B$4:$B$21,'Balizador da Meta'!$C$4:$C$21)</f>
        <v>36</v>
      </c>
      <c r="Q459" s="28">
        <f>Q441*_xlfn.XLOOKUP($L459,'Balizador da Meta'!$B$4:$B$21,'Balizador da Meta'!$C$4:$C$21)</f>
        <v>36</v>
      </c>
      <c r="R459" s="28">
        <f>R441*_xlfn.XLOOKUP($L459,'Balizador da Meta'!$B$4:$B$21,'Balizador da Meta'!$C$4:$C$21)</f>
        <v>36</v>
      </c>
      <c r="S459" s="28">
        <f>S441*_xlfn.XLOOKUP($L459,'Balizador da Meta'!$B$4:$B$21,'Balizador da Meta'!$C$4:$C$21)</f>
        <v>36</v>
      </c>
      <c r="T459" s="28">
        <f>T441*_xlfn.XLOOKUP($L459,'Balizador da Meta'!$B$4:$B$21,'Balizador da Meta'!$C$4:$C$21)</f>
        <v>36</v>
      </c>
      <c r="U459" s="28">
        <f>U441*_xlfn.XLOOKUP($L459,'Balizador da Meta'!$B$4:$B$21,'Balizador da Meta'!$C$4:$C$21)</f>
        <v>36</v>
      </c>
      <c r="V459" s="28">
        <f>V441*_xlfn.XLOOKUP($L459,'Balizador da Meta'!$B$4:$B$21,'Balizador da Meta'!$C$4:$C$21)</f>
        <v>36</v>
      </c>
      <c r="W459" s="28">
        <f>W441*_xlfn.XLOOKUP($L459,'Balizador da Meta'!$B$4:$B$21,'Balizador da Meta'!$C$4:$C$21)</f>
        <v>36</v>
      </c>
      <c r="X459" s="28">
        <f>X441*_xlfn.XLOOKUP($L459,'Balizador da Meta'!$B$4:$B$21,'Balizador da Meta'!$C$4:$C$21)</f>
        <v>36</v>
      </c>
      <c r="Y459" s="28">
        <f>Y441*_xlfn.XLOOKUP($L459,'Balizador da Meta'!$B$4:$B$21,'Balizador da Meta'!$C$4:$C$21)</f>
        <v>36</v>
      </c>
      <c r="Z459" s="30">
        <f t="shared" si="110"/>
        <v>432</v>
      </c>
      <c r="AA459" s="29"/>
      <c r="AB459" s="31">
        <f>SUMIFS('Historico - FAT'!AK:AK,'Historico - FAT'!$K:$K,Faturamento!$L459,'Historico - FAT'!$I:$I,Faturamento!$J459,'Historico - FAT'!$G:$G,Faturamento!$H459)</f>
        <v>0</v>
      </c>
      <c r="AC459" s="31">
        <f>SUMIFS('Historico - FAT'!AL:AL,'Historico - FAT'!$K:$K,Faturamento!$L459,'Historico - FAT'!$I:$I,Faturamento!$J459,'Historico - FAT'!$G:$G,Faturamento!$H459)</f>
        <v>0</v>
      </c>
      <c r="AD459" s="31">
        <f>SUMIFS('Historico - FAT'!AM:AM,'Historico - FAT'!$K:$K,Faturamento!$L459,'Historico - FAT'!$I:$I,Faturamento!$J459,'Historico - FAT'!$G:$G,Faturamento!$H459)</f>
        <v>0</v>
      </c>
      <c r="AE459" s="27">
        <f>SUMIFS('Historico - FAT'!AN:AN,'Historico - FAT'!$K:$K,Faturamento!$L459,'Historico - FAT'!$I:$I,Faturamento!$J459,'Historico - FAT'!$G:$G,Faturamento!$H459)</f>
        <v>0</v>
      </c>
      <c r="AG459" s="24">
        <f t="shared" si="105"/>
        <v>1</v>
      </c>
      <c r="AH459" s="24">
        <f t="shared" si="106"/>
        <v>1</v>
      </c>
      <c r="AI459" s="24">
        <f t="shared" si="107"/>
        <v>1</v>
      </c>
    </row>
    <row r="460" spans="1:35" x14ac:dyDescent="0.3">
      <c r="A460" s="2" t="str">
        <f t="shared" si="104"/>
        <v>SIM</v>
      </c>
      <c r="B460" s="2">
        <v>1000184670</v>
      </c>
      <c r="C460" s="2" t="s">
        <v>147</v>
      </c>
      <c r="D460" s="4">
        <v>1000186197</v>
      </c>
      <c r="E460" s="4" t="s">
        <v>166</v>
      </c>
      <c r="F460" s="2">
        <v>1000184757</v>
      </c>
      <c r="G460" s="2" t="s">
        <v>62</v>
      </c>
      <c r="H460" s="4">
        <v>1000189769</v>
      </c>
      <c r="I460" s="4" t="s">
        <v>67</v>
      </c>
      <c r="J460" s="2">
        <v>1000189270</v>
      </c>
      <c r="K460" s="2" t="s">
        <v>34</v>
      </c>
      <c r="L460" s="4" t="s">
        <v>124</v>
      </c>
      <c r="M460" s="4" t="str">
        <f t="shared" si="111"/>
        <v>100018467010001861971000189769100018927001. TOTAL</v>
      </c>
      <c r="N460" s="28">
        <f>SUMIFS(Positivação!L:L,Positivação!$I:$I,Faturamento!$J460,Positivação!$G:$G,Faturamento!$H460)*SUMIFS(Positivação!$Z:$Z,Positivação!$I:$I,Faturamento!$J460,Positivação!$G:$G,Faturamento!$H460)</f>
        <v>2400</v>
      </c>
      <c r="O460" s="28">
        <f>SUMIFS(Positivação!M:M,Positivação!$I:$I,Faturamento!$J460,Positivação!$G:$G,Faturamento!$H460)*SUMIFS(Positivação!$Z:$Z,Positivação!$I:$I,Faturamento!$J460,Positivação!$G:$G,Faturamento!$H460)</f>
        <v>2400</v>
      </c>
      <c r="P460" s="28">
        <f>SUMIFS(Positivação!N:N,Positivação!$I:$I,Faturamento!$J460,Positivação!$G:$G,Faturamento!$H460)*SUMIFS(Positivação!$Z:$Z,Positivação!$I:$I,Faturamento!$J460,Positivação!$G:$G,Faturamento!$H460)</f>
        <v>2400</v>
      </c>
      <c r="Q460" s="28">
        <f>SUMIFS(Positivação!O:O,Positivação!$I:$I,Faturamento!$J460,Positivação!$G:$G,Faturamento!$H460)*SUMIFS(Positivação!$Z:$Z,Positivação!$I:$I,Faturamento!$J460,Positivação!$G:$G,Faturamento!$H460)</f>
        <v>2400</v>
      </c>
      <c r="R460" s="28">
        <f>SUMIFS(Positivação!P:P,Positivação!$I:$I,Faturamento!$J460,Positivação!$G:$G,Faturamento!$H460)*SUMIFS(Positivação!$Z:$Z,Positivação!$I:$I,Faturamento!$J460,Positivação!$G:$G,Faturamento!$H460)</f>
        <v>2400</v>
      </c>
      <c r="S460" s="28">
        <f>SUMIFS(Positivação!Q:Q,Positivação!$I:$I,Faturamento!$J460,Positivação!$G:$G,Faturamento!$H460)*SUMIFS(Positivação!$Z:$Z,Positivação!$I:$I,Faturamento!$J460,Positivação!$G:$G,Faturamento!$H460)</f>
        <v>2400</v>
      </c>
      <c r="T460" s="28">
        <f>SUMIFS(Positivação!R:R,Positivação!$I:$I,Faturamento!$J460,Positivação!$G:$G,Faturamento!$H460)*SUMIFS(Positivação!$Z:$Z,Positivação!$I:$I,Faturamento!$J460,Positivação!$G:$G,Faturamento!$H460)</f>
        <v>2400</v>
      </c>
      <c r="U460" s="28">
        <f>SUMIFS(Positivação!S:S,Positivação!$I:$I,Faturamento!$J460,Positivação!$G:$G,Faturamento!$H460)*SUMIFS(Positivação!$Z:$Z,Positivação!$I:$I,Faturamento!$J460,Positivação!$G:$G,Faturamento!$H460)</f>
        <v>2400</v>
      </c>
      <c r="V460" s="28">
        <f>SUMIFS(Positivação!T:T,Positivação!$I:$I,Faturamento!$J460,Positivação!$G:$G,Faturamento!$H460)*SUMIFS(Positivação!$Z:$Z,Positivação!$I:$I,Faturamento!$J460,Positivação!$G:$G,Faturamento!$H460)</f>
        <v>2400</v>
      </c>
      <c r="W460" s="28">
        <f>SUMIFS(Positivação!U:U,Positivação!$I:$I,Faturamento!$J460,Positivação!$G:$G,Faturamento!$H460)*SUMIFS(Positivação!$Z:$Z,Positivação!$I:$I,Faturamento!$J460,Positivação!$G:$G,Faturamento!$H460)</f>
        <v>2400</v>
      </c>
      <c r="X460" s="28">
        <f>SUMIFS(Positivação!V:V,Positivação!$I:$I,Faturamento!$J460,Positivação!$G:$G,Faturamento!$H460)*SUMIFS(Positivação!$Z:$Z,Positivação!$I:$I,Faturamento!$J460,Positivação!$G:$G,Faturamento!$H460)</f>
        <v>2400</v>
      </c>
      <c r="Y460" s="28">
        <f>SUMIFS(Positivação!W:W,Positivação!$I:$I,Faturamento!$J460,Positivação!$G:$G,Faturamento!$H460)*SUMIFS(Positivação!$Z:$Z,Positivação!$I:$I,Faturamento!$J460,Positivação!$G:$G,Faturamento!$H460)</f>
        <v>2400</v>
      </c>
      <c r="Z460" s="28">
        <f t="shared" ref="Z460" si="112">SUM(Z461:Z478)</f>
        <v>28800</v>
      </c>
      <c r="AA460" s="29"/>
      <c r="AB460" s="28">
        <f t="shared" ref="AB460:AE460" si="113">SUM(AB461:AB478)</f>
        <v>0</v>
      </c>
      <c r="AC460" s="28">
        <f t="shared" si="113"/>
        <v>617.40666666666664</v>
      </c>
      <c r="AD460" s="28">
        <f t="shared" si="113"/>
        <v>1234.8133333333333</v>
      </c>
      <c r="AE460" s="28">
        <f t="shared" si="113"/>
        <v>740.88800000000003</v>
      </c>
      <c r="AG460" s="24">
        <f t="shared" si="105"/>
        <v>1</v>
      </c>
      <c r="AH460" s="24">
        <f t="shared" si="106"/>
        <v>0.74274722222222223</v>
      </c>
      <c r="AI460" s="24">
        <f t="shared" si="107"/>
        <v>0.48549444444444445</v>
      </c>
    </row>
    <row r="461" spans="1:35" hidden="1" x14ac:dyDescent="0.3">
      <c r="A461" s="2" t="str">
        <f t="shared" si="104"/>
        <v>NÃO</v>
      </c>
      <c r="B461" s="2">
        <v>1000184670</v>
      </c>
      <c r="C461" s="2" t="s">
        <v>147</v>
      </c>
      <c r="D461" s="4">
        <v>1000186197</v>
      </c>
      <c r="E461" s="4" t="s">
        <v>166</v>
      </c>
      <c r="F461" s="2">
        <v>1000184757</v>
      </c>
      <c r="G461" s="2" t="s">
        <v>62</v>
      </c>
      <c r="H461" s="4">
        <v>1000189769</v>
      </c>
      <c r="I461" s="4" t="s">
        <v>67</v>
      </c>
      <c r="J461" s="2">
        <v>1000189270</v>
      </c>
      <c r="K461" s="2" t="s">
        <v>34</v>
      </c>
      <c r="L461" s="4" t="s">
        <v>13</v>
      </c>
      <c r="M461" s="4" t="str">
        <f t="shared" si="111"/>
        <v>1000184670100018619710001897691000189270BISCOITO</v>
      </c>
      <c r="N461" s="28">
        <f>N460*_xlfn.XLOOKUP($L461,'Balizador da Meta'!$B$4:$B$21,'Balizador da Meta'!$C$4:$C$21)</f>
        <v>168.00000000000003</v>
      </c>
      <c r="O461" s="28">
        <f>O460*_xlfn.XLOOKUP($L461,'Balizador da Meta'!$B$4:$B$21,'Balizador da Meta'!$C$4:$C$21)</f>
        <v>168.00000000000003</v>
      </c>
      <c r="P461" s="28">
        <f>P460*_xlfn.XLOOKUP($L461,'Balizador da Meta'!$B$4:$B$21,'Balizador da Meta'!$C$4:$C$21)</f>
        <v>168.00000000000003</v>
      </c>
      <c r="Q461" s="28">
        <f>Q460*_xlfn.XLOOKUP($L461,'Balizador da Meta'!$B$4:$B$21,'Balizador da Meta'!$C$4:$C$21)</f>
        <v>168.00000000000003</v>
      </c>
      <c r="R461" s="28">
        <f>R460*_xlfn.XLOOKUP($L461,'Balizador da Meta'!$B$4:$B$21,'Balizador da Meta'!$C$4:$C$21)</f>
        <v>168.00000000000003</v>
      </c>
      <c r="S461" s="28">
        <f>S460*_xlfn.XLOOKUP($L461,'Balizador da Meta'!$B$4:$B$21,'Balizador da Meta'!$C$4:$C$21)</f>
        <v>168.00000000000003</v>
      </c>
      <c r="T461" s="28">
        <f>T460*_xlfn.XLOOKUP($L461,'Balizador da Meta'!$B$4:$B$21,'Balizador da Meta'!$C$4:$C$21)</f>
        <v>168.00000000000003</v>
      </c>
      <c r="U461" s="28">
        <f>U460*_xlfn.XLOOKUP($L461,'Balizador da Meta'!$B$4:$B$21,'Balizador da Meta'!$C$4:$C$21)</f>
        <v>168.00000000000003</v>
      </c>
      <c r="V461" s="28">
        <f>V460*_xlfn.XLOOKUP($L461,'Balizador da Meta'!$B$4:$B$21,'Balizador da Meta'!$C$4:$C$21)</f>
        <v>168.00000000000003</v>
      </c>
      <c r="W461" s="28">
        <f>W460*_xlfn.XLOOKUP($L461,'Balizador da Meta'!$B$4:$B$21,'Balizador da Meta'!$C$4:$C$21)</f>
        <v>168.00000000000003</v>
      </c>
      <c r="X461" s="28">
        <f>X460*_xlfn.XLOOKUP($L461,'Balizador da Meta'!$B$4:$B$21,'Balizador da Meta'!$C$4:$C$21)</f>
        <v>168.00000000000003</v>
      </c>
      <c r="Y461" s="28">
        <f>Y460*_xlfn.XLOOKUP($L461,'Balizador da Meta'!$B$4:$B$21,'Balizador da Meta'!$C$4:$C$21)</f>
        <v>168.00000000000003</v>
      </c>
      <c r="Z461" s="30">
        <f t="shared" ref="Z461:Z478" si="114">SUM(N461:Y461)</f>
        <v>2016.0000000000002</v>
      </c>
      <c r="AA461" s="29"/>
      <c r="AB461" s="31">
        <f>SUMIFS('Historico - FAT'!AK:AK,'Historico - FAT'!$K:$K,Faturamento!$L461,'Historico - FAT'!$I:$I,Faturamento!$J461,'Historico - FAT'!$G:$G,Faturamento!$H461)</f>
        <v>0</v>
      </c>
      <c r="AC461" s="31">
        <f>SUMIFS('Historico - FAT'!AL:AL,'Historico - FAT'!$K:$K,Faturamento!$L461,'Historico - FAT'!$I:$I,Faturamento!$J461,'Historico - FAT'!$G:$G,Faturamento!$H461)</f>
        <v>36.618333333333332</v>
      </c>
      <c r="AD461" s="31">
        <f>SUMIFS('Historico - FAT'!AM:AM,'Historico - FAT'!$K:$K,Faturamento!$L461,'Historico - FAT'!$I:$I,Faturamento!$J461,'Historico - FAT'!$G:$G,Faturamento!$H461)</f>
        <v>73.236666666666665</v>
      </c>
      <c r="AE461" s="27">
        <f>SUMIFS('Historico - FAT'!AN:AN,'Historico - FAT'!$K:$K,Faturamento!$L461,'Historico - FAT'!$I:$I,Faturamento!$J461,'Historico - FAT'!$G:$G,Faturamento!$H461)</f>
        <v>43.942</v>
      </c>
      <c r="AG461" s="24">
        <f t="shared" si="105"/>
        <v>1</v>
      </c>
      <c r="AH461" s="24">
        <f t="shared" si="106"/>
        <v>0.78203373015873012</v>
      </c>
      <c r="AI461" s="24">
        <f t="shared" si="107"/>
        <v>0.56406746031746036</v>
      </c>
    </row>
    <row r="462" spans="1:35" hidden="1" x14ac:dyDescent="0.3">
      <c r="A462" s="2" t="str">
        <f t="shared" si="104"/>
        <v>NÃO</v>
      </c>
      <c r="B462" s="2">
        <v>1000184670</v>
      </c>
      <c r="C462" s="2" t="s">
        <v>147</v>
      </c>
      <c r="D462" s="4">
        <v>1000186197</v>
      </c>
      <c r="E462" s="4" t="s">
        <v>166</v>
      </c>
      <c r="F462" s="2">
        <v>1000184757</v>
      </c>
      <c r="G462" s="2" t="s">
        <v>62</v>
      </c>
      <c r="H462" s="4">
        <v>1000189769</v>
      </c>
      <c r="I462" s="4" t="s">
        <v>67</v>
      </c>
      <c r="J462" s="2">
        <v>1000189270</v>
      </c>
      <c r="K462" s="2" t="s">
        <v>34</v>
      </c>
      <c r="L462" s="4" t="s">
        <v>14</v>
      </c>
      <c r="M462" s="4" t="str">
        <f t="shared" si="111"/>
        <v>1000184670100018619710001897691000189270CHOCOLATES</v>
      </c>
      <c r="N462" s="28">
        <f>N460*_xlfn.XLOOKUP($L462,'Balizador da Meta'!$B$4:$B$21,'Balizador da Meta'!$C$4:$C$21)</f>
        <v>168.00000000000003</v>
      </c>
      <c r="O462" s="28">
        <f>O460*_xlfn.XLOOKUP($L462,'Balizador da Meta'!$B$4:$B$21,'Balizador da Meta'!$C$4:$C$21)</f>
        <v>168.00000000000003</v>
      </c>
      <c r="P462" s="28">
        <f>P460*_xlfn.XLOOKUP($L462,'Balizador da Meta'!$B$4:$B$21,'Balizador da Meta'!$C$4:$C$21)</f>
        <v>168.00000000000003</v>
      </c>
      <c r="Q462" s="28">
        <f>Q460*_xlfn.XLOOKUP($L462,'Balizador da Meta'!$B$4:$B$21,'Balizador da Meta'!$C$4:$C$21)</f>
        <v>168.00000000000003</v>
      </c>
      <c r="R462" s="28">
        <f>R460*_xlfn.XLOOKUP($L462,'Balizador da Meta'!$B$4:$B$21,'Balizador da Meta'!$C$4:$C$21)</f>
        <v>168.00000000000003</v>
      </c>
      <c r="S462" s="28">
        <f>S460*_xlfn.XLOOKUP($L462,'Balizador da Meta'!$B$4:$B$21,'Balizador da Meta'!$C$4:$C$21)</f>
        <v>168.00000000000003</v>
      </c>
      <c r="T462" s="28">
        <f>T460*_xlfn.XLOOKUP($L462,'Balizador da Meta'!$B$4:$B$21,'Balizador da Meta'!$C$4:$C$21)</f>
        <v>168.00000000000003</v>
      </c>
      <c r="U462" s="28">
        <f>U460*_xlfn.XLOOKUP($L462,'Balizador da Meta'!$B$4:$B$21,'Balizador da Meta'!$C$4:$C$21)</f>
        <v>168.00000000000003</v>
      </c>
      <c r="V462" s="28">
        <f>V460*_xlfn.XLOOKUP($L462,'Balizador da Meta'!$B$4:$B$21,'Balizador da Meta'!$C$4:$C$21)</f>
        <v>168.00000000000003</v>
      </c>
      <c r="W462" s="28">
        <f>W460*_xlfn.XLOOKUP($L462,'Balizador da Meta'!$B$4:$B$21,'Balizador da Meta'!$C$4:$C$21)</f>
        <v>168.00000000000003</v>
      </c>
      <c r="X462" s="28">
        <f>X460*_xlfn.XLOOKUP($L462,'Balizador da Meta'!$B$4:$B$21,'Balizador da Meta'!$C$4:$C$21)</f>
        <v>168.00000000000003</v>
      </c>
      <c r="Y462" s="28">
        <f>Y460*_xlfn.XLOOKUP($L462,'Balizador da Meta'!$B$4:$B$21,'Balizador da Meta'!$C$4:$C$21)</f>
        <v>168.00000000000003</v>
      </c>
      <c r="Z462" s="30">
        <f t="shared" si="114"/>
        <v>2016.0000000000002</v>
      </c>
      <c r="AA462" s="29"/>
      <c r="AB462" s="31">
        <f>SUMIFS('Historico - FAT'!AK:AK,'Historico - FAT'!$K:$K,Faturamento!$L462,'Historico - FAT'!$I:$I,Faturamento!$J462,'Historico - FAT'!$G:$G,Faturamento!$H462)</f>
        <v>0</v>
      </c>
      <c r="AC462" s="31">
        <f>SUMIFS('Historico - FAT'!AL:AL,'Historico - FAT'!$K:$K,Faturamento!$L462,'Historico - FAT'!$I:$I,Faturamento!$J462,'Historico - FAT'!$G:$G,Faturamento!$H462)</f>
        <v>38.744999999999997</v>
      </c>
      <c r="AD462" s="31">
        <f>SUMIFS('Historico - FAT'!AM:AM,'Historico - FAT'!$K:$K,Faturamento!$L462,'Historico - FAT'!$I:$I,Faturamento!$J462,'Historico - FAT'!$G:$G,Faturamento!$H462)</f>
        <v>77.489999999999995</v>
      </c>
      <c r="AE462" s="27">
        <f>SUMIFS('Historico - FAT'!AN:AN,'Historico - FAT'!$K:$K,Faturamento!$L462,'Historico - FAT'!$I:$I,Faturamento!$J462,'Historico - FAT'!$G:$G,Faturamento!$H462)</f>
        <v>46.494</v>
      </c>
      <c r="AG462" s="24">
        <f t="shared" si="105"/>
        <v>1</v>
      </c>
      <c r="AH462" s="24">
        <f t="shared" si="106"/>
        <v>0.76937500000000003</v>
      </c>
      <c r="AI462" s="24">
        <f t="shared" si="107"/>
        <v>0.53875000000000006</v>
      </c>
    </row>
    <row r="463" spans="1:35" hidden="1" x14ac:dyDescent="0.3">
      <c r="A463" s="2" t="str">
        <f t="shared" si="104"/>
        <v>NÃO</v>
      </c>
      <c r="B463" s="2">
        <v>1000184670</v>
      </c>
      <c r="C463" s="2" t="s">
        <v>147</v>
      </c>
      <c r="D463" s="4">
        <v>1000186197</v>
      </c>
      <c r="E463" s="4" t="s">
        <v>166</v>
      </c>
      <c r="F463" s="2">
        <v>1000184757</v>
      </c>
      <c r="G463" s="2" t="s">
        <v>62</v>
      </c>
      <c r="H463" s="4">
        <v>1000189769</v>
      </c>
      <c r="I463" s="4" t="s">
        <v>67</v>
      </c>
      <c r="J463" s="2">
        <v>1000189270</v>
      </c>
      <c r="K463" s="2" t="s">
        <v>34</v>
      </c>
      <c r="L463" s="4" t="s">
        <v>16</v>
      </c>
      <c r="M463" s="4" t="str">
        <f t="shared" si="111"/>
        <v>1000184670100018619710001897691000189270DISNEY</v>
      </c>
      <c r="N463" s="28">
        <f>N460*_xlfn.XLOOKUP($L463,'Balizador da Meta'!$B$4:$B$21,'Balizador da Meta'!$C$4:$C$21)</f>
        <v>192</v>
      </c>
      <c r="O463" s="28">
        <f>O460*_xlfn.XLOOKUP($L463,'Balizador da Meta'!$B$4:$B$21,'Balizador da Meta'!$C$4:$C$21)</f>
        <v>192</v>
      </c>
      <c r="P463" s="28">
        <f>P460*_xlfn.XLOOKUP($L463,'Balizador da Meta'!$B$4:$B$21,'Balizador da Meta'!$C$4:$C$21)</f>
        <v>192</v>
      </c>
      <c r="Q463" s="28">
        <f>Q460*_xlfn.XLOOKUP($L463,'Balizador da Meta'!$B$4:$B$21,'Balizador da Meta'!$C$4:$C$21)</f>
        <v>192</v>
      </c>
      <c r="R463" s="28">
        <f>R460*_xlfn.XLOOKUP($L463,'Balizador da Meta'!$B$4:$B$21,'Balizador da Meta'!$C$4:$C$21)</f>
        <v>192</v>
      </c>
      <c r="S463" s="28">
        <f>S460*_xlfn.XLOOKUP($L463,'Balizador da Meta'!$B$4:$B$21,'Balizador da Meta'!$C$4:$C$21)</f>
        <v>192</v>
      </c>
      <c r="T463" s="28">
        <f>T460*_xlfn.XLOOKUP($L463,'Balizador da Meta'!$B$4:$B$21,'Balizador da Meta'!$C$4:$C$21)</f>
        <v>192</v>
      </c>
      <c r="U463" s="28">
        <f>U460*_xlfn.XLOOKUP($L463,'Balizador da Meta'!$B$4:$B$21,'Balizador da Meta'!$C$4:$C$21)</f>
        <v>192</v>
      </c>
      <c r="V463" s="28">
        <f>V460*_xlfn.XLOOKUP($L463,'Balizador da Meta'!$B$4:$B$21,'Balizador da Meta'!$C$4:$C$21)</f>
        <v>192</v>
      </c>
      <c r="W463" s="28">
        <f>W460*_xlfn.XLOOKUP($L463,'Balizador da Meta'!$B$4:$B$21,'Balizador da Meta'!$C$4:$C$21)</f>
        <v>192</v>
      </c>
      <c r="X463" s="28">
        <f>X460*_xlfn.XLOOKUP($L463,'Balizador da Meta'!$B$4:$B$21,'Balizador da Meta'!$C$4:$C$21)</f>
        <v>192</v>
      </c>
      <c r="Y463" s="28">
        <f>Y460*_xlfn.XLOOKUP($L463,'Balizador da Meta'!$B$4:$B$21,'Balizador da Meta'!$C$4:$C$21)</f>
        <v>192</v>
      </c>
      <c r="Z463" s="30">
        <f t="shared" si="114"/>
        <v>2304</v>
      </c>
      <c r="AA463" s="29"/>
      <c r="AB463" s="31">
        <f>SUMIFS('Historico - FAT'!AK:AK,'Historico - FAT'!$K:$K,Faturamento!$L463,'Historico - FAT'!$I:$I,Faturamento!$J463,'Historico - FAT'!$G:$G,Faturamento!$H463)</f>
        <v>0</v>
      </c>
      <c r="AC463" s="31">
        <f>SUMIFS('Historico - FAT'!AL:AL,'Historico - FAT'!$K:$K,Faturamento!$L463,'Historico - FAT'!$I:$I,Faturamento!$J463,'Historico - FAT'!$G:$G,Faturamento!$H463)</f>
        <v>4.5674999999999999</v>
      </c>
      <c r="AD463" s="31">
        <f>SUMIFS('Historico - FAT'!AM:AM,'Historico - FAT'!$K:$K,Faturamento!$L463,'Historico - FAT'!$I:$I,Faturamento!$J463,'Historico - FAT'!$G:$G,Faturamento!$H463)</f>
        <v>9.1349999999999998</v>
      </c>
      <c r="AE463" s="27">
        <f>SUMIFS('Historico - FAT'!AN:AN,'Historico - FAT'!$K:$K,Faturamento!$L463,'Historico - FAT'!$I:$I,Faturamento!$J463,'Historico - FAT'!$G:$G,Faturamento!$H463)</f>
        <v>5.4809999999999999</v>
      </c>
      <c r="AG463" s="24">
        <f t="shared" si="105"/>
        <v>1</v>
      </c>
      <c r="AH463" s="24">
        <f t="shared" si="106"/>
        <v>0.97621093749999999</v>
      </c>
      <c r="AI463" s="24">
        <f t="shared" si="107"/>
        <v>0.95242187500000008</v>
      </c>
    </row>
    <row r="464" spans="1:35" hidden="1" x14ac:dyDescent="0.3">
      <c r="A464" s="2" t="str">
        <f t="shared" si="104"/>
        <v>NÃO</v>
      </c>
      <c r="B464" s="2">
        <v>1000184670</v>
      </c>
      <c r="C464" s="2" t="s">
        <v>147</v>
      </c>
      <c r="D464" s="4">
        <v>1000186197</v>
      </c>
      <c r="E464" s="4" t="s">
        <v>166</v>
      </c>
      <c r="F464" s="2">
        <v>1000184757</v>
      </c>
      <c r="G464" s="2" t="s">
        <v>62</v>
      </c>
      <c r="H464" s="4">
        <v>1000189769</v>
      </c>
      <c r="I464" s="4" t="s">
        <v>67</v>
      </c>
      <c r="J464" s="2">
        <v>1000189270</v>
      </c>
      <c r="K464" s="2" t="s">
        <v>34</v>
      </c>
      <c r="L464" s="4" t="s">
        <v>15</v>
      </c>
      <c r="M464" s="4" t="str">
        <f t="shared" si="111"/>
        <v>1000184670100018619710001897691000189270DOCES</v>
      </c>
      <c r="N464" s="28">
        <f>N460*_xlfn.XLOOKUP($L464,'Balizador da Meta'!$B$4:$B$21,'Balizador da Meta'!$C$4:$C$21)</f>
        <v>216</v>
      </c>
      <c r="O464" s="28">
        <f>O460*_xlfn.XLOOKUP($L464,'Balizador da Meta'!$B$4:$B$21,'Balizador da Meta'!$C$4:$C$21)</f>
        <v>216</v>
      </c>
      <c r="P464" s="28">
        <f>P460*_xlfn.XLOOKUP($L464,'Balizador da Meta'!$B$4:$B$21,'Balizador da Meta'!$C$4:$C$21)</f>
        <v>216</v>
      </c>
      <c r="Q464" s="28">
        <f>Q460*_xlfn.XLOOKUP($L464,'Balizador da Meta'!$B$4:$B$21,'Balizador da Meta'!$C$4:$C$21)</f>
        <v>216</v>
      </c>
      <c r="R464" s="28">
        <f>R460*_xlfn.XLOOKUP($L464,'Balizador da Meta'!$B$4:$B$21,'Balizador da Meta'!$C$4:$C$21)</f>
        <v>216</v>
      </c>
      <c r="S464" s="28">
        <f>S460*_xlfn.XLOOKUP($L464,'Balizador da Meta'!$B$4:$B$21,'Balizador da Meta'!$C$4:$C$21)</f>
        <v>216</v>
      </c>
      <c r="T464" s="28">
        <f>T460*_xlfn.XLOOKUP($L464,'Balizador da Meta'!$B$4:$B$21,'Balizador da Meta'!$C$4:$C$21)</f>
        <v>216</v>
      </c>
      <c r="U464" s="28">
        <f>U460*_xlfn.XLOOKUP($L464,'Balizador da Meta'!$B$4:$B$21,'Balizador da Meta'!$C$4:$C$21)</f>
        <v>216</v>
      </c>
      <c r="V464" s="28">
        <f>V460*_xlfn.XLOOKUP($L464,'Balizador da Meta'!$B$4:$B$21,'Balizador da Meta'!$C$4:$C$21)</f>
        <v>216</v>
      </c>
      <c r="W464" s="28">
        <f>W460*_xlfn.XLOOKUP($L464,'Balizador da Meta'!$B$4:$B$21,'Balizador da Meta'!$C$4:$C$21)</f>
        <v>216</v>
      </c>
      <c r="X464" s="28">
        <f>X460*_xlfn.XLOOKUP($L464,'Balizador da Meta'!$B$4:$B$21,'Balizador da Meta'!$C$4:$C$21)</f>
        <v>216</v>
      </c>
      <c r="Y464" s="28">
        <f>Y460*_xlfn.XLOOKUP($L464,'Balizador da Meta'!$B$4:$B$21,'Balizador da Meta'!$C$4:$C$21)</f>
        <v>216</v>
      </c>
      <c r="Z464" s="30">
        <f t="shared" si="114"/>
        <v>2592</v>
      </c>
      <c r="AA464" s="29"/>
      <c r="AB464" s="31">
        <f>SUMIFS('Historico - FAT'!AK:AK,'Historico - FAT'!$K:$K,Faturamento!$L464,'Historico - FAT'!$I:$I,Faturamento!$J464,'Historico - FAT'!$G:$G,Faturamento!$H464)</f>
        <v>0</v>
      </c>
      <c r="AC464" s="31">
        <f>SUMIFS('Historico - FAT'!AL:AL,'Historico - FAT'!$K:$K,Faturamento!$L464,'Historico - FAT'!$I:$I,Faturamento!$J464,'Historico - FAT'!$G:$G,Faturamento!$H464)</f>
        <v>63.2425</v>
      </c>
      <c r="AD464" s="31">
        <f>SUMIFS('Historico - FAT'!AM:AM,'Historico - FAT'!$K:$K,Faturamento!$L464,'Historico - FAT'!$I:$I,Faturamento!$J464,'Historico - FAT'!$G:$G,Faturamento!$H464)</f>
        <v>126.485</v>
      </c>
      <c r="AE464" s="27">
        <f>SUMIFS('Historico - FAT'!AN:AN,'Historico - FAT'!$K:$K,Faturamento!$L464,'Historico - FAT'!$I:$I,Faturamento!$J464,'Historico - FAT'!$G:$G,Faturamento!$H464)</f>
        <v>75.890999999999991</v>
      </c>
      <c r="AG464" s="24">
        <f t="shared" si="105"/>
        <v>1</v>
      </c>
      <c r="AH464" s="24">
        <f t="shared" si="106"/>
        <v>0.70721064814814816</v>
      </c>
      <c r="AI464" s="24">
        <f t="shared" si="107"/>
        <v>0.41442129629629632</v>
      </c>
    </row>
    <row r="465" spans="1:35" hidden="1" x14ac:dyDescent="0.3">
      <c r="A465" s="2" t="str">
        <f t="shared" si="104"/>
        <v>NÃO</v>
      </c>
      <c r="B465" s="2">
        <v>1000184670</v>
      </c>
      <c r="C465" s="2" t="s">
        <v>147</v>
      </c>
      <c r="D465" s="4">
        <v>1000186197</v>
      </c>
      <c r="E465" s="4" t="s">
        <v>166</v>
      </c>
      <c r="F465" s="2">
        <v>1000184757</v>
      </c>
      <c r="G465" s="2" t="s">
        <v>62</v>
      </c>
      <c r="H465" s="4">
        <v>1000189769</v>
      </c>
      <c r="I465" s="4" t="s">
        <v>67</v>
      </c>
      <c r="J465" s="2">
        <v>1000189270</v>
      </c>
      <c r="K465" s="2" t="s">
        <v>34</v>
      </c>
      <c r="L465" s="4" t="s">
        <v>33</v>
      </c>
      <c r="M465" s="4" t="str">
        <f t="shared" si="111"/>
        <v>1000184670100018619710001897691000189270FOOD SERVICE</v>
      </c>
      <c r="N465" s="28">
        <f>N460*_xlfn.XLOOKUP($L465,'Balizador da Meta'!$B$4:$B$21,'Balizador da Meta'!$C$4:$C$21)</f>
        <v>0</v>
      </c>
      <c r="O465" s="28">
        <f>O460*_xlfn.XLOOKUP($L465,'Balizador da Meta'!$B$4:$B$21,'Balizador da Meta'!$C$4:$C$21)</f>
        <v>0</v>
      </c>
      <c r="P465" s="28">
        <f>P460*_xlfn.XLOOKUP($L465,'Balizador da Meta'!$B$4:$B$21,'Balizador da Meta'!$C$4:$C$21)</f>
        <v>0</v>
      </c>
      <c r="Q465" s="28">
        <f>Q460*_xlfn.XLOOKUP($L465,'Balizador da Meta'!$B$4:$B$21,'Balizador da Meta'!$C$4:$C$21)</f>
        <v>0</v>
      </c>
      <c r="R465" s="28">
        <f>R460*_xlfn.XLOOKUP($L465,'Balizador da Meta'!$B$4:$B$21,'Balizador da Meta'!$C$4:$C$21)</f>
        <v>0</v>
      </c>
      <c r="S465" s="28">
        <f>S460*_xlfn.XLOOKUP($L465,'Balizador da Meta'!$B$4:$B$21,'Balizador da Meta'!$C$4:$C$21)</f>
        <v>0</v>
      </c>
      <c r="T465" s="28">
        <f>T460*_xlfn.XLOOKUP($L465,'Balizador da Meta'!$B$4:$B$21,'Balizador da Meta'!$C$4:$C$21)</f>
        <v>0</v>
      </c>
      <c r="U465" s="28">
        <f>U460*_xlfn.XLOOKUP($L465,'Balizador da Meta'!$B$4:$B$21,'Balizador da Meta'!$C$4:$C$21)</f>
        <v>0</v>
      </c>
      <c r="V465" s="28">
        <f>V460*_xlfn.XLOOKUP($L465,'Balizador da Meta'!$B$4:$B$21,'Balizador da Meta'!$C$4:$C$21)</f>
        <v>0</v>
      </c>
      <c r="W465" s="28">
        <f>W460*_xlfn.XLOOKUP($L465,'Balizador da Meta'!$B$4:$B$21,'Balizador da Meta'!$C$4:$C$21)</f>
        <v>0</v>
      </c>
      <c r="X465" s="28">
        <f>X460*_xlfn.XLOOKUP($L465,'Balizador da Meta'!$B$4:$B$21,'Balizador da Meta'!$C$4:$C$21)</f>
        <v>0</v>
      </c>
      <c r="Y465" s="28">
        <f>Y460*_xlfn.XLOOKUP($L465,'Balizador da Meta'!$B$4:$B$21,'Balizador da Meta'!$C$4:$C$21)</f>
        <v>0</v>
      </c>
      <c r="Z465" s="30">
        <f t="shared" si="114"/>
        <v>0</v>
      </c>
      <c r="AA465" s="29"/>
      <c r="AB465" s="31">
        <f>SUMIFS('Historico - FAT'!AK:AK,'Historico - FAT'!$K:$K,Faturamento!$L465,'Historico - FAT'!$I:$I,Faturamento!$J465,'Historico - FAT'!$G:$G,Faturamento!$H465)</f>
        <v>0</v>
      </c>
      <c r="AC465" s="31">
        <f>SUMIFS('Historico - FAT'!AL:AL,'Historico - FAT'!$K:$K,Faturamento!$L465,'Historico - FAT'!$I:$I,Faturamento!$J465,'Historico - FAT'!$G:$G,Faturamento!$H465)</f>
        <v>0</v>
      </c>
      <c r="AD465" s="31">
        <f>SUMIFS('Historico - FAT'!AM:AM,'Historico - FAT'!$K:$K,Faturamento!$L465,'Historico - FAT'!$I:$I,Faturamento!$J465,'Historico - FAT'!$G:$G,Faturamento!$H465)</f>
        <v>0</v>
      </c>
      <c r="AE465" s="27">
        <f>SUMIFS('Historico - FAT'!AN:AN,'Historico - FAT'!$K:$K,Faturamento!$L465,'Historico - FAT'!$I:$I,Faturamento!$J465,'Historico - FAT'!$G:$G,Faturamento!$H465)</f>
        <v>0</v>
      </c>
      <c r="AG465" s="24" t="str">
        <f t="shared" si="105"/>
        <v/>
      </c>
      <c r="AH465" s="24" t="str">
        <f t="shared" si="106"/>
        <v/>
      </c>
      <c r="AI465" s="24" t="str">
        <f t="shared" si="107"/>
        <v/>
      </c>
    </row>
    <row r="466" spans="1:35" hidden="1" x14ac:dyDescent="0.3">
      <c r="A466" s="2" t="str">
        <f t="shared" si="104"/>
        <v>NÃO</v>
      </c>
      <c r="B466" s="2">
        <v>1000184670</v>
      </c>
      <c r="C466" s="2" t="s">
        <v>147</v>
      </c>
      <c r="D466" s="4">
        <v>1000186197</v>
      </c>
      <c r="E466" s="4" t="s">
        <v>166</v>
      </c>
      <c r="F466" s="2">
        <v>1000184757</v>
      </c>
      <c r="G466" s="2" t="s">
        <v>62</v>
      </c>
      <c r="H466" s="4">
        <v>1000189769</v>
      </c>
      <c r="I466" s="4" t="s">
        <v>67</v>
      </c>
      <c r="J466" s="2">
        <v>1000189270</v>
      </c>
      <c r="K466" s="2" t="s">
        <v>34</v>
      </c>
      <c r="L466" s="4" t="s">
        <v>19</v>
      </c>
      <c r="M466" s="4" t="str">
        <f t="shared" si="111"/>
        <v>1000184670100018619710001897691000189270GELEIA</v>
      </c>
      <c r="N466" s="28">
        <f>N460*_xlfn.XLOOKUP($L466,'Balizador da Meta'!$B$4:$B$21,'Balizador da Meta'!$C$4:$C$21)</f>
        <v>47.999999999999993</v>
      </c>
      <c r="O466" s="28">
        <f>O460*_xlfn.XLOOKUP($L466,'Balizador da Meta'!$B$4:$B$21,'Balizador da Meta'!$C$4:$C$21)</f>
        <v>47.999999999999993</v>
      </c>
      <c r="P466" s="28">
        <f>P460*_xlfn.XLOOKUP($L466,'Balizador da Meta'!$B$4:$B$21,'Balizador da Meta'!$C$4:$C$21)</f>
        <v>47.999999999999993</v>
      </c>
      <c r="Q466" s="28">
        <f>Q460*_xlfn.XLOOKUP($L466,'Balizador da Meta'!$B$4:$B$21,'Balizador da Meta'!$C$4:$C$21)</f>
        <v>47.999999999999993</v>
      </c>
      <c r="R466" s="28">
        <f>R460*_xlfn.XLOOKUP($L466,'Balizador da Meta'!$B$4:$B$21,'Balizador da Meta'!$C$4:$C$21)</f>
        <v>47.999999999999993</v>
      </c>
      <c r="S466" s="28">
        <f>S460*_xlfn.XLOOKUP($L466,'Balizador da Meta'!$B$4:$B$21,'Balizador da Meta'!$C$4:$C$21)</f>
        <v>47.999999999999993</v>
      </c>
      <c r="T466" s="28">
        <f>T460*_xlfn.XLOOKUP($L466,'Balizador da Meta'!$B$4:$B$21,'Balizador da Meta'!$C$4:$C$21)</f>
        <v>47.999999999999993</v>
      </c>
      <c r="U466" s="28">
        <f>U460*_xlfn.XLOOKUP($L466,'Balizador da Meta'!$B$4:$B$21,'Balizador da Meta'!$C$4:$C$21)</f>
        <v>47.999999999999993</v>
      </c>
      <c r="V466" s="28">
        <f>V460*_xlfn.XLOOKUP($L466,'Balizador da Meta'!$B$4:$B$21,'Balizador da Meta'!$C$4:$C$21)</f>
        <v>47.999999999999993</v>
      </c>
      <c r="W466" s="28">
        <f>W460*_xlfn.XLOOKUP($L466,'Balizador da Meta'!$B$4:$B$21,'Balizador da Meta'!$C$4:$C$21)</f>
        <v>47.999999999999993</v>
      </c>
      <c r="X466" s="28">
        <f>X460*_xlfn.XLOOKUP($L466,'Balizador da Meta'!$B$4:$B$21,'Balizador da Meta'!$C$4:$C$21)</f>
        <v>47.999999999999993</v>
      </c>
      <c r="Y466" s="28">
        <f>Y460*_xlfn.XLOOKUP($L466,'Balizador da Meta'!$B$4:$B$21,'Balizador da Meta'!$C$4:$C$21)</f>
        <v>47.999999999999993</v>
      </c>
      <c r="Z466" s="30">
        <f t="shared" si="114"/>
        <v>575.99999999999989</v>
      </c>
      <c r="AA466" s="29"/>
      <c r="AB466" s="31">
        <f>SUMIFS('Historico - FAT'!AK:AK,'Historico - FAT'!$K:$K,Faturamento!$L466,'Historico - FAT'!$I:$I,Faturamento!$J466,'Historico - FAT'!$G:$G,Faturamento!$H466)</f>
        <v>0</v>
      </c>
      <c r="AC466" s="31">
        <f>SUMIFS('Historico - FAT'!AL:AL,'Historico - FAT'!$K:$K,Faturamento!$L466,'Historico - FAT'!$I:$I,Faturamento!$J466,'Historico - FAT'!$G:$G,Faturamento!$H466)</f>
        <v>53.977499999999999</v>
      </c>
      <c r="AD466" s="31">
        <f>SUMIFS('Historico - FAT'!AM:AM,'Historico - FAT'!$K:$K,Faturamento!$L466,'Historico - FAT'!$I:$I,Faturamento!$J466,'Historico - FAT'!$G:$G,Faturamento!$H466)</f>
        <v>107.955</v>
      </c>
      <c r="AE466" s="27">
        <f>SUMIFS('Historico - FAT'!AN:AN,'Historico - FAT'!$K:$K,Faturamento!$L466,'Historico - FAT'!$I:$I,Faturamento!$J466,'Historico - FAT'!$G:$G,Faturamento!$H466)</f>
        <v>64.772999999999996</v>
      </c>
      <c r="AG466" s="24">
        <f t="shared" si="105"/>
        <v>1</v>
      </c>
      <c r="AH466" s="24">
        <f t="shared" si="106"/>
        <v>-0.12453125000000015</v>
      </c>
      <c r="AI466" s="24">
        <f t="shared" si="107"/>
        <v>-1.2490625000000002</v>
      </c>
    </row>
    <row r="467" spans="1:35" hidden="1" x14ac:dyDescent="0.3">
      <c r="A467" s="2" t="str">
        <f t="shared" si="104"/>
        <v>NÃO</v>
      </c>
      <c r="B467" s="2">
        <v>1000184670</v>
      </c>
      <c r="C467" s="2" t="s">
        <v>147</v>
      </c>
      <c r="D467" s="4">
        <v>1000186197</v>
      </c>
      <c r="E467" s="4" t="s">
        <v>166</v>
      </c>
      <c r="F467" s="2">
        <v>1000184757</v>
      </c>
      <c r="G467" s="2" t="s">
        <v>62</v>
      </c>
      <c r="H467" s="4">
        <v>1000189769</v>
      </c>
      <c r="I467" s="4" t="s">
        <v>67</v>
      </c>
      <c r="J467" s="2">
        <v>1000189270</v>
      </c>
      <c r="K467" s="2" t="s">
        <v>34</v>
      </c>
      <c r="L467" s="4" t="s">
        <v>17</v>
      </c>
      <c r="M467" s="4" t="str">
        <f t="shared" si="111"/>
        <v>1000184670100018619710001897691000189270GRANOLA</v>
      </c>
      <c r="N467" s="28">
        <f>N460*_xlfn.XLOOKUP($L467,'Balizador da Meta'!$B$4:$B$21,'Balizador da Meta'!$C$4:$C$21)</f>
        <v>48</v>
      </c>
      <c r="O467" s="28">
        <f>O460*_xlfn.XLOOKUP($L467,'Balizador da Meta'!$B$4:$B$21,'Balizador da Meta'!$C$4:$C$21)</f>
        <v>48</v>
      </c>
      <c r="P467" s="28">
        <f>P460*_xlfn.XLOOKUP($L467,'Balizador da Meta'!$B$4:$B$21,'Balizador da Meta'!$C$4:$C$21)</f>
        <v>48</v>
      </c>
      <c r="Q467" s="28">
        <f>Q460*_xlfn.XLOOKUP($L467,'Balizador da Meta'!$B$4:$B$21,'Balizador da Meta'!$C$4:$C$21)</f>
        <v>48</v>
      </c>
      <c r="R467" s="28">
        <f>R460*_xlfn.XLOOKUP($L467,'Balizador da Meta'!$B$4:$B$21,'Balizador da Meta'!$C$4:$C$21)</f>
        <v>48</v>
      </c>
      <c r="S467" s="28">
        <f>S460*_xlfn.XLOOKUP($L467,'Balizador da Meta'!$B$4:$B$21,'Balizador da Meta'!$C$4:$C$21)</f>
        <v>48</v>
      </c>
      <c r="T467" s="28">
        <f>T460*_xlfn.XLOOKUP($L467,'Balizador da Meta'!$B$4:$B$21,'Balizador da Meta'!$C$4:$C$21)</f>
        <v>48</v>
      </c>
      <c r="U467" s="28">
        <f>U460*_xlfn.XLOOKUP($L467,'Balizador da Meta'!$B$4:$B$21,'Balizador da Meta'!$C$4:$C$21)</f>
        <v>48</v>
      </c>
      <c r="V467" s="28">
        <f>V460*_xlfn.XLOOKUP($L467,'Balizador da Meta'!$B$4:$B$21,'Balizador da Meta'!$C$4:$C$21)</f>
        <v>48</v>
      </c>
      <c r="W467" s="28">
        <f>W460*_xlfn.XLOOKUP($L467,'Balizador da Meta'!$B$4:$B$21,'Balizador da Meta'!$C$4:$C$21)</f>
        <v>48</v>
      </c>
      <c r="X467" s="28">
        <f>X460*_xlfn.XLOOKUP($L467,'Balizador da Meta'!$B$4:$B$21,'Balizador da Meta'!$C$4:$C$21)</f>
        <v>48</v>
      </c>
      <c r="Y467" s="28">
        <f>Y460*_xlfn.XLOOKUP($L467,'Balizador da Meta'!$B$4:$B$21,'Balizador da Meta'!$C$4:$C$21)</f>
        <v>48</v>
      </c>
      <c r="Z467" s="30">
        <f t="shared" si="114"/>
        <v>576</v>
      </c>
      <c r="AA467" s="29"/>
      <c r="AB467" s="31">
        <f>SUMIFS('Historico - FAT'!AK:AK,'Historico - FAT'!$K:$K,Faturamento!$L467,'Historico - FAT'!$I:$I,Faturamento!$J467,'Historico - FAT'!$G:$G,Faturamento!$H467)</f>
        <v>0</v>
      </c>
      <c r="AC467" s="31">
        <f>SUMIFS('Historico - FAT'!AL:AL,'Historico - FAT'!$K:$K,Faturamento!$L467,'Historico - FAT'!$I:$I,Faturamento!$J467,'Historico - FAT'!$G:$G,Faturamento!$H467)</f>
        <v>7.6499999999999995</v>
      </c>
      <c r="AD467" s="31">
        <f>SUMIFS('Historico - FAT'!AM:AM,'Historico - FAT'!$K:$K,Faturamento!$L467,'Historico - FAT'!$I:$I,Faturamento!$J467,'Historico - FAT'!$G:$G,Faturamento!$H467)</f>
        <v>15.299999999999999</v>
      </c>
      <c r="AE467" s="27">
        <f>SUMIFS('Historico - FAT'!AN:AN,'Historico - FAT'!$K:$K,Faturamento!$L467,'Historico - FAT'!$I:$I,Faturamento!$J467,'Historico - FAT'!$G:$G,Faturamento!$H467)</f>
        <v>9.18</v>
      </c>
      <c r="AG467" s="24">
        <f t="shared" si="105"/>
        <v>1</v>
      </c>
      <c r="AH467" s="24">
        <f t="shared" si="106"/>
        <v>0.84062500000000007</v>
      </c>
      <c r="AI467" s="24">
        <f t="shared" si="107"/>
        <v>0.68125000000000002</v>
      </c>
    </row>
    <row r="468" spans="1:35" hidden="1" x14ac:dyDescent="0.3">
      <c r="A468" s="2" t="str">
        <f t="shared" si="104"/>
        <v>NÃO</v>
      </c>
      <c r="B468" s="2">
        <v>1000184670</v>
      </c>
      <c r="C468" s="2" t="s">
        <v>147</v>
      </c>
      <c r="D468" s="4">
        <v>1000186197</v>
      </c>
      <c r="E468" s="4" t="s">
        <v>166</v>
      </c>
      <c r="F468" s="2">
        <v>1000184757</v>
      </c>
      <c r="G468" s="2" t="s">
        <v>62</v>
      </c>
      <c r="H468" s="4">
        <v>1000189769</v>
      </c>
      <c r="I468" s="4" t="s">
        <v>67</v>
      </c>
      <c r="J468" s="2">
        <v>1000189270</v>
      </c>
      <c r="K468" s="2" t="s">
        <v>34</v>
      </c>
      <c r="L468" s="4" t="s">
        <v>24</v>
      </c>
      <c r="M468" s="4" t="str">
        <f t="shared" si="111"/>
        <v>1000184670100018619710001897691000189270KIDS</v>
      </c>
      <c r="N468" s="28">
        <f>N460*_xlfn.XLOOKUP($L468,'Balizador da Meta'!$B$4:$B$21,'Balizador da Meta'!$C$4:$C$21)</f>
        <v>0</v>
      </c>
      <c r="O468" s="28">
        <f>O460*_xlfn.XLOOKUP($L468,'Balizador da Meta'!$B$4:$B$21,'Balizador da Meta'!$C$4:$C$21)</f>
        <v>0</v>
      </c>
      <c r="P468" s="28">
        <f>P460*_xlfn.XLOOKUP($L468,'Balizador da Meta'!$B$4:$B$21,'Balizador da Meta'!$C$4:$C$21)</f>
        <v>0</v>
      </c>
      <c r="Q468" s="28">
        <f>Q460*_xlfn.XLOOKUP($L468,'Balizador da Meta'!$B$4:$B$21,'Balizador da Meta'!$C$4:$C$21)</f>
        <v>0</v>
      </c>
      <c r="R468" s="28">
        <f>R460*_xlfn.XLOOKUP($L468,'Balizador da Meta'!$B$4:$B$21,'Balizador da Meta'!$C$4:$C$21)</f>
        <v>0</v>
      </c>
      <c r="S468" s="28">
        <f>S460*_xlfn.XLOOKUP($L468,'Balizador da Meta'!$B$4:$B$21,'Balizador da Meta'!$C$4:$C$21)</f>
        <v>0</v>
      </c>
      <c r="T468" s="28">
        <f>T460*_xlfn.XLOOKUP($L468,'Balizador da Meta'!$B$4:$B$21,'Balizador da Meta'!$C$4:$C$21)</f>
        <v>0</v>
      </c>
      <c r="U468" s="28">
        <f>U460*_xlfn.XLOOKUP($L468,'Balizador da Meta'!$B$4:$B$21,'Balizador da Meta'!$C$4:$C$21)</f>
        <v>0</v>
      </c>
      <c r="V468" s="28">
        <f>V460*_xlfn.XLOOKUP($L468,'Balizador da Meta'!$B$4:$B$21,'Balizador da Meta'!$C$4:$C$21)</f>
        <v>0</v>
      </c>
      <c r="W468" s="28">
        <f>W460*_xlfn.XLOOKUP($L468,'Balizador da Meta'!$B$4:$B$21,'Balizador da Meta'!$C$4:$C$21)</f>
        <v>0</v>
      </c>
      <c r="X468" s="28">
        <f>X460*_xlfn.XLOOKUP($L468,'Balizador da Meta'!$B$4:$B$21,'Balizador da Meta'!$C$4:$C$21)</f>
        <v>0</v>
      </c>
      <c r="Y468" s="28">
        <f>Y460*_xlfn.XLOOKUP($L468,'Balizador da Meta'!$B$4:$B$21,'Balizador da Meta'!$C$4:$C$21)</f>
        <v>0</v>
      </c>
      <c r="Z468" s="30">
        <f t="shared" si="114"/>
        <v>0</v>
      </c>
      <c r="AA468" s="29"/>
      <c r="AB468" s="31">
        <f>SUMIFS('Historico - FAT'!AK:AK,'Historico - FAT'!$K:$K,Faturamento!$L468,'Historico - FAT'!$I:$I,Faturamento!$J468,'Historico - FAT'!$G:$G,Faturamento!$H468)</f>
        <v>0</v>
      </c>
      <c r="AC468" s="31">
        <f>SUMIFS('Historico - FAT'!AL:AL,'Historico - FAT'!$K:$K,Faturamento!$L468,'Historico - FAT'!$I:$I,Faturamento!$J468,'Historico - FAT'!$G:$G,Faturamento!$H468)</f>
        <v>0</v>
      </c>
      <c r="AD468" s="31">
        <f>SUMIFS('Historico - FAT'!AM:AM,'Historico - FAT'!$K:$K,Faturamento!$L468,'Historico - FAT'!$I:$I,Faturamento!$J468,'Historico - FAT'!$G:$G,Faturamento!$H468)</f>
        <v>0</v>
      </c>
      <c r="AE468" s="27">
        <f>SUMIFS('Historico - FAT'!AN:AN,'Historico - FAT'!$K:$K,Faturamento!$L468,'Historico - FAT'!$I:$I,Faturamento!$J468,'Historico - FAT'!$G:$G,Faturamento!$H468)</f>
        <v>0</v>
      </c>
      <c r="AG468" s="24" t="str">
        <f t="shared" si="105"/>
        <v/>
      </c>
      <c r="AH468" s="24" t="str">
        <f t="shared" si="106"/>
        <v/>
      </c>
      <c r="AI468" s="24" t="str">
        <f t="shared" si="107"/>
        <v/>
      </c>
    </row>
    <row r="469" spans="1:35" hidden="1" x14ac:dyDescent="0.3">
      <c r="A469" s="2" t="str">
        <f t="shared" si="104"/>
        <v>NÃO</v>
      </c>
      <c r="B469" s="2">
        <v>1000184670</v>
      </c>
      <c r="C469" s="2" t="s">
        <v>147</v>
      </c>
      <c r="D469" s="4">
        <v>1000186197</v>
      </c>
      <c r="E469" s="4" t="s">
        <v>166</v>
      </c>
      <c r="F469" s="2">
        <v>1000184757</v>
      </c>
      <c r="G469" s="2" t="s">
        <v>62</v>
      </c>
      <c r="H469" s="4">
        <v>1000189769</v>
      </c>
      <c r="I469" s="4" t="s">
        <v>67</v>
      </c>
      <c r="J469" s="2">
        <v>1000189270</v>
      </c>
      <c r="K469" s="2" t="s">
        <v>34</v>
      </c>
      <c r="L469" s="4" t="s">
        <v>18</v>
      </c>
      <c r="M469" s="4" t="str">
        <f t="shared" si="111"/>
        <v>1000184670100018619710001897691000189270LANCHES</v>
      </c>
      <c r="N469" s="28">
        <f>N460*_xlfn.XLOOKUP($L469,'Balizador da Meta'!$B$4:$B$21,'Balizador da Meta'!$C$4:$C$21)</f>
        <v>24</v>
      </c>
      <c r="O469" s="28">
        <f>O460*_xlfn.XLOOKUP($L469,'Balizador da Meta'!$B$4:$B$21,'Balizador da Meta'!$C$4:$C$21)</f>
        <v>24</v>
      </c>
      <c r="P469" s="28">
        <f>P460*_xlfn.XLOOKUP($L469,'Balizador da Meta'!$B$4:$B$21,'Balizador da Meta'!$C$4:$C$21)</f>
        <v>24</v>
      </c>
      <c r="Q469" s="28">
        <f>Q460*_xlfn.XLOOKUP($L469,'Balizador da Meta'!$B$4:$B$21,'Balizador da Meta'!$C$4:$C$21)</f>
        <v>24</v>
      </c>
      <c r="R469" s="28">
        <f>R460*_xlfn.XLOOKUP($L469,'Balizador da Meta'!$B$4:$B$21,'Balizador da Meta'!$C$4:$C$21)</f>
        <v>24</v>
      </c>
      <c r="S469" s="28">
        <f>S460*_xlfn.XLOOKUP($L469,'Balizador da Meta'!$B$4:$B$21,'Balizador da Meta'!$C$4:$C$21)</f>
        <v>24</v>
      </c>
      <c r="T469" s="28">
        <f>T460*_xlfn.XLOOKUP($L469,'Balizador da Meta'!$B$4:$B$21,'Balizador da Meta'!$C$4:$C$21)</f>
        <v>24</v>
      </c>
      <c r="U469" s="28">
        <f>U460*_xlfn.XLOOKUP($L469,'Balizador da Meta'!$B$4:$B$21,'Balizador da Meta'!$C$4:$C$21)</f>
        <v>24</v>
      </c>
      <c r="V469" s="28">
        <f>V460*_xlfn.XLOOKUP($L469,'Balizador da Meta'!$B$4:$B$21,'Balizador da Meta'!$C$4:$C$21)</f>
        <v>24</v>
      </c>
      <c r="W469" s="28">
        <f>W460*_xlfn.XLOOKUP($L469,'Balizador da Meta'!$B$4:$B$21,'Balizador da Meta'!$C$4:$C$21)</f>
        <v>24</v>
      </c>
      <c r="X469" s="28">
        <f>X460*_xlfn.XLOOKUP($L469,'Balizador da Meta'!$B$4:$B$21,'Balizador da Meta'!$C$4:$C$21)</f>
        <v>24</v>
      </c>
      <c r="Y469" s="28">
        <f>Y460*_xlfn.XLOOKUP($L469,'Balizador da Meta'!$B$4:$B$21,'Balizador da Meta'!$C$4:$C$21)</f>
        <v>24</v>
      </c>
      <c r="Z469" s="30">
        <f t="shared" si="114"/>
        <v>288</v>
      </c>
      <c r="AA469" s="29"/>
      <c r="AB469" s="31">
        <f>SUMIFS('Historico - FAT'!AK:AK,'Historico - FAT'!$K:$K,Faturamento!$L469,'Historico - FAT'!$I:$I,Faturamento!$J469,'Historico - FAT'!$G:$G,Faturamento!$H469)</f>
        <v>0</v>
      </c>
      <c r="AC469" s="31">
        <f>SUMIFS('Historico - FAT'!AL:AL,'Historico - FAT'!$K:$K,Faturamento!$L469,'Historico - FAT'!$I:$I,Faturamento!$J469,'Historico - FAT'!$G:$G,Faturamento!$H469)</f>
        <v>9.8925000000000001</v>
      </c>
      <c r="AD469" s="31">
        <f>SUMIFS('Historico - FAT'!AM:AM,'Historico - FAT'!$K:$K,Faturamento!$L469,'Historico - FAT'!$I:$I,Faturamento!$J469,'Historico - FAT'!$G:$G,Faturamento!$H469)</f>
        <v>19.785</v>
      </c>
      <c r="AE469" s="27">
        <f>SUMIFS('Historico - FAT'!AN:AN,'Historico - FAT'!$K:$K,Faturamento!$L469,'Historico - FAT'!$I:$I,Faturamento!$J469,'Historico - FAT'!$G:$G,Faturamento!$H469)</f>
        <v>11.870999999999999</v>
      </c>
      <c r="AG469" s="24">
        <f t="shared" si="105"/>
        <v>1</v>
      </c>
      <c r="AH469" s="24">
        <f t="shared" si="106"/>
        <v>0.58781249999999996</v>
      </c>
      <c r="AI469" s="24">
        <f t="shared" si="107"/>
        <v>0.175625</v>
      </c>
    </row>
    <row r="470" spans="1:35" hidden="1" x14ac:dyDescent="0.3">
      <c r="A470" s="2" t="str">
        <f t="shared" si="104"/>
        <v>NÃO</v>
      </c>
      <c r="B470" s="2">
        <v>1000184670</v>
      </c>
      <c r="C470" s="2" t="s">
        <v>147</v>
      </c>
      <c r="D470" s="4">
        <v>1000186197</v>
      </c>
      <c r="E470" s="4" t="s">
        <v>166</v>
      </c>
      <c r="F470" s="2">
        <v>1000184757</v>
      </c>
      <c r="G470" s="2" t="s">
        <v>62</v>
      </c>
      <c r="H470" s="4">
        <v>1000189769</v>
      </c>
      <c r="I470" s="4" t="s">
        <v>67</v>
      </c>
      <c r="J470" s="2">
        <v>1000189270</v>
      </c>
      <c r="K470" s="2" t="s">
        <v>34</v>
      </c>
      <c r="L470" s="4" t="s">
        <v>29</v>
      </c>
      <c r="M470" s="4" t="str">
        <f t="shared" si="111"/>
        <v>1000184670100018619710001897691000189270MAIS GRANEL</v>
      </c>
      <c r="N470" s="28">
        <f>N460*_xlfn.XLOOKUP($L470,'Balizador da Meta'!$B$4:$B$21,'Balizador da Meta'!$C$4:$C$21)</f>
        <v>768</v>
      </c>
      <c r="O470" s="28">
        <f>O460*_xlfn.XLOOKUP($L470,'Balizador da Meta'!$B$4:$B$21,'Balizador da Meta'!$C$4:$C$21)</f>
        <v>768</v>
      </c>
      <c r="P470" s="28">
        <f>P460*_xlfn.XLOOKUP($L470,'Balizador da Meta'!$B$4:$B$21,'Balizador da Meta'!$C$4:$C$21)</f>
        <v>768</v>
      </c>
      <c r="Q470" s="28">
        <f>Q460*_xlfn.XLOOKUP($L470,'Balizador da Meta'!$B$4:$B$21,'Balizador da Meta'!$C$4:$C$21)</f>
        <v>768</v>
      </c>
      <c r="R470" s="28">
        <f>R460*_xlfn.XLOOKUP($L470,'Balizador da Meta'!$B$4:$B$21,'Balizador da Meta'!$C$4:$C$21)</f>
        <v>768</v>
      </c>
      <c r="S470" s="28">
        <f>S460*_xlfn.XLOOKUP($L470,'Balizador da Meta'!$B$4:$B$21,'Balizador da Meta'!$C$4:$C$21)</f>
        <v>768</v>
      </c>
      <c r="T470" s="28">
        <f>T460*_xlfn.XLOOKUP($L470,'Balizador da Meta'!$B$4:$B$21,'Balizador da Meta'!$C$4:$C$21)</f>
        <v>768</v>
      </c>
      <c r="U470" s="28">
        <f>U460*_xlfn.XLOOKUP($L470,'Balizador da Meta'!$B$4:$B$21,'Balizador da Meta'!$C$4:$C$21)</f>
        <v>768</v>
      </c>
      <c r="V470" s="28">
        <f>V460*_xlfn.XLOOKUP($L470,'Balizador da Meta'!$B$4:$B$21,'Balizador da Meta'!$C$4:$C$21)</f>
        <v>768</v>
      </c>
      <c r="W470" s="28">
        <f>W460*_xlfn.XLOOKUP($L470,'Balizador da Meta'!$B$4:$B$21,'Balizador da Meta'!$C$4:$C$21)</f>
        <v>768</v>
      </c>
      <c r="X470" s="28">
        <f>X460*_xlfn.XLOOKUP($L470,'Balizador da Meta'!$B$4:$B$21,'Balizador da Meta'!$C$4:$C$21)</f>
        <v>768</v>
      </c>
      <c r="Y470" s="28">
        <f>Y460*_xlfn.XLOOKUP($L470,'Balizador da Meta'!$B$4:$B$21,'Balizador da Meta'!$C$4:$C$21)</f>
        <v>768</v>
      </c>
      <c r="Z470" s="30">
        <f t="shared" si="114"/>
        <v>9216</v>
      </c>
      <c r="AA470" s="29"/>
      <c r="AB470" s="31">
        <f>SUMIFS('Historico - FAT'!AK:AK,'Historico - FAT'!$K:$K,Faturamento!$L470,'Historico - FAT'!$I:$I,Faturamento!$J470,'Historico - FAT'!$G:$G,Faturamento!$H470)</f>
        <v>0</v>
      </c>
      <c r="AC470" s="31">
        <f>SUMIFS('Historico - FAT'!AL:AL,'Historico - FAT'!$K:$K,Faturamento!$L470,'Historico - FAT'!$I:$I,Faturamento!$J470,'Historico - FAT'!$G:$G,Faturamento!$H470)</f>
        <v>290.94666666666666</v>
      </c>
      <c r="AD470" s="31">
        <f>SUMIFS('Historico - FAT'!AM:AM,'Historico - FAT'!$K:$K,Faturamento!$L470,'Historico - FAT'!$I:$I,Faturamento!$J470,'Historico - FAT'!$G:$G,Faturamento!$H470)</f>
        <v>581.89333333333332</v>
      </c>
      <c r="AE470" s="27">
        <f>SUMIFS('Historico - FAT'!AN:AN,'Historico - FAT'!$K:$K,Faturamento!$L470,'Historico - FAT'!$I:$I,Faturamento!$J470,'Historico - FAT'!$G:$G,Faturamento!$H470)</f>
        <v>349.13600000000002</v>
      </c>
      <c r="AG470" s="24">
        <f t="shared" si="105"/>
        <v>1</v>
      </c>
      <c r="AH470" s="24">
        <f t="shared" si="106"/>
        <v>0.62116319444444446</v>
      </c>
      <c r="AI470" s="24">
        <f t="shared" si="107"/>
        <v>0.24232638888888891</v>
      </c>
    </row>
    <row r="471" spans="1:35" hidden="1" x14ac:dyDescent="0.3">
      <c r="A471" s="2" t="str">
        <f t="shared" si="104"/>
        <v>NÃO</v>
      </c>
      <c r="B471" s="2">
        <v>1000184670</v>
      </c>
      <c r="C471" s="2" t="s">
        <v>147</v>
      </c>
      <c r="D471" s="4">
        <v>1000186197</v>
      </c>
      <c r="E471" s="4" t="s">
        <v>166</v>
      </c>
      <c r="F471" s="2">
        <v>1000184757</v>
      </c>
      <c r="G471" s="2" t="s">
        <v>62</v>
      </c>
      <c r="H471" s="4">
        <v>1000189769</v>
      </c>
      <c r="I471" s="4" t="s">
        <v>67</v>
      </c>
      <c r="J471" s="2">
        <v>1000189270</v>
      </c>
      <c r="K471" s="2" t="s">
        <v>34</v>
      </c>
      <c r="L471" s="4" t="s">
        <v>21</v>
      </c>
      <c r="M471" s="4" t="str">
        <f t="shared" si="111"/>
        <v>1000184670100018619710001897691000189270NATURATTA</v>
      </c>
      <c r="N471" s="28">
        <f>N460*_xlfn.XLOOKUP($L471,'Balizador da Meta'!$B$4:$B$21,'Balizador da Meta'!$C$4:$C$21)</f>
        <v>120</v>
      </c>
      <c r="O471" s="28">
        <f>O460*_xlfn.XLOOKUP($L471,'Balizador da Meta'!$B$4:$B$21,'Balizador da Meta'!$C$4:$C$21)</f>
        <v>120</v>
      </c>
      <c r="P471" s="28">
        <f>P460*_xlfn.XLOOKUP($L471,'Balizador da Meta'!$B$4:$B$21,'Balizador da Meta'!$C$4:$C$21)</f>
        <v>120</v>
      </c>
      <c r="Q471" s="28">
        <f>Q460*_xlfn.XLOOKUP($L471,'Balizador da Meta'!$B$4:$B$21,'Balizador da Meta'!$C$4:$C$21)</f>
        <v>120</v>
      </c>
      <c r="R471" s="28">
        <f>R460*_xlfn.XLOOKUP($L471,'Balizador da Meta'!$B$4:$B$21,'Balizador da Meta'!$C$4:$C$21)</f>
        <v>120</v>
      </c>
      <c r="S471" s="28">
        <f>S460*_xlfn.XLOOKUP($L471,'Balizador da Meta'!$B$4:$B$21,'Balizador da Meta'!$C$4:$C$21)</f>
        <v>120</v>
      </c>
      <c r="T471" s="28">
        <f>T460*_xlfn.XLOOKUP($L471,'Balizador da Meta'!$B$4:$B$21,'Balizador da Meta'!$C$4:$C$21)</f>
        <v>120</v>
      </c>
      <c r="U471" s="28">
        <f>U460*_xlfn.XLOOKUP($L471,'Balizador da Meta'!$B$4:$B$21,'Balizador da Meta'!$C$4:$C$21)</f>
        <v>120</v>
      </c>
      <c r="V471" s="28">
        <f>V460*_xlfn.XLOOKUP($L471,'Balizador da Meta'!$B$4:$B$21,'Balizador da Meta'!$C$4:$C$21)</f>
        <v>120</v>
      </c>
      <c r="W471" s="28">
        <f>W460*_xlfn.XLOOKUP($L471,'Balizador da Meta'!$B$4:$B$21,'Balizador da Meta'!$C$4:$C$21)</f>
        <v>120</v>
      </c>
      <c r="X471" s="28">
        <f>X460*_xlfn.XLOOKUP($L471,'Balizador da Meta'!$B$4:$B$21,'Balizador da Meta'!$C$4:$C$21)</f>
        <v>120</v>
      </c>
      <c r="Y471" s="28">
        <f>Y460*_xlfn.XLOOKUP($L471,'Balizador da Meta'!$B$4:$B$21,'Balizador da Meta'!$C$4:$C$21)</f>
        <v>120</v>
      </c>
      <c r="Z471" s="30">
        <f t="shared" si="114"/>
        <v>1440</v>
      </c>
      <c r="AA471" s="29"/>
      <c r="AB471" s="31">
        <f>SUMIFS('Historico - FAT'!AK:AK,'Historico - FAT'!$K:$K,Faturamento!$L471,'Historico - FAT'!$I:$I,Faturamento!$J471,'Historico - FAT'!$G:$G,Faturamento!$H471)</f>
        <v>0</v>
      </c>
      <c r="AC471" s="31">
        <f>SUMIFS('Historico - FAT'!AL:AL,'Historico - FAT'!$K:$K,Faturamento!$L471,'Historico - FAT'!$I:$I,Faturamento!$J471,'Historico - FAT'!$G:$G,Faturamento!$H471)</f>
        <v>0</v>
      </c>
      <c r="AD471" s="31">
        <f>SUMIFS('Historico - FAT'!AM:AM,'Historico - FAT'!$K:$K,Faturamento!$L471,'Historico - FAT'!$I:$I,Faturamento!$J471,'Historico - FAT'!$G:$G,Faturamento!$H471)</f>
        <v>0</v>
      </c>
      <c r="AE471" s="27">
        <f>SUMIFS('Historico - FAT'!AN:AN,'Historico - FAT'!$K:$K,Faturamento!$L471,'Historico - FAT'!$I:$I,Faturamento!$J471,'Historico - FAT'!$G:$G,Faturamento!$H471)</f>
        <v>0</v>
      </c>
      <c r="AG471" s="24">
        <f t="shared" si="105"/>
        <v>1</v>
      </c>
      <c r="AH471" s="24">
        <f t="shared" si="106"/>
        <v>1</v>
      </c>
      <c r="AI471" s="24">
        <f t="shared" si="107"/>
        <v>1</v>
      </c>
    </row>
    <row r="472" spans="1:35" hidden="1" x14ac:dyDescent="0.3">
      <c r="A472" s="2" t="str">
        <f t="shared" si="104"/>
        <v>NÃO</v>
      </c>
      <c r="B472" s="2">
        <v>1000184670</v>
      </c>
      <c r="C472" s="2" t="s">
        <v>147</v>
      </c>
      <c r="D472" s="4">
        <v>1000186197</v>
      </c>
      <c r="E472" s="4" t="s">
        <v>166</v>
      </c>
      <c r="F472" s="2">
        <v>1000184757</v>
      </c>
      <c r="G472" s="2" t="s">
        <v>62</v>
      </c>
      <c r="H472" s="4">
        <v>1000189769</v>
      </c>
      <c r="I472" s="4" t="s">
        <v>67</v>
      </c>
      <c r="J472" s="2">
        <v>1000189270</v>
      </c>
      <c r="K472" s="2" t="s">
        <v>34</v>
      </c>
      <c r="L472" s="4" t="s">
        <v>20</v>
      </c>
      <c r="M472" s="4" t="str">
        <f t="shared" si="111"/>
        <v>1000184670100018619710001897691000189270REEMBALADOS</v>
      </c>
      <c r="N472" s="28">
        <f>N460*_xlfn.XLOOKUP($L472,'Balizador da Meta'!$B$4:$B$21,'Balizador da Meta'!$C$4:$C$21)</f>
        <v>96</v>
      </c>
      <c r="O472" s="28">
        <f>O460*_xlfn.XLOOKUP($L472,'Balizador da Meta'!$B$4:$B$21,'Balizador da Meta'!$C$4:$C$21)</f>
        <v>96</v>
      </c>
      <c r="P472" s="28">
        <f>P460*_xlfn.XLOOKUP($L472,'Balizador da Meta'!$B$4:$B$21,'Balizador da Meta'!$C$4:$C$21)</f>
        <v>96</v>
      </c>
      <c r="Q472" s="28">
        <f>Q460*_xlfn.XLOOKUP($L472,'Balizador da Meta'!$B$4:$B$21,'Balizador da Meta'!$C$4:$C$21)</f>
        <v>96</v>
      </c>
      <c r="R472" s="28">
        <f>R460*_xlfn.XLOOKUP($L472,'Balizador da Meta'!$B$4:$B$21,'Balizador da Meta'!$C$4:$C$21)</f>
        <v>96</v>
      </c>
      <c r="S472" s="28">
        <f>S460*_xlfn.XLOOKUP($L472,'Balizador da Meta'!$B$4:$B$21,'Balizador da Meta'!$C$4:$C$21)</f>
        <v>96</v>
      </c>
      <c r="T472" s="28">
        <f>T460*_xlfn.XLOOKUP($L472,'Balizador da Meta'!$B$4:$B$21,'Balizador da Meta'!$C$4:$C$21)</f>
        <v>96</v>
      </c>
      <c r="U472" s="28">
        <f>U460*_xlfn.XLOOKUP($L472,'Balizador da Meta'!$B$4:$B$21,'Balizador da Meta'!$C$4:$C$21)</f>
        <v>96</v>
      </c>
      <c r="V472" s="28">
        <f>V460*_xlfn.XLOOKUP($L472,'Balizador da Meta'!$B$4:$B$21,'Balizador da Meta'!$C$4:$C$21)</f>
        <v>96</v>
      </c>
      <c r="W472" s="28">
        <f>W460*_xlfn.XLOOKUP($L472,'Balizador da Meta'!$B$4:$B$21,'Balizador da Meta'!$C$4:$C$21)</f>
        <v>96</v>
      </c>
      <c r="X472" s="28">
        <f>X460*_xlfn.XLOOKUP($L472,'Balizador da Meta'!$B$4:$B$21,'Balizador da Meta'!$C$4:$C$21)</f>
        <v>96</v>
      </c>
      <c r="Y472" s="28">
        <f>Y460*_xlfn.XLOOKUP($L472,'Balizador da Meta'!$B$4:$B$21,'Balizador da Meta'!$C$4:$C$21)</f>
        <v>96</v>
      </c>
      <c r="Z472" s="30">
        <f t="shared" si="114"/>
        <v>1152</v>
      </c>
      <c r="AA472" s="29"/>
      <c r="AB472" s="31">
        <f>SUMIFS('Historico - FAT'!AK:AK,'Historico - FAT'!$K:$K,Faturamento!$L472,'Historico - FAT'!$I:$I,Faturamento!$J472,'Historico - FAT'!$G:$G,Faturamento!$H472)</f>
        <v>0</v>
      </c>
      <c r="AC472" s="31">
        <f>SUMIFS('Historico - FAT'!AL:AL,'Historico - FAT'!$K:$K,Faturamento!$L472,'Historico - FAT'!$I:$I,Faturamento!$J472,'Historico - FAT'!$G:$G,Faturamento!$H472)</f>
        <v>10.906666666666666</v>
      </c>
      <c r="AD472" s="31">
        <f>SUMIFS('Historico - FAT'!AM:AM,'Historico - FAT'!$K:$K,Faturamento!$L472,'Historico - FAT'!$I:$I,Faturamento!$J472,'Historico - FAT'!$G:$G,Faturamento!$H472)</f>
        <v>21.813333333333333</v>
      </c>
      <c r="AE472" s="27">
        <f>SUMIFS('Historico - FAT'!AN:AN,'Historico - FAT'!$K:$K,Faturamento!$L472,'Historico - FAT'!$I:$I,Faturamento!$J472,'Historico - FAT'!$G:$G,Faturamento!$H472)</f>
        <v>13.087999999999999</v>
      </c>
      <c r="AG472" s="24">
        <f t="shared" si="105"/>
        <v>1</v>
      </c>
      <c r="AH472" s="24">
        <f t="shared" si="106"/>
        <v>0.88638888888888889</v>
      </c>
      <c r="AI472" s="24">
        <f t="shared" si="107"/>
        <v>0.77277777777777779</v>
      </c>
    </row>
    <row r="473" spans="1:35" hidden="1" x14ac:dyDescent="0.3">
      <c r="A473" s="2" t="str">
        <f t="shared" si="104"/>
        <v>NÃO</v>
      </c>
      <c r="B473" s="2">
        <v>1000184670</v>
      </c>
      <c r="C473" s="2" t="s">
        <v>147</v>
      </c>
      <c r="D473" s="4">
        <v>1000186197</v>
      </c>
      <c r="E473" s="4" t="s">
        <v>166</v>
      </c>
      <c r="F473" s="2">
        <v>1000184757</v>
      </c>
      <c r="G473" s="2" t="s">
        <v>62</v>
      </c>
      <c r="H473" s="4">
        <v>1000189769</v>
      </c>
      <c r="I473" s="4" t="s">
        <v>67</v>
      </c>
      <c r="J473" s="2">
        <v>1000189270</v>
      </c>
      <c r="K473" s="2" t="s">
        <v>34</v>
      </c>
      <c r="L473" s="4" t="s">
        <v>22</v>
      </c>
      <c r="M473" s="4" t="str">
        <f t="shared" si="111"/>
        <v>1000184670100018619710001897691000189270S GLUTEN</v>
      </c>
      <c r="N473" s="28">
        <f>N460*_xlfn.XLOOKUP($L473,'Balizador da Meta'!$B$4:$B$21,'Balizador da Meta'!$C$4:$C$21)</f>
        <v>96</v>
      </c>
      <c r="O473" s="28">
        <f>O460*_xlfn.XLOOKUP($L473,'Balizador da Meta'!$B$4:$B$21,'Balizador da Meta'!$C$4:$C$21)</f>
        <v>96</v>
      </c>
      <c r="P473" s="28">
        <f>P460*_xlfn.XLOOKUP($L473,'Balizador da Meta'!$B$4:$B$21,'Balizador da Meta'!$C$4:$C$21)</f>
        <v>96</v>
      </c>
      <c r="Q473" s="28">
        <f>Q460*_xlfn.XLOOKUP($L473,'Balizador da Meta'!$B$4:$B$21,'Balizador da Meta'!$C$4:$C$21)</f>
        <v>96</v>
      </c>
      <c r="R473" s="28">
        <f>R460*_xlfn.XLOOKUP($L473,'Balizador da Meta'!$B$4:$B$21,'Balizador da Meta'!$C$4:$C$21)</f>
        <v>96</v>
      </c>
      <c r="S473" s="28">
        <f>S460*_xlfn.XLOOKUP($L473,'Balizador da Meta'!$B$4:$B$21,'Balizador da Meta'!$C$4:$C$21)</f>
        <v>96</v>
      </c>
      <c r="T473" s="28">
        <f>T460*_xlfn.XLOOKUP($L473,'Balizador da Meta'!$B$4:$B$21,'Balizador da Meta'!$C$4:$C$21)</f>
        <v>96</v>
      </c>
      <c r="U473" s="28">
        <f>U460*_xlfn.XLOOKUP($L473,'Balizador da Meta'!$B$4:$B$21,'Balizador da Meta'!$C$4:$C$21)</f>
        <v>96</v>
      </c>
      <c r="V473" s="28">
        <f>V460*_xlfn.XLOOKUP($L473,'Balizador da Meta'!$B$4:$B$21,'Balizador da Meta'!$C$4:$C$21)</f>
        <v>96</v>
      </c>
      <c r="W473" s="28">
        <f>W460*_xlfn.XLOOKUP($L473,'Balizador da Meta'!$B$4:$B$21,'Balizador da Meta'!$C$4:$C$21)</f>
        <v>96</v>
      </c>
      <c r="X473" s="28">
        <f>X460*_xlfn.XLOOKUP($L473,'Balizador da Meta'!$B$4:$B$21,'Balizador da Meta'!$C$4:$C$21)</f>
        <v>96</v>
      </c>
      <c r="Y473" s="28">
        <f>Y460*_xlfn.XLOOKUP($L473,'Balizador da Meta'!$B$4:$B$21,'Balizador da Meta'!$C$4:$C$21)</f>
        <v>96</v>
      </c>
      <c r="Z473" s="30">
        <f t="shared" si="114"/>
        <v>1152</v>
      </c>
      <c r="AA473" s="29"/>
      <c r="AB473" s="31">
        <f>SUMIFS('Historico - FAT'!AK:AK,'Historico - FAT'!$K:$K,Faturamento!$L473,'Historico - FAT'!$I:$I,Faturamento!$J473,'Historico - FAT'!$G:$G,Faturamento!$H473)</f>
        <v>0</v>
      </c>
      <c r="AC473" s="31">
        <f>SUMIFS('Historico - FAT'!AL:AL,'Historico - FAT'!$K:$K,Faturamento!$L473,'Historico - FAT'!$I:$I,Faturamento!$J473,'Historico - FAT'!$G:$G,Faturamento!$H473)</f>
        <v>12.218333333333334</v>
      </c>
      <c r="AD473" s="31">
        <f>SUMIFS('Historico - FAT'!AM:AM,'Historico - FAT'!$K:$K,Faturamento!$L473,'Historico - FAT'!$I:$I,Faturamento!$J473,'Historico - FAT'!$G:$G,Faturamento!$H473)</f>
        <v>24.436666666666667</v>
      </c>
      <c r="AE473" s="27">
        <f>SUMIFS('Historico - FAT'!AN:AN,'Historico - FAT'!$K:$K,Faturamento!$L473,'Historico - FAT'!$I:$I,Faturamento!$J473,'Historico - FAT'!$G:$G,Faturamento!$H473)</f>
        <v>14.662000000000001</v>
      </c>
      <c r="AG473" s="24">
        <f t="shared" si="105"/>
        <v>1</v>
      </c>
      <c r="AH473" s="24">
        <f t="shared" si="106"/>
        <v>0.87272569444444448</v>
      </c>
      <c r="AI473" s="24">
        <f t="shared" si="107"/>
        <v>0.74545138888888884</v>
      </c>
    </row>
    <row r="474" spans="1:35" hidden="1" x14ac:dyDescent="0.3">
      <c r="A474" s="2" t="str">
        <f t="shared" si="104"/>
        <v>NÃO</v>
      </c>
      <c r="B474" s="2">
        <v>1000184670</v>
      </c>
      <c r="C474" s="2" t="s">
        <v>147</v>
      </c>
      <c r="D474" s="4">
        <v>1000186197</v>
      </c>
      <c r="E474" s="4" t="s">
        <v>166</v>
      </c>
      <c r="F474" s="2">
        <v>1000184757</v>
      </c>
      <c r="G474" s="2" t="s">
        <v>62</v>
      </c>
      <c r="H474" s="4">
        <v>1000189769</v>
      </c>
      <c r="I474" s="4" t="s">
        <v>67</v>
      </c>
      <c r="J474" s="2">
        <v>1000189270</v>
      </c>
      <c r="K474" s="2" t="s">
        <v>34</v>
      </c>
      <c r="L474" s="4" t="s">
        <v>23</v>
      </c>
      <c r="M474" s="4" t="str">
        <f t="shared" si="111"/>
        <v>1000184670100018619710001897691000189270SABORES DO CAMPO</v>
      </c>
      <c r="N474" s="28">
        <f>N460*_xlfn.XLOOKUP($L474,'Balizador da Meta'!$B$4:$B$21,'Balizador da Meta'!$C$4:$C$21)</f>
        <v>0</v>
      </c>
      <c r="O474" s="28">
        <f>O460*_xlfn.XLOOKUP($L474,'Balizador da Meta'!$B$4:$B$21,'Balizador da Meta'!$C$4:$C$21)</f>
        <v>0</v>
      </c>
      <c r="P474" s="28">
        <f>P460*_xlfn.XLOOKUP($L474,'Balizador da Meta'!$B$4:$B$21,'Balizador da Meta'!$C$4:$C$21)</f>
        <v>0</v>
      </c>
      <c r="Q474" s="28">
        <f>Q460*_xlfn.XLOOKUP($L474,'Balizador da Meta'!$B$4:$B$21,'Balizador da Meta'!$C$4:$C$21)</f>
        <v>0</v>
      </c>
      <c r="R474" s="28">
        <f>R460*_xlfn.XLOOKUP($L474,'Balizador da Meta'!$B$4:$B$21,'Balizador da Meta'!$C$4:$C$21)</f>
        <v>0</v>
      </c>
      <c r="S474" s="28">
        <f>S460*_xlfn.XLOOKUP($L474,'Balizador da Meta'!$B$4:$B$21,'Balizador da Meta'!$C$4:$C$21)</f>
        <v>0</v>
      </c>
      <c r="T474" s="28">
        <f>T460*_xlfn.XLOOKUP($L474,'Balizador da Meta'!$B$4:$B$21,'Balizador da Meta'!$C$4:$C$21)</f>
        <v>0</v>
      </c>
      <c r="U474" s="28">
        <f>U460*_xlfn.XLOOKUP($L474,'Balizador da Meta'!$B$4:$B$21,'Balizador da Meta'!$C$4:$C$21)</f>
        <v>0</v>
      </c>
      <c r="V474" s="28">
        <f>V460*_xlfn.XLOOKUP($L474,'Balizador da Meta'!$B$4:$B$21,'Balizador da Meta'!$C$4:$C$21)</f>
        <v>0</v>
      </c>
      <c r="W474" s="28">
        <f>W460*_xlfn.XLOOKUP($L474,'Balizador da Meta'!$B$4:$B$21,'Balizador da Meta'!$C$4:$C$21)</f>
        <v>0</v>
      </c>
      <c r="X474" s="28">
        <f>X460*_xlfn.XLOOKUP($L474,'Balizador da Meta'!$B$4:$B$21,'Balizador da Meta'!$C$4:$C$21)</f>
        <v>0</v>
      </c>
      <c r="Y474" s="28">
        <f>Y460*_xlfn.XLOOKUP($L474,'Balizador da Meta'!$B$4:$B$21,'Balizador da Meta'!$C$4:$C$21)</f>
        <v>0</v>
      </c>
      <c r="Z474" s="30">
        <f t="shared" si="114"/>
        <v>0</v>
      </c>
      <c r="AA474" s="29"/>
      <c r="AB474" s="31">
        <f>SUMIFS('Historico - FAT'!AK:AK,'Historico - FAT'!$K:$K,Faturamento!$L474,'Historico - FAT'!$I:$I,Faturamento!$J474,'Historico - FAT'!$G:$G,Faturamento!$H474)</f>
        <v>0</v>
      </c>
      <c r="AC474" s="31">
        <f>SUMIFS('Historico - FAT'!AL:AL,'Historico - FAT'!$K:$K,Faturamento!$L474,'Historico - FAT'!$I:$I,Faturamento!$J474,'Historico - FAT'!$G:$G,Faturamento!$H474)</f>
        <v>0</v>
      </c>
      <c r="AD474" s="31">
        <f>SUMIFS('Historico - FAT'!AM:AM,'Historico - FAT'!$K:$K,Faturamento!$L474,'Historico - FAT'!$I:$I,Faturamento!$J474,'Historico - FAT'!$G:$G,Faturamento!$H474)</f>
        <v>0</v>
      </c>
      <c r="AE474" s="27">
        <f>SUMIFS('Historico - FAT'!AN:AN,'Historico - FAT'!$K:$K,Faturamento!$L474,'Historico - FAT'!$I:$I,Faturamento!$J474,'Historico - FAT'!$G:$G,Faturamento!$H474)</f>
        <v>0</v>
      </c>
      <c r="AG474" s="24" t="str">
        <f t="shared" si="105"/>
        <v/>
      </c>
      <c r="AH474" s="24" t="str">
        <f t="shared" si="106"/>
        <v/>
      </c>
      <c r="AI474" s="24" t="str">
        <f t="shared" si="107"/>
        <v/>
      </c>
    </row>
    <row r="475" spans="1:35" hidden="1" x14ac:dyDescent="0.3">
      <c r="A475" s="2" t="str">
        <f t="shared" si="104"/>
        <v>NÃO</v>
      </c>
      <c r="B475" s="2">
        <v>1000184670</v>
      </c>
      <c r="C475" s="2" t="s">
        <v>147</v>
      </c>
      <c r="D475" s="4">
        <v>1000186197</v>
      </c>
      <c r="E475" s="4" t="s">
        <v>166</v>
      </c>
      <c r="F475" s="2">
        <v>1000184757</v>
      </c>
      <c r="G475" s="2" t="s">
        <v>62</v>
      </c>
      <c r="H475" s="4">
        <v>1000189769</v>
      </c>
      <c r="I475" s="4" t="s">
        <v>67</v>
      </c>
      <c r="J475" s="2">
        <v>1000189270</v>
      </c>
      <c r="K475" s="2" t="s">
        <v>34</v>
      </c>
      <c r="L475" s="4" t="s">
        <v>28</v>
      </c>
      <c r="M475" s="4" t="str">
        <f t="shared" si="111"/>
        <v>1000184670100018619710001897691000189270SAL</v>
      </c>
      <c r="N475" s="28">
        <f>N460*_xlfn.XLOOKUP($L475,'Balizador da Meta'!$B$4:$B$21,'Balizador da Meta'!$C$4:$C$21)</f>
        <v>48</v>
      </c>
      <c r="O475" s="28">
        <f>O460*_xlfn.XLOOKUP($L475,'Balizador da Meta'!$B$4:$B$21,'Balizador da Meta'!$C$4:$C$21)</f>
        <v>48</v>
      </c>
      <c r="P475" s="28">
        <f>P460*_xlfn.XLOOKUP($L475,'Balizador da Meta'!$B$4:$B$21,'Balizador da Meta'!$C$4:$C$21)</f>
        <v>48</v>
      </c>
      <c r="Q475" s="28">
        <f>Q460*_xlfn.XLOOKUP($L475,'Balizador da Meta'!$B$4:$B$21,'Balizador da Meta'!$C$4:$C$21)</f>
        <v>48</v>
      </c>
      <c r="R475" s="28">
        <f>R460*_xlfn.XLOOKUP($L475,'Balizador da Meta'!$B$4:$B$21,'Balizador da Meta'!$C$4:$C$21)</f>
        <v>48</v>
      </c>
      <c r="S475" s="28">
        <f>S460*_xlfn.XLOOKUP($L475,'Balizador da Meta'!$B$4:$B$21,'Balizador da Meta'!$C$4:$C$21)</f>
        <v>48</v>
      </c>
      <c r="T475" s="28">
        <f>T460*_xlfn.XLOOKUP($L475,'Balizador da Meta'!$B$4:$B$21,'Balizador da Meta'!$C$4:$C$21)</f>
        <v>48</v>
      </c>
      <c r="U475" s="28">
        <f>U460*_xlfn.XLOOKUP($L475,'Balizador da Meta'!$B$4:$B$21,'Balizador da Meta'!$C$4:$C$21)</f>
        <v>48</v>
      </c>
      <c r="V475" s="28">
        <f>V460*_xlfn.XLOOKUP($L475,'Balizador da Meta'!$B$4:$B$21,'Balizador da Meta'!$C$4:$C$21)</f>
        <v>48</v>
      </c>
      <c r="W475" s="28">
        <f>W460*_xlfn.XLOOKUP($L475,'Balizador da Meta'!$B$4:$B$21,'Balizador da Meta'!$C$4:$C$21)</f>
        <v>48</v>
      </c>
      <c r="X475" s="28">
        <f>X460*_xlfn.XLOOKUP($L475,'Balizador da Meta'!$B$4:$B$21,'Balizador da Meta'!$C$4:$C$21)</f>
        <v>48</v>
      </c>
      <c r="Y475" s="28">
        <f>Y460*_xlfn.XLOOKUP($L475,'Balizador da Meta'!$B$4:$B$21,'Balizador da Meta'!$C$4:$C$21)</f>
        <v>48</v>
      </c>
      <c r="Z475" s="30">
        <f t="shared" si="114"/>
        <v>576</v>
      </c>
      <c r="AA475" s="29"/>
      <c r="AB475" s="31">
        <f>SUMIFS('Historico - FAT'!AK:AK,'Historico - FAT'!$K:$K,Faturamento!$L475,'Historico - FAT'!$I:$I,Faturamento!$J475,'Historico - FAT'!$G:$G,Faturamento!$H475)</f>
        <v>0</v>
      </c>
      <c r="AC475" s="31">
        <f>SUMIFS('Historico - FAT'!AL:AL,'Historico - FAT'!$K:$K,Faturamento!$L475,'Historico - FAT'!$I:$I,Faturamento!$J475,'Historico - FAT'!$G:$G,Faturamento!$H475)</f>
        <v>11.151666666666666</v>
      </c>
      <c r="AD475" s="31">
        <f>SUMIFS('Historico - FAT'!AM:AM,'Historico - FAT'!$K:$K,Faturamento!$L475,'Historico - FAT'!$I:$I,Faturamento!$J475,'Historico - FAT'!$G:$G,Faturamento!$H475)</f>
        <v>22.303333333333331</v>
      </c>
      <c r="AE475" s="27">
        <f>SUMIFS('Historico - FAT'!AN:AN,'Historico - FAT'!$K:$K,Faturamento!$L475,'Historico - FAT'!$I:$I,Faturamento!$J475,'Historico - FAT'!$G:$G,Faturamento!$H475)</f>
        <v>13.382</v>
      </c>
      <c r="AG475" s="24">
        <f t="shared" si="105"/>
        <v>1</v>
      </c>
      <c r="AH475" s="24">
        <f t="shared" si="106"/>
        <v>0.76767361111111121</v>
      </c>
      <c r="AI475" s="24">
        <f t="shared" si="107"/>
        <v>0.53534722222222231</v>
      </c>
    </row>
    <row r="476" spans="1:35" hidden="1" x14ac:dyDescent="0.3">
      <c r="A476" s="2" t="str">
        <f t="shared" si="104"/>
        <v>NÃO</v>
      </c>
      <c r="B476" s="2">
        <v>1000184670</v>
      </c>
      <c r="C476" s="2" t="s">
        <v>147</v>
      </c>
      <c r="D476" s="4">
        <v>1000186197</v>
      </c>
      <c r="E476" s="4" t="s">
        <v>166</v>
      </c>
      <c r="F476" s="2">
        <v>1000184757</v>
      </c>
      <c r="G476" s="2" t="s">
        <v>62</v>
      </c>
      <c r="H476" s="4">
        <v>1000189769</v>
      </c>
      <c r="I476" s="4" t="s">
        <v>67</v>
      </c>
      <c r="J476" s="2">
        <v>1000189270</v>
      </c>
      <c r="K476" s="2" t="s">
        <v>34</v>
      </c>
      <c r="L476" s="4" t="s">
        <v>26</v>
      </c>
      <c r="M476" s="4" t="str">
        <f t="shared" si="111"/>
        <v>1000184670100018619710001897691000189270SOULPRO</v>
      </c>
      <c r="N476" s="28">
        <f>N460*_xlfn.XLOOKUP($L476,'Balizador da Meta'!$B$4:$B$21,'Balizador da Meta'!$C$4:$C$21)</f>
        <v>144</v>
      </c>
      <c r="O476" s="28">
        <f>O460*_xlfn.XLOOKUP($L476,'Balizador da Meta'!$B$4:$B$21,'Balizador da Meta'!$C$4:$C$21)</f>
        <v>144</v>
      </c>
      <c r="P476" s="28">
        <f>P460*_xlfn.XLOOKUP($L476,'Balizador da Meta'!$B$4:$B$21,'Balizador da Meta'!$C$4:$C$21)</f>
        <v>144</v>
      </c>
      <c r="Q476" s="28">
        <f>Q460*_xlfn.XLOOKUP($L476,'Balizador da Meta'!$B$4:$B$21,'Balizador da Meta'!$C$4:$C$21)</f>
        <v>144</v>
      </c>
      <c r="R476" s="28">
        <f>R460*_xlfn.XLOOKUP($L476,'Balizador da Meta'!$B$4:$B$21,'Balizador da Meta'!$C$4:$C$21)</f>
        <v>144</v>
      </c>
      <c r="S476" s="28">
        <f>S460*_xlfn.XLOOKUP($L476,'Balizador da Meta'!$B$4:$B$21,'Balizador da Meta'!$C$4:$C$21)</f>
        <v>144</v>
      </c>
      <c r="T476" s="28">
        <f>T460*_xlfn.XLOOKUP($L476,'Balizador da Meta'!$B$4:$B$21,'Balizador da Meta'!$C$4:$C$21)</f>
        <v>144</v>
      </c>
      <c r="U476" s="28">
        <f>U460*_xlfn.XLOOKUP($L476,'Balizador da Meta'!$B$4:$B$21,'Balizador da Meta'!$C$4:$C$21)</f>
        <v>144</v>
      </c>
      <c r="V476" s="28">
        <f>V460*_xlfn.XLOOKUP($L476,'Balizador da Meta'!$B$4:$B$21,'Balizador da Meta'!$C$4:$C$21)</f>
        <v>144</v>
      </c>
      <c r="W476" s="28">
        <f>W460*_xlfn.XLOOKUP($L476,'Balizador da Meta'!$B$4:$B$21,'Balizador da Meta'!$C$4:$C$21)</f>
        <v>144</v>
      </c>
      <c r="X476" s="28">
        <f>X460*_xlfn.XLOOKUP($L476,'Balizador da Meta'!$B$4:$B$21,'Balizador da Meta'!$C$4:$C$21)</f>
        <v>144</v>
      </c>
      <c r="Y476" s="28">
        <f>Y460*_xlfn.XLOOKUP($L476,'Balizador da Meta'!$B$4:$B$21,'Balizador da Meta'!$C$4:$C$21)</f>
        <v>144</v>
      </c>
      <c r="Z476" s="30">
        <f t="shared" si="114"/>
        <v>1728</v>
      </c>
      <c r="AA476" s="29"/>
      <c r="AB476" s="31">
        <f>SUMIFS('Historico - FAT'!AK:AK,'Historico - FAT'!$K:$K,Faturamento!$L476,'Historico - FAT'!$I:$I,Faturamento!$J476,'Historico - FAT'!$G:$G,Faturamento!$H476)</f>
        <v>0</v>
      </c>
      <c r="AC476" s="31">
        <f>SUMIFS('Historico - FAT'!AL:AL,'Historico - FAT'!$K:$K,Faturamento!$L476,'Historico - FAT'!$I:$I,Faturamento!$J476,'Historico - FAT'!$G:$G,Faturamento!$H476)</f>
        <v>57.4</v>
      </c>
      <c r="AD476" s="31">
        <f>SUMIFS('Historico - FAT'!AM:AM,'Historico - FAT'!$K:$K,Faturamento!$L476,'Historico - FAT'!$I:$I,Faturamento!$J476,'Historico - FAT'!$G:$G,Faturamento!$H476)</f>
        <v>114.8</v>
      </c>
      <c r="AE476" s="27">
        <f>SUMIFS('Historico - FAT'!AN:AN,'Historico - FAT'!$K:$K,Faturamento!$L476,'Historico - FAT'!$I:$I,Faturamento!$J476,'Historico - FAT'!$G:$G,Faturamento!$H476)</f>
        <v>68.88</v>
      </c>
      <c r="AG476" s="24">
        <f t="shared" si="105"/>
        <v>1</v>
      </c>
      <c r="AH476" s="24">
        <f t="shared" si="106"/>
        <v>0.60138888888888886</v>
      </c>
      <c r="AI476" s="24">
        <f t="shared" si="107"/>
        <v>0.20277777777777781</v>
      </c>
    </row>
    <row r="477" spans="1:35" hidden="1" x14ac:dyDescent="0.3">
      <c r="A477" s="2" t="str">
        <f t="shared" si="104"/>
        <v>NÃO</v>
      </c>
      <c r="B477" s="2">
        <v>1000184670</v>
      </c>
      <c r="C477" s="2" t="s">
        <v>147</v>
      </c>
      <c r="D477" s="4">
        <v>1000186197</v>
      </c>
      <c r="E477" s="4" t="s">
        <v>166</v>
      </c>
      <c r="F477" s="2">
        <v>1000184757</v>
      </c>
      <c r="G477" s="2" t="s">
        <v>62</v>
      </c>
      <c r="H477" s="4">
        <v>1000189769</v>
      </c>
      <c r="I477" s="4" t="s">
        <v>67</v>
      </c>
      <c r="J477" s="2">
        <v>1000189270</v>
      </c>
      <c r="K477" s="2" t="s">
        <v>34</v>
      </c>
      <c r="L477" s="4" t="s">
        <v>27</v>
      </c>
      <c r="M477" s="4" t="str">
        <f t="shared" si="111"/>
        <v>1000184670100018619710001897691000189270TAMARA</v>
      </c>
      <c r="N477" s="28">
        <f>N460*_xlfn.XLOOKUP($L477,'Balizador da Meta'!$B$4:$B$21,'Balizador da Meta'!$C$4:$C$21)</f>
        <v>192</v>
      </c>
      <c r="O477" s="28">
        <f>O460*_xlfn.XLOOKUP($L477,'Balizador da Meta'!$B$4:$B$21,'Balizador da Meta'!$C$4:$C$21)</f>
        <v>192</v>
      </c>
      <c r="P477" s="28">
        <f>P460*_xlfn.XLOOKUP($L477,'Balizador da Meta'!$B$4:$B$21,'Balizador da Meta'!$C$4:$C$21)</f>
        <v>192</v>
      </c>
      <c r="Q477" s="28">
        <f>Q460*_xlfn.XLOOKUP($L477,'Balizador da Meta'!$B$4:$B$21,'Balizador da Meta'!$C$4:$C$21)</f>
        <v>192</v>
      </c>
      <c r="R477" s="28">
        <f>R460*_xlfn.XLOOKUP($L477,'Balizador da Meta'!$B$4:$B$21,'Balizador da Meta'!$C$4:$C$21)</f>
        <v>192</v>
      </c>
      <c r="S477" s="28">
        <f>S460*_xlfn.XLOOKUP($L477,'Balizador da Meta'!$B$4:$B$21,'Balizador da Meta'!$C$4:$C$21)</f>
        <v>192</v>
      </c>
      <c r="T477" s="28">
        <f>T460*_xlfn.XLOOKUP($L477,'Balizador da Meta'!$B$4:$B$21,'Balizador da Meta'!$C$4:$C$21)</f>
        <v>192</v>
      </c>
      <c r="U477" s="28">
        <f>U460*_xlfn.XLOOKUP($L477,'Balizador da Meta'!$B$4:$B$21,'Balizador da Meta'!$C$4:$C$21)</f>
        <v>192</v>
      </c>
      <c r="V477" s="28">
        <f>V460*_xlfn.XLOOKUP($L477,'Balizador da Meta'!$B$4:$B$21,'Balizador da Meta'!$C$4:$C$21)</f>
        <v>192</v>
      </c>
      <c r="W477" s="28">
        <f>W460*_xlfn.XLOOKUP($L477,'Balizador da Meta'!$B$4:$B$21,'Balizador da Meta'!$C$4:$C$21)</f>
        <v>192</v>
      </c>
      <c r="X477" s="28">
        <f>X460*_xlfn.XLOOKUP($L477,'Balizador da Meta'!$B$4:$B$21,'Balizador da Meta'!$C$4:$C$21)</f>
        <v>192</v>
      </c>
      <c r="Y477" s="28">
        <f>Y460*_xlfn.XLOOKUP($L477,'Balizador da Meta'!$B$4:$B$21,'Balizador da Meta'!$C$4:$C$21)</f>
        <v>192</v>
      </c>
      <c r="Z477" s="30">
        <f t="shared" si="114"/>
        <v>2304</v>
      </c>
      <c r="AA477" s="29"/>
      <c r="AB477" s="31">
        <f>SUMIFS('Historico - FAT'!AK:AK,'Historico - FAT'!$K:$K,Faturamento!$L477,'Historico - FAT'!$I:$I,Faturamento!$J477,'Historico - FAT'!$G:$G,Faturamento!$H477)</f>
        <v>0</v>
      </c>
      <c r="AC477" s="31">
        <f>SUMIFS('Historico - FAT'!AL:AL,'Historico - FAT'!$K:$K,Faturamento!$L477,'Historico - FAT'!$I:$I,Faturamento!$J477,'Historico - FAT'!$G:$G,Faturamento!$H477)</f>
        <v>13.325000000000001</v>
      </c>
      <c r="AD477" s="31">
        <f>SUMIFS('Historico - FAT'!AM:AM,'Historico - FAT'!$K:$K,Faturamento!$L477,'Historico - FAT'!$I:$I,Faturamento!$J477,'Historico - FAT'!$G:$G,Faturamento!$H477)</f>
        <v>26.650000000000002</v>
      </c>
      <c r="AE477" s="27">
        <f>SUMIFS('Historico - FAT'!AN:AN,'Historico - FAT'!$K:$K,Faturamento!$L477,'Historico - FAT'!$I:$I,Faturamento!$J477,'Historico - FAT'!$G:$G,Faturamento!$H477)</f>
        <v>15.99</v>
      </c>
      <c r="AG477" s="24">
        <f t="shared" si="105"/>
        <v>1</v>
      </c>
      <c r="AH477" s="24">
        <f t="shared" si="106"/>
        <v>0.93059895833333339</v>
      </c>
      <c r="AI477" s="24">
        <f t="shared" si="107"/>
        <v>0.86119791666666667</v>
      </c>
    </row>
    <row r="478" spans="1:35" hidden="1" x14ac:dyDescent="0.3">
      <c r="A478" s="2" t="str">
        <f t="shared" si="104"/>
        <v>NÃO</v>
      </c>
      <c r="B478" s="2">
        <v>1000184670</v>
      </c>
      <c r="C478" s="2" t="s">
        <v>147</v>
      </c>
      <c r="D478" s="4">
        <v>1000186197</v>
      </c>
      <c r="E478" s="4" t="s">
        <v>166</v>
      </c>
      <c r="F478" s="2">
        <v>1000184757</v>
      </c>
      <c r="G478" s="2" t="s">
        <v>62</v>
      </c>
      <c r="H478" s="4">
        <v>1000189769</v>
      </c>
      <c r="I478" s="4" t="s">
        <v>67</v>
      </c>
      <c r="J478" s="2">
        <v>1000189270</v>
      </c>
      <c r="K478" s="2" t="s">
        <v>34</v>
      </c>
      <c r="L478" s="4" t="s">
        <v>25</v>
      </c>
      <c r="M478" s="4" t="str">
        <f t="shared" si="111"/>
        <v>1000184670100018619710001897691000189270VICCIO</v>
      </c>
      <c r="N478" s="28">
        <f>N460*_xlfn.XLOOKUP($L478,'Balizador da Meta'!$B$4:$B$21,'Balizador da Meta'!$C$4:$C$21)</f>
        <v>72</v>
      </c>
      <c r="O478" s="28">
        <f>O460*_xlfn.XLOOKUP($L478,'Balizador da Meta'!$B$4:$B$21,'Balizador da Meta'!$C$4:$C$21)</f>
        <v>72</v>
      </c>
      <c r="P478" s="28">
        <f>P460*_xlfn.XLOOKUP($L478,'Balizador da Meta'!$B$4:$B$21,'Balizador da Meta'!$C$4:$C$21)</f>
        <v>72</v>
      </c>
      <c r="Q478" s="28">
        <f>Q460*_xlfn.XLOOKUP($L478,'Balizador da Meta'!$B$4:$B$21,'Balizador da Meta'!$C$4:$C$21)</f>
        <v>72</v>
      </c>
      <c r="R478" s="28">
        <f>R460*_xlfn.XLOOKUP($L478,'Balizador da Meta'!$B$4:$B$21,'Balizador da Meta'!$C$4:$C$21)</f>
        <v>72</v>
      </c>
      <c r="S478" s="28">
        <f>S460*_xlfn.XLOOKUP($L478,'Balizador da Meta'!$B$4:$B$21,'Balizador da Meta'!$C$4:$C$21)</f>
        <v>72</v>
      </c>
      <c r="T478" s="28">
        <f>T460*_xlfn.XLOOKUP($L478,'Balizador da Meta'!$B$4:$B$21,'Balizador da Meta'!$C$4:$C$21)</f>
        <v>72</v>
      </c>
      <c r="U478" s="28">
        <f>U460*_xlfn.XLOOKUP($L478,'Balizador da Meta'!$B$4:$B$21,'Balizador da Meta'!$C$4:$C$21)</f>
        <v>72</v>
      </c>
      <c r="V478" s="28">
        <f>V460*_xlfn.XLOOKUP($L478,'Balizador da Meta'!$B$4:$B$21,'Balizador da Meta'!$C$4:$C$21)</f>
        <v>72</v>
      </c>
      <c r="W478" s="28">
        <f>W460*_xlfn.XLOOKUP($L478,'Balizador da Meta'!$B$4:$B$21,'Balizador da Meta'!$C$4:$C$21)</f>
        <v>72</v>
      </c>
      <c r="X478" s="28">
        <f>X460*_xlfn.XLOOKUP($L478,'Balizador da Meta'!$B$4:$B$21,'Balizador da Meta'!$C$4:$C$21)</f>
        <v>72</v>
      </c>
      <c r="Y478" s="28">
        <f>Y460*_xlfn.XLOOKUP($L478,'Balizador da Meta'!$B$4:$B$21,'Balizador da Meta'!$C$4:$C$21)</f>
        <v>72</v>
      </c>
      <c r="Z478" s="30">
        <f t="shared" si="114"/>
        <v>864</v>
      </c>
      <c r="AA478" s="29"/>
      <c r="AB478" s="31">
        <f>SUMIFS('Historico - FAT'!AK:AK,'Historico - FAT'!$K:$K,Faturamento!$L478,'Historico - FAT'!$I:$I,Faturamento!$J478,'Historico - FAT'!$G:$G,Faturamento!$H478)</f>
        <v>0</v>
      </c>
      <c r="AC478" s="31">
        <f>SUMIFS('Historico - FAT'!AL:AL,'Historico - FAT'!$K:$K,Faturamento!$L478,'Historico - FAT'!$I:$I,Faturamento!$J478,'Historico - FAT'!$G:$G,Faturamento!$H478)</f>
        <v>6.7650000000000006</v>
      </c>
      <c r="AD478" s="31">
        <f>SUMIFS('Historico - FAT'!AM:AM,'Historico - FAT'!$K:$K,Faturamento!$L478,'Historico - FAT'!$I:$I,Faturamento!$J478,'Historico - FAT'!$G:$G,Faturamento!$H478)</f>
        <v>13.530000000000001</v>
      </c>
      <c r="AE478" s="27">
        <f>SUMIFS('Historico - FAT'!AN:AN,'Historico - FAT'!$K:$K,Faturamento!$L478,'Historico - FAT'!$I:$I,Faturamento!$J478,'Historico - FAT'!$G:$G,Faturamento!$H478)</f>
        <v>8.1180000000000003</v>
      </c>
      <c r="AG478" s="24">
        <f t="shared" si="105"/>
        <v>1</v>
      </c>
      <c r="AH478" s="24">
        <f t="shared" si="106"/>
        <v>0.90604166666666663</v>
      </c>
      <c r="AI478" s="24">
        <f t="shared" si="107"/>
        <v>0.81208333333333327</v>
      </c>
    </row>
    <row r="479" spans="1:35" x14ac:dyDescent="0.3">
      <c r="A479" s="2" t="str">
        <f t="shared" si="104"/>
        <v>SIM</v>
      </c>
      <c r="B479" s="2">
        <v>1000184670</v>
      </c>
      <c r="C479" s="2" t="s">
        <v>147</v>
      </c>
      <c r="D479" s="4">
        <v>1000186197</v>
      </c>
      <c r="E479" s="4" t="s">
        <v>166</v>
      </c>
      <c r="F479" s="2">
        <v>1000184757</v>
      </c>
      <c r="G479" s="2" t="s">
        <v>62</v>
      </c>
      <c r="H479" s="4">
        <v>1000189770</v>
      </c>
      <c r="I479" s="4" t="s">
        <v>75</v>
      </c>
      <c r="J479" s="2">
        <v>1000189270</v>
      </c>
      <c r="K479" s="2" t="s">
        <v>34</v>
      </c>
      <c r="L479" s="4" t="s">
        <v>124</v>
      </c>
      <c r="M479" s="4" t="str">
        <f t="shared" si="111"/>
        <v>100018467010001861971000189770100018927001. TOTAL</v>
      </c>
      <c r="N479" s="28">
        <f>SUMIFS(Positivação!L:L,Positivação!$I:$I,Faturamento!$J479,Positivação!$G:$G,Faturamento!$H479)*SUMIFS(Positivação!$Z:$Z,Positivação!$I:$I,Faturamento!$J479,Positivação!$G:$G,Faturamento!$H479)</f>
        <v>2400</v>
      </c>
      <c r="O479" s="28">
        <f>SUMIFS(Positivação!M:M,Positivação!$I:$I,Faturamento!$J479,Positivação!$G:$G,Faturamento!$H479)*SUMIFS(Positivação!$Z:$Z,Positivação!$I:$I,Faturamento!$J479,Positivação!$G:$G,Faturamento!$H479)</f>
        <v>2400</v>
      </c>
      <c r="P479" s="28">
        <f>SUMIFS(Positivação!N:N,Positivação!$I:$I,Faturamento!$J479,Positivação!$G:$G,Faturamento!$H479)*SUMIFS(Positivação!$Z:$Z,Positivação!$I:$I,Faturamento!$J479,Positivação!$G:$G,Faturamento!$H479)</f>
        <v>2400</v>
      </c>
      <c r="Q479" s="28">
        <f>SUMIFS(Positivação!O:O,Positivação!$I:$I,Faturamento!$J479,Positivação!$G:$G,Faturamento!$H479)*SUMIFS(Positivação!$Z:$Z,Positivação!$I:$I,Faturamento!$J479,Positivação!$G:$G,Faturamento!$H479)</f>
        <v>2400</v>
      </c>
      <c r="R479" s="28">
        <f>SUMIFS(Positivação!P:P,Positivação!$I:$I,Faturamento!$J479,Positivação!$G:$G,Faturamento!$H479)*SUMIFS(Positivação!$Z:$Z,Positivação!$I:$I,Faturamento!$J479,Positivação!$G:$G,Faturamento!$H479)</f>
        <v>2400</v>
      </c>
      <c r="S479" s="28">
        <f>SUMIFS(Positivação!Q:Q,Positivação!$I:$I,Faturamento!$J479,Positivação!$G:$G,Faturamento!$H479)*SUMIFS(Positivação!$Z:$Z,Positivação!$I:$I,Faturamento!$J479,Positivação!$G:$G,Faturamento!$H479)</f>
        <v>2400</v>
      </c>
      <c r="T479" s="28">
        <f>SUMIFS(Positivação!R:R,Positivação!$I:$I,Faturamento!$J479,Positivação!$G:$G,Faturamento!$H479)*SUMIFS(Positivação!$Z:$Z,Positivação!$I:$I,Faturamento!$J479,Positivação!$G:$G,Faturamento!$H479)</f>
        <v>2400</v>
      </c>
      <c r="U479" s="28">
        <f>SUMIFS(Positivação!S:S,Positivação!$I:$I,Faturamento!$J479,Positivação!$G:$G,Faturamento!$H479)*SUMIFS(Positivação!$Z:$Z,Positivação!$I:$I,Faturamento!$J479,Positivação!$G:$G,Faturamento!$H479)</f>
        <v>2400</v>
      </c>
      <c r="V479" s="28">
        <f>SUMIFS(Positivação!T:T,Positivação!$I:$I,Faturamento!$J479,Positivação!$G:$G,Faturamento!$H479)*SUMIFS(Positivação!$Z:$Z,Positivação!$I:$I,Faturamento!$J479,Positivação!$G:$G,Faturamento!$H479)</f>
        <v>2400</v>
      </c>
      <c r="W479" s="28">
        <f>SUMIFS(Positivação!U:U,Positivação!$I:$I,Faturamento!$J479,Positivação!$G:$G,Faturamento!$H479)*SUMIFS(Positivação!$Z:$Z,Positivação!$I:$I,Faturamento!$J479,Positivação!$G:$G,Faturamento!$H479)</f>
        <v>2400</v>
      </c>
      <c r="X479" s="28">
        <f>SUMIFS(Positivação!V:V,Positivação!$I:$I,Faturamento!$J479,Positivação!$G:$G,Faturamento!$H479)*SUMIFS(Positivação!$Z:$Z,Positivação!$I:$I,Faturamento!$J479,Positivação!$G:$G,Faturamento!$H479)</f>
        <v>2400</v>
      </c>
      <c r="Y479" s="28">
        <f>SUMIFS(Positivação!W:W,Positivação!$I:$I,Faturamento!$J479,Positivação!$G:$G,Faturamento!$H479)*SUMIFS(Positivação!$Z:$Z,Positivação!$I:$I,Faturamento!$J479,Positivação!$G:$G,Faturamento!$H479)</f>
        <v>2400</v>
      </c>
      <c r="Z479" s="28">
        <f t="shared" ref="Z479" si="115">SUM(Z480:Z497)</f>
        <v>28800</v>
      </c>
      <c r="AA479" s="29"/>
      <c r="AB479" s="28">
        <f t="shared" ref="AB479:AE479" si="116">SUM(AB480:AB497)</f>
        <v>0</v>
      </c>
      <c r="AC479" s="28">
        <f t="shared" si="116"/>
        <v>55.902499999999996</v>
      </c>
      <c r="AD479" s="28">
        <f t="shared" si="116"/>
        <v>111.80499999999999</v>
      </c>
      <c r="AE479" s="28">
        <f t="shared" si="116"/>
        <v>67.082999999999998</v>
      </c>
      <c r="AG479" s="24">
        <f t="shared" si="105"/>
        <v>1</v>
      </c>
      <c r="AH479" s="24">
        <f t="shared" si="106"/>
        <v>0.97670729166666659</v>
      </c>
      <c r="AI479" s="24">
        <f t="shared" si="107"/>
        <v>0.9534145833333334</v>
      </c>
    </row>
    <row r="480" spans="1:35" hidden="1" x14ac:dyDescent="0.3">
      <c r="A480" s="2" t="str">
        <f t="shared" si="104"/>
        <v>NÃO</v>
      </c>
      <c r="B480" s="2">
        <v>1000184670</v>
      </c>
      <c r="C480" s="2" t="s">
        <v>147</v>
      </c>
      <c r="D480" s="4">
        <v>1000186197</v>
      </c>
      <c r="E480" s="4" t="s">
        <v>166</v>
      </c>
      <c r="F480" s="2">
        <v>1000184757</v>
      </c>
      <c r="G480" s="2" t="s">
        <v>62</v>
      </c>
      <c r="H480" s="4">
        <v>1000189770</v>
      </c>
      <c r="I480" s="4" t="s">
        <v>75</v>
      </c>
      <c r="J480" s="2">
        <v>1000189270</v>
      </c>
      <c r="K480" s="2" t="s">
        <v>34</v>
      </c>
      <c r="L480" s="4" t="s">
        <v>13</v>
      </c>
      <c r="M480" s="4" t="str">
        <f t="shared" si="111"/>
        <v>1000184670100018619710001897701000189270BISCOITO</v>
      </c>
      <c r="N480" s="28">
        <f>N479*_xlfn.XLOOKUP($L480,'Balizador da Meta'!$B$4:$B$21,'Balizador da Meta'!$C$4:$C$21)</f>
        <v>168.00000000000003</v>
      </c>
      <c r="O480" s="28">
        <f>O479*_xlfn.XLOOKUP($L480,'Balizador da Meta'!$B$4:$B$21,'Balizador da Meta'!$C$4:$C$21)</f>
        <v>168.00000000000003</v>
      </c>
      <c r="P480" s="28">
        <f>P479*_xlfn.XLOOKUP($L480,'Balizador da Meta'!$B$4:$B$21,'Balizador da Meta'!$C$4:$C$21)</f>
        <v>168.00000000000003</v>
      </c>
      <c r="Q480" s="28">
        <f>Q479*_xlfn.XLOOKUP($L480,'Balizador da Meta'!$B$4:$B$21,'Balizador da Meta'!$C$4:$C$21)</f>
        <v>168.00000000000003</v>
      </c>
      <c r="R480" s="28">
        <f>R479*_xlfn.XLOOKUP($L480,'Balizador da Meta'!$B$4:$B$21,'Balizador da Meta'!$C$4:$C$21)</f>
        <v>168.00000000000003</v>
      </c>
      <c r="S480" s="28">
        <f>S479*_xlfn.XLOOKUP($L480,'Balizador da Meta'!$B$4:$B$21,'Balizador da Meta'!$C$4:$C$21)</f>
        <v>168.00000000000003</v>
      </c>
      <c r="T480" s="28">
        <f>T479*_xlfn.XLOOKUP($L480,'Balizador da Meta'!$B$4:$B$21,'Balizador da Meta'!$C$4:$C$21)</f>
        <v>168.00000000000003</v>
      </c>
      <c r="U480" s="28">
        <f>U479*_xlfn.XLOOKUP($L480,'Balizador da Meta'!$B$4:$B$21,'Balizador da Meta'!$C$4:$C$21)</f>
        <v>168.00000000000003</v>
      </c>
      <c r="V480" s="28">
        <f>V479*_xlfn.XLOOKUP($L480,'Balizador da Meta'!$B$4:$B$21,'Balizador da Meta'!$C$4:$C$21)</f>
        <v>168.00000000000003</v>
      </c>
      <c r="W480" s="28">
        <f>W479*_xlfn.XLOOKUP($L480,'Balizador da Meta'!$B$4:$B$21,'Balizador da Meta'!$C$4:$C$21)</f>
        <v>168.00000000000003</v>
      </c>
      <c r="X480" s="28">
        <f>X479*_xlfn.XLOOKUP($L480,'Balizador da Meta'!$B$4:$B$21,'Balizador da Meta'!$C$4:$C$21)</f>
        <v>168.00000000000003</v>
      </c>
      <c r="Y480" s="28">
        <f>Y479*_xlfn.XLOOKUP($L480,'Balizador da Meta'!$B$4:$B$21,'Balizador da Meta'!$C$4:$C$21)</f>
        <v>168.00000000000003</v>
      </c>
      <c r="Z480" s="30">
        <f t="shared" ref="Z480:Z497" si="117">SUM(N480:Y480)</f>
        <v>2016.0000000000002</v>
      </c>
      <c r="AA480" s="29"/>
      <c r="AB480" s="31">
        <f>SUMIFS('Historico - FAT'!AK:AK,'Historico - FAT'!$K:$K,Faturamento!$L480,'Historico - FAT'!$I:$I,Faturamento!$J480,'Historico - FAT'!$G:$G,Faturamento!$H480)</f>
        <v>0</v>
      </c>
      <c r="AC480" s="31">
        <f>SUMIFS('Historico - FAT'!AL:AL,'Historico - FAT'!$K:$K,Faturamento!$L480,'Historico - FAT'!$I:$I,Faturamento!$J480,'Historico - FAT'!$G:$G,Faturamento!$H480)</f>
        <v>0</v>
      </c>
      <c r="AD480" s="31">
        <f>SUMIFS('Historico - FAT'!AM:AM,'Historico - FAT'!$K:$K,Faturamento!$L480,'Historico - FAT'!$I:$I,Faturamento!$J480,'Historico - FAT'!$G:$G,Faturamento!$H480)</f>
        <v>0</v>
      </c>
      <c r="AE480" s="27">
        <f>SUMIFS('Historico - FAT'!AN:AN,'Historico - FAT'!$K:$K,Faturamento!$L480,'Historico - FAT'!$I:$I,Faturamento!$J480,'Historico - FAT'!$G:$G,Faturamento!$H480)</f>
        <v>0</v>
      </c>
      <c r="AG480" s="24">
        <f t="shared" si="105"/>
        <v>1</v>
      </c>
      <c r="AH480" s="24">
        <f t="shared" si="106"/>
        <v>1</v>
      </c>
      <c r="AI480" s="24">
        <f t="shared" si="107"/>
        <v>1</v>
      </c>
    </row>
    <row r="481" spans="1:35" hidden="1" x14ac:dyDescent="0.3">
      <c r="A481" s="2" t="str">
        <f t="shared" si="104"/>
        <v>NÃO</v>
      </c>
      <c r="B481" s="2">
        <v>1000184670</v>
      </c>
      <c r="C481" s="2" t="s">
        <v>147</v>
      </c>
      <c r="D481" s="4">
        <v>1000186197</v>
      </c>
      <c r="E481" s="4" t="s">
        <v>166</v>
      </c>
      <c r="F481" s="2">
        <v>1000184757</v>
      </c>
      <c r="G481" s="2" t="s">
        <v>62</v>
      </c>
      <c r="H481" s="4">
        <v>1000189770</v>
      </c>
      <c r="I481" s="4" t="s">
        <v>75</v>
      </c>
      <c r="J481" s="2">
        <v>1000189270</v>
      </c>
      <c r="K481" s="2" t="s">
        <v>34</v>
      </c>
      <c r="L481" s="4" t="s">
        <v>14</v>
      </c>
      <c r="M481" s="4" t="str">
        <f t="shared" si="111"/>
        <v>1000184670100018619710001897701000189270CHOCOLATES</v>
      </c>
      <c r="N481" s="28">
        <f>N479*_xlfn.XLOOKUP($L481,'Balizador da Meta'!$B$4:$B$21,'Balizador da Meta'!$C$4:$C$21)</f>
        <v>168.00000000000003</v>
      </c>
      <c r="O481" s="28">
        <f>O479*_xlfn.XLOOKUP($L481,'Balizador da Meta'!$B$4:$B$21,'Balizador da Meta'!$C$4:$C$21)</f>
        <v>168.00000000000003</v>
      </c>
      <c r="P481" s="28">
        <f>P479*_xlfn.XLOOKUP($L481,'Balizador da Meta'!$B$4:$B$21,'Balizador da Meta'!$C$4:$C$21)</f>
        <v>168.00000000000003</v>
      </c>
      <c r="Q481" s="28">
        <f>Q479*_xlfn.XLOOKUP($L481,'Balizador da Meta'!$B$4:$B$21,'Balizador da Meta'!$C$4:$C$21)</f>
        <v>168.00000000000003</v>
      </c>
      <c r="R481" s="28">
        <f>R479*_xlfn.XLOOKUP($L481,'Balizador da Meta'!$B$4:$B$21,'Balizador da Meta'!$C$4:$C$21)</f>
        <v>168.00000000000003</v>
      </c>
      <c r="S481" s="28">
        <f>S479*_xlfn.XLOOKUP($L481,'Balizador da Meta'!$B$4:$B$21,'Balizador da Meta'!$C$4:$C$21)</f>
        <v>168.00000000000003</v>
      </c>
      <c r="T481" s="28">
        <f>T479*_xlfn.XLOOKUP($L481,'Balizador da Meta'!$B$4:$B$21,'Balizador da Meta'!$C$4:$C$21)</f>
        <v>168.00000000000003</v>
      </c>
      <c r="U481" s="28">
        <f>U479*_xlfn.XLOOKUP($L481,'Balizador da Meta'!$B$4:$B$21,'Balizador da Meta'!$C$4:$C$21)</f>
        <v>168.00000000000003</v>
      </c>
      <c r="V481" s="28">
        <f>V479*_xlfn.XLOOKUP($L481,'Balizador da Meta'!$B$4:$B$21,'Balizador da Meta'!$C$4:$C$21)</f>
        <v>168.00000000000003</v>
      </c>
      <c r="W481" s="28">
        <f>W479*_xlfn.XLOOKUP($L481,'Balizador da Meta'!$B$4:$B$21,'Balizador da Meta'!$C$4:$C$21)</f>
        <v>168.00000000000003</v>
      </c>
      <c r="X481" s="28">
        <f>X479*_xlfn.XLOOKUP($L481,'Balizador da Meta'!$B$4:$B$21,'Balizador da Meta'!$C$4:$C$21)</f>
        <v>168.00000000000003</v>
      </c>
      <c r="Y481" s="28">
        <f>Y479*_xlfn.XLOOKUP($L481,'Balizador da Meta'!$B$4:$B$21,'Balizador da Meta'!$C$4:$C$21)</f>
        <v>168.00000000000003</v>
      </c>
      <c r="Z481" s="30">
        <f t="shared" si="117"/>
        <v>2016.0000000000002</v>
      </c>
      <c r="AA481" s="29"/>
      <c r="AB481" s="31">
        <f>SUMIFS('Historico - FAT'!AK:AK,'Historico - FAT'!$K:$K,Faturamento!$L481,'Historico - FAT'!$I:$I,Faturamento!$J481,'Historico - FAT'!$G:$G,Faturamento!$H481)</f>
        <v>0</v>
      </c>
      <c r="AC481" s="31">
        <f>SUMIFS('Historico - FAT'!AL:AL,'Historico - FAT'!$K:$K,Faturamento!$L481,'Historico - FAT'!$I:$I,Faturamento!$J481,'Historico - FAT'!$G:$G,Faturamento!$H481)</f>
        <v>0</v>
      </c>
      <c r="AD481" s="31">
        <f>SUMIFS('Historico - FAT'!AM:AM,'Historico - FAT'!$K:$K,Faturamento!$L481,'Historico - FAT'!$I:$I,Faturamento!$J481,'Historico - FAT'!$G:$G,Faturamento!$H481)</f>
        <v>0</v>
      </c>
      <c r="AE481" s="27">
        <f>SUMIFS('Historico - FAT'!AN:AN,'Historico - FAT'!$K:$K,Faturamento!$L481,'Historico - FAT'!$I:$I,Faturamento!$J481,'Historico - FAT'!$G:$G,Faturamento!$H481)</f>
        <v>0</v>
      </c>
      <c r="AG481" s="24">
        <f t="shared" si="105"/>
        <v>1</v>
      </c>
      <c r="AH481" s="24">
        <f t="shared" si="106"/>
        <v>1</v>
      </c>
      <c r="AI481" s="24">
        <f t="shared" si="107"/>
        <v>1</v>
      </c>
    </row>
    <row r="482" spans="1:35" hidden="1" x14ac:dyDescent="0.3">
      <c r="A482" s="2" t="str">
        <f t="shared" si="104"/>
        <v>NÃO</v>
      </c>
      <c r="B482" s="2">
        <v>1000184670</v>
      </c>
      <c r="C482" s="2" t="s">
        <v>147</v>
      </c>
      <c r="D482" s="4">
        <v>1000186197</v>
      </c>
      <c r="E482" s="4" t="s">
        <v>166</v>
      </c>
      <c r="F482" s="2">
        <v>1000184757</v>
      </c>
      <c r="G482" s="2" t="s">
        <v>62</v>
      </c>
      <c r="H482" s="4">
        <v>1000189770</v>
      </c>
      <c r="I482" s="4" t="s">
        <v>75</v>
      </c>
      <c r="J482" s="2">
        <v>1000189270</v>
      </c>
      <c r="K482" s="2" t="s">
        <v>34</v>
      </c>
      <c r="L482" s="4" t="s">
        <v>16</v>
      </c>
      <c r="M482" s="4" t="str">
        <f t="shared" si="111"/>
        <v>1000184670100018619710001897701000189270DISNEY</v>
      </c>
      <c r="N482" s="28">
        <f>N479*_xlfn.XLOOKUP($L482,'Balizador da Meta'!$B$4:$B$21,'Balizador da Meta'!$C$4:$C$21)</f>
        <v>192</v>
      </c>
      <c r="O482" s="28">
        <f>O479*_xlfn.XLOOKUP($L482,'Balizador da Meta'!$B$4:$B$21,'Balizador da Meta'!$C$4:$C$21)</f>
        <v>192</v>
      </c>
      <c r="P482" s="28">
        <f>P479*_xlfn.XLOOKUP($L482,'Balizador da Meta'!$B$4:$B$21,'Balizador da Meta'!$C$4:$C$21)</f>
        <v>192</v>
      </c>
      <c r="Q482" s="28">
        <f>Q479*_xlfn.XLOOKUP($L482,'Balizador da Meta'!$B$4:$B$21,'Balizador da Meta'!$C$4:$C$21)</f>
        <v>192</v>
      </c>
      <c r="R482" s="28">
        <f>R479*_xlfn.XLOOKUP($L482,'Balizador da Meta'!$B$4:$B$21,'Balizador da Meta'!$C$4:$C$21)</f>
        <v>192</v>
      </c>
      <c r="S482" s="28">
        <f>S479*_xlfn.XLOOKUP($L482,'Balizador da Meta'!$B$4:$B$21,'Balizador da Meta'!$C$4:$C$21)</f>
        <v>192</v>
      </c>
      <c r="T482" s="28">
        <f>T479*_xlfn.XLOOKUP($L482,'Balizador da Meta'!$B$4:$B$21,'Balizador da Meta'!$C$4:$C$21)</f>
        <v>192</v>
      </c>
      <c r="U482" s="28">
        <f>U479*_xlfn.XLOOKUP($L482,'Balizador da Meta'!$B$4:$B$21,'Balizador da Meta'!$C$4:$C$21)</f>
        <v>192</v>
      </c>
      <c r="V482" s="28">
        <f>V479*_xlfn.XLOOKUP($L482,'Balizador da Meta'!$B$4:$B$21,'Balizador da Meta'!$C$4:$C$21)</f>
        <v>192</v>
      </c>
      <c r="W482" s="28">
        <f>W479*_xlfn.XLOOKUP($L482,'Balizador da Meta'!$B$4:$B$21,'Balizador da Meta'!$C$4:$C$21)</f>
        <v>192</v>
      </c>
      <c r="X482" s="28">
        <f>X479*_xlfn.XLOOKUP($L482,'Balizador da Meta'!$B$4:$B$21,'Balizador da Meta'!$C$4:$C$21)</f>
        <v>192</v>
      </c>
      <c r="Y482" s="28">
        <f>Y479*_xlfn.XLOOKUP($L482,'Balizador da Meta'!$B$4:$B$21,'Balizador da Meta'!$C$4:$C$21)</f>
        <v>192</v>
      </c>
      <c r="Z482" s="30">
        <f t="shared" si="117"/>
        <v>2304</v>
      </c>
      <c r="AA482" s="29"/>
      <c r="AB482" s="31">
        <f>SUMIFS('Historico - FAT'!AK:AK,'Historico - FAT'!$K:$K,Faturamento!$L482,'Historico - FAT'!$I:$I,Faturamento!$J482,'Historico - FAT'!$G:$G,Faturamento!$H482)</f>
        <v>0</v>
      </c>
      <c r="AC482" s="31">
        <f>SUMIFS('Historico - FAT'!AL:AL,'Historico - FAT'!$K:$K,Faturamento!$L482,'Historico - FAT'!$I:$I,Faturamento!$J482,'Historico - FAT'!$G:$G,Faturamento!$H482)</f>
        <v>0</v>
      </c>
      <c r="AD482" s="31">
        <f>SUMIFS('Historico - FAT'!AM:AM,'Historico - FAT'!$K:$K,Faturamento!$L482,'Historico - FAT'!$I:$I,Faturamento!$J482,'Historico - FAT'!$G:$G,Faturamento!$H482)</f>
        <v>0</v>
      </c>
      <c r="AE482" s="27">
        <f>SUMIFS('Historico - FAT'!AN:AN,'Historico - FAT'!$K:$K,Faturamento!$L482,'Historico - FAT'!$I:$I,Faturamento!$J482,'Historico - FAT'!$G:$G,Faturamento!$H482)</f>
        <v>0</v>
      </c>
      <c r="AG482" s="24">
        <f t="shared" si="105"/>
        <v>1</v>
      </c>
      <c r="AH482" s="24">
        <f t="shared" si="106"/>
        <v>1</v>
      </c>
      <c r="AI482" s="24">
        <f t="shared" si="107"/>
        <v>1</v>
      </c>
    </row>
    <row r="483" spans="1:35" hidden="1" x14ac:dyDescent="0.3">
      <c r="A483" s="2" t="str">
        <f t="shared" si="104"/>
        <v>NÃO</v>
      </c>
      <c r="B483" s="2">
        <v>1000184670</v>
      </c>
      <c r="C483" s="2" t="s">
        <v>147</v>
      </c>
      <c r="D483" s="4">
        <v>1000186197</v>
      </c>
      <c r="E483" s="4" t="s">
        <v>166</v>
      </c>
      <c r="F483" s="2">
        <v>1000184757</v>
      </c>
      <c r="G483" s="2" t="s">
        <v>62</v>
      </c>
      <c r="H483" s="4">
        <v>1000189770</v>
      </c>
      <c r="I483" s="4" t="s">
        <v>75</v>
      </c>
      <c r="J483" s="2">
        <v>1000189270</v>
      </c>
      <c r="K483" s="2" t="s">
        <v>34</v>
      </c>
      <c r="L483" s="4" t="s">
        <v>15</v>
      </c>
      <c r="M483" s="4" t="str">
        <f t="shared" si="111"/>
        <v>1000184670100018619710001897701000189270DOCES</v>
      </c>
      <c r="N483" s="28">
        <f>N479*_xlfn.XLOOKUP($L483,'Balizador da Meta'!$B$4:$B$21,'Balizador da Meta'!$C$4:$C$21)</f>
        <v>216</v>
      </c>
      <c r="O483" s="28">
        <f>O479*_xlfn.XLOOKUP($L483,'Balizador da Meta'!$B$4:$B$21,'Balizador da Meta'!$C$4:$C$21)</f>
        <v>216</v>
      </c>
      <c r="P483" s="28">
        <f>P479*_xlfn.XLOOKUP($L483,'Balizador da Meta'!$B$4:$B$21,'Balizador da Meta'!$C$4:$C$21)</f>
        <v>216</v>
      </c>
      <c r="Q483" s="28">
        <f>Q479*_xlfn.XLOOKUP($L483,'Balizador da Meta'!$B$4:$B$21,'Balizador da Meta'!$C$4:$C$21)</f>
        <v>216</v>
      </c>
      <c r="R483" s="28">
        <f>R479*_xlfn.XLOOKUP($L483,'Balizador da Meta'!$B$4:$B$21,'Balizador da Meta'!$C$4:$C$21)</f>
        <v>216</v>
      </c>
      <c r="S483" s="28">
        <f>S479*_xlfn.XLOOKUP($L483,'Balizador da Meta'!$B$4:$B$21,'Balizador da Meta'!$C$4:$C$21)</f>
        <v>216</v>
      </c>
      <c r="T483" s="28">
        <f>T479*_xlfn.XLOOKUP($L483,'Balizador da Meta'!$B$4:$B$21,'Balizador da Meta'!$C$4:$C$21)</f>
        <v>216</v>
      </c>
      <c r="U483" s="28">
        <f>U479*_xlfn.XLOOKUP($L483,'Balizador da Meta'!$B$4:$B$21,'Balizador da Meta'!$C$4:$C$21)</f>
        <v>216</v>
      </c>
      <c r="V483" s="28">
        <f>V479*_xlfn.XLOOKUP($L483,'Balizador da Meta'!$B$4:$B$21,'Balizador da Meta'!$C$4:$C$21)</f>
        <v>216</v>
      </c>
      <c r="W483" s="28">
        <f>W479*_xlfn.XLOOKUP($L483,'Balizador da Meta'!$B$4:$B$21,'Balizador da Meta'!$C$4:$C$21)</f>
        <v>216</v>
      </c>
      <c r="X483" s="28">
        <f>X479*_xlfn.XLOOKUP($L483,'Balizador da Meta'!$B$4:$B$21,'Balizador da Meta'!$C$4:$C$21)</f>
        <v>216</v>
      </c>
      <c r="Y483" s="28">
        <f>Y479*_xlfn.XLOOKUP($L483,'Balizador da Meta'!$B$4:$B$21,'Balizador da Meta'!$C$4:$C$21)</f>
        <v>216</v>
      </c>
      <c r="Z483" s="30">
        <f t="shared" si="117"/>
        <v>2592</v>
      </c>
      <c r="AA483" s="29"/>
      <c r="AB483" s="31">
        <f>SUMIFS('Historico - FAT'!AK:AK,'Historico - FAT'!$K:$K,Faturamento!$L483,'Historico - FAT'!$I:$I,Faturamento!$J483,'Historico - FAT'!$G:$G,Faturamento!$H483)</f>
        <v>0</v>
      </c>
      <c r="AC483" s="31">
        <f>SUMIFS('Historico - FAT'!AL:AL,'Historico - FAT'!$K:$K,Faturamento!$L483,'Historico - FAT'!$I:$I,Faturamento!$J483,'Historico - FAT'!$G:$G,Faturamento!$H483)</f>
        <v>37.502499999999998</v>
      </c>
      <c r="AD483" s="31">
        <f>SUMIFS('Historico - FAT'!AM:AM,'Historico - FAT'!$K:$K,Faturamento!$L483,'Historico - FAT'!$I:$I,Faturamento!$J483,'Historico - FAT'!$G:$G,Faturamento!$H483)</f>
        <v>75.004999999999995</v>
      </c>
      <c r="AE483" s="27">
        <f>SUMIFS('Historico - FAT'!AN:AN,'Historico - FAT'!$K:$K,Faturamento!$L483,'Historico - FAT'!$I:$I,Faturamento!$J483,'Historico - FAT'!$G:$G,Faturamento!$H483)</f>
        <v>45.003</v>
      </c>
      <c r="AG483" s="24">
        <f t="shared" si="105"/>
        <v>1</v>
      </c>
      <c r="AH483" s="24">
        <f t="shared" si="106"/>
        <v>0.8263773148148148</v>
      </c>
      <c r="AI483" s="24">
        <f t="shared" si="107"/>
        <v>0.6527546296296296</v>
      </c>
    </row>
    <row r="484" spans="1:35" hidden="1" x14ac:dyDescent="0.3">
      <c r="A484" s="2" t="str">
        <f t="shared" si="104"/>
        <v>NÃO</v>
      </c>
      <c r="B484" s="2">
        <v>1000184670</v>
      </c>
      <c r="C484" s="2" t="s">
        <v>147</v>
      </c>
      <c r="D484" s="4">
        <v>1000186197</v>
      </c>
      <c r="E484" s="4" t="s">
        <v>166</v>
      </c>
      <c r="F484" s="2">
        <v>1000184757</v>
      </c>
      <c r="G484" s="2" t="s">
        <v>62</v>
      </c>
      <c r="H484" s="4">
        <v>1000189770</v>
      </c>
      <c r="I484" s="4" t="s">
        <v>75</v>
      </c>
      <c r="J484" s="2">
        <v>1000189270</v>
      </c>
      <c r="K484" s="2" t="s">
        <v>34</v>
      </c>
      <c r="L484" s="4" t="s">
        <v>33</v>
      </c>
      <c r="M484" s="4" t="str">
        <f t="shared" si="111"/>
        <v>1000184670100018619710001897701000189270FOOD SERVICE</v>
      </c>
      <c r="N484" s="28">
        <f>N479*_xlfn.XLOOKUP($L484,'Balizador da Meta'!$B$4:$B$21,'Balizador da Meta'!$C$4:$C$21)</f>
        <v>0</v>
      </c>
      <c r="O484" s="28">
        <f>O479*_xlfn.XLOOKUP($L484,'Balizador da Meta'!$B$4:$B$21,'Balizador da Meta'!$C$4:$C$21)</f>
        <v>0</v>
      </c>
      <c r="P484" s="28">
        <f>P479*_xlfn.XLOOKUP($L484,'Balizador da Meta'!$B$4:$B$21,'Balizador da Meta'!$C$4:$C$21)</f>
        <v>0</v>
      </c>
      <c r="Q484" s="28">
        <f>Q479*_xlfn.XLOOKUP($L484,'Balizador da Meta'!$B$4:$B$21,'Balizador da Meta'!$C$4:$C$21)</f>
        <v>0</v>
      </c>
      <c r="R484" s="28">
        <f>R479*_xlfn.XLOOKUP($L484,'Balizador da Meta'!$B$4:$B$21,'Balizador da Meta'!$C$4:$C$21)</f>
        <v>0</v>
      </c>
      <c r="S484" s="28">
        <f>S479*_xlfn.XLOOKUP($L484,'Balizador da Meta'!$B$4:$B$21,'Balizador da Meta'!$C$4:$C$21)</f>
        <v>0</v>
      </c>
      <c r="T484" s="28">
        <f>T479*_xlfn.XLOOKUP($L484,'Balizador da Meta'!$B$4:$B$21,'Balizador da Meta'!$C$4:$C$21)</f>
        <v>0</v>
      </c>
      <c r="U484" s="28">
        <f>U479*_xlfn.XLOOKUP($L484,'Balizador da Meta'!$B$4:$B$21,'Balizador da Meta'!$C$4:$C$21)</f>
        <v>0</v>
      </c>
      <c r="V484" s="28">
        <f>V479*_xlfn.XLOOKUP($L484,'Balizador da Meta'!$B$4:$B$21,'Balizador da Meta'!$C$4:$C$21)</f>
        <v>0</v>
      </c>
      <c r="W484" s="28">
        <f>W479*_xlfn.XLOOKUP($L484,'Balizador da Meta'!$B$4:$B$21,'Balizador da Meta'!$C$4:$C$21)</f>
        <v>0</v>
      </c>
      <c r="X484" s="28">
        <f>X479*_xlfn.XLOOKUP($L484,'Balizador da Meta'!$B$4:$B$21,'Balizador da Meta'!$C$4:$C$21)</f>
        <v>0</v>
      </c>
      <c r="Y484" s="28">
        <f>Y479*_xlfn.XLOOKUP($L484,'Balizador da Meta'!$B$4:$B$21,'Balizador da Meta'!$C$4:$C$21)</f>
        <v>0</v>
      </c>
      <c r="Z484" s="30">
        <f t="shared" si="117"/>
        <v>0</v>
      </c>
      <c r="AA484" s="29"/>
      <c r="AB484" s="31">
        <f>SUMIFS('Historico - FAT'!AK:AK,'Historico - FAT'!$K:$K,Faturamento!$L484,'Historico - FAT'!$I:$I,Faturamento!$J484,'Historico - FAT'!$G:$G,Faturamento!$H484)</f>
        <v>0</v>
      </c>
      <c r="AC484" s="31">
        <f>SUMIFS('Historico - FAT'!AL:AL,'Historico - FAT'!$K:$K,Faturamento!$L484,'Historico - FAT'!$I:$I,Faturamento!$J484,'Historico - FAT'!$G:$G,Faturamento!$H484)</f>
        <v>0</v>
      </c>
      <c r="AD484" s="31">
        <f>SUMIFS('Historico - FAT'!AM:AM,'Historico - FAT'!$K:$K,Faturamento!$L484,'Historico - FAT'!$I:$I,Faturamento!$J484,'Historico - FAT'!$G:$G,Faturamento!$H484)</f>
        <v>0</v>
      </c>
      <c r="AE484" s="27">
        <f>SUMIFS('Historico - FAT'!AN:AN,'Historico - FAT'!$K:$K,Faturamento!$L484,'Historico - FAT'!$I:$I,Faturamento!$J484,'Historico - FAT'!$G:$G,Faturamento!$H484)</f>
        <v>0</v>
      </c>
      <c r="AG484" s="24" t="str">
        <f t="shared" si="105"/>
        <v/>
      </c>
      <c r="AH484" s="24" t="str">
        <f t="shared" si="106"/>
        <v/>
      </c>
      <c r="AI484" s="24" t="str">
        <f t="shared" si="107"/>
        <v/>
      </c>
    </row>
    <row r="485" spans="1:35" hidden="1" x14ac:dyDescent="0.3">
      <c r="A485" s="2" t="str">
        <f t="shared" si="104"/>
        <v>NÃO</v>
      </c>
      <c r="B485" s="2">
        <v>1000184670</v>
      </c>
      <c r="C485" s="2" t="s">
        <v>147</v>
      </c>
      <c r="D485" s="4">
        <v>1000186197</v>
      </c>
      <c r="E485" s="4" t="s">
        <v>166</v>
      </c>
      <c r="F485" s="2">
        <v>1000184757</v>
      </c>
      <c r="G485" s="2" t="s">
        <v>62</v>
      </c>
      <c r="H485" s="4">
        <v>1000189770</v>
      </c>
      <c r="I485" s="4" t="s">
        <v>75</v>
      </c>
      <c r="J485" s="2">
        <v>1000189270</v>
      </c>
      <c r="K485" s="2" t="s">
        <v>34</v>
      </c>
      <c r="L485" s="4" t="s">
        <v>19</v>
      </c>
      <c r="M485" s="4" t="str">
        <f t="shared" si="111"/>
        <v>1000184670100018619710001897701000189270GELEIA</v>
      </c>
      <c r="N485" s="28">
        <f>N479*_xlfn.XLOOKUP($L485,'Balizador da Meta'!$B$4:$B$21,'Balizador da Meta'!$C$4:$C$21)</f>
        <v>47.999999999999993</v>
      </c>
      <c r="O485" s="28">
        <f>O479*_xlfn.XLOOKUP($L485,'Balizador da Meta'!$B$4:$B$21,'Balizador da Meta'!$C$4:$C$21)</f>
        <v>47.999999999999993</v>
      </c>
      <c r="P485" s="28">
        <f>P479*_xlfn.XLOOKUP($L485,'Balizador da Meta'!$B$4:$B$21,'Balizador da Meta'!$C$4:$C$21)</f>
        <v>47.999999999999993</v>
      </c>
      <c r="Q485" s="28">
        <f>Q479*_xlfn.XLOOKUP($L485,'Balizador da Meta'!$B$4:$B$21,'Balizador da Meta'!$C$4:$C$21)</f>
        <v>47.999999999999993</v>
      </c>
      <c r="R485" s="28">
        <f>R479*_xlfn.XLOOKUP($L485,'Balizador da Meta'!$B$4:$B$21,'Balizador da Meta'!$C$4:$C$21)</f>
        <v>47.999999999999993</v>
      </c>
      <c r="S485" s="28">
        <f>S479*_xlfn.XLOOKUP($L485,'Balizador da Meta'!$B$4:$B$21,'Balizador da Meta'!$C$4:$C$21)</f>
        <v>47.999999999999993</v>
      </c>
      <c r="T485" s="28">
        <f>T479*_xlfn.XLOOKUP($L485,'Balizador da Meta'!$B$4:$B$21,'Balizador da Meta'!$C$4:$C$21)</f>
        <v>47.999999999999993</v>
      </c>
      <c r="U485" s="28">
        <f>U479*_xlfn.XLOOKUP($L485,'Balizador da Meta'!$B$4:$B$21,'Balizador da Meta'!$C$4:$C$21)</f>
        <v>47.999999999999993</v>
      </c>
      <c r="V485" s="28">
        <f>V479*_xlfn.XLOOKUP($L485,'Balizador da Meta'!$B$4:$B$21,'Balizador da Meta'!$C$4:$C$21)</f>
        <v>47.999999999999993</v>
      </c>
      <c r="W485" s="28">
        <f>W479*_xlfn.XLOOKUP($L485,'Balizador da Meta'!$B$4:$B$21,'Balizador da Meta'!$C$4:$C$21)</f>
        <v>47.999999999999993</v>
      </c>
      <c r="X485" s="28">
        <f>X479*_xlfn.XLOOKUP($L485,'Balizador da Meta'!$B$4:$B$21,'Balizador da Meta'!$C$4:$C$21)</f>
        <v>47.999999999999993</v>
      </c>
      <c r="Y485" s="28">
        <f>Y479*_xlfn.XLOOKUP($L485,'Balizador da Meta'!$B$4:$B$21,'Balizador da Meta'!$C$4:$C$21)</f>
        <v>47.999999999999993</v>
      </c>
      <c r="Z485" s="30">
        <f t="shared" si="117"/>
        <v>575.99999999999989</v>
      </c>
      <c r="AA485" s="29"/>
      <c r="AB485" s="31">
        <f>SUMIFS('Historico - FAT'!AK:AK,'Historico - FAT'!$K:$K,Faturamento!$L485,'Historico - FAT'!$I:$I,Faturamento!$J485,'Historico - FAT'!$G:$G,Faturamento!$H485)</f>
        <v>0</v>
      </c>
      <c r="AC485" s="31">
        <f>SUMIFS('Historico - FAT'!AL:AL,'Historico - FAT'!$K:$K,Faturamento!$L485,'Historico - FAT'!$I:$I,Faturamento!$J485,'Historico - FAT'!$G:$G,Faturamento!$H485)</f>
        <v>6</v>
      </c>
      <c r="AD485" s="31">
        <f>SUMIFS('Historico - FAT'!AM:AM,'Historico - FAT'!$K:$K,Faturamento!$L485,'Historico - FAT'!$I:$I,Faturamento!$J485,'Historico - FAT'!$G:$G,Faturamento!$H485)</f>
        <v>12</v>
      </c>
      <c r="AE485" s="27">
        <f>SUMIFS('Historico - FAT'!AN:AN,'Historico - FAT'!$K:$K,Faturamento!$L485,'Historico - FAT'!$I:$I,Faturamento!$J485,'Historico - FAT'!$G:$G,Faturamento!$H485)</f>
        <v>7.2</v>
      </c>
      <c r="AG485" s="24">
        <f t="shared" si="105"/>
        <v>1</v>
      </c>
      <c r="AH485" s="24">
        <f t="shared" si="106"/>
        <v>0.875</v>
      </c>
      <c r="AI485" s="24">
        <f t="shared" si="107"/>
        <v>0.75</v>
      </c>
    </row>
    <row r="486" spans="1:35" hidden="1" x14ac:dyDescent="0.3">
      <c r="A486" s="2" t="str">
        <f t="shared" si="104"/>
        <v>NÃO</v>
      </c>
      <c r="B486" s="2">
        <v>1000184670</v>
      </c>
      <c r="C486" s="2" t="s">
        <v>147</v>
      </c>
      <c r="D486" s="4">
        <v>1000186197</v>
      </c>
      <c r="E486" s="4" t="s">
        <v>166</v>
      </c>
      <c r="F486" s="2">
        <v>1000184757</v>
      </c>
      <c r="G486" s="2" t="s">
        <v>62</v>
      </c>
      <c r="H486" s="4">
        <v>1000189770</v>
      </c>
      <c r="I486" s="4" t="s">
        <v>75</v>
      </c>
      <c r="J486" s="2">
        <v>1000189270</v>
      </c>
      <c r="K486" s="2" t="s">
        <v>34</v>
      </c>
      <c r="L486" s="4" t="s">
        <v>17</v>
      </c>
      <c r="M486" s="4" t="str">
        <f t="shared" si="111"/>
        <v>1000184670100018619710001897701000189270GRANOLA</v>
      </c>
      <c r="N486" s="28">
        <f>N479*_xlfn.XLOOKUP($L486,'Balizador da Meta'!$B$4:$B$21,'Balizador da Meta'!$C$4:$C$21)</f>
        <v>48</v>
      </c>
      <c r="O486" s="28">
        <f>O479*_xlfn.XLOOKUP($L486,'Balizador da Meta'!$B$4:$B$21,'Balizador da Meta'!$C$4:$C$21)</f>
        <v>48</v>
      </c>
      <c r="P486" s="28">
        <f>P479*_xlfn.XLOOKUP($L486,'Balizador da Meta'!$B$4:$B$21,'Balizador da Meta'!$C$4:$C$21)</f>
        <v>48</v>
      </c>
      <c r="Q486" s="28">
        <f>Q479*_xlfn.XLOOKUP($L486,'Balizador da Meta'!$B$4:$B$21,'Balizador da Meta'!$C$4:$C$21)</f>
        <v>48</v>
      </c>
      <c r="R486" s="28">
        <f>R479*_xlfn.XLOOKUP($L486,'Balizador da Meta'!$B$4:$B$21,'Balizador da Meta'!$C$4:$C$21)</f>
        <v>48</v>
      </c>
      <c r="S486" s="28">
        <f>S479*_xlfn.XLOOKUP($L486,'Balizador da Meta'!$B$4:$B$21,'Balizador da Meta'!$C$4:$C$21)</f>
        <v>48</v>
      </c>
      <c r="T486" s="28">
        <f>T479*_xlfn.XLOOKUP($L486,'Balizador da Meta'!$B$4:$B$21,'Balizador da Meta'!$C$4:$C$21)</f>
        <v>48</v>
      </c>
      <c r="U486" s="28">
        <f>U479*_xlfn.XLOOKUP($L486,'Balizador da Meta'!$B$4:$B$21,'Balizador da Meta'!$C$4:$C$21)</f>
        <v>48</v>
      </c>
      <c r="V486" s="28">
        <f>V479*_xlfn.XLOOKUP($L486,'Balizador da Meta'!$B$4:$B$21,'Balizador da Meta'!$C$4:$C$21)</f>
        <v>48</v>
      </c>
      <c r="W486" s="28">
        <f>W479*_xlfn.XLOOKUP($L486,'Balizador da Meta'!$B$4:$B$21,'Balizador da Meta'!$C$4:$C$21)</f>
        <v>48</v>
      </c>
      <c r="X486" s="28">
        <f>X479*_xlfn.XLOOKUP($L486,'Balizador da Meta'!$B$4:$B$21,'Balizador da Meta'!$C$4:$C$21)</f>
        <v>48</v>
      </c>
      <c r="Y486" s="28">
        <f>Y479*_xlfn.XLOOKUP($L486,'Balizador da Meta'!$B$4:$B$21,'Balizador da Meta'!$C$4:$C$21)</f>
        <v>48</v>
      </c>
      <c r="Z486" s="30">
        <f t="shared" si="117"/>
        <v>576</v>
      </c>
      <c r="AA486" s="29"/>
      <c r="AB486" s="31">
        <f>SUMIFS('Historico - FAT'!AK:AK,'Historico - FAT'!$K:$K,Faturamento!$L486,'Historico - FAT'!$I:$I,Faturamento!$J486,'Historico - FAT'!$G:$G,Faturamento!$H486)</f>
        <v>0</v>
      </c>
      <c r="AC486" s="31">
        <f>SUMIFS('Historico - FAT'!AL:AL,'Historico - FAT'!$K:$K,Faturamento!$L486,'Historico - FAT'!$I:$I,Faturamento!$J486,'Historico - FAT'!$G:$G,Faturamento!$H486)</f>
        <v>0</v>
      </c>
      <c r="AD486" s="31">
        <f>SUMIFS('Historico - FAT'!AM:AM,'Historico - FAT'!$K:$K,Faturamento!$L486,'Historico - FAT'!$I:$I,Faturamento!$J486,'Historico - FAT'!$G:$G,Faturamento!$H486)</f>
        <v>0</v>
      </c>
      <c r="AE486" s="27">
        <f>SUMIFS('Historico - FAT'!AN:AN,'Historico - FAT'!$K:$K,Faturamento!$L486,'Historico - FAT'!$I:$I,Faturamento!$J486,'Historico - FAT'!$G:$G,Faturamento!$H486)</f>
        <v>0</v>
      </c>
      <c r="AG486" s="24">
        <f t="shared" si="105"/>
        <v>1</v>
      </c>
      <c r="AH486" s="24">
        <f t="shared" si="106"/>
        <v>1</v>
      </c>
      <c r="AI486" s="24">
        <f t="shared" si="107"/>
        <v>1</v>
      </c>
    </row>
    <row r="487" spans="1:35" hidden="1" x14ac:dyDescent="0.3">
      <c r="A487" s="2" t="str">
        <f t="shared" si="104"/>
        <v>NÃO</v>
      </c>
      <c r="B487" s="2">
        <v>1000184670</v>
      </c>
      <c r="C487" s="2" t="s">
        <v>147</v>
      </c>
      <c r="D487" s="4">
        <v>1000186197</v>
      </c>
      <c r="E487" s="4" t="s">
        <v>166</v>
      </c>
      <c r="F487" s="2">
        <v>1000184757</v>
      </c>
      <c r="G487" s="2" t="s">
        <v>62</v>
      </c>
      <c r="H487" s="4">
        <v>1000189770</v>
      </c>
      <c r="I487" s="4" t="s">
        <v>75</v>
      </c>
      <c r="J487" s="2">
        <v>1000189270</v>
      </c>
      <c r="K487" s="2" t="s">
        <v>34</v>
      </c>
      <c r="L487" s="4" t="s">
        <v>24</v>
      </c>
      <c r="M487" s="4" t="str">
        <f t="shared" si="111"/>
        <v>1000184670100018619710001897701000189270KIDS</v>
      </c>
      <c r="N487" s="28">
        <f>N479*_xlfn.XLOOKUP($L487,'Balizador da Meta'!$B$4:$B$21,'Balizador da Meta'!$C$4:$C$21)</f>
        <v>0</v>
      </c>
      <c r="O487" s="28">
        <f>O479*_xlfn.XLOOKUP($L487,'Balizador da Meta'!$B$4:$B$21,'Balizador da Meta'!$C$4:$C$21)</f>
        <v>0</v>
      </c>
      <c r="P487" s="28">
        <f>P479*_xlfn.XLOOKUP($L487,'Balizador da Meta'!$B$4:$B$21,'Balizador da Meta'!$C$4:$C$21)</f>
        <v>0</v>
      </c>
      <c r="Q487" s="28">
        <f>Q479*_xlfn.XLOOKUP($L487,'Balizador da Meta'!$B$4:$B$21,'Balizador da Meta'!$C$4:$C$21)</f>
        <v>0</v>
      </c>
      <c r="R487" s="28">
        <f>R479*_xlfn.XLOOKUP($L487,'Balizador da Meta'!$B$4:$B$21,'Balizador da Meta'!$C$4:$C$21)</f>
        <v>0</v>
      </c>
      <c r="S487" s="28">
        <f>S479*_xlfn.XLOOKUP($L487,'Balizador da Meta'!$B$4:$B$21,'Balizador da Meta'!$C$4:$C$21)</f>
        <v>0</v>
      </c>
      <c r="T487" s="28">
        <f>T479*_xlfn.XLOOKUP($L487,'Balizador da Meta'!$B$4:$B$21,'Balizador da Meta'!$C$4:$C$21)</f>
        <v>0</v>
      </c>
      <c r="U487" s="28">
        <f>U479*_xlfn.XLOOKUP($L487,'Balizador da Meta'!$B$4:$B$21,'Balizador da Meta'!$C$4:$C$21)</f>
        <v>0</v>
      </c>
      <c r="V487" s="28">
        <f>V479*_xlfn.XLOOKUP($L487,'Balizador da Meta'!$B$4:$B$21,'Balizador da Meta'!$C$4:$C$21)</f>
        <v>0</v>
      </c>
      <c r="W487" s="28">
        <f>W479*_xlfn.XLOOKUP($L487,'Balizador da Meta'!$B$4:$B$21,'Balizador da Meta'!$C$4:$C$21)</f>
        <v>0</v>
      </c>
      <c r="X487" s="28">
        <f>X479*_xlfn.XLOOKUP($L487,'Balizador da Meta'!$B$4:$B$21,'Balizador da Meta'!$C$4:$C$21)</f>
        <v>0</v>
      </c>
      <c r="Y487" s="28">
        <f>Y479*_xlfn.XLOOKUP($L487,'Balizador da Meta'!$B$4:$B$21,'Balizador da Meta'!$C$4:$C$21)</f>
        <v>0</v>
      </c>
      <c r="Z487" s="30">
        <f t="shared" si="117"/>
        <v>0</v>
      </c>
      <c r="AA487" s="29"/>
      <c r="AB487" s="31">
        <f>SUMIFS('Historico - FAT'!AK:AK,'Historico - FAT'!$K:$K,Faturamento!$L487,'Historico - FAT'!$I:$I,Faturamento!$J487,'Historico - FAT'!$G:$G,Faturamento!$H487)</f>
        <v>0</v>
      </c>
      <c r="AC487" s="31">
        <f>SUMIFS('Historico - FAT'!AL:AL,'Historico - FAT'!$K:$K,Faturamento!$L487,'Historico - FAT'!$I:$I,Faturamento!$J487,'Historico - FAT'!$G:$G,Faturamento!$H487)</f>
        <v>0</v>
      </c>
      <c r="AD487" s="31">
        <f>SUMIFS('Historico - FAT'!AM:AM,'Historico - FAT'!$K:$K,Faturamento!$L487,'Historico - FAT'!$I:$I,Faturamento!$J487,'Historico - FAT'!$G:$G,Faturamento!$H487)</f>
        <v>0</v>
      </c>
      <c r="AE487" s="27">
        <f>SUMIFS('Historico - FAT'!AN:AN,'Historico - FAT'!$K:$K,Faturamento!$L487,'Historico - FAT'!$I:$I,Faturamento!$J487,'Historico - FAT'!$G:$G,Faturamento!$H487)</f>
        <v>0</v>
      </c>
      <c r="AG487" s="24" t="str">
        <f t="shared" si="105"/>
        <v/>
      </c>
      <c r="AH487" s="24" t="str">
        <f t="shared" si="106"/>
        <v/>
      </c>
      <c r="AI487" s="24" t="str">
        <f t="shared" si="107"/>
        <v/>
      </c>
    </row>
    <row r="488" spans="1:35" hidden="1" x14ac:dyDescent="0.3">
      <c r="A488" s="2" t="str">
        <f t="shared" si="104"/>
        <v>NÃO</v>
      </c>
      <c r="B488" s="2">
        <v>1000184670</v>
      </c>
      <c r="C488" s="2" t="s">
        <v>147</v>
      </c>
      <c r="D488" s="4">
        <v>1000186197</v>
      </c>
      <c r="E488" s="4" t="s">
        <v>166</v>
      </c>
      <c r="F488" s="2">
        <v>1000184757</v>
      </c>
      <c r="G488" s="2" t="s">
        <v>62</v>
      </c>
      <c r="H488" s="4">
        <v>1000189770</v>
      </c>
      <c r="I488" s="4" t="s">
        <v>75</v>
      </c>
      <c r="J488" s="2">
        <v>1000189270</v>
      </c>
      <c r="K488" s="2" t="s">
        <v>34</v>
      </c>
      <c r="L488" s="4" t="s">
        <v>18</v>
      </c>
      <c r="M488" s="4" t="str">
        <f t="shared" si="111"/>
        <v>1000184670100018619710001897701000189270LANCHES</v>
      </c>
      <c r="N488" s="28">
        <f>N479*_xlfn.XLOOKUP($L488,'Balizador da Meta'!$B$4:$B$21,'Balizador da Meta'!$C$4:$C$21)</f>
        <v>24</v>
      </c>
      <c r="O488" s="28">
        <f>O479*_xlfn.XLOOKUP($L488,'Balizador da Meta'!$B$4:$B$21,'Balizador da Meta'!$C$4:$C$21)</f>
        <v>24</v>
      </c>
      <c r="P488" s="28">
        <f>P479*_xlfn.XLOOKUP($L488,'Balizador da Meta'!$B$4:$B$21,'Balizador da Meta'!$C$4:$C$21)</f>
        <v>24</v>
      </c>
      <c r="Q488" s="28">
        <f>Q479*_xlfn.XLOOKUP($L488,'Balizador da Meta'!$B$4:$B$21,'Balizador da Meta'!$C$4:$C$21)</f>
        <v>24</v>
      </c>
      <c r="R488" s="28">
        <f>R479*_xlfn.XLOOKUP($L488,'Balizador da Meta'!$B$4:$B$21,'Balizador da Meta'!$C$4:$C$21)</f>
        <v>24</v>
      </c>
      <c r="S488" s="28">
        <f>S479*_xlfn.XLOOKUP($L488,'Balizador da Meta'!$B$4:$B$21,'Balizador da Meta'!$C$4:$C$21)</f>
        <v>24</v>
      </c>
      <c r="T488" s="28">
        <f>T479*_xlfn.XLOOKUP($L488,'Balizador da Meta'!$B$4:$B$21,'Balizador da Meta'!$C$4:$C$21)</f>
        <v>24</v>
      </c>
      <c r="U488" s="28">
        <f>U479*_xlfn.XLOOKUP($L488,'Balizador da Meta'!$B$4:$B$21,'Balizador da Meta'!$C$4:$C$21)</f>
        <v>24</v>
      </c>
      <c r="V488" s="28">
        <f>V479*_xlfn.XLOOKUP($L488,'Balizador da Meta'!$B$4:$B$21,'Balizador da Meta'!$C$4:$C$21)</f>
        <v>24</v>
      </c>
      <c r="W488" s="28">
        <f>W479*_xlfn.XLOOKUP($L488,'Balizador da Meta'!$B$4:$B$21,'Balizador da Meta'!$C$4:$C$21)</f>
        <v>24</v>
      </c>
      <c r="X488" s="28">
        <f>X479*_xlfn.XLOOKUP($L488,'Balizador da Meta'!$B$4:$B$21,'Balizador da Meta'!$C$4:$C$21)</f>
        <v>24</v>
      </c>
      <c r="Y488" s="28">
        <f>Y479*_xlfn.XLOOKUP($L488,'Balizador da Meta'!$B$4:$B$21,'Balizador da Meta'!$C$4:$C$21)</f>
        <v>24</v>
      </c>
      <c r="Z488" s="30">
        <f t="shared" si="117"/>
        <v>288</v>
      </c>
      <c r="AA488" s="29"/>
      <c r="AB488" s="31">
        <f>SUMIFS('Historico - FAT'!AK:AK,'Historico - FAT'!$K:$K,Faturamento!$L488,'Historico - FAT'!$I:$I,Faturamento!$J488,'Historico - FAT'!$G:$G,Faturamento!$H488)</f>
        <v>0</v>
      </c>
      <c r="AC488" s="31">
        <f>SUMIFS('Historico - FAT'!AL:AL,'Historico - FAT'!$K:$K,Faturamento!$L488,'Historico - FAT'!$I:$I,Faturamento!$J488,'Historico - FAT'!$G:$G,Faturamento!$H488)</f>
        <v>0</v>
      </c>
      <c r="AD488" s="31">
        <f>SUMIFS('Historico - FAT'!AM:AM,'Historico - FAT'!$K:$K,Faturamento!$L488,'Historico - FAT'!$I:$I,Faturamento!$J488,'Historico - FAT'!$G:$G,Faturamento!$H488)</f>
        <v>0</v>
      </c>
      <c r="AE488" s="27">
        <f>SUMIFS('Historico - FAT'!AN:AN,'Historico - FAT'!$K:$K,Faturamento!$L488,'Historico - FAT'!$I:$I,Faturamento!$J488,'Historico - FAT'!$G:$G,Faturamento!$H488)</f>
        <v>0</v>
      </c>
      <c r="AG488" s="24">
        <f t="shared" si="105"/>
        <v>1</v>
      </c>
      <c r="AH488" s="24">
        <f t="shared" si="106"/>
        <v>1</v>
      </c>
      <c r="AI488" s="24">
        <f t="shared" si="107"/>
        <v>1</v>
      </c>
    </row>
    <row r="489" spans="1:35" hidden="1" x14ac:dyDescent="0.3">
      <c r="A489" s="2" t="str">
        <f t="shared" si="104"/>
        <v>NÃO</v>
      </c>
      <c r="B489" s="2">
        <v>1000184670</v>
      </c>
      <c r="C489" s="2" t="s">
        <v>147</v>
      </c>
      <c r="D489" s="4">
        <v>1000186197</v>
      </c>
      <c r="E489" s="4" t="s">
        <v>166</v>
      </c>
      <c r="F489" s="2">
        <v>1000184757</v>
      </c>
      <c r="G489" s="2" t="s">
        <v>62</v>
      </c>
      <c r="H489" s="4">
        <v>1000189770</v>
      </c>
      <c r="I489" s="4" t="s">
        <v>75</v>
      </c>
      <c r="J489" s="2">
        <v>1000189270</v>
      </c>
      <c r="K489" s="2" t="s">
        <v>34</v>
      </c>
      <c r="L489" s="4" t="s">
        <v>29</v>
      </c>
      <c r="M489" s="4" t="str">
        <f t="shared" si="111"/>
        <v>1000184670100018619710001897701000189270MAIS GRANEL</v>
      </c>
      <c r="N489" s="28">
        <f>N479*_xlfn.XLOOKUP($L489,'Balizador da Meta'!$B$4:$B$21,'Balizador da Meta'!$C$4:$C$21)</f>
        <v>768</v>
      </c>
      <c r="O489" s="28">
        <f>O479*_xlfn.XLOOKUP($L489,'Balizador da Meta'!$B$4:$B$21,'Balizador da Meta'!$C$4:$C$21)</f>
        <v>768</v>
      </c>
      <c r="P489" s="28">
        <f>P479*_xlfn.XLOOKUP($L489,'Balizador da Meta'!$B$4:$B$21,'Balizador da Meta'!$C$4:$C$21)</f>
        <v>768</v>
      </c>
      <c r="Q489" s="28">
        <f>Q479*_xlfn.XLOOKUP($L489,'Balizador da Meta'!$B$4:$B$21,'Balizador da Meta'!$C$4:$C$21)</f>
        <v>768</v>
      </c>
      <c r="R489" s="28">
        <f>R479*_xlfn.XLOOKUP($L489,'Balizador da Meta'!$B$4:$B$21,'Balizador da Meta'!$C$4:$C$21)</f>
        <v>768</v>
      </c>
      <c r="S489" s="28">
        <f>S479*_xlfn.XLOOKUP($L489,'Balizador da Meta'!$B$4:$B$21,'Balizador da Meta'!$C$4:$C$21)</f>
        <v>768</v>
      </c>
      <c r="T489" s="28">
        <f>T479*_xlfn.XLOOKUP($L489,'Balizador da Meta'!$B$4:$B$21,'Balizador da Meta'!$C$4:$C$21)</f>
        <v>768</v>
      </c>
      <c r="U489" s="28">
        <f>U479*_xlfn.XLOOKUP($L489,'Balizador da Meta'!$B$4:$B$21,'Balizador da Meta'!$C$4:$C$21)</f>
        <v>768</v>
      </c>
      <c r="V489" s="28">
        <f>V479*_xlfn.XLOOKUP($L489,'Balizador da Meta'!$B$4:$B$21,'Balizador da Meta'!$C$4:$C$21)</f>
        <v>768</v>
      </c>
      <c r="W489" s="28">
        <f>W479*_xlfn.XLOOKUP($L489,'Balizador da Meta'!$B$4:$B$21,'Balizador da Meta'!$C$4:$C$21)</f>
        <v>768</v>
      </c>
      <c r="X489" s="28">
        <f>X479*_xlfn.XLOOKUP($L489,'Balizador da Meta'!$B$4:$B$21,'Balizador da Meta'!$C$4:$C$21)</f>
        <v>768</v>
      </c>
      <c r="Y489" s="28">
        <f>Y479*_xlfn.XLOOKUP($L489,'Balizador da Meta'!$B$4:$B$21,'Balizador da Meta'!$C$4:$C$21)</f>
        <v>768</v>
      </c>
      <c r="Z489" s="30">
        <f t="shared" si="117"/>
        <v>9216</v>
      </c>
      <c r="AA489" s="29"/>
      <c r="AB489" s="31">
        <f>SUMIFS('Historico - FAT'!AK:AK,'Historico - FAT'!$K:$K,Faturamento!$L489,'Historico - FAT'!$I:$I,Faturamento!$J489,'Historico - FAT'!$G:$G,Faturamento!$H489)</f>
        <v>0</v>
      </c>
      <c r="AC489" s="31">
        <f>SUMIFS('Historico - FAT'!AL:AL,'Historico - FAT'!$K:$K,Faturamento!$L489,'Historico - FAT'!$I:$I,Faturamento!$J489,'Historico - FAT'!$G:$G,Faturamento!$H489)</f>
        <v>0</v>
      </c>
      <c r="AD489" s="31">
        <f>SUMIFS('Historico - FAT'!AM:AM,'Historico - FAT'!$K:$K,Faturamento!$L489,'Historico - FAT'!$I:$I,Faturamento!$J489,'Historico - FAT'!$G:$G,Faturamento!$H489)</f>
        <v>0</v>
      </c>
      <c r="AE489" s="27">
        <f>SUMIFS('Historico - FAT'!AN:AN,'Historico - FAT'!$K:$K,Faturamento!$L489,'Historico - FAT'!$I:$I,Faturamento!$J489,'Historico - FAT'!$G:$G,Faturamento!$H489)</f>
        <v>0</v>
      </c>
      <c r="AG489" s="24">
        <f t="shared" si="105"/>
        <v>1</v>
      </c>
      <c r="AH489" s="24">
        <f t="shared" si="106"/>
        <v>1</v>
      </c>
      <c r="AI489" s="24">
        <f t="shared" si="107"/>
        <v>1</v>
      </c>
    </row>
    <row r="490" spans="1:35" hidden="1" x14ac:dyDescent="0.3">
      <c r="A490" s="2" t="str">
        <f t="shared" si="104"/>
        <v>NÃO</v>
      </c>
      <c r="B490" s="2">
        <v>1000184670</v>
      </c>
      <c r="C490" s="2" t="s">
        <v>147</v>
      </c>
      <c r="D490" s="4">
        <v>1000186197</v>
      </c>
      <c r="E490" s="4" t="s">
        <v>166</v>
      </c>
      <c r="F490" s="2">
        <v>1000184757</v>
      </c>
      <c r="G490" s="2" t="s">
        <v>62</v>
      </c>
      <c r="H490" s="4">
        <v>1000189770</v>
      </c>
      <c r="I490" s="4" t="s">
        <v>75</v>
      </c>
      <c r="J490" s="2">
        <v>1000189270</v>
      </c>
      <c r="K490" s="2" t="s">
        <v>34</v>
      </c>
      <c r="L490" s="4" t="s">
        <v>21</v>
      </c>
      <c r="M490" s="4" t="str">
        <f t="shared" si="111"/>
        <v>1000184670100018619710001897701000189270NATURATTA</v>
      </c>
      <c r="N490" s="28">
        <f>N479*_xlfn.XLOOKUP($L490,'Balizador da Meta'!$B$4:$B$21,'Balizador da Meta'!$C$4:$C$21)</f>
        <v>120</v>
      </c>
      <c r="O490" s="28">
        <f>O479*_xlfn.XLOOKUP($L490,'Balizador da Meta'!$B$4:$B$21,'Balizador da Meta'!$C$4:$C$21)</f>
        <v>120</v>
      </c>
      <c r="P490" s="28">
        <f>P479*_xlfn.XLOOKUP($L490,'Balizador da Meta'!$B$4:$B$21,'Balizador da Meta'!$C$4:$C$21)</f>
        <v>120</v>
      </c>
      <c r="Q490" s="28">
        <f>Q479*_xlfn.XLOOKUP($L490,'Balizador da Meta'!$B$4:$B$21,'Balizador da Meta'!$C$4:$C$21)</f>
        <v>120</v>
      </c>
      <c r="R490" s="28">
        <f>R479*_xlfn.XLOOKUP($L490,'Balizador da Meta'!$B$4:$B$21,'Balizador da Meta'!$C$4:$C$21)</f>
        <v>120</v>
      </c>
      <c r="S490" s="28">
        <f>S479*_xlfn.XLOOKUP($L490,'Balizador da Meta'!$B$4:$B$21,'Balizador da Meta'!$C$4:$C$21)</f>
        <v>120</v>
      </c>
      <c r="T490" s="28">
        <f>T479*_xlfn.XLOOKUP($L490,'Balizador da Meta'!$B$4:$B$21,'Balizador da Meta'!$C$4:$C$21)</f>
        <v>120</v>
      </c>
      <c r="U490" s="28">
        <f>U479*_xlfn.XLOOKUP($L490,'Balizador da Meta'!$B$4:$B$21,'Balizador da Meta'!$C$4:$C$21)</f>
        <v>120</v>
      </c>
      <c r="V490" s="28">
        <f>V479*_xlfn.XLOOKUP($L490,'Balizador da Meta'!$B$4:$B$21,'Balizador da Meta'!$C$4:$C$21)</f>
        <v>120</v>
      </c>
      <c r="W490" s="28">
        <f>W479*_xlfn.XLOOKUP($L490,'Balizador da Meta'!$B$4:$B$21,'Balizador da Meta'!$C$4:$C$21)</f>
        <v>120</v>
      </c>
      <c r="X490" s="28">
        <f>X479*_xlfn.XLOOKUP($L490,'Balizador da Meta'!$B$4:$B$21,'Balizador da Meta'!$C$4:$C$21)</f>
        <v>120</v>
      </c>
      <c r="Y490" s="28">
        <f>Y479*_xlfn.XLOOKUP($L490,'Balizador da Meta'!$B$4:$B$21,'Balizador da Meta'!$C$4:$C$21)</f>
        <v>120</v>
      </c>
      <c r="Z490" s="30">
        <f t="shared" si="117"/>
        <v>1440</v>
      </c>
      <c r="AA490" s="29"/>
      <c r="AB490" s="31">
        <f>SUMIFS('Historico - FAT'!AK:AK,'Historico - FAT'!$K:$K,Faturamento!$L490,'Historico - FAT'!$I:$I,Faturamento!$J490,'Historico - FAT'!$G:$G,Faturamento!$H490)</f>
        <v>0</v>
      </c>
      <c r="AC490" s="31">
        <f>SUMIFS('Historico - FAT'!AL:AL,'Historico - FAT'!$K:$K,Faturamento!$L490,'Historico - FAT'!$I:$I,Faturamento!$J490,'Historico - FAT'!$G:$G,Faturamento!$H490)</f>
        <v>0</v>
      </c>
      <c r="AD490" s="31">
        <f>SUMIFS('Historico - FAT'!AM:AM,'Historico - FAT'!$K:$K,Faturamento!$L490,'Historico - FAT'!$I:$I,Faturamento!$J490,'Historico - FAT'!$G:$G,Faturamento!$H490)</f>
        <v>0</v>
      </c>
      <c r="AE490" s="27">
        <f>SUMIFS('Historico - FAT'!AN:AN,'Historico - FAT'!$K:$K,Faturamento!$L490,'Historico - FAT'!$I:$I,Faturamento!$J490,'Historico - FAT'!$G:$G,Faturamento!$H490)</f>
        <v>0</v>
      </c>
      <c r="AG490" s="24">
        <f t="shared" si="105"/>
        <v>1</v>
      </c>
      <c r="AH490" s="24">
        <f t="shared" si="106"/>
        <v>1</v>
      </c>
      <c r="AI490" s="24">
        <f t="shared" si="107"/>
        <v>1</v>
      </c>
    </row>
    <row r="491" spans="1:35" hidden="1" x14ac:dyDescent="0.3">
      <c r="A491" s="2" t="str">
        <f t="shared" si="104"/>
        <v>NÃO</v>
      </c>
      <c r="B491" s="2">
        <v>1000184670</v>
      </c>
      <c r="C491" s="2" t="s">
        <v>147</v>
      </c>
      <c r="D491" s="4">
        <v>1000186197</v>
      </c>
      <c r="E491" s="4" t="s">
        <v>166</v>
      </c>
      <c r="F491" s="2">
        <v>1000184757</v>
      </c>
      <c r="G491" s="2" t="s">
        <v>62</v>
      </c>
      <c r="H491" s="4">
        <v>1000189770</v>
      </c>
      <c r="I491" s="4" t="s">
        <v>75</v>
      </c>
      <c r="J491" s="2">
        <v>1000189270</v>
      </c>
      <c r="K491" s="2" t="s">
        <v>34</v>
      </c>
      <c r="L491" s="4" t="s">
        <v>20</v>
      </c>
      <c r="M491" s="4" t="str">
        <f t="shared" si="111"/>
        <v>1000184670100018619710001897701000189270REEMBALADOS</v>
      </c>
      <c r="N491" s="28">
        <f>N479*_xlfn.XLOOKUP($L491,'Balizador da Meta'!$B$4:$B$21,'Balizador da Meta'!$C$4:$C$21)</f>
        <v>96</v>
      </c>
      <c r="O491" s="28">
        <f>O479*_xlfn.XLOOKUP($L491,'Balizador da Meta'!$B$4:$B$21,'Balizador da Meta'!$C$4:$C$21)</f>
        <v>96</v>
      </c>
      <c r="P491" s="28">
        <f>P479*_xlfn.XLOOKUP($L491,'Balizador da Meta'!$B$4:$B$21,'Balizador da Meta'!$C$4:$C$21)</f>
        <v>96</v>
      </c>
      <c r="Q491" s="28">
        <f>Q479*_xlfn.XLOOKUP($L491,'Balizador da Meta'!$B$4:$B$21,'Balizador da Meta'!$C$4:$C$21)</f>
        <v>96</v>
      </c>
      <c r="R491" s="28">
        <f>R479*_xlfn.XLOOKUP($L491,'Balizador da Meta'!$B$4:$B$21,'Balizador da Meta'!$C$4:$C$21)</f>
        <v>96</v>
      </c>
      <c r="S491" s="28">
        <f>S479*_xlfn.XLOOKUP($L491,'Balizador da Meta'!$B$4:$B$21,'Balizador da Meta'!$C$4:$C$21)</f>
        <v>96</v>
      </c>
      <c r="T491" s="28">
        <f>T479*_xlfn.XLOOKUP($L491,'Balizador da Meta'!$B$4:$B$21,'Balizador da Meta'!$C$4:$C$21)</f>
        <v>96</v>
      </c>
      <c r="U491" s="28">
        <f>U479*_xlfn.XLOOKUP($L491,'Balizador da Meta'!$B$4:$B$21,'Balizador da Meta'!$C$4:$C$21)</f>
        <v>96</v>
      </c>
      <c r="V491" s="28">
        <f>V479*_xlfn.XLOOKUP($L491,'Balizador da Meta'!$B$4:$B$21,'Balizador da Meta'!$C$4:$C$21)</f>
        <v>96</v>
      </c>
      <c r="W491" s="28">
        <f>W479*_xlfn.XLOOKUP($L491,'Balizador da Meta'!$B$4:$B$21,'Balizador da Meta'!$C$4:$C$21)</f>
        <v>96</v>
      </c>
      <c r="X491" s="28">
        <f>X479*_xlfn.XLOOKUP($L491,'Balizador da Meta'!$B$4:$B$21,'Balizador da Meta'!$C$4:$C$21)</f>
        <v>96</v>
      </c>
      <c r="Y491" s="28">
        <f>Y479*_xlfn.XLOOKUP($L491,'Balizador da Meta'!$B$4:$B$21,'Balizador da Meta'!$C$4:$C$21)</f>
        <v>96</v>
      </c>
      <c r="Z491" s="30">
        <f t="shared" si="117"/>
        <v>1152</v>
      </c>
      <c r="AA491" s="29"/>
      <c r="AB491" s="31">
        <f>SUMIFS('Historico - FAT'!AK:AK,'Historico - FAT'!$K:$K,Faturamento!$L491,'Historico - FAT'!$I:$I,Faturamento!$J491,'Historico - FAT'!$G:$G,Faturamento!$H491)</f>
        <v>0</v>
      </c>
      <c r="AC491" s="31">
        <f>SUMIFS('Historico - FAT'!AL:AL,'Historico - FAT'!$K:$K,Faturamento!$L491,'Historico - FAT'!$I:$I,Faturamento!$J491,'Historico - FAT'!$G:$G,Faturamento!$H491)</f>
        <v>0</v>
      </c>
      <c r="AD491" s="31">
        <f>SUMIFS('Historico - FAT'!AM:AM,'Historico - FAT'!$K:$K,Faturamento!$L491,'Historico - FAT'!$I:$I,Faturamento!$J491,'Historico - FAT'!$G:$G,Faturamento!$H491)</f>
        <v>0</v>
      </c>
      <c r="AE491" s="27">
        <f>SUMIFS('Historico - FAT'!AN:AN,'Historico - FAT'!$K:$K,Faturamento!$L491,'Historico - FAT'!$I:$I,Faturamento!$J491,'Historico - FAT'!$G:$G,Faturamento!$H491)</f>
        <v>0</v>
      </c>
      <c r="AG491" s="24">
        <f t="shared" si="105"/>
        <v>1</v>
      </c>
      <c r="AH491" s="24">
        <f t="shared" si="106"/>
        <v>1</v>
      </c>
      <c r="AI491" s="24">
        <f t="shared" si="107"/>
        <v>1</v>
      </c>
    </row>
    <row r="492" spans="1:35" hidden="1" x14ac:dyDescent="0.3">
      <c r="A492" s="2" t="str">
        <f t="shared" si="104"/>
        <v>NÃO</v>
      </c>
      <c r="B492" s="2">
        <v>1000184670</v>
      </c>
      <c r="C492" s="2" t="s">
        <v>147</v>
      </c>
      <c r="D492" s="4">
        <v>1000186197</v>
      </c>
      <c r="E492" s="4" t="s">
        <v>166</v>
      </c>
      <c r="F492" s="2">
        <v>1000184757</v>
      </c>
      <c r="G492" s="2" t="s">
        <v>62</v>
      </c>
      <c r="H492" s="4">
        <v>1000189770</v>
      </c>
      <c r="I492" s="4" t="s">
        <v>75</v>
      </c>
      <c r="J492" s="2">
        <v>1000189270</v>
      </c>
      <c r="K492" s="2" t="s">
        <v>34</v>
      </c>
      <c r="L492" s="4" t="s">
        <v>22</v>
      </c>
      <c r="M492" s="4" t="str">
        <f t="shared" si="111"/>
        <v>1000184670100018619710001897701000189270S GLUTEN</v>
      </c>
      <c r="N492" s="28">
        <f>N479*_xlfn.XLOOKUP($L492,'Balizador da Meta'!$B$4:$B$21,'Balizador da Meta'!$C$4:$C$21)</f>
        <v>96</v>
      </c>
      <c r="O492" s="28">
        <f>O479*_xlfn.XLOOKUP($L492,'Balizador da Meta'!$B$4:$B$21,'Balizador da Meta'!$C$4:$C$21)</f>
        <v>96</v>
      </c>
      <c r="P492" s="28">
        <f>P479*_xlfn.XLOOKUP($L492,'Balizador da Meta'!$B$4:$B$21,'Balizador da Meta'!$C$4:$C$21)</f>
        <v>96</v>
      </c>
      <c r="Q492" s="28">
        <f>Q479*_xlfn.XLOOKUP($L492,'Balizador da Meta'!$B$4:$B$21,'Balizador da Meta'!$C$4:$C$21)</f>
        <v>96</v>
      </c>
      <c r="R492" s="28">
        <f>R479*_xlfn.XLOOKUP($L492,'Balizador da Meta'!$B$4:$B$21,'Balizador da Meta'!$C$4:$C$21)</f>
        <v>96</v>
      </c>
      <c r="S492" s="28">
        <f>S479*_xlfn.XLOOKUP($L492,'Balizador da Meta'!$B$4:$B$21,'Balizador da Meta'!$C$4:$C$21)</f>
        <v>96</v>
      </c>
      <c r="T492" s="28">
        <f>T479*_xlfn.XLOOKUP($L492,'Balizador da Meta'!$B$4:$B$21,'Balizador da Meta'!$C$4:$C$21)</f>
        <v>96</v>
      </c>
      <c r="U492" s="28">
        <f>U479*_xlfn.XLOOKUP($L492,'Balizador da Meta'!$B$4:$B$21,'Balizador da Meta'!$C$4:$C$21)</f>
        <v>96</v>
      </c>
      <c r="V492" s="28">
        <f>V479*_xlfn.XLOOKUP($L492,'Balizador da Meta'!$B$4:$B$21,'Balizador da Meta'!$C$4:$C$21)</f>
        <v>96</v>
      </c>
      <c r="W492" s="28">
        <f>W479*_xlfn.XLOOKUP($L492,'Balizador da Meta'!$B$4:$B$21,'Balizador da Meta'!$C$4:$C$21)</f>
        <v>96</v>
      </c>
      <c r="X492" s="28">
        <f>X479*_xlfn.XLOOKUP($L492,'Balizador da Meta'!$B$4:$B$21,'Balizador da Meta'!$C$4:$C$21)</f>
        <v>96</v>
      </c>
      <c r="Y492" s="28">
        <f>Y479*_xlfn.XLOOKUP($L492,'Balizador da Meta'!$B$4:$B$21,'Balizador da Meta'!$C$4:$C$21)</f>
        <v>96</v>
      </c>
      <c r="Z492" s="30">
        <f t="shared" si="117"/>
        <v>1152</v>
      </c>
      <c r="AA492" s="29"/>
      <c r="AB492" s="31">
        <f>SUMIFS('Historico - FAT'!AK:AK,'Historico - FAT'!$K:$K,Faturamento!$L492,'Historico - FAT'!$I:$I,Faturamento!$J492,'Historico - FAT'!$G:$G,Faturamento!$H492)</f>
        <v>0</v>
      </c>
      <c r="AC492" s="31">
        <f>SUMIFS('Historico - FAT'!AL:AL,'Historico - FAT'!$K:$K,Faturamento!$L492,'Historico - FAT'!$I:$I,Faturamento!$J492,'Historico - FAT'!$G:$G,Faturamento!$H492)</f>
        <v>0</v>
      </c>
      <c r="AD492" s="31">
        <f>SUMIFS('Historico - FAT'!AM:AM,'Historico - FAT'!$K:$K,Faturamento!$L492,'Historico - FAT'!$I:$I,Faturamento!$J492,'Historico - FAT'!$G:$G,Faturamento!$H492)</f>
        <v>0</v>
      </c>
      <c r="AE492" s="27">
        <f>SUMIFS('Historico - FAT'!AN:AN,'Historico - FAT'!$K:$K,Faturamento!$L492,'Historico - FAT'!$I:$I,Faturamento!$J492,'Historico - FAT'!$G:$G,Faturamento!$H492)</f>
        <v>0</v>
      </c>
      <c r="AG492" s="24">
        <f t="shared" si="105"/>
        <v>1</v>
      </c>
      <c r="AH492" s="24">
        <f t="shared" si="106"/>
        <v>1</v>
      </c>
      <c r="AI492" s="24">
        <f t="shared" si="107"/>
        <v>1</v>
      </c>
    </row>
    <row r="493" spans="1:35" hidden="1" x14ac:dyDescent="0.3">
      <c r="A493" s="2" t="str">
        <f t="shared" si="104"/>
        <v>NÃO</v>
      </c>
      <c r="B493" s="2">
        <v>1000184670</v>
      </c>
      <c r="C493" s="2" t="s">
        <v>147</v>
      </c>
      <c r="D493" s="4">
        <v>1000186197</v>
      </c>
      <c r="E493" s="4" t="s">
        <v>166</v>
      </c>
      <c r="F493" s="2">
        <v>1000184757</v>
      </c>
      <c r="G493" s="2" t="s">
        <v>62</v>
      </c>
      <c r="H493" s="4">
        <v>1000189770</v>
      </c>
      <c r="I493" s="4" t="s">
        <v>75</v>
      </c>
      <c r="J493" s="2">
        <v>1000189270</v>
      </c>
      <c r="K493" s="2" t="s">
        <v>34</v>
      </c>
      <c r="L493" s="4" t="s">
        <v>23</v>
      </c>
      <c r="M493" s="4" t="str">
        <f t="shared" si="111"/>
        <v>1000184670100018619710001897701000189270SABORES DO CAMPO</v>
      </c>
      <c r="N493" s="28">
        <f>N479*_xlfn.XLOOKUP($L493,'Balizador da Meta'!$B$4:$B$21,'Balizador da Meta'!$C$4:$C$21)</f>
        <v>0</v>
      </c>
      <c r="O493" s="28">
        <f>O479*_xlfn.XLOOKUP($L493,'Balizador da Meta'!$B$4:$B$21,'Balizador da Meta'!$C$4:$C$21)</f>
        <v>0</v>
      </c>
      <c r="P493" s="28">
        <f>P479*_xlfn.XLOOKUP($L493,'Balizador da Meta'!$B$4:$B$21,'Balizador da Meta'!$C$4:$C$21)</f>
        <v>0</v>
      </c>
      <c r="Q493" s="28">
        <f>Q479*_xlfn.XLOOKUP($L493,'Balizador da Meta'!$B$4:$B$21,'Balizador da Meta'!$C$4:$C$21)</f>
        <v>0</v>
      </c>
      <c r="R493" s="28">
        <f>R479*_xlfn.XLOOKUP($L493,'Balizador da Meta'!$B$4:$B$21,'Balizador da Meta'!$C$4:$C$21)</f>
        <v>0</v>
      </c>
      <c r="S493" s="28">
        <f>S479*_xlfn.XLOOKUP($L493,'Balizador da Meta'!$B$4:$B$21,'Balizador da Meta'!$C$4:$C$21)</f>
        <v>0</v>
      </c>
      <c r="T493" s="28">
        <f>T479*_xlfn.XLOOKUP($L493,'Balizador da Meta'!$B$4:$B$21,'Balizador da Meta'!$C$4:$C$21)</f>
        <v>0</v>
      </c>
      <c r="U493" s="28">
        <f>U479*_xlfn.XLOOKUP($L493,'Balizador da Meta'!$B$4:$B$21,'Balizador da Meta'!$C$4:$C$21)</f>
        <v>0</v>
      </c>
      <c r="V493" s="28">
        <f>V479*_xlfn.XLOOKUP($L493,'Balizador da Meta'!$B$4:$B$21,'Balizador da Meta'!$C$4:$C$21)</f>
        <v>0</v>
      </c>
      <c r="W493" s="28">
        <f>W479*_xlfn.XLOOKUP($L493,'Balizador da Meta'!$B$4:$B$21,'Balizador da Meta'!$C$4:$C$21)</f>
        <v>0</v>
      </c>
      <c r="X493" s="28">
        <f>X479*_xlfn.XLOOKUP($L493,'Balizador da Meta'!$B$4:$B$21,'Balizador da Meta'!$C$4:$C$21)</f>
        <v>0</v>
      </c>
      <c r="Y493" s="28">
        <f>Y479*_xlfn.XLOOKUP($L493,'Balizador da Meta'!$B$4:$B$21,'Balizador da Meta'!$C$4:$C$21)</f>
        <v>0</v>
      </c>
      <c r="Z493" s="30">
        <f t="shared" si="117"/>
        <v>0</v>
      </c>
      <c r="AA493" s="29"/>
      <c r="AB493" s="31">
        <f>SUMIFS('Historico - FAT'!AK:AK,'Historico - FAT'!$K:$K,Faturamento!$L493,'Historico - FAT'!$I:$I,Faturamento!$J493,'Historico - FAT'!$G:$G,Faturamento!$H493)</f>
        <v>0</v>
      </c>
      <c r="AC493" s="31">
        <f>SUMIFS('Historico - FAT'!AL:AL,'Historico - FAT'!$K:$K,Faturamento!$L493,'Historico - FAT'!$I:$I,Faturamento!$J493,'Historico - FAT'!$G:$G,Faturamento!$H493)</f>
        <v>0</v>
      </c>
      <c r="AD493" s="31">
        <f>SUMIFS('Historico - FAT'!AM:AM,'Historico - FAT'!$K:$K,Faturamento!$L493,'Historico - FAT'!$I:$I,Faturamento!$J493,'Historico - FAT'!$G:$G,Faturamento!$H493)</f>
        <v>0</v>
      </c>
      <c r="AE493" s="27">
        <f>SUMIFS('Historico - FAT'!AN:AN,'Historico - FAT'!$K:$K,Faturamento!$L493,'Historico - FAT'!$I:$I,Faturamento!$J493,'Historico - FAT'!$G:$G,Faturamento!$H493)</f>
        <v>0</v>
      </c>
      <c r="AG493" s="24" t="str">
        <f t="shared" si="105"/>
        <v/>
      </c>
      <c r="AH493" s="24" t="str">
        <f t="shared" si="106"/>
        <v/>
      </c>
      <c r="AI493" s="24" t="str">
        <f t="shared" si="107"/>
        <v/>
      </c>
    </row>
    <row r="494" spans="1:35" hidden="1" x14ac:dyDescent="0.3">
      <c r="A494" s="2" t="str">
        <f t="shared" si="104"/>
        <v>NÃO</v>
      </c>
      <c r="B494" s="2">
        <v>1000184670</v>
      </c>
      <c r="C494" s="2" t="s">
        <v>147</v>
      </c>
      <c r="D494" s="4">
        <v>1000186197</v>
      </c>
      <c r="E494" s="4" t="s">
        <v>166</v>
      </c>
      <c r="F494" s="2">
        <v>1000184757</v>
      </c>
      <c r="G494" s="2" t="s">
        <v>62</v>
      </c>
      <c r="H494" s="4">
        <v>1000189770</v>
      </c>
      <c r="I494" s="4" t="s">
        <v>75</v>
      </c>
      <c r="J494" s="2">
        <v>1000189270</v>
      </c>
      <c r="K494" s="2" t="s">
        <v>34</v>
      </c>
      <c r="L494" s="4" t="s">
        <v>28</v>
      </c>
      <c r="M494" s="4" t="str">
        <f t="shared" si="111"/>
        <v>1000184670100018619710001897701000189270SAL</v>
      </c>
      <c r="N494" s="28">
        <f>N479*_xlfn.XLOOKUP($L494,'Balizador da Meta'!$B$4:$B$21,'Balizador da Meta'!$C$4:$C$21)</f>
        <v>48</v>
      </c>
      <c r="O494" s="28">
        <f>O479*_xlfn.XLOOKUP($L494,'Balizador da Meta'!$B$4:$B$21,'Balizador da Meta'!$C$4:$C$21)</f>
        <v>48</v>
      </c>
      <c r="P494" s="28">
        <f>P479*_xlfn.XLOOKUP($L494,'Balizador da Meta'!$B$4:$B$21,'Balizador da Meta'!$C$4:$C$21)</f>
        <v>48</v>
      </c>
      <c r="Q494" s="28">
        <f>Q479*_xlfn.XLOOKUP($L494,'Balizador da Meta'!$B$4:$B$21,'Balizador da Meta'!$C$4:$C$21)</f>
        <v>48</v>
      </c>
      <c r="R494" s="28">
        <f>R479*_xlfn.XLOOKUP($L494,'Balizador da Meta'!$B$4:$B$21,'Balizador da Meta'!$C$4:$C$21)</f>
        <v>48</v>
      </c>
      <c r="S494" s="28">
        <f>S479*_xlfn.XLOOKUP($L494,'Balizador da Meta'!$B$4:$B$21,'Balizador da Meta'!$C$4:$C$21)</f>
        <v>48</v>
      </c>
      <c r="T494" s="28">
        <f>T479*_xlfn.XLOOKUP($L494,'Balizador da Meta'!$B$4:$B$21,'Balizador da Meta'!$C$4:$C$21)</f>
        <v>48</v>
      </c>
      <c r="U494" s="28">
        <f>U479*_xlfn.XLOOKUP($L494,'Balizador da Meta'!$B$4:$B$21,'Balizador da Meta'!$C$4:$C$21)</f>
        <v>48</v>
      </c>
      <c r="V494" s="28">
        <f>V479*_xlfn.XLOOKUP($L494,'Balizador da Meta'!$B$4:$B$21,'Balizador da Meta'!$C$4:$C$21)</f>
        <v>48</v>
      </c>
      <c r="W494" s="28">
        <f>W479*_xlfn.XLOOKUP($L494,'Balizador da Meta'!$B$4:$B$21,'Balizador da Meta'!$C$4:$C$21)</f>
        <v>48</v>
      </c>
      <c r="X494" s="28">
        <f>X479*_xlfn.XLOOKUP($L494,'Balizador da Meta'!$B$4:$B$21,'Balizador da Meta'!$C$4:$C$21)</f>
        <v>48</v>
      </c>
      <c r="Y494" s="28">
        <f>Y479*_xlfn.XLOOKUP($L494,'Balizador da Meta'!$B$4:$B$21,'Balizador da Meta'!$C$4:$C$21)</f>
        <v>48</v>
      </c>
      <c r="Z494" s="30">
        <f t="shared" si="117"/>
        <v>576</v>
      </c>
      <c r="AA494" s="29"/>
      <c r="AB494" s="31">
        <f>SUMIFS('Historico - FAT'!AK:AK,'Historico - FAT'!$K:$K,Faturamento!$L494,'Historico - FAT'!$I:$I,Faturamento!$J494,'Historico - FAT'!$G:$G,Faturamento!$H494)</f>
        <v>0</v>
      </c>
      <c r="AC494" s="31">
        <f>SUMIFS('Historico - FAT'!AL:AL,'Historico - FAT'!$K:$K,Faturamento!$L494,'Historico - FAT'!$I:$I,Faturamento!$J494,'Historico - FAT'!$G:$G,Faturamento!$H494)</f>
        <v>0</v>
      </c>
      <c r="AD494" s="31">
        <f>SUMIFS('Historico - FAT'!AM:AM,'Historico - FAT'!$K:$K,Faturamento!$L494,'Historico - FAT'!$I:$I,Faturamento!$J494,'Historico - FAT'!$G:$G,Faturamento!$H494)</f>
        <v>0</v>
      </c>
      <c r="AE494" s="27">
        <f>SUMIFS('Historico - FAT'!AN:AN,'Historico - FAT'!$K:$K,Faturamento!$L494,'Historico - FAT'!$I:$I,Faturamento!$J494,'Historico - FAT'!$G:$G,Faturamento!$H494)</f>
        <v>0</v>
      </c>
      <c r="AG494" s="24">
        <f t="shared" si="105"/>
        <v>1</v>
      </c>
      <c r="AH494" s="24">
        <f t="shared" si="106"/>
        <v>1</v>
      </c>
      <c r="AI494" s="24">
        <f t="shared" si="107"/>
        <v>1</v>
      </c>
    </row>
    <row r="495" spans="1:35" hidden="1" x14ac:dyDescent="0.3">
      <c r="A495" s="2" t="str">
        <f t="shared" si="104"/>
        <v>NÃO</v>
      </c>
      <c r="B495" s="2">
        <v>1000184670</v>
      </c>
      <c r="C495" s="2" t="s">
        <v>147</v>
      </c>
      <c r="D495" s="4">
        <v>1000186197</v>
      </c>
      <c r="E495" s="4" t="s">
        <v>166</v>
      </c>
      <c r="F495" s="2">
        <v>1000184757</v>
      </c>
      <c r="G495" s="2" t="s">
        <v>62</v>
      </c>
      <c r="H495" s="4">
        <v>1000189770</v>
      </c>
      <c r="I495" s="4" t="s">
        <v>75</v>
      </c>
      <c r="J495" s="2">
        <v>1000189270</v>
      </c>
      <c r="K495" s="2" t="s">
        <v>34</v>
      </c>
      <c r="L495" s="4" t="s">
        <v>26</v>
      </c>
      <c r="M495" s="4" t="str">
        <f t="shared" si="111"/>
        <v>1000184670100018619710001897701000189270SOULPRO</v>
      </c>
      <c r="N495" s="28">
        <f>N479*_xlfn.XLOOKUP($L495,'Balizador da Meta'!$B$4:$B$21,'Balizador da Meta'!$C$4:$C$21)</f>
        <v>144</v>
      </c>
      <c r="O495" s="28">
        <f>O479*_xlfn.XLOOKUP($L495,'Balizador da Meta'!$B$4:$B$21,'Balizador da Meta'!$C$4:$C$21)</f>
        <v>144</v>
      </c>
      <c r="P495" s="28">
        <f>P479*_xlfn.XLOOKUP($L495,'Balizador da Meta'!$B$4:$B$21,'Balizador da Meta'!$C$4:$C$21)</f>
        <v>144</v>
      </c>
      <c r="Q495" s="28">
        <f>Q479*_xlfn.XLOOKUP($L495,'Balizador da Meta'!$B$4:$B$21,'Balizador da Meta'!$C$4:$C$21)</f>
        <v>144</v>
      </c>
      <c r="R495" s="28">
        <f>R479*_xlfn.XLOOKUP($L495,'Balizador da Meta'!$B$4:$B$21,'Balizador da Meta'!$C$4:$C$21)</f>
        <v>144</v>
      </c>
      <c r="S495" s="28">
        <f>S479*_xlfn.XLOOKUP($L495,'Balizador da Meta'!$B$4:$B$21,'Balizador da Meta'!$C$4:$C$21)</f>
        <v>144</v>
      </c>
      <c r="T495" s="28">
        <f>T479*_xlfn.XLOOKUP($L495,'Balizador da Meta'!$B$4:$B$21,'Balizador da Meta'!$C$4:$C$21)</f>
        <v>144</v>
      </c>
      <c r="U495" s="28">
        <f>U479*_xlfn.XLOOKUP($L495,'Balizador da Meta'!$B$4:$B$21,'Balizador da Meta'!$C$4:$C$21)</f>
        <v>144</v>
      </c>
      <c r="V495" s="28">
        <f>V479*_xlfn.XLOOKUP($L495,'Balizador da Meta'!$B$4:$B$21,'Balizador da Meta'!$C$4:$C$21)</f>
        <v>144</v>
      </c>
      <c r="W495" s="28">
        <f>W479*_xlfn.XLOOKUP($L495,'Balizador da Meta'!$B$4:$B$21,'Balizador da Meta'!$C$4:$C$21)</f>
        <v>144</v>
      </c>
      <c r="X495" s="28">
        <f>X479*_xlfn.XLOOKUP($L495,'Balizador da Meta'!$B$4:$B$21,'Balizador da Meta'!$C$4:$C$21)</f>
        <v>144</v>
      </c>
      <c r="Y495" s="28">
        <f>Y479*_xlfn.XLOOKUP($L495,'Balizador da Meta'!$B$4:$B$21,'Balizador da Meta'!$C$4:$C$21)</f>
        <v>144</v>
      </c>
      <c r="Z495" s="30">
        <f t="shared" si="117"/>
        <v>1728</v>
      </c>
      <c r="AA495" s="29"/>
      <c r="AB495" s="31">
        <f>SUMIFS('Historico - FAT'!AK:AK,'Historico - FAT'!$K:$K,Faturamento!$L495,'Historico - FAT'!$I:$I,Faturamento!$J495,'Historico - FAT'!$G:$G,Faturamento!$H495)</f>
        <v>0</v>
      </c>
      <c r="AC495" s="31">
        <f>SUMIFS('Historico - FAT'!AL:AL,'Historico - FAT'!$K:$K,Faturamento!$L495,'Historico - FAT'!$I:$I,Faturamento!$J495,'Historico - FAT'!$G:$G,Faturamento!$H495)</f>
        <v>0</v>
      </c>
      <c r="AD495" s="31">
        <f>SUMIFS('Historico - FAT'!AM:AM,'Historico - FAT'!$K:$K,Faturamento!$L495,'Historico - FAT'!$I:$I,Faturamento!$J495,'Historico - FAT'!$G:$G,Faturamento!$H495)</f>
        <v>0</v>
      </c>
      <c r="AE495" s="27">
        <f>SUMIFS('Historico - FAT'!AN:AN,'Historico - FAT'!$K:$K,Faturamento!$L495,'Historico - FAT'!$I:$I,Faturamento!$J495,'Historico - FAT'!$G:$G,Faturamento!$H495)</f>
        <v>0</v>
      </c>
      <c r="AG495" s="24">
        <f t="shared" si="105"/>
        <v>1</v>
      </c>
      <c r="AH495" s="24">
        <f t="shared" si="106"/>
        <v>1</v>
      </c>
      <c r="AI495" s="24">
        <f t="shared" si="107"/>
        <v>1</v>
      </c>
    </row>
    <row r="496" spans="1:35" hidden="1" x14ac:dyDescent="0.3">
      <c r="A496" s="2" t="str">
        <f t="shared" si="104"/>
        <v>NÃO</v>
      </c>
      <c r="B496" s="2">
        <v>1000184670</v>
      </c>
      <c r="C496" s="2" t="s">
        <v>147</v>
      </c>
      <c r="D496" s="4">
        <v>1000186197</v>
      </c>
      <c r="E496" s="4" t="s">
        <v>166</v>
      </c>
      <c r="F496" s="2">
        <v>1000184757</v>
      </c>
      <c r="G496" s="2" t="s">
        <v>62</v>
      </c>
      <c r="H496" s="4">
        <v>1000189770</v>
      </c>
      <c r="I496" s="4" t="s">
        <v>75</v>
      </c>
      <c r="J496" s="2">
        <v>1000189270</v>
      </c>
      <c r="K496" s="2" t="s">
        <v>34</v>
      </c>
      <c r="L496" s="4" t="s">
        <v>27</v>
      </c>
      <c r="M496" s="4" t="str">
        <f t="shared" si="111"/>
        <v>1000184670100018619710001897701000189270TAMARA</v>
      </c>
      <c r="N496" s="28">
        <f>N479*_xlfn.XLOOKUP($L496,'Balizador da Meta'!$B$4:$B$21,'Balizador da Meta'!$C$4:$C$21)</f>
        <v>192</v>
      </c>
      <c r="O496" s="28">
        <f>O479*_xlfn.XLOOKUP($L496,'Balizador da Meta'!$B$4:$B$21,'Balizador da Meta'!$C$4:$C$21)</f>
        <v>192</v>
      </c>
      <c r="P496" s="28">
        <f>P479*_xlfn.XLOOKUP($L496,'Balizador da Meta'!$B$4:$B$21,'Balizador da Meta'!$C$4:$C$21)</f>
        <v>192</v>
      </c>
      <c r="Q496" s="28">
        <f>Q479*_xlfn.XLOOKUP($L496,'Balizador da Meta'!$B$4:$B$21,'Balizador da Meta'!$C$4:$C$21)</f>
        <v>192</v>
      </c>
      <c r="R496" s="28">
        <f>R479*_xlfn.XLOOKUP($L496,'Balizador da Meta'!$B$4:$B$21,'Balizador da Meta'!$C$4:$C$21)</f>
        <v>192</v>
      </c>
      <c r="S496" s="28">
        <f>S479*_xlfn.XLOOKUP($L496,'Balizador da Meta'!$B$4:$B$21,'Balizador da Meta'!$C$4:$C$21)</f>
        <v>192</v>
      </c>
      <c r="T496" s="28">
        <f>T479*_xlfn.XLOOKUP($L496,'Balizador da Meta'!$B$4:$B$21,'Balizador da Meta'!$C$4:$C$21)</f>
        <v>192</v>
      </c>
      <c r="U496" s="28">
        <f>U479*_xlfn.XLOOKUP($L496,'Balizador da Meta'!$B$4:$B$21,'Balizador da Meta'!$C$4:$C$21)</f>
        <v>192</v>
      </c>
      <c r="V496" s="28">
        <f>V479*_xlfn.XLOOKUP($L496,'Balizador da Meta'!$B$4:$B$21,'Balizador da Meta'!$C$4:$C$21)</f>
        <v>192</v>
      </c>
      <c r="W496" s="28">
        <f>W479*_xlfn.XLOOKUP($L496,'Balizador da Meta'!$B$4:$B$21,'Balizador da Meta'!$C$4:$C$21)</f>
        <v>192</v>
      </c>
      <c r="X496" s="28">
        <f>X479*_xlfn.XLOOKUP($L496,'Balizador da Meta'!$B$4:$B$21,'Balizador da Meta'!$C$4:$C$21)</f>
        <v>192</v>
      </c>
      <c r="Y496" s="28">
        <f>Y479*_xlfn.XLOOKUP($L496,'Balizador da Meta'!$B$4:$B$21,'Balizador da Meta'!$C$4:$C$21)</f>
        <v>192</v>
      </c>
      <c r="Z496" s="30">
        <f t="shared" si="117"/>
        <v>2304</v>
      </c>
      <c r="AA496" s="29"/>
      <c r="AB496" s="31">
        <f>SUMIFS('Historico - FAT'!AK:AK,'Historico - FAT'!$K:$K,Faturamento!$L496,'Historico - FAT'!$I:$I,Faturamento!$J496,'Historico - FAT'!$G:$G,Faturamento!$H496)</f>
        <v>0</v>
      </c>
      <c r="AC496" s="31">
        <f>SUMIFS('Historico - FAT'!AL:AL,'Historico - FAT'!$K:$K,Faturamento!$L496,'Historico - FAT'!$I:$I,Faturamento!$J496,'Historico - FAT'!$G:$G,Faturamento!$H496)</f>
        <v>12.4</v>
      </c>
      <c r="AD496" s="31">
        <f>SUMIFS('Historico - FAT'!AM:AM,'Historico - FAT'!$K:$K,Faturamento!$L496,'Historico - FAT'!$I:$I,Faturamento!$J496,'Historico - FAT'!$G:$G,Faturamento!$H496)</f>
        <v>24.8</v>
      </c>
      <c r="AE496" s="27">
        <f>SUMIFS('Historico - FAT'!AN:AN,'Historico - FAT'!$K:$K,Faturamento!$L496,'Historico - FAT'!$I:$I,Faturamento!$J496,'Historico - FAT'!$G:$G,Faturamento!$H496)</f>
        <v>14.88</v>
      </c>
      <c r="AG496" s="24">
        <f t="shared" si="105"/>
        <v>1</v>
      </c>
      <c r="AH496" s="24">
        <f t="shared" si="106"/>
        <v>0.93541666666666667</v>
      </c>
      <c r="AI496" s="24">
        <f t="shared" si="107"/>
        <v>0.87083333333333324</v>
      </c>
    </row>
    <row r="497" spans="1:35" hidden="1" x14ac:dyDescent="0.3">
      <c r="A497" s="2" t="str">
        <f t="shared" si="104"/>
        <v>NÃO</v>
      </c>
      <c r="B497" s="2">
        <v>1000184670</v>
      </c>
      <c r="C497" s="2" t="s">
        <v>147</v>
      </c>
      <c r="D497" s="4">
        <v>1000186197</v>
      </c>
      <c r="E497" s="4" t="s">
        <v>166</v>
      </c>
      <c r="F497" s="2">
        <v>1000184757</v>
      </c>
      <c r="G497" s="2" t="s">
        <v>62</v>
      </c>
      <c r="H497" s="4">
        <v>1000189770</v>
      </c>
      <c r="I497" s="4" t="s">
        <v>75</v>
      </c>
      <c r="J497" s="2">
        <v>1000189270</v>
      </c>
      <c r="K497" s="2" t="s">
        <v>34</v>
      </c>
      <c r="L497" s="4" t="s">
        <v>25</v>
      </c>
      <c r="M497" s="4" t="str">
        <f t="shared" si="111"/>
        <v>1000184670100018619710001897701000189270VICCIO</v>
      </c>
      <c r="N497" s="28">
        <f>N479*_xlfn.XLOOKUP($L497,'Balizador da Meta'!$B$4:$B$21,'Balizador da Meta'!$C$4:$C$21)</f>
        <v>72</v>
      </c>
      <c r="O497" s="28">
        <f>O479*_xlfn.XLOOKUP($L497,'Balizador da Meta'!$B$4:$B$21,'Balizador da Meta'!$C$4:$C$21)</f>
        <v>72</v>
      </c>
      <c r="P497" s="28">
        <f>P479*_xlfn.XLOOKUP($L497,'Balizador da Meta'!$B$4:$B$21,'Balizador da Meta'!$C$4:$C$21)</f>
        <v>72</v>
      </c>
      <c r="Q497" s="28">
        <f>Q479*_xlfn.XLOOKUP($L497,'Balizador da Meta'!$B$4:$B$21,'Balizador da Meta'!$C$4:$C$21)</f>
        <v>72</v>
      </c>
      <c r="R497" s="28">
        <f>R479*_xlfn.XLOOKUP($L497,'Balizador da Meta'!$B$4:$B$21,'Balizador da Meta'!$C$4:$C$21)</f>
        <v>72</v>
      </c>
      <c r="S497" s="28">
        <f>S479*_xlfn.XLOOKUP($L497,'Balizador da Meta'!$B$4:$B$21,'Balizador da Meta'!$C$4:$C$21)</f>
        <v>72</v>
      </c>
      <c r="T497" s="28">
        <f>T479*_xlfn.XLOOKUP($L497,'Balizador da Meta'!$B$4:$B$21,'Balizador da Meta'!$C$4:$C$21)</f>
        <v>72</v>
      </c>
      <c r="U497" s="28">
        <f>U479*_xlfn.XLOOKUP($L497,'Balizador da Meta'!$B$4:$B$21,'Balizador da Meta'!$C$4:$C$21)</f>
        <v>72</v>
      </c>
      <c r="V497" s="28">
        <f>V479*_xlfn.XLOOKUP($L497,'Balizador da Meta'!$B$4:$B$21,'Balizador da Meta'!$C$4:$C$21)</f>
        <v>72</v>
      </c>
      <c r="W497" s="28">
        <f>W479*_xlfn.XLOOKUP($L497,'Balizador da Meta'!$B$4:$B$21,'Balizador da Meta'!$C$4:$C$21)</f>
        <v>72</v>
      </c>
      <c r="X497" s="28">
        <f>X479*_xlfn.XLOOKUP($L497,'Balizador da Meta'!$B$4:$B$21,'Balizador da Meta'!$C$4:$C$21)</f>
        <v>72</v>
      </c>
      <c r="Y497" s="28">
        <f>Y479*_xlfn.XLOOKUP($L497,'Balizador da Meta'!$B$4:$B$21,'Balizador da Meta'!$C$4:$C$21)</f>
        <v>72</v>
      </c>
      <c r="Z497" s="30">
        <f t="shared" si="117"/>
        <v>864</v>
      </c>
      <c r="AA497" s="29"/>
      <c r="AB497" s="31">
        <f>SUMIFS('Historico - FAT'!AK:AK,'Historico - FAT'!$K:$K,Faturamento!$L497,'Historico - FAT'!$I:$I,Faturamento!$J497,'Historico - FAT'!$G:$G,Faturamento!$H497)</f>
        <v>0</v>
      </c>
      <c r="AC497" s="31">
        <f>SUMIFS('Historico - FAT'!AL:AL,'Historico - FAT'!$K:$K,Faturamento!$L497,'Historico - FAT'!$I:$I,Faturamento!$J497,'Historico - FAT'!$G:$G,Faturamento!$H497)</f>
        <v>0</v>
      </c>
      <c r="AD497" s="31">
        <f>SUMIFS('Historico - FAT'!AM:AM,'Historico - FAT'!$K:$K,Faturamento!$L497,'Historico - FAT'!$I:$I,Faturamento!$J497,'Historico - FAT'!$G:$G,Faturamento!$H497)</f>
        <v>0</v>
      </c>
      <c r="AE497" s="27">
        <f>SUMIFS('Historico - FAT'!AN:AN,'Historico - FAT'!$K:$K,Faturamento!$L497,'Historico - FAT'!$I:$I,Faturamento!$J497,'Historico - FAT'!$G:$G,Faturamento!$H497)</f>
        <v>0</v>
      </c>
      <c r="AG497" s="24">
        <f t="shared" si="105"/>
        <v>1</v>
      </c>
      <c r="AH497" s="24">
        <f t="shared" si="106"/>
        <v>1</v>
      </c>
      <c r="AI497" s="24">
        <f t="shared" si="107"/>
        <v>1</v>
      </c>
    </row>
    <row r="498" spans="1:35" x14ac:dyDescent="0.3">
      <c r="A498" s="2" t="str">
        <f t="shared" ref="A498:A561" si="118">IF(OR(H498&lt;&gt;H497,J498&lt;&gt;J497),"SIM","NÃO")</f>
        <v>SIM</v>
      </c>
      <c r="B498" s="2">
        <v>1000184670</v>
      </c>
      <c r="C498" s="2" t="s">
        <v>147</v>
      </c>
      <c r="D498" s="4">
        <v>1000186197</v>
      </c>
      <c r="E498" s="4" t="s">
        <v>166</v>
      </c>
      <c r="F498" s="2">
        <v>1000184757</v>
      </c>
      <c r="G498" s="2" t="s">
        <v>62</v>
      </c>
      <c r="H498" s="4">
        <v>1000189771</v>
      </c>
      <c r="I498" s="4" t="s">
        <v>101</v>
      </c>
      <c r="J498" s="2">
        <v>1000189270</v>
      </c>
      <c r="K498" s="2" t="s">
        <v>34</v>
      </c>
      <c r="L498" s="4" t="s">
        <v>124</v>
      </c>
      <c r="M498" s="4" t="str">
        <f t="shared" si="111"/>
        <v>100018467010001861971000189771100018927001. TOTAL</v>
      </c>
      <c r="N498" s="28">
        <f>SUMIFS(Positivação!L:L,Positivação!$I:$I,Faturamento!$J498,Positivação!$G:$G,Faturamento!$H498)*SUMIFS(Positivação!$Z:$Z,Positivação!$I:$I,Faturamento!$J498,Positivação!$G:$G,Faturamento!$H498)</f>
        <v>1200</v>
      </c>
      <c r="O498" s="28">
        <f>SUMIFS(Positivação!M:M,Positivação!$I:$I,Faturamento!$J498,Positivação!$G:$G,Faturamento!$H498)*SUMIFS(Positivação!$Z:$Z,Positivação!$I:$I,Faturamento!$J498,Positivação!$G:$G,Faturamento!$H498)</f>
        <v>1200</v>
      </c>
      <c r="P498" s="28">
        <f>SUMIFS(Positivação!N:N,Positivação!$I:$I,Faturamento!$J498,Positivação!$G:$G,Faturamento!$H498)*SUMIFS(Positivação!$Z:$Z,Positivação!$I:$I,Faturamento!$J498,Positivação!$G:$G,Faturamento!$H498)</f>
        <v>1200</v>
      </c>
      <c r="Q498" s="28">
        <f>SUMIFS(Positivação!O:O,Positivação!$I:$I,Faturamento!$J498,Positivação!$G:$G,Faturamento!$H498)*SUMIFS(Positivação!$Z:$Z,Positivação!$I:$I,Faturamento!$J498,Positivação!$G:$G,Faturamento!$H498)</f>
        <v>1200</v>
      </c>
      <c r="R498" s="28">
        <f>SUMIFS(Positivação!P:P,Positivação!$I:$I,Faturamento!$J498,Positivação!$G:$G,Faturamento!$H498)*SUMIFS(Positivação!$Z:$Z,Positivação!$I:$I,Faturamento!$J498,Positivação!$G:$G,Faturamento!$H498)</f>
        <v>1200</v>
      </c>
      <c r="S498" s="28">
        <f>SUMIFS(Positivação!Q:Q,Positivação!$I:$I,Faturamento!$J498,Positivação!$G:$G,Faturamento!$H498)*SUMIFS(Positivação!$Z:$Z,Positivação!$I:$I,Faturamento!$J498,Positivação!$G:$G,Faturamento!$H498)</f>
        <v>1200</v>
      </c>
      <c r="T498" s="28">
        <f>SUMIFS(Positivação!R:R,Positivação!$I:$I,Faturamento!$J498,Positivação!$G:$G,Faturamento!$H498)*SUMIFS(Positivação!$Z:$Z,Positivação!$I:$I,Faturamento!$J498,Positivação!$G:$G,Faturamento!$H498)</f>
        <v>1200</v>
      </c>
      <c r="U498" s="28">
        <f>SUMIFS(Positivação!S:S,Positivação!$I:$I,Faturamento!$J498,Positivação!$G:$G,Faturamento!$H498)*SUMIFS(Positivação!$Z:$Z,Positivação!$I:$I,Faturamento!$J498,Positivação!$G:$G,Faturamento!$H498)</f>
        <v>1200</v>
      </c>
      <c r="V498" s="28">
        <f>SUMIFS(Positivação!T:T,Positivação!$I:$I,Faturamento!$J498,Positivação!$G:$G,Faturamento!$H498)*SUMIFS(Positivação!$Z:$Z,Positivação!$I:$I,Faturamento!$J498,Positivação!$G:$G,Faturamento!$H498)</f>
        <v>1200</v>
      </c>
      <c r="W498" s="28">
        <f>SUMIFS(Positivação!U:U,Positivação!$I:$I,Faturamento!$J498,Positivação!$G:$G,Faturamento!$H498)*SUMIFS(Positivação!$Z:$Z,Positivação!$I:$I,Faturamento!$J498,Positivação!$G:$G,Faturamento!$H498)</f>
        <v>1200</v>
      </c>
      <c r="X498" s="28">
        <f>SUMIFS(Positivação!V:V,Positivação!$I:$I,Faturamento!$J498,Positivação!$G:$G,Faturamento!$H498)*SUMIFS(Positivação!$Z:$Z,Positivação!$I:$I,Faturamento!$J498,Positivação!$G:$G,Faturamento!$H498)</f>
        <v>1200</v>
      </c>
      <c r="Y498" s="28">
        <f>SUMIFS(Positivação!W:W,Positivação!$I:$I,Faturamento!$J498,Positivação!$G:$G,Faturamento!$H498)*SUMIFS(Positivação!$Z:$Z,Positivação!$I:$I,Faturamento!$J498,Positivação!$G:$G,Faturamento!$H498)</f>
        <v>1200</v>
      </c>
      <c r="Z498" s="28">
        <f t="shared" ref="Z498" si="119">SUM(Z499:Z516)</f>
        <v>14400</v>
      </c>
      <c r="AA498" s="29"/>
      <c r="AB498" s="28">
        <f t="shared" ref="AB498:AE498" si="120">SUM(AB499:AB516)</f>
        <v>529.89333333333332</v>
      </c>
      <c r="AC498" s="28">
        <f t="shared" si="120"/>
        <v>1392.6375</v>
      </c>
      <c r="AD498" s="28">
        <f t="shared" si="120"/>
        <v>1582.0666666666666</v>
      </c>
      <c r="AE498" s="28">
        <f t="shared" si="120"/>
        <v>1671.165</v>
      </c>
      <c r="AG498" s="24">
        <f t="shared" ref="AG498:AG561" si="121">IFERROR((AVERAGE(W498:Y498)-AB498)/AVERAGE(W498:Y498),"")</f>
        <v>0.55842222222222226</v>
      </c>
      <c r="AH498" s="24">
        <f t="shared" ref="AH498:AH561" si="122">IFERROR((AVERAGE(W498:Y498)-AC498)/AVERAGE(W498:Y498),"")</f>
        <v>-0.16053125000000004</v>
      </c>
      <c r="AI498" s="24">
        <f t="shared" ref="AI498:AI561" si="123">IFERROR((AVERAGE(W498:Y498)-AD498)/AVERAGE(W498:Y498),"")</f>
        <v>-0.31838888888888883</v>
      </c>
    </row>
    <row r="499" spans="1:35" hidden="1" x14ac:dyDescent="0.3">
      <c r="A499" s="2" t="str">
        <f t="shared" si="118"/>
        <v>NÃO</v>
      </c>
      <c r="B499" s="2">
        <v>1000184670</v>
      </c>
      <c r="C499" s="2" t="s">
        <v>147</v>
      </c>
      <c r="D499" s="4">
        <v>1000186197</v>
      </c>
      <c r="E499" s="4" t="s">
        <v>166</v>
      </c>
      <c r="F499" s="2">
        <v>1000184757</v>
      </c>
      <c r="G499" s="2" t="s">
        <v>62</v>
      </c>
      <c r="H499" s="4">
        <v>1000189771</v>
      </c>
      <c r="I499" s="4" t="s">
        <v>101</v>
      </c>
      <c r="J499" s="2">
        <v>1000189270</v>
      </c>
      <c r="K499" s="2" t="s">
        <v>34</v>
      </c>
      <c r="L499" s="4" t="s">
        <v>13</v>
      </c>
      <c r="M499" s="4" t="str">
        <f t="shared" si="111"/>
        <v>1000184670100018619710001897711000189270BISCOITO</v>
      </c>
      <c r="N499" s="28">
        <f>N498*_xlfn.XLOOKUP($L499,'Balizador da Meta'!$B$4:$B$21,'Balizador da Meta'!$C$4:$C$21)</f>
        <v>84.000000000000014</v>
      </c>
      <c r="O499" s="28">
        <f>O498*_xlfn.XLOOKUP($L499,'Balizador da Meta'!$B$4:$B$21,'Balizador da Meta'!$C$4:$C$21)</f>
        <v>84.000000000000014</v>
      </c>
      <c r="P499" s="28">
        <f>P498*_xlfn.XLOOKUP($L499,'Balizador da Meta'!$B$4:$B$21,'Balizador da Meta'!$C$4:$C$21)</f>
        <v>84.000000000000014</v>
      </c>
      <c r="Q499" s="28">
        <f>Q498*_xlfn.XLOOKUP($L499,'Balizador da Meta'!$B$4:$B$21,'Balizador da Meta'!$C$4:$C$21)</f>
        <v>84.000000000000014</v>
      </c>
      <c r="R499" s="28">
        <f>R498*_xlfn.XLOOKUP($L499,'Balizador da Meta'!$B$4:$B$21,'Balizador da Meta'!$C$4:$C$21)</f>
        <v>84.000000000000014</v>
      </c>
      <c r="S499" s="28">
        <f>S498*_xlfn.XLOOKUP($L499,'Balizador da Meta'!$B$4:$B$21,'Balizador da Meta'!$C$4:$C$21)</f>
        <v>84.000000000000014</v>
      </c>
      <c r="T499" s="28">
        <f>T498*_xlfn.XLOOKUP($L499,'Balizador da Meta'!$B$4:$B$21,'Balizador da Meta'!$C$4:$C$21)</f>
        <v>84.000000000000014</v>
      </c>
      <c r="U499" s="28">
        <f>U498*_xlfn.XLOOKUP($L499,'Balizador da Meta'!$B$4:$B$21,'Balizador da Meta'!$C$4:$C$21)</f>
        <v>84.000000000000014</v>
      </c>
      <c r="V499" s="28">
        <f>V498*_xlfn.XLOOKUP($L499,'Balizador da Meta'!$B$4:$B$21,'Balizador da Meta'!$C$4:$C$21)</f>
        <v>84.000000000000014</v>
      </c>
      <c r="W499" s="28">
        <f>W498*_xlfn.XLOOKUP($L499,'Balizador da Meta'!$B$4:$B$21,'Balizador da Meta'!$C$4:$C$21)</f>
        <v>84.000000000000014</v>
      </c>
      <c r="X499" s="28">
        <f>X498*_xlfn.XLOOKUP($L499,'Balizador da Meta'!$B$4:$B$21,'Balizador da Meta'!$C$4:$C$21)</f>
        <v>84.000000000000014</v>
      </c>
      <c r="Y499" s="28">
        <f>Y498*_xlfn.XLOOKUP($L499,'Balizador da Meta'!$B$4:$B$21,'Balizador da Meta'!$C$4:$C$21)</f>
        <v>84.000000000000014</v>
      </c>
      <c r="Z499" s="30">
        <f t="shared" ref="Z499:Z516" si="124">SUM(N499:Y499)</f>
        <v>1008.0000000000001</v>
      </c>
      <c r="AA499" s="29"/>
      <c r="AB499" s="31">
        <f>SUMIFS('Historico - FAT'!AK:AK,'Historico - FAT'!$K:$K,Faturamento!$L499,'Historico - FAT'!$I:$I,Faturamento!$J499,'Historico - FAT'!$G:$G,Faturamento!$H499)</f>
        <v>53.47</v>
      </c>
      <c r="AC499" s="31">
        <f>SUMIFS('Historico - FAT'!AL:AL,'Historico - FAT'!$K:$K,Faturamento!$L499,'Historico - FAT'!$I:$I,Faturamento!$J499,'Historico - FAT'!$G:$G,Faturamento!$H499)</f>
        <v>146.91666666666666</v>
      </c>
      <c r="AD499" s="31">
        <f>SUMIFS('Historico - FAT'!AM:AM,'Historico - FAT'!$K:$K,Faturamento!$L499,'Historico - FAT'!$I:$I,Faturamento!$J499,'Historico - FAT'!$G:$G,Faturamento!$H499)</f>
        <v>198</v>
      </c>
      <c r="AE499" s="27">
        <f>SUMIFS('Historico - FAT'!AN:AN,'Historico - FAT'!$K:$K,Faturamento!$L499,'Historico - FAT'!$I:$I,Faturamento!$J499,'Historico - FAT'!$G:$G,Faturamento!$H499)</f>
        <v>176.3</v>
      </c>
      <c r="AG499" s="24">
        <f t="shared" si="121"/>
        <v>0.36345238095238108</v>
      </c>
      <c r="AH499" s="24">
        <f t="shared" si="122"/>
        <v>-0.74900793650793607</v>
      </c>
      <c r="AI499" s="24">
        <f t="shared" si="123"/>
        <v>-1.3571428571428568</v>
      </c>
    </row>
    <row r="500" spans="1:35" hidden="1" x14ac:dyDescent="0.3">
      <c r="A500" s="2" t="str">
        <f t="shared" si="118"/>
        <v>NÃO</v>
      </c>
      <c r="B500" s="2">
        <v>1000184670</v>
      </c>
      <c r="C500" s="2" t="s">
        <v>147</v>
      </c>
      <c r="D500" s="4">
        <v>1000186197</v>
      </c>
      <c r="E500" s="4" t="s">
        <v>166</v>
      </c>
      <c r="F500" s="2">
        <v>1000184757</v>
      </c>
      <c r="G500" s="2" t="s">
        <v>62</v>
      </c>
      <c r="H500" s="4">
        <v>1000189771</v>
      </c>
      <c r="I500" s="4" t="s">
        <v>101</v>
      </c>
      <c r="J500" s="2">
        <v>1000189270</v>
      </c>
      <c r="K500" s="2" t="s">
        <v>34</v>
      </c>
      <c r="L500" s="4" t="s">
        <v>14</v>
      </c>
      <c r="M500" s="4" t="str">
        <f t="shared" si="111"/>
        <v>1000184670100018619710001897711000189270CHOCOLATES</v>
      </c>
      <c r="N500" s="28">
        <f>N498*_xlfn.XLOOKUP($L500,'Balizador da Meta'!$B$4:$B$21,'Balizador da Meta'!$C$4:$C$21)</f>
        <v>84.000000000000014</v>
      </c>
      <c r="O500" s="28">
        <f>O498*_xlfn.XLOOKUP($L500,'Balizador da Meta'!$B$4:$B$21,'Balizador da Meta'!$C$4:$C$21)</f>
        <v>84.000000000000014</v>
      </c>
      <c r="P500" s="28">
        <f>P498*_xlfn.XLOOKUP($L500,'Balizador da Meta'!$B$4:$B$21,'Balizador da Meta'!$C$4:$C$21)</f>
        <v>84.000000000000014</v>
      </c>
      <c r="Q500" s="28">
        <f>Q498*_xlfn.XLOOKUP($L500,'Balizador da Meta'!$B$4:$B$21,'Balizador da Meta'!$C$4:$C$21)</f>
        <v>84.000000000000014</v>
      </c>
      <c r="R500" s="28">
        <f>R498*_xlfn.XLOOKUP($L500,'Balizador da Meta'!$B$4:$B$21,'Balizador da Meta'!$C$4:$C$21)</f>
        <v>84.000000000000014</v>
      </c>
      <c r="S500" s="28">
        <f>S498*_xlfn.XLOOKUP($L500,'Balizador da Meta'!$B$4:$B$21,'Balizador da Meta'!$C$4:$C$21)</f>
        <v>84.000000000000014</v>
      </c>
      <c r="T500" s="28">
        <f>T498*_xlfn.XLOOKUP($L500,'Balizador da Meta'!$B$4:$B$21,'Balizador da Meta'!$C$4:$C$21)</f>
        <v>84.000000000000014</v>
      </c>
      <c r="U500" s="28">
        <f>U498*_xlfn.XLOOKUP($L500,'Balizador da Meta'!$B$4:$B$21,'Balizador da Meta'!$C$4:$C$21)</f>
        <v>84.000000000000014</v>
      </c>
      <c r="V500" s="28">
        <f>V498*_xlfn.XLOOKUP($L500,'Balizador da Meta'!$B$4:$B$21,'Balizador da Meta'!$C$4:$C$21)</f>
        <v>84.000000000000014</v>
      </c>
      <c r="W500" s="28">
        <f>W498*_xlfn.XLOOKUP($L500,'Balizador da Meta'!$B$4:$B$21,'Balizador da Meta'!$C$4:$C$21)</f>
        <v>84.000000000000014</v>
      </c>
      <c r="X500" s="28">
        <f>X498*_xlfn.XLOOKUP($L500,'Balizador da Meta'!$B$4:$B$21,'Balizador da Meta'!$C$4:$C$21)</f>
        <v>84.000000000000014</v>
      </c>
      <c r="Y500" s="28">
        <f>Y498*_xlfn.XLOOKUP($L500,'Balizador da Meta'!$B$4:$B$21,'Balizador da Meta'!$C$4:$C$21)</f>
        <v>84.000000000000014</v>
      </c>
      <c r="Z500" s="30">
        <f t="shared" si="124"/>
        <v>1008.0000000000001</v>
      </c>
      <c r="AA500" s="29"/>
      <c r="AB500" s="31">
        <f>SUMIFS('Historico - FAT'!AK:AK,'Historico - FAT'!$K:$K,Faturamento!$L500,'Historico - FAT'!$I:$I,Faturamento!$J500,'Historico - FAT'!$G:$G,Faturamento!$H500)</f>
        <v>88</v>
      </c>
      <c r="AC500" s="31">
        <f>SUMIFS('Historico - FAT'!AL:AL,'Historico - FAT'!$K:$K,Faturamento!$L500,'Historico - FAT'!$I:$I,Faturamento!$J500,'Historico - FAT'!$G:$G,Faturamento!$H500)</f>
        <v>109.66666666666667</v>
      </c>
      <c r="AD500" s="31">
        <f>SUMIFS('Historico - FAT'!AM:AM,'Historico - FAT'!$K:$K,Faturamento!$L500,'Historico - FAT'!$I:$I,Faturamento!$J500,'Historico - FAT'!$G:$G,Faturamento!$H500)</f>
        <v>112</v>
      </c>
      <c r="AE500" s="27">
        <f>SUMIFS('Historico - FAT'!AN:AN,'Historico - FAT'!$K:$K,Faturamento!$L500,'Historico - FAT'!$I:$I,Faturamento!$J500,'Historico - FAT'!$G:$G,Faturamento!$H500)</f>
        <v>131.6</v>
      </c>
      <c r="AG500" s="24">
        <f t="shared" si="121"/>
        <v>-4.7619047619047443E-2</v>
      </c>
      <c r="AH500" s="24">
        <f t="shared" si="122"/>
        <v>-0.30555555555555541</v>
      </c>
      <c r="AI500" s="24">
        <f t="shared" si="123"/>
        <v>-0.33333333333333309</v>
      </c>
    </row>
    <row r="501" spans="1:35" hidden="1" x14ac:dyDescent="0.3">
      <c r="A501" s="2" t="str">
        <f t="shared" si="118"/>
        <v>NÃO</v>
      </c>
      <c r="B501" s="2">
        <v>1000184670</v>
      </c>
      <c r="C501" s="2" t="s">
        <v>147</v>
      </c>
      <c r="D501" s="4">
        <v>1000186197</v>
      </c>
      <c r="E501" s="4" t="s">
        <v>166</v>
      </c>
      <c r="F501" s="2">
        <v>1000184757</v>
      </c>
      <c r="G501" s="2" t="s">
        <v>62</v>
      </c>
      <c r="H501" s="4">
        <v>1000189771</v>
      </c>
      <c r="I501" s="4" t="s">
        <v>101</v>
      </c>
      <c r="J501" s="2">
        <v>1000189270</v>
      </c>
      <c r="K501" s="2" t="s">
        <v>34</v>
      </c>
      <c r="L501" s="4" t="s">
        <v>16</v>
      </c>
      <c r="M501" s="4" t="str">
        <f t="shared" si="111"/>
        <v>1000184670100018619710001897711000189270DISNEY</v>
      </c>
      <c r="N501" s="28">
        <f>N498*_xlfn.XLOOKUP($L501,'Balizador da Meta'!$B$4:$B$21,'Balizador da Meta'!$C$4:$C$21)</f>
        <v>96</v>
      </c>
      <c r="O501" s="28">
        <f>O498*_xlfn.XLOOKUP($L501,'Balizador da Meta'!$B$4:$B$21,'Balizador da Meta'!$C$4:$C$21)</f>
        <v>96</v>
      </c>
      <c r="P501" s="28">
        <f>P498*_xlfn.XLOOKUP($L501,'Balizador da Meta'!$B$4:$B$21,'Balizador da Meta'!$C$4:$C$21)</f>
        <v>96</v>
      </c>
      <c r="Q501" s="28">
        <f>Q498*_xlfn.XLOOKUP($L501,'Balizador da Meta'!$B$4:$B$21,'Balizador da Meta'!$C$4:$C$21)</f>
        <v>96</v>
      </c>
      <c r="R501" s="28">
        <f>R498*_xlfn.XLOOKUP($L501,'Balizador da Meta'!$B$4:$B$21,'Balizador da Meta'!$C$4:$C$21)</f>
        <v>96</v>
      </c>
      <c r="S501" s="28">
        <f>S498*_xlfn.XLOOKUP($L501,'Balizador da Meta'!$B$4:$B$21,'Balizador da Meta'!$C$4:$C$21)</f>
        <v>96</v>
      </c>
      <c r="T501" s="28">
        <f>T498*_xlfn.XLOOKUP($L501,'Balizador da Meta'!$B$4:$B$21,'Balizador da Meta'!$C$4:$C$21)</f>
        <v>96</v>
      </c>
      <c r="U501" s="28">
        <f>U498*_xlfn.XLOOKUP($L501,'Balizador da Meta'!$B$4:$B$21,'Balizador da Meta'!$C$4:$C$21)</f>
        <v>96</v>
      </c>
      <c r="V501" s="28">
        <f>V498*_xlfn.XLOOKUP($L501,'Balizador da Meta'!$B$4:$B$21,'Balizador da Meta'!$C$4:$C$21)</f>
        <v>96</v>
      </c>
      <c r="W501" s="28">
        <f>W498*_xlfn.XLOOKUP($L501,'Balizador da Meta'!$B$4:$B$21,'Balizador da Meta'!$C$4:$C$21)</f>
        <v>96</v>
      </c>
      <c r="X501" s="28">
        <f>X498*_xlfn.XLOOKUP($L501,'Balizador da Meta'!$B$4:$B$21,'Balizador da Meta'!$C$4:$C$21)</f>
        <v>96</v>
      </c>
      <c r="Y501" s="28">
        <f>Y498*_xlfn.XLOOKUP($L501,'Balizador da Meta'!$B$4:$B$21,'Balizador da Meta'!$C$4:$C$21)</f>
        <v>96</v>
      </c>
      <c r="Z501" s="30">
        <f t="shared" si="124"/>
        <v>1152</v>
      </c>
      <c r="AA501" s="29"/>
      <c r="AB501" s="31">
        <f>SUMIFS('Historico - FAT'!AK:AK,'Historico - FAT'!$K:$K,Faturamento!$L501,'Historico - FAT'!$I:$I,Faturamento!$J501,'Historico - FAT'!$G:$G,Faturamento!$H501)</f>
        <v>50.943333333333335</v>
      </c>
      <c r="AC501" s="31">
        <f>SUMIFS('Historico - FAT'!AL:AL,'Historico - FAT'!$K:$K,Faturamento!$L501,'Historico - FAT'!$I:$I,Faturamento!$J501,'Historico - FAT'!$G:$G,Faturamento!$H501)</f>
        <v>100.99166666666667</v>
      </c>
      <c r="AD501" s="31">
        <f>SUMIFS('Historico - FAT'!AM:AM,'Historico - FAT'!$K:$K,Faturamento!$L501,'Historico - FAT'!$I:$I,Faturamento!$J501,'Historico - FAT'!$G:$G,Faturamento!$H501)</f>
        <v>54.4</v>
      </c>
      <c r="AE501" s="27">
        <f>SUMIFS('Historico - FAT'!AN:AN,'Historico - FAT'!$K:$K,Faturamento!$L501,'Historico - FAT'!$I:$I,Faturamento!$J501,'Historico - FAT'!$G:$G,Faturamento!$H501)</f>
        <v>121.19000000000001</v>
      </c>
      <c r="AG501" s="24">
        <f t="shared" si="121"/>
        <v>0.46934027777777776</v>
      </c>
      <c r="AH501" s="24">
        <f t="shared" si="122"/>
        <v>-5.1996527777777857E-2</v>
      </c>
      <c r="AI501" s="24">
        <f t="shared" si="123"/>
        <v>0.43333333333333335</v>
      </c>
    </row>
    <row r="502" spans="1:35" hidden="1" x14ac:dyDescent="0.3">
      <c r="A502" s="2" t="str">
        <f t="shared" si="118"/>
        <v>NÃO</v>
      </c>
      <c r="B502" s="2">
        <v>1000184670</v>
      </c>
      <c r="C502" s="2" t="s">
        <v>147</v>
      </c>
      <c r="D502" s="4">
        <v>1000186197</v>
      </c>
      <c r="E502" s="4" t="s">
        <v>166</v>
      </c>
      <c r="F502" s="2">
        <v>1000184757</v>
      </c>
      <c r="G502" s="2" t="s">
        <v>62</v>
      </c>
      <c r="H502" s="4">
        <v>1000189771</v>
      </c>
      <c r="I502" s="4" t="s">
        <v>101</v>
      </c>
      <c r="J502" s="2">
        <v>1000189270</v>
      </c>
      <c r="K502" s="2" t="s">
        <v>34</v>
      </c>
      <c r="L502" s="4" t="s">
        <v>15</v>
      </c>
      <c r="M502" s="4" t="str">
        <f t="shared" si="111"/>
        <v>1000184670100018619710001897711000189270DOCES</v>
      </c>
      <c r="N502" s="28">
        <f>N498*_xlfn.XLOOKUP($L502,'Balizador da Meta'!$B$4:$B$21,'Balizador da Meta'!$C$4:$C$21)</f>
        <v>108</v>
      </c>
      <c r="O502" s="28">
        <f>O498*_xlfn.XLOOKUP($L502,'Balizador da Meta'!$B$4:$B$21,'Balizador da Meta'!$C$4:$C$21)</f>
        <v>108</v>
      </c>
      <c r="P502" s="28">
        <f>P498*_xlfn.XLOOKUP($L502,'Balizador da Meta'!$B$4:$B$21,'Balizador da Meta'!$C$4:$C$21)</f>
        <v>108</v>
      </c>
      <c r="Q502" s="28">
        <f>Q498*_xlfn.XLOOKUP($L502,'Balizador da Meta'!$B$4:$B$21,'Balizador da Meta'!$C$4:$C$21)</f>
        <v>108</v>
      </c>
      <c r="R502" s="28">
        <f>R498*_xlfn.XLOOKUP($L502,'Balizador da Meta'!$B$4:$B$21,'Balizador da Meta'!$C$4:$C$21)</f>
        <v>108</v>
      </c>
      <c r="S502" s="28">
        <f>S498*_xlfn.XLOOKUP($L502,'Balizador da Meta'!$B$4:$B$21,'Balizador da Meta'!$C$4:$C$21)</f>
        <v>108</v>
      </c>
      <c r="T502" s="28">
        <f>T498*_xlfn.XLOOKUP($L502,'Balizador da Meta'!$B$4:$B$21,'Balizador da Meta'!$C$4:$C$21)</f>
        <v>108</v>
      </c>
      <c r="U502" s="28">
        <f>U498*_xlfn.XLOOKUP($L502,'Balizador da Meta'!$B$4:$B$21,'Balizador da Meta'!$C$4:$C$21)</f>
        <v>108</v>
      </c>
      <c r="V502" s="28">
        <f>V498*_xlfn.XLOOKUP($L502,'Balizador da Meta'!$B$4:$B$21,'Balizador da Meta'!$C$4:$C$21)</f>
        <v>108</v>
      </c>
      <c r="W502" s="28">
        <f>W498*_xlfn.XLOOKUP($L502,'Balizador da Meta'!$B$4:$B$21,'Balizador da Meta'!$C$4:$C$21)</f>
        <v>108</v>
      </c>
      <c r="X502" s="28">
        <f>X498*_xlfn.XLOOKUP($L502,'Balizador da Meta'!$B$4:$B$21,'Balizador da Meta'!$C$4:$C$21)</f>
        <v>108</v>
      </c>
      <c r="Y502" s="28">
        <f>Y498*_xlfn.XLOOKUP($L502,'Balizador da Meta'!$B$4:$B$21,'Balizador da Meta'!$C$4:$C$21)</f>
        <v>108</v>
      </c>
      <c r="Z502" s="30">
        <f t="shared" si="124"/>
        <v>1296</v>
      </c>
      <c r="AA502" s="29"/>
      <c r="AB502" s="31">
        <f>SUMIFS('Historico - FAT'!AK:AK,'Historico - FAT'!$K:$K,Faturamento!$L502,'Historico - FAT'!$I:$I,Faturamento!$J502,'Historico - FAT'!$G:$G,Faturamento!$H502)</f>
        <v>33.03</v>
      </c>
      <c r="AC502" s="31">
        <f>SUMIFS('Historico - FAT'!AL:AL,'Historico - FAT'!$K:$K,Faturamento!$L502,'Historico - FAT'!$I:$I,Faturamento!$J502,'Historico - FAT'!$G:$G,Faturamento!$H502)</f>
        <v>142.04166666666666</v>
      </c>
      <c r="AD502" s="31">
        <f>SUMIFS('Historico - FAT'!AM:AM,'Historico - FAT'!$K:$K,Faturamento!$L502,'Historico - FAT'!$I:$I,Faturamento!$J502,'Historico - FAT'!$G:$G,Faturamento!$H502)</f>
        <v>148</v>
      </c>
      <c r="AE502" s="27">
        <f>SUMIFS('Historico - FAT'!AN:AN,'Historico - FAT'!$K:$K,Faturamento!$L502,'Historico - FAT'!$I:$I,Faturamento!$J502,'Historico - FAT'!$G:$G,Faturamento!$H502)</f>
        <v>170.45</v>
      </c>
      <c r="AG502" s="24">
        <f t="shared" si="121"/>
        <v>0.69416666666666671</v>
      </c>
      <c r="AH502" s="24">
        <f t="shared" si="122"/>
        <v>-0.31520061728395055</v>
      </c>
      <c r="AI502" s="24">
        <f t="shared" si="123"/>
        <v>-0.37037037037037035</v>
      </c>
    </row>
    <row r="503" spans="1:35" hidden="1" x14ac:dyDescent="0.3">
      <c r="A503" s="2" t="str">
        <f t="shared" si="118"/>
        <v>NÃO</v>
      </c>
      <c r="B503" s="2">
        <v>1000184670</v>
      </c>
      <c r="C503" s="2" t="s">
        <v>147</v>
      </c>
      <c r="D503" s="4">
        <v>1000186197</v>
      </c>
      <c r="E503" s="4" t="s">
        <v>166</v>
      </c>
      <c r="F503" s="2">
        <v>1000184757</v>
      </c>
      <c r="G503" s="2" t="s">
        <v>62</v>
      </c>
      <c r="H503" s="4">
        <v>1000189771</v>
      </c>
      <c r="I503" s="4" t="s">
        <v>101</v>
      </c>
      <c r="J503" s="2">
        <v>1000189270</v>
      </c>
      <c r="K503" s="2" t="s">
        <v>34</v>
      </c>
      <c r="L503" s="4" t="s">
        <v>33</v>
      </c>
      <c r="M503" s="4" t="str">
        <f t="shared" si="111"/>
        <v>1000184670100018619710001897711000189270FOOD SERVICE</v>
      </c>
      <c r="N503" s="28">
        <f>N498*_xlfn.XLOOKUP($L503,'Balizador da Meta'!$B$4:$B$21,'Balizador da Meta'!$C$4:$C$21)</f>
        <v>0</v>
      </c>
      <c r="O503" s="28">
        <f>O498*_xlfn.XLOOKUP($L503,'Balizador da Meta'!$B$4:$B$21,'Balizador da Meta'!$C$4:$C$21)</f>
        <v>0</v>
      </c>
      <c r="P503" s="28">
        <f>P498*_xlfn.XLOOKUP($L503,'Balizador da Meta'!$B$4:$B$21,'Balizador da Meta'!$C$4:$C$21)</f>
        <v>0</v>
      </c>
      <c r="Q503" s="28">
        <f>Q498*_xlfn.XLOOKUP($L503,'Balizador da Meta'!$B$4:$B$21,'Balizador da Meta'!$C$4:$C$21)</f>
        <v>0</v>
      </c>
      <c r="R503" s="28">
        <f>R498*_xlfn.XLOOKUP($L503,'Balizador da Meta'!$B$4:$B$21,'Balizador da Meta'!$C$4:$C$21)</f>
        <v>0</v>
      </c>
      <c r="S503" s="28">
        <f>S498*_xlfn.XLOOKUP($L503,'Balizador da Meta'!$B$4:$B$21,'Balizador da Meta'!$C$4:$C$21)</f>
        <v>0</v>
      </c>
      <c r="T503" s="28">
        <f>T498*_xlfn.XLOOKUP($L503,'Balizador da Meta'!$B$4:$B$21,'Balizador da Meta'!$C$4:$C$21)</f>
        <v>0</v>
      </c>
      <c r="U503" s="28">
        <f>U498*_xlfn.XLOOKUP($L503,'Balizador da Meta'!$B$4:$B$21,'Balizador da Meta'!$C$4:$C$21)</f>
        <v>0</v>
      </c>
      <c r="V503" s="28">
        <f>V498*_xlfn.XLOOKUP($L503,'Balizador da Meta'!$B$4:$B$21,'Balizador da Meta'!$C$4:$C$21)</f>
        <v>0</v>
      </c>
      <c r="W503" s="28">
        <f>W498*_xlfn.XLOOKUP($L503,'Balizador da Meta'!$B$4:$B$21,'Balizador da Meta'!$C$4:$C$21)</f>
        <v>0</v>
      </c>
      <c r="X503" s="28">
        <f>X498*_xlfn.XLOOKUP($L503,'Balizador da Meta'!$B$4:$B$21,'Balizador da Meta'!$C$4:$C$21)</f>
        <v>0</v>
      </c>
      <c r="Y503" s="28">
        <f>Y498*_xlfn.XLOOKUP($L503,'Balizador da Meta'!$B$4:$B$21,'Balizador da Meta'!$C$4:$C$21)</f>
        <v>0</v>
      </c>
      <c r="Z503" s="30">
        <f t="shared" si="124"/>
        <v>0</v>
      </c>
      <c r="AA503" s="29"/>
      <c r="AB503" s="31">
        <f>SUMIFS('Historico - FAT'!AK:AK,'Historico - FAT'!$K:$K,Faturamento!$L503,'Historico - FAT'!$I:$I,Faturamento!$J503,'Historico - FAT'!$G:$G,Faturamento!$H503)</f>
        <v>0</v>
      </c>
      <c r="AC503" s="31">
        <f>SUMIFS('Historico - FAT'!AL:AL,'Historico - FAT'!$K:$K,Faturamento!$L503,'Historico - FAT'!$I:$I,Faturamento!$J503,'Historico - FAT'!$G:$G,Faturamento!$H503)</f>
        <v>0</v>
      </c>
      <c r="AD503" s="31">
        <f>SUMIFS('Historico - FAT'!AM:AM,'Historico - FAT'!$K:$K,Faturamento!$L503,'Historico - FAT'!$I:$I,Faturamento!$J503,'Historico - FAT'!$G:$G,Faturamento!$H503)</f>
        <v>0</v>
      </c>
      <c r="AE503" s="27">
        <f>SUMIFS('Historico - FAT'!AN:AN,'Historico - FAT'!$K:$K,Faturamento!$L503,'Historico - FAT'!$I:$I,Faturamento!$J503,'Historico - FAT'!$G:$G,Faturamento!$H503)</f>
        <v>0</v>
      </c>
      <c r="AG503" s="24" t="str">
        <f t="shared" si="121"/>
        <v/>
      </c>
      <c r="AH503" s="24" t="str">
        <f t="shared" si="122"/>
        <v/>
      </c>
      <c r="AI503" s="24" t="str">
        <f t="shared" si="123"/>
        <v/>
      </c>
    </row>
    <row r="504" spans="1:35" hidden="1" x14ac:dyDescent="0.3">
      <c r="A504" s="2" t="str">
        <f t="shared" si="118"/>
        <v>NÃO</v>
      </c>
      <c r="B504" s="2">
        <v>1000184670</v>
      </c>
      <c r="C504" s="2" t="s">
        <v>147</v>
      </c>
      <c r="D504" s="4">
        <v>1000186197</v>
      </c>
      <c r="E504" s="4" t="s">
        <v>166</v>
      </c>
      <c r="F504" s="2">
        <v>1000184757</v>
      </c>
      <c r="G504" s="2" t="s">
        <v>62</v>
      </c>
      <c r="H504" s="4">
        <v>1000189771</v>
      </c>
      <c r="I504" s="4" t="s">
        <v>101</v>
      </c>
      <c r="J504" s="2">
        <v>1000189270</v>
      </c>
      <c r="K504" s="2" t="s">
        <v>34</v>
      </c>
      <c r="L504" s="4" t="s">
        <v>19</v>
      </c>
      <c r="M504" s="4" t="str">
        <f t="shared" si="111"/>
        <v>1000184670100018619710001897711000189270GELEIA</v>
      </c>
      <c r="N504" s="28">
        <f>N498*_xlfn.XLOOKUP($L504,'Balizador da Meta'!$B$4:$B$21,'Balizador da Meta'!$C$4:$C$21)</f>
        <v>23.999999999999996</v>
      </c>
      <c r="O504" s="28">
        <f>O498*_xlfn.XLOOKUP($L504,'Balizador da Meta'!$B$4:$B$21,'Balizador da Meta'!$C$4:$C$21)</f>
        <v>23.999999999999996</v>
      </c>
      <c r="P504" s="28">
        <f>P498*_xlfn.XLOOKUP($L504,'Balizador da Meta'!$B$4:$B$21,'Balizador da Meta'!$C$4:$C$21)</f>
        <v>23.999999999999996</v>
      </c>
      <c r="Q504" s="28">
        <f>Q498*_xlfn.XLOOKUP($L504,'Balizador da Meta'!$B$4:$B$21,'Balizador da Meta'!$C$4:$C$21)</f>
        <v>23.999999999999996</v>
      </c>
      <c r="R504" s="28">
        <f>R498*_xlfn.XLOOKUP($L504,'Balizador da Meta'!$B$4:$B$21,'Balizador da Meta'!$C$4:$C$21)</f>
        <v>23.999999999999996</v>
      </c>
      <c r="S504" s="28">
        <f>S498*_xlfn.XLOOKUP($L504,'Balizador da Meta'!$B$4:$B$21,'Balizador da Meta'!$C$4:$C$21)</f>
        <v>23.999999999999996</v>
      </c>
      <c r="T504" s="28">
        <f>T498*_xlfn.XLOOKUP($L504,'Balizador da Meta'!$B$4:$B$21,'Balizador da Meta'!$C$4:$C$21)</f>
        <v>23.999999999999996</v>
      </c>
      <c r="U504" s="28">
        <f>U498*_xlfn.XLOOKUP($L504,'Balizador da Meta'!$B$4:$B$21,'Balizador da Meta'!$C$4:$C$21)</f>
        <v>23.999999999999996</v>
      </c>
      <c r="V504" s="28">
        <f>V498*_xlfn.XLOOKUP($L504,'Balizador da Meta'!$B$4:$B$21,'Balizador da Meta'!$C$4:$C$21)</f>
        <v>23.999999999999996</v>
      </c>
      <c r="W504" s="28">
        <f>W498*_xlfn.XLOOKUP($L504,'Balizador da Meta'!$B$4:$B$21,'Balizador da Meta'!$C$4:$C$21)</f>
        <v>23.999999999999996</v>
      </c>
      <c r="X504" s="28">
        <f>X498*_xlfn.XLOOKUP($L504,'Balizador da Meta'!$B$4:$B$21,'Balizador da Meta'!$C$4:$C$21)</f>
        <v>23.999999999999996</v>
      </c>
      <c r="Y504" s="28">
        <f>Y498*_xlfn.XLOOKUP($L504,'Balizador da Meta'!$B$4:$B$21,'Balizador da Meta'!$C$4:$C$21)</f>
        <v>23.999999999999996</v>
      </c>
      <c r="Z504" s="30">
        <f t="shared" si="124"/>
        <v>287.99999999999994</v>
      </c>
      <c r="AA504" s="29"/>
      <c r="AB504" s="31">
        <f>SUMIFS('Historico - FAT'!AK:AK,'Historico - FAT'!$K:$K,Faturamento!$L504,'Historico - FAT'!$I:$I,Faturamento!$J504,'Historico - FAT'!$G:$G,Faturamento!$H504)</f>
        <v>36.81</v>
      </c>
      <c r="AC504" s="31">
        <f>SUMIFS('Historico - FAT'!AL:AL,'Historico - FAT'!$K:$K,Faturamento!$L504,'Historico - FAT'!$I:$I,Faturamento!$J504,'Historico - FAT'!$G:$G,Faturamento!$H504)</f>
        <v>51.75</v>
      </c>
      <c r="AD504" s="31">
        <f>SUMIFS('Historico - FAT'!AM:AM,'Historico - FAT'!$K:$K,Faturamento!$L504,'Historico - FAT'!$I:$I,Faturamento!$J504,'Historico - FAT'!$G:$G,Faturamento!$H504)</f>
        <v>0</v>
      </c>
      <c r="AE504" s="27">
        <f>SUMIFS('Historico - FAT'!AN:AN,'Historico - FAT'!$K:$K,Faturamento!$L504,'Historico - FAT'!$I:$I,Faturamento!$J504,'Historico - FAT'!$G:$G,Faturamento!$H504)</f>
        <v>62.1</v>
      </c>
      <c r="AG504" s="24">
        <f t="shared" si="121"/>
        <v>-0.53375000000000028</v>
      </c>
      <c r="AH504" s="24">
        <f t="shared" si="122"/>
        <v>-1.1562500000000002</v>
      </c>
      <c r="AI504" s="24">
        <f t="shared" si="123"/>
        <v>1</v>
      </c>
    </row>
    <row r="505" spans="1:35" hidden="1" x14ac:dyDescent="0.3">
      <c r="A505" s="2" t="str">
        <f t="shared" si="118"/>
        <v>NÃO</v>
      </c>
      <c r="B505" s="2">
        <v>1000184670</v>
      </c>
      <c r="C505" s="2" t="s">
        <v>147</v>
      </c>
      <c r="D505" s="4">
        <v>1000186197</v>
      </c>
      <c r="E505" s="4" t="s">
        <v>166</v>
      </c>
      <c r="F505" s="2">
        <v>1000184757</v>
      </c>
      <c r="G505" s="2" t="s">
        <v>62</v>
      </c>
      <c r="H505" s="4">
        <v>1000189771</v>
      </c>
      <c r="I505" s="4" t="s">
        <v>101</v>
      </c>
      <c r="J505" s="2">
        <v>1000189270</v>
      </c>
      <c r="K505" s="2" t="s">
        <v>34</v>
      </c>
      <c r="L505" s="4" t="s">
        <v>17</v>
      </c>
      <c r="M505" s="4" t="str">
        <f t="shared" si="111"/>
        <v>1000184670100018619710001897711000189270GRANOLA</v>
      </c>
      <c r="N505" s="28">
        <f>N498*_xlfn.XLOOKUP($L505,'Balizador da Meta'!$B$4:$B$21,'Balizador da Meta'!$C$4:$C$21)</f>
        <v>24</v>
      </c>
      <c r="O505" s="28">
        <f>O498*_xlfn.XLOOKUP($L505,'Balizador da Meta'!$B$4:$B$21,'Balizador da Meta'!$C$4:$C$21)</f>
        <v>24</v>
      </c>
      <c r="P505" s="28">
        <f>P498*_xlfn.XLOOKUP($L505,'Balizador da Meta'!$B$4:$B$21,'Balizador da Meta'!$C$4:$C$21)</f>
        <v>24</v>
      </c>
      <c r="Q505" s="28">
        <f>Q498*_xlfn.XLOOKUP($L505,'Balizador da Meta'!$B$4:$B$21,'Balizador da Meta'!$C$4:$C$21)</f>
        <v>24</v>
      </c>
      <c r="R505" s="28">
        <f>R498*_xlfn.XLOOKUP($L505,'Balizador da Meta'!$B$4:$B$21,'Balizador da Meta'!$C$4:$C$21)</f>
        <v>24</v>
      </c>
      <c r="S505" s="28">
        <f>S498*_xlfn.XLOOKUP($L505,'Balizador da Meta'!$B$4:$B$21,'Balizador da Meta'!$C$4:$C$21)</f>
        <v>24</v>
      </c>
      <c r="T505" s="28">
        <f>T498*_xlfn.XLOOKUP($L505,'Balizador da Meta'!$B$4:$B$21,'Balizador da Meta'!$C$4:$C$21)</f>
        <v>24</v>
      </c>
      <c r="U505" s="28">
        <f>U498*_xlfn.XLOOKUP($L505,'Balizador da Meta'!$B$4:$B$21,'Balizador da Meta'!$C$4:$C$21)</f>
        <v>24</v>
      </c>
      <c r="V505" s="28">
        <f>V498*_xlfn.XLOOKUP($L505,'Balizador da Meta'!$B$4:$B$21,'Balizador da Meta'!$C$4:$C$21)</f>
        <v>24</v>
      </c>
      <c r="W505" s="28">
        <f>W498*_xlfn.XLOOKUP($L505,'Balizador da Meta'!$B$4:$B$21,'Balizador da Meta'!$C$4:$C$21)</f>
        <v>24</v>
      </c>
      <c r="X505" s="28">
        <f>X498*_xlfn.XLOOKUP($L505,'Balizador da Meta'!$B$4:$B$21,'Balizador da Meta'!$C$4:$C$21)</f>
        <v>24</v>
      </c>
      <c r="Y505" s="28">
        <f>Y498*_xlfn.XLOOKUP($L505,'Balizador da Meta'!$B$4:$B$21,'Balizador da Meta'!$C$4:$C$21)</f>
        <v>24</v>
      </c>
      <c r="Z505" s="30">
        <f t="shared" si="124"/>
        <v>288</v>
      </c>
      <c r="AA505" s="29"/>
      <c r="AB505" s="31">
        <f>SUMIFS('Historico - FAT'!AK:AK,'Historico - FAT'!$K:$K,Faturamento!$L505,'Historico - FAT'!$I:$I,Faturamento!$J505,'Historico - FAT'!$G:$G,Faturamento!$H505)</f>
        <v>41.6</v>
      </c>
      <c r="AC505" s="31">
        <f>SUMIFS('Historico - FAT'!AL:AL,'Historico - FAT'!$K:$K,Faturamento!$L505,'Historico - FAT'!$I:$I,Faturamento!$J505,'Historico - FAT'!$G:$G,Faturamento!$H505)</f>
        <v>88.625</v>
      </c>
      <c r="AD505" s="31">
        <f>SUMIFS('Historico - FAT'!AM:AM,'Historico - FAT'!$K:$K,Faturamento!$L505,'Historico - FAT'!$I:$I,Faturamento!$J505,'Historico - FAT'!$G:$G,Faturamento!$H505)</f>
        <v>114</v>
      </c>
      <c r="AE505" s="27">
        <f>SUMIFS('Historico - FAT'!AN:AN,'Historico - FAT'!$K:$K,Faturamento!$L505,'Historico - FAT'!$I:$I,Faturamento!$J505,'Historico - FAT'!$G:$G,Faturamento!$H505)</f>
        <v>106.35</v>
      </c>
      <c r="AG505" s="24">
        <f t="shared" si="121"/>
        <v>-0.73333333333333339</v>
      </c>
      <c r="AH505" s="24">
        <f t="shared" si="122"/>
        <v>-2.6927083333333335</v>
      </c>
      <c r="AI505" s="24">
        <f t="shared" si="123"/>
        <v>-3.75</v>
      </c>
    </row>
    <row r="506" spans="1:35" hidden="1" x14ac:dyDescent="0.3">
      <c r="A506" s="2" t="str">
        <f t="shared" si="118"/>
        <v>NÃO</v>
      </c>
      <c r="B506" s="2">
        <v>1000184670</v>
      </c>
      <c r="C506" s="2" t="s">
        <v>147</v>
      </c>
      <c r="D506" s="4">
        <v>1000186197</v>
      </c>
      <c r="E506" s="4" t="s">
        <v>166</v>
      </c>
      <c r="F506" s="2">
        <v>1000184757</v>
      </c>
      <c r="G506" s="2" t="s">
        <v>62</v>
      </c>
      <c r="H506" s="4">
        <v>1000189771</v>
      </c>
      <c r="I506" s="4" t="s">
        <v>101</v>
      </c>
      <c r="J506" s="2">
        <v>1000189270</v>
      </c>
      <c r="K506" s="2" t="s">
        <v>34</v>
      </c>
      <c r="L506" s="4" t="s">
        <v>24</v>
      </c>
      <c r="M506" s="4" t="str">
        <f t="shared" si="111"/>
        <v>1000184670100018619710001897711000189270KIDS</v>
      </c>
      <c r="N506" s="28">
        <f>N498*_xlfn.XLOOKUP($L506,'Balizador da Meta'!$B$4:$B$21,'Balizador da Meta'!$C$4:$C$21)</f>
        <v>0</v>
      </c>
      <c r="O506" s="28">
        <f>O498*_xlfn.XLOOKUP($L506,'Balizador da Meta'!$B$4:$B$21,'Balizador da Meta'!$C$4:$C$21)</f>
        <v>0</v>
      </c>
      <c r="P506" s="28">
        <f>P498*_xlfn.XLOOKUP($L506,'Balizador da Meta'!$B$4:$B$21,'Balizador da Meta'!$C$4:$C$21)</f>
        <v>0</v>
      </c>
      <c r="Q506" s="28">
        <f>Q498*_xlfn.XLOOKUP($L506,'Balizador da Meta'!$B$4:$B$21,'Balizador da Meta'!$C$4:$C$21)</f>
        <v>0</v>
      </c>
      <c r="R506" s="28">
        <f>R498*_xlfn.XLOOKUP($L506,'Balizador da Meta'!$B$4:$B$21,'Balizador da Meta'!$C$4:$C$21)</f>
        <v>0</v>
      </c>
      <c r="S506" s="28">
        <f>S498*_xlfn.XLOOKUP($L506,'Balizador da Meta'!$B$4:$B$21,'Balizador da Meta'!$C$4:$C$21)</f>
        <v>0</v>
      </c>
      <c r="T506" s="28">
        <f>T498*_xlfn.XLOOKUP($L506,'Balizador da Meta'!$B$4:$B$21,'Balizador da Meta'!$C$4:$C$21)</f>
        <v>0</v>
      </c>
      <c r="U506" s="28">
        <f>U498*_xlfn.XLOOKUP($L506,'Balizador da Meta'!$B$4:$B$21,'Balizador da Meta'!$C$4:$C$21)</f>
        <v>0</v>
      </c>
      <c r="V506" s="28">
        <f>V498*_xlfn.XLOOKUP($L506,'Balizador da Meta'!$B$4:$B$21,'Balizador da Meta'!$C$4:$C$21)</f>
        <v>0</v>
      </c>
      <c r="W506" s="28">
        <f>W498*_xlfn.XLOOKUP($L506,'Balizador da Meta'!$B$4:$B$21,'Balizador da Meta'!$C$4:$C$21)</f>
        <v>0</v>
      </c>
      <c r="X506" s="28">
        <f>X498*_xlfn.XLOOKUP($L506,'Balizador da Meta'!$B$4:$B$21,'Balizador da Meta'!$C$4:$C$21)</f>
        <v>0</v>
      </c>
      <c r="Y506" s="28">
        <f>Y498*_xlfn.XLOOKUP($L506,'Balizador da Meta'!$B$4:$B$21,'Balizador da Meta'!$C$4:$C$21)</f>
        <v>0</v>
      </c>
      <c r="Z506" s="30">
        <f t="shared" si="124"/>
        <v>0</v>
      </c>
      <c r="AA506" s="29"/>
      <c r="AB506" s="31">
        <f>SUMIFS('Historico - FAT'!AK:AK,'Historico - FAT'!$K:$K,Faturamento!$L506,'Historico - FAT'!$I:$I,Faturamento!$J506,'Historico - FAT'!$G:$G,Faturamento!$H506)</f>
        <v>30.400000000000002</v>
      </c>
      <c r="AC506" s="31">
        <f>SUMIFS('Historico - FAT'!AL:AL,'Historico - FAT'!$K:$K,Faturamento!$L506,'Historico - FAT'!$I:$I,Faturamento!$J506,'Historico - FAT'!$G:$G,Faturamento!$H506)</f>
        <v>116.765</v>
      </c>
      <c r="AD506" s="31">
        <f>SUMIFS('Historico - FAT'!AM:AM,'Historico - FAT'!$K:$K,Faturamento!$L506,'Historico - FAT'!$I:$I,Faturamento!$J506,'Historico - FAT'!$G:$G,Faturamento!$H506)</f>
        <v>114.16000000000001</v>
      </c>
      <c r="AE506" s="27">
        <f>SUMIFS('Historico - FAT'!AN:AN,'Historico - FAT'!$K:$K,Faturamento!$L506,'Historico - FAT'!$I:$I,Faturamento!$J506,'Historico - FAT'!$G:$G,Faturamento!$H506)</f>
        <v>140.11799999999999</v>
      </c>
      <c r="AG506" s="24" t="str">
        <f t="shared" si="121"/>
        <v/>
      </c>
      <c r="AH506" s="24" t="str">
        <f t="shared" si="122"/>
        <v/>
      </c>
      <c r="AI506" s="24" t="str">
        <f t="shared" si="123"/>
        <v/>
      </c>
    </row>
    <row r="507" spans="1:35" hidden="1" x14ac:dyDescent="0.3">
      <c r="A507" s="2" t="str">
        <f t="shared" si="118"/>
        <v>NÃO</v>
      </c>
      <c r="B507" s="2">
        <v>1000184670</v>
      </c>
      <c r="C507" s="2" t="s">
        <v>147</v>
      </c>
      <c r="D507" s="4">
        <v>1000186197</v>
      </c>
      <c r="E507" s="4" t="s">
        <v>166</v>
      </c>
      <c r="F507" s="2">
        <v>1000184757</v>
      </c>
      <c r="G507" s="2" t="s">
        <v>62</v>
      </c>
      <c r="H507" s="4">
        <v>1000189771</v>
      </c>
      <c r="I507" s="4" t="s">
        <v>101</v>
      </c>
      <c r="J507" s="2">
        <v>1000189270</v>
      </c>
      <c r="K507" s="2" t="s">
        <v>34</v>
      </c>
      <c r="L507" s="4" t="s">
        <v>18</v>
      </c>
      <c r="M507" s="4" t="str">
        <f t="shared" si="111"/>
        <v>1000184670100018619710001897711000189270LANCHES</v>
      </c>
      <c r="N507" s="28">
        <f>N498*_xlfn.XLOOKUP($L507,'Balizador da Meta'!$B$4:$B$21,'Balizador da Meta'!$C$4:$C$21)</f>
        <v>12</v>
      </c>
      <c r="O507" s="28">
        <f>O498*_xlfn.XLOOKUP($L507,'Balizador da Meta'!$B$4:$B$21,'Balizador da Meta'!$C$4:$C$21)</f>
        <v>12</v>
      </c>
      <c r="P507" s="28">
        <f>P498*_xlfn.XLOOKUP($L507,'Balizador da Meta'!$B$4:$B$21,'Balizador da Meta'!$C$4:$C$21)</f>
        <v>12</v>
      </c>
      <c r="Q507" s="28">
        <f>Q498*_xlfn.XLOOKUP($L507,'Balizador da Meta'!$B$4:$B$21,'Balizador da Meta'!$C$4:$C$21)</f>
        <v>12</v>
      </c>
      <c r="R507" s="28">
        <f>R498*_xlfn.XLOOKUP($L507,'Balizador da Meta'!$B$4:$B$21,'Balizador da Meta'!$C$4:$C$21)</f>
        <v>12</v>
      </c>
      <c r="S507" s="28">
        <f>S498*_xlfn.XLOOKUP($L507,'Balizador da Meta'!$B$4:$B$21,'Balizador da Meta'!$C$4:$C$21)</f>
        <v>12</v>
      </c>
      <c r="T507" s="28">
        <f>T498*_xlfn.XLOOKUP($L507,'Balizador da Meta'!$B$4:$B$21,'Balizador da Meta'!$C$4:$C$21)</f>
        <v>12</v>
      </c>
      <c r="U507" s="28">
        <f>U498*_xlfn.XLOOKUP($L507,'Balizador da Meta'!$B$4:$B$21,'Balizador da Meta'!$C$4:$C$21)</f>
        <v>12</v>
      </c>
      <c r="V507" s="28">
        <f>V498*_xlfn.XLOOKUP($L507,'Balizador da Meta'!$B$4:$B$21,'Balizador da Meta'!$C$4:$C$21)</f>
        <v>12</v>
      </c>
      <c r="W507" s="28">
        <f>W498*_xlfn.XLOOKUP($L507,'Balizador da Meta'!$B$4:$B$21,'Balizador da Meta'!$C$4:$C$21)</f>
        <v>12</v>
      </c>
      <c r="X507" s="28">
        <f>X498*_xlfn.XLOOKUP($L507,'Balizador da Meta'!$B$4:$B$21,'Balizador da Meta'!$C$4:$C$21)</f>
        <v>12</v>
      </c>
      <c r="Y507" s="28">
        <f>Y498*_xlfn.XLOOKUP($L507,'Balizador da Meta'!$B$4:$B$21,'Balizador da Meta'!$C$4:$C$21)</f>
        <v>12</v>
      </c>
      <c r="Z507" s="30">
        <f t="shared" si="124"/>
        <v>144</v>
      </c>
      <c r="AA507" s="29"/>
      <c r="AB507" s="31">
        <f>SUMIFS('Historico - FAT'!AK:AK,'Historico - FAT'!$K:$K,Faturamento!$L507,'Historico - FAT'!$I:$I,Faturamento!$J507,'Historico - FAT'!$G:$G,Faturamento!$H507)</f>
        <v>0</v>
      </c>
      <c r="AC507" s="31">
        <f>SUMIFS('Historico - FAT'!AL:AL,'Historico - FAT'!$K:$K,Faturamento!$L507,'Historico - FAT'!$I:$I,Faturamento!$J507,'Historico - FAT'!$G:$G,Faturamento!$H507)</f>
        <v>0</v>
      </c>
      <c r="AD507" s="31">
        <f>SUMIFS('Historico - FAT'!AM:AM,'Historico - FAT'!$K:$K,Faturamento!$L507,'Historico - FAT'!$I:$I,Faturamento!$J507,'Historico - FAT'!$G:$G,Faturamento!$H507)</f>
        <v>0</v>
      </c>
      <c r="AE507" s="27">
        <f>SUMIFS('Historico - FAT'!AN:AN,'Historico - FAT'!$K:$K,Faturamento!$L507,'Historico - FAT'!$I:$I,Faturamento!$J507,'Historico - FAT'!$G:$G,Faturamento!$H507)</f>
        <v>0</v>
      </c>
      <c r="AG507" s="24">
        <f t="shared" si="121"/>
        <v>1</v>
      </c>
      <c r="AH507" s="24">
        <f t="shared" si="122"/>
        <v>1</v>
      </c>
      <c r="AI507" s="24">
        <f t="shared" si="123"/>
        <v>1</v>
      </c>
    </row>
    <row r="508" spans="1:35" hidden="1" x14ac:dyDescent="0.3">
      <c r="A508" s="2" t="str">
        <f t="shared" si="118"/>
        <v>NÃO</v>
      </c>
      <c r="B508" s="2">
        <v>1000184670</v>
      </c>
      <c r="C508" s="2" t="s">
        <v>147</v>
      </c>
      <c r="D508" s="4">
        <v>1000186197</v>
      </c>
      <c r="E508" s="4" t="s">
        <v>166</v>
      </c>
      <c r="F508" s="2">
        <v>1000184757</v>
      </c>
      <c r="G508" s="2" t="s">
        <v>62</v>
      </c>
      <c r="H508" s="4">
        <v>1000189771</v>
      </c>
      <c r="I508" s="4" t="s">
        <v>101</v>
      </c>
      <c r="J508" s="2">
        <v>1000189270</v>
      </c>
      <c r="K508" s="2" t="s">
        <v>34</v>
      </c>
      <c r="L508" s="4" t="s">
        <v>29</v>
      </c>
      <c r="M508" s="4" t="str">
        <f t="shared" si="111"/>
        <v>1000184670100018619710001897711000189270MAIS GRANEL</v>
      </c>
      <c r="N508" s="28">
        <f>N498*_xlfn.XLOOKUP($L508,'Balizador da Meta'!$B$4:$B$21,'Balizador da Meta'!$C$4:$C$21)</f>
        <v>384</v>
      </c>
      <c r="O508" s="28">
        <f>O498*_xlfn.XLOOKUP($L508,'Balizador da Meta'!$B$4:$B$21,'Balizador da Meta'!$C$4:$C$21)</f>
        <v>384</v>
      </c>
      <c r="P508" s="28">
        <f>P498*_xlfn.XLOOKUP($L508,'Balizador da Meta'!$B$4:$B$21,'Balizador da Meta'!$C$4:$C$21)</f>
        <v>384</v>
      </c>
      <c r="Q508" s="28">
        <f>Q498*_xlfn.XLOOKUP($L508,'Balizador da Meta'!$B$4:$B$21,'Balizador da Meta'!$C$4:$C$21)</f>
        <v>384</v>
      </c>
      <c r="R508" s="28">
        <f>R498*_xlfn.XLOOKUP($L508,'Balizador da Meta'!$B$4:$B$21,'Balizador da Meta'!$C$4:$C$21)</f>
        <v>384</v>
      </c>
      <c r="S508" s="28">
        <f>S498*_xlfn.XLOOKUP($L508,'Balizador da Meta'!$B$4:$B$21,'Balizador da Meta'!$C$4:$C$21)</f>
        <v>384</v>
      </c>
      <c r="T508" s="28">
        <f>T498*_xlfn.XLOOKUP($L508,'Balizador da Meta'!$B$4:$B$21,'Balizador da Meta'!$C$4:$C$21)</f>
        <v>384</v>
      </c>
      <c r="U508" s="28">
        <f>U498*_xlfn.XLOOKUP($L508,'Balizador da Meta'!$B$4:$B$21,'Balizador da Meta'!$C$4:$C$21)</f>
        <v>384</v>
      </c>
      <c r="V508" s="28">
        <f>V498*_xlfn.XLOOKUP($L508,'Balizador da Meta'!$B$4:$B$21,'Balizador da Meta'!$C$4:$C$21)</f>
        <v>384</v>
      </c>
      <c r="W508" s="28">
        <f>W498*_xlfn.XLOOKUP($L508,'Balizador da Meta'!$B$4:$B$21,'Balizador da Meta'!$C$4:$C$21)</f>
        <v>384</v>
      </c>
      <c r="X508" s="28">
        <f>X498*_xlfn.XLOOKUP($L508,'Balizador da Meta'!$B$4:$B$21,'Balizador da Meta'!$C$4:$C$21)</f>
        <v>384</v>
      </c>
      <c r="Y508" s="28">
        <f>Y498*_xlfn.XLOOKUP($L508,'Balizador da Meta'!$B$4:$B$21,'Balizador da Meta'!$C$4:$C$21)</f>
        <v>384</v>
      </c>
      <c r="Z508" s="30">
        <f t="shared" si="124"/>
        <v>4608</v>
      </c>
      <c r="AA508" s="29"/>
      <c r="AB508" s="31">
        <f>SUMIFS('Historico - FAT'!AK:AK,'Historico - FAT'!$K:$K,Faturamento!$L508,'Historico - FAT'!$I:$I,Faturamento!$J508,'Historico - FAT'!$G:$G,Faturamento!$H508)</f>
        <v>0</v>
      </c>
      <c r="AC508" s="31">
        <f>SUMIFS('Historico - FAT'!AL:AL,'Historico - FAT'!$K:$K,Faturamento!$L508,'Historico - FAT'!$I:$I,Faturamento!$J508,'Historico - FAT'!$G:$G,Faturamento!$H508)</f>
        <v>189.00833333333333</v>
      </c>
      <c r="AD508" s="31">
        <f>SUMIFS('Historico - FAT'!AM:AM,'Historico - FAT'!$K:$K,Faturamento!$L508,'Historico - FAT'!$I:$I,Faturamento!$J508,'Historico - FAT'!$G:$G,Faturamento!$H508)</f>
        <v>378.01666666666665</v>
      </c>
      <c r="AE508" s="27">
        <f>SUMIFS('Historico - FAT'!AN:AN,'Historico - FAT'!$K:$K,Faturamento!$L508,'Historico - FAT'!$I:$I,Faturamento!$J508,'Historico - FAT'!$G:$G,Faturamento!$H508)</f>
        <v>226.81</v>
      </c>
      <c r="AG508" s="24">
        <f t="shared" si="121"/>
        <v>1</v>
      </c>
      <c r="AH508" s="24">
        <f t="shared" si="122"/>
        <v>0.50779079861111109</v>
      </c>
      <c r="AI508" s="24">
        <f t="shared" si="123"/>
        <v>1.5581597222222262E-2</v>
      </c>
    </row>
    <row r="509" spans="1:35" hidden="1" x14ac:dyDescent="0.3">
      <c r="A509" s="2" t="str">
        <f t="shared" si="118"/>
        <v>NÃO</v>
      </c>
      <c r="B509" s="2">
        <v>1000184670</v>
      </c>
      <c r="C509" s="2" t="s">
        <v>147</v>
      </c>
      <c r="D509" s="4">
        <v>1000186197</v>
      </c>
      <c r="E509" s="4" t="s">
        <v>166</v>
      </c>
      <c r="F509" s="2">
        <v>1000184757</v>
      </c>
      <c r="G509" s="2" t="s">
        <v>62</v>
      </c>
      <c r="H509" s="4">
        <v>1000189771</v>
      </c>
      <c r="I509" s="4" t="s">
        <v>101</v>
      </c>
      <c r="J509" s="2">
        <v>1000189270</v>
      </c>
      <c r="K509" s="2" t="s">
        <v>34</v>
      </c>
      <c r="L509" s="4" t="s">
        <v>21</v>
      </c>
      <c r="M509" s="4" t="str">
        <f t="shared" si="111"/>
        <v>1000184670100018619710001897711000189270NATURATTA</v>
      </c>
      <c r="N509" s="28">
        <f>N498*_xlfn.XLOOKUP($L509,'Balizador da Meta'!$B$4:$B$21,'Balizador da Meta'!$C$4:$C$21)</f>
        <v>60</v>
      </c>
      <c r="O509" s="28">
        <f>O498*_xlfn.XLOOKUP($L509,'Balizador da Meta'!$B$4:$B$21,'Balizador da Meta'!$C$4:$C$21)</f>
        <v>60</v>
      </c>
      <c r="P509" s="28">
        <f>P498*_xlfn.XLOOKUP($L509,'Balizador da Meta'!$B$4:$B$21,'Balizador da Meta'!$C$4:$C$21)</f>
        <v>60</v>
      </c>
      <c r="Q509" s="28">
        <f>Q498*_xlfn.XLOOKUP($L509,'Balizador da Meta'!$B$4:$B$21,'Balizador da Meta'!$C$4:$C$21)</f>
        <v>60</v>
      </c>
      <c r="R509" s="28">
        <f>R498*_xlfn.XLOOKUP($L509,'Balizador da Meta'!$B$4:$B$21,'Balizador da Meta'!$C$4:$C$21)</f>
        <v>60</v>
      </c>
      <c r="S509" s="28">
        <f>S498*_xlfn.XLOOKUP($L509,'Balizador da Meta'!$B$4:$B$21,'Balizador da Meta'!$C$4:$C$21)</f>
        <v>60</v>
      </c>
      <c r="T509" s="28">
        <f>T498*_xlfn.XLOOKUP($L509,'Balizador da Meta'!$B$4:$B$21,'Balizador da Meta'!$C$4:$C$21)</f>
        <v>60</v>
      </c>
      <c r="U509" s="28">
        <f>U498*_xlfn.XLOOKUP($L509,'Balizador da Meta'!$B$4:$B$21,'Balizador da Meta'!$C$4:$C$21)</f>
        <v>60</v>
      </c>
      <c r="V509" s="28">
        <f>V498*_xlfn.XLOOKUP($L509,'Balizador da Meta'!$B$4:$B$21,'Balizador da Meta'!$C$4:$C$21)</f>
        <v>60</v>
      </c>
      <c r="W509" s="28">
        <f>W498*_xlfn.XLOOKUP($L509,'Balizador da Meta'!$B$4:$B$21,'Balizador da Meta'!$C$4:$C$21)</f>
        <v>60</v>
      </c>
      <c r="X509" s="28">
        <f>X498*_xlfn.XLOOKUP($L509,'Balizador da Meta'!$B$4:$B$21,'Balizador da Meta'!$C$4:$C$21)</f>
        <v>60</v>
      </c>
      <c r="Y509" s="28">
        <f>Y498*_xlfn.XLOOKUP($L509,'Balizador da Meta'!$B$4:$B$21,'Balizador da Meta'!$C$4:$C$21)</f>
        <v>60</v>
      </c>
      <c r="Z509" s="30">
        <f t="shared" si="124"/>
        <v>720</v>
      </c>
      <c r="AA509" s="29"/>
      <c r="AB509" s="31">
        <f>SUMIFS('Historico - FAT'!AK:AK,'Historico - FAT'!$K:$K,Faturamento!$L509,'Historico - FAT'!$I:$I,Faturamento!$J509,'Historico - FAT'!$G:$G,Faturamento!$H509)</f>
        <v>0</v>
      </c>
      <c r="AC509" s="31">
        <f>SUMIFS('Historico - FAT'!AL:AL,'Historico - FAT'!$K:$K,Faturamento!$L509,'Historico - FAT'!$I:$I,Faturamento!$J509,'Historico - FAT'!$G:$G,Faturamento!$H509)</f>
        <v>0</v>
      </c>
      <c r="AD509" s="31">
        <f>SUMIFS('Historico - FAT'!AM:AM,'Historico - FAT'!$K:$K,Faturamento!$L509,'Historico - FAT'!$I:$I,Faturamento!$J509,'Historico - FAT'!$G:$G,Faturamento!$H509)</f>
        <v>0</v>
      </c>
      <c r="AE509" s="27">
        <f>SUMIFS('Historico - FAT'!AN:AN,'Historico - FAT'!$K:$K,Faturamento!$L509,'Historico - FAT'!$I:$I,Faturamento!$J509,'Historico - FAT'!$G:$G,Faturamento!$H509)</f>
        <v>0</v>
      </c>
      <c r="AG509" s="24">
        <f t="shared" si="121"/>
        <v>1</v>
      </c>
      <c r="AH509" s="24">
        <f t="shared" si="122"/>
        <v>1</v>
      </c>
      <c r="AI509" s="24">
        <f t="shared" si="123"/>
        <v>1</v>
      </c>
    </row>
    <row r="510" spans="1:35" hidden="1" x14ac:dyDescent="0.3">
      <c r="A510" s="2" t="str">
        <f t="shared" si="118"/>
        <v>NÃO</v>
      </c>
      <c r="B510" s="2">
        <v>1000184670</v>
      </c>
      <c r="C510" s="2" t="s">
        <v>147</v>
      </c>
      <c r="D510" s="4">
        <v>1000186197</v>
      </c>
      <c r="E510" s="4" t="s">
        <v>166</v>
      </c>
      <c r="F510" s="2">
        <v>1000184757</v>
      </c>
      <c r="G510" s="2" t="s">
        <v>62</v>
      </c>
      <c r="H510" s="4">
        <v>1000189771</v>
      </c>
      <c r="I510" s="4" t="s">
        <v>101</v>
      </c>
      <c r="J510" s="2">
        <v>1000189270</v>
      </c>
      <c r="K510" s="2" t="s">
        <v>34</v>
      </c>
      <c r="L510" s="4" t="s">
        <v>20</v>
      </c>
      <c r="M510" s="4" t="str">
        <f t="shared" si="111"/>
        <v>1000184670100018619710001897711000189270REEMBALADOS</v>
      </c>
      <c r="N510" s="28">
        <f>N498*_xlfn.XLOOKUP($L510,'Balizador da Meta'!$B$4:$B$21,'Balizador da Meta'!$C$4:$C$21)</f>
        <v>48</v>
      </c>
      <c r="O510" s="28">
        <f>O498*_xlfn.XLOOKUP($L510,'Balizador da Meta'!$B$4:$B$21,'Balizador da Meta'!$C$4:$C$21)</f>
        <v>48</v>
      </c>
      <c r="P510" s="28">
        <f>P498*_xlfn.XLOOKUP($L510,'Balizador da Meta'!$B$4:$B$21,'Balizador da Meta'!$C$4:$C$21)</f>
        <v>48</v>
      </c>
      <c r="Q510" s="28">
        <f>Q498*_xlfn.XLOOKUP($L510,'Balizador da Meta'!$B$4:$B$21,'Balizador da Meta'!$C$4:$C$21)</f>
        <v>48</v>
      </c>
      <c r="R510" s="28">
        <f>R498*_xlfn.XLOOKUP($L510,'Balizador da Meta'!$B$4:$B$21,'Balizador da Meta'!$C$4:$C$21)</f>
        <v>48</v>
      </c>
      <c r="S510" s="28">
        <f>S498*_xlfn.XLOOKUP($L510,'Balizador da Meta'!$B$4:$B$21,'Balizador da Meta'!$C$4:$C$21)</f>
        <v>48</v>
      </c>
      <c r="T510" s="28">
        <f>T498*_xlfn.XLOOKUP($L510,'Balizador da Meta'!$B$4:$B$21,'Balizador da Meta'!$C$4:$C$21)</f>
        <v>48</v>
      </c>
      <c r="U510" s="28">
        <f>U498*_xlfn.XLOOKUP($L510,'Balizador da Meta'!$B$4:$B$21,'Balizador da Meta'!$C$4:$C$21)</f>
        <v>48</v>
      </c>
      <c r="V510" s="28">
        <f>V498*_xlfn.XLOOKUP($L510,'Balizador da Meta'!$B$4:$B$21,'Balizador da Meta'!$C$4:$C$21)</f>
        <v>48</v>
      </c>
      <c r="W510" s="28">
        <f>W498*_xlfn.XLOOKUP($L510,'Balizador da Meta'!$B$4:$B$21,'Balizador da Meta'!$C$4:$C$21)</f>
        <v>48</v>
      </c>
      <c r="X510" s="28">
        <f>X498*_xlfn.XLOOKUP($L510,'Balizador da Meta'!$B$4:$B$21,'Balizador da Meta'!$C$4:$C$21)</f>
        <v>48</v>
      </c>
      <c r="Y510" s="28">
        <f>Y498*_xlfn.XLOOKUP($L510,'Balizador da Meta'!$B$4:$B$21,'Balizador da Meta'!$C$4:$C$21)</f>
        <v>48</v>
      </c>
      <c r="Z510" s="30">
        <f t="shared" si="124"/>
        <v>576</v>
      </c>
      <c r="AA510" s="29"/>
      <c r="AB510" s="31">
        <f>SUMIFS('Historico - FAT'!AK:AK,'Historico - FAT'!$K:$K,Faturamento!$L510,'Historico - FAT'!$I:$I,Faturamento!$J510,'Historico - FAT'!$G:$G,Faturamento!$H510)</f>
        <v>105.04</v>
      </c>
      <c r="AC510" s="31">
        <f>SUMIFS('Historico - FAT'!AL:AL,'Historico - FAT'!$K:$K,Faturamento!$L510,'Historico - FAT'!$I:$I,Faturamento!$J510,'Historico - FAT'!$G:$G,Faturamento!$H510)</f>
        <v>328.19749999999999</v>
      </c>
      <c r="AD510" s="31">
        <f>SUMIFS('Historico - FAT'!AM:AM,'Historico - FAT'!$K:$K,Faturamento!$L510,'Historico - FAT'!$I:$I,Faturamento!$J510,'Historico - FAT'!$G:$G,Faturamento!$H510)</f>
        <v>356.39000000000004</v>
      </c>
      <c r="AE510" s="27">
        <f>SUMIFS('Historico - FAT'!AN:AN,'Historico - FAT'!$K:$K,Faturamento!$L510,'Historico - FAT'!$I:$I,Faturamento!$J510,'Historico - FAT'!$G:$G,Faturamento!$H510)</f>
        <v>393.83699999999999</v>
      </c>
      <c r="AG510" s="24">
        <f t="shared" si="121"/>
        <v>-1.1883333333333335</v>
      </c>
      <c r="AH510" s="24">
        <f t="shared" si="122"/>
        <v>-5.8374479166666662</v>
      </c>
      <c r="AI510" s="24">
        <f t="shared" si="123"/>
        <v>-6.4247916666666676</v>
      </c>
    </row>
    <row r="511" spans="1:35" hidden="1" x14ac:dyDescent="0.3">
      <c r="A511" s="2" t="str">
        <f t="shared" si="118"/>
        <v>NÃO</v>
      </c>
      <c r="B511" s="2">
        <v>1000184670</v>
      </c>
      <c r="C511" s="2" t="s">
        <v>147</v>
      </c>
      <c r="D511" s="4">
        <v>1000186197</v>
      </c>
      <c r="E511" s="4" t="s">
        <v>166</v>
      </c>
      <c r="F511" s="2">
        <v>1000184757</v>
      </c>
      <c r="G511" s="2" t="s">
        <v>62</v>
      </c>
      <c r="H511" s="4">
        <v>1000189771</v>
      </c>
      <c r="I511" s="4" t="s">
        <v>101</v>
      </c>
      <c r="J511" s="2">
        <v>1000189270</v>
      </c>
      <c r="K511" s="2" t="s">
        <v>34</v>
      </c>
      <c r="L511" s="4" t="s">
        <v>22</v>
      </c>
      <c r="M511" s="4" t="str">
        <f t="shared" si="111"/>
        <v>1000184670100018619710001897711000189270S GLUTEN</v>
      </c>
      <c r="N511" s="28">
        <f>N498*_xlfn.XLOOKUP($L511,'Balizador da Meta'!$B$4:$B$21,'Balizador da Meta'!$C$4:$C$21)</f>
        <v>48</v>
      </c>
      <c r="O511" s="28">
        <f>O498*_xlfn.XLOOKUP($L511,'Balizador da Meta'!$B$4:$B$21,'Balizador da Meta'!$C$4:$C$21)</f>
        <v>48</v>
      </c>
      <c r="P511" s="28">
        <f>P498*_xlfn.XLOOKUP($L511,'Balizador da Meta'!$B$4:$B$21,'Balizador da Meta'!$C$4:$C$21)</f>
        <v>48</v>
      </c>
      <c r="Q511" s="28">
        <f>Q498*_xlfn.XLOOKUP($L511,'Balizador da Meta'!$B$4:$B$21,'Balizador da Meta'!$C$4:$C$21)</f>
        <v>48</v>
      </c>
      <c r="R511" s="28">
        <f>R498*_xlfn.XLOOKUP($L511,'Balizador da Meta'!$B$4:$B$21,'Balizador da Meta'!$C$4:$C$21)</f>
        <v>48</v>
      </c>
      <c r="S511" s="28">
        <f>S498*_xlfn.XLOOKUP($L511,'Balizador da Meta'!$B$4:$B$21,'Balizador da Meta'!$C$4:$C$21)</f>
        <v>48</v>
      </c>
      <c r="T511" s="28">
        <f>T498*_xlfn.XLOOKUP($L511,'Balizador da Meta'!$B$4:$B$21,'Balizador da Meta'!$C$4:$C$21)</f>
        <v>48</v>
      </c>
      <c r="U511" s="28">
        <f>U498*_xlfn.XLOOKUP($L511,'Balizador da Meta'!$B$4:$B$21,'Balizador da Meta'!$C$4:$C$21)</f>
        <v>48</v>
      </c>
      <c r="V511" s="28">
        <f>V498*_xlfn.XLOOKUP($L511,'Balizador da Meta'!$B$4:$B$21,'Balizador da Meta'!$C$4:$C$21)</f>
        <v>48</v>
      </c>
      <c r="W511" s="28">
        <f>W498*_xlfn.XLOOKUP($L511,'Balizador da Meta'!$B$4:$B$21,'Balizador da Meta'!$C$4:$C$21)</f>
        <v>48</v>
      </c>
      <c r="X511" s="28">
        <f>X498*_xlfn.XLOOKUP($L511,'Balizador da Meta'!$B$4:$B$21,'Balizador da Meta'!$C$4:$C$21)</f>
        <v>48</v>
      </c>
      <c r="Y511" s="28">
        <f>Y498*_xlfn.XLOOKUP($L511,'Balizador da Meta'!$B$4:$B$21,'Balizador da Meta'!$C$4:$C$21)</f>
        <v>48</v>
      </c>
      <c r="Z511" s="30">
        <f t="shared" si="124"/>
        <v>576</v>
      </c>
      <c r="AA511" s="29"/>
      <c r="AB511" s="31">
        <f>SUMIFS('Historico - FAT'!AK:AK,'Historico - FAT'!$K:$K,Faturamento!$L511,'Historico - FAT'!$I:$I,Faturamento!$J511,'Historico - FAT'!$G:$G,Faturamento!$H511)</f>
        <v>0</v>
      </c>
      <c r="AC511" s="31">
        <f>SUMIFS('Historico - FAT'!AL:AL,'Historico - FAT'!$K:$K,Faturamento!$L511,'Historico - FAT'!$I:$I,Faturamento!$J511,'Historico - FAT'!$G:$G,Faturamento!$H511)</f>
        <v>0</v>
      </c>
      <c r="AD511" s="31">
        <f>SUMIFS('Historico - FAT'!AM:AM,'Historico - FAT'!$K:$K,Faturamento!$L511,'Historico - FAT'!$I:$I,Faturamento!$J511,'Historico - FAT'!$G:$G,Faturamento!$H511)</f>
        <v>0</v>
      </c>
      <c r="AE511" s="27">
        <f>SUMIFS('Historico - FAT'!AN:AN,'Historico - FAT'!$K:$K,Faturamento!$L511,'Historico - FAT'!$I:$I,Faturamento!$J511,'Historico - FAT'!$G:$G,Faturamento!$H511)</f>
        <v>0</v>
      </c>
      <c r="AG511" s="24">
        <f t="shared" si="121"/>
        <v>1</v>
      </c>
      <c r="AH511" s="24">
        <f t="shared" si="122"/>
        <v>1</v>
      </c>
      <c r="AI511" s="24">
        <f t="shared" si="123"/>
        <v>1</v>
      </c>
    </row>
    <row r="512" spans="1:35" hidden="1" x14ac:dyDescent="0.3">
      <c r="A512" s="2" t="str">
        <f t="shared" si="118"/>
        <v>NÃO</v>
      </c>
      <c r="B512" s="2">
        <v>1000184670</v>
      </c>
      <c r="C512" s="2" t="s">
        <v>147</v>
      </c>
      <c r="D512" s="4">
        <v>1000186197</v>
      </c>
      <c r="E512" s="4" t="s">
        <v>166</v>
      </c>
      <c r="F512" s="2">
        <v>1000184757</v>
      </c>
      <c r="G512" s="2" t="s">
        <v>62</v>
      </c>
      <c r="H512" s="4">
        <v>1000189771</v>
      </c>
      <c r="I512" s="4" t="s">
        <v>101</v>
      </c>
      <c r="J512" s="2">
        <v>1000189270</v>
      </c>
      <c r="K512" s="2" t="s">
        <v>34</v>
      </c>
      <c r="L512" s="4" t="s">
        <v>23</v>
      </c>
      <c r="M512" s="4" t="str">
        <f t="shared" si="111"/>
        <v>1000184670100018619710001897711000189270SABORES DO CAMPO</v>
      </c>
      <c r="N512" s="28">
        <f>N498*_xlfn.XLOOKUP($L512,'Balizador da Meta'!$B$4:$B$21,'Balizador da Meta'!$C$4:$C$21)</f>
        <v>0</v>
      </c>
      <c r="O512" s="28">
        <f>O498*_xlfn.XLOOKUP($L512,'Balizador da Meta'!$B$4:$B$21,'Balizador da Meta'!$C$4:$C$21)</f>
        <v>0</v>
      </c>
      <c r="P512" s="28">
        <f>P498*_xlfn.XLOOKUP($L512,'Balizador da Meta'!$B$4:$B$21,'Balizador da Meta'!$C$4:$C$21)</f>
        <v>0</v>
      </c>
      <c r="Q512" s="28">
        <f>Q498*_xlfn.XLOOKUP($L512,'Balizador da Meta'!$B$4:$B$21,'Balizador da Meta'!$C$4:$C$21)</f>
        <v>0</v>
      </c>
      <c r="R512" s="28">
        <f>R498*_xlfn.XLOOKUP($L512,'Balizador da Meta'!$B$4:$B$21,'Balizador da Meta'!$C$4:$C$21)</f>
        <v>0</v>
      </c>
      <c r="S512" s="28">
        <f>S498*_xlfn.XLOOKUP($L512,'Balizador da Meta'!$B$4:$B$21,'Balizador da Meta'!$C$4:$C$21)</f>
        <v>0</v>
      </c>
      <c r="T512" s="28">
        <f>T498*_xlfn.XLOOKUP($L512,'Balizador da Meta'!$B$4:$B$21,'Balizador da Meta'!$C$4:$C$21)</f>
        <v>0</v>
      </c>
      <c r="U512" s="28">
        <f>U498*_xlfn.XLOOKUP($L512,'Balizador da Meta'!$B$4:$B$21,'Balizador da Meta'!$C$4:$C$21)</f>
        <v>0</v>
      </c>
      <c r="V512" s="28">
        <f>V498*_xlfn.XLOOKUP($L512,'Balizador da Meta'!$B$4:$B$21,'Balizador da Meta'!$C$4:$C$21)</f>
        <v>0</v>
      </c>
      <c r="W512" s="28">
        <f>W498*_xlfn.XLOOKUP($L512,'Balizador da Meta'!$B$4:$B$21,'Balizador da Meta'!$C$4:$C$21)</f>
        <v>0</v>
      </c>
      <c r="X512" s="28">
        <f>X498*_xlfn.XLOOKUP($L512,'Balizador da Meta'!$B$4:$B$21,'Balizador da Meta'!$C$4:$C$21)</f>
        <v>0</v>
      </c>
      <c r="Y512" s="28">
        <f>Y498*_xlfn.XLOOKUP($L512,'Balizador da Meta'!$B$4:$B$21,'Balizador da Meta'!$C$4:$C$21)</f>
        <v>0</v>
      </c>
      <c r="Z512" s="30">
        <f t="shared" si="124"/>
        <v>0</v>
      </c>
      <c r="AA512" s="29"/>
      <c r="AB512" s="31">
        <f>SUMIFS('Historico - FAT'!AK:AK,'Historico - FAT'!$K:$K,Faturamento!$L512,'Historico - FAT'!$I:$I,Faturamento!$J512,'Historico - FAT'!$G:$G,Faturamento!$H512)</f>
        <v>0</v>
      </c>
      <c r="AC512" s="31">
        <f>SUMIFS('Historico - FAT'!AL:AL,'Historico - FAT'!$K:$K,Faturamento!$L512,'Historico - FAT'!$I:$I,Faturamento!$J512,'Historico - FAT'!$G:$G,Faturamento!$H512)</f>
        <v>0</v>
      </c>
      <c r="AD512" s="31">
        <f>SUMIFS('Historico - FAT'!AM:AM,'Historico - FAT'!$K:$K,Faturamento!$L512,'Historico - FAT'!$I:$I,Faturamento!$J512,'Historico - FAT'!$G:$G,Faturamento!$H512)</f>
        <v>0</v>
      </c>
      <c r="AE512" s="27">
        <f>SUMIFS('Historico - FAT'!AN:AN,'Historico - FAT'!$K:$K,Faturamento!$L512,'Historico - FAT'!$I:$I,Faturamento!$J512,'Historico - FAT'!$G:$G,Faturamento!$H512)</f>
        <v>0</v>
      </c>
      <c r="AG512" s="24" t="str">
        <f t="shared" si="121"/>
        <v/>
      </c>
      <c r="AH512" s="24" t="str">
        <f t="shared" si="122"/>
        <v/>
      </c>
      <c r="AI512" s="24" t="str">
        <f t="shared" si="123"/>
        <v/>
      </c>
    </row>
    <row r="513" spans="1:35" hidden="1" x14ac:dyDescent="0.3">
      <c r="A513" s="2" t="str">
        <f t="shared" si="118"/>
        <v>NÃO</v>
      </c>
      <c r="B513" s="2">
        <v>1000184670</v>
      </c>
      <c r="C513" s="2" t="s">
        <v>147</v>
      </c>
      <c r="D513" s="4">
        <v>1000186197</v>
      </c>
      <c r="E513" s="4" t="s">
        <v>166</v>
      </c>
      <c r="F513" s="2">
        <v>1000184757</v>
      </c>
      <c r="G513" s="2" t="s">
        <v>62</v>
      </c>
      <c r="H513" s="4">
        <v>1000189771</v>
      </c>
      <c r="I513" s="4" t="s">
        <v>101</v>
      </c>
      <c r="J513" s="2">
        <v>1000189270</v>
      </c>
      <c r="K513" s="2" t="s">
        <v>34</v>
      </c>
      <c r="L513" s="4" t="s">
        <v>28</v>
      </c>
      <c r="M513" s="4" t="str">
        <f t="shared" si="111"/>
        <v>1000184670100018619710001897711000189270SAL</v>
      </c>
      <c r="N513" s="28">
        <f>N498*_xlfn.XLOOKUP($L513,'Balizador da Meta'!$B$4:$B$21,'Balizador da Meta'!$C$4:$C$21)</f>
        <v>24</v>
      </c>
      <c r="O513" s="28">
        <f>O498*_xlfn.XLOOKUP($L513,'Balizador da Meta'!$B$4:$B$21,'Balizador da Meta'!$C$4:$C$21)</f>
        <v>24</v>
      </c>
      <c r="P513" s="28">
        <f>P498*_xlfn.XLOOKUP($L513,'Balizador da Meta'!$B$4:$B$21,'Balizador da Meta'!$C$4:$C$21)</f>
        <v>24</v>
      </c>
      <c r="Q513" s="28">
        <f>Q498*_xlfn.XLOOKUP($L513,'Balizador da Meta'!$B$4:$B$21,'Balizador da Meta'!$C$4:$C$21)</f>
        <v>24</v>
      </c>
      <c r="R513" s="28">
        <f>R498*_xlfn.XLOOKUP($L513,'Balizador da Meta'!$B$4:$B$21,'Balizador da Meta'!$C$4:$C$21)</f>
        <v>24</v>
      </c>
      <c r="S513" s="28">
        <f>S498*_xlfn.XLOOKUP($L513,'Balizador da Meta'!$B$4:$B$21,'Balizador da Meta'!$C$4:$C$21)</f>
        <v>24</v>
      </c>
      <c r="T513" s="28">
        <f>T498*_xlfn.XLOOKUP($L513,'Balizador da Meta'!$B$4:$B$21,'Balizador da Meta'!$C$4:$C$21)</f>
        <v>24</v>
      </c>
      <c r="U513" s="28">
        <f>U498*_xlfn.XLOOKUP($L513,'Balizador da Meta'!$B$4:$B$21,'Balizador da Meta'!$C$4:$C$21)</f>
        <v>24</v>
      </c>
      <c r="V513" s="28">
        <f>V498*_xlfn.XLOOKUP($L513,'Balizador da Meta'!$B$4:$B$21,'Balizador da Meta'!$C$4:$C$21)</f>
        <v>24</v>
      </c>
      <c r="W513" s="28">
        <f>W498*_xlfn.XLOOKUP($L513,'Balizador da Meta'!$B$4:$B$21,'Balizador da Meta'!$C$4:$C$21)</f>
        <v>24</v>
      </c>
      <c r="X513" s="28">
        <f>X498*_xlfn.XLOOKUP($L513,'Balizador da Meta'!$B$4:$B$21,'Balizador da Meta'!$C$4:$C$21)</f>
        <v>24</v>
      </c>
      <c r="Y513" s="28">
        <f>Y498*_xlfn.XLOOKUP($L513,'Balizador da Meta'!$B$4:$B$21,'Balizador da Meta'!$C$4:$C$21)</f>
        <v>24</v>
      </c>
      <c r="Z513" s="30">
        <f t="shared" si="124"/>
        <v>288</v>
      </c>
      <c r="AA513" s="29"/>
      <c r="AB513" s="31">
        <f>SUMIFS('Historico - FAT'!AK:AK,'Historico - FAT'!$K:$K,Faturamento!$L513,'Historico - FAT'!$I:$I,Faturamento!$J513,'Historico - FAT'!$G:$G,Faturamento!$H513)</f>
        <v>90.600000000000009</v>
      </c>
      <c r="AC513" s="31">
        <f>SUMIFS('Historico - FAT'!AL:AL,'Historico - FAT'!$K:$K,Faturamento!$L513,'Historico - FAT'!$I:$I,Faturamento!$J513,'Historico - FAT'!$G:$G,Faturamento!$H513)</f>
        <v>110.425</v>
      </c>
      <c r="AD513" s="31">
        <f>SUMIFS('Historico - FAT'!AM:AM,'Historico - FAT'!$K:$K,Faturamento!$L513,'Historico - FAT'!$I:$I,Faturamento!$J513,'Historico - FAT'!$G:$G,Faturamento!$H513)</f>
        <v>90.600000000000009</v>
      </c>
      <c r="AE513" s="27">
        <f>SUMIFS('Historico - FAT'!AN:AN,'Historico - FAT'!$K:$K,Faturamento!$L513,'Historico - FAT'!$I:$I,Faturamento!$J513,'Historico - FAT'!$G:$G,Faturamento!$H513)</f>
        <v>132.51</v>
      </c>
      <c r="AG513" s="24">
        <f t="shared" si="121"/>
        <v>-2.7750000000000004</v>
      </c>
      <c r="AH513" s="24">
        <f t="shared" si="122"/>
        <v>-3.6010416666666667</v>
      </c>
      <c r="AI513" s="24">
        <f t="shared" si="123"/>
        <v>-2.7750000000000004</v>
      </c>
    </row>
    <row r="514" spans="1:35" hidden="1" x14ac:dyDescent="0.3">
      <c r="A514" s="2" t="str">
        <f t="shared" si="118"/>
        <v>NÃO</v>
      </c>
      <c r="B514" s="2">
        <v>1000184670</v>
      </c>
      <c r="C514" s="2" t="s">
        <v>147</v>
      </c>
      <c r="D514" s="4">
        <v>1000186197</v>
      </c>
      <c r="E514" s="4" t="s">
        <v>166</v>
      </c>
      <c r="F514" s="2">
        <v>1000184757</v>
      </c>
      <c r="G514" s="2" t="s">
        <v>62</v>
      </c>
      <c r="H514" s="4">
        <v>1000189771</v>
      </c>
      <c r="I514" s="4" t="s">
        <v>101</v>
      </c>
      <c r="J514" s="2">
        <v>1000189270</v>
      </c>
      <c r="K514" s="2" t="s">
        <v>34</v>
      </c>
      <c r="L514" s="4" t="s">
        <v>26</v>
      </c>
      <c r="M514" s="4" t="str">
        <f t="shared" si="111"/>
        <v>1000184670100018619710001897711000189270SOULPRO</v>
      </c>
      <c r="N514" s="28">
        <f>N498*_xlfn.XLOOKUP($L514,'Balizador da Meta'!$B$4:$B$21,'Balizador da Meta'!$C$4:$C$21)</f>
        <v>72</v>
      </c>
      <c r="O514" s="28">
        <f>O498*_xlfn.XLOOKUP($L514,'Balizador da Meta'!$B$4:$B$21,'Balizador da Meta'!$C$4:$C$21)</f>
        <v>72</v>
      </c>
      <c r="P514" s="28">
        <f>P498*_xlfn.XLOOKUP($L514,'Balizador da Meta'!$B$4:$B$21,'Balizador da Meta'!$C$4:$C$21)</f>
        <v>72</v>
      </c>
      <c r="Q514" s="28">
        <f>Q498*_xlfn.XLOOKUP($L514,'Balizador da Meta'!$B$4:$B$21,'Balizador da Meta'!$C$4:$C$21)</f>
        <v>72</v>
      </c>
      <c r="R514" s="28">
        <f>R498*_xlfn.XLOOKUP($L514,'Balizador da Meta'!$B$4:$B$21,'Balizador da Meta'!$C$4:$C$21)</f>
        <v>72</v>
      </c>
      <c r="S514" s="28">
        <f>S498*_xlfn.XLOOKUP($L514,'Balizador da Meta'!$B$4:$B$21,'Balizador da Meta'!$C$4:$C$21)</f>
        <v>72</v>
      </c>
      <c r="T514" s="28">
        <f>T498*_xlfn.XLOOKUP($L514,'Balizador da Meta'!$B$4:$B$21,'Balizador da Meta'!$C$4:$C$21)</f>
        <v>72</v>
      </c>
      <c r="U514" s="28">
        <f>U498*_xlfn.XLOOKUP($L514,'Balizador da Meta'!$B$4:$B$21,'Balizador da Meta'!$C$4:$C$21)</f>
        <v>72</v>
      </c>
      <c r="V514" s="28">
        <f>V498*_xlfn.XLOOKUP($L514,'Balizador da Meta'!$B$4:$B$21,'Balizador da Meta'!$C$4:$C$21)</f>
        <v>72</v>
      </c>
      <c r="W514" s="28">
        <f>W498*_xlfn.XLOOKUP($L514,'Balizador da Meta'!$B$4:$B$21,'Balizador da Meta'!$C$4:$C$21)</f>
        <v>72</v>
      </c>
      <c r="X514" s="28">
        <f>X498*_xlfn.XLOOKUP($L514,'Balizador da Meta'!$B$4:$B$21,'Balizador da Meta'!$C$4:$C$21)</f>
        <v>72</v>
      </c>
      <c r="Y514" s="28">
        <f>Y498*_xlfn.XLOOKUP($L514,'Balizador da Meta'!$B$4:$B$21,'Balizador da Meta'!$C$4:$C$21)</f>
        <v>72</v>
      </c>
      <c r="Z514" s="30">
        <f t="shared" si="124"/>
        <v>864</v>
      </c>
      <c r="AA514" s="29"/>
      <c r="AB514" s="31">
        <f>SUMIFS('Historico - FAT'!AK:AK,'Historico - FAT'!$K:$K,Faturamento!$L514,'Historico - FAT'!$I:$I,Faturamento!$J514,'Historico - FAT'!$G:$G,Faturamento!$H514)</f>
        <v>0</v>
      </c>
      <c r="AC514" s="31">
        <f>SUMIFS('Historico - FAT'!AL:AL,'Historico - FAT'!$K:$K,Faturamento!$L514,'Historico - FAT'!$I:$I,Faturamento!$J514,'Historico - FAT'!$G:$G,Faturamento!$H514)</f>
        <v>0</v>
      </c>
      <c r="AD514" s="31">
        <f>SUMIFS('Historico - FAT'!AM:AM,'Historico - FAT'!$K:$K,Faturamento!$L514,'Historico - FAT'!$I:$I,Faturamento!$J514,'Historico - FAT'!$G:$G,Faturamento!$H514)</f>
        <v>0</v>
      </c>
      <c r="AE514" s="27">
        <f>SUMIFS('Historico - FAT'!AN:AN,'Historico - FAT'!$K:$K,Faturamento!$L514,'Historico - FAT'!$I:$I,Faturamento!$J514,'Historico - FAT'!$G:$G,Faturamento!$H514)</f>
        <v>0</v>
      </c>
      <c r="AG514" s="24">
        <f t="shared" si="121"/>
        <v>1</v>
      </c>
      <c r="AH514" s="24">
        <f t="shared" si="122"/>
        <v>1</v>
      </c>
      <c r="AI514" s="24">
        <f t="shared" si="123"/>
        <v>1</v>
      </c>
    </row>
    <row r="515" spans="1:35" hidden="1" x14ac:dyDescent="0.3">
      <c r="A515" s="2" t="str">
        <f t="shared" si="118"/>
        <v>NÃO</v>
      </c>
      <c r="B515" s="2">
        <v>1000184670</v>
      </c>
      <c r="C515" s="2" t="s">
        <v>147</v>
      </c>
      <c r="D515" s="4">
        <v>1000186197</v>
      </c>
      <c r="E515" s="4" t="s">
        <v>166</v>
      </c>
      <c r="F515" s="2">
        <v>1000184757</v>
      </c>
      <c r="G515" s="2" t="s">
        <v>62</v>
      </c>
      <c r="H515" s="4">
        <v>1000189771</v>
      </c>
      <c r="I515" s="4" t="s">
        <v>101</v>
      </c>
      <c r="J515" s="2">
        <v>1000189270</v>
      </c>
      <c r="K515" s="2" t="s">
        <v>34</v>
      </c>
      <c r="L515" s="4" t="s">
        <v>27</v>
      </c>
      <c r="M515" s="4" t="str">
        <f t="shared" si="111"/>
        <v>1000184670100018619710001897711000189270TAMARA</v>
      </c>
      <c r="N515" s="28">
        <f>N498*_xlfn.XLOOKUP($L515,'Balizador da Meta'!$B$4:$B$21,'Balizador da Meta'!$C$4:$C$21)</f>
        <v>96</v>
      </c>
      <c r="O515" s="28">
        <f>O498*_xlfn.XLOOKUP($L515,'Balizador da Meta'!$B$4:$B$21,'Balizador da Meta'!$C$4:$C$21)</f>
        <v>96</v>
      </c>
      <c r="P515" s="28">
        <f>P498*_xlfn.XLOOKUP($L515,'Balizador da Meta'!$B$4:$B$21,'Balizador da Meta'!$C$4:$C$21)</f>
        <v>96</v>
      </c>
      <c r="Q515" s="28">
        <f>Q498*_xlfn.XLOOKUP($L515,'Balizador da Meta'!$B$4:$B$21,'Balizador da Meta'!$C$4:$C$21)</f>
        <v>96</v>
      </c>
      <c r="R515" s="28">
        <f>R498*_xlfn.XLOOKUP($L515,'Balizador da Meta'!$B$4:$B$21,'Balizador da Meta'!$C$4:$C$21)</f>
        <v>96</v>
      </c>
      <c r="S515" s="28">
        <f>S498*_xlfn.XLOOKUP($L515,'Balizador da Meta'!$B$4:$B$21,'Balizador da Meta'!$C$4:$C$21)</f>
        <v>96</v>
      </c>
      <c r="T515" s="28">
        <f>T498*_xlfn.XLOOKUP($L515,'Balizador da Meta'!$B$4:$B$21,'Balizador da Meta'!$C$4:$C$21)</f>
        <v>96</v>
      </c>
      <c r="U515" s="28">
        <f>U498*_xlfn.XLOOKUP($L515,'Balizador da Meta'!$B$4:$B$21,'Balizador da Meta'!$C$4:$C$21)</f>
        <v>96</v>
      </c>
      <c r="V515" s="28">
        <f>V498*_xlfn.XLOOKUP($L515,'Balizador da Meta'!$B$4:$B$21,'Balizador da Meta'!$C$4:$C$21)</f>
        <v>96</v>
      </c>
      <c r="W515" s="28">
        <f>W498*_xlfn.XLOOKUP($L515,'Balizador da Meta'!$B$4:$B$21,'Balizador da Meta'!$C$4:$C$21)</f>
        <v>96</v>
      </c>
      <c r="X515" s="28">
        <f>X498*_xlfn.XLOOKUP($L515,'Balizador da Meta'!$B$4:$B$21,'Balizador da Meta'!$C$4:$C$21)</f>
        <v>96</v>
      </c>
      <c r="Y515" s="28">
        <f>Y498*_xlfn.XLOOKUP($L515,'Balizador da Meta'!$B$4:$B$21,'Balizador da Meta'!$C$4:$C$21)</f>
        <v>96</v>
      </c>
      <c r="Z515" s="30">
        <f t="shared" si="124"/>
        <v>1152</v>
      </c>
      <c r="AA515" s="29"/>
      <c r="AB515" s="31">
        <f>SUMIFS('Historico - FAT'!AK:AK,'Historico - FAT'!$K:$K,Faturamento!$L515,'Historico - FAT'!$I:$I,Faturamento!$J515,'Historico - FAT'!$G:$G,Faturamento!$H515)</f>
        <v>0</v>
      </c>
      <c r="AC515" s="31">
        <f>SUMIFS('Historico - FAT'!AL:AL,'Historico - FAT'!$K:$K,Faturamento!$L515,'Historico - FAT'!$I:$I,Faturamento!$J515,'Historico - FAT'!$G:$G,Faturamento!$H515)</f>
        <v>0</v>
      </c>
      <c r="AD515" s="31">
        <f>SUMIFS('Historico - FAT'!AM:AM,'Historico - FAT'!$K:$K,Faturamento!$L515,'Historico - FAT'!$I:$I,Faturamento!$J515,'Historico - FAT'!$G:$G,Faturamento!$H515)</f>
        <v>0</v>
      </c>
      <c r="AE515" s="27">
        <f>SUMIFS('Historico - FAT'!AN:AN,'Historico - FAT'!$K:$K,Faturamento!$L515,'Historico - FAT'!$I:$I,Faturamento!$J515,'Historico - FAT'!$G:$G,Faturamento!$H515)</f>
        <v>0</v>
      </c>
      <c r="AG515" s="24">
        <f t="shared" si="121"/>
        <v>1</v>
      </c>
      <c r="AH515" s="24">
        <f t="shared" si="122"/>
        <v>1</v>
      </c>
      <c r="AI515" s="24">
        <f t="shared" si="123"/>
        <v>1</v>
      </c>
    </row>
    <row r="516" spans="1:35" hidden="1" x14ac:dyDescent="0.3">
      <c r="A516" s="2" t="str">
        <f t="shared" si="118"/>
        <v>NÃO</v>
      </c>
      <c r="B516" s="2">
        <v>1000184670</v>
      </c>
      <c r="C516" s="2" t="s">
        <v>147</v>
      </c>
      <c r="D516" s="4">
        <v>1000186197</v>
      </c>
      <c r="E516" s="4" t="s">
        <v>166</v>
      </c>
      <c r="F516" s="2">
        <v>1000184757</v>
      </c>
      <c r="G516" s="2" t="s">
        <v>62</v>
      </c>
      <c r="H516" s="4">
        <v>1000189771</v>
      </c>
      <c r="I516" s="4" t="s">
        <v>101</v>
      </c>
      <c r="J516" s="2">
        <v>1000189270</v>
      </c>
      <c r="K516" s="2" t="s">
        <v>34</v>
      </c>
      <c r="L516" s="4" t="s">
        <v>25</v>
      </c>
      <c r="M516" s="4" t="str">
        <f t="shared" si="111"/>
        <v>1000184670100018619710001897711000189270VICCIO</v>
      </c>
      <c r="N516" s="28">
        <f>N498*_xlfn.XLOOKUP($L516,'Balizador da Meta'!$B$4:$B$21,'Balizador da Meta'!$C$4:$C$21)</f>
        <v>36</v>
      </c>
      <c r="O516" s="28">
        <f>O498*_xlfn.XLOOKUP($L516,'Balizador da Meta'!$B$4:$B$21,'Balizador da Meta'!$C$4:$C$21)</f>
        <v>36</v>
      </c>
      <c r="P516" s="28">
        <f>P498*_xlfn.XLOOKUP($L516,'Balizador da Meta'!$B$4:$B$21,'Balizador da Meta'!$C$4:$C$21)</f>
        <v>36</v>
      </c>
      <c r="Q516" s="28">
        <f>Q498*_xlfn.XLOOKUP($L516,'Balizador da Meta'!$B$4:$B$21,'Balizador da Meta'!$C$4:$C$21)</f>
        <v>36</v>
      </c>
      <c r="R516" s="28">
        <f>R498*_xlfn.XLOOKUP($L516,'Balizador da Meta'!$B$4:$B$21,'Balizador da Meta'!$C$4:$C$21)</f>
        <v>36</v>
      </c>
      <c r="S516" s="28">
        <f>S498*_xlfn.XLOOKUP($L516,'Balizador da Meta'!$B$4:$B$21,'Balizador da Meta'!$C$4:$C$21)</f>
        <v>36</v>
      </c>
      <c r="T516" s="28">
        <f>T498*_xlfn.XLOOKUP($L516,'Balizador da Meta'!$B$4:$B$21,'Balizador da Meta'!$C$4:$C$21)</f>
        <v>36</v>
      </c>
      <c r="U516" s="28">
        <f>U498*_xlfn.XLOOKUP($L516,'Balizador da Meta'!$B$4:$B$21,'Balizador da Meta'!$C$4:$C$21)</f>
        <v>36</v>
      </c>
      <c r="V516" s="28">
        <f>V498*_xlfn.XLOOKUP($L516,'Balizador da Meta'!$B$4:$B$21,'Balizador da Meta'!$C$4:$C$21)</f>
        <v>36</v>
      </c>
      <c r="W516" s="28">
        <f>W498*_xlfn.XLOOKUP($L516,'Balizador da Meta'!$B$4:$B$21,'Balizador da Meta'!$C$4:$C$21)</f>
        <v>36</v>
      </c>
      <c r="X516" s="28">
        <f>X498*_xlfn.XLOOKUP($L516,'Balizador da Meta'!$B$4:$B$21,'Balizador da Meta'!$C$4:$C$21)</f>
        <v>36</v>
      </c>
      <c r="Y516" s="28">
        <f>Y498*_xlfn.XLOOKUP($L516,'Balizador da Meta'!$B$4:$B$21,'Balizador da Meta'!$C$4:$C$21)</f>
        <v>36</v>
      </c>
      <c r="Z516" s="30">
        <f t="shared" si="124"/>
        <v>432</v>
      </c>
      <c r="AA516" s="29"/>
      <c r="AB516" s="31">
        <f>SUMIFS('Historico - FAT'!AK:AK,'Historico - FAT'!$K:$K,Faturamento!$L516,'Historico - FAT'!$I:$I,Faturamento!$J516,'Historico - FAT'!$G:$G,Faturamento!$H516)</f>
        <v>0</v>
      </c>
      <c r="AC516" s="31">
        <f>SUMIFS('Historico - FAT'!AL:AL,'Historico - FAT'!$K:$K,Faturamento!$L516,'Historico - FAT'!$I:$I,Faturamento!$J516,'Historico - FAT'!$G:$G,Faturamento!$H516)</f>
        <v>8.25</v>
      </c>
      <c r="AD516" s="31">
        <f>SUMIFS('Historico - FAT'!AM:AM,'Historico - FAT'!$K:$K,Faturamento!$L516,'Historico - FAT'!$I:$I,Faturamento!$J516,'Historico - FAT'!$G:$G,Faturamento!$H516)</f>
        <v>16.5</v>
      </c>
      <c r="AE516" s="27">
        <f>SUMIFS('Historico - FAT'!AN:AN,'Historico - FAT'!$K:$K,Faturamento!$L516,'Historico - FAT'!$I:$I,Faturamento!$J516,'Historico - FAT'!$G:$G,Faturamento!$H516)</f>
        <v>9.9</v>
      </c>
      <c r="AG516" s="24">
        <f t="shared" si="121"/>
        <v>1</v>
      </c>
      <c r="AH516" s="24">
        <f t="shared" si="122"/>
        <v>0.77083333333333337</v>
      </c>
      <c r="AI516" s="24">
        <f t="shared" si="123"/>
        <v>0.54166666666666663</v>
      </c>
    </row>
    <row r="517" spans="1:35" x14ac:dyDescent="0.3">
      <c r="A517" s="2" t="str">
        <f t="shared" si="118"/>
        <v>SIM</v>
      </c>
      <c r="B517" s="2">
        <v>1000184670</v>
      </c>
      <c r="C517" s="2" t="s">
        <v>147</v>
      </c>
      <c r="D517" s="4">
        <v>1000186197</v>
      </c>
      <c r="E517" s="4" t="s">
        <v>166</v>
      </c>
      <c r="F517" s="2">
        <v>1000184757</v>
      </c>
      <c r="G517" s="2" t="s">
        <v>62</v>
      </c>
      <c r="H517" s="4">
        <v>1000189772</v>
      </c>
      <c r="I517" s="4" t="s">
        <v>98</v>
      </c>
      <c r="J517" s="2">
        <v>1000189270</v>
      </c>
      <c r="K517" s="2" t="s">
        <v>34</v>
      </c>
      <c r="L517" s="4" t="s">
        <v>124</v>
      </c>
      <c r="M517" s="4" t="str">
        <f t="shared" ref="M517:M580" si="125">_xlfn.CONCAT(B517,D517,H517,J517,L517,)</f>
        <v>100018467010001861971000189772100018927001. TOTAL</v>
      </c>
      <c r="N517" s="28">
        <f>SUMIFS(Positivação!L:L,Positivação!$I:$I,Faturamento!$J517,Positivação!$G:$G,Faturamento!$H517)*SUMIFS(Positivação!$Z:$Z,Positivação!$I:$I,Faturamento!$J517,Positivação!$G:$G,Faturamento!$H517)</f>
        <v>1800</v>
      </c>
      <c r="O517" s="28">
        <f>SUMIFS(Positivação!M:M,Positivação!$I:$I,Faturamento!$J517,Positivação!$G:$G,Faturamento!$H517)*SUMIFS(Positivação!$Z:$Z,Positivação!$I:$I,Faturamento!$J517,Positivação!$G:$G,Faturamento!$H517)</f>
        <v>1800</v>
      </c>
      <c r="P517" s="28">
        <f>SUMIFS(Positivação!N:N,Positivação!$I:$I,Faturamento!$J517,Positivação!$G:$G,Faturamento!$H517)*SUMIFS(Positivação!$Z:$Z,Positivação!$I:$I,Faturamento!$J517,Positivação!$G:$G,Faturamento!$H517)</f>
        <v>1800</v>
      </c>
      <c r="Q517" s="28">
        <f>SUMIFS(Positivação!O:O,Positivação!$I:$I,Faturamento!$J517,Positivação!$G:$G,Faturamento!$H517)*SUMIFS(Positivação!$Z:$Z,Positivação!$I:$I,Faturamento!$J517,Positivação!$G:$G,Faturamento!$H517)</f>
        <v>1800</v>
      </c>
      <c r="R517" s="28">
        <f>SUMIFS(Positivação!P:P,Positivação!$I:$I,Faturamento!$J517,Positivação!$G:$G,Faturamento!$H517)*SUMIFS(Positivação!$Z:$Z,Positivação!$I:$I,Faturamento!$J517,Positivação!$G:$G,Faturamento!$H517)</f>
        <v>1800</v>
      </c>
      <c r="S517" s="28">
        <f>SUMIFS(Positivação!Q:Q,Positivação!$I:$I,Faturamento!$J517,Positivação!$G:$G,Faturamento!$H517)*SUMIFS(Positivação!$Z:$Z,Positivação!$I:$I,Faturamento!$J517,Positivação!$G:$G,Faturamento!$H517)</f>
        <v>1800</v>
      </c>
      <c r="T517" s="28">
        <f>SUMIFS(Positivação!R:R,Positivação!$I:$I,Faturamento!$J517,Positivação!$G:$G,Faturamento!$H517)*SUMIFS(Positivação!$Z:$Z,Positivação!$I:$I,Faturamento!$J517,Positivação!$G:$G,Faturamento!$H517)</f>
        <v>1800</v>
      </c>
      <c r="U517" s="28">
        <f>SUMIFS(Positivação!S:S,Positivação!$I:$I,Faturamento!$J517,Positivação!$G:$G,Faturamento!$H517)*SUMIFS(Positivação!$Z:$Z,Positivação!$I:$I,Faturamento!$J517,Positivação!$G:$G,Faturamento!$H517)</f>
        <v>1800</v>
      </c>
      <c r="V517" s="28">
        <f>SUMIFS(Positivação!T:T,Positivação!$I:$I,Faturamento!$J517,Positivação!$G:$G,Faturamento!$H517)*SUMIFS(Positivação!$Z:$Z,Positivação!$I:$I,Faturamento!$J517,Positivação!$G:$G,Faturamento!$H517)</f>
        <v>1800</v>
      </c>
      <c r="W517" s="28">
        <f>SUMIFS(Positivação!U:U,Positivação!$I:$I,Faturamento!$J517,Positivação!$G:$G,Faturamento!$H517)*SUMIFS(Positivação!$Z:$Z,Positivação!$I:$I,Faturamento!$J517,Positivação!$G:$G,Faturamento!$H517)</f>
        <v>1800</v>
      </c>
      <c r="X517" s="28">
        <f>SUMIFS(Positivação!V:V,Positivação!$I:$I,Faturamento!$J517,Positivação!$G:$G,Faturamento!$H517)*SUMIFS(Positivação!$Z:$Z,Positivação!$I:$I,Faturamento!$J517,Positivação!$G:$G,Faturamento!$H517)</f>
        <v>1800</v>
      </c>
      <c r="Y517" s="28">
        <f>SUMIFS(Positivação!W:W,Positivação!$I:$I,Faturamento!$J517,Positivação!$G:$G,Faturamento!$H517)*SUMIFS(Positivação!$Z:$Z,Positivação!$I:$I,Faturamento!$J517,Positivação!$G:$G,Faturamento!$H517)</f>
        <v>1800</v>
      </c>
      <c r="Z517" s="28">
        <f t="shared" ref="Z517" si="126">SUM(Z518:Z535)</f>
        <v>21600</v>
      </c>
      <c r="AA517" s="29"/>
      <c r="AB517" s="28">
        <f t="shared" ref="AB517:AE517" si="127">SUM(AB518:AB535)</f>
        <v>245.31833333333336</v>
      </c>
      <c r="AC517" s="28">
        <f t="shared" si="127"/>
        <v>127.17083333333333</v>
      </c>
      <c r="AD517" s="28">
        <f t="shared" si="127"/>
        <v>0</v>
      </c>
      <c r="AE517" s="28">
        <f t="shared" si="127"/>
        <v>152.60499999999999</v>
      </c>
      <c r="AG517" s="24">
        <f t="shared" si="121"/>
        <v>0.86371203703703703</v>
      </c>
      <c r="AH517" s="24">
        <f t="shared" si="122"/>
        <v>0.92934953703703704</v>
      </c>
      <c r="AI517" s="24">
        <f t="shared" si="123"/>
        <v>1</v>
      </c>
    </row>
    <row r="518" spans="1:35" hidden="1" x14ac:dyDescent="0.3">
      <c r="A518" s="2" t="str">
        <f t="shared" si="118"/>
        <v>NÃO</v>
      </c>
      <c r="B518" s="2">
        <v>1000184670</v>
      </c>
      <c r="C518" s="2" t="s">
        <v>147</v>
      </c>
      <c r="D518" s="4">
        <v>1000186197</v>
      </c>
      <c r="E518" s="4" t="s">
        <v>166</v>
      </c>
      <c r="F518" s="2">
        <v>1000184757</v>
      </c>
      <c r="G518" s="2" t="s">
        <v>62</v>
      </c>
      <c r="H518" s="4">
        <v>1000189772</v>
      </c>
      <c r="I518" s="4" t="s">
        <v>98</v>
      </c>
      <c r="J518" s="2">
        <v>1000189270</v>
      </c>
      <c r="K518" s="2" t="s">
        <v>34</v>
      </c>
      <c r="L518" s="4" t="s">
        <v>13</v>
      </c>
      <c r="M518" s="4" t="str">
        <f t="shared" si="125"/>
        <v>1000184670100018619710001897721000189270BISCOITO</v>
      </c>
      <c r="N518" s="28">
        <f>N517*_xlfn.XLOOKUP($L518,'Balizador da Meta'!$B$4:$B$21,'Balizador da Meta'!$C$4:$C$21)</f>
        <v>126.00000000000001</v>
      </c>
      <c r="O518" s="28">
        <f>O517*_xlfn.XLOOKUP($L518,'Balizador da Meta'!$B$4:$B$21,'Balizador da Meta'!$C$4:$C$21)</f>
        <v>126.00000000000001</v>
      </c>
      <c r="P518" s="28">
        <f>P517*_xlfn.XLOOKUP($L518,'Balizador da Meta'!$B$4:$B$21,'Balizador da Meta'!$C$4:$C$21)</f>
        <v>126.00000000000001</v>
      </c>
      <c r="Q518" s="28">
        <f>Q517*_xlfn.XLOOKUP($L518,'Balizador da Meta'!$B$4:$B$21,'Balizador da Meta'!$C$4:$C$21)</f>
        <v>126.00000000000001</v>
      </c>
      <c r="R518" s="28">
        <f>R517*_xlfn.XLOOKUP($L518,'Balizador da Meta'!$B$4:$B$21,'Balizador da Meta'!$C$4:$C$21)</f>
        <v>126.00000000000001</v>
      </c>
      <c r="S518" s="28">
        <f>S517*_xlfn.XLOOKUP($L518,'Balizador da Meta'!$B$4:$B$21,'Balizador da Meta'!$C$4:$C$21)</f>
        <v>126.00000000000001</v>
      </c>
      <c r="T518" s="28">
        <f>T517*_xlfn.XLOOKUP($L518,'Balizador da Meta'!$B$4:$B$21,'Balizador da Meta'!$C$4:$C$21)</f>
        <v>126.00000000000001</v>
      </c>
      <c r="U518" s="28">
        <f>U517*_xlfn.XLOOKUP($L518,'Balizador da Meta'!$B$4:$B$21,'Balizador da Meta'!$C$4:$C$21)</f>
        <v>126.00000000000001</v>
      </c>
      <c r="V518" s="28">
        <f>V517*_xlfn.XLOOKUP($L518,'Balizador da Meta'!$B$4:$B$21,'Balizador da Meta'!$C$4:$C$21)</f>
        <v>126.00000000000001</v>
      </c>
      <c r="W518" s="28">
        <f>W517*_xlfn.XLOOKUP($L518,'Balizador da Meta'!$B$4:$B$21,'Balizador da Meta'!$C$4:$C$21)</f>
        <v>126.00000000000001</v>
      </c>
      <c r="X518" s="28">
        <f>X517*_xlfn.XLOOKUP($L518,'Balizador da Meta'!$B$4:$B$21,'Balizador da Meta'!$C$4:$C$21)</f>
        <v>126.00000000000001</v>
      </c>
      <c r="Y518" s="28">
        <f>Y517*_xlfn.XLOOKUP($L518,'Balizador da Meta'!$B$4:$B$21,'Balizador da Meta'!$C$4:$C$21)</f>
        <v>126.00000000000001</v>
      </c>
      <c r="Z518" s="30">
        <f t="shared" ref="Z518:Z535" si="128">SUM(N518:Y518)</f>
        <v>1512.0000000000002</v>
      </c>
      <c r="AA518" s="29"/>
      <c r="AB518" s="31">
        <f>SUMIFS('Historico - FAT'!AK:AK,'Historico - FAT'!$K:$K,Faturamento!$L518,'Historico - FAT'!$I:$I,Faturamento!$J518,'Historico - FAT'!$G:$G,Faturamento!$H518)</f>
        <v>85.345833333333346</v>
      </c>
      <c r="AC518" s="31">
        <f>SUMIFS('Historico - FAT'!AL:AL,'Historico - FAT'!$K:$K,Faturamento!$L518,'Historico - FAT'!$I:$I,Faturamento!$J518,'Historico - FAT'!$G:$G,Faturamento!$H518)</f>
        <v>23.126666666666665</v>
      </c>
      <c r="AD518" s="31">
        <f>SUMIFS('Historico - FAT'!AM:AM,'Historico - FAT'!$K:$K,Faturamento!$L518,'Historico - FAT'!$I:$I,Faturamento!$J518,'Historico - FAT'!$G:$G,Faturamento!$H518)</f>
        <v>0</v>
      </c>
      <c r="AE518" s="27">
        <f>SUMIFS('Historico - FAT'!AN:AN,'Historico - FAT'!$K:$K,Faturamento!$L518,'Historico - FAT'!$I:$I,Faturamento!$J518,'Historico - FAT'!$G:$G,Faturamento!$H518)</f>
        <v>27.751999999999999</v>
      </c>
      <c r="AG518" s="24">
        <f t="shared" si="121"/>
        <v>0.32265211640211638</v>
      </c>
      <c r="AH518" s="24">
        <f t="shared" si="122"/>
        <v>0.81645502645502643</v>
      </c>
      <c r="AI518" s="24">
        <f t="shared" si="123"/>
        <v>1</v>
      </c>
    </row>
    <row r="519" spans="1:35" hidden="1" x14ac:dyDescent="0.3">
      <c r="A519" s="2" t="str">
        <f t="shared" si="118"/>
        <v>NÃO</v>
      </c>
      <c r="B519" s="2">
        <v>1000184670</v>
      </c>
      <c r="C519" s="2" t="s">
        <v>147</v>
      </c>
      <c r="D519" s="4">
        <v>1000186197</v>
      </c>
      <c r="E519" s="4" t="s">
        <v>166</v>
      </c>
      <c r="F519" s="2">
        <v>1000184757</v>
      </c>
      <c r="G519" s="2" t="s">
        <v>62</v>
      </c>
      <c r="H519" s="4">
        <v>1000189772</v>
      </c>
      <c r="I519" s="4" t="s">
        <v>98</v>
      </c>
      <c r="J519" s="2">
        <v>1000189270</v>
      </c>
      <c r="K519" s="2" t="s">
        <v>34</v>
      </c>
      <c r="L519" s="4" t="s">
        <v>14</v>
      </c>
      <c r="M519" s="4" t="str">
        <f t="shared" si="125"/>
        <v>1000184670100018619710001897721000189270CHOCOLATES</v>
      </c>
      <c r="N519" s="28">
        <f>N517*_xlfn.XLOOKUP($L519,'Balizador da Meta'!$B$4:$B$21,'Balizador da Meta'!$C$4:$C$21)</f>
        <v>126.00000000000001</v>
      </c>
      <c r="O519" s="28">
        <f>O517*_xlfn.XLOOKUP($L519,'Balizador da Meta'!$B$4:$B$21,'Balizador da Meta'!$C$4:$C$21)</f>
        <v>126.00000000000001</v>
      </c>
      <c r="P519" s="28">
        <f>P517*_xlfn.XLOOKUP($L519,'Balizador da Meta'!$B$4:$B$21,'Balizador da Meta'!$C$4:$C$21)</f>
        <v>126.00000000000001</v>
      </c>
      <c r="Q519" s="28">
        <f>Q517*_xlfn.XLOOKUP($L519,'Balizador da Meta'!$B$4:$B$21,'Balizador da Meta'!$C$4:$C$21)</f>
        <v>126.00000000000001</v>
      </c>
      <c r="R519" s="28">
        <f>R517*_xlfn.XLOOKUP($L519,'Balizador da Meta'!$B$4:$B$21,'Balizador da Meta'!$C$4:$C$21)</f>
        <v>126.00000000000001</v>
      </c>
      <c r="S519" s="28">
        <f>S517*_xlfn.XLOOKUP($L519,'Balizador da Meta'!$B$4:$B$21,'Balizador da Meta'!$C$4:$C$21)</f>
        <v>126.00000000000001</v>
      </c>
      <c r="T519" s="28">
        <f>T517*_xlfn.XLOOKUP($L519,'Balizador da Meta'!$B$4:$B$21,'Balizador da Meta'!$C$4:$C$21)</f>
        <v>126.00000000000001</v>
      </c>
      <c r="U519" s="28">
        <f>U517*_xlfn.XLOOKUP($L519,'Balizador da Meta'!$B$4:$B$21,'Balizador da Meta'!$C$4:$C$21)</f>
        <v>126.00000000000001</v>
      </c>
      <c r="V519" s="28">
        <f>V517*_xlfn.XLOOKUP($L519,'Balizador da Meta'!$B$4:$B$21,'Balizador da Meta'!$C$4:$C$21)</f>
        <v>126.00000000000001</v>
      </c>
      <c r="W519" s="28">
        <f>W517*_xlfn.XLOOKUP($L519,'Balizador da Meta'!$B$4:$B$21,'Balizador da Meta'!$C$4:$C$21)</f>
        <v>126.00000000000001</v>
      </c>
      <c r="X519" s="28">
        <f>X517*_xlfn.XLOOKUP($L519,'Balizador da Meta'!$B$4:$B$21,'Balizador da Meta'!$C$4:$C$21)</f>
        <v>126.00000000000001</v>
      </c>
      <c r="Y519" s="28">
        <f>Y517*_xlfn.XLOOKUP($L519,'Balizador da Meta'!$B$4:$B$21,'Balizador da Meta'!$C$4:$C$21)</f>
        <v>126.00000000000001</v>
      </c>
      <c r="Z519" s="30">
        <f t="shared" si="128"/>
        <v>1512.0000000000002</v>
      </c>
      <c r="AA519" s="29"/>
      <c r="AB519" s="31">
        <f>SUMIFS('Historico - FAT'!AK:AK,'Historico - FAT'!$K:$K,Faturamento!$L519,'Historico - FAT'!$I:$I,Faturamento!$J519,'Historico - FAT'!$G:$G,Faturamento!$H519)</f>
        <v>0</v>
      </c>
      <c r="AC519" s="31">
        <f>SUMIFS('Historico - FAT'!AL:AL,'Historico - FAT'!$K:$K,Faturamento!$L519,'Historico - FAT'!$I:$I,Faturamento!$J519,'Historico - FAT'!$G:$G,Faturamento!$H519)</f>
        <v>0</v>
      </c>
      <c r="AD519" s="31">
        <f>SUMIFS('Historico - FAT'!AM:AM,'Historico - FAT'!$K:$K,Faturamento!$L519,'Historico - FAT'!$I:$I,Faturamento!$J519,'Historico - FAT'!$G:$G,Faturamento!$H519)</f>
        <v>0</v>
      </c>
      <c r="AE519" s="27">
        <f>SUMIFS('Historico - FAT'!AN:AN,'Historico - FAT'!$K:$K,Faturamento!$L519,'Historico - FAT'!$I:$I,Faturamento!$J519,'Historico - FAT'!$G:$G,Faturamento!$H519)</f>
        <v>0</v>
      </c>
      <c r="AG519" s="24">
        <f t="shared" si="121"/>
        <v>1</v>
      </c>
      <c r="AH519" s="24">
        <f t="shared" si="122"/>
        <v>1</v>
      </c>
      <c r="AI519" s="24">
        <f t="shared" si="123"/>
        <v>1</v>
      </c>
    </row>
    <row r="520" spans="1:35" hidden="1" x14ac:dyDescent="0.3">
      <c r="A520" s="2" t="str">
        <f t="shared" si="118"/>
        <v>NÃO</v>
      </c>
      <c r="B520" s="2">
        <v>1000184670</v>
      </c>
      <c r="C520" s="2" t="s">
        <v>147</v>
      </c>
      <c r="D520" s="4">
        <v>1000186197</v>
      </c>
      <c r="E520" s="4" t="s">
        <v>166</v>
      </c>
      <c r="F520" s="2">
        <v>1000184757</v>
      </c>
      <c r="G520" s="2" t="s">
        <v>62</v>
      </c>
      <c r="H520" s="4">
        <v>1000189772</v>
      </c>
      <c r="I520" s="4" t="s">
        <v>98</v>
      </c>
      <c r="J520" s="2">
        <v>1000189270</v>
      </c>
      <c r="K520" s="2" t="s">
        <v>34</v>
      </c>
      <c r="L520" s="4" t="s">
        <v>16</v>
      </c>
      <c r="M520" s="4" t="str">
        <f t="shared" si="125"/>
        <v>1000184670100018619710001897721000189270DISNEY</v>
      </c>
      <c r="N520" s="28">
        <f>N517*_xlfn.XLOOKUP($L520,'Balizador da Meta'!$B$4:$B$21,'Balizador da Meta'!$C$4:$C$21)</f>
        <v>144</v>
      </c>
      <c r="O520" s="28">
        <f>O517*_xlfn.XLOOKUP($L520,'Balizador da Meta'!$B$4:$B$21,'Balizador da Meta'!$C$4:$C$21)</f>
        <v>144</v>
      </c>
      <c r="P520" s="28">
        <f>P517*_xlfn.XLOOKUP($L520,'Balizador da Meta'!$B$4:$B$21,'Balizador da Meta'!$C$4:$C$21)</f>
        <v>144</v>
      </c>
      <c r="Q520" s="28">
        <f>Q517*_xlfn.XLOOKUP($L520,'Balizador da Meta'!$B$4:$B$21,'Balizador da Meta'!$C$4:$C$21)</f>
        <v>144</v>
      </c>
      <c r="R520" s="28">
        <f>R517*_xlfn.XLOOKUP($L520,'Balizador da Meta'!$B$4:$B$21,'Balizador da Meta'!$C$4:$C$21)</f>
        <v>144</v>
      </c>
      <c r="S520" s="28">
        <f>S517*_xlfn.XLOOKUP($L520,'Balizador da Meta'!$B$4:$B$21,'Balizador da Meta'!$C$4:$C$21)</f>
        <v>144</v>
      </c>
      <c r="T520" s="28">
        <f>T517*_xlfn.XLOOKUP($L520,'Balizador da Meta'!$B$4:$B$21,'Balizador da Meta'!$C$4:$C$21)</f>
        <v>144</v>
      </c>
      <c r="U520" s="28">
        <f>U517*_xlfn.XLOOKUP($L520,'Balizador da Meta'!$B$4:$B$21,'Balizador da Meta'!$C$4:$C$21)</f>
        <v>144</v>
      </c>
      <c r="V520" s="28">
        <f>V517*_xlfn.XLOOKUP($L520,'Balizador da Meta'!$B$4:$B$21,'Balizador da Meta'!$C$4:$C$21)</f>
        <v>144</v>
      </c>
      <c r="W520" s="28">
        <f>W517*_xlfn.XLOOKUP($L520,'Balizador da Meta'!$B$4:$B$21,'Balizador da Meta'!$C$4:$C$21)</f>
        <v>144</v>
      </c>
      <c r="X520" s="28">
        <f>X517*_xlfn.XLOOKUP($L520,'Balizador da Meta'!$B$4:$B$21,'Balizador da Meta'!$C$4:$C$21)</f>
        <v>144</v>
      </c>
      <c r="Y520" s="28">
        <f>Y517*_xlfn.XLOOKUP($L520,'Balizador da Meta'!$B$4:$B$21,'Balizador da Meta'!$C$4:$C$21)</f>
        <v>144</v>
      </c>
      <c r="Z520" s="30">
        <f t="shared" si="128"/>
        <v>1728</v>
      </c>
      <c r="AA520" s="29"/>
      <c r="AB520" s="31">
        <f>SUMIFS('Historico - FAT'!AK:AK,'Historico - FAT'!$K:$K,Faturamento!$L520,'Historico - FAT'!$I:$I,Faturamento!$J520,'Historico - FAT'!$G:$G,Faturamento!$H520)</f>
        <v>0</v>
      </c>
      <c r="AC520" s="31">
        <f>SUMIFS('Historico - FAT'!AL:AL,'Historico - FAT'!$K:$K,Faturamento!$L520,'Historico - FAT'!$I:$I,Faturamento!$J520,'Historico - FAT'!$G:$G,Faturamento!$H520)</f>
        <v>47.75</v>
      </c>
      <c r="AD520" s="31">
        <f>SUMIFS('Historico - FAT'!AM:AM,'Historico - FAT'!$K:$K,Faturamento!$L520,'Historico - FAT'!$I:$I,Faturamento!$J520,'Historico - FAT'!$G:$G,Faturamento!$H520)</f>
        <v>0</v>
      </c>
      <c r="AE520" s="27">
        <f>SUMIFS('Historico - FAT'!AN:AN,'Historico - FAT'!$K:$K,Faturamento!$L520,'Historico - FAT'!$I:$I,Faturamento!$J520,'Historico - FAT'!$G:$G,Faturamento!$H520)</f>
        <v>57.3</v>
      </c>
      <c r="AG520" s="24">
        <f t="shared" si="121"/>
        <v>1</v>
      </c>
      <c r="AH520" s="24">
        <f t="shared" si="122"/>
        <v>0.66840277777777779</v>
      </c>
      <c r="AI520" s="24">
        <f t="shared" si="123"/>
        <v>1</v>
      </c>
    </row>
    <row r="521" spans="1:35" hidden="1" x14ac:dyDescent="0.3">
      <c r="A521" s="2" t="str">
        <f t="shared" si="118"/>
        <v>NÃO</v>
      </c>
      <c r="B521" s="2">
        <v>1000184670</v>
      </c>
      <c r="C521" s="2" t="s">
        <v>147</v>
      </c>
      <c r="D521" s="4">
        <v>1000186197</v>
      </c>
      <c r="E521" s="4" t="s">
        <v>166</v>
      </c>
      <c r="F521" s="2">
        <v>1000184757</v>
      </c>
      <c r="G521" s="2" t="s">
        <v>62</v>
      </c>
      <c r="H521" s="4">
        <v>1000189772</v>
      </c>
      <c r="I521" s="4" t="s">
        <v>98</v>
      </c>
      <c r="J521" s="2">
        <v>1000189270</v>
      </c>
      <c r="K521" s="2" t="s">
        <v>34</v>
      </c>
      <c r="L521" s="4" t="s">
        <v>15</v>
      </c>
      <c r="M521" s="4" t="str">
        <f t="shared" si="125"/>
        <v>1000184670100018619710001897721000189270DOCES</v>
      </c>
      <c r="N521" s="28">
        <f>N517*_xlfn.XLOOKUP($L521,'Balizador da Meta'!$B$4:$B$21,'Balizador da Meta'!$C$4:$C$21)</f>
        <v>162</v>
      </c>
      <c r="O521" s="28">
        <f>O517*_xlfn.XLOOKUP($L521,'Balizador da Meta'!$B$4:$B$21,'Balizador da Meta'!$C$4:$C$21)</f>
        <v>162</v>
      </c>
      <c r="P521" s="28">
        <f>P517*_xlfn.XLOOKUP($L521,'Balizador da Meta'!$B$4:$B$21,'Balizador da Meta'!$C$4:$C$21)</f>
        <v>162</v>
      </c>
      <c r="Q521" s="28">
        <f>Q517*_xlfn.XLOOKUP($L521,'Balizador da Meta'!$B$4:$B$21,'Balizador da Meta'!$C$4:$C$21)</f>
        <v>162</v>
      </c>
      <c r="R521" s="28">
        <f>R517*_xlfn.XLOOKUP($L521,'Balizador da Meta'!$B$4:$B$21,'Balizador da Meta'!$C$4:$C$21)</f>
        <v>162</v>
      </c>
      <c r="S521" s="28">
        <f>S517*_xlfn.XLOOKUP($L521,'Balizador da Meta'!$B$4:$B$21,'Balizador da Meta'!$C$4:$C$21)</f>
        <v>162</v>
      </c>
      <c r="T521" s="28">
        <f>T517*_xlfn.XLOOKUP($L521,'Balizador da Meta'!$B$4:$B$21,'Balizador da Meta'!$C$4:$C$21)</f>
        <v>162</v>
      </c>
      <c r="U521" s="28">
        <f>U517*_xlfn.XLOOKUP($L521,'Balizador da Meta'!$B$4:$B$21,'Balizador da Meta'!$C$4:$C$21)</f>
        <v>162</v>
      </c>
      <c r="V521" s="28">
        <f>V517*_xlfn.XLOOKUP($L521,'Balizador da Meta'!$B$4:$B$21,'Balizador da Meta'!$C$4:$C$21)</f>
        <v>162</v>
      </c>
      <c r="W521" s="28">
        <f>W517*_xlfn.XLOOKUP($L521,'Balizador da Meta'!$B$4:$B$21,'Balizador da Meta'!$C$4:$C$21)</f>
        <v>162</v>
      </c>
      <c r="X521" s="28">
        <f>X517*_xlfn.XLOOKUP($L521,'Balizador da Meta'!$B$4:$B$21,'Balizador da Meta'!$C$4:$C$21)</f>
        <v>162</v>
      </c>
      <c r="Y521" s="28">
        <f>Y517*_xlfn.XLOOKUP($L521,'Balizador da Meta'!$B$4:$B$21,'Balizador da Meta'!$C$4:$C$21)</f>
        <v>162</v>
      </c>
      <c r="Z521" s="30">
        <f t="shared" si="128"/>
        <v>1944</v>
      </c>
      <c r="AA521" s="29"/>
      <c r="AB521" s="31">
        <f>SUMIFS('Historico - FAT'!AK:AK,'Historico - FAT'!$K:$K,Faturamento!$L521,'Historico - FAT'!$I:$I,Faturamento!$J521,'Historico - FAT'!$G:$G,Faturamento!$H521)</f>
        <v>40.37166666666667</v>
      </c>
      <c r="AC521" s="31">
        <f>SUMIFS('Historico - FAT'!AL:AL,'Historico - FAT'!$K:$K,Faturamento!$L521,'Historico - FAT'!$I:$I,Faturamento!$J521,'Historico - FAT'!$G:$G,Faturamento!$H521)</f>
        <v>8.9683333333333337</v>
      </c>
      <c r="AD521" s="31">
        <f>SUMIFS('Historico - FAT'!AM:AM,'Historico - FAT'!$K:$K,Faturamento!$L521,'Historico - FAT'!$I:$I,Faturamento!$J521,'Historico - FAT'!$G:$G,Faturamento!$H521)</f>
        <v>0</v>
      </c>
      <c r="AE521" s="27">
        <f>SUMIFS('Historico - FAT'!AN:AN,'Historico - FAT'!$K:$K,Faturamento!$L521,'Historico - FAT'!$I:$I,Faturamento!$J521,'Historico - FAT'!$G:$G,Faturamento!$H521)</f>
        <v>10.762</v>
      </c>
      <c r="AG521" s="24">
        <f t="shared" si="121"/>
        <v>0.75079218106995882</v>
      </c>
      <c r="AH521" s="24">
        <f t="shared" si="122"/>
        <v>0.94463991769547329</v>
      </c>
      <c r="AI521" s="24">
        <f t="shared" si="123"/>
        <v>1</v>
      </c>
    </row>
    <row r="522" spans="1:35" hidden="1" x14ac:dyDescent="0.3">
      <c r="A522" s="2" t="str">
        <f t="shared" si="118"/>
        <v>NÃO</v>
      </c>
      <c r="B522" s="2">
        <v>1000184670</v>
      </c>
      <c r="C522" s="2" t="s">
        <v>147</v>
      </c>
      <c r="D522" s="4">
        <v>1000186197</v>
      </c>
      <c r="E522" s="4" t="s">
        <v>166</v>
      </c>
      <c r="F522" s="2">
        <v>1000184757</v>
      </c>
      <c r="G522" s="2" t="s">
        <v>62</v>
      </c>
      <c r="H522" s="4">
        <v>1000189772</v>
      </c>
      <c r="I522" s="4" t="s">
        <v>98</v>
      </c>
      <c r="J522" s="2">
        <v>1000189270</v>
      </c>
      <c r="K522" s="2" t="s">
        <v>34</v>
      </c>
      <c r="L522" s="4" t="s">
        <v>33</v>
      </c>
      <c r="M522" s="4" t="str">
        <f t="shared" si="125"/>
        <v>1000184670100018619710001897721000189270FOOD SERVICE</v>
      </c>
      <c r="N522" s="28">
        <f>N517*_xlfn.XLOOKUP($L522,'Balizador da Meta'!$B$4:$B$21,'Balizador da Meta'!$C$4:$C$21)</f>
        <v>0</v>
      </c>
      <c r="O522" s="28">
        <f>O517*_xlfn.XLOOKUP($L522,'Balizador da Meta'!$B$4:$B$21,'Balizador da Meta'!$C$4:$C$21)</f>
        <v>0</v>
      </c>
      <c r="P522" s="28">
        <f>P517*_xlfn.XLOOKUP($L522,'Balizador da Meta'!$B$4:$B$21,'Balizador da Meta'!$C$4:$C$21)</f>
        <v>0</v>
      </c>
      <c r="Q522" s="28">
        <f>Q517*_xlfn.XLOOKUP($L522,'Balizador da Meta'!$B$4:$B$21,'Balizador da Meta'!$C$4:$C$21)</f>
        <v>0</v>
      </c>
      <c r="R522" s="28">
        <f>R517*_xlfn.XLOOKUP($L522,'Balizador da Meta'!$B$4:$B$21,'Balizador da Meta'!$C$4:$C$21)</f>
        <v>0</v>
      </c>
      <c r="S522" s="28">
        <f>S517*_xlfn.XLOOKUP($L522,'Balizador da Meta'!$B$4:$B$21,'Balizador da Meta'!$C$4:$C$21)</f>
        <v>0</v>
      </c>
      <c r="T522" s="28">
        <f>T517*_xlfn.XLOOKUP($L522,'Balizador da Meta'!$B$4:$B$21,'Balizador da Meta'!$C$4:$C$21)</f>
        <v>0</v>
      </c>
      <c r="U522" s="28">
        <f>U517*_xlfn.XLOOKUP($L522,'Balizador da Meta'!$B$4:$B$21,'Balizador da Meta'!$C$4:$C$21)</f>
        <v>0</v>
      </c>
      <c r="V522" s="28">
        <f>V517*_xlfn.XLOOKUP($L522,'Balizador da Meta'!$B$4:$B$21,'Balizador da Meta'!$C$4:$C$21)</f>
        <v>0</v>
      </c>
      <c r="W522" s="28">
        <f>W517*_xlfn.XLOOKUP($L522,'Balizador da Meta'!$B$4:$B$21,'Balizador da Meta'!$C$4:$C$21)</f>
        <v>0</v>
      </c>
      <c r="X522" s="28">
        <f>X517*_xlfn.XLOOKUP($L522,'Balizador da Meta'!$B$4:$B$21,'Balizador da Meta'!$C$4:$C$21)</f>
        <v>0</v>
      </c>
      <c r="Y522" s="28">
        <f>Y517*_xlfn.XLOOKUP($L522,'Balizador da Meta'!$B$4:$B$21,'Balizador da Meta'!$C$4:$C$21)</f>
        <v>0</v>
      </c>
      <c r="Z522" s="30">
        <f t="shared" si="128"/>
        <v>0</v>
      </c>
      <c r="AA522" s="29"/>
      <c r="AB522" s="31">
        <f>SUMIFS('Historico - FAT'!AK:AK,'Historico - FAT'!$K:$K,Faturamento!$L522,'Historico - FAT'!$I:$I,Faturamento!$J522,'Historico - FAT'!$G:$G,Faturamento!$H522)</f>
        <v>0</v>
      </c>
      <c r="AC522" s="31">
        <f>SUMIFS('Historico - FAT'!AL:AL,'Historico - FAT'!$K:$K,Faturamento!$L522,'Historico - FAT'!$I:$I,Faturamento!$J522,'Historico - FAT'!$G:$G,Faturamento!$H522)</f>
        <v>0</v>
      </c>
      <c r="AD522" s="31">
        <f>SUMIFS('Historico - FAT'!AM:AM,'Historico - FAT'!$K:$K,Faturamento!$L522,'Historico - FAT'!$I:$I,Faturamento!$J522,'Historico - FAT'!$G:$G,Faturamento!$H522)</f>
        <v>0</v>
      </c>
      <c r="AE522" s="27">
        <f>SUMIFS('Historico - FAT'!AN:AN,'Historico - FAT'!$K:$K,Faturamento!$L522,'Historico - FAT'!$I:$I,Faturamento!$J522,'Historico - FAT'!$G:$G,Faturamento!$H522)</f>
        <v>0</v>
      </c>
      <c r="AG522" s="24" t="str">
        <f t="shared" si="121"/>
        <v/>
      </c>
      <c r="AH522" s="24" t="str">
        <f t="shared" si="122"/>
        <v/>
      </c>
      <c r="AI522" s="24" t="str">
        <f t="shared" si="123"/>
        <v/>
      </c>
    </row>
    <row r="523" spans="1:35" hidden="1" x14ac:dyDescent="0.3">
      <c r="A523" s="2" t="str">
        <f t="shared" si="118"/>
        <v>NÃO</v>
      </c>
      <c r="B523" s="2">
        <v>1000184670</v>
      </c>
      <c r="C523" s="2" t="s">
        <v>147</v>
      </c>
      <c r="D523" s="4">
        <v>1000186197</v>
      </c>
      <c r="E523" s="4" t="s">
        <v>166</v>
      </c>
      <c r="F523" s="2">
        <v>1000184757</v>
      </c>
      <c r="G523" s="2" t="s">
        <v>62</v>
      </c>
      <c r="H523" s="4">
        <v>1000189772</v>
      </c>
      <c r="I523" s="4" t="s">
        <v>98</v>
      </c>
      <c r="J523" s="2">
        <v>1000189270</v>
      </c>
      <c r="K523" s="2" t="s">
        <v>34</v>
      </c>
      <c r="L523" s="4" t="s">
        <v>19</v>
      </c>
      <c r="M523" s="4" t="str">
        <f t="shared" si="125"/>
        <v>1000184670100018619710001897721000189270GELEIA</v>
      </c>
      <c r="N523" s="28">
        <f>N517*_xlfn.XLOOKUP($L523,'Balizador da Meta'!$B$4:$B$21,'Balizador da Meta'!$C$4:$C$21)</f>
        <v>35.999999999999993</v>
      </c>
      <c r="O523" s="28">
        <f>O517*_xlfn.XLOOKUP($L523,'Balizador da Meta'!$B$4:$B$21,'Balizador da Meta'!$C$4:$C$21)</f>
        <v>35.999999999999993</v>
      </c>
      <c r="P523" s="28">
        <f>P517*_xlfn.XLOOKUP($L523,'Balizador da Meta'!$B$4:$B$21,'Balizador da Meta'!$C$4:$C$21)</f>
        <v>35.999999999999993</v>
      </c>
      <c r="Q523" s="28">
        <f>Q517*_xlfn.XLOOKUP($L523,'Balizador da Meta'!$B$4:$B$21,'Balizador da Meta'!$C$4:$C$21)</f>
        <v>35.999999999999993</v>
      </c>
      <c r="R523" s="28">
        <f>R517*_xlfn.XLOOKUP($L523,'Balizador da Meta'!$B$4:$B$21,'Balizador da Meta'!$C$4:$C$21)</f>
        <v>35.999999999999993</v>
      </c>
      <c r="S523" s="28">
        <f>S517*_xlfn.XLOOKUP($L523,'Balizador da Meta'!$B$4:$B$21,'Balizador da Meta'!$C$4:$C$21)</f>
        <v>35.999999999999993</v>
      </c>
      <c r="T523" s="28">
        <f>T517*_xlfn.XLOOKUP($L523,'Balizador da Meta'!$B$4:$B$21,'Balizador da Meta'!$C$4:$C$21)</f>
        <v>35.999999999999993</v>
      </c>
      <c r="U523" s="28">
        <f>U517*_xlfn.XLOOKUP($L523,'Balizador da Meta'!$B$4:$B$21,'Balizador da Meta'!$C$4:$C$21)</f>
        <v>35.999999999999993</v>
      </c>
      <c r="V523" s="28">
        <f>V517*_xlfn.XLOOKUP($L523,'Balizador da Meta'!$B$4:$B$21,'Balizador da Meta'!$C$4:$C$21)</f>
        <v>35.999999999999993</v>
      </c>
      <c r="W523" s="28">
        <f>W517*_xlfn.XLOOKUP($L523,'Balizador da Meta'!$B$4:$B$21,'Balizador da Meta'!$C$4:$C$21)</f>
        <v>35.999999999999993</v>
      </c>
      <c r="X523" s="28">
        <f>X517*_xlfn.XLOOKUP($L523,'Balizador da Meta'!$B$4:$B$21,'Balizador da Meta'!$C$4:$C$21)</f>
        <v>35.999999999999993</v>
      </c>
      <c r="Y523" s="28">
        <f>Y517*_xlfn.XLOOKUP($L523,'Balizador da Meta'!$B$4:$B$21,'Balizador da Meta'!$C$4:$C$21)</f>
        <v>35.999999999999993</v>
      </c>
      <c r="Z523" s="30">
        <f t="shared" si="128"/>
        <v>431.99999999999994</v>
      </c>
      <c r="AA523" s="29"/>
      <c r="AB523" s="31">
        <f>SUMIFS('Historico - FAT'!AK:AK,'Historico - FAT'!$K:$K,Faturamento!$L523,'Historico - FAT'!$I:$I,Faturamento!$J523,'Historico - FAT'!$G:$G,Faturamento!$H523)</f>
        <v>0</v>
      </c>
      <c r="AC523" s="31">
        <f>SUMIFS('Historico - FAT'!AL:AL,'Historico - FAT'!$K:$K,Faturamento!$L523,'Historico - FAT'!$I:$I,Faturamento!$J523,'Historico - FAT'!$G:$G,Faturamento!$H523)</f>
        <v>0</v>
      </c>
      <c r="AD523" s="31">
        <f>SUMIFS('Historico - FAT'!AM:AM,'Historico - FAT'!$K:$K,Faturamento!$L523,'Historico - FAT'!$I:$I,Faturamento!$J523,'Historico - FAT'!$G:$G,Faturamento!$H523)</f>
        <v>0</v>
      </c>
      <c r="AE523" s="27">
        <f>SUMIFS('Historico - FAT'!AN:AN,'Historico - FAT'!$K:$K,Faturamento!$L523,'Historico - FAT'!$I:$I,Faturamento!$J523,'Historico - FAT'!$G:$G,Faturamento!$H523)</f>
        <v>0</v>
      </c>
      <c r="AG523" s="24">
        <f t="shared" si="121"/>
        <v>1</v>
      </c>
      <c r="AH523" s="24">
        <f t="shared" si="122"/>
        <v>1</v>
      </c>
      <c r="AI523" s="24">
        <f t="shared" si="123"/>
        <v>1</v>
      </c>
    </row>
    <row r="524" spans="1:35" hidden="1" x14ac:dyDescent="0.3">
      <c r="A524" s="2" t="str">
        <f t="shared" si="118"/>
        <v>NÃO</v>
      </c>
      <c r="B524" s="2">
        <v>1000184670</v>
      </c>
      <c r="C524" s="2" t="s">
        <v>147</v>
      </c>
      <c r="D524" s="4">
        <v>1000186197</v>
      </c>
      <c r="E524" s="4" t="s">
        <v>166</v>
      </c>
      <c r="F524" s="2">
        <v>1000184757</v>
      </c>
      <c r="G524" s="2" t="s">
        <v>62</v>
      </c>
      <c r="H524" s="4">
        <v>1000189772</v>
      </c>
      <c r="I524" s="4" t="s">
        <v>98</v>
      </c>
      <c r="J524" s="2">
        <v>1000189270</v>
      </c>
      <c r="K524" s="2" t="s">
        <v>34</v>
      </c>
      <c r="L524" s="4" t="s">
        <v>17</v>
      </c>
      <c r="M524" s="4" t="str">
        <f t="shared" si="125"/>
        <v>1000184670100018619710001897721000189270GRANOLA</v>
      </c>
      <c r="N524" s="28">
        <f>N517*_xlfn.XLOOKUP($L524,'Balizador da Meta'!$B$4:$B$21,'Balizador da Meta'!$C$4:$C$21)</f>
        <v>36</v>
      </c>
      <c r="O524" s="28">
        <f>O517*_xlfn.XLOOKUP($L524,'Balizador da Meta'!$B$4:$B$21,'Balizador da Meta'!$C$4:$C$21)</f>
        <v>36</v>
      </c>
      <c r="P524" s="28">
        <f>P517*_xlfn.XLOOKUP($L524,'Balizador da Meta'!$B$4:$B$21,'Balizador da Meta'!$C$4:$C$21)</f>
        <v>36</v>
      </c>
      <c r="Q524" s="28">
        <f>Q517*_xlfn.XLOOKUP($L524,'Balizador da Meta'!$B$4:$B$21,'Balizador da Meta'!$C$4:$C$21)</f>
        <v>36</v>
      </c>
      <c r="R524" s="28">
        <f>R517*_xlfn.XLOOKUP($L524,'Balizador da Meta'!$B$4:$B$21,'Balizador da Meta'!$C$4:$C$21)</f>
        <v>36</v>
      </c>
      <c r="S524" s="28">
        <f>S517*_xlfn.XLOOKUP($L524,'Balizador da Meta'!$B$4:$B$21,'Balizador da Meta'!$C$4:$C$21)</f>
        <v>36</v>
      </c>
      <c r="T524" s="28">
        <f>T517*_xlfn.XLOOKUP($L524,'Balizador da Meta'!$B$4:$B$21,'Balizador da Meta'!$C$4:$C$21)</f>
        <v>36</v>
      </c>
      <c r="U524" s="28">
        <f>U517*_xlfn.XLOOKUP($L524,'Balizador da Meta'!$B$4:$B$21,'Balizador da Meta'!$C$4:$C$21)</f>
        <v>36</v>
      </c>
      <c r="V524" s="28">
        <f>V517*_xlfn.XLOOKUP($L524,'Balizador da Meta'!$B$4:$B$21,'Balizador da Meta'!$C$4:$C$21)</f>
        <v>36</v>
      </c>
      <c r="W524" s="28">
        <f>W517*_xlfn.XLOOKUP($L524,'Balizador da Meta'!$B$4:$B$21,'Balizador da Meta'!$C$4:$C$21)</f>
        <v>36</v>
      </c>
      <c r="X524" s="28">
        <f>X517*_xlfn.XLOOKUP($L524,'Balizador da Meta'!$B$4:$B$21,'Balizador da Meta'!$C$4:$C$21)</f>
        <v>36</v>
      </c>
      <c r="Y524" s="28">
        <f>Y517*_xlfn.XLOOKUP($L524,'Balizador da Meta'!$B$4:$B$21,'Balizador da Meta'!$C$4:$C$21)</f>
        <v>36</v>
      </c>
      <c r="Z524" s="30">
        <f t="shared" si="128"/>
        <v>432</v>
      </c>
      <c r="AA524" s="29"/>
      <c r="AB524" s="31">
        <f>SUMIFS('Historico - FAT'!AK:AK,'Historico - FAT'!$K:$K,Faturamento!$L524,'Historico - FAT'!$I:$I,Faturamento!$J524,'Historico - FAT'!$G:$G,Faturamento!$H524)</f>
        <v>9.5</v>
      </c>
      <c r="AC524" s="31">
        <f>SUMIFS('Historico - FAT'!AL:AL,'Historico - FAT'!$K:$K,Faturamento!$L524,'Historico - FAT'!$I:$I,Faturamento!$J524,'Historico - FAT'!$G:$G,Faturamento!$H524)</f>
        <v>0</v>
      </c>
      <c r="AD524" s="31">
        <f>SUMIFS('Historico - FAT'!AM:AM,'Historico - FAT'!$K:$K,Faturamento!$L524,'Historico - FAT'!$I:$I,Faturamento!$J524,'Historico - FAT'!$G:$G,Faturamento!$H524)</f>
        <v>0</v>
      </c>
      <c r="AE524" s="27">
        <f>SUMIFS('Historico - FAT'!AN:AN,'Historico - FAT'!$K:$K,Faturamento!$L524,'Historico - FAT'!$I:$I,Faturamento!$J524,'Historico - FAT'!$G:$G,Faturamento!$H524)</f>
        <v>0</v>
      </c>
      <c r="AG524" s="24">
        <f t="shared" si="121"/>
        <v>0.73611111111111116</v>
      </c>
      <c r="AH524" s="24">
        <f t="shared" si="122"/>
        <v>1</v>
      </c>
      <c r="AI524" s="24">
        <f t="shared" si="123"/>
        <v>1</v>
      </c>
    </row>
    <row r="525" spans="1:35" hidden="1" x14ac:dyDescent="0.3">
      <c r="A525" s="2" t="str">
        <f t="shared" si="118"/>
        <v>NÃO</v>
      </c>
      <c r="B525" s="2">
        <v>1000184670</v>
      </c>
      <c r="C525" s="2" t="s">
        <v>147</v>
      </c>
      <c r="D525" s="4">
        <v>1000186197</v>
      </c>
      <c r="E525" s="4" t="s">
        <v>166</v>
      </c>
      <c r="F525" s="2">
        <v>1000184757</v>
      </c>
      <c r="G525" s="2" t="s">
        <v>62</v>
      </c>
      <c r="H525" s="4">
        <v>1000189772</v>
      </c>
      <c r="I525" s="4" t="s">
        <v>98</v>
      </c>
      <c r="J525" s="2">
        <v>1000189270</v>
      </c>
      <c r="K525" s="2" t="s">
        <v>34</v>
      </c>
      <c r="L525" s="4" t="s">
        <v>24</v>
      </c>
      <c r="M525" s="4" t="str">
        <f t="shared" si="125"/>
        <v>1000184670100018619710001897721000189270KIDS</v>
      </c>
      <c r="N525" s="28">
        <f>N517*_xlfn.XLOOKUP($L525,'Balizador da Meta'!$B$4:$B$21,'Balizador da Meta'!$C$4:$C$21)</f>
        <v>0</v>
      </c>
      <c r="O525" s="28">
        <f>O517*_xlfn.XLOOKUP($L525,'Balizador da Meta'!$B$4:$B$21,'Balizador da Meta'!$C$4:$C$21)</f>
        <v>0</v>
      </c>
      <c r="P525" s="28">
        <f>P517*_xlfn.XLOOKUP($L525,'Balizador da Meta'!$B$4:$B$21,'Balizador da Meta'!$C$4:$C$21)</f>
        <v>0</v>
      </c>
      <c r="Q525" s="28">
        <f>Q517*_xlfn.XLOOKUP($L525,'Balizador da Meta'!$B$4:$B$21,'Balizador da Meta'!$C$4:$C$21)</f>
        <v>0</v>
      </c>
      <c r="R525" s="28">
        <f>R517*_xlfn.XLOOKUP($L525,'Balizador da Meta'!$B$4:$B$21,'Balizador da Meta'!$C$4:$C$21)</f>
        <v>0</v>
      </c>
      <c r="S525" s="28">
        <f>S517*_xlfn.XLOOKUP($L525,'Balizador da Meta'!$B$4:$B$21,'Balizador da Meta'!$C$4:$C$21)</f>
        <v>0</v>
      </c>
      <c r="T525" s="28">
        <f>T517*_xlfn.XLOOKUP($L525,'Balizador da Meta'!$B$4:$B$21,'Balizador da Meta'!$C$4:$C$21)</f>
        <v>0</v>
      </c>
      <c r="U525" s="28">
        <f>U517*_xlfn.XLOOKUP($L525,'Balizador da Meta'!$B$4:$B$21,'Balizador da Meta'!$C$4:$C$21)</f>
        <v>0</v>
      </c>
      <c r="V525" s="28">
        <f>V517*_xlfn.XLOOKUP($L525,'Balizador da Meta'!$B$4:$B$21,'Balizador da Meta'!$C$4:$C$21)</f>
        <v>0</v>
      </c>
      <c r="W525" s="28">
        <f>W517*_xlfn.XLOOKUP($L525,'Balizador da Meta'!$B$4:$B$21,'Balizador da Meta'!$C$4:$C$21)</f>
        <v>0</v>
      </c>
      <c r="X525" s="28">
        <f>X517*_xlfn.XLOOKUP($L525,'Balizador da Meta'!$B$4:$B$21,'Balizador da Meta'!$C$4:$C$21)</f>
        <v>0</v>
      </c>
      <c r="Y525" s="28">
        <f>Y517*_xlfn.XLOOKUP($L525,'Balizador da Meta'!$B$4:$B$21,'Balizador da Meta'!$C$4:$C$21)</f>
        <v>0</v>
      </c>
      <c r="Z525" s="30">
        <f t="shared" si="128"/>
        <v>0</v>
      </c>
      <c r="AA525" s="29"/>
      <c r="AB525" s="31">
        <f>SUMIFS('Historico - FAT'!AK:AK,'Historico - FAT'!$K:$K,Faturamento!$L525,'Historico - FAT'!$I:$I,Faturamento!$J525,'Historico - FAT'!$G:$G,Faturamento!$H525)</f>
        <v>80.015833333333333</v>
      </c>
      <c r="AC525" s="31">
        <f>SUMIFS('Historico - FAT'!AL:AL,'Historico - FAT'!$K:$K,Faturamento!$L525,'Historico - FAT'!$I:$I,Faturamento!$J525,'Historico - FAT'!$G:$G,Faturamento!$H525)</f>
        <v>21.6875</v>
      </c>
      <c r="AD525" s="31">
        <f>SUMIFS('Historico - FAT'!AM:AM,'Historico - FAT'!$K:$K,Faturamento!$L525,'Historico - FAT'!$I:$I,Faturamento!$J525,'Historico - FAT'!$G:$G,Faturamento!$H525)</f>
        <v>0</v>
      </c>
      <c r="AE525" s="27">
        <f>SUMIFS('Historico - FAT'!AN:AN,'Historico - FAT'!$K:$K,Faturamento!$L525,'Historico - FAT'!$I:$I,Faturamento!$J525,'Historico - FAT'!$G:$G,Faturamento!$H525)</f>
        <v>26.024999999999999</v>
      </c>
      <c r="AG525" s="24" t="str">
        <f t="shared" si="121"/>
        <v/>
      </c>
      <c r="AH525" s="24" t="str">
        <f t="shared" si="122"/>
        <v/>
      </c>
      <c r="AI525" s="24" t="str">
        <f t="shared" si="123"/>
        <v/>
      </c>
    </row>
    <row r="526" spans="1:35" hidden="1" x14ac:dyDescent="0.3">
      <c r="A526" s="2" t="str">
        <f t="shared" si="118"/>
        <v>NÃO</v>
      </c>
      <c r="B526" s="2">
        <v>1000184670</v>
      </c>
      <c r="C526" s="2" t="s">
        <v>147</v>
      </c>
      <c r="D526" s="4">
        <v>1000186197</v>
      </c>
      <c r="E526" s="4" t="s">
        <v>166</v>
      </c>
      <c r="F526" s="2">
        <v>1000184757</v>
      </c>
      <c r="G526" s="2" t="s">
        <v>62</v>
      </c>
      <c r="H526" s="4">
        <v>1000189772</v>
      </c>
      <c r="I526" s="4" t="s">
        <v>98</v>
      </c>
      <c r="J526" s="2">
        <v>1000189270</v>
      </c>
      <c r="K526" s="2" t="s">
        <v>34</v>
      </c>
      <c r="L526" s="4" t="s">
        <v>18</v>
      </c>
      <c r="M526" s="4" t="str">
        <f t="shared" si="125"/>
        <v>1000184670100018619710001897721000189270LANCHES</v>
      </c>
      <c r="N526" s="28">
        <f>N517*_xlfn.XLOOKUP($L526,'Balizador da Meta'!$B$4:$B$21,'Balizador da Meta'!$C$4:$C$21)</f>
        <v>18</v>
      </c>
      <c r="O526" s="28">
        <f>O517*_xlfn.XLOOKUP($L526,'Balizador da Meta'!$B$4:$B$21,'Balizador da Meta'!$C$4:$C$21)</f>
        <v>18</v>
      </c>
      <c r="P526" s="28">
        <f>P517*_xlfn.XLOOKUP($L526,'Balizador da Meta'!$B$4:$B$21,'Balizador da Meta'!$C$4:$C$21)</f>
        <v>18</v>
      </c>
      <c r="Q526" s="28">
        <f>Q517*_xlfn.XLOOKUP($L526,'Balizador da Meta'!$B$4:$B$21,'Balizador da Meta'!$C$4:$C$21)</f>
        <v>18</v>
      </c>
      <c r="R526" s="28">
        <f>R517*_xlfn.XLOOKUP($L526,'Balizador da Meta'!$B$4:$B$21,'Balizador da Meta'!$C$4:$C$21)</f>
        <v>18</v>
      </c>
      <c r="S526" s="28">
        <f>S517*_xlfn.XLOOKUP($L526,'Balizador da Meta'!$B$4:$B$21,'Balizador da Meta'!$C$4:$C$21)</f>
        <v>18</v>
      </c>
      <c r="T526" s="28">
        <f>T517*_xlfn.XLOOKUP($L526,'Balizador da Meta'!$B$4:$B$21,'Balizador da Meta'!$C$4:$C$21)</f>
        <v>18</v>
      </c>
      <c r="U526" s="28">
        <f>U517*_xlfn.XLOOKUP($L526,'Balizador da Meta'!$B$4:$B$21,'Balizador da Meta'!$C$4:$C$21)</f>
        <v>18</v>
      </c>
      <c r="V526" s="28">
        <f>V517*_xlfn.XLOOKUP($L526,'Balizador da Meta'!$B$4:$B$21,'Balizador da Meta'!$C$4:$C$21)</f>
        <v>18</v>
      </c>
      <c r="W526" s="28">
        <f>W517*_xlfn.XLOOKUP($L526,'Balizador da Meta'!$B$4:$B$21,'Balizador da Meta'!$C$4:$C$21)</f>
        <v>18</v>
      </c>
      <c r="X526" s="28">
        <f>X517*_xlfn.XLOOKUP($L526,'Balizador da Meta'!$B$4:$B$21,'Balizador da Meta'!$C$4:$C$21)</f>
        <v>18</v>
      </c>
      <c r="Y526" s="28">
        <f>Y517*_xlfn.XLOOKUP($L526,'Balizador da Meta'!$B$4:$B$21,'Balizador da Meta'!$C$4:$C$21)</f>
        <v>18</v>
      </c>
      <c r="Z526" s="30">
        <f t="shared" si="128"/>
        <v>216</v>
      </c>
      <c r="AA526" s="29"/>
      <c r="AB526" s="31">
        <f>SUMIFS('Historico - FAT'!AK:AK,'Historico - FAT'!$K:$K,Faturamento!$L526,'Historico - FAT'!$I:$I,Faturamento!$J526,'Historico - FAT'!$G:$G,Faturamento!$H526)</f>
        <v>30.084999999999997</v>
      </c>
      <c r="AC526" s="31">
        <f>SUMIFS('Historico - FAT'!AL:AL,'Historico - FAT'!$K:$K,Faturamento!$L526,'Historico - FAT'!$I:$I,Faturamento!$J526,'Historico - FAT'!$G:$G,Faturamento!$H526)</f>
        <v>0</v>
      </c>
      <c r="AD526" s="31">
        <f>SUMIFS('Historico - FAT'!AM:AM,'Historico - FAT'!$K:$K,Faturamento!$L526,'Historico - FAT'!$I:$I,Faturamento!$J526,'Historico - FAT'!$G:$G,Faturamento!$H526)</f>
        <v>0</v>
      </c>
      <c r="AE526" s="27">
        <f>SUMIFS('Historico - FAT'!AN:AN,'Historico - FAT'!$K:$K,Faturamento!$L526,'Historico - FAT'!$I:$I,Faturamento!$J526,'Historico - FAT'!$G:$G,Faturamento!$H526)</f>
        <v>0</v>
      </c>
      <c r="AG526" s="24">
        <f t="shared" si="121"/>
        <v>-0.6713888888888887</v>
      </c>
      <c r="AH526" s="24">
        <f t="shared" si="122"/>
        <v>1</v>
      </c>
      <c r="AI526" s="24">
        <f t="shared" si="123"/>
        <v>1</v>
      </c>
    </row>
    <row r="527" spans="1:35" hidden="1" x14ac:dyDescent="0.3">
      <c r="A527" s="2" t="str">
        <f t="shared" si="118"/>
        <v>NÃO</v>
      </c>
      <c r="B527" s="2">
        <v>1000184670</v>
      </c>
      <c r="C527" s="2" t="s">
        <v>147</v>
      </c>
      <c r="D527" s="4">
        <v>1000186197</v>
      </c>
      <c r="E527" s="4" t="s">
        <v>166</v>
      </c>
      <c r="F527" s="2">
        <v>1000184757</v>
      </c>
      <c r="G527" s="2" t="s">
        <v>62</v>
      </c>
      <c r="H527" s="4">
        <v>1000189772</v>
      </c>
      <c r="I527" s="4" t="s">
        <v>98</v>
      </c>
      <c r="J527" s="2">
        <v>1000189270</v>
      </c>
      <c r="K527" s="2" t="s">
        <v>34</v>
      </c>
      <c r="L527" s="4" t="s">
        <v>29</v>
      </c>
      <c r="M527" s="4" t="str">
        <f t="shared" si="125"/>
        <v>1000184670100018619710001897721000189270MAIS GRANEL</v>
      </c>
      <c r="N527" s="28">
        <f>N517*_xlfn.XLOOKUP($L527,'Balizador da Meta'!$B$4:$B$21,'Balizador da Meta'!$C$4:$C$21)</f>
        <v>576</v>
      </c>
      <c r="O527" s="28">
        <f>O517*_xlfn.XLOOKUP($L527,'Balizador da Meta'!$B$4:$B$21,'Balizador da Meta'!$C$4:$C$21)</f>
        <v>576</v>
      </c>
      <c r="P527" s="28">
        <f>P517*_xlfn.XLOOKUP($L527,'Balizador da Meta'!$B$4:$B$21,'Balizador da Meta'!$C$4:$C$21)</f>
        <v>576</v>
      </c>
      <c r="Q527" s="28">
        <f>Q517*_xlfn.XLOOKUP($L527,'Balizador da Meta'!$B$4:$B$21,'Balizador da Meta'!$C$4:$C$21)</f>
        <v>576</v>
      </c>
      <c r="R527" s="28">
        <f>R517*_xlfn.XLOOKUP($L527,'Balizador da Meta'!$B$4:$B$21,'Balizador da Meta'!$C$4:$C$21)</f>
        <v>576</v>
      </c>
      <c r="S527" s="28">
        <f>S517*_xlfn.XLOOKUP($L527,'Balizador da Meta'!$B$4:$B$21,'Balizador da Meta'!$C$4:$C$21)</f>
        <v>576</v>
      </c>
      <c r="T527" s="28">
        <f>T517*_xlfn.XLOOKUP($L527,'Balizador da Meta'!$B$4:$B$21,'Balizador da Meta'!$C$4:$C$21)</f>
        <v>576</v>
      </c>
      <c r="U527" s="28">
        <f>U517*_xlfn.XLOOKUP($L527,'Balizador da Meta'!$B$4:$B$21,'Balizador da Meta'!$C$4:$C$21)</f>
        <v>576</v>
      </c>
      <c r="V527" s="28">
        <f>V517*_xlfn.XLOOKUP($L527,'Balizador da Meta'!$B$4:$B$21,'Balizador da Meta'!$C$4:$C$21)</f>
        <v>576</v>
      </c>
      <c r="W527" s="28">
        <f>W517*_xlfn.XLOOKUP($L527,'Balizador da Meta'!$B$4:$B$21,'Balizador da Meta'!$C$4:$C$21)</f>
        <v>576</v>
      </c>
      <c r="X527" s="28">
        <f>X517*_xlfn.XLOOKUP($L527,'Balizador da Meta'!$B$4:$B$21,'Balizador da Meta'!$C$4:$C$21)</f>
        <v>576</v>
      </c>
      <c r="Y527" s="28">
        <f>Y517*_xlfn.XLOOKUP($L527,'Balizador da Meta'!$B$4:$B$21,'Balizador da Meta'!$C$4:$C$21)</f>
        <v>576</v>
      </c>
      <c r="Z527" s="30">
        <f t="shared" si="128"/>
        <v>6912</v>
      </c>
      <c r="AA527" s="29"/>
      <c r="AB527" s="31">
        <f>SUMIFS('Historico - FAT'!AK:AK,'Historico - FAT'!$K:$K,Faturamento!$L527,'Historico - FAT'!$I:$I,Faturamento!$J527,'Historico - FAT'!$G:$G,Faturamento!$H527)</f>
        <v>0</v>
      </c>
      <c r="AC527" s="31">
        <f>SUMIFS('Historico - FAT'!AL:AL,'Historico - FAT'!$K:$K,Faturamento!$L527,'Historico - FAT'!$I:$I,Faturamento!$J527,'Historico - FAT'!$G:$G,Faturamento!$H527)</f>
        <v>0</v>
      </c>
      <c r="AD527" s="31">
        <f>SUMIFS('Historico - FAT'!AM:AM,'Historico - FAT'!$K:$K,Faturamento!$L527,'Historico - FAT'!$I:$I,Faturamento!$J527,'Historico - FAT'!$G:$G,Faturamento!$H527)</f>
        <v>0</v>
      </c>
      <c r="AE527" s="27">
        <f>SUMIFS('Historico - FAT'!AN:AN,'Historico - FAT'!$K:$K,Faturamento!$L527,'Historico - FAT'!$I:$I,Faturamento!$J527,'Historico - FAT'!$G:$G,Faturamento!$H527)</f>
        <v>0</v>
      </c>
      <c r="AG527" s="24">
        <f t="shared" si="121"/>
        <v>1</v>
      </c>
      <c r="AH527" s="24">
        <f t="shared" si="122"/>
        <v>1</v>
      </c>
      <c r="AI527" s="24">
        <f t="shared" si="123"/>
        <v>1</v>
      </c>
    </row>
    <row r="528" spans="1:35" hidden="1" x14ac:dyDescent="0.3">
      <c r="A528" s="2" t="str">
        <f t="shared" si="118"/>
        <v>NÃO</v>
      </c>
      <c r="B528" s="2">
        <v>1000184670</v>
      </c>
      <c r="C528" s="2" t="s">
        <v>147</v>
      </c>
      <c r="D528" s="4">
        <v>1000186197</v>
      </c>
      <c r="E528" s="4" t="s">
        <v>166</v>
      </c>
      <c r="F528" s="2">
        <v>1000184757</v>
      </c>
      <c r="G528" s="2" t="s">
        <v>62</v>
      </c>
      <c r="H528" s="4">
        <v>1000189772</v>
      </c>
      <c r="I528" s="4" t="s">
        <v>98</v>
      </c>
      <c r="J528" s="2">
        <v>1000189270</v>
      </c>
      <c r="K528" s="2" t="s">
        <v>34</v>
      </c>
      <c r="L528" s="4" t="s">
        <v>21</v>
      </c>
      <c r="M528" s="4" t="str">
        <f t="shared" si="125"/>
        <v>1000184670100018619710001897721000189270NATURATTA</v>
      </c>
      <c r="N528" s="28">
        <f>N517*_xlfn.XLOOKUP($L528,'Balizador da Meta'!$B$4:$B$21,'Balizador da Meta'!$C$4:$C$21)</f>
        <v>90</v>
      </c>
      <c r="O528" s="28">
        <f>O517*_xlfn.XLOOKUP($L528,'Balizador da Meta'!$B$4:$B$21,'Balizador da Meta'!$C$4:$C$21)</f>
        <v>90</v>
      </c>
      <c r="P528" s="28">
        <f>P517*_xlfn.XLOOKUP($L528,'Balizador da Meta'!$B$4:$B$21,'Balizador da Meta'!$C$4:$C$21)</f>
        <v>90</v>
      </c>
      <c r="Q528" s="28">
        <f>Q517*_xlfn.XLOOKUP($L528,'Balizador da Meta'!$B$4:$B$21,'Balizador da Meta'!$C$4:$C$21)</f>
        <v>90</v>
      </c>
      <c r="R528" s="28">
        <f>R517*_xlfn.XLOOKUP($L528,'Balizador da Meta'!$B$4:$B$21,'Balizador da Meta'!$C$4:$C$21)</f>
        <v>90</v>
      </c>
      <c r="S528" s="28">
        <f>S517*_xlfn.XLOOKUP($L528,'Balizador da Meta'!$B$4:$B$21,'Balizador da Meta'!$C$4:$C$21)</f>
        <v>90</v>
      </c>
      <c r="T528" s="28">
        <f>T517*_xlfn.XLOOKUP($L528,'Balizador da Meta'!$B$4:$B$21,'Balizador da Meta'!$C$4:$C$21)</f>
        <v>90</v>
      </c>
      <c r="U528" s="28">
        <f>U517*_xlfn.XLOOKUP($L528,'Balizador da Meta'!$B$4:$B$21,'Balizador da Meta'!$C$4:$C$21)</f>
        <v>90</v>
      </c>
      <c r="V528" s="28">
        <f>V517*_xlfn.XLOOKUP($L528,'Balizador da Meta'!$B$4:$B$21,'Balizador da Meta'!$C$4:$C$21)</f>
        <v>90</v>
      </c>
      <c r="W528" s="28">
        <f>W517*_xlfn.XLOOKUP($L528,'Balizador da Meta'!$B$4:$B$21,'Balizador da Meta'!$C$4:$C$21)</f>
        <v>90</v>
      </c>
      <c r="X528" s="28">
        <f>X517*_xlfn.XLOOKUP($L528,'Balizador da Meta'!$B$4:$B$21,'Balizador da Meta'!$C$4:$C$21)</f>
        <v>90</v>
      </c>
      <c r="Y528" s="28">
        <f>Y517*_xlfn.XLOOKUP($L528,'Balizador da Meta'!$B$4:$B$21,'Balizador da Meta'!$C$4:$C$21)</f>
        <v>90</v>
      </c>
      <c r="Z528" s="30">
        <f t="shared" si="128"/>
        <v>1080</v>
      </c>
      <c r="AA528" s="29"/>
      <c r="AB528" s="31">
        <f>SUMIFS('Historico - FAT'!AK:AK,'Historico - FAT'!$K:$K,Faturamento!$L528,'Historico - FAT'!$I:$I,Faturamento!$J528,'Historico - FAT'!$G:$G,Faturamento!$H528)</f>
        <v>0</v>
      </c>
      <c r="AC528" s="31">
        <f>SUMIFS('Historico - FAT'!AL:AL,'Historico - FAT'!$K:$K,Faturamento!$L528,'Historico - FAT'!$I:$I,Faturamento!$J528,'Historico - FAT'!$G:$G,Faturamento!$H528)</f>
        <v>14.388333333333334</v>
      </c>
      <c r="AD528" s="31">
        <f>SUMIFS('Historico - FAT'!AM:AM,'Historico - FAT'!$K:$K,Faturamento!$L528,'Historico - FAT'!$I:$I,Faturamento!$J528,'Historico - FAT'!$G:$G,Faturamento!$H528)</f>
        <v>0</v>
      </c>
      <c r="AE528" s="27">
        <f>SUMIFS('Historico - FAT'!AN:AN,'Historico - FAT'!$K:$K,Faturamento!$L528,'Historico - FAT'!$I:$I,Faturamento!$J528,'Historico - FAT'!$G:$G,Faturamento!$H528)</f>
        <v>17.265999999999998</v>
      </c>
      <c r="AG528" s="24">
        <f t="shared" si="121"/>
        <v>1</v>
      </c>
      <c r="AH528" s="24">
        <f t="shared" si="122"/>
        <v>0.84012962962962956</v>
      </c>
      <c r="AI528" s="24">
        <f t="shared" si="123"/>
        <v>1</v>
      </c>
    </row>
    <row r="529" spans="1:35" hidden="1" x14ac:dyDescent="0.3">
      <c r="A529" s="2" t="str">
        <f t="shared" si="118"/>
        <v>NÃO</v>
      </c>
      <c r="B529" s="2">
        <v>1000184670</v>
      </c>
      <c r="C529" s="2" t="s">
        <v>147</v>
      </c>
      <c r="D529" s="4">
        <v>1000186197</v>
      </c>
      <c r="E529" s="4" t="s">
        <v>166</v>
      </c>
      <c r="F529" s="2">
        <v>1000184757</v>
      </c>
      <c r="G529" s="2" t="s">
        <v>62</v>
      </c>
      <c r="H529" s="4">
        <v>1000189772</v>
      </c>
      <c r="I529" s="4" t="s">
        <v>98</v>
      </c>
      <c r="J529" s="2">
        <v>1000189270</v>
      </c>
      <c r="K529" s="2" t="s">
        <v>34</v>
      </c>
      <c r="L529" s="4" t="s">
        <v>20</v>
      </c>
      <c r="M529" s="4" t="str">
        <f t="shared" si="125"/>
        <v>1000184670100018619710001897721000189270REEMBALADOS</v>
      </c>
      <c r="N529" s="28">
        <f>N517*_xlfn.XLOOKUP($L529,'Balizador da Meta'!$B$4:$B$21,'Balizador da Meta'!$C$4:$C$21)</f>
        <v>72</v>
      </c>
      <c r="O529" s="28">
        <f>O517*_xlfn.XLOOKUP($L529,'Balizador da Meta'!$B$4:$B$21,'Balizador da Meta'!$C$4:$C$21)</f>
        <v>72</v>
      </c>
      <c r="P529" s="28">
        <f>P517*_xlfn.XLOOKUP($L529,'Balizador da Meta'!$B$4:$B$21,'Balizador da Meta'!$C$4:$C$21)</f>
        <v>72</v>
      </c>
      <c r="Q529" s="28">
        <f>Q517*_xlfn.XLOOKUP($L529,'Balizador da Meta'!$B$4:$B$21,'Balizador da Meta'!$C$4:$C$21)</f>
        <v>72</v>
      </c>
      <c r="R529" s="28">
        <f>R517*_xlfn.XLOOKUP($L529,'Balizador da Meta'!$B$4:$B$21,'Balizador da Meta'!$C$4:$C$21)</f>
        <v>72</v>
      </c>
      <c r="S529" s="28">
        <f>S517*_xlfn.XLOOKUP($L529,'Balizador da Meta'!$B$4:$B$21,'Balizador da Meta'!$C$4:$C$21)</f>
        <v>72</v>
      </c>
      <c r="T529" s="28">
        <f>T517*_xlfn.XLOOKUP($L529,'Balizador da Meta'!$B$4:$B$21,'Balizador da Meta'!$C$4:$C$21)</f>
        <v>72</v>
      </c>
      <c r="U529" s="28">
        <f>U517*_xlfn.XLOOKUP($L529,'Balizador da Meta'!$B$4:$B$21,'Balizador da Meta'!$C$4:$C$21)</f>
        <v>72</v>
      </c>
      <c r="V529" s="28">
        <f>V517*_xlfn.XLOOKUP($L529,'Balizador da Meta'!$B$4:$B$21,'Balizador da Meta'!$C$4:$C$21)</f>
        <v>72</v>
      </c>
      <c r="W529" s="28">
        <f>W517*_xlfn.XLOOKUP($L529,'Balizador da Meta'!$B$4:$B$21,'Balizador da Meta'!$C$4:$C$21)</f>
        <v>72</v>
      </c>
      <c r="X529" s="28">
        <f>X517*_xlfn.XLOOKUP($L529,'Balizador da Meta'!$B$4:$B$21,'Balizador da Meta'!$C$4:$C$21)</f>
        <v>72</v>
      </c>
      <c r="Y529" s="28">
        <f>Y517*_xlfn.XLOOKUP($L529,'Balizador da Meta'!$B$4:$B$21,'Balizador da Meta'!$C$4:$C$21)</f>
        <v>72</v>
      </c>
      <c r="Z529" s="30">
        <f t="shared" si="128"/>
        <v>864</v>
      </c>
      <c r="AA529" s="29"/>
      <c r="AB529" s="31">
        <f>SUMIFS('Historico - FAT'!AK:AK,'Historico - FAT'!$K:$K,Faturamento!$L529,'Historico - FAT'!$I:$I,Faturamento!$J529,'Historico - FAT'!$G:$G,Faturamento!$H529)</f>
        <v>0</v>
      </c>
      <c r="AC529" s="31">
        <f>SUMIFS('Historico - FAT'!AL:AL,'Historico - FAT'!$K:$K,Faturamento!$L529,'Historico - FAT'!$I:$I,Faturamento!$J529,'Historico - FAT'!$G:$G,Faturamento!$H529)</f>
        <v>0</v>
      </c>
      <c r="AD529" s="31">
        <f>SUMIFS('Historico - FAT'!AM:AM,'Historico - FAT'!$K:$K,Faturamento!$L529,'Historico - FAT'!$I:$I,Faturamento!$J529,'Historico - FAT'!$G:$G,Faturamento!$H529)</f>
        <v>0</v>
      </c>
      <c r="AE529" s="27">
        <f>SUMIFS('Historico - FAT'!AN:AN,'Historico - FAT'!$K:$K,Faturamento!$L529,'Historico - FAT'!$I:$I,Faturamento!$J529,'Historico - FAT'!$G:$G,Faturamento!$H529)</f>
        <v>0</v>
      </c>
      <c r="AG529" s="24">
        <f t="shared" si="121"/>
        <v>1</v>
      </c>
      <c r="AH529" s="24">
        <f t="shared" si="122"/>
        <v>1</v>
      </c>
      <c r="AI529" s="24">
        <f t="shared" si="123"/>
        <v>1</v>
      </c>
    </row>
    <row r="530" spans="1:35" hidden="1" x14ac:dyDescent="0.3">
      <c r="A530" s="2" t="str">
        <f t="shared" si="118"/>
        <v>NÃO</v>
      </c>
      <c r="B530" s="2">
        <v>1000184670</v>
      </c>
      <c r="C530" s="2" t="s">
        <v>147</v>
      </c>
      <c r="D530" s="4">
        <v>1000186197</v>
      </c>
      <c r="E530" s="4" t="s">
        <v>166</v>
      </c>
      <c r="F530" s="2">
        <v>1000184757</v>
      </c>
      <c r="G530" s="2" t="s">
        <v>62</v>
      </c>
      <c r="H530" s="4">
        <v>1000189772</v>
      </c>
      <c r="I530" s="4" t="s">
        <v>98</v>
      </c>
      <c r="J530" s="2">
        <v>1000189270</v>
      </c>
      <c r="K530" s="2" t="s">
        <v>34</v>
      </c>
      <c r="L530" s="4" t="s">
        <v>22</v>
      </c>
      <c r="M530" s="4" t="str">
        <f t="shared" si="125"/>
        <v>1000184670100018619710001897721000189270S GLUTEN</v>
      </c>
      <c r="N530" s="28">
        <f>N517*_xlfn.XLOOKUP($L530,'Balizador da Meta'!$B$4:$B$21,'Balizador da Meta'!$C$4:$C$21)</f>
        <v>72</v>
      </c>
      <c r="O530" s="28">
        <f>O517*_xlfn.XLOOKUP($L530,'Balizador da Meta'!$B$4:$B$21,'Balizador da Meta'!$C$4:$C$21)</f>
        <v>72</v>
      </c>
      <c r="P530" s="28">
        <f>P517*_xlfn.XLOOKUP($L530,'Balizador da Meta'!$B$4:$B$21,'Balizador da Meta'!$C$4:$C$21)</f>
        <v>72</v>
      </c>
      <c r="Q530" s="28">
        <f>Q517*_xlfn.XLOOKUP($L530,'Balizador da Meta'!$B$4:$B$21,'Balizador da Meta'!$C$4:$C$21)</f>
        <v>72</v>
      </c>
      <c r="R530" s="28">
        <f>R517*_xlfn.XLOOKUP($L530,'Balizador da Meta'!$B$4:$B$21,'Balizador da Meta'!$C$4:$C$21)</f>
        <v>72</v>
      </c>
      <c r="S530" s="28">
        <f>S517*_xlfn.XLOOKUP($L530,'Balizador da Meta'!$B$4:$B$21,'Balizador da Meta'!$C$4:$C$21)</f>
        <v>72</v>
      </c>
      <c r="T530" s="28">
        <f>T517*_xlfn.XLOOKUP($L530,'Balizador da Meta'!$B$4:$B$21,'Balizador da Meta'!$C$4:$C$21)</f>
        <v>72</v>
      </c>
      <c r="U530" s="28">
        <f>U517*_xlfn.XLOOKUP($L530,'Balizador da Meta'!$B$4:$B$21,'Balizador da Meta'!$C$4:$C$21)</f>
        <v>72</v>
      </c>
      <c r="V530" s="28">
        <f>V517*_xlfn.XLOOKUP($L530,'Balizador da Meta'!$B$4:$B$21,'Balizador da Meta'!$C$4:$C$21)</f>
        <v>72</v>
      </c>
      <c r="W530" s="28">
        <f>W517*_xlfn.XLOOKUP($L530,'Balizador da Meta'!$B$4:$B$21,'Balizador da Meta'!$C$4:$C$21)</f>
        <v>72</v>
      </c>
      <c r="X530" s="28">
        <f>X517*_xlfn.XLOOKUP($L530,'Balizador da Meta'!$B$4:$B$21,'Balizador da Meta'!$C$4:$C$21)</f>
        <v>72</v>
      </c>
      <c r="Y530" s="28">
        <f>Y517*_xlfn.XLOOKUP($L530,'Balizador da Meta'!$B$4:$B$21,'Balizador da Meta'!$C$4:$C$21)</f>
        <v>72</v>
      </c>
      <c r="Z530" s="30">
        <f t="shared" si="128"/>
        <v>864</v>
      </c>
      <c r="AA530" s="29"/>
      <c r="AB530" s="31">
        <f>SUMIFS('Historico - FAT'!AK:AK,'Historico - FAT'!$K:$K,Faturamento!$L530,'Historico - FAT'!$I:$I,Faturamento!$J530,'Historico - FAT'!$G:$G,Faturamento!$H530)</f>
        <v>0</v>
      </c>
      <c r="AC530" s="31">
        <f>SUMIFS('Historico - FAT'!AL:AL,'Historico - FAT'!$K:$K,Faturamento!$L530,'Historico - FAT'!$I:$I,Faturamento!$J530,'Historico - FAT'!$G:$G,Faturamento!$H530)</f>
        <v>0</v>
      </c>
      <c r="AD530" s="31">
        <f>SUMIFS('Historico - FAT'!AM:AM,'Historico - FAT'!$K:$K,Faturamento!$L530,'Historico - FAT'!$I:$I,Faturamento!$J530,'Historico - FAT'!$G:$G,Faturamento!$H530)</f>
        <v>0</v>
      </c>
      <c r="AE530" s="27">
        <f>SUMIFS('Historico - FAT'!AN:AN,'Historico - FAT'!$K:$K,Faturamento!$L530,'Historico - FAT'!$I:$I,Faturamento!$J530,'Historico - FAT'!$G:$G,Faturamento!$H530)</f>
        <v>0</v>
      </c>
      <c r="AG530" s="24">
        <f t="shared" si="121"/>
        <v>1</v>
      </c>
      <c r="AH530" s="24">
        <f t="shared" si="122"/>
        <v>1</v>
      </c>
      <c r="AI530" s="24">
        <f t="shared" si="123"/>
        <v>1</v>
      </c>
    </row>
    <row r="531" spans="1:35" hidden="1" x14ac:dyDescent="0.3">
      <c r="A531" s="2" t="str">
        <f t="shared" si="118"/>
        <v>NÃO</v>
      </c>
      <c r="B531" s="2">
        <v>1000184670</v>
      </c>
      <c r="C531" s="2" t="s">
        <v>147</v>
      </c>
      <c r="D531" s="4">
        <v>1000186197</v>
      </c>
      <c r="E531" s="4" t="s">
        <v>166</v>
      </c>
      <c r="F531" s="2">
        <v>1000184757</v>
      </c>
      <c r="G531" s="2" t="s">
        <v>62</v>
      </c>
      <c r="H531" s="4">
        <v>1000189772</v>
      </c>
      <c r="I531" s="4" t="s">
        <v>98</v>
      </c>
      <c r="J531" s="2">
        <v>1000189270</v>
      </c>
      <c r="K531" s="2" t="s">
        <v>34</v>
      </c>
      <c r="L531" s="4" t="s">
        <v>23</v>
      </c>
      <c r="M531" s="4" t="str">
        <f t="shared" si="125"/>
        <v>1000184670100018619710001897721000189270SABORES DO CAMPO</v>
      </c>
      <c r="N531" s="28">
        <f>N517*_xlfn.XLOOKUP($L531,'Balizador da Meta'!$B$4:$B$21,'Balizador da Meta'!$C$4:$C$21)</f>
        <v>0</v>
      </c>
      <c r="O531" s="28">
        <f>O517*_xlfn.XLOOKUP($L531,'Balizador da Meta'!$B$4:$B$21,'Balizador da Meta'!$C$4:$C$21)</f>
        <v>0</v>
      </c>
      <c r="P531" s="28">
        <f>P517*_xlfn.XLOOKUP($L531,'Balizador da Meta'!$B$4:$B$21,'Balizador da Meta'!$C$4:$C$21)</f>
        <v>0</v>
      </c>
      <c r="Q531" s="28">
        <f>Q517*_xlfn.XLOOKUP($L531,'Balizador da Meta'!$B$4:$B$21,'Balizador da Meta'!$C$4:$C$21)</f>
        <v>0</v>
      </c>
      <c r="R531" s="28">
        <f>R517*_xlfn.XLOOKUP($L531,'Balizador da Meta'!$B$4:$B$21,'Balizador da Meta'!$C$4:$C$21)</f>
        <v>0</v>
      </c>
      <c r="S531" s="28">
        <f>S517*_xlfn.XLOOKUP($L531,'Balizador da Meta'!$B$4:$B$21,'Balizador da Meta'!$C$4:$C$21)</f>
        <v>0</v>
      </c>
      <c r="T531" s="28">
        <f>T517*_xlfn.XLOOKUP($L531,'Balizador da Meta'!$B$4:$B$21,'Balizador da Meta'!$C$4:$C$21)</f>
        <v>0</v>
      </c>
      <c r="U531" s="28">
        <f>U517*_xlfn.XLOOKUP($L531,'Balizador da Meta'!$B$4:$B$21,'Balizador da Meta'!$C$4:$C$21)</f>
        <v>0</v>
      </c>
      <c r="V531" s="28">
        <f>V517*_xlfn.XLOOKUP($L531,'Balizador da Meta'!$B$4:$B$21,'Balizador da Meta'!$C$4:$C$21)</f>
        <v>0</v>
      </c>
      <c r="W531" s="28">
        <f>W517*_xlfn.XLOOKUP($L531,'Balizador da Meta'!$B$4:$B$21,'Balizador da Meta'!$C$4:$C$21)</f>
        <v>0</v>
      </c>
      <c r="X531" s="28">
        <f>X517*_xlfn.XLOOKUP($L531,'Balizador da Meta'!$B$4:$B$21,'Balizador da Meta'!$C$4:$C$21)</f>
        <v>0</v>
      </c>
      <c r="Y531" s="28">
        <f>Y517*_xlfn.XLOOKUP($L531,'Balizador da Meta'!$B$4:$B$21,'Balizador da Meta'!$C$4:$C$21)</f>
        <v>0</v>
      </c>
      <c r="Z531" s="30">
        <f t="shared" si="128"/>
        <v>0</v>
      </c>
      <c r="AA531" s="29"/>
      <c r="AB531" s="31">
        <f>SUMIFS('Historico - FAT'!AK:AK,'Historico - FAT'!$K:$K,Faturamento!$L531,'Historico - FAT'!$I:$I,Faturamento!$J531,'Historico - FAT'!$G:$G,Faturamento!$H531)</f>
        <v>0</v>
      </c>
      <c r="AC531" s="31">
        <f>SUMIFS('Historico - FAT'!AL:AL,'Historico - FAT'!$K:$K,Faturamento!$L531,'Historico - FAT'!$I:$I,Faturamento!$J531,'Historico - FAT'!$G:$G,Faturamento!$H531)</f>
        <v>0</v>
      </c>
      <c r="AD531" s="31">
        <f>SUMIFS('Historico - FAT'!AM:AM,'Historico - FAT'!$K:$K,Faturamento!$L531,'Historico - FAT'!$I:$I,Faturamento!$J531,'Historico - FAT'!$G:$G,Faturamento!$H531)</f>
        <v>0</v>
      </c>
      <c r="AE531" s="27">
        <f>SUMIFS('Historico - FAT'!AN:AN,'Historico - FAT'!$K:$K,Faturamento!$L531,'Historico - FAT'!$I:$I,Faturamento!$J531,'Historico - FAT'!$G:$G,Faturamento!$H531)</f>
        <v>0</v>
      </c>
      <c r="AG531" s="24" t="str">
        <f t="shared" si="121"/>
        <v/>
      </c>
      <c r="AH531" s="24" t="str">
        <f t="shared" si="122"/>
        <v/>
      </c>
      <c r="AI531" s="24" t="str">
        <f t="shared" si="123"/>
        <v/>
      </c>
    </row>
    <row r="532" spans="1:35" hidden="1" x14ac:dyDescent="0.3">
      <c r="A532" s="2" t="str">
        <f t="shared" si="118"/>
        <v>NÃO</v>
      </c>
      <c r="B532" s="2">
        <v>1000184670</v>
      </c>
      <c r="C532" s="2" t="s">
        <v>147</v>
      </c>
      <c r="D532" s="4">
        <v>1000186197</v>
      </c>
      <c r="E532" s="4" t="s">
        <v>166</v>
      </c>
      <c r="F532" s="2">
        <v>1000184757</v>
      </c>
      <c r="G532" s="2" t="s">
        <v>62</v>
      </c>
      <c r="H532" s="4">
        <v>1000189772</v>
      </c>
      <c r="I532" s="4" t="s">
        <v>98</v>
      </c>
      <c r="J532" s="2">
        <v>1000189270</v>
      </c>
      <c r="K532" s="2" t="s">
        <v>34</v>
      </c>
      <c r="L532" s="4" t="s">
        <v>28</v>
      </c>
      <c r="M532" s="4" t="str">
        <f t="shared" si="125"/>
        <v>1000184670100018619710001897721000189270SAL</v>
      </c>
      <c r="N532" s="28">
        <f>N517*_xlfn.XLOOKUP($L532,'Balizador da Meta'!$B$4:$B$21,'Balizador da Meta'!$C$4:$C$21)</f>
        <v>36</v>
      </c>
      <c r="O532" s="28">
        <f>O517*_xlfn.XLOOKUP($L532,'Balizador da Meta'!$B$4:$B$21,'Balizador da Meta'!$C$4:$C$21)</f>
        <v>36</v>
      </c>
      <c r="P532" s="28">
        <f>P517*_xlfn.XLOOKUP($L532,'Balizador da Meta'!$B$4:$B$21,'Balizador da Meta'!$C$4:$C$21)</f>
        <v>36</v>
      </c>
      <c r="Q532" s="28">
        <f>Q517*_xlfn.XLOOKUP($L532,'Balizador da Meta'!$B$4:$B$21,'Balizador da Meta'!$C$4:$C$21)</f>
        <v>36</v>
      </c>
      <c r="R532" s="28">
        <f>R517*_xlfn.XLOOKUP($L532,'Balizador da Meta'!$B$4:$B$21,'Balizador da Meta'!$C$4:$C$21)</f>
        <v>36</v>
      </c>
      <c r="S532" s="28">
        <f>S517*_xlfn.XLOOKUP($L532,'Balizador da Meta'!$B$4:$B$21,'Balizador da Meta'!$C$4:$C$21)</f>
        <v>36</v>
      </c>
      <c r="T532" s="28">
        <f>T517*_xlfn.XLOOKUP($L532,'Balizador da Meta'!$B$4:$B$21,'Balizador da Meta'!$C$4:$C$21)</f>
        <v>36</v>
      </c>
      <c r="U532" s="28">
        <f>U517*_xlfn.XLOOKUP($L532,'Balizador da Meta'!$B$4:$B$21,'Balizador da Meta'!$C$4:$C$21)</f>
        <v>36</v>
      </c>
      <c r="V532" s="28">
        <f>V517*_xlfn.XLOOKUP($L532,'Balizador da Meta'!$B$4:$B$21,'Balizador da Meta'!$C$4:$C$21)</f>
        <v>36</v>
      </c>
      <c r="W532" s="28">
        <f>W517*_xlfn.XLOOKUP($L532,'Balizador da Meta'!$B$4:$B$21,'Balizador da Meta'!$C$4:$C$21)</f>
        <v>36</v>
      </c>
      <c r="X532" s="28">
        <f>X517*_xlfn.XLOOKUP($L532,'Balizador da Meta'!$B$4:$B$21,'Balizador da Meta'!$C$4:$C$21)</f>
        <v>36</v>
      </c>
      <c r="Y532" s="28">
        <f>Y517*_xlfn.XLOOKUP($L532,'Balizador da Meta'!$B$4:$B$21,'Balizador da Meta'!$C$4:$C$21)</f>
        <v>36</v>
      </c>
      <c r="Z532" s="30">
        <f t="shared" si="128"/>
        <v>432</v>
      </c>
      <c r="AA532" s="29"/>
      <c r="AB532" s="31">
        <f>SUMIFS('Historico - FAT'!AK:AK,'Historico - FAT'!$K:$K,Faturamento!$L532,'Historico - FAT'!$I:$I,Faturamento!$J532,'Historico - FAT'!$G:$G,Faturamento!$H532)</f>
        <v>0</v>
      </c>
      <c r="AC532" s="31">
        <f>SUMIFS('Historico - FAT'!AL:AL,'Historico - FAT'!$K:$K,Faturamento!$L532,'Historico - FAT'!$I:$I,Faturamento!$J532,'Historico - FAT'!$G:$G,Faturamento!$H532)</f>
        <v>0</v>
      </c>
      <c r="AD532" s="31">
        <f>SUMIFS('Historico - FAT'!AM:AM,'Historico - FAT'!$K:$K,Faturamento!$L532,'Historico - FAT'!$I:$I,Faturamento!$J532,'Historico - FAT'!$G:$G,Faturamento!$H532)</f>
        <v>0</v>
      </c>
      <c r="AE532" s="27">
        <f>SUMIFS('Historico - FAT'!AN:AN,'Historico - FAT'!$K:$K,Faturamento!$L532,'Historico - FAT'!$I:$I,Faturamento!$J532,'Historico - FAT'!$G:$G,Faturamento!$H532)</f>
        <v>0</v>
      </c>
      <c r="AG532" s="24">
        <f t="shared" si="121"/>
        <v>1</v>
      </c>
      <c r="AH532" s="24">
        <f t="shared" si="122"/>
        <v>1</v>
      </c>
      <c r="AI532" s="24">
        <f t="shared" si="123"/>
        <v>1</v>
      </c>
    </row>
    <row r="533" spans="1:35" hidden="1" x14ac:dyDescent="0.3">
      <c r="A533" s="2" t="str">
        <f t="shared" si="118"/>
        <v>NÃO</v>
      </c>
      <c r="B533" s="2">
        <v>1000184670</v>
      </c>
      <c r="C533" s="2" t="s">
        <v>147</v>
      </c>
      <c r="D533" s="4">
        <v>1000186197</v>
      </c>
      <c r="E533" s="4" t="s">
        <v>166</v>
      </c>
      <c r="F533" s="2">
        <v>1000184757</v>
      </c>
      <c r="G533" s="2" t="s">
        <v>62</v>
      </c>
      <c r="H533" s="4">
        <v>1000189772</v>
      </c>
      <c r="I533" s="4" t="s">
        <v>98</v>
      </c>
      <c r="J533" s="2">
        <v>1000189270</v>
      </c>
      <c r="K533" s="2" t="s">
        <v>34</v>
      </c>
      <c r="L533" s="4" t="s">
        <v>26</v>
      </c>
      <c r="M533" s="4" t="str">
        <f t="shared" si="125"/>
        <v>1000184670100018619710001897721000189270SOULPRO</v>
      </c>
      <c r="N533" s="28">
        <f>N517*_xlfn.XLOOKUP($L533,'Balizador da Meta'!$B$4:$B$21,'Balizador da Meta'!$C$4:$C$21)</f>
        <v>108</v>
      </c>
      <c r="O533" s="28">
        <f>O517*_xlfn.XLOOKUP($L533,'Balizador da Meta'!$B$4:$B$21,'Balizador da Meta'!$C$4:$C$21)</f>
        <v>108</v>
      </c>
      <c r="P533" s="28">
        <f>P517*_xlfn.XLOOKUP($L533,'Balizador da Meta'!$B$4:$B$21,'Balizador da Meta'!$C$4:$C$21)</f>
        <v>108</v>
      </c>
      <c r="Q533" s="28">
        <f>Q517*_xlfn.XLOOKUP($L533,'Balizador da Meta'!$B$4:$B$21,'Balizador da Meta'!$C$4:$C$21)</f>
        <v>108</v>
      </c>
      <c r="R533" s="28">
        <f>R517*_xlfn.XLOOKUP($L533,'Balizador da Meta'!$B$4:$B$21,'Balizador da Meta'!$C$4:$C$21)</f>
        <v>108</v>
      </c>
      <c r="S533" s="28">
        <f>S517*_xlfn.XLOOKUP($L533,'Balizador da Meta'!$B$4:$B$21,'Balizador da Meta'!$C$4:$C$21)</f>
        <v>108</v>
      </c>
      <c r="T533" s="28">
        <f>T517*_xlfn.XLOOKUP($L533,'Balizador da Meta'!$B$4:$B$21,'Balizador da Meta'!$C$4:$C$21)</f>
        <v>108</v>
      </c>
      <c r="U533" s="28">
        <f>U517*_xlfn.XLOOKUP($L533,'Balizador da Meta'!$B$4:$B$21,'Balizador da Meta'!$C$4:$C$21)</f>
        <v>108</v>
      </c>
      <c r="V533" s="28">
        <f>V517*_xlfn.XLOOKUP($L533,'Balizador da Meta'!$B$4:$B$21,'Balizador da Meta'!$C$4:$C$21)</f>
        <v>108</v>
      </c>
      <c r="W533" s="28">
        <f>W517*_xlfn.XLOOKUP($L533,'Balizador da Meta'!$B$4:$B$21,'Balizador da Meta'!$C$4:$C$21)</f>
        <v>108</v>
      </c>
      <c r="X533" s="28">
        <f>X517*_xlfn.XLOOKUP($L533,'Balizador da Meta'!$B$4:$B$21,'Balizador da Meta'!$C$4:$C$21)</f>
        <v>108</v>
      </c>
      <c r="Y533" s="28">
        <f>Y517*_xlfn.XLOOKUP($L533,'Balizador da Meta'!$B$4:$B$21,'Balizador da Meta'!$C$4:$C$21)</f>
        <v>108</v>
      </c>
      <c r="Z533" s="30">
        <f t="shared" si="128"/>
        <v>1296</v>
      </c>
      <c r="AA533" s="29"/>
      <c r="AB533" s="31">
        <f>SUMIFS('Historico - FAT'!AK:AK,'Historico - FAT'!$K:$K,Faturamento!$L533,'Historico - FAT'!$I:$I,Faturamento!$J533,'Historico - FAT'!$G:$G,Faturamento!$H533)</f>
        <v>0</v>
      </c>
      <c r="AC533" s="31">
        <f>SUMIFS('Historico - FAT'!AL:AL,'Historico - FAT'!$K:$K,Faturamento!$L533,'Historico - FAT'!$I:$I,Faturamento!$J533,'Historico - FAT'!$G:$G,Faturamento!$H533)</f>
        <v>0</v>
      </c>
      <c r="AD533" s="31">
        <f>SUMIFS('Historico - FAT'!AM:AM,'Historico - FAT'!$K:$K,Faturamento!$L533,'Historico - FAT'!$I:$I,Faturamento!$J533,'Historico - FAT'!$G:$G,Faturamento!$H533)</f>
        <v>0</v>
      </c>
      <c r="AE533" s="27">
        <f>SUMIFS('Historico - FAT'!AN:AN,'Historico - FAT'!$K:$K,Faturamento!$L533,'Historico - FAT'!$I:$I,Faturamento!$J533,'Historico - FAT'!$G:$G,Faturamento!$H533)</f>
        <v>0</v>
      </c>
      <c r="AG533" s="24">
        <f t="shared" si="121"/>
        <v>1</v>
      </c>
      <c r="AH533" s="24">
        <f t="shared" si="122"/>
        <v>1</v>
      </c>
      <c r="AI533" s="24">
        <f t="shared" si="123"/>
        <v>1</v>
      </c>
    </row>
    <row r="534" spans="1:35" hidden="1" x14ac:dyDescent="0.3">
      <c r="A534" s="2" t="str">
        <f t="shared" si="118"/>
        <v>NÃO</v>
      </c>
      <c r="B534" s="2">
        <v>1000184670</v>
      </c>
      <c r="C534" s="2" t="s">
        <v>147</v>
      </c>
      <c r="D534" s="4">
        <v>1000186197</v>
      </c>
      <c r="E534" s="4" t="s">
        <v>166</v>
      </c>
      <c r="F534" s="2">
        <v>1000184757</v>
      </c>
      <c r="G534" s="2" t="s">
        <v>62</v>
      </c>
      <c r="H534" s="4">
        <v>1000189772</v>
      </c>
      <c r="I534" s="4" t="s">
        <v>98</v>
      </c>
      <c r="J534" s="2">
        <v>1000189270</v>
      </c>
      <c r="K534" s="2" t="s">
        <v>34</v>
      </c>
      <c r="L534" s="4" t="s">
        <v>27</v>
      </c>
      <c r="M534" s="4" t="str">
        <f t="shared" si="125"/>
        <v>1000184670100018619710001897721000189270TAMARA</v>
      </c>
      <c r="N534" s="28">
        <f>N517*_xlfn.XLOOKUP($L534,'Balizador da Meta'!$B$4:$B$21,'Balizador da Meta'!$C$4:$C$21)</f>
        <v>144</v>
      </c>
      <c r="O534" s="28">
        <f>O517*_xlfn.XLOOKUP($L534,'Balizador da Meta'!$B$4:$B$21,'Balizador da Meta'!$C$4:$C$21)</f>
        <v>144</v>
      </c>
      <c r="P534" s="28">
        <f>P517*_xlfn.XLOOKUP($L534,'Balizador da Meta'!$B$4:$B$21,'Balizador da Meta'!$C$4:$C$21)</f>
        <v>144</v>
      </c>
      <c r="Q534" s="28">
        <f>Q517*_xlfn.XLOOKUP($L534,'Balizador da Meta'!$B$4:$B$21,'Balizador da Meta'!$C$4:$C$21)</f>
        <v>144</v>
      </c>
      <c r="R534" s="28">
        <f>R517*_xlfn.XLOOKUP($L534,'Balizador da Meta'!$B$4:$B$21,'Balizador da Meta'!$C$4:$C$21)</f>
        <v>144</v>
      </c>
      <c r="S534" s="28">
        <f>S517*_xlfn.XLOOKUP($L534,'Balizador da Meta'!$B$4:$B$21,'Balizador da Meta'!$C$4:$C$21)</f>
        <v>144</v>
      </c>
      <c r="T534" s="28">
        <f>T517*_xlfn.XLOOKUP($L534,'Balizador da Meta'!$B$4:$B$21,'Balizador da Meta'!$C$4:$C$21)</f>
        <v>144</v>
      </c>
      <c r="U534" s="28">
        <f>U517*_xlfn.XLOOKUP($L534,'Balizador da Meta'!$B$4:$B$21,'Balizador da Meta'!$C$4:$C$21)</f>
        <v>144</v>
      </c>
      <c r="V534" s="28">
        <f>V517*_xlfn.XLOOKUP($L534,'Balizador da Meta'!$B$4:$B$21,'Balizador da Meta'!$C$4:$C$21)</f>
        <v>144</v>
      </c>
      <c r="W534" s="28">
        <f>W517*_xlfn.XLOOKUP($L534,'Balizador da Meta'!$B$4:$B$21,'Balizador da Meta'!$C$4:$C$21)</f>
        <v>144</v>
      </c>
      <c r="X534" s="28">
        <f>X517*_xlfn.XLOOKUP($L534,'Balizador da Meta'!$B$4:$B$21,'Balizador da Meta'!$C$4:$C$21)</f>
        <v>144</v>
      </c>
      <c r="Y534" s="28">
        <f>Y517*_xlfn.XLOOKUP($L534,'Balizador da Meta'!$B$4:$B$21,'Balizador da Meta'!$C$4:$C$21)</f>
        <v>144</v>
      </c>
      <c r="Z534" s="30">
        <f t="shared" si="128"/>
        <v>1728</v>
      </c>
      <c r="AA534" s="29"/>
      <c r="AB534" s="31">
        <f>SUMIFS('Historico - FAT'!AK:AK,'Historico - FAT'!$K:$K,Faturamento!$L534,'Historico - FAT'!$I:$I,Faturamento!$J534,'Historico - FAT'!$G:$G,Faturamento!$H534)</f>
        <v>0</v>
      </c>
      <c r="AC534" s="31">
        <f>SUMIFS('Historico - FAT'!AL:AL,'Historico - FAT'!$K:$K,Faturamento!$L534,'Historico - FAT'!$I:$I,Faturamento!$J534,'Historico - FAT'!$G:$G,Faturamento!$H534)</f>
        <v>0</v>
      </c>
      <c r="AD534" s="31">
        <f>SUMIFS('Historico - FAT'!AM:AM,'Historico - FAT'!$K:$K,Faturamento!$L534,'Historico - FAT'!$I:$I,Faturamento!$J534,'Historico - FAT'!$G:$G,Faturamento!$H534)</f>
        <v>0</v>
      </c>
      <c r="AE534" s="27">
        <f>SUMIFS('Historico - FAT'!AN:AN,'Historico - FAT'!$K:$K,Faturamento!$L534,'Historico - FAT'!$I:$I,Faturamento!$J534,'Historico - FAT'!$G:$G,Faturamento!$H534)</f>
        <v>0</v>
      </c>
      <c r="AG534" s="24">
        <f t="shared" si="121"/>
        <v>1</v>
      </c>
      <c r="AH534" s="24">
        <f t="shared" si="122"/>
        <v>1</v>
      </c>
      <c r="AI534" s="24">
        <f t="shared" si="123"/>
        <v>1</v>
      </c>
    </row>
    <row r="535" spans="1:35" hidden="1" x14ac:dyDescent="0.3">
      <c r="A535" s="2" t="str">
        <f t="shared" si="118"/>
        <v>NÃO</v>
      </c>
      <c r="B535" s="2">
        <v>1000184670</v>
      </c>
      <c r="C535" s="2" t="s">
        <v>147</v>
      </c>
      <c r="D535" s="4">
        <v>1000186197</v>
      </c>
      <c r="E535" s="4" t="s">
        <v>166</v>
      </c>
      <c r="F535" s="2">
        <v>1000184757</v>
      </c>
      <c r="G535" s="2" t="s">
        <v>62</v>
      </c>
      <c r="H535" s="4">
        <v>1000189772</v>
      </c>
      <c r="I535" s="4" t="s">
        <v>98</v>
      </c>
      <c r="J535" s="2">
        <v>1000189270</v>
      </c>
      <c r="K535" s="2" t="s">
        <v>34</v>
      </c>
      <c r="L535" s="4" t="s">
        <v>25</v>
      </c>
      <c r="M535" s="4" t="str">
        <f t="shared" si="125"/>
        <v>1000184670100018619710001897721000189270VICCIO</v>
      </c>
      <c r="N535" s="28">
        <f>N517*_xlfn.XLOOKUP($L535,'Balizador da Meta'!$B$4:$B$21,'Balizador da Meta'!$C$4:$C$21)</f>
        <v>54</v>
      </c>
      <c r="O535" s="28">
        <f>O517*_xlfn.XLOOKUP($L535,'Balizador da Meta'!$B$4:$B$21,'Balizador da Meta'!$C$4:$C$21)</f>
        <v>54</v>
      </c>
      <c r="P535" s="28">
        <f>P517*_xlfn.XLOOKUP($L535,'Balizador da Meta'!$B$4:$B$21,'Balizador da Meta'!$C$4:$C$21)</f>
        <v>54</v>
      </c>
      <c r="Q535" s="28">
        <f>Q517*_xlfn.XLOOKUP($L535,'Balizador da Meta'!$B$4:$B$21,'Balizador da Meta'!$C$4:$C$21)</f>
        <v>54</v>
      </c>
      <c r="R535" s="28">
        <f>R517*_xlfn.XLOOKUP($L535,'Balizador da Meta'!$B$4:$B$21,'Balizador da Meta'!$C$4:$C$21)</f>
        <v>54</v>
      </c>
      <c r="S535" s="28">
        <f>S517*_xlfn.XLOOKUP($L535,'Balizador da Meta'!$B$4:$B$21,'Balizador da Meta'!$C$4:$C$21)</f>
        <v>54</v>
      </c>
      <c r="T535" s="28">
        <f>T517*_xlfn.XLOOKUP($L535,'Balizador da Meta'!$B$4:$B$21,'Balizador da Meta'!$C$4:$C$21)</f>
        <v>54</v>
      </c>
      <c r="U535" s="28">
        <f>U517*_xlfn.XLOOKUP($L535,'Balizador da Meta'!$B$4:$B$21,'Balizador da Meta'!$C$4:$C$21)</f>
        <v>54</v>
      </c>
      <c r="V535" s="28">
        <f>V517*_xlfn.XLOOKUP($L535,'Balizador da Meta'!$B$4:$B$21,'Balizador da Meta'!$C$4:$C$21)</f>
        <v>54</v>
      </c>
      <c r="W535" s="28">
        <f>W517*_xlfn.XLOOKUP($L535,'Balizador da Meta'!$B$4:$B$21,'Balizador da Meta'!$C$4:$C$21)</f>
        <v>54</v>
      </c>
      <c r="X535" s="28">
        <f>X517*_xlfn.XLOOKUP($L535,'Balizador da Meta'!$B$4:$B$21,'Balizador da Meta'!$C$4:$C$21)</f>
        <v>54</v>
      </c>
      <c r="Y535" s="28">
        <f>Y517*_xlfn.XLOOKUP($L535,'Balizador da Meta'!$B$4:$B$21,'Balizador da Meta'!$C$4:$C$21)</f>
        <v>54</v>
      </c>
      <c r="Z535" s="30">
        <f t="shared" si="128"/>
        <v>648</v>
      </c>
      <c r="AA535" s="29"/>
      <c r="AB535" s="31">
        <f>SUMIFS('Historico - FAT'!AK:AK,'Historico - FAT'!$K:$K,Faturamento!$L535,'Historico - FAT'!$I:$I,Faturamento!$J535,'Historico - FAT'!$G:$G,Faturamento!$H535)</f>
        <v>0</v>
      </c>
      <c r="AC535" s="31">
        <f>SUMIFS('Historico - FAT'!AL:AL,'Historico - FAT'!$K:$K,Faturamento!$L535,'Historico - FAT'!$I:$I,Faturamento!$J535,'Historico - FAT'!$G:$G,Faturamento!$H535)</f>
        <v>11.25</v>
      </c>
      <c r="AD535" s="31">
        <f>SUMIFS('Historico - FAT'!AM:AM,'Historico - FAT'!$K:$K,Faturamento!$L535,'Historico - FAT'!$I:$I,Faturamento!$J535,'Historico - FAT'!$G:$G,Faturamento!$H535)</f>
        <v>0</v>
      </c>
      <c r="AE535" s="27">
        <f>SUMIFS('Historico - FAT'!AN:AN,'Historico - FAT'!$K:$K,Faturamento!$L535,'Historico - FAT'!$I:$I,Faturamento!$J535,'Historico - FAT'!$G:$G,Faturamento!$H535)</f>
        <v>13.5</v>
      </c>
      <c r="AG535" s="24">
        <f t="shared" si="121"/>
        <v>1</v>
      </c>
      <c r="AH535" s="24">
        <f t="shared" si="122"/>
        <v>0.79166666666666663</v>
      </c>
      <c r="AI535" s="24">
        <f t="shared" si="123"/>
        <v>1</v>
      </c>
    </row>
    <row r="536" spans="1:35" x14ac:dyDescent="0.3">
      <c r="A536" s="2" t="str">
        <f t="shared" si="118"/>
        <v>SIM</v>
      </c>
      <c r="B536" s="2">
        <v>1000184670</v>
      </c>
      <c r="C536" s="2" t="s">
        <v>147</v>
      </c>
      <c r="D536" s="4">
        <v>1000186197</v>
      </c>
      <c r="E536" s="4" t="s">
        <v>166</v>
      </c>
      <c r="F536" s="2">
        <v>1000184756</v>
      </c>
      <c r="G536" s="2" t="s">
        <v>53</v>
      </c>
      <c r="H536" s="4">
        <v>1000189773</v>
      </c>
      <c r="I536" s="4" t="s">
        <v>93</v>
      </c>
      <c r="J536" s="2">
        <v>1000189270</v>
      </c>
      <c r="K536" s="2" t="s">
        <v>34</v>
      </c>
      <c r="L536" s="4" t="s">
        <v>124</v>
      </c>
      <c r="M536" s="4" t="str">
        <f t="shared" si="125"/>
        <v>100018467010001861971000189773100018927001. TOTAL</v>
      </c>
      <c r="N536" s="28">
        <f>SUMIFS(Positivação!L:L,Positivação!$I:$I,Faturamento!$J536,Positivação!$G:$G,Faturamento!$H536)*SUMIFS(Positivação!$Z:$Z,Positivação!$I:$I,Faturamento!$J536,Positivação!$G:$G,Faturamento!$H536)</f>
        <v>1200</v>
      </c>
      <c r="O536" s="28">
        <f>SUMIFS(Positivação!M:M,Positivação!$I:$I,Faturamento!$J536,Positivação!$G:$G,Faturamento!$H536)*SUMIFS(Positivação!$Z:$Z,Positivação!$I:$I,Faturamento!$J536,Positivação!$G:$G,Faturamento!$H536)</f>
        <v>1200</v>
      </c>
      <c r="P536" s="28">
        <f>SUMIFS(Positivação!N:N,Positivação!$I:$I,Faturamento!$J536,Positivação!$G:$G,Faturamento!$H536)*SUMIFS(Positivação!$Z:$Z,Positivação!$I:$I,Faturamento!$J536,Positivação!$G:$G,Faturamento!$H536)</f>
        <v>1200</v>
      </c>
      <c r="Q536" s="28">
        <f>SUMIFS(Positivação!O:O,Positivação!$I:$I,Faturamento!$J536,Positivação!$G:$G,Faturamento!$H536)*SUMIFS(Positivação!$Z:$Z,Positivação!$I:$I,Faturamento!$J536,Positivação!$G:$G,Faturamento!$H536)</f>
        <v>1200</v>
      </c>
      <c r="R536" s="28">
        <f>SUMIFS(Positivação!P:P,Positivação!$I:$I,Faturamento!$J536,Positivação!$G:$G,Faturamento!$H536)*SUMIFS(Positivação!$Z:$Z,Positivação!$I:$I,Faturamento!$J536,Positivação!$G:$G,Faturamento!$H536)</f>
        <v>1200</v>
      </c>
      <c r="S536" s="28">
        <f>SUMIFS(Positivação!Q:Q,Positivação!$I:$I,Faturamento!$J536,Positivação!$G:$G,Faturamento!$H536)*SUMIFS(Positivação!$Z:$Z,Positivação!$I:$I,Faturamento!$J536,Positivação!$G:$G,Faturamento!$H536)</f>
        <v>1200</v>
      </c>
      <c r="T536" s="28">
        <f>SUMIFS(Positivação!R:R,Positivação!$I:$I,Faturamento!$J536,Positivação!$G:$G,Faturamento!$H536)*SUMIFS(Positivação!$Z:$Z,Positivação!$I:$I,Faturamento!$J536,Positivação!$G:$G,Faturamento!$H536)</f>
        <v>1200</v>
      </c>
      <c r="U536" s="28">
        <f>SUMIFS(Positivação!S:S,Positivação!$I:$I,Faturamento!$J536,Positivação!$G:$G,Faturamento!$H536)*SUMIFS(Positivação!$Z:$Z,Positivação!$I:$I,Faturamento!$J536,Positivação!$G:$G,Faturamento!$H536)</f>
        <v>1200</v>
      </c>
      <c r="V536" s="28">
        <f>SUMIFS(Positivação!T:T,Positivação!$I:$I,Faturamento!$J536,Positivação!$G:$G,Faturamento!$H536)*SUMIFS(Positivação!$Z:$Z,Positivação!$I:$I,Faturamento!$J536,Positivação!$G:$G,Faturamento!$H536)</f>
        <v>1200</v>
      </c>
      <c r="W536" s="28">
        <f>SUMIFS(Positivação!U:U,Positivação!$I:$I,Faturamento!$J536,Positivação!$G:$G,Faturamento!$H536)*SUMIFS(Positivação!$Z:$Z,Positivação!$I:$I,Faturamento!$J536,Positivação!$G:$G,Faturamento!$H536)</f>
        <v>1200</v>
      </c>
      <c r="X536" s="28">
        <f>SUMIFS(Positivação!V:V,Positivação!$I:$I,Faturamento!$J536,Positivação!$G:$G,Faturamento!$H536)*SUMIFS(Positivação!$Z:$Z,Positivação!$I:$I,Faturamento!$J536,Positivação!$G:$G,Faturamento!$H536)</f>
        <v>1200</v>
      </c>
      <c r="Y536" s="28">
        <f>SUMIFS(Positivação!W:W,Positivação!$I:$I,Faturamento!$J536,Positivação!$G:$G,Faturamento!$H536)*SUMIFS(Positivação!$Z:$Z,Positivação!$I:$I,Faturamento!$J536,Positivação!$G:$G,Faturamento!$H536)</f>
        <v>1200</v>
      </c>
      <c r="Z536" s="28">
        <f t="shared" ref="Z536" si="129">SUM(Z537:Z554)</f>
        <v>14400</v>
      </c>
      <c r="AA536" s="29"/>
      <c r="AB536" s="28">
        <f t="shared" ref="AB536:AE536" si="130">SUM(AB537:AB554)</f>
        <v>0</v>
      </c>
      <c r="AC536" s="28">
        <f t="shared" si="130"/>
        <v>1144.3925000000002</v>
      </c>
      <c r="AD536" s="28">
        <f t="shared" si="130"/>
        <v>2288.7850000000003</v>
      </c>
      <c r="AE536" s="28">
        <f t="shared" si="130"/>
        <v>1373.2709999999997</v>
      </c>
      <c r="AG536" s="24">
        <f t="shared" si="121"/>
        <v>1</v>
      </c>
      <c r="AH536" s="24">
        <f t="shared" si="122"/>
        <v>4.6339583333333205E-2</v>
      </c>
      <c r="AI536" s="24">
        <f t="shared" si="123"/>
        <v>-0.90732083333333358</v>
      </c>
    </row>
    <row r="537" spans="1:35" hidden="1" x14ac:dyDescent="0.3">
      <c r="A537" s="2" t="str">
        <f t="shared" si="118"/>
        <v>NÃO</v>
      </c>
      <c r="B537" s="2">
        <v>1000184670</v>
      </c>
      <c r="C537" s="2" t="s">
        <v>147</v>
      </c>
      <c r="D537" s="4">
        <v>1000186197</v>
      </c>
      <c r="E537" s="4" t="s">
        <v>166</v>
      </c>
      <c r="F537" s="2">
        <v>1000184756</v>
      </c>
      <c r="G537" s="2" t="s">
        <v>53</v>
      </c>
      <c r="H537" s="4">
        <v>1000189773</v>
      </c>
      <c r="I537" s="4" t="s">
        <v>93</v>
      </c>
      <c r="J537" s="2">
        <v>1000189270</v>
      </c>
      <c r="K537" s="2" t="s">
        <v>34</v>
      </c>
      <c r="L537" s="4" t="s">
        <v>13</v>
      </c>
      <c r="M537" s="4" t="str">
        <f t="shared" si="125"/>
        <v>1000184670100018619710001897731000189270BISCOITO</v>
      </c>
      <c r="N537" s="28">
        <f>N536*_xlfn.XLOOKUP($L537,'Balizador da Meta'!$B$4:$B$21,'Balizador da Meta'!$C$4:$C$21)</f>
        <v>84.000000000000014</v>
      </c>
      <c r="O537" s="28">
        <f>O536*_xlfn.XLOOKUP($L537,'Balizador da Meta'!$B$4:$B$21,'Balizador da Meta'!$C$4:$C$21)</f>
        <v>84.000000000000014</v>
      </c>
      <c r="P537" s="28">
        <f>P536*_xlfn.XLOOKUP($L537,'Balizador da Meta'!$B$4:$B$21,'Balizador da Meta'!$C$4:$C$21)</f>
        <v>84.000000000000014</v>
      </c>
      <c r="Q537" s="28">
        <f>Q536*_xlfn.XLOOKUP($L537,'Balizador da Meta'!$B$4:$B$21,'Balizador da Meta'!$C$4:$C$21)</f>
        <v>84.000000000000014</v>
      </c>
      <c r="R537" s="28">
        <f>R536*_xlfn.XLOOKUP($L537,'Balizador da Meta'!$B$4:$B$21,'Balizador da Meta'!$C$4:$C$21)</f>
        <v>84.000000000000014</v>
      </c>
      <c r="S537" s="28">
        <f>S536*_xlfn.XLOOKUP($L537,'Balizador da Meta'!$B$4:$B$21,'Balizador da Meta'!$C$4:$C$21)</f>
        <v>84.000000000000014</v>
      </c>
      <c r="T537" s="28">
        <f>T536*_xlfn.XLOOKUP($L537,'Balizador da Meta'!$B$4:$B$21,'Balizador da Meta'!$C$4:$C$21)</f>
        <v>84.000000000000014</v>
      </c>
      <c r="U537" s="28">
        <f>U536*_xlfn.XLOOKUP($L537,'Balizador da Meta'!$B$4:$B$21,'Balizador da Meta'!$C$4:$C$21)</f>
        <v>84.000000000000014</v>
      </c>
      <c r="V537" s="28">
        <f>V536*_xlfn.XLOOKUP($L537,'Balizador da Meta'!$B$4:$B$21,'Balizador da Meta'!$C$4:$C$21)</f>
        <v>84.000000000000014</v>
      </c>
      <c r="W537" s="28">
        <f>W536*_xlfn.XLOOKUP($L537,'Balizador da Meta'!$B$4:$B$21,'Balizador da Meta'!$C$4:$C$21)</f>
        <v>84.000000000000014</v>
      </c>
      <c r="X537" s="28">
        <f>X536*_xlfn.XLOOKUP($L537,'Balizador da Meta'!$B$4:$B$21,'Balizador da Meta'!$C$4:$C$21)</f>
        <v>84.000000000000014</v>
      </c>
      <c r="Y537" s="28">
        <f>Y536*_xlfn.XLOOKUP($L537,'Balizador da Meta'!$B$4:$B$21,'Balizador da Meta'!$C$4:$C$21)</f>
        <v>84.000000000000014</v>
      </c>
      <c r="Z537" s="30">
        <f t="shared" ref="Z537:Z554" si="131">SUM(N537:Y537)</f>
        <v>1008.0000000000001</v>
      </c>
      <c r="AA537" s="29"/>
      <c r="AB537" s="31">
        <f>SUMIFS('Historico - FAT'!AK:AK,'Historico - FAT'!$K:$K,Faturamento!$L537,'Historico - FAT'!$I:$I,Faturamento!$J537,'Historico - FAT'!$G:$G,Faturamento!$H537)</f>
        <v>0</v>
      </c>
      <c r="AC537" s="31">
        <f>SUMIFS('Historico - FAT'!AL:AL,'Historico - FAT'!$K:$K,Faturamento!$L537,'Historico - FAT'!$I:$I,Faturamento!$J537,'Historico - FAT'!$G:$G,Faturamento!$H537)</f>
        <v>76.456666666666663</v>
      </c>
      <c r="AD537" s="31">
        <f>SUMIFS('Historico - FAT'!AM:AM,'Historico - FAT'!$K:$K,Faturamento!$L537,'Historico - FAT'!$I:$I,Faturamento!$J537,'Historico - FAT'!$G:$G,Faturamento!$H537)</f>
        <v>152.91333333333333</v>
      </c>
      <c r="AE537" s="27">
        <f>SUMIFS('Historico - FAT'!AN:AN,'Historico - FAT'!$K:$K,Faturamento!$L537,'Historico - FAT'!$I:$I,Faturamento!$J537,'Historico - FAT'!$G:$G,Faturamento!$H537)</f>
        <v>91.748000000000005</v>
      </c>
      <c r="AG537" s="24">
        <f t="shared" si="121"/>
        <v>1</v>
      </c>
      <c r="AH537" s="24">
        <f t="shared" si="122"/>
        <v>8.9801587301587493E-2</v>
      </c>
      <c r="AI537" s="24">
        <f t="shared" si="123"/>
        <v>-0.82039682539682501</v>
      </c>
    </row>
    <row r="538" spans="1:35" hidden="1" x14ac:dyDescent="0.3">
      <c r="A538" s="2" t="str">
        <f t="shared" si="118"/>
        <v>NÃO</v>
      </c>
      <c r="B538" s="2">
        <v>1000184670</v>
      </c>
      <c r="C538" s="2" t="s">
        <v>147</v>
      </c>
      <c r="D538" s="4">
        <v>1000186197</v>
      </c>
      <c r="E538" s="4" t="s">
        <v>166</v>
      </c>
      <c r="F538" s="2">
        <v>1000184756</v>
      </c>
      <c r="G538" s="2" t="s">
        <v>53</v>
      </c>
      <c r="H538" s="4">
        <v>1000189773</v>
      </c>
      <c r="I538" s="4" t="s">
        <v>93</v>
      </c>
      <c r="J538" s="2">
        <v>1000189270</v>
      </c>
      <c r="K538" s="2" t="s">
        <v>34</v>
      </c>
      <c r="L538" s="4" t="s">
        <v>14</v>
      </c>
      <c r="M538" s="4" t="str">
        <f t="shared" si="125"/>
        <v>1000184670100018619710001897731000189270CHOCOLATES</v>
      </c>
      <c r="N538" s="28">
        <f>N536*_xlfn.XLOOKUP($L538,'Balizador da Meta'!$B$4:$B$21,'Balizador da Meta'!$C$4:$C$21)</f>
        <v>84.000000000000014</v>
      </c>
      <c r="O538" s="28">
        <f>O536*_xlfn.XLOOKUP($L538,'Balizador da Meta'!$B$4:$B$21,'Balizador da Meta'!$C$4:$C$21)</f>
        <v>84.000000000000014</v>
      </c>
      <c r="P538" s="28">
        <f>P536*_xlfn.XLOOKUP($L538,'Balizador da Meta'!$B$4:$B$21,'Balizador da Meta'!$C$4:$C$21)</f>
        <v>84.000000000000014</v>
      </c>
      <c r="Q538" s="28">
        <f>Q536*_xlfn.XLOOKUP($L538,'Balizador da Meta'!$B$4:$B$21,'Balizador da Meta'!$C$4:$C$21)</f>
        <v>84.000000000000014</v>
      </c>
      <c r="R538" s="28">
        <f>R536*_xlfn.XLOOKUP($L538,'Balizador da Meta'!$B$4:$B$21,'Balizador da Meta'!$C$4:$C$21)</f>
        <v>84.000000000000014</v>
      </c>
      <c r="S538" s="28">
        <f>S536*_xlfn.XLOOKUP($L538,'Balizador da Meta'!$B$4:$B$21,'Balizador da Meta'!$C$4:$C$21)</f>
        <v>84.000000000000014</v>
      </c>
      <c r="T538" s="28">
        <f>T536*_xlfn.XLOOKUP($L538,'Balizador da Meta'!$B$4:$B$21,'Balizador da Meta'!$C$4:$C$21)</f>
        <v>84.000000000000014</v>
      </c>
      <c r="U538" s="28">
        <f>U536*_xlfn.XLOOKUP($L538,'Balizador da Meta'!$B$4:$B$21,'Balizador da Meta'!$C$4:$C$21)</f>
        <v>84.000000000000014</v>
      </c>
      <c r="V538" s="28">
        <f>V536*_xlfn.XLOOKUP($L538,'Balizador da Meta'!$B$4:$B$21,'Balizador da Meta'!$C$4:$C$21)</f>
        <v>84.000000000000014</v>
      </c>
      <c r="W538" s="28">
        <f>W536*_xlfn.XLOOKUP($L538,'Balizador da Meta'!$B$4:$B$21,'Balizador da Meta'!$C$4:$C$21)</f>
        <v>84.000000000000014</v>
      </c>
      <c r="X538" s="28">
        <f>X536*_xlfn.XLOOKUP($L538,'Balizador da Meta'!$B$4:$B$21,'Balizador da Meta'!$C$4:$C$21)</f>
        <v>84.000000000000014</v>
      </c>
      <c r="Y538" s="28">
        <f>Y536*_xlfn.XLOOKUP($L538,'Balizador da Meta'!$B$4:$B$21,'Balizador da Meta'!$C$4:$C$21)</f>
        <v>84.000000000000014</v>
      </c>
      <c r="Z538" s="30">
        <f t="shared" si="131"/>
        <v>1008.0000000000001</v>
      </c>
      <c r="AA538" s="29"/>
      <c r="AB538" s="31">
        <f>SUMIFS('Historico - FAT'!AK:AK,'Historico - FAT'!$K:$K,Faturamento!$L538,'Historico - FAT'!$I:$I,Faturamento!$J538,'Historico - FAT'!$G:$G,Faturamento!$H538)</f>
        <v>0</v>
      </c>
      <c r="AC538" s="31">
        <f>SUMIFS('Historico - FAT'!AL:AL,'Historico - FAT'!$K:$K,Faturamento!$L538,'Historico - FAT'!$I:$I,Faturamento!$J538,'Historico - FAT'!$G:$G,Faturamento!$H538)</f>
        <v>223.97499999999999</v>
      </c>
      <c r="AD538" s="31">
        <f>SUMIFS('Historico - FAT'!AM:AM,'Historico - FAT'!$K:$K,Faturamento!$L538,'Historico - FAT'!$I:$I,Faturamento!$J538,'Historico - FAT'!$G:$G,Faturamento!$H538)</f>
        <v>447.95</v>
      </c>
      <c r="AE538" s="27">
        <f>SUMIFS('Historico - FAT'!AN:AN,'Historico - FAT'!$K:$K,Faturamento!$L538,'Historico - FAT'!$I:$I,Faturamento!$J538,'Historico - FAT'!$G:$G,Faturamento!$H538)</f>
        <v>268.77</v>
      </c>
      <c r="AG538" s="24">
        <f t="shared" si="121"/>
        <v>1</v>
      </c>
      <c r="AH538" s="24">
        <f t="shared" si="122"/>
        <v>-1.6663690476190469</v>
      </c>
      <c r="AI538" s="24">
        <f t="shared" si="123"/>
        <v>-4.3327380952380947</v>
      </c>
    </row>
    <row r="539" spans="1:35" hidden="1" x14ac:dyDescent="0.3">
      <c r="A539" s="2" t="str">
        <f t="shared" si="118"/>
        <v>NÃO</v>
      </c>
      <c r="B539" s="2">
        <v>1000184670</v>
      </c>
      <c r="C539" s="2" t="s">
        <v>147</v>
      </c>
      <c r="D539" s="4">
        <v>1000186197</v>
      </c>
      <c r="E539" s="4" t="s">
        <v>166</v>
      </c>
      <c r="F539" s="2">
        <v>1000184756</v>
      </c>
      <c r="G539" s="2" t="s">
        <v>53</v>
      </c>
      <c r="H539" s="4">
        <v>1000189773</v>
      </c>
      <c r="I539" s="4" t="s">
        <v>93</v>
      </c>
      <c r="J539" s="2">
        <v>1000189270</v>
      </c>
      <c r="K539" s="2" t="s">
        <v>34</v>
      </c>
      <c r="L539" s="4" t="s">
        <v>16</v>
      </c>
      <c r="M539" s="4" t="str">
        <f t="shared" si="125"/>
        <v>1000184670100018619710001897731000189270DISNEY</v>
      </c>
      <c r="N539" s="28">
        <f>N536*_xlfn.XLOOKUP($L539,'Balizador da Meta'!$B$4:$B$21,'Balizador da Meta'!$C$4:$C$21)</f>
        <v>96</v>
      </c>
      <c r="O539" s="28">
        <f>O536*_xlfn.XLOOKUP($L539,'Balizador da Meta'!$B$4:$B$21,'Balizador da Meta'!$C$4:$C$21)</f>
        <v>96</v>
      </c>
      <c r="P539" s="28">
        <f>P536*_xlfn.XLOOKUP($L539,'Balizador da Meta'!$B$4:$B$21,'Balizador da Meta'!$C$4:$C$21)</f>
        <v>96</v>
      </c>
      <c r="Q539" s="28">
        <f>Q536*_xlfn.XLOOKUP($L539,'Balizador da Meta'!$B$4:$B$21,'Balizador da Meta'!$C$4:$C$21)</f>
        <v>96</v>
      </c>
      <c r="R539" s="28">
        <f>R536*_xlfn.XLOOKUP($L539,'Balizador da Meta'!$B$4:$B$21,'Balizador da Meta'!$C$4:$C$21)</f>
        <v>96</v>
      </c>
      <c r="S539" s="28">
        <f>S536*_xlfn.XLOOKUP($L539,'Balizador da Meta'!$B$4:$B$21,'Balizador da Meta'!$C$4:$C$21)</f>
        <v>96</v>
      </c>
      <c r="T539" s="28">
        <f>T536*_xlfn.XLOOKUP($L539,'Balizador da Meta'!$B$4:$B$21,'Balizador da Meta'!$C$4:$C$21)</f>
        <v>96</v>
      </c>
      <c r="U539" s="28">
        <f>U536*_xlfn.XLOOKUP($L539,'Balizador da Meta'!$B$4:$B$21,'Balizador da Meta'!$C$4:$C$21)</f>
        <v>96</v>
      </c>
      <c r="V539" s="28">
        <f>V536*_xlfn.XLOOKUP($L539,'Balizador da Meta'!$B$4:$B$21,'Balizador da Meta'!$C$4:$C$21)</f>
        <v>96</v>
      </c>
      <c r="W539" s="28">
        <f>W536*_xlfn.XLOOKUP($L539,'Balizador da Meta'!$B$4:$B$21,'Balizador da Meta'!$C$4:$C$21)</f>
        <v>96</v>
      </c>
      <c r="X539" s="28">
        <f>X536*_xlfn.XLOOKUP($L539,'Balizador da Meta'!$B$4:$B$21,'Balizador da Meta'!$C$4:$C$21)</f>
        <v>96</v>
      </c>
      <c r="Y539" s="28">
        <f>Y536*_xlfn.XLOOKUP($L539,'Balizador da Meta'!$B$4:$B$21,'Balizador da Meta'!$C$4:$C$21)</f>
        <v>96</v>
      </c>
      <c r="Z539" s="30">
        <f t="shared" si="131"/>
        <v>1152</v>
      </c>
      <c r="AA539" s="29"/>
      <c r="AB539" s="31">
        <f>SUMIFS('Historico - FAT'!AK:AK,'Historico - FAT'!$K:$K,Faturamento!$L539,'Historico - FAT'!$I:$I,Faturamento!$J539,'Historico - FAT'!$G:$G,Faturamento!$H539)</f>
        <v>0</v>
      </c>
      <c r="AC539" s="31">
        <f>SUMIFS('Historico - FAT'!AL:AL,'Historico - FAT'!$K:$K,Faturamento!$L539,'Historico - FAT'!$I:$I,Faturamento!$J539,'Historico - FAT'!$G:$G,Faturamento!$H539)</f>
        <v>28.793333333333333</v>
      </c>
      <c r="AD539" s="31">
        <f>SUMIFS('Historico - FAT'!AM:AM,'Historico - FAT'!$K:$K,Faturamento!$L539,'Historico - FAT'!$I:$I,Faturamento!$J539,'Historico - FAT'!$G:$G,Faturamento!$H539)</f>
        <v>57.586666666666666</v>
      </c>
      <c r="AE539" s="27">
        <f>SUMIFS('Historico - FAT'!AN:AN,'Historico - FAT'!$K:$K,Faturamento!$L539,'Historico - FAT'!$I:$I,Faturamento!$J539,'Historico - FAT'!$G:$G,Faturamento!$H539)</f>
        <v>34.552</v>
      </c>
      <c r="AG539" s="24">
        <f t="shared" si="121"/>
        <v>1</v>
      </c>
      <c r="AH539" s="24">
        <f t="shared" si="122"/>
        <v>0.70006944444444441</v>
      </c>
      <c r="AI539" s="24">
        <f t="shared" si="123"/>
        <v>0.40013888888888888</v>
      </c>
    </row>
    <row r="540" spans="1:35" hidden="1" x14ac:dyDescent="0.3">
      <c r="A540" s="2" t="str">
        <f t="shared" si="118"/>
        <v>NÃO</v>
      </c>
      <c r="B540" s="2">
        <v>1000184670</v>
      </c>
      <c r="C540" s="2" t="s">
        <v>147</v>
      </c>
      <c r="D540" s="4">
        <v>1000186197</v>
      </c>
      <c r="E540" s="4" t="s">
        <v>166</v>
      </c>
      <c r="F540" s="2">
        <v>1000184756</v>
      </c>
      <c r="G540" s="2" t="s">
        <v>53</v>
      </c>
      <c r="H540" s="4">
        <v>1000189773</v>
      </c>
      <c r="I540" s="4" t="s">
        <v>93</v>
      </c>
      <c r="J540" s="2">
        <v>1000189270</v>
      </c>
      <c r="K540" s="2" t="s">
        <v>34</v>
      </c>
      <c r="L540" s="4" t="s">
        <v>15</v>
      </c>
      <c r="M540" s="4" t="str">
        <f t="shared" si="125"/>
        <v>1000184670100018619710001897731000189270DOCES</v>
      </c>
      <c r="N540" s="28">
        <f>N536*_xlfn.XLOOKUP($L540,'Balizador da Meta'!$B$4:$B$21,'Balizador da Meta'!$C$4:$C$21)</f>
        <v>108</v>
      </c>
      <c r="O540" s="28">
        <f>O536*_xlfn.XLOOKUP($L540,'Balizador da Meta'!$B$4:$B$21,'Balizador da Meta'!$C$4:$C$21)</f>
        <v>108</v>
      </c>
      <c r="P540" s="28">
        <f>P536*_xlfn.XLOOKUP($L540,'Balizador da Meta'!$B$4:$B$21,'Balizador da Meta'!$C$4:$C$21)</f>
        <v>108</v>
      </c>
      <c r="Q540" s="28">
        <f>Q536*_xlfn.XLOOKUP($L540,'Balizador da Meta'!$B$4:$B$21,'Balizador da Meta'!$C$4:$C$21)</f>
        <v>108</v>
      </c>
      <c r="R540" s="28">
        <f>R536*_xlfn.XLOOKUP($L540,'Balizador da Meta'!$B$4:$B$21,'Balizador da Meta'!$C$4:$C$21)</f>
        <v>108</v>
      </c>
      <c r="S540" s="28">
        <f>S536*_xlfn.XLOOKUP($L540,'Balizador da Meta'!$B$4:$B$21,'Balizador da Meta'!$C$4:$C$21)</f>
        <v>108</v>
      </c>
      <c r="T540" s="28">
        <f>T536*_xlfn.XLOOKUP($L540,'Balizador da Meta'!$B$4:$B$21,'Balizador da Meta'!$C$4:$C$21)</f>
        <v>108</v>
      </c>
      <c r="U540" s="28">
        <f>U536*_xlfn.XLOOKUP($L540,'Balizador da Meta'!$B$4:$B$21,'Balizador da Meta'!$C$4:$C$21)</f>
        <v>108</v>
      </c>
      <c r="V540" s="28">
        <f>V536*_xlfn.XLOOKUP($L540,'Balizador da Meta'!$B$4:$B$21,'Balizador da Meta'!$C$4:$C$21)</f>
        <v>108</v>
      </c>
      <c r="W540" s="28">
        <f>W536*_xlfn.XLOOKUP($L540,'Balizador da Meta'!$B$4:$B$21,'Balizador da Meta'!$C$4:$C$21)</f>
        <v>108</v>
      </c>
      <c r="X540" s="28">
        <f>X536*_xlfn.XLOOKUP($L540,'Balizador da Meta'!$B$4:$B$21,'Balizador da Meta'!$C$4:$C$21)</f>
        <v>108</v>
      </c>
      <c r="Y540" s="28">
        <f>Y536*_xlfn.XLOOKUP($L540,'Balizador da Meta'!$B$4:$B$21,'Balizador da Meta'!$C$4:$C$21)</f>
        <v>108</v>
      </c>
      <c r="Z540" s="30">
        <f t="shared" si="131"/>
        <v>1296</v>
      </c>
      <c r="AA540" s="29"/>
      <c r="AB540" s="31">
        <f>SUMIFS('Historico - FAT'!AK:AK,'Historico - FAT'!$K:$K,Faturamento!$L540,'Historico - FAT'!$I:$I,Faturamento!$J540,'Historico - FAT'!$G:$G,Faturamento!$H540)</f>
        <v>0</v>
      </c>
      <c r="AC540" s="31">
        <f>SUMIFS('Historico - FAT'!AL:AL,'Historico - FAT'!$K:$K,Faturamento!$L540,'Historico - FAT'!$I:$I,Faturamento!$J540,'Historico - FAT'!$G:$G,Faturamento!$H540)</f>
        <v>307.73250000000002</v>
      </c>
      <c r="AD540" s="31">
        <f>SUMIFS('Historico - FAT'!AM:AM,'Historico - FAT'!$K:$K,Faturamento!$L540,'Historico - FAT'!$I:$I,Faturamento!$J540,'Historico - FAT'!$G:$G,Faturamento!$H540)</f>
        <v>615.46500000000003</v>
      </c>
      <c r="AE540" s="27">
        <f>SUMIFS('Historico - FAT'!AN:AN,'Historico - FAT'!$K:$K,Faturamento!$L540,'Historico - FAT'!$I:$I,Faturamento!$J540,'Historico - FAT'!$G:$G,Faturamento!$H540)</f>
        <v>369.279</v>
      </c>
      <c r="AG540" s="24">
        <f t="shared" si="121"/>
        <v>1</v>
      </c>
      <c r="AH540" s="24">
        <f t="shared" si="122"/>
        <v>-1.8493750000000002</v>
      </c>
      <c r="AI540" s="24">
        <f t="shared" si="123"/>
        <v>-4.6987500000000004</v>
      </c>
    </row>
    <row r="541" spans="1:35" hidden="1" x14ac:dyDescent="0.3">
      <c r="A541" s="2" t="str">
        <f t="shared" si="118"/>
        <v>NÃO</v>
      </c>
      <c r="B541" s="2">
        <v>1000184670</v>
      </c>
      <c r="C541" s="2" t="s">
        <v>147</v>
      </c>
      <c r="D541" s="4">
        <v>1000186197</v>
      </c>
      <c r="E541" s="4" t="s">
        <v>166</v>
      </c>
      <c r="F541" s="2">
        <v>1000184756</v>
      </c>
      <c r="G541" s="2" t="s">
        <v>53</v>
      </c>
      <c r="H541" s="4">
        <v>1000189773</v>
      </c>
      <c r="I541" s="4" t="s">
        <v>93</v>
      </c>
      <c r="J541" s="2">
        <v>1000189270</v>
      </c>
      <c r="K541" s="2" t="s">
        <v>34</v>
      </c>
      <c r="L541" s="4" t="s">
        <v>33</v>
      </c>
      <c r="M541" s="4" t="str">
        <f t="shared" si="125"/>
        <v>1000184670100018619710001897731000189270FOOD SERVICE</v>
      </c>
      <c r="N541" s="28">
        <f>N536*_xlfn.XLOOKUP($L541,'Balizador da Meta'!$B$4:$B$21,'Balizador da Meta'!$C$4:$C$21)</f>
        <v>0</v>
      </c>
      <c r="O541" s="28">
        <f>O536*_xlfn.XLOOKUP($L541,'Balizador da Meta'!$B$4:$B$21,'Balizador da Meta'!$C$4:$C$21)</f>
        <v>0</v>
      </c>
      <c r="P541" s="28">
        <f>P536*_xlfn.XLOOKUP($L541,'Balizador da Meta'!$B$4:$B$21,'Balizador da Meta'!$C$4:$C$21)</f>
        <v>0</v>
      </c>
      <c r="Q541" s="28">
        <f>Q536*_xlfn.XLOOKUP($L541,'Balizador da Meta'!$B$4:$B$21,'Balizador da Meta'!$C$4:$C$21)</f>
        <v>0</v>
      </c>
      <c r="R541" s="28">
        <f>R536*_xlfn.XLOOKUP($L541,'Balizador da Meta'!$B$4:$B$21,'Balizador da Meta'!$C$4:$C$21)</f>
        <v>0</v>
      </c>
      <c r="S541" s="28">
        <f>S536*_xlfn.XLOOKUP($L541,'Balizador da Meta'!$B$4:$B$21,'Balizador da Meta'!$C$4:$C$21)</f>
        <v>0</v>
      </c>
      <c r="T541" s="28">
        <f>T536*_xlfn.XLOOKUP($L541,'Balizador da Meta'!$B$4:$B$21,'Balizador da Meta'!$C$4:$C$21)</f>
        <v>0</v>
      </c>
      <c r="U541" s="28">
        <f>U536*_xlfn.XLOOKUP($L541,'Balizador da Meta'!$B$4:$B$21,'Balizador da Meta'!$C$4:$C$21)</f>
        <v>0</v>
      </c>
      <c r="V541" s="28">
        <f>V536*_xlfn.XLOOKUP($L541,'Balizador da Meta'!$B$4:$B$21,'Balizador da Meta'!$C$4:$C$21)</f>
        <v>0</v>
      </c>
      <c r="W541" s="28">
        <f>W536*_xlfn.XLOOKUP($L541,'Balizador da Meta'!$B$4:$B$21,'Balizador da Meta'!$C$4:$C$21)</f>
        <v>0</v>
      </c>
      <c r="X541" s="28">
        <f>X536*_xlfn.XLOOKUP($L541,'Balizador da Meta'!$B$4:$B$21,'Balizador da Meta'!$C$4:$C$21)</f>
        <v>0</v>
      </c>
      <c r="Y541" s="28">
        <f>Y536*_xlfn.XLOOKUP($L541,'Balizador da Meta'!$B$4:$B$21,'Balizador da Meta'!$C$4:$C$21)</f>
        <v>0</v>
      </c>
      <c r="Z541" s="30">
        <f t="shared" si="131"/>
        <v>0</v>
      </c>
      <c r="AA541" s="29"/>
      <c r="AB541" s="31">
        <f>SUMIFS('Historico - FAT'!AK:AK,'Historico - FAT'!$K:$K,Faturamento!$L541,'Historico - FAT'!$I:$I,Faturamento!$J541,'Historico - FAT'!$G:$G,Faturamento!$H541)</f>
        <v>0</v>
      </c>
      <c r="AC541" s="31">
        <f>SUMIFS('Historico - FAT'!AL:AL,'Historico - FAT'!$K:$K,Faturamento!$L541,'Historico - FAT'!$I:$I,Faturamento!$J541,'Historico - FAT'!$G:$G,Faturamento!$H541)</f>
        <v>0</v>
      </c>
      <c r="AD541" s="31">
        <f>SUMIFS('Historico - FAT'!AM:AM,'Historico - FAT'!$K:$K,Faturamento!$L541,'Historico - FAT'!$I:$I,Faturamento!$J541,'Historico - FAT'!$G:$G,Faturamento!$H541)</f>
        <v>0</v>
      </c>
      <c r="AE541" s="27">
        <f>SUMIFS('Historico - FAT'!AN:AN,'Historico - FAT'!$K:$K,Faturamento!$L541,'Historico - FAT'!$I:$I,Faturamento!$J541,'Historico - FAT'!$G:$G,Faturamento!$H541)</f>
        <v>0</v>
      </c>
      <c r="AG541" s="24" t="str">
        <f t="shared" si="121"/>
        <v/>
      </c>
      <c r="AH541" s="24" t="str">
        <f t="shared" si="122"/>
        <v/>
      </c>
      <c r="AI541" s="24" t="str">
        <f t="shared" si="123"/>
        <v/>
      </c>
    </row>
    <row r="542" spans="1:35" hidden="1" x14ac:dyDescent="0.3">
      <c r="A542" s="2" t="str">
        <f t="shared" si="118"/>
        <v>NÃO</v>
      </c>
      <c r="B542" s="2">
        <v>1000184670</v>
      </c>
      <c r="C542" s="2" t="s">
        <v>147</v>
      </c>
      <c r="D542" s="4">
        <v>1000186197</v>
      </c>
      <c r="E542" s="4" t="s">
        <v>166</v>
      </c>
      <c r="F542" s="2">
        <v>1000184756</v>
      </c>
      <c r="G542" s="2" t="s">
        <v>53</v>
      </c>
      <c r="H542" s="4">
        <v>1000189773</v>
      </c>
      <c r="I542" s="4" t="s">
        <v>93</v>
      </c>
      <c r="J542" s="2">
        <v>1000189270</v>
      </c>
      <c r="K542" s="2" t="s">
        <v>34</v>
      </c>
      <c r="L542" s="4" t="s">
        <v>19</v>
      </c>
      <c r="M542" s="4" t="str">
        <f t="shared" si="125"/>
        <v>1000184670100018619710001897731000189270GELEIA</v>
      </c>
      <c r="N542" s="28">
        <f>N536*_xlfn.XLOOKUP($L542,'Balizador da Meta'!$B$4:$B$21,'Balizador da Meta'!$C$4:$C$21)</f>
        <v>23.999999999999996</v>
      </c>
      <c r="O542" s="28">
        <f>O536*_xlfn.XLOOKUP($L542,'Balizador da Meta'!$B$4:$B$21,'Balizador da Meta'!$C$4:$C$21)</f>
        <v>23.999999999999996</v>
      </c>
      <c r="P542" s="28">
        <f>P536*_xlfn.XLOOKUP($L542,'Balizador da Meta'!$B$4:$B$21,'Balizador da Meta'!$C$4:$C$21)</f>
        <v>23.999999999999996</v>
      </c>
      <c r="Q542" s="28">
        <f>Q536*_xlfn.XLOOKUP($L542,'Balizador da Meta'!$B$4:$B$21,'Balizador da Meta'!$C$4:$C$21)</f>
        <v>23.999999999999996</v>
      </c>
      <c r="R542" s="28">
        <f>R536*_xlfn.XLOOKUP($L542,'Balizador da Meta'!$B$4:$B$21,'Balizador da Meta'!$C$4:$C$21)</f>
        <v>23.999999999999996</v>
      </c>
      <c r="S542" s="28">
        <f>S536*_xlfn.XLOOKUP($L542,'Balizador da Meta'!$B$4:$B$21,'Balizador da Meta'!$C$4:$C$21)</f>
        <v>23.999999999999996</v>
      </c>
      <c r="T542" s="28">
        <f>T536*_xlfn.XLOOKUP($L542,'Balizador da Meta'!$B$4:$B$21,'Balizador da Meta'!$C$4:$C$21)</f>
        <v>23.999999999999996</v>
      </c>
      <c r="U542" s="28">
        <f>U536*_xlfn.XLOOKUP($L542,'Balizador da Meta'!$B$4:$B$21,'Balizador da Meta'!$C$4:$C$21)</f>
        <v>23.999999999999996</v>
      </c>
      <c r="V542" s="28">
        <f>V536*_xlfn.XLOOKUP($L542,'Balizador da Meta'!$B$4:$B$21,'Balizador da Meta'!$C$4:$C$21)</f>
        <v>23.999999999999996</v>
      </c>
      <c r="W542" s="28">
        <f>W536*_xlfn.XLOOKUP($L542,'Balizador da Meta'!$B$4:$B$21,'Balizador da Meta'!$C$4:$C$21)</f>
        <v>23.999999999999996</v>
      </c>
      <c r="X542" s="28">
        <f>X536*_xlfn.XLOOKUP($L542,'Balizador da Meta'!$B$4:$B$21,'Balizador da Meta'!$C$4:$C$21)</f>
        <v>23.999999999999996</v>
      </c>
      <c r="Y542" s="28">
        <f>Y536*_xlfn.XLOOKUP($L542,'Balizador da Meta'!$B$4:$B$21,'Balizador da Meta'!$C$4:$C$21)</f>
        <v>23.999999999999996</v>
      </c>
      <c r="Z542" s="30">
        <f t="shared" si="131"/>
        <v>287.99999999999994</v>
      </c>
      <c r="AA542" s="29"/>
      <c r="AB542" s="31">
        <f>SUMIFS('Historico - FAT'!AK:AK,'Historico - FAT'!$K:$K,Faturamento!$L542,'Historico - FAT'!$I:$I,Faturamento!$J542,'Historico - FAT'!$G:$G,Faturamento!$H542)</f>
        <v>0</v>
      </c>
      <c r="AC542" s="31">
        <f>SUMIFS('Historico - FAT'!AL:AL,'Historico - FAT'!$K:$K,Faturamento!$L542,'Historico - FAT'!$I:$I,Faturamento!$J542,'Historico - FAT'!$G:$G,Faturamento!$H542)</f>
        <v>59.475000000000001</v>
      </c>
      <c r="AD542" s="31">
        <f>SUMIFS('Historico - FAT'!AM:AM,'Historico - FAT'!$K:$K,Faturamento!$L542,'Historico - FAT'!$I:$I,Faturamento!$J542,'Historico - FAT'!$G:$G,Faturamento!$H542)</f>
        <v>118.95</v>
      </c>
      <c r="AE542" s="27">
        <f>SUMIFS('Historico - FAT'!AN:AN,'Historico - FAT'!$K:$K,Faturamento!$L542,'Historico - FAT'!$I:$I,Faturamento!$J542,'Historico - FAT'!$G:$G,Faturamento!$H542)</f>
        <v>71.37</v>
      </c>
      <c r="AG542" s="24">
        <f t="shared" si="121"/>
        <v>1</v>
      </c>
      <c r="AH542" s="24">
        <f t="shared" si="122"/>
        <v>-1.4781250000000006</v>
      </c>
      <c r="AI542" s="24">
        <f t="shared" si="123"/>
        <v>-3.9562500000000007</v>
      </c>
    </row>
    <row r="543" spans="1:35" hidden="1" x14ac:dyDescent="0.3">
      <c r="A543" s="2" t="str">
        <f t="shared" si="118"/>
        <v>NÃO</v>
      </c>
      <c r="B543" s="2">
        <v>1000184670</v>
      </c>
      <c r="C543" s="2" t="s">
        <v>147</v>
      </c>
      <c r="D543" s="4">
        <v>1000186197</v>
      </c>
      <c r="E543" s="4" t="s">
        <v>166</v>
      </c>
      <c r="F543" s="2">
        <v>1000184756</v>
      </c>
      <c r="G543" s="2" t="s">
        <v>53</v>
      </c>
      <c r="H543" s="4">
        <v>1000189773</v>
      </c>
      <c r="I543" s="4" t="s">
        <v>93</v>
      </c>
      <c r="J543" s="2">
        <v>1000189270</v>
      </c>
      <c r="K543" s="2" t="s">
        <v>34</v>
      </c>
      <c r="L543" s="4" t="s">
        <v>17</v>
      </c>
      <c r="M543" s="4" t="str">
        <f t="shared" si="125"/>
        <v>1000184670100018619710001897731000189270GRANOLA</v>
      </c>
      <c r="N543" s="28">
        <f>N536*_xlfn.XLOOKUP($L543,'Balizador da Meta'!$B$4:$B$21,'Balizador da Meta'!$C$4:$C$21)</f>
        <v>24</v>
      </c>
      <c r="O543" s="28">
        <f>O536*_xlfn.XLOOKUP($L543,'Balizador da Meta'!$B$4:$B$21,'Balizador da Meta'!$C$4:$C$21)</f>
        <v>24</v>
      </c>
      <c r="P543" s="28">
        <f>P536*_xlfn.XLOOKUP($L543,'Balizador da Meta'!$B$4:$B$21,'Balizador da Meta'!$C$4:$C$21)</f>
        <v>24</v>
      </c>
      <c r="Q543" s="28">
        <f>Q536*_xlfn.XLOOKUP($L543,'Balizador da Meta'!$B$4:$B$21,'Balizador da Meta'!$C$4:$C$21)</f>
        <v>24</v>
      </c>
      <c r="R543" s="28">
        <f>R536*_xlfn.XLOOKUP($L543,'Balizador da Meta'!$B$4:$B$21,'Balizador da Meta'!$C$4:$C$21)</f>
        <v>24</v>
      </c>
      <c r="S543" s="28">
        <f>S536*_xlfn.XLOOKUP($L543,'Balizador da Meta'!$B$4:$B$21,'Balizador da Meta'!$C$4:$C$21)</f>
        <v>24</v>
      </c>
      <c r="T543" s="28">
        <f>T536*_xlfn.XLOOKUP($L543,'Balizador da Meta'!$B$4:$B$21,'Balizador da Meta'!$C$4:$C$21)</f>
        <v>24</v>
      </c>
      <c r="U543" s="28">
        <f>U536*_xlfn.XLOOKUP($L543,'Balizador da Meta'!$B$4:$B$21,'Balizador da Meta'!$C$4:$C$21)</f>
        <v>24</v>
      </c>
      <c r="V543" s="28">
        <f>V536*_xlfn.XLOOKUP($L543,'Balizador da Meta'!$B$4:$B$21,'Balizador da Meta'!$C$4:$C$21)</f>
        <v>24</v>
      </c>
      <c r="W543" s="28">
        <f>W536*_xlfn.XLOOKUP($L543,'Balizador da Meta'!$B$4:$B$21,'Balizador da Meta'!$C$4:$C$21)</f>
        <v>24</v>
      </c>
      <c r="X543" s="28">
        <f>X536*_xlfn.XLOOKUP($L543,'Balizador da Meta'!$B$4:$B$21,'Balizador da Meta'!$C$4:$C$21)</f>
        <v>24</v>
      </c>
      <c r="Y543" s="28">
        <f>Y536*_xlfn.XLOOKUP($L543,'Balizador da Meta'!$B$4:$B$21,'Balizador da Meta'!$C$4:$C$21)</f>
        <v>24</v>
      </c>
      <c r="Z543" s="30">
        <f t="shared" si="131"/>
        <v>288</v>
      </c>
      <c r="AA543" s="29"/>
      <c r="AB543" s="31">
        <f>SUMIFS('Historico - FAT'!AK:AK,'Historico - FAT'!$K:$K,Faturamento!$L543,'Historico - FAT'!$I:$I,Faturamento!$J543,'Historico - FAT'!$G:$G,Faturamento!$H543)</f>
        <v>0</v>
      </c>
      <c r="AC543" s="31">
        <f>SUMIFS('Historico - FAT'!AL:AL,'Historico - FAT'!$K:$K,Faturamento!$L543,'Historico - FAT'!$I:$I,Faturamento!$J543,'Historico - FAT'!$G:$G,Faturamento!$H543)</f>
        <v>0</v>
      </c>
      <c r="AD543" s="31">
        <f>SUMIFS('Historico - FAT'!AM:AM,'Historico - FAT'!$K:$K,Faturamento!$L543,'Historico - FAT'!$I:$I,Faturamento!$J543,'Historico - FAT'!$G:$G,Faturamento!$H543)</f>
        <v>0</v>
      </c>
      <c r="AE543" s="27">
        <f>SUMIFS('Historico - FAT'!AN:AN,'Historico - FAT'!$K:$K,Faturamento!$L543,'Historico - FAT'!$I:$I,Faturamento!$J543,'Historico - FAT'!$G:$G,Faturamento!$H543)</f>
        <v>0</v>
      </c>
      <c r="AG543" s="24">
        <f t="shared" si="121"/>
        <v>1</v>
      </c>
      <c r="AH543" s="24">
        <f t="shared" si="122"/>
        <v>1</v>
      </c>
      <c r="AI543" s="24">
        <f t="shared" si="123"/>
        <v>1</v>
      </c>
    </row>
    <row r="544" spans="1:35" hidden="1" x14ac:dyDescent="0.3">
      <c r="A544" s="2" t="str">
        <f t="shared" si="118"/>
        <v>NÃO</v>
      </c>
      <c r="B544" s="2">
        <v>1000184670</v>
      </c>
      <c r="C544" s="2" t="s">
        <v>147</v>
      </c>
      <c r="D544" s="4">
        <v>1000186197</v>
      </c>
      <c r="E544" s="4" t="s">
        <v>166</v>
      </c>
      <c r="F544" s="2">
        <v>1000184756</v>
      </c>
      <c r="G544" s="2" t="s">
        <v>53</v>
      </c>
      <c r="H544" s="4">
        <v>1000189773</v>
      </c>
      <c r="I544" s="4" t="s">
        <v>93</v>
      </c>
      <c r="J544" s="2">
        <v>1000189270</v>
      </c>
      <c r="K544" s="2" t="s">
        <v>34</v>
      </c>
      <c r="L544" s="4" t="s">
        <v>24</v>
      </c>
      <c r="M544" s="4" t="str">
        <f t="shared" si="125"/>
        <v>1000184670100018619710001897731000189270KIDS</v>
      </c>
      <c r="N544" s="28">
        <f>N536*_xlfn.XLOOKUP($L544,'Balizador da Meta'!$B$4:$B$21,'Balizador da Meta'!$C$4:$C$21)</f>
        <v>0</v>
      </c>
      <c r="O544" s="28">
        <f>O536*_xlfn.XLOOKUP($L544,'Balizador da Meta'!$B$4:$B$21,'Balizador da Meta'!$C$4:$C$21)</f>
        <v>0</v>
      </c>
      <c r="P544" s="28">
        <f>P536*_xlfn.XLOOKUP($L544,'Balizador da Meta'!$B$4:$B$21,'Balizador da Meta'!$C$4:$C$21)</f>
        <v>0</v>
      </c>
      <c r="Q544" s="28">
        <f>Q536*_xlfn.XLOOKUP($L544,'Balizador da Meta'!$B$4:$B$21,'Balizador da Meta'!$C$4:$C$21)</f>
        <v>0</v>
      </c>
      <c r="R544" s="28">
        <f>R536*_xlfn.XLOOKUP($L544,'Balizador da Meta'!$B$4:$B$21,'Balizador da Meta'!$C$4:$C$21)</f>
        <v>0</v>
      </c>
      <c r="S544" s="28">
        <f>S536*_xlfn.XLOOKUP($L544,'Balizador da Meta'!$B$4:$B$21,'Balizador da Meta'!$C$4:$C$21)</f>
        <v>0</v>
      </c>
      <c r="T544" s="28">
        <f>T536*_xlfn.XLOOKUP($L544,'Balizador da Meta'!$B$4:$B$21,'Balizador da Meta'!$C$4:$C$21)</f>
        <v>0</v>
      </c>
      <c r="U544" s="28">
        <f>U536*_xlfn.XLOOKUP($L544,'Balizador da Meta'!$B$4:$B$21,'Balizador da Meta'!$C$4:$C$21)</f>
        <v>0</v>
      </c>
      <c r="V544" s="28">
        <f>V536*_xlfn.XLOOKUP($L544,'Balizador da Meta'!$B$4:$B$21,'Balizador da Meta'!$C$4:$C$21)</f>
        <v>0</v>
      </c>
      <c r="W544" s="28">
        <f>W536*_xlfn.XLOOKUP($L544,'Balizador da Meta'!$B$4:$B$21,'Balizador da Meta'!$C$4:$C$21)</f>
        <v>0</v>
      </c>
      <c r="X544" s="28">
        <f>X536*_xlfn.XLOOKUP($L544,'Balizador da Meta'!$B$4:$B$21,'Balizador da Meta'!$C$4:$C$21)</f>
        <v>0</v>
      </c>
      <c r="Y544" s="28">
        <f>Y536*_xlfn.XLOOKUP($L544,'Balizador da Meta'!$B$4:$B$21,'Balizador da Meta'!$C$4:$C$21)</f>
        <v>0</v>
      </c>
      <c r="Z544" s="30">
        <f t="shared" si="131"/>
        <v>0</v>
      </c>
      <c r="AA544" s="29"/>
      <c r="AB544" s="31">
        <f>SUMIFS('Historico - FAT'!AK:AK,'Historico - FAT'!$K:$K,Faturamento!$L544,'Historico - FAT'!$I:$I,Faturamento!$J544,'Historico - FAT'!$G:$G,Faturamento!$H544)</f>
        <v>0</v>
      </c>
      <c r="AC544" s="31">
        <f>SUMIFS('Historico - FAT'!AL:AL,'Historico - FAT'!$K:$K,Faturamento!$L544,'Historico - FAT'!$I:$I,Faturamento!$J544,'Historico - FAT'!$G:$G,Faturamento!$H544)</f>
        <v>0</v>
      </c>
      <c r="AD544" s="31">
        <f>SUMIFS('Historico - FAT'!AM:AM,'Historico - FAT'!$K:$K,Faturamento!$L544,'Historico - FAT'!$I:$I,Faturamento!$J544,'Historico - FAT'!$G:$G,Faturamento!$H544)</f>
        <v>0</v>
      </c>
      <c r="AE544" s="27">
        <f>SUMIFS('Historico - FAT'!AN:AN,'Historico - FAT'!$K:$K,Faturamento!$L544,'Historico - FAT'!$I:$I,Faturamento!$J544,'Historico - FAT'!$G:$G,Faturamento!$H544)</f>
        <v>0</v>
      </c>
      <c r="AG544" s="24" t="str">
        <f t="shared" si="121"/>
        <v/>
      </c>
      <c r="AH544" s="24" t="str">
        <f t="shared" si="122"/>
        <v/>
      </c>
      <c r="AI544" s="24" t="str">
        <f t="shared" si="123"/>
        <v/>
      </c>
    </row>
    <row r="545" spans="1:35" hidden="1" x14ac:dyDescent="0.3">
      <c r="A545" s="2" t="str">
        <f t="shared" si="118"/>
        <v>NÃO</v>
      </c>
      <c r="B545" s="2">
        <v>1000184670</v>
      </c>
      <c r="C545" s="2" t="s">
        <v>147</v>
      </c>
      <c r="D545" s="4">
        <v>1000186197</v>
      </c>
      <c r="E545" s="4" t="s">
        <v>166</v>
      </c>
      <c r="F545" s="2">
        <v>1000184756</v>
      </c>
      <c r="G545" s="2" t="s">
        <v>53</v>
      </c>
      <c r="H545" s="4">
        <v>1000189773</v>
      </c>
      <c r="I545" s="4" t="s">
        <v>93</v>
      </c>
      <c r="J545" s="2">
        <v>1000189270</v>
      </c>
      <c r="K545" s="2" t="s">
        <v>34</v>
      </c>
      <c r="L545" s="4" t="s">
        <v>18</v>
      </c>
      <c r="M545" s="4" t="str">
        <f t="shared" si="125"/>
        <v>1000184670100018619710001897731000189270LANCHES</v>
      </c>
      <c r="N545" s="28">
        <f>N536*_xlfn.XLOOKUP($L545,'Balizador da Meta'!$B$4:$B$21,'Balizador da Meta'!$C$4:$C$21)</f>
        <v>12</v>
      </c>
      <c r="O545" s="28">
        <f>O536*_xlfn.XLOOKUP($L545,'Balizador da Meta'!$B$4:$B$21,'Balizador da Meta'!$C$4:$C$21)</f>
        <v>12</v>
      </c>
      <c r="P545" s="28">
        <f>P536*_xlfn.XLOOKUP($L545,'Balizador da Meta'!$B$4:$B$21,'Balizador da Meta'!$C$4:$C$21)</f>
        <v>12</v>
      </c>
      <c r="Q545" s="28">
        <f>Q536*_xlfn.XLOOKUP($L545,'Balizador da Meta'!$B$4:$B$21,'Balizador da Meta'!$C$4:$C$21)</f>
        <v>12</v>
      </c>
      <c r="R545" s="28">
        <f>R536*_xlfn.XLOOKUP($L545,'Balizador da Meta'!$B$4:$B$21,'Balizador da Meta'!$C$4:$C$21)</f>
        <v>12</v>
      </c>
      <c r="S545" s="28">
        <f>S536*_xlfn.XLOOKUP($L545,'Balizador da Meta'!$B$4:$B$21,'Balizador da Meta'!$C$4:$C$21)</f>
        <v>12</v>
      </c>
      <c r="T545" s="28">
        <f>T536*_xlfn.XLOOKUP($L545,'Balizador da Meta'!$B$4:$B$21,'Balizador da Meta'!$C$4:$C$21)</f>
        <v>12</v>
      </c>
      <c r="U545" s="28">
        <f>U536*_xlfn.XLOOKUP($L545,'Balizador da Meta'!$B$4:$B$21,'Balizador da Meta'!$C$4:$C$21)</f>
        <v>12</v>
      </c>
      <c r="V545" s="28">
        <f>V536*_xlfn.XLOOKUP($L545,'Balizador da Meta'!$B$4:$B$21,'Balizador da Meta'!$C$4:$C$21)</f>
        <v>12</v>
      </c>
      <c r="W545" s="28">
        <f>W536*_xlfn.XLOOKUP($L545,'Balizador da Meta'!$B$4:$B$21,'Balizador da Meta'!$C$4:$C$21)</f>
        <v>12</v>
      </c>
      <c r="X545" s="28">
        <f>X536*_xlfn.XLOOKUP($L545,'Balizador da Meta'!$B$4:$B$21,'Balizador da Meta'!$C$4:$C$21)</f>
        <v>12</v>
      </c>
      <c r="Y545" s="28">
        <f>Y536*_xlfn.XLOOKUP($L545,'Balizador da Meta'!$B$4:$B$21,'Balizador da Meta'!$C$4:$C$21)</f>
        <v>12</v>
      </c>
      <c r="Z545" s="30">
        <f t="shared" si="131"/>
        <v>144</v>
      </c>
      <c r="AA545" s="29"/>
      <c r="AB545" s="31">
        <f>SUMIFS('Historico - FAT'!AK:AK,'Historico - FAT'!$K:$K,Faturamento!$L545,'Historico - FAT'!$I:$I,Faturamento!$J545,'Historico - FAT'!$G:$G,Faturamento!$H545)</f>
        <v>0</v>
      </c>
      <c r="AC545" s="31">
        <f>SUMIFS('Historico - FAT'!AL:AL,'Historico - FAT'!$K:$K,Faturamento!$L545,'Historico - FAT'!$I:$I,Faturamento!$J545,'Historico - FAT'!$G:$G,Faturamento!$H545)</f>
        <v>0</v>
      </c>
      <c r="AD545" s="31">
        <f>SUMIFS('Historico - FAT'!AM:AM,'Historico - FAT'!$K:$K,Faturamento!$L545,'Historico - FAT'!$I:$I,Faturamento!$J545,'Historico - FAT'!$G:$G,Faturamento!$H545)</f>
        <v>0</v>
      </c>
      <c r="AE545" s="27">
        <f>SUMIFS('Historico - FAT'!AN:AN,'Historico - FAT'!$K:$K,Faturamento!$L545,'Historico - FAT'!$I:$I,Faturamento!$J545,'Historico - FAT'!$G:$G,Faturamento!$H545)</f>
        <v>0</v>
      </c>
      <c r="AG545" s="24">
        <f t="shared" si="121"/>
        <v>1</v>
      </c>
      <c r="AH545" s="24">
        <f t="shared" si="122"/>
        <v>1</v>
      </c>
      <c r="AI545" s="24">
        <f t="shared" si="123"/>
        <v>1</v>
      </c>
    </row>
    <row r="546" spans="1:35" hidden="1" x14ac:dyDescent="0.3">
      <c r="A546" s="2" t="str">
        <f t="shared" si="118"/>
        <v>NÃO</v>
      </c>
      <c r="B546" s="2">
        <v>1000184670</v>
      </c>
      <c r="C546" s="2" t="s">
        <v>147</v>
      </c>
      <c r="D546" s="4">
        <v>1000186197</v>
      </c>
      <c r="E546" s="4" t="s">
        <v>166</v>
      </c>
      <c r="F546" s="2">
        <v>1000184756</v>
      </c>
      <c r="G546" s="2" t="s">
        <v>53</v>
      </c>
      <c r="H546" s="4">
        <v>1000189773</v>
      </c>
      <c r="I546" s="4" t="s">
        <v>93</v>
      </c>
      <c r="J546" s="2">
        <v>1000189270</v>
      </c>
      <c r="K546" s="2" t="s">
        <v>34</v>
      </c>
      <c r="L546" s="4" t="s">
        <v>29</v>
      </c>
      <c r="M546" s="4" t="str">
        <f t="shared" si="125"/>
        <v>1000184670100018619710001897731000189270MAIS GRANEL</v>
      </c>
      <c r="N546" s="28">
        <f>N536*_xlfn.XLOOKUP($L546,'Balizador da Meta'!$B$4:$B$21,'Balizador da Meta'!$C$4:$C$21)</f>
        <v>384</v>
      </c>
      <c r="O546" s="28">
        <f>O536*_xlfn.XLOOKUP($L546,'Balizador da Meta'!$B$4:$B$21,'Balizador da Meta'!$C$4:$C$21)</f>
        <v>384</v>
      </c>
      <c r="P546" s="28">
        <f>P536*_xlfn.XLOOKUP($L546,'Balizador da Meta'!$B$4:$B$21,'Balizador da Meta'!$C$4:$C$21)</f>
        <v>384</v>
      </c>
      <c r="Q546" s="28">
        <f>Q536*_xlfn.XLOOKUP($L546,'Balizador da Meta'!$B$4:$B$21,'Balizador da Meta'!$C$4:$C$21)</f>
        <v>384</v>
      </c>
      <c r="R546" s="28">
        <f>R536*_xlfn.XLOOKUP($L546,'Balizador da Meta'!$B$4:$B$21,'Balizador da Meta'!$C$4:$C$21)</f>
        <v>384</v>
      </c>
      <c r="S546" s="28">
        <f>S536*_xlfn.XLOOKUP($L546,'Balizador da Meta'!$B$4:$B$21,'Balizador da Meta'!$C$4:$C$21)</f>
        <v>384</v>
      </c>
      <c r="T546" s="28">
        <f>T536*_xlfn.XLOOKUP($L546,'Balizador da Meta'!$B$4:$B$21,'Balizador da Meta'!$C$4:$C$21)</f>
        <v>384</v>
      </c>
      <c r="U546" s="28">
        <f>U536*_xlfn.XLOOKUP($L546,'Balizador da Meta'!$B$4:$B$21,'Balizador da Meta'!$C$4:$C$21)</f>
        <v>384</v>
      </c>
      <c r="V546" s="28">
        <f>V536*_xlfn.XLOOKUP($L546,'Balizador da Meta'!$B$4:$B$21,'Balizador da Meta'!$C$4:$C$21)</f>
        <v>384</v>
      </c>
      <c r="W546" s="28">
        <f>W536*_xlfn.XLOOKUP($L546,'Balizador da Meta'!$B$4:$B$21,'Balizador da Meta'!$C$4:$C$21)</f>
        <v>384</v>
      </c>
      <c r="X546" s="28">
        <f>X536*_xlfn.XLOOKUP($L546,'Balizador da Meta'!$B$4:$B$21,'Balizador da Meta'!$C$4:$C$21)</f>
        <v>384</v>
      </c>
      <c r="Y546" s="28">
        <f>Y536*_xlfn.XLOOKUP($L546,'Balizador da Meta'!$B$4:$B$21,'Balizador da Meta'!$C$4:$C$21)</f>
        <v>384</v>
      </c>
      <c r="Z546" s="30">
        <f t="shared" si="131"/>
        <v>4608</v>
      </c>
      <c r="AA546" s="29"/>
      <c r="AB546" s="31">
        <f>SUMIFS('Historico - FAT'!AK:AK,'Historico - FAT'!$K:$K,Faturamento!$L546,'Historico - FAT'!$I:$I,Faturamento!$J546,'Historico - FAT'!$G:$G,Faturamento!$H546)</f>
        <v>0</v>
      </c>
      <c r="AC546" s="31">
        <f>SUMIFS('Historico - FAT'!AL:AL,'Historico - FAT'!$K:$K,Faturamento!$L546,'Historico - FAT'!$I:$I,Faturamento!$J546,'Historico - FAT'!$G:$G,Faturamento!$H546)</f>
        <v>157.27500000000001</v>
      </c>
      <c r="AD546" s="31">
        <f>SUMIFS('Historico - FAT'!AM:AM,'Historico - FAT'!$K:$K,Faturamento!$L546,'Historico - FAT'!$I:$I,Faturamento!$J546,'Historico - FAT'!$G:$G,Faturamento!$H546)</f>
        <v>314.55</v>
      </c>
      <c r="AE546" s="27">
        <f>SUMIFS('Historico - FAT'!AN:AN,'Historico - FAT'!$K:$K,Faturamento!$L546,'Historico - FAT'!$I:$I,Faturamento!$J546,'Historico - FAT'!$G:$G,Faturamento!$H546)</f>
        <v>188.73</v>
      </c>
      <c r="AG546" s="24">
        <f t="shared" si="121"/>
        <v>1</v>
      </c>
      <c r="AH546" s="24">
        <f t="shared" si="122"/>
        <v>0.59042968750000002</v>
      </c>
      <c r="AI546" s="24">
        <f t="shared" si="123"/>
        <v>0.18085937499999996</v>
      </c>
    </row>
    <row r="547" spans="1:35" hidden="1" x14ac:dyDescent="0.3">
      <c r="A547" s="2" t="str">
        <f t="shared" si="118"/>
        <v>NÃO</v>
      </c>
      <c r="B547" s="2">
        <v>1000184670</v>
      </c>
      <c r="C547" s="2" t="s">
        <v>147</v>
      </c>
      <c r="D547" s="4">
        <v>1000186197</v>
      </c>
      <c r="E547" s="4" t="s">
        <v>166</v>
      </c>
      <c r="F547" s="2">
        <v>1000184756</v>
      </c>
      <c r="G547" s="2" t="s">
        <v>53</v>
      </c>
      <c r="H547" s="4">
        <v>1000189773</v>
      </c>
      <c r="I547" s="4" t="s">
        <v>93</v>
      </c>
      <c r="J547" s="2">
        <v>1000189270</v>
      </c>
      <c r="K547" s="2" t="s">
        <v>34</v>
      </c>
      <c r="L547" s="4" t="s">
        <v>21</v>
      </c>
      <c r="M547" s="4" t="str">
        <f t="shared" si="125"/>
        <v>1000184670100018619710001897731000189270NATURATTA</v>
      </c>
      <c r="N547" s="28">
        <f>N536*_xlfn.XLOOKUP($L547,'Balizador da Meta'!$B$4:$B$21,'Balizador da Meta'!$C$4:$C$21)</f>
        <v>60</v>
      </c>
      <c r="O547" s="28">
        <f>O536*_xlfn.XLOOKUP($L547,'Balizador da Meta'!$B$4:$B$21,'Balizador da Meta'!$C$4:$C$21)</f>
        <v>60</v>
      </c>
      <c r="P547" s="28">
        <f>P536*_xlfn.XLOOKUP($L547,'Balizador da Meta'!$B$4:$B$21,'Balizador da Meta'!$C$4:$C$21)</f>
        <v>60</v>
      </c>
      <c r="Q547" s="28">
        <f>Q536*_xlfn.XLOOKUP($L547,'Balizador da Meta'!$B$4:$B$21,'Balizador da Meta'!$C$4:$C$21)</f>
        <v>60</v>
      </c>
      <c r="R547" s="28">
        <f>R536*_xlfn.XLOOKUP($L547,'Balizador da Meta'!$B$4:$B$21,'Balizador da Meta'!$C$4:$C$21)</f>
        <v>60</v>
      </c>
      <c r="S547" s="28">
        <f>S536*_xlfn.XLOOKUP($L547,'Balizador da Meta'!$B$4:$B$21,'Balizador da Meta'!$C$4:$C$21)</f>
        <v>60</v>
      </c>
      <c r="T547" s="28">
        <f>T536*_xlfn.XLOOKUP($L547,'Balizador da Meta'!$B$4:$B$21,'Balizador da Meta'!$C$4:$C$21)</f>
        <v>60</v>
      </c>
      <c r="U547" s="28">
        <f>U536*_xlfn.XLOOKUP($L547,'Balizador da Meta'!$B$4:$B$21,'Balizador da Meta'!$C$4:$C$21)</f>
        <v>60</v>
      </c>
      <c r="V547" s="28">
        <f>V536*_xlfn.XLOOKUP($L547,'Balizador da Meta'!$B$4:$B$21,'Balizador da Meta'!$C$4:$C$21)</f>
        <v>60</v>
      </c>
      <c r="W547" s="28">
        <f>W536*_xlfn.XLOOKUP($L547,'Balizador da Meta'!$B$4:$B$21,'Balizador da Meta'!$C$4:$C$21)</f>
        <v>60</v>
      </c>
      <c r="X547" s="28">
        <f>X536*_xlfn.XLOOKUP($L547,'Balizador da Meta'!$B$4:$B$21,'Balizador da Meta'!$C$4:$C$21)</f>
        <v>60</v>
      </c>
      <c r="Y547" s="28">
        <f>Y536*_xlfn.XLOOKUP($L547,'Balizador da Meta'!$B$4:$B$21,'Balizador da Meta'!$C$4:$C$21)</f>
        <v>60</v>
      </c>
      <c r="Z547" s="30">
        <f t="shared" si="131"/>
        <v>720</v>
      </c>
      <c r="AA547" s="29"/>
      <c r="AB547" s="31">
        <f>SUMIFS('Historico - FAT'!AK:AK,'Historico - FAT'!$K:$K,Faturamento!$L547,'Historico - FAT'!$I:$I,Faturamento!$J547,'Historico - FAT'!$G:$G,Faturamento!$H547)</f>
        <v>0</v>
      </c>
      <c r="AC547" s="31">
        <f>SUMIFS('Historico - FAT'!AL:AL,'Historico - FAT'!$K:$K,Faturamento!$L547,'Historico - FAT'!$I:$I,Faturamento!$J547,'Historico - FAT'!$G:$G,Faturamento!$H547)</f>
        <v>17.849999999999998</v>
      </c>
      <c r="AD547" s="31">
        <f>SUMIFS('Historico - FAT'!AM:AM,'Historico - FAT'!$K:$K,Faturamento!$L547,'Historico - FAT'!$I:$I,Faturamento!$J547,'Historico - FAT'!$G:$G,Faturamento!$H547)</f>
        <v>35.699999999999996</v>
      </c>
      <c r="AE547" s="27">
        <f>SUMIFS('Historico - FAT'!AN:AN,'Historico - FAT'!$K:$K,Faturamento!$L547,'Historico - FAT'!$I:$I,Faturamento!$J547,'Historico - FAT'!$G:$G,Faturamento!$H547)</f>
        <v>21.419999999999998</v>
      </c>
      <c r="AG547" s="24">
        <f t="shared" si="121"/>
        <v>1</v>
      </c>
      <c r="AH547" s="24">
        <f t="shared" si="122"/>
        <v>0.70250000000000012</v>
      </c>
      <c r="AI547" s="24">
        <f t="shared" si="123"/>
        <v>0.40500000000000008</v>
      </c>
    </row>
    <row r="548" spans="1:35" hidden="1" x14ac:dyDescent="0.3">
      <c r="A548" s="2" t="str">
        <f t="shared" si="118"/>
        <v>NÃO</v>
      </c>
      <c r="B548" s="2">
        <v>1000184670</v>
      </c>
      <c r="C548" s="2" t="s">
        <v>147</v>
      </c>
      <c r="D548" s="4">
        <v>1000186197</v>
      </c>
      <c r="E548" s="4" t="s">
        <v>166</v>
      </c>
      <c r="F548" s="2">
        <v>1000184756</v>
      </c>
      <c r="G548" s="2" t="s">
        <v>53</v>
      </c>
      <c r="H548" s="4">
        <v>1000189773</v>
      </c>
      <c r="I548" s="4" t="s">
        <v>93</v>
      </c>
      <c r="J548" s="2">
        <v>1000189270</v>
      </c>
      <c r="K548" s="2" t="s">
        <v>34</v>
      </c>
      <c r="L548" s="4" t="s">
        <v>20</v>
      </c>
      <c r="M548" s="4" t="str">
        <f t="shared" si="125"/>
        <v>1000184670100018619710001897731000189270REEMBALADOS</v>
      </c>
      <c r="N548" s="28">
        <f>N536*_xlfn.XLOOKUP($L548,'Balizador da Meta'!$B$4:$B$21,'Balizador da Meta'!$C$4:$C$21)</f>
        <v>48</v>
      </c>
      <c r="O548" s="28">
        <f>O536*_xlfn.XLOOKUP($L548,'Balizador da Meta'!$B$4:$B$21,'Balizador da Meta'!$C$4:$C$21)</f>
        <v>48</v>
      </c>
      <c r="P548" s="28">
        <f>P536*_xlfn.XLOOKUP($L548,'Balizador da Meta'!$B$4:$B$21,'Balizador da Meta'!$C$4:$C$21)</f>
        <v>48</v>
      </c>
      <c r="Q548" s="28">
        <f>Q536*_xlfn.XLOOKUP($L548,'Balizador da Meta'!$B$4:$B$21,'Balizador da Meta'!$C$4:$C$21)</f>
        <v>48</v>
      </c>
      <c r="R548" s="28">
        <f>R536*_xlfn.XLOOKUP($L548,'Balizador da Meta'!$B$4:$B$21,'Balizador da Meta'!$C$4:$C$21)</f>
        <v>48</v>
      </c>
      <c r="S548" s="28">
        <f>S536*_xlfn.XLOOKUP($L548,'Balizador da Meta'!$B$4:$B$21,'Balizador da Meta'!$C$4:$C$21)</f>
        <v>48</v>
      </c>
      <c r="T548" s="28">
        <f>T536*_xlfn.XLOOKUP($L548,'Balizador da Meta'!$B$4:$B$21,'Balizador da Meta'!$C$4:$C$21)</f>
        <v>48</v>
      </c>
      <c r="U548" s="28">
        <f>U536*_xlfn.XLOOKUP($L548,'Balizador da Meta'!$B$4:$B$21,'Balizador da Meta'!$C$4:$C$21)</f>
        <v>48</v>
      </c>
      <c r="V548" s="28">
        <f>V536*_xlfn.XLOOKUP($L548,'Balizador da Meta'!$B$4:$B$21,'Balizador da Meta'!$C$4:$C$21)</f>
        <v>48</v>
      </c>
      <c r="W548" s="28">
        <f>W536*_xlfn.XLOOKUP($L548,'Balizador da Meta'!$B$4:$B$21,'Balizador da Meta'!$C$4:$C$21)</f>
        <v>48</v>
      </c>
      <c r="X548" s="28">
        <f>X536*_xlfn.XLOOKUP($L548,'Balizador da Meta'!$B$4:$B$21,'Balizador da Meta'!$C$4:$C$21)</f>
        <v>48</v>
      </c>
      <c r="Y548" s="28">
        <f>Y536*_xlfn.XLOOKUP($L548,'Balizador da Meta'!$B$4:$B$21,'Balizador da Meta'!$C$4:$C$21)</f>
        <v>48</v>
      </c>
      <c r="Z548" s="30">
        <f t="shared" si="131"/>
        <v>576</v>
      </c>
      <c r="AA548" s="29"/>
      <c r="AB548" s="31">
        <f>SUMIFS('Historico - FAT'!AK:AK,'Historico - FAT'!$K:$K,Faturamento!$L548,'Historico - FAT'!$I:$I,Faturamento!$J548,'Historico - FAT'!$G:$G,Faturamento!$H548)</f>
        <v>0</v>
      </c>
      <c r="AC548" s="31">
        <f>SUMIFS('Historico - FAT'!AL:AL,'Historico - FAT'!$K:$K,Faturamento!$L548,'Historico - FAT'!$I:$I,Faturamento!$J548,'Historico - FAT'!$G:$G,Faturamento!$H548)</f>
        <v>0</v>
      </c>
      <c r="AD548" s="31">
        <f>SUMIFS('Historico - FAT'!AM:AM,'Historico - FAT'!$K:$K,Faturamento!$L548,'Historico - FAT'!$I:$I,Faturamento!$J548,'Historico - FAT'!$G:$G,Faturamento!$H548)</f>
        <v>0</v>
      </c>
      <c r="AE548" s="27">
        <f>SUMIFS('Historico - FAT'!AN:AN,'Historico - FAT'!$K:$K,Faturamento!$L548,'Historico - FAT'!$I:$I,Faturamento!$J548,'Historico - FAT'!$G:$G,Faturamento!$H548)</f>
        <v>0</v>
      </c>
      <c r="AG548" s="24">
        <f t="shared" si="121"/>
        <v>1</v>
      </c>
      <c r="AH548" s="24">
        <f t="shared" si="122"/>
        <v>1</v>
      </c>
      <c r="AI548" s="24">
        <f t="shared" si="123"/>
        <v>1</v>
      </c>
    </row>
    <row r="549" spans="1:35" hidden="1" x14ac:dyDescent="0.3">
      <c r="A549" s="2" t="str">
        <f t="shared" si="118"/>
        <v>NÃO</v>
      </c>
      <c r="B549" s="2">
        <v>1000184670</v>
      </c>
      <c r="C549" s="2" t="s">
        <v>147</v>
      </c>
      <c r="D549" s="4">
        <v>1000186197</v>
      </c>
      <c r="E549" s="4" t="s">
        <v>166</v>
      </c>
      <c r="F549" s="2">
        <v>1000184756</v>
      </c>
      <c r="G549" s="2" t="s">
        <v>53</v>
      </c>
      <c r="H549" s="4">
        <v>1000189773</v>
      </c>
      <c r="I549" s="4" t="s">
        <v>93</v>
      </c>
      <c r="J549" s="2">
        <v>1000189270</v>
      </c>
      <c r="K549" s="2" t="s">
        <v>34</v>
      </c>
      <c r="L549" s="4" t="s">
        <v>22</v>
      </c>
      <c r="M549" s="4" t="str">
        <f t="shared" si="125"/>
        <v>1000184670100018619710001897731000189270S GLUTEN</v>
      </c>
      <c r="N549" s="28">
        <f>N536*_xlfn.XLOOKUP($L549,'Balizador da Meta'!$B$4:$B$21,'Balizador da Meta'!$C$4:$C$21)</f>
        <v>48</v>
      </c>
      <c r="O549" s="28">
        <f>O536*_xlfn.XLOOKUP($L549,'Balizador da Meta'!$B$4:$B$21,'Balizador da Meta'!$C$4:$C$21)</f>
        <v>48</v>
      </c>
      <c r="P549" s="28">
        <f>P536*_xlfn.XLOOKUP($L549,'Balizador da Meta'!$B$4:$B$21,'Balizador da Meta'!$C$4:$C$21)</f>
        <v>48</v>
      </c>
      <c r="Q549" s="28">
        <f>Q536*_xlfn.XLOOKUP($L549,'Balizador da Meta'!$B$4:$B$21,'Balizador da Meta'!$C$4:$C$21)</f>
        <v>48</v>
      </c>
      <c r="R549" s="28">
        <f>R536*_xlfn.XLOOKUP($L549,'Balizador da Meta'!$B$4:$B$21,'Balizador da Meta'!$C$4:$C$21)</f>
        <v>48</v>
      </c>
      <c r="S549" s="28">
        <f>S536*_xlfn.XLOOKUP($L549,'Balizador da Meta'!$B$4:$B$21,'Balizador da Meta'!$C$4:$C$21)</f>
        <v>48</v>
      </c>
      <c r="T549" s="28">
        <f>T536*_xlfn.XLOOKUP($L549,'Balizador da Meta'!$B$4:$B$21,'Balizador da Meta'!$C$4:$C$21)</f>
        <v>48</v>
      </c>
      <c r="U549" s="28">
        <f>U536*_xlfn.XLOOKUP($L549,'Balizador da Meta'!$B$4:$B$21,'Balizador da Meta'!$C$4:$C$21)</f>
        <v>48</v>
      </c>
      <c r="V549" s="28">
        <f>V536*_xlfn.XLOOKUP($L549,'Balizador da Meta'!$B$4:$B$21,'Balizador da Meta'!$C$4:$C$21)</f>
        <v>48</v>
      </c>
      <c r="W549" s="28">
        <f>W536*_xlfn.XLOOKUP($L549,'Balizador da Meta'!$B$4:$B$21,'Balizador da Meta'!$C$4:$C$21)</f>
        <v>48</v>
      </c>
      <c r="X549" s="28">
        <f>X536*_xlfn.XLOOKUP($L549,'Balizador da Meta'!$B$4:$B$21,'Balizador da Meta'!$C$4:$C$21)</f>
        <v>48</v>
      </c>
      <c r="Y549" s="28">
        <f>Y536*_xlfn.XLOOKUP($L549,'Balizador da Meta'!$B$4:$B$21,'Balizador da Meta'!$C$4:$C$21)</f>
        <v>48</v>
      </c>
      <c r="Z549" s="30">
        <f t="shared" si="131"/>
        <v>576</v>
      </c>
      <c r="AA549" s="29"/>
      <c r="AB549" s="31">
        <f>SUMIFS('Historico - FAT'!AK:AK,'Historico - FAT'!$K:$K,Faturamento!$L549,'Historico - FAT'!$I:$I,Faturamento!$J549,'Historico - FAT'!$G:$G,Faturamento!$H549)</f>
        <v>0</v>
      </c>
      <c r="AC549" s="31">
        <f>SUMIFS('Historico - FAT'!AL:AL,'Historico - FAT'!$K:$K,Faturamento!$L549,'Historico - FAT'!$I:$I,Faturamento!$J549,'Historico - FAT'!$G:$G,Faturamento!$H549)</f>
        <v>49</v>
      </c>
      <c r="AD549" s="31">
        <f>SUMIFS('Historico - FAT'!AM:AM,'Historico - FAT'!$K:$K,Faturamento!$L549,'Historico - FAT'!$I:$I,Faturamento!$J549,'Historico - FAT'!$G:$G,Faturamento!$H549)</f>
        <v>98</v>
      </c>
      <c r="AE549" s="27">
        <f>SUMIFS('Historico - FAT'!AN:AN,'Historico - FAT'!$K:$K,Faturamento!$L549,'Historico - FAT'!$I:$I,Faturamento!$J549,'Historico - FAT'!$G:$G,Faturamento!$H549)</f>
        <v>58.8</v>
      </c>
      <c r="AG549" s="24">
        <f t="shared" si="121"/>
        <v>1</v>
      </c>
      <c r="AH549" s="24">
        <f t="shared" si="122"/>
        <v>-2.0833333333333332E-2</v>
      </c>
      <c r="AI549" s="24">
        <f t="shared" si="123"/>
        <v>-1.0416666666666667</v>
      </c>
    </row>
    <row r="550" spans="1:35" hidden="1" x14ac:dyDescent="0.3">
      <c r="A550" s="2" t="str">
        <f t="shared" si="118"/>
        <v>NÃO</v>
      </c>
      <c r="B550" s="2">
        <v>1000184670</v>
      </c>
      <c r="C550" s="2" t="s">
        <v>147</v>
      </c>
      <c r="D550" s="4">
        <v>1000186197</v>
      </c>
      <c r="E550" s="4" t="s">
        <v>166</v>
      </c>
      <c r="F550" s="2">
        <v>1000184756</v>
      </c>
      <c r="G550" s="2" t="s">
        <v>53</v>
      </c>
      <c r="H550" s="4">
        <v>1000189773</v>
      </c>
      <c r="I550" s="4" t="s">
        <v>93</v>
      </c>
      <c r="J550" s="2">
        <v>1000189270</v>
      </c>
      <c r="K550" s="2" t="s">
        <v>34</v>
      </c>
      <c r="L550" s="4" t="s">
        <v>23</v>
      </c>
      <c r="M550" s="4" t="str">
        <f t="shared" si="125"/>
        <v>1000184670100018619710001897731000189270SABORES DO CAMPO</v>
      </c>
      <c r="N550" s="28">
        <f>N536*_xlfn.XLOOKUP($L550,'Balizador da Meta'!$B$4:$B$21,'Balizador da Meta'!$C$4:$C$21)</f>
        <v>0</v>
      </c>
      <c r="O550" s="28">
        <f>O536*_xlfn.XLOOKUP($L550,'Balizador da Meta'!$B$4:$B$21,'Balizador da Meta'!$C$4:$C$21)</f>
        <v>0</v>
      </c>
      <c r="P550" s="28">
        <f>P536*_xlfn.XLOOKUP($L550,'Balizador da Meta'!$B$4:$B$21,'Balizador da Meta'!$C$4:$C$21)</f>
        <v>0</v>
      </c>
      <c r="Q550" s="28">
        <f>Q536*_xlfn.XLOOKUP($L550,'Balizador da Meta'!$B$4:$B$21,'Balizador da Meta'!$C$4:$C$21)</f>
        <v>0</v>
      </c>
      <c r="R550" s="28">
        <f>R536*_xlfn.XLOOKUP($L550,'Balizador da Meta'!$B$4:$B$21,'Balizador da Meta'!$C$4:$C$21)</f>
        <v>0</v>
      </c>
      <c r="S550" s="28">
        <f>S536*_xlfn.XLOOKUP($L550,'Balizador da Meta'!$B$4:$B$21,'Balizador da Meta'!$C$4:$C$21)</f>
        <v>0</v>
      </c>
      <c r="T550" s="28">
        <f>T536*_xlfn.XLOOKUP($L550,'Balizador da Meta'!$B$4:$B$21,'Balizador da Meta'!$C$4:$C$21)</f>
        <v>0</v>
      </c>
      <c r="U550" s="28">
        <f>U536*_xlfn.XLOOKUP($L550,'Balizador da Meta'!$B$4:$B$21,'Balizador da Meta'!$C$4:$C$21)</f>
        <v>0</v>
      </c>
      <c r="V550" s="28">
        <f>V536*_xlfn.XLOOKUP($L550,'Balizador da Meta'!$B$4:$B$21,'Balizador da Meta'!$C$4:$C$21)</f>
        <v>0</v>
      </c>
      <c r="W550" s="28">
        <f>W536*_xlfn.XLOOKUP($L550,'Balizador da Meta'!$B$4:$B$21,'Balizador da Meta'!$C$4:$C$21)</f>
        <v>0</v>
      </c>
      <c r="X550" s="28">
        <f>X536*_xlfn.XLOOKUP($L550,'Balizador da Meta'!$B$4:$B$21,'Balizador da Meta'!$C$4:$C$21)</f>
        <v>0</v>
      </c>
      <c r="Y550" s="28">
        <f>Y536*_xlfn.XLOOKUP($L550,'Balizador da Meta'!$B$4:$B$21,'Balizador da Meta'!$C$4:$C$21)</f>
        <v>0</v>
      </c>
      <c r="Z550" s="30">
        <f t="shared" si="131"/>
        <v>0</v>
      </c>
      <c r="AA550" s="29"/>
      <c r="AB550" s="31">
        <f>SUMIFS('Historico - FAT'!AK:AK,'Historico - FAT'!$K:$K,Faturamento!$L550,'Historico - FAT'!$I:$I,Faturamento!$J550,'Historico - FAT'!$G:$G,Faturamento!$H550)</f>
        <v>0</v>
      </c>
      <c r="AC550" s="31">
        <f>SUMIFS('Historico - FAT'!AL:AL,'Historico - FAT'!$K:$K,Faturamento!$L550,'Historico - FAT'!$I:$I,Faturamento!$J550,'Historico - FAT'!$G:$G,Faturamento!$H550)</f>
        <v>64.76166666666667</v>
      </c>
      <c r="AD550" s="31">
        <f>SUMIFS('Historico - FAT'!AM:AM,'Historico - FAT'!$K:$K,Faturamento!$L550,'Historico - FAT'!$I:$I,Faturamento!$J550,'Historico - FAT'!$G:$G,Faturamento!$H550)</f>
        <v>129.52333333333334</v>
      </c>
      <c r="AE550" s="27">
        <f>SUMIFS('Historico - FAT'!AN:AN,'Historico - FAT'!$K:$K,Faturamento!$L550,'Historico - FAT'!$I:$I,Faturamento!$J550,'Historico - FAT'!$G:$G,Faturamento!$H550)</f>
        <v>77.713999999999999</v>
      </c>
      <c r="AG550" s="24" t="str">
        <f t="shared" si="121"/>
        <v/>
      </c>
      <c r="AH550" s="24" t="str">
        <f t="shared" si="122"/>
        <v/>
      </c>
      <c r="AI550" s="24" t="str">
        <f t="shared" si="123"/>
        <v/>
      </c>
    </row>
    <row r="551" spans="1:35" hidden="1" x14ac:dyDescent="0.3">
      <c r="A551" s="2" t="str">
        <f t="shared" si="118"/>
        <v>NÃO</v>
      </c>
      <c r="B551" s="2">
        <v>1000184670</v>
      </c>
      <c r="C551" s="2" t="s">
        <v>147</v>
      </c>
      <c r="D551" s="4">
        <v>1000186197</v>
      </c>
      <c r="E551" s="4" t="s">
        <v>166</v>
      </c>
      <c r="F551" s="2">
        <v>1000184756</v>
      </c>
      <c r="G551" s="2" t="s">
        <v>53</v>
      </c>
      <c r="H551" s="4">
        <v>1000189773</v>
      </c>
      <c r="I551" s="4" t="s">
        <v>93</v>
      </c>
      <c r="J551" s="2">
        <v>1000189270</v>
      </c>
      <c r="K551" s="2" t="s">
        <v>34</v>
      </c>
      <c r="L551" s="4" t="s">
        <v>28</v>
      </c>
      <c r="M551" s="4" t="str">
        <f t="shared" si="125"/>
        <v>1000184670100018619710001897731000189270SAL</v>
      </c>
      <c r="N551" s="28">
        <f>N536*_xlfn.XLOOKUP($L551,'Balizador da Meta'!$B$4:$B$21,'Balizador da Meta'!$C$4:$C$21)</f>
        <v>24</v>
      </c>
      <c r="O551" s="28">
        <f>O536*_xlfn.XLOOKUP($L551,'Balizador da Meta'!$B$4:$B$21,'Balizador da Meta'!$C$4:$C$21)</f>
        <v>24</v>
      </c>
      <c r="P551" s="28">
        <f>P536*_xlfn.XLOOKUP($L551,'Balizador da Meta'!$B$4:$B$21,'Balizador da Meta'!$C$4:$C$21)</f>
        <v>24</v>
      </c>
      <c r="Q551" s="28">
        <f>Q536*_xlfn.XLOOKUP($L551,'Balizador da Meta'!$B$4:$B$21,'Balizador da Meta'!$C$4:$C$21)</f>
        <v>24</v>
      </c>
      <c r="R551" s="28">
        <f>R536*_xlfn.XLOOKUP($L551,'Balizador da Meta'!$B$4:$B$21,'Balizador da Meta'!$C$4:$C$21)</f>
        <v>24</v>
      </c>
      <c r="S551" s="28">
        <f>S536*_xlfn.XLOOKUP($L551,'Balizador da Meta'!$B$4:$B$21,'Balizador da Meta'!$C$4:$C$21)</f>
        <v>24</v>
      </c>
      <c r="T551" s="28">
        <f>T536*_xlfn.XLOOKUP($L551,'Balizador da Meta'!$B$4:$B$21,'Balizador da Meta'!$C$4:$C$21)</f>
        <v>24</v>
      </c>
      <c r="U551" s="28">
        <f>U536*_xlfn.XLOOKUP($L551,'Balizador da Meta'!$B$4:$B$21,'Balizador da Meta'!$C$4:$C$21)</f>
        <v>24</v>
      </c>
      <c r="V551" s="28">
        <f>V536*_xlfn.XLOOKUP($L551,'Balizador da Meta'!$B$4:$B$21,'Balizador da Meta'!$C$4:$C$21)</f>
        <v>24</v>
      </c>
      <c r="W551" s="28">
        <f>W536*_xlfn.XLOOKUP($L551,'Balizador da Meta'!$B$4:$B$21,'Balizador da Meta'!$C$4:$C$21)</f>
        <v>24</v>
      </c>
      <c r="X551" s="28">
        <f>X536*_xlfn.XLOOKUP($L551,'Balizador da Meta'!$B$4:$B$21,'Balizador da Meta'!$C$4:$C$21)</f>
        <v>24</v>
      </c>
      <c r="Y551" s="28">
        <f>Y536*_xlfn.XLOOKUP($L551,'Balizador da Meta'!$B$4:$B$21,'Balizador da Meta'!$C$4:$C$21)</f>
        <v>24</v>
      </c>
      <c r="Z551" s="30">
        <f t="shared" si="131"/>
        <v>288</v>
      </c>
      <c r="AA551" s="29"/>
      <c r="AB551" s="31">
        <f>SUMIFS('Historico - FAT'!AK:AK,'Historico - FAT'!$K:$K,Faturamento!$L551,'Historico - FAT'!$I:$I,Faturamento!$J551,'Historico - FAT'!$G:$G,Faturamento!$H551)</f>
        <v>0</v>
      </c>
      <c r="AC551" s="31">
        <f>SUMIFS('Historico - FAT'!AL:AL,'Historico - FAT'!$K:$K,Faturamento!$L551,'Historico - FAT'!$I:$I,Faturamento!$J551,'Historico - FAT'!$G:$G,Faturamento!$H551)</f>
        <v>0</v>
      </c>
      <c r="AD551" s="31">
        <f>SUMIFS('Historico - FAT'!AM:AM,'Historico - FAT'!$K:$K,Faturamento!$L551,'Historico - FAT'!$I:$I,Faturamento!$J551,'Historico - FAT'!$G:$G,Faturamento!$H551)</f>
        <v>0</v>
      </c>
      <c r="AE551" s="27">
        <f>SUMIFS('Historico - FAT'!AN:AN,'Historico - FAT'!$K:$K,Faturamento!$L551,'Historico - FAT'!$I:$I,Faturamento!$J551,'Historico - FAT'!$G:$G,Faturamento!$H551)</f>
        <v>0</v>
      </c>
      <c r="AG551" s="24">
        <f t="shared" si="121"/>
        <v>1</v>
      </c>
      <c r="AH551" s="24">
        <f t="shared" si="122"/>
        <v>1</v>
      </c>
      <c r="AI551" s="24">
        <f t="shared" si="123"/>
        <v>1</v>
      </c>
    </row>
    <row r="552" spans="1:35" hidden="1" x14ac:dyDescent="0.3">
      <c r="A552" s="2" t="str">
        <f t="shared" si="118"/>
        <v>NÃO</v>
      </c>
      <c r="B552" s="2">
        <v>1000184670</v>
      </c>
      <c r="C552" s="2" t="s">
        <v>147</v>
      </c>
      <c r="D552" s="4">
        <v>1000186197</v>
      </c>
      <c r="E552" s="4" t="s">
        <v>166</v>
      </c>
      <c r="F552" s="2">
        <v>1000184756</v>
      </c>
      <c r="G552" s="2" t="s">
        <v>53</v>
      </c>
      <c r="H552" s="4">
        <v>1000189773</v>
      </c>
      <c r="I552" s="4" t="s">
        <v>93</v>
      </c>
      <c r="J552" s="2">
        <v>1000189270</v>
      </c>
      <c r="K552" s="2" t="s">
        <v>34</v>
      </c>
      <c r="L552" s="4" t="s">
        <v>26</v>
      </c>
      <c r="M552" s="4" t="str">
        <f t="shared" si="125"/>
        <v>1000184670100018619710001897731000189270SOULPRO</v>
      </c>
      <c r="N552" s="28">
        <f>N536*_xlfn.XLOOKUP($L552,'Balizador da Meta'!$B$4:$B$21,'Balizador da Meta'!$C$4:$C$21)</f>
        <v>72</v>
      </c>
      <c r="O552" s="28">
        <f>O536*_xlfn.XLOOKUP($L552,'Balizador da Meta'!$B$4:$B$21,'Balizador da Meta'!$C$4:$C$21)</f>
        <v>72</v>
      </c>
      <c r="P552" s="28">
        <f>P536*_xlfn.XLOOKUP($L552,'Balizador da Meta'!$B$4:$B$21,'Balizador da Meta'!$C$4:$C$21)</f>
        <v>72</v>
      </c>
      <c r="Q552" s="28">
        <f>Q536*_xlfn.XLOOKUP($L552,'Balizador da Meta'!$B$4:$B$21,'Balizador da Meta'!$C$4:$C$21)</f>
        <v>72</v>
      </c>
      <c r="R552" s="28">
        <f>R536*_xlfn.XLOOKUP($L552,'Balizador da Meta'!$B$4:$B$21,'Balizador da Meta'!$C$4:$C$21)</f>
        <v>72</v>
      </c>
      <c r="S552" s="28">
        <f>S536*_xlfn.XLOOKUP($L552,'Balizador da Meta'!$B$4:$B$21,'Balizador da Meta'!$C$4:$C$21)</f>
        <v>72</v>
      </c>
      <c r="T552" s="28">
        <f>T536*_xlfn.XLOOKUP($L552,'Balizador da Meta'!$B$4:$B$21,'Balizador da Meta'!$C$4:$C$21)</f>
        <v>72</v>
      </c>
      <c r="U552" s="28">
        <f>U536*_xlfn.XLOOKUP($L552,'Balizador da Meta'!$B$4:$B$21,'Balizador da Meta'!$C$4:$C$21)</f>
        <v>72</v>
      </c>
      <c r="V552" s="28">
        <f>V536*_xlfn.XLOOKUP($L552,'Balizador da Meta'!$B$4:$B$21,'Balizador da Meta'!$C$4:$C$21)</f>
        <v>72</v>
      </c>
      <c r="W552" s="28">
        <f>W536*_xlfn.XLOOKUP($L552,'Balizador da Meta'!$B$4:$B$21,'Balizador da Meta'!$C$4:$C$21)</f>
        <v>72</v>
      </c>
      <c r="X552" s="28">
        <f>X536*_xlfn.XLOOKUP($L552,'Balizador da Meta'!$B$4:$B$21,'Balizador da Meta'!$C$4:$C$21)</f>
        <v>72</v>
      </c>
      <c r="Y552" s="28">
        <f>Y536*_xlfn.XLOOKUP($L552,'Balizador da Meta'!$B$4:$B$21,'Balizador da Meta'!$C$4:$C$21)</f>
        <v>72</v>
      </c>
      <c r="Z552" s="30">
        <f t="shared" si="131"/>
        <v>864</v>
      </c>
      <c r="AA552" s="29"/>
      <c r="AB552" s="31">
        <f>SUMIFS('Historico - FAT'!AK:AK,'Historico - FAT'!$K:$K,Faturamento!$L552,'Historico - FAT'!$I:$I,Faturamento!$J552,'Historico - FAT'!$G:$G,Faturamento!$H552)</f>
        <v>0</v>
      </c>
      <c r="AC552" s="31">
        <f>SUMIFS('Historico - FAT'!AL:AL,'Historico - FAT'!$K:$K,Faturamento!$L552,'Historico - FAT'!$I:$I,Faturamento!$J552,'Historico - FAT'!$G:$G,Faturamento!$H552)</f>
        <v>0</v>
      </c>
      <c r="AD552" s="31">
        <f>SUMIFS('Historico - FAT'!AM:AM,'Historico - FAT'!$K:$K,Faturamento!$L552,'Historico - FAT'!$I:$I,Faturamento!$J552,'Historico - FAT'!$G:$G,Faturamento!$H552)</f>
        <v>0</v>
      </c>
      <c r="AE552" s="27">
        <f>SUMIFS('Historico - FAT'!AN:AN,'Historico - FAT'!$K:$K,Faturamento!$L552,'Historico - FAT'!$I:$I,Faturamento!$J552,'Historico - FAT'!$G:$G,Faturamento!$H552)</f>
        <v>0</v>
      </c>
      <c r="AG552" s="24">
        <f t="shared" si="121"/>
        <v>1</v>
      </c>
      <c r="AH552" s="24">
        <f t="shared" si="122"/>
        <v>1</v>
      </c>
      <c r="AI552" s="24">
        <f t="shared" si="123"/>
        <v>1</v>
      </c>
    </row>
    <row r="553" spans="1:35" hidden="1" x14ac:dyDescent="0.3">
      <c r="A553" s="2" t="str">
        <f t="shared" si="118"/>
        <v>NÃO</v>
      </c>
      <c r="B553" s="2">
        <v>1000184670</v>
      </c>
      <c r="C553" s="2" t="s">
        <v>147</v>
      </c>
      <c r="D553" s="4">
        <v>1000186197</v>
      </c>
      <c r="E553" s="4" t="s">
        <v>166</v>
      </c>
      <c r="F553" s="2">
        <v>1000184756</v>
      </c>
      <c r="G553" s="2" t="s">
        <v>53</v>
      </c>
      <c r="H553" s="4">
        <v>1000189773</v>
      </c>
      <c r="I553" s="4" t="s">
        <v>93</v>
      </c>
      <c r="J553" s="2">
        <v>1000189270</v>
      </c>
      <c r="K553" s="2" t="s">
        <v>34</v>
      </c>
      <c r="L553" s="4" t="s">
        <v>27</v>
      </c>
      <c r="M553" s="4" t="str">
        <f t="shared" si="125"/>
        <v>1000184670100018619710001897731000189270TAMARA</v>
      </c>
      <c r="N553" s="28">
        <f>N536*_xlfn.XLOOKUP($L553,'Balizador da Meta'!$B$4:$B$21,'Balizador da Meta'!$C$4:$C$21)</f>
        <v>96</v>
      </c>
      <c r="O553" s="28">
        <f>O536*_xlfn.XLOOKUP($L553,'Balizador da Meta'!$B$4:$B$21,'Balizador da Meta'!$C$4:$C$21)</f>
        <v>96</v>
      </c>
      <c r="P553" s="28">
        <f>P536*_xlfn.XLOOKUP($L553,'Balizador da Meta'!$B$4:$B$21,'Balizador da Meta'!$C$4:$C$21)</f>
        <v>96</v>
      </c>
      <c r="Q553" s="28">
        <f>Q536*_xlfn.XLOOKUP($L553,'Balizador da Meta'!$B$4:$B$21,'Balizador da Meta'!$C$4:$C$21)</f>
        <v>96</v>
      </c>
      <c r="R553" s="28">
        <f>R536*_xlfn.XLOOKUP($L553,'Balizador da Meta'!$B$4:$B$21,'Balizador da Meta'!$C$4:$C$21)</f>
        <v>96</v>
      </c>
      <c r="S553" s="28">
        <f>S536*_xlfn.XLOOKUP($L553,'Balizador da Meta'!$B$4:$B$21,'Balizador da Meta'!$C$4:$C$21)</f>
        <v>96</v>
      </c>
      <c r="T553" s="28">
        <f>T536*_xlfn.XLOOKUP($L553,'Balizador da Meta'!$B$4:$B$21,'Balizador da Meta'!$C$4:$C$21)</f>
        <v>96</v>
      </c>
      <c r="U553" s="28">
        <f>U536*_xlfn.XLOOKUP($L553,'Balizador da Meta'!$B$4:$B$21,'Balizador da Meta'!$C$4:$C$21)</f>
        <v>96</v>
      </c>
      <c r="V553" s="28">
        <f>V536*_xlfn.XLOOKUP($L553,'Balizador da Meta'!$B$4:$B$21,'Balizador da Meta'!$C$4:$C$21)</f>
        <v>96</v>
      </c>
      <c r="W553" s="28">
        <f>W536*_xlfn.XLOOKUP($L553,'Balizador da Meta'!$B$4:$B$21,'Balizador da Meta'!$C$4:$C$21)</f>
        <v>96</v>
      </c>
      <c r="X553" s="28">
        <f>X536*_xlfn.XLOOKUP($L553,'Balizador da Meta'!$B$4:$B$21,'Balizador da Meta'!$C$4:$C$21)</f>
        <v>96</v>
      </c>
      <c r="Y553" s="28">
        <f>Y536*_xlfn.XLOOKUP($L553,'Balizador da Meta'!$B$4:$B$21,'Balizador da Meta'!$C$4:$C$21)</f>
        <v>96</v>
      </c>
      <c r="Z553" s="30">
        <f t="shared" si="131"/>
        <v>1152</v>
      </c>
      <c r="AA553" s="29"/>
      <c r="AB553" s="31">
        <f>SUMIFS('Historico - FAT'!AK:AK,'Historico - FAT'!$K:$K,Faturamento!$L553,'Historico - FAT'!$I:$I,Faturamento!$J553,'Historico - FAT'!$G:$G,Faturamento!$H553)</f>
        <v>0</v>
      </c>
      <c r="AC553" s="31">
        <f>SUMIFS('Historico - FAT'!AL:AL,'Historico - FAT'!$K:$K,Faturamento!$L553,'Historico - FAT'!$I:$I,Faturamento!$J553,'Historico - FAT'!$G:$G,Faturamento!$H553)</f>
        <v>116.99833333333333</v>
      </c>
      <c r="AD553" s="31">
        <f>SUMIFS('Historico - FAT'!AM:AM,'Historico - FAT'!$K:$K,Faturamento!$L553,'Historico - FAT'!$I:$I,Faturamento!$J553,'Historico - FAT'!$G:$G,Faturamento!$H553)</f>
        <v>233.99666666666667</v>
      </c>
      <c r="AE553" s="27">
        <f>SUMIFS('Historico - FAT'!AN:AN,'Historico - FAT'!$K:$K,Faturamento!$L553,'Historico - FAT'!$I:$I,Faturamento!$J553,'Historico - FAT'!$G:$G,Faturamento!$H553)</f>
        <v>140.398</v>
      </c>
      <c r="AG553" s="24">
        <f t="shared" si="121"/>
        <v>1</v>
      </c>
      <c r="AH553" s="24">
        <f t="shared" si="122"/>
        <v>-0.21873263888888891</v>
      </c>
      <c r="AI553" s="24">
        <f t="shared" si="123"/>
        <v>-1.4374652777777779</v>
      </c>
    </row>
    <row r="554" spans="1:35" hidden="1" x14ac:dyDescent="0.3">
      <c r="A554" s="2" t="str">
        <f t="shared" si="118"/>
        <v>NÃO</v>
      </c>
      <c r="B554" s="2">
        <v>1000184670</v>
      </c>
      <c r="C554" s="2" t="s">
        <v>147</v>
      </c>
      <c r="D554" s="4">
        <v>1000186197</v>
      </c>
      <c r="E554" s="4" t="s">
        <v>166</v>
      </c>
      <c r="F554" s="2">
        <v>1000184756</v>
      </c>
      <c r="G554" s="2" t="s">
        <v>53</v>
      </c>
      <c r="H554" s="4">
        <v>1000189773</v>
      </c>
      <c r="I554" s="4" t="s">
        <v>93</v>
      </c>
      <c r="J554" s="2">
        <v>1000189270</v>
      </c>
      <c r="K554" s="2" t="s">
        <v>34</v>
      </c>
      <c r="L554" s="4" t="s">
        <v>25</v>
      </c>
      <c r="M554" s="4" t="str">
        <f t="shared" si="125"/>
        <v>1000184670100018619710001897731000189270VICCIO</v>
      </c>
      <c r="N554" s="28">
        <f>N536*_xlfn.XLOOKUP($L554,'Balizador da Meta'!$B$4:$B$21,'Balizador da Meta'!$C$4:$C$21)</f>
        <v>36</v>
      </c>
      <c r="O554" s="28">
        <f>O536*_xlfn.XLOOKUP($L554,'Balizador da Meta'!$B$4:$B$21,'Balizador da Meta'!$C$4:$C$21)</f>
        <v>36</v>
      </c>
      <c r="P554" s="28">
        <f>P536*_xlfn.XLOOKUP($L554,'Balizador da Meta'!$B$4:$B$21,'Balizador da Meta'!$C$4:$C$21)</f>
        <v>36</v>
      </c>
      <c r="Q554" s="28">
        <f>Q536*_xlfn.XLOOKUP($L554,'Balizador da Meta'!$B$4:$B$21,'Balizador da Meta'!$C$4:$C$21)</f>
        <v>36</v>
      </c>
      <c r="R554" s="28">
        <f>R536*_xlfn.XLOOKUP($L554,'Balizador da Meta'!$B$4:$B$21,'Balizador da Meta'!$C$4:$C$21)</f>
        <v>36</v>
      </c>
      <c r="S554" s="28">
        <f>S536*_xlfn.XLOOKUP($L554,'Balizador da Meta'!$B$4:$B$21,'Balizador da Meta'!$C$4:$C$21)</f>
        <v>36</v>
      </c>
      <c r="T554" s="28">
        <f>T536*_xlfn.XLOOKUP($L554,'Balizador da Meta'!$B$4:$B$21,'Balizador da Meta'!$C$4:$C$21)</f>
        <v>36</v>
      </c>
      <c r="U554" s="28">
        <f>U536*_xlfn.XLOOKUP($L554,'Balizador da Meta'!$B$4:$B$21,'Balizador da Meta'!$C$4:$C$21)</f>
        <v>36</v>
      </c>
      <c r="V554" s="28">
        <f>V536*_xlfn.XLOOKUP($L554,'Balizador da Meta'!$B$4:$B$21,'Balizador da Meta'!$C$4:$C$21)</f>
        <v>36</v>
      </c>
      <c r="W554" s="28">
        <f>W536*_xlfn.XLOOKUP($L554,'Balizador da Meta'!$B$4:$B$21,'Balizador da Meta'!$C$4:$C$21)</f>
        <v>36</v>
      </c>
      <c r="X554" s="28">
        <f>X536*_xlfn.XLOOKUP($L554,'Balizador da Meta'!$B$4:$B$21,'Balizador da Meta'!$C$4:$C$21)</f>
        <v>36</v>
      </c>
      <c r="Y554" s="28">
        <f>Y536*_xlfn.XLOOKUP($L554,'Balizador da Meta'!$B$4:$B$21,'Balizador da Meta'!$C$4:$C$21)</f>
        <v>36</v>
      </c>
      <c r="Z554" s="30">
        <f t="shared" si="131"/>
        <v>432</v>
      </c>
      <c r="AA554" s="29"/>
      <c r="AB554" s="31">
        <f>SUMIFS('Historico - FAT'!AK:AK,'Historico - FAT'!$K:$K,Faturamento!$L554,'Historico - FAT'!$I:$I,Faturamento!$J554,'Historico - FAT'!$G:$G,Faturamento!$H554)</f>
        <v>0</v>
      </c>
      <c r="AC554" s="31">
        <f>SUMIFS('Historico - FAT'!AL:AL,'Historico - FAT'!$K:$K,Faturamento!$L554,'Historico - FAT'!$I:$I,Faturamento!$J554,'Historico - FAT'!$G:$G,Faturamento!$H554)</f>
        <v>42.074999999999996</v>
      </c>
      <c r="AD554" s="31">
        <f>SUMIFS('Historico - FAT'!AM:AM,'Historico - FAT'!$K:$K,Faturamento!$L554,'Historico - FAT'!$I:$I,Faturamento!$J554,'Historico - FAT'!$G:$G,Faturamento!$H554)</f>
        <v>84.149999999999991</v>
      </c>
      <c r="AE554" s="27">
        <f>SUMIFS('Historico - FAT'!AN:AN,'Historico - FAT'!$K:$K,Faturamento!$L554,'Historico - FAT'!$I:$I,Faturamento!$J554,'Historico - FAT'!$G:$G,Faturamento!$H554)</f>
        <v>50.489999999999995</v>
      </c>
      <c r="AG554" s="24">
        <f t="shared" si="121"/>
        <v>1</v>
      </c>
      <c r="AH554" s="24">
        <f t="shared" si="122"/>
        <v>-0.16874999999999987</v>
      </c>
      <c r="AI554" s="24">
        <f t="shared" si="123"/>
        <v>-1.3374999999999997</v>
      </c>
    </row>
    <row r="555" spans="1:35" x14ac:dyDescent="0.3">
      <c r="A555" s="2" t="str">
        <f t="shared" si="118"/>
        <v>SIM</v>
      </c>
      <c r="B555" s="2">
        <v>1000184670</v>
      </c>
      <c r="C555" s="2" t="s">
        <v>147</v>
      </c>
      <c r="D555" s="4">
        <v>1000186197</v>
      </c>
      <c r="E555" s="4" t="s">
        <v>166</v>
      </c>
      <c r="F555" s="2">
        <v>1000184760</v>
      </c>
      <c r="G555" s="2" t="s">
        <v>60</v>
      </c>
      <c r="H555" s="4">
        <v>1000189774</v>
      </c>
      <c r="I555" s="4" t="s">
        <v>68</v>
      </c>
      <c r="J555" s="2">
        <v>1000189270</v>
      </c>
      <c r="K555" s="2" t="s">
        <v>34</v>
      </c>
      <c r="L555" s="4" t="s">
        <v>124</v>
      </c>
      <c r="M555" s="4" t="str">
        <f t="shared" si="125"/>
        <v>100018467010001861971000189774100018927001. TOTAL</v>
      </c>
      <c r="N555" s="28">
        <f>SUMIFS(Positivação!L:L,Positivação!$I:$I,Faturamento!$J555,Positivação!$G:$G,Faturamento!$H555)*SUMIFS(Positivação!$Z:$Z,Positivação!$I:$I,Faturamento!$J555,Positivação!$G:$G,Faturamento!$H555)</f>
        <v>2400</v>
      </c>
      <c r="O555" s="28">
        <f>SUMIFS(Positivação!M:M,Positivação!$I:$I,Faturamento!$J555,Positivação!$G:$G,Faturamento!$H555)*SUMIFS(Positivação!$Z:$Z,Positivação!$I:$I,Faturamento!$J555,Positivação!$G:$G,Faturamento!$H555)</f>
        <v>2400</v>
      </c>
      <c r="P555" s="28">
        <f>SUMIFS(Positivação!N:N,Positivação!$I:$I,Faturamento!$J555,Positivação!$G:$G,Faturamento!$H555)*SUMIFS(Positivação!$Z:$Z,Positivação!$I:$I,Faturamento!$J555,Positivação!$G:$G,Faturamento!$H555)</f>
        <v>2400</v>
      </c>
      <c r="Q555" s="28">
        <f>SUMIFS(Positivação!O:O,Positivação!$I:$I,Faturamento!$J555,Positivação!$G:$G,Faturamento!$H555)*SUMIFS(Positivação!$Z:$Z,Positivação!$I:$I,Faturamento!$J555,Positivação!$G:$G,Faturamento!$H555)</f>
        <v>2400</v>
      </c>
      <c r="R555" s="28">
        <f>SUMIFS(Positivação!P:P,Positivação!$I:$I,Faturamento!$J555,Positivação!$G:$G,Faturamento!$H555)*SUMIFS(Positivação!$Z:$Z,Positivação!$I:$I,Faturamento!$J555,Positivação!$G:$G,Faturamento!$H555)</f>
        <v>2400</v>
      </c>
      <c r="S555" s="28">
        <f>SUMIFS(Positivação!Q:Q,Positivação!$I:$I,Faturamento!$J555,Positivação!$G:$G,Faturamento!$H555)*SUMIFS(Positivação!$Z:$Z,Positivação!$I:$I,Faturamento!$J555,Positivação!$G:$G,Faturamento!$H555)</f>
        <v>2400</v>
      </c>
      <c r="T555" s="28">
        <f>SUMIFS(Positivação!R:R,Positivação!$I:$I,Faturamento!$J555,Positivação!$G:$G,Faturamento!$H555)*SUMIFS(Positivação!$Z:$Z,Positivação!$I:$I,Faturamento!$J555,Positivação!$G:$G,Faturamento!$H555)</f>
        <v>2400</v>
      </c>
      <c r="U555" s="28">
        <f>SUMIFS(Positivação!S:S,Positivação!$I:$I,Faturamento!$J555,Positivação!$G:$G,Faturamento!$H555)*SUMIFS(Positivação!$Z:$Z,Positivação!$I:$I,Faturamento!$J555,Positivação!$G:$G,Faturamento!$H555)</f>
        <v>2400</v>
      </c>
      <c r="V555" s="28">
        <f>SUMIFS(Positivação!T:T,Positivação!$I:$I,Faturamento!$J555,Positivação!$G:$G,Faturamento!$H555)*SUMIFS(Positivação!$Z:$Z,Positivação!$I:$I,Faturamento!$J555,Positivação!$G:$G,Faturamento!$H555)</f>
        <v>2400</v>
      </c>
      <c r="W555" s="28">
        <f>SUMIFS(Positivação!U:U,Positivação!$I:$I,Faturamento!$J555,Positivação!$G:$G,Faturamento!$H555)*SUMIFS(Positivação!$Z:$Z,Positivação!$I:$I,Faturamento!$J555,Positivação!$G:$G,Faturamento!$H555)</f>
        <v>2400</v>
      </c>
      <c r="X555" s="28">
        <f>SUMIFS(Positivação!V:V,Positivação!$I:$I,Faturamento!$J555,Positivação!$G:$G,Faturamento!$H555)*SUMIFS(Positivação!$Z:$Z,Positivação!$I:$I,Faturamento!$J555,Positivação!$G:$G,Faturamento!$H555)</f>
        <v>2400</v>
      </c>
      <c r="Y555" s="28">
        <f>SUMIFS(Positivação!W:W,Positivação!$I:$I,Faturamento!$J555,Positivação!$G:$G,Faturamento!$H555)*SUMIFS(Positivação!$Z:$Z,Positivação!$I:$I,Faturamento!$J555,Positivação!$G:$G,Faturamento!$H555)</f>
        <v>2400</v>
      </c>
      <c r="Z555" s="28">
        <f t="shared" ref="Z555" si="132">SUM(Z556:Z573)</f>
        <v>28800</v>
      </c>
      <c r="AA555" s="29"/>
      <c r="AB555" s="28">
        <f t="shared" ref="AB555:AE555" si="133">SUM(AB556:AB573)</f>
        <v>0</v>
      </c>
      <c r="AC555" s="28">
        <f t="shared" si="133"/>
        <v>1159.1333333333334</v>
      </c>
      <c r="AD555" s="28">
        <f t="shared" si="133"/>
        <v>2202.0666666666666</v>
      </c>
      <c r="AE555" s="28">
        <f t="shared" si="133"/>
        <v>1390.96</v>
      </c>
      <c r="AG555" s="24">
        <f t="shared" si="121"/>
        <v>1</v>
      </c>
      <c r="AH555" s="24">
        <f t="shared" si="122"/>
        <v>0.51702777777777775</v>
      </c>
      <c r="AI555" s="24">
        <f t="shared" si="123"/>
        <v>8.2472222222222252E-2</v>
      </c>
    </row>
    <row r="556" spans="1:35" hidden="1" x14ac:dyDescent="0.3">
      <c r="A556" s="2" t="str">
        <f t="shared" si="118"/>
        <v>NÃO</v>
      </c>
      <c r="B556" s="2">
        <v>1000184670</v>
      </c>
      <c r="C556" s="2" t="s">
        <v>147</v>
      </c>
      <c r="D556" s="4">
        <v>1000186197</v>
      </c>
      <c r="E556" s="4" t="s">
        <v>166</v>
      </c>
      <c r="F556" s="2">
        <v>1000184760</v>
      </c>
      <c r="G556" s="2" t="s">
        <v>60</v>
      </c>
      <c r="H556" s="4">
        <v>1000189774</v>
      </c>
      <c r="I556" s="4" t="s">
        <v>68</v>
      </c>
      <c r="J556" s="2">
        <v>1000189270</v>
      </c>
      <c r="K556" s="2" t="s">
        <v>34</v>
      </c>
      <c r="L556" s="4" t="s">
        <v>13</v>
      </c>
      <c r="M556" s="4" t="str">
        <f t="shared" si="125"/>
        <v>1000184670100018619710001897741000189270BISCOITO</v>
      </c>
      <c r="N556" s="28">
        <f>N555*_xlfn.XLOOKUP($L556,'Balizador da Meta'!$B$4:$B$21,'Balizador da Meta'!$C$4:$C$21)</f>
        <v>168.00000000000003</v>
      </c>
      <c r="O556" s="28">
        <f>O555*_xlfn.XLOOKUP($L556,'Balizador da Meta'!$B$4:$B$21,'Balizador da Meta'!$C$4:$C$21)</f>
        <v>168.00000000000003</v>
      </c>
      <c r="P556" s="28">
        <f>P555*_xlfn.XLOOKUP($L556,'Balizador da Meta'!$B$4:$B$21,'Balizador da Meta'!$C$4:$C$21)</f>
        <v>168.00000000000003</v>
      </c>
      <c r="Q556" s="28">
        <f>Q555*_xlfn.XLOOKUP($L556,'Balizador da Meta'!$B$4:$B$21,'Balizador da Meta'!$C$4:$C$21)</f>
        <v>168.00000000000003</v>
      </c>
      <c r="R556" s="28">
        <f>R555*_xlfn.XLOOKUP($L556,'Balizador da Meta'!$B$4:$B$21,'Balizador da Meta'!$C$4:$C$21)</f>
        <v>168.00000000000003</v>
      </c>
      <c r="S556" s="28">
        <f>S555*_xlfn.XLOOKUP($L556,'Balizador da Meta'!$B$4:$B$21,'Balizador da Meta'!$C$4:$C$21)</f>
        <v>168.00000000000003</v>
      </c>
      <c r="T556" s="28">
        <f>T555*_xlfn.XLOOKUP($L556,'Balizador da Meta'!$B$4:$B$21,'Balizador da Meta'!$C$4:$C$21)</f>
        <v>168.00000000000003</v>
      </c>
      <c r="U556" s="28">
        <f>U555*_xlfn.XLOOKUP($L556,'Balizador da Meta'!$B$4:$B$21,'Balizador da Meta'!$C$4:$C$21)</f>
        <v>168.00000000000003</v>
      </c>
      <c r="V556" s="28">
        <f>V555*_xlfn.XLOOKUP($L556,'Balizador da Meta'!$B$4:$B$21,'Balizador da Meta'!$C$4:$C$21)</f>
        <v>168.00000000000003</v>
      </c>
      <c r="W556" s="28">
        <f>W555*_xlfn.XLOOKUP($L556,'Balizador da Meta'!$B$4:$B$21,'Balizador da Meta'!$C$4:$C$21)</f>
        <v>168.00000000000003</v>
      </c>
      <c r="X556" s="28">
        <f>X555*_xlfn.XLOOKUP($L556,'Balizador da Meta'!$B$4:$B$21,'Balizador da Meta'!$C$4:$C$21)</f>
        <v>168.00000000000003</v>
      </c>
      <c r="Y556" s="28">
        <f>Y555*_xlfn.XLOOKUP($L556,'Balizador da Meta'!$B$4:$B$21,'Balizador da Meta'!$C$4:$C$21)</f>
        <v>168.00000000000003</v>
      </c>
      <c r="Z556" s="30">
        <f t="shared" ref="Z556:Z573" si="134">SUM(N556:Y556)</f>
        <v>2016.0000000000002</v>
      </c>
      <c r="AA556" s="29"/>
      <c r="AB556" s="31">
        <f>SUMIFS('Historico - FAT'!AK:AK,'Historico - FAT'!$K:$K,Faturamento!$L556,'Historico - FAT'!$I:$I,Faturamento!$J556,'Historico - FAT'!$G:$G,Faturamento!$H556)</f>
        <v>0</v>
      </c>
      <c r="AC556" s="31">
        <f>SUMIFS('Historico - FAT'!AL:AL,'Historico - FAT'!$K:$K,Faturamento!$L556,'Historico - FAT'!$I:$I,Faturamento!$J556,'Historico - FAT'!$G:$G,Faturamento!$H556)</f>
        <v>43.534999999999997</v>
      </c>
      <c r="AD556" s="31">
        <f>SUMIFS('Historico - FAT'!AM:AM,'Historico - FAT'!$K:$K,Faturamento!$L556,'Historico - FAT'!$I:$I,Faturamento!$J556,'Historico - FAT'!$G:$G,Faturamento!$H556)</f>
        <v>87.07</v>
      </c>
      <c r="AE556" s="27">
        <f>SUMIFS('Historico - FAT'!AN:AN,'Historico - FAT'!$K:$K,Faturamento!$L556,'Historico - FAT'!$I:$I,Faturamento!$J556,'Historico - FAT'!$G:$G,Faturamento!$H556)</f>
        <v>52.241999999999997</v>
      </c>
      <c r="AG556" s="24">
        <f t="shared" si="121"/>
        <v>1</v>
      </c>
      <c r="AH556" s="24">
        <f t="shared" si="122"/>
        <v>0.74086309523809535</v>
      </c>
      <c r="AI556" s="24">
        <f t="shared" si="123"/>
        <v>0.48172619047619059</v>
      </c>
    </row>
    <row r="557" spans="1:35" hidden="1" x14ac:dyDescent="0.3">
      <c r="A557" s="2" t="str">
        <f t="shared" si="118"/>
        <v>NÃO</v>
      </c>
      <c r="B557" s="2">
        <v>1000184670</v>
      </c>
      <c r="C557" s="2" t="s">
        <v>147</v>
      </c>
      <c r="D557" s="4">
        <v>1000186197</v>
      </c>
      <c r="E557" s="4" t="s">
        <v>166</v>
      </c>
      <c r="F557" s="2">
        <v>1000184760</v>
      </c>
      <c r="G557" s="2" t="s">
        <v>60</v>
      </c>
      <c r="H557" s="4">
        <v>1000189774</v>
      </c>
      <c r="I557" s="4" t="s">
        <v>68</v>
      </c>
      <c r="J557" s="2">
        <v>1000189270</v>
      </c>
      <c r="K557" s="2" t="s">
        <v>34</v>
      </c>
      <c r="L557" s="4" t="s">
        <v>14</v>
      </c>
      <c r="M557" s="4" t="str">
        <f t="shared" si="125"/>
        <v>1000184670100018619710001897741000189270CHOCOLATES</v>
      </c>
      <c r="N557" s="28">
        <f>N555*_xlfn.XLOOKUP($L557,'Balizador da Meta'!$B$4:$B$21,'Balizador da Meta'!$C$4:$C$21)</f>
        <v>168.00000000000003</v>
      </c>
      <c r="O557" s="28">
        <f>O555*_xlfn.XLOOKUP($L557,'Balizador da Meta'!$B$4:$B$21,'Balizador da Meta'!$C$4:$C$21)</f>
        <v>168.00000000000003</v>
      </c>
      <c r="P557" s="28">
        <f>P555*_xlfn.XLOOKUP($L557,'Balizador da Meta'!$B$4:$B$21,'Balizador da Meta'!$C$4:$C$21)</f>
        <v>168.00000000000003</v>
      </c>
      <c r="Q557" s="28">
        <f>Q555*_xlfn.XLOOKUP($L557,'Balizador da Meta'!$B$4:$B$21,'Balizador da Meta'!$C$4:$C$21)</f>
        <v>168.00000000000003</v>
      </c>
      <c r="R557" s="28">
        <f>R555*_xlfn.XLOOKUP($L557,'Balizador da Meta'!$B$4:$B$21,'Balizador da Meta'!$C$4:$C$21)</f>
        <v>168.00000000000003</v>
      </c>
      <c r="S557" s="28">
        <f>S555*_xlfn.XLOOKUP($L557,'Balizador da Meta'!$B$4:$B$21,'Balizador da Meta'!$C$4:$C$21)</f>
        <v>168.00000000000003</v>
      </c>
      <c r="T557" s="28">
        <f>T555*_xlfn.XLOOKUP($L557,'Balizador da Meta'!$B$4:$B$21,'Balizador da Meta'!$C$4:$C$21)</f>
        <v>168.00000000000003</v>
      </c>
      <c r="U557" s="28">
        <f>U555*_xlfn.XLOOKUP($L557,'Balizador da Meta'!$B$4:$B$21,'Balizador da Meta'!$C$4:$C$21)</f>
        <v>168.00000000000003</v>
      </c>
      <c r="V557" s="28">
        <f>V555*_xlfn.XLOOKUP($L557,'Balizador da Meta'!$B$4:$B$21,'Balizador da Meta'!$C$4:$C$21)</f>
        <v>168.00000000000003</v>
      </c>
      <c r="W557" s="28">
        <f>W555*_xlfn.XLOOKUP($L557,'Balizador da Meta'!$B$4:$B$21,'Balizador da Meta'!$C$4:$C$21)</f>
        <v>168.00000000000003</v>
      </c>
      <c r="X557" s="28">
        <f>X555*_xlfn.XLOOKUP($L557,'Balizador da Meta'!$B$4:$B$21,'Balizador da Meta'!$C$4:$C$21)</f>
        <v>168.00000000000003</v>
      </c>
      <c r="Y557" s="28">
        <f>Y555*_xlfn.XLOOKUP($L557,'Balizador da Meta'!$B$4:$B$21,'Balizador da Meta'!$C$4:$C$21)</f>
        <v>168.00000000000003</v>
      </c>
      <c r="Z557" s="30">
        <f t="shared" si="134"/>
        <v>2016.0000000000002</v>
      </c>
      <c r="AA557" s="29"/>
      <c r="AB557" s="31">
        <f>SUMIFS('Historico - FAT'!AK:AK,'Historico - FAT'!$K:$K,Faturamento!$L557,'Historico - FAT'!$I:$I,Faturamento!$J557,'Historico - FAT'!$G:$G,Faturamento!$H557)</f>
        <v>0</v>
      </c>
      <c r="AC557" s="31">
        <f>SUMIFS('Historico - FAT'!AL:AL,'Historico - FAT'!$K:$K,Faturamento!$L557,'Historico - FAT'!$I:$I,Faturamento!$J557,'Historico - FAT'!$G:$G,Faturamento!$H557)</f>
        <v>42.25</v>
      </c>
      <c r="AD557" s="31">
        <f>SUMIFS('Historico - FAT'!AM:AM,'Historico - FAT'!$K:$K,Faturamento!$L557,'Historico - FAT'!$I:$I,Faturamento!$J557,'Historico - FAT'!$G:$G,Faturamento!$H557)</f>
        <v>84.5</v>
      </c>
      <c r="AE557" s="27">
        <f>SUMIFS('Historico - FAT'!AN:AN,'Historico - FAT'!$K:$K,Faturamento!$L557,'Historico - FAT'!$I:$I,Faturamento!$J557,'Historico - FAT'!$G:$G,Faturamento!$H557)</f>
        <v>50.7</v>
      </c>
      <c r="AG557" s="24">
        <f t="shared" si="121"/>
        <v>1</v>
      </c>
      <c r="AH557" s="24">
        <f t="shared" si="122"/>
        <v>0.74851190476190477</v>
      </c>
      <c r="AI557" s="24">
        <f t="shared" si="123"/>
        <v>0.49702380952380959</v>
      </c>
    </row>
    <row r="558" spans="1:35" hidden="1" x14ac:dyDescent="0.3">
      <c r="A558" s="2" t="str">
        <f t="shared" si="118"/>
        <v>NÃO</v>
      </c>
      <c r="B558" s="2">
        <v>1000184670</v>
      </c>
      <c r="C558" s="2" t="s">
        <v>147</v>
      </c>
      <c r="D558" s="4">
        <v>1000186197</v>
      </c>
      <c r="E558" s="4" t="s">
        <v>166</v>
      </c>
      <c r="F558" s="2">
        <v>1000184760</v>
      </c>
      <c r="G558" s="2" t="s">
        <v>60</v>
      </c>
      <c r="H558" s="4">
        <v>1000189774</v>
      </c>
      <c r="I558" s="4" t="s">
        <v>68</v>
      </c>
      <c r="J558" s="2">
        <v>1000189270</v>
      </c>
      <c r="K558" s="2" t="s">
        <v>34</v>
      </c>
      <c r="L558" s="4" t="s">
        <v>16</v>
      </c>
      <c r="M558" s="4" t="str">
        <f t="shared" si="125"/>
        <v>1000184670100018619710001897741000189270DISNEY</v>
      </c>
      <c r="N558" s="28">
        <f>N555*_xlfn.XLOOKUP($L558,'Balizador da Meta'!$B$4:$B$21,'Balizador da Meta'!$C$4:$C$21)</f>
        <v>192</v>
      </c>
      <c r="O558" s="28">
        <f>O555*_xlfn.XLOOKUP($L558,'Balizador da Meta'!$B$4:$B$21,'Balizador da Meta'!$C$4:$C$21)</f>
        <v>192</v>
      </c>
      <c r="P558" s="28">
        <f>P555*_xlfn.XLOOKUP($L558,'Balizador da Meta'!$B$4:$B$21,'Balizador da Meta'!$C$4:$C$21)</f>
        <v>192</v>
      </c>
      <c r="Q558" s="28">
        <f>Q555*_xlfn.XLOOKUP($L558,'Balizador da Meta'!$B$4:$B$21,'Balizador da Meta'!$C$4:$C$21)</f>
        <v>192</v>
      </c>
      <c r="R558" s="28">
        <f>R555*_xlfn.XLOOKUP($L558,'Balizador da Meta'!$B$4:$B$21,'Balizador da Meta'!$C$4:$C$21)</f>
        <v>192</v>
      </c>
      <c r="S558" s="28">
        <f>S555*_xlfn.XLOOKUP($L558,'Balizador da Meta'!$B$4:$B$21,'Balizador da Meta'!$C$4:$C$21)</f>
        <v>192</v>
      </c>
      <c r="T558" s="28">
        <f>T555*_xlfn.XLOOKUP($L558,'Balizador da Meta'!$B$4:$B$21,'Balizador da Meta'!$C$4:$C$21)</f>
        <v>192</v>
      </c>
      <c r="U558" s="28">
        <f>U555*_xlfn.XLOOKUP($L558,'Balizador da Meta'!$B$4:$B$21,'Balizador da Meta'!$C$4:$C$21)</f>
        <v>192</v>
      </c>
      <c r="V558" s="28">
        <f>V555*_xlfn.XLOOKUP($L558,'Balizador da Meta'!$B$4:$B$21,'Balizador da Meta'!$C$4:$C$21)</f>
        <v>192</v>
      </c>
      <c r="W558" s="28">
        <f>W555*_xlfn.XLOOKUP($L558,'Balizador da Meta'!$B$4:$B$21,'Balizador da Meta'!$C$4:$C$21)</f>
        <v>192</v>
      </c>
      <c r="X558" s="28">
        <f>X555*_xlfn.XLOOKUP($L558,'Balizador da Meta'!$B$4:$B$21,'Balizador da Meta'!$C$4:$C$21)</f>
        <v>192</v>
      </c>
      <c r="Y558" s="28">
        <f>Y555*_xlfn.XLOOKUP($L558,'Balizador da Meta'!$B$4:$B$21,'Balizador da Meta'!$C$4:$C$21)</f>
        <v>192</v>
      </c>
      <c r="Z558" s="30">
        <f t="shared" si="134"/>
        <v>2304</v>
      </c>
      <c r="AA558" s="29"/>
      <c r="AB558" s="31">
        <f>SUMIFS('Historico - FAT'!AK:AK,'Historico - FAT'!$K:$K,Faturamento!$L558,'Historico - FAT'!$I:$I,Faturamento!$J558,'Historico - FAT'!$G:$G,Faturamento!$H558)</f>
        <v>0</v>
      </c>
      <c r="AC558" s="31">
        <f>SUMIFS('Historico - FAT'!AL:AL,'Historico - FAT'!$K:$K,Faturamento!$L558,'Historico - FAT'!$I:$I,Faturamento!$J558,'Historico - FAT'!$G:$G,Faturamento!$H558)</f>
        <v>44.916666666666664</v>
      </c>
      <c r="AD558" s="31">
        <f>SUMIFS('Historico - FAT'!AM:AM,'Historico - FAT'!$K:$K,Faturamento!$L558,'Historico - FAT'!$I:$I,Faturamento!$J558,'Historico - FAT'!$G:$G,Faturamento!$H558)</f>
        <v>89.833333333333329</v>
      </c>
      <c r="AE558" s="27">
        <f>SUMIFS('Historico - FAT'!AN:AN,'Historico - FAT'!$K:$K,Faturamento!$L558,'Historico - FAT'!$I:$I,Faturamento!$J558,'Historico - FAT'!$G:$G,Faturamento!$H558)</f>
        <v>53.9</v>
      </c>
      <c r="AG558" s="24">
        <f t="shared" si="121"/>
        <v>1</v>
      </c>
      <c r="AH558" s="24">
        <f t="shared" si="122"/>
        <v>0.76605902777777779</v>
      </c>
      <c r="AI558" s="24">
        <f t="shared" si="123"/>
        <v>0.53211805555555558</v>
      </c>
    </row>
    <row r="559" spans="1:35" hidden="1" x14ac:dyDescent="0.3">
      <c r="A559" s="2" t="str">
        <f t="shared" si="118"/>
        <v>NÃO</v>
      </c>
      <c r="B559" s="2">
        <v>1000184670</v>
      </c>
      <c r="C559" s="2" t="s">
        <v>147</v>
      </c>
      <c r="D559" s="4">
        <v>1000186197</v>
      </c>
      <c r="E559" s="4" t="s">
        <v>166</v>
      </c>
      <c r="F559" s="2">
        <v>1000184760</v>
      </c>
      <c r="G559" s="2" t="s">
        <v>60</v>
      </c>
      <c r="H559" s="4">
        <v>1000189774</v>
      </c>
      <c r="I559" s="4" t="s">
        <v>68</v>
      </c>
      <c r="J559" s="2">
        <v>1000189270</v>
      </c>
      <c r="K559" s="2" t="s">
        <v>34</v>
      </c>
      <c r="L559" s="4" t="s">
        <v>15</v>
      </c>
      <c r="M559" s="4" t="str">
        <f t="shared" si="125"/>
        <v>1000184670100018619710001897741000189270DOCES</v>
      </c>
      <c r="N559" s="28">
        <f>N555*_xlfn.XLOOKUP($L559,'Balizador da Meta'!$B$4:$B$21,'Balizador da Meta'!$C$4:$C$21)</f>
        <v>216</v>
      </c>
      <c r="O559" s="28">
        <f>O555*_xlfn.XLOOKUP($L559,'Balizador da Meta'!$B$4:$B$21,'Balizador da Meta'!$C$4:$C$21)</f>
        <v>216</v>
      </c>
      <c r="P559" s="28">
        <f>P555*_xlfn.XLOOKUP($L559,'Balizador da Meta'!$B$4:$B$21,'Balizador da Meta'!$C$4:$C$21)</f>
        <v>216</v>
      </c>
      <c r="Q559" s="28">
        <f>Q555*_xlfn.XLOOKUP($L559,'Balizador da Meta'!$B$4:$B$21,'Balizador da Meta'!$C$4:$C$21)</f>
        <v>216</v>
      </c>
      <c r="R559" s="28">
        <f>R555*_xlfn.XLOOKUP($L559,'Balizador da Meta'!$B$4:$B$21,'Balizador da Meta'!$C$4:$C$21)</f>
        <v>216</v>
      </c>
      <c r="S559" s="28">
        <f>S555*_xlfn.XLOOKUP($L559,'Balizador da Meta'!$B$4:$B$21,'Balizador da Meta'!$C$4:$C$21)</f>
        <v>216</v>
      </c>
      <c r="T559" s="28">
        <f>T555*_xlfn.XLOOKUP($L559,'Balizador da Meta'!$B$4:$B$21,'Balizador da Meta'!$C$4:$C$21)</f>
        <v>216</v>
      </c>
      <c r="U559" s="28">
        <f>U555*_xlfn.XLOOKUP($L559,'Balizador da Meta'!$B$4:$B$21,'Balizador da Meta'!$C$4:$C$21)</f>
        <v>216</v>
      </c>
      <c r="V559" s="28">
        <f>V555*_xlfn.XLOOKUP($L559,'Balizador da Meta'!$B$4:$B$21,'Balizador da Meta'!$C$4:$C$21)</f>
        <v>216</v>
      </c>
      <c r="W559" s="28">
        <f>W555*_xlfn.XLOOKUP($L559,'Balizador da Meta'!$B$4:$B$21,'Balizador da Meta'!$C$4:$C$21)</f>
        <v>216</v>
      </c>
      <c r="X559" s="28">
        <f>X555*_xlfn.XLOOKUP($L559,'Balizador da Meta'!$B$4:$B$21,'Balizador da Meta'!$C$4:$C$21)</f>
        <v>216</v>
      </c>
      <c r="Y559" s="28">
        <f>Y555*_xlfn.XLOOKUP($L559,'Balizador da Meta'!$B$4:$B$21,'Balizador da Meta'!$C$4:$C$21)</f>
        <v>216</v>
      </c>
      <c r="Z559" s="30">
        <f t="shared" si="134"/>
        <v>2592</v>
      </c>
      <c r="AA559" s="29"/>
      <c r="AB559" s="31">
        <f>SUMIFS('Historico - FAT'!AK:AK,'Historico - FAT'!$K:$K,Faturamento!$L559,'Historico - FAT'!$I:$I,Faturamento!$J559,'Historico - FAT'!$G:$G,Faturamento!$H559)</f>
        <v>0</v>
      </c>
      <c r="AC559" s="31">
        <f>SUMIFS('Historico - FAT'!AL:AL,'Historico - FAT'!$K:$K,Faturamento!$L559,'Historico - FAT'!$I:$I,Faturamento!$J559,'Historico - FAT'!$G:$G,Faturamento!$H559)</f>
        <v>75.585833333333326</v>
      </c>
      <c r="AD559" s="31">
        <f>SUMIFS('Historico - FAT'!AM:AM,'Historico - FAT'!$K:$K,Faturamento!$L559,'Historico - FAT'!$I:$I,Faturamento!$J559,'Historico - FAT'!$G:$G,Faturamento!$H559)</f>
        <v>151.17166666666665</v>
      </c>
      <c r="AE559" s="27">
        <f>SUMIFS('Historico - FAT'!AN:AN,'Historico - FAT'!$K:$K,Faturamento!$L559,'Historico - FAT'!$I:$I,Faturamento!$J559,'Historico - FAT'!$G:$G,Faturamento!$H559)</f>
        <v>90.703000000000003</v>
      </c>
      <c r="AG559" s="24">
        <f t="shared" si="121"/>
        <v>1</v>
      </c>
      <c r="AH559" s="24">
        <f t="shared" si="122"/>
        <v>0.65006558641975321</v>
      </c>
      <c r="AI559" s="24">
        <f t="shared" si="123"/>
        <v>0.30013117283950624</v>
      </c>
    </row>
    <row r="560" spans="1:35" hidden="1" x14ac:dyDescent="0.3">
      <c r="A560" s="2" t="str">
        <f t="shared" si="118"/>
        <v>NÃO</v>
      </c>
      <c r="B560" s="2">
        <v>1000184670</v>
      </c>
      <c r="C560" s="2" t="s">
        <v>147</v>
      </c>
      <c r="D560" s="4">
        <v>1000186197</v>
      </c>
      <c r="E560" s="4" t="s">
        <v>166</v>
      </c>
      <c r="F560" s="2">
        <v>1000184760</v>
      </c>
      <c r="G560" s="2" t="s">
        <v>60</v>
      </c>
      <c r="H560" s="4">
        <v>1000189774</v>
      </c>
      <c r="I560" s="4" t="s">
        <v>68</v>
      </c>
      <c r="J560" s="2">
        <v>1000189270</v>
      </c>
      <c r="K560" s="2" t="s">
        <v>34</v>
      </c>
      <c r="L560" s="4" t="s">
        <v>33</v>
      </c>
      <c r="M560" s="4" t="str">
        <f t="shared" si="125"/>
        <v>1000184670100018619710001897741000189270FOOD SERVICE</v>
      </c>
      <c r="N560" s="28">
        <f>N555*_xlfn.XLOOKUP($L560,'Balizador da Meta'!$B$4:$B$21,'Balizador da Meta'!$C$4:$C$21)</f>
        <v>0</v>
      </c>
      <c r="O560" s="28">
        <f>O555*_xlfn.XLOOKUP($L560,'Balizador da Meta'!$B$4:$B$21,'Balizador da Meta'!$C$4:$C$21)</f>
        <v>0</v>
      </c>
      <c r="P560" s="28">
        <f>P555*_xlfn.XLOOKUP($L560,'Balizador da Meta'!$B$4:$B$21,'Balizador da Meta'!$C$4:$C$21)</f>
        <v>0</v>
      </c>
      <c r="Q560" s="28">
        <f>Q555*_xlfn.XLOOKUP($L560,'Balizador da Meta'!$B$4:$B$21,'Balizador da Meta'!$C$4:$C$21)</f>
        <v>0</v>
      </c>
      <c r="R560" s="28">
        <f>R555*_xlfn.XLOOKUP($L560,'Balizador da Meta'!$B$4:$B$21,'Balizador da Meta'!$C$4:$C$21)</f>
        <v>0</v>
      </c>
      <c r="S560" s="28">
        <f>S555*_xlfn.XLOOKUP($L560,'Balizador da Meta'!$B$4:$B$21,'Balizador da Meta'!$C$4:$C$21)</f>
        <v>0</v>
      </c>
      <c r="T560" s="28">
        <f>T555*_xlfn.XLOOKUP($L560,'Balizador da Meta'!$B$4:$B$21,'Balizador da Meta'!$C$4:$C$21)</f>
        <v>0</v>
      </c>
      <c r="U560" s="28">
        <f>U555*_xlfn.XLOOKUP($L560,'Balizador da Meta'!$B$4:$B$21,'Balizador da Meta'!$C$4:$C$21)</f>
        <v>0</v>
      </c>
      <c r="V560" s="28">
        <f>V555*_xlfn.XLOOKUP($L560,'Balizador da Meta'!$B$4:$B$21,'Balizador da Meta'!$C$4:$C$21)</f>
        <v>0</v>
      </c>
      <c r="W560" s="28">
        <f>W555*_xlfn.XLOOKUP($L560,'Balizador da Meta'!$B$4:$B$21,'Balizador da Meta'!$C$4:$C$21)</f>
        <v>0</v>
      </c>
      <c r="X560" s="28">
        <f>X555*_xlfn.XLOOKUP($L560,'Balizador da Meta'!$B$4:$B$21,'Balizador da Meta'!$C$4:$C$21)</f>
        <v>0</v>
      </c>
      <c r="Y560" s="28">
        <f>Y555*_xlfn.XLOOKUP($L560,'Balizador da Meta'!$B$4:$B$21,'Balizador da Meta'!$C$4:$C$21)</f>
        <v>0</v>
      </c>
      <c r="Z560" s="30">
        <f t="shared" si="134"/>
        <v>0</v>
      </c>
      <c r="AA560" s="29"/>
      <c r="AB560" s="31">
        <f>SUMIFS('Historico - FAT'!AK:AK,'Historico - FAT'!$K:$K,Faturamento!$L560,'Historico - FAT'!$I:$I,Faturamento!$J560,'Historico - FAT'!$G:$G,Faturamento!$H560)</f>
        <v>0</v>
      </c>
      <c r="AC560" s="31">
        <f>SUMIFS('Historico - FAT'!AL:AL,'Historico - FAT'!$K:$K,Faturamento!$L560,'Historico - FAT'!$I:$I,Faturamento!$J560,'Historico - FAT'!$G:$G,Faturamento!$H560)</f>
        <v>0</v>
      </c>
      <c r="AD560" s="31">
        <f>SUMIFS('Historico - FAT'!AM:AM,'Historico - FAT'!$K:$K,Faturamento!$L560,'Historico - FAT'!$I:$I,Faturamento!$J560,'Historico - FAT'!$G:$G,Faturamento!$H560)</f>
        <v>0</v>
      </c>
      <c r="AE560" s="27">
        <f>SUMIFS('Historico - FAT'!AN:AN,'Historico - FAT'!$K:$K,Faturamento!$L560,'Historico - FAT'!$I:$I,Faturamento!$J560,'Historico - FAT'!$G:$G,Faturamento!$H560)</f>
        <v>0</v>
      </c>
      <c r="AG560" s="24" t="str">
        <f t="shared" si="121"/>
        <v/>
      </c>
      <c r="AH560" s="24" t="str">
        <f t="shared" si="122"/>
        <v/>
      </c>
      <c r="AI560" s="24" t="str">
        <f t="shared" si="123"/>
        <v/>
      </c>
    </row>
    <row r="561" spans="1:35" hidden="1" x14ac:dyDescent="0.3">
      <c r="A561" s="2" t="str">
        <f t="shared" si="118"/>
        <v>NÃO</v>
      </c>
      <c r="B561" s="2">
        <v>1000184670</v>
      </c>
      <c r="C561" s="2" t="s">
        <v>147</v>
      </c>
      <c r="D561" s="4">
        <v>1000186197</v>
      </c>
      <c r="E561" s="4" t="s">
        <v>166</v>
      </c>
      <c r="F561" s="2">
        <v>1000184760</v>
      </c>
      <c r="G561" s="2" t="s">
        <v>60</v>
      </c>
      <c r="H561" s="4">
        <v>1000189774</v>
      </c>
      <c r="I561" s="4" t="s">
        <v>68</v>
      </c>
      <c r="J561" s="2">
        <v>1000189270</v>
      </c>
      <c r="K561" s="2" t="s">
        <v>34</v>
      </c>
      <c r="L561" s="4" t="s">
        <v>19</v>
      </c>
      <c r="M561" s="4" t="str">
        <f t="shared" si="125"/>
        <v>1000184670100018619710001897741000189270GELEIA</v>
      </c>
      <c r="N561" s="28">
        <f>N555*_xlfn.XLOOKUP($L561,'Balizador da Meta'!$B$4:$B$21,'Balizador da Meta'!$C$4:$C$21)</f>
        <v>47.999999999999993</v>
      </c>
      <c r="O561" s="28">
        <f>O555*_xlfn.XLOOKUP($L561,'Balizador da Meta'!$B$4:$B$21,'Balizador da Meta'!$C$4:$C$21)</f>
        <v>47.999999999999993</v>
      </c>
      <c r="P561" s="28">
        <f>P555*_xlfn.XLOOKUP($L561,'Balizador da Meta'!$B$4:$B$21,'Balizador da Meta'!$C$4:$C$21)</f>
        <v>47.999999999999993</v>
      </c>
      <c r="Q561" s="28">
        <f>Q555*_xlfn.XLOOKUP($L561,'Balizador da Meta'!$B$4:$B$21,'Balizador da Meta'!$C$4:$C$21)</f>
        <v>47.999999999999993</v>
      </c>
      <c r="R561" s="28">
        <f>R555*_xlfn.XLOOKUP($L561,'Balizador da Meta'!$B$4:$B$21,'Balizador da Meta'!$C$4:$C$21)</f>
        <v>47.999999999999993</v>
      </c>
      <c r="S561" s="28">
        <f>S555*_xlfn.XLOOKUP($L561,'Balizador da Meta'!$B$4:$B$21,'Balizador da Meta'!$C$4:$C$21)</f>
        <v>47.999999999999993</v>
      </c>
      <c r="T561" s="28">
        <f>T555*_xlfn.XLOOKUP($L561,'Balizador da Meta'!$B$4:$B$21,'Balizador da Meta'!$C$4:$C$21)</f>
        <v>47.999999999999993</v>
      </c>
      <c r="U561" s="28">
        <f>U555*_xlfn.XLOOKUP($L561,'Balizador da Meta'!$B$4:$B$21,'Balizador da Meta'!$C$4:$C$21)</f>
        <v>47.999999999999993</v>
      </c>
      <c r="V561" s="28">
        <f>V555*_xlfn.XLOOKUP($L561,'Balizador da Meta'!$B$4:$B$21,'Balizador da Meta'!$C$4:$C$21)</f>
        <v>47.999999999999993</v>
      </c>
      <c r="W561" s="28">
        <f>W555*_xlfn.XLOOKUP($L561,'Balizador da Meta'!$B$4:$B$21,'Balizador da Meta'!$C$4:$C$21)</f>
        <v>47.999999999999993</v>
      </c>
      <c r="X561" s="28">
        <f>X555*_xlfn.XLOOKUP($L561,'Balizador da Meta'!$B$4:$B$21,'Balizador da Meta'!$C$4:$C$21)</f>
        <v>47.999999999999993</v>
      </c>
      <c r="Y561" s="28">
        <f>Y555*_xlfn.XLOOKUP($L561,'Balizador da Meta'!$B$4:$B$21,'Balizador da Meta'!$C$4:$C$21)</f>
        <v>47.999999999999993</v>
      </c>
      <c r="Z561" s="30">
        <f t="shared" si="134"/>
        <v>575.99999999999989</v>
      </c>
      <c r="AA561" s="29"/>
      <c r="AB561" s="31">
        <f>SUMIFS('Historico - FAT'!AK:AK,'Historico - FAT'!$K:$K,Faturamento!$L561,'Historico - FAT'!$I:$I,Faturamento!$J561,'Historico - FAT'!$G:$G,Faturamento!$H561)</f>
        <v>0</v>
      </c>
      <c r="AC561" s="31">
        <f>SUMIFS('Historico - FAT'!AL:AL,'Historico - FAT'!$K:$K,Faturamento!$L561,'Historico - FAT'!$I:$I,Faturamento!$J561,'Historico - FAT'!$G:$G,Faturamento!$H561)</f>
        <v>3.375</v>
      </c>
      <c r="AD561" s="31">
        <f>SUMIFS('Historico - FAT'!AM:AM,'Historico - FAT'!$K:$K,Faturamento!$L561,'Historico - FAT'!$I:$I,Faturamento!$J561,'Historico - FAT'!$G:$G,Faturamento!$H561)</f>
        <v>6.75</v>
      </c>
      <c r="AE561" s="27">
        <f>SUMIFS('Historico - FAT'!AN:AN,'Historico - FAT'!$K:$K,Faturamento!$L561,'Historico - FAT'!$I:$I,Faturamento!$J561,'Historico - FAT'!$G:$G,Faturamento!$H561)</f>
        <v>4.05</v>
      </c>
      <c r="AG561" s="24">
        <f t="shared" si="121"/>
        <v>1</v>
      </c>
      <c r="AH561" s="24">
        <f t="shared" si="122"/>
        <v>0.9296875</v>
      </c>
      <c r="AI561" s="24">
        <f t="shared" si="123"/>
        <v>0.859375</v>
      </c>
    </row>
    <row r="562" spans="1:35" hidden="1" x14ac:dyDescent="0.3">
      <c r="A562" s="2" t="str">
        <f t="shared" ref="A562:A625" si="135">IF(OR(H562&lt;&gt;H561,J562&lt;&gt;J561),"SIM","NÃO")</f>
        <v>NÃO</v>
      </c>
      <c r="B562" s="2">
        <v>1000184670</v>
      </c>
      <c r="C562" s="2" t="s">
        <v>147</v>
      </c>
      <c r="D562" s="4">
        <v>1000186197</v>
      </c>
      <c r="E562" s="4" t="s">
        <v>166</v>
      </c>
      <c r="F562" s="2">
        <v>1000184760</v>
      </c>
      <c r="G562" s="2" t="s">
        <v>60</v>
      </c>
      <c r="H562" s="4">
        <v>1000189774</v>
      </c>
      <c r="I562" s="4" t="s">
        <v>68</v>
      </c>
      <c r="J562" s="2">
        <v>1000189270</v>
      </c>
      <c r="K562" s="2" t="s">
        <v>34</v>
      </c>
      <c r="L562" s="4" t="s">
        <v>17</v>
      </c>
      <c r="M562" s="4" t="str">
        <f t="shared" si="125"/>
        <v>1000184670100018619710001897741000189270GRANOLA</v>
      </c>
      <c r="N562" s="28">
        <f>N555*_xlfn.XLOOKUP($L562,'Balizador da Meta'!$B$4:$B$21,'Balizador da Meta'!$C$4:$C$21)</f>
        <v>48</v>
      </c>
      <c r="O562" s="28">
        <f>O555*_xlfn.XLOOKUP($L562,'Balizador da Meta'!$B$4:$B$21,'Balizador da Meta'!$C$4:$C$21)</f>
        <v>48</v>
      </c>
      <c r="P562" s="28">
        <f>P555*_xlfn.XLOOKUP($L562,'Balizador da Meta'!$B$4:$B$21,'Balizador da Meta'!$C$4:$C$21)</f>
        <v>48</v>
      </c>
      <c r="Q562" s="28">
        <f>Q555*_xlfn.XLOOKUP($L562,'Balizador da Meta'!$B$4:$B$21,'Balizador da Meta'!$C$4:$C$21)</f>
        <v>48</v>
      </c>
      <c r="R562" s="28">
        <f>R555*_xlfn.XLOOKUP($L562,'Balizador da Meta'!$B$4:$B$21,'Balizador da Meta'!$C$4:$C$21)</f>
        <v>48</v>
      </c>
      <c r="S562" s="28">
        <f>S555*_xlfn.XLOOKUP($L562,'Balizador da Meta'!$B$4:$B$21,'Balizador da Meta'!$C$4:$C$21)</f>
        <v>48</v>
      </c>
      <c r="T562" s="28">
        <f>T555*_xlfn.XLOOKUP($L562,'Balizador da Meta'!$B$4:$B$21,'Balizador da Meta'!$C$4:$C$21)</f>
        <v>48</v>
      </c>
      <c r="U562" s="28">
        <f>U555*_xlfn.XLOOKUP($L562,'Balizador da Meta'!$B$4:$B$21,'Balizador da Meta'!$C$4:$C$21)</f>
        <v>48</v>
      </c>
      <c r="V562" s="28">
        <f>V555*_xlfn.XLOOKUP($L562,'Balizador da Meta'!$B$4:$B$21,'Balizador da Meta'!$C$4:$C$21)</f>
        <v>48</v>
      </c>
      <c r="W562" s="28">
        <f>W555*_xlfn.XLOOKUP($L562,'Balizador da Meta'!$B$4:$B$21,'Balizador da Meta'!$C$4:$C$21)</f>
        <v>48</v>
      </c>
      <c r="X562" s="28">
        <f>X555*_xlfn.XLOOKUP($L562,'Balizador da Meta'!$B$4:$B$21,'Balizador da Meta'!$C$4:$C$21)</f>
        <v>48</v>
      </c>
      <c r="Y562" s="28">
        <f>Y555*_xlfn.XLOOKUP($L562,'Balizador da Meta'!$B$4:$B$21,'Balizador da Meta'!$C$4:$C$21)</f>
        <v>48</v>
      </c>
      <c r="Z562" s="30">
        <f t="shared" si="134"/>
        <v>576</v>
      </c>
      <c r="AA562" s="29"/>
      <c r="AB562" s="31">
        <f>SUMIFS('Historico - FAT'!AK:AK,'Historico - FAT'!$K:$K,Faturamento!$L562,'Historico - FAT'!$I:$I,Faturamento!$J562,'Historico - FAT'!$G:$G,Faturamento!$H562)</f>
        <v>0</v>
      </c>
      <c r="AC562" s="31">
        <f>SUMIFS('Historico - FAT'!AL:AL,'Historico - FAT'!$K:$K,Faturamento!$L562,'Historico - FAT'!$I:$I,Faturamento!$J562,'Historico - FAT'!$G:$G,Faturamento!$H562)</f>
        <v>7.4875000000000007</v>
      </c>
      <c r="AD562" s="31">
        <f>SUMIFS('Historico - FAT'!AM:AM,'Historico - FAT'!$K:$K,Faturamento!$L562,'Historico - FAT'!$I:$I,Faturamento!$J562,'Historico - FAT'!$G:$G,Faturamento!$H562)</f>
        <v>14.975000000000001</v>
      </c>
      <c r="AE562" s="27">
        <f>SUMIFS('Historico - FAT'!AN:AN,'Historico - FAT'!$K:$K,Faturamento!$L562,'Historico - FAT'!$I:$I,Faturamento!$J562,'Historico - FAT'!$G:$G,Faturamento!$H562)</f>
        <v>8.9850000000000012</v>
      </c>
      <c r="AG562" s="24">
        <f t="shared" ref="AG562:AG625" si="136">IFERROR((AVERAGE(W562:Y562)-AB562)/AVERAGE(W562:Y562),"")</f>
        <v>1</v>
      </c>
      <c r="AH562" s="24">
        <f t="shared" ref="AH562:AH625" si="137">IFERROR((AVERAGE(W562:Y562)-AC562)/AVERAGE(W562:Y562),"")</f>
        <v>0.84401041666666676</v>
      </c>
      <c r="AI562" s="24">
        <f t="shared" ref="AI562:AI625" si="138">IFERROR((AVERAGE(W562:Y562)-AD562)/AVERAGE(W562:Y562),"")</f>
        <v>0.6880208333333333</v>
      </c>
    </row>
    <row r="563" spans="1:35" hidden="1" x14ac:dyDescent="0.3">
      <c r="A563" s="2" t="str">
        <f t="shared" si="135"/>
        <v>NÃO</v>
      </c>
      <c r="B563" s="2">
        <v>1000184670</v>
      </c>
      <c r="C563" s="2" t="s">
        <v>147</v>
      </c>
      <c r="D563" s="4">
        <v>1000186197</v>
      </c>
      <c r="E563" s="4" t="s">
        <v>166</v>
      </c>
      <c r="F563" s="2">
        <v>1000184760</v>
      </c>
      <c r="G563" s="2" t="s">
        <v>60</v>
      </c>
      <c r="H563" s="4">
        <v>1000189774</v>
      </c>
      <c r="I563" s="4" t="s">
        <v>68</v>
      </c>
      <c r="J563" s="2">
        <v>1000189270</v>
      </c>
      <c r="K563" s="2" t="s">
        <v>34</v>
      </c>
      <c r="L563" s="4" t="s">
        <v>24</v>
      </c>
      <c r="M563" s="4" t="str">
        <f t="shared" si="125"/>
        <v>1000184670100018619710001897741000189270KIDS</v>
      </c>
      <c r="N563" s="28">
        <f>N555*_xlfn.XLOOKUP($L563,'Balizador da Meta'!$B$4:$B$21,'Balizador da Meta'!$C$4:$C$21)</f>
        <v>0</v>
      </c>
      <c r="O563" s="28">
        <f>O555*_xlfn.XLOOKUP($L563,'Balizador da Meta'!$B$4:$B$21,'Balizador da Meta'!$C$4:$C$21)</f>
        <v>0</v>
      </c>
      <c r="P563" s="28">
        <f>P555*_xlfn.XLOOKUP($L563,'Balizador da Meta'!$B$4:$B$21,'Balizador da Meta'!$C$4:$C$21)</f>
        <v>0</v>
      </c>
      <c r="Q563" s="28">
        <f>Q555*_xlfn.XLOOKUP($L563,'Balizador da Meta'!$B$4:$B$21,'Balizador da Meta'!$C$4:$C$21)</f>
        <v>0</v>
      </c>
      <c r="R563" s="28">
        <f>R555*_xlfn.XLOOKUP($L563,'Balizador da Meta'!$B$4:$B$21,'Balizador da Meta'!$C$4:$C$21)</f>
        <v>0</v>
      </c>
      <c r="S563" s="28">
        <f>S555*_xlfn.XLOOKUP($L563,'Balizador da Meta'!$B$4:$B$21,'Balizador da Meta'!$C$4:$C$21)</f>
        <v>0</v>
      </c>
      <c r="T563" s="28">
        <f>T555*_xlfn.XLOOKUP($L563,'Balizador da Meta'!$B$4:$B$21,'Balizador da Meta'!$C$4:$C$21)</f>
        <v>0</v>
      </c>
      <c r="U563" s="28">
        <f>U555*_xlfn.XLOOKUP($L563,'Balizador da Meta'!$B$4:$B$21,'Balizador da Meta'!$C$4:$C$21)</f>
        <v>0</v>
      </c>
      <c r="V563" s="28">
        <f>V555*_xlfn.XLOOKUP($L563,'Balizador da Meta'!$B$4:$B$21,'Balizador da Meta'!$C$4:$C$21)</f>
        <v>0</v>
      </c>
      <c r="W563" s="28">
        <f>W555*_xlfn.XLOOKUP($L563,'Balizador da Meta'!$B$4:$B$21,'Balizador da Meta'!$C$4:$C$21)</f>
        <v>0</v>
      </c>
      <c r="X563" s="28">
        <f>X555*_xlfn.XLOOKUP($L563,'Balizador da Meta'!$B$4:$B$21,'Balizador da Meta'!$C$4:$C$21)</f>
        <v>0</v>
      </c>
      <c r="Y563" s="28">
        <f>Y555*_xlfn.XLOOKUP($L563,'Balizador da Meta'!$B$4:$B$21,'Balizador da Meta'!$C$4:$C$21)</f>
        <v>0</v>
      </c>
      <c r="Z563" s="30">
        <f t="shared" si="134"/>
        <v>0</v>
      </c>
      <c r="AA563" s="29"/>
      <c r="AB563" s="31">
        <f>SUMIFS('Historico - FAT'!AK:AK,'Historico - FAT'!$K:$K,Faturamento!$L563,'Historico - FAT'!$I:$I,Faturamento!$J563,'Historico - FAT'!$G:$G,Faturamento!$H563)</f>
        <v>0</v>
      </c>
      <c r="AC563" s="31">
        <f>SUMIFS('Historico - FAT'!AL:AL,'Historico - FAT'!$K:$K,Faturamento!$L563,'Historico - FAT'!$I:$I,Faturamento!$J563,'Historico - FAT'!$G:$G,Faturamento!$H563)</f>
        <v>4.78</v>
      </c>
      <c r="AD563" s="31">
        <f>SUMIFS('Historico - FAT'!AM:AM,'Historico - FAT'!$K:$K,Faturamento!$L563,'Historico - FAT'!$I:$I,Faturamento!$J563,'Historico - FAT'!$G:$G,Faturamento!$H563)</f>
        <v>9.56</v>
      </c>
      <c r="AE563" s="27">
        <f>SUMIFS('Historico - FAT'!AN:AN,'Historico - FAT'!$K:$K,Faturamento!$L563,'Historico - FAT'!$I:$I,Faturamento!$J563,'Historico - FAT'!$G:$G,Faturamento!$H563)</f>
        <v>5.7359999999999998</v>
      </c>
      <c r="AG563" s="24" t="str">
        <f t="shared" si="136"/>
        <v/>
      </c>
      <c r="AH563" s="24" t="str">
        <f t="shared" si="137"/>
        <v/>
      </c>
      <c r="AI563" s="24" t="str">
        <f t="shared" si="138"/>
        <v/>
      </c>
    </row>
    <row r="564" spans="1:35" hidden="1" x14ac:dyDescent="0.3">
      <c r="A564" s="2" t="str">
        <f t="shared" si="135"/>
        <v>NÃO</v>
      </c>
      <c r="B564" s="2">
        <v>1000184670</v>
      </c>
      <c r="C564" s="2" t="s">
        <v>147</v>
      </c>
      <c r="D564" s="4">
        <v>1000186197</v>
      </c>
      <c r="E564" s="4" t="s">
        <v>166</v>
      </c>
      <c r="F564" s="2">
        <v>1000184760</v>
      </c>
      <c r="G564" s="2" t="s">
        <v>60</v>
      </c>
      <c r="H564" s="4">
        <v>1000189774</v>
      </c>
      <c r="I564" s="4" t="s">
        <v>68</v>
      </c>
      <c r="J564" s="2">
        <v>1000189270</v>
      </c>
      <c r="K564" s="2" t="s">
        <v>34</v>
      </c>
      <c r="L564" s="4" t="s">
        <v>18</v>
      </c>
      <c r="M564" s="4" t="str">
        <f t="shared" si="125"/>
        <v>1000184670100018619710001897741000189270LANCHES</v>
      </c>
      <c r="N564" s="28">
        <f>N555*_xlfn.XLOOKUP($L564,'Balizador da Meta'!$B$4:$B$21,'Balizador da Meta'!$C$4:$C$21)</f>
        <v>24</v>
      </c>
      <c r="O564" s="28">
        <f>O555*_xlfn.XLOOKUP($L564,'Balizador da Meta'!$B$4:$B$21,'Balizador da Meta'!$C$4:$C$21)</f>
        <v>24</v>
      </c>
      <c r="P564" s="28">
        <f>P555*_xlfn.XLOOKUP($L564,'Balizador da Meta'!$B$4:$B$21,'Balizador da Meta'!$C$4:$C$21)</f>
        <v>24</v>
      </c>
      <c r="Q564" s="28">
        <f>Q555*_xlfn.XLOOKUP($L564,'Balizador da Meta'!$B$4:$B$21,'Balizador da Meta'!$C$4:$C$21)</f>
        <v>24</v>
      </c>
      <c r="R564" s="28">
        <f>R555*_xlfn.XLOOKUP($L564,'Balizador da Meta'!$B$4:$B$21,'Balizador da Meta'!$C$4:$C$21)</f>
        <v>24</v>
      </c>
      <c r="S564" s="28">
        <f>S555*_xlfn.XLOOKUP($L564,'Balizador da Meta'!$B$4:$B$21,'Balizador da Meta'!$C$4:$C$21)</f>
        <v>24</v>
      </c>
      <c r="T564" s="28">
        <f>T555*_xlfn.XLOOKUP($L564,'Balizador da Meta'!$B$4:$B$21,'Balizador da Meta'!$C$4:$C$21)</f>
        <v>24</v>
      </c>
      <c r="U564" s="28">
        <f>U555*_xlfn.XLOOKUP($L564,'Balizador da Meta'!$B$4:$B$21,'Balizador da Meta'!$C$4:$C$21)</f>
        <v>24</v>
      </c>
      <c r="V564" s="28">
        <f>V555*_xlfn.XLOOKUP($L564,'Balizador da Meta'!$B$4:$B$21,'Balizador da Meta'!$C$4:$C$21)</f>
        <v>24</v>
      </c>
      <c r="W564" s="28">
        <f>W555*_xlfn.XLOOKUP($L564,'Balizador da Meta'!$B$4:$B$21,'Balizador da Meta'!$C$4:$C$21)</f>
        <v>24</v>
      </c>
      <c r="X564" s="28">
        <f>X555*_xlfn.XLOOKUP($L564,'Balizador da Meta'!$B$4:$B$21,'Balizador da Meta'!$C$4:$C$21)</f>
        <v>24</v>
      </c>
      <c r="Y564" s="28">
        <f>Y555*_xlfn.XLOOKUP($L564,'Balizador da Meta'!$B$4:$B$21,'Balizador da Meta'!$C$4:$C$21)</f>
        <v>24</v>
      </c>
      <c r="Z564" s="30">
        <f t="shared" si="134"/>
        <v>288</v>
      </c>
      <c r="AA564" s="29"/>
      <c r="AB564" s="31">
        <f>SUMIFS('Historico - FAT'!AK:AK,'Historico - FAT'!$K:$K,Faturamento!$L564,'Historico - FAT'!$I:$I,Faturamento!$J564,'Historico - FAT'!$G:$G,Faturamento!$H564)</f>
        <v>0</v>
      </c>
      <c r="AC564" s="31">
        <f>SUMIFS('Historico - FAT'!AL:AL,'Historico - FAT'!$K:$K,Faturamento!$L564,'Historico - FAT'!$I:$I,Faturamento!$J564,'Historico - FAT'!$G:$G,Faturamento!$H564)</f>
        <v>37.261666666666663</v>
      </c>
      <c r="AD564" s="31">
        <f>SUMIFS('Historico - FAT'!AM:AM,'Historico - FAT'!$K:$K,Faturamento!$L564,'Historico - FAT'!$I:$I,Faturamento!$J564,'Historico - FAT'!$G:$G,Faturamento!$H564)</f>
        <v>74.523333333333326</v>
      </c>
      <c r="AE564" s="27">
        <f>SUMIFS('Historico - FAT'!AN:AN,'Historico - FAT'!$K:$K,Faturamento!$L564,'Historico - FAT'!$I:$I,Faturamento!$J564,'Historico - FAT'!$G:$G,Faturamento!$H564)</f>
        <v>44.713999999999999</v>
      </c>
      <c r="AG564" s="24">
        <f t="shared" si="136"/>
        <v>1</v>
      </c>
      <c r="AH564" s="24">
        <f t="shared" si="137"/>
        <v>-0.55256944444444434</v>
      </c>
      <c r="AI564" s="24">
        <f t="shared" si="138"/>
        <v>-2.1051388888888884</v>
      </c>
    </row>
    <row r="565" spans="1:35" hidden="1" x14ac:dyDescent="0.3">
      <c r="A565" s="2" t="str">
        <f t="shared" si="135"/>
        <v>NÃO</v>
      </c>
      <c r="B565" s="2">
        <v>1000184670</v>
      </c>
      <c r="C565" s="2" t="s">
        <v>147</v>
      </c>
      <c r="D565" s="4">
        <v>1000186197</v>
      </c>
      <c r="E565" s="4" t="s">
        <v>166</v>
      </c>
      <c r="F565" s="2">
        <v>1000184760</v>
      </c>
      <c r="G565" s="2" t="s">
        <v>60</v>
      </c>
      <c r="H565" s="4">
        <v>1000189774</v>
      </c>
      <c r="I565" s="4" t="s">
        <v>68</v>
      </c>
      <c r="J565" s="2">
        <v>1000189270</v>
      </c>
      <c r="K565" s="2" t="s">
        <v>34</v>
      </c>
      <c r="L565" s="4" t="s">
        <v>29</v>
      </c>
      <c r="M565" s="4" t="str">
        <f t="shared" si="125"/>
        <v>1000184670100018619710001897741000189270MAIS GRANEL</v>
      </c>
      <c r="N565" s="28">
        <f>N555*_xlfn.XLOOKUP($L565,'Balizador da Meta'!$B$4:$B$21,'Balizador da Meta'!$C$4:$C$21)</f>
        <v>768</v>
      </c>
      <c r="O565" s="28">
        <f>O555*_xlfn.XLOOKUP($L565,'Balizador da Meta'!$B$4:$B$21,'Balizador da Meta'!$C$4:$C$21)</f>
        <v>768</v>
      </c>
      <c r="P565" s="28">
        <f>P555*_xlfn.XLOOKUP($L565,'Balizador da Meta'!$B$4:$B$21,'Balizador da Meta'!$C$4:$C$21)</f>
        <v>768</v>
      </c>
      <c r="Q565" s="28">
        <f>Q555*_xlfn.XLOOKUP($L565,'Balizador da Meta'!$B$4:$B$21,'Balizador da Meta'!$C$4:$C$21)</f>
        <v>768</v>
      </c>
      <c r="R565" s="28">
        <f>R555*_xlfn.XLOOKUP($L565,'Balizador da Meta'!$B$4:$B$21,'Balizador da Meta'!$C$4:$C$21)</f>
        <v>768</v>
      </c>
      <c r="S565" s="28">
        <f>S555*_xlfn.XLOOKUP($L565,'Balizador da Meta'!$B$4:$B$21,'Balizador da Meta'!$C$4:$C$21)</f>
        <v>768</v>
      </c>
      <c r="T565" s="28">
        <f>T555*_xlfn.XLOOKUP($L565,'Balizador da Meta'!$B$4:$B$21,'Balizador da Meta'!$C$4:$C$21)</f>
        <v>768</v>
      </c>
      <c r="U565" s="28">
        <f>U555*_xlfn.XLOOKUP($L565,'Balizador da Meta'!$B$4:$B$21,'Balizador da Meta'!$C$4:$C$21)</f>
        <v>768</v>
      </c>
      <c r="V565" s="28">
        <f>V555*_xlfn.XLOOKUP($L565,'Balizador da Meta'!$B$4:$B$21,'Balizador da Meta'!$C$4:$C$21)</f>
        <v>768</v>
      </c>
      <c r="W565" s="28">
        <f>W555*_xlfn.XLOOKUP($L565,'Balizador da Meta'!$B$4:$B$21,'Balizador da Meta'!$C$4:$C$21)</f>
        <v>768</v>
      </c>
      <c r="X565" s="28">
        <f>X555*_xlfn.XLOOKUP($L565,'Balizador da Meta'!$B$4:$B$21,'Balizador da Meta'!$C$4:$C$21)</f>
        <v>768</v>
      </c>
      <c r="Y565" s="28">
        <f>Y555*_xlfn.XLOOKUP($L565,'Balizador da Meta'!$B$4:$B$21,'Balizador da Meta'!$C$4:$C$21)</f>
        <v>768</v>
      </c>
      <c r="Z565" s="30">
        <f t="shared" si="134"/>
        <v>9216</v>
      </c>
      <c r="AA565" s="29"/>
      <c r="AB565" s="31">
        <f>SUMIFS('Historico - FAT'!AK:AK,'Historico - FAT'!$K:$K,Faturamento!$L565,'Historico - FAT'!$I:$I,Faturamento!$J565,'Historico - FAT'!$G:$G,Faturamento!$H565)</f>
        <v>0</v>
      </c>
      <c r="AC565" s="31">
        <f>SUMIFS('Historico - FAT'!AL:AL,'Historico - FAT'!$K:$K,Faturamento!$L565,'Historico - FAT'!$I:$I,Faturamento!$J565,'Historico - FAT'!$G:$G,Faturamento!$H565)</f>
        <v>322.69</v>
      </c>
      <c r="AD565" s="31">
        <f>SUMIFS('Historico - FAT'!AM:AM,'Historico - FAT'!$K:$K,Faturamento!$L565,'Historico - FAT'!$I:$I,Faturamento!$J565,'Historico - FAT'!$G:$G,Faturamento!$H565)</f>
        <v>645.38</v>
      </c>
      <c r="AE565" s="27">
        <f>SUMIFS('Historico - FAT'!AN:AN,'Historico - FAT'!$K:$K,Faturamento!$L565,'Historico - FAT'!$I:$I,Faturamento!$J565,'Historico - FAT'!$G:$G,Faturamento!$H565)</f>
        <v>387.22799999999995</v>
      </c>
      <c r="AG565" s="24">
        <f t="shared" si="136"/>
        <v>1</v>
      </c>
      <c r="AH565" s="24">
        <f t="shared" si="137"/>
        <v>0.57983072916666667</v>
      </c>
      <c r="AI565" s="24">
        <f t="shared" si="138"/>
        <v>0.15966145833333334</v>
      </c>
    </row>
    <row r="566" spans="1:35" hidden="1" x14ac:dyDescent="0.3">
      <c r="A566" s="2" t="str">
        <f t="shared" si="135"/>
        <v>NÃO</v>
      </c>
      <c r="B566" s="2">
        <v>1000184670</v>
      </c>
      <c r="C566" s="2" t="s">
        <v>147</v>
      </c>
      <c r="D566" s="4">
        <v>1000186197</v>
      </c>
      <c r="E566" s="4" t="s">
        <v>166</v>
      </c>
      <c r="F566" s="2">
        <v>1000184760</v>
      </c>
      <c r="G566" s="2" t="s">
        <v>60</v>
      </c>
      <c r="H566" s="4">
        <v>1000189774</v>
      </c>
      <c r="I566" s="4" t="s">
        <v>68</v>
      </c>
      <c r="J566" s="2">
        <v>1000189270</v>
      </c>
      <c r="K566" s="2" t="s">
        <v>34</v>
      </c>
      <c r="L566" s="4" t="s">
        <v>21</v>
      </c>
      <c r="M566" s="4" t="str">
        <f t="shared" si="125"/>
        <v>1000184670100018619710001897741000189270NATURATTA</v>
      </c>
      <c r="N566" s="28">
        <f>N555*_xlfn.XLOOKUP($L566,'Balizador da Meta'!$B$4:$B$21,'Balizador da Meta'!$C$4:$C$21)</f>
        <v>120</v>
      </c>
      <c r="O566" s="28">
        <f>O555*_xlfn.XLOOKUP($L566,'Balizador da Meta'!$B$4:$B$21,'Balizador da Meta'!$C$4:$C$21)</f>
        <v>120</v>
      </c>
      <c r="P566" s="28">
        <f>P555*_xlfn.XLOOKUP($L566,'Balizador da Meta'!$B$4:$B$21,'Balizador da Meta'!$C$4:$C$21)</f>
        <v>120</v>
      </c>
      <c r="Q566" s="28">
        <f>Q555*_xlfn.XLOOKUP($L566,'Balizador da Meta'!$B$4:$B$21,'Balizador da Meta'!$C$4:$C$21)</f>
        <v>120</v>
      </c>
      <c r="R566" s="28">
        <f>R555*_xlfn.XLOOKUP($L566,'Balizador da Meta'!$B$4:$B$21,'Balizador da Meta'!$C$4:$C$21)</f>
        <v>120</v>
      </c>
      <c r="S566" s="28">
        <f>S555*_xlfn.XLOOKUP($L566,'Balizador da Meta'!$B$4:$B$21,'Balizador da Meta'!$C$4:$C$21)</f>
        <v>120</v>
      </c>
      <c r="T566" s="28">
        <f>T555*_xlfn.XLOOKUP($L566,'Balizador da Meta'!$B$4:$B$21,'Balizador da Meta'!$C$4:$C$21)</f>
        <v>120</v>
      </c>
      <c r="U566" s="28">
        <f>U555*_xlfn.XLOOKUP($L566,'Balizador da Meta'!$B$4:$B$21,'Balizador da Meta'!$C$4:$C$21)</f>
        <v>120</v>
      </c>
      <c r="V566" s="28">
        <f>V555*_xlfn.XLOOKUP($L566,'Balizador da Meta'!$B$4:$B$21,'Balizador da Meta'!$C$4:$C$21)</f>
        <v>120</v>
      </c>
      <c r="W566" s="28">
        <f>W555*_xlfn.XLOOKUP($L566,'Balizador da Meta'!$B$4:$B$21,'Balizador da Meta'!$C$4:$C$21)</f>
        <v>120</v>
      </c>
      <c r="X566" s="28">
        <f>X555*_xlfn.XLOOKUP($L566,'Balizador da Meta'!$B$4:$B$21,'Balizador da Meta'!$C$4:$C$21)</f>
        <v>120</v>
      </c>
      <c r="Y566" s="28">
        <f>Y555*_xlfn.XLOOKUP($L566,'Balizador da Meta'!$B$4:$B$21,'Balizador da Meta'!$C$4:$C$21)</f>
        <v>120</v>
      </c>
      <c r="Z566" s="30">
        <f t="shared" si="134"/>
        <v>1440</v>
      </c>
      <c r="AA566" s="29"/>
      <c r="AB566" s="31">
        <f>SUMIFS('Historico - FAT'!AK:AK,'Historico - FAT'!$K:$K,Faturamento!$L566,'Historico - FAT'!$I:$I,Faturamento!$J566,'Historico - FAT'!$G:$G,Faturamento!$H566)</f>
        <v>0</v>
      </c>
      <c r="AC566" s="31">
        <f>SUMIFS('Historico - FAT'!AL:AL,'Historico - FAT'!$K:$K,Faturamento!$L566,'Historico - FAT'!$I:$I,Faturamento!$J566,'Historico - FAT'!$G:$G,Faturamento!$H566)</f>
        <v>62.706666666666671</v>
      </c>
      <c r="AD566" s="31">
        <f>SUMIFS('Historico - FAT'!AM:AM,'Historico - FAT'!$K:$K,Faturamento!$L566,'Historico - FAT'!$I:$I,Faturamento!$J566,'Historico - FAT'!$G:$G,Faturamento!$H566)</f>
        <v>125.41333333333334</v>
      </c>
      <c r="AE566" s="27">
        <f>SUMIFS('Historico - FAT'!AN:AN,'Historico - FAT'!$K:$K,Faturamento!$L566,'Historico - FAT'!$I:$I,Faturamento!$J566,'Historico - FAT'!$G:$G,Faturamento!$H566)</f>
        <v>75.248000000000005</v>
      </c>
      <c r="AG566" s="24">
        <f t="shared" si="136"/>
        <v>1</v>
      </c>
      <c r="AH566" s="24">
        <f t="shared" si="137"/>
        <v>0.47744444444444439</v>
      </c>
      <c r="AI566" s="24">
        <f t="shared" si="138"/>
        <v>-4.5111111111111178E-2</v>
      </c>
    </row>
    <row r="567" spans="1:35" hidden="1" x14ac:dyDescent="0.3">
      <c r="A567" s="2" t="str">
        <f t="shared" si="135"/>
        <v>NÃO</v>
      </c>
      <c r="B567" s="2">
        <v>1000184670</v>
      </c>
      <c r="C567" s="2" t="s">
        <v>147</v>
      </c>
      <c r="D567" s="4">
        <v>1000186197</v>
      </c>
      <c r="E567" s="4" t="s">
        <v>166</v>
      </c>
      <c r="F567" s="2">
        <v>1000184760</v>
      </c>
      <c r="G567" s="2" t="s">
        <v>60</v>
      </c>
      <c r="H567" s="4">
        <v>1000189774</v>
      </c>
      <c r="I567" s="4" t="s">
        <v>68</v>
      </c>
      <c r="J567" s="2">
        <v>1000189270</v>
      </c>
      <c r="K567" s="2" t="s">
        <v>34</v>
      </c>
      <c r="L567" s="4" t="s">
        <v>20</v>
      </c>
      <c r="M567" s="4" t="str">
        <f t="shared" si="125"/>
        <v>1000184670100018619710001897741000189270REEMBALADOS</v>
      </c>
      <c r="N567" s="28">
        <f>N555*_xlfn.XLOOKUP($L567,'Balizador da Meta'!$B$4:$B$21,'Balizador da Meta'!$C$4:$C$21)</f>
        <v>96</v>
      </c>
      <c r="O567" s="28">
        <f>O555*_xlfn.XLOOKUP($L567,'Balizador da Meta'!$B$4:$B$21,'Balizador da Meta'!$C$4:$C$21)</f>
        <v>96</v>
      </c>
      <c r="P567" s="28">
        <f>P555*_xlfn.XLOOKUP($L567,'Balizador da Meta'!$B$4:$B$21,'Balizador da Meta'!$C$4:$C$21)</f>
        <v>96</v>
      </c>
      <c r="Q567" s="28">
        <f>Q555*_xlfn.XLOOKUP($L567,'Balizador da Meta'!$B$4:$B$21,'Balizador da Meta'!$C$4:$C$21)</f>
        <v>96</v>
      </c>
      <c r="R567" s="28">
        <f>R555*_xlfn.XLOOKUP($L567,'Balizador da Meta'!$B$4:$B$21,'Balizador da Meta'!$C$4:$C$21)</f>
        <v>96</v>
      </c>
      <c r="S567" s="28">
        <f>S555*_xlfn.XLOOKUP($L567,'Balizador da Meta'!$B$4:$B$21,'Balizador da Meta'!$C$4:$C$21)</f>
        <v>96</v>
      </c>
      <c r="T567" s="28">
        <f>T555*_xlfn.XLOOKUP($L567,'Balizador da Meta'!$B$4:$B$21,'Balizador da Meta'!$C$4:$C$21)</f>
        <v>96</v>
      </c>
      <c r="U567" s="28">
        <f>U555*_xlfn.XLOOKUP($L567,'Balizador da Meta'!$B$4:$B$21,'Balizador da Meta'!$C$4:$C$21)</f>
        <v>96</v>
      </c>
      <c r="V567" s="28">
        <f>V555*_xlfn.XLOOKUP($L567,'Balizador da Meta'!$B$4:$B$21,'Balizador da Meta'!$C$4:$C$21)</f>
        <v>96</v>
      </c>
      <c r="W567" s="28">
        <f>W555*_xlfn.XLOOKUP($L567,'Balizador da Meta'!$B$4:$B$21,'Balizador da Meta'!$C$4:$C$21)</f>
        <v>96</v>
      </c>
      <c r="X567" s="28">
        <f>X555*_xlfn.XLOOKUP($L567,'Balizador da Meta'!$B$4:$B$21,'Balizador da Meta'!$C$4:$C$21)</f>
        <v>96</v>
      </c>
      <c r="Y567" s="28">
        <f>Y555*_xlfn.XLOOKUP($L567,'Balizador da Meta'!$B$4:$B$21,'Balizador da Meta'!$C$4:$C$21)</f>
        <v>96</v>
      </c>
      <c r="Z567" s="30">
        <f t="shared" si="134"/>
        <v>1152</v>
      </c>
      <c r="AA567" s="29"/>
      <c r="AB567" s="31">
        <f>SUMIFS('Historico - FAT'!AK:AK,'Historico - FAT'!$K:$K,Faturamento!$L567,'Historico - FAT'!$I:$I,Faturamento!$J567,'Historico - FAT'!$G:$G,Faturamento!$H567)</f>
        <v>0</v>
      </c>
      <c r="AC567" s="31">
        <f>SUMIFS('Historico - FAT'!AL:AL,'Historico - FAT'!$K:$K,Faturamento!$L567,'Historico - FAT'!$I:$I,Faturamento!$J567,'Historico - FAT'!$G:$G,Faturamento!$H567)</f>
        <v>86.904166666666654</v>
      </c>
      <c r="AD567" s="31">
        <f>SUMIFS('Historico - FAT'!AM:AM,'Historico - FAT'!$K:$K,Faturamento!$L567,'Historico - FAT'!$I:$I,Faturamento!$J567,'Historico - FAT'!$G:$G,Faturamento!$H567)</f>
        <v>142.60833333333332</v>
      </c>
      <c r="AE567" s="27">
        <f>SUMIFS('Historico - FAT'!AN:AN,'Historico - FAT'!$K:$K,Faturamento!$L567,'Historico - FAT'!$I:$I,Faturamento!$J567,'Historico - FAT'!$G:$G,Faturamento!$H567)</f>
        <v>104.285</v>
      </c>
      <c r="AG567" s="24">
        <f t="shared" si="136"/>
        <v>1</v>
      </c>
      <c r="AH567" s="24">
        <f t="shared" si="137"/>
        <v>9.4748263888889017E-2</v>
      </c>
      <c r="AI567" s="24">
        <f t="shared" si="138"/>
        <v>-0.48550347222222207</v>
      </c>
    </row>
    <row r="568" spans="1:35" hidden="1" x14ac:dyDescent="0.3">
      <c r="A568" s="2" t="str">
        <f t="shared" si="135"/>
        <v>NÃO</v>
      </c>
      <c r="B568" s="2">
        <v>1000184670</v>
      </c>
      <c r="C568" s="2" t="s">
        <v>147</v>
      </c>
      <c r="D568" s="4">
        <v>1000186197</v>
      </c>
      <c r="E568" s="4" t="s">
        <v>166</v>
      </c>
      <c r="F568" s="2">
        <v>1000184760</v>
      </c>
      <c r="G568" s="2" t="s">
        <v>60</v>
      </c>
      <c r="H568" s="4">
        <v>1000189774</v>
      </c>
      <c r="I568" s="4" t="s">
        <v>68</v>
      </c>
      <c r="J568" s="2">
        <v>1000189270</v>
      </c>
      <c r="K568" s="2" t="s">
        <v>34</v>
      </c>
      <c r="L568" s="4" t="s">
        <v>22</v>
      </c>
      <c r="M568" s="4" t="str">
        <f t="shared" si="125"/>
        <v>1000184670100018619710001897741000189270S GLUTEN</v>
      </c>
      <c r="N568" s="28">
        <f>N555*_xlfn.XLOOKUP($L568,'Balizador da Meta'!$B$4:$B$21,'Balizador da Meta'!$C$4:$C$21)</f>
        <v>96</v>
      </c>
      <c r="O568" s="28">
        <f>O555*_xlfn.XLOOKUP($L568,'Balizador da Meta'!$B$4:$B$21,'Balizador da Meta'!$C$4:$C$21)</f>
        <v>96</v>
      </c>
      <c r="P568" s="28">
        <f>P555*_xlfn.XLOOKUP($L568,'Balizador da Meta'!$B$4:$B$21,'Balizador da Meta'!$C$4:$C$21)</f>
        <v>96</v>
      </c>
      <c r="Q568" s="28">
        <f>Q555*_xlfn.XLOOKUP($L568,'Balizador da Meta'!$B$4:$B$21,'Balizador da Meta'!$C$4:$C$21)</f>
        <v>96</v>
      </c>
      <c r="R568" s="28">
        <f>R555*_xlfn.XLOOKUP($L568,'Balizador da Meta'!$B$4:$B$21,'Balizador da Meta'!$C$4:$C$21)</f>
        <v>96</v>
      </c>
      <c r="S568" s="28">
        <f>S555*_xlfn.XLOOKUP($L568,'Balizador da Meta'!$B$4:$B$21,'Balizador da Meta'!$C$4:$C$21)</f>
        <v>96</v>
      </c>
      <c r="T568" s="28">
        <f>T555*_xlfn.XLOOKUP($L568,'Balizador da Meta'!$B$4:$B$21,'Balizador da Meta'!$C$4:$C$21)</f>
        <v>96</v>
      </c>
      <c r="U568" s="28">
        <f>U555*_xlfn.XLOOKUP($L568,'Balizador da Meta'!$B$4:$B$21,'Balizador da Meta'!$C$4:$C$21)</f>
        <v>96</v>
      </c>
      <c r="V568" s="28">
        <f>V555*_xlfn.XLOOKUP($L568,'Balizador da Meta'!$B$4:$B$21,'Balizador da Meta'!$C$4:$C$21)</f>
        <v>96</v>
      </c>
      <c r="W568" s="28">
        <f>W555*_xlfn.XLOOKUP($L568,'Balizador da Meta'!$B$4:$B$21,'Balizador da Meta'!$C$4:$C$21)</f>
        <v>96</v>
      </c>
      <c r="X568" s="28">
        <f>X555*_xlfn.XLOOKUP($L568,'Balizador da Meta'!$B$4:$B$21,'Balizador da Meta'!$C$4:$C$21)</f>
        <v>96</v>
      </c>
      <c r="Y568" s="28">
        <f>Y555*_xlfn.XLOOKUP($L568,'Balizador da Meta'!$B$4:$B$21,'Balizador da Meta'!$C$4:$C$21)</f>
        <v>96</v>
      </c>
      <c r="Z568" s="30">
        <f t="shared" si="134"/>
        <v>1152</v>
      </c>
      <c r="AA568" s="29"/>
      <c r="AB568" s="31">
        <f>SUMIFS('Historico - FAT'!AK:AK,'Historico - FAT'!$K:$K,Faturamento!$L568,'Historico - FAT'!$I:$I,Faturamento!$J568,'Historico - FAT'!$G:$G,Faturamento!$H568)</f>
        <v>0</v>
      </c>
      <c r="AC568" s="31">
        <f>SUMIFS('Historico - FAT'!AL:AL,'Historico - FAT'!$K:$K,Faturamento!$L568,'Historico - FAT'!$I:$I,Faturamento!$J568,'Historico - FAT'!$G:$G,Faturamento!$H568)</f>
        <v>252.12666666666667</v>
      </c>
      <c r="AD568" s="31">
        <f>SUMIFS('Historico - FAT'!AM:AM,'Historico - FAT'!$K:$K,Faturamento!$L568,'Historico - FAT'!$I:$I,Faturamento!$J568,'Historico - FAT'!$G:$G,Faturamento!$H568)</f>
        <v>419.25333333333333</v>
      </c>
      <c r="AE568" s="27">
        <f>SUMIFS('Historico - FAT'!AN:AN,'Historico - FAT'!$K:$K,Faturamento!$L568,'Historico - FAT'!$I:$I,Faturamento!$J568,'Historico - FAT'!$G:$G,Faturamento!$H568)</f>
        <v>302.55200000000002</v>
      </c>
      <c r="AG568" s="24">
        <f t="shared" si="136"/>
        <v>1</v>
      </c>
      <c r="AH568" s="24">
        <f t="shared" si="137"/>
        <v>-1.6263194444444444</v>
      </c>
      <c r="AI568" s="24">
        <f t="shared" si="138"/>
        <v>-3.3672222222222223</v>
      </c>
    </row>
    <row r="569" spans="1:35" hidden="1" x14ac:dyDescent="0.3">
      <c r="A569" s="2" t="str">
        <f t="shared" si="135"/>
        <v>NÃO</v>
      </c>
      <c r="B569" s="2">
        <v>1000184670</v>
      </c>
      <c r="C569" s="2" t="s">
        <v>147</v>
      </c>
      <c r="D569" s="4">
        <v>1000186197</v>
      </c>
      <c r="E569" s="4" t="s">
        <v>166</v>
      </c>
      <c r="F569" s="2">
        <v>1000184760</v>
      </c>
      <c r="G569" s="2" t="s">
        <v>60</v>
      </c>
      <c r="H569" s="4">
        <v>1000189774</v>
      </c>
      <c r="I569" s="4" t="s">
        <v>68</v>
      </c>
      <c r="J569" s="2">
        <v>1000189270</v>
      </c>
      <c r="K569" s="2" t="s">
        <v>34</v>
      </c>
      <c r="L569" s="4" t="s">
        <v>23</v>
      </c>
      <c r="M569" s="4" t="str">
        <f t="shared" si="125"/>
        <v>1000184670100018619710001897741000189270SABORES DO CAMPO</v>
      </c>
      <c r="N569" s="28">
        <f>N555*_xlfn.XLOOKUP($L569,'Balizador da Meta'!$B$4:$B$21,'Balizador da Meta'!$C$4:$C$21)</f>
        <v>0</v>
      </c>
      <c r="O569" s="28">
        <f>O555*_xlfn.XLOOKUP($L569,'Balizador da Meta'!$B$4:$B$21,'Balizador da Meta'!$C$4:$C$21)</f>
        <v>0</v>
      </c>
      <c r="P569" s="28">
        <f>P555*_xlfn.XLOOKUP($L569,'Balizador da Meta'!$B$4:$B$21,'Balizador da Meta'!$C$4:$C$21)</f>
        <v>0</v>
      </c>
      <c r="Q569" s="28">
        <f>Q555*_xlfn.XLOOKUP($L569,'Balizador da Meta'!$B$4:$B$21,'Balizador da Meta'!$C$4:$C$21)</f>
        <v>0</v>
      </c>
      <c r="R569" s="28">
        <f>R555*_xlfn.XLOOKUP($L569,'Balizador da Meta'!$B$4:$B$21,'Balizador da Meta'!$C$4:$C$21)</f>
        <v>0</v>
      </c>
      <c r="S569" s="28">
        <f>S555*_xlfn.XLOOKUP($L569,'Balizador da Meta'!$B$4:$B$21,'Balizador da Meta'!$C$4:$C$21)</f>
        <v>0</v>
      </c>
      <c r="T569" s="28">
        <f>T555*_xlfn.XLOOKUP($L569,'Balizador da Meta'!$B$4:$B$21,'Balizador da Meta'!$C$4:$C$21)</f>
        <v>0</v>
      </c>
      <c r="U569" s="28">
        <f>U555*_xlfn.XLOOKUP($L569,'Balizador da Meta'!$B$4:$B$21,'Balizador da Meta'!$C$4:$C$21)</f>
        <v>0</v>
      </c>
      <c r="V569" s="28">
        <f>V555*_xlfn.XLOOKUP($L569,'Balizador da Meta'!$B$4:$B$21,'Balizador da Meta'!$C$4:$C$21)</f>
        <v>0</v>
      </c>
      <c r="W569" s="28">
        <f>W555*_xlfn.XLOOKUP($L569,'Balizador da Meta'!$B$4:$B$21,'Balizador da Meta'!$C$4:$C$21)</f>
        <v>0</v>
      </c>
      <c r="X569" s="28">
        <f>X555*_xlfn.XLOOKUP($L569,'Balizador da Meta'!$B$4:$B$21,'Balizador da Meta'!$C$4:$C$21)</f>
        <v>0</v>
      </c>
      <c r="Y569" s="28">
        <f>Y555*_xlfn.XLOOKUP($L569,'Balizador da Meta'!$B$4:$B$21,'Balizador da Meta'!$C$4:$C$21)</f>
        <v>0</v>
      </c>
      <c r="Z569" s="30">
        <f t="shared" si="134"/>
        <v>0</v>
      </c>
      <c r="AA569" s="29"/>
      <c r="AB569" s="31">
        <f>SUMIFS('Historico - FAT'!AK:AK,'Historico - FAT'!$K:$K,Faturamento!$L569,'Historico - FAT'!$I:$I,Faturamento!$J569,'Historico - FAT'!$G:$G,Faturamento!$H569)</f>
        <v>0</v>
      </c>
      <c r="AC569" s="31">
        <f>SUMIFS('Historico - FAT'!AL:AL,'Historico - FAT'!$K:$K,Faturamento!$L569,'Historico - FAT'!$I:$I,Faturamento!$J569,'Historico - FAT'!$G:$G,Faturamento!$H569)</f>
        <v>0</v>
      </c>
      <c r="AD569" s="31">
        <f>SUMIFS('Historico - FAT'!AM:AM,'Historico - FAT'!$K:$K,Faturamento!$L569,'Historico - FAT'!$I:$I,Faturamento!$J569,'Historico - FAT'!$G:$G,Faturamento!$H569)</f>
        <v>0</v>
      </c>
      <c r="AE569" s="27">
        <f>SUMIFS('Historico - FAT'!AN:AN,'Historico - FAT'!$K:$K,Faturamento!$L569,'Historico - FAT'!$I:$I,Faturamento!$J569,'Historico - FAT'!$G:$G,Faturamento!$H569)</f>
        <v>0</v>
      </c>
      <c r="AG569" s="24" t="str">
        <f t="shared" si="136"/>
        <v/>
      </c>
      <c r="AH569" s="24" t="str">
        <f t="shared" si="137"/>
        <v/>
      </c>
      <c r="AI569" s="24" t="str">
        <f t="shared" si="138"/>
        <v/>
      </c>
    </row>
    <row r="570" spans="1:35" hidden="1" x14ac:dyDescent="0.3">
      <c r="A570" s="2" t="str">
        <f t="shared" si="135"/>
        <v>NÃO</v>
      </c>
      <c r="B570" s="2">
        <v>1000184670</v>
      </c>
      <c r="C570" s="2" t="s">
        <v>147</v>
      </c>
      <c r="D570" s="4">
        <v>1000186197</v>
      </c>
      <c r="E570" s="4" t="s">
        <v>166</v>
      </c>
      <c r="F570" s="2">
        <v>1000184760</v>
      </c>
      <c r="G570" s="2" t="s">
        <v>60</v>
      </c>
      <c r="H570" s="4">
        <v>1000189774</v>
      </c>
      <c r="I570" s="4" t="s">
        <v>68</v>
      </c>
      <c r="J570" s="2">
        <v>1000189270</v>
      </c>
      <c r="K570" s="2" t="s">
        <v>34</v>
      </c>
      <c r="L570" s="4" t="s">
        <v>28</v>
      </c>
      <c r="M570" s="4" t="str">
        <f t="shared" si="125"/>
        <v>1000184670100018619710001897741000189270SAL</v>
      </c>
      <c r="N570" s="28">
        <f>N555*_xlfn.XLOOKUP($L570,'Balizador da Meta'!$B$4:$B$21,'Balizador da Meta'!$C$4:$C$21)</f>
        <v>48</v>
      </c>
      <c r="O570" s="28">
        <f>O555*_xlfn.XLOOKUP($L570,'Balizador da Meta'!$B$4:$B$21,'Balizador da Meta'!$C$4:$C$21)</f>
        <v>48</v>
      </c>
      <c r="P570" s="28">
        <f>P555*_xlfn.XLOOKUP($L570,'Balizador da Meta'!$B$4:$B$21,'Balizador da Meta'!$C$4:$C$21)</f>
        <v>48</v>
      </c>
      <c r="Q570" s="28">
        <f>Q555*_xlfn.XLOOKUP($L570,'Balizador da Meta'!$B$4:$B$21,'Balizador da Meta'!$C$4:$C$21)</f>
        <v>48</v>
      </c>
      <c r="R570" s="28">
        <f>R555*_xlfn.XLOOKUP($L570,'Balizador da Meta'!$B$4:$B$21,'Balizador da Meta'!$C$4:$C$21)</f>
        <v>48</v>
      </c>
      <c r="S570" s="28">
        <f>S555*_xlfn.XLOOKUP($L570,'Balizador da Meta'!$B$4:$B$21,'Balizador da Meta'!$C$4:$C$21)</f>
        <v>48</v>
      </c>
      <c r="T570" s="28">
        <f>T555*_xlfn.XLOOKUP($L570,'Balizador da Meta'!$B$4:$B$21,'Balizador da Meta'!$C$4:$C$21)</f>
        <v>48</v>
      </c>
      <c r="U570" s="28">
        <f>U555*_xlfn.XLOOKUP($L570,'Balizador da Meta'!$B$4:$B$21,'Balizador da Meta'!$C$4:$C$21)</f>
        <v>48</v>
      </c>
      <c r="V570" s="28">
        <f>V555*_xlfn.XLOOKUP($L570,'Balizador da Meta'!$B$4:$B$21,'Balizador da Meta'!$C$4:$C$21)</f>
        <v>48</v>
      </c>
      <c r="W570" s="28">
        <f>W555*_xlfn.XLOOKUP($L570,'Balizador da Meta'!$B$4:$B$21,'Balizador da Meta'!$C$4:$C$21)</f>
        <v>48</v>
      </c>
      <c r="X570" s="28">
        <f>X555*_xlfn.XLOOKUP($L570,'Balizador da Meta'!$B$4:$B$21,'Balizador da Meta'!$C$4:$C$21)</f>
        <v>48</v>
      </c>
      <c r="Y570" s="28">
        <f>Y555*_xlfn.XLOOKUP($L570,'Balizador da Meta'!$B$4:$B$21,'Balizador da Meta'!$C$4:$C$21)</f>
        <v>48</v>
      </c>
      <c r="Z570" s="30">
        <f t="shared" si="134"/>
        <v>576</v>
      </c>
      <c r="AA570" s="29"/>
      <c r="AB570" s="31">
        <f>SUMIFS('Historico - FAT'!AK:AK,'Historico - FAT'!$K:$K,Faturamento!$L570,'Historico - FAT'!$I:$I,Faturamento!$J570,'Historico - FAT'!$G:$G,Faturamento!$H570)</f>
        <v>0</v>
      </c>
      <c r="AC570" s="31">
        <f>SUMIFS('Historico - FAT'!AL:AL,'Historico - FAT'!$K:$K,Faturamento!$L570,'Historico - FAT'!$I:$I,Faturamento!$J570,'Historico - FAT'!$G:$G,Faturamento!$H570)</f>
        <v>10.200000000000001</v>
      </c>
      <c r="AD570" s="31">
        <f>SUMIFS('Historico - FAT'!AM:AM,'Historico - FAT'!$K:$K,Faturamento!$L570,'Historico - FAT'!$I:$I,Faturamento!$J570,'Historico - FAT'!$G:$G,Faturamento!$H570)</f>
        <v>20.400000000000002</v>
      </c>
      <c r="AE570" s="27">
        <f>SUMIFS('Historico - FAT'!AN:AN,'Historico - FAT'!$K:$K,Faturamento!$L570,'Historico - FAT'!$I:$I,Faturamento!$J570,'Historico - FAT'!$G:$G,Faturamento!$H570)</f>
        <v>12.24</v>
      </c>
      <c r="AG570" s="24">
        <f t="shared" si="136"/>
        <v>1</v>
      </c>
      <c r="AH570" s="24">
        <f t="shared" si="137"/>
        <v>0.78749999999999998</v>
      </c>
      <c r="AI570" s="24">
        <f t="shared" si="138"/>
        <v>0.57499999999999996</v>
      </c>
    </row>
    <row r="571" spans="1:35" hidden="1" x14ac:dyDescent="0.3">
      <c r="A571" s="2" t="str">
        <f t="shared" si="135"/>
        <v>NÃO</v>
      </c>
      <c r="B571" s="2">
        <v>1000184670</v>
      </c>
      <c r="C571" s="2" t="s">
        <v>147</v>
      </c>
      <c r="D571" s="4">
        <v>1000186197</v>
      </c>
      <c r="E571" s="4" t="s">
        <v>166</v>
      </c>
      <c r="F571" s="2">
        <v>1000184760</v>
      </c>
      <c r="G571" s="2" t="s">
        <v>60</v>
      </c>
      <c r="H571" s="4">
        <v>1000189774</v>
      </c>
      <c r="I571" s="4" t="s">
        <v>68</v>
      </c>
      <c r="J571" s="2">
        <v>1000189270</v>
      </c>
      <c r="K571" s="2" t="s">
        <v>34</v>
      </c>
      <c r="L571" s="4" t="s">
        <v>26</v>
      </c>
      <c r="M571" s="4" t="str">
        <f t="shared" si="125"/>
        <v>1000184670100018619710001897741000189270SOULPRO</v>
      </c>
      <c r="N571" s="28">
        <f>N555*_xlfn.XLOOKUP($L571,'Balizador da Meta'!$B$4:$B$21,'Balizador da Meta'!$C$4:$C$21)</f>
        <v>144</v>
      </c>
      <c r="O571" s="28">
        <f>O555*_xlfn.XLOOKUP($L571,'Balizador da Meta'!$B$4:$B$21,'Balizador da Meta'!$C$4:$C$21)</f>
        <v>144</v>
      </c>
      <c r="P571" s="28">
        <f>P555*_xlfn.XLOOKUP($L571,'Balizador da Meta'!$B$4:$B$21,'Balizador da Meta'!$C$4:$C$21)</f>
        <v>144</v>
      </c>
      <c r="Q571" s="28">
        <f>Q555*_xlfn.XLOOKUP($L571,'Balizador da Meta'!$B$4:$B$21,'Balizador da Meta'!$C$4:$C$21)</f>
        <v>144</v>
      </c>
      <c r="R571" s="28">
        <f>R555*_xlfn.XLOOKUP($L571,'Balizador da Meta'!$B$4:$B$21,'Balizador da Meta'!$C$4:$C$21)</f>
        <v>144</v>
      </c>
      <c r="S571" s="28">
        <f>S555*_xlfn.XLOOKUP($L571,'Balizador da Meta'!$B$4:$B$21,'Balizador da Meta'!$C$4:$C$21)</f>
        <v>144</v>
      </c>
      <c r="T571" s="28">
        <f>T555*_xlfn.XLOOKUP($L571,'Balizador da Meta'!$B$4:$B$21,'Balizador da Meta'!$C$4:$C$21)</f>
        <v>144</v>
      </c>
      <c r="U571" s="28">
        <f>U555*_xlfn.XLOOKUP($L571,'Balizador da Meta'!$B$4:$B$21,'Balizador da Meta'!$C$4:$C$21)</f>
        <v>144</v>
      </c>
      <c r="V571" s="28">
        <f>V555*_xlfn.XLOOKUP($L571,'Balizador da Meta'!$B$4:$B$21,'Balizador da Meta'!$C$4:$C$21)</f>
        <v>144</v>
      </c>
      <c r="W571" s="28">
        <f>W555*_xlfn.XLOOKUP($L571,'Balizador da Meta'!$B$4:$B$21,'Balizador da Meta'!$C$4:$C$21)</f>
        <v>144</v>
      </c>
      <c r="X571" s="28">
        <f>X555*_xlfn.XLOOKUP($L571,'Balizador da Meta'!$B$4:$B$21,'Balizador da Meta'!$C$4:$C$21)</f>
        <v>144</v>
      </c>
      <c r="Y571" s="28">
        <f>Y555*_xlfn.XLOOKUP($L571,'Balizador da Meta'!$B$4:$B$21,'Balizador da Meta'!$C$4:$C$21)</f>
        <v>144</v>
      </c>
      <c r="Z571" s="30">
        <f t="shared" si="134"/>
        <v>1728</v>
      </c>
      <c r="AA571" s="29"/>
      <c r="AB571" s="31">
        <f>SUMIFS('Historico - FAT'!AK:AK,'Historico - FAT'!$K:$K,Faturamento!$L571,'Historico - FAT'!$I:$I,Faturamento!$J571,'Historico - FAT'!$G:$G,Faturamento!$H571)</f>
        <v>0</v>
      </c>
      <c r="AC571" s="31">
        <f>SUMIFS('Historico - FAT'!AL:AL,'Historico - FAT'!$K:$K,Faturamento!$L571,'Historico - FAT'!$I:$I,Faturamento!$J571,'Historico - FAT'!$G:$G,Faturamento!$H571)</f>
        <v>0</v>
      </c>
      <c r="AD571" s="31">
        <f>SUMIFS('Historico - FAT'!AM:AM,'Historico - FAT'!$K:$K,Faturamento!$L571,'Historico - FAT'!$I:$I,Faturamento!$J571,'Historico - FAT'!$G:$G,Faturamento!$H571)</f>
        <v>0</v>
      </c>
      <c r="AE571" s="27">
        <f>SUMIFS('Historico - FAT'!AN:AN,'Historico - FAT'!$K:$K,Faturamento!$L571,'Historico - FAT'!$I:$I,Faturamento!$J571,'Historico - FAT'!$G:$G,Faturamento!$H571)</f>
        <v>0</v>
      </c>
      <c r="AG571" s="24">
        <f t="shared" si="136"/>
        <v>1</v>
      </c>
      <c r="AH571" s="24">
        <f t="shared" si="137"/>
        <v>1</v>
      </c>
      <c r="AI571" s="24">
        <f t="shared" si="138"/>
        <v>1</v>
      </c>
    </row>
    <row r="572" spans="1:35" hidden="1" x14ac:dyDescent="0.3">
      <c r="A572" s="2" t="str">
        <f t="shared" si="135"/>
        <v>NÃO</v>
      </c>
      <c r="B572" s="2">
        <v>1000184670</v>
      </c>
      <c r="C572" s="2" t="s">
        <v>147</v>
      </c>
      <c r="D572" s="4">
        <v>1000186197</v>
      </c>
      <c r="E572" s="4" t="s">
        <v>166</v>
      </c>
      <c r="F572" s="2">
        <v>1000184760</v>
      </c>
      <c r="G572" s="2" t="s">
        <v>60</v>
      </c>
      <c r="H572" s="4">
        <v>1000189774</v>
      </c>
      <c r="I572" s="4" t="s">
        <v>68</v>
      </c>
      <c r="J572" s="2">
        <v>1000189270</v>
      </c>
      <c r="K572" s="2" t="s">
        <v>34</v>
      </c>
      <c r="L572" s="4" t="s">
        <v>27</v>
      </c>
      <c r="M572" s="4" t="str">
        <f t="shared" si="125"/>
        <v>1000184670100018619710001897741000189270TAMARA</v>
      </c>
      <c r="N572" s="28">
        <f>N555*_xlfn.XLOOKUP($L572,'Balizador da Meta'!$B$4:$B$21,'Balizador da Meta'!$C$4:$C$21)</f>
        <v>192</v>
      </c>
      <c r="O572" s="28">
        <f>O555*_xlfn.XLOOKUP($L572,'Balizador da Meta'!$B$4:$B$21,'Balizador da Meta'!$C$4:$C$21)</f>
        <v>192</v>
      </c>
      <c r="P572" s="28">
        <f>P555*_xlfn.XLOOKUP($L572,'Balizador da Meta'!$B$4:$B$21,'Balizador da Meta'!$C$4:$C$21)</f>
        <v>192</v>
      </c>
      <c r="Q572" s="28">
        <f>Q555*_xlfn.XLOOKUP($L572,'Balizador da Meta'!$B$4:$B$21,'Balizador da Meta'!$C$4:$C$21)</f>
        <v>192</v>
      </c>
      <c r="R572" s="28">
        <f>R555*_xlfn.XLOOKUP($L572,'Balizador da Meta'!$B$4:$B$21,'Balizador da Meta'!$C$4:$C$21)</f>
        <v>192</v>
      </c>
      <c r="S572" s="28">
        <f>S555*_xlfn.XLOOKUP($L572,'Balizador da Meta'!$B$4:$B$21,'Balizador da Meta'!$C$4:$C$21)</f>
        <v>192</v>
      </c>
      <c r="T572" s="28">
        <f>T555*_xlfn.XLOOKUP($L572,'Balizador da Meta'!$B$4:$B$21,'Balizador da Meta'!$C$4:$C$21)</f>
        <v>192</v>
      </c>
      <c r="U572" s="28">
        <f>U555*_xlfn.XLOOKUP($L572,'Balizador da Meta'!$B$4:$B$21,'Balizador da Meta'!$C$4:$C$21)</f>
        <v>192</v>
      </c>
      <c r="V572" s="28">
        <f>V555*_xlfn.XLOOKUP($L572,'Balizador da Meta'!$B$4:$B$21,'Balizador da Meta'!$C$4:$C$21)</f>
        <v>192</v>
      </c>
      <c r="W572" s="28">
        <f>W555*_xlfn.XLOOKUP($L572,'Balizador da Meta'!$B$4:$B$21,'Balizador da Meta'!$C$4:$C$21)</f>
        <v>192</v>
      </c>
      <c r="X572" s="28">
        <f>X555*_xlfn.XLOOKUP($L572,'Balizador da Meta'!$B$4:$B$21,'Balizador da Meta'!$C$4:$C$21)</f>
        <v>192</v>
      </c>
      <c r="Y572" s="28">
        <f>Y555*_xlfn.XLOOKUP($L572,'Balizador da Meta'!$B$4:$B$21,'Balizador da Meta'!$C$4:$C$21)</f>
        <v>192</v>
      </c>
      <c r="Z572" s="30">
        <f t="shared" si="134"/>
        <v>2304</v>
      </c>
      <c r="AA572" s="29"/>
      <c r="AB572" s="31">
        <f>SUMIFS('Historico - FAT'!AK:AK,'Historico - FAT'!$K:$K,Faturamento!$L572,'Historico - FAT'!$I:$I,Faturamento!$J572,'Historico - FAT'!$G:$G,Faturamento!$H572)</f>
        <v>0</v>
      </c>
      <c r="AC572" s="31">
        <f>SUMIFS('Historico - FAT'!AL:AL,'Historico - FAT'!$K:$K,Faturamento!$L572,'Historico - FAT'!$I:$I,Faturamento!$J572,'Historico - FAT'!$G:$G,Faturamento!$H572)</f>
        <v>149.37666666666667</v>
      </c>
      <c r="AD572" s="31">
        <f>SUMIFS('Historico - FAT'!AM:AM,'Historico - FAT'!$K:$K,Faturamento!$L572,'Historico - FAT'!$I:$I,Faturamento!$J572,'Historico - FAT'!$G:$G,Faturamento!$H572)</f>
        <v>298.75333333333333</v>
      </c>
      <c r="AE572" s="27">
        <f>SUMIFS('Historico - FAT'!AN:AN,'Historico - FAT'!$K:$K,Faturamento!$L572,'Historico - FAT'!$I:$I,Faturamento!$J572,'Historico - FAT'!$G:$G,Faturamento!$H572)</f>
        <v>179.25200000000001</v>
      </c>
      <c r="AG572" s="24">
        <f t="shared" si="136"/>
        <v>1</v>
      </c>
      <c r="AH572" s="24">
        <f t="shared" si="137"/>
        <v>0.22199652777777779</v>
      </c>
      <c r="AI572" s="24">
        <f t="shared" si="138"/>
        <v>-0.55600694444444443</v>
      </c>
    </row>
    <row r="573" spans="1:35" hidden="1" x14ac:dyDescent="0.3">
      <c r="A573" s="2" t="str">
        <f t="shared" si="135"/>
        <v>NÃO</v>
      </c>
      <c r="B573" s="2">
        <v>1000184670</v>
      </c>
      <c r="C573" s="2" t="s">
        <v>147</v>
      </c>
      <c r="D573" s="4">
        <v>1000186197</v>
      </c>
      <c r="E573" s="4" t="s">
        <v>166</v>
      </c>
      <c r="F573" s="2">
        <v>1000184760</v>
      </c>
      <c r="G573" s="2" t="s">
        <v>60</v>
      </c>
      <c r="H573" s="4">
        <v>1000189774</v>
      </c>
      <c r="I573" s="4" t="s">
        <v>68</v>
      </c>
      <c r="J573" s="2">
        <v>1000189270</v>
      </c>
      <c r="K573" s="2" t="s">
        <v>34</v>
      </c>
      <c r="L573" s="4" t="s">
        <v>25</v>
      </c>
      <c r="M573" s="4" t="str">
        <f t="shared" si="125"/>
        <v>1000184670100018619710001897741000189270VICCIO</v>
      </c>
      <c r="N573" s="28">
        <f>N555*_xlfn.XLOOKUP($L573,'Balizador da Meta'!$B$4:$B$21,'Balizador da Meta'!$C$4:$C$21)</f>
        <v>72</v>
      </c>
      <c r="O573" s="28">
        <f>O555*_xlfn.XLOOKUP($L573,'Balizador da Meta'!$B$4:$B$21,'Balizador da Meta'!$C$4:$C$21)</f>
        <v>72</v>
      </c>
      <c r="P573" s="28">
        <f>P555*_xlfn.XLOOKUP($L573,'Balizador da Meta'!$B$4:$B$21,'Balizador da Meta'!$C$4:$C$21)</f>
        <v>72</v>
      </c>
      <c r="Q573" s="28">
        <f>Q555*_xlfn.XLOOKUP($L573,'Balizador da Meta'!$B$4:$B$21,'Balizador da Meta'!$C$4:$C$21)</f>
        <v>72</v>
      </c>
      <c r="R573" s="28">
        <f>R555*_xlfn.XLOOKUP($L573,'Balizador da Meta'!$B$4:$B$21,'Balizador da Meta'!$C$4:$C$21)</f>
        <v>72</v>
      </c>
      <c r="S573" s="28">
        <f>S555*_xlfn.XLOOKUP($L573,'Balizador da Meta'!$B$4:$B$21,'Balizador da Meta'!$C$4:$C$21)</f>
        <v>72</v>
      </c>
      <c r="T573" s="28">
        <f>T555*_xlfn.XLOOKUP($L573,'Balizador da Meta'!$B$4:$B$21,'Balizador da Meta'!$C$4:$C$21)</f>
        <v>72</v>
      </c>
      <c r="U573" s="28">
        <f>U555*_xlfn.XLOOKUP($L573,'Balizador da Meta'!$B$4:$B$21,'Balizador da Meta'!$C$4:$C$21)</f>
        <v>72</v>
      </c>
      <c r="V573" s="28">
        <f>V555*_xlfn.XLOOKUP($L573,'Balizador da Meta'!$B$4:$B$21,'Balizador da Meta'!$C$4:$C$21)</f>
        <v>72</v>
      </c>
      <c r="W573" s="28">
        <f>W555*_xlfn.XLOOKUP($L573,'Balizador da Meta'!$B$4:$B$21,'Balizador da Meta'!$C$4:$C$21)</f>
        <v>72</v>
      </c>
      <c r="X573" s="28">
        <f>X555*_xlfn.XLOOKUP($L573,'Balizador da Meta'!$B$4:$B$21,'Balizador da Meta'!$C$4:$C$21)</f>
        <v>72</v>
      </c>
      <c r="Y573" s="28">
        <f>Y555*_xlfn.XLOOKUP($L573,'Balizador da Meta'!$B$4:$B$21,'Balizador da Meta'!$C$4:$C$21)</f>
        <v>72</v>
      </c>
      <c r="Z573" s="30">
        <f t="shared" si="134"/>
        <v>864</v>
      </c>
      <c r="AA573" s="29"/>
      <c r="AB573" s="31">
        <f>SUMIFS('Historico - FAT'!AK:AK,'Historico - FAT'!$K:$K,Faturamento!$L573,'Historico - FAT'!$I:$I,Faturamento!$J573,'Historico - FAT'!$G:$G,Faturamento!$H573)</f>
        <v>0</v>
      </c>
      <c r="AC573" s="31">
        <f>SUMIFS('Historico - FAT'!AL:AL,'Historico - FAT'!$K:$K,Faturamento!$L573,'Historico - FAT'!$I:$I,Faturamento!$J573,'Historico - FAT'!$G:$G,Faturamento!$H573)</f>
        <v>15.9375</v>
      </c>
      <c r="AD573" s="31">
        <f>SUMIFS('Historico - FAT'!AM:AM,'Historico - FAT'!$K:$K,Faturamento!$L573,'Historico - FAT'!$I:$I,Faturamento!$J573,'Historico - FAT'!$G:$G,Faturamento!$H573)</f>
        <v>31.875</v>
      </c>
      <c r="AE573" s="27">
        <f>SUMIFS('Historico - FAT'!AN:AN,'Historico - FAT'!$K:$K,Faturamento!$L573,'Historico - FAT'!$I:$I,Faturamento!$J573,'Historico - FAT'!$G:$G,Faturamento!$H573)</f>
        <v>19.125</v>
      </c>
      <c r="AG573" s="24">
        <f t="shared" si="136"/>
        <v>1</v>
      </c>
      <c r="AH573" s="24">
        <f t="shared" si="137"/>
        <v>0.77864583333333337</v>
      </c>
      <c r="AI573" s="24">
        <f t="shared" si="138"/>
        <v>0.55729166666666663</v>
      </c>
    </row>
    <row r="574" spans="1:35" x14ac:dyDescent="0.3">
      <c r="A574" s="2" t="str">
        <f t="shared" si="135"/>
        <v>SIM</v>
      </c>
      <c r="B574" s="2">
        <v>1000184670</v>
      </c>
      <c r="C574" s="2" t="s">
        <v>147</v>
      </c>
      <c r="D574" s="4">
        <v>1000186197</v>
      </c>
      <c r="E574" s="4" t="s">
        <v>166</v>
      </c>
      <c r="F574" s="2">
        <v>1000184756</v>
      </c>
      <c r="G574" s="2" t="s">
        <v>53</v>
      </c>
      <c r="H574" s="4">
        <v>1000189775</v>
      </c>
      <c r="I574" s="4" t="s">
        <v>66</v>
      </c>
      <c r="J574" s="2">
        <v>1000189270</v>
      </c>
      <c r="K574" s="2" t="s">
        <v>34</v>
      </c>
      <c r="L574" s="4" t="s">
        <v>124</v>
      </c>
      <c r="M574" s="4" t="str">
        <f t="shared" si="125"/>
        <v>100018467010001861971000189775100018927001. TOTAL</v>
      </c>
      <c r="N574" s="28">
        <f>SUMIFS(Positivação!L:L,Positivação!$I:$I,Faturamento!$J574,Positivação!$G:$G,Faturamento!$H574)*SUMIFS(Positivação!$Z:$Z,Positivação!$I:$I,Faturamento!$J574,Positivação!$G:$G,Faturamento!$H574)</f>
        <v>6600</v>
      </c>
      <c r="O574" s="28">
        <f>SUMIFS(Positivação!M:M,Positivação!$I:$I,Faturamento!$J574,Positivação!$G:$G,Faturamento!$H574)*SUMIFS(Positivação!$Z:$Z,Positivação!$I:$I,Faturamento!$J574,Positivação!$G:$G,Faturamento!$H574)</f>
        <v>6600</v>
      </c>
      <c r="P574" s="28">
        <f>SUMIFS(Positivação!N:N,Positivação!$I:$I,Faturamento!$J574,Positivação!$G:$G,Faturamento!$H574)*SUMIFS(Positivação!$Z:$Z,Positivação!$I:$I,Faturamento!$J574,Positivação!$G:$G,Faturamento!$H574)</f>
        <v>6600</v>
      </c>
      <c r="Q574" s="28">
        <f>SUMIFS(Positivação!O:O,Positivação!$I:$I,Faturamento!$J574,Positivação!$G:$G,Faturamento!$H574)*SUMIFS(Positivação!$Z:$Z,Positivação!$I:$I,Faturamento!$J574,Positivação!$G:$G,Faturamento!$H574)</f>
        <v>6600</v>
      </c>
      <c r="R574" s="28">
        <f>SUMIFS(Positivação!P:P,Positivação!$I:$I,Faturamento!$J574,Positivação!$G:$G,Faturamento!$H574)*SUMIFS(Positivação!$Z:$Z,Positivação!$I:$I,Faturamento!$J574,Positivação!$G:$G,Faturamento!$H574)</f>
        <v>6600</v>
      </c>
      <c r="S574" s="28">
        <f>SUMIFS(Positivação!Q:Q,Positivação!$I:$I,Faturamento!$J574,Positivação!$G:$G,Faturamento!$H574)*SUMIFS(Positivação!$Z:$Z,Positivação!$I:$I,Faturamento!$J574,Positivação!$G:$G,Faturamento!$H574)</f>
        <v>6600</v>
      </c>
      <c r="T574" s="28">
        <f>SUMIFS(Positivação!R:R,Positivação!$I:$I,Faturamento!$J574,Positivação!$G:$G,Faturamento!$H574)*SUMIFS(Positivação!$Z:$Z,Positivação!$I:$I,Faturamento!$J574,Positivação!$G:$G,Faturamento!$H574)</f>
        <v>6600</v>
      </c>
      <c r="U574" s="28">
        <f>SUMIFS(Positivação!S:S,Positivação!$I:$I,Faturamento!$J574,Positivação!$G:$G,Faturamento!$H574)*SUMIFS(Positivação!$Z:$Z,Positivação!$I:$I,Faturamento!$J574,Positivação!$G:$G,Faturamento!$H574)</f>
        <v>6600</v>
      </c>
      <c r="V574" s="28">
        <f>SUMIFS(Positivação!T:T,Positivação!$I:$I,Faturamento!$J574,Positivação!$G:$G,Faturamento!$H574)*SUMIFS(Positivação!$Z:$Z,Positivação!$I:$I,Faturamento!$J574,Positivação!$G:$G,Faturamento!$H574)</f>
        <v>6600</v>
      </c>
      <c r="W574" s="28">
        <f>SUMIFS(Positivação!U:U,Positivação!$I:$I,Faturamento!$J574,Positivação!$G:$G,Faturamento!$H574)*SUMIFS(Positivação!$Z:$Z,Positivação!$I:$I,Faturamento!$J574,Positivação!$G:$G,Faturamento!$H574)</f>
        <v>6600</v>
      </c>
      <c r="X574" s="28">
        <f>SUMIFS(Positivação!V:V,Positivação!$I:$I,Faturamento!$J574,Positivação!$G:$G,Faturamento!$H574)*SUMIFS(Positivação!$Z:$Z,Positivação!$I:$I,Faturamento!$J574,Positivação!$G:$G,Faturamento!$H574)</f>
        <v>6600</v>
      </c>
      <c r="Y574" s="28">
        <f>SUMIFS(Positivação!W:W,Positivação!$I:$I,Faturamento!$J574,Positivação!$G:$G,Faturamento!$H574)*SUMIFS(Positivação!$Z:$Z,Positivação!$I:$I,Faturamento!$J574,Positivação!$G:$G,Faturamento!$H574)</f>
        <v>6600</v>
      </c>
      <c r="Z574" s="28">
        <f t="shared" ref="Z574" si="139">SUM(Z575:Z592)</f>
        <v>79200</v>
      </c>
      <c r="AA574" s="29"/>
      <c r="AB574" s="28">
        <f t="shared" ref="AB574:AE574" si="140">SUM(AB575:AB592)</f>
        <v>0</v>
      </c>
      <c r="AC574" s="28">
        <f t="shared" si="140"/>
        <v>3870.225833333333</v>
      </c>
      <c r="AD574" s="28">
        <f t="shared" si="140"/>
        <v>5932.96</v>
      </c>
      <c r="AE574" s="28">
        <f t="shared" si="140"/>
        <v>4644.2709999999997</v>
      </c>
      <c r="AG574" s="24">
        <f t="shared" si="136"/>
        <v>1</v>
      </c>
      <c r="AH574" s="24">
        <f t="shared" si="137"/>
        <v>0.41360214646464655</v>
      </c>
      <c r="AI574" s="24">
        <f t="shared" si="138"/>
        <v>0.10106666666666667</v>
      </c>
    </row>
    <row r="575" spans="1:35" hidden="1" x14ac:dyDescent="0.3">
      <c r="A575" s="2" t="str">
        <f t="shared" si="135"/>
        <v>NÃO</v>
      </c>
      <c r="B575" s="2">
        <v>1000184670</v>
      </c>
      <c r="C575" s="2" t="s">
        <v>147</v>
      </c>
      <c r="D575" s="4">
        <v>1000186197</v>
      </c>
      <c r="E575" s="4" t="s">
        <v>166</v>
      </c>
      <c r="F575" s="2">
        <v>1000184756</v>
      </c>
      <c r="G575" s="2" t="s">
        <v>53</v>
      </c>
      <c r="H575" s="4">
        <v>1000189775</v>
      </c>
      <c r="I575" s="4" t="s">
        <v>66</v>
      </c>
      <c r="J575" s="2">
        <v>1000189270</v>
      </c>
      <c r="K575" s="2" t="s">
        <v>34</v>
      </c>
      <c r="L575" s="4" t="s">
        <v>13</v>
      </c>
      <c r="M575" s="4" t="str">
        <f t="shared" si="125"/>
        <v>1000184670100018619710001897751000189270BISCOITO</v>
      </c>
      <c r="N575" s="28">
        <f>N574*_xlfn.XLOOKUP($L575,'Balizador da Meta'!$B$4:$B$21,'Balizador da Meta'!$C$4:$C$21)</f>
        <v>462.00000000000006</v>
      </c>
      <c r="O575" s="28">
        <f>O574*_xlfn.XLOOKUP($L575,'Balizador da Meta'!$B$4:$B$21,'Balizador da Meta'!$C$4:$C$21)</f>
        <v>462.00000000000006</v>
      </c>
      <c r="P575" s="28">
        <f>P574*_xlfn.XLOOKUP($L575,'Balizador da Meta'!$B$4:$B$21,'Balizador da Meta'!$C$4:$C$21)</f>
        <v>462.00000000000006</v>
      </c>
      <c r="Q575" s="28">
        <f>Q574*_xlfn.XLOOKUP($L575,'Balizador da Meta'!$B$4:$B$21,'Balizador da Meta'!$C$4:$C$21)</f>
        <v>462.00000000000006</v>
      </c>
      <c r="R575" s="28">
        <f>R574*_xlfn.XLOOKUP($L575,'Balizador da Meta'!$B$4:$B$21,'Balizador da Meta'!$C$4:$C$21)</f>
        <v>462.00000000000006</v>
      </c>
      <c r="S575" s="28">
        <f>S574*_xlfn.XLOOKUP($L575,'Balizador da Meta'!$B$4:$B$21,'Balizador da Meta'!$C$4:$C$21)</f>
        <v>462.00000000000006</v>
      </c>
      <c r="T575" s="28">
        <f>T574*_xlfn.XLOOKUP($L575,'Balizador da Meta'!$B$4:$B$21,'Balizador da Meta'!$C$4:$C$21)</f>
        <v>462.00000000000006</v>
      </c>
      <c r="U575" s="28">
        <f>U574*_xlfn.XLOOKUP($L575,'Balizador da Meta'!$B$4:$B$21,'Balizador da Meta'!$C$4:$C$21)</f>
        <v>462.00000000000006</v>
      </c>
      <c r="V575" s="28">
        <f>V574*_xlfn.XLOOKUP($L575,'Balizador da Meta'!$B$4:$B$21,'Balizador da Meta'!$C$4:$C$21)</f>
        <v>462.00000000000006</v>
      </c>
      <c r="W575" s="28">
        <f>W574*_xlfn.XLOOKUP($L575,'Balizador da Meta'!$B$4:$B$21,'Balizador da Meta'!$C$4:$C$21)</f>
        <v>462.00000000000006</v>
      </c>
      <c r="X575" s="28">
        <f>X574*_xlfn.XLOOKUP($L575,'Balizador da Meta'!$B$4:$B$21,'Balizador da Meta'!$C$4:$C$21)</f>
        <v>462.00000000000006</v>
      </c>
      <c r="Y575" s="28">
        <f>Y574*_xlfn.XLOOKUP($L575,'Balizador da Meta'!$B$4:$B$21,'Balizador da Meta'!$C$4:$C$21)</f>
        <v>462.00000000000006</v>
      </c>
      <c r="Z575" s="30">
        <f t="shared" ref="Z575:Z592" si="141">SUM(N575:Y575)</f>
        <v>5544.0000000000009</v>
      </c>
      <c r="AA575" s="29"/>
      <c r="AB575" s="31">
        <f>SUMIFS('Historico - FAT'!AK:AK,'Historico - FAT'!$K:$K,Faturamento!$L575,'Historico - FAT'!$I:$I,Faturamento!$J575,'Historico - FAT'!$G:$G,Faturamento!$H575)</f>
        <v>0</v>
      </c>
      <c r="AC575" s="31">
        <f>SUMIFS('Historico - FAT'!AL:AL,'Historico - FAT'!$K:$K,Faturamento!$L575,'Historico - FAT'!$I:$I,Faturamento!$J575,'Historico - FAT'!$G:$G,Faturamento!$H575)</f>
        <v>179.73583333333332</v>
      </c>
      <c r="AD575" s="31">
        <f>SUMIFS('Historico - FAT'!AM:AM,'Historico - FAT'!$K:$K,Faturamento!$L575,'Historico - FAT'!$I:$I,Faturamento!$J575,'Historico - FAT'!$G:$G,Faturamento!$H575)</f>
        <v>102.01166666666667</v>
      </c>
      <c r="AE575" s="27">
        <f>SUMIFS('Historico - FAT'!AN:AN,'Historico - FAT'!$K:$K,Faturamento!$L575,'Historico - FAT'!$I:$I,Faturamento!$J575,'Historico - FAT'!$G:$G,Faturamento!$H575)</f>
        <v>215.68299999999999</v>
      </c>
      <c r="AG575" s="24">
        <f t="shared" si="136"/>
        <v>1</v>
      </c>
      <c r="AH575" s="24">
        <f t="shared" si="137"/>
        <v>0.61096139971139973</v>
      </c>
      <c r="AI575" s="24">
        <f t="shared" si="138"/>
        <v>0.77919552669552672</v>
      </c>
    </row>
    <row r="576" spans="1:35" hidden="1" x14ac:dyDescent="0.3">
      <c r="A576" s="2" t="str">
        <f t="shared" si="135"/>
        <v>NÃO</v>
      </c>
      <c r="B576" s="2">
        <v>1000184670</v>
      </c>
      <c r="C576" s="2" t="s">
        <v>147</v>
      </c>
      <c r="D576" s="4">
        <v>1000186197</v>
      </c>
      <c r="E576" s="4" t="s">
        <v>166</v>
      </c>
      <c r="F576" s="2">
        <v>1000184756</v>
      </c>
      <c r="G576" s="2" t="s">
        <v>53</v>
      </c>
      <c r="H576" s="4">
        <v>1000189775</v>
      </c>
      <c r="I576" s="4" t="s">
        <v>66</v>
      </c>
      <c r="J576" s="2">
        <v>1000189270</v>
      </c>
      <c r="K576" s="2" t="s">
        <v>34</v>
      </c>
      <c r="L576" s="4" t="s">
        <v>14</v>
      </c>
      <c r="M576" s="4" t="str">
        <f t="shared" si="125"/>
        <v>1000184670100018619710001897751000189270CHOCOLATES</v>
      </c>
      <c r="N576" s="28">
        <f>N574*_xlfn.XLOOKUP($L576,'Balizador da Meta'!$B$4:$B$21,'Balizador da Meta'!$C$4:$C$21)</f>
        <v>462.00000000000006</v>
      </c>
      <c r="O576" s="28">
        <f>O574*_xlfn.XLOOKUP($L576,'Balizador da Meta'!$B$4:$B$21,'Balizador da Meta'!$C$4:$C$21)</f>
        <v>462.00000000000006</v>
      </c>
      <c r="P576" s="28">
        <f>P574*_xlfn.XLOOKUP($L576,'Balizador da Meta'!$B$4:$B$21,'Balizador da Meta'!$C$4:$C$21)</f>
        <v>462.00000000000006</v>
      </c>
      <c r="Q576" s="28">
        <f>Q574*_xlfn.XLOOKUP($L576,'Balizador da Meta'!$B$4:$B$21,'Balizador da Meta'!$C$4:$C$21)</f>
        <v>462.00000000000006</v>
      </c>
      <c r="R576" s="28">
        <f>R574*_xlfn.XLOOKUP($L576,'Balizador da Meta'!$B$4:$B$21,'Balizador da Meta'!$C$4:$C$21)</f>
        <v>462.00000000000006</v>
      </c>
      <c r="S576" s="28">
        <f>S574*_xlfn.XLOOKUP($L576,'Balizador da Meta'!$B$4:$B$21,'Balizador da Meta'!$C$4:$C$21)</f>
        <v>462.00000000000006</v>
      </c>
      <c r="T576" s="28">
        <f>T574*_xlfn.XLOOKUP($L576,'Balizador da Meta'!$B$4:$B$21,'Balizador da Meta'!$C$4:$C$21)</f>
        <v>462.00000000000006</v>
      </c>
      <c r="U576" s="28">
        <f>U574*_xlfn.XLOOKUP($L576,'Balizador da Meta'!$B$4:$B$21,'Balizador da Meta'!$C$4:$C$21)</f>
        <v>462.00000000000006</v>
      </c>
      <c r="V576" s="28">
        <f>V574*_xlfn.XLOOKUP($L576,'Balizador da Meta'!$B$4:$B$21,'Balizador da Meta'!$C$4:$C$21)</f>
        <v>462.00000000000006</v>
      </c>
      <c r="W576" s="28">
        <f>W574*_xlfn.XLOOKUP($L576,'Balizador da Meta'!$B$4:$B$21,'Balizador da Meta'!$C$4:$C$21)</f>
        <v>462.00000000000006</v>
      </c>
      <c r="X576" s="28">
        <f>X574*_xlfn.XLOOKUP($L576,'Balizador da Meta'!$B$4:$B$21,'Balizador da Meta'!$C$4:$C$21)</f>
        <v>462.00000000000006</v>
      </c>
      <c r="Y576" s="28">
        <f>Y574*_xlfn.XLOOKUP($L576,'Balizador da Meta'!$B$4:$B$21,'Balizador da Meta'!$C$4:$C$21)</f>
        <v>462.00000000000006</v>
      </c>
      <c r="Z576" s="30">
        <f t="shared" si="141"/>
        <v>5544.0000000000009</v>
      </c>
      <c r="AA576" s="29"/>
      <c r="AB576" s="31">
        <f>SUMIFS('Historico - FAT'!AK:AK,'Historico - FAT'!$K:$K,Faturamento!$L576,'Historico - FAT'!$I:$I,Faturamento!$J576,'Historico - FAT'!$G:$G,Faturamento!$H576)</f>
        <v>0</v>
      </c>
      <c r="AC576" s="31">
        <f>SUMIFS('Historico - FAT'!AL:AL,'Historico - FAT'!$K:$K,Faturamento!$L576,'Historico - FAT'!$I:$I,Faturamento!$J576,'Historico - FAT'!$G:$G,Faturamento!$H576)</f>
        <v>148.6866666666667</v>
      </c>
      <c r="AD576" s="31">
        <f>SUMIFS('Historico - FAT'!AM:AM,'Historico - FAT'!$K:$K,Faturamento!$L576,'Historico - FAT'!$I:$I,Faturamento!$J576,'Historico - FAT'!$G:$G,Faturamento!$H576)</f>
        <v>204.6816666666667</v>
      </c>
      <c r="AE576" s="27">
        <f>SUMIFS('Historico - FAT'!AN:AN,'Historico - FAT'!$K:$K,Faturamento!$L576,'Historico - FAT'!$I:$I,Faturamento!$J576,'Historico - FAT'!$G:$G,Faturamento!$H576)</f>
        <v>178.42400000000004</v>
      </c>
      <c r="AG576" s="24">
        <f t="shared" si="136"/>
        <v>1</v>
      </c>
      <c r="AH576" s="24">
        <f t="shared" si="137"/>
        <v>0.6781673881673882</v>
      </c>
      <c r="AI576" s="24">
        <f t="shared" si="138"/>
        <v>0.5569660894660895</v>
      </c>
    </row>
    <row r="577" spans="1:35" hidden="1" x14ac:dyDescent="0.3">
      <c r="A577" s="2" t="str">
        <f t="shared" si="135"/>
        <v>NÃO</v>
      </c>
      <c r="B577" s="2">
        <v>1000184670</v>
      </c>
      <c r="C577" s="2" t="s">
        <v>147</v>
      </c>
      <c r="D577" s="4">
        <v>1000186197</v>
      </c>
      <c r="E577" s="4" t="s">
        <v>166</v>
      </c>
      <c r="F577" s="2">
        <v>1000184756</v>
      </c>
      <c r="G577" s="2" t="s">
        <v>53</v>
      </c>
      <c r="H577" s="4">
        <v>1000189775</v>
      </c>
      <c r="I577" s="4" t="s">
        <v>66</v>
      </c>
      <c r="J577" s="2">
        <v>1000189270</v>
      </c>
      <c r="K577" s="2" t="s">
        <v>34</v>
      </c>
      <c r="L577" s="4" t="s">
        <v>16</v>
      </c>
      <c r="M577" s="4" t="str">
        <f t="shared" si="125"/>
        <v>1000184670100018619710001897751000189270DISNEY</v>
      </c>
      <c r="N577" s="28">
        <f>N574*_xlfn.XLOOKUP($L577,'Balizador da Meta'!$B$4:$B$21,'Balizador da Meta'!$C$4:$C$21)</f>
        <v>528</v>
      </c>
      <c r="O577" s="28">
        <f>O574*_xlfn.XLOOKUP($L577,'Balizador da Meta'!$B$4:$B$21,'Balizador da Meta'!$C$4:$C$21)</f>
        <v>528</v>
      </c>
      <c r="P577" s="28">
        <f>P574*_xlfn.XLOOKUP($L577,'Balizador da Meta'!$B$4:$B$21,'Balizador da Meta'!$C$4:$C$21)</f>
        <v>528</v>
      </c>
      <c r="Q577" s="28">
        <f>Q574*_xlfn.XLOOKUP($L577,'Balizador da Meta'!$B$4:$B$21,'Balizador da Meta'!$C$4:$C$21)</f>
        <v>528</v>
      </c>
      <c r="R577" s="28">
        <f>R574*_xlfn.XLOOKUP($L577,'Balizador da Meta'!$B$4:$B$21,'Balizador da Meta'!$C$4:$C$21)</f>
        <v>528</v>
      </c>
      <c r="S577" s="28">
        <f>S574*_xlfn.XLOOKUP($L577,'Balizador da Meta'!$B$4:$B$21,'Balizador da Meta'!$C$4:$C$21)</f>
        <v>528</v>
      </c>
      <c r="T577" s="28">
        <f>T574*_xlfn.XLOOKUP($L577,'Balizador da Meta'!$B$4:$B$21,'Balizador da Meta'!$C$4:$C$21)</f>
        <v>528</v>
      </c>
      <c r="U577" s="28">
        <f>U574*_xlfn.XLOOKUP($L577,'Balizador da Meta'!$B$4:$B$21,'Balizador da Meta'!$C$4:$C$21)</f>
        <v>528</v>
      </c>
      <c r="V577" s="28">
        <f>V574*_xlfn.XLOOKUP($L577,'Balizador da Meta'!$B$4:$B$21,'Balizador da Meta'!$C$4:$C$21)</f>
        <v>528</v>
      </c>
      <c r="W577" s="28">
        <f>W574*_xlfn.XLOOKUP($L577,'Balizador da Meta'!$B$4:$B$21,'Balizador da Meta'!$C$4:$C$21)</f>
        <v>528</v>
      </c>
      <c r="X577" s="28">
        <f>X574*_xlfn.XLOOKUP($L577,'Balizador da Meta'!$B$4:$B$21,'Balizador da Meta'!$C$4:$C$21)</f>
        <v>528</v>
      </c>
      <c r="Y577" s="28">
        <f>Y574*_xlfn.XLOOKUP($L577,'Balizador da Meta'!$B$4:$B$21,'Balizador da Meta'!$C$4:$C$21)</f>
        <v>528</v>
      </c>
      <c r="Z577" s="30">
        <f t="shared" si="141"/>
        <v>6336</v>
      </c>
      <c r="AA577" s="29"/>
      <c r="AB577" s="31">
        <f>SUMIFS('Historico - FAT'!AK:AK,'Historico - FAT'!$K:$K,Faturamento!$L577,'Historico - FAT'!$I:$I,Faturamento!$J577,'Historico - FAT'!$G:$G,Faturamento!$H577)</f>
        <v>0</v>
      </c>
      <c r="AC577" s="31">
        <f>SUMIFS('Historico - FAT'!AL:AL,'Historico - FAT'!$K:$K,Faturamento!$L577,'Historico - FAT'!$I:$I,Faturamento!$J577,'Historico - FAT'!$G:$G,Faturamento!$H577)</f>
        <v>83.143333333333331</v>
      </c>
      <c r="AD577" s="31">
        <f>SUMIFS('Historico - FAT'!AM:AM,'Historico - FAT'!$K:$K,Faturamento!$L577,'Historico - FAT'!$I:$I,Faturamento!$J577,'Historico - FAT'!$G:$G,Faturamento!$H577)</f>
        <v>130.42333333333332</v>
      </c>
      <c r="AE577" s="27">
        <f>SUMIFS('Historico - FAT'!AN:AN,'Historico - FAT'!$K:$K,Faturamento!$L577,'Historico - FAT'!$I:$I,Faturamento!$J577,'Historico - FAT'!$G:$G,Faturamento!$H577)</f>
        <v>99.772000000000006</v>
      </c>
      <c r="AG577" s="24">
        <f t="shared" si="136"/>
        <v>1</v>
      </c>
      <c r="AH577" s="24">
        <f t="shared" si="137"/>
        <v>0.84253156565656573</v>
      </c>
      <c r="AI577" s="24">
        <f t="shared" si="138"/>
        <v>0.75298611111111124</v>
      </c>
    </row>
    <row r="578" spans="1:35" hidden="1" x14ac:dyDescent="0.3">
      <c r="A578" s="2" t="str">
        <f t="shared" si="135"/>
        <v>NÃO</v>
      </c>
      <c r="B578" s="2">
        <v>1000184670</v>
      </c>
      <c r="C578" s="2" t="s">
        <v>147</v>
      </c>
      <c r="D578" s="4">
        <v>1000186197</v>
      </c>
      <c r="E578" s="4" t="s">
        <v>166</v>
      </c>
      <c r="F578" s="2">
        <v>1000184756</v>
      </c>
      <c r="G578" s="2" t="s">
        <v>53</v>
      </c>
      <c r="H578" s="4">
        <v>1000189775</v>
      </c>
      <c r="I578" s="4" t="s">
        <v>66</v>
      </c>
      <c r="J578" s="2">
        <v>1000189270</v>
      </c>
      <c r="K578" s="2" t="s">
        <v>34</v>
      </c>
      <c r="L578" s="4" t="s">
        <v>15</v>
      </c>
      <c r="M578" s="4" t="str">
        <f t="shared" si="125"/>
        <v>1000184670100018619710001897751000189270DOCES</v>
      </c>
      <c r="N578" s="28">
        <f>N574*_xlfn.XLOOKUP($L578,'Balizador da Meta'!$B$4:$B$21,'Balizador da Meta'!$C$4:$C$21)</f>
        <v>594</v>
      </c>
      <c r="O578" s="28">
        <f>O574*_xlfn.XLOOKUP($L578,'Balizador da Meta'!$B$4:$B$21,'Balizador da Meta'!$C$4:$C$21)</f>
        <v>594</v>
      </c>
      <c r="P578" s="28">
        <f>P574*_xlfn.XLOOKUP($L578,'Balizador da Meta'!$B$4:$B$21,'Balizador da Meta'!$C$4:$C$21)</f>
        <v>594</v>
      </c>
      <c r="Q578" s="28">
        <f>Q574*_xlfn.XLOOKUP($L578,'Balizador da Meta'!$B$4:$B$21,'Balizador da Meta'!$C$4:$C$21)</f>
        <v>594</v>
      </c>
      <c r="R578" s="28">
        <f>R574*_xlfn.XLOOKUP($L578,'Balizador da Meta'!$B$4:$B$21,'Balizador da Meta'!$C$4:$C$21)</f>
        <v>594</v>
      </c>
      <c r="S578" s="28">
        <f>S574*_xlfn.XLOOKUP($L578,'Balizador da Meta'!$B$4:$B$21,'Balizador da Meta'!$C$4:$C$21)</f>
        <v>594</v>
      </c>
      <c r="T578" s="28">
        <f>T574*_xlfn.XLOOKUP($L578,'Balizador da Meta'!$B$4:$B$21,'Balizador da Meta'!$C$4:$C$21)</f>
        <v>594</v>
      </c>
      <c r="U578" s="28">
        <f>U574*_xlfn.XLOOKUP($L578,'Balizador da Meta'!$B$4:$B$21,'Balizador da Meta'!$C$4:$C$21)</f>
        <v>594</v>
      </c>
      <c r="V578" s="28">
        <f>V574*_xlfn.XLOOKUP($L578,'Balizador da Meta'!$B$4:$B$21,'Balizador da Meta'!$C$4:$C$21)</f>
        <v>594</v>
      </c>
      <c r="W578" s="28">
        <f>W574*_xlfn.XLOOKUP($L578,'Balizador da Meta'!$B$4:$B$21,'Balizador da Meta'!$C$4:$C$21)</f>
        <v>594</v>
      </c>
      <c r="X578" s="28">
        <f>X574*_xlfn.XLOOKUP($L578,'Balizador da Meta'!$B$4:$B$21,'Balizador da Meta'!$C$4:$C$21)</f>
        <v>594</v>
      </c>
      <c r="Y578" s="28">
        <f>Y574*_xlfn.XLOOKUP($L578,'Balizador da Meta'!$B$4:$B$21,'Balizador da Meta'!$C$4:$C$21)</f>
        <v>594</v>
      </c>
      <c r="Z578" s="30">
        <f t="shared" si="141"/>
        <v>7128</v>
      </c>
      <c r="AA578" s="29"/>
      <c r="AB578" s="31">
        <f>SUMIFS('Historico - FAT'!AK:AK,'Historico - FAT'!$K:$K,Faturamento!$L578,'Historico - FAT'!$I:$I,Faturamento!$J578,'Historico - FAT'!$G:$G,Faturamento!$H578)</f>
        <v>0</v>
      </c>
      <c r="AC578" s="31">
        <f>SUMIFS('Historico - FAT'!AL:AL,'Historico - FAT'!$K:$K,Faturamento!$L578,'Historico - FAT'!$I:$I,Faturamento!$J578,'Historico - FAT'!$G:$G,Faturamento!$H578)</f>
        <v>223.7175</v>
      </c>
      <c r="AD578" s="31">
        <f>SUMIFS('Historico - FAT'!AM:AM,'Historico - FAT'!$K:$K,Faturamento!$L578,'Historico - FAT'!$I:$I,Faturamento!$J578,'Historico - FAT'!$G:$G,Faturamento!$H578)</f>
        <v>175.67833333333331</v>
      </c>
      <c r="AE578" s="27">
        <f>SUMIFS('Historico - FAT'!AN:AN,'Historico - FAT'!$K:$K,Faturamento!$L578,'Historico - FAT'!$I:$I,Faturamento!$J578,'Historico - FAT'!$G:$G,Faturamento!$H578)</f>
        <v>268.46100000000001</v>
      </c>
      <c r="AG578" s="24">
        <f t="shared" si="136"/>
        <v>1</v>
      </c>
      <c r="AH578" s="24">
        <f t="shared" si="137"/>
        <v>0.62337121212121216</v>
      </c>
      <c r="AI578" s="24">
        <f t="shared" si="138"/>
        <v>0.70424523007856354</v>
      </c>
    </row>
    <row r="579" spans="1:35" hidden="1" x14ac:dyDescent="0.3">
      <c r="A579" s="2" t="str">
        <f t="shared" si="135"/>
        <v>NÃO</v>
      </c>
      <c r="B579" s="2">
        <v>1000184670</v>
      </c>
      <c r="C579" s="2" t="s">
        <v>147</v>
      </c>
      <c r="D579" s="4">
        <v>1000186197</v>
      </c>
      <c r="E579" s="4" t="s">
        <v>166</v>
      </c>
      <c r="F579" s="2">
        <v>1000184756</v>
      </c>
      <c r="G579" s="2" t="s">
        <v>53</v>
      </c>
      <c r="H579" s="4">
        <v>1000189775</v>
      </c>
      <c r="I579" s="4" t="s">
        <v>66</v>
      </c>
      <c r="J579" s="2">
        <v>1000189270</v>
      </c>
      <c r="K579" s="2" t="s">
        <v>34</v>
      </c>
      <c r="L579" s="4" t="s">
        <v>33</v>
      </c>
      <c r="M579" s="4" t="str">
        <f t="shared" si="125"/>
        <v>1000184670100018619710001897751000189270FOOD SERVICE</v>
      </c>
      <c r="N579" s="28">
        <f>N574*_xlfn.XLOOKUP($L579,'Balizador da Meta'!$B$4:$B$21,'Balizador da Meta'!$C$4:$C$21)</f>
        <v>0</v>
      </c>
      <c r="O579" s="28">
        <f>O574*_xlfn.XLOOKUP($L579,'Balizador da Meta'!$B$4:$B$21,'Balizador da Meta'!$C$4:$C$21)</f>
        <v>0</v>
      </c>
      <c r="P579" s="28">
        <f>P574*_xlfn.XLOOKUP($L579,'Balizador da Meta'!$B$4:$B$21,'Balizador da Meta'!$C$4:$C$21)</f>
        <v>0</v>
      </c>
      <c r="Q579" s="28">
        <f>Q574*_xlfn.XLOOKUP($L579,'Balizador da Meta'!$B$4:$B$21,'Balizador da Meta'!$C$4:$C$21)</f>
        <v>0</v>
      </c>
      <c r="R579" s="28">
        <f>R574*_xlfn.XLOOKUP($L579,'Balizador da Meta'!$B$4:$B$21,'Balizador da Meta'!$C$4:$C$21)</f>
        <v>0</v>
      </c>
      <c r="S579" s="28">
        <f>S574*_xlfn.XLOOKUP($L579,'Balizador da Meta'!$B$4:$B$21,'Balizador da Meta'!$C$4:$C$21)</f>
        <v>0</v>
      </c>
      <c r="T579" s="28">
        <f>T574*_xlfn.XLOOKUP($L579,'Balizador da Meta'!$B$4:$B$21,'Balizador da Meta'!$C$4:$C$21)</f>
        <v>0</v>
      </c>
      <c r="U579" s="28">
        <f>U574*_xlfn.XLOOKUP($L579,'Balizador da Meta'!$B$4:$B$21,'Balizador da Meta'!$C$4:$C$21)</f>
        <v>0</v>
      </c>
      <c r="V579" s="28">
        <f>V574*_xlfn.XLOOKUP($L579,'Balizador da Meta'!$B$4:$B$21,'Balizador da Meta'!$C$4:$C$21)</f>
        <v>0</v>
      </c>
      <c r="W579" s="28">
        <f>W574*_xlfn.XLOOKUP($L579,'Balizador da Meta'!$B$4:$B$21,'Balizador da Meta'!$C$4:$C$21)</f>
        <v>0</v>
      </c>
      <c r="X579" s="28">
        <f>X574*_xlfn.XLOOKUP($L579,'Balizador da Meta'!$B$4:$B$21,'Balizador da Meta'!$C$4:$C$21)</f>
        <v>0</v>
      </c>
      <c r="Y579" s="28">
        <f>Y574*_xlfn.XLOOKUP($L579,'Balizador da Meta'!$B$4:$B$21,'Balizador da Meta'!$C$4:$C$21)</f>
        <v>0</v>
      </c>
      <c r="Z579" s="30">
        <f t="shared" si="141"/>
        <v>0</v>
      </c>
      <c r="AA579" s="29"/>
      <c r="AB579" s="31">
        <f>SUMIFS('Historico - FAT'!AK:AK,'Historico - FAT'!$K:$K,Faturamento!$L579,'Historico - FAT'!$I:$I,Faturamento!$J579,'Historico - FAT'!$G:$G,Faturamento!$H579)</f>
        <v>0</v>
      </c>
      <c r="AC579" s="31">
        <f>SUMIFS('Historico - FAT'!AL:AL,'Historico - FAT'!$K:$K,Faturamento!$L579,'Historico - FAT'!$I:$I,Faturamento!$J579,'Historico - FAT'!$G:$G,Faturamento!$H579)</f>
        <v>4.75</v>
      </c>
      <c r="AD579" s="31">
        <f>SUMIFS('Historico - FAT'!AM:AM,'Historico - FAT'!$K:$K,Faturamento!$L579,'Historico - FAT'!$I:$I,Faturamento!$J579,'Historico - FAT'!$G:$G,Faturamento!$H579)</f>
        <v>9.5</v>
      </c>
      <c r="AE579" s="27">
        <f>SUMIFS('Historico - FAT'!AN:AN,'Historico - FAT'!$K:$K,Faturamento!$L579,'Historico - FAT'!$I:$I,Faturamento!$J579,'Historico - FAT'!$G:$G,Faturamento!$H579)</f>
        <v>5.7</v>
      </c>
      <c r="AG579" s="24" t="str">
        <f t="shared" si="136"/>
        <v/>
      </c>
      <c r="AH579" s="24" t="str">
        <f t="shared" si="137"/>
        <v/>
      </c>
      <c r="AI579" s="24" t="str">
        <f t="shared" si="138"/>
        <v/>
      </c>
    </row>
    <row r="580" spans="1:35" hidden="1" x14ac:dyDescent="0.3">
      <c r="A580" s="2" t="str">
        <f t="shared" si="135"/>
        <v>NÃO</v>
      </c>
      <c r="B580" s="2">
        <v>1000184670</v>
      </c>
      <c r="C580" s="2" t="s">
        <v>147</v>
      </c>
      <c r="D580" s="4">
        <v>1000186197</v>
      </c>
      <c r="E580" s="4" t="s">
        <v>166</v>
      </c>
      <c r="F580" s="2">
        <v>1000184756</v>
      </c>
      <c r="G580" s="2" t="s">
        <v>53</v>
      </c>
      <c r="H580" s="4">
        <v>1000189775</v>
      </c>
      <c r="I580" s="4" t="s">
        <v>66</v>
      </c>
      <c r="J580" s="2">
        <v>1000189270</v>
      </c>
      <c r="K580" s="2" t="s">
        <v>34</v>
      </c>
      <c r="L580" s="4" t="s">
        <v>19</v>
      </c>
      <c r="M580" s="4" t="str">
        <f t="shared" si="125"/>
        <v>1000184670100018619710001897751000189270GELEIA</v>
      </c>
      <c r="N580" s="28">
        <f>N574*_xlfn.XLOOKUP($L580,'Balizador da Meta'!$B$4:$B$21,'Balizador da Meta'!$C$4:$C$21)</f>
        <v>131.99999999999997</v>
      </c>
      <c r="O580" s="28">
        <f>O574*_xlfn.XLOOKUP($L580,'Balizador da Meta'!$B$4:$B$21,'Balizador da Meta'!$C$4:$C$21)</f>
        <v>131.99999999999997</v>
      </c>
      <c r="P580" s="28">
        <f>P574*_xlfn.XLOOKUP($L580,'Balizador da Meta'!$B$4:$B$21,'Balizador da Meta'!$C$4:$C$21)</f>
        <v>131.99999999999997</v>
      </c>
      <c r="Q580" s="28">
        <f>Q574*_xlfn.XLOOKUP($L580,'Balizador da Meta'!$B$4:$B$21,'Balizador da Meta'!$C$4:$C$21)</f>
        <v>131.99999999999997</v>
      </c>
      <c r="R580" s="28">
        <f>R574*_xlfn.XLOOKUP($L580,'Balizador da Meta'!$B$4:$B$21,'Balizador da Meta'!$C$4:$C$21)</f>
        <v>131.99999999999997</v>
      </c>
      <c r="S580" s="28">
        <f>S574*_xlfn.XLOOKUP($L580,'Balizador da Meta'!$B$4:$B$21,'Balizador da Meta'!$C$4:$C$21)</f>
        <v>131.99999999999997</v>
      </c>
      <c r="T580" s="28">
        <f>T574*_xlfn.XLOOKUP($L580,'Balizador da Meta'!$B$4:$B$21,'Balizador da Meta'!$C$4:$C$21)</f>
        <v>131.99999999999997</v>
      </c>
      <c r="U580" s="28">
        <f>U574*_xlfn.XLOOKUP($L580,'Balizador da Meta'!$B$4:$B$21,'Balizador da Meta'!$C$4:$C$21)</f>
        <v>131.99999999999997</v>
      </c>
      <c r="V580" s="28">
        <f>V574*_xlfn.XLOOKUP($L580,'Balizador da Meta'!$B$4:$B$21,'Balizador da Meta'!$C$4:$C$21)</f>
        <v>131.99999999999997</v>
      </c>
      <c r="W580" s="28">
        <f>W574*_xlfn.XLOOKUP($L580,'Balizador da Meta'!$B$4:$B$21,'Balizador da Meta'!$C$4:$C$21)</f>
        <v>131.99999999999997</v>
      </c>
      <c r="X580" s="28">
        <f>X574*_xlfn.XLOOKUP($L580,'Balizador da Meta'!$B$4:$B$21,'Balizador da Meta'!$C$4:$C$21)</f>
        <v>131.99999999999997</v>
      </c>
      <c r="Y580" s="28">
        <f>Y574*_xlfn.XLOOKUP($L580,'Balizador da Meta'!$B$4:$B$21,'Balizador da Meta'!$C$4:$C$21)</f>
        <v>131.99999999999997</v>
      </c>
      <c r="Z580" s="30">
        <f t="shared" si="141"/>
        <v>1583.9999999999998</v>
      </c>
      <c r="AA580" s="29"/>
      <c r="AB580" s="31">
        <f>SUMIFS('Historico - FAT'!AK:AK,'Historico - FAT'!$K:$K,Faturamento!$L580,'Historico - FAT'!$I:$I,Faturamento!$J580,'Historico - FAT'!$G:$G,Faturamento!$H580)</f>
        <v>0</v>
      </c>
      <c r="AC580" s="31">
        <f>SUMIFS('Historico - FAT'!AL:AL,'Historico - FAT'!$K:$K,Faturamento!$L580,'Historico - FAT'!$I:$I,Faturamento!$J580,'Historico - FAT'!$G:$G,Faturamento!$H580)</f>
        <v>49.421666666666674</v>
      </c>
      <c r="AD580" s="31">
        <f>SUMIFS('Historico - FAT'!AM:AM,'Historico - FAT'!$K:$K,Faturamento!$L580,'Historico - FAT'!$I:$I,Faturamento!$J580,'Historico - FAT'!$G:$G,Faturamento!$H580)</f>
        <v>58.568333333333335</v>
      </c>
      <c r="AE580" s="27">
        <f>SUMIFS('Historico - FAT'!AN:AN,'Historico - FAT'!$K:$K,Faturamento!$L580,'Historico - FAT'!$I:$I,Faturamento!$J580,'Historico - FAT'!$G:$G,Faturamento!$H580)</f>
        <v>59.306000000000004</v>
      </c>
      <c r="AG580" s="24">
        <f t="shared" si="136"/>
        <v>1</v>
      </c>
      <c r="AH580" s="24">
        <f t="shared" si="137"/>
        <v>0.62559343434343417</v>
      </c>
      <c r="AI580" s="24">
        <f t="shared" si="138"/>
        <v>0.55630050505050499</v>
      </c>
    </row>
    <row r="581" spans="1:35" hidden="1" x14ac:dyDescent="0.3">
      <c r="A581" s="2" t="str">
        <f t="shared" si="135"/>
        <v>NÃO</v>
      </c>
      <c r="B581" s="2">
        <v>1000184670</v>
      </c>
      <c r="C581" s="2" t="s">
        <v>147</v>
      </c>
      <c r="D581" s="4">
        <v>1000186197</v>
      </c>
      <c r="E581" s="4" t="s">
        <v>166</v>
      </c>
      <c r="F581" s="2">
        <v>1000184756</v>
      </c>
      <c r="G581" s="2" t="s">
        <v>53</v>
      </c>
      <c r="H581" s="4">
        <v>1000189775</v>
      </c>
      <c r="I581" s="4" t="s">
        <v>66</v>
      </c>
      <c r="J581" s="2">
        <v>1000189270</v>
      </c>
      <c r="K581" s="2" t="s">
        <v>34</v>
      </c>
      <c r="L581" s="4" t="s">
        <v>17</v>
      </c>
      <c r="M581" s="4" t="str">
        <f t="shared" ref="M581:M644" si="142">_xlfn.CONCAT(B581,D581,H581,J581,L581,)</f>
        <v>1000184670100018619710001897751000189270GRANOLA</v>
      </c>
      <c r="N581" s="28">
        <f>N574*_xlfn.XLOOKUP($L581,'Balizador da Meta'!$B$4:$B$21,'Balizador da Meta'!$C$4:$C$21)</f>
        <v>132</v>
      </c>
      <c r="O581" s="28">
        <f>O574*_xlfn.XLOOKUP($L581,'Balizador da Meta'!$B$4:$B$21,'Balizador da Meta'!$C$4:$C$21)</f>
        <v>132</v>
      </c>
      <c r="P581" s="28">
        <f>P574*_xlfn.XLOOKUP($L581,'Balizador da Meta'!$B$4:$B$21,'Balizador da Meta'!$C$4:$C$21)</f>
        <v>132</v>
      </c>
      <c r="Q581" s="28">
        <f>Q574*_xlfn.XLOOKUP($L581,'Balizador da Meta'!$B$4:$B$21,'Balizador da Meta'!$C$4:$C$21)</f>
        <v>132</v>
      </c>
      <c r="R581" s="28">
        <f>R574*_xlfn.XLOOKUP($L581,'Balizador da Meta'!$B$4:$B$21,'Balizador da Meta'!$C$4:$C$21)</f>
        <v>132</v>
      </c>
      <c r="S581" s="28">
        <f>S574*_xlfn.XLOOKUP($L581,'Balizador da Meta'!$B$4:$B$21,'Balizador da Meta'!$C$4:$C$21)</f>
        <v>132</v>
      </c>
      <c r="T581" s="28">
        <f>T574*_xlfn.XLOOKUP($L581,'Balizador da Meta'!$B$4:$B$21,'Balizador da Meta'!$C$4:$C$21)</f>
        <v>132</v>
      </c>
      <c r="U581" s="28">
        <f>U574*_xlfn.XLOOKUP($L581,'Balizador da Meta'!$B$4:$B$21,'Balizador da Meta'!$C$4:$C$21)</f>
        <v>132</v>
      </c>
      <c r="V581" s="28">
        <f>V574*_xlfn.XLOOKUP($L581,'Balizador da Meta'!$B$4:$B$21,'Balizador da Meta'!$C$4:$C$21)</f>
        <v>132</v>
      </c>
      <c r="W581" s="28">
        <f>W574*_xlfn.XLOOKUP($L581,'Balizador da Meta'!$B$4:$B$21,'Balizador da Meta'!$C$4:$C$21)</f>
        <v>132</v>
      </c>
      <c r="X581" s="28">
        <f>X574*_xlfn.XLOOKUP($L581,'Balizador da Meta'!$B$4:$B$21,'Balizador da Meta'!$C$4:$C$21)</f>
        <v>132</v>
      </c>
      <c r="Y581" s="28">
        <f>Y574*_xlfn.XLOOKUP($L581,'Balizador da Meta'!$B$4:$B$21,'Balizador da Meta'!$C$4:$C$21)</f>
        <v>132</v>
      </c>
      <c r="Z581" s="30">
        <f t="shared" si="141"/>
        <v>1584</v>
      </c>
      <c r="AA581" s="29"/>
      <c r="AB581" s="31">
        <f>SUMIFS('Historico - FAT'!AK:AK,'Historico - FAT'!$K:$K,Faturamento!$L581,'Historico - FAT'!$I:$I,Faturamento!$J581,'Historico - FAT'!$G:$G,Faturamento!$H581)</f>
        <v>0</v>
      </c>
      <c r="AC581" s="31">
        <f>SUMIFS('Historico - FAT'!AL:AL,'Historico - FAT'!$K:$K,Faturamento!$L581,'Historico - FAT'!$I:$I,Faturamento!$J581,'Historico - FAT'!$G:$G,Faturamento!$H581)</f>
        <v>33.008333333333333</v>
      </c>
      <c r="AD581" s="31">
        <f>SUMIFS('Historico - FAT'!AM:AM,'Historico - FAT'!$K:$K,Faturamento!$L581,'Historico - FAT'!$I:$I,Faturamento!$J581,'Historico - FAT'!$G:$G,Faturamento!$H581)</f>
        <v>3.8000000000000003</v>
      </c>
      <c r="AE581" s="27">
        <f>SUMIFS('Historico - FAT'!AN:AN,'Historico - FAT'!$K:$K,Faturamento!$L581,'Historico - FAT'!$I:$I,Faturamento!$J581,'Historico - FAT'!$G:$G,Faturamento!$H581)</f>
        <v>39.61</v>
      </c>
      <c r="AG581" s="24">
        <f t="shared" si="136"/>
        <v>1</v>
      </c>
      <c r="AH581" s="24">
        <f t="shared" si="137"/>
        <v>0.74993686868686871</v>
      </c>
      <c r="AI581" s="24">
        <f t="shared" si="138"/>
        <v>0.97121212121212108</v>
      </c>
    </row>
    <row r="582" spans="1:35" hidden="1" x14ac:dyDescent="0.3">
      <c r="A582" s="2" t="str">
        <f t="shared" si="135"/>
        <v>NÃO</v>
      </c>
      <c r="B582" s="2">
        <v>1000184670</v>
      </c>
      <c r="C582" s="2" t="s">
        <v>147</v>
      </c>
      <c r="D582" s="4">
        <v>1000186197</v>
      </c>
      <c r="E582" s="4" t="s">
        <v>166</v>
      </c>
      <c r="F582" s="2">
        <v>1000184756</v>
      </c>
      <c r="G582" s="2" t="s">
        <v>53</v>
      </c>
      <c r="H582" s="4">
        <v>1000189775</v>
      </c>
      <c r="I582" s="4" t="s">
        <v>66</v>
      </c>
      <c r="J582" s="2">
        <v>1000189270</v>
      </c>
      <c r="K582" s="2" t="s">
        <v>34</v>
      </c>
      <c r="L582" s="4" t="s">
        <v>24</v>
      </c>
      <c r="M582" s="4" t="str">
        <f t="shared" si="142"/>
        <v>1000184670100018619710001897751000189270KIDS</v>
      </c>
      <c r="N582" s="28">
        <f>N574*_xlfn.XLOOKUP($L582,'Balizador da Meta'!$B$4:$B$21,'Balizador da Meta'!$C$4:$C$21)</f>
        <v>0</v>
      </c>
      <c r="O582" s="28">
        <f>O574*_xlfn.XLOOKUP($L582,'Balizador da Meta'!$B$4:$B$21,'Balizador da Meta'!$C$4:$C$21)</f>
        <v>0</v>
      </c>
      <c r="P582" s="28">
        <f>P574*_xlfn.XLOOKUP($L582,'Balizador da Meta'!$B$4:$B$21,'Balizador da Meta'!$C$4:$C$21)</f>
        <v>0</v>
      </c>
      <c r="Q582" s="28">
        <f>Q574*_xlfn.XLOOKUP($L582,'Balizador da Meta'!$B$4:$B$21,'Balizador da Meta'!$C$4:$C$21)</f>
        <v>0</v>
      </c>
      <c r="R582" s="28">
        <f>R574*_xlfn.XLOOKUP($L582,'Balizador da Meta'!$B$4:$B$21,'Balizador da Meta'!$C$4:$C$21)</f>
        <v>0</v>
      </c>
      <c r="S582" s="28">
        <f>S574*_xlfn.XLOOKUP($L582,'Balizador da Meta'!$B$4:$B$21,'Balizador da Meta'!$C$4:$C$21)</f>
        <v>0</v>
      </c>
      <c r="T582" s="28">
        <f>T574*_xlfn.XLOOKUP($L582,'Balizador da Meta'!$B$4:$B$21,'Balizador da Meta'!$C$4:$C$21)</f>
        <v>0</v>
      </c>
      <c r="U582" s="28">
        <f>U574*_xlfn.XLOOKUP($L582,'Balizador da Meta'!$B$4:$B$21,'Balizador da Meta'!$C$4:$C$21)</f>
        <v>0</v>
      </c>
      <c r="V582" s="28">
        <f>V574*_xlfn.XLOOKUP($L582,'Balizador da Meta'!$B$4:$B$21,'Balizador da Meta'!$C$4:$C$21)</f>
        <v>0</v>
      </c>
      <c r="W582" s="28">
        <f>W574*_xlfn.XLOOKUP($L582,'Balizador da Meta'!$B$4:$B$21,'Balizador da Meta'!$C$4:$C$21)</f>
        <v>0</v>
      </c>
      <c r="X582" s="28">
        <f>X574*_xlfn.XLOOKUP($L582,'Balizador da Meta'!$B$4:$B$21,'Balizador da Meta'!$C$4:$C$21)</f>
        <v>0</v>
      </c>
      <c r="Y582" s="28">
        <f>Y574*_xlfn.XLOOKUP($L582,'Balizador da Meta'!$B$4:$B$21,'Balizador da Meta'!$C$4:$C$21)</f>
        <v>0</v>
      </c>
      <c r="Z582" s="30">
        <f t="shared" si="141"/>
        <v>0</v>
      </c>
      <c r="AA582" s="29"/>
      <c r="AB582" s="31">
        <f>SUMIFS('Historico - FAT'!AK:AK,'Historico - FAT'!$K:$K,Faturamento!$L582,'Historico - FAT'!$I:$I,Faturamento!$J582,'Historico - FAT'!$G:$G,Faturamento!$H582)</f>
        <v>0</v>
      </c>
      <c r="AC582" s="31">
        <f>SUMIFS('Historico - FAT'!AL:AL,'Historico - FAT'!$K:$K,Faturamento!$L582,'Historico - FAT'!$I:$I,Faturamento!$J582,'Historico - FAT'!$G:$G,Faturamento!$H582)</f>
        <v>10.534166666666666</v>
      </c>
      <c r="AD582" s="31">
        <f>SUMIFS('Historico - FAT'!AM:AM,'Historico - FAT'!$K:$K,Faturamento!$L582,'Historico - FAT'!$I:$I,Faturamento!$J582,'Historico - FAT'!$G:$G,Faturamento!$H582)</f>
        <v>2.4633333333333334</v>
      </c>
      <c r="AE582" s="27">
        <f>SUMIFS('Historico - FAT'!AN:AN,'Historico - FAT'!$K:$K,Faturamento!$L582,'Historico - FAT'!$I:$I,Faturamento!$J582,'Historico - FAT'!$G:$G,Faturamento!$H582)</f>
        <v>12.641</v>
      </c>
      <c r="AG582" s="24" t="str">
        <f t="shared" si="136"/>
        <v/>
      </c>
      <c r="AH582" s="24" t="str">
        <f t="shared" si="137"/>
        <v/>
      </c>
      <c r="AI582" s="24" t="str">
        <f t="shared" si="138"/>
        <v/>
      </c>
    </row>
    <row r="583" spans="1:35" hidden="1" x14ac:dyDescent="0.3">
      <c r="A583" s="2" t="str">
        <f t="shared" si="135"/>
        <v>NÃO</v>
      </c>
      <c r="B583" s="2">
        <v>1000184670</v>
      </c>
      <c r="C583" s="2" t="s">
        <v>147</v>
      </c>
      <c r="D583" s="4">
        <v>1000186197</v>
      </c>
      <c r="E583" s="4" t="s">
        <v>166</v>
      </c>
      <c r="F583" s="2">
        <v>1000184756</v>
      </c>
      <c r="G583" s="2" t="s">
        <v>53</v>
      </c>
      <c r="H583" s="4">
        <v>1000189775</v>
      </c>
      <c r="I583" s="4" t="s">
        <v>66</v>
      </c>
      <c r="J583" s="2">
        <v>1000189270</v>
      </c>
      <c r="K583" s="2" t="s">
        <v>34</v>
      </c>
      <c r="L583" s="4" t="s">
        <v>18</v>
      </c>
      <c r="M583" s="4" t="str">
        <f t="shared" si="142"/>
        <v>1000184670100018619710001897751000189270LANCHES</v>
      </c>
      <c r="N583" s="28">
        <f>N574*_xlfn.XLOOKUP($L583,'Balizador da Meta'!$B$4:$B$21,'Balizador da Meta'!$C$4:$C$21)</f>
        <v>66</v>
      </c>
      <c r="O583" s="28">
        <f>O574*_xlfn.XLOOKUP($L583,'Balizador da Meta'!$B$4:$B$21,'Balizador da Meta'!$C$4:$C$21)</f>
        <v>66</v>
      </c>
      <c r="P583" s="28">
        <f>P574*_xlfn.XLOOKUP($L583,'Balizador da Meta'!$B$4:$B$21,'Balizador da Meta'!$C$4:$C$21)</f>
        <v>66</v>
      </c>
      <c r="Q583" s="28">
        <f>Q574*_xlfn.XLOOKUP($L583,'Balizador da Meta'!$B$4:$B$21,'Balizador da Meta'!$C$4:$C$21)</f>
        <v>66</v>
      </c>
      <c r="R583" s="28">
        <f>R574*_xlfn.XLOOKUP($L583,'Balizador da Meta'!$B$4:$B$21,'Balizador da Meta'!$C$4:$C$21)</f>
        <v>66</v>
      </c>
      <c r="S583" s="28">
        <f>S574*_xlfn.XLOOKUP($L583,'Balizador da Meta'!$B$4:$B$21,'Balizador da Meta'!$C$4:$C$21)</f>
        <v>66</v>
      </c>
      <c r="T583" s="28">
        <f>T574*_xlfn.XLOOKUP($L583,'Balizador da Meta'!$B$4:$B$21,'Balizador da Meta'!$C$4:$C$21)</f>
        <v>66</v>
      </c>
      <c r="U583" s="28">
        <f>U574*_xlfn.XLOOKUP($L583,'Balizador da Meta'!$B$4:$B$21,'Balizador da Meta'!$C$4:$C$21)</f>
        <v>66</v>
      </c>
      <c r="V583" s="28">
        <f>V574*_xlfn.XLOOKUP($L583,'Balizador da Meta'!$B$4:$B$21,'Balizador da Meta'!$C$4:$C$21)</f>
        <v>66</v>
      </c>
      <c r="W583" s="28">
        <f>W574*_xlfn.XLOOKUP($L583,'Balizador da Meta'!$B$4:$B$21,'Balizador da Meta'!$C$4:$C$21)</f>
        <v>66</v>
      </c>
      <c r="X583" s="28">
        <f>X574*_xlfn.XLOOKUP($L583,'Balizador da Meta'!$B$4:$B$21,'Balizador da Meta'!$C$4:$C$21)</f>
        <v>66</v>
      </c>
      <c r="Y583" s="28">
        <f>Y574*_xlfn.XLOOKUP($L583,'Balizador da Meta'!$B$4:$B$21,'Balizador da Meta'!$C$4:$C$21)</f>
        <v>66</v>
      </c>
      <c r="Z583" s="30">
        <f t="shared" si="141"/>
        <v>792</v>
      </c>
      <c r="AA583" s="29"/>
      <c r="AB583" s="31">
        <f>SUMIFS('Historico - FAT'!AK:AK,'Historico - FAT'!$K:$K,Faturamento!$L583,'Historico - FAT'!$I:$I,Faturamento!$J583,'Historico - FAT'!$G:$G,Faturamento!$H583)</f>
        <v>0</v>
      </c>
      <c r="AC583" s="31">
        <f>SUMIFS('Historico - FAT'!AL:AL,'Historico - FAT'!$K:$K,Faturamento!$L583,'Historico - FAT'!$I:$I,Faturamento!$J583,'Historico - FAT'!$G:$G,Faturamento!$H583)</f>
        <v>2.5733333333333337</v>
      </c>
      <c r="AD583" s="31">
        <f>SUMIFS('Historico - FAT'!AM:AM,'Historico - FAT'!$K:$K,Faturamento!$L583,'Historico - FAT'!$I:$I,Faturamento!$J583,'Historico - FAT'!$G:$G,Faturamento!$H583)</f>
        <v>1.2666666666666666</v>
      </c>
      <c r="AE583" s="27">
        <f>SUMIFS('Historico - FAT'!AN:AN,'Historico - FAT'!$K:$K,Faturamento!$L583,'Historico - FAT'!$I:$I,Faturamento!$J583,'Historico - FAT'!$G:$G,Faturamento!$H583)</f>
        <v>3.0880000000000001</v>
      </c>
      <c r="AG583" s="24">
        <f t="shared" si="136"/>
        <v>1</v>
      </c>
      <c r="AH583" s="24">
        <f t="shared" si="137"/>
        <v>0.96101010101010109</v>
      </c>
      <c r="AI583" s="24">
        <f t="shared" si="138"/>
        <v>0.9808080808080808</v>
      </c>
    </row>
    <row r="584" spans="1:35" hidden="1" x14ac:dyDescent="0.3">
      <c r="A584" s="2" t="str">
        <f t="shared" si="135"/>
        <v>NÃO</v>
      </c>
      <c r="B584" s="2">
        <v>1000184670</v>
      </c>
      <c r="C584" s="2" t="s">
        <v>147</v>
      </c>
      <c r="D584" s="4">
        <v>1000186197</v>
      </c>
      <c r="E584" s="4" t="s">
        <v>166</v>
      </c>
      <c r="F584" s="2">
        <v>1000184756</v>
      </c>
      <c r="G584" s="2" t="s">
        <v>53</v>
      </c>
      <c r="H584" s="4">
        <v>1000189775</v>
      </c>
      <c r="I584" s="4" t="s">
        <v>66</v>
      </c>
      <c r="J584" s="2">
        <v>1000189270</v>
      </c>
      <c r="K584" s="2" t="s">
        <v>34</v>
      </c>
      <c r="L584" s="4" t="s">
        <v>29</v>
      </c>
      <c r="M584" s="4" t="str">
        <f t="shared" si="142"/>
        <v>1000184670100018619710001897751000189270MAIS GRANEL</v>
      </c>
      <c r="N584" s="28">
        <f>N574*_xlfn.XLOOKUP($L584,'Balizador da Meta'!$B$4:$B$21,'Balizador da Meta'!$C$4:$C$21)</f>
        <v>2112</v>
      </c>
      <c r="O584" s="28">
        <f>O574*_xlfn.XLOOKUP($L584,'Balizador da Meta'!$B$4:$B$21,'Balizador da Meta'!$C$4:$C$21)</f>
        <v>2112</v>
      </c>
      <c r="P584" s="28">
        <f>P574*_xlfn.XLOOKUP($L584,'Balizador da Meta'!$B$4:$B$21,'Balizador da Meta'!$C$4:$C$21)</f>
        <v>2112</v>
      </c>
      <c r="Q584" s="28">
        <f>Q574*_xlfn.XLOOKUP($L584,'Balizador da Meta'!$B$4:$B$21,'Balizador da Meta'!$C$4:$C$21)</f>
        <v>2112</v>
      </c>
      <c r="R584" s="28">
        <f>R574*_xlfn.XLOOKUP($L584,'Balizador da Meta'!$B$4:$B$21,'Balizador da Meta'!$C$4:$C$21)</f>
        <v>2112</v>
      </c>
      <c r="S584" s="28">
        <f>S574*_xlfn.XLOOKUP($L584,'Balizador da Meta'!$B$4:$B$21,'Balizador da Meta'!$C$4:$C$21)</f>
        <v>2112</v>
      </c>
      <c r="T584" s="28">
        <f>T574*_xlfn.XLOOKUP($L584,'Balizador da Meta'!$B$4:$B$21,'Balizador da Meta'!$C$4:$C$21)</f>
        <v>2112</v>
      </c>
      <c r="U584" s="28">
        <f>U574*_xlfn.XLOOKUP($L584,'Balizador da Meta'!$B$4:$B$21,'Balizador da Meta'!$C$4:$C$21)</f>
        <v>2112</v>
      </c>
      <c r="V584" s="28">
        <f>V574*_xlfn.XLOOKUP($L584,'Balizador da Meta'!$B$4:$B$21,'Balizador da Meta'!$C$4:$C$21)</f>
        <v>2112</v>
      </c>
      <c r="W584" s="28">
        <f>W574*_xlfn.XLOOKUP($L584,'Balizador da Meta'!$B$4:$B$21,'Balizador da Meta'!$C$4:$C$21)</f>
        <v>2112</v>
      </c>
      <c r="X584" s="28">
        <f>X574*_xlfn.XLOOKUP($L584,'Balizador da Meta'!$B$4:$B$21,'Balizador da Meta'!$C$4:$C$21)</f>
        <v>2112</v>
      </c>
      <c r="Y584" s="28">
        <f>Y574*_xlfn.XLOOKUP($L584,'Balizador da Meta'!$B$4:$B$21,'Balizador da Meta'!$C$4:$C$21)</f>
        <v>2112</v>
      </c>
      <c r="Z584" s="30">
        <f t="shared" si="141"/>
        <v>25344</v>
      </c>
      <c r="AA584" s="29"/>
      <c r="AB584" s="31">
        <f>SUMIFS('Historico - FAT'!AK:AK,'Historico - FAT'!$K:$K,Faturamento!$L584,'Historico - FAT'!$I:$I,Faturamento!$J584,'Historico - FAT'!$G:$G,Faturamento!$H584)</f>
        <v>0</v>
      </c>
      <c r="AC584" s="31">
        <f>SUMIFS('Historico - FAT'!AL:AL,'Historico - FAT'!$K:$K,Faturamento!$L584,'Historico - FAT'!$I:$I,Faturamento!$J584,'Historico - FAT'!$G:$G,Faturamento!$H584)</f>
        <v>2571.7983333333332</v>
      </c>
      <c r="AD584" s="31">
        <f>SUMIFS('Historico - FAT'!AM:AM,'Historico - FAT'!$K:$K,Faturamento!$L584,'Historico - FAT'!$I:$I,Faturamento!$J584,'Historico - FAT'!$G:$G,Faturamento!$H584)</f>
        <v>4968.6683333333331</v>
      </c>
      <c r="AE584" s="27">
        <f>SUMIFS('Historico - FAT'!AN:AN,'Historico - FAT'!$K:$K,Faturamento!$L584,'Historico - FAT'!$I:$I,Faturamento!$J584,'Historico - FAT'!$G:$G,Faturamento!$H584)</f>
        <v>3086.1579999999999</v>
      </c>
      <c r="AG584" s="24">
        <f t="shared" si="136"/>
        <v>1</v>
      </c>
      <c r="AH584" s="24">
        <f t="shared" si="137"/>
        <v>-0.21770754419191912</v>
      </c>
      <c r="AI584" s="24">
        <f t="shared" si="138"/>
        <v>-1.3525891729797979</v>
      </c>
    </row>
    <row r="585" spans="1:35" hidden="1" x14ac:dyDescent="0.3">
      <c r="A585" s="2" t="str">
        <f t="shared" si="135"/>
        <v>NÃO</v>
      </c>
      <c r="B585" s="2">
        <v>1000184670</v>
      </c>
      <c r="C585" s="2" t="s">
        <v>147</v>
      </c>
      <c r="D585" s="4">
        <v>1000186197</v>
      </c>
      <c r="E585" s="4" t="s">
        <v>166</v>
      </c>
      <c r="F585" s="2">
        <v>1000184756</v>
      </c>
      <c r="G585" s="2" t="s">
        <v>53</v>
      </c>
      <c r="H585" s="4">
        <v>1000189775</v>
      </c>
      <c r="I585" s="4" t="s">
        <v>66</v>
      </c>
      <c r="J585" s="2">
        <v>1000189270</v>
      </c>
      <c r="K585" s="2" t="s">
        <v>34</v>
      </c>
      <c r="L585" s="4" t="s">
        <v>21</v>
      </c>
      <c r="M585" s="4" t="str">
        <f t="shared" si="142"/>
        <v>1000184670100018619710001897751000189270NATURATTA</v>
      </c>
      <c r="N585" s="28">
        <f>N574*_xlfn.XLOOKUP($L585,'Balizador da Meta'!$B$4:$B$21,'Balizador da Meta'!$C$4:$C$21)</f>
        <v>330</v>
      </c>
      <c r="O585" s="28">
        <f>O574*_xlfn.XLOOKUP($L585,'Balizador da Meta'!$B$4:$B$21,'Balizador da Meta'!$C$4:$C$21)</f>
        <v>330</v>
      </c>
      <c r="P585" s="28">
        <f>P574*_xlfn.XLOOKUP($L585,'Balizador da Meta'!$B$4:$B$21,'Balizador da Meta'!$C$4:$C$21)</f>
        <v>330</v>
      </c>
      <c r="Q585" s="28">
        <f>Q574*_xlfn.XLOOKUP($L585,'Balizador da Meta'!$B$4:$B$21,'Balizador da Meta'!$C$4:$C$21)</f>
        <v>330</v>
      </c>
      <c r="R585" s="28">
        <f>R574*_xlfn.XLOOKUP($L585,'Balizador da Meta'!$B$4:$B$21,'Balizador da Meta'!$C$4:$C$21)</f>
        <v>330</v>
      </c>
      <c r="S585" s="28">
        <f>S574*_xlfn.XLOOKUP($L585,'Balizador da Meta'!$B$4:$B$21,'Balizador da Meta'!$C$4:$C$21)</f>
        <v>330</v>
      </c>
      <c r="T585" s="28">
        <f>T574*_xlfn.XLOOKUP($L585,'Balizador da Meta'!$B$4:$B$21,'Balizador da Meta'!$C$4:$C$21)</f>
        <v>330</v>
      </c>
      <c r="U585" s="28">
        <f>U574*_xlfn.XLOOKUP($L585,'Balizador da Meta'!$B$4:$B$21,'Balizador da Meta'!$C$4:$C$21)</f>
        <v>330</v>
      </c>
      <c r="V585" s="28">
        <f>V574*_xlfn.XLOOKUP($L585,'Balizador da Meta'!$B$4:$B$21,'Balizador da Meta'!$C$4:$C$21)</f>
        <v>330</v>
      </c>
      <c r="W585" s="28">
        <f>W574*_xlfn.XLOOKUP($L585,'Balizador da Meta'!$B$4:$B$21,'Balizador da Meta'!$C$4:$C$21)</f>
        <v>330</v>
      </c>
      <c r="X585" s="28">
        <f>X574*_xlfn.XLOOKUP($L585,'Balizador da Meta'!$B$4:$B$21,'Balizador da Meta'!$C$4:$C$21)</f>
        <v>330</v>
      </c>
      <c r="Y585" s="28">
        <f>Y574*_xlfn.XLOOKUP($L585,'Balizador da Meta'!$B$4:$B$21,'Balizador da Meta'!$C$4:$C$21)</f>
        <v>330</v>
      </c>
      <c r="Z585" s="30">
        <f t="shared" si="141"/>
        <v>3960</v>
      </c>
      <c r="AA585" s="29"/>
      <c r="AB585" s="31">
        <f>SUMIFS('Historico - FAT'!AK:AK,'Historico - FAT'!$K:$K,Faturamento!$L585,'Historico - FAT'!$I:$I,Faturamento!$J585,'Historico - FAT'!$G:$G,Faturamento!$H585)</f>
        <v>0</v>
      </c>
      <c r="AC585" s="31">
        <f>SUMIFS('Historico - FAT'!AL:AL,'Historico - FAT'!$K:$K,Faturamento!$L585,'Historico - FAT'!$I:$I,Faturamento!$J585,'Historico - FAT'!$G:$G,Faturamento!$H585)</f>
        <v>56.213333333333331</v>
      </c>
      <c r="AD585" s="31">
        <f>SUMIFS('Historico - FAT'!AM:AM,'Historico - FAT'!$K:$K,Faturamento!$L585,'Historico - FAT'!$I:$I,Faturamento!$J585,'Historico - FAT'!$G:$G,Faturamento!$H585)</f>
        <v>53.246666666666663</v>
      </c>
      <c r="AE585" s="27">
        <f>SUMIFS('Historico - FAT'!AN:AN,'Historico - FAT'!$K:$K,Faturamento!$L585,'Historico - FAT'!$I:$I,Faturamento!$J585,'Historico - FAT'!$G:$G,Faturamento!$H585)</f>
        <v>67.455999999999989</v>
      </c>
      <c r="AG585" s="24">
        <f t="shared" si="136"/>
        <v>1</v>
      </c>
      <c r="AH585" s="24">
        <f t="shared" si="137"/>
        <v>0.82965656565656576</v>
      </c>
      <c r="AI585" s="24">
        <f t="shared" si="138"/>
        <v>0.83864646464646464</v>
      </c>
    </row>
    <row r="586" spans="1:35" hidden="1" x14ac:dyDescent="0.3">
      <c r="A586" s="2" t="str">
        <f t="shared" si="135"/>
        <v>NÃO</v>
      </c>
      <c r="B586" s="2">
        <v>1000184670</v>
      </c>
      <c r="C586" s="2" t="s">
        <v>147</v>
      </c>
      <c r="D586" s="4">
        <v>1000186197</v>
      </c>
      <c r="E586" s="4" t="s">
        <v>166</v>
      </c>
      <c r="F586" s="2">
        <v>1000184756</v>
      </c>
      <c r="G586" s="2" t="s">
        <v>53</v>
      </c>
      <c r="H586" s="4">
        <v>1000189775</v>
      </c>
      <c r="I586" s="4" t="s">
        <v>66</v>
      </c>
      <c r="J586" s="2">
        <v>1000189270</v>
      </c>
      <c r="K586" s="2" t="s">
        <v>34</v>
      </c>
      <c r="L586" s="4" t="s">
        <v>20</v>
      </c>
      <c r="M586" s="4" t="str">
        <f t="shared" si="142"/>
        <v>1000184670100018619710001897751000189270REEMBALADOS</v>
      </c>
      <c r="N586" s="28">
        <f>N574*_xlfn.XLOOKUP($L586,'Balizador da Meta'!$B$4:$B$21,'Balizador da Meta'!$C$4:$C$21)</f>
        <v>264</v>
      </c>
      <c r="O586" s="28">
        <f>O574*_xlfn.XLOOKUP($L586,'Balizador da Meta'!$B$4:$B$21,'Balizador da Meta'!$C$4:$C$21)</f>
        <v>264</v>
      </c>
      <c r="P586" s="28">
        <f>P574*_xlfn.XLOOKUP($L586,'Balizador da Meta'!$B$4:$B$21,'Balizador da Meta'!$C$4:$C$21)</f>
        <v>264</v>
      </c>
      <c r="Q586" s="28">
        <f>Q574*_xlfn.XLOOKUP($L586,'Balizador da Meta'!$B$4:$B$21,'Balizador da Meta'!$C$4:$C$21)</f>
        <v>264</v>
      </c>
      <c r="R586" s="28">
        <f>R574*_xlfn.XLOOKUP($L586,'Balizador da Meta'!$B$4:$B$21,'Balizador da Meta'!$C$4:$C$21)</f>
        <v>264</v>
      </c>
      <c r="S586" s="28">
        <f>S574*_xlfn.XLOOKUP($L586,'Balizador da Meta'!$B$4:$B$21,'Balizador da Meta'!$C$4:$C$21)</f>
        <v>264</v>
      </c>
      <c r="T586" s="28">
        <f>T574*_xlfn.XLOOKUP($L586,'Balizador da Meta'!$B$4:$B$21,'Balizador da Meta'!$C$4:$C$21)</f>
        <v>264</v>
      </c>
      <c r="U586" s="28">
        <f>U574*_xlfn.XLOOKUP($L586,'Balizador da Meta'!$B$4:$B$21,'Balizador da Meta'!$C$4:$C$21)</f>
        <v>264</v>
      </c>
      <c r="V586" s="28">
        <f>V574*_xlfn.XLOOKUP($L586,'Balizador da Meta'!$B$4:$B$21,'Balizador da Meta'!$C$4:$C$21)</f>
        <v>264</v>
      </c>
      <c r="W586" s="28">
        <f>W574*_xlfn.XLOOKUP($L586,'Balizador da Meta'!$B$4:$B$21,'Balizador da Meta'!$C$4:$C$21)</f>
        <v>264</v>
      </c>
      <c r="X586" s="28">
        <f>X574*_xlfn.XLOOKUP($L586,'Balizador da Meta'!$B$4:$B$21,'Balizador da Meta'!$C$4:$C$21)</f>
        <v>264</v>
      </c>
      <c r="Y586" s="28">
        <f>Y574*_xlfn.XLOOKUP($L586,'Balizador da Meta'!$B$4:$B$21,'Balizador da Meta'!$C$4:$C$21)</f>
        <v>264</v>
      </c>
      <c r="Z586" s="30">
        <f t="shared" si="141"/>
        <v>3168</v>
      </c>
      <c r="AA586" s="29"/>
      <c r="AB586" s="31">
        <f>SUMIFS('Historico - FAT'!AK:AK,'Historico - FAT'!$K:$K,Faturamento!$L586,'Historico - FAT'!$I:$I,Faturamento!$J586,'Historico - FAT'!$G:$G,Faturamento!$H586)</f>
        <v>0</v>
      </c>
      <c r="AC586" s="31">
        <f>SUMIFS('Historico - FAT'!AL:AL,'Historico - FAT'!$K:$K,Faturamento!$L586,'Historico - FAT'!$I:$I,Faturamento!$J586,'Historico - FAT'!$G:$G,Faturamento!$H586)</f>
        <v>51.43</v>
      </c>
      <c r="AD586" s="31">
        <f>SUMIFS('Historico - FAT'!AM:AM,'Historico - FAT'!$K:$K,Faturamento!$L586,'Historico - FAT'!$I:$I,Faturamento!$J586,'Historico - FAT'!$G:$G,Faturamento!$H586)</f>
        <v>33.04666666666666</v>
      </c>
      <c r="AE586" s="27">
        <f>SUMIFS('Historico - FAT'!AN:AN,'Historico - FAT'!$K:$K,Faturamento!$L586,'Historico - FAT'!$I:$I,Faturamento!$J586,'Historico - FAT'!$G:$G,Faturamento!$H586)</f>
        <v>61.715999999999994</v>
      </c>
      <c r="AG586" s="24">
        <f t="shared" si="136"/>
        <v>1</v>
      </c>
      <c r="AH586" s="24">
        <f t="shared" si="137"/>
        <v>0.80518939393939393</v>
      </c>
      <c r="AI586" s="24">
        <f t="shared" si="138"/>
        <v>0.87482323232323234</v>
      </c>
    </row>
    <row r="587" spans="1:35" hidden="1" x14ac:dyDescent="0.3">
      <c r="A587" s="2" t="str">
        <f t="shared" si="135"/>
        <v>NÃO</v>
      </c>
      <c r="B587" s="2">
        <v>1000184670</v>
      </c>
      <c r="C587" s="2" t="s">
        <v>147</v>
      </c>
      <c r="D587" s="4">
        <v>1000186197</v>
      </c>
      <c r="E587" s="4" t="s">
        <v>166</v>
      </c>
      <c r="F587" s="2">
        <v>1000184756</v>
      </c>
      <c r="G587" s="2" t="s">
        <v>53</v>
      </c>
      <c r="H587" s="4">
        <v>1000189775</v>
      </c>
      <c r="I587" s="4" t="s">
        <v>66</v>
      </c>
      <c r="J587" s="2">
        <v>1000189270</v>
      </c>
      <c r="K587" s="2" t="s">
        <v>34</v>
      </c>
      <c r="L587" s="4" t="s">
        <v>22</v>
      </c>
      <c r="M587" s="4" t="str">
        <f t="shared" si="142"/>
        <v>1000184670100018619710001897751000189270S GLUTEN</v>
      </c>
      <c r="N587" s="28">
        <f>N574*_xlfn.XLOOKUP($L587,'Balizador da Meta'!$B$4:$B$21,'Balizador da Meta'!$C$4:$C$21)</f>
        <v>264</v>
      </c>
      <c r="O587" s="28">
        <f>O574*_xlfn.XLOOKUP($L587,'Balizador da Meta'!$B$4:$B$21,'Balizador da Meta'!$C$4:$C$21)</f>
        <v>264</v>
      </c>
      <c r="P587" s="28">
        <f>P574*_xlfn.XLOOKUP($L587,'Balizador da Meta'!$B$4:$B$21,'Balizador da Meta'!$C$4:$C$21)</f>
        <v>264</v>
      </c>
      <c r="Q587" s="28">
        <f>Q574*_xlfn.XLOOKUP($L587,'Balizador da Meta'!$B$4:$B$21,'Balizador da Meta'!$C$4:$C$21)</f>
        <v>264</v>
      </c>
      <c r="R587" s="28">
        <f>R574*_xlfn.XLOOKUP($L587,'Balizador da Meta'!$B$4:$B$21,'Balizador da Meta'!$C$4:$C$21)</f>
        <v>264</v>
      </c>
      <c r="S587" s="28">
        <f>S574*_xlfn.XLOOKUP($L587,'Balizador da Meta'!$B$4:$B$21,'Balizador da Meta'!$C$4:$C$21)</f>
        <v>264</v>
      </c>
      <c r="T587" s="28">
        <f>T574*_xlfn.XLOOKUP($L587,'Balizador da Meta'!$B$4:$B$21,'Balizador da Meta'!$C$4:$C$21)</f>
        <v>264</v>
      </c>
      <c r="U587" s="28">
        <f>U574*_xlfn.XLOOKUP($L587,'Balizador da Meta'!$B$4:$B$21,'Balizador da Meta'!$C$4:$C$21)</f>
        <v>264</v>
      </c>
      <c r="V587" s="28">
        <f>V574*_xlfn.XLOOKUP($L587,'Balizador da Meta'!$B$4:$B$21,'Balizador da Meta'!$C$4:$C$21)</f>
        <v>264</v>
      </c>
      <c r="W587" s="28">
        <f>W574*_xlfn.XLOOKUP($L587,'Balizador da Meta'!$B$4:$B$21,'Balizador da Meta'!$C$4:$C$21)</f>
        <v>264</v>
      </c>
      <c r="X587" s="28">
        <f>X574*_xlfn.XLOOKUP($L587,'Balizador da Meta'!$B$4:$B$21,'Balizador da Meta'!$C$4:$C$21)</f>
        <v>264</v>
      </c>
      <c r="Y587" s="28">
        <f>Y574*_xlfn.XLOOKUP($L587,'Balizador da Meta'!$B$4:$B$21,'Balizador da Meta'!$C$4:$C$21)</f>
        <v>264</v>
      </c>
      <c r="Z587" s="30">
        <f t="shared" si="141"/>
        <v>3168</v>
      </c>
      <c r="AA587" s="29"/>
      <c r="AB587" s="31">
        <f>SUMIFS('Historico - FAT'!AK:AK,'Historico - FAT'!$K:$K,Faturamento!$L587,'Historico - FAT'!$I:$I,Faturamento!$J587,'Historico - FAT'!$G:$G,Faturamento!$H587)</f>
        <v>0</v>
      </c>
      <c r="AC587" s="31">
        <f>SUMIFS('Historico - FAT'!AL:AL,'Historico - FAT'!$K:$K,Faturamento!$L587,'Historico - FAT'!$I:$I,Faturamento!$J587,'Historico - FAT'!$G:$G,Faturamento!$H587)</f>
        <v>53.868333333333339</v>
      </c>
      <c r="AD587" s="31">
        <f>SUMIFS('Historico - FAT'!AM:AM,'Historico - FAT'!$K:$K,Faturamento!$L587,'Historico - FAT'!$I:$I,Faturamento!$J587,'Historico - FAT'!$G:$G,Faturamento!$H587)</f>
        <v>72.085000000000008</v>
      </c>
      <c r="AE587" s="27">
        <f>SUMIFS('Historico - FAT'!AN:AN,'Historico - FAT'!$K:$K,Faturamento!$L587,'Historico - FAT'!$I:$I,Faturamento!$J587,'Historico - FAT'!$G:$G,Faturamento!$H587)</f>
        <v>64.64200000000001</v>
      </c>
      <c r="AG587" s="24">
        <f t="shared" si="136"/>
        <v>1</v>
      </c>
      <c r="AH587" s="24">
        <f t="shared" si="137"/>
        <v>0.79595328282828282</v>
      </c>
      <c r="AI587" s="24">
        <f t="shared" si="138"/>
        <v>0.72695075757575756</v>
      </c>
    </row>
    <row r="588" spans="1:35" hidden="1" x14ac:dyDescent="0.3">
      <c r="A588" s="2" t="str">
        <f t="shared" si="135"/>
        <v>NÃO</v>
      </c>
      <c r="B588" s="2">
        <v>1000184670</v>
      </c>
      <c r="C588" s="2" t="s">
        <v>147</v>
      </c>
      <c r="D588" s="4">
        <v>1000186197</v>
      </c>
      <c r="E588" s="4" t="s">
        <v>166</v>
      </c>
      <c r="F588" s="2">
        <v>1000184756</v>
      </c>
      <c r="G588" s="2" t="s">
        <v>53</v>
      </c>
      <c r="H588" s="4">
        <v>1000189775</v>
      </c>
      <c r="I588" s="4" t="s">
        <v>66</v>
      </c>
      <c r="J588" s="2">
        <v>1000189270</v>
      </c>
      <c r="K588" s="2" t="s">
        <v>34</v>
      </c>
      <c r="L588" s="4" t="s">
        <v>23</v>
      </c>
      <c r="M588" s="4" t="str">
        <f t="shared" si="142"/>
        <v>1000184670100018619710001897751000189270SABORES DO CAMPO</v>
      </c>
      <c r="N588" s="28">
        <f>N574*_xlfn.XLOOKUP($L588,'Balizador da Meta'!$B$4:$B$21,'Balizador da Meta'!$C$4:$C$21)</f>
        <v>0</v>
      </c>
      <c r="O588" s="28">
        <f>O574*_xlfn.XLOOKUP($L588,'Balizador da Meta'!$B$4:$B$21,'Balizador da Meta'!$C$4:$C$21)</f>
        <v>0</v>
      </c>
      <c r="P588" s="28">
        <f>P574*_xlfn.XLOOKUP($L588,'Balizador da Meta'!$B$4:$B$21,'Balizador da Meta'!$C$4:$C$21)</f>
        <v>0</v>
      </c>
      <c r="Q588" s="28">
        <f>Q574*_xlfn.XLOOKUP($L588,'Balizador da Meta'!$B$4:$B$21,'Balizador da Meta'!$C$4:$C$21)</f>
        <v>0</v>
      </c>
      <c r="R588" s="28">
        <f>R574*_xlfn.XLOOKUP($L588,'Balizador da Meta'!$B$4:$B$21,'Balizador da Meta'!$C$4:$C$21)</f>
        <v>0</v>
      </c>
      <c r="S588" s="28">
        <f>S574*_xlfn.XLOOKUP($L588,'Balizador da Meta'!$B$4:$B$21,'Balizador da Meta'!$C$4:$C$21)</f>
        <v>0</v>
      </c>
      <c r="T588" s="28">
        <f>T574*_xlfn.XLOOKUP($L588,'Balizador da Meta'!$B$4:$B$21,'Balizador da Meta'!$C$4:$C$21)</f>
        <v>0</v>
      </c>
      <c r="U588" s="28">
        <f>U574*_xlfn.XLOOKUP($L588,'Balizador da Meta'!$B$4:$B$21,'Balizador da Meta'!$C$4:$C$21)</f>
        <v>0</v>
      </c>
      <c r="V588" s="28">
        <f>V574*_xlfn.XLOOKUP($L588,'Balizador da Meta'!$B$4:$B$21,'Balizador da Meta'!$C$4:$C$21)</f>
        <v>0</v>
      </c>
      <c r="W588" s="28">
        <f>W574*_xlfn.XLOOKUP($L588,'Balizador da Meta'!$B$4:$B$21,'Balizador da Meta'!$C$4:$C$21)</f>
        <v>0</v>
      </c>
      <c r="X588" s="28">
        <f>X574*_xlfn.XLOOKUP($L588,'Balizador da Meta'!$B$4:$B$21,'Balizador da Meta'!$C$4:$C$21)</f>
        <v>0</v>
      </c>
      <c r="Y588" s="28">
        <f>Y574*_xlfn.XLOOKUP($L588,'Balizador da Meta'!$B$4:$B$21,'Balizador da Meta'!$C$4:$C$21)</f>
        <v>0</v>
      </c>
      <c r="Z588" s="30">
        <f t="shared" si="141"/>
        <v>0</v>
      </c>
      <c r="AA588" s="29"/>
      <c r="AB588" s="31">
        <f>SUMIFS('Historico - FAT'!AK:AK,'Historico - FAT'!$K:$K,Faturamento!$L588,'Historico - FAT'!$I:$I,Faturamento!$J588,'Historico - FAT'!$G:$G,Faturamento!$H588)</f>
        <v>0</v>
      </c>
      <c r="AC588" s="31">
        <f>SUMIFS('Historico - FAT'!AL:AL,'Historico - FAT'!$K:$K,Faturamento!$L588,'Historico - FAT'!$I:$I,Faturamento!$J588,'Historico - FAT'!$G:$G,Faturamento!$H588)</f>
        <v>0</v>
      </c>
      <c r="AD588" s="31">
        <f>SUMIFS('Historico - FAT'!AM:AM,'Historico - FAT'!$K:$K,Faturamento!$L588,'Historico - FAT'!$I:$I,Faturamento!$J588,'Historico - FAT'!$G:$G,Faturamento!$H588)</f>
        <v>0</v>
      </c>
      <c r="AE588" s="27">
        <f>SUMIFS('Historico - FAT'!AN:AN,'Historico - FAT'!$K:$K,Faturamento!$L588,'Historico - FAT'!$I:$I,Faturamento!$J588,'Historico - FAT'!$G:$G,Faturamento!$H588)</f>
        <v>0</v>
      </c>
      <c r="AG588" s="24" t="str">
        <f t="shared" si="136"/>
        <v/>
      </c>
      <c r="AH588" s="24" t="str">
        <f t="shared" si="137"/>
        <v/>
      </c>
      <c r="AI588" s="24" t="str">
        <f t="shared" si="138"/>
        <v/>
      </c>
    </row>
    <row r="589" spans="1:35" hidden="1" x14ac:dyDescent="0.3">
      <c r="A589" s="2" t="str">
        <f t="shared" si="135"/>
        <v>NÃO</v>
      </c>
      <c r="B589" s="2">
        <v>1000184670</v>
      </c>
      <c r="C589" s="2" t="s">
        <v>147</v>
      </c>
      <c r="D589" s="4">
        <v>1000186197</v>
      </c>
      <c r="E589" s="4" t="s">
        <v>166</v>
      </c>
      <c r="F589" s="2">
        <v>1000184756</v>
      </c>
      <c r="G589" s="2" t="s">
        <v>53</v>
      </c>
      <c r="H589" s="4">
        <v>1000189775</v>
      </c>
      <c r="I589" s="4" t="s">
        <v>66</v>
      </c>
      <c r="J589" s="2">
        <v>1000189270</v>
      </c>
      <c r="K589" s="2" t="s">
        <v>34</v>
      </c>
      <c r="L589" s="4" t="s">
        <v>28</v>
      </c>
      <c r="M589" s="4" t="str">
        <f t="shared" si="142"/>
        <v>1000184670100018619710001897751000189270SAL</v>
      </c>
      <c r="N589" s="28">
        <f>N574*_xlfn.XLOOKUP($L589,'Balizador da Meta'!$B$4:$B$21,'Balizador da Meta'!$C$4:$C$21)</f>
        <v>132</v>
      </c>
      <c r="O589" s="28">
        <f>O574*_xlfn.XLOOKUP($L589,'Balizador da Meta'!$B$4:$B$21,'Balizador da Meta'!$C$4:$C$21)</f>
        <v>132</v>
      </c>
      <c r="P589" s="28">
        <f>P574*_xlfn.XLOOKUP($L589,'Balizador da Meta'!$B$4:$B$21,'Balizador da Meta'!$C$4:$C$21)</f>
        <v>132</v>
      </c>
      <c r="Q589" s="28">
        <f>Q574*_xlfn.XLOOKUP($L589,'Balizador da Meta'!$B$4:$B$21,'Balizador da Meta'!$C$4:$C$21)</f>
        <v>132</v>
      </c>
      <c r="R589" s="28">
        <f>R574*_xlfn.XLOOKUP($L589,'Balizador da Meta'!$B$4:$B$21,'Balizador da Meta'!$C$4:$C$21)</f>
        <v>132</v>
      </c>
      <c r="S589" s="28">
        <f>S574*_xlfn.XLOOKUP($L589,'Balizador da Meta'!$B$4:$B$21,'Balizador da Meta'!$C$4:$C$21)</f>
        <v>132</v>
      </c>
      <c r="T589" s="28">
        <f>T574*_xlfn.XLOOKUP($L589,'Balizador da Meta'!$B$4:$B$21,'Balizador da Meta'!$C$4:$C$21)</f>
        <v>132</v>
      </c>
      <c r="U589" s="28">
        <f>U574*_xlfn.XLOOKUP($L589,'Balizador da Meta'!$B$4:$B$21,'Balizador da Meta'!$C$4:$C$21)</f>
        <v>132</v>
      </c>
      <c r="V589" s="28">
        <f>V574*_xlfn.XLOOKUP($L589,'Balizador da Meta'!$B$4:$B$21,'Balizador da Meta'!$C$4:$C$21)</f>
        <v>132</v>
      </c>
      <c r="W589" s="28">
        <f>W574*_xlfn.XLOOKUP($L589,'Balizador da Meta'!$B$4:$B$21,'Balizador da Meta'!$C$4:$C$21)</f>
        <v>132</v>
      </c>
      <c r="X589" s="28">
        <f>X574*_xlfn.XLOOKUP($L589,'Balizador da Meta'!$B$4:$B$21,'Balizador da Meta'!$C$4:$C$21)</f>
        <v>132</v>
      </c>
      <c r="Y589" s="28">
        <f>Y574*_xlfn.XLOOKUP($L589,'Balizador da Meta'!$B$4:$B$21,'Balizador da Meta'!$C$4:$C$21)</f>
        <v>132</v>
      </c>
      <c r="Z589" s="30">
        <f t="shared" si="141"/>
        <v>1584</v>
      </c>
      <c r="AA589" s="29"/>
      <c r="AB589" s="31">
        <f>SUMIFS('Historico - FAT'!AK:AK,'Historico - FAT'!$K:$K,Faturamento!$L589,'Historico - FAT'!$I:$I,Faturamento!$J589,'Historico - FAT'!$G:$G,Faturamento!$H589)</f>
        <v>0</v>
      </c>
      <c r="AC589" s="31">
        <f>SUMIFS('Historico - FAT'!AL:AL,'Historico - FAT'!$K:$K,Faturamento!$L589,'Historico - FAT'!$I:$I,Faturamento!$J589,'Historico - FAT'!$G:$G,Faturamento!$H589)</f>
        <v>1.8133333333333335</v>
      </c>
      <c r="AD589" s="31">
        <f>SUMIFS('Historico - FAT'!AM:AM,'Historico - FAT'!$K:$K,Faturamento!$L589,'Historico - FAT'!$I:$I,Faturamento!$J589,'Historico - FAT'!$G:$G,Faturamento!$H589)</f>
        <v>0</v>
      </c>
      <c r="AE589" s="27">
        <f>SUMIFS('Historico - FAT'!AN:AN,'Historico - FAT'!$K:$K,Faturamento!$L589,'Historico - FAT'!$I:$I,Faturamento!$J589,'Historico - FAT'!$G:$G,Faturamento!$H589)</f>
        <v>2.1760000000000002</v>
      </c>
      <c r="AG589" s="24">
        <f t="shared" si="136"/>
        <v>1</v>
      </c>
      <c r="AH589" s="24">
        <f t="shared" si="137"/>
        <v>0.98626262626262629</v>
      </c>
      <c r="AI589" s="24">
        <f t="shared" si="138"/>
        <v>1</v>
      </c>
    </row>
    <row r="590" spans="1:35" hidden="1" x14ac:dyDescent="0.3">
      <c r="A590" s="2" t="str">
        <f t="shared" si="135"/>
        <v>NÃO</v>
      </c>
      <c r="B590" s="2">
        <v>1000184670</v>
      </c>
      <c r="C590" s="2" t="s">
        <v>147</v>
      </c>
      <c r="D590" s="4">
        <v>1000186197</v>
      </c>
      <c r="E590" s="4" t="s">
        <v>166</v>
      </c>
      <c r="F590" s="2">
        <v>1000184756</v>
      </c>
      <c r="G590" s="2" t="s">
        <v>53</v>
      </c>
      <c r="H590" s="4">
        <v>1000189775</v>
      </c>
      <c r="I590" s="4" t="s">
        <v>66</v>
      </c>
      <c r="J590" s="2">
        <v>1000189270</v>
      </c>
      <c r="K590" s="2" t="s">
        <v>34</v>
      </c>
      <c r="L590" s="4" t="s">
        <v>26</v>
      </c>
      <c r="M590" s="4" t="str">
        <f t="shared" si="142"/>
        <v>1000184670100018619710001897751000189270SOULPRO</v>
      </c>
      <c r="N590" s="28">
        <f>N574*_xlfn.XLOOKUP($L590,'Balizador da Meta'!$B$4:$B$21,'Balizador da Meta'!$C$4:$C$21)</f>
        <v>396</v>
      </c>
      <c r="O590" s="28">
        <f>O574*_xlfn.XLOOKUP($L590,'Balizador da Meta'!$B$4:$B$21,'Balizador da Meta'!$C$4:$C$21)</f>
        <v>396</v>
      </c>
      <c r="P590" s="28">
        <f>P574*_xlfn.XLOOKUP($L590,'Balizador da Meta'!$B$4:$B$21,'Balizador da Meta'!$C$4:$C$21)</f>
        <v>396</v>
      </c>
      <c r="Q590" s="28">
        <f>Q574*_xlfn.XLOOKUP($L590,'Balizador da Meta'!$B$4:$B$21,'Balizador da Meta'!$C$4:$C$21)</f>
        <v>396</v>
      </c>
      <c r="R590" s="28">
        <f>R574*_xlfn.XLOOKUP($L590,'Balizador da Meta'!$B$4:$B$21,'Balizador da Meta'!$C$4:$C$21)</f>
        <v>396</v>
      </c>
      <c r="S590" s="28">
        <f>S574*_xlfn.XLOOKUP($L590,'Balizador da Meta'!$B$4:$B$21,'Balizador da Meta'!$C$4:$C$21)</f>
        <v>396</v>
      </c>
      <c r="T590" s="28">
        <f>T574*_xlfn.XLOOKUP($L590,'Balizador da Meta'!$B$4:$B$21,'Balizador da Meta'!$C$4:$C$21)</f>
        <v>396</v>
      </c>
      <c r="U590" s="28">
        <f>U574*_xlfn.XLOOKUP($L590,'Balizador da Meta'!$B$4:$B$21,'Balizador da Meta'!$C$4:$C$21)</f>
        <v>396</v>
      </c>
      <c r="V590" s="28">
        <f>V574*_xlfn.XLOOKUP($L590,'Balizador da Meta'!$B$4:$B$21,'Balizador da Meta'!$C$4:$C$21)</f>
        <v>396</v>
      </c>
      <c r="W590" s="28">
        <f>W574*_xlfn.XLOOKUP($L590,'Balizador da Meta'!$B$4:$B$21,'Balizador da Meta'!$C$4:$C$21)</f>
        <v>396</v>
      </c>
      <c r="X590" s="28">
        <f>X574*_xlfn.XLOOKUP($L590,'Balizador da Meta'!$B$4:$B$21,'Balizador da Meta'!$C$4:$C$21)</f>
        <v>396</v>
      </c>
      <c r="Y590" s="28">
        <f>Y574*_xlfn.XLOOKUP($L590,'Balizador da Meta'!$B$4:$B$21,'Balizador da Meta'!$C$4:$C$21)</f>
        <v>396</v>
      </c>
      <c r="Z590" s="30">
        <f t="shared" si="141"/>
        <v>4752</v>
      </c>
      <c r="AA590" s="29"/>
      <c r="AB590" s="31">
        <f>SUMIFS('Historico - FAT'!AK:AK,'Historico - FAT'!$K:$K,Faturamento!$L590,'Historico - FAT'!$I:$I,Faturamento!$J590,'Historico - FAT'!$G:$G,Faturamento!$H590)</f>
        <v>0</v>
      </c>
      <c r="AC590" s="31">
        <f>SUMIFS('Historico - FAT'!AL:AL,'Historico - FAT'!$K:$K,Faturamento!$L590,'Historico - FAT'!$I:$I,Faturamento!$J590,'Historico - FAT'!$G:$G,Faturamento!$H590)</f>
        <v>314.93166666666667</v>
      </c>
      <c r="AD590" s="31">
        <f>SUMIFS('Historico - FAT'!AM:AM,'Historico - FAT'!$K:$K,Faturamento!$L590,'Historico - FAT'!$I:$I,Faturamento!$J590,'Historico - FAT'!$G:$G,Faturamento!$H590)</f>
        <v>54.370000000000005</v>
      </c>
      <c r="AE590" s="27">
        <f>SUMIFS('Historico - FAT'!AN:AN,'Historico - FAT'!$K:$K,Faturamento!$L590,'Historico - FAT'!$I:$I,Faturamento!$J590,'Historico - FAT'!$G:$G,Faturamento!$H590)</f>
        <v>377.91800000000001</v>
      </c>
      <c r="AG590" s="24">
        <f t="shared" si="136"/>
        <v>1</v>
      </c>
      <c r="AH590" s="24">
        <f t="shared" si="137"/>
        <v>0.20471801346801347</v>
      </c>
      <c r="AI590" s="24">
        <f t="shared" si="138"/>
        <v>0.86270202020202014</v>
      </c>
    </row>
    <row r="591" spans="1:35" hidden="1" x14ac:dyDescent="0.3">
      <c r="A591" s="2" t="str">
        <f t="shared" si="135"/>
        <v>NÃO</v>
      </c>
      <c r="B591" s="2">
        <v>1000184670</v>
      </c>
      <c r="C591" s="2" t="s">
        <v>147</v>
      </c>
      <c r="D591" s="4">
        <v>1000186197</v>
      </c>
      <c r="E591" s="4" t="s">
        <v>166</v>
      </c>
      <c r="F591" s="2">
        <v>1000184756</v>
      </c>
      <c r="G591" s="2" t="s">
        <v>53</v>
      </c>
      <c r="H591" s="4">
        <v>1000189775</v>
      </c>
      <c r="I591" s="4" t="s">
        <v>66</v>
      </c>
      <c r="J591" s="2">
        <v>1000189270</v>
      </c>
      <c r="K591" s="2" t="s">
        <v>34</v>
      </c>
      <c r="L591" s="4" t="s">
        <v>27</v>
      </c>
      <c r="M591" s="4" t="str">
        <f t="shared" si="142"/>
        <v>1000184670100018619710001897751000189270TAMARA</v>
      </c>
      <c r="N591" s="28">
        <f>N574*_xlfn.XLOOKUP($L591,'Balizador da Meta'!$B$4:$B$21,'Balizador da Meta'!$C$4:$C$21)</f>
        <v>528</v>
      </c>
      <c r="O591" s="28">
        <f>O574*_xlfn.XLOOKUP($L591,'Balizador da Meta'!$B$4:$B$21,'Balizador da Meta'!$C$4:$C$21)</f>
        <v>528</v>
      </c>
      <c r="P591" s="28">
        <f>P574*_xlfn.XLOOKUP($L591,'Balizador da Meta'!$B$4:$B$21,'Balizador da Meta'!$C$4:$C$21)</f>
        <v>528</v>
      </c>
      <c r="Q591" s="28">
        <f>Q574*_xlfn.XLOOKUP($L591,'Balizador da Meta'!$B$4:$B$21,'Balizador da Meta'!$C$4:$C$21)</f>
        <v>528</v>
      </c>
      <c r="R591" s="28">
        <f>R574*_xlfn.XLOOKUP($L591,'Balizador da Meta'!$B$4:$B$21,'Balizador da Meta'!$C$4:$C$21)</f>
        <v>528</v>
      </c>
      <c r="S591" s="28">
        <f>S574*_xlfn.XLOOKUP($L591,'Balizador da Meta'!$B$4:$B$21,'Balizador da Meta'!$C$4:$C$21)</f>
        <v>528</v>
      </c>
      <c r="T591" s="28">
        <f>T574*_xlfn.XLOOKUP($L591,'Balizador da Meta'!$B$4:$B$21,'Balizador da Meta'!$C$4:$C$21)</f>
        <v>528</v>
      </c>
      <c r="U591" s="28">
        <f>U574*_xlfn.XLOOKUP($L591,'Balizador da Meta'!$B$4:$B$21,'Balizador da Meta'!$C$4:$C$21)</f>
        <v>528</v>
      </c>
      <c r="V591" s="28">
        <f>V574*_xlfn.XLOOKUP($L591,'Balizador da Meta'!$B$4:$B$21,'Balizador da Meta'!$C$4:$C$21)</f>
        <v>528</v>
      </c>
      <c r="W591" s="28">
        <f>W574*_xlfn.XLOOKUP($L591,'Balizador da Meta'!$B$4:$B$21,'Balizador da Meta'!$C$4:$C$21)</f>
        <v>528</v>
      </c>
      <c r="X591" s="28">
        <f>X574*_xlfn.XLOOKUP($L591,'Balizador da Meta'!$B$4:$B$21,'Balizador da Meta'!$C$4:$C$21)</f>
        <v>528</v>
      </c>
      <c r="Y591" s="28">
        <f>Y574*_xlfn.XLOOKUP($L591,'Balizador da Meta'!$B$4:$B$21,'Balizador da Meta'!$C$4:$C$21)</f>
        <v>528</v>
      </c>
      <c r="Z591" s="30">
        <f t="shared" si="141"/>
        <v>6336</v>
      </c>
      <c r="AA591" s="29"/>
      <c r="AB591" s="31">
        <f>SUMIFS('Historico - FAT'!AK:AK,'Historico - FAT'!$K:$K,Faturamento!$L591,'Historico - FAT'!$I:$I,Faturamento!$J591,'Historico - FAT'!$G:$G,Faturamento!$H591)</f>
        <v>0</v>
      </c>
      <c r="AC591" s="31">
        <f>SUMIFS('Historico - FAT'!AL:AL,'Historico - FAT'!$K:$K,Faturamento!$L591,'Historico - FAT'!$I:$I,Faturamento!$J591,'Historico - FAT'!$G:$G,Faturamento!$H591)</f>
        <v>9.75</v>
      </c>
      <c r="AD591" s="31">
        <f>SUMIFS('Historico - FAT'!AM:AM,'Historico - FAT'!$K:$K,Faturamento!$L591,'Historico - FAT'!$I:$I,Faturamento!$J591,'Historico - FAT'!$G:$G,Faturamento!$H591)</f>
        <v>19.5</v>
      </c>
      <c r="AE591" s="27">
        <f>SUMIFS('Historico - FAT'!AN:AN,'Historico - FAT'!$K:$K,Faturamento!$L591,'Historico - FAT'!$I:$I,Faturamento!$J591,'Historico - FAT'!$G:$G,Faturamento!$H591)</f>
        <v>11.7</v>
      </c>
      <c r="AG591" s="24">
        <f t="shared" si="136"/>
        <v>1</v>
      </c>
      <c r="AH591" s="24">
        <f t="shared" si="137"/>
        <v>0.98153409090909094</v>
      </c>
      <c r="AI591" s="24">
        <f t="shared" si="138"/>
        <v>0.96306818181818177</v>
      </c>
    </row>
    <row r="592" spans="1:35" hidden="1" x14ac:dyDescent="0.3">
      <c r="A592" s="2" t="str">
        <f t="shared" si="135"/>
        <v>NÃO</v>
      </c>
      <c r="B592" s="2">
        <v>1000184670</v>
      </c>
      <c r="C592" s="2" t="s">
        <v>147</v>
      </c>
      <c r="D592" s="4">
        <v>1000186197</v>
      </c>
      <c r="E592" s="4" t="s">
        <v>166</v>
      </c>
      <c r="F592" s="2">
        <v>1000184756</v>
      </c>
      <c r="G592" s="2" t="s">
        <v>53</v>
      </c>
      <c r="H592" s="4">
        <v>1000189775</v>
      </c>
      <c r="I592" s="4" t="s">
        <v>66</v>
      </c>
      <c r="J592" s="2">
        <v>1000189270</v>
      </c>
      <c r="K592" s="2" t="s">
        <v>34</v>
      </c>
      <c r="L592" s="4" t="s">
        <v>25</v>
      </c>
      <c r="M592" s="4" t="str">
        <f t="shared" si="142"/>
        <v>1000184670100018619710001897751000189270VICCIO</v>
      </c>
      <c r="N592" s="28">
        <f>N574*_xlfn.XLOOKUP($L592,'Balizador da Meta'!$B$4:$B$21,'Balizador da Meta'!$C$4:$C$21)</f>
        <v>198</v>
      </c>
      <c r="O592" s="28">
        <f>O574*_xlfn.XLOOKUP($L592,'Balizador da Meta'!$B$4:$B$21,'Balizador da Meta'!$C$4:$C$21)</f>
        <v>198</v>
      </c>
      <c r="P592" s="28">
        <f>P574*_xlfn.XLOOKUP($L592,'Balizador da Meta'!$B$4:$B$21,'Balizador da Meta'!$C$4:$C$21)</f>
        <v>198</v>
      </c>
      <c r="Q592" s="28">
        <f>Q574*_xlfn.XLOOKUP($L592,'Balizador da Meta'!$B$4:$B$21,'Balizador da Meta'!$C$4:$C$21)</f>
        <v>198</v>
      </c>
      <c r="R592" s="28">
        <f>R574*_xlfn.XLOOKUP($L592,'Balizador da Meta'!$B$4:$B$21,'Balizador da Meta'!$C$4:$C$21)</f>
        <v>198</v>
      </c>
      <c r="S592" s="28">
        <f>S574*_xlfn.XLOOKUP($L592,'Balizador da Meta'!$B$4:$B$21,'Balizador da Meta'!$C$4:$C$21)</f>
        <v>198</v>
      </c>
      <c r="T592" s="28">
        <f>T574*_xlfn.XLOOKUP($L592,'Balizador da Meta'!$B$4:$B$21,'Balizador da Meta'!$C$4:$C$21)</f>
        <v>198</v>
      </c>
      <c r="U592" s="28">
        <f>U574*_xlfn.XLOOKUP($L592,'Balizador da Meta'!$B$4:$B$21,'Balizador da Meta'!$C$4:$C$21)</f>
        <v>198</v>
      </c>
      <c r="V592" s="28">
        <f>V574*_xlfn.XLOOKUP($L592,'Balizador da Meta'!$B$4:$B$21,'Balizador da Meta'!$C$4:$C$21)</f>
        <v>198</v>
      </c>
      <c r="W592" s="28">
        <f>W574*_xlfn.XLOOKUP($L592,'Balizador da Meta'!$B$4:$B$21,'Balizador da Meta'!$C$4:$C$21)</f>
        <v>198</v>
      </c>
      <c r="X592" s="28">
        <f>X574*_xlfn.XLOOKUP($L592,'Balizador da Meta'!$B$4:$B$21,'Balizador da Meta'!$C$4:$C$21)</f>
        <v>198</v>
      </c>
      <c r="Y592" s="28">
        <f>Y574*_xlfn.XLOOKUP($L592,'Balizador da Meta'!$B$4:$B$21,'Balizador da Meta'!$C$4:$C$21)</f>
        <v>198</v>
      </c>
      <c r="Z592" s="30">
        <f t="shared" si="141"/>
        <v>2376</v>
      </c>
      <c r="AA592" s="29"/>
      <c r="AB592" s="31">
        <f>SUMIFS('Historico - FAT'!AK:AK,'Historico - FAT'!$K:$K,Faturamento!$L592,'Historico - FAT'!$I:$I,Faturamento!$J592,'Historico - FAT'!$G:$G,Faturamento!$H592)</f>
        <v>0</v>
      </c>
      <c r="AC592" s="31">
        <f>SUMIFS('Historico - FAT'!AL:AL,'Historico - FAT'!$K:$K,Faturamento!$L592,'Historico - FAT'!$I:$I,Faturamento!$J592,'Historico - FAT'!$G:$G,Faturamento!$H592)</f>
        <v>74.849999999999994</v>
      </c>
      <c r="AD592" s="31">
        <f>SUMIFS('Historico - FAT'!AM:AM,'Historico - FAT'!$K:$K,Faturamento!$L592,'Historico - FAT'!$I:$I,Faturamento!$J592,'Historico - FAT'!$G:$G,Faturamento!$H592)</f>
        <v>43.65</v>
      </c>
      <c r="AE592" s="27">
        <f>SUMIFS('Historico - FAT'!AN:AN,'Historico - FAT'!$K:$K,Faturamento!$L592,'Historico - FAT'!$I:$I,Faturamento!$J592,'Historico - FAT'!$G:$G,Faturamento!$H592)</f>
        <v>89.82</v>
      </c>
      <c r="AG592" s="24">
        <f t="shared" si="136"/>
        <v>1</v>
      </c>
      <c r="AH592" s="24">
        <f t="shared" si="137"/>
        <v>0.62196969696969695</v>
      </c>
      <c r="AI592" s="24">
        <f t="shared" si="138"/>
        <v>0.77954545454545454</v>
      </c>
    </row>
    <row r="593" spans="1:35" x14ac:dyDescent="0.3">
      <c r="A593" s="2" t="str">
        <f t="shared" si="135"/>
        <v>SIM</v>
      </c>
      <c r="B593" s="2">
        <v>1000184670</v>
      </c>
      <c r="C593" s="2" t="s">
        <v>147</v>
      </c>
      <c r="D593" s="4">
        <v>1000186197</v>
      </c>
      <c r="E593" s="4" t="s">
        <v>166</v>
      </c>
      <c r="F593" s="2">
        <v>1000184758</v>
      </c>
      <c r="G593" s="2" t="s">
        <v>55</v>
      </c>
      <c r="H593" s="4">
        <v>1000189776</v>
      </c>
      <c r="I593" s="4" t="s">
        <v>79</v>
      </c>
      <c r="J593" s="2">
        <v>1000189270</v>
      </c>
      <c r="K593" s="2" t="s">
        <v>34</v>
      </c>
      <c r="L593" s="4" t="s">
        <v>124</v>
      </c>
      <c r="M593" s="4" t="str">
        <f t="shared" si="142"/>
        <v>100018467010001861971000189776100018927001. TOTAL</v>
      </c>
      <c r="N593" s="28">
        <f>SUMIFS(Positivação!L:L,Positivação!$I:$I,Faturamento!$J593,Positivação!$G:$G,Faturamento!$H593)*SUMIFS(Positivação!$Z:$Z,Positivação!$I:$I,Faturamento!$J593,Positivação!$G:$G,Faturamento!$H593)</f>
        <v>600</v>
      </c>
      <c r="O593" s="28">
        <f>SUMIFS(Positivação!M:M,Positivação!$I:$I,Faturamento!$J593,Positivação!$G:$G,Faturamento!$H593)*SUMIFS(Positivação!$Z:$Z,Positivação!$I:$I,Faturamento!$J593,Positivação!$G:$G,Faturamento!$H593)</f>
        <v>600</v>
      </c>
      <c r="P593" s="28">
        <f>SUMIFS(Positivação!N:N,Positivação!$I:$I,Faturamento!$J593,Positivação!$G:$G,Faturamento!$H593)*SUMIFS(Positivação!$Z:$Z,Positivação!$I:$I,Faturamento!$J593,Positivação!$G:$G,Faturamento!$H593)</f>
        <v>600</v>
      </c>
      <c r="Q593" s="28">
        <f>SUMIFS(Positivação!O:O,Positivação!$I:$I,Faturamento!$J593,Positivação!$G:$G,Faturamento!$H593)*SUMIFS(Positivação!$Z:$Z,Positivação!$I:$I,Faturamento!$J593,Positivação!$G:$G,Faturamento!$H593)</f>
        <v>600</v>
      </c>
      <c r="R593" s="28">
        <f>SUMIFS(Positivação!P:P,Positivação!$I:$I,Faturamento!$J593,Positivação!$G:$G,Faturamento!$H593)*SUMIFS(Positivação!$Z:$Z,Positivação!$I:$I,Faturamento!$J593,Positivação!$G:$G,Faturamento!$H593)</f>
        <v>600</v>
      </c>
      <c r="S593" s="28">
        <f>SUMIFS(Positivação!Q:Q,Positivação!$I:$I,Faturamento!$J593,Positivação!$G:$G,Faturamento!$H593)*SUMIFS(Positivação!$Z:$Z,Positivação!$I:$I,Faturamento!$J593,Positivação!$G:$G,Faturamento!$H593)</f>
        <v>600</v>
      </c>
      <c r="T593" s="28">
        <f>SUMIFS(Positivação!R:R,Positivação!$I:$I,Faturamento!$J593,Positivação!$G:$G,Faturamento!$H593)*SUMIFS(Positivação!$Z:$Z,Positivação!$I:$I,Faturamento!$J593,Positivação!$G:$G,Faturamento!$H593)</f>
        <v>600</v>
      </c>
      <c r="U593" s="28">
        <f>SUMIFS(Positivação!S:S,Positivação!$I:$I,Faturamento!$J593,Positivação!$G:$G,Faturamento!$H593)*SUMIFS(Positivação!$Z:$Z,Positivação!$I:$I,Faturamento!$J593,Positivação!$G:$G,Faturamento!$H593)</f>
        <v>600</v>
      </c>
      <c r="V593" s="28">
        <f>SUMIFS(Positivação!T:T,Positivação!$I:$I,Faturamento!$J593,Positivação!$G:$G,Faturamento!$H593)*SUMIFS(Positivação!$Z:$Z,Positivação!$I:$I,Faturamento!$J593,Positivação!$G:$G,Faturamento!$H593)</f>
        <v>600</v>
      </c>
      <c r="W593" s="28">
        <f>SUMIFS(Positivação!U:U,Positivação!$I:$I,Faturamento!$J593,Positivação!$G:$G,Faturamento!$H593)*SUMIFS(Positivação!$Z:$Z,Positivação!$I:$I,Faturamento!$J593,Positivação!$G:$G,Faturamento!$H593)</f>
        <v>600</v>
      </c>
      <c r="X593" s="28">
        <f>SUMIFS(Positivação!V:V,Positivação!$I:$I,Faturamento!$J593,Positivação!$G:$G,Faturamento!$H593)*SUMIFS(Positivação!$Z:$Z,Positivação!$I:$I,Faturamento!$J593,Positivação!$G:$G,Faturamento!$H593)</f>
        <v>600</v>
      </c>
      <c r="Y593" s="28">
        <f>SUMIFS(Positivação!W:W,Positivação!$I:$I,Faturamento!$J593,Positivação!$G:$G,Faturamento!$H593)*SUMIFS(Positivação!$Z:$Z,Positivação!$I:$I,Faturamento!$J593,Positivação!$G:$G,Faturamento!$H593)</f>
        <v>600</v>
      </c>
      <c r="Z593" s="28">
        <f t="shared" ref="Z593" si="143">SUM(Z594:Z611)</f>
        <v>7200</v>
      </c>
      <c r="AA593" s="29"/>
      <c r="AB593" s="28">
        <f t="shared" ref="AB593:AE593" si="144">SUM(AB594:AB611)</f>
        <v>2044.8374999999996</v>
      </c>
      <c r="AC593" s="28">
        <f t="shared" si="144"/>
        <v>809.21416666666676</v>
      </c>
      <c r="AD593" s="28">
        <f t="shared" si="144"/>
        <v>1618.4283333333335</v>
      </c>
      <c r="AE593" s="28">
        <f t="shared" si="144"/>
        <v>971.0569999999999</v>
      </c>
      <c r="AG593" s="24">
        <f t="shared" si="136"/>
        <v>-2.4080624999999993</v>
      </c>
      <c r="AH593" s="24">
        <f t="shared" si="137"/>
        <v>-0.34869027777777795</v>
      </c>
      <c r="AI593" s="24">
        <f t="shared" si="138"/>
        <v>-1.6973805555555559</v>
      </c>
    </row>
    <row r="594" spans="1:35" hidden="1" x14ac:dyDescent="0.3">
      <c r="A594" s="2" t="str">
        <f t="shared" si="135"/>
        <v>NÃO</v>
      </c>
      <c r="B594" s="2">
        <v>1000184670</v>
      </c>
      <c r="C594" s="2" t="s">
        <v>147</v>
      </c>
      <c r="D594" s="4">
        <v>1000186197</v>
      </c>
      <c r="E594" s="4" t="s">
        <v>166</v>
      </c>
      <c r="F594" s="2">
        <v>1000184758</v>
      </c>
      <c r="G594" s="2" t="s">
        <v>55</v>
      </c>
      <c r="H594" s="4">
        <v>1000189776</v>
      </c>
      <c r="I594" s="4" t="s">
        <v>79</v>
      </c>
      <c r="J594" s="2">
        <v>1000189270</v>
      </c>
      <c r="K594" s="2" t="s">
        <v>34</v>
      </c>
      <c r="L594" s="4" t="s">
        <v>13</v>
      </c>
      <c r="M594" s="4" t="str">
        <f t="shared" si="142"/>
        <v>1000184670100018619710001897761000189270BISCOITO</v>
      </c>
      <c r="N594" s="28">
        <f>N593*_xlfn.XLOOKUP($L594,'Balizador da Meta'!$B$4:$B$21,'Balizador da Meta'!$C$4:$C$21)</f>
        <v>42.000000000000007</v>
      </c>
      <c r="O594" s="28">
        <f>O593*_xlfn.XLOOKUP($L594,'Balizador da Meta'!$B$4:$B$21,'Balizador da Meta'!$C$4:$C$21)</f>
        <v>42.000000000000007</v>
      </c>
      <c r="P594" s="28">
        <f>P593*_xlfn.XLOOKUP($L594,'Balizador da Meta'!$B$4:$B$21,'Balizador da Meta'!$C$4:$C$21)</f>
        <v>42.000000000000007</v>
      </c>
      <c r="Q594" s="28">
        <f>Q593*_xlfn.XLOOKUP($L594,'Balizador da Meta'!$B$4:$B$21,'Balizador da Meta'!$C$4:$C$21)</f>
        <v>42.000000000000007</v>
      </c>
      <c r="R594" s="28">
        <f>R593*_xlfn.XLOOKUP($L594,'Balizador da Meta'!$B$4:$B$21,'Balizador da Meta'!$C$4:$C$21)</f>
        <v>42.000000000000007</v>
      </c>
      <c r="S594" s="28">
        <f>S593*_xlfn.XLOOKUP($L594,'Balizador da Meta'!$B$4:$B$21,'Balizador da Meta'!$C$4:$C$21)</f>
        <v>42.000000000000007</v>
      </c>
      <c r="T594" s="28">
        <f>T593*_xlfn.XLOOKUP($L594,'Balizador da Meta'!$B$4:$B$21,'Balizador da Meta'!$C$4:$C$21)</f>
        <v>42.000000000000007</v>
      </c>
      <c r="U594" s="28">
        <f>U593*_xlfn.XLOOKUP($L594,'Balizador da Meta'!$B$4:$B$21,'Balizador da Meta'!$C$4:$C$21)</f>
        <v>42.000000000000007</v>
      </c>
      <c r="V594" s="28">
        <f>V593*_xlfn.XLOOKUP($L594,'Balizador da Meta'!$B$4:$B$21,'Balizador da Meta'!$C$4:$C$21)</f>
        <v>42.000000000000007</v>
      </c>
      <c r="W594" s="28">
        <f>W593*_xlfn.XLOOKUP($L594,'Balizador da Meta'!$B$4:$B$21,'Balizador da Meta'!$C$4:$C$21)</f>
        <v>42.000000000000007</v>
      </c>
      <c r="X594" s="28">
        <f>X593*_xlfn.XLOOKUP($L594,'Balizador da Meta'!$B$4:$B$21,'Balizador da Meta'!$C$4:$C$21)</f>
        <v>42.000000000000007</v>
      </c>
      <c r="Y594" s="28">
        <f>Y593*_xlfn.XLOOKUP($L594,'Balizador da Meta'!$B$4:$B$21,'Balizador da Meta'!$C$4:$C$21)</f>
        <v>42.000000000000007</v>
      </c>
      <c r="Z594" s="30">
        <f t="shared" ref="Z594:Z611" si="145">SUM(N594:Y594)</f>
        <v>504.00000000000006</v>
      </c>
      <c r="AA594" s="29"/>
      <c r="AB594" s="31">
        <f>SUMIFS('Historico - FAT'!AK:AK,'Historico - FAT'!$K:$K,Faturamento!$L594,'Historico - FAT'!$I:$I,Faturamento!$J594,'Historico - FAT'!$G:$G,Faturamento!$H594)</f>
        <v>0</v>
      </c>
      <c r="AC594" s="31">
        <f>SUMIFS('Historico - FAT'!AL:AL,'Historico - FAT'!$K:$K,Faturamento!$L594,'Historico - FAT'!$I:$I,Faturamento!$J594,'Historico - FAT'!$G:$G,Faturamento!$H594)</f>
        <v>46.65</v>
      </c>
      <c r="AD594" s="31">
        <f>SUMIFS('Historico - FAT'!AM:AM,'Historico - FAT'!$K:$K,Faturamento!$L594,'Historico - FAT'!$I:$I,Faturamento!$J594,'Historico - FAT'!$G:$G,Faturamento!$H594)</f>
        <v>93.3</v>
      </c>
      <c r="AE594" s="27">
        <f>SUMIFS('Historico - FAT'!AN:AN,'Historico - FAT'!$K:$K,Faturamento!$L594,'Historico - FAT'!$I:$I,Faturamento!$J594,'Historico - FAT'!$G:$G,Faturamento!$H594)</f>
        <v>55.98</v>
      </c>
      <c r="AG594" s="24">
        <f t="shared" si="136"/>
        <v>1</v>
      </c>
      <c r="AH594" s="24">
        <f t="shared" si="137"/>
        <v>-0.11071428571428549</v>
      </c>
      <c r="AI594" s="24">
        <f t="shared" si="138"/>
        <v>-1.2214285714285711</v>
      </c>
    </row>
    <row r="595" spans="1:35" hidden="1" x14ac:dyDescent="0.3">
      <c r="A595" s="2" t="str">
        <f t="shared" si="135"/>
        <v>NÃO</v>
      </c>
      <c r="B595" s="2">
        <v>1000184670</v>
      </c>
      <c r="C595" s="2" t="s">
        <v>147</v>
      </c>
      <c r="D595" s="4">
        <v>1000186197</v>
      </c>
      <c r="E595" s="4" t="s">
        <v>166</v>
      </c>
      <c r="F595" s="2">
        <v>1000184758</v>
      </c>
      <c r="G595" s="2" t="s">
        <v>55</v>
      </c>
      <c r="H595" s="4">
        <v>1000189776</v>
      </c>
      <c r="I595" s="4" t="s">
        <v>79</v>
      </c>
      <c r="J595" s="2">
        <v>1000189270</v>
      </c>
      <c r="K595" s="2" t="s">
        <v>34</v>
      </c>
      <c r="L595" s="4" t="s">
        <v>14</v>
      </c>
      <c r="M595" s="4" t="str">
        <f t="shared" si="142"/>
        <v>1000184670100018619710001897761000189270CHOCOLATES</v>
      </c>
      <c r="N595" s="28">
        <f>N593*_xlfn.XLOOKUP($L595,'Balizador da Meta'!$B$4:$B$21,'Balizador da Meta'!$C$4:$C$21)</f>
        <v>42.000000000000007</v>
      </c>
      <c r="O595" s="28">
        <f>O593*_xlfn.XLOOKUP($L595,'Balizador da Meta'!$B$4:$B$21,'Balizador da Meta'!$C$4:$C$21)</f>
        <v>42.000000000000007</v>
      </c>
      <c r="P595" s="28">
        <f>P593*_xlfn.XLOOKUP($L595,'Balizador da Meta'!$B$4:$B$21,'Balizador da Meta'!$C$4:$C$21)</f>
        <v>42.000000000000007</v>
      </c>
      <c r="Q595" s="28">
        <f>Q593*_xlfn.XLOOKUP($L595,'Balizador da Meta'!$B$4:$B$21,'Balizador da Meta'!$C$4:$C$21)</f>
        <v>42.000000000000007</v>
      </c>
      <c r="R595" s="28">
        <f>R593*_xlfn.XLOOKUP($L595,'Balizador da Meta'!$B$4:$B$21,'Balizador da Meta'!$C$4:$C$21)</f>
        <v>42.000000000000007</v>
      </c>
      <c r="S595" s="28">
        <f>S593*_xlfn.XLOOKUP($L595,'Balizador da Meta'!$B$4:$B$21,'Balizador da Meta'!$C$4:$C$21)</f>
        <v>42.000000000000007</v>
      </c>
      <c r="T595" s="28">
        <f>T593*_xlfn.XLOOKUP($L595,'Balizador da Meta'!$B$4:$B$21,'Balizador da Meta'!$C$4:$C$21)</f>
        <v>42.000000000000007</v>
      </c>
      <c r="U595" s="28">
        <f>U593*_xlfn.XLOOKUP($L595,'Balizador da Meta'!$B$4:$B$21,'Balizador da Meta'!$C$4:$C$21)</f>
        <v>42.000000000000007</v>
      </c>
      <c r="V595" s="28">
        <f>V593*_xlfn.XLOOKUP($L595,'Balizador da Meta'!$B$4:$B$21,'Balizador da Meta'!$C$4:$C$21)</f>
        <v>42.000000000000007</v>
      </c>
      <c r="W595" s="28">
        <f>W593*_xlfn.XLOOKUP($L595,'Balizador da Meta'!$B$4:$B$21,'Balizador da Meta'!$C$4:$C$21)</f>
        <v>42.000000000000007</v>
      </c>
      <c r="X595" s="28">
        <f>X593*_xlfn.XLOOKUP($L595,'Balizador da Meta'!$B$4:$B$21,'Balizador da Meta'!$C$4:$C$21)</f>
        <v>42.000000000000007</v>
      </c>
      <c r="Y595" s="28">
        <f>Y593*_xlfn.XLOOKUP($L595,'Balizador da Meta'!$B$4:$B$21,'Balizador da Meta'!$C$4:$C$21)</f>
        <v>42.000000000000007</v>
      </c>
      <c r="Z595" s="30">
        <f t="shared" si="145"/>
        <v>504.00000000000006</v>
      </c>
      <c r="AA595" s="29"/>
      <c r="AB595" s="31">
        <f>SUMIFS('Historico - FAT'!AK:AK,'Historico - FAT'!$K:$K,Faturamento!$L595,'Historico - FAT'!$I:$I,Faturamento!$J595,'Historico - FAT'!$G:$G,Faturamento!$H595)</f>
        <v>0</v>
      </c>
      <c r="AC595" s="31">
        <f>SUMIFS('Historico - FAT'!AL:AL,'Historico - FAT'!$K:$K,Faturamento!$L595,'Historico - FAT'!$I:$I,Faturamento!$J595,'Historico - FAT'!$G:$G,Faturamento!$H595)</f>
        <v>42.512499999999996</v>
      </c>
      <c r="AD595" s="31">
        <f>SUMIFS('Historico - FAT'!AM:AM,'Historico - FAT'!$K:$K,Faturamento!$L595,'Historico - FAT'!$I:$I,Faturamento!$J595,'Historico - FAT'!$G:$G,Faturamento!$H595)</f>
        <v>85.024999999999991</v>
      </c>
      <c r="AE595" s="27">
        <f>SUMIFS('Historico - FAT'!AN:AN,'Historico - FAT'!$K:$K,Faturamento!$L595,'Historico - FAT'!$I:$I,Faturamento!$J595,'Historico - FAT'!$G:$G,Faturamento!$H595)</f>
        <v>51.015000000000001</v>
      </c>
      <c r="AG595" s="24">
        <f t="shared" si="136"/>
        <v>1</v>
      </c>
      <c r="AH595" s="24">
        <f t="shared" si="137"/>
        <v>-1.220238095238068E-2</v>
      </c>
      <c r="AI595" s="24">
        <f t="shared" si="138"/>
        <v>-1.0244047619047614</v>
      </c>
    </row>
    <row r="596" spans="1:35" hidden="1" x14ac:dyDescent="0.3">
      <c r="A596" s="2" t="str">
        <f t="shared" si="135"/>
        <v>NÃO</v>
      </c>
      <c r="B596" s="2">
        <v>1000184670</v>
      </c>
      <c r="C596" s="2" t="s">
        <v>147</v>
      </c>
      <c r="D596" s="4">
        <v>1000186197</v>
      </c>
      <c r="E596" s="4" t="s">
        <v>166</v>
      </c>
      <c r="F596" s="2">
        <v>1000184758</v>
      </c>
      <c r="G596" s="2" t="s">
        <v>55</v>
      </c>
      <c r="H596" s="4">
        <v>1000189776</v>
      </c>
      <c r="I596" s="4" t="s">
        <v>79</v>
      </c>
      <c r="J596" s="2">
        <v>1000189270</v>
      </c>
      <c r="K596" s="2" t="s">
        <v>34</v>
      </c>
      <c r="L596" s="4" t="s">
        <v>16</v>
      </c>
      <c r="M596" s="4" t="str">
        <f t="shared" si="142"/>
        <v>1000184670100018619710001897761000189270DISNEY</v>
      </c>
      <c r="N596" s="28">
        <f>N593*_xlfn.XLOOKUP($L596,'Balizador da Meta'!$B$4:$B$21,'Balizador da Meta'!$C$4:$C$21)</f>
        <v>48</v>
      </c>
      <c r="O596" s="28">
        <f>O593*_xlfn.XLOOKUP($L596,'Balizador da Meta'!$B$4:$B$21,'Balizador da Meta'!$C$4:$C$21)</f>
        <v>48</v>
      </c>
      <c r="P596" s="28">
        <f>P593*_xlfn.XLOOKUP($L596,'Balizador da Meta'!$B$4:$B$21,'Balizador da Meta'!$C$4:$C$21)</f>
        <v>48</v>
      </c>
      <c r="Q596" s="28">
        <f>Q593*_xlfn.XLOOKUP($L596,'Balizador da Meta'!$B$4:$B$21,'Balizador da Meta'!$C$4:$C$21)</f>
        <v>48</v>
      </c>
      <c r="R596" s="28">
        <f>R593*_xlfn.XLOOKUP($L596,'Balizador da Meta'!$B$4:$B$21,'Balizador da Meta'!$C$4:$C$21)</f>
        <v>48</v>
      </c>
      <c r="S596" s="28">
        <f>S593*_xlfn.XLOOKUP($L596,'Balizador da Meta'!$B$4:$B$21,'Balizador da Meta'!$C$4:$C$21)</f>
        <v>48</v>
      </c>
      <c r="T596" s="28">
        <f>T593*_xlfn.XLOOKUP($L596,'Balizador da Meta'!$B$4:$B$21,'Balizador da Meta'!$C$4:$C$21)</f>
        <v>48</v>
      </c>
      <c r="U596" s="28">
        <f>U593*_xlfn.XLOOKUP($L596,'Balizador da Meta'!$B$4:$B$21,'Balizador da Meta'!$C$4:$C$21)</f>
        <v>48</v>
      </c>
      <c r="V596" s="28">
        <f>V593*_xlfn.XLOOKUP($L596,'Balizador da Meta'!$B$4:$B$21,'Balizador da Meta'!$C$4:$C$21)</f>
        <v>48</v>
      </c>
      <c r="W596" s="28">
        <f>W593*_xlfn.XLOOKUP($L596,'Balizador da Meta'!$B$4:$B$21,'Balizador da Meta'!$C$4:$C$21)</f>
        <v>48</v>
      </c>
      <c r="X596" s="28">
        <f>X593*_xlfn.XLOOKUP($L596,'Balizador da Meta'!$B$4:$B$21,'Balizador da Meta'!$C$4:$C$21)</f>
        <v>48</v>
      </c>
      <c r="Y596" s="28">
        <f>Y593*_xlfn.XLOOKUP($L596,'Balizador da Meta'!$B$4:$B$21,'Balizador da Meta'!$C$4:$C$21)</f>
        <v>48</v>
      </c>
      <c r="Z596" s="30">
        <f t="shared" si="145"/>
        <v>576</v>
      </c>
      <c r="AA596" s="29"/>
      <c r="AB596" s="31">
        <f>SUMIFS('Historico - FAT'!AK:AK,'Historico - FAT'!$K:$K,Faturamento!$L596,'Historico - FAT'!$I:$I,Faturamento!$J596,'Historico - FAT'!$G:$G,Faturamento!$H596)</f>
        <v>0</v>
      </c>
      <c r="AC596" s="31">
        <f>SUMIFS('Historico - FAT'!AL:AL,'Historico - FAT'!$K:$K,Faturamento!$L596,'Historico - FAT'!$I:$I,Faturamento!$J596,'Historico - FAT'!$G:$G,Faturamento!$H596)</f>
        <v>190.1925</v>
      </c>
      <c r="AD596" s="31">
        <f>SUMIFS('Historico - FAT'!AM:AM,'Historico - FAT'!$K:$K,Faturamento!$L596,'Historico - FAT'!$I:$I,Faturamento!$J596,'Historico - FAT'!$G:$G,Faturamento!$H596)</f>
        <v>380.38499999999999</v>
      </c>
      <c r="AE596" s="27">
        <f>SUMIFS('Historico - FAT'!AN:AN,'Historico - FAT'!$K:$K,Faturamento!$L596,'Historico - FAT'!$I:$I,Faturamento!$J596,'Historico - FAT'!$G:$G,Faturamento!$H596)</f>
        <v>228.23099999999999</v>
      </c>
      <c r="AG596" s="24">
        <f t="shared" si="136"/>
        <v>1</v>
      </c>
      <c r="AH596" s="24">
        <f t="shared" si="137"/>
        <v>-2.9623437500000001</v>
      </c>
      <c r="AI596" s="24">
        <f t="shared" si="138"/>
        <v>-6.9246875000000001</v>
      </c>
    </row>
    <row r="597" spans="1:35" hidden="1" x14ac:dyDescent="0.3">
      <c r="A597" s="2" t="str">
        <f t="shared" si="135"/>
        <v>NÃO</v>
      </c>
      <c r="B597" s="2">
        <v>1000184670</v>
      </c>
      <c r="C597" s="2" t="s">
        <v>147</v>
      </c>
      <c r="D597" s="4">
        <v>1000186197</v>
      </c>
      <c r="E597" s="4" t="s">
        <v>166</v>
      </c>
      <c r="F597" s="2">
        <v>1000184758</v>
      </c>
      <c r="G597" s="2" t="s">
        <v>55</v>
      </c>
      <c r="H597" s="4">
        <v>1000189776</v>
      </c>
      <c r="I597" s="4" t="s">
        <v>79</v>
      </c>
      <c r="J597" s="2">
        <v>1000189270</v>
      </c>
      <c r="K597" s="2" t="s">
        <v>34</v>
      </c>
      <c r="L597" s="4" t="s">
        <v>15</v>
      </c>
      <c r="M597" s="4" t="str">
        <f t="shared" si="142"/>
        <v>1000184670100018619710001897761000189270DOCES</v>
      </c>
      <c r="N597" s="28">
        <f>N593*_xlfn.XLOOKUP($L597,'Balizador da Meta'!$B$4:$B$21,'Balizador da Meta'!$C$4:$C$21)</f>
        <v>54</v>
      </c>
      <c r="O597" s="28">
        <f>O593*_xlfn.XLOOKUP($L597,'Balizador da Meta'!$B$4:$B$21,'Balizador da Meta'!$C$4:$C$21)</f>
        <v>54</v>
      </c>
      <c r="P597" s="28">
        <f>P593*_xlfn.XLOOKUP($L597,'Balizador da Meta'!$B$4:$B$21,'Balizador da Meta'!$C$4:$C$21)</f>
        <v>54</v>
      </c>
      <c r="Q597" s="28">
        <f>Q593*_xlfn.XLOOKUP($L597,'Balizador da Meta'!$B$4:$B$21,'Balizador da Meta'!$C$4:$C$21)</f>
        <v>54</v>
      </c>
      <c r="R597" s="28">
        <f>R593*_xlfn.XLOOKUP($L597,'Balizador da Meta'!$B$4:$B$21,'Balizador da Meta'!$C$4:$C$21)</f>
        <v>54</v>
      </c>
      <c r="S597" s="28">
        <f>S593*_xlfn.XLOOKUP($L597,'Balizador da Meta'!$B$4:$B$21,'Balizador da Meta'!$C$4:$C$21)</f>
        <v>54</v>
      </c>
      <c r="T597" s="28">
        <f>T593*_xlfn.XLOOKUP($L597,'Balizador da Meta'!$B$4:$B$21,'Balizador da Meta'!$C$4:$C$21)</f>
        <v>54</v>
      </c>
      <c r="U597" s="28">
        <f>U593*_xlfn.XLOOKUP($L597,'Balizador da Meta'!$B$4:$B$21,'Balizador da Meta'!$C$4:$C$21)</f>
        <v>54</v>
      </c>
      <c r="V597" s="28">
        <f>V593*_xlfn.XLOOKUP($L597,'Balizador da Meta'!$B$4:$B$21,'Balizador da Meta'!$C$4:$C$21)</f>
        <v>54</v>
      </c>
      <c r="W597" s="28">
        <f>W593*_xlfn.XLOOKUP($L597,'Balizador da Meta'!$B$4:$B$21,'Balizador da Meta'!$C$4:$C$21)</f>
        <v>54</v>
      </c>
      <c r="X597" s="28">
        <f>X593*_xlfn.XLOOKUP($L597,'Balizador da Meta'!$B$4:$B$21,'Balizador da Meta'!$C$4:$C$21)</f>
        <v>54</v>
      </c>
      <c r="Y597" s="28">
        <f>Y593*_xlfn.XLOOKUP($L597,'Balizador da Meta'!$B$4:$B$21,'Balizador da Meta'!$C$4:$C$21)</f>
        <v>54</v>
      </c>
      <c r="Z597" s="30">
        <f t="shared" si="145"/>
        <v>648</v>
      </c>
      <c r="AA597" s="29"/>
      <c r="AB597" s="31">
        <f>SUMIFS('Historico - FAT'!AK:AK,'Historico - FAT'!$K:$K,Faturamento!$L597,'Historico - FAT'!$I:$I,Faturamento!$J597,'Historico - FAT'!$G:$G,Faturamento!$H597)</f>
        <v>0</v>
      </c>
      <c r="AC597" s="31">
        <f>SUMIFS('Historico - FAT'!AL:AL,'Historico - FAT'!$K:$K,Faturamento!$L597,'Historico - FAT'!$I:$I,Faturamento!$J597,'Historico - FAT'!$G:$G,Faturamento!$H597)</f>
        <v>35.160000000000004</v>
      </c>
      <c r="AD597" s="31">
        <f>SUMIFS('Historico - FAT'!AM:AM,'Historico - FAT'!$K:$K,Faturamento!$L597,'Historico - FAT'!$I:$I,Faturamento!$J597,'Historico - FAT'!$G:$G,Faturamento!$H597)</f>
        <v>70.320000000000007</v>
      </c>
      <c r="AE597" s="27">
        <f>SUMIFS('Historico - FAT'!AN:AN,'Historico - FAT'!$K:$K,Faturamento!$L597,'Historico - FAT'!$I:$I,Faturamento!$J597,'Historico - FAT'!$G:$G,Faturamento!$H597)</f>
        <v>42.192</v>
      </c>
      <c r="AG597" s="24">
        <f t="shared" si="136"/>
        <v>1</v>
      </c>
      <c r="AH597" s="24">
        <f t="shared" si="137"/>
        <v>0.3488888888888888</v>
      </c>
      <c r="AI597" s="24">
        <f t="shared" si="138"/>
        <v>-0.30222222222222234</v>
      </c>
    </row>
    <row r="598" spans="1:35" hidden="1" x14ac:dyDescent="0.3">
      <c r="A598" s="2" t="str">
        <f t="shared" si="135"/>
        <v>NÃO</v>
      </c>
      <c r="B598" s="2">
        <v>1000184670</v>
      </c>
      <c r="C598" s="2" t="s">
        <v>147</v>
      </c>
      <c r="D598" s="4">
        <v>1000186197</v>
      </c>
      <c r="E598" s="4" t="s">
        <v>166</v>
      </c>
      <c r="F598" s="2">
        <v>1000184758</v>
      </c>
      <c r="G598" s="2" t="s">
        <v>55</v>
      </c>
      <c r="H598" s="4">
        <v>1000189776</v>
      </c>
      <c r="I598" s="4" t="s">
        <v>79</v>
      </c>
      <c r="J598" s="2">
        <v>1000189270</v>
      </c>
      <c r="K598" s="2" t="s">
        <v>34</v>
      </c>
      <c r="L598" s="4" t="s">
        <v>33</v>
      </c>
      <c r="M598" s="4" t="str">
        <f t="shared" si="142"/>
        <v>1000184670100018619710001897761000189270FOOD SERVICE</v>
      </c>
      <c r="N598" s="28">
        <f>N593*_xlfn.XLOOKUP($L598,'Balizador da Meta'!$B$4:$B$21,'Balizador da Meta'!$C$4:$C$21)</f>
        <v>0</v>
      </c>
      <c r="O598" s="28">
        <f>O593*_xlfn.XLOOKUP($L598,'Balizador da Meta'!$B$4:$B$21,'Balizador da Meta'!$C$4:$C$21)</f>
        <v>0</v>
      </c>
      <c r="P598" s="28">
        <f>P593*_xlfn.XLOOKUP($L598,'Balizador da Meta'!$B$4:$B$21,'Balizador da Meta'!$C$4:$C$21)</f>
        <v>0</v>
      </c>
      <c r="Q598" s="28">
        <f>Q593*_xlfn.XLOOKUP($L598,'Balizador da Meta'!$B$4:$B$21,'Balizador da Meta'!$C$4:$C$21)</f>
        <v>0</v>
      </c>
      <c r="R598" s="28">
        <f>R593*_xlfn.XLOOKUP($L598,'Balizador da Meta'!$B$4:$B$21,'Balizador da Meta'!$C$4:$C$21)</f>
        <v>0</v>
      </c>
      <c r="S598" s="28">
        <f>S593*_xlfn.XLOOKUP($L598,'Balizador da Meta'!$B$4:$B$21,'Balizador da Meta'!$C$4:$C$21)</f>
        <v>0</v>
      </c>
      <c r="T598" s="28">
        <f>T593*_xlfn.XLOOKUP($L598,'Balizador da Meta'!$B$4:$B$21,'Balizador da Meta'!$C$4:$C$21)</f>
        <v>0</v>
      </c>
      <c r="U598" s="28">
        <f>U593*_xlfn.XLOOKUP($L598,'Balizador da Meta'!$B$4:$B$21,'Balizador da Meta'!$C$4:$C$21)</f>
        <v>0</v>
      </c>
      <c r="V598" s="28">
        <f>V593*_xlfn.XLOOKUP($L598,'Balizador da Meta'!$B$4:$B$21,'Balizador da Meta'!$C$4:$C$21)</f>
        <v>0</v>
      </c>
      <c r="W598" s="28">
        <f>W593*_xlfn.XLOOKUP($L598,'Balizador da Meta'!$B$4:$B$21,'Balizador da Meta'!$C$4:$C$21)</f>
        <v>0</v>
      </c>
      <c r="X598" s="28">
        <f>X593*_xlfn.XLOOKUP($L598,'Balizador da Meta'!$B$4:$B$21,'Balizador da Meta'!$C$4:$C$21)</f>
        <v>0</v>
      </c>
      <c r="Y598" s="28">
        <f>Y593*_xlfn.XLOOKUP($L598,'Balizador da Meta'!$B$4:$B$21,'Balizador da Meta'!$C$4:$C$21)</f>
        <v>0</v>
      </c>
      <c r="Z598" s="30">
        <f t="shared" si="145"/>
        <v>0</v>
      </c>
      <c r="AA598" s="29"/>
      <c r="AB598" s="31">
        <f>SUMIFS('Historico - FAT'!AK:AK,'Historico - FAT'!$K:$K,Faturamento!$L598,'Historico - FAT'!$I:$I,Faturamento!$J598,'Historico - FAT'!$G:$G,Faturamento!$H598)</f>
        <v>0</v>
      </c>
      <c r="AC598" s="31">
        <f>SUMIFS('Historico - FAT'!AL:AL,'Historico - FAT'!$K:$K,Faturamento!$L598,'Historico - FAT'!$I:$I,Faturamento!$J598,'Historico - FAT'!$G:$G,Faturamento!$H598)</f>
        <v>0</v>
      </c>
      <c r="AD598" s="31">
        <f>SUMIFS('Historico - FAT'!AM:AM,'Historico - FAT'!$K:$K,Faturamento!$L598,'Historico - FAT'!$I:$I,Faturamento!$J598,'Historico - FAT'!$G:$G,Faturamento!$H598)</f>
        <v>0</v>
      </c>
      <c r="AE598" s="27">
        <f>SUMIFS('Historico - FAT'!AN:AN,'Historico - FAT'!$K:$K,Faturamento!$L598,'Historico - FAT'!$I:$I,Faturamento!$J598,'Historico - FAT'!$G:$G,Faturamento!$H598)</f>
        <v>0</v>
      </c>
      <c r="AG598" s="24" t="str">
        <f t="shared" si="136"/>
        <v/>
      </c>
      <c r="AH598" s="24" t="str">
        <f t="shared" si="137"/>
        <v/>
      </c>
      <c r="AI598" s="24" t="str">
        <f t="shared" si="138"/>
        <v/>
      </c>
    </row>
    <row r="599" spans="1:35" hidden="1" x14ac:dyDescent="0.3">
      <c r="A599" s="2" t="str">
        <f t="shared" si="135"/>
        <v>NÃO</v>
      </c>
      <c r="B599" s="2">
        <v>1000184670</v>
      </c>
      <c r="C599" s="2" t="s">
        <v>147</v>
      </c>
      <c r="D599" s="4">
        <v>1000186197</v>
      </c>
      <c r="E599" s="4" t="s">
        <v>166</v>
      </c>
      <c r="F599" s="2">
        <v>1000184758</v>
      </c>
      <c r="G599" s="2" t="s">
        <v>55</v>
      </c>
      <c r="H599" s="4">
        <v>1000189776</v>
      </c>
      <c r="I599" s="4" t="s">
        <v>79</v>
      </c>
      <c r="J599" s="2">
        <v>1000189270</v>
      </c>
      <c r="K599" s="2" t="s">
        <v>34</v>
      </c>
      <c r="L599" s="4" t="s">
        <v>19</v>
      </c>
      <c r="M599" s="4" t="str">
        <f t="shared" si="142"/>
        <v>1000184670100018619710001897761000189270GELEIA</v>
      </c>
      <c r="N599" s="28">
        <f>N593*_xlfn.XLOOKUP($L599,'Balizador da Meta'!$B$4:$B$21,'Balizador da Meta'!$C$4:$C$21)</f>
        <v>11.999999999999998</v>
      </c>
      <c r="O599" s="28">
        <f>O593*_xlfn.XLOOKUP($L599,'Balizador da Meta'!$B$4:$B$21,'Balizador da Meta'!$C$4:$C$21)</f>
        <v>11.999999999999998</v>
      </c>
      <c r="P599" s="28">
        <f>P593*_xlfn.XLOOKUP($L599,'Balizador da Meta'!$B$4:$B$21,'Balizador da Meta'!$C$4:$C$21)</f>
        <v>11.999999999999998</v>
      </c>
      <c r="Q599" s="28">
        <f>Q593*_xlfn.XLOOKUP($L599,'Balizador da Meta'!$B$4:$B$21,'Balizador da Meta'!$C$4:$C$21)</f>
        <v>11.999999999999998</v>
      </c>
      <c r="R599" s="28">
        <f>R593*_xlfn.XLOOKUP($L599,'Balizador da Meta'!$B$4:$B$21,'Balizador da Meta'!$C$4:$C$21)</f>
        <v>11.999999999999998</v>
      </c>
      <c r="S599" s="28">
        <f>S593*_xlfn.XLOOKUP($L599,'Balizador da Meta'!$B$4:$B$21,'Balizador da Meta'!$C$4:$C$21)</f>
        <v>11.999999999999998</v>
      </c>
      <c r="T599" s="28">
        <f>T593*_xlfn.XLOOKUP($L599,'Balizador da Meta'!$B$4:$B$21,'Balizador da Meta'!$C$4:$C$21)</f>
        <v>11.999999999999998</v>
      </c>
      <c r="U599" s="28">
        <f>U593*_xlfn.XLOOKUP($L599,'Balizador da Meta'!$B$4:$B$21,'Balizador da Meta'!$C$4:$C$21)</f>
        <v>11.999999999999998</v>
      </c>
      <c r="V599" s="28">
        <f>V593*_xlfn.XLOOKUP($L599,'Balizador da Meta'!$B$4:$B$21,'Balizador da Meta'!$C$4:$C$21)</f>
        <v>11.999999999999998</v>
      </c>
      <c r="W599" s="28">
        <f>W593*_xlfn.XLOOKUP($L599,'Balizador da Meta'!$B$4:$B$21,'Balizador da Meta'!$C$4:$C$21)</f>
        <v>11.999999999999998</v>
      </c>
      <c r="X599" s="28">
        <f>X593*_xlfn.XLOOKUP($L599,'Balizador da Meta'!$B$4:$B$21,'Balizador da Meta'!$C$4:$C$21)</f>
        <v>11.999999999999998</v>
      </c>
      <c r="Y599" s="28">
        <f>Y593*_xlfn.XLOOKUP($L599,'Balizador da Meta'!$B$4:$B$21,'Balizador da Meta'!$C$4:$C$21)</f>
        <v>11.999999999999998</v>
      </c>
      <c r="Z599" s="30">
        <f t="shared" si="145"/>
        <v>143.99999999999997</v>
      </c>
      <c r="AA599" s="29"/>
      <c r="AB599" s="31">
        <f>SUMIFS('Historico - FAT'!AK:AK,'Historico - FAT'!$K:$K,Faturamento!$L599,'Historico - FAT'!$I:$I,Faturamento!$J599,'Historico - FAT'!$G:$G,Faturamento!$H599)</f>
        <v>0</v>
      </c>
      <c r="AC599" s="31">
        <f>SUMIFS('Historico - FAT'!AL:AL,'Historico - FAT'!$K:$K,Faturamento!$L599,'Historico - FAT'!$I:$I,Faturamento!$J599,'Historico - FAT'!$G:$G,Faturamento!$H599)</f>
        <v>18.150000000000002</v>
      </c>
      <c r="AD599" s="31">
        <f>SUMIFS('Historico - FAT'!AM:AM,'Historico - FAT'!$K:$K,Faturamento!$L599,'Historico - FAT'!$I:$I,Faturamento!$J599,'Historico - FAT'!$G:$G,Faturamento!$H599)</f>
        <v>36.300000000000004</v>
      </c>
      <c r="AE599" s="27">
        <f>SUMIFS('Historico - FAT'!AN:AN,'Historico - FAT'!$K:$K,Faturamento!$L599,'Historico - FAT'!$I:$I,Faturamento!$J599,'Historico - FAT'!$G:$G,Faturamento!$H599)</f>
        <v>21.78</v>
      </c>
      <c r="AG599" s="24">
        <f t="shared" si="136"/>
        <v>1</v>
      </c>
      <c r="AH599" s="24">
        <f t="shared" si="137"/>
        <v>-0.5125000000000004</v>
      </c>
      <c r="AI599" s="24">
        <f t="shared" si="138"/>
        <v>-2.0250000000000008</v>
      </c>
    </row>
    <row r="600" spans="1:35" hidden="1" x14ac:dyDescent="0.3">
      <c r="A600" s="2" t="str">
        <f t="shared" si="135"/>
        <v>NÃO</v>
      </c>
      <c r="B600" s="2">
        <v>1000184670</v>
      </c>
      <c r="C600" s="2" t="s">
        <v>147</v>
      </c>
      <c r="D600" s="4">
        <v>1000186197</v>
      </c>
      <c r="E600" s="4" t="s">
        <v>166</v>
      </c>
      <c r="F600" s="2">
        <v>1000184758</v>
      </c>
      <c r="G600" s="2" t="s">
        <v>55</v>
      </c>
      <c r="H600" s="4">
        <v>1000189776</v>
      </c>
      <c r="I600" s="4" t="s">
        <v>79</v>
      </c>
      <c r="J600" s="2">
        <v>1000189270</v>
      </c>
      <c r="K600" s="2" t="s">
        <v>34</v>
      </c>
      <c r="L600" s="4" t="s">
        <v>17</v>
      </c>
      <c r="M600" s="4" t="str">
        <f t="shared" si="142"/>
        <v>1000184670100018619710001897761000189270GRANOLA</v>
      </c>
      <c r="N600" s="28">
        <f>N593*_xlfn.XLOOKUP($L600,'Balizador da Meta'!$B$4:$B$21,'Balizador da Meta'!$C$4:$C$21)</f>
        <v>12</v>
      </c>
      <c r="O600" s="28">
        <f>O593*_xlfn.XLOOKUP($L600,'Balizador da Meta'!$B$4:$B$21,'Balizador da Meta'!$C$4:$C$21)</f>
        <v>12</v>
      </c>
      <c r="P600" s="28">
        <f>P593*_xlfn.XLOOKUP($L600,'Balizador da Meta'!$B$4:$B$21,'Balizador da Meta'!$C$4:$C$21)</f>
        <v>12</v>
      </c>
      <c r="Q600" s="28">
        <f>Q593*_xlfn.XLOOKUP($L600,'Balizador da Meta'!$B$4:$B$21,'Balizador da Meta'!$C$4:$C$21)</f>
        <v>12</v>
      </c>
      <c r="R600" s="28">
        <f>R593*_xlfn.XLOOKUP($L600,'Balizador da Meta'!$B$4:$B$21,'Balizador da Meta'!$C$4:$C$21)</f>
        <v>12</v>
      </c>
      <c r="S600" s="28">
        <f>S593*_xlfn.XLOOKUP($L600,'Balizador da Meta'!$B$4:$B$21,'Balizador da Meta'!$C$4:$C$21)</f>
        <v>12</v>
      </c>
      <c r="T600" s="28">
        <f>T593*_xlfn.XLOOKUP($L600,'Balizador da Meta'!$B$4:$B$21,'Balizador da Meta'!$C$4:$C$21)</f>
        <v>12</v>
      </c>
      <c r="U600" s="28">
        <f>U593*_xlfn.XLOOKUP($L600,'Balizador da Meta'!$B$4:$B$21,'Balizador da Meta'!$C$4:$C$21)</f>
        <v>12</v>
      </c>
      <c r="V600" s="28">
        <f>V593*_xlfn.XLOOKUP($L600,'Balizador da Meta'!$B$4:$B$21,'Balizador da Meta'!$C$4:$C$21)</f>
        <v>12</v>
      </c>
      <c r="W600" s="28">
        <f>W593*_xlfn.XLOOKUP($L600,'Balizador da Meta'!$B$4:$B$21,'Balizador da Meta'!$C$4:$C$21)</f>
        <v>12</v>
      </c>
      <c r="X600" s="28">
        <f>X593*_xlfn.XLOOKUP($L600,'Balizador da Meta'!$B$4:$B$21,'Balizador da Meta'!$C$4:$C$21)</f>
        <v>12</v>
      </c>
      <c r="Y600" s="28">
        <f>Y593*_xlfn.XLOOKUP($L600,'Balizador da Meta'!$B$4:$B$21,'Balizador da Meta'!$C$4:$C$21)</f>
        <v>12</v>
      </c>
      <c r="Z600" s="30">
        <f t="shared" si="145"/>
        <v>144</v>
      </c>
      <c r="AA600" s="29"/>
      <c r="AB600" s="31">
        <f>SUMIFS('Historico - FAT'!AK:AK,'Historico - FAT'!$K:$K,Faturamento!$L600,'Historico - FAT'!$I:$I,Faturamento!$J600,'Historico - FAT'!$G:$G,Faturamento!$H600)</f>
        <v>0</v>
      </c>
      <c r="AC600" s="31">
        <f>SUMIFS('Historico - FAT'!AL:AL,'Historico - FAT'!$K:$K,Faturamento!$L600,'Historico - FAT'!$I:$I,Faturamento!$J600,'Historico - FAT'!$G:$G,Faturamento!$H600)</f>
        <v>170.54999999999998</v>
      </c>
      <c r="AD600" s="31">
        <f>SUMIFS('Historico - FAT'!AM:AM,'Historico - FAT'!$K:$K,Faturamento!$L600,'Historico - FAT'!$I:$I,Faturamento!$J600,'Historico - FAT'!$G:$G,Faturamento!$H600)</f>
        <v>341.09999999999997</v>
      </c>
      <c r="AE600" s="27">
        <f>SUMIFS('Historico - FAT'!AN:AN,'Historico - FAT'!$K:$K,Faturamento!$L600,'Historico - FAT'!$I:$I,Faturamento!$J600,'Historico - FAT'!$G:$G,Faturamento!$H600)</f>
        <v>204.66</v>
      </c>
      <c r="AG600" s="24">
        <f t="shared" si="136"/>
        <v>1</v>
      </c>
      <c r="AH600" s="24">
        <f t="shared" si="137"/>
        <v>-13.212499999999999</v>
      </c>
      <c r="AI600" s="24">
        <f t="shared" si="138"/>
        <v>-27.424999999999997</v>
      </c>
    </row>
    <row r="601" spans="1:35" hidden="1" x14ac:dyDescent="0.3">
      <c r="A601" s="2" t="str">
        <f t="shared" si="135"/>
        <v>NÃO</v>
      </c>
      <c r="B601" s="2">
        <v>1000184670</v>
      </c>
      <c r="C601" s="2" t="s">
        <v>147</v>
      </c>
      <c r="D601" s="4">
        <v>1000186197</v>
      </c>
      <c r="E601" s="4" t="s">
        <v>166</v>
      </c>
      <c r="F601" s="2">
        <v>1000184758</v>
      </c>
      <c r="G601" s="2" t="s">
        <v>55</v>
      </c>
      <c r="H601" s="4">
        <v>1000189776</v>
      </c>
      <c r="I601" s="4" t="s">
        <v>79</v>
      </c>
      <c r="J601" s="2">
        <v>1000189270</v>
      </c>
      <c r="K601" s="2" t="s">
        <v>34</v>
      </c>
      <c r="L601" s="4" t="s">
        <v>24</v>
      </c>
      <c r="M601" s="4" t="str">
        <f t="shared" si="142"/>
        <v>1000184670100018619710001897761000189270KIDS</v>
      </c>
      <c r="N601" s="28">
        <f>N593*_xlfn.XLOOKUP($L601,'Balizador da Meta'!$B$4:$B$21,'Balizador da Meta'!$C$4:$C$21)</f>
        <v>0</v>
      </c>
      <c r="O601" s="28">
        <f>O593*_xlfn.XLOOKUP($L601,'Balizador da Meta'!$B$4:$B$21,'Balizador da Meta'!$C$4:$C$21)</f>
        <v>0</v>
      </c>
      <c r="P601" s="28">
        <f>P593*_xlfn.XLOOKUP($L601,'Balizador da Meta'!$B$4:$B$21,'Balizador da Meta'!$C$4:$C$21)</f>
        <v>0</v>
      </c>
      <c r="Q601" s="28">
        <f>Q593*_xlfn.XLOOKUP($L601,'Balizador da Meta'!$B$4:$B$21,'Balizador da Meta'!$C$4:$C$21)</f>
        <v>0</v>
      </c>
      <c r="R601" s="28">
        <f>R593*_xlfn.XLOOKUP($L601,'Balizador da Meta'!$B$4:$B$21,'Balizador da Meta'!$C$4:$C$21)</f>
        <v>0</v>
      </c>
      <c r="S601" s="28">
        <f>S593*_xlfn.XLOOKUP($L601,'Balizador da Meta'!$B$4:$B$21,'Balizador da Meta'!$C$4:$C$21)</f>
        <v>0</v>
      </c>
      <c r="T601" s="28">
        <f>T593*_xlfn.XLOOKUP($L601,'Balizador da Meta'!$B$4:$B$21,'Balizador da Meta'!$C$4:$C$21)</f>
        <v>0</v>
      </c>
      <c r="U601" s="28">
        <f>U593*_xlfn.XLOOKUP($L601,'Balizador da Meta'!$B$4:$B$21,'Balizador da Meta'!$C$4:$C$21)</f>
        <v>0</v>
      </c>
      <c r="V601" s="28">
        <f>V593*_xlfn.XLOOKUP($L601,'Balizador da Meta'!$B$4:$B$21,'Balizador da Meta'!$C$4:$C$21)</f>
        <v>0</v>
      </c>
      <c r="W601" s="28">
        <f>W593*_xlfn.XLOOKUP($L601,'Balizador da Meta'!$B$4:$B$21,'Balizador da Meta'!$C$4:$C$21)</f>
        <v>0</v>
      </c>
      <c r="X601" s="28">
        <f>X593*_xlfn.XLOOKUP($L601,'Balizador da Meta'!$B$4:$B$21,'Balizador da Meta'!$C$4:$C$21)</f>
        <v>0</v>
      </c>
      <c r="Y601" s="28">
        <f>Y593*_xlfn.XLOOKUP($L601,'Balizador da Meta'!$B$4:$B$21,'Balizador da Meta'!$C$4:$C$21)</f>
        <v>0</v>
      </c>
      <c r="Z601" s="30">
        <f t="shared" si="145"/>
        <v>0</v>
      </c>
      <c r="AA601" s="29"/>
      <c r="AB601" s="31">
        <f>SUMIFS('Historico - FAT'!AK:AK,'Historico - FAT'!$K:$K,Faturamento!$L601,'Historico - FAT'!$I:$I,Faturamento!$J601,'Historico - FAT'!$G:$G,Faturamento!$H601)</f>
        <v>0</v>
      </c>
      <c r="AC601" s="31">
        <f>SUMIFS('Historico - FAT'!AL:AL,'Historico - FAT'!$K:$K,Faturamento!$L601,'Historico - FAT'!$I:$I,Faturamento!$J601,'Historico - FAT'!$G:$G,Faturamento!$H601)</f>
        <v>133.5</v>
      </c>
      <c r="AD601" s="31">
        <f>SUMIFS('Historico - FAT'!AM:AM,'Historico - FAT'!$K:$K,Faturamento!$L601,'Historico - FAT'!$I:$I,Faturamento!$J601,'Historico - FAT'!$G:$G,Faturamento!$H601)</f>
        <v>267</v>
      </c>
      <c r="AE601" s="27">
        <f>SUMIFS('Historico - FAT'!AN:AN,'Historico - FAT'!$K:$K,Faturamento!$L601,'Historico - FAT'!$I:$I,Faturamento!$J601,'Historico - FAT'!$G:$G,Faturamento!$H601)</f>
        <v>160.19999999999999</v>
      </c>
      <c r="AG601" s="24" t="str">
        <f t="shared" si="136"/>
        <v/>
      </c>
      <c r="AH601" s="24" t="str">
        <f t="shared" si="137"/>
        <v/>
      </c>
      <c r="AI601" s="24" t="str">
        <f t="shared" si="138"/>
        <v/>
      </c>
    </row>
    <row r="602" spans="1:35" hidden="1" x14ac:dyDescent="0.3">
      <c r="A602" s="2" t="str">
        <f t="shared" si="135"/>
        <v>NÃO</v>
      </c>
      <c r="B602" s="2">
        <v>1000184670</v>
      </c>
      <c r="C602" s="2" t="s">
        <v>147</v>
      </c>
      <c r="D602" s="4">
        <v>1000186197</v>
      </c>
      <c r="E602" s="4" t="s">
        <v>166</v>
      </c>
      <c r="F602" s="2">
        <v>1000184758</v>
      </c>
      <c r="G602" s="2" t="s">
        <v>55</v>
      </c>
      <c r="H602" s="4">
        <v>1000189776</v>
      </c>
      <c r="I602" s="4" t="s">
        <v>79</v>
      </c>
      <c r="J602" s="2">
        <v>1000189270</v>
      </c>
      <c r="K602" s="2" t="s">
        <v>34</v>
      </c>
      <c r="L602" s="4" t="s">
        <v>18</v>
      </c>
      <c r="M602" s="4" t="str">
        <f t="shared" si="142"/>
        <v>1000184670100018619710001897761000189270LANCHES</v>
      </c>
      <c r="N602" s="28">
        <f>N593*_xlfn.XLOOKUP($L602,'Balizador da Meta'!$B$4:$B$21,'Balizador da Meta'!$C$4:$C$21)</f>
        <v>6</v>
      </c>
      <c r="O602" s="28">
        <f>O593*_xlfn.XLOOKUP($L602,'Balizador da Meta'!$B$4:$B$21,'Balizador da Meta'!$C$4:$C$21)</f>
        <v>6</v>
      </c>
      <c r="P602" s="28">
        <f>P593*_xlfn.XLOOKUP($L602,'Balizador da Meta'!$B$4:$B$21,'Balizador da Meta'!$C$4:$C$21)</f>
        <v>6</v>
      </c>
      <c r="Q602" s="28">
        <f>Q593*_xlfn.XLOOKUP($L602,'Balizador da Meta'!$B$4:$B$21,'Balizador da Meta'!$C$4:$C$21)</f>
        <v>6</v>
      </c>
      <c r="R602" s="28">
        <f>R593*_xlfn.XLOOKUP($L602,'Balizador da Meta'!$B$4:$B$21,'Balizador da Meta'!$C$4:$C$21)</f>
        <v>6</v>
      </c>
      <c r="S602" s="28">
        <f>S593*_xlfn.XLOOKUP($L602,'Balizador da Meta'!$B$4:$B$21,'Balizador da Meta'!$C$4:$C$21)</f>
        <v>6</v>
      </c>
      <c r="T602" s="28">
        <f>T593*_xlfn.XLOOKUP($L602,'Balizador da Meta'!$B$4:$B$21,'Balizador da Meta'!$C$4:$C$21)</f>
        <v>6</v>
      </c>
      <c r="U602" s="28">
        <f>U593*_xlfn.XLOOKUP($L602,'Balizador da Meta'!$B$4:$B$21,'Balizador da Meta'!$C$4:$C$21)</f>
        <v>6</v>
      </c>
      <c r="V602" s="28">
        <f>V593*_xlfn.XLOOKUP($L602,'Balizador da Meta'!$B$4:$B$21,'Balizador da Meta'!$C$4:$C$21)</f>
        <v>6</v>
      </c>
      <c r="W602" s="28">
        <f>W593*_xlfn.XLOOKUP($L602,'Balizador da Meta'!$B$4:$B$21,'Balizador da Meta'!$C$4:$C$21)</f>
        <v>6</v>
      </c>
      <c r="X602" s="28">
        <f>X593*_xlfn.XLOOKUP($L602,'Balizador da Meta'!$B$4:$B$21,'Balizador da Meta'!$C$4:$C$21)</f>
        <v>6</v>
      </c>
      <c r="Y602" s="28">
        <f>Y593*_xlfn.XLOOKUP($L602,'Balizador da Meta'!$B$4:$B$21,'Balizador da Meta'!$C$4:$C$21)</f>
        <v>6</v>
      </c>
      <c r="Z602" s="30">
        <f t="shared" si="145"/>
        <v>72</v>
      </c>
      <c r="AA602" s="29"/>
      <c r="AB602" s="31">
        <f>SUMIFS('Historico - FAT'!AK:AK,'Historico - FAT'!$K:$K,Faturamento!$L602,'Historico - FAT'!$I:$I,Faturamento!$J602,'Historico - FAT'!$G:$G,Faturamento!$H602)</f>
        <v>0</v>
      </c>
      <c r="AC602" s="31">
        <f>SUMIFS('Historico - FAT'!AL:AL,'Historico - FAT'!$K:$K,Faturamento!$L602,'Historico - FAT'!$I:$I,Faturamento!$J602,'Historico - FAT'!$G:$G,Faturamento!$H602)</f>
        <v>46.20333333333334</v>
      </c>
      <c r="AD602" s="31">
        <f>SUMIFS('Historico - FAT'!AM:AM,'Historico - FAT'!$K:$K,Faturamento!$L602,'Historico - FAT'!$I:$I,Faturamento!$J602,'Historico - FAT'!$G:$G,Faturamento!$H602)</f>
        <v>92.40666666666668</v>
      </c>
      <c r="AE602" s="27">
        <f>SUMIFS('Historico - FAT'!AN:AN,'Historico - FAT'!$K:$K,Faturamento!$L602,'Historico - FAT'!$I:$I,Faturamento!$J602,'Historico - FAT'!$G:$G,Faturamento!$H602)</f>
        <v>55.444000000000003</v>
      </c>
      <c r="AG602" s="24">
        <f t="shared" si="136"/>
        <v>1</v>
      </c>
      <c r="AH602" s="24">
        <f t="shared" si="137"/>
        <v>-6.7005555555555567</v>
      </c>
      <c r="AI602" s="24">
        <f t="shared" si="138"/>
        <v>-14.401111111111113</v>
      </c>
    </row>
    <row r="603" spans="1:35" hidden="1" x14ac:dyDescent="0.3">
      <c r="A603" s="2" t="str">
        <f t="shared" si="135"/>
        <v>NÃO</v>
      </c>
      <c r="B603" s="2">
        <v>1000184670</v>
      </c>
      <c r="C603" s="2" t="s">
        <v>147</v>
      </c>
      <c r="D603" s="4">
        <v>1000186197</v>
      </c>
      <c r="E603" s="4" t="s">
        <v>166</v>
      </c>
      <c r="F603" s="2">
        <v>1000184758</v>
      </c>
      <c r="G603" s="2" t="s">
        <v>55</v>
      </c>
      <c r="H603" s="4">
        <v>1000189776</v>
      </c>
      <c r="I603" s="4" t="s">
        <v>79</v>
      </c>
      <c r="J603" s="2">
        <v>1000189270</v>
      </c>
      <c r="K603" s="2" t="s">
        <v>34</v>
      </c>
      <c r="L603" s="4" t="s">
        <v>29</v>
      </c>
      <c r="M603" s="4" t="str">
        <f t="shared" si="142"/>
        <v>1000184670100018619710001897761000189270MAIS GRANEL</v>
      </c>
      <c r="N603" s="28">
        <f>N593*_xlfn.XLOOKUP($L603,'Balizador da Meta'!$B$4:$B$21,'Balizador da Meta'!$C$4:$C$21)</f>
        <v>192</v>
      </c>
      <c r="O603" s="28">
        <f>O593*_xlfn.XLOOKUP($L603,'Balizador da Meta'!$B$4:$B$21,'Balizador da Meta'!$C$4:$C$21)</f>
        <v>192</v>
      </c>
      <c r="P603" s="28">
        <f>P593*_xlfn.XLOOKUP($L603,'Balizador da Meta'!$B$4:$B$21,'Balizador da Meta'!$C$4:$C$21)</f>
        <v>192</v>
      </c>
      <c r="Q603" s="28">
        <f>Q593*_xlfn.XLOOKUP($L603,'Balizador da Meta'!$B$4:$B$21,'Balizador da Meta'!$C$4:$C$21)</f>
        <v>192</v>
      </c>
      <c r="R603" s="28">
        <f>R593*_xlfn.XLOOKUP($L603,'Balizador da Meta'!$B$4:$B$21,'Balizador da Meta'!$C$4:$C$21)</f>
        <v>192</v>
      </c>
      <c r="S603" s="28">
        <f>S593*_xlfn.XLOOKUP($L603,'Balizador da Meta'!$B$4:$B$21,'Balizador da Meta'!$C$4:$C$21)</f>
        <v>192</v>
      </c>
      <c r="T603" s="28">
        <f>T593*_xlfn.XLOOKUP($L603,'Balizador da Meta'!$B$4:$B$21,'Balizador da Meta'!$C$4:$C$21)</f>
        <v>192</v>
      </c>
      <c r="U603" s="28">
        <f>U593*_xlfn.XLOOKUP($L603,'Balizador da Meta'!$B$4:$B$21,'Balizador da Meta'!$C$4:$C$21)</f>
        <v>192</v>
      </c>
      <c r="V603" s="28">
        <f>V593*_xlfn.XLOOKUP($L603,'Balizador da Meta'!$B$4:$B$21,'Balizador da Meta'!$C$4:$C$21)</f>
        <v>192</v>
      </c>
      <c r="W603" s="28">
        <f>W593*_xlfn.XLOOKUP($L603,'Balizador da Meta'!$B$4:$B$21,'Balizador da Meta'!$C$4:$C$21)</f>
        <v>192</v>
      </c>
      <c r="X603" s="28">
        <f>X593*_xlfn.XLOOKUP($L603,'Balizador da Meta'!$B$4:$B$21,'Balizador da Meta'!$C$4:$C$21)</f>
        <v>192</v>
      </c>
      <c r="Y603" s="28">
        <f>Y593*_xlfn.XLOOKUP($L603,'Balizador da Meta'!$B$4:$B$21,'Balizador da Meta'!$C$4:$C$21)</f>
        <v>192</v>
      </c>
      <c r="Z603" s="30">
        <f t="shared" si="145"/>
        <v>2304</v>
      </c>
      <c r="AA603" s="29"/>
      <c r="AB603" s="31">
        <f>SUMIFS('Historico - FAT'!AK:AK,'Historico - FAT'!$K:$K,Faturamento!$L603,'Historico - FAT'!$I:$I,Faturamento!$J603,'Historico - FAT'!$G:$G,Faturamento!$H603)</f>
        <v>0</v>
      </c>
      <c r="AC603" s="31">
        <f>SUMIFS('Historico - FAT'!AL:AL,'Historico - FAT'!$K:$K,Faturamento!$L603,'Historico - FAT'!$I:$I,Faturamento!$J603,'Historico - FAT'!$G:$G,Faturamento!$H603)</f>
        <v>0</v>
      </c>
      <c r="AD603" s="31">
        <f>SUMIFS('Historico - FAT'!AM:AM,'Historico - FAT'!$K:$K,Faturamento!$L603,'Historico - FAT'!$I:$I,Faturamento!$J603,'Historico - FAT'!$G:$G,Faturamento!$H603)</f>
        <v>0</v>
      </c>
      <c r="AE603" s="27">
        <f>SUMIFS('Historico - FAT'!AN:AN,'Historico - FAT'!$K:$K,Faturamento!$L603,'Historico - FAT'!$I:$I,Faturamento!$J603,'Historico - FAT'!$G:$G,Faturamento!$H603)</f>
        <v>0</v>
      </c>
      <c r="AG603" s="24">
        <f t="shared" si="136"/>
        <v>1</v>
      </c>
      <c r="AH603" s="24">
        <f t="shared" si="137"/>
        <v>1</v>
      </c>
      <c r="AI603" s="24">
        <f t="shared" si="138"/>
        <v>1</v>
      </c>
    </row>
    <row r="604" spans="1:35" hidden="1" x14ac:dyDescent="0.3">
      <c r="A604" s="2" t="str">
        <f t="shared" si="135"/>
        <v>NÃO</v>
      </c>
      <c r="B604" s="2">
        <v>1000184670</v>
      </c>
      <c r="C604" s="2" t="s">
        <v>147</v>
      </c>
      <c r="D604" s="4">
        <v>1000186197</v>
      </c>
      <c r="E604" s="4" t="s">
        <v>166</v>
      </c>
      <c r="F604" s="2">
        <v>1000184758</v>
      </c>
      <c r="G604" s="2" t="s">
        <v>55</v>
      </c>
      <c r="H604" s="4">
        <v>1000189776</v>
      </c>
      <c r="I604" s="4" t="s">
        <v>79</v>
      </c>
      <c r="J604" s="2">
        <v>1000189270</v>
      </c>
      <c r="K604" s="2" t="s">
        <v>34</v>
      </c>
      <c r="L604" s="4" t="s">
        <v>21</v>
      </c>
      <c r="M604" s="4" t="str">
        <f t="shared" si="142"/>
        <v>1000184670100018619710001897761000189270NATURATTA</v>
      </c>
      <c r="N604" s="28">
        <f>N593*_xlfn.XLOOKUP($L604,'Balizador da Meta'!$B$4:$B$21,'Balizador da Meta'!$C$4:$C$21)</f>
        <v>30</v>
      </c>
      <c r="O604" s="28">
        <f>O593*_xlfn.XLOOKUP($L604,'Balizador da Meta'!$B$4:$B$21,'Balizador da Meta'!$C$4:$C$21)</f>
        <v>30</v>
      </c>
      <c r="P604" s="28">
        <f>P593*_xlfn.XLOOKUP($L604,'Balizador da Meta'!$B$4:$B$21,'Balizador da Meta'!$C$4:$C$21)</f>
        <v>30</v>
      </c>
      <c r="Q604" s="28">
        <f>Q593*_xlfn.XLOOKUP($L604,'Balizador da Meta'!$B$4:$B$21,'Balizador da Meta'!$C$4:$C$21)</f>
        <v>30</v>
      </c>
      <c r="R604" s="28">
        <f>R593*_xlfn.XLOOKUP($L604,'Balizador da Meta'!$B$4:$B$21,'Balizador da Meta'!$C$4:$C$21)</f>
        <v>30</v>
      </c>
      <c r="S604" s="28">
        <f>S593*_xlfn.XLOOKUP($L604,'Balizador da Meta'!$B$4:$B$21,'Balizador da Meta'!$C$4:$C$21)</f>
        <v>30</v>
      </c>
      <c r="T604" s="28">
        <f>T593*_xlfn.XLOOKUP($L604,'Balizador da Meta'!$B$4:$B$21,'Balizador da Meta'!$C$4:$C$21)</f>
        <v>30</v>
      </c>
      <c r="U604" s="28">
        <f>U593*_xlfn.XLOOKUP($L604,'Balizador da Meta'!$B$4:$B$21,'Balizador da Meta'!$C$4:$C$21)</f>
        <v>30</v>
      </c>
      <c r="V604" s="28">
        <f>V593*_xlfn.XLOOKUP($L604,'Balizador da Meta'!$B$4:$B$21,'Balizador da Meta'!$C$4:$C$21)</f>
        <v>30</v>
      </c>
      <c r="W604" s="28">
        <f>W593*_xlfn.XLOOKUP($L604,'Balizador da Meta'!$B$4:$B$21,'Balizador da Meta'!$C$4:$C$21)</f>
        <v>30</v>
      </c>
      <c r="X604" s="28">
        <f>X593*_xlfn.XLOOKUP($L604,'Balizador da Meta'!$B$4:$B$21,'Balizador da Meta'!$C$4:$C$21)</f>
        <v>30</v>
      </c>
      <c r="Y604" s="28">
        <f>Y593*_xlfn.XLOOKUP($L604,'Balizador da Meta'!$B$4:$B$21,'Balizador da Meta'!$C$4:$C$21)</f>
        <v>30</v>
      </c>
      <c r="Z604" s="30">
        <f t="shared" si="145"/>
        <v>360</v>
      </c>
      <c r="AA604" s="29"/>
      <c r="AB604" s="31">
        <f>SUMIFS('Historico - FAT'!AK:AK,'Historico - FAT'!$K:$K,Faturamento!$L604,'Historico - FAT'!$I:$I,Faturamento!$J604,'Historico - FAT'!$G:$G,Faturamento!$H604)</f>
        <v>0</v>
      </c>
      <c r="AC604" s="31">
        <f>SUMIFS('Historico - FAT'!AL:AL,'Historico - FAT'!$K:$K,Faturamento!$L604,'Historico - FAT'!$I:$I,Faturamento!$J604,'Historico - FAT'!$G:$G,Faturamento!$H604)</f>
        <v>37.420833333333327</v>
      </c>
      <c r="AD604" s="31">
        <f>SUMIFS('Historico - FAT'!AM:AM,'Historico - FAT'!$K:$K,Faturamento!$L604,'Historico - FAT'!$I:$I,Faturamento!$J604,'Historico - FAT'!$G:$G,Faturamento!$H604)</f>
        <v>74.841666666666654</v>
      </c>
      <c r="AE604" s="27">
        <f>SUMIFS('Historico - FAT'!AN:AN,'Historico - FAT'!$K:$K,Faturamento!$L604,'Historico - FAT'!$I:$I,Faturamento!$J604,'Historico - FAT'!$G:$G,Faturamento!$H604)</f>
        <v>44.904999999999994</v>
      </c>
      <c r="AG604" s="24">
        <f t="shared" si="136"/>
        <v>1</v>
      </c>
      <c r="AH604" s="24">
        <f t="shared" si="137"/>
        <v>-0.24736111111111089</v>
      </c>
      <c r="AI604" s="24">
        <f t="shared" si="138"/>
        <v>-1.4947222222222218</v>
      </c>
    </row>
    <row r="605" spans="1:35" hidden="1" x14ac:dyDescent="0.3">
      <c r="A605" s="2" t="str">
        <f t="shared" si="135"/>
        <v>NÃO</v>
      </c>
      <c r="B605" s="2">
        <v>1000184670</v>
      </c>
      <c r="C605" s="2" t="s">
        <v>147</v>
      </c>
      <c r="D605" s="4">
        <v>1000186197</v>
      </c>
      <c r="E605" s="4" t="s">
        <v>166</v>
      </c>
      <c r="F605" s="2">
        <v>1000184758</v>
      </c>
      <c r="G605" s="2" t="s">
        <v>55</v>
      </c>
      <c r="H605" s="4">
        <v>1000189776</v>
      </c>
      <c r="I605" s="4" t="s">
        <v>79</v>
      </c>
      <c r="J605" s="2">
        <v>1000189270</v>
      </c>
      <c r="K605" s="2" t="s">
        <v>34</v>
      </c>
      <c r="L605" s="4" t="s">
        <v>20</v>
      </c>
      <c r="M605" s="4" t="str">
        <f t="shared" si="142"/>
        <v>1000184670100018619710001897761000189270REEMBALADOS</v>
      </c>
      <c r="N605" s="28">
        <f>N593*_xlfn.XLOOKUP($L605,'Balizador da Meta'!$B$4:$B$21,'Balizador da Meta'!$C$4:$C$21)</f>
        <v>24</v>
      </c>
      <c r="O605" s="28">
        <f>O593*_xlfn.XLOOKUP($L605,'Balizador da Meta'!$B$4:$B$21,'Balizador da Meta'!$C$4:$C$21)</f>
        <v>24</v>
      </c>
      <c r="P605" s="28">
        <f>P593*_xlfn.XLOOKUP($L605,'Balizador da Meta'!$B$4:$B$21,'Balizador da Meta'!$C$4:$C$21)</f>
        <v>24</v>
      </c>
      <c r="Q605" s="28">
        <f>Q593*_xlfn.XLOOKUP($L605,'Balizador da Meta'!$B$4:$B$21,'Balizador da Meta'!$C$4:$C$21)</f>
        <v>24</v>
      </c>
      <c r="R605" s="28">
        <f>R593*_xlfn.XLOOKUP($L605,'Balizador da Meta'!$B$4:$B$21,'Balizador da Meta'!$C$4:$C$21)</f>
        <v>24</v>
      </c>
      <c r="S605" s="28">
        <f>S593*_xlfn.XLOOKUP($L605,'Balizador da Meta'!$B$4:$B$21,'Balizador da Meta'!$C$4:$C$21)</f>
        <v>24</v>
      </c>
      <c r="T605" s="28">
        <f>T593*_xlfn.XLOOKUP($L605,'Balizador da Meta'!$B$4:$B$21,'Balizador da Meta'!$C$4:$C$21)</f>
        <v>24</v>
      </c>
      <c r="U605" s="28">
        <f>U593*_xlfn.XLOOKUP($L605,'Balizador da Meta'!$B$4:$B$21,'Balizador da Meta'!$C$4:$C$21)</f>
        <v>24</v>
      </c>
      <c r="V605" s="28">
        <f>V593*_xlfn.XLOOKUP($L605,'Balizador da Meta'!$B$4:$B$21,'Balizador da Meta'!$C$4:$C$21)</f>
        <v>24</v>
      </c>
      <c r="W605" s="28">
        <f>W593*_xlfn.XLOOKUP($L605,'Balizador da Meta'!$B$4:$B$21,'Balizador da Meta'!$C$4:$C$21)</f>
        <v>24</v>
      </c>
      <c r="X605" s="28">
        <f>X593*_xlfn.XLOOKUP($L605,'Balizador da Meta'!$B$4:$B$21,'Balizador da Meta'!$C$4:$C$21)</f>
        <v>24</v>
      </c>
      <c r="Y605" s="28">
        <f>Y593*_xlfn.XLOOKUP($L605,'Balizador da Meta'!$B$4:$B$21,'Balizador da Meta'!$C$4:$C$21)</f>
        <v>24</v>
      </c>
      <c r="Z605" s="30">
        <f t="shared" si="145"/>
        <v>288</v>
      </c>
      <c r="AA605" s="29"/>
      <c r="AB605" s="31">
        <f>SUMIFS('Historico - FAT'!AK:AK,'Historico - FAT'!$K:$K,Faturamento!$L605,'Historico - FAT'!$I:$I,Faturamento!$J605,'Historico - FAT'!$G:$G,Faturamento!$H605)</f>
        <v>0</v>
      </c>
      <c r="AC605" s="31">
        <f>SUMIFS('Historico - FAT'!AL:AL,'Historico - FAT'!$K:$K,Faturamento!$L605,'Historico - FAT'!$I:$I,Faturamento!$J605,'Historico - FAT'!$G:$G,Faturamento!$H605)</f>
        <v>19.253333333333334</v>
      </c>
      <c r="AD605" s="31">
        <f>SUMIFS('Historico - FAT'!AM:AM,'Historico - FAT'!$K:$K,Faturamento!$L605,'Historico - FAT'!$I:$I,Faturamento!$J605,'Historico - FAT'!$G:$G,Faturamento!$H605)</f>
        <v>38.506666666666668</v>
      </c>
      <c r="AE605" s="27">
        <f>SUMIFS('Historico - FAT'!AN:AN,'Historico - FAT'!$K:$K,Faturamento!$L605,'Historico - FAT'!$I:$I,Faturamento!$J605,'Historico - FAT'!$G:$G,Faturamento!$H605)</f>
        <v>23.103999999999999</v>
      </c>
      <c r="AG605" s="24">
        <f t="shared" si="136"/>
        <v>1</v>
      </c>
      <c r="AH605" s="24">
        <f t="shared" si="137"/>
        <v>0.19777777777777775</v>
      </c>
      <c r="AI605" s="24">
        <f t="shared" si="138"/>
        <v>-0.60444444444444445</v>
      </c>
    </row>
    <row r="606" spans="1:35" hidden="1" x14ac:dyDescent="0.3">
      <c r="A606" s="2" t="str">
        <f t="shared" si="135"/>
        <v>NÃO</v>
      </c>
      <c r="B606" s="2">
        <v>1000184670</v>
      </c>
      <c r="C606" s="2" t="s">
        <v>147</v>
      </c>
      <c r="D606" s="4">
        <v>1000186197</v>
      </c>
      <c r="E606" s="4" t="s">
        <v>166</v>
      </c>
      <c r="F606" s="2">
        <v>1000184758</v>
      </c>
      <c r="G606" s="2" t="s">
        <v>55</v>
      </c>
      <c r="H606" s="4">
        <v>1000189776</v>
      </c>
      <c r="I606" s="4" t="s">
        <v>79</v>
      </c>
      <c r="J606" s="2">
        <v>1000189270</v>
      </c>
      <c r="K606" s="2" t="s">
        <v>34</v>
      </c>
      <c r="L606" s="4" t="s">
        <v>22</v>
      </c>
      <c r="M606" s="4" t="str">
        <f t="shared" si="142"/>
        <v>1000184670100018619710001897761000189270S GLUTEN</v>
      </c>
      <c r="N606" s="28">
        <f>N593*_xlfn.XLOOKUP($L606,'Balizador da Meta'!$B$4:$B$21,'Balizador da Meta'!$C$4:$C$21)</f>
        <v>24</v>
      </c>
      <c r="O606" s="28">
        <f>O593*_xlfn.XLOOKUP($L606,'Balizador da Meta'!$B$4:$B$21,'Balizador da Meta'!$C$4:$C$21)</f>
        <v>24</v>
      </c>
      <c r="P606" s="28">
        <f>P593*_xlfn.XLOOKUP($L606,'Balizador da Meta'!$B$4:$B$21,'Balizador da Meta'!$C$4:$C$21)</f>
        <v>24</v>
      </c>
      <c r="Q606" s="28">
        <f>Q593*_xlfn.XLOOKUP($L606,'Balizador da Meta'!$B$4:$B$21,'Balizador da Meta'!$C$4:$C$21)</f>
        <v>24</v>
      </c>
      <c r="R606" s="28">
        <f>R593*_xlfn.XLOOKUP($L606,'Balizador da Meta'!$B$4:$B$21,'Balizador da Meta'!$C$4:$C$21)</f>
        <v>24</v>
      </c>
      <c r="S606" s="28">
        <f>S593*_xlfn.XLOOKUP($L606,'Balizador da Meta'!$B$4:$B$21,'Balizador da Meta'!$C$4:$C$21)</f>
        <v>24</v>
      </c>
      <c r="T606" s="28">
        <f>T593*_xlfn.XLOOKUP($L606,'Balizador da Meta'!$B$4:$B$21,'Balizador da Meta'!$C$4:$C$21)</f>
        <v>24</v>
      </c>
      <c r="U606" s="28">
        <f>U593*_xlfn.XLOOKUP($L606,'Balizador da Meta'!$B$4:$B$21,'Balizador da Meta'!$C$4:$C$21)</f>
        <v>24</v>
      </c>
      <c r="V606" s="28">
        <f>V593*_xlfn.XLOOKUP($L606,'Balizador da Meta'!$B$4:$B$21,'Balizador da Meta'!$C$4:$C$21)</f>
        <v>24</v>
      </c>
      <c r="W606" s="28">
        <f>W593*_xlfn.XLOOKUP($L606,'Balizador da Meta'!$B$4:$B$21,'Balizador da Meta'!$C$4:$C$21)</f>
        <v>24</v>
      </c>
      <c r="X606" s="28">
        <f>X593*_xlfn.XLOOKUP($L606,'Balizador da Meta'!$B$4:$B$21,'Balizador da Meta'!$C$4:$C$21)</f>
        <v>24</v>
      </c>
      <c r="Y606" s="28">
        <f>Y593*_xlfn.XLOOKUP($L606,'Balizador da Meta'!$B$4:$B$21,'Balizador da Meta'!$C$4:$C$21)</f>
        <v>24</v>
      </c>
      <c r="Z606" s="30">
        <f t="shared" si="145"/>
        <v>288</v>
      </c>
      <c r="AA606" s="29"/>
      <c r="AB606" s="31">
        <f>SUMIFS('Historico - FAT'!AK:AK,'Historico - FAT'!$K:$K,Faturamento!$L606,'Historico - FAT'!$I:$I,Faturamento!$J606,'Historico - FAT'!$G:$G,Faturamento!$H606)</f>
        <v>0</v>
      </c>
      <c r="AC606" s="31">
        <f>SUMIFS('Historico - FAT'!AL:AL,'Historico - FAT'!$K:$K,Faturamento!$L606,'Historico - FAT'!$I:$I,Faturamento!$J606,'Historico - FAT'!$G:$G,Faturamento!$H606)</f>
        <v>41.619166666666665</v>
      </c>
      <c r="AD606" s="31">
        <f>SUMIFS('Historico - FAT'!AM:AM,'Historico - FAT'!$K:$K,Faturamento!$L606,'Historico - FAT'!$I:$I,Faturamento!$J606,'Historico - FAT'!$G:$G,Faturamento!$H606)</f>
        <v>83.23833333333333</v>
      </c>
      <c r="AE606" s="27">
        <f>SUMIFS('Historico - FAT'!AN:AN,'Historico - FAT'!$K:$K,Faturamento!$L606,'Historico - FAT'!$I:$I,Faturamento!$J606,'Historico - FAT'!$G:$G,Faturamento!$H606)</f>
        <v>49.942999999999998</v>
      </c>
      <c r="AG606" s="24">
        <f t="shared" si="136"/>
        <v>1</v>
      </c>
      <c r="AH606" s="24">
        <f t="shared" si="137"/>
        <v>-0.73413194444444441</v>
      </c>
      <c r="AI606" s="24">
        <f t="shared" si="138"/>
        <v>-2.4682638888888886</v>
      </c>
    </row>
    <row r="607" spans="1:35" hidden="1" x14ac:dyDescent="0.3">
      <c r="A607" s="2" t="str">
        <f t="shared" si="135"/>
        <v>NÃO</v>
      </c>
      <c r="B607" s="2">
        <v>1000184670</v>
      </c>
      <c r="C607" s="2" t="s">
        <v>147</v>
      </c>
      <c r="D607" s="4">
        <v>1000186197</v>
      </c>
      <c r="E607" s="4" t="s">
        <v>166</v>
      </c>
      <c r="F607" s="2">
        <v>1000184758</v>
      </c>
      <c r="G607" s="2" t="s">
        <v>55</v>
      </c>
      <c r="H607" s="4">
        <v>1000189776</v>
      </c>
      <c r="I607" s="4" t="s">
        <v>79</v>
      </c>
      <c r="J607" s="2">
        <v>1000189270</v>
      </c>
      <c r="K607" s="2" t="s">
        <v>34</v>
      </c>
      <c r="L607" s="4" t="s">
        <v>23</v>
      </c>
      <c r="M607" s="4" t="str">
        <f t="shared" si="142"/>
        <v>1000184670100018619710001897761000189270SABORES DO CAMPO</v>
      </c>
      <c r="N607" s="28">
        <f>N593*_xlfn.XLOOKUP($L607,'Balizador da Meta'!$B$4:$B$21,'Balizador da Meta'!$C$4:$C$21)</f>
        <v>0</v>
      </c>
      <c r="O607" s="28">
        <f>O593*_xlfn.XLOOKUP($L607,'Balizador da Meta'!$B$4:$B$21,'Balizador da Meta'!$C$4:$C$21)</f>
        <v>0</v>
      </c>
      <c r="P607" s="28">
        <f>P593*_xlfn.XLOOKUP($L607,'Balizador da Meta'!$B$4:$B$21,'Balizador da Meta'!$C$4:$C$21)</f>
        <v>0</v>
      </c>
      <c r="Q607" s="28">
        <f>Q593*_xlfn.XLOOKUP($L607,'Balizador da Meta'!$B$4:$B$21,'Balizador da Meta'!$C$4:$C$21)</f>
        <v>0</v>
      </c>
      <c r="R607" s="28">
        <f>R593*_xlfn.XLOOKUP($L607,'Balizador da Meta'!$B$4:$B$21,'Balizador da Meta'!$C$4:$C$21)</f>
        <v>0</v>
      </c>
      <c r="S607" s="28">
        <f>S593*_xlfn.XLOOKUP($L607,'Balizador da Meta'!$B$4:$B$21,'Balizador da Meta'!$C$4:$C$21)</f>
        <v>0</v>
      </c>
      <c r="T607" s="28">
        <f>T593*_xlfn.XLOOKUP($L607,'Balizador da Meta'!$B$4:$B$21,'Balizador da Meta'!$C$4:$C$21)</f>
        <v>0</v>
      </c>
      <c r="U607" s="28">
        <f>U593*_xlfn.XLOOKUP($L607,'Balizador da Meta'!$B$4:$B$21,'Balizador da Meta'!$C$4:$C$21)</f>
        <v>0</v>
      </c>
      <c r="V607" s="28">
        <f>V593*_xlfn.XLOOKUP($L607,'Balizador da Meta'!$B$4:$B$21,'Balizador da Meta'!$C$4:$C$21)</f>
        <v>0</v>
      </c>
      <c r="W607" s="28">
        <f>W593*_xlfn.XLOOKUP($L607,'Balizador da Meta'!$B$4:$B$21,'Balizador da Meta'!$C$4:$C$21)</f>
        <v>0</v>
      </c>
      <c r="X607" s="28">
        <f>X593*_xlfn.XLOOKUP($L607,'Balizador da Meta'!$B$4:$B$21,'Balizador da Meta'!$C$4:$C$21)</f>
        <v>0</v>
      </c>
      <c r="Y607" s="28">
        <f>Y593*_xlfn.XLOOKUP($L607,'Balizador da Meta'!$B$4:$B$21,'Balizador da Meta'!$C$4:$C$21)</f>
        <v>0</v>
      </c>
      <c r="Z607" s="30">
        <f t="shared" si="145"/>
        <v>0</v>
      </c>
      <c r="AA607" s="29"/>
      <c r="AB607" s="31">
        <f>SUMIFS('Historico - FAT'!AK:AK,'Historico - FAT'!$K:$K,Faturamento!$L607,'Historico - FAT'!$I:$I,Faturamento!$J607,'Historico - FAT'!$G:$G,Faturamento!$H607)</f>
        <v>2044.8374999999996</v>
      </c>
      <c r="AC607" s="31">
        <f>SUMIFS('Historico - FAT'!AL:AL,'Historico - FAT'!$K:$K,Faturamento!$L607,'Historico - FAT'!$I:$I,Faturamento!$J607,'Historico - FAT'!$G:$G,Faturamento!$H607)</f>
        <v>0</v>
      </c>
      <c r="AD607" s="31">
        <f>SUMIFS('Historico - FAT'!AM:AM,'Historico - FAT'!$K:$K,Faturamento!$L607,'Historico - FAT'!$I:$I,Faturamento!$J607,'Historico - FAT'!$G:$G,Faturamento!$H607)</f>
        <v>0</v>
      </c>
      <c r="AE607" s="27">
        <f>SUMIFS('Historico - FAT'!AN:AN,'Historico - FAT'!$K:$K,Faturamento!$L607,'Historico - FAT'!$I:$I,Faturamento!$J607,'Historico - FAT'!$G:$G,Faturamento!$H607)</f>
        <v>0</v>
      </c>
      <c r="AG607" s="24" t="str">
        <f t="shared" si="136"/>
        <v/>
      </c>
      <c r="AH607" s="24" t="str">
        <f t="shared" si="137"/>
        <v/>
      </c>
      <c r="AI607" s="24" t="str">
        <f t="shared" si="138"/>
        <v/>
      </c>
    </row>
    <row r="608" spans="1:35" hidden="1" x14ac:dyDescent="0.3">
      <c r="A608" s="2" t="str">
        <f t="shared" si="135"/>
        <v>NÃO</v>
      </c>
      <c r="B608" s="2">
        <v>1000184670</v>
      </c>
      <c r="C608" s="2" t="s">
        <v>147</v>
      </c>
      <c r="D608" s="4">
        <v>1000186197</v>
      </c>
      <c r="E608" s="4" t="s">
        <v>166</v>
      </c>
      <c r="F608" s="2">
        <v>1000184758</v>
      </c>
      <c r="G608" s="2" t="s">
        <v>55</v>
      </c>
      <c r="H608" s="4">
        <v>1000189776</v>
      </c>
      <c r="I608" s="4" t="s">
        <v>79</v>
      </c>
      <c r="J608" s="2">
        <v>1000189270</v>
      </c>
      <c r="K608" s="2" t="s">
        <v>34</v>
      </c>
      <c r="L608" s="4" t="s">
        <v>28</v>
      </c>
      <c r="M608" s="4" t="str">
        <f t="shared" si="142"/>
        <v>1000184670100018619710001897761000189270SAL</v>
      </c>
      <c r="N608" s="28">
        <f>N593*_xlfn.XLOOKUP($L608,'Balizador da Meta'!$B$4:$B$21,'Balizador da Meta'!$C$4:$C$21)</f>
        <v>12</v>
      </c>
      <c r="O608" s="28">
        <f>O593*_xlfn.XLOOKUP($L608,'Balizador da Meta'!$B$4:$B$21,'Balizador da Meta'!$C$4:$C$21)</f>
        <v>12</v>
      </c>
      <c r="P608" s="28">
        <f>P593*_xlfn.XLOOKUP($L608,'Balizador da Meta'!$B$4:$B$21,'Balizador da Meta'!$C$4:$C$21)</f>
        <v>12</v>
      </c>
      <c r="Q608" s="28">
        <f>Q593*_xlfn.XLOOKUP($L608,'Balizador da Meta'!$B$4:$B$21,'Balizador da Meta'!$C$4:$C$21)</f>
        <v>12</v>
      </c>
      <c r="R608" s="28">
        <f>R593*_xlfn.XLOOKUP($L608,'Balizador da Meta'!$B$4:$B$21,'Balizador da Meta'!$C$4:$C$21)</f>
        <v>12</v>
      </c>
      <c r="S608" s="28">
        <f>S593*_xlfn.XLOOKUP($L608,'Balizador da Meta'!$B$4:$B$21,'Balizador da Meta'!$C$4:$C$21)</f>
        <v>12</v>
      </c>
      <c r="T608" s="28">
        <f>T593*_xlfn.XLOOKUP($L608,'Balizador da Meta'!$B$4:$B$21,'Balizador da Meta'!$C$4:$C$21)</f>
        <v>12</v>
      </c>
      <c r="U608" s="28">
        <f>U593*_xlfn.XLOOKUP($L608,'Balizador da Meta'!$B$4:$B$21,'Balizador da Meta'!$C$4:$C$21)</f>
        <v>12</v>
      </c>
      <c r="V608" s="28">
        <f>V593*_xlfn.XLOOKUP($L608,'Balizador da Meta'!$B$4:$B$21,'Balizador da Meta'!$C$4:$C$21)</f>
        <v>12</v>
      </c>
      <c r="W608" s="28">
        <f>W593*_xlfn.XLOOKUP($L608,'Balizador da Meta'!$B$4:$B$21,'Balizador da Meta'!$C$4:$C$21)</f>
        <v>12</v>
      </c>
      <c r="X608" s="28">
        <f>X593*_xlfn.XLOOKUP($L608,'Balizador da Meta'!$B$4:$B$21,'Balizador da Meta'!$C$4:$C$21)</f>
        <v>12</v>
      </c>
      <c r="Y608" s="28">
        <f>Y593*_xlfn.XLOOKUP($L608,'Balizador da Meta'!$B$4:$B$21,'Balizador da Meta'!$C$4:$C$21)</f>
        <v>12</v>
      </c>
      <c r="Z608" s="30">
        <f t="shared" si="145"/>
        <v>144</v>
      </c>
      <c r="AA608" s="29"/>
      <c r="AB608" s="31">
        <f>SUMIFS('Historico - FAT'!AK:AK,'Historico - FAT'!$K:$K,Faturamento!$L608,'Historico - FAT'!$I:$I,Faturamento!$J608,'Historico - FAT'!$G:$G,Faturamento!$H608)</f>
        <v>0</v>
      </c>
      <c r="AC608" s="31">
        <f>SUMIFS('Historico - FAT'!AL:AL,'Historico - FAT'!$K:$K,Faturamento!$L608,'Historico - FAT'!$I:$I,Faturamento!$J608,'Historico - FAT'!$G:$G,Faturamento!$H608)</f>
        <v>0</v>
      </c>
      <c r="AD608" s="31">
        <f>SUMIFS('Historico - FAT'!AM:AM,'Historico - FAT'!$K:$K,Faturamento!$L608,'Historico - FAT'!$I:$I,Faturamento!$J608,'Historico - FAT'!$G:$G,Faturamento!$H608)</f>
        <v>0</v>
      </c>
      <c r="AE608" s="27">
        <f>SUMIFS('Historico - FAT'!AN:AN,'Historico - FAT'!$K:$K,Faturamento!$L608,'Historico - FAT'!$I:$I,Faturamento!$J608,'Historico - FAT'!$G:$G,Faturamento!$H608)</f>
        <v>0</v>
      </c>
      <c r="AG608" s="24">
        <f t="shared" si="136"/>
        <v>1</v>
      </c>
      <c r="AH608" s="24">
        <f t="shared" si="137"/>
        <v>1</v>
      </c>
      <c r="AI608" s="24">
        <f t="shared" si="138"/>
        <v>1</v>
      </c>
    </row>
    <row r="609" spans="1:35" hidden="1" x14ac:dyDescent="0.3">
      <c r="A609" s="2" t="str">
        <f t="shared" si="135"/>
        <v>NÃO</v>
      </c>
      <c r="B609" s="2">
        <v>1000184670</v>
      </c>
      <c r="C609" s="2" t="s">
        <v>147</v>
      </c>
      <c r="D609" s="4">
        <v>1000186197</v>
      </c>
      <c r="E609" s="4" t="s">
        <v>166</v>
      </c>
      <c r="F609" s="2">
        <v>1000184758</v>
      </c>
      <c r="G609" s="2" t="s">
        <v>55</v>
      </c>
      <c r="H609" s="4">
        <v>1000189776</v>
      </c>
      <c r="I609" s="4" t="s">
        <v>79</v>
      </c>
      <c r="J609" s="2">
        <v>1000189270</v>
      </c>
      <c r="K609" s="2" t="s">
        <v>34</v>
      </c>
      <c r="L609" s="4" t="s">
        <v>26</v>
      </c>
      <c r="M609" s="4" t="str">
        <f t="shared" si="142"/>
        <v>1000184670100018619710001897761000189270SOULPRO</v>
      </c>
      <c r="N609" s="28">
        <f>N593*_xlfn.XLOOKUP($L609,'Balizador da Meta'!$B$4:$B$21,'Balizador da Meta'!$C$4:$C$21)</f>
        <v>36</v>
      </c>
      <c r="O609" s="28">
        <f>O593*_xlfn.XLOOKUP($L609,'Balizador da Meta'!$B$4:$B$21,'Balizador da Meta'!$C$4:$C$21)</f>
        <v>36</v>
      </c>
      <c r="P609" s="28">
        <f>P593*_xlfn.XLOOKUP($L609,'Balizador da Meta'!$B$4:$B$21,'Balizador da Meta'!$C$4:$C$21)</f>
        <v>36</v>
      </c>
      <c r="Q609" s="28">
        <f>Q593*_xlfn.XLOOKUP($L609,'Balizador da Meta'!$B$4:$B$21,'Balizador da Meta'!$C$4:$C$21)</f>
        <v>36</v>
      </c>
      <c r="R609" s="28">
        <f>R593*_xlfn.XLOOKUP($L609,'Balizador da Meta'!$B$4:$B$21,'Balizador da Meta'!$C$4:$C$21)</f>
        <v>36</v>
      </c>
      <c r="S609" s="28">
        <f>S593*_xlfn.XLOOKUP($L609,'Balizador da Meta'!$B$4:$B$21,'Balizador da Meta'!$C$4:$C$21)</f>
        <v>36</v>
      </c>
      <c r="T609" s="28">
        <f>T593*_xlfn.XLOOKUP($L609,'Balizador da Meta'!$B$4:$B$21,'Balizador da Meta'!$C$4:$C$21)</f>
        <v>36</v>
      </c>
      <c r="U609" s="28">
        <f>U593*_xlfn.XLOOKUP($L609,'Balizador da Meta'!$B$4:$B$21,'Balizador da Meta'!$C$4:$C$21)</f>
        <v>36</v>
      </c>
      <c r="V609" s="28">
        <f>V593*_xlfn.XLOOKUP($L609,'Balizador da Meta'!$B$4:$B$21,'Balizador da Meta'!$C$4:$C$21)</f>
        <v>36</v>
      </c>
      <c r="W609" s="28">
        <f>W593*_xlfn.XLOOKUP($L609,'Balizador da Meta'!$B$4:$B$21,'Balizador da Meta'!$C$4:$C$21)</f>
        <v>36</v>
      </c>
      <c r="X609" s="28">
        <f>X593*_xlfn.XLOOKUP($L609,'Balizador da Meta'!$B$4:$B$21,'Balizador da Meta'!$C$4:$C$21)</f>
        <v>36</v>
      </c>
      <c r="Y609" s="28">
        <f>Y593*_xlfn.XLOOKUP($L609,'Balizador da Meta'!$B$4:$B$21,'Balizador da Meta'!$C$4:$C$21)</f>
        <v>36</v>
      </c>
      <c r="Z609" s="30">
        <f t="shared" si="145"/>
        <v>432</v>
      </c>
      <c r="AA609" s="29"/>
      <c r="AB609" s="31">
        <f>SUMIFS('Historico - FAT'!AK:AK,'Historico - FAT'!$K:$K,Faturamento!$L609,'Historico - FAT'!$I:$I,Faturamento!$J609,'Historico - FAT'!$G:$G,Faturamento!$H609)</f>
        <v>0</v>
      </c>
      <c r="AC609" s="31">
        <f>SUMIFS('Historico - FAT'!AL:AL,'Historico - FAT'!$K:$K,Faturamento!$L609,'Historico - FAT'!$I:$I,Faturamento!$J609,'Historico - FAT'!$G:$G,Faturamento!$H609)</f>
        <v>0</v>
      </c>
      <c r="AD609" s="31">
        <f>SUMIFS('Historico - FAT'!AM:AM,'Historico - FAT'!$K:$K,Faturamento!$L609,'Historico - FAT'!$I:$I,Faturamento!$J609,'Historico - FAT'!$G:$G,Faturamento!$H609)</f>
        <v>0</v>
      </c>
      <c r="AE609" s="27">
        <f>SUMIFS('Historico - FAT'!AN:AN,'Historico - FAT'!$K:$K,Faturamento!$L609,'Historico - FAT'!$I:$I,Faturamento!$J609,'Historico - FAT'!$G:$G,Faturamento!$H609)</f>
        <v>0</v>
      </c>
      <c r="AG609" s="24">
        <f t="shared" si="136"/>
        <v>1</v>
      </c>
      <c r="AH609" s="24">
        <f t="shared" si="137"/>
        <v>1</v>
      </c>
      <c r="AI609" s="24">
        <f t="shared" si="138"/>
        <v>1</v>
      </c>
    </row>
    <row r="610" spans="1:35" hidden="1" x14ac:dyDescent="0.3">
      <c r="A610" s="2" t="str">
        <f t="shared" si="135"/>
        <v>NÃO</v>
      </c>
      <c r="B610" s="2">
        <v>1000184670</v>
      </c>
      <c r="C610" s="2" t="s">
        <v>147</v>
      </c>
      <c r="D610" s="4">
        <v>1000186197</v>
      </c>
      <c r="E610" s="4" t="s">
        <v>166</v>
      </c>
      <c r="F610" s="2">
        <v>1000184758</v>
      </c>
      <c r="G610" s="2" t="s">
        <v>55</v>
      </c>
      <c r="H610" s="4">
        <v>1000189776</v>
      </c>
      <c r="I610" s="4" t="s">
        <v>79</v>
      </c>
      <c r="J610" s="2">
        <v>1000189270</v>
      </c>
      <c r="K610" s="2" t="s">
        <v>34</v>
      </c>
      <c r="L610" s="4" t="s">
        <v>27</v>
      </c>
      <c r="M610" s="4" t="str">
        <f t="shared" si="142"/>
        <v>1000184670100018619710001897761000189270TAMARA</v>
      </c>
      <c r="N610" s="28">
        <f>N593*_xlfn.XLOOKUP($L610,'Balizador da Meta'!$B$4:$B$21,'Balizador da Meta'!$C$4:$C$21)</f>
        <v>48</v>
      </c>
      <c r="O610" s="28">
        <f>O593*_xlfn.XLOOKUP($L610,'Balizador da Meta'!$B$4:$B$21,'Balizador da Meta'!$C$4:$C$21)</f>
        <v>48</v>
      </c>
      <c r="P610" s="28">
        <f>P593*_xlfn.XLOOKUP($L610,'Balizador da Meta'!$B$4:$B$21,'Balizador da Meta'!$C$4:$C$21)</f>
        <v>48</v>
      </c>
      <c r="Q610" s="28">
        <f>Q593*_xlfn.XLOOKUP($L610,'Balizador da Meta'!$B$4:$B$21,'Balizador da Meta'!$C$4:$C$21)</f>
        <v>48</v>
      </c>
      <c r="R610" s="28">
        <f>R593*_xlfn.XLOOKUP($L610,'Balizador da Meta'!$B$4:$B$21,'Balizador da Meta'!$C$4:$C$21)</f>
        <v>48</v>
      </c>
      <c r="S610" s="28">
        <f>S593*_xlfn.XLOOKUP($L610,'Balizador da Meta'!$B$4:$B$21,'Balizador da Meta'!$C$4:$C$21)</f>
        <v>48</v>
      </c>
      <c r="T610" s="28">
        <f>T593*_xlfn.XLOOKUP($L610,'Balizador da Meta'!$B$4:$B$21,'Balizador da Meta'!$C$4:$C$21)</f>
        <v>48</v>
      </c>
      <c r="U610" s="28">
        <f>U593*_xlfn.XLOOKUP($L610,'Balizador da Meta'!$B$4:$B$21,'Balizador da Meta'!$C$4:$C$21)</f>
        <v>48</v>
      </c>
      <c r="V610" s="28">
        <f>V593*_xlfn.XLOOKUP($L610,'Balizador da Meta'!$B$4:$B$21,'Balizador da Meta'!$C$4:$C$21)</f>
        <v>48</v>
      </c>
      <c r="W610" s="28">
        <f>W593*_xlfn.XLOOKUP($L610,'Balizador da Meta'!$B$4:$B$21,'Balizador da Meta'!$C$4:$C$21)</f>
        <v>48</v>
      </c>
      <c r="X610" s="28">
        <f>X593*_xlfn.XLOOKUP($L610,'Balizador da Meta'!$B$4:$B$21,'Balizador da Meta'!$C$4:$C$21)</f>
        <v>48</v>
      </c>
      <c r="Y610" s="28">
        <f>Y593*_xlfn.XLOOKUP($L610,'Balizador da Meta'!$B$4:$B$21,'Balizador da Meta'!$C$4:$C$21)</f>
        <v>48</v>
      </c>
      <c r="Z610" s="30">
        <f t="shared" si="145"/>
        <v>576</v>
      </c>
      <c r="AA610" s="29"/>
      <c r="AB610" s="31">
        <f>SUMIFS('Historico - FAT'!AK:AK,'Historico - FAT'!$K:$K,Faturamento!$L610,'Historico - FAT'!$I:$I,Faturamento!$J610,'Historico - FAT'!$G:$G,Faturamento!$H610)</f>
        <v>0</v>
      </c>
      <c r="AC610" s="31">
        <f>SUMIFS('Historico - FAT'!AL:AL,'Historico - FAT'!$K:$K,Faturamento!$L610,'Historico - FAT'!$I:$I,Faturamento!$J610,'Historico - FAT'!$G:$G,Faturamento!$H610)</f>
        <v>16.247500000000002</v>
      </c>
      <c r="AD610" s="31">
        <f>SUMIFS('Historico - FAT'!AM:AM,'Historico - FAT'!$K:$K,Faturamento!$L610,'Historico - FAT'!$I:$I,Faturamento!$J610,'Historico - FAT'!$G:$G,Faturamento!$H610)</f>
        <v>32.495000000000005</v>
      </c>
      <c r="AE610" s="27">
        <f>SUMIFS('Historico - FAT'!AN:AN,'Historico - FAT'!$K:$K,Faturamento!$L610,'Historico - FAT'!$I:$I,Faturamento!$J610,'Historico - FAT'!$G:$G,Faturamento!$H610)</f>
        <v>19.497000000000003</v>
      </c>
      <c r="AG610" s="24">
        <f t="shared" si="136"/>
        <v>1</v>
      </c>
      <c r="AH610" s="24">
        <f t="shared" si="137"/>
        <v>0.66151041666666666</v>
      </c>
      <c r="AI610" s="24">
        <f t="shared" si="138"/>
        <v>0.32302083333333326</v>
      </c>
    </row>
    <row r="611" spans="1:35" hidden="1" x14ac:dyDescent="0.3">
      <c r="A611" s="2" t="str">
        <f t="shared" si="135"/>
        <v>NÃO</v>
      </c>
      <c r="B611" s="2">
        <v>1000184670</v>
      </c>
      <c r="C611" s="2" t="s">
        <v>147</v>
      </c>
      <c r="D611" s="4">
        <v>1000186197</v>
      </c>
      <c r="E611" s="4" t="s">
        <v>166</v>
      </c>
      <c r="F611" s="2">
        <v>1000184758</v>
      </c>
      <c r="G611" s="2" t="s">
        <v>55</v>
      </c>
      <c r="H611" s="4">
        <v>1000189776</v>
      </c>
      <c r="I611" s="4" t="s">
        <v>79</v>
      </c>
      <c r="J611" s="2">
        <v>1000189270</v>
      </c>
      <c r="K611" s="2" t="s">
        <v>34</v>
      </c>
      <c r="L611" s="4" t="s">
        <v>25</v>
      </c>
      <c r="M611" s="4" t="str">
        <f t="shared" si="142"/>
        <v>1000184670100018619710001897761000189270VICCIO</v>
      </c>
      <c r="N611" s="28">
        <f>N593*_xlfn.XLOOKUP($L611,'Balizador da Meta'!$B$4:$B$21,'Balizador da Meta'!$C$4:$C$21)</f>
        <v>18</v>
      </c>
      <c r="O611" s="28">
        <f>O593*_xlfn.XLOOKUP($L611,'Balizador da Meta'!$B$4:$B$21,'Balizador da Meta'!$C$4:$C$21)</f>
        <v>18</v>
      </c>
      <c r="P611" s="28">
        <f>P593*_xlfn.XLOOKUP($L611,'Balizador da Meta'!$B$4:$B$21,'Balizador da Meta'!$C$4:$C$21)</f>
        <v>18</v>
      </c>
      <c r="Q611" s="28">
        <f>Q593*_xlfn.XLOOKUP($L611,'Balizador da Meta'!$B$4:$B$21,'Balizador da Meta'!$C$4:$C$21)</f>
        <v>18</v>
      </c>
      <c r="R611" s="28">
        <f>R593*_xlfn.XLOOKUP($L611,'Balizador da Meta'!$B$4:$B$21,'Balizador da Meta'!$C$4:$C$21)</f>
        <v>18</v>
      </c>
      <c r="S611" s="28">
        <f>S593*_xlfn.XLOOKUP($L611,'Balizador da Meta'!$B$4:$B$21,'Balizador da Meta'!$C$4:$C$21)</f>
        <v>18</v>
      </c>
      <c r="T611" s="28">
        <f>T593*_xlfn.XLOOKUP($L611,'Balizador da Meta'!$B$4:$B$21,'Balizador da Meta'!$C$4:$C$21)</f>
        <v>18</v>
      </c>
      <c r="U611" s="28">
        <f>U593*_xlfn.XLOOKUP($L611,'Balizador da Meta'!$B$4:$B$21,'Balizador da Meta'!$C$4:$C$21)</f>
        <v>18</v>
      </c>
      <c r="V611" s="28">
        <f>V593*_xlfn.XLOOKUP($L611,'Balizador da Meta'!$B$4:$B$21,'Balizador da Meta'!$C$4:$C$21)</f>
        <v>18</v>
      </c>
      <c r="W611" s="28">
        <f>W593*_xlfn.XLOOKUP($L611,'Balizador da Meta'!$B$4:$B$21,'Balizador da Meta'!$C$4:$C$21)</f>
        <v>18</v>
      </c>
      <c r="X611" s="28">
        <f>X593*_xlfn.XLOOKUP($L611,'Balizador da Meta'!$B$4:$B$21,'Balizador da Meta'!$C$4:$C$21)</f>
        <v>18</v>
      </c>
      <c r="Y611" s="28">
        <f>Y593*_xlfn.XLOOKUP($L611,'Balizador da Meta'!$B$4:$B$21,'Balizador da Meta'!$C$4:$C$21)</f>
        <v>18</v>
      </c>
      <c r="Z611" s="30">
        <f t="shared" si="145"/>
        <v>216</v>
      </c>
      <c r="AA611" s="29"/>
      <c r="AB611" s="31">
        <f>SUMIFS('Historico - FAT'!AK:AK,'Historico - FAT'!$K:$K,Faturamento!$L611,'Historico - FAT'!$I:$I,Faturamento!$J611,'Historico - FAT'!$G:$G,Faturamento!$H611)</f>
        <v>0</v>
      </c>
      <c r="AC611" s="31">
        <f>SUMIFS('Historico - FAT'!AL:AL,'Historico - FAT'!$K:$K,Faturamento!$L611,'Historico - FAT'!$I:$I,Faturamento!$J611,'Historico - FAT'!$G:$G,Faturamento!$H611)</f>
        <v>11.755000000000001</v>
      </c>
      <c r="AD611" s="31">
        <f>SUMIFS('Historico - FAT'!AM:AM,'Historico - FAT'!$K:$K,Faturamento!$L611,'Historico - FAT'!$I:$I,Faturamento!$J611,'Historico - FAT'!$G:$G,Faturamento!$H611)</f>
        <v>23.51</v>
      </c>
      <c r="AE611" s="27">
        <f>SUMIFS('Historico - FAT'!AN:AN,'Historico - FAT'!$K:$K,Faturamento!$L611,'Historico - FAT'!$I:$I,Faturamento!$J611,'Historico - FAT'!$G:$G,Faturamento!$H611)</f>
        <v>14.106</v>
      </c>
      <c r="AG611" s="24">
        <f t="shared" si="136"/>
        <v>1</v>
      </c>
      <c r="AH611" s="24">
        <f t="shared" si="137"/>
        <v>0.34694444444444439</v>
      </c>
      <c r="AI611" s="24">
        <f t="shared" si="138"/>
        <v>-0.30611111111111122</v>
      </c>
    </row>
    <row r="612" spans="1:35" x14ac:dyDescent="0.3">
      <c r="A612" s="2" t="str">
        <f t="shared" si="135"/>
        <v>SIM</v>
      </c>
      <c r="B612" s="2">
        <v>1000184670</v>
      </c>
      <c r="C612" s="2" t="s">
        <v>147</v>
      </c>
      <c r="D612" s="4">
        <v>1000186197</v>
      </c>
      <c r="E612" s="4" t="s">
        <v>166</v>
      </c>
      <c r="F612" s="2">
        <v>1000184758</v>
      </c>
      <c r="G612" s="2" t="s">
        <v>55</v>
      </c>
      <c r="H612" s="4">
        <v>1000189777</v>
      </c>
      <c r="I612" s="4" t="s">
        <v>56</v>
      </c>
      <c r="J612" s="2">
        <v>1000189270</v>
      </c>
      <c r="K612" s="2" t="s">
        <v>34</v>
      </c>
      <c r="L612" s="4" t="s">
        <v>124</v>
      </c>
      <c r="M612" s="4" t="str">
        <f t="shared" si="142"/>
        <v>100018467010001861971000189777100018927001. TOTAL</v>
      </c>
      <c r="N612" s="28">
        <f>SUMIFS(Positivação!L:L,Positivação!$I:$I,Faturamento!$J612,Positivação!$G:$G,Faturamento!$H612)*SUMIFS(Positivação!$Z:$Z,Positivação!$I:$I,Faturamento!$J612,Positivação!$G:$G,Faturamento!$H612)</f>
        <v>1200</v>
      </c>
      <c r="O612" s="28">
        <f>SUMIFS(Positivação!M:M,Positivação!$I:$I,Faturamento!$J612,Positivação!$G:$G,Faturamento!$H612)*SUMIFS(Positivação!$Z:$Z,Positivação!$I:$I,Faturamento!$J612,Positivação!$G:$G,Faturamento!$H612)</f>
        <v>1200</v>
      </c>
      <c r="P612" s="28">
        <f>SUMIFS(Positivação!N:N,Positivação!$I:$I,Faturamento!$J612,Positivação!$G:$G,Faturamento!$H612)*SUMIFS(Positivação!$Z:$Z,Positivação!$I:$I,Faturamento!$J612,Positivação!$G:$G,Faturamento!$H612)</f>
        <v>1200</v>
      </c>
      <c r="Q612" s="28">
        <f>SUMIFS(Positivação!O:O,Positivação!$I:$I,Faturamento!$J612,Positivação!$G:$G,Faturamento!$H612)*SUMIFS(Positivação!$Z:$Z,Positivação!$I:$I,Faturamento!$J612,Positivação!$G:$G,Faturamento!$H612)</f>
        <v>1200</v>
      </c>
      <c r="R612" s="28">
        <f>SUMIFS(Positivação!P:P,Positivação!$I:$I,Faturamento!$J612,Positivação!$G:$G,Faturamento!$H612)*SUMIFS(Positivação!$Z:$Z,Positivação!$I:$I,Faturamento!$J612,Positivação!$G:$G,Faturamento!$H612)</f>
        <v>1200</v>
      </c>
      <c r="S612" s="28">
        <f>SUMIFS(Positivação!Q:Q,Positivação!$I:$I,Faturamento!$J612,Positivação!$G:$G,Faturamento!$H612)*SUMIFS(Positivação!$Z:$Z,Positivação!$I:$I,Faturamento!$J612,Positivação!$G:$G,Faturamento!$H612)</f>
        <v>1200</v>
      </c>
      <c r="T612" s="28">
        <f>SUMIFS(Positivação!R:R,Positivação!$I:$I,Faturamento!$J612,Positivação!$G:$G,Faturamento!$H612)*SUMIFS(Positivação!$Z:$Z,Positivação!$I:$I,Faturamento!$J612,Positivação!$G:$G,Faturamento!$H612)</f>
        <v>1200</v>
      </c>
      <c r="U612" s="28">
        <f>SUMIFS(Positivação!S:S,Positivação!$I:$I,Faturamento!$J612,Positivação!$G:$G,Faturamento!$H612)*SUMIFS(Positivação!$Z:$Z,Positivação!$I:$I,Faturamento!$J612,Positivação!$G:$G,Faturamento!$H612)</f>
        <v>1200</v>
      </c>
      <c r="V612" s="28">
        <f>SUMIFS(Positivação!T:T,Positivação!$I:$I,Faturamento!$J612,Positivação!$G:$G,Faturamento!$H612)*SUMIFS(Positivação!$Z:$Z,Positivação!$I:$I,Faturamento!$J612,Positivação!$G:$G,Faturamento!$H612)</f>
        <v>1200</v>
      </c>
      <c r="W612" s="28">
        <f>SUMIFS(Positivação!U:U,Positivação!$I:$I,Faturamento!$J612,Positivação!$G:$G,Faturamento!$H612)*SUMIFS(Positivação!$Z:$Z,Positivação!$I:$I,Faturamento!$J612,Positivação!$G:$G,Faturamento!$H612)</f>
        <v>1200</v>
      </c>
      <c r="X612" s="28">
        <f>SUMIFS(Positivação!V:V,Positivação!$I:$I,Faturamento!$J612,Positivação!$G:$G,Faturamento!$H612)*SUMIFS(Positivação!$Z:$Z,Positivação!$I:$I,Faturamento!$J612,Positivação!$G:$G,Faturamento!$H612)</f>
        <v>1200</v>
      </c>
      <c r="Y612" s="28">
        <f>SUMIFS(Positivação!W:W,Positivação!$I:$I,Faturamento!$J612,Positivação!$G:$G,Faturamento!$H612)*SUMIFS(Positivação!$Z:$Z,Positivação!$I:$I,Faturamento!$J612,Positivação!$G:$G,Faturamento!$H612)</f>
        <v>1200</v>
      </c>
      <c r="Z612" s="28">
        <f t="shared" ref="Z612" si="146">SUM(Z613:Z630)</f>
        <v>14400</v>
      </c>
      <c r="AA612" s="29"/>
      <c r="AB612" s="28">
        <f t="shared" ref="AB612:AE612" si="147">SUM(AB613:AB630)</f>
        <v>15.67</v>
      </c>
      <c r="AC612" s="28">
        <f t="shared" si="147"/>
        <v>491.63166666666672</v>
      </c>
      <c r="AD612" s="28">
        <f t="shared" si="147"/>
        <v>567.16333333333341</v>
      </c>
      <c r="AE612" s="28">
        <f t="shared" si="147"/>
        <v>571.154</v>
      </c>
      <c r="AG612" s="24">
        <f t="shared" si="136"/>
        <v>0.98694166666666661</v>
      </c>
      <c r="AH612" s="24">
        <f t="shared" si="137"/>
        <v>0.59030694444444443</v>
      </c>
      <c r="AI612" s="24">
        <f t="shared" si="138"/>
        <v>0.52736388888888885</v>
      </c>
    </row>
    <row r="613" spans="1:35" hidden="1" x14ac:dyDescent="0.3">
      <c r="A613" s="2" t="str">
        <f t="shared" si="135"/>
        <v>NÃO</v>
      </c>
      <c r="B613" s="2">
        <v>1000184670</v>
      </c>
      <c r="C613" s="2" t="s">
        <v>147</v>
      </c>
      <c r="D613" s="4">
        <v>1000186197</v>
      </c>
      <c r="E613" s="4" t="s">
        <v>166</v>
      </c>
      <c r="F613" s="2">
        <v>1000184758</v>
      </c>
      <c r="G613" s="2" t="s">
        <v>55</v>
      </c>
      <c r="H613" s="4">
        <v>1000189777</v>
      </c>
      <c r="I613" s="4" t="s">
        <v>56</v>
      </c>
      <c r="J613" s="2">
        <v>1000189270</v>
      </c>
      <c r="K613" s="2" t="s">
        <v>34</v>
      </c>
      <c r="L613" s="4" t="s">
        <v>13</v>
      </c>
      <c r="M613" s="4" t="str">
        <f t="shared" si="142"/>
        <v>1000184670100018619710001897771000189270BISCOITO</v>
      </c>
      <c r="N613" s="28">
        <f>N612*_xlfn.XLOOKUP($L613,'Balizador da Meta'!$B$4:$B$21,'Balizador da Meta'!$C$4:$C$21)</f>
        <v>84.000000000000014</v>
      </c>
      <c r="O613" s="28">
        <f>O612*_xlfn.XLOOKUP($L613,'Balizador da Meta'!$B$4:$B$21,'Balizador da Meta'!$C$4:$C$21)</f>
        <v>84.000000000000014</v>
      </c>
      <c r="P613" s="28">
        <f>P612*_xlfn.XLOOKUP($L613,'Balizador da Meta'!$B$4:$B$21,'Balizador da Meta'!$C$4:$C$21)</f>
        <v>84.000000000000014</v>
      </c>
      <c r="Q613" s="28">
        <f>Q612*_xlfn.XLOOKUP($L613,'Balizador da Meta'!$B$4:$B$21,'Balizador da Meta'!$C$4:$C$21)</f>
        <v>84.000000000000014</v>
      </c>
      <c r="R613" s="28">
        <f>R612*_xlfn.XLOOKUP($L613,'Balizador da Meta'!$B$4:$B$21,'Balizador da Meta'!$C$4:$C$21)</f>
        <v>84.000000000000014</v>
      </c>
      <c r="S613" s="28">
        <f>S612*_xlfn.XLOOKUP($L613,'Balizador da Meta'!$B$4:$B$21,'Balizador da Meta'!$C$4:$C$21)</f>
        <v>84.000000000000014</v>
      </c>
      <c r="T613" s="28">
        <f>T612*_xlfn.XLOOKUP($L613,'Balizador da Meta'!$B$4:$B$21,'Balizador da Meta'!$C$4:$C$21)</f>
        <v>84.000000000000014</v>
      </c>
      <c r="U613" s="28">
        <f>U612*_xlfn.XLOOKUP($L613,'Balizador da Meta'!$B$4:$B$21,'Balizador da Meta'!$C$4:$C$21)</f>
        <v>84.000000000000014</v>
      </c>
      <c r="V613" s="28">
        <f>V612*_xlfn.XLOOKUP($L613,'Balizador da Meta'!$B$4:$B$21,'Balizador da Meta'!$C$4:$C$21)</f>
        <v>84.000000000000014</v>
      </c>
      <c r="W613" s="28">
        <f>W612*_xlfn.XLOOKUP($L613,'Balizador da Meta'!$B$4:$B$21,'Balizador da Meta'!$C$4:$C$21)</f>
        <v>84.000000000000014</v>
      </c>
      <c r="X613" s="28">
        <f>X612*_xlfn.XLOOKUP($L613,'Balizador da Meta'!$B$4:$B$21,'Balizador da Meta'!$C$4:$C$21)</f>
        <v>84.000000000000014</v>
      </c>
      <c r="Y613" s="28">
        <f>Y612*_xlfn.XLOOKUP($L613,'Balizador da Meta'!$B$4:$B$21,'Balizador da Meta'!$C$4:$C$21)</f>
        <v>84.000000000000014</v>
      </c>
      <c r="Z613" s="30">
        <f t="shared" ref="Z613:Z630" si="148">SUM(N613:Y613)</f>
        <v>1008.0000000000001</v>
      </c>
      <c r="AA613" s="29"/>
      <c r="AB613" s="31">
        <f>SUMIFS('Historico - FAT'!AK:AK,'Historico - FAT'!$K:$K,Faturamento!$L613,'Historico - FAT'!$I:$I,Faturamento!$J613,'Historico - FAT'!$G:$G,Faturamento!$H613)</f>
        <v>0</v>
      </c>
      <c r="AC613" s="31">
        <f>SUMIFS('Historico - FAT'!AL:AL,'Historico - FAT'!$K:$K,Faturamento!$L613,'Historico - FAT'!$I:$I,Faturamento!$J613,'Historico - FAT'!$G:$G,Faturamento!$H613)</f>
        <v>25.584999999999997</v>
      </c>
      <c r="AD613" s="31">
        <f>SUMIFS('Historico - FAT'!AM:AM,'Historico - FAT'!$K:$K,Faturamento!$L613,'Historico - FAT'!$I:$I,Faturamento!$J613,'Historico - FAT'!$G:$G,Faturamento!$H613)</f>
        <v>22.72</v>
      </c>
      <c r="AE613" s="27">
        <f>SUMIFS('Historico - FAT'!AN:AN,'Historico - FAT'!$K:$K,Faturamento!$L613,'Historico - FAT'!$I:$I,Faturamento!$J613,'Historico - FAT'!$G:$G,Faturamento!$H613)</f>
        <v>30.701999999999998</v>
      </c>
      <c r="AG613" s="24">
        <f t="shared" si="136"/>
        <v>1</v>
      </c>
      <c r="AH613" s="24">
        <f t="shared" si="137"/>
        <v>0.69541666666666679</v>
      </c>
      <c r="AI613" s="24">
        <f t="shared" si="138"/>
        <v>0.72952380952380957</v>
      </c>
    </row>
    <row r="614" spans="1:35" hidden="1" x14ac:dyDescent="0.3">
      <c r="A614" s="2" t="str">
        <f t="shared" si="135"/>
        <v>NÃO</v>
      </c>
      <c r="B614" s="2">
        <v>1000184670</v>
      </c>
      <c r="C614" s="2" t="s">
        <v>147</v>
      </c>
      <c r="D614" s="4">
        <v>1000186197</v>
      </c>
      <c r="E614" s="4" t="s">
        <v>166</v>
      </c>
      <c r="F614" s="2">
        <v>1000184758</v>
      </c>
      <c r="G614" s="2" t="s">
        <v>55</v>
      </c>
      <c r="H614" s="4">
        <v>1000189777</v>
      </c>
      <c r="I614" s="4" t="s">
        <v>56</v>
      </c>
      <c r="J614" s="2">
        <v>1000189270</v>
      </c>
      <c r="K614" s="2" t="s">
        <v>34</v>
      </c>
      <c r="L614" s="4" t="s">
        <v>14</v>
      </c>
      <c r="M614" s="4" t="str">
        <f t="shared" si="142"/>
        <v>1000184670100018619710001897771000189270CHOCOLATES</v>
      </c>
      <c r="N614" s="28">
        <f>N612*_xlfn.XLOOKUP($L614,'Balizador da Meta'!$B$4:$B$21,'Balizador da Meta'!$C$4:$C$21)</f>
        <v>84.000000000000014</v>
      </c>
      <c r="O614" s="28">
        <f>O612*_xlfn.XLOOKUP($L614,'Balizador da Meta'!$B$4:$B$21,'Balizador da Meta'!$C$4:$C$21)</f>
        <v>84.000000000000014</v>
      </c>
      <c r="P614" s="28">
        <f>P612*_xlfn.XLOOKUP($L614,'Balizador da Meta'!$B$4:$B$21,'Balizador da Meta'!$C$4:$C$21)</f>
        <v>84.000000000000014</v>
      </c>
      <c r="Q614" s="28">
        <f>Q612*_xlfn.XLOOKUP($L614,'Balizador da Meta'!$B$4:$B$21,'Balizador da Meta'!$C$4:$C$21)</f>
        <v>84.000000000000014</v>
      </c>
      <c r="R614" s="28">
        <f>R612*_xlfn.XLOOKUP($L614,'Balizador da Meta'!$B$4:$B$21,'Balizador da Meta'!$C$4:$C$21)</f>
        <v>84.000000000000014</v>
      </c>
      <c r="S614" s="28">
        <f>S612*_xlfn.XLOOKUP($L614,'Balizador da Meta'!$B$4:$B$21,'Balizador da Meta'!$C$4:$C$21)</f>
        <v>84.000000000000014</v>
      </c>
      <c r="T614" s="28">
        <f>T612*_xlfn.XLOOKUP($L614,'Balizador da Meta'!$B$4:$B$21,'Balizador da Meta'!$C$4:$C$21)</f>
        <v>84.000000000000014</v>
      </c>
      <c r="U614" s="28">
        <f>U612*_xlfn.XLOOKUP($L614,'Balizador da Meta'!$B$4:$B$21,'Balizador da Meta'!$C$4:$C$21)</f>
        <v>84.000000000000014</v>
      </c>
      <c r="V614" s="28">
        <f>V612*_xlfn.XLOOKUP($L614,'Balizador da Meta'!$B$4:$B$21,'Balizador da Meta'!$C$4:$C$21)</f>
        <v>84.000000000000014</v>
      </c>
      <c r="W614" s="28">
        <f>W612*_xlfn.XLOOKUP($L614,'Balizador da Meta'!$B$4:$B$21,'Balizador da Meta'!$C$4:$C$21)</f>
        <v>84.000000000000014</v>
      </c>
      <c r="X614" s="28">
        <f>X612*_xlfn.XLOOKUP($L614,'Balizador da Meta'!$B$4:$B$21,'Balizador da Meta'!$C$4:$C$21)</f>
        <v>84.000000000000014</v>
      </c>
      <c r="Y614" s="28">
        <f>Y612*_xlfn.XLOOKUP($L614,'Balizador da Meta'!$B$4:$B$21,'Balizador da Meta'!$C$4:$C$21)</f>
        <v>84.000000000000014</v>
      </c>
      <c r="Z614" s="30">
        <f t="shared" si="148"/>
        <v>1008.0000000000001</v>
      </c>
      <c r="AA614" s="29"/>
      <c r="AB614" s="31">
        <f>SUMIFS('Historico - FAT'!AK:AK,'Historico - FAT'!$K:$K,Faturamento!$L614,'Historico - FAT'!$I:$I,Faturamento!$J614,'Historico - FAT'!$G:$G,Faturamento!$H614)</f>
        <v>15.67</v>
      </c>
      <c r="AC614" s="31">
        <f>SUMIFS('Historico - FAT'!AL:AL,'Historico - FAT'!$K:$K,Faturamento!$L614,'Historico - FAT'!$I:$I,Faturamento!$J614,'Historico - FAT'!$G:$G,Faturamento!$H614)</f>
        <v>46.294999999999995</v>
      </c>
      <c r="AD614" s="31">
        <f>SUMIFS('Historico - FAT'!AM:AM,'Historico - FAT'!$K:$K,Faturamento!$L614,'Historico - FAT'!$I:$I,Faturamento!$J614,'Historico - FAT'!$G:$G,Faturamento!$H614)</f>
        <v>0</v>
      </c>
      <c r="AE614" s="27">
        <f>SUMIFS('Historico - FAT'!AN:AN,'Historico - FAT'!$K:$K,Faturamento!$L614,'Historico - FAT'!$I:$I,Faturamento!$J614,'Historico - FAT'!$G:$G,Faturamento!$H614)</f>
        <v>36.75</v>
      </c>
      <c r="AG614" s="24">
        <f t="shared" si="136"/>
        <v>0.81345238095238093</v>
      </c>
      <c r="AH614" s="24">
        <f t="shared" si="137"/>
        <v>0.44886904761904778</v>
      </c>
      <c r="AI614" s="24">
        <f t="shared" si="138"/>
        <v>1</v>
      </c>
    </row>
    <row r="615" spans="1:35" hidden="1" x14ac:dyDescent="0.3">
      <c r="A615" s="2" t="str">
        <f t="shared" si="135"/>
        <v>NÃO</v>
      </c>
      <c r="B615" s="2">
        <v>1000184670</v>
      </c>
      <c r="C615" s="2" t="s">
        <v>147</v>
      </c>
      <c r="D615" s="4">
        <v>1000186197</v>
      </c>
      <c r="E615" s="4" t="s">
        <v>166</v>
      </c>
      <c r="F615" s="2">
        <v>1000184758</v>
      </c>
      <c r="G615" s="2" t="s">
        <v>55</v>
      </c>
      <c r="H615" s="4">
        <v>1000189777</v>
      </c>
      <c r="I615" s="4" t="s">
        <v>56</v>
      </c>
      <c r="J615" s="2">
        <v>1000189270</v>
      </c>
      <c r="K615" s="2" t="s">
        <v>34</v>
      </c>
      <c r="L615" s="4" t="s">
        <v>16</v>
      </c>
      <c r="M615" s="4" t="str">
        <f t="shared" si="142"/>
        <v>1000184670100018619710001897771000189270DISNEY</v>
      </c>
      <c r="N615" s="28">
        <f>N612*_xlfn.XLOOKUP($L615,'Balizador da Meta'!$B$4:$B$21,'Balizador da Meta'!$C$4:$C$21)</f>
        <v>96</v>
      </c>
      <c r="O615" s="28">
        <f>O612*_xlfn.XLOOKUP($L615,'Balizador da Meta'!$B$4:$B$21,'Balizador da Meta'!$C$4:$C$21)</f>
        <v>96</v>
      </c>
      <c r="P615" s="28">
        <f>P612*_xlfn.XLOOKUP($L615,'Balizador da Meta'!$B$4:$B$21,'Balizador da Meta'!$C$4:$C$21)</f>
        <v>96</v>
      </c>
      <c r="Q615" s="28">
        <f>Q612*_xlfn.XLOOKUP($L615,'Balizador da Meta'!$B$4:$B$21,'Balizador da Meta'!$C$4:$C$21)</f>
        <v>96</v>
      </c>
      <c r="R615" s="28">
        <f>R612*_xlfn.XLOOKUP($L615,'Balizador da Meta'!$B$4:$B$21,'Balizador da Meta'!$C$4:$C$21)</f>
        <v>96</v>
      </c>
      <c r="S615" s="28">
        <f>S612*_xlfn.XLOOKUP($L615,'Balizador da Meta'!$B$4:$B$21,'Balizador da Meta'!$C$4:$C$21)</f>
        <v>96</v>
      </c>
      <c r="T615" s="28">
        <f>T612*_xlfn.XLOOKUP($L615,'Balizador da Meta'!$B$4:$B$21,'Balizador da Meta'!$C$4:$C$21)</f>
        <v>96</v>
      </c>
      <c r="U615" s="28">
        <f>U612*_xlfn.XLOOKUP($L615,'Balizador da Meta'!$B$4:$B$21,'Balizador da Meta'!$C$4:$C$21)</f>
        <v>96</v>
      </c>
      <c r="V615" s="28">
        <f>V612*_xlfn.XLOOKUP($L615,'Balizador da Meta'!$B$4:$B$21,'Balizador da Meta'!$C$4:$C$21)</f>
        <v>96</v>
      </c>
      <c r="W615" s="28">
        <f>W612*_xlfn.XLOOKUP($L615,'Balizador da Meta'!$B$4:$B$21,'Balizador da Meta'!$C$4:$C$21)</f>
        <v>96</v>
      </c>
      <c r="X615" s="28">
        <f>X612*_xlfn.XLOOKUP($L615,'Balizador da Meta'!$B$4:$B$21,'Balizador da Meta'!$C$4:$C$21)</f>
        <v>96</v>
      </c>
      <c r="Y615" s="28">
        <f>Y612*_xlfn.XLOOKUP($L615,'Balizador da Meta'!$B$4:$B$21,'Balizador da Meta'!$C$4:$C$21)</f>
        <v>96</v>
      </c>
      <c r="Z615" s="30">
        <f t="shared" si="148"/>
        <v>1152</v>
      </c>
      <c r="AA615" s="29"/>
      <c r="AB615" s="31">
        <f>SUMIFS('Historico - FAT'!AK:AK,'Historico - FAT'!$K:$K,Faturamento!$L615,'Historico - FAT'!$I:$I,Faturamento!$J615,'Historico - FAT'!$G:$G,Faturamento!$H615)</f>
        <v>0</v>
      </c>
      <c r="AC615" s="31">
        <f>SUMIFS('Historico - FAT'!AL:AL,'Historico - FAT'!$K:$K,Faturamento!$L615,'Historico - FAT'!$I:$I,Faturamento!$J615,'Historico - FAT'!$G:$G,Faturamento!$H615)</f>
        <v>7.1424999999999992</v>
      </c>
      <c r="AD615" s="31">
        <f>SUMIFS('Historico - FAT'!AM:AM,'Historico - FAT'!$K:$K,Faturamento!$L615,'Historico - FAT'!$I:$I,Faturamento!$J615,'Historico - FAT'!$G:$G,Faturamento!$H615)</f>
        <v>0</v>
      </c>
      <c r="AE615" s="27">
        <f>SUMIFS('Historico - FAT'!AN:AN,'Historico - FAT'!$K:$K,Faturamento!$L615,'Historico - FAT'!$I:$I,Faturamento!$J615,'Historico - FAT'!$G:$G,Faturamento!$H615)</f>
        <v>8.5709999999999997</v>
      </c>
      <c r="AG615" s="24">
        <f t="shared" si="136"/>
        <v>1</v>
      </c>
      <c r="AH615" s="24">
        <f t="shared" si="137"/>
        <v>0.92559895833333339</v>
      </c>
      <c r="AI615" s="24">
        <f t="shared" si="138"/>
        <v>1</v>
      </c>
    </row>
    <row r="616" spans="1:35" hidden="1" x14ac:dyDescent="0.3">
      <c r="A616" s="2" t="str">
        <f t="shared" si="135"/>
        <v>NÃO</v>
      </c>
      <c r="B616" s="2">
        <v>1000184670</v>
      </c>
      <c r="C616" s="2" t="s">
        <v>147</v>
      </c>
      <c r="D616" s="4">
        <v>1000186197</v>
      </c>
      <c r="E616" s="4" t="s">
        <v>166</v>
      </c>
      <c r="F616" s="2">
        <v>1000184758</v>
      </c>
      <c r="G616" s="2" t="s">
        <v>55</v>
      </c>
      <c r="H616" s="4">
        <v>1000189777</v>
      </c>
      <c r="I616" s="4" t="s">
        <v>56</v>
      </c>
      <c r="J616" s="2">
        <v>1000189270</v>
      </c>
      <c r="K616" s="2" t="s">
        <v>34</v>
      </c>
      <c r="L616" s="4" t="s">
        <v>15</v>
      </c>
      <c r="M616" s="4" t="str">
        <f t="shared" si="142"/>
        <v>1000184670100018619710001897771000189270DOCES</v>
      </c>
      <c r="N616" s="28">
        <f>N612*_xlfn.XLOOKUP($L616,'Balizador da Meta'!$B$4:$B$21,'Balizador da Meta'!$C$4:$C$21)</f>
        <v>108</v>
      </c>
      <c r="O616" s="28">
        <f>O612*_xlfn.XLOOKUP($L616,'Balizador da Meta'!$B$4:$B$21,'Balizador da Meta'!$C$4:$C$21)</f>
        <v>108</v>
      </c>
      <c r="P616" s="28">
        <f>P612*_xlfn.XLOOKUP($L616,'Balizador da Meta'!$B$4:$B$21,'Balizador da Meta'!$C$4:$C$21)</f>
        <v>108</v>
      </c>
      <c r="Q616" s="28">
        <f>Q612*_xlfn.XLOOKUP($L616,'Balizador da Meta'!$B$4:$B$21,'Balizador da Meta'!$C$4:$C$21)</f>
        <v>108</v>
      </c>
      <c r="R616" s="28">
        <f>R612*_xlfn.XLOOKUP($L616,'Balizador da Meta'!$B$4:$B$21,'Balizador da Meta'!$C$4:$C$21)</f>
        <v>108</v>
      </c>
      <c r="S616" s="28">
        <f>S612*_xlfn.XLOOKUP($L616,'Balizador da Meta'!$B$4:$B$21,'Balizador da Meta'!$C$4:$C$21)</f>
        <v>108</v>
      </c>
      <c r="T616" s="28">
        <f>T612*_xlfn.XLOOKUP($L616,'Balizador da Meta'!$B$4:$B$21,'Balizador da Meta'!$C$4:$C$21)</f>
        <v>108</v>
      </c>
      <c r="U616" s="28">
        <f>U612*_xlfn.XLOOKUP($L616,'Balizador da Meta'!$B$4:$B$21,'Balizador da Meta'!$C$4:$C$21)</f>
        <v>108</v>
      </c>
      <c r="V616" s="28">
        <f>V612*_xlfn.XLOOKUP($L616,'Balizador da Meta'!$B$4:$B$21,'Balizador da Meta'!$C$4:$C$21)</f>
        <v>108</v>
      </c>
      <c r="W616" s="28">
        <f>W612*_xlfn.XLOOKUP($L616,'Balizador da Meta'!$B$4:$B$21,'Balizador da Meta'!$C$4:$C$21)</f>
        <v>108</v>
      </c>
      <c r="X616" s="28">
        <f>X612*_xlfn.XLOOKUP($L616,'Balizador da Meta'!$B$4:$B$21,'Balizador da Meta'!$C$4:$C$21)</f>
        <v>108</v>
      </c>
      <c r="Y616" s="28">
        <f>Y612*_xlfn.XLOOKUP($L616,'Balizador da Meta'!$B$4:$B$21,'Balizador da Meta'!$C$4:$C$21)</f>
        <v>108</v>
      </c>
      <c r="Z616" s="30">
        <f t="shared" si="148"/>
        <v>1296</v>
      </c>
      <c r="AA616" s="29"/>
      <c r="AB616" s="31">
        <f>SUMIFS('Historico - FAT'!AK:AK,'Historico - FAT'!$K:$K,Faturamento!$L616,'Historico - FAT'!$I:$I,Faturamento!$J616,'Historico - FAT'!$G:$G,Faturamento!$H616)</f>
        <v>0</v>
      </c>
      <c r="AC616" s="31">
        <f>SUMIFS('Historico - FAT'!AL:AL,'Historico - FAT'!$K:$K,Faturamento!$L616,'Historico - FAT'!$I:$I,Faturamento!$J616,'Historico - FAT'!$G:$G,Faturamento!$H616)</f>
        <v>84.1875</v>
      </c>
      <c r="AD616" s="31">
        <f>SUMIFS('Historico - FAT'!AM:AM,'Historico - FAT'!$K:$K,Faturamento!$L616,'Historico - FAT'!$I:$I,Faturamento!$J616,'Historico - FAT'!$G:$G,Faturamento!$H616)</f>
        <v>115.85000000000001</v>
      </c>
      <c r="AE616" s="27">
        <f>SUMIFS('Historico - FAT'!AN:AN,'Historico - FAT'!$K:$K,Faturamento!$L616,'Historico - FAT'!$I:$I,Faturamento!$J616,'Historico - FAT'!$G:$G,Faturamento!$H616)</f>
        <v>101.02500000000001</v>
      </c>
      <c r="AG616" s="24">
        <f t="shared" si="136"/>
        <v>1</v>
      </c>
      <c r="AH616" s="24">
        <f t="shared" si="137"/>
        <v>0.2204861111111111</v>
      </c>
      <c r="AI616" s="24">
        <f t="shared" si="138"/>
        <v>-7.2685185185185269E-2</v>
      </c>
    </row>
    <row r="617" spans="1:35" hidden="1" x14ac:dyDescent="0.3">
      <c r="A617" s="2" t="str">
        <f t="shared" si="135"/>
        <v>NÃO</v>
      </c>
      <c r="B617" s="2">
        <v>1000184670</v>
      </c>
      <c r="C617" s="2" t="s">
        <v>147</v>
      </c>
      <c r="D617" s="4">
        <v>1000186197</v>
      </c>
      <c r="E617" s="4" t="s">
        <v>166</v>
      </c>
      <c r="F617" s="2">
        <v>1000184758</v>
      </c>
      <c r="G617" s="2" t="s">
        <v>55</v>
      </c>
      <c r="H617" s="4">
        <v>1000189777</v>
      </c>
      <c r="I617" s="4" t="s">
        <v>56</v>
      </c>
      <c r="J617" s="2">
        <v>1000189270</v>
      </c>
      <c r="K617" s="2" t="s">
        <v>34</v>
      </c>
      <c r="L617" s="4" t="s">
        <v>33</v>
      </c>
      <c r="M617" s="4" t="str">
        <f t="shared" si="142"/>
        <v>1000184670100018619710001897771000189270FOOD SERVICE</v>
      </c>
      <c r="N617" s="28">
        <f>N612*_xlfn.XLOOKUP($L617,'Balizador da Meta'!$B$4:$B$21,'Balizador da Meta'!$C$4:$C$21)</f>
        <v>0</v>
      </c>
      <c r="O617" s="28">
        <f>O612*_xlfn.XLOOKUP($L617,'Balizador da Meta'!$B$4:$B$21,'Balizador da Meta'!$C$4:$C$21)</f>
        <v>0</v>
      </c>
      <c r="P617" s="28">
        <f>P612*_xlfn.XLOOKUP($L617,'Balizador da Meta'!$B$4:$B$21,'Balizador da Meta'!$C$4:$C$21)</f>
        <v>0</v>
      </c>
      <c r="Q617" s="28">
        <f>Q612*_xlfn.XLOOKUP($L617,'Balizador da Meta'!$B$4:$B$21,'Balizador da Meta'!$C$4:$C$21)</f>
        <v>0</v>
      </c>
      <c r="R617" s="28">
        <f>R612*_xlfn.XLOOKUP($L617,'Balizador da Meta'!$B$4:$B$21,'Balizador da Meta'!$C$4:$C$21)</f>
        <v>0</v>
      </c>
      <c r="S617" s="28">
        <f>S612*_xlfn.XLOOKUP($L617,'Balizador da Meta'!$B$4:$B$21,'Balizador da Meta'!$C$4:$C$21)</f>
        <v>0</v>
      </c>
      <c r="T617" s="28">
        <f>T612*_xlfn.XLOOKUP($L617,'Balizador da Meta'!$B$4:$B$21,'Balizador da Meta'!$C$4:$C$21)</f>
        <v>0</v>
      </c>
      <c r="U617" s="28">
        <f>U612*_xlfn.XLOOKUP($L617,'Balizador da Meta'!$B$4:$B$21,'Balizador da Meta'!$C$4:$C$21)</f>
        <v>0</v>
      </c>
      <c r="V617" s="28">
        <f>V612*_xlfn.XLOOKUP($L617,'Balizador da Meta'!$B$4:$B$21,'Balizador da Meta'!$C$4:$C$21)</f>
        <v>0</v>
      </c>
      <c r="W617" s="28">
        <f>W612*_xlfn.XLOOKUP($L617,'Balizador da Meta'!$B$4:$B$21,'Balizador da Meta'!$C$4:$C$21)</f>
        <v>0</v>
      </c>
      <c r="X617" s="28">
        <f>X612*_xlfn.XLOOKUP($L617,'Balizador da Meta'!$B$4:$B$21,'Balizador da Meta'!$C$4:$C$21)</f>
        <v>0</v>
      </c>
      <c r="Y617" s="28">
        <f>Y612*_xlfn.XLOOKUP($L617,'Balizador da Meta'!$B$4:$B$21,'Balizador da Meta'!$C$4:$C$21)</f>
        <v>0</v>
      </c>
      <c r="Z617" s="30">
        <f t="shared" si="148"/>
        <v>0</v>
      </c>
      <c r="AA617" s="29"/>
      <c r="AB617" s="31">
        <f>SUMIFS('Historico - FAT'!AK:AK,'Historico - FAT'!$K:$K,Faturamento!$L617,'Historico - FAT'!$I:$I,Faturamento!$J617,'Historico - FAT'!$G:$G,Faturamento!$H617)</f>
        <v>0</v>
      </c>
      <c r="AC617" s="31">
        <f>SUMIFS('Historico - FAT'!AL:AL,'Historico - FAT'!$K:$K,Faturamento!$L617,'Historico - FAT'!$I:$I,Faturamento!$J617,'Historico - FAT'!$G:$G,Faturamento!$H617)</f>
        <v>0</v>
      </c>
      <c r="AD617" s="31">
        <f>SUMIFS('Historico - FAT'!AM:AM,'Historico - FAT'!$K:$K,Faturamento!$L617,'Historico - FAT'!$I:$I,Faturamento!$J617,'Historico - FAT'!$G:$G,Faturamento!$H617)</f>
        <v>0</v>
      </c>
      <c r="AE617" s="27">
        <f>SUMIFS('Historico - FAT'!AN:AN,'Historico - FAT'!$K:$K,Faturamento!$L617,'Historico - FAT'!$I:$I,Faturamento!$J617,'Historico - FAT'!$G:$G,Faturamento!$H617)</f>
        <v>0</v>
      </c>
      <c r="AG617" s="24" t="str">
        <f t="shared" si="136"/>
        <v/>
      </c>
      <c r="AH617" s="24" t="str">
        <f t="shared" si="137"/>
        <v/>
      </c>
      <c r="AI617" s="24" t="str">
        <f t="shared" si="138"/>
        <v/>
      </c>
    </row>
    <row r="618" spans="1:35" hidden="1" x14ac:dyDescent="0.3">
      <c r="A618" s="2" t="str">
        <f t="shared" si="135"/>
        <v>NÃO</v>
      </c>
      <c r="B618" s="2">
        <v>1000184670</v>
      </c>
      <c r="C618" s="2" t="s">
        <v>147</v>
      </c>
      <c r="D618" s="4">
        <v>1000186197</v>
      </c>
      <c r="E618" s="4" t="s">
        <v>166</v>
      </c>
      <c r="F618" s="2">
        <v>1000184758</v>
      </c>
      <c r="G618" s="2" t="s">
        <v>55</v>
      </c>
      <c r="H618" s="4">
        <v>1000189777</v>
      </c>
      <c r="I618" s="4" t="s">
        <v>56</v>
      </c>
      <c r="J618" s="2">
        <v>1000189270</v>
      </c>
      <c r="K618" s="2" t="s">
        <v>34</v>
      </c>
      <c r="L618" s="4" t="s">
        <v>19</v>
      </c>
      <c r="M618" s="4" t="str">
        <f t="shared" si="142"/>
        <v>1000184670100018619710001897771000189270GELEIA</v>
      </c>
      <c r="N618" s="28">
        <f>N612*_xlfn.XLOOKUP($L618,'Balizador da Meta'!$B$4:$B$21,'Balizador da Meta'!$C$4:$C$21)</f>
        <v>23.999999999999996</v>
      </c>
      <c r="O618" s="28">
        <f>O612*_xlfn.XLOOKUP($L618,'Balizador da Meta'!$B$4:$B$21,'Balizador da Meta'!$C$4:$C$21)</f>
        <v>23.999999999999996</v>
      </c>
      <c r="P618" s="28">
        <f>P612*_xlfn.XLOOKUP($L618,'Balizador da Meta'!$B$4:$B$21,'Balizador da Meta'!$C$4:$C$21)</f>
        <v>23.999999999999996</v>
      </c>
      <c r="Q618" s="28">
        <f>Q612*_xlfn.XLOOKUP($L618,'Balizador da Meta'!$B$4:$B$21,'Balizador da Meta'!$C$4:$C$21)</f>
        <v>23.999999999999996</v>
      </c>
      <c r="R618" s="28">
        <f>R612*_xlfn.XLOOKUP($L618,'Balizador da Meta'!$B$4:$B$21,'Balizador da Meta'!$C$4:$C$21)</f>
        <v>23.999999999999996</v>
      </c>
      <c r="S618" s="28">
        <f>S612*_xlfn.XLOOKUP($L618,'Balizador da Meta'!$B$4:$B$21,'Balizador da Meta'!$C$4:$C$21)</f>
        <v>23.999999999999996</v>
      </c>
      <c r="T618" s="28">
        <f>T612*_xlfn.XLOOKUP($L618,'Balizador da Meta'!$B$4:$B$21,'Balizador da Meta'!$C$4:$C$21)</f>
        <v>23.999999999999996</v>
      </c>
      <c r="U618" s="28">
        <f>U612*_xlfn.XLOOKUP($L618,'Balizador da Meta'!$B$4:$B$21,'Balizador da Meta'!$C$4:$C$21)</f>
        <v>23.999999999999996</v>
      </c>
      <c r="V618" s="28">
        <f>V612*_xlfn.XLOOKUP($L618,'Balizador da Meta'!$B$4:$B$21,'Balizador da Meta'!$C$4:$C$21)</f>
        <v>23.999999999999996</v>
      </c>
      <c r="W618" s="28">
        <f>W612*_xlfn.XLOOKUP($L618,'Balizador da Meta'!$B$4:$B$21,'Balizador da Meta'!$C$4:$C$21)</f>
        <v>23.999999999999996</v>
      </c>
      <c r="X618" s="28">
        <f>X612*_xlfn.XLOOKUP($L618,'Balizador da Meta'!$B$4:$B$21,'Balizador da Meta'!$C$4:$C$21)</f>
        <v>23.999999999999996</v>
      </c>
      <c r="Y618" s="28">
        <f>Y612*_xlfn.XLOOKUP($L618,'Balizador da Meta'!$B$4:$B$21,'Balizador da Meta'!$C$4:$C$21)</f>
        <v>23.999999999999996</v>
      </c>
      <c r="Z618" s="30">
        <f t="shared" si="148"/>
        <v>287.99999999999994</v>
      </c>
      <c r="AA618" s="29"/>
      <c r="AB618" s="31">
        <f>SUMIFS('Historico - FAT'!AK:AK,'Historico - FAT'!$K:$K,Faturamento!$L618,'Historico - FAT'!$I:$I,Faturamento!$J618,'Historico - FAT'!$G:$G,Faturamento!$H618)</f>
        <v>0</v>
      </c>
      <c r="AC618" s="31">
        <f>SUMIFS('Historico - FAT'!AL:AL,'Historico - FAT'!$K:$K,Faturamento!$L618,'Historico - FAT'!$I:$I,Faturamento!$J618,'Historico - FAT'!$G:$G,Faturamento!$H618)</f>
        <v>9</v>
      </c>
      <c r="AD618" s="31">
        <f>SUMIFS('Historico - FAT'!AM:AM,'Historico - FAT'!$K:$K,Faturamento!$L618,'Historico - FAT'!$I:$I,Faturamento!$J618,'Historico - FAT'!$G:$G,Faturamento!$H618)</f>
        <v>0</v>
      </c>
      <c r="AE618" s="27">
        <f>SUMIFS('Historico - FAT'!AN:AN,'Historico - FAT'!$K:$K,Faturamento!$L618,'Historico - FAT'!$I:$I,Faturamento!$J618,'Historico - FAT'!$G:$G,Faturamento!$H618)</f>
        <v>10.8</v>
      </c>
      <c r="AG618" s="24">
        <f t="shared" si="136"/>
        <v>1</v>
      </c>
      <c r="AH618" s="24">
        <f t="shared" si="137"/>
        <v>0.625</v>
      </c>
      <c r="AI618" s="24">
        <f t="shared" si="138"/>
        <v>1</v>
      </c>
    </row>
    <row r="619" spans="1:35" hidden="1" x14ac:dyDescent="0.3">
      <c r="A619" s="2" t="str">
        <f t="shared" si="135"/>
        <v>NÃO</v>
      </c>
      <c r="B619" s="2">
        <v>1000184670</v>
      </c>
      <c r="C619" s="2" t="s">
        <v>147</v>
      </c>
      <c r="D619" s="4">
        <v>1000186197</v>
      </c>
      <c r="E619" s="4" t="s">
        <v>166</v>
      </c>
      <c r="F619" s="2">
        <v>1000184758</v>
      </c>
      <c r="G619" s="2" t="s">
        <v>55</v>
      </c>
      <c r="H619" s="4">
        <v>1000189777</v>
      </c>
      <c r="I619" s="4" t="s">
        <v>56</v>
      </c>
      <c r="J619" s="2">
        <v>1000189270</v>
      </c>
      <c r="K619" s="2" t="s">
        <v>34</v>
      </c>
      <c r="L619" s="4" t="s">
        <v>17</v>
      </c>
      <c r="M619" s="4" t="str">
        <f t="shared" si="142"/>
        <v>1000184670100018619710001897771000189270GRANOLA</v>
      </c>
      <c r="N619" s="28">
        <f>N612*_xlfn.XLOOKUP($L619,'Balizador da Meta'!$B$4:$B$21,'Balizador da Meta'!$C$4:$C$21)</f>
        <v>24</v>
      </c>
      <c r="O619" s="28">
        <f>O612*_xlfn.XLOOKUP($L619,'Balizador da Meta'!$B$4:$B$21,'Balizador da Meta'!$C$4:$C$21)</f>
        <v>24</v>
      </c>
      <c r="P619" s="28">
        <f>P612*_xlfn.XLOOKUP($L619,'Balizador da Meta'!$B$4:$B$21,'Balizador da Meta'!$C$4:$C$21)</f>
        <v>24</v>
      </c>
      <c r="Q619" s="28">
        <f>Q612*_xlfn.XLOOKUP($L619,'Balizador da Meta'!$B$4:$B$21,'Balizador da Meta'!$C$4:$C$21)</f>
        <v>24</v>
      </c>
      <c r="R619" s="28">
        <f>R612*_xlfn.XLOOKUP($L619,'Balizador da Meta'!$B$4:$B$21,'Balizador da Meta'!$C$4:$C$21)</f>
        <v>24</v>
      </c>
      <c r="S619" s="28">
        <f>S612*_xlfn.XLOOKUP($L619,'Balizador da Meta'!$B$4:$B$21,'Balizador da Meta'!$C$4:$C$21)</f>
        <v>24</v>
      </c>
      <c r="T619" s="28">
        <f>T612*_xlfn.XLOOKUP($L619,'Balizador da Meta'!$B$4:$B$21,'Balizador da Meta'!$C$4:$C$21)</f>
        <v>24</v>
      </c>
      <c r="U619" s="28">
        <f>U612*_xlfn.XLOOKUP($L619,'Balizador da Meta'!$B$4:$B$21,'Balizador da Meta'!$C$4:$C$21)</f>
        <v>24</v>
      </c>
      <c r="V619" s="28">
        <f>V612*_xlfn.XLOOKUP($L619,'Balizador da Meta'!$B$4:$B$21,'Balizador da Meta'!$C$4:$C$21)</f>
        <v>24</v>
      </c>
      <c r="W619" s="28">
        <f>W612*_xlfn.XLOOKUP($L619,'Balizador da Meta'!$B$4:$B$21,'Balizador da Meta'!$C$4:$C$21)</f>
        <v>24</v>
      </c>
      <c r="X619" s="28">
        <f>X612*_xlfn.XLOOKUP($L619,'Balizador da Meta'!$B$4:$B$21,'Balizador da Meta'!$C$4:$C$21)</f>
        <v>24</v>
      </c>
      <c r="Y619" s="28">
        <f>Y612*_xlfn.XLOOKUP($L619,'Balizador da Meta'!$B$4:$B$21,'Balizador da Meta'!$C$4:$C$21)</f>
        <v>24</v>
      </c>
      <c r="Z619" s="30">
        <f t="shared" si="148"/>
        <v>288</v>
      </c>
      <c r="AA619" s="29"/>
      <c r="AB619" s="31">
        <f>SUMIFS('Historico - FAT'!AK:AK,'Historico - FAT'!$K:$K,Faturamento!$L619,'Historico - FAT'!$I:$I,Faturamento!$J619,'Historico - FAT'!$G:$G,Faturamento!$H619)</f>
        <v>0</v>
      </c>
      <c r="AC619" s="31">
        <f>SUMIFS('Historico - FAT'!AL:AL,'Historico - FAT'!$K:$K,Faturamento!$L619,'Historico - FAT'!$I:$I,Faturamento!$J619,'Historico - FAT'!$G:$G,Faturamento!$H619)</f>
        <v>5.75</v>
      </c>
      <c r="AD619" s="31">
        <f>SUMIFS('Historico - FAT'!AM:AM,'Historico - FAT'!$K:$K,Faturamento!$L619,'Historico - FAT'!$I:$I,Faturamento!$J619,'Historico - FAT'!$G:$G,Faturamento!$H619)</f>
        <v>0</v>
      </c>
      <c r="AE619" s="27">
        <f>SUMIFS('Historico - FAT'!AN:AN,'Historico - FAT'!$K:$K,Faturamento!$L619,'Historico - FAT'!$I:$I,Faturamento!$J619,'Historico - FAT'!$G:$G,Faturamento!$H619)</f>
        <v>6.9</v>
      </c>
      <c r="AG619" s="24">
        <f t="shared" si="136"/>
        <v>1</v>
      </c>
      <c r="AH619" s="24">
        <f t="shared" si="137"/>
        <v>0.76041666666666663</v>
      </c>
      <c r="AI619" s="24">
        <f t="shared" si="138"/>
        <v>1</v>
      </c>
    </row>
    <row r="620" spans="1:35" hidden="1" x14ac:dyDescent="0.3">
      <c r="A620" s="2" t="str">
        <f t="shared" si="135"/>
        <v>NÃO</v>
      </c>
      <c r="B620" s="2">
        <v>1000184670</v>
      </c>
      <c r="C620" s="2" t="s">
        <v>147</v>
      </c>
      <c r="D620" s="4">
        <v>1000186197</v>
      </c>
      <c r="E620" s="4" t="s">
        <v>166</v>
      </c>
      <c r="F620" s="2">
        <v>1000184758</v>
      </c>
      <c r="G620" s="2" t="s">
        <v>55</v>
      </c>
      <c r="H620" s="4">
        <v>1000189777</v>
      </c>
      <c r="I620" s="4" t="s">
        <v>56</v>
      </c>
      <c r="J620" s="2">
        <v>1000189270</v>
      </c>
      <c r="K620" s="2" t="s">
        <v>34</v>
      </c>
      <c r="L620" s="4" t="s">
        <v>24</v>
      </c>
      <c r="M620" s="4" t="str">
        <f t="shared" si="142"/>
        <v>1000184670100018619710001897771000189270KIDS</v>
      </c>
      <c r="N620" s="28">
        <f>N612*_xlfn.XLOOKUP($L620,'Balizador da Meta'!$B$4:$B$21,'Balizador da Meta'!$C$4:$C$21)</f>
        <v>0</v>
      </c>
      <c r="O620" s="28">
        <f>O612*_xlfn.XLOOKUP($L620,'Balizador da Meta'!$B$4:$B$21,'Balizador da Meta'!$C$4:$C$21)</f>
        <v>0</v>
      </c>
      <c r="P620" s="28">
        <f>P612*_xlfn.XLOOKUP($L620,'Balizador da Meta'!$B$4:$B$21,'Balizador da Meta'!$C$4:$C$21)</f>
        <v>0</v>
      </c>
      <c r="Q620" s="28">
        <f>Q612*_xlfn.XLOOKUP($L620,'Balizador da Meta'!$B$4:$B$21,'Balizador da Meta'!$C$4:$C$21)</f>
        <v>0</v>
      </c>
      <c r="R620" s="28">
        <f>R612*_xlfn.XLOOKUP($L620,'Balizador da Meta'!$B$4:$B$21,'Balizador da Meta'!$C$4:$C$21)</f>
        <v>0</v>
      </c>
      <c r="S620" s="28">
        <f>S612*_xlfn.XLOOKUP($L620,'Balizador da Meta'!$B$4:$B$21,'Balizador da Meta'!$C$4:$C$21)</f>
        <v>0</v>
      </c>
      <c r="T620" s="28">
        <f>T612*_xlfn.XLOOKUP($L620,'Balizador da Meta'!$B$4:$B$21,'Balizador da Meta'!$C$4:$C$21)</f>
        <v>0</v>
      </c>
      <c r="U620" s="28">
        <f>U612*_xlfn.XLOOKUP($L620,'Balizador da Meta'!$B$4:$B$21,'Balizador da Meta'!$C$4:$C$21)</f>
        <v>0</v>
      </c>
      <c r="V620" s="28">
        <f>V612*_xlfn.XLOOKUP($L620,'Balizador da Meta'!$B$4:$B$21,'Balizador da Meta'!$C$4:$C$21)</f>
        <v>0</v>
      </c>
      <c r="W620" s="28">
        <f>W612*_xlfn.XLOOKUP($L620,'Balizador da Meta'!$B$4:$B$21,'Balizador da Meta'!$C$4:$C$21)</f>
        <v>0</v>
      </c>
      <c r="X620" s="28">
        <f>X612*_xlfn.XLOOKUP($L620,'Balizador da Meta'!$B$4:$B$21,'Balizador da Meta'!$C$4:$C$21)</f>
        <v>0</v>
      </c>
      <c r="Y620" s="28">
        <f>Y612*_xlfn.XLOOKUP($L620,'Balizador da Meta'!$B$4:$B$21,'Balizador da Meta'!$C$4:$C$21)</f>
        <v>0</v>
      </c>
      <c r="Z620" s="30">
        <f t="shared" si="148"/>
        <v>0</v>
      </c>
      <c r="AA620" s="29"/>
      <c r="AB620" s="31">
        <f>SUMIFS('Historico - FAT'!AK:AK,'Historico - FAT'!$K:$K,Faturamento!$L620,'Historico - FAT'!$I:$I,Faturamento!$J620,'Historico - FAT'!$G:$G,Faturamento!$H620)</f>
        <v>0</v>
      </c>
      <c r="AC620" s="31">
        <f>SUMIFS('Historico - FAT'!AL:AL,'Historico - FAT'!$K:$K,Faturamento!$L620,'Historico - FAT'!$I:$I,Faturamento!$J620,'Historico - FAT'!$G:$G,Faturamento!$H620)</f>
        <v>4.1150000000000002</v>
      </c>
      <c r="AD620" s="31">
        <f>SUMIFS('Historico - FAT'!AM:AM,'Historico - FAT'!$K:$K,Faturamento!$L620,'Historico - FAT'!$I:$I,Faturamento!$J620,'Historico - FAT'!$G:$G,Faturamento!$H620)</f>
        <v>0</v>
      </c>
      <c r="AE620" s="27">
        <f>SUMIFS('Historico - FAT'!AN:AN,'Historico - FAT'!$K:$K,Faturamento!$L620,'Historico - FAT'!$I:$I,Faturamento!$J620,'Historico - FAT'!$G:$G,Faturamento!$H620)</f>
        <v>4.9380000000000006</v>
      </c>
      <c r="AG620" s="24" t="str">
        <f t="shared" si="136"/>
        <v/>
      </c>
      <c r="AH620" s="24" t="str">
        <f t="shared" si="137"/>
        <v/>
      </c>
      <c r="AI620" s="24" t="str">
        <f t="shared" si="138"/>
        <v/>
      </c>
    </row>
    <row r="621" spans="1:35" hidden="1" x14ac:dyDescent="0.3">
      <c r="A621" s="2" t="str">
        <f t="shared" si="135"/>
        <v>NÃO</v>
      </c>
      <c r="B621" s="2">
        <v>1000184670</v>
      </c>
      <c r="C621" s="2" t="s">
        <v>147</v>
      </c>
      <c r="D621" s="4">
        <v>1000186197</v>
      </c>
      <c r="E621" s="4" t="s">
        <v>166</v>
      </c>
      <c r="F621" s="2">
        <v>1000184758</v>
      </c>
      <c r="G621" s="2" t="s">
        <v>55</v>
      </c>
      <c r="H621" s="4">
        <v>1000189777</v>
      </c>
      <c r="I621" s="4" t="s">
        <v>56</v>
      </c>
      <c r="J621" s="2">
        <v>1000189270</v>
      </c>
      <c r="K621" s="2" t="s">
        <v>34</v>
      </c>
      <c r="L621" s="4" t="s">
        <v>18</v>
      </c>
      <c r="M621" s="4" t="str">
        <f t="shared" si="142"/>
        <v>1000184670100018619710001897771000189270LANCHES</v>
      </c>
      <c r="N621" s="28">
        <f>N612*_xlfn.XLOOKUP($L621,'Balizador da Meta'!$B$4:$B$21,'Balizador da Meta'!$C$4:$C$21)</f>
        <v>12</v>
      </c>
      <c r="O621" s="28">
        <f>O612*_xlfn.XLOOKUP($L621,'Balizador da Meta'!$B$4:$B$21,'Balizador da Meta'!$C$4:$C$21)</f>
        <v>12</v>
      </c>
      <c r="P621" s="28">
        <f>P612*_xlfn.XLOOKUP($L621,'Balizador da Meta'!$B$4:$B$21,'Balizador da Meta'!$C$4:$C$21)</f>
        <v>12</v>
      </c>
      <c r="Q621" s="28">
        <f>Q612*_xlfn.XLOOKUP($L621,'Balizador da Meta'!$B$4:$B$21,'Balizador da Meta'!$C$4:$C$21)</f>
        <v>12</v>
      </c>
      <c r="R621" s="28">
        <f>R612*_xlfn.XLOOKUP($L621,'Balizador da Meta'!$B$4:$B$21,'Balizador da Meta'!$C$4:$C$21)</f>
        <v>12</v>
      </c>
      <c r="S621" s="28">
        <f>S612*_xlfn.XLOOKUP($L621,'Balizador da Meta'!$B$4:$B$21,'Balizador da Meta'!$C$4:$C$21)</f>
        <v>12</v>
      </c>
      <c r="T621" s="28">
        <f>T612*_xlfn.XLOOKUP($L621,'Balizador da Meta'!$B$4:$B$21,'Balizador da Meta'!$C$4:$C$21)</f>
        <v>12</v>
      </c>
      <c r="U621" s="28">
        <f>U612*_xlfn.XLOOKUP($L621,'Balizador da Meta'!$B$4:$B$21,'Balizador da Meta'!$C$4:$C$21)</f>
        <v>12</v>
      </c>
      <c r="V621" s="28">
        <f>V612*_xlfn.XLOOKUP($L621,'Balizador da Meta'!$B$4:$B$21,'Balizador da Meta'!$C$4:$C$21)</f>
        <v>12</v>
      </c>
      <c r="W621" s="28">
        <f>W612*_xlfn.XLOOKUP($L621,'Balizador da Meta'!$B$4:$B$21,'Balizador da Meta'!$C$4:$C$21)</f>
        <v>12</v>
      </c>
      <c r="X621" s="28">
        <f>X612*_xlfn.XLOOKUP($L621,'Balizador da Meta'!$B$4:$B$21,'Balizador da Meta'!$C$4:$C$21)</f>
        <v>12</v>
      </c>
      <c r="Y621" s="28">
        <f>Y612*_xlfn.XLOOKUP($L621,'Balizador da Meta'!$B$4:$B$21,'Balizador da Meta'!$C$4:$C$21)</f>
        <v>12</v>
      </c>
      <c r="Z621" s="30">
        <f t="shared" si="148"/>
        <v>144</v>
      </c>
      <c r="AA621" s="29"/>
      <c r="AB621" s="31">
        <f>SUMIFS('Historico - FAT'!AK:AK,'Historico - FAT'!$K:$K,Faturamento!$L621,'Historico - FAT'!$I:$I,Faturamento!$J621,'Historico - FAT'!$G:$G,Faturamento!$H621)</f>
        <v>0</v>
      </c>
      <c r="AC621" s="31">
        <f>SUMIFS('Historico - FAT'!AL:AL,'Historico - FAT'!$K:$K,Faturamento!$L621,'Historico - FAT'!$I:$I,Faturamento!$J621,'Historico - FAT'!$G:$G,Faturamento!$H621)</f>
        <v>1.925</v>
      </c>
      <c r="AD621" s="31">
        <f>SUMIFS('Historico - FAT'!AM:AM,'Historico - FAT'!$K:$K,Faturamento!$L621,'Historico - FAT'!$I:$I,Faturamento!$J621,'Historico - FAT'!$G:$G,Faturamento!$H621)</f>
        <v>0</v>
      </c>
      <c r="AE621" s="27">
        <f>SUMIFS('Historico - FAT'!AN:AN,'Historico - FAT'!$K:$K,Faturamento!$L621,'Historico - FAT'!$I:$I,Faturamento!$J621,'Historico - FAT'!$G:$G,Faturamento!$H621)</f>
        <v>2.31</v>
      </c>
      <c r="AG621" s="24">
        <f t="shared" si="136"/>
        <v>1</v>
      </c>
      <c r="AH621" s="24">
        <f t="shared" si="137"/>
        <v>0.83958333333333324</v>
      </c>
      <c r="AI621" s="24">
        <f t="shared" si="138"/>
        <v>1</v>
      </c>
    </row>
    <row r="622" spans="1:35" hidden="1" x14ac:dyDescent="0.3">
      <c r="A622" s="2" t="str">
        <f t="shared" si="135"/>
        <v>NÃO</v>
      </c>
      <c r="B622" s="2">
        <v>1000184670</v>
      </c>
      <c r="C622" s="2" t="s">
        <v>147</v>
      </c>
      <c r="D622" s="4">
        <v>1000186197</v>
      </c>
      <c r="E622" s="4" t="s">
        <v>166</v>
      </c>
      <c r="F622" s="2">
        <v>1000184758</v>
      </c>
      <c r="G622" s="2" t="s">
        <v>55</v>
      </c>
      <c r="H622" s="4">
        <v>1000189777</v>
      </c>
      <c r="I622" s="4" t="s">
        <v>56</v>
      </c>
      <c r="J622" s="2">
        <v>1000189270</v>
      </c>
      <c r="K622" s="2" t="s">
        <v>34</v>
      </c>
      <c r="L622" s="4" t="s">
        <v>29</v>
      </c>
      <c r="M622" s="4" t="str">
        <f t="shared" si="142"/>
        <v>1000184670100018619710001897771000189270MAIS GRANEL</v>
      </c>
      <c r="N622" s="28">
        <f>N612*_xlfn.XLOOKUP($L622,'Balizador da Meta'!$B$4:$B$21,'Balizador da Meta'!$C$4:$C$21)</f>
        <v>384</v>
      </c>
      <c r="O622" s="28">
        <f>O612*_xlfn.XLOOKUP($L622,'Balizador da Meta'!$B$4:$B$21,'Balizador da Meta'!$C$4:$C$21)</f>
        <v>384</v>
      </c>
      <c r="P622" s="28">
        <f>P612*_xlfn.XLOOKUP($L622,'Balizador da Meta'!$B$4:$B$21,'Balizador da Meta'!$C$4:$C$21)</f>
        <v>384</v>
      </c>
      <c r="Q622" s="28">
        <f>Q612*_xlfn.XLOOKUP($L622,'Balizador da Meta'!$B$4:$B$21,'Balizador da Meta'!$C$4:$C$21)</f>
        <v>384</v>
      </c>
      <c r="R622" s="28">
        <f>R612*_xlfn.XLOOKUP($L622,'Balizador da Meta'!$B$4:$B$21,'Balizador da Meta'!$C$4:$C$21)</f>
        <v>384</v>
      </c>
      <c r="S622" s="28">
        <f>S612*_xlfn.XLOOKUP($L622,'Balizador da Meta'!$B$4:$B$21,'Balizador da Meta'!$C$4:$C$21)</f>
        <v>384</v>
      </c>
      <c r="T622" s="28">
        <f>T612*_xlfn.XLOOKUP($L622,'Balizador da Meta'!$B$4:$B$21,'Balizador da Meta'!$C$4:$C$21)</f>
        <v>384</v>
      </c>
      <c r="U622" s="28">
        <f>U612*_xlfn.XLOOKUP($L622,'Balizador da Meta'!$B$4:$B$21,'Balizador da Meta'!$C$4:$C$21)</f>
        <v>384</v>
      </c>
      <c r="V622" s="28">
        <f>V612*_xlfn.XLOOKUP($L622,'Balizador da Meta'!$B$4:$B$21,'Balizador da Meta'!$C$4:$C$21)</f>
        <v>384</v>
      </c>
      <c r="W622" s="28">
        <f>W612*_xlfn.XLOOKUP($L622,'Balizador da Meta'!$B$4:$B$21,'Balizador da Meta'!$C$4:$C$21)</f>
        <v>384</v>
      </c>
      <c r="X622" s="28">
        <f>X612*_xlfn.XLOOKUP($L622,'Balizador da Meta'!$B$4:$B$21,'Balizador da Meta'!$C$4:$C$21)</f>
        <v>384</v>
      </c>
      <c r="Y622" s="28">
        <f>Y612*_xlfn.XLOOKUP($L622,'Balizador da Meta'!$B$4:$B$21,'Balizador da Meta'!$C$4:$C$21)</f>
        <v>384</v>
      </c>
      <c r="Z622" s="30">
        <f t="shared" si="148"/>
        <v>4608</v>
      </c>
      <c r="AA622" s="29"/>
      <c r="AB622" s="31">
        <f>SUMIFS('Historico - FAT'!AK:AK,'Historico - FAT'!$K:$K,Faturamento!$L622,'Historico - FAT'!$I:$I,Faturamento!$J622,'Historico - FAT'!$G:$G,Faturamento!$H622)</f>
        <v>0</v>
      </c>
      <c r="AC622" s="31">
        <f>SUMIFS('Historico - FAT'!AL:AL,'Historico - FAT'!$K:$K,Faturamento!$L622,'Historico - FAT'!$I:$I,Faturamento!$J622,'Historico - FAT'!$G:$G,Faturamento!$H622)</f>
        <v>154.83000000000001</v>
      </c>
      <c r="AD622" s="31">
        <f>SUMIFS('Historico - FAT'!AM:AM,'Historico - FAT'!$K:$K,Faturamento!$L622,'Historico - FAT'!$I:$I,Faturamento!$J622,'Historico - FAT'!$G:$G,Faturamento!$H622)</f>
        <v>309.66000000000003</v>
      </c>
      <c r="AE622" s="27">
        <f>SUMIFS('Historico - FAT'!AN:AN,'Historico - FAT'!$K:$K,Faturamento!$L622,'Historico - FAT'!$I:$I,Faturamento!$J622,'Historico - FAT'!$G:$G,Faturamento!$H622)</f>
        <v>185.79599999999999</v>
      </c>
      <c r="AG622" s="24">
        <f t="shared" si="136"/>
        <v>1</v>
      </c>
      <c r="AH622" s="24">
        <f t="shared" si="137"/>
        <v>0.596796875</v>
      </c>
      <c r="AI622" s="24">
        <f t="shared" si="138"/>
        <v>0.19359374999999993</v>
      </c>
    </row>
    <row r="623" spans="1:35" hidden="1" x14ac:dyDescent="0.3">
      <c r="A623" s="2" t="str">
        <f t="shared" si="135"/>
        <v>NÃO</v>
      </c>
      <c r="B623" s="2">
        <v>1000184670</v>
      </c>
      <c r="C623" s="2" t="s">
        <v>147</v>
      </c>
      <c r="D623" s="4">
        <v>1000186197</v>
      </c>
      <c r="E623" s="4" t="s">
        <v>166</v>
      </c>
      <c r="F623" s="2">
        <v>1000184758</v>
      </c>
      <c r="G623" s="2" t="s">
        <v>55</v>
      </c>
      <c r="H623" s="4">
        <v>1000189777</v>
      </c>
      <c r="I623" s="4" t="s">
        <v>56</v>
      </c>
      <c r="J623" s="2">
        <v>1000189270</v>
      </c>
      <c r="K623" s="2" t="s">
        <v>34</v>
      </c>
      <c r="L623" s="4" t="s">
        <v>21</v>
      </c>
      <c r="M623" s="4" t="str">
        <f t="shared" si="142"/>
        <v>1000184670100018619710001897771000189270NATURATTA</v>
      </c>
      <c r="N623" s="28">
        <f>N612*_xlfn.XLOOKUP($L623,'Balizador da Meta'!$B$4:$B$21,'Balizador da Meta'!$C$4:$C$21)</f>
        <v>60</v>
      </c>
      <c r="O623" s="28">
        <f>O612*_xlfn.XLOOKUP($L623,'Balizador da Meta'!$B$4:$B$21,'Balizador da Meta'!$C$4:$C$21)</f>
        <v>60</v>
      </c>
      <c r="P623" s="28">
        <f>P612*_xlfn.XLOOKUP($L623,'Balizador da Meta'!$B$4:$B$21,'Balizador da Meta'!$C$4:$C$21)</f>
        <v>60</v>
      </c>
      <c r="Q623" s="28">
        <f>Q612*_xlfn.XLOOKUP($L623,'Balizador da Meta'!$B$4:$B$21,'Balizador da Meta'!$C$4:$C$21)</f>
        <v>60</v>
      </c>
      <c r="R623" s="28">
        <f>R612*_xlfn.XLOOKUP($L623,'Balizador da Meta'!$B$4:$B$21,'Balizador da Meta'!$C$4:$C$21)</f>
        <v>60</v>
      </c>
      <c r="S623" s="28">
        <f>S612*_xlfn.XLOOKUP($L623,'Balizador da Meta'!$B$4:$B$21,'Balizador da Meta'!$C$4:$C$21)</f>
        <v>60</v>
      </c>
      <c r="T623" s="28">
        <f>T612*_xlfn.XLOOKUP($L623,'Balizador da Meta'!$B$4:$B$21,'Balizador da Meta'!$C$4:$C$21)</f>
        <v>60</v>
      </c>
      <c r="U623" s="28">
        <f>U612*_xlfn.XLOOKUP($L623,'Balizador da Meta'!$B$4:$B$21,'Balizador da Meta'!$C$4:$C$21)</f>
        <v>60</v>
      </c>
      <c r="V623" s="28">
        <f>V612*_xlfn.XLOOKUP($L623,'Balizador da Meta'!$B$4:$B$21,'Balizador da Meta'!$C$4:$C$21)</f>
        <v>60</v>
      </c>
      <c r="W623" s="28">
        <f>W612*_xlfn.XLOOKUP($L623,'Balizador da Meta'!$B$4:$B$21,'Balizador da Meta'!$C$4:$C$21)</f>
        <v>60</v>
      </c>
      <c r="X623" s="28">
        <f>X612*_xlfn.XLOOKUP($L623,'Balizador da Meta'!$B$4:$B$21,'Balizador da Meta'!$C$4:$C$21)</f>
        <v>60</v>
      </c>
      <c r="Y623" s="28">
        <f>Y612*_xlfn.XLOOKUP($L623,'Balizador da Meta'!$B$4:$B$21,'Balizador da Meta'!$C$4:$C$21)</f>
        <v>60</v>
      </c>
      <c r="Z623" s="30">
        <f t="shared" si="148"/>
        <v>720</v>
      </c>
      <c r="AA623" s="29"/>
      <c r="AB623" s="31">
        <f>SUMIFS('Historico - FAT'!AK:AK,'Historico - FAT'!$K:$K,Faturamento!$L623,'Historico - FAT'!$I:$I,Faturamento!$J623,'Historico - FAT'!$G:$G,Faturamento!$H623)</f>
        <v>0</v>
      </c>
      <c r="AC623" s="31">
        <f>SUMIFS('Historico - FAT'!AL:AL,'Historico - FAT'!$K:$K,Faturamento!$L623,'Historico - FAT'!$I:$I,Faturamento!$J623,'Historico - FAT'!$G:$G,Faturamento!$H623)</f>
        <v>21.125</v>
      </c>
      <c r="AD623" s="31">
        <f>SUMIFS('Historico - FAT'!AM:AM,'Historico - FAT'!$K:$K,Faturamento!$L623,'Historico - FAT'!$I:$I,Faturamento!$J623,'Historico - FAT'!$G:$G,Faturamento!$H623)</f>
        <v>0</v>
      </c>
      <c r="AE623" s="27">
        <f>SUMIFS('Historico - FAT'!AN:AN,'Historico - FAT'!$K:$K,Faturamento!$L623,'Historico - FAT'!$I:$I,Faturamento!$J623,'Historico - FAT'!$G:$G,Faturamento!$H623)</f>
        <v>25.35</v>
      </c>
      <c r="AG623" s="24">
        <f t="shared" si="136"/>
        <v>1</v>
      </c>
      <c r="AH623" s="24">
        <f t="shared" si="137"/>
        <v>0.6479166666666667</v>
      </c>
      <c r="AI623" s="24">
        <f t="shared" si="138"/>
        <v>1</v>
      </c>
    </row>
    <row r="624" spans="1:35" hidden="1" x14ac:dyDescent="0.3">
      <c r="A624" s="2" t="str">
        <f t="shared" si="135"/>
        <v>NÃO</v>
      </c>
      <c r="B624" s="2">
        <v>1000184670</v>
      </c>
      <c r="C624" s="2" t="s">
        <v>147</v>
      </c>
      <c r="D624" s="4">
        <v>1000186197</v>
      </c>
      <c r="E624" s="4" t="s">
        <v>166</v>
      </c>
      <c r="F624" s="2">
        <v>1000184758</v>
      </c>
      <c r="G624" s="2" t="s">
        <v>55</v>
      </c>
      <c r="H624" s="4">
        <v>1000189777</v>
      </c>
      <c r="I624" s="4" t="s">
        <v>56</v>
      </c>
      <c r="J624" s="2">
        <v>1000189270</v>
      </c>
      <c r="K624" s="2" t="s">
        <v>34</v>
      </c>
      <c r="L624" s="4" t="s">
        <v>20</v>
      </c>
      <c r="M624" s="4" t="str">
        <f t="shared" si="142"/>
        <v>1000184670100018619710001897771000189270REEMBALADOS</v>
      </c>
      <c r="N624" s="28">
        <f>N612*_xlfn.XLOOKUP($L624,'Balizador da Meta'!$B$4:$B$21,'Balizador da Meta'!$C$4:$C$21)</f>
        <v>48</v>
      </c>
      <c r="O624" s="28">
        <f>O612*_xlfn.XLOOKUP($L624,'Balizador da Meta'!$B$4:$B$21,'Balizador da Meta'!$C$4:$C$21)</f>
        <v>48</v>
      </c>
      <c r="P624" s="28">
        <f>P612*_xlfn.XLOOKUP($L624,'Balizador da Meta'!$B$4:$B$21,'Balizador da Meta'!$C$4:$C$21)</f>
        <v>48</v>
      </c>
      <c r="Q624" s="28">
        <f>Q612*_xlfn.XLOOKUP($L624,'Balizador da Meta'!$B$4:$B$21,'Balizador da Meta'!$C$4:$C$21)</f>
        <v>48</v>
      </c>
      <c r="R624" s="28">
        <f>R612*_xlfn.XLOOKUP($L624,'Balizador da Meta'!$B$4:$B$21,'Balizador da Meta'!$C$4:$C$21)</f>
        <v>48</v>
      </c>
      <c r="S624" s="28">
        <f>S612*_xlfn.XLOOKUP($L624,'Balizador da Meta'!$B$4:$B$21,'Balizador da Meta'!$C$4:$C$21)</f>
        <v>48</v>
      </c>
      <c r="T624" s="28">
        <f>T612*_xlfn.XLOOKUP($L624,'Balizador da Meta'!$B$4:$B$21,'Balizador da Meta'!$C$4:$C$21)</f>
        <v>48</v>
      </c>
      <c r="U624" s="28">
        <f>U612*_xlfn.XLOOKUP($L624,'Balizador da Meta'!$B$4:$B$21,'Balizador da Meta'!$C$4:$C$21)</f>
        <v>48</v>
      </c>
      <c r="V624" s="28">
        <f>V612*_xlfn.XLOOKUP($L624,'Balizador da Meta'!$B$4:$B$21,'Balizador da Meta'!$C$4:$C$21)</f>
        <v>48</v>
      </c>
      <c r="W624" s="28">
        <f>W612*_xlfn.XLOOKUP($L624,'Balizador da Meta'!$B$4:$B$21,'Balizador da Meta'!$C$4:$C$21)</f>
        <v>48</v>
      </c>
      <c r="X624" s="28">
        <f>X612*_xlfn.XLOOKUP($L624,'Balizador da Meta'!$B$4:$B$21,'Balizador da Meta'!$C$4:$C$21)</f>
        <v>48</v>
      </c>
      <c r="Y624" s="28">
        <f>Y612*_xlfn.XLOOKUP($L624,'Balizador da Meta'!$B$4:$B$21,'Balizador da Meta'!$C$4:$C$21)</f>
        <v>48</v>
      </c>
      <c r="Z624" s="30">
        <f t="shared" si="148"/>
        <v>576</v>
      </c>
      <c r="AA624" s="29"/>
      <c r="AB624" s="31">
        <f>SUMIFS('Historico - FAT'!AK:AK,'Historico - FAT'!$K:$K,Faturamento!$L624,'Historico - FAT'!$I:$I,Faturamento!$J624,'Historico - FAT'!$G:$G,Faturamento!$H624)</f>
        <v>0</v>
      </c>
      <c r="AC624" s="31">
        <f>SUMIFS('Historico - FAT'!AL:AL,'Historico - FAT'!$K:$K,Faturamento!$L624,'Historico - FAT'!$I:$I,Faturamento!$J624,'Historico - FAT'!$G:$G,Faturamento!$H624)</f>
        <v>1.6791666666666665</v>
      </c>
      <c r="AD624" s="31">
        <f>SUMIFS('Historico - FAT'!AM:AM,'Historico - FAT'!$K:$K,Faturamento!$L624,'Historico - FAT'!$I:$I,Faturamento!$J624,'Historico - FAT'!$G:$G,Faturamento!$H624)</f>
        <v>0</v>
      </c>
      <c r="AE624" s="27">
        <f>SUMIFS('Historico - FAT'!AN:AN,'Historico - FAT'!$K:$K,Faturamento!$L624,'Historico - FAT'!$I:$I,Faturamento!$J624,'Historico - FAT'!$G:$G,Faturamento!$H624)</f>
        <v>2.0149999999999997</v>
      </c>
      <c r="AG624" s="24">
        <f t="shared" si="136"/>
        <v>1</v>
      </c>
      <c r="AH624" s="24">
        <f t="shared" si="137"/>
        <v>0.96501736111111114</v>
      </c>
      <c r="AI624" s="24">
        <f t="shared" si="138"/>
        <v>1</v>
      </c>
    </row>
    <row r="625" spans="1:35" hidden="1" x14ac:dyDescent="0.3">
      <c r="A625" s="2" t="str">
        <f t="shared" si="135"/>
        <v>NÃO</v>
      </c>
      <c r="B625" s="2">
        <v>1000184670</v>
      </c>
      <c r="C625" s="2" t="s">
        <v>147</v>
      </c>
      <c r="D625" s="4">
        <v>1000186197</v>
      </c>
      <c r="E625" s="4" t="s">
        <v>166</v>
      </c>
      <c r="F625" s="2">
        <v>1000184758</v>
      </c>
      <c r="G625" s="2" t="s">
        <v>55</v>
      </c>
      <c r="H625" s="4">
        <v>1000189777</v>
      </c>
      <c r="I625" s="4" t="s">
        <v>56</v>
      </c>
      <c r="J625" s="2">
        <v>1000189270</v>
      </c>
      <c r="K625" s="2" t="s">
        <v>34</v>
      </c>
      <c r="L625" s="4" t="s">
        <v>22</v>
      </c>
      <c r="M625" s="4" t="str">
        <f t="shared" si="142"/>
        <v>1000184670100018619710001897771000189270S GLUTEN</v>
      </c>
      <c r="N625" s="28">
        <f>N612*_xlfn.XLOOKUP($L625,'Balizador da Meta'!$B$4:$B$21,'Balizador da Meta'!$C$4:$C$21)</f>
        <v>48</v>
      </c>
      <c r="O625" s="28">
        <f>O612*_xlfn.XLOOKUP($L625,'Balizador da Meta'!$B$4:$B$21,'Balizador da Meta'!$C$4:$C$21)</f>
        <v>48</v>
      </c>
      <c r="P625" s="28">
        <f>P612*_xlfn.XLOOKUP($L625,'Balizador da Meta'!$B$4:$B$21,'Balizador da Meta'!$C$4:$C$21)</f>
        <v>48</v>
      </c>
      <c r="Q625" s="28">
        <f>Q612*_xlfn.XLOOKUP($L625,'Balizador da Meta'!$B$4:$B$21,'Balizador da Meta'!$C$4:$C$21)</f>
        <v>48</v>
      </c>
      <c r="R625" s="28">
        <f>R612*_xlfn.XLOOKUP($L625,'Balizador da Meta'!$B$4:$B$21,'Balizador da Meta'!$C$4:$C$21)</f>
        <v>48</v>
      </c>
      <c r="S625" s="28">
        <f>S612*_xlfn.XLOOKUP($L625,'Balizador da Meta'!$B$4:$B$21,'Balizador da Meta'!$C$4:$C$21)</f>
        <v>48</v>
      </c>
      <c r="T625" s="28">
        <f>T612*_xlfn.XLOOKUP($L625,'Balizador da Meta'!$B$4:$B$21,'Balizador da Meta'!$C$4:$C$21)</f>
        <v>48</v>
      </c>
      <c r="U625" s="28">
        <f>U612*_xlfn.XLOOKUP($L625,'Balizador da Meta'!$B$4:$B$21,'Balizador da Meta'!$C$4:$C$21)</f>
        <v>48</v>
      </c>
      <c r="V625" s="28">
        <f>V612*_xlfn.XLOOKUP($L625,'Balizador da Meta'!$B$4:$B$21,'Balizador da Meta'!$C$4:$C$21)</f>
        <v>48</v>
      </c>
      <c r="W625" s="28">
        <f>W612*_xlfn.XLOOKUP($L625,'Balizador da Meta'!$B$4:$B$21,'Balizador da Meta'!$C$4:$C$21)</f>
        <v>48</v>
      </c>
      <c r="X625" s="28">
        <f>X612*_xlfn.XLOOKUP($L625,'Balizador da Meta'!$B$4:$B$21,'Balizador da Meta'!$C$4:$C$21)</f>
        <v>48</v>
      </c>
      <c r="Y625" s="28">
        <f>Y612*_xlfn.XLOOKUP($L625,'Balizador da Meta'!$B$4:$B$21,'Balizador da Meta'!$C$4:$C$21)</f>
        <v>48</v>
      </c>
      <c r="Z625" s="30">
        <f t="shared" si="148"/>
        <v>576</v>
      </c>
      <c r="AA625" s="29"/>
      <c r="AB625" s="31">
        <f>SUMIFS('Historico - FAT'!AK:AK,'Historico - FAT'!$K:$K,Faturamento!$L625,'Historico - FAT'!$I:$I,Faturamento!$J625,'Historico - FAT'!$G:$G,Faturamento!$H625)</f>
        <v>0</v>
      </c>
      <c r="AC625" s="31">
        <f>SUMIFS('Historico - FAT'!AL:AL,'Historico - FAT'!$K:$K,Faturamento!$L625,'Historico - FAT'!$I:$I,Faturamento!$J625,'Historico - FAT'!$G:$G,Faturamento!$H625)</f>
        <v>25.849999999999998</v>
      </c>
      <c r="AD625" s="31">
        <f>SUMIFS('Historico - FAT'!AM:AM,'Historico - FAT'!$K:$K,Faturamento!$L625,'Historico - FAT'!$I:$I,Faturamento!$J625,'Historico - FAT'!$G:$G,Faturamento!$H625)</f>
        <v>0</v>
      </c>
      <c r="AE625" s="27">
        <f>SUMIFS('Historico - FAT'!AN:AN,'Historico - FAT'!$K:$K,Faturamento!$L625,'Historico - FAT'!$I:$I,Faturamento!$J625,'Historico - FAT'!$G:$G,Faturamento!$H625)</f>
        <v>31.02</v>
      </c>
      <c r="AG625" s="24">
        <f t="shared" si="136"/>
        <v>1</v>
      </c>
      <c r="AH625" s="24">
        <f t="shared" si="137"/>
        <v>0.46145833333333336</v>
      </c>
      <c r="AI625" s="24">
        <f t="shared" si="138"/>
        <v>1</v>
      </c>
    </row>
    <row r="626" spans="1:35" hidden="1" x14ac:dyDescent="0.3">
      <c r="A626" s="2" t="str">
        <f t="shared" ref="A626:A689" si="149">IF(OR(H626&lt;&gt;H625,J626&lt;&gt;J625),"SIM","NÃO")</f>
        <v>NÃO</v>
      </c>
      <c r="B626" s="2">
        <v>1000184670</v>
      </c>
      <c r="C626" s="2" t="s">
        <v>147</v>
      </c>
      <c r="D626" s="4">
        <v>1000186197</v>
      </c>
      <c r="E626" s="4" t="s">
        <v>166</v>
      </c>
      <c r="F626" s="2">
        <v>1000184758</v>
      </c>
      <c r="G626" s="2" t="s">
        <v>55</v>
      </c>
      <c r="H626" s="4">
        <v>1000189777</v>
      </c>
      <c r="I626" s="4" t="s">
        <v>56</v>
      </c>
      <c r="J626" s="2">
        <v>1000189270</v>
      </c>
      <c r="K626" s="2" t="s">
        <v>34</v>
      </c>
      <c r="L626" s="4" t="s">
        <v>23</v>
      </c>
      <c r="M626" s="4" t="str">
        <f t="shared" si="142"/>
        <v>1000184670100018619710001897771000189270SABORES DO CAMPO</v>
      </c>
      <c r="N626" s="28">
        <f>N612*_xlfn.XLOOKUP($L626,'Balizador da Meta'!$B$4:$B$21,'Balizador da Meta'!$C$4:$C$21)</f>
        <v>0</v>
      </c>
      <c r="O626" s="28">
        <f>O612*_xlfn.XLOOKUP($L626,'Balizador da Meta'!$B$4:$B$21,'Balizador da Meta'!$C$4:$C$21)</f>
        <v>0</v>
      </c>
      <c r="P626" s="28">
        <f>P612*_xlfn.XLOOKUP($L626,'Balizador da Meta'!$B$4:$B$21,'Balizador da Meta'!$C$4:$C$21)</f>
        <v>0</v>
      </c>
      <c r="Q626" s="28">
        <f>Q612*_xlfn.XLOOKUP($L626,'Balizador da Meta'!$B$4:$B$21,'Balizador da Meta'!$C$4:$C$21)</f>
        <v>0</v>
      </c>
      <c r="R626" s="28">
        <f>R612*_xlfn.XLOOKUP($L626,'Balizador da Meta'!$B$4:$B$21,'Balizador da Meta'!$C$4:$C$21)</f>
        <v>0</v>
      </c>
      <c r="S626" s="28">
        <f>S612*_xlfn.XLOOKUP($L626,'Balizador da Meta'!$B$4:$B$21,'Balizador da Meta'!$C$4:$C$21)</f>
        <v>0</v>
      </c>
      <c r="T626" s="28">
        <f>T612*_xlfn.XLOOKUP($L626,'Balizador da Meta'!$B$4:$B$21,'Balizador da Meta'!$C$4:$C$21)</f>
        <v>0</v>
      </c>
      <c r="U626" s="28">
        <f>U612*_xlfn.XLOOKUP($L626,'Balizador da Meta'!$B$4:$B$21,'Balizador da Meta'!$C$4:$C$21)</f>
        <v>0</v>
      </c>
      <c r="V626" s="28">
        <f>V612*_xlfn.XLOOKUP($L626,'Balizador da Meta'!$B$4:$B$21,'Balizador da Meta'!$C$4:$C$21)</f>
        <v>0</v>
      </c>
      <c r="W626" s="28">
        <f>W612*_xlfn.XLOOKUP($L626,'Balizador da Meta'!$B$4:$B$21,'Balizador da Meta'!$C$4:$C$21)</f>
        <v>0</v>
      </c>
      <c r="X626" s="28">
        <f>X612*_xlfn.XLOOKUP($L626,'Balizador da Meta'!$B$4:$B$21,'Balizador da Meta'!$C$4:$C$21)</f>
        <v>0</v>
      </c>
      <c r="Y626" s="28">
        <f>Y612*_xlfn.XLOOKUP($L626,'Balizador da Meta'!$B$4:$B$21,'Balizador da Meta'!$C$4:$C$21)</f>
        <v>0</v>
      </c>
      <c r="Z626" s="30">
        <f t="shared" si="148"/>
        <v>0</v>
      </c>
      <c r="AA626" s="29"/>
      <c r="AB626" s="31">
        <f>SUMIFS('Historico - FAT'!AK:AK,'Historico - FAT'!$K:$K,Faturamento!$L626,'Historico - FAT'!$I:$I,Faturamento!$J626,'Historico - FAT'!$G:$G,Faturamento!$H626)</f>
        <v>0</v>
      </c>
      <c r="AC626" s="31">
        <f>SUMIFS('Historico - FAT'!AL:AL,'Historico - FAT'!$K:$K,Faturamento!$L626,'Historico - FAT'!$I:$I,Faturamento!$J626,'Historico - FAT'!$G:$G,Faturamento!$H626)</f>
        <v>1.8758333333333335</v>
      </c>
      <c r="AD626" s="31">
        <f>SUMIFS('Historico - FAT'!AM:AM,'Historico - FAT'!$K:$K,Faturamento!$L626,'Historico - FAT'!$I:$I,Faturamento!$J626,'Historico - FAT'!$G:$G,Faturamento!$H626)</f>
        <v>0</v>
      </c>
      <c r="AE626" s="27">
        <f>SUMIFS('Historico - FAT'!AN:AN,'Historico - FAT'!$K:$K,Faturamento!$L626,'Historico - FAT'!$I:$I,Faturamento!$J626,'Historico - FAT'!$G:$G,Faturamento!$H626)</f>
        <v>2.2510000000000003</v>
      </c>
      <c r="AG626" s="24" t="str">
        <f t="shared" ref="AG626:AG689" si="150">IFERROR((AVERAGE(W626:Y626)-AB626)/AVERAGE(W626:Y626),"")</f>
        <v/>
      </c>
      <c r="AH626" s="24" t="str">
        <f t="shared" ref="AH626:AH689" si="151">IFERROR((AVERAGE(W626:Y626)-AC626)/AVERAGE(W626:Y626),"")</f>
        <v/>
      </c>
      <c r="AI626" s="24" t="str">
        <f t="shared" ref="AI626:AI689" si="152">IFERROR((AVERAGE(W626:Y626)-AD626)/AVERAGE(W626:Y626),"")</f>
        <v/>
      </c>
    </row>
    <row r="627" spans="1:35" hidden="1" x14ac:dyDescent="0.3">
      <c r="A627" s="2" t="str">
        <f t="shared" si="149"/>
        <v>NÃO</v>
      </c>
      <c r="B627" s="2">
        <v>1000184670</v>
      </c>
      <c r="C627" s="2" t="s">
        <v>147</v>
      </c>
      <c r="D627" s="4">
        <v>1000186197</v>
      </c>
      <c r="E627" s="4" t="s">
        <v>166</v>
      </c>
      <c r="F627" s="2">
        <v>1000184758</v>
      </c>
      <c r="G627" s="2" t="s">
        <v>55</v>
      </c>
      <c r="H627" s="4">
        <v>1000189777</v>
      </c>
      <c r="I627" s="4" t="s">
        <v>56</v>
      </c>
      <c r="J627" s="2">
        <v>1000189270</v>
      </c>
      <c r="K627" s="2" t="s">
        <v>34</v>
      </c>
      <c r="L627" s="4" t="s">
        <v>28</v>
      </c>
      <c r="M627" s="4" t="str">
        <f t="shared" si="142"/>
        <v>1000184670100018619710001897771000189270SAL</v>
      </c>
      <c r="N627" s="28">
        <f>N612*_xlfn.XLOOKUP($L627,'Balizador da Meta'!$B$4:$B$21,'Balizador da Meta'!$C$4:$C$21)</f>
        <v>24</v>
      </c>
      <c r="O627" s="28">
        <f>O612*_xlfn.XLOOKUP($L627,'Balizador da Meta'!$B$4:$B$21,'Balizador da Meta'!$C$4:$C$21)</f>
        <v>24</v>
      </c>
      <c r="P627" s="28">
        <f>P612*_xlfn.XLOOKUP($L627,'Balizador da Meta'!$B$4:$B$21,'Balizador da Meta'!$C$4:$C$21)</f>
        <v>24</v>
      </c>
      <c r="Q627" s="28">
        <f>Q612*_xlfn.XLOOKUP($L627,'Balizador da Meta'!$B$4:$B$21,'Balizador da Meta'!$C$4:$C$21)</f>
        <v>24</v>
      </c>
      <c r="R627" s="28">
        <f>R612*_xlfn.XLOOKUP($L627,'Balizador da Meta'!$B$4:$B$21,'Balizador da Meta'!$C$4:$C$21)</f>
        <v>24</v>
      </c>
      <c r="S627" s="28">
        <f>S612*_xlfn.XLOOKUP($L627,'Balizador da Meta'!$B$4:$B$21,'Balizador da Meta'!$C$4:$C$21)</f>
        <v>24</v>
      </c>
      <c r="T627" s="28">
        <f>T612*_xlfn.XLOOKUP($L627,'Balizador da Meta'!$B$4:$B$21,'Balizador da Meta'!$C$4:$C$21)</f>
        <v>24</v>
      </c>
      <c r="U627" s="28">
        <f>U612*_xlfn.XLOOKUP($L627,'Balizador da Meta'!$B$4:$B$21,'Balizador da Meta'!$C$4:$C$21)</f>
        <v>24</v>
      </c>
      <c r="V627" s="28">
        <f>V612*_xlfn.XLOOKUP($L627,'Balizador da Meta'!$B$4:$B$21,'Balizador da Meta'!$C$4:$C$21)</f>
        <v>24</v>
      </c>
      <c r="W627" s="28">
        <f>W612*_xlfn.XLOOKUP($L627,'Balizador da Meta'!$B$4:$B$21,'Balizador da Meta'!$C$4:$C$21)</f>
        <v>24</v>
      </c>
      <c r="X627" s="28">
        <f>X612*_xlfn.XLOOKUP($L627,'Balizador da Meta'!$B$4:$B$21,'Balizador da Meta'!$C$4:$C$21)</f>
        <v>24</v>
      </c>
      <c r="Y627" s="28">
        <f>Y612*_xlfn.XLOOKUP($L627,'Balizador da Meta'!$B$4:$B$21,'Balizador da Meta'!$C$4:$C$21)</f>
        <v>24</v>
      </c>
      <c r="Z627" s="30">
        <f t="shared" si="148"/>
        <v>288</v>
      </c>
      <c r="AA627" s="29"/>
      <c r="AB627" s="31">
        <f>SUMIFS('Historico - FAT'!AK:AK,'Historico - FAT'!$K:$K,Faturamento!$L627,'Historico - FAT'!$I:$I,Faturamento!$J627,'Historico - FAT'!$G:$G,Faturamento!$H627)</f>
        <v>0</v>
      </c>
      <c r="AC627" s="31">
        <f>SUMIFS('Historico - FAT'!AL:AL,'Historico - FAT'!$K:$K,Faturamento!$L627,'Historico - FAT'!$I:$I,Faturamento!$J627,'Historico - FAT'!$G:$G,Faturamento!$H627)</f>
        <v>0</v>
      </c>
      <c r="AD627" s="31">
        <f>SUMIFS('Historico - FAT'!AM:AM,'Historico - FAT'!$K:$K,Faturamento!$L627,'Historico - FAT'!$I:$I,Faturamento!$J627,'Historico - FAT'!$G:$G,Faturamento!$H627)</f>
        <v>0</v>
      </c>
      <c r="AE627" s="27">
        <f>SUMIFS('Historico - FAT'!AN:AN,'Historico - FAT'!$K:$K,Faturamento!$L627,'Historico - FAT'!$I:$I,Faturamento!$J627,'Historico - FAT'!$G:$G,Faturamento!$H627)</f>
        <v>0</v>
      </c>
      <c r="AG627" s="24">
        <f t="shared" si="150"/>
        <v>1</v>
      </c>
      <c r="AH627" s="24">
        <f t="shared" si="151"/>
        <v>1</v>
      </c>
      <c r="AI627" s="24">
        <f t="shared" si="152"/>
        <v>1</v>
      </c>
    </row>
    <row r="628" spans="1:35" hidden="1" x14ac:dyDescent="0.3">
      <c r="A628" s="2" t="str">
        <f t="shared" si="149"/>
        <v>NÃO</v>
      </c>
      <c r="B628" s="2">
        <v>1000184670</v>
      </c>
      <c r="C628" s="2" t="s">
        <v>147</v>
      </c>
      <c r="D628" s="4">
        <v>1000186197</v>
      </c>
      <c r="E628" s="4" t="s">
        <v>166</v>
      </c>
      <c r="F628" s="2">
        <v>1000184758</v>
      </c>
      <c r="G628" s="2" t="s">
        <v>55</v>
      </c>
      <c r="H628" s="4">
        <v>1000189777</v>
      </c>
      <c r="I628" s="4" t="s">
        <v>56</v>
      </c>
      <c r="J628" s="2">
        <v>1000189270</v>
      </c>
      <c r="K628" s="2" t="s">
        <v>34</v>
      </c>
      <c r="L628" s="4" t="s">
        <v>26</v>
      </c>
      <c r="M628" s="4" t="str">
        <f t="shared" si="142"/>
        <v>1000184670100018619710001897771000189270SOULPRO</v>
      </c>
      <c r="N628" s="28">
        <f>N612*_xlfn.XLOOKUP($L628,'Balizador da Meta'!$B$4:$B$21,'Balizador da Meta'!$C$4:$C$21)</f>
        <v>72</v>
      </c>
      <c r="O628" s="28">
        <f>O612*_xlfn.XLOOKUP($L628,'Balizador da Meta'!$B$4:$B$21,'Balizador da Meta'!$C$4:$C$21)</f>
        <v>72</v>
      </c>
      <c r="P628" s="28">
        <f>P612*_xlfn.XLOOKUP($L628,'Balizador da Meta'!$B$4:$B$21,'Balizador da Meta'!$C$4:$C$21)</f>
        <v>72</v>
      </c>
      <c r="Q628" s="28">
        <f>Q612*_xlfn.XLOOKUP($L628,'Balizador da Meta'!$B$4:$B$21,'Balizador da Meta'!$C$4:$C$21)</f>
        <v>72</v>
      </c>
      <c r="R628" s="28">
        <f>R612*_xlfn.XLOOKUP($L628,'Balizador da Meta'!$B$4:$B$21,'Balizador da Meta'!$C$4:$C$21)</f>
        <v>72</v>
      </c>
      <c r="S628" s="28">
        <f>S612*_xlfn.XLOOKUP($L628,'Balizador da Meta'!$B$4:$B$21,'Balizador da Meta'!$C$4:$C$21)</f>
        <v>72</v>
      </c>
      <c r="T628" s="28">
        <f>T612*_xlfn.XLOOKUP($L628,'Balizador da Meta'!$B$4:$B$21,'Balizador da Meta'!$C$4:$C$21)</f>
        <v>72</v>
      </c>
      <c r="U628" s="28">
        <f>U612*_xlfn.XLOOKUP($L628,'Balizador da Meta'!$B$4:$B$21,'Balizador da Meta'!$C$4:$C$21)</f>
        <v>72</v>
      </c>
      <c r="V628" s="28">
        <f>V612*_xlfn.XLOOKUP($L628,'Balizador da Meta'!$B$4:$B$21,'Balizador da Meta'!$C$4:$C$21)</f>
        <v>72</v>
      </c>
      <c r="W628" s="28">
        <f>W612*_xlfn.XLOOKUP($L628,'Balizador da Meta'!$B$4:$B$21,'Balizador da Meta'!$C$4:$C$21)</f>
        <v>72</v>
      </c>
      <c r="X628" s="28">
        <f>X612*_xlfn.XLOOKUP($L628,'Balizador da Meta'!$B$4:$B$21,'Balizador da Meta'!$C$4:$C$21)</f>
        <v>72</v>
      </c>
      <c r="Y628" s="28">
        <f>Y612*_xlfn.XLOOKUP($L628,'Balizador da Meta'!$B$4:$B$21,'Balizador da Meta'!$C$4:$C$21)</f>
        <v>72</v>
      </c>
      <c r="Z628" s="30">
        <f t="shared" si="148"/>
        <v>864</v>
      </c>
      <c r="AA628" s="29"/>
      <c r="AB628" s="31">
        <f>SUMIFS('Historico - FAT'!AK:AK,'Historico - FAT'!$K:$K,Faturamento!$L628,'Historico - FAT'!$I:$I,Faturamento!$J628,'Historico - FAT'!$G:$G,Faturamento!$H628)</f>
        <v>0</v>
      </c>
      <c r="AC628" s="31">
        <f>SUMIFS('Historico - FAT'!AL:AL,'Historico - FAT'!$K:$K,Faturamento!$L628,'Historico - FAT'!$I:$I,Faturamento!$J628,'Historico - FAT'!$G:$G,Faturamento!$H628)</f>
        <v>91.021666666666661</v>
      </c>
      <c r="AD628" s="31">
        <f>SUMIFS('Historico - FAT'!AM:AM,'Historico - FAT'!$K:$K,Faturamento!$L628,'Historico - FAT'!$I:$I,Faturamento!$J628,'Historico - FAT'!$G:$G,Faturamento!$H628)</f>
        <v>118.93333333333334</v>
      </c>
      <c r="AE628" s="27">
        <f>SUMIFS('Historico - FAT'!AN:AN,'Historico - FAT'!$K:$K,Faturamento!$L628,'Historico - FAT'!$I:$I,Faturamento!$J628,'Historico - FAT'!$G:$G,Faturamento!$H628)</f>
        <v>109.226</v>
      </c>
      <c r="AG628" s="24">
        <f t="shared" si="150"/>
        <v>1</v>
      </c>
      <c r="AH628" s="24">
        <f t="shared" si="151"/>
        <v>-0.26418981481481474</v>
      </c>
      <c r="AI628" s="24">
        <f t="shared" si="152"/>
        <v>-0.6518518518518519</v>
      </c>
    </row>
    <row r="629" spans="1:35" hidden="1" x14ac:dyDescent="0.3">
      <c r="A629" s="2" t="str">
        <f t="shared" si="149"/>
        <v>NÃO</v>
      </c>
      <c r="B629" s="2">
        <v>1000184670</v>
      </c>
      <c r="C629" s="2" t="s">
        <v>147</v>
      </c>
      <c r="D629" s="4">
        <v>1000186197</v>
      </c>
      <c r="E629" s="4" t="s">
        <v>166</v>
      </c>
      <c r="F629" s="2">
        <v>1000184758</v>
      </c>
      <c r="G629" s="2" t="s">
        <v>55</v>
      </c>
      <c r="H629" s="4">
        <v>1000189777</v>
      </c>
      <c r="I629" s="4" t="s">
        <v>56</v>
      </c>
      <c r="J629" s="2">
        <v>1000189270</v>
      </c>
      <c r="K629" s="2" t="s">
        <v>34</v>
      </c>
      <c r="L629" s="4" t="s">
        <v>27</v>
      </c>
      <c r="M629" s="4" t="str">
        <f t="shared" si="142"/>
        <v>1000184670100018619710001897771000189270TAMARA</v>
      </c>
      <c r="N629" s="28">
        <f>N612*_xlfn.XLOOKUP($L629,'Balizador da Meta'!$B$4:$B$21,'Balizador da Meta'!$C$4:$C$21)</f>
        <v>96</v>
      </c>
      <c r="O629" s="28">
        <f>O612*_xlfn.XLOOKUP($L629,'Balizador da Meta'!$B$4:$B$21,'Balizador da Meta'!$C$4:$C$21)</f>
        <v>96</v>
      </c>
      <c r="P629" s="28">
        <f>P612*_xlfn.XLOOKUP($L629,'Balizador da Meta'!$B$4:$B$21,'Balizador da Meta'!$C$4:$C$21)</f>
        <v>96</v>
      </c>
      <c r="Q629" s="28">
        <f>Q612*_xlfn.XLOOKUP($L629,'Balizador da Meta'!$B$4:$B$21,'Balizador da Meta'!$C$4:$C$21)</f>
        <v>96</v>
      </c>
      <c r="R629" s="28">
        <f>R612*_xlfn.XLOOKUP($L629,'Balizador da Meta'!$B$4:$B$21,'Balizador da Meta'!$C$4:$C$21)</f>
        <v>96</v>
      </c>
      <c r="S629" s="28">
        <f>S612*_xlfn.XLOOKUP($L629,'Balizador da Meta'!$B$4:$B$21,'Balizador da Meta'!$C$4:$C$21)</f>
        <v>96</v>
      </c>
      <c r="T629" s="28">
        <f>T612*_xlfn.XLOOKUP($L629,'Balizador da Meta'!$B$4:$B$21,'Balizador da Meta'!$C$4:$C$21)</f>
        <v>96</v>
      </c>
      <c r="U629" s="28">
        <f>U612*_xlfn.XLOOKUP($L629,'Balizador da Meta'!$B$4:$B$21,'Balizador da Meta'!$C$4:$C$21)</f>
        <v>96</v>
      </c>
      <c r="V629" s="28">
        <f>V612*_xlfn.XLOOKUP($L629,'Balizador da Meta'!$B$4:$B$21,'Balizador da Meta'!$C$4:$C$21)</f>
        <v>96</v>
      </c>
      <c r="W629" s="28">
        <f>W612*_xlfn.XLOOKUP($L629,'Balizador da Meta'!$B$4:$B$21,'Balizador da Meta'!$C$4:$C$21)</f>
        <v>96</v>
      </c>
      <c r="X629" s="28">
        <f>X612*_xlfn.XLOOKUP($L629,'Balizador da Meta'!$B$4:$B$21,'Balizador da Meta'!$C$4:$C$21)</f>
        <v>96</v>
      </c>
      <c r="Y629" s="28">
        <f>Y612*_xlfn.XLOOKUP($L629,'Balizador da Meta'!$B$4:$B$21,'Balizador da Meta'!$C$4:$C$21)</f>
        <v>96</v>
      </c>
      <c r="Z629" s="30">
        <f t="shared" si="148"/>
        <v>1152</v>
      </c>
      <c r="AA629" s="29"/>
      <c r="AB629" s="31">
        <f>SUMIFS('Historico - FAT'!AK:AK,'Historico - FAT'!$K:$K,Faturamento!$L629,'Historico - FAT'!$I:$I,Faturamento!$J629,'Historico - FAT'!$G:$G,Faturamento!$H629)</f>
        <v>0</v>
      </c>
      <c r="AC629" s="31">
        <f>SUMIFS('Historico - FAT'!AL:AL,'Historico - FAT'!$K:$K,Faturamento!$L629,'Historico - FAT'!$I:$I,Faturamento!$J629,'Historico - FAT'!$G:$G,Faturamento!$H629)</f>
        <v>0</v>
      </c>
      <c r="AD629" s="31">
        <f>SUMIFS('Historico - FAT'!AM:AM,'Historico - FAT'!$K:$K,Faturamento!$L629,'Historico - FAT'!$I:$I,Faturamento!$J629,'Historico - FAT'!$G:$G,Faturamento!$H629)</f>
        <v>0</v>
      </c>
      <c r="AE629" s="27">
        <f>SUMIFS('Historico - FAT'!AN:AN,'Historico - FAT'!$K:$K,Faturamento!$L629,'Historico - FAT'!$I:$I,Faturamento!$J629,'Historico - FAT'!$G:$G,Faturamento!$H629)</f>
        <v>0</v>
      </c>
      <c r="AG629" s="24">
        <f t="shared" si="150"/>
        <v>1</v>
      </c>
      <c r="AH629" s="24">
        <f t="shared" si="151"/>
        <v>1</v>
      </c>
      <c r="AI629" s="24">
        <f t="shared" si="152"/>
        <v>1</v>
      </c>
    </row>
    <row r="630" spans="1:35" hidden="1" x14ac:dyDescent="0.3">
      <c r="A630" s="2" t="str">
        <f t="shared" si="149"/>
        <v>NÃO</v>
      </c>
      <c r="B630" s="2">
        <v>1000184670</v>
      </c>
      <c r="C630" s="2" t="s">
        <v>147</v>
      </c>
      <c r="D630" s="4">
        <v>1000186197</v>
      </c>
      <c r="E630" s="4" t="s">
        <v>166</v>
      </c>
      <c r="F630" s="2">
        <v>1000184758</v>
      </c>
      <c r="G630" s="2" t="s">
        <v>55</v>
      </c>
      <c r="H630" s="4">
        <v>1000189777</v>
      </c>
      <c r="I630" s="4" t="s">
        <v>56</v>
      </c>
      <c r="J630" s="2">
        <v>1000189270</v>
      </c>
      <c r="K630" s="2" t="s">
        <v>34</v>
      </c>
      <c r="L630" s="4" t="s">
        <v>25</v>
      </c>
      <c r="M630" s="4" t="str">
        <f t="shared" si="142"/>
        <v>1000184670100018619710001897771000189270VICCIO</v>
      </c>
      <c r="N630" s="28">
        <f>N612*_xlfn.XLOOKUP($L630,'Balizador da Meta'!$B$4:$B$21,'Balizador da Meta'!$C$4:$C$21)</f>
        <v>36</v>
      </c>
      <c r="O630" s="28">
        <f>O612*_xlfn.XLOOKUP($L630,'Balizador da Meta'!$B$4:$B$21,'Balizador da Meta'!$C$4:$C$21)</f>
        <v>36</v>
      </c>
      <c r="P630" s="28">
        <f>P612*_xlfn.XLOOKUP($L630,'Balizador da Meta'!$B$4:$B$21,'Balizador da Meta'!$C$4:$C$21)</f>
        <v>36</v>
      </c>
      <c r="Q630" s="28">
        <f>Q612*_xlfn.XLOOKUP($L630,'Balizador da Meta'!$B$4:$B$21,'Balizador da Meta'!$C$4:$C$21)</f>
        <v>36</v>
      </c>
      <c r="R630" s="28">
        <f>R612*_xlfn.XLOOKUP($L630,'Balizador da Meta'!$B$4:$B$21,'Balizador da Meta'!$C$4:$C$21)</f>
        <v>36</v>
      </c>
      <c r="S630" s="28">
        <f>S612*_xlfn.XLOOKUP($L630,'Balizador da Meta'!$B$4:$B$21,'Balizador da Meta'!$C$4:$C$21)</f>
        <v>36</v>
      </c>
      <c r="T630" s="28">
        <f>T612*_xlfn.XLOOKUP($L630,'Balizador da Meta'!$B$4:$B$21,'Balizador da Meta'!$C$4:$C$21)</f>
        <v>36</v>
      </c>
      <c r="U630" s="28">
        <f>U612*_xlfn.XLOOKUP($L630,'Balizador da Meta'!$B$4:$B$21,'Balizador da Meta'!$C$4:$C$21)</f>
        <v>36</v>
      </c>
      <c r="V630" s="28">
        <f>V612*_xlfn.XLOOKUP($L630,'Balizador da Meta'!$B$4:$B$21,'Balizador da Meta'!$C$4:$C$21)</f>
        <v>36</v>
      </c>
      <c r="W630" s="28">
        <f>W612*_xlfn.XLOOKUP($L630,'Balizador da Meta'!$B$4:$B$21,'Balizador da Meta'!$C$4:$C$21)</f>
        <v>36</v>
      </c>
      <c r="X630" s="28">
        <f>X612*_xlfn.XLOOKUP($L630,'Balizador da Meta'!$B$4:$B$21,'Balizador da Meta'!$C$4:$C$21)</f>
        <v>36</v>
      </c>
      <c r="Y630" s="28">
        <f>Y612*_xlfn.XLOOKUP($L630,'Balizador da Meta'!$B$4:$B$21,'Balizador da Meta'!$C$4:$C$21)</f>
        <v>36</v>
      </c>
      <c r="Z630" s="30">
        <f t="shared" si="148"/>
        <v>432</v>
      </c>
      <c r="AA630" s="29"/>
      <c r="AB630" s="31">
        <f>SUMIFS('Historico - FAT'!AK:AK,'Historico - FAT'!$K:$K,Faturamento!$L630,'Historico - FAT'!$I:$I,Faturamento!$J630,'Historico - FAT'!$G:$G,Faturamento!$H630)</f>
        <v>0</v>
      </c>
      <c r="AC630" s="31">
        <f>SUMIFS('Historico - FAT'!AL:AL,'Historico - FAT'!$K:$K,Faturamento!$L630,'Historico - FAT'!$I:$I,Faturamento!$J630,'Historico - FAT'!$G:$G,Faturamento!$H630)</f>
        <v>11.25</v>
      </c>
      <c r="AD630" s="31">
        <f>SUMIFS('Historico - FAT'!AM:AM,'Historico - FAT'!$K:$K,Faturamento!$L630,'Historico - FAT'!$I:$I,Faturamento!$J630,'Historico - FAT'!$G:$G,Faturamento!$H630)</f>
        <v>0</v>
      </c>
      <c r="AE630" s="27">
        <f>SUMIFS('Historico - FAT'!AN:AN,'Historico - FAT'!$K:$K,Faturamento!$L630,'Historico - FAT'!$I:$I,Faturamento!$J630,'Historico - FAT'!$G:$G,Faturamento!$H630)</f>
        <v>13.5</v>
      </c>
      <c r="AG630" s="24">
        <f t="shared" si="150"/>
        <v>1</v>
      </c>
      <c r="AH630" s="24">
        <f t="shared" si="151"/>
        <v>0.6875</v>
      </c>
      <c r="AI630" s="24">
        <f t="shared" si="152"/>
        <v>1</v>
      </c>
    </row>
    <row r="631" spans="1:35" x14ac:dyDescent="0.3">
      <c r="A631" s="2" t="str">
        <f t="shared" si="149"/>
        <v>SIM</v>
      </c>
      <c r="B631" s="2">
        <v>1000184670</v>
      </c>
      <c r="C631" s="2" t="s">
        <v>147</v>
      </c>
      <c r="D631" s="4">
        <v>1000186197</v>
      </c>
      <c r="E631" s="4" t="s">
        <v>166</v>
      </c>
      <c r="F631" s="2">
        <v>1000184760</v>
      </c>
      <c r="G631" s="2" t="s">
        <v>60</v>
      </c>
      <c r="H631" s="4">
        <v>1000189778</v>
      </c>
      <c r="I631" s="4" t="s">
        <v>84</v>
      </c>
      <c r="J631" s="2">
        <v>1000189270</v>
      </c>
      <c r="K631" s="2" t="s">
        <v>34</v>
      </c>
      <c r="L631" s="4" t="s">
        <v>124</v>
      </c>
      <c r="M631" s="4" t="str">
        <f t="shared" si="142"/>
        <v>100018467010001861971000189778100018927001. TOTAL</v>
      </c>
      <c r="N631" s="28">
        <f>SUMIFS(Positivação!L:L,Positivação!$I:$I,Faturamento!$J631,Positivação!$G:$G,Faturamento!$H631)*SUMIFS(Positivação!$Z:$Z,Positivação!$I:$I,Faturamento!$J631,Positivação!$G:$G,Faturamento!$H631)</f>
        <v>3600</v>
      </c>
      <c r="O631" s="28">
        <f>SUMIFS(Positivação!M:M,Positivação!$I:$I,Faturamento!$J631,Positivação!$G:$G,Faturamento!$H631)*SUMIFS(Positivação!$Z:$Z,Positivação!$I:$I,Faturamento!$J631,Positivação!$G:$G,Faturamento!$H631)</f>
        <v>3600</v>
      </c>
      <c r="P631" s="28">
        <f>SUMIFS(Positivação!N:N,Positivação!$I:$I,Faturamento!$J631,Positivação!$G:$G,Faturamento!$H631)*SUMIFS(Positivação!$Z:$Z,Positivação!$I:$I,Faturamento!$J631,Positivação!$G:$G,Faturamento!$H631)</f>
        <v>3600</v>
      </c>
      <c r="Q631" s="28">
        <f>SUMIFS(Positivação!O:O,Positivação!$I:$I,Faturamento!$J631,Positivação!$G:$G,Faturamento!$H631)*SUMIFS(Positivação!$Z:$Z,Positivação!$I:$I,Faturamento!$J631,Positivação!$G:$G,Faturamento!$H631)</f>
        <v>3600</v>
      </c>
      <c r="R631" s="28">
        <f>SUMIFS(Positivação!P:P,Positivação!$I:$I,Faturamento!$J631,Positivação!$G:$G,Faturamento!$H631)*SUMIFS(Positivação!$Z:$Z,Positivação!$I:$I,Faturamento!$J631,Positivação!$G:$G,Faturamento!$H631)</f>
        <v>3600</v>
      </c>
      <c r="S631" s="28">
        <f>SUMIFS(Positivação!Q:Q,Positivação!$I:$I,Faturamento!$J631,Positivação!$G:$G,Faturamento!$H631)*SUMIFS(Positivação!$Z:$Z,Positivação!$I:$I,Faturamento!$J631,Positivação!$G:$G,Faturamento!$H631)</f>
        <v>3600</v>
      </c>
      <c r="T631" s="28">
        <f>SUMIFS(Positivação!R:R,Positivação!$I:$I,Faturamento!$J631,Positivação!$G:$G,Faturamento!$H631)*SUMIFS(Positivação!$Z:$Z,Positivação!$I:$I,Faturamento!$J631,Positivação!$G:$G,Faturamento!$H631)</f>
        <v>3600</v>
      </c>
      <c r="U631" s="28">
        <f>SUMIFS(Positivação!S:S,Positivação!$I:$I,Faturamento!$J631,Positivação!$G:$G,Faturamento!$H631)*SUMIFS(Positivação!$Z:$Z,Positivação!$I:$I,Faturamento!$J631,Positivação!$G:$G,Faturamento!$H631)</f>
        <v>3600</v>
      </c>
      <c r="V631" s="28">
        <f>SUMIFS(Positivação!T:T,Positivação!$I:$I,Faturamento!$J631,Positivação!$G:$G,Faturamento!$H631)*SUMIFS(Positivação!$Z:$Z,Positivação!$I:$I,Faturamento!$J631,Positivação!$G:$G,Faturamento!$H631)</f>
        <v>3600</v>
      </c>
      <c r="W631" s="28">
        <f>SUMIFS(Positivação!U:U,Positivação!$I:$I,Faturamento!$J631,Positivação!$G:$G,Faturamento!$H631)*SUMIFS(Positivação!$Z:$Z,Positivação!$I:$I,Faturamento!$J631,Positivação!$G:$G,Faturamento!$H631)</f>
        <v>3600</v>
      </c>
      <c r="X631" s="28">
        <f>SUMIFS(Positivação!V:V,Positivação!$I:$I,Faturamento!$J631,Positivação!$G:$G,Faturamento!$H631)*SUMIFS(Positivação!$Z:$Z,Positivação!$I:$I,Faturamento!$J631,Positivação!$G:$G,Faturamento!$H631)</f>
        <v>3600</v>
      </c>
      <c r="Y631" s="28">
        <f>SUMIFS(Positivação!W:W,Positivação!$I:$I,Faturamento!$J631,Positivação!$G:$G,Faturamento!$H631)*SUMIFS(Positivação!$Z:$Z,Positivação!$I:$I,Faturamento!$J631,Positivação!$G:$G,Faturamento!$H631)</f>
        <v>3600</v>
      </c>
      <c r="Z631" s="28">
        <f t="shared" ref="Z631" si="153">SUM(Z632:Z649)</f>
        <v>43200</v>
      </c>
      <c r="AA631" s="29"/>
      <c r="AB631" s="28">
        <f t="shared" ref="AB631:AE631" si="154">SUM(AB632:AB649)</f>
        <v>538.83166666666659</v>
      </c>
      <c r="AC631" s="28">
        <f t="shared" si="154"/>
        <v>904.74416666666673</v>
      </c>
      <c r="AD631" s="28">
        <f t="shared" si="154"/>
        <v>1809.4883333333335</v>
      </c>
      <c r="AE631" s="28">
        <f t="shared" si="154"/>
        <v>1085.6930000000002</v>
      </c>
      <c r="AG631" s="24">
        <f t="shared" si="150"/>
        <v>0.85032453703703714</v>
      </c>
      <c r="AH631" s="24">
        <f t="shared" si="151"/>
        <v>0.7486821759259259</v>
      </c>
      <c r="AI631" s="24">
        <f t="shared" si="152"/>
        <v>0.49736435185185179</v>
      </c>
    </row>
    <row r="632" spans="1:35" hidden="1" x14ac:dyDescent="0.3">
      <c r="A632" s="2" t="str">
        <f t="shared" si="149"/>
        <v>NÃO</v>
      </c>
      <c r="B632" s="2">
        <v>1000184670</v>
      </c>
      <c r="C632" s="2" t="s">
        <v>147</v>
      </c>
      <c r="D632" s="4">
        <v>1000186197</v>
      </c>
      <c r="E632" s="4" t="s">
        <v>166</v>
      </c>
      <c r="F632" s="2">
        <v>1000184760</v>
      </c>
      <c r="G632" s="2" t="s">
        <v>60</v>
      </c>
      <c r="H632" s="4">
        <v>1000189778</v>
      </c>
      <c r="I632" s="4" t="s">
        <v>84</v>
      </c>
      <c r="J632" s="2">
        <v>1000189270</v>
      </c>
      <c r="K632" s="2" t="s">
        <v>34</v>
      </c>
      <c r="L632" s="4" t="s">
        <v>13</v>
      </c>
      <c r="M632" s="4" t="str">
        <f t="shared" si="142"/>
        <v>1000184670100018619710001897781000189270BISCOITO</v>
      </c>
      <c r="N632" s="28">
        <f>N631*_xlfn.XLOOKUP($L632,'Balizador da Meta'!$B$4:$B$21,'Balizador da Meta'!$C$4:$C$21)</f>
        <v>252.00000000000003</v>
      </c>
      <c r="O632" s="28">
        <f>O631*_xlfn.XLOOKUP($L632,'Balizador da Meta'!$B$4:$B$21,'Balizador da Meta'!$C$4:$C$21)</f>
        <v>252.00000000000003</v>
      </c>
      <c r="P632" s="28">
        <f>P631*_xlfn.XLOOKUP($L632,'Balizador da Meta'!$B$4:$B$21,'Balizador da Meta'!$C$4:$C$21)</f>
        <v>252.00000000000003</v>
      </c>
      <c r="Q632" s="28">
        <f>Q631*_xlfn.XLOOKUP($L632,'Balizador da Meta'!$B$4:$B$21,'Balizador da Meta'!$C$4:$C$21)</f>
        <v>252.00000000000003</v>
      </c>
      <c r="R632" s="28">
        <f>R631*_xlfn.XLOOKUP($L632,'Balizador da Meta'!$B$4:$B$21,'Balizador da Meta'!$C$4:$C$21)</f>
        <v>252.00000000000003</v>
      </c>
      <c r="S632" s="28">
        <f>S631*_xlfn.XLOOKUP($L632,'Balizador da Meta'!$B$4:$B$21,'Balizador da Meta'!$C$4:$C$21)</f>
        <v>252.00000000000003</v>
      </c>
      <c r="T632" s="28">
        <f>T631*_xlfn.XLOOKUP($L632,'Balizador da Meta'!$B$4:$B$21,'Balizador da Meta'!$C$4:$C$21)</f>
        <v>252.00000000000003</v>
      </c>
      <c r="U632" s="28">
        <f>U631*_xlfn.XLOOKUP($L632,'Balizador da Meta'!$B$4:$B$21,'Balizador da Meta'!$C$4:$C$21)</f>
        <v>252.00000000000003</v>
      </c>
      <c r="V632" s="28">
        <f>V631*_xlfn.XLOOKUP($L632,'Balizador da Meta'!$B$4:$B$21,'Balizador da Meta'!$C$4:$C$21)</f>
        <v>252.00000000000003</v>
      </c>
      <c r="W632" s="28">
        <f>W631*_xlfn.XLOOKUP($L632,'Balizador da Meta'!$B$4:$B$21,'Balizador da Meta'!$C$4:$C$21)</f>
        <v>252.00000000000003</v>
      </c>
      <c r="X632" s="28">
        <f>X631*_xlfn.XLOOKUP($L632,'Balizador da Meta'!$B$4:$B$21,'Balizador da Meta'!$C$4:$C$21)</f>
        <v>252.00000000000003</v>
      </c>
      <c r="Y632" s="28">
        <f>Y631*_xlfn.XLOOKUP($L632,'Balizador da Meta'!$B$4:$B$21,'Balizador da Meta'!$C$4:$C$21)</f>
        <v>252.00000000000003</v>
      </c>
      <c r="Z632" s="30">
        <f t="shared" ref="Z632:Z649" si="155">SUM(N632:Y632)</f>
        <v>3024.0000000000005</v>
      </c>
      <c r="AA632" s="29"/>
      <c r="AB632" s="31">
        <f>SUMIFS('Historico - FAT'!AK:AK,'Historico - FAT'!$K:$K,Faturamento!$L632,'Historico - FAT'!$I:$I,Faturamento!$J632,'Historico - FAT'!$G:$G,Faturamento!$H632)</f>
        <v>337.65666666666669</v>
      </c>
      <c r="AC632" s="31">
        <f>SUMIFS('Historico - FAT'!AL:AL,'Historico - FAT'!$K:$K,Faturamento!$L632,'Historico - FAT'!$I:$I,Faturamento!$J632,'Historico - FAT'!$G:$G,Faturamento!$H632)</f>
        <v>32.07</v>
      </c>
      <c r="AD632" s="31">
        <f>SUMIFS('Historico - FAT'!AM:AM,'Historico - FAT'!$K:$K,Faturamento!$L632,'Historico - FAT'!$I:$I,Faturamento!$J632,'Historico - FAT'!$G:$G,Faturamento!$H632)</f>
        <v>64.14</v>
      </c>
      <c r="AE632" s="27">
        <f>SUMIFS('Historico - FAT'!AN:AN,'Historico - FAT'!$K:$K,Faturamento!$L632,'Historico - FAT'!$I:$I,Faturamento!$J632,'Historico - FAT'!$G:$G,Faturamento!$H632)</f>
        <v>38.483999999999995</v>
      </c>
      <c r="AG632" s="24">
        <f t="shared" si="150"/>
        <v>-0.33990740740740738</v>
      </c>
      <c r="AH632" s="24">
        <f t="shared" si="151"/>
        <v>0.87273809523809531</v>
      </c>
      <c r="AI632" s="24">
        <f t="shared" si="152"/>
        <v>0.7454761904761904</v>
      </c>
    </row>
    <row r="633" spans="1:35" hidden="1" x14ac:dyDescent="0.3">
      <c r="A633" s="2" t="str">
        <f t="shared" si="149"/>
        <v>NÃO</v>
      </c>
      <c r="B633" s="2">
        <v>1000184670</v>
      </c>
      <c r="C633" s="2" t="s">
        <v>147</v>
      </c>
      <c r="D633" s="4">
        <v>1000186197</v>
      </c>
      <c r="E633" s="4" t="s">
        <v>166</v>
      </c>
      <c r="F633" s="2">
        <v>1000184760</v>
      </c>
      <c r="G633" s="2" t="s">
        <v>60</v>
      </c>
      <c r="H633" s="4">
        <v>1000189778</v>
      </c>
      <c r="I633" s="4" t="s">
        <v>84</v>
      </c>
      <c r="J633" s="2">
        <v>1000189270</v>
      </c>
      <c r="K633" s="2" t="s">
        <v>34</v>
      </c>
      <c r="L633" s="4" t="s">
        <v>14</v>
      </c>
      <c r="M633" s="4" t="str">
        <f t="shared" si="142"/>
        <v>1000184670100018619710001897781000189270CHOCOLATES</v>
      </c>
      <c r="N633" s="28">
        <f>N631*_xlfn.XLOOKUP($L633,'Balizador da Meta'!$B$4:$B$21,'Balizador da Meta'!$C$4:$C$21)</f>
        <v>252.00000000000003</v>
      </c>
      <c r="O633" s="28">
        <f>O631*_xlfn.XLOOKUP($L633,'Balizador da Meta'!$B$4:$B$21,'Balizador da Meta'!$C$4:$C$21)</f>
        <v>252.00000000000003</v>
      </c>
      <c r="P633" s="28">
        <f>P631*_xlfn.XLOOKUP($L633,'Balizador da Meta'!$B$4:$B$21,'Balizador da Meta'!$C$4:$C$21)</f>
        <v>252.00000000000003</v>
      </c>
      <c r="Q633" s="28">
        <f>Q631*_xlfn.XLOOKUP($L633,'Balizador da Meta'!$B$4:$B$21,'Balizador da Meta'!$C$4:$C$21)</f>
        <v>252.00000000000003</v>
      </c>
      <c r="R633" s="28">
        <f>R631*_xlfn.XLOOKUP($L633,'Balizador da Meta'!$B$4:$B$21,'Balizador da Meta'!$C$4:$C$21)</f>
        <v>252.00000000000003</v>
      </c>
      <c r="S633" s="28">
        <f>S631*_xlfn.XLOOKUP($L633,'Balizador da Meta'!$B$4:$B$21,'Balizador da Meta'!$C$4:$C$21)</f>
        <v>252.00000000000003</v>
      </c>
      <c r="T633" s="28">
        <f>T631*_xlfn.XLOOKUP($L633,'Balizador da Meta'!$B$4:$B$21,'Balizador da Meta'!$C$4:$C$21)</f>
        <v>252.00000000000003</v>
      </c>
      <c r="U633" s="28">
        <f>U631*_xlfn.XLOOKUP($L633,'Balizador da Meta'!$B$4:$B$21,'Balizador da Meta'!$C$4:$C$21)</f>
        <v>252.00000000000003</v>
      </c>
      <c r="V633" s="28">
        <f>V631*_xlfn.XLOOKUP($L633,'Balizador da Meta'!$B$4:$B$21,'Balizador da Meta'!$C$4:$C$21)</f>
        <v>252.00000000000003</v>
      </c>
      <c r="W633" s="28">
        <f>W631*_xlfn.XLOOKUP($L633,'Balizador da Meta'!$B$4:$B$21,'Balizador da Meta'!$C$4:$C$21)</f>
        <v>252.00000000000003</v>
      </c>
      <c r="X633" s="28">
        <f>X631*_xlfn.XLOOKUP($L633,'Balizador da Meta'!$B$4:$B$21,'Balizador da Meta'!$C$4:$C$21)</f>
        <v>252.00000000000003</v>
      </c>
      <c r="Y633" s="28">
        <f>Y631*_xlfn.XLOOKUP($L633,'Balizador da Meta'!$B$4:$B$21,'Balizador da Meta'!$C$4:$C$21)</f>
        <v>252.00000000000003</v>
      </c>
      <c r="Z633" s="30">
        <f t="shared" si="155"/>
        <v>3024.0000000000005</v>
      </c>
      <c r="AA633" s="29"/>
      <c r="AB633" s="31">
        <f>SUMIFS('Historico - FAT'!AK:AK,'Historico - FAT'!$K:$K,Faturamento!$L633,'Historico - FAT'!$I:$I,Faturamento!$J633,'Historico - FAT'!$G:$G,Faturamento!$H633)</f>
        <v>0</v>
      </c>
      <c r="AC633" s="31">
        <f>SUMIFS('Historico - FAT'!AL:AL,'Historico - FAT'!$K:$K,Faturamento!$L633,'Historico - FAT'!$I:$I,Faturamento!$J633,'Historico - FAT'!$G:$G,Faturamento!$H633)</f>
        <v>20.75</v>
      </c>
      <c r="AD633" s="31">
        <f>SUMIFS('Historico - FAT'!AM:AM,'Historico - FAT'!$K:$K,Faturamento!$L633,'Historico - FAT'!$I:$I,Faturamento!$J633,'Historico - FAT'!$G:$G,Faturamento!$H633)</f>
        <v>41.5</v>
      </c>
      <c r="AE633" s="27">
        <f>SUMIFS('Historico - FAT'!AN:AN,'Historico - FAT'!$K:$K,Faturamento!$L633,'Historico - FAT'!$I:$I,Faturamento!$J633,'Historico - FAT'!$G:$G,Faturamento!$H633)</f>
        <v>24.9</v>
      </c>
      <c r="AG633" s="24">
        <f t="shared" si="150"/>
        <v>1</v>
      </c>
      <c r="AH633" s="24">
        <f t="shared" si="151"/>
        <v>0.91765873015873012</v>
      </c>
      <c r="AI633" s="24">
        <f t="shared" si="152"/>
        <v>0.83531746031746035</v>
      </c>
    </row>
    <row r="634" spans="1:35" hidden="1" x14ac:dyDescent="0.3">
      <c r="A634" s="2" t="str">
        <f t="shared" si="149"/>
        <v>NÃO</v>
      </c>
      <c r="B634" s="2">
        <v>1000184670</v>
      </c>
      <c r="C634" s="2" t="s">
        <v>147</v>
      </c>
      <c r="D634" s="4">
        <v>1000186197</v>
      </c>
      <c r="E634" s="4" t="s">
        <v>166</v>
      </c>
      <c r="F634" s="2">
        <v>1000184760</v>
      </c>
      <c r="G634" s="2" t="s">
        <v>60</v>
      </c>
      <c r="H634" s="4">
        <v>1000189778</v>
      </c>
      <c r="I634" s="4" t="s">
        <v>84</v>
      </c>
      <c r="J634" s="2">
        <v>1000189270</v>
      </c>
      <c r="K634" s="2" t="s">
        <v>34</v>
      </c>
      <c r="L634" s="4" t="s">
        <v>16</v>
      </c>
      <c r="M634" s="4" t="str">
        <f t="shared" si="142"/>
        <v>1000184670100018619710001897781000189270DISNEY</v>
      </c>
      <c r="N634" s="28">
        <f>N631*_xlfn.XLOOKUP($L634,'Balizador da Meta'!$B$4:$B$21,'Balizador da Meta'!$C$4:$C$21)</f>
        <v>288</v>
      </c>
      <c r="O634" s="28">
        <f>O631*_xlfn.XLOOKUP($L634,'Balizador da Meta'!$B$4:$B$21,'Balizador da Meta'!$C$4:$C$21)</f>
        <v>288</v>
      </c>
      <c r="P634" s="28">
        <f>P631*_xlfn.XLOOKUP($L634,'Balizador da Meta'!$B$4:$B$21,'Balizador da Meta'!$C$4:$C$21)</f>
        <v>288</v>
      </c>
      <c r="Q634" s="28">
        <f>Q631*_xlfn.XLOOKUP($L634,'Balizador da Meta'!$B$4:$B$21,'Balizador da Meta'!$C$4:$C$21)</f>
        <v>288</v>
      </c>
      <c r="R634" s="28">
        <f>R631*_xlfn.XLOOKUP($L634,'Balizador da Meta'!$B$4:$B$21,'Balizador da Meta'!$C$4:$C$21)</f>
        <v>288</v>
      </c>
      <c r="S634" s="28">
        <f>S631*_xlfn.XLOOKUP($L634,'Balizador da Meta'!$B$4:$B$21,'Balizador da Meta'!$C$4:$C$21)</f>
        <v>288</v>
      </c>
      <c r="T634" s="28">
        <f>T631*_xlfn.XLOOKUP($L634,'Balizador da Meta'!$B$4:$B$21,'Balizador da Meta'!$C$4:$C$21)</f>
        <v>288</v>
      </c>
      <c r="U634" s="28">
        <f>U631*_xlfn.XLOOKUP($L634,'Balizador da Meta'!$B$4:$B$21,'Balizador da Meta'!$C$4:$C$21)</f>
        <v>288</v>
      </c>
      <c r="V634" s="28">
        <f>V631*_xlfn.XLOOKUP($L634,'Balizador da Meta'!$B$4:$B$21,'Balizador da Meta'!$C$4:$C$21)</f>
        <v>288</v>
      </c>
      <c r="W634" s="28">
        <f>W631*_xlfn.XLOOKUP($L634,'Balizador da Meta'!$B$4:$B$21,'Balizador da Meta'!$C$4:$C$21)</f>
        <v>288</v>
      </c>
      <c r="X634" s="28">
        <f>X631*_xlfn.XLOOKUP($L634,'Balizador da Meta'!$B$4:$B$21,'Balizador da Meta'!$C$4:$C$21)</f>
        <v>288</v>
      </c>
      <c r="Y634" s="28">
        <f>Y631*_xlfn.XLOOKUP($L634,'Balizador da Meta'!$B$4:$B$21,'Balizador da Meta'!$C$4:$C$21)</f>
        <v>288</v>
      </c>
      <c r="Z634" s="30">
        <f t="shared" si="155"/>
        <v>3456</v>
      </c>
      <c r="AA634" s="29"/>
      <c r="AB634" s="31">
        <f>SUMIFS('Historico - FAT'!AK:AK,'Historico - FAT'!$K:$K,Faturamento!$L634,'Historico - FAT'!$I:$I,Faturamento!$J634,'Historico - FAT'!$G:$G,Faturamento!$H634)</f>
        <v>0</v>
      </c>
      <c r="AC634" s="31">
        <f>SUMIFS('Historico - FAT'!AL:AL,'Historico - FAT'!$K:$K,Faturamento!$L634,'Historico - FAT'!$I:$I,Faturamento!$J634,'Historico - FAT'!$G:$G,Faturamento!$H634)</f>
        <v>11.038333333333334</v>
      </c>
      <c r="AD634" s="31">
        <f>SUMIFS('Historico - FAT'!AM:AM,'Historico - FAT'!$K:$K,Faturamento!$L634,'Historico - FAT'!$I:$I,Faturamento!$J634,'Historico - FAT'!$G:$G,Faturamento!$H634)</f>
        <v>22.076666666666668</v>
      </c>
      <c r="AE634" s="27">
        <f>SUMIFS('Historico - FAT'!AN:AN,'Historico - FAT'!$K:$K,Faturamento!$L634,'Historico - FAT'!$I:$I,Faturamento!$J634,'Historico - FAT'!$G:$G,Faturamento!$H634)</f>
        <v>13.246</v>
      </c>
      <c r="AG634" s="24">
        <f t="shared" si="150"/>
        <v>1</v>
      </c>
      <c r="AH634" s="24">
        <f t="shared" si="151"/>
        <v>0.96167245370370358</v>
      </c>
      <c r="AI634" s="24">
        <f t="shared" si="152"/>
        <v>0.92334490740740749</v>
      </c>
    </row>
    <row r="635" spans="1:35" hidden="1" x14ac:dyDescent="0.3">
      <c r="A635" s="2" t="str">
        <f t="shared" si="149"/>
        <v>NÃO</v>
      </c>
      <c r="B635" s="2">
        <v>1000184670</v>
      </c>
      <c r="C635" s="2" t="s">
        <v>147</v>
      </c>
      <c r="D635" s="4">
        <v>1000186197</v>
      </c>
      <c r="E635" s="4" t="s">
        <v>166</v>
      </c>
      <c r="F635" s="2">
        <v>1000184760</v>
      </c>
      <c r="G635" s="2" t="s">
        <v>60</v>
      </c>
      <c r="H635" s="4">
        <v>1000189778</v>
      </c>
      <c r="I635" s="4" t="s">
        <v>84</v>
      </c>
      <c r="J635" s="2">
        <v>1000189270</v>
      </c>
      <c r="K635" s="2" t="s">
        <v>34</v>
      </c>
      <c r="L635" s="4" t="s">
        <v>15</v>
      </c>
      <c r="M635" s="4" t="str">
        <f t="shared" si="142"/>
        <v>1000184670100018619710001897781000189270DOCES</v>
      </c>
      <c r="N635" s="28">
        <f>N631*_xlfn.XLOOKUP($L635,'Balizador da Meta'!$B$4:$B$21,'Balizador da Meta'!$C$4:$C$21)</f>
        <v>324</v>
      </c>
      <c r="O635" s="28">
        <f>O631*_xlfn.XLOOKUP($L635,'Balizador da Meta'!$B$4:$B$21,'Balizador da Meta'!$C$4:$C$21)</f>
        <v>324</v>
      </c>
      <c r="P635" s="28">
        <f>P631*_xlfn.XLOOKUP($L635,'Balizador da Meta'!$B$4:$B$21,'Balizador da Meta'!$C$4:$C$21)</f>
        <v>324</v>
      </c>
      <c r="Q635" s="28">
        <f>Q631*_xlfn.XLOOKUP($L635,'Balizador da Meta'!$B$4:$B$21,'Balizador da Meta'!$C$4:$C$21)</f>
        <v>324</v>
      </c>
      <c r="R635" s="28">
        <f>R631*_xlfn.XLOOKUP($L635,'Balizador da Meta'!$B$4:$B$21,'Balizador da Meta'!$C$4:$C$21)</f>
        <v>324</v>
      </c>
      <c r="S635" s="28">
        <f>S631*_xlfn.XLOOKUP($L635,'Balizador da Meta'!$B$4:$B$21,'Balizador da Meta'!$C$4:$C$21)</f>
        <v>324</v>
      </c>
      <c r="T635" s="28">
        <f>T631*_xlfn.XLOOKUP($L635,'Balizador da Meta'!$B$4:$B$21,'Balizador da Meta'!$C$4:$C$21)</f>
        <v>324</v>
      </c>
      <c r="U635" s="28">
        <f>U631*_xlfn.XLOOKUP($L635,'Balizador da Meta'!$B$4:$B$21,'Balizador da Meta'!$C$4:$C$21)</f>
        <v>324</v>
      </c>
      <c r="V635" s="28">
        <f>V631*_xlfn.XLOOKUP($L635,'Balizador da Meta'!$B$4:$B$21,'Balizador da Meta'!$C$4:$C$21)</f>
        <v>324</v>
      </c>
      <c r="W635" s="28">
        <f>W631*_xlfn.XLOOKUP($L635,'Balizador da Meta'!$B$4:$B$21,'Balizador da Meta'!$C$4:$C$21)</f>
        <v>324</v>
      </c>
      <c r="X635" s="28">
        <f>X631*_xlfn.XLOOKUP($L635,'Balizador da Meta'!$B$4:$B$21,'Balizador da Meta'!$C$4:$C$21)</f>
        <v>324</v>
      </c>
      <c r="Y635" s="28">
        <f>Y631*_xlfn.XLOOKUP($L635,'Balizador da Meta'!$B$4:$B$21,'Balizador da Meta'!$C$4:$C$21)</f>
        <v>324</v>
      </c>
      <c r="Z635" s="30">
        <f t="shared" si="155"/>
        <v>3888</v>
      </c>
      <c r="AA635" s="29"/>
      <c r="AB635" s="31">
        <f>SUMIFS('Historico - FAT'!AK:AK,'Historico - FAT'!$K:$K,Faturamento!$L635,'Historico - FAT'!$I:$I,Faturamento!$J635,'Historico - FAT'!$G:$G,Faturamento!$H635)</f>
        <v>0</v>
      </c>
      <c r="AC635" s="31">
        <f>SUMIFS('Historico - FAT'!AL:AL,'Historico - FAT'!$K:$K,Faturamento!$L635,'Historico - FAT'!$I:$I,Faturamento!$J635,'Historico - FAT'!$G:$G,Faturamento!$H635)</f>
        <v>43.224166666666669</v>
      </c>
      <c r="AD635" s="31">
        <f>SUMIFS('Historico - FAT'!AM:AM,'Historico - FAT'!$K:$K,Faturamento!$L635,'Historico - FAT'!$I:$I,Faturamento!$J635,'Historico - FAT'!$G:$G,Faturamento!$H635)</f>
        <v>86.448333333333338</v>
      </c>
      <c r="AE635" s="27">
        <f>SUMIFS('Historico - FAT'!AN:AN,'Historico - FAT'!$K:$K,Faturamento!$L635,'Historico - FAT'!$I:$I,Faturamento!$J635,'Historico - FAT'!$G:$G,Faturamento!$H635)</f>
        <v>51.869000000000007</v>
      </c>
      <c r="AG635" s="24">
        <f t="shared" si="150"/>
        <v>1</v>
      </c>
      <c r="AH635" s="24">
        <f t="shared" si="151"/>
        <v>0.86659207818930029</v>
      </c>
      <c r="AI635" s="24">
        <f t="shared" si="152"/>
        <v>0.7331841563786009</v>
      </c>
    </row>
    <row r="636" spans="1:35" hidden="1" x14ac:dyDescent="0.3">
      <c r="A636" s="2" t="str">
        <f t="shared" si="149"/>
        <v>NÃO</v>
      </c>
      <c r="B636" s="2">
        <v>1000184670</v>
      </c>
      <c r="C636" s="2" t="s">
        <v>147</v>
      </c>
      <c r="D636" s="4">
        <v>1000186197</v>
      </c>
      <c r="E636" s="4" t="s">
        <v>166</v>
      </c>
      <c r="F636" s="2">
        <v>1000184760</v>
      </c>
      <c r="G636" s="2" t="s">
        <v>60</v>
      </c>
      <c r="H636" s="4">
        <v>1000189778</v>
      </c>
      <c r="I636" s="4" t="s">
        <v>84</v>
      </c>
      <c r="J636" s="2">
        <v>1000189270</v>
      </c>
      <c r="K636" s="2" t="s">
        <v>34</v>
      </c>
      <c r="L636" s="4" t="s">
        <v>33</v>
      </c>
      <c r="M636" s="4" t="str">
        <f t="shared" si="142"/>
        <v>1000184670100018619710001897781000189270FOOD SERVICE</v>
      </c>
      <c r="N636" s="28">
        <f>N631*_xlfn.XLOOKUP($L636,'Balizador da Meta'!$B$4:$B$21,'Balizador da Meta'!$C$4:$C$21)</f>
        <v>0</v>
      </c>
      <c r="O636" s="28">
        <f>O631*_xlfn.XLOOKUP($L636,'Balizador da Meta'!$B$4:$B$21,'Balizador da Meta'!$C$4:$C$21)</f>
        <v>0</v>
      </c>
      <c r="P636" s="28">
        <f>P631*_xlfn.XLOOKUP($L636,'Balizador da Meta'!$B$4:$B$21,'Balizador da Meta'!$C$4:$C$21)</f>
        <v>0</v>
      </c>
      <c r="Q636" s="28">
        <f>Q631*_xlfn.XLOOKUP($L636,'Balizador da Meta'!$B$4:$B$21,'Balizador da Meta'!$C$4:$C$21)</f>
        <v>0</v>
      </c>
      <c r="R636" s="28">
        <f>R631*_xlfn.XLOOKUP($L636,'Balizador da Meta'!$B$4:$B$21,'Balizador da Meta'!$C$4:$C$21)</f>
        <v>0</v>
      </c>
      <c r="S636" s="28">
        <f>S631*_xlfn.XLOOKUP($L636,'Balizador da Meta'!$B$4:$B$21,'Balizador da Meta'!$C$4:$C$21)</f>
        <v>0</v>
      </c>
      <c r="T636" s="28">
        <f>T631*_xlfn.XLOOKUP($L636,'Balizador da Meta'!$B$4:$B$21,'Balizador da Meta'!$C$4:$C$21)</f>
        <v>0</v>
      </c>
      <c r="U636" s="28">
        <f>U631*_xlfn.XLOOKUP($L636,'Balizador da Meta'!$B$4:$B$21,'Balizador da Meta'!$C$4:$C$21)</f>
        <v>0</v>
      </c>
      <c r="V636" s="28">
        <f>V631*_xlfn.XLOOKUP($L636,'Balizador da Meta'!$B$4:$B$21,'Balizador da Meta'!$C$4:$C$21)</f>
        <v>0</v>
      </c>
      <c r="W636" s="28">
        <f>W631*_xlfn.XLOOKUP($L636,'Balizador da Meta'!$B$4:$B$21,'Balizador da Meta'!$C$4:$C$21)</f>
        <v>0</v>
      </c>
      <c r="X636" s="28">
        <f>X631*_xlfn.XLOOKUP($L636,'Balizador da Meta'!$B$4:$B$21,'Balizador da Meta'!$C$4:$C$21)</f>
        <v>0</v>
      </c>
      <c r="Y636" s="28">
        <f>Y631*_xlfn.XLOOKUP($L636,'Balizador da Meta'!$B$4:$B$21,'Balizador da Meta'!$C$4:$C$21)</f>
        <v>0</v>
      </c>
      <c r="Z636" s="30">
        <f t="shared" si="155"/>
        <v>0</v>
      </c>
      <c r="AA636" s="29"/>
      <c r="AB636" s="31">
        <f>SUMIFS('Historico - FAT'!AK:AK,'Historico - FAT'!$K:$K,Faturamento!$L636,'Historico - FAT'!$I:$I,Faturamento!$J636,'Historico - FAT'!$G:$G,Faturamento!$H636)</f>
        <v>0</v>
      </c>
      <c r="AC636" s="31">
        <f>SUMIFS('Historico - FAT'!AL:AL,'Historico - FAT'!$K:$K,Faturamento!$L636,'Historico - FAT'!$I:$I,Faturamento!$J636,'Historico - FAT'!$G:$G,Faturamento!$H636)</f>
        <v>0</v>
      </c>
      <c r="AD636" s="31">
        <f>SUMIFS('Historico - FAT'!AM:AM,'Historico - FAT'!$K:$K,Faturamento!$L636,'Historico - FAT'!$I:$I,Faturamento!$J636,'Historico - FAT'!$G:$G,Faturamento!$H636)</f>
        <v>0</v>
      </c>
      <c r="AE636" s="27">
        <f>SUMIFS('Historico - FAT'!AN:AN,'Historico - FAT'!$K:$K,Faturamento!$L636,'Historico - FAT'!$I:$I,Faturamento!$J636,'Historico - FAT'!$G:$G,Faturamento!$H636)</f>
        <v>0</v>
      </c>
      <c r="AG636" s="24" t="str">
        <f t="shared" si="150"/>
        <v/>
      </c>
      <c r="AH636" s="24" t="str">
        <f t="shared" si="151"/>
        <v/>
      </c>
      <c r="AI636" s="24" t="str">
        <f t="shared" si="152"/>
        <v/>
      </c>
    </row>
    <row r="637" spans="1:35" hidden="1" x14ac:dyDescent="0.3">
      <c r="A637" s="2" t="str">
        <f t="shared" si="149"/>
        <v>NÃO</v>
      </c>
      <c r="B637" s="2">
        <v>1000184670</v>
      </c>
      <c r="C637" s="2" t="s">
        <v>147</v>
      </c>
      <c r="D637" s="4">
        <v>1000186197</v>
      </c>
      <c r="E637" s="4" t="s">
        <v>166</v>
      </c>
      <c r="F637" s="2">
        <v>1000184760</v>
      </c>
      <c r="G637" s="2" t="s">
        <v>60</v>
      </c>
      <c r="H637" s="4">
        <v>1000189778</v>
      </c>
      <c r="I637" s="4" t="s">
        <v>84</v>
      </c>
      <c r="J637" s="2">
        <v>1000189270</v>
      </c>
      <c r="K637" s="2" t="s">
        <v>34</v>
      </c>
      <c r="L637" s="4" t="s">
        <v>19</v>
      </c>
      <c r="M637" s="4" t="str">
        <f t="shared" si="142"/>
        <v>1000184670100018619710001897781000189270GELEIA</v>
      </c>
      <c r="N637" s="28">
        <f>N631*_xlfn.XLOOKUP($L637,'Balizador da Meta'!$B$4:$B$21,'Balizador da Meta'!$C$4:$C$21)</f>
        <v>71.999999999999986</v>
      </c>
      <c r="O637" s="28">
        <f>O631*_xlfn.XLOOKUP($L637,'Balizador da Meta'!$B$4:$B$21,'Balizador da Meta'!$C$4:$C$21)</f>
        <v>71.999999999999986</v>
      </c>
      <c r="P637" s="28">
        <f>P631*_xlfn.XLOOKUP($L637,'Balizador da Meta'!$B$4:$B$21,'Balizador da Meta'!$C$4:$C$21)</f>
        <v>71.999999999999986</v>
      </c>
      <c r="Q637" s="28">
        <f>Q631*_xlfn.XLOOKUP($L637,'Balizador da Meta'!$B$4:$B$21,'Balizador da Meta'!$C$4:$C$21)</f>
        <v>71.999999999999986</v>
      </c>
      <c r="R637" s="28">
        <f>R631*_xlfn.XLOOKUP($L637,'Balizador da Meta'!$B$4:$B$21,'Balizador da Meta'!$C$4:$C$21)</f>
        <v>71.999999999999986</v>
      </c>
      <c r="S637" s="28">
        <f>S631*_xlfn.XLOOKUP($L637,'Balizador da Meta'!$B$4:$B$21,'Balizador da Meta'!$C$4:$C$21)</f>
        <v>71.999999999999986</v>
      </c>
      <c r="T637" s="28">
        <f>T631*_xlfn.XLOOKUP($L637,'Balizador da Meta'!$B$4:$B$21,'Balizador da Meta'!$C$4:$C$21)</f>
        <v>71.999999999999986</v>
      </c>
      <c r="U637" s="28">
        <f>U631*_xlfn.XLOOKUP($L637,'Balizador da Meta'!$B$4:$B$21,'Balizador da Meta'!$C$4:$C$21)</f>
        <v>71.999999999999986</v>
      </c>
      <c r="V637" s="28">
        <f>V631*_xlfn.XLOOKUP($L637,'Balizador da Meta'!$B$4:$B$21,'Balizador da Meta'!$C$4:$C$21)</f>
        <v>71.999999999999986</v>
      </c>
      <c r="W637" s="28">
        <f>W631*_xlfn.XLOOKUP($L637,'Balizador da Meta'!$B$4:$B$21,'Balizador da Meta'!$C$4:$C$21)</f>
        <v>71.999999999999986</v>
      </c>
      <c r="X637" s="28">
        <f>X631*_xlfn.XLOOKUP($L637,'Balizador da Meta'!$B$4:$B$21,'Balizador da Meta'!$C$4:$C$21)</f>
        <v>71.999999999999986</v>
      </c>
      <c r="Y637" s="28">
        <f>Y631*_xlfn.XLOOKUP($L637,'Balizador da Meta'!$B$4:$B$21,'Balizador da Meta'!$C$4:$C$21)</f>
        <v>71.999999999999986</v>
      </c>
      <c r="Z637" s="30">
        <f t="shared" si="155"/>
        <v>863.99999999999989</v>
      </c>
      <c r="AA637" s="29"/>
      <c r="AB637" s="31">
        <f>SUMIFS('Historico - FAT'!AK:AK,'Historico - FAT'!$K:$K,Faturamento!$L637,'Historico - FAT'!$I:$I,Faturamento!$J637,'Historico - FAT'!$G:$G,Faturamento!$H637)</f>
        <v>0</v>
      </c>
      <c r="AC637" s="31">
        <f>SUMIFS('Historico - FAT'!AL:AL,'Historico - FAT'!$K:$K,Faturamento!$L637,'Historico - FAT'!$I:$I,Faturamento!$J637,'Historico - FAT'!$G:$G,Faturamento!$H637)</f>
        <v>20.474999999999998</v>
      </c>
      <c r="AD637" s="31">
        <f>SUMIFS('Historico - FAT'!AM:AM,'Historico - FAT'!$K:$K,Faturamento!$L637,'Historico - FAT'!$I:$I,Faturamento!$J637,'Historico - FAT'!$G:$G,Faturamento!$H637)</f>
        <v>40.949999999999996</v>
      </c>
      <c r="AE637" s="27">
        <f>SUMIFS('Historico - FAT'!AN:AN,'Historico - FAT'!$K:$K,Faturamento!$L637,'Historico - FAT'!$I:$I,Faturamento!$J637,'Historico - FAT'!$G:$G,Faturamento!$H637)</f>
        <v>24.57</v>
      </c>
      <c r="AG637" s="24">
        <f t="shared" si="150"/>
        <v>1</v>
      </c>
      <c r="AH637" s="24">
        <f t="shared" si="151"/>
        <v>0.71562500000000007</v>
      </c>
      <c r="AI637" s="24">
        <f t="shared" si="152"/>
        <v>0.43124999999999997</v>
      </c>
    </row>
    <row r="638" spans="1:35" hidden="1" x14ac:dyDescent="0.3">
      <c r="A638" s="2" t="str">
        <f t="shared" si="149"/>
        <v>NÃO</v>
      </c>
      <c r="B638" s="2">
        <v>1000184670</v>
      </c>
      <c r="C638" s="2" t="s">
        <v>147</v>
      </c>
      <c r="D638" s="4">
        <v>1000186197</v>
      </c>
      <c r="E638" s="4" t="s">
        <v>166</v>
      </c>
      <c r="F638" s="2">
        <v>1000184760</v>
      </c>
      <c r="G638" s="2" t="s">
        <v>60</v>
      </c>
      <c r="H638" s="4">
        <v>1000189778</v>
      </c>
      <c r="I638" s="4" t="s">
        <v>84</v>
      </c>
      <c r="J638" s="2">
        <v>1000189270</v>
      </c>
      <c r="K638" s="2" t="s">
        <v>34</v>
      </c>
      <c r="L638" s="4" t="s">
        <v>17</v>
      </c>
      <c r="M638" s="4" t="str">
        <f t="shared" si="142"/>
        <v>1000184670100018619710001897781000189270GRANOLA</v>
      </c>
      <c r="N638" s="28">
        <f>N631*_xlfn.XLOOKUP($L638,'Balizador da Meta'!$B$4:$B$21,'Balizador da Meta'!$C$4:$C$21)</f>
        <v>72</v>
      </c>
      <c r="O638" s="28">
        <f>O631*_xlfn.XLOOKUP($L638,'Balizador da Meta'!$B$4:$B$21,'Balizador da Meta'!$C$4:$C$21)</f>
        <v>72</v>
      </c>
      <c r="P638" s="28">
        <f>P631*_xlfn.XLOOKUP($L638,'Balizador da Meta'!$B$4:$B$21,'Balizador da Meta'!$C$4:$C$21)</f>
        <v>72</v>
      </c>
      <c r="Q638" s="28">
        <f>Q631*_xlfn.XLOOKUP($L638,'Balizador da Meta'!$B$4:$B$21,'Balizador da Meta'!$C$4:$C$21)</f>
        <v>72</v>
      </c>
      <c r="R638" s="28">
        <f>R631*_xlfn.XLOOKUP($L638,'Balizador da Meta'!$B$4:$B$21,'Balizador da Meta'!$C$4:$C$21)</f>
        <v>72</v>
      </c>
      <c r="S638" s="28">
        <f>S631*_xlfn.XLOOKUP($L638,'Balizador da Meta'!$B$4:$B$21,'Balizador da Meta'!$C$4:$C$21)</f>
        <v>72</v>
      </c>
      <c r="T638" s="28">
        <f>T631*_xlfn.XLOOKUP($L638,'Balizador da Meta'!$B$4:$B$21,'Balizador da Meta'!$C$4:$C$21)</f>
        <v>72</v>
      </c>
      <c r="U638" s="28">
        <f>U631*_xlfn.XLOOKUP($L638,'Balizador da Meta'!$B$4:$B$21,'Balizador da Meta'!$C$4:$C$21)</f>
        <v>72</v>
      </c>
      <c r="V638" s="28">
        <f>V631*_xlfn.XLOOKUP($L638,'Balizador da Meta'!$B$4:$B$21,'Balizador da Meta'!$C$4:$C$21)</f>
        <v>72</v>
      </c>
      <c r="W638" s="28">
        <f>W631*_xlfn.XLOOKUP($L638,'Balizador da Meta'!$B$4:$B$21,'Balizador da Meta'!$C$4:$C$21)</f>
        <v>72</v>
      </c>
      <c r="X638" s="28">
        <f>X631*_xlfn.XLOOKUP($L638,'Balizador da Meta'!$B$4:$B$21,'Balizador da Meta'!$C$4:$C$21)</f>
        <v>72</v>
      </c>
      <c r="Y638" s="28">
        <f>Y631*_xlfn.XLOOKUP($L638,'Balizador da Meta'!$B$4:$B$21,'Balizador da Meta'!$C$4:$C$21)</f>
        <v>72</v>
      </c>
      <c r="Z638" s="30">
        <f t="shared" si="155"/>
        <v>864</v>
      </c>
      <c r="AA638" s="29"/>
      <c r="AB638" s="31">
        <f>SUMIFS('Historico - FAT'!AK:AK,'Historico - FAT'!$K:$K,Faturamento!$L638,'Historico - FAT'!$I:$I,Faturamento!$J638,'Historico - FAT'!$G:$G,Faturamento!$H638)</f>
        <v>30.8</v>
      </c>
      <c r="AC638" s="31">
        <f>SUMIFS('Historico - FAT'!AL:AL,'Historico - FAT'!$K:$K,Faturamento!$L638,'Historico - FAT'!$I:$I,Faturamento!$J638,'Historico - FAT'!$G:$G,Faturamento!$H638)</f>
        <v>16</v>
      </c>
      <c r="AD638" s="31">
        <f>SUMIFS('Historico - FAT'!AM:AM,'Historico - FAT'!$K:$K,Faturamento!$L638,'Historico - FAT'!$I:$I,Faturamento!$J638,'Historico - FAT'!$G:$G,Faturamento!$H638)</f>
        <v>32</v>
      </c>
      <c r="AE638" s="27">
        <f>SUMIFS('Historico - FAT'!AN:AN,'Historico - FAT'!$K:$K,Faturamento!$L638,'Historico - FAT'!$I:$I,Faturamento!$J638,'Historico - FAT'!$G:$G,Faturamento!$H638)</f>
        <v>19.2</v>
      </c>
      <c r="AG638" s="24">
        <f t="shared" si="150"/>
        <v>0.5722222222222223</v>
      </c>
      <c r="AH638" s="24">
        <f t="shared" si="151"/>
        <v>0.77777777777777779</v>
      </c>
      <c r="AI638" s="24">
        <f t="shared" si="152"/>
        <v>0.55555555555555558</v>
      </c>
    </row>
    <row r="639" spans="1:35" hidden="1" x14ac:dyDescent="0.3">
      <c r="A639" s="2" t="str">
        <f t="shared" si="149"/>
        <v>NÃO</v>
      </c>
      <c r="B639" s="2">
        <v>1000184670</v>
      </c>
      <c r="C639" s="2" t="s">
        <v>147</v>
      </c>
      <c r="D639" s="4">
        <v>1000186197</v>
      </c>
      <c r="E639" s="4" t="s">
        <v>166</v>
      </c>
      <c r="F639" s="2">
        <v>1000184760</v>
      </c>
      <c r="G639" s="2" t="s">
        <v>60</v>
      </c>
      <c r="H639" s="4">
        <v>1000189778</v>
      </c>
      <c r="I639" s="4" t="s">
        <v>84</v>
      </c>
      <c r="J639" s="2">
        <v>1000189270</v>
      </c>
      <c r="K639" s="2" t="s">
        <v>34</v>
      </c>
      <c r="L639" s="4" t="s">
        <v>24</v>
      </c>
      <c r="M639" s="4" t="str">
        <f t="shared" si="142"/>
        <v>1000184670100018619710001897781000189270KIDS</v>
      </c>
      <c r="N639" s="28">
        <f>N631*_xlfn.XLOOKUP($L639,'Balizador da Meta'!$B$4:$B$21,'Balizador da Meta'!$C$4:$C$21)</f>
        <v>0</v>
      </c>
      <c r="O639" s="28">
        <f>O631*_xlfn.XLOOKUP($L639,'Balizador da Meta'!$B$4:$B$21,'Balizador da Meta'!$C$4:$C$21)</f>
        <v>0</v>
      </c>
      <c r="P639" s="28">
        <f>P631*_xlfn.XLOOKUP($L639,'Balizador da Meta'!$B$4:$B$21,'Balizador da Meta'!$C$4:$C$21)</f>
        <v>0</v>
      </c>
      <c r="Q639" s="28">
        <f>Q631*_xlfn.XLOOKUP($L639,'Balizador da Meta'!$B$4:$B$21,'Balizador da Meta'!$C$4:$C$21)</f>
        <v>0</v>
      </c>
      <c r="R639" s="28">
        <f>R631*_xlfn.XLOOKUP($L639,'Balizador da Meta'!$B$4:$B$21,'Balizador da Meta'!$C$4:$C$21)</f>
        <v>0</v>
      </c>
      <c r="S639" s="28">
        <f>S631*_xlfn.XLOOKUP($L639,'Balizador da Meta'!$B$4:$B$21,'Balizador da Meta'!$C$4:$C$21)</f>
        <v>0</v>
      </c>
      <c r="T639" s="28">
        <f>T631*_xlfn.XLOOKUP($L639,'Balizador da Meta'!$B$4:$B$21,'Balizador da Meta'!$C$4:$C$21)</f>
        <v>0</v>
      </c>
      <c r="U639" s="28">
        <f>U631*_xlfn.XLOOKUP($L639,'Balizador da Meta'!$B$4:$B$21,'Balizador da Meta'!$C$4:$C$21)</f>
        <v>0</v>
      </c>
      <c r="V639" s="28">
        <f>V631*_xlfn.XLOOKUP($L639,'Balizador da Meta'!$B$4:$B$21,'Balizador da Meta'!$C$4:$C$21)</f>
        <v>0</v>
      </c>
      <c r="W639" s="28">
        <f>W631*_xlfn.XLOOKUP($L639,'Balizador da Meta'!$B$4:$B$21,'Balizador da Meta'!$C$4:$C$21)</f>
        <v>0</v>
      </c>
      <c r="X639" s="28">
        <f>X631*_xlfn.XLOOKUP($L639,'Balizador da Meta'!$B$4:$B$21,'Balizador da Meta'!$C$4:$C$21)</f>
        <v>0</v>
      </c>
      <c r="Y639" s="28">
        <f>Y631*_xlfn.XLOOKUP($L639,'Balizador da Meta'!$B$4:$B$21,'Balizador da Meta'!$C$4:$C$21)</f>
        <v>0</v>
      </c>
      <c r="Z639" s="30">
        <f t="shared" si="155"/>
        <v>0</v>
      </c>
      <c r="AA639" s="29"/>
      <c r="AB639" s="31">
        <f>SUMIFS('Historico - FAT'!AK:AK,'Historico - FAT'!$K:$K,Faturamento!$L639,'Historico - FAT'!$I:$I,Faturamento!$J639,'Historico - FAT'!$G:$G,Faturamento!$H639)</f>
        <v>0</v>
      </c>
      <c r="AC639" s="31">
        <f>SUMIFS('Historico - FAT'!AL:AL,'Historico - FAT'!$K:$K,Faturamento!$L639,'Historico - FAT'!$I:$I,Faturamento!$J639,'Historico - FAT'!$G:$G,Faturamento!$H639)</f>
        <v>0</v>
      </c>
      <c r="AD639" s="31">
        <f>SUMIFS('Historico - FAT'!AM:AM,'Historico - FAT'!$K:$K,Faturamento!$L639,'Historico - FAT'!$I:$I,Faturamento!$J639,'Historico - FAT'!$G:$G,Faturamento!$H639)</f>
        <v>0</v>
      </c>
      <c r="AE639" s="27">
        <f>SUMIFS('Historico - FAT'!AN:AN,'Historico - FAT'!$K:$K,Faturamento!$L639,'Historico - FAT'!$I:$I,Faturamento!$J639,'Historico - FAT'!$G:$G,Faturamento!$H639)</f>
        <v>0</v>
      </c>
      <c r="AG639" s="24" t="str">
        <f t="shared" si="150"/>
        <v/>
      </c>
      <c r="AH639" s="24" t="str">
        <f t="shared" si="151"/>
        <v/>
      </c>
      <c r="AI639" s="24" t="str">
        <f t="shared" si="152"/>
        <v/>
      </c>
    </row>
    <row r="640" spans="1:35" hidden="1" x14ac:dyDescent="0.3">
      <c r="A640" s="2" t="str">
        <f t="shared" si="149"/>
        <v>NÃO</v>
      </c>
      <c r="B640" s="2">
        <v>1000184670</v>
      </c>
      <c r="C640" s="2" t="s">
        <v>147</v>
      </c>
      <c r="D640" s="4">
        <v>1000186197</v>
      </c>
      <c r="E640" s="4" t="s">
        <v>166</v>
      </c>
      <c r="F640" s="2">
        <v>1000184760</v>
      </c>
      <c r="G640" s="2" t="s">
        <v>60</v>
      </c>
      <c r="H640" s="4">
        <v>1000189778</v>
      </c>
      <c r="I640" s="4" t="s">
        <v>84</v>
      </c>
      <c r="J640" s="2">
        <v>1000189270</v>
      </c>
      <c r="K640" s="2" t="s">
        <v>34</v>
      </c>
      <c r="L640" s="4" t="s">
        <v>18</v>
      </c>
      <c r="M640" s="4" t="str">
        <f t="shared" si="142"/>
        <v>1000184670100018619710001897781000189270LANCHES</v>
      </c>
      <c r="N640" s="28">
        <f>N631*_xlfn.XLOOKUP($L640,'Balizador da Meta'!$B$4:$B$21,'Balizador da Meta'!$C$4:$C$21)</f>
        <v>36</v>
      </c>
      <c r="O640" s="28">
        <f>O631*_xlfn.XLOOKUP($L640,'Balizador da Meta'!$B$4:$B$21,'Balizador da Meta'!$C$4:$C$21)</f>
        <v>36</v>
      </c>
      <c r="P640" s="28">
        <f>P631*_xlfn.XLOOKUP($L640,'Balizador da Meta'!$B$4:$B$21,'Balizador da Meta'!$C$4:$C$21)</f>
        <v>36</v>
      </c>
      <c r="Q640" s="28">
        <f>Q631*_xlfn.XLOOKUP($L640,'Balizador da Meta'!$B$4:$B$21,'Balizador da Meta'!$C$4:$C$21)</f>
        <v>36</v>
      </c>
      <c r="R640" s="28">
        <f>R631*_xlfn.XLOOKUP($L640,'Balizador da Meta'!$B$4:$B$21,'Balizador da Meta'!$C$4:$C$21)</f>
        <v>36</v>
      </c>
      <c r="S640" s="28">
        <f>S631*_xlfn.XLOOKUP($L640,'Balizador da Meta'!$B$4:$B$21,'Balizador da Meta'!$C$4:$C$21)</f>
        <v>36</v>
      </c>
      <c r="T640" s="28">
        <f>T631*_xlfn.XLOOKUP($L640,'Balizador da Meta'!$B$4:$B$21,'Balizador da Meta'!$C$4:$C$21)</f>
        <v>36</v>
      </c>
      <c r="U640" s="28">
        <f>U631*_xlfn.XLOOKUP($L640,'Balizador da Meta'!$B$4:$B$21,'Balizador da Meta'!$C$4:$C$21)</f>
        <v>36</v>
      </c>
      <c r="V640" s="28">
        <f>V631*_xlfn.XLOOKUP($L640,'Balizador da Meta'!$B$4:$B$21,'Balizador da Meta'!$C$4:$C$21)</f>
        <v>36</v>
      </c>
      <c r="W640" s="28">
        <f>W631*_xlfn.XLOOKUP($L640,'Balizador da Meta'!$B$4:$B$21,'Balizador da Meta'!$C$4:$C$21)</f>
        <v>36</v>
      </c>
      <c r="X640" s="28">
        <f>X631*_xlfn.XLOOKUP($L640,'Balizador da Meta'!$B$4:$B$21,'Balizador da Meta'!$C$4:$C$21)</f>
        <v>36</v>
      </c>
      <c r="Y640" s="28">
        <f>Y631*_xlfn.XLOOKUP($L640,'Balizador da Meta'!$B$4:$B$21,'Balizador da Meta'!$C$4:$C$21)</f>
        <v>36</v>
      </c>
      <c r="Z640" s="30">
        <f t="shared" si="155"/>
        <v>432</v>
      </c>
      <c r="AA640" s="29"/>
      <c r="AB640" s="31">
        <f>SUMIFS('Historico - FAT'!AK:AK,'Historico - FAT'!$K:$K,Faturamento!$L640,'Historico - FAT'!$I:$I,Faturamento!$J640,'Historico - FAT'!$G:$G,Faturamento!$H640)</f>
        <v>15.4</v>
      </c>
      <c r="AC640" s="31">
        <f>SUMIFS('Historico - FAT'!AL:AL,'Historico - FAT'!$K:$K,Faturamento!$L640,'Historico - FAT'!$I:$I,Faturamento!$J640,'Historico - FAT'!$G:$G,Faturamento!$H640)</f>
        <v>0</v>
      </c>
      <c r="AD640" s="31">
        <f>SUMIFS('Historico - FAT'!AM:AM,'Historico - FAT'!$K:$K,Faturamento!$L640,'Historico - FAT'!$I:$I,Faturamento!$J640,'Historico - FAT'!$G:$G,Faturamento!$H640)</f>
        <v>0</v>
      </c>
      <c r="AE640" s="27">
        <f>SUMIFS('Historico - FAT'!AN:AN,'Historico - FAT'!$K:$K,Faturamento!$L640,'Historico - FAT'!$I:$I,Faturamento!$J640,'Historico - FAT'!$G:$G,Faturamento!$H640)</f>
        <v>0</v>
      </c>
      <c r="AG640" s="24">
        <f t="shared" si="150"/>
        <v>0.5722222222222223</v>
      </c>
      <c r="AH640" s="24">
        <f t="shared" si="151"/>
        <v>1</v>
      </c>
      <c r="AI640" s="24">
        <f t="shared" si="152"/>
        <v>1</v>
      </c>
    </row>
    <row r="641" spans="1:35" hidden="1" x14ac:dyDescent="0.3">
      <c r="A641" s="2" t="str">
        <f t="shared" si="149"/>
        <v>NÃO</v>
      </c>
      <c r="B641" s="2">
        <v>1000184670</v>
      </c>
      <c r="C641" s="2" t="s">
        <v>147</v>
      </c>
      <c r="D641" s="4">
        <v>1000186197</v>
      </c>
      <c r="E641" s="4" t="s">
        <v>166</v>
      </c>
      <c r="F641" s="2">
        <v>1000184760</v>
      </c>
      <c r="G641" s="2" t="s">
        <v>60</v>
      </c>
      <c r="H641" s="4">
        <v>1000189778</v>
      </c>
      <c r="I641" s="4" t="s">
        <v>84</v>
      </c>
      <c r="J641" s="2">
        <v>1000189270</v>
      </c>
      <c r="K641" s="2" t="s">
        <v>34</v>
      </c>
      <c r="L641" s="4" t="s">
        <v>29</v>
      </c>
      <c r="M641" s="4" t="str">
        <f t="shared" si="142"/>
        <v>1000184670100018619710001897781000189270MAIS GRANEL</v>
      </c>
      <c r="N641" s="28">
        <f>N631*_xlfn.XLOOKUP($L641,'Balizador da Meta'!$B$4:$B$21,'Balizador da Meta'!$C$4:$C$21)</f>
        <v>1152</v>
      </c>
      <c r="O641" s="28">
        <f>O631*_xlfn.XLOOKUP($L641,'Balizador da Meta'!$B$4:$B$21,'Balizador da Meta'!$C$4:$C$21)</f>
        <v>1152</v>
      </c>
      <c r="P641" s="28">
        <f>P631*_xlfn.XLOOKUP($L641,'Balizador da Meta'!$B$4:$B$21,'Balizador da Meta'!$C$4:$C$21)</f>
        <v>1152</v>
      </c>
      <c r="Q641" s="28">
        <f>Q631*_xlfn.XLOOKUP($L641,'Balizador da Meta'!$B$4:$B$21,'Balizador da Meta'!$C$4:$C$21)</f>
        <v>1152</v>
      </c>
      <c r="R641" s="28">
        <f>R631*_xlfn.XLOOKUP($L641,'Balizador da Meta'!$B$4:$B$21,'Balizador da Meta'!$C$4:$C$21)</f>
        <v>1152</v>
      </c>
      <c r="S641" s="28">
        <f>S631*_xlfn.XLOOKUP($L641,'Balizador da Meta'!$B$4:$B$21,'Balizador da Meta'!$C$4:$C$21)</f>
        <v>1152</v>
      </c>
      <c r="T641" s="28">
        <f>T631*_xlfn.XLOOKUP($L641,'Balizador da Meta'!$B$4:$B$21,'Balizador da Meta'!$C$4:$C$21)</f>
        <v>1152</v>
      </c>
      <c r="U641" s="28">
        <f>U631*_xlfn.XLOOKUP($L641,'Balizador da Meta'!$B$4:$B$21,'Balizador da Meta'!$C$4:$C$21)</f>
        <v>1152</v>
      </c>
      <c r="V641" s="28">
        <f>V631*_xlfn.XLOOKUP($L641,'Balizador da Meta'!$B$4:$B$21,'Balizador da Meta'!$C$4:$C$21)</f>
        <v>1152</v>
      </c>
      <c r="W641" s="28">
        <f>W631*_xlfn.XLOOKUP($L641,'Balizador da Meta'!$B$4:$B$21,'Balizador da Meta'!$C$4:$C$21)</f>
        <v>1152</v>
      </c>
      <c r="X641" s="28">
        <f>X631*_xlfn.XLOOKUP($L641,'Balizador da Meta'!$B$4:$B$21,'Balizador da Meta'!$C$4:$C$21)</f>
        <v>1152</v>
      </c>
      <c r="Y641" s="28">
        <f>Y631*_xlfn.XLOOKUP($L641,'Balizador da Meta'!$B$4:$B$21,'Balizador da Meta'!$C$4:$C$21)</f>
        <v>1152</v>
      </c>
      <c r="Z641" s="30">
        <f t="shared" si="155"/>
        <v>13824</v>
      </c>
      <c r="AA641" s="29"/>
      <c r="AB641" s="31">
        <f>SUMIFS('Historico - FAT'!AK:AK,'Historico - FAT'!$K:$K,Faturamento!$L641,'Historico - FAT'!$I:$I,Faturamento!$J641,'Historico - FAT'!$G:$G,Faturamento!$H641)</f>
        <v>0</v>
      </c>
      <c r="AC641" s="31">
        <f>SUMIFS('Historico - FAT'!AL:AL,'Historico - FAT'!$K:$K,Faturamento!$L641,'Historico - FAT'!$I:$I,Faturamento!$J641,'Historico - FAT'!$G:$G,Faturamento!$H641)</f>
        <v>676.95833333333337</v>
      </c>
      <c r="AD641" s="31">
        <f>SUMIFS('Historico - FAT'!AM:AM,'Historico - FAT'!$K:$K,Faturamento!$L641,'Historico - FAT'!$I:$I,Faturamento!$J641,'Historico - FAT'!$G:$G,Faturamento!$H641)</f>
        <v>1353.9166666666667</v>
      </c>
      <c r="AE641" s="27">
        <f>SUMIFS('Historico - FAT'!AN:AN,'Historico - FAT'!$K:$K,Faturamento!$L641,'Historico - FAT'!$I:$I,Faturamento!$J641,'Historico - FAT'!$G:$G,Faturamento!$H641)</f>
        <v>812.35</v>
      </c>
      <c r="AG641" s="24">
        <f t="shared" si="150"/>
        <v>1</v>
      </c>
      <c r="AH641" s="24">
        <f t="shared" si="151"/>
        <v>0.41236255787037035</v>
      </c>
      <c r="AI641" s="24">
        <f t="shared" si="152"/>
        <v>-0.17527488425925933</v>
      </c>
    </row>
    <row r="642" spans="1:35" hidden="1" x14ac:dyDescent="0.3">
      <c r="A642" s="2" t="str">
        <f t="shared" si="149"/>
        <v>NÃO</v>
      </c>
      <c r="B642" s="2">
        <v>1000184670</v>
      </c>
      <c r="C642" s="2" t="s">
        <v>147</v>
      </c>
      <c r="D642" s="4">
        <v>1000186197</v>
      </c>
      <c r="E642" s="4" t="s">
        <v>166</v>
      </c>
      <c r="F642" s="2">
        <v>1000184760</v>
      </c>
      <c r="G642" s="2" t="s">
        <v>60</v>
      </c>
      <c r="H642" s="4">
        <v>1000189778</v>
      </c>
      <c r="I642" s="4" t="s">
        <v>84</v>
      </c>
      <c r="J642" s="2">
        <v>1000189270</v>
      </c>
      <c r="K642" s="2" t="s">
        <v>34</v>
      </c>
      <c r="L642" s="4" t="s">
        <v>21</v>
      </c>
      <c r="M642" s="4" t="str">
        <f t="shared" si="142"/>
        <v>1000184670100018619710001897781000189270NATURATTA</v>
      </c>
      <c r="N642" s="28">
        <f>N631*_xlfn.XLOOKUP($L642,'Balizador da Meta'!$B$4:$B$21,'Balizador da Meta'!$C$4:$C$21)</f>
        <v>180</v>
      </c>
      <c r="O642" s="28">
        <f>O631*_xlfn.XLOOKUP($L642,'Balizador da Meta'!$B$4:$B$21,'Balizador da Meta'!$C$4:$C$21)</f>
        <v>180</v>
      </c>
      <c r="P642" s="28">
        <f>P631*_xlfn.XLOOKUP($L642,'Balizador da Meta'!$B$4:$B$21,'Balizador da Meta'!$C$4:$C$21)</f>
        <v>180</v>
      </c>
      <c r="Q642" s="28">
        <f>Q631*_xlfn.XLOOKUP($L642,'Balizador da Meta'!$B$4:$B$21,'Balizador da Meta'!$C$4:$C$21)</f>
        <v>180</v>
      </c>
      <c r="R642" s="28">
        <f>R631*_xlfn.XLOOKUP($L642,'Balizador da Meta'!$B$4:$B$21,'Balizador da Meta'!$C$4:$C$21)</f>
        <v>180</v>
      </c>
      <c r="S642" s="28">
        <f>S631*_xlfn.XLOOKUP($L642,'Balizador da Meta'!$B$4:$B$21,'Balizador da Meta'!$C$4:$C$21)</f>
        <v>180</v>
      </c>
      <c r="T642" s="28">
        <f>T631*_xlfn.XLOOKUP($L642,'Balizador da Meta'!$B$4:$B$21,'Balizador da Meta'!$C$4:$C$21)</f>
        <v>180</v>
      </c>
      <c r="U642" s="28">
        <f>U631*_xlfn.XLOOKUP($L642,'Balizador da Meta'!$B$4:$B$21,'Balizador da Meta'!$C$4:$C$21)</f>
        <v>180</v>
      </c>
      <c r="V642" s="28">
        <f>V631*_xlfn.XLOOKUP($L642,'Balizador da Meta'!$B$4:$B$21,'Balizador da Meta'!$C$4:$C$21)</f>
        <v>180</v>
      </c>
      <c r="W642" s="28">
        <f>W631*_xlfn.XLOOKUP($L642,'Balizador da Meta'!$B$4:$B$21,'Balizador da Meta'!$C$4:$C$21)</f>
        <v>180</v>
      </c>
      <c r="X642" s="28">
        <f>X631*_xlfn.XLOOKUP($L642,'Balizador da Meta'!$B$4:$B$21,'Balizador da Meta'!$C$4:$C$21)</f>
        <v>180</v>
      </c>
      <c r="Y642" s="28">
        <f>Y631*_xlfn.XLOOKUP($L642,'Balizador da Meta'!$B$4:$B$21,'Balizador da Meta'!$C$4:$C$21)</f>
        <v>180</v>
      </c>
      <c r="Z642" s="30">
        <f t="shared" si="155"/>
        <v>2160</v>
      </c>
      <c r="AA642" s="29"/>
      <c r="AB642" s="31">
        <f>SUMIFS('Historico - FAT'!AK:AK,'Historico - FAT'!$K:$K,Faturamento!$L642,'Historico - FAT'!$I:$I,Faturamento!$J642,'Historico - FAT'!$G:$G,Faturamento!$H642)</f>
        <v>76</v>
      </c>
      <c r="AC642" s="31">
        <f>SUMIFS('Historico - FAT'!AL:AL,'Historico - FAT'!$K:$K,Faturamento!$L642,'Historico - FAT'!$I:$I,Faturamento!$J642,'Historico - FAT'!$G:$G,Faturamento!$H642)</f>
        <v>7.5625</v>
      </c>
      <c r="AD642" s="31">
        <f>SUMIFS('Historico - FAT'!AM:AM,'Historico - FAT'!$K:$K,Faturamento!$L642,'Historico - FAT'!$I:$I,Faturamento!$J642,'Historico - FAT'!$G:$G,Faturamento!$H642)</f>
        <v>15.125</v>
      </c>
      <c r="AE642" s="27">
        <f>SUMIFS('Historico - FAT'!AN:AN,'Historico - FAT'!$K:$K,Faturamento!$L642,'Historico - FAT'!$I:$I,Faturamento!$J642,'Historico - FAT'!$G:$G,Faturamento!$H642)</f>
        <v>9.0749999999999993</v>
      </c>
      <c r="AG642" s="24">
        <f t="shared" si="150"/>
        <v>0.57777777777777772</v>
      </c>
      <c r="AH642" s="24">
        <f t="shared" si="151"/>
        <v>0.95798611111111109</v>
      </c>
      <c r="AI642" s="24">
        <f t="shared" si="152"/>
        <v>0.91597222222222219</v>
      </c>
    </row>
    <row r="643" spans="1:35" hidden="1" x14ac:dyDescent="0.3">
      <c r="A643" s="2" t="str">
        <f t="shared" si="149"/>
        <v>NÃO</v>
      </c>
      <c r="B643" s="2">
        <v>1000184670</v>
      </c>
      <c r="C643" s="2" t="s">
        <v>147</v>
      </c>
      <c r="D643" s="4">
        <v>1000186197</v>
      </c>
      <c r="E643" s="4" t="s">
        <v>166</v>
      </c>
      <c r="F643" s="2">
        <v>1000184760</v>
      </c>
      <c r="G643" s="2" t="s">
        <v>60</v>
      </c>
      <c r="H643" s="4">
        <v>1000189778</v>
      </c>
      <c r="I643" s="4" t="s">
        <v>84</v>
      </c>
      <c r="J643" s="2">
        <v>1000189270</v>
      </c>
      <c r="K643" s="2" t="s">
        <v>34</v>
      </c>
      <c r="L643" s="4" t="s">
        <v>20</v>
      </c>
      <c r="M643" s="4" t="str">
        <f t="shared" si="142"/>
        <v>1000184670100018619710001897781000189270REEMBALADOS</v>
      </c>
      <c r="N643" s="28">
        <f>N631*_xlfn.XLOOKUP($L643,'Balizador da Meta'!$B$4:$B$21,'Balizador da Meta'!$C$4:$C$21)</f>
        <v>144</v>
      </c>
      <c r="O643" s="28">
        <f>O631*_xlfn.XLOOKUP($L643,'Balizador da Meta'!$B$4:$B$21,'Balizador da Meta'!$C$4:$C$21)</f>
        <v>144</v>
      </c>
      <c r="P643" s="28">
        <f>P631*_xlfn.XLOOKUP($L643,'Balizador da Meta'!$B$4:$B$21,'Balizador da Meta'!$C$4:$C$21)</f>
        <v>144</v>
      </c>
      <c r="Q643" s="28">
        <f>Q631*_xlfn.XLOOKUP($L643,'Balizador da Meta'!$B$4:$B$21,'Balizador da Meta'!$C$4:$C$21)</f>
        <v>144</v>
      </c>
      <c r="R643" s="28">
        <f>R631*_xlfn.XLOOKUP($L643,'Balizador da Meta'!$B$4:$B$21,'Balizador da Meta'!$C$4:$C$21)</f>
        <v>144</v>
      </c>
      <c r="S643" s="28">
        <f>S631*_xlfn.XLOOKUP($L643,'Balizador da Meta'!$B$4:$B$21,'Balizador da Meta'!$C$4:$C$21)</f>
        <v>144</v>
      </c>
      <c r="T643" s="28">
        <f>T631*_xlfn.XLOOKUP($L643,'Balizador da Meta'!$B$4:$B$21,'Balizador da Meta'!$C$4:$C$21)</f>
        <v>144</v>
      </c>
      <c r="U643" s="28">
        <f>U631*_xlfn.XLOOKUP($L643,'Balizador da Meta'!$B$4:$B$21,'Balizador da Meta'!$C$4:$C$21)</f>
        <v>144</v>
      </c>
      <c r="V643" s="28">
        <f>V631*_xlfn.XLOOKUP($L643,'Balizador da Meta'!$B$4:$B$21,'Balizador da Meta'!$C$4:$C$21)</f>
        <v>144</v>
      </c>
      <c r="W643" s="28">
        <f>W631*_xlfn.XLOOKUP($L643,'Balizador da Meta'!$B$4:$B$21,'Balizador da Meta'!$C$4:$C$21)</f>
        <v>144</v>
      </c>
      <c r="X643" s="28">
        <f>X631*_xlfn.XLOOKUP($L643,'Balizador da Meta'!$B$4:$B$21,'Balizador da Meta'!$C$4:$C$21)</f>
        <v>144</v>
      </c>
      <c r="Y643" s="28">
        <f>Y631*_xlfn.XLOOKUP($L643,'Balizador da Meta'!$B$4:$B$21,'Balizador da Meta'!$C$4:$C$21)</f>
        <v>144</v>
      </c>
      <c r="Z643" s="30">
        <f t="shared" si="155"/>
        <v>1728</v>
      </c>
      <c r="AA643" s="29"/>
      <c r="AB643" s="31">
        <f>SUMIFS('Historico - FAT'!AK:AK,'Historico - FAT'!$K:$K,Faturamento!$L643,'Historico - FAT'!$I:$I,Faturamento!$J643,'Historico - FAT'!$G:$G,Faturamento!$H643)</f>
        <v>0</v>
      </c>
      <c r="AC643" s="31">
        <f>SUMIFS('Historico - FAT'!AL:AL,'Historico - FAT'!$K:$K,Faturamento!$L643,'Historico - FAT'!$I:$I,Faturamento!$J643,'Historico - FAT'!$G:$G,Faturamento!$H643)</f>
        <v>50.703333333333326</v>
      </c>
      <c r="AD643" s="31">
        <f>SUMIFS('Historico - FAT'!AM:AM,'Historico - FAT'!$K:$K,Faturamento!$L643,'Historico - FAT'!$I:$I,Faturamento!$J643,'Historico - FAT'!$G:$G,Faturamento!$H643)</f>
        <v>101.40666666666665</v>
      </c>
      <c r="AE643" s="27">
        <f>SUMIFS('Historico - FAT'!AN:AN,'Historico - FAT'!$K:$K,Faturamento!$L643,'Historico - FAT'!$I:$I,Faturamento!$J643,'Historico - FAT'!$G:$G,Faturamento!$H643)</f>
        <v>60.843999999999994</v>
      </c>
      <c r="AG643" s="24">
        <f t="shared" si="150"/>
        <v>1</v>
      </c>
      <c r="AH643" s="24">
        <f t="shared" si="151"/>
        <v>0.64789351851851862</v>
      </c>
      <c r="AI643" s="24">
        <f t="shared" si="152"/>
        <v>0.29578703703703713</v>
      </c>
    </row>
    <row r="644" spans="1:35" hidden="1" x14ac:dyDescent="0.3">
      <c r="A644" s="2" t="str">
        <f t="shared" si="149"/>
        <v>NÃO</v>
      </c>
      <c r="B644" s="2">
        <v>1000184670</v>
      </c>
      <c r="C644" s="2" t="s">
        <v>147</v>
      </c>
      <c r="D644" s="4">
        <v>1000186197</v>
      </c>
      <c r="E644" s="4" t="s">
        <v>166</v>
      </c>
      <c r="F644" s="2">
        <v>1000184760</v>
      </c>
      <c r="G644" s="2" t="s">
        <v>60</v>
      </c>
      <c r="H644" s="4">
        <v>1000189778</v>
      </c>
      <c r="I644" s="4" t="s">
        <v>84</v>
      </c>
      <c r="J644" s="2">
        <v>1000189270</v>
      </c>
      <c r="K644" s="2" t="s">
        <v>34</v>
      </c>
      <c r="L644" s="4" t="s">
        <v>22</v>
      </c>
      <c r="M644" s="4" t="str">
        <f t="shared" si="142"/>
        <v>1000184670100018619710001897781000189270S GLUTEN</v>
      </c>
      <c r="N644" s="28">
        <f>N631*_xlfn.XLOOKUP($L644,'Balizador da Meta'!$B$4:$B$21,'Balizador da Meta'!$C$4:$C$21)</f>
        <v>144</v>
      </c>
      <c r="O644" s="28">
        <f>O631*_xlfn.XLOOKUP($L644,'Balizador da Meta'!$B$4:$B$21,'Balizador da Meta'!$C$4:$C$21)</f>
        <v>144</v>
      </c>
      <c r="P644" s="28">
        <f>P631*_xlfn.XLOOKUP($L644,'Balizador da Meta'!$B$4:$B$21,'Balizador da Meta'!$C$4:$C$21)</f>
        <v>144</v>
      </c>
      <c r="Q644" s="28">
        <f>Q631*_xlfn.XLOOKUP($L644,'Balizador da Meta'!$B$4:$B$21,'Balizador da Meta'!$C$4:$C$21)</f>
        <v>144</v>
      </c>
      <c r="R644" s="28">
        <f>R631*_xlfn.XLOOKUP($L644,'Balizador da Meta'!$B$4:$B$21,'Balizador da Meta'!$C$4:$C$21)</f>
        <v>144</v>
      </c>
      <c r="S644" s="28">
        <f>S631*_xlfn.XLOOKUP($L644,'Balizador da Meta'!$B$4:$B$21,'Balizador da Meta'!$C$4:$C$21)</f>
        <v>144</v>
      </c>
      <c r="T644" s="28">
        <f>T631*_xlfn.XLOOKUP($L644,'Balizador da Meta'!$B$4:$B$21,'Balizador da Meta'!$C$4:$C$21)</f>
        <v>144</v>
      </c>
      <c r="U644" s="28">
        <f>U631*_xlfn.XLOOKUP($L644,'Balizador da Meta'!$B$4:$B$21,'Balizador da Meta'!$C$4:$C$21)</f>
        <v>144</v>
      </c>
      <c r="V644" s="28">
        <f>V631*_xlfn.XLOOKUP($L644,'Balizador da Meta'!$B$4:$B$21,'Balizador da Meta'!$C$4:$C$21)</f>
        <v>144</v>
      </c>
      <c r="W644" s="28">
        <f>W631*_xlfn.XLOOKUP($L644,'Balizador da Meta'!$B$4:$B$21,'Balizador da Meta'!$C$4:$C$21)</f>
        <v>144</v>
      </c>
      <c r="X644" s="28">
        <f>X631*_xlfn.XLOOKUP($L644,'Balizador da Meta'!$B$4:$B$21,'Balizador da Meta'!$C$4:$C$21)</f>
        <v>144</v>
      </c>
      <c r="Y644" s="28">
        <f>Y631*_xlfn.XLOOKUP($L644,'Balizador da Meta'!$B$4:$B$21,'Balizador da Meta'!$C$4:$C$21)</f>
        <v>144</v>
      </c>
      <c r="Z644" s="30">
        <f t="shared" si="155"/>
        <v>1728</v>
      </c>
      <c r="AA644" s="29"/>
      <c r="AB644" s="31">
        <f>SUMIFS('Historico - FAT'!AK:AK,'Historico - FAT'!$K:$K,Faturamento!$L644,'Historico - FAT'!$I:$I,Faturamento!$J644,'Historico - FAT'!$G:$G,Faturamento!$H644)</f>
        <v>26.95</v>
      </c>
      <c r="AC644" s="31">
        <f>SUMIFS('Historico - FAT'!AL:AL,'Historico - FAT'!$K:$K,Faturamento!$L644,'Historico - FAT'!$I:$I,Faturamento!$J644,'Historico - FAT'!$G:$G,Faturamento!$H644)</f>
        <v>9.7324999999999999</v>
      </c>
      <c r="AD644" s="31">
        <f>SUMIFS('Historico - FAT'!AM:AM,'Historico - FAT'!$K:$K,Faturamento!$L644,'Historico - FAT'!$I:$I,Faturamento!$J644,'Historico - FAT'!$G:$G,Faturamento!$H644)</f>
        <v>19.465</v>
      </c>
      <c r="AE644" s="27">
        <f>SUMIFS('Historico - FAT'!AN:AN,'Historico - FAT'!$K:$K,Faturamento!$L644,'Historico - FAT'!$I:$I,Faturamento!$J644,'Historico - FAT'!$G:$G,Faturamento!$H644)</f>
        <v>11.678999999999998</v>
      </c>
      <c r="AG644" s="24">
        <f t="shared" si="150"/>
        <v>0.81284722222222217</v>
      </c>
      <c r="AH644" s="24">
        <f t="shared" si="151"/>
        <v>0.93241319444444448</v>
      </c>
      <c r="AI644" s="24">
        <f t="shared" si="152"/>
        <v>0.86482638888888885</v>
      </c>
    </row>
    <row r="645" spans="1:35" hidden="1" x14ac:dyDescent="0.3">
      <c r="A645" s="2" t="str">
        <f t="shared" si="149"/>
        <v>NÃO</v>
      </c>
      <c r="B645" s="2">
        <v>1000184670</v>
      </c>
      <c r="C645" s="2" t="s">
        <v>147</v>
      </c>
      <c r="D645" s="4">
        <v>1000186197</v>
      </c>
      <c r="E645" s="4" t="s">
        <v>166</v>
      </c>
      <c r="F645" s="2">
        <v>1000184760</v>
      </c>
      <c r="G645" s="2" t="s">
        <v>60</v>
      </c>
      <c r="H645" s="4">
        <v>1000189778</v>
      </c>
      <c r="I645" s="4" t="s">
        <v>84</v>
      </c>
      <c r="J645" s="2">
        <v>1000189270</v>
      </c>
      <c r="K645" s="2" t="s">
        <v>34</v>
      </c>
      <c r="L645" s="4" t="s">
        <v>23</v>
      </c>
      <c r="M645" s="4" t="str">
        <f t="shared" ref="M645:M708" si="156">_xlfn.CONCAT(B645,D645,H645,J645,L645,)</f>
        <v>1000184670100018619710001897781000189270SABORES DO CAMPO</v>
      </c>
      <c r="N645" s="28">
        <f>N631*_xlfn.XLOOKUP($L645,'Balizador da Meta'!$B$4:$B$21,'Balizador da Meta'!$C$4:$C$21)</f>
        <v>0</v>
      </c>
      <c r="O645" s="28">
        <f>O631*_xlfn.XLOOKUP($L645,'Balizador da Meta'!$B$4:$B$21,'Balizador da Meta'!$C$4:$C$21)</f>
        <v>0</v>
      </c>
      <c r="P645" s="28">
        <f>P631*_xlfn.XLOOKUP($L645,'Balizador da Meta'!$B$4:$B$21,'Balizador da Meta'!$C$4:$C$21)</f>
        <v>0</v>
      </c>
      <c r="Q645" s="28">
        <f>Q631*_xlfn.XLOOKUP($L645,'Balizador da Meta'!$B$4:$B$21,'Balizador da Meta'!$C$4:$C$21)</f>
        <v>0</v>
      </c>
      <c r="R645" s="28">
        <f>R631*_xlfn.XLOOKUP($L645,'Balizador da Meta'!$B$4:$B$21,'Balizador da Meta'!$C$4:$C$21)</f>
        <v>0</v>
      </c>
      <c r="S645" s="28">
        <f>S631*_xlfn.XLOOKUP($L645,'Balizador da Meta'!$B$4:$B$21,'Balizador da Meta'!$C$4:$C$21)</f>
        <v>0</v>
      </c>
      <c r="T645" s="28">
        <f>T631*_xlfn.XLOOKUP($L645,'Balizador da Meta'!$B$4:$B$21,'Balizador da Meta'!$C$4:$C$21)</f>
        <v>0</v>
      </c>
      <c r="U645" s="28">
        <f>U631*_xlfn.XLOOKUP($L645,'Balizador da Meta'!$B$4:$B$21,'Balizador da Meta'!$C$4:$C$21)</f>
        <v>0</v>
      </c>
      <c r="V645" s="28">
        <f>V631*_xlfn.XLOOKUP($L645,'Balizador da Meta'!$B$4:$B$21,'Balizador da Meta'!$C$4:$C$21)</f>
        <v>0</v>
      </c>
      <c r="W645" s="28">
        <f>W631*_xlfn.XLOOKUP($L645,'Balizador da Meta'!$B$4:$B$21,'Balizador da Meta'!$C$4:$C$21)</f>
        <v>0</v>
      </c>
      <c r="X645" s="28">
        <f>X631*_xlfn.XLOOKUP($L645,'Balizador da Meta'!$B$4:$B$21,'Balizador da Meta'!$C$4:$C$21)</f>
        <v>0</v>
      </c>
      <c r="Y645" s="28">
        <f>Y631*_xlfn.XLOOKUP($L645,'Balizador da Meta'!$B$4:$B$21,'Balizador da Meta'!$C$4:$C$21)</f>
        <v>0</v>
      </c>
      <c r="Z645" s="30">
        <f t="shared" si="155"/>
        <v>0</v>
      </c>
      <c r="AA645" s="29"/>
      <c r="AB645" s="31">
        <f>SUMIFS('Historico - FAT'!AK:AK,'Historico - FAT'!$K:$K,Faturamento!$L645,'Historico - FAT'!$I:$I,Faturamento!$J645,'Historico - FAT'!$G:$G,Faturamento!$H645)</f>
        <v>7.5049999999999999</v>
      </c>
      <c r="AC645" s="31">
        <f>SUMIFS('Historico - FAT'!AL:AL,'Historico - FAT'!$K:$K,Faturamento!$L645,'Historico - FAT'!$I:$I,Faturamento!$J645,'Historico - FAT'!$G:$G,Faturamento!$H645)</f>
        <v>7.5041666666666664</v>
      </c>
      <c r="AD645" s="31">
        <f>SUMIFS('Historico - FAT'!AM:AM,'Historico - FAT'!$K:$K,Faturamento!$L645,'Historico - FAT'!$I:$I,Faturamento!$J645,'Historico - FAT'!$G:$G,Faturamento!$H645)</f>
        <v>15.008333333333333</v>
      </c>
      <c r="AE645" s="27">
        <f>SUMIFS('Historico - FAT'!AN:AN,'Historico - FAT'!$K:$K,Faturamento!$L645,'Historico - FAT'!$I:$I,Faturamento!$J645,'Historico - FAT'!$G:$G,Faturamento!$H645)</f>
        <v>9.004999999999999</v>
      </c>
      <c r="AG645" s="24" t="str">
        <f t="shared" si="150"/>
        <v/>
      </c>
      <c r="AH645" s="24" t="str">
        <f t="shared" si="151"/>
        <v/>
      </c>
      <c r="AI645" s="24" t="str">
        <f t="shared" si="152"/>
        <v/>
      </c>
    </row>
    <row r="646" spans="1:35" hidden="1" x14ac:dyDescent="0.3">
      <c r="A646" s="2" t="str">
        <f t="shared" si="149"/>
        <v>NÃO</v>
      </c>
      <c r="B646" s="2">
        <v>1000184670</v>
      </c>
      <c r="C646" s="2" t="s">
        <v>147</v>
      </c>
      <c r="D646" s="4">
        <v>1000186197</v>
      </c>
      <c r="E646" s="4" t="s">
        <v>166</v>
      </c>
      <c r="F646" s="2">
        <v>1000184760</v>
      </c>
      <c r="G646" s="2" t="s">
        <v>60</v>
      </c>
      <c r="H646" s="4">
        <v>1000189778</v>
      </c>
      <c r="I646" s="4" t="s">
        <v>84</v>
      </c>
      <c r="J646" s="2">
        <v>1000189270</v>
      </c>
      <c r="K646" s="2" t="s">
        <v>34</v>
      </c>
      <c r="L646" s="4" t="s">
        <v>28</v>
      </c>
      <c r="M646" s="4" t="str">
        <f t="shared" si="156"/>
        <v>1000184670100018619710001897781000189270SAL</v>
      </c>
      <c r="N646" s="28">
        <f>N631*_xlfn.XLOOKUP($L646,'Balizador da Meta'!$B$4:$B$21,'Balizador da Meta'!$C$4:$C$21)</f>
        <v>72</v>
      </c>
      <c r="O646" s="28">
        <f>O631*_xlfn.XLOOKUP($L646,'Balizador da Meta'!$B$4:$B$21,'Balizador da Meta'!$C$4:$C$21)</f>
        <v>72</v>
      </c>
      <c r="P646" s="28">
        <f>P631*_xlfn.XLOOKUP($L646,'Balizador da Meta'!$B$4:$B$21,'Balizador da Meta'!$C$4:$C$21)</f>
        <v>72</v>
      </c>
      <c r="Q646" s="28">
        <f>Q631*_xlfn.XLOOKUP($L646,'Balizador da Meta'!$B$4:$B$21,'Balizador da Meta'!$C$4:$C$21)</f>
        <v>72</v>
      </c>
      <c r="R646" s="28">
        <f>R631*_xlfn.XLOOKUP($L646,'Balizador da Meta'!$B$4:$B$21,'Balizador da Meta'!$C$4:$C$21)</f>
        <v>72</v>
      </c>
      <c r="S646" s="28">
        <f>S631*_xlfn.XLOOKUP($L646,'Balizador da Meta'!$B$4:$B$21,'Balizador da Meta'!$C$4:$C$21)</f>
        <v>72</v>
      </c>
      <c r="T646" s="28">
        <f>T631*_xlfn.XLOOKUP($L646,'Balizador da Meta'!$B$4:$B$21,'Balizador da Meta'!$C$4:$C$21)</f>
        <v>72</v>
      </c>
      <c r="U646" s="28">
        <f>U631*_xlfn.XLOOKUP($L646,'Balizador da Meta'!$B$4:$B$21,'Balizador da Meta'!$C$4:$C$21)</f>
        <v>72</v>
      </c>
      <c r="V646" s="28">
        <f>V631*_xlfn.XLOOKUP($L646,'Balizador da Meta'!$B$4:$B$21,'Balizador da Meta'!$C$4:$C$21)</f>
        <v>72</v>
      </c>
      <c r="W646" s="28">
        <f>W631*_xlfn.XLOOKUP($L646,'Balizador da Meta'!$B$4:$B$21,'Balizador da Meta'!$C$4:$C$21)</f>
        <v>72</v>
      </c>
      <c r="X646" s="28">
        <f>X631*_xlfn.XLOOKUP($L646,'Balizador da Meta'!$B$4:$B$21,'Balizador da Meta'!$C$4:$C$21)</f>
        <v>72</v>
      </c>
      <c r="Y646" s="28">
        <f>Y631*_xlfn.XLOOKUP($L646,'Balizador da Meta'!$B$4:$B$21,'Balizador da Meta'!$C$4:$C$21)</f>
        <v>72</v>
      </c>
      <c r="Z646" s="30">
        <f t="shared" si="155"/>
        <v>864</v>
      </c>
      <c r="AA646" s="29"/>
      <c r="AB646" s="31">
        <f>SUMIFS('Historico - FAT'!AK:AK,'Historico - FAT'!$K:$K,Faturamento!$L646,'Historico - FAT'!$I:$I,Faturamento!$J646,'Historico - FAT'!$G:$G,Faturamento!$H646)</f>
        <v>18.12</v>
      </c>
      <c r="AC646" s="31">
        <f>SUMIFS('Historico - FAT'!AL:AL,'Historico - FAT'!$K:$K,Faturamento!$L646,'Historico - FAT'!$I:$I,Faturamento!$J646,'Historico - FAT'!$G:$G,Faturamento!$H646)</f>
        <v>0</v>
      </c>
      <c r="AD646" s="31">
        <f>SUMIFS('Historico - FAT'!AM:AM,'Historico - FAT'!$K:$K,Faturamento!$L646,'Historico - FAT'!$I:$I,Faturamento!$J646,'Historico - FAT'!$G:$G,Faturamento!$H646)</f>
        <v>0</v>
      </c>
      <c r="AE646" s="27">
        <f>SUMIFS('Historico - FAT'!AN:AN,'Historico - FAT'!$K:$K,Faturamento!$L646,'Historico - FAT'!$I:$I,Faturamento!$J646,'Historico - FAT'!$G:$G,Faturamento!$H646)</f>
        <v>0</v>
      </c>
      <c r="AG646" s="24">
        <f t="shared" si="150"/>
        <v>0.74833333333333329</v>
      </c>
      <c r="AH646" s="24">
        <f t="shared" si="151"/>
        <v>1</v>
      </c>
      <c r="AI646" s="24">
        <f t="shared" si="152"/>
        <v>1</v>
      </c>
    </row>
    <row r="647" spans="1:35" hidden="1" x14ac:dyDescent="0.3">
      <c r="A647" s="2" t="str">
        <f t="shared" si="149"/>
        <v>NÃO</v>
      </c>
      <c r="B647" s="2">
        <v>1000184670</v>
      </c>
      <c r="C647" s="2" t="s">
        <v>147</v>
      </c>
      <c r="D647" s="4">
        <v>1000186197</v>
      </c>
      <c r="E647" s="4" t="s">
        <v>166</v>
      </c>
      <c r="F647" s="2">
        <v>1000184760</v>
      </c>
      <c r="G647" s="2" t="s">
        <v>60</v>
      </c>
      <c r="H647" s="4">
        <v>1000189778</v>
      </c>
      <c r="I647" s="4" t="s">
        <v>84</v>
      </c>
      <c r="J647" s="2">
        <v>1000189270</v>
      </c>
      <c r="K647" s="2" t="s">
        <v>34</v>
      </c>
      <c r="L647" s="4" t="s">
        <v>26</v>
      </c>
      <c r="M647" s="4" t="str">
        <f t="shared" si="156"/>
        <v>1000184670100018619710001897781000189270SOULPRO</v>
      </c>
      <c r="N647" s="28">
        <f>N631*_xlfn.XLOOKUP($L647,'Balizador da Meta'!$B$4:$B$21,'Balizador da Meta'!$C$4:$C$21)</f>
        <v>216</v>
      </c>
      <c r="O647" s="28">
        <f>O631*_xlfn.XLOOKUP($L647,'Balizador da Meta'!$B$4:$B$21,'Balizador da Meta'!$C$4:$C$21)</f>
        <v>216</v>
      </c>
      <c r="P647" s="28">
        <f>P631*_xlfn.XLOOKUP($L647,'Balizador da Meta'!$B$4:$B$21,'Balizador da Meta'!$C$4:$C$21)</f>
        <v>216</v>
      </c>
      <c r="Q647" s="28">
        <f>Q631*_xlfn.XLOOKUP($L647,'Balizador da Meta'!$B$4:$B$21,'Balizador da Meta'!$C$4:$C$21)</f>
        <v>216</v>
      </c>
      <c r="R647" s="28">
        <f>R631*_xlfn.XLOOKUP($L647,'Balizador da Meta'!$B$4:$B$21,'Balizador da Meta'!$C$4:$C$21)</f>
        <v>216</v>
      </c>
      <c r="S647" s="28">
        <f>S631*_xlfn.XLOOKUP($L647,'Balizador da Meta'!$B$4:$B$21,'Balizador da Meta'!$C$4:$C$21)</f>
        <v>216</v>
      </c>
      <c r="T647" s="28">
        <f>T631*_xlfn.XLOOKUP($L647,'Balizador da Meta'!$B$4:$B$21,'Balizador da Meta'!$C$4:$C$21)</f>
        <v>216</v>
      </c>
      <c r="U647" s="28">
        <f>U631*_xlfn.XLOOKUP($L647,'Balizador da Meta'!$B$4:$B$21,'Balizador da Meta'!$C$4:$C$21)</f>
        <v>216</v>
      </c>
      <c r="V647" s="28">
        <f>V631*_xlfn.XLOOKUP($L647,'Balizador da Meta'!$B$4:$B$21,'Balizador da Meta'!$C$4:$C$21)</f>
        <v>216</v>
      </c>
      <c r="W647" s="28">
        <f>W631*_xlfn.XLOOKUP($L647,'Balizador da Meta'!$B$4:$B$21,'Balizador da Meta'!$C$4:$C$21)</f>
        <v>216</v>
      </c>
      <c r="X647" s="28">
        <f>X631*_xlfn.XLOOKUP($L647,'Balizador da Meta'!$B$4:$B$21,'Balizador da Meta'!$C$4:$C$21)</f>
        <v>216</v>
      </c>
      <c r="Y647" s="28">
        <f>Y631*_xlfn.XLOOKUP($L647,'Balizador da Meta'!$B$4:$B$21,'Balizador da Meta'!$C$4:$C$21)</f>
        <v>216</v>
      </c>
      <c r="Z647" s="30">
        <f t="shared" si="155"/>
        <v>2592</v>
      </c>
      <c r="AA647" s="29"/>
      <c r="AB647" s="31">
        <f>SUMIFS('Historico - FAT'!AK:AK,'Historico - FAT'!$K:$K,Faturamento!$L647,'Historico - FAT'!$I:$I,Faturamento!$J647,'Historico - FAT'!$G:$G,Faturamento!$H647)</f>
        <v>0</v>
      </c>
      <c r="AC647" s="31">
        <f>SUMIFS('Historico - FAT'!AL:AL,'Historico - FAT'!$K:$K,Faturamento!$L647,'Historico - FAT'!$I:$I,Faturamento!$J647,'Historico - FAT'!$G:$G,Faturamento!$H647)</f>
        <v>8.7258333333333322</v>
      </c>
      <c r="AD647" s="31">
        <f>SUMIFS('Historico - FAT'!AM:AM,'Historico - FAT'!$K:$K,Faturamento!$L647,'Historico - FAT'!$I:$I,Faturamento!$J647,'Historico - FAT'!$G:$G,Faturamento!$H647)</f>
        <v>17.451666666666664</v>
      </c>
      <c r="AE647" s="27">
        <f>SUMIFS('Historico - FAT'!AN:AN,'Historico - FAT'!$K:$K,Faturamento!$L647,'Historico - FAT'!$I:$I,Faturamento!$J647,'Historico - FAT'!$G:$G,Faturamento!$H647)</f>
        <v>10.471</v>
      </c>
      <c r="AG647" s="24">
        <f t="shared" si="150"/>
        <v>1</v>
      </c>
      <c r="AH647" s="24">
        <f t="shared" si="151"/>
        <v>0.95960262345679015</v>
      </c>
      <c r="AI647" s="24">
        <f t="shared" si="152"/>
        <v>0.9192052469135803</v>
      </c>
    </row>
    <row r="648" spans="1:35" hidden="1" x14ac:dyDescent="0.3">
      <c r="A648" s="2" t="str">
        <f t="shared" si="149"/>
        <v>NÃO</v>
      </c>
      <c r="B648" s="2">
        <v>1000184670</v>
      </c>
      <c r="C648" s="2" t="s">
        <v>147</v>
      </c>
      <c r="D648" s="4">
        <v>1000186197</v>
      </c>
      <c r="E648" s="4" t="s">
        <v>166</v>
      </c>
      <c r="F648" s="2">
        <v>1000184760</v>
      </c>
      <c r="G648" s="2" t="s">
        <v>60</v>
      </c>
      <c r="H648" s="4">
        <v>1000189778</v>
      </c>
      <c r="I648" s="4" t="s">
        <v>84</v>
      </c>
      <c r="J648" s="2">
        <v>1000189270</v>
      </c>
      <c r="K648" s="2" t="s">
        <v>34</v>
      </c>
      <c r="L648" s="4" t="s">
        <v>27</v>
      </c>
      <c r="M648" s="4" t="str">
        <f t="shared" si="156"/>
        <v>1000184670100018619710001897781000189270TAMARA</v>
      </c>
      <c r="N648" s="28">
        <f>N631*_xlfn.XLOOKUP($L648,'Balizador da Meta'!$B$4:$B$21,'Balizador da Meta'!$C$4:$C$21)</f>
        <v>288</v>
      </c>
      <c r="O648" s="28">
        <f>O631*_xlfn.XLOOKUP($L648,'Balizador da Meta'!$B$4:$B$21,'Balizador da Meta'!$C$4:$C$21)</f>
        <v>288</v>
      </c>
      <c r="P648" s="28">
        <f>P631*_xlfn.XLOOKUP($L648,'Balizador da Meta'!$B$4:$B$21,'Balizador da Meta'!$C$4:$C$21)</f>
        <v>288</v>
      </c>
      <c r="Q648" s="28">
        <f>Q631*_xlfn.XLOOKUP($L648,'Balizador da Meta'!$B$4:$B$21,'Balizador da Meta'!$C$4:$C$21)</f>
        <v>288</v>
      </c>
      <c r="R648" s="28">
        <f>R631*_xlfn.XLOOKUP($L648,'Balizador da Meta'!$B$4:$B$21,'Balizador da Meta'!$C$4:$C$21)</f>
        <v>288</v>
      </c>
      <c r="S648" s="28">
        <f>S631*_xlfn.XLOOKUP($L648,'Balizador da Meta'!$B$4:$B$21,'Balizador da Meta'!$C$4:$C$21)</f>
        <v>288</v>
      </c>
      <c r="T648" s="28">
        <f>T631*_xlfn.XLOOKUP($L648,'Balizador da Meta'!$B$4:$B$21,'Balizador da Meta'!$C$4:$C$21)</f>
        <v>288</v>
      </c>
      <c r="U648" s="28">
        <f>U631*_xlfn.XLOOKUP($L648,'Balizador da Meta'!$B$4:$B$21,'Balizador da Meta'!$C$4:$C$21)</f>
        <v>288</v>
      </c>
      <c r="V648" s="28">
        <f>V631*_xlfn.XLOOKUP($L648,'Balizador da Meta'!$B$4:$B$21,'Balizador da Meta'!$C$4:$C$21)</f>
        <v>288</v>
      </c>
      <c r="W648" s="28">
        <f>W631*_xlfn.XLOOKUP($L648,'Balizador da Meta'!$B$4:$B$21,'Balizador da Meta'!$C$4:$C$21)</f>
        <v>288</v>
      </c>
      <c r="X648" s="28">
        <f>X631*_xlfn.XLOOKUP($L648,'Balizador da Meta'!$B$4:$B$21,'Balizador da Meta'!$C$4:$C$21)</f>
        <v>288</v>
      </c>
      <c r="Y648" s="28">
        <f>Y631*_xlfn.XLOOKUP($L648,'Balizador da Meta'!$B$4:$B$21,'Balizador da Meta'!$C$4:$C$21)</f>
        <v>288</v>
      </c>
      <c r="Z648" s="30">
        <f t="shared" si="155"/>
        <v>3456</v>
      </c>
      <c r="AA648" s="29"/>
      <c r="AB648" s="31">
        <f>SUMIFS('Historico - FAT'!AK:AK,'Historico - FAT'!$K:$K,Faturamento!$L648,'Historico - FAT'!$I:$I,Faturamento!$J648,'Historico - FAT'!$G:$G,Faturamento!$H648)</f>
        <v>0</v>
      </c>
      <c r="AC648" s="31">
        <f>SUMIFS('Historico - FAT'!AL:AL,'Historico - FAT'!$K:$K,Faturamento!$L648,'Historico - FAT'!$I:$I,Faturamento!$J648,'Historico - FAT'!$G:$G,Faturamento!$H648)</f>
        <v>0</v>
      </c>
      <c r="AD648" s="31">
        <f>SUMIFS('Historico - FAT'!AM:AM,'Historico - FAT'!$K:$K,Faturamento!$L648,'Historico - FAT'!$I:$I,Faturamento!$J648,'Historico - FAT'!$G:$G,Faturamento!$H648)</f>
        <v>0</v>
      </c>
      <c r="AE648" s="27">
        <f>SUMIFS('Historico - FAT'!AN:AN,'Historico - FAT'!$K:$K,Faturamento!$L648,'Historico - FAT'!$I:$I,Faturamento!$J648,'Historico - FAT'!$G:$G,Faturamento!$H648)</f>
        <v>0</v>
      </c>
      <c r="AG648" s="24">
        <f t="shared" si="150"/>
        <v>1</v>
      </c>
      <c r="AH648" s="24">
        <f t="shared" si="151"/>
        <v>1</v>
      </c>
      <c r="AI648" s="24">
        <f t="shared" si="152"/>
        <v>1</v>
      </c>
    </row>
    <row r="649" spans="1:35" hidden="1" x14ac:dyDescent="0.3">
      <c r="A649" s="2" t="str">
        <f t="shared" si="149"/>
        <v>NÃO</v>
      </c>
      <c r="B649" s="2">
        <v>1000184670</v>
      </c>
      <c r="C649" s="2" t="s">
        <v>147</v>
      </c>
      <c r="D649" s="4">
        <v>1000186197</v>
      </c>
      <c r="E649" s="4" t="s">
        <v>166</v>
      </c>
      <c r="F649" s="2">
        <v>1000184760</v>
      </c>
      <c r="G649" s="2" t="s">
        <v>60</v>
      </c>
      <c r="H649" s="4">
        <v>1000189778</v>
      </c>
      <c r="I649" s="4" t="s">
        <v>84</v>
      </c>
      <c r="J649" s="2">
        <v>1000189270</v>
      </c>
      <c r="K649" s="2" t="s">
        <v>34</v>
      </c>
      <c r="L649" s="4" t="s">
        <v>25</v>
      </c>
      <c r="M649" s="4" t="str">
        <f t="shared" si="156"/>
        <v>1000184670100018619710001897781000189270VICCIO</v>
      </c>
      <c r="N649" s="28">
        <f>N631*_xlfn.XLOOKUP($L649,'Balizador da Meta'!$B$4:$B$21,'Balizador da Meta'!$C$4:$C$21)</f>
        <v>108</v>
      </c>
      <c r="O649" s="28">
        <f>O631*_xlfn.XLOOKUP($L649,'Balizador da Meta'!$B$4:$B$21,'Balizador da Meta'!$C$4:$C$21)</f>
        <v>108</v>
      </c>
      <c r="P649" s="28">
        <f>P631*_xlfn.XLOOKUP($L649,'Balizador da Meta'!$B$4:$B$21,'Balizador da Meta'!$C$4:$C$21)</f>
        <v>108</v>
      </c>
      <c r="Q649" s="28">
        <f>Q631*_xlfn.XLOOKUP($L649,'Balizador da Meta'!$B$4:$B$21,'Balizador da Meta'!$C$4:$C$21)</f>
        <v>108</v>
      </c>
      <c r="R649" s="28">
        <f>R631*_xlfn.XLOOKUP($L649,'Balizador da Meta'!$B$4:$B$21,'Balizador da Meta'!$C$4:$C$21)</f>
        <v>108</v>
      </c>
      <c r="S649" s="28">
        <f>S631*_xlfn.XLOOKUP($L649,'Balizador da Meta'!$B$4:$B$21,'Balizador da Meta'!$C$4:$C$21)</f>
        <v>108</v>
      </c>
      <c r="T649" s="28">
        <f>T631*_xlfn.XLOOKUP($L649,'Balizador da Meta'!$B$4:$B$21,'Balizador da Meta'!$C$4:$C$21)</f>
        <v>108</v>
      </c>
      <c r="U649" s="28">
        <f>U631*_xlfn.XLOOKUP($L649,'Balizador da Meta'!$B$4:$B$21,'Balizador da Meta'!$C$4:$C$21)</f>
        <v>108</v>
      </c>
      <c r="V649" s="28">
        <f>V631*_xlfn.XLOOKUP($L649,'Balizador da Meta'!$B$4:$B$21,'Balizador da Meta'!$C$4:$C$21)</f>
        <v>108</v>
      </c>
      <c r="W649" s="28">
        <f>W631*_xlfn.XLOOKUP($L649,'Balizador da Meta'!$B$4:$B$21,'Balizador da Meta'!$C$4:$C$21)</f>
        <v>108</v>
      </c>
      <c r="X649" s="28">
        <f>X631*_xlfn.XLOOKUP($L649,'Balizador da Meta'!$B$4:$B$21,'Balizador da Meta'!$C$4:$C$21)</f>
        <v>108</v>
      </c>
      <c r="Y649" s="28">
        <f>Y631*_xlfn.XLOOKUP($L649,'Balizador da Meta'!$B$4:$B$21,'Balizador da Meta'!$C$4:$C$21)</f>
        <v>108</v>
      </c>
      <c r="Z649" s="30">
        <f t="shared" si="155"/>
        <v>1296</v>
      </c>
      <c r="AA649" s="29"/>
      <c r="AB649" s="31">
        <f>SUMIFS('Historico - FAT'!AK:AK,'Historico - FAT'!$K:$K,Faturamento!$L649,'Historico - FAT'!$I:$I,Faturamento!$J649,'Historico - FAT'!$G:$G,Faturamento!$H649)</f>
        <v>26.400000000000002</v>
      </c>
      <c r="AC649" s="31">
        <f>SUMIFS('Historico - FAT'!AL:AL,'Historico - FAT'!$K:$K,Faturamento!$L649,'Historico - FAT'!$I:$I,Faturamento!$J649,'Historico - FAT'!$G:$G,Faturamento!$H649)</f>
        <v>0</v>
      </c>
      <c r="AD649" s="31">
        <f>SUMIFS('Historico - FAT'!AM:AM,'Historico - FAT'!$K:$K,Faturamento!$L649,'Historico - FAT'!$I:$I,Faturamento!$J649,'Historico - FAT'!$G:$G,Faturamento!$H649)</f>
        <v>0</v>
      </c>
      <c r="AE649" s="27">
        <f>SUMIFS('Historico - FAT'!AN:AN,'Historico - FAT'!$K:$K,Faturamento!$L649,'Historico - FAT'!$I:$I,Faturamento!$J649,'Historico - FAT'!$G:$G,Faturamento!$H649)</f>
        <v>0</v>
      </c>
      <c r="AG649" s="24">
        <f t="shared" si="150"/>
        <v>0.75555555555555554</v>
      </c>
      <c r="AH649" s="24">
        <f t="shared" si="151"/>
        <v>1</v>
      </c>
      <c r="AI649" s="24">
        <f t="shared" si="152"/>
        <v>1</v>
      </c>
    </row>
    <row r="650" spans="1:35" x14ac:dyDescent="0.3">
      <c r="A650" s="2" t="str">
        <f t="shared" si="149"/>
        <v>SIM</v>
      </c>
      <c r="B650" s="2">
        <v>1000184670</v>
      </c>
      <c r="C650" s="2" t="s">
        <v>147</v>
      </c>
      <c r="D650" s="4">
        <v>1000186197</v>
      </c>
      <c r="E650" s="4" t="s">
        <v>166</v>
      </c>
      <c r="F650" s="2">
        <v>1000184760</v>
      </c>
      <c r="G650" s="2" t="s">
        <v>60</v>
      </c>
      <c r="H650" s="4">
        <v>1000189779</v>
      </c>
      <c r="I650" s="4" t="s">
        <v>106</v>
      </c>
      <c r="J650" s="2">
        <v>1000189270</v>
      </c>
      <c r="K650" s="2" t="s">
        <v>34</v>
      </c>
      <c r="L650" s="4" t="s">
        <v>124</v>
      </c>
      <c r="M650" s="4" t="str">
        <f t="shared" si="156"/>
        <v>100018467010001861971000189779100018927001. TOTAL</v>
      </c>
      <c r="N650" s="28">
        <f>SUMIFS(Positivação!L:L,Positivação!$I:$I,Faturamento!$J650,Positivação!$G:$G,Faturamento!$H650)*SUMIFS(Positivação!$Z:$Z,Positivação!$I:$I,Faturamento!$J650,Positivação!$G:$G,Faturamento!$H650)</f>
        <v>2400</v>
      </c>
      <c r="O650" s="28">
        <f>SUMIFS(Positivação!M:M,Positivação!$I:$I,Faturamento!$J650,Positivação!$G:$G,Faturamento!$H650)*SUMIFS(Positivação!$Z:$Z,Positivação!$I:$I,Faturamento!$J650,Positivação!$G:$G,Faturamento!$H650)</f>
        <v>2400</v>
      </c>
      <c r="P650" s="28">
        <f>SUMIFS(Positivação!N:N,Positivação!$I:$I,Faturamento!$J650,Positivação!$G:$G,Faturamento!$H650)*SUMIFS(Positivação!$Z:$Z,Positivação!$I:$I,Faturamento!$J650,Positivação!$G:$G,Faturamento!$H650)</f>
        <v>2400</v>
      </c>
      <c r="Q650" s="28">
        <f>SUMIFS(Positivação!O:O,Positivação!$I:$I,Faturamento!$J650,Positivação!$G:$G,Faturamento!$H650)*SUMIFS(Positivação!$Z:$Z,Positivação!$I:$I,Faturamento!$J650,Positivação!$G:$G,Faturamento!$H650)</f>
        <v>2400</v>
      </c>
      <c r="R650" s="28">
        <f>SUMIFS(Positivação!P:P,Positivação!$I:$I,Faturamento!$J650,Positivação!$G:$G,Faturamento!$H650)*SUMIFS(Positivação!$Z:$Z,Positivação!$I:$I,Faturamento!$J650,Positivação!$G:$G,Faturamento!$H650)</f>
        <v>2400</v>
      </c>
      <c r="S650" s="28">
        <f>SUMIFS(Positivação!Q:Q,Positivação!$I:$I,Faturamento!$J650,Positivação!$G:$G,Faturamento!$H650)*SUMIFS(Positivação!$Z:$Z,Positivação!$I:$I,Faturamento!$J650,Positivação!$G:$G,Faturamento!$H650)</f>
        <v>2400</v>
      </c>
      <c r="T650" s="28">
        <f>SUMIFS(Positivação!R:R,Positivação!$I:$I,Faturamento!$J650,Positivação!$G:$G,Faturamento!$H650)*SUMIFS(Positivação!$Z:$Z,Positivação!$I:$I,Faturamento!$J650,Positivação!$G:$G,Faturamento!$H650)</f>
        <v>2400</v>
      </c>
      <c r="U650" s="28">
        <f>SUMIFS(Positivação!S:S,Positivação!$I:$I,Faturamento!$J650,Positivação!$G:$G,Faturamento!$H650)*SUMIFS(Positivação!$Z:$Z,Positivação!$I:$I,Faturamento!$J650,Positivação!$G:$G,Faturamento!$H650)</f>
        <v>2400</v>
      </c>
      <c r="V650" s="28">
        <f>SUMIFS(Positivação!T:T,Positivação!$I:$I,Faturamento!$J650,Positivação!$G:$G,Faturamento!$H650)*SUMIFS(Positivação!$Z:$Z,Positivação!$I:$I,Faturamento!$J650,Positivação!$G:$G,Faturamento!$H650)</f>
        <v>2400</v>
      </c>
      <c r="W650" s="28">
        <f>SUMIFS(Positivação!U:U,Positivação!$I:$I,Faturamento!$J650,Positivação!$G:$G,Faturamento!$H650)*SUMIFS(Positivação!$Z:$Z,Positivação!$I:$I,Faturamento!$J650,Positivação!$G:$G,Faturamento!$H650)</f>
        <v>2400</v>
      </c>
      <c r="X650" s="28">
        <f>SUMIFS(Positivação!V:V,Positivação!$I:$I,Faturamento!$J650,Positivação!$G:$G,Faturamento!$H650)*SUMIFS(Positivação!$Z:$Z,Positivação!$I:$I,Faturamento!$J650,Positivação!$G:$G,Faturamento!$H650)</f>
        <v>2400</v>
      </c>
      <c r="Y650" s="28">
        <f>SUMIFS(Positivação!W:W,Positivação!$I:$I,Faturamento!$J650,Positivação!$G:$G,Faturamento!$H650)*SUMIFS(Positivação!$Z:$Z,Positivação!$I:$I,Faturamento!$J650,Positivação!$G:$G,Faturamento!$H650)</f>
        <v>2400</v>
      </c>
      <c r="Z650" s="28">
        <f t="shared" ref="Z650" si="157">SUM(Z651:Z668)</f>
        <v>28800</v>
      </c>
      <c r="AA650" s="29"/>
      <c r="AB650" s="28">
        <f t="shared" ref="AB650:AE650" si="158">SUM(AB651:AB668)</f>
        <v>1952.3683333333333</v>
      </c>
      <c r="AC650" s="28">
        <f t="shared" si="158"/>
        <v>3300.2774999999997</v>
      </c>
      <c r="AD650" s="28">
        <f t="shared" si="158"/>
        <v>4934.878333333334</v>
      </c>
      <c r="AE650" s="28">
        <f t="shared" si="158"/>
        <v>3457.7069999999999</v>
      </c>
      <c r="AG650" s="24">
        <f t="shared" si="150"/>
        <v>0.18651319444444445</v>
      </c>
      <c r="AH650" s="24">
        <f t="shared" si="151"/>
        <v>-0.3751156249999999</v>
      </c>
      <c r="AI650" s="24">
        <f t="shared" si="152"/>
        <v>-1.0561993055555559</v>
      </c>
    </row>
    <row r="651" spans="1:35" hidden="1" x14ac:dyDescent="0.3">
      <c r="A651" s="2" t="str">
        <f t="shared" si="149"/>
        <v>NÃO</v>
      </c>
      <c r="B651" s="2">
        <v>1000184670</v>
      </c>
      <c r="C651" s="2" t="s">
        <v>147</v>
      </c>
      <c r="D651" s="4">
        <v>1000186197</v>
      </c>
      <c r="E651" s="4" t="s">
        <v>166</v>
      </c>
      <c r="F651" s="2">
        <v>1000184760</v>
      </c>
      <c r="G651" s="2" t="s">
        <v>60</v>
      </c>
      <c r="H651" s="4">
        <v>1000189779</v>
      </c>
      <c r="I651" s="4" t="s">
        <v>106</v>
      </c>
      <c r="J651" s="2">
        <v>1000189270</v>
      </c>
      <c r="K651" s="2" t="s">
        <v>34</v>
      </c>
      <c r="L651" s="4" t="s">
        <v>13</v>
      </c>
      <c r="M651" s="4" t="str">
        <f t="shared" si="156"/>
        <v>1000184670100018619710001897791000189270BISCOITO</v>
      </c>
      <c r="N651" s="28">
        <f>N650*_xlfn.XLOOKUP($L651,'Balizador da Meta'!$B$4:$B$21,'Balizador da Meta'!$C$4:$C$21)</f>
        <v>168.00000000000003</v>
      </c>
      <c r="O651" s="28">
        <f>O650*_xlfn.XLOOKUP($L651,'Balizador da Meta'!$B$4:$B$21,'Balizador da Meta'!$C$4:$C$21)</f>
        <v>168.00000000000003</v>
      </c>
      <c r="P651" s="28">
        <f>P650*_xlfn.XLOOKUP($L651,'Balizador da Meta'!$B$4:$B$21,'Balizador da Meta'!$C$4:$C$21)</f>
        <v>168.00000000000003</v>
      </c>
      <c r="Q651" s="28">
        <f>Q650*_xlfn.XLOOKUP($L651,'Balizador da Meta'!$B$4:$B$21,'Balizador da Meta'!$C$4:$C$21)</f>
        <v>168.00000000000003</v>
      </c>
      <c r="R651" s="28">
        <f>R650*_xlfn.XLOOKUP($L651,'Balizador da Meta'!$B$4:$B$21,'Balizador da Meta'!$C$4:$C$21)</f>
        <v>168.00000000000003</v>
      </c>
      <c r="S651" s="28">
        <f>S650*_xlfn.XLOOKUP($L651,'Balizador da Meta'!$B$4:$B$21,'Balizador da Meta'!$C$4:$C$21)</f>
        <v>168.00000000000003</v>
      </c>
      <c r="T651" s="28">
        <f>T650*_xlfn.XLOOKUP($L651,'Balizador da Meta'!$B$4:$B$21,'Balizador da Meta'!$C$4:$C$21)</f>
        <v>168.00000000000003</v>
      </c>
      <c r="U651" s="28">
        <f>U650*_xlfn.XLOOKUP($L651,'Balizador da Meta'!$B$4:$B$21,'Balizador da Meta'!$C$4:$C$21)</f>
        <v>168.00000000000003</v>
      </c>
      <c r="V651" s="28">
        <f>V650*_xlfn.XLOOKUP($L651,'Balizador da Meta'!$B$4:$B$21,'Balizador da Meta'!$C$4:$C$21)</f>
        <v>168.00000000000003</v>
      </c>
      <c r="W651" s="28">
        <f>W650*_xlfn.XLOOKUP($L651,'Balizador da Meta'!$B$4:$B$21,'Balizador da Meta'!$C$4:$C$21)</f>
        <v>168.00000000000003</v>
      </c>
      <c r="X651" s="28">
        <f>X650*_xlfn.XLOOKUP($L651,'Balizador da Meta'!$B$4:$B$21,'Balizador da Meta'!$C$4:$C$21)</f>
        <v>168.00000000000003</v>
      </c>
      <c r="Y651" s="28">
        <f>Y650*_xlfn.XLOOKUP($L651,'Balizador da Meta'!$B$4:$B$21,'Balizador da Meta'!$C$4:$C$21)</f>
        <v>168.00000000000003</v>
      </c>
      <c r="Z651" s="30">
        <f t="shared" ref="Z651:Z668" si="159">SUM(N651:Y651)</f>
        <v>2016.0000000000002</v>
      </c>
      <c r="AA651" s="29"/>
      <c r="AB651" s="31">
        <f>SUMIFS('Historico - FAT'!AK:AK,'Historico - FAT'!$K:$K,Faturamento!$L651,'Historico - FAT'!$I:$I,Faturamento!$J651,'Historico - FAT'!$G:$G,Faturamento!$H651)</f>
        <v>411.68333333333334</v>
      </c>
      <c r="AC651" s="31">
        <f>SUMIFS('Historico - FAT'!AL:AL,'Historico - FAT'!$K:$K,Faturamento!$L651,'Historico - FAT'!$I:$I,Faturamento!$J651,'Historico - FAT'!$G:$G,Faturamento!$H651)</f>
        <v>1727.54</v>
      </c>
      <c r="AD651" s="31">
        <f>SUMIFS('Historico - FAT'!AM:AM,'Historico - FAT'!$K:$K,Faturamento!$L651,'Historico - FAT'!$I:$I,Faturamento!$J651,'Historico - FAT'!$G:$G,Faturamento!$H651)</f>
        <v>2902.7983333333336</v>
      </c>
      <c r="AE651" s="27">
        <f>SUMIFS('Historico - FAT'!AN:AN,'Historico - FAT'!$K:$K,Faturamento!$L651,'Historico - FAT'!$I:$I,Faturamento!$J651,'Historico - FAT'!$G:$G,Faturamento!$H651)</f>
        <v>1972.1279999999999</v>
      </c>
      <c r="AG651" s="24">
        <f t="shared" si="150"/>
        <v>-1.4504960317460314</v>
      </c>
      <c r="AH651" s="24">
        <f t="shared" si="151"/>
        <v>-9.2829761904761892</v>
      </c>
      <c r="AI651" s="24">
        <f t="shared" si="152"/>
        <v>-16.278561507936509</v>
      </c>
    </row>
    <row r="652" spans="1:35" hidden="1" x14ac:dyDescent="0.3">
      <c r="A652" s="2" t="str">
        <f t="shared" si="149"/>
        <v>NÃO</v>
      </c>
      <c r="B652" s="2">
        <v>1000184670</v>
      </c>
      <c r="C652" s="2" t="s">
        <v>147</v>
      </c>
      <c r="D652" s="4">
        <v>1000186197</v>
      </c>
      <c r="E652" s="4" t="s">
        <v>166</v>
      </c>
      <c r="F652" s="2">
        <v>1000184760</v>
      </c>
      <c r="G652" s="2" t="s">
        <v>60</v>
      </c>
      <c r="H652" s="4">
        <v>1000189779</v>
      </c>
      <c r="I652" s="4" t="s">
        <v>106</v>
      </c>
      <c r="J652" s="2">
        <v>1000189270</v>
      </c>
      <c r="K652" s="2" t="s">
        <v>34</v>
      </c>
      <c r="L652" s="4" t="s">
        <v>14</v>
      </c>
      <c r="M652" s="4" t="str">
        <f t="shared" si="156"/>
        <v>1000184670100018619710001897791000189270CHOCOLATES</v>
      </c>
      <c r="N652" s="28">
        <f>N650*_xlfn.XLOOKUP($L652,'Balizador da Meta'!$B$4:$B$21,'Balizador da Meta'!$C$4:$C$21)</f>
        <v>168.00000000000003</v>
      </c>
      <c r="O652" s="28">
        <f>O650*_xlfn.XLOOKUP($L652,'Balizador da Meta'!$B$4:$B$21,'Balizador da Meta'!$C$4:$C$21)</f>
        <v>168.00000000000003</v>
      </c>
      <c r="P652" s="28">
        <f>P650*_xlfn.XLOOKUP($L652,'Balizador da Meta'!$B$4:$B$21,'Balizador da Meta'!$C$4:$C$21)</f>
        <v>168.00000000000003</v>
      </c>
      <c r="Q652" s="28">
        <f>Q650*_xlfn.XLOOKUP($L652,'Balizador da Meta'!$B$4:$B$21,'Balizador da Meta'!$C$4:$C$21)</f>
        <v>168.00000000000003</v>
      </c>
      <c r="R652" s="28">
        <f>R650*_xlfn.XLOOKUP($L652,'Balizador da Meta'!$B$4:$B$21,'Balizador da Meta'!$C$4:$C$21)</f>
        <v>168.00000000000003</v>
      </c>
      <c r="S652" s="28">
        <f>S650*_xlfn.XLOOKUP($L652,'Balizador da Meta'!$B$4:$B$21,'Balizador da Meta'!$C$4:$C$21)</f>
        <v>168.00000000000003</v>
      </c>
      <c r="T652" s="28">
        <f>T650*_xlfn.XLOOKUP($L652,'Balizador da Meta'!$B$4:$B$21,'Balizador da Meta'!$C$4:$C$21)</f>
        <v>168.00000000000003</v>
      </c>
      <c r="U652" s="28">
        <f>U650*_xlfn.XLOOKUP($L652,'Balizador da Meta'!$B$4:$B$21,'Balizador da Meta'!$C$4:$C$21)</f>
        <v>168.00000000000003</v>
      </c>
      <c r="V652" s="28">
        <f>V650*_xlfn.XLOOKUP($L652,'Balizador da Meta'!$B$4:$B$21,'Balizador da Meta'!$C$4:$C$21)</f>
        <v>168.00000000000003</v>
      </c>
      <c r="W652" s="28">
        <f>W650*_xlfn.XLOOKUP($L652,'Balizador da Meta'!$B$4:$B$21,'Balizador da Meta'!$C$4:$C$21)</f>
        <v>168.00000000000003</v>
      </c>
      <c r="X652" s="28">
        <f>X650*_xlfn.XLOOKUP($L652,'Balizador da Meta'!$B$4:$B$21,'Balizador da Meta'!$C$4:$C$21)</f>
        <v>168.00000000000003</v>
      </c>
      <c r="Y652" s="28">
        <f>Y650*_xlfn.XLOOKUP($L652,'Balizador da Meta'!$B$4:$B$21,'Balizador da Meta'!$C$4:$C$21)</f>
        <v>168.00000000000003</v>
      </c>
      <c r="Z652" s="30">
        <f t="shared" si="159"/>
        <v>2016.0000000000002</v>
      </c>
      <c r="AA652" s="29"/>
      <c r="AB652" s="31">
        <f>SUMIFS('Historico - FAT'!AK:AK,'Historico - FAT'!$K:$K,Faturamento!$L652,'Historico - FAT'!$I:$I,Faturamento!$J652,'Historico - FAT'!$G:$G,Faturamento!$H652)</f>
        <v>112</v>
      </c>
      <c r="AC652" s="31">
        <f>SUMIFS('Historico - FAT'!AL:AL,'Historico - FAT'!$K:$K,Faturamento!$L652,'Historico - FAT'!$I:$I,Faturamento!$J652,'Historico - FAT'!$G:$G,Faturamento!$H652)</f>
        <v>209.18999999999997</v>
      </c>
      <c r="AD652" s="31">
        <f>SUMIFS('Historico - FAT'!AM:AM,'Historico - FAT'!$K:$K,Faturamento!$L652,'Historico - FAT'!$I:$I,Faturamento!$J652,'Historico - FAT'!$G:$G,Faturamento!$H652)</f>
        <v>180.37999999999997</v>
      </c>
      <c r="AE652" s="27">
        <f>SUMIFS('Historico - FAT'!AN:AN,'Historico - FAT'!$K:$K,Faturamento!$L652,'Historico - FAT'!$I:$I,Faturamento!$J652,'Historico - FAT'!$G:$G,Faturamento!$H652)</f>
        <v>169.42799999999997</v>
      </c>
      <c r="AG652" s="24">
        <f t="shared" si="150"/>
        <v>0.33333333333333343</v>
      </c>
      <c r="AH652" s="24">
        <f t="shared" si="151"/>
        <v>-0.24517857142857102</v>
      </c>
      <c r="AI652" s="24">
        <f t="shared" si="152"/>
        <v>-7.3690476190475807E-2</v>
      </c>
    </row>
    <row r="653" spans="1:35" hidden="1" x14ac:dyDescent="0.3">
      <c r="A653" s="2" t="str">
        <f t="shared" si="149"/>
        <v>NÃO</v>
      </c>
      <c r="B653" s="2">
        <v>1000184670</v>
      </c>
      <c r="C653" s="2" t="s">
        <v>147</v>
      </c>
      <c r="D653" s="4">
        <v>1000186197</v>
      </c>
      <c r="E653" s="4" t="s">
        <v>166</v>
      </c>
      <c r="F653" s="2">
        <v>1000184760</v>
      </c>
      <c r="G653" s="2" t="s">
        <v>60</v>
      </c>
      <c r="H653" s="4">
        <v>1000189779</v>
      </c>
      <c r="I653" s="4" t="s">
        <v>106</v>
      </c>
      <c r="J653" s="2">
        <v>1000189270</v>
      </c>
      <c r="K653" s="2" t="s">
        <v>34</v>
      </c>
      <c r="L653" s="4" t="s">
        <v>16</v>
      </c>
      <c r="M653" s="4" t="str">
        <f t="shared" si="156"/>
        <v>1000184670100018619710001897791000189270DISNEY</v>
      </c>
      <c r="N653" s="28">
        <f>N650*_xlfn.XLOOKUP($L653,'Balizador da Meta'!$B$4:$B$21,'Balizador da Meta'!$C$4:$C$21)</f>
        <v>192</v>
      </c>
      <c r="O653" s="28">
        <f>O650*_xlfn.XLOOKUP($L653,'Balizador da Meta'!$B$4:$B$21,'Balizador da Meta'!$C$4:$C$21)</f>
        <v>192</v>
      </c>
      <c r="P653" s="28">
        <f>P650*_xlfn.XLOOKUP($L653,'Balizador da Meta'!$B$4:$B$21,'Balizador da Meta'!$C$4:$C$21)</f>
        <v>192</v>
      </c>
      <c r="Q653" s="28">
        <f>Q650*_xlfn.XLOOKUP($L653,'Balizador da Meta'!$B$4:$B$21,'Balizador da Meta'!$C$4:$C$21)</f>
        <v>192</v>
      </c>
      <c r="R653" s="28">
        <f>R650*_xlfn.XLOOKUP($L653,'Balizador da Meta'!$B$4:$B$21,'Balizador da Meta'!$C$4:$C$21)</f>
        <v>192</v>
      </c>
      <c r="S653" s="28">
        <f>S650*_xlfn.XLOOKUP($L653,'Balizador da Meta'!$B$4:$B$21,'Balizador da Meta'!$C$4:$C$21)</f>
        <v>192</v>
      </c>
      <c r="T653" s="28">
        <f>T650*_xlfn.XLOOKUP($L653,'Balizador da Meta'!$B$4:$B$21,'Balizador da Meta'!$C$4:$C$21)</f>
        <v>192</v>
      </c>
      <c r="U653" s="28">
        <f>U650*_xlfn.XLOOKUP($L653,'Balizador da Meta'!$B$4:$B$21,'Balizador da Meta'!$C$4:$C$21)</f>
        <v>192</v>
      </c>
      <c r="V653" s="28">
        <f>V650*_xlfn.XLOOKUP($L653,'Balizador da Meta'!$B$4:$B$21,'Balizador da Meta'!$C$4:$C$21)</f>
        <v>192</v>
      </c>
      <c r="W653" s="28">
        <f>W650*_xlfn.XLOOKUP($L653,'Balizador da Meta'!$B$4:$B$21,'Balizador da Meta'!$C$4:$C$21)</f>
        <v>192</v>
      </c>
      <c r="X653" s="28">
        <f>X650*_xlfn.XLOOKUP($L653,'Balizador da Meta'!$B$4:$B$21,'Balizador da Meta'!$C$4:$C$21)</f>
        <v>192</v>
      </c>
      <c r="Y653" s="28">
        <f>Y650*_xlfn.XLOOKUP($L653,'Balizador da Meta'!$B$4:$B$21,'Balizador da Meta'!$C$4:$C$21)</f>
        <v>192</v>
      </c>
      <c r="Z653" s="30">
        <f t="shared" si="159"/>
        <v>2304</v>
      </c>
      <c r="AA653" s="29"/>
      <c r="AB653" s="31">
        <f>SUMIFS('Historico - FAT'!AK:AK,'Historico - FAT'!$K:$K,Faturamento!$L653,'Historico - FAT'!$I:$I,Faturamento!$J653,'Historico - FAT'!$G:$G,Faturamento!$H653)</f>
        <v>0</v>
      </c>
      <c r="AC653" s="31">
        <f>SUMIFS('Historico - FAT'!AL:AL,'Historico - FAT'!$K:$K,Faturamento!$L653,'Historico - FAT'!$I:$I,Faturamento!$J653,'Historico - FAT'!$G:$G,Faturamento!$H653)</f>
        <v>16.736666666666668</v>
      </c>
      <c r="AD653" s="31">
        <f>SUMIFS('Historico - FAT'!AM:AM,'Historico - FAT'!$K:$K,Faturamento!$L653,'Historico - FAT'!$I:$I,Faturamento!$J653,'Historico - FAT'!$G:$G,Faturamento!$H653)</f>
        <v>33.473333333333336</v>
      </c>
      <c r="AE653" s="27">
        <f>SUMIFS('Historico - FAT'!AN:AN,'Historico - FAT'!$K:$K,Faturamento!$L653,'Historico - FAT'!$I:$I,Faturamento!$J653,'Historico - FAT'!$G:$G,Faturamento!$H653)</f>
        <v>20.084</v>
      </c>
      <c r="AG653" s="24">
        <f t="shared" si="150"/>
        <v>1</v>
      </c>
      <c r="AH653" s="24">
        <f t="shared" si="151"/>
        <v>0.91282986111111108</v>
      </c>
      <c r="AI653" s="24">
        <f t="shared" si="152"/>
        <v>0.82565972222222228</v>
      </c>
    </row>
    <row r="654" spans="1:35" hidden="1" x14ac:dyDescent="0.3">
      <c r="A654" s="2" t="str">
        <f t="shared" si="149"/>
        <v>NÃO</v>
      </c>
      <c r="B654" s="2">
        <v>1000184670</v>
      </c>
      <c r="C654" s="2" t="s">
        <v>147</v>
      </c>
      <c r="D654" s="4">
        <v>1000186197</v>
      </c>
      <c r="E654" s="4" t="s">
        <v>166</v>
      </c>
      <c r="F654" s="2">
        <v>1000184760</v>
      </c>
      <c r="G654" s="2" t="s">
        <v>60</v>
      </c>
      <c r="H654" s="4">
        <v>1000189779</v>
      </c>
      <c r="I654" s="4" t="s">
        <v>106</v>
      </c>
      <c r="J654" s="2">
        <v>1000189270</v>
      </c>
      <c r="K654" s="2" t="s">
        <v>34</v>
      </c>
      <c r="L654" s="4" t="s">
        <v>15</v>
      </c>
      <c r="M654" s="4" t="str">
        <f t="shared" si="156"/>
        <v>1000184670100018619710001897791000189270DOCES</v>
      </c>
      <c r="N654" s="28">
        <f>N650*_xlfn.XLOOKUP($L654,'Balizador da Meta'!$B$4:$B$21,'Balizador da Meta'!$C$4:$C$21)</f>
        <v>216</v>
      </c>
      <c r="O654" s="28">
        <f>O650*_xlfn.XLOOKUP($L654,'Balizador da Meta'!$B$4:$B$21,'Balizador da Meta'!$C$4:$C$21)</f>
        <v>216</v>
      </c>
      <c r="P654" s="28">
        <f>P650*_xlfn.XLOOKUP($L654,'Balizador da Meta'!$B$4:$B$21,'Balizador da Meta'!$C$4:$C$21)</f>
        <v>216</v>
      </c>
      <c r="Q654" s="28">
        <f>Q650*_xlfn.XLOOKUP($L654,'Balizador da Meta'!$B$4:$B$21,'Balizador da Meta'!$C$4:$C$21)</f>
        <v>216</v>
      </c>
      <c r="R654" s="28">
        <f>R650*_xlfn.XLOOKUP($L654,'Balizador da Meta'!$B$4:$B$21,'Balizador da Meta'!$C$4:$C$21)</f>
        <v>216</v>
      </c>
      <c r="S654" s="28">
        <f>S650*_xlfn.XLOOKUP($L654,'Balizador da Meta'!$B$4:$B$21,'Balizador da Meta'!$C$4:$C$21)</f>
        <v>216</v>
      </c>
      <c r="T654" s="28">
        <f>T650*_xlfn.XLOOKUP($L654,'Balizador da Meta'!$B$4:$B$21,'Balizador da Meta'!$C$4:$C$21)</f>
        <v>216</v>
      </c>
      <c r="U654" s="28">
        <f>U650*_xlfn.XLOOKUP($L654,'Balizador da Meta'!$B$4:$B$21,'Balizador da Meta'!$C$4:$C$21)</f>
        <v>216</v>
      </c>
      <c r="V654" s="28">
        <f>V650*_xlfn.XLOOKUP($L654,'Balizador da Meta'!$B$4:$B$21,'Balizador da Meta'!$C$4:$C$21)</f>
        <v>216</v>
      </c>
      <c r="W654" s="28">
        <f>W650*_xlfn.XLOOKUP($L654,'Balizador da Meta'!$B$4:$B$21,'Balizador da Meta'!$C$4:$C$21)</f>
        <v>216</v>
      </c>
      <c r="X654" s="28">
        <f>X650*_xlfn.XLOOKUP($L654,'Balizador da Meta'!$B$4:$B$21,'Balizador da Meta'!$C$4:$C$21)</f>
        <v>216</v>
      </c>
      <c r="Y654" s="28">
        <f>Y650*_xlfn.XLOOKUP($L654,'Balizador da Meta'!$B$4:$B$21,'Balizador da Meta'!$C$4:$C$21)</f>
        <v>216</v>
      </c>
      <c r="Z654" s="30">
        <f t="shared" si="159"/>
        <v>2592</v>
      </c>
      <c r="AA654" s="29"/>
      <c r="AB654" s="31">
        <f>SUMIFS('Historico - FAT'!AK:AK,'Historico - FAT'!$K:$K,Faturamento!$L654,'Historico - FAT'!$I:$I,Faturamento!$J654,'Historico - FAT'!$G:$G,Faturamento!$H654)</f>
        <v>301.09499999999997</v>
      </c>
      <c r="AC654" s="31">
        <f>SUMIFS('Historico - FAT'!AL:AL,'Historico - FAT'!$K:$K,Faturamento!$L654,'Historico - FAT'!$I:$I,Faturamento!$J654,'Historico - FAT'!$G:$G,Faturamento!$H654)</f>
        <v>311.93666666666667</v>
      </c>
      <c r="AD654" s="31">
        <f>SUMIFS('Historico - FAT'!AM:AM,'Historico - FAT'!$K:$K,Faturamento!$L654,'Historico - FAT'!$I:$I,Faturamento!$J654,'Historico - FAT'!$G:$G,Faturamento!$H654)</f>
        <v>391.24499999999995</v>
      </c>
      <c r="AE654" s="27">
        <f>SUMIFS('Historico - FAT'!AN:AN,'Historico - FAT'!$K:$K,Faturamento!$L654,'Historico - FAT'!$I:$I,Faturamento!$J654,'Historico - FAT'!$G:$G,Faturamento!$H654)</f>
        <v>280.36399999999998</v>
      </c>
      <c r="AG654" s="24">
        <f t="shared" si="150"/>
        <v>-0.39395833333333319</v>
      </c>
      <c r="AH654" s="24">
        <f t="shared" si="151"/>
        <v>-0.44415123456790123</v>
      </c>
      <c r="AI654" s="24">
        <f t="shared" si="152"/>
        <v>-0.81131944444444415</v>
      </c>
    </row>
    <row r="655" spans="1:35" hidden="1" x14ac:dyDescent="0.3">
      <c r="A655" s="2" t="str">
        <f t="shared" si="149"/>
        <v>NÃO</v>
      </c>
      <c r="B655" s="2">
        <v>1000184670</v>
      </c>
      <c r="C655" s="2" t="s">
        <v>147</v>
      </c>
      <c r="D655" s="4">
        <v>1000186197</v>
      </c>
      <c r="E655" s="4" t="s">
        <v>166</v>
      </c>
      <c r="F655" s="2">
        <v>1000184760</v>
      </c>
      <c r="G655" s="2" t="s">
        <v>60</v>
      </c>
      <c r="H655" s="4">
        <v>1000189779</v>
      </c>
      <c r="I655" s="4" t="s">
        <v>106</v>
      </c>
      <c r="J655" s="2">
        <v>1000189270</v>
      </c>
      <c r="K655" s="2" t="s">
        <v>34</v>
      </c>
      <c r="L655" s="4" t="s">
        <v>33</v>
      </c>
      <c r="M655" s="4" t="str">
        <f t="shared" si="156"/>
        <v>1000184670100018619710001897791000189270FOOD SERVICE</v>
      </c>
      <c r="N655" s="28">
        <f>N650*_xlfn.XLOOKUP($L655,'Balizador da Meta'!$B$4:$B$21,'Balizador da Meta'!$C$4:$C$21)</f>
        <v>0</v>
      </c>
      <c r="O655" s="28">
        <f>O650*_xlfn.XLOOKUP($L655,'Balizador da Meta'!$B$4:$B$21,'Balizador da Meta'!$C$4:$C$21)</f>
        <v>0</v>
      </c>
      <c r="P655" s="28">
        <f>P650*_xlfn.XLOOKUP($L655,'Balizador da Meta'!$B$4:$B$21,'Balizador da Meta'!$C$4:$C$21)</f>
        <v>0</v>
      </c>
      <c r="Q655" s="28">
        <f>Q650*_xlfn.XLOOKUP($L655,'Balizador da Meta'!$B$4:$B$21,'Balizador da Meta'!$C$4:$C$21)</f>
        <v>0</v>
      </c>
      <c r="R655" s="28">
        <f>R650*_xlfn.XLOOKUP($L655,'Balizador da Meta'!$B$4:$B$21,'Balizador da Meta'!$C$4:$C$21)</f>
        <v>0</v>
      </c>
      <c r="S655" s="28">
        <f>S650*_xlfn.XLOOKUP($L655,'Balizador da Meta'!$B$4:$B$21,'Balizador da Meta'!$C$4:$C$21)</f>
        <v>0</v>
      </c>
      <c r="T655" s="28">
        <f>T650*_xlfn.XLOOKUP($L655,'Balizador da Meta'!$B$4:$B$21,'Balizador da Meta'!$C$4:$C$21)</f>
        <v>0</v>
      </c>
      <c r="U655" s="28">
        <f>U650*_xlfn.XLOOKUP($L655,'Balizador da Meta'!$B$4:$B$21,'Balizador da Meta'!$C$4:$C$21)</f>
        <v>0</v>
      </c>
      <c r="V655" s="28">
        <f>V650*_xlfn.XLOOKUP($L655,'Balizador da Meta'!$B$4:$B$21,'Balizador da Meta'!$C$4:$C$21)</f>
        <v>0</v>
      </c>
      <c r="W655" s="28">
        <f>W650*_xlfn.XLOOKUP($L655,'Balizador da Meta'!$B$4:$B$21,'Balizador da Meta'!$C$4:$C$21)</f>
        <v>0</v>
      </c>
      <c r="X655" s="28">
        <f>X650*_xlfn.XLOOKUP($L655,'Balizador da Meta'!$B$4:$B$21,'Balizador da Meta'!$C$4:$C$21)</f>
        <v>0</v>
      </c>
      <c r="Y655" s="28">
        <f>Y650*_xlfn.XLOOKUP($L655,'Balizador da Meta'!$B$4:$B$21,'Balizador da Meta'!$C$4:$C$21)</f>
        <v>0</v>
      </c>
      <c r="Z655" s="30">
        <f t="shared" si="159"/>
        <v>0</v>
      </c>
      <c r="AA655" s="29"/>
      <c r="AB655" s="31">
        <f>SUMIFS('Historico - FAT'!AK:AK,'Historico - FAT'!$K:$K,Faturamento!$L655,'Historico - FAT'!$I:$I,Faturamento!$J655,'Historico - FAT'!$G:$G,Faturamento!$H655)</f>
        <v>0</v>
      </c>
      <c r="AC655" s="31">
        <f>SUMIFS('Historico - FAT'!AL:AL,'Historico - FAT'!$K:$K,Faturamento!$L655,'Historico - FAT'!$I:$I,Faturamento!$J655,'Historico - FAT'!$G:$G,Faturamento!$H655)</f>
        <v>0</v>
      </c>
      <c r="AD655" s="31">
        <f>SUMIFS('Historico - FAT'!AM:AM,'Historico - FAT'!$K:$K,Faturamento!$L655,'Historico - FAT'!$I:$I,Faturamento!$J655,'Historico - FAT'!$G:$G,Faturamento!$H655)</f>
        <v>0</v>
      </c>
      <c r="AE655" s="27">
        <f>SUMIFS('Historico - FAT'!AN:AN,'Historico - FAT'!$K:$K,Faturamento!$L655,'Historico - FAT'!$I:$I,Faturamento!$J655,'Historico - FAT'!$G:$G,Faturamento!$H655)</f>
        <v>0</v>
      </c>
      <c r="AG655" s="24" t="str">
        <f t="shared" si="150"/>
        <v/>
      </c>
      <c r="AH655" s="24" t="str">
        <f t="shared" si="151"/>
        <v/>
      </c>
      <c r="AI655" s="24" t="str">
        <f t="shared" si="152"/>
        <v/>
      </c>
    </row>
    <row r="656" spans="1:35" hidden="1" x14ac:dyDescent="0.3">
      <c r="A656" s="2" t="str">
        <f t="shared" si="149"/>
        <v>NÃO</v>
      </c>
      <c r="B656" s="2">
        <v>1000184670</v>
      </c>
      <c r="C656" s="2" t="s">
        <v>147</v>
      </c>
      <c r="D656" s="4">
        <v>1000186197</v>
      </c>
      <c r="E656" s="4" t="s">
        <v>166</v>
      </c>
      <c r="F656" s="2">
        <v>1000184760</v>
      </c>
      <c r="G656" s="2" t="s">
        <v>60</v>
      </c>
      <c r="H656" s="4">
        <v>1000189779</v>
      </c>
      <c r="I656" s="4" t="s">
        <v>106</v>
      </c>
      <c r="J656" s="2">
        <v>1000189270</v>
      </c>
      <c r="K656" s="2" t="s">
        <v>34</v>
      </c>
      <c r="L656" s="4" t="s">
        <v>19</v>
      </c>
      <c r="M656" s="4" t="str">
        <f t="shared" si="156"/>
        <v>1000184670100018619710001897791000189270GELEIA</v>
      </c>
      <c r="N656" s="28">
        <f>N650*_xlfn.XLOOKUP($L656,'Balizador da Meta'!$B$4:$B$21,'Balizador da Meta'!$C$4:$C$21)</f>
        <v>47.999999999999993</v>
      </c>
      <c r="O656" s="28">
        <f>O650*_xlfn.XLOOKUP($L656,'Balizador da Meta'!$B$4:$B$21,'Balizador da Meta'!$C$4:$C$21)</f>
        <v>47.999999999999993</v>
      </c>
      <c r="P656" s="28">
        <f>P650*_xlfn.XLOOKUP($L656,'Balizador da Meta'!$B$4:$B$21,'Balizador da Meta'!$C$4:$C$21)</f>
        <v>47.999999999999993</v>
      </c>
      <c r="Q656" s="28">
        <f>Q650*_xlfn.XLOOKUP($L656,'Balizador da Meta'!$B$4:$B$21,'Balizador da Meta'!$C$4:$C$21)</f>
        <v>47.999999999999993</v>
      </c>
      <c r="R656" s="28">
        <f>R650*_xlfn.XLOOKUP($L656,'Balizador da Meta'!$B$4:$B$21,'Balizador da Meta'!$C$4:$C$21)</f>
        <v>47.999999999999993</v>
      </c>
      <c r="S656" s="28">
        <f>S650*_xlfn.XLOOKUP($L656,'Balizador da Meta'!$B$4:$B$21,'Balizador da Meta'!$C$4:$C$21)</f>
        <v>47.999999999999993</v>
      </c>
      <c r="T656" s="28">
        <f>T650*_xlfn.XLOOKUP($L656,'Balizador da Meta'!$B$4:$B$21,'Balizador da Meta'!$C$4:$C$21)</f>
        <v>47.999999999999993</v>
      </c>
      <c r="U656" s="28">
        <f>U650*_xlfn.XLOOKUP($L656,'Balizador da Meta'!$B$4:$B$21,'Balizador da Meta'!$C$4:$C$21)</f>
        <v>47.999999999999993</v>
      </c>
      <c r="V656" s="28">
        <f>V650*_xlfn.XLOOKUP($L656,'Balizador da Meta'!$B$4:$B$21,'Balizador da Meta'!$C$4:$C$21)</f>
        <v>47.999999999999993</v>
      </c>
      <c r="W656" s="28">
        <f>W650*_xlfn.XLOOKUP($L656,'Balizador da Meta'!$B$4:$B$21,'Balizador da Meta'!$C$4:$C$21)</f>
        <v>47.999999999999993</v>
      </c>
      <c r="X656" s="28">
        <f>X650*_xlfn.XLOOKUP($L656,'Balizador da Meta'!$B$4:$B$21,'Balizador da Meta'!$C$4:$C$21)</f>
        <v>47.999999999999993</v>
      </c>
      <c r="Y656" s="28">
        <f>Y650*_xlfn.XLOOKUP($L656,'Balizador da Meta'!$B$4:$B$21,'Balizador da Meta'!$C$4:$C$21)</f>
        <v>47.999999999999993</v>
      </c>
      <c r="Z656" s="30">
        <f t="shared" si="159"/>
        <v>575.99999999999989</v>
      </c>
      <c r="AA656" s="29"/>
      <c r="AB656" s="31">
        <f>SUMIFS('Historico - FAT'!AK:AK,'Historico - FAT'!$K:$K,Faturamento!$L656,'Historico - FAT'!$I:$I,Faturamento!$J656,'Historico - FAT'!$G:$G,Faturamento!$H656)</f>
        <v>145.57500000000002</v>
      </c>
      <c r="AC656" s="31">
        <f>SUMIFS('Historico - FAT'!AL:AL,'Historico - FAT'!$K:$K,Faturamento!$L656,'Historico - FAT'!$I:$I,Faturamento!$J656,'Historico - FAT'!$G:$G,Faturamento!$H656)</f>
        <v>55.949166666666677</v>
      </c>
      <c r="AD656" s="31">
        <f>SUMIFS('Historico - FAT'!AM:AM,'Historico - FAT'!$K:$K,Faturamento!$L656,'Historico - FAT'!$I:$I,Faturamento!$J656,'Historico - FAT'!$G:$G,Faturamento!$H656)</f>
        <v>38.800000000000004</v>
      </c>
      <c r="AE656" s="27">
        <f>SUMIFS('Historico - FAT'!AN:AN,'Historico - FAT'!$K:$K,Faturamento!$L656,'Historico - FAT'!$I:$I,Faturamento!$J656,'Historico - FAT'!$G:$G,Faturamento!$H656)</f>
        <v>38.338999999999999</v>
      </c>
      <c r="AG656" s="24">
        <f t="shared" si="150"/>
        <v>-2.0328125000000008</v>
      </c>
      <c r="AH656" s="24">
        <f t="shared" si="151"/>
        <v>-0.1656076388888893</v>
      </c>
      <c r="AI656" s="24">
        <f t="shared" si="152"/>
        <v>0.19166666666666646</v>
      </c>
    </row>
    <row r="657" spans="1:35" hidden="1" x14ac:dyDescent="0.3">
      <c r="A657" s="2" t="str">
        <f t="shared" si="149"/>
        <v>NÃO</v>
      </c>
      <c r="B657" s="2">
        <v>1000184670</v>
      </c>
      <c r="C657" s="2" t="s">
        <v>147</v>
      </c>
      <c r="D657" s="4">
        <v>1000186197</v>
      </c>
      <c r="E657" s="4" t="s">
        <v>166</v>
      </c>
      <c r="F657" s="2">
        <v>1000184760</v>
      </c>
      <c r="G657" s="2" t="s">
        <v>60</v>
      </c>
      <c r="H657" s="4">
        <v>1000189779</v>
      </c>
      <c r="I657" s="4" t="s">
        <v>106</v>
      </c>
      <c r="J657" s="2">
        <v>1000189270</v>
      </c>
      <c r="K657" s="2" t="s">
        <v>34</v>
      </c>
      <c r="L657" s="4" t="s">
        <v>17</v>
      </c>
      <c r="M657" s="4" t="str">
        <f t="shared" si="156"/>
        <v>1000184670100018619710001897791000189270GRANOLA</v>
      </c>
      <c r="N657" s="28">
        <f>N650*_xlfn.XLOOKUP($L657,'Balizador da Meta'!$B$4:$B$21,'Balizador da Meta'!$C$4:$C$21)</f>
        <v>48</v>
      </c>
      <c r="O657" s="28">
        <f>O650*_xlfn.XLOOKUP($L657,'Balizador da Meta'!$B$4:$B$21,'Balizador da Meta'!$C$4:$C$21)</f>
        <v>48</v>
      </c>
      <c r="P657" s="28">
        <f>P650*_xlfn.XLOOKUP($L657,'Balizador da Meta'!$B$4:$B$21,'Balizador da Meta'!$C$4:$C$21)</f>
        <v>48</v>
      </c>
      <c r="Q657" s="28">
        <f>Q650*_xlfn.XLOOKUP($L657,'Balizador da Meta'!$B$4:$B$21,'Balizador da Meta'!$C$4:$C$21)</f>
        <v>48</v>
      </c>
      <c r="R657" s="28">
        <f>R650*_xlfn.XLOOKUP($L657,'Balizador da Meta'!$B$4:$B$21,'Balizador da Meta'!$C$4:$C$21)</f>
        <v>48</v>
      </c>
      <c r="S657" s="28">
        <f>S650*_xlfn.XLOOKUP($L657,'Balizador da Meta'!$B$4:$B$21,'Balizador da Meta'!$C$4:$C$21)</f>
        <v>48</v>
      </c>
      <c r="T657" s="28">
        <f>T650*_xlfn.XLOOKUP($L657,'Balizador da Meta'!$B$4:$B$21,'Balizador da Meta'!$C$4:$C$21)</f>
        <v>48</v>
      </c>
      <c r="U657" s="28">
        <f>U650*_xlfn.XLOOKUP($L657,'Balizador da Meta'!$B$4:$B$21,'Balizador da Meta'!$C$4:$C$21)</f>
        <v>48</v>
      </c>
      <c r="V657" s="28">
        <f>V650*_xlfn.XLOOKUP($L657,'Balizador da Meta'!$B$4:$B$21,'Balizador da Meta'!$C$4:$C$21)</f>
        <v>48</v>
      </c>
      <c r="W657" s="28">
        <f>W650*_xlfn.XLOOKUP($L657,'Balizador da Meta'!$B$4:$B$21,'Balizador da Meta'!$C$4:$C$21)</f>
        <v>48</v>
      </c>
      <c r="X657" s="28">
        <f>X650*_xlfn.XLOOKUP($L657,'Balizador da Meta'!$B$4:$B$21,'Balizador da Meta'!$C$4:$C$21)</f>
        <v>48</v>
      </c>
      <c r="Y657" s="28">
        <f>Y650*_xlfn.XLOOKUP($L657,'Balizador da Meta'!$B$4:$B$21,'Balizador da Meta'!$C$4:$C$21)</f>
        <v>48</v>
      </c>
      <c r="Z657" s="30">
        <f t="shared" si="159"/>
        <v>576</v>
      </c>
      <c r="AA657" s="29"/>
      <c r="AB657" s="31">
        <f>SUMIFS('Historico - FAT'!AK:AK,'Historico - FAT'!$K:$K,Faturamento!$L657,'Historico - FAT'!$I:$I,Faturamento!$J657,'Historico - FAT'!$G:$G,Faturamento!$H657)</f>
        <v>261.11999999999995</v>
      </c>
      <c r="AC657" s="31">
        <f>SUMIFS('Historico - FAT'!AL:AL,'Historico - FAT'!$K:$K,Faturamento!$L657,'Historico - FAT'!$I:$I,Faturamento!$J657,'Historico - FAT'!$G:$G,Faturamento!$H657)</f>
        <v>163.84666666666666</v>
      </c>
      <c r="AD657" s="31">
        <f>SUMIFS('Historico - FAT'!AM:AM,'Historico - FAT'!$K:$K,Faturamento!$L657,'Historico - FAT'!$I:$I,Faturamento!$J657,'Historico - FAT'!$G:$G,Faturamento!$H657)</f>
        <v>165.13333333333333</v>
      </c>
      <c r="AE657" s="27">
        <f>SUMIFS('Historico - FAT'!AN:AN,'Historico - FAT'!$K:$K,Faturamento!$L657,'Historico - FAT'!$I:$I,Faturamento!$J657,'Historico - FAT'!$G:$G,Faturamento!$H657)</f>
        <v>131.93599999999998</v>
      </c>
      <c r="AG657" s="24">
        <f t="shared" si="150"/>
        <v>-4.4399999999999986</v>
      </c>
      <c r="AH657" s="24">
        <f t="shared" si="151"/>
        <v>-2.413472222222222</v>
      </c>
      <c r="AI657" s="24">
        <f t="shared" si="152"/>
        <v>-2.4402777777777778</v>
      </c>
    </row>
    <row r="658" spans="1:35" hidden="1" x14ac:dyDescent="0.3">
      <c r="A658" s="2" t="str">
        <f t="shared" si="149"/>
        <v>NÃO</v>
      </c>
      <c r="B658" s="2">
        <v>1000184670</v>
      </c>
      <c r="C658" s="2" t="s">
        <v>147</v>
      </c>
      <c r="D658" s="4">
        <v>1000186197</v>
      </c>
      <c r="E658" s="4" t="s">
        <v>166</v>
      </c>
      <c r="F658" s="2">
        <v>1000184760</v>
      </c>
      <c r="G658" s="2" t="s">
        <v>60</v>
      </c>
      <c r="H658" s="4">
        <v>1000189779</v>
      </c>
      <c r="I658" s="4" t="s">
        <v>106</v>
      </c>
      <c r="J658" s="2">
        <v>1000189270</v>
      </c>
      <c r="K658" s="2" t="s">
        <v>34</v>
      </c>
      <c r="L658" s="4" t="s">
        <v>24</v>
      </c>
      <c r="M658" s="4" t="str">
        <f t="shared" si="156"/>
        <v>1000184670100018619710001897791000189270KIDS</v>
      </c>
      <c r="N658" s="28">
        <f>N650*_xlfn.XLOOKUP($L658,'Balizador da Meta'!$B$4:$B$21,'Balizador da Meta'!$C$4:$C$21)</f>
        <v>0</v>
      </c>
      <c r="O658" s="28">
        <f>O650*_xlfn.XLOOKUP($L658,'Balizador da Meta'!$B$4:$B$21,'Balizador da Meta'!$C$4:$C$21)</f>
        <v>0</v>
      </c>
      <c r="P658" s="28">
        <f>P650*_xlfn.XLOOKUP($L658,'Balizador da Meta'!$B$4:$B$21,'Balizador da Meta'!$C$4:$C$21)</f>
        <v>0</v>
      </c>
      <c r="Q658" s="28">
        <f>Q650*_xlfn.XLOOKUP($L658,'Balizador da Meta'!$B$4:$B$21,'Balizador da Meta'!$C$4:$C$21)</f>
        <v>0</v>
      </c>
      <c r="R658" s="28">
        <f>R650*_xlfn.XLOOKUP($L658,'Balizador da Meta'!$B$4:$B$21,'Balizador da Meta'!$C$4:$C$21)</f>
        <v>0</v>
      </c>
      <c r="S658" s="28">
        <f>S650*_xlfn.XLOOKUP($L658,'Balizador da Meta'!$B$4:$B$21,'Balizador da Meta'!$C$4:$C$21)</f>
        <v>0</v>
      </c>
      <c r="T658" s="28">
        <f>T650*_xlfn.XLOOKUP($L658,'Balizador da Meta'!$B$4:$B$21,'Balizador da Meta'!$C$4:$C$21)</f>
        <v>0</v>
      </c>
      <c r="U658" s="28">
        <f>U650*_xlfn.XLOOKUP($L658,'Balizador da Meta'!$B$4:$B$21,'Balizador da Meta'!$C$4:$C$21)</f>
        <v>0</v>
      </c>
      <c r="V658" s="28">
        <f>V650*_xlfn.XLOOKUP($L658,'Balizador da Meta'!$B$4:$B$21,'Balizador da Meta'!$C$4:$C$21)</f>
        <v>0</v>
      </c>
      <c r="W658" s="28">
        <f>W650*_xlfn.XLOOKUP($L658,'Balizador da Meta'!$B$4:$B$21,'Balizador da Meta'!$C$4:$C$21)</f>
        <v>0</v>
      </c>
      <c r="X658" s="28">
        <f>X650*_xlfn.XLOOKUP($L658,'Balizador da Meta'!$B$4:$B$21,'Balizador da Meta'!$C$4:$C$21)</f>
        <v>0</v>
      </c>
      <c r="Y658" s="28">
        <f>Y650*_xlfn.XLOOKUP($L658,'Balizador da Meta'!$B$4:$B$21,'Balizador da Meta'!$C$4:$C$21)</f>
        <v>0</v>
      </c>
      <c r="Z658" s="30">
        <f t="shared" si="159"/>
        <v>0</v>
      </c>
      <c r="AA658" s="29"/>
      <c r="AB658" s="31">
        <f>SUMIFS('Historico - FAT'!AK:AK,'Historico - FAT'!$K:$K,Faturamento!$L658,'Historico - FAT'!$I:$I,Faturamento!$J658,'Historico - FAT'!$G:$G,Faturamento!$H658)</f>
        <v>159.99083333333331</v>
      </c>
      <c r="AC658" s="31">
        <f>SUMIFS('Historico - FAT'!AL:AL,'Historico - FAT'!$K:$K,Faturamento!$L658,'Historico - FAT'!$I:$I,Faturamento!$J658,'Historico - FAT'!$G:$G,Faturamento!$H658)</f>
        <v>142.95916666666668</v>
      </c>
      <c r="AD658" s="31">
        <f>SUMIFS('Historico - FAT'!AM:AM,'Historico - FAT'!$K:$K,Faturamento!$L658,'Historico - FAT'!$I:$I,Faturamento!$J658,'Historico - FAT'!$G:$G,Faturamento!$H658)</f>
        <v>134.24833333333333</v>
      </c>
      <c r="AE658" s="27">
        <f>SUMIFS('Historico - FAT'!AN:AN,'Historico - FAT'!$K:$K,Faturamento!$L658,'Historico - FAT'!$I:$I,Faturamento!$J658,'Historico - FAT'!$G:$G,Faturamento!$H658)</f>
        <v>144.62299999999999</v>
      </c>
      <c r="AG658" s="24" t="str">
        <f t="shared" si="150"/>
        <v/>
      </c>
      <c r="AH658" s="24" t="str">
        <f t="shared" si="151"/>
        <v/>
      </c>
      <c r="AI658" s="24" t="str">
        <f t="shared" si="152"/>
        <v/>
      </c>
    </row>
    <row r="659" spans="1:35" hidden="1" x14ac:dyDescent="0.3">
      <c r="A659" s="2" t="str">
        <f t="shared" si="149"/>
        <v>NÃO</v>
      </c>
      <c r="B659" s="2">
        <v>1000184670</v>
      </c>
      <c r="C659" s="2" t="s">
        <v>147</v>
      </c>
      <c r="D659" s="4">
        <v>1000186197</v>
      </c>
      <c r="E659" s="4" t="s">
        <v>166</v>
      </c>
      <c r="F659" s="2">
        <v>1000184760</v>
      </c>
      <c r="G659" s="2" t="s">
        <v>60</v>
      </c>
      <c r="H659" s="4">
        <v>1000189779</v>
      </c>
      <c r="I659" s="4" t="s">
        <v>106</v>
      </c>
      <c r="J659" s="2">
        <v>1000189270</v>
      </c>
      <c r="K659" s="2" t="s">
        <v>34</v>
      </c>
      <c r="L659" s="4" t="s">
        <v>18</v>
      </c>
      <c r="M659" s="4" t="str">
        <f t="shared" si="156"/>
        <v>1000184670100018619710001897791000189270LANCHES</v>
      </c>
      <c r="N659" s="28">
        <f>N650*_xlfn.XLOOKUP($L659,'Balizador da Meta'!$B$4:$B$21,'Balizador da Meta'!$C$4:$C$21)</f>
        <v>24</v>
      </c>
      <c r="O659" s="28">
        <f>O650*_xlfn.XLOOKUP($L659,'Balizador da Meta'!$B$4:$B$21,'Balizador da Meta'!$C$4:$C$21)</f>
        <v>24</v>
      </c>
      <c r="P659" s="28">
        <f>P650*_xlfn.XLOOKUP($L659,'Balizador da Meta'!$B$4:$B$21,'Balizador da Meta'!$C$4:$C$21)</f>
        <v>24</v>
      </c>
      <c r="Q659" s="28">
        <f>Q650*_xlfn.XLOOKUP($L659,'Balizador da Meta'!$B$4:$B$21,'Balizador da Meta'!$C$4:$C$21)</f>
        <v>24</v>
      </c>
      <c r="R659" s="28">
        <f>R650*_xlfn.XLOOKUP($L659,'Balizador da Meta'!$B$4:$B$21,'Balizador da Meta'!$C$4:$C$21)</f>
        <v>24</v>
      </c>
      <c r="S659" s="28">
        <f>S650*_xlfn.XLOOKUP($L659,'Balizador da Meta'!$B$4:$B$21,'Balizador da Meta'!$C$4:$C$21)</f>
        <v>24</v>
      </c>
      <c r="T659" s="28">
        <f>T650*_xlfn.XLOOKUP($L659,'Balizador da Meta'!$B$4:$B$21,'Balizador da Meta'!$C$4:$C$21)</f>
        <v>24</v>
      </c>
      <c r="U659" s="28">
        <f>U650*_xlfn.XLOOKUP($L659,'Balizador da Meta'!$B$4:$B$21,'Balizador da Meta'!$C$4:$C$21)</f>
        <v>24</v>
      </c>
      <c r="V659" s="28">
        <f>V650*_xlfn.XLOOKUP($L659,'Balizador da Meta'!$B$4:$B$21,'Balizador da Meta'!$C$4:$C$21)</f>
        <v>24</v>
      </c>
      <c r="W659" s="28">
        <f>W650*_xlfn.XLOOKUP($L659,'Balizador da Meta'!$B$4:$B$21,'Balizador da Meta'!$C$4:$C$21)</f>
        <v>24</v>
      </c>
      <c r="X659" s="28">
        <f>X650*_xlfn.XLOOKUP($L659,'Balizador da Meta'!$B$4:$B$21,'Balizador da Meta'!$C$4:$C$21)</f>
        <v>24</v>
      </c>
      <c r="Y659" s="28">
        <f>Y650*_xlfn.XLOOKUP($L659,'Balizador da Meta'!$B$4:$B$21,'Balizador da Meta'!$C$4:$C$21)</f>
        <v>24</v>
      </c>
      <c r="Z659" s="30">
        <f t="shared" si="159"/>
        <v>288</v>
      </c>
      <c r="AA659" s="29"/>
      <c r="AB659" s="31">
        <f>SUMIFS('Historico - FAT'!AK:AK,'Historico - FAT'!$K:$K,Faturamento!$L659,'Historico - FAT'!$I:$I,Faturamento!$J659,'Historico - FAT'!$G:$G,Faturamento!$H659)</f>
        <v>0</v>
      </c>
      <c r="AC659" s="31">
        <f>SUMIFS('Historico - FAT'!AL:AL,'Historico - FAT'!$K:$K,Faturamento!$L659,'Historico - FAT'!$I:$I,Faturamento!$J659,'Historico - FAT'!$G:$G,Faturamento!$H659)</f>
        <v>8</v>
      </c>
      <c r="AD659" s="31">
        <f>SUMIFS('Historico - FAT'!AM:AM,'Historico - FAT'!$K:$K,Faturamento!$L659,'Historico - FAT'!$I:$I,Faturamento!$J659,'Historico - FAT'!$G:$G,Faturamento!$H659)</f>
        <v>16</v>
      </c>
      <c r="AE659" s="27">
        <f>SUMIFS('Historico - FAT'!AN:AN,'Historico - FAT'!$K:$K,Faturamento!$L659,'Historico - FAT'!$I:$I,Faturamento!$J659,'Historico - FAT'!$G:$G,Faturamento!$H659)</f>
        <v>9.6</v>
      </c>
      <c r="AG659" s="24">
        <f t="shared" si="150"/>
        <v>1</v>
      </c>
      <c r="AH659" s="24">
        <f t="shared" si="151"/>
        <v>0.66666666666666663</v>
      </c>
      <c r="AI659" s="24">
        <f t="shared" si="152"/>
        <v>0.33333333333333331</v>
      </c>
    </row>
    <row r="660" spans="1:35" hidden="1" x14ac:dyDescent="0.3">
      <c r="A660" s="2" t="str">
        <f t="shared" si="149"/>
        <v>NÃO</v>
      </c>
      <c r="B660" s="2">
        <v>1000184670</v>
      </c>
      <c r="C660" s="2" t="s">
        <v>147</v>
      </c>
      <c r="D660" s="4">
        <v>1000186197</v>
      </c>
      <c r="E660" s="4" t="s">
        <v>166</v>
      </c>
      <c r="F660" s="2">
        <v>1000184760</v>
      </c>
      <c r="G660" s="2" t="s">
        <v>60</v>
      </c>
      <c r="H660" s="4">
        <v>1000189779</v>
      </c>
      <c r="I660" s="4" t="s">
        <v>106</v>
      </c>
      <c r="J660" s="2">
        <v>1000189270</v>
      </c>
      <c r="K660" s="2" t="s">
        <v>34</v>
      </c>
      <c r="L660" s="4" t="s">
        <v>29</v>
      </c>
      <c r="M660" s="4" t="str">
        <f t="shared" si="156"/>
        <v>1000184670100018619710001897791000189270MAIS GRANEL</v>
      </c>
      <c r="N660" s="28">
        <f>N650*_xlfn.XLOOKUP($L660,'Balizador da Meta'!$B$4:$B$21,'Balizador da Meta'!$C$4:$C$21)</f>
        <v>768</v>
      </c>
      <c r="O660" s="28">
        <f>O650*_xlfn.XLOOKUP($L660,'Balizador da Meta'!$B$4:$B$21,'Balizador da Meta'!$C$4:$C$21)</f>
        <v>768</v>
      </c>
      <c r="P660" s="28">
        <f>P650*_xlfn.XLOOKUP($L660,'Balizador da Meta'!$B$4:$B$21,'Balizador da Meta'!$C$4:$C$21)</f>
        <v>768</v>
      </c>
      <c r="Q660" s="28">
        <f>Q650*_xlfn.XLOOKUP($L660,'Balizador da Meta'!$B$4:$B$21,'Balizador da Meta'!$C$4:$C$21)</f>
        <v>768</v>
      </c>
      <c r="R660" s="28">
        <f>R650*_xlfn.XLOOKUP($L660,'Balizador da Meta'!$B$4:$B$21,'Balizador da Meta'!$C$4:$C$21)</f>
        <v>768</v>
      </c>
      <c r="S660" s="28">
        <f>S650*_xlfn.XLOOKUP($L660,'Balizador da Meta'!$B$4:$B$21,'Balizador da Meta'!$C$4:$C$21)</f>
        <v>768</v>
      </c>
      <c r="T660" s="28">
        <f>T650*_xlfn.XLOOKUP($L660,'Balizador da Meta'!$B$4:$B$21,'Balizador da Meta'!$C$4:$C$21)</f>
        <v>768</v>
      </c>
      <c r="U660" s="28">
        <f>U650*_xlfn.XLOOKUP($L660,'Balizador da Meta'!$B$4:$B$21,'Balizador da Meta'!$C$4:$C$21)</f>
        <v>768</v>
      </c>
      <c r="V660" s="28">
        <f>V650*_xlfn.XLOOKUP($L660,'Balizador da Meta'!$B$4:$B$21,'Balizador da Meta'!$C$4:$C$21)</f>
        <v>768</v>
      </c>
      <c r="W660" s="28">
        <f>W650*_xlfn.XLOOKUP($L660,'Balizador da Meta'!$B$4:$B$21,'Balizador da Meta'!$C$4:$C$21)</f>
        <v>768</v>
      </c>
      <c r="X660" s="28">
        <f>X650*_xlfn.XLOOKUP($L660,'Balizador da Meta'!$B$4:$B$21,'Balizador da Meta'!$C$4:$C$21)</f>
        <v>768</v>
      </c>
      <c r="Y660" s="28">
        <f>Y650*_xlfn.XLOOKUP($L660,'Balizador da Meta'!$B$4:$B$21,'Balizador da Meta'!$C$4:$C$21)</f>
        <v>768</v>
      </c>
      <c r="Z660" s="30">
        <f t="shared" si="159"/>
        <v>9216</v>
      </c>
      <c r="AA660" s="29"/>
      <c r="AB660" s="31">
        <f>SUMIFS('Historico - FAT'!AK:AK,'Historico - FAT'!$K:$K,Faturamento!$L660,'Historico - FAT'!$I:$I,Faturamento!$J660,'Historico - FAT'!$G:$G,Faturamento!$H660)</f>
        <v>0</v>
      </c>
      <c r="AC660" s="31">
        <f>SUMIFS('Historico - FAT'!AL:AL,'Historico - FAT'!$K:$K,Faturamento!$L660,'Historico - FAT'!$I:$I,Faturamento!$J660,'Historico - FAT'!$G:$G,Faturamento!$H660)</f>
        <v>89.413333333333341</v>
      </c>
      <c r="AD660" s="31">
        <f>SUMIFS('Historico - FAT'!AM:AM,'Historico - FAT'!$K:$K,Faturamento!$L660,'Historico - FAT'!$I:$I,Faturamento!$J660,'Historico - FAT'!$G:$G,Faturamento!$H660)</f>
        <v>178.82666666666668</v>
      </c>
      <c r="AE660" s="27">
        <f>SUMIFS('Historico - FAT'!AN:AN,'Historico - FAT'!$K:$K,Faturamento!$L660,'Historico - FAT'!$I:$I,Faturamento!$J660,'Historico - FAT'!$G:$G,Faturamento!$H660)</f>
        <v>107.29600000000001</v>
      </c>
      <c r="AG660" s="24">
        <f t="shared" si="150"/>
        <v>1</v>
      </c>
      <c r="AH660" s="24">
        <f t="shared" si="151"/>
        <v>0.8835763888888889</v>
      </c>
      <c r="AI660" s="24">
        <f t="shared" si="152"/>
        <v>0.76715277777777768</v>
      </c>
    </row>
    <row r="661" spans="1:35" hidden="1" x14ac:dyDescent="0.3">
      <c r="A661" s="2" t="str">
        <f t="shared" si="149"/>
        <v>NÃO</v>
      </c>
      <c r="B661" s="2">
        <v>1000184670</v>
      </c>
      <c r="C661" s="2" t="s">
        <v>147</v>
      </c>
      <c r="D661" s="4">
        <v>1000186197</v>
      </c>
      <c r="E661" s="4" t="s">
        <v>166</v>
      </c>
      <c r="F661" s="2">
        <v>1000184760</v>
      </c>
      <c r="G661" s="2" t="s">
        <v>60</v>
      </c>
      <c r="H661" s="4">
        <v>1000189779</v>
      </c>
      <c r="I661" s="4" t="s">
        <v>106</v>
      </c>
      <c r="J661" s="2">
        <v>1000189270</v>
      </c>
      <c r="K661" s="2" t="s">
        <v>34</v>
      </c>
      <c r="L661" s="4" t="s">
        <v>21</v>
      </c>
      <c r="M661" s="4" t="str">
        <f t="shared" si="156"/>
        <v>1000184670100018619710001897791000189270NATURATTA</v>
      </c>
      <c r="N661" s="28">
        <f>N650*_xlfn.XLOOKUP($L661,'Balizador da Meta'!$B$4:$B$21,'Balizador da Meta'!$C$4:$C$21)</f>
        <v>120</v>
      </c>
      <c r="O661" s="28">
        <f>O650*_xlfn.XLOOKUP($L661,'Balizador da Meta'!$B$4:$B$21,'Balizador da Meta'!$C$4:$C$21)</f>
        <v>120</v>
      </c>
      <c r="P661" s="28">
        <f>P650*_xlfn.XLOOKUP($L661,'Balizador da Meta'!$B$4:$B$21,'Balizador da Meta'!$C$4:$C$21)</f>
        <v>120</v>
      </c>
      <c r="Q661" s="28">
        <f>Q650*_xlfn.XLOOKUP($L661,'Balizador da Meta'!$B$4:$B$21,'Balizador da Meta'!$C$4:$C$21)</f>
        <v>120</v>
      </c>
      <c r="R661" s="28">
        <f>R650*_xlfn.XLOOKUP($L661,'Balizador da Meta'!$B$4:$B$21,'Balizador da Meta'!$C$4:$C$21)</f>
        <v>120</v>
      </c>
      <c r="S661" s="28">
        <f>S650*_xlfn.XLOOKUP($L661,'Balizador da Meta'!$B$4:$B$21,'Balizador da Meta'!$C$4:$C$21)</f>
        <v>120</v>
      </c>
      <c r="T661" s="28">
        <f>T650*_xlfn.XLOOKUP($L661,'Balizador da Meta'!$B$4:$B$21,'Balizador da Meta'!$C$4:$C$21)</f>
        <v>120</v>
      </c>
      <c r="U661" s="28">
        <f>U650*_xlfn.XLOOKUP($L661,'Balizador da Meta'!$B$4:$B$21,'Balizador da Meta'!$C$4:$C$21)</f>
        <v>120</v>
      </c>
      <c r="V661" s="28">
        <f>V650*_xlfn.XLOOKUP($L661,'Balizador da Meta'!$B$4:$B$21,'Balizador da Meta'!$C$4:$C$21)</f>
        <v>120</v>
      </c>
      <c r="W661" s="28">
        <f>W650*_xlfn.XLOOKUP($L661,'Balizador da Meta'!$B$4:$B$21,'Balizador da Meta'!$C$4:$C$21)</f>
        <v>120</v>
      </c>
      <c r="X661" s="28">
        <f>X650*_xlfn.XLOOKUP($L661,'Balizador da Meta'!$B$4:$B$21,'Balizador da Meta'!$C$4:$C$21)</f>
        <v>120</v>
      </c>
      <c r="Y661" s="28">
        <f>Y650*_xlfn.XLOOKUP($L661,'Balizador da Meta'!$B$4:$B$21,'Balizador da Meta'!$C$4:$C$21)</f>
        <v>120</v>
      </c>
      <c r="Z661" s="30">
        <f t="shared" si="159"/>
        <v>1440</v>
      </c>
      <c r="AA661" s="29"/>
      <c r="AB661" s="31">
        <f>SUMIFS('Historico - FAT'!AK:AK,'Historico - FAT'!$K:$K,Faturamento!$L661,'Historico - FAT'!$I:$I,Faturamento!$J661,'Historico - FAT'!$G:$G,Faturamento!$H661)</f>
        <v>0</v>
      </c>
      <c r="AC661" s="31">
        <f>SUMIFS('Historico - FAT'!AL:AL,'Historico - FAT'!$K:$K,Faturamento!$L661,'Historico - FAT'!$I:$I,Faturamento!$J661,'Historico - FAT'!$G:$G,Faturamento!$H661)</f>
        <v>105.22916666666667</v>
      </c>
      <c r="AD661" s="31">
        <f>SUMIFS('Historico - FAT'!AM:AM,'Historico - FAT'!$K:$K,Faturamento!$L661,'Historico - FAT'!$I:$I,Faturamento!$J661,'Historico - FAT'!$G:$G,Faturamento!$H661)</f>
        <v>210.45833333333334</v>
      </c>
      <c r="AE661" s="27">
        <f>SUMIFS('Historico - FAT'!AN:AN,'Historico - FAT'!$K:$K,Faturamento!$L661,'Historico - FAT'!$I:$I,Faturamento!$J661,'Historico - FAT'!$G:$G,Faturamento!$H661)</f>
        <v>126.27500000000001</v>
      </c>
      <c r="AG661" s="24">
        <f t="shared" si="150"/>
        <v>1</v>
      </c>
      <c r="AH661" s="24">
        <f t="shared" si="151"/>
        <v>0.12309027777777774</v>
      </c>
      <c r="AI661" s="24">
        <f t="shared" si="152"/>
        <v>-0.75381944444444449</v>
      </c>
    </row>
    <row r="662" spans="1:35" hidden="1" x14ac:dyDescent="0.3">
      <c r="A662" s="2" t="str">
        <f t="shared" si="149"/>
        <v>NÃO</v>
      </c>
      <c r="B662" s="2">
        <v>1000184670</v>
      </c>
      <c r="C662" s="2" t="s">
        <v>147</v>
      </c>
      <c r="D662" s="4">
        <v>1000186197</v>
      </c>
      <c r="E662" s="4" t="s">
        <v>166</v>
      </c>
      <c r="F662" s="2">
        <v>1000184760</v>
      </c>
      <c r="G662" s="2" t="s">
        <v>60</v>
      </c>
      <c r="H662" s="4">
        <v>1000189779</v>
      </c>
      <c r="I662" s="4" t="s">
        <v>106</v>
      </c>
      <c r="J662" s="2">
        <v>1000189270</v>
      </c>
      <c r="K662" s="2" t="s">
        <v>34</v>
      </c>
      <c r="L662" s="4" t="s">
        <v>20</v>
      </c>
      <c r="M662" s="4" t="str">
        <f t="shared" si="156"/>
        <v>1000184670100018619710001897791000189270REEMBALADOS</v>
      </c>
      <c r="N662" s="28">
        <f>N650*_xlfn.XLOOKUP($L662,'Balizador da Meta'!$B$4:$B$21,'Balizador da Meta'!$C$4:$C$21)</f>
        <v>96</v>
      </c>
      <c r="O662" s="28">
        <f>O650*_xlfn.XLOOKUP($L662,'Balizador da Meta'!$B$4:$B$21,'Balizador da Meta'!$C$4:$C$21)</f>
        <v>96</v>
      </c>
      <c r="P662" s="28">
        <f>P650*_xlfn.XLOOKUP($L662,'Balizador da Meta'!$B$4:$B$21,'Balizador da Meta'!$C$4:$C$21)</f>
        <v>96</v>
      </c>
      <c r="Q662" s="28">
        <f>Q650*_xlfn.XLOOKUP($L662,'Balizador da Meta'!$B$4:$B$21,'Balizador da Meta'!$C$4:$C$21)</f>
        <v>96</v>
      </c>
      <c r="R662" s="28">
        <f>R650*_xlfn.XLOOKUP($L662,'Balizador da Meta'!$B$4:$B$21,'Balizador da Meta'!$C$4:$C$21)</f>
        <v>96</v>
      </c>
      <c r="S662" s="28">
        <f>S650*_xlfn.XLOOKUP($L662,'Balizador da Meta'!$B$4:$B$21,'Balizador da Meta'!$C$4:$C$21)</f>
        <v>96</v>
      </c>
      <c r="T662" s="28">
        <f>T650*_xlfn.XLOOKUP($L662,'Balizador da Meta'!$B$4:$B$21,'Balizador da Meta'!$C$4:$C$21)</f>
        <v>96</v>
      </c>
      <c r="U662" s="28">
        <f>U650*_xlfn.XLOOKUP($L662,'Balizador da Meta'!$B$4:$B$21,'Balizador da Meta'!$C$4:$C$21)</f>
        <v>96</v>
      </c>
      <c r="V662" s="28">
        <f>V650*_xlfn.XLOOKUP($L662,'Balizador da Meta'!$B$4:$B$21,'Balizador da Meta'!$C$4:$C$21)</f>
        <v>96</v>
      </c>
      <c r="W662" s="28">
        <f>W650*_xlfn.XLOOKUP($L662,'Balizador da Meta'!$B$4:$B$21,'Balizador da Meta'!$C$4:$C$21)</f>
        <v>96</v>
      </c>
      <c r="X662" s="28">
        <f>X650*_xlfn.XLOOKUP($L662,'Balizador da Meta'!$B$4:$B$21,'Balizador da Meta'!$C$4:$C$21)</f>
        <v>96</v>
      </c>
      <c r="Y662" s="28">
        <f>Y650*_xlfn.XLOOKUP($L662,'Balizador da Meta'!$B$4:$B$21,'Balizador da Meta'!$C$4:$C$21)</f>
        <v>96</v>
      </c>
      <c r="Z662" s="30">
        <f t="shared" si="159"/>
        <v>1152</v>
      </c>
      <c r="AA662" s="29"/>
      <c r="AB662" s="31">
        <f>SUMIFS('Historico - FAT'!AK:AK,'Historico - FAT'!$K:$K,Faturamento!$L662,'Historico - FAT'!$I:$I,Faturamento!$J662,'Historico - FAT'!$G:$G,Faturamento!$H662)</f>
        <v>164.48916666666665</v>
      </c>
      <c r="AC662" s="31">
        <f>SUMIFS('Historico - FAT'!AL:AL,'Historico - FAT'!$K:$K,Faturamento!$L662,'Historico - FAT'!$I:$I,Faturamento!$J662,'Historico - FAT'!$G:$G,Faturamento!$H662)</f>
        <v>80.838333333333338</v>
      </c>
      <c r="AD662" s="31">
        <f>SUMIFS('Historico - FAT'!AM:AM,'Historico - FAT'!$K:$K,Faturamento!$L662,'Historico - FAT'!$I:$I,Faturamento!$J662,'Historico - FAT'!$G:$G,Faturamento!$H662)</f>
        <v>148.24666666666667</v>
      </c>
      <c r="AE662" s="27">
        <f>SUMIFS('Historico - FAT'!AN:AN,'Historico - FAT'!$K:$K,Faturamento!$L662,'Historico - FAT'!$I:$I,Faturamento!$J662,'Historico - FAT'!$G:$G,Faturamento!$H662)</f>
        <v>88.948000000000008</v>
      </c>
      <c r="AG662" s="24">
        <f t="shared" si="150"/>
        <v>-0.71342881944444425</v>
      </c>
      <c r="AH662" s="24">
        <f t="shared" si="151"/>
        <v>0.15793402777777774</v>
      </c>
      <c r="AI662" s="24">
        <f t="shared" si="152"/>
        <v>-0.54423611111111114</v>
      </c>
    </row>
    <row r="663" spans="1:35" hidden="1" x14ac:dyDescent="0.3">
      <c r="A663" s="2" t="str">
        <f t="shared" si="149"/>
        <v>NÃO</v>
      </c>
      <c r="B663" s="2">
        <v>1000184670</v>
      </c>
      <c r="C663" s="2" t="s">
        <v>147</v>
      </c>
      <c r="D663" s="4">
        <v>1000186197</v>
      </c>
      <c r="E663" s="4" t="s">
        <v>166</v>
      </c>
      <c r="F663" s="2">
        <v>1000184760</v>
      </c>
      <c r="G663" s="2" t="s">
        <v>60</v>
      </c>
      <c r="H663" s="4">
        <v>1000189779</v>
      </c>
      <c r="I663" s="4" t="s">
        <v>106</v>
      </c>
      <c r="J663" s="2">
        <v>1000189270</v>
      </c>
      <c r="K663" s="2" t="s">
        <v>34</v>
      </c>
      <c r="L663" s="4" t="s">
        <v>22</v>
      </c>
      <c r="M663" s="4" t="str">
        <f t="shared" si="156"/>
        <v>1000184670100018619710001897791000189270S GLUTEN</v>
      </c>
      <c r="N663" s="28">
        <f>N650*_xlfn.XLOOKUP($L663,'Balizador da Meta'!$B$4:$B$21,'Balizador da Meta'!$C$4:$C$21)</f>
        <v>96</v>
      </c>
      <c r="O663" s="28">
        <f>O650*_xlfn.XLOOKUP($L663,'Balizador da Meta'!$B$4:$B$21,'Balizador da Meta'!$C$4:$C$21)</f>
        <v>96</v>
      </c>
      <c r="P663" s="28">
        <f>P650*_xlfn.XLOOKUP($L663,'Balizador da Meta'!$B$4:$B$21,'Balizador da Meta'!$C$4:$C$21)</f>
        <v>96</v>
      </c>
      <c r="Q663" s="28">
        <f>Q650*_xlfn.XLOOKUP($L663,'Balizador da Meta'!$B$4:$B$21,'Balizador da Meta'!$C$4:$C$21)</f>
        <v>96</v>
      </c>
      <c r="R663" s="28">
        <f>R650*_xlfn.XLOOKUP($L663,'Balizador da Meta'!$B$4:$B$21,'Balizador da Meta'!$C$4:$C$21)</f>
        <v>96</v>
      </c>
      <c r="S663" s="28">
        <f>S650*_xlfn.XLOOKUP($L663,'Balizador da Meta'!$B$4:$B$21,'Balizador da Meta'!$C$4:$C$21)</f>
        <v>96</v>
      </c>
      <c r="T663" s="28">
        <f>T650*_xlfn.XLOOKUP($L663,'Balizador da Meta'!$B$4:$B$21,'Balizador da Meta'!$C$4:$C$21)</f>
        <v>96</v>
      </c>
      <c r="U663" s="28">
        <f>U650*_xlfn.XLOOKUP($L663,'Balizador da Meta'!$B$4:$B$21,'Balizador da Meta'!$C$4:$C$21)</f>
        <v>96</v>
      </c>
      <c r="V663" s="28">
        <f>V650*_xlfn.XLOOKUP($L663,'Balizador da Meta'!$B$4:$B$21,'Balizador da Meta'!$C$4:$C$21)</f>
        <v>96</v>
      </c>
      <c r="W663" s="28">
        <f>W650*_xlfn.XLOOKUP($L663,'Balizador da Meta'!$B$4:$B$21,'Balizador da Meta'!$C$4:$C$21)</f>
        <v>96</v>
      </c>
      <c r="X663" s="28">
        <f>X650*_xlfn.XLOOKUP($L663,'Balizador da Meta'!$B$4:$B$21,'Balizador da Meta'!$C$4:$C$21)</f>
        <v>96</v>
      </c>
      <c r="Y663" s="28">
        <f>Y650*_xlfn.XLOOKUP($L663,'Balizador da Meta'!$B$4:$B$21,'Balizador da Meta'!$C$4:$C$21)</f>
        <v>96</v>
      </c>
      <c r="Z663" s="30">
        <f t="shared" si="159"/>
        <v>1152</v>
      </c>
      <c r="AA663" s="29"/>
      <c r="AB663" s="31">
        <f>SUMIFS('Historico - FAT'!AK:AK,'Historico - FAT'!$K:$K,Faturamento!$L663,'Historico - FAT'!$I:$I,Faturamento!$J663,'Historico - FAT'!$G:$G,Faturamento!$H663)</f>
        <v>278.685</v>
      </c>
      <c r="AC663" s="31">
        <f>SUMIFS('Historico - FAT'!AL:AL,'Historico - FAT'!$K:$K,Faturamento!$L663,'Historico - FAT'!$I:$I,Faturamento!$J663,'Historico - FAT'!$G:$G,Faturamento!$H663)</f>
        <v>247.44583333333335</v>
      </c>
      <c r="AD663" s="31">
        <f>SUMIFS('Historico - FAT'!AM:AM,'Historico - FAT'!$K:$K,Faturamento!$L663,'Historico - FAT'!$I:$I,Faturamento!$J663,'Historico - FAT'!$G:$G,Faturamento!$H663)</f>
        <v>252.88333333333335</v>
      </c>
      <c r="AE663" s="27">
        <f>SUMIFS('Historico - FAT'!AN:AN,'Historico - FAT'!$K:$K,Faturamento!$L663,'Historico - FAT'!$I:$I,Faturamento!$J663,'Historico - FAT'!$G:$G,Faturamento!$H663)</f>
        <v>199.25500000000002</v>
      </c>
      <c r="AG663" s="24">
        <f t="shared" si="150"/>
        <v>-1.9029687500000001</v>
      </c>
      <c r="AH663" s="24">
        <f t="shared" si="151"/>
        <v>-1.5775607638888891</v>
      </c>
      <c r="AI663" s="24">
        <f t="shared" si="152"/>
        <v>-1.6342013888888891</v>
      </c>
    </row>
    <row r="664" spans="1:35" hidden="1" x14ac:dyDescent="0.3">
      <c r="A664" s="2" t="str">
        <f t="shared" si="149"/>
        <v>NÃO</v>
      </c>
      <c r="B664" s="2">
        <v>1000184670</v>
      </c>
      <c r="C664" s="2" t="s">
        <v>147</v>
      </c>
      <c r="D664" s="4">
        <v>1000186197</v>
      </c>
      <c r="E664" s="4" t="s">
        <v>166</v>
      </c>
      <c r="F664" s="2">
        <v>1000184760</v>
      </c>
      <c r="G664" s="2" t="s">
        <v>60</v>
      </c>
      <c r="H664" s="4">
        <v>1000189779</v>
      </c>
      <c r="I664" s="4" t="s">
        <v>106</v>
      </c>
      <c r="J664" s="2">
        <v>1000189270</v>
      </c>
      <c r="K664" s="2" t="s">
        <v>34</v>
      </c>
      <c r="L664" s="4" t="s">
        <v>23</v>
      </c>
      <c r="M664" s="4" t="str">
        <f t="shared" si="156"/>
        <v>1000184670100018619710001897791000189270SABORES DO CAMPO</v>
      </c>
      <c r="N664" s="28">
        <f>N650*_xlfn.XLOOKUP($L664,'Balizador da Meta'!$B$4:$B$21,'Balizador da Meta'!$C$4:$C$21)</f>
        <v>0</v>
      </c>
      <c r="O664" s="28">
        <f>O650*_xlfn.XLOOKUP($L664,'Balizador da Meta'!$B$4:$B$21,'Balizador da Meta'!$C$4:$C$21)</f>
        <v>0</v>
      </c>
      <c r="P664" s="28">
        <f>P650*_xlfn.XLOOKUP($L664,'Balizador da Meta'!$B$4:$B$21,'Balizador da Meta'!$C$4:$C$21)</f>
        <v>0</v>
      </c>
      <c r="Q664" s="28">
        <f>Q650*_xlfn.XLOOKUP($L664,'Balizador da Meta'!$B$4:$B$21,'Balizador da Meta'!$C$4:$C$21)</f>
        <v>0</v>
      </c>
      <c r="R664" s="28">
        <f>R650*_xlfn.XLOOKUP($L664,'Balizador da Meta'!$B$4:$B$21,'Balizador da Meta'!$C$4:$C$21)</f>
        <v>0</v>
      </c>
      <c r="S664" s="28">
        <f>S650*_xlfn.XLOOKUP($L664,'Balizador da Meta'!$B$4:$B$21,'Balizador da Meta'!$C$4:$C$21)</f>
        <v>0</v>
      </c>
      <c r="T664" s="28">
        <f>T650*_xlfn.XLOOKUP($L664,'Balizador da Meta'!$B$4:$B$21,'Balizador da Meta'!$C$4:$C$21)</f>
        <v>0</v>
      </c>
      <c r="U664" s="28">
        <f>U650*_xlfn.XLOOKUP($L664,'Balizador da Meta'!$B$4:$B$21,'Balizador da Meta'!$C$4:$C$21)</f>
        <v>0</v>
      </c>
      <c r="V664" s="28">
        <f>V650*_xlfn.XLOOKUP($L664,'Balizador da Meta'!$B$4:$B$21,'Balizador da Meta'!$C$4:$C$21)</f>
        <v>0</v>
      </c>
      <c r="W664" s="28">
        <f>W650*_xlfn.XLOOKUP($L664,'Balizador da Meta'!$B$4:$B$21,'Balizador da Meta'!$C$4:$C$21)</f>
        <v>0</v>
      </c>
      <c r="X664" s="28">
        <f>X650*_xlfn.XLOOKUP($L664,'Balizador da Meta'!$B$4:$B$21,'Balizador da Meta'!$C$4:$C$21)</f>
        <v>0</v>
      </c>
      <c r="Y664" s="28">
        <f>Y650*_xlfn.XLOOKUP($L664,'Balizador da Meta'!$B$4:$B$21,'Balizador da Meta'!$C$4:$C$21)</f>
        <v>0</v>
      </c>
      <c r="Z664" s="30">
        <f t="shared" si="159"/>
        <v>0</v>
      </c>
      <c r="AA664" s="29"/>
      <c r="AB664" s="31">
        <f>SUMIFS('Historico - FAT'!AK:AK,'Historico - FAT'!$K:$K,Faturamento!$L664,'Historico - FAT'!$I:$I,Faturamento!$J664,'Historico - FAT'!$G:$G,Faturamento!$H664)</f>
        <v>13.200000000000001</v>
      </c>
      <c r="AC664" s="31">
        <f>SUMIFS('Historico - FAT'!AL:AL,'Historico - FAT'!$K:$K,Faturamento!$L664,'Historico - FAT'!$I:$I,Faturamento!$J664,'Historico - FAT'!$G:$G,Faturamento!$H664)</f>
        <v>55.265000000000008</v>
      </c>
      <c r="AD664" s="31">
        <f>SUMIFS('Historico - FAT'!AM:AM,'Historico - FAT'!$K:$K,Faturamento!$L664,'Historico - FAT'!$I:$I,Faturamento!$J664,'Historico - FAT'!$G:$G,Faturamento!$H664)</f>
        <v>110.53000000000002</v>
      </c>
      <c r="AE664" s="27">
        <f>SUMIFS('Historico - FAT'!AN:AN,'Historico - FAT'!$K:$K,Faturamento!$L664,'Historico - FAT'!$I:$I,Faturamento!$J664,'Historico - FAT'!$G:$G,Faturamento!$H664)</f>
        <v>66.318000000000012</v>
      </c>
      <c r="AG664" s="24" t="str">
        <f t="shared" si="150"/>
        <v/>
      </c>
      <c r="AH664" s="24" t="str">
        <f t="shared" si="151"/>
        <v/>
      </c>
      <c r="AI664" s="24" t="str">
        <f t="shared" si="152"/>
        <v/>
      </c>
    </row>
    <row r="665" spans="1:35" hidden="1" x14ac:dyDescent="0.3">
      <c r="A665" s="2" t="str">
        <f t="shared" si="149"/>
        <v>NÃO</v>
      </c>
      <c r="B665" s="2">
        <v>1000184670</v>
      </c>
      <c r="C665" s="2" t="s">
        <v>147</v>
      </c>
      <c r="D665" s="4">
        <v>1000186197</v>
      </c>
      <c r="E665" s="4" t="s">
        <v>166</v>
      </c>
      <c r="F665" s="2">
        <v>1000184760</v>
      </c>
      <c r="G665" s="2" t="s">
        <v>60</v>
      </c>
      <c r="H665" s="4">
        <v>1000189779</v>
      </c>
      <c r="I665" s="4" t="s">
        <v>106</v>
      </c>
      <c r="J665" s="2">
        <v>1000189270</v>
      </c>
      <c r="K665" s="2" t="s">
        <v>34</v>
      </c>
      <c r="L665" s="4" t="s">
        <v>28</v>
      </c>
      <c r="M665" s="4" t="str">
        <f t="shared" si="156"/>
        <v>1000184670100018619710001897791000189270SAL</v>
      </c>
      <c r="N665" s="28">
        <f>N650*_xlfn.XLOOKUP($L665,'Balizador da Meta'!$B$4:$B$21,'Balizador da Meta'!$C$4:$C$21)</f>
        <v>48</v>
      </c>
      <c r="O665" s="28">
        <f>O650*_xlfn.XLOOKUP($L665,'Balizador da Meta'!$B$4:$B$21,'Balizador da Meta'!$C$4:$C$21)</f>
        <v>48</v>
      </c>
      <c r="P665" s="28">
        <f>P650*_xlfn.XLOOKUP($L665,'Balizador da Meta'!$B$4:$B$21,'Balizador da Meta'!$C$4:$C$21)</f>
        <v>48</v>
      </c>
      <c r="Q665" s="28">
        <f>Q650*_xlfn.XLOOKUP($L665,'Balizador da Meta'!$B$4:$B$21,'Balizador da Meta'!$C$4:$C$21)</f>
        <v>48</v>
      </c>
      <c r="R665" s="28">
        <f>R650*_xlfn.XLOOKUP($L665,'Balizador da Meta'!$B$4:$B$21,'Balizador da Meta'!$C$4:$C$21)</f>
        <v>48</v>
      </c>
      <c r="S665" s="28">
        <f>S650*_xlfn.XLOOKUP($L665,'Balizador da Meta'!$B$4:$B$21,'Balizador da Meta'!$C$4:$C$21)</f>
        <v>48</v>
      </c>
      <c r="T665" s="28">
        <f>T650*_xlfn.XLOOKUP($L665,'Balizador da Meta'!$B$4:$B$21,'Balizador da Meta'!$C$4:$C$21)</f>
        <v>48</v>
      </c>
      <c r="U665" s="28">
        <f>U650*_xlfn.XLOOKUP($L665,'Balizador da Meta'!$B$4:$B$21,'Balizador da Meta'!$C$4:$C$21)</f>
        <v>48</v>
      </c>
      <c r="V665" s="28">
        <f>V650*_xlfn.XLOOKUP($L665,'Balizador da Meta'!$B$4:$B$21,'Balizador da Meta'!$C$4:$C$21)</f>
        <v>48</v>
      </c>
      <c r="W665" s="28">
        <f>W650*_xlfn.XLOOKUP($L665,'Balizador da Meta'!$B$4:$B$21,'Balizador da Meta'!$C$4:$C$21)</f>
        <v>48</v>
      </c>
      <c r="X665" s="28">
        <f>X650*_xlfn.XLOOKUP($L665,'Balizador da Meta'!$B$4:$B$21,'Balizador da Meta'!$C$4:$C$21)</f>
        <v>48</v>
      </c>
      <c r="Y665" s="28">
        <f>Y650*_xlfn.XLOOKUP($L665,'Balizador da Meta'!$B$4:$B$21,'Balizador da Meta'!$C$4:$C$21)</f>
        <v>48</v>
      </c>
      <c r="Z665" s="30">
        <f t="shared" si="159"/>
        <v>576</v>
      </c>
      <c r="AA665" s="29"/>
      <c r="AB665" s="31">
        <f>SUMIFS('Historico - FAT'!AK:AK,'Historico - FAT'!$K:$K,Faturamento!$L665,'Historico - FAT'!$I:$I,Faturamento!$J665,'Historico - FAT'!$G:$G,Faturamento!$H665)</f>
        <v>4.53</v>
      </c>
      <c r="AC665" s="31">
        <f>SUMIFS('Historico - FAT'!AL:AL,'Historico - FAT'!$K:$K,Faturamento!$L665,'Historico - FAT'!$I:$I,Faturamento!$J665,'Historico - FAT'!$G:$G,Faturamento!$H665)</f>
        <v>3.6524999999999999</v>
      </c>
      <c r="AD665" s="31">
        <f>SUMIFS('Historico - FAT'!AM:AM,'Historico - FAT'!$K:$K,Faturamento!$L665,'Historico - FAT'!$I:$I,Faturamento!$J665,'Historico - FAT'!$G:$G,Faturamento!$H665)</f>
        <v>7.3049999999999997</v>
      </c>
      <c r="AE665" s="27">
        <f>SUMIFS('Historico - FAT'!AN:AN,'Historico - FAT'!$K:$K,Faturamento!$L665,'Historico - FAT'!$I:$I,Faturamento!$J665,'Historico - FAT'!$G:$G,Faturamento!$H665)</f>
        <v>4.383</v>
      </c>
      <c r="AG665" s="24">
        <f t="shared" si="150"/>
        <v>0.90562500000000001</v>
      </c>
      <c r="AH665" s="24">
        <f t="shared" si="151"/>
        <v>0.92390624999999993</v>
      </c>
      <c r="AI665" s="24">
        <f t="shared" si="152"/>
        <v>0.84781249999999997</v>
      </c>
    </row>
    <row r="666" spans="1:35" hidden="1" x14ac:dyDescent="0.3">
      <c r="A666" s="2" t="str">
        <f t="shared" si="149"/>
        <v>NÃO</v>
      </c>
      <c r="B666" s="2">
        <v>1000184670</v>
      </c>
      <c r="C666" s="2" t="s">
        <v>147</v>
      </c>
      <c r="D666" s="4">
        <v>1000186197</v>
      </c>
      <c r="E666" s="4" t="s">
        <v>166</v>
      </c>
      <c r="F666" s="2">
        <v>1000184760</v>
      </c>
      <c r="G666" s="2" t="s">
        <v>60</v>
      </c>
      <c r="H666" s="4">
        <v>1000189779</v>
      </c>
      <c r="I666" s="4" t="s">
        <v>106</v>
      </c>
      <c r="J666" s="2">
        <v>1000189270</v>
      </c>
      <c r="K666" s="2" t="s">
        <v>34</v>
      </c>
      <c r="L666" s="4" t="s">
        <v>26</v>
      </c>
      <c r="M666" s="4" t="str">
        <f t="shared" si="156"/>
        <v>1000184670100018619710001897791000189270SOULPRO</v>
      </c>
      <c r="N666" s="28">
        <f>N650*_xlfn.XLOOKUP($L666,'Balizador da Meta'!$B$4:$B$21,'Balizador da Meta'!$C$4:$C$21)</f>
        <v>144</v>
      </c>
      <c r="O666" s="28">
        <f>O650*_xlfn.XLOOKUP($L666,'Balizador da Meta'!$B$4:$B$21,'Balizador da Meta'!$C$4:$C$21)</f>
        <v>144</v>
      </c>
      <c r="P666" s="28">
        <f>P650*_xlfn.XLOOKUP($L666,'Balizador da Meta'!$B$4:$B$21,'Balizador da Meta'!$C$4:$C$21)</f>
        <v>144</v>
      </c>
      <c r="Q666" s="28">
        <f>Q650*_xlfn.XLOOKUP($L666,'Balizador da Meta'!$B$4:$B$21,'Balizador da Meta'!$C$4:$C$21)</f>
        <v>144</v>
      </c>
      <c r="R666" s="28">
        <f>R650*_xlfn.XLOOKUP($L666,'Balizador da Meta'!$B$4:$B$21,'Balizador da Meta'!$C$4:$C$21)</f>
        <v>144</v>
      </c>
      <c r="S666" s="28">
        <f>S650*_xlfn.XLOOKUP($L666,'Balizador da Meta'!$B$4:$B$21,'Balizador da Meta'!$C$4:$C$21)</f>
        <v>144</v>
      </c>
      <c r="T666" s="28">
        <f>T650*_xlfn.XLOOKUP($L666,'Balizador da Meta'!$B$4:$B$21,'Balizador da Meta'!$C$4:$C$21)</f>
        <v>144</v>
      </c>
      <c r="U666" s="28">
        <f>U650*_xlfn.XLOOKUP($L666,'Balizador da Meta'!$B$4:$B$21,'Balizador da Meta'!$C$4:$C$21)</f>
        <v>144</v>
      </c>
      <c r="V666" s="28">
        <f>V650*_xlfn.XLOOKUP($L666,'Balizador da Meta'!$B$4:$B$21,'Balizador da Meta'!$C$4:$C$21)</f>
        <v>144</v>
      </c>
      <c r="W666" s="28">
        <f>W650*_xlfn.XLOOKUP($L666,'Balizador da Meta'!$B$4:$B$21,'Balizador da Meta'!$C$4:$C$21)</f>
        <v>144</v>
      </c>
      <c r="X666" s="28">
        <f>X650*_xlfn.XLOOKUP($L666,'Balizador da Meta'!$B$4:$B$21,'Balizador da Meta'!$C$4:$C$21)</f>
        <v>144</v>
      </c>
      <c r="Y666" s="28">
        <f>Y650*_xlfn.XLOOKUP($L666,'Balizador da Meta'!$B$4:$B$21,'Balizador da Meta'!$C$4:$C$21)</f>
        <v>144</v>
      </c>
      <c r="Z666" s="30">
        <f t="shared" si="159"/>
        <v>1728</v>
      </c>
      <c r="AA666" s="29"/>
      <c r="AB666" s="31">
        <f>SUMIFS('Historico - FAT'!AK:AK,'Historico - FAT'!$K:$K,Faturamento!$L666,'Historico - FAT'!$I:$I,Faturamento!$J666,'Historico - FAT'!$G:$G,Faturamento!$H666)</f>
        <v>100</v>
      </c>
      <c r="AC666" s="31">
        <f>SUMIFS('Historico - FAT'!AL:AL,'Historico - FAT'!$K:$K,Faturamento!$L666,'Historico - FAT'!$I:$I,Faturamento!$J666,'Historico - FAT'!$G:$G,Faturamento!$H666)</f>
        <v>33</v>
      </c>
      <c r="AD666" s="31">
        <f>SUMIFS('Historico - FAT'!AM:AM,'Historico - FAT'!$K:$K,Faturamento!$L666,'Historico - FAT'!$I:$I,Faturamento!$J666,'Historico - FAT'!$G:$G,Faturamento!$H666)</f>
        <v>66</v>
      </c>
      <c r="AE666" s="27">
        <f>SUMIFS('Historico - FAT'!AN:AN,'Historico - FAT'!$K:$K,Faturamento!$L666,'Historico - FAT'!$I:$I,Faturamento!$J666,'Historico - FAT'!$G:$G,Faturamento!$H666)</f>
        <v>39.6</v>
      </c>
      <c r="AG666" s="24">
        <f t="shared" si="150"/>
        <v>0.30555555555555558</v>
      </c>
      <c r="AH666" s="24">
        <f t="shared" si="151"/>
        <v>0.77083333333333337</v>
      </c>
      <c r="AI666" s="24">
        <f t="shared" si="152"/>
        <v>0.54166666666666663</v>
      </c>
    </row>
    <row r="667" spans="1:35" hidden="1" x14ac:dyDescent="0.3">
      <c r="A667" s="2" t="str">
        <f t="shared" si="149"/>
        <v>NÃO</v>
      </c>
      <c r="B667" s="2">
        <v>1000184670</v>
      </c>
      <c r="C667" s="2" t="s">
        <v>147</v>
      </c>
      <c r="D667" s="4">
        <v>1000186197</v>
      </c>
      <c r="E667" s="4" t="s">
        <v>166</v>
      </c>
      <c r="F667" s="2">
        <v>1000184760</v>
      </c>
      <c r="G667" s="2" t="s">
        <v>60</v>
      </c>
      <c r="H667" s="4">
        <v>1000189779</v>
      </c>
      <c r="I667" s="4" t="s">
        <v>106</v>
      </c>
      <c r="J667" s="2">
        <v>1000189270</v>
      </c>
      <c r="K667" s="2" t="s">
        <v>34</v>
      </c>
      <c r="L667" s="4" t="s">
        <v>27</v>
      </c>
      <c r="M667" s="4" t="str">
        <f t="shared" si="156"/>
        <v>1000184670100018619710001897791000189270TAMARA</v>
      </c>
      <c r="N667" s="28">
        <f>N650*_xlfn.XLOOKUP($L667,'Balizador da Meta'!$B$4:$B$21,'Balizador da Meta'!$C$4:$C$21)</f>
        <v>192</v>
      </c>
      <c r="O667" s="28">
        <f>O650*_xlfn.XLOOKUP($L667,'Balizador da Meta'!$B$4:$B$21,'Balizador da Meta'!$C$4:$C$21)</f>
        <v>192</v>
      </c>
      <c r="P667" s="28">
        <f>P650*_xlfn.XLOOKUP($L667,'Balizador da Meta'!$B$4:$B$21,'Balizador da Meta'!$C$4:$C$21)</f>
        <v>192</v>
      </c>
      <c r="Q667" s="28">
        <f>Q650*_xlfn.XLOOKUP($L667,'Balizador da Meta'!$B$4:$B$21,'Balizador da Meta'!$C$4:$C$21)</f>
        <v>192</v>
      </c>
      <c r="R667" s="28">
        <f>R650*_xlfn.XLOOKUP($L667,'Balizador da Meta'!$B$4:$B$21,'Balizador da Meta'!$C$4:$C$21)</f>
        <v>192</v>
      </c>
      <c r="S667" s="28">
        <f>S650*_xlfn.XLOOKUP($L667,'Balizador da Meta'!$B$4:$B$21,'Balizador da Meta'!$C$4:$C$21)</f>
        <v>192</v>
      </c>
      <c r="T667" s="28">
        <f>T650*_xlfn.XLOOKUP($L667,'Balizador da Meta'!$B$4:$B$21,'Balizador da Meta'!$C$4:$C$21)</f>
        <v>192</v>
      </c>
      <c r="U667" s="28">
        <f>U650*_xlfn.XLOOKUP($L667,'Balizador da Meta'!$B$4:$B$21,'Balizador da Meta'!$C$4:$C$21)</f>
        <v>192</v>
      </c>
      <c r="V667" s="28">
        <f>V650*_xlfn.XLOOKUP($L667,'Balizador da Meta'!$B$4:$B$21,'Balizador da Meta'!$C$4:$C$21)</f>
        <v>192</v>
      </c>
      <c r="W667" s="28">
        <f>W650*_xlfn.XLOOKUP($L667,'Balizador da Meta'!$B$4:$B$21,'Balizador da Meta'!$C$4:$C$21)</f>
        <v>192</v>
      </c>
      <c r="X667" s="28">
        <f>X650*_xlfn.XLOOKUP($L667,'Balizador da Meta'!$B$4:$B$21,'Balizador da Meta'!$C$4:$C$21)</f>
        <v>192</v>
      </c>
      <c r="Y667" s="28">
        <f>Y650*_xlfn.XLOOKUP($L667,'Balizador da Meta'!$B$4:$B$21,'Balizador da Meta'!$C$4:$C$21)</f>
        <v>192</v>
      </c>
      <c r="Z667" s="30">
        <f t="shared" si="159"/>
        <v>2304</v>
      </c>
      <c r="AA667" s="29"/>
      <c r="AB667" s="31">
        <f>SUMIFS('Historico - FAT'!AK:AK,'Historico - FAT'!$K:$K,Faturamento!$L667,'Historico - FAT'!$I:$I,Faturamento!$J667,'Historico - FAT'!$G:$G,Faturamento!$H667)</f>
        <v>0</v>
      </c>
      <c r="AC667" s="31">
        <f>SUMIFS('Historico - FAT'!AL:AL,'Historico - FAT'!$K:$K,Faturamento!$L667,'Historico - FAT'!$I:$I,Faturamento!$J667,'Historico - FAT'!$G:$G,Faturamento!$H667)</f>
        <v>21.525000000000002</v>
      </c>
      <c r="AD667" s="31">
        <f>SUMIFS('Historico - FAT'!AM:AM,'Historico - FAT'!$K:$K,Faturamento!$L667,'Historico - FAT'!$I:$I,Faturamento!$J667,'Historico - FAT'!$G:$G,Faturamento!$H667)</f>
        <v>43.050000000000004</v>
      </c>
      <c r="AE667" s="27">
        <f>SUMIFS('Historico - FAT'!AN:AN,'Historico - FAT'!$K:$K,Faturamento!$L667,'Historico - FAT'!$I:$I,Faturamento!$J667,'Historico - FAT'!$G:$G,Faturamento!$H667)</f>
        <v>25.830000000000002</v>
      </c>
      <c r="AG667" s="24">
        <f t="shared" si="150"/>
        <v>1</v>
      </c>
      <c r="AH667" s="24">
        <f t="shared" si="151"/>
        <v>0.88789062499999993</v>
      </c>
      <c r="AI667" s="24">
        <f t="shared" si="152"/>
        <v>0.77578124999999998</v>
      </c>
    </row>
    <row r="668" spans="1:35" hidden="1" x14ac:dyDescent="0.3">
      <c r="A668" s="2" t="str">
        <f t="shared" si="149"/>
        <v>NÃO</v>
      </c>
      <c r="B668" s="2">
        <v>1000184670</v>
      </c>
      <c r="C668" s="2" t="s">
        <v>147</v>
      </c>
      <c r="D668" s="4">
        <v>1000186197</v>
      </c>
      <c r="E668" s="4" t="s">
        <v>166</v>
      </c>
      <c r="F668" s="2">
        <v>1000184760</v>
      </c>
      <c r="G668" s="2" t="s">
        <v>60</v>
      </c>
      <c r="H668" s="4">
        <v>1000189779</v>
      </c>
      <c r="I668" s="4" t="s">
        <v>106</v>
      </c>
      <c r="J668" s="2">
        <v>1000189270</v>
      </c>
      <c r="K668" s="2" t="s">
        <v>34</v>
      </c>
      <c r="L668" s="4" t="s">
        <v>25</v>
      </c>
      <c r="M668" s="4" t="str">
        <f t="shared" si="156"/>
        <v>1000184670100018619710001897791000189270VICCIO</v>
      </c>
      <c r="N668" s="28">
        <f>N650*_xlfn.XLOOKUP($L668,'Balizador da Meta'!$B$4:$B$21,'Balizador da Meta'!$C$4:$C$21)</f>
        <v>72</v>
      </c>
      <c r="O668" s="28">
        <f>O650*_xlfn.XLOOKUP($L668,'Balizador da Meta'!$B$4:$B$21,'Balizador da Meta'!$C$4:$C$21)</f>
        <v>72</v>
      </c>
      <c r="P668" s="28">
        <f>P650*_xlfn.XLOOKUP($L668,'Balizador da Meta'!$B$4:$B$21,'Balizador da Meta'!$C$4:$C$21)</f>
        <v>72</v>
      </c>
      <c r="Q668" s="28">
        <f>Q650*_xlfn.XLOOKUP($L668,'Balizador da Meta'!$B$4:$B$21,'Balizador da Meta'!$C$4:$C$21)</f>
        <v>72</v>
      </c>
      <c r="R668" s="28">
        <f>R650*_xlfn.XLOOKUP($L668,'Balizador da Meta'!$B$4:$B$21,'Balizador da Meta'!$C$4:$C$21)</f>
        <v>72</v>
      </c>
      <c r="S668" s="28">
        <f>S650*_xlfn.XLOOKUP($L668,'Balizador da Meta'!$B$4:$B$21,'Balizador da Meta'!$C$4:$C$21)</f>
        <v>72</v>
      </c>
      <c r="T668" s="28">
        <f>T650*_xlfn.XLOOKUP($L668,'Balizador da Meta'!$B$4:$B$21,'Balizador da Meta'!$C$4:$C$21)</f>
        <v>72</v>
      </c>
      <c r="U668" s="28">
        <f>U650*_xlfn.XLOOKUP($L668,'Balizador da Meta'!$B$4:$B$21,'Balizador da Meta'!$C$4:$C$21)</f>
        <v>72</v>
      </c>
      <c r="V668" s="28">
        <f>V650*_xlfn.XLOOKUP($L668,'Balizador da Meta'!$B$4:$B$21,'Balizador da Meta'!$C$4:$C$21)</f>
        <v>72</v>
      </c>
      <c r="W668" s="28">
        <f>W650*_xlfn.XLOOKUP($L668,'Balizador da Meta'!$B$4:$B$21,'Balizador da Meta'!$C$4:$C$21)</f>
        <v>72</v>
      </c>
      <c r="X668" s="28">
        <f>X650*_xlfn.XLOOKUP($L668,'Balizador da Meta'!$B$4:$B$21,'Balizador da Meta'!$C$4:$C$21)</f>
        <v>72</v>
      </c>
      <c r="Y668" s="28">
        <f>Y650*_xlfn.XLOOKUP($L668,'Balizador da Meta'!$B$4:$B$21,'Balizador da Meta'!$C$4:$C$21)</f>
        <v>72</v>
      </c>
      <c r="Z668" s="30">
        <f t="shared" si="159"/>
        <v>864</v>
      </c>
      <c r="AA668" s="29"/>
      <c r="AB668" s="31">
        <f>SUMIFS('Historico - FAT'!AK:AK,'Historico - FAT'!$K:$K,Faturamento!$L668,'Historico - FAT'!$I:$I,Faturamento!$J668,'Historico - FAT'!$G:$G,Faturamento!$H668)</f>
        <v>0</v>
      </c>
      <c r="AC668" s="31">
        <f>SUMIFS('Historico - FAT'!AL:AL,'Historico - FAT'!$K:$K,Faturamento!$L668,'Historico - FAT'!$I:$I,Faturamento!$J668,'Historico - FAT'!$G:$G,Faturamento!$H668)</f>
        <v>27.75</v>
      </c>
      <c r="AD668" s="31">
        <f>SUMIFS('Historico - FAT'!AM:AM,'Historico - FAT'!$K:$K,Faturamento!$L668,'Historico - FAT'!$I:$I,Faturamento!$J668,'Historico - FAT'!$G:$G,Faturamento!$H668)</f>
        <v>55.5</v>
      </c>
      <c r="AE668" s="27">
        <f>SUMIFS('Historico - FAT'!AN:AN,'Historico - FAT'!$K:$K,Faturamento!$L668,'Historico - FAT'!$I:$I,Faturamento!$J668,'Historico - FAT'!$G:$G,Faturamento!$H668)</f>
        <v>33.299999999999997</v>
      </c>
      <c r="AG668" s="24">
        <f t="shared" si="150"/>
        <v>1</v>
      </c>
      <c r="AH668" s="24">
        <f t="shared" si="151"/>
        <v>0.61458333333333337</v>
      </c>
      <c r="AI668" s="24">
        <f t="shared" si="152"/>
        <v>0.22916666666666666</v>
      </c>
    </row>
    <row r="669" spans="1:35" x14ac:dyDescent="0.3">
      <c r="A669" s="2" t="str">
        <f t="shared" si="149"/>
        <v>SIM</v>
      </c>
      <c r="B669" s="2">
        <v>1000184670</v>
      </c>
      <c r="C669" s="2" t="s">
        <v>147</v>
      </c>
      <c r="D669" s="4">
        <v>1000186197</v>
      </c>
      <c r="E669" s="4" t="s">
        <v>166</v>
      </c>
      <c r="F669" s="2">
        <v>1000184760</v>
      </c>
      <c r="G669" s="2" t="s">
        <v>60</v>
      </c>
      <c r="H669" s="4">
        <v>1000189780</v>
      </c>
      <c r="I669" s="4" t="s">
        <v>107</v>
      </c>
      <c r="J669" s="2">
        <v>1000189270</v>
      </c>
      <c r="K669" s="2" t="s">
        <v>34</v>
      </c>
      <c r="L669" s="4" t="s">
        <v>124</v>
      </c>
      <c r="M669" s="4" t="str">
        <f t="shared" si="156"/>
        <v>100018467010001861971000189780100018927001. TOTAL</v>
      </c>
      <c r="N669" s="28">
        <f>SUMIFS(Positivação!L:L,Positivação!$I:$I,Faturamento!$J669,Positivação!$G:$G,Faturamento!$H669)*SUMIFS(Positivação!$Z:$Z,Positivação!$I:$I,Faturamento!$J669,Positivação!$G:$G,Faturamento!$H669)</f>
        <v>600</v>
      </c>
      <c r="O669" s="28">
        <f>SUMIFS(Positivação!M:M,Positivação!$I:$I,Faturamento!$J669,Positivação!$G:$G,Faturamento!$H669)*SUMIFS(Positivação!$Z:$Z,Positivação!$I:$I,Faturamento!$J669,Positivação!$G:$G,Faturamento!$H669)</f>
        <v>600</v>
      </c>
      <c r="P669" s="28">
        <f>SUMIFS(Positivação!N:N,Positivação!$I:$I,Faturamento!$J669,Positivação!$G:$G,Faturamento!$H669)*SUMIFS(Positivação!$Z:$Z,Positivação!$I:$I,Faturamento!$J669,Positivação!$G:$G,Faturamento!$H669)</f>
        <v>600</v>
      </c>
      <c r="Q669" s="28">
        <f>SUMIFS(Positivação!O:O,Positivação!$I:$I,Faturamento!$J669,Positivação!$G:$G,Faturamento!$H669)*SUMIFS(Positivação!$Z:$Z,Positivação!$I:$I,Faturamento!$J669,Positivação!$G:$G,Faturamento!$H669)</f>
        <v>600</v>
      </c>
      <c r="R669" s="28">
        <f>SUMIFS(Positivação!P:P,Positivação!$I:$I,Faturamento!$J669,Positivação!$G:$G,Faturamento!$H669)*SUMIFS(Positivação!$Z:$Z,Positivação!$I:$I,Faturamento!$J669,Positivação!$G:$G,Faturamento!$H669)</f>
        <v>600</v>
      </c>
      <c r="S669" s="28">
        <f>SUMIFS(Positivação!Q:Q,Positivação!$I:$I,Faturamento!$J669,Positivação!$G:$G,Faturamento!$H669)*SUMIFS(Positivação!$Z:$Z,Positivação!$I:$I,Faturamento!$J669,Positivação!$G:$G,Faturamento!$H669)</f>
        <v>600</v>
      </c>
      <c r="T669" s="28">
        <f>SUMIFS(Positivação!R:R,Positivação!$I:$I,Faturamento!$J669,Positivação!$G:$G,Faturamento!$H669)*SUMIFS(Positivação!$Z:$Z,Positivação!$I:$I,Faturamento!$J669,Positivação!$G:$G,Faturamento!$H669)</f>
        <v>600</v>
      </c>
      <c r="U669" s="28">
        <f>SUMIFS(Positivação!S:S,Positivação!$I:$I,Faturamento!$J669,Positivação!$G:$G,Faturamento!$H669)*SUMIFS(Positivação!$Z:$Z,Positivação!$I:$I,Faturamento!$J669,Positivação!$G:$G,Faturamento!$H669)</f>
        <v>600</v>
      </c>
      <c r="V669" s="28">
        <f>SUMIFS(Positivação!T:T,Positivação!$I:$I,Faturamento!$J669,Positivação!$G:$G,Faturamento!$H669)*SUMIFS(Positivação!$Z:$Z,Positivação!$I:$I,Faturamento!$J669,Positivação!$G:$G,Faturamento!$H669)</f>
        <v>600</v>
      </c>
      <c r="W669" s="28">
        <f>SUMIFS(Positivação!U:U,Positivação!$I:$I,Faturamento!$J669,Positivação!$G:$G,Faturamento!$H669)*SUMIFS(Positivação!$Z:$Z,Positivação!$I:$I,Faturamento!$J669,Positivação!$G:$G,Faturamento!$H669)</f>
        <v>600</v>
      </c>
      <c r="X669" s="28">
        <f>SUMIFS(Positivação!V:V,Positivação!$I:$I,Faturamento!$J669,Positivação!$G:$G,Faturamento!$H669)*SUMIFS(Positivação!$Z:$Z,Positivação!$I:$I,Faturamento!$J669,Positivação!$G:$G,Faturamento!$H669)</f>
        <v>600</v>
      </c>
      <c r="Y669" s="28">
        <f>SUMIFS(Positivação!W:W,Positivação!$I:$I,Faturamento!$J669,Positivação!$G:$G,Faturamento!$H669)*SUMIFS(Positivação!$Z:$Z,Positivação!$I:$I,Faturamento!$J669,Positivação!$G:$G,Faturamento!$H669)</f>
        <v>600</v>
      </c>
      <c r="Z669" s="28">
        <f t="shared" ref="Z669" si="160">SUM(Z670:Z687)</f>
        <v>7200</v>
      </c>
      <c r="AA669" s="29"/>
      <c r="AB669" s="28">
        <f t="shared" ref="AB669:AE669" si="161">SUM(AB670:AB687)</f>
        <v>686.14666666666676</v>
      </c>
      <c r="AC669" s="28">
        <f t="shared" si="161"/>
        <v>882.48833333333334</v>
      </c>
      <c r="AD669" s="28">
        <f t="shared" si="161"/>
        <v>1195.1366666666668</v>
      </c>
      <c r="AE669" s="28">
        <f t="shared" si="161"/>
        <v>1058.9860000000001</v>
      </c>
      <c r="AG669" s="24">
        <f t="shared" si="150"/>
        <v>-0.14357777777777794</v>
      </c>
      <c r="AH669" s="24">
        <f t="shared" si="151"/>
        <v>-0.47081388888888892</v>
      </c>
      <c r="AI669" s="24">
        <f t="shared" si="152"/>
        <v>-0.99189444444444463</v>
      </c>
    </row>
    <row r="670" spans="1:35" hidden="1" x14ac:dyDescent="0.3">
      <c r="A670" s="2" t="str">
        <f t="shared" si="149"/>
        <v>NÃO</v>
      </c>
      <c r="B670" s="2">
        <v>1000184670</v>
      </c>
      <c r="C670" s="2" t="s">
        <v>147</v>
      </c>
      <c r="D670" s="4">
        <v>1000186197</v>
      </c>
      <c r="E670" s="4" t="s">
        <v>166</v>
      </c>
      <c r="F670" s="2">
        <v>1000184760</v>
      </c>
      <c r="G670" s="2" t="s">
        <v>60</v>
      </c>
      <c r="H670" s="4">
        <v>1000189780</v>
      </c>
      <c r="I670" s="4" t="s">
        <v>107</v>
      </c>
      <c r="J670" s="2">
        <v>1000189270</v>
      </c>
      <c r="K670" s="2" t="s">
        <v>34</v>
      </c>
      <c r="L670" s="4" t="s">
        <v>13</v>
      </c>
      <c r="M670" s="4" t="str">
        <f t="shared" si="156"/>
        <v>1000184670100018619710001897801000189270BISCOITO</v>
      </c>
      <c r="N670" s="28">
        <f>N669*_xlfn.XLOOKUP($L670,'Balizador da Meta'!$B$4:$B$21,'Balizador da Meta'!$C$4:$C$21)</f>
        <v>42.000000000000007</v>
      </c>
      <c r="O670" s="28">
        <f>O669*_xlfn.XLOOKUP($L670,'Balizador da Meta'!$B$4:$B$21,'Balizador da Meta'!$C$4:$C$21)</f>
        <v>42.000000000000007</v>
      </c>
      <c r="P670" s="28">
        <f>P669*_xlfn.XLOOKUP($L670,'Balizador da Meta'!$B$4:$B$21,'Balizador da Meta'!$C$4:$C$21)</f>
        <v>42.000000000000007</v>
      </c>
      <c r="Q670" s="28">
        <f>Q669*_xlfn.XLOOKUP($L670,'Balizador da Meta'!$B$4:$B$21,'Balizador da Meta'!$C$4:$C$21)</f>
        <v>42.000000000000007</v>
      </c>
      <c r="R670" s="28">
        <f>R669*_xlfn.XLOOKUP($L670,'Balizador da Meta'!$B$4:$B$21,'Balizador da Meta'!$C$4:$C$21)</f>
        <v>42.000000000000007</v>
      </c>
      <c r="S670" s="28">
        <f>S669*_xlfn.XLOOKUP($L670,'Balizador da Meta'!$B$4:$B$21,'Balizador da Meta'!$C$4:$C$21)</f>
        <v>42.000000000000007</v>
      </c>
      <c r="T670" s="28">
        <f>T669*_xlfn.XLOOKUP($L670,'Balizador da Meta'!$B$4:$B$21,'Balizador da Meta'!$C$4:$C$21)</f>
        <v>42.000000000000007</v>
      </c>
      <c r="U670" s="28">
        <f>U669*_xlfn.XLOOKUP($L670,'Balizador da Meta'!$B$4:$B$21,'Balizador da Meta'!$C$4:$C$21)</f>
        <v>42.000000000000007</v>
      </c>
      <c r="V670" s="28">
        <f>V669*_xlfn.XLOOKUP($L670,'Balizador da Meta'!$B$4:$B$21,'Balizador da Meta'!$C$4:$C$21)</f>
        <v>42.000000000000007</v>
      </c>
      <c r="W670" s="28">
        <f>W669*_xlfn.XLOOKUP($L670,'Balizador da Meta'!$B$4:$B$21,'Balizador da Meta'!$C$4:$C$21)</f>
        <v>42.000000000000007</v>
      </c>
      <c r="X670" s="28">
        <f>X669*_xlfn.XLOOKUP($L670,'Balizador da Meta'!$B$4:$B$21,'Balizador da Meta'!$C$4:$C$21)</f>
        <v>42.000000000000007</v>
      </c>
      <c r="Y670" s="28">
        <f>Y669*_xlfn.XLOOKUP($L670,'Balizador da Meta'!$B$4:$B$21,'Balizador da Meta'!$C$4:$C$21)</f>
        <v>42.000000000000007</v>
      </c>
      <c r="Z670" s="30">
        <f t="shared" ref="Z670:Z687" si="162">SUM(N670:Y670)</f>
        <v>504.00000000000006</v>
      </c>
      <c r="AA670" s="29"/>
      <c r="AB670" s="31">
        <f>SUMIFS('Historico - FAT'!AK:AK,'Historico - FAT'!$K:$K,Faturamento!$L670,'Historico - FAT'!$I:$I,Faturamento!$J670,'Historico - FAT'!$G:$G,Faturamento!$H670)</f>
        <v>115.36499999999999</v>
      </c>
      <c r="AC670" s="31">
        <f>SUMIFS('Historico - FAT'!AL:AL,'Historico - FAT'!$K:$K,Faturamento!$L670,'Historico - FAT'!$I:$I,Faturamento!$J670,'Historico - FAT'!$G:$G,Faturamento!$H670)</f>
        <v>94.423333333333332</v>
      </c>
      <c r="AD670" s="31">
        <f>SUMIFS('Historico - FAT'!AM:AM,'Historico - FAT'!$K:$K,Faturamento!$L670,'Historico - FAT'!$I:$I,Faturamento!$J670,'Historico - FAT'!$G:$G,Faturamento!$H670)</f>
        <v>122.84666666666665</v>
      </c>
      <c r="AE670" s="27">
        <f>SUMIFS('Historico - FAT'!AN:AN,'Historico - FAT'!$K:$K,Faturamento!$L670,'Historico - FAT'!$I:$I,Faturamento!$J670,'Historico - FAT'!$G:$G,Faturamento!$H670)</f>
        <v>113.30799999999999</v>
      </c>
      <c r="AG670" s="24">
        <f t="shared" si="150"/>
        <v>-1.7467857142857135</v>
      </c>
      <c r="AH670" s="24">
        <f t="shared" si="151"/>
        <v>-1.2481746031746028</v>
      </c>
      <c r="AI670" s="24">
        <f t="shared" si="152"/>
        <v>-1.9249206349206338</v>
      </c>
    </row>
    <row r="671" spans="1:35" hidden="1" x14ac:dyDescent="0.3">
      <c r="A671" s="2" t="str">
        <f t="shared" si="149"/>
        <v>NÃO</v>
      </c>
      <c r="B671" s="2">
        <v>1000184670</v>
      </c>
      <c r="C671" s="2" t="s">
        <v>147</v>
      </c>
      <c r="D671" s="4">
        <v>1000186197</v>
      </c>
      <c r="E671" s="4" t="s">
        <v>166</v>
      </c>
      <c r="F671" s="2">
        <v>1000184760</v>
      </c>
      <c r="G671" s="2" t="s">
        <v>60</v>
      </c>
      <c r="H671" s="4">
        <v>1000189780</v>
      </c>
      <c r="I671" s="4" t="s">
        <v>107</v>
      </c>
      <c r="J671" s="2">
        <v>1000189270</v>
      </c>
      <c r="K671" s="2" t="s">
        <v>34</v>
      </c>
      <c r="L671" s="4" t="s">
        <v>14</v>
      </c>
      <c r="M671" s="4" t="str">
        <f t="shared" si="156"/>
        <v>1000184670100018619710001897801000189270CHOCOLATES</v>
      </c>
      <c r="N671" s="28">
        <f>N669*_xlfn.XLOOKUP($L671,'Balizador da Meta'!$B$4:$B$21,'Balizador da Meta'!$C$4:$C$21)</f>
        <v>42.000000000000007</v>
      </c>
      <c r="O671" s="28">
        <f>O669*_xlfn.XLOOKUP($L671,'Balizador da Meta'!$B$4:$B$21,'Balizador da Meta'!$C$4:$C$21)</f>
        <v>42.000000000000007</v>
      </c>
      <c r="P671" s="28">
        <f>P669*_xlfn.XLOOKUP($L671,'Balizador da Meta'!$B$4:$B$21,'Balizador da Meta'!$C$4:$C$21)</f>
        <v>42.000000000000007</v>
      </c>
      <c r="Q671" s="28">
        <f>Q669*_xlfn.XLOOKUP($L671,'Balizador da Meta'!$B$4:$B$21,'Balizador da Meta'!$C$4:$C$21)</f>
        <v>42.000000000000007</v>
      </c>
      <c r="R671" s="28">
        <f>R669*_xlfn.XLOOKUP($L671,'Balizador da Meta'!$B$4:$B$21,'Balizador da Meta'!$C$4:$C$21)</f>
        <v>42.000000000000007</v>
      </c>
      <c r="S671" s="28">
        <f>S669*_xlfn.XLOOKUP($L671,'Balizador da Meta'!$B$4:$B$21,'Balizador da Meta'!$C$4:$C$21)</f>
        <v>42.000000000000007</v>
      </c>
      <c r="T671" s="28">
        <f>T669*_xlfn.XLOOKUP($L671,'Balizador da Meta'!$B$4:$B$21,'Balizador da Meta'!$C$4:$C$21)</f>
        <v>42.000000000000007</v>
      </c>
      <c r="U671" s="28">
        <f>U669*_xlfn.XLOOKUP($L671,'Balizador da Meta'!$B$4:$B$21,'Balizador da Meta'!$C$4:$C$21)</f>
        <v>42.000000000000007</v>
      </c>
      <c r="V671" s="28">
        <f>V669*_xlfn.XLOOKUP($L671,'Balizador da Meta'!$B$4:$B$21,'Balizador da Meta'!$C$4:$C$21)</f>
        <v>42.000000000000007</v>
      </c>
      <c r="W671" s="28">
        <f>W669*_xlfn.XLOOKUP($L671,'Balizador da Meta'!$B$4:$B$21,'Balizador da Meta'!$C$4:$C$21)</f>
        <v>42.000000000000007</v>
      </c>
      <c r="X671" s="28">
        <f>X669*_xlfn.XLOOKUP($L671,'Balizador da Meta'!$B$4:$B$21,'Balizador da Meta'!$C$4:$C$21)</f>
        <v>42.000000000000007</v>
      </c>
      <c r="Y671" s="28">
        <f>Y669*_xlfn.XLOOKUP($L671,'Balizador da Meta'!$B$4:$B$21,'Balizador da Meta'!$C$4:$C$21)</f>
        <v>42.000000000000007</v>
      </c>
      <c r="Z671" s="30">
        <f t="shared" si="162"/>
        <v>504.00000000000006</v>
      </c>
      <c r="AA671" s="29"/>
      <c r="AB671" s="31">
        <f>SUMIFS('Historico - FAT'!AK:AK,'Historico - FAT'!$K:$K,Faturamento!$L671,'Historico - FAT'!$I:$I,Faturamento!$J671,'Historico - FAT'!$G:$G,Faturamento!$H671)</f>
        <v>150.3075</v>
      </c>
      <c r="AC671" s="31">
        <f>SUMIFS('Historico - FAT'!AL:AL,'Historico - FAT'!$K:$K,Faturamento!$L671,'Historico - FAT'!$I:$I,Faturamento!$J671,'Historico - FAT'!$G:$G,Faturamento!$H671)</f>
        <v>19.95</v>
      </c>
      <c r="AD671" s="31">
        <f>SUMIFS('Historico - FAT'!AM:AM,'Historico - FAT'!$K:$K,Faturamento!$L671,'Historico - FAT'!$I:$I,Faturamento!$J671,'Historico - FAT'!$G:$G,Faturamento!$H671)</f>
        <v>39.9</v>
      </c>
      <c r="AE671" s="27">
        <f>SUMIFS('Historico - FAT'!AN:AN,'Historico - FAT'!$K:$K,Faturamento!$L671,'Historico - FAT'!$I:$I,Faturamento!$J671,'Historico - FAT'!$G:$G,Faturamento!$H671)</f>
        <v>23.94</v>
      </c>
      <c r="AG671" s="24">
        <f t="shared" si="150"/>
        <v>-2.5787499999999999</v>
      </c>
      <c r="AH671" s="24">
        <f t="shared" si="151"/>
        <v>0.52500000000000013</v>
      </c>
      <c r="AI671" s="24">
        <f t="shared" si="152"/>
        <v>5.0000000000000197E-2</v>
      </c>
    </row>
    <row r="672" spans="1:35" hidden="1" x14ac:dyDescent="0.3">
      <c r="A672" s="2" t="str">
        <f t="shared" si="149"/>
        <v>NÃO</v>
      </c>
      <c r="B672" s="2">
        <v>1000184670</v>
      </c>
      <c r="C672" s="2" t="s">
        <v>147</v>
      </c>
      <c r="D672" s="4">
        <v>1000186197</v>
      </c>
      <c r="E672" s="4" t="s">
        <v>166</v>
      </c>
      <c r="F672" s="2">
        <v>1000184760</v>
      </c>
      <c r="G672" s="2" t="s">
        <v>60</v>
      </c>
      <c r="H672" s="4">
        <v>1000189780</v>
      </c>
      <c r="I672" s="4" t="s">
        <v>107</v>
      </c>
      <c r="J672" s="2">
        <v>1000189270</v>
      </c>
      <c r="K672" s="2" t="s">
        <v>34</v>
      </c>
      <c r="L672" s="4" t="s">
        <v>16</v>
      </c>
      <c r="M672" s="4" t="str">
        <f t="shared" si="156"/>
        <v>1000184670100018619710001897801000189270DISNEY</v>
      </c>
      <c r="N672" s="28">
        <f>N669*_xlfn.XLOOKUP($L672,'Balizador da Meta'!$B$4:$B$21,'Balizador da Meta'!$C$4:$C$21)</f>
        <v>48</v>
      </c>
      <c r="O672" s="28">
        <f>O669*_xlfn.XLOOKUP($L672,'Balizador da Meta'!$B$4:$B$21,'Balizador da Meta'!$C$4:$C$21)</f>
        <v>48</v>
      </c>
      <c r="P672" s="28">
        <f>P669*_xlfn.XLOOKUP($L672,'Balizador da Meta'!$B$4:$B$21,'Balizador da Meta'!$C$4:$C$21)</f>
        <v>48</v>
      </c>
      <c r="Q672" s="28">
        <f>Q669*_xlfn.XLOOKUP($L672,'Balizador da Meta'!$B$4:$B$21,'Balizador da Meta'!$C$4:$C$21)</f>
        <v>48</v>
      </c>
      <c r="R672" s="28">
        <f>R669*_xlfn.XLOOKUP($L672,'Balizador da Meta'!$B$4:$B$21,'Balizador da Meta'!$C$4:$C$21)</f>
        <v>48</v>
      </c>
      <c r="S672" s="28">
        <f>S669*_xlfn.XLOOKUP($L672,'Balizador da Meta'!$B$4:$B$21,'Balizador da Meta'!$C$4:$C$21)</f>
        <v>48</v>
      </c>
      <c r="T672" s="28">
        <f>T669*_xlfn.XLOOKUP($L672,'Balizador da Meta'!$B$4:$B$21,'Balizador da Meta'!$C$4:$C$21)</f>
        <v>48</v>
      </c>
      <c r="U672" s="28">
        <f>U669*_xlfn.XLOOKUP($L672,'Balizador da Meta'!$B$4:$B$21,'Balizador da Meta'!$C$4:$C$21)</f>
        <v>48</v>
      </c>
      <c r="V672" s="28">
        <f>V669*_xlfn.XLOOKUP($L672,'Balizador da Meta'!$B$4:$B$21,'Balizador da Meta'!$C$4:$C$21)</f>
        <v>48</v>
      </c>
      <c r="W672" s="28">
        <f>W669*_xlfn.XLOOKUP($L672,'Balizador da Meta'!$B$4:$B$21,'Balizador da Meta'!$C$4:$C$21)</f>
        <v>48</v>
      </c>
      <c r="X672" s="28">
        <f>X669*_xlfn.XLOOKUP($L672,'Balizador da Meta'!$B$4:$B$21,'Balizador da Meta'!$C$4:$C$21)</f>
        <v>48</v>
      </c>
      <c r="Y672" s="28">
        <f>Y669*_xlfn.XLOOKUP($L672,'Balizador da Meta'!$B$4:$B$21,'Balizador da Meta'!$C$4:$C$21)</f>
        <v>48</v>
      </c>
      <c r="Z672" s="30">
        <f t="shared" si="162"/>
        <v>576</v>
      </c>
      <c r="AA672" s="29"/>
      <c r="AB672" s="31">
        <f>SUMIFS('Historico - FAT'!AK:AK,'Historico - FAT'!$K:$K,Faturamento!$L672,'Historico - FAT'!$I:$I,Faturamento!$J672,'Historico - FAT'!$G:$G,Faturamento!$H672)</f>
        <v>0</v>
      </c>
      <c r="AC672" s="31">
        <f>SUMIFS('Historico - FAT'!AL:AL,'Historico - FAT'!$K:$K,Faturamento!$L672,'Historico - FAT'!$I:$I,Faturamento!$J672,'Historico - FAT'!$G:$G,Faturamento!$H672)</f>
        <v>68.791666666666671</v>
      </c>
      <c r="AD672" s="31">
        <f>SUMIFS('Historico - FAT'!AM:AM,'Historico - FAT'!$K:$K,Faturamento!$L672,'Historico - FAT'!$I:$I,Faturamento!$J672,'Historico - FAT'!$G:$G,Faturamento!$H672)</f>
        <v>124.89333333333333</v>
      </c>
      <c r="AE672" s="27">
        <f>SUMIFS('Historico - FAT'!AN:AN,'Historico - FAT'!$K:$K,Faturamento!$L672,'Historico - FAT'!$I:$I,Faturamento!$J672,'Historico - FAT'!$G:$G,Faturamento!$H672)</f>
        <v>82.55</v>
      </c>
      <c r="AG672" s="24">
        <f t="shared" si="150"/>
        <v>1</v>
      </c>
      <c r="AH672" s="24">
        <f t="shared" si="151"/>
        <v>-0.43315972222222232</v>
      </c>
      <c r="AI672" s="24">
        <f t="shared" si="152"/>
        <v>-1.6019444444444444</v>
      </c>
    </row>
    <row r="673" spans="1:35" hidden="1" x14ac:dyDescent="0.3">
      <c r="A673" s="2" t="str">
        <f t="shared" si="149"/>
        <v>NÃO</v>
      </c>
      <c r="B673" s="2">
        <v>1000184670</v>
      </c>
      <c r="C673" s="2" t="s">
        <v>147</v>
      </c>
      <c r="D673" s="4">
        <v>1000186197</v>
      </c>
      <c r="E673" s="4" t="s">
        <v>166</v>
      </c>
      <c r="F673" s="2">
        <v>1000184760</v>
      </c>
      <c r="G673" s="2" t="s">
        <v>60</v>
      </c>
      <c r="H673" s="4">
        <v>1000189780</v>
      </c>
      <c r="I673" s="4" t="s">
        <v>107</v>
      </c>
      <c r="J673" s="2">
        <v>1000189270</v>
      </c>
      <c r="K673" s="2" t="s">
        <v>34</v>
      </c>
      <c r="L673" s="4" t="s">
        <v>15</v>
      </c>
      <c r="M673" s="4" t="str">
        <f t="shared" si="156"/>
        <v>1000184670100018619710001897801000189270DOCES</v>
      </c>
      <c r="N673" s="28">
        <f>N669*_xlfn.XLOOKUP($L673,'Balizador da Meta'!$B$4:$B$21,'Balizador da Meta'!$C$4:$C$21)</f>
        <v>54</v>
      </c>
      <c r="O673" s="28">
        <f>O669*_xlfn.XLOOKUP($L673,'Balizador da Meta'!$B$4:$B$21,'Balizador da Meta'!$C$4:$C$21)</f>
        <v>54</v>
      </c>
      <c r="P673" s="28">
        <f>P669*_xlfn.XLOOKUP($L673,'Balizador da Meta'!$B$4:$B$21,'Balizador da Meta'!$C$4:$C$21)</f>
        <v>54</v>
      </c>
      <c r="Q673" s="28">
        <f>Q669*_xlfn.XLOOKUP($L673,'Balizador da Meta'!$B$4:$B$21,'Balizador da Meta'!$C$4:$C$21)</f>
        <v>54</v>
      </c>
      <c r="R673" s="28">
        <f>R669*_xlfn.XLOOKUP($L673,'Balizador da Meta'!$B$4:$B$21,'Balizador da Meta'!$C$4:$C$21)</f>
        <v>54</v>
      </c>
      <c r="S673" s="28">
        <f>S669*_xlfn.XLOOKUP($L673,'Balizador da Meta'!$B$4:$B$21,'Balizador da Meta'!$C$4:$C$21)</f>
        <v>54</v>
      </c>
      <c r="T673" s="28">
        <f>T669*_xlfn.XLOOKUP($L673,'Balizador da Meta'!$B$4:$B$21,'Balizador da Meta'!$C$4:$C$21)</f>
        <v>54</v>
      </c>
      <c r="U673" s="28">
        <f>U669*_xlfn.XLOOKUP($L673,'Balizador da Meta'!$B$4:$B$21,'Balizador da Meta'!$C$4:$C$21)</f>
        <v>54</v>
      </c>
      <c r="V673" s="28">
        <f>V669*_xlfn.XLOOKUP($L673,'Balizador da Meta'!$B$4:$B$21,'Balizador da Meta'!$C$4:$C$21)</f>
        <v>54</v>
      </c>
      <c r="W673" s="28">
        <f>W669*_xlfn.XLOOKUP($L673,'Balizador da Meta'!$B$4:$B$21,'Balizador da Meta'!$C$4:$C$21)</f>
        <v>54</v>
      </c>
      <c r="X673" s="28">
        <f>X669*_xlfn.XLOOKUP($L673,'Balizador da Meta'!$B$4:$B$21,'Balizador da Meta'!$C$4:$C$21)</f>
        <v>54</v>
      </c>
      <c r="Y673" s="28">
        <f>Y669*_xlfn.XLOOKUP($L673,'Balizador da Meta'!$B$4:$B$21,'Balizador da Meta'!$C$4:$C$21)</f>
        <v>54</v>
      </c>
      <c r="Z673" s="30">
        <f t="shared" si="162"/>
        <v>648</v>
      </c>
      <c r="AA673" s="29"/>
      <c r="AB673" s="31">
        <f>SUMIFS('Historico - FAT'!AK:AK,'Historico - FAT'!$K:$K,Faturamento!$L673,'Historico - FAT'!$I:$I,Faturamento!$J673,'Historico - FAT'!$G:$G,Faturamento!$H673)</f>
        <v>55.127499999999998</v>
      </c>
      <c r="AC673" s="31">
        <f>SUMIFS('Historico - FAT'!AL:AL,'Historico - FAT'!$K:$K,Faturamento!$L673,'Historico - FAT'!$I:$I,Faturamento!$J673,'Historico - FAT'!$G:$G,Faturamento!$H673)</f>
        <v>130.71916666666667</v>
      </c>
      <c r="AD673" s="31">
        <f>SUMIFS('Historico - FAT'!AM:AM,'Historico - FAT'!$K:$K,Faturamento!$L673,'Historico - FAT'!$I:$I,Faturamento!$J673,'Historico - FAT'!$G:$G,Faturamento!$H673)</f>
        <v>170.53833333333333</v>
      </c>
      <c r="AE673" s="27">
        <f>SUMIFS('Historico - FAT'!AN:AN,'Historico - FAT'!$K:$K,Faturamento!$L673,'Historico - FAT'!$I:$I,Faturamento!$J673,'Historico - FAT'!$G:$G,Faturamento!$H673)</f>
        <v>156.863</v>
      </c>
      <c r="AG673" s="24">
        <f t="shared" si="150"/>
        <v>-2.0879629629629588E-2</v>
      </c>
      <c r="AH673" s="24">
        <f t="shared" si="151"/>
        <v>-1.4207253086419753</v>
      </c>
      <c r="AI673" s="24">
        <f t="shared" si="152"/>
        <v>-2.1581172839506171</v>
      </c>
    </row>
    <row r="674" spans="1:35" hidden="1" x14ac:dyDescent="0.3">
      <c r="A674" s="2" t="str">
        <f t="shared" si="149"/>
        <v>NÃO</v>
      </c>
      <c r="B674" s="2">
        <v>1000184670</v>
      </c>
      <c r="C674" s="2" t="s">
        <v>147</v>
      </c>
      <c r="D674" s="4">
        <v>1000186197</v>
      </c>
      <c r="E674" s="4" t="s">
        <v>166</v>
      </c>
      <c r="F674" s="2">
        <v>1000184760</v>
      </c>
      <c r="G674" s="2" t="s">
        <v>60</v>
      </c>
      <c r="H674" s="4">
        <v>1000189780</v>
      </c>
      <c r="I674" s="4" t="s">
        <v>107</v>
      </c>
      <c r="J674" s="2">
        <v>1000189270</v>
      </c>
      <c r="K674" s="2" t="s">
        <v>34</v>
      </c>
      <c r="L674" s="4" t="s">
        <v>33</v>
      </c>
      <c r="M674" s="4" t="str">
        <f t="shared" si="156"/>
        <v>1000184670100018619710001897801000189270FOOD SERVICE</v>
      </c>
      <c r="N674" s="28">
        <f>N669*_xlfn.XLOOKUP($L674,'Balizador da Meta'!$B$4:$B$21,'Balizador da Meta'!$C$4:$C$21)</f>
        <v>0</v>
      </c>
      <c r="O674" s="28">
        <f>O669*_xlfn.XLOOKUP($L674,'Balizador da Meta'!$B$4:$B$21,'Balizador da Meta'!$C$4:$C$21)</f>
        <v>0</v>
      </c>
      <c r="P674" s="28">
        <f>P669*_xlfn.XLOOKUP($L674,'Balizador da Meta'!$B$4:$B$21,'Balizador da Meta'!$C$4:$C$21)</f>
        <v>0</v>
      </c>
      <c r="Q674" s="28">
        <f>Q669*_xlfn.XLOOKUP($L674,'Balizador da Meta'!$B$4:$B$21,'Balizador da Meta'!$C$4:$C$21)</f>
        <v>0</v>
      </c>
      <c r="R674" s="28">
        <f>R669*_xlfn.XLOOKUP($L674,'Balizador da Meta'!$B$4:$B$21,'Balizador da Meta'!$C$4:$C$21)</f>
        <v>0</v>
      </c>
      <c r="S674" s="28">
        <f>S669*_xlfn.XLOOKUP($L674,'Balizador da Meta'!$B$4:$B$21,'Balizador da Meta'!$C$4:$C$21)</f>
        <v>0</v>
      </c>
      <c r="T674" s="28">
        <f>T669*_xlfn.XLOOKUP($L674,'Balizador da Meta'!$B$4:$B$21,'Balizador da Meta'!$C$4:$C$21)</f>
        <v>0</v>
      </c>
      <c r="U674" s="28">
        <f>U669*_xlfn.XLOOKUP($L674,'Balizador da Meta'!$B$4:$B$21,'Balizador da Meta'!$C$4:$C$21)</f>
        <v>0</v>
      </c>
      <c r="V674" s="28">
        <f>V669*_xlfn.XLOOKUP($L674,'Balizador da Meta'!$B$4:$B$21,'Balizador da Meta'!$C$4:$C$21)</f>
        <v>0</v>
      </c>
      <c r="W674" s="28">
        <f>W669*_xlfn.XLOOKUP($L674,'Balizador da Meta'!$B$4:$B$21,'Balizador da Meta'!$C$4:$C$21)</f>
        <v>0</v>
      </c>
      <c r="X674" s="28">
        <f>X669*_xlfn.XLOOKUP($L674,'Balizador da Meta'!$B$4:$B$21,'Balizador da Meta'!$C$4:$C$21)</f>
        <v>0</v>
      </c>
      <c r="Y674" s="28">
        <f>Y669*_xlfn.XLOOKUP($L674,'Balizador da Meta'!$B$4:$B$21,'Balizador da Meta'!$C$4:$C$21)</f>
        <v>0</v>
      </c>
      <c r="Z674" s="30">
        <f t="shared" si="162"/>
        <v>0</v>
      </c>
      <c r="AA674" s="29"/>
      <c r="AB674" s="31">
        <f>SUMIFS('Historico - FAT'!AK:AK,'Historico - FAT'!$K:$K,Faturamento!$L674,'Historico - FAT'!$I:$I,Faturamento!$J674,'Historico - FAT'!$G:$G,Faturamento!$H674)</f>
        <v>0</v>
      </c>
      <c r="AC674" s="31">
        <f>SUMIFS('Historico - FAT'!AL:AL,'Historico - FAT'!$K:$K,Faturamento!$L674,'Historico - FAT'!$I:$I,Faturamento!$J674,'Historico - FAT'!$G:$G,Faturamento!$H674)</f>
        <v>0</v>
      </c>
      <c r="AD674" s="31">
        <f>SUMIFS('Historico - FAT'!AM:AM,'Historico - FAT'!$K:$K,Faturamento!$L674,'Historico - FAT'!$I:$I,Faturamento!$J674,'Historico - FAT'!$G:$G,Faturamento!$H674)</f>
        <v>0</v>
      </c>
      <c r="AE674" s="27">
        <f>SUMIFS('Historico - FAT'!AN:AN,'Historico - FAT'!$K:$K,Faturamento!$L674,'Historico - FAT'!$I:$I,Faturamento!$J674,'Historico - FAT'!$G:$G,Faturamento!$H674)</f>
        <v>0</v>
      </c>
      <c r="AG674" s="24" t="str">
        <f t="shared" si="150"/>
        <v/>
      </c>
      <c r="AH674" s="24" t="str">
        <f t="shared" si="151"/>
        <v/>
      </c>
      <c r="AI674" s="24" t="str">
        <f t="shared" si="152"/>
        <v/>
      </c>
    </row>
    <row r="675" spans="1:35" hidden="1" x14ac:dyDescent="0.3">
      <c r="A675" s="2" t="str">
        <f t="shared" si="149"/>
        <v>NÃO</v>
      </c>
      <c r="B675" s="2">
        <v>1000184670</v>
      </c>
      <c r="C675" s="2" t="s">
        <v>147</v>
      </c>
      <c r="D675" s="4">
        <v>1000186197</v>
      </c>
      <c r="E675" s="4" t="s">
        <v>166</v>
      </c>
      <c r="F675" s="2">
        <v>1000184760</v>
      </c>
      <c r="G675" s="2" t="s">
        <v>60</v>
      </c>
      <c r="H675" s="4">
        <v>1000189780</v>
      </c>
      <c r="I675" s="4" t="s">
        <v>107</v>
      </c>
      <c r="J675" s="2">
        <v>1000189270</v>
      </c>
      <c r="K675" s="2" t="s">
        <v>34</v>
      </c>
      <c r="L675" s="4" t="s">
        <v>19</v>
      </c>
      <c r="M675" s="4" t="str">
        <f t="shared" si="156"/>
        <v>1000184670100018619710001897801000189270GELEIA</v>
      </c>
      <c r="N675" s="28">
        <f>N669*_xlfn.XLOOKUP($L675,'Balizador da Meta'!$B$4:$B$21,'Balizador da Meta'!$C$4:$C$21)</f>
        <v>11.999999999999998</v>
      </c>
      <c r="O675" s="28">
        <f>O669*_xlfn.XLOOKUP($L675,'Balizador da Meta'!$B$4:$B$21,'Balizador da Meta'!$C$4:$C$21)</f>
        <v>11.999999999999998</v>
      </c>
      <c r="P675" s="28">
        <f>P669*_xlfn.XLOOKUP($L675,'Balizador da Meta'!$B$4:$B$21,'Balizador da Meta'!$C$4:$C$21)</f>
        <v>11.999999999999998</v>
      </c>
      <c r="Q675" s="28">
        <f>Q669*_xlfn.XLOOKUP($L675,'Balizador da Meta'!$B$4:$B$21,'Balizador da Meta'!$C$4:$C$21)</f>
        <v>11.999999999999998</v>
      </c>
      <c r="R675" s="28">
        <f>R669*_xlfn.XLOOKUP($L675,'Balizador da Meta'!$B$4:$B$21,'Balizador da Meta'!$C$4:$C$21)</f>
        <v>11.999999999999998</v>
      </c>
      <c r="S675" s="28">
        <f>S669*_xlfn.XLOOKUP($L675,'Balizador da Meta'!$B$4:$B$21,'Balizador da Meta'!$C$4:$C$21)</f>
        <v>11.999999999999998</v>
      </c>
      <c r="T675" s="28">
        <f>T669*_xlfn.XLOOKUP($L675,'Balizador da Meta'!$B$4:$B$21,'Balizador da Meta'!$C$4:$C$21)</f>
        <v>11.999999999999998</v>
      </c>
      <c r="U675" s="28">
        <f>U669*_xlfn.XLOOKUP($L675,'Balizador da Meta'!$B$4:$B$21,'Balizador da Meta'!$C$4:$C$21)</f>
        <v>11.999999999999998</v>
      </c>
      <c r="V675" s="28">
        <f>V669*_xlfn.XLOOKUP($L675,'Balizador da Meta'!$B$4:$B$21,'Balizador da Meta'!$C$4:$C$21)</f>
        <v>11.999999999999998</v>
      </c>
      <c r="W675" s="28">
        <f>W669*_xlfn.XLOOKUP($L675,'Balizador da Meta'!$B$4:$B$21,'Balizador da Meta'!$C$4:$C$21)</f>
        <v>11.999999999999998</v>
      </c>
      <c r="X675" s="28">
        <f>X669*_xlfn.XLOOKUP($L675,'Balizador da Meta'!$B$4:$B$21,'Balizador da Meta'!$C$4:$C$21)</f>
        <v>11.999999999999998</v>
      </c>
      <c r="Y675" s="28">
        <f>Y669*_xlfn.XLOOKUP($L675,'Balizador da Meta'!$B$4:$B$21,'Balizador da Meta'!$C$4:$C$21)</f>
        <v>11.999999999999998</v>
      </c>
      <c r="Z675" s="30">
        <f t="shared" si="162"/>
        <v>143.99999999999997</v>
      </c>
      <c r="AA675" s="29"/>
      <c r="AB675" s="31">
        <f>SUMIFS('Historico - FAT'!AK:AK,'Historico - FAT'!$K:$K,Faturamento!$L675,'Historico - FAT'!$I:$I,Faturamento!$J675,'Historico - FAT'!$G:$G,Faturamento!$H675)</f>
        <v>18.157499999999999</v>
      </c>
      <c r="AC675" s="31">
        <f>SUMIFS('Historico - FAT'!AL:AL,'Historico - FAT'!$K:$K,Faturamento!$L675,'Historico - FAT'!$I:$I,Faturamento!$J675,'Historico - FAT'!$G:$G,Faturamento!$H675)</f>
        <v>34.443333333333335</v>
      </c>
      <c r="AD675" s="31">
        <f>SUMIFS('Historico - FAT'!AM:AM,'Historico - FAT'!$K:$K,Faturamento!$L675,'Historico - FAT'!$I:$I,Faturamento!$J675,'Historico - FAT'!$G:$G,Faturamento!$H675)</f>
        <v>44.886666666666663</v>
      </c>
      <c r="AE675" s="27">
        <f>SUMIFS('Historico - FAT'!AN:AN,'Historico - FAT'!$K:$K,Faturamento!$L675,'Historico - FAT'!$I:$I,Faturamento!$J675,'Historico - FAT'!$G:$G,Faturamento!$H675)</f>
        <v>41.332000000000001</v>
      </c>
      <c r="AG675" s="24">
        <f t="shared" si="150"/>
        <v>-0.51312500000000016</v>
      </c>
      <c r="AH675" s="24">
        <f t="shared" si="151"/>
        <v>-1.8702777777777781</v>
      </c>
      <c r="AI675" s="24">
        <f t="shared" si="152"/>
        <v>-2.7405555555555559</v>
      </c>
    </row>
    <row r="676" spans="1:35" hidden="1" x14ac:dyDescent="0.3">
      <c r="A676" s="2" t="str">
        <f t="shared" si="149"/>
        <v>NÃO</v>
      </c>
      <c r="B676" s="2">
        <v>1000184670</v>
      </c>
      <c r="C676" s="2" t="s">
        <v>147</v>
      </c>
      <c r="D676" s="4">
        <v>1000186197</v>
      </c>
      <c r="E676" s="4" t="s">
        <v>166</v>
      </c>
      <c r="F676" s="2">
        <v>1000184760</v>
      </c>
      <c r="G676" s="2" t="s">
        <v>60</v>
      </c>
      <c r="H676" s="4">
        <v>1000189780</v>
      </c>
      <c r="I676" s="4" t="s">
        <v>107</v>
      </c>
      <c r="J676" s="2">
        <v>1000189270</v>
      </c>
      <c r="K676" s="2" t="s">
        <v>34</v>
      </c>
      <c r="L676" s="4" t="s">
        <v>17</v>
      </c>
      <c r="M676" s="4" t="str">
        <f t="shared" si="156"/>
        <v>1000184670100018619710001897801000189270GRANOLA</v>
      </c>
      <c r="N676" s="28">
        <f>N669*_xlfn.XLOOKUP($L676,'Balizador da Meta'!$B$4:$B$21,'Balizador da Meta'!$C$4:$C$21)</f>
        <v>12</v>
      </c>
      <c r="O676" s="28">
        <f>O669*_xlfn.XLOOKUP($L676,'Balizador da Meta'!$B$4:$B$21,'Balizador da Meta'!$C$4:$C$21)</f>
        <v>12</v>
      </c>
      <c r="P676" s="28">
        <f>P669*_xlfn.XLOOKUP($L676,'Balizador da Meta'!$B$4:$B$21,'Balizador da Meta'!$C$4:$C$21)</f>
        <v>12</v>
      </c>
      <c r="Q676" s="28">
        <f>Q669*_xlfn.XLOOKUP($L676,'Balizador da Meta'!$B$4:$B$21,'Balizador da Meta'!$C$4:$C$21)</f>
        <v>12</v>
      </c>
      <c r="R676" s="28">
        <f>R669*_xlfn.XLOOKUP($L676,'Balizador da Meta'!$B$4:$B$21,'Balizador da Meta'!$C$4:$C$21)</f>
        <v>12</v>
      </c>
      <c r="S676" s="28">
        <f>S669*_xlfn.XLOOKUP($L676,'Balizador da Meta'!$B$4:$B$21,'Balizador da Meta'!$C$4:$C$21)</f>
        <v>12</v>
      </c>
      <c r="T676" s="28">
        <f>T669*_xlfn.XLOOKUP($L676,'Balizador da Meta'!$B$4:$B$21,'Balizador da Meta'!$C$4:$C$21)</f>
        <v>12</v>
      </c>
      <c r="U676" s="28">
        <f>U669*_xlfn.XLOOKUP($L676,'Balizador da Meta'!$B$4:$B$21,'Balizador da Meta'!$C$4:$C$21)</f>
        <v>12</v>
      </c>
      <c r="V676" s="28">
        <f>V669*_xlfn.XLOOKUP($L676,'Balizador da Meta'!$B$4:$B$21,'Balizador da Meta'!$C$4:$C$21)</f>
        <v>12</v>
      </c>
      <c r="W676" s="28">
        <f>W669*_xlfn.XLOOKUP($L676,'Balizador da Meta'!$B$4:$B$21,'Balizador da Meta'!$C$4:$C$21)</f>
        <v>12</v>
      </c>
      <c r="X676" s="28">
        <f>X669*_xlfn.XLOOKUP($L676,'Balizador da Meta'!$B$4:$B$21,'Balizador da Meta'!$C$4:$C$21)</f>
        <v>12</v>
      </c>
      <c r="Y676" s="28">
        <f>Y669*_xlfn.XLOOKUP($L676,'Balizador da Meta'!$B$4:$B$21,'Balizador da Meta'!$C$4:$C$21)</f>
        <v>12</v>
      </c>
      <c r="Z676" s="30">
        <f t="shared" si="162"/>
        <v>144</v>
      </c>
      <c r="AA676" s="29"/>
      <c r="AB676" s="31">
        <f>SUMIFS('Historico - FAT'!AK:AK,'Historico - FAT'!$K:$K,Faturamento!$L676,'Historico - FAT'!$I:$I,Faturamento!$J676,'Historico - FAT'!$G:$G,Faturamento!$H676)</f>
        <v>35.539166666666667</v>
      </c>
      <c r="AC676" s="31">
        <f>SUMIFS('Historico - FAT'!AL:AL,'Historico - FAT'!$K:$K,Faturamento!$L676,'Historico - FAT'!$I:$I,Faturamento!$J676,'Historico - FAT'!$G:$G,Faturamento!$H676)</f>
        <v>51.419999999999995</v>
      </c>
      <c r="AD676" s="31">
        <f>SUMIFS('Historico - FAT'!AM:AM,'Historico - FAT'!$K:$K,Faturamento!$L676,'Historico - FAT'!$I:$I,Faturamento!$J676,'Historico - FAT'!$G:$G,Faturamento!$H676)</f>
        <v>102.83999999999999</v>
      </c>
      <c r="AE676" s="27">
        <f>SUMIFS('Historico - FAT'!AN:AN,'Historico - FAT'!$K:$K,Faturamento!$L676,'Historico - FAT'!$I:$I,Faturamento!$J676,'Historico - FAT'!$G:$G,Faturamento!$H676)</f>
        <v>61.703999999999994</v>
      </c>
      <c r="AG676" s="24">
        <f t="shared" si="150"/>
        <v>-1.9615972222222222</v>
      </c>
      <c r="AH676" s="24">
        <f t="shared" si="151"/>
        <v>-3.2849999999999997</v>
      </c>
      <c r="AI676" s="24">
        <f t="shared" si="152"/>
        <v>-7.5699999999999994</v>
      </c>
    </row>
    <row r="677" spans="1:35" hidden="1" x14ac:dyDescent="0.3">
      <c r="A677" s="2" t="str">
        <f t="shared" si="149"/>
        <v>NÃO</v>
      </c>
      <c r="B677" s="2">
        <v>1000184670</v>
      </c>
      <c r="C677" s="2" t="s">
        <v>147</v>
      </c>
      <c r="D677" s="4">
        <v>1000186197</v>
      </c>
      <c r="E677" s="4" t="s">
        <v>166</v>
      </c>
      <c r="F677" s="2">
        <v>1000184760</v>
      </c>
      <c r="G677" s="2" t="s">
        <v>60</v>
      </c>
      <c r="H677" s="4">
        <v>1000189780</v>
      </c>
      <c r="I677" s="4" t="s">
        <v>107</v>
      </c>
      <c r="J677" s="2">
        <v>1000189270</v>
      </c>
      <c r="K677" s="2" t="s">
        <v>34</v>
      </c>
      <c r="L677" s="4" t="s">
        <v>24</v>
      </c>
      <c r="M677" s="4" t="str">
        <f t="shared" si="156"/>
        <v>1000184670100018619710001897801000189270KIDS</v>
      </c>
      <c r="N677" s="28">
        <f>N669*_xlfn.XLOOKUP($L677,'Balizador da Meta'!$B$4:$B$21,'Balizador da Meta'!$C$4:$C$21)</f>
        <v>0</v>
      </c>
      <c r="O677" s="28">
        <f>O669*_xlfn.XLOOKUP($L677,'Balizador da Meta'!$B$4:$B$21,'Balizador da Meta'!$C$4:$C$21)</f>
        <v>0</v>
      </c>
      <c r="P677" s="28">
        <f>P669*_xlfn.XLOOKUP($L677,'Balizador da Meta'!$B$4:$B$21,'Balizador da Meta'!$C$4:$C$21)</f>
        <v>0</v>
      </c>
      <c r="Q677" s="28">
        <f>Q669*_xlfn.XLOOKUP($L677,'Balizador da Meta'!$B$4:$B$21,'Balizador da Meta'!$C$4:$C$21)</f>
        <v>0</v>
      </c>
      <c r="R677" s="28">
        <f>R669*_xlfn.XLOOKUP($L677,'Balizador da Meta'!$B$4:$B$21,'Balizador da Meta'!$C$4:$C$21)</f>
        <v>0</v>
      </c>
      <c r="S677" s="28">
        <f>S669*_xlfn.XLOOKUP($L677,'Balizador da Meta'!$B$4:$B$21,'Balizador da Meta'!$C$4:$C$21)</f>
        <v>0</v>
      </c>
      <c r="T677" s="28">
        <f>T669*_xlfn.XLOOKUP($L677,'Balizador da Meta'!$B$4:$B$21,'Balizador da Meta'!$C$4:$C$21)</f>
        <v>0</v>
      </c>
      <c r="U677" s="28">
        <f>U669*_xlfn.XLOOKUP($L677,'Balizador da Meta'!$B$4:$B$21,'Balizador da Meta'!$C$4:$C$21)</f>
        <v>0</v>
      </c>
      <c r="V677" s="28">
        <f>V669*_xlfn.XLOOKUP($L677,'Balizador da Meta'!$B$4:$B$21,'Balizador da Meta'!$C$4:$C$21)</f>
        <v>0</v>
      </c>
      <c r="W677" s="28">
        <f>W669*_xlfn.XLOOKUP($L677,'Balizador da Meta'!$B$4:$B$21,'Balizador da Meta'!$C$4:$C$21)</f>
        <v>0</v>
      </c>
      <c r="X677" s="28">
        <f>X669*_xlfn.XLOOKUP($L677,'Balizador da Meta'!$B$4:$B$21,'Balizador da Meta'!$C$4:$C$21)</f>
        <v>0</v>
      </c>
      <c r="Y677" s="28">
        <f>Y669*_xlfn.XLOOKUP($L677,'Balizador da Meta'!$B$4:$B$21,'Balizador da Meta'!$C$4:$C$21)</f>
        <v>0</v>
      </c>
      <c r="Z677" s="30">
        <f t="shared" si="162"/>
        <v>0</v>
      </c>
      <c r="AA677" s="29"/>
      <c r="AB677" s="31">
        <f>SUMIFS('Historico - FAT'!AK:AK,'Historico - FAT'!$K:$K,Faturamento!$L677,'Historico - FAT'!$I:$I,Faturamento!$J677,'Historico - FAT'!$G:$G,Faturamento!$H677)</f>
        <v>0</v>
      </c>
      <c r="AC677" s="31">
        <f>SUMIFS('Historico - FAT'!AL:AL,'Historico - FAT'!$K:$K,Faturamento!$L677,'Historico - FAT'!$I:$I,Faturamento!$J677,'Historico - FAT'!$G:$G,Faturamento!$H677)</f>
        <v>3.89</v>
      </c>
      <c r="AD677" s="31">
        <f>SUMIFS('Historico - FAT'!AM:AM,'Historico - FAT'!$K:$K,Faturamento!$L677,'Historico - FAT'!$I:$I,Faturamento!$J677,'Historico - FAT'!$G:$G,Faturamento!$H677)</f>
        <v>7.78</v>
      </c>
      <c r="AE677" s="27">
        <f>SUMIFS('Historico - FAT'!AN:AN,'Historico - FAT'!$K:$K,Faturamento!$L677,'Historico - FAT'!$I:$I,Faturamento!$J677,'Historico - FAT'!$G:$G,Faturamento!$H677)</f>
        <v>4.6680000000000001</v>
      </c>
      <c r="AG677" s="24" t="str">
        <f t="shared" si="150"/>
        <v/>
      </c>
      <c r="AH677" s="24" t="str">
        <f t="shared" si="151"/>
        <v/>
      </c>
      <c r="AI677" s="24" t="str">
        <f t="shared" si="152"/>
        <v/>
      </c>
    </row>
    <row r="678" spans="1:35" hidden="1" x14ac:dyDescent="0.3">
      <c r="A678" s="2" t="str">
        <f t="shared" si="149"/>
        <v>NÃO</v>
      </c>
      <c r="B678" s="2">
        <v>1000184670</v>
      </c>
      <c r="C678" s="2" t="s">
        <v>147</v>
      </c>
      <c r="D678" s="4">
        <v>1000186197</v>
      </c>
      <c r="E678" s="4" t="s">
        <v>166</v>
      </c>
      <c r="F678" s="2">
        <v>1000184760</v>
      </c>
      <c r="G678" s="2" t="s">
        <v>60</v>
      </c>
      <c r="H678" s="4">
        <v>1000189780</v>
      </c>
      <c r="I678" s="4" t="s">
        <v>107</v>
      </c>
      <c r="J678" s="2">
        <v>1000189270</v>
      </c>
      <c r="K678" s="2" t="s">
        <v>34</v>
      </c>
      <c r="L678" s="4" t="s">
        <v>18</v>
      </c>
      <c r="M678" s="4" t="str">
        <f t="shared" si="156"/>
        <v>1000184670100018619710001897801000189270LANCHES</v>
      </c>
      <c r="N678" s="28">
        <f>N669*_xlfn.XLOOKUP($L678,'Balizador da Meta'!$B$4:$B$21,'Balizador da Meta'!$C$4:$C$21)</f>
        <v>6</v>
      </c>
      <c r="O678" s="28">
        <f>O669*_xlfn.XLOOKUP($L678,'Balizador da Meta'!$B$4:$B$21,'Balizador da Meta'!$C$4:$C$21)</f>
        <v>6</v>
      </c>
      <c r="P678" s="28">
        <f>P669*_xlfn.XLOOKUP($L678,'Balizador da Meta'!$B$4:$B$21,'Balizador da Meta'!$C$4:$C$21)</f>
        <v>6</v>
      </c>
      <c r="Q678" s="28">
        <f>Q669*_xlfn.XLOOKUP($L678,'Balizador da Meta'!$B$4:$B$21,'Balizador da Meta'!$C$4:$C$21)</f>
        <v>6</v>
      </c>
      <c r="R678" s="28">
        <f>R669*_xlfn.XLOOKUP($L678,'Balizador da Meta'!$B$4:$B$21,'Balizador da Meta'!$C$4:$C$21)</f>
        <v>6</v>
      </c>
      <c r="S678" s="28">
        <f>S669*_xlfn.XLOOKUP($L678,'Balizador da Meta'!$B$4:$B$21,'Balizador da Meta'!$C$4:$C$21)</f>
        <v>6</v>
      </c>
      <c r="T678" s="28">
        <f>T669*_xlfn.XLOOKUP($L678,'Balizador da Meta'!$B$4:$B$21,'Balizador da Meta'!$C$4:$C$21)</f>
        <v>6</v>
      </c>
      <c r="U678" s="28">
        <f>U669*_xlfn.XLOOKUP($L678,'Balizador da Meta'!$B$4:$B$21,'Balizador da Meta'!$C$4:$C$21)</f>
        <v>6</v>
      </c>
      <c r="V678" s="28">
        <f>V669*_xlfn.XLOOKUP($L678,'Balizador da Meta'!$B$4:$B$21,'Balizador da Meta'!$C$4:$C$21)</f>
        <v>6</v>
      </c>
      <c r="W678" s="28">
        <f>W669*_xlfn.XLOOKUP($L678,'Balizador da Meta'!$B$4:$B$21,'Balizador da Meta'!$C$4:$C$21)</f>
        <v>6</v>
      </c>
      <c r="X678" s="28">
        <f>X669*_xlfn.XLOOKUP($L678,'Balizador da Meta'!$B$4:$B$21,'Balizador da Meta'!$C$4:$C$21)</f>
        <v>6</v>
      </c>
      <c r="Y678" s="28">
        <f>Y669*_xlfn.XLOOKUP($L678,'Balizador da Meta'!$B$4:$B$21,'Balizador da Meta'!$C$4:$C$21)</f>
        <v>6</v>
      </c>
      <c r="Z678" s="30">
        <f t="shared" si="162"/>
        <v>72</v>
      </c>
      <c r="AA678" s="29"/>
      <c r="AB678" s="31">
        <f>SUMIFS('Historico - FAT'!AK:AK,'Historico - FAT'!$K:$K,Faturamento!$L678,'Historico - FAT'!$I:$I,Faturamento!$J678,'Historico - FAT'!$G:$G,Faturamento!$H678)</f>
        <v>6.1749999999999998</v>
      </c>
      <c r="AC678" s="31">
        <f>SUMIFS('Historico - FAT'!AL:AL,'Historico - FAT'!$K:$K,Faturamento!$L678,'Historico - FAT'!$I:$I,Faturamento!$J678,'Historico - FAT'!$G:$G,Faturamento!$H678)</f>
        <v>13.121666666666664</v>
      </c>
      <c r="AD678" s="31">
        <f>SUMIFS('Historico - FAT'!AM:AM,'Historico - FAT'!$K:$K,Faturamento!$L678,'Historico - FAT'!$I:$I,Faturamento!$J678,'Historico - FAT'!$G:$G,Faturamento!$H678)</f>
        <v>13.243333333333334</v>
      </c>
      <c r="AE678" s="27">
        <f>SUMIFS('Historico - FAT'!AN:AN,'Historico - FAT'!$K:$K,Faturamento!$L678,'Historico - FAT'!$I:$I,Faturamento!$J678,'Historico - FAT'!$G:$G,Faturamento!$H678)</f>
        <v>15.745999999999999</v>
      </c>
      <c r="AG678" s="24">
        <f t="shared" si="150"/>
        <v>-2.9166666666666636E-2</v>
      </c>
      <c r="AH678" s="24">
        <f t="shared" si="151"/>
        <v>-1.1869444444444441</v>
      </c>
      <c r="AI678" s="24">
        <f t="shared" si="152"/>
        <v>-1.2072222222222224</v>
      </c>
    </row>
    <row r="679" spans="1:35" hidden="1" x14ac:dyDescent="0.3">
      <c r="A679" s="2" t="str">
        <f t="shared" si="149"/>
        <v>NÃO</v>
      </c>
      <c r="B679" s="2">
        <v>1000184670</v>
      </c>
      <c r="C679" s="2" t="s">
        <v>147</v>
      </c>
      <c r="D679" s="4">
        <v>1000186197</v>
      </c>
      <c r="E679" s="4" t="s">
        <v>166</v>
      </c>
      <c r="F679" s="2">
        <v>1000184760</v>
      </c>
      <c r="G679" s="2" t="s">
        <v>60</v>
      </c>
      <c r="H679" s="4">
        <v>1000189780</v>
      </c>
      <c r="I679" s="4" t="s">
        <v>107</v>
      </c>
      <c r="J679" s="2">
        <v>1000189270</v>
      </c>
      <c r="K679" s="2" t="s">
        <v>34</v>
      </c>
      <c r="L679" s="4" t="s">
        <v>29</v>
      </c>
      <c r="M679" s="4" t="str">
        <f t="shared" si="156"/>
        <v>1000184670100018619710001897801000189270MAIS GRANEL</v>
      </c>
      <c r="N679" s="28">
        <f>N669*_xlfn.XLOOKUP($L679,'Balizador da Meta'!$B$4:$B$21,'Balizador da Meta'!$C$4:$C$21)</f>
        <v>192</v>
      </c>
      <c r="O679" s="28">
        <f>O669*_xlfn.XLOOKUP($L679,'Balizador da Meta'!$B$4:$B$21,'Balizador da Meta'!$C$4:$C$21)</f>
        <v>192</v>
      </c>
      <c r="P679" s="28">
        <f>P669*_xlfn.XLOOKUP($L679,'Balizador da Meta'!$B$4:$B$21,'Balizador da Meta'!$C$4:$C$21)</f>
        <v>192</v>
      </c>
      <c r="Q679" s="28">
        <f>Q669*_xlfn.XLOOKUP($L679,'Balizador da Meta'!$B$4:$B$21,'Balizador da Meta'!$C$4:$C$21)</f>
        <v>192</v>
      </c>
      <c r="R679" s="28">
        <f>R669*_xlfn.XLOOKUP($L679,'Balizador da Meta'!$B$4:$B$21,'Balizador da Meta'!$C$4:$C$21)</f>
        <v>192</v>
      </c>
      <c r="S679" s="28">
        <f>S669*_xlfn.XLOOKUP($L679,'Balizador da Meta'!$B$4:$B$21,'Balizador da Meta'!$C$4:$C$21)</f>
        <v>192</v>
      </c>
      <c r="T679" s="28">
        <f>T669*_xlfn.XLOOKUP($L679,'Balizador da Meta'!$B$4:$B$21,'Balizador da Meta'!$C$4:$C$21)</f>
        <v>192</v>
      </c>
      <c r="U679" s="28">
        <f>U669*_xlfn.XLOOKUP($L679,'Balizador da Meta'!$B$4:$B$21,'Balizador da Meta'!$C$4:$C$21)</f>
        <v>192</v>
      </c>
      <c r="V679" s="28">
        <f>V669*_xlfn.XLOOKUP($L679,'Balizador da Meta'!$B$4:$B$21,'Balizador da Meta'!$C$4:$C$21)</f>
        <v>192</v>
      </c>
      <c r="W679" s="28">
        <f>W669*_xlfn.XLOOKUP($L679,'Balizador da Meta'!$B$4:$B$21,'Balizador da Meta'!$C$4:$C$21)</f>
        <v>192</v>
      </c>
      <c r="X679" s="28">
        <f>X669*_xlfn.XLOOKUP($L679,'Balizador da Meta'!$B$4:$B$21,'Balizador da Meta'!$C$4:$C$21)</f>
        <v>192</v>
      </c>
      <c r="Y679" s="28">
        <f>Y669*_xlfn.XLOOKUP($L679,'Balizador da Meta'!$B$4:$B$21,'Balizador da Meta'!$C$4:$C$21)</f>
        <v>192</v>
      </c>
      <c r="Z679" s="30">
        <f t="shared" si="162"/>
        <v>2304</v>
      </c>
      <c r="AA679" s="29"/>
      <c r="AB679" s="31">
        <f>SUMIFS('Historico - FAT'!AK:AK,'Historico - FAT'!$K:$K,Faturamento!$L679,'Historico - FAT'!$I:$I,Faturamento!$J679,'Historico - FAT'!$G:$G,Faturamento!$H679)</f>
        <v>0</v>
      </c>
      <c r="AC679" s="31">
        <f>SUMIFS('Historico - FAT'!AL:AL,'Historico - FAT'!$K:$K,Faturamento!$L679,'Historico - FAT'!$I:$I,Faturamento!$J679,'Historico - FAT'!$G:$G,Faturamento!$H679)</f>
        <v>15</v>
      </c>
      <c r="AD679" s="31">
        <f>SUMIFS('Historico - FAT'!AM:AM,'Historico - FAT'!$K:$K,Faturamento!$L679,'Historico - FAT'!$I:$I,Faturamento!$J679,'Historico - FAT'!$G:$G,Faturamento!$H679)</f>
        <v>30</v>
      </c>
      <c r="AE679" s="27">
        <f>SUMIFS('Historico - FAT'!AN:AN,'Historico - FAT'!$K:$K,Faturamento!$L679,'Historico - FAT'!$I:$I,Faturamento!$J679,'Historico - FAT'!$G:$G,Faturamento!$H679)</f>
        <v>18</v>
      </c>
      <c r="AG679" s="24">
        <f t="shared" si="150"/>
        <v>1</v>
      </c>
      <c r="AH679" s="24">
        <f t="shared" si="151"/>
        <v>0.921875</v>
      </c>
      <c r="AI679" s="24">
        <f t="shared" si="152"/>
        <v>0.84375</v>
      </c>
    </row>
    <row r="680" spans="1:35" hidden="1" x14ac:dyDescent="0.3">
      <c r="A680" s="2" t="str">
        <f t="shared" si="149"/>
        <v>NÃO</v>
      </c>
      <c r="B680" s="2">
        <v>1000184670</v>
      </c>
      <c r="C680" s="2" t="s">
        <v>147</v>
      </c>
      <c r="D680" s="4">
        <v>1000186197</v>
      </c>
      <c r="E680" s="4" t="s">
        <v>166</v>
      </c>
      <c r="F680" s="2">
        <v>1000184760</v>
      </c>
      <c r="G680" s="2" t="s">
        <v>60</v>
      </c>
      <c r="H680" s="4">
        <v>1000189780</v>
      </c>
      <c r="I680" s="4" t="s">
        <v>107</v>
      </c>
      <c r="J680" s="2">
        <v>1000189270</v>
      </c>
      <c r="K680" s="2" t="s">
        <v>34</v>
      </c>
      <c r="L680" s="4" t="s">
        <v>21</v>
      </c>
      <c r="M680" s="4" t="str">
        <f t="shared" si="156"/>
        <v>1000184670100018619710001897801000189270NATURATTA</v>
      </c>
      <c r="N680" s="28">
        <f>N669*_xlfn.XLOOKUP($L680,'Balizador da Meta'!$B$4:$B$21,'Balizador da Meta'!$C$4:$C$21)</f>
        <v>30</v>
      </c>
      <c r="O680" s="28">
        <f>O669*_xlfn.XLOOKUP($L680,'Balizador da Meta'!$B$4:$B$21,'Balizador da Meta'!$C$4:$C$21)</f>
        <v>30</v>
      </c>
      <c r="P680" s="28">
        <f>P669*_xlfn.XLOOKUP($L680,'Balizador da Meta'!$B$4:$B$21,'Balizador da Meta'!$C$4:$C$21)</f>
        <v>30</v>
      </c>
      <c r="Q680" s="28">
        <f>Q669*_xlfn.XLOOKUP($L680,'Balizador da Meta'!$B$4:$B$21,'Balizador da Meta'!$C$4:$C$21)</f>
        <v>30</v>
      </c>
      <c r="R680" s="28">
        <f>R669*_xlfn.XLOOKUP($L680,'Balizador da Meta'!$B$4:$B$21,'Balizador da Meta'!$C$4:$C$21)</f>
        <v>30</v>
      </c>
      <c r="S680" s="28">
        <f>S669*_xlfn.XLOOKUP($L680,'Balizador da Meta'!$B$4:$B$21,'Balizador da Meta'!$C$4:$C$21)</f>
        <v>30</v>
      </c>
      <c r="T680" s="28">
        <f>T669*_xlfn.XLOOKUP($L680,'Balizador da Meta'!$B$4:$B$21,'Balizador da Meta'!$C$4:$C$21)</f>
        <v>30</v>
      </c>
      <c r="U680" s="28">
        <f>U669*_xlfn.XLOOKUP($L680,'Balizador da Meta'!$B$4:$B$21,'Balizador da Meta'!$C$4:$C$21)</f>
        <v>30</v>
      </c>
      <c r="V680" s="28">
        <f>V669*_xlfn.XLOOKUP($L680,'Balizador da Meta'!$B$4:$B$21,'Balizador da Meta'!$C$4:$C$21)</f>
        <v>30</v>
      </c>
      <c r="W680" s="28">
        <f>W669*_xlfn.XLOOKUP($L680,'Balizador da Meta'!$B$4:$B$21,'Balizador da Meta'!$C$4:$C$21)</f>
        <v>30</v>
      </c>
      <c r="X680" s="28">
        <f>X669*_xlfn.XLOOKUP($L680,'Balizador da Meta'!$B$4:$B$21,'Balizador da Meta'!$C$4:$C$21)</f>
        <v>30</v>
      </c>
      <c r="Y680" s="28">
        <f>Y669*_xlfn.XLOOKUP($L680,'Balizador da Meta'!$B$4:$B$21,'Balizador da Meta'!$C$4:$C$21)</f>
        <v>30</v>
      </c>
      <c r="Z680" s="30">
        <f t="shared" si="162"/>
        <v>360</v>
      </c>
      <c r="AA680" s="29"/>
      <c r="AB680" s="31">
        <f>SUMIFS('Historico - FAT'!AK:AK,'Historico - FAT'!$K:$K,Faturamento!$L680,'Historico - FAT'!$I:$I,Faturamento!$J680,'Historico - FAT'!$G:$G,Faturamento!$H680)</f>
        <v>0</v>
      </c>
      <c r="AC680" s="31">
        <f>SUMIFS('Historico - FAT'!AL:AL,'Historico - FAT'!$K:$K,Faturamento!$L680,'Historico - FAT'!$I:$I,Faturamento!$J680,'Historico - FAT'!$G:$G,Faturamento!$H680)</f>
        <v>19.446666666666665</v>
      </c>
      <c r="AD680" s="31">
        <f>SUMIFS('Historico - FAT'!AM:AM,'Historico - FAT'!$K:$K,Faturamento!$L680,'Historico - FAT'!$I:$I,Faturamento!$J680,'Historico - FAT'!$G:$G,Faturamento!$H680)</f>
        <v>38.893333333333331</v>
      </c>
      <c r="AE680" s="27">
        <f>SUMIFS('Historico - FAT'!AN:AN,'Historico - FAT'!$K:$K,Faturamento!$L680,'Historico - FAT'!$I:$I,Faturamento!$J680,'Historico - FAT'!$G:$G,Faturamento!$H680)</f>
        <v>23.335999999999999</v>
      </c>
      <c r="AG680" s="24">
        <f t="shared" si="150"/>
        <v>1</v>
      </c>
      <c r="AH680" s="24">
        <f t="shared" si="151"/>
        <v>0.3517777777777778</v>
      </c>
      <c r="AI680" s="24">
        <f t="shared" si="152"/>
        <v>-0.29644444444444434</v>
      </c>
    </row>
    <row r="681" spans="1:35" hidden="1" x14ac:dyDescent="0.3">
      <c r="A681" s="2" t="str">
        <f t="shared" si="149"/>
        <v>NÃO</v>
      </c>
      <c r="B681" s="2">
        <v>1000184670</v>
      </c>
      <c r="C681" s="2" t="s">
        <v>147</v>
      </c>
      <c r="D681" s="4">
        <v>1000186197</v>
      </c>
      <c r="E681" s="4" t="s">
        <v>166</v>
      </c>
      <c r="F681" s="2">
        <v>1000184760</v>
      </c>
      <c r="G681" s="2" t="s">
        <v>60</v>
      </c>
      <c r="H681" s="4">
        <v>1000189780</v>
      </c>
      <c r="I681" s="4" t="s">
        <v>107</v>
      </c>
      <c r="J681" s="2">
        <v>1000189270</v>
      </c>
      <c r="K681" s="2" t="s">
        <v>34</v>
      </c>
      <c r="L681" s="4" t="s">
        <v>20</v>
      </c>
      <c r="M681" s="4" t="str">
        <f t="shared" si="156"/>
        <v>1000184670100018619710001897801000189270REEMBALADOS</v>
      </c>
      <c r="N681" s="28">
        <f>N669*_xlfn.XLOOKUP($L681,'Balizador da Meta'!$B$4:$B$21,'Balizador da Meta'!$C$4:$C$21)</f>
        <v>24</v>
      </c>
      <c r="O681" s="28">
        <f>O669*_xlfn.XLOOKUP($L681,'Balizador da Meta'!$B$4:$B$21,'Balizador da Meta'!$C$4:$C$21)</f>
        <v>24</v>
      </c>
      <c r="P681" s="28">
        <f>P669*_xlfn.XLOOKUP($L681,'Balizador da Meta'!$B$4:$B$21,'Balizador da Meta'!$C$4:$C$21)</f>
        <v>24</v>
      </c>
      <c r="Q681" s="28">
        <f>Q669*_xlfn.XLOOKUP($L681,'Balizador da Meta'!$B$4:$B$21,'Balizador da Meta'!$C$4:$C$21)</f>
        <v>24</v>
      </c>
      <c r="R681" s="28">
        <f>R669*_xlfn.XLOOKUP($L681,'Balizador da Meta'!$B$4:$B$21,'Balizador da Meta'!$C$4:$C$21)</f>
        <v>24</v>
      </c>
      <c r="S681" s="28">
        <f>S669*_xlfn.XLOOKUP($L681,'Balizador da Meta'!$B$4:$B$21,'Balizador da Meta'!$C$4:$C$21)</f>
        <v>24</v>
      </c>
      <c r="T681" s="28">
        <f>T669*_xlfn.XLOOKUP($L681,'Balizador da Meta'!$B$4:$B$21,'Balizador da Meta'!$C$4:$C$21)</f>
        <v>24</v>
      </c>
      <c r="U681" s="28">
        <f>U669*_xlfn.XLOOKUP($L681,'Balizador da Meta'!$B$4:$B$21,'Balizador da Meta'!$C$4:$C$21)</f>
        <v>24</v>
      </c>
      <c r="V681" s="28">
        <f>V669*_xlfn.XLOOKUP($L681,'Balizador da Meta'!$B$4:$B$21,'Balizador da Meta'!$C$4:$C$21)</f>
        <v>24</v>
      </c>
      <c r="W681" s="28">
        <f>W669*_xlfn.XLOOKUP($L681,'Balizador da Meta'!$B$4:$B$21,'Balizador da Meta'!$C$4:$C$21)</f>
        <v>24</v>
      </c>
      <c r="X681" s="28">
        <f>X669*_xlfn.XLOOKUP($L681,'Balizador da Meta'!$B$4:$B$21,'Balizador da Meta'!$C$4:$C$21)</f>
        <v>24</v>
      </c>
      <c r="Y681" s="28">
        <f>Y669*_xlfn.XLOOKUP($L681,'Balizador da Meta'!$B$4:$B$21,'Balizador da Meta'!$C$4:$C$21)</f>
        <v>24</v>
      </c>
      <c r="Z681" s="30">
        <f t="shared" si="162"/>
        <v>288</v>
      </c>
      <c r="AA681" s="29"/>
      <c r="AB681" s="31">
        <f>SUMIFS('Historico - FAT'!AK:AK,'Historico - FAT'!$K:$K,Faturamento!$L681,'Historico - FAT'!$I:$I,Faturamento!$J681,'Historico - FAT'!$G:$G,Faturamento!$H681)</f>
        <v>175.52416666666667</v>
      </c>
      <c r="AC681" s="31">
        <f>SUMIFS('Historico - FAT'!AL:AL,'Historico - FAT'!$K:$K,Faturamento!$L681,'Historico - FAT'!$I:$I,Faturamento!$J681,'Historico - FAT'!$G:$G,Faturamento!$H681)</f>
        <v>254.37666666666664</v>
      </c>
      <c r="AD681" s="31">
        <f>SUMIFS('Historico - FAT'!AM:AM,'Historico - FAT'!$K:$K,Faturamento!$L681,'Historico - FAT'!$I:$I,Faturamento!$J681,'Historico - FAT'!$G:$G,Faturamento!$H681)</f>
        <v>325.30333333333334</v>
      </c>
      <c r="AE681" s="27">
        <f>SUMIFS('Historico - FAT'!AN:AN,'Historico - FAT'!$K:$K,Faturamento!$L681,'Historico - FAT'!$I:$I,Faturamento!$J681,'Historico - FAT'!$G:$G,Faturamento!$H681)</f>
        <v>305.25199999999995</v>
      </c>
      <c r="AG681" s="24">
        <f t="shared" si="150"/>
        <v>-6.3135069444444447</v>
      </c>
      <c r="AH681" s="24">
        <f t="shared" si="151"/>
        <v>-9.5990277777777759</v>
      </c>
      <c r="AI681" s="24">
        <f t="shared" si="152"/>
        <v>-12.554305555555556</v>
      </c>
    </row>
    <row r="682" spans="1:35" hidden="1" x14ac:dyDescent="0.3">
      <c r="A682" s="2" t="str">
        <f t="shared" si="149"/>
        <v>NÃO</v>
      </c>
      <c r="B682" s="2">
        <v>1000184670</v>
      </c>
      <c r="C682" s="2" t="s">
        <v>147</v>
      </c>
      <c r="D682" s="4">
        <v>1000186197</v>
      </c>
      <c r="E682" s="4" t="s">
        <v>166</v>
      </c>
      <c r="F682" s="2">
        <v>1000184760</v>
      </c>
      <c r="G682" s="2" t="s">
        <v>60</v>
      </c>
      <c r="H682" s="4">
        <v>1000189780</v>
      </c>
      <c r="I682" s="4" t="s">
        <v>107</v>
      </c>
      <c r="J682" s="2">
        <v>1000189270</v>
      </c>
      <c r="K682" s="2" t="s">
        <v>34</v>
      </c>
      <c r="L682" s="4" t="s">
        <v>22</v>
      </c>
      <c r="M682" s="4" t="str">
        <f t="shared" si="156"/>
        <v>1000184670100018619710001897801000189270S GLUTEN</v>
      </c>
      <c r="N682" s="28">
        <f>N669*_xlfn.XLOOKUP($L682,'Balizador da Meta'!$B$4:$B$21,'Balizador da Meta'!$C$4:$C$21)</f>
        <v>24</v>
      </c>
      <c r="O682" s="28">
        <f>O669*_xlfn.XLOOKUP($L682,'Balizador da Meta'!$B$4:$B$21,'Balizador da Meta'!$C$4:$C$21)</f>
        <v>24</v>
      </c>
      <c r="P682" s="28">
        <f>P669*_xlfn.XLOOKUP($L682,'Balizador da Meta'!$B$4:$B$21,'Balizador da Meta'!$C$4:$C$21)</f>
        <v>24</v>
      </c>
      <c r="Q682" s="28">
        <f>Q669*_xlfn.XLOOKUP($L682,'Balizador da Meta'!$B$4:$B$21,'Balizador da Meta'!$C$4:$C$21)</f>
        <v>24</v>
      </c>
      <c r="R682" s="28">
        <f>R669*_xlfn.XLOOKUP($L682,'Balizador da Meta'!$B$4:$B$21,'Balizador da Meta'!$C$4:$C$21)</f>
        <v>24</v>
      </c>
      <c r="S682" s="28">
        <f>S669*_xlfn.XLOOKUP($L682,'Balizador da Meta'!$B$4:$B$21,'Balizador da Meta'!$C$4:$C$21)</f>
        <v>24</v>
      </c>
      <c r="T682" s="28">
        <f>T669*_xlfn.XLOOKUP($L682,'Balizador da Meta'!$B$4:$B$21,'Balizador da Meta'!$C$4:$C$21)</f>
        <v>24</v>
      </c>
      <c r="U682" s="28">
        <f>U669*_xlfn.XLOOKUP($L682,'Balizador da Meta'!$B$4:$B$21,'Balizador da Meta'!$C$4:$C$21)</f>
        <v>24</v>
      </c>
      <c r="V682" s="28">
        <f>V669*_xlfn.XLOOKUP($L682,'Balizador da Meta'!$B$4:$B$21,'Balizador da Meta'!$C$4:$C$21)</f>
        <v>24</v>
      </c>
      <c r="W682" s="28">
        <f>W669*_xlfn.XLOOKUP($L682,'Balizador da Meta'!$B$4:$B$21,'Balizador da Meta'!$C$4:$C$21)</f>
        <v>24</v>
      </c>
      <c r="X682" s="28">
        <f>X669*_xlfn.XLOOKUP($L682,'Balizador da Meta'!$B$4:$B$21,'Balizador da Meta'!$C$4:$C$21)</f>
        <v>24</v>
      </c>
      <c r="Y682" s="28">
        <f>Y669*_xlfn.XLOOKUP($L682,'Balizador da Meta'!$B$4:$B$21,'Balizador da Meta'!$C$4:$C$21)</f>
        <v>24</v>
      </c>
      <c r="Z682" s="30">
        <f t="shared" si="162"/>
        <v>288</v>
      </c>
      <c r="AA682" s="29"/>
      <c r="AB682" s="31">
        <f>SUMIFS('Historico - FAT'!AK:AK,'Historico - FAT'!$K:$K,Faturamento!$L682,'Historico - FAT'!$I:$I,Faturamento!$J682,'Historico - FAT'!$G:$G,Faturamento!$H682)</f>
        <v>68.887500000000003</v>
      </c>
      <c r="AC682" s="31">
        <f>SUMIFS('Historico - FAT'!AL:AL,'Historico - FAT'!$K:$K,Faturamento!$L682,'Historico - FAT'!$I:$I,Faturamento!$J682,'Historico - FAT'!$G:$G,Faturamento!$H682)</f>
        <v>65.223333333333343</v>
      </c>
      <c r="AD682" s="31">
        <f>SUMIFS('Historico - FAT'!AM:AM,'Historico - FAT'!$K:$K,Faturamento!$L682,'Historico - FAT'!$I:$I,Faturamento!$J682,'Historico - FAT'!$G:$G,Faturamento!$H682)</f>
        <v>87.046666666666667</v>
      </c>
      <c r="AE682" s="27">
        <f>SUMIFS('Historico - FAT'!AN:AN,'Historico - FAT'!$K:$K,Faturamento!$L682,'Historico - FAT'!$I:$I,Faturamento!$J682,'Historico - FAT'!$G:$G,Faturamento!$H682)</f>
        <v>78.268000000000001</v>
      </c>
      <c r="AG682" s="24">
        <f t="shared" si="150"/>
        <v>-1.8703125</v>
      </c>
      <c r="AH682" s="24">
        <f t="shared" si="151"/>
        <v>-1.7176388888888894</v>
      </c>
      <c r="AI682" s="24">
        <f t="shared" si="152"/>
        <v>-2.6269444444444443</v>
      </c>
    </row>
    <row r="683" spans="1:35" hidden="1" x14ac:dyDescent="0.3">
      <c r="A683" s="2" t="str">
        <f t="shared" si="149"/>
        <v>NÃO</v>
      </c>
      <c r="B683" s="2">
        <v>1000184670</v>
      </c>
      <c r="C683" s="2" t="s">
        <v>147</v>
      </c>
      <c r="D683" s="4">
        <v>1000186197</v>
      </c>
      <c r="E683" s="4" t="s">
        <v>166</v>
      </c>
      <c r="F683" s="2">
        <v>1000184760</v>
      </c>
      <c r="G683" s="2" t="s">
        <v>60</v>
      </c>
      <c r="H683" s="4">
        <v>1000189780</v>
      </c>
      <c r="I683" s="4" t="s">
        <v>107</v>
      </c>
      <c r="J683" s="2">
        <v>1000189270</v>
      </c>
      <c r="K683" s="2" t="s">
        <v>34</v>
      </c>
      <c r="L683" s="4" t="s">
        <v>23</v>
      </c>
      <c r="M683" s="4" t="str">
        <f t="shared" si="156"/>
        <v>1000184670100018619710001897801000189270SABORES DO CAMPO</v>
      </c>
      <c r="N683" s="28">
        <f>N669*_xlfn.XLOOKUP($L683,'Balizador da Meta'!$B$4:$B$21,'Balizador da Meta'!$C$4:$C$21)</f>
        <v>0</v>
      </c>
      <c r="O683" s="28">
        <f>O669*_xlfn.XLOOKUP($L683,'Balizador da Meta'!$B$4:$B$21,'Balizador da Meta'!$C$4:$C$21)</f>
        <v>0</v>
      </c>
      <c r="P683" s="28">
        <f>P669*_xlfn.XLOOKUP($L683,'Balizador da Meta'!$B$4:$B$21,'Balizador da Meta'!$C$4:$C$21)</f>
        <v>0</v>
      </c>
      <c r="Q683" s="28">
        <f>Q669*_xlfn.XLOOKUP($L683,'Balizador da Meta'!$B$4:$B$21,'Balizador da Meta'!$C$4:$C$21)</f>
        <v>0</v>
      </c>
      <c r="R683" s="28">
        <f>R669*_xlfn.XLOOKUP($L683,'Balizador da Meta'!$B$4:$B$21,'Balizador da Meta'!$C$4:$C$21)</f>
        <v>0</v>
      </c>
      <c r="S683" s="28">
        <f>S669*_xlfn.XLOOKUP($L683,'Balizador da Meta'!$B$4:$B$21,'Balizador da Meta'!$C$4:$C$21)</f>
        <v>0</v>
      </c>
      <c r="T683" s="28">
        <f>T669*_xlfn.XLOOKUP($L683,'Balizador da Meta'!$B$4:$B$21,'Balizador da Meta'!$C$4:$C$21)</f>
        <v>0</v>
      </c>
      <c r="U683" s="28">
        <f>U669*_xlfn.XLOOKUP($L683,'Balizador da Meta'!$B$4:$B$21,'Balizador da Meta'!$C$4:$C$21)</f>
        <v>0</v>
      </c>
      <c r="V683" s="28">
        <f>V669*_xlfn.XLOOKUP($L683,'Balizador da Meta'!$B$4:$B$21,'Balizador da Meta'!$C$4:$C$21)</f>
        <v>0</v>
      </c>
      <c r="W683" s="28">
        <f>W669*_xlfn.XLOOKUP($L683,'Balizador da Meta'!$B$4:$B$21,'Balizador da Meta'!$C$4:$C$21)</f>
        <v>0</v>
      </c>
      <c r="X683" s="28">
        <f>X669*_xlfn.XLOOKUP($L683,'Balizador da Meta'!$B$4:$B$21,'Balizador da Meta'!$C$4:$C$21)</f>
        <v>0</v>
      </c>
      <c r="Y683" s="28">
        <f>Y669*_xlfn.XLOOKUP($L683,'Balizador da Meta'!$B$4:$B$21,'Balizador da Meta'!$C$4:$C$21)</f>
        <v>0</v>
      </c>
      <c r="Z683" s="30">
        <f t="shared" si="162"/>
        <v>0</v>
      </c>
      <c r="AA683" s="29"/>
      <c r="AB683" s="31">
        <f>SUMIFS('Historico - FAT'!AK:AK,'Historico - FAT'!$K:$K,Faturamento!$L683,'Historico - FAT'!$I:$I,Faturamento!$J683,'Historico - FAT'!$G:$G,Faturamento!$H683)</f>
        <v>0</v>
      </c>
      <c r="AC683" s="31">
        <f>SUMIFS('Historico - FAT'!AL:AL,'Historico - FAT'!$K:$K,Faturamento!$L683,'Historico - FAT'!$I:$I,Faturamento!$J683,'Historico - FAT'!$G:$G,Faturamento!$H683)</f>
        <v>3.69</v>
      </c>
      <c r="AD683" s="31">
        <f>SUMIFS('Historico - FAT'!AM:AM,'Historico - FAT'!$K:$K,Faturamento!$L683,'Historico - FAT'!$I:$I,Faturamento!$J683,'Historico - FAT'!$G:$G,Faturamento!$H683)</f>
        <v>7.38</v>
      </c>
      <c r="AE683" s="27">
        <f>SUMIFS('Historico - FAT'!AN:AN,'Historico - FAT'!$K:$K,Faturamento!$L683,'Historico - FAT'!$I:$I,Faturamento!$J683,'Historico - FAT'!$G:$G,Faturamento!$H683)</f>
        <v>4.4279999999999999</v>
      </c>
      <c r="AG683" s="24" t="str">
        <f t="shared" si="150"/>
        <v/>
      </c>
      <c r="AH683" s="24" t="str">
        <f t="shared" si="151"/>
        <v/>
      </c>
      <c r="AI683" s="24" t="str">
        <f t="shared" si="152"/>
        <v/>
      </c>
    </row>
    <row r="684" spans="1:35" hidden="1" x14ac:dyDescent="0.3">
      <c r="A684" s="2" t="str">
        <f t="shared" si="149"/>
        <v>NÃO</v>
      </c>
      <c r="B684" s="2">
        <v>1000184670</v>
      </c>
      <c r="C684" s="2" t="s">
        <v>147</v>
      </c>
      <c r="D684" s="4">
        <v>1000186197</v>
      </c>
      <c r="E684" s="4" t="s">
        <v>166</v>
      </c>
      <c r="F684" s="2">
        <v>1000184760</v>
      </c>
      <c r="G684" s="2" t="s">
        <v>60</v>
      </c>
      <c r="H684" s="4">
        <v>1000189780</v>
      </c>
      <c r="I684" s="4" t="s">
        <v>107</v>
      </c>
      <c r="J684" s="2">
        <v>1000189270</v>
      </c>
      <c r="K684" s="2" t="s">
        <v>34</v>
      </c>
      <c r="L684" s="4" t="s">
        <v>28</v>
      </c>
      <c r="M684" s="4" t="str">
        <f t="shared" si="156"/>
        <v>1000184670100018619710001897801000189270SAL</v>
      </c>
      <c r="N684" s="28">
        <f>N669*_xlfn.XLOOKUP($L684,'Balizador da Meta'!$B$4:$B$21,'Balizador da Meta'!$C$4:$C$21)</f>
        <v>12</v>
      </c>
      <c r="O684" s="28">
        <f>O669*_xlfn.XLOOKUP($L684,'Balizador da Meta'!$B$4:$B$21,'Balizador da Meta'!$C$4:$C$21)</f>
        <v>12</v>
      </c>
      <c r="P684" s="28">
        <f>P669*_xlfn.XLOOKUP($L684,'Balizador da Meta'!$B$4:$B$21,'Balizador da Meta'!$C$4:$C$21)</f>
        <v>12</v>
      </c>
      <c r="Q684" s="28">
        <f>Q669*_xlfn.XLOOKUP($L684,'Balizador da Meta'!$B$4:$B$21,'Balizador da Meta'!$C$4:$C$21)</f>
        <v>12</v>
      </c>
      <c r="R684" s="28">
        <f>R669*_xlfn.XLOOKUP($L684,'Balizador da Meta'!$B$4:$B$21,'Balizador da Meta'!$C$4:$C$21)</f>
        <v>12</v>
      </c>
      <c r="S684" s="28">
        <f>S669*_xlfn.XLOOKUP($L684,'Balizador da Meta'!$B$4:$B$21,'Balizador da Meta'!$C$4:$C$21)</f>
        <v>12</v>
      </c>
      <c r="T684" s="28">
        <f>T669*_xlfn.XLOOKUP($L684,'Balizador da Meta'!$B$4:$B$21,'Balizador da Meta'!$C$4:$C$21)</f>
        <v>12</v>
      </c>
      <c r="U684" s="28">
        <f>U669*_xlfn.XLOOKUP($L684,'Balizador da Meta'!$B$4:$B$21,'Balizador da Meta'!$C$4:$C$21)</f>
        <v>12</v>
      </c>
      <c r="V684" s="28">
        <f>V669*_xlfn.XLOOKUP($L684,'Balizador da Meta'!$B$4:$B$21,'Balizador da Meta'!$C$4:$C$21)</f>
        <v>12</v>
      </c>
      <c r="W684" s="28">
        <f>W669*_xlfn.XLOOKUP($L684,'Balizador da Meta'!$B$4:$B$21,'Balizador da Meta'!$C$4:$C$21)</f>
        <v>12</v>
      </c>
      <c r="X684" s="28">
        <f>X669*_xlfn.XLOOKUP($L684,'Balizador da Meta'!$B$4:$B$21,'Balizador da Meta'!$C$4:$C$21)</f>
        <v>12</v>
      </c>
      <c r="Y684" s="28">
        <f>Y669*_xlfn.XLOOKUP($L684,'Balizador da Meta'!$B$4:$B$21,'Balizador da Meta'!$C$4:$C$21)</f>
        <v>12</v>
      </c>
      <c r="Z684" s="30">
        <f t="shared" si="162"/>
        <v>144</v>
      </c>
      <c r="AA684" s="29"/>
      <c r="AB684" s="31">
        <f>SUMIFS('Historico - FAT'!AK:AK,'Historico - FAT'!$K:$K,Faturamento!$L684,'Historico - FAT'!$I:$I,Faturamento!$J684,'Historico - FAT'!$G:$G,Faturamento!$H684)</f>
        <v>26.613333333333333</v>
      </c>
      <c r="AC684" s="31">
        <f>SUMIFS('Historico - FAT'!AL:AL,'Historico - FAT'!$K:$K,Faturamento!$L684,'Historico - FAT'!$I:$I,Faturamento!$J684,'Historico - FAT'!$G:$G,Faturamento!$H684)</f>
        <v>25.471666666666664</v>
      </c>
      <c r="AD684" s="31">
        <f>SUMIFS('Historico - FAT'!AM:AM,'Historico - FAT'!$K:$K,Faturamento!$L684,'Historico - FAT'!$I:$I,Faturamento!$J684,'Historico - FAT'!$G:$G,Faturamento!$H684)</f>
        <v>50.943333333333328</v>
      </c>
      <c r="AE684" s="27">
        <f>SUMIFS('Historico - FAT'!AN:AN,'Historico - FAT'!$K:$K,Faturamento!$L684,'Historico - FAT'!$I:$I,Faturamento!$J684,'Historico - FAT'!$G:$G,Faturamento!$H684)</f>
        <v>30.565999999999995</v>
      </c>
      <c r="AG684" s="24">
        <f t="shared" si="150"/>
        <v>-1.2177777777777778</v>
      </c>
      <c r="AH684" s="24">
        <f t="shared" si="151"/>
        <v>-1.1226388888888887</v>
      </c>
      <c r="AI684" s="24">
        <f t="shared" si="152"/>
        <v>-3.2452777777777775</v>
      </c>
    </row>
    <row r="685" spans="1:35" hidden="1" x14ac:dyDescent="0.3">
      <c r="A685" s="2" t="str">
        <f t="shared" si="149"/>
        <v>NÃO</v>
      </c>
      <c r="B685" s="2">
        <v>1000184670</v>
      </c>
      <c r="C685" s="2" t="s">
        <v>147</v>
      </c>
      <c r="D685" s="4">
        <v>1000186197</v>
      </c>
      <c r="E685" s="4" t="s">
        <v>166</v>
      </c>
      <c r="F685" s="2">
        <v>1000184760</v>
      </c>
      <c r="G685" s="2" t="s">
        <v>60</v>
      </c>
      <c r="H685" s="4">
        <v>1000189780</v>
      </c>
      <c r="I685" s="4" t="s">
        <v>107</v>
      </c>
      <c r="J685" s="2">
        <v>1000189270</v>
      </c>
      <c r="K685" s="2" t="s">
        <v>34</v>
      </c>
      <c r="L685" s="4" t="s">
        <v>26</v>
      </c>
      <c r="M685" s="4" t="str">
        <f t="shared" si="156"/>
        <v>1000184670100018619710001897801000189270SOULPRO</v>
      </c>
      <c r="N685" s="28">
        <f>N669*_xlfn.XLOOKUP($L685,'Balizador da Meta'!$B$4:$B$21,'Balizador da Meta'!$C$4:$C$21)</f>
        <v>36</v>
      </c>
      <c r="O685" s="28">
        <f>O669*_xlfn.XLOOKUP($L685,'Balizador da Meta'!$B$4:$B$21,'Balizador da Meta'!$C$4:$C$21)</f>
        <v>36</v>
      </c>
      <c r="P685" s="28">
        <f>P669*_xlfn.XLOOKUP($L685,'Balizador da Meta'!$B$4:$B$21,'Balizador da Meta'!$C$4:$C$21)</f>
        <v>36</v>
      </c>
      <c r="Q685" s="28">
        <f>Q669*_xlfn.XLOOKUP($L685,'Balizador da Meta'!$B$4:$B$21,'Balizador da Meta'!$C$4:$C$21)</f>
        <v>36</v>
      </c>
      <c r="R685" s="28">
        <f>R669*_xlfn.XLOOKUP($L685,'Balizador da Meta'!$B$4:$B$21,'Balizador da Meta'!$C$4:$C$21)</f>
        <v>36</v>
      </c>
      <c r="S685" s="28">
        <f>S669*_xlfn.XLOOKUP($L685,'Balizador da Meta'!$B$4:$B$21,'Balizador da Meta'!$C$4:$C$21)</f>
        <v>36</v>
      </c>
      <c r="T685" s="28">
        <f>T669*_xlfn.XLOOKUP($L685,'Balizador da Meta'!$B$4:$B$21,'Balizador da Meta'!$C$4:$C$21)</f>
        <v>36</v>
      </c>
      <c r="U685" s="28">
        <f>U669*_xlfn.XLOOKUP($L685,'Balizador da Meta'!$B$4:$B$21,'Balizador da Meta'!$C$4:$C$21)</f>
        <v>36</v>
      </c>
      <c r="V685" s="28">
        <f>V669*_xlfn.XLOOKUP($L685,'Balizador da Meta'!$B$4:$B$21,'Balizador da Meta'!$C$4:$C$21)</f>
        <v>36</v>
      </c>
      <c r="W685" s="28">
        <f>W669*_xlfn.XLOOKUP($L685,'Balizador da Meta'!$B$4:$B$21,'Balizador da Meta'!$C$4:$C$21)</f>
        <v>36</v>
      </c>
      <c r="X685" s="28">
        <f>X669*_xlfn.XLOOKUP($L685,'Balizador da Meta'!$B$4:$B$21,'Balizador da Meta'!$C$4:$C$21)</f>
        <v>36</v>
      </c>
      <c r="Y685" s="28">
        <f>Y669*_xlfn.XLOOKUP($L685,'Balizador da Meta'!$B$4:$B$21,'Balizador da Meta'!$C$4:$C$21)</f>
        <v>36</v>
      </c>
      <c r="Z685" s="30">
        <f t="shared" si="162"/>
        <v>432</v>
      </c>
      <c r="AA685" s="29"/>
      <c r="AB685" s="31">
        <f>SUMIFS('Historico - FAT'!AK:AK,'Historico - FAT'!$K:$K,Faturamento!$L685,'Historico - FAT'!$I:$I,Faturamento!$J685,'Historico - FAT'!$G:$G,Faturamento!$H685)</f>
        <v>0</v>
      </c>
      <c r="AC685" s="31">
        <f>SUMIFS('Historico - FAT'!AL:AL,'Historico - FAT'!$K:$K,Faturamento!$L685,'Historico - FAT'!$I:$I,Faturamento!$J685,'Historico - FAT'!$G:$G,Faturamento!$H685)</f>
        <v>8.5499999999999989</v>
      </c>
      <c r="AD685" s="31">
        <f>SUMIFS('Historico - FAT'!AM:AM,'Historico - FAT'!$K:$K,Faturamento!$L685,'Historico - FAT'!$I:$I,Faturamento!$J685,'Historico - FAT'!$G:$G,Faturamento!$H685)</f>
        <v>17.099999999999998</v>
      </c>
      <c r="AE685" s="27">
        <f>SUMIFS('Historico - FAT'!AN:AN,'Historico - FAT'!$K:$K,Faturamento!$L685,'Historico - FAT'!$I:$I,Faturamento!$J685,'Historico - FAT'!$G:$G,Faturamento!$H685)</f>
        <v>10.26</v>
      </c>
      <c r="AG685" s="24">
        <f t="shared" si="150"/>
        <v>1</v>
      </c>
      <c r="AH685" s="24">
        <f t="shared" si="151"/>
        <v>0.76250000000000007</v>
      </c>
      <c r="AI685" s="24">
        <f t="shared" si="152"/>
        <v>0.52500000000000002</v>
      </c>
    </row>
    <row r="686" spans="1:35" hidden="1" x14ac:dyDescent="0.3">
      <c r="A686" s="2" t="str">
        <f t="shared" si="149"/>
        <v>NÃO</v>
      </c>
      <c r="B686" s="2">
        <v>1000184670</v>
      </c>
      <c r="C686" s="2" t="s">
        <v>147</v>
      </c>
      <c r="D686" s="4">
        <v>1000186197</v>
      </c>
      <c r="E686" s="4" t="s">
        <v>166</v>
      </c>
      <c r="F686" s="2">
        <v>1000184760</v>
      </c>
      <c r="G686" s="2" t="s">
        <v>60</v>
      </c>
      <c r="H686" s="4">
        <v>1000189780</v>
      </c>
      <c r="I686" s="4" t="s">
        <v>107</v>
      </c>
      <c r="J686" s="2">
        <v>1000189270</v>
      </c>
      <c r="K686" s="2" t="s">
        <v>34</v>
      </c>
      <c r="L686" s="4" t="s">
        <v>27</v>
      </c>
      <c r="M686" s="4" t="str">
        <f t="shared" si="156"/>
        <v>1000184670100018619710001897801000189270TAMARA</v>
      </c>
      <c r="N686" s="28">
        <f>N669*_xlfn.XLOOKUP($L686,'Balizador da Meta'!$B$4:$B$21,'Balizador da Meta'!$C$4:$C$21)</f>
        <v>48</v>
      </c>
      <c r="O686" s="28">
        <f>O669*_xlfn.XLOOKUP($L686,'Balizador da Meta'!$B$4:$B$21,'Balizador da Meta'!$C$4:$C$21)</f>
        <v>48</v>
      </c>
      <c r="P686" s="28">
        <f>P669*_xlfn.XLOOKUP($L686,'Balizador da Meta'!$B$4:$B$21,'Balizador da Meta'!$C$4:$C$21)</f>
        <v>48</v>
      </c>
      <c r="Q686" s="28">
        <f>Q669*_xlfn.XLOOKUP($L686,'Balizador da Meta'!$B$4:$B$21,'Balizador da Meta'!$C$4:$C$21)</f>
        <v>48</v>
      </c>
      <c r="R686" s="28">
        <f>R669*_xlfn.XLOOKUP($L686,'Balizador da Meta'!$B$4:$B$21,'Balizador da Meta'!$C$4:$C$21)</f>
        <v>48</v>
      </c>
      <c r="S686" s="28">
        <f>S669*_xlfn.XLOOKUP($L686,'Balizador da Meta'!$B$4:$B$21,'Balizador da Meta'!$C$4:$C$21)</f>
        <v>48</v>
      </c>
      <c r="T686" s="28">
        <f>T669*_xlfn.XLOOKUP($L686,'Balizador da Meta'!$B$4:$B$21,'Balizador da Meta'!$C$4:$C$21)</f>
        <v>48</v>
      </c>
      <c r="U686" s="28">
        <f>U669*_xlfn.XLOOKUP($L686,'Balizador da Meta'!$B$4:$B$21,'Balizador da Meta'!$C$4:$C$21)</f>
        <v>48</v>
      </c>
      <c r="V686" s="28">
        <f>V669*_xlfn.XLOOKUP($L686,'Balizador da Meta'!$B$4:$B$21,'Balizador da Meta'!$C$4:$C$21)</f>
        <v>48</v>
      </c>
      <c r="W686" s="28">
        <f>W669*_xlfn.XLOOKUP($L686,'Balizador da Meta'!$B$4:$B$21,'Balizador da Meta'!$C$4:$C$21)</f>
        <v>48</v>
      </c>
      <c r="X686" s="28">
        <f>X669*_xlfn.XLOOKUP($L686,'Balizador da Meta'!$B$4:$B$21,'Balizador da Meta'!$C$4:$C$21)</f>
        <v>48</v>
      </c>
      <c r="Y686" s="28">
        <f>Y669*_xlfn.XLOOKUP($L686,'Balizador da Meta'!$B$4:$B$21,'Balizador da Meta'!$C$4:$C$21)</f>
        <v>48</v>
      </c>
      <c r="Z686" s="30">
        <f t="shared" si="162"/>
        <v>576</v>
      </c>
      <c r="AA686" s="29"/>
      <c r="AB686" s="31">
        <f>SUMIFS('Historico - FAT'!AK:AK,'Historico - FAT'!$K:$K,Faturamento!$L686,'Historico - FAT'!$I:$I,Faturamento!$J686,'Historico - FAT'!$G:$G,Faturamento!$H686)</f>
        <v>34.449999999999996</v>
      </c>
      <c r="AC686" s="31">
        <f>SUMIFS('Historico - FAT'!AL:AL,'Historico - FAT'!$K:$K,Faturamento!$L686,'Historico - FAT'!$I:$I,Faturamento!$J686,'Historico - FAT'!$G:$G,Faturamento!$H686)</f>
        <v>73.970833333333331</v>
      </c>
      <c r="AD686" s="31">
        <f>SUMIFS('Historico - FAT'!AM:AM,'Historico - FAT'!$K:$K,Faturamento!$L686,'Historico - FAT'!$I:$I,Faturamento!$J686,'Historico - FAT'!$G:$G,Faturamento!$H686)</f>
        <v>11.541666666666666</v>
      </c>
      <c r="AE686" s="27">
        <f>SUMIFS('Historico - FAT'!AN:AN,'Historico - FAT'!$K:$K,Faturamento!$L686,'Historico - FAT'!$I:$I,Faturamento!$J686,'Historico - FAT'!$G:$G,Faturamento!$H686)</f>
        <v>88.765000000000001</v>
      </c>
      <c r="AG686" s="24">
        <f t="shared" si="150"/>
        <v>0.28229166666666677</v>
      </c>
      <c r="AH686" s="24">
        <f t="shared" si="151"/>
        <v>-0.5410590277777777</v>
      </c>
      <c r="AI686" s="24">
        <f t="shared" si="152"/>
        <v>0.75954861111111116</v>
      </c>
    </row>
    <row r="687" spans="1:35" hidden="1" x14ac:dyDescent="0.3">
      <c r="A687" s="2" t="str">
        <f t="shared" si="149"/>
        <v>NÃO</v>
      </c>
      <c r="B687" s="2">
        <v>1000184670</v>
      </c>
      <c r="C687" s="2" t="s">
        <v>147</v>
      </c>
      <c r="D687" s="4">
        <v>1000186197</v>
      </c>
      <c r="E687" s="4" t="s">
        <v>166</v>
      </c>
      <c r="F687" s="2">
        <v>1000184760</v>
      </c>
      <c r="G687" s="2" t="s">
        <v>60</v>
      </c>
      <c r="H687" s="4">
        <v>1000189780</v>
      </c>
      <c r="I687" s="4" t="s">
        <v>107</v>
      </c>
      <c r="J687" s="2">
        <v>1000189270</v>
      </c>
      <c r="K687" s="2" t="s">
        <v>34</v>
      </c>
      <c r="L687" s="4" t="s">
        <v>25</v>
      </c>
      <c r="M687" s="4" t="str">
        <f t="shared" si="156"/>
        <v>1000184670100018619710001897801000189270VICCIO</v>
      </c>
      <c r="N687" s="28">
        <f>N669*_xlfn.XLOOKUP($L687,'Balizador da Meta'!$B$4:$B$21,'Balizador da Meta'!$C$4:$C$21)</f>
        <v>18</v>
      </c>
      <c r="O687" s="28">
        <f>O669*_xlfn.XLOOKUP($L687,'Balizador da Meta'!$B$4:$B$21,'Balizador da Meta'!$C$4:$C$21)</f>
        <v>18</v>
      </c>
      <c r="P687" s="28">
        <f>P669*_xlfn.XLOOKUP($L687,'Balizador da Meta'!$B$4:$B$21,'Balizador da Meta'!$C$4:$C$21)</f>
        <v>18</v>
      </c>
      <c r="Q687" s="28">
        <f>Q669*_xlfn.XLOOKUP($L687,'Balizador da Meta'!$B$4:$B$21,'Balizador da Meta'!$C$4:$C$21)</f>
        <v>18</v>
      </c>
      <c r="R687" s="28">
        <f>R669*_xlfn.XLOOKUP($L687,'Balizador da Meta'!$B$4:$B$21,'Balizador da Meta'!$C$4:$C$21)</f>
        <v>18</v>
      </c>
      <c r="S687" s="28">
        <f>S669*_xlfn.XLOOKUP($L687,'Balizador da Meta'!$B$4:$B$21,'Balizador da Meta'!$C$4:$C$21)</f>
        <v>18</v>
      </c>
      <c r="T687" s="28">
        <f>T669*_xlfn.XLOOKUP($L687,'Balizador da Meta'!$B$4:$B$21,'Balizador da Meta'!$C$4:$C$21)</f>
        <v>18</v>
      </c>
      <c r="U687" s="28">
        <f>U669*_xlfn.XLOOKUP($L687,'Balizador da Meta'!$B$4:$B$21,'Balizador da Meta'!$C$4:$C$21)</f>
        <v>18</v>
      </c>
      <c r="V687" s="28">
        <f>V669*_xlfn.XLOOKUP($L687,'Balizador da Meta'!$B$4:$B$21,'Balizador da Meta'!$C$4:$C$21)</f>
        <v>18</v>
      </c>
      <c r="W687" s="28">
        <f>W669*_xlfn.XLOOKUP($L687,'Balizador da Meta'!$B$4:$B$21,'Balizador da Meta'!$C$4:$C$21)</f>
        <v>18</v>
      </c>
      <c r="X687" s="28">
        <f>X669*_xlfn.XLOOKUP($L687,'Balizador da Meta'!$B$4:$B$21,'Balizador da Meta'!$C$4:$C$21)</f>
        <v>18</v>
      </c>
      <c r="Y687" s="28">
        <f>Y669*_xlfn.XLOOKUP($L687,'Balizador da Meta'!$B$4:$B$21,'Balizador da Meta'!$C$4:$C$21)</f>
        <v>18</v>
      </c>
      <c r="Z687" s="30">
        <f t="shared" si="162"/>
        <v>216</v>
      </c>
      <c r="AA687" s="29"/>
      <c r="AB687" s="31">
        <f>SUMIFS('Historico - FAT'!AK:AK,'Historico - FAT'!$K:$K,Faturamento!$L687,'Historico - FAT'!$I:$I,Faturamento!$J687,'Historico - FAT'!$G:$G,Faturamento!$H687)</f>
        <v>0</v>
      </c>
      <c r="AC687" s="31">
        <f>SUMIFS('Historico - FAT'!AL:AL,'Historico - FAT'!$K:$K,Faturamento!$L687,'Historico - FAT'!$I:$I,Faturamento!$J687,'Historico - FAT'!$G:$G,Faturamento!$H687)</f>
        <v>0</v>
      </c>
      <c r="AD687" s="31">
        <f>SUMIFS('Historico - FAT'!AM:AM,'Historico - FAT'!$K:$K,Faturamento!$L687,'Historico - FAT'!$I:$I,Faturamento!$J687,'Historico - FAT'!$G:$G,Faturamento!$H687)</f>
        <v>0</v>
      </c>
      <c r="AE687" s="27">
        <f>SUMIFS('Historico - FAT'!AN:AN,'Historico - FAT'!$K:$K,Faturamento!$L687,'Historico - FAT'!$I:$I,Faturamento!$J687,'Historico - FAT'!$G:$G,Faturamento!$H687)</f>
        <v>0</v>
      </c>
      <c r="AG687" s="24">
        <f t="shared" si="150"/>
        <v>1</v>
      </c>
      <c r="AH687" s="24">
        <f t="shared" si="151"/>
        <v>1</v>
      </c>
      <c r="AI687" s="24">
        <f t="shared" si="152"/>
        <v>1</v>
      </c>
    </row>
    <row r="688" spans="1:35" x14ac:dyDescent="0.3">
      <c r="A688" s="2" t="str">
        <f t="shared" si="149"/>
        <v>SIM</v>
      </c>
      <c r="B688" s="2">
        <v>1000184670</v>
      </c>
      <c r="C688" s="2" t="s">
        <v>147</v>
      </c>
      <c r="D688" s="4">
        <v>1000186197</v>
      </c>
      <c r="E688" s="4" t="s">
        <v>166</v>
      </c>
      <c r="F688" s="2">
        <v>1000184760</v>
      </c>
      <c r="G688" s="2" t="s">
        <v>60</v>
      </c>
      <c r="H688" s="4">
        <v>1000189781</v>
      </c>
      <c r="I688" s="4" t="s">
        <v>108</v>
      </c>
      <c r="J688" s="2">
        <v>1000189270</v>
      </c>
      <c r="K688" s="2" t="s">
        <v>34</v>
      </c>
      <c r="L688" s="4" t="s">
        <v>124</v>
      </c>
      <c r="M688" s="4" t="str">
        <f t="shared" si="156"/>
        <v>100018467010001861971000189781100018927001. TOTAL</v>
      </c>
      <c r="N688" s="28">
        <f>SUMIFS(Positivação!L:L,Positivação!$I:$I,Faturamento!$J688,Positivação!$G:$G,Faturamento!$H688)*SUMIFS(Positivação!$Z:$Z,Positivação!$I:$I,Faturamento!$J688,Positivação!$G:$G,Faturamento!$H688)</f>
        <v>3000</v>
      </c>
      <c r="O688" s="28">
        <f>SUMIFS(Positivação!M:M,Positivação!$I:$I,Faturamento!$J688,Positivação!$G:$G,Faturamento!$H688)*SUMIFS(Positivação!$Z:$Z,Positivação!$I:$I,Faturamento!$J688,Positivação!$G:$G,Faturamento!$H688)</f>
        <v>3000</v>
      </c>
      <c r="P688" s="28">
        <f>SUMIFS(Positivação!N:N,Positivação!$I:$I,Faturamento!$J688,Positivação!$G:$G,Faturamento!$H688)*SUMIFS(Positivação!$Z:$Z,Positivação!$I:$I,Faturamento!$J688,Positivação!$G:$G,Faturamento!$H688)</f>
        <v>3000</v>
      </c>
      <c r="Q688" s="28">
        <f>SUMIFS(Positivação!O:O,Positivação!$I:$I,Faturamento!$J688,Positivação!$G:$G,Faturamento!$H688)*SUMIFS(Positivação!$Z:$Z,Positivação!$I:$I,Faturamento!$J688,Positivação!$G:$G,Faturamento!$H688)</f>
        <v>3000</v>
      </c>
      <c r="R688" s="28">
        <f>SUMIFS(Positivação!P:P,Positivação!$I:$I,Faturamento!$J688,Positivação!$G:$G,Faturamento!$H688)*SUMIFS(Positivação!$Z:$Z,Positivação!$I:$I,Faturamento!$J688,Positivação!$G:$G,Faturamento!$H688)</f>
        <v>3000</v>
      </c>
      <c r="S688" s="28">
        <f>SUMIFS(Positivação!Q:Q,Positivação!$I:$I,Faturamento!$J688,Positivação!$G:$G,Faturamento!$H688)*SUMIFS(Positivação!$Z:$Z,Positivação!$I:$I,Faturamento!$J688,Positivação!$G:$G,Faturamento!$H688)</f>
        <v>3000</v>
      </c>
      <c r="T688" s="28">
        <f>SUMIFS(Positivação!R:R,Positivação!$I:$I,Faturamento!$J688,Positivação!$G:$G,Faturamento!$H688)*SUMIFS(Positivação!$Z:$Z,Positivação!$I:$I,Faturamento!$J688,Positivação!$G:$G,Faturamento!$H688)</f>
        <v>3000</v>
      </c>
      <c r="U688" s="28">
        <f>SUMIFS(Positivação!S:S,Positivação!$I:$I,Faturamento!$J688,Positivação!$G:$G,Faturamento!$H688)*SUMIFS(Positivação!$Z:$Z,Positivação!$I:$I,Faturamento!$J688,Positivação!$G:$G,Faturamento!$H688)</f>
        <v>3000</v>
      </c>
      <c r="V688" s="28">
        <f>SUMIFS(Positivação!T:T,Positivação!$I:$I,Faturamento!$J688,Positivação!$G:$G,Faturamento!$H688)*SUMIFS(Positivação!$Z:$Z,Positivação!$I:$I,Faturamento!$J688,Positivação!$G:$G,Faturamento!$H688)</f>
        <v>3000</v>
      </c>
      <c r="W688" s="28">
        <f>SUMIFS(Positivação!U:U,Positivação!$I:$I,Faturamento!$J688,Positivação!$G:$G,Faturamento!$H688)*SUMIFS(Positivação!$Z:$Z,Positivação!$I:$I,Faturamento!$J688,Positivação!$G:$G,Faturamento!$H688)</f>
        <v>3000</v>
      </c>
      <c r="X688" s="28">
        <f>SUMIFS(Positivação!V:V,Positivação!$I:$I,Faturamento!$J688,Positivação!$G:$G,Faturamento!$H688)*SUMIFS(Positivação!$Z:$Z,Positivação!$I:$I,Faturamento!$J688,Positivação!$G:$G,Faturamento!$H688)</f>
        <v>3000</v>
      </c>
      <c r="Y688" s="28">
        <f>SUMIFS(Positivação!W:W,Positivação!$I:$I,Faturamento!$J688,Positivação!$G:$G,Faturamento!$H688)*SUMIFS(Positivação!$Z:$Z,Positivação!$I:$I,Faturamento!$J688,Positivação!$G:$G,Faturamento!$H688)</f>
        <v>3000</v>
      </c>
      <c r="Z688" s="28">
        <f t="shared" ref="Z688" si="163">SUM(Z689:Z706)</f>
        <v>36000</v>
      </c>
      <c r="AA688" s="29"/>
      <c r="AB688" s="28">
        <f t="shared" ref="AB688:AE688" si="164">SUM(AB689:AB706)</f>
        <v>475.49416666666667</v>
      </c>
      <c r="AC688" s="28">
        <f t="shared" si="164"/>
        <v>1638.8658333333333</v>
      </c>
      <c r="AD688" s="28">
        <f t="shared" si="164"/>
        <v>2136.2650000000003</v>
      </c>
      <c r="AE688" s="28">
        <f t="shared" si="164"/>
        <v>1966.6390000000001</v>
      </c>
      <c r="AG688" s="24">
        <f t="shared" si="150"/>
        <v>0.84150194444444437</v>
      </c>
      <c r="AH688" s="24">
        <f t="shared" si="151"/>
        <v>0.4537113888888889</v>
      </c>
      <c r="AI688" s="24">
        <f t="shared" si="152"/>
        <v>0.28791166666666657</v>
      </c>
    </row>
    <row r="689" spans="1:35" hidden="1" x14ac:dyDescent="0.3">
      <c r="A689" s="2" t="str">
        <f t="shared" si="149"/>
        <v>NÃO</v>
      </c>
      <c r="B689" s="2">
        <v>1000184670</v>
      </c>
      <c r="C689" s="2" t="s">
        <v>147</v>
      </c>
      <c r="D689" s="4">
        <v>1000186197</v>
      </c>
      <c r="E689" s="4" t="s">
        <v>166</v>
      </c>
      <c r="F689" s="2">
        <v>1000184760</v>
      </c>
      <c r="G689" s="2" t="s">
        <v>60</v>
      </c>
      <c r="H689" s="4">
        <v>1000189781</v>
      </c>
      <c r="I689" s="4" t="s">
        <v>108</v>
      </c>
      <c r="J689" s="2">
        <v>1000189270</v>
      </c>
      <c r="K689" s="2" t="s">
        <v>34</v>
      </c>
      <c r="L689" s="4" t="s">
        <v>13</v>
      </c>
      <c r="M689" s="4" t="str">
        <f t="shared" si="156"/>
        <v>1000184670100018619710001897811000189270BISCOITO</v>
      </c>
      <c r="N689" s="28">
        <f>N688*_xlfn.XLOOKUP($L689,'Balizador da Meta'!$B$4:$B$21,'Balizador da Meta'!$C$4:$C$21)</f>
        <v>210.00000000000003</v>
      </c>
      <c r="O689" s="28">
        <f>O688*_xlfn.XLOOKUP($L689,'Balizador da Meta'!$B$4:$B$21,'Balizador da Meta'!$C$4:$C$21)</f>
        <v>210.00000000000003</v>
      </c>
      <c r="P689" s="28">
        <f>P688*_xlfn.XLOOKUP($L689,'Balizador da Meta'!$B$4:$B$21,'Balizador da Meta'!$C$4:$C$21)</f>
        <v>210.00000000000003</v>
      </c>
      <c r="Q689" s="28">
        <f>Q688*_xlfn.XLOOKUP($L689,'Balizador da Meta'!$B$4:$B$21,'Balizador da Meta'!$C$4:$C$21)</f>
        <v>210.00000000000003</v>
      </c>
      <c r="R689" s="28">
        <f>R688*_xlfn.XLOOKUP($L689,'Balizador da Meta'!$B$4:$B$21,'Balizador da Meta'!$C$4:$C$21)</f>
        <v>210.00000000000003</v>
      </c>
      <c r="S689" s="28">
        <f>S688*_xlfn.XLOOKUP($L689,'Balizador da Meta'!$B$4:$B$21,'Balizador da Meta'!$C$4:$C$21)</f>
        <v>210.00000000000003</v>
      </c>
      <c r="T689" s="28">
        <f>T688*_xlfn.XLOOKUP($L689,'Balizador da Meta'!$B$4:$B$21,'Balizador da Meta'!$C$4:$C$21)</f>
        <v>210.00000000000003</v>
      </c>
      <c r="U689" s="28">
        <f>U688*_xlfn.XLOOKUP($L689,'Balizador da Meta'!$B$4:$B$21,'Balizador da Meta'!$C$4:$C$21)</f>
        <v>210.00000000000003</v>
      </c>
      <c r="V689" s="28">
        <f>V688*_xlfn.XLOOKUP($L689,'Balizador da Meta'!$B$4:$B$21,'Balizador da Meta'!$C$4:$C$21)</f>
        <v>210.00000000000003</v>
      </c>
      <c r="W689" s="28">
        <f>W688*_xlfn.XLOOKUP($L689,'Balizador da Meta'!$B$4:$B$21,'Balizador da Meta'!$C$4:$C$21)</f>
        <v>210.00000000000003</v>
      </c>
      <c r="X689" s="28">
        <f>X688*_xlfn.XLOOKUP($L689,'Balizador da Meta'!$B$4:$B$21,'Balizador da Meta'!$C$4:$C$21)</f>
        <v>210.00000000000003</v>
      </c>
      <c r="Y689" s="28">
        <f>Y688*_xlfn.XLOOKUP($L689,'Balizador da Meta'!$B$4:$B$21,'Balizador da Meta'!$C$4:$C$21)</f>
        <v>210.00000000000003</v>
      </c>
      <c r="Z689" s="30">
        <f t="shared" ref="Z689:Z706" si="165">SUM(N689:Y689)</f>
        <v>2520.0000000000005</v>
      </c>
      <c r="AA689" s="29"/>
      <c r="AB689" s="31">
        <f>SUMIFS('Historico - FAT'!AK:AK,'Historico - FAT'!$K:$K,Faturamento!$L689,'Historico - FAT'!$I:$I,Faturamento!$J689,'Historico - FAT'!$G:$G,Faturamento!$H689)</f>
        <v>85.126666666666665</v>
      </c>
      <c r="AC689" s="31">
        <f>SUMIFS('Historico - FAT'!AL:AL,'Historico - FAT'!$K:$K,Faturamento!$L689,'Historico - FAT'!$I:$I,Faturamento!$J689,'Historico - FAT'!$G:$G,Faturamento!$H689)</f>
        <v>47.878333333333337</v>
      </c>
      <c r="AD689" s="31">
        <f>SUMIFS('Historico - FAT'!AM:AM,'Historico - FAT'!$K:$K,Faturamento!$L689,'Historico - FAT'!$I:$I,Faturamento!$J689,'Historico - FAT'!$G:$G,Faturamento!$H689)</f>
        <v>38.875</v>
      </c>
      <c r="AE689" s="27">
        <f>SUMIFS('Historico - FAT'!AN:AN,'Historico - FAT'!$K:$K,Faturamento!$L689,'Historico - FAT'!$I:$I,Faturamento!$J689,'Historico - FAT'!$G:$G,Faturamento!$H689)</f>
        <v>57.454000000000008</v>
      </c>
      <c r="AG689" s="24">
        <f t="shared" si="150"/>
        <v>0.59463492063492074</v>
      </c>
      <c r="AH689" s="24">
        <f t="shared" si="151"/>
        <v>0.77200793650793653</v>
      </c>
      <c r="AI689" s="24">
        <f t="shared" si="152"/>
        <v>0.81488095238095237</v>
      </c>
    </row>
    <row r="690" spans="1:35" hidden="1" x14ac:dyDescent="0.3">
      <c r="A690" s="2" t="str">
        <f t="shared" ref="A690:A753" si="166">IF(OR(H690&lt;&gt;H689,J690&lt;&gt;J689),"SIM","NÃO")</f>
        <v>NÃO</v>
      </c>
      <c r="B690" s="2">
        <v>1000184670</v>
      </c>
      <c r="C690" s="2" t="s">
        <v>147</v>
      </c>
      <c r="D690" s="4">
        <v>1000186197</v>
      </c>
      <c r="E690" s="4" t="s">
        <v>166</v>
      </c>
      <c r="F690" s="2">
        <v>1000184760</v>
      </c>
      <c r="G690" s="2" t="s">
        <v>60</v>
      </c>
      <c r="H690" s="4">
        <v>1000189781</v>
      </c>
      <c r="I690" s="4" t="s">
        <v>108</v>
      </c>
      <c r="J690" s="2">
        <v>1000189270</v>
      </c>
      <c r="K690" s="2" t="s">
        <v>34</v>
      </c>
      <c r="L690" s="4" t="s">
        <v>14</v>
      </c>
      <c r="M690" s="4" t="str">
        <f t="shared" si="156"/>
        <v>1000184670100018619710001897811000189270CHOCOLATES</v>
      </c>
      <c r="N690" s="28">
        <f>N688*_xlfn.XLOOKUP($L690,'Balizador da Meta'!$B$4:$B$21,'Balizador da Meta'!$C$4:$C$21)</f>
        <v>210.00000000000003</v>
      </c>
      <c r="O690" s="28">
        <f>O688*_xlfn.XLOOKUP($L690,'Balizador da Meta'!$B$4:$B$21,'Balizador da Meta'!$C$4:$C$21)</f>
        <v>210.00000000000003</v>
      </c>
      <c r="P690" s="28">
        <f>P688*_xlfn.XLOOKUP($L690,'Balizador da Meta'!$B$4:$B$21,'Balizador da Meta'!$C$4:$C$21)</f>
        <v>210.00000000000003</v>
      </c>
      <c r="Q690" s="28">
        <f>Q688*_xlfn.XLOOKUP($L690,'Balizador da Meta'!$B$4:$B$21,'Balizador da Meta'!$C$4:$C$21)</f>
        <v>210.00000000000003</v>
      </c>
      <c r="R690" s="28">
        <f>R688*_xlfn.XLOOKUP($L690,'Balizador da Meta'!$B$4:$B$21,'Balizador da Meta'!$C$4:$C$21)</f>
        <v>210.00000000000003</v>
      </c>
      <c r="S690" s="28">
        <f>S688*_xlfn.XLOOKUP($L690,'Balizador da Meta'!$B$4:$B$21,'Balizador da Meta'!$C$4:$C$21)</f>
        <v>210.00000000000003</v>
      </c>
      <c r="T690" s="28">
        <f>T688*_xlfn.XLOOKUP($L690,'Balizador da Meta'!$B$4:$B$21,'Balizador da Meta'!$C$4:$C$21)</f>
        <v>210.00000000000003</v>
      </c>
      <c r="U690" s="28">
        <f>U688*_xlfn.XLOOKUP($L690,'Balizador da Meta'!$B$4:$B$21,'Balizador da Meta'!$C$4:$C$21)</f>
        <v>210.00000000000003</v>
      </c>
      <c r="V690" s="28">
        <f>V688*_xlfn.XLOOKUP($L690,'Balizador da Meta'!$B$4:$B$21,'Balizador da Meta'!$C$4:$C$21)</f>
        <v>210.00000000000003</v>
      </c>
      <c r="W690" s="28">
        <f>W688*_xlfn.XLOOKUP($L690,'Balizador da Meta'!$B$4:$B$21,'Balizador da Meta'!$C$4:$C$21)</f>
        <v>210.00000000000003</v>
      </c>
      <c r="X690" s="28">
        <f>X688*_xlfn.XLOOKUP($L690,'Balizador da Meta'!$B$4:$B$21,'Balizador da Meta'!$C$4:$C$21)</f>
        <v>210.00000000000003</v>
      </c>
      <c r="Y690" s="28">
        <f>Y688*_xlfn.XLOOKUP($L690,'Balizador da Meta'!$B$4:$B$21,'Balizador da Meta'!$C$4:$C$21)</f>
        <v>210.00000000000003</v>
      </c>
      <c r="Z690" s="30">
        <f t="shared" si="165"/>
        <v>2520.0000000000005</v>
      </c>
      <c r="AA690" s="29"/>
      <c r="AB690" s="31">
        <f>SUMIFS('Historico - FAT'!AK:AK,'Historico - FAT'!$K:$K,Faturamento!$L690,'Historico - FAT'!$I:$I,Faturamento!$J690,'Historico - FAT'!$G:$G,Faturamento!$H690)</f>
        <v>0</v>
      </c>
      <c r="AC690" s="31">
        <f>SUMIFS('Historico - FAT'!AL:AL,'Historico - FAT'!$K:$K,Faturamento!$L690,'Historico - FAT'!$I:$I,Faturamento!$J690,'Historico - FAT'!$G:$G,Faturamento!$H690)</f>
        <v>36.746666666666663</v>
      </c>
      <c r="AD690" s="31">
        <f>SUMIFS('Historico - FAT'!AM:AM,'Historico - FAT'!$K:$K,Faturamento!$L690,'Historico - FAT'!$I:$I,Faturamento!$J690,'Historico - FAT'!$G:$G,Faturamento!$H690)</f>
        <v>0</v>
      </c>
      <c r="AE690" s="27">
        <f>SUMIFS('Historico - FAT'!AN:AN,'Historico - FAT'!$K:$K,Faturamento!$L690,'Historico - FAT'!$I:$I,Faturamento!$J690,'Historico - FAT'!$G:$G,Faturamento!$H690)</f>
        <v>44.095999999999997</v>
      </c>
      <c r="AG690" s="24">
        <f t="shared" ref="AG690:AG753" si="167">IFERROR((AVERAGE(W690:Y690)-AB690)/AVERAGE(W690:Y690),"")</f>
        <v>1</v>
      </c>
      <c r="AH690" s="24">
        <f t="shared" ref="AH690:AH753" si="168">IFERROR((AVERAGE(W690:Y690)-AC690)/AVERAGE(W690:Y690),"")</f>
        <v>0.82501587301587298</v>
      </c>
      <c r="AI690" s="24">
        <f t="shared" ref="AI690:AI753" si="169">IFERROR((AVERAGE(W690:Y690)-AD690)/AVERAGE(W690:Y690),"")</f>
        <v>1</v>
      </c>
    </row>
    <row r="691" spans="1:35" hidden="1" x14ac:dyDescent="0.3">
      <c r="A691" s="2" t="str">
        <f t="shared" si="166"/>
        <v>NÃO</v>
      </c>
      <c r="B691" s="2">
        <v>1000184670</v>
      </c>
      <c r="C691" s="2" t="s">
        <v>147</v>
      </c>
      <c r="D691" s="4">
        <v>1000186197</v>
      </c>
      <c r="E691" s="4" t="s">
        <v>166</v>
      </c>
      <c r="F691" s="2">
        <v>1000184760</v>
      </c>
      <c r="G691" s="2" t="s">
        <v>60</v>
      </c>
      <c r="H691" s="4">
        <v>1000189781</v>
      </c>
      <c r="I691" s="4" t="s">
        <v>108</v>
      </c>
      <c r="J691" s="2">
        <v>1000189270</v>
      </c>
      <c r="K691" s="2" t="s">
        <v>34</v>
      </c>
      <c r="L691" s="4" t="s">
        <v>16</v>
      </c>
      <c r="M691" s="4" t="str">
        <f t="shared" si="156"/>
        <v>1000184670100018619710001897811000189270DISNEY</v>
      </c>
      <c r="N691" s="28">
        <f>N688*_xlfn.XLOOKUP($L691,'Balizador da Meta'!$B$4:$B$21,'Balizador da Meta'!$C$4:$C$21)</f>
        <v>240</v>
      </c>
      <c r="O691" s="28">
        <f>O688*_xlfn.XLOOKUP($L691,'Balizador da Meta'!$B$4:$B$21,'Balizador da Meta'!$C$4:$C$21)</f>
        <v>240</v>
      </c>
      <c r="P691" s="28">
        <f>P688*_xlfn.XLOOKUP($L691,'Balizador da Meta'!$B$4:$B$21,'Balizador da Meta'!$C$4:$C$21)</f>
        <v>240</v>
      </c>
      <c r="Q691" s="28">
        <f>Q688*_xlfn.XLOOKUP($L691,'Balizador da Meta'!$B$4:$B$21,'Balizador da Meta'!$C$4:$C$21)</f>
        <v>240</v>
      </c>
      <c r="R691" s="28">
        <f>R688*_xlfn.XLOOKUP($L691,'Balizador da Meta'!$B$4:$B$21,'Balizador da Meta'!$C$4:$C$21)</f>
        <v>240</v>
      </c>
      <c r="S691" s="28">
        <f>S688*_xlfn.XLOOKUP($L691,'Balizador da Meta'!$B$4:$B$21,'Balizador da Meta'!$C$4:$C$21)</f>
        <v>240</v>
      </c>
      <c r="T691" s="28">
        <f>T688*_xlfn.XLOOKUP($L691,'Balizador da Meta'!$B$4:$B$21,'Balizador da Meta'!$C$4:$C$21)</f>
        <v>240</v>
      </c>
      <c r="U691" s="28">
        <f>U688*_xlfn.XLOOKUP($L691,'Balizador da Meta'!$B$4:$B$21,'Balizador da Meta'!$C$4:$C$21)</f>
        <v>240</v>
      </c>
      <c r="V691" s="28">
        <f>V688*_xlfn.XLOOKUP($L691,'Balizador da Meta'!$B$4:$B$21,'Balizador da Meta'!$C$4:$C$21)</f>
        <v>240</v>
      </c>
      <c r="W691" s="28">
        <f>W688*_xlfn.XLOOKUP($L691,'Balizador da Meta'!$B$4:$B$21,'Balizador da Meta'!$C$4:$C$21)</f>
        <v>240</v>
      </c>
      <c r="X691" s="28">
        <f>X688*_xlfn.XLOOKUP($L691,'Balizador da Meta'!$B$4:$B$21,'Balizador da Meta'!$C$4:$C$21)</f>
        <v>240</v>
      </c>
      <c r="Y691" s="28">
        <f>Y688*_xlfn.XLOOKUP($L691,'Balizador da Meta'!$B$4:$B$21,'Balizador da Meta'!$C$4:$C$21)</f>
        <v>240</v>
      </c>
      <c r="Z691" s="30">
        <f t="shared" si="165"/>
        <v>2880</v>
      </c>
      <c r="AA691" s="29"/>
      <c r="AB691" s="31">
        <f>SUMIFS('Historico - FAT'!AK:AK,'Historico - FAT'!$K:$K,Faturamento!$L691,'Historico - FAT'!$I:$I,Faturamento!$J691,'Historico - FAT'!$G:$G,Faturamento!$H691)</f>
        <v>0</v>
      </c>
      <c r="AC691" s="31">
        <f>SUMIFS('Historico - FAT'!AL:AL,'Historico - FAT'!$K:$K,Faturamento!$L691,'Historico - FAT'!$I:$I,Faturamento!$J691,'Historico - FAT'!$G:$G,Faturamento!$H691)</f>
        <v>98.759999999999991</v>
      </c>
      <c r="AD691" s="31">
        <f>SUMIFS('Historico - FAT'!AM:AM,'Historico - FAT'!$K:$K,Faturamento!$L691,'Historico - FAT'!$I:$I,Faturamento!$J691,'Historico - FAT'!$G:$G,Faturamento!$H691)</f>
        <v>86.995000000000005</v>
      </c>
      <c r="AE691" s="27">
        <f>SUMIFS('Historico - FAT'!AN:AN,'Historico - FAT'!$K:$K,Faturamento!$L691,'Historico - FAT'!$I:$I,Faturamento!$J691,'Historico - FAT'!$G:$G,Faturamento!$H691)</f>
        <v>118.51199999999999</v>
      </c>
      <c r="AG691" s="24">
        <f t="shared" si="167"/>
        <v>1</v>
      </c>
      <c r="AH691" s="24">
        <f t="shared" si="168"/>
        <v>0.58850000000000002</v>
      </c>
      <c r="AI691" s="24">
        <f t="shared" si="169"/>
        <v>0.63752083333333331</v>
      </c>
    </row>
    <row r="692" spans="1:35" hidden="1" x14ac:dyDescent="0.3">
      <c r="A692" s="2" t="str">
        <f t="shared" si="166"/>
        <v>NÃO</v>
      </c>
      <c r="B692" s="2">
        <v>1000184670</v>
      </c>
      <c r="C692" s="2" t="s">
        <v>147</v>
      </c>
      <c r="D692" s="4">
        <v>1000186197</v>
      </c>
      <c r="E692" s="4" t="s">
        <v>166</v>
      </c>
      <c r="F692" s="2">
        <v>1000184760</v>
      </c>
      <c r="G692" s="2" t="s">
        <v>60</v>
      </c>
      <c r="H692" s="4">
        <v>1000189781</v>
      </c>
      <c r="I692" s="4" t="s">
        <v>108</v>
      </c>
      <c r="J692" s="2">
        <v>1000189270</v>
      </c>
      <c r="K692" s="2" t="s">
        <v>34</v>
      </c>
      <c r="L692" s="4" t="s">
        <v>15</v>
      </c>
      <c r="M692" s="4" t="str">
        <f t="shared" si="156"/>
        <v>1000184670100018619710001897811000189270DOCES</v>
      </c>
      <c r="N692" s="28">
        <f>N688*_xlfn.XLOOKUP($L692,'Balizador da Meta'!$B$4:$B$21,'Balizador da Meta'!$C$4:$C$21)</f>
        <v>270</v>
      </c>
      <c r="O692" s="28">
        <f>O688*_xlfn.XLOOKUP($L692,'Balizador da Meta'!$B$4:$B$21,'Balizador da Meta'!$C$4:$C$21)</f>
        <v>270</v>
      </c>
      <c r="P692" s="28">
        <f>P688*_xlfn.XLOOKUP($L692,'Balizador da Meta'!$B$4:$B$21,'Balizador da Meta'!$C$4:$C$21)</f>
        <v>270</v>
      </c>
      <c r="Q692" s="28">
        <f>Q688*_xlfn.XLOOKUP($L692,'Balizador da Meta'!$B$4:$B$21,'Balizador da Meta'!$C$4:$C$21)</f>
        <v>270</v>
      </c>
      <c r="R692" s="28">
        <f>R688*_xlfn.XLOOKUP($L692,'Balizador da Meta'!$B$4:$B$21,'Balizador da Meta'!$C$4:$C$21)</f>
        <v>270</v>
      </c>
      <c r="S692" s="28">
        <f>S688*_xlfn.XLOOKUP($L692,'Balizador da Meta'!$B$4:$B$21,'Balizador da Meta'!$C$4:$C$21)</f>
        <v>270</v>
      </c>
      <c r="T692" s="28">
        <f>T688*_xlfn.XLOOKUP($L692,'Balizador da Meta'!$B$4:$B$21,'Balizador da Meta'!$C$4:$C$21)</f>
        <v>270</v>
      </c>
      <c r="U692" s="28">
        <f>U688*_xlfn.XLOOKUP($L692,'Balizador da Meta'!$B$4:$B$21,'Balizador da Meta'!$C$4:$C$21)</f>
        <v>270</v>
      </c>
      <c r="V692" s="28">
        <f>V688*_xlfn.XLOOKUP($L692,'Balizador da Meta'!$B$4:$B$21,'Balizador da Meta'!$C$4:$C$21)</f>
        <v>270</v>
      </c>
      <c r="W692" s="28">
        <f>W688*_xlfn.XLOOKUP($L692,'Balizador da Meta'!$B$4:$B$21,'Balizador da Meta'!$C$4:$C$21)</f>
        <v>270</v>
      </c>
      <c r="X692" s="28">
        <f>X688*_xlfn.XLOOKUP($L692,'Balizador da Meta'!$B$4:$B$21,'Balizador da Meta'!$C$4:$C$21)</f>
        <v>270</v>
      </c>
      <c r="Y692" s="28">
        <f>Y688*_xlfn.XLOOKUP($L692,'Balizador da Meta'!$B$4:$B$21,'Balizador da Meta'!$C$4:$C$21)</f>
        <v>270</v>
      </c>
      <c r="Z692" s="30">
        <f t="shared" si="165"/>
        <v>3240</v>
      </c>
      <c r="AA692" s="29"/>
      <c r="AB692" s="31">
        <f>SUMIFS('Historico - FAT'!AK:AK,'Historico - FAT'!$K:$K,Faturamento!$L692,'Historico - FAT'!$I:$I,Faturamento!$J692,'Historico - FAT'!$G:$G,Faturamento!$H692)</f>
        <v>0</v>
      </c>
      <c r="AC692" s="31">
        <f>SUMIFS('Historico - FAT'!AL:AL,'Historico - FAT'!$K:$K,Faturamento!$L692,'Historico - FAT'!$I:$I,Faturamento!$J692,'Historico - FAT'!$G:$G,Faturamento!$H692)</f>
        <v>126.76833333333336</v>
      </c>
      <c r="AD692" s="31">
        <f>SUMIFS('Historico - FAT'!AM:AM,'Historico - FAT'!$K:$K,Faturamento!$L692,'Historico - FAT'!$I:$I,Faturamento!$J692,'Historico - FAT'!$G:$G,Faturamento!$H692)</f>
        <v>145.83500000000001</v>
      </c>
      <c r="AE692" s="27">
        <f>SUMIFS('Historico - FAT'!AN:AN,'Historico - FAT'!$K:$K,Faturamento!$L692,'Historico - FAT'!$I:$I,Faturamento!$J692,'Historico - FAT'!$G:$G,Faturamento!$H692)</f>
        <v>152.12200000000001</v>
      </c>
      <c r="AG692" s="24">
        <f t="shared" si="167"/>
        <v>1</v>
      </c>
      <c r="AH692" s="24">
        <f t="shared" si="168"/>
        <v>0.53048765432098755</v>
      </c>
      <c r="AI692" s="24">
        <f t="shared" si="169"/>
        <v>0.45987037037037032</v>
      </c>
    </row>
    <row r="693" spans="1:35" hidden="1" x14ac:dyDescent="0.3">
      <c r="A693" s="2" t="str">
        <f t="shared" si="166"/>
        <v>NÃO</v>
      </c>
      <c r="B693" s="2">
        <v>1000184670</v>
      </c>
      <c r="C693" s="2" t="s">
        <v>147</v>
      </c>
      <c r="D693" s="4">
        <v>1000186197</v>
      </c>
      <c r="E693" s="4" t="s">
        <v>166</v>
      </c>
      <c r="F693" s="2">
        <v>1000184760</v>
      </c>
      <c r="G693" s="2" t="s">
        <v>60</v>
      </c>
      <c r="H693" s="4">
        <v>1000189781</v>
      </c>
      <c r="I693" s="4" t="s">
        <v>108</v>
      </c>
      <c r="J693" s="2">
        <v>1000189270</v>
      </c>
      <c r="K693" s="2" t="s">
        <v>34</v>
      </c>
      <c r="L693" s="4" t="s">
        <v>33</v>
      </c>
      <c r="M693" s="4" t="str">
        <f t="shared" si="156"/>
        <v>1000184670100018619710001897811000189270FOOD SERVICE</v>
      </c>
      <c r="N693" s="28">
        <f>N688*_xlfn.XLOOKUP($L693,'Balizador da Meta'!$B$4:$B$21,'Balizador da Meta'!$C$4:$C$21)</f>
        <v>0</v>
      </c>
      <c r="O693" s="28">
        <f>O688*_xlfn.XLOOKUP($L693,'Balizador da Meta'!$B$4:$B$21,'Balizador da Meta'!$C$4:$C$21)</f>
        <v>0</v>
      </c>
      <c r="P693" s="28">
        <f>P688*_xlfn.XLOOKUP($L693,'Balizador da Meta'!$B$4:$B$21,'Balizador da Meta'!$C$4:$C$21)</f>
        <v>0</v>
      </c>
      <c r="Q693" s="28">
        <f>Q688*_xlfn.XLOOKUP($L693,'Balizador da Meta'!$B$4:$B$21,'Balizador da Meta'!$C$4:$C$21)</f>
        <v>0</v>
      </c>
      <c r="R693" s="28">
        <f>R688*_xlfn.XLOOKUP($L693,'Balizador da Meta'!$B$4:$B$21,'Balizador da Meta'!$C$4:$C$21)</f>
        <v>0</v>
      </c>
      <c r="S693" s="28">
        <f>S688*_xlfn.XLOOKUP($L693,'Balizador da Meta'!$B$4:$B$21,'Balizador da Meta'!$C$4:$C$21)</f>
        <v>0</v>
      </c>
      <c r="T693" s="28">
        <f>T688*_xlfn.XLOOKUP($L693,'Balizador da Meta'!$B$4:$B$21,'Balizador da Meta'!$C$4:$C$21)</f>
        <v>0</v>
      </c>
      <c r="U693" s="28">
        <f>U688*_xlfn.XLOOKUP($L693,'Balizador da Meta'!$B$4:$B$21,'Balizador da Meta'!$C$4:$C$21)</f>
        <v>0</v>
      </c>
      <c r="V693" s="28">
        <f>V688*_xlfn.XLOOKUP($L693,'Balizador da Meta'!$B$4:$B$21,'Balizador da Meta'!$C$4:$C$21)</f>
        <v>0</v>
      </c>
      <c r="W693" s="28">
        <f>W688*_xlfn.XLOOKUP($L693,'Balizador da Meta'!$B$4:$B$21,'Balizador da Meta'!$C$4:$C$21)</f>
        <v>0</v>
      </c>
      <c r="X693" s="28">
        <f>X688*_xlfn.XLOOKUP($L693,'Balizador da Meta'!$B$4:$B$21,'Balizador da Meta'!$C$4:$C$21)</f>
        <v>0</v>
      </c>
      <c r="Y693" s="28">
        <f>Y688*_xlfn.XLOOKUP($L693,'Balizador da Meta'!$B$4:$B$21,'Balizador da Meta'!$C$4:$C$21)</f>
        <v>0</v>
      </c>
      <c r="Z693" s="30">
        <f t="shared" si="165"/>
        <v>0</v>
      </c>
      <c r="AA693" s="29"/>
      <c r="AB693" s="31">
        <f>SUMIFS('Historico - FAT'!AK:AK,'Historico - FAT'!$K:$K,Faturamento!$L693,'Historico - FAT'!$I:$I,Faturamento!$J693,'Historico - FAT'!$G:$G,Faturamento!$H693)</f>
        <v>0</v>
      </c>
      <c r="AC693" s="31">
        <f>SUMIFS('Historico - FAT'!AL:AL,'Historico - FAT'!$K:$K,Faturamento!$L693,'Historico - FAT'!$I:$I,Faturamento!$J693,'Historico - FAT'!$G:$G,Faturamento!$H693)</f>
        <v>0</v>
      </c>
      <c r="AD693" s="31">
        <f>SUMIFS('Historico - FAT'!AM:AM,'Historico - FAT'!$K:$K,Faturamento!$L693,'Historico - FAT'!$I:$I,Faturamento!$J693,'Historico - FAT'!$G:$G,Faturamento!$H693)</f>
        <v>0</v>
      </c>
      <c r="AE693" s="27">
        <f>SUMIFS('Historico - FAT'!AN:AN,'Historico - FAT'!$K:$K,Faturamento!$L693,'Historico - FAT'!$I:$I,Faturamento!$J693,'Historico - FAT'!$G:$G,Faturamento!$H693)</f>
        <v>0</v>
      </c>
      <c r="AG693" s="24" t="str">
        <f t="shared" si="167"/>
        <v/>
      </c>
      <c r="AH693" s="24" t="str">
        <f t="shared" si="168"/>
        <v/>
      </c>
      <c r="AI693" s="24" t="str">
        <f t="shared" si="169"/>
        <v/>
      </c>
    </row>
    <row r="694" spans="1:35" hidden="1" x14ac:dyDescent="0.3">
      <c r="A694" s="2" t="str">
        <f t="shared" si="166"/>
        <v>NÃO</v>
      </c>
      <c r="B694" s="2">
        <v>1000184670</v>
      </c>
      <c r="C694" s="2" t="s">
        <v>147</v>
      </c>
      <c r="D694" s="4">
        <v>1000186197</v>
      </c>
      <c r="E694" s="4" t="s">
        <v>166</v>
      </c>
      <c r="F694" s="2">
        <v>1000184760</v>
      </c>
      <c r="G694" s="2" t="s">
        <v>60</v>
      </c>
      <c r="H694" s="4">
        <v>1000189781</v>
      </c>
      <c r="I694" s="4" t="s">
        <v>108</v>
      </c>
      <c r="J694" s="2">
        <v>1000189270</v>
      </c>
      <c r="K694" s="2" t="s">
        <v>34</v>
      </c>
      <c r="L694" s="4" t="s">
        <v>19</v>
      </c>
      <c r="M694" s="4" t="str">
        <f t="shared" si="156"/>
        <v>1000184670100018619710001897811000189270GELEIA</v>
      </c>
      <c r="N694" s="28">
        <f>N688*_xlfn.XLOOKUP($L694,'Balizador da Meta'!$B$4:$B$21,'Balizador da Meta'!$C$4:$C$21)</f>
        <v>59.999999999999993</v>
      </c>
      <c r="O694" s="28">
        <f>O688*_xlfn.XLOOKUP($L694,'Balizador da Meta'!$B$4:$B$21,'Balizador da Meta'!$C$4:$C$21)</f>
        <v>59.999999999999993</v>
      </c>
      <c r="P694" s="28">
        <f>P688*_xlfn.XLOOKUP($L694,'Balizador da Meta'!$B$4:$B$21,'Balizador da Meta'!$C$4:$C$21)</f>
        <v>59.999999999999993</v>
      </c>
      <c r="Q694" s="28">
        <f>Q688*_xlfn.XLOOKUP($L694,'Balizador da Meta'!$B$4:$B$21,'Balizador da Meta'!$C$4:$C$21)</f>
        <v>59.999999999999993</v>
      </c>
      <c r="R694" s="28">
        <f>R688*_xlfn.XLOOKUP($L694,'Balizador da Meta'!$B$4:$B$21,'Balizador da Meta'!$C$4:$C$21)</f>
        <v>59.999999999999993</v>
      </c>
      <c r="S694" s="28">
        <f>S688*_xlfn.XLOOKUP($L694,'Balizador da Meta'!$B$4:$B$21,'Balizador da Meta'!$C$4:$C$21)</f>
        <v>59.999999999999993</v>
      </c>
      <c r="T694" s="28">
        <f>T688*_xlfn.XLOOKUP($L694,'Balizador da Meta'!$B$4:$B$21,'Balizador da Meta'!$C$4:$C$21)</f>
        <v>59.999999999999993</v>
      </c>
      <c r="U694" s="28">
        <f>U688*_xlfn.XLOOKUP($L694,'Balizador da Meta'!$B$4:$B$21,'Balizador da Meta'!$C$4:$C$21)</f>
        <v>59.999999999999993</v>
      </c>
      <c r="V694" s="28">
        <f>V688*_xlfn.XLOOKUP($L694,'Balizador da Meta'!$B$4:$B$21,'Balizador da Meta'!$C$4:$C$21)</f>
        <v>59.999999999999993</v>
      </c>
      <c r="W694" s="28">
        <f>W688*_xlfn.XLOOKUP($L694,'Balizador da Meta'!$B$4:$B$21,'Balizador da Meta'!$C$4:$C$21)</f>
        <v>59.999999999999993</v>
      </c>
      <c r="X694" s="28">
        <f>X688*_xlfn.XLOOKUP($L694,'Balizador da Meta'!$B$4:$B$21,'Balizador da Meta'!$C$4:$C$21)</f>
        <v>59.999999999999993</v>
      </c>
      <c r="Y694" s="28">
        <f>Y688*_xlfn.XLOOKUP($L694,'Balizador da Meta'!$B$4:$B$21,'Balizador da Meta'!$C$4:$C$21)</f>
        <v>59.999999999999993</v>
      </c>
      <c r="Z694" s="30">
        <f t="shared" si="165"/>
        <v>719.99999999999989</v>
      </c>
      <c r="AA694" s="29"/>
      <c r="AB694" s="31">
        <f>SUMIFS('Historico - FAT'!AK:AK,'Historico - FAT'!$K:$K,Faturamento!$L694,'Historico - FAT'!$I:$I,Faturamento!$J694,'Historico - FAT'!$G:$G,Faturamento!$H694)</f>
        <v>0</v>
      </c>
      <c r="AC694" s="31">
        <f>SUMIFS('Historico - FAT'!AL:AL,'Historico - FAT'!$K:$K,Faturamento!$L694,'Historico - FAT'!$I:$I,Faturamento!$J694,'Historico - FAT'!$G:$G,Faturamento!$H694)</f>
        <v>0</v>
      </c>
      <c r="AD694" s="31">
        <f>SUMIFS('Historico - FAT'!AM:AM,'Historico - FAT'!$K:$K,Faturamento!$L694,'Historico - FAT'!$I:$I,Faturamento!$J694,'Historico - FAT'!$G:$G,Faturamento!$H694)</f>
        <v>0</v>
      </c>
      <c r="AE694" s="27">
        <f>SUMIFS('Historico - FAT'!AN:AN,'Historico - FAT'!$K:$K,Faturamento!$L694,'Historico - FAT'!$I:$I,Faturamento!$J694,'Historico - FAT'!$G:$G,Faturamento!$H694)</f>
        <v>0</v>
      </c>
      <c r="AG694" s="24">
        <f t="shared" si="167"/>
        <v>1</v>
      </c>
      <c r="AH694" s="24">
        <f t="shared" si="168"/>
        <v>1</v>
      </c>
      <c r="AI694" s="24">
        <f t="shared" si="169"/>
        <v>1</v>
      </c>
    </row>
    <row r="695" spans="1:35" hidden="1" x14ac:dyDescent="0.3">
      <c r="A695" s="2" t="str">
        <f t="shared" si="166"/>
        <v>NÃO</v>
      </c>
      <c r="B695" s="2">
        <v>1000184670</v>
      </c>
      <c r="C695" s="2" t="s">
        <v>147</v>
      </c>
      <c r="D695" s="4">
        <v>1000186197</v>
      </c>
      <c r="E695" s="4" t="s">
        <v>166</v>
      </c>
      <c r="F695" s="2">
        <v>1000184760</v>
      </c>
      <c r="G695" s="2" t="s">
        <v>60</v>
      </c>
      <c r="H695" s="4">
        <v>1000189781</v>
      </c>
      <c r="I695" s="4" t="s">
        <v>108</v>
      </c>
      <c r="J695" s="2">
        <v>1000189270</v>
      </c>
      <c r="K695" s="2" t="s">
        <v>34</v>
      </c>
      <c r="L695" s="4" t="s">
        <v>17</v>
      </c>
      <c r="M695" s="4" t="str">
        <f t="shared" si="156"/>
        <v>1000184670100018619710001897811000189270GRANOLA</v>
      </c>
      <c r="N695" s="28">
        <f>N688*_xlfn.XLOOKUP($L695,'Balizador da Meta'!$B$4:$B$21,'Balizador da Meta'!$C$4:$C$21)</f>
        <v>60</v>
      </c>
      <c r="O695" s="28">
        <f>O688*_xlfn.XLOOKUP($L695,'Balizador da Meta'!$B$4:$B$21,'Balizador da Meta'!$C$4:$C$21)</f>
        <v>60</v>
      </c>
      <c r="P695" s="28">
        <f>P688*_xlfn.XLOOKUP($L695,'Balizador da Meta'!$B$4:$B$21,'Balizador da Meta'!$C$4:$C$21)</f>
        <v>60</v>
      </c>
      <c r="Q695" s="28">
        <f>Q688*_xlfn.XLOOKUP($L695,'Balizador da Meta'!$B$4:$B$21,'Balizador da Meta'!$C$4:$C$21)</f>
        <v>60</v>
      </c>
      <c r="R695" s="28">
        <f>R688*_xlfn.XLOOKUP($L695,'Balizador da Meta'!$B$4:$B$21,'Balizador da Meta'!$C$4:$C$21)</f>
        <v>60</v>
      </c>
      <c r="S695" s="28">
        <f>S688*_xlfn.XLOOKUP($L695,'Balizador da Meta'!$B$4:$B$21,'Balizador da Meta'!$C$4:$C$21)</f>
        <v>60</v>
      </c>
      <c r="T695" s="28">
        <f>T688*_xlfn.XLOOKUP($L695,'Balizador da Meta'!$B$4:$B$21,'Balizador da Meta'!$C$4:$C$21)</f>
        <v>60</v>
      </c>
      <c r="U695" s="28">
        <f>U688*_xlfn.XLOOKUP($L695,'Balizador da Meta'!$B$4:$B$21,'Balizador da Meta'!$C$4:$C$21)</f>
        <v>60</v>
      </c>
      <c r="V695" s="28">
        <f>V688*_xlfn.XLOOKUP($L695,'Balizador da Meta'!$B$4:$B$21,'Balizador da Meta'!$C$4:$C$21)</f>
        <v>60</v>
      </c>
      <c r="W695" s="28">
        <f>W688*_xlfn.XLOOKUP($L695,'Balizador da Meta'!$B$4:$B$21,'Balizador da Meta'!$C$4:$C$21)</f>
        <v>60</v>
      </c>
      <c r="X695" s="28">
        <f>X688*_xlfn.XLOOKUP($L695,'Balizador da Meta'!$B$4:$B$21,'Balizador da Meta'!$C$4:$C$21)</f>
        <v>60</v>
      </c>
      <c r="Y695" s="28">
        <f>Y688*_xlfn.XLOOKUP($L695,'Balizador da Meta'!$B$4:$B$21,'Balizador da Meta'!$C$4:$C$21)</f>
        <v>60</v>
      </c>
      <c r="Z695" s="30">
        <f t="shared" si="165"/>
        <v>720</v>
      </c>
      <c r="AA695" s="29"/>
      <c r="AB695" s="31">
        <f>SUMIFS('Historico - FAT'!AK:AK,'Historico - FAT'!$K:$K,Faturamento!$L695,'Historico - FAT'!$I:$I,Faturamento!$J695,'Historico - FAT'!$G:$G,Faturamento!$H695)</f>
        <v>0</v>
      </c>
      <c r="AC695" s="31">
        <f>SUMIFS('Historico - FAT'!AL:AL,'Historico - FAT'!$K:$K,Faturamento!$L695,'Historico - FAT'!$I:$I,Faturamento!$J695,'Historico - FAT'!$G:$G,Faturamento!$H695)</f>
        <v>0</v>
      </c>
      <c r="AD695" s="31">
        <f>SUMIFS('Historico - FAT'!AM:AM,'Historico - FAT'!$K:$K,Faturamento!$L695,'Historico - FAT'!$I:$I,Faturamento!$J695,'Historico - FAT'!$G:$G,Faturamento!$H695)</f>
        <v>0</v>
      </c>
      <c r="AE695" s="27">
        <f>SUMIFS('Historico - FAT'!AN:AN,'Historico - FAT'!$K:$K,Faturamento!$L695,'Historico - FAT'!$I:$I,Faturamento!$J695,'Historico - FAT'!$G:$G,Faturamento!$H695)</f>
        <v>0</v>
      </c>
      <c r="AG695" s="24">
        <f t="shared" si="167"/>
        <v>1</v>
      </c>
      <c r="AH695" s="24">
        <f t="shared" si="168"/>
        <v>1</v>
      </c>
      <c r="AI695" s="24">
        <f t="shared" si="169"/>
        <v>1</v>
      </c>
    </row>
    <row r="696" spans="1:35" hidden="1" x14ac:dyDescent="0.3">
      <c r="A696" s="2" t="str">
        <f t="shared" si="166"/>
        <v>NÃO</v>
      </c>
      <c r="B696" s="2">
        <v>1000184670</v>
      </c>
      <c r="C696" s="2" t="s">
        <v>147</v>
      </c>
      <c r="D696" s="4">
        <v>1000186197</v>
      </c>
      <c r="E696" s="4" t="s">
        <v>166</v>
      </c>
      <c r="F696" s="2">
        <v>1000184760</v>
      </c>
      <c r="G696" s="2" t="s">
        <v>60</v>
      </c>
      <c r="H696" s="4">
        <v>1000189781</v>
      </c>
      <c r="I696" s="4" t="s">
        <v>108</v>
      </c>
      <c r="J696" s="2">
        <v>1000189270</v>
      </c>
      <c r="K696" s="2" t="s">
        <v>34</v>
      </c>
      <c r="L696" s="4" t="s">
        <v>24</v>
      </c>
      <c r="M696" s="4" t="str">
        <f t="shared" si="156"/>
        <v>1000184670100018619710001897811000189270KIDS</v>
      </c>
      <c r="N696" s="28">
        <f>N688*_xlfn.XLOOKUP($L696,'Balizador da Meta'!$B$4:$B$21,'Balizador da Meta'!$C$4:$C$21)</f>
        <v>0</v>
      </c>
      <c r="O696" s="28">
        <f>O688*_xlfn.XLOOKUP($L696,'Balizador da Meta'!$B$4:$B$21,'Balizador da Meta'!$C$4:$C$21)</f>
        <v>0</v>
      </c>
      <c r="P696" s="28">
        <f>P688*_xlfn.XLOOKUP($L696,'Balizador da Meta'!$B$4:$B$21,'Balizador da Meta'!$C$4:$C$21)</f>
        <v>0</v>
      </c>
      <c r="Q696" s="28">
        <f>Q688*_xlfn.XLOOKUP($L696,'Balizador da Meta'!$B$4:$B$21,'Balizador da Meta'!$C$4:$C$21)</f>
        <v>0</v>
      </c>
      <c r="R696" s="28">
        <f>R688*_xlfn.XLOOKUP($L696,'Balizador da Meta'!$B$4:$B$21,'Balizador da Meta'!$C$4:$C$21)</f>
        <v>0</v>
      </c>
      <c r="S696" s="28">
        <f>S688*_xlfn.XLOOKUP($L696,'Balizador da Meta'!$B$4:$B$21,'Balizador da Meta'!$C$4:$C$21)</f>
        <v>0</v>
      </c>
      <c r="T696" s="28">
        <f>T688*_xlfn.XLOOKUP($L696,'Balizador da Meta'!$B$4:$B$21,'Balizador da Meta'!$C$4:$C$21)</f>
        <v>0</v>
      </c>
      <c r="U696" s="28">
        <f>U688*_xlfn.XLOOKUP($L696,'Balizador da Meta'!$B$4:$B$21,'Balizador da Meta'!$C$4:$C$21)</f>
        <v>0</v>
      </c>
      <c r="V696" s="28">
        <f>V688*_xlfn.XLOOKUP($L696,'Balizador da Meta'!$B$4:$B$21,'Balizador da Meta'!$C$4:$C$21)</f>
        <v>0</v>
      </c>
      <c r="W696" s="28">
        <f>W688*_xlfn.XLOOKUP($L696,'Balizador da Meta'!$B$4:$B$21,'Balizador da Meta'!$C$4:$C$21)</f>
        <v>0</v>
      </c>
      <c r="X696" s="28">
        <f>X688*_xlfn.XLOOKUP($L696,'Balizador da Meta'!$B$4:$B$21,'Balizador da Meta'!$C$4:$C$21)</f>
        <v>0</v>
      </c>
      <c r="Y696" s="28">
        <f>Y688*_xlfn.XLOOKUP($L696,'Balizador da Meta'!$B$4:$B$21,'Balizador da Meta'!$C$4:$C$21)</f>
        <v>0</v>
      </c>
      <c r="Z696" s="30">
        <f t="shared" si="165"/>
        <v>0</v>
      </c>
      <c r="AA696" s="29"/>
      <c r="AB696" s="31">
        <f>SUMIFS('Historico - FAT'!AK:AK,'Historico - FAT'!$K:$K,Faturamento!$L696,'Historico - FAT'!$I:$I,Faturamento!$J696,'Historico - FAT'!$G:$G,Faturamento!$H696)</f>
        <v>0</v>
      </c>
      <c r="AC696" s="31">
        <f>SUMIFS('Historico - FAT'!AL:AL,'Historico - FAT'!$K:$K,Faturamento!$L696,'Historico - FAT'!$I:$I,Faturamento!$J696,'Historico - FAT'!$G:$G,Faturamento!$H696)</f>
        <v>49.734999999999992</v>
      </c>
      <c r="AD696" s="31">
        <f>SUMIFS('Historico - FAT'!AM:AM,'Historico - FAT'!$K:$K,Faturamento!$L696,'Historico - FAT'!$I:$I,Faturamento!$J696,'Historico - FAT'!$G:$G,Faturamento!$H696)</f>
        <v>46.313333333333333</v>
      </c>
      <c r="AE696" s="27">
        <f>SUMIFS('Historico - FAT'!AN:AN,'Historico - FAT'!$K:$K,Faturamento!$L696,'Historico - FAT'!$I:$I,Faturamento!$J696,'Historico - FAT'!$G:$G,Faturamento!$H696)</f>
        <v>59.681999999999995</v>
      </c>
      <c r="AG696" s="24" t="str">
        <f t="shared" si="167"/>
        <v/>
      </c>
      <c r="AH696" s="24" t="str">
        <f t="shared" si="168"/>
        <v/>
      </c>
      <c r="AI696" s="24" t="str">
        <f t="shared" si="169"/>
        <v/>
      </c>
    </row>
    <row r="697" spans="1:35" hidden="1" x14ac:dyDescent="0.3">
      <c r="A697" s="2" t="str">
        <f t="shared" si="166"/>
        <v>NÃO</v>
      </c>
      <c r="B697" s="2">
        <v>1000184670</v>
      </c>
      <c r="C697" s="2" t="s">
        <v>147</v>
      </c>
      <c r="D697" s="4">
        <v>1000186197</v>
      </c>
      <c r="E697" s="4" t="s">
        <v>166</v>
      </c>
      <c r="F697" s="2">
        <v>1000184760</v>
      </c>
      <c r="G697" s="2" t="s">
        <v>60</v>
      </c>
      <c r="H697" s="4">
        <v>1000189781</v>
      </c>
      <c r="I697" s="4" t="s">
        <v>108</v>
      </c>
      <c r="J697" s="2">
        <v>1000189270</v>
      </c>
      <c r="K697" s="2" t="s">
        <v>34</v>
      </c>
      <c r="L697" s="4" t="s">
        <v>18</v>
      </c>
      <c r="M697" s="4" t="str">
        <f t="shared" si="156"/>
        <v>1000184670100018619710001897811000189270LANCHES</v>
      </c>
      <c r="N697" s="28">
        <f>N688*_xlfn.XLOOKUP($L697,'Balizador da Meta'!$B$4:$B$21,'Balizador da Meta'!$C$4:$C$21)</f>
        <v>30</v>
      </c>
      <c r="O697" s="28">
        <f>O688*_xlfn.XLOOKUP($L697,'Balizador da Meta'!$B$4:$B$21,'Balizador da Meta'!$C$4:$C$21)</f>
        <v>30</v>
      </c>
      <c r="P697" s="28">
        <f>P688*_xlfn.XLOOKUP($L697,'Balizador da Meta'!$B$4:$B$21,'Balizador da Meta'!$C$4:$C$21)</f>
        <v>30</v>
      </c>
      <c r="Q697" s="28">
        <f>Q688*_xlfn.XLOOKUP($L697,'Balizador da Meta'!$B$4:$B$21,'Balizador da Meta'!$C$4:$C$21)</f>
        <v>30</v>
      </c>
      <c r="R697" s="28">
        <f>R688*_xlfn.XLOOKUP($L697,'Balizador da Meta'!$B$4:$B$21,'Balizador da Meta'!$C$4:$C$21)</f>
        <v>30</v>
      </c>
      <c r="S697" s="28">
        <f>S688*_xlfn.XLOOKUP($L697,'Balizador da Meta'!$B$4:$B$21,'Balizador da Meta'!$C$4:$C$21)</f>
        <v>30</v>
      </c>
      <c r="T697" s="28">
        <f>T688*_xlfn.XLOOKUP($L697,'Balizador da Meta'!$B$4:$B$21,'Balizador da Meta'!$C$4:$C$21)</f>
        <v>30</v>
      </c>
      <c r="U697" s="28">
        <f>U688*_xlfn.XLOOKUP($L697,'Balizador da Meta'!$B$4:$B$21,'Balizador da Meta'!$C$4:$C$21)</f>
        <v>30</v>
      </c>
      <c r="V697" s="28">
        <f>V688*_xlfn.XLOOKUP($L697,'Balizador da Meta'!$B$4:$B$21,'Balizador da Meta'!$C$4:$C$21)</f>
        <v>30</v>
      </c>
      <c r="W697" s="28">
        <f>W688*_xlfn.XLOOKUP($L697,'Balizador da Meta'!$B$4:$B$21,'Balizador da Meta'!$C$4:$C$21)</f>
        <v>30</v>
      </c>
      <c r="X697" s="28">
        <f>X688*_xlfn.XLOOKUP($L697,'Balizador da Meta'!$B$4:$B$21,'Balizador da Meta'!$C$4:$C$21)</f>
        <v>30</v>
      </c>
      <c r="Y697" s="28">
        <f>Y688*_xlfn.XLOOKUP($L697,'Balizador da Meta'!$B$4:$B$21,'Balizador da Meta'!$C$4:$C$21)</f>
        <v>30</v>
      </c>
      <c r="Z697" s="30">
        <f t="shared" si="165"/>
        <v>360</v>
      </c>
      <c r="AA697" s="29"/>
      <c r="AB697" s="31">
        <f>SUMIFS('Historico - FAT'!AK:AK,'Historico - FAT'!$K:$K,Faturamento!$L697,'Historico - FAT'!$I:$I,Faturamento!$J697,'Historico - FAT'!$G:$G,Faturamento!$H697)</f>
        <v>0</v>
      </c>
      <c r="AC697" s="31">
        <f>SUMIFS('Historico - FAT'!AL:AL,'Historico - FAT'!$K:$K,Faturamento!$L697,'Historico - FAT'!$I:$I,Faturamento!$J697,'Historico - FAT'!$G:$G,Faturamento!$H697)</f>
        <v>22.454999999999998</v>
      </c>
      <c r="AD697" s="31">
        <f>SUMIFS('Historico - FAT'!AM:AM,'Historico - FAT'!$K:$K,Faturamento!$L697,'Historico - FAT'!$I:$I,Faturamento!$J697,'Historico - FAT'!$G:$G,Faturamento!$H697)</f>
        <v>21.803333333333331</v>
      </c>
      <c r="AE697" s="27">
        <f>SUMIFS('Historico - FAT'!AN:AN,'Historico - FAT'!$K:$K,Faturamento!$L697,'Historico - FAT'!$I:$I,Faturamento!$J697,'Historico - FAT'!$G:$G,Faturamento!$H697)</f>
        <v>26.945999999999998</v>
      </c>
      <c r="AG697" s="24">
        <f t="shared" si="167"/>
        <v>1</v>
      </c>
      <c r="AH697" s="24">
        <f t="shared" si="168"/>
        <v>0.25150000000000006</v>
      </c>
      <c r="AI697" s="24">
        <f t="shared" si="169"/>
        <v>0.27322222222222231</v>
      </c>
    </row>
    <row r="698" spans="1:35" hidden="1" x14ac:dyDescent="0.3">
      <c r="A698" s="2" t="str">
        <f t="shared" si="166"/>
        <v>NÃO</v>
      </c>
      <c r="B698" s="2">
        <v>1000184670</v>
      </c>
      <c r="C698" s="2" t="s">
        <v>147</v>
      </c>
      <c r="D698" s="4">
        <v>1000186197</v>
      </c>
      <c r="E698" s="4" t="s">
        <v>166</v>
      </c>
      <c r="F698" s="2">
        <v>1000184760</v>
      </c>
      <c r="G698" s="2" t="s">
        <v>60</v>
      </c>
      <c r="H698" s="4">
        <v>1000189781</v>
      </c>
      <c r="I698" s="4" t="s">
        <v>108</v>
      </c>
      <c r="J698" s="2">
        <v>1000189270</v>
      </c>
      <c r="K698" s="2" t="s">
        <v>34</v>
      </c>
      <c r="L698" s="4" t="s">
        <v>29</v>
      </c>
      <c r="M698" s="4" t="str">
        <f t="shared" si="156"/>
        <v>1000184670100018619710001897811000189270MAIS GRANEL</v>
      </c>
      <c r="N698" s="28">
        <f>N688*_xlfn.XLOOKUP($L698,'Balizador da Meta'!$B$4:$B$21,'Balizador da Meta'!$C$4:$C$21)</f>
        <v>960</v>
      </c>
      <c r="O698" s="28">
        <f>O688*_xlfn.XLOOKUP($L698,'Balizador da Meta'!$B$4:$B$21,'Balizador da Meta'!$C$4:$C$21)</f>
        <v>960</v>
      </c>
      <c r="P698" s="28">
        <f>P688*_xlfn.XLOOKUP($L698,'Balizador da Meta'!$B$4:$B$21,'Balizador da Meta'!$C$4:$C$21)</f>
        <v>960</v>
      </c>
      <c r="Q698" s="28">
        <f>Q688*_xlfn.XLOOKUP($L698,'Balizador da Meta'!$B$4:$B$21,'Balizador da Meta'!$C$4:$C$21)</f>
        <v>960</v>
      </c>
      <c r="R698" s="28">
        <f>R688*_xlfn.XLOOKUP($L698,'Balizador da Meta'!$B$4:$B$21,'Balizador da Meta'!$C$4:$C$21)</f>
        <v>960</v>
      </c>
      <c r="S698" s="28">
        <f>S688*_xlfn.XLOOKUP($L698,'Balizador da Meta'!$B$4:$B$21,'Balizador da Meta'!$C$4:$C$21)</f>
        <v>960</v>
      </c>
      <c r="T698" s="28">
        <f>T688*_xlfn.XLOOKUP($L698,'Balizador da Meta'!$B$4:$B$21,'Balizador da Meta'!$C$4:$C$21)</f>
        <v>960</v>
      </c>
      <c r="U698" s="28">
        <f>U688*_xlfn.XLOOKUP($L698,'Balizador da Meta'!$B$4:$B$21,'Balizador da Meta'!$C$4:$C$21)</f>
        <v>960</v>
      </c>
      <c r="V698" s="28">
        <f>V688*_xlfn.XLOOKUP($L698,'Balizador da Meta'!$B$4:$B$21,'Balizador da Meta'!$C$4:$C$21)</f>
        <v>960</v>
      </c>
      <c r="W698" s="28">
        <f>W688*_xlfn.XLOOKUP($L698,'Balizador da Meta'!$B$4:$B$21,'Balizador da Meta'!$C$4:$C$21)</f>
        <v>960</v>
      </c>
      <c r="X698" s="28">
        <f>X688*_xlfn.XLOOKUP($L698,'Balizador da Meta'!$B$4:$B$21,'Balizador da Meta'!$C$4:$C$21)</f>
        <v>960</v>
      </c>
      <c r="Y698" s="28">
        <f>Y688*_xlfn.XLOOKUP($L698,'Balizador da Meta'!$B$4:$B$21,'Balizador da Meta'!$C$4:$C$21)</f>
        <v>960</v>
      </c>
      <c r="Z698" s="30">
        <f t="shared" si="165"/>
        <v>11520</v>
      </c>
      <c r="AA698" s="29"/>
      <c r="AB698" s="31">
        <f>SUMIFS('Historico - FAT'!AK:AK,'Historico - FAT'!$K:$K,Faturamento!$L698,'Historico - FAT'!$I:$I,Faturamento!$J698,'Historico - FAT'!$G:$G,Faturamento!$H698)</f>
        <v>0</v>
      </c>
      <c r="AC698" s="31">
        <f>SUMIFS('Historico - FAT'!AL:AL,'Historico - FAT'!$K:$K,Faturamento!$L698,'Historico - FAT'!$I:$I,Faturamento!$J698,'Historico - FAT'!$G:$G,Faturamento!$H698)</f>
        <v>110.39999999999999</v>
      </c>
      <c r="AD698" s="31">
        <f>SUMIFS('Historico - FAT'!AM:AM,'Historico - FAT'!$K:$K,Faturamento!$L698,'Historico - FAT'!$I:$I,Faturamento!$J698,'Historico - FAT'!$G:$G,Faturamento!$H698)</f>
        <v>0</v>
      </c>
      <c r="AE698" s="27">
        <f>SUMIFS('Historico - FAT'!AN:AN,'Historico - FAT'!$K:$K,Faturamento!$L698,'Historico - FAT'!$I:$I,Faturamento!$J698,'Historico - FAT'!$G:$G,Faturamento!$H698)</f>
        <v>132.47999999999999</v>
      </c>
      <c r="AG698" s="24">
        <f t="shared" si="167"/>
        <v>1</v>
      </c>
      <c r="AH698" s="24">
        <f t="shared" si="168"/>
        <v>0.88500000000000001</v>
      </c>
      <c r="AI698" s="24">
        <f t="shared" si="169"/>
        <v>1</v>
      </c>
    </row>
    <row r="699" spans="1:35" hidden="1" x14ac:dyDescent="0.3">
      <c r="A699" s="2" t="str">
        <f t="shared" si="166"/>
        <v>NÃO</v>
      </c>
      <c r="B699" s="2">
        <v>1000184670</v>
      </c>
      <c r="C699" s="2" t="s">
        <v>147</v>
      </c>
      <c r="D699" s="4">
        <v>1000186197</v>
      </c>
      <c r="E699" s="4" t="s">
        <v>166</v>
      </c>
      <c r="F699" s="2">
        <v>1000184760</v>
      </c>
      <c r="G699" s="2" t="s">
        <v>60</v>
      </c>
      <c r="H699" s="4">
        <v>1000189781</v>
      </c>
      <c r="I699" s="4" t="s">
        <v>108</v>
      </c>
      <c r="J699" s="2">
        <v>1000189270</v>
      </c>
      <c r="K699" s="2" t="s">
        <v>34</v>
      </c>
      <c r="L699" s="4" t="s">
        <v>21</v>
      </c>
      <c r="M699" s="4" t="str">
        <f t="shared" si="156"/>
        <v>1000184670100018619710001897811000189270NATURATTA</v>
      </c>
      <c r="N699" s="28">
        <f>N688*_xlfn.XLOOKUP($L699,'Balizador da Meta'!$B$4:$B$21,'Balizador da Meta'!$C$4:$C$21)</f>
        <v>150</v>
      </c>
      <c r="O699" s="28">
        <f>O688*_xlfn.XLOOKUP($L699,'Balizador da Meta'!$B$4:$B$21,'Balizador da Meta'!$C$4:$C$21)</f>
        <v>150</v>
      </c>
      <c r="P699" s="28">
        <f>P688*_xlfn.XLOOKUP($L699,'Balizador da Meta'!$B$4:$B$21,'Balizador da Meta'!$C$4:$C$21)</f>
        <v>150</v>
      </c>
      <c r="Q699" s="28">
        <f>Q688*_xlfn.XLOOKUP($L699,'Balizador da Meta'!$B$4:$B$21,'Balizador da Meta'!$C$4:$C$21)</f>
        <v>150</v>
      </c>
      <c r="R699" s="28">
        <f>R688*_xlfn.XLOOKUP($L699,'Balizador da Meta'!$B$4:$B$21,'Balizador da Meta'!$C$4:$C$21)</f>
        <v>150</v>
      </c>
      <c r="S699" s="28">
        <f>S688*_xlfn.XLOOKUP($L699,'Balizador da Meta'!$B$4:$B$21,'Balizador da Meta'!$C$4:$C$21)</f>
        <v>150</v>
      </c>
      <c r="T699" s="28">
        <f>T688*_xlfn.XLOOKUP($L699,'Balizador da Meta'!$B$4:$B$21,'Balizador da Meta'!$C$4:$C$21)</f>
        <v>150</v>
      </c>
      <c r="U699" s="28">
        <f>U688*_xlfn.XLOOKUP($L699,'Balizador da Meta'!$B$4:$B$21,'Balizador da Meta'!$C$4:$C$21)</f>
        <v>150</v>
      </c>
      <c r="V699" s="28">
        <f>V688*_xlfn.XLOOKUP($L699,'Balizador da Meta'!$B$4:$B$21,'Balizador da Meta'!$C$4:$C$21)</f>
        <v>150</v>
      </c>
      <c r="W699" s="28">
        <f>W688*_xlfn.XLOOKUP($L699,'Balizador da Meta'!$B$4:$B$21,'Balizador da Meta'!$C$4:$C$21)</f>
        <v>150</v>
      </c>
      <c r="X699" s="28">
        <f>X688*_xlfn.XLOOKUP($L699,'Balizador da Meta'!$B$4:$B$21,'Balizador da Meta'!$C$4:$C$21)</f>
        <v>150</v>
      </c>
      <c r="Y699" s="28">
        <f>Y688*_xlfn.XLOOKUP($L699,'Balizador da Meta'!$B$4:$B$21,'Balizador da Meta'!$C$4:$C$21)</f>
        <v>150</v>
      </c>
      <c r="Z699" s="30">
        <f t="shared" si="165"/>
        <v>1800</v>
      </c>
      <c r="AA699" s="29"/>
      <c r="AB699" s="31">
        <f>SUMIFS('Historico - FAT'!AK:AK,'Historico - FAT'!$K:$K,Faturamento!$L699,'Historico - FAT'!$I:$I,Faturamento!$J699,'Historico - FAT'!$G:$G,Faturamento!$H699)</f>
        <v>290.36750000000001</v>
      </c>
      <c r="AC699" s="31">
        <f>SUMIFS('Historico - FAT'!AL:AL,'Historico - FAT'!$K:$K,Faturamento!$L699,'Historico - FAT'!$I:$I,Faturamento!$J699,'Historico - FAT'!$G:$G,Faturamento!$H699)</f>
        <v>27.178333333333331</v>
      </c>
      <c r="AD699" s="31">
        <f>SUMIFS('Historico - FAT'!AM:AM,'Historico - FAT'!$K:$K,Faturamento!$L699,'Historico - FAT'!$I:$I,Faturamento!$J699,'Historico - FAT'!$G:$G,Faturamento!$H699)</f>
        <v>54.356666666666662</v>
      </c>
      <c r="AE699" s="27">
        <f>SUMIFS('Historico - FAT'!AN:AN,'Historico - FAT'!$K:$K,Faturamento!$L699,'Historico - FAT'!$I:$I,Faturamento!$J699,'Historico - FAT'!$G:$G,Faturamento!$H699)</f>
        <v>32.613999999999997</v>
      </c>
      <c r="AG699" s="24">
        <f t="shared" si="167"/>
        <v>-0.93578333333333341</v>
      </c>
      <c r="AH699" s="24">
        <f t="shared" si="168"/>
        <v>0.81881111111111116</v>
      </c>
      <c r="AI699" s="24">
        <f t="shared" si="169"/>
        <v>0.63762222222222231</v>
      </c>
    </row>
    <row r="700" spans="1:35" hidden="1" x14ac:dyDescent="0.3">
      <c r="A700" s="2" t="str">
        <f t="shared" si="166"/>
        <v>NÃO</v>
      </c>
      <c r="B700" s="2">
        <v>1000184670</v>
      </c>
      <c r="C700" s="2" t="s">
        <v>147</v>
      </c>
      <c r="D700" s="4">
        <v>1000186197</v>
      </c>
      <c r="E700" s="4" t="s">
        <v>166</v>
      </c>
      <c r="F700" s="2">
        <v>1000184760</v>
      </c>
      <c r="G700" s="2" t="s">
        <v>60</v>
      </c>
      <c r="H700" s="4">
        <v>1000189781</v>
      </c>
      <c r="I700" s="4" t="s">
        <v>108</v>
      </c>
      <c r="J700" s="2">
        <v>1000189270</v>
      </c>
      <c r="K700" s="2" t="s">
        <v>34</v>
      </c>
      <c r="L700" s="4" t="s">
        <v>20</v>
      </c>
      <c r="M700" s="4" t="str">
        <f t="shared" si="156"/>
        <v>1000184670100018619710001897811000189270REEMBALADOS</v>
      </c>
      <c r="N700" s="28">
        <f>N688*_xlfn.XLOOKUP($L700,'Balizador da Meta'!$B$4:$B$21,'Balizador da Meta'!$C$4:$C$21)</f>
        <v>120</v>
      </c>
      <c r="O700" s="28">
        <f>O688*_xlfn.XLOOKUP($L700,'Balizador da Meta'!$B$4:$B$21,'Balizador da Meta'!$C$4:$C$21)</f>
        <v>120</v>
      </c>
      <c r="P700" s="28">
        <f>P688*_xlfn.XLOOKUP($L700,'Balizador da Meta'!$B$4:$B$21,'Balizador da Meta'!$C$4:$C$21)</f>
        <v>120</v>
      </c>
      <c r="Q700" s="28">
        <f>Q688*_xlfn.XLOOKUP($L700,'Balizador da Meta'!$B$4:$B$21,'Balizador da Meta'!$C$4:$C$21)</f>
        <v>120</v>
      </c>
      <c r="R700" s="28">
        <f>R688*_xlfn.XLOOKUP($L700,'Balizador da Meta'!$B$4:$B$21,'Balizador da Meta'!$C$4:$C$21)</f>
        <v>120</v>
      </c>
      <c r="S700" s="28">
        <f>S688*_xlfn.XLOOKUP($L700,'Balizador da Meta'!$B$4:$B$21,'Balizador da Meta'!$C$4:$C$21)</f>
        <v>120</v>
      </c>
      <c r="T700" s="28">
        <f>T688*_xlfn.XLOOKUP($L700,'Balizador da Meta'!$B$4:$B$21,'Balizador da Meta'!$C$4:$C$21)</f>
        <v>120</v>
      </c>
      <c r="U700" s="28">
        <f>U688*_xlfn.XLOOKUP($L700,'Balizador da Meta'!$B$4:$B$21,'Balizador da Meta'!$C$4:$C$21)</f>
        <v>120</v>
      </c>
      <c r="V700" s="28">
        <f>V688*_xlfn.XLOOKUP($L700,'Balizador da Meta'!$B$4:$B$21,'Balizador da Meta'!$C$4:$C$21)</f>
        <v>120</v>
      </c>
      <c r="W700" s="28">
        <f>W688*_xlfn.XLOOKUP($L700,'Balizador da Meta'!$B$4:$B$21,'Balizador da Meta'!$C$4:$C$21)</f>
        <v>120</v>
      </c>
      <c r="X700" s="28">
        <f>X688*_xlfn.XLOOKUP($L700,'Balizador da Meta'!$B$4:$B$21,'Balizador da Meta'!$C$4:$C$21)</f>
        <v>120</v>
      </c>
      <c r="Y700" s="28">
        <f>Y688*_xlfn.XLOOKUP($L700,'Balizador da Meta'!$B$4:$B$21,'Balizador da Meta'!$C$4:$C$21)</f>
        <v>120</v>
      </c>
      <c r="Z700" s="30">
        <f t="shared" si="165"/>
        <v>1440</v>
      </c>
      <c r="AA700" s="29"/>
      <c r="AB700" s="31">
        <f>SUMIFS('Historico - FAT'!AK:AK,'Historico - FAT'!$K:$K,Faturamento!$L700,'Historico - FAT'!$I:$I,Faturamento!$J700,'Historico - FAT'!$G:$G,Faturamento!$H700)</f>
        <v>0</v>
      </c>
      <c r="AC700" s="31">
        <f>SUMIFS('Historico - FAT'!AL:AL,'Historico - FAT'!$K:$K,Faturamento!$L700,'Historico - FAT'!$I:$I,Faturamento!$J700,'Historico - FAT'!$G:$G,Faturamento!$H700)</f>
        <v>0</v>
      </c>
      <c r="AD700" s="31">
        <f>SUMIFS('Historico - FAT'!AM:AM,'Historico - FAT'!$K:$K,Faturamento!$L700,'Historico - FAT'!$I:$I,Faturamento!$J700,'Historico - FAT'!$G:$G,Faturamento!$H700)</f>
        <v>0</v>
      </c>
      <c r="AE700" s="27">
        <f>SUMIFS('Historico - FAT'!AN:AN,'Historico - FAT'!$K:$K,Faturamento!$L700,'Historico - FAT'!$I:$I,Faturamento!$J700,'Historico - FAT'!$G:$G,Faturamento!$H700)</f>
        <v>0</v>
      </c>
      <c r="AG700" s="24">
        <f t="shared" si="167"/>
        <v>1</v>
      </c>
      <c r="AH700" s="24">
        <f t="shared" si="168"/>
        <v>1</v>
      </c>
      <c r="AI700" s="24">
        <f t="shared" si="169"/>
        <v>1</v>
      </c>
    </row>
    <row r="701" spans="1:35" hidden="1" x14ac:dyDescent="0.3">
      <c r="A701" s="2" t="str">
        <f t="shared" si="166"/>
        <v>NÃO</v>
      </c>
      <c r="B701" s="2">
        <v>1000184670</v>
      </c>
      <c r="C701" s="2" t="s">
        <v>147</v>
      </c>
      <c r="D701" s="4">
        <v>1000186197</v>
      </c>
      <c r="E701" s="4" t="s">
        <v>166</v>
      </c>
      <c r="F701" s="2">
        <v>1000184760</v>
      </c>
      <c r="G701" s="2" t="s">
        <v>60</v>
      </c>
      <c r="H701" s="4">
        <v>1000189781</v>
      </c>
      <c r="I701" s="4" t="s">
        <v>108</v>
      </c>
      <c r="J701" s="2">
        <v>1000189270</v>
      </c>
      <c r="K701" s="2" t="s">
        <v>34</v>
      </c>
      <c r="L701" s="4" t="s">
        <v>22</v>
      </c>
      <c r="M701" s="4" t="str">
        <f t="shared" si="156"/>
        <v>1000184670100018619710001897811000189270S GLUTEN</v>
      </c>
      <c r="N701" s="28">
        <f>N688*_xlfn.XLOOKUP($L701,'Balizador da Meta'!$B$4:$B$21,'Balizador da Meta'!$C$4:$C$21)</f>
        <v>120</v>
      </c>
      <c r="O701" s="28">
        <f>O688*_xlfn.XLOOKUP($L701,'Balizador da Meta'!$B$4:$B$21,'Balizador da Meta'!$C$4:$C$21)</f>
        <v>120</v>
      </c>
      <c r="P701" s="28">
        <f>P688*_xlfn.XLOOKUP($L701,'Balizador da Meta'!$B$4:$B$21,'Balizador da Meta'!$C$4:$C$21)</f>
        <v>120</v>
      </c>
      <c r="Q701" s="28">
        <f>Q688*_xlfn.XLOOKUP($L701,'Balizador da Meta'!$B$4:$B$21,'Balizador da Meta'!$C$4:$C$21)</f>
        <v>120</v>
      </c>
      <c r="R701" s="28">
        <f>R688*_xlfn.XLOOKUP($L701,'Balizador da Meta'!$B$4:$B$21,'Balizador da Meta'!$C$4:$C$21)</f>
        <v>120</v>
      </c>
      <c r="S701" s="28">
        <f>S688*_xlfn.XLOOKUP($L701,'Balizador da Meta'!$B$4:$B$21,'Balizador da Meta'!$C$4:$C$21)</f>
        <v>120</v>
      </c>
      <c r="T701" s="28">
        <f>T688*_xlfn.XLOOKUP($L701,'Balizador da Meta'!$B$4:$B$21,'Balizador da Meta'!$C$4:$C$21)</f>
        <v>120</v>
      </c>
      <c r="U701" s="28">
        <f>U688*_xlfn.XLOOKUP($L701,'Balizador da Meta'!$B$4:$B$21,'Balizador da Meta'!$C$4:$C$21)</f>
        <v>120</v>
      </c>
      <c r="V701" s="28">
        <f>V688*_xlfn.XLOOKUP($L701,'Balizador da Meta'!$B$4:$B$21,'Balizador da Meta'!$C$4:$C$21)</f>
        <v>120</v>
      </c>
      <c r="W701" s="28">
        <f>W688*_xlfn.XLOOKUP($L701,'Balizador da Meta'!$B$4:$B$21,'Balizador da Meta'!$C$4:$C$21)</f>
        <v>120</v>
      </c>
      <c r="X701" s="28">
        <f>X688*_xlfn.XLOOKUP($L701,'Balizador da Meta'!$B$4:$B$21,'Balizador da Meta'!$C$4:$C$21)</f>
        <v>120</v>
      </c>
      <c r="Y701" s="28">
        <f>Y688*_xlfn.XLOOKUP($L701,'Balizador da Meta'!$B$4:$B$21,'Balizador da Meta'!$C$4:$C$21)</f>
        <v>120</v>
      </c>
      <c r="Z701" s="30">
        <f t="shared" si="165"/>
        <v>1440</v>
      </c>
      <c r="AA701" s="29"/>
      <c r="AB701" s="31">
        <f>SUMIFS('Historico - FAT'!AK:AK,'Historico - FAT'!$K:$K,Faturamento!$L701,'Historico - FAT'!$I:$I,Faturamento!$J701,'Historico - FAT'!$G:$G,Faturamento!$H701)</f>
        <v>0</v>
      </c>
      <c r="AC701" s="31">
        <f>SUMIFS('Historico - FAT'!AL:AL,'Historico - FAT'!$K:$K,Faturamento!$L701,'Historico - FAT'!$I:$I,Faturamento!$J701,'Historico - FAT'!$G:$G,Faturamento!$H701)</f>
        <v>141.64916666666667</v>
      </c>
      <c r="AD701" s="31">
        <f>SUMIFS('Historico - FAT'!AM:AM,'Historico - FAT'!$K:$K,Faturamento!$L701,'Historico - FAT'!$I:$I,Faturamento!$J701,'Historico - FAT'!$G:$G,Faturamento!$H701)</f>
        <v>189.8116666666667</v>
      </c>
      <c r="AE701" s="27">
        <f>SUMIFS('Historico - FAT'!AN:AN,'Historico - FAT'!$K:$K,Faturamento!$L701,'Historico - FAT'!$I:$I,Faturamento!$J701,'Historico - FAT'!$G:$G,Faturamento!$H701)</f>
        <v>169.97899999999998</v>
      </c>
      <c r="AG701" s="24">
        <f t="shared" si="167"/>
        <v>1</v>
      </c>
      <c r="AH701" s="24">
        <f t="shared" si="168"/>
        <v>-0.18040972222222226</v>
      </c>
      <c r="AI701" s="24">
        <f t="shared" si="169"/>
        <v>-0.58176388888888908</v>
      </c>
    </row>
    <row r="702" spans="1:35" hidden="1" x14ac:dyDescent="0.3">
      <c r="A702" s="2" t="str">
        <f t="shared" si="166"/>
        <v>NÃO</v>
      </c>
      <c r="B702" s="2">
        <v>1000184670</v>
      </c>
      <c r="C702" s="2" t="s">
        <v>147</v>
      </c>
      <c r="D702" s="4">
        <v>1000186197</v>
      </c>
      <c r="E702" s="4" t="s">
        <v>166</v>
      </c>
      <c r="F702" s="2">
        <v>1000184760</v>
      </c>
      <c r="G702" s="2" t="s">
        <v>60</v>
      </c>
      <c r="H702" s="4">
        <v>1000189781</v>
      </c>
      <c r="I702" s="4" t="s">
        <v>108</v>
      </c>
      <c r="J702" s="2">
        <v>1000189270</v>
      </c>
      <c r="K702" s="2" t="s">
        <v>34</v>
      </c>
      <c r="L702" s="4" t="s">
        <v>23</v>
      </c>
      <c r="M702" s="4" t="str">
        <f t="shared" si="156"/>
        <v>1000184670100018619710001897811000189270SABORES DO CAMPO</v>
      </c>
      <c r="N702" s="28">
        <f>N688*_xlfn.XLOOKUP($L702,'Balizador da Meta'!$B$4:$B$21,'Balizador da Meta'!$C$4:$C$21)</f>
        <v>0</v>
      </c>
      <c r="O702" s="28">
        <f>O688*_xlfn.XLOOKUP($L702,'Balizador da Meta'!$B$4:$B$21,'Balizador da Meta'!$C$4:$C$21)</f>
        <v>0</v>
      </c>
      <c r="P702" s="28">
        <f>P688*_xlfn.XLOOKUP($L702,'Balizador da Meta'!$B$4:$B$21,'Balizador da Meta'!$C$4:$C$21)</f>
        <v>0</v>
      </c>
      <c r="Q702" s="28">
        <f>Q688*_xlfn.XLOOKUP($L702,'Balizador da Meta'!$B$4:$B$21,'Balizador da Meta'!$C$4:$C$21)</f>
        <v>0</v>
      </c>
      <c r="R702" s="28">
        <f>R688*_xlfn.XLOOKUP($L702,'Balizador da Meta'!$B$4:$B$21,'Balizador da Meta'!$C$4:$C$21)</f>
        <v>0</v>
      </c>
      <c r="S702" s="28">
        <f>S688*_xlfn.XLOOKUP($L702,'Balizador da Meta'!$B$4:$B$21,'Balizador da Meta'!$C$4:$C$21)</f>
        <v>0</v>
      </c>
      <c r="T702" s="28">
        <f>T688*_xlfn.XLOOKUP($L702,'Balizador da Meta'!$B$4:$B$21,'Balizador da Meta'!$C$4:$C$21)</f>
        <v>0</v>
      </c>
      <c r="U702" s="28">
        <f>U688*_xlfn.XLOOKUP($L702,'Balizador da Meta'!$B$4:$B$21,'Balizador da Meta'!$C$4:$C$21)</f>
        <v>0</v>
      </c>
      <c r="V702" s="28">
        <f>V688*_xlfn.XLOOKUP($L702,'Balizador da Meta'!$B$4:$B$21,'Balizador da Meta'!$C$4:$C$21)</f>
        <v>0</v>
      </c>
      <c r="W702" s="28">
        <f>W688*_xlfn.XLOOKUP($L702,'Balizador da Meta'!$B$4:$B$21,'Balizador da Meta'!$C$4:$C$21)</f>
        <v>0</v>
      </c>
      <c r="X702" s="28">
        <f>X688*_xlfn.XLOOKUP($L702,'Balizador da Meta'!$B$4:$B$21,'Balizador da Meta'!$C$4:$C$21)</f>
        <v>0</v>
      </c>
      <c r="Y702" s="28">
        <f>Y688*_xlfn.XLOOKUP($L702,'Balizador da Meta'!$B$4:$B$21,'Balizador da Meta'!$C$4:$C$21)</f>
        <v>0</v>
      </c>
      <c r="Z702" s="30">
        <f t="shared" si="165"/>
        <v>0</v>
      </c>
      <c r="AA702" s="29"/>
      <c r="AB702" s="31">
        <f>SUMIFS('Historico - FAT'!AK:AK,'Historico - FAT'!$K:$K,Faturamento!$L702,'Historico - FAT'!$I:$I,Faturamento!$J702,'Historico - FAT'!$G:$G,Faturamento!$H702)</f>
        <v>0</v>
      </c>
      <c r="AC702" s="31">
        <f>SUMIFS('Historico - FAT'!AL:AL,'Historico - FAT'!$K:$K,Faturamento!$L702,'Historico - FAT'!$I:$I,Faturamento!$J702,'Historico - FAT'!$G:$G,Faturamento!$H702)</f>
        <v>0</v>
      </c>
      <c r="AD702" s="31">
        <f>SUMIFS('Historico - FAT'!AM:AM,'Historico - FAT'!$K:$K,Faturamento!$L702,'Historico - FAT'!$I:$I,Faturamento!$J702,'Historico - FAT'!$G:$G,Faturamento!$H702)</f>
        <v>0</v>
      </c>
      <c r="AE702" s="27">
        <f>SUMIFS('Historico - FAT'!AN:AN,'Historico - FAT'!$K:$K,Faturamento!$L702,'Historico - FAT'!$I:$I,Faturamento!$J702,'Historico - FAT'!$G:$G,Faturamento!$H702)</f>
        <v>0</v>
      </c>
      <c r="AG702" s="24" t="str">
        <f t="shared" si="167"/>
        <v/>
      </c>
      <c r="AH702" s="24" t="str">
        <f t="shared" si="168"/>
        <v/>
      </c>
      <c r="AI702" s="24" t="str">
        <f t="shared" si="169"/>
        <v/>
      </c>
    </row>
    <row r="703" spans="1:35" hidden="1" x14ac:dyDescent="0.3">
      <c r="A703" s="2" t="str">
        <f t="shared" si="166"/>
        <v>NÃO</v>
      </c>
      <c r="B703" s="2">
        <v>1000184670</v>
      </c>
      <c r="C703" s="2" t="s">
        <v>147</v>
      </c>
      <c r="D703" s="4">
        <v>1000186197</v>
      </c>
      <c r="E703" s="4" t="s">
        <v>166</v>
      </c>
      <c r="F703" s="2">
        <v>1000184760</v>
      </c>
      <c r="G703" s="2" t="s">
        <v>60</v>
      </c>
      <c r="H703" s="4">
        <v>1000189781</v>
      </c>
      <c r="I703" s="4" t="s">
        <v>108</v>
      </c>
      <c r="J703" s="2">
        <v>1000189270</v>
      </c>
      <c r="K703" s="2" t="s">
        <v>34</v>
      </c>
      <c r="L703" s="4" t="s">
        <v>28</v>
      </c>
      <c r="M703" s="4" t="str">
        <f t="shared" si="156"/>
        <v>1000184670100018619710001897811000189270SAL</v>
      </c>
      <c r="N703" s="28">
        <f>N688*_xlfn.XLOOKUP($L703,'Balizador da Meta'!$B$4:$B$21,'Balizador da Meta'!$C$4:$C$21)</f>
        <v>60</v>
      </c>
      <c r="O703" s="28">
        <f>O688*_xlfn.XLOOKUP($L703,'Balizador da Meta'!$B$4:$B$21,'Balizador da Meta'!$C$4:$C$21)</f>
        <v>60</v>
      </c>
      <c r="P703" s="28">
        <f>P688*_xlfn.XLOOKUP($L703,'Balizador da Meta'!$B$4:$B$21,'Balizador da Meta'!$C$4:$C$21)</f>
        <v>60</v>
      </c>
      <c r="Q703" s="28">
        <f>Q688*_xlfn.XLOOKUP($L703,'Balizador da Meta'!$B$4:$B$21,'Balizador da Meta'!$C$4:$C$21)</f>
        <v>60</v>
      </c>
      <c r="R703" s="28">
        <f>R688*_xlfn.XLOOKUP($L703,'Balizador da Meta'!$B$4:$B$21,'Balizador da Meta'!$C$4:$C$21)</f>
        <v>60</v>
      </c>
      <c r="S703" s="28">
        <f>S688*_xlfn.XLOOKUP($L703,'Balizador da Meta'!$B$4:$B$21,'Balizador da Meta'!$C$4:$C$21)</f>
        <v>60</v>
      </c>
      <c r="T703" s="28">
        <f>T688*_xlfn.XLOOKUP($L703,'Balizador da Meta'!$B$4:$B$21,'Balizador da Meta'!$C$4:$C$21)</f>
        <v>60</v>
      </c>
      <c r="U703" s="28">
        <f>U688*_xlfn.XLOOKUP($L703,'Balizador da Meta'!$B$4:$B$21,'Balizador da Meta'!$C$4:$C$21)</f>
        <v>60</v>
      </c>
      <c r="V703" s="28">
        <f>V688*_xlfn.XLOOKUP($L703,'Balizador da Meta'!$B$4:$B$21,'Balizador da Meta'!$C$4:$C$21)</f>
        <v>60</v>
      </c>
      <c r="W703" s="28">
        <f>W688*_xlfn.XLOOKUP($L703,'Balizador da Meta'!$B$4:$B$21,'Balizador da Meta'!$C$4:$C$21)</f>
        <v>60</v>
      </c>
      <c r="X703" s="28">
        <f>X688*_xlfn.XLOOKUP($L703,'Balizador da Meta'!$B$4:$B$21,'Balizador da Meta'!$C$4:$C$21)</f>
        <v>60</v>
      </c>
      <c r="Y703" s="28">
        <f>Y688*_xlfn.XLOOKUP($L703,'Balizador da Meta'!$B$4:$B$21,'Balizador da Meta'!$C$4:$C$21)</f>
        <v>60</v>
      </c>
      <c r="Z703" s="30">
        <f t="shared" si="165"/>
        <v>720</v>
      </c>
      <c r="AA703" s="29"/>
      <c r="AB703" s="31">
        <f>SUMIFS('Historico - FAT'!AK:AK,'Historico - FAT'!$K:$K,Faturamento!$L703,'Historico - FAT'!$I:$I,Faturamento!$J703,'Historico - FAT'!$G:$G,Faturamento!$H703)</f>
        <v>0</v>
      </c>
      <c r="AC703" s="31">
        <f>SUMIFS('Historico - FAT'!AL:AL,'Historico - FAT'!$K:$K,Faturamento!$L703,'Historico - FAT'!$I:$I,Faturamento!$J703,'Historico - FAT'!$G:$G,Faturamento!$H703)</f>
        <v>0</v>
      </c>
      <c r="AD703" s="31">
        <f>SUMIFS('Historico - FAT'!AM:AM,'Historico - FAT'!$K:$K,Faturamento!$L703,'Historico - FAT'!$I:$I,Faturamento!$J703,'Historico - FAT'!$G:$G,Faturamento!$H703)</f>
        <v>0</v>
      </c>
      <c r="AE703" s="27">
        <f>SUMIFS('Historico - FAT'!AN:AN,'Historico - FAT'!$K:$K,Faturamento!$L703,'Historico - FAT'!$I:$I,Faturamento!$J703,'Historico - FAT'!$G:$G,Faturamento!$H703)</f>
        <v>0</v>
      </c>
      <c r="AG703" s="24">
        <f t="shared" si="167"/>
        <v>1</v>
      </c>
      <c r="AH703" s="24">
        <f t="shared" si="168"/>
        <v>1</v>
      </c>
      <c r="AI703" s="24">
        <f t="shared" si="169"/>
        <v>1</v>
      </c>
    </row>
    <row r="704" spans="1:35" hidden="1" x14ac:dyDescent="0.3">
      <c r="A704" s="2" t="str">
        <f t="shared" si="166"/>
        <v>NÃO</v>
      </c>
      <c r="B704" s="2">
        <v>1000184670</v>
      </c>
      <c r="C704" s="2" t="s">
        <v>147</v>
      </c>
      <c r="D704" s="4">
        <v>1000186197</v>
      </c>
      <c r="E704" s="4" t="s">
        <v>166</v>
      </c>
      <c r="F704" s="2">
        <v>1000184760</v>
      </c>
      <c r="G704" s="2" t="s">
        <v>60</v>
      </c>
      <c r="H704" s="4">
        <v>1000189781</v>
      </c>
      <c r="I704" s="4" t="s">
        <v>108</v>
      </c>
      <c r="J704" s="2">
        <v>1000189270</v>
      </c>
      <c r="K704" s="2" t="s">
        <v>34</v>
      </c>
      <c r="L704" s="4" t="s">
        <v>26</v>
      </c>
      <c r="M704" s="4" t="str">
        <f t="shared" si="156"/>
        <v>1000184670100018619710001897811000189270SOULPRO</v>
      </c>
      <c r="N704" s="28">
        <f>N688*_xlfn.XLOOKUP($L704,'Balizador da Meta'!$B$4:$B$21,'Balizador da Meta'!$C$4:$C$21)</f>
        <v>180</v>
      </c>
      <c r="O704" s="28">
        <f>O688*_xlfn.XLOOKUP($L704,'Balizador da Meta'!$B$4:$B$21,'Balizador da Meta'!$C$4:$C$21)</f>
        <v>180</v>
      </c>
      <c r="P704" s="28">
        <f>P688*_xlfn.XLOOKUP($L704,'Balizador da Meta'!$B$4:$B$21,'Balizador da Meta'!$C$4:$C$21)</f>
        <v>180</v>
      </c>
      <c r="Q704" s="28">
        <f>Q688*_xlfn.XLOOKUP($L704,'Balizador da Meta'!$B$4:$B$21,'Balizador da Meta'!$C$4:$C$21)</f>
        <v>180</v>
      </c>
      <c r="R704" s="28">
        <f>R688*_xlfn.XLOOKUP($L704,'Balizador da Meta'!$B$4:$B$21,'Balizador da Meta'!$C$4:$C$21)</f>
        <v>180</v>
      </c>
      <c r="S704" s="28">
        <f>S688*_xlfn.XLOOKUP($L704,'Balizador da Meta'!$B$4:$B$21,'Balizador da Meta'!$C$4:$C$21)</f>
        <v>180</v>
      </c>
      <c r="T704" s="28">
        <f>T688*_xlfn.XLOOKUP($L704,'Balizador da Meta'!$B$4:$B$21,'Balizador da Meta'!$C$4:$C$21)</f>
        <v>180</v>
      </c>
      <c r="U704" s="28">
        <f>U688*_xlfn.XLOOKUP($L704,'Balizador da Meta'!$B$4:$B$21,'Balizador da Meta'!$C$4:$C$21)</f>
        <v>180</v>
      </c>
      <c r="V704" s="28">
        <f>V688*_xlfn.XLOOKUP($L704,'Balizador da Meta'!$B$4:$B$21,'Balizador da Meta'!$C$4:$C$21)</f>
        <v>180</v>
      </c>
      <c r="W704" s="28">
        <f>W688*_xlfn.XLOOKUP($L704,'Balizador da Meta'!$B$4:$B$21,'Balizador da Meta'!$C$4:$C$21)</f>
        <v>180</v>
      </c>
      <c r="X704" s="28">
        <f>X688*_xlfn.XLOOKUP($L704,'Balizador da Meta'!$B$4:$B$21,'Balizador da Meta'!$C$4:$C$21)</f>
        <v>180</v>
      </c>
      <c r="Y704" s="28">
        <f>Y688*_xlfn.XLOOKUP($L704,'Balizador da Meta'!$B$4:$B$21,'Balizador da Meta'!$C$4:$C$21)</f>
        <v>180</v>
      </c>
      <c r="Z704" s="30">
        <f t="shared" si="165"/>
        <v>2160</v>
      </c>
      <c r="AA704" s="29"/>
      <c r="AB704" s="31">
        <f>SUMIFS('Historico - FAT'!AK:AK,'Historico - FAT'!$K:$K,Faturamento!$L704,'Historico - FAT'!$I:$I,Faturamento!$J704,'Historico - FAT'!$G:$G,Faturamento!$H704)</f>
        <v>100</v>
      </c>
      <c r="AC704" s="31">
        <f>SUMIFS('Historico - FAT'!AL:AL,'Historico - FAT'!$K:$K,Faturamento!$L704,'Historico - FAT'!$I:$I,Faturamento!$J704,'Historico - FAT'!$G:$G,Faturamento!$H704)</f>
        <v>900.30000000000007</v>
      </c>
      <c r="AD704" s="31">
        <f>SUMIFS('Historico - FAT'!AM:AM,'Historico - FAT'!$K:$K,Faturamento!$L704,'Historico - FAT'!$I:$I,Faturamento!$J704,'Historico - FAT'!$G:$G,Faturamento!$H704)</f>
        <v>1530</v>
      </c>
      <c r="AE704" s="27">
        <f>SUMIFS('Historico - FAT'!AN:AN,'Historico - FAT'!$K:$K,Faturamento!$L704,'Historico - FAT'!$I:$I,Faturamento!$J704,'Historico - FAT'!$G:$G,Faturamento!$H704)</f>
        <v>1080.3600000000001</v>
      </c>
      <c r="AG704" s="24">
        <f t="shared" si="167"/>
        <v>0.44444444444444442</v>
      </c>
      <c r="AH704" s="24">
        <f t="shared" si="168"/>
        <v>-4.0016666666666669</v>
      </c>
      <c r="AI704" s="24">
        <f t="shared" si="169"/>
        <v>-7.5</v>
      </c>
    </row>
    <row r="705" spans="1:35" hidden="1" x14ac:dyDescent="0.3">
      <c r="A705" s="2" t="str">
        <f t="shared" si="166"/>
        <v>NÃO</v>
      </c>
      <c r="B705" s="2">
        <v>1000184670</v>
      </c>
      <c r="C705" s="2" t="s">
        <v>147</v>
      </c>
      <c r="D705" s="4">
        <v>1000186197</v>
      </c>
      <c r="E705" s="4" t="s">
        <v>166</v>
      </c>
      <c r="F705" s="2">
        <v>1000184760</v>
      </c>
      <c r="G705" s="2" t="s">
        <v>60</v>
      </c>
      <c r="H705" s="4">
        <v>1000189781</v>
      </c>
      <c r="I705" s="4" t="s">
        <v>108</v>
      </c>
      <c r="J705" s="2">
        <v>1000189270</v>
      </c>
      <c r="K705" s="2" t="s">
        <v>34</v>
      </c>
      <c r="L705" s="4" t="s">
        <v>27</v>
      </c>
      <c r="M705" s="4" t="str">
        <f t="shared" si="156"/>
        <v>1000184670100018619710001897811000189270TAMARA</v>
      </c>
      <c r="N705" s="28">
        <f>N688*_xlfn.XLOOKUP($L705,'Balizador da Meta'!$B$4:$B$21,'Balizador da Meta'!$C$4:$C$21)</f>
        <v>240</v>
      </c>
      <c r="O705" s="28">
        <f>O688*_xlfn.XLOOKUP($L705,'Balizador da Meta'!$B$4:$B$21,'Balizador da Meta'!$C$4:$C$21)</f>
        <v>240</v>
      </c>
      <c r="P705" s="28">
        <f>P688*_xlfn.XLOOKUP($L705,'Balizador da Meta'!$B$4:$B$21,'Balizador da Meta'!$C$4:$C$21)</f>
        <v>240</v>
      </c>
      <c r="Q705" s="28">
        <f>Q688*_xlfn.XLOOKUP($L705,'Balizador da Meta'!$B$4:$B$21,'Balizador da Meta'!$C$4:$C$21)</f>
        <v>240</v>
      </c>
      <c r="R705" s="28">
        <f>R688*_xlfn.XLOOKUP($L705,'Balizador da Meta'!$B$4:$B$21,'Balizador da Meta'!$C$4:$C$21)</f>
        <v>240</v>
      </c>
      <c r="S705" s="28">
        <f>S688*_xlfn.XLOOKUP($L705,'Balizador da Meta'!$B$4:$B$21,'Balizador da Meta'!$C$4:$C$21)</f>
        <v>240</v>
      </c>
      <c r="T705" s="28">
        <f>T688*_xlfn.XLOOKUP($L705,'Balizador da Meta'!$B$4:$B$21,'Balizador da Meta'!$C$4:$C$21)</f>
        <v>240</v>
      </c>
      <c r="U705" s="28">
        <f>U688*_xlfn.XLOOKUP($L705,'Balizador da Meta'!$B$4:$B$21,'Balizador da Meta'!$C$4:$C$21)</f>
        <v>240</v>
      </c>
      <c r="V705" s="28">
        <f>V688*_xlfn.XLOOKUP($L705,'Balizador da Meta'!$B$4:$B$21,'Balizador da Meta'!$C$4:$C$21)</f>
        <v>240</v>
      </c>
      <c r="W705" s="28">
        <f>W688*_xlfn.XLOOKUP($L705,'Balizador da Meta'!$B$4:$B$21,'Balizador da Meta'!$C$4:$C$21)</f>
        <v>240</v>
      </c>
      <c r="X705" s="28">
        <f>X688*_xlfn.XLOOKUP($L705,'Balizador da Meta'!$B$4:$B$21,'Balizador da Meta'!$C$4:$C$21)</f>
        <v>240</v>
      </c>
      <c r="Y705" s="28">
        <f>Y688*_xlfn.XLOOKUP($L705,'Balizador da Meta'!$B$4:$B$21,'Balizador da Meta'!$C$4:$C$21)</f>
        <v>240</v>
      </c>
      <c r="Z705" s="30">
        <f t="shared" si="165"/>
        <v>2880</v>
      </c>
      <c r="AA705" s="29"/>
      <c r="AB705" s="31">
        <f>SUMIFS('Historico - FAT'!AK:AK,'Historico - FAT'!$K:$K,Faturamento!$L705,'Historico - FAT'!$I:$I,Faturamento!$J705,'Historico - FAT'!$G:$G,Faturamento!$H705)</f>
        <v>0</v>
      </c>
      <c r="AC705" s="31">
        <f>SUMIFS('Historico - FAT'!AL:AL,'Historico - FAT'!$K:$K,Faturamento!$L705,'Historico - FAT'!$I:$I,Faturamento!$J705,'Historico - FAT'!$G:$G,Faturamento!$H705)</f>
        <v>55.27</v>
      </c>
      <c r="AD705" s="31">
        <f>SUMIFS('Historico - FAT'!AM:AM,'Historico - FAT'!$K:$K,Faturamento!$L705,'Historico - FAT'!$I:$I,Faturamento!$J705,'Historico - FAT'!$G:$G,Faturamento!$H705)</f>
        <v>0</v>
      </c>
      <c r="AE705" s="27">
        <f>SUMIFS('Historico - FAT'!AN:AN,'Historico - FAT'!$K:$K,Faturamento!$L705,'Historico - FAT'!$I:$I,Faturamento!$J705,'Historico - FAT'!$G:$G,Faturamento!$H705)</f>
        <v>66.323999999999998</v>
      </c>
      <c r="AG705" s="24">
        <f t="shared" si="167"/>
        <v>1</v>
      </c>
      <c r="AH705" s="24">
        <f t="shared" si="168"/>
        <v>0.76970833333333333</v>
      </c>
      <c r="AI705" s="24">
        <f t="shared" si="169"/>
        <v>1</v>
      </c>
    </row>
    <row r="706" spans="1:35" hidden="1" x14ac:dyDescent="0.3">
      <c r="A706" s="2" t="str">
        <f t="shared" si="166"/>
        <v>NÃO</v>
      </c>
      <c r="B706" s="2">
        <v>1000184670</v>
      </c>
      <c r="C706" s="2" t="s">
        <v>147</v>
      </c>
      <c r="D706" s="4">
        <v>1000186197</v>
      </c>
      <c r="E706" s="4" t="s">
        <v>166</v>
      </c>
      <c r="F706" s="2">
        <v>1000184760</v>
      </c>
      <c r="G706" s="2" t="s">
        <v>60</v>
      </c>
      <c r="H706" s="4">
        <v>1000189781</v>
      </c>
      <c r="I706" s="4" t="s">
        <v>108</v>
      </c>
      <c r="J706" s="2">
        <v>1000189270</v>
      </c>
      <c r="K706" s="2" t="s">
        <v>34</v>
      </c>
      <c r="L706" s="4" t="s">
        <v>25</v>
      </c>
      <c r="M706" s="4" t="str">
        <f t="shared" si="156"/>
        <v>1000184670100018619710001897811000189270VICCIO</v>
      </c>
      <c r="N706" s="28">
        <f>N688*_xlfn.XLOOKUP($L706,'Balizador da Meta'!$B$4:$B$21,'Balizador da Meta'!$C$4:$C$21)</f>
        <v>90</v>
      </c>
      <c r="O706" s="28">
        <f>O688*_xlfn.XLOOKUP($L706,'Balizador da Meta'!$B$4:$B$21,'Balizador da Meta'!$C$4:$C$21)</f>
        <v>90</v>
      </c>
      <c r="P706" s="28">
        <f>P688*_xlfn.XLOOKUP($L706,'Balizador da Meta'!$B$4:$B$21,'Balizador da Meta'!$C$4:$C$21)</f>
        <v>90</v>
      </c>
      <c r="Q706" s="28">
        <f>Q688*_xlfn.XLOOKUP($L706,'Balizador da Meta'!$B$4:$B$21,'Balizador da Meta'!$C$4:$C$21)</f>
        <v>90</v>
      </c>
      <c r="R706" s="28">
        <f>R688*_xlfn.XLOOKUP($L706,'Balizador da Meta'!$B$4:$B$21,'Balizador da Meta'!$C$4:$C$21)</f>
        <v>90</v>
      </c>
      <c r="S706" s="28">
        <f>S688*_xlfn.XLOOKUP($L706,'Balizador da Meta'!$B$4:$B$21,'Balizador da Meta'!$C$4:$C$21)</f>
        <v>90</v>
      </c>
      <c r="T706" s="28">
        <f>T688*_xlfn.XLOOKUP($L706,'Balizador da Meta'!$B$4:$B$21,'Balizador da Meta'!$C$4:$C$21)</f>
        <v>90</v>
      </c>
      <c r="U706" s="28">
        <f>U688*_xlfn.XLOOKUP($L706,'Balizador da Meta'!$B$4:$B$21,'Balizador da Meta'!$C$4:$C$21)</f>
        <v>90</v>
      </c>
      <c r="V706" s="28">
        <f>V688*_xlfn.XLOOKUP($L706,'Balizador da Meta'!$B$4:$B$21,'Balizador da Meta'!$C$4:$C$21)</f>
        <v>90</v>
      </c>
      <c r="W706" s="28">
        <f>W688*_xlfn.XLOOKUP($L706,'Balizador da Meta'!$B$4:$B$21,'Balizador da Meta'!$C$4:$C$21)</f>
        <v>90</v>
      </c>
      <c r="X706" s="28">
        <f>X688*_xlfn.XLOOKUP($L706,'Balizador da Meta'!$B$4:$B$21,'Balizador da Meta'!$C$4:$C$21)</f>
        <v>90</v>
      </c>
      <c r="Y706" s="28">
        <f>Y688*_xlfn.XLOOKUP($L706,'Balizador da Meta'!$B$4:$B$21,'Balizador da Meta'!$C$4:$C$21)</f>
        <v>90</v>
      </c>
      <c r="Z706" s="30">
        <f t="shared" si="165"/>
        <v>1080</v>
      </c>
      <c r="AA706" s="29"/>
      <c r="AB706" s="31">
        <f>SUMIFS('Historico - FAT'!AK:AK,'Historico - FAT'!$K:$K,Faturamento!$L706,'Historico - FAT'!$I:$I,Faturamento!$J706,'Historico - FAT'!$G:$G,Faturamento!$H706)</f>
        <v>0</v>
      </c>
      <c r="AC706" s="31">
        <f>SUMIFS('Historico - FAT'!AL:AL,'Historico - FAT'!$K:$K,Faturamento!$L706,'Historico - FAT'!$I:$I,Faturamento!$J706,'Historico - FAT'!$G:$G,Faturamento!$H706)</f>
        <v>21.724999999999998</v>
      </c>
      <c r="AD706" s="31">
        <f>SUMIFS('Historico - FAT'!AM:AM,'Historico - FAT'!$K:$K,Faturamento!$L706,'Historico - FAT'!$I:$I,Faturamento!$J706,'Historico - FAT'!$G:$G,Faturamento!$H706)</f>
        <v>22.275000000000002</v>
      </c>
      <c r="AE706" s="27">
        <f>SUMIFS('Historico - FAT'!AN:AN,'Historico - FAT'!$K:$K,Faturamento!$L706,'Historico - FAT'!$I:$I,Faturamento!$J706,'Historico - FAT'!$G:$G,Faturamento!$H706)</f>
        <v>26.07</v>
      </c>
      <c r="AG706" s="24">
        <f t="shared" si="167"/>
        <v>1</v>
      </c>
      <c r="AH706" s="24">
        <f t="shared" si="168"/>
        <v>0.75861111111111112</v>
      </c>
      <c r="AI706" s="24">
        <f t="shared" si="169"/>
        <v>0.75249999999999995</v>
      </c>
    </row>
    <row r="707" spans="1:35" x14ac:dyDescent="0.3">
      <c r="A707" s="2" t="str">
        <f t="shared" si="166"/>
        <v>SIM</v>
      </c>
      <c r="B707" s="2">
        <v>1000184670</v>
      </c>
      <c r="C707" s="2" t="s">
        <v>147</v>
      </c>
      <c r="D707" s="4">
        <v>1000186197</v>
      </c>
      <c r="E707" s="4" t="s">
        <v>166</v>
      </c>
      <c r="F707" s="2">
        <v>1000184760</v>
      </c>
      <c r="G707" s="2" t="s">
        <v>60</v>
      </c>
      <c r="H707" s="4">
        <v>1000189782</v>
      </c>
      <c r="I707" s="4" t="s">
        <v>109</v>
      </c>
      <c r="J707" s="2">
        <v>1000189270</v>
      </c>
      <c r="K707" s="2" t="s">
        <v>34</v>
      </c>
      <c r="L707" s="4" t="s">
        <v>124</v>
      </c>
      <c r="M707" s="4" t="str">
        <f t="shared" si="156"/>
        <v>100018467010001861971000189782100018927001. TOTAL</v>
      </c>
      <c r="N707" s="28">
        <f>SUMIFS(Positivação!L:L,Positivação!$I:$I,Faturamento!$J707,Positivação!$G:$G,Faturamento!$H707)*SUMIFS(Positivação!$Z:$Z,Positivação!$I:$I,Faturamento!$J707,Positivação!$G:$G,Faturamento!$H707)</f>
        <v>600</v>
      </c>
      <c r="O707" s="28">
        <f>SUMIFS(Positivação!M:M,Positivação!$I:$I,Faturamento!$J707,Positivação!$G:$G,Faturamento!$H707)*SUMIFS(Positivação!$Z:$Z,Positivação!$I:$I,Faturamento!$J707,Positivação!$G:$G,Faturamento!$H707)</f>
        <v>600</v>
      </c>
      <c r="P707" s="28">
        <f>SUMIFS(Positivação!N:N,Positivação!$I:$I,Faturamento!$J707,Positivação!$G:$G,Faturamento!$H707)*SUMIFS(Positivação!$Z:$Z,Positivação!$I:$I,Faturamento!$J707,Positivação!$G:$G,Faturamento!$H707)</f>
        <v>600</v>
      </c>
      <c r="Q707" s="28">
        <f>SUMIFS(Positivação!O:O,Positivação!$I:$I,Faturamento!$J707,Positivação!$G:$G,Faturamento!$H707)*SUMIFS(Positivação!$Z:$Z,Positivação!$I:$I,Faturamento!$J707,Positivação!$G:$G,Faturamento!$H707)</f>
        <v>600</v>
      </c>
      <c r="R707" s="28">
        <f>SUMIFS(Positivação!P:P,Positivação!$I:$I,Faturamento!$J707,Positivação!$G:$G,Faturamento!$H707)*SUMIFS(Positivação!$Z:$Z,Positivação!$I:$I,Faturamento!$J707,Positivação!$G:$G,Faturamento!$H707)</f>
        <v>600</v>
      </c>
      <c r="S707" s="28">
        <f>SUMIFS(Positivação!Q:Q,Positivação!$I:$I,Faturamento!$J707,Positivação!$G:$G,Faturamento!$H707)*SUMIFS(Positivação!$Z:$Z,Positivação!$I:$I,Faturamento!$J707,Positivação!$G:$G,Faturamento!$H707)</f>
        <v>600</v>
      </c>
      <c r="T707" s="28">
        <f>SUMIFS(Positivação!R:R,Positivação!$I:$I,Faturamento!$J707,Positivação!$G:$G,Faturamento!$H707)*SUMIFS(Positivação!$Z:$Z,Positivação!$I:$I,Faturamento!$J707,Positivação!$G:$G,Faturamento!$H707)</f>
        <v>600</v>
      </c>
      <c r="U707" s="28">
        <f>SUMIFS(Positivação!S:S,Positivação!$I:$I,Faturamento!$J707,Positivação!$G:$G,Faturamento!$H707)*SUMIFS(Positivação!$Z:$Z,Positivação!$I:$I,Faturamento!$J707,Positivação!$G:$G,Faturamento!$H707)</f>
        <v>600</v>
      </c>
      <c r="V707" s="28">
        <f>SUMIFS(Positivação!T:T,Positivação!$I:$I,Faturamento!$J707,Positivação!$G:$G,Faturamento!$H707)*SUMIFS(Positivação!$Z:$Z,Positivação!$I:$I,Faturamento!$J707,Positivação!$G:$G,Faturamento!$H707)</f>
        <v>600</v>
      </c>
      <c r="W707" s="28">
        <f>SUMIFS(Positivação!U:U,Positivação!$I:$I,Faturamento!$J707,Positivação!$G:$G,Faturamento!$H707)*SUMIFS(Positivação!$Z:$Z,Positivação!$I:$I,Faturamento!$J707,Positivação!$G:$G,Faturamento!$H707)</f>
        <v>600</v>
      </c>
      <c r="X707" s="28">
        <f>SUMIFS(Positivação!V:V,Positivação!$I:$I,Faturamento!$J707,Positivação!$G:$G,Faturamento!$H707)*SUMIFS(Positivação!$Z:$Z,Positivação!$I:$I,Faturamento!$J707,Positivação!$G:$G,Faturamento!$H707)</f>
        <v>600</v>
      </c>
      <c r="Y707" s="28">
        <f>SUMIFS(Positivação!W:W,Positivação!$I:$I,Faturamento!$J707,Positivação!$G:$G,Faturamento!$H707)*SUMIFS(Positivação!$Z:$Z,Positivação!$I:$I,Faturamento!$J707,Positivação!$G:$G,Faturamento!$H707)</f>
        <v>600</v>
      </c>
      <c r="Z707" s="28">
        <f t="shared" ref="Z707" si="170">SUM(Z708:Z725)</f>
        <v>7200</v>
      </c>
      <c r="AA707" s="29"/>
      <c r="AB707" s="28">
        <f t="shared" ref="AB707:AE707" si="171">SUM(AB708:AB725)</f>
        <v>289.75833333333333</v>
      </c>
      <c r="AC707" s="28">
        <f t="shared" si="171"/>
        <v>386.76000000000005</v>
      </c>
      <c r="AD707" s="28">
        <f t="shared" si="171"/>
        <v>573.88</v>
      </c>
      <c r="AE707" s="28">
        <f t="shared" si="171"/>
        <v>464.11200000000002</v>
      </c>
      <c r="AG707" s="24">
        <f t="shared" si="167"/>
        <v>0.51706944444444447</v>
      </c>
      <c r="AH707" s="24">
        <f t="shared" si="168"/>
        <v>0.35539999999999994</v>
      </c>
      <c r="AI707" s="24">
        <f t="shared" si="169"/>
        <v>4.3533333333333341E-2</v>
      </c>
    </row>
    <row r="708" spans="1:35" hidden="1" x14ac:dyDescent="0.3">
      <c r="A708" s="2" t="str">
        <f t="shared" si="166"/>
        <v>NÃO</v>
      </c>
      <c r="B708" s="2">
        <v>1000184670</v>
      </c>
      <c r="C708" s="2" t="s">
        <v>147</v>
      </c>
      <c r="D708" s="4">
        <v>1000186197</v>
      </c>
      <c r="E708" s="4" t="s">
        <v>166</v>
      </c>
      <c r="F708" s="2">
        <v>1000184760</v>
      </c>
      <c r="G708" s="2" t="s">
        <v>60</v>
      </c>
      <c r="H708" s="4">
        <v>1000189782</v>
      </c>
      <c r="I708" s="4" t="s">
        <v>109</v>
      </c>
      <c r="J708" s="2">
        <v>1000189270</v>
      </c>
      <c r="K708" s="2" t="s">
        <v>34</v>
      </c>
      <c r="L708" s="4" t="s">
        <v>13</v>
      </c>
      <c r="M708" s="4" t="str">
        <f t="shared" si="156"/>
        <v>1000184670100018619710001897821000189270BISCOITO</v>
      </c>
      <c r="N708" s="28">
        <f>N707*_xlfn.XLOOKUP($L708,'Balizador da Meta'!$B$4:$B$21,'Balizador da Meta'!$C$4:$C$21)</f>
        <v>42.000000000000007</v>
      </c>
      <c r="O708" s="28">
        <f>O707*_xlfn.XLOOKUP($L708,'Balizador da Meta'!$B$4:$B$21,'Balizador da Meta'!$C$4:$C$21)</f>
        <v>42.000000000000007</v>
      </c>
      <c r="P708" s="28">
        <f>P707*_xlfn.XLOOKUP($L708,'Balizador da Meta'!$B$4:$B$21,'Balizador da Meta'!$C$4:$C$21)</f>
        <v>42.000000000000007</v>
      </c>
      <c r="Q708" s="28">
        <f>Q707*_xlfn.XLOOKUP($L708,'Balizador da Meta'!$B$4:$B$21,'Balizador da Meta'!$C$4:$C$21)</f>
        <v>42.000000000000007</v>
      </c>
      <c r="R708" s="28">
        <f>R707*_xlfn.XLOOKUP($L708,'Balizador da Meta'!$B$4:$B$21,'Balizador da Meta'!$C$4:$C$21)</f>
        <v>42.000000000000007</v>
      </c>
      <c r="S708" s="28">
        <f>S707*_xlfn.XLOOKUP($L708,'Balizador da Meta'!$B$4:$B$21,'Balizador da Meta'!$C$4:$C$21)</f>
        <v>42.000000000000007</v>
      </c>
      <c r="T708" s="28">
        <f>T707*_xlfn.XLOOKUP($L708,'Balizador da Meta'!$B$4:$B$21,'Balizador da Meta'!$C$4:$C$21)</f>
        <v>42.000000000000007</v>
      </c>
      <c r="U708" s="28">
        <f>U707*_xlfn.XLOOKUP($L708,'Balizador da Meta'!$B$4:$B$21,'Balizador da Meta'!$C$4:$C$21)</f>
        <v>42.000000000000007</v>
      </c>
      <c r="V708" s="28">
        <f>V707*_xlfn.XLOOKUP($L708,'Balizador da Meta'!$B$4:$B$21,'Balizador da Meta'!$C$4:$C$21)</f>
        <v>42.000000000000007</v>
      </c>
      <c r="W708" s="28">
        <f>W707*_xlfn.XLOOKUP($L708,'Balizador da Meta'!$B$4:$B$21,'Balizador da Meta'!$C$4:$C$21)</f>
        <v>42.000000000000007</v>
      </c>
      <c r="X708" s="28">
        <f>X707*_xlfn.XLOOKUP($L708,'Balizador da Meta'!$B$4:$B$21,'Balizador da Meta'!$C$4:$C$21)</f>
        <v>42.000000000000007</v>
      </c>
      <c r="Y708" s="28">
        <f>Y707*_xlfn.XLOOKUP($L708,'Balizador da Meta'!$B$4:$B$21,'Balizador da Meta'!$C$4:$C$21)</f>
        <v>42.000000000000007</v>
      </c>
      <c r="Z708" s="30">
        <f t="shared" ref="Z708:Z725" si="172">SUM(N708:Y708)</f>
        <v>504.00000000000006</v>
      </c>
      <c r="AA708" s="29"/>
      <c r="AB708" s="31">
        <f>SUMIFS('Historico - FAT'!AK:AK,'Historico - FAT'!$K:$K,Faturamento!$L708,'Historico - FAT'!$I:$I,Faturamento!$J708,'Historico - FAT'!$G:$G,Faturamento!$H708)</f>
        <v>48.6</v>
      </c>
      <c r="AC708" s="31">
        <f>SUMIFS('Historico - FAT'!AL:AL,'Historico - FAT'!$K:$K,Faturamento!$L708,'Historico - FAT'!$I:$I,Faturamento!$J708,'Historico - FAT'!$G:$G,Faturamento!$H708)</f>
        <v>23.763333333333332</v>
      </c>
      <c r="AD708" s="31">
        <f>SUMIFS('Historico - FAT'!AM:AM,'Historico - FAT'!$K:$K,Faturamento!$L708,'Historico - FAT'!$I:$I,Faturamento!$J708,'Historico - FAT'!$G:$G,Faturamento!$H708)</f>
        <v>22.61</v>
      </c>
      <c r="AE708" s="27">
        <f>SUMIFS('Historico - FAT'!AN:AN,'Historico - FAT'!$K:$K,Faturamento!$L708,'Historico - FAT'!$I:$I,Faturamento!$J708,'Historico - FAT'!$G:$G,Faturamento!$H708)</f>
        <v>28.515999999999998</v>
      </c>
      <c r="AG708" s="24">
        <f t="shared" si="167"/>
        <v>-0.15714285714285697</v>
      </c>
      <c r="AH708" s="24">
        <f t="shared" si="168"/>
        <v>0.43420634920634932</v>
      </c>
      <c r="AI708" s="24">
        <f t="shared" si="169"/>
        <v>0.46166666666666678</v>
      </c>
    </row>
    <row r="709" spans="1:35" hidden="1" x14ac:dyDescent="0.3">
      <c r="A709" s="2" t="str">
        <f t="shared" si="166"/>
        <v>NÃO</v>
      </c>
      <c r="B709" s="2">
        <v>1000184670</v>
      </c>
      <c r="C709" s="2" t="s">
        <v>147</v>
      </c>
      <c r="D709" s="4">
        <v>1000186197</v>
      </c>
      <c r="E709" s="4" t="s">
        <v>166</v>
      </c>
      <c r="F709" s="2">
        <v>1000184760</v>
      </c>
      <c r="G709" s="2" t="s">
        <v>60</v>
      </c>
      <c r="H709" s="4">
        <v>1000189782</v>
      </c>
      <c r="I709" s="4" t="s">
        <v>109</v>
      </c>
      <c r="J709" s="2">
        <v>1000189270</v>
      </c>
      <c r="K709" s="2" t="s">
        <v>34</v>
      </c>
      <c r="L709" s="4" t="s">
        <v>14</v>
      </c>
      <c r="M709" s="4" t="str">
        <f t="shared" ref="M709:M772" si="173">_xlfn.CONCAT(B709,D709,H709,J709,L709,)</f>
        <v>1000184670100018619710001897821000189270CHOCOLATES</v>
      </c>
      <c r="N709" s="28">
        <f>N707*_xlfn.XLOOKUP($L709,'Balizador da Meta'!$B$4:$B$21,'Balizador da Meta'!$C$4:$C$21)</f>
        <v>42.000000000000007</v>
      </c>
      <c r="O709" s="28">
        <f>O707*_xlfn.XLOOKUP($L709,'Balizador da Meta'!$B$4:$B$21,'Balizador da Meta'!$C$4:$C$21)</f>
        <v>42.000000000000007</v>
      </c>
      <c r="P709" s="28">
        <f>P707*_xlfn.XLOOKUP($L709,'Balizador da Meta'!$B$4:$B$21,'Balizador da Meta'!$C$4:$C$21)</f>
        <v>42.000000000000007</v>
      </c>
      <c r="Q709" s="28">
        <f>Q707*_xlfn.XLOOKUP($L709,'Balizador da Meta'!$B$4:$B$21,'Balizador da Meta'!$C$4:$C$21)</f>
        <v>42.000000000000007</v>
      </c>
      <c r="R709" s="28">
        <f>R707*_xlfn.XLOOKUP($L709,'Balizador da Meta'!$B$4:$B$21,'Balizador da Meta'!$C$4:$C$21)</f>
        <v>42.000000000000007</v>
      </c>
      <c r="S709" s="28">
        <f>S707*_xlfn.XLOOKUP($L709,'Balizador da Meta'!$B$4:$B$21,'Balizador da Meta'!$C$4:$C$21)</f>
        <v>42.000000000000007</v>
      </c>
      <c r="T709" s="28">
        <f>T707*_xlfn.XLOOKUP($L709,'Balizador da Meta'!$B$4:$B$21,'Balizador da Meta'!$C$4:$C$21)</f>
        <v>42.000000000000007</v>
      </c>
      <c r="U709" s="28">
        <f>U707*_xlfn.XLOOKUP($L709,'Balizador da Meta'!$B$4:$B$21,'Balizador da Meta'!$C$4:$C$21)</f>
        <v>42.000000000000007</v>
      </c>
      <c r="V709" s="28">
        <f>V707*_xlfn.XLOOKUP($L709,'Balizador da Meta'!$B$4:$B$21,'Balizador da Meta'!$C$4:$C$21)</f>
        <v>42.000000000000007</v>
      </c>
      <c r="W709" s="28">
        <f>W707*_xlfn.XLOOKUP($L709,'Balizador da Meta'!$B$4:$B$21,'Balizador da Meta'!$C$4:$C$21)</f>
        <v>42.000000000000007</v>
      </c>
      <c r="X709" s="28">
        <f>X707*_xlfn.XLOOKUP($L709,'Balizador da Meta'!$B$4:$B$21,'Balizador da Meta'!$C$4:$C$21)</f>
        <v>42.000000000000007</v>
      </c>
      <c r="Y709" s="28">
        <f>Y707*_xlfn.XLOOKUP($L709,'Balizador da Meta'!$B$4:$B$21,'Balizador da Meta'!$C$4:$C$21)</f>
        <v>42.000000000000007</v>
      </c>
      <c r="Z709" s="30">
        <f t="shared" si="172"/>
        <v>504.00000000000006</v>
      </c>
      <c r="AA709" s="29"/>
      <c r="AB709" s="31">
        <f>SUMIFS('Historico - FAT'!AK:AK,'Historico - FAT'!$K:$K,Faturamento!$L709,'Historico - FAT'!$I:$I,Faturamento!$J709,'Historico - FAT'!$G:$G,Faturamento!$H709)</f>
        <v>83.183333333333337</v>
      </c>
      <c r="AC709" s="31">
        <f>SUMIFS('Historico - FAT'!AL:AL,'Historico - FAT'!$K:$K,Faturamento!$L709,'Historico - FAT'!$I:$I,Faturamento!$J709,'Historico - FAT'!$G:$G,Faturamento!$H709)</f>
        <v>0</v>
      </c>
      <c r="AD709" s="31">
        <f>SUMIFS('Historico - FAT'!AM:AM,'Historico - FAT'!$K:$K,Faturamento!$L709,'Historico - FAT'!$I:$I,Faturamento!$J709,'Historico - FAT'!$G:$G,Faturamento!$H709)</f>
        <v>0</v>
      </c>
      <c r="AE709" s="27">
        <f>SUMIFS('Historico - FAT'!AN:AN,'Historico - FAT'!$K:$K,Faturamento!$L709,'Historico - FAT'!$I:$I,Faturamento!$J709,'Historico - FAT'!$G:$G,Faturamento!$H709)</f>
        <v>0</v>
      </c>
      <c r="AG709" s="24">
        <f t="shared" si="167"/>
        <v>-0.98055555555555529</v>
      </c>
      <c r="AH709" s="24">
        <f t="shared" si="168"/>
        <v>1</v>
      </c>
      <c r="AI709" s="24">
        <f t="shared" si="169"/>
        <v>1</v>
      </c>
    </row>
    <row r="710" spans="1:35" hidden="1" x14ac:dyDescent="0.3">
      <c r="A710" s="2" t="str">
        <f t="shared" si="166"/>
        <v>NÃO</v>
      </c>
      <c r="B710" s="2">
        <v>1000184670</v>
      </c>
      <c r="C710" s="2" t="s">
        <v>147</v>
      </c>
      <c r="D710" s="4">
        <v>1000186197</v>
      </c>
      <c r="E710" s="4" t="s">
        <v>166</v>
      </c>
      <c r="F710" s="2">
        <v>1000184760</v>
      </c>
      <c r="G710" s="2" t="s">
        <v>60</v>
      </c>
      <c r="H710" s="4">
        <v>1000189782</v>
      </c>
      <c r="I710" s="4" t="s">
        <v>109</v>
      </c>
      <c r="J710" s="2">
        <v>1000189270</v>
      </c>
      <c r="K710" s="2" t="s">
        <v>34</v>
      </c>
      <c r="L710" s="4" t="s">
        <v>16</v>
      </c>
      <c r="M710" s="4" t="str">
        <f t="shared" si="173"/>
        <v>1000184670100018619710001897821000189270DISNEY</v>
      </c>
      <c r="N710" s="28">
        <f>N707*_xlfn.XLOOKUP($L710,'Balizador da Meta'!$B$4:$B$21,'Balizador da Meta'!$C$4:$C$21)</f>
        <v>48</v>
      </c>
      <c r="O710" s="28">
        <f>O707*_xlfn.XLOOKUP($L710,'Balizador da Meta'!$B$4:$B$21,'Balizador da Meta'!$C$4:$C$21)</f>
        <v>48</v>
      </c>
      <c r="P710" s="28">
        <f>P707*_xlfn.XLOOKUP($L710,'Balizador da Meta'!$B$4:$B$21,'Balizador da Meta'!$C$4:$C$21)</f>
        <v>48</v>
      </c>
      <c r="Q710" s="28">
        <f>Q707*_xlfn.XLOOKUP($L710,'Balizador da Meta'!$B$4:$B$21,'Balizador da Meta'!$C$4:$C$21)</f>
        <v>48</v>
      </c>
      <c r="R710" s="28">
        <f>R707*_xlfn.XLOOKUP($L710,'Balizador da Meta'!$B$4:$B$21,'Balizador da Meta'!$C$4:$C$21)</f>
        <v>48</v>
      </c>
      <c r="S710" s="28">
        <f>S707*_xlfn.XLOOKUP($L710,'Balizador da Meta'!$B$4:$B$21,'Balizador da Meta'!$C$4:$C$21)</f>
        <v>48</v>
      </c>
      <c r="T710" s="28">
        <f>T707*_xlfn.XLOOKUP($L710,'Balizador da Meta'!$B$4:$B$21,'Balizador da Meta'!$C$4:$C$21)</f>
        <v>48</v>
      </c>
      <c r="U710" s="28">
        <f>U707*_xlfn.XLOOKUP($L710,'Balizador da Meta'!$B$4:$B$21,'Balizador da Meta'!$C$4:$C$21)</f>
        <v>48</v>
      </c>
      <c r="V710" s="28">
        <f>V707*_xlfn.XLOOKUP($L710,'Balizador da Meta'!$B$4:$B$21,'Balizador da Meta'!$C$4:$C$21)</f>
        <v>48</v>
      </c>
      <c r="W710" s="28">
        <f>W707*_xlfn.XLOOKUP($L710,'Balizador da Meta'!$B$4:$B$21,'Balizador da Meta'!$C$4:$C$21)</f>
        <v>48</v>
      </c>
      <c r="X710" s="28">
        <f>X707*_xlfn.XLOOKUP($L710,'Balizador da Meta'!$B$4:$B$21,'Balizador da Meta'!$C$4:$C$21)</f>
        <v>48</v>
      </c>
      <c r="Y710" s="28">
        <f>Y707*_xlfn.XLOOKUP($L710,'Balizador da Meta'!$B$4:$B$21,'Balizador da Meta'!$C$4:$C$21)</f>
        <v>48</v>
      </c>
      <c r="Z710" s="30">
        <f t="shared" si="172"/>
        <v>576</v>
      </c>
      <c r="AA710" s="29"/>
      <c r="AB710" s="31">
        <f>SUMIFS('Historico - FAT'!AK:AK,'Historico - FAT'!$K:$K,Faturamento!$L710,'Historico - FAT'!$I:$I,Faturamento!$J710,'Historico - FAT'!$G:$G,Faturamento!$H710)</f>
        <v>0</v>
      </c>
      <c r="AC710" s="31">
        <f>SUMIFS('Historico - FAT'!AL:AL,'Historico - FAT'!$K:$K,Faturamento!$L710,'Historico - FAT'!$I:$I,Faturamento!$J710,'Historico - FAT'!$G:$G,Faturamento!$H710)</f>
        <v>0</v>
      </c>
      <c r="AD710" s="31">
        <f>SUMIFS('Historico - FAT'!AM:AM,'Historico - FAT'!$K:$K,Faturamento!$L710,'Historico - FAT'!$I:$I,Faturamento!$J710,'Historico - FAT'!$G:$G,Faturamento!$H710)</f>
        <v>0</v>
      </c>
      <c r="AE710" s="27">
        <f>SUMIFS('Historico - FAT'!AN:AN,'Historico - FAT'!$K:$K,Faturamento!$L710,'Historico - FAT'!$I:$I,Faturamento!$J710,'Historico - FAT'!$G:$G,Faturamento!$H710)</f>
        <v>0</v>
      </c>
      <c r="AG710" s="24">
        <f t="shared" si="167"/>
        <v>1</v>
      </c>
      <c r="AH710" s="24">
        <f t="shared" si="168"/>
        <v>1</v>
      </c>
      <c r="AI710" s="24">
        <f t="shared" si="169"/>
        <v>1</v>
      </c>
    </row>
    <row r="711" spans="1:35" hidden="1" x14ac:dyDescent="0.3">
      <c r="A711" s="2" t="str">
        <f t="shared" si="166"/>
        <v>NÃO</v>
      </c>
      <c r="B711" s="2">
        <v>1000184670</v>
      </c>
      <c r="C711" s="2" t="s">
        <v>147</v>
      </c>
      <c r="D711" s="4">
        <v>1000186197</v>
      </c>
      <c r="E711" s="4" t="s">
        <v>166</v>
      </c>
      <c r="F711" s="2">
        <v>1000184760</v>
      </c>
      <c r="G711" s="2" t="s">
        <v>60</v>
      </c>
      <c r="H711" s="4">
        <v>1000189782</v>
      </c>
      <c r="I711" s="4" t="s">
        <v>109</v>
      </c>
      <c r="J711" s="2">
        <v>1000189270</v>
      </c>
      <c r="K711" s="2" t="s">
        <v>34</v>
      </c>
      <c r="L711" s="4" t="s">
        <v>15</v>
      </c>
      <c r="M711" s="4" t="str">
        <f t="shared" si="173"/>
        <v>1000184670100018619710001897821000189270DOCES</v>
      </c>
      <c r="N711" s="28">
        <f>N707*_xlfn.XLOOKUP($L711,'Balizador da Meta'!$B$4:$B$21,'Balizador da Meta'!$C$4:$C$21)</f>
        <v>54</v>
      </c>
      <c r="O711" s="28">
        <f>O707*_xlfn.XLOOKUP($L711,'Balizador da Meta'!$B$4:$B$21,'Balizador da Meta'!$C$4:$C$21)</f>
        <v>54</v>
      </c>
      <c r="P711" s="28">
        <f>P707*_xlfn.XLOOKUP($L711,'Balizador da Meta'!$B$4:$B$21,'Balizador da Meta'!$C$4:$C$21)</f>
        <v>54</v>
      </c>
      <c r="Q711" s="28">
        <f>Q707*_xlfn.XLOOKUP($L711,'Balizador da Meta'!$B$4:$B$21,'Balizador da Meta'!$C$4:$C$21)</f>
        <v>54</v>
      </c>
      <c r="R711" s="28">
        <f>R707*_xlfn.XLOOKUP($L711,'Balizador da Meta'!$B$4:$B$21,'Balizador da Meta'!$C$4:$C$21)</f>
        <v>54</v>
      </c>
      <c r="S711" s="28">
        <f>S707*_xlfn.XLOOKUP($L711,'Balizador da Meta'!$B$4:$B$21,'Balizador da Meta'!$C$4:$C$21)</f>
        <v>54</v>
      </c>
      <c r="T711" s="28">
        <f>T707*_xlfn.XLOOKUP($L711,'Balizador da Meta'!$B$4:$B$21,'Balizador da Meta'!$C$4:$C$21)</f>
        <v>54</v>
      </c>
      <c r="U711" s="28">
        <f>U707*_xlfn.XLOOKUP($L711,'Balizador da Meta'!$B$4:$B$21,'Balizador da Meta'!$C$4:$C$21)</f>
        <v>54</v>
      </c>
      <c r="V711" s="28">
        <f>V707*_xlfn.XLOOKUP($L711,'Balizador da Meta'!$B$4:$B$21,'Balizador da Meta'!$C$4:$C$21)</f>
        <v>54</v>
      </c>
      <c r="W711" s="28">
        <f>W707*_xlfn.XLOOKUP($L711,'Balizador da Meta'!$B$4:$B$21,'Balizador da Meta'!$C$4:$C$21)</f>
        <v>54</v>
      </c>
      <c r="X711" s="28">
        <f>X707*_xlfn.XLOOKUP($L711,'Balizador da Meta'!$B$4:$B$21,'Balizador da Meta'!$C$4:$C$21)</f>
        <v>54</v>
      </c>
      <c r="Y711" s="28">
        <f>Y707*_xlfn.XLOOKUP($L711,'Balizador da Meta'!$B$4:$B$21,'Balizador da Meta'!$C$4:$C$21)</f>
        <v>54</v>
      </c>
      <c r="Z711" s="30">
        <f t="shared" si="172"/>
        <v>648</v>
      </c>
      <c r="AA711" s="29"/>
      <c r="AB711" s="31">
        <f>SUMIFS('Historico - FAT'!AK:AK,'Historico - FAT'!$K:$K,Faturamento!$L711,'Historico - FAT'!$I:$I,Faturamento!$J711,'Historico - FAT'!$G:$G,Faturamento!$H711)</f>
        <v>0</v>
      </c>
      <c r="AC711" s="31">
        <f>SUMIFS('Historico - FAT'!AL:AL,'Historico - FAT'!$K:$K,Faturamento!$L711,'Historico - FAT'!$I:$I,Faturamento!$J711,'Historico - FAT'!$G:$G,Faturamento!$H711)</f>
        <v>44.270833333333336</v>
      </c>
      <c r="AD711" s="31">
        <f>SUMIFS('Historico - FAT'!AM:AM,'Historico - FAT'!$K:$K,Faturamento!$L711,'Historico - FAT'!$I:$I,Faturamento!$J711,'Historico - FAT'!$G:$G,Faturamento!$H711)</f>
        <v>61.708333333333336</v>
      </c>
      <c r="AE711" s="27">
        <f>SUMIFS('Historico - FAT'!AN:AN,'Historico - FAT'!$K:$K,Faturamento!$L711,'Historico - FAT'!$I:$I,Faturamento!$J711,'Historico - FAT'!$G:$G,Faturamento!$H711)</f>
        <v>53.125</v>
      </c>
      <c r="AG711" s="24">
        <f t="shared" si="167"/>
        <v>1</v>
      </c>
      <c r="AH711" s="24">
        <f t="shared" si="168"/>
        <v>0.18016975308641972</v>
      </c>
      <c r="AI711" s="24">
        <f t="shared" si="169"/>
        <v>-0.14274691358024696</v>
      </c>
    </row>
    <row r="712" spans="1:35" hidden="1" x14ac:dyDescent="0.3">
      <c r="A712" s="2" t="str">
        <f t="shared" si="166"/>
        <v>NÃO</v>
      </c>
      <c r="B712" s="2">
        <v>1000184670</v>
      </c>
      <c r="C712" s="2" t="s">
        <v>147</v>
      </c>
      <c r="D712" s="4">
        <v>1000186197</v>
      </c>
      <c r="E712" s="4" t="s">
        <v>166</v>
      </c>
      <c r="F712" s="2">
        <v>1000184760</v>
      </c>
      <c r="G712" s="2" t="s">
        <v>60</v>
      </c>
      <c r="H712" s="4">
        <v>1000189782</v>
      </c>
      <c r="I712" s="4" t="s">
        <v>109</v>
      </c>
      <c r="J712" s="2">
        <v>1000189270</v>
      </c>
      <c r="K712" s="2" t="s">
        <v>34</v>
      </c>
      <c r="L712" s="4" t="s">
        <v>33</v>
      </c>
      <c r="M712" s="4" t="str">
        <f t="shared" si="173"/>
        <v>1000184670100018619710001897821000189270FOOD SERVICE</v>
      </c>
      <c r="N712" s="28">
        <f>N707*_xlfn.XLOOKUP($L712,'Balizador da Meta'!$B$4:$B$21,'Balizador da Meta'!$C$4:$C$21)</f>
        <v>0</v>
      </c>
      <c r="O712" s="28">
        <f>O707*_xlfn.XLOOKUP($L712,'Balizador da Meta'!$B$4:$B$21,'Balizador da Meta'!$C$4:$C$21)</f>
        <v>0</v>
      </c>
      <c r="P712" s="28">
        <f>P707*_xlfn.XLOOKUP($L712,'Balizador da Meta'!$B$4:$B$21,'Balizador da Meta'!$C$4:$C$21)</f>
        <v>0</v>
      </c>
      <c r="Q712" s="28">
        <f>Q707*_xlfn.XLOOKUP($L712,'Balizador da Meta'!$B$4:$B$21,'Balizador da Meta'!$C$4:$C$21)</f>
        <v>0</v>
      </c>
      <c r="R712" s="28">
        <f>R707*_xlfn.XLOOKUP($L712,'Balizador da Meta'!$B$4:$B$21,'Balizador da Meta'!$C$4:$C$21)</f>
        <v>0</v>
      </c>
      <c r="S712" s="28">
        <f>S707*_xlfn.XLOOKUP($L712,'Balizador da Meta'!$B$4:$B$21,'Balizador da Meta'!$C$4:$C$21)</f>
        <v>0</v>
      </c>
      <c r="T712" s="28">
        <f>T707*_xlfn.XLOOKUP($L712,'Balizador da Meta'!$B$4:$B$21,'Balizador da Meta'!$C$4:$C$21)</f>
        <v>0</v>
      </c>
      <c r="U712" s="28">
        <f>U707*_xlfn.XLOOKUP($L712,'Balizador da Meta'!$B$4:$B$21,'Balizador da Meta'!$C$4:$C$21)</f>
        <v>0</v>
      </c>
      <c r="V712" s="28">
        <f>V707*_xlfn.XLOOKUP($L712,'Balizador da Meta'!$B$4:$B$21,'Balizador da Meta'!$C$4:$C$21)</f>
        <v>0</v>
      </c>
      <c r="W712" s="28">
        <f>W707*_xlfn.XLOOKUP($L712,'Balizador da Meta'!$B$4:$B$21,'Balizador da Meta'!$C$4:$C$21)</f>
        <v>0</v>
      </c>
      <c r="X712" s="28">
        <f>X707*_xlfn.XLOOKUP($L712,'Balizador da Meta'!$B$4:$B$21,'Balizador da Meta'!$C$4:$C$21)</f>
        <v>0</v>
      </c>
      <c r="Y712" s="28">
        <f>Y707*_xlfn.XLOOKUP($L712,'Balizador da Meta'!$B$4:$B$21,'Balizador da Meta'!$C$4:$C$21)</f>
        <v>0</v>
      </c>
      <c r="Z712" s="30">
        <f t="shared" si="172"/>
        <v>0</v>
      </c>
      <c r="AA712" s="29"/>
      <c r="AB712" s="31">
        <f>SUMIFS('Historico - FAT'!AK:AK,'Historico - FAT'!$K:$K,Faturamento!$L712,'Historico - FAT'!$I:$I,Faturamento!$J712,'Historico - FAT'!$G:$G,Faturamento!$H712)</f>
        <v>0</v>
      </c>
      <c r="AC712" s="31">
        <f>SUMIFS('Historico - FAT'!AL:AL,'Historico - FAT'!$K:$K,Faturamento!$L712,'Historico - FAT'!$I:$I,Faturamento!$J712,'Historico - FAT'!$G:$G,Faturamento!$H712)</f>
        <v>0</v>
      </c>
      <c r="AD712" s="31">
        <f>SUMIFS('Historico - FAT'!AM:AM,'Historico - FAT'!$K:$K,Faturamento!$L712,'Historico - FAT'!$I:$I,Faturamento!$J712,'Historico - FAT'!$G:$G,Faturamento!$H712)</f>
        <v>0</v>
      </c>
      <c r="AE712" s="27">
        <f>SUMIFS('Historico - FAT'!AN:AN,'Historico - FAT'!$K:$K,Faturamento!$L712,'Historico - FAT'!$I:$I,Faturamento!$J712,'Historico - FAT'!$G:$G,Faturamento!$H712)</f>
        <v>0</v>
      </c>
      <c r="AG712" s="24" t="str">
        <f t="shared" si="167"/>
        <v/>
      </c>
      <c r="AH712" s="24" t="str">
        <f t="shared" si="168"/>
        <v/>
      </c>
      <c r="AI712" s="24" t="str">
        <f t="shared" si="169"/>
        <v/>
      </c>
    </row>
    <row r="713" spans="1:35" hidden="1" x14ac:dyDescent="0.3">
      <c r="A713" s="2" t="str">
        <f t="shared" si="166"/>
        <v>NÃO</v>
      </c>
      <c r="B713" s="2">
        <v>1000184670</v>
      </c>
      <c r="C713" s="2" t="s">
        <v>147</v>
      </c>
      <c r="D713" s="4">
        <v>1000186197</v>
      </c>
      <c r="E713" s="4" t="s">
        <v>166</v>
      </c>
      <c r="F713" s="2">
        <v>1000184760</v>
      </c>
      <c r="G713" s="2" t="s">
        <v>60</v>
      </c>
      <c r="H713" s="4">
        <v>1000189782</v>
      </c>
      <c r="I713" s="4" t="s">
        <v>109</v>
      </c>
      <c r="J713" s="2">
        <v>1000189270</v>
      </c>
      <c r="K713" s="2" t="s">
        <v>34</v>
      </c>
      <c r="L713" s="4" t="s">
        <v>19</v>
      </c>
      <c r="M713" s="4" t="str">
        <f t="shared" si="173"/>
        <v>1000184670100018619710001897821000189270GELEIA</v>
      </c>
      <c r="N713" s="28">
        <f>N707*_xlfn.XLOOKUP($L713,'Balizador da Meta'!$B$4:$B$21,'Balizador da Meta'!$C$4:$C$21)</f>
        <v>11.999999999999998</v>
      </c>
      <c r="O713" s="28">
        <f>O707*_xlfn.XLOOKUP($L713,'Balizador da Meta'!$B$4:$B$21,'Balizador da Meta'!$C$4:$C$21)</f>
        <v>11.999999999999998</v>
      </c>
      <c r="P713" s="28">
        <f>P707*_xlfn.XLOOKUP($L713,'Balizador da Meta'!$B$4:$B$21,'Balizador da Meta'!$C$4:$C$21)</f>
        <v>11.999999999999998</v>
      </c>
      <c r="Q713" s="28">
        <f>Q707*_xlfn.XLOOKUP($L713,'Balizador da Meta'!$B$4:$B$21,'Balizador da Meta'!$C$4:$C$21)</f>
        <v>11.999999999999998</v>
      </c>
      <c r="R713" s="28">
        <f>R707*_xlfn.XLOOKUP($L713,'Balizador da Meta'!$B$4:$B$21,'Balizador da Meta'!$C$4:$C$21)</f>
        <v>11.999999999999998</v>
      </c>
      <c r="S713" s="28">
        <f>S707*_xlfn.XLOOKUP($L713,'Balizador da Meta'!$B$4:$B$21,'Balizador da Meta'!$C$4:$C$21)</f>
        <v>11.999999999999998</v>
      </c>
      <c r="T713" s="28">
        <f>T707*_xlfn.XLOOKUP($L713,'Balizador da Meta'!$B$4:$B$21,'Balizador da Meta'!$C$4:$C$21)</f>
        <v>11.999999999999998</v>
      </c>
      <c r="U713" s="28">
        <f>U707*_xlfn.XLOOKUP($L713,'Balizador da Meta'!$B$4:$B$21,'Balizador da Meta'!$C$4:$C$21)</f>
        <v>11.999999999999998</v>
      </c>
      <c r="V713" s="28">
        <f>V707*_xlfn.XLOOKUP($L713,'Balizador da Meta'!$B$4:$B$21,'Balizador da Meta'!$C$4:$C$21)</f>
        <v>11.999999999999998</v>
      </c>
      <c r="W713" s="28">
        <f>W707*_xlfn.XLOOKUP($L713,'Balizador da Meta'!$B$4:$B$21,'Balizador da Meta'!$C$4:$C$21)</f>
        <v>11.999999999999998</v>
      </c>
      <c r="X713" s="28">
        <f>X707*_xlfn.XLOOKUP($L713,'Balizador da Meta'!$B$4:$B$21,'Balizador da Meta'!$C$4:$C$21)</f>
        <v>11.999999999999998</v>
      </c>
      <c r="Y713" s="28">
        <f>Y707*_xlfn.XLOOKUP($L713,'Balizador da Meta'!$B$4:$B$21,'Balizador da Meta'!$C$4:$C$21)</f>
        <v>11.999999999999998</v>
      </c>
      <c r="Z713" s="30">
        <f t="shared" si="172"/>
        <v>143.99999999999997</v>
      </c>
      <c r="AA713" s="29"/>
      <c r="AB713" s="31">
        <f>SUMIFS('Historico - FAT'!AK:AK,'Historico - FAT'!$K:$K,Faturamento!$L713,'Historico - FAT'!$I:$I,Faturamento!$J713,'Historico - FAT'!$G:$G,Faturamento!$H713)</f>
        <v>22.275000000000002</v>
      </c>
      <c r="AC713" s="31">
        <f>SUMIFS('Historico - FAT'!AL:AL,'Historico - FAT'!$K:$K,Faturamento!$L713,'Historico - FAT'!$I:$I,Faturamento!$J713,'Historico - FAT'!$G:$G,Faturamento!$H713)</f>
        <v>3.375</v>
      </c>
      <c r="AD713" s="31">
        <f>SUMIFS('Historico - FAT'!AM:AM,'Historico - FAT'!$K:$K,Faturamento!$L713,'Historico - FAT'!$I:$I,Faturamento!$J713,'Historico - FAT'!$G:$G,Faturamento!$H713)</f>
        <v>6.75</v>
      </c>
      <c r="AE713" s="27">
        <f>SUMIFS('Historico - FAT'!AN:AN,'Historico - FAT'!$K:$K,Faturamento!$L713,'Historico - FAT'!$I:$I,Faturamento!$J713,'Historico - FAT'!$G:$G,Faturamento!$H713)</f>
        <v>4.05</v>
      </c>
      <c r="AG713" s="24">
        <f t="shared" si="167"/>
        <v>-0.8562500000000004</v>
      </c>
      <c r="AH713" s="24">
        <f t="shared" si="168"/>
        <v>0.71875</v>
      </c>
      <c r="AI713" s="24">
        <f t="shared" si="169"/>
        <v>0.43749999999999989</v>
      </c>
    </row>
    <row r="714" spans="1:35" hidden="1" x14ac:dyDescent="0.3">
      <c r="A714" s="2" t="str">
        <f t="shared" si="166"/>
        <v>NÃO</v>
      </c>
      <c r="B714" s="2">
        <v>1000184670</v>
      </c>
      <c r="C714" s="2" t="s">
        <v>147</v>
      </c>
      <c r="D714" s="4">
        <v>1000186197</v>
      </c>
      <c r="E714" s="4" t="s">
        <v>166</v>
      </c>
      <c r="F714" s="2">
        <v>1000184760</v>
      </c>
      <c r="G714" s="2" t="s">
        <v>60</v>
      </c>
      <c r="H714" s="4">
        <v>1000189782</v>
      </c>
      <c r="I714" s="4" t="s">
        <v>109</v>
      </c>
      <c r="J714" s="2">
        <v>1000189270</v>
      </c>
      <c r="K714" s="2" t="s">
        <v>34</v>
      </c>
      <c r="L714" s="4" t="s">
        <v>17</v>
      </c>
      <c r="M714" s="4" t="str">
        <f t="shared" si="173"/>
        <v>1000184670100018619710001897821000189270GRANOLA</v>
      </c>
      <c r="N714" s="28">
        <f>N707*_xlfn.XLOOKUP($L714,'Balizador da Meta'!$B$4:$B$21,'Balizador da Meta'!$C$4:$C$21)</f>
        <v>12</v>
      </c>
      <c r="O714" s="28">
        <f>O707*_xlfn.XLOOKUP($L714,'Balizador da Meta'!$B$4:$B$21,'Balizador da Meta'!$C$4:$C$21)</f>
        <v>12</v>
      </c>
      <c r="P714" s="28">
        <f>P707*_xlfn.XLOOKUP($L714,'Balizador da Meta'!$B$4:$B$21,'Balizador da Meta'!$C$4:$C$21)</f>
        <v>12</v>
      </c>
      <c r="Q714" s="28">
        <f>Q707*_xlfn.XLOOKUP($L714,'Balizador da Meta'!$B$4:$B$21,'Balizador da Meta'!$C$4:$C$21)</f>
        <v>12</v>
      </c>
      <c r="R714" s="28">
        <f>R707*_xlfn.XLOOKUP($L714,'Balizador da Meta'!$B$4:$B$21,'Balizador da Meta'!$C$4:$C$21)</f>
        <v>12</v>
      </c>
      <c r="S714" s="28">
        <f>S707*_xlfn.XLOOKUP($L714,'Balizador da Meta'!$B$4:$B$21,'Balizador da Meta'!$C$4:$C$21)</f>
        <v>12</v>
      </c>
      <c r="T714" s="28">
        <f>T707*_xlfn.XLOOKUP($L714,'Balizador da Meta'!$B$4:$B$21,'Balizador da Meta'!$C$4:$C$21)</f>
        <v>12</v>
      </c>
      <c r="U714" s="28">
        <f>U707*_xlfn.XLOOKUP($L714,'Balizador da Meta'!$B$4:$B$21,'Balizador da Meta'!$C$4:$C$21)</f>
        <v>12</v>
      </c>
      <c r="V714" s="28">
        <f>V707*_xlfn.XLOOKUP($L714,'Balizador da Meta'!$B$4:$B$21,'Balizador da Meta'!$C$4:$C$21)</f>
        <v>12</v>
      </c>
      <c r="W714" s="28">
        <f>W707*_xlfn.XLOOKUP($L714,'Balizador da Meta'!$B$4:$B$21,'Balizador da Meta'!$C$4:$C$21)</f>
        <v>12</v>
      </c>
      <c r="X714" s="28">
        <f>X707*_xlfn.XLOOKUP($L714,'Balizador da Meta'!$B$4:$B$21,'Balizador da Meta'!$C$4:$C$21)</f>
        <v>12</v>
      </c>
      <c r="Y714" s="28">
        <f>Y707*_xlfn.XLOOKUP($L714,'Balizador da Meta'!$B$4:$B$21,'Balizador da Meta'!$C$4:$C$21)</f>
        <v>12</v>
      </c>
      <c r="Z714" s="30">
        <f t="shared" si="172"/>
        <v>144</v>
      </c>
      <c r="AA714" s="29"/>
      <c r="AB714" s="31">
        <f>SUMIFS('Historico - FAT'!AK:AK,'Historico - FAT'!$K:$K,Faturamento!$L714,'Historico - FAT'!$I:$I,Faturamento!$J714,'Historico - FAT'!$G:$G,Faturamento!$H714)</f>
        <v>0</v>
      </c>
      <c r="AC714" s="31">
        <f>SUMIFS('Historico - FAT'!AL:AL,'Historico - FAT'!$K:$K,Faturamento!$L714,'Historico - FAT'!$I:$I,Faturamento!$J714,'Historico - FAT'!$G:$G,Faturamento!$H714)</f>
        <v>10</v>
      </c>
      <c r="AD714" s="31">
        <f>SUMIFS('Historico - FAT'!AM:AM,'Historico - FAT'!$K:$K,Faturamento!$L714,'Historico - FAT'!$I:$I,Faturamento!$J714,'Historico - FAT'!$G:$G,Faturamento!$H714)</f>
        <v>20</v>
      </c>
      <c r="AE714" s="27">
        <f>SUMIFS('Historico - FAT'!AN:AN,'Historico - FAT'!$K:$K,Faturamento!$L714,'Historico - FAT'!$I:$I,Faturamento!$J714,'Historico - FAT'!$G:$G,Faturamento!$H714)</f>
        <v>12</v>
      </c>
      <c r="AG714" s="24">
        <f t="shared" si="167"/>
        <v>1</v>
      </c>
      <c r="AH714" s="24">
        <f t="shared" si="168"/>
        <v>0.16666666666666666</v>
      </c>
      <c r="AI714" s="24">
        <f t="shared" si="169"/>
        <v>-0.66666666666666663</v>
      </c>
    </row>
    <row r="715" spans="1:35" hidden="1" x14ac:dyDescent="0.3">
      <c r="A715" s="2" t="str">
        <f t="shared" si="166"/>
        <v>NÃO</v>
      </c>
      <c r="B715" s="2">
        <v>1000184670</v>
      </c>
      <c r="C715" s="2" t="s">
        <v>147</v>
      </c>
      <c r="D715" s="4">
        <v>1000186197</v>
      </c>
      <c r="E715" s="4" t="s">
        <v>166</v>
      </c>
      <c r="F715" s="2">
        <v>1000184760</v>
      </c>
      <c r="G715" s="2" t="s">
        <v>60</v>
      </c>
      <c r="H715" s="4">
        <v>1000189782</v>
      </c>
      <c r="I715" s="4" t="s">
        <v>109</v>
      </c>
      <c r="J715" s="2">
        <v>1000189270</v>
      </c>
      <c r="K715" s="2" t="s">
        <v>34</v>
      </c>
      <c r="L715" s="4" t="s">
        <v>24</v>
      </c>
      <c r="M715" s="4" t="str">
        <f t="shared" si="173"/>
        <v>1000184670100018619710001897821000189270KIDS</v>
      </c>
      <c r="N715" s="28">
        <f>N707*_xlfn.XLOOKUP($L715,'Balizador da Meta'!$B$4:$B$21,'Balizador da Meta'!$C$4:$C$21)</f>
        <v>0</v>
      </c>
      <c r="O715" s="28">
        <f>O707*_xlfn.XLOOKUP($L715,'Balizador da Meta'!$B$4:$B$21,'Balizador da Meta'!$C$4:$C$21)</f>
        <v>0</v>
      </c>
      <c r="P715" s="28">
        <f>P707*_xlfn.XLOOKUP($L715,'Balizador da Meta'!$B$4:$B$21,'Balizador da Meta'!$C$4:$C$21)</f>
        <v>0</v>
      </c>
      <c r="Q715" s="28">
        <f>Q707*_xlfn.XLOOKUP($L715,'Balizador da Meta'!$B$4:$B$21,'Balizador da Meta'!$C$4:$C$21)</f>
        <v>0</v>
      </c>
      <c r="R715" s="28">
        <f>R707*_xlfn.XLOOKUP($L715,'Balizador da Meta'!$B$4:$B$21,'Balizador da Meta'!$C$4:$C$21)</f>
        <v>0</v>
      </c>
      <c r="S715" s="28">
        <f>S707*_xlfn.XLOOKUP($L715,'Balizador da Meta'!$B$4:$B$21,'Balizador da Meta'!$C$4:$C$21)</f>
        <v>0</v>
      </c>
      <c r="T715" s="28">
        <f>T707*_xlfn.XLOOKUP($L715,'Balizador da Meta'!$B$4:$B$21,'Balizador da Meta'!$C$4:$C$21)</f>
        <v>0</v>
      </c>
      <c r="U715" s="28">
        <f>U707*_xlfn.XLOOKUP($L715,'Balizador da Meta'!$B$4:$B$21,'Balizador da Meta'!$C$4:$C$21)</f>
        <v>0</v>
      </c>
      <c r="V715" s="28">
        <f>V707*_xlfn.XLOOKUP($L715,'Balizador da Meta'!$B$4:$B$21,'Balizador da Meta'!$C$4:$C$21)</f>
        <v>0</v>
      </c>
      <c r="W715" s="28">
        <f>W707*_xlfn.XLOOKUP($L715,'Balizador da Meta'!$B$4:$B$21,'Balizador da Meta'!$C$4:$C$21)</f>
        <v>0</v>
      </c>
      <c r="X715" s="28">
        <f>X707*_xlfn.XLOOKUP($L715,'Balizador da Meta'!$B$4:$B$21,'Balizador da Meta'!$C$4:$C$21)</f>
        <v>0</v>
      </c>
      <c r="Y715" s="28">
        <f>Y707*_xlfn.XLOOKUP($L715,'Balizador da Meta'!$B$4:$B$21,'Balizador da Meta'!$C$4:$C$21)</f>
        <v>0</v>
      </c>
      <c r="Z715" s="30">
        <f t="shared" si="172"/>
        <v>0</v>
      </c>
      <c r="AA715" s="29"/>
      <c r="AB715" s="31">
        <f>SUMIFS('Historico - FAT'!AK:AK,'Historico - FAT'!$K:$K,Faturamento!$L715,'Historico - FAT'!$I:$I,Faturamento!$J715,'Historico - FAT'!$G:$G,Faturamento!$H715)</f>
        <v>0</v>
      </c>
      <c r="AC715" s="31">
        <f>SUMIFS('Historico - FAT'!AL:AL,'Historico - FAT'!$K:$K,Faturamento!$L715,'Historico - FAT'!$I:$I,Faturamento!$J715,'Historico - FAT'!$G:$G,Faturamento!$H715)</f>
        <v>18.649166666666666</v>
      </c>
      <c r="AD715" s="31">
        <f>SUMIFS('Historico - FAT'!AM:AM,'Historico - FAT'!$K:$K,Faturamento!$L715,'Historico - FAT'!$I:$I,Faturamento!$J715,'Historico - FAT'!$G:$G,Faturamento!$H715)</f>
        <v>0</v>
      </c>
      <c r="AE715" s="27">
        <f>SUMIFS('Historico - FAT'!AN:AN,'Historico - FAT'!$K:$K,Faturamento!$L715,'Historico - FAT'!$I:$I,Faturamento!$J715,'Historico - FAT'!$G:$G,Faturamento!$H715)</f>
        <v>22.378999999999998</v>
      </c>
      <c r="AG715" s="24" t="str">
        <f t="shared" si="167"/>
        <v/>
      </c>
      <c r="AH715" s="24" t="str">
        <f t="shared" si="168"/>
        <v/>
      </c>
      <c r="AI715" s="24" t="str">
        <f t="shared" si="169"/>
        <v/>
      </c>
    </row>
    <row r="716" spans="1:35" hidden="1" x14ac:dyDescent="0.3">
      <c r="A716" s="2" t="str">
        <f t="shared" si="166"/>
        <v>NÃO</v>
      </c>
      <c r="B716" s="2">
        <v>1000184670</v>
      </c>
      <c r="C716" s="2" t="s">
        <v>147</v>
      </c>
      <c r="D716" s="4">
        <v>1000186197</v>
      </c>
      <c r="E716" s="4" t="s">
        <v>166</v>
      </c>
      <c r="F716" s="2">
        <v>1000184760</v>
      </c>
      <c r="G716" s="2" t="s">
        <v>60</v>
      </c>
      <c r="H716" s="4">
        <v>1000189782</v>
      </c>
      <c r="I716" s="4" t="s">
        <v>109</v>
      </c>
      <c r="J716" s="2">
        <v>1000189270</v>
      </c>
      <c r="K716" s="2" t="s">
        <v>34</v>
      </c>
      <c r="L716" s="4" t="s">
        <v>18</v>
      </c>
      <c r="M716" s="4" t="str">
        <f t="shared" si="173"/>
        <v>1000184670100018619710001897821000189270LANCHES</v>
      </c>
      <c r="N716" s="28">
        <f>N707*_xlfn.XLOOKUP($L716,'Balizador da Meta'!$B$4:$B$21,'Balizador da Meta'!$C$4:$C$21)</f>
        <v>6</v>
      </c>
      <c r="O716" s="28">
        <f>O707*_xlfn.XLOOKUP($L716,'Balizador da Meta'!$B$4:$B$21,'Balizador da Meta'!$C$4:$C$21)</f>
        <v>6</v>
      </c>
      <c r="P716" s="28">
        <f>P707*_xlfn.XLOOKUP($L716,'Balizador da Meta'!$B$4:$B$21,'Balizador da Meta'!$C$4:$C$21)</f>
        <v>6</v>
      </c>
      <c r="Q716" s="28">
        <f>Q707*_xlfn.XLOOKUP($L716,'Balizador da Meta'!$B$4:$B$21,'Balizador da Meta'!$C$4:$C$21)</f>
        <v>6</v>
      </c>
      <c r="R716" s="28">
        <f>R707*_xlfn.XLOOKUP($L716,'Balizador da Meta'!$B$4:$B$21,'Balizador da Meta'!$C$4:$C$21)</f>
        <v>6</v>
      </c>
      <c r="S716" s="28">
        <f>S707*_xlfn.XLOOKUP($L716,'Balizador da Meta'!$B$4:$B$21,'Balizador da Meta'!$C$4:$C$21)</f>
        <v>6</v>
      </c>
      <c r="T716" s="28">
        <f>T707*_xlfn.XLOOKUP($L716,'Balizador da Meta'!$B$4:$B$21,'Balizador da Meta'!$C$4:$C$21)</f>
        <v>6</v>
      </c>
      <c r="U716" s="28">
        <f>U707*_xlfn.XLOOKUP($L716,'Balizador da Meta'!$B$4:$B$21,'Balizador da Meta'!$C$4:$C$21)</f>
        <v>6</v>
      </c>
      <c r="V716" s="28">
        <f>V707*_xlfn.XLOOKUP($L716,'Balizador da Meta'!$B$4:$B$21,'Balizador da Meta'!$C$4:$C$21)</f>
        <v>6</v>
      </c>
      <c r="W716" s="28">
        <f>W707*_xlfn.XLOOKUP($L716,'Balizador da Meta'!$B$4:$B$21,'Balizador da Meta'!$C$4:$C$21)</f>
        <v>6</v>
      </c>
      <c r="X716" s="28">
        <f>X707*_xlfn.XLOOKUP($L716,'Balizador da Meta'!$B$4:$B$21,'Balizador da Meta'!$C$4:$C$21)</f>
        <v>6</v>
      </c>
      <c r="Y716" s="28">
        <f>Y707*_xlfn.XLOOKUP($L716,'Balizador da Meta'!$B$4:$B$21,'Balizador da Meta'!$C$4:$C$21)</f>
        <v>6</v>
      </c>
      <c r="Z716" s="30">
        <f t="shared" si="172"/>
        <v>72</v>
      </c>
      <c r="AA716" s="29"/>
      <c r="AB716" s="31">
        <f>SUMIFS('Historico - FAT'!AK:AK,'Historico - FAT'!$K:$K,Faturamento!$L716,'Historico - FAT'!$I:$I,Faturamento!$J716,'Historico - FAT'!$G:$G,Faturamento!$H716)</f>
        <v>0</v>
      </c>
      <c r="AC716" s="31">
        <f>SUMIFS('Historico - FAT'!AL:AL,'Historico - FAT'!$K:$K,Faturamento!$L716,'Historico - FAT'!$I:$I,Faturamento!$J716,'Historico - FAT'!$G:$G,Faturamento!$H716)</f>
        <v>0</v>
      </c>
      <c r="AD716" s="31">
        <f>SUMIFS('Historico - FAT'!AM:AM,'Historico - FAT'!$K:$K,Faturamento!$L716,'Historico - FAT'!$I:$I,Faturamento!$J716,'Historico - FAT'!$G:$G,Faturamento!$H716)</f>
        <v>0</v>
      </c>
      <c r="AE716" s="27">
        <f>SUMIFS('Historico - FAT'!AN:AN,'Historico - FAT'!$K:$K,Faturamento!$L716,'Historico - FAT'!$I:$I,Faturamento!$J716,'Historico - FAT'!$G:$G,Faturamento!$H716)</f>
        <v>0</v>
      </c>
      <c r="AG716" s="24">
        <f t="shared" si="167"/>
        <v>1</v>
      </c>
      <c r="AH716" s="24">
        <f t="shared" si="168"/>
        <v>1</v>
      </c>
      <c r="AI716" s="24">
        <f t="shared" si="169"/>
        <v>1</v>
      </c>
    </row>
    <row r="717" spans="1:35" hidden="1" x14ac:dyDescent="0.3">
      <c r="A717" s="2" t="str">
        <f t="shared" si="166"/>
        <v>NÃO</v>
      </c>
      <c r="B717" s="2">
        <v>1000184670</v>
      </c>
      <c r="C717" s="2" t="s">
        <v>147</v>
      </c>
      <c r="D717" s="4">
        <v>1000186197</v>
      </c>
      <c r="E717" s="4" t="s">
        <v>166</v>
      </c>
      <c r="F717" s="2">
        <v>1000184760</v>
      </c>
      <c r="G717" s="2" t="s">
        <v>60</v>
      </c>
      <c r="H717" s="4">
        <v>1000189782</v>
      </c>
      <c r="I717" s="4" t="s">
        <v>109</v>
      </c>
      <c r="J717" s="2">
        <v>1000189270</v>
      </c>
      <c r="K717" s="2" t="s">
        <v>34</v>
      </c>
      <c r="L717" s="4" t="s">
        <v>29</v>
      </c>
      <c r="M717" s="4" t="str">
        <f t="shared" si="173"/>
        <v>1000184670100018619710001897821000189270MAIS GRANEL</v>
      </c>
      <c r="N717" s="28">
        <f>N707*_xlfn.XLOOKUP($L717,'Balizador da Meta'!$B$4:$B$21,'Balizador da Meta'!$C$4:$C$21)</f>
        <v>192</v>
      </c>
      <c r="O717" s="28">
        <f>O707*_xlfn.XLOOKUP($L717,'Balizador da Meta'!$B$4:$B$21,'Balizador da Meta'!$C$4:$C$21)</f>
        <v>192</v>
      </c>
      <c r="P717" s="28">
        <f>P707*_xlfn.XLOOKUP($L717,'Balizador da Meta'!$B$4:$B$21,'Balizador da Meta'!$C$4:$C$21)</f>
        <v>192</v>
      </c>
      <c r="Q717" s="28">
        <f>Q707*_xlfn.XLOOKUP($L717,'Balizador da Meta'!$B$4:$B$21,'Balizador da Meta'!$C$4:$C$21)</f>
        <v>192</v>
      </c>
      <c r="R717" s="28">
        <f>R707*_xlfn.XLOOKUP($L717,'Balizador da Meta'!$B$4:$B$21,'Balizador da Meta'!$C$4:$C$21)</f>
        <v>192</v>
      </c>
      <c r="S717" s="28">
        <f>S707*_xlfn.XLOOKUP($L717,'Balizador da Meta'!$B$4:$B$21,'Balizador da Meta'!$C$4:$C$21)</f>
        <v>192</v>
      </c>
      <c r="T717" s="28">
        <f>T707*_xlfn.XLOOKUP($L717,'Balizador da Meta'!$B$4:$B$21,'Balizador da Meta'!$C$4:$C$21)</f>
        <v>192</v>
      </c>
      <c r="U717" s="28">
        <f>U707*_xlfn.XLOOKUP($L717,'Balizador da Meta'!$B$4:$B$21,'Balizador da Meta'!$C$4:$C$21)</f>
        <v>192</v>
      </c>
      <c r="V717" s="28">
        <f>V707*_xlfn.XLOOKUP($L717,'Balizador da Meta'!$B$4:$B$21,'Balizador da Meta'!$C$4:$C$21)</f>
        <v>192</v>
      </c>
      <c r="W717" s="28">
        <f>W707*_xlfn.XLOOKUP($L717,'Balizador da Meta'!$B$4:$B$21,'Balizador da Meta'!$C$4:$C$21)</f>
        <v>192</v>
      </c>
      <c r="X717" s="28">
        <f>X707*_xlfn.XLOOKUP($L717,'Balizador da Meta'!$B$4:$B$21,'Balizador da Meta'!$C$4:$C$21)</f>
        <v>192</v>
      </c>
      <c r="Y717" s="28">
        <f>Y707*_xlfn.XLOOKUP($L717,'Balizador da Meta'!$B$4:$B$21,'Balizador da Meta'!$C$4:$C$21)</f>
        <v>192</v>
      </c>
      <c r="Z717" s="30">
        <f t="shared" si="172"/>
        <v>2304</v>
      </c>
      <c r="AA717" s="29"/>
      <c r="AB717" s="31">
        <f>SUMIFS('Historico - FAT'!AK:AK,'Historico - FAT'!$K:$K,Faturamento!$L717,'Historico - FAT'!$I:$I,Faturamento!$J717,'Historico - FAT'!$G:$G,Faturamento!$H717)</f>
        <v>0</v>
      </c>
      <c r="AC717" s="31">
        <f>SUMIFS('Historico - FAT'!AL:AL,'Historico - FAT'!$K:$K,Faturamento!$L717,'Historico - FAT'!$I:$I,Faturamento!$J717,'Historico - FAT'!$G:$G,Faturamento!$H717)</f>
        <v>183.16666666666666</v>
      </c>
      <c r="AD717" s="31">
        <f>SUMIFS('Historico - FAT'!AM:AM,'Historico - FAT'!$K:$K,Faturamento!$L717,'Historico - FAT'!$I:$I,Faturamento!$J717,'Historico - FAT'!$G:$G,Faturamento!$H717)</f>
        <v>366.33333333333331</v>
      </c>
      <c r="AE717" s="27">
        <f>SUMIFS('Historico - FAT'!AN:AN,'Historico - FAT'!$K:$K,Faturamento!$L717,'Historico - FAT'!$I:$I,Faturamento!$J717,'Historico - FAT'!$G:$G,Faturamento!$H717)</f>
        <v>219.8</v>
      </c>
      <c r="AG717" s="24">
        <f t="shared" si="167"/>
        <v>1</v>
      </c>
      <c r="AH717" s="24">
        <f t="shared" si="168"/>
        <v>4.6006944444444496E-2</v>
      </c>
      <c r="AI717" s="24">
        <f t="shared" si="169"/>
        <v>-0.90798611111111105</v>
      </c>
    </row>
    <row r="718" spans="1:35" hidden="1" x14ac:dyDescent="0.3">
      <c r="A718" s="2" t="str">
        <f t="shared" si="166"/>
        <v>NÃO</v>
      </c>
      <c r="B718" s="2">
        <v>1000184670</v>
      </c>
      <c r="C718" s="2" t="s">
        <v>147</v>
      </c>
      <c r="D718" s="4">
        <v>1000186197</v>
      </c>
      <c r="E718" s="4" t="s">
        <v>166</v>
      </c>
      <c r="F718" s="2">
        <v>1000184760</v>
      </c>
      <c r="G718" s="2" t="s">
        <v>60</v>
      </c>
      <c r="H718" s="4">
        <v>1000189782</v>
      </c>
      <c r="I718" s="4" t="s">
        <v>109</v>
      </c>
      <c r="J718" s="2">
        <v>1000189270</v>
      </c>
      <c r="K718" s="2" t="s">
        <v>34</v>
      </c>
      <c r="L718" s="4" t="s">
        <v>21</v>
      </c>
      <c r="M718" s="4" t="str">
        <f t="shared" si="173"/>
        <v>1000184670100018619710001897821000189270NATURATTA</v>
      </c>
      <c r="N718" s="28">
        <f>N707*_xlfn.XLOOKUP($L718,'Balizador da Meta'!$B$4:$B$21,'Balizador da Meta'!$C$4:$C$21)</f>
        <v>30</v>
      </c>
      <c r="O718" s="28">
        <f>O707*_xlfn.XLOOKUP($L718,'Balizador da Meta'!$B$4:$B$21,'Balizador da Meta'!$C$4:$C$21)</f>
        <v>30</v>
      </c>
      <c r="P718" s="28">
        <f>P707*_xlfn.XLOOKUP($L718,'Balizador da Meta'!$B$4:$B$21,'Balizador da Meta'!$C$4:$C$21)</f>
        <v>30</v>
      </c>
      <c r="Q718" s="28">
        <f>Q707*_xlfn.XLOOKUP($L718,'Balizador da Meta'!$B$4:$B$21,'Balizador da Meta'!$C$4:$C$21)</f>
        <v>30</v>
      </c>
      <c r="R718" s="28">
        <f>R707*_xlfn.XLOOKUP($L718,'Balizador da Meta'!$B$4:$B$21,'Balizador da Meta'!$C$4:$C$21)</f>
        <v>30</v>
      </c>
      <c r="S718" s="28">
        <f>S707*_xlfn.XLOOKUP($L718,'Balizador da Meta'!$B$4:$B$21,'Balizador da Meta'!$C$4:$C$21)</f>
        <v>30</v>
      </c>
      <c r="T718" s="28">
        <f>T707*_xlfn.XLOOKUP($L718,'Balizador da Meta'!$B$4:$B$21,'Balizador da Meta'!$C$4:$C$21)</f>
        <v>30</v>
      </c>
      <c r="U718" s="28">
        <f>U707*_xlfn.XLOOKUP($L718,'Balizador da Meta'!$B$4:$B$21,'Balizador da Meta'!$C$4:$C$21)</f>
        <v>30</v>
      </c>
      <c r="V718" s="28">
        <f>V707*_xlfn.XLOOKUP($L718,'Balizador da Meta'!$B$4:$B$21,'Balizador da Meta'!$C$4:$C$21)</f>
        <v>30</v>
      </c>
      <c r="W718" s="28">
        <f>W707*_xlfn.XLOOKUP($L718,'Balizador da Meta'!$B$4:$B$21,'Balizador da Meta'!$C$4:$C$21)</f>
        <v>30</v>
      </c>
      <c r="X718" s="28">
        <f>X707*_xlfn.XLOOKUP($L718,'Balizador da Meta'!$B$4:$B$21,'Balizador da Meta'!$C$4:$C$21)</f>
        <v>30</v>
      </c>
      <c r="Y718" s="28">
        <f>Y707*_xlfn.XLOOKUP($L718,'Balizador da Meta'!$B$4:$B$21,'Balizador da Meta'!$C$4:$C$21)</f>
        <v>30</v>
      </c>
      <c r="Z718" s="30">
        <f t="shared" si="172"/>
        <v>360</v>
      </c>
      <c r="AA718" s="29"/>
      <c r="AB718" s="31">
        <f>SUMIFS('Historico - FAT'!AK:AK,'Historico - FAT'!$K:$K,Faturamento!$L718,'Historico - FAT'!$I:$I,Faturamento!$J718,'Historico - FAT'!$G:$G,Faturamento!$H718)</f>
        <v>0</v>
      </c>
      <c r="AC718" s="31">
        <f>SUMIFS('Historico - FAT'!AL:AL,'Historico - FAT'!$K:$K,Faturamento!$L718,'Historico - FAT'!$I:$I,Faturamento!$J718,'Historico - FAT'!$G:$G,Faturamento!$H718)</f>
        <v>3.9183333333333334</v>
      </c>
      <c r="AD718" s="31">
        <f>SUMIFS('Historico - FAT'!AM:AM,'Historico - FAT'!$K:$K,Faturamento!$L718,'Historico - FAT'!$I:$I,Faturamento!$J718,'Historico - FAT'!$G:$G,Faturamento!$H718)</f>
        <v>7.8366666666666669</v>
      </c>
      <c r="AE718" s="27">
        <f>SUMIFS('Historico - FAT'!AN:AN,'Historico - FAT'!$K:$K,Faturamento!$L718,'Historico - FAT'!$I:$I,Faturamento!$J718,'Historico - FAT'!$G:$G,Faturamento!$H718)</f>
        <v>4.702</v>
      </c>
      <c r="AG718" s="24">
        <f t="shared" si="167"/>
        <v>1</v>
      </c>
      <c r="AH718" s="24">
        <f t="shared" si="168"/>
        <v>0.86938888888888888</v>
      </c>
      <c r="AI718" s="24">
        <f t="shared" si="169"/>
        <v>0.73877777777777776</v>
      </c>
    </row>
    <row r="719" spans="1:35" hidden="1" x14ac:dyDescent="0.3">
      <c r="A719" s="2" t="str">
        <f t="shared" si="166"/>
        <v>NÃO</v>
      </c>
      <c r="B719" s="2">
        <v>1000184670</v>
      </c>
      <c r="C719" s="2" t="s">
        <v>147</v>
      </c>
      <c r="D719" s="4">
        <v>1000186197</v>
      </c>
      <c r="E719" s="4" t="s">
        <v>166</v>
      </c>
      <c r="F719" s="2">
        <v>1000184760</v>
      </c>
      <c r="G719" s="2" t="s">
        <v>60</v>
      </c>
      <c r="H719" s="4">
        <v>1000189782</v>
      </c>
      <c r="I719" s="4" t="s">
        <v>109</v>
      </c>
      <c r="J719" s="2">
        <v>1000189270</v>
      </c>
      <c r="K719" s="2" t="s">
        <v>34</v>
      </c>
      <c r="L719" s="4" t="s">
        <v>20</v>
      </c>
      <c r="M719" s="4" t="str">
        <f t="shared" si="173"/>
        <v>1000184670100018619710001897821000189270REEMBALADOS</v>
      </c>
      <c r="N719" s="28">
        <f>N707*_xlfn.XLOOKUP($L719,'Balizador da Meta'!$B$4:$B$21,'Balizador da Meta'!$C$4:$C$21)</f>
        <v>24</v>
      </c>
      <c r="O719" s="28">
        <f>O707*_xlfn.XLOOKUP($L719,'Balizador da Meta'!$B$4:$B$21,'Balizador da Meta'!$C$4:$C$21)</f>
        <v>24</v>
      </c>
      <c r="P719" s="28">
        <f>P707*_xlfn.XLOOKUP($L719,'Balizador da Meta'!$B$4:$B$21,'Balizador da Meta'!$C$4:$C$21)</f>
        <v>24</v>
      </c>
      <c r="Q719" s="28">
        <f>Q707*_xlfn.XLOOKUP($L719,'Balizador da Meta'!$B$4:$B$21,'Balizador da Meta'!$C$4:$C$21)</f>
        <v>24</v>
      </c>
      <c r="R719" s="28">
        <f>R707*_xlfn.XLOOKUP($L719,'Balizador da Meta'!$B$4:$B$21,'Balizador da Meta'!$C$4:$C$21)</f>
        <v>24</v>
      </c>
      <c r="S719" s="28">
        <f>S707*_xlfn.XLOOKUP($L719,'Balizador da Meta'!$B$4:$B$21,'Balizador da Meta'!$C$4:$C$21)</f>
        <v>24</v>
      </c>
      <c r="T719" s="28">
        <f>T707*_xlfn.XLOOKUP($L719,'Balizador da Meta'!$B$4:$B$21,'Balizador da Meta'!$C$4:$C$21)</f>
        <v>24</v>
      </c>
      <c r="U719" s="28">
        <f>U707*_xlfn.XLOOKUP($L719,'Balizador da Meta'!$B$4:$B$21,'Balizador da Meta'!$C$4:$C$21)</f>
        <v>24</v>
      </c>
      <c r="V719" s="28">
        <f>V707*_xlfn.XLOOKUP($L719,'Balizador da Meta'!$B$4:$B$21,'Balizador da Meta'!$C$4:$C$21)</f>
        <v>24</v>
      </c>
      <c r="W719" s="28">
        <f>W707*_xlfn.XLOOKUP($L719,'Balizador da Meta'!$B$4:$B$21,'Balizador da Meta'!$C$4:$C$21)</f>
        <v>24</v>
      </c>
      <c r="X719" s="28">
        <f>X707*_xlfn.XLOOKUP($L719,'Balizador da Meta'!$B$4:$B$21,'Balizador da Meta'!$C$4:$C$21)</f>
        <v>24</v>
      </c>
      <c r="Y719" s="28">
        <f>Y707*_xlfn.XLOOKUP($L719,'Balizador da Meta'!$B$4:$B$21,'Balizador da Meta'!$C$4:$C$21)</f>
        <v>24</v>
      </c>
      <c r="Z719" s="30">
        <f t="shared" si="172"/>
        <v>288</v>
      </c>
      <c r="AA719" s="29"/>
      <c r="AB719" s="31">
        <f>SUMIFS('Historico - FAT'!AK:AK,'Historico - FAT'!$K:$K,Faturamento!$L719,'Historico - FAT'!$I:$I,Faturamento!$J719,'Historico - FAT'!$G:$G,Faturamento!$H719)</f>
        <v>0</v>
      </c>
      <c r="AC719" s="31">
        <f>SUMIFS('Historico - FAT'!AL:AL,'Historico - FAT'!$K:$K,Faturamento!$L719,'Historico - FAT'!$I:$I,Faturamento!$J719,'Historico - FAT'!$G:$G,Faturamento!$H719)</f>
        <v>6.2758333333333338</v>
      </c>
      <c r="AD719" s="31">
        <f>SUMIFS('Historico - FAT'!AM:AM,'Historico - FAT'!$K:$K,Faturamento!$L719,'Historico - FAT'!$I:$I,Faturamento!$J719,'Historico - FAT'!$G:$G,Faturamento!$H719)</f>
        <v>12.551666666666668</v>
      </c>
      <c r="AE719" s="27">
        <f>SUMIFS('Historico - FAT'!AN:AN,'Historico - FAT'!$K:$K,Faturamento!$L719,'Historico - FAT'!$I:$I,Faturamento!$J719,'Historico - FAT'!$G:$G,Faturamento!$H719)</f>
        <v>7.5310000000000006</v>
      </c>
      <c r="AG719" s="24">
        <f t="shared" si="167"/>
        <v>1</v>
      </c>
      <c r="AH719" s="24">
        <f t="shared" si="168"/>
        <v>0.73850694444444442</v>
      </c>
      <c r="AI719" s="24">
        <f t="shared" si="169"/>
        <v>0.47701388888888885</v>
      </c>
    </row>
    <row r="720" spans="1:35" hidden="1" x14ac:dyDescent="0.3">
      <c r="A720" s="2" t="str">
        <f t="shared" si="166"/>
        <v>NÃO</v>
      </c>
      <c r="B720" s="2">
        <v>1000184670</v>
      </c>
      <c r="C720" s="2" t="s">
        <v>147</v>
      </c>
      <c r="D720" s="4">
        <v>1000186197</v>
      </c>
      <c r="E720" s="4" t="s">
        <v>166</v>
      </c>
      <c r="F720" s="2">
        <v>1000184760</v>
      </c>
      <c r="G720" s="2" t="s">
        <v>60</v>
      </c>
      <c r="H720" s="4">
        <v>1000189782</v>
      </c>
      <c r="I720" s="4" t="s">
        <v>109</v>
      </c>
      <c r="J720" s="2">
        <v>1000189270</v>
      </c>
      <c r="K720" s="2" t="s">
        <v>34</v>
      </c>
      <c r="L720" s="4" t="s">
        <v>22</v>
      </c>
      <c r="M720" s="4" t="str">
        <f t="shared" si="173"/>
        <v>1000184670100018619710001897821000189270S GLUTEN</v>
      </c>
      <c r="N720" s="28">
        <f>N707*_xlfn.XLOOKUP($L720,'Balizador da Meta'!$B$4:$B$21,'Balizador da Meta'!$C$4:$C$21)</f>
        <v>24</v>
      </c>
      <c r="O720" s="28">
        <f>O707*_xlfn.XLOOKUP($L720,'Balizador da Meta'!$B$4:$B$21,'Balizador da Meta'!$C$4:$C$21)</f>
        <v>24</v>
      </c>
      <c r="P720" s="28">
        <f>P707*_xlfn.XLOOKUP($L720,'Balizador da Meta'!$B$4:$B$21,'Balizador da Meta'!$C$4:$C$21)</f>
        <v>24</v>
      </c>
      <c r="Q720" s="28">
        <f>Q707*_xlfn.XLOOKUP($L720,'Balizador da Meta'!$B$4:$B$21,'Balizador da Meta'!$C$4:$C$21)</f>
        <v>24</v>
      </c>
      <c r="R720" s="28">
        <f>R707*_xlfn.XLOOKUP($L720,'Balizador da Meta'!$B$4:$B$21,'Balizador da Meta'!$C$4:$C$21)</f>
        <v>24</v>
      </c>
      <c r="S720" s="28">
        <f>S707*_xlfn.XLOOKUP($L720,'Balizador da Meta'!$B$4:$B$21,'Balizador da Meta'!$C$4:$C$21)</f>
        <v>24</v>
      </c>
      <c r="T720" s="28">
        <f>T707*_xlfn.XLOOKUP($L720,'Balizador da Meta'!$B$4:$B$21,'Balizador da Meta'!$C$4:$C$21)</f>
        <v>24</v>
      </c>
      <c r="U720" s="28">
        <f>U707*_xlfn.XLOOKUP($L720,'Balizador da Meta'!$B$4:$B$21,'Balizador da Meta'!$C$4:$C$21)</f>
        <v>24</v>
      </c>
      <c r="V720" s="28">
        <f>V707*_xlfn.XLOOKUP($L720,'Balizador da Meta'!$B$4:$B$21,'Balizador da Meta'!$C$4:$C$21)</f>
        <v>24</v>
      </c>
      <c r="W720" s="28">
        <f>W707*_xlfn.XLOOKUP($L720,'Balizador da Meta'!$B$4:$B$21,'Balizador da Meta'!$C$4:$C$21)</f>
        <v>24</v>
      </c>
      <c r="X720" s="28">
        <f>X707*_xlfn.XLOOKUP($L720,'Balizador da Meta'!$B$4:$B$21,'Balizador da Meta'!$C$4:$C$21)</f>
        <v>24</v>
      </c>
      <c r="Y720" s="28">
        <f>Y707*_xlfn.XLOOKUP($L720,'Balizador da Meta'!$B$4:$B$21,'Balizador da Meta'!$C$4:$C$21)</f>
        <v>24</v>
      </c>
      <c r="Z720" s="30">
        <f t="shared" si="172"/>
        <v>288</v>
      </c>
      <c r="AA720" s="29"/>
      <c r="AB720" s="31">
        <f>SUMIFS('Historico - FAT'!AK:AK,'Historico - FAT'!$K:$K,Faturamento!$L720,'Historico - FAT'!$I:$I,Faturamento!$J720,'Historico - FAT'!$G:$G,Faturamento!$H720)</f>
        <v>0</v>
      </c>
      <c r="AC720" s="31">
        <f>SUMIFS('Historico - FAT'!AL:AL,'Historico - FAT'!$K:$K,Faturamento!$L720,'Historico - FAT'!$I:$I,Faturamento!$J720,'Historico - FAT'!$G:$G,Faturamento!$H720)</f>
        <v>72.295833333333334</v>
      </c>
      <c r="AD720" s="31">
        <f>SUMIFS('Historico - FAT'!AM:AM,'Historico - FAT'!$K:$K,Faturamento!$L720,'Historico - FAT'!$I:$I,Faturamento!$J720,'Historico - FAT'!$G:$G,Faturamento!$H720)</f>
        <v>34</v>
      </c>
      <c r="AE720" s="27">
        <f>SUMIFS('Historico - FAT'!AN:AN,'Historico - FAT'!$K:$K,Faturamento!$L720,'Historico - FAT'!$I:$I,Faturamento!$J720,'Historico - FAT'!$G:$G,Faturamento!$H720)</f>
        <v>86.754999999999995</v>
      </c>
      <c r="AG720" s="24">
        <f t="shared" si="167"/>
        <v>1</v>
      </c>
      <c r="AH720" s="24">
        <f t="shared" si="168"/>
        <v>-2.0123263888888889</v>
      </c>
      <c r="AI720" s="24">
        <f t="shared" si="169"/>
        <v>-0.41666666666666669</v>
      </c>
    </row>
    <row r="721" spans="1:35" hidden="1" x14ac:dyDescent="0.3">
      <c r="A721" s="2" t="str">
        <f t="shared" si="166"/>
        <v>NÃO</v>
      </c>
      <c r="B721" s="2">
        <v>1000184670</v>
      </c>
      <c r="C721" s="2" t="s">
        <v>147</v>
      </c>
      <c r="D721" s="4">
        <v>1000186197</v>
      </c>
      <c r="E721" s="4" t="s">
        <v>166</v>
      </c>
      <c r="F721" s="2">
        <v>1000184760</v>
      </c>
      <c r="G721" s="2" t="s">
        <v>60</v>
      </c>
      <c r="H721" s="4">
        <v>1000189782</v>
      </c>
      <c r="I721" s="4" t="s">
        <v>109</v>
      </c>
      <c r="J721" s="2">
        <v>1000189270</v>
      </c>
      <c r="K721" s="2" t="s">
        <v>34</v>
      </c>
      <c r="L721" s="4" t="s">
        <v>23</v>
      </c>
      <c r="M721" s="4" t="str">
        <f t="shared" si="173"/>
        <v>1000184670100018619710001897821000189270SABORES DO CAMPO</v>
      </c>
      <c r="N721" s="28">
        <f>N707*_xlfn.XLOOKUP($L721,'Balizador da Meta'!$B$4:$B$21,'Balizador da Meta'!$C$4:$C$21)</f>
        <v>0</v>
      </c>
      <c r="O721" s="28">
        <f>O707*_xlfn.XLOOKUP($L721,'Balizador da Meta'!$B$4:$B$21,'Balizador da Meta'!$C$4:$C$21)</f>
        <v>0</v>
      </c>
      <c r="P721" s="28">
        <f>P707*_xlfn.XLOOKUP($L721,'Balizador da Meta'!$B$4:$B$21,'Balizador da Meta'!$C$4:$C$21)</f>
        <v>0</v>
      </c>
      <c r="Q721" s="28">
        <f>Q707*_xlfn.XLOOKUP($L721,'Balizador da Meta'!$B$4:$B$21,'Balizador da Meta'!$C$4:$C$21)</f>
        <v>0</v>
      </c>
      <c r="R721" s="28">
        <f>R707*_xlfn.XLOOKUP($L721,'Balizador da Meta'!$B$4:$B$21,'Balizador da Meta'!$C$4:$C$21)</f>
        <v>0</v>
      </c>
      <c r="S721" s="28">
        <f>S707*_xlfn.XLOOKUP($L721,'Balizador da Meta'!$B$4:$B$21,'Balizador da Meta'!$C$4:$C$21)</f>
        <v>0</v>
      </c>
      <c r="T721" s="28">
        <f>T707*_xlfn.XLOOKUP($L721,'Balizador da Meta'!$B$4:$B$21,'Balizador da Meta'!$C$4:$C$21)</f>
        <v>0</v>
      </c>
      <c r="U721" s="28">
        <f>U707*_xlfn.XLOOKUP($L721,'Balizador da Meta'!$B$4:$B$21,'Balizador da Meta'!$C$4:$C$21)</f>
        <v>0</v>
      </c>
      <c r="V721" s="28">
        <f>V707*_xlfn.XLOOKUP($L721,'Balizador da Meta'!$B$4:$B$21,'Balizador da Meta'!$C$4:$C$21)</f>
        <v>0</v>
      </c>
      <c r="W721" s="28">
        <f>W707*_xlfn.XLOOKUP($L721,'Balizador da Meta'!$B$4:$B$21,'Balizador da Meta'!$C$4:$C$21)</f>
        <v>0</v>
      </c>
      <c r="X721" s="28">
        <f>X707*_xlfn.XLOOKUP($L721,'Balizador da Meta'!$B$4:$B$21,'Balizador da Meta'!$C$4:$C$21)</f>
        <v>0</v>
      </c>
      <c r="Y721" s="28">
        <f>Y707*_xlfn.XLOOKUP($L721,'Balizador da Meta'!$B$4:$B$21,'Balizador da Meta'!$C$4:$C$21)</f>
        <v>0</v>
      </c>
      <c r="Z721" s="30">
        <f t="shared" si="172"/>
        <v>0</v>
      </c>
      <c r="AA721" s="29"/>
      <c r="AB721" s="31">
        <f>SUMIFS('Historico - FAT'!AK:AK,'Historico - FAT'!$K:$K,Faturamento!$L721,'Historico - FAT'!$I:$I,Faturamento!$J721,'Historico - FAT'!$G:$G,Faturamento!$H721)</f>
        <v>0</v>
      </c>
      <c r="AC721" s="31">
        <f>SUMIFS('Historico - FAT'!AL:AL,'Historico - FAT'!$K:$K,Faturamento!$L721,'Historico - FAT'!$I:$I,Faturamento!$J721,'Historico - FAT'!$G:$G,Faturamento!$H721)</f>
        <v>0</v>
      </c>
      <c r="AD721" s="31">
        <f>SUMIFS('Historico - FAT'!AM:AM,'Historico - FAT'!$K:$K,Faturamento!$L721,'Historico - FAT'!$I:$I,Faturamento!$J721,'Historico - FAT'!$G:$G,Faturamento!$H721)</f>
        <v>0</v>
      </c>
      <c r="AE721" s="27">
        <f>SUMIFS('Historico - FAT'!AN:AN,'Historico - FAT'!$K:$K,Faturamento!$L721,'Historico - FAT'!$I:$I,Faturamento!$J721,'Historico - FAT'!$G:$G,Faturamento!$H721)</f>
        <v>0</v>
      </c>
      <c r="AG721" s="24" t="str">
        <f t="shared" si="167"/>
        <v/>
      </c>
      <c r="AH721" s="24" t="str">
        <f t="shared" si="168"/>
        <v/>
      </c>
      <c r="AI721" s="24" t="str">
        <f t="shared" si="169"/>
        <v/>
      </c>
    </row>
    <row r="722" spans="1:35" hidden="1" x14ac:dyDescent="0.3">
      <c r="A722" s="2" t="str">
        <f t="shared" si="166"/>
        <v>NÃO</v>
      </c>
      <c r="B722" s="2">
        <v>1000184670</v>
      </c>
      <c r="C722" s="2" t="s">
        <v>147</v>
      </c>
      <c r="D722" s="4">
        <v>1000186197</v>
      </c>
      <c r="E722" s="4" t="s">
        <v>166</v>
      </c>
      <c r="F722" s="2">
        <v>1000184760</v>
      </c>
      <c r="G722" s="2" t="s">
        <v>60</v>
      </c>
      <c r="H722" s="4">
        <v>1000189782</v>
      </c>
      <c r="I722" s="4" t="s">
        <v>109</v>
      </c>
      <c r="J722" s="2">
        <v>1000189270</v>
      </c>
      <c r="K722" s="2" t="s">
        <v>34</v>
      </c>
      <c r="L722" s="4" t="s">
        <v>28</v>
      </c>
      <c r="M722" s="4" t="str">
        <f t="shared" si="173"/>
        <v>1000184670100018619710001897821000189270SAL</v>
      </c>
      <c r="N722" s="28">
        <f>N707*_xlfn.XLOOKUP($L722,'Balizador da Meta'!$B$4:$B$21,'Balizador da Meta'!$C$4:$C$21)</f>
        <v>12</v>
      </c>
      <c r="O722" s="28">
        <f>O707*_xlfn.XLOOKUP($L722,'Balizador da Meta'!$B$4:$B$21,'Balizador da Meta'!$C$4:$C$21)</f>
        <v>12</v>
      </c>
      <c r="P722" s="28">
        <f>P707*_xlfn.XLOOKUP($L722,'Balizador da Meta'!$B$4:$B$21,'Balizador da Meta'!$C$4:$C$21)</f>
        <v>12</v>
      </c>
      <c r="Q722" s="28">
        <f>Q707*_xlfn.XLOOKUP($L722,'Balizador da Meta'!$B$4:$B$21,'Balizador da Meta'!$C$4:$C$21)</f>
        <v>12</v>
      </c>
      <c r="R722" s="28">
        <f>R707*_xlfn.XLOOKUP($L722,'Balizador da Meta'!$B$4:$B$21,'Balizador da Meta'!$C$4:$C$21)</f>
        <v>12</v>
      </c>
      <c r="S722" s="28">
        <f>S707*_xlfn.XLOOKUP($L722,'Balizador da Meta'!$B$4:$B$21,'Balizador da Meta'!$C$4:$C$21)</f>
        <v>12</v>
      </c>
      <c r="T722" s="28">
        <f>T707*_xlfn.XLOOKUP($L722,'Balizador da Meta'!$B$4:$B$21,'Balizador da Meta'!$C$4:$C$21)</f>
        <v>12</v>
      </c>
      <c r="U722" s="28">
        <f>U707*_xlfn.XLOOKUP($L722,'Balizador da Meta'!$B$4:$B$21,'Balizador da Meta'!$C$4:$C$21)</f>
        <v>12</v>
      </c>
      <c r="V722" s="28">
        <f>V707*_xlfn.XLOOKUP($L722,'Balizador da Meta'!$B$4:$B$21,'Balizador da Meta'!$C$4:$C$21)</f>
        <v>12</v>
      </c>
      <c r="W722" s="28">
        <f>W707*_xlfn.XLOOKUP($L722,'Balizador da Meta'!$B$4:$B$21,'Balizador da Meta'!$C$4:$C$21)</f>
        <v>12</v>
      </c>
      <c r="X722" s="28">
        <f>X707*_xlfn.XLOOKUP($L722,'Balizador da Meta'!$B$4:$B$21,'Balizador da Meta'!$C$4:$C$21)</f>
        <v>12</v>
      </c>
      <c r="Y722" s="28">
        <f>Y707*_xlfn.XLOOKUP($L722,'Balizador da Meta'!$B$4:$B$21,'Balizador da Meta'!$C$4:$C$21)</f>
        <v>12</v>
      </c>
      <c r="Z722" s="30">
        <f t="shared" si="172"/>
        <v>144</v>
      </c>
      <c r="AA722" s="29"/>
      <c r="AB722" s="31">
        <f>SUMIFS('Historico - FAT'!AK:AK,'Historico - FAT'!$K:$K,Faturamento!$L722,'Historico - FAT'!$I:$I,Faturamento!$J722,'Historico - FAT'!$G:$G,Faturamento!$H722)</f>
        <v>0</v>
      </c>
      <c r="AC722" s="31">
        <f>SUMIFS('Historico - FAT'!AL:AL,'Historico - FAT'!$K:$K,Faturamento!$L722,'Historico - FAT'!$I:$I,Faturamento!$J722,'Historico - FAT'!$G:$G,Faturamento!$H722)</f>
        <v>0</v>
      </c>
      <c r="AD722" s="31">
        <f>SUMIFS('Historico - FAT'!AM:AM,'Historico - FAT'!$K:$K,Faturamento!$L722,'Historico - FAT'!$I:$I,Faturamento!$J722,'Historico - FAT'!$G:$G,Faturamento!$H722)</f>
        <v>0</v>
      </c>
      <c r="AE722" s="27">
        <f>SUMIFS('Historico - FAT'!AN:AN,'Historico - FAT'!$K:$K,Faturamento!$L722,'Historico - FAT'!$I:$I,Faturamento!$J722,'Historico - FAT'!$G:$G,Faturamento!$H722)</f>
        <v>0</v>
      </c>
      <c r="AG722" s="24">
        <f t="shared" si="167"/>
        <v>1</v>
      </c>
      <c r="AH722" s="24">
        <f t="shared" si="168"/>
        <v>1</v>
      </c>
      <c r="AI722" s="24">
        <f t="shared" si="169"/>
        <v>1</v>
      </c>
    </row>
    <row r="723" spans="1:35" hidden="1" x14ac:dyDescent="0.3">
      <c r="A723" s="2" t="str">
        <f t="shared" si="166"/>
        <v>NÃO</v>
      </c>
      <c r="B723" s="2">
        <v>1000184670</v>
      </c>
      <c r="C723" s="2" t="s">
        <v>147</v>
      </c>
      <c r="D723" s="4">
        <v>1000186197</v>
      </c>
      <c r="E723" s="4" t="s">
        <v>166</v>
      </c>
      <c r="F723" s="2">
        <v>1000184760</v>
      </c>
      <c r="G723" s="2" t="s">
        <v>60</v>
      </c>
      <c r="H723" s="4">
        <v>1000189782</v>
      </c>
      <c r="I723" s="4" t="s">
        <v>109</v>
      </c>
      <c r="J723" s="2">
        <v>1000189270</v>
      </c>
      <c r="K723" s="2" t="s">
        <v>34</v>
      </c>
      <c r="L723" s="4" t="s">
        <v>26</v>
      </c>
      <c r="M723" s="4" t="str">
        <f t="shared" si="173"/>
        <v>1000184670100018619710001897821000189270SOULPRO</v>
      </c>
      <c r="N723" s="28">
        <f>N707*_xlfn.XLOOKUP($L723,'Balizador da Meta'!$B$4:$B$21,'Balizador da Meta'!$C$4:$C$21)</f>
        <v>36</v>
      </c>
      <c r="O723" s="28">
        <f>O707*_xlfn.XLOOKUP($L723,'Balizador da Meta'!$B$4:$B$21,'Balizador da Meta'!$C$4:$C$21)</f>
        <v>36</v>
      </c>
      <c r="P723" s="28">
        <f>P707*_xlfn.XLOOKUP($L723,'Balizador da Meta'!$B$4:$B$21,'Balizador da Meta'!$C$4:$C$21)</f>
        <v>36</v>
      </c>
      <c r="Q723" s="28">
        <f>Q707*_xlfn.XLOOKUP($L723,'Balizador da Meta'!$B$4:$B$21,'Balizador da Meta'!$C$4:$C$21)</f>
        <v>36</v>
      </c>
      <c r="R723" s="28">
        <f>R707*_xlfn.XLOOKUP($L723,'Balizador da Meta'!$B$4:$B$21,'Balizador da Meta'!$C$4:$C$21)</f>
        <v>36</v>
      </c>
      <c r="S723" s="28">
        <f>S707*_xlfn.XLOOKUP($L723,'Balizador da Meta'!$B$4:$B$21,'Balizador da Meta'!$C$4:$C$21)</f>
        <v>36</v>
      </c>
      <c r="T723" s="28">
        <f>T707*_xlfn.XLOOKUP($L723,'Balizador da Meta'!$B$4:$B$21,'Balizador da Meta'!$C$4:$C$21)</f>
        <v>36</v>
      </c>
      <c r="U723" s="28">
        <f>U707*_xlfn.XLOOKUP($L723,'Balizador da Meta'!$B$4:$B$21,'Balizador da Meta'!$C$4:$C$21)</f>
        <v>36</v>
      </c>
      <c r="V723" s="28">
        <f>V707*_xlfn.XLOOKUP($L723,'Balizador da Meta'!$B$4:$B$21,'Balizador da Meta'!$C$4:$C$21)</f>
        <v>36</v>
      </c>
      <c r="W723" s="28">
        <f>W707*_xlfn.XLOOKUP($L723,'Balizador da Meta'!$B$4:$B$21,'Balizador da Meta'!$C$4:$C$21)</f>
        <v>36</v>
      </c>
      <c r="X723" s="28">
        <f>X707*_xlfn.XLOOKUP($L723,'Balizador da Meta'!$B$4:$B$21,'Balizador da Meta'!$C$4:$C$21)</f>
        <v>36</v>
      </c>
      <c r="Y723" s="28">
        <f>Y707*_xlfn.XLOOKUP($L723,'Balizador da Meta'!$B$4:$B$21,'Balizador da Meta'!$C$4:$C$21)</f>
        <v>36</v>
      </c>
      <c r="Z723" s="30">
        <f t="shared" si="172"/>
        <v>432</v>
      </c>
      <c r="AA723" s="29"/>
      <c r="AB723" s="31">
        <f>SUMIFS('Historico - FAT'!AK:AK,'Historico - FAT'!$K:$K,Faturamento!$L723,'Historico - FAT'!$I:$I,Faturamento!$J723,'Historico - FAT'!$G:$G,Faturamento!$H723)</f>
        <v>115</v>
      </c>
      <c r="AC723" s="31">
        <f>SUMIFS('Historico - FAT'!AL:AL,'Historico - FAT'!$K:$K,Faturamento!$L723,'Historico - FAT'!$I:$I,Faturamento!$J723,'Historico - FAT'!$G:$G,Faturamento!$H723)</f>
        <v>15</v>
      </c>
      <c r="AD723" s="31">
        <f>SUMIFS('Historico - FAT'!AM:AM,'Historico - FAT'!$K:$K,Faturamento!$L723,'Historico - FAT'!$I:$I,Faturamento!$J723,'Historico - FAT'!$G:$G,Faturamento!$H723)</f>
        <v>30</v>
      </c>
      <c r="AE723" s="27">
        <f>SUMIFS('Historico - FAT'!AN:AN,'Historico - FAT'!$K:$K,Faturamento!$L723,'Historico - FAT'!$I:$I,Faturamento!$J723,'Historico - FAT'!$G:$G,Faturamento!$H723)</f>
        <v>18</v>
      </c>
      <c r="AG723" s="24">
        <f t="shared" si="167"/>
        <v>-2.1944444444444446</v>
      </c>
      <c r="AH723" s="24">
        <f t="shared" si="168"/>
        <v>0.58333333333333337</v>
      </c>
      <c r="AI723" s="24">
        <f t="shared" si="169"/>
        <v>0.16666666666666666</v>
      </c>
    </row>
    <row r="724" spans="1:35" hidden="1" x14ac:dyDescent="0.3">
      <c r="A724" s="2" t="str">
        <f t="shared" si="166"/>
        <v>NÃO</v>
      </c>
      <c r="B724" s="2">
        <v>1000184670</v>
      </c>
      <c r="C724" s="2" t="s">
        <v>147</v>
      </c>
      <c r="D724" s="4">
        <v>1000186197</v>
      </c>
      <c r="E724" s="4" t="s">
        <v>166</v>
      </c>
      <c r="F724" s="2">
        <v>1000184760</v>
      </c>
      <c r="G724" s="2" t="s">
        <v>60</v>
      </c>
      <c r="H724" s="4">
        <v>1000189782</v>
      </c>
      <c r="I724" s="4" t="s">
        <v>109</v>
      </c>
      <c r="J724" s="2">
        <v>1000189270</v>
      </c>
      <c r="K724" s="2" t="s">
        <v>34</v>
      </c>
      <c r="L724" s="4" t="s">
        <v>27</v>
      </c>
      <c r="M724" s="4" t="str">
        <f t="shared" si="173"/>
        <v>1000184670100018619710001897821000189270TAMARA</v>
      </c>
      <c r="N724" s="28">
        <f>N707*_xlfn.XLOOKUP($L724,'Balizador da Meta'!$B$4:$B$21,'Balizador da Meta'!$C$4:$C$21)</f>
        <v>48</v>
      </c>
      <c r="O724" s="28">
        <f>O707*_xlfn.XLOOKUP($L724,'Balizador da Meta'!$B$4:$B$21,'Balizador da Meta'!$C$4:$C$21)</f>
        <v>48</v>
      </c>
      <c r="P724" s="28">
        <f>P707*_xlfn.XLOOKUP($L724,'Balizador da Meta'!$B$4:$B$21,'Balizador da Meta'!$C$4:$C$21)</f>
        <v>48</v>
      </c>
      <c r="Q724" s="28">
        <f>Q707*_xlfn.XLOOKUP($L724,'Balizador da Meta'!$B$4:$B$21,'Balizador da Meta'!$C$4:$C$21)</f>
        <v>48</v>
      </c>
      <c r="R724" s="28">
        <f>R707*_xlfn.XLOOKUP($L724,'Balizador da Meta'!$B$4:$B$21,'Balizador da Meta'!$C$4:$C$21)</f>
        <v>48</v>
      </c>
      <c r="S724" s="28">
        <f>S707*_xlfn.XLOOKUP($L724,'Balizador da Meta'!$B$4:$B$21,'Balizador da Meta'!$C$4:$C$21)</f>
        <v>48</v>
      </c>
      <c r="T724" s="28">
        <f>T707*_xlfn.XLOOKUP($L724,'Balizador da Meta'!$B$4:$B$21,'Balizador da Meta'!$C$4:$C$21)</f>
        <v>48</v>
      </c>
      <c r="U724" s="28">
        <f>U707*_xlfn.XLOOKUP($L724,'Balizador da Meta'!$B$4:$B$21,'Balizador da Meta'!$C$4:$C$21)</f>
        <v>48</v>
      </c>
      <c r="V724" s="28">
        <f>V707*_xlfn.XLOOKUP($L724,'Balizador da Meta'!$B$4:$B$21,'Balizador da Meta'!$C$4:$C$21)</f>
        <v>48</v>
      </c>
      <c r="W724" s="28">
        <f>W707*_xlfn.XLOOKUP($L724,'Balizador da Meta'!$B$4:$B$21,'Balizador da Meta'!$C$4:$C$21)</f>
        <v>48</v>
      </c>
      <c r="X724" s="28">
        <f>X707*_xlfn.XLOOKUP($L724,'Balizador da Meta'!$B$4:$B$21,'Balizador da Meta'!$C$4:$C$21)</f>
        <v>48</v>
      </c>
      <c r="Y724" s="28">
        <f>Y707*_xlfn.XLOOKUP($L724,'Balizador da Meta'!$B$4:$B$21,'Balizador da Meta'!$C$4:$C$21)</f>
        <v>48</v>
      </c>
      <c r="Z724" s="30">
        <f t="shared" si="172"/>
        <v>576</v>
      </c>
      <c r="AA724" s="29"/>
      <c r="AB724" s="31">
        <f>SUMIFS('Historico - FAT'!AK:AK,'Historico - FAT'!$K:$K,Faturamento!$L724,'Historico - FAT'!$I:$I,Faturamento!$J724,'Historico - FAT'!$G:$G,Faturamento!$H724)</f>
        <v>0</v>
      </c>
      <c r="AC724" s="31">
        <f>SUMIFS('Historico - FAT'!AL:AL,'Historico - FAT'!$K:$K,Faturamento!$L724,'Historico - FAT'!$I:$I,Faturamento!$J724,'Historico - FAT'!$G:$G,Faturamento!$H724)</f>
        <v>6.0450000000000008</v>
      </c>
      <c r="AD724" s="31">
        <f>SUMIFS('Historico - FAT'!AM:AM,'Historico - FAT'!$K:$K,Faturamento!$L724,'Historico - FAT'!$I:$I,Faturamento!$J724,'Historico - FAT'!$G:$G,Faturamento!$H724)</f>
        <v>12.090000000000002</v>
      </c>
      <c r="AE724" s="27">
        <f>SUMIFS('Historico - FAT'!AN:AN,'Historico - FAT'!$K:$K,Faturamento!$L724,'Historico - FAT'!$I:$I,Faturamento!$J724,'Historico - FAT'!$G:$G,Faturamento!$H724)</f>
        <v>7.2540000000000004</v>
      </c>
      <c r="AG724" s="24">
        <f t="shared" si="167"/>
        <v>1</v>
      </c>
      <c r="AH724" s="24">
        <f t="shared" si="168"/>
        <v>0.87406249999999996</v>
      </c>
      <c r="AI724" s="24">
        <f t="shared" si="169"/>
        <v>0.74812499999999993</v>
      </c>
    </row>
    <row r="725" spans="1:35" hidden="1" x14ac:dyDescent="0.3">
      <c r="A725" s="2" t="str">
        <f t="shared" si="166"/>
        <v>NÃO</v>
      </c>
      <c r="B725" s="2">
        <v>1000184670</v>
      </c>
      <c r="C725" s="2" t="s">
        <v>147</v>
      </c>
      <c r="D725" s="4">
        <v>1000186197</v>
      </c>
      <c r="E725" s="4" t="s">
        <v>166</v>
      </c>
      <c r="F725" s="2">
        <v>1000184760</v>
      </c>
      <c r="G725" s="2" t="s">
        <v>60</v>
      </c>
      <c r="H725" s="4">
        <v>1000189782</v>
      </c>
      <c r="I725" s="4" t="s">
        <v>109</v>
      </c>
      <c r="J725" s="2">
        <v>1000189270</v>
      </c>
      <c r="K725" s="2" t="s">
        <v>34</v>
      </c>
      <c r="L725" s="4" t="s">
        <v>25</v>
      </c>
      <c r="M725" s="4" t="str">
        <f t="shared" si="173"/>
        <v>1000184670100018619710001897821000189270VICCIO</v>
      </c>
      <c r="N725" s="28">
        <f>N707*_xlfn.XLOOKUP($L725,'Balizador da Meta'!$B$4:$B$21,'Balizador da Meta'!$C$4:$C$21)</f>
        <v>18</v>
      </c>
      <c r="O725" s="28">
        <f>O707*_xlfn.XLOOKUP($L725,'Balizador da Meta'!$B$4:$B$21,'Balizador da Meta'!$C$4:$C$21)</f>
        <v>18</v>
      </c>
      <c r="P725" s="28">
        <f>P707*_xlfn.XLOOKUP($L725,'Balizador da Meta'!$B$4:$B$21,'Balizador da Meta'!$C$4:$C$21)</f>
        <v>18</v>
      </c>
      <c r="Q725" s="28">
        <f>Q707*_xlfn.XLOOKUP($L725,'Balizador da Meta'!$B$4:$B$21,'Balizador da Meta'!$C$4:$C$21)</f>
        <v>18</v>
      </c>
      <c r="R725" s="28">
        <f>R707*_xlfn.XLOOKUP($L725,'Balizador da Meta'!$B$4:$B$21,'Balizador da Meta'!$C$4:$C$21)</f>
        <v>18</v>
      </c>
      <c r="S725" s="28">
        <f>S707*_xlfn.XLOOKUP($L725,'Balizador da Meta'!$B$4:$B$21,'Balizador da Meta'!$C$4:$C$21)</f>
        <v>18</v>
      </c>
      <c r="T725" s="28">
        <f>T707*_xlfn.XLOOKUP($L725,'Balizador da Meta'!$B$4:$B$21,'Balizador da Meta'!$C$4:$C$21)</f>
        <v>18</v>
      </c>
      <c r="U725" s="28">
        <f>U707*_xlfn.XLOOKUP($L725,'Balizador da Meta'!$B$4:$B$21,'Balizador da Meta'!$C$4:$C$21)</f>
        <v>18</v>
      </c>
      <c r="V725" s="28">
        <f>V707*_xlfn.XLOOKUP($L725,'Balizador da Meta'!$B$4:$B$21,'Balizador da Meta'!$C$4:$C$21)</f>
        <v>18</v>
      </c>
      <c r="W725" s="28">
        <f>W707*_xlfn.XLOOKUP($L725,'Balizador da Meta'!$B$4:$B$21,'Balizador da Meta'!$C$4:$C$21)</f>
        <v>18</v>
      </c>
      <c r="X725" s="28">
        <f>X707*_xlfn.XLOOKUP($L725,'Balizador da Meta'!$B$4:$B$21,'Balizador da Meta'!$C$4:$C$21)</f>
        <v>18</v>
      </c>
      <c r="Y725" s="28">
        <f>Y707*_xlfn.XLOOKUP($L725,'Balizador da Meta'!$B$4:$B$21,'Balizador da Meta'!$C$4:$C$21)</f>
        <v>18</v>
      </c>
      <c r="Z725" s="30">
        <f t="shared" si="172"/>
        <v>216</v>
      </c>
      <c r="AA725" s="29"/>
      <c r="AB725" s="31">
        <f>SUMIFS('Historico - FAT'!AK:AK,'Historico - FAT'!$K:$K,Faturamento!$L725,'Historico - FAT'!$I:$I,Faturamento!$J725,'Historico - FAT'!$G:$G,Faturamento!$H725)</f>
        <v>20.7</v>
      </c>
      <c r="AC725" s="31">
        <f>SUMIFS('Historico - FAT'!AL:AL,'Historico - FAT'!$K:$K,Faturamento!$L725,'Historico - FAT'!$I:$I,Faturamento!$J725,'Historico - FAT'!$G:$G,Faturamento!$H725)</f>
        <v>0</v>
      </c>
      <c r="AD725" s="31">
        <f>SUMIFS('Historico - FAT'!AM:AM,'Historico - FAT'!$K:$K,Faturamento!$L725,'Historico - FAT'!$I:$I,Faturamento!$J725,'Historico - FAT'!$G:$G,Faturamento!$H725)</f>
        <v>0</v>
      </c>
      <c r="AE725" s="27">
        <f>SUMIFS('Historico - FAT'!AN:AN,'Historico - FAT'!$K:$K,Faturamento!$L725,'Historico - FAT'!$I:$I,Faturamento!$J725,'Historico - FAT'!$G:$G,Faturamento!$H725)</f>
        <v>0</v>
      </c>
      <c r="AG725" s="24">
        <f t="shared" si="167"/>
        <v>-0.14999999999999997</v>
      </c>
      <c r="AH725" s="24">
        <f t="shared" si="168"/>
        <v>1</v>
      </c>
      <c r="AI725" s="24">
        <f t="shared" si="169"/>
        <v>1</v>
      </c>
    </row>
    <row r="726" spans="1:35" x14ac:dyDescent="0.3">
      <c r="A726" s="2" t="str">
        <f t="shared" si="166"/>
        <v>SIM</v>
      </c>
      <c r="B726" s="2">
        <v>1000184670</v>
      </c>
      <c r="C726" s="2" t="s">
        <v>147</v>
      </c>
      <c r="D726" s="4">
        <v>1000186197</v>
      </c>
      <c r="E726" s="4" t="s">
        <v>166</v>
      </c>
      <c r="F726" s="2">
        <v>1000184756</v>
      </c>
      <c r="G726" s="2" t="s">
        <v>53</v>
      </c>
      <c r="H726" s="4">
        <v>1000189783</v>
      </c>
      <c r="I726" s="4" t="s">
        <v>86</v>
      </c>
      <c r="J726" s="2">
        <v>1000189270</v>
      </c>
      <c r="K726" s="2" t="s">
        <v>34</v>
      </c>
      <c r="L726" s="4" t="s">
        <v>124</v>
      </c>
      <c r="M726" s="4" t="str">
        <f t="shared" si="173"/>
        <v>100018467010001861971000189783100018927001. TOTAL</v>
      </c>
      <c r="N726" s="28">
        <f>SUMIFS(Positivação!L:L,Positivação!$I:$I,Faturamento!$J726,Positivação!$G:$G,Faturamento!$H726)*SUMIFS(Positivação!$Z:$Z,Positivação!$I:$I,Faturamento!$J726,Positivação!$G:$G,Faturamento!$H726)</f>
        <v>1800</v>
      </c>
      <c r="O726" s="28">
        <f>SUMIFS(Positivação!M:M,Positivação!$I:$I,Faturamento!$J726,Positivação!$G:$G,Faturamento!$H726)*SUMIFS(Positivação!$Z:$Z,Positivação!$I:$I,Faturamento!$J726,Positivação!$G:$G,Faturamento!$H726)</f>
        <v>1800</v>
      </c>
      <c r="P726" s="28">
        <f>SUMIFS(Positivação!N:N,Positivação!$I:$I,Faturamento!$J726,Positivação!$G:$G,Faturamento!$H726)*SUMIFS(Positivação!$Z:$Z,Positivação!$I:$I,Faturamento!$J726,Positivação!$G:$G,Faturamento!$H726)</f>
        <v>1800</v>
      </c>
      <c r="Q726" s="28">
        <f>SUMIFS(Positivação!O:O,Positivação!$I:$I,Faturamento!$J726,Positivação!$G:$G,Faturamento!$H726)*SUMIFS(Positivação!$Z:$Z,Positivação!$I:$I,Faturamento!$J726,Positivação!$G:$G,Faturamento!$H726)</f>
        <v>1800</v>
      </c>
      <c r="R726" s="28">
        <f>SUMIFS(Positivação!P:P,Positivação!$I:$I,Faturamento!$J726,Positivação!$G:$G,Faturamento!$H726)*SUMIFS(Positivação!$Z:$Z,Positivação!$I:$I,Faturamento!$J726,Positivação!$G:$G,Faturamento!$H726)</f>
        <v>1800</v>
      </c>
      <c r="S726" s="28">
        <f>SUMIFS(Positivação!Q:Q,Positivação!$I:$I,Faturamento!$J726,Positivação!$G:$G,Faturamento!$H726)*SUMIFS(Positivação!$Z:$Z,Positivação!$I:$I,Faturamento!$J726,Positivação!$G:$G,Faturamento!$H726)</f>
        <v>1800</v>
      </c>
      <c r="T726" s="28">
        <f>SUMIFS(Positivação!R:R,Positivação!$I:$I,Faturamento!$J726,Positivação!$G:$G,Faturamento!$H726)*SUMIFS(Positivação!$Z:$Z,Positivação!$I:$I,Faturamento!$J726,Positivação!$G:$G,Faturamento!$H726)</f>
        <v>1800</v>
      </c>
      <c r="U726" s="28">
        <f>SUMIFS(Positivação!S:S,Positivação!$I:$I,Faturamento!$J726,Positivação!$G:$G,Faturamento!$H726)*SUMIFS(Positivação!$Z:$Z,Positivação!$I:$I,Faturamento!$J726,Positivação!$G:$G,Faturamento!$H726)</f>
        <v>1800</v>
      </c>
      <c r="V726" s="28">
        <f>SUMIFS(Positivação!T:T,Positivação!$I:$I,Faturamento!$J726,Positivação!$G:$G,Faturamento!$H726)*SUMIFS(Positivação!$Z:$Z,Positivação!$I:$I,Faturamento!$J726,Positivação!$G:$G,Faturamento!$H726)</f>
        <v>1800</v>
      </c>
      <c r="W726" s="28">
        <f>SUMIFS(Positivação!U:U,Positivação!$I:$I,Faturamento!$J726,Positivação!$G:$G,Faturamento!$H726)*SUMIFS(Positivação!$Z:$Z,Positivação!$I:$I,Faturamento!$J726,Positivação!$G:$G,Faturamento!$H726)</f>
        <v>1800</v>
      </c>
      <c r="X726" s="28">
        <f>SUMIFS(Positivação!V:V,Positivação!$I:$I,Faturamento!$J726,Positivação!$G:$G,Faturamento!$H726)*SUMIFS(Positivação!$Z:$Z,Positivação!$I:$I,Faturamento!$J726,Positivação!$G:$G,Faturamento!$H726)</f>
        <v>1800</v>
      </c>
      <c r="Y726" s="28">
        <f>SUMIFS(Positivação!W:W,Positivação!$I:$I,Faturamento!$J726,Positivação!$G:$G,Faturamento!$H726)*SUMIFS(Positivação!$Z:$Z,Positivação!$I:$I,Faturamento!$J726,Positivação!$G:$G,Faturamento!$H726)</f>
        <v>1800</v>
      </c>
      <c r="Z726" s="28">
        <f t="shared" ref="Z726" si="174">SUM(Z727:Z744)</f>
        <v>21600</v>
      </c>
      <c r="AA726" s="29"/>
      <c r="AB726" s="28">
        <f t="shared" ref="AB726:AE726" si="175">SUM(AB727:AB744)</f>
        <v>0</v>
      </c>
      <c r="AC726" s="28">
        <f t="shared" si="175"/>
        <v>1189.6166666666668</v>
      </c>
      <c r="AD726" s="28">
        <f t="shared" si="175"/>
        <v>1263.0966666666668</v>
      </c>
      <c r="AE726" s="28">
        <f t="shared" si="175"/>
        <v>1427.54</v>
      </c>
      <c r="AG726" s="24">
        <f t="shared" si="167"/>
        <v>1</v>
      </c>
      <c r="AH726" s="24">
        <f t="shared" si="168"/>
        <v>0.33910185185185177</v>
      </c>
      <c r="AI726" s="24">
        <f t="shared" si="169"/>
        <v>0.29827962962962956</v>
      </c>
    </row>
    <row r="727" spans="1:35" hidden="1" x14ac:dyDescent="0.3">
      <c r="A727" s="2" t="str">
        <f t="shared" si="166"/>
        <v>NÃO</v>
      </c>
      <c r="B727" s="2">
        <v>1000184670</v>
      </c>
      <c r="C727" s="2" t="s">
        <v>147</v>
      </c>
      <c r="D727" s="4">
        <v>1000186197</v>
      </c>
      <c r="E727" s="4" t="s">
        <v>166</v>
      </c>
      <c r="F727" s="2">
        <v>1000184756</v>
      </c>
      <c r="G727" s="2" t="s">
        <v>53</v>
      </c>
      <c r="H727" s="4">
        <v>1000189783</v>
      </c>
      <c r="I727" s="4" t="s">
        <v>86</v>
      </c>
      <c r="J727" s="2">
        <v>1000189270</v>
      </c>
      <c r="K727" s="2" t="s">
        <v>34</v>
      </c>
      <c r="L727" s="4" t="s">
        <v>13</v>
      </c>
      <c r="M727" s="4" t="str">
        <f t="shared" si="173"/>
        <v>1000184670100018619710001897831000189270BISCOITO</v>
      </c>
      <c r="N727" s="28">
        <f>N726*_xlfn.XLOOKUP($L727,'Balizador da Meta'!$B$4:$B$21,'Balizador da Meta'!$C$4:$C$21)</f>
        <v>126.00000000000001</v>
      </c>
      <c r="O727" s="28">
        <f>O726*_xlfn.XLOOKUP($L727,'Balizador da Meta'!$B$4:$B$21,'Balizador da Meta'!$C$4:$C$21)</f>
        <v>126.00000000000001</v>
      </c>
      <c r="P727" s="28">
        <f>P726*_xlfn.XLOOKUP($L727,'Balizador da Meta'!$B$4:$B$21,'Balizador da Meta'!$C$4:$C$21)</f>
        <v>126.00000000000001</v>
      </c>
      <c r="Q727" s="28">
        <f>Q726*_xlfn.XLOOKUP($L727,'Balizador da Meta'!$B$4:$B$21,'Balizador da Meta'!$C$4:$C$21)</f>
        <v>126.00000000000001</v>
      </c>
      <c r="R727" s="28">
        <f>R726*_xlfn.XLOOKUP($L727,'Balizador da Meta'!$B$4:$B$21,'Balizador da Meta'!$C$4:$C$21)</f>
        <v>126.00000000000001</v>
      </c>
      <c r="S727" s="28">
        <f>S726*_xlfn.XLOOKUP($L727,'Balizador da Meta'!$B$4:$B$21,'Balizador da Meta'!$C$4:$C$21)</f>
        <v>126.00000000000001</v>
      </c>
      <c r="T727" s="28">
        <f>T726*_xlfn.XLOOKUP($L727,'Balizador da Meta'!$B$4:$B$21,'Balizador da Meta'!$C$4:$C$21)</f>
        <v>126.00000000000001</v>
      </c>
      <c r="U727" s="28">
        <f>U726*_xlfn.XLOOKUP($L727,'Balizador da Meta'!$B$4:$B$21,'Balizador da Meta'!$C$4:$C$21)</f>
        <v>126.00000000000001</v>
      </c>
      <c r="V727" s="28">
        <f>V726*_xlfn.XLOOKUP($L727,'Balizador da Meta'!$B$4:$B$21,'Balizador da Meta'!$C$4:$C$21)</f>
        <v>126.00000000000001</v>
      </c>
      <c r="W727" s="28">
        <f>W726*_xlfn.XLOOKUP($L727,'Balizador da Meta'!$B$4:$B$21,'Balizador da Meta'!$C$4:$C$21)</f>
        <v>126.00000000000001</v>
      </c>
      <c r="X727" s="28">
        <f>X726*_xlfn.XLOOKUP($L727,'Balizador da Meta'!$B$4:$B$21,'Balizador da Meta'!$C$4:$C$21)</f>
        <v>126.00000000000001</v>
      </c>
      <c r="Y727" s="28">
        <f>Y726*_xlfn.XLOOKUP($L727,'Balizador da Meta'!$B$4:$B$21,'Balizador da Meta'!$C$4:$C$21)</f>
        <v>126.00000000000001</v>
      </c>
      <c r="Z727" s="30">
        <f t="shared" ref="Z727:Z744" si="176">SUM(N727:Y727)</f>
        <v>1512.0000000000002</v>
      </c>
      <c r="AA727" s="29"/>
      <c r="AB727" s="31">
        <f>SUMIFS('Historico - FAT'!AK:AK,'Historico - FAT'!$K:$K,Faturamento!$L727,'Historico - FAT'!$I:$I,Faturamento!$J727,'Historico - FAT'!$G:$G,Faturamento!$H727)</f>
        <v>0</v>
      </c>
      <c r="AC727" s="31">
        <f>SUMIFS('Historico - FAT'!AL:AL,'Historico - FAT'!$K:$K,Faturamento!$L727,'Historico - FAT'!$I:$I,Faturamento!$J727,'Historico - FAT'!$G:$G,Faturamento!$H727)</f>
        <v>50.384166666666665</v>
      </c>
      <c r="AD727" s="31">
        <f>SUMIFS('Historico - FAT'!AM:AM,'Historico - FAT'!$K:$K,Faturamento!$L727,'Historico - FAT'!$I:$I,Faturamento!$J727,'Historico - FAT'!$G:$G,Faturamento!$H727)</f>
        <v>32.265000000000001</v>
      </c>
      <c r="AE727" s="27">
        <f>SUMIFS('Historico - FAT'!AN:AN,'Historico - FAT'!$K:$K,Faturamento!$L727,'Historico - FAT'!$I:$I,Faturamento!$J727,'Historico - FAT'!$G:$G,Faturamento!$H727)</f>
        <v>60.460999999999999</v>
      </c>
      <c r="AG727" s="24">
        <f t="shared" si="167"/>
        <v>1</v>
      </c>
      <c r="AH727" s="24">
        <f t="shared" si="168"/>
        <v>0.60012566137566137</v>
      </c>
      <c r="AI727" s="24">
        <f t="shared" si="169"/>
        <v>0.74392857142857149</v>
      </c>
    </row>
    <row r="728" spans="1:35" hidden="1" x14ac:dyDescent="0.3">
      <c r="A728" s="2" t="str">
        <f t="shared" si="166"/>
        <v>NÃO</v>
      </c>
      <c r="B728" s="2">
        <v>1000184670</v>
      </c>
      <c r="C728" s="2" t="s">
        <v>147</v>
      </c>
      <c r="D728" s="4">
        <v>1000186197</v>
      </c>
      <c r="E728" s="4" t="s">
        <v>166</v>
      </c>
      <c r="F728" s="2">
        <v>1000184756</v>
      </c>
      <c r="G728" s="2" t="s">
        <v>53</v>
      </c>
      <c r="H728" s="4">
        <v>1000189783</v>
      </c>
      <c r="I728" s="4" t="s">
        <v>86</v>
      </c>
      <c r="J728" s="2">
        <v>1000189270</v>
      </c>
      <c r="K728" s="2" t="s">
        <v>34</v>
      </c>
      <c r="L728" s="4" t="s">
        <v>14</v>
      </c>
      <c r="M728" s="4" t="str">
        <f t="shared" si="173"/>
        <v>1000184670100018619710001897831000189270CHOCOLATES</v>
      </c>
      <c r="N728" s="28">
        <f>N726*_xlfn.XLOOKUP($L728,'Balizador da Meta'!$B$4:$B$21,'Balizador da Meta'!$C$4:$C$21)</f>
        <v>126.00000000000001</v>
      </c>
      <c r="O728" s="28">
        <f>O726*_xlfn.XLOOKUP($L728,'Balizador da Meta'!$B$4:$B$21,'Balizador da Meta'!$C$4:$C$21)</f>
        <v>126.00000000000001</v>
      </c>
      <c r="P728" s="28">
        <f>P726*_xlfn.XLOOKUP($L728,'Balizador da Meta'!$B$4:$B$21,'Balizador da Meta'!$C$4:$C$21)</f>
        <v>126.00000000000001</v>
      </c>
      <c r="Q728" s="28">
        <f>Q726*_xlfn.XLOOKUP($L728,'Balizador da Meta'!$B$4:$B$21,'Balizador da Meta'!$C$4:$C$21)</f>
        <v>126.00000000000001</v>
      </c>
      <c r="R728" s="28">
        <f>R726*_xlfn.XLOOKUP($L728,'Balizador da Meta'!$B$4:$B$21,'Balizador da Meta'!$C$4:$C$21)</f>
        <v>126.00000000000001</v>
      </c>
      <c r="S728" s="28">
        <f>S726*_xlfn.XLOOKUP($L728,'Balizador da Meta'!$B$4:$B$21,'Balizador da Meta'!$C$4:$C$21)</f>
        <v>126.00000000000001</v>
      </c>
      <c r="T728" s="28">
        <f>T726*_xlfn.XLOOKUP($L728,'Balizador da Meta'!$B$4:$B$21,'Balizador da Meta'!$C$4:$C$21)</f>
        <v>126.00000000000001</v>
      </c>
      <c r="U728" s="28">
        <f>U726*_xlfn.XLOOKUP($L728,'Balizador da Meta'!$B$4:$B$21,'Balizador da Meta'!$C$4:$C$21)</f>
        <v>126.00000000000001</v>
      </c>
      <c r="V728" s="28">
        <f>V726*_xlfn.XLOOKUP($L728,'Balizador da Meta'!$B$4:$B$21,'Balizador da Meta'!$C$4:$C$21)</f>
        <v>126.00000000000001</v>
      </c>
      <c r="W728" s="28">
        <f>W726*_xlfn.XLOOKUP($L728,'Balizador da Meta'!$B$4:$B$21,'Balizador da Meta'!$C$4:$C$21)</f>
        <v>126.00000000000001</v>
      </c>
      <c r="X728" s="28">
        <f>X726*_xlfn.XLOOKUP($L728,'Balizador da Meta'!$B$4:$B$21,'Balizador da Meta'!$C$4:$C$21)</f>
        <v>126.00000000000001</v>
      </c>
      <c r="Y728" s="28">
        <f>Y726*_xlfn.XLOOKUP($L728,'Balizador da Meta'!$B$4:$B$21,'Balizador da Meta'!$C$4:$C$21)</f>
        <v>126.00000000000001</v>
      </c>
      <c r="Z728" s="30">
        <f t="shared" si="176"/>
        <v>1512.0000000000002</v>
      </c>
      <c r="AA728" s="29"/>
      <c r="AB728" s="31">
        <f>SUMIFS('Historico - FAT'!AK:AK,'Historico - FAT'!$K:$K,Faturamento!$L728,'Historico - FAT'!$I:$I,Faturamento!$J728,'Historico - FAT'!$G:$G,Faturamento!$H728)</f>
        <v>0</v>
      </c>
      <c r="AC728" s="31">
        <f>SUMIFS('Historico - FAT'!AL:AL,'Historico - FAT'!$K:$K,Faturamento!$L728,'Historico - FAT'!$I:$I,Faturamento!$J728,'Historico - FAT'!$G:$G,Faturamento!$H728)</f>
        <v>16.642499999999998</v>
      </c>
      <c r="AD728" s="31">
        <f>SUMIFS('Historico - FAT'!AM:AM,'Historico - FAT'!$K:$K,Faturamento!$L728,'Historico - FAT'!$I:$I,Faturamento!$J728,'Historico - FAT'!$G:$G,Faturamento!$H728)</f>
        <v>8.5499999999999989</v>
      </c>
      <c r="AE728" s="27">
        <f>SUMIFS('Historico - FAT'!AN:AN,'Historico - FAT'!$K:$K,Faturamento!$L728,'Historico - FAT'!$I:$I,Faturamento!$J728,'Historico - FAT'!$G:$G,Faturamento!$H728)</f>
        <v>19.970999999999997</v>
      </c>
      <c r="AG728" s="24">
        <f t="shared" si="167"/>
        <v>1</v>
      </c>
      <c r="AH728" s="24">
        <f t="shared" si="168"/>
        <v>0.86791666666666667</v>
      </c>
      <c r="AI728" s="24">
        <f t="shared" si="169"/>
        <v>0.93214285714285716</v>
      </c>
    </row>
    <row r="729" spans="1:35" hidden="1" x14ac:dyDescent="0.3">
      <c r="A729" s="2" t="str">
        <f t="shared" si="166"/>
        <v>NÃO</v>
      </c>
      <c r="B729" s="2">
        <v>1000184670</v>
      </c>
      <c r="C729" s="2" t="s">
        <v>147</v>
      </c>
      <c r="D729" s="4">
        <v>1000186197</v>
      </c>
      <c r="E729" s="4" t="s">
        <v>166</v>
      </c>
      <c r="F729" s="2">
        <v>1000184756</v>
      </c>
      <c r="G729" s="2" t="s">
        <v>53</v>
      </c>
      <c r="H729" s="4">
        <v>1000189783</v>
      </c>
      <c r="I729" s="4" t="s">
        <v>86</v>
      </c>
      <c r="J729" s="2">
        <v>1000189270</v>
      </c>
      <c r="K729" s="2" t="s">
        <v>34</v>
      </c>
      <c r="L729" s="4" t="s">
        <v>16</v>
      </c>
      <c r="M729" s="4" t="str">
        <f t="shared" si="173"/>
        <v>1000184670100018619710001897831000189270DISNEY</v>
      </c>
      <c r="N729" s="28">
        <f>N726*_xlfn.XLOOKUP($L729,'Balizador da Meta'!$B$4:$B$21,'Balizador da Meta'!$C$4:$C$21)</f>
        <v>144</v>
      </c>
      <c r="O729" s="28">
        <f>O726*_xlfn.XLOOKUP($L729,'Balizador da Meta'!$B$4:$B$21,'Balizador da Meta'!$C$4:$C$21)</f>
        <v>144</v>
      </c>
      <c r="P729" s="28">
        <f>P726*_xlfn.XLOOKUP($L729,'Balizador da Meta'!$B$4:$B$21,'Balizador da Meta'!$C$4:$C$21)</f>
        <v>144</v>
      </c>
      <c r="Q729" s="28">
        <f>Q726*_xlfn.XLOOKUP($L729,'Balizador da Meta'!$B$4:$B$21,'Balizador da Meta'!$C$4:$C$21)</f>
        <v>144</v>
      </c>
      <c r="R729" s="28">
        <f>R726*_xlfn.XLOOKUP($L729,'Balizador da Meta'!$B$4:$B$21,'Balizador da Meta'!$C$4:$C$21)</f>
        <v>144</v>
      </c>
      <c r="S729" s="28">
        <f>S726*_xlfn.XLOOKUP($L729,'Balizador da Meta'!$B$4:$B$21,'Balizador da Meta'!$C$4:$C$21)</f>
        <v>144</v>
      </c>
      <c r="T729" s="28">
        <f>T726*_xlfn.XLOOKUP($L729,'Balizador da Meta'!$B$4:$B$21,'Balizador da Meta'!$C$4:$C$21)</f>
        <v>144</v>
      </c>
      <c r="U729" s="28">
        <f>U726*_xlfn.XLOOKUP($L729,'Balizador da Meta'!$B$4:$B$21,'Balizador da Meta'!$C$4:$C$21)</f>
        <v>144</v>
      </c>
      <c r="V729" s="28">
        <f>V726*_xlfn.XLOOKUP($L729,'Balizador da Meta'!$B$4:$B$21,'Balizador da Meta'!$C$4:$C$21)</f>
        <v>144</v>
      </c>
      <c r="W729" s="28">
        <f>W726*_xlfn.XLOOKUP($L729,'Balizador da Meta'!$B$4:$B$21,'Balizador da Meta'!$C$4:$C$21)</f>
        <v>144</v>
      </c>
      <c r="X729" s="28">
        <f>X726*_xlfn.XLOOKUP($L729,'Balizador da Meta'!$B$4:$B$21,'Balizador da Meta'!$C$4:$C$21)</f>
        <v>144</v>
      </c>
      <c r="Y729" s="28">
        <f>Y726*_xlfn.XLOOKUP($L729,'Balizador da Meta'!$B$4:$B$21,'Balizador da Meta'!$C$4:$C$21)</f>
        <v>144</v>
      </c>
      <c r="Z729" s="30">
        <f t="shared" si="176"/>
        <v>1728</v>
      </c>
      <c r="AA729" s="29"/>
      <c r="AB729" s="31">
        <f>SUMIFS('Historico - FAT'!AK:AK,'Historico - FAT'!$K:$K,Faturamento!$L729,'Historico - FAT'!$I:$I,Faturamento!$J729,'Historico - FAT'!$G:$G,Faturamento!$H729)</f>
        <v>0</v>
      </c>
      <c r="AC729" s="31">
        <f>SUMIFS('Historico - FAT'!AL:AL,'Historico - FAT'!$K:$K,Faturamento!$L729,'Historico - FAT'!$I:$I,Faturamento!$J729,'Historico - FAT'!$G:$G,Faturamento!$H729)</f>
        <v>115.11916666666667</v>
      </c>
      <c r="AD729" s="31">
        <f>SUMIFS('Historico - FAT'!AM:AM,'Historico - FAT'!$K:$K,Faturamento!$L729,'Historico - FAT'!$I:$I,Faturamento!$J729,'Historico - FAT'!$G:$G,Faturamento!$H729)</f>
        <v>88.589999999999989</v>
      </c>
      <c r="AE729" s="27">
        <f>SUMIFS('Historico - FAT'!AN:AN,'Historico - FAT'!$K:$K,Faturamento!$L729,'Historico - FAT'!$I:$I,Faturamento!$J729,'Historico - FAT'!$G:$G,Faturamento!$H729)</f>
        <v>138.143</v>
      </c>
      <c r="AG729" s="24">
        <f t="shared" si="167"/>
        <v>1</v>
      </c>
      <c r="AH729" s="24">
        <f t="shared" si="168"/>
        <v>0.20056134259259256</v>
      </c>
      <c r="AI729" s="24">
        <f t="shared" si="169"/>
        <v>0.38479166666666675</v>
      </c>
    </row>
    <row r="730" spans="1:35" hidden="1" x14ac:dyDescent="0.3">
      <c r="A730" s="2" t="str">
        <f t="shared" si="166"/>
        <v>NÃO</v>
      </c>
      <c r="B730" s="2">
        <v>1000184670</v>
      </c>
      <c r="C730" s="2" t="s">
        <v>147</v>
      </c>
      <c r="D730" s="4">
        <v>1000186197</v>
      </c>
      <c r="E730" s="4" t="s">
        <v>166</v>
      </c>
      <c r="F730" s="2">
        <v>1000184756</v>
      </c>
      <c r="G730" s="2" t="s">
        <v>53</v>
      </c>
      <c r="H730" s="4">
        <v>1000189783</v>
      </c>
      <c r="I730" s="4" t="s">
        <v>86</v>
      </c>
      <c r="J730" s="2">
        <v>1000189270</v>
      </c>
      <c r="K730" s="2" t="s">
        <v>34</v>
      </c>
      <c r="L730" s="4" t="s">
        <v>15</v>
      </c>
      <c r="M730" s="4" t="str">
        <f t="shared" si="173"/>
        <v>1000184670100018619710001897831000189270DOCES</v>
      </c>
      <c r="N730" s="28">
        <f>N726*_xlfn.XLOOKUP($L730,'Balizador da Meta'!$B$4:$B$21,'Balizador da Meta'!$C$4:$C$21)</f>
        <v>162</v>
      </c>
      <c r="O730" s="28">
        <f>O726*_xlfn.XLOOKUP($L730,'Balizador da Meta'!$B$4:$B$21,'Balizador da Meta'!$C$4:$C$21)</f>
        <v>162</v>
      </c>
      <c r="P730" s="28">
        <f>P726*_xlfn.XLOOKUP($L730,'Balizador da Meta'!$B$4:$B$21,'Balizador da Meta'!$C$4:$C$21)</f>
        <v>162</v>
      </c>
      <c r="Q730" s="28">
        <f>Q726*_xlfn.XLOOKUP($L730,'Balizador da Meta'!$B$4:$B$21,'Balizador da Meta'!$C$4:$C$21)</f>
        <v>162</v>
      </c>
      <c r="R730" s="28">
        <f>R726*_xlfn.XLOOKUP($L730,'Balizador da Meta'!$B$4:$B$21,'Balizador da Meta'!$C$4:$C$21)</f>
        <v>162</v>
      </c>
      <c r="S730" s="28">
        <f>S726*_xlfn.XLOOKUP($L730,'Balizador da Meta'!$B$4:$B$21,'Balizador da Meta'!$C$4:$C$21)</f>
        <v>162</v>
      </c>
      <c r="T730" s="28">
        <f>T726*_xlfn.XLOOKUP($L730,'Balizador da Meta'!$B$4:$B$21,'Balizador da Meta'!$C$4:$C$21)</f>
        <v>162</v>
      </c>
      <c r="U730" s="28">
        <f>U726*_xlfn.XLOOKUP($L730,'Balizador da Meta'!$B$4:$B$21,'Balizador da Meta'!$C$4:$C$21)</f>
        <v>162</v>
      </c>
      <c r="V730" s="28">
        <f>V726*_xlfn.XLOOKUP($L730,'Balizador da Meta'!$B$4:$B$21,'Balizador da Meta'!$C$4:$C$21)</f>
        <v>162</v>
      </c>
      <c r="W730" s="28">
        <f>W726*_xlfn.XLOOKUP($L730,'Balizador da Meta'!$B$4:$B$21,'Balizador da Meta'!$C$4:$C$21)</f>
        <v>162</v>
      </c>
      <c r="X730" s="28">
        <f>X726*_xlfn.XLOOKUP($L730,'Balizador da Meta'!$B$4:$B$21,'Balizador da Meta'!$C$4:$C$21)</f>
        <v>162</v>
      </c>
      <c r="Y730" s="28">
        <f>Y726*_xlfn.XLOOKUP($L730,'Balizador da Meta'!$B$4:$B$21,'Balizador da Meta'!$C$4:$C$21)</f>
        <v>162</v>
      </c>
      <c r="Z730" s="30">
        <f t="shared" si="176"/>
        <v>1944</v>
      </c>
      <c r="AA730" s="29"/>
      <c r="AB730" s="31">
        <f>SUMIFS('Historico - FAT'!AK:AK,'Historico - FAT'!$K:$K,Faturamento!$L730,'Historico - FAT'!$I:$I,Faturamento!$J730,'Historico - FAT'!$G:$G,Faturamento!$H730)</f>
        <v>0</v>
      </c>
      <c r="AC730" s="31">
        <f>SUMIFS('Historico - FAT'!AL:AL,'Historico - FAT'!$K:$K,Faturamento!$L730,'Historico - FAT'!$I:$I,Faturamento!$J730,'Historico - FAT'!$G:$G,Faturamento!$H730)</f>
        <v>119.03749999999998</v>
      </c>
      <c r="AD730" s="31">
        <f>SUMIFS('Historico - FAT'!AM:AM,'Historico - FAT'!$K:$K,Faturamento!$L730,'Historico - FAT'!$I:$I,Faturamento!$J730,'Historico - FAT'!$G:$G,Faturamento!$H730)</f>
        <v>143.86499999999998</v>
      </c>
      <c r="AE730" s="27">
        <f>SUMIFS('Historico - FAT'!AN:AN,'Historico - FAT'!$K:$K,Faturamento!$L730,'Historico - FAT'!$I:$I,Faturamento!$J730,'Historico - FAT'!$G:$G,Faturamento!$H730)</f>
        <v>142.84499999999997</v>
      </c>
      <c r="AG730" s="24">
        <f t="shared" si="167"/>
        <v>1</v>
      </c>
      <c r="AH730" s="24">
        <f t="shared" si="168"/>
        <v>0.26520061728395072</v>
      </c>
      <c r="AI730" s="24">
        <f t="shared" si="169"/>
        <v>0.11194444444444457</v>
      </c>
    </row>
    <row r="731" spans="1:35" hidden="1" x14ac:dyDescent="0.3">
      <c r="A731" s="2" t="str">
        <f t="shared" si="166"/>
        <v>NÃO</v>
      </c>
      <c r="B731" s="2">
        <v>1000184670</v>
      </c>
      <c r="C731" s="2" t="s">
        <v>147</v>
      </c>
      <c r="D731" s="4">
        <v>1000186197</v>
      </c>
      <c r="E731" s="4" t="s">
        <v>166</v>
      </c>
      <c r="F731" s="2">
        <v>1000184756</v>
      </c>
      <c r="G731" s="2" t="s">
        <v>53</v>
      </c>
      <c r="H731" s="4">
        <v>1000189783</v>
      </c>
      <c r="I731" s="4" t="s">
        <v>86</v>
      </c>
      <c r="J731" s="2">
        <v>1000189270</v>
      </c>
      <c r="K731" s="2" t="s">
        <v>34</v>
      </c>
      <c r="L731" s="4" t="s">
        <v>33</v>
      </c>
      <c r="M731" s="4" t="str">
        <f t="shared" si="173"/>
        <v>1000184670100018619710001897831000189270FOOD SERVICE</v>
      </c>
      <c r="N731" s="28">
        <f>N726*_xlfn.XLOOKUP($L731,'Balizador da Meta'!$B$4:$B$21,'Balizador da Meta'!$C$4:$C$21)</f>
        <v>0</v>
      </c>
      <c r="O731" s="28">
        <f>O726*_xlfn.XLOOKUP($L731,'Balizador da Meta'!$B$4:$B$21,'Balizador da Meta'!$C$4:$C$21)</f>
        <v>0</v>
      </c>
      <c r="P731" s="28">
        <f>P726*_xlfn.XLOOKUP($L731,'Balizador da Meta'!$B$4:$B$21,'Balizador da Meta'!$C$4:$C$21)</f>
        <v>0</v>
      </c>
      <c r="Q731" s="28">
        <f>Q726*_xlfn.XLOOKUP($L731,'Balizador da Meta'!$B$4:$B$21,'Balizador da Meta'!$C$4:$C$21)</f>
        <v>0</v>
      </c>
      <c r="R731" s="28">
        <f>R726*_xlfn.XLOOKUP($L731,'Balizador da Meta'!$B$4:$B$21,'Balizador da Meta'!$C$4:$C$21)</f>
        <v>0</v>
      </c>
      <c r="S731" s="28">
        <f>S726*_xlfn.XLOOKUP($L731,'Balizador da Meta'!$B$4:$B$21,'Balizador da Meta'!$C$4:$C$21)</f>
        <v>0</v>
      </c>
      <c r="T731" s="28">
        <f>T726*_xlfn.XLOOKUP($L731,'Balizador da Meta'!$B$4:$B$21,'Balizador da Meta'!$C$4:$C$21)</f>
        <v>0</v>
      </c>
      <c r="U731" s="28">
        <f>U726*_xlfn.XLOOKUP($L731,'Balizador da Meta'!$B$4:$B$21,'Balizador da Meta'!$C$4:$C$21)</f>
        <v>0</v>
      </c>
      <c r="V731" s="28">
        <f>V726*_xlfn.XLOOKUP($L731,'Balizador da Meta'!$B$4:$B$21,'Balizador da Meta'!$C$4:$C$21)</f>
        <v>0</v>
      </c>
      <c r="W731" s="28">
        <f>W726*_xlfn.XLOOKUP($L731,'Balizador da Meta'!$B$4:$B$21,'Balizador da Meta'!$C$4:$C$21)</f>
        <v>0</v>
      </c>
      <c r="X731" s="28">
        <f>X726*_xlfn.XLOOKUP($L731,'Balizador da Meta'!$B$4:$B$21,'Balizador da Meta'!$C$4:$C$21)</f>
        <v>0</v>
      </c>
      <c r="Y731" s="28">
        <f>Y726*_xlfn.XLOOKUP($L731,'Balizador da Meta'!$B$4:$B$21,'Balizador da Meta'!$C$4:$C$21)</f>
        <v>0</v>
      </c>
      <c r="Z731" s="30">
        <f t="shared" si="176"/>
        <v>0</v>
      </c>
      <c r="AA731" s="29"/>
      <c r="AB731" s="31">
        <f>SUMIFS('Historico - FAT'!AK:AK,'Historico - FAT'!$K:$K,Faturamento!$L731,'Historico - FAT'!$I:$I,Faturamento!$J731,'Historico - FAT'!$G:$G,Faturamento!$H731)</f>
        <v>0</v>
      </c>
      <c r="AC731" s="31">
        <f>SUMIFS('Historico - FAT'!AL:AL,'Historico - FAT'!$K:$K,Faturamento!$L731,'Historico - FAT'!$I:$I,Faturamento!$J731,'Historico - FAT'!$G:$G,Faturamento!$H731)</f>
        <v>0</v>
      </c>
      <c r="AD731" s="31">
        <f>SUMIFS('Historico - FAT'!AM:AM,'Historico - FAT'!$K:$K,Faturamento!$L731,'Historico - FAT'!$I:$I,Faturamento!$J731,'Historico - FAT'!$G:$G,Faturamento!$H731)</f>
        <v>0</v>
      </c>
      <c r="AE731" s="27">
        <f>SUMIFS('Historico - FAT'!AN:AN,'Historico - FAT'!$K:$K,Faturamento!$L731,'Historico - FAT'!$I:$I,Faturamento!$J731,'Historico - FAT'!$G:$G,Faturamento!$H731)</f>
        <v>0</v>
      </c>
      <c r="AG731" s="24" t="str">
        <f t="shared" si="167"/>
        <v/>
      </c>
      <c r="AH731" s="24" t="str">
        <f t="shared" si="168"/>
        <v/>
      </c>
      <c r="AI731" s="24" t="str">
        <f t="shared" si="169"/>
        <v/>
      </c>
    </row>
    <row r="732" spans="1:35" hidden="1" x14ac:dyDescent="0.3">
      <c r="A732" s="2" t="str">
        <f t="shared" si="166"/>
        <v>NÃO</v>
      </c>
      <c r="B732" s="2">
        <v>1000184670</v>
      </c>
      <c r="C732" s="2" t="s">
        <v>147</v>
      </c>
      <c r="D732" s="4">
        <v>1000186197</v>
      </c>
      <c r="E732" s="4" t="s">
        <v>166</v>
      </c>
      <c r="F732" s="2">
        <v>1000184756</v>
      </c>
      <c r="G732" s="2" t="s">
        <v>53</v>
      </c>
      <c r="H732" s="4">
        <v>1000189783</v>
      </c>
      <c r="I732" s="4" t="s">
        <v>86</v>
      </c>
      <c r="J732" s="2">
        <v>1000189270</v>
      </c>
      <c r="K732" s="2" t="s">
        <v>34</v>
      </c>
      <c r="L732" s="4" t="s">
        <v>19</v>
      </c>
      <c r="M732" s="4" t="str">
        <f t="shared" si="173"/>
        <v>1000184670100018619710001897831000189270GELEIA</v>
      </c>
      <c r="N732" s="28">
        <f>N726*_xlfn.XLOOKUP($L732,'Balizador da Meta'!$B$4:$B$21,'Balizador da Meta'!$C$4:$C$21)</f>
        <v>35.999999999999993</v>
      </c>
      <c r="O732" s="28">
        <f>O726*_xlfn.XLOOKUP($L732,'Balizador da Meta'!$B$4:$B$21,'Balizador da Meta'!$C$4:$C$21)</f>
        <v>35.999999999999993</v>
      </c>
      <c r="P732" s="28">
        <f>P726*_xlfn.XLOOKUP($L732,'Balizador da Meta'!$B$4:$B$21,'Balizador da Meta'!$C$4:$C$21)</f>
        <v>35.999999999999993</v>
      </c>
      <c r="Q732" s="28">
        <f>Q726*_xlfn.XLOOKUP($L732,'Balizador da Meta'!$B$4:$B$21,'Balizador da Meta'!$C$4:$C$21)</f>
        <v>35.999999999999993</v>
      </c>
      <c r="R732" s="28">
        <f>R726*_xlfn.XLOOKUP($L732,'Balizador da Meta'!$B$4:$B$21,'Balizador da Meta'!$C$4:$C$21)</f>
        <v>35.999999999999993</v>
      </c>
      <c r="S732" s="28">
        <f>S726*_xlfn.XLOOKUP($L732,'Balizador da Meta'!$B$4:$B$21,'Balizador da Meta'!$C$4:$C$21)</f>
        <v>35.999999999999993</v>
      </c>
      <c r="T732" s="28">
        <f>T726*_xlfn.XLOOKUP($L732,'Balizador da Meta'!$B$4:$B$21,'Balizador da Meta'!$C$4:$C$21)</f>
        <v>35.999999999999993</v>
      </c>
      <c r="U732" s="28">
        <f>U726*_xlfn.XLOOKUP($L732,'Balizador da Meta'!$B$4:$B$21,'Balizador da Meta'!$C$4:$C$21)</f>
        <v>35.999999999999993</v>
      </c>
      <c r="V732" s="28">
        <f>V726*_xlfn.XLOOKUP($L732,'Balizador da Meta'!$B$4:$B$21,'Balizador da Meta'!$C$4:$C$21)</f>
        <v>35.999999999999993</v>
      </c>
      <c r="W732" s="28">
        <f>W726*_xlfn.XLOOKUP($L732,'Balizador da Meta'!$B$4:$B$21,'Balizador da Meta'!$C$4:$C$21)</f>
        <v>35.999999999999993</v>
      </c>
      <c r="X732" s="28">
        <f>X726*_xlfn.XLOOKUP($L732,'Balizador da Meta'!$B$4:$B$21,'Balizador da Meta'!$C$4:$C$21)</f>
        <v>35.999999999999993</v>
      </c>
      <c r="Y732" s="28">
        <f>Y726*_xlfn.XLOOKUP($L732,'Balizador da Meta'!$B$4:$B$21,'Balizador da Meta'!$C$4:$C$21)</f>
        <v>35.999999999999993</v>
      </c>
      <c r="Z732" s="30">
        <f t="shared" si="176"/>
        <v>431.99999999999994</v>
      </c>
      <c r="AA732" s="29"/>
      <c r="AB732" s="31">
        <f>SUMIFS('Historico - FAT'!AK:AK,'Historico - FAT'!$K:$K,Faturamento!$L732,'Historico - FAT'!$I:$I,Faturamento!$J732,'Historico - FAT'!$G:$G,Faturamento!$H732)</f>
        <v>0</v>
      </c>
      <c r="AC732" s="31">
        <f>SUMIFS('Historico - FAT'!AL:AL,'Historico - FAT'!$K:$K,Faturamento!$L732,'Historico - FAT'!$I:$I,Faturamento!$J732,'Historico - FAT'!$G:$G,Faturamento!$H732)</f>
        <v>0</v>
      </c>
      <c r="AD732" s="31">
        <f>SUMIFS('Historico - FAT'!AM:AM,'Historico - FAT'!$K:$K,Faturamento!$L732,'Historico - FAT'!$I:$I,Faturamento!$J732,'Historico - FAT'!$G:$G,Faturamento!$H732)</f>
        <v>0</v>
      </c>
      <c r="AE732" s="27">
        <f>SUMIFS('Historico - FAT'!AN:AN,'Historico - FAT'!$K:$K,Faturamento!$L732,'Historico - FAT'!$I:$I,Faturamento!$J732,'Historico - FAT'!$G:$G,Faturamento!$H732)</f>
        <v>0</v>
      </c>
      <c r="AG732" s="24">
        <f t="shared" si="167"/>
        <v>1</v>
      </c>
      <c r="AH732" s="24">
        <f t="shared" si="168"/>
        <v>1</v>
      </c>
      <c r="AI732" s="24">
        <f t="shared" si="169"/>
        <v>1</v>
      </c>
    </row>
    <row r="733" spans="1:35" hidden="1" x14ac:dyDescent="0.3">
      <c r="A733" s="2" t="str">
        <f t="shared" si="166"/>
        <v>NÃO</v>
      </c>
      <c r="B733" s="2">
        <v>1000184670</v>
      </c>
      <c r="C733" s="2" t="s">
        <v>147</v>
      </c>
      <c r="D733" s="4">
        <v>1000186197</v>
      </c>
      <c r="E733" s="4" t="s">
        <v>166</v>
      </c>
      <c r="F733" s="2">
        <v>1000184756</v>
      </c>
      <c r="G733" s="2" t="s">
        <v>53</v>
      </c>
      <c r="H733" s="4">
        <v>1000189783</v>
      </c>
      <c r="I733" s="4" t="s">
        <v>86</v>
      </c>
      <c r="J733" s="2">
        <v>1000189270</v>
      </c>
      <c r="K733" s="2" t="s">
        <v>34</v>
      </c>
      <c r="L733" s="4" t="s">
        <v>17</v>
      </c>
      <c r="M733" s="4" t="str">
        <f t="shared" si="173"/>
        <v>1000184670100018619710001897831000189270GRANOLA</v>
      </c>
      <c r="N733" s="28">
        <f>N726*_xlfn.XLOOKUP($L733,'Balizador da Meta'!$B$4:$B$21,'Balizador da Meta'!$C$4:$C$21)</f>
        <v>36</v>
      </c>
      <c r="O733" s="28">
        <f>O726*_xlfn.XLOOKUP($L733,'Balizador da Meta'!$B$4:$B$21,'Balizador da Meta'!$C$4:$C$21)</f>
        <v>36</v>
      </c>
      <c r="P733" s="28">
        <f>P726*_xlfn.XLOOKUP($L733,'Balizador da Meta'!$B$4:$B$21,'Balizador da Meta'!$C$4:$C$21)</f>
        <v>36</v>
      </c>
      <c r="Q733" s="28">
        <f>Q726*_xlfn.XLOOKUP($L733,'Balizador da Meta'!$B$4:$B$21,'Balizador da Meta'!$C$4:$C$21)</f>
        <v>36</v>
      </c>
      <c r="R733" s="28">
        <f>R726*_xlfn.XLOOKUP($L733,'Balizador da Meta'!$B$4:$B$21,'Balizador da Meta'!$C$4:$C$21)</f>
        <v>36</v>
      </c>
      <c r="S733" s="28">
        <f>S726*_xlfn.XLOOKUP($L733,'Balizador da Meta'!$B$4:$B$21,'Balizador da Meta'!$C$4:$C$21)</f>
        <v>36</v>
      </c>
      <c r="T733" s="28">
        <f>T726*_xlfn.XLOOKUP($L733,'Balizador da Meta'!$B$4:$B$21,'Balizador da Meta'!$C$4:$C$21)</f>
        <v>36</v>
      </c>
      <c r="U733" s="28">
        <f>U726*_xlfn.XLOOKUP($L733,'Balizador da Meta'!$B$4:$B$21,'Balizador da Meta'!$C$4:$C$21)</f>
        <v>36</v>
      </c>
      <c r="V733" s="28">
        <f>V726*_xlfn.XLOOKUP($L733,'Balizador da Meta'!$B$4:$B$21,'Balizador da Meta'!$C$4:$C$21)</f>
        <v>36</v>
      </c>
      <c r="W733" s="28">
        <f>W726*_xlfn.XLOOKUP($L733,'Balizador da Meta'!$B$4:$B$21,'Balizador da Meta'!$C$4:$C$21)</f>
        <v>36</v>
      </c>
      <c r="X733" s="28">
        <f>X726*_xlfn.XLOOKUP($L733,'Balizador da Meta'!$B$4:$B$21,'Balizador da Meta'!$C$4:$C$21)</f>
        <v>36</v>
      </c>
      <c r="Y733" s="28">
        <f>Y726*_xlfn.XLOOKUP($L733,'Balizador da Meta'!$B$4:$B$21,'Balizador da Meta'!$C$4:$C$21)</f>
        <v>36</v>
      </c>
      <c r="Z733" s="30">
        <f t="shared" si="176"/>
        <v>432</v>
      </c>
      <c r="AA733" s="29"/>
      <c r="AB733" s="31">
        <f>SUMIFS('Historico - FAT'!AK:AK,'Historico - FAT'!$K:$K,Faturamento!$L733,'Historico - FAT'!$I:$I,Faturamento!$J733,'Historico - FAT'!$G:$G,Faturamento!$H733)</f>
        <v>0</v>
      </c>
      <c r="AC733" s="31">
        <f>SUMIFS('Historico - FAT'!AL:AL,'Historico - FAT'!$K:$K,Faturamento!$L733,'Historico - FAT'!$I:$I,Faturamento!$J733,'Historico - FAT'!$G:$G,Faturamento!$H733)</f>
        <v>0</v>
      </c>
      <c r="AD733" s="31">
        <f>SUMIFS('Historico - FAT'!AM:AM,'Historico - FAT'!$K:$K,Faturamento!$L733,'Historico - FAT'!$I:$I,Faturamento!$J733,'Historico - FAT'!$G:$G,Faturamento!$H733)</f>
        <v>0</v>
      </c>
      <c r="AE733" s="27">
        <f>SUMIFS('Historico - FAT'!AN:AN,'Historico - FAT'!$K:$K,Faturamento!$L733,'Historico - FAT'!$I:$I,Faturamento!$J733,'Historico - FAT'!$G:$G,Faturamento!$H733)</f>
        <v>0</v>
      </c>
      <c r="AG733" s="24">
        <f t="shared" si="167"/>
        <v>1</v>
      </c>
      <c r="AH733" s="24">
        <f t="shared" si="168"/>
        <v>1</v>
      </c>
      <c r="AI733" s="24">
        <f t="shared" si="169"/>
        <v>1</v>
      </c>
    </row>
    <row r="734" spans="1:35" hidden="1" x14ac:dyDescent="0.3">
      <c r="A734" s="2" t="str">
        <f t="shared" si="166"/>
        <v>NÃO</v>
      </c>
      <c r="B734" s="2">
        <v>1000184670</v>
      </c>
      <c r="C734" s="2" t="s">
        <v>147</v>
      </c>
      <c r="D734" s="4">
        <v>1000186197</v>
      </c>
      <c r="E734" s="4" t="s">
        <v>166</v>
      </c>
      <c r="F734" s="2">
        <v>1000184756</v>
      </c>
      <c r="G734" s="2" t="s">
        <v>53</v>
      </c>
      <c r="H734" s="4">
        <v>1000189783</v>
      </c>
      <c r="I734" s="4" t="s">
        <v>86</v>
      </c>
      <c r="J734" s="2">
        <v>1000189270</v>
      </c>
      <c r="K734" s="2" t="s">
        <v>34</v>
      </c>
      <c r="L734" s="4" t="s">
        <v>24</v>
      </c>
      <c r="M734" s="4" t="str">
        <f t="shared" si="173"/>
        <v>1000184670100018619710001897831000189270KIDS</v>
      </c>
      <c r="N734" s="28">
        <f>N726*_xlfn.XLOOKUP($L734,'Balizador da Meta'!$B$4:$B$21,'Balizador da Meta'!$C$4:$C$21)</f>
        <v>0</v>
      </c>
      <c r="O734" s="28">
        <f>O726*_xlfn.XLOOKUP($L734,'Balizador da Meta'!$B$4:$B$21,'Balizador da Meta'!$C$4:$C$21)</f>
        <v>0</v>
      </c>
      <c r="P734" s="28">
        <f>P726*_xlfn.XLOOKUP($L734,'Balizador da Meta'!$B$4:$B$21,'Balizador da Meta'!$C$4:$C$21)</f>
        <v>0</v>
      </c>
      <c r="Q734" s="28">
        <f>Q726*_xlfn.XLOOKUP($L734,'Balizador da Meta'!$B$4:$B$21,'Balizador da Meta'!$C$4:$C$21)</f>
        <v>0</v>
      </c>
      <c r="R734" s="28">
        <f>R726*_xlfn.XLOOKUP($L734,'Balizador da Meta'!$B$4:$B$21,'Balizador da Meta'!$C$4:$C$21)</f>
        <v>0</v>
      </c>
      <c r="S734" s="28">
        <f>S726*_xlfn.XLOOKUP($L734,'Balizador da Meta'!$B$4:$B$21,'Balizador da Meta'!$C$4:$C$21)</f>
        <v>0</v>
      </c>
      <c r="T734" s="28">
        <f>T726*_xlfn.XLOOKUP($L734,'Balizador da Meta'!$B$4:$B$21,'Balizador da Meta'!$C$4:$C$21)</f>
        <v>0</v>
      </c>
      <c r="U734" s="28">
        <f>U726*_xlfn.XLOOKUP($L734,'Balizador da Meta'!$B$4:$B$21,'Balizador da Meta'!$C$4:$C$21)</f>
        <v>0</v>
      </c>
      <c r="V734" s="28">
        <f>V726*_xlfn.XLOOKUP($L734,'Balizador da Meta'!$B$4:$B$21,'Balizador da Meta'!$C$4:$C$21)</f>
        <v>0</v>
      </c>
      <c r="W734" s="28">
        <f>W726*_xlfn.XLOOKUP($L734,'Balizador da Meta'!$B$4:$B$21,'Balizador da Meta'!$C$4:$C$21)</f>
        <v>0</v>
      </c>
      <c r="X734" s="28">
        <f>X726*_xlfn.XLOOKUP($L734,'Balizador da Meta'!$B$4:$B$21,'Balizador da Meta'!$C$4:$C$21)</f>
        <v>0</v>
      </c>
      <c r="Y734" s="28">
        <f>Y726*_xlfn.XLOOKUP($L734,'Balizador da Meta'!$B$4:$B$21,'Balizador da Meta'!$C$4:$C$21)</f>
        <v>0</v>
      </c>
      <c r="Z734" s="30">
        <f t="shared" si="176"/>
        <v>0</v>
      </c>
      <c r="AA734" s="29"/>
      <c r="AB734" s="31">
        <f>SUMIFS('Historico - FAT'!AK:AK,'Historico - FAT'!$K:$K,Faturamento!$L734,'Historico - FAT'!$I:$I,Faturamento!$J734,'Historico - FAT'!$G:$G,Faturamento!$H734)</f>
        <v>0</v>
      </c>
      <c r="AC734" s="31">
        <f>SUMIFS('Historico - FAT'!AL:AL,'Historico - FAT'!$K:$K,Faturamento!$L734,'Historico - FAT'!$I:$I,Faturamento!$J734,'Historico - FAT'!$G:$G,Faturamento!$H734)</f>
        <v>29.341666666666665</v>
      </c>
      <c r="AD734" s="31">
        <f>SUMIFS('Historico - FAT'!AM:AM,'Historico - FAT'!$K:$K,Faturamento!$L734,'Historico - FAT'!$I:$I,Faturamento!$J734,'Historico - FAT'!$G:$G,Faturamento!$H734)</f>
        <v>34.451666666666661</v>
      </c>
      <c r="AE734" s="27">
        <f>SUMIFS('Historico - FAT'!AN:AN,'Historico - FAT'!$K:$K,Faturamento!$L734,'Historico - FAT'!$I:$I,Faturamento!$J734,'Historico - FAT'!$G:$G,Faturamento!$H734)</f>
        <v>35.209999999999994</v>
      </c>
      <c r="AG734" s="24" t="str">
        <f t="shared" si="167"/>
        <v/>
      </c>
      <c r="AH734" s="24" t="str">
        <f t="shared" si="168"/>
        <v/>
      </c>
      <c r="AI734" s="24" t="str">
        <f t="shared" si="169"/>
        <v/>
      </c>
    </row>
    <row r="735" spans="1:35" hidden="1" x14ac:dyDescent="0.3">
      <c r="A735" s="2" t="str">
        <f t="shared" si="166"/>
        <v>NÃO</v>
      </c>
      <c r="B735" s="2">
        <v>1000184670</v>
      </c>
      <c r="C735" s="2" t="s">
        <v>147</v>
      </c>
      <c r="D735" s="4">
        <v>1000186197</v>
      </c>
      <c r="E735" s="4" t="s">
        <v>166</v>
      </c>
      <c r="F735" s="2">
        <v>1000184756</v>
      </c>
      <c r="G735" s="2" t="s">
        <v>53</v>
      </c>
      <c r="H735" s="4">
        <v>1000189783</v>
      </c>
      <c r="I735" s="4" t="s">
        <v>86</v>
      </c>
      <c r="J735" s="2">
        <v>1000189270</v>
      </c>
      <c r="K735" s="2" t="s">
        <v>34</v>
      </c>
      <c r="L735" s="4" t="s">
        <v>18</v>
      </c>
      <c r="M735" s="4" t="str">
        <f t="shared" si="173"/>
        <v>1000184670100018619710001897831000189270LANCHES</v>
      </c>
      <c r="N735" s="28">
        <f>N726*_xlfn.XLOOKUP($L735,'Balizador da Meta'!$B$4:$B$21,'Balizador da Meta'!$C$4:$C$21)</f>
        <v>18</v>
      </c>
      <c r="O735" s="28">
        <f>O726*_xlfn.XLOOKUP($L735,'Balizador da Meta'!$B$4:$B$21,'Balizador da Meta'!$C$4:$C$21)</f>
        <v>18</v>
      </c>
      <c r="P735" s="28">
        <f>P726*_xlfn.XLOOKUP($L735,'Balizador da Meta'!$B$4:$B$21,'Balizador da Meta'!$C$4:$C$21)</f>
        <v>18</v>
      </c>
      <c r="Q735" s="28">
        <f>Q726*_xlfn.XLOOKUP($L735,'Balizador da Meta'!$B$4:$B$21,'Balizador da Meta'!$C$4:$C$21)</f>
        <v>18</v>
      </c>
      <c r="R735" s="28">
        <f>R726*_xlfn.XLOOKUP($L735,'Balizador da Meta'!$B$4:$B$21,'Balizador da Meta'!$C$4:$C$21)</f>
        <v>18</v>
      </c>
      <c r="S735" s="28">
        <f>S726*_xlfn.XLOOKUP($L735,'Balizador da Meta'!$B$4:$B$21,'Balizador da Meta'!$C$4:$C$21)</f>
        <v>18</v>
      </c>
      <c r="T735" s="28">
        <f>T726*_xlfn.XLOOKUP($L735,'Balizador da Meta'!$B$4:$B$21,'Balizador da Meta'!$C$4:$C$21)</f>
        <v>18</v>
      </c>
      <c r="U735" s="28">
        <f>U726*_xlfn.XLOOKUP($L735,'Balizador da Meta'!$B$4:$B$21,'Balizador da Meta'!$C$4:$C$21)</f>
        <v>18</v>
      </c>
      <c r="V735" s="28">
        <f>V726*_xlfn.XLOOKUP($L735,'Balizador da Meta'!$B$4:$B$21,'Balizador da Meta'!$C$4:$C$21)</f>
        <v>18</v>
      </c>
      <c r="W735" s="28">
        <f>W726*_xlfn.XLOOKUP($L735,'Balizador da Meta'!$B$4:$B$21,'Balizador da Meta'!$C$4:$C$21)</f>
        <v>18</v>
      </c>
      <c r="X735" s="28">
        <f>X726*_xlfn.XLOOKUP($L735,'Balizador da Meta'!$B$4:$B$21,'Balizador da Meta'!$C$4:$C$21)</f>
        <v>18</v>
      </c>
      <c r="Y735" s="28">
        <f>Y726*_xlfn.XLOOKUP($L735,'Balizador da Meta'!$B$4:$B$21,'Balizador da Meta'!$C$4:$C$21)</f>
        <v>18</v>
      </c>
      <c r="Z735" s="30">
        <f t="shared" si="176"/>
        <v>216</v>
      </c>
      <c r="AA735" s="29"/>
      <c r="AB735" s="31">
        <f>SUMIFS('Historico - FAT'!AK:AK,'Historico - FAT'!$K:$K,Faturamento!$L735,'Historico - FAT'!$I:$I,Faturamento!$J735,'Historico - FAT'!$G:$G,Faturamento!$H735)</f>
        <v>0</v>
      </c>
      <c r="AC735" s="31">
        <f>SUMIFS('Historico - FAT'!AL:AL,'Historico - FAT'!$K:$K,Faturamento!$L735,'Historico - FAT'!$I:$I,Faturamento!$J735,'Historico - FAT'!$G:$G,Faturamento!$H735)</f>
        <v>14.229999999999999</v>
      </c>
      <c r="AD735" s="31">
        <f>SUMIFS('Historico - FAT'!AM:AM,'Historico - FAT'!$K:$K,Faturamento!$L735,'Historico - FAT'!$I:$I,Faturamento!$J735,'Historico - FAT'!$G:$G,Faturamento!$H735)</f>
        <v>24.01</v>
      </c>
      <c r="AE735" s="27">
        <f>SUMIFS('Historico - FAT'!AN:AN,'Historico - FAT'!$K:$K,Faturamento!$L735,'Historico - FAT'!$I:$I,Faturamento!$J735,'Historico - FAT'!$G:$G,Faturamento!$H735)</f>
        <v>17.076000000000001</v>
      </c>
      <c r="AG735" s="24">
        <f t="shared" si="167"/>
        <v>1</v>
      </c>
      <c r="AH735" s="24">
        <f t="shared" si="168"/>
        <v>0.20944444444444452</v>
      </c>
      <c r="AI735" s="24">
        <f t="shared" si="169"/>
        <v>-0.33388888888888896</v>
      </c>
    </row>
    <row r="736" spans="1:35" hidden="1" x14ac:dyDescent="0.3">
      <c r="A736" s="2" t="str">
        <f t="shared" si="166"/>
        <v>NÃO</v>
      </c>
      <c r="B736" s="2">
        <v>1000184670</v>
      </c>
      <c r="C736" s="2" t="s">
        <v>147</v>
      </c>
      <c r="D736" s="4">
        <v>1000186197</v>
      </c>
      <c r="E736" s="4" t="s">
        <v>166</v>
      </c>
      <c r="F736" s="2">
        <v>1000184756</v>
      </c>
      <c r="G736" s="2" t="s">
        <v>53</v>
      </c>
      <c r="H736" s="4">
        <v>1000189783</v>
      </c>
      <c r="I736" s="4" t="s">
        <v>86</v>
      </c>
      <c r="J736" s="2">
        <v>1000189270</v>
      </c>
      <c r="K736" s="2" t="s">
        <v>34</v>
      </c>
      <c r="L736" s="4" t="s">
        <v>29</v>
      </c>
      <c r="M736" s="4" t="str">
        <f t="shared" si="173"/>
        <v>1000184670100018619710001897831000189270MAIS GRANEL</v>
      </c>
      <c r="N736" s="28">
        <f>N726*_xlfn.XLOOKUP($L736,'Balizador da Meta'!$B$4:$B$21,'Balizador da Meta'!$C$4:$C$21)</f>
        <v>576</v>
      </c>
      <c r="O736" s="28">
        <f>O726*_xlfn.XLOOKUP($L736,'Balizador da Meta'!$B$4:$B$21,'Balizador da Meta'!$C$4:$C$21)</f>
        <v>576</v>
      </c>
      <c r="P736" s="28">
        <f>P726*_xlfn.XLOOKUP($L736,'Balizador da Meta'!$B$4:$B$21,'Balizador da Meta'!$C$4:$C$21)</f>
        <v>576</v>
      </c>
      <c r="Q736" s="28">
        <f>Q726*_xlfn.XLOOKUP($L736,'Balizador da Meta'!$B$4:$B$21,'Balizador da Meta'!$C$4:$C$21)</f>
        <v>576</v>
      </c>
      <c r="R736" s="28">
        <f>R726*_xlfn.XLOOKUP($L736,'Balizador da Meta'!$B$4:$B$21,'Balizador da Meta'!$C$4:$C$21)</f>
        <v>576</v>
      </c>
      <c r="S736" s="28">
        <f>S726*_xlfn.XLOOKUP($L736,'Balizador da Meta'!$B$4:$B$21,'Balizador da Meta'!$C$4:$C$21)</f>
        <v>576</v>
      </c>
      <c r="T736" s="28">
        <f>T726*_xlfn.XLOOKUP($L736,'Balizador da Meta'!$B$4:$B$21,'Balizador da Meta'!$C$4:$C$21)</f>
        <v>576</v>
      </c>
      <c r="U736" s="28">
        <f>U726*_xlfn.XLOOKUP($L736,'Balizador da Meta'!$B$4:$B$21,'Balizador da Meta'!$C$4:$C$21)</f>
        <v>576</v>
      </c>
      <c r="V736" s="28">
        <f>V726*_xlfn.XLOOKUP($L736,'Balizador da Meta'!$B$4:$B$21,'Balizador da Meta'!$C$4:$C$21)</f>
        <v>576</v>
      </c>
      <c r="W736" s="28">
        <f>W726*_xlfn.XLOOKUP($L736,'Balizador da Meta'!$B$4:$B$21,'Balizador da Meta'!$C$4:$C$21)</f>
        <v>576</v>
      </c>
      <c r="X736" s="28">
        <f>X726*_xlfn.XLOOKUP($L736,'Balizador da Meta'!$B$4:$B$21,'Balizador da Meta'!$C$4:$C$21)</f>
        <v>576</v>
      </c>
      <c r="Y736" s="28">
        <f>Y726*_xlfn.XLOOKUP($L736,'Balizador da Meta'!$B$4:$B$21,'Balizador da Meta'!$C$4:$C$21)</f>
        <v>576</v>
      </c>
      <c r="Z736" s="30">
        <f t="shared" si="176"/>
        <v>6912</v>
      </c>
      <c r="AA736" s="29"/>
      <c r="AB736" s="31">
        <f>SUMIFS('Historico - FAT'!AK:AK,'Historico - FAT'!$K:$K,Faturamento!$L736,'Historico - FAT'!$I:$I,Faturamento!$J736,'Historico - FAT'!$G:$G,Faturamento!$H736)</f>
        <v>0</v>
      </c>
      <c r="AC736" s="31">
        <f>SUMIFS('Historico - FAT'!AL:AL,'Historico - FAT'!$K:$K,Faturamento!$L736,'Historico - FAT'!$I:$I,Faturamento!$J736,'Historico - FAT'!$G:$G,Faturamento!$H736)</f>
        <v>278.75</v>
      </c>
      <c r="AD736" s="31">
        <f>SUMIFS('Historico - FAT'!AM:AM,'Historico - FAT'!$K:$K,Faturamento!$L736,'Historico - FAT'!$I:$I,Faturamento!$J736,'Historico - FAT'!$G:$G,Faturamento!$H736)</f>
        <v>557.5</v>
      </c>
      <c r="AE736" s="27">
        <f>SUMIFS('Historico - FAT'!AN:AN,'Historico - FAT'!$K:$K,Faturamento!$L736,'Historico - FAT'!$I:$I,Faturamento!$J736,'Historico - FAT'!$G:$G,Faturamento!$H736)</f>
        <v>334.5</v>
      </c>
      <c r="AG736" s="24">
        <f t="shared" si="167"/>
        <v>1</v>
      </c>
      <c r="AH736" s="24">
        <f t="shared" si="168"/>
        <v>0.51605902777777779</v>
      </c>
      <c r="AI736" s="24">
        <f t="shared" si="169"/>
        <v>3.2118055555555552E-2</v>
      </c>
    </row>
    <row r="737" spans="1:35" hidden="1" x14ac:dyDescent="0.3">
      <c r="A737" s="2" t="str">
        <f t="shared" si="166"/>
        <v>NÃO</v>
      </c>
      <c r="B737" s="2">
        <v>1000184670</v>
      </c>
      <c r="C737" s="2" t="s">
        <v>147</v>
      </c>
      <c r="D737" s="4">
        <v>1000186197</v>
      </c>
      <c r="E737" s="4" t="s">
        <v>166</v>
      </c>
      <c r="F737" s="2">
        <v>1000184756</v>
      </c>
      <c r="G737" s="2" t="s">
        <v>53</v>
      </c>
      <c r="H737" s="4">
        <v>1000189783</v>
      </c>
      <c r="I737" s="4" t="s">
        <v>86</v>
      </c>
      <c r="J737" s="2">
        <v>1000189270</v>
      </c>
      <c r="K737" s="2" t="s">
        <v>34</v>
      </c>
      <c r="L737" s="4" t="s">
        <v>21</v>
      </c>
      <c r="M737" s="4" t="str">
        <f t="shared" si="173"/>
        <v>1000184670100018619710001897831000189270NATURATTA</v>
      </c>
      <c r="N737" s="28">
        <f>N726*_xlfn.XLOOKUP($L737,'Balizador da Meta'!$B$4:$B$21,'Balizador da Meta'!$C$4:$C$21)</f>
        <v>90</v>
      </c>
      <c r="O737" s="28">
        <f>O726*_xlfn.XLOOKUP($L737,'Balizador da Meta'!$B$4:$B$21,'Balizador da Meta'!$C$4:$C$21)</f>
        <v>90</v>
      </c>
      <c r="P737" s="28">
        <f>P726*_xlfn.XLOOKUP($L737,'Balizador da Meta'!$B$4:$B$21,'Balizador da Meta'!$C$4:$C$21)</f>
        <v>90</v>
      </c>
      <c r="Q737" s="28">
        <f>Q726*_xlfn.XLOOKUP($L737,'Balizador da Meta'!$B$4:$B$21,'Balizador da Meta'!$C$4:$C$21)</f>
        <v>90</v>
      </c>
      <c r="R737" s="28">
        <f>R726*_xlfn.XLOOKUP($L737,'Balizador da Meta'!$B$4:$B$21,'Balizador da Meta'!$C$4:$C$21)</f>
        <v>90</v>
      </c>
      <c r="S737" s="28">
        <f>S726*_xlfn.XLOOKUP($L737,'Balizador da Meta'!$B$4:$B$21,'Balizador da Meta'!$C$4:$C$21)</f>
        <v>90</v>
      </c>
      <c r="T737" s="28">
        <f>T726*_xlfn.XLOOKUP($L737,'Balizador da Meta'!$B$4:$B$21,'Balizador da Meta'!$C$4:$C$21)</f>
        <v>90</v>
      </c>
      <c r="U737" s="28">
        <f>U726*_xlfn.XLOOKUP($L737,'Balizador da Meta'!$B$4:$B$21,'Balizador da Meta'!$C$4:$C$21)</f>
        <v>90</v>
      </c>
      <c r="V737" s="28">
        <f>V726*_xlfn.XLOOKUP($L737,'Balizador da Meta'!$B$4:$B$21,'Balizador da Meta'!$C$4:$C$21)</f>
        <v>90</v>
      </c>
      <c r="W737" s="28">
        <f>W726*_xlfn.XLOOKUP($L737,'Balizador da Meta'!$B$4:$B$21,'Balizador da Meta'!$C$4:$C$21)</f>
        <v>90</v>
      </c>
      <c r="X737" s="28">
        <f>X726*_xlfn.XLOOKUP($L737,'Balizador da Meta'!$B$4:$B$21,'Balizador da Meta'!$C$4:$C$21)</f>
        <v>90</v>
      </c>
      <c r="Y737" s="28">
        <f>Y726*_xlfn.XLOOKUP($L737,'Balizador da Meta'!$B$4:$B$21,'Balizador da Meta'!$C$4:$C$21)</f>
        <v>90</v>
      </c>
      <c r="Z737" s="30">
        <f t="shared" si="176"/>
        <v>1080</v>
      </c>
      <c r="AA737" s="29"/>
      <c r="AB737" s="31">
        <f>SUMIFS('Historico - FAT'!AK:AK,'Historico - FAT'!$K:$K,Faturamento!$L737,'Historico - FAT'!$I:$I,Faturamento!$J737,'Historico - FAT'!$G:$G,Faturamento!$H737)</f>
        <v>0</v>
      </c>
      <c r="AC737" s="31">
        <f>SUMIFS('Historico - FAT'!AL:AL,'Historico - FAT'!$K:$K,Faturamento!$L737,'Historico - FAT'!$I:$I,Faturamento!$J737,'Historico - FAT'!$G:$G,Faturamento!$H737)</f>
        <v>84.410833333333343</v>
      </c>
      <c r="AD737" s="31">
        <f>SUMIFS('Historico - FAT'!AM:AM,'Historico - FAT'!$K:$K,Faturamento!$L737,'Historico - FAT'!$I:$I,Faturamento!$J737,'Historico - FAT'!$G:$G,Faturamento!$H737)</f>
        <v>118.28666666666668</v>
      </c>
      <c r="AE737" s="27">
        <f>SUMIFS('Historico - FAT'!AN:AN,'Historico - FAT'!$K:$K,Faturamento!$L737,'Historico - FAT'!$I:$I,Faturamento!$J737,'Historico - FAT'!$G:$G,Faturamento!$H737)</f>
        <v>101.29300000000001</v>
      </c>
      <c r="AG737" s="24">
        <f t="shared" si="167"/>
        <v>1</v>
      </c>
      <c r="AH737" s="24">
        <f t="shared" si="168"/>
        <v>6.2101851851851742E-2</v>
      </c>
      <c r="AI737" s="24">
        <f t="shared" si="169"/>
        <v>-0.31429629629629641</v>
      </c>
    </row>
    <row r="738" spans="1:35" hidden="1" x14ac:dyDescent="0.3">
      <c r="A738" s="2" t="str">
        <f t="shared" si="166"/>
        <v>NÃO</v>
      </c>
      <c r="B738" s="2">
        <v>1000184670</v>
      </c>
      <c r="C738" s="2" t="s">
        <v>147</v>
      </c>
      <c r="D738" s="4">
        <v>1000186197</v>
      </c>
      <c r="E738" s="4" t="s">
        <v>166</v>
      </c>
      <c r="F738" s="2">
        <v>1000184756</v>
      </c>
      <c r="G738" s="2" t="s">
        <v>53</v>
      </c>
      <c r="H738" s="4">
        <v>1000189783</v>
      </c>
      <c r="I738" s="4" t="s">
        <v>86</v>
      </c>
      <c r="J738" s="2">
        <v>1000189270</v>
      </c>
      <c r="K738" s="2" t="s">
        <v>34</v>
      </c>
      <c r="L738" s="4" t="s">
        <v>20</v>
      </c>
      <c r="M738" s="4" t="str">
        <f t="shared" si="173"/>
        <v>1000184670100018619710001897831000189270REEMBALADOS</v>
      </c>
      <c r="N738" s="28">
        <f>N726*_xlfn.XLOOKUP($L738,'Balizador da Meta'!$B$4:$B$21,'Balizador da Meta'!$C$4:$C$21)</f>
        <v>72</v>
      </c>
      <c r="O738" s="28">
        <f>O726*_xlfn.XLOOKUP($L738,'Balizador da Meta'!$B$4:$B$21,'Balizador da Meta'!$C$4:$C$21)</f>
        <v>72</v>
      </c>
      <c r="P738" s="28">
        <f>P726*_xlfn.XLOOKUP($L738,'Balizador da Meta'!$B$4:$B$21,'Balizador da Meta'!$C$4:$C$21)</f>
        <v>72</v>
      </c>
      <c r="Q738" s="28">
        <f>Q726*_xlfn.XLOOKUP($L738,'Balizador da Meta'!$B$4:$B$21,'Balizador da Meta'!$C$4:$C$21)</f>
        <v>72</v>
      </c>
      <c r="R738" s="28">
        <f>R726*_xlfn.XLOOKUP($L738,'Balizador da Meta'!$B$4:$B$21,'Balizador da Meta'!$C$4:$C$21)</f>
        <v>72</v>
      </c>
      <c r="S738" s="28">
        <f>S726*_xlfn.XLOOKUP($L738,'Balizador da Meta'!$B$4:$B$21,'Balizador da Meta'!$C$4:$C$21)</f>
        <v>72</v>
      </c>
      <c r="T738" s="28">
        <f>T726*_xlfn.XLOOKUP($L738,'Balizador da Meta'!$B$4:$B$21,'Balizador da Meta'!$C$4:$C$21)</f>
        <v>72</v>
      </c>
      <c r="U738" s="28">
        <f>U726*_xlfn.XLOOKUP($L738,'Balizador da Meta'!$B$4:$B$21,'Balizador da Meta'!$C$4:$C$21)</f>
        <v>72</v>
      </c>
      <c r="V738" s="28">
        <f>V726*_xlfn.XLOOKUP($L738,'Balizador da Meta'!$B$4:$B$21,'Balizador da Meta'!$C$4:$C$21)</f>
        <v>72</v>
      </c>
      <c r="W738" s="28">
        <f>W726*_xlfn.XLOOKUP($L738,'Balizador da Meta'!$B$4:$B$21,'Balizador da Meta'!$C$4:$C$21)</f>
        <v>72</v>
      </c>
      <c r="X738" s="28">
        <f>X726*_xlfn.XLOOKUP($L738,'Balizador da Meta'!$B$4:$B$21,'Balizador da Meta'!$C$4:$C$21)</f>
        <v>72</v>
      </c>
      <c r="Y738" s="28">
        <f>Y726*_xlfn.XLOOKUP($L738,'Balizador da Meta'!$B$4:$B$21,'Balizador da Meta'!$C$4:$C$21)</f>
        <v>72</v>
      </c>
      <c r="Z738" s="30">
        <f t="shared" si="176"/>
        <v>864</v>
      </c>
      <c r="AA738" s="29"/>
      <c r="AB738" s="31">
        <f>SUMIFS('Historico - FAT'!AK:AK,'Historico - FAT'!$K:$K,Faturamento!$L738,'Historico - FAT'!$I:$I,Faturamento!$J738,'Historico - FAT'!$G:$G,Faturamento!$H738)</f>
        <v>0</v>
      </c>
      <c r="AC738" s="31">
        <f>SUMIFS('Historico - FAT'!AL:AL,'Historico - FAT'!$K:$K,Faturamento!$L738,'Historico - FAT'!$I:$I,Faturamento!$J738,'Historico - FAT'!$G:$G,Faturamento!$H738)</f>
        <v>52.014166666666675</v>
      </c>
      <c r="AD738" s="31">
        <f>SUMIFS('Historico - FAT'!AM:AM,'Historico - FAT'!$K:$K,Faturamento!$L738,'Historico - FAT'!$I:$I,Faturamento!$J738,'Historico - FAT'!$G:$G,Faturamento!$H738)</f>
        <v>49.146666666666668</v>
      </c>
      <c r="AE738" s="27">
        <f>SUMIFS('Historico - FAT'!AN:AN,'Historico - FAT'!$K:$K,Faturamento!$L738,'Historico - FAT'!$I:$I,Faturamento!$J738,'Historico - FAT'!$G:$G,Faturamento!$H738)</f>
        <v>62.417000000000009</v>
      </c>
      <c r="AG738" s="24">
        <f t="shared" si="167"/>
        <v>1</v>
      </c>
      <c r="AH738" s="24">
        <f t="shared" si="168"/>
        <v>0.27758101851851841</v>
      </c>
      <c r="AI738" s="24">
        <f t="shared" si="169"/>
        <v>0.31740740740740736</v>
      </c>
    </row>
    <row r="739" spans="1:35" hidden="1" x14ac:dyDescent="0.3">
      <c r="A739" s="2" t="str">
        <f t="shared" si="166"/>
        <v>NÃO</v>
      </c>
      <c r="B739" s="2">
        <v>1000184670</v>
      </c>
      <c r="C739" s="2" t="s">
        <v>147</v>
      </c>
      <c r="D739" s="4">
        <v>1000186197</v>
      </c>
      <c r="E739" s="4" t="s">
        <v>166</v>
      </c>
      <c r="F739" s="2">
        <v>1000184756</v>
      </c>
      <c r="G739" s="2" t="s">
        <v>53</v>
      </c>
      <c r="H739" s="4">
        <v>1000189783</v>
      </c>
      <c r="I739" s="4" t="s">
        <v>86</v>
      </c>
      <c r="J739" s="2">
        <v>1000189270</v>
      </c>
      <c r="K739" s="2" t="s">
        <v>34</v>
      </c>
      <c r="L739" s="4" t="s">
        <v>22</v>
      </c>
      <c r="M739" s="4" t="str">
        <f t="shared" si="173"/>
        <v>1000184670100018619710001897831000189270S GLUTEN</v>
      </c>
      <c r="N739" s="28">
        <f>N726*_xlfn.XLOOKUP($L739,'Balizador da Meta'!$B$4:$B$21,'Balizador da Meta'!$C$4:$C$21)</f>
        <v>72</v>
      </c>
      <c r="O739" s="28">
        <f>O726*_xlfn.XLOOKUP($L739,'Balizador da Meta'!$B$4:$B$21,'Balizador da Meta'!$C$4:$C$21)</f>
        <v>72</v>
      </c>
      <c r="P739" s="28">
        <f>P726*_xlfn.XLOOKUP($L739,'Balizador da Meta'!$B$4:$B$21,'Balizador da Meta'!$C$4:$C$21)</f>
        <v>72</v>
      </c>
      <c r="Q739" s="28">
        <f>Q726*_xlfn.XLOOKUP($L739,'Balizador da Meta'!$B$4:$B$21,'Balizador da Meta'!$C$4:$C$21)</f>
        <v>72</v>
      </c>
      <c r="R739" s="28">
        <f>R726*_xlfn.XLOOKUP($L739,'Balizador da Meta'!$B$4:$B$21,'Balizador da Meta'!$C$4:$C$21)</f>
        <v>72</v>
      </c>
      <c r="S739" s="28">
        <f>S726*_xlfn.XLOOKUP($L739,'Balizador da Meta'!$B$4:$B$21,'Balizador da Meta'!$C$4:$C$21)</f>
        <v>72</v>
      </c>
      <c r="T739" s="28">
        <f>T726*_xlfn.XLOOKUP($L739,'Balizador da Meta'!$B$4:$B$21,'Balizador da Meta'!$C$4:$C$21)</f>
        <v>72</v>
      </c>
      <c r="U739" s="28">
        <f>U726*_xlfn.XLOOKUP($L739,'Balizador da Meta'!$B$4:$B$21,'Balizador da Meta'!$C$4:$C$21)</f>
        <v>72</v>
      </c>
      <c r="V739" s="28">
        <f>V726*_xlfn.XLOOKUP($L739,'Balizador da Meta'!$B$4:$B$21,'Balizador da Meta'!$C$4:$C$21)</f>
        <v>72</v>
      </c>
      <c r="W739" s="28">
        <f>W726*_xlfn.XLOOKUP($L739,'Balizador da Meta'!$B$4:$B$21,'Balizador da Meta'!$C$4:$C$21)</f>
        <v>72</v>
      </c>
      <c r="X739" s="28">
        <f>X726*_xlfn.XLOOKUP($L739,'Balizador da Meta'!$B$4:$B$21,'Balizador da Meta'!$C$4:$C$21)</f>
        <v>72</v>
      </c>
      <c r="Y739" s="28">
        <f>Y726*_xlfn.XLOOKUP($L739,'Balizador da Meta'!$B$4:$B$21,'Balizador da Meta'!$C$4:$C$21)</f>
        <v>72</v>
      </c>
      <c r="Z739" s="30">
        <f t="shared" si="176"/>
        <v>864</v>
      </c>
      <c r="AA739" s="29"/>
      <c r="AB739" s="31">
        <f>SUMIFS('Historico - FAT'!AK:AK,'Historico - FAT'!$K:$K,Faturamento!$L739,'Historico - FAT'!$I:$I,Faturamento!$J739,'Historico - FAT'!$G:$G,Faturamento!$H739)</f>
        <v>0</v>
      </c>
      <c r="AC739" s="31">
        <f>SUMIFS('Historico - FAT'!AL:AL,'Historico - FAT'!$K:$K,Faturamento!$L739,'Historico - FAT'!$I:$I,Faturamento!$J739,'Historico - FAT'!$G:$G,Faturamento!$H739)</f>
        <v>60.860000000000007</v>
      </c>
      <c r="AD739" s="31">
        <f>SUMIFS('Historico - FAT'!AM:AM,'Historico - FAT'!$K:$K,Faturamento!$L739,'Historico - FAT'!$I:$I,Faturamento!$J739,'Historico - FAT'!$G:$G,Faturamento!$H739)</f>
        <v>10.666666666666666</v>
      </c>
      <c r="AE739" s="27">
        <f>SUMIFS('Historico - FAT'!AN:AN,'Historico - FAT'!$K:$K,Faturamento!$L739,'Historico - FAT'!$I:$I,Faturamento!$J739,'Historico - FAT'!$G:$G,Faturamento!$H739)</f>
        <v>73.032000000000011</v>
      </c>
      <c r="AG739" s="24">
        <f t="shared" si="167"/>
        <v>1</v>
      </c>
      <c r="AH739" s="24">
        <f t="shared" si="168"/>
        <v>0.15472222222222212</v>
      </c>
      <c r="AI739" s="24">
        <f t="shared" si="169"/>
        <v>0.85185185185185186</v>
      </c>
    </row>
    <row r="740" spans="1:35" hidden="1" x14ac:dyDescent="0.3">
      <c r="A740" s="2" t="str">
        <f t="shared" si="166"/>
        <v>NÃO</v>
      </c>
      <c r="B740" s="2">
        <v>1000184670</v>
      </c>
      <c r="C740" s="2" t="s">
        <v>147</v>
      </c>
      <c r="D740" s="4">
        <v>1000186197</v>
      </c>
      <c r="E740" s="4" t="s">
        <v>166</v>
      </c>
      <c r="F740" s="2">
        <v>1000184756</v>
      </c>
      <c r="G740" s="2" t="s">
        <v>53</v>
      </c>
      <c r="H740" s="4">
        <v>1000189783</v>
      </c>
      <c r="I740" s="4" t="s">
        <v>86</v>
      </c>
      <c r="J740" s="2">
        <v>1000189270</v>
      </c>
      <c r="K740" s="2" t="s">
        <v>34</v>
      </c>
      <c r="L740" s="4" t="s">
        <v>23</v>
      </c>
      <c r="M740" s="4" t="str">
        <f t="shared" si="173"/>
        <v>1000184670100018619710001897831000189270SABORES DO CAMPO</v>
      </c>
      <c r="N740" s="28">
        <f>N726*_xlfn.XLOOKUP($L740,'Balizador da Meta'!$B$4:$B$21,'Balizador da Meta'!$C$4:$C$21)</f>
        <v>0</v>
      </c>
      <c r="O740" s="28">
        <f>O726*_xlfn.XLOOKUP($L740,'Balizador da Meta'!$B$4:$B$21,'Balizador da Meta'!$C$4:$C$21)</f>
        <v>0</v>
      </c>
      <c r="P740" s="28">
        <f>P726*_xlfn.XLOOKUP($L740,'Balizador da Meta'!$B$4:$B$21,'Balizador da Meta'!$C$4:$C$21)</f>
        <v>0</v>
      </c>
      <c r="Q740" s="28">
        <f>Q726*_xlfn.XLOOKUP($L740,'Balizador da Meta'!$B$4:$B$21,'Balizador da Meta'!$C$4:$C$21)</f>
        <v>0</v>
      </c>
      <c r="R740" s="28">
        <f>R726*_xlfn.XLOOKUP($L740,'Balizador da Meta'!$B$4:$B$21,'Balizador da Meta'!$C$4:$C$21)</f>
        <v>0</v>
      </c>
      <c r="S740" s="28">
        <f>S726*_xlfn.XLOOKUP($L740,'Balizador da Meta'!$B$4:$B$21,'Balizador da Meta'!$C$4:$C$21)</f>
        <v>0</v>
      </c>
      <c r="T740" s="28">
        <f>T726*_xlfn.XLOOKUP($L740,'Balizador da Meta'!$B$4:$B$21,'Balizador da Meta'!$C$4:$C$21)</f>
        <v>0</v>
      </c>
      <c r="U740" s="28">
        <f>U726*_xlfn.XLOOKUP($L740,'Balizador da Meta'!$B$4:$B$21,'Balizador da Meta'!$C$4:$C$21)</f>
        <v>0</v>
      </c>
      <c r="V740" s="28">
        <f>V726*_xlfn.XLOOKUP($L740,'Balizador da Meta'!$B$4:$B$21,'Balizador da Meta'!$C$4:$C$21)</f>
        <v>0</v>
      </c>
      <c r="W740" s="28">
        <f>W726*_xlfn.XLOOKUP($L740,'Balizador da Meta'!$B$4:$B$21,'Balizador da Meta'!$C$4:$C$21)</f>
        <v>0</v>
      </c>
      <c r="X740" s="28">
        <f>X726*_xlfn.XLOOKUP($L740,'Balizador da Meta'!$B$4:$B$21,'Balizador da Meta'!$C$4:$C$21)</f>
        <v>0</v>
      </c>
      <c r="Y740" s="28">
        <f>Y726*_xlfn.XLOOKUP($L740,'Balizador da Meta'!$B$4:$B$21,'Balizador da Meta'!$C$4:$C$21)</f>
        <v>0</v>
      </c>
      <c r="Z740" s="30">
        <f t="shared" si="176"/>
        <v>0</v>
      </c>
      <c r="AA740" s="29"/>
      <c r="AB740" s="31">
        <f>SUMIFS('Historico - FAT'!AK:AK,'Historico - FAT'!$K:$K,Faturamento!$L740,'Historico - FAT'!$I:$I,Faturamento!$J740,'Historico - FAT'!$G:$G,Faturamento!$H740)</f>
        <v>0</v>
      </c>
      <c r="AC740" s="31">
        <f>SUMIFS('Historico - FAT'!AL:AL,'Historico - FAT'!$K:$K,Faturamento!$L740,'Historico - FAT'!$I:$I,Faturamento!$J740,'Historico - FAT'!$G:$G,Faturamento!$H740)</f>
        <v>0</v>
      </c>
      <c r="AD740" s="31">
        <f>SUMIFS('Historico - FAT'!AM:AM,'Historico - FAT'!$K:$K,Faturamento!$L740,'Historico - FAT'!$I:$I,Faturamento!$J740,'Historico - FAT'!$G:$G,Faturamento!$H740)</f>
        <v>0</v>
      </c>
      <c r="AE740" s="27">
        <f>SUMIFS('Historico - FAT'!AN:AN,'Historico - FAT'!$K:$K,Faturamento!$L740,'Historico - FAT'!$I:$I,Faturamento!$J740,'Historico - FAT'!$G:$G,Faturamento!$H740)</f>
        <v>0</v>
      </c>
      <c r="AG740" s="24" t="str">
        <f t="shared" si="167"/>
        <v/>
      </c>
      <c r="AH740" s="24" t="str">
        <f t="shared" si="168"/>
        <v/>
      </c>
      <c r="AI740" s="24" t="str">
        <f t="shared" si="169"/>
        <v/>
      </c>
    </row>
    <row r="741" spans="1:35" hidden="1" x14ac:dyDescent="0.3">
      <c r="A741" s="2" t="str">
        <f t="shared" si="166"/>
        <v>NÃO</v>
      </c>
      <c r="B741" s="2">
        <v>1000184670</v>
      </c>
      <c r="C741" s="2" t="s">
        <v>147</v>
      </c>
      <c r="D741" s="4">
        <v>1000186197</v>
      </c>
      <c r="E741" s="4" t="s">
        <v>166</v>
      </c>
      <c r="F741" s="2">
        <v>1000184756</v>
      </c>
      <c r="G741" s="2" t="s">
        <v>53</v>
      </c>
      <c r="H741" s="4">
        <v>1000189783</v>
      </c>
      <c r="I741" s="4" t="s">
        <v>86</v>
      </c>
      <c r="J741" s="2">
        <v>1000189270</v>
      </c>
      <c r="K741" s="2" t="s">
        <v>34</v>
      </c>
      <c r="L741" s="4" t="s">
        <v>28</v>
      </c>
      <c r="M741" s="4" t="str">
        <f t="shared" si="173"/>
        <v>1000184670100018619710001897831000189270SAL</v>
      </c>
      <c r="N741" s="28">
        <f>N726*_xlfn.XLOOKUP($L741,'Balizador da Meta'!$B$4:$B$21,'Balizador da Meta'!$C$4:$C$21)</f>
        <v>36</v>
      </c>
      <c r="O741" s="28">
        <f>O726*_xlfn.XLOOKUP($L741,'Balizador da Meta'!$B$4:$B$21,'Balizador da Meta'!$C$4:$C$21)</f>
        <v>36</v>
      </c>
      <c r="P741" s="28">
        <f>P726*_xlfn.XLOOKUP($L741,'Balizador da Meta'!$B$4:$B$21,'Balizador da Meta'!$C$4:$C$21)</f>
        <v>36</v>
      </c>
      <c r="Q741" s="28">
        <f>Q726*_xlfn.XLOOKUP($L741,'Balizador da Meta'!$B$4:$B$21,'Balizador da Meta'!$C$4:$C$21)</f>
        <v>36</v>
      </c>
      <c r="R741" s="28">
        <f>R726*_xlfn.XLOOKUP($L741,'Balizador da Meta'!$B$4:$B$21,'Balizador da Meta'!$C$4:$C$21)</f>
        <v>36</v>
      </c>
      <c r="S741" s="28">
        <f>S726*_xlfn.XLOOKUP($L741,'Balizador da Meta'!$B$4:$B$21,'Balizador da Meta'!$C$4:$C$21)</f>
        <v>36</v>
      </c>
      <c r="T741" s="28">
        <f>T726*_xlfn.XLOOKUP($L741,'Balizador da Meta'!$B$4:$B$21,'Balizador da Meta'!$C$4:$C$21)</f>
        <v>36</v>
      </c>
      <c r="U741" s="28">
        <f>U726*_xlfn.XLOOKUP($L741,'Balizador da Meta'!$B$4:$B$21,'Balizador da Meta'!$C$4:$C$21)</f>
        <v>36</v>
      </c>
      <c r="V741" s="28">
        <f>V726*_xlfn.XLOOKUP($L741,'Balizador da Meta'!$B$4:$B$21,'Balizador da Meta'!$C$4:$C$21)</f>
        <v>36</v>
      </c>
      <c r="W741" s="28">
        <f>W726*_xlfn.XLOOKUP($L741,'Balizador da Meta'!$B$4:$B$21,'Balizador da Meta'!$C$4:$C$21)</f>
        <v>36</v>
      </c>
      <c r="X741" s="28">
        <f>X726*_xlfn.XLOOKUP($L741,'Balizador da Meta'!$B$4:$B$21,'Balizador da Meta'!$C$4:$C$21)</f>
        <v>36</v>
      </c>
      <c r="Y741" s="28">
        <f>Y726*_xlfn.XLOOKUP($L741,'Balizador da Meta'!$B$4:$B$21,'Balizador da Meta'!$C$4:$C$21)</f>
        <v>36</v>
      </c>
      <c r="Z741" s="30">
        <f t="shared" si="176"/>
        <v>432</v>
      </c>
      <c r="AA741" s="29"/>
      <c r="AB741" s="31">
        <f>SUMIFS('Historico - FAT'!AK:AK,'Historico - FAT'!$K:$K,Faturamento!$L741,'Historico - FAT'!$I:$I,Faturamento!$J741,'Historico - FAT'!$G:$G,Faturamento!$H741)</f>
        <v>0</v>
      </c>
      <c r="AC741" s="31">
        <f>SUMIFS('Historico - FAT'!AL:AL,'Historico - FAT'!$K:$K,Faturamento!$L741,'Historico - FAT'!$I:$I,Faturamento!$J741,'Historico - FAT'!$G:$G,Faturamento!$H741)</f>
        <v>0</v>
      </c>
      <c r="AD741" s="31">
        <f>SUMIFS('Historico - FAT'!AM:AM,'Historico - FAT'!$K:$K,Faturamento!$L741,'Historico - FAT'!$I:$I,Faturamento!$J741,'Historico - FAT'!$G:$G,Faturamento!$H741)</f>
        <v>0</v>
      </c>
      <c r="AE741" s="27">
        <f>SUMIFS('Historico - FAT'!AN:AN,'Historico - FAT'!$K:$K,Faturamento!$L741,'Historico - FAT'!$I:$I,Faturamento!$J741,'Historico - FAT'!$G:$G,Faturamento!$H741)</f>
        <v>0</v>
      </c>
      <c r="AG741" s="24">
        <f t="shared" si="167"/>
        <v>1</v>
      </c>
      <c r="AH741" s="24">
        <f t="shared" si="168"/>
        <v>1</v>
      </c>
      <c r="AI741" s="24">
        <f t="shared" si="169"/>
        <v>1</v>
      </c>
    </row>
    <row r="742" spans="1:35" hidden="1" x14ac:dyDescent="0.3">
      <c r="A742" s="2" t="str">
        <f t="shared" si="166"/>
        <v>NÃO</v>
      </c>
      <c r="B742" s="2">
        <v>1000184670</v>
      </c>
      <c r="C742" s="2" t="s">
        <v>147</v>
      </c>
      <c r="D742" s="4">
        <v>1000186197</v>
      </c>
      <c r="E742" s="4" t="s">
        <v>166</v>
      </c>
      <c r="F742" s="2">
        <v>1000184756</v>
      </c>
      <c r="G742" s="2" t="s">
        <v>53</v>
      </c>
      <c r="H742" s="4">
        <v>1000189783</v>
      </c>
      <c r="I742" s="4" t="s">
        <v>86</v>
      </c>
      <c r="J742" s="2">
        <v>1000189270</v>
      </c>
      <c r="K742" s="2" t="s">
        <v>34</v>
      </c>
      <c r="L742" s="4" t="s">
        <v>26</v>
      </c>
      <c r="M742" s="4" t="str">
        <f t="shared" si="173"/>
        <v>1000184670100018619710001897831000189270SOULPRO</v>
      </c>
      <c r="N742" s="28">
        <f>N726*_xlfn.XLOOKUP($L742,'Balizador da Meta'!$B$4:$B$21,'Balizador da Meta'!$C$4:$C$21)</f>
        <v>108</v>
      </c>
      <c r="O742" s="28">
        <f>O726*_xlfn.XLOOKUP($L742,'Balizador da Meta'!$B$4:$B$21,'Balizador da Meta'!$C$4:$C$21)</f>
        <v>108</v>
      </c>
      <c r="P742" s="28">
        <f>P726*_xlfn.XLOOKUP($L742,'Balizador da Meta'!$B$4:$B$21,'Balizador da Meta'!$C$4:$C$21)</f>
        <v>108</v>
      </c>
      <c r="Q742" s="28">
        <f>Q726*_xlfn.XLOOKUP($L742,'Balizador da Meta'!$B$4:$B$21,'Balizador da Meta'!$C$4:$C$21)</f>
        <v>108</v>
      </c>
      <c r="R742" s="28">
        <f>R726*_xlfn.XLOOKUP($L742,'Balizador da Meta'!$B$4:$B$21,'Balizador da Meta'!$C$4:$C$21)</f>
        <v>108</v>
      </c>
      <c r="S742" s="28">
        <f>S726*_xlfn.XLOOKUP($L742,'Balizador da Meta'!$B$4:$B$21,'Balizador da Meta'!$C$4:$C$21)</f>
        <v>108</v>
      </c>
      <c r="T742" s="28">
        <f>T726*_xlfn.XLOOKUP($L742,'Balizador da Meta'!$B$4:$B$21,'Balizador da Meta'!$C$4:$C$21)</f>
        <v>108</v>
      </c>
      <c r="U742" s="28">
        <f>U726*_xlfn.XLOOKUP($L742,'Balizador da Meta'!$B$4:$B$21,'Balizador da Meta'!$C$4:$C$21)</f>
        <v>108</v>
      </c>
      <c r="V742" s="28">
        <f>V726*_xlfn.XLOOKUP($L742,'Balizador da Meta'!$B$4:$B$21,'Balizador da Meta'!$C$4:$C$21)</f>
        <v>108</v>
      </c>
      <c r="W742" s="28">
        <f>W726*_xlfn.XLOOKUP($L742,'Balizador da Meta'!$B$4:$B$21,'Balizador da Meta'!$C$4:$C$21)</f>
        <v>108</v>
      </c>
      <c r="X742" s="28">
        <f>X726*_xlfn.XLOOKUP($L742,'Balizador da Meta'!$B$4:$B$21,'Balizador da Meta'!$C$4:$C$21)</f>
        <v>108</v>
      </c>
      <c r="Y742" s="28">
        <f>Y726*_xlfn.XLOOKUP($L742,'Balizador da Meta'!$B$4:$B$21,'Balizador da Meta'!$C$4:$C$21)</f>
        <v>108</v>
      </c>
      <c r="Z742" s="30">
        <f t="shared" si="176"/>
        <v>1296</v>
      </c>
      <c r="AA742" s="29"/>
      <c r="AB742" s="31">
        <f>SUMIFS('Historico - FAT'!AK:AK,'Historico - FAT'!$K:$K,Faturamento!$L742,'Historico - FAT'!$I:$I,Faturamento!$J742,'Historico - FAT'!$G:$G,Faturamento!$H742)</f>
        <v>0</v>
      </c>
      <c r="AC742" s="31">
        <f>SUMIFS('Historico - FAT'!AL:AL,'Historico - FAT'!$K:$K,Faturamento!$L742,'Historico - FAT'!$I:$I,Faturamento!$J742,'Historico - FAT'!$G:$G,Faturamento!$H742)</f>
        <v>0</v>
      </c>
      <c r="AD742" s="31">
        <f>SUMIFS('Historico - FAT'!AM:AM,'Historico - FAT'!$K:$K,Faturamento!$L742,'Historico - FAT'!$I:$I,Faturamento!$J742,'Historico - FAT'!$G:$G,Faturamento!$H742)</f>
        <v>0</v>
      </c>
      <c r="AE742" s="27">
        <f>SUMIFS('Historico - FAT'!AN:AN,'Historico - FAT'!$K:$K,Faturamento!$L742,'Historico - FAT'!$I:$I,Faturamento!$J742,'Historico - FAT'!$G:$G,Faturamento!$H742)</f>
        <v>0</v>
      </c>
      <c r="AG742" s="24">
        <f t="shared" si="167"/>
        <v>1</v>
      </c>
      <c r="AH742" s="24">
        <f t="shared" si="168"/>
        <v>1</v>
      </c>
      <c r="AI742" s="24">
        <f t="shared" si="169"/>
        <v>1</v>
      </c>
    </row>
    <row r="743" spans="1:35" hidden="1" x14ac:dyDescent="0.3">
      <c r="A743" s="2" t="str">
        <f t="shared" si="166"/>
        <v>NÃO</v>
      </c>
      <c r="B743" s="2">
        <v>1000184670</v>
      </c>
      <c r="C743" s="2" t="s">
        <v>147</v>
      </c>
      <c r="D743" s="4">
        <v>1000186197</v>
      </c>
      <c r="E743" s="4" t="s">
        <v>166</v>
      </c>
      <c r="F743" s="2">
        <v>1000184756</v>
      </c>
      <c r="G743" s="2" t="s">
        <v>53</v>
      </c>
      <c r="H743" s="4">
        <v>1000189783</v>
      </c>
      <c r="I743" s="4" t="s">
        <v>86</v>
      </c>
      <c r="J743" s="2">
        <v>1000189270</v>
      </c>
      <c r="K743" s="2" t="s">
        <v>34</v>
      </c>
      <c r="L743" s="4" t="s">
        <v>27</v>
      </c>
      <c r="M743" s="4" t="str">
        <f t="shared" si="173"/>
        <v>1000184670100018619710001897831000189270TAMARA</v>
      </c>
      <c r="N743" s="28">
        <f>N726*_xlfn.XLOOKUP($L743,'Balizador da Meta'!$B$4:$B$21,'Balizador da Meta'!$C$4:$C$21)</f>
        <v>144</v>
      </c>
      <c r="O743" s="28">
        <f>O726*_xlfn.XLOOKUP($L743,'Balizador da Meta'!$B$4:$B$21,'Balizador da Meta'!$C$4:$C$21)</f>
        <v>144</v>
      </c>
      <c r="P743" s="28">
        <f>P726*_xlfn.XLOOKUP($L743,'Balizador da Meta'!$B$4:$B$21,'Balizador da Meta'!$C$4:$C$21)</f>
        <v>144</v>
      </c>
      <c r="Q743" s="28">
        <f>Q726*_xlfn.XLOOKUP($L743,'Balizador da Meta'!$B$4:$B$21,'Balizador da Meta'!$C$4:$C$21)</f>
        <v>144</v>
      </c>
      <c r="R743" s="28">
        <f>R726*_xlfn.XLOOKUP($L743,'Balizador da Meta'!$B$4:$B$21,'Balizador da Meta'!$C$4:$C$21)</f>
        <v>144</v>
      </c>
      <c r="S743" s="28">
        <f>S726*_xlfn.XLOOKUP($L743,'Balizador da Meta'!$B$4:$B$21,'Balizador da Meta'!$C$4:$C$21)</f>
        <v>144</v>
      </c>
      <c r="T743" s="28">
        <f>T726*_xlfn.XLOOKUP($L743,'Balizador da Meta'!$B$4:$B$21,'Balizador da Meta'!$C$4:$C$21)</f>
        <v>144</v>
      </c>
      <c r="U743" s="28">
        <f>U726*_xlfn.XLOOKUP($L743,'Balizador da Meta'!$B$4:$B$21,'Balizador da Meta'!$C$4:$C$21)</f>
        <v>144</v>
      </c>
      <c r="V743" s="28">
        <f>V726*_xlfn.XLOOKUP($L743,'Balizador da Meta'!$B$4:$B$21,'Balizador da Meta'!$C$4:$C$21)</f>
        <v>144</v>
      </c>
      <c r="W743" s="28">
        <f>W726*_xlfn.XLOOKUP($L743,'Balizador da Meta'!$B$4:$B$21,'Balizador da Meta'!$C$4:$C$21)</f>
        <v>144</v>
      </c>
      <c r="X743" s="28">
        <f>X726*_xlfn.XLOOKUP($L743,'Balizador da Meta'!$B$4:$B$21,'Balizador da Meta'!$C$4:$C$21)</f>
        <v>144</v>
      </c>
      <c r="Y743" s="28">
        <f>Y726*_xlfn.XLOOKUP($L743,'Balizador da Meta'!$B$4:$B$21,'Balizador da Meta'!$C$4:$C$21)</f>
        <v>144</v>
      </c>
      <c r="Z743" s="30">
        <f t="shared" si="176"/>
        <v>1728</v>
      </c>
      <c r="AA743" s="29"/>
      <c r="AB743" s="31">
        <f>SUMIFS('Historico - FAT'!AK:AK,'Historico - FAT'!$K:$K,Faturamento!$L743,'Historico - FAT'!$I:$I,Faturamento!$J743,'Historico - FAT'!$G:$G,Faturamento!$H743)</f>
        <v>0</v>
      </c>
      <c r="AC743" s="31">
        <f>SUMIFS('Historico - FAT'!AL:AL,'Historico - FAT'!$K:$K,Faturamento!$L743,'Historico - FAT'!$I:$I,Faturamento!$J743,'Historico - FAT'!$G:$G,Faturamento!$H743)</f>
        <v>344.67666666666668</v>
      </c>
      <c r="AD743" s="31">
        <f>SUMIFS('Historico - FAT'!AM:AM,'Historico - FAT'!$K:$K,Faturamento!$L743,'Historico - FAT'!$I:$I,Faturamento!$J743,'Historico - FAT'!$G:$G,Faturamento!$H743)</f>
        <v>195.76499999999999</v>
      </c>
      <c r="AE743" s="27">
        <f>SUMIFS('Historico - FAT'!AN:AN,'Historico - FAT'!$K:$K,Faturamento!$L743,'Historico - FAT'!$I:$I,Faturamento!$J743,'Historico - FAT'!$G:$G,Faturamento!$H743)</f>
        <v>413.61199999999997</v>
      </c>
      <c r="AG743" s="24">
        <f t="shared" si="167"/>
        <v>1</v>
      </c>
      <c r="AH743" s="24">
        <f t="shared" si="168"/>
        <v>-1.3935879629629631</v>
      </c>
      <c r="AI743" s="24">
        <f t="shared" si="169"/>
        <v>-0.35947916666666657</v>
      </c>
    </row>
    <row r="744" spans="1:35" hidden="1" x14ac:dyDescent="0.3">
      <c r="A744" s="2" t="str">
        <f t="shared" si="166"/>
        <v>NÃO</v>
      </c>
      <c r="B744" s="2">
        <v>1000184670</v>
      </c>
      <c r="C744" s="2" t="s">
        <v>147</v>
      </c>
      <c r="D744" s="4">
        <v>1000186197</v>
      </c>
      <c r="E744" s="4" t="s">
        <v>166</v>
      </c>
      <c r="F744" s="2">
        <v>1000184756</v>
      </c>
      <c r="G744" s="2" t="s">
        <v>53</v>
      </c>
      <c r="H744" s="4">
        <v>1000189783</v>
      </c>
      <c r="I744" s="4" t="s">
        <v>86</v>
      </c>
      <c r="J744" s="2">
        <v>1000189270</v>
      </c>
      <c r="K744" s="2" t="s">
        <v>34</v>
      </c>
      <c r="L744" s="4" t="s">
        <v>25</v>
      </c>
      <c r="M744" s="4" t="str">
        <f t="shared" si="173"/>
        <v>1000184670100018619710001897831000189270VICCIO</v>
      </c>
      <c r="N744" s="28">
        <f>N726*_xlfn.XLOOKUP($L744,'Balizador da Meta'!$B$4:$B$21,'Balizador da Meta'!$C$4:$C$21)</f>
        <v>54</v>
      </c>
      <c r="O744" s="28">
        <f>O726*_xlfn.XLOOKUP($L744,'Balizador da Meta'!$B$4:$B$21,'Balizador da Meta'!$C$4:$C$21)</f>
        <v>54</v>
      </c>
      <c r="P744" s="28">
        <f>P726*_xlfn.XLOOKUP($L744,'Balizador da Meta'!$B$4:$B$21,'Balizador da Meta'!$C$4:$C$21)</f>
        <v>54</v>
      </c>
      <c r="Q744" s="28">
        <f>Q726*_xlfn.XLOOKUP($L744,'Balizador da Meta'!$B$4:$B$21,'Balizador da Meta'!$C$4:$C$21)</f>
        <v>54</v>
      </c>
      <c r="R744" s="28">
        <f>R726*_xlfn.XLOOKUP($L744,'Balizador da Meta'!$B$4:$B$21,'Balizador da Meta'!$C$4:$C$21)</f>
        <v>54</v>
      </c>
      <c r="S744" s="28">
        <f>S726*_xlfn.XLOOKUP($L744,'Balizador da Meta'!$B$4:$B$21,'Balizador da Meta'!$C$4:$C$21)</f>
        <v>54</v>
      </c>
      <c r="T744" s="28">
        <f>T726*_xlfn.XLOOKUP($L744,'Balizador da Meta'!$B$4:$B$21,'Balizador da Meta'!$C$4:$C$21)</f>
        <v>54</v>
      </c>
      <c r="U744" s="28">
        <f>U726*_xlfn.XLOOKUP($L744,'Balizador da Meta'!$B$4:$B$21,'Balizador da Meta'!$C$4:$C$21)</f>
        <v>54</v>
      </c>
      <c r="V744" s="28">
        <f>V726*_xlfn.XLOOKUP($L744,'Balizador da Meta'!$B$4:$B$21,'Balizador da Meta'!$C$4:$C$21)</f>
        <v>54</v>
      </c>
      <c r="W744" s="28">
        <f>W726*_xlfn.XLOOKUP($L744,'Balizador da Meta'!$B$4:$B$21,'Balizador da Meta'!$C$4:$C$21)</f>
        <v>54</v>
      </c>
      <c r="X744" s="28">
        <f>X726*_xlfn.XLOOKUP($L744,'Balizador da Meta'!$B$4:$B$21,'Balizador da Meta'!$C$4:$C$21)</f>
        <v>54</v>
      </c>
      <c r="Y744" s="28">
        <f>Y726*_xlfn.XLOOKUP($L744,'Balizador da Meta'!$B$4:$B$21,'Balizador da Meta'!$C$4:$C$21)</f>
        <v>54</v>
      </c>
      <c r="Z744" s="30">
        <f t="shared" si="176"/>
        <v>648</v>
      </c>
      <c r="AA744" s="29"/>
      <c r="AB744" s="31">
        <f>SUMIFS('Historico - FAT'!AK:AK,'Historico - FAT'!$K:$K,Faturamento!$L744,'Historico - FAT'!$I:$I,Faturamento!$J744,'Historico - FAT'!$G:$G,Faturamento!$H744)</f>
        <v>0</v>
      </c>
      <c r="AC744" s="31">
        <f>SUMIFS('Historico - FAT'!AL:AL,'Historico - FAT'!$K:$K,Faturamento!$L744,'Historico - FAT'!$I:$I,Faturamento!$J744,'Historico - FAT'!$G:$G,Faturamento!$H744)</f>
        <v>24.150000000000002</v>
      </c>
      <c r="AD744" s="31">
        <f>SUMIFS('Historico - FAT'!AM:AM,'Historico - FAT'!$K:$K,Faturamento!$L744,'Historico - FAT'!$I:$I,Faturamento!$J744,'Historico - FAT'!$G:$G,Faturamento!$H744)</f>
        <v>0</v>
      </c>
      <c r="AE744" s="27">
        <f>SUMIFS('Historico - FAT'!AN:AN,'Historico - FAT'!$K:$K,Faturamento!$L744,'Historico - FAT'!$I:$I,Faturamento!$J744,'Historico - FAT'!$G:$G,Faturamento!$H744)</f>
        <v>28.98</v>
      </c>
      <c r="AG744" s="24">
        <f t="shared" si="167"/>
        <v>1</v>
      </c>
      <c r="AH744" s="24">
        <f t="shared" si="168"/>
        <v>0.5527777777777777</v>
      </c>
      <c r="AI744" s="24">
        <f t="shared" si="169"/>
        <v>1</v>
      </c>
    </row>
    <row r="745" spans="1:35" x14ac:dyDescent="0.3">
      <c r="A745" s="2" t="str">
        <f t="shared" si="166"/>
        <v>SIM</v>
      </c>
      <c r="B745" s="2">
        <v>1000184670</v>
      </c>
      <c r="C745" s="2" t="s">
        <v>147</v>
      </c>
      <c r="D745" s="4">
        <v>1000186197</v>
      </c>
      <c r="E745" s="4" t="s">
        <v>166</v>
      </c>
      <c r="F745" s="2">
        <v>1000184756</v>
      </c>
      <c r="G745" s="2" t="s">
        <v>53</v>
      </c>
      <c r="H745" s="4">
        <v>1000189784</v>
      </c>
      <c r="I745" s="4" t="s">
        <v>54</v>
      </c>
      <c r="J745" s="2">
        <v>1000189270</v>
      </c>
      <c r="K745" s="2" t="s">
        <v>34</v>
      </c>
      <c r="L745" s="4" t="s">
        <v>124</v>
      </c>
      <c r="M745" s="4" t="str">
        <f t="shared" si="173"/>
        <v>100018467010001861971000189784100018927001. TOTAL</v>
      </c>
      <c r="N745" s="28">
        <f>SUMIFS(Positivação!L:L,Positivação!$I:$I,Faturamento!$J745,Positivação!$G:$G,Faturamento!$H745)*SUMIFS(Positivação!$Z:$Z,Positivação!$I:$I,Faturamento!$J745,Positivação!$G:$G,Faturamento!$H745)</f>
        <v>3600</v>
      </c>
      <c r="O745" s="28">
        <f>SUMIFS(Positivação!M:M,Positivação!$I:$I,Faturamento!$J745,Positivação!$G:$G,Faturamento!$H745)*SUMIFS(Positivação!$Z:$Z,Positivação!$I:$I,Faturamento!$J745,Positivação!$G:$G,Faturamento!$H745)</f>
        <v>3600</v>
      </c>
      <c r="P745" s="28">
        <f>SUMIFS(Positivação!N:N,Positivação!$I:$I,Faturamento!$J745,Positivação!$G:$G,Faturamento!$H745)*SUMIFS(Positivação!$Z:$Z,Positivação!$I:$I,Faturamento!$J745,Positivação!$G:$G,Faturamento!$H745)</f>
        <v>3600</v>
      </c>
      <c r="Q745" s="28">
        <f>SUMIFS(Positivação!O:O,Positivação!$I:$I,Faturamento!$J745,Positivação!$G:$G,Faturamento!$H745)*SUMIFS(Positivação!$Z:$Z,Positivação!$I:$I,Faturamento!$J745,Positivação!$G:$G,Faturamento!$H745)</f>
        <v>3600</v>
      </c>
      <c r="R745" s="28">
        <f>SUMIFS(Positivação!P:P,Positivação!$I:$I,Faturamento!$J745,Positivação!$G:$G,Faturamento!$H745)*SUMIFS(Positivação!$Z:$Z,Positivação!$I:$I,Faturamento!$J745,Positivação!$G:$G,Faturamento!$H745)</f>
        <v>3600</v>
      </c>
      <c r="S745" s="28">
        <f>SUMIFS(Positivação!Q:Q,Positivação!$I:$I,Faturamento!$J745,Positivação!$G:$G,Faturamento!$H745)*SUMIFS(Positivação!$Z:$Z,Positivação!$I:$I,Faturamento!$J745,Positivação!$G:$G,Faturamento!$H745)</f>
        <v>3600</v>
      </c>
      <c r="T745" s="28">
        <f>SUMIFS(Positivação!R:R,Positivação!$I:$I,Faturamento!$J745,Positivação!$G:$G,Faturamento!$H745)*SUMIFS(Positivação!$Z:$Z,Positivação!$I:$I,Faturamento!$J745,Positivação!$G:$G,Faturamento!$H745)</f>
        <v>3600</v>
      </c>
      <c r="U745" s="28">
        <f>SUMIFS(Positivação!S:S,Positivação!$I:$I,Faturamento!$J745,Positivação!$G:$G,Faturamento!$H745)*SUMIFS(Positivação!$Z:$Z,Positivação!$I:$I,Faturamento!$J745,Positivação!$G:$G,Faturamento!$H745)</f>
        <v>3600</v>
      </c>
      <c r="V745" s="28">
        <f>SUMIFS(Positivação!T:T,Positivação!$I:$I,Faturamento!$J745,Positivação!$G:$G,Faturamento!$H745)*SUMIFS(Positivação!$Z:$Z,Positivação!$I:$I,Faturamento!$J745,Positivação!$G:$G,Faturamento!$H745)</f>
        <v>3600</v>
      </c>
      <c r="W745" s="28">
        <f>SUMIFS(Positivação!U:U,Positivação!$I:$I,Faturamento!$J745,Positivação!$G:$G,Faturamento!$H745)*SUMIFS(Positivação!$Z:$Z,Positivação!$I:$I,Faturamento!$J745,Positivação!$G:$G,Faturamento!$H745)</f>
        <v>3600</v>
      </c>
      <c r="X745" s="28">
        <f>SUMIFS(Positivação!V:V,Positivação!$I:$I,Faturamento!$J745,Positivação!$G:$G,Faturamento!$H745)*SUMIFS(Positivação!$Z:$Z,Positivação!$I:$I,Faturamento!$J745,Positivação!$G:$G,Faturamento!$H745)</f>
        <v>3600</v>
      </c>
      <c r="Y745" s="28">
        <f>SUMIFS(Positivação!W:W,Positivação!$I:$I,Faturamento!$J745,Positivação!$G:$G,Faturamento!$H745)*SUMIFS(Positivação!$Z:$Z,Positivação!$I:$I,Faturamento!$J745,Positivação!$G:$G,Faturamento!$H745)</f>
        <v>3600</v>
      </c>
      <c r="Z745" s="28">
        <f t="shared" ref="Z745" si="177">SUM(Z746:Z763)</f>
        <v>43200</v>
      </c>
      <c r="AA745" s="29"/>
      <c r="AB745" s="28">
        <f t="shared" ref="AB745:AE745" si="178">SUM(AB746:AB763)</f>
        <v>0</v>
      </c>
      <c r="AC745" s="28">
        <f t="shared" si="178"/>
        <v>8151.0700000000006</v>
      </c>
      <c r="AD745" s="28">
        <f t="shared" si="178"/>
        <v>15061.463333333333</v>
      </c>
      <c r="AE745" s="28">
        <f t="shared" si="178"/>
        <v>9781.2839999999997</v>
      </c>
      <c r="AG745" s="24">
        <f t="shared" si="167"/>
        <v>1</v>
      </c>
      <c r="AH745" s="24">
        <f t="shared" si="168"/>
        <v>-1.2641861111111112</v>
      </c>
      <c r="AI745" s="24">
        <f t="shared" si="169"/>
        <v>-3.1837398148148148</v>
      </c>
    </row>
    <row r="746" spans="1:35" hidden="1" x14ac:dyDescent="0.3">
      <c r="A746" s="2" t="str">
        <f t="shared" si="166"/>
        <v>NÃO</v>
      </c>
      <c r="B746" s="2">
        <v>1000184670</v>
      </c>
      <c r="C746" s="2" t="s">
        <v>147</v>
      </c>
      <c r="D746" s="4">
        <v>1000186197</v>
      </c>
      <c r="E746" s="4" t="s">
        <v>166</v>
      </c>
      <c r="F746" s="2">
        <v>1000184756</v>
      </c>
      <c r="G746" s="2" t="s">
        <v>53</v>
      </c>
      <c r="H746" s="4">
        <v>1000189784</v>
      </c>
      <c r="I746" s="4" t="s">
        <v>54</v>
      </c>
      <c r="J746" s="2">
        <v>1000189270</v>
      </c>
      <c r="K746" s="2" t="s">
        <v>34</v>
      </c>
      <c r="L746" s="4" t="s">
        <v>13</v>
      </c>
      <c r="M746" s="4" t="str">
        <f t="shared" si="173"/>
        <v>1000184670100018619710001897841000189270BISCOITO</v>
      </c>
      <c r="N746" s="28">
        <f>N745*_xlfn.XLOOKUP($L746,'Balizador da Meta'!$B$4:$B$21,'Balizador da Meta'!$C$4:$C$21)</f>
        <v>252.00000000000003</v>
      </c>
      <c r="O746" s="28">
        <f>O745*_xlfn.XLOOKUP($L746,'Balizador da Meta'!$B$4:$B$21,'Balizador da Meta'!$C$4:$C$21)</f>
        <v>252.00000000000003</v>
      </c>
      <c r="P746" s="28">
        <f>P745*_xlfn.XLOOKUP($L746,'Balizador da Meta'!$B$4:$B$21,'Balizador da Meta'!$C$4:$C$21)</f>
        <v>252.00000000000003</v>
      </c>
      <c r="Q746" s="28">
        <f>Q745*_xlfn.XLOOKUP($L746,'Balizador da Meta'!$B$4:$B$21,'Balizador da Meta'!$C$4:$C$21)</f>
        <v>252.00000000000003</v>
      </c>
      <c r="R746" s="28">
        <f>R745*_xlfn.XLOOKUP($L746,'Balizador da Meta'!$B$4:$B$21,'Balizador da Meta'!$C$4:$C$21)</f>
        <v>252.00000000000003</v>
      </c>
      <c r="S746" s="28">
        <f>S745*_xlfn.XLOOKUP($L746,'Balizador da Meta'!$B$4:$B$21,'Balizador da Meta'!$C$4:$C$21)</f>
        <v>252.00000000000003</v>
      </c>
      <c r="T746" s="28">
        <f>T745*_xlfn.XLOOKUP($L746,'Balizador da Meta'!$B$4:$B$21,'Balizador da Meta'!$C$4:$C$21)</f>
        <v>252.00000000000003</v>
      </c>
      <c r="U746" s="28">
        <f>U745*_xlfn.XLOOKUP($L746,'Balizador da Meta'!$B$4:$B$21,'Balizador da Meta'!$C$4:$C$21)</f>
        <v>252.00000000000003</v>
      </c>
      <c r="V746" s="28">
        <f>V745*_xlfn.XLOOKUP($L746,'Balizador da Meta'!$B$4:$B$21,'Balizador da Meta'!$C$4:$C$21)</f>
        <v>252.00000000000003</v>
      </c>
      <c r="W746" s="28">
        <f>W745*_xlfn.XLOOKUP($L746,'Balizador da Meta'!$B$4:$B$21,'Balizador da Meta'!$C$4:$C$21)</f>
        <v>252.00000000000003</v>
      </c>
      <c r="X746" s="28">
        <f>X745*_xlfn.XLOOKUP($L746,'Balizador da Meta'!$B$4:$B$21,'Balizador da Meta'!$C$4:$C$21)</f>
        <v>252.00000000000003</v>
      </c>
      <c r="Y746" s="28">
        <f>Y745*_xlfn.XLOOKUP($L746,'Balizador da Meta'!$B$4:$B$21,'Balizador da Meta'!$C$4:$C$21)</f>
        <v>252.00000000000003</v>
      </c>
      <c r="Z746" s="30">
        <f t="shared" ref="Z746:Z763" si="179">SUM(N746:Y746)</f>
        <v>3024.0000000000005</v>
      </c>
      <c r="AA746" s="29"/>
      <c r="AB746" s="31">
        <f>SUMIFS('Historico - FAT'!AK:AK,'Historico - FAT'!$K:$K,Faturamento!$L746,'Historico - FAT'!$I:$I,Faturamento!$J746,'Historico - FAT'!$G:$G,Faturamento!$H746)</f>
        <v>0</v>
      </c>
      <c r="AC746" s="31">
        <f>SUMIFS('Historico - FAT'!AL:AL,'Historico - FAT'!$K:$K,Faturamento!$L746,'Historico - FAT'!$I:$I,Faturamento!$J746,'Historico - FAT'!$G:$G,Faturamento!$H746)</f>
        <v>1511.0625</v>
      </c>
      <c r="AD746" s="31">
        <f>SUMIFS('Historico - FAT'!AM:AM,'Historico - FAT'!$K:$K,Faturamento!$L746,'Historico - FAT'!$I:$I,Faturamento!$J746,'Historico - FAT'!$G:$G,Faturamento!$H746)</f>
        <v>2998.5166666666664</v>
      </c>
      <c r="AE746" s="27">
        <f>SUMIFS('Historico - FAT'!AN:AN,'Historico - FAT'!$K:$K,Faturamento!$L746,'Historico - FAT'!$I:$I,Faturamento!$J746,'Historico - FAT'!$G:$G,Faturamento!$H746)</f>
        <v>1813.2750000000001</v>
      </c>
      <c r="AG746" s="24">
        <f t="shared" si="167"/>
        <v>1</v>
      </c>
      <c r="AH746" s="24">
        <f t="shared" si="168"/>
        <v>-4.996279761904761</v>
      </c>
      <c r="AI746" s="24">
        <f t="shared" si="169"/>
        <v>-10.898875661375659</v>
      </c>
    </row>
    <row r="747" spans="1:35" hidden="1" x14ac:dyDescent="0.3">
      <c r="A747" s="2" t="str">
        <f t="shared" si="166"/>
        <v>NÃO</v>
      </c>
      <c r="B747" s="2">
        <v>1000184670</v>
      </c>
      <c r="C747" s="2" t="s">
        <v>147</v>
      </c>
      <c r="D747" s="4">
        <v>1000186197</v>
      </c>
      <c r="E747" s="4" t="s">
        <v>166</v>
      </c>
      <c r="F747" s="2">
        <v>1000184756</v>
      </c>
      <c r="G747" s="2" t="s">
        <v>53</v>
      </c>
      <c r="H747" s="4">
        <v>1000189784</v>
      </c>
      <c r="I747" s="4" t="s">
        <v>54</v>
      </c>
      <c r="J747" s="2">
        <v>1000189270</v>
      </c>
      <c r="K747" s="2" t="s">
        <v>34</v>
      </c>
      <c r="L747" s="4" t="s">
        <v>14</v>
      </c>
      <c r="M747" s="4" t="str">
        <f t="shared" si="173"/>
        <v>1000184670100018619710001897841000189270CHOCOLATES</v>
      </c>
      <c r="N747" s="28">
        <f>N745*_xlfn.XLOOKUP($L747,'Balizador da Meta'!$B$4:$B$21,'Balizador da Meta'!$C$4:$C$21)</f>
        <v>252.00000000000003</v>
      </c>
      <c r="O747" s="28">
        <f>O745*_xlfn.XLOOKUP($L747,'Balizador da Meta'!$B$4:$B$21,'Balizador da Meta'!$C$4:$C$21)</f>
        <v>252.00000000000003</v>
      </c>
      <c r="P747" s="28">
        <f>P745*_xlfn.XLOOKUP($L747,'Balizador da Meta'!$B$4:$B$21,'Balizador da Meta'!$C$4:$C$21)</f>
        <v>252.00000000000003</v>
      </c>
      <c r="Q747" s="28">
        <f>Q745*_xlfn.XLOOKUP($L747,'Balizador da Meta'!$B$4:$B$21,'Balizador da Meta'!$C$4:$C$21)</f>
        <v>252.00000000000003</v>
      </c>
      <c r="R747" s="28">
        <f>R745*_xlfn.XLOOKUP($L747,'Balizador da Meta'!$B$4:$B$21,'Balizador da Meta'!$C$4:$C$21)</f>
        <v>252.00000000000003</v>
      </c>
      <c r="S747" s="28">
        <f>S745*_xlfn.XLOOKUP($L747,'Balizador da Meta'!$B$4:$B$21,'Balizador da Meta'!$C$4:$C$21)</f>
        <v>252.00000000000003</v>
      </c>
      <c r="T747" s="28">
        <f>T745*_xlfn.XLOOKUP($L747,'Balizador da Meta'!$B$4:$B$21,'Balizador da Meta'!$C$4:$C$21)</f>
        <v>252.00000000000003</v>
      </c>
      <c r="U747" s="28">
        <f>U745*_xlfn.XLOOKUP($L747,'Balizador da Meta'!$B$4:$B$21,'Balizador da Meta'!$C$4:$C$21)</f>
        <v>252.00000000000003</v>
      </c>
      <c r="V747" s="28">
        <f>V745*_xlfn.XLOOKUP($L747,'Balizador da Meta'!$B$4:$B$21,'Balizador da Meta'!$C$4:$C$21)</f>
        <v>252.00000000000003</v>
      </c>
      <c r="W747" s="28">
        <f>W745*_xlfn.XLOOKUP($L747,'Balizador da Meta'!$B$4:$B$21,'Balizador da Meta'!$C$4:$C$21)</f>
        <v>252.00000000000003</v>
      </c>
      <c r="X747" s="28">
        <f>X745*_xlfn.XLOOKUP($L747,'Balizador da Meta'!$B$4:$B$21,'Balizador da Meta'!$C$4:$C$21)</f>
        <v>252.00000000000003</v>
      </c>
      <c r="Y747" s="28">
        <f>Y745*_xlfn.XLOOKUP($L747,'Balizador da Meta'!$B$4:$B$21,'Balizador da Meta'!$C$4:$C$21)</f>
        <v>252.00000000000003</v>
      </c>
      <c r="Z747" s="30">
        <f t="shared" si="179"/>
        <v>3024.0000000000005</v>
      </c>
      <c r="AA747" s="29"/>
      <c r="AB747" s="31">
        <f>SUMIFS('Historico - FAT'!AK:AK,'Historico - FAT'!$K:$K,Faturamento!$L747,'Historico - FAT'!$I:$I,Faturamento!$J747,'Historico - FAT'!$G:$G,Faturamento!$H747)</f>
        <v>0</v>
      </c>
      <c r="AC747" s="31">
        <f>SUMIFS('Historico - FAT'!AL:AL,'Historico - FAT'!$K:$K,Faturamento!$L747,'Historico - FAT'!$I:$I,Faturamento!$J747,'Historico - FAT'!$G:$G,Faturamento!$H747)</f>
        <v>373.13416666666672</v>
      </c>
      <c r="AD747" s="31">
        <f>SUMIFS('Historico - FAT'!AM:AM,'Historico - FAT'!$K:$K,Faturamento!$L747,'Historico - FAT'!$I:$I,Faturamento!$J747,'Historico - FAT'!$G:$G,Faturamento!$H747)</f>
        <v>652.02333333333343</v>
      </c>
      <c r="AE747" s="27">
        <f>SUMIFS('Historico - FAT'!AN:AN,'Historico - FAT'!$K:$K,Faturamento!$L747,'Historico - FAT'!$I:$I,Faturamento!$J747,'Historico - FAT'!$G:$G,Faturamento!$H747)</f>
        <v>447.76100000000008</v>
      </c>
      <c r="AG747" s="24">
        <f t="shared" si="167"/>
        <v>1</v>
      </c>
      <c r="AH747" s="24">
        <f t="shared" si="168"/>
        <v>-0.48069113756613757</v>
      </c>
      <c r="AI747" s="24">
        <f t="shared" si="169"/>
        <v>-1.5873941798941802</v>
      </c>
    </row>
    <row r="748" spans="1:35" hidden="1" x14ac:dyDescent="0.3">
      <c r="A748" s="2" t="str">
        <f t="shared" si="166"/>
        <v>NÃO</v>
      </c>
      <c r="B748" s="2">
        <v>1000184670</v>
      </c>
      <c r="C748" s="2" t="s">
        <v>147</v>
      </c>
      <c r="D748" s="4">
        <v>1000186197</v>
      </c>
      <c r="E748" s="4" t="s">
        <v>166</v>
      </c>
      <c r="F748" s="2">
        <v>1000184756</v>
      </c>
      <c r="G748" s="2" t="s">
        <v>53</v>
      </c>
      <c r="H748" s="4">
        <v>1000189784</v>
      </c>
      <c r="I748" s="4" t="s">
        <v>54</v>
      </c>
      <c r="J748" s="2">
        <v>1000189270</v>
      </c>
      <c r="K748" s="2" t="s">
        <v>34</v>
      </c>
      <c r="L748" s="4" t="s">
        <v>16</v>
      </c>
      <c r="M748" s="4" t="str">
        <f t="shared" si="173"/>
        <v>1000184670100018619710001897841000189270DISNEY</v>
      </c>
      <c r="N748" s="28">
        <f>N745*_xlfn.XLOOKUP($L748,'Balizador da Meta'!$B$4:$B$21,'Balizador da Meta'!$C$4:$C$21)</f>
        <v>288</v>
      </c>
      <c r="O748" s="28">
        <f>O745*_xlfn.XLOOKUP($L748,'Balizador da Meta'!$B$4:$B$21,'Balizador da Meta'!$C$4:$C$21)</f>
        <v>288</v>
      </c>
      <c r="P748" s="28">
        <f>P745*_xlfn.XLOOKUP($L748,'Balizador da Meta'!$B$4:$B$21,'Balizador da Meta'!$C$4:$C$21)</f>
        <v>288</v>
      </c>
      <c r="Q748" s="28">
        <f>Q745*_xlfn.XLOOKUP($L748,'Balizador da Meta'!$B$4:$B$21,'Balizador da Meta'!$C$4:$C$21)</f>
        <v>288</v>
      </c>
      <c r="R748" s="28">
        <f>R745*_xlfn.XLOOKUP($L748,'Balizador da Meta'!$B$4:$B$21,'Balizador da Meta'!$C$4:$C$21)</f>
        <v>288</v>
      </c>
      <c r="S748" s="28">
        <f>S745*_xlfn.XLOOKUP($L748,'Balizador da Meta'!$B$4:$B$21,'Balizador da Meta'!$C$4:$C$21)</f>
        <v>288</v>
      </c>
      <c r="T748" s="28">
        <f>T745*_xlfn.XLOOKUP($L748,'Balizador da Meta'!$B$4:$B$21,'Balizador da Meta'!$C$4:$C$21)</f>
        <v>288</v>
      </c>
      <c r="U748" s="28">
        <f>U745*_xlfn.XLOOKUP($L748,'Balizador da Meta'!$B$4:$B$21,'Balizador da Meta'!$C$4:$C$21)</f>
        <v>288</v>
      </c>
      <c r="V748" s="28">
        <f>V745*_xlfn.XLOOKUP($L748,'Balizador da Meta'!$B$4:$B$21,'Balizador da Meta'!$C$4:$C$21)</f>
        <v>288</v>
      </c>
      <c r="W748" s="28">
        <f>W745*_xlfn.XLOOKUP($L748,'Balizador da Meta'!$B$4:$B$21,'Balizador da Meta'!$C$4:$C$21)</f>
        <v>288</v>
      </c>
      <c r="X748" s="28">
        <f>X745*_xlfn.XLOOKUP($L748,'Balizador da Meta'!$B$4:$B$21,'Balizador da Meta'!$C$4:$C$21)</f>
        <v>288</v>
      </c>
      <c r="Y748" s="28">
        <f>Y745*_xlfn.XLOOKUP($L748,'Balizador da Meta'!$B$4:$B$21,'Balizador da Meta'!$C$4:$C$21)</f>
        <v>288</v>
      </c>
      <c r="Z748" s="30">
        <f t="shared" si="179"/>
        <v>3456</v>
      </c>
      <c r="AA748" s="29"/>
      <c r="AB748" s="31">
        <f>SUMIFS('Historico - FAT'!AK:AK,'Historico - FAT'!$K:$K,Faturamento!$L748,'Historico - FAT'!$I:$I,Faturamento!$J748,'Historico - FAT'!$G:$G,Faturamento!$H748)</f>
        <v>0</v>
      </c>
      <c r="AC748" s="31">
        <f>SUMIFS('Historico - FAT'!AL:AL,'Historico - FAT'!$K:$K,Faturamento!$L748,'Historico - FAT'!$I:$I,Faturamento!$J748,'Historico - FAT'!$G:$G,Faturamento!$H748)</f>
        <v>367.86666666666662</v>
      </c>
      <c r="AD748" s="31">
        <f>SUMIFS('Historico - FAT'!AM:AM,'Historico - FAT'!$K:$K,Faturamento!$L748,'Historico - FAT'!$I:$I,Faturamento!$J748,'Historico - FAT'!$G:$G,Faturamento!$H748)</f>
        <v>713.12333333333333</v>
      </c>
      <c r="AE748" s="27">
        <f>SUMIFS('Historico - FAT'!AN:AN,'Historico - FAT'!$K:$K,Faturamento!$L748,'Historico - FAT'!$I:$I,Faturamento!$J748,'Historico - FAT'!$G:$G,Faturamento!$H748)</f>
        <v>441.43999999999994</v>
      </c>
      <c r="AG748" s="24">
        <f t="shared" si="167"/>
        <v>1</v>
      </c>
      <c r="AH748" s="24">
        <f t="shared" si="168"/>
        <v>-0.27731481481481463</v>
      </c>
      <c r="AI748" s="24">
        <f t="shared" si="169"/>
        <v>-1.4761226851851852</v>
      </c>
    </row>
    <row r="749" spans="1:35" hidden="1" x14ac:dyDescent="0.3">
      <c r="A749" s="2" t="str">
        <f t="shared" si="166"/>
        <v>NÃO</v>
      </c>
      <c r="B749" s="2">
        <v>1000184670</v>
      </c>
      <c r="C749" s="2" t="s">
        <v>147</v>
      </c>
      <c r="D749" s="4">
        <v>1000186197</v>
      </c>
      <c r="E749" s="4" t="s">
        <v>166</v>
      </c>
      <c r="F749" s="2">
        <v>1000184756</v>
      </c>
      <c r="G749" s="2" t="s">
        <v>53</v>
      </c>
      <c r="H749" s="4">
        <v>1000189784</v>
      </c>
      <c r="I749" s="4" t="s">
        <v>54</v>
      </c>
      <c r="J749" s="2">
        <v>1000189270</v>
      </c>
      <c r="K749" s="2" t="s">
        <v>34</v>
      </c>
      <c r="L749" s="4" t="s">
        <v>15</v>
      </c>
      <c r="M749" s="4" t="str">
        <f t="shared" si="173"/>
        <v>1000184670100018619710001897841000189270DOCES</v>
      </c>
      <c r="N749" s="28">
        <f>N745*_xlfn.XLOOKUP($L749,'Balizador da Meta'!$B$4:$B$21,'Balizador da Meta'!$C$4:$C$21)</f>
        <v>324</v>
      </c>
      <c r="O749" s="28">
        <f>O745*_xlfn.XLOOKUP($L749,'Balizador da Meta'!$B$4:$B$21,'Balizador da Meta'!$C$4:$C$21)</f>
        <v>324</v>
      </c>
      <c r="P749" s="28">
        <f>P745*_xlfn.XLOOKUP($L749,'Balizador da Meta'!$B$4:$B$21,'Balizador da Meta'!$C$4:$C$21)</f>
        <v>324</v>
      </c>
      <c r="Q749" s="28">
        <f>Q745*_xlfn.XLOOKUP($L749,'Balizador da Meta'!$B$4:$B$21,'Balizador da Meta'!$C$4:$C$21)</f>
        <v>324</v>
      </c>
      <c r="R749" s="28">
        <f>R745*_xlfn.XLOOKUP($L749,'Balizador da Meta'!$B$4:$B$21,'Balizador da Meta'!$C$4:$C$21)</f>
        <v>324</v>
      </c>
      <c r="S749" s="28">
        <f>S745*_xlfn.XLOOKUP($L749,'Balizador da Meta'!$B$4:$B$21,'Balizador da Meta'!$C$4:$C$21)</f>
        <v>324</v>
      </c>
      <c r="T749" s="28">
        <f>T745*_xlfn.XLOOKUP($L749,'Balizador da Meta'!$B$4:$B$21,'Balizador da Meta'!$C$4:$C$21)</f>
        <v>324</v>
      </c>
      <c r="U749" s="28">
        <f>U745*_xlfn.XLOOKUP($L749,'Balizador da Meta'!$B$4:$B$21,'Balizador da Meta'!$C$4:$C$21)</f>
        <v>324</v>
      </c>
      <c r="V749" s="28">
        <f>V745*_xlfn.XLOOKUP($L749,'Balizador da Meta'!$B$4:$B$21,'Balizador da Meta'!$C$4:$C$21)</f>
        <v>324</v>
      </c>
      <c r="W749" s="28">
        <f>W745*_xlfn.XLOOKUP($L749,'Balizador da Meta'!$B$4:$B$21,'Balizador da Meta'!$C$4:$C$21)</f>
        <v>324</v>
      </c>
      <c r="X749" s="28">
        <f>X745*_xlfn.XLOOKUP($L749,'Balizador da Meta'!$B$4:$B$21,'Balizador da Meta'!$C$4:$C$21)</f>
        <v>324</v>
      </c>
      <c r="Y749" s="28">
        <f>Y745*_xlfn.XLOOKUP($L749,'Balizador da Meta'!$B$4:$B$21,'Balizador da Meta'!$C$4:$C$21)</f>
        <v>324</v>
      </c>
      <c r="Z749" s="30">
        <f t="shared" si="179"/>
        <v>3888</v>
      </c>
      <c r="AA749" s="29"/>
      <c r="AB749" s="31">
        <f>SUMIFS('Historico - FAT'!AK:AK,'Historico - FAT'!$K:$K,Faturamento!$L749,'Historico - FAT'!$I:$I,Faturamento!$J749,'Historico - FAT'!$G:$G,Faturamento!$H749)</f>
        <v>0</v>
      </c>
      <c r="AC749" s="31">
        <f>SUMIFS('Historico - FAT'!AL:AL,'Historico - FAT'!$K:$K,Faturamento!$L749,'Historico - FAT'!$I:$I,Faturamento!$J749,'Historico - FAT'!$G:$G,Faturamento!$H749)</f>
        <v>531.01416666666671</v>
      </c>
      <c r="AD749" s="31">
        <f>SUMIFS('Historico - FAT'!AM:AM,'Historico - FAT'!$K:$K,Faturamento!$L749,'Historico - FAT'!$I:$I,Faturamento!$J749,'Historico - FAT'!$G:$G,Faturamento!$H749)</f>
        <v>972.30000000000007</v>
      </c>
      <c r="AE749" s="27">
        <f>SUMIFS('Historico - FAT'!AN:AN,'Historico - FAT'!$K:$K,Faturamento!$L749,'Historico - FAT'!$I:$I,Faturamento!$J749,'Historico - FAT'!$G:$G,Faturamento!$H749)</f>
        <v>637.21699999999998</v>
      </c>
      <c r="AG749" s="24">
        <f t="shared" si="167"/>
        <v>1</v>
      </c>
      <c r="AH749" s="24">
        <f t="shared" si="168"/>
        <v>-0.63893261316872441</v>
      </c>
      <c r="AI749" s="24">
        <f t="shared" si="169"/>
        <v>-2.0009259259259262</v>
      </c>
    </row>
    <row r="750" spans="1:35" hidden="1" x14ac:dyDescent="0.3">
      <c r="A750" s="2" t="str">
        <f t="shared" si="166"/>
        <v>NÃO</v>
      </c>
      <c r="B750" s="2">
        <v>1000184670</v>
      </c>
      <c r="C750" s="2" t="s">
        <v>147</v>
      </c>
      <c r="D750" s="4">
        <v>1000186197</v>
      </c>
      <c r="E750" s="4" t="s">
        <v>166</v>
      </c>
      <c r="F750" s="2">
        <v>1000184756</v>
      </c>
      <c r="G750" s="2" t="s">
        <v>53</v>
      </c>
      <c r="H750" s="4">
        <v>1000189784</v>
      </c>
      <c r="I750" s="4" t="s">
        <v>54</v>
      </c>
      <c r="J750" s="2">
        <v>1000189270</v>
      </c>
      <c r="K750" s="2" t="s">
        <v>34</v>
      </c>
      <c r="L750" s="4" t="s">
        <v>33</v>
      </c>
      <c r="M750" s="4" t="str">
        <f t="shared" si="173"/>
        <v>1000184670100018619710001897841000189270FOOD SERVICE</v>
      </c>
      <c r="N750" s="28">
        <f>N745*_xlfn.XLOOKUP($L750,'Balizador da Meta'!$B$4:$B$21,'Balizador da Meta'!$C$4:$C$21)</f>
        <v>0</v>
      </c>
      <c r="O750" s="28">
        <f>O745*_xlfn.XLOOKUP($L750,'Balizador da Meta'!$B$4:$B$21,'Balizador da Meta'!$C$4:$C$21)</f>
        <v>0</v>
      </c>
      <c r="P750" s="28">
        <f>P745*_xlfn.XLOOKUP($L750,'Balizador da Meta'!$B$4:$B$21,'Balizador da Meta'!$C$4:$C$21)</f>
        <v>0</v>
      </c>
      <c r="Q750" s="28">
        <f>Q745*_xlfn.XLOOKUP($L750,'Balizador da Meta'!$B$4:$B$21,'Balizador da Meta'!$C$4:$C$21)</f>
        <v>0</v>
      </c>
      <c r="R750" s="28">
        <f>R745*_xlfn.XLOOKUP($L750,'Balizador da Meta'!$B$4:$B$21,'Balizador da Meta'!$C$4:$C$21)</f>
        <v>0</v>
      </c>
      <c r="S750" s="28">
        <f>S745*_xlfn.XLOOKUP($L750,'Balizador da Meta'!$B$4:$B$21,'Balizador da Meta'!$C$4:$C$21)</f>
        <v>0</v>
      </c>
      <c r="T750" s="28">
        <f>T745*_xlfn.XLOOKUP($L750,'Balizador da Meta'!$B$4:$B$21,'Balizador da Meta'!$C$4:$C$21)</f>
        <v>0</v>
      </c>
      <c r="U750" s="28">
        <f>U745*_xlfn.XLOOKUP($L750,'Balizador da Meta'!$B$4:$B$21,'Balizador da Meta'!$C$4:$C$21)</f>
        <v>0</v>
      </c>
      <c r="V750" s="28">
        <f>V745*_xlfn.XLOOKUP($L750,'Balizador da Meta'!$B$4:$B$21,'Balizador da Meta'!$C$4:$C$21)</f>
        <v>0</v>
      </c>
      <c r="W750" s="28">
        <f>W745*_xlfn.XLOOKUP($L750,'Balizador da Meta'!$B$4:$B$21,'Balizador da Meta'!$C$4:$C$21)</f>
        <v>0</v>
      </c>
      <c r="X750" s="28">
        <f>X745*_xlfn.XLOOKUP($L750,'Balizador da Meta'!$B$4:$B$21,'Balizador da Meta'!$C$4:$C$21)</f>
        <v>0</v>
      </c>
      <c r="Y750" s="28">
        <f>Y745*_xlfn.XLOOKUP($L750,'Balizador da Meta'!$B$4:$B$21,'Balizador da Meta'!$C$4:$C$21)</f>
        <v>0</v>
      </c>
      <c r="Z750" s="30">
        <f t="shared" si="179"/>
        <v>0</v>
      </c>
      <c r="AA750" s="29"/>
      <c r="AB750" s="31">
        <f>SUMIFS('Historico - FAT'!AK:AK,'Historico - FAT'!$K:$K,Faturamento!$L750,'Historico - FAT'!$I:$I,Faturamento!$J750,'Historico - FAT'!$G:$G,Faturamento!$H750)</f>
        <v>0</v>
      </c>
      <c r="AC750" s="31">
        <f>SUMIFS('Historico - FAT'!AL:AL,'Historico - FAT'!$K:$K,Faturamento!$L750,'Historico - FAT'!$I:$I,Faturamento!$J750,'Historico - FAT'!$G:$G,Faturamento!$H750)</f>
        <v>0</v>
      </c>
      <c r="AD750" s="31">
        <f>SUMIFS('Historico - FAT'!AM:AM,'Historico - FAT'!$K:$K,Faturamento!$L750,'Historico - FAT'!$I:$I,Faturamento!$J750,'Historico - FAT'!$G:$G,Faturamento!$H750)</f>
        <v>0</v>
      </c>
      <c r="AE750" s="27">
        <f>SUMIFS('Historico - FAT'!AN:AN,'Historico - FAT'!$K:$K,Faturamento!$L750,'Historico - FAT'!$I:$I,Faturamento!$J750,'Historico - FAT'!$G:$G,Faturamento!$H750)</f>
        <v>0</v>
      </c>
      <c r="AG750" s="24" t="str">
        <f t="shared" si="167"/>
        <v/>
      </c>
      <c r="AH750" s="24" t="str">
        <f t="shared" si="168"/>
        <v/>
      </c>
      <c r="AI750" s="24" t="str">
        <f t="shared" si="169"/>
        <v/>
      </c>
    </row>
    <row r="751" spans="1:35" hidden="1" x14ac:dyDescent="0.3">
      <c r="A751" s="2" t="str">
        <f t="shared" si="166"/>
        <v>NÃO</v>
      </c>
      <c r="B751" s="2">
        <v>1000184670</v>
      </c>
      <c r="C751" s="2" t="s">
        <v>147</v>
      </c>
      <c r="D751" s="4">
        <v>1000186197</v>
      </c>
      <c r="E751" s="4" t="s">
        <v>166</v>
      </c>
      <c r="F751" s="2">
        <v>1000184756</v>
      </c>
      <c r="G751" s="2" t="s">
        <v>53</v>
      </c>
      <c r="H751" s="4">
        <v>1000189784</v>
      </c>
      <c r="I751" s="4" t="s">
        <v>54</v>
      </c>
      <c r="J751" s="2">
        <v>1000189270</v>
      </c>
      <c r="K751" s="2" t="s">
        <v>34</v>
      </c>
      <c r="L751" s="4" t="s">
        <v>19</v>
      </c>
      <c r="M751" s="4" t="str">
        <f t="shared" si="173"/>
        <v>1000184670100018619710001897841000189270GELEIA</v>
      </c>
      <c r="N751" s="28">
        <f>N745*_xlfn.XLOOKUP($L751,'Balizador da Meta'!$B$4:$B$21,'Balizador da Meta'!$C$4:$C$21)</f>
        <v>71.999999999999986</v>
      </c>
      <c r="O751" s="28">
        <f>O745*_xlfn.XLOOKUP($L751,'Balizador da Meta'!$B$4:$B$21,'Balizador da Meta'!$C$4:$C$21)</f>
        <v>71.999999999999986</v>
      </c>
      <c r="P751" s="28">
        <f>P745*_xlfn.XLOOKUP($L751,'Balizador da Meta'!$B$4:$B$21,'Balizador da Meta'!$C$4:$C$21)</f>
        <v>71.999999999999986</v>
      </c>
      <c r="Q751" s="28">
        <f>Q745*_xlfn.XLOOKUP($L751,'Balizador da Meta'!$B$4:$B$21,'Balizador da Meta'!$C$4:$C$21)</f>
        <v>71.999999999999986</v>
      </c>
      <c r="R751" s="28">
        <f>R745*_xlfn.XLOOKUP($L751,'Balizador da Meta'!$B$4:$B$21,'Balizador da Meta'!$C$4:$C$21)</f>
        <v>71.999999999999986</v>
      </c>
      <c r="S751" s="28">
        <f>S745*_xlfn.XLOOKUP($L751,'Balizador da Meta'!$B$4:$B$21,'Balizador da Meta'!$C$4:$C$21)</f>
        <v>71.999999999999986</v>
      </c>
      <c r="T751" s="28">
        <f>T745*_xlfn.XLOOKUP($L751,'Balizador da Meta'!$B$4:$B$21,'Balizador da Meta'!$C$4:$C$21)</f>
        <v>71.999999999999986</v>
      </c>
      <c r="U751" s="28">
        <f>U745*_xlfn.XLOOKUP($L751,'Balizador da Meta'!$B$4:$B$21,'Balizador da Meta'!$C$4:$C$21)</f>
        <v>71.999999999999986</v>
      </c>
      <c r="V751" s="28">
        <f>V745*_xlfn.XLOOKUP($L751,'Balizador da Meta'!$B$4:$B$21,'Balizador da Meta'!$C$4:$C$21)</f>
        <v>71.999999999999986</v>
      </c>
      <c r="W751" s="28">
        <f>W745*_xlfn.XLOOKUP($L751,'Balizador da Meta'!$B$4:$B$21,'Balizador da Meta'!$C$4:$C$21)</f>
        <v>71.999999999999986</v>
      </c>
      <c r="X751" s="28">
        <f>X745*_xlfn.XLOOKUP($L751,'Balizador da Meta'!$B$4:$B$21,'Balizador da Meta'!$C$4:$C$21)</f>
        <v>71.999999999999986</v>
      </c>
      <c r="Y751" s="28">
        <f>Y745*_xlfn.XLOOKUP($L751,'Balizador da Meta'!$B$4:$B$21,'Balizador da Meta'!$C$4:$C$21)</f>
        <v>71.999999999999986</v>
      </c>
      <c r="Z751" s="30">
        <f t="shared" si="179"/>
        <v>863.99999999999989</v>
      </c>
      <c r="AA751" s="29"/>
      <c r="AB751" s="31">
        <f>SUMIFS('Historico - FAT'!AK:AK,'Historico - FAT'!$K:$K,Faturamento!$L751,'Historico - FAT'!$I:$I,Faturamento!$J751,'Historico - FAT'!$G:$G,Faturamento!$H751)</f>
        <v>0</v>
      </c>
      <c r="AC751" s="31">
        <f>SUMIFS('Historico - FAT'!AL:AL,'Historico - FAT'!$K:$K,Faturamento!$L751,'Historico - FAT'!$I:$I,Faturamento!$J751,'Historico - FAT'!$G:$G,Faturamento!$H751)</f>
        <v>240</v>
      </c>
      <c r="AD751" s="31">
        <f>SUMIFS('Historico - FAT'!AM:AM,'Historico - FAT'!$K:$K,Faturamento!$L751,'Historico - FAT'!$I:$I,Faturamento!$J751,'Historico - FAT'!$G:$G,Faturamento!$H751)</f>
        <v>480</v>
      </c>
      <c r="AE751" s="27">
        <f>SUMIFS('Historico - FAT'!AN:AN,'Historico - FAT'!$K:$K,Faturamento!$L751,'Historico - FAT'!$I:$I,Faturamento!$J751,'Historico - FAT'!$G:$G,Faturamento!$H751)</f>
        <v>288</v>
      </c>
      <c r="AG751" s="24">
        <f t="shared" si="167"/>
        <v>1</v>
      </c>
      <c r="AH751" s="24">
        <f t="shared" si="168"/>
        <v>-2.3333333333333339</v>
      </c>
      <c r="AI751" s="24">
        <f t="shared" si="169"/>
        <v>-5.6666666666666679</v>
      </c>
    </row>
    <row r="752" spans="1:35" hidden="1" x14ac:dyDescent="0.3">
      <c r="A752" s="2" t="str">
        <f t="shared" si="166"/>
        <v>NÃO</v>
      </c>
      <c r="B752" s="2">
        <v>1000184670</v>
      </c>
      <c r="C752" s="2" t="s">
        <v>147</v>
      </c>
      <c r="D752" s="4">
        <v>1000186197</v>
      </c>
      <c r="E752" s="4" t="s">
        <v>166</v>
      </c>
      <c r="F752" s="2">
        <v>1000184756</v>
      </c>
      <c r="G752" s="2" t="s">
        <v>53</v>
      </c>
      <c r="H752" s="4">
        <v>1000189784</v>
      </c>
      <c r="I752" s="4" t="s">
        <v>54</v>
      </c>
      <c r="J752" s="2">
        <v>1000189270</v>
      </c>
      <c r="K752" s="2" t="s">
        <v>34</v>
      </c>
      <c r="L752" s="4" t="s">
        <v>17</v>
      </c>
      <c r="M752" s="4" t="str">
        <f t="shared" si="173"/>
        <v>1000184670100018619710001897841000189270GRANOLA</v>
      </c>
      <c r="N752" s="28">
        <f>N745*_xlfn.XLOOKUP($L752,'Balizador da Meta'!$B$4:$B$21,'Balizador da Meta'!$C$4:$C$21)</f>
        <v>72</v>
      </c>
      <c r="O752" s="28">
        <f>O745*_xlfn.XLOOKUP($L752,'Balizador da Meta'!$B$4:$B$21,'Balizador da Meta'!$C$4:$C$21)</f>
        <v>72</v>
      </c>
      <c r="P752" s="28">
        <f>P745*_xlfn.XLOOKUP($L752,'Balizador da Meta'!$B$4:$B$21,'Balizador da Meta'!$C$4:$C$21)</f>
        <v>72</v>
      </c>
      <c r="Q752" s="28">
        <f>Q745*_xlfn.XLOOKUP($L752,'Balizador da Meta'!$B$4:$B$21,'Balizador da Meta'!$C$4:$C$21)</f>
        <v>72</v>
      </c>
      <c r="R752" s="28">
        <f>R745*_xlfn.XLOOKUP($L752,'Balizador da Meta'!$B$4:$B$21,'Balizador da Meta'!$C$4:$C$21)</f>
        <v>72</v>
      </c>
      <c r="S752" s="28">
        <f>S745*_xlfn.XLOOKUP($L752,'Balizador da Meta'!$B$4:$B$21,'Balizador da Meta'!$C$4:$C$21)</f>
        <v>72</v>
      </c>
      <c r="T752" s="28">
        <f>T745*_xlfn.XLOOKUP($L752,'Balizador da Meta'!$B$4:$B$21,'Balizador da Meta'!$C$4:$C$21)</f>
        <v>72</v>
      </c>
      <c r="U752" s="28">
        <f>U745*_xlfn.XLOOKUP($L752,'Balizador da Meta'!$B$4:$B$21,'Balizador da Meta'!$C$4:$C$21)</f>
        <v>72</v>
      </c>
      <c r="V752" s="28">
        <f>V745*_xlfn.XLOOKUP($L752,'Balizador da Meta'!$B$4:$B$21,'Balizador da Meta'!$C$4:$C$21)</f>
        <v>72</v>
      </c>
      <c r="W752" s="28">
        <f>W745*_xlfn.XLOOKUP($L752,'Balizador da Meta'!$B$4:$B$21,'Balizador da Meta'!$C$4:$C$21)</f>
        <v>72</v>
      </c>
      <c r="X752" s="28">
        <f>X745*_xlfn.XLOOKUP($L752,'Balizador da Meta'!$B$4:$B$21,'Balizador da Meta'!$C$4:$C$21)</f>
        <v>72</v>
      </c>
      <c r="Y752" s="28">
        <f>Y745*_xlfn.XLOOKUP($L752,'Balizador da Meta'!$B$4:$B$21,'Balizador da Meta'!$C$4:$C$21)</f>
        <v>72</v>
      </c>
      <c r="Z752" s="30">
        <f t="shared" si="179"/>
        <v>864</v>
      </c>
      <c r="AA752" s="29"/>
      <c r="AB752" s="31">
        <f>SUMIFS('Historico - FAT'!AK:AK,'Historico - FAT'!$K:$K,Faturamento!$L752,'Historico - FAT'!$I:$I,Faturamento!$J752,'Historico - FAT'!$G:$G,Faturamento!$H752)</f>
        <v>0</v>
      </c>
      <c r="AC752" s="31">
        <f>SUMIFS('Historico - FAT'!AL:AL,'Historico - FAT'!$K:$K,Faturamento!$L752,'Historico - FAT'!$I:$I,Faturamento!$J752,'Historico - FAT'!$G:$G,Faturamento!$H752)</f>
        <v>498.43</v>
      </c>
      <c r="AD752" s="31">
        <f>SUMIFS('Historico - FAT'!AM:AM,'Historico - FAT'!$K:$K,Faturamento!$L752,'Historico - FAT'!$I:$I,Faturamento!$J752,'Historico - FAT'!$G:$G,Faturamento!$H752)</f>
        <v>996.86</v>
      </c>
      <c r="AE752" s="27">
        <f>SUMIFS('Historico - FAT'!AN:AN,'Historico - FAT'!$K:$K,Faturamento!$L752,'Historico - FAT'!$I:$I,Faturamento!$J752,'Historico - FAT'!$G:$G,Faturamento!$H752)</f>
        <v>598.11599999999999</v>
      </c>
      <c r="AG752" s="24">
        <f t="shared" si="167"/>
        <v>1</v>
      </c>
      <c r="AH752" s="24">
        <f t="shared" si="168"/>
        <v>-5.9226388888888888</v>
      </c>
      <c r="AI752" s="24">
        <f t="shared" si="169"/>
        <v>-12.845277777777778</v>
      </c>
    </row>
    <row r="753" spans="1:35" hidden="1" x14ac:dyDescent="0.3">
      <c r="A753" s="2" t="str">
        <f t="shared" si="166"/>
        <v>NÃO</v>
      </c>
      <c r="B753" s="2">
        <v>1000184670</v>
      </c>
      <c r="C753" s="2" t="s">
        <v>147</v>
      </c>
      <c r="D753" s="4">
        <v>1000186197</v>
      </c>
      <c r="E753" s="4" t="s">
        <v>166</v>
      </c>
      <c r="F753" s="2">
        <v>1000184756</v>
      </c>
      <c r="G753" s="2" t="s">
        <v>53</v>
      </c>
      <c r="H753" s="4">
        <v>1000189784</v>
      </c>
      <c r="I753" s="4" t="s">
        <v>54</v>
      </c>
      <c r="J753" s="2">
        <v>1000189270</v>
      </c>
      <c r="K753" s="2" t="s">
        <v>34</v>
      </c>
      <c r="L753" s="4" t="s">
        <v>24</v>
      </c>
      <c r="M753" s="4" t="str">
        <f t="shared" si="173"/>
        <v>1000184670100018619710001897841000189270KIDS</v>
      </c>
      <c r="N753" s="28">
        <f>N745*_xlfn.XLOOKUP($L753,'Balizador da Meta'!$B$4:$B$21,'Balizador da Meta'!$C$4:$C$21)</f>
        <v>0</v>
      </c>
      <c r="O753" s="28">
        <f>O745*_xlfn.XLOOKUP($L753,'Balizador da Meta'!$B$4:$B$21,'Balizador da Meta'!$C$4:$C$21)</f>
        <v>0</v>
      </c>
      <c r="P753" s="28">
        <f>P745*_xlfn.XLOOKUP($L753,'Balizador da Meta'!$B$4:$B$21,'Balizador da Meta'!$C$4:$C$21)</f>
        <v>0</v>
      </c>
      <c r="Q753" s="28">
        <f>Q745*_xlfn.XLOOKUP($L753,'Balizador da Meta'!$B$4:$B$21,'Balizador da Meta'!$C$4:$C$21)</f>
        <v>0</v>
      </c>
      <c r="R753" s="28">
        <f>R745*_xlfn.XLOOKUP($L753,'Balizador da Meta'!$B$4:$B$21,'Balizador da Meta'!$C$4:$C$21)</f>
        <v>0</v>
      </c>
      <c r="S753" s="28">
        <f>S745*_xlfn.XLOOKUP($L753,'Balizador da Meta'!$B$4:$B$21,'Balizador da Meta'!$C$4:$C$21)</f>
        <v>0</v>
      </c>
      <c r="T753" s="28">
        <f>T745*_xlfn.XLOOKUP($L753,'Balizador da Meta'!$B$4:$B$21,'Balizador da Meta'!$C$4:$C$21)</f>
        <v>0</v>
      </c>
      <c r="U753" s="28">
        <f>U745*_xlfn.XLOOKUP($L753,'Balizador da Meta'!$B$4:$B$21,'Balizador da Meta'!$C$4:$C$21)</f>
        <v>0</v>
      </c>
      <c r="V753" s="28">
        <f>V745*_xlfn.XLOOKUP($L753,'Balizador da Meta'!$B$4:$B$21,'Balizador da Meta'!$C$4:$C$21)</f>
        <v>0</v>
      </c>
      <c r="W753" s="28">
        <f>W745*_xlfn.XLOOKUP($L753,'Balizador da Meta'!$B$4:$B$21,'Balizador da Meta'!$C$4:$C$21)</f>
        <v>0</v>
      </c>
      <c r="X753" s="28">
        <f>X745*_xlfn.XLOOKUP($L753,'Balizador da Meta'!$B$4:$B$21,'Balizador da Meta'!$C$4:$C$21)</f>
        <v>0</v>
      </c>
      <c r="Y753" s="28">
        <f>Y745*_xlfn.XLOOKUP($L753,'Balizador da Meta'!$B$4:$B$21,'Balizador da Meta'!$C$4:$C$21)</f>
        <v>0</v>
      </c>
      <c r="Z753" s="30">
        <f t="shared" si="179"/>
        <v>0</v>
      </c>
      <c r="AA753" s="29"/>
      <c r="AB753" s="31">
        <f>SUMIFS('Historico - FAT'!AK:AK,'Historico - FAT'!$K:$K,Faturamento!$L753,'Historico - FAT'!$I:$I,Faturamento!$J753,'Historico - FAT'!$G:$G,Faturamento!$H753)</f>
        <v>0</v>
      </c>
      <c r="AC753" s="31">
        <f>SUMIFS('Historico - FAT'!AL:AL,'Historico - FAT'!$K:$K,Faturamento!$L753,'Historico - FAT'!$I:$I,Faturamento!$J753,'Historico - FAT'!$G:$G,Faturamento!$H753)</f>
        <v>289.65416666666664</v>
      </c>
      <c r="AD753" s="31">
        <f>SUMIFS('Historico - FAT'!AM:AM,'Historico - FAT'!$K:$K,Faturamento!$L753,'Historico - FAT'!$I:$I,Faturamento!$J753,'Historico - FAT'!$G:$G,Faturamento!$H753)</f>
        <v>541.3649999999999</v>
      </c>
      <c r="AE753" s="27">
        <f>SUMIFS('Historico - FAT'!AN:AN,'Historico - FAT'!$K:$K,Faturamento!$L753,'Historico - FAT'!$I:$I,Faturamento!$J753,'Historico - FAT'!$G:$G,Faturamento!$H753)</f>
        <v>347.58499999999992</v>
      </c>
      <c r="AG753" s="24" t="str">
        <f t="shared" si="167"/>
        <v/>
      </c>
      <c r="AH753" s="24" t="str">
        <f t="shared" si="168"/>
        <v/>
      </c>
      <c r="AI753" s="24" t="str">
        <f t="shared" si="169"/>
        <v/>
      </c>
    </row>
    <row r="754" spans="1:35" hidden="1" x14ac:dyDescent="0.3">
      <c r="A754" s="2" t="str">
        <f t="shared" ref="A754:A817" si="180">IF(OR(H754&lt;&gt;H753,J754&lt;&gt;J753),"SIM","NÃO")</f>
        <v>NÃO</v>
      </c>
      <c r="B754" s="2">
        <v>1000184670</v>
      </c>
      <c r="C754" s="2" t="s">
        <v>147</v>
      </c>
      <c r="D754" s="4">
        <v>1000186197</v>
      </c>
      <c r="E754" s="4" t="s">
        <v>166</v>
      </c>
      <c r="F754" s="2">
        <v>1000184756</v>
      </c>
      <c r="G754" s="2" t="s">
        <v>53</v>
      </c>
      <c r="H754" s="4">
        <v>1000189784</v>
      </c>
      <c r="I754" s="4" t="s">
        <v>54</v>
      </c>
      <c r="J754" s="2">
        <v>1000189270</v>
      </c>
      <c r="K754" s="2" t="s">
        <v>34</v>
      </c>
      <c r="L754" s="4" t="s">
        <v>18</v>
      </c>
      <c r="M754" s="4" t="str">
        <f t="shared" si="173"/>
        <v>1000184670100018619710001897841000189270LANCHES</v>
      </c>
      <c r="N754" s="28">
        <f>N745*_xlfn.XLOOKUP($L754,'Balizador da Meta'!$B$4:$B$21,'Balizador da Meta'!$C$4:$C$21)</f>
        <v>36</v>
      </c>
      <c r="O754" s="28">
        <f>O745*_xlfn.XLOOKUP($L754,'Balizador da Meta'!$B$4:$B$21,'Balizador da Meta'!$C$4:$C$21)</f>
        <v>36</v>
      </c>
      <c r="P754" s="28">
        <f>P745*_xlfn.XLOOKUP($L754,'Balizador da Meta'!$B$4:$B$21,'Balizador da Meta'!$C$4:$C$21)</f>
        <v>36</v>
      </c>
      <c r="Q754" s="28">
        <f>Q745*_xlfn.XLOOKUP($L754,'Balizador da Meta'!$B$4:$B$21,'Balizador da Meta'!$C$4:$C$21)</f>
        <v>36</v>
      </c>
      <c r="R754" s="28">
        <f>R745*_xlfn.XLOOKUP($L754,'Balizador da Meta'!$B$4:$B$21,'Balizador da Meta'!$C$4:$C$21)</f>
        <v>36</v>
      </c>
      <c r="S754" s="28">
        <f>S745*_xlfn.XLOOKUP($L754,'Balizador da Meta'!$B$4:$B$21,'Balizador da Meta'!$C$4:$C$21)</f>
        <v>36</v>
      </c>
      <c r="T754" s="28">
        <f>T745*_xlfn.XLOOKUP($L754,'Balizador da Meta'!$B$4:$B$21,'Balizador da Meta'!$C$4:$C$21)</f>
        <v>36</v>
      </c>
      <c r="U754" s="28">
        <f>U745*_xlfn.XLOOKUP($L754,'Balizador da Meta'!$B$4:$B$21,'Balizador da Meta'!$C$4:$C$21)</f>
        <v>36</v>
      </c>
      <c r="V754" s="28">
        <f>V745*_xlfn.XLOOKUP($L754,'Balizador da Meta'!$B$4:$B$21,'Balizador da Meta'!$C$4:$C$21)</f>
        <v>36</v>
      </c>
      <c r="W754" s="28">
        <f>W745*_xlfn.XLOOKUP($L754,'Balizador da Meta'!$B$4:$B$21,'Balizador da Meta'!$C$4:$C$21)</f>
        <v>36</v>
      </c>
      <c r="X754" s="28">
        <f>X745*_xlfn.XLOOKUP($L754,'Balizador da Meta'!$B$4:$B$21,'Balizador da Meta'!$C$4:$C$21)</f>
        <v>36</v>
      </c>
      <c r="Y754" s="28">
        <f>Y745*_xlfn.XLOOKUP($L754,'Balizador da Meta'!$B$4:$B$21,'Balizador da Meta'!$C$4:$C$21)</f>
        <v>36</v>
      </c>
      <c r="Z754" s="30">
        <f t="shared" si="179"/>
        <v>432</v>
      </c>
      <c r="AA754" s="29"/>
      <c r="AB754" s="31">
        <f>SUMIFS('Historico - FAT'!AK:AK,'Historico - FAT'!$K:$K,Faturamento!$L754,'Historico - FAT'!$I:$I,Faturamento!$J754,'Historico - FAT'!$G:$G,Faturamento!$H754)</f>
        <v>0</v>
      </c>
      <c r="AC754" s="31">
        <f>SUMIFS('Historico - FAT'!AL:AL,'Historico - FAT'!$K:$K,Faturamento!$L754,'Historico - FAT'!$I:$I,Faturamento!$J754,'Historico - FAT'!$G:$G,Faturamento!$H754)</f>
        <v>84.506666666666675</v>
      </c>
      <c r="AD754" s="31">
        <f>SUMIFS('Historico - FAT'!AM:AM,'Historico - FAT'!$K:$K,Faturamento!$L754,'Historico - FAT'!$I:$I,Faturamento!$J754,'Historico - FAT'!$G:$G,Faturamento!$H754)</f>
        <v>136.93</v>
      </c>
      <c r="AE754" s="27">
        <f>SUMIFS('Historico - FAT'!AN:AN,'Historico - FAT'!$K:$K,Faturamento!$L754,'Historico - FAT'!$I:$I,Faturamento!$J754,'Historico - FAT'!$G:$G,Faturamento!$H754)</f>
        <v>101.408</v>
      </c>
      <c r="AG754" s="24">
        <f t="shared" ref="AG754:AG817" si="181">IFERROR((AVERAGE(W754:Y754)-AB754)/AVERAGE(W754:Y754),"")</f>
        <v>1</v>
      </c>
      <c r="AH754" s="24">
        <f t="shared" ref="AH754:AH817" si="182">IFERROR((AVERAGE(W754:Y754)-AC754)/AVERAGE(W754:Y754),"")</f>
        <v>-1.3474074074074076</v>
      </c>
      <c r="AI754" s="24">
        <f t="shared" ref="AI754:AI817" si="183">IFERROR((AVERAGE(W754:Y754)-AD754)/AVERAGE(W754:Y754),"")</f>
        <v>-2.8036111111111115</v>
      </c>
    </row>
    <row r="755" spans="1:35" hidden="1" x14ac:dyDescent="0.3">
      <c r="A755" s="2" t="str">
        <f t="shared" si="180"/>
        <v>NÃO</v>
      </c>
      <c r="B755" s="2">
        <v>1000184670</v>
      </c>
      <c r="C755" s="2" t="s">
        <v>147</v>
      </c>
      <c r="D755" s="4">
        <v>1000186197</v>
      </c>
      <c r="E755" s="4" t="s">
        <v>166</v>
      </c>
      <c r="F755" s="2">
        <v>1000184756</v>
      </c>
      <c r="G755" s="2" t="s">
        <v>53</v>
      </c>
      <c r="H755" s="4">
        <v>1000189784</v>
      </c>
      <c r="I755" s="4" t="s">
        <v>54</v>
      </c>
      <c r="J755" s="2">
        <v>1000189270</v>
      </c>
      <c r="K755" s="2" t="s">
        <v>34</v>
      </c>
      <c r="L755" s="4" t="s">
        <v>29</v>
      </c>
      <c r="M755" s="4" t="str">
        <f t="shared" si="173"/>
        <v>1000184670100018619710001897841000189270MAIS GRANEL</v>
      </c>
      <c r="N755" s="28">
        <f>N745*_xlfn.XLOOKUP($L755,'Balizador da Meta'!$B$4:$B$21,'Balizador da Meta'!$C$4:$C$21)</f>
        <v>1152</v>
      </c>
      <c r="O755" s="28">
        <f>O745*_xlfn.XLOOKUP($L755,'Balizador da Meta'!$B$4:$B$21,'Balizador da Meta'!$C$4:$C$21)</f>
        <v>1152</v>
      </c>
      <c r="P755" s="28">
        <f>P745*_xlfn.XLOOKUP($L755,'Balizador da Meta'!$B$4:$B$21,'Balizador da Meta'!$C$4:$C$21)</f>
        <v>1152</v>
      </c>
      <c r="Q755" s="28">
        <f>Q745*_xlfn.XLOOKUP($L755,'Balizador da Meta'!$B$4:$B$21,'Balizador da Meta'!$C$4:$C$21)</f>
        <v>1152</v>
      </c>
      <c r="R755" s="28">
        <f>R745*_xlfn.XLOOKUP($L755,'Balizador da Meta'!$B$4:$B$21,'Balizador da Meta'!$C$4:$C$21)</f>
        <v>1152</v>
      </c>
      <c r="S755" s="28">
        <f>S745*_xlfn.XLOOKUP($L755,'Balizador da Meta'!$B$4:$B$21,'Balizador da Meta'!$C$4:$C$21)</f>
        <v>1152</v>
      </c>
      <c r="T755" s="28">
        <f>T745*_xlfn.XLOOKUP($L755,'Balizador da Meta'!$B$4:$B$21,'Balizador da Meta'!$C$4:$C$21)</f>
        <v>1152</v>
      </c>
      <c r="U755" s="28">
        <f>U745*_xlfn.XLOOKUP($L755,'Balizador da Meta'!$B$4:$B$21,'Balizador da Meta'!$C$4:$C$21)</f>
        <v>1152</v>
      </c>
      <c r="V755" s="28">
        <f>V745*_xlfn.XLOOKUP($L755,'Balizador da Meta'!$B$4:$B$21,'Balizador da Meta'!$C$4:$C$21)</f>
        <v>1152</v>
      </c>
      <c r="W755" s="28">
        <f>W745*_xlfn.XLOOKUP($L755,'Balizador da Meta'!$B$4:$B$21,'Balizador da Meta'!$C$4:$C$21)</f>
        <v>1152</v>
      </c>
      <c r="X755" s="28">
        <f>X745*_xlfn.XLOOKUP($L755,'Balizador da Meta'!$B$4:$B$21,'Balizador da Meta'!$C$4:$C$21)</f>
        <v>1152</v>
      </c>
      <c r="Y755" s="28">
        <f>Y745*_xlfn.XLOOKUP($L755,'Balizador da Meta'!$B$4:$B$21,'Balizador da Meta'!$C$4:$C$21)</f>
        <v>1152</v>
      </c>
      <c r="Z755" s="30">
        <f t="shared" si="179"/>
        <v>13824</v>
      </c>
      <c r="AA755" s="29"/>
      <c r="AB755" s="31">
        <f>SUMIFS('Historico - FAT'!AK:AK,'Historico - FAT'!$K:$K,Faturamento!$L755,'Historico - FAT'!$I:$I,Faturamento!$J755,'Historico - FAT'!$G:$G,Faturamento!$H755)</f>
        <v>0</v>
      </c>
      <c r="AC755" s="31">
        <f>SUMIFS('Historico - FAT'!AL:AL,'Historico - FAT'!$K:$K,Faturamento!$L755,'Historico - FAT'!$I:$I,Faturamento!$J755,'Historico - FAT'!$G:$G,Faturamento!$H755)</f>
        <v>759.42166666666674</v>
      </c>
      <c r="AD755" s="31">
        <f>SUMIFS('Historico - FAT'!AM:AM,'Historico - FAT'!$K:$K,Faturamento!$L755,'Historico - FAT'!$I:$I,Faturamento!$J755,'Historico - FAT'!$G:$G,Faturamento!$H755)</f>
        <v>776.5</v>
      </c>
      <c r="AE755" s="27">
        <f>SUMIFS('Historico - FAT'!AN:AN,'Historico - FAT'!$K:$K,Faturamento!$L755,'Historico - FAT'!$I:$I,Faturamento!$J755,'Historico - FAT'!$G:$G,Faturamento!$H755)</f>
        <v>911.30600000000015</v>
      </c>
      <c r="AG755" s="24">
        <f t="shared" si="181"/>
        <v>1</v>
      </c>
      <c r="AH755" s="24">
        <f t="shared" si="182"/>
        <v>0.3407798032407407</v>
      </c>
      <c r="AI755" s="24">
        <f t="shared" si="183"/>
        <v>0.3259548611111111</v>
      </c>
    </row>
    <row r="756" spans="1:35" hidden="1" x14ac:dyDescent="0.3">
      <c r="A756" s="2" t="str">
        <f t="shared" si="180"/>
        <v>NÃO</v>
      </c>
      <c r="B756" s="2">
        <v>1000184670</v>
      </c>
      <c r="C756" s="2" t="s">
        <v>147</v>
      </c>
      <c r="D756" s="4">
        <v>1000186197</v>
      </c>
      <c r="E756" s="4" t="s">
        <v>166</v>
      </c>
      <c r="F756" s="2">
        <v>1000184756</v>
      </c>
      <c r="G756" s="2" t="s">
        <v>53</v>
      </c>
      <c r="H756" s="4">
        <v>1000189784</v>
      </c>
      <c r="I756" s="4" t="s">
        <v>54</v>
      </c>
      <c r="J756" s="2">
        <v>1000189270</v>
      </c>
      <c r="K756" s="2" t="s">
        <v>34</v>
      </c>
      <c r="L756" s="4" t="s">
        <v>21</v>
      </c>
      <c r="M756" s="4" t="str">
        <f t="shared" si="173"/>
        <v>1000184670100018619710001897841000189270NATURATTA</v>
      </c>
      <c r="N756" s="28">
        <f>N745*_xlfn.XLOOKUP($L756,'Balizador da Meta'!$B$4:$B$21,'Balizador da Meta'!$C$4:$C$21)</f>
        <v>180</v>
      </c>
      <c r="O756" s="28">
        <f>O745*_xlfn.XLOOKUP($L756,'Balizador da Meta'!$B$4:$B$21,'Balizador da Meta'!$C$4:$C$21)</f>
        <v>180</v>
      </c>
      <c r="P756" s="28">
        <f>P745*_xlfn.XLOOKUP($L756,'Balizador da Meta'!$B$4:$B$21,'Balizador da Meta'!$C$4:$C$21)</f>
        <v>180</v>
      </c>
      <c r="Q756" s="28">
        <f>Q745*_xlfn.XLOOKUP($L756,'Balizador da Meta'!$B$4:$B$21,'Balizador da Meta'!$C$4:$C$21)</f>
        <v>180</v>
      </c>
      <c r="R756" s="28">
        <f>R745*_xlfn.XLOOKUP($L756,'Balizador da Meta'!$B$4:$B$21,'Balizador da Meta'!$C$4:$C$21)</f>
        <v>180</v>
      </c>
      <c r="S756" s="28">
        <f>S745*_xlfn.XLOOKUP($L756,'Balizador da Meta'!$B$4:$B$21,'Balizador da Meta'!$C$4:$C$21)</f>
        <v>180</v>
      </c>
      <c r="T756" s="28">
        <f>T745*_xlfn.XLOOKUP($L756,'Balizador da Meta'!$B$4:$B$21,'Balizador da Meta'!$C$4:$C$21)</f>
        <v>180</v>
      </c>
      <c r="U756" s="28">
        <f>U745*_xlfn.XLOOKUP($L756,'Balizador da Meta'!$B$4:$B$21,'Balizador da Meta'!$C$4:$C$21)</f>
        <v>180</v>
      </c>
      <c r="V756" s="28">
        <f>V745*_xlfn.XLOOKUP($L756,'Balizador da Meta'!$B$4:$B$21,'Balizador da Meta'!$C$4:$C$21)</f>
        <v>180</v>
      </c>
      <c r="W756" s="28">
        <f>W745*_xlfn.XLOOKUP($L756,'Balizador da Meta'!$B$4:$B$21,'Balizador da Meta'!$C$4:$C$21)</f>
        <v>180</v>
      </c>
      <c r="X756" s="28">
        <f>X745*_xlfn.XLOOKUP($L756,'Balizador da Meta'!$B$4:$B$21,'Balizador da Meta'!$C$4:$C$21)</f>
        <v>180</v>
      </c>
      <c r="Y756" s="28">
        <f>Y745*_xlfn.XLOOKUP($L756,'Balizador da Meta'!$B$4:$B$21,'Balizador da Meta'!$C$4:$C$21)</f>
        <v>180</v>
      </c>
      <c r="Z756" s="30">
        <f t="shared" si="179"/>
        <v>2160</v>
      </c>
      <c r="AA756" s="29"/>
      <c r="AB756" s="31">
        <f>SUMIFS('Historico - FAT'!AK:AK,'Historico - FAT'!$K:$K,Faturamento!$L756,'Historico - FAT'!$I:$I,Faturamento!$J756,'Historico - FAT'!$G:$G,Faturamento!$H756)</f>
        <v>0</v>
      </c>
      <c r="AC756" s="31">
        <f>SUMIFS('Historico - FAT'!AL:AL,'Historico - FAT'!$K:$K,Faturamento!$L756,'Historico - FAT'!$I:$I,Faturamento!$J756,'Historico - FAT'!$G:$G,Faturamento!$H756)</f>
        <v>76.624166666666682</v>
      </c>
      <c r="AD756" s="31">
        <f>SUMIFS('Historico - FAT'!AM:AM,'Historico - FAT'!$K:$K,Faturamento!$L756,'Historico - FAT'!$I:$I,Faturamento!$J756,'Historico - FAT'!$G:$G,Faturamento!$H756)</f>
        <v>129.375</v>
      </c>
      <c r="AE756" s="27">
        <f>SUMIFS('Historico - FAT'!AN:AN,'Historico - FAT'!$K:$K,Faturamento!$L756,'Historico - FAT'!$I:$I,Faturamento!$J756,'Historico - FAT'!$G:$G,Faturamento!$H756)</f>
        <v>91.949000000000012</v>
      </c>
      <c r="AG756" s="24">
        <f t="shared" si="181"/>
        <v>1</v>
      </c>
      <c r="AH756" s="24">
        <f t="shared" si="182"/>
        <v>0.57431018518518506</v>
      </c>
      <c r="AI756" s="24">
        <f t="shared" si="183"/>
        <v>0.28125</v>
      </c>
    </row>
    <row r="757" spans="1:35" hidden="1" x14ac:dyDescent="0.3">
      <c r="A757" s="2" t="str">
        <f t="shared" si="180"/>
        <v>NÃO</v>
      </c>
      <c r="B757" s="2">
        <v>1000184670</v>
      </c>
      <c r="C757" s="2" t="s">
        <v>147</v>
      </c>
      <c r="D757" s="4">
        <v>1000186197</v>
      </c>
      <c r="E757" s="4" t="s">
        <v>166</v>
      </c>
      <c r="F757" s="2">
        <v>1000184756</v>
      </c>
      <c r="G757" s="2" t="s">
        <v>53</v>
      </c>
      <c r="H757" s="4">
        <v>1000189784</v>
      </c>
      <c r="I757" s="4" t="s">
        <v>54</v>
      </c>
      <c r="J757" s="2">
        <v>1000189270</v>
      </c>
      <c r="K757" s="2" t="s">
        <v>34</v>
      </c>
      <c r="L757" s="4" t="s">
        <v>20</v>
      </c>
      <c r="M757" s="4" t="str">
        <f t="shared" si="173"/>
        <v>1000184670100018619710001897841000189270REEMBALADOS</v>
      </c>
      <c r="N757" s="28">
        <f>N745*_xlfn.XLOOKUP($L757,'Balizador da Meta'!$B$4:$B$21,'Balizador da Meta'!$C$4:$C$21)</f>
        <v>144</v>
      </c>
      <c r="O757" s="28">
        <f>O745*_xlfn.XLOOKUP($L757,'Balizador da Meta'!$B$4:$B$21,'Balizador da Meta'!$C$4:$C$21)</f>
        <v>144</v>
      </c>
      <c r="P757" s="28">
        <f>P745*_xlfn.XLOOKUP($L757,'Balizador da Meta'!$B$4:$B$21,'Balizador da Meta'!$C$4:$C$21)</f>
        <v>144</v>
      </c>
      <c r="Q757" s="28">
        <f>Q745*_xlfn.XLOOKUP($L757,'Balizador da Meta'!$B$4:$B$21,'Balizador da Meta'!$C$4:$C$21)</f>
        <v>144</v>
      </c>
      <c r="R757" s="28">
        <f>R745*_xlfn.XLOOKUP($L757,'Balizador da Meta'!$B$4:$B$21,'Balizador da Meta'!$C$4:$C$21)</f>
        <v>144</v>
      </c>
      <c r="S757" s="28">
        <f>S745*_xlfn.XLOOKUP($L757,'Balizador da Meta'!$B$4:$B$21,'Balizador da Meta'!$C$4:$C$21)</f>
        <v>144</v>
      </c>
      <c r="T757" s="28">
        <f>T745*_xlfn.XLOOKUP($L757,'Balizador da Meta'!$B$4:$B$21,'Balizador da Meta'!$C$4:$C$21)</f>
        <v>144</v>
      </c>
      <c r="U757" s="28">
        <f>U745*_xlfn.XLOOKUP($L757,'Balizador da Meta'!$B$4:$B$21,'Balizador da Meta'!$C$4:$C$21)</f>
        <v>144</v>
      </c>
      <c r="V757" s="28">
        <f>V745*_xlfn.XLOOKUP($L757,'Balizador da Meta'!$B$4:$B$21,'Balizador da Meta'!$C$4:$C$21)</f>
        <v>144</v>
      </c>
      <c r="W757" s="28">
        <f>W745*_xlfn.XLOOKUP($L757,'Balizador da Meta'!$B$4:$B$21,'Balizador da Meta'!$C$4:$C$21)</f>
        <v>144</v>
      </c>
      <c r="X757" s="28">
        <f>X745*_xlfn.XLOOKUP($L757,'Balizador da Meta'!$B$4:$B$21,'Balizador da Meta'!$C$4:$C$21)</f>
        <v>144</v>
      </c>
      <c r="Y757" s="28">
        <f>Y745*_xlfn.XLOOKUP($L757,'Balizador da Meta'!$B$4:$B$21,'Balizador da Meta'!$C$4:$C$21)</f>
        <v>144</v>
      </c>
      <c r="Z757" s="30">
        <f t="shared" si="179"/>
        <v>1728</v>
      </c>
      <c r="AA757" s="29"/>
      <c r="AB757" s="31">
        <f>SUMIFS('Historico - FAT'!AK:AK,'Historico - FAT'!$K:$K,Faturamento!$L757,'Historico - FAT'!$I:$I,Faturamento!$J757,'Historico - FAT'!$G:$G,Faturamento!$H757)</f>
        <v>0</v>
      </c>
      <c r="AC757" s="31">
        <f>SUMIFS('Historico - FAT'!AL:AL,'Historico - FAT'!$K:$K,Faturamento!$L757,'Historico - FAT'!$I:$I,Faturamento!$J757,'Historico - FAT'!$G:$G,Faturamento!$H757)</f>
        <v>1525.14</v>
      </c>
      <c r="AD757" s="31">
        <f>SUMIFS('Historico - FAT'!AM:AM,'Historico - FAT'!$K:$K,Faturamento!$L757,'Historico - FAT'!$I:$I,Faturamento!$J757,'Historico - FAT'!$G:$G,Faturamento!$H757)</f>
        <v>3050.28</v>
      </c>
      <c r="AE757" s="27">
        <f>SUMIFS('Historico - FAT'!AN:AN,'Historico - FAT'!$K:$K,Faturamento!$L757,'Historico - FAT'!$I:$I,Faturamento!$J757,'Historico - FAT'!$G:$G,Faturamento!$H757)</f>
        <v>1830.1680000000001</v>
      </c>
      <c r="AG757" s="24">
        <f t="shared" si="181"/>
        <v>1</v>
      </c>
      <c r="AH757" s="24">
        <f t="shared" si="182"/>
        <v>-9.5912500000000005</v>
      </c>
      <c r="AI757" s="24">
        <f t="shared" si="183"/>
        <v>-20.182500000000001</v>
      </c>
    </row>
    <row r="758" spans="1:35" hidden="1" x14ac:dyDescent="0.3">
      <c r="A758" s="2" t="str">
        <f t="shared" si="180"/>
        <v>NÃO</v>
      </c>
      <c r="B758" s="2">
        <v>1000184670</v>
      </c>
      <c r="C758" s="2" t="s">
        <v>147</v>
      </c>
      <c r="D758" s="4">
        <v>1000186197</v>
      </c>
      <c r="E758" s="4" t="s">
        <v>166</v>
      </c>
      <c r="F758" s="2">
        <v>1000184756</v>
      </c>
      <c r="G758" s="2" t="s">
        <v>53</v>
      </c>
      <c r="H758" s="4">
        <v>1000189784</v>
      </c>
      <c r="I758" s="4" t="s">
        <v>54</v>
      </c>
      <c r="J758" s="2">
        <v>1000189270</v>
      </c>
      <c r="K758" s="2" t="s">
        <v>34</v>
      </c>
      <c r="L758" s="4" t="s">
        <v>22</v>
      </c>
      <c r="M758" s="4" t="str">
        <f t="shared" si="173"/>
        <v>1000184670100018619710001897841000189270S GLUTEN</v>
      </c>
      <c r="N758" s="28">
        <f>N745*_xlfn.XLOOKUP($L758,'Balizador da Meta'!$B$4:$B$21,'Balizador da Meta'!$C$4:$C$21)</f>
        <v>144</v>
      </c>
      <c r="O758" s="28">
        <f>O745*_xlfn.XLOOKUP($L758,'Balizador da Meta'!$B$4:$B$21,'Balizador da Meta'!$C$4:$C$21)</f>
        <v>144</v>
      </c>
      <c r="P758" s="28">
        <f>P745*_xlfn.XLOOKUP($L758,'Balizador da Meta'!$B$4:$B$21,'Balizador da Meta'!$C$4:$C$21)</f>
        <v>144</v>
      </c>
      <c r="Q758" s="28">
        <f>Q745*_xlfn.XLOOKUP($L758,'Balizador da Meta'!$B$4:$B$21,'Balizador da Meta'!$C$4:$C$21)</f>
        <v>144</v>
      </c>
      <c r="R758" s="28">
        <f>R745*_xlfn.XLOOKUP($L758,'Balizador da Meta'!$B$4:$B$21,'Balizador da Meta'!$C$4:$C$21)</f>
        <v>144</v>
      </c>
      <c r="S758" s="28">
        <f>S745*_xlfn.XLOOKUP($L758,'Balizador da Meta'!$B$4:$B$21,'Balizador da Meta'!$C$4:$C$21)</f>
        <v>144</v>
      </c>
      <c r="T758" s="28">
        <f>T745*_xlfn.XLOOKUP($L758,'Balizador da Meta'!$B$4:$B$21,'Balizador da Meta'!$C$4:$C$21)</f>
        <v>144</v>
      </c>
      <c r="U758" s="28">
        <f>U745*_xlfn.XLOOKUP($L758,'Balizador da Meta'!$B$4:$B$21,'Balizador da Meta'!$C$4:$C$21)</f>
        <v>144</v>
      </c>
      <c r="V758" s="28">
        <f>V745*_xlfn.XLOOKUP($L758,'Balizador da Meta'!$B$4:$B$21,'Balizador da Meta'!$C$4:$C$21)</f>
        <v>144</v>
      </c>
      <c r="W758" s="28">
        <f>W745*_xlfn.XLOOKUP($L758,'Balizador da Meta'!$B$4:$B$21,'Balizador da Meta'!$C$4:$C$21)</f>
        <v>144</v>
      </c>
      <c r="X758" s="28">
        <f>X745*_xlfn.XLOOKUP($L758,'Balizador da Meta'!$B$4:$B$21,'Balizador da Meta'!$C$4:$C$21)</f>
        <v>144</v>
      </c>
      <c r="Y758" s="28">
        <f>Y745*_xlfn.XLOOKUP($L758,'Balizador da Meta'!$B$4:$B$21,'Balizador da Meta'!$C$4:$C$21)</f>
        <v>144</v>
      </c>
      <c r="Z758" s="30">
        <f t="shared" si="179"/>
        <v>1728</v>
      </c>
      <c r="AA758" s="29"/>
      <c r="AB758" s="31">
        <f>SUMIFS('Historico - FAT'!AK:AK,'Historico - FAT'!$K:$K,Faturamento!$L758,'Historico - FAT'!$I:$I,Faturamento!$J758,'Historico - FAT'!$G:$G,Faturamento!$H758)</f>
        <v>0</v>
      </c>
      <c r="AC758" s="31">
        <f>SUMIFS('Historico - FAT'!AL:AL,'Historico - FAT'!$K:$K,Faturamento!$L758,'Historico - FAT'!$I:$I,Faturamento!$J758,'Historico - FAT'!$G:$G,Faturamento!$H758)</f>
        <v>624.92500000000007</v>
      </c>
      <c r="AD758" s="31">
        <f>SUMIFS('Historico - FAT'!AM:AM,'Historico - FAT'!$K:$K,Faturamento!$L758,'Historico - FAT'!$I:$I,Faturamento!$J758,'Historico - FAT'!$G:$G,Faturamento!$H758)</f>
        <v>1216.4683333333335</v>
      </c>
      <c r="AE758" s="27">
        <f>SUMIFS('Historico - FAT'!AN:AN,'Historico - FAT'!$K:$K,Faturamento!$L758,'Historico - FAT'!$I:$I,Faturamento!$J758,'Historico - FAT'!$G:$G,Faturamento!$H758)</f>
        <v>749.91000000000008</v>
      </c>
      <c r="AG758" s="24">
        <f t="shared" si="181"/>
        <v>1</v>
      </c>
      <c r="AH758" s="24">
        <f t="shared" si="182"/>
        <v>-3.3397569444444448</v>
      </c>
      <c r="AI758" s="24">
        <f t="shared" si="183"/>
        <v>-7.4476967592592604</v>
      </c>
    </row>
    <row r="759" spans="1:35" hidden="1" x14ac:dyDescent="0.3">
      <c r="A759" s="2" t="str">
        <f t="shared" si="180"/>
        <v>NÃO</v>
      </c>
      <c r="B759" s="2">
        <v>1000184670</v>
      </c>
      <c r="C759" s="2" t="s">
        <v>147</v>
      </c>
      <c r="D759" s="4">
        <v>1000186197</v>
      </c>
      <c r="E759" s="4" t="s">
        <v>166</v>
      </c>
      <c r="F759" s="2">
        <v>1000184756</v>
      </c>
      <c r="G759" s="2" t="s">
        <v>53</v>
      </c>
      <c r="H759" s="4">
        <v>1000189784</v>
      </c>
      <c r="I759" s="4" t="s">
        <v>54</v>
      </c>
      <c r="J759" s="2">
        <v>1000189270</v>
      </c>
      <c r="K759" s="2" t="s">
        <v>34</v>
      </c>
      <c r="L759" s="4" t="s">
        <v>23</v>
      </c>
      <c r="M759" s="4" t="str">
        <f t="shared" si="173"/>
        <v>1000184670100018619710001897841000189270SABORES DO CAMPO</v>
      </c>
      <c r="N759" s="28">
        <f>N745*_xlfn.XLOOKUP($L759,'Balizador da Meta'!$B$4:$B$21,'Balizador da Meta'!$C$4:$C$21)</f>
        <v>0</v>
      </c>
      <c r="O759" s="28">
        <f>O745*_xlfn.XLOOKUP($L759,'Balizador da Meta'!$B$4:$B$21,'Balizador da Meta'!$C$4:$C$21)</f>
        <v>0</v>
      </c>
      <c r="P759" s="28">
        <f>P745*_xlfn.XLOOKUP($L759,'Balizador da Meta'!$B$4:$B$21,'Balizador da Meta'!$C$4:$C$21)</f>
        <v>0</v>
      </c>
      <c r="Q759" s="28">
        <f>Q745*_xlfn.XLOOKUP($L759,'Balizador da Meta'!$B$4:$B$21,'Balizador da Meta'!$C$4:$C$21)</f>
        <v>0</v>
      </c>
      <c r="R759" s="28">
        <f>R745*_xlfn.XLOOKUP($L759,'Balizador da Meta'!$B$4:$B$21,'Balizador da Meta'!$C$4:$C$21)</f>
        <v>0</v>
      </c>
      <c r="S759" s="28">
        <f>S745*_xlfn.XLOOKUP($L759,'Balizador da Meta'!$B$4:$B$21,'Balizador da Meta'!$C$4:$C$21)</f>
        <v>0</v>
      </c>
      <c r="T759" s="28">
        <f>T745*_xlfn.XLOOKUP($L759,'Balizador da Meta'!$B$4:$B$21,'Balizador da Meta'!$C$4:$C$21)</f>
        <v>0</v>
      </c>
      <c r="U759" s="28">
        <f>U745*_xlfn.XLOOKUP($L759,'Balizador da Meta'!$B$4:$B$21,'Balizador da Meta'!$C$4:$C$21)</f>
        <v>0</v>
      </c>
      <c r="V759" s="28">
        <f>V745*_xlfn.XLOOKUP($L759,'Balizador da Meta'!$B$4:$B$21,'Balizador da Meta'!$C$4:$C$21)</f>
        <v>0</v>
      </c>
      <c r="W759" s="28">
        <f>W745*_xlfn.XLOOKUP($L759,'Balizador da Meta'!$B$4:$B$21,'Balizador da Meta'!$C$4:$C$21)</f>
        <v>0</v>
      </c>
      <c r="X759" s="28">
        <f>X745*_xlfn.XLOOKUP($L759,'Balizador da Meta'!$B$4:$B$21,'Balizador da Meta'!$C$4:$C$21)</f>
        <v>0</v>
      </c>
      <c r="Y759" s="28">
        <f>Y745*_xlfn.XLOOKUP($L759,'Balizador da Meta'!$B$4:$B$21,'Balizador da Meta'!$C$4:$C$21)</f>
        <v>0</v>
      </c>
      <c r="Z759" s="30">
        <f t="shared" si="179"/>
        <v>0</v>
      </c>
      <c r="AA759" s="29"/>
      <c r="AB759" s="31">
        <f>SUMIFS('Historico - FAT'!AK:AK,'Historico - FAT'!$K:$K,Faturamento!$L759,'Historico - FAT'!$I:$I,Faturamento!$J759,'Historico - FAT'!$G:$G,Faturamento!$H759)</f>
        <v>0</v>
      </c>
      <c r="AC759" s="31">
        <f>SUMIFS('Historico - FAT'!AL:AL,'Historico - FAT'!$K:$K,Faturamento!$L759,'Historico - FAT'!$I:$I,Faturamento!$J759,'Historico - FAT'!$G:$G,Faturamento!$H759)</f>
        <v>609.16083333333336</v>
      </c>
      <c r="AD759" s="31">
        <f>SUMIFS('Historico - FAT'!AM:AM,'Historico - FAT'!$K:$K,Faturamento!$L759,'Historico - FAT'!$I:$I,Faturamento!$J759,'Historico - FAT'!$G:$G,Faturamento!$H759)</f>
        <v>1218.3216666666667</v>
      </c>
      <c r="AE759" s="27">
        <f>SUMIFS('Historico - FAT'!AN:AN,'Historico - FAT'!$K:$K,Faturamento!$L759,'Historico - FAT'!$I:$I,Faturamento!$J759,'Historico - FAT'!$G:$G,Faturamento!$H759)</f>
        <v>730.99300000000005</v>
      </c>
      <c r="AG759" s="24" t="str">
        <f t="shared" si="181"/>
        <v/>
      </c>
      <c r="AH759" s="24" t="str">
        <f t="shared" si="182"/>
        <v/>
      </c>
      <c r="AI759" s="24" t="str">
        <f t="shared" si="183"/>
        <v/>
      </c>
    </row>
    <row r="760" spans="1:35" hidden="1" x14ac:dyDescent="0.3">
      <c r="A760" s="2" t="str">
        <f t="shared" si="180"/>
        <v>NÃO</v>
      </c>
      <c r="B760" s="2">
        <v>1000184670</v>
      </c>
      <c r="C760" s="2" t="s">
        <v>147</v>
      </c>
      <c r="D760" s="4">
        <v>1000186197</v>
      </c>
      <c r="E760" s="4" t="s">
        <v>166</v>
      </c>
      <c r="F760" s="2">
        <v>1000184756</v>
      </c>
      <c r="G760" s="2" t="s">
        <v>53</v>
      </c>
      <c r="H760" s="4">
        <v>1000189784</v>
      </c>
      <c r="I760" s="4" t="s">
        <v>54</v>
      </c>
      <c r="J760" s="2">
        <v>1000189270</v>
      </c>
      <c r="K760" s="2" t="s">
        <v>34</v>
      </c>
      <c r="L760" s="4" t="s">
        <v>28</v>
      </c>
      <c r="M760" s="4" t="str">
        <f t="shared" si="173"/>
        <v>1000184670100018619710001897841000189270SAL</v>
      </c>
      <c r="N760" s="28">
        <f>N745*_xlfn.XLOOKUP($L760,'Balizador da Meta'!$B$4:$B$21,'Balizador da Meta'!$C$4:$C$21)</f>
        <v>72</v>
      </c>
      <c r="O760" s="28">
        <f>O745*_xlfn.XLOOKUP($L760,'Balizador da Meta'!$B$4:$B$21,'Balizador da Meta'!$C$4:$C$21)</f>
        <v>72</v>
      </c>
      <c r="P760" s="28">
        <f>P745*_xlfn.XLOOKUP($L760,'Balizador da Meta'!$B$4:$B$21,'Balizador da Meta'!$C$4:$C$21)</f>
        <v>72</v>
      </c>
      <c r="Q760" s="28">
        <f>Q745*_xlfn.XLOOKUP($L760,'Balizador da Meta'!$B$4:$B$21,'Balizador da Meta'!$C$4:$C$21)</f>
        <v>72</v>
      </c>
      <c r="R760" s="28">
        <f>R745*_xlfn.XLOOKUP($L760,'Balizador da Meta'!$B$4:$B$21,'Balizador da Meta'!$C$4:$C$21)</f>
        <v>72</v>
      </c>
      <c r="S760" s="28">
        <f>S745*_xlfn.XLOOKUP($L760,'Balizador da Meta'!$B$4:$B$21,'Balizador da Meta'!$C$4:$C$21)</f>
        <v>72</v>
      </c>
      <c r="T760" s="28">
        <f>T745*_xlfn.XLOOKUP($L760,'Balizador da Meta'!$B$4:$B$21,'Balizador da Meta'!$C$4:$C$21)</f>
        <v>72</v>
      </c>
      <c r="U760" s="28">
        <f>U745*_xlfn.XLOOKUP($L760,'Balizador da Meta'!$B$4:$B$21,'Balizador da Meta'!$C$4:$C$21)</f>
        <v>72</v>
      </c>
      <c r="V760" s="28">
        <f>V745*_xlfn.XLOOKUP($L760,'Balizador da Meta'!$B$4:$B$21,'Balizador da Meta'!$C$4:$C$21)</f>
        <v>72</v>
      </c>
      <c r="W760" s="28">
        <f>W745*_xlfn.XLOOKUP($L760,'Balizador da Meta'!$B$4:$B$21,'Balizador da Meta'!$C$4:$C$21)</f>
        <v>72</v>
      </c>
      <c r="X760" s="28">
        <f>X745*_xlfn.XLOOKUP($L760,'Balizador da Meta'!$B$4:$B$21,'Balizador da Meta'!$C$4:$C$21)</f>
        <v>72</v>
      </c>
      <c r="Y760" s="28">
        <f>Y745*_xlfn.XLOOKUP($L760,'Balizador da Meta'!$B$4:$B$21,'Balizador da Meta'!$C$4:$C$21)</f>
        <v>72</v>
      </c>
      <c r="Z760" s="30">
        <f t="shared" si="179"/>
        <v>864</v>
      </c>
      <c r="AA760" s="29"/>
      <c r="AB760" s="31">
        <f>SUMIFS('Historico - FAT'!AK:AK,'Historico - FAT'!$K:$K,Faturamento!$L760,'Historico - FAT'!$I:$I,Faturamento!$J760,'Historico - FAT'!$G:$G,Faturamento!$H760)</f>
        <v>0</v>
      </c>
      <c r="AC760" s="31">
        <f>SUMIFS('Historico - FAT'!AL:AL,'Historico - FAT'!$K:$K,Faturamento!$L760,'Historico - FAT'!$I:$I,Faturamento!$J760,'Historico - FAT'!$G:$G,Faturamento!$H760)</f>
        <v>416.02666666666664</v>
      </c>
      <c r="AD760" s="31">
        <f>SUMIFS('Historico - FAT'!AM:AM,'Historico - FAT'!$K:$K,Faturamento!$L760,'Historico - FAT'!$I:$I,Faturamento!$J760,'Historico - FAT'!$G:$G,Faturamento!$H760)</f>
        <v>832.05333333333328</v>
      </c>
      <c r="AE760" s="27">
        <f>SUMIFS('Historico - FAT'!AN:AN,'Historico - FAT'!$K:$K,Faturamento!$L760,'Historico - FAT'!$I:$I,Faturamento!$J760,'Historico - FAT'!$G:$G,Faturamento!$H760)</f>
        <v>499.23199999999997</v>
      </c>
      <c r="AG760" s="24">
        <f t="shared" si="181"/>
        <v>1</v>
      </c>
      <c r="AH760" s="24">
        <f t="shared" si="182"/>
        <v>-4.7781481481481478</v>
      </c>
      <c r="AI760" s="24">
        <f t="shared" si="183"/>
        <v>-10.556296296296296</v>
      </c>
    </row>
    <row r="761" spans="1:35" hidden="1" x14ac:dyDescent="0.3">
      <c r="A761" s="2" t="str">
        <f t="shared" si="180"/>
        <v>NÃO</v>
      </c>
      <c r="B761" s="2">
        <v>1000184670</v>
      </c>
      <c r="C761" s="2" t="s">
        <v>147</v>
      </c>
      <c r="D761" s="4">
        <v>1000186197</v>
      </c>
      <c r="E761" s="4" t="s">
        <v>166</v>
      </c>
      <c r="F761" s="2">
        <v>1000184756</v>
      </c>
      <c r="G761" s="2" t="s">
        <v>53</v>
      </c>
      <c r="H761" s="4">
        <v>1000189784</v>
      </c>
      <c r="I761" s="4" t="s">
        <v>54</v>
      </c>
      <c r="J761" s="2">
        <v>1000189270</v>
      </c>
      <c r="K761" s="2" t="s">
        <v>34</v>
      </c>
      <c r="L761" s="4" t="s">
        <v>26</v>
      </c>
      <c r="M761" s="4" t="str">
        <f t="shared" si="173"/>
        <v>1000184670100018619710001897841000189270SOULPRO</v>
      </c>
      <c r="N761" s="28">
        <f>N745*_xlfn.XLOOKUP($L761,'Balizador da Meta'!$B$4:$B$21,'Balizador da Meta'!$C$4:$C$21)</f>
        <v>216</v>
      </c>
      <c r="O761" s="28">
        <f>O745*_xlfn.XLOOKUP($L761,'Balizador da Meta'!$B$4:$B$21,'Balizador da Meta'!$C$4:$C$21)</f>
        <v>216</v>
      </c>
      <c r="P761" s="28">
        <f>P745*_xlfn.XLOOKUP($L761,'Balizador da Meta'!$B$4:$B$21,'Balizador da Meta'!$C$4:$C$21)</f>
        <v>216</v>
      </c>
      <c r="Q761" s="28">
        <f>Q745*_xlfn.XLOOKUP($L761,'Balizador da Meta'!$B$4:$B$21,'Balizador da Meta'!$C$4:$C$21)</f>
        <v>216</v>
      </c>
      <c r="R761" s="28">
        <f>R745*_xlfn.XLOOKUP($L761,'Balizador da Meta'!$B$4:$B$21,'Balizador da Meta'!$C$4:$C$21)</f>
        <v>216</v>
      </c>
      <c r="S761" s="28">
        <f>S745*_xlfn.XLOOKUP($L761,'Balizador da Meta'!$B$4:$B$21,'Balizador da Meta'!$C$4:$C$21)</f>
        <v>216</v>
      </c>
      <c r="T761" s="28">
        <f>T745*_xlfn.XLOOKUP($L761,'Balizador da Meta'!$B$4:$B$21,'Balizador da Meta'!$C$4:$C$21)</f>
        <v>216</v>
      </c>
      <c r="U761" s="28">
        <f>U745*_xlfn.XLOOKUP($L761,'Balizador da Meta'!$B$4:$B$21,'Balizador da Meta'!$C$4:$C$21)</f>
        <v>216</v>
      </c>
      <c r="V761" s="28">
        <f>V745*_xlfn.XLOOKUP($L761,'Balizador da Meta'!$B$4:$B$21,'Balizador da Meta'!$C$4:$C$21)</f>
        <v>216</v>
      </c>
      <c r="W761" s="28">
        <f>W745*_xlfn.XLOOKUP($L761,'Balizador da Meta'!$B$4:$B$21,'Balizador da Meta'!$C$4:$C$21)</f>
        <v>216</v>
      </c>
      <c r="X761" s="28">
        <f>X745*_xlfn.XLOOKUP($L761,'Balizador da Meta'!$B$4:$B$21,'Balizador da Meta'!$C$4:$C$21)</f>
        <v>216</v>
      </c>
      <c r="Y761" s="28">
        <f>Y745*_xlfn.XLOOKUP($L761,'Balizador da Meta'!$B$4:$B$21,'Balizador da Meta'!$C$4:$C$21)</f>
        <v>216</v>
      </c>
      <c r="Z761" s="30">
        <f t="shared" si="179"/>
        <v>2592</v>
      </c>
      <c r="AA761" s="29"/>
      <c r="AB761" s="31">
        <f>SUMIFS('Historico - FAT'!AK:AK,'Historico - FAT'!$K:$K,Faturamento!$L761,'Historico - FAT'!$I:$I,Faturamento!$J761,'Historico - FAT'!$G:$G,Faturamento!$H761)</f>
        <v>0</v>
      </c>
      <c r="AC761" s="31">
        <f>SUMIFS('Historico - FAT'!AL:AL,'Historico - FAT'!$K:$K,Faturamento!$L761,'Historico - FAT'!$I:$I,Faturamento!$J761,'Historico - FAT'!$G:$G,Faturamento!$H761)</f>
        <v>232.85333333333332</v>
      </c>
      <c r="AD761" s="31">
        <f>SUMIFS('Historico - FAT'!AM:AM,'Historico - FAT'!$K:$K,Faturamento!$L761,'Historico - FAT'!$I:$I,Faturamento!$J761,'Historico - FAT'!$G:$G,Faturamento!$H761)</f>
        <v>347.34666666666664</v>
      </c>
      <c r="AE761" s="27">
        <f>SUMIFS('Historico - FAT'!AN:AN,'Historico - FAT'!$K:$K,Faturamento!$L761,'Historico - FAT'!$I:$I,Faturamento!$J761,'Historico - FAT'!$G:$G,Faturamento!$H761)</f>
        <v>279.42399999999998</v>
      </c>
      <c r="AG761" s="24">
        <f t="shared" si="181"/>
        <v>1</v>
      </c>
      <c r="AH761" s="24">
        <f t="shared" si="182"/>
        <v>-7.8024691358024645E-2</v>
      </c>
      <c r="AI761" s="24">
        <f t="shared" si="183"/>
        <v>-0.6080864197530863</v>
      </c>
    </row>
    <row r="762" spans="1:35" hidden="1" x14ac:dyDescent="0.3">
      <c r="A762" s="2" t="str">
        <f t="shared" si="180"/>
        <v>NÃO</v>
      </c>
      <c r="B762" s="2">
        <v>1000184670</v>
      </c>
      <c r="C762" s="2" t="s">
        <v>147</v>
      </c>
      <c r="D762" s="4">
        <v>1000186197</v>
      </c>
      <c r="E762" s="4" t="s">
        <v>166</v>
      </c>
      <c r="F762" s="2">
        <v>1000184756</v>
      </c>
      <c r="G762" s="2" t="s">
        <v>53</v>
      </c>
      <c r="H762" s="4">
        <v>1000189784</v>
      </c>
      <c r="I762" s="4" t="s">
        <v>54</v>
      </c>
      <c r="J762" s="2">
        <v>1000189270</v>
      </c>
      <c r="K762" s="2" t="s">
        <v>34</v>
      </c>
      <c r="L762" s="4" t="s">
        <v>27</v>
      </c>
      <c r="M762" s="4" t="str">
        <f t="shared" si="173"/>
        <v>1000184670100018619710001897841000189270TAMARA</v>
      </c>
      <c r="N762" s="28">
        <f>N745*_xlfn.XLOOKUP($L762,'Balizador da Meta'!$B$4:$B$21,'Balizador da Meta'!$C$4:$C$21)</f>
        <v>288</v>
      </c>
      <c r="O762" s="28">
        <f>O745*_xlfn.XLOOKUP($L762,'Balizador da Meta'!$B$4:$B$21,'Balizador da Meta'!$C$4:$C$21)</f>
        <v>288</v>
      </c>
      <c r="P762" s="28">
        <f>P745*_xlfn.XLOOKUP($L762,'Balizador da Meta'!$B$4:$B$21,'Balizador da Meta'!$C$4:$C$21)</f>
        <v>288</v>
      </c>
      <c r="Q762" s="28">
        <f>Q745*_xlfn.XLOOKUP($L762,'Balizador da Meta'!$B$4:$B$21,'Balizador da Meta'!$C$4:$C$21)</f>
        <v>288</v>
      </c>
      <c r="R762" s="28">
        <f>R745*_xlfn.XLOOKUP($L762,'Balizador da Meta'!$B$4:$B$21,'Balizador da Meta'!$C$4:$C$21)</f>
        <v>288</v>
      </c>
      <c r="S762" s="28">
        <f>S745*_xlfn.XLOOKUP($L762,'Balizador da Meta'!$B$4:$B$21,'Balizador da Meta'!$C$4:$C$21)</f>
        <v>288</v>
      </c>
      <c r="T762" s="28">
        <f>T745*_xlfn.XLOOKUP($L762,'Balizador da Meta'!$B$4:$B$21,'Balizador da Meta'!$C$4:$C$21)</f>
        <v>288</v>
      </c>
      <c r="U762" s="28">
        <f>U745*_xlfn.XLOOKUP($L762,'Balizador da Meta'!$B$4:$B$21,'Balizador da Meta'!$C$4:$C$21)</f>
        <v>288</v>
      </c>
      <c r="V762" s="28">
        <f>V745*_xlfn.XLOOKUP($L762,'Balizador da Meta'!$B$4:$B$21,'Balizador da Meta'!$C$4:$C$21)</f>
        <v>288</v>
      </c>
      <c r="W762" s="28">
        <f>W745*_xlfn.XLOOKUP($L762,'Balizador da Meta'!$B$4:$B$21,'Balizador da Meta'!$C$4:$C$21)</f>
        <v>288</v>
      </c>
      <c r="X762" s="28">
        <f>X745*_xlfn.XLOOKUP($L762,'Balizador da Meta'!$B$4:$B$21,'Balizador da Meta'!$C$4:$C$21)</f>
        <v>288</v>
      </c>
      <c r="Y762" s="28">
        <f>Y745*_xlfn.XLOOKUP($L762,'Balizador da Meta'!$B$4:$B$21,'Balizador da Meta'!$C$4:$C$21)</f>
        <v>288</v>
      </c>
      <c r="Z762" s="30">
        <f t="shared" si="179"/>
        <v>3456</v>
      </c>
      <c r="AA762" s="29"/>
      <c r="AB762" s="31">
        <f>SUMIFS('Historico - FAT'!AK:AK,'Historico - FAT'!$K:$K,Faturamento!$L762,'Historico - FAT'!$I:$I,Faturamento!$J762,'Historico - FAT'!$G:$G,Faturamento!$H762)</f>
        <v>0</v>
      </c>
      <c r="AC762" s="31">
        <f>SUMIFS('Historico - FAT'!AL:AL,'Historico - FAT'!$K:$K,Faturamento!$L762,'Historico - FAT'!$I:$I,Faturamento!$J762,'Historico - FAT'!$G:$G,Faturamento!$H762)</f>
        <v>0</v>
      </c>
      <c r="AD762" s="31">
        <f>SUMIFS('Historico - FAT'!AM:AM,'Historico - FAT'!$K:$K,Faturamento!$L762,'Historico - FAT'!$I:$I,Faturamento!$J762,'Historico - FAT'!$G:$G,Faturamento!$H762)</f>
        <v>0</v>
      </c>
      <c r="AE762" s="27">
        <f>SUMIFS('Historico - FAT'!AN:AN,'Historico - FAT'!$K:$K,Faturamento!$L762,'Historico - FAT'!$I:$I,Faturamento!$J762,'Historico - FAT'!$G:$G,Faturamento!$H762)</f>
        <v>0</v>
      </c>
      <c r="AG762" s="24">
        <f t="shared" si="181"/>
        <v>1</v>
      </c>
      <c r="AH762" s="24">
        <f t="shared" si="182"/>
        <v>1</v>
      </c>
      <c r="AI762" s="24">
        <f t="shared" si="183"/>
        <v>1</v>
      </c>
    </row>
    <row r="763" spans="1:35" hidden="1" x14ac:dyDescent="0.3">
      <c r="A763" s="2" t="str">
        <f t="shared" si="180"/>
        <v>NÃO</v>
      </c>
      <c r="B763" s="2">
        <v>1000184670</v>
      </c>
      <c r="C763" s="2" t="s">
        <v>147</v>
      </c>
      <c r="D763" s="4">
        <v>1000186197</v>
      </c>
      <c r="E763" s="4" t="s">
        <v>166</v>
      </c>
      <c r="F763" s="2">
        <v>1000184756</v>
      </c>
      <c r="G763" s="2" t="s">
        <v>53</v>
      </c>
      <c r="H763" s="4">
        <v>1000189784</v>
      </c>
      <c r="I763" s="4" t="s">
        <v>54</v>
      </c>
      <c r="J763" s="2">
        <v>1000189270</v>
      </c>
      <c r="K763" s="2" t="s">
        <v>34</v>
      </c>
      <c r="L763" s="4" t="s">
        <v>25</v>
      </c>
      <c r="M763" s="4" t="str">
        <f t="shared" si="173"/>
        <v>1000184670100018619710001897841000189270VICCIO</v>
      </c>
      <c r="N763" s="28">
        <f>N745*_xlfn.XLOOKUP($L763,'Balizador da Meta'!$B$4:$B$21,'Balizador da Meta'!$C$4:$C$21)</f>
        <v>108</v>
      </c>
      <c r="O763" s="28">
        <f>O745*_xlfn.XLOOKUP($L763,'Balizador da Meta'!$B$4:$B$21,'Balizador da Meta'!$C$4:$C$21)</f>
        <v>108</v>
      </c>
      <c r="P763" s="28">
        <f>P745*_xlfn.XLOOKUP($L763,'Balizador da Meta'!$B$4:$B$21,'Balizador da Meta'!$C$4:$C$21)</f>
        <v>108</v>
      </c>
      <c r="Q763" s="28">
        <f>Q745*_xlfn.XLOOKUP($L763,'Balizador da Meta'!$B$4:$B$21,'Balizador da Meta'!$C$4:$C$21)</f>
        <v>108</v>
      </c>
      <c r="R763" s="28">
        <f>R745*_xlfn.XLOOKUP($L763,'Balizador da Meta'!$B$4:$B$21,'Balizador da Meta'!$C$4:$C$21)</f>
        <v>108</v>
      </c>
      <c r="S763" s="28">
        <f>S745*_xlfn.XLOOKUP($L763,'Balizador da Meta'!$B$4:$B$21,'Balizador da Meta'!$C$4:$C$21)</f>
        <v>108</v>
      </c>
      <c r="T763" s="28">
        <f>T745*_xlfn.XLOOKUP($L763,'Balizador da Meta'!$B$4:$B$21,'Balizador da Meta'!$C$4:$C$21)</f>
        <v>108</v>
      </c>
      <c r="U763" s="28">
        <f>U745*_xlfn.XLOOKUP($L763,'Balizador da Meta'!$B$4:$B$21,'Balizador da Meta'!$C$4:$C$21)</f>
        <v>108</v>
      </c>
      <c r="V763" s="28">
        <f>V745*_xlfn.XLOOKUP($L763,'Balizador da Meta'!$B$4:$B$21,'Balizador da Meta'!$C$4:$C$21)</f>
        <v>108</v>
      </c>
      <c r="W763" s="28">
        <f>W745*_xlfn.XLOOKUP($L763,'Balizador da Meta'!$B$4:$B$21,'Balizador da Meta'!$C$4:$C$21)</f>
        <v>108</v>
      </c>
      <c r="X763" s="28">
        <f>X745*_xlfn.XLOOKUP($L763,'Balizador da Meta'!$B$4:$B$21,'Balizador da Meta'!$C$4:$C$21)</f>
        <v>108</v>
      </c>
      <c r="Y763" s="28">
        <f>Y745*_xlfn.XLOOKUP($L763,'Balizador da Meta'!$B$4:$B$21,'Balizador da Meta'!$C$4:$C$21)</f>
        <v>108</v>
      </c>
      <c r="Z763" s="30">
        <f t="shared" si="179"/>
        <v>1296</v>
      </c>
      <c r="AA763" s="29"/>
      <c r="AB763" s="31">
        <f>SUMIFS('Historico - FAT'!AK:AK,'Historico - FAT'!$K:$K,Faturamento!$L763,'Historico - FAT'!$I:$I,Faturamento!$J763,'Historico - FAT'!$G:$G,Faturamento!$H763)</f>
        <v>0</v>
      </c>
      <c r="AC763" s="31">
        <f>SUMIFS('Historico - FAT'!AL:AL,'Historico - FAT'!$K:$K,Faturamento!$L763,'Historico - FAT'!$I:$I,Faturamento!$J763,'Historico - FAT'!$G:$G,Faturamento!$H763)</f>
        <v>11.25</v>
      </c>
      <c r="AD763" s="31">
        <f>SUMIFS('Historico - FAT'!AM:AM,'Historico - FAT'!$K:$K,Faturamento!$L763,'Historico - FAT'!$I:$I,Faturamento!$J763,'Historico - FAT'!$G:$G,Faturamento!$H763)</f>
        <v>0</v>
      </c>
      <c r="AE763" s="27">
        <f>SUMIFS('Historico - FAT'!AN:AN,'Historico - FAT'!$K:$K,Faturamento!$L763,'Historico - FAT'!$I:$I,Faturamento!$J763,'Historico - FAT'!$G:$G,Faturamento!$H763)</f>
        <v>13.5</v>
      </c>
      <c r="AG763" s="24">
        <f t="shared" si="181"/>
        <v>1</v>
      </c>
      <c r="AH763" s="24">
        <f t="shared" si="182"/>
        <v>0.89583333333333337</v>
      </c>
      <c r="AI763" s="24">
        <f t="shared" si="183"/>
        <v>1</v>
      </c>
    </row>
    <row r="764" spans="1:35" x14ac:dyDescent="0.3">
      <c r="A764" s="2" t="str">
        <f t="shared" si="180"/>
        <v>SIM</v>
      </c>
      <c r="B764" s="2">
        <v>1000184670</v>
      </c>
      <c r="C764" s="2" t="s">
        <v>147</v>
      </c>
      <c r="D764" s="4">
        <v>1000186197</v>
      </c>
      <c r="E764" s="4" t="s">
        <v>166</v>
      </c>
      <c r="F764" s="2">
        <v>1000184758</v>
      </c>
      <c r="G764" s="2" t="s">
        <v>55</v>
      </c>
      <c r="H764" s="4">
        <v>1000189785</v>
      </c>
      <c r="I764" s="4" t="s">
        <v>57</v>
      </c>
      <c r="J764" s="2">
        <v>1000189270</v>
      </c>
      <c r="K764" s="2" t="s">
        <v>34</v>
      </c>
      <c r="L764" s="4" t="s">
        <v>124</v>
      </c>
      <c r="M764" s="4" t="str">
        <f t="shared" si="173"/>
        <v>100018467010001861971000189785100018927001. TOTAL</v>
      </c>
      <c r="N764" s="28">
        <f>SUMIFS(Positivação!L:L,Positivação!$I:$I,Faturamento!$J764,Positivação!$G:$G,Faturamento!$H764)*SUMIFS(Positivação!$Z:$Z,Positivação!$I:$I,Faturamento!$J764,Positivação!$G:$G,Faturamento!$H764)</f>
        <v>1800</v>
      </c>
      <c r="O764" s="28">
        <f>SUMIFS(Positivação!M:M,Positivação!$I:$I,Faturamento!$J764,Positivação!$G:$G,Faturamento!$H764)*SUMIFS(Positivação!$Z:$Z,Positivação!$I:$I,Faturamento!$J764,Positivação!$G:$G,Faturamento!$H764)</f>
        <v>1800</v>
      </c>
      <c r="P764" s="28">
        <f>SUMIFS(Positivação!N:N,Positivação!$I:$I,Faturamento!$J764,Positivação!$G:$G,Faturamento!$H764)*SUMIFS(Positivação!$Z:$Z,Positivação!$I:$I,Faturamento!$J764,Positivação!$G:$G,Faturamento!$H764)</f>
        <v>1800</v>
      </c>
      <c r="Q764" s="28">
        <f>SUMIFS(Positivação!O:O,Positivação!$I:$I,Faturamento!$J764,Positivação!$G:$G,Faturamento!$H764)*SUMIFS(Positivação!$Z:$Z,Positivação!$I:$I,Faturamento!$J764,Positivação!$G:$G,Faturamento!$H764)</f>
        <v>1800</v>
      </c>
      <c r="R764" s="28">
        <f>SUMIFS(Positivação!P:P,Positivação!$I:$I,Faturamento!$J764,Positivação!$G:$G,Faturamento!$H764)*SUMIFS(Positivação!$Z:$Z,Positivação!$I:$I,Faturamento!$J764,Positivação!$G:$G,Faturamento!$H764)</f>
        <v>1800</v>
      </c>
      <c r="S764" s="28">
        <f>SUMIFS(Positivação!Q:Q,Positivação!$I:$I,Faturamento!$J764,Positivação!$G:$G,Faturamento!$H764)*SUMIFS(Positivação!$Z:$Z,Positivação!$I:$I,Faturamento!$J764,Positivação!$G:$G,Faturamento!$H764)</f>
        <v>1800</v>
      </c>
      <c r="T764" s="28">
        <f>SUMIFS(Positivação!R:R,Positivação!$I:$I,Faturamento!$J764,Positivação!$G:$G,Faturamento!$H764)*SUMIFS(Positivação!$Z:$Z,Positivação!$I:$I,Faturamento!$J764,Positivação!$G:$G,Faturamento!$H764)</f>
        <v>1800</v>
      </c>
      <c r="U764" s="28">
        <f>SUMIFS(Positivação!S:S,Positivação!$I:$I,Faturamento!$J764,Positivação!$G:$G,Faturamento!$H764)*SUMIFS(Positivação!$Z:$Z,Positivação!$I:$I,Faturamento!$J764,Positivação!$G:$G,Faturamento!$H764)</f>
        <v>1800</v>
      </c>
      <c r="V764" s="28">
        <f>SUMIFS(Positivação!T:T,Positivação!$I:$I,Faturamento!$J764,Positivação!$G:$G,Faturamento!$H764)*SUMIFS(Positivação!$Z:$Z,Positivação!$I:$I,Faturamento!$J764,Positivação!$G:$G,Faturamento!$H764)</f>
        <v>1800</v>
      </c>
      <c r="W764" s="28">
        <f>SUMIFS(Positivação!U:U,Positivação!$I:$I,Faturamento!$J764,Positivação!$G:$G,Faturamento!$H764)*SUMIFS(Positivação!$Z:$Z,Positivação!$I:$I,Faturamento!$J764,Positivação!$G:$G,Faturamento!$H764)</f>
        <v>1800</v>
      </c>
      <c r="X764" s="28">
        <f>SUMIFS(Positivação!V:V,Positivação!$I:$I,Faturamento!$J764,Positivação!$G:$G,Faturamento!$H764)*SUMIFS(Positivação!$Z:$Z,Positivação!$I:$I,Faturamento!$J764,Positivação!$G:$G,Faturamento!$H764)</f>
        <v>1800</v>
      </c>
      <c r="Y764" s="28">
        <f>SUMIFS(Positivação!W:W,Positivação!$I:$I,Faturamento!$J764,Positivação!$G:$G,Faturamento!$H764)*SUMIFS(Positivação!$Z:$Z,Positivação!$I:$I,Faturamento!$J764,Positivação!$G:$G,Faturamento!$H764)</f>
        <v>1800</v>
      </c>
      <c r="Z764" s="28">
        <f t="shared" ref="Z764" si="184">SUM(Z765:Z782)</f>
        <v>21600</v>
      </c>
      <c r="AA764" s="29"/>
      <c r="AB764" s="28">
        <f t="shared" ref="AB764:AE764" si="185">SUM(AB765:AB782)</f>
        <v>0</v>
      </c>
      <c r="AC764" s="28">
        <f t="shared" si="185"/>
        <v>1332.0683333333332</v>
      </c>
      <c r="AD764" s="28">
        <f t="shared" si="185"/>
        <v>1691.3566666666668</v>
      </c>
      <c r="AE764" s="28">
        <f t="shared" si="185"/>
        <v>1598.482</v>
      </c>
      <c r="AG764" s="24">
        <f t="shared" si="181"/>
        <v>1</v>
      </c>
      <c r="AH764" s="24">
        <f t="shared" si="182"/>
        <v>0.25996203703703713</v>
      </c>
      <c r="AI764" s="24">
        <f t="shared" si="183"/>
        <v>6.0357407407407332E-2</v>
      </c>
    </row>
    <row r="765" spans="1:35" hidden="1" x14ac:dyDescent="0.3">
      <c r="A765" s="2" t="str">
        <f t="shared" si="180"/>
        <v>NÃO</v>
      </c>
      <c r="B765" s="2">
        <v>1000184670</v>
      </c>
      <c r="C765" s="2" t="s">
        <v>147</v>
      </c>
      <c r="D765" s="4">
        <v>1000186197</v>
      </c>
      <c r="E765" s="4" t="s">
        <v>166</v>
      </c>
      <c r="F765" s="2">
        <v>1000184758</v>
      </c>
      <c r="G765" s="2" t="s">
        <v>55</v>
      </c>
      <c r="H765" s="4">
        <v>1000189785</v>
      </c>
      <c r="I765" s="4" t="s">
        <v>57</v>
      </c>
      <c r="J765" s="2">
        <v>1000189270</v>
      </c>
      <c r="K765" s="2" t="s">
        <v>34</v>
      </c>
      <c r="L765" s="4" t="s">
        <v>13</v>
      </c>
      <c r="M765" s="4" t="str">
        <f t="shared" si="173"/>
        <v>1000184670100018619710001897851000189270BISCOITO</v>
      </c>
      <c r="N765" s="28">
        <f>N764*_xlfn.XLOOKUP($L765,'Balizador da Meta'!$B$4:$B$21,'Balizador da Meta'!$C$4:$C$21)</f>
        <v>126.00000000000001</v>
      </c>
      <c r="O765" s="28">
        <f>O764*_xlfn.XLOOKUP($L765,'Balizador da Meta'!$B$4:$B$21,'Balizador da Meta'!$C$4:$C$21)</f>
        <v>126.00000000000001</v>
      </c>
      <c r="P765" s="28">
        <f>P764*_xlfn.XLOOKUP($L765,'Balizador da Meta'!$B$4:$B$21,'Balizador da Meta'!$C$4:$C$21)</f>
        <v>126.00000000000001</v>
      </c>
      <c r="Q765" s="28">
        <f>Q764*_xlfn.XLOOKUP($L765,'Balizador da Meta'!$B$4:$B$21,'Balizador da Meta'!$C$4:$C$21)</f>
        <v>126.00000000000001</v>
      </c>
      <c r="R765" s="28">
        <f>R764*_xlfn.XLOOKUP($L765,'Balizador da Meta'!$B$4:$B$21,'Balizador da Meta'!$C$4:$C$21)</f>
        <v>126.00000000000001</v>
      </c>
      <c r="S765" s="28">
        <f>S764*_xlfn.XLOOKUP($L765,'Balizador da Meta'!$B$4:$B$21,'Balizador da Meta'!$C$4:$C$21)</f>
        <v>126.00000000000001</v>
      </c>
      <c r="T765" s="28">
        <f>T764*_xlfn.XLOOKUP($L765,'Balizador da Meta'!$B$4:$B$21,'Balizador da Meta'!$C$4:$C$21)</f>
        <v>126.00000000000001</v>
      </c>
      <c r="U765" s="28">
        <f>U764*_xlfn.XLOOKUP($L765,'Balizador da Meta'!$B$4:$B$21,'Balizador da Meta'!$C$4:$C$21)</f>
        <v>126.00000000000001</v>
      </c>
      <c r="V765" s="28">
        <f>V764*_xlfn.XLOOKUP($L765,'Balizador da Meta'!$B$4:$B$21,'Balizador da Meta'!$C$4:$C$21)</f>
        <v>126.00000000000001</v>
      </c>
      <c r="W765" s="28">
        <f>W764*_xlfn.XLOOKUP($L765,'Balizador da Meta'!$B$4:$B$21,'Balizador da Meta'!$C$4:$C$21)</f>
        <v>126.00000000000001</v>
      </c>
      <c r="X765" s="28">
        <f>X764*_xlfn.XLOOKUP($L765,'Balizador da Meta'!$B$4:$B$21,'Balizador da Meta'!$C$4:$C$21)</f>
        <v>126.00000000000001</v>
      </c>
      <c r="Y765" s="28">
        <f>Y764*_xlfn.XLOOKUP($L765,'Balizador da Meta'!$B$4:$B$21,'Balizador da Meta'!$C$4:$C$21)</f>
        <v>126.00000000000001</v>
      </c>
      <c r="Z765" s="30">
        <f t="shared" ref="Z765:Z782" si="186">SUM(N765:Y765)</f>
        <v>1512.0000000000002</v>
      </c>
      <c r="AA765" s="29"/>
      <c r="AB765" s="31">
        <f>SUMIFS('Historico - FAT'!AK:AK,'Historico - FAT'!$K:$K,Faturamento!$L765,'Historico - FAT'!$I:$I,Faturamento!$J765,'Historico - FAT'!$G:$G,Faturamento!$H765)</f>
        <v>0</v>
      </c>
      <c r="AC765" s="31">
        <f>SUMIFS('Historico - FAT'!AL:AL,'Historico - FAT'!$K:$K,Faturamento!$L765,'Historico - FAT'!$I:$I,Faturamento!$J765,'Historico - FAT'!$G:$G,Faturamento!$H765)</f>
        <v>235.06916666666666</v>
      </c>
      <c r="AD765" s="31">
        <f>SUMIFS('Historico - FAT'!AM:AM,'Historico - FAT'!$K:$K,Faturamento!$L765,'Historico - FAT'!$I:$I,Faturamento!$J765,'Historico - FAT'!$G:$G,Faturamento!$H765)</f>
        <v>382.39833333333331</v>
      </c>
      <c r="AE765" s="27">
        <f>SUMIFS('Historico - FAT'!AN:AN,'Historico - FAT'!$K:$K,Faturamento!$L765,'Historico - FAT'!$I:$I,Faturamento!$J765,'Historico - FAT'!$G:$G,Faturamento!$H765)</f>
        <v>282.08299999999997</v>
      </c>
      <c r="AG765" s="24">
        <f t="shared" si="181"/>
        <v>1</v>
      </c>
      <c r="AH765" s="24">
        <f t="shared" si="182"/>
        <v>-0.86562830687830661</v>
      </c>
      <c r="AI765" s="24">
        <f t="shared" si="183"/>
        <v>-2.0349074074074069</v>
      </c>
    </row>
    <row r="766" spans="1:35" hidden="1" x14ac:dyDescent="0.3">
      <c r="A766" s="2" t="str">
        <f t="shared" si="180"/>
        <v>NÃO</v>
      </c>
      <c r="B766" s="2">
        <v>1000184670</v>
      </c>
      <c r="C766" s="2" t="s">
        <v>147</v>
      </c>
      <c r="D766" s="4">
        <v>1000186197</v>
      </c>
      <c r="E766" s="4" t="s">
        <v>166</v>
      </c>
      <c r="F766" s="2">
        <v>1000184758</v>
      </c>
      <c r="G766" s="2" t="s">
        <v>55</v>
      </c>
      <c r="H766" s="4">
        <v>1000189785</v>
      </c>
      <c r="I766" s="4" t="s">
        <v>57</v>
      </c>
      <c r="J766" s="2">
        <v>1000189270</v>
      </c>
      <c r="K766" s="2" t="s">
        <v>34</v>
      </c>
      <c r="L766" s="4" t="s">
        <v>14</v>
      </c>
      <c r="M766" s="4" t="str">
        <f t="shared" si="173"/>
        <v>1000184670100018619710001897851000189270CHOCOLATES</v>
      </c>
      <c r="N766" s="28">
        <f>N764*_xlfn.XLOOKUP($L766,'Balizador da Meta'!$B$4:$B$21,'Balizador da Meta'!$C$4:$C$21)</f>
        <v>126.00000000000001</v>
      </c>
      <c r="O766" s="28">
        <f>O764*_xlfn.XLOOKUP($L766,'Balizador da Meta'!$B$4:$B$21,'Balizador da Meta'!$C$4:$C$21)</f>
        <v>126.00000000000001</v>
      </c>
      <c r="P766" s="28">
        <f>P764*_xlfn.XLOOKUP($L766,'Balizador da Meta'!$B$4:$B$21,'Balizador da Meta'!$C$4:$C$21)</f>
        <v>126.00000000000001</v>
      </c>
      <c r="Q766" s="28">
        <f>Q764*_xlfn.XLOOKUP($L766,'Balizador da Meta'!$B$4:$B$21,'Balizador da Meta'!$C$4:$C$21)</f>
        <v>126.00000000000001</v>
      </c>
      <c r="R766" s="28">
        <f>R764*_xlfn.XLOOKUP($L766,'Balizador da Meta'!$B$4:$B$21,'Balizador da Meta'!$C$4:$C$21)</f>
        <v>126.00000000000001</v>
      </c>
      <c r="S766" s="28">
        <f>S764*_xlfn.XLOOKUP($L766,'Balizador da Meta'!$B$4:$B$21,'Balizador da Meta'!$C$4:$C$21)</f>
        <v>126.00000000000001</v>
      </c>
      <c r="T766" s="28">
        <f>T764*_xlfn.XLOOKUP($L766,'Balizador da Meta'!$B$4:$B$21,'Balizador da Meta'!$C$4:$C$21)</f>
        <v>126.00000000000001</v>
      </c>
      <c r="U766" s="28">
        <f>U764*_xlfn.XLOOKUP($L766,'Balizador da Meta'!$B$4:$B$21,'Balizador da Meta'!$C$4:$C$21)</f>
        <v>126.00000000000001</v>
      </c>
      <c r="V766" s="28">
        <f>V764*_xlfn.XLOOKUP($L766,'Balizador da Meta'!$B$4:$B$21,'Balizador da Meta'!$C$4:$C$21)</f>
        <v>126.00000000000001</v>
      </c>
      <c r="W766" s="28">
        <f>W764*_xlfn.XLOOKUP($L766,'Balizador da Meta'!$B$4:$B$21,'Balizador da Meta'!$C$4:$C$21)</f>
        <v>126.00000000000001</v>
      </c>
      <c r="X766" s="28">
        <f>X764*_xlfn.XLOOKUP($L766,'Balizador da Meta'!$B$4:$B$21,'Balizador da Meta'!$C$4:$C$21)</f>
        <v>126.00000000000001</v>
      </c>
      <c r="Y766" s="28">
        <f>Y764*_xlfn.XLOOKUP($L766,'Balizador da Meta'!$B$4:$B$21,'Balizador da Meta'!$C$4:$C$21)</f>
        <v>126.00000000000001</v>
      </c>
      <c r="Z766" s="30">
        <f t="shared" si="186"/>
        <v>1512.0000000000002</v>
      </c>
      <c r="AA766" s="29"/>
      <c r="AB766" s="31">
        <f>SUMIFS('Historico - FAT'!AK:AK,'Historico - FAT'!$K:$K,Faturamento!$L766,'Historico - FAT'!$I:$I,Faturamento!$J766,'Historico - FAT'!$G:$G,Faturamento!$H766)</f>
        <v>0</v>
      </c>
      <c r="AC766" s="31">
        <f>SUMIFS('Historico - FAT'!AL:AL,'Historico - FAT'!$K:$K,Faturamento!$L766,'Historico - FAT'!$I:$I,Faturamento!$J766,'Historico - FAT'!$G:$G,Faturamento!$H766)</f>
        <v>80.725000000000009</v>
      </c>
      <c r="AD766" s="31">
        <f>SUMIFS('Historico - FAT'!AM:AM,'Historico - FAT'!$K:$K,Faturamento!$L766,'Historico - FAT'!$I:$I,Faturamento!$J766,'Historico - FAT'!$G:$G,Faturamento!$H766)</f>
        <v>161.45000000000002</v>
      </c>
      <c r="AE766" s="27">
        <f>SUMIFS('Historico - FAT'!AN:AN,'Historico - FAT'!$K:$K,Faturamento!$L766,'Historico - FAT'!$I:$I,Faturamento!$J766,'Historico - FAT'!$G:$G,Faturamento!$H766)</f>
        <v>96.87</v>
      </c>
      <c r="AG766" s="24">
        <f t="shared" si="181"/>
        <v>1</v>
      </c>
      <c r="AH766" s="24">
        <f t="shared" si="182"/>
        <v>0.35932539682539683</v>
      </c>
      <c r="AI766" s="24">
        <f t="shared" si="183"/>
        <v>-0.28134920634920635</v>
      </c>
    </row>
    <row r="767" spans="1:35" hidden="1" x14ac:dyDescent="0.3">
      <c r="A767" s="2" t="str">
        <f t="shared" si="180"/>
        <v>NÃO</v>
      </c>
      <c r="B767" s="2">
        <v>1000184670</v>
      </c>
      <c r="C767" s="2" t="s">
        <v>147</v>
      </c>
      <c r="D767" s="4">
        <v>1000186197</v>
      </c>
      <c r="E767" s="4" t="s">
        <v>166</v>
      </c>
      <c r="F767" s="2">
        <v>1000184758</v>
      </c>
      <c r="G767" s="2" t="s">
        <v>55</v>
      </c>
      <c r="H767" s="4">
        <v>1000189785</v>
      </c>
      <c r="I767" s="4" t="s">
        <v>57</v>
      </c>
      <c r="J767" s="2">
        <v>1000189270</v>
      </c>
      <c r="K767" s="2" t="s">
        <v>34</v>
      </c>
      <c r="L767" s="4" t="s">
        <v>16</v>
      </c>
      <c r="M767" s="4" t="str">
        <f t="shared" si="173"/>
        <v>1000184670100018619710001897851000189270DISNEY</v>
      </c>
      <c r="N767" s="28">
        <f>N764*_xlfn.XLOOKUP($L767,'Balizador da Meta'!$B$4:$B$21,'Balizador da Meta'!$C$4:$C$21)</f>
        <v>144</v>
      </c>
      <c r="O767" s="28">
        <f>O764*_xlfn.XLOOKUP($L767,'Balizador da Meta'!$B$4:$B$21,'Balizador da Meta'!$C$4:$C$21)</f>
        <v>144</v>
      </c>
      <c r="P767" s="28">
        <f>P764*_xlfn.XLOOKUP($L767,'Balizador da Meta'!$B$4:$B$21,'Balizador da Meta'!$C$4:$C$21)</f>
        <v>144</v>
      </c>
      <c r="Q767" s="28">
        <f>Q764*_xlfn.XLOOKUP($L767,'Balizador da Meta'!$B$4:$B$21,'Balizador da Meta'!$C$4:$C$21)</f>
        <v>144</v>
      </c>
      <c r="R767" s="28">
        <f>R764*_xlfn.XLOOKUP($L767,'Balizador da Meta'!$B$4:$B$21,'Balizador da Meta'!$C$4:$C$21)</f>
        <v>144</v>
      </c>
      <c r="S767" s="28">
        <f>S764*_xlfn.XLOOKUP($L767,'Balizador da Meta'!$B$4:$B$21,'Balizador da Meta'!$C$4:$C$21)</f>
        <v>144</v>
      </c>
      <c r="T767" s="28">
        <f>T764*_xlfn.XLOOKUP($L767,'Balizador da Meta'!$B$4:$B$21,'Balizador da Meta'!$C$4:$C$21)</f>
        <v>144</v>
      </c>
      <c r="U767" s="28">
        <f>U764*_xlfn.XLOOKUP($L767,'Balizador da Meta'!$B$4:$B$21,'Balizador da Meta'!$C$4:$C$21)</f>
        <v>144</v>
      </c>
      <c r="V767" s="28">
        <f>V764*_xlfn.XLOOKUP($L767,'Balizador da Meta'!$B$4:$B$21,'Balizador da Meta'!$C$4:$C$21)</f>
        <v>144</v>
      </c>
      <c r="W767" s="28">
        <f>W764*_xlfn.XLOOKUP($L767,'Balizador da Meta'!$B$4:$B$21,'Balizador da Meta'!$C$4:$C$21)</f>
        <v>144</v>
      </c>
      <c r="X767" s="28">
        <f>X764*_xlfn.XLOOKUP($L767,'Balizador da Meta'!$B$4:$B$21,'Balizador da Meta'!$C$4:$C$21)</f>
        <v>144</v>
      </c>
      <c r="Y767" s="28">
        <f>Y764*_xlfn.XLOOKUP($L767,'Balizador da Meta'!$B$4:$B$21,'Balizador da Meta'!$C$4:$C$21)</f>
        <v>144</v>
      </c>
      <c r="Z767" s="30">
        <f t="shared" si="186"/>
        <v>1728</v>
      </c>
      <c r="AA767" s="29"/>
      <c r="AB767" s="31">
        <f>SUMIFS('Historico - FAT'!AK:AK,'Historico - FAT'!$K:$K,Faturamento!$L767,'Historico - FAT'!$I:$I,Faturamento!$J767,'Historico - FAT'!$G:$G,Faturamento!$H767)</f>
        <v>0</v>
      </c>
      <c r="AC767" s="31">
        <f>SUMIFS('Historico - FAT'!AL:AL,'Historico - FAT'!$K:$K,Faturamento!$L767,'Historico - FAT'!$I:$I,Faturamento!$J767,'Historico - FAT'!$G:$G,Faturamento!$H767)</f>
        <v>31.424166666666668</v>
      </c>
      <c r="AD767" s="31">
        <f>SUMIFS('Historico - FAT'!AM:AM,'Historico - FAT'!$K:$K,Faturamento!$L767,'Historico - FAT'!$I:$I,Faturamento!$J767,'Historico - FAT'!$G:$G,Faturamento!$H767)</f>
        <v>29.098333333333333</v>
      </c>
      <c r="AE767" s="27">
        <f>SUMIFS('Historico - FAT'!AN:AN,'Historico - FAT'!$K:$K,Faturamento!$L767,'Historico - FAT'!$I:$I,Faturamento!$J767,'Historico - FAT'!$G:$G,Faturamento!$H767)</f>
        <v>37.709000000000003</v>
      </c>
      <c r="AG767" s="24">
        <f t="shared" si="181"/>
        <v>1</v>
      </c>
      <c r="AH767" s="24">
        <f t="shared" si="182"/>
        <v>0.78177662037037043</v>
      </c>
      <c r="AI767" s="24">
        <f t="shared" si="183"/>
        <v>0.79792824074074076</v>
      </c>
    </row>
    <row r="768" spans="1:35" hidden="1" x14ac:dyDescent="0.3">
      <c r="A768" s="2" t="str">
        <f t="shared" si="180"/>
        <v>NÃO</v>
      </c>
      <c r="B768" s="2">
        <v>1000184670</v>
      </c>
      <c r="C768" s="2" t="s">
        <v>147</v>
      </c>
      <c r="D768" s="4">
        <v>1000186197</v>
      </c>
      <c r="E768" s="4" t="s">
        <v>166</v>
      </c>
      <c r="F768" s="2">
        <v>1000184758</v>
      </c>
      <c r="G768" s="2" t="s">
        <v>55</v>
      </c>
      <c r="H768" s="4">
        <v>1000189785</v>
      </c>
      <c r="I768" s="4" t="s">
        <v>57</v>
      </c>
      <c r="J768" s="2">
        <v>1000189270</v>
      </c>
      <c r="K768" s="2" t="s">
        <v>34</v>
      </c>
      <c r="L768" s="4" t="s">
        <v>15</v>
      </c>
      <c r="M768" s="4" t="str">
        <f t="shared" si="173"/>
        <v>1000184670100018619710001897851000189270DOCES</v>
      </c>
      <c r="N768" s="28">
        <f>N764*_xlfn.XLOOKUP($L768,'Balizador da Meta'!$B$4:$B$21,'Balizador da Meta'!$C$4:$C$21)</f>
        <v>162</v>
      </c>
      <c r="O768" s="28">
        <f>O764*_xlfn.XLOOKUP($L768,'Balizador da Meta'!$B$4:$B$21,'Balizador da Meta'!$C$4:$C$21)</f>
        <v>162</v>
      </c>
      <c r="P768" s="28">
        <f>P764*_xlfn.XLOOKUP($L768,'Balizador da Meta'!$B$4:$B$21,'Balizador da Meta'!$C$4:$C$21)</f>
        <v>162</v>
      </c>
      <c r="Q768" s="28">
        <f>Q764*_xlfn.XLOOKUP($L768,'Balizador da Meta'!$B$4:$B$21,'Balizador da Meta'!$C$4:$C$21)</f>
        <v>162</v>
      </c>
      <c r="R768" s="28">
        <f>R764*_xlfn.XLOOKUP($L768,'Balizador da Meta'!$B$4:$B$21,'Balizador da Meta'!$C$4:$C$21)</f>
        <v>162</v>
      </c>
      <c r="S768" s="28">
        <f>S764*_xlfn.XLOOKUP($L768,'Balizador da Meta'!$B$4:$B$21,'Balizador da Meta'!$C$4:$C$21)</f>
        <v>162</v>
      </c>
      <c r="T768" s="28">
        <f>T764*_xlfn.XLOOKUP($L768,'Balizador da Meta'!$B$4:$B$21,'Balizador da Meta'!$C$4:$C$21)</f>
        <v>162</v>
      </c>
      <c r="U768" s="28">
        <f>U764*_xlfn.XLOOKUP($L768,'Balizador da Meta'!$B$4:$B$21,'Balizador da Meta'!$C$4:$C$21)</f>
        <v>162</v>
      </c>
      <c r="V768" s="28">
        <f>V764*_xlfn.XLOOKUP($L768,'Balizador da Meta'!$B$4:$B$21,'Balizador da Meta'!$C$4:$C$21)</f>
        <v>162</v>
      </c>
      <c r="W768" s="28">
        <f>W764*_xlfn.XLOOKUP($L768,'Balizador da Meta'!$B$4:$B$21,'Balizador da Meta'!$C$4:$C$21)</f>
        <v>162</v>
      </c>
      <c r="X768" s="28">
        <f>X764*_xlfn.XLOOKUP($L768,'Balizador da Meta'!$B$4:$B$21,'Balizador da Meta'!$C$4:$C$21)</f>
        <v>162</v>
      </c>
      <c r="Y768" s="28">
        <f>Y764*_xlfn.XLOOKUP($L768,'Balizador da Meta'!$B$4:$B$21,'Balizador da Meta'!$C$4:$C$21)</f>
        <v>162</v>
      </c>
      <c r="Z768" s="30">
        <f t="shared" si="186"/>
        <v>1944</v>
      </c>
      <c r="AA768" s="29"/>
      <c r="AB768" s="31">
        <f>SUMIFS('Historico - FAT'!AK:AK,'Historico - FAT'!$K:$K,Faturamento!$L768,'Historico - FAT'!$I:$I,Faturamento!$J768,'Historico - FAT'!$G:$G,Faturamento!$H768)</f>
        <v>0</v>
      </c>
      <c r="AC768" s="31">
        <f>SUMIFS('Historico - FAT'!AL:AL,'Historico - FAT'!$K:$K,Faturamento!$L768,'Historico - FAT'!$I:$I,Faturamento!$J768,'Historico - FAT'!$G:$G,Faturamento!$H768)</f>
        <v>244.51583333333335</v>
      </c>
      <c r="AD768" s="31">
        <f>SUMIFS('Historico - FAT'!AM:AM,'Historico - FAT'!$K:$K,Faturamento!$L768,'Historico - FAT'!$I:$I,Faturamento!$J768,'Historico - FAT'!$G:$G,Faturamento!$H768)</f>
        <v>433.88166666666666</v>
      </c>
      <c r="AE768" s="27">
        <f>SUMIFS('Historico - FAT'!AN:AN,'Historico - FAT'!$K:$K,Faturamento!$L768,'Historico - FAT'!$I:$I,Faturamento!$J768,'Historico - FAT'!$G:$G,Faturamento!$H768)</f>
        <v>293.41899999999998</v>
      </c>
      <c r="AG768" s="24">
        <f t="shared" si="181"/>
        <v>1</v>
      </c>
      <c r="AH768" s="24">
        <f t="shared" si="182"/>
        <v>-0.50935699588477379</v>
      </c>
      <c r="AI768" s="24">
        <f t="shared" si="183"/>
        <v>-1.6782818930041152</v>
      </c>
    </row>
    <row r="769" spans="1:35" hidden="1" x14ac:dyDescent="0.3">
      <c r="A769" s="2" t="str">
        <f t="shared" si="180"/>
        <v>NÃO</v>
      </c>
      <c r="B769" s="2">
        <v>1000184670</v>
      </c>
      <c r="C769" s="2" t="s">
        <v>147</v>
      </c>
      <c r="D769" s="4">
        <v>1000186197</v>
      </c>
      <c r="E769" s="4" t="s">
        <v>166</v>
      </c>
      <c r="F769" s="2">
        <v>1000184758</v>
      </c>
      <c r="G769" s="2" t="s">
        <v>55</v>
      </c>
      <c r="H769" s="4">
        <v>1000189785</v>
      </c>
      <c r="I769" s="4" t="s">
        <v>57</v>
      </c>
      <c r="J769" s="2">
        <v>1000189270</v>
      </c>
      <c r="K769" s="2" t="s">
        <v>34</v>
      </c>
      <c r="L769" s="4" t="s">
        <v>33</v>
      </c>
      <c r="M769" s="4" t="str">
        <f t="shared" si="173"/>
        <v>1000184670100018619710001897851000189270FOOD SERVICE</v>
      </c>
      <c r="N769" s="28">
        <f>N764*_xlfn.XLOOKUP($L769,'Balizador da Meta'!$B$4:$B$21,'Balizador da Meta'!$C$4:$C$21)</f>
        <v>0</v>
      </c>
      <c r="O769" s="28">
        <f>O764*_xlfn.XLOOKUP($L769,'Balizador da Meta'!$B$4:$B$21,'Balizador da Meta'!$C$4:$C$21)</f>
        <v>0</v>
      </c>
      <c r="P769" s="28">
        <f>P764*_xlfn.XLOOKUP($L769,'Balizador da Meta'!$B$4:$B$21,'Balizador da Meta'!$C$4:$C$21)</f>
        <v>0</v>
      </c>
      <c r="Q769" s="28">
        <f>Q764*_xlfn.XLOOKUP($L769,'Balizador da Meta'!$B$4:$B$21,'Balizador da Meta'!$C$4:$C$21)</f>
        <v>0</v>
      </c>
      <c r="R769" s="28">
        <f>R764*_xlfn.XLOOKUP($L769,'Balizador da Meta'!$B$4:$B$21,'Balizador da Meta'!$C$4:$C$21)</f>
        <v>0</v>
      </c>
      <c r="S769" s="28">
        <f>S764*_xlfn.XLOOKUP($L769,'Balizador da Meta'!$B$4:$B$21,'Balizador da Meta'!$C$4:$C$21)</f>
        <v>0</v>
      </c>
      <c r="T769" s="28">
        <f>T764*_xlfn.XLOOKUP($L769,'Balizador da Meta'!$B$4:$B$21,'Balizador da Meta'!$C$4:$C$21)</f>
        <v>0</v>
      </c>
      <c r="U769" s="28">
        <f>U764*_xlfn.XLOOKUP($L769,'Balizador da Meta'!$B$4:$B$21,'Balizador da Meta'!$C$4:$C$21)</f>
        <v>0</v>
      </c>
      <c r="V769" s="28">
        <f>V764*_xlfn.XLOOKUP($L769,'Balizador da Meta'!$B$4:$B$21,'Balizador da Meta'!$C$4:$C$21)</f>
        <v>0</v>
      </c>
      <c r="W769" s="28">
        <f>W764*_xlfn.XLOOKUP($L769,'Balizador da Meta'!$B$4:$B$21,'Balizador da Meta'!$C$4:$C$21)</f>
        <v>0</v>
      </c>
      <c r="X769" s="28">
        <f>X764*_xlfn.XLOOKUP($L769,'Balizador da Meta'!$B$4:$B$21,'Balizador da Meta'!$C$4:$C$21)</f>
        <v>0</v>
      </c>
      <c r="Y769" s="28">
        <f>Y764*_xlfn.XLOOKUP($L769,'Balizador da Meta'!$B$4:$B$21,'Balizador da Meta'!$C$4:$C$21)</f>
        <v>0</v>
      </c>
      <c r="Z769" s="30">
        <f t="shared" si="186"/>
        <v>0</v>
      </c>
      <c r="AA769" s="29"/>
      <c r="AB769" s="31">
        <f>SUMIFS('Historico - FAT'!AK:AK,'Historico - FAT'!$K:$K,Faturamento!$L769,'Historico - FAT'!$I:$I,Faturamento!$J769,'Historico - FAT'!$G:$G,Faturamento!$H769)</f>
        <v>0</v>
      </c>
      <c r="AC769" s="31">
        <f>SUMIFS('Historico - FAT'!AL:AL,'Historico - FAT'!$K:$K,Faturamento!$L769,'Historico - FAT'!$I:$I,Faturamento!$J769,'Historico - FAT'!$G:$G,Faturamento!$H769)</f>
        <v>20.6675</v>
      </c>
      <c r="AD769" s="31">
        <f>SUMIFS('Historico - FAT'!AM:AM,'Historico - FAT'!$K:$K,Faturamento!$L769,'Historico - FAT'!$I:$I,Faturamento!$J769,'Historico - FAT'!$G:$G,Faturamento!$H769)</f>
        <v>0</v>
      </c>
      <c r="AE769" s="27">
        <f>SUMIFS('Historico - FAT'!AN:AN,'Historico - FAT'!$K:$K,Faturamento!$L769,'Historico - FAT'!$I:$I,Faturamento!$J769,'Historico - FAT'!$G:$G,Faturamento!$H769)</f>
        <v>24.800999999999998</v>
      </c>
      <c r="AG769" s="24" t="str">
        <f t="shared" si="181"/>
        <v/>
      </c>
      <c r="AH769" s="24" t="str">
        <f t="shared" si="182"/>
        <v/>
      </c>
      <c r="AI769" s="24" t="str">
        <f t="shared" si="183"/>
        <v/>
      </c>
    </row>
    <row r="770" spans="1:35" hidden="1" x14ac:dyDescent="0.3">
      <c r="A770" s="2" t="str">
        <f t="shared" si="180"/>
        <v>NÃO</v>
      </c>
      <c r="B770" s="2">
        <v>1000184670</v>
      </c>
      <c r="C770" s="2" t="s">
        <v>147</v>
      </c>
      <c r="D770" s="4">
        <v>1000186197</v>
      </c>
      <c r="E770" s="4" t="s">
        <v>166</v>
      </c>
      <c r="F770" s="2">
        <v>1000184758</v>
      </c>
      <c r="G770" s="2" t="s">
        <v>55</v>
      </c>
      <c r="H770" s="4">
        <v>1000189785</v>
      </c>
      <c r="I770" s="4" t="s">
        <v>57</v>
      </c>
      <c r="J770" s="2">
        <v>1000189270</v>
      </c>
      <c r="K770" s="2" t="s">
        <v>34</v>
      </c>
      <c r="L770" s="4" t="s">
        <v>19</v>
      </c>
      <c r="M770" s="4" t="str">
        <f t="shared" si="173"/>
        <v>1000184670100018619710001897851000189270GELEIA</v>
      </c>
      <c r="N770" s="28">
        <f>N764*_xlfn.XLOOKUP($L770,'Balizador da Meta'!$B$4:$B$21,'Balizador da Meta'!$C$4:$C$21)</f>
        <v>35.999999999999993</v>
      </c>
      <c r="O770" s="28">
        <f>O764*_xlfn.XLOOKUP($L770,'Balizador da Meta'!$B$4:$B$21,'Balizador da Meta'!$C$4:$C$21)</f>
        <v>35.999999999999993</v>
      </c>
      <c r="P770" s="28">
        <f>P764*_xlfn.XLOOKUP($L770,'Balizador da Meta'!$B$4:$B$21,'Balizador da Meta'!$C$4:$C$21)</f>
        <v>35.999999999999993</v>
      </c>
      <c r="Q770" s="28">
        <f>Q764*_xlfn.XLOOKUP($L770,'Balizador da Meta'!$B$4:$B$21,'Balizador da Meta'!$C$4:$C$21)</f>
        <v>35.999999999999993</v>
      </c>
      <c r="R770" s="28">
        <f>R764*_xlfn.XLOOKUP($L770,'Balizador da Meta'!$B$4:$B$21,'Balizador da Meta'!$C$4:$C$21)</f>
        <v>35.999999999999993</v>
      </c>
      <c r="S770" s="28">
        <f>S764*_xlfn.XLOOKUP($L770,'Balizador da Meta'!$B$4:$B$21,'Balizador da Meta'!$C$4:$C$21)</f>
        <v>35.999999999999993</v>
      </c>
      <c r="T770" s="28">
        <f>T764*_xlfn.XLOOKUP($L770,'Balizador da Meta'!$B$4:$B$21,'Balizador da Meta'!$C$4:$C$21)</f>
        <v>35.999999999999993</v>
      </c>
      <c r="U770" s="28">
        <f>U764*_xlfn.XLOOKUP($L770,'Balizador da Meta'!$B$4:$B$21,'Balizador da Meta'!$C$4:$C$21)</f>
        <v>35.999999999999993</v>
      </c>
      <c r="V770" s="28">
        <f>V764*_xlfn.XLOOKUP($L770,'Balizador da Meta'!$B$4:$B$21,'Balizador da Meta'!$C$4:$C$21)</f>
        <v>35.999999999999993</v>
      </c>
      <c r="W770" s="28">
        <f>W764*_xlfn.XLOOKUP($L770,'Balizador da Meta'!$B$4:$B$21,'Balizador da Meta'!$C$4:$C$21)</f>
        <v>35.999999999999993</v>
      </c>
      <c r="X770" s="28">
        <f>X764*_xlfn.XLOOKUP($L770,'Balizador da Meta'!$B$4:$B$21,'Balizador da Meta'!$C$4:$C$21)</f>
        <v>35.999999999999993</v>
      </c>
      <c r="Y770" s="28">
        <f>Y764*_xlfn.XLOOKUP($L770,'Balizador da Meta'!$B$4:$B$21,'Balizador da Meta'!$C$4:$C$21)</f>
        <v>35.999999999999993</v>
      </c>
      <c r="Z770" s="30">
        <f t="shared" si="186"/>
        <v>431.99999999999994</v>
      </c>
      <c r="AA770" s="29"/>
      <c r="AB770" s="31">
        <f>SUMIFS('Historico - FAT'!AK:AK,'Historico - FAT'!$K:$K,Faturamento!$L770,'Historico - FAT'!$I:$I,Faturamento!$J770,'Historico - FAT'!$G:$G,Faturamento!$H770)</f>
        <v>0</v>
      </c>
      <c r="AC770" s="31">
        <f>SUMIFS('Historico - FAT'!AL:AL,'Historico - FAT'!$K:$K,Faturamento!$L770,'Historico - FAT'!$I:$I,Faturamento!$J770,'Historico - FAT'!$G:$G,Faturamento!$H770)</f>
        <v>6.75</v>
      </c>
      <c r="AD770" s="31">
        <f>SUMIFS('Historico - FAT'!AM:AM,'Historico - FAT'!$K:$K,Faturamento!$L770,'Historico - FAT'!$I:$I,Faturamento!$J770,'Historico - FAT'!$G:$G,Faturamento!$H770)</f>
        <v>13.5</v>
      </c>
      <c r="AE770" s="27">
        <f>SUMIFS('Historico - FAT'!AN:AN,'Historico - FAT'!$K:$K,Faturamento!$L770,'Historico - FAT'!$I:$I,Faturamento!$J770,'Historico - FAT'!$G:$G,Faturamento!$H770)</f>
        <v>8.1</v>
      </c>
      <c r="AG770" s="24">
        <f t="shared" si="181"/>
        <v>1</v>
      </c>
      <c r="AH770" s="24">
        <f t="shared" si="182"/>
        <v>0.8125</v>
      </c>
      <c r="AI770" s="24">
        <f t="shared" si="183"/>
        <v>0.62499999999999989</v>
      </c>
    </row>
    <row r="771" spans="1:35" hidden="1" x14ac:dyDescent="0.3">
      <c r="A771" s="2" t="str">
        <f t="shared" si="180"/>
        <v>NÃO</v>
      </c>
      <c r="B771" s="2">
        <v>1000184670</v>
      </c>
      <c r="C771" s="2" t="s">
        <v>147</v>
      </c>
      <c r="D771" s="4">
        <v>1000186197</v>
      </c>
      <c r="E771" s="4" t="s">
        <v>166</v>
      </c>
      <c r="F771" s="2">
        <v>1000184758</v>
      </c>
      <c r="G771" s="2" t="s">
        <v>55</v>
      </c>
      <c r="H771" s="4">
        <v>1000189785</v>
      </c>
      <c r="I771" s="4" t="s">
        <v>57</v>
      </c>
      <c r="J771" s="2">
        <v>1000189270</v>
      </c>
      <c r="K771" s="2" t="s">
        <v>34</v>
      </c>
      <c r="L771" s="4" t="s">
        <v>17</v>
      </c>
      <c r="M771" s="4" t="str">
        <f t="shared" si="173"/>
        <v>1000184670100018619710001897851000189270GRANOLA</v>
      </c>
      <c r="N771" s="28">
        <f>N764*_xlfn.XLOOKUP($L771,'Balizador da Meta'!$B$4:$B$21,'Balizador da Meta'!$C$4:$C$21)</f>
        <v>36</v>
      </c>
      <c r="O771" s="28">
        <f>O764*_xlfn.XLOOKUP($L771,'Balizador da Meta'!$B$4:$B$21,'Balizador da Meta'!$C$4:$C$21)</f>
        <v>36</v>
      </c>
      <c r="P771" s="28">
        <f>P764*_xlfn.XLOOKUP($L771,'Balizador da Meta'!$B$4:$B$21,'Balizador da Meta'!$C$4:$C$21)</f>
        <v>36</v>
      </c>
      <c r="Q771" s="28">
        <f>Q764*_xlfn.XLOOKUP($L771,'Balizador da Meta'!$B$4:$B$21,'Balizador da Meta'!$C$4:$C$21)</f>
        <v>36</v>
      </c>
      <c r="R771" s="28">
        <f>R764*_xlfn.XLOOKUP($L771,'Balizador da Meta'!$B$4:$B$21,'Balizador da Meta'!$C$4:$C$21)</f>
        <v>36</v>
      </c>
      <c r="S771" s="28">
        <f>S764*_xlfn.XLOOKUP($L771,'Balizador da Meta'!$B$4:$B$21,'Balizador da Meta'!$C$4:$C$21)</f>
        <v>36</v>
      </c>
      <c r="T771" s="28">
        <f>T764*_xlfn.XLOOKUP($L771,'Balizador da Meta'!$B$4:$B$21,'Balizador da Meta'!$C$4:$C$21)</f>
        <v>36</v>
      </c>
      <c r="U771" s="28">
        <f>U764*_xlfn.XLOOKUP($L771,'Balizador da Meta'!$B$4:$B$21,'Balizador da Meta'!$C$4:$C$21)</f>
        <v>36</v>
      </c>
      <c r="V771" s="28">
        <f>V764*_xlfn.XLOOKUP($L771,'Balizador da Meta'!$B$4:$B$21,'Balizador da Meta'!$C$4:$C$21)</f>
        <v>36</v>
      </c>
      <c r="W771" s="28">
        <f>W764*_xlfn.XLOOKUP($L771,'Balizador da Meta'!$B$4:$B$21,'Balizador da Meta'!$C$4:$C$21)</f>
        <v>36</v>
      </c>
      <c r="X771" s="28">
        <f>X764*_xlfn.XLOOKUP($L771,'Balizador da Meta'!$B$4:$B$21,'Balizador da Meta'!$C$4:$C$21)</f>
        <v>36</v>
      </c>
      <c r="Y771" s="28">
        <f>Y764*_xlfn.XLOOKUP($L771,'Balizador da Meta'!$B$4:$B$21,'Balizador da Meta'!$C$4:$C$21)</f>
        <v>36</v>
      </c>
      <c r="Z771" s="30">
        <f t="shared" si="186"/>
        <v>432</v>
      </c>
      <c r="AA771" s="29"/>
      <c r="AB771" s="31">
        <f>SUMIFS('Historico - FAT'!AK:AK,'Historico - FAT'!$K:$K,Faturamento!$L771,'Historico - FAT'!$I:$I,Faturamento!$J771,'Historico - FAT'!$G:$G,Faturamento!$H771)</f>
        <v>0</v>
      </c>
      <c r="AC771" s="31">
        <f>SUMIFS('Historico - FAT'!AL:AL,'Historico - FAT'!$K:$K,Faturamento!$L771,'Historico - FAT'!$I:$I,Faturamento!$J771,'Historico - FAT'!$G:$G,Faturamento!$H771)</f>
        <v>0</v>
      </c>
      <c r="AD771" s="31">
        <f>SUMIFS('Historico - FAT'!AM:AM,'Historico - FAT'!$K:$K,Faturamento!$L771,'Historico - FAT'!$I:$I,Faturamento!$J771,'Historico - FAT'!$G:$G,Faturamento!$H771)</f>
        <v>0</v>
      </c>
      <c r="AE771" s="27">
        <f>SUMIFS('Historico - FAT'!AN:AN,'Historico - FAT'!$K:$K,Faturamento!$L771,'Historico - FAT'!$I:$I,Faturamento!$J771,'Historico - FAT'!$G:$G,Faturamento!$H771)</f>
        <v>0</v>
      </c>
      <c r="AG771" s="24">
        <f t="shared" si="181"/>
        <v>1</v>
      </c>
      <c r="AH771" s="24">
        <f t="shared" si="182"/>
        <v>1</v>
      </c>
      <c r="AI771" s="24">
        <f t="shared" si="183"/>
        <v>1</v>
      </c>
    </row>
    <row r="772" spans="1:35" hidden="1" x14ac:dyDescent="0.3">
      <c r="A772" s="2" t="str">
        <f t="shared" si="180"/>
        <v>NÃO</v>
      </c>
      <c r="B772" s="2">
        <v>1000184670</v>
      </c>
      <c r="C772" s="2" t="s">
        <v>147</v>
      </c>
      <c r="D772" s="4">
        <v>1000186197</v>
      </c>
      <c r="E772" s="4" t="s">
        <v>166</v>
      </c>
      <c r="F772" s="2">
        <v>1000184758</v>
      </c>
      <c r="G772" s="2" t="s">
        <v>55</v>
      </c>
      <c r="H772" s="4">
        <v>1000189785</v>
      </c>
      <c r="I772" s="4" t="s">
        <v>57</v>
      </c>
      <c r="J772" s="2">
        <v>1000189270</v>
      </c>
      <c r="K772" s="2" t="s">
        <v>34</v>
      </c>
      <c r="L772" s="4" t="s">
        <v>24</v>
      </c>
      <c r="M772" s="4" t="str">
        <f t="shared" si="173"/>
        <v>1000184670100018619710001897851000189270KIDS</v>
      </c>
      <c r="N772" s="28">
        <f>N764*_xlfn.XLOOKUP($L772,'Balizador da Meta'!$B$4:$B$21,'Balizador da Meta'!$C$4:$C$21)</f>
        <v>0</v>
      </c>
      <c r="O772" s="28">
        <f>O764*_xlfn.XLOOKUP($L772,'Balizador da Meta'!$B$4:$B$21,'Balizador da Meta'!$C$4:$C$21)</f>
        <v>0</v>
      </c>
      <c r="P772" s="28">
        <f>P764*_xlfn.XLOOKUP($L772,'Balizador da Meta'!$B$4:$B$21,'Balizador da Meta'!$C$4:$C$21)</f>
        <v>0</v>
      </c>
      <c r="Q772" s="28">
        <f>Q764*_xlfn.XLOOKUP($L772,'Balizador da Meta'!$B$4:$B$21,'Balizador da Meta'!$C$4:$C$21)</f>
        <v>0</v>
      </c>
      <c r="R772" s="28">
        <f>R764*_xlfn.XLOOKUP($L772,'Balizador da Meta'!$B$4:$B$21,'Balizador da Meta'!$C$4:$C$21)</f>
        <v>0</v>
      </c>
      <c r="S772" s="28">
        <f>S764*_xlfn.XLOOKUP($L772,'Balizador da Meta'!$B$4:$B$21,'Balizador da Meta'!$C$4:$C$21)</f>
        <v>0</v>
      </c>
      <c r="T772" s="28">
        <f>T764*_xlfn.XLOOKUP($L772,'Balizador da Meta'!$B$4:$B$21,'Balizador da Meta'!$C$4:$C$21)</f>
        <v>0</v>
      </c>
      <c r="U772" s="28">
        <f>U764*_xlfn.XLOOKUP($L772,'Balizador da Meta'!$B$4:$B$21,'Balizador da Meta'!$C$4:$C$21)</f>
        <v>0</v>
      </c>
      <c r="V772" s="28">
        <f>V764*_xlfn.XLOOKUP($L772,'Balizador da Meta'!$B$4:$B$21,'Balizador da Meta'!$C$4:$C$21)</f>
        <v>0</v>
      </c>
      <c r="W772" s="28">
        <f>W764*_xlfn.XLOOKUP($L772,'Balizador da Meta'!$B$4:$B$21,'Balizador da Meta'!$C$4:$C$21)</f>
        <v>0</v>
      </c>
      <c r="X772" s="28">
        <f>X764*_xlfn.XLOOKUP($L772,'Balizador da Meta'!$B$4:$B$21,'Balizador da Meta'!$C$4:$C$21)</f>
        <v>0</v>
      </c>
      <c r="Y772" s="28">
        <f>Y764*_xlfn.XLOOKUP($L772,'Balizador da Meta'!$B$4:$B$21,'Balizador da Meta'!$C$4:$C$21)</f>
        <v>0</v>
      </c>
      <c r="Z772" s="30">
        <f t="shared" si="186"/>
        <v>0</v>
      </c>
      <c r="AA772" s="29"/>
      <c r="AB772" s="31">
        <f>SUMIFS('Historico - FAT'!AK:AK,'Historico - FAT'!$K:$K,Faturamento!$L772,'Historico - FAT'!$I:$I,Faturamento!$J772,'Historico - FAT'!$G:$G,Faturamento!$H772)</f>
        <v>0</v>
      </c>
      <c r="AC772" s="31">
        <f>SUMIFS('Historico - FAT'!AL:AL,'Historico - FAT'!$K:$K,Faturamento!$L772,'Historico - FAT'!$I:$I,Faturamento!$J772,'Historico - FAT'!$G:$G,Faturamento!$H772)</f>
        <v>55.552500000000002</v>
      </c>
      <c r="AD772" s="31">
        <f>SUMIFS('Historico - FAT'!AM:AM,'Historico - FAT'!$K:$K,Faturamento!$L772,'Historico - FAT'!$I:$I,Faturamento!$J772,'Historico - FAT'!$G:$G,Faturamento!$H772)</f>
        <v>73.405000000000001</v>
      </c>
      <c r="AE772" s="27">
        <f>SUMIFS('Historico - FAT'!AN:AN,'Historico - FAT'!$K:$K,Faturamento!$L772,'Historico - FAT'!$I:$I,Faturamento!$J772,'Historico - FAT'!$G:$G,Faturamento!$H772)</f>
        <v>66.662999999999997</v>
      </c>
      <c r="AG772" s="24" t="str">
        <f t="shared" si="181"/>
        <v/>
      </c>
      <c r="AH772" s="24" t="str">
        <f t="shared" si="182"/>
        <v/>
      </c>
      <c r="AI772" s="24" t="str">
        <f t="shared" si="183"/>
        <v/>
      </c>
    </row>
    <row r="773" spans="1:35" hidden="1" x14ac:dyDescent="0.3">
      <c r="A773" s="2" t="str">
        <f t="shared" si="180"/>
        <v>NÃO</v>
      </c>
      <c r="B773" s="2">
        <v>1000184670</v>
      </c>
      <c r="C773" s="2" t="s">
        <v>147</v>
      </c>
      <c r="D773" s="4">
        <v>1000186197</v>
      </c>
      <c r="E773" s="4" t="s">
        <v>166</v>
      </c>
      <c r="F773" s="2">
        <v>1000184758</v>
      </c>
      <c r="G773" s="2" t="s">
        <v>55</v>
      </c>
      <c r="H773" s="4">
        <v>1000189785</v>
      </c>
      <c r="I773" s="4" t="s">
        <v>57</v>
      </c>
      <c r="J773" s="2">
        <v>1000189270</v>
      </c>
      <c r="K773" s="2" t="s">
        <v>34</v>
      </c>
      <c r="L773" s="4" t="s">
        <v>18</v>
      </c>
      <c r="M773" s="4" t="str">
        <f t="shared" ref="M773:M836" si="187">_xlfn.CONCAT(B773,D773,H773,J773,L773,)</f>
        <v>1000184670100018619710001897851000189270LANCHES</v>
      </c>
      <c r="N773" s="28">
        <f>N764*_xlfn.XLOOKUP($L773,'Balizador da Meta'!$B$4:$B$21,'Balizador da Meta'!$C$4:$C$21)</f>
        <v>18</v>
      </c>
      <c r="O773" s="28">
        <f>O764*_xlfn.XLOOKUP($L773,'Balizador da Meta'!$B$4:$B$21,'Balizador da Meta'!$C$4:$C$21)</f>
        <v>18</v>
      </c>
      <c r="P773" s="28">
        <f>P764*_xlfn.XLOOKUP($L773,'Balizador da Meta'!$B$4:$B$21,'Balizador da Meta'!$C$4:$C$21)</f>
        <v>18</v>
      </c>
      <c r="Q773" s="28">
        <f>Q764*_xlfn.XLOOKUP($L773,'Balizador da Meta'!$B$4:$B$21,'Balizador da Meta'!$C$4:$C$21)</f>
        <v>18</v>
      </c>
      <c r="R773" s="28">
        <f>R764*_xlfn.XLOOKUP($L773,'Balizador da Meta'!$B$4:$B$21,'Balizador da Meta'!$C$4:$C$21)</f>
        <v>18</v>
      </c>
      <c r="S773" s="28">
        <f>S764*_xlfn.XLOOKUP($L773,'Balizador da Meta'!$B$4:$B$21,'Balizador da Meta'!$C$4:$C$21)</f>
        <v>18</v>
      </c>
      <c r="T773" s="28">
        <f>T764*_xlfn.XLOOKUP($L773,'Balizador da Meta'!$B$4:$B$21,'Balizador da Meta'!$C$4:$C$21)</f>
        <v>18</v>
      </c>
      <c r="U773" s="28">
        <f>U764*_xlfn.XLOOKUP($L773,'Balizador da Meta'!$B$4:$B$21,'Balizador da Meta'!$C$4:$C$21)</f>
        <v>18</v>
      </c>
      <c r="V773" s="28">
        <f>V764*_xlfn.XLOOKUP($L773,'Balizador da Meta'!$B$4:$B$21,'Balizador da Meta'!$C$4:$C$21)</f>
        <v>18</v>
      </c>
      <c r="W773" s="28">
        <f>W764*_xlfn.XLOOKUP($L773,'Balizador da Meta'!$B$4:$B$21,'Balizador da Meta'!$C$4:$C$21)</f>
        <v>18</v>
      </c>
      <c r="X773" s="28">
        <f>X764*_xlfn.XLOOKUP($L773,'Balizador da Meta'!$B$4:$B$21,'Balizador da Meta'!$C$4:$C$21)</f>
        <v>18</v>
      </c>
      <c r="Y773" s="28">
        <f>Y764*_xlfn.XLOOKUP($L773,'Balizador da Meta'!$B$4:$B$21,'Balizador da Meta'!$C$4:$C$21)</f>
        <v>18</v>
      </c>
      <c r="Z773" s="30">
        <f t="shared" si="186"/>
        <v>216</v>
      </c>
      <c r="AA773" s="29"/>
      <c r="AB773" s="31">
        <f>SUMIFS('Historico - FAT'!AK:AK,'Historico - FAT'!$K:$K,Faturamento!$L773,'Historico - FAT'!$I:$I,Faturamento!$J773,'Historico - FAT'!$G:$G,Faturamento!$H773)</f>
        <v>0</v>
      </c>
      <c r="AC773" s="31">
        <f>SUMIFS('Historico - FAT'!AL:AL,'Historico - FAT'!$K:$K,Faturamento!$L773,'Historico - FAT'!$I:$I,Faturamento!$J773,'Historico - FAT'!$G:$G,Faturamento!$H773)</f>
        <v>44.426666666666669</v>
      </c>
      <c r="AD773" s="31">
        <f>SUMIFS('Historico - FAT'!AM:AM,'Historico - FAT'!$K:$K,Faturamento!$L773,'Historico - FAT'!$I:$I,Faturamento!$J773,'Historico - FAT'!$G:$G,Faturamento!$H773)</f>
        <v>62.986666666666672</v>
      </c>
      <c r="AE773" s="27">
        <f>SUMIFS('Historico - FAT'!AN:AN,'Historico - FAT'!$K:$K,Faturamento!$L773,'Historico - FAT'!$I:$I,Faturamento!$J773,'Historico - FAT'!$G:$G,Faturamento!$H773)</f>
        <v>53.311999999999998</v>
      </c>
      <c r="AG773" s="24">
        <f t="shared" si="181"/>
        <v>1</v>
      </c>
      <c r="AH773" s="24">
        <f t="shared" si="182"/>
        <v>-1.4681481481481482</v>
      </c>
      <c r="AI773" s="24">
        <f t="shared" si="183"/>
        <v>-2.4992592592592597</v>
      </c>
    </row>
    <row r="774" spans="1:35" hidden="1" x14ac:dyDescent="0.3">
      <c r="A774" s="2" t="str">
        <f t="shared" si="180"/>
        <v>NÃO</v>
      </c>
      <c r="B774" s="2">
        <v>1000184670</v>
      </c>
      <c r="C774" s="2" t="s">
        <v>147</v>
      </c>
      <c r="D774" s="4">
        <v>1000186197</v>
      </c>
      <c r="E774" s="4" t="s">
        <v>166</v>
      </c>
      <c r="F774" s="2">
        <v>1000184758</v>
      </c>
      <c r="G774" s="2" t="s">
        <v>55</v>
      </c>
      <c r="H774" s="4">
        <v>1000189785</v>
      </c>
      <c r="I774" s="4" t="s">
        <v>57</v>
      </c>
      <c r="J774" s="2">
        <v>1000189270</v>
      </c>
      <c r="K774" s="2" t="s">
        <v>34</v>
      </c>
      <c r="L774" s="4" t="s">
        <v>29</v>
      </c>
      <c r="M774" s="4" t="str">
        <f t="shared" si="187"/>
        <v>1000184670100018619710001897851000189270MAIS GRANEL</v>
      </c>
      <c r="N774" s="28">
        <f>N764*_xlfn.XLOOKUP($L774,'Balizador da Meta'!$B$4:$B$21,'Balizador da Meta'!$C$4:$C$21)</f>
        <v>576</v>
      </c>
      <c r="O774" s="28">
        <f>O764*_xlfn.XLOOKUP($L774,'Balizador da Meta'!$B$4:$B$21,'Balizador da Meta'!$C$4:$C$21)</f>
        <v>576</v>
      </c>
      <c r="P774" s="28">
        <f>P764*_xlfn.XLOOKUP($L774,'Balizador da Meta'!$B$4:$B$21,'Balizador da Meta'!$C$4:$C$21)</f>
        <v>576</v>
      </c>
      <c r="Q774" s="28">
        <f>Q764*_xlfn.XLOOKUP($L774,'Balizador da Meta'!$B$4:$B$21,'Balizador da Meta'!$C$4:$C$21)</f>
        <v>576</v>
      </c>
      <c r="R774" s="28">
        <f>R764*_xlfn.XLOOKUP($L774,'Balizador da Meta'!$B$4:$B$21,'Balizador da Meta'!$C$4:$C$21)</f>
        <v>576</v>
      </c>
      <c r="S774" s="28">
        <f>S764*_xlfn.XLOOKUP($L774,'Balizador da Meta'!$B$4:$B$21,'Balizador da Meta'!$C$4:$C$21)</f>
        <v>576</v>
      </c>
      <c r="T774" s="28">
        <f>T764*_xlfn.XLOOKUP($L774,'Balizador da Meta'!$B$4:$B$21,'Balizador da Meta'!$C$4:$C$21)</f>
        <v>576</v>
      </c>
      <c r="U774" s="28">
        <f>U764*_xlfn.XLOOKUP($L774,'Balizador da Meta'!$B$4:$B$21,'Balizador da Meta'!$C$4:$C$21)</f>
        <v>576</v>
      </c>
      <c r="V774" s="28">
        <f>V764*_xlfn.XLOOKUP($L774,'Balizador da Meta'!$B$4:$B$21,'Balizador da Meta'!$C$4:$C$21)</f>
        <v>576</v>
      </c>
      <c r="W774" s="28">
        <f>W764*_xlfn.XLOOKUP($L774,'Balizador da Meta'!$B$4:$B$21,'Balizador da Meta'!$C$4:$C$21)</f>
        <v>576</v>
      </c>
      <c r="X774" s="28">
        <f>X764*_xlfn.XLOOKUP($L774,'Balizador da Meta'!$B$4:$B$21,'Balizador da Meta'!$C$4:$C$21)</f>
        <v>576</v>
      </c>
      <c r="Y774" s="28">
        <f>Y764*_xlfn.XLOOKUP($L774,'Balizador da Meta'!$B$4:$B$21,'Balizador da Meta'!$C$4:$C$21)</f>
        <v>576</v>
      </c>
      <c r="Z774" s="30">
        <f t="shared" si="186"/>
        <v>6912</v>
      </c>
      <c r="AA774" s="29"/>
      <c r="AB774" s="31">
        <f>SUMIFS('Historico - FAT'!AK:AK,'Historico - FAT'!$K:$K,Faturamento!$L774,'Historico - FAT'!$I:$I,Faturamento!$J774,'Historico - FAT'!$G:$G,Faturamento!$H774)</f>
        <v>0</v>
      </c>
      <c r="AC774" s="31">
        <f>SUMIFS('Historico - FAT'!AL:AL,'Historico - FAT'!$K:$K,Faturamento!$L774,'Historico - FAT'!$I:$I,Faturamento!$J774,'Historico - FAT'!$G:$G,Faturamento!$H774)</f>
        <v>356.52583333333331</v>
      </c>
      <c r="AD774" s="31">
        <f>SUMIFS('Historico - FAT'!AM:AM,'Historico - FAT'!$K:$K,Faturamento!$L774,'Historico - FAT'!$I:$I,Faturamento!$J774,'Historico - FAT'!$G:$G,Faturamento!$H774)</f>
        <v>332.5</v>
      </c>
      <c r="AE774" s="27">
        <f>SUMIFS('Historico - FAT'!AN:AN,'Historico - FAT'!$K:$K,Faturamento!$L774,'Historico - FAT'!$I:$I,Faturamento!$J774,'Historico - FAT'!$G:$G,Faturamento!$H774)</f>
        <v>427.83099999999996</v>
      </c>
      <c r="AG774" s="24">
        <f t="shared" si="181"/>
        <v>1</v>
      </c>
      <c r="AH774" s="24">
        <f t="shared" si="182"/>
        <v>0.38103153935185191</v>
      </c>
      <c r="AI774" s="24">
        <f t="shared" si="183"/>
        <v>0.42274305555555558</v>
      </c>
    </row>
    <row r="775" spans="1:35" hidden="1" x14ac:dyDescent="0.3">
      <c r="A775" s="2" t="str">
        <f t="shared" si="180"/>
        <v>NÃO</v>
      </c>
      <c r="B775" s="2">
        <v>1000184670</v>
      </c>
      <c r="C775" s="2" t="s">
        <v>147</v>
      </c>
      <c r="D775" s="4">
        <v>1000186197</v>
      </c>
      <c r="E775" s="4" t="s">
        <v>166</v>
      </c>
      <c r="F775" s="2">
        <v>1000184758</v>
      </c>
      <c r="G775" s="2" t="s">
        <v>55</v>
      </c>
      <c r="H775" s="4">
        <v>1000189785</v>
      </c>
      <c r="I775" s="4" t="s">
        <v>57</v>
      </c>
      <c r="J775" s="2">
        <v>1000189270</v>
      </c>
      <c r="K775" s="2" t="s">
        <v>34</v>
      </c>
      <c r="L775" s="4" t="s">
        <v>21</v>
      </c>
      <c r="M775" s="4" t="str">
        <f t="shared" si="187"/>
        <v>1000184670100018619710001897851000189270NATURATTA</v>
      </c>
      <c r="N775" s="28">
        <f>N764*_xlfn.XLOOKUP($L775,'Balizador da Meta'!$B$4:$B$21,'Balizador da Meta'!$C$4:$C$21)</f>
        <v>90</v>
      </c>
      <c r="O775" s="28">
        <f>O764*_xlfn.XLOOKUP($L775,'Balizador da Meta'!$B$4:$B$21,'Balizador da Meta'!$C$4:$C$21)</f>
        <v>90</v>
      </c>
      <c r="P775" s="28">
        <f>P764*_xlfn.XLOOKUP($L775,'Balizador da Meta'!$B$4:$B$21,'Balizador da Meta'!$C$4:$C$21)</f>
        <v>90</v>
      </c>
      <c r="Q775" s="28">
        <f>Q764*_xlfn.XLOOKUP($L775,'Balizador da Meta'!$B$4:$B$21,'Balizador da Meta'!$C$4:$C$21)</f>
        <v>90</v>
      </c>
      <c r="R775" s="28">
        <f>R764*_xlfn.XLOOKUP($L775,'Balizador da Meta'!$B$4:$B$21,'Balizador da Meta'!$C$4:$C$21)</f>
        <v>90</v>
      </c>
      <c r="S775" s="28">
        <f>S764*_xlfn.XLOOKUP($L775,'Balizador da Meta'!$B$4:$B$21,'Balizador da Meta'!$C$4:$C$21)</f>
        <v>90</v>
      </c>
      <c r="T775" s="28">
        <f>T764*_xlfn.XLOOKUP($L775,'Balizador da Meta'!$B$4:$B$21,'Balizador da Meta'!$C$4:$C$21)</f>
        <v>90</v>
      </c>
      <c r="U775" s="28">
        <f>U764*_xlfn.XLOOKUP($L775,'Balizador da Meta'!$B$4:$B$21,'Balizador da Meta'!$C$4:$C$21)</f>
        <v>90</v>
      </c>
      <c r="V775" s="28">
        <f>V764*_xlfn.XLOOKUP($L775,'Balizador da Meta'!$B$4:$B$21,'Balizador da Meta'!$C$4:$C$21)</f>
        <v>90</v>
      </c>
      <c r="W775" s="28">
        <f>W764*_xlfn.XLOOKUP($L775,'Balizador da Meta'!$B$4:$B$21,'Balizador da Meta'!$C$4:$C$21)</f>
        <v>90</v>
      </c>
      <c r="X775" s="28">
        <f>X764*_xlfn.XLOOKUP($L775,'Balizador da Meta'!$B$4:$B$21,'Balizador da Meta'!$C$4:$C$21)</f>
        <v>90</v>
      </c>
      <c r="Y775" s="28">
        <f>Y764*_xlfn.XLOOKUP($L775,'Balizador da Meta'!$B$4:$B$21,'Balizador da Meta'!$C$4:$C$21)</f>
        <v>90</v>
      </c>
      <c r="Z775" s="30">
        <f t="shared" si="186"/>
        <v>1080</v>
      </c>
      <c r="AA775" s="29"/>
      <c r="AB775" s="31">
        <f>SUMIFS('Historico - FAT'!AK:AK,'Historico - FAT'!$K:$K,Faturamento!$L775,'Historico - FAT'!$I:$I,Faturamento!$J775,'Historico - FAT'!$G:$G,Faturamento!$H775)</f>
        <v>0</v>
      </c>
      <c r="AC775" s="31">
        <f>SUMIFS('Historico - FAT'!AL:AL,'Historico - FAT'!$K:$K,Faturamento!$L775,'Historico - FAT'!$I:$I,Faturamento!$J775,'Historico - FAT'!$G:$G,Faturamento!$H775)</f>
        <v>31.355</v>
      </c>
      <c r="AD775" s="31">
        <f>SUMIFS('Historico - FAT'!AM:AM,'Historico - FAT'!$K:$K,Faturamento!$L775,'Historico - FAT'!$I:$I,Faturamento!$J775,'Historico - FAT'!$G:$G,Faturamento!$H775)</f>
        <v>40.15</v>
      </c>
      <c r="AE775" s="27">
        <f>SUMIFS('Historico - FAT'!AN:AN,'Historico - FAT'!$K:$K,Faturamento!$L775,'Historico - FAT'!$I:$I,Faturamento!$J775,'Historico - FAT'!$G:$G,Faturamento!$H775)</f>
        <v>37.625999999999998</v>
      </c>
      <c r="AG775" s="24">
        <f t="shared" si="181"/>
        <v>1</v>
      </c>
      <c r="AH775" s="24">
        <f t="shared" si="182"/>
        <v>0.65161111111111103</v>
      </c>
      <c r="AI775" s="24">
        <f t="shared" si="183"/>
        <v>0.55388888888888888</v>
      </c>
    </row>
    <row r="776" spans="1:35" hidden="1" x14ac:dyDescent="0.3">
      <c r="A776" s="2" t="str">
        <f t="shared" si="180"/>
        <v>NÃO</v>
      </c>
      <c r="B776" s="2">
        <v>1000184670</v>
      </c>
      <c r="C776" s="2" t="s">
        <v>147</v>
      </c>
      <c r="D776" s="4">
        <v>1000186197</v>
      </c>
      <c r="E776" s="4" t="s">
        <v>166</v>
      </c>
      <c r="F776" s="2">
        <v>1000184758</v>
      </c>
      <c r="G776" s="2" t="s">
        <v>55</v>
      </c>
      <c r="H776" s="4">
        <v>1000189785</v>
      </c>
      <c r="I776" s="4" t="s">
        <v>57</v>
      </c>
      <c r="J776" s="2">
        <v>1000189270</v>
      </c>
      <c r="K776" s="2" t="s">
        <v>34</v>
      </c>
      <c r="L776" s="4" t="s">
        <v>20</v>
      </c>
      <c r="M776" s="4" t="str">
        <f t="shared" si="187"/>
        <v>1000184670100018619710001897851000189270REEMBALADOS</v>
      </c>
      <c r="N776" s="28">
        <f>N764*_xlfn.XLOOKUP($L776,'Balizador da Meta'!$B$4:$B$21,'Balizador da Meta'!$C$4:$C$21)</f>
        <v>72</v>
      </c>
      <c r="O776" s="28">
        <f>O764*_xlfn.XLOOKUP($L776,'Balizador da Meta'!$B$4:$B$21,'Balizador da Meta'!$C$4:$C$21)</f>
        <v>72</v>
      </c>
      <c r="P776" s="28">
        <f>P764*_xlfn.XLOOKUP($L776,'Balizador da Meta'!$B$4:$B$21,'Balizador da Meta'!$C$4:$C$21)</f>
        <v>72</v>
      </c>
      <c r="Q776" s="28">
        <f>Q764*_xlfn.XLOOKUP($L776,'Balizador da Meta'!$B$4:$B$21,'Balizador da Meta'!$C$4:$C$21)</f>
        <v>72</v>
      </c>
      <c r="R776" s="28">
        <f>R764*_xlfn.XLOOKUP($L776,'Balizador da Meta'!$B$4:$B$21,'Balizador da Meta'!$C$4:$C$21)</f>
        <v>72</v>
      </c>
      <c r="S776" s="28">
        <f>S764*_xlfn.XLOOKUP($L776,'Balizador da Meta'!$B$4:$B$21,'Balizador da Meta'!$C$4:$C$21)</f>
        <v>72</v>
      </c>
      <c r="T776" s="28">
        <f>T764*_xlfn.XLOOKUP($L776,'Balizador da Meta'!$B$4:$B$21,'Balizador da Meta'!$C$4:$C$21)</f>
        <v>72</v>
      </c>
      <c r="U776" s="28">
        <f>U764*_xlfn.XLOOKUP($L776,'Balizador da Meta'!$B$4:$B$21,'Balizador da Meta'!$C$4:$C$21)</f>
        <v>72</v>
      </c>
      <c r="V776" s="28">
        <f>V764*_xlfn.XLOOKUP($L776,'Balizador da Meta'!$B$4:$B$21,'Balizador da Meta'!$C$4:$C$21)</f>
        <v>72</v>
      </c>
      <c r="W776" s="28">
        <f>W764*_xlfn.XLOOKUP($L776,'Balizador da Meta'!$B$4:$B$21,'Balizador da Meta'!$C$4:$C$21)</f>
        <v>72</v>
      </c>
      <c r="X776" s="28">
        <f>X764*_xlfn.XLOOKUP($L776,'Balizador da Meta'!$B$4:$B$21,'Balizador da Meta'!$C$4:$C$21)</f>
        <v>72</v>
      </c>
      <c r="Y776" s="28">
        <f>Y764*_xlfn.XLOOKUP($L776,'Balizador da Meta'!$B$4:$B$21,'Balizador da Meta'!$C$4:$C$21)</f>
        <v>72</v>
      </c>
      <c r="Z776" s="30">
        <f t="shared" si="186"/>
        <v>864</v>
      </c>
      <c r="AA776" s="29"/>
      <c r="AB776" s="31">
        <f>SUMIFS('Historico - FAT'!AK:AK,'Historico - FAT'!$K:$K,Faturamento!$L776,'Historico - FAT'!$I:$I,Faturamento!$J776,'Historico - FAT'!$G:$G,Faturamento!$H776)</f>
        <v>0</v>
      </c>
      <c r="AC776" s="31">
        <f>SUMIFS('Historico - FAT'!AL:AL,'Historico - FAT'!$K:$K,Faturamento!$L776,'Historico - FAT'!$I:$I,Faturamento!$J776,'Historico - FAT'!$G:$G,Faturamento!$H776)</f>
        <v>17.980833333333333</v>
      </c>
      <c r="AD776" s="31">
        <f>SUMIFS('Historico - FAT'!AM:AM,'Historico - FAT'!$K:$K,Faturamento!$L776,'Historico - FAT'!$I:$I,Faturamento!$J776,'Historico - FAT'!$G:$G,Faturamento!$H776)</f>
        <v>21.741666666666664</v>
      </c>
      <c r="AE776" s="27">
        <f>SUMIFS('Historico - FAT'!AN:AN,'Historico - FAT'!$K:$K,Faturamento!$L776,'Historico - FAT'!$I:$I,Faturamento!$J776,'Historico - FAT'!$G:$G,Faturamento!$H776)</f>
        <v>21.576999999999998</v>
      </c>
      <c r="AG776" s="24">
        <f t="shared" si="181"/>
        <v>1</v>
      </c>
      <c r="AH776" s="24">
        <f t="shared" si="182"/>
        <v>0.75026620370370367</v>
      </c>
      <c r="AI776" s="24">
        <f t="shared" si="183"/>
        <v>0.69803240740740746</v>
      </c>
    </row>
    <row r="777" spans="1:35" hidden="1" x14ac:dyDescent="0.3">
      <c r="A777" s="2" t="str">
        <f t="shared" si="180"/>
        <v>NÃO</v>
      </c>
      <c r="B777" s="2">
        <v>1000184670</v>
      </c>
      <c r="C777" s="2" t="s">
        <v>147</v>
      </c>
      <c r="D777" s="4">
        <v>1000186197</v>
      </c>
      <c r="E777" s="4" t="s">
        <v>166</v>
      </c>
      <c r="F777" s="2">
        <v>1000184758</v>
      </c>
      <c r="G777" s="2" t="s">
        <v>55</v>
      </c>
      <c r="H777" s="4">
        <v>1000189785</v>
      </c>
      <c r="I777" s="4" t="s">
        <v>57</v>
      </c>
      <c r="J777" s="2">
        <v>1000189270</v>
      </c>
      <c r="K777" s="2" t="s">
        <v>34</v>
      </c>
      <c r="L777" s="4" t="s">
        <v>22</v>
      </c>
      <c r="M777" s="4" t="str">
        <f t="shared" si="187"/>
        <v>1000184670100018619710001897851000189270S GLUTEN</v>
      </c>
      <c r="N777" s="28">
        <f>N764*_xlfn.XLOOKUP($L777,'Balizador da Meta'!$B$4:$B$21,'Balizador da Meta'!$C$4:$C$21)</f>
        <v>72</v>
      </c>
      <c r="O777" s="28">
        <f>O764*_xlfn.XLOOKUP($L777,'Balizador da Meta'!$B$4:$B$21,'Balizador da Meta'!$C$4:$C$21)</f>
        <v>72</v>
      </c>
      <c r="P777" s="28">
        <f>P764*_xlfn.XLOOKUP($L777,'Balizador da Meta'!$B$4:$B$21,'Balizador da Meta'!$C$4:$C$21)</f>
        <v>72</v>
      </c>
      <c r="Q777" s="28">
        <f>Q764*_xlfn.XLOOKUP($L777,'Balizador da Meta'!$B$4:$B$21,'Balizador da Meta'!$C$4:$C$21)</f>
        <v>72</v>
      </c>
      <c r="R777" s="28">
        <f>R764*_xlfn.XLOOKUP($L777,'Balizador da Meta'!$B$4:$B$21,'Balizador da Meta'!$C$4:$C$21)</f>
        <v>72</v>
      </c>
      <c r="S777" s="28">
        <f>S764*_xlfn.XLOOKUP($L777,'Balizador da Meta'!$B$4:$B$21,'Balizador da Meta'!$C$4:$C$21)</f>
        <v>72</v>
      </c>
      <c r="T777" s="28">
        <f>T764*_xlfn.XLOOKUP($L777,'Balizador da Meta'!$B$4:$B$21,'Balizador da Meta'!$C$4:$C$21)</f>
        <v>72</v>
      </c>
      <c r="U777" s="28">
        <f>U764*_xlfn.XLOOKUP($L777,'Balizador da Meta'!$B$4:$B$21,'Balizador da Meta'!$C$4:$C$21)</f>
        <v>72</v>
      </c>
      <c r="V777" s="28">
        <f>V764*_xlfn.XLOOKUP($L777,'Balizador da Meta'!$B$4:$B$21,'Balizador da Meta'!$C$4:$C$21)</f>
        <v>72</v>
      </c>
      <c r="W777" s="28">
        <f>W764*_xlfn.XLOOKUP($L777,'Balizador da Meta'!$B$4:$B$21,'Balizador da Meta'!$C$4:$C$21)</f>
        <v>72</v>
      </c>
      <c r="X777" s="28">
        <f>X764*_xlfn.XLOOKUP($L777,'Balizador da Meta'!$B$4:$B$21,'Balizador da Meta'!$C$4:$C$21)</f>
        <v>72</v>
      </c>
      <c r="Y777" s="28">
        <f>Y764*_xlfn.XLOOKUP($L777,'Balizador da Meta'!$B$4:$B$21,'Balizador da Meta'!$C$4:$C$21)</f>
        <v>72</v>
      </c>
      <c r="Z777" s="30">
        <f t="shared" si="186"/>
        <v>864</v>
      </c>
      <c r="AA777" s="29"/>
      <c r="AB777" s="31">
        <f>SUMIFS('Historico - FAT'!AK:AK,'Historico - FAT'!$K:$K,Faturamento!$L777,'Historico - FAT'!$I:$I,Faturamento!$J777,'Historico - FAT'!$G:$G,Faturamento!$H777)</f>
        <v>0</v>
      </c>
      <c r="AC777" s="31">
        <f>SUMIFS('Historico - FAT'!AL:AL,'Historico - FAT'!$K:$K,Faturamento!$L777,'Historico - FAT'!$I:$I,Faturamento!$J777,'Historico - FAT'!$G:$G,Faturamento!$H777)</f>
        <v>49.938333333333333</v>
      </c>
      <c r="AD777" s="31">
        <f>SUMIFS('Historico - FAT'!AM:AM,'Historico - FAT'!$K:$K,Faturamento!$L777,'Historico - FAT'!$I:$I,Faturamento!$J777,'Historico - FAT'!$G:$G,Faturamento!$H777)</f>
        <v>45.19</v>
      </c>
      <c r="AE777" s="27">
        <f>SUMIFS('Historico - FAT'!AN:AN,'Historico - FAT'!$K:$K,Faturamento!$L777,'Historico - FAT'!$I:$I,Faturamento!$J777,'Historico - FAT'!$G:$G,Faturamento!$H777)</f>
        <v>59.926000000000002</v>
      </c>
      <c r="AG777" s="24">
        <f t="shared" si="181"/>
        <v>1</v>
      </c>
      <c r="AH777" s="24">
        <f t="shared" si="182"/>
        <v>0.30641203703703707</v>
      </c>
      <c r="AI777" s="24">
        <f t="shared" si="183"/>
        <v>0.37236111111111114</v>
      </c>
    </row>
    <row r="778" spans="1:35" hidden="1" x14ac:dyDescent="0.3">
      <c r="A778" s="2" t="str">
        <f t="shared" si="180"/>
        <v>NÃO</v>
      </c>
      <c r="B778" s="2">
        <v>1000184670</v>
      </c>
      <c r="C778" s="2" t="s">
        <v>147</v>
      </c>
      <c r="D778" s="4">
        <v>1000186197</v>
      </c>
      <c r="E778" s="4" t="s">
        <v>166</v>
      </c>
      <c r="F778" s="2">
        <v>1000184758</v>
      </c>
      <c r="G778" s="2" t="s">
        <v>55</v>
      </c>
      <c r="H778" s="4">
        <v>1000189785</v>
      </c>
      <c r="I778" s="4" t="s">
        <v>57</v>
      </c>
      <c r="J778" s="2">
        <v>1000189270</v>
      </c>
      <c r="K778" s="2" t="s">
        <v>34</v>
      </c>
      <c r="L778" s="4" t="s">
        <v>23</v>
      </c>
      <c r="M778" s="4" t="str">
        <f t="shared" si="187"/>
        <v>1000184670100018619710001897851000189270SABORES DO CAMPO</v>
      </c>
      <c r="N778" s="28">
        <f>N764*_xlfn.XLOOKUP($L778,'Balizador da Meta'!$B$4:$B$21,'Balizador da Meta'!$C$4:$C$21)</f>
        <v>0</v>
      </c>
      <c r="O778" s="28">
        <f>O764*_xlfn.XLOOKUP($L778,'Balizador da Meta'!$B$4:$B$21,'Balizador da Meta'!$C$4:$C$21)</f>
        <v>0</v>
      </c>
      <c r="P778" s="28">
        <f>P764*_xlfn.XLOOKUP($L778,'Balizador da Meta'!$B$4:$B$21,'Balizador da Meta'!$C$4:$C$21)</f>
        <v>0</v>
      </c>
      <c r="Q778" s="28">
        <f>Q764*_xlfn.XLOOKUP($L778,'Balizador da Meta'!$B$4:$B$21,'Balizador da Meta'!$C$4:$C$21)</f>
        <v>0</v>
      </c>
      <c r="R778" s="28">
        <f>R764*_xlfn.XLOOKUP($L778,'Balizador da Meta'!$B$4:$B$21,'Balizador da Meta'!$C$4:$C$21)</f>
        <v>0</v>
      </c>
      <c r="S778" s="28">
        <f>S764*_xlfn.XLOOKUP($L778,'Balizador da Meta'!$B$4:$B$21,'Balizador da Meta'!$C$4:$C$21)</f>
        <v>0</v>
      </c>
      <c r="T778" s="28">
        <f>T764*_xlfn.XLOOKUP($L778,'Balizador da Meta'!$B$4:$B$21,'Balizador da Meta'!$C$4:$C$21)</f>
        <v>0</v>
      </c>
      <c r="U778" s="28">
        <f>U764*_xlfn.XLOOKUP($L778,'Balizador da Meta'!$B$4:$B$21,'Balizador da Meta'!$C$4:$C$21)</f>
        <v>0</v>
      </c>
      <c r="V778" s="28">
        <f>V764*_xlfn.XLOOKUP($L778,'Balizador da Meta'!$B$4:$B$21,'Balizador da Meta'!$C$4:$C$21)</f>
        <v>0</v>
      </c>
      <c r="W778" s="28">
        <f>W764*_xlfn.XLOOKUP($L778,'Balizador da Meta'!$B$4:$B$21,'Balizador da Meta'!$C$4:$C$21)</f>
        <v>0</v>
      </c>
      <c r="X778" s="28">
        <f>X764*_xlfn.XLOOKUP($L778,'Balizador da Meta'!$B$4:$B$21,'Balizador da Meta'!$C$4:$C$21)</f>
        <v>0</v>
      </c>
      <c r="Y778" s="28">
        <f>Y764*_xlfn.XLOOKUP($L778,'Balizador da Meta'!$B$4:$B$21,'Balizador da Meta'!$C$4:$C$21)</f>
        <v>0</v>
      </c>
      <c r="Z778" s="30">
        <f t="shared" si="186"/>
        <v>0</v>
      </c>
      <c r="AA778" s="29"/>
      <c r="AB778" s="31">
        <f>SUMIFS('Historico - FAT'!AK:AK,'Historico - FAT'!$K:$K,Faturamento!$L778,'Historico - FAT'!$I:$I,Faturamento!$J778,'Historico - FAT'!$G:$G,Faturamento!$H778)</f>
        <v>0</v>
      </c>
      <c r="AC778" s="31">
        <f>SUMIFS('Historico - FAT'!AL:AL,'Historico - FAT'!$K:$K,Faturamento!$L778,'Historico - FAT'!$I:$I,Faturamento!$J778,'Historico - FAT'!$G:$G,Faturamento!$H778)</f>
        <v>0</v>
      </c>
      <c r="AD778" s="31">
        <f>SUMIFS('Historico - FAT'!AM:AM,'Historico - FAT'!$K:$K,Faturamento!$L778,'Historico - FAT'!$I:$I,Faturamento!$J778,'Historico - FAT'!$G:$G,Faturamento!$H778)</f>
        <v>0</v>
      </c>
      <c r="AE778" s="27">
        <f>SUMIFS('Historico - FAT'!AN:AN,'Historico - FAT'!$K:$K,Faturamento!$L778,'Historico - FAT'!$I:$I,Faturamento!$J778,'Historico - FAT'!$G:$G,Faturamento!$H778)</f>
        <v>0</v>
      </c>
      <c r="AG778" s="24" t="str">
        <f t="shared" si="181"/>
        <v/>
      </c>
      <c r="AH778" s="24" t="str">
        <f t="shared" si="182"/>
        <v/>
      </c>
      <c r="AI778" s="24" t="str">
        <f t="shared" si="183"/>
        <v/>
      </c>
    </row>
    <row r="779" spans="1:35" hidden="1" x14ac:dyDescent="0.3">
      <c r="A779" s="2" t="str">
        <f t="shared" si="180"/>
        <v>NÃO</v>
      </c>
      <c r="B779" s="2">
        <v>1000184670</v>
      </c>
      <c r="C779" s="2" t="s">
        <v>147</v>
      </c>
      <c r="D779" s="4">
        <v>1000186197</v>
      </c>
      <c r="E779" s="4" t="s">
        <v>166</v>
      </c>
      <c r="F779" s="2">
        <v>1000184758</v>
      </c>
      <c r="G779" s="2" t="s">
        <v>55</v>
      </c>
      <c r="H779" s="4">
        <v>1000189785</v>
      </c>
      <c r="I779" s="4" t="s">
        <v>57</v>
      </c>
      <c r="J779" s="2">
        <v>1000189270</v>
      </c>
      <c r="K779" s="2" t="s">
        <v>34</v>
      </c>
      <c r="L779" s="4" t="s">
        <v>28</v>
      </c>
      <c r="M779" s="4" t="str">
        <f t="shared" si="187"/>
        <v>1000184670100018619710001897851000189270SAL</v>
      </c>
      <c r="N779" s="28">
        <f>N764*_xlfn.XLOOKUP($L779,'Balizador da Meta'!$B$4:$B$21,'Balizador da Meta'!$C$4:$C$21)</f>
        <v>36</v>
      </c>
      <c r="O779" s="28">
        <f>O764*_xlfn.XLOOKUP($L779,'Balizador da Meta'!$B$4:$B$21,'Balizador da Meta'!$C$4:$C$21)</f>
        <v>36</v>
      </c>
      <c r="P779" s="28">
        <f>P764*_xlfn.XLOOKUP($L779,'Balizador da Meta'!$B$4:$B$21,'Balizador da Meta'!$C$4:$C$21)</f>
        <v>36</v>
      </c>
      <c r="Q779" s="28">
        <f>Q764*_xlfn.XLOOKUP($L779,'Balizador da Meta'!$B$4:$B$21,'Balizador da Meta'!$C$4:$C$21)</f>
        <v>36</v>
      </c>
      <c r="R779" s="28">
        <f>R764*_xlfn.XLOOKUP($L779,'Balizador da Meta'!$B$4:$B$21,'Balizador da Meta'!$C$4:$C$21)</f>
        <v>36</v>
      </c>
      <c r="S779" s="28">
        <f>S764*_xlfn.XLOOKUP($L779,'Balizador da Meta'!$B$4:$B$21,'Balizador da Meta'!$C$4:$C$21)</f>
        <v>36</v>
      </c>
      <c r="T779" s="28">
        <f>T764*_xlfn.XLOOKUP($L779,'Balizador da Meta'!$B$4:$B$21,'Balizador da Meta'!$C$4:$C$21)</f>
        <v>36</v>
      </c>
      <c r="U779" s="28">
        <f>U764*_xlfn.XLOOKUP($L779,'Balizador da Meta'!$B$4:$B$21,'Balizador da Meta'!$C$4:$C$21)</f>
        <v>36</v>
      </c>
      <c r="V779" s="28">
        <f>V764*_xlfn.XLOOKUP($L779,'Balizador da Meta'!$B$4:$B$21,'Balizador da Meta'!$C$4:$C$21)</f>
        <v>36</v>
      </c>
      <c r="W779" s="28">
        <f>W764*_xlfn.XLOOKUP($L779,'Balizador da Meta'!$B$4:$B$21,'Balizador da Meta'!$C$4:$C$21)</f>
        <v>36</v>
      </c>
      <c r="X779" s="28">
        <f>X764*_xlfn.XLOOKUP($L779,'Balizador da Meta'!$B$4:$B$21,'Balizador da Meta'!$C$4:$C$21)</f>
        <v>36</v>
      </c>
      <c r="Y779" s="28">
        <f>Y764*_xlfn.XLOOKUP($L779,'Balizador da Meta'!$B$4:$B$21,'Balizador da Meta'!$C$4:$C$21)</f>
        <v>36</v>
      </c>
      <c r="Z779" s="30">
        <f t="shared" si="186"/>
        <v>432</v>
      </c>
      <c r="AA779" s="29"/>
      <c r="AB779" s="31">
        <f>SUMIFS('Historico - FAT'!AK:AK,'Historico - FAT'!$K:$K,Faturamento!$L779,'Historico - FAT'!$I:$I,Faturamento!$J779,'Historico - FAT'!$G:$G,Faturamento!$H779)</f>
        <v>0</v>
      </c>
      <c r="AC779" s="31">
        <f>SUMIFS('Historico - FAT'!AL:AL,'Historico - FAT'!$K:$K,Faturamento!$L779,'Historico - FAT'!$I:$I,Faturamento!$J779,'Historico - FAT'!$G:$G,Faturamento!$H779)</f>
        <v>2.72</v>
      </c>
      <c r="AD779" s="31">
        <f>SUMIFS('Historico - FAT'!AM:AM,'Historico - FAT'!$K:$K,Faturamento!$L779,'Historico - FAT'!$I:$I,Faturamento!$J779,'Historico - FAT'!$G:$G,Faturamento!$H779)</f>
        <v>0</v>
      </c>
      <c r="AE779" s="27">
        <f>SUMIFS('Historico - FAT'!AN:AN,'Historico - FAT'!$K:$K,Faturamento!$L779,'Historico - FAT'!$I:$I,Faturamento!$J779,'Historico - FAT'!$G:$G,Faturamento!$H779)</f>
        <v>3.2640000000000002</v>
      </c>
      <c r="AG779" s="24">
        <f t="shared" si="181"/>
        <v>1</v>
      </c>
      <c r="AH779" s="24">
        <f t="shared" si="182"/>
        <v>0.92444444444444451</v>
      </c>
      <c r="AI779" s="24">
        <f t="shared" si="183"/>
        <v>1</v>
      </c>
    </row>
    <row r="780" spans="1:35" hidden="1" x14ac:dyDescent="0.3">
      <c r="A780" s="2" t="str">
        <f t="shared" si="180"/>
        <v>NÃO</v>
      </c>
      <c r="B780" s="2">
        <v>1000184670</v>
      </c>
      <c r="C780" s="2" t="s">
        <v>147</v>
      </c>
      <c r="D780" s="4">
        <v>1000186197</v>
      </c>
      <c r="E780" s="4" t="s">
        <v>166</v>
      </c>
      <c r="F780" s="2">
        <v>1000184758</v>
      </c>
      <c r="G780" s="2" t="s">
        <v>55</v>
      </c>
      <c r="H780" s="4">
        <v>1000189785</v>
      </c>
      <c r="I780" s="4" t="s">
        <v>57</v>
      </c>
      <c r="J780" s="2">
        <v>1000189270</v>
      </c>
      <c r="K780" s="2" t="s">
        <v>34</v>
      </c>
      <c r="L780" s="4" t="s">
        <v>26</v>
      </c>
      <c r="M780" s="4" t="str">
        <f t="shared" si="187"/>
        <v>1000184670100018619710001897851000189270SOULPRO</v>
      </c>
      <c r="N780" s="28">
        <f>N764*_xlfn.XLOOKUP($L780,'Balizador da Meta'!$B$4:$B$21,'Balizador da Meta'!$C$4:$C$21)</f>
        <v>108</v>
      </c>
      <c r="O780" s="28">
        <f>O764*_xlfn.XLOOKUP($L780,'Balizador da Meta'!$B$4:$B$21,'Balizador da Meta'!$C$4:$C$21)</f>
        <v>108</v>
      </c>
      <c r="P780" s="28">
        <f>P764*_xlfn.XLOOKUP($L780,'Balizador da Meta'!$B$4:$B$21,'Balizador da Meta'!$C$4:$C$21)</f>
        <v>108</v>
      </c>
      <c r="Q780" s="28">
        <f>Q764*_xlfn.XLOOKUP($L780,'Balizador da Meta'!$B$4:$B$21,'Balizador da Meta'!$C$4:$C$21)</f>
        <v>108</v>
      </c>
      <c r="R780" s="28">
        <f>R764*_xlfn.XLOOKUP($L780,'Balizador da Meta'!$B$4:$B$21,'Balizador da Meta'!$C$4:$C$21)</f>
        <v>108</v>
      </c>
      <c r="S780" s="28">
        <f>S764*_xlfn.XLOOKUP($L780,'Balizador da Meta'!$B$4:$B$21,'Balizador da Meta'!$C$4:$C$21)</f>
        <v>108</v>
      </c>
      <c r="T780" s="28">
        <f>T764*_xlfn.XLOOKUP($L780,'Balizador da Meta'!$B$4:$B$21,'Balizador da Meta'!$C$4:$C$21)</f>
        <v>108</v>
      </c>
      <c r="U780" s="28">
        <f>U764*_xlfn.XLOOKUP($L780,'Balizador da Meta'!$B$4:$B$21,'Balizador da Meta'!$C$4:$C$21)</f>
        <v>108</v>
      </c>
      <c r="V780" s="28">
        <f>V764*_xlfn.XLOOKUP($L780,'Balizador da Meta'!$B$4:$B$21,'Balizador da Meta'!$C$4:$C$21)</f>
        <v>108</v>
      </c>
      <c r="W780" s="28">
        <f>W764*_xlfn.XLOOKUP($L780,'Balizador da Meta'!$B$4:$B$21,'Balizador da Meta'!$C$4:$C$21)</f>
        <v>108</v>
      </c>
      <c r="X780" s="28">
        <f>X764*_xlfn.XLOOKUP($L780,'Balizador da Meta'!$B$4:$B$21,'Balizador da Meta'!$C$4:$C$21)</f>
        <v>108</v>
      </c>
      <c r="Y780" s="28">
        <f>Y764*_xlfn.XLOOKUP($L780,'Balizador da Meta'!$B$4:$B$21,'Balizador da Meta'!$C$4:$C$21)</f>
        <v>108</v>
      </c>
      <c r="Z780" s="30">
        <f t="shared" si="186"/>
        <v>1296</v>
      </c>
      <c r="AA780" s="29"/>
      <c r="AB780" s="31">
        <f>SUMIFS('Historico - FAT'!AK:AK,'Historico - FAT'!$K:$K,Faturamento!$L780,'Historico - FAT'!$I:$I,Faturamento!$J780,'Historico - FAT'!$G:$G,Faturamento!$H780)</f>
        <v>0</v>
      </c>
      <c r="AC780" s="31">
        <f>SUMIFS('Historico - FAT'!AL:AL,'Historico - FAT'!$K:$K,Faturamento!$L780,'Historico - FAT'!$I:$I,Faturamento!$J780,'Historico - FAT'!$G:$G,Faturamento!$H780)</f>
        <v>36.839999999999996</v>
      </c>
      <c r="AD780" s="31">
        <f>SUMIFS('Historico - FAT'!AM:AM,'Historico - FAT'!$K:$K,Faturamento!$L780,'Historico - FAT'!$I:$I,Faturamento!$J780,'Historico - FAT'!$G:$G,Faturamento!$H780)</f>
        <v>73.679999999999993</v>
      </c>
      <c r="AE780" s="27">
        <f>SUMIFS('Historico - FAT'!AN:AN,'Historico - FAT'!$K:$K,Faturamento!$L780,'Historico - FAT'!$I:$I,Faturamento!$J780,'Historico - FAT'!$G:$G,Faturamento!$H780)</f>
        <v>44.207999999999998</v>
      </c>
      <c r="AG780" s="24">
        <f t="shared" si="181"/>
        <v>1</v>
      </c>
      <c r="AH780" s="24">
        <f t="shared" si="182"/>
        <v>0.65888888888888886</v>
      </c>
      <c r="AI780" s="24">
        <f t="shared" si="183"/>
        <v>0.31777777777777783</v>
      </c>
    </row>
    <row r="781" spans="1:35" hidden="1" x14ac:dyDescent="0.3">
      <c r="A781" s="2" t="str">
        <f t="shared" si="180"/>
        <v>NÃO</v>
      </c>
      <c r="B781" s="2">
        <v>1000184670</v>
      </c>
      <c r="C781" s="2" t="s">
        <v>147</v>
      </c>
      <c r="D781" s="4">
        <v>1000186197</v>
      </c>
      <c r="E781" s="4" t="s">
        <v>166</v>
      </c>
      <c r="F781" s="2">
        <v>1000184758</v>
      </c>
      <c r="G781" s="2" t="s">
        <v>55</v>
      </c>
      <c r="H781" s="4">
        <v>1000189785</v>
      </c>
      <c r="I781" s="4" t="s">
        <v>57</v>
      </c>
      <c r="J781" s="2">
        <v>1000189270</v>
      </c>
      <c r="K781" s="2" t="s">
        <v>34</v>
      </c>
      <c r="L781" s="4" t="s">
        <v>27</v>
      </c>
      <c r="M781" s="4" t="str">
        <f t="shared" si="187"/>
        <v>1000184670100018619710001897851000189270TAMARA</v>
      </c>
      <c r="N781" s="28">
        <f>N764*_xlfn.XLOOKUP($L781,'Balizador da Meta'!$B$4:$B$21,'Balizador da Meta'!$C$4:$C$21)</f>
        <v>144</v>
      </c>
      <c r="O781" s="28">
        <f>O764*_xlfn.XLOOKUP($L781,'Balizador da Meta'!$B$4:$B$21,'Balizador da Meta'!$C$4:$C$21)</f>
        <v>144</v>
      </c>
      <c r="P781" s="28">
        <f>P764*_xlfn.XLOOKUP($L781,'Balizador da Meta'!$B$4:$B$21,'Balizador da Meta'!$C$4:$C$21)</f>
        <v>144</v>
      </c>
      <c r="Q781" s="28">
        <f>Q764*_xlfn.XLOOKUP($L781,'Balizador da Meta'!$B$4:$B$21,'Balizador da Meta'!$C$4:$C$21)</f>
        <v>144</v>
      </c>
      <c r="R781" s="28">
        <f>R764*_xlfn.XLOOKUP($L781,'Balizador da Meta'!$B$4:$B$21,'Balizador da Meta'!$C$4:$C$21)</f>
        <v>144</v>
      </c>
      <c r="S781" s="28">
        <f>S764*_xlfn.XLOOKUP($L781,'Balizador da Meta'!$B$4:$B$21,'Balizador da Meta'!$C$4:$C$21)</f>
        <v>144</v>
      </c>
      <c r="T781" s="28">
        <f>T764*_xlfn.XLOOKUP($L781,'Balizador da Meta'!$B$4:$B$21,'Balizador da Meta'!$C$4:$C$21)</f>
        <v>144</v>
      </c>
      <c r="U781" s="28">
        <f>U764*_xlfn.XLOOKUP($L781,'Balizador da Meta'!$B$4:$B$21,'Balizador da Meta'!$C$4:$C$21)</f>
        <v>144</v>
      </c>
      <c r="V781" s="28">
        <f>V764*_xlfn.XLOOKUP($L781,'Balizador da Meta'!$B$4:$B$21,'Balizador da Meta'!$C$4:$C$21)</f>
        <v>144</v>
      </c>
      <c r="W781" s="28">
        <f>W764*_xlfn.XLOOKUP($L781,'Balizador da Meta'!$B$4:$B$21,'Balizador da Meta'!$C$4:$C$21)</f>
        <v>144</v>
      </c>
      <c r="X781" s="28">
        <f>X764*_xlfn.XLOOKUP($L781,'Balizador da Meta'!$B$4:$B$21,'Balizador da Meta'!$C$4:$C$21)</f>
        <v>144</v>
      </c>
      <c r="Y781" s="28">
        <f>Y764*_xlfn.XLOOKUP($L781,'Balizador da Meta'!$B$4:$B$21,'Balizador da Meta'!$C$4:$C$21)</f>
        <v>144</v>
      </c>
      <c r="Z781" s="30">
        <f t="shared" si="186"/>
        <v>1728</v>
      </c>
      <c r="AA781" s="29"/>
      <c r="AB781" s="31">
        <f>SUMIFS('Historico - FAT'!AK:AK,'Historico - FAT'!$K:$K,Faturamento!$L781,'Historico - FAT'!$I:$I,Faturamento!$J781,'Historico - FAT'!$G:$G,Faturamento!$H781)</f>
        <v>0</v>
      </c>
      <c r="AC781" s="31">
        <f>SUMIFS('Historico - FAT'!AL:AL,'Historico - FAT'!$K:$K,Faturamento!$L781,'Historico - FAT'!$I:$I,Faturamento!$J781,'Historico - FAT'!$G:$G,Faturamento!$H781)</f>
        <v>97.665000000000006</v>
      </c>
      <c r="AD781" s="31">
        <f>SUMIFS('Historico - FAT'!AM:AM,'Historico - FAT'!$K:$K,Faturamento!$L781,'Historico - FAT'!$I:$I,Faturamento!$J781,'Historico - FAT'!$G:$G,Faturamento!$H781)</f>
        <v>4.05</v>
      </c>
      <c r="AE781" s="27">
        <f>SUMIFS('Historico - FAT'!AN:AN,'Historico - FAT'!$K:$K,Faturamento!$L781,'Historico - FAT'!$I:$I,Faturamento!$J781,'Historico - FAT'!$G:$G,Faturamento!$H781)</f>
        <v>117.19800000000001</v>
      </c>
      <c r="AG781" s="24">
        <f t="shared" si="181"/>
        <v>1</v>
      </c>
      <c r="AH781" s="24">
        <f t="shared" si="182"/>
        <v>0.32177083333333328</v>
      </c>
      <c r="AI781" s="24">
        <f t="shared" si="183"/>
        <v>0.97187499999999993</v>
      </c>
    </row>
    <row r="782" spans="1:35" hidden="1" x14ac:dyDescent="0.3">
      <c r="A782" s="2" t="str">
        <f t="shared" si="180"/>
        <v>NÃO</v>
      </c>
      <c r="B782" s="2">
        <v>1000184670</v>
      </c>
      <c r="C782" s="2" t="s">
        <v>147</v>
      </c>
      <c r="D782" s="4">
        <v>1000186197</v>
      </c>
      <c r="E782" s="4" t="s">
        <v>166</v>
      </c>
      <c r="F782" s="2">
        <v>1000184758</v>
      </c>
      <c r="G782" s="2" t="s">
        <v>55</v>
      </c>
      <c r="H782" s="4">
        <v>1000189785</v>
      </c>
      <c r="I782" s="4" t="s">
        <v>57</v>
      </c>
      <c r="J782" s="2">
        <v>1000189270</v>
      </c>
      <c r="K782" s="2" t="s">
        <v>34</v>
      </c>
      <c r="L782" s="4" t="s">
        <v>25</v>
      </c>
      <c r="M782" s="4" t="str">
        <f t="shared" si="187"/>
        <v>1000184670100018619710001897851000189270VICCIO</v>
      </c>
      <c r="N782" s="28">
        <f>N764*_xlfn.XLOOKUP($L782,'Balizador da Meta'!$B$4:$B$21,'Balizador da Meta'!$C$4:$C$21)</f>
        <v>54</v>
      </c>
      <c r="O782" s="28">
        <f>O764*_xlfn.XLOOKUP($L782,'Balizador da Meta'!$B$4:$B$21,'Balizador da Meta'!$C$4:$C$21)</f>
        <v>54</v>
      </c>
      <c r="P782" s="28">
        <f>P764*_xlfn.XLOOKUP($L782,'Balizador da Meta'!$B$4:$B$21,'Balizador da Meta'!$C$4:$C$21)</f>
        <v>54</v>
      </c>
      <c r="Q782" s="28">
        <f>Q764*_xlfn.XLOOKUP($L782,'Balizador da Meta'!$B$4:$B$21,'Balizador da Meta'!$C$4:$C$21)</f>
        <v>54</v>
      </c>
      <c r="R782" s="28">
        <f>R764*_xlfn.XLOOKUP($L782,'Balizador da Meta'!$B$4:$B$21,'Balizador da Meta'!$C$4:$C$21)</f>
        <v>54</v>
      </c>
      <c r="S782" s="28">
        <f>S764*_xlfn.XLOOKUP($L782,'Balizador da Meta'!$B$4:$B$21,'Balizador da Meta'!$C$4:$C$21)</f>
        <v>54</v>
      </c>
      <c r="T782" s="28">
        <f>T764*_xlfn.XLOOKUP($L782,'Balizador da Meta'!$B$4:$B$21,'Balizador da Meta'!$C$4:$C$21)</f>
        <v>54</v>
      </c>
      <c r="U782" s="28">
        <f>U764*_xlfn.XLOOKUP($L782,'Balizador da Meta'!$B$4:$B$21,'Balizador da Meta'!$C$4:$C$21)</f>
        <v>54</v>
      </c>
      <c r="V782" s="28">
        <f>V764*_xlfn.XLOOKUP($L782,'Balizador da Meta'!$B$4:$B$21,'Balizador da Meta'!$C$4:$C$21)</f>
        <v>54</v>
      </c>
      <c r="W782" s="28">
        <f>W764*_xlfn.XLOOKUP($L782,'Balizador da Meta'!$B$4:$B$21,'Balizador da Meta'!$C$4:$C$21)</f>
        <v>54</v>
      </c>
      <c r="X782" s="28">
        <f>X764*_xlfn.XLOOKUP($L782,'Balizador da Meta'!$B$4:$B$21,'Balizador da Meta'!$C$4:$C$21)</f>
        <v>54</v>
      </c>
      <c r="Y782" s="28">
        <f>Y764*_xlfn.XLOOKUP($L782,'Balizador da Meta'!$B$4:$B$21,'Balizador da Meta'!$C$4:$C$21)</f>
        <v>54</v>
      </c>
      <c r="Z782" s="30">
        <f t="shared" si="186"/>
        <v>648</v>
      </c>
      <c r="AA782" s="29"/>
      <c r="AB782" s="31">
        <f>SUMIFS('Historico - FAT'!AK:AK,'Historico - FAT'!$K:$K,Faturamento!$L782,'Historico - FAT'!$I:$I,Faturamento!$J782,'Historico - FAT'!$G:$G,Faturamento!$H782)</f>
        <v>0</v>
      </c>
      <c r="AC782" s="31">
        <f>SUMIFS('Historico - FAT'!AL:AL,'Historico - FAT'!$K:$K,Faturamento!$L782,'Historico - FAT'!$I:$I,Faturamento!$J782,'Historico - FAT'!$G:$G,Faturamento!$H782)</f>
        <v>19.912499999999998</v>
      </c>
      <c r="AD782" s="31">
        <f>SUMIFS('Historico - FAT'!AM:AM,'Historico - FAT'!$K:$K,Faturamento!$L782,'Historico - FAT'!$I:$I,Faturamento!$J782,'Historico - FAT'!$G:$G,Faturamento!$H782)</f>
        <v>17.324999999999999</v>
      </c>
      <c r="AE782" s="27">
        <f>SUMIFS('Historico - FAT'!AN:AN,'Historico - FAT'!$K:$K,Faturamento!$L782,'Historico - FAT'!$I:$I,Faturamento!$J782,'Historico - FAT'!$G:$G,Faturamento!$H782)</f>
        <v>23.895</v>
      </c>
      <c r="AG782" s="24">
        <f t="shared" si="181"/>
        <v>1</v>
      </c>
      <c r="AH782" s="24">
        <f t="shared" si="182"/>
        <v>0.63125000000000009</v>
      </c>
      <c r="AI782" s="24">
        <f t="shared" si="183"/>
        <v>0.67916666666666659</v>
      </c>
    </row>
    <row r="783" spans="1:35" x14ac:dyDescent="0.3">
      <c r="A783" s="2" t="str">
        <f t="shared" si="180"/>
        <v>SIM</v>
      </c>
      <c r="B783" s="2">
        <v>1000184670</v>
      </c>
      <c r="C783" s="2" t="s">
        <v>147</v>
      </c>
      <c r="D783" s="4">
        <v>1000186197</v>
      </c>
      <c r="E783" s="4" t="s">
        <v>166</v>
      </c>
      <c r="F783" s="2">
        <v>1000184758</v>
      </c>
      <c r="G783" s="2" t="s">
        <v>55</v>
      </c>
      <c r="H783" s="4">
        <v>1000189786</v>
      </c>
      <c r="I783" s="4" t="s">
        <v>104</v>
      </c>
      <c r="J783" s="2">
        <v>1000189270</v>
      </c>
      <c r="K783" s="2" t="s">
        <v>34</v>
      </c>
      <c r="L783" s="4" t="s">
        <v>124</v>
      </c>
      <c r="M783" s="4" t="str">
        <f t="shared" si="187"/>
        <v>100018467010001861971000189786100018927001. TOTAL</v>
      </c>
      <c r="N783" s="28">
        <f>SUMIFS(Positivação!L:L,Positivação!$I:$I,Faturamento!$J783,Positivação!$G:$G,Faturamento!$H783)*SUMIFS(Positivação!$Z:$Z,Positivação!$I:$I,Faturamento!$J783,Positivação!$G:$G,Faturamento!$H783)</f>
        <v>600</v>
      </c>
      <c r="O783" s="28">
        <f>SUMIFS(Positivação!M:M,Positivação!$I:$I,Faturamento!$J783,Positivação!$G:$G,Faturamento!$H783)*SUMIFS(Positivação!$Z:$Z,Positivação!$I:$I,Faturamento!$J783,Positivação!$G:$G,Faturamento!$H783)</f>
        <v>600</v>
      </c>
      <c r="P783" s="28">
        <f>SUMIFS(Positivação!N:N,Positivação!$I:$I,Faturamento!$J783,Positivação!$G:$G,Faturamento!$H783)*SUMIFS(Positivação!$Z:$Z,Positivação!$I:$I,Faturamento!$J783,Positivação!$G:$G,Faturamento!$H783)</f>
        <v>600</v>
      </c>
      <c r="Q783" s="28">
        <f>SUMIFS(Positivação!O:O,Positivação!$I:$I,Faturamento!$J783,Positivação!$G:$G,Faturamento!$H783)*SUMIFS(Positivação!$Z:$Z,Positivação!$I:$I,Faturamento!$J783,Positivação!$G:$G,Faturamento!$H783)</f>
        <v>600</v>
      </c>
      <c r="R783" s="28">
        <f>SUMIFS(Positivação!P:P,Positivação!$I:$I,Faturamento!$J783,Positivação!$G:$G,Faturamento!$H783)*SUMIFS(Positivação!$Z:$Z,Positivação!$I:$I,Faturamento!$J783,Positivação!$G:$G,Faturamento!$H783)</f>
        <v>600</v>
      </c>
      <c r="S783" s="28">
        <f>SUMIFS(Positivação!Q:Q,Positivação!$I:$I,Faturamento!$J783,Positivação!$G:$G,Faturamento!$H783)*SUMIFS(Positivação!$Z:$Z,Positivação!$I:$I,Faturamento!$J783,Positivação!$G:$G,Faturamento!$H783)</f>
        <v>600</v>
      </c>
      <c r="T783" s="28">
        <f>SUMIFS(Positivação!R:R,Positivação!$I:$I,Faturamento!$J783,Positivação!$G:$G,Faturamento!$H783)*SUMIFS(Positivação!$Z:$Z,Positivação!$I:$I,Faturamento!$J783,Positivação!$G:$G,Faturamento!$H783)</f>
        <v>600</v>
      </c>
      <c r="U783" s="28">
        <f>SUMIFS(Positivação!S:S,Positivação!$I:$I,Faturamento!$J783,Positivação!$G:$G,Faturamento!$H783)*SUMIFS(Positivação!$Z:$Z,Positivação!$I:$I,Faturamento!$J783,Positivação!$G:$G,Faturamento!$H783)</f>
        <v>600</v>
      </c>
      <c r="V783" s="28">
        <f>SUMIFS(Positivação!T:T,Positivação!$I:$I,Faturamento!$J783,Positivação!$G:$G,Faturamento!$H783)*SUMIFS(Positivação!$Z:$Z,Positivação!$I:$I,Faturamento!$J783,Positivação!$G:$G,Faturamento!$H783)</f>
        <v>600</v>
      </c>
      <c r="W783" s="28">
        <f>SUMIFS(Positivação!U:U,Positivação!$I:$I,Faturamento!$J783,Positivação!$G:$G,Faturamento!$H783)*SUMIFS(Positivação!$Z:$Z,Positivação!$I:$I,Faturamento!$J783,Positivação!$G:$G,Faturamento!$H783)</f>
        <v>600</v>
      </c>
      <c r="X783" s="28">
        <f>SUMIFS(Positivação!V:V,Positivação!$I:$I,Faturamento!$J783,Positivação!$G:$G,Faturamento!$H783)*SUMIFS(Positivação!$Z:$Z,Positivação!$I:$I,Faturamento!$J783,Positivação!$G:$G,Faturamento!$H783)</f>
        <v>600</v>
      </c>
      <c r="Y783" s="28">
        <f>SUMIFS(Positivação!W:W,Positivação!$I:$I,Faturamento!$J783,Positivação!$G:$G,Faturamento!$H783)*SUMIFS(Positivação!$Z:$Z,Positivação!$I:$I,Faturamento!$J783,Positivação!$G:$G,Faturamento!$H783)</f>
        <v>600</v>
      </c>
      <c r="Z783" s="28">
        <f t="shared" ref="Z783" si="188">SUM(Z784:Z801)</f>
        <v>7200</v>
      </c>
      <c r="AA783" s="29"/>
      <c r="AB783" s="28">
        <f t="shared" ref="AB783:AE783" si="189">SUM(AB784:AB801)</f>
        <v>140.0575</v>
      </c>
      <c r="AC783" s="28">
        <f t="shared" si="189"/>
        <v>2496.5008333333335</v>
      </c>
      <c r="AD783" s="28">
        <f t="shared" si="189"/>
        <v>2509.6916666666666</v>
      </c>
      <c r="AE783" s="28">
        <f t="shared" si="189"/>
        <v>2827.732</v>
      </c>
      <c r="AG783" s="24">
        <f t="shared" si="181"/>
        <v>0.76657083333333331</v>
      </c>
      <c r="AH783" s="24">
        <f t="shared" si="182"/>
        <v>-3.1608347222222224</v>
      </c>
      <c r="AI783" s="24">
        <f t="shared" si="183"/>
        <v>-3.1828194444444442</v>
      </c>
    </row>
    <row r="784" spans="1:35" hidden="1" x14ac:dyDescent="0.3">
      <c r="A784" s="2" t="str">
        <f t="shared" si="180"/>
        <v>NÃO</v>
      </c>
      <c r="B784" s="2">
        <v>1000184670</v>
      </c>
      <c r="C784" s="2" t="s">
        <v>147</v>
      </c>
      <c r="D784" s="4">
        <v>1000186197</v>
      </c>
      <c r="E784" s="4" t="s">
        <v>166</v>
      </c>
      <c r="F784" s="2">
        <v>1000184758</v>
      </c>
      <c r="G784" s="2" t="s">
        <v>55</v>
      </c>
      <c r="H784" s="4">
        <v>1000189786</v>
      </c>
      <c r="I784" s="4" t="s">
        <v>104</v>
      </c>
      <c r="J784" s="2">
        <v>1000189270</v>
      </c>
      <c r="K784" s="2" t="s">
        <v>34</v>
      </c>
      <c r="L784" s="4" t="s">
        <v>13</v>
      </c>
      <c r="M784" s="4" t="str">
        <f t="shared" si="187"/>
        <v>1000184670100018619710001897861000189270BISCOITO</v>
      </c>
      <c r="N784" s="28">
        <f>N783*_xlfn.XLOOKUP($L784,'Balizador da Meta'!$B$4:$B$21,'Balizador da Meta'!$C$4:$C$21)</f>
        <v>42.000000000000007</v>
      </c>
      <c r="O784" s="28">
        <f>O783*_xlfn.XLOOKUP($L784,'Balizador da Meta'!$B$4:$B$21,'Balizador da Meta'!$C$4:$C$21)</f>
        <v>42.000000000000007</v>
      </c>
      <c r="P784" s="28">
        <f>P783*_xlfn.XLOOKUP($L784,'Balizador da Meta'!$B$4:$B$21,'Balizador da Meta'!$C$4:$C$21)</f>
        <v>42.000000000000007</v>
      </c>
      <c r="Q784" s="28">
        <f>Q783*_xlfn.XLOOKUP($L784,'Balizador da Meta'!$B$4:$B$21,'Balizador da Meta'!$C$4:$C$21)</f>
        <v>42.000000000000007</v>
      </c>
      <c r="R784" s="28">
        <f>R783*_xlfn.XLOOKUP($L784,'Balizador da Meta'!$B$4:$B$21,'Balizador da Meta'!$C$4:$C$21)</f>
        <v>42.000000000000007</v>
      </c>
      <c r="S784" s="28">
        <f>S783*_xlfn.XLOOKUP($L784,'Balizador da Meta'!$B$4:$B$21,'Balizador da Meta'!$C$4:$C$21)</f>
        <v>42.000000000000007</v>
      </c>
      <c r="T784" s="28">
        <f>T783*_xlfn.XLOOKUP($L784,'Balizador da Meta'!$B$4:$B$21,'Balizador da Meta'!$C$4:$C$21)</f>
        <v>42.000000000000007</v>
      </c>
      <c r="U784" s="28">
        <f>U783*_xlfn.XLOOKUP($L784,'Balizador da Meta'!$B$4:$B$21,'Balizador da Meta'!$C$4:$C$21)</f>
        <v>42.000000000000007</v>
      </c>
      <c r="V784" s="28">
        <f>V783*_xlfn.XLOOKUP($L784,'Balizador da Meta'!$B$4:$B$21,'Balizador da Meta'!$C$4:$C$21)</f>
        <v>42.000000000000007</v>
      </c>
      <c r="W784" s="28">
        <f>W783*_xlfn.XLOOKUP($L784,'Balizador da Meta'!$B$4:$B$21,'Balizador da Meta'!$C$4:$C$21)</f>
        <v>42.000000000000007</v>
      </c>
      <c r="X784" s="28">
        <f>X783*_xlfn.XLOOKUP($L784,'Balizador da Meta'!$B$4:$B$21,'Balizador da Meta'!$C$4:$C$21)</f>
        <v>42.000000000000007</v>
      </c>
      <c r="Y784" s="28">
        <f>Y783*_xlfn.XLOOKUP($L784,'Balizador da Meta'!$B$4:$B$21,'Balizador da Meta'!$C$4:$C$21)</f>
        <v>42.000000000000007</v>
      </c>
      <c r="Z784" s="30">
        <f t="shared" ref="Z784:Z801" si="190">SUM(N784:Y784)</f>
        <v>504.00000000000006</v>
      </c>
      <c r="AA784" s="29"/>
      <c r="AB784" s="31">
        <f>SUMIFS('Historico - FAT'!AK:AK,'Historico - FAT'!$K:$K,Faturamento!$L784,'Historico - FAT'!$I:$I,Faturamento!$J784,'Historico - FAT'!$G:$G,Faturamento!$H784)</f>
        <v>10</v>
      </c>
      <c r="AC784" s="31">
        <f>SUMIFS('Historico - FAT'!AL:AL,'Historico - FAT'!$K:$K,Faturamento!$L784,'Historico - FAT'!$I:$I,Faturamento!$J784,'Historico - FAT'!$G:$G,Faturamento!$H784)</f>
        <v>327.41916666666663</v>
      </c>
      <c r="AD784" s="31">
        <f>SUMIFS('Historico - FAT'!AM:AM,'Historico - FAT'!$K:$K,Faturamento!$L784,'Historico - FAT'!$I:$I,Faturamento!$J784,'Historico - FAT'!$G:$G,Faturamento!$H784)</f>
        <v>350.59999999999997</v>
      </c>
      <c r="AE784" s="27">
        <f>SUMIFS('Historico - FAT'!AN:AN,'Historico - FAT'!$K:$K,Faturamento!$L784,'Historico - FAT'!$I:$I,Faturamento!$J784,'Historico - FAT'!$G:$G,Faturamento!$H784)</f>
        <v>380.90299999999996</v>
      </c>
      <c r="AG784" s="24">
        <f t="shared" si="181"/>
        <v>0.76190476190476197</v>
      </c>
      <c r="AH784" s="24">
        <f t="shared" si="182"/>
        <v>-6.7956944444444423</v>
      </c>
      <c r="AI784" s="24">
        <f t="shared" si="183"/>
        <v>-7.3476190476190455</v>
      </c>
    </row>
    <row r="785" spans="1:35" hidden="1" x14ac:dyDescent="0.3">
      <c r="A785" s="2" t="str">
        <f t="shared" si="180"/>
        <v>NÃO</v>
      </c>
      <c r="B785" s="2">
        <v>1000184670</v>
      </c>
      <c r="C785" s="2" t="s">
        <v>147</v>
      </c>
      <c r="D785" s="4">
        <v>1000186197</v>
      </c>
      <c r="E785" s="4" t="s">
        <v>166</v>
      </c>
      <c r="F785" s="2">
        <v>1000184758</v>
      </c>
      <c r="G785" s="2" t="s">
        <v>55</v>
      </c>
      <c r="H785" s="4">
        <v>1000189786</v>
      </c>
      <c r="I785" s="4" t="s">
        <v>104</v>
      </c>
      <c r="J785" s="2">
        <v>1000189270</v>
      </c>
      <c r="K785" s="2" t="s">
        <v>34</v>
      </c>
      <c r="L785" s="4" t="s">
        <v>14</v>
      </c>
      <c r="M785" s="4" t="str">
        <f t="shared" si="187"/>
        <v>1000184670100018619710001897861000189270CHOCOLATES</v>
      </c>
      <c r="N785" s="28">
        <f>N783*_xlfn.XLOOKUP($L785,'Balizador da Meta'!$B$4:$B$21,'Balizador da Meta'!$C$4:$C$21)</f>
        <v>42.000000000000007</v>
      </c>
      <c r="O785" s="28">
        <f>O783*_xlfn.XLOOKUP($L785,'Balizador da Meta'!$B$4:$B$21,'Balizador da Meta'!$C$4:$C$21)</f>
        <v>42.000000000000007</v>
      </c>
      <c r="P785" s="28">
        <f>P783*_xlfn.XLOOKUP($L785,'Balizador da Meta'!$B$4:$B$21,'Balizador da Meta'!$C$4:$C$21)</f>
        <v>42.000000000000007</v>
      </c>
      <c r="Q785" s="28">
        <f>Q783*_xlfn.XLOOKUP($L785,'Balizador da Meta'!$B$4:$B$21,'Balizador da Meta'!$C$4:$C$21)</f>
        <v>42.000000000000007</v>
      </c>
      <c r="R785" s="28">
        <f>R783*_xlfn.XLOOKUP($L785,'Balizador da Meta'!$B$4:$B$21,'Balizador da Meta'!$C$4:$C$21)</f>
        <v>42.000000000000007</v>
      </c>
      <c r="S785" s="28">
        <f>S783*_xlfn.XLOOKUP($L785,'Balizador da Meta'!$B$4:$B$21,'Balizador da Meta'!$C$4:$C$21)</f>
        <v>42.000000000000007</v>
      </c>
      <c r="T785" s="28">
        <f>T783*_xlfn.XLOOKUP($L785,'Balizador da Meta'!$B$4:$B$21,'Balizador da Meta'!$C$4:$C$21)</f>
        <v>42.000000000000007</v>
      </c>
      <c r="U785" s="28">
        <f>U783*_xlfn.XLOOKUP($L785,'Balizador da Meta'!$B$4:$B$21,'Balizador da Meta'!$C$4:$C$21)</f>
        <v>42.000000000000007</v>
      </c>
      <c r="V785" s="28">
        <f>V783*_xlfn.XLOOKUP($L785,'Balizador da Meta'!$B$4:$B$21,'Balizador da Meta'!$C$4:$C$21)</f>
        <v>42.000000000000007</v>
      </c>
      <c r="W785" s="28">
        <f>W783*_xlfn.XLOOKUP($L785,'Balizador da Meta'!$B$4:$B$21,'Balizador da Meta'!$C$4:$C$21)</f>
        <v>42.000000000000007</v>
      </c>
      <c r="X785" s="28">
        <f>X783*_xlfn.XLOOKUP($L785,'Balizador da Meta'!$B$4:$B$21,'Balizador da Meta'!$C$4:$C$21)</f>
        <v>42.000000000000007</v>
      </c>
      <c r="Y785" s="28">
        <f>Y783*_xlfn.XLOOKUP($L785,'Balizador da Meta'!$B$4:$B$21,'Balizador da Meta'!$C$4:$C$21)</f>
        <v>42.000000000000007</v>
      </c>
      <c r="Z785" s="30">
        <f t="shared" si="190"/>
        <v>504.00000000000006</v>
      </c>
      <c r="AA785" s="29"/>
      <c r="AB785" s="31">
        <f>SUMIFS('Historico - FAT'!AK:AK,'Historico - FAT'!$K:$K,Faturamento!$L785,'Historico - FAT'!$I:$I,Faturamento!$J785,'Historico - FAT'!$G:$G,Faturamento!$H785)</f>
        <v>0</v>
      </c>
      <c r="AC785" s="31">
        <f>SUMIFS('Historico - FAT'!AL:AL,'Historico - FAT'!$K:$K,Faturamento!$L785,'Historico - FAT'!$I:$I,Faturamento!$J785,'Historico - FAT'!$G:$G,Faturamento!$H785)</f>
        <v>133.21833333333333</v>
      </c>
      <c r="AD785" s="31">
        <f>SUMIFS('Historico - FAT'!AM:AM,'Historico - FAT'!$K:$K,Faturamento!$L785,'Historico - FAT'!$I:$I,Faturamento!$J785,'Historico - FAT'!$G:$G,Faturamento!$H785)</f>
        <v>131.13</v>
      </c>
      <c r="AE785" s="27">
        <f>SUMIFS('Historico - FAT'!AN:AN,'Historico - FAT'!$K:$K,Faturamento!$L785,'Historico - FAT'!$I:$I,Faturamento!$J785,'Historico - FAT'!$G:$G,Faturamento!$H785)</f>
        <v>159.86200000000002</v>
      </c>
      <c r="AG785" s="24">
        <f t="shared" si="181"/>
        <v>1</v>
      </c>
      <c r="AH785" s="24">
        <f t="shared" si="182"/>
        <v>-2.1718650793650789</v>
      </c>
      <c r="AI785" s="24">
        <f t="shared" si="183"/>
        <v>-2.1221428571428569</v>
      </c>
    </row>
    <row r="786" spans="1:35" hidden="1" x14ac:dyDescent="0.3">
      <c r="A786" s="2" t="str">
        <f t="shared" si="180"/>
        <v>NÃO</v>
      </c>
      <c r="B786" s="2">
        <v>1000184670</v>
      </c>
      <c r="C786" s="2" t="s">
        <v>147</v>
      </c>
      <c r="D786" s="4">
        <v>1000186197</v>
      </c>
      <c r="E786" s="4" t="s">
        <v>166</v>
      </c>
      <c r="F786" s="2">
        <v>1000184758</v>
      </c>
      <c r="G786" s="2" t="s">
        <v>55</v>
      </c>
      <c r="H786" s="4">
        <v>1000189786</v>
      </c>
      <c r="I786" s="4" t="s">
        <v>104</v>
      </c>
      <c r="J786" s="2">
        <v>1000189270</v>
      </c>
      <c r="K786" s="2" t="s">
        <v>34</v>
      </c>
      <c r="L786" s="4" t="s">
        <v>16</v>
      </c>
      <c r="M786" s="4" t="str">
        <f t="shared" si="187"/>
        <v>1000184670100018619710001897861000189270DISNEY</v>
      </c>
      <c r="N786" s="28">
        <f>N783*_xlfn.XLOOKUP($L786,'Balizador da Meta'!$B$4:$B$21,'Balizador da Meta'!$C$4:$C$21)</f>
        <v>48</v>
      </c>
      <c r="O786" s="28">
        <f>O783*_xlfn.XLOOKUP($L786,'Balizador da Meta'!$B$4:$B$21,'Balizador da Meta'!$C$4:$C$21)</f>
        <v>48</v>
      </c>
      <c r="P786" s="28">
        <f>P783*_xlfn.XLOOKUP($L786,'Balizador da Meta'!$B$4:$B$21,'Balizador da Meta'!$C$4:$C$21)</f>
        <v>48</v>
      </c>
      <c r="Q786" s="28">
        <f>Q783*_xlfn.XLOOKUP($L786,'Balizador da Meta'!$B$4:$B$21,'Balizador da Meta'!$C$4:$C$21)</f>
        <v>48</v>
      </c>
      <c r="R786" s="28">
        <f>R783*_xlfn.XLOOKUP($L786,'Balizador da Meta'!$B$4:$B$21,'Balizador da Meta'!$C$4:$C$21)</f>
        <v>48</v>
      </c>
      <c r="S786" s="28">
        <f>S783*_xlfn.XLOOKUP($L786,'Balizador da Meta'!$B$4:$B$21,'Balizador da Meta'!$C$4:$C$21)</f>
        <v>48</v>
      </c>
      <c r="T786" s="28">
        <f>T783*_xlfn.XLOOKUP($L786,'Balizador da Meta'!$B$4:$B$21,'Balizador da Meta'!$C$4:$C$21)</f>
        <v>48</v>
      </c>
      <c r="U786" s="28">
        <f>U783*_xlfn.XLOOKUP($L786,'Balizador da Meta'!$B$4:$B$21,'Balizador da Meta'!$C$4:$C$21)</f>
        <v>48</v>
      </c>
      <c r="V786" s="28">
        <f>V783*_xlfn.XLOOKUP($L786,'Balizador da Meta'!$B$4:$B$21,'Balizador da Meta'!$C$4:$C$21)</f>
        <v>48</v>
      </c>
      <c r="W786" s="28">
        <f>W783*_xlfn.XLOOKUP($L786,'Balizador da Meta'!$B$4:$B$21,'Balizador da Meta'!$C$4:$C$21)</f>
        <v>48</v>
      </c>
      <c r="X786" s="28">
        <f>X783*_xlfn.XLOOKUP($L786,'Balizador da Meta'!$B$4:$B$21,'Balizador da Meta'!$C$4:$C$21)</f>
        <v>48</v>
      </c>
      <c r="Y786" s="28">
        <f>Y783*_xlfn.XLOOKUP($L786,'Balizador da Meta'!$B$4:$B$21,'Balizador da Meta'!$C$4:$C$21)</f>
        <v>48</v>
      </c>
      <c r="Z786" s="30">
        <f t="shared" si="190"/>
        <v>576</v>
      </c>
      <c r="AA786" s="29"/>
      <c r="AB786" s="31">
        <f>SUMIFS('Historico - FAT'!AK:AK,'Historico - FAT'!$K:$K,Faturamento!$L786,'Historico - FAT'!$I:$I,Faturamento!$J786,'Historico - FAT'!$G:$G,Faturamento!$H786)</f>
        <v>19.903333333333332</v>
      </c>
      <c r="AC786" s="31">
        <f>SUMIFS('Historico - FAT'!AL:AL,'Historico - FAT'!$K:$K,Faturamento!$L786,'Historico - FAT'!$I:$I,Faturamento!$J786,'Historico - FAT'!$G:$G,Faturamento!$H786)</f>
        <v>256.44499999999999</v>
      </c>
      <c r="AD786" s="31">
        <f>SUMIFS('Historico - FAT'!AM:AM,'Historico - FAT'!$K:$K,Faturamento!$L786,'Historico - FAT'!$I:$I,Faturamento!$J786,'Historico - FAT'!$G:$G,Faturamento!$H786)</f>
        <v>407.91666666666669</v>
      </c>
      <c r="AE786" s="27">
        <f>SUMIFS('Historico - FAT'!AN:AN,'Historico - FAT'!$K:$K,Faturamento!$L786,'Historico - FAT'!$I:$I,Faturamento!$J786,'Historico - FAT'!$G:$G,Faturamento!$H786)</f>
        <v>283.85000000000002</v>
      </c>
      <c r="AG786" s="24">
        <f t="shared" si="181"/>
        <v>0.58534722222222224</v>
      </c>
      <c r="AH786" s="24">
        <f t="shared" si="182"/>
        <v>-4.3426041666666668</v>
      </c>
      <c r="AI786" s="24">
        <f t="shared" si="183"/>
        <v>-7.4982638888888893</v>
      </c>
    </row>
    <row r="787" spans="1:35" hidden="1" x14ac:dyDescent="0.3">
      <c r="A787" s="2" t="str">
        <f t="shared" si="180"/>
        <v>NÃO</v>
      </c>
      <c r="B787" s="2">
        <v>1000184670</v>
      </c>
      <c r="C787" s="2" t="s">
        <v>147</v>
      </c>
      <c r="D787" s="4">
        <v>1000186197</v>
      </c>
      <c r="E787" s="4" t="s">
        <v>166</v>
      </c>
      <c r="F787" s="2">
        <v>1000184758</v>
      </c>
      <c r="G787" s="2" t="s">
        <v>55</v>
      </c>
      <c r="H787" s="4">
        <v>1000189786</v>
      </c>
      <c r="I787" s="4" t="s">
        <v>104</v>
      </c>
      <c r="J787" s="2">
        <v>1000189270</v>
      </c>
      <c r="K787" s="2" t="s">
        <v>34</v>
      </c>
      <c r="L787" s="4" t="s">
        <v>15</v>
      </c>
      <c r="M787" s="4" t="str">
        <f t="shared" si="187"/>
        <v>1000184670100018619710001897861000189270DOCES</v>
      </c>
      <c r="N787" s="28">
        <f>N783*_xlfn.XLOOKUP($L787,'Balizador da Meta'!$B$4:$B$21,'Balizador da Meta'!$C$4:$C$21)</f>
        <v>54</v>
      </c>
      <c r="O787" s="28">
        <f>O783*_xlfn.XLOOKUP($L787,'Balizador da Meta'!$B$4:$B$21,'Balizador da Meta'!$C$4:$C$21)</f>
        <v>54</v>
      </c>
      <c r="P787" s="28">
        <f>P783*_xlfn.XLOOKUP($L787,'Balizador da Meta'!$B$4:$B$21,'Balizador da Meta'!$C$4:$C$21)</f>
        <v>54</v>
      </c>
      <c r="Q787" s="28">
        <f>Q783*_xlfn.XLOOKUP($L787,'Balizador da Meta'!$B$4:$B$21,'Balizador da Meta'!$C$4:$C$21)</f>
        <v>54</v>
      </c>
      <c r="R787" s="28">
        <f>R783*_xlfn.XLOOKUP($L787,'Balizador da Meta'!$B$4:$B$21,'Balizador da Meta'!$C$4:$C$21)</f>
        <v>54</v>
      </c>
      <c r="S787" s="28">
        <f>S783*_xlfn.XLOOKUP($L787,'Balizador da Meta'!$B$4:$B$21,'Balizador da Meta'!$C$4:$C$21)</f>
        <v>54</v>
      </c>
      <c r="T787" s="28">
        <f>T783*_xlfn.XLOOKUP($L787,'Balizador da Meta'!$B$4:$B$21,'Balizador da Meta'!$C$4:$C$21)</f>
        <v>54</v>
      </c>
      <c r="U787" s="28">
        <f>U783*_xlfn.XLOOKUP($L787,'Balizador da Meta'!$B$4:$B$21,'Balizador da Meta'!$C$4:$C$21)</f>
        <v>54</v>
      </c>
      <c r="V787" s="28">
        <f>V783*_xlfn.XLOOKUP($L787,'Balizador da Meta'!$B$4:$B$21,'Balizador da Meta'!$C$4:$C$21)</f>
        <v>54</v>
      </c>
      <c r="W787" s="28">
        <f>W783*_xlfn.XLOOKUP($L787,'Balizador da Meta'!$B$4:$B$21,'Balizador da Meta'!$C$4:$C$21)</f>
        <v>54</v>
      </c>
      <c r="X787" s="28">
        <f>X783*_xlfn.XLOOKUP($L787,'Balizador da Meta'!$B$4:$B$21,'Balizador da Meta'!$C$4:$C$21)</f>
        <v>54</v>
      </c>
      <c r="Y787" s="28">
        <f>Y783*_xlfn.XLOOKUP($L787,'Balizador da Meta'!$B$4:$B$21,'Balizador da Meta'!$C$4:$C$21)</f>
        <v>54</v>
      </c>
      <c r="Z787" s="30">
        <f t="shared" si="190"/>
        <v>648</v>
      </c>
      <c r="AA787" s="29"/>
      <c r="AB787" s="31">
        <f>SUMIFS('Historico - FAT'!AK:AK,'Historico - FAT'!$K:$K,Faturamento!$L787,'Historico - FAT'!$I:$I,Faturamento!$J787,'Historico - FAT'!$G:$G,Faturamento!$H787)</f>
        <v>27.5</v>
      </c>
      <c r="AC787" s="31">
        <f>SUMIFS('Historico - FAT'!AL:AL,'Historico - FAT'!$K:$K,Faturamento!$L787,'Historico - FAT'!$I:$I,Faturamento!$J787,'Historico - FAT'!$G:$G,Faturamento!$H787)</f>
        <v>675.76083333333338</v>
      </c>
      <c r="AD787" s="31">
        <f>SUMIFS('Historico - FAT'!AM:AM,'Historico - FAT'!$K:$K,Faturamento!$L787,'Historico - FAT'!$I:$I,Faturamento!$J787,'Historico - FAT'!$G:$G,Faturamento!$H787)</f>
        <v>724.44999999999993</v>
      </c>
      <c r="AE787" s="27">
        <f>SUMIFS('Historico - FAT'!AN:AN,'Historico - FAT'!$K:$K,Faturamento!$L787,'Historico - FAT'!$I:$I,Faturamento!$J787,'Historico - FAT'!$G:$G,Faturamento!$H787)</f>
        <v>777.91300000000012</v>
      </c>
      <c r="AG787" s="24">
        <f t="shared" si="181"/>
        <v>0.49074074074074076</v>
      </c>
      <c r="AH787" s="24">
        <f t="shared" si="182"/>
        <v>-11.514089506172841</v>
      </c>
      <c r="AI787" s="24">
        <f t="shared" si="183"/>
        <v>-12.415740740740739</v>
      </c>
    </row>
    <row r="788" spans="1:35" hidden="1" x14ac:dyDescent="0.3">
      <c r="A788" s="2" t="str">
        <f t="shared" si="180"/>
        <v>NÃO</v>
      </c>
      <c r="B788" s="2">
        <v>1000184670</v>
      </c>
      <c r="C788" s="2" t="s">
        <v>147</v>
      </c>
      <c r="D788" s="4">
        <v>1000186197</v>
      </c>
      <c r="E788" s="4" t="s">
        <v>166</v>
      </c>
      <c r="F788" s="2">
        <v>1000184758</v>
      </c>
      <c r="G788" s="2" t="s">
        <v>55</v>
      </c>
      <c r="H788" s="4">
        <v>1000189786</v>
      </c>
      <c r="I788" s="4" t="s">
        <v>104</v>
      </c>
      <c r="J788" s="2">
        <v>1000189270</v>
      </c>
      <c r="K788" s="2" t="s">
        <v>34</v>
      </c>
      <c r="L788" s="4" t="s">
        <v>33</v>
      </c>
      <c r="M788" s="4" t="str">
        <f t="shared" si="187"/>
        <v>1000184670100018619710001897861000189270FOOD SERVICE</v>
      </c>
      <c r="N788" s="28">
        <f>N783*_xlfn.XLOOKUP($L788,'Balizador da Meta'!$B$4:$B$21,'Balizador da Meta'!$C$4:$C$21)</f>
        <v>0</v>
      </c>
      <c r="O788" s="28">
        <f>O783*_xlfn.XLOOKUP($L788,'Balizador da Meta'!$B$4:$B$21,'Balizador da Meta'!$C$4:$C$21)</f>
        <v>0</v>
      </c>
      <c r="P788" s="28">
        <f>P783*_xlfn.XLOOKUP($L788,'Balizador da Meta'!$B$4:$B$21,'Balizador da Meta'!$C$4:$C$21)</f>
        <v>0</v>
      </c>
      <c r="Q788" s="28">
        <f>Q783*_xlfn.XLOOKUP($L788,'Balizador da Meta'!$B$4:$B$21,'Balizador da Meta'!$C$4:$C$21)</f>
        <v>0</v>
      </c>
      <c r="R788" s="28">
        <f>R783*_xlfn.XLOOKUP($L788,'Balizador da Meta'!$B$4:$B$21,'Balizador da Meta'!$C$4:$C$21)</f>
        <v>0</v>
      </c>
      <c r="S788" s="28">
        <f>S783*_xlfn.XLOOKUP($L788,'Balizador da Meta'!$B$4:$B$21,'Balizador da Meta'!$C$4:$C$21)</f>
        <v>0</v>
      </c>
      <c r="T788" s="28">
        <f>T783*_xlfn.XLOOKUP($L788,'Balizador da Meta'!$B$4:$B$21,'Balizador da Meta'!$C$4:$C$21)</f>
        <v>0</v>
      </c>
      <c r="U788" s="28">
        <f>U783*_xlfn.XLOOKUP($L788,'Balizador da Meta'!$B$4:$B$21,'Balizador da Meta'!$C$4:$C$21)</f>
        <v>0</v>
      </c>
      <c r="V788" s="28">
        <f>V783*_xlfn.XLOOKUP($L788,'Balizador da Meta'!$B$4:$B$21,'Balizador da Meta'!$C$4:$C$21)</f>
        <v>0</v>
      </c>
      <c r="W788" s="28">
        <f>W783*_xlfn.XLOOKUP($L788,'Balizador da Meta'!$B$4:$B$21,'Balizador da Meta'!$C$4:$C$21)</f>
        <v>0</v>
      </c>
      <c r="X788" s="28">
        <f>X783*_xlfn.XLOOKUP($L788,'Balizador da Meta'!$B$4:$B$21,'Balizador da Meta'!$C$4:$C$21)</f>
        <v>0</v>
      </c>
      <c r="Y788" s="28">
        <f>Y783*_xlfn.XLOOKUP($L788,'Balizador da Meta'!$B$4:$B$21,'Balizador da Meta'!$C$4:$C$21)</f>
        <v>0</v>
      </c>
      <c r="Z788" s="30">
        <f t="shared" si="190"/>
        <v>0</v>
      </c>
      <c r="AA788" s="29"/>
      <c r="AB788" s="31">
        <f>SUMIFS('Historico - FAT'!AK:AK,'Historico - FAT'!$K:$K,Faturamento!$L788,'Historico - FAT'!$I:$I,Faturamento!$J788,'Historico - FAT'!$G:$G,Faturamento!$H788)</f>
        <v>0</v>
      </c>
      <c r="AC788" s="31">
        <f>SUMIFS('Historico - FAT'!AL:AL,'Historico - FAT'!$K:$K,Faturamento!$L788,'Historico - FAT'!$I:$I,Faturamento!$J788,'Historico - FAT'!$G:$G,Faturamento!$H788)</f>
        <v>12.799999999999999</v>
      </c>
      <c r="AD788" s="31">
        <f>SUMIFS('Historico - FAT'!AM:AM,'Historico - FAT'!$K:$K,Faturamento!$L788,'Historico - FAT'!$I:$I,Faturamento!$J788,'Historico - FAT'!$G:$G,Faturamento!$H788)</f>
        <v>25.599999999999998</v>
      </c>
      <c r="AE788" s="27">
        <f>SUMIFS('Historico - FAT'!AN:AN,'Historico - FAT'!$K:$K,Faturamento!$L788,'Historico - FAT'!$I:$I,Faturamento!$J788,'Historico - FAT'!$G:$G,Faturamento!$H788)</f>
        <v>15.36</v>
      </c>
      <c r="AG788" s="24" t="str">
        <f t="shared" si="181"/>
        <v/>
      </c>
      <c r="AH788" s="24" t="str">
        <f t="shared" si="182"/>
        <v/>
      </c>
      <c r="AI788" s="24" t="str">
        <f t="shared" si="183"/>
        <v/>
      </c>
    </row>
    <row r="789" spans="1:35" hidden="1" x14ac:dyDescent="0.3">
      <c r="A789" s="2" t="str">
        <f t="shared" si="180"/>
        <v>NÃO</v>
      </c>
      <c r="B789" s="2">
        <v>1000184670</v>
      </c>
      <c r="C789" s="2" t="s">
        <v>147</v>
      </c>
      <c r="D789" s="4">
        <v>1000186197</v>
      </c>
      <c r="E789" s="4" t="s">
        <v>166</v>
      </c>
      <c r="F789" s="2">
        <v>1000184758</v>
      </c>
      <c r="G789" s="2" t="s">
        <v>55</v>
      </c>
      <c r="H789" s="4">
        <v>1000189786</v>
      </c>
      <c r="I789" s="4" t="s">
        <v>104</v>
      </c>
      <c r="J789" s="2">
        <v>1000189270</v>
      </c>
      <c r="K789" s="2" t="s">
        <v>34</v>
      </c>
      <c r="L789" s="4" t="s">
        <v>19</v>
      </c>
      <c r="M789" s="4" t="str">
        <f t="shared" si="187"/>
        <v>1000184670100018619710001897861000189270GELEIA</v>
      </c>
      <c r="N789" s="28">
        <f>N783*_xlfn.XLOOKUP($L789,'Balizador da Meta'!$B$4:$B$21,'Balizador da Meta'!$C$4:$C$21)</f>
        <v>11.999999999999998</v>
      </c>
      <c r="O789" s="28">
        <f>O783*_xlfn.XLOOKUP($L789,'Balizador da Meta'!$B$4:$B$21,'Balizador da Meta'!$C$4:$C$21)</f>
        <v>11.999999999999998</v>
      </c>
      <c r="P789" s="28">
        <f>P783*_xlfn.XLOOKUP($L789,'Balizador da Meta'!$B$4:$B$21,'Balizador da Meta'!$C$4:$C$21)</f>
        <v>11.999999999999998</v>
      </c>
      <c r="Q789" s="28">
        <f>Q783*_xlfn.XLOOKUP($L789,'Balizador da Meta'!$B$4:$B$21,'Balizador da Meta'!$C$4:$C$21)</f>
        <v>11.999999999999998</v>
      </c>
      <c r="R789" s="28">
        <f>R783*_xlfn.XLOOKUP($L789,'Balizador da Meta'!$B$4:$B$21,'Balizador da Meta'!$C$4:$C$21)</f>
        <v>11.999999999999998</v>
      </c>
      <c r="S789" s="28">
        <f>S783*_xlfn.XLOOKUP($L789,'Balizador da Meta'!$B$4:$B$21,'Balizador da Meta'!$C$4:$C$21)</f>
        <v>11.999999999999998</v>
      </c>
      <c r="T789" s="28">
        <f>T783*_xlfn.XLOOKUP($L789,'Balizador da Meta'!$B$4:$B$21,'Balizador da Meta'!$C$4:$C$21)</f>
        <v>11.999999999999998</v>
      </c>
      <c r="U789" s="28">
        <f>U783*_xlfn.XLOOKUP($L789,'Balizador da Meta'!$B$4:$B$21,'Balizador da Meta'!$C$4:$C$21)</f>
        <v>11.999999999999998</v>
      </c>
      <c r="V789" s="28">
        <f>V783*_xlfn.XLOOKUP($L789,'Balizador da Meta'!$B$4:$B$21,'Balizador da Meta'!$C$4:$C$21)</f>
        <v>11.999999999999998</v>
      </c>
      <c r="W789" s="28">
        <f>W783*_xlfn.XLOOKUP($L789,'Balizador da Meta'!$B$4:$B$21,'Balizador da Meta'!$C$4:$C$21)</f>
        <v>11.999999999999998</v>
      </c>
      <c r="X789" s="28">
        <f>X783*_xlfn.XLOOKUP($L789,'Balizador da Meta'!$B$4:$B$21,'Balizador da Meta'!$C$4:$C$21)</f>
        <v>11.999999999999998</v>
      </c>
      <c r="Y789" s="28">
        <f>Y783*_xlfn.XLOOKUP($L789,'Balizador da Meta'!$B$4:$B$21,'Balizador da Meta'!$C$4:$C$21)</f>
        <v>11.999999999999998</v>
      </c>
      <c r="Z789" s="30">
        <f t="shared" si="190"/>
        <v>143.99999999999997</v>
      </c>
      <c r="AA789" s="29"/>
      <c r="AB789" s="31">
        <f>SUMIFS('Historico - FAT'!AK:AK,'Historico - FAT'!$K:$K,Faturamento!$L789,'Historico - FAT'!$I:$I,Faturamento!$J789,'Historico - FAT'!$G:$G,Faturamento!$H789)</f>
        <v>24</v>
      </c>
      <c r="AC789" s="31">
        <f>SUMIFS('Historico - FAT'!AL:AL,'Historico - FAT'!$K:$K,Faturamento!$L789,'Historico - FAT'!$I:$I,Faturamento!$J789,'Historico - FAT'!$G:$G,Faturamento!$H789)</f>
        <v>24</v>
      </c>
      <c r="AD789" s="31">
        <f>SUMIFS('Historico - FAT'!AM:AM,'Historico - FAT'!$K:$K,Faturamento!$L789,'Historico - FAT'!$I:$I,Faturamento!$J789,'Historico - FAT'!$G:$G,Faturamento!$H789)</f>
        <v>0</v>
      </c>
      <c r="AE789" s="27">
        <f>SUMIFS('Historico - FAT'!AN:AN,'Historico - FAT'!$K:$K,Faturamento!$L789,'Historico - FAT'!$I:$I,Faturamento!$J789,'Historico - FAT'!$G:$G,Faturamento!$H789)</f>
        <v>0</v>
      </c>
      <c r="AG789" s="24">
        <f t="shared" si="181"/>
        <v>-1.0000000000000002</v>
      </c>
      <c r="AH789" s="24">
        <f t="shared" si="182"/>
        <v>-1.0000000000000002</v>
      </c>
      <c r="AI789" s="24">
        <f t="shared" si="183"/>
        <v>1</v>
      </c>
    </row>
    <row r="790" spans="1:35" hidden="1" x14ac:dyDescent="0.3">
      <c r="A790" s="2" t="str">
        <f t="shared" si="180"/>
        <v>NÃO</v>
      </c>
      <c r="B790" s="2">
        <v>1000184670</v>
      </c>
      <c r="C790" s="2" t="s">
        <v>147</v>
      </c>
      <c r="D790" s="4">
        <v>1000186197</v>
      </c>
      <c r="E790" s="4" t="s">
        <v>166</v>
      </c>
      <c r="F790" s="2">
        <v>1000184758</v>
      </c>
      <c r="G790" s="2" t="s">
        <v>55</v>
      </c>
      <c r="H790" s="4">
        <v>1000189786</v>
      </c>
      <c r="I790" s="4" t="s">
        <v>104</v>
      </c>
      <c r="J790" s="2">
        <v>1000189270</v>
      </c>
      <c r="K790" s="2" t="s">
        <v>34</v>
      </c>
      <c r="L790" s="4" t="s">
        <v>17</v>
      </c>
      <c r="M790" s="4" t="str">
        <f t="shared" si="187"/>
        <v>1000184670100018619710001897861000189270GRANOLA</v>
      </c>
      <c r="N790" s="28">
        <f>N783*_xlfn.XLOOKUP($L790,'Balizador da Meta'!$B$4:$B$21,'Balizador da Meta'!$C$4:$C$21)</f>
        <v>12</v>
      </c>
      <c r="O790" s="28">
        <f>O783*_xlfn.XLOOKUP($L790,'Balizador da Meta'!$B$4:$B$21,'Balizador da Meta'!$C$4:$C$21)</f>
        <v>12</v>
      </c>
      <c r="P790" s="28">
        <f>P783*_xlfn.XLOOKUP($L790,'Balizador da Meta'!$B$4:$B$21,'Balizador da Meta'!$C$4:$C$21)</f>
        <v>12</v>
      </c>
      <c r="Q790" s="28">
        <f>Q783*_xlfn.XLOOKUP($L790,'Balizador da Meta'!$B$4:$B$21,'Balizador da Meta'!$C$4:$C$21)</f>
        <v>12</v>
      </c>
      <c r="R790" s="28">
        <f>R783*_xlfn.XLOOKUP($L790,'Balizador da Meta'!$B$4:$B$21,'Balizador da Meta'!$C$4:$C$21)</f>
        <v>12</v>
      </c>
      <c r="S790" s="28">
        <f>S783*_xlfn.XLOOKUP($L790,'Balizador da Meta'!$B$4:$B$21,'Balizador da Meta'!$C$4:$C$21)</f>
        <v>12</v>
      </c>
      <c r="T790" s="28">
        <f>T783*_xlfn.XLOOKUP($L790,'Balizador da Meta'!$B$4:$B$21,'Balizador da Meta'!$C$4:$C$21)</f>
        <v>12</v>
      </c>
      <c r="U790" s="28">
        <f>U783*_xlfn.XLOOKUP($L790,'Balizador da Meta'!$B$4:$B$21,'Balizador da Meta'!$C$4:$C$21)</f>
        <v>12</v>
      </c>
      <c r="V790" s="28">
        <f>V783*_xlfn.XLOOKUP($L790,'Balizador da Meta'!$B$4:$B$21,'Balizador da Meta'!$C$4:$C$21)</f>
        <v>12</v>
      </c>
      <c r="W790" s="28">
        <f>W783*_xlfn.XLOOKUP($L790,'Balizador da Meta'!$B$4:$B$21,'Balizador da Meta'!$C$4:$C$21)</f>
        <v>12</v>
      </c>
      <c r="X790" s="28">
        <f>X783*_xlfn.XLOOKUP($L790,'Balizador da Meta'!$B$4:$B$21,'Balizador da Meta'!$C$4:$C$21)</f>
        <v>12</v>
      </c>
      <c r="Y790" s="28">
        <f>Y783*_xlfn.XLOOKUP($L790,'Balizador da Meta'!$B$4:$B$21,'Balizador da Meta'!$C$4:$C$21)</f>
        <v>12</v>
      </c>
      <c r="Z790" s="30">
        <f t="shared" si="190"/>
        <v>144</v>
      </c>
      <c r="AA790" s="29"/>
      <c r="AB790" s="31">
        <f>SUMIFS('Historico - FAT'!AK:AK,'Historico - FAT'!$K:$K,Faturamento!$L790,'Historico - FAT'!$I:$I,Faturamento!$J790,'Historico - FAT'!$G:$G,Faturamento!$H790)</f>
        <v>0</v>
      </c>
      <c r="AC790" s="31">
        <f>SUMIFS('Historico - FAT'!AL:AL,'Historico - FAT'!$K:$K,Faturamento!$L790,'Historico - FAT'!$I:$I,Faturamento!$J790,'Historico - FAT'!$G:$G,Faturamento!$H790)</f>
        <v>0</v>
      </c>
      <c r="AD790" s="31">
        <f>SUMIFS('Historico - FAT'!AM:AM,'Historico - FAT'!$K:$K,Faturamento!$L790,'Historico - FAT'!$I:$I,Faturamento!$J790,'Historico - FAT'!$G:$G,Faturamento!$H790)</f>
        <v>0</v>
      </c>
      <c r="AE790" s="27">
        <f>SUMIFS('Historico - FAT'!AN:AN,'Historico - FAT'!$K:$K,Faturamento!$L790,'Historico - FAT'!$I:$I,Faturamento!$J790,'Historico - FAT'!$G:$G,Faturamento!$H790)</f>
        <v>0</v>
      </c>
      <c r="AG790" s="24">
        <f t="shared" si="181"/>
        <v>1</v>
      </c>
      <c r="AH790" s="24">
        <f t="shared" si="182"/>
        <v>1</v>
      </c>
      <c r="AI790" s="24">
        <f t="shared" si="183"/>
        <v>1</v>
      </c>
    </row>
    <row r="791" spans="1:35" hidden="1" x14ac:dyDescent="0.3">
      <c r="A791" s="2" t="str">
        <f t="shared" si="180"/>
        <v>NÃO</v>
      </c>
      <c r="B791" s="2">
        <v>1000184670</v>
      </c>
      <c r="C791" s="2" t="s">
        <v>147</v>
      </c>
      <c r="D791" s="4">
        <v>1000186197</v>
      </c>
      <c r="E791" s="4" t="s">
        <v>166</v>
      </c>
      <c r="F791" s="2">
        <v>1000184758</v>
      </c>
      <c r="G791" s="2" t="s">
        <v>55</v>
      </c>
      <c r="H791" s="4">
        <v>1000189786</v>
      </c>
      <c r="I791" s="4" t="s">
        <v>104</v>
      </c>
      <c r="J791" s="2">
        <v>1000189270</v>
      </c>
      <c r="K791" s="2" t="s">
        <v>34</v>
      </c>
      <c r="L791" s="4" t="s">
        <v>24</v>
      </c>
      <c r="M791" s="4" t="str">
        <f t="shared" si="187"/>
        <v>1000184670100018619710001897861000189270KIDS</v>
      </c>
      <c r="N791" s="28">
        <f>N783*_xlfn.XLOOKUP($L791,'Balizador da Meta'!$B$4:$B$21,'Balizador da Meta'!$C$4:$C$21)</f>
        <v>0</v>
      </c>
      <c r="O791" s="28">
        <f>O783*_xlfn.XLOOKUP($L791,'Balizador da Meta'!$B$4:$B$21,'Balizador da Meta'!$C$4:$C$21)</f>
        <v>0</v>
      </c>
      <c r="P791" s="28">
        <f>P783*_xlfn.XLOOKUP($L791,'Balizador da Meta'!$B$4:$B$21,'Balizador da Meta'!$C$4:$C$21)</f>
        <v>0</v>
      </c>
      <c r="Q791" s="28">
        <f>Q783*_xlfn.XLOOKUP($L791,'Balizador da Meta'!$B$4:$B$21,'Balizador da Meta'!$C$4:$C$21)</f>
        <v>0</v>
      </c>
      <c r="R791" s="28">
        <f>R783*_xlfn.XLOOKUP($L791,'Balizador da Meta'!$B$4:$B$21,'Balizador da Meta'!$C$4:$C$21)</f>
        <v>0</v>
      </c>
      <c r="S791" s="28">
        <f>S783*_xlfn.XLOOKUP($L791,'Balizador da Meta'!$B$4:$B$21,'Balizador da Meta'!$C$4:$C$21)</f>
        <v>0</v>
      </c>
      <c r="T791" s="28">
        <f>T783*_xlfn.XLOOKUP($L791,'Balizador da Meta'!$B$4:$B$21,'Balizador da Meta'!$C$4:$C$21)</f>
        <v>0</v>
      </c>
      <c r="U791" s="28">
        <f>U783*_xlfn.XLOOKUP($L791,'Balizador da Meta'!$B$4:$B$21,'Balizador da Meta'!$C$4:$C$21)</f>
        <v>0</v>
      </c>
      <c r="V791" s="28">
        <f>V783*_xlfn.XLOOKUP($L791,'Balizador da Meta'!$B$4:$B$21,'Balizador da Meta'!$C$4:$C$21)</f>
        <v>0</v>
      </c>
      <c r="W791" s="28">
        <f>W783*_xlfn.XLOOKUP($L791,'Balizador da Meta'!$B$4:$B$21,'Balizador da Meta'!$C$4:$C$21)</f>
        <v>0</v>
      </c>
      <c r="X791" s="28">
        <f>X783*_xlfn.XLOOKUP($L791,'Balizador da Meta'!$B$4:$B$21,'Balizador da Meta'!$C$4:$C$21)</f>
        <v>0</v>
      </c>
      <c r="Y791" s="28">
        <f>Y783*_xlfn.XLOOKUP($L791,'Balizador da Meta'!$B$4:$B$21,'Balizador da Meta'!$C$4:$C$21)</f>
        <v>0</v>
      </c>
      <c r="Z791" s="30">
        <f t="shared" si="190"/>
        <v>0</v>
      </c>
      <c r="AA791" s="29"/>
      <c r="AB791" s="31">
        <f>SUMIFS('Historico - FAT'!AK:AK,'Historico - FAT'!$K:$K,Faturamento!$L791,'Historico - FAT'!$I:$I,Faturamento!$J791,'Historico - FAT'!$G:$G,Faturamento!$H791)</f>
        <v>14.58</v>
      </c>
      <c r="AC791" s="31">
        <f>SUMIFS('Historico - FAT'!AL:AL,'Historico - FAT'!$K:$K,Faturamento!$L791,'Historico - FAT'!$I:$I,Faturamento!$J791,'Historico - FAT'!$G:$G,Faturamento!$H791)</f>
        <v>94.118333333333339</v>
      </c>
      <c r="AD791" s="31">
        <f>SUMIFS('Historico - FAT'!AM:AM,'Historico - FAT'!$K:$K,Faturamento!$L791,'Historico - FAT'!$I:$I,Faturamento!$J791,'Historico - FAT'!$G:$G,Faturamento!$H791)</f>
        <v>144.1166666666667</v>
      </c>
      <c r="AE791" s="27">
        <f>SUMIFS('Historico - FAT'!AN:AN,'Historico - FAT'!$K:$K,Faturamento!$L791,'Historico - FAT'!$I:$I,Faturamento!$J791,'Historico - FAT'!$G:$G,Faturamento!$H791)</f>
        <v>95.445999999999998</v>
      </c>
      <c r="AG791" s="24" t="str">
        <f t="shared" si="181"/>
        <v/>
      </c>
      <c r="AH791" s="24" t="str">
        <f t="shared" si="182"/>
        <v/>
      </c>
      <c r="AI791" s="24" t="str">
        <f t="shared" si="183"/>
        <v/>
      </c>
    </row>
    <row r="792" spans="1:35" hidden="1" x14ac:dyDescent="0.3">
      <c r="A792" s="2" t="str">
        <f t="shared" si="180"/>
        <v>NÃO</v>
      </c>
      <c r="B792" s="2">
        <v>1000184670</v>
      </c>
      <c r="C792" s="2" t="s">
        <v>147</v>
      </c>
      <c r="D792" s="4">
        <v>1000186197</v>
      </c>
      <c r="E792" s="4" t="s">
        <v>166</v>
      </c>
      <c r="F792" s="2">
        <v>1000184758</v>
      </c>
      <c r="G792" s="2" t="s">
        <v>55</v>
      </c>
      <c r="H792" s="4">
        <v>1000189786</v>
      </c>
      <c r="I792" s="4" t="s">
        <v>104</v>
      </c>
      <c r="J792" s="2">
        <v>1000189270</v>
      </c>
      <c r="K792" s="2" t="s">
        <v>34</v>
      </c>
      <c r="L792" s="4" t="s">
        <v>18</v>
      </c>
      <c r="M792" s="4" t="str">
        <f t="shared" si="187"/>
        <v>1000184670100018619710001897861000189270LANCHES</v>
      </c>
      <c r="N792" s="28">
        <f>N783*_xlfn.XLOOKUP($L792,'Balizador da Meta'!$B$4:$B$21,'Balizador da Meta'!$C$4:$C$21)</f>
        <v>6</v>
      </c>
      <c r="O792" s="28">
        <f>O783*_xlfn.XLOOKUP($L792,'Balizador da Meta'!$B$4:$B$21,'Balizador da Meta'!$C$4:$C$21)</f>
        <v>6</v>
      </c>
      <c r="P792" s="28">
        <f>P783*_xlfn.XLOOKUP($L792,'Balizador da Meta'!$B$4:$B$21,'Balizador da Meta'!$C$4:$C$21)</f>
        <v>6</v>
      </c>
      <c r="Q792" s="28">
        <f>Q783*_xlfn.XLOOKUP($L792,'Balizador da Meta'!$B$4:$B$21,'Balizador da Meta'!$C$4:$C$21)</f>
        <v>6</v>
      </c>
      <c r="R792" s="28">
        <f>R783*_xlfn.XLOOKUP($L792,'Balizador da Meta'!$B$4:$B$21,'Balizador da Meta'!$C$4:$C$21)</f>
        <v>6</v>
      </c>
      <c r="S792" s="28">
        <f>S783*_xlfn.XLOOKUP($L792,'Balizador da Meta'!$B$4:$B$21,'Balizador da Meta'!$C$4:$C$21)</f>
        <v>6</v>
      </c>
      <c r="T792" s="28">
        <f>T783*_xlfn.XLOOKUP($L792,'Balizador da Meta'!$B$4:$B$21,'Balizador da Meta'!$C$4:$C$21)</f>
        <v>6</v>
      </c>
      <c r="U792" s="28">
        <f>U783*_xlfn.XLOOKUP($L792,'Balizador da Meta'!$B$4:$B$21,'Balizador da Meta'!$C$4:$C$21)</f>
        <v>6</v>
      </c>
      <c r="V792" s="28">
        <f>V783*_xlfn.XLOOKUP($L792,'Balizador da Meta'!$B$4:$B$21,'Balizador da Meta'!$C$4:$C$21)</f>
        <v>6</v>
      </c>
      <c r="W792" s="28">
        <f>W783*_xlfn.XLOOKUP($L792,'Balizador da Meta'!$B$4:$B$21,'Balizador da Meta'!$C$4:$C$21)</f>
        <v>6</v>
      </c>
      <c r="X792" s="28">
        <f>X783*_xlfn.XLOOKUP($L792,'Balizador da Meta'!$B$4:$B$21,'Balizador da Meta'!$C$4:$C$21)</f>
        <v>6</v>
      </c>
      <c r="Y792" s="28">
        <f>Y783*_xlfn.XLOOKUP($L792,'Balizador da Meta'!$B$4:$B$21,'Balizador da Meta'!$C$4:$C$21)</f>
        <v>6</v>
      </c>
      <c r="Z792" s="30">
        <f t="shared" si="190"/>
        <v>72</v>
      </c>
      <c r="AA792" s="29"/>
      <c r="AB792" s="31">
        <f>SUMIFS('Historico - FAT'!AK:AK,'Historico - FAT'!$K:$K,Faturamento!$L792,'Historico - FAT'!$I:$I,Faturamento!$J792,'Historico - FAT'!$G:$G,Faturamento!$H792)</f>
        <v>0</v>
      </c>
      <c r="AC792" s="31">
        <f>SUMIFS('Historico - FAT'!AL:AL,'Historico - FAT'!$K:$K,Faturamento!$L792,'Historico - FAT'!$I:$I,Faturamento!$J792,'Historico - FAT'!$G:$G,Faturamento!$H792)</f>
        <v>62.133333333333326</v>
      </c>
      <c r="AD792" s="31">
        <f>SUMIFS('Historico - FAT'!AM:AM,'Historico - FAT'!$K:$K,Faturamento!$L792,'Historico - FAT'!$I:$I,Faturamento!$J792,'Historico - FAT'!$G:$G,Faturamento!$H792)</f>
        <v>78.2</v>
      </c>
      <c r="AE792" s="27">
        <f>SUMIFS('Historico - FAT'!AN:AN,'Historico - FAT'!$K:$K,Faturamento!$L792,'Historico - FAT'!$I:$I,Faturamento!$J792,'Historico - FAT'!$G:$G,Faturamento!$H792)</f>
        <v>74.559999999999988</v>
      </c>
      <c r="AG792" s="24">
        <f t="shared" si="181"/>
        <v>1</v>
      </c>
      <c r="AH792" s="24">
        <f t="shared" si="182"/>
        <v>-9.3555555555555543</v>
      </c>
      <c r="AI792" s="24">
        <f t="shared" si="183"/>
        <v>-12.033333333333333</v>
      </c>
    </row>
    <row r="793" spans="1:35" hidden="1" x14ac:dyDescent="0.3">
      <c r="A793" s="2" t="str">
        <f t="shared" si="180"/>
        <v>NÃO</v>
      </c>
      <c r="B793" s="2">
        <v>1000184670</v>
      </c>
      <c r="C793" s="2" t="s">
        <v>147</v>
      </c>
      <c r="D793" s="4">
        <v>1000186197</v>
      </c>
      <c r="E793" s="4" t="s">
        <v>166</v>
      </c>
      <c r="F793" s="2">
        <v>1000184758</v>
      </c>
      <c r="G793" s="2" t="s">
        <v>55</v>
      </c>
      <c r="H793" s="4">
        <v>1000189786</v>
      </c>
      <c r="I793" s="4" t="s">
        <v>104</v>
      </c>
      <c r="J793" s="2">
        <v>1000189270</v>
      </c>
      <c r="K793" s="2" t="s">
        <v>34</v>
      </c>
      <c r="L793" s="4" t="s">
        <v>29</v>
      </c>
      <c r="M793" s="4" t="str">
        <f t="shared" si="187"/>
        <v>1000184670100018619710001897861000189270MAIS GRANEL</v>
      </c>
      <c r="N793" s="28">
        <f>N783*_xlfn.XLOOKUP($L793,'Balizador da Meta'!$B$4:$B$21,'Balizador da Meta'!$C$4:$C$21)</f>
        <v>192</v>
      </c>
      <c r="O793" s="28">
        <f>O783*_xlfn.XLOOKUP($L793,'Balizador da Meta'!$B$4:$B$21,'Balizador da Meta'!$C$4:$C$21)</f>
        <v>192</v>
      </c>
      <c r="P793" s="28">
        <f>P783*_xlfn.XLOOKUP($L793,'Balizador da Meta'!$B$4:$B$21,'Balizador da Meta'!$C$4:$C$21)</f>
        <v>192</v>
      </c>
      <c r="Q793" s="28">
        <f>Q783*_xlfn.XLOOKUP($L793,'Balizador da Meta'!$B$4:$B$21,'Balizador da Meta'!$C$4:$C$21)</f>
        <v>192</v>
      </c>
      <c r="R793" s="28">
        <f>R783*_xlfn.XLOOKUP($L793,'Balizador da Meta'!$B$4:$B$21,'Balizador da Meta'!$C$4:$C$21)</f>
        <v>192</v>
      </c>
      <c r="S793" s="28">
        <f>S783*_xlfn.XLOOKUP($L793,'Balizador da Meta'!$B$4:$B$21,'Balizador da Meta'!$C$4:$C$21)</f>
        <v>192</v>
      </c>
      <c r="T793" s="28">
        <f>T783*_xlfn.XLOOKUP($L793,'Balizador da Meta'!$B$4:$B$21,'Balizador da Meta'!$C$4:$C$21)</f>
        <v>192</v>
      </c>
      <c r="U793" s="28">
        <f>U783*_xlfn.XLOOKUP($L793,'Balizador da Meta'!$B$4:$B$21,'Balizador da Meta'!$C$4:$C$21)</f>
        <v>192</v>
      </c>
      <c r="V793" s="28">
        <f>V783*_xlfn.XLOOKUP($L793,'Balizador da Meta'!$B$4:$B$21,'Balizador da Meta'!$C$4:$C$21)</f>
        <v>192</v>
      </c>
      <c r="W793" s="28">
        <f>W783*_xlfn.XLOOKUP($L793,'Balizador da Meta'!$B$4:$B$21,'Balizador da Meta'!$C$4:$C$21)</f>
        <v>192</v>
      </c>
      <c r="X793" s="28">
        <f>X783*_xlfn.XLOOKUP($L793,'Balizador da Meta'!$B$4:$B$21,'Balizador da Meta'!$C$4:$C$21)</f>
        <v>192</v>
      </c>
      <c r="Y793" s="28">
        <f>Y783*_xlfn.XLOOKUP($L793,'Balizador da Meta'!$B$4:$B$21,'Balizador da Meta'!$C$4:$C$21)</f>
        <v>192</v>
      </c>
      <c r="Z793" s="30">
        <f t="shared" si="190"/>
        <v>2304</v>
      </c>
      <c r="AA793" s="29"/>
      <c r="AB793" s="31">
        <f>SUMIFS('Historico - FAT'!AK:AK,'Historico - FAT'!$K:$K,Faturamento!$L793,'Historico - FAT'!$I:$I,Faturamento!$J793,'Historico - FAT'!$G:$G,Faturamento!$H793)</f>
        <v>0</v>
      </c>
      <c r="AC793" s="31">
        <f>SUMIFS('Historico - FAT'!AL:AL,'Historico - FAT'!$K:$K,Faturamento!$L793,'Historico - FAT'!$I:$I,Faturamento!$J793,'Historico - FAT'!$G:$G,Faturamento!$H793)</f>
        <v>0</v>
      </c>
      <c r="AD793" s="31">
        <f>SUMIFS('Historico - FAT'!AM:AM,'Historico - FAT'!$K:$K,Faturamento!$L793,'Historico - FAT'!$I:$I,Faturamento!$J793,'Historico - FAT'!$G:$G,Faturamento!$H793)</f>
        <v>0</v>
      </c>
      <c r="AE793" s="27">
        <f>SUMIFS('Historico - FAT'!AN:AN,'Historico - FAT'!$K:$K,Faturamento!$L793,'Historico - FAT'!$I:$I,Faturamento!$J793,'Historico - FAT'!$G:$G,Faturamento!$H793)</f>
        <v>0</v>
      </c>
      <c r="AG793" s="24">
        <f t="shared" si="181"/>
        <v>1</v>
      </c>
      <c r="AH793" s="24">
        <f t="shared" si="182"/>
        <v>1</v>
      </c>
      <c r="AI793" s="24">
        <f t="shared" si="183"/>
        <v>1</v>
      </c>
    </row>
    <row r="794" spans="1:35" hidden="1" x14ac:dyDescent="0.3">
      <c r="A794" s="2" t="str">
        <f t="shared" si="180"/>
        <v>NÃO</v>
      </c>
      <c r="B794" s="2">
        <v>1000184670</v>
      </c>
      <c r="C794" s="2" t="s">
        <v>147</v>
      </c>
      <c r="D794" s="4">
        <v>1000186197</v>
      </c>
      <c r="E794" s="4" t="s">
        <v>166</v>
      </c>
      <c r="F794" s="2">
        <v>1000184758</v>
      </c>
      <c r="G794" s="2" t="s">
        <v>55</v>
      </c>
      <c r="H794" s="4">
        <v>1000189786</v>
      </c>
      <c r="I794" s="4" t="s">
        <v>104</v>
      </c>
      <c r="J794" s="2">
        <v>1000189270</v>
      </c>
      <c r="K794" s="2" t="s">
        <v>34</v>
      </c>
      <c r="L794" s="4" t="s">
        <v>21</v>
      </c>
      <c r="M794" s="4" t="str">
        <f t="shared" si="187"/>
        <v>1000184670100018619710001897861000189270NATURATTA</v>
      </c>
      <c r="N794" s="28">
        <f>N783*_xlfn.XLOOKUP($L794,'Balizador da Meta'!$B$4:$B$21,'Balizador da Meta'!$C$4:$C$21)</f>
        <v>30</v>
      </c>
      <c r="O794" s="28">
        <f>O783*_xlfn.XLOOKUP($L794,'Balizador da Meta'!$B$4:$B$21,'Balizador da Meta'!$C$4:$C$21)</f>
        <v>30</v>
      </c>
      <c r="P794" s="28">
        <f>P783*_xlfn.XLOOKUP($L794,'Balizador da Meta'!$B$4:$B$21,'Balizador da Meta'!$C$4:$C$21)</f>
        <v>30</v>
      </c>
      <c r="Q794" s="28">
        <f>Q783*_xlfn.XLOOKUP($L794,'Balizador da Meta'!$B$4:$B$21,'Balizador da Meta'!$C$4:$C$21)</f>
        <v>30</v>
      </c>
      <c r="R794" s="28">
        <f>R783*_xlfn.XLOOKUP($L794,'Balizador da Meta'!$B$4:$B$21,'Balizador da Meta'!$C$4:$C$21)</f>
        <v>30</v>
      </c>
      <c r="S794" s="28">
        <f>S783*_xlfn.XLOOKUP($L794,'Balizador da Meta'!$B$4:$B$21,'Balizador da Meta'!$C$4:$C$21)</f>
        <v>30</v>
      </c>
      <c r="T794" s="28">
        <f>T783*_xlfn.XLOOKUP($L794,'Balizador da Meta'!$B$4:$B$21,'Balizador da Meta'!$C$4:$C$21)</f>
        <v>30</v>
      </c>
      <c r="U794" s="28">
        <f>U783*_xlfn.XLOOKUP($L794,'Balizador da Meta'!$B$4:$B$21,'Balizador da Meta'!$C$4:$C$21)</f>
        <v>30</v>
      </c>
      <c r="V794" s="28">
        <f>V783*_xlfn.XLOOKUP($L794,'Balizador da Meta'!$B$4:$B$21,'Balizador da Meta'!$C$4:$C$21)</f>
        <v>30</v>
      </c>
      <c r="W794" s="28">
        <f>W783*_xlfn.XLOOKUP($L794,'Balizador da Meta'!$B$4:$B$21,'Balizador da Meta'!$C$4:$C$21)</f>
        <v>30</v>
      </c>
      <c r="X794" s="28">
        <f>X783*_xlfn.XLOOKUP($L794,'Balizador da Meta'!$B$4:$B$21,'Balizador da Meta'!$C$4:$C$21)</f>
        <v>30</v>
      </c>
      <c r="Y794" s="28">
        <f>Y783*_xlfn.XLOOKUP($L794,'Balizador da Meta'!$B$4:$B$21,'Balizador da Meta'!$C$4:$C$21)</f>
        <v>30</v>
      </c>
      <c r="Z794" s="30">
        <f t="shared" si="190"/>
        <v>360</v>
      </c>
      <c r="AA794" s="29"/>
      <c r="AB794" s="31">
        <f>SUMIFS('Historico - FAT'!AK:AK,'Historico - FAT'!$K:$K,Faturamento!$L794,'Historico - FAT'!$I:$I,Faturamento!$J794,'Historico - FAT'!$G:$G,Faturamento!$H794)</f>
        <v>13</v>
      </c>
      <c r="AC794" s="31">
        <f>SUMIFS('Historico - FAT'!AL:AL,'Historico - FAT'!$K:$K,Faturamento!$L794,'Historico - FAT'!$I:$I,Faturamento!$J794,'Historico - FAT'!$G:$G,Faturamento!$H794)</f>
        <v>197.82666666666668</v>
      </c>
      <c r="AD794" s="31">
        <f>SUMIFS('Historico - FAT'!AM:AM,'Historico - FAT'!$K:$K,Faturamento!$L794,'Historico - FAT'!$I:$I,Faturamento!$J794,'Historico - FAT'!$G:$G,Faturamento!$H794)</f>
        <v>118</v>
      </c>
      <c r="AE794" s="27">
        <f>SUMIFS('Historico - FAT'!AN:AN,'Historico - FAT'!$K:$K,Faturamento!$L794,'Historico - FAT'!$I:$I,Faturamento!$J794,'Historico - FAT'!$G:$G,Faturamento!$H794)</f>
        <v>221.792</v>
      </c>
      <c r="AG794" s="24">
        <f t="shared" si="181"/>
        <v>0.56666666666666665</v>
      </c>
      <c r="AH794" s="24">
        <f t="shared" si="182"/>
        <v>-5.5942222222222231</v>
      </c>
      <c r="AI794" s="24">
        <f t="shared" si="183"/>
        <v>-2.9333333333333331</v>
      </c>
    </row>
    <row r="795" spans="1:35" hidden="1" x14ac:dyDescent="0.3">
      <c r="A795" s="2" t="str">
        <f t="shared" si="180"/>
        <v>NÃO</v>
      </c>
      <c r="B795" s="2">
        <v>1000184670</v>
      </c>
      <c r="C795" s="2" t="s">
        <v>147</v>
      </c>
      <c r="D795" s="4">
        <v>1000186197</v>
      </c>
      <c r="E795" s="4" t="s">
        <v>166</v>
      </c>
      <c r="F795" s="2">
        <v>1000184758</v>
      </c>
      <c r="G795" s="2" t="s">
        <v>55</v>
      </c>
      <c r="H795" s="4">
        <v>1000189786</v>
      </c>
      <c r="I795" s="4" t="s">
        <v>104</v>
      </c>
      <c r="J795" s="2">
        <v>1000189270</v>
      </c>
      <c r="K795" s="2" t="s">
        <v>34</v>
      </c>
      <c r="L795" s="4" t="s">
        <v>20</v>
      </c>
      <c r="M795" s="4" t="str">
        <f t="shared" si="187"/>
        <v>1000184670100018619710001897861000189270REEMBALADOS</v>
      </c>
      <c r="N795" s="28">
        <f>N783*_xlfn.XLOOKUP($L795,'Balizador da Meta'!$B$4:$B$21,'Balizador da Meta'!$C$4:$C$21)</f>
        <v>24</v>
      </c>
      <c r="O795" s="28">
        <f>O783*_xlfn.XLOOKUP($L795,'Balizador da Meta'!$B$4:$B$21,'Balizador da Meta'!$C$4:$C$21)</f>
        <v>24</v>
      </c>
      <c r="P795" s="28">
        <f>P783*_xlfn.XLOOKUP($L795,'Balizador da Meta'!$B$4:$B$21,'Balizador da Meta'!$C$4:$C$21)</f>
        <v>24</v>
      </c>
      <c r="Q795" s="28">
        <f>Q783*_xlfn.XLOOKUP($L795,'Balizador da Meta'!$B$4:$B$21,'Balizador da Meta'!$C$4:$C$21)</f>
        <v>24</v>
      </c>
      <c r="R795" s="28">
        <f>R783*_xlfn.XLOOKUP($L795,'Balizador da Meta'!$B$4:$B$21,'Balizador da Meta'!$C$4:$C$21)</f>
        <v>24</v>
      </c>
      <c r="S795" s="28">
        <f>S783*_xlfn.XLOOKUP($L795,'Balizador da Meta'!$B$4:$B$21,'Balizador da Meta'!$C$4:$C$21)</f>
        <v>24</v>
      </c>
      <c r="T795" s="28">
        <f>T783*_xlfn.XLOOKUP($L795,'Balizador da Meta'!$B$4:$B$21,'Balizador da Meta'!$C$4:$C$21)</f>
        <v>24</v>
      </c>
      <c r="U795" s="28">
        <f>U783*_xlfn.XLOOKUP($L795,'Balizador da Meta'!$B$4:$B$21,'Balizador da Meta'!$C$4:$C$21)</f>
        <v>24</v>
      </c>
      <c r="V795" s="28">
        <f>V783*_xlfn.XLOOKUP($L795,'Balizador da Meta'!$B$4:$B$21,'Balizador da Meta'!$C$4:$C$21)</f>
        <v>24</v>
      </c>
      <c r="W795" s="28">
        <f>W783*_xlfn.XLOOKUP($L795,'Balizador da Meta'!$B$4:$B$21,'Balizador da Meta'!$C$4:$C$21)</f>
        <v>24</v>
      </c>
      <c r="X795" s="28">
        <f>X783*_xlfn.XLOOKUP($L795,'Balizador da Meta'!$B$4:$B$21,'Balizador da Meta'!$C$4:$C$21)</f>
        <v>24</v>
      </c>
      <c r="Y795" s="28">
        <f>Y783*_xlfn.XLOOKUP($L795,'Balizador da Meta'!$B$4:$B$21,'Balizador da Meta'!$C$4:$C$21)</f>
        <v>24</v>
      </c>
      <c r="Z795" s="30">
        <f t="shared" si="190"/>
        <v>288</v>
      </c>
      <c r="AA795" s="29"/>
      <c r="AB795" s="31">
        <f>SUMIFS('Historico - FAT'!AK:AK,'Historico - FAT'!$K:$K,Faturamento!$L795,'Historico - FAT'!$I:$I,Faturamento!$J795,'Historico - FAT'!$G:$G,Faturamento!$H795)</f>
        <v>23.569999999999997</v>
      </c>
      <c r="AC795" s="31">
        <f>SUMIFS('Historico - FAT'!AL:AL,'Historico - FAT'!$K:$K,Faturamento!$L795,'Historico - FAT'!$I:$I,Faturamento!$J795,'Historico - FAT'!$G:$G,Faturamento!$H795)</f>
        <v>113.42583333333334</v>
      </c>
      <c r="AD795" s="31">
        <f>SUMIFS('Historico - FAT'!AM:AM,'Historico - FAT'!$K:$K,Faturamento!$L795,'Historico - FAT'!$I:$I,Faturamento!$J795,'Historico - FAT'!$G:$G,Faturamento!$H795)</f>
        <v>94.52833333333335</v>
      </c>
      <c r="AE795" s="27">
        <f>SUMIFS('Historico - FAT'!AN:AN,'Historico - FAT'!$K:$K,Faturamento!$L795,'Historico - FAT'!$I:$I,Faturamento!$J795,'Historico - FAT'!$G:$G,Faturamento!$H795)</f>
        <v>107.827</v>
      </c>
      <c r="AG795" s="24">
        <f t="shared" si="181"/>
        <v>1.7916666666666803E-2</v>
      </c>
      <c r="AH795" s="24">
        <f t="shared" si="182"/>
        <v>-3.7260763888888895</v>
      </c>
      <c r="AI795" s="24">
        <f t="shared" si="183"/>
        <v>-2.9386805555555564</v>
      </c>
    </row>
    <row r="796" spans="1:35" hidden="1" x14ac:dyDescent="0.3">
      <c r="A796" s="2" t="str">
        <f t="shared" si="180"/>
        <v>NÃO</v>
      </c>
      <c r="B796" s="2">
        <v>1000184670</v>
      </c>
      <c r="C796" s="2" t="s">
        <v>147</v>
      </c>
      <c r="D796" s="4">
        <v>1000186197</v>
      </c>
      <c r="E796" s="4" t="s">
        <v>166</v>
      </c>
      <c r="F796" s="2">
        <v>1000184758</v>
      </c>
      <c r="G796" s="2" t="s">
        <v>55</v>
      </c>
      <c r="H796" s="4">
        <v>1000189786</v>
      </c>
      <c r="I796" s="4" t="s">
        <v>104</v>
      </c>
      <c r="J796" s="2">
        <v>1000189270</v>
      </c>
      <c r="K796" s="2" t="s">
        <v>34</v>
      </c>
      <c r="L796" s="4" t="s">
        <v>22</v>
      </c>
      <c r="M796" s="4" t="str">
        <f t="shared" si="187"/>
        <v>1000184670100018619710001897861000189270S GLUTEN</v>
      </c>
      <c r="N796" s="28">
        <f>N783*_xlfn.XLOOKUP($L796,'Balizador da Meta'!$B$4:$B$21,'Balizador da Meta'!$C$4:$C$21)</f>
        <v>24</v>
      </c>
      <c r="O796" s="28">
        <f>O783*_xlfn.XLOOKUP($L796,'Balizador da Meta'!$B$4:$B$21,'Balizador da Meta'!$C$4:$C$21)</f>
        <v>24</v>
      </c>
      <c r="P796" s="28">
        <f>P783*_xlfn.XLOOKUP($L796,'Balizador da Meta'!$B$4:$B$21,'Balizador da Meta'!$C$4:$C$21)</f>
        <v>24</v>
      </c>
      <c r="Q796" s="28">
        <f>Q783*_xlfn.XLOOKUP($L796,'Balizador da Meta'!$B$4:$B$21,'Balizador da Meta'!$C$4:$C$21)</f>
        <v>24</v>
      </c>
      <c r="R796" s="28">
        <f>R783*_xlfn.XLOOKUP($L796,'Balizador da Meta'!$B$4:$B$21,'Balizador da Meta'!$C$4:$C$21)</f>
        <v>24</v>
      </c>
      <c r="S796" s="28">
        <f>S783*_xlfn.XLOOKUP($L796,'Balizador da Meta'!$B$4:$B$21,'Balizador da Meta'!$C$4:$C$21)</f>
        <v>24</v>
      </c>
      <c r="T796" s="28">
        <f>T783*_xlfn.XLOOKUP($L796,'Balizador da Meta'!$B$4:$B$21,'Balizador da Meta'!$C$4:$C$21)</f>
        <v>24</v>
      </c>
      <c r="U796" s="28">
        <f>U783*_xlfn.XLOOKUP($L796,'Balizador da Meta'!$B$4:$B$21,'Balizador da Meta'!$C$4:$C$21)</f>
        <v>24</v>
      </c>
      <c r="V796" s="28">
        <f>V783*_xlfn.XLOOKUP($L796,'Balizador da Meta'!$B$4:$B$21,'Balizador da Meta'!$C$4:$C$21)</f>
        <v>24</v>
      </c>
      <c r="W796" s="28">
        <f>W783*_xlfn.XLOOKUP($L796,'Balizador da Meta'!$B$4:$B$21,'Balizador da Meta'!$C$4:$C$21)</f>
        <v>24</v>
      </c>
      <c r="X796" s="28">
        <f>X783*_xlfn.XLOOKUP($L796,'Balizador da Meta'!$B$4:$B$21,'Balizador da Meta'!$C$4:$C$21)</f>
        <v>24</v>
      </c>
      <c r="Y796" s="28">
        <f>Y783*_xlfn.XLOOKUP($L796,'Balizador da Meta'!$B$4:$B$21,'Balizador da Meta'!$C$4:$C$21)</f>
        <v>24</v>
      </c>
      <c r="Z796" s="30">
        <f t="shared" si="190"/>
        <v>288</v>
      </c>
      <c r="AA796" s="29"/>
      <c r="AB796" s="31">
        <f>SUMIFS('Historico - FAT'!AK:AK,'Historico - FAT'!$K:$K,Faturamento!$L796,'Historico - FAT'!$I:$I,Faturamento!$J796,'Historico - FAT'!$G:$G,Faturamento!$H796)</f>
        <v>0</v>
      </c>
      <c r="AC796" s="31">
        <f>SUMIFS('Historico - FAT'!AL:AL,'Historico - FAT'!$K:$K,Faturamento!$L796,'Historico - FAT'!$I:$I,Faturamento!$J796,'Historico - FAT'!$G:$G,Faturamento!$H796)</f>
        <v>153.64416666666668</v>
      </c>
      <c r="AD796" s="31">
        <f>SUMIFS('Historico - FAT'!AM:AM,'Historico - FAT'!$K:$K,Faturamento!$L796,'Historico - FAT'!$I:$I,Faturamento!$J796,'Historico - FAT'!$G:$G,Faturamento!$H796)</f>
        <v>165</v>
      </c>
      <c r="AE796" s="27">
        <f>SUMIFS('Historico - FAT'!AN:AN,'Historico - FAT'!$K:$K,Faturamento!$L796,'Historico - FAT'!$I:$I,Faturamento!$J796,'Historico - FAT'!$G:$G,Faturamento!$H796)</f>
        <v>184.37299999999999</v>
      </c>
      <c r="AG796" s="24">
        <f t="shared" si="181"/>
        <v>1</v>
      </c>
      <c r="AH796" s="24">
        <f t="shared" si="182"/>
        <v>-5.4018402777777785</v>
      </c>
      <c r="AI796" s="24">
        <f t="shared" si="183"/>
        <v>-5.875</v>
      </c>
    </row>
    <row r="797" spans="1:35" hidden="1" x14ac:dyDescent="0.3">
      <c r="A797" s="2" t="str">
        <f t="shared" si="180"/>
        <v>NÃO</v>
      </c>
      <c r="B797" s="2">
        <v>1000184670</v>
      </c>
      <c r="C797" s="2" t="s">
        <v>147</v>
      </c>
      <c r="D797" s="4">
        <v>1000186197</v>
      </c>
      <c r="E797" s="4" t="s">
        <v>166</v>
      </c>
      <c r="F797" s="2">
        <v>1000184758</v>
      </c>
      <c r="G797" s="2" t="s">
        <v>55</v>
      </c>
      <c r="H797" s="4">
        <v>1000189786</v>
      </c>
      <c r="I797" s="4" t="s">
        <v>104</v>
      </c>
      <c r="J797" s="2">
        <v>1000189270</v>
      </c>
      <c r="K797" s="2" t="s">
        <v>34</v>
      </c>
      <c r="L797" s="4" t="s">
        <v>23</v>
      </c>
      <c r="M797" s="4" t="str">
        <f t="shared" si="187"/>
        <v>1000184670100018619710001897861000189270SABORES DO CAMPO</v>
      </c>
      <c r="N797" s="28">
        <f>N783*_xlfn.XLOOKUP($L797,'Balizador da Meta'!$B$4:$B$21,'Balizador da Meta'!$C$4:$C$21)</f>
        <v>0</v>
      </c>
      <c r="O797" s="28">
        <f>O783*_xlfn.XLOOKUP($L797,'Balizador da Meta'!$B$4:$B$21,'Balizador da Meta'!$C$4:$C$21)</f>
        <v>0</v>
      </c>
      <c r="P797" s="28">
        <f>P783*_xlfn.XLOOKUP($L797,'Balizador da Meta'!$B$4:$B$21,'Balizador da Meta'!$C$4:$C$21)</f>
        <v>0</v>
      </c>
      <c r="Q797" s="28">
        <f>Q783*_xlfn.XLOOKUP($L797,'Balizador da Meta'!$B$4:$B$21,'Balizador da Meta'!$C$4:$C$21)</f>
        <v>0</v>
      </c>
      <c r="R797" s="28">
        <f>R783*_xlfn.XLOOKUP($L797,'Balizador da Meta'!$B$4:$B$21,'Balizador da Meta'!$C$4:$C$21)</f>
        <v>0</v>
      </c>
      <c r="S797" s="28">
        <f>S783*_xlfn.XLOOKUP($L797,'Balizador da Meta'!$B$4:$B$21,'Balizador da Meta'!$C$4:$C$21)</f>
        <v>0</v>
      </c>
      <c r="T797" s="28">
        <f>T783*_xlfn.XLOOKUP($L797,'Balizador da Meta'!$B$4:$B$21,'Balizador da Meta'!$C$4:$C$21)</f>
        <v>0</v>
      </c>
      <c r="U797" s="28">
        <f>U783*_xlfn.XLOOKUP($L797,'Balizador da Meta'!$B$4:$B$21,'Balizador da Meta'!$C$4:$C$21)</f>
        <v>0</v>
      </c>
      <c r="V797" s="28">
        <f>V783*_xlfn.XLOOKUP($L797,'Balizador da Meta'!$B$4:$B$21,'Balizador da Meta'!$C$4:$C$21)</f>
        <v>0</v>
      </c>
      <c r="W797" s="28">
        <f>W783*_xlfn.XLOOKUP($L797,'Balizador da Meta'!$B$4:$B$21,'Balizador da Meta'!$C$4:$C$21)</f>
        <v>0</v>
      </c>
      <c r="X797" s="28">
        <f>X783*_xlfn.XLOOKUP($L797,'Balizador da Meta'!$B$4:$B$21,'Balizador da Meta'!$C$4:$C$21)</f>
        <v>0</v>
      </c>
      <c r="Y797" s="28">
        <f>Y783*_xlfn.XLOOKUP($L797,'Balizador da Meta'!$B$4:$B$21,'Balizador da Meta'!$C$4:$C$21)</f>
        <v>0</v>
      </c>
      <c r="Z797" s="30">
        <f t="shared" si="190"/>
        <v>0</v>
      </c>
      <c r="AA797" s="29"/>
      <c r="AB797" s="31">
        <f>SUMIFS('Historico - FAT'!AK:AK,'Historico - FAT'!$K:$K,Faturamento!$L797,'Historico - FAT'!$I:$I,Faturamento!$J797,'Historico - FAT'!$G:$G,Faturamento!$H797)</f>
        <v>7.5041666666666664</v>
      </c>
      <c r="AC797" s="31">
        <f>SUMIFS('Historico - FAT'!AL:AL,'Historico - FAT'!$K:$K,Faturamento!$L797,'Historico - FAT'!$I:$I,Faturamento!$J797,'Historico - FAT'!$G:$G,Faturamento!$H797)</f>
        <v>54.339166666666664</v>
      </c>
      <c r="AD797" s="31">
        <f>SUMIFS('Historico - FAT'!AM:AM,'Historico - FAT'!$K:$K,Faturamento!$L797,'Historico - FAT'!$I:$I,Faturamento!$J797,'Historico - FAT'!$G:$G,Faturamento!$H797)</f>
        <v>55</v>
      </c>
      <c r="AE797" s="27">
        <f>SUMIFS('Historico - FAT'!AN:AN,'Historico - FAT'!$K:$K,Faturamento!$L797,'Historico - FAT'!$I:$I,Faturamento!$J797,'Historico - FAT'!$G:$G,Faturamento!$H797)</f>
        <v>56.201999999999998</v>
      </c>
      <c r="AG797" s="24" t="str">
        <f t="shared" si="181"/>
        <v/>
      </c>
      <c r="AH797" s="24" t="str">
        <f t="shared" si="182"/>
        <v/>
      </c>
      <c r="AI797" s="24" t="str">
        <f t="shared" si="183"/>
        <v/>
      </c>
    </row>
    <row r="798" spans="1:35" hidden="1" x14ac:dyDescent="0.3">
      <c r="A798" s="2" t="str">
        <f t="shared" si="180"/>
        <v>NÃO</v>
      </c>
      <c r="B798" s="2">
        <v>1000184670</v>
      </c>
      <c r="C798" s="2" t="s">
        <v>147</v>
      </c>
      <c r="D798" s="4">
        <v>1000186197</v>
      </c>
      <c r="E798" s="4" t="s">
        <v>166</v>
      </c>
      <c r="F798" s="2">
        <v>1000184758</v>
      </c>
      <c r="G798" s="2" t="s">
        <v>55</v>
      </c>
      <c r="H798" s="4">
        <v>1000189786</v>
      </c>
      <c r="I798" s="4" t="s">
        <v>104</v>
      </c>
      <c r="J798" s="2">
        <v>1000189270</v>
      </c>
      <c r="K798" s="2" t="s">
        <v>34</v>
      </c>
      <c r="L798" s="4" t="s">
        <v>28</v>
      </c>
      <c r="M798" s="4" t="str">
        <f t="shared" si="187"/>
        <v>1000184670100018619710001897861000189270SAL</v>
      </c>
      <c r="N798" s="28">
        <f>N783*_xlfn.XLOOKUP($L798,'Balizador da Meta'!$B$4:$B$21,'Balizador da Meta'!$C$4:$C$21)</f>
        <v>12</v>
      </c>
      <c r="O798" s="28">
        <f>O783*_xlfn.XLOOKUP($L798,'Balizador da Meta'!$B$4:$B$21,'Balizador da Meta'!$C$4:$C$21)</f>
        <v>12</v>
      </c>
      <c r="P798" s="28">
        <f>P783*_xlfn.XLOOKUP($L798,'Balizador da Meta'!$B$4:$B$21,'Balizador da Meta'!$C$4:$C$21)</f>
        <v>12</v>
      </c>
      <c r="Q798" s="28">
        <f>Q783*_xlfn.XLOOKUP($L798,'Balizador da Meta'!$B$4:$B$21,'Balizador da Meta'!$C$4:$C$21)</f>
        <v>12</v>
      </c>
      <c r="R798" s="28">
        <f>R783*_xlfn.XLOOKUP($L798,'Balizador da Meta'!$B$4:$B$21,'Balizador da Meta'!$C$4:$C$21)</f>
        <v>12</v>
      </c>
      <c r="S798" s="28">
        <f>S783*_xlfn.XLOOKUP($L798,'Balizador da Meta'!$B$4:$B$21,'Balizador da Meta'!$C$4:$C$21)</f>
        <v>12</v>
      </c>
      <c r="T798" s="28">
        <f>T783*_xlfn.XLOOKUP($L798,'Balizador da Meta'!$B$4:$B$21,'Balizador da Meta'!$C$4:$C$21)</f>
        <v>12</v>
      </c>
      <c r="U798" s="28">
        <f>U783*_xlfn.XLOOKUP($L798,'Balizador da Meta'!$B$4:$B$21,'Balizador da Meta'!$C$4:$C$21)</f>
        <v>12</v>
      </c>
      <c r="V798" s="28">
        <f>V783*_xlfn.XLOOKUP($L798,'Balizador da Meta'!$B$4:$B$21,'Balizador da Meta'!$C$4:$C$21)</f>
        <v>12</v>
      </c>
      <c r="W798" s="28">
        <f>W783*_xlfn.XLOOKUP($L798,'Balizador da Meta'!$B$4:$B$21,'Balizador da Meta'!$C$4:$C$21)</f>
        <v>12</v>
      </c>
      <c r="X798" s="28">
        <f>X783*_xlfn.XLOOKUP($L798,'Balizador da Meta'!$B$4:$B$21,'Balizador da Meta'!$C$4:$C$21)</f>
        <v>12</v>
      </c>
      <c r="Y798" s="28">
        <f>Y783*_xlfn.XLOOKUP($L798,'Balizador da Meta'!$B$4:$B$21,'Balizador da Meta'!$C$4:$C$21)</f>
        <v>12</v>
      </c>
      <c r="Z798" s="30">
        <f t="shared" si="190"/>
        <v>144</v>
      </c>
      <c r="AA798" s="29"/>
      <c r="AB798" s="31">
        <f>SUMIFS('Historico - FAT'!AK:AK,'Historico - FAT'!$K:$K,Faturamento!$L798,'Historico - FAT'!$I:$I,Faturamento!$J798,'Historico - FAT'!$G:$G,Faturamento!$H798)</f>
        <v>0</v>
      </c>
      <c r="AC798" s="31">
        <f>SUMIFS('Historico - FAT'!AL:AL,'Historico - FAT'!$K:$K,Faturamento!$L798,'Historico - FAT'!$I:$I,Faturamento!$J798,'Historico - FAT'!$G:$G,Faturamento!$H798)</f>
        <v>4.53</v>
      </c>
      <c r="AD798" s="31">
        <f>SUMIFS('Historico - FAT'!AM:AM,'Historico - FAT'!$K:$K,Faturamento!$L798,'Historico - FAT'!$I:$I,Faturamento!$J798,'Historico - FAT'!$G:$G,Faturamento!$H798)</f>
        <v>9.06</v>
      </c>
      <c r="AE798" s="27">
        <f>SUMIFS('Historico - FAT'!AN:AN,'Historico - FAT'!$K:$K,Faturamento!$L798,'Historico - FAT'!$I:$I,Faturamento!$J798,'Historico - FAT'!$G:$G,Faturamento!$H798)</f>
        <v>5.4359999999999999</v>
      </c>
      <c r="AG798" s="24">
        <f t="shared" si="181"/>
        <v>1</v>
      </c>
      <c r="AH798" s="24">
        <f t="shared" si="182"/>
        <v>0.62249999999999994</v>
      </c>
      <c r="AI798" s="24">
        <f t="shared" si="183"/>
        <v>0.24499999999999997</v>
      </c>
    </row>
    <row r="799" spans="1:35" hidden="1" x14ac:dyDescent="0.3">
      <c r="A799" s="2" t="str">
        <f t="shared" si="180"/>
        <v>NÃO</v>
      </c>
      <c r="B799" s="2">
        <v>1000184670</v>
      </c>
      <c r="C799" s="2" t="s">
        <v>147</v>
      </c>
      <c r="D799" s="4">
        <v>1000186197</v>
      </c>
      <c r="E799" s="4" t="s">
        <v>166</v>
      </c>
      <c r="F799" s="2">
        <v>1000184758</v>
      </c>
      <c r="G799" s="2" t="s">
        <v>55</v>
      </c>
      <c r="H799" s="4">
        <v>1000189786</v>
      </c>
      <c r="I799" s="4" t="s">
        <v>104</v>
      </c>
      <c r="J799" s="2">
        <v>1000189270</v>
      </c>
      <c r="K799" s="2" t="s">
        <v>34</v>
      </c>
      <c r="L799" s="4" t="s">
        <v>26</v>
      </c>
      <c r="M799" s="4" t="str">
        <f t="shared" si="187"/>
        <v>1000184670100018619710001897861000189270SOULPRO</v>
      </c>
      <c r="N799" s="28">
        <f>N783*_xlfn.XLOOKUP($L799,'Balizador da Meta'!$B$4:$B$21,'Balizador da Meta'!$C$4:$C$21)</f>
        <v>36</v>
      </c>
      <c r="O799" s="28">
        <f>O783*_xlfn.XLOOKUP($L799,'Balizador da Meta'!$B$4:$B$21,'Balizador da Meta'!$C$4:$C$21)</f>
        <v>36</v>
      </c>
      <c r="P799" s="28">
        <f>P783*_xlfn.XLOOKUP($L799,'Balizador da Meta'!$B$4:$B$21,'Balizador da Meta'!$C$4:$C$21)</f>
        <v>36</v>
      </c>
      <c r="Q799" s="28">
        <f>Q783*_xlfn.XLOOKUP($L799,'Balizador da Meta'!$B$4:$B$21,'Balizador da Meta'!$C$4:$C$21)</f>
        <v>36</v>
      </c>
      <c r="R799" s="28">
        <f>R783*_xlfn.XLOOKUP($L799,'Balizador da Meta'!$B$4:$B$21,'Balizador da Meta'!$C$4:$C$21)</f>
        <v>36</v>
      </c>
      <c r="S799" s="28">
        <f>S783*_xlfn.XLOOKUP($L799,'Balizador da Meta'!$B$4:$B$21,'Balizador da Meta'!$C$4:$C$21)</f>
        <v>36</v>
      </c>
      <c r="T799" s="28">
        <f>T783*_xlfn.XLOOKUP($L799,'Balizador da Meta'!$B$4:$B$21,'Balizador da Meta'!$C$4:$C$21)</f>
        <v>36</v>
      </c>
      <c r="U799" s="28">
        <f>U783*_xlfn.XLOOKUP($L799,'Balizador da Meta'!$B$4:$B$21,'Balizador da Meta'!$C$4:$C$21)</f>
        <v>36</v>
      </c>
      <c r="V799" s="28">
        <f>V783*_xlfn.XLOOKUP($L799,'Balizador da Meta'!$B$4:$B$21,'Balizador da Meta'!$C$4:$C$21)</f>
        <v>36</v>
      </c>
      <c r="W799" s="28">
        <f>W783*_xlfn.XLOOKUP($L799,'Balizador da Meta'!$B$4:$B$21,'Balizador da Meta'!$C$4:$C$21)</f>
        <v>36</v>
      </c>
      <c r="X799" s="28">
        <f>X783*_xlfn.XLOOKUP($L799,'Balizador da Meta'!$B$4:$B$21,'Balizador da Meta'!$C$4:$C$21)</f>
        <v>36</v>
      </c>
      <c r="Y799" s="28">
        <f>Y783*_xlfn.XLOOKUP($L799,'Balizador da Meta'!$B$4:$B$21,'Balizador da Meta'!$C$4:$C$21)</f>
        <v>36</v>
      </c>
      <c r="Z799" s="30">
        <f t="shared" si="190"/>
        <v>432</v>
      </c>
      <c r="AA799" s="29"/>
      <c r="AB799" s="31">
        <f>SUMIFS('Historico - FAT'!AK:AK,'Historico - FAT'!$K:$K,Faturamento!$L799,'Historico - FAT'!$I:$I,Faturamento!$J799,'Historico - FAT'!$G:$G,Faturamento!$H799)</f>
        <v>0</v>
      </c>
      <c r="AC799" s="31">
        <f>SUMIFS('Historico - FAT'!AL:AL,'Historico - FAT'!$K:$K,Faturamento!$L799,'Historico - FAT'!$I:$I,Faturamento!$J799,'Historico - FAT'!$G:$G,Faturamento!$H799)</f>
        <v>165.27</v>
      </c>
      <c r="AD799" s="31">
        <f>SUMIFS('Historico - FAT'!AM:AM,'Historico - FAT'!$K:$K,Faturamento!$L799,'Historico - FAT'!$I:$I,Faturamento!$J799,'Historico - FAT'!$G:$G,Faturamento!$H799)</f>
        <v>116</v>
      </c>
      <c r="AE799" s="27">
        <f>SUMIFS('Historico - FAT'!AN:AN,'Historico - FAT'!$K:$K,Faturamento!$L799,'Historico - FAT'!$I:$I,Faturamento!$J799,'Historico - FAT'!$G:$G,Faturamento!$H799)</f>
        <v>198.32400000000001</v>
      </c>
      <c r="AG799" s="24">
        <f t="shared" si="181"/>
        <v>1</v>
      </c>
      <c r="AH799" s="24">
        <f t="shared" si="182"/>
        <v>-3.5908333333333338</v>
      </c>
      <c r="AI799" s="24">
        <f t="shared" si="183"/>
        <v>-2.2222222222222223</v>
      </c>
    </row>
    <row r="800" spans="1:35" hidden="1" x14ac:dyDescent="0.3">
      <c r="A800" s="2" t="str">
        <f t="shared" si="180"/>
        <v>NÃO</v>
      </c>
      <c r="B800" s="2">
        <v>1000184670</v>
      </c>
      <c r="C800" s="2" t="s">
        <v>147</v>
      </c>
      <c r="D800" s="4">
        <v>1000186197</v>
      </c>
      <c r="E800" s="4" t="s">
        <v>166</v>
      </c>
      <c r="F800" s="2">
        <v>1000184758</v>
      </c>
      <c r="G800" s="2" t="s">
        <v>55</v>
      </c>
      <c r="H800" s="4">
        <v>1000189786</v>
      </c>
      <c r="I800" s="4" t="s">
        <v>104</v>
      </c>
      <c r="J800" s="2">
        <v>1000189270</v>
      </c>
      <c r="K800" s="2" t="s">
        <v>34</v>
      </c>
      <c r="L800" s="4" t="s">
        <v>27</v>
      </c>
      <c r="M800" s="4" t="str">
        <f t="shared" si="187"/>
        <v>1000184670100018619710001897861000189270TAMARA</v>
      </c>
      <c r="N800" s="28">
        <f>N783*_xlfn.XLOOKUP($L800,'Balizador da Meta'!$B$4:$B$21,'Balizador da Meta'!$C$4:$C$21)</f>
        <v>48</v>
      </c>
      <c r="O800" s="28">
        <f>O783*_xlfn.XLOOKUP($L800,'Balizador da Meta'!$B$4:$B$21,'Balizador da Meta'!$C$4:$C$21)</f>
        <v>48</v>
      </c>
      <c r="P800" s="28">
        <f>P783*_xlfn.XLOOKUP($L800,'Balizador da Meta'!$B$4:$B$21,'Balizador da Meta'!$C$4:$C$21)</f>
        <v>48</v>
      </c>
      <c r="Q800" s="28">
        <f>Q783*_xlfn.XLOOKUP($L800,'Balizador da Meta'!$B$4:$B$21,'Balizador da Meta'!$C$4:$C$21)</f>
        <v>48</v>
      </c>
      <c r="R800" s="28">
        <f>R783*_xlfn.XLOOKUP($L800,'Balizador da Meta'!$B$4:$B$21,'Balizador da Meta'!$C$4:$C$21)</f>
        <v>48</v>
      </c>
      <c r="S800" s="28">
        <f>S783*_xlfn.XLOOKUP($L800,'Balizador da Meta'!$B$4:$B$21,'Balizador da Meta'!$C$4:$C$21)</f>
        <v>48</v>
      </c>
      <c r="T800" s="28">
        <f>T783*_xlfn.XLOOKUP($L800,'Balizador da Meta'!$B$4:$B$21,'Balizador da Meta'!$C$4:$C$21)</f>
        <v>48</v>
      </c>
      <c r="U800" s="28">
        <f>U783*_xlfn.XLOOKUP($L800,'Balizador da Meta'!$B$4:$B$21,'Balizador da Meta'!$C$4:$C$21)</f>
        <v>48</v>
      </c>
      <c r="V800" s="28">
        <f>V783*_xlfn.XLOOKUP($L800,'Balizador da Meta'!$B$4:$B$21,'Balizador da Meta'!$C$4:$C$21)</f>
        <v>48</v>
      </c>
      <c r="W800" s="28">
        <f>W783*_xlfn.XLOOKUP($L800,'Balizador da Meta'!$B$4:$B$21,'Balizador da Meta'!$C$4:$C$21)</f>
        <v>48</v>
      </c>
      <c r="X800" s="28">
        <f>X783*_xlfn.XLOOKUP($L800,'Balizador da Meta'!$B$4:$B$21,'Balizador da Meta'!$C$4:$C$21)</f>
        <v>48</v>
      </c>
      <c r="Y800" s="28">
        <f>Y783*_xlfn.XLOOKUP($L800,'Balizador da Meta'!$B$4:$B$21,'Balizador da Meta'!$C$4:$C$21)</f>
        <v>48</v>
      </c>
      <c r="Z800" s="30">
        <f t="shared" si="190"/>
        <v>576</v>
      </c>
      <c r="AA800" s="29"/>
      <c r="AB800" s="31">
        <f>SUMIFS('Historico - FAT'!AK:AK,'Historico - FAT'!$K:$K,Faturamento!$L800,'Historico - FAT'!$I:$I,Faturamento!$J800,'Historico - FAT'!$G:$G,Faturamento!$H800)</f>
        <v>0</v>
      </c>
      <c r="AC800" s="31">
        <f>SUMIFS('Historico - FAT'!AL:AL,'Historico - FAT'!$K:$K,Faturamento!$L800,'Historico - FAT'!$I:$I,Faturamento!$J800,'Historico - FAT'!$G:$G,Faturamento!$H800)</f>
        <v>161.52500000000001</v>
      </c>
      <c r="AD800" s="31">
        <f>SUMIFS('Historico - FAT'!AM:AM,'Historico - FAT'!$K:$K,Faturamento!$L800,'Historico - FAT'!$I:$I,Faturamento!$J800,'Historico - FAT'!$G:$G,Faturamento!$H800)</f>
        <v>0</v>
      </c>
      <c r="AE800" s="27">
        <f>SUMIFS('Historico - FAT'!AN:AN,'Historico - FAT'!$K:$K,Faturamento!$L800,'Historico - FAT'!$I:$I,Faturamento!$J800,'Historico - FAT'!$G:$G,Faturamento!$H800)</f>
        <v>193.82999999999998</v>
      </c>
      <c r="AG800" s="24">
        <f t="shared" si="181"/>
        <v>1</v>
      </c>
      <c r="AH800" s="24">
        <f t="shared" si="182"/>
        <v>-2.3651041666666668</v>
      </c>
      <c r="AI800" s="24">
        <f t="shared" si="183"/>
        <v>1</v>
      </c>
    </row>
    <row r="801" spans="1:35" hidden="1" x14ac:dyDescent="0.3">
      <c r="A801" s="2" t="str">
        <f t="shared" si="180"/>
        <v>NÃO</v>
      </c>
      <c r="B801" s="2">
        <v>1000184670</v>
      </c>
      <c r="C801" s="2" t="s">
        <v>147</v>
      </c>
      <c r="D801" s="4">
        <v>1000186197</v>
      </c>
      <c r="E801" s="4" t="s">
        <v>166</v>
      </c>
      <c r="F801" s="2">
        <v>1000184758</v>
      </c>
      <c r="G801" s="2" t="s">
        <v>55</v>
      </c>
      <c r="H801" s="4">
        <v>1000189786</v>
      </c>
      <c r="I801" s="4" t="s">
        <v>104</v>
      </c>
      <c r="J801" s="2">
        <v>1000189270</v>
      </c>
      <c r="K801" s="2" t="s">
        <v>34</v>
      </c>
      <c r="L801" s="4" t="s">
        <v>25</v>
      </c>
      <c r="M801" s="4" t="str">
        <f t="shared" si="187"/>
        <v>1000184670100018619710001897861000189270VICCIO</v>
      </c>
      <c r="N801" s="28">
        <f>N783*_xlfn.XLOOKUP($L801,'Balizador da Meta'!$B$4:$B$21,'Balizador da Meta'!$C$4:$C$21)</f>
        <v>18</v>
      </c>
      <c r="O801" s="28">
        <f>O783*_xlfn.XLOOKUP($L801,'Balizador da Meta'!$B$4:$B$21,'Balizador da Meta'!$C$4:$C$21)</f>
        <v>18</v>
      </c>
      <c r="P801" s="28">
        <f>P783*_xlfn.XLOOKUP($L801,'Balizador da Meta'!$B$4:$B$21,'Balizador da Meta'!$C$4:$C$21)</f>
        <v>18</v>
      </c>
      <c r="Q801" s="28">
        <f>Q783*_xlfn.XLOOKUP($L801,'Balizador da Meta'!$B$4:$B$21,'Balizador da Meta'!$C$4:$C$21)</f>
        <v>18</v>
      </c>
      <c r="R801" s="28">
        <f>R783*_xlfn.XLOOKUP($L801,'Balizador da Meta'!$B$4:$B$21,'Balizador da Meta'!$C$4:$C$21)</f>
        <v>18</v>
      </c>
      <c r="S801" s="28">
        <f>S783*_xlfn.XLOOKUP($L801,'Balizador da Meta'!$B$4:$B$21,'Balizador da Meta'!$C$4:$C$21)</f>
        <v>18</v>
      </c>
      <c r="T801" s="28">
        <f>T783*_xlfn.XLOOKUP($L801,'Balizador da Meta'!$B$4:$B$21,'Balizador da Meta'!$C$4:$C$21)</f>
        <v>18</v>
      </c>
      <c r="U801" s="28">
        <f>U783*_xlfn.XLOOKUP($L801,'Balizador da Meta'!$B$4:$B$21,'Balizador da Meta'!$C$4:$C$21)</f>
        <v>18</v>
      </c>
      <c r="V801" s="28">
        <f>V783*_xlfn.XLOOKUP($L801,'Balizador da Meta'!$B$4:$B$21,'Balizador da Meta'!$C$4:$C$21)</f>
        <v>18</v>
      </c>
      <c r="W801" s="28">
        <f>W783*_xlfn.XLOOKUP($L801,'Balizador da Meta'!$B$4:$B$21,'Balizador da Meta'!$C$4:$C$21)</f>
        <v>18</v>
      </c>
      <c r="X801" s="28">
        <f>X783*_xlfn.XLOOKUP($L801,'Balizador da Meta'!$B$4:$B$21,'Balizador da Meta'!$C$4:$C$21)</f>
        <v>18</v>
      </c>
      <c r="Y801" s="28">
        <f>Y783*_xlfn.XLOOKUP($L801,'Balizador da Meta'!$B$4:$B$21,'Balizador da Meta'!$C$4:$C$21)</f>
        <v>18</v>
      </c>
      <c r="Z801" s="30">
        <f t="shared" si="190"/>
        <v>216</v>
      </c>
      <c r="AA801" s="29"/>
      <c r="AB801" s="31">
        <f>SUMIFS('Historico - FAT'!AK:AK,'Historico - FAT'!$K:$K,Faturamento!$L801,'Historico - FAT'!$I:$I,Faturamento!$J801,'Historico - FAT'!$G:$G,Faturamento!$H801)</f>
        <v>0</v>
      </c>
      <c r="AC801" s="31">
        <f>SUMIFS('Historico - FAT'!AL:AL,'Historico - FAT'!$K:$K,Faturamento!$L801,'Historico - FAT'!$I:$I,Faturamento!$J801,'Historico - FAT'!$G:$G,Faturamento!$H801)</f>
        <v>60.044999999999995</v>
      </c>
      <c r="AD801" s="31">
        <f>SUMIFS('Historico - FAT'!AM:AM,'Historico - FAT'!$K:$K,Faturamento!$L801,'Historico - FAT'!$I:$I,Faturamento!$J801,'Historico - FAT'!$G:$G,Faturamento!$H801)</f>
        <v>90.089999999999989</v>
      </c>
      <c r="AE801" s="27">
        <f>SUMIFS('Historico - FAT'!AN:AN,'Historico - FAT'!$K:$K,Faturamento!$L801,'Historico - FAT'!$I:$I,Faturamento!$J801,'Historico - FAT'!$G:$G,Faturamento!$H801)</f>
        <v>72.054000000000002</v>
      </c>
      <c r="AG801" s="24">
        <f t="shared" si="181"/>
        <v>1</v>
      </c>
      <c r="AH801" s="24">
        <f t="shared" si="182"/>
        <v>-2.335833333333333</v>
      </c>
      <c r="AI801" s="24">
        <f t="shared" si="183"/>
        <v>-4.004999999999999</v>
      </c>
    </row>
    <row r="802" spans="1:35" x14ac:dyDescent="0.3">
      <c r="A802" s="2" t="str">
        <f t="shared" si="180"/>
        <v>SIM</v>
      </c>
      <c r="B802" s="2">
        <v>1000184670</v>
      </c>
      <c r="C802" s="2" t="s">
        <v>147</v>
      </c>
      <c r="D802" s="4">
        <v>1000186197</v>
      </c>
      <c r="E802" s="4" t="s">
        <v>166</v>
      </c>
      <c r="F802" s="2">
        <v>1000184757</v>
      </c>
      <c r="G802" s="2" t="s">
        <v>62</v>
      </c>
      <c r="H802" s="4">
        <v>1000189787</v>
      </c>
      <c r="I802" s="4" t="s">
        <v>63</v>
      </c>
      <c r="J802" s="2">
        <v>1000189270</v>
      </c>
      <c r="K802" s="2" t="s">
        <v>34</v>
      </c>
      <c r="L802" s="4" t="s">
        <v>124</v>
      </c>
      <c r="M802" s="4" t="str">
        <f t="shared" si="187"/>
        <v>100018467010001861971000189787100018927001. TOTAL</v>
      </c>
      <c r="N802" s="28">
        <f>SUMIFS(Positivação!L:L,Positivação!$I:$I,Faturamento!$J802,Positivação!$G:$G,Faturamento!$H802)*SUMIFS(Positivação!$Z:$Z,Positivação!$I:$I,Faturamento!$J802,Positivação!$G:$G,Faturamento!$H802)</f>
        <v>600</v>
      </c>
      <c r="O802" s="28">
        <f>SUMIFS(Positivação!M:M,Positivação!$I:$I,Faturamento!$J802,Positivação!$G:$G,Faturamento!$H802)*SUMIFS(Positivação!$Z:$Z,Positivação!$I:$I,Faturamento!$J802,Positivação!$G:$G,Faturamento!$H802)</f>
        <v>600</v>
      </c>
      <c r="P802" s="28">
        <f>SUMIFS(Positivação!N:N,Positivação!$I:$I,Faturamento!$J802,Positivação!$G:$G,Faturamento!$H802)*SUMIFS(Positivação!$Z:$Z,Positivação!$I:$I,Faturamento!$J802,Positivação!$G:$G,Faturamento!$H802)</f>
        <v>600</v>
      </c>
      <c r="Q802" s="28">
        <f>SUMIFS(Positivação!O:O,Positivação!$I:$I,Faturamento!$J802,Positivação!$G:$G,Faturamento!$H802)*SUMIFS(Positivação!$Z:$Z,Positivação!$I:$I,Faturamento!$J802,Positivação!$G:$G,Faturamento!$H802)</f>
        <v>600</v>
      </c>
      <c r="R802" s="28">
        <f>SUMIFS(Positivação!P:P,Positivação!$I:$I,Faturamento!$J802,Positivação!$G:$G,Faturamento!$H802)*SUMIFS(Positivação!$Z:$Z,Positivação!$I:$I,Faturamento!$J802,Positivação!$G:$G,Faturamento!$H802)</f>
        <v>600</v>
      </c>
      <c r="S802" s="28">
        <f>SUMIFS(Positivação!Q:Q,Positivação!$I:$I,Faturamento!$J802,Positivação!$G:$G,Faturamento!$H802)*SUMIFS(Positivação!$Z:$Z,Positivação!$I:$I,Faturamento!$J802,Positivação!$G:$G,Faturamento!$H802)</f>
        <v>600</v>
      </c>
      <c r="T802" s="28">
        <f>SUMIFS(Positivação!R:R,Positivação!$I:$I,Faturamento!$J802,Positivação!$G:$G,Faturamento!$H802)*SUMIFS(Positivação!$Z:$Z,Positivação!$I:$I,Faturamento!$J802,Positivação!$G:$G,Faturamento!$H802)</f>
        <v>600</v>
      </c>
      <c r="U802" s="28">
        <f>SUMIFS(Positivação!S:S,Positivação!$I:$I,Faturamento!$J802,Positivação!$G:$G,Faturamento!$H802)*SUMIFS(Positivação!$Z:$Z,Positivação!$I:$I,Faturamento!$J802,Positivação!$G:$G,Faturamento!$H802)</f>
        <v>600</v>
      </c>
      <c r="V802" s="28">
        <f>SUMIFS(Positivação!T:T,Positivação!$I:$I,Faturamento!$J802,Positivação!$G:$G,Faturamento!$H802)*SUMIFS(Positivação!$Z:$Z,Positivação!$I:$I,Faturamento!$J802,Positivação!$G:$G,Faturamento!$H802)</f>
        <v>600</v>
      </c>
      <c r="W802" s="28">
        <f>SUMIFS(Positivação!U:U,Positivação!$I:$I,Faturamento!$J802,Positivação!$G:$G,Faturamento!$H802)*SUMIFS(Positivação!$Z:$Z,Positivação!$I:$I,Faturamento!$J802,Positivação!$G:$G,Faturamento!$H802)</f>
        <v>600</v>
      </c>
      <c r="X802" s="28">
        <f>SUMIFS(Positivação!V:V,Positivação!$I:$I,Faturamento!$J802,Positivação!$G:$G,Faturamento!$H802)*SUMIFS(Positivação!$Z:$Z,Positivação!$I:$I,Faturamento!$J802,Positivação!$G:$G,Faturamento!$H802)</f>
        <v>600</v>
      </c>
      <c r="Y802" s="28">
        <f>SUMIFS(Positivação!W:W,Positivação!$I:$I,Faturamento!$J802,Positivação!$G:$G,Faturamento!$H802)*SUMIFS(Positivação!$Z:$Z,Positivação!$I:$I,Faturamento!$J802,Positivação!$G:$G,Faturamento!$H802)</f>
        <v>600</v>
      </c>
      <c r="Z802" s="28">
        <f t="shared" ref="Z802" si="191">SUM(Z803:Z820)</f>
        <v>7200</v>
      </c>
      <c r="AA802" s="29"/>
      <c r="AB802" s="28">
        <f t="shared" ref="AB802:AE802" si="192">SUM(AB803:AB820)</f>
        <v>0</v>
      </c>
      <c r="AC802" s="28">
        <f t="shared" si="192"/>
        <v>0</v>
      </c>
      <c r="AD802" s="28">
        <f t="shared" si="192"/>
        <v>0</v>
      </c>
      <c r="AE802" s="28">
        <f t="shared" si="192"/>
        <v>0</v>
      </c>
      <c r="AG802" s="24">
        <f t="shared" si="181"/>
        <v>1</v>
      </c>
      <c r="AH802" s="24">
        <f t="shared" si="182"/>
        <v>1</v>
      </c>
      <c r="AI802" s="24">
        <f t="shared" si="183"/>
        <v>1</v>
      </c>
    </row>
    <row r="803" spans="1:35" hidden="1" x14ac:dyDescent="0.3">
      <c r="A803" s="2" t="str">
        <f t="shared" si="180"/>
        <v>NÃO</v>
      </c>
      <c r="B803" s="2">
        <v>1000184670</v>
      </c>
      <c r="C803" s="2" t="s">
        <v>147</v>
      </c>
      <c r="D803" s="4">
        <v>1000186197</v>
      </c>
      <c r="E803" s="4" t="s">
        <v>166</v>
      </c>
      <c r="F803" s="2">
        <v>1000184757</v>
      </c>
      <c r="G803" s="2" t="s">
        <v>62</v>
      </c>
      <c r="H803" s="4">
        <v>1000189787</v>
      </c>
      <c r="I803" s="4" t="s">
        <v>63</v>
      </c>
      <c r="J803" s="2">
        <v>1000189270</v>
      </c>
      <c r="K803" s="2" t="s">
        <v>34</v>
      </c>
      <c r="L803" s="4" t="s">
        <v>13</v>
      </c>
      <c r="M803" s="4" t="str">
        <f t="shared" si="187"/>
        <v>1000184670100018619710001897871000189270BISCOITO</v>
      </c>
      <c r="N803" s="28">
        <f>N802*_xlfn.XLOOKUP($L803,'Balizador da Meta'!$B$4:$B$21,'Balizador da Meta'!$C$4:$C$21)</f>
        <v>42.000000000000007</v>
      </c>
      <c r="O803" s="28">
        <f>O802*_xlfn.XLOOKUP($L803,'Balizador da Meta'!$B$4:$B$21,'Balizador da Meta'!$C$4:$C$21)</f>
        <v>42.000000000000007</v>
      </c>
      <c r="P803" s="28">
        <f>P802*_xlfn.XLOOKUP($L803,'Balizador da Meta'!$B$4:$B$21,'Balizador da Meta'!$C$4:$C$21)</f>
        <v>42.000000000000007</v>
      </c>
      <c r="Q803" s="28">
        <f>Q802*_xlfn.XLOOKUP($L803,'Balizador da Meta'!$B$4:$B$21,'Balizador da Meta'!$C$4:$C$21)</f>
        <v>42.000000000000007</v>
      </c>
      <c r="R803" s="28">
        <f>R802*_xlfn.XLOOKUP($L803,'Balizador da Meta'!$B$4:$B$21,'Balizador da Meta'!$C$4:$C$21)</f>
        <v>42.000000000000007</v>
      </c>
      <c r="S803" s="28">
        <f>S802*_xlfn.XLOOKUP($L803,'Balizador da Meta'!$B$4:$B$21,'Balizador da Meta'!$C$4:$C$21)</f>
        <v>42.000000000000007</v>
      </c>
      <c r="T803" s="28">
        <f>T802*_xlfn.XLOOKUP($L803,'Balizador da Meta'!$B$4:$B$21,'Balizador da Meta'!$C$4:$C$21)</f>
        <v>42.000000000000007</v>
      </c>
      <c r="U803" s="28">
        <f>U802*_xlfn.XLOOKUP($L803,'Balizador da Meta'!$B$4:$B$21,'Balizador da Meta'!$C$4:$C$21)</f>
        <v>42.000000000000007</v>
      </c>
      <c r="V803" s="28">
        <f>V802*_xlfn.XLOOKUP($L803,'Balizador da Meta'!$B$4:$B$21,'Balizador da Meta'!$C$4:$C$21)</f>
        <v>42.000000000000007</v>
      </c>
      <c r="W803" s="28">
        <f>W802*_xlfn.XLOOKUP($L803,'Balizador da Meta'!$B$4:$B$21,'Balizador da Meta'!$C$4:$C$21)</f>
        <v>42.000000000000007</v>
      </c>
      <c r="X803" s="28">
        <f>X802*_xlfn.XLOOKUP($L803,'Balizador da Meta'!$B$4:$B$21,'Balizador da Meta'!$C$4:$C$21)</f>
        <v>42.000000000000007</v>
      </c>
      <c r="Y803" s="28">
        <f>Y802*_xlfn.XLOOKUP($L803,'Balizador da Meta'!$B$4:$B$21,'Balizador da Meta'!$C$4:$C$21)</f>
        <v>42.000000000000007</v>
      </c>
      <c r="Z803" s="30">
        <f t="shared" ref="Z803:Z820" si="193">SUM(N803:Y803)</f>
        <v>504.00000000000006</v>
      </c>
      <c r="AA803" s="29"/>
      <c r="AB803" s="31">
        <f>SUMIFS('Historico - FAT'!AK:AK,'Historico - FAT'!$K:$K,Faturamento!$L803,'Historico - FAT'!$I:$I,Faturamento!$J803,'Historico - FAT'!$G:$G,Faturamento!$H803)</f>
        <v>0</v>
      </c>
      <c r="AC803" s="31">
        <f>SUMIFS('Historico - FAT'!AL:AL,'Historico - FAT'!$K:$K,Faturamento!$L803,'Historico - FAT'!$I:$I,Faturamento!$J803,'Historico - FAT'!$G:$G,Faturamento!$H803)</f>
        <v>0</v>
      </c>
      <c r="AD803" s="31">
        <f>SUMIFS('Historico - FAT'!AM:AM,'Historico - FAT'!$K:$K,Faturamento!$L803,'Historico - FAT'!$I:$I,Faturamento!$J803,'Historico - FAT'!$G:$G,Faturamento!$H803)</f>
        <v>0</v>
      </c>
      <c r="AE803" s="27">
        <f>SUMIFS('Historico - FAT'!AN:AN,'Historico - FAT'!$K:$K,Faturamento!$L803,'Historico - FAT'!$I:$I,Faturamento!$J803,'Historico - FAT'!$G:$G,Faturamento!$H803)</f>
        <v>0</v>
      </c>
      <c r="AG803" s="24">
        <f t="shared" si="181"/>
        <v>1</v>
      </c>
      <c r="AH803" s="24">
        <f t="shared" si="182"/>
        <v>1</v>
      </c>
      <c r="AI803" s="24">
        <f t="shared" si="183"/>
        <v>1</v>
      </c>
    </row>
    <row r="804" spans="1:35" hidden="1" x14ac:dyDescent="0.3">
      <c r="A804" s="2" t="str">
        <f t="shared" si="180"/>
        <v>NÃO</v>
      </c>
      <c r="B804" s="2">
        <v>1000184670</v>
      </c>
      <c r="C804" s="2" t="s">
        <v>147</v>
      </c>
      <c r="D804" s="4">
        <v>1000186197</v>
      </c>
      <c r="E804" s="4" t="s">
        <v>166</v>
      </c>
      <c r="F804" s="2">
        <v>1000184757</v>
      </c>
      <c r="G804" s="2" t="s">
        <v>62</v>
      </c>
      <c r="H804" s="4">
        <v>1000189787</v>
      </c>
      <c r="I804" s="4" t="s">
        <v>63</v>
      </c>
      <c r="J804" s="2">
        <v>1000189270</v>
      </c>
      <c r="K804" s="2" t="s">
        <v>34</v>
      </c>
      <c r="L804" s="4" t="s">
        <v>14</v>
      </c>
      <c r="M804" s="4" t="str">
        <f t="shared" si="187"/>
        <v>1000184670100018619710001897871000189270CHOCOLATES</v>
      </c>
      <c r="N804" s="28">
        <f>N802*_xlfn.XLOOKUP($L804,'Balizador da Meta'!$B$4:$B$21,'Balizador da Meta'!$C$4:$C$21)</f>
        <v>42.000000000000007</v>
      </c>
      <c r="O804" s="28">
        <f>O802*_xlfn.XLOOKUP($L804,'Balizador da Meta'!$B$4:$B$21,'Balizador da Meta'!$C$4:$C$21)</f>
        <v>42.000000000000007</v>
      </c>
      <c r="P804" s="28">
        <f>P802*_xlfn.XLOOKUP($L804,'Balizador da Meta'!$B$4:$B$21,'Balizador da Meta'!$C$4:$C$21)</f>
        <v>42.000000000000007</v>
      </c>
      <c r="Q804" s="28">
        <f>Q802*_xlfn.XLOOKUP($L804,'Balizador da Meta'!$B$4:$B$21,'Balizador da Meta'!$C$4:$C$21)</f>
        <v>42.000000000000007</v>
      </c>
      <c r="R804" s="28">
        <f>R802*_xlfn.XLOOKUP($L804,'Balizador da Meta'!$B$4:$B$21,'Balizador da Meta'!$C$4:$C$21)</f>
        <v>42.000000000000007</v>
      </c>
      <c r="S804" s="28">
        <f>S802*_xlfn.XLOOKUP($L804,'Balizador da Meta'!$B$4:$B$21,'Balizador da Meta'!$C$4:$C$21)</f>
        <v>42.000000000000007</v>
      </c>
      <c r="T804" s="28">
        <f>T802*_xlfn.XLOOKUP($L804,'Balizador da Meta'!$B$4:$B$21,'Balizador da Meta'!$C$4:$C$21)</f>
        <v>42.000000000000007</v>
      </c>
      <c r="U804" s="28">
        <f>U802*_xlfn.XLOOKUP($L804,'Balizador da Meta'!$B$4:$B$21,'Balizador da Meta'!$C$4:$C$21)</f>
        <v>42.000000000000007</v>
      </c>
      <c r="V804" s="28">
        <f>V802*_xlfn.XLOOKUP($L804,'Balizador da Meta'!$B$4:$B$21,'Balizador da Meta'!$C$4:$C$21)</f>
        <v>42.000000000000007</v>
      </c>
      <c r="W804" s="28">
        <f>W802*_xlfn.XLOOKUP($L804,'Balizador da Meta'!$B$4:$B$21,'Balizador da Meta'!$C$4:$C$21)</f>
        <v>42.000000000000007</v>
      </c>
      <c r="X804" s="28">
        <f>X802*_xlfn.XLOOKUP($L804,'Balizador da Meta'!$B$4:$B$21,'Balizador da Meta'!$C$4:$C$21)</f>
        <v>42.000000000000007</v>
      </c>
      <c r="Y804" s="28">
        <f>Y802*_xlfn.XLOOKUP($L804,'Balizador da Meta'!$B$4:$B$21,'Balizador da Meta'!$C$4:$C$21)</f>
        <v>42.000000000000007</v>
      </c>
      <c r="Z804" s="30">
        <f t="shared" si="193"/>
        <v>504.00000000000006</v>
      </c>
      <c r="AA804" s="29"/>
      <c r="AB804" s="31">
        <f>SUMIFS('Historico - FAT'!AK:AK,'Historico - FAT'!$K:$K,Faturamento!$L804,'Historico - FAT'!$I:$I,Faturamento!$J804,'Historico - FAT'!$G:$G,Faturamento!$H804)</f>
        <v>0</v>
      </c>
      <c r="AC804" s="31">
        <f>SUMIFS('Historico - FAT'!AL:AL,'Historico - FAT'!$K:$K,Faturamento!$L804,'Historico - FAT'!$I:$I,Faturamento!$J804,'Historico - FAT'!$G:$G,Faturamento!$H804)</f>
        <v>0</v>
      </c>
      <c r="AD804" s="31">
        <f>SUMIFS('Historico - FAT'!AM:AM,'Historico - FAT'!$K:$K,Faturamento!$L804,'Historico - FAT'!$I:$I,Faturamento!$J804,'Historico - FAT'!$G:$G,Faturamento!$H804)</f>
        <v>0</v>
      </c>
      <c r="AE804" s="27">
        <f>SUMIFS('Historico - FAT'!AN:AN,'Historico - FAT'!$K:$K,Faturamento!$L804,'Historico - FAT'!$I:$I,Faturamento!$J804,'Historico - FAT'!$G:$G,Faturamento!$H804)</f>
        <v>0</v>
      </c>
      <c r="AG804" s="24">
        <f t="shared" si="181"/>
        <v>1</v>
      </c>
      <c r="AH804" s="24">
        <f t="shared" si="182"/>
        <v>1</v>
      </c>
      <c r="AI804" s="24">
        <f t="shared" si="183"/>
        <v>1</v>
      </c>
    </row>
    <row r="805" spans="1:35" hidden="1" x14ac:dyDescent="0.3">
      <c r="A805" s="2" t="str">
        <f t="shared" si="180"/>
        <v>NÃO</v>
      </c>
      <c r="B805" s="2">
        <v>1000184670</v>
      </c>
      <c r="C805" s="2" t="s">
        <v>147</v>
      </c>
      <c r="D805" s="4">
        <v>1000186197</v>
      </c>
      <c r="E805" s="4" t="s">
        <v>166</v>
      </c>
      <c r="F805" s="2">
        <v>1000184757</v>
      </c>
      <c r="G805" s="2" t="s">
        <v>62</v>
      </c>
      <c r="H805" s="4">
        <v>1000189787</v>
      </c>
      <c r="I805" s="4" t="s">
        <v>63</v>
      </c>
      <c r="J805" s="2">
        <v>1000189270</v>
      </c>
      <c r="K805" s="2" t="s">
        <v>34</v>
      </c>
      <c r="L805" s="4" t="s">
        <v>16</v>
      </c>
      <c r="M805" s="4" t="str">
        <f t="shared" si="187"/>
        <v>1000184670100018619710001897871000189270DISNEY</v>
      </c>
      <c r="N805" s="28">
        <f>N802*_xlfn.XLOOKUP($L805,'Balizador da Meta'!$B$4:$B$21,'Balizador da Meta'!$C$4:$C$21)</f>
        <v>48</v>
      </c>
      <c r="O805" s="28">
        <f>O802*_xlfn.XLOOKUP($L805,'Balizador da Meta'!$B$4:$B$21,'Balizador da Meta'!$C$4:$C$21)</f>
        <v>48</v>
      </c>
      <c r="P805" s="28">
        <f>P802*_xlfn.XLOOKUP($L805,'Balizador da Meta'!$B$4:$B$21,'Balizador da Meta'!$C$4:$C$21)</f>
        <v>48</v>
      </c>
      <c r="Q805" s="28">
        <f>Q802*_xlfn.XLOOKUP($L805,'Balizador da Meta'!$B$4:$B$21,'Balizador da Meta'!$C$4:$C$21)</f>
        <v>48</v>
      </c>
      <c r="R805" s="28">
        <f>R802*_xlfn.XLOOKUP($L805,'Balizador da Meta'!$B$4:$B$21,'Balizador da Meta'!$C$4:$C$21)</f>
        <v>48</v>
      </c>
      <c r="S805" s="28">
        <f>S802*_xlfn.XLOOKUP($L805,'Balizador da Meta'!$B$4:$B$21,'Balizador da Meta'!$C$4:$C$21)</f>
        <v>48</v>
      </c>
      <c r="T805" s="28">
        <f>T802*_xlfn.XLOOKUP($L805,'Balizador da Meta'!$B$4:$B$21,'Balizador da Meta'!$C$4:$C$21)</f>
        <v>48</v>
      </c>
      <c r="U805" s="28">
        <f>U802*_xlfn.XLOOKUP($L805,'Balizador da Meta'!$B$4:$B$21,'Balizador da Meta'!$C$4:$C$21)</f>
        <v>48</v>
      </c>
      <c r="V805" s="28">
        <f>V802*_xlfn.XLOOKUP($L805,'Balizador da Meta'!$B$4:$B$21,'Balizador da Meta'!$C$4:$C$21)</f>
        <v>48</v>
      </c>
      <c r="W805" s="28">
        <f>W802*_xlfn.XLOOKUP($L805,'Balizador da Meta'!$B$4:$B$21,'Balizador da Meta'!$C$4:$C$21)</f>
        <v>48</v>
      </c>
      <c r="X805" s="28">
        <f>X802*_xlfn.XLOOKUP($L805,'Balizador da Meta'!$B$4:$B$21,'Balizador da Meta'!$C$4:$C$21)</f>
        <v>48</v>
      </c>
      <c r="Y805" s="28">
        <f>Y802*_xlfn.XLOOKUP($L805,'Balizador da Meta'!$B$4:$B$21,'Balizador da Meta'!$C$4:$C$21)</f>
        <v>48</v>
      </c>
      <c r="Z805" s="30">
        <f t="shared" si="193"/>
        <v>576</v>
      </c>
      <c r="AA805" s="29"/>
      <c r="AB805" s="31">
        <f>SUMIFS('Historico - FAT'!AK:AK,'Historico - FAT'!$K:$K,Faturamento!$L805,'Historico - FAT'!$I:$I,Faturamento!$J805,'Historico - FAT'!$G:$G,Faturamento!$H805)</f>
        <v>0</v>
      </c>
      <c r="AC805" s="31">
        <f>SUMIFS('Historico - FAT'!AL:AL,'Historico - FAT'!$K:$K,Faturamento!$L805,'Historico - FAT'!$I:$I,Faturamento!$J805,'Historico - FAT'!$G:$G,Faturamento!$H805)</f>
        <v>0</v>
      </c>
      <c r="AD805" s="31">
        <f>SUMIFS('Historico - FAT'!AM:AM,'Historico - FAT'!$K:$K,Faturamento!$L805,'Historico - FAT'!$I:$I,Faturamento!$J805,'Historico - FAT'!$G:$G,Faturamento!$H805)</f>
        <v>0</v>
      </c>
      <c r="AE805" s="27">
        <f>SUMIFS('Historico - FAT'!AN:AN,'Historico - FAT'!$K:$K,Faturamento!$L805,'Historico - FAT'!$I:$I,Faturamento!$J805,'Historico - FAT'!$G:$G,Faturamento!$H805)</f>
        <v>0</v>
      </c>
      <c r="AG805" s="24">
        <f t="shared" si="181"/>
        <v>1</v>
      </c>
      <c r="AH805" s="24">
        <f t="shared" si="182"/>
        <v>1</v>
      </c>
      <c r="AI805" s="24">
        <f t="shared" si="183"/>
        <v>1</v>
      </c>
    </row>
    <row r="806" spans="1:35" hidden="1" x14ac:dyDescent="0.3">
      <c r="A806" s="2" t="str">
        <f t="shared" si="180"/>
        <v>NÃO</v>
      </c>
      <c r="B806" s="2">
        <v>1000184670</v>
      </c>
      <c r="C806" s="2" t="s">
        <v>147</v>
      </c>
      <c r="D806" s="4">
        <v>1000186197</v>
      </c>
      <c r="E806" s="4" t="s">
        <v>166</v>
      </c>
      <c r="F806" s="2">
        <v>1000184757</v>
      </c>
      <c r="G806" s="2" t="s">
        <v>62</v>
      </c>
      <c r="H806" s="4">
        <v>1000189787</v>
      </c>
      <c r="I806" s="4" t="s">
        <v>63</v>
      </c>
      <c r="J806" s="2">
        <v>1000189270</v>
      </c>
      <c r="K806" s="2" t="s">
        <v>34</v>
      </c>
      <c r="L806" s="4" t="s">
        <v>15</v>
      </c>
      <c r="M806" s="4" t="str">
        <f t="shared" si="187"/>
        <v>1000184670100018619710001897871000189270DOCES</v>
      </c>
      <c r="N806" s="28">
        <f>N802*_xlfn.XLOOKUP($L806,'Balizador da Meta'!$B$4:$B$21,'Balizador da Meta'!$C$4:$C$21)</f>
        <v>54</v>
      </c>
      <c r="O806" s="28">
        <f>O802*_xlfn.XLOOKUP($L806,'Balizador da Meta'!$B$4:$B$21,'Balizador da Meta'!$C$4:$C$21)</f>
        <v>54</v>
      </c>
      <c r="P806" s="28">
        <f>P802*_xlfn.XLOOKUP($L806,'Balizador da Meta'!$B$4:$B$21,'Balizador da Meta'!$C$4:$C$21)</f>
        <v>54</v>
      </c>
      <c r="Q806" s="28">
        <f>Q802*_xlfn.XLOOKUP($L806,'Balizador da Meta'!$B$4:$B$21,'Balizador da Meta'!$C$4:$C$21)</f>
        <v>54</v>
      </c>
      <c r="R806" s="28">
        <f>R802*_xlfn.XLOOKUP($L806,'Balizador da Meta'!$B$4:$B$21,'Balizador da Meta'!$C$4:$C$21)</f>
        <v>54</v>
      </c>
      <c r="S806" s="28">
        <f>S802*_xlfn.XLOOKUP($L806,'Balizador da Meta'!$B$4:$B$21,'Balizador da Meta'!$C$4:$C$21)</f>
        <v>54</v>
      </c>
      <c r="T806" s="28">
        <f>T802*_xlfn.XLOOKUP($L806,'Balizador da Meta'!$B$4:$B$21,'Balizador da Meta'!$C$4:$C$21)</f>
        <v>54</v>
      </c>
      <c r="U806" s="28">
        <f>U802*_xlfn.XLOOKUP($L806,'Balizador da Meta'!$B$4:$B$21,'Balizador da Meta'!$C$4:$C$21)</f>
        <v>54</v>
      </c>
      <c r="V806" s="28">
        <f>V802*_xlfn.XLOOKUP($L806,'Balizador da Meta'!$B$4:$B$21,'Balizador da Meta'!$C$4:$C$21)</f>
        <v>54</v>
      </c>
      <c r="W806" s="28">
        <f>W802*_xlfn.XLOOKUP($L806,'Balizador da Meta'!$B$4:$B$21,'Balizador da Meta'!$C$4:$C$21)</f>
        <v>54</v>
      </c>
      <c r="X806" s="28">
        <f>X802*_xlfn.XLOOKUP($L806,'Balizador da Meta'!$B$4:$B$21,'Balizador da Meta'!$C$4:$C$21)</f>
        <v>54</v>
      </c>
      <c r="Y806" s="28">
        <f>Y802*_xlfn.XLOOKUP($L806,'Balizador da Meta'!$B$4:$B$21,'Balizador da Meta'!$C$4:$C$21)</f>
        <v>54</v>
      </c>
      <c r="Z806" s="30">
        <f t="shared" si="193"/>
        <v>648</v>
      </c>
      <c r="AA806" s="29"/>
      <c r="AB806" s="31">
        <f>SUMIFS('Historico - FAT'!AK:AK,'Historico - FAT'!$K:$K,Faturamento!$L806,'Historico - FAT'!$I:$I,Faturamento!$J806,'Historico - FAT'!$G:$G,Faturamento!$H806)</f>
        <v>0</v>
      </c>
      <c r="AC806" s="31">
        <f>SUMIFS('Historico - FAT'!AL:AL,'Historico - FAT'!$K:$K,Faturamento!$L806,'Historico - FAT'!$I:$I,Faturamento!$J806,'Historico - FAT'!$G:$G,Faturamento!$H806)</f>
        <v>0</v>
      </c>
      <c r="AD806" s="31">
        <f>SUMIFS('Historico - FAT'!AM:AM,'Historico - FAT'!$K:$K,Faturamento!$L806,'Historico - FAT'!$I:$I,Faturamento!$J806,'Historico - FAT'!$G:$G,Faturamento!$H806)</f>
        <v>0</v>
      </c>
      <c r="AE806" s="27">
        <f>SUMIFS('Historico - FAT'!AN:AN,'Historico - FAT'!$K:$K,Faturamento!$L806,'Historico - FAT'!$I:$I,Faturamento!$J806,'Historico - FAT'!$G:$G,Faturamento!$H806)</f>
        <v>0</v>
      </c>
      <c r="AG806" s="24">
        <f t="shared" si="181"/>
        <v>1</v>
      </c>
      <c r="AH806" s="24">
        <f t="shared" si="182"/>
        <v>1</v>
      </c>
      <c r="AI806" s="24">
        <f t="shared" si="183"/>
        <v>1</v>
      </c>
    </row>
    <row r="807" spans="1:35" hidden="1" x14ac:dyDescent="0.3">
      <c r="A807" s="2" t="str">
        <f t="shared" si="180"/>
        <v>NÃO</v>
      </c>
      <c r="B807" s="2">
        <v>1000184670</v>
      </c>
      <c r="C807" s="2" t="s">
        <v>147</v>
      </c>
      <c r="D807" s="4">
        <v>1000186197</v>
      </c>
      <c r="E807" s="4" t="s">
        <v>166</v>
      </c>
      <c r="F807" s="2">
        <v>1000184757</v>
      </c>
      <c r="G807" s="2" t="s">
        <v>62</v>
      </c>
      <c r="H807" s="4">
        <v>1000189787</v>
      </c>
      <c r="I807" s="4" t="s">
        <v>63</v>
      </c>
      <c r="J807" s="2">
        <v>1000189270</v>
      </c>
      <c r="K807" s="2" t="s">
        <v>34</v>
      </c>
      <c r="L807" s="4" t="s">
        <v>33</v>
      </c>
      <c r="M807" s="4" t="str">
        <f t="shared" si="187"/>
        <v>1000184670100018619710001897871000189270FOOD SERVICE</v>
      </c>
      <c r="N807" s="28">
        <f>N802*_xlfn.XLOOKUP($L807,'Balizador da Meta'!$B$4:$B$21,'Balizador da Meta'!$C$4:$C$21)</f>
        <v>0</v>
      </c>
      <c r="O807" s="28">
        <f>O802*_xlfn.XLOOKUP($L807,'Balizador da Meta'!$B$4:$B$21,'Balizador da Meta'!$C$4:$C$21)</f>
        <v>0</v>
      </c>
      <c r="P807" s="28">
        <f>P802*_xlfn.XLOOKUP($L807,'Balizador da Meta'!$B$4:$B$21,'Balizador da Meta'!$C$4:$C$21)</f>
        <v>0</v>
      </c>
      <c r="Q807" s="28">
        <f>Q802*_xlfn.XLOOKUP($L807,'Balizador da Meta'!$B$4:$B$21,'Balizador da Meta'!$C$4:$C$21)</f>
        <v>0</v>
      </c>
      <c r="R807" s="28">
        <f>R802*_xlfn.XLOOKUP($L807,'Balizador da Meta'!$B$4:$B$21,'Balizador da Meta'!$C$4:$C$21)</f>
        <v>0</v>
      </c>
      <c r="S807" s="28">
        <f>S802*_xlfn.XLOOKUP($L807,'Balizador da Meta'!$B$4:$B$21,'Balizador da Meta'!$C$4:$C$21)</f>
        <v>0</v>
      </c>
      <c r="T807" s="28">
        <f>T802*_xlfn.XLOOKUP($L807,'Balizador da Meta'!$B$4:$B$21,'Balizador da Meta'!$C$4:$C$21)</f>
        <v>0</v>
      </c>
      <c r="U807" s="28">
        <f>U802*_xlfn.XLOOKUP($L807,'Balizador da Meta'!$B$4:$B$21,'Balizador da Meta'!$C$4:$C$21)</f>
        <v>0</v>
      </c>
      <c r="V807" s="28">
        <f>V802*_xlfn.XLOOKUP($L807,'Balizador da Meta'!$B$4:$B$21,'Balizador da Meta'!$C$4:$C$21)</f>
        <v>0</v>
      </c>
      <c r="W807" s="28">
        <f>W802*_xlfn.XLOOKUP($L807,'Balizador da Meta'!$B$4:$B$21,'Balizador da Meta'!$C$4:$C$21)</f>
        <v>0</v>
      </c>
      <c r="X807" s="28">
        <f>X802*_xlfn.XLOOKUP($L807,'Balizador da Meta'!$B$4:$B$21,'Balizador da Meta'!$C$4:$C$21)</f>
        <v>0</v>
      </c>
      <c r="Y807" s="28">
        <f>Y802*_xlfn.XLOOKUP($L807,'Balizador da Meta'!$B$4:$B$21,'Balizador da Meta'!$C$4:$C$21)</f>
        <v>0</v>
      </c>
      <c r="Z807" s="30">
        <f t="shared" si="193"/>
        <v>0</v>
      </c>
      <c r="AA807" s="29"/>
      <c r="AB807" s="31">
        <f>SUMIFS('Historico - FAT'!AK:AK,'Historico - FAT'!$K:$K,Faturamento!$L807,'Historico - FAT'!$I:$I,Faturamento!$J807,'Historico - FAT'!$G:$G,Faturamento!$H807)</f>
        <v>0</v>
      </c>
      <c r="AC807" s="31">
        <f>SUMIFS('Historico - FAT'!AL:AL,'Historico - FAT'!$K:$K,Faturamento!$L807,'Historico - FAT'!$I:$I,Faturamento!$J807,'Historico - FAT'!$G:$G,Faturamento!$H807)</f>
        <v>0</v>
      </c>
      <c r="AD807" s="31">
        <f>SUMIFS('Historico - FAT'!AM:AM,'Historico - FAT'!$K:$K,Faturamento!$L807,'Historico - FAT'!$I:$I,Faturamento!$J807,'Historico - FAT'!$G:$G,Faturamento!$H807)</f>
        <v>0</v>
      </c>
      <c r="AE807" s="27">
        <f>SUMIFS('Historico - FAT'!AN:AN,'Historico - FAT'!$K:$K,Faturamento!$L807,'Historico - FAT'!$I:$I,Faturamento!$J807,'Historico - FAT'!$G:$G,Faturamento!$H807)</f>
        <v>0</v>
      </c>
      <c r="AG807" s="24" t="str">
        <f t="shared" si="181"/>
        <v/>
      </c>
      <c r="AH807" s="24" t="str">
        <f t="shared" si="182"/>
        <v/>
      </c>
      <c r="AI807" s="24" t="str">
        <f t="shared" si="183"/>
        <v/>
      </c>
    </row>
    <row r="808" spans="1:35" hidden="1" x14ac:dyDescent="0.3">
      <c r="A808" s="2" t="str">
        <f t="shared" si="180"/>
        <v>NÃO</v>
      </c>
      <c r="B808" s="2">
        <v>1000184670</v>
      </c>
      <c r="C808" s="2" t="s">
        <v>147</v>
      </c>
      <c r="D808" s="4">
        <v>1000186197</v>
      </c>
      <c r="E808" s="4" t="s">
        <v>166</v>
      </c>
      <c r="F808" s="2">
        <v>1000184757</v>
      </c>
      <c r="G808" s="2" t="s">
        <v>62</v>
      </c>
      <c r="H808" s="4">
        <v>1000189787</v>
      </c>
      <c r="I808" s="4" t="s">
        <v>63</v>
      </c>
      <c r="J808" s="2">
        <v>1000189270</v>
      </c>
      <c r="K808" s="2" t="s">
        <v>34</v>
      </c>
      <c r="L808" s="4" t="s">
        <v>19</v>
      </c>
      <c r="M808" s="4" t="str">
        <f t="shared" si="187"/>
        <v>1000184670100018619710001897871000189270GELEIA</v>
      </c>
      <c r="N808" s="28">
        <f>N802*_xlfn.XLOOKUP($L808,'Balizador da Meta'!$B$4:$B$21,'Balizador da Meta'!$C$4:$C$21)</f>
        <v>11.999999999999998</v>
      </c>
      <c r="O808" s="28">
        <f>O802*_xlfn.XLOOKUP($L808,'Balizador da Meta'!$B$4:$B$21,'Balizador da Meta'!$C$4:$C$21)</f>
        <v>11.999999999999998</v>
      </c>
      <c r="P808" s="28">
        <f>P802*_xlfn.XLOOKUP($L808,'Balizador da Meta'!$B$4:$B$21,'Balizador da Meta'!$C$4:$C$21)</f>
        <v>11.999999999999998</v>
      </c>
      <c r="Q808" s="28">
        <f>Q802*_xlfn.XLOOKUP($L808,'Balizador da Meta'!$B$4:$B$21,'Balizador da Meta'!$C$4:$C$21)</f>
        <v>11.999999999999998</v>
      </c>
      <c r="R808" s="28">
        <f>R802*_xlfn.XLOOKUP($L808,'Balizador da Meta'!$B$4:$B$21,'Balizador da Meta'!$C$4:$C$21)</f>
        <v>11.999999999999998</v>
      </c>
      <c r="S808" s="28">
        <f>S802*_xlfn.XLOOKUP($L808,'Balizador da Meta'!$B$4:$B$21,'Balizador da Meta'!$C$4:$C$21)</f>
        <v>11.999999999999998</v>
      </c>
      <c r="T808" s="28">
        <f>T802*_xlfn.XLOOKUP($L808,'Balizador da Meta'!$B$4:$B$21,'Balizador da Meta'!$C$4:$C$21)</f>
        <v>11.999999999999998</v>
      </c>
      <c r="U808" s="28">
        <f>U802*_xlfn.XLOOKUP($L808,'Balizador da Meta'!$B$4:$B$21,'Balizador da Meta'!$C$4:$C$21)</f>
        <v>11.999999999999998</v>
      </c>
      <c r="V808" s="28">
        <f>V802*_xlfn.XLOOKUP($L808,'Balizador da Meta'!$B$4:$B$21,'Balizador da Meta'!$C$4:$C$21)</f>
        <v>11.999999999999998</v>
      </c>
      <c r="W808" s="28">
        <f>W802*_xlfn.XLOOKUP($L808,'Balizador da Meta'!$B$4:$B$21,'Balizador da Meta'!$C$4:$C$21)</f>
        <v>11.999999999999998</v>
      </c>
      <c r="X808" s="28">
        <f>X802*_xlfn.XLOOKUP($L808,'Balizador da Meta'!$B$4:$B$21,'Balizador da Meta'!$C$4:$C$21)</f>
        <v>11.999999999999998</v>
      </c>
      <c r="Y808" s="28">
        <f>Y802*_xlfn.XLOOKUP($L808,'Balizador da Meta'!$B$4:$B$21,'Balizador da Meta'!$C$4:$C$21)</f>
        <v>11.999999999999998</v>
      </c>
      <c r="Z808" s="30">
        <f t="shared" si="193"/>
        <v>143.99999999999997</v>
      </c>
      <c r="AA808" s="29"/>
      <c r="AB808" s="31">
        <f>SUMIFS('Historico - FAT'!AK:AK,'Historico - FAT'!$K:$K,Faturamento!$L808,'Historico - FAT'!$I:$I,Faturamento!$J808,'Historico - FAT'!$G:$G,Faturamento!$H808)</f>
        <v>0</v>
      </c>
      <c r="AC808" s="31">
        <f>SUMIFS('Historico - FAT'!AL:AL,'Historico - FAT'!$K:$K,Faturamento!$L808,'Historico - FAT'!$I:$I,Faturamento!$J808,'Historico - FAT'!$G:$G,Faturamento!$H808)</f>
        <v>0</v>
      </c>
      <c r="AD808" s="31">
        <f>SUMIFS('Historico - FAT'!AM:AM,'Historico - FAT'!$K:$K,Faturamento!$L808,'Historico - FAT'!$I:$I,Faturamento!$J808,'Historico - FAT'!$G:$G,Faturamento!$H808)</f>
        <v>0</v>
      </c>
      <c r="AE808" s="27">
        <f>SUMIFS('Historico - FAT'!AN:AN,'Historico - FAT'!$K:$K,Faturamento!$L808,'Historico - FAT'!$I:$I,Faturamento!$J808,'Historico - FAT'!$G:$G,Faturamento!$H808)</f>
        <v>0</v>
      </c>
      <c r="AG808" s="24">
        <f t="shared" si="181"/>
        <v>1</v>
      </c>
      <c r="AH808" s="24">
        <f t="shared" si="182"/>
        <v>1</v>
      </c>
      <c r="AI808" s="24">
        <f t="shared" si="183"/>
        <v>1</v>
      </c>
    </row>
    <row r="809" spans="1:35" hidden="1" x14ac:dyDescent="0.3">
      <c r="A809" s="2" t="str">
        <f t="shared" si="180"/>
        <v>NÃO</v>
      </c>
      <c r="B809" s="2">
        <v>1000184670</v>
      </c>
      <c r="C809" s="2" t="s">
        <v>147</v>
      </c>
      <c r="D809" s="4">
        <v>1000186197</v>
      </c>
      <c r="E809" s="4" t="s">
        <v>166</v>
      </c>
      <c r="F809" s="2">
        <v>1000184757</v>
      </c>
      <c r="G809" s="2" t="s">
        <v>62</v>
      </c>
      <c r="H809" s="4">
        <v>1000189787</v>
      </c>
      <c r="I809" s="4" t="s">
        <v>63</v>
      </c>
      <c r="J809" s="2">
        <v>1000189270</v>
      </c>
      <c r="K809" s="2" t="s">
        <v>34</v>
      </c>
      <c r="L809" s="4" t="s">
        <v>17</v>
      </c>
      <c r="M809" s="4" t="str">
        <f t="shared" si="187"/>
        <v>1000184670100018619710001897871000189270GRANOLA</v>
      </c>
      <c r="N809" s="28">
        <f>N802*_xlfn.XLOOKUP($L809,'Balizador da Meta'!$B$4:$B$21,'Balizador da Meta'!$C$4:$C$21)</f>
        <v>12</v>
      </c>
      <c r="O809" s="28">
        <f>O802*_xlfn.XLOOKUP($L809,'Balizador da Meta'!$B$4:$B$21,'Balizador da Meta'!$C$4:$C$21)</f>
        <v>12</v>
      </c>
      <c r="P809" s="28">
        <f>P802*_xlfn.XLOOKUP($L809,'Balizador da Meta'!$B$4:$B$21,'Balizador da Meta'!$C$4:$C$21)</f>
        <v>12</v>
      </c>
      <c r="Q809" s="28">
        <f>Q802*_xlfn.XLOOKUP($L809,'Balizador da Meta'!$B$4:$B$21,'Balizador da Meta'!$C$4:$C$21)</f>
        <v>12</v>
      </c>
      <c r="R809" s="28">
        <f>R802*_xlfn.XLOOKUP($L809,'Balizador da Meta'!$B$4:$B$21,'Balizador da Meta'!$C$4:$C$21)</f>
        <v>12</v>
      </c>
      <c r="S809" s="28">
        <f>S802*_xlfn.XLOOKUP($L809,'Balizador da Meta'!$B$4:$B$21,'Balizador da Meta'!$C$4:$C$21)</f>
        <v>12</v>
      </c>
      <c r="T809" s="28">
        <f>T802*_xlfn.XLOOKUP($L809,'Balizador da Meta'!$B$4:$B$21,'Balizador da Meta'!$C$4:$C$21)</f>
        <v>12</v>
      </c>
      <c r="U809" s="28">
        <f>U802*_xlfn.XLOOKUP($L809,'Balizador da Meta'!$B$4:$B$21,'Balizador da Meta'!$C$4:$C$21)</f>
        <v>12</v>
      </c>
      <c r="V809" s="28">
        <f>V802*_xlfn.XLOOKUP($L809,'Balizador da Meta'!$B$4:$B$21,'Balizador da Meta'!$C$4:$C$21)</f>
        <v>12</v>
      </c>
      <c r="W809" s="28">
        <f>W802*_xlfn.XLOOKUP($L809,'Balizador da Meta'!$B$4:$B$21,'Balizador da Meta'!$C$4:$C$21)</f>
        <v>12</v>
      </c>
      <c r="X809" s="28">
        <f>X802*_xlfn.XLOOKUP($L809,'Balizador da Meta'!$B$4:$B$21,'Balizador da Meta'!$C$4:$C$21)</f>
        <v>12</v>
      </c>
      <c r="Y809" s="28">
        <f>Y802*_xlfn.XLOOKUP($L809,'Balizador da Meta'!$B$4:$B$21,'Balizador da Meta'!$C$4:$C$21)</f>
        <v>12</v>
      </c>
      <c r="Z809" s="30">
        <f t="shared" si="193"/>
        <v>144</v>
      </c>
      <c r="AA809" s="29"/>
      <c r="AB809" s="31">
        <f>SUMIFS('Historico - FAT'!AK:AK,'Historico - FAT'!$K:$K,Faturamento!$L809,'Historico - FAT'!$I:$I,Faturamento!$J809,'Historico - FAT'!$G:$G,Faturamento!$H809)</f>
        <v>0</v>
      </c>
      <c r="AC809" s="31">
        <f>SUMIFS('Historico - FAT'!AL:AL,'Historico - FAT'!$K:$K,Faturamento!$L809,'Historico - FAT'!$I:$I,Faturamento!$J809,'Historico - FAT'!$G:$G,Faturamento!$H809)</f>
        <v>0</v>
      </c>
      <c r="AD809" s="31">
        <f>SUMIFS('Historico - FAT'!AM:AM,'Historico - FAT'!$K:$K,Faturamento!$L809,'Historico - FAT'!$I:$I,Faturamento!$J809,'Historico - FAT'!$G:$G,Faturamento!$H809)</f>
        <v>0</v>
      </c>
      <c r="AE809" s="27">
        <f>SUMIFS('Historico - FAT'!AN:AN,'Historico - FAT'!$K:$K,Faturamento!$L809,'Historico - FAT'!$I:$I,Faturamento!$J809,'Historico - FAT'!$G:$G,Faturamento!$H809)</f>
        <v>0</v>
      </c>
      <c r="AG809" s="24">
        <f t="shared" si="181"/>
        <v>1</v>
      </c>
      <c r="AH809" s="24">
        <f t="shared" si="182"/>
        <v>1</v>
      </c>
      <c r="AI809" s="24">
        <f t="shared" si="183"/>
        <v>1</v>
      </c>
    </row>
    <row r="810" spans="1:35" hidden="1" x14ac:dyDescent="0.3">
      <c r="A810" s="2" t="str">
        <f t="shared" si="180"/>
        <v>NÃO</v>
      </c>
      <c r="B810" s="2">
        <v>1000184670</v>
      </c>
      <c r="C810" s="2" t="s">
        <v>147</v>
      </c>
      <c r="D810" s="4">
        <v>1000186197</v>
      </c>
      <c r="E810" s="4" t="s">
        <v>166</v>
      </c>
      <c r="F810" s="2">
        <v>1000184757</v>
      </c>
      <c r="G810" s="2" t="s">
        <v>62</v>
      </c>
      <c r="H810" s="4">
        <v>1000189787</v>
      </c>
      <c r="I810" s="4" t="s">
        <v>63</v>
      </c>
      <c r="J810" s="2">
        <v>1000189270</v>
      </c>
      <c r="K810" s="2" t="s">
        <v>34</v>
      </c>
      <c r="L810" s="4" t="s">
        <v>24</v>
      </c>
      <c r="M810" s="4" t="str">
        <f t="shared" si="187"/>
        <v>1000184670100018619710001897871000189270KIDS</v>
      </c>
      <c r="N810" s="28">
        <f>N802*_xlfn.XLOOKUP($L810,'Balizador da Meta'!$B$4:$B$21,'Balizador da Meta'!$C$4:$C$21)</f>
        <v>0</v>
      </c>
      <c r="O810" s="28">
        <f>O802*_xlfn.XLOOKUP($L810,'Balizador da Meta'!$B$4:$B$21,'Balizador da Meta'!$C$4:$C$21)</f>
        <v>0</v>
      </c>
      <c r="P810" s="28">
        <f>P802*_xlfn.XLOOKUP($L810,'Balizador da Meta'!$B$4:$B$21,'Balizador da Meta'!$C$4:$C$21)</f>
        <v>0</v>
      </c>
      <c r="Q810" s="28">
        <f>Q802*_xlfn.XLOOKUP($L810,'Balizador da Meta'!$B$4:$B$21,'Balizador da Meta'!$C$4:$C$21)</f>
        <v>0</v>
      </c>
      <c r="R810" s="28">
        <f>R802*_xlfn.XLOOKUP($L810,'Balizador da Meta'!$B$4:$B$21,'Balizador da Meta'!$C$4:$C$21)</f>
        <v>0</v>
      </c>
      <c r="S810" s="28">
        <f>S802*_xlfn.XLOOKUP($L810,'Balizador da Meta'!$B$4:$B$21,'Balizador da Meta'!$C$4:$C$21)</f>
        <v>0</v>
      </c>
      <c r="T810" s="28">
        <f>T802*_xlfn.XLOOKUP($L810,'Balizador da Meta'!$B$4:$B$21,'Balizador da Meta'!$C$4:$C$21)</f>
        <v>0</v>
      </c>
      <c r="U810" s="28">
        <f>U802*_xlfn.XLOOKUP($L810,'Balizador da Meta'!$B$4:$B$21,'Balizador da Meta'!$C$4:$C$21)</f>
        <v>0</v>
      </c>
      <c r="V810" s="28">
        <f>V802*_xlfn.XLOOKUP($L810,'Balizador da Meta'!$B$4:$B$21,'Balizador da Meta'!$C$4:$C$21)</f>
        <v>0</v>
      </c>
      <c r="W810" s="28">
        <f>W802*_xlfn.XLOOKUP($L810,'Balizador da Meta'!$B$4:$B$21,'Balizador da Meta'!$C$4:$C$21)</f>
        <v>0</v>
      </c>
      <c r="X810" s="28">
        <f>X802*_xlfn.XLOOKUP($L810,'Balizador da Meta'!$B$4:$B$21,'Balizador da Meta'!$C$4:$C$21)</f>
        <v>0</v>
      </c>
      <c r="Y810" s="28">
        <f>Y802*_xlfn.XLOOKUP($L810,'Balizador da Meta'!$B$4:$B$21,'Balizador da Meta'!$C$4:$C$21)</f>
        <v>0</v>
      </c>
      <c r="Z810" s="30">
        <f t="shared" si="193"/>
        <v>0</v>
      </c>
      <c r="AA810" s="29"/>
      <c r="AB810" s="31">
        <f>SUMIFS('Historico - FAT'!AK:AK,'Historico - FAT'!$K:$K,Faturamento!$L810,'Historico - FAT'!$I:$I,Faturamento!$J810,'Historico - FAT'!$G:$G,Faturamento!$H810)</f>
        <v>0</v>
      </c>
      <c r="AC810" s="31">
        <f>SUMIFS('Historico - FAT'!AL:AL,'Historico - FAT'!$K:$K,Faturamento!$L810,'Historico - FAT'!$I:$I,Faturamento!$J810,'Historico - FAT'!$G:$G,Faturamento!$H810)</f>
        <v>0</v>
      </c>
      <c r="AD810" s="31">
        <f>SUMIFS('Historico - FAT'!AM:AM,'Historico - FAT'!$K:$K,Faturamento!$L810,'Historico - FAT'!$I:$I,Faturamento!$J810,'Historico - FAT'!$G:$G,Faturamento!$H810)</f>
        <v>0</v>
      </c>
      <c r="AE810" s="27">
        <f>SUMIFS('Historico - FAT'!AN:AN,'Historico - FAT'!$K:$K,Faturamento!$L810,'Historico - FAT'!$I:$I,Faturamento!$J810,'Historico - FAT'!$G:$G,Faturamento!$H810)</f>
        <v>0</v>
      </c>
      <c r="AG810" s="24" t="str">
        <f t="shared" si="181"/>
        <v/>
      </c>
      <c r="AH810" s="24" t="str">
        <f t="shared" si="182"/>
        <v/>
      </c>
      <c r="AI810" s="24" t="str">
        <f t="shared" si="183"/>
        <v/>
      </c>
    </row>
    <row r="811" spans="1:35" hidden="1" x14ac:dyDescent="0.3">
      <c r="A811" s="2" t="str">
        <f t="shared" si="180"/>
        <v>NÃO</v>
      </c>
      <c r="B811" s="2">
        <v>1000184670</v>
      </c>
      <c r="C811" s="2" t="s">
        <v>147</v>
      </c>
      <c r="D811" s="4">
        <v>1000186197</v>
      </c>
      <c r="E811" s="4" t="s">
        <v>166</v>
      </c>
      <c r="F811" s="2">
        <v>1000184757</v>
      </c>
      <c r="G811" s="2" t="s">
        <v>62</v>
      </c>
      <c r="H811" s="4">
        <v>1000189787</v>
      </c>
      <c r="I811" s="4" t="s">
        <v>63</v>
      </c>
      <c r="J811" s="2">
        <v>1000189270</v>
      </c>
      <c r="K811" s="2" t="s">
        <v>34</v>
      </c>
      <c r="L811" s="4" t="s">
        <v>18</v>
      </c>
      <c r="M811" s="4" t="str">
        <f t="shared" si="187"/>
        <v>1000184670100018619710001897871000189270LANCHES</v>
      </c>
      <c r="N811" s="28">
        <f>N802*_xlfn.XLOOKUP($L811,'Balizador da Meta'!$B$4:$B$21,'Balizador da Meta'!$C$4:$C$21)</f>
        <v>6</v>
      </c>
      <c r="O811" s="28">
        <f>O802*_xlfn.XLOOKUP($L811,'Balizador da Meta'!$B$4:$B$21,'Balizador da Meta'!$C$4:$C$21)</f>
        <v>6</v>
      </c>
      <c r="P811" s="28">
        <f>P802*_xlfn.XLOOKUP($L811,'Balizador da Meta'!$B$4:$B$21,'Balizador da Meta'!$C$4:$C$21)</f>
        <v>6</v>
      </c>
      <c r="Q811" s="28">
        <f>Q802*_xlfn.XLOOKUP($L811,'Balizador da Meta'!$B$4:$B$21,'Balizador da Meta'!$C$4:$C$21)</f>
        <v>6</v>
      </c>
      <c r="R811" s="28">
        <f>R802*_xlfn.XLOOKUP($L811,'Balizador da Meta'!$B$4:$B$21,'Balizador da Meta'!$C$4:$C$21)</f>
        <v>6</v>
      </c>
      <c r="S811" s="28">
        <f>S802*_xlfn.XLOOKUP($L811,'Balizador da Meta'!$B$4:$B$21,'Balizador da Meta'!$C$4:$C$21)</f>
        <v>6</v>
      </c>
      <c r="T811" s="28">
        <f>T802*_xlfn.XLOOKUP($L811,'Balizador da Meta'!$B$4:$B$21,'Balizador da Meta'!$C$4:$C$21)</f>
        <v>6</v>
      </c>
      <c r="U811" s="28">
        <f>U802*_xlfn.XLOOKUP($L811,'Balizador da Meta'!$B$4:$B$21,'Balizador da Meta'!$C$4:$C$21)</f>
        <v>6</v>
      </c>
      <c r="V811" s="28">
        <f>V802*_xlfn.XLOOKUP($L811,'Balizador da Meta'!$B$4:$B$21,'Balizador da Meta'!$C$4:$C$21)</f>
        <v>6</v>
      </c>
      <c r="W811" s="28">
        <f>W802*_xlfn.XLOOKUP($L811,'Balizador da Meta'!$B$4:$B$21,'Balizador da Meta'!$C$4:$C$21)</f>
        <v>6</v>
      </c>
      <c r="X811" s="28">
        <f>X802*_xlfn.XLOOKUP($L811,'Balizador da Meta'!$B$4:$B$21,'Balizador da Meta'!$C$4:$C$21)</f>
        <v>6</v>
      </c>
      <c r="Y811" s="28">
        <f>Y802*_xlfn.XLOOKUP($L811,'Balizador da Meta'!$B$4:$B$21,'Balizador da Meta'!$C$4:$C$21)</f>
        <v>6</v>
      </c>
      <c r="Z811" s="30">
        <f t="shared" si="193"/>
        <v>72</v>
      </c>
      <c r="AA811" s="29"/>
      <c r="AB811" s="31">
        <f>SUMIFS('Historico - FAT'!AK:AK,'Historico - FAT'!$K:$K,Faturamento!$L811,'Historico - FAT'!$I:$I,Faturamento!$J811,'Historico - FAT'!$G:$G,Faturamento!$H811)</f>
        <v>0</v>
      </c>
      <c r="AC811" s="31">
        <f>SUMIFS('Historico - FAT'!AL:AL,'Historico - FAT'!$K:$K,Faturamento!$L811,'Historico - FAT'!$I:$I,Faturamento!$J811,'Historico - FAT'!$G:$G,Faturamento!$H811)</f>
        <v>0</v>
      </c>
      <c r="AD811" s="31">
        <f>SUMIFS('Historico - FAT'!AM:AM,'Historico - FAT'!$K:$K,Faturamento!$L811,'Historico - FAT'!$I:$I,Faturamento!$J811,'Historico - FAT'!$G:$G,Faturamento!$H811)</f>
        <v>0</v>
      </c>
      <c r="AE811" s="27">
        <f>SUMIFS('Historico - FAT'!AN:AN,'Historico - FAT'!$K:$K,Faturamento!$L811,'Historico - FAT'!$I:$I,Faturamento!$J811,'Historico - FAT'!$G:$G,Faturamento!$H811)</f>
        <v>0</v>
      </c>
      <c r="AG811" s="24">
        <f t="shared" si="181"/>
        <v>1</v>
      </c>
      <c r="AH811" s="24">
        <f t="shared" si="182"/>
        <v>1</v>
      </c>
      <c r="AI811" s="24">
        <f t="shared" si="183"/>
        <v>1</v>
      </c>
    </row>
    <row r="812" spans="1:35" hidden="1" x14ac:dyDescent="0.3">
      <c r="A812" s="2" t="str">
        <f t="shared" si="180"/>
        <v>NÃO</v>
      </c>
      <c r="B812" s="2">
        <v>1000184670</v>
      </c>
      <c r="C812" s="2" t="s">
        <v>147</v>
      </c>
      <c r="D812" s="4">
        <v>1000186197</v>
      </c>
      <c r="E812" s="4" t="s">
        <v>166</v>
      </c>
      <c r="F812" s="2">
        <v>1000184757</v>
      </c>
      <c r="G812" s="2" t="s">
        <v>62</v>
      </c>
      <c r="H812" s="4">
        <v>1000189787</v>
      </c>
      <c r="I812" s="4" t="s">
        <v>63</v>
      </c>
      <c r="J812" s="2">
        <v>1000189270</v>
      </c>
      <c r="K812" s="2" t="s">
        <v>34</v>
      </c>
      <c r="L812" s="4" t="s">
        <v>29</v>
      </c>
      <c r="M812" s="4" t="str">
        <f t="shared" si="187"/>
        <v>1000184670100018619710001897871000189270MAIS GRANEL</v>
      </c>
      <c r="N812" s="28">
        <f>N802*_xlfn.XLOOKUP($L812,'Balizador da Meta'!$B$4:$B$21,'Balizador da Meta'!$C$4:$C$21)</f>
        <v>192</v>
      </c>
      <c r="O812" s="28">
        <f>O802*_xlfn.XLOOKUP($L812,'Balizador da Meta'!$B$4:$B$21,'Balizador da Meta'!$C$4:$C$21)</f>
        <v>192</v>
      </c>
      <c r="P812" s="28">
        <f>P802*_xlfn.XLOOKUP($L812,'Balizador da Meta'!$B$4:$B$21,'Balizador da Meta'!$C$4:$C$21)</f>
        <v>192</v>
      </c>
      <c r="Q812" s="28">
        <f>Q802*_xlfn.XLOOKUP($L812,'Balizador da Meta'!$B$4:$B$21,'Balizador da Meta'!$C$4:$C$21)</f>
        <v>192</v>
      </c>
      <c r="R812" s="28">
        <f>R802*_xlfn.XLOOKUP($L812,'Balizador da Meta'!$B$4:$B$21,'Balizador da Meta'!$C$4:$C$21)</f>
        <v>192</v>
      </c>
      <c r="S812" s="28">
        <f>S802*_xlfn.XLOOKUP($L812,'Balizador da Meta'!$B$4:$B$21,'Balizador da Meta'!$C$4:$C$21)</f>
        <v>192</v>
      </c>
      <c r="T812" s="28">
        <f>T802*_xlfn.XLOOKUP($L812,'Balizador da Meta'!$B$4:$B$21,'Balizador da Meta'!$C$4:$C$21)</f>
        <v>192</v>
      </c>
      <c r="U812" s="28">
        <f>U802*_xlfn.XLOOKUP($L812,'Balizador da Meta'!$B$4:$B$21,'Balizador da Meta'!$C$4:$C$21)</f>
        <v>192</v>
      </c>
      <c r="V812" s="28">
        <f>V802*_xlfn.XLOOKUP($L812,'Balizador da Meta'!$B$4:$B$21,'Balizador da Meta'!$C$4:$C$21)</f>
        <v>192</v>
      </c>
      <c r="W812" s="28">
        <f>W802*_xlfn.XLOOKUP($L812,'Balizador da Meta'!$B$4:$B$21,'Balizador da Meta'!$C$4:$C$21)</f>
        <v>192</v>
      </c>
      <c r="X812" s="28">
        <f>X802*_xlfn.XLOOKUP($L812,'Balizador da Meta'!$B$4:$B$21,'Balizador da Meta'!$C$4:$C$21)</f>
        <v>192</v>
      </c>
      <c r="Y812" s="28">
        <f>Y802*_xlfn.XLOOKUP($L812,'Balizador da Meta'!$B$4:$B$21,'Balizador da Meta'!$C$4:$C$21)</f>
        <v>192</v>
      </c>
      <c r="Z812" s="30">
        <f t="shared" si="193"/>
        <v>2304</v>
      </c>
      <c r="AA812" s="29"/>
      <c r="AB812" s="31">
        <f>SUMIFS('Historico - FAT'!AK:AK,'Historico - FAT'!$K:$K,Faturamento!$L812,'Historico - FAT'!$I:$I,Faturamento!$J812,'Historico - FAT'!$G:$G,Faturamento!$H812)</f>
        <v>0</v>
      </c>
      <c r="AC812" s="31">
        <f>SUMIFS('Historico - FAT'!AL:AL,'Historico - FAT'!$K:$K,Faturamento!$L812,'Historico - FAT'!$I:$I,Faturamento!$J812,'Historico - FAT'!$G:$G,Faturamento!$H812)</f>
        <v>0</v>
      </c>
      <c r="AD812" s="31">
        <f>SUMIFS('Historico - FAT'!AM:AM,'Historico - FAT'!$K:$K,Faturamento!$L812,'Historico - FAT'!$I:$I,Faturamento!$J812,'Historico - FAT'!$G:$G,Faturamento!$H812)</f>
        <v>0</v>
      </c>
      <c r="AE812" s="27">
        <f>SUMIFS('Historico - FAT'!AN:AN,'Historico - FAT'!$K:$K,Faturamento!$L812,'Historico - FAT'!$I:$I,Faturamento!$J812,'Historico - FAT'!$G:$G,Faturamento!$H812)</f>
        <v>0</v>
      </c>
      <c r="AG812" s="24">
        <f t="shared" si="181"/>
        <v>1</v>
      </c>
      <c r="AH812" s="24">
        <f t="shared" si="182"/>
        <v>1</v>
      </c>
      <c r="AI812" s="24">
        <f t="shared" si="183"/>
        <v>1</v>
      </c>
    </row>
    <row r="813" spans="1:35" hidden="1" x14ac:dyDescent="0.3">
      <c r="A813" s="2" t="str">
        <f t="shared" si="180"/>
        <v>NÃO</v>
      </c>
      <c r="B813" s="2">
        <v>1000184670</v>
      </c>
      <c r="C813" s="2" t="s">
        <v>147</v>
      </c>
      <c r="D813" s="4">
        <v>1000186197</v>
      </c>
      <c r="E813" s="4" t="s">
        <v>166</v>
      </c>
      <c r="F813" s="2">
        <v>1000184757</v>
      </c>
      <c r="G813" s="2" t="s">
        <v>62</v>
      </c>
      <c r="H813" s="4">
        <v>1000189787</v>
      </c>
      <c r="I813" s="4" t="s">
        <v>63</v>
      </c>
      <c r="J813" s="2">
        <v>1000189270</v>
      </c>
      <c r="K813" s="2" t="s">
        <v>34</v>
      </c>
      <c r="L813" s="4" t="s">
        <v>21</v>
      </c>
      <c r="M813" s="4" t="str">
        <f t="shared" si="187"/>
        <v>1000184670100018619710001897871000189270NATURATTA</v>
      </c>
      <c r="N813" s="28">
        <f>N802*_xlfn.XLOOKUP($L813,'Balizador da Meta'!$B$4:$B$21,'Balizador da Meta'!$C$4:$C$21)</f>
        <v>30</v>
      </c>
      <c r="O813" s="28">
        <f>O802*_xlfn.XLOOKUP($L813,'Balizador da Meta'!$B$4:$B$21,'Balizador da Meta'!$C$4:$C$21)</f>
        <v>30</v>
      </c>
      <c r="P813" s="28">
        <f>P802*_xlfn.XLOOKUP($L813,'Balizador da Meta'!$B$4:$B$21,'Balizador da Meta'!$C$4:$C$21)</f>
        <v>30</v>
      </c>
      <c r="Q813" s="28">
        <f>Q802*_xlfn.XLOOKUP($L813,'Balizador da Meta'!$B$4:$B$21,'Balizador da Meta'!$C$4:$C$21)</f>
        <v>30</v>
      </c>
      <c r="R813" s="28">
        <f>R802*_xlfn.XLOOKUP($L813,'Balizador da Meta'!$B$4:$B$21,'Balizador da Meta'!$C$4:$C$21)</f>
        <v>30</v>
      </c>
      <c r="S813" s="28">
        <f>S802*_xlfn.XLOOKUP($L813,'Balizador da Meta'!$B$4:$B$21,'Balizador da Meta'!$C$4:$C$21)</f>
        <v>30</v>
      </c>
      <c r="T813" s="28">
        <f>T802*_xlfn.XLOOKUP($L813,'Balizador da Meta'!$B$4:$B$21,'Balizador da Meta'!$C$4:$C$21)</f>
        <v>30</v>
      </c>
      <c r="U813" s="28">
        <f>U802*_xlfn.XLOOKUP($L813,'Balizador da Meta'!$B$4:$B$21,'Balizador da Meta'!$C$4:$C$21)</f>
        <v>30</v>
      </c>
      <c r="V813" s="28">
        <f>V802*_xlfn.XLOOKUP($L813,'Balizador da Meta'!$B$4:$B$21,'Balizador da Meta'!$C$4:$C$21)</f>
        <v>30</v>
      </c>
      <c r="W813" s="28">
        <f>W802*_xlfn.XLOOKUP($L813,'Balizador da Meta'!$B$4:$B$21,'Balizador da Meta'!$C$4:$C$21)</f>
        <v>30</v>
      </c>
      <c r="X813" s="28">
        <f>X802*_xlfn.XLOOKUP($L813,'Balizador da Meta'!$B$4:$B$21,'Balizador da Meta'!$C$4:$C$21)</f>
        <v>30</v>
      </c>
      <c r="Y813" s="28">
        <f>Y802*_xlfn.XLOOKUP($L813,'Balizador da Meta'!$B$4:$B$21,'Balizador da Meta'!$C$4:$C$21)</f>
        <v>30</v>
      </c>
      <c r="Z813" s="30">
        <f t="shared" si="193"/>
        <v>360</v>
      </c>
      <c r="AA813" s="29"/>
      <c r="AB813" s="31">
        <f>SUMIFS('Historico - FAT'!AK:AK,'Historico - FAT'!$K:$K,Faturamento!$L813,'Historico - FAT'!$I:$I,Faturamento!$J813,'Historico - FAT'!$G:$G,Faturamento!$H813)</f>
        <v>0</v>
      </c>
      <c r="AC813" s="31">
        <f>SUMIFS('Historico - FAT'!AL:AL,'Historico - FAT'!$K:$K,Faturamento!$L813,'Historico - FAT'!$I:$I,Faturamento!$J813,'Historico - FAT'!$G:$G,Faturamento!$H813)</f>
        <v>0</v>
      </c>
      <c r="AD813" s="31">
        <f>SUMIFS('Historico - FAT'!AM:AM,'Historico - FAT'!$K:$K,Faturamento!$L813,'Historico - FAT'!$I:$I,Faturamento!$J813,'Historico - FAT'!$G:$G,Faturamento!$H813)</f>
        <v>0</v>
      </c>
      <c r="AE813" s="27">
        <f>SUMIFS('Historico - FAT'!AN:AN,'Historico - FAT'!$K:$K,Faturamento!$L813,'Historico - FAT'!$I:$I,Faturamento!$J813,'Historico - FAT'!$G:$G,Faturamento!$H813)</f>
        <v>0</v>
      </c>
      <c r="AG813" s="24">
        <f t="shared" si="181"/>
        <v>1</v>
      </c>
      <c r="AH813" s="24">
        <f t="shared" si="182"/>
        <v>1</v>
      </c>
      <c r="AI813" s="24">
        <f t="shared" si="183"/>
        <v>1</v>
      </c>
    </row>
    <row r="814" spans="1:35" hidden="1" x14ac:dyDescent="0.3">
      <c r="A814" s="2" t="str">
        <f t="shared" si="180"/>
        <v>NÃO</v>
      </c>
      <c r="B814" s="2">
        <v>1000184670</v>
      </c>
      <c r="C814" s="2" t="s">
        <v>147</v>
      </c>
      <c r="D814" s="4">
        <v>1000186197</v>
      </c>
      <c r="E814" s="4" t="s">
        <v>166</v>
      </c>
      <c r="F814" s="2">
        <v>1000184757</v>
      </c>
      <c r="G814" s="2" t="s">
        <v>62</v>
      </c>
      <c r="H814" s="4">
        <v>1000189787</v>
      </c>
      <c r="I814" s="4" t="s">
        <v>63</v>
      </c>
      <c r="J814" s="2">
        <v>1000189270</v>
      </c>
      <c r="K814" s="2" t="s">
        <v>34</v>
      </c>
      <c r="L814" s="4" t="s">
        <v>20</v>
      </c>
      <c r="M814" s="4" t="str">
        <f t="shared" si="187"/>
        <v>1000184670100018619710001897871000189270REEMBALADOS</v>
      </c>
      <c r="N814" s="28">
        <f>N802*_xlfn.XLOOKUP($L814,'Balizador da Meta'!$B$4:$B$21,'Balizador da Meta'!$C$4:$C$21)</f>
        <v>24</v>
      </c>
      <c r="O814" s="28">
        <f>O802*_xlfn.XLOOKUP($L814,'Balizador da Meta'!$B$4:$B$21,'Balizador da Meta'!$C$4:$C$21)</f>
        <v>24</v>
      </c>
      <c r="P814" s="28">
        <f>P802*_xlfn.XLOOKUP($L814,'Balizador da Meta'!$B$4:$B$21,'Balizador da Meta'!$C$4:$C$21)</f>
        <v>24</v>
      </c>
      <c r="Q814" s="28">
        <f>Q802*_xlfn.XLOOKUP($L814,'Balizador da Meta'!$B$4:$B$21,'Balizador da Meta'!$C$4:$C$21)</f>
        <v>24</v>
      </c>
      <c r="R814" s="28">
        <f>R802*_xlfn.XLOOKUP($L814,'Balizador da Meta'!$B$4:$B$21,'Balizador da Meta'!$C$4:$C$21)</f>
        <v>24</v>
      </c>
      <c r="S814" s="28">
        <f>S802*_xlfn.XLOOKUP($L814,'Balizador da Meta'!$B$4:$B$21,'Balizador da Meta'!$C$4:$C$21)</f>
        <v>24</v>
      </c>
      <c r="T814" s="28">
        <f>T802*_xlfn.XLOOKUP($L814,'Balizador da Meta'!$B$4:$B$21,'Balizador da Meta'!$C$4:$C$21)</f>
        <v>24</v>
      </c>
      <c r="U814" s="28">
        <f>U802*_xlfn.XLOOKUP($L814,'Balizador da Meta'!$B$4:$B$21,'Balizador da Meta'!$C$4:$C$21)</f>
        <v>24</v>
      </c>
      <c r="V814" s="28">
        <f>V802*_xlfn.XLOOKUP($L814,'Balizador da Meta'!$B$4:$B$21,'Balizador da Meta'!$C$4:$C$21)</f>
        <v>24</v>
      </c>
      <c r="W814" s="28">
        <f>W802*_xlfn.XLOOKUP($L814,'Balizador da Meta'!$B$4:$B$21,'Balizador da Meta'!$C$4:$C$21)</f>
        <v>24</v>
      </c>
      <c r="X814" s="28">
        <f>X802*_xlfn.XLOOKUP($L814,'Balizador da Meta'!$B$4:$B$21,'Balizador da Meta'!$C$4:$C$21)</f>
        <v>24</v>
      </c>
      <c r="Y814" s="28">
        <f>Y802*_xlfn.XLOOKUP($L814,'Balizador da Meta'!$B$4:$B$21,'Balizador da Meta'!$C$4:$C$21)</f>
        <v>24</v>
      </c>
      <c r="Z814" s="30">
        <f t="shared" si="193"/>
        <v>288</v>
      </c>
      <c r="AA814" s="29"/>
      <c r="AB814" s="31">
        <f>SUMIFS('Historico - FAT'!AK:AK,'Historico - FAT'!$K:$K,Faturamento!$L814,'Historico - FAT'!$I:$I,Faturamento!$J814,'Historico - FAT'!$G:$G,Faturamento!$H814)</f>
        <v>0</v>
      </c>
      <c r="AC814" s="31">
        <f>SUMIFS('Historico - FAT'!AL:AL,'Historico - FAT'!$K:$K,Faturamento!$L814,'Historico - FAT'!$I:$I,Faturamento!$J814,'Historico - FAT'!$G:$G,Faturamento!$H814)</f>
        <v>0</v>
      </c>
      <c r="AD814" s="31">
        <f>SUMIFS('Historico - FAT'!AM:AM,'Historico - FAT'!$K:$K,Faturamento!$L814,'Historico - FAT'!$I:$I,Faturamento!$J814,'Historico - FAT'!$G:$G,Faturamento!$H814)</f>
        <v>0</v>
      </c>
      <c r="AE814" s="27">
        <f>SUMIFS('Historico - FAT'!AN:AN,'Historico - FAT'!$K:$K,Faturamento!$L814,'Historico - FAT'!$I:$I,Faturamento!$J814,'Historico - FAT'!$G:$G,Faturamento!$H814)</f>
        <v>0</v>
      </c>
      <c r="AG814" s="24">
        <f t="shared" si="181"/>
        <v>1</v>
      </c>
      <c r="AH814" s="24">
        <f t="shared" si="182"/>
        <v>1</v>
      </c>
      <c r="AI814" s="24">
        <f t="shared" si="183"/>
        <v>1</v>
      </c>
    </row>
    <row r="815" spans="1:35" hidden="1" x14ac:dyDescent="0.3">
      <c r="A815" s="2" t="str">
        <f t="shared" si="180"/>
        <v>NÃO</v>
      </c>
      <c r="B815" s="2">
        <v>1000184670</v>
      </c>
      <c r="C815" s="2" t="s">
        <v>147</v>
      </c>
      <c r="D815" s="4">
        <v>1000186197</v>
      </c>
      <c r="E815" s="4" t="s">
        <v>166</v>
      </c>
      <c r="F815" s="2">
        <v>1000184757</v>
      </c>
      <c r="G815" s="2" t="s">
        <v>62</v>
      </c>
      <c r="H815" s="4">
        <v>1000189787</v>
      </c>
      <c r="I815" s="4" t="s">
        <v>63</v>
      </c>
      <c r="J815" s="2">
        <v>1000189270</v>
      </c>
      <c r="K815" s="2" t="s">
        <v>34</v>
      </c>
      <c r="L815" s="4" t="s">
        <v>22</v>
      </c>
      <c r="M815" s="4" t="str">
        <f t="shared" si="187"/>
        <v>1000184670100018619710001897871000189270S GLUTEN</v>
      </c>
      <c r="N815" s="28">
        <f>N802*_xlfn.XLOOKUP($L815,'Balizador da Meta'!$B$4:$B$21,'Balizador da Meta'!$C$4:$C$21)</f>
        <v>24</v>
      </c>
      <c r="O815" s="28">
        <f>O802*_xlfn.XLOOKUP($L815,'Balizador da Meta'!$B$4:$B$21,'Balizador da Meta'!$C$4:$C$21)</f>
        <v>24</v>
      </c>
      <c r="P815" s="28">
        <f>P802*_xlfn.XLOOKUP($L815,'Balizador da Meta'!$B$4:$B$21,'Balizador da Meta'!$C$4:$C$21)</f>
        <v>24</v>
      </c>
      <c r="Q815" s="28">
        <f>Q802*_xlfn.XLOOKUP($L815,'Balizador da Meta'!$B$4:$B$21,'Balizador da Meta'!$C$4:$C$21)</f>
        <v>24</v>
      </c>
      <c r="R815" s="28">
        <f>R802*_xlfn.XLOOKUP($L815,'Balizador da Meta'!$B$4:$B$21,'Balizador da Meta'!$C$4:$C$21)</f>
        <v>24</v>
      </c>
      <c r="S815" s="28">
        <f>S802*_xlfn.XLOOKUP($L815,'Balizador da Meta'!$B$4:$B$21,'Balizador da Meta'!$C$4:$C$21)</f>
        <v>24</v>
      </c>
      <c r="T815" s="28">
        <f>T802*_xlfn.XLOOKUP($L815,'Balizador da Meta'!$B$4:$B$21,'Balizador da Meta'!$C$4:$C$21)</f>
        <v>24</v>
      </c>
      <c r="U815" s="28">
        <f>U802*_xlfn.XLOOKUP($L815,'Balizador da Meta'!$B$4:$B$21,'Balizador da Meta'!$C$4:$C$21)</f>
        <v>24</v>
      </c>
      <c r="V815" s="28">
        <f>V802*_xlfn.XLOOKUP($L815,'Balizador da Meta'!$B$4:$B$21,'Balizador da Meta'!$C$4:$C$21)</f>
        <v>24</v>
      </c>
      <c r="W815" s="28">
        <f>W802*_xlfn.XLOOKUP($L815,'Balizador da Meta'!$B$4:$B$21,'Balizador da Meta'!$C$4:$C$21)</f>
        <v>24</v>
      </c>
      <c r="X815" s="28">
        <f>X802*_xlfn.XLOOKUP($L815,'Balizador da Meta'!$B$4:$B$21,'Balizador da Meta'!$C$4:$C$21)</f>
        <v>24</v>
      </c>
      <c r="Y815" s="28">
        <f>Y802*_xlfn.XLOOKUP($L815,'Balizador da Meta'!$B$4:$B$21,'Balizador da Meta'!$C$4:$C$21)</f>
        <v>24</v>
      </c>
      <c r="Z815" s="30">
        <f t="shared" si="193"/>
        <v>288</v>
      </c>
      <c r="AA815" s="29"/>
      <c r="AB815" s="31">
        <f>SUMIFS('Historico - FAT'!AK:AK,'Historico - FAT'!$K:$K,Faturamento!$L815,'Historico - FAT'!$I:$I,Faturamento!$J815,'Historico - FAT'!$G:$G,Faturamento!$H815)</f>
        <v>0</v>
      </c>
      <c r="AC815" s="31">
        <f>SUMIFS('Historico - FAT'!AL:AL,'Historico - FAT'!$K:$K,Faturamento!$L815,'Historico - FAT'!$I:$I,Faturamento!$J815,'Historico - FAT'!$G:$G,Faturamento!$H815)</f>
        <v>0</v>
      </c>
      <c r="AD815" s="31">
        <f>SUMIFS('Historico - FAT'!AM:AM,'Historico - FAT'!$K:$K,Faturamento!$L815,'Historico - FAT'!$I:$I,Faturamento!$J815,'Historico - FAT'!$G:$G,Faturamento!$H815)</f>
        <v>0</v>
      </c>
      <c r="AE815" s="27">
        <f>SUMIFS('Historico - FAT'!AN:AN,'Historico - FAT'!$K:$K,Faturamento!$L815,'Historico - FAT'!$I:$I,Faturamento!$J815,'Historico - FAT'!$G:$G,Faturamento!$H815)</f>
        <v>0</v>
      </c>
      <c r="AG815" s="24">
        <f t="shared" si="181"/>
        <v>1</v>
      </c>
      <c r="AH815" s="24">
        <f t="shared" si="182"/>
        <v>1</v>
      </c>
      <c r="AI815" s="24">
        <f t="shared" si="183"/>
        <v>1</v>
      </c>
    </row>
    <row r="816" spans="1:35" hidden="1" x14ac:dyDescent="0.3">
      <c r="A816" s="2" t="str">
        <f t="shared" si="180"/>
        <v>NÃO</v>
      </c>
      <c r="B816" s="2">
        <v>1000184670</v>
      </c>
      <c r="C816" s="2" t="s">
        <v>147</v>
      </c>
      <c r="D816" s="4">
        <v>1000186197</v>
      </c>
      <c r="E816" s="4" t="s">
        <v>166</v>
      </c>
      <c r="F816" s="2">
        <v>1000184757</v>
      </c>
      <c r="G816" s="2" t="s">
        <v>62</v>
      </c>
      <c r="H816" s="4">
        <v>1000189787</v>
      </c>
      <c r="I816" s="4" t="s">
        <v>63</v>
      </c>
      <c r="J816" s="2">
        <v>1000189270</v>
      </c>
      <c r="K816" s="2" t="s">
        <v>34</v>
      </c>
      <c r="L816" s="4" t="s">
        <v>23</v>
      </c>
      <c r="M816" s="4" t="str">
        <f t="shared" si="187"/>
        <v>1000184670100018619710001897871000189270SABORES DO CAMPO</v>
      </c>
      <c r="N816" s="28">
        <f>N802*_xlfn.XLOOKUP($L816,'Balizador da Meta'!$B$4:$B$21,'Balizador da Meta'!$C$4:$C$21)</f>
        <v>0</v>
      </c>
      <c r="O816" s="28">
        <f>O802*_xlfn.XLOOKUP($L816,'Balizador da Meta'!$B$4:$B$21,'Balizador da Meta'!$C$4:$C$21)</f>
        <v>0</v>
      </c>
      <c r="P816" s="28">
        <f>P802*_xlfn.XLOOKUP($L816,'Balizador da Meta'!$B$4:$B$21,'Balizador da Meta'!$C$4:$C$21)</f>
        <v>0</v>
      </c>
      <c r="Q816" s="28">
        <f>Q802*_xlfn.XLOOKUP($L816,'Balizador da Meta'!$B$4:$B$21,'Balizador da Meta'!$C$4:$C$21)</f>
        <v>0</v>
      </c>
      <c r="R816" s="28">
        <f>R802*_xlfn.XLOOKUP($L816,'Balizador da Meta'!$B$4:$B$21,'Balizador da Meta'!$C$4:$C$21)</f>
        <v>0</v>
      </c>
      <c r="S816" s="28">
        <f>S802*_xlfn.XLOOKUP($L816,'Balizador da Meta'!$B$4:$B$21,'Balizador da Meta'!$C$4:$C$21)</f>
        <v>0</v>
      </c>
      <c r="T816" s="28">
        <f>T802*_xlfn.XLOOKUP($L816,'Balizador da Meta'!$B$4:$B$21,'Balizador da Meta'!$C$4:$C$21)</f>
        <v>0</v>
      </c>
      <c r="U816" s="28">
        <f>U802*_xlfn.XLOOKUP($L816,'Balizador da Meta'!$B$4:$B$21,'Balizador da Meta'!$C$4:$C$21)</f>
        <v>0</v>
      </c>
      <c r="V816" s="28">
        <f>V802*_xlfn.XLOOKUP($L816,'Balizador da Meta'!$B$4:$B$21,'Balizador da Meta'!$C$4:$C$21)</f>
        <v>0</v>
      </c>
      <c r="W816" s="28">
        <f>W802*_xlfn.XLOOKUP($L816,'Balizador da Meta'!$B$4:$B$21,'Balizador da Meta'!$C$4:$C$21)</f>
        <v>0</v>
      </c>
      <c r="X816" s="28">
        <f>X802*_xlfn.XLOOKUP($L816,'Balizador da Meta'!$B$4:$B$21,'Balizador da Meta'!$C$4:$C$21)</f>
        <v>0</v>
      </c>
      <c r="Y816" s="28">
        <f>Y802*_xlfn.XLOOKUP($L816,'Balizador da Meta'!$B$4:$B$21,'Balizador da Meta'!$C$4:$C$21)</f>
        <v>0</v>
      </c>
      <c r="Z816" s="30">
        <f t="shared" si="193"/>
        <v>0</v>
      </c>
      <c r="AA816" s="29"/>
      <c r="AB816" s="31">
        <f>SUMIFS('Historico - FAT'!AK:AK,'Historico - FAT'!$K:$K,Faturamento!$L816,'Historico - FAT'!$I:$I,Faturamento!$J816,'Historico - FAT'!$G:$G,Faturamento!$H816)</f>
        <v>0</v>
      </c>
      <c r="AC816" s="31">
        <f>SUMIFS('Historico - FAT'!AL:AL,'Historico - FAT'!$K:$K,Faturamento!$L816,'Historico - FAT'!$I:$I,Faturamento!$J816,'Historico - FAT'!$G:$G,Faturamento!$H816)</f>
        <v>0</v>
      </c>
      <c r="AD816" s="31">
        <f>SUMIFS('Historico - FAT'!AM:AM,'Historico - FAT'!$K:$K,Faturamento!$L816,'Historico - FAT'!$I:$I,Faturamento!$J816,'Historico - FAT'!$G:$G,Faturamento!$H816)</f>
        <v>0</v>
      </c>
      <c r="AE816" s="27">
        <f>SUMIFS('Historico - FAT'!AN:AN,'Historico - FAT'!$K:$K,Faturamento!$L816,'Historico - FAT'!$I:$I,Faturamento!$J816,'Historico - FAT'!$G:$G,Faturamento!$H816)</f>
        <v>0</v>
      </c>
      <c r="AG816" s="24" t="str">
        <f t="shared" si="181"/>
        <v/>
      </c>
      <c r="AH816" s="24" t="str">
        <f t="shared" si="182"/>
        <v/>
      </c>
      <c r="AI816" s="24" t="str">
        <f t="shared" si="183"/>
        <v/>
      </c>
    </row>
    <row r="817" spans="1:35" hidden="1" x14ac:dyDescent="0.3">
      <c r="A817" s="2" t="str">
        <f t="shared" si="180"/>
        <v>NÃO</v>
      </c>
      <c r="B817" s="2">
        <v>1000184670</v>
      </c>
      <c r="C817" s="2" t="s">
        <v>147</v>
      </c>
      <c r="D817" s="4">
        <v>1000186197</v>
      </c>
      <c r="E817" s="4" t="s">
        <v>166</v>
      </c>
      <c r="F817" s="2">
        <v>1000184757</v>
      </c>
      <c r="G817" s="2" t="s">
        <v>62</v>
      </c>
      <c r="H817" s="4">
        <v>1000189787</v>
      </c>
      <c r="I817" s="4" t="s">
        <v>63</v>
      </c>
      <c r="J817" s="2">
        <v>1000189270</v>
      </c>
      <c r="K817" s="2" t="s">
        <v>34</v>
      </c>
      <c r="L817" s="4" t="s">
        <v>28</v>
      </c>
      <c r="M817" s="4" t="str">
        <f t="shared" si="187"/>
        <v>1000184670100018619710001897871000189270SAL</v>
      </c>
      <c r="N817" s="28">
        <f>N802*_xlfn.XLOOKUP($L817,'Balizador da Meta'!$B$4:$B$21,'Balizador da Meta'!$C$4:$C$21)</f>
        <v>12</v>
      </c>
      <c r="O817" s="28">
        <f>O802*_xlfn.XLOOKUP($L817,'Balizador da Meta'!$B$4:$B$21,'Balizador da Meta'!$C$4:$C$21)</f>
        <v>12</v>
      </c>
      <c r="P817" s="28">
        <f>P802*_xlfn.XLOOKUP($L817,'Balizador da Meta'!$B$4:$B$21,'Balizador da Meta'!$C$4:$C$21)</f>
        <v>12</v>
      </c>
      <c r="Q817" s="28">
        <f>Q802*_xlfn.XLOOKUP($L817,'Balizador da Meta'!$B$4:$B$21,'Balizador da Meta'!$C$4:$C$21)</f>
        <v>12</v>
      </c>
      <c r="R817" s="28">
        <f>R802*_xlfn.XLOOKUP($L817,'Balizador da Meta'!$B$4:$B$21,'Balizador da Meta'!$C$4:$C$21)</f>
        <v>12</v>
      </c>
      <c r="S817" s="28">
        <f>S802*_xlfn.XLOOKUP($L817,'Balizador da Meta'!$B$4:$B$21,'Balizador da Meta'!$C$4:$C$21)</f>
        <v>12</v>
      </c>
      <c r="T817" s="28">
        <f>T802*_xlfn.XLOOKUP($L817,'Balizador da Meta'!$B$4:$B$21,'Balizador da Meta'!$C$4:$C$21)</f>
        <v>12</v>
      </c>
      <c r="U817" s="28">
        <f>U802*_xlfn.XLOOKUP($L817,'Balizador da Meta'!$B$4:$B$21,'Balizador da Meta'!$C$4:$C$21)</f>
        <v>12</v>
      </c>
      <c r="V817" s="28">
        <f>V802*_xlfn.XLOOKUP($L817,'Balizador da Meta'!$B$4:$B$21,'Balizador da Meta'!$C$4:$C$21)</f>
        <v>12</v>
      </c>
      <c r="W817" s="28">
        <f>W802*_xlfn.XLOOKUP($L817,'Balizador da Meta'!$B$4:$B$21,'Balizador da Meta'!$C$4:$C$21)</f>
        <v>12</v>
      </c>
      <c r="X817" s="28">
        <f>X802*_xlfn.XLOOKUP($L817,'Balizador da Meta'!$B$4:$B$21,'Balizador da Meta'!$C$4:$C$21)</f>
        <v>12</v>
      </c>
      <c r="Y817" s="28">
        <f>Y802*_xlfn.XLOOKUP($L817,'Balizador da Meta'!$B$4:$B$21,'Balizador da Meta'!$C$4:$C$21)</f>
        <v>12</v>
      </c>
      <c r="Z817" s="30">
        <f t="shared" si="193"/>
        <v>144</v>
      </c>
      <c r="AA817" s="29"/>
      <c r="AB817" s="31">
        <f>SUMIFS('Historico - FAT'!AK:AK,'Historico - FAT'!$K:$K,Faturamento!$L817,'Historico - FAT'!$I:$I,Faturamento!$J817,'Historico - FAT'!$G:$G,Faturamento!$H817)</f>
        <v>0</v>
      </c>
      <c r="AC817" s="31">
        <f>SUMIFS('Historico - FAT'!AL:AL,'Historico - FAT'!$K:$K,Faturamento!$L817,'Historico - FAT'!$I:$I,Faturamento!$J817,'Historico - FAT'!$G:$G,Faturamento!$H817)</f>
        <v>0</v>
      </c>
      <c r="AD817" s="31">
        <f>SUMIFS('Historico - FAT'!AM:AM,'Historico - FAT'!$K:$K,Faturamento!$L817,'Historico - FAT'!$I:$I,Faturamento!$J817,'Historico - FAT'!$G:$G,Faturamento!$H817)</f>
        <v>0</v>
      </c>
      <c r="AE817" s="27">
        <f>SUMIFS('Historico - FAT'!AN:AN,'Historico - FAT'!$K:$K,Faturamento!$L817,'Historico - FAT'!$I:$I,Faturamento!$J817,'Historico - FAT'!$G:$G,Faturamento!$H817)</f>
        <v>0</v>
      </c>
      <c r="AG817" s="24">
        <f t="shared" si="181"/>
        <v>1</v>
      </c>
      <c r="AH817" s="24">
        <f t="shared" si="182"/>
        <v>1</v>
      </c>
      <c r="AI817" s="24">
        <f t="shared" si="183"/>
        <v>1</v>
      </c>
    </row>
    <row r="818" spans="1:35" hidden="1" x14ac:dyDescent="0.3">
      <c r="A818" s="2" t="str">
        <f t="shared" ref="A818:A881" si="194">IF(OR(H818&lt;&gt;H817,J818&lt;&gt;J817),"SIM","NÃO")</f>
        <v>NÃO</v>
      </c>
      <c r="B818" s="2">
        <v>1000184670</v>
      </c>
      <c r="C818" s="2" t="s">
        <v>147</v>
      </c>
      <c r="D818" s="4">
        <v>1000186197</v>
      </c>
      <c r="E818" s="4" t="s">
        <v>166</v>
      </c>
      <c r="F818" s="2">
        <v>1000184757</v>
      </c>
      <c r="G818" s="2" t="s">
        <v>62</v>
      </c>
      <c r="H818" s="4">
        <v>1000189787</v>
      </c>
      <c r="I818" s="4" t="s">
        <v>63</v>
      </c>
      <c r="J818" s="2">
        <v>1000189270</v>
      </c>
      <c r="K818" s="2" t="s">
        <v>34</v>
      </c>
      <c r="L818" s="4" t="s">
        <v>26</v>
      </c>
      <c r="M818" s="4" t="str">
        <f t="shared" si="187"/>
        <v>1000184670100018619710001897871000189270SOULPRO</v>
      </c>
      <c r="N818" s="28">
        <f>N802*_xlfn.XLOOKUP($L818,'Balizador da Meta'!$B$4:$B$21,'Balizador da Meta'!$C$4:$C$21)</f>
        <v>36</v>
      </c>
      <c r="O818" s="28">
        <f>O802*_xlfn.XLOOKUP($L818,'Balizador da Meta'!$B$4:$B$21,'Balizador da Meta'!$C$4:$C$21)</f>
        <v>36</v>
      </c>
      <c r="P818" s="28">
        <f>P802*_xlfn.XLOOKUP($L818,'Balizador da Meta'!$B$4:$B$21,'Balizador da Meta'!$C$4:$C$21)</f>
        <v>36</v>
      </c>
      <c r="Q818" s="28">
        <f>Q802*_xlfn.XLOOKUP($L818,'Balizador da Meta'!$B$4:$B$21,'Balizador da Meta'!$C$4:$C$21)</f>
        <v>36</v>
      </c>
      <c r="R818" s="28">
        <f>R802*_xlfn.XLOOKUP($L818,'Balizador da Meta'!$B$4:$B$21,'Balizador da Meta'!$C$4:$C$21)</f>
        <v>36</v>
      </c>
      <c r="S818" s="28">
        <f>S802*_xlfn.XLOOKUP($L818,'Balizador da Meta'!$B$4:$B$21,'Balizador da Meta'!$C$4:$C$21)</f>
        <v>36</v>
      </c>
      <c r="T818" s="28">
        <f>T802*_xlfn.XLOOKUP($L818,'Balizador da Meta'!$B$4:$B$21,'Balizador da Meta'!$C$4:$C$21)</f>
        <v>36</v>
      </c>
      <c r="U818" s="28">
        <f>U802*_xlfn.XLOOKUP($L818,'Balizador da Meta'!$B$4:$B$21,'Balizador da Meta'!$C$4:$C$21)</f>
        <v>36</v>
      </c>
      <c r="V818" s="28">
        <f>V802*_xlfn.XLOOKUP($L818,'Balizador da Meta'!$B$4:$B$21,'Balizador da Meta'!$C$4:$C$21)</f>
        <v>36</v>
      </c>
      <c r="W818" s="28">
        <f>W802*_xlfn.XLOOKUP($L818,'Balizador da Meta'!$B$4:$B$21,'Balizador da Meta'!$C$4:$C$21)</f>
        <v>36</v>
      </c>
      <c r="X818" s="28">
        <f>X802*_xlfn.XLOOKUP($L818,'Balizador da Meta'!$B$4:$B$21,'Balizador da Meta'!$C$4:$C$21)</f>
        <v>36</v>
      </c>
      <c r="Y818" s="28">
        <f>Y802*_xlfn.XLOOKUP($L818,'Balizador da Meta'!$B$4:$B$21,'Balizador da Meta'!$C$4:$C$21)</f>
        <v>36</v>
      </c>
      <c r="Z818" s="30">
        <f t="shared" si="193"/>
        <v>432</v>
      </c>
      <c r="AA818" s="29"/>
      <c r="AB818" s="31">
        <f>SUMIFS('Historico - FAT'!AK:AK,'Historico - FAT'!$K:$K,Faturamento!$L818,'Historico - FAT'!$I:$I,Faturamento!$J818,'Historico - FAT'!$G:$G,Faturamento!$H818)</f>
        <v>0</v>
      </c>
      <c r="AC818" s="31">
        <f>SUMIFS('Historico - FAT'!AL:AL,'Historico - FAT'!$K:$K,Faturamento!$L818,'Historico - FAT'!$I:$I,Faturamento!$J818,'Historico - FAT'!$G:$G,Faturamento!$H818)</f>
        <v>0</v>
      </c>
      <c r="AD818" s="31">
        <f>SUMIFS('Historico - FAT'!AM:AM,'Historico - FAT'!$K:$K,Faturamento!$L818,'Historico - FAT'!$I:$I,Faturamento!$J818,'Historico - FAT'!$G:$G,Faturamento!$H818)</f>
        <v>0</v>
      </c>
      <c r="AE818" s="27">
        <f>SUMIFS('Historico - FAT'!AN:AN,'Historico - FAT'!$K:$K,Faturamento!$L818,'Historico - FAT'!$I:$I,Faturamento!$J818,'Historico - FAT'!$G:$G,Faturamento!$H818)</f>
        <v>0</v>
      </c>
      <c r="AG818" s="24">
        <f t="shared" ref="AG818:AG881" si="195">IFERROR((AVERAGE(W818:Y818)-AB818)/AVERAGE(W818:Y818),"")</f>
        <v>1</v>
      </c>
      <c r="AH818" s="24">
        <f t="shared" ref="AH818:AH881" si="196">IFERROR((AVERAGE(W818:Y818)-AC818)/AVERAGE(W818:Y818),"")</f>
        <v>1</v>
      </c>
      <c r="AI818" s="24">
        <f t="shared" ref="AI818:AI881" si="197">IFERROR((AVERAGE(W818:Y818)-AD818)/AVERAGE(W818:Y818),"")</f>
        <v>1</v>
      </c>
    </row>
    <row r="819" spans="1:35" hidden="1" x14ac:dyDescent="0.3">
      <c r="A819" s="2" t="str">
        <f t="shared" si="194"/>
        <v>NÃO</v>
      </c>
      <c r="B819" s="2">
        <v>1000184670</v>
      </c>
      <c r="C819" s="2" t="s">
        <v>147</v>
      </c>
      <c r="D819" s="4">
        <v>1000186197</v>
      </c>
      <c r="E819" s="4" t="s">
        <v>166</v>
      </c>
      <c r="F819" s="2">
        <v>1000184757</v>
      </c>
      <c r="G819" s="2" t="s">
        <v>62</v>
      </c>
      <c r="H819" s="4">
        <v>1000189787</v>
      </c>
      <c r="I819" s="4" t="s">
        <v>63</v>
      </c>
      <c r="J819" s="2">
        <v>1000189270</v>
      </c>
      <c r="K819" s="2" t="s">
        <v>34</v>
      </c>
      <c r="L819" s="4" t="s">
        <v>27</v>
      </c>
      <c r="M819" s="4" t="str">
        <f t="shared" si="187"/>
        <v>1000184670100018619710001897871000189270TAMARA</v>
      </c>
      <c r="N819" s="28">
        <f>N802*_xlfn.XLOOKUP($L819,'Balizador da Meta'!$B$4:$B$21,'Balizador da Meta'!$C$4:$C$21)</f>
        <v>48</v>
      </c>
      <c r="O819" s="28">
        <f>O802*_xlfn.XLOOKUP($L819,'Balizador da Meta'!$B$4:$B$21,'Balizador da Meta'!$C$4:$C$21)</f>
        <v>48</v>
      </c>
      <c r="P819" s="28">
        <f>P802*_xlfn.XLOOKUP($L819,'Balizador da Meta'!$B$4:$B$21,'Balizador da Meta'!$C$4:$C$21)</f>
        <v>48</v>
      </c>
      <c r="Q819" s="28">
        <f>Q802*_xlfn.XLOOKUP($L819,'Balizador da Meta'!$B$4:$B$21,'Balizador da Meta'!$C$4:$C$21)</f>
        <v>48</v>
      </c>
      <c r="R819" s="28">
        <f>R802*_xlfn.XLOOKUP($L819,'Balizador da Meta'!$B$4:$B$21,'Balizador da Meta'!$C$4:$C$21)</f>
        <v>48</v>
      </c>
      <c r="S819" s="28">
        <f>S802*_xlfn.XLOOKUP($L819,'Balizador da Meta'!$B$4:$B$21,'Balizador da Meta'!$C$4:$C$21)</f>
        <v>48</v>
      </c>
      <c r="T819" s="28">
        <f>T802*_xlfn.XLOOKUP($L819,'Balizador da Meta'!$B$4:$B$21,'Balizador da Meta'!$C$4:$C$21)</f>
        <v>48</v>
      </c>
      <c r="U819" s="28">
        <f>U802*_xlfn.XLOOKUP($L819,'Balizador da Meta'!$B$4:$B$21,'Balizador da Meta'!$C$4:$C$21)</f>
        <v>48</v>
      </c>
      <c r="V819" s="28">
        <f>V802*_xlfn.XLOOKUP($L819,'Balizador da Meta'!$B$4:$B$21,'Balizador da Meta'!$C$4:$C$21)</f>
        <v>48</v>
      </c>
      <c r="W819" s="28">
        <f>W802*_xlfn.XLOOKUP($L819,'Balizador da Meta'!$B$4:$B$21,'Balizador da Meta'!$C$4:$C$21)</f>
        <v>48</v>
      </c>
      <c r="X819" s="28">
        <f>X802*_xlfn.XLOOKUP($L819,'Balizador da Meta'!$B$4:$B$21,'Balizador da Meta'!$C$4:$C$21)</f>
        <v>48</v>
      </c>
      <c r="Y819" s="28">
        <f>Y802*_xlfn.XLOOKUP($L819,'Balizador da Meta'!$B$4:$B$21,'Balizador da Meta'!$C$4:$C$21)</f>
        <v>48</v>
      </c>
      <c r="Z819" s="30">
        <f t="shared" si="193"/>
        <v>576</v>
      </c>
      <c r="AA819" s="29"/>
      <c r="AB819" s="31">
        <f>SUMIFS('Historico - FAT'!AK:AK,'Historico - FAT'!$K:$K,Faturamento!$L819,'Historico - FAT'!$I:$I,Faturamento!$J819,'Historico - FAT'!$G:$G,Faturamento!$H819)</f>
        <v>0</v>
      </c>
      <c r="AC819" s="31">
        <f>SUMIFS('Historico - FAT'!AL:AL,'Historico - FAT'!$K:$K,Faturamento!$L819,'Historico - FAT'!$I:$I,Faturamento!$J819,'Historico - FAT'!$G:$G,Faturamento!$H819)</f>
        <v>0</v>
      </c>
      <c r="AD819" s="31">
        <f>SUMIFS('Historico - FAT'!AM:AM,'Historico - FAT'!$K:$K,Faturamento!$L819,'Historico - FAT'!$I:$I,Faturamento!$J819,'Historico - FAT'!$G:$G,Faturamento!$H819)</f>
        <v>0</v>
      </c>
      <c r="AE819" s="27">
        <f>SUMIFS('Historico - FAT'!AN:AN,'Historico - FAT'!$K:$K,Faturamento!$L819,'Historico - FAT'!$I:$I,Faturamento!$J819,'Historico - FAT'!$G:$G,Faturamento!$H819)</f>
        <v>0</v>
      </c>
      <c r="AG819" s="24">
        <f t="shared" si="195"/>
        <v>1</v>
      </c>
      <c r="AH819" s="24">
        <f t="shared" si="196"/>
        <v>1</v>
      </c>
      <c r="AI819" s="24">
        <f t="shared" si="197"/>
        <v>1</v>
      </c>
    </row>
    <row r="820" spans="1:35" hidden="1" x14ac:dyDescent="0.3">
      <c r="A820" s="2" t="str">
        <f t="shared" si="194"/>
        <v>NÃO</v>
      </c>
      <c r="B820" s="2">
        <v>1000184670</v>
      </c>
      <c r="C820" s="2" t="s">
        <v>147</v>
      </c>
      <c r="D820" s="4">
        <v>1000186197</v>
      </c>
      <c r="E820" s="4" t="s">
        <v>166</v>
      </c>
      <c r="F820" s="2">
        <v>1000184757</v>
      </c>
      <c r="G820" s="2" t="s">
        <v>62</v>
      </c>
      <c r="H820" s="4">
        <v>1000189787</v>
      </c>
      <c r="I820" s="4" t="s">
        <v>63</v>
      </c>
      <c r="J820" s="2">
        <v>1000189270</v>
      </c>
      <c r="K820" s="2" t="s">
        <v>34</v>
      </c>
      <c r="L820" s="4" t="s">
        <v>25</v>
      </c>
      <c r="M820" s="4" t="str">
        <f t="shared" si="187"/>
        <v>1000184670100018619710001897871000189270VICCIO</v>
      </c>
      <c r="N820" s="28">
        <f>N802*_xlfn.XLOOKUP($L820,'Balizador da Meta'!$B$4:$B$21,'Balizador da Meta'!$C$4:$C$21)</f>
        <v>18</v>
      </c>
      <c r="O820" s="28">
        <f>O802*_xlfn.XLOOKUP($L820,'Balizador da Meta'!$B$4:$B$21,'Balizador da Meta'!$C$4:$C$21)</f>
        <v>18</v>
      </c>
      <c r="P820" s="28">
        <f>P802*_xlfn.XLOOKUP($L820,'Balizador da Meta'!$B$4:$B$21,'Balizador da Meta'!$C$4:$C$21)</f>
        <v>18</v>
      </c>
      <c r="Q820" s="28">
        <f>Q802*_xlfn.XLOOKUP($L820,'Balizador da Meta'!$B$4:$B$21,'Balizador da Meta'!$C$4:$C$21)</f>
        <v>18</v>
      </c>
      <c r="R820" s="28">
        <f>R802*_xlfn.XLOOKUP($L820,'Balizador da Meta'!$B$4:$B$21,'Balizador da Meta'!$C$4:$C$21)</f>
        <v>18</v>
      </c>
      <c r="S820" s="28">
        <f>S802*_xlfn.XLOOKUP($L820,'Balizador da Meta'!$B$4:$B$21,'Balizador da Meta'!$C$4:$C$21)</f>
        <v>18</v>
      </c>
      <c r="T820" s="28">
        <f>T802*_xlfn.XLOOKUP($L820,'Balizador da Meta'!$B$4:$B$21,'Balizador da Meta'!$C$4:$C$21)</f>
        <v>18</v>
      </c>
      <c r="U820" s="28">
        <f>U802*_xlfn.XLOOKUP($L820,'Balizador da Meta'!$B$4:$B$21,'Balizador da Meta'!$C$4:$C$21)</f>
        <v>18</v>
      </c>
      <c r="V820" s="28">
        <f>V802*_xlfn.XLOOKUP($L820,'Balizador da Meta'!$B$4:$B$21,'Balizador da Meta'!$C$4:$C$21)</f>
        <v>18</v>
      </c>
      <c r="W820" s="28">
        <f>W802*_xlfn.XLOOKUP($L820,'Balizador da Meta'!$B$4:$B$21,'Balizador da Meta'!$C$4:$C$21)</f>
        <v>18</v>
      </c>
      <c r="X820" s="28">
        <f>X802*_xlfn.XLOOKUP($L820,'Balizador da Meta'!$B$4:$B$21,'Balizador da Meta'!$C$4:$C$21)</f>
        <v>18</v>
      </c>
      <c r="Y820" s="28">
        <f>Y802*_xlfn.XLOOKUP($L820,'Balizador da Meta'!$B$4:$B$21,'Balizador da Meta'!$C$4:$C$21)</f>
        <v>18</v>
      </c>
      <c r="Z820" s="30">
        <f t="shared" si="193"/>
        <v>216</v>
      </c>
      <c r="AA820" s="29"/>
      <c r="AB820" s="31">
        <f>SUMIFS('Historico - FAT'!AK:AK,'Historico - FAT'!$K:$K,Faturamento!$L820,'Historico - FAT'!$I:$I,Faturamento!$J820,'Historico - FAT'!$G:$G,Faturamento!$H820)</f>
        <v>0</v>
      </c>
      <c r="AC820" s="31">
        <f>SUMIFS('Historico - FAT'!AL:AL,'Historico - FAT'!$K:$K,Faturamento!$L820,'Historico - FAT'!$I:$I,Faturamento!$J820,'Historico - FAT'!$G:$G,Faturamento!$H820)</f>
        <v>0</v>
      </c>
      <c r="AD820" s="31">
        <f>SUMIFS('Historico - FAT'!AM:AM,'Historico - FAT'!$K:$K,Faturamento!$L820,'Historico - FAT'!$I:$I,Faturamento!$J820,'Historico - FAT'!$G:$G,Faturamento!$H820)</f>
        <v>0</v>
      </c>
      <c r="AE820" s="27">
        <f>SUMIFS('Historico - FAT'!AN:AN,'Historico - FAT'!$K:$K,Faturamento!$L820,'Historico - FAT'!$I:$I,Faturamento!$J820,'Historico - FAT'!$G:$G,Faturamento!$H820)</f>
        <v>0</v>
      </c>
      <c r="AG820" s="24">
        <f t="shared" si="195"/>
        <v>1</v>
      </c>
      <c r="AH820" s="24">
        <f t="shared" si="196"/>
        <v>1</v>
      </c>
      <c r="AI820" s="24">
        <f t="shared" si="197"/>
        <v>1</v>
      </c>
    </row>
    <row r="821" spans="1:35" x14ac:dyDescent="0.3">
      <c r="A821" s="2" t="str">
        <f t="shared" si="194"/>
        <v>SIM</v>
      </c>
      <c r="B821" s="2">
        <v>1000184670</v>
      </c>
      <c r="C821" s="2" t="s">
        <v>147</v>
      </c>
      <c r="D821" s="4">
        <v>1000186197</v>
      </c>
      <c r="E821" s="4" t="s">
        <v>166</v>
      </c>
      <c r="F821" s="2">
        <v>1000184757</v>
      </c>
      <c r="G821" s="2" t="s">
        <v>62</v>
      </c>
      <c r="H821" s="4">
        <v>1000189788</v>
      </c>
      <c r="I821" s="4" t="s">
        <v>102</v>
      </c>
      <c r="J821" s="2">
        <v>1000189270</v>
      </c>
      <c r="K821" s="2" t="s">
        <v>34</v>
      </c>
      <c r="L821" s="4" t="s">
        <v>124</v>
      </c>
      <c r="M821" s="4" t="str">
        <f t="shared" si="187"/>
        <v>100018467010001861971000189788100018927001. TOTAL</v>
      </c>
      <c r="N821" s="28">
        <f>SUMIFS(Positivação!L:L,Positivação!$I:$I,Faturamento!$J821,Positivação!$G:$G,Faturamento!$H821)*SUMIFS(Positivação!$Z:$Z,Positivação!$I:$I,Faturamento!$J821,Positivação!$G:$G,Faturamento!$H821)</f>
        <v>600</v>
      </c>
      <c r="O821" s="28">
        <f>SUMIFS(Positivação!M:M,Positivação!$I:$I,Faturamento!$J821,Positivação!$G:$G,Faturamento!$H821)*SUMIFS(Positivação!$Z:$Z,Positivação!$I:$I,Faturamento!$J821,Positivação!$G:$G,Faturamento!$H821)</f>
        <v>600</v>
      </c>
      <c r="P821" s="28">
        <f>SUMIFS(Positivação!N:N,Positivação!$I:$I,Faturamento!$J821,Positivação!$G:$G,Faturamento!$H821)*SUMIFS(Positivação!$Z:$Z,Positivação!$I:$I,Faturamento!$J821,Positivação!$G:$G,Faturamento!$H821)</f>
        <v>600</v>
      </c>
      <c r="Q821" s="28">
        <f>SUMIFS(Positivação!O:O,Positivação!$I:$I,Faturamento!$J821,Positivação!$G:$G,Faturamento!$H821)*SUMIFS(Positivação!$Z:$Z,Positivação!$I:$I,Faturamento!$J821,Positivação!$G:$G,Faturamento!$H821)</f>
        <v>600</v>
      </c>
      <c r="R821" s="28">
        <f>SUMIFS(Positivação!P:P,Positivação!$I:$I,Faturamento!$J821,Positivação!$G:$G,Faturamento!$H821)*SUMIFS(Positivação!$Z:$Z,Positivação!$I:$I,Faturamento!$J821,Positivação!$G:$G,Faturamento!$H821)</f>
        <v>600</v>
      </c>
      <c r="S821" s="28">
        <f>SUMIFS(Positivação!Q:Q,Positivação!$I:$I,Faturamento!$J821,Positivação!$G:$G,Faturamento!$H821)*SUMIFS(Positivação!$Z:$Z,Positivação!$I:$I,Faturamento!$J821,Positivação!$G:$G,Faturamento!$H821)</f>
        <v>600</v>
      </c>
      <c r="T821" s="28">
        <f>SUMIFS(Positivação!R:R,Positivação!$I:$I,Faturamento!$J821,Positivação!$G:$G,Faturamento!$H821)*SUMIFS(Positivação!$Z:$Z,Positivação!$I:$I,Faturamento!$J821,Positivação!$G:$G,Faturamento!$H821)</f>
        <v>600</v>
      </c>
      <c r="U821" s="28">
        <f>SUMIFS(Positivação!S:S,Positivação!$I:$I,Faturamento!$J821,Positivação!$G:$G,Faturamento!$H821)*SUMIFS(Positivação!$Z:$Z,Positivação!$I:$I,Faturamento!$J821,Positivação!$G:$G,Faturamento!$H821)</f>
        <v>600</v>
      </c>
      <c r="V821" s="28">
        <f>SUMIFS(Positivação!T:T,Positivação!$I:$I,Faturamento!$J821,Positivação!$G:$G,Faturamento!$H821)*SUMIFS(Positivação!$Z:$Z,Positivação!$I:$I,Faturamento!$J821,Positivação!$G:$G,Faturamento!$H821)</f>
        <v>600</v>
      </c>
      <c r="W821" s="28">
        <f>SUMIFS(Positivação!U:U,Positivação!$I:$I,Faturamento!$J821,Positivação!$G:$G,Faturamento!$H821)*SUMIFS(Positivação!$Z:$Z,Positivação!$I:$I,Faturamento!$J821,Positivação!$G:$G,Faturamento!$H821)</f>
        <v>600</v>
      </c>
      <c r="X821" s="28">
        <f>SUMIFS(Positivação!V:V,Positivação!$I:$I,Faturamento!$J821,Positivação!$G:$G,Faturamento!$H821)*SUMIFS(Positivação!$Z:$Z,Positivação!$I:$I,Faturamento!$J821,Positivação!$G:$G,Faturamento!$H821)</f>
        <v>600</v>
      </c>
      <c r="Y821" s="28">
        <f>SUMIFS(Positivação!W:W,Positivação!$I:$I,Faturamento!$J821,Positivação!$G:$G,Faturamento!$H821)*SUMIFS(Positivação!$Z:$Z,Positivação!$I:$I,Faturamento!$J821,Positivação!$G:$G,Faturamento!$H821)</f>
        <v>600</v>
      </c>
      <c r="Z821" s="28">
        <f t="shared" ref="Z821" si="198">SUM(Z822:Z839)</f>
        <v>7200</v>
      </c>
      <c r="AA821" s="29"/>
      <c r="AB821" s="28">
        <f t="shared" ref="AB821:AE821" si="199">SUM(AB822:AB839)</f>
        <v>0</v>
      </c>
      <c r="AC821" s="28">
        <f t="shared" si="199"/>
        <v>54.751666666666665</v>
      </c>
      <c r="AD821" s="28">
        <f t="shared" si="199"/>
        <v>109.50333333333333</v>
      </c>
      <c r="AE821" s="28">
        <f t="shared" si="199"/>
        <v>65.701999999999998</v>
      </c>
      <c r="AG821" s="24">
        <f t="shared" si="195"/>
        <v>1</v>
      </c>
      <c r="AH821" s="24">
        <f t="shared" si="196"/>
        <v>0.90874722222222226</v>
      </c>
      <c r="AI821" s="24">
        <f t="shared" si="197"/>
        <v>0.81749444444444441</v>
      </c>
    </row>
    <row r="822" spans="1:35" hidden="1" x14ac:dyDescent="0.3">
      <c r="A822" s="2" t="str">
        <f t="shared" si="194"/>
        <v>NÃO</v>
      </c>
      <c r="B822" s="2">
        <v>1000184670</v>
      </c>
      <c r="C822" s="2" t="s">
        <v>147</v>
      </c>
      <c r="D822" s="4">
        <v>1000186197</v>
      </c>
      <c r="E822" s="4" t="s">
        <v>166</v>
      </c>
      <c r="F822" s="2">
        <v>1000184757</v>
      </c>
      <c r="G822" s="2" t="s">
        <v>62</v>
      </c>
      <c r="H822" s="4">
        <v>1000189788</v>
      </c>
      <c r="I822" s="4" t="s">
        <v>102</v>
      </c>
      <c r="J822" s="2">
        <v>1000189270</v>
      </c>
      <c r="K822" s="2" t="s">
        <v>34</v>
      </c>
      <c r="L822" s="4" t="s">
        <v>13</v>
      </c>
      <c r="M822" s="4" t="str">
        <f t="shared" si="187"/>
        <v>1000184670100018619710001897881000189270BISCOITO</v>
      </c>
      <c r="N822" s="28">
        <f>N821*_xlfn.XLOOKUP($L822,'Balizador da Meta'!$B$4:$B$21,'Balizador da Meta'!$C$4:$C$21)</f>
        <v>42.000000000000007</v>
      </c>
      <c r="O822" s="28">
        <f>O821*_xlfn.XLOOKUP($L822,'Balizador da Meta'!$B$4:$B$21,'Balizador da Meta'!$C$4:$C$21)</f>
        <v>42.000000000000007</v>
      </c>
      <c r="P822" s="28">
        <f>P821*_xlfn.XLOOKUP($L822,'Balizador da Meta'!$B$4:$B$21,'Balizador da Meta'!$C$4:$C$21)</f>
        <v>42.000000000000007</v>
      </c>
      <c r="Q822" s="28">
        <f>Q821*_xlfn.XLOOKUP($L822,'Balizador da Meta'!$B$4:$B$21,'Balizador da Meta'!$C$4:$C$21)</f>
        <v>42.000000000000007</v>
      </c>
      <c r="R822" s="28">
        <f>R821*_xlfn.XLOOKUP($L822,'Balizador da Meta'!$B$4:$B$21,'Balizador da Meta'!$C$4:$C$21)</f>
        <v>42.000000000000007</v>
      </c>
      <c r="S822" s="28">
        <f>S821*_xlfn.XLOOKUP($L822,'Balizador da Meta'!$B$4:$B$21,'Balizador da Meta'!$C$4:$C$21)</f>
        <v>42.000000000000007</v>
      </c>
      <c r="T822" s="28">
        <f>T821*_xlfn.XLOOKUP($L822,'Balizador da Meta'!$B$4:$B$21,'Balizador da Meta'!$C$4:$C$21)</f>
        <v>42.000000000000007</v>
      </c>
      <c r="U822" s="28">
        <f>U821*_xlfn.XLOOKUP($L822,'Balizador da Meta'!$B$4:$B$21,'Balizador da Meta'!$C$4:$C$21)</f>
        <v>42.000000000000007</v>
      </c>
      <c r="V822" s="28">
        <f>V821*_xlfn.XLOOKUP($L822,'Balizador da Meta'!$B$4:$B$21,'Balizador da Meta'!$C$4:$C$21)</f>
        <v>42.000000000000007</v>
      </c>
      <c r="W822" s="28">
        <f>W821*_xlfn.XLOOKUP($L822,'Balizador da Meta'!$B$4:$B$21,'Balizador da Meta'!$C$4:$C$21)</f>
        <v>42.000000000000007</v>
      </c>
      <c r="X822" s="28">
        <f>X821*_xlfn.XLOOKUP($L822,'Balizador da Meta'!$B$4:$B$21,'Balizador da Meta'!$C$4:$C$21)</f>
        <v>42.000000000000007</v>
      </c>
      <c r="Y822" s="28">
        <f>Y821*_xlfn.XLOOKUP($L822,'Balizador da Meta'!$B$4:$B$21,'Balizador da Meta'!$C$4:$C$21)</f>
        <v>42.000000000000007</v>
      </c>
      <c r="Z822" s="30">
        <f t="shared" ref="Z822:Z839" si="200">SUM(N822:Y822)</f>
        <v>504.00000000000006</v>
      </c>
      <c r="AA822" s="29"/>
      <c r="AB822" s="31">
        <f>SUMIFS('Historico - FAT'!AK:AK,'Historico - FAT'!$K:$K,Faturamento!$L822,'Historico - FAT'!$I:$I,Faturamento!$J822,'Historico - FAT'!$G:$G,Faturamento!$H822)</f>
        <v>0</v>
      </c>
      <c r="AC822" s="31">
        <f>SUMIFS('Historico - FAT'!AL:AL,'Historico - FAT'!$K:$K,Faturamento!$L822,'Historico - FAT'!$I:$I,Faturamento!$J822,'Historico - FAT'!$G:$G,Faturamento!$H822)</f>
        <v>11.028333333333334</v>
      </c>
      <c r="AD822" s="31">
        <f>SUMIFS('Historico - FAT'!AM:AM,'Historico - FAT'!$K:$K,Faturamento!$L822,'Historico - FAT'!$I:$I,Faturamento!$J822,'Historico - FAT'!$G:$G,Faturamento!$H822)</f>
        <v>22.056666666666668</v>
      </c>
      <c r="AE822" s="27">
        <f>SUMIFS('Historico - FAT'!AN:AN,'Historico - FAT'!$K:$K,Faturamento!$L822,'Historico - FAT'!$I:$I,Faturamento!$J822,'Historico - FAT'!$G:$G,Faturamento!$H822)</f>
        <v>13.234</v>
      </c>
      <c r="AG822" s="24">
        <f t="shared" si="195"/>
        <v>1</v>
      </c>
      <c r="AH822" s="24">
        <f t="shared" si="196"/>
        <v>0.73742063492063492</v>
      </c>
      <c r="AI822" s="24">
        <f t="shared" si="197"/>
        <v>0.4748412698412699</v>
      </c>
    </row>
    <row r="823" spans="1:35" hidden="1" x14ac:dyDescent="0.3">
      <c r="A823" s="2" t="str">
        <f t="shared" si="194"/>
        <v>NÃO</v>
      </c>
      <c r="B823" s="2">
        <v>1000184670</v>
      </c>
      <c r="C823" s="2" t="s">
        <v>147</v>
      </c>
      <c r="D823" s="4">
        <v>1000186197</v>
      </c>
      <c r="E823" s="4" t="s">
        <v>166</v>
      </c>
      <c r="F823" s="2">
        <v>1000184757</v>
      </c>
      <c r="G823" s="2" t="s">
        <v>62</v>
      </c>
      <c r="H823" s="4">
        <v>1000189788</v>
      </c>
      <c r="I823" s="4" t="s">
        <v>102</v>
      </c>
      <c r="J823" s="2">
        <v>1000189270</v>
      </c>
      <c r="K823" s="2" t="s">
        <v>34</v>
      </c>
      <c r="L823" s="4" t="s">
        <v>14</v>
      </c>
      <c r="M823" s="4" t="str">
        <f t="shared" si="187"/>
        <v>1000184670100018619710001897881000189270CHOCOLATES</v>
      </c>
      <c r="N823" s="28">
        <f>N821*_xlfn.XLOOKUP($L823,'Balizador da Meta'!$B$4:$B$21,'Balizador da Meta'!$C$4:$C$21)</f>
        <v>42.000000000000007</v>
      </c>
      <c r="O823" s="28">
        <f>O821*_xlfn.XLOOKUP($L823,'Balizador da Meta'!$B$4:$B$21,'Balizador da Meta'!$C$4:$C$21)</f>
        <v>42.000000000000007</v>
      </c>
      <c r="P823" s="28">
        <f>P821*_xlfn.XLOOKUP($L823,'Balizador da Meta'!$B$4:$B$21,'Balizador da Meta'!$C$4:$C$21)</f>
        <v>42.000000000000007</v>
      </c>
      <c r="Q823" s="28">
        <f>Q821*_xlfn.XLOOKUP($L823,'Balizador da Meta'!$B$4:$B$21,'Balizador da Meta'!$C$4:$C$21)</f>
        <v>42.000000000000007</v>
      </c>
      <c r="R823" s="28">
        <f>R821*_xlfn.XLOOKUP($L823,'Balizador da Meta'!$B$4:$B$21,'Balizador da Meta'!$C$4:$C$21)</f>
        <v>42.000000000000007</v>
      </c>
      <c r="S823" s="28">
        <f>S821*_xlfn.XLOOKUP($L823,'Balizador da Meta'!$B$4:$B$21,'Balizador da Meta'!$C$4:$C$21)</f>
        <v>42.000000000000007</v>
      </c>
      <c r="T823" s="28">
        <f>T821*_xlfn.XLOOKUP($L823,'Balizador da Meta'!$B$4:$B$21,'Balizador da Meta'!$C$4:$C$21)</f>
        <v>42.000000000000007</v>
      </c>
      <c r="U823" s="28">
        <f>U821*_xlfn.XLOOKUP($L823,'Balizador da Meta'!$B$4:$B$21,'Balizador da Meta'!$C$4:$C$21)</f>
        <v>42.000000000000007</v>
      </c>
      <c r="V823" s="28">
        <f>V821*_xlfn.XLOOKUP($L823,'Balizador da Meta'!$B$4:$B$21,'Balizador da Meta'!$C$4:$C$21)</f>
        <v>42.000000000000007</v>
      </c>
      <c r="W823" s="28">
        <f>W821*_xlfn.XLOOKUP($L823,'Balizador da Meta'!$B$4:$B$21,'Balizador da Meta'!$C$4:$C$21)</f>
        <v>42.000000000000007</v>
      </c>
      <c r="X823" s="28">
        <f>X821*_xlfn.XLOOKUP($L823,'Balizador da Meta'!$B$4:$B$21,'Balizador da Meta'!$C$4:$C$21)</f>
        <v>42.000000000000007</v>
      </c>
      <c r="Y823" s="28">
        <f>Y821*_xlfn.XLOOKUP($L823,'Balizador da Meta'!$B$4:$B$21,'Balizador da Meta'!$C$4:$C$21)</f>
        <v>42.000000000000007</v>
      </c>
      <c r="Z823" s="30">
        <f t="shared" si="200"/>
        <v>504.00000000000006</v>
      </c>
      <c r="AA823" s="29"/>
      <c r="AB823" s="31">
        <f>SUMIFS('Historico - FAT'!AK:AK,'Historico - FAT'!$K:$K,Faturamento!$L823,'Historico - FAT'!$I:$I,Faturamento!$J823,'Historico - FAT'!$G:$G,Faturamento!$H823)</f>
        <v>0</v>
      </c>
      <c r="AC823" s="31">
        <f>SUMIFS('Historico - FAT'!AL:AL,'Historico - FAT'!$K:$K,Faturamento!$L823,'Historico - FAT'!$I:$I,Faturamento!$J823,'Historico - FAT'!$G:$G,Faturamento!$H823)</f>
        <v>9.4</v>
      </c>
      <c r="AD823" s="31">
        <f>SUMIFS('Historico - FAT'!AM:AM,'Historico - FAT'!$K:$K,Faturamento!$L823,'Historico - FAT'!$I:$I,Faturamento!$J823,'Historico - FAT'!$G:$G,Faturamento!$H823)</f>
        <v>18.8</v>
      </c>
      <c r="AE823" s="27">
        <f>SUMIFS('Historico - FAT'!AN:AN,'Historico - FAT'!$K:$K,Faturamento!$L823,'Historico - FAT'!$I:$I,Faturamento!$J823,'Historico - FAT'!$G:$G,Faturamento!$H823)</f>
        <v>11.28</v>
      </c>
      <c r="AG823" s="24">
        <f t="shared" si="195"/>
        <v>1</v>
      </c>
      <c r="AH823" s="24">
        <f t="shared" si="196"/>
        <v>0.77619047619047621</v>
      </c>
      <c r="AI823" s="24">
        <f t="shared" si="197"/>
        <v>0.55238095238095242</v>
      </c>
    </row>
    <row r="824" spans="1:35" hidden="1" x14ac:dyDescent="0.3">
      <c r="A824" s="2" t="str">
        <f t="shared" si="194"/>
        <v>NÃO</v>
      </c>
      <c r="B824" s="2">
        <v>1000184670</v>
      </c>
      <c r="C824" s="2" t="s">
        <v>147</v>
      </c>
      <c r="D824" s="4">
        <v>1000186197</v>
      </c>
      <c r="E824" s="4" t="s">
        <v>166</v>
      </c>
      <c r="F824" s="2">
        <v>1000184757</v>
      </c>
      <c r="G824" s="2" t="s">
        <v>62</v>
      </c>
      <c r="H824" s="4">
        <v>1000189788</v>
      </c>
      <c r="I824" s="4" t="s">
        <v>102</v>
      </c>
      <c r="J824" s="2">
        <v>1000189270</v>
      </c>
      <c r="K824" s="2" t="s">
        <v>34</v>
      </c>
      <c r="L824" s="4" t="s">
        <v>16</v>
      </c>
      <c r="M824" s="4" t="str">
        <f t="shared" si="187"/>
        <v>1000184670100018619710001897881000189270DISNEY</v>
      </c>
      <c r="N824" s="28">
        <f>N821*_xlfn.XLOOKUP($L824,'Balizador da Meta'!$B$4:$B$21,'Balizador da Meta'!$C$4:$C$21)</f>
        <v>48</v>
      </c>
      <c r="O824" s="28">
        <f>O821*_xlfn.XLOOKUP($L824,'Balizador da Meta'!$B$4:$B$21,'Balizador da Meta'!$C$4:$C$21)</f>
        <v>48</v>
      </c>
      <c r="P824" s="28">
        <f>P821*_xlfn.XLOOKUP($L824,'Balizador da Meta'!$B$4:$B$21,'Balizador da Meta'!$C$4:$C$21)</f>
        <v>48</v>
      </c>
      <c r="Q824" s="28">
        <f>Q821*_xlfn.XLOOKUP($L824,'Balizador da Meta'!$B$4:$B$21,'Balizador da Meta'!$C$4:$C$21)</f>
        <v>48</v>
      </c>
      <c r="R824" s="28">
        <f>R821*_xlfn.XLOOKUP($L824,'Balizador da Meta'!$B$4:$B$21,'Balizador da Meta'!$C$4:$C$21)</f>
        <v>48</v>
      </c>
      <c r="S824" s="28">
        <f>S821*_xlfn.XLOOKUP($L824,'Balizador da Meta'!$B$4:$B$21,'Balizador da Meta'!$C$4:$C$21)</f>
        <v>48</v>
      </c>
      <c r="T824" s="28">
        <f>T821*_xlfn.XLOOKUP($L824,'Balizador da Meta'!$B$4:$B$21,'Balizador da Meta'!$C$4:$C$21)</f>
        <v>48</v>
      </c>
      <c r="U824" s="28">
        <f>U821*_xlfn.XLOOKUP($L824,'Balizador da Meta'!$B$4:$B$21,'Balizador da Meta'!$C$4:$C$21)</f>
        <v>48</v>
      </c>
      <c r="V824" s="28">
        <f>V821*_xlfn.XLOOKUP($L824,'Balizador da Meta'!$B$4:$B$21,'Balizador da Meta'!$C$4:$C$21)</f>
        <v>48</v>
      </c>
      <c r="W824" s="28">
        <f>W821*_xlfn.XLOOKUP($L824,'Balizador da Meta'!$B$4:$B$21,'Balizador da Meta'!$C$4:$C$21)</f>
        <v>48</v>
      </c>
      <c r="X824" s="28">
        <f>X821*_xlfn.XLOOKUP($L824,'Balizador da Meta'!$B$4:$B$21,'Balizador da Meta'!$C$4:$C$21)</f>
        <v>48</v>
      </c>
      <c r="Y824" s="28">
        <f>Y821*_xlfn.XLOOKUP($L824,'Balizador da Meta'!$B$4:$B$21,'Balizador da Meta'!$C$4:$C$21)</f>
        <v>48</v>
      </c>
      <c r="Z824" s="30">
        <f t="shared" si="200"/>
        <v>576</v>
      </c>
      <c r="AA824" s="29"/>
      <c r="AB824" s="31">
        <f>SUMIFS('Historico - FAT'!AK:AK,'Historico - FAT'!$K:$K,Faturamento!$L824,'Historico - FAT'!$I:$I,Faturamento!$J824,'Historico - FAT'!$G:$G,Faturamento!$H824)</f>
        <v>0</v>
      </c>
      <c r="AC824" s="31">
        <f>SUMIFS('Historico - FAT'!AL:AL,'Historico - FAT'!$K:$K,Faturamento!$L824,'Historico - FAT'!$I:$I,Faturamento!$J824,'Historico - FAT'!$G:$G,Faturamento!$H824)</f>
        <v>7.2250000000000005</v>
      </c>
      <c r="AD824" s="31">
        <f>SUMIFS('Historico - FAT'!AM:AM,'Historico - FAT'!$K:$K,Faturamento!$L824,'Historico - FAT'!$I:$I,Faturamento!$J824,'Historico - FAT'!$G:$G,Faturamento!$H824)</f>
        <v>14.450000000000001</v>
      </c>
      <c r="AE824" s="27">
        <f>SUMIFS('Historico - FAT'!AN:AN,'Historico - FAT'!$K:$K,Faturamento!$L824,'Historico - FAT'!$I:$I,Faturamento!$J824,'Historico - FAT'!$G:$G,Faturamento!$H824)</f>
        <v>8.67</v>
      </c>
      <c r="AG824" s="24">
        <f t="shared" si="195"/>
        <v>1</v>
      </c>
      <c r="AH824" s="24">
        <f t="shared" si="196"/>
        <v>0.84947916666666667</v>
      </c>
      <c r="AI824" s="24">
        <f t="shared" si="197"/>
        <v>0.69895833333333324</v>
      </c>
    </row>
    <row r="825" spans="1:35" hidden="1" x14ac:dyDescent="0.3">
      <c r="A825" s="2" t="str">
        <f t="shared" si="194"/>
        <v>NÃO</v>
      </c>
      <c r="B825" s="2">
        <v>1000184670</v>
      </c>
      <c r="C825" s="2" t="s">
        <v>147</v>
      </c>
      <c r="D825" s="4">
        <v>1000186197</v>
      </c>
      <c r="E825" s="4" t="s">
        <v>166</v>
      </c>
      <c r="F825" s="2">
        <v>1000184757</v>
      </c>
      <c r="G825" s="2" t="s">
        <v>62</v>
      </c>
      <c r="H825" s="4">
        <v>1000189788</v>
      </c>
      <c r="I825" s="4" t="s">
        <v>102</v>
      </c>
      <c r="J825" s="2">
        <v>1000189270</v>
      </c>
      <c r="K825" s="2" t="s">
        <v>34</v>
      </c>
      <c r="L825" s="4" t="s">
        <v>15</v>
      </c>
      <c r="M825" s="4" t="str">
        <f t="shared" si="187"/>
        <v>1000184670100018619710001897881000189270DOCES</v>
      </c>
      <c r="N825" s="28">
        <f>N821*_xlfn.XLOOKUP($L825,'Balizador da Meta'!$B$4:$B$21,'Balizador da Meta'!$C$4:$C$21)</f>
        <v>54</v>
      </c>
      <c r="O825" s="28">
        <f>O821*_xlfn.XLOOKUP($L825,'Balizador da Meta'!$B$4:$B$21,'Balizador da Meta'!$C$4:$C$21)</f>
        <v>54</v>
      </c>
      <c r="P825" s="28">
        <f>P821*_xlfn.XLOOKUP($L825,'Balizador da Meta'!$B$4:$B$21,'Balizador da Meta'!$C$4:$C$21)</f>
        <v>54</v>
      </c>
      <c r="Q825" s="28">
        <f>Q821*_xlfn.XLOOKUP($L825,'Balizador da Meta'!$B$4:$B$21,'Balizador da Meta'!$C$4:$C$21)</f>
        <v>54</v>
      </c>
      <c r="R825" s="28">
        <f>R821*_xlfn.XLOOKUP($L825,'Balizador da Meta'!$B$4:$B$21,'Balizador da Meta'!$C$4:$C$21)</f>
        <v>54</v>
      </c>
      <c r="S825" s="28">
        <f>S821*_xlfn.XLOOKUP($L825,'Balizador da Meta'!$B$4:$B$21,'Balizador da Meta'!$C$4:$C$21)</f>
        <v>54</v>
      </c>
      <c r="T825" s="28">
        <f>T821*_xlfn.XLOOKUP($L825,'Balizador da Meta'!$B$4:$B$21,'Balizador da Meta'!$C$4:$C$21)</f>
        <v>54</v>
      </c>
      <c r="U825" s="28">
        <f>U821*_xlfn.XLOOKUP($L825,'Balizador da Meta'!$B$4:$B$21,'Balizador da Meta'!$C$4:$C$21)</f>
        <v>54</v>
      </c>
      <c r="V825" s="28">
        <f>V821*_xlfn.XLOOKUP($L825,'Balizador da Meta'!$B$4:$B$21,'Balizador da Meta'!$C$4:$C$21)</f>
        <v>54</v>
      </c>
      <c r="W825" s="28">
        <f>W821*_xlfn.XLOOKUP($L825,'Balizador da Meta'!$B$4:$B$21,'Balizador da Meta'!$C$4:$C$21)</f>
        <v>54</v>
      </c>
      <c r="X825" s="28">
        <f>X821*_xlfn.XLOOKUP($L825,'Balizador da Meta'!$B$4:$B$21,'Balizador da Meta'!$C$4:$C$21)</f>
        <v>54</v>
      </c>
      <c r="Y825" s="28">
        <f>Y821*_xlfn.XLOOKUP($L825,'Balizador da Meta'!$B$4:$B$21,'Balizador da Meta'!$C$4:$C$21)</f>
        <v>54</v>
      </c>
      <c r="Z825" s="30">
        <f t="shared" si="200"/>
        <v>648</v>
      </c>
      <c r="AA825" s="29"/>
      <c r="AB825" s="31">
        <f>SUMIFS('Historico - FAT'!AK:AK,'Historico - FAT'!$K:$K,Faturamento!$L825,'Historico - FAT'!$I:$I,Faturamento!$J825,'Historico - FAT'!$G:$G,Faturamento!$H825)</f>
        <v>0</v>
      </c>
      <c r="AC825" s="31">
        <f>SUMIFS('Historico - FAT'!AL:AL,'Historico - FAT'!$K:$K,Faturamento!$L825,'Historico - FAT'!$I:$I,Faturamento!$J825,'Historico - FAT'!$G:$G,Faturamento!$H825)</f>
        <v>0</v>
      </c>
      <c r="AD825" s="31">
        <f>SUMIFS('Historico - FAT'!AM:AM,'Historico - FAT'!$K:$K,Faturamento!$L825,'Historico - FAT'!$I:$I,Faturamento!$J825,'Historico - FAT'!$G:$G,Faturamento!$H825)</f>
        <v>0</v>
      </c>
      <c r="AE825" s="27">
        <f>SUMIFS('Historico - FAT'!AN:AN,'Historico - FAT'!$K:$K,Faturamento!$L825,'Historico - FAT'!$I:$I,Faturamento!$J825,'Historico - FAT'!$G:$G,Faturamento!$H825)</f>
        <v>0</v>
      </c>
      <c r="AG825" s="24">
        <f t="shared" si="195"/>
        <v>1</v>
      </c>
      <c r="AH825" s="24">
        <f t="shared" si="196"/>
        <v>1</v>
      </c>
      <c r="AI825" s="24">
        <f t="shared" si="197"/>
        <v>1</v>
      </c>
    </row>
    <row r="826" spans="1:35" hidden="1" x14ac:dyDescent="0.3">
      <c r="A826" s="2" t="str">
        <f t="shared" si="194"/>
        <v>NÃO</v>
      </c>
      <c r="B826" s="2">
        <v>1000184670</v>
      </c>
      <c r="C826" s="2" t="s">
        <v>147</v>
      </c>
      <c r="D826" s="4">
        <v>1000186197</v>
      </c>
      <c r="E826" s="4" t="s">
        <v>166</v>
      </c>
      <c r="F826" s="2">
        <v>1000184757</v>
      </c>
      <c r="G826" s="2" t="s">
        <v>62</v>
      </c>
      <c r="H826" s="4">
        <v>1000189788</v>
      </c>
      <c r="I826" s="4" t="s">
        <v>102</v>
      </c>
      <c r="J826" s="2">
        <v>1000189270</v>
      </c>
      <c r="K826" s="2" t="s">
        <v>34</v>
      </c>
      <c r="L826" s="4" t="s">
        <v>33</v>
      </c>
      <c r="M826" s="4" t="str">
        <f t="shared" si="187"/>
        <v>1000184670100018619710001897881000189270FOOD SERVICE</v>
      </c>
      <c r="N826" s="28">
        <f>N821*_xlfn.XLOOKUP($L826,'Balizador da Meta'!$B$4:$B$21,'Balizador da Meta'!$C$4:$C$21)</f>
        <v>0</v>
      </c>
      <c r="O826" s="28">
        <f>O821*_xlfn.XLOOKUP($L826,'Balizador da Meta'!$B$4:$B$21,'Balizador da Meta'!$C$4:$C$21)</f>
        <v>0</v>
      </c>
      <c r="P826" s="28">
        <f>P821*_xlfn.XLOOKUP($L826,'Balizador da Meta'!$B$4:$B$21,'Balizador da Meta'!$C$4:$C$21)</f>
        <v>0</v>
      </c>
      <c r="Q826" s="28">
        <f>Q821*_xlfn.XLOOKUP($L826,'Balizador da Meta'!$B$4:$B$21,'Balizador da Meta'!$C$4:$C$21)</f>
        <v>0</v>
      </c>
      <c r="R826" s="28">
        <f>R821*_xlfn.XLOOKUP($L826,'Balizador da Meta'!$B$4:$B$21,'Balizador da Meta'!$C$4:$C$21)</f>
        <v>0</v>
      </c>
      <c r="S826" s="28">
        <f>S821*_xlfn.XLOOKUP($L826,'Balizador da Meta'!$B$4:$B$21,'Balizador da Meta'!$C$4:$C$21)</f>
        <v>0</v>
      </c>
      <c r="T826" s="28">
        <f>T821*_xlfn.XLOOKUP($L826,'Balizador da Meta'!$B$4:$B$21,'Balizador da Meta'!$C$4:$C$21)</f>
        <v>0</v>
      </c>
      <c r="U826" s="28">
        <f>U821*_xlfn.XLOOKUP($L826,'Balizador da Meta'!$B$4:$B$21,'Balizador da Meta'!$C$4:$C$21)</f>
        <v>0</v>
      </c>
      <c r="V826" s="28">
        <f>V821*_xlfn.XLOOKUP($L826,'Balizador da Meta'!$B$4:$B$21,'Balizador da Meta'!$C$4:$C$21)</f>
        <v>0</v>
      </c>
      <c r="W826" s="28">
        <f>W821*_xlfn.XLOOKUP($L826,'Balizador da Meta'!$B$4:$B$21,'Balizador da Meta'!$C$4:$C$21)</f>
        <v>0</v>
      </c>
      <c r="X826" s="28">
        <f>X821*_xlfn.XLOOKUP($L826,'Balizador da Meta'!$B$4:$B$21,'Balizador da Meta'!$C$4:$C$21)</f>
        <v>0</v>
      </c>
      <c r="Y826" s="28">
        <f>Y821*_xlfn.XLOOKUP($L826,'Balizador da Meta'!$B$4:$B$21,'Balizador da Meta'!$C$4:$C$21)</f>
        <v>0</v>
      </c>
      <c r="Z826" s="30">
        <f t="shared" si="200"/>
        <v>0</v>
      </c>
      <c r="AA826" s="29"/>
      <c r="AB826" s="31">
        <f>SUMIFS('Historico - FAT'!AK:AK,'Historico - FAT'!$K:$K,Faturamento!$L826,'Historico - FAT'!$I:$I,Faturamento!$J826,'Historico - FAT'!$G:$G,Faturamento!$H826)</f>
        <v>0</v>
      </c>
      <c r="AC826" s="31">
        <f>SUMIFS('Historico - FAT'!AL:AL,'Historico - FAT'!$K:$K,Faturamento!$L826,'Historico - FAT'!$I:$I,Faturamento!$J826,'Historico - FAT'!$G:$G,Faturamento!$H826)</f>
        <v>0</v>
      </c>
      <c r="AD826" s="31">
        <f>SUMIFS('Historico - FAT'!AM:AM,'Historico - FAT'!$K:$K,Faturamento!$L826,'Historico - FAT'!$I:$I,Faturamento!$J826,'Historico - FAT'!$G:$G,Faturamento!$H826)</f>
        <v>0</v>
      </c>
      <c r="AE826" s="27">
        <f>SUMIFS('Historico - FAT'!AN:AN,'Historico - FAT'!$K:$K,Faturamento!$L826,'Historico - FAT'!$I:$I,Faturamento!$J826,'Historico - FAT'!$G:$G,Faturamento!$H826)</f>
        <v>0</v>
      </c>
      <c r="AG826" s="24" t="str">
        <f t="shared" si="195"/>
        <v/>
      </c>
      <c r="AH826" s="24" t="str">
        <f t="shared" si="196"/>
        <v/>
      </c>
      <c r="AI826" s="24" t="str">
        <f t="shared" si="197"/>
        <v/>
      </c>
    </row>
    <row r="827" spans="1:35" hidden="1" x14ac:dyDescent="0.3">
      <c r="A827" s="2" t="str">
        <f t="shared" si="194"/>
        <v>NÃO</v>
      </c>
      <c r="B827" s="2">
        <v>1000184670</v>
      </c>
      <c r="C827" s="2" t="s">
        <v>147</v>
      </c>
      <c r="D827" s="4">
        <v>1000186197</v>
      </c>
      <c r="E827" s="4" t="s">
        <v>166</v>
      </c>
      <c r="F827" s="2">
        <v>1000184757</v>
      </c>
      <c r="G827" s="2" t="s">
        <v>62</v>
      </c>
      <c r="H827" s="4">
        <v>1000189788</v>
      </c>
      <c r="I827" s="4" t="s">
        <v>102</v>
      </c>
      <c r="J827" s="2">
        <v>1000189270</v>
      </c>
      <c r="K827" s="2" t="s">
        <v>34</v>
      </c>
      <c r="L827" s="4" t="s">
        <v>19</v>
      </c>
      <c r="M827" s="4" t="str">
        <f t="shared" si="187"/>
        <v>1000184670100018619710001897881000189270GELEIA</v>
      </c>
      <c r="N827" s="28">
        <f>N821*_xlfn.XLOOKUP($L827,'Balizador da Meta'!$B$4:$B$21,'Balizador da Meta'!$C$4:$C$21)</f>
        <v>11.999999999999998</v>
      </c>
      <c r="O827" s="28">
        <f>O821*_xlfn.XLOOKUP($L827,'Balizador da Meta'!$B$4:$B$21,'Balizador da Meta'!$C$4:$C$21)</f>
        <v>11.999999999999998</v>
      </c>
      <c r="P827" s="28">
        <f>P821*_xlfn.XLOOKUP($L827,'Balizador da Meta'!$B$4:$B$21,'Balizador da Meta'!$C$4:$C$21)</f>
        <v>11.999999999999998</v>
      </c>
      <c r="Q827" s="28">
        <f>Q821*_xlfn.XLOOKUP($L827,'Balizador da Meta'!$B$4:$B$21,'Balizador da Meta'!$C$4:$C$21)</f>
        <v>11.999999999999998</v>
      </c>
      <c r="R827" s="28">
        <f>R821*_xlfn.XLOOKUP($L827,'Balizador da Meta'!$B$4:$B$21,'Balizador da Meta'!$C$4:$C$21)</f>
        <v>11.999999999999998</v>
      </c>
      <c r="S827" s="28">
        <f>S821*_xlfn.XLOOKUP($L827,'Balizador da Meta'!$B$4:$B$21,'Balizador da Meta'!$C$4:$C$21)</f>
        <v>11.999999999999998</v>
      </c>
      <c r="T827" s="28">
        <f>T821*_xlfn.XLOOKUP($L827,'Balizador da Meta'!$B$4:$B$21,'Balizador da Meta'!$C$4:$C$21)</f>
        <v>11.999999999999998</v>
      </c>
      <c r="U827" s="28">
        <f>U821*_xlfn.XLOOKUP($L827,'Balizador da Meta'!$B$4:$B$21,'Balizador da Meta'!$C$4:$C$21)</f>
        <v>11.999999999999998</v>
      </c>
      <c r="V827" s="28">
        <f>V821*_xlfn.XLOOKUP($L827,'Balizador da Meta'!$B$4:$B$21,'Balizador da Meta'!$C$4:$C$21)</f>
        <v>11.999999999999998</v>
      </c>
      <c r="W827" s="28">
        <f>W821*_xlfn.XLOOKUP($L827,'Balizador da Meta'!$B$4:$B$21,'Balizador da Meta'!$C$4:$C$21)</f>
        <v>11.999999999999998</v>
      </c>
      <c r="X827" s="28">
        <f>X821*_xlfn.XLOOKUP($L827,'Balizador da Meta'!$B$4:$B$21,'Balizador da Meta'!$C$4:$C$21)</f>
        <v>11.999999999999998</v>
      </c>
      <c r="Y827" s="28">
        <f>Y821*_xlfn.XLOOKUP($L827,'Balizador da Meta'!$B$4:$B$21,'Balizador da Meta'!$C$4:$C$21)</f>
        <v>11.999999999999998</v>
      </c>
      <c r="Z827" s="30">
        <f t="shared" si="200"/>
        <v>143.99999999999997</v>
      </c>
      <c r="AA827" s="29"/>
      <c r="AB827" s="31">
        <f>SUMIFS('Historico - FAT'!AK:AK,'Historico - FAT'!$K:$K,Faturamento!$L827,'Historico - FAT'!$I:$I,Faturamento!$J827,'Historico - FAT'!$G:$G,Faturamento!$H827)</f>
        <v>0</v>
      </c>
      <c r="AC827" s="31">
        <f>SUMIFS('Historico - FAT'!AL:AL,'Historico - FAT'!$K:$K,Faturamento!$L827,'Historico - FAT'!$I:$I,Faturamento!$J827,'Historico - FAT'!$G:$G,Faturamento!$H827)</f>
        <v>0</v>
      </c>
      <c r="AD827" s="31">
        <f>SUMIFS('Historico - FAT'!AM:AM,'Historico - FAT'!$K:$K,Faturamento!$L827,'Historico - FAT'!$I:$I,Faturamento!$J827,'Historico - FAT'!$G:$G,Faturamento!$H827)</f>
        <v>0</v>
      </c>
      <c r="AE827" s="27">
        <f>SUMIFS('Historico - FAT'!AN:AN,'Historico - FAT'!$K:$K,Faturamento!$L827,'Historico - FAT'!$I:$I,Faturamento!$J827,'Historico - FAT'!$G:$G,Faturamento!$H827)</f>
        <v>0</v>
      </c>
      <c r="AG827" s="24">
        <f t="shared" si="195"/>
        <v>1</v>
      </c>
      <c r="AH827" s="24">
        <f t="shared" si="196"/>
        <v>1</v>
      </c>
      <c r="AI827" s="24">
        <f t="shared" si="197"/>
        <v>1</v>
      </c>
    </row>
    <row r="828" spans="1:35" hidden="1" x14ac:dyDescent="0.3">
      <c r="A828" s="2" t="str">
        <f t="shared" si="194"/>
        <v>NÃO</v>
      </c>
      <c r="B828" s="2">
        <v>1000184670</v>
      </c>
      <c r="C828" s="2" t="s">
        <v>147</v>
      </c>
      <c r="D828" s="4">
        <v>1000186197</v>
      </c>
      <c r="E828" s="4" t="s">
        <v>166</v>
      </c>
      <c r="F828" s="2">
        <v>1000184757</v>
      </c>
      <c r="G828" s="2" t="s">
        <v>62</v>
      </c>
      <c r="H828" s="4">
        <v>1000189788</v>
      </c>
      <c r="I828" s="4" t="s">
        <v>102</v>
      </c>
      <c r="J828" s="2">
        <v>1000189270</v>
      </c>
      <c r="K828" s="2" t="s">
        <v>34</v>
      </c>
      <c r="L828" s="4" t="s">
        <v>17</v>
      </c>
      <c r="M828" s="4" t="str">
        <f t="shared" si="187"/>
        <v>1000184670100018619710001897881000189270GRANOLA</v>
      </c>
      <c r="N828" s="28">
        <f>N821*_xlfn.XLOOKUP($L828,'Balizador da Meta'!$B$4:$B$21,'Balizador da Meta'!$C$4:$C$21)</f>
        <v>12</v>
      </c>
      <c r="O828" s="28">
        <f>O821*_xlfn.XLOOKUP($L828,'Balizador da Meta'!$B$4:$B$21,'Balizador da Meta'!$C$4:$C$21)</f>
        <v>12</v>
      </c>
      <c r="P828" s="28">
        <f>P821*_xlfn.XLOOKUP($L828,'Balizador da Meta'!$B$4:$B$21,'Balizador da Meta'!$C$4:$C$21)</f>
        <v>12</v>
      </c>
      <c r="Q828" s="28">
        <f>Q821*_xlfn.XLOOKUP($L828,'Balizador da Meta'!$B$4:$B$21,'Balizador da Meta'!$C$4:$C$21)</f>
        <v>12</v>
      </c>
      <c r="R828" s="28">
        <f>R821*_xlfn.XLOOKUP($L828,'Balizador da Meta'!$B$4:$B$21,'Balizador da Meta'!$C$4:$C$21)</f>
        <v>12</v>
      </c>
      <c r="S828" s="28">
        <f>S821*_xlfn.XLOOKUP($L828,'Balizador da Meta'!$B$4:$B$21,'Balizador da Meta'!$C$4:$C$21)</f>
        <v>12</v>
      </c>
      <c r="T828" s="28">
        <f>T821*_xlfn.XLOOKUP($L828,'Balizador da Meta'!$B$4:$B$21,'Balizador da Meta'!$C$4:$C$21)</f>
        <v>12</v>
      </c>
      <c r="U828" s="28">
        <f>U821*_xlfn.XLOOKUP($L828,'Balizador da Meta'!$B$4:$B$21,'Balizador da Meta'!$C$4:$C$21)</f>
        <v>12</v>
      </c>
      <c r="V828" s="28">
        <f>V821*_xlfn.XLOOKUP($L828,'Balizador da Meta'!$B$4:$B$21,'Balizador da Meta'!$C$4:$C$21)</f>
        <v>12</v>
      </c>
      <c r="W828" s="28">
        <f>W821*_xlfn.XLOOKUP($L828,'Balizador da Meta'!$B$4:$B$21,'Balizador da Meta'!$C$4:$C$21)</f>
        <v>12</v>
      </c>
      <c r="X828" s="28">
        <f>X821*_xlfn.XLOOKUP($L828,'Balizador da Meta'!$B$4:$B$21,'Balizador da Meta'!$C$4:$C$21)</f>
        <v>12</v>
      </c>
      <c r="Y828" s="28">
        <f>Y821*_xlfn.XLOOKUP($L828,'Balizador da Meta'!$B$4:$B$21,'Balizador da Meta'!$C$4:$C$21)</f>
        <v>12</v>
      </c>
      <c r="Z828" s="30">
        <f t="shared" si="200"/>
        <v>144</v>
      </c>
      <c r="AA828" s="29"/>
      <c r="AB828" s="31">
        <f>SUMIFS('Historico - FAT'!AK:AK,'Historico - FAT'!$K:$K,Faturamento!$L828,'Historico - FAT'!$I:$I,Faturamento!$J828,'Historico - FAT'!$G:$G,Faturamento!$H828)</f>
        <v>0</v>
      </c>
      <c r="AC828" s="31">
        <f>SUMIFS('Historico - FAT'!AL:AL,'Historico - FAT'!$K:$K,Faturamento!$L828,'Historico - FAT'!$I:$I,Faturamento!$J828,'Historico - FAT'!$G:$G,Faturamento!$H828)</f>
        <v>0</v>
      </c>
      <c r="AD828" s="31">
        <f>SUMIFS('Historico - FAT'!AM:AM,'Historico - FAT'!$K:$K,Faturamento!$L828,'Historico - FAT'!$I:$I,Faturamento!$J828,'Historico - FAT'!$G:$G,Faturamento!$H828)</f>
        <v>0</v>
      </c>
      <c r="AE828" s="27">
        <f>SUMIFS('Historico - FAT'!AN:AN,'Historico - FAT'!$K:$K,Faturamento!$L828,'Historico - FAT'!$I:$I,Faturamento!$J828,'Historico - FAT'!$G:$G,Faturamento!$H828)</f>
        <v>0</v>
      </c>
      <c r="AG828" s="24">
        <f t="shared" si="195"/>
        <v>1</v>
      </c>
      <c r="AH828" s="24">
        <f t="shared" si="196"/>
        <v>1</v>
      </c>
      <c r="AI828" s="24">
        <f t="shared" si="197"/>
        <v>1</v>
      </c>
    </row>
    <row r="829" spans="1:35" hidden="1" x14ac:dyDescent="0.3">
      <c r="A829" s="2" t="str">
        <f t="shared" si="194"/>
        <v>NÃO</v>
      </c>
      <c r="B829" s="2">
        <v>1000184670</v>
      </c>
      <c r="C829" s="2" t="s">
        <v>147</v>
      </c>
      <c r="D829" s="4">
        <v>1000186197</v>
      </c>
      <c r="E829" s="4" t="s">
        <v>166</v>
      </c>
      <c r="F829" s="2">
        <v>1000184757</v>
      </c>
      <c r="G829" s="2" t="s">
        <v>62</v>
      </c>
      <c r="H829" s="4">
        <v>1000189788</v>
      </c>
      <c r="I829" s="4" t="s">
        <v>102</v>
      </c>
      <c r="J829" s="2">
        <v>1000189270</v>
      </c>
      <c r="K829" s="2" t="s">
        <v>34</v>
      </c>
      <c r="L829" s="4" t="s">
        <v>24</v>
      </c>
      <c r="M829" s="4" t="str">
        <f t="shared" si="187"/>
        <v>1000184670100018619710001897881000189270KIDS</v>
      </c>
      <c r="N829" s="28">
        <f>N821*_xlfn.XLOOKUP($L829,'Balizador da Meta'!$B$4:$B$21,'Balizador da Meta'!$C$4:$C$21)</f>
        <v>0</v>
      </c>
      <c r="O829" s="28">
        <f>O821*_xlfn.XLOOKUP($L829,'Balizador da Meta'!$B$4:$B$21,'Balizador da Meta'!$C$4:$C$21)</f>
        <v>0</v>
      </c>
      <c r="P829" s="28">
        <f>P821*_xlfn.XLOOKUP($L829,'Balizador da Meta'!$B$4:$B$21,'Balizador da Meta'!$C$4:$C$21)</f>
        <v>0</v>
      </c>
      <c r="Q829" s="28">
        <f>Q821*_xlfn.XLOOKUP($L829,'Balizador da Meta'!$B$4:$B$21,'Balizador da Meta'!$C$4:$C$21)</f>
        <v>0</v>
      </c>
      <c r="R829" s="28">
        <f>R821*_xlfn.XLOOKUP($L829,'Balizador da Meta'!$B$4:$B$21,'Balizador da Meta'!$C$4:$C$21)</f>
        <v>0</v>
      </c>
      <c r="S829" s="28">
        <f>S821*_xlfn.XLOOKUP($L829,'Balizador da Meta'!$B$4:$B$21,'Balizador da Meta'!$C$4:$C$21)</f>
        <v>0</v>
      </c>
      <c r="T829" s="28">
        <f>T821*_xlfn.XLOOKUP($L829,'Balizador da Meta'!$B$4:$B$21,'Balizador da Meta'!$C$4:$C$21)</f>
        <v>0</v>
      </c>
      <c r="U829" s="28">
        <f>U821*_xlfn.XLOOKUP($L829,'Balizador da Meta'!$B$4:$B$21,'Balizador da Meta'!$C$4:$C$21)</f>
        <v>0</v>
      </c>
      <c r="V829" s="28">
        <f>V821*_xlfn.XLOOKUP($L829,'Balizador da Meta'!$B$4:$B$21,'Balizador da Meta'!$C$4:$C$21)</f>
        <v>0</v>
      </c>
      <c r="W829" s="28">
        <f>W821*_xlfn.XLOOKUP($L829,'Balizador da Meta'!$B$4:$B$21,'Balizador da Meta'!$C$4:$C$21)</f>
        <v>0</v>
      </c>
      <c r="X829" s="28">
        <f>X821*_xlfn.XLOOKUP($L829,'Balizador da Meta'!$B$4:$B$21,'Balizador da Meta'!$C$4:$C$21)</f>
        <v>0</v>
      </c>
      <c r="Y829" s="28">
        <f>Y821*_xlfn.XLOOKUP($L829,'Balizador da Meta'!$B$4:$B$21,'Balizador da Meta'!$C$4:$C$21)</f>
        <v>0</v>
      </c>
      <c r="Z829" s="30">
        <f t="shared" si="200"/>
        <v>0</v>
      </c>
      <c r="AA829" s="29"/>
      <c r="AB829" s="31">
        <f>SUMIFS('Historico - FAT'!AK:AK,'Historico - FAT'!$K:$K,Faturamento!$L829,'Historico - FAT'!$I:$I,Faturamento!$J829,'Historico - FAT'!$G:$G,Faturamento!$H829)</f>
        <v>0</v>
      </c>
      <c r="AC829" s="31">
        <f>SUMIFS('Historico - FAT'!AL:AL,'Historico - FAT'!$K:$K,Faturamento!$L829,'Historico - FAT'!$I:$I,Faturamento!$J829,'Historico - FAT'!$G:$G,Faturamento!$H829)</f>
        <v>0</v>
      </c>
      <c r="AD829" s="31">
        <f>SUMIFS('Historico - FAT'!AM:AM,'Historico - FAT'!$K:$K,Faturamento!$L829,'Historico - FAT'!$I:$I,Faturamento!$J829,'Historico - FAT'!$G:$G,Faturamento!$H829)</f>
        <v>0</v>
      </c>
      <c r="AE829" s="27">
        <f>SUMIFS('Historico - FAT'!AN:AN,'Historico - FAT'!$K:$K,Faturamento!$L829,'Historico - FAT'!$I:$I,Faturamento!$J829,'Historico - FAT'!$G:$G,Faturamento!$H829)</f>
        <v>0</v>
      </c>
      <c r="AG829" s="24" t="str">
        <f t="shared" si="195"/>
        <v/>
      </c>
      <c r="AH829" s="24" t="str">
        <f t="shared" si="196"/>
        <v/>
      </c>
      <c r="AI829" s="24" t="str">
        <f t="shared" si="197"/>
        <v/>
      </c>
    </row>
    <row r="830" spans="1:35" hidden="1" x14ac:dyDescent="0.3">
      <c r="A830" s="2" t="str">
        <f t="shared" si="194"/>
        <v>NÃO</v>
      </c>
      <c r="B830" s="2">
        <v>1000184670</v>
      </c>
      <c r="C830" s="2" t="s">
        <v>147</v>
      </c>
      <c r="D830" s="4">
        <v>1000186197</v>
      </c>
      <c r="E830" s="4" t="s">
        <v>166</v>
      </c>
      <c r="F830" s="2">
        <v>1000184757</v>
      </c>
      <c r="G830" s="2" t="s">
        <v>62</v>
      </c>
      <c r="H830" s="4">
        <v>1000189788</v>
      </c>
      <c r="I830" s="4" t="s">
        <v>102</v>
      </c>
      <c r="J830" s="2">
        <v>1000189270</v>
      </c>
      <c r="K830" s="2" t="s">
        <v>34</v>
      </c>
      <c r="L830" s="4" t="s">
        <v>18</v>
      </c>
      <c r="M830" s="4" t="str">
        <f t="shared" si="187"/>
        <v>1000184670100018619710001897881000189270LANCHES</v>
      </c>
      <c r="N830" s="28">
        <f>N821*_xlfn.XLOOKUP($L830,'Balizador da Meta'!$B$4:$B$21,'Balizador da Meta'!$C$4:$C$21)</f>
        <v>6</v>
      </c>
      <c r="O830" s="28">
        <f>O821*_xlfn.XLOOKUP($L830,'Balizador da Meta'!$B$4:$B$21,'Balizador da Meta'!$C$4:$C$21)</f>
        <v>6</v>
      </c>
      <c r="P830" s="28">
        <f>P821*_xlfn.XLOOKUP($L830,'Balizador da Meta'!$B$4:$B$21,'Balizador da Meta'!$C$4:$C$21)</f>
        <v>6</v>
      </c>
      <c r="Q830" s="28">
        <f>Q821*_xlfn.XLOOKUP($L830,'Balizador da Meta'!$B$4:$B$21,'Balizador da Meta'!$C$4:$C$21)</f>
        <v>6</v>
      </c>
      <c r="R830" s="28">
        <f>R821*_xlfn.XLOOKUP($L830,'Balizador da Meta'!$B$4:$B$21,'Balizador da Meta'!$C$4:$C$21)</f>
        <v>6</v>
      </c>
      <c r="S830" s="28">
        <f>S821*_xlfn.XLOOKUP($L830,'Balizador da Meta'!$B$4:$B$21,'Balizador da Meta'!$C$4:$C$21)</f>
        <v>6</v>
      </c>
      <c r="T830" s="28">
        <f>T821*_xlfn.XLOOKUP($L830,'Balizador da Meta'!$B$4:$B$21,'Balizador da Meta'!$C$4:$C$21)</f>
        <v>6</v>
      </c>
      <c r="U830" s="28">
        <f>U821*_xlfn.XLOOKUP($L830,'Balizador da Meta'!$B$4:$B$21,'Balizador da Meta'!$C$4:$C$21)</f>
        <v>6</v>
      </c>
      <c r="V830" s="28">
        <f>V821*_xlfn.XLOOKUP($L830,'Balizador da Meta'!$B$4:$B$21,'Balizador da Meta'!$C$4:$C$21)</f>
        <v>6</v>
      </c>
      <c r="W830" s="28">
        <f>W821*_xlfn.XLOOKUP($L830,'Balizador da Meta'!$B$4:$B$21,'Balizador da Meta'!$C$4:$C$21)</f>
        <v>6</v>
      </c>
      <c r="X830" s="28">
        <f>X821*_xlfn.XLOOKUP($L830,'Balizador da Meta'!$B$4:$B$21,'Balizador da Meta'!$C$4:$C$21)</f>
        <v>6</v>
      </c>
      <c r="Y830" s="28">
        <f>Y821*_xlfn.XLOOKUP($L830,'Balizador da Meta'!$B$4:$B$21,'Balizador da Meta'!$C$4:$C$21)</f>
        <v>6</v>
      </c>
      <c r="Z830" s="30">
        <f t="shared" si="200"/>
        <v>72</v>
      </c>
      <c r="AA830" s="29"/>
      <c r="AB830" s="31">
        <f>SUMIFS('Historico - FAT'!AK:AK,'Historico - FAT'!$K:$K,Faturamento!$L830,'Historico - FAT'!$I:$I,Faturamento!$J830,'Historico - FAT'!$G:$G,Faturamento!$H830)</f>
        <v>0</v>
      </c>
      <c r="AC830" s="31">
        <f>SUMIFS('Historico - FAT'!AL:AL,'Historico - FAT'!$K:$K,Faturamento!$L830,'Historico - FAT'!$I:$I,Faturamento!$J830,'Historico - FAT'!$G:$G,Faturamento!$H830)</f>
        <v>0</v>
      </c>
      <c r="AD830" s="31">
        <f>SUMIFS('Historico - FAT'!AM:AM,'Historico - FAT'!$K:$K,Faturamento!$L830,'Historico - FAT'!$I:$I,Faturamento!$J830,'Historico - FAT'!$G:$G,Faturamento!$H830)</f>
        <v>0</v>
      </c>
      <c r="AE830" s="27">
        <f>SUMIFS('Historico - FAT'!AN:AN,'Historico - FAT'!$K:$K,Faturamento!$L830,'Historico - FAT'!$I:$I,Faturamento!$J830,'Historico - FAT'!$G:$G,Faturamento!$H830)</f>
        <v>0</v>
      </c>
      <c r="AG830" s="24">
        <f t="shared" si="195"/>
        <v>1</v>
      </c>
      <c r="AH830" s="24">
        <f t="shared" si="196"/>
        <v>1</v>
      </c>
      <c r="AI830" s="24">
        <f t="shared" si="197"/>
        <v>1</v>
      </c>
    </row>
    <row r="831" spans="1:35" hidden="1" x14ac:dyDescent="0.3">
      <c r="A831" s="2" t="str">
        <f t="shared" si="194"/>
        <v>NÃO</v>
      </c>
      <c r="B831" s="2">
        <v>1000184670</v>
      </c>
      <c r="C831" s="2" t="s">
        <v>147</v>
      </c>
      <c r="D831" s="4">
        <v>1000186197</v>
      </c>
      <c r="E831" s="4" t="s">
        <v>166</v>
      </c>
      <c r="F831" s="2">
        <v>1000184757</v>
      </c>
      <c r="G831" s="2" t="s">
        <v>62</v>
      </c>
      <c r="H831" s="4">
        <v>1000189788</v>
      </c>
      <c r="I831" s="4" t="s">
        <v>102</v>
      </c>
      <c r="J831" s="2">
        <v>1000189270</v>
      </c>
      <c r="K831" s="2" t="s">
        <v>34</v>
      </c>
      <c r="L831" s="4" t="s">
        <v>29</v>
      </c>
      <c r="M831" s="4" t="str">
        <f t="shared" si="187"/>
        <v>1000184670100018619710001897881000189270MAIS GRANEL</v>
      </c>
      <c r="N831" s="28">
        <f>N821*_xlfn.XLOOKUP($L831,'Balizador da Meta'!$B$4:$B$21,'Balizador da Meta'!$C$4:$C$21)</f>
        <v>192</v>
      </c>
      <c r="O831" s="28">
        <f>O821*_xlfn.XLOOKUP($L831,'Balizador da Meta'!$B$4:$B$21,'Balizador da Meta'!$C$4:$C$21)</f>
        <v>192</v>
      </c>
      <c r="P831" s="28">
        <f>P821*_xlfn.XLOOKUP($L831,'Balizador da Meta'!$B$4:$B$21,'Balizador da Meta'!$C$4:$C$21)</f>
        <v>192</v>
      </c>
      <c r="Q831" s="28">
        <f>Q821*_xlfn.XLOOKUP($L831,'Balizador da Meta'!$B$4:$B$21,'Balizador da Meta'!$C$4:$C$21)</f>
        <v>192</v>
      </c>
      <c r="R831" s="28">
        <f>R821*_xlfn.XLOOKUP($L831,'Balizador da Meta'!$B$4:$B$21,'Balizador da Meta'!$C$4:$C$21)</f>
        <v>192</v>
      </c>
      <c r="S831" s="28">
        <f>S821*_xlfn.XLOOKUP($L831,'Balizador da Meta'!$B$4:$B$21,'Balizador da Meta'!$C$4:$C$21)</f>
        <v>192</v>
      </c>
      <c r="T831" s="28">
        <f>T821*_xlfn.XLOOKUP($L831,'Balizador da Meta'!$B$4:$B$21,'Balizador da Meta'!$C$4:$C$21)</f>
        <v>192</v>
      </c>
      <c r="U831" s="28">
        <f>U821*_xlfn.XLOOKUP($L831,'Balizador da Meta'!$B$4:$B$21,'Balizador da Meta'!$C$4:$C$21)</f>
        <v>192</v>
      </c>
      <c r="V831" s="28">
        <f>V821*_xlfn.XLOOKUP($L831,'Balizador da Meta'!$B$4:$B$21,'Balizador da Meta'!$C$4:$C$21)</f>
        <v>192</v>
      </c>
      <c r="W831" s="28">
        <f>W821*_xlfn.XLOOKUP($L831,'Balizador da Meta'!$B$4:$B$21,'Balizador da Meta'!$C$4:$C$21)</f>
        <v>192</v>
      </c>
      <c r="X831" s="28">
        <f>X821*_xlfn.XLOOKUP($L831,'Balizador da Meta'!$B$4:$B$21,'Balizador da Meta'!$C$4:$C$21)</f>
        <v>192</v>
      </c>
      <c r="Y831" s="28">
        <f>Y821*_xlfn.XLOOKUP($L831,'Balizador da Meta'!$B$4:$B$21,'Balizador da Meta'!$C$4:$C$21)</f>
        <v>192</v>
      </c>
      <c r="Z831" s="30">
        <f t="shared" si="200"/>
        <v>2304</v>
      </c>
      <c r="AA831" s="29"/>
      <c r="AB831" s="31">
        <f>SUMIFS('Historico - FAT'!AK:AK,'Historico - FAT'!$K:$K,Faturamento!$L831,'Historico - FAT'!$I:$I,Faturamento!$J831,'Historico - FAT'!$G:$G,Faturamento!$H831)</f>
        <v>0</v>
      </c>
      <c r="AC831" s="31">
        <f>SUMIFS('Historico - FAT'!AL:AL,'Historico - FAT'!$K:$K,Faturamento!$L831,'Historico - FAT'!$I:$I,Faturamento!$J831,'Historico - FAT'!$G:$G,Faturamento!$H831)</f>
        <v>0</v>
      </c>
      <c r="AD831" s="31">
        <f>SUMIFS('Historico - FAT'!AM:AM,'Historico - FAT'!$K:$K,Faturamento!$L831,'Historico - FAT'!$I:$I,Faturamento!$J831,'Historico - FAT'!$G:$G,Faturamento!$H831)</f>
        <v>0</v>
      </c>
      <c r="AE831" s="27">
        <f>SUMIFS('Historico - FAT'!AN:AN,'Historico - FAT'!$K:$K,Faturamento!$L831,'Historico - FAT'!$I:$I,Faturamento!$J831,'Historico - FAT'!$G:$G,Faturamento!$H831)</f>
        <v>0</v>
      </c>
      <c r="AG831" s="24">
        <f t="shared" si="195"/>
        <v>1</v>
      </c>
      <c r="AH831" s="24">
        <f t="shared" si="196"/>
        <v>1</v>
      </c>
      <c r="AI831" s="24">
        <f t="shared" si="197"/>
        <v>1</v>
      </c>
    </row>
    <row r="832" spans="1:35" hidden="1" x14ac:dyDescent="0.3">
      <c r="A832" s="2" t="str">
        <f t="shared" si="194"/>
        <v>NÃO</v>
      </c>
      <c r="B832" s="2">
        <v>1000184670</v>
      </c>
      <c r="C832" s="2" t="s">
        <v>147</v>
      </c>
      <c r="D832" s="4">
        <v>1000186197</v>
      </c>
      <c r="E832" s="4" t="s">
        <v>166</v>
      </c>
      <c r="F832" s="2">
        <v>1000184757</v>
      </c>
      <c r="G832" s="2" t="s">
        <v>62</v>
      </c>
      <c r="H832" s="4">
        <v>1000189788</v>
      </c>
      <c r="I832" s="4" t="s">
        <v>102</v>
      </c>
      <c r="J832" s="2">
        <v>1000189270</v>
      </c>
      <c r="K832" s="2" t="s">
        <v>34</v>
      </c>
      <c r="L832" s="4" t="s">
        <v>21</v>
      </c>
      <c r="M832" s="4" t="str">
        <f t="shared" si="187"/>
        <v>1000184670100018619710001897881000189270NATURATTA</v>
      </c>
      <c r="N832" s="28">
        <f>N821*_xlfn.XLOOKUP($L832,'Balizador da Meta'!$B$4:$B$21,'Balizador da Meta'!$C$4:$C$21)</f>
        <v>30</v>
      </c>
      <c r="O832" s="28">
        <f>O821*_xlfn.XLOOKUP($L832,'Balizador da Meta'!$B$4:$B$21,'Balizador da Meta'!$C$4:$C$21)</f>
        <v>30</v>
      </c>
      <c r="P832" s="28">
        <f>P821*_xlfn.XLOOKUP($L832,'Balizador da Meta'!$B$4:$B$21,'Balizador da Meta'!$C$4:$C$21)</f>
        <v>30</v>
      </c>
      <c r="Q832" s="28">
        <f>Q821*_xlfn.XLOOKUP($L832,'Balizador da Meta'!$B$4:$B$21,'Balizador da Meta'!$C$4:$C$21)</f>
        <v>30</v>
      </c>
      <c r="R832" s="28">
        <f>R821*_xlfn.XLOOKUP($L832,'Balizador da Meta'!$B$4:$B$21,'Balizador da Meta'!$C$4:$C$21)</f>
        <v>30</v>
      </c>
      <c r="S832" s="28">
        <f>S821*_xlfn.XLOOKUP($L832,'Balizador da Meta'!$B$4:$B$21,'Balizador da Meta'!$C$4:$C$21)</f>
        <v>30</v>
      </c>
      <c r="T832" s="28">
        <f>T821*_xlfn.XLOOKUP($L832,'Balizador da Meta'!$B$4:$B$21,'Balizador da Meta'!$C$4:$C$21)</f>
        <v>30</v>
      </c>
      <c r="U832" s="28">
        <f>U821*_xlfn.XLOOKUP($L832,'Balizador da Meta'!$B$4:$B$21,'Balizador da Meta'!$C$4:$C$21)</f>
        <v>30</v>
      </c>
      <c r="V832" s="28">
        <f>V821*_xlfn.XLOOKUP($L832,'Balizador da Meta'!$B$4:$B$21,'Balizador da Meta'!$C$4:$C$21)</f>
        <v>30</v>
      </c>
      <c r="W832" s="28">
        <f>W821*_xlfn.XLOOKUP($L832,'Balizador da Meta'!$B$4:$B$21,'Balizador da Meta'!$C$4:$C$21)</f>
        <v>30</v>
      </c>
      <c r="X832" s="28">
        <f>X821*_xlfn.XLOOKUP($L832,'Balizador da Meta'!$B$4:$B$21,'Balizador da Meta'!$C$4:$C$21)</f>
        <v>30</v>
      </c>
      <c r="Y832" s="28">
        <f>Y821*_xlfn.XLOOKUP($L832,'Balizador da Meta'!$B$4:$B$21,'Balizador da Meta'!$C$4:$C$21)</f>
        <v>30</v>
      </c>
      <c r="Z832" s="30">
        <f t="shared" si="200"/>
        <v>360</v>
      </c>
      <c r="AA832" s="29"/>
      <c r="AB832" s="31">
        <f>SUMIFS('Historico - FAT'!AK:AK,'Historico - FAT'!$K:$K,Faturamento!$L832,'Historico - FAT'!$I:$I,Faturamento!$J832,'Historico - FAT'!$G:$G,Faturamento!$H832)</f>
        <v>0</v>
      </c>
      <c r="AC832" s="31">
        <f>SUMIFS('Historico - FAT'!AL:AL,'Historico - FAT'!$K:$K,Faturamento!$L832,'Historico - FAT'!$I:$I,Faturamento!$J832,'Historico - FAT'!$G:$G,Faturamento!$H832)</f>
        <v>4.4716666666666667</v>
      </c>
      <c r="AD832" s="31">
        <f>SUMIFS('Historico - FAT'!AM:AM,'Historico - FAT'!$K:$K,Faturamento!$L832,'Historico - FAT'!$I:$I,Faturamento!$J832,'Historico - FAT'!$G:$G,Faturamento!$H832)</f>
        <v>8.9433333333333334</v>
      </c>
      <c r="AE832" s="27">
        <f>SUMIFS('Historico - FAT'!AN:AN,'Historico - FAT'!$K:$K,Faturamento!$L832,'Historico - FAT'!$I:$I,Faturamento!$J832,'Historico - FAT'!$G:$G,Faturamento!$H832)</f>
        <v>5.3659999999999997</v>
      </c>
      <c r="AG832" s="24">
        <f t="shared" si="195"/>
        <v>1</v>
      </c>
      <c r="AH832" s="24">
        <f t="shared" si="196"/>
        <v>0.85094444444444439</v>
      </c>
      <c r="AI832" s="24">
        <f t="shared" si="197"/>
        <v>0.70188888888888878</v>
      </c>
    </row>
    <row r="833" spans="1:35" hidden="1" x14ac:dyDescent="0.3">
      <c r="A833" s="2" t="str">
        <f t="shared" si="194"/>
        <v>NÃO</v>
      </c>
      <c r="B833" s="2">
        <v>1000184670</v>
      </c>
      <c r="C833" s="2" t="s">
        <v>147</v>
      </c>
      <c r="D833" s="4">
        <v>1000186197</v>
      </c>
      <c r="E833" s="4" t="s">
        <v>166</v>
      </c>
      <c r="F833" s="2">
        <v>1000184757</v>
      </c>
      <c r="G833" s="2" t="s">
        <v>62</v>
      </c>
      <c r="H833" s="4">
        <v>1000189788</v>
      </c>
      <c r="I833" s="4" t="s">
        <v>102</v>
      </c>
      <c r="J833" s="2">
        <v>1000189270</v>
      </c>
      <c r="K833" s="2" t="s">
        <v>34</v>
      </c>
      <c r="L833" s="4" t="s">
        <v>20</v>
      </c>
      <c r="M833" s="4" t="str">
        <f t="shared" si="187"/>
        <v>1000184670100018619710001897881000189270REEMBALADOS</v>
      </c>
      <c r="N833" s="28">
        <f>N821*_xlfn.XLOOKUP($L833,'Balizador da Meta'!$B$4:$B$21,'Balizador da Meta'!$C$4:$C$21)</f>
        <v>24</v>
      </c>
      <c r="O833" s="28">
        <f>O821*_xlfn.XLOOKUP($L833,'Balizador da Meta'!$B$4:$B$21,'Balizador da Meta'!$C$4:$C$21)</f>
        <v>24</v>
      </c>
      <c r="P833" s="28">
        <f>P821*_xlfn.XLOOKUP($L833,'Balizador da Meta'!$B$4:$B$21,'Balizador da Meta'!$C$4:$C$21)</f>
        <v>24</v>
      </c>
      <c r="Q833" s="28">
        <f>Q821*_xlfn.XLOOKUP($L833,'Balizador da Meta'!$B$4:$B$21,'Balizador da Meta'!$C$4:$C$21)</f>
        <v>24</v>
      </c>
      <c r="R833" s="28">
        <f>R821*_xlfn.XLOOKUP($L833,'Balizador da Meta'!$B$4:$B$21,'Balizador da Meta'!$C$4:$C$21)</f>
        <v>24</v>
      </c>
      <c r="S833" s="28">
        <f>S821*_xlfn.XLOOKUP($L833,'Balizador da Meta'!$B$4:$B$21,'Balizador da Meta'!$C$4:$C$21)</f>
        <v>24</v>
      </c>
      <c r="T833" s="28">
        <f>T821*_xlfn.XLOOKUP($L833,'Balizador da Meta'!$B$4:$B$21,'Balizador da Meta'!$C$4:$C$21)</f>
        <v>24</v>
      </c>
      <c r="U833" s="28">
        <f>U821*_xlfn.XLOOKUP($L833,'Balizador da Meta'!$B$4:$B$21,'Balizador da Meta'!$C$4:$C$21)</f>
        <v>24</v>
      </c>
      <c r="V833" s="28">
        <f>V821*_xlfn.XLOOKUP($L833,'Balizador da Meta'!$B$4:$B$21,'Balizador da Meta'!$C$4:$C$21)</f>
        <v>24</v>
      </c>
      <c r="W833" s="28">
        <f>W821*_xlfn.XLOOKUP($L833,'Balizador da Meta'!$B$4:$B$21,'Balizador da Meta'!$C$4:$C$21)</f>
        <v>24</v>
      </c>
      <c r="X833" s="28">
        <f>X821*_xlfn.XLOOKUP($L833,'Balizador da Meta'!$B$4:$B$21,'Balizador da Meta'!$C$4:$C$21)</f>
        <v>24</v>
      </c>
      <c r="Y833" s="28">
        <f>Y821*_xlfn.XLOOKUP($L833,'Balizador da Meta'!$B$4:$B$21,'Balizador da Meta'!$C$4:$C$21)</f>
        <v>24</v>
      </c>
      <c r="Z833" s="30">
        <f t="shared" si="200"/>
        <v>288</v>
      </c>
      <c r="AA833" s="29"/>
      <c r="AB833" s="31">
        <f>SUMIFS('Historico - FAT'!AK:AK,'Historico - FAT'!$K:$K,Faturamento!$L833,'Historico - FAT'!$I:$I,Faturamento!$J833,'Historico - FAT'!$G:$G,Faturamento!$H833)</f>
        <v>0</v>
      </c>
      <c r="AC833" s="31">
        <f>SUMIFS('Historico - FAT'!AL:AL,'Historico - FAT'!$K:$K,Faturamento!$L833,'Historico - FAT'!$I:$I,Faturamento!$J833,'Historico - FAT'!$G:$G,Faturamento!$H833)</f>
        <v>0</v>
      </c>
      <c r="AD833" s="31">
        <f>SUMIFS('Historico - FAT'!AM:AM,'Historico - FAT'!$K:$K,Faturamento!$L833,'Historico - FAT'!$I:$I,Faturamento!$J833,'Historico - FAT'!$G:$G,Faturamento!$H833)</f>
        <v>0</v>
      </c>
      <c r="AE833" s="27">
        <f>SUMIFS('Historico - FAT'!AN:AN,'Historico - FAT'!$K:$K,Faturamento!$L833,'Historico - FAT'!$I:$I,Faturamento!$J833,'Historico - FAT'!$G:$G,Faturamento!$H833)</f>
        <v>0</v>
      </c>
      <c r="AG833" s="24">
        <f t="shared" si="195"/>
        <v>1</v>
      </c>
      <c r="AH833" s="24">
        <f t="shared" si="196"/>
        <v>1</v>
      </c>
      <c r="AI833" s="24">
        <f t="shared" si="197"/>
        <v>1</v>
      </c>
    </row>
    <row r="834" spans="1:35" hidden="1" x14ac:dyDescent="0.3">
      <c r="A834" s="2" t="str">
        <f t="shared" si="194"/>
        <v>NÃO</v>
      </c>
      <c r="B834" s="2">
        <v>1000184670</v>
      </c>
      <c r="C834" s="2" t="s">
        <v>147</v>
      </c>
      <c r="D834" s="4">
        <v>1000186197</v>
      </c>
      <c r="E834" s="4" t="s">
        <v>166</v>
      </c>
      <c r="F834" s="2">
        <v>1000184757</v>
      </c>
      <c r="G834" s="2" t="s">
        <v>62</v>
      </c>
      <c r="H834" s="4">
        <v>1000189788</v>
      </c>
      <c r="I834" s="4" t="s">
        <v>102</v>
      </c>
      <c r="J834" s="2">
        <v>1000189270</v>
      </c>
      <c r="K834" s="2" t="s">
        <v>34</v>
      </c>
      <c r="L834" s="4" t="s">
        <v>22</v>
      </c>
      <c r="M834" s="4" t="str">
        <f t="shared" si="187"/>
        <v>1000184670100018619710001897881000189270S GLUTEN</v>
      </c>
      <c r="N834" s="28">
        <f>N821*_xlfn.XLOOKUP($L834,'Balizador da Meta'!$B$4:$B$21,'Balizador da Meta'!$C$4:$C$21)</f>
        <v>24</v>
      </c>
      <c r="O834" s="28">
        <f>O821*_xlfn.XLOOKUP($L834,'Balizador da Meta'!$B$4:$B$21,'Balizador da Meta'!$C$4:$C$21)</f>
        <v>24</v>
      </c>
      <c r="P834" s="28">
        <f>P821*_xlfn.XLOOKUP($L834,'Balizador da Meta'!$B$4:$B$21,'Balizador da Meta'!$C$4:$C$21)</f>
        <v>24</v>
      </c>
      <c r="Q834" s="28">
        <f>Q821*_xlfn.XLOOKUP($L834,'Balizador da Meta'!$B$4:$B$21,'Balizador da Meta'!$C$4:$C$21)</f>
        <v>24</v>
      </c>
      <c r="R834" s="28">
        <f>R821*_xlfn.XLOOKUP($L834,'Balizador da Meta'!$B$4:$B$21,'Balizador da Meta'!$C$4:$C$21)</f>
        <v>24</v>
      </c>
      <c r="S834" s="28">
        <f>S821*_xlfn.XLOOKUP($L834,'Balizador da Meta'!$B$4:$B$21,'Balizador da Meta'!$C$4:$C$21)</f>
        <v>24</v>
      </c>
      <c r="T834" s="28">
        <f>T821*_xlfn.XLOOKUP($L834,'Balizador da Meta'!$B$4:$B$21,'Balizador da Meta'!$C$4:$C$21)</f>
        <v>24</v>
      </c>
      <c r="U834" s="28">
        <f>U821*_xlfn.XLOOKUP($L834,'Balizador da Meta'!$B$4:$B$21,'Balizador da Meta'!$C$4:$C$21)</f>
        <v>24</v>
      </c>
      <c r="V834" s="28">
        <f>V821*_xlfn.XLOOKUP($L834,'Balizador da Meta'!$B$4:$B$21,'Balizador da Meta'!$C$4:$C$21)</f>
        <v>24</v>
      </c>
      <c r="W834" s="28">
        <f>W821*_xlfn.XLOOKUP($L834,'Balizador da Meta'!$B$4:$B$21,'Balizador da Meta'!$C$4:$C$21)</f>
        <v>24</v>
      </c>
      <c r="X834" s="28">
        <f>X821*_xlfn.XLOOKUP($L834,'Balizador da Meta'!$B$4:$B$21,'Balizador da Meta'!$C$4:$C$21)</f>
        <v>24</v>
      </c>
      <c r="Y834" s="28">
        <f>Y821*_xlfn.XLOOKUP($L834,'Balizador da Meta'!$B$4:$B$21,'Balizador da Meta'!$C$4:$C$21)</f>
        <v>24</v>
      </c>
      <c r="Z834" s="30">
        <f t="shared" si="200"/>
        <v>288</v>
      </c>
      <c r="AA834" s="29"/>
      <c r="AB834" s="31">
        <f>SUMIFS('Historico - FAT'!AK:AK,'Historico - FAT'!$K:$K,Faturamento!$L834,'Historico - FAT'!$I:$I,Faturamento!$J834,'Historico - FAT'!$G:$G,Faturamento!$H834)</f>
        <v>0</v>
      </c>
      <c r="AC834" s="31">
        <f>SUMIFS('Historico - FAT'!AL:AL,'Historico - FAT'!$K:$K,Faturamento!$L834,'Historico - FAT'!$I:$I,Faturamento!$J834,'Historico - FAT'!$G:$G,Faturamento!$H834)</f>
        <v>16.818333333333332</v>
      </c>
      <c r="AD834" s="31">
        <f>SUMIFS('Historico - FAT'!AM:AM,'Historico - FAT'!$K:$K,Faturamento!$L834,'Historico - FAT'!$I:$I,Faturamento!$J834,'Historico - FAT'!$G:$G,Faturamento!$H834)</f>
        <v>33.636666666666663</v>
      </c>
      <c r="AE834" s="27">
        <f>SUMIFS('Historico - FAT'!AN:AN,'Historico - FAT'!$K:$K,Faturamento!$L834,'Historico - FAT'!$I:$I,Faturamento!$J834,'Historico - FAT'!$G:$G,Faturamento!$H834)</f>
        <v>20.181999999999999</v>
      </c>
      <c r="AG834" s="24">
        <f t="shared" si="195"/>
        <v>1</v>
      </c>
      <c r="AH834" s="24">
        <f t="shared" si="196"/>
        <v>0.2992361111111112</v>
      </c>
      <c r="AI834" s="24">
        <f t="shared" si="197"/>
        <v>-0.40152777777777765</v>
      </c>
    </row>
    <row r="835" spans="1:35" hidden="1" x14ac:dyDescent="0.3">
      <c r="A835" s="2" t="str">
        <f t="shared" si="194"/>
        <v>NÃO</v>
      </c>
      <c r="B835" s="2">
        <v>1000184670</v>
      </c>
      <c r="C835" s="2" t="s">
        <v>147</v>
      </c>
      <c r="D835" s="4">
        <v>1000186197</v>
      </c>
      <c r="E835" s="4" t="s">
        <v>166</v>
      </c>
      <c r="F835" s="2">
        <v>1000184757</v>
      </c>
      <c r="G835" s="2" t="s">
        <v>62</v>
      </c>
      <c r="H835" s="4">
        <v>1000189788</v>
      </c>
      <c r="I835" s="4" t="s">
        <v>102</v>
      </c>
      <c r="J835" s="2">
        <v>1000189270</v>
      </c>
      <c r="K835" s="2" t="s">
        <v>34</v>
      </c>
      <c r="L835" s="4" t="s">
        <v>23</v>
      </c>
      <c r="M835" s="4" t="str">
        <f t="shared" si="187"/>
        <v>1000184670100018619710001897881000189270SABORES DO CAMPO</v>
      </c>
      <c r="N835" s="28">
        <f>N821*_xlfn.XLOOKUP($L835,'Balizador da Meta'!$B$4:$B$21,'Balizador da Meta'!$C$4:$C$21)</f>
        <v>0</v>
      </c>
      <c r="O835" s="28">
        <f>O821*_xlfn.XLOOKUP($L835,'Balizador da Meta'!$B$4:$B$21,'Balizador da Meta'!$C$4:$C$21)</f>
        <v>0</v>
      </c>
      <c r="P835" s="28">
        <f>P821*_xlfn.XLOOKUP($L835,'Balizador da Meta'!$B$4:$B$21,'Balizador da Meta'!$C$4:$C$21)</f>
        <v>0</v>
      </c>
      <c r="Q835" s="28">
        <f>Q821*_xlfn.XLOOKUP($L835,'Balizador da Meta'!$B$4:$B$21,'Balizador da Meta'!$C$4:$C$21)</f>
        <v>0</v>
      </c>
      <c r="R835" s="28">
        <f>R821*_xlfn.XLOOKUP($L835,'Balizador da Meta'!$B$4:$B$21,'Balizador da Meta'!$C$4:$C$21)</f>
        <v>0</v>
      </c>
      <c r="S835" s="28">
        <f>S821*_xlfn.XLOOKUP($L835,'Balizador da Meta'!$B$4:$B$21,'Balizador da Meta'!$C$4:$C$21)</f>
        <v>0</v>
      </c>
      <c r="T835" s="28">
        <f>T821*_xlfn.XLOOKUP($L835,'Balizador da Meta'!$B$4:$B$21,'Balizador da Meta'!$C$4:$C$21)</f>
        <v>0</v>
      </c>
      <c r="U835" s="28">
        <f>U821*_xlfn.XLOOKUP($L835,'Balizador da Meta'!$B$4:$B$21,'Balizador da Meta'!$C$4:$C$21)</f>
        <v>0</v>
      </c>
      <c r="V835" s="28">
        <f>V821*_xlfn.XLOOKUP($L835,'Balizador da Meta'!$B$4:$B$21,'Balizador da Meta'!$C$4:$C$21)</f>
        <v>0</v>
      </c>
      <c r="W835" s="28">
        <f>W821*_xlfn.XLOOKUP($L835,'Balizador da Meta'!$B$4:$B$21,'Balizador da Meta'!$C$4:$C$21)</f>
        <v>0</v>
      </c>
      <c r="X835" s="28">
        <f>X821*_xlfn.XLOOKUP($L835,'Balizador da Meta'!$B$4:$B$21,'Balizador da Meta'!$C$4:$C$21)</f>
        <v>0</v>
      </c>
      <c r="Y835" s="28">
        <f>Y821*_xlfn.XLOOKUP($L835,'Balizador da Meta'!$B$4:$B$21,'Balizador da Meta'!$C$4:$C$21)</f>
        <v>0</v>
      </c>
      <c r="Z835" s="30">
        <f t="shared" si="200"/>
        <v>0</v>
      </c>
      <c r="AA835" s="29"/>
      <c r="AB835" s="31">
        <f>SUMIFS('Historico - FAT'!AK:AK,'Historico - FAT'!$K:$K,Faturamento!$L835,'Historico - FAT'!$I:$I,Faturamento!$J835,'Historico - FAT'!$G:$G,Faturamento!$H835)</f>
        <v>0</v>
      </c>
      <c r="AC835" s="31">
        <f>SUMIFS('Historico - FAT'!AL:AL,'Historico - FAT'!$K:$K,Faturamento!$L835,'Historico - FAT'!$I:$I,Faturamento!$J835,'Historico - FAT'!$G:$G,Faturamento!$H835)</f>
        <v>5.8083333333333336</v>
      </c>
      <c r="AD835" s="31">
        <f>SUMIFS('Historico - FAT'!AM:AM,'Historico - FAT'!$K:$K,Faturamento!$L835,'Historico - FAT'!$I:$I,Faturamento!$J835,'Historico - FAT'!$G:$G,Faturamento!$H835)</f>
        <v>11.616666666666667</v>
      </c>
      <c r="AE835" s="27">
        <f>SUMIFS('Historico - FAT'!AN:AN,'Historico - FAT'!$K:$K,Faturamento!$L835,'Historico - FAT'!$I:$I,Faturamento!$J835,'Historico - FAT'!$G:$G,Faturamento!$H835)</f>
        <v>6.9700000000000006</v>
      </c>
      <c r="AG835" s="24" t="str">
        <f t="shared" si="195"/>
        <v/>
      </c>
      <c r="AH835" s="24" t="str">
        <f t="shared" si="196"/>
        <v/>
      </c>
      <c r="AI835" s="24" t="str">
        <f t="shared" si="197"/>
        <v/>
      </c>
    </row>
    <row r="836" spans="1:35" hidden="1" x14ac:dyDescent="0.3">
      <c r="A836" s="2" t="str">
        <f t="shared" si="194"/>
        <v>NÃO</v>
      </c>
      <c r="B836" s="2">
        <v>1000184670</v>
      </c>
      <c r="C836" s="2" t="s">
        <v>147</v>
      </c>
      <c r="D836" s="4">
        <v>1000186197</v>
      </c>
      <c r="E836" s="4" t="s">
        <v>166</v>
      </c>
      <c r="F836" s="2">
        <v>1000184757</v>
      </c>
      <c r="G836" s="2" t="s">
        <v>62</v>
      </c>
      <c r="H836" s="4">
        <v>1000189788</v>
      </c>
      <c r="I836" s="4" t="s">
        <v>102</v>
      </c>
      <c r="J836" s="2">
        <v>1000189270</v>
      </c>
      <c r="K836" s="2" t="s">
        <v>34</v>
      </c>
      <c r="L836" s="4" t="s">
        <v>28</v>
      </c>
      <c r="M836" s="4" t="str">
        <f t="shared" si="187"/>
        <v>1000184670100018619710001897881000189270SAL</v>
      </c>
      <c r="N836" s="28">
        <f>N821*_xlfn.XLOOKUP($L836,'Balizador da Meta'!$B$4:$B$21,'Balizador da Meta'!$C$4:$C$21)</f>
        <v>12</v>
      </c>
      <c r="O836" s="28">
        <f>O821*_xlfn.XLOOKUP($L836,'Balizador da Meta'!$B$4:$B$21,'Balizador da Meta'!$C$4:$C$21)</f>
        <v>12</v>
      </c>
      <c r="P836" s="28">
        <f>P821*_xlfn.XLOOKUP($L836,'Balizador da Meta'!$B$4:$B$21,'Balizador da Meta'!$C$4:$C$21)</f>
        <v>12</v>
      </c>
      <c r="Q836" s="28">
        <f>Q821*_xlfn.XLOOKUP($L836,'Balizador da Meta'!$B$4:$B$21,'Balizador da Meta'!$C$4:$C$21)</f>
        <v>12</v>
      </c>
      <c r="R836" s="28">
        <f>R821*_xlfn.XLOOKUP($L836,'Balizador da Meta'!$B$4:$B$21,'Balizador da Meta'!$C$4:$C$21)</f>
        <v>12</v>
      </c>
      <c r="S836" s="28">
        <f>S821*_xlfn.XLOOKUP($L836,'Balizador da Meta'!$B$4:$B$21,'Balizador da Meta'!$C$4:$C$21)</f>
        <v>12</v>
      </c>
      <c r="T836" s="28">
        <f>T821*_xlfn.XLOOKUP($L836,'Balizador da Meta'!$B$4:$B$21,'Balizador da Meta'!$C$4:$C$21)</f>
        <v>12</v>
      </c>
      <c r="U836" s="28">
        <f>U821*_xlfn.XLOOKUP($L836,'Balizador da Meta'!$B$4:$B$21,'Balizador da Meta'!$C$4:$C$21)</f>
        <v>12</v>
      </c>
      <c r="V836" s="28">
        <f>V821*_xlfn.XLOOKUP($L836,'Balizador da Meta'!$B$4:$B$21,'Balizador da Meta'!$C$4:$C$21)</f>
        <v>12</v>
      </c>
      <c r="W836" s="28">
        <f>W821*_xlfn.XLOOKUP($L836,'Balizador da Meta'!$B$4:$B$21,'Balizador da Meta'!$C$4:$C$21)</f>
        <v>12</v>
      </c>
      <c r="X836" s="28">
        <f>X821*_xlfn.XLOOKUP($L836,'Balizador da Meta'!$B$4:$B$21,'Balizador da Meta'!$C$4:$C$21)</f>
        <v>12</v>
      </c>
      <c r="Y836" s="28">
        <f>Y821*_xlfn.XLOOKUP($L836,'Balizador da Meta'!$B$4:$B$21,'Balizador da Meta'!$C$4:$C$21)</f>
        <v>12</v>
      </c>
      <c r="Z836" s="30">
        <f t="shared" si="200"/>
        <v>144</v>
      </c>
      <c r="AA836" s="29"/>
      <c r="AB836" s="31">
        <f>SUMIFS('Historico - FAT'!AK:AK,'Historico - FAT'!$K:$K,Faturamento!$L836,'Historico - FAT'!$I:$I,Faturamento!$J836,'Historico - FAT'!$G:$G,Faturamento!$H836)</f>
        <v>0</v>
      </c>
      <c r="AC836" s="31">
        <f>SUMIFS('Historico - FAT'!AL:AL,'Historico - FAT'!$K:$K,Faturamento!$L836,'Historico - FAT'!$I:$I,Faturamento!$J836,'Historico - FAT'!$G:$G,Faturamento!$H836)</f>
        <v>0</v>
      </c>
      <c r="AD836" s="31">
        <f>SUMIFS('Historico - FAT'!AM:AM,'Historico - FAT'!$K:$K,Faturamento!$L836,'Historico - FAT'!$I:$I,Faturamento!$J836,'Historico - FAT'!$G:$G,Faturamento!$H836)</f>
        <v>0</v>
      </c>
      <c r="AE836" s="27">
        <f>SUMIFS('Historico - FAT'!AN:AN,'Historico - FAT'!$K:$K,Faturamento!$L836,'Historico - FAT'!$I:$I,Faturamento!$J836,'Historico - FAT'!$G:$G,Faturamento!$H836)</f>
        <v>0</v>
      </c>
      <c r="AG836" s="24">
        <f t="shared" si="195"/>
        <v>1</v>
      </c>
      <c r="AH836" s="24">
        <f t="shared" si="196"/>
        <v>1</v>
      </c>
      <c r="AI836" s="24">
        <f t="shared" si="197"/>
        <v>1</v>
      </c>
    </row>
    <row r="837" spans="1:35" hidden="1" x14ac:dyDescent="0.3">
      <c r="A837" s="2" t="str">
        <f t="shared" si="194"/>
        <v>NÃO</v>
      </c>
      <c r="B837" s="2">
        <v>1000184670</v>
      </c>
      <c r="C837" s="2" t="s">
        <v>147</v>
      </c>
      <c r="D837" s="4">
        <v>1000186197</v>
      </c>
      <c r="E837" s="4" t="s">
        <v>166</v>
      </c>
      <c r="F837" s="2">
        <v>1000184757</v>
      </c>
      <c r="G837" s="2" t="s">
        <v>62</v>
      </c>
      <c r="H837" s="4">
        <v>1000189788</v>
      </c>
      <c r="I837" s="4" t="s">
        <v>102</v>
      </c>
      <c r="J837" s="2">
        <v>1000189270</v>
      </c>
      <c r="K837" s="2" t="s">
        <v>34</v>
      </c>
      <c r="L837" s="4" t="s">
        <v>26</v>
      </c>
      <c r="M837" s="4" t="str">
        <f t="shared" ref="M837:M900" si="201">_xlfn.CONCAT(B837,D837,H837,J837,L837,)</f>
        <v>1000184670100018619710001897881000189270SOULPRO</v>
      </c>
      <c r="N837" s="28">
        <f>N821*_xlfn.XLOOKUP($L837,'Balizador da Meta'!$B$4:$B$21,'Balizador da Meta'!$C$4:$C$21)</f>
        <v>36</v>
      </c>
      <c r="O837" s="28">
        <f>O821*_xlfn.XLOOKUP($L837,'Balizador da Meta'!$B$4:$B$21,'Balizador da Meta'!$C$4:$C$21)</f>
        <v>36</v>
      </c>
      <c r="P837" s="28">
        <f>P821*_xlfn.XLOOKUP($L837,'Balizador da Meta'!$B$4:$B$21,'Balizador da Meta'!$C$4:$C$21)</f>
        <v>36</v>
      </c>
      <c r="Q837" s="28">
        <f>Q821*_xlfn.XLOOKUP($L837,'Balizador da Meta'!$B$4:$B$21,'Balizador da Meta'!$C$4:$C$21)</f>
        <v>36</v>
      </c>
      <c r="R837" s="28">
        <f>R821*_xlfn.XLOOKUP($L837,'Balizador da Meta'!$B$4:$B$21,'Balizador da Meta'!$C$4:$C$21)</f>
        <v>36</v>
      </c>
      <c r="S837" s="28">
        <f>S821*_xlfn.XLOOKUP($L837,'Balizador da Meta'!$B$4:$B$21,'Balizador da Meta'!$C$4:$C$21)</f>
        <v>36</v>
      </c>
      <c r="T837" s="28">
        <f>T821*_xlfn.XLOOKUP($L837,'Balizador da Meta'!$B$4:$B$21,'Balizador da Meta'!$C$4:$C$21)</f>
        <v>36</v>
      </c>
      <c r="U837" s="28">
        <f>U821*_xlfn.XLOOKUP($L837,'Balizador da Meta'!$B$4:$B$21,'Balizador da Meta'!$C$4:$C$21)</f>
        <v>36</v>
      </c>
      <c r="V837" s="28">
        <f>V821*_xlfn.XLOOKUP($L837,'Balizador da Meta'!$B$4:$B$21,'Balizador da Meta'!$C$4:$C$21)</f>
        <v>36</v>
      </c>
      <c r="W837" s="28">
        <f>W821*_xlfn.XLOOKUP($L837,'Balizador da Meta'!$B$4:$B$21,'Balizador da Meta'!$C$4:$C$21)</f>
        <v>36</v>
      </c>
      <c r="X837" s="28">
        <f>X821*_xlfn.XLOOKUP($L837,'Balizador da Meta'!$B$4:$B$21,'Balizador da Meta'!$C$4:$C$21)</f>
        <v>36</v>
      </c>
      <c r="Y837" s="28">
        <f>Y821*_xlfn.XLOOKUP($L837,'Balizador da Meta'!$B$4:$B$21,'Balizador da Meta'!$C$4:$C$21)</f>
        <v>36</v>
      </c>
      <c r="Z837" s="30">
        <f t="shared" si="200"/>
        <v>432</v>
      </c>
      <c r="AA837" s="29"/>
      <c r="AB837" s="31">
        <f>SUMIFS('Historico - FAT'!AK:AK,'Historico - FAT'!$K:$K,Faturamento!$L837,'Historico - FAT'!$I:$I,Faturamento!$J837,'Historico - FAT'!$G:$G,Faturamento!$H837)</f>
        <v>0</v>
      </c>
      <c r="AC837" s="31">
        <f>SUMIFS('Historico - FAT'!AL:AL,'Historico - FAT'!$K:$K,Faturamento!$L837,'Historico - FAT'!$I:$I,Faturamento!$J837,'Historico - FAT'!$G:$G,Faturamento!$H837)</f>
        <v>0</v>
      </c>
      <c r="AD837" s="31">
        <f>SUMIFS('Historico - FAT'!AM:AM,'Historico - FAT'!$K:$K,Faturamento!$L837,'Historico - FAT'!$I:$I,Faturamento!$J837,'Historico - FAT'!$G:$G,Faturamento!$H837)</f>
        <v>0</v>
      </c>
      <c r="AE837" s="27">
        <f>SUMIFS('Historico - FAT'!AN:AN,'Historico - FAT'!$K:$K,Faturamento!$L837,'Historico - FAT'!$I:$I,Faturamento!$J837,'Historico - FAT'!$G:$G,Faturamento!$H837)</f>
        <v>0</v>
      </c>
      <c r="AG837" s="24">
        <f t="shared" si="195"/>
        <v>1</v>
      </c>
      <c r="AH837" s="24">
        <f t="shared" si="196"/>
        <v>1</v>
      </c>
      <c r="AI837" s="24">
        <f t="shared" si="197"/>
        <v>1</v>
      </c>
    </row>
    <row r="838" spans="1:35" hidden="1" x14ac:dyDescent="0.3">
      <c r="A838" s="2" t="str">
        <f t="shared" si="194"/>
        <v>NÃO</v>
      </c>
      <c r="B838" s="2">
        <v>1000184670</v>
      </c>
      <c r="C838" s="2" t="s">
        <v>147</v>
      </c>
      <c r="D838" s="4">
        <v>1000186197</v>
      </c>
      <c r="E838" s="4" t="s">
        <v>166</v>
      </c>
      <c r="F838" s="2">
        <v>1000184757</v>
      </c>
      <c r="G838" s="2" t="s">
        <v>62</v>
      </c>
      <c r="H838" s="4">
        <v>1000189788</v>
      </c>
      <c r="I838" s="4" t="s">
        <v>102</v>
      </c>
      <c r="J838" s="2">
        <v>1000189270</v>
      </c>
      <c r="K838" s="2" t="s">
        <v>34</v>
      </c>
      <c r="L838" s="4" t="s">
        <v>27</v>
      </c>
      <c r="M838" s="4" t="str">
        <f t="shared" si="201"/>
        <v>1000184670100018619710001897881000189270TAMARA</v>
      </c>
      <c r="N838" s="28">
        <f>N821*_xlfn.XLOOKUP($L838,'Balizador da Meta'!$B$4:$B$21,'Balizador da Meta'!$C$4:$C$21)</f>
        <v>48</v>
      </c>
      <c r="O838" s="28">
        <f>O821*_xlfn.XLOOKUP($L838,'Balizador da Meta'!$B$4:$B$21,'Balizador da Meta'!$C$4:$C$21)</f>
        <v>48</v>
      </c>
      <c r="P838" s="28">
        <f>P821*_xlfn.XLOOKUP($L838,'Balizador da Meta'!$B$4:$B$21,'Balizador da Meta'!$C$4:$C$21)</f>
        <v>48</v>
      </c>
      <c r="Q838" s="28">
        <f>Q821*_xlfn.XLOOKUP($L838,'Balizador da Meta'!$B$4:$B$21,'Balizador da Meta'!$C$4:$C$21)</f>
        <v>48</v>
      </c>
      <c r="R838" s="28">
        <f>R821*_xlfn.XLOOKUP($L838,'Balizador da Meta'!$B$4:$B$21,'Balizador da Meta'!$C$4:$C$21)</f>
        <v>48</v>
      </c>
      <c r="S838" s="28">
        <f>S821*_xlfn.XLOOKUP($L838,'Balizador da Meta'!$B$4:$B$21,'Balizador da Meta'!$C$4:$C$21)</f>
        <v>48</v>
      </c>
      <c r="T838" s="28">
        <f>T821*_xlfn.XLOOKUP($L838,'Balizador da Meta'!$B$4:$B$21,'Balizador da Meta'!$C$4:$C$21)</f>
        <v>48</v>
      </c>
      <c r="U838" s="28">
        <f>U821*_xlfn.XLOOKUP($L838,'Balizador da Meta'!$B$4:$B$21,'Balizador da Meta'!$C$4:$C$21)</f>
        <v>48</v>
      </c>
      <c r="V838" s="28">
        <f>V821*_xlfn.XLOOKUP($L838,'Balizador da Meta'!$B$4:$B$21,'Balizador da Meta'!$C$4:$C$21)</f>
        <v>48</v>
      </c>
      <c r="W838" s="28">
        <f>W821*_xlfn.XLOOKUP($L838,'Balizador da Meta'!$B$4:$B$21,'Balizador da Meta'!$C$4:$C$21)</f>
        <v>48</v>
      </c>
      <c r="X838" s="28">
        <f>X821*_xlfn.XLOOKUP($L838,'Balizador da Meta'!$B$4:$B$21,'Balizador da Meta'!$C$4:$C$21)</f>
        <v>48</v>
      </c>
      <c r="Y838" s="28">
        <f>Y821*_xlfn.XLOOKUP($L838,'Balizador da Meta'!$B$4:$B$21,'Balizador da Meta'!$C$4:$C$21)</f>
        <v>48</v>
      </c>
      <c r="Z838" s="30">
        <f t="shared" si="200"/>
        <v>576</v>
      </c>
      <c r="AA838" s="29"/>
      <c r="AB838" s="31">
        <f>SUMIFS('Historico - FAT'!AK:AK,'Historico - FAT'!$K:$K,Faturamento!$L838,'Historico - FAT'!$I:$I,Faturamento!$J838,'Historico - FAT'!$G:$G,Faturamento!$H838)</f>
        <v>0</v>
      </c>
      <c r="AC838" s="31">
        <f>SUMIFS('Historico - FAT'!AL:AL,'Historico - FAT'!$K:$K,Faturamento!$L838,'Historico - FAT'!$I:$I,Faturamento!$J838,'Historico - FAT'!$G:$G,Faturamento!$H838)</f>
        <v>0</v>
      </c>
      <c r="AD838" s="31">
        <f>SUMIFS('Historico - FAT'!AM:AM,'Historico - FAT'!$K:$K,Faturamento!$L838,'Historico - FAT'!$I:$I,Faturamento!$J838,'Historico - FAT'!$G:$G,Faturamento!$H838)</f>
        <v>0</v>
      </c>
      <c r="AE838" s="27">
        <f>SUMIFS('Historico - FAT'!AN:AN,'Historico - FAT'!$K:$K,Faturamento!$L838,'Historico - FAT'!$I:$I,Faturamento!$J838,'Historico - FAT'!$G:$G,Faturamento!$H838)</f>
        <v>0</v>
      </c>
      <c r="AG838" s="24">
        <f t="shared" si="195"/>
        <v>1</v>
      </c>
      <c r="AH838" s="24">
        <f t="shared" si="196"/>
        <v>1</v>
      </c>
      <c r="AI838" s="24">
        <f t="shared" si="197"/>
        <v>1</v>
      </c>
    </row>
    <row r="839" spans="1:35" hidden="1" x14ac:dyDescent="0.3">
      <c r="A839" s="2" t="str">
        <f t="shared" si="194"/>
        <v>NÃO</v>
      </c>
      <c r="B839" s="2">
        <v>1000184670</v>
      </c>
      <c r="C839" s="2" t="s">
        <v>147</v>
      </c>
      <c r="D839" s="4">
        <v>1000186197</v>
      </c>
      <c r="E839" s="4" t="s">
        <v>166</v>
      </c>
      <c r="F839" s="2">
        <v>1000184757</v>
      </c>
      <c r="G839" s="2" t="s">
        <v>62</v>
      </c>
      <c r="H839" s="4">
        <v>1000189788</v>
      </c>
      <c r="I839" s="4" t="s">
        <v>102</v>
      </c>
      <c r="J839" s="2">
        <v>1000189270</v>
      </c>
      <c r="K839" s="2" t="s">
        <v>34</v>
      </c>
      <c r="L839" s="4" t="s">
        <v>25</v>
      </c>
      <c r="M839" s="4" t="str">
        <f t="shared" si="201"/>
        <v>1000184670100018619710001897881000189270VICCIO</v>
      </c>
      <c r="N839" s="28">
        <f>N821*_xlfn.XLOOKUP($L839,'Balizador da Meta'!$B$4:$B$21,'Balizador da Meta'!$C$4:$C$21)</f>
        <v>18</v>
      </c>
      <c r="O839" s="28">
        <f>O821*_xlfn.XLOOKUP($L839,'Balizador da Meta'!$B$4:$B$21,'Balizador da Meta'!$C$4:$C$21)</f>
        <v>18</v>
      </c>
      <c r="P839" s="28">
        <f>P821*_xlfn.XLOOKUP($L839,'Balizador da Meta'!$B$4:$B$21,'Balizador da Meta'!$C$4:$C$21)</f>
        <v>18</v>
      </c>
      <c r="Q839" s="28">
        <f>Q821*_xlfn.XLOOKUP($L839,'Balizador da Meta'!$B$4:$B$21,'Balizador da Meta'!$C$4:$C$21)</f>
        <v>18</v>
      </c>
      <c r="R839" s="28">
        <f>R821*_xlfn.XLOOKUP($L839,'Balizador da Meta'!$B$4:$B$21,'Balizador da Meta'!$C$4:$C$21)</f>
        <v>18</v>
      </c>
      <c r="S839" s="28">
        <f>S821*_xlfn.XLOOKUP($L839,'Balizador da Meta'!$B$4:$B$21,'Balizador da Meta'!$C$4:$C$21)</f>
        <v>18</v>
      </c>
      <c r="T839" s="28">
        <f>T821*_xlfn.XLOOKUP($L839,'Balizador da Meta'!$B$4:$B$21,'Balizador da Meta'!$C$4:$C$21)</f>
        <v>18</v>
      </c>
      <c r="U839" s="28">
        <f>U821*_xlfn.XLOOKUP($L839,'Balizador da Meta'!$B$4:$B$21,'Balizador da Meta'!$C$4:$C$21)</f>
        <v>18</v>
      </c>
      <c r="V839" s="28">
        <f>V821*_xlfn.XLOOKUP($L839,'Balizador da Meta'!$B$4:$B$21,'Balizador da Meta'!$C$4:$C$21)</f>
        <v>18</v>
      </c>
      <c r="W839" s="28">
        <f>W821*_xlfn.XLOOKUP($L839,'Balizador da Meta'!$B$4:$B$21,'Balizador da Meta'!$C$4:$C$21)</f>
        <v>18</v>
      </c>
      <c r="X839" s="28">
        <f>X821*_xlfn.XLOOKUP($L839,'Balizador da Meta'!$B$4:$B$21,'Balizador da Meta'!$C$4:$C$21)</f>
        <v>18</v>
      </c>
      <c r="Y839" s="28">
        <f>Y821*_xlfn.XLOOKUP($L839,'Balizador da Meta'!$B$4:$B$21,'Balizador da Meta'!$C$4:$C$21)</f>
        <v>18</v>
      </c>
      <c r="Z839" s="30">
        <f t="shared" si="200"/>
        <v>216</v>
      </c>
      <c r="AA839" s="29"/>
      <c r="AB839" s="31">
        <f>SUMIFS('Historico - FAT'!AK:AK,'Historico - FAT'!$K:$K,Faturamento!$L839,'Historico - FAT'!$I:$I,Faturamento!$J839,'Historico - FAT'!$G:$G,Faturamento!$H839)</f>
        <v>0</v>
      </c>
      <c r="AC839" s="31">
        <f>SUMIFS('Historico - FAT'!AL:AL,'Historico - FAT'!$K:$K,Faturamento!$L839,'Historico - FAT'!$I:$I,Faturamento!$J839,'Historico - FAT'!$G:$G,Faturamento!$H839)</f>
        <v>0</v>
      </c>
      <c r="AD839" s="31">
        <f>SUMIFS('Historico - FAT'!AM:AM,'Historico - FAT'!$K:$K,Faturamento!$L839,'Historico - FAT'!$I:$I,Faturamento!$J839,'Historico - FAT'!$G:$G,Faturamento!$H839)</f>
        <v>0</v>
      </c>
      <c r="AE839" s="27">
        <f>SUMIFS('Historico - FAT'!AN:AN,'Historico - FAT'!$K:$K,Faturamento!$L839,'Historico - FAT'!$I:$I,Faturamento!$J839,'Historico - FAT'!$G:$G,Faturamento!$H839)</f>
        <v>0</v>
      </c>
      <c r="AG839" s="24">
        <f t="shared" si="195"/>
        <v>1</v>
      </c>
      <c r="AH839" s="24">
        <f t="shared" si="196"/>
        <v>1</v>
      </c>
      <c r="AI839" s="24">
        <f t="shared" si="197"/>
        <v>1</v>
      </c>
    </row>
    <row r="840" spans="1:35" x14ac:dyDescent="0.3">
      <c r="A840" s="2" t="str">
        <f t="shared" si="194"/>
        <v>SIM</v>
      </c>
      <c r="B840" s="2">
        <v>1000184670</v>
      </c>
      <c r="C840" s="2" t="s">
        <v>147</v>
      </c>
      <c r="D840" s="4">
        <v>1000186197</v>
      </c>
      <c r="E840" s="4" t="s">
        <v>166</v>
      </c>
      <c r="F840" s="2">
        <v>1000184757</v>
      </c>
      <c r="G840" s="2" t="s">
        <v>62</v>
      </c>
      <c r="H840" s="4">
        <v>1000189789</v>
      </c>
      <c r="I840" s="4" t="s">
        <v>77</v>
      </c>
      <c r="J840" s="2">
        <v>1000189270</v>
      </c>
      <c r="K840" s="2" t="s">
        <v>34</v>
      </c>
      <c r="L840" s="4" t="s">
        <v>124</v>
      </c>
      <c r="M840" s="4" t="str">
        <f t="shared" si="201"/>
        <v>100018467010001861971000189789100018927001. TOTAL</v>
      </c>
      <c r="N840" s="28">
        <f>SUMIFS(Positivação!L:L,Positivação!$I:$I,Faturamento!$J840,Positivação!$G:$G,Faturamento!$H840)*SUMIFS(Positivação!$Z:$Z,Positivação!$I:$I,Faturamento!$J840,Positivação!$G:$G,Faturamento!$H840)</f>
        <v>2400</v>
      </c>
      <c r="O840" s="28">
        <f>SUMIFS(Positivação!M:M,Positivação!$I:$I,Faturamento!$J840,Positivação!$G:$G,Faturamento!$H840)*SUMIFS(Positivação!$Z:$Z,Positivação!$I:$I,Faturamento!$J840,Positivação!$G:$G,Faturamento!$H840)</f>
        <v>2400</v>
      </c>
      <c r="P840" s="28">
        <f>SUMIFS(Positivação!N:N,Positivação!$I:$I,Faturamento!$J840,Positivação!$G:$G,Faturamento!$H840)*SUMIFS(Positivação!$Z:$Z,Positivação!$I:$I,Faturamento!$J840,Positivação!$G:$G,Faturamento!$H840)</f>
        <v>2400</v>
      </c>
      <c r="Q840" s="28">
        <f>SUMIFS(Positivação!O:O,Positivação!$I:$I,Faturamento!$J840,Positivação!$G:$G,Faturamento!$H840)*SUMIFS(Positivação!$Z:$Z,Positivação!$I:$I,Faturamento!$J840,Positivação!$G:$G,Faturamento!$H840)</f>
        <v>2400</v>
      </c>
      <c r="R840" s="28">
        <f>SUMIFS(Positivação!P:P,Positivação!$I:$I,Faturamento!$J840,Positivação!$G:$G,Faturamento!$H840)*SUMIFS(Positivação!$Z:$Z,Positivação!$I:$I,Faturamento!$J840,Positivação!$G:$G,Faturamento!$H840)</f>
        <v>2400</v>
      </c>
      <c r="S840" s="28">
        <f>SUMIFS(Positivação!Q:Q,Positivação!$I:$I,Faturamento!$J840,Positivação!$G:$G,Faturamento!$H840)*SUMIFS(Positivação!$Z:$Z,Positivação!$I:$I,Faturamento!$J840,Positivação!$G:$G,Faturamento!$H840)</f>
        <v>2400</v>
      </c>
      <c r="T840" s="28">
        <f>SUMIFS(Positivação!R:R,Positivação!$I:$I,Faturamento!$J840,Positivação!$G:$G,Faturamento!$H840)*SUMIFS(Positivação!$Z:$Z,Positivação!$I:$I,Faturamento!$J840,Positivação!$G:$G,Faturamento!$H840)</f>
        <v>2400</v>
      </c>
      <c r="U840" s="28">
        <f>SUMIFS(Positivação!S:S,Positivação!$I:$I,Faturamento!$J840,Positivação!$G:$G,Faturamento!$H840)*SUMIFS(Positivação!$Z:$Z,Positivação!$I:$I,Faturamento!$J840,Positivação!$G:$G,Faturamento!$H840)</f>
        <v>2400</v>
      </c>
      <c r="V840" s="28">
        <f>SUMIFS(Positivação!T:T,Positivação!$I:$I,Faturamento!$J840,Positivação!$G:$G,Faturamento!$H840)*SUMIFS(Positivação!$Z:$Z,Positivação!$I:$I,Faturamento!$J840,Positivação!$G:$G,Faturamento!$H840)</f>
        <v>2400</v>
      </c>
      <c r="W840" s="28">
        <f>SUMIFS(Positivação!U:U,Positivação!$I:$I,Faturamento!$J840,Positivação!$G:$G,Faturamento!$H840)*SUMIFS(Positivação!$Z:$Z,Positivação!$I:$I,Faturamento!$J840,Positivação!$G:$G,Faturamento!$H840)</f>
        <v>2400</v>
      </c>
      <c r="X840" s="28">
        <f>SUMIFS(Positivação!V:V,Positivação!$I:$I,Faturamento!$J840,Positivação!$G:$G,Faturamento!$H840)*SUMIFS(Positivação!$Z:$Z,Positivação!$I:$I,Faturamento!$J840,Positivação!$G:$G,Faturamento!$H840)</f>
        <v>2400</v>
      </c>
      <c r="Y840" s="28">
        <f>SUMIFS(Positivação!W:W,Positivação!$I:$I,Faturamento!$J840,Positivação!$G:$G,Faturamento!$H840)*SUMIFS(Positivação!$Z:$Z,Positivação!$I:$I,Faturamento!$J840,Positivação!$G:$G,Faturamento!$H840)</f>
        <v>2400</v>
      </c>
      <c r="Z840" s="28">
        <f t="shared" ref="Z840" si="202">SUM(Z841:Z858)</f>
        <v>28800</v>
      </c>
      <c r="AA840" s="29"/>
      <c r="AB840" s="28">
        <f t="shared" ref="AB840:AE840" si="203">SUM(AB841:AB858)</f>
        <v>0</v>
      </c>
      <c r="AC840" s="28">
        <f t="shared" si="203"/>
        <v>6245.1275000000014</v>
      </c>
      <c r="AD840" s="28">
        <f t="shared" si="203"/>
        <v>9893.6850000000013</v>
      </c>
      <c r="AE840" s="28">
        <f t="shared" si="203"/>
        <v>7494.1530000000002</v>
      </c>
      <c r="AG840" s="24">
        <f t="shared" si="195"/>
        <v>1</v>
      </c>
      <c r="AH840" s="24">
        <f t="shared" si="196"/>
        <v>-1.602136458333334</v>
      </c>
      <c r="AI840" s="24">
        <f t="shared" si="197"/>
        <v>-3.1223687500000006</v>
      </c>
    </row>
    <row r="841" spans="1:35" hidden="1" x14ac:dyDescent="0.3">
      <c r="A841" s="2" t="str">
        <f t="shared" si="194"/>
        <v>NÃO</v>
      </c>
      <c r="B841" s="2">
        <v>1000184670</v>
      </c>
      <c r="C841" s="2" t="s">
        <v>147</v>
      </c>
      <c r="D841" s="4">
        <v>1000186197</v>
      </c>
      <c r="E841" s="4" t="s">
        <v>166</v>
      </c>
      <c r="F841" s="2">
        <v>1000184757</v>
      </c>
      <c r="G841" s="2" t="s">
        <v>62</v>
      </c>
      <c r="H841" s="4">
        <v>1000189789</v>
      </c>
      <c r="I841" s="4" t="s">
        <v>77</v>
      </c>
      <c r="J841" s="2">
        <v>1000189270</v>
      </c>
      <c r="K841" s="2" t="s">
        <v>34</v>
      </c>
      <c r="L841" s="4" t="s">
        <v>13</v>
      </c>
      <c r="M841" s="4" t="str">
        <f t="shared" si="201"/>
        <v>1000184670100018619710001897891000189270BISCOITO</v>
      </c>
      <c r="N841" s="28">
        <f>N840*_xlfn.XLOOKUP($L841,'Balizador da Meta'!$B$4:$B$21,'Balizador da Meta'!$C$4:$C$21)</f>
        <v>168.00000000000003</v>
      </c>
      <c r="O841" s="28">
        <f>O840*_xlfn.XLOOKUP($L841,'Balizador da Meta'!$B$4:$B$21,'Balizador da Meta'!$C$4:$C$21)</f>
        <v>168.00000000000003</v>
      </c>
      <c r="P841" s="28">
        <f>P840*_xlfn.XLOOKUP($L841,'Balizador da Meta'!$B$4:$B$21,'Balizador da Meta'!$C$4:$C$21)</f>
        <v>168.00000000000003</v>
      </c>
      <c r="Q841" s="28">
        <f>Q840*_xlfn.XLOOKUP($L841,'Balizador da Meta'!$B$4:$B$21,'Balizador da Meta'!$C$4:$C$21)</f>
        <v>168.00000000000003</v>
      </c>
      <c r="R841" s="28">
        <f>R840*_xlfn.XLOOKUP($L841,'Balizador da Meta'!$B$4:$B$21,'Balizador da Meta'!$C$4:$C$21)</f>
        <v>168.00000000000003</v>
      </c>
      <c r="S841" s="28">
        <f>S840*_xlfn.XLOOKUP($L841,'Balizador da Meta'!$B$4:$B$21,'Balizador da Meta'!$C$4:$C$21)</f>
        <v>168.00000000000003</v>
      </c>
      <c r="T841" s="28">
        <f>T840*_xlfn.XLOOKUP($L841,'Balizador da Meta'!$B$4:$B$21,'Balizador da Meta'!$C$4:$C$21)</f>
        <v>168.00000000000003</v>
      </c>
      <c r="U841" s="28">
        <f>U840*_xlfn.XLOOKUP($L841,'Balizador da Meta'!$B$4:$B$21,'Balizador da Meta'!$C$4:$C$21)</f>
        <v>168.00000000000003</v>
      </c>
      <c r="V841" s="28">
        <f>V840*_xlfn.XLOOKUP($L841,'Balizador da Meta'!$B$4:$B$21,'Balizador da Meta'!$C$4:$C$21)</f>
        <v>168.00000000000003</v>
      </c>
      <c r="W841" s="28">
        <f>W840*_xlfn.XLOOKUP($L841,'Balizador da Meta'!$B$4:$B$21,'Balizador da Meta'!$C$4:$C$21)</f>
        <v>168.00000000000003</v>
      </c>
      <c r="X841" s="28">
        <f>X840*_xlfn.XLOOKUP($L841,'Balizador da Meta'!$B$4:$B$21,'Balizador da Meta'!$C$4:$C$21)</f>
        <v>168.00000000000003</v>
      </c>
      <c r="Y841" s="28">
        <f>Y840*_xlfn.XLOOKUP($L841,'Balizador da Meta'!$B$4:$B$21,'Balizador da Meta'!$C$4:$C$21)</f>
        <v>168.00000000000003</v>
      </c>
      <c r="Z841" s="30">
        <f t="shared" ref="Z841:Z858" si="204">SUM(N841:Y841)</f>
        <v>2016.0000000000002</v>
      </c>
      <c r="AA841" s="29"/>
      <c r="AB841" s="31">
        <f>SUMIFS('Historico - FAT'!AK:AK,'Historico - FAT'!$K:$K,Faturamento!$L841,'Historico - FAT'!$I:$I,Faturamento!$J841,'Historico - FAT'!$G:$G,Faturamento!$H841)</f>
        <v>0</v>
      </c>
      <c r="AC841" s="31">
        <f>SUMIFS('Historico - FAT'!AL:AL,'Historico - FAT'!$K:$K,Faturamento!$L841,'Historico - FAT'!$I:$I,Faturamento!$J841,'Historico - FAT'!$G:$G,Faturamento!$H841)</f>
        <v>149.26750000000001</v>
      </c>
      <c r="AD841" s="31">
        <f>SUMIFS('Historico - FAT'!AM:AM,'Historico - FAT'!$K:$K,Faturamento!$L841,'Historico - FAT'!$I:$I,Faturamento!$J841,'Historico - FAT'!$G:$G,Faturamento!$H841)</f>
        <v>298.53500000000003</v>
      </c>
      <c r="AE841" s="27">
        <f>SUMIFS('Historico - FAT'!AN:AN,'Historico - FAT'!$K:$K,Faturamento!$L841,'Historico - FAT'!$I:$I,Faturamento!$J841,'Historico - FAT'!$G:$G,Faturamento!$H841)</f>
        <v>179.12100000000001</v>
      </c>
      <c r="AG841" s="24">
        <f t="shared" si="195"/>
        <v>1</v>
      </c>
      <c r="AH841" s="24">
        <f t="shared" si="196"/>
        <v>0.11150297619047626</v>
      </c>
      <c r="AI841" s="24">
        <f t="shared" si="197"/>
        <v>-0.77699404761904745</v>
      </c>
    </row>
    <row r="842" spans="1:35" hidden="1" x14ac:dyDescent="0.3">
      <c r="A842" s="2" t="str">
        <f t="shared" si="194"/>
        <v>NÃO</v>
      </c>
      <c r="B842" s="2">
        <v>1000184670</v>
      </c>
      <c r="C842" s="2" t="s">
        <v>147</v>
      </c>
      <c r="D842" s="4">
        <v>1000186197</v>
      </c>
      <c r="E842" s="4" t="s">
        <v>166</v>
      </c>
      <c r="F842" s="2">
        <v>1000184757</v>
      </c>
      <c r="G842" s="2" t="s">
        <v>62</v>
      </c>
      <c r="H842" s="4">
        <v>1000189789</v>
      </c>
      <c r="I842" s="4" t="s">
        <v>77</v>
      </c>
      <c r="J842" s="2">
        <v>1000189270</v>
      </c>
      <c r="K842" s="2" t="s">
        <v>34</v>
      </c>
      <c r="L842" s="4" t="s">
        <v>14</v>
      </c>
      <c r="M842" s="4" t="str">
        <f t="shared" si="201"/>
        <v>1000184670100018619710001897891000189270CHOCOLATES</v>
      </c>
      <c r="N842" s="28">
        <f>N840*_xlfn.XLOOKUP($L842,'Balizador da Meta'!$B$4:$B$21,'Balizador da Meta'!$C$4:$C$21)</f>
        <v>168.00000000000003</v>
      </c>
      <c r="O842" s="28">
        <f>O840*_xlfn.XLOOKUP($L842,'Balizador da Meta'!$B$4:$B$21,'Balizador da Meta'!$C$4:$C$21)</f>
        <v>168.00000000000003</v>
      </c>
      <c r="P842" s="28">
        <f>P840*_xlfn.XLOOKUP($L842,'Balizador da Meta'!$B$4:$B$21,'Balizador da Meta'!$C$4:$C$21)</f>
        <v>168.00000000000003</v>
      </c>
      <c r="Q842" s="28">
        <f>Q840*_xlfn.XLOOKUP($L842,'Balizador da Meta'!$B$4:$B$21,'Balizador da Meta'!$C$4:$C$21)</f>
        <v>168.00000000000003</v>
      </c>
      <c r="R842" s="28">
        <f>R840*_xlfn.XLOOKUP($L842,'Balizador da Meta'!$B$4:$B$21,'Balizador da Meta'!$C$4:$C$21)</f>
        <v>168.00000000000003</v>
      </c>
      <c r="S842" s="28">
        <f>S840*_xlfn.XLOOKUP($L842,'Balizador da Meta'!$B$4:$B$21,'Balizador da Meta'!$C$4:$C$21)</f>
        <v>168.00000000000003</v>
      </c>
      <c r="T842" s="28">
        <f>T840*_xlfn.XLOOKUP($L842,'Balizador da Meta'!$B$4:$B$21,'Balizador da Meta'!$C$4:$C$21)</f>
        <v>168.00000000000003</v>
      </c>
      <c r="U842" s="28">
        <f>U840*_xlfn.XLOOKUP($L842,'Balizador da Meta'!$B$4:$B$21,'Balizador da Meta'!$C$4:$C$21)</f>
        <v>168.00000000000003</v>
      </c>
      <c r="V842" s="28">
        <f>V840*_xlfn.XLOOKUP($L842,'Balizador da Meta'!$B$4:$B$21,'Balizador da Meta'!$C$4:$C$21)</f>
        <v>168.00000000000003</v>
      </c>
      <c r="W842" s="28">
        <f>W840*_xlfn.XLOOKUP($L842,'Balizador da Meta'!$B$4:$B$21,'Balizador da Meta'!$C$4:$C$21)</f>
        <v>168.00000000000003</v>
      </c>
      <c r="X842" s="28">
        <f>X840*_xlfn.XLOOKUP($L842,'Balizador da Meta'!$B$4:$B$21,'Balizador da Meta'!$C$4:$C$21)</f>
        <v>168.00000000000003</v>
      </c>
      <c r="Y842" s="28">
        <f>Y840*_xlfn.XLOOKUP($L842,'Balizador da Meta'!$B$4:$B$21,'Balizador da Meta'!$C$4:$C$21)</f>
        <v>168.00000000000003</v>
      </c>
      <c r="Z842" s="30">
        <f t="shared" si="204"/>
        <v>2016.0000000000002</v>
      </c>
      <c r="AA842" s="29"/>
      <c r="AB842" s="31">
        <f>SUMIFS('Historico - FAT'!AK:AK,'Historico - FAT'!$K:$K,Faturamento!$L842,'Historico - FAT'!$I:$I,Faturamento!$J842,'Historico - FAT'!$G:$G,Faturamento!$H842)</f>
        <v>0</v>
      </c>
      <c r="AC842" s="31">
        <f>SUMIFS('Historico - FAT'!AL:AL,'Historico - FAT'!$K:$K,Faturamento!$L842,'Historico - FAT'!$I:$I,Faturamento!$J842,'Historico - FAT'!$G:$G,Faturamento!$H842)</f>
        <v>26.25</v>
      </c>
      <c r="AD842" s="31">
        <f>SUMIFS('Historico - FAT'!AM:AM,'Historico - FAT'!$K:$K,Faturamento!$L842,'Historico - FAT'!$I:$I,Faturamento!$J842,'Historico - FAT'!$G:$G,Faturamento!$H842)</f>
        <v>52.5</v>
      </c>
      <c r="AE842" s="27">
        <f>SUMIFS('Historico - FAT'!AN:AN,'Historico - FAT'!$K:$K,Faturamento!$L842,'Historico - FAT'!$I:$I,Faturamento!$J842,'Historico - FAT'!$G:$G,Faturamento!$H842)</f>
        <v>31.5</v>
      </c>
      <c r="AG842" s="24">
        <f t="shared" si="195"/>
        <v>1</v>
      </c>
      <c r="AH842" s="24">
        <f t="shared" si="196"/>
        <v>0.84375</v>
      </c>
      <c r="AI842" s="24">
        <f t="shared" si="197"/>
        <v>0.6875</v>
      </c>
    </row>
    <row r="843" spans="1:35" hidden="1" x14ac:dyDescent="0.3">
      <c r="A843" s="2" t="str">
        <f t="shared" si="194"/>
        <v>NÃO</v>
      </c>
      <c r="B843" s="2">
        <v>1000184670</v>
      </c>
      <c r="C843" s="2" t="s">
        <v>147</v>
      </c>
      <c r="D843" s="4">
        <v>1000186197</v>
      </c>
      <c r="E843" s="4" t="s">
        <v>166</v>
      </c>
      <c r="F843" s="2">
        <v>1000184757</v>
      </c>
      <c r="G843" s="2" t="s">
        <v>62</v>
      </c>
      <c r="H843" s="4">
        <v>1000189789</v>
      </c>
      <c r="I843" s="4" t="s">
        <v>77</v>
      </c>
      <c r="J843" s="2">
        <v>1000189270</v>
      </c>
      <c r="K843" s="2" t="s">
        <v>34</v>
      </c>
      <c r="L843" s="4" t="s">
        <v>16</v>
      </c>
      <c r="M843" s="4" t="str">
        <f t="shared" si="201"/>
        <v>1000184670100018619710001897891000189270DISNEY</v>
      </c>
      <c r="N843" s="28">
        <f>N840*_xlfn.XLOOKUP($L843,'Balizador da Meta'!$B$4:$B$21,'Balizador da Meta'!$C$4:$C$21)</f>
        <v>192</v>
      </c>
      <c r="O843" s="28">
        <f>O840*_xlfn.XLOOKUP($L843,'Balizador da Meta'!$B$4:$B$21,'Balizador da Meta'!$C$4:$C$21)</f>
        <v>192</v>
      </c>
      <c r="P843" s="28">
        <f>P840*_xlfn.XLOOKUP($L843,'Balizador da Meta'!$B$4:$B$21,'Balizador da Meta'!$C$4:$C$21)</f>
        <v>192</v>
      </c>
      <c r="Q843" s="28">
        <f>Q840*_xlfn.XLOOKUP($L843,'Balizador da Meta'!$B$4:$B$21,'Balizador da Meta'!$C$4:$C$21)</f>
        <v>192</v>
      </c>
      <c r="R843" s="28">
        <f>R840*_xlfn.XLOOKUP($L843,'Balizador da Meta'!$B$4:$B$21,'Balizador da Meta'!$C$4:$C$21)</f>
        <v>192</v>
      </c>
      <c r="S843" s="28">
        <f>S840*_xlfn.XLOOKUP($L843,'Balizador da Meta'!$B$4:$B$21,'Balizador da Meta'!$C$4:$C$21)</f>
        <v>192</v>
      </c>
      <c r="T843" s="28">
        <f>T840*_xlfn.XLOOKUP($L843,'Balizador da Meta'!$B$4:$B$21,'Balizador da Meta'!$C$4:$C$21)</f>
        <v>192</v>
      </c>
      <c r="U843" s="28">
        <f>U840*_xlfn.XLOOKUP($L843,'Balizador da Meta'!$B$4:$B$21,'Balizador da Meta'!$C$4:$C$21)</f>
        <v>192</v>
      </c>
      <c r="V843" s="28">
        <f>V840*_xlfn.XLOOKUP($L843,'Balizador da Meta'!$B$4:$B$21,'Balizador da Meta'!$C$4:$C$21)</f>
        <v>192</v>
      </c>
      <c r="W843" s="28">
        <f>W840*_xlfn.XLOOKUP($L843,'Balizador da Meta'!$B$4:$B$21,'Balizador da Meta'!$C$4:$C$21)</f>
        <v>192</v>
      </c>
      <c r="X843" s="28">
        <f>X840*_xlfn.XLOOKUP($L843,'Balizador da Meta'!$B$4:$B$21,'Balizador da Meta'!$C$4:$C$21)</f>
        <v>192</v>
      </c>
      <c r="Y843" s="28">
        <f>Y840*_xlfn.XLOOKUP($L843,'Balizador da Meta'!$B$4:$B$21,'Balizador da Meta'!$C$4:$C$21)</f>
        <v>192</v>
      </c>
      <c r="Z843" s="30">
        <f t="shared" si="204"/>
        <v>2304</v>
      </c>
      <c r="AA843" s="29"/>
      <c r="AB843" s="31">
        <f>SUMIFS('Historico - FAT'!AK:AK,'Historico - FAT'!$K:$K,Faturamento!$L843,'Historico - FAT'!$I:$I,Faturamento!$J843,'Historico - FAT'!$G:$G,Faturamento!$H843)</f>
        <v>0</v>
      </c>
      <c r="AC843" s="31">
        <f>SUMIFS('Historico - FAT'!AL:AL,'Historico - FAT'!$K:$K,Faturamento!$L843,'Historico - FAT'!$I:$I,Faturamento!$J843,'Historico - FAT'!$G:$G,Faturamento!$H843)</f>
        <v>921.1541666666667</v>
      </c>
      <c r="AD843" s="31">
        <f>SUMIFS('Historico - FAT'!AM:AM,'Historico - FAT'!$K:$K,Faturamento!$L843,'Historico - FAT'!$I:$I,Faturamento!$J843,'Historico - FAT'!$G:$G,Faturamento!$H843)</f>
        <v>1330.8816666666667</v>
      </c>
      <c r="AE843" s="27">
        <f>SUMIFS('Historico - FAT'!AN:AN,'Historico - FAT'!$K:$K,Faturamento!$L843,'Historico - FAT'!$I:$I,Faturamento!$J843,'Historico - FAT'!$G:$G,Faturamento!$H843)</f>
        <v>1105.385</v>
      </c>
      <c r="AG843" s="24">
        <f t="shared" si="195"/>
        <v>1</v>
      </c>
      <c r="AH843" s="24">
        <f t="shared" si="196"/>
        <v>-3.7976779513888892</v>
      </c>
      <c r="AI843" s="24">
        <f t="shared" si="197"/>
        <v>-5.9316753472222219</v>
      </c>
    </row>
    <row r="844" spans="1:35" hidden="1" x14ac:dyDescent="0.3">
      <c r="A844" s="2" t="str">
        <f t="shared" si="194"/>
        <v>NÃO</v>
      </c>
      <c r="B844" s="2">
        <v>1000184670</v>
      </c>
      <c r="C844" s="2" t="s">
        <v>147</v>
      </c>
      <c r="D844" s="4">
        <v>1000186197</v>
      </c>
      <c r="E844" s="4" t="s">
        <v>166</v>
      </c>
      <c r="F844" s="2">
        <v>1000184757</v>
      </c>
      <c r="G844" s="2" t="s">
        <v>62</v>
      </c>
      <c r="H844" s="4">
        <v>1000189789</v>
      </c>
      <c r="I844" s="4" t="s">
        <v>77</v>
      </c>
      <c r="J844" s="2">
        <v>1000189270</v>
      </c>
      <c r="K844" s="2" t="s">
        <v>34</v>
      </c>
      <c r="L844" s="4" t="s">
        <v>15</v>
      </c>
      <c r="M844" s="4" t="str">
        <f t="shared" si="201"/>
        <v>1000184670100018619710001897891000189270DOCES</v>
      </c>
      <c r="N844" s="28">
        <f>N840*_xlfn.XLOOKUP($L844,'Balizador da Meta'!$B$4:$B$21,'Balizador da Meta'!$C$4:$C$21)</f>
        <v>216</v>
      </c>
      <c r="O844" s="28">
        <f>O840*_xlfn.XLOOKUP($L844,'Balizador da Meta'!$B$4:$B$21,'Balizador da Meta'!$C$4:$C$21)</f>
        <v>216</v>
      </c>
      <c r="P844" s="28">
        <f>P840*_xlfn.XLOOKUP($L844,'Balizador da Meta'!$B$4:$B$21,'Balizador da Meta'!$C$4:$C$21)</f>
        <v>216</v>
      </c>
      <c r="Q844" s="28">
        <f>Q840*_xlfn.XLOOKUP($L844,'Balizador da Meta'!$B$4:$B$21,'Balizador da Meta'!$C$4:$C$21)</f>
        <v>216</v>
      </c>
      <c r="R844" s="28">
        <f>R840*_xlfn.XLOOKUP($L844,'Balizador da Meta'!$B$4:$B$21,'Balizador da Meta'!$C$4:$C$21)</f>
        <v>216</v>
      </c>
      <c r="S844" s="28">
        <f>S840*_xlfn.XLOOKUP($L844,'Balizador da Meta'!$B$4:$B$21,'Balizador da Meta'!$C$4:$C$21)</f>
        <v>216</v>
      </c>
      <c r="T844" s="28">
        <f>T840*_xlfn.XLOOKUP($L844,'Balizador da Meta'!$B$4:$B$21,'Balizador da Meta'!$C$4:$C$21)</f>
        <v>216</v>
      </c>
      <c r="U844" s="28">
        <f>U840*_xlfn.XLOOKUP($L844,'Balizador da Meta'!$B$4:$B$21,'Balizador da Meta'!$C$4:$C$21)</f>
        <v>216</v>
      </c>
      <c r="V844" s="28">
        <f>V840*_xlfn.XLOOKUP($L844,'Balizador da Meta'!$B$4:$B$21,'Balizador da Meta'!$C$4:$C$21)</f>
        <v>216</v>
      </c>
      <c r="W844" s="28">
        <f>W840*_xlfn.XLOOKUP($L844,'Balizador da Meta'!$B$4:$B$21,'Balizador da Meta'!$C$4:$C$21)</f>
        <v>216</v>
      </c>
      <c r="X844" s="28">
        <f>X840*_xlfn.XLOOKUP($L844,'Balizador da Meta'!$B$4:$B$21,'Balizador da Meta'!$C$4:$C$21)</f>
        <v>216</v>
      </c>
      <c r="Y844" s="28">
        <f>Y840*_xlfn.XLOOKUP($L844,'Balizador da Meta'!$B$4:$B$21,'Balizador da Meta'!$C$4:$C$21)</f>
        <v>216</v>
      </c>
      <c r="Z844" s="30">
        <f t="shared" si="204"/>
        <v>2592</v>
      </c>
      <c r="AA844" s="29"/>
      <c r="AB844" s="31">
        <f>SUMIFS('Historico - FAT'!AK:AK,'Historico - FAT'!$K:$K,Faturamento!$L844,'Historico - FAT'!$I:$I,Faturamento!$J844,'Historico - FAT'!$G:$G,Faturamento!$H844)</f>
        <v>0</v>
      </c>
      <c r="AC844" s="31">
        <f>SUMIFS('Historico - FAT'!AL:AL,'Historico - FAT'!$K:$K,Faturamento!$L844,'Historico - FAT'!$I:$I,Faturamento!$J844,'Historico - FAT'!$G:$G,Faturamento!$H844)</f>
        <v>2714.3391666666666</v>
      </c>
      <c r="AD844" s="31">
        <f>SUMIFS('Historico - FAT'!AM:AM,'Historico - FAT'!$K:$K,Faturamento!$L844,'Historico - FAT'!$I:$I,Faturamento!$J844,'Historico - FAT'!$G:$G,Faturamento!$H844)</f>
        <v>4798.6783333333333</v>
      </c>
      <c r="AE844" s="27">
        <f>SUMIFS('Historico - FAT'!AN:AN,'Historico - FAT'!$K:$K,Faturamento!$L844,'Historico - FAT'!$I:$I,Faturamento!$J844,'Historico - FAT'!$G:$G,Faturamento!$H844)</f>
        <v>3257.2069999999999</v>
      </c>
      <c r="AG844" s="24">
        <f t="shared" si="195"/>
        <v>1</v>
      </c>
      <c r="AH844" s="24">
        <f t="shared" si="196"/>
        <v>-11.566385030864197</v>
      </c>
      <c r="AI844" s="24">
        <f t="shared" si="197"/>
        <v>-21.216103395061729</v>
      </c>
    </row>
    <row r="845" spans="1:35" hidden="1" x14ac:dyDescent="0.3">
      <c r="A845" s="2" t="str">
        <f t="shared" si="194"/>
        <v>NÃO</v>
      </c>
      <c r="B845" s="2">
        <v>1000184670</v>
      </c>
      <c r="C845" s="2" t="s">
        <v>147</v>
      </c>
      <c r="D845" s="4">
        <v>1000186197</v>
      </c>
      <c r="E845" s="4" t="s">
        <v>166</v>
      </c>
      <c r="F845" s="2">
        <v>1000184757</v>
      </c>
      <c r="G845" s="2" t="s">
        <v>62</v>
      </c>
      <c r="H845" s="4">
        <v>1000189789</v>
      </c>
      <c r="I845" s="4" t="s">
        <v>77</v>
      </c>
      <c r="J845" s="2">
        <v>1000189270</v>
      </c>
      <c r="K845" s="2" t="s">
        <v>34</v>
      </c>
      <c r="L845" s="4" t="s">
        <v>33</v>
      </c>
      <c r="M845" s="4" t="str">
        <f t="shared" si="201"/>
        <v>1000184670100018619710001897891000189270FOOD SERVICE</v>
      </c>
      <c r="N845" s="28">
        <f>N840*_xlfn.XLOOKUP($L845,'Balizador da Meta'!$B$4:$B$21,'Balizador da Meta'!$C$4:$C$21)</f>
        <v>0</v>
      </c>
      <c r="O845" s="28">
        <f>O840*_xlfn.XLOOKUP($L845,'Balizador da Meta'!$B$4:$B$21,'Balizador da Meta'!$C$4:$C$21)</f>
        <v>0</v>
      </c>
      <c r="P845" s="28">
        <f>P840*_xlfn.XLOOKUP($L845,'Balizador da Meta'!$B$4:$B$21,'Balizador da Meta'!$C$4:$C$21)</f>
        <v>0</v>
      </c>
      <c r="Q845" s="28">
        <f>Q840*_xlfn.XLOOKUP($L845,'Balizador da Meta'!$B$4:$B$21,'Balizador da Meta'!$C$4:$C$21)</f>
        <v>0</v>
      </c>
      <c r="R845" s="28">
        <f>R840*_xlfn.XLOOKUP($L845,'Balizador da Meta'!$B$4:$B$21,'Balizador da Meta'!$C$4:$C$21)</f>
        <v>0</v>
      </c>
      <c r="S845" s="28">
        <f>S840*_xlfn.XLOOKUP($L845,'Balizador da Meta'!$B$4:$B$21,'Balizador da Meta'!$C$4:$C$21)</f>
        <v>0</v>
      </c>
      <c r="T845" s="28">
        <f>T840*_xlfn.XLOOKUP($L845,'Balizador da Meta'!$B$4:$B$21,'Balizador da Meta'!$C$4:$C$21)</f>
        <v>0</v>
      </c>
      <c r="U845" s="28">
        <f>U840*_xlfn.XLOOKUP($L845,'Balizador da Meta'!$B$4:$B$21,'Balizador da Meta'!$C$4:$C$21)</f>
        <v>0</v>
      </c>
      <c r="V845" s="28">
        <f>V840*_xlfn.XLOOKUP($L845,'Balizador da Meta'!$B$4:$B$21,'Balizador da Meta'!$C$4:$C$21)</f>
        <v>0</v>
      </c>
      <c r="W845" s="28">
        <f>W840*_xlfn.XLOOKUP($L845,'Balizador da Meta'!$B$4:$B$21,'Balizador da Meta'!$C$4:$C$21)</f>
        <v>0</v>
      </c>
      <c r="X845" s="28">
        <f>X840*_xlfn.XLOOKUP($L845,'Balizador da Meta'!$B$4:$B$21,'Balizador da Meta'!$C$4:$C$21)</f>
        <v>0</v>
      </c>
      <c r="Y845" s="28">
        <f>Y840*_xlfn.XLOOKUP($L845,'Balizador da Meta'!$B$4:$B$21,'Balizador da Meta'!$C$4:$C$21)</f>
        <v>0</v>
      </c>
      <c r="Z845" s="30">
        <f t="shared" si="204"/>
        <v>0</v>
      </c>
      <c r="AA845" s="29"/>
      <c r="AB845" s="31">
        <f>SUMIFS('Historico - FAT'!AK:AK,'Historico - FAT'!$K:$K,Faturamento!$L845,'Historico - FAT'!$I:$I,Faturamento!$J845,'Historico - FAT'!$G:$G,Faturamento!$H845)</f>
        <v>0</v>
      </c>
      <c r="AC845" s="31">
        <f>SUMIFS('Historico - FAT'!AL:AL,'Historico - FAT'!$K:$K,Faturamento!$L845,'Historico - FAT'!$I:$I,Faturamento!$J845,'Historico - FAT'!$G:$G,Faturamento!$H845)</f>
        <v>482.5</v>
      </c>
      <c r="AD845" s="31">
        <f>SUMIFS('Historico - FAT'!AM:AM,'Historico - FAT'!$K:$K,Faturamento!$L845,'Historico - FAT'!$I:$I,Faturamento!$J845,'Historico - FAT'!$G:$G,Faturamento!$H845)</f>
        <v>965</v>
      </c>
      <c r="AE845" s="27">
        <f>SUMIFS('Historico - FAT'!AN:AN,'Historico - FAT'!$K:$K,Faturamento!$L845,'Historico - FAT'!$I:$I,Faturamento!$J845,'Historico - FAT'!$G:$G,Faturamento!$H845)</f>
        <v>579</v>
      </c>
      <c r="AG845" s="24" t="str">
        <f t="shared" si="195"/>
        <v/>
      </c>
      <c r="AH845" s="24" t="str">
        <f t="shared" si="196"/>
        <v/>
      </c>
      <c r="AI845" s="24" t="str">
        <f t="shared" si="197"/>
        <v/>
      </c>
    </row>
    <row r="846" spans="1:35" hidden="1" x14ac:dyDescent="0.3">
      <c r="A846" s="2" t="str">
        <f t="shared" si="194"/>
        <v>NÃO</v>
      </c>
      <c r="B846" s="2">
        <v>1000184670</v>
      </c>
      <c r="C846" s="2" t="s">
        <v>147</v>
      </c>
      <c r="D846" s="4">
        <v>1000186197</v>
      </c>
      <c r="E846" s="4" t="s">
        <v>166</v>
      </c>
      <c r="F846" s="2">
        <v>1000184757</v>
      </c>
      <c r="G846" s="2" t="s">
        <v>62</v>
      </c>
      <c r="H846" s="4">
        <v>1000189789</v>
      </c>
      <c r="I846" s="4" t="s">
        <v>77</v>
      </c>
      <c r="J846" s="2">
        <v>1000189270</v>
      </c>
      <c r="K846" s="2" t="s">
        <v>34</v>
      </c>
      <c r="L846" s="4" t="s">
        <v>19</v>
      </c>
      <c r="M846" s="4" t="str">
        <f t="shared" si="201"/>
        <v>1000184670100018619710001897891000189270GELEIA</v>
      </c>
      <c r="N846" s="28">
        <f>N840*_xlfn.XLOOKUP($L846,'Balizador da Meta'!$B$4:$B$21,'Balizador da Meta'!$C$4:$C$21)</f>
        <v>47.999999999999993</v>
      </c>
      <c r="O846" s="28">
        <f>O840*_xlfn.XLOOKUP($L846,'Balizador da Meta'!$B$4:$B$21,'Balizador da Meta'!$C$4:$C$21)</f>
        <v>47.999999999999993</v>
      </c>
      <c r="P846" s="28">
        <f>P840*_xlfn.XLOOKUP($L846,'Balizador da Meta'!$B$4:$B$21,'Balizador da Meta'!$C$4:$C$21)</f>
        <v>47.999999999999993</v>
      </c>
      <c r="Q846" s="28">
        <f>Q840*_xlfn.XLOOKUP($L846,'Balizador da Meta'!$B$4:$B$21,'Balizador da Meta'!$C$4:$C$21)</f>
        <v>47.999999999999993</v>
      </c>
      <c r="R846" s="28">
        <f>R840*_xlfn.XLOOKUP($L846,'Balizador da Meta'!$B$4:$B$21,'Balizador da Meta'!$C$4:$C$21)</f>
        <v>47.999999999999993</v>
      </c>
      <c r="S846" s="28">
        <f>S840*_xlfn.XLOOKUP($L846,'Balizador da Meta'!$B$4:$B$21,'Balizador da Meta'!$C$4:$C$21)</f>
        <v>47.999999999999993</v>
      </c>
      <c r="T846" s="28">
        <f>T840*_xlfn.XLOOKUP($L846,'Balizador da Meta'!$B$4:$B$21,'Balizador da Meta'!$C$4:$C$21)</f>
        <v>47.999999999999993</v>
      </c>
      <c r="U846" s="28">
        <f>U840*_xlfn.XLOOKUP($L846,'Balizador da Meta'!$B$4:$B$21,'Balizador da Meta'!$C$4:$C$21)</f>
        <v>47.999999999999993</v>
      </c>
      <c r="V846" s="28">
        <f>V840*_xlfn.XLOOKUP($L846,'Balizador da Meta'!$B$4:$B$21,'Balizador da Meta'!$C$4:$C$21)</f>
        <v>47.999999999999993</v>
      </c>
      <c r="W846" s="28">
        <f>W840*_xlfn.XLOOKUP($L846,'Balizador da Meta'!$B$4:$B$21,'Balizador da Meta'!$C$4:$C$21)</f>
        <v>47.999999999999993</v>
      </c>
      <c r="X846" s="28">
        <f>X840*_xlfn.XLOOKUP($L846,'Balizador da Meta'!$B$4:$B$21,'Balizador da Meta'!$C$4:$C$21)</f>
        <v>47.999999999999993</v>
      </c>
      <c r="Y846" s="28">
        <f>Y840*_xlfn.XLOOKUP($L846,'Balizador da Meta'!$B$4:$B$21,'Balizador da Meta'!$C$4:$C$21)</f>
        <v>47.999999999999993</v>
      </c>
      <c r="Z846" s="30">
        <f t="shared" si="204"/>
        <v>575.99999999999989</v>
      </c>
      <c r="AA846" s="29"/>
      <c r="AB846" s="31">
        <f>SUMIFS('Historico - FAT'!AK:AK,'Historico - FAT'!$K:$K,Faturamento!$L846,'Historico - FAT'!$I:$I,Faturamento!$J846,'Historico - FAT'!$G:$G,Faturamento!$H846)</f>
        <v>0</v>
      </c>
      <c r="AC846" s="31">
        <f>SUMIFS('Historico - FAT'!AL:AL,'Historico - FAT'!$K:$K,Faturamento!$L846,'Historico - FAT'!$I:$I,Faturamento!$J846,'Historico - FAT'!$G:$G,Faturamento!$H846)</f>
        <v>33.339999999999996</v>
      </c>
      <c r="AD846" s="31">
        <f>SUMIFS('Historico - FAT'!AM:AM,'Historico - FAT'!$K:$K,Faturamento!$L846,'Historico - FAT'!$I:$I,Faturamento!$J846,'Historico - FAT'!$G:$G,Faturamento!$H846)</f>
        <v>66.679999999999993</v>
      </c>
      <c r="AE846" s="27">
        <f>SUMIFS('Historico - FAT'!AN:AN,'Historico - FAT'!$K:$K,Faturamento!$L846,'Historico - FAT'!$I:$I,Faturamento!$J846,'Historico - FAT'!$G:$G,Faturamento!$H846)</f>
        <v>40.007999999999996</v>
      </c>
      <c r="AG846" s="24">
        <f t="shared" si="195"/>
        <v>1</v>
      </c>
      <c r="AH846" s="24">
        <f t="shared" si="196"/>
        <v>0.30541666666666661</v>
      </c>
      <c r="AI846" s="24">
        <f t="shared" si="197"/>
        <v>-0.38916666666666672</v>
      </c>
    </row>
    <row r="847" spans="1:35" hidden="1" x14ac:dyDescent="0.3">
      <c r="A847" s="2" t="str">
        <f t="shared" si="194"/>
        <v>NÃO</v>
      </c>
      <c r="B847" s="2">
        <v>1000184670</v>
      </c>
      <c r="C847" s="2" t="s">
        <v>147</v>
      </c>
      <c r="D847" s="4">
        <v>1000186197</v>
      </c>
      <c r="E847" s="4" t="s">
        <v>166</v>
      </c>
      <c r="F847" s="2">
        <v>1000184757</v>
      </c>
      <c r="G847" s="2" t="s">
        <v>62</v>
      </c>
      <c r="H847" s="4">
        <v>1000189789</v>
      </c>
      <c r="I847" s="4" t="s">
        <v>77</v>
      </c>
      <c r="J847" s="2">
        <v>1000189270</v>
      </c>
      <c r="K847" s="2" t="s">
        <v>34</v>
      </c>
      <c r="L847" s="4" t="s">
        <v>17</v>
      </c>
      <c r="M847" s="4" t="str">
        <f t="shared" si="201"/>
        <v>1000184670100018619710001897891000189270GRANOLA</v>
      </c>
      <c r="N847" s="28">
        <f>N840*_xlfn.XLOOKUP($L847,'Balizador da Meta'!$B$4:$B$21,'Balizador da Meta'!$C$4:$C$21)</f>
        <v>48</v>
      </c>
      <c r="O847" s="28">
        <f>O840*_xlfn.XLOOKUP($L847,'Balizador da Meta'!$B$4:$B$21,'Balizador da Meta'!$C$4:$C$21)</f>
        <v>48</v>
      </c>
      <c r="P847" s="28">
        <f>P840*_xlfn.XLOOKUP($L847,'Balizador da Meta'!$B$4:$B$21,'Balizador da Meta'!$C$4:$C$21)</f>
        <v>48</v>
      </c>
      <c r="Q847" s="28">
        <f>Q840*_xlfn.XLOOKUP($L847,'Balizador da Meta'!$B$4:$B$21,'Balizador da Meta'!$C$4:$C$21)</f>
        <v>48</v>
      </c>
      <c r="R847" s="28">
        <f>R840*_xlfn.XLOOKUP($L847,'Balizador da Meta'!$B$4:$B$21,'Balizador da Meta'!$C$4:$C$21)</f>
        <v>48</v>
      </c>
      <c r="S847" s="28">
        <f>S840*_xlfn.XLOOKUP($L847,'Balizador da Meta'!$B$4:$B$21,'Balizador da Meta'!$C$4:$C$21)</f>
        <v>48</v>
      </c>
      <c r="T847" s="28">
        <f>T840*_xlfn.XLOOKUP($L847,'Balizador da Meta'!$B$4:$B$21,'Balizador da Meta'!$C$4:$C$21)</f>
        <v>48</v>
      </c>
      <c r="U847" s="28">
        <f>U840*_xlfn.XLOOKUP($L847,'Balizador da Meta'!$B$4:$B$21,'Balizador da Meta'!$C$4:$C$21)</f>
        <v>48</v>
      </c>
      <c r="V847" s="28">
        <f>V840*_xlfn.XLOOKUP($L847,'Balizador da Meta'!$B$4:$B$21,'Balizador da Meta'!$C$4:$C$21)</f>
        <v>48</v>
      </c>
      <c r="W847" s="28">
        <f>W840*_xlfn.XLOOKUP($L847,'Balizador da Meta'!$B$4:$B$21,'Balizador da Meta'!$C$4:$C$21)</f>
        <v>48</v>
      </c>
      <c r="X847" s="28">
        <f>X840*_xlfn.XLOOKUP($L847,'Balizador da Meta'!$B$4:$B$21,'Balizador da Meta'!$C$4:$C$21)</f>
        <v>48</v>
      </c>
      <c r="Y847" s="28">
        <f>Y840*_xlfn.XLOOKUP($L847,'Balizador da Meta'!$B$4:$B$21,'Balizador da Meta'!$C$4:$C$21)</f>
        <v>48</v>
      </c>
      <c r="Z847" s="30">
        <f t="shared" si="204"/>
        <v>576</v>
      </c>
      <c r="AA847" s="29"/>
      <c r="AB847" s="31">
        <f>SUMIFS('Historico - FAT'!AK:AK,'Historico - FAT'!$K:$K,Faturamento!$L847,'Historico - FAT'!$I:$I,Faturamento!$J847,'Historico - FAT'!$G:$G,Faturamento!$H847)</f>
        <v>0</v>
      </c>
      <c r="AC847" s="31">
        <f>SUMIFS('Historico - FAT'!AL:AL,'Historico - FAT'!$K:$K,Faturamento!$L847,'Historico - FAT'!$I:$I,Faturamento!$J847,'Historico - FAT'!$G:$G,Faturamento!$H847)</f>
        <v>19.875</v>
      </c>
      <c r="AD847" s="31">
        <f>SUMIFS('Historico - FAT'!AM:AM,'Historico - FAT'!$K:$K,Faturamento!$L847,'Historico - FAT'!$I:$I,Faturamento!$J847,'Historico - FAT'!$G:$G,Faturamento!$H847)</f>
        <v>39.75</v>
      </c>
      <c r="AE847" s="27">
        <f>SUMIFS('Historico - FAT'!AN:AN,'Historico - FAT'!$K:$K,Faturamento!$L847,'Historico - FAT'!$I:$I,Faturamento!$J847,'Historico - FAT'!$G:$G,Faturamento!$H847)</f>
        <v>23.85</v>
      </c>
      <c r="AG847" s="24">
        <f t="shared" si="195"/>
        <v>1</v>
      </c>
      <c r="AH847" s="24">
        <f t="shared" si="196"/>
        <v>0.5859375</v>
      </c>
      <c r="AI847" s="24">
        <f t="shared" si="197"/>
        <v>0.171875</v>
      </c>
    </row>
    <row r="848" spans="1:35" hidden="1" x14ac:dyDescent="0.3">
      <c r="A848" s="2" t="str">
        <f t="shared" si="194"/>
        <v>NÃO</v>
      </c>
      <c r="B848" s="2">
        <v>1000184670</v>
      </c>
      <c r="C848" s="2" t="s">
        <v>147</v>
      </c>
      <c r="D848" s="4">
        <v>1000186197</v>
      </c>
      <c r="E848" s="4" t="s">
        <v>166</v>
      </c>
      <c r="F848" s="2">
        <v>1000184757</v>
      </c>
      <c r="G848" s="2" t="s">
        <v>62</v>
      </c>
      <c r="H848" s="4">
        <v>1000189789</v>
      </c>
      <c r="I848" s="4" t="s">
        <v>77</v>
      </c>
      <c r="J848" s="2">
        <v>1000189270</v>
      </c>
      <c r="K848" s="2" t="s">
        <v>34</v>
      </c>
      <c r="L848" s="4" t="s">
        <v>24</v>
      </c>
      <c r="M848" s="4" t="str">
        <f t="shared" si="201"/>
        <v>1000184670100018619710001897891000189270KIDS</v>
      </c>
      <c r="N848" s="28">
        <f>N840*_xlfn.XLOOKUP($L848,'Balizador da Meta'!$B$4:$B$21,'Balizador da Meta'!$C$4:$C$21)</f>
        <v>0</v>
      </c>
      <c r="O848" s="28">
        <f>O840*_xlfn.XLOOKUP($L848,'Balizador da Meta'!$B$4:$B$21,'Balizador da Meta'!$C$4:$C$21)</f>
        <v>0</v>
      </c>
      <c r="P848" s="28">
        <f>P840*_xlfn.XLOOKUP($L848,'Balizador da Meta'!$B$4:$B$21,'Balizador da Meta'!$C$4:$C$21)</f>
        <v>0</v>
      </c>
      <c r="Q848" s="28">
        <f>Q840*_xlfn.XLOOKUP($L848,'Balizador da Meta'!$B$4:$B$21,'Balizador da Meta'!$C$4:$C$21)</f>
        <v>0</v>
      </c>
      <c r="R848" s="28">
        <f>R840*_xlfn.XLOOKUP($L848,'Balizador da Meta'!$B$4:$B$21,'Balizador da Meta'!$C$4:$C$21)</f>
        <v>0</v>
      </c>
      <c r="S848" s="28">
        <f>S840*_xlfn.XLOOKUP($L848,'Balizador da Meta'!$B$4:$B$21,'Balizador da Meta'!$C$4:$C$21)</f>
        <v>0</v>
      </c>
      <c r="T848" s="28">
        <f>T840*_xlfn.XLOOKUP($L848,'Balizador da Meta'!$B$4:$B$21,'Balizador da Meta'!$C$4:$C$21)</f>
        <v>0</v>
      </c>
      <c r="U848" s="28">
        <f>U840*_xlfn.XLOOKUP($L848,'Balizador da Meta'!$B$4:$B$21,'Balizador da Meta'!$C$4:$C$21)</f>
        <v>0</v>
      </c>
      <c r="V848" s="28">
        <f>V840*_xlfn.XLOOKUP($L848,'Balizador da Meta'!$B$4:$B$21,'Balizador da Meta'!$C$4:$C$21)</f>
        <v>0</v>
      </c>
      <c r="W848" s="28">
        <f>W840*_xlfn.XLOOKUP($L848,'Balizador da Meta'!$B$4:$B$21,'Balizador da Meta'!$C$4:$C$21)</f>
        <v>0</v>
      </c>
      <c r="X848" s="28">
        <f>X840*_xlfn.XLOOKUP($L848,'Balizador da Meta'!$B$4:$B$21,'Balizador da Meta'!$C$4:$C$21)</f>
        <v>0</v>
      </c>
      <c r="Y848" s="28">
        <f>Y840*_xlfn.XLOOKUP($L848,'Balizador da Meta'!$B$4:$B$21,'Balizador da Meta'!$C$4:$C$21)</f>
        <v>0</v>
      </c>
      <c r="Z848" s="30">
        <f t="shared" si="204"/>
        <v>0</v>
      </c>
      <c r="AA848" s="29"/>
      <c r="AB848" s="31">
        <f>SUMIFS('Historico - FAT'!AK:AK,'Historico - FAT'!$K:$K,Faturamento!$L848,'Historico - FAT'!$I:$I,Faturamento!$J848,'Historico - FAT'!$G:$G,Faturamento!$H848)</f>
        <v>0</v>
      </c>
      <c r="AC848" s="31">
        <f>SUMIFS('Historico - FAT'!AL:AL,'Historico - FAT'!$K:$K,Faturamento!$L848,'Historico - FAT'!$I:$I,Faturamento!$J848,'Historico - FAT'!$G:$G,Faturamento!$H848)</f>
        <v>481.58583333333331</v>
      </c>
      <c r="AD848" s="31">
        <f>SUMIFS('Historico - FAT'!AM:AM,'Historico - FAT'!$K:$K,Faturamento!$L848,'Historico - FAT'!$I:$I,Faturamento!$J848,'Historico - FAT'!$G:$G,Faturamento!$H848)</f>
        <v>813.79166666666663</v>
      </c>
      <c r="AE848" s="27">
        <f>SUMIFS('Historico - FAT'!AN:AN,'Historico - FAT'!$K:$K,Faturamento!$L848,'Historico - FAT'!$I:$I,Faturamento!$J848,'Historico - FAT'!$G:$G,Faturamento!$H848)</f>
        <v>577.90300000000002</v>
      </c>
      <c r="AG848" s="24" t="str">
        <f t="shared" si="195"/>
        <v/>
      </c>
      <c r="AH848" s="24" t="str">
        <f t="shared" si="196"/>
        <v/>
      </c>
      <c r="AI848" s="24" t="str">
        <f t="shared" si="197"/>
        <v/>
      </c>
    </row>
    <row r="849" spans="1:35" hidden="1" x14ac:dyDescent="0.3">
      <c r="A849" s="2" t="str">
        <f t="shared" si="194"/>
        <v>NÃO</v>
      </c>
      <c r="B849" s="2">
        <v>1000184670</v>
      </c>
      <c r="C849" s="2" t="s">
        <v>147</v>
      </c>
      <c r="D849" s="4">
        <v>1000186197</v>
      </c>
      <c r="E849" s="4" t="s">
        <v>166</v>
      </c>
      <c r="F849" s="2">
        <v>1000184757</v>
      </c>
      <c r="G849" s="2" t="s">
        <v>62</v>
      </c>
      <c r="H849" s="4">
        <v>1000189789</v>
      </c>
      <c r="I849" s="4" t="s">
        <v>77</v>
      </c>
      <c r="J849" s="2">
        <v>1000189270</v>
      </c>
      <c r="K849" s="2" t="s">
        <v>34</v>
      </c>
      <c r="L849" s="4" t="s">
        <v>18</v>
      </c>
      <c r="M849" s="4" t="str">
        <f t="shared" si="201"/>
        <v>1000184670100018619710001897891000189270LANCHES</v>
      </c>
      <c r="N849" s="28">
        <f>N840*_xlfn.XLOOKUP($L849,'Balizador da Meta'!$B$4:$B$21,'Balizador da Meta'!$C$4:$C$21)</f>
        <v>24</v>
      </c>
      <c r="O849" s="28">
        <f>O840*_xlfn.XLOOKUP($L849,'Balizador da Meta'!$B$4:$B$21,'Balizador da Meta'!$C$4:$C$21)</f>
        <v>24</v>
      </c>
      <c r="P849" s="28">
        <f>P840*_xlfn.XLOOKUP($L849,'Balizador da Meta'!$B$4:$B$21,'Balizador da Meta'!$C$4:$C$21)</f>
        <v>24</v>
      </c>
      <c r="Q849" s="28">
        <f>Q840*_xlfn.XLOOKUP($L849,'Balizador da Meta'!$B$4:$B$21,'Balizador da Meta'!$C$4:$C$21)</f>
        <v>24</v>
      </c>
      <c r="R849" s="28">
        <f>R840*_xlfn.XLOOKUP($L849,'Balizador da Meta'!$B$4:$B$21,'Balizador da Meta'!$C$4:$C$21)</f>
        <v>24</v>
      </c>
      <c r="S849" s="28">
        <f>S840*_xlfn.XLOOKUP($L849,'Balizador da Meta'!$B$4:$B$21,'Balizador da Meta'!$C$4:$C$21)</f>
        <v>24</v>
      </c>
      <c r="T849" s="28">
        <f>T840*_xlfn.XLOOKUP($L849,'Balizador da Meta'!$B$4:$B$21,'Balizador da Meta'!$C$4:$C$21)</f>
        <v>24</v>
      </c>
      <c r="U849" s="28">
        <f>U840*_xlfn.XLOOKUP($L849,'Balizador da Meta'!$B$4:$B$21,'Balizador da Meta'!$C$4:$C$21)</f>
        <v>24</v>
      </c>
      <c r="V849" s="28">
        <f>V840*_xlfn.XLOOKUP($L849,'Balizador da Meta'!$B$4:$B$21,'Balizador da Meta'!$C$4:$C$21)</f>
        <v>24</v>
      </c>
      <c r="W849" s="28">
        <f>W840*_xlfn.XLOOKUP($L849,'Balizador da Meta'!$B$4:$B$21,'Balizador da Meta'!$C$4:$C$21)</f>
        <v>24</v>
      </c>
      <c r="X849" s="28">
        <f>X840*_xlfn.XLOOKUP($L849,'Balizador da Meta'!$B$4:$B$21,'Balizador da Meta'!$C$4:$C$21)</f>
        <v>24</v>
      </c>
      <c r="Y849" s="28">
        <f>Y840*_xlfn.XLOOKUP($L849,'Balizador da Meta'!$B$4:$B$21,'Balizador da Meta'!$C$4:$C$21)</f>
        <v>24</v>
      </c>
      <c r="Z849" s="30">
        <f t="shared" si="204"/>
        <v>288</v>
      </c>
      <c r="AA849" s="29"/>
      <c r="AB849" s="31">
        <f>SUMIFS('Historico - FAT'!AK:AK,'Historico - FAT'!$K:$K,Faturamento!$L849,'Historico - FAT'!$I:$I,Faturamento!$J849,'Historico - FAT'!$G:$G,Faturamento!$H849)</f>
        <v>0</v>
      </c>
      <c r="AC849" s="31">
        <f>SUMIFS('Historico - FAT'!AL:AL,'Historico - FAT'!$K:$K,Faturamento!$L849,'Historico - FAT'!$I:$I,Faturamento!$J849,'Historico - FAT'!$G:$G,Faturamento!$H849)</f>
        <v>23.626666666666665</v>
      </c>
      <c r="AD849" s="31">
        <f>SUMIFS('Historico - FAT'!AM:AM,'Historico - FAT'!$K:$K,Faturamento!$L849,'Historico - FAT'!$I:$I,Faturamento!$J849,'Historico - FAT'!$G:$G,Faturamento!$H849)</f>
        <v>47.25333333333333</v>
      </c>
      <c r="AE849" s="27">
        <f>SUMIFS('Historico - FAT'!AN:AN,'Historico - FAT'!$K:$K,Faturamento!$L849,'Historico - FAT'!$I:$I,Faturamento!$J849,'Historico - FAT'!$G:$G,Faturamento!$H849)</f>
        <v>28.351999999999997</v>
      </c>
      <c r="AG849" s="24">
        <f t="shared" si="195"/>
        <v>1</v>
      </c>
      <c r="AH849" s="24">
        <f t="shared" si="196"/>
        <v>1.5555555555555619E-2</v>
      </c>
      <c r="AI849" s="24">
        <f t="shared" si="197"/>
        <v>-0.9688888888888888</v>
      </c>
    </row>
    <row r="850" spans="1:35" hidden="1" x14ac:dyDescent="0.3">
      <c r="A850" s="2" t="str">
        <f t="shared" si="194"/>
        <v>NÃO</v>
      </c>
      <c r="B850" s="2">
        <v>1000184670</v>
      </c>
      <c r="C850" s="2" t="s">
        <v>147</v>
      </c>
      <c r="D850" s="4">
        <v>1000186197</v>
      </c>
      <c r="E850" s="4" t="s">
        <v>166</v>
      </c>
      <c r="F850" s="2">
        <v>1000184757</v>
      </c>
      <c r="G850" s="2" t="s">
        <v>62</v>
      </c>
      <c r="H850" s="4">
        <v>1000189789</v>
      </c>
      <c r="I850" s="4" t="s">
        <v>77</v>
      </c>
      <c r="J850" s="2">
        <v>1000189270</v>
      </c>
      <c r="K850" s="2" t="s">
        <v>34</v>
      </c>
      <c r="L850" s="4" t="s">
        <v>29</v>
      </c>
      <c r="M850" s="4" t="str">
        <f t="shared" si="201"/>
        <v>1000184670100018619710001897891000189270MAIS GRANEL</v>
      </c>
      <c r="N850" s="28">
        <f>N840*_xlfn.XLOOKUP($L850,'Balizador da Meta'!$B$4:$B$21,'Balizador da Meta'!$C$4:$C$21)</f>
        <v>768</v>
      </c>
      <c r="O850" s="28">
        <f>O840*_xlfn.XLOOKUP($L850,'Balizador da Meta'!$B$4:$B$21,'Balizador da Meta'!$C$4:$C$21)</f>
        <v>768</v>
      </c>
      <c r="P850" s="28">
        <f>P840*_xlfn.XLOOKUP($L850,'Balizador da Meta'!$B$4:$B$21,'Balizador da Meta'!$C$4:$C$21)</f>
        <v>768</v>
      </c>
      <c r="Q850" s="28">
        <f>Q840*_xlfn.XLOOKUP($L850,'Balizador da Meta'!$B$4:$B$21,'Balizador da Meta'!$C$4:$C$21)</f>
        <v>768</v>
      </c>
      <c r="R850" s="28">
        <f>R840*_xlfn.XLOOKUP($L850,'Balizador da Meta'!$B$4:$B$21,'Balizador da Meta'!$C$4:$C$21)</f>
        <v>768</v>
      </c>
      <c r="S850" s="28">
        <f>S840*_xlfn.XLOOKUP($L850,'Balizador da Meta'!$B$4:$B$21,'Balizador da Meta'!$C$4:$C$21)</f>
        <v>768</v>
      </c>
      <c r="T850" s="28">
        <f>T840*_xlfn.XLOOKUP($L850,'Balizador da Meta'!$B$4:$B$21,'Balizador da Meta'!$C$4:$C$21)</f>
        <v>768</v>
      </c>
      <c r="U850" s="28">
        <f>U840*_xlfn.XLOOKUP($L850,'Balizador da Meta'!$B$4:$B$21,'Balizador da Meta'!$C$4:$C$21)</f>
        <v>768</v>
      </c>
      <c r="V850" s="28">
        <f>V840*_xlfn.XLOOKUP($L850,'Balizador da Meta'!$B$4:$B$21,'Balizador da Meta'!$C$4:$C$21)</f>
        <v>768</v>
      </c>
      <c r="W850" s="28">
        <f>W840*_xlfn.XLOOKUP($L850,'Balizador da Meta'!$B$4:$B$21,'Balizador da Meta'!$C$4:$C$21)</f>
        <v>768</v>
      </c>
      <c r="X850" s="28">
        <f>X840*_xlfn.XLOOKUP($L850,'Balizador da Meta'!$B$4:$B$21,'Balizador da Meta'!$C$4:$C$21)</f>
        <v>768</v>
      </c>
      <c r="Y850" s="28">
        <f>Y840*_xlfn.XLOOKUP($L850,'Balizador da Meta'!$B$4:$B$21,'Balizador da Meta'!$C$4:$C$21)</f>
        <v>768</v>
      </c>
      <c r="Z850" s="30">
        <f t="shared" si="204"/>
        <v>9216</v>
      </c>
      <c r="AA850" s="29"/>
      <c r="AB850" s="31">
        <f>SUMIFS('Historico - FAT'!AK:AK,'Historico - FAT'!$K:$K,Faturamento!$L850,'Historico - FAT'!$I:$I,Faturamento!$J850,'Historico - FAT'!$G:$G,Faturamento!$H850)</f>
        <v>0</v>
      </c>
      <c r="AC850" s="31">
        <f>SUMIFS('Historico - FAT'!AL:AL,'Historico - FAT'!$K:$K,Faturamento!$L850,'Historico - FAT'!$I:$I,Faturamento!$J850,'Historico - FAT'!$G:$G,Faturamento!$H850)</f>
        <v>1072.6316666666667</v>
      </c>
      <c r="AD850" s="31">
        <f>SUMIFS('Historico - FAT'!AM:AM,'Historico - FAT'!$K:$K,Faturamento!$L850,'Historico - FAT'!$I:$I,Faturamento!$J850,'Historico - FAT'!$G:$G,Faturamento!$H850)</f>
        <v>839.5</v>
      </c>
      <c r="AE850" s="27">
        <f>SUMIFS('Historico - FAT'!AN:AN,'Historico - FAT'!$K:$K,Faturamento!$L850,'Historico - FAT'!$I:$I,Faturamento!$J850,'Historico - FAT'!$G:$G,Faturamento!$H850)</f>
        <v>1287.1579999999999</v>
      </c>
      <c r="AG850" s="24">
        <f t="shared" si="195"/>
        <v>1</v>
      </c>
      <c r="AH850" s="24">
        <f t="shared" si="196"/>
        <v>-0.39665581597222221</v>
      </c>
      <c r="AI850" s="24">
        <f t="shared" si="197"/>
        <v>-9.3098958333333329E-2</v>
      </c>
    </row>
    <row r="851" spans="1:35" hidden="1" x14ac:dyDescent="0.3">
      <c r="A851" s="2" t="str">
        <f t="shared" si="194"/>
        <v>NÃO</v>
      </c>
      <c r="B851" s="2">
        <v>1000184670</v>
      </c>
      <c r="C851" s="2" t="s">
        <v>147</v>
      </c>
      <c r="D851" s="4">
        <v>1000186197</v>
      </c>
      <c r="E851" s="4" t="s">
        <v>166</v>
      </c>
      <c r="F851" s="2">
        <v>1000184757</v>
      </c>
      <c r="G851" s="2" t="s">
        <v>62</v>
      </c>
      <c r="H851" s="4">
        <v>1000189789</v>
      </c>
      <c r="I851" s="4" t="s">
        <v>77</v>
      </c>
      <c r="J851" s="2">
        <v>1000189270</v>
      </c>
      <c r="K851" s="2" t="s">
        <v>34</v>
      </c>
      <c r="L851" s="4" t="s">
        <v>21</v>
      </c>
      <c r="M851" s="4" t="str">
        <f t="shared" si="201"/>
        <v>1000184670100018619710001897891000189270NATURATTA</v>
      </c>
      <c r="N851" s="28">
        <f>N840*_xlfn.XLOOKUP($L851,'Balizador da Meta'!$B$4:$B$21,'Balizador da Meta'!$C$4:$C$21)</f>
        <v>120</v>
      </c>
      <c r="O851" s="28">
        <f>O840*_xlfn.XLOOKUP($L851,'Balizador da Meta'!$B$4:$B$21,'Balizador da Meta'!$C$4:$C$21)</f>
        <v>120</v>
      </c>
      <c r="P851" s="28">
        <f>P840*_xlfn.XLOOKUP($L851,'Balizador da Meta'!$B$4:$B$21,'Balizador da Meta'!$C$4:$C$21)</f>
        <v>120</v>
      </c>
      <c r="Q851" s="28">
        <f>Q840*_xlfn.XLOOKUP($L851,'Balizador da Meta'!$B$4:$B$21,'Balizador da Meta'!$C$4:$C$21)</f>
        <v>120</v>
      </c>
      <c r="R851" s="28">
        <f>R840*_xlfn.XLOOKUP($L851,'Balizador da Meta'!$B$4:$B$21,'Balizador da Meta'!$C$4:$C$21)</f>
        <v>120</v>
      </c>
      <c r="S851" s="28">
        <f>S840*_xlfn.XLOOKUP($L851,'Balizador da Meta'!$B$4:$B$21,'Balizador da Meta'!$C$4:$C$21)</f>
        <v>120</v>
      </c>
      <c r="T851" s="28">
        <f>T840*_xlfn.XLOOKUP($L851,'Balizador da Meta'!$B$4:$B$21,'Balizador da Meta'!$C$4:$C$21)</f>
        <v>120</v>
      </c>
      <c r="U851" s="28">
        <f>U840*_xlfn.XLOOKUP($L851,'Balizador da Meta'!$B$4:$B$21,'Balizador da Meta'!$C$4:$C$21)</f>
        <v>120</v>
      </c>
      <c r="V851" s="28">
        <f>V840*_xlfn.XLOOKUP($L851,'Balizador da Meta'!$B$4:$B$21,'Balizador da Meta'!$C$4:$C$21)</f>
        <v>120</v>
      </c>
      <c r="W851" s="28">
        <f>W840*_xlfn.XLOOKUP($L851,'Balizador da Meta'!$B$4:$B$21,'Balizador da Meta'!$C$4:$C$21)</f>
        <v>120</v>
      </c>
      <c r="X851" s="28">
        <f>X840*_xlfn.XLOOKUP($L851,'Balizador da Meta'!$B$4:$B$21,'Balizador da Meta'!$C$4:$C$21)</f>
        <v>120</v>
      </c>
      <c r="Y851" s="28">
        <f>Y840*_xlfn.XLOOKUP($L851,'Balizador da Meta'!$B$4:$B$21,'Balizador da Meta'!$C$4:$C$21)</f>
        <v>120</v>
      </c>
      <c r="Z851" s="30">
        <f t="shared" si="204"/>
        <v>1440</v>
      </c>
      <c r="AA851" s="29"/>
      <c r="AB851" s="31">
        <f>SUMIFS('Historico - FAT'!AK:AK,'Historico - FAT'!$K:$K,Faturamento!$L851,'Historico - FAT'!$I:$I,Faturamento!$J851,'Historico - FAT'!$G:$G,Faturamento!$H851)</f>
        <v>0</v>
      </c>
      <c r="AC851" s="31">
        <f>SUMIFS('Historico - FAT'!AL:AL,'Historico - FAT'!$K:$K,Faturamento!$L851,'Historico - FAT'!$I:$I,Faturamento!$J851,'Historico - FAT'!$G:$G,Faturamento!$H851)</f>
        <v>88.662500000000009</v>
      </c>
      <c r="AD851" s="31">
        <f>SUMIFS('Historico - FAT'!AM:AM,'Historico - FAT'!$K:$K,Faturamento!$L851,'Historico - FAT'!$I:$I,Faturamento!$J851,'Historico - FAT'!$G:$G,Faturamento!$H851)</f>
        <v>177.32500000000002</v>
      </c>
      <c r="AE851" s="27">
        <f>SUMIFS('Historico - FAT'!AN:AN,'Historico - FAT'!$K:$K,Faturamento!$L851,'Historico - FAT'!$I:$I,Faturamento!$J851,'Historico - FAT'!$G:$G,Faturamento!$H851)</f>
        <v>106.39500000000001</v>
      </c>
      <c r="AG851" s="24">
        <f t="shared" si="195"/>
        <v>1</v>
      </c>
      <c r="AH851" s="24">
        <f t="shared" si="196"/>
        <v>0.26114583333333324</v>
      </c>
      <c r="AI851" s="24">
        <f t="shared" si="197"/>
        <v>-0.47770833333333346</v>
      </c>
    </row>
    <row r="852" spans="1:35" hidden="1" x14ac:dyDescent="0.3">
      <c r="A852" s="2" t="str">
        <f t="shared" si="194"/>
        <v>NÃO</v>
      </c>
      <c r="B852" s="2">
        <v>1000184670</v>
      </c>
      <c r="C852" s="2" t="s">
        <v>147</v>
      </c>
      <c r="D852" s="4">
        <v>1000186197</v>
      </c>
      <c r="E852" s="4" t="s">
        <v>166</v>
      </c>
      <c r="F852" s="2">
        <v>1000184757</v>
      </c>
      <c r="G852" s="2" t="s">
        <v>62</v>
      </c>
      <c r="H852" s="4">
        <v>1000189789</v>
      </c>
      <c r="I852" s="4" t="s">
        <v>77</v>
      </c>
      <c r="J852" s="2">
        <v>1000189270</v>
      </c>
      <c r="K852" s="2" t="s">
        <v>34</v>
      </c>
      <c r="L852" s="4" t="s">
        <v>20</v>
      </c>
      <c r="M852" s="4" t="str">
        <f t="shared" si="201"/>
        <v>1000184670100018619710001897891000189270REEMBALADOS</v>
      </c>
      <c r="N852" s="28">
        <f>N840*_xlfn.XLOOKUP($L852,'Balizador da Meta'!$B$4:$B$21,'Balizador da Meta'!$C$4:$C$21)</f>
        <v>96</v>
      </c>
      <c r="O852" s="28">
        <f>O840*_xlfn.XLOOKUP($L852,'Balizador da Meta'!$B$4:$B$21,'Balizador da Meta'!$C$4:$C$21)</f>
        <v>96</v>
      </c>
      <c r="P852" s="28">
        <f>P840*_xlfn.XLOOKUP($L852,'Balizador da Meta'!$B$4:$B$21,'Balizador da Meta'!$C$4:$C$21)</f>
        <v>96</v>
      </c>
      <c r="Q852" s="28">
        <f>Q840*_xlfn.XLOOKUP($L852,'Balizador da Meta'!$B$4:$B$21,'Balizador da Meta'!$C$4:$C$21)</f>
        <v>96</v>
      </c>
      <c r="R852" s="28">
        <f>R840*_xlfn.XLOOKUP($L852,'Balizador da Meta'!$B$4:$B$21,'Balizador da Meta'!$C$4:$C$21)</f>
        <v>96</v>
      </c>
      <c r="S852" s="28">
        <f>S840*_xlfn.XLOOKUP($L852,'Balizador da Meta'!$B$4:$B$21,'Balizador da Meta'!$C$4:$C$21)</f>
        <v>96</v>
      </c>
      <c r="T852" s="28">
        <f>T840*_xlfn.XLOOKUP($L852,'Balizador da Meta'!$B$4:$B$21,'Balizador da Meta'!$C$4:$C$21)</f>
        <v>96</v>
      </c>
      <c r="U852" s="28">
        <f>U840*_xlfn.XLOOKUP($L852,'Balizador da Meta'!$B$4:$B$21,'Balizador da Meta'!$C$4:$C$21)</f>
        <v>96</v>
      </c>
      <c r="V852" s="28">
        <f>V840*_xlfn.XLOOKUP($L852,'Balizador da Meta'!$B$4:$B$21,'Balizador da Meta'!$C$4:$C$21)</f>
        <v>96</v>
      </c>
      <c r="W852" s="28">
        <f>W840*_xlfn.XLOOKUP($L852,'Balizador da Meta'!$B$4:$B$21,'Balizador da Meta'!$C$4:$C$21)</f>
        <v>96</v>
      </c>
      <c r="X852" s="28">
        <f>X840*_xlfn.XLOOKUP($L852,'Balizador da Meta'!$B$4:$B$21,'Balizador da Meta'!$C$4:$C$21)</f>
        <v>96</v>
      </c>
      <c r="Y852" s="28">
        <f>Y840*_xlfn.XLOOKUP($L852,'Balizador da Meta'!$B$4:$B$21,'Balizador da Meta'!$C$4:$C$21)</f>
        <v>96</v>
      </c>
      <c r="Z852" s="30">
        <f t="shared" si="204"/>
        <v>1152</v>
      </c>
      <c r="AA852" s="29"/>
      <c r="AB852" s="31">
        <f>SUMIFS('Historico - FAT'!AK:AK,'Historico - FAT'!$K:$K,Faturamento!$L852,'Historico - FAT'!$I:$I,Faturamento!$J852,'Historico - FAT'!$G:$G,Faturamento!$H852)</f>
        <v>0</v>
      </c>
      <c r="AC852" s="31">
        <f>SUMIFS('Historico - FAT'!AL:AL,'Historico - FAT'!$K:$K,Faturamento!$L852,'Historico - FAT'!$I:$I,Faturamento!$J852,'Historico - FAT'!$G:$G,Faturamento!$H852)</f>
        <v>170.81083333333333</v>
      </c>
      <c r="AD852" s="31">
        <f>SUMIFS('Historico - FAT'!AM:AM,'Historico - FAT'!$K:$K,Faturamento!$L852,'Historico - FAT'!$I:$I,Faturamento!$J852,'Historico - FAT'!$G:$G,Faturamento!$H852)</f>
        <v>341.62166666666667</v>
      </c>
      <c r="AE852" s="27">
        <f>SUMIFS('Historico - FAT'!AN:AN,'Historico - FAT'!$K:$K,Faturamento!$L852,'Historico - FAT'!$I:$I,Faturamento!$J852,'Historico - FAT'!$G:$G,Faturamento!$H852)</f>
        <v>204.97300000000001</v>
      </c>
      <c r="AG852" s="24">
        <f t="shared" si="195"/>
        <v>1</v>
      </c>
      <c r="AH852" s="24">
        <f t="shared" si="196"/>
        <v>-0.77927951388888894</v>
      </c>
      <c r="AI852" s="24">
        <f t="shared" si="197"/>
        <v>-2.5585590277777777</v>
      </c>
    </row>
    <row r="853" spans="1:35" hidden="1" x14ac:dyDescent="0.3">
      <c r="A853" s="2" t="str">
        <f t="shared" si="194"/>
        <v>NÃO</v>
      </c>
      <c r="B853" s="2">
        <v>1000184670</v>
      </c>
      <c r="C853" s="2" t="s">
        <v>147</v>
      </c>
      <c r="D853" s="4">
        <v>1000186197</v>
      </c>
      <c r="E853" s="4" t="s">
        <v>166</v>
      </c>
      <c r="F853" s="2">
        <v>1000184757</v>
      </c>
      <c r="G853" s="2" t="s">
        <v>62</v>
      </c>
      <c r="H853" s="4">
        <v>1000189789</v>
      </c>
      <c r="I853" s="4" t="s">
        <v>77</v>
      </c>
      <c r="J853" s="2">
        <v>1000189270</v>
      </c>
      <c r="K853" s="2" t="s">
        <v>34</v>
      </c>
      <c r="L853" s="4" t="s">
        <v>22</v>
      </c>
      <c r="M853" s="4" t="str">
        <f t="shared" si="201"/>
        <v>1000184670100018619710001897891000189270S GLUTEN</v>
      </c>
      <c r="N853" s="28">
        <f>N840*_xlfn.XLOOKUP($L853,'Balizador da Meta'!$B$4:$B$21,'Balizador da Meta'!$C$4:$C$21)</f>
        <v>96</v>
      </c>
      <c r="O853" s="28">
        <f>O840*_xlfn.XLOOKUP($L853,'Balizador da Meta'!$B$4:$B$21,'Balizador da Meta'!$C$4:$C$21)</f>
        <v>96</v>
      </c>
      <c r="P853" s="28">
        <f>P840*_xlfn.XLOOKUP($L853,'Balizador da Meta'!$B$4:$B$21,'Balizador da Meta'!$C$4:$C$21)</f>
        <v>96</v>
      </c>
      <c r="Q853" s="28">
        <f>Q840*_xlfn.XLOOKUP($L853,'Balizador da Meta'!$B$4:$B$21,'Balizador da Meta'!$C$4:$C$21)</f>
        <v>96</v>
      </c>
      <c r="R853" s="28">
        <f>R840*_xlfn.XLOOKUP($L853,'Balizador da Meta'!$B$4:$B$21,'Balizador da Meta'!$C$4:$C$21)</f>
        <v>96</v>
      </c>
      <c r="S853" s="28">
        <f>S840*_xlfn.XLOOKUP($L853,'Balizador da Meta'!$B$4:$B$21,'Balizador da Meta'!$C$4:$C$21)</f>
        <v>96</v>
      </c>
      <c r="T853" s="28">
        <f>T840*_xlfn.XLOOKUP($L853,'Balizador da Meta'!$B$4:$B$21,'Balizador da Meta'!$C$4:$C$21)</f>
        <v>96</v>
      </c>
      <c r="U853" s="28">
        <f>U840*_xlfn.XLOOKUP($L853,'Balizador da Meta'!$B$4:$B$21,'Balizador da Meta'!$C$4:$C$21)</f>
        <v>96</v>
      </c>
      <c r="V853" s="28">
        <f>V840*_xlfn.XLOOKUP($L853,'Balizador da Meta'!$B$4:$B$21,'Balizador da Meta'!$C$4:$C$21)</f>
        <v>96</v>
      </c>
      <c r="W853" s="28">
        <f>W840*_xlfn.XLOOKUP($L853,'Balizador da Meta'!$B$4:$B$21,'Balizador da Meta'!$C$4:$C$21)</f>
        <v>96</v>
      </c>
      <c r="X853" s="28">
        <f>X840*_xlfn.XLOOKUP($L853,'Balizador da Meta'!$B$4:$B$21,'Balizador da Meta'!$C$4:$C$21)</f>
        <v>96</v>
      </c>
      <c r="Y853" s="28">
        <f>Y840*_xlfn.XLOOKUP($L853,'Balizador da Meta'!$B$4:$B$21,'Balizador da Meta'!$C$4:$C$21)</f>
        <v>96</v>
      </c>
      <c r="Z853" s="30">
        <f t="shared" si="204"/>
        <v>1152</v>
      </c>
      <c r="AA853" s="29"/>
      <c r="AB853" s="31">
        <f>SUMIFS('Historico - FAT'!AK:AK,'Historico - FAT'!$K:$K,Faturamento!$L853,'Historico - FAT'!$I:$I,Faturamento!$J853,'Historico - FAT'!$G:$G,Faturamento!$H853)</f>
        <v>0</v>
      </c>
      <c r="AC853" s="31">
        <f>SUMIFS('Historico - FAT'!AL:AL,'Historico - FAT'!$K:$K,Faturamento!$L853,'Historico - FAT'!$I:$I,Faturamento!$J853,'Historico - FAT'!$G:$G,Faturamento!$H853)</f>
        <v>45.051666666666669</v>
      </c>
      <c r="AD853" s="31">
        <f>SUMIFS('Historico - FAT'!AM:AM,'Historico - FAT'!$K:$K,Faturamento!$L853,'Historico - FAT'!$I:$I,Faturamento!$J853,'Historico - FAT'!$G:$G,Faturamento!$H853)</f>
        <v>90.103333333333339</v>
      </c>
      <c r="AE853" s="27">
        <f>SUMIFS('Historico - FAT'!AN:AN,'Historico - FAT'!$K:$K,Faturamento!$L853,'Historico - FAT'!$I:$I,Faturamento!$J853,'Historico - FAT'!$G:$G,Faturamento!$H853)</f>
        <v>54.061999999999998</v>
      </c>
      <c r="AG853" s="24">
        <f t="shared" si="195"/>
        <v>1</v>
      </c>
      <c r="AH853" s="24">
        <f t="shared" si="196"/>
        <v>0.53071180555555553</v>
      </c>
      <c r="AI853" s="24">
        <f t="shared" si="197"/>
        <v>6.1423611111111054E-2</v>
      </c>
    </row>
    <row r="854" spans="1:35" hidden="1" x14ac:dyDescent="0.3">
      <c r="A854" s="2" t="str">
        <f t="shared" si="194"/>
        <v>NÃO</v>
      </c>
      <c r="B854" s="2">
        <v>1000184670</v>
      </c>
      <c r="C854" s="2" t="s">
        <v>147</v>
      </c>
      <c r="D854" s="4">
        <v>1000186197</v>
      </c>
      <c r="E854" s="4" t="s">
        <v>166</v>
      </c>
      <c r="F854" s="2">
        <v>1000184757</v>
      </c>
      <c r="G854" s="2" t="s">
        <v>62</v>
      </c>
      <c r="H854" s="4">
        <v>1000189789</v>
      </c>
      <c r="I854" s="4" t="s">
        <v>77</v>
      </c>
      <c r="J854" s="2">
        <v>1000189270</v>
      </c>
      <c r="K854" s="2" t="s">
        <v>34</v>
      </c>
      <c r="L854" s="4" t="s">
        <v>23</v>
      </c>
      <c r="M854" s="4" t="str">
        <f t="shared" si="201"/>
        <v>1000184670100018619710001897891000189270SABORES DO CAMPO</v>
      </c>
      <c r="N854" s="28">
        <f>N840*_xlfn.XLOOKUP($L854,'Balizador da Meta'!$B$4:$B$21,'Balizador da Meta'!$C$4:$C$21)</f>
        <v>0</v>
      </c>
      <c r="O854" s="28">
        <f>O840*_xlfn.XLOOKUP($L854,'Balizador da Meta'!$B$4:$B$21,'Balizador da Meta'!$C$4:$C$21)</f>
        <v>0</v>
      </c>
      <c r="P854" s="28">
        <f>P840*_xlfn.XLOOKUP($L854,'Balizador da Meta'!$B$4:$B$21,'Balizador da Meta'!$C$4:$C$21)</f>
        <v>0</v>
      </c>
      <c r="Q854" s="28">
        <f>Q840*_xlfn.XLOOKUP($L854,'Balizador da Meta'!$B$4:$B$21,'Balizador da Meta'!$C$4:$C$21)</f>
        <v>0</v>
      </c>
      <c r="R854" s="28">
        <f>R840*_xlfn.XLOOKUP($L854,'Balizador da Meta'!$B$4:$B$21,'Balizador da Meta'!$C$4:$C$21)</f>
        <v>0</v>
      </c>
      <c r="S854" s="28">
        <f>S840*_xlfn.XLOOKUP($L854,'Balizador da Meta'!$B$4:$B$21,'Balizador da Meta'!$C$4:$C$21)</f>
        <v>0</v>
      </c>
      <c r="T854" s="28">
        <f>T840*_xlfn.XLOOKUP($L854,'Balizador da Meta'!$B$4:$B$21,'Balizador da Meta'!$C$4:$C$21)</f>
        <v>0</v>
      </c>
      <c r="U854" s="28">
        <f>U840*_xlfn.XLOOKUP($L854,'Balizador da Meta'!$B$4:$B$21,'Balizador da Meta'!$C$4:$C$21)</f>
        <v>0</v>
      </c>
      <c r="V854" s="28">
        <f>V840*_xlfn.XLOOKUP($L854,'Balizador da Meta'!$B$4:$B$21,'Balizador da Meta'!$C$4:$C$21)</f>
        <v>0</v>
      </c>
      <c r="W854" s="28">
        <f>W840*_xlfn.XLOOKUP($L854,'Balizador da Meta'!$B$4:$B$21,'Balizador da Meta'!$C$4:$C$21)</f>
        <v>0</v>
      </c>
      <c r="X854" s="28">
        <f>X840*_xlfn.XLOOKUP($L854,'Balizador da Meta'!$B$4:$B$21,'Balizador da Meta'!$C$4:$C$21)</f>
        <v>0</v>
      </c>
      <c r="Y854" s="28">
        <f>Y840*_xlfn.XLOOKUP($L854,'Balizador da Meta'!$B$4:$B$21,'Balizador da Meta'!$C$4:$C$21)</f>
        <v>0</v>
      </c>
      <c r="Z854" s="30">
        <f t="shared" si="204"/>
        <v>0</v>
      </c>
      <c r="AA854" s="29"/>
      <c r="AB854" s="31">
        <f>SUMIFS('Historico - FAT'!AK:AK,'Historico - FAT'!$K:$K,Faturamento!$L854,'Historico - FAT'!$I:$I,Faturamento!$J854,'Historico - FAT'!$G:$G,Faturamento!$H854)</f>
        <v>0</v>
      </c>
      <c r="AC854" s="31">
        <f>SUMIFS('Historico - FAT'!AL:AL,'Historico - FAT'!$K:$K,Faturamento!$L854,'Historico - FAT'!$I:$I,Faturamento!$J854,'Historico - FAT'!$G:$G,Faturamento!$H854)</f>
        <v>0</v>
      </c>
      <c r="AD854" s="31">
        <f>SUMIFS('Historico - FAT'!AM:AM,'Historico - FAT'!$K:$K,Faturamento!$L854,'Historico - FAT'!$I:$I,Faturamento!$J854,'Historico - FAT'!$G:$G,Faturamento!$H854)</f>
        <v>0</v>
      </c>
      <c r="AE854" s="27">
        <f>SUMIFS('Historico - FAT'!AN:AN,'Historico - FAT'!$K:$K,Faturamento!$L854,'Historico - FAT'!$I:$I,Faturamento!$J854,'Historico - FAT'!$G:$G,Faturamento!$H854)</f>
        <v>0</v>
      </c>
      <c r="AG854" s="24" t="str">
        <f t="shared" si="195"/>
        <v/>
      </c>
      <c r="AH854" s="24" t="str">
        <f t="shared" si="196"/>
        <v/>
      </c>
      <c r="AI854" s="24" t="str">
        <f t="shared" si="197"/>
        <v/>
      </c>
    </row>
    <row r="855" spans="1:35" hidden="1" x14ac:dyDescent="0.3">
      <c r="A855" s="2" t="str">
        <f t="shared" si="194"/>
        <v>NÃO</v>
      </c>
      <c r="B855" s="2">
        <v>1000184670</v>
      </c>
      <c r="C855" s="2" t="s">
        <v>147</v>
      </c>
      <c r="D855" s="4">
        <v>1000186197</v>
      </c>
      <c r="E855" s="4" t="s">
        <v>166</v>
      </c>
      <c r="F855" s="2">
        <v>1000184757</v>
      </c>
      <c r="G855" s="2" t="s">
        <v>62</v>
      </c>
      <c r="H855" s="4">
        <v>1000189789</v>
      </c>
      <c r="I855" s="4" t="s">
        <v>77</v>
      </c>
      <c r="J855" s="2">
        <v>1000189270</v>
      </c>
      <c r="K855" s="2" t="s">
        <v>34</v>
      </c>
      <c r="L855" s="4" t="s">
        <v>28</v>
      </c>
      <c r="M855" s="4" t="str">
        <f t="shared" si="201"/>
        <v>1000184670100018619710001897891000189270SAL</v>
      </c>
      <c r="N855" s="28">
        <f>N840*_xlfn.XLOOKUP($L855,'Balizador da Meta'!$B$4:$B$21,'Balizador da Meta'!$C$4:$C$21)</f>
        <v>48</v>
      </c>
      <c r="O855" s="28">
        <f>O840*_xlfn.XLOOKUP($L855,'Balizador da Meta'!$B$4:$B$21,'Balizador da Meta'!$C$4:$C$21)</f>
        <v>48</v>
      </c>
      <c r="P855" s="28">
        <f>P840*_xlfn.XLOOKUP($L855,'Balizador da Meta'!$B$4:$B$21,'Balizador da Meta'!$C$4:$C$21)</f>
        <v>48</v>
      </c>
      <c r="Q855" s="28">
        <f>Q840*_xlfn.XLOOKUP($L855,'Balizador da Meta'!$B$4:$B$21,'Balizador da Meta'!$C$4:$C$21)</f>
        <v>48</v>
      </c>
      <c r="R855" s="28">
        <f>R840*_xlfn.XLOOKUP($L855,'Balizador da Meta'!$B$4:$B$21,'Balizador da Meta'!$C$4:$C$21)</f>
        <v>48</v>
      </c>
      <c r="S855" s="28">
        <f>S840*_xlfn.XLOOKUP($L855,'Balizador da Meta'!$B$4:$B$21,'Balizador da Meta'!$C$4:$C$21)</f>
        <v>48</v>
      </c>
      <c r="T855" s="28">
        <f>T840*_xlfn.XLOOKUP($L855,'Balizador da Meta'!$B$4:$B$21,'Balizador da Meta'!$C$4:$C$21)</f>
        <v>48</v>
      </c>
      <c r="U855" s="28">
        <f>U840*_xlfn.XLOOKUP($L855,'Balizador da Meta'!$B$4:$B$21,'Balizador da Meta'!$C$4:$C$21)</f>
        <v>48</v>
      </c>
      <c r="V855" s="28">
        <f>V840*_xlfn.XLOOKUP($L855,'Balizador da Meta'!$B$4:$B$21,'Balizador da Meta'!$C$4:$C$21)</f>
        <v>48</v>
      </c>
      <c r="W855" s="28">
        <f>W840*_xlfn.XLOOKUP($L855,'Balizador da Meta'!$B$4:$B$21,'Balizador da Meta'!$C$4:$C$21)</f>
        <v>48</v>
      </c>
      <c r="X855" s="28">
        <f>X840*_xlfn.XLOOKUP($L855,'Balizador da Meta'!$B$4:$B$21,'Balizador da Meta'!$C$4:$C$21)</f>
        <v>48</v>
      </c>
      <c r="Y855" s="28">
        <f>Y840*_xlfn.XLOOKUP($L855,'Balizador da Meta'!$B$4:$B$21,'Balizador da Meta'!$C$4:$C$21)</f>
        <v>48</v>
      </c>
      <c r="Z855" s="30">
        <f t="shared" si="204"/>
        <v>576</v>
      </c>
      <c r="AA855" s="29"/>
      <c r="AB855" s="31">
        <f>SUMIFS('Historico - FAT'!AK:AK,'Historico - FAT'!$K:$K,Faturamento!$L855,'Historico - FAT'!$I:$I,Faturamento!$J855,'Historico - FAT'!$G:$G,Faturamento!$H855)</f>
        <v>0</v>
      </c>
      <c r="AC855" s="31">
        <f>SUMIFS('Historico - FAT'!AL:AL,'Historico - FAT'!$K:$K,Faturamento!$L855,'Historico - FAT'!$I:$I,Faturamento!$J855,'Historico - FAT'!$G:$G,Faturamento!$H855)</f>
        <v>3.8533333333333335</v>
      </c>
      <c r="AD855" s="31">
        <f>SUMIFS('Historico - FAT'!AM:AM,'Historico - FAT'!$K:$K,Faturamento!$L855,'Historico - FAT'!$I:$I,Faturamento!$J855,'Historico - FAT'!$G:$G,Faturamento!$H855)</f>
        <v>7.706666666666667</v>
      </c>
      <c r="AE855" s="27">
        <f>SUMIFS('Historico - FAT'!AN:AN,'Historico - FAT'!$K:$K,Faturamento!$L855,'Historico - FAT'!$I:$I,Faturamento!$J855,'Historico - FAT'!$G:$G,Faturamento!$H855)</f>
        <v>4.6240000000000006</v>
      </c>
      <c r="AG855" s="24">
        <f t="shared" si="195"/>
        <v>1</v>
      </c>
      <c r="AH855" s="24">
        <f t="shared" si="196"/>
        <v>0.91972222222222222</v>
      </c>
      <c r="AI855" s="24">
        <f t="shared" si="197"/>
        <v>0.83944444444444455</v>
      </c>
    </row>
    <row r="856" spans="1:35" hidden="1" x14ac:dyDescent="0.3">
      <c r="A856" s="2" t="str">
        <f t="shared" si="194"/>
        <v>NÃO</v>
      </c>
      <c r="B856" s="2">
        <v>1000184670</v>
      </c>
      <c r="C856" s="2" t="s">
        <v>147</v>
      </c>
      <c r="D856" s="4">
        <v>1000186197</v>
      </c>
      <c r="E856" s="4" t="s">
        <v>166</v>
      </c>
      <c r="F856" s="2">
        <v>1000184757</v>
      </c>
      <c r="G856" s="2" t="s">
        <v>62</v>
      </c>
      <c r="H856" s="4">
        <v>1000189789</v>
      </c>
      <c r="I856" s="4" t="s">
        <v>77</v>
      </c>
      <c r="J856" s="2">
        <v>1000189270</v>
      </c>
      <c r="K856" s="2" t="s">
        <v>34</v>
      </c>
      <c r="L856" s="4" t="s">
        <v>26</v>
      </c>
      <c r="M856" s="4" t="str">
        <f t="shared" si="201"/>
        <v>1000184670100018619710001897891000189270SOULPRO</v>
      </c>
      <c r="N856" s="28">
        <f>N840*_xlfn.XLOOKUP($L856,'Balizador da Meta'!$B$4:$B$21,'Balizador da Meta'!$C$4:$C$21)</f>
        <v>144</v>
      </c>
      <c r="O856" s="28">
        <f>O840*_xlfn.XLOOKUP($L856,'Balizador da Meta'!$B$4:$B$21,'Balizador da Meta'!$C$4:$C$21)</f>
        <v>144</v>
      </c>
      <c r="P856" s="28">
        <f>P840*_xlfn.XLOOKUP($L856,'Balizador da Meta'!$B$4:$B$21,'Balizador da Meta'!$C$4:$C$21)</f>
        <v>144</v>
      </c>
      <c r="Q856" s="28">
        <f>Q840*_xlfn.XLOOKUP($L856,'Balizador da Meta'!$B$4:$B$21,'Balizador da Meta'!$C$4:$C$21)</f>
        <v>144</v>
      </c>
      <c r="R856" s="28">
        <f>R840*_xlfn.XLOOKUP($L856,'Balizador da Meta'!$B$4:$B$21,'Balizador da Meta'!$C$4:$C$21)</f>
        <v>144</v>
      </c>
      <c r="S856" s="28">
        <f>S840*_xlfn.XLOOKUP($L856,'Balizador da Meta'!$B$4:$B$21,'Balizador da Meta'!$C$4:$C$21)</f>
        <v>144</v>
      </c>
      <c r="T856" s="28">
        <f>T840*_xlfn.XLOOKUP($L856,'Balizador da Meta'!$B$4:$B$21,'Balizador da Meta'!$C$4:$C$21)</f>
        <v>144</v>
      </c>
      <c r="U856" s="28">
        <f>U840*_xlfn.XLOOKUP($L856,'Balizador da Meta'!$B$4:$B$21,'Balizador da Meta'!$C$4:$C$21)</f>
        <v>144</v>
      </c>
      <c r="V856" s="28">
        <f>V840*_xlfn.XLOOKUP($L856,'Balizador da Meta'!$B$4:$B$21,'Balizador da Meta'!$C$4:$C$21)</f>
        <v>144</v>
      </c>
      <c r="W856" s="28">
        <f>W840*_xlfn.XLOOKUP($L856,'Balizador da Meta'!$B$4:$B$21,'Balizador da Meta'!$C$4:$C$21)</f>
        <v>144</v>
      </c>
      <c r="X856" s="28">
        <f>X840*_xlfn.XLOOKUP($L856,'Balizador da Meta'!$B$4:$B$21,'Balizador da Meta'!$C$4:$C$21)</f>
        <v>144</v>
      </c>
      <c r="Y856" s="28">
        <f>Y840*_xlfn.XLOOKUP($L856,'Balizador da Meta'!$B$4:$B$21,'Balizador da Meta'!$C$4:$C$21)</f>
        <v>144</v>
      </c>
      <c r="Z856" s="30">
        <f t="shared" si="204"/>
        <v>1728</v>
      </c>
      <c r="AA856" s="29"/>
      <c r="AB856" s="31">
        <f>SUMIFS('Historico - FAT'!AK:AK,'Historico - FAT'!$K:$K,Faturamento!$L856,'Historico - FAT'!$I:$I,Faturamento!$J856,'Historico - FAT'!$G:$G,Faturamento!$H856)</f>
        <v>0</v>
      </c>
      <c r="AC856" s="31">
        <f>SUMIFS('Historico - FAT'!AL:AL,'Historico - FAT'!$K:$K,Faturamento!$L856,'Historico - FAT'!$I:$I,Faturamento!$J856,'Historico - FAT'!$G:$G,Faturamento!$H856)</f>
        <v>0</v>
      </c>
      <c r="AD856" s="31">
        <f>SUMIFS('Historico - FAT'!AM:AM,'Historico - FAT'!$K:$K,Faturamento!$L856,'Historico - FAT'!$I:$I,Faturamento!$J856,'Historico - FAT'!$G:$G,Faturamento!$H856)</f>
        <v>0</v>
      </c>
      <c r="AE856" s="27">
        <f>SUMIFS('Historico - FAT'!AN:AN,'Historico - FAT'!$K:$K,Faturamento!$L856,'Historico - FAT'!$I:$I,Faturamento!$J856,'Historico - FAT'!$G:$G,Faturamento!$H856)</f>
        <v>0</v>
      </c>
      <c r="AG856" s="24">
        <f t="shared" si="195"/>
        <v>1</v>
      </c>
      <c r="AH856" s="24">
        <f t="shared" si="196"/>
        <v>1</v>
      </c>
      <c r="AI856" s="24">
        <f t="shared" si="197"/>
        <v>1</v>
      </c>
    </row>
    <row r="857" spans="1:35" hidden="1" x14ac:dyDescent="0.3">
      <c r="A857" s="2" t="str">
        <f t="shared" si="194"/>
        <v>NÃO</v>
      </c>
      <c r="B857" s="2">
        <v>1000184670</v>
      </c>
      <c r="C857" s="2" t="s">
        <v>147</v>
      </c>
      <c r="D857" s="4">
        <v>1000186197</v>
      </c>
      <c r="E857" s="4" t="s">
        <v>166</v>
      </c>
      <c r="F857" s="2">
        <v>1000184757</v>
      </c>
      <c r="G857" s="2" t="s">
        <v>62</v>
      </c>
      <c r="H857" s="4">
        <v>1000189789</v>
      </c>
      <c r="I857" s="4" t="s">
        <v>77</v>
      </c>
      <c r="J857" s="2">
        <v>1000189270</v>
      </c>
      <c r="K857" s="2" t="s">
        <v>34</v>
      </c>
      <c r="L857" s="4" t="s">
        <v>27</v>
      </c>
      <c r="M857" s="4" t="str">
        <f t="shared" si="201"/>
        <v>1000184670100018619710001897891000189270TAMARA</v>
      </c>
      <c r="N857" s="28">
        <f>N840*_xlfn.XLOOKUP($L857,'Balizador da Meta'!$B$4:$B$21,'Balizador da Meta'!$C$4:$C$21)</f>
        <v>192</v>
      </c>
      <c r="O857" s="28">
        <f>O840*_xlfn.XLOOKUP($L857,'Balizador da Meta'!$B$4:$B$21,'Balizador da Meta'!$C$4:$C$21)</f>
        <v>192</v>
      </c>
      <c r="P857" s="28">
        <f>P840*_xlfn.XLOOKUP($L857,'Balizador da Meta'!$B$4:$B$21,'Balizador da Meta'!$C$4:$C$21)</f>
        <v>192</v>
      </c>
      <c r="Q857" s="28">
        <f>Q840*_xlfn.XLOOKUP($L857,'Balizador da Meta'!$B$4:$B$21,'Balizador da Meta'!$C$4:$C$21)</f>
        <v>192</v>
      </c>
      <c r="R857" s="28">
        <f>R840*_xlfn.XLOOKUP($L857,'Balizador da Meta'!$B$4:$B$21,'Balizador da Meta'!$C$4:$C$21)</f>
        <v>192</v>
      </c>
      <c r="S857" s="28">
        <f>S840*_xlfn.XLOOKUP($L857,'Balizador da Meta'!$B$4:$B$21,'Balizador da Meta'!$C$4:$C$21)</f>
        <v>192</v>
      </c>
      <c r="T857" s="28">
        <f>T840*_xlfn.XLOOKUP($L857,'Balizador da Meta'!$B$4:$B$21,'Balizador da Meta'!$C$4:$C$21)</f>
        <v>192</v>
      </c>
      <c r="U857" s="28">
        <f>U840*_xlfn.XLOOKUP($L857,'Balizador da Meta'!$B$4:$B$21,'Balizador da Meta'!$C$4:$C$21)</f>
        <v>192</v>
      </c>
      <c r="V857" s="28">
        <f>V840*_xlfn.XLOOKUP($L857,'Balizador da Meta'!$B$4:$B$21,'Balizador da Meta'!$C$4:$C$21)</f>
        <v>192</v>
      </c>
      <c r="W857" s="28">
        <f>W840*_xlfn.XLOOKUP($L857,'Balizador da Meta'!$B$4:$B$21,'Balizador da Meta'!$C$4:$C$21)</f>
        <v>192</v>
      </c>
      <c r="X857" s="28">
        <f>X840*_xlfn.XLOOKUP($L857,'Balizador da Meta'!$B$4:$B$21,'Balizador da Meta'!$C$4:$C$21)</f>
        <v>192</v>
      </c>
      <c r="Y857" s="28">
        <f>Y840*_xlfn.XLOOKUP($L857,'Balizador da Meta'!$B$4:$B$21,'Balizador da Meta'!$C$4:$C$21)</f>
        <v>192</v>
      </c>
      <c r="Z857" s="30">
        <f t="shared" si="204"/>
        <v>2304</v>
      </c>
      <c r="AA857" s="29"/>
      <c r="AB857" s="31">
        <f>SUMIFS('Historico - FAT'!AK:AK,'Historico - FAT'!$K:$K,Faturamento!$L857,'Historico - FAT'!$I:$I,Faturamento!$J857,'Historico - FAT'!$G:$G,Faturamento!$H857)</f>
        <v>0</v>
      </c>
      <c r="AC857" s="31">
        <f>SUMIFS('Historico - FAT'!AL:AL,'Historico - FAT'!$K:$K,Faturamento!$L857,'Historico - FAT'!$I:$I,Faturamento!$J857,'Historico - FAT'!$G:$G,Faturamento!$H857)</f>
        <v>12.179166666666667</v>
      </c>
      <c r="AD857" s="31">
        <f>SUMIFS('Historico - FAT'!AM:AM,'Historico - FAT'!$K:$K,Faturamento!$L857,'Historico - FAT'!$I:$I,Faturamento!$J857,'Historico - FAT'!$G:$G,Faturamento!$H857)</f>
        <v>24.358333333333334</v>
      </c>
      <c r="AE857" s="27">
        <f>SUMIFS('Historico - FAT'!AN:AN,'Historico - FAT'!$K:$K,Faturamento!$L857,'Historico - FAT'!$I:$I,Faturamento!$J857,'Historico - FAT'!$G:$G,Faturamento!$H857)</f>
        <v>14.615</v>
      </c>
      <c r="AG857" s="24">
        <f t="shared" si="195"/>
        <v>1</v>
      </c>
      <c r="AH857" s="24">
        <f t="shared" si="196"/>
        <v>0.9365668402777777</v>
      </c>
      <c r="AI857" s="24">
        <f t="shared" si="197"/>
        <v>0.87313368055555551</v>
      </c>
    </row>
    <row r="858" spans="1:35" hidden="1" x14ac:dyDescent="0.3">
      <c r="A858" s="2" t="str">
        <f t="shared" si="194"/>
        <v>NÃO</v>
      </c>
      <c r="B858" s="2">
        <v>1000184670</v>
      </c>
      <c r="C858" s="2" t="s">
        <v>147</v>
      </c>
      <c r="D858" s="4">
        <v>1000186197</v>
      </c>
      <c r="E858" s="4" t="s">
        <v>166</v>
      </c>
      <c r="F858" s="2">
        <v>1000184757</v>
      </c>
      <c r="G858" s="2" t="s">
        <v>62</v>
      </c>
      <c r="H858" s="4">
        <v>1000189789</v>
      </c>
      <c r="I858" s="4" t="s">
        <v>77</v>
      </c>
      <c r="J858" s="2">
        <v>1000189270</v>
      </c>
      <c r="K858" s="2" t="s">
        <v>34</v>
      </c>
      <c r="L858" s="4" t="s">
        <v>25</v>
      </c>
      <c r="M858" s="4" t="str">
        <f t="shared" si="201"/>
        <v>1000184670100018619710001897891000189270VICCIO</v>
      </c>
      <c r="N858" s="28">
        <f>N840*_xlfn.XLOOKUP($L858,'Balizador da Meta'!$B$4:$B$21,'Balizador da Meta'!$C$4:$C$21)</f>
        <v>72</v>
      </c>
      <c r="O858" s="28">
        <f>O840*_xlfn.XLOOKUP($L858,'Balizador da Meta'!$B$4:$B$21,'Balizador da Meta'!$C$4:$C$21)</f>
        <v>72</v>
      </c>
      <c r="P858" s="28">
        <f>P840*_xlfn.XLOOKUP($L858,'Balizador da Meta'!$B$4:$B$21,'Balizador da Meta'!$C$4:$C$21)</f>
        <v>72</v>
      </c>
      <c r="Q858" s="28">
        <f>Q840*_xlfn.XLOOKUP($L858,'Balizador da Meta'!$B$4:$B$21,'Balizador da Meta'!$C$4:$C$21)</f>
        <v>72</v>
      </c>
      <c r="R858" s="28">
        <f>R840*_xlfn.XLOOKUP($L858,'Balizador da Meta'!$B$4:$B$21,'Balizador da Meta'!$C$4:$C$21)</f>
        <v>72</v>
      </c>
      <c r="S858" s="28">
        <f>S840*_xlfn.XLOOKUP($L858,'Balizador da Meta'!$B$4:$B$21,'Balizador da Meta'!$C$4:$C$21)</f>
        <v>72</v>
      </c>
      <c r="T858" s="28">
        <f>T840*_xlfn.XLOOKUP($L858,'Balizador da Meta'!$B$4:$B$21,'Balizador da Meta'!$C$4:$C$21)</f>
        <v>72</v>
      </c>
      <c r="U858" s="28">
        <f>U840*_xlfn.XLOOKUP($L858,'Balizador da Meta'!$B$4:$B$21,'Balizador da Meta'!$C$4:$C$21)</f>
        <v>72</v>
      </c>
      <c r="V858" s="28">
        <f>V840*_xlfn.XLOOKUP($L858,'Balizador da Meta'!$B$4:$B$21,'Balizador da Meta'!$C$4:$C$21)</f>
        <v>72</v>
      </c>
      <c r="W858" s="28">
        <f>W840*_xlfn.XLOOKUP($L858,'Balizador da Meta'!$B$4:$B$21,'Balizador da Meta'!$C$4:$C$21)</f>
        <v>72</v>
      </c>
      <c r="X858" s="28">
        <f>X840*_xlfn.XLOOKUP($L858,'Balizador da Meta'!$B$4:$B$21,'Balizador da Meta'!$C$4:$C$21)</f>
        <v>72</v>
      </c>
      <c r="Y858" s="28">
        <f>Y840*_xlfn.XLOOKUP($L858,'Balizador da Meta'!$B$4:$B$21,'Balizador da Meta'!$C$4:$C$21)</f>
        <v>72</v>
      </c>
      <c r="Z858" s="30">
        <f t="shared" si="204"/>
        <v>864</v>
      </c>
      <c r="AA858" s="29"/>
      <c r="AB858" s="31">
        <f>SUMIFS('Historico - FAT'!AK:AK,'Historico - FAT'!$K:$K,Faturamento!$L858,'Historico - FAT'!$I:$I,Faturamento!$J858,'Historico - FAT'!$G:$G,Faturamento!$H858)</f>
        <v>0</v>
      </c>
      <c r="AC858" s="31">
        <f>SUMIFS('Historico - FAT'!AL:AL,'Historico - FAT'!$K:$K,Faturamento!$L858,'Historico - FAT'!$I:$I,Faturamento!$J858,'Historico - FAT'!$G:$G,Faturamento!$H858)</f>
        <v>0</v>
      </c>
      <c r="AD858" s="31">
        <f>SUMIFS('Historico - FAT'!AM:AM,'Historico - FAT'!$K:$K,Faturamento!$L858,'Historico - FAT'!$I:$I,Faturamento!$J858,'Historico - FAT'!$G:$G,Faturamento!$H858)</f>
        <v>0</v>
      </c>
      <c r="AE858" s="27">
        <f>SUMIFS('Historico - FAT'!AN:AN,'Historico - FAT'!$K:$K,Faturamento!$L858,'Historico - FAT'!$I:$I,Faturamento!$J858,'Historico - FAT'!$G:$G,Faturamento!$H858)</f>
        <v>0</v>
      </c>
      <c r="AG858" s="24">
        <f t="shared" si="195"/>
        <v>1</v>
      </c>
      <c r="AH858" s="24">
        <f t="shared" si="196"/>
        <v>1</v>
      </c>
      <c r="AI858" s="24">
        <f t="shared" si="197"/>
        <v>1</v>
      </c>
    </row>
    <row r="859" spans="1:35" x14ac:dyDescent="0.3">
      <c r="A859" s="2" t="str">
        <f t="shared" si="194"/>
        <v>SIM</v>
      </c>
      <c r="B859" s="2">
        <v>1000184670</v>
      </c>
      <c r="C859" s="2" t="s">
        <v>147</v>
      </c>
      <c r="D859" s="4">
        <v>1000186197</v>
      </c>
      <c r="E859" s="4" t="s">
        <v>166</v>
      </c>
      <c r="F859" s="2">
        <v>1000184757</v>
      </c>
      <c r="G859" s="2" t="s">
        <v>62</v>
      </c>
      <c r="H859" s="4">
        <v>1000189790</v>
      </c>
      <c r="I859" s="4" t="s">
        <v>103</v>
      </c>
      <c r="J859" s="2">
        <v>1000189270</v>
      </c>
      <c r="K859" s="2" t="s">
        <v>34</v>
      </c>
      <c r="L859" s="4" t="s">
        <v>124</v>
      </c>
      <c r="M859" s="4" t="str">
        <f t="shared" si="201"/>
        <v>100018467010001861971000189790100018927001. TOTAL</v>
      </c>
      <c r="N859" s="28">
        <f>SUMIFS(Positivação!L:L,Positivação!$I:$I,Faturamento!$J859,Positivação!$G:$G,Faturamento!$H859)*SUMIFS(Positivação!$Z:$Z,Positivação!$I:$I,Faturamento!$J859,Positivação!$G:$G,Faturamento!$H859)</f>
        <v>600</v>
      </c>
      <c r="O859" s="28">
        <f>SUMIFS(Positivação!M:M,Positivação!$I:$I,Faturamento!$J859,Positivação!$G:$G,Faturamento!$H859)*SUMIFS(Positivação!$Z:$Z,Positivação!$I:$I,Faturamento!$J859,Positivação!$G:$G,Faturamento!$H859)</f>
        <v>600</v>
      </c>
      <c r="P859" s="28">
        <f>SUMIFS(Positivação!N:N,Positivação!$I:$I,Faturamento!$J859,Positivação!$G:$G,Faturamento!$H859)*SUMIFS(Positivação!$Z:$Z,Positivação!$I:$I,Faturamento!$J859,Positivação!$G:$G,Faturamento!$H859)</f>
        <v>600</v>
      </c>
      <c r="Q859" s="28">
        <f>SUMIFS(Positivação!O:O,Positivação!$I:$I,Faturamento!$J859,Positivação!$G:$G,Faturamento!$H859)*SUMIFS(Positivação!$Z:$Z,Positivação!$I:$I,Faturamento!$J859,Positivação!$G:$G,Faturamento!$H859)</f>
        <v>600</v>
      </c>
      <c r="R859" s="28">
        <f>SUMIFS(Positivação!P:P,Positivação!$I:$I,Faturamento!$J859,Positivação!$G:$G,Faturamento!$H859)*SUMIFS(Positivação!$Z:$Z,Positivação!$I:$I,Faturamento!$J859,Positivação!$G:$G,Faturamento!$H859)</f>
        <v>600</v>
      </c>
      <c r="S859" s="28">
        <f>SUMIFS(Positivação!Q:Q,Positivação!$I:$I,Faturamento!$J859,Positivação!$G:$G,Faturamento!$H859)*SUMIFS(Positivação!$Z:$Z,Positivação!$I:$I,Faturamento!$J859,Positivação!$G:$G,Faturamento!$H859)</f>
        <v>600</v>
      </c>
      <c r="T859" s="28">
        <f>SUMIFS(Positivação!R:R,Positivação!$I:$I,Faturamento!$J859,Positivação!$G:$G,Faturamento!$H859)*SUMIFS(Positivação!$Z:$Z,Positivação!$I:$I,Faturamento!$J859,Positivação!$G:$G,Faturamento!$H859)</f>
        <v>600</v>
      </c>
      <c r="U859" s="28">
        <f>SUMIFS(Positivação!S:S,Positivação!$I:$I,Faturamento!$J859,Positivação!$G:$G,Faturamento!$H859)*SUMIFS(Positivação!$Z:$Z,Positivação!$I:$I,Faturamento!$J859,Positivação!$G:$G,Faturamento!$H859)</f>
        <v>600</v>
      </c>
      <c r="V859" s="28">
        <f>SUMIFS(Positivação!T:T,Positivação!$I:$I,Faturamento!$J859,Positivação!$G:$G,Faturamento!$H859)*SUMIFS(Positivação!$Z:$Z,Positivação!$I:$I,Faturamento!$J859,Positivação!$G:$G,Faturamento!$H859)</f>
        <v>600</v>
      </c>
      <c r="W859" s="28">
        <f>SUMIFS(Positivação!U:U,Positivação!$I:$I,Faturamento!$J859,Positivação!$G:$G,Faturamento!$H859)*SUMIFS(Positivação!$Z:$Z,Positivação!$I:$I,Faturamento!$J859,Positivação!$G:$G,Faturamento!$H859)</f>
        <v>600</v>
      </c>
      <c r="X859" s="28">
        <f>SUMIFS(Positivação!V:V,Positivação!$I:$I,Faturamento!$J859,Positivação!$G:$G,Faturamento!$H859)*SUMIFS(Positivação!$Z:$Z,Positivação!$I:$I,Faturamento!$J859,Positivação!$G:$G,Faturamento!$H859)</f>
        <v>600</v>
      </c>
      <c r="Y859" s="28">
        <f>SUMIFS(Positivação!W:W,Positivação!$I:$I,Faturamento!$J859,Positivação!$G:$G,Faturamento!$H859)*SUMIFS(Positivação!$Z:$Z,Positivação!$I:$I,Faturamento!$J859,Positivação!$G:$G,Faturamento!$H859)</f>
        <v>600</v>
      </c>
      <c r="Z859" s="28">
        <f t="shared" ref="Z859" si="205">SUM(Z860:Z877)</f>
        <v>7200</v>
      </c>
      <c r="AA859" s="29"/>
      <c r="AB859" s="28">
        <f t="shared" ref="AB859:AE859" si="206">SUM(AB860:AB877)</f>
        <v>0</v>
      </c>
      <c r="AC859" s="28">
        <f t="shared" si="206"/>
        <v>795.55083333333334</v>
      </c>
      <c r="AD859" s="28">
        <f t="shared" si="206"/>
        <v>1591.1016666666667</v>
      </c>
      <c r="AE859" s="28">
        <f t="shared" si="206"/>
        <v>954.66099999999994</v>
      </c>
      <c r="AG859" s="24">
        <f t="shared" si="195"/>
        <v>1</v>
      </c>
      <c r="AH859" s="24">
        <f t="shared" si="196"/>
        <v>-0.32591805555555559</v>
      </c>
      <c r="AI859" s="24">
        <f t="shared" si="197"/>
        <v>-1.6518361111111111</v>
      </c>
    </row>
    <row r="860" spans="1:35" hidden="1" x14ac:dyDescent="0.3">
      <c r="A860" s="2" t="str">
        <f t="shared" si="194"/>
        <v>NÃO</v>
      </c>
      <c r="B860" s="2">
        <v>1000184670</v>
      </c>
      <c r="C860" s="2" t="s">
        <v>147</v>
      </c>
      <c r="D860" s="4">
        <v>1000186197</v>
      </c>
      <c r="E860" s="4" t="s">
        <v>166</v>
      </c>
      <c r="F860" s="2">
        <v>1000184757</v>
      </c>
      <c r="G860" s="2" t="s">
        <v>62</v>
      </c>
      <c r="H860" s="4">
        <v>1000189790</v>
      </c>
      <c r="I860" s="4" t="s">
        <v>103</v>
      </c>
      <c r="J860" s="2">
        <v>1000189270</v>
      </c>
      <c r="K860" s="2" t="s">
        <v>34</v>
      </c>
      <c r="L860" s="4" t="s">
        <v>13</v>
      </c>
      <c r="M860" s="4" t="str">
        <f t="shared" si="201"/>
        <v>1000184670100018619710001897901000189270BISCOITO</v>
      </c>
      <c r="N860" s="28">
        <f>N859*_xlfn.XLOOKUP($L860,'Balizador da Meta'!$B$4:$B$21,'Balizador da Meta'!$C$4:$C$21)</f>
        <v>42.000000000000007</v>
      </c>
      <c r="O860" s="28">
        <f>O859*_xlfn.XLOOKUP($L860,'Balizador da Meta'!$B$4:$B$21,'Balizador da Meta'!$C$4:$C$21)</f>
        <v>42.000000000000007</v>
      </c>
      <c r="P860" s="28">
        <f>P859*_xlfn.XLOOKUP($L860,'Balizador da Meta'!$B$4:$B$21,'Balizador da Meta'!$C$4:$C$21)</f>
        <v>42.000000000000007</v>
      </c>
      <c r="Q860" s="28">
        <f>Q859*_xlfn.XLOOKUP($L860,'Balizador da Meta'!$B$4:$B$21,'Balizador da Meta'!$C$4:$C$21)</f>
        <v>42.000000000000007</v>
      </c>
      <c r="R860" s="28">
        <f>R859*_xlfn.XLOOKUP($L860,'Balizador da Meta'!$B$4:$B$21,'Balizador da Meta'!$C$4:$C$21)</f>
        <v>42.000000000000007</v>
      </c>
      <c r="S860" s="28">
        <f>S859*_xlfn.XLOOKUP($L860,'Balizador da Meta'!$B$4:$B$21,'Balizador da Meta'!$C$4:$C$21)</f>
        <v>42.000000000000007</v>
      </c>
      <c r="T860" s="28">
        <f>T859*_xlfn.XLOOKUP($L860,'Balizador da Meta'!$B$4:$B$21,'Balizador da Meta'!$C$4:$C$21)</f>
        <v>42.000000000000007</v>
      </c>
      <c r="U860" s="28">
        <f>U859*_xlfn.XLOOKUP($L860,'Balizador da Meta'!$B$4:$B$21,'Balizador da Meta'!$C$4:$C$21)</f>
        <v>42.000000000000007</v>
      </c>
      <c r="V860" s="28">
        <f>V859*_xlfn.XLOOKUP($L860,'Balizador da Meta'!$B$4:$B$21,'Balizador da Meta'!$C$4:$C$21)</f>
        <v>42.000000000000007</v>
      </c>
      <c r="W860" s="28">
        <f>W859*_xlfn.XLOOKUP($L860,'Balizador da Meta'!$B$4:$B$21,'Balizador da Meta'!$C$4:$C$21)</f>
        <v>42.000000000000007</v>
      </c>
      <c r="X860" s="28">
        <f>X859*_xlfn.XLOOKUP($L860,'Balizador da Meta'!$B$4:$B$21,'Balizador da Meta'!$C$4:$C$21)</f>
        <v>42.000000000000007</v>
      </c>
      <c r="Y860" s="28">
        <f>Y859*_xlfn.XLOOKUP($L860,'Balizador da Meta'!$B$4:$B$21,'Balizador da Meta'!$C$4:$C$21)</f>
        <v>42.000000000000007</v>
      </c>
      <c r="Z860" s="30">
        <f t="shared" ref="Z860:Z877" si="207">SUM(N860:Y860)</f>
        <v>504.00000000000006</v>
      </c>
      <c r="AA860" s="29"/>
      <c r="AB860" s="31">
        <f>SUMIFS('Historico - FAT'!AK:AK,'Historico - FAT'!$K:$K,Faturamento!$L860,'Historico - FAT'!$I:$I,Faturamento!$J860,'Historico - FAT'!$G:$G,Faturamento!$H860)</f>
        <v>0</v>
      </c>
      <c r="AC860" s="31">
        <f>SUMIFS('Historico - FAT'!AL:AL,'Historico - FAT'!$K:$K,Faturamento!$L860,'Historico - FAT'!$I:$I,Faturamento!$J860,'Historico - FAT'!$G:$G,Faturamento!$H860)</f>
        <v>20.088333333333335</v>
      </c>
      <c r="AD860" s="31">
        <f>SUMIFS('Historico - FAT'!AM:AM,'Historico - FAT'!$K:$K,Faturamento!$L860,'Historico - FAT'!$I:$I,Faturamento!$J860,'Historico - FAT'!$G:$G,Faturamento!$H860)</f>
        <v>40.176666666666669</v>
      </c>
      <c r="AE860" s="27">
        <f>SUMIFS('Historico - FAT'!AN:AN,'Historico - FAT'!$K:$K,Faturamento!$L860,'Historico - FAT'!$I:$I,Faturamento!$J860,'Historico - FAT'!$G:$G,Faturamento!$H860)</f>
        <v>24.106000000000002</v>
      </c>
      <c r="AG860" s="24">
        <f t="shared" si="195"/>
        <v>1</v>
      </c>
      <c r="AH860" s="24">
        <f t="shared" si="196"/>
        <v>0.52170634920634928</v>
      </c>
      <c r="AI860" s="24">
        <f t="shared" si="197"/>
        <v>4.3412698412698507E-2</v>
      </c>
    </row>
    <row r="861" spans="1:35" hidden="1" x14ac:dyDescent="0.3">
      <c r="A861" s="2" t="str">
        <f t="shared" si="194"/>
        <v>NÃO</v>
      </c>
      <c r="B861" s="2">
        <v>1000184670</v>
      </c>
      <c r="C861" s="2" t="s">
        <v>147</v>
      </c>
      <c r="D861" s="4">
        <v>1000186197</v>
      </c>
      <c r="E861" s="4" t="s">
        <v>166</v>
      </c>
      <c r="F861" s="2">
        <v>1000184757</v>
      </c>
      <c r="G861" s="2" t="s">
        <v>62</v>
      </c>
      <c r="H861" s="4">
        <v>1000189790</v>
      </c>
      <c r="I861" s="4" t="s">
        <v>103</v>
      </c>
      <c r="J861" s="2">
        <v>1000189270</v>
      </c>
      <c r="K861" s="2" t="s">
        <v>34</v>
      </c>
      <c r="L861" s="4" t="s">
        <v>14</v>
      </c>
      <c r="M861" s="4" t="str">
        <f t="shared" si="201"/>
        <v>1000184670100018619710001897901000189270CHOCOLATES</v>
      </c>
      <c r="N861" s="28">
        <f>N859*_xlfn.XLOOKUP($L861,'Balizador da Meta'!$B$4:$B$21,'Balizador da Meta'!$C$4:$C$21)</f>
        <v>42.000000000000007</v>
      </c>
      <c r="O861" s="28">
        <f>O859*_xlfn.XLOOKUP($L861,'Balizador da Meta'!$B$4:$B$21,'Balizador da Meta'!$C$4:$C$21)</f>
        <v>42.000000000000007</v>
      </c>
      <c r="P861" s="28">
        <f>P859*_xlfn.XLOOKUP($L861,'Balizador da Meta'!$B$4:$B$21,'Balizador da Meta'!$C$4:$C$21)</f>
        <v>42.000000000000007</v>
      </c>
      <c r="Q861" s="28">
        <f>Q859*_xlfn.XLOOKUP($L861,'Balizador da Meta'!$B$4:$B$21,'Balizador da Meta'!$C$4:$C$21)</f>
        <v>42.000000000000007</v>
      </c>
      <c r="R861" s="28">
        <f>R859*_xlfn.XLOOKUP($L861,'Balizador da Meta'!$B$4:$B$21,'Balizador da Meta'!$C$4:$C$21)</f>
        <v>42.000000000000007</v>
      </c>
      <c r="S861" s="28">
        <f>S859*_xlfn.XLOOKUP($L861,'Balizador da Meta'!$B$4:$B$21,'Balizador da Meta'!$C$4:$C$21)</f>
        <v>42.000000000000007</v>
      </c>
      <c r="T861" s="28">
        <f>T859*_xlfn.XLOOKUP($L861,'Balizador da Meta'!$B$4:$B$21,'Balizador da Meta'!$C$4:$C$21)</f>
        <v>42.000000000000007</v>
      </c>
      <c r="U861" s="28">
        <f>U859*_xlfn.XLOOKUP($L861,'Balizador da Meta'!$B$4:$B$21,'Balizador da Meta'!$C$4:$C$21)</f>
        <v>42.000000000000007</v>
      </c>
      <c r="V861" s="28">
        <f>V859*_xlfn.XLOOKUP($L861,'Balizador da Meta'!$B$4:$B$21,'Balizador da Meta'!$C$4:$C$21)</f>
        <v>42.000000000000007</v>
      </c>
      <c r="W861" s="28">
        <f>W859*_xlfn.XLOOKUP($L861,'Balizador da Meta'!$B$4:$B$21,'Balizador da Meta'!$C$4:$C$21)</f>
        <v>42.000000000000007</v>
      </c>
      <c r="X861" s="28">
        <f>X859*_xlfn.XLOOKUP($L861,'Balizador da Meta'!$B$4:$B$21,'Balizador da Meta'!$C$4:$C$21)</f>
        <v>42.000000000000007</v>
      </c>
      <c r="Y861" s="28">
        <f>Y859*_xlfn.XLOOKUP($L861,'Balizador da Meta'!$B$4:$B$21,'Balizador da Meta'!$C$4:$C$21)</f>
        <v>42.000000000000007</v>
      </c>
      <c r="Z861" s="30">
        <f t="shared" si="207"/>
        <v>504.00000000000006</v>
      </c>
      <c r="AA861" s="29"/>
      <c r="AB861" s="31">
        <f>SUMIFS('Historico - FAT'!AK:AK,'Historico - FAT'!$K:$K,Faturamento!$L861,'Historico - FAT'!$I:$I,Faturamento!$J861,'Historico - FAT'!$G:$G,Faturamento!$H861)</f>
        <v>0</v>
      </c>
      <c r="AC861" s="31">
        <f>SUMIFS('Historico - FAT'!AL:AL,'Historico - FAT'!$K:$K,Faturamento!$L861,'Historico - FAT'!$I:$I,Faturamento!$J861,'Historico - FAT'!$G:$G,Faturamento!$H861)</f>
        <v>4.75</v>
      </c>
      <c r="AD861" s="31">
        <f>SUMIFS('Historico - FAT'!AM:AM,'Historico - FAT'!$K:$K,Faturamento!$L861,'Historico - FAT'!$I:$I,Faturamento!$J861,'Historico - FAT'!$G:$G,Faturamento!$H861)</f>
        <v>9.5</v>
      </c>
      <c r="AE861" s="27">
        <f>SUMIFS('Historico - FAT'!AN:AN,'Historico - FAT'!$K:$K,Faturamento!$L861,'Historico - FAT'!$I:$I,Faturamento!$J861,'Historico - FAT'!$G:$G,Faturamento!$H861)</f>
        <v>5.7</v>
      </c>
      <c r="AG861" s="24">
        <f t="shared" si="195"/>
        <v>1</v>
      </c>
      <c r="AH861" s="24">
        <f t="shared" si="196"/>
        <v>0.88690476190476197</v>
      </c>
      <c r="AI861" s="24">
        <f t="shared" si="197"/>
        <v>0.77380952380952384</v>
      </c>
    </row>
    <row r="862" spans="1:35" hidden="1" x14ac:dyDescent="0.3">
      <c r="A862" s="2" t="str">
        <f t="shared" si="194"/>
        <v>NÃO</v>
      </c>
      <c r="B862" s="2">
        <v>1000184670</v>
      </c>
      <c r="C862" s="2" t="s">
        <v>147</v>
      </c>
      <c r="D862" s="4">
        <v>1000186197</v>
      </c>
      <c r="E862" s="4" t="s">
        <v>166</v>
      </c>
      <c r="F862" s="2">
        <v>1000184757</v>
      </c>
      <c r="G862" s="2" t="s">
        <v>62</v>
      </c>
      <c r="H862" s="4">
        <v>1000189790</v>
      </c>
      <c r="I862" s="4" t="s">
        <v>103</v>
      </c>
      <c r="J862" s="2">
        <v>1000189270</v>
      </c>
      <c r="K862" s="2" t="s">
        <v>34</v>
      </c>
      <c r="L862" s="4" t="s">
        <v>16</v>
      </c>
      <c r="M862" s="4" t="str">
        <f t="shared" si="201"/>
        <v>1000184670100018619710001897901000189270DISNEY</v>
      </c>
      <c r="N862" s="28">
        <f>N859*_xlfn.XLOOKUP($L862,'Balizador da Meta'!$B$4:$B$21,'Balizador da Meta'!$C$4:$C$21)</f>
        <v>48</v>
      </c>
      <c r="O862" s="28">
        <f>O859*_xlfn.XLOOKUP($L862,'Balizador da Meta'!$B$4:$B$21,'Balizador da Meta'!$C$4:$C$21)</f>
        <v>48</v>
      </c>
      <c r="P862" s="28">
        <f>P859*_xlfn.XLOOKUP($L862,'Balizador da Meta'!$B$4:$B$21,'Balizador da Meta'!$C$4:$C$21)</f>
        <v>48</v>
      </c>
      <c r="Q862" s="28">
        <f>Q859*_xlfn.XLOOKUP($L862,'Balizador da Meta'!$B$4:$B$21,'Balizador da Meta'!$C$4:$C$21)</f>
        <v>48</v>
      </c>
      <c r="R862" s="28">
        <f>R859*_xlfn.XLOOKUP($L862,'Balizador da Meta'!$B$4:$B$21,'Balizador da Meta'!$C$4:$C$21)</f>
        <v>48</v>
      </c>
      <c r="S862" s="28">
        <f>S859*_xlfn.XLOOKUP($L862,'Balizador da Meta'!$B$4:$B$21,'Balizador da Meta'!$C$4:$C$21)</f>
        <v>48</v>
      </c>
      <c r="T862" s="28">
        <f>T859*_xlfn.XLOOKUP($L862,'Balizador da Meta'!$B$4:$B$21,'Balizador da Meta'!$C$4:$C$21)</f>
        <v>48</v>
      </c>
      <c r="U862" s="28">
        <f>U859*_xlfn.XLOOKUP($L862,'Balizador da Meta'!$B$4:$B$21,'Balizador da Meta'!$C$4:$C$21)</f>
        <v>48</v>
      </c>
      <c r="V862" s="28">
        <f>V859*_xlfn.XLOOKUP($L862,'Balizador da Meta'!$B$4:$B$21,'Balizador da Meta'!$C$4:$C$21)</f>
        <v>48</v>
      </c>
      <c r="W862" s="28">
        <f>W859*_xlfn.XLOOKUP($L862,'Balizador da Meta'!$B$4:$B$21,'Balizador da Meta'!$C$4:$C$21)</f>
        <v>48</v>
      </c>
      <c r="X862" s="28">
        <f>X859*_xlfn.XLOOKUP($L862,'Balizador da Meta'!$B$4:$B$21,'Balizador da Meta'!$C$4:$C$21)</f>
        <v>48</v>
      </c>
      <c r="Y862" s="28">
        <f>Y859*_xlfn.XLOOKUP($L862,'Balizador da Meta'!$B$4:$B$21,'Balizador da Meta'!$C$4:$C$21)</f>
        <v>48</v>
      </c>
      <c r="Z862" s="30">
        <f t="shared" si="207"/>
        <v>576</v>
      </c>
      <c r="AA862" s="29"/>
      <c r="AB862" s="31">
        <f>SUMIFS('Historico - FAT'!AK:AK,'Historico - FAT'!$K:$K,Faturamento!$L862,'Historico - FAT'!$I:$I,Faturamento!$J862,'Historico - FAT'!$G:$G,Faturamento!$H862)</f>
        <v>0</v>
      </c>
      <c r="AC862" s="31">
        <f>SUMIFS('Historico - FAT'!AL:AL,'Historico - FAT'!$K:$K,Faturamento!$L862,'Historico - FAT'!$I:$I,Faturamento!$J862,'Historico - FAT'!$G:$G,Faturamento!$H862)</f>
        <v>0</v>
      </c>
      <c r="AD862" s="31">
        <f>SUMIFS('Historico - FAT'!AM:AM,'Historico - FAT'!$K:$K,Faturamento!$L862,'Historico - FAT'!$I:$I,Faturamento!$J862,'Historico - FAT'!$G:$G,Faturamento!$H862)</f>
        <v>0</v>
      </c>
      <c r="AE862" s="27">
        <f>SUMIFS('Historico - FAT'!AN:AN,'Historico - FAT'!$K:$K,Faturamento!$L862,'Historico - FAT'!$I:$I,Faturamento!$J862,'Historico - FAT'!$G:$G,Faturamento!$H862)</f>
        <v>0</v>
      </c>
      <c r="AG862" s="24">
        <f t="shared" si="195"/>
        <v>1</v>
      </c>
      <c r="AH862" s="24">
        <f t="shared" si="196"/>
        <v>1</v>
      </c>
      <c r="AI862" s="24">
        <f t="shared" si="197"/>
        <v>1</v>
      </c>
    </row>
    <row r="863" spans="1:35" hidden="1" x14ac:dyDescent="0.3">
      <c r="A863" s="2" t="str">
        <f t="shared" si="194"/>
        <v>NÃO</v>
      </c>
      <c r="B863" s="2">
        <v>1000184670</v>
      </c>
      <c r="C863" s="2" t="s">
        <v>147</v>
      </c>
      <c r="D863" s="4">
        <v>1000186197</v>
      </c>
      <c r="E863" s="4" t="s">
        <v>166</v>
      </c>
      <c r="F863" s="2">
        <v>1000184757</v>
      </c>
      <c r="G863" s="2" t="s">
        <v>62</v>
      </c>
      <c r="H863" s="4">
        <v>1000189790</v>
      </c>
      <c r="I863" s="4" t="s">
        <v>103</v>
      </c>
      <c r="J863" s="2">
        <v>1000189270</v>
      </c>
      <c r="K863" s="2" t="s">
        <v>34</v>
      </c>
      <c r="L863" s="4" t="s">
        <v>15</v>
      </c>
      <c r="M863" s="4" t="str">
        <f t="shared" si="201"/>
        <v>1000184670100018619710001897901000189270DOCES</v>
      </c>
      <c r="N863" s="28">
        <f>N859*_xlfn.XLOOKUP($L863,'Balizador da Meta'!$B$4:$B$21,'Balizador da Meta'!$C$4:$C$21)</f>
        <v>54</v>
      </c>
      <c r="O863" s="28">
        <f>O859*_xlfn.XLOOKUP($L863,'Balizador da Meta'!$B$4:$B$21,'Balizador da Meta'!$C$4:$C$21)</f>
        <v>54</v>
      </c>
      <c r="P863" s="28">
        <f>P859*_xlfn.XLOOKUP($L863,'Balizador da Meta'!$B$4:$B$21,'Balizador da Meta'!$C$4:$C$21)</f>
        <v>54</v>
      </c>
      <c r="Q863" s="28">
        <f>Q859*_xlfn.XLOOKUP($L863,'Balizador da Meta'!$B$4:$B$21,'Balizador da Meta'!$C$4:$C$21)</f>
        <v>54</v>
      </c>
      <c r="R863" s="28">
        <f>R859*_xlfn.XLOOKUP($L863,'Balizador da Meta'!$B$4:$B$21,'Balizador da Meta'!$C$4:$C$21)</f>
        <v>54</v>
      </c>
      <c r="S863" s="28">
        <f>S859*_xlfn.XLOOKUP($L863,'Balizador da Meta'!$B$4:$B$21,'Balizador da Meta'!$C$4:$C$21)</f>
        <v>54</v>
      </c>
      <c r="T863" s="28">
        <f>T859*_xlfn.XLOOKUP($L863,'Balizador da Meta'!$B$4:$B$21,'Balizador da Meta'!$C$4:$C$21)</f>
        <v>54</v>
      </c>
      <c r="U863" s="28">
        <f>U859*_xlfn.XLOOKUP($L863,'Balizador da Meta'!$B$4:$B$21,'Balizador da Meta'!$C$4:$C$21)</f>
        <v>54</v>
      </c>
      <c r="V863" s="28">
        <f>V859*_xlfn.XLOOKUP($L863,'Balizador da Meta'!$B$4:$B$21,'Balizador da Meta'!$C$4:$C$21)</f>
        <v>54</v>
      </c>
      <c r="W863" s="28">
        <f>W859*_xlfn.XLOOKUP($L863,'Balizador da Meta'!$B$4:$B$21,'Balizador da Meta'!$C$4:$C$21)</f>
        <v>54</v>
      </c>
      <c r="X863" s="28">
        <f>X859*_xlfn.XLOOKUP($L863,'Balizador da Meta'!$B$4:$B$21,'Balizador da Meta'!$C$4:$C$21)</f>
        <v>54</v>
      </c>
      <c r="Y863" s="28">
        <f>Y859*_xlfn.XLOOKUP($L863,'Balizador da Meta'!$B$4:$B$21,'Balizador da Meta'!$C$4:$C$21)</f>
        <v>54</v>
      </c>
      <c r="Z863" s="30">
        <f t="shared" si="207"/>
        <v>648</v>
      </c>
      <c r="AA863" s="29"/>
      <c r="AB863" s="31">
        <f>SUMIFS('Historico - FAT'!AK:AK,'Historico - FAT'!$K:$K,Faturamento!$L863,'Historico - FAT'!$I:$I,Faturamento!$J863,'Historico - FAT'!$G:$G,Faturamento!$H863)</f>
        <v>0</v>
      </c>
      <c r="AC863" s="31">
        <f>SUMIFS('Historico - FAT'!AL:AL,'Historico - FAT'!$K:$K,Faturamento!$L863,'Historico - FAT'!$I:$I,Faturamento!$J863,'Historico - FAT'!$G:$G,Faturamento!$H863)</f>
        <v>116.92833333333333</v>
      </c>
      <c r="AD863" s="31">
        <f>SUMIFS('Historico - FAT'!AM:AM,'Historico - FAT'!$K:$K,Faturamento!$L863,'Historico - FAT'!$I:$I,Faturamento!$J863,'Historico - FAT'!$G:$G,Faturamento!$H863)</f>
        <v>233.85666666666665</v>
      </c>
      <c r="AE863" s="27">
        <f>SUMIFS('Historico - FAT'!AN:AN,'Historico - FAT'!$K:$K,Faturamento!$L863,'Historico - FAT'!$I:$I,Faturamento!$J863,'Historico - FAT'!$G:$G,Faturamento!$H863)</f>
        <v>140.31399999999999</v>
      </c>
      <c r="AG863" s="24">
        <f t="shared" si="195"/>
        <v>1</v>
      </c>
      <c r="AH863" s="24">
        <f t="shared" si="196"/>
        <v>-1.1653395061728393</v>
      </c>
      <c r="AI863" s="24">
        <f t="shared" si="197"/>
        <v>-3.3306790123456786</v>
      </c>
    </row>
    <row r="864" spans="1:35" hidden="1" x14ac:dyDescent="0.3">
      <c r="A864" s="2" t="str">
        <f t="shared" si="194"/>
        <v>NÃO</v>
      </c>
      <c r="B864" s="2">
        <v>1000184670</v>
      </c>
      <c r="C864" s="2" t="s">
        <v>147</v>
      </c>
      <c r="D864" s="4">
        <v>1000186197</v>
      </c>
      <c r="E864" s="4" t="s">
        <v>166</v>
      </c>
      <c r="F864" s="2">
        <v>1000184757</v>
      </c>
      <c r="G864" s="2" t="s">
        <v>62</v>
      </c>
      <c r="H864" s="4">
        <v>1000189790</v>
      </c>
      <c r="I864" s="4" t="s">
        <v>103</v>
      </c>
      <c r="J864" s="2">
        <v>1000189270</v>
      </c>
      <c r="K864" s="2" t="s">
        <v>34</v>
      </c>
      <c r="L864" s="4" t="s">
        <v>33</v>
      </c>
      <c r="M864" s="4" t="str">
        <f t="shared" si="201"/>
        <v>1000184670100018619710001897901000189270FOOD SERVICE</v>
      </c>
      <c r="N864" s="28">
        <f>N859*_xlfn.XLOOKUP($L864,'Balizador da Meta'!$B$4:$B$21,'Balizador da Meta'!$C$4:$C$21)</f>
        <v>0</v>
      </c>
      <c r="O864" s="28">
        <f>O859*_xlfn.XLOOKUP($L864,'Balizador da Meta'!$B$4:$B$21,'Balizador da Meta'!$C$4:$C$21)</f>
        <v>0</v>
      </c>
      <c r="P864" s="28">
        <f>P859*_xlfn.XLOOKUP($L864,'Balizador da Meta'!$B$4:$B$21,'Balizador da Meta'!$C$4:$C$21)</f>
        <v>0</v>
      </c>
      <c r="Q864" s="28">
        <f>Q859*_xlfn.XLOOKUP($L864,'Balizador da Meta'!$B$4:$B$21,'Balizador da Meta'!$C$4:$C$21)</f>
        <v>0</v>
      </c>
      <c r="R864" s="28">
        <f>R859*_xlfn.XLOOKUP($L864,'Balizador da Meta'!$B$4:$B$21,'Balizador da Meta'!$C$4:$C$21)</f>
        <v>0</v>
      </c>
      <c r="S864" s="28">
        <f>S859*_xlfn.XLOOKUP($L864,'Balizador da Meta'!$B$4:$B$21,'Balizador da Meta'!$C$4:$C$21)</f>
        <v>0</v>
      </c>
      <c r="T864" s="28">
        <f>T859*_xlfn.XLOOKUP($L864,'Balizador da Meta'!$B$4:$B$21,'Balizador da Meta'!$C$4:$C$21)</f>
        <v>0</v>
      </c>
      <c r="U864" s="28">
        <f>U859*_xlfn.XLOOKUP($L864,'Balizador da Meta'!$B$4:$B$21,'Balizador da Meta'!$C$4:$C$21)</f>
        <v>0</v>
      </c>
      <c r="V864" s="28">
        <f>V859*_xlfn.XLOOKUP($L864,'Balizador da Meta'!$B$4:$B$21,'Balizador da Meta'!$C$4:$C$21)</f>
        <v>0</v>
      </c>
      <c r="W864" s="28">
        <f>W859*_xlfn.XLOOKUP($L864,'Balizador da Meta'!$B$4:$B$21,'Balizador da Meta'!$C$4:$C$21)</f>
        <v>0</v>
      </c>
      <c r="X864" s="28">
        <f>X859*_xlfn.XLOOKUP($L864,'Balizador da Meta'!$B$4:$B$21,'Balizador da Meta'!$C$4:$C$21)</f>
        <v>0</v>
      </c>
      <c r="Y864" s="28">
        <f>Y859*_xlfn.XLOOKUP($L864,'Balizador da Meta'!$B$4:$B$21,'Balizador da Meta'!$C$4:$C$21)</f>
        <v>0</v>
      </c>
      <c r="Z864" s="30">
        <f t="shared" si="207"/>
        <v>0</v>
      </c>
      <c r="AA864" s="29"/>
      <c r="AB864" s="31">
        <f>SUMIFS('Historico - FAT'!AK:AK,'Historico - FAT'!$K:$K,Faturamento!$L864,'Historico - FAT'!$I:$I,Faturamento!$J864,'Historico - FAT'!$G:$G,Faturamento!$H864)</f>
        <v>0</v>
      </c>
      <c r="AC864" s="31">
        <f>SUMIFS('Historico - FAT'!AL:AL,'Historico - FAT'!$K:$K,Faturamento!$L864,'Historico - FAT'!$I:$I,Faturamento!$J864,'Historico - FAT'!$G:$G,Faturamento!$H864)</f>
        <v>0</v>
      </c>
      <c r="AD864" s="31">
        <f>SUMIFS('Historico - FAT'!AM:AM,'Historico - FAT'!$K:$K,Faturamento!$L864,'Historico - FAT'!$I:$I,Faturamento!$J864,'Historico - FAT'!$G:$G,Faturamento!$H864)</f>
        <v>0</v>
      </c>
      <c r="AE864" s="27">
        <f>SUMIFS('Historico - FAT'!AN:AN,'Historico - FAT'!$K:$K,Faturamento!$L864,'Historico - FAT'!$I:$I,Faturamento!$J864,'Historico - FAT'!$G:$G,Faturamento!$H864)</f>
        <v>0</v>
      </c>
      <c r="AG864" s="24" t="str">
        <f t="shared" si="195"/>
        <v/>
      </c>
      <c r="AH864" s="24" t="str">
        <f t="shared" si="196"/>
        <v/>
      </c>
      <c r="AI864" s="24" t="str">
        <f t="shared" si="197"/>
        <v/>
      </c>
    </row>
    <row r="865" spans="1:35" hidden="1" x14ac:dyDescent="0.3">
      <c r="A865" s="2" t="str">
        <f t="shared" si="194"/>
        <v>NÃO</v>
      </c>
      <c r="B865" s="2">
        <v>1000184670</v>
      </c>
      <c r="C865" s="2" t="s">
        <v>147</v>
      </c>
      <c r="D865" s="4">
        <v>1000186197</v>
      </c>
      <c r="E865" s="4" t="s">
        <v>166</v>
      </c>
      <c r="F865" s="2">
        <v>1000184757</v>
      </c>
      <c r="G865" s="2" t="s">
        <v>62</v>
      </c>
      <c r="H865" s="4">
        <v>1000189790</v>
      </c>
      <c r="I865" s="4" t="s">
        <v>103</v>
      </c>
      <c r="J865" s="2">
        <v>1000189270</v>
      </c>
      <c r="K865" s="2" t="s">
        <v>34</v>
      </c>
      <c r="L865" s="4" t="s">
        <v>19</v>
      </c>
      <c r="M865" s="4" t="str">
        <f t="shared" si="201"/>
        <v>1000184670100018619710001897901000189270GELEIA</v>
      </c>
      <c r="N865" s="28">
        <f>N859*_xlfn.XLOOKUP($L865,'Balizador da Meta'!$B$4:$B$21,'Balizador da Meta'!$C$4:$C$21)</f>
        <v>11.999999999999998</v>
      </c>
      <c r="O865" s="28">
        <f>O859*_xlfn.XLOOKUP($L865,'Balizador da Meta'!$B$4:$B$21,'Balizador da Meta'!$C$4:$C$21)</f>
        <v>11.999999999999998</v>
      </c>
      <c r="P865" s="28">
        <f>P859*_xlfn.XLOOKUP($L865,'Balizador da Meta'!$B$4:$B$21,'Balizador da Meta'!$C$4:$C$21)</f>
        <v>11.999999999999998</v>
      </c>
      <c r="Q865" s="28">
        <f>Q859*_xlfn.XLOOKUP($L865,'Balizador da Meta'!$B$4:$B$21,'Balizador da Meta'!$C$4:$C$21)</f>
        <v>11.999999999999998</v>
      </c>
      <c r="R865" s="28">
        <f>R859*_xlfn.XLOOKUP($L865,'Balizador da Meta'!$B$4:$B$21,'Balizador da Meta'!$C$4:$C$21)</f>
        <v>11.999999999999998</v>
      </c>
      <c r="S865" s="28">
        <f>S859*_xlfn.XLOOKUP($L865,'Balizador da Meta'!$B$4:$B$21,'Balizador da Meta'!$C$4:$C$21)</f>
        <v>11.999999999999998</v>
      </c>
      <c r="T865" s="28">
        <f>T859*_xlfn.XLOOKUP($L865,'Balizador da Meta'!$B$4:$B$21,'Balizador da Meta'!$C$4:$C$21)</f>
        <v>11.999999999999998</v>
      </c>
      <c r="U865" s="28">
        <f>U859*_xlfn.XLOOKUP($L865,'Balizador da Meta'!$B$4:$B$21,'Balizador da Meta'!$C$4:$C$21)</f>
        <v>11.999999999999998</v>
      </c>
      <c r="V865" s="28">
        <f>V859*_xlfn.XLOOKUP($L865,'Balizador da Meta'!$B$4:$B$21,'Balizador da Meta'!$C$4:$C$21)</f>
        <v>11.999999999999998</v>
      </c>
      <c r="W865" s="28">
        <f>W859*_xlfn.XLOOKUP($L865,'Balizador da Meta'!$B$4:$B$21,'Balizador da Meta'!$C$4:$C$21)</f>
        <v>11.999999999999998</v>
      </c>
      <c r="X865" s="28">
        <f>X859*_xlfn.XLOOKUP($L865,'Balizador da Meta'!$B$4:$B$21,'Balizador da Meta'!$C$4:$C$21)</f>
        <v>11.999999999999998</v>
      </c>
      <c r="Y865" s="28">
        <f>Y859*_xlfn.XLOOKUP($L865,'Balizador da Meta'!$B$4:$B$21,'Balizador da Meta'!$C$4:$C$21)</f>
        <v>11.999999999999998</v>
      </c>
      <c r="Z865" s="30">
        <f t="shared" si="207"/>
        <v>143.99999999999997</v>
      </c>
      <c r="AA865" s="29"/>
      <c r="AB865" s="31">
        <f>SUMIFS('Historico - FAT'!AK:AK,'Historico - FAT'!$K:$K,Faturamento!$L865,'Historico - FAT'!$I:$I,Faturamento!$J865,'Historico - FAT'!$G:$G,Faturamento!$H865)</f>
        <v>0</v>
      </c>
      <c r="AC865" s="31">
        <f>SUMIFS('Historico - FAT'!AL:AL,'Historico - FAT'!$K:$K,Faturamento!$L865,'Historico - FAT'!$I:$I,Faturamento!$J865,'Historico - FAT'!$G:$G,Faturamento!$H865)</f>
        <v>6.2250000000000005</v>
      </c>
      <c r="AD865" s="31">
        <f>SUMIFS('Historico - FAT'!AM:AM,'Historico - FAT'!$K:$K,Faturamento!$L865,'Historico - FAT'!$I:$I,Faturamento!$J865,'Historico - FAT'!$G:$G,Faturamento!$H865)</f>
        <v>12.450000000000001</v>
      </c>
      <c r="AE865" s="27">
        <f>SUMIFS('Historico - FAT'!AN:AN,'Historico - FAT'!$K:$K,Faturamento!$L865,'Historico - FAT'!$I:$I,Faturamento!$J865,'Historico - FAT'!$G:$G,Faturamento!$H865)</f>
        <v>7.4700000000000006</v>
      </c>
      <c r="AG865" s="24">
        <f t="shared" si="195"/>
        <v>1</v>
      </c>
      <c r="AH865" s="24">
        <f t="shared" si="196"/>
        <v>0.4812499999999999</v>
      </c>
      <c r="AI865" s="24">
        <f t="shared" si="197"/>
        <v>-3.7500000000000241E-2</v>
      </c>
    </row>
    <row r="866" spans="1:35" hidden="1" x14ac:dyDescent="0.3">
      <c r="A866" s="2" t="str">
        <f t="shared" si="194"/>
        <v>NÃO</v>
      </c>
      <c r="B866" s="2">
        <v>1000184670</v>
      </c>
      <c r="C866" s="2" t="s">
        <v>147</v>
      </c>
      <c r="D866" s="4">
        <v>1000186197</v>
      </c>
      <c r="E866" s="4" t="s">
        <v>166</v>
      </c>
      <c r="F866" s="2">
        <v>1000184757</v>
      </c>
      <c r="G866" s="2" t="s">
        <v>62</v>
      </c>
      <c r="H866" s="4">
        <v>1000189790</v>
      </c>
      <c r="I866" s="4" t="s">
        <v>103</v>
      </c>
      <c r="J866" s="2">
        <v>1000189270</v>
      </c>
      <c r="K866" s="2" t="s">
        <v>34</v>
      </c>
      <c r="L866" s="4" t="s">
        <v>17</v>
      </c>
      <c r="M866" s="4" t="str">
        <f t="shared" si="201"/>
        <v>1000184670100018619710001897901000189270GRANOLA</v>
      </c>
      <c r="N866" s="28">
        <f>N859*_xlfn.XLOOKUP($L866,'Balizador da Meta'!$B$4:$B$21,'Balizador da Meta'!$C$4:$C$21)</f>
        <v>12</v>
      </c>
      <c r="O866" s="28">
        <f>O859*_xlfn.XLOOKUP($L866,'Balizador da Meta'!$B$4:$B$21,'Balizador da Meta'!$C$4:$C$21)</f>
        <v>12</v>
      </c>
      <c r="P866" s="28">
        <f>P859*_xlfn.XLOOKUP($L866,'Balizador da Meta'!$B$4:$B$21,'Balizador da Meta'!$C$4:$C$21)</f>
        <v>12</v>
      </c>
      <c r="Q866" s="28">
        <f>Q859*_xlfn.XLOOKUP($L866,'Balizador da Meta'!$B$4:$B$21,'Balizador da Meta'!$C$4:$C$21)</f>
        <v>12</v>
      </c>
      <c r="R866" s="28">
        <f>R859*_xlfn.XLOOKUP($L866,'Balizador da Meta'!$B$4:$B$21,'Balizador da Meta'!$C$4:$C$21)</f>
        <v>12</v>
      </c>
      <c r="S866" s="28">
        <f>S859*_xlfn.XLOOKUP($L866,'Balizador da Meta'!$B$4:$B$21,'Balizador da Meta'!$C$4:$C$21)</f>
        <v>12</v>
      </c>
      <c r="T866" s="28">
        <f>T859*_xlfn.XLOOKUP($L866,'Balizador da Meta'!$B$4:$B$21,'Balizador da Meta'!$C$4:$C$21)</f>
        <v>12</v>
      </c>
      <c r="U866" s="28">
        <f>U859*_xlfn.XLOOKUP($L866,'Balizador da Meta'!$B$4:$B$21,'Balizador da Meta'!$C$4:$C$21)</f>
        <v>12</v>
      </c>
      <c r="V866" s="28">
        <f>V859*_xlfn.XLOOKUP($L866,'Balizador da Meta'!$B$4:$B$21,'Balizador da Meta'!$C$4:$C$21)</f>
        <v>12</v>
      </c>
      <c r="W866" s="28">
        <f>W859*_xlfn.XLOOKUP($L866,'Balizador da Meta'!$B$4:$B$21,'Balizador da Meta'!$C$4:$C$21)</f>
        <v>12</v>
      </c>
      <c r="X866" s="28">
        <f>X859*_xlfn.XLOOKUP($L866,'Balizador da Meta'!$B$4:$B$21,'Balizador da Meta'!$C$4:$C$21)</f>
        <v>12</v>
      </c>
      <c r="Y866" s="28">
        <f>Y859*_xlfn.XLOOKUP($L866,'Balizador da Meta'!$B$4:$B$21,'Balizador da Meta'!$C$4:$C$21)</f>
        <v>12</v>
      </c>
      <c r="Z866" s="30">
        <f t="shared" si="207"/>
        <v>144</v>
      </c>
      <c r="AA866" s="29"/>
      <c r="AB866" s="31">
        <f>SUMIFS('Historico - FAT'!AK:AK,'Historico - FAT'!$K:$K,Faturamento!$L866,'Historico - FAT'!$I:$I,Faturamento!$J866,'Historico - FAT'!$G:$G,Faturamento!$H866)</f>
        <v>0</v>
      </c>
      <c r="AC866" s="31">
        <f>SUMIFS('Historico - FAT'!AL:AL,'Historico - FAT'!$K:$K,Faturamento!$L866,'Historico - FAT'!$I:$I,Faturamento!$J866,'Historico - FAT'!$G:$G,Faturamento!$H866)</f>
        <v>82.987500000000011</v>
      </c>
      <c r="AD866" s="31">
        <f>SUMIFS('Historico - FAT'!AM:AM,'Historico - FAT'!$K:$K,Faturamento!$L866,'Historico - FAT'!$I:$I,Faturamento!$J866,'Historico - FAT'!$G:$G,Faturamento!$H866)</f>
        <v>165.97500000000002</v>
      </c>
      <c r="AE866" s="27">
        <f>SUMIFS('Historico - FAT'!AN:AN,'Historico - FAT'!$K:$K,Faturamento!$L866,'Historico - FAT'!$I:$I,Faturamento!$J866,'Historico - FAT'!$G:$G,Faturamento!$H866)</f>
        <v>99.585000000000008</v>
      </c>
      <c r="AG866" s="24">
        <f t="shared" si="195"/>
        <v>1</v>
      </c>
      <c r="AH866" s="24">
        <f t="shared" si="196"/>
        <v>-5.9156250000000012</v>
      </c>
      <c r="AI866" s="24">
        <f t="shared" si="197"/>
        <v>-12.831250000000002</v>
      </c>
    </row>
    <row r="867" spans="1:35" hidden="1" x14ac:dyDescent="0.3">
      <c r="A867" s="2" t="str">
        <f t="shared" si="194"/>
        <v>NÃO</v>
      </c>
      <c r="B867" s="2">
        <v>1000184670</v>
      </c>
      <c r="C867" s="2" t="s">
        <v>147</v>
      </c>
      <c r="D867" s="4">
        <v>1000186197</v>
      </c>
      <c r="E867" s="4" t="s">
        <v>166</v>
      </c>
      <c r="F867" s="2">
        <v>1000184757</v>
      </c>
      <c r="G867" s="2" t="s">
        <v>62</v>
      </c>
      <c r="H867" s="4">
        <v>1000189790</v>
      </c>
      <c r="I867" s="4" t="s">
        <v>103</v>
      </c>
      <c r="J867" s="2">
        <v>1000189270</v>
      </c>
      <c r="K867" s="2" t="s">
        <v>34</v>
      </c>
      <c r="L867" s="4" t="s">
        <v>24</v>
      </c>
      <c r="M867" s="4" t="str">
        <f t="shared" si="201"/>
        <v>1000184670100018619710001897901000189270KIDS</v>
      </c>
      <c r="N867" s="28">
        <f>N859*_xlfn.XLOOKUP($L867,'Balizador da Meta'!$B$4:$B$21,'Balizador da Meta'!$C$4:$C$21)</f>
        <v>0</v>
      </c>
      <c r="O867" s="28">
        <f>O859*_xlfn.XLOOKUP($L867,'Balizador da Meta'!$B$4:$B$21,'Balizador da Meta'!$C$4:$C$21)</f>
        <v>0</v>
      </c>
      <c r="P867" s="28">
        <f>P859*_xlfn.XLOOKUP($L867,'Balizador da Meta'!$B$4:$B$21,'Balizador da Meta'!$C$4:$C$21)</f>
        <v>0</v>
      </c>
      <c r="Q867" s="28">
        <f>Q859*_xlfn.XLOOKUP($L867,'Balizador da Meta'!$B$4:$B$21,'Balizador da Meta'!$C$4:$C$21)</f>
        <v>0</v>
      </c>
      <c r="R867" s="28">
        <f>R859*_xlfn.XLOOKUP($L867,'Balizador da Meta'!$B$4:$B$21,'Balizador da Meta'!$C$4:$C$21)</f>
        <v>0</v>
      </c>
      <c r="S867" s="28">
        <f>S859*_xlfn.XLOOKUP($L867,'Balizador da Meta'!$B$4:$B$21,'Balizador da Meta'!$C$4:$C$21)</f>
        <v>0</v>
      </c>
      <c r="T867" s="28">
        <f>T859*_xlfn.XLOOKUP($L867,'Balizador da Meta'!$B$4:$B$21,'Balizador da Meta'!$C$4:$C$21)</f>
        <v>0</v>
      </c>
      <c r="U867" s="28">
        <f>U859*_xlfn.XLOOKUP($L867,'Balizador da Meta'!$B$4:$B$21,'Balizador da Meta'!$C$4:$C$21)</f>
        <v>0</v>
      </c>
      <c r="V867" s="28">
        <f>V859*_xlfn.XLOOKUP($L867,'Balizador da Meta'!$B$4:$B$21,'Balizador da Meta'!$C$4:$C$21)</f>
        <v>0</v>
      </c>
      <c r="W867" s="28">
        <f>W859*_xlfn.XLOOKUP($L867,'Balizador da Meta'!$B$4:$B$21,'Balizador da Meta'!$C$4:$C$21)</f>
        <v>0</v>
      </c>
      <c r="X867" s="28">
        <f>X859*_xlfn.XLOOKUP($L867,'Balizador da Meta'!$B$4:$B$21,'Balizador da Meta'!$C$4:$C$21)</f>
        <v>0</v>
      </c>
      <c r="Y867" s="28">
        <f>Y859*_xlfn.XLOOKUP($L867,'Balizador da Meta'!$B$4:$B$21,'Balizador da Meta'!$C$4:$C$21)</f>
        <v>0</v>
      </c>
      <c r="Z867" s="30">
        <f t="shared" si="207"/>
        <v>0</v>
      </c>
      <c r="AA867" s="29"/>
      <c r="AB867" s="31">
        <f>SUMIFS('Historico - FAT'!AK:AK,'Historico - FAT'!$K:$K,Faturamento!$L867,'Historico - FAT'!$I:$I,Faturamento!$J867,'Historico - FAT'!$G:$G,Faturamento!$H867)</f>
        <v>0</v>
      </c>
      <c r="AC867" s="31">
        <f>SUMIFS('Historico - FAT'!AL:AL,'Historico - FAT'!$K:$K,Faturamento!$L867,'Historico - FAT'!$I:$I,Faturamento!$J867,'Historico - FAT'!$G:$G,Faturamento!$H867)</f>
        <v>0</v>
      </c>
      <c r="AD867" s="31">
        <f>SUMIFS('Historico - FAT'!AM:AM,'Historico - FAT'!$K:$K,Faturamento!$L867,'Historico - FAT'!$I:$I,Faturamento!$J867,'Historico - FAT'!$G:$G,Faturamento!$H867)</f>
        <v>0</v>
      </c>
      <c r="AE867" s="27">
        <f>SUMIFS('Historico - FAT'!AN:AN,'Historico - FAT'!$K:$K,Faturamento!$L867,'Historico - FAT'!$I:$I,Faturamento!$J867,'Historico - FAT'!$G:$G,Faturamento!$H867)</f>
        <v>0</v>
      </c>
      <c r="AG867" s="24" t="str">
        <f t="shared" si="195"/>
        <v/>
      </c>
      <c r="AH867" s="24" t="str">
        <f t="shared" si="196"/>
        <v/>
      </c>
      <c r="AI867" s="24" t="str">
        <f t="shared" si="197"/>
        <v/>
      </c>
    </row>
    <row r="868" spans="1:35" hidden="1" x14ac:dyDescent="0.3">
      <c r="A868" s="2" t="str">
        <f t="shared" si="194"/>
        <v>NÃO</v>
      </c>
      <c r="B868" s="2">
        <v>1000184670</v>
      </c>
      <c r="C868" s="2" t="s">
        <v>147</v>
      </c>
      <c r="D868" s="4">
        <v>1000186197</v>
      </c>
      <c r="E868" s="4" t="s">
        <v>166</v>
      </c>
      <c r="F868" s="2">
        <v>1000184757</v>
      </c>
      <c r="G868" s="2" t="s">
        <v>62</v>
      </c>
      <c r="H868" s="4">
        <v>1000189790</v>
      </c>
      <c r="I868" s="4" t="s">
        <v>103</v>
      </c>
      <c r="J868" s="2">
        <v>1000189270</v>
      </c>
      <c r="K868" s="2" t="s">
        <v>34</v>
      </c>
      <c r="L868" s="4" t="s">
        <v>18</v>
      </c>
      <c r="M868" s="4" t="str">
        <f t="shared" si="201"/>
        <v>1000184670100018619710001897901000189270LANCHES</v>
      </c>
      <c r="N868" s="28">
        <f>N859*_xlfn.XLOOKUP($L868,'Balizador da Meta'!$B$4:$B$21,'Balizador da Meta'!$C$4:$C$21)</f>
        <v>6</v>
      </c>
      <c r="O868" s="28">
        <f>O859*_xlfn.XLOOKUP($L868,'Balizador da Meta'!$B$4:$B$21,'Balizador da Meta'!$C$4:$C$21)</f>
        <v>6</v>
      </c>
      <c r="P868" s="28">
        <f>P859*_xlfn.XLOOKUP($L868,'Balizador da Meta'!$B$4:$B$21,'Balizador da Meta'!$C$4:$C$21)</f>
        <v>6</v>
      </c>
      <c r="Q868" s="28">
        <f>Q859*_xlfn.XLOOKUP($L868,'Balizador da Meta'!$B$4:$B$21,'Balizador da Meta'!$C$4:$C$21)</f>
        <v>6</v>
      </c>
      <c r="R868" s="28">
        <f>R859*_xlfn.XLOOKUP($L868,'Balizador da Meta'!$B$4:$B$21,'Balizador da Meta'!$C$4:$C$21)</f>
        <v>6</v>
      </c>
      <c r="S868" s="28">
        <f>S859*_xlfn.XLOOKUP($L868,'Balizador da Meta'!$B$4:$B$21,'Balizador da Meta'!$C$4:$C$21)</f>
        <v>6</v>
      </c>
      <c r="T868" s="28">
        <f>T859*_xlfn.XLOOKUP($L868,'Balizador da Meta'!$B$4:$B$21,'Balizador da Meta'!$C$4:$C$21)</f>
        <v>6</v>
      </c>
      <c r="U868" s="28">
        <f>U859*_xlfn.XLOOKUP($L868,'Balizador da Meta'!$B$4:$B$21,'Balizador da Meta'!$C$4:$C$21)</f>
        <v>6</v>
      </c>
      <c r="V868" s="28">
        <f>V859*_xlfn.XLOOKUP($L868,'Balizador da Meta'!$B$4:$B$21,'Balizador da Meta'!$C$4:$C$21)</f>
        <v>6</v>
      </c>
      <c r="W868" s="28">
        <f>W859*_xlfn.XLOOKUP($L868,'Balizador da Meta'!$B$4:$B$21,'Balizador da Meta'!$C$4:$C$21)</f>
        <v>6</v>
      </c>
      <c r="X868" s="28">
        <f>X859*_xlfn.XLOOKUP($L868,'Balizador da Meta'!$B$4:$B$21,'Balizador da Meta'!$C$4:$C$21)</f>
        <v>6</v>
      </c>
      <c r="Y868" s="28">
        <f>Y859*_xlfn.XLOOKUP($L868,'Balizador da Meta'!$B$4:$B$21,'Balizador da Meta'!$C$4:$C$21)</f>
        <v>6</v>
      </c>
      <c r="Z868" s="30">
        <f t="shared" si="207"/>
        <v>72</v>
      </c>
      <c r="AA868" s="29"/>
      <c r="AB868" s="31">
        <f>SUMIFS('Historico - FAT'!AK:AK,'Historico - FAT'!$K:$K,Faturamento!$L868,'Historico - FAT'!$I:$I,Faturamento!$J868,'Historico - FAT'!$G:$G,Faturamento!$H868)</f>
        <v>0</v>
      </c>
      <c r="AC868" s="31">
        <f>SUMIFS('Historico - FAT'!AL:AL,'Historico - FAT'!$K:$K,Faturamento!$L868,'Historico - FAT'!$I:$I,Faturamento!$J868,'Historico - FAT'!$G:$G,Faturamento!$H868)</f>
        <v>0</v>
      </c>
      <c r="AD868" s="31">
        <f>SUMIFS('Historico - FAT'!AM:AM,'Historico - FAT'!$K:$K,Faturamento!$L868,'Historico - FAT'!$I:$I,Faturamento!$J868,'Historico - FAT'!$G:$G,Faturamento!$H868)</f>
        <v>0</v>
      </c>
      <c r="AE868" s="27">
        <f>SUMIFS('Historico - FAT'!AN:AN,'Historico - FAT'!$K:$K,Faturamento!$L868,'Historico - FAT'!$I:$I,Faturamento!$J868,'Historico - FAT'!$G:$G,Faturamento!$H868)</f>
        <v>0</v>
      </c>
      <c r="AG868" s="24">
        <f t="shared" si="195"/>
        <v>1</v>
      </c>
      <c r="AH868" s="24">
        <f t="shared" si="196"/>
        <v>1</v>
      </c>
      <c r="AI868" s="24">
        <f t="shared" si="197"/>
        <v>1</v>
      </c>
    </row>
    <row r="869" spans="1:35" hidden="1" x14ac:dyDescent="0.3">
      <c r="A869" s="2" t="str">
        <f t="shared" si="194"/>
        <v>NÃO</v>
      </c>
      <c r="B869" s="2">
        <v>1000184670</v>
      </c>
      <c r="C869" s="2" t="s">
        <v>147</v>
      </c>
      <c r="D869" s="4">
        <v>1000186197</v>
      </c>
      <c r="E869" s="4" t="s">
        <v>166</v>
      </c>
      <c r="F869" s="2">
        <v>1000184757</v>
      </c>
      <c r="G869" s="2" t="s">
        <v>62</v>
      </c>
      <c r="H869" s="4">
        <v>1000189790</v>
      </c>
      <c r="I869" s="4" t="s">
        <v>103</v>
      </c>
      <c r="J869" s="2">
        <v>1000189270</v>
      </c>
      <c r="K869" s="2" t="s">
        <v>34</v>
      </c>
      <c r="L869" s="4" t="s">
        <v>29</v>
      </c>
      <c r="M869" s="4" t="str">
        <f t="shared" si="201"/>
        <v>1000184670100018619710001897901000189270MAIS GRANEL</v>
      </c>
      <c r="N869" s="28">
        <f>N859*_xlfn.XLOOKUP($L869,'Balizador da Meta'!$B$4:$B$21,'Balizador da Meta'!$C$4:$C$21)</f>
        <v>192</v>
      </c>
      <c r="O869" s="28">
        <f>O859*_xlfn.XLOOKUP($L869,'Balizador da Meta'!$B$4:$B$21,'Balizador da Meta'!$C$4:$C$21)</f>
        <v>192</v>
      </c>
      <c r="P869" s="28">
        <f>P859*_xlfn.XLOOKUP($L869,'Balizador da Meta'!$B$4:$B$21,'Balizador da Meta'!$C$4:$C$21)</f>
        <v>192</v>
      </c>
      <c r="Q869" s="28">
        <f>Q859*_xlfn.XLOOKUP($L869,'Balizador da Meta'!$B$4:$B$21,'Balizador da Meta'!$C$4:$C$21)</f>
        <v>192</v>
      </c>
      <c r="R869" s="28">
        <f>R859*_xlfn.XLOOKUP($L869,'Balizador da Meta'!$B$4:$B$21,'Balizador da Meta'!$C$4:$C$21)</f>
        <v>192</v>
      </c>
      <c r="S869" s="28">
        <f>S859*_xlfn.XLOOKUP($L869,'Balizador da Meta'!$B$4:$B$21,'Balizador da Meta'!$C$4:$C$21)</f>
        <v>192</v>
      </c>
      <c r="T869" s="28">
        <f>T859*_xlfn.XLOOKUP($L869,'Balizador da Meta'!$B$4:$B$21,'Balizador da Meta'!$C$4:$C$21)</f>
        <v>192</v>
      </c>
      <c r="U869" s="28">
        <f>U859*_xlfn.XLOOKUP($L869,'Balizador da Meta'!$B$4:$B$21,'Balizador da Meta'!$C$4:$C$21)</f>
        <v>192</v>
      </c>
      <c r="V869" s="28">
        <f>V859*_xlfn.XLOOKUP($L869,'Balizador da Meta'!$B$4:$B$21,'Balizador da Meta'!$C$4:$C$21)</f>
        <v>192</v>
      </c>
      <c r="W869" s="28">
        <f>W859*_xlfn.XLOOKUP($L869,'Balizador da Meta'!$B$4:$B$21,'Balizador da Meta'!$C$4:$C$21)</f>
        <v>192</v>
      </c>
      <c r="X869" s="28">
        <f>X859*_xlfn.XLOOKUP($L869,'Balizador da Meta'!$B$4:$B$21,'Balizador da Meta'!$C$4:$C$21)</f>
        <v>192</v>
      </c>
      <c r="Y869" s="28">
        <f>Y859*_xlfn.XLOOKUP($L869,'Balizador da Meta'!$B$4:$B$21,'Balizador da Meta'!$C$4:$C$21)</f>
        <v>192</v>
      </c>
      <c r="Z869" s="30">
        <f t="shared" si="207"/>
        <v>2304</v>
      </c>
      <c r="AA869" s="29"/>
      <c r="AB869" s="31">
        <f>SUMIFS('Historico - FAT'!AK:AK,'Historico - FAT'!$K:$K,Faturamento!$L869,'Historico - FAT'!$I:$I,Faturamento!$J869,'Historico - FAT'!$G:$G,Faturamento!$H869)</f>
        <v>0</v>
      </c>
      <c r="AC869" s="31">
        <f>SUMIFS('Historico - FAT'!AL:AL,'Historico - FAT'!$K:$K,Faturamento!$L869,'Historico - FAT'!$I:$I,Faturamento!$J869,'Historico - FAT'!$G:$G,Faturamento!$H869)</f>
        <v>126.33333333333333</v>
      </c>
      <c r="AD869" s="31">
        <f>SUMIFS('Historico - FAT'!AM:AM,'Historico - FAT'!$K:$K,Faturamento!$L869,'Historico - FAT'!$I:$I,Faturamento!$J869,'Historico - FAT'!$G:$G,Faturamento!$H869)</f>
        <v>252.66666666666666</v>
      </c>
      <c r="AE869" s="27">
        <f>SUMIFS('Historico - FAT'!AN:AN,'Historico - FAT'!$K:$K,Faturamento!$L869,'Historico - FAT'!$I:$I,Faturamento!$J869,'Historico - FAT'!$G:$G,Faturamento!$H869)</f>
        <v>151.6</v>
      </c>
      <c r="AG869" s="24">
        <f t="shared" si="195"/>
        <v>1</v>
      </c>
      <c r="AH869" s="24">
        <f t="shared" si="196"/>
        <v>0.3420138888888889</v>
      </c>
      <c r="AI869" s="24">
        <f t="shared" si="197"/>
        <v>-0.31597222222222215</v>
      </c>
    </row>
    <row r="870" spans="1:35" hidden="1" x14ac:dyDescent="0.3">
      <c r="A870" s="2" t="str">
        <f t="shared" si="194"/>
        <v>NÃO</v>
      </c>
      <c r="B870" s="2">
        <v>1000184670</v>
      </c>
      <c r="C870" s="2" t="s">
        <v>147</v>
      </c>
      <c r="D870" s="4">
        <v>1000186197</v>
      </c>
      <c r="E870" s="4" t="s">
        <v>166</v>
      </c>
      <c r="F870" s="2">
        <v>1000184757</v>
      </c>
      <c r="G870" s="2" t="s">
        <v>62</v>
      </c>
      <c r="H870" s="4">
        <v>1000189790</v>
      </c>
      <c r="I870" s="4" t="s">
        <v>103</v>
      </c>
      <c r="J870" s="2">
        <v>1000189270</v>
      </c>
      <c r="K870" s="2" t="s">
        <v>34</v>
      </c>
      <c r="L870" s="4" t="s">
        <v>21</v>
      </c>
      <c r="M870" s="4" t="str">
        <f t="shared" si="201"/>
        <v>1000184670100018619710001897901000189270NATURATTA</v>
      </c>
      <c r="N870" s="28">
        <f>N859*_xlfn.XLOOKUP($L870,'Balizador da Meta'!$B$4:$B$21,'Balizador da Meta'!$C$4:$C$21)</f>
        <v>30</v>
      </c>
      <c r="O870" s="28">
        <f>O859*_xlfn.XLOOKUP($L870,'Balizador da Meta'!$B$4:$B$21,'Balizador da Meta'!$C$4:$C$21)</f>
        <v>30</v>
      </c>
      <c r="P870" s="28">
        <f>P859*_xlfn.XLOOKUP($L870,'Balizador da Meta'!$B$4:$B$21,'Balizador da Meta'!$C$4:$C$21)</f>
        <v>30</v>
      </c>
      <c r="Q870" s="28">
        <f>Q859*_xlfn.XLOOKUP($L870,'Balizador da Meta'!$B$4:$B$21,'Balizador da Meta'!$C$4:$C$21)</f>
        <v>30</v>
      </c>
      <c r="R870" s="28">
        <f>R859*_xlfn.XLOOKUP($L870,'Balizador da Meta'!$B$4:$B$21,'Balizador da Meta'!$C$4:$C$21)</f>
        <v>30</v>
      </c>
      <c r="S870" s="28">
        <f>S859*_xlfn.XLOOKUP($L870,'Balizador da Meta'!$B$4:$B$21,'Balizador da Meta'!$C$4:$C$21)</f>
        <v>30</v>
      </c>
      <c r="T870" s="28">
        <f>T859*_xlfn.XLOOKUP($L870,'Balizador da Meta'!$B$4:$B$21,'Balizador da Meta'!$C$4:$C$21)</f>
        <v>30</v>
      </c>
      <c r="U870" s="28">
        <f>U859*_xlfn.XLOOKUP($L870,'Balizador da Meta'!$B$4:$B$21,'Balizador da Meta'!$C$4:$C$21)</f>
        <v>30</v>
      </c>
      <c r="V870" s="28">
        <f>V859*_xlfn.XLOOKUP($L870,'Balizador da Meta'!$B$4:$B$21,'Balizador da Meta'!$C$4:$C$21)</f>
        <v>30</v>
      </c>
      <c r="W870" s="28">
        <f>W859*_xlfn.XLOOKUP($L870,'Balizador da Meta'!$B$4:$B$21,'Balizador da Meta'!$C$4:$C$21)</f>
        <v>30</v>
      </c>
      <c r="X870" s="28">
        <f>X859*_xlfn.XLOOKUP($L870,'Balizador da Meta'!$B$4:$B$21,'Balizador da Meta'!$C$4:$C$21)</f>
        <v>30</v>
      </c>
      <c r="Y870" s="28">
        <f>Y859*_xlfn.XLOOKUP($L870,'Balizador da Meta'!$B$4:$B$21,'Balizador da Meta'!$C$4:$C$21)</f>
        <v>30</v>
      </c>
      <c r="Z870" s="30">
        <f t="shared" si="207"/>
        <v>360</v>
      </c>
      <c r="AA870" s="29"/>
      <c r="AB870" s="31">
        <f>SUMIFS('Historico - FAT'!AK:AK,'Historico - FAT'!$K:$K,Faturamento!$L870,'Historico - FAT'!$I:$I,Faturamento!$J870,'Historico - FAT'!$G:$G,Faturamento!$H870)</f>
        <v>0</v>
      </c>
      <c r="AC870" s="31">
        <f>SUMIFS('Historico - FAT'!AL:AL,'Historico - FAT'!$K:$K,Faturamento!$L870,'Historico - FAT'!$I:$I,Faturamento!$J870,'Historico - FAT'!$G:$G,Faturamento!$H870)</f>
        <v>86.134166666666673</v>
      </c>
      <c r="AD870" s="31">
        <f>SUMIFS('Historico - FAT'!AM:AM,'Historico - FAT'!$K:$K,Faturamento!$L870,'Historico - FAT'!$I:$I,Faturamento!$J870,'Historico - FAT'!$G:$G,Faturamento!$H870)</f>
        <v>172.26833333333335</v>
      </c>
      <c r="AE870" s="27">
        <f>SUMIFS('Historico - FAT'!AN:AN,'Historico - FAT'!$K:$K,Faturamento!$L870,'Historico - FAT'!$I:$I,Faturamento!$J870,'Historico - FAT'!$G:$G,Faturamento!$H870)</f>
        <v>103.36100000000002</v>
      </c>
      <c r="AG870" s="24">
        <f t="shared" si="195"/>
        <v>1</v>
      </c>
      <c r="AH870" s="24">
        <f t="shared" si="196"/>
        <v>-1.8711388888888891</v>
      </c>
      <c r="AI870" s="24">
        <f t="shared" si="197"/>
        <v>-4.7422777777777778</v>
      </c>
    </row>
    <row r="871" spans="1:35" hidden="1" x14ac:dyDescent="0.3">
      <c r="A871" s="2" t="str">
        <f t="shared" si="194"/>
        <v>NÃO</v>
      </c>
      <c r="B871" s="2">
        <v>1000184670</v>
      </c>
      <c r="C871" s="2" t="s">
        <v>147</v>
      </c>
      <c r="D871" s="4">
        <v>1000186197</v>
      </c>
      <c r="E871" s="4" t="s">
        <v>166</v>
      </c>
      <c r="F871" s="2">
        <v>1000184757</v>
      </c>
      <c r="G871" s="2" t="s">
        <v>62</v>
      </c>
      <c r="H871" s="4">
        <v>1000189790</v>
      </c>
      <c r="I871" s="4" t="s">
        <v>103</v>
      </c>
      <c r="J871" s="2">
        <v>1000189270</v>
      </c>
      <c r="K871" s="2" t="s">
        <v>34</v>
      </c>
      <c r="L871" s="4" t="s">
        <v>20</v>
      </c>
      <c r="M871" s="4" t="str">
        <f t="shared" si="201"/>
        <v>1000184670100018619710001897901000189270REEMBALADOS</v>
      </c>
      <c r="N871" s="28">
        <f>N859*_xlfn.XLOOKUP($L871,'Balizador da Meta'!$B$4:$B$21,'Balizador da Meta'!$C$4:$C$21)</f>
        <v>24</v>
      </c>
      <c r="O871" s="28">
        <f>O859*_xlfn.XLOOKUP($L871,'Balizador da Meta'!$B$4:$B$21,'Balizador da Meta'!$C$4:$C$21)</f>
        <v>24</v>
      </c>
      <c r="P871" s="28">
        <f>P859*_xlfn.XLOOKUP($L871,'Balizador da Meta'!$B$4:$B$21,'Balizador da Meta'!$C$4:$C$21)</f>
        <v>24</v>
      </c>
      <c r="Q871" s="28">
        <f>Q859*_xlfn.XLOOKUP($L871,'Balizador da Meta'!$B$4:$B$21,'Balizador da Meta'!$C$4:$C$21)</f>
        <v>24</v>
      </c>
      <c r="R871" s="28">
        <f>R859*_xlfn.XLOOKUP($L871,'Balizador da Meta'!$B$4:$B$21,'Balizador da Meta'!$C$4:$C$21)</f>
        <v>24</v>
      </c>
      <c r="S871" s="28">
        <f>S859*_xlfn.XLOOKUP($L871,'Balizador da Meta'!$B$4:$B$21,'Balizador da Meta'!$C$4:$C$21)</f>
        <v>24</v>
      </c>
      <c r="T871" s="28">
        <f>T859*_xlfn.XLOOKUP($L871,'Balizador da Meta'!$B$4:$B$21,'Balizador da Meta'!$C$4:$C$21)</f>
        <v>24</v>
      </c>
      <c r="U871" s="28">
        <f>U859*_xlfn.XLOOKUP($L871,'Balizador da Meta'!$B$4:$B$21,'Balizador da Meta'!$C$4:$C$21)</f>
        <v>24</v>
      </c>
      <c r="V871" s="28">
        <f>V859*_xlfn.XLOOKUP($L871,'Balizador da Meta'!$B$4:$B$21,'Balizador da Meta'!$C$4:$C$21)</f>
        <v>24</v>
      </c>
      <c r="W871" s="28">
        <f>W859*_xlfn.XLOOKUP($L871,'Balizador da Meta'!$B$4:$B$21,'Balizador da Meta'!$C$4:$C$21)</f>
        <v>24</v>
      </c>
      <c r="X871" s="28">
        <f>X859*_xlfn.XLOOKUP($L871,'Balizador da Meta'!$B$4:$B$21,'Balizador da Meta'!$C$4:$C$21)</f>
        <v>24</v>
      </c>
      <c r="Y871" s="28">
        <f>Y859*_xlfn.XLOOKUP($L871,'Balizador da Meta'!$B$4:$B$21,'Balizador da Meta'!$C$4:$C$21)</f>
        <v>24</v>
      </c>
      <c r="Z871" s="30">
        <f t="shared" si="207"/>
        <v>288</v>
      </c>
      <c r="AA871" s="29"/>
      <c r="AB871" s="31">
        <f>SUMIFS('Historico - FAT'!AK:AK,'Historico - FAT'!$K:$K,Faturamento!$L871,'Historico - FAT'!$I:$I,Faturamento!$J871,'Historico - FAT'!$G:$G,Faturamento!$H871)</f>
        <v>0</v>
      </c>
      <c r="AC871" s="31">
        <f>SUMIFS('Historico - FAT'!AL:AL,'Historico - FAT'!$K:$K,Faturamento!$L871,'Historico - FAT'!$I:$I,Faturamento!$J871,'Historico - FAT'!$G:$G,Faturamento!$H871)</f>
        <v>215.21666666666667</v>
      </c>
      <c r="AD871" s="31">
        <f>SUMIFS('Historico - FAT'!AM:AM,'Historico - FAT'!$K:$K,Faturamento!$L871,'Historico - FAT'!$I:$I,Faturamento!$J871,'Historico - FAT'!$G:$G,Faturamento!$H871)</f>
        <v>430.43333333333334</v>
      </c>
      <c r="AE871" s="27">
        <f>SUMIFS('Historico - FAT'!AN:AN,'Historico - FAT'!$K:$K,Faturamento!$L871,'Historico - FAT'!$I:$I,Faturamento!$J871,'Historico - FAT'!$G:$G,Faturamento!$H871)</f>
        <v>258.26</v>
      </c>
      <c r="AG871" s="24">
        <f t="shared" si="195"/>
        <v>1</v>
      </c>
      <c r="AH871" s="24">
        <f t="shared" si="196"/>
        <v>-7.9673611111111109</v>
      </c>
      <c r="AI871" s="24">
        <f t="shared" si="197"/>
        <v>-16.934722222222224</v>
      </c>
    </row>
    <row r="872" spans="1:35" hidden="1" x14ac:dyDescent="0.3">
      <c r="A872" s="2" t="str">
        <f t="shared" si="194"/>
        <v>NÃO</v>
      </c>
      <c r="B872" s="2">
        <v>1000184670</v>
      </c>
      <c r="C872" s="2" t="s">
        <v>147</v>
      </c>
      <c r="D872" s="4">
        <v>1000186197</v>
      </c>
      <c r="E872" s="4" t="s">
        <v>166</v>
      </c>
      <c r="F872" s="2">
        <v>1000184757</v>
      </c>
      <c r="G872" s="2" t="s">
        <v>62</v>
      </c>
      <c r="H872" s="4">
        <v>1000189790</v>
      </c>
      <c r="I872" s="4" t="s">
        <v>103</v>
      </c>
      <c r="J872" s="2">
        <v>1000189270</v>
      </c>
      <c r="K872" s="2" t="s">
        <v>34</v>
      </c>
      <c r="L872" s="4" t="s">
        <v>22</v>
      </c>
      <c r="M872" s="4" t="str">
        <f t="shared" si="201"/>
        <v>1000184670100018619710001897901000189270S GLUTEN</v>
      </c>
      <c r="N872" s="28">
        <f>N859*_xlfn.XLOOKUP($L872,'Balizador da Meta'!$B$4:$B$21,'Balizador da Meta'!$C$4:$C$21)</f>
        <v>24</v>
      </c>
      <c r="O872" s="28">
        <f>O859*_xlfn.XLOOKUP($L872,'Balizador da Meta'!$B$4:$B$21,'Balizador da Meta'!$C$4:$C$21)</f>
        <v>24</v>
      </c>
      <c r="P872" s="28">
        <f>P859*_xlfn.XLOOKUP($L872,'Balizador da Meta'!$B$4:$B$21,'Balizador da Meta'!$C$4:$C$21)</f>
        <v>24</v>
      </c>
      <c r="Q872" s="28">
        <f>Q859*_xlfn.XLOOKUP($L872,'Balizador da Meta'!$B$4:$B$21,'Balizador da Meta'!$C$4:$C$21)</f>
        <v>24</v>
      </c>
      <c r="R872" s="28">
        <f>R859*_xlfn.XLOOKUP($L872,'Balizador da Meta'!$B$4:$B$21,'Balizador da Meta'!$C$4:$C$21)</f>
        <v>24</v>
      </c>
      <c r="S872" s="28">
        <f>S859*_xlfn.XLOOKUP($L872,'Balizador da Meta'!$B$4:$B$21,'Balizador da Meta'!$C$4:$C$21)</f>
        <v>24</v>
      </c>
      <c r="T872" s="28">
        <f>T859*_xlfn.XLOOKUP($L872,'Balizador da Meta'!$B$4:$B$21,'Balizador da Meta'!$C$4:$C$21)</f>
        <v>24</v>
      </c>
      <c r="U872" s="28">
        <f>U859*_xlfn.XLOOKUP($L872,'Balizador da Meta'!$B$4:$B$21,'Balizador da Meta'!$C$4:$C$21)</f>
        <v>24</v>
      </c>
      <c r="V872" s="28">
        <f>V859*_xlfn.XLOOKUP($L872,'Balizador da Meta'!$B$4:$B$21,'Balizador da Meta'!$C$4:$C$21)</f>
        <v>24</v>
      </c>
      <c r="W872" s="28">
        <f>W859*_xlfn.XLOOKUP($L872,'Balizador da Meta'!$B$4:$B$21,'Balizador da Meta'!$C$4:$C$21)</f>
        <v>24</v>
      </c>
      <c r="X872" s="28">
        <f>X859*_xlfn.XLOOKUP($L872,'Balizador da Meta'!$B$4:$B$21,'Balizador da Meta'!$C$4:$C$21)</f>
        <v>24</v>
      </c>
      <c r="Y872" s="28">
        <f>Y859*_xlfn.XLOOKUP($L872,'Balizador da Meta'!$B$4:$B$21,'Balizador da Meta'!$C$4:$C$21)</f>
        <v>24</v>
      </c>
      <c r="Z872" s="30">
        <f t="shared" si="207"/>
        <v>288</v>
      </c>
      <c r="AA872" s="29"/>
      <c r="AB872" s="31">
        <f>SUMIFS('Historico - FAT'!AK:AK,'Historico - FAT'!$K:$K,Faturamento!$L872,'Historico - FAT'!$I:$I,Faturamento!$J872,'Historico - FAT'!$G:$G,Faturamento!$H872)</f>
        <v>0</v>
      </c>
      <c r="AC872" s="31">
        <f>SUMIFS('Historico - FAT'!AL:AL,'Historico - FAT'!$K:$K,Faturamento!$L872,'Historico - FAT'!$I:$I,Faturamento!$J872,'Historico - FAT'!$G:$G,Faturamento!$H872)</f>
        <v>114.26749999999998</v>
      </c>
      <c r="AD872" s="31">
        <f>SUMIFS('Historico - FAT'!AM:AM,'Historico - FAT'!$K:$K,Faturamento!$L872,'Historico - FAT'!$I:$I,Faturamento!$J872,'Historico - FAT'!$G:$G,Faturamento!$H872)</f>
        <v>228.53499999999997</v>
      </c>
      <c r="AE872" s="27">
        <f>SUMIFS('Historico - FAT'!AN:AN,'Historico - FAT'!$K:$K,Faturamento!$L872,'Historico - FAT'!$I:$I,Faturamento!$J872,'Historico - FAT'!$G:$G,Faturamento!$H872)</f>
        <v>137.12099999999998</v>
      </c>
      <c r="AG872" s="24">
        <f t="shared" si="195"/>
        <v>1</v>
      </c>
      <c r="AH872" s="24">
        <f t="shared" si="196"/>
        <v>-3.7611458333333325</v>
      </c>
      <c r="AI872" s="24">
        <f t="shared" si="197"/>
        <v>-8.5222916666666659</v>
      </c>
    </row>
    <row r="873" spans="1:35" hidden="1" x14ac:dyDescent="0.3">
      <c r="A873" s="2" t="str">
        <f t="shared" si="194"/>
        <v>NÃO</v>
      </c>
      <c r="B873" s="2">
        <v>1000184670</v>
      </c>
      <c r="C873" s="2" t="s">
        <v>147</v>
      </c>
      <c r="D873" s="4">
        <v>1000186197</v>
      </c>
      <c r="E873" s="4" t="s">
        <v>166</v>
      </c>
      <c r="F873" s="2">
        <v>1000184757</v>
      </c>
      <c r="G873" s="2" t="s">
        <v>62</v>
      </c>
      <c r="H873" s="4">
        <v>1000189790</v>
      </c>
      <c r="I873" s="4" t="s">
        <v>103</v>
      </c>
      <c r="J873" s="2">
        <v>1000189270</v>
      </c>
      <c r="K873" s="2" t="s">
        <v>34</v>
      </c>
      <c r="L873" s="4" t="s">
        <v>23</v>
      </c>
      <c r="M873" s="4" t="str">
        <f t="shared" si="201"/>
        <v>1000184670100018619710001897901000189270SABORES DO CAMPO</v>
      </c>
      <c r="N873" s="28">
        <f>N859*_xlfn.XLOOKUP($L873,'Balizador da Meta'!$B$4:$B$21,'Balizador da Meta'!$C$4:$C$21)</f>
        <v>0</v>
      </c>
      <c r="O873" s="28">
        <f>O859*_xlfn.XLOOKUP($L873,'Balizador da Meta'!$B$4:$B$21,'Balizador da Meta'!$C$4:$C$21)</f>
        <v>0</v>
      </c>
      <c r="P873" s="28">
        <f>P859*_xlfn.XLOOKUP($L873,'Balizador da Meta'!$B$4:$B$21,'Balizador da Meta'!$C$4:$C$21)</f>
        <v>0</v>
      </c>
      <c r="Q873" s="28">
        <f>Q859*_xlfn.XLOOKUP($L873,'Balizador da Meta'!$B$4:$B$21,'Balizador da Meta'!$C$4:$C$21)</f>
        <v>0</v>
      </c>
      <c r="R873" s="28">
        <f>R859*_xlfn.XLOOKUP($L873,'Balizador da Meta'!$B$4:$B$21,'Balizador da Meta'!$C$4:$C$21)</f>
        <v>0</v>
      </c>
      <c r="S873" s="28">
        <f>S859*_xlfn.XLOOKUP($L873,'Balizador da Meta'!$B$4:$B$21,'Balizador da Meta'!$C$4:$C$21)</f>
        <v>0</v>
      </c>
      <c r="T873" s="28">
        <f>T859*_xlfn.XLOOKUP($L873,'Balizador da Meta'!$B$4:$B$21,'Balizador da Meta'!$C$4:$C$21)</f>
        <v>0</v>
      </c>
      <c r="U873" s="28">
        <f>U859*_xlfn.XLOOKUP($L873,'Balizador da Meta'!$B$4:$B$21,'Balizador da Meta'!$C$4:$C$21)</f>
        <v>0</v>
      </c>
      <c r="V873" s="28">
        <f>V859*_xlfn.XLOOKUP($L873,'Balizador da Meta'!$B$4:$B$21,'Balizador da Meta'!$C$4:$C$21)</f>
        <v>0</v>
      </c>
      <c r="W873" s="28">
        <f>W859*_xlfn.XLOOKUP($L873,'Balizador da Meta'!$B$4:$B$21,'Balizador da Meta'!$C$4:$C$21)</f>
        <v>0</v>
      </c>
      <c r="X873" s="28">
        <f>X859*_xlfn.XLOOKUP($L873,'Balizador da Meta'!$B$4:$B$21,'Balizador da Meta'!$C$4:$C$21)</f>
        <v>0</v>
      </c>
      <c r="Y873" s="28">
        <f>Y859*_xlfn.XLOOKUP($L873,'Balizador da Meta'!$B$4:$B$21,'Balizador da Meta'!$C$4:$C$21)</f>
        <v>0</v>
      </c>
      <c r="Z873" s="30">
        <f t="shared" si="207"/>
        <v>0</v>
      </c>
      <c r="AA873" s="29"/>
      <c r="AB873" s="31">
        <f>SUMIFS('Historico - FAT'!AK:AK,'Historico - FAT'!$K:$K,Faturamento!$L873,'Historico - FAT'!$I:$I,Faturamento!$J873,'Historico - FAT'!$G:$G,Faturamento!$H873)</f>
        <v>0</v>
      </c>
      <c r="AC873" s="31">
        <f>SUMIFS('Historico - FAT'!AL:AL,'Historico - FAT'!$K:$K,Faturamento!$L873,'Historico - FAT'!$I:$I,Faturamento!$J873,'Historico - FAT'!$G:$G,Faturamento!$H873)</f>
        <v>22.62</v>
      </c>
      <c r="AD873" s="31">
        <f>SUMIFS('Historico - FAT'!AM:AM,'Historico - FAT'!$K:$K,Faturamento!$L873,'Historico - FAT'!$I:$I,Faturamento!$J873,'Historico - FAT'!$G:$G,Faturamento!$H873)</f>
        <v>45.24</v>
      </c>
      <c r="AE873" s="27">
        <f>SUMIFS('Historico - FAT'!AN:AN,'Historico - FAT'!$K:$K,Faturamento!$L873,'Historico - FAT'!$I:$I,Faturamento!$J873,'Historico - FAT'!$G:$G,Faturamento!$H873)</f>
        <v>27.143999999999998</v>
      </c>
      <c r="AG873" s="24" t="str">
        <f t="shared" si="195"/>
        <v/>
      </c>
      <c r="AH873" s="24" t="str">
        <f t="shared" si="196"/>
        <v/>
      </c>
      <c r="AI873" s="24" t="str">
        <f t="shared" si="197"/>
        <v/>
      </c>
    </row>
    <row r="874" spans="1:35" hidden="1" x14ac:dyDescent="0.3">
      <c r="A874" s="2" t="str">
        <f t="shared" si="194"/>
        <v>NÃO</v>
      </c>
      <c r="B874" s="2">
        <v>1000184670</v>
      </c>
      <c r="C874" s="2" t="s">
        <v>147</v>
      </c>
      <c r="D874" s="4">
        <v>1000186197</v>
      </c>
      <c r="E874" s="4" t="s">
        <v>166</v>
      </c>
      <c r="F874" s="2">
        <v>1000184757</v>
      </c>
      <c r="G874" s="2" t="s">
        <v>62</v>
      </c>
      <c r="H874" s="4">
        <v>1000189790</v>
      </c>
      <c r="I874" s="4" t="s">
        <v>103</v>
      </c>
      <c r="J874" s="2">
        <v>1000189270</v>
      </c>
      <c r="K874" s="2" t="s">
        <v>34</v>
      </c>
      <c r="L874" s="4" t="s">
        <v>28</v>
      </c>
      <c r="M874" s="4" t="str">
        <f t="shared" si="201"/>
        <v>1000184670100018619710001897901000189270SAL</v>
      </c>
      <c r="N874" s="28">
        <f>N859*_xlfn.XLOOKUP($L874,'Balizador da Meta'!$B$4:$B$21,'Balizador da Meta'!$C$4:$C$21)</f>
        <v>12</v>
      </c>
      <c r="O874" s="28">
        <f>O859*_xlfn.XLOOKUP($L874,'Balizador da Meta'!$B$4:$B$21,'Balizador da Meta'!$C$4:$C$21)</f>
        <v>12</v>
      </c>
      <c r="P874" s="28">
        <f>P859*_xlfn.XLOOKUP($L874,'Balizador da Meta'!$B$4:$B$21,'Balizador da Meta'!$C$4:$C$21)</f>
        <v>12</v>
      </c>
      <c r="Q874" s="28">
        <f>Q859*_xlfn.XLOOKUP($L874,'Balizador da Meta'!$B$4:$B$21,'Balizador da Meta'!$C$4:$C$21)</f>
        <v>12</v>
      </c>
      <c r="R874" s="28">
        <f>R859*_xlfn.XLOOKUP($L874,'Balizador da Meta'!$B$4:$B$21,'Balizador da Meta'!$C$4:$C$21)</f>
        <v>12</v>
      </c>
      <c r="S874" s="28">
        <f>S859*_xlfn.XLOOKUP($L874,'Balizador da Meta'!$B$4:$B$21,'Balizador da Meta'!$C$4:$C$21)</f>
        <v>12</v>
      </c>
      <c r="T874" s="28">
        <f>T859*_xlfn.XLOOKUP($L874,'Balizador da Meta'!$B$4:$B$21,'Balizador da Meta'!$C$4:$C$21)</f>
        <v>12</v>
      </c>
      <c r="U874" s="28">
        <f>U859*_xlfn.XLOOKUP($L874,'Balizador da Meta'!$B$4:$B$21,'Balizador da Meta'!$C$4:$C$21)</f>
        <v>12</v>
      </c>
      <c r="V874" s="28">
        <f>V859*_xlfn.XLOOKUP($L874,'Balizador da Meta'!$B$4:$B$21,'Balizador da Meta'!$C$4:$C$21)</f>
        <v>12</v>
      </c>
      <c r="W874" s="28">
        <f>W859*_xlfn.XLOOKUP($L874,'Balizador da Meta'!$B$4:$B$21,'Balizador da Meta'!$C$4:$C$21)</f>
        <v>12</v>
      </c>
      <c r="X874" s="28">
        <f>X859*_xlfn.XLOOKUP($L874,'Balizador da Meta'!$B$4:$B$21,'Balizador da Meta'!$C$4:$C$21)</f>
        <v>12</v>
      </c>
      <c r="Y874" s="28">
        <f>Y859*_xlfn.XLOOKUP($L874,'Balizador da Meta'!$B$4:$B$21,'Balizador da Meta'!$C$4:$C$21)</f>
        <v>12</v>
      </c>
      <c r="Z874" s="30">
        <f t="shared" si="207"/>
        <v>144</v>
      </c>
      <c r="AA874" s="29"/>
      <c r="AB874" s="31">
        <f>SUMIFS('Historico - FAT'!AK:AK,'Historico - FAT'!$K:$K,Faturamento!$L874,'Historico - FAT'!$I:$I,Faturamento!$J874,'Historico - FAT'!$G:$G,Faturamento!$H874)</f>
        <v>0</v>
      </c>
      <c r="AC874" s="31">
        <f>SUMIFS('Historico - FAT'!AL:AL,'Historico - FAT'!$K:$K,Faturamento!$L874,'Historico - FAT'!$I:$I,Faturamento!$J874,'Historico - FAT'!$G:$G,Faturamento!$H874)</f>
        <v>0</v>
      </c>
      <c r="AD874" s="31">
        <f>SUMIFS('Historico - FAT'!AM:AM,'Historico - FAT'!$K:$K,Faturamento!$L874,'Historico - FAT'!$I:$I,Faturamento!$J874,'Historico - FAT'!$G:$G,Faturamento!$H874)</f>
        <v>0</v>
      </c>
      <c r="AE874" s="27">
        <f>SUMIFS('Historico - FAT'!AN:AN,'Historico - FAT'!$K:$K,Faturamento!$L874,'Historico - FAT'!$I:$I,Faturamento!$J874,'Historico - FAT'!$G:$G,Faturamento!$H874)</f>
        <v>0</v>
      </c>
      <c r="AG874" s="24">
        <f t="shared" si="195"/>
        <v>1</v>
      </c>
      <c r="AH874" s="24">
        <f t="shared" si="196"/>
        <v>1</v>
      </c>
      <c r="AI874" s="24">
        <f t="shared" si="197"/>
        <v>1</v>
      </c>
    </row>
    <row r="875" spans="1:35" hidden="1" x14ac:dyDescent="0.3">
      <c r="A875" s="2" t="str">
        <f t="shared" si="194"/>
        <v>NÃO</v>
      </c>
      <c r="B875" s="2">
        <v>1000184670</v>
      </c>
      <c r="C875" s="2" t="s">
        <v>147</v>
      </c>
      <c r="D875" s="4">
        <v>1000186197</v>
      </c>
      <c r="E875" s="4" t="s">
        <v>166</v>
      </c>
      <c r="F875" s="2">
        <v>1000184757</v>
      </c>
      <c r="G875" s="2" t="s">
        <v>62</v>
      </c>
      <c r="H875" s="4">
        <v>1000189790</v>
      </c>
      <c r="I875" s="4" t="s">
        <v>103</v>
      </c>
      <c r="J875" s="2">
        <v>1000189270</v>
      </c>
      <c r="K875" s="2" t="s">
        <v>34</v>
      </c>
      <c r="L875" s="4" t="s">
        <v>26</v>
      </c>
      <c r="M875" s="4" t="str">
        <f t="shared" si="201"/>
        <v>1000184670100018619710001897901000189270SOULPRO</v>
      </c>
      <c r="N875" s="28">
        <f>N859*_xlfn.XLOOKUP($L875,'Balizador da Meta'!$B$4:$B$21,'Balizador da Meta'!$C$4:$C$21)</f>
        <v>36</v>
      </c>
      <c r="O875" s="28">
        <f>O859*_xlfn.XLOOKUP($L875,'Balizador da Meta'!$B$4:$B$21,'Balizador da Meta'!$C$4:$C$21)</f>
        <v>36</v>
      </c>
      <c r="P875" s="28">
        <f>P859*_xlfn.XLOOKUP($L875,'Balizador da Meta'!$B$4:$B$21,'Balizador da Meta'!$C$4:$C$21)</f>
        <v>36</v>
      </c>
      <c r="Q875" s="28">
        <f>Q859*_xlfn.XLOOKUP($L875,'Balizador da Meta'!$B$4:$B$21,'Balizador da Meta'!$C$4:$C$21)</f>
        <v>36</v>
      </c>
      <c r="R875" s="28">
        <f>R859*_xlfn.XLOOKUP($L875,'Balizador da Meta'!$B$4:$B$21,'Balizador da Meta'!$C$4:$C$21)</f>
        <v>36</v>
      </c>
      <c r="S875" s="28">
        <f>S859*_xlfn.XLOOKUP($L875,'Balizador da Meta'!$B$4:$B$21,'Balizador da Meta'!$C$4:$C$21)</f>
        <v>36</v>
      </c>
      <c r="T875" s="28">
        <f>T859*_xlfn.XLOOKUP($L875,'Balizador da Meta'!$B$4:$B$21,'Balizador da Meta'!$C$4:$C$21)</f>
        <v>36</v>
      </c>
      <c r="U875" s="28">
        <f>U859*_xlfn.XLOOKUP($L875,'Balizador da Meta'!$B$4:$B$21,'Balizador da Meta'!$C$4:$C$21)</f>
        <v>36</v>
      </c>
      <c r="V875" s="28">
        <f>V859*_xlfn.XLOOKUP($L875,'Balizador da Meta'!$B$4:$B$21,'Balizador da Meta'!$C$4:$C$21)</f>
        <v>36</v>
      </c>
      <c r="W875" s="28">
        <f>W859*_xlfn.XLOOKUP($L875,'Balizador da Meta'!$B$4:$B$21,'Balizador da Meta'!$C$4:$C$21)</f>
        <v>36</v>
      </c>
      <c r="X875" s="28">
        <f>X859*_xlfn.XLOOKUP($L875,'Balizador da Meta'!$B$4:$B$21,'Balizador da Meta'!$C$4:$C$21)</f>
        <v>36</v>
      </c>
      <c r="Y875" s="28">
        <f>Y859*_xlfn.XLOOKUP($L875,'Balizador da Meta'!$B$4:$B$21,'Balizador da Meta'!$C$4:$C$21)</f>
        <v>36</v>
      </c>
      <c r="Z875" s="30">
        <f t="shared" si="207"/>
        <v>432</v>
      </c>
      <c r="AA875" s="29"/>
      <c r="AB875" s="31">
        <f>SUMIFS('Historico - FAT'!AK:AK,'Historico - FAT'!$K:$K,Faturamento!$L875,'Historico - FAT'!$I:$I,Faturamento!$J875,'Historico - FAT'!$G:$G,Faturamento!$H875)</f>
        <v>0</v>
      </c>
      <c r="AC875" s="31">
        <f>SUMIFS('Historico - FAT'!AL:AL,'Historico - FAT'!$K:$K,Faturamento!$L875,'Historico - FAT'!$I:$I,Faturamento!$J875,'Historico - FAT'!$G:$G,Faturamento!$H875)</f>
        <v>0</v>
      </c>
      <c r="AD875" s="31">
        <f>SUMIFS('Historico - FAT'!AM:AM,'Historico - FAT'!$K:$K,Faturamento!$L875,'Historico - FAT'!$I:$I,Faturamento!$J875,'Historico - FAT'!$G:$G,Faturamento!$H875)</f>
        <v>0</v>
      </c>
      <c r="AE875" s="27">
        <f>SUMIFS('Historico - FAT'!AN:AN,'Historico - FAT'!$K:$K,Faturamento!$L875,'Historico - FAT'!$I:$I,Faturamento!$J875,'Historico - FAT'!$G:$G,Faturamento!$H875)</f>
        <v>0</v>
      </c>
      <c r="AG875" s="24">
        <f t="shared" si="195"/>
        <v>1</v>
      </c>
      <c r="AH875" s="24">
        <f t="shared" si="196"/>
        <v>1</v>
      </c>
      <c r="AI875" s="24">
        <f t="shared" si="197"/>
        <v>1</v>
      </c>
    </row>
    <row r="876" spans="1:35" hidden="1" x14ac:dyDescent="0.3">
      <c r="A876" s="2" t="str">
        <f t="shared" si="194"/>
        <v>NÃO</v>
      </c>
      <c r="B876" s="2">
        <v>1000184670</v>
      </c>
      <c r="C876" s="2" t="s">
        <v>147</v>
      </c>
      <c r="D876" s="4">
        <v>1000186197</v>
      </c>
      <c r="E876" s="4" t="s">
        <v>166</v>
      </c>
      <c r="F876" s="2">
        <v>1000184757</v>
      </c>
      <c r="G876" s="2" t="s">
        <v>62</v>
      </c>
      <c r="H876" s="4">
        <v>1000189790</v>
      </c>
      <c r="I876" s="4" t="s">
        <v>103</v>
      </c>
      <c r="J876" s="2">
        <v>1000189270</v>
      </c>
      <c r="K876" s="2" t="s">
        <v>34</v>
      </c>
      <c r="L876" s="4" t="s">
        <v>27</v>
      </c>
      <c r="M876" s="4" t="str">
        <f t="shared" si="201"/>
        <v>1000184670100018619710001897901000189270TAMARA</v>
      </c>
      <c r="N876" s="28">
        <f>N859*_xlfn.XLOOKUP($L876,'Balizador da Meta'!$B$4:$B$21,'Balizador da Meta'!$C$4:$C$21)</f>
        <v>48</v>
      </c>
      <c r="O876" s="28">
        <f>O859*_xlfn.XLOOKUP($L876,'Balizador da Meta'!$B$4:$B$21,'Balizador da Meta'!$C$4:$C$21)</f>
        <v>48</v>
      </c>
      <c r="P876" s="28">
        <f>P859*_xlfn.XLOOKUP($L876,'Balizador da Meta'!$B$4:$B$21,'Balizador da Meta'!$C$4:$C$21)</f>
        <v>48</v>
      </c>
      <c r="Q876" s="28">
        <f>Q859*_xlfn.XLOOKUP($L876,'Balizador da Meta'!$B$4:$B$21,'Balizador da Meta'!$C$4:$C$21)</f>
        <v>48</v>
      </c>
      <c r="R876" s="28">
        <f>R859*_xlfn.XLOOKUP($L876,'Balizador da Meta'!$B$4:$B$21,'Balizador da Meta'!$C$4:$C$21)</f>
        <v>48</v>
      </c>
      <c r="S876" s="28">
        <f>S859*_xlfn.XLOOKUP($L876,'Balizador da Meta'!$B$4:$B$21,'Balizador da Meta'!$C$4:$C$21)</f>
        <v>48</v>
      </c>
      <c r="T876" s="28">
        <f>T859*_xlfn.XLOOKUP($L876,'Balizador da Meta'!$B$4:$B$21,'Balizador da Meta'!$C$4:$C$21)</f>
        <v>48</v>
      </c>
      <c r="U876" s="28">
        <f>U859*_xlfn.XLOOKUP($L876,'Balizador da Meta'!$B$4:$B$21,'Balizador da Meta'!$C$4:$C$21)</f>
        <v>48</v>
      </c>
      <c r="V876" s="28">
        <f>V859*_xlfn.XLOOKUP($L876,'Balizador da Meta'!$B$4:$B$21,'Balizador da Meta'!$C$4:$C$21)</f>
        <v>48</v>
      </c>
      <c r="W876" s="28">
        <f>W859*_xlfn.XLOOKUP($L876,'Balizador da Meta'!$B$4:$B$21,'Balizador da Meta'!$C$4:$C$21)</f>
        <v>48</v>
      </c>
      <c r="X876" s="28">
        <f>X859*_xlfn.XLOOKUP($L876,'Balizador da Meta'!$B$4:$B$21,'Balizador da Meta'!$C$4:$C$21)</f>
        <v>48</v>
      </c>
      <c r="Y876" s="28">
        <f>Y859*_xlfn.XLOOKUP($L876,'Balizador da Meta'!$B$4:$B$21,'Balizador da Meta'!$C$4:$C$21)</f>
        <v>48</v>
      </c>
      <c r="Z876" s="30">
        <f t="shared" si="207"/>
        <v>576</v>
      </c>
      <c r="AA876" s="29"/>
      <c r="AB876" s="31">
        <f>SUMIFS('Historico - FAT'!AK:AK,'Historico - FAT'!$K:$K,Faturamento!$L876,'Historico - FAT'!$I:$I,Faturamento!$J876,'Historico - FAT'!$G:$G,Faturamento!$H876)</f>
        <v>0</v>
      </c>
      <c r="AC876" s="31">
        <f>SUMIFS('Historico - FAT'!AL:AL,'Historico - FAT'!$K:$K,Faturamento!$L876,'Historico - FAT'!$I:$I,Faturamento!$J876,'Historico - FAT'!$G:$G,Faturamento!$H876)</f>
        <v>0</v>
      </c>
      <c r="AD876" s="31">
        <f>SUMIFS('Historico - FAT'!AM:AM,'Historico - FAT'!$K:$K,Faturamento!$L876,'Historico - FAT'!$I:$I,Faturamento!$J876,'Historico - FAT'!$G:$G,Faturamento!$H876)</f>
        <v>0</v>
      </c>
      <c r="AE876" s="27">
        <f>SUMIFS('Historico - FAT'!AN:AN,'Historico - FAT'!$K:$K,Faturamento!$L876,'Historico - FAT'!$I:$I,Faturamento!$J876,'Historico - FAT'!$G:$G,Faturamento!$H876)</f>
        <v>0</v>
      </c>
      <c r="AG876" s="24">
        <f t="shared" si="195"/>
        <v>1</v>
      </c>
      <c r="AH876" s="24">
        <f t="shared" si="196"/>
        <v>1</v>
      </c>
      <c r="AI876" s="24">
        <f t="shared" si="197"/>
        <v>1</v>
      </c>
    </row>
    <row r="877" spans="1:35" hidden="1" x14ac:dyDescent="0.3">
      <c r="A877" s="2" t="str">
        <f t="shared" si="194"/>
        <v>NÃO</v>
      </c>
      <c r="B877" s="2">
        <v>1000184670</v>
      </c>
      <c r="C877" s="2" t="s">
        <v>147</v>
      </c>
      <c r="D877" s="4">
        <v>1000186197</v>
      </c>
      <c r="E877" s="4" t="s">
        <v>166</v>
      </c>
      <c r="F877" s="2">
        <v>1000184757</v>
      </c>
      <c r="G877" s="2" t="s">
        <v>62</v>
      </c>
      <c r="H877" s="4">
        <v>1000189790</v>
      </c>
      <c r="I877" s="4" t="s">
        <v>103</v>
      </c>
      <c r="J877" s="2">
        <v>1000189270</v>
      </c>
      <c r="K877" s="2" t="s">
        <v>34</v>
      </c>
      <c r="L877" s="4" t="s">
        <v>25</v>
      </c>
      <c r="M877" s="4" t="str">
        <f t="shared" si="201"/>
        <v>1000184670100018619710001897901000189270VICCIO</v>
      </c>
      <c r="N877" s="28">
        <f>N859*_xlfn.XLOOKUP($L877,'Balizador da Meta'!$B$4:$B$21,'Balizador da Meta'!$C$4:$C$21)</f>
        <v>18</v>
      </c>
      <c r="O877" s="28">
        <f>O859*_xlfn.XLOOKUP($L877,'Balizador da Meta'!$B$4:$B$21,'Balizador da Meta'!$C$4:$C$21)</f>
        <v>18</v>
      </c>
      <c r="P877" s="28">
        <f>P859*_xlfn.XLOOKUP($L877,'Balizador da Meta'!$B$4:$B$21,'Balizador da Meta'!$C$4:$C$21)</f>
        <v>18</v>
      </c>
      <c r="Q877" s="28">
        <f>Q859*_xlfn.XLOOKUP($L877,'Balizador da Meta'!$B$4:$B$21,'Balizador da Meta'!$C$4:$C$21)</f>
        <v>18</v>
      </c>
      <c r="R877" s="28">
        <f>R859*_xlfn.XLOOKUP($L877,'Balizador da Meta'!$B$4:$B$21,'Balizador da Meta'!$C$4:$C$21)</f>
        <v>18</v>
      </c>
      <c r="S877" s="28">
        <f>S859*_xlfn.XLOOKUP($L877,'Balizador da Meta'!$B$4:$B$21,'Balizador da Meta'!$C$4:$C$21)</f>
        <v>18</v>
      </c>
      <c r="T877" s="28">
        <f>T859*_xlfn.XLOOKUP($L877,'Balizador da Meta'!$B$4:$B$21,'Balizador da Meta'!$C$4:$C$21)</f>
        <v>18</v>
      </c>
      <c r="U877" s="28">
        <f>U859*_xlfn.XLOOKUP($L877,'Balizador da Meta'!$B$4:$B$21,'Balizador da Meta'!$C$4:$C$21)</f>
        <v>18</v>
      </c>
      <c r="V877" s="28">
        <f>V859*_xlfn.XLOOKUP($L877,'Balizador da Meta'!$B$4:$B$21,'Balizador da Meta'!$C$4:$C$21)</f>
        <v>18</v>
      </c>
      <c r="W877" s="28">
        <f>W859*_xlfn.XLOOKUP($L877,'Balizador da Meta'!$B$4:$B$21,'Balizador da Meta'!$C$4:$C$21)</f>
        <v>18</v>
      </c>
      <c r="X877" s="28">
        <f>X859*_xlfn.XLOOKUP($L877,'Balizador da Meta'!$B$4:$B$21,'Balizador da Meta'!$C$4:$C$21)</f>
        <v>18</v>
      </c>
      <c r="Y877" s="28">
        <f>Y859*_xlfn.XLOOKUP($L877,'Balizador da Meta'!$B$4:$B$21,'Balizador da Meta'!$C$4:$C$21)</f>
        <v>18</v>
      </c>
      <c r="Z877" s="30">
        <f t="shared" si="207"/>
        <v>216</v>
      </c>
      <c r="AA877" s="29"/>
      <c r="AB877" s="31">
        <f>SUMIFS('Historico - FAT'!AK:AK,'Historico - FAT'!$K:$K,Faturamento!$L877,'Historico - FAT'!$I:$I,Faturamento!$J877,'Historico - FAT'!$G:$G,Faturamento!$H877)</f>
        <v>0</v>
      </c>
      <c r="AC877" s="31">
        <f>SUMIFS('Historico - FAT'!AL:AL,'Historico - FAT'!$K:$K,Faturamento!$L877,'Historico - FAT'!$I:$I,Faturamento!$J877,'Historico - FAT'!$G:$G,Faturamento!$H877)</f>
        <v>0</v>
      </c>
      <c r="AD877" s="31">
        <f>SUMIFS('Historico - FAT'!AM:AM,'Historico - FAT'!$K:$K,Faturamento!$L877,'Historico - FAT'!$I:$I,Faturamento!$J877,'Historico - FAT'!$G:$G,Faturamento!$H877)</f>
        <v>0</v>
      </c>
      <c r="AE877" s="27">
        <f>SUMIFS('Historico - FAT'!AN:AN,'Historico - FAT'!$K:$K,Faturamento!$L877,'Historico - FAT'!$I:$I,Faturamento!$J877,'Historico - FAT'!$G:$G,Faturamento!$H877)</f>
        <v>0</v>
      </c>
      <c r="AG877" s="24">
        <f t="shared" si="195"/>
        <v>1</v>
      </c>
      <c r="AH877" s="24">
        <f t="shared" si="196"/>
        <v>1</v>
      </c>
      <c r="AI877" s="24">
        <f t="shared" si="197"/>
        <v>1</v>
      </c>
    </row>
    <row r="878" spans="1:35" x14ac:dyDescent="0.3">
      <c r="A878" s="2" t="str">
        <f t="shared" si="194"/>
        <v>SIM</v>
      </c>
      <c r="B878" s="2">
        <v>1000184670</v>
      </c>
      <c r="C878" s="2" t="s">
        <v>147</v>
      </c>
      <c r="D878" s="4">
        <v>1000186197</v>
      </c>
      <c r="E878" s="4" t="s">
        <v>166</v>
      </c>
      <c r="F878" s="2">
        <v>1000184757</v>
      </c>
      <c r="G878" s="2" t="s">
        <v>62</v>
      </c>
      <c r="H878" s="4">
        <v>1000189791</v>
      </c>
      <c r="I878" s="4" t="s">
        <v>78</v>
      </c>
      <c r="J878" s="2">
        <v>1000189270</v>
      </c>
      <c r="K878" s="2" t="s">
        <v>34</v>
      </c>
      <c r="L878" s="4" t="s">
        <v>124</v>
      </c>
      <c r="M878" s="4" t="str">
        <f t="shared" si="201"/>
        <v>100018467010001861971000189791100018927001. TOTAL</v>
      </c>
      <c r="N878" s="28">
        <f>SUMIFS(Positivação!L:L,Positivação!$I:$I,Faturamento!$J878,Positivação!$G:$G,Faturamento!$H878)*SUMIFS(Positivação!$Z:$Z,Positivação!$I:$I,Faturamento!$J878,Positivação!$G:$G,Faturamento!$H878)</f>
        <v>1200</v>
      </c>
      <c r="O878" s="28">
        <f>SUMIFS(Positivação!M:M,Positivação!$I:$I,Faturamento!$J878,Positivação!$G:$G,Faturamento!$H878)*SUMIFS(Positivação!$Z:$Z,Positivação!$I:$I,Faturamento!$J878,Positivação!$G:$G,Faturamento!$H878)</f>
        <v>1200</v>
      </c>
      <c r="P878" s="28">
        <f>SUMIFS(Positivação!N:N,Positivação!$I:$I,Faturamento!$J878,Positivação!$G:$G,Faturamento!$H878)*SUMIFS(Positivação!$Z:$Z,Positivação!$I:$I,Faturamento!$J878,Positivação!$G:$G,Faturamento!$H878)</f>
        <v>1200</v>
      </c>
      <c r="Q878" s="28">
        <f>SUMIFS(Positivação!O:O,Positivação!$I:$I,Faturamento!$J878,Positivação!$G:$G,Faturamento!$H878)*SUMIFS(Positivação!$Z:$Z,Positivação!$I:$I,Faturamento!$J878,Positivação!$G:$G,Faturamento!$H878)</f>
        <v>1200</v>
      </c>
      <c r="R878" s="28">
        <f>SUMIFS(Positivação!P:P,Positivação!$I:$I,Faturamento!$J878,Positivação!$G:$G,Faturamento!$H878)*SUMIFS(Positivação!$Z:$Z,Positivação!$I:$I,Faturamento!$J878,Positivação!$G:$G,Faturamento!$H878)</f>
        <v>1200</v>
      </c>
      <c r="S878" s="28">
        <f>SUMIFS(Positivação!Q:Q,Positivação!$I:$I,Faturamento!$J878,Positivação!$G:$G,Faturamento!$H878)*SUMIFS(Positivação!$Z:$Z,Positivação!$I:$I,Faturamento!$J878,Positivação!$G:$G,Faturamento!$H878)</f>
        <v>1200</v>
      </c>
      <c r="T878" s="28">
        <f>SUMIFS(Positivação!R:R,Positivação!$I:$I,Faturamento!$J878,Positivação!$G:$G,Faturamento!$H878)*SUMIFS(Positivação!$Z:$Z,Positivação!$I:$I,Faturamento!$J878,Positivação!$G:$G,Faturamento!$H878)</f>
        <v>1200</v>
      </c>
      <c r="U878" s="28">
        <f>SUMIFS(Positivação!S:S,Positivação!$I:$I,Faturamento!$J878,Positivação!$G:$G,Faturamento!$H878)*SUMIFS(Positivação!$Z:$Z,Positivação!$I:$I,Faturamento!$J878,Positivação!$G:$G,Faturamento!$H878)</f>
        <v>1200</v>
      </c>
      <c r="V878" s="28">
        <f>SUMIFS(Positivação!T:T,Positivação!$I:$I,Faturamento!$J878,Positivação!$G:$G,Faturamento!$H878)*SUMIFS(Positivação!$Z:$Z,Positivação!$I:$I,Faturamento!$J878,Positivação!$G:$G,Faturamento!$H878)</f>
        <v>1200</v>
      </c>
      <c r="W878" s="28">
        <f>SUMIFS(Positivação!U:U,Positivação!$I:$I,Faturamento!$J878,Positivação!$G:$G,Faturamento!$H878)*SUMIFS(Positivação!$Z:$Z,Positivação!$I:$I,Faturamento!$J878,Positivação!$G:$G,Faturamento!$H878)</f>
        <v>1200</v>
      </c>
      <c r="X878" s="28">
        <f>SUMIFS(Positivação!V:V,Positivação!$I:$I,Faturamento!$J878,Positivação!$G:$G,Faturamento!$H878)*SUMIFS(Positivação!$Z:$Z,Positivação!$I:$I,Faturamento!$J878,Positivação!$G:$G,Faturamento!$H878)</f>
        <v>1200</v>
      </c>
      <c r="Y878" s="28">
        <f>SUMIFS(Positivação!W:W,Positivação!$I:$I,Faturamento!$J878,Positivação!$G:$G,Faturamento!$H878)*SUMIFS(Positivação!$Z:$Z,Positivação!$I:$I,Faturamento!$J878,Positivação!$G:$G,Faturamento!$H878)</f>
        <v>1200</v>
      </c>
      <c r="Z878" s="28">
        <f t="shared" ref="Z878" si="208">SUM(Z879:Z896)</f>
        <v>14400</v>
      </c>
      <c r="AA878" s="29"/>
      <c r="AB878" s="28">
        <f t="shared" ref="AB878:AE878" si="209">SUM(AB879:AB896)</f>
        <v>0</v>
      </c>
      <c r="AC878" s="28">
        <f t="shared" si="209"/>
        <v>545.33833333333325</v>
      </c>
      <c r="AD878" s="28">
        <f t="shared" si="209"/>
        <v>1090.6766666666665</v>
      </c>
      <c r="AE878" s="28">
        <f t="shared" si="209"/>
        <v>654.40599999999995</v>
      </c>
      <c r="AG878" s="24">
        <f t="shared" si="195"/>
        <v>1</v>
      </c>
      <c r="AH878" s="24">
        <f t="shared" si="196"/>
        <v>0.54555138888888899</v>
      </c>
      <c r="AI878" s="24">
        <f t="shared" si="197"/>
        <v>9.1102777777777907E-2</v>
      </c>
    </row>
    <row r="879" spans="1:35" hidden="1" x14ac:dyDescent="0.3">
      <c r="A879" s="2" t="str">
        <f t="shared" si="194"/>
        <v>NÃO</v>
      </c>
      <c r="B879" s="2">
        <v>1000184670</v>
      </c>
      <c r="C879" s="2" t="s">
        <v>147</v>
      </c>
      <c r="D879" s="4">
        <v>1000186197</v>
      </c>
      <c r="E879" s="4" t="s">
        <v>166</v>
      </c>
      <c r="F879" s="2">
        <v>1000184757</v>
      </c>
      <c r="G879" s="2" t="s">
        <v>62</v>
      </c>
      <c r="H879" s="4">
        <v>1000189791</v>
      </c>
      <c r="I879" s="4" t="s">
        <v>78</v>
      </c>
      <c r="J879" s="2">
        <v>1000189270</v>
      </c>
      <c r="K879" s="2" t="s">
        <v>34</v>
      </c>
      <c r="L879" s="4" t="s">
        <v>13</v>
      </c>
      <c r="M879" s="4" t="str">
        <f t="shared" si="201"/>
        <v>1000184670100018619710001897911000189270BISCOITO</v>
      </c>
      <c r="N879" s="28">
        <f>N878*_xlfn.XLOOKUP($L879,'Balizador da Meta'!$B$4:$B$21,'Balizador da Meta'!$C$4:$C$21)</f>
        <v>84.000000000000014</v>
      </c>
      <c r="O879" s="28">
        <f>O878*_xlfn.XLOOKUP($L879,'Balizador da Meta'!$B$4:$B$21,'Balizador da Meta'!$C$4:$C$21)</f>
        <v>84.000000000000014</v>
      </c>
      <c r="P879" s="28">
        <f>P878*_xlfn.XLOOKUP($L879,'Balizador da Meta'!$B$4:$B$21,'Balizador da Meta'!$C$4:$C$21)</f>
        <v>84.000000000000014</v>
      </c>
      <c r="Q879" s="28">
        <f>Q878*_xlfn.XLOOKUP($L879,'Balizador da Meta'!$B$4:$B$21,'Balizador da Meta'!$C$4:$C$21)</f>
        <v>84.000000000000014</v>
      </c>
      <c r="R879" s="28">
        <f>R878*_xlfn.XLOOKUP($L879,'Balizador da Meta'!$B$4:$B$21,'Balizador da Meta'!$C$4:$C$21)</f>
        <v>84.000000000000014</v>
      </c>
      <c r="S879" s="28">
        <f>S878*_xlfn.XLOOKUP($L879,'Balizador da Meta'!$B$4:$B$21,'Balizador da Meta'!$C$4:$C$21)</f>
        <v>84.000000000000014</v>
      </c>
      <c r="T879" s="28">
        <f>T878*_xlfn.XLOOKUP($L879,'Balizador da Meta'!$B$4:$B$21,'Balizador da Meta'!$C$4:$C$21)</f>
        <v>84.000000000000014</v>
      </c>
      <c r="U879" s="28">
        <f>U878*_xlfn.XLOOKUP($L879,'Balizador da Meta'!$B$4:$B$21,'Balizador da Meta'!$C$4:$C$21)</f>
        <v>84.000000000000014</v>
      </c>
      <c r="V879" s="28">
        <f>V878*_xlfn.XLOOKUP($L879,'Balizador da Meta'!$B$4:$B$21,'Balizador da Meta'!$C$4:$C$21)</f>
        <v>84.000000000000014</v>
      </c>
      <c r="W879" s="28">
        <f>W878*_xlfn.XLOOKUP($L879,'Balizador da Meta'!$B$4:$B$21,'Balizador da Meta'!$C$4:$C$21)</f>
        <v>84.000000000000014</v>
      </c>
      <c r="X879" s="28">
        <f>X878*_xlfn.XLOOKUP($L879,'Balizador da Meta'!$B$4:$B$21,'Balizador da Meta'!$C$4:$C$21)</f>
        <v>84.000000000000014</v>
      </c>
      <c r="Y879" s="28">
        <f>Y878*_xlfn.XLOOKUP($L879,'Balizador da Meta'!$B$4:$B$21,'Balizador da Meta'!$C$4:$C$21)</f>
        <v>84.000000000000014</v>
      </c>
      <c r="Z879" s="30">
        <f t="shared" ref="Z879:Z896" si="210">SUM(N879:Y879)</f>
        <v>1008.0000000000001</v>
      </c>
      <c r="AA879" s="29"/>
      <c r="AB879" s="31">
        <f>SUMIFS('Historico - FAT'!AK:AK,'Historico - FAT'!$K:$K,Faturamento!$L879,'Historico - FAT'!$I:$I,Faturamento!$J879,'Historico - FAT'!$G:$G,Faturamento!$H879)</f>
        <v>0</v>
      </c>
      <c r="AC879" s="31">
        <f>SUMIFS('Historico - FAT'!AL:AL,'Historico - FAT'!$K:$K,Faturamento!$L879,'Historico - FAT'!$I:$I,Faturamento!$J879,'Historico - FAT'!$G:$G,Faturamento!$H879)</f>
        <v>6.21</v>
      </c>
      <c r="AD879" s="31">
        <f>SUMIFS('Historico - FAT'!AM:AM,'Historico - FAT'!$K:$K,Faturamento!$L879,'Historico - FAT'!$I:$I,Faturamento!$J879,'Historico - FAT'!$G:$G,Faturamento!$H879)</f>
        <v>12.42</v>
      </c>
      <c r="AE879" s="27">
        <f>SUMIFS('Historico - FAT'!AN:AN,'Historico - FAT'!$K:$K,Faturamento!$L879,'Historico - FAT'!$I:$I,Faturamento!$J879,'Historico - FAT'!$G:$G,Faturamento!$H879)</f>
        <v>7.452</v>
      </c>
      <c r="AG879" s="24">
        <f t="shared" si="195"/>
        <v>1</v>
      </c>
      <c r="AH879" s="24">
        <f t="shared" si="196"/>
        <v>0.92607142857142866</v>
      </c>
      <c r="AI879" s="24">
        <f t="shared" si="197"/>
        <v>0.8521428571428572</v>
      </c>
    </row>
    <row r="880" spans="1:35" hidden="1" x14ac:dyDescent="0.3">
      <c r="A880" s="2" t="str">
        <f t="shared" si="194"/>
        <v>NÃO</v>
      </c>
      <c r="B880" s="2">
        <v>1000184670</v>
      </c>
      <c r="C880" s="2" t="s">
        <v>147</v>
      </c>
      <c r="D880" s="4">
        <v>1000186197</v>
      </c>
      <c r="E880" s="4" t="s">
        <v>166</v>
      </c>
      <c r="F880" s="2">
        <v>1000184757</v>
      </c>
      <c r="G880" s="2" t="s">
        <v>62</v>
      </c>
      <c r="H880" s="4">
        <v>1000189791</v>
      </c>
      <c r="I880" s="4" t="s">
        <v>78</v>
      </c>
      <c r="J880" s="2">
        <v>1000189270</v>
      </c>
      <c r="K880" s="2" t="s">
        <v>34</v>
      </c>
      <c r="L880" s="4" t="s">
        <v>14</v>
      </c>
      <c r="M880" s="4" t="str">
        <f t="shared" si="201"/>
        <v>1000184670100018619710001897911000189270CHOCOLATES</v>
      </c>
      <c r="N880" s="28">
        <f>N878*_xlfn.XLOOKUP($L880,'Balizador da Meta'!$B$4:$B$21,'Balizador da Meta'!$C$4:$C$21)</f>
        <v>84.000000000000014</v>
      </c>
      <c r="O880" s="28">
        <f>O878*_xlfn.XLOOKUP($L880,'Balizador da Meta'!$B$4:$B$21,'Balizador da Meta'!$C$4:$C$21)</f>
        <v>84.000000000000014</v>
      </c>
      <c r="P880" s="28">
        <f>P878*_xlfn.XLOOKUP($L880,'Balizador da Meta'!$B$4:$B$21,'Balizador da Meta'!$C$4:$C$21)</f>
        <v>84.000000000000014</v>
      </c>
      <c r="Q880" s="28">
        <f>Q878*_xlfn.XLOOKUP($L880,'Balizador da Meta'!$B$4:$B$21,'Balizador da Meta'!$C$4:$C$21)</f>
        <v>84.000000000000014</v>
      </c>
      <c r="R880" s="28">
        <f>R878*_xlfn.XLOOKUP($L880,'Balizador da Meta'!$B$4:$B$21,'Balizador da Meta'!$C$4:$C$21)</f>
        <v>84.000000000000014</v>
      </c>
      <c r="S880" s="28">
        <f>S878*_xlfn.XLOOKUP($L880,'Balizador da Meta'!$B$4:$B$21,'Balizador da Meta'!$C$4:$C$21)</f>
        <v>84.000000000000014</v>
      </c>
      <c r="T880" s="28">
        <f>T878*_xlfn.XLOOKUP($L880,'Balizador da Meta'!$B$4:$B$21,'Balizador da Meta'!$C$4:$C$21)</f>
        <v>84.000000000000014</v>
      </c>
      <c r="U880" s="28">
        <f>U878*_xlfn.XLOOKUP($L880,'Balizador da Meta'!$B$4:$B$21,'Balizador da Meta'!$C$4:$C$21)</f>
        <v>84.000000000000014</v>
      </c>
      <c r="V880" s="28">
        <f>V878*_xlfn.XLOOKUP($L880,'Balizador da Meta'!$B$4:$B$21,'Balizador da Meta'!$C$4:$C$21)</f>
        <v>84.000000000000014</v>
      </c>
      <c r="W880" s="28">
        <f>W878*_xlfn.XLOOKUP($L880,'Balizador da Meta'!$B$4:$B$21,'Balizador da Meta'!$C$4:$C$21)</f>
        <v>84.000000000000014</v>
      </c>
      <c r="X880" s="28">
        <f>X878*_xlfn.XLOOKUP($L880,'Balizador da Meta'!$B$4:$B$21,'Balizador da Meta'!$C$4:$C$21)</f>
        <v>84.000000000000014</v>
      </c>
      <c r="Y880" s="28">
        <f>Y878*_xlfn.XLOOKUP($L880,'Balizador da Meta'!$B$4:$B$21,'Balizador da Meta'!$C$4:$C$21)</f>
        <v>84.000000000000014</v>
      </c>
      <c r="Z880" s="30">
        <f t="shared" si="210"/>
        <v>1008.0000000000001</v>
      </c>
      <c r="AA880" s="29"/>
      <c r="AB880" s="31">
        <f>SUMIFS('Historico - FAT'!AK:AK,'Historico - FAT'!$K:$K,Faturamento!$L880,'Historico - FAT'!$I:$I,Faturamento!$J880,'Historico - FAT'!$G:$G,Faturamento!$H880)</f>
        <v>0</v>
      </c>
      <c r="AC880" s="31">
        <f>SUMIFS('Historico - FAT'!AL:AL,'Historico - FAT'!$K:$K,Faturamento!$L880,'Historico - FAT'!$I:$I,Faturamento!$J880,'Historico - FAT'!$G:$G,Faturamento!$H880)</f>
        <v>45.125</v>
      </c>
      <c r="AD880" s="31">
        <f>SUMIFS('Historico - FAT'!AM:AM,'Historico - FAT'!$K:$K,Faturamento!$L880,'Historico - FAT'!$I:$I,Faturamento!$J880,'Historico - FAT'!$G:$G,Faturamento!$H880)</f>
        <v>90.25</v>
      </c>
      <c r="AE880" s="27">
        <f>SUMIFS('Historico - FAT'!AN:AN,'Historico - FAT'!$K:$K,Faturamento!$L880,'Historico - FAT'!$I:$I,Faturamento!$J880,'Historico - FAT'!$G:$G,Faturamento!$H880)</f>
        <v>54.15</v>
      </c>
      <c r="AG880" s="24">
        <f t="shared" si="195"/>
        <v>1</v>
      </c>
      <c r="AH880" s="24">
        <f t="shared" si="196"/>
        <v>0.46279761904761912</v>
      </c>
      <c r="AI880" s="24">
        <f t="shared" si="197"/>
        <v>-7.4404761904761724E-2</v>
      </c>
    </row>
    <row r="881" spans="1:35" hidden="1" x14ac:dyDescent="0.3">
      <c r="A881" s="2" t="str">
        <f t="shared" si="194"/>
        <v>NÃO</v>
      </c>
      <c r="B881" s="2">
        <v>1000184670</v>
      </c>
      <c r="C881" s="2" t="s">
        <v>147</v>
      </c>
      <c r="D881" s="4">
        <v>1000186197</v>
      </c>
      <c r="E881" s="4" t="s">
        <v>166</v>
      </c>
      <c r="F881" s="2">
        <v>1000184757</v>
      </c>
      <c r="G881" s="2" t="s">
        <v>62</v>
      </c>
      <c r="H881" s="4">
        <v>1000189791</v>
      </c>
      <c r="I881" s="4" t="s">
        <v>78</v>
      </c>
      <c r="J881" s="2">
        <v>1000189270</v>
      </c>
      <c r="K881" s="2" t="s">
        <v>34</v>
      </c>
      <c r="L881" s="4" t="s">
        <v>16</v>
      </c>
      <c r="M881" s="4" t="str">
        <f t="shared" si="201"/>
        <v>1000184670100018619710001897911000189270DISNEY</v>
      </c>
      <c r="N881" s="28">
        <f>N878*_xlfn.XLOOKUP($L881,'Balizador da Meta'!$B$4:$B$21,'Balizador da Meta'!$C$4:$C$21)</f>
        <v>96</v>
      </c>
      <c r="O881" s="28">
        <f>O878*_xlfn.XLOOKUP($L881,'Balizador da Meta'!$B$4:$B$21,'Balizador da Meta'!$C$4:$C$21)</f>
        <v>96</v>
      </c>
      <c r="P881" s="28">
        <f>P878*_xlfn.XLOOKUP($L881,'Balizador da Meta'!$B$4:$B$21,'Balizador da Meta'!$C$4:$C$21)</f>
        <v>96</v>
      </c>
      <c r="Q881" s="28">
        <f>Q878*_xlfn.XLOOKUP($L881,'Balizador da Meta'!$B$4:$B$21,'Balizador da Meta'!$C$4:$C$21)</f>
        <v>96</v>
      </c>
      <c r="R881" s="28">
        <f>R878*_xlfn.XLOOKUP($L881,'Balizador da Meta'!$B$4:$B$21,'Balizador da Meta'!$C$4:$C$21)</f>
        <v>96</v>
      </c>
      <c r="S881" s="28">
        <f>S878*_xlfn.XLOOKUP($L881,'Balizador da Meta'!$B$4:$B$21,'Balizador da Meta'!$C$4:$C$21)</f>
        <v>96</v>
      </c>
      <c r="T881" s="28">
        <f>T878*_xlfn.XLOOKUP($L881,'Balizador da Meta'!$B$4:$B$21,'Balizador da Meta'!$C$4:$C$21)</f>
        <v>96</v>
      </c>
      <c r="U881" s="28">
        <f>U878*_xlfn.XLOOKUP($L881,'Balizador da Meta'!$B$4:$B$21,'Balizador da Meta'!$C$4:$C$21)</f>
        <v>96</v>
      </c>
      <c r="V881" s="28">
        <f>V878*_xlfn.XLOOKUP($L881,'Balizador da Meta'!$B$4:$B$21,'Balizador da Meta'!$C$4:$C$21)</f>
        <v>96</v>
      </c>
      <c r="W881" s="28">
        <f>W878*_xlfn.XLOOKUP($L881,'Balizador da Meta'!$B$4:$B$21,'Balizador da Meta'!$C$4:$C$21)</f>
        <v>96</v>
      </c>
      <c r="X881" s="28">
        <f>X878*_xlfn.XLOOKUP($L881,'Balizador da Meta'!$B$4:$B$21,'Balizador da Meta'!$C$4:$C$21)</f>
        <v>96</v>
      </c>
      <c r="Y881" s="28">
        <f>Y878*_xlfn.XLOOKUP($L881,'Balizador da Meta'!$B$4:$B$21,'Balizador da Meta'!$C$4:$C$21)</f>
        <v>96</v>
      </c>
      <c r="Z881" s="30">
        <f t="shared" si="210"/>
        <v>1152</v>
      </c>
      <c r="AA881" s="29"/>
      <c r="AB881" s="31">
        <f>SUMIFS('Historico - FAT'!AK:AK,'Historico - FAT'!$K:$K,Faturamento!$L881,'Historico - FAT'!$I:$I,Faturamento!$J881,'Historico - FAT'!$G:$G,Faturamento!$H881)</f>
        <v>0</v>
      </c>
      <c r="AC881" s="31">
        <f>SUMIFS('Historico - FAT'!AL:AL,'Historico - FAT'!$K:$K,Faturamento!$L881,'Historico - FAT'!$I:$I,Faturamento!$J881,'Historico - FAT'!$G:$G,Faturamento!$H881)</f>
        <v>0</v>
      </c>
      <c r="AD881" s="31">
        <f>SUMIFS('Historico - FAT'!AM:AM,'Historico - FAT'!$K:$K,Faturamento!$L881,'Historico - FAT'!$I:$I,Faturamento!$J881,'Historico - FAT'!$G:$G,Faturamento!$H881)</f>
        <v>0</v>
      </c>
      <c r="AE881" s="27">
        <f>SUMIFS('Historico - FAT'!AN:AN,'Historico - FAT'!$K:$K,Faturamento!$L881,'Historico - FAT'!$I:$I,Faturamento!$J881,'Historico - FAT'!$G:$G,Faturamento!$H881)</f>
        <v>0</v>
      </c>
      <c r="AG881" s="24">
        <f t="shared" si="195"/>
        <v>1</v>
      </c>
      <c r="AH881" s="24">
        <f t="shared" si="196"/>
        <v>1</v>
      </c>
      <c r="AI881" s="24">
        <f t="shared" si="197"/>
        <v>1</v>
      </c>
    </row>
    <row r="882" spans="1:35" hidden="1" x14ac:dyDescent="0.3">
      <c r="A882" s="2" t="str">
        <f t="shared" ref="A882:A945" si="211">IF(OR(H882&lt;&gt;H881,J882&lt;&gt;J881),"SIM","NÃO")</f>
        <v>NÃO</v>
      </c>
      <c r="B882" s="2">
        <v>1000184670</v>
      </c>
      <c r="C882" s="2" t="s">
        <v>147</v>
      </c>
      <c r="D882" s="4">
        <v>1000186197</v>
      </c>
      <c r="E882" s="4" t="s">
        <v>166</v>
      </c>
      <c r="F882" s="2">
        <v>1000184757</v>
      </c>
      <c r="G882" s="2" t="s">
        <v>62</v>
      </c>
      <c r="H882" s="4">
        <v>1000189791</v>
      </c>
      <c r="I882" s="4" t="s">
        <v>78</v>
      </c>
      <c r="J882" s="2">
        <v>1000189270</v>
      </c>
      <c r="K882" s="2" t="s">
        <v>34</v>
      </c>
      <c r="L882" s="4" t="s">
        <v>15</v>
      </c>
      <c r="M882" s="4" t="str">
        <f t="shared" si="201"/>
        <v>1000184670100018619710001897911000189270DOCES</v>
      </c>
      <c r="N882" s="28">
        <f>N878*_xlfn.XLOOKUP($L882,'Balizador da Meta'!$B$4:$B$21,'Balizador da Meta'!$C$4:$C$21)</f>
        <v>108</v>
      </c>
      <c r="O882" s="28">
        <f>O878*_xlfn.XLOOKUP($L882,'Balizador da Meta'!$B$4:$B$21,'Balizador da Meta'!$C$4:$C$21)</f>
        <v>108</v>
      </c>
      <c r="P882" s="28">
        <f>P878*_xlfn.XLOOKUP($L882,'Balizador da Meta'!$B$4:$B$21,'Balizador da Meta'!$C$4:$C$21)</f>
        <v>108</v>
      </c>
      <c r="Q882" s="28">
        <f>Q878*_xlfn.XLOOKUP($L882,'Balizador da Meta'!$B$4:$B$21,'Balizador da Meta'!$C$4:$C$21)</f>
        <v>108</v>
      </c>
      <c r="R882" s="28">
        <f>R878*_xlfn.XLOOKUP($L882,'Balizador da Meta'!$B$4:$B$21,'Balizador da Meta'!$C$4:$C$21)</f>
        <v>108</v>
      </c>
      <c r="S882" s="28">
        <f>S878*_xlfn.XLOOKUP($L882,'Balizador da Meta'!$B$4:$B$21,'Balizador da Meta'!$C$4:$C$21)</f>
        <v>108</v>
      </c>
      <c r="T882" s="28">
        <f>T878*_xlfn.XLOOKUP($L882,'Balizador da Meta'!$B$4:$B$21,'Balizador da Meta'!$C$4:$C$21)</f>
        <v>108</v>
      </c>
      <c r="U882" s="28">
        <f>U878*_xlfn.XLOOKUP($L882,'Balizador da Meta'!$B$4:$B$21,'Balizador da Meta'!$C$4:$C$21)</f>
        <v>108</v>
      </c>
      <c r="V882" s="28">
        <f>V878*_xlfn.XLOOKUP($L882,'Balizador da Meta'!$B$4:$B$21,'Balizador da Meta'!$C$4:$C$21)</f>
        <v>108</v>
      </c>
      <c r="W882" s="28">
        <f>W878*_xlfn.XLOOKUP($L882,'Balizador da Meta'!$B$4:$B$21,'Balizador da Meta'!$C$4:$C$21)</f>
        <v>108</v>
      </c>
      <c r="X882" s="28">
        <f>X878*_xlfn.XLOOKUP($L882,'Balizador da Meta'!$B$4:$B$21,'Balizador da Meta'!$C$4:$C$21)</f>
        <v>108</v>
      </c>
      <c r="Y882" s="28">
        <f>Y878*_xlfn.XLOOKUP($L882,'Balizador da Meta'!$B$4:$B$21,'Balizador da Meta'!$C$4:$C$21)</f>
        <v>108</v>
      </c>
      <c r="Z882" s="30">
        <f t="shared" si="210"/>
        <v>1296</v>
      </c>
      <c r="AA882" s="29"/>
      <c r="AB882" s="31">
        <f>SUMIFS('Historico - FAT'!AK:AK,'Historico - FAT'!$K:$K,Faturamento!$L882,'Historico - FAT'!$I:$I,Faturamento!$J882,'Historico - FAT'!$G:$G,Faturamento!$H882)</f>
        <v>0</v>
      </c>
      <c r="AC882" s="31">
        <f>SUMIFS('Historico - FAT'!AL:AL,'Historico - FAT'!$K:$K,Faturamento!$L882,'Historico - FAT'!$I:$I,Faturamento!$J882,'Historico - FAT'!$G:$G,Faturamento!$H882)</f>
        <v>20.458333333333332</v>
      </c>
      <c r="AD882" s="31">
        <f>SUMIFS('Historico - FAT'!AM:AM,'Historico - FAT'!$K:$K,Faturamento!$L882,'Historico - FAT'!$I:$I,Faturamento!$J882,'Historico - FAT'!$G:$G,Faturamento!$H882)</f>
        <v>40.916666666666664</v>
      </c>
      <c r="AE882" s="27">
        <f>SUMIFS('Historico - FAT'!AN:AN,'Historico - FAT'!$K:$K,Faturamento!$L882,'Historico - FAT'!$I:$I,Faturamento!$J882,'Historico - FAT'!$G:$G,Faturamento!$H882)</f>
        <v>24.55</v>
      </c>
      <c r="AG882" s="24">
        <f t="shared" ref="AG882:AG945" si="212">IFERROR((AVERAGE(W882:Y882)-AB882)/AVERAGE(W882:Y882),"")</f>
        <v>1</v>
      </c>
      <c r="AH882" s="24">
        <f t="shared" ref="AH882:AH945" si="213">IFERROR((AVERAGE(W882:Y882)-AC882)/AVERAGE(W882:Y882),"")</f>
        <v>0.81057098765432101</v>
      </c>
      <c r="AI882" s="24">
        <f t="shared" ref="AI882:AI945" si="214">IFERROR((AVERAGE(W882:Y882)-AD882)/AVERAGE(W882:Y882),"")</f>
        <v>0.62114197530864201</v>
      </c>
    </row>
    <row r="883" spans="1:35" hidden="1" x14ac:dyDescent="0.3">
      <c r="A883" s="2" t="str">
        <f t="shared" si="211"/>
        <v>NÃO</v>
      </c>
      <c r="B883" s="2">
        <v>1000184670</v>
      </c>
      <c r="C883" s="2" t="s">
        <v>147</v>
      </c>
      <c r="D883" s="4">
        <v>1000186197</v>
      </c>
      <c r="E883" s="4" t="s">
        <v>166</v>
      </c>
      <c r="F883" s="2">
        <v>1000184757</v>
      </c>
      <c r="G883" s="2" t="s">
        <v>62</v>
      </c>
      <c r="H883" s="4">
        <v>1000189791</v>
      </c>
      <c r="I883" s="4" t="s">
        <v>78</v>
      </c>
      <c r="J883" s="2">
        <v>1000189270</v>
      </c>
      <c r="K883" s="2" t="s">
        <v>34</v>
      </c>
      <c r="L883" s="4" t="s">
        <v>33</v>
      </c>
      <c r="M883" s="4" t="str">
        <f t="shared" si="201"/>
        <v>1000184670100018619710001897911000189270FOOD SERVICE</v>
      </c>
      <c r="N883" s="28">
        <f>N878*_xlfn.XLOOKUP($L883,'Balizador da Meta'!$B$4:$B$21,'Balizador da Meta'!$C$4:$C$21)</f>
        <v>0</v>
      </c>
      <c r="O883" s="28">
        <f>O878*_xlfn.XLOOKUP($L883,'Balizador da Meta'!$B$4:$B$21,'Balizador da Meta'!$C$4:$C$21)</f>
        <v>0</v>
      </c>
      <c r="P883" s="28">
        <f>P878*_xlfn.XLOOKUP($L883,'Balizador da Meta'!$B$4:$B$21,'Balizador da Meta'!$C$4:$C$21)</f>
        <v>0</v>
      </c>
      <c r="Q883" s="28">
        <f>Q878*_xlfn.XLOOKUP($L883,'Balizador da Meta'!$B$4:$B$21,'Balizador da Meta'!$C$4:$C$21)</f>
        <v>0</v>
      </c>
      <c r="R883" s="28">
        <f>R878*_xlfn.XLOOKUP($L883,'Balizador da Meta'!$B$4:$B$21,'Balizador da Meta'!$C$4:$C$21)</f>
        <v>0</v>
      </c>
      <c r="S883" s="28">
        <f>S878*_xlfn.XLOOKUP($L883,'Balizador da Meta'!$B$4:$B$21,'Balizador da Meta'!$C$4:$C$21)</f>
        <v>0</v>
      </c>
      <c r="T883" s="28">
        <f>T878*_xlfn.XLOOKUP($L883,'Balizador da Meta'!$B$4:$B$21,'Balizador da Meta'!$C$4:$C$21)</f>
        <v>0</v>
      </c>
      <c r="U883" s="28">
        <f>U878*_xlfn.XLOOKUP($L883,'Balizador da Meta'!$B$4:$B$21,'Balizador da Meta'!$C$4:$C$21)</f>
        <v>0</v>
      </c>
      <c r="V883" s="28">
        <f>V878*_xlfn.XLOOKUP($L883,'Balizador da Meta'!$B$4:$B$21,'Balizador da Meta'!$C$4:$C$21)</f>
        <v>0</v>
      </c>
      <c r="W883" s="28">
        <f>W878*_xlfn.XLOOKUP($L883,'Balizador da Meta'!$B$4:$B$21,'Balizador da Meta'!$C$4:$C$21)</f>
        <v>0</v>
      </c>
      <c r="X883" s="28">
        <f>X878*_xlfn.XLOOKUP($L883,'Balizador da Meta'!$B$4:$B$21,'Balizador da Meta'!$C$4:$C$21)</f>
        <v>0</v>
      </c>
      <c r="Y883" s="28">
        <f>Y878*_xlfn.XLOOKUP($L883,'Balizador da Meta'!$B$4:$B$21,'Balizador da Meta'!$C$4:$C$21)</f>
        <v>0</v>
      </c>
      <c r="Z883" s="30">
        <f t="shared" si="210"/>
        <v>0</v>
      </c>
      <c r="AA883" s="29"/>
      <c r="AB883" s="31">
        <f>SUMIFS('Historico - FAT'!AK:AK,'Historico - FAT'!$K:$K,Faturamento!$L883,'Historico - FAT'!$I:$I,Faturamento!$J883,'Historico - FAT'!$G:$G,Faturamento!$H883)</f>
        <v>0</v>
      </c>
      <c r="AC883" s="31">
        <f>SUMIFS('Historico - FAT'!AL:AL,'Historico - FAT'!$K:$K,Faturamento!$L883,'Historico - FAT'!$I:$I,Faturamento!$J883,'Historico - FAT'!$G:$G,Faturamento!$H883)</f>
        <v>110.83333333333333</v>
      </c>
      <c r="AD883" s="31">
        <f>SUMIFS('Historico - FAT'!AM:AM,'Historico - FAT'!$K:$K,Faturamento!$L883,'Historico - FAT'!$I:$I,Faturamento!$J883,'Historico - FAT'!$G:$G,Faturamento!$H883)</f>
        <v>221.66666666666666</v>
      </c>
      <c r="AE883" s="27">
        <f>SUMIFS('Historico - FAT'!AN:AN,'Historico - FAT'!$K:$K,Faturamento!$L883,'Historico - FAT'!$I:$I,Faturamento!$J883,'Historico - FAT'!$G:$G,Faturamento!$H883)</f>
        <v>133</v>
      </c>
      <c r="AG883" s="24" t="str">
        <f t="shared" si="212"/>
        <v/>
      </c>
      <c r="AH883" s="24" t="str">
        <f t="shared" si="213"/>
        <v/>
      </c>
      <c r="AI883" s="24" t="str">
        <f t="shared" si="214"/>
        <v/>
      </c>
    </row>
    <row r="884" spans="1:35" hidden="1" x14ac:dyDescent="0.3">
      <c r="A884" s="2" t="str">
        <f t="shared" si="211"/>
        <v>NÃO</v>
      </c>
      <c r="B884" s="2">
        <v>1000184670</v>
      </c>
      <c r="C884" s="2" t="s">
        <v>147</v>
      </c>
      <c r="D884" s="4">
        <v>1000186197</v>
      </c>
      <c r="E884" s="4" t="s">
        <v>166</v>
      </c>
      <c r="F884" s="2">
        <v>1000184757</v>
      </c>
      <c r="G884" s="2" t="s">
        <v>62</v>
      </c>
      <c r="H884" s="4">
        <v>1000189791</v>
      </c>
      <c r="I884" s="4" t="s">
        <v>78</v>
      </c>
      <c r="J884" s="2">
        <v>1000189270</v>
      </c>
      <c r="K884" s="2" t="s">
        <v>34</v>
      </c>
      <c r="L884" s="4" t="s">
        <v>19</v>
      </c>
      <c r="M884" s="4" t="str">
        <f t="shared" si="201"/>
        <v>1000184670100018619710001897911000189270GELEIA</v>
      </c>
      <c r="N884" s="28">
        <f>N878*_xlfn.XLOOKUP($L884,'Balizador da Meta'!$B$4:$B$21,'Balizador da Meta'!$C$4:$C$21)</f>
        <v>23.999999999999996</v>
      </c>
      <c r="O884" s="28">
        <f>O878*_xlfn.XLOOKUP($L884,'Balizador da Meta'!$B$4:$B$21,'Balizador da Meta'!$C$4:$C$21)</f>
        <v>23.999999999999996</v>
      </c>
      <c r="P884" s="28">
        <f>P878*_xlfn.XLOOKUP($L884,'Balizador da Meta'!$B$4:$B$21,'Balizador da Meta'!$C$4:$C$21)</f>
        <v>23.999999999999996</v>
      </c>
      <c r="Q884" s="28">
        <f>Q878*_xlfn.XLOOKUP($L884,'Balizador da Meta'!$B$4:$B$21,'Balizador da Meta'!$C$4:$C$21)</f>
        <v>23.999999999999996</v>
      </c>
      <c r="R884" s="28">
        <f>R878*_xlfn.XLOOKUP($L884,'Balizador da Meta'!$B$4:$B$21,'Balizador da Meta'!$C$4:$C$21)</f>
        <v>23.999999999999996</v>
      </c>
      <c r="S884" s="28">
        <f>S878*_xlfn.XLOOKUP($L884,'Balizador da Meta'!$B$4:$B$21,'Balizador da Meta'!$C$4:$C$21)</f>
        <v>23.999999999999996</v>
      </c>
      <c r="T884" s="28">
        <f>T878*_xlfn.XLOOKUP($L884,'Balizador da Meta'!$B$4:$B$21,'Balizador da Meta'!$C$4:$C$21)</f>
        <v>23.999999999999996</v>
      </c>
      <c r="U884" s="28">
        <f>U878*_xlfn.XLOOKUP($L884,'Balizador da Meta'!$B$4:$B$21,'Balizador da Meta'!$C$4:$C$21)</f>
        <v>23.999999999999996</v>
      </c>
      <c r="V884" s="28">
        <f>V878*_xlfn.XLOOKUP($L884,'Balizador da Meta'!$B$4:$B$21,'Balizador da Meta'!$C$4:$C$21)</f>
        <v>23.999999999999996</v>
      </c>
      <c r="W884" s="28">
        <f>W878*_xlfn.XLOOKUP($L884,'Balizador da Meta'!$B$4:$B$21,'Balizador da Meta'!$C$4:$C$21)</f>
        <v>23.999999999999996</v>
      </c>
      <c r="X884" s="28">
        <f>X878*_xlfn.XLOOKUP($L884,'Balizador da Meta'!$B$4:$B$21,'Balizador da Meta'!$C$4:$C$21)</f>
        <v>23.999999999999996</v>
      </c>
      <c r="Y884" s="28">
        <f>Y878*_xlfn.XLOOKUP($L884,'Balizador da Meta'!$B$4:$B$21,'Balizador da Meta'!$C$4:$C$21)</f>
        <v>23.999999999999996</v>
      </c>
      <c r="Z884" s="30">
        <f t="shared" si="210"/>
        <v>287.99999999999994</v>
      </c>
      <c r="AA884" s="29"/>
      <c r="AB884" s="31">
        <f>SUMIFS('Historico - FAT'!AK:AK,'Historico - FAT'!$K:$K,Faturamento!$L884,'Historico - FAT'!$I:$I,Faturamento!$J884,'Historico - FAT'!$G:$G,Faturamento!$H884)</f>
        <v>0</v>
      </c>
      <c r="AC884" s="31">
        <f>SUMIFS('Historico - FAT'!AL:AL,'Historico - FAT'!$K:$K,Faturamento!$L884,'Historico - FAT'!$I:$I,Faturamento!$J884,'Historico - FAT'!$G:$G,Faturamento!$H884)</f>
        <v>0</v>
      </c>
      <c r="AD884" s="31">
        <f>SUMIFS('Historico - FAT'!AM:AM,'Historico - FAT'!$K:$K,Faturamento!$L884,'Historico - FAT'!$I:$I,Faturamento!$J884,'Historico - FAT'!$G:$G,Faturamento!$H884)</f>
        <v>0</v>
      </c>
      <c r="AE884" s="27">
        <f>SUMIFS('Historico - FAT'!AN:AN,'Historico - FAT'!$K:$K,Faturamento!$L884,'Historico - FAT'!$I:$I,Faturamento!$J884,'Historico - FAT'!$G:$G,Faturamento!$H884)</f>
        <v>0</v>
      </c>
      <c r="AG884" s="24">
        <f t="shared" si="212"/>
        <v>1</v>
      </c>
      <c r="AH884" s="24">
        <f t="shared" si="213"/>
        <v>1</v>
      </c>
      <c r="AI884" s="24">
        <f t="shared" si="214"/>
        <v>1</v>
      </c>
    </row>
    <row r="885" spans="1:35" hidden="1" x14ac:dyDescent="0.3">
      <c r="A885" s="2" t="str">
        <f t="shared" si="211"/>
        <v>NÃO</v>
      </c>
      <c r="B885" s="2">
        <v>1000184670</v>
      </c>
      <c r="C885" s="2" t="s">
        <v>147</v>
      </c>
      <c r="D885" s="4">
        <v>1000186197</v>
      </c>
      <c r="E885" s="4" t="s">
        <v>166</v>
      </c>
      <c r="F885" s="2">
        <v>1000184757</v>
      </c>
      <c r="G885" s="2" t="s">
        <v>62</v>
      </c>
      <c r="H885" s="4">
        <v>1000189791</v>
      </c>
      <c r="I885" s="4" t="s">
        <v>78</v>
      </c>
      <c r="J885" s="2">
        <v>1000189270</v>
      </c>
      <c r="K885" s="2" t="s">
        <v>34</v>
      </c>
      <c r="L885" s="4" t="s">
        <v>17</v>
      </c>
      <c r="M885" s="4" t="str">
        <f t="shared" si="201"/>
        <v>1000184670100018619710001897911000189270GRANOLA</v>
      </c>
      <c r="N885" s="28">
        <f>N878*_xlfn.XLOOKUP($L885,'Balizador da Meta'!$B$4:$B$21,'Balizador da Meta'!$C$4:$C$21)</f>
        <v>24</v>
      </c>
      <c r="O885" s="28">
        <f>O878*_xlfn.XLOOKUP($L885,'Balizador da Meta'!$B$4:$B$21,'Balizador da Meta'!$C$4:$C$21)</f>
        <v>24</v>
      </c>
      <c r="P885" s="28">
        <f>P878*_xlfn.XLOOKUP($L885,'Balizador da Meta'!$B$4:$B$21,'Balizador da Meta'!$C$4:$C$21)</f>
        <v>24</v>
      </c>
      <c r="Q885" s="28">
        <f>Q878*_xlfn.XLOOKUP($L885,'Balizador da Meta'!$B$4:$B$21,'Balizador da Meta'!$C$4:$C$21)</f>
        <v>24</v>
      </c>
      <c r="R885" s="28">
        <f>R878*_xlfn.XLOOKUP($L885,'Balizador da Meta'!$B$4:$B$21,'Balizador da Meta'!$C$4:$C$21)</f>
        <v>24</v>
      </c>
      <c r="S885" s="28">
        <f>S878*_xlfn.XLOOKUP($L885,'Balizador da Meta'!$B$4:$B$21,'Balizador da Meta'!$C$4:$C$21)</f>
        <v>24</v>
      </c>
      <c r="T885" s="28">
        <f>T878*_xlfn.XLOOKUP($L885,'Balizador da Meta'!$B$4:$B$21,'Balizador da Meta'!$C$4:$C$21)</f>
        <v>24</v>
      </c>
      <c r="U885" s="28">
        <f>U878*_xlfn.XLOOKUP($L885,'Balizador da Meta'!$B$4:$B$21,'Balizador da Meta'!$C$4:$C$21)</f>
        <v>24</v>
      </c>
      <c r="V885" s="28">
        <f>V878*_xlfn.XLOOKUP($L885,'Balizador da Meta'!$B$4:$B$21,'Balizador da Meta'!$C$4:$C$21)</f>
        <v>24</v>
      </c>
      <c r="W885" s="28">
        <f>W878*_xlfn.XLOOKUP($L885,'Balizador da Meta'!$B$4:$B$21,'Balizador da Meta'!$C$4:$C$21)</f>
        <v>24</v>
      </c>
      <c r="X885" s="28">
        <f>X878*_xlfn.XLOOKUP($L885,'Balizador da Meta'!$B$4:$B$21,'Balizador da Meta'!$C$4:$C$21)</f>
        <v>24</v>
      </c>
      <c r="Y885" s="28">
        <f>Y878*_xlfn.XLOOKUP($L885,'Balizador da Meta'!$B$4:$B$21,'Balizador da Meta'!$C$4:$C$21)</f>
        <v>24</v>
      </c>
      <c r="Z885" s="30">
        <f t="shared" si="210"/>
        <v>288</v>
      </c>
      <c r="AA885" s="29"/>
      <c r="AB885" s="31">
        <f>SUMIFS('Historico - FAT'!AK:AK,'Historico - FAT'!$K:$K,Faturamento!$L885,'Historico - FAT'!$I:$I,Faturamento!$J885,'Historico - FAT'!$G:$G,Faturamento!$H885)</f>
        <v>0</v>
      </c>
      <c r="AC885" s="31">
        <f>SUMIFS('Historico - FAT'!AL:AL,'Historico - FAT'!$K:$K,Faturamento!$L885,'Historico - FAT'!$I:$I,Faturamento!$J885,'Historico - FAT'!$G:$G,Faturamento!$H885)</f>
        <v>0</v>
      </c>
      <c r="AD885" s="31">
        <f>SUMIFS('Historico - FAT'!AM:AM,'Historico - FAT'!$K:$K,Faturamento!$L885,'Historico - FAT'!$I:$I,Faturamento!$J885,'Historico - FAT'!$G:$G,Faturamento!$H885)</f>
        <v>0</v>
      </c>
      <c r="AE885" s="27">
        <f>SUMIFS('Historico - FAT'!AN:AN,'Historico - FAT'!$K:$K,Faturamento!$L885,'Historico - FAT'!$I:$I,Faturamento!$J885,'Historico - FAT'!$G:$G,Faturamento!$H885)</f>
        <v>0</v>
      </c>
      <c r="AG885" s="24">
        <f t="shared" si="212"/>
        <v>1</v>
      </c>
      <c r="AH885" s="24">
        <f t="shared" si="213"/>
        <v>1</v>
      </c>
      <c r="AI885" s="24">
        <f t="shared" si="214"/>
        <v>1</v>
      </c>
    </row>
    <row r="886" spans="1:35" hidden="1" x14ac:dyDescent="0.3">
      <c r="A886" s="2" t="str">
        <f t="shared" si="211"/>
        <v>NÃO</v>
      </c>
      <c r="B886" s="2">
        <v>1000184670</v>
      </c>
      <c r="C886" s="2" t="s">
        <v>147</v>
      </c>
      <c r="D886" s="4">
        <v>1000186197</v>
      </c>
      <c r="E886" s="4" t="s">
        <v>166</v>
      </c>
      <c r="F886" s="2">
        <v>1000184757</v>
      </c>
      <c r="G886" s="2" t="s">
        <v>62</v>
      </c>
      <c r="H886" s="4">
        <v>1000189791</v>
      </c>
      <c r="I886" s="4" t="s">
        <v>78</v>
      </c>
      <c r="J886" s="2">
        <v>1000189270</v>
      </c>
      <c r="K886" s="2" t="s">
        <v>34</v>
      </c>
      <c r="L886" s="4" t="s">
        <v>24</v>
      </c>
      <c r="M886" s="4" t="str">
        <f t="shared" si="201"/>
        <v>1000184670100018619710001897911000189270KIDS</v>
      </c>
      <c r="N886" s="28">
        <f>N878*_xlfn.XLOOKUP($L886,'Balizador da Meta'!$B$4:$B$21,'Balizador da Meta'!$C$4:$C$21)</f>
        <v>0</v>
      </c>
      <c r="O886" s="28">
        <f>O878*_xlfn.XLOOKUP($L886,'Balizador da Meta'!$B$4:$B$21,'Balizador da Meta'!$C$4:$C$21)</f>
        <v>0</v>
      </c>
      <c r="P886" s="28">
        <f>P878*_xlfn.XLOOKUP($L886,'Balizador da Meta'!$B$4:$B$21,'Balizador da Meta'!$C$4:$C$21)</f>
        <v>0</v>
      </c>
      <c r="Q886" s="28">
        <f>Q878*_xlfn.XLOOKUP($L886,'Balizador da Meta'!$B$4:$B$21,'Balizador da Meta'!$C$4:$C$21)</f>
        <v>0</v>
      </c>
      <c r="R886" s="28">
        <f>R878*_xlfn.XLOOKUP($L886,'Balizador da Meta'!$B$4:$B$21,'Balizador da Meta'!$C$4:$C$21)</f>
        <v>0</v>
      </c>
      <c r="S886" s="28">
        <f>S878*_xlfn.XLOOKUP($L886,'Balizador da Meta'!$B$4:$B$21,'Balizador da Meta'!$C$4:$C$21)</f>
        <v>0</v>
      </c>
      <c r="T886" s="28">
        <f>T878*_xlfn.XLOOKUP($L886,'Balizador da Meta'!$B$4:$B$21,'Balizador da Meta'!$C$4:$C$21)</f>
        <v>0</v>
      </c>
      <c r="U886" s="28">
        <f>U878*_xlfn.XLOOKUP($L886,'Balizador da Meta'!$B$4:$B$21,'Balizador da Meta'!$C$4:$C$21)</f>
        <v>0</v>
      </c>
      <c r="V886" s="28">
        <f>V878*_xlfn.XLOOKUP($L886,'Balizador da Meta'!$B$4:$B$21,'Balizador da Meta'!$C$4:$C$21)</f>
        <v>0</v>
      </c>
      <c r="W886" s="28">
        <f>W878*_xlfn.XLOOKUP($L886,'Balizador da Meta'!$B$4:$B$21,'Balizador da Meta'!$C$4:$C$21)</f>
        <v>0</v>
      </c>
      <c r="X886" s="28">
        <f>X878*_xlfn.XLOOKUP($L886,'Balizador da Meta'!$B$4:$B$21,'Balizador da Meta'!$C$4:$C$21)</f>
        <v>0</v>
      </c>
      <c r="Y886" s="28">
        <f>Y878*_xlfn.XLOOKUP($L886,'Balizador da Meta'!$B$4:$B$21,'Balizador da Meta'!$C$4:$C$21)</f>
        <v>0</v>
      </c>
      <c r="Z886" s="30">
        <f t="shared" si="210"/>
        <v>0</v>
      </c>
      <c r="AA886" s="29"/>
      <c r="AB886" s="31">
        <f>SUMIFS('Historico - FAT'!AK:AK,'Historico - FAT'!$K:$K,Faturamento!$L886,'Historico - FAT'!$I:$I,Faturamento!$J886,'Historico - FAT'!$G:$G,Faturamento!$H886)</f>
        <v>0</v>
      </c>
      <c r="AC886" s="31">
        <f>SUMIFS('Historico - FAT'!AL:AL,'Historico - FAT'!$K:$K,Faturamento!$L886,'Historico - FAT'!$I:$I,Faturamento!$J886,'Historico - FAT'!$G:$G,Faturamento!$H886)</f>
        <v>0</v>
      </c>
      <c r="AD886" s="31">
        <f>SUMIFS('Historico - FAT'!AM:AM,'Historico - FAT'!$K:$K,Faturamento!$L886,'Historico - FAT'!$I:$I,Faturamento!$J886,'Historico - FAT'!$G:$G,Faturamento!$H886)</f>
        <v>0</v>
      </c>
      <c r="AE886" s="27">
        <f>SUMIFS('Historico - FAT'!AN:AN,'Historico - FAT'!$K:$K,Faturamento!$L886,'Historico - FAT'!$I:$I,Faturamento!$J886,'Historico - FAT'!$G:$G,Faturamento!$H886)</f>
        <v>0</v>
      </c>
      <c r="AG886" s="24" t="str">
        <f t="shared" si="212"/>
        <v/>
      </c>
      <c r="AH886" s="24" t="str">
        <f t="shared" si="213"/>
        <v/>
      </c>
      <c r="AI886" s="24" t="str">
        <f t="shared" si="214"/>
        <v/>
      </c>
    </row>
    <row r="887" spans="1:35" hidden="1" x14ac:dyDescent="0.3">
      <c r="A887" s="2" t="str">
        <f t="shared" si="211"/>
        <v>NÃO</v>
      </c>
      <c r="B887" s="2">
        <v>1000184670</v>
      </c>
      <c r="C887" s="2" t="s">
        <v>147</v>
      </c>
      <c r="D887" s="4">
        <v>1000186197</v>
      </c>
      <c r="E887" s="4" t="s">
        <v>166</v>
      </c>
      <c r="F887" s="2">
        <v>1000184757</v>
      </c>
      <c r="G887" s="2" t="s">
        <v>62</v>
      </c>
      <c r="H887" s="4">
        <v>1000189791</v>
      </c>
      <c r="I887" s="4" t="s">
        <v>78</v>
      </c>
      <c r="J887" s="2">
        <v>1000189270</v>
      </c>
      <c r="K887" s="2" t="s">
        <v>34</v>
      </c>
      <c r="L887" s="4" t="s">
        <v>18</v>
      </c>
      <c r="M887" s="4" t="str">
        <f t="shared" si="201"/>
        <v>1000184670100018619710001897911000189270LANCHES</v>
      </c>
      <c r="N887" s="28">
        <f>N878*_xlfn.XLOOKUP($L887,'Balizador da Meta'!$B$4:$B$21,'Balizador da Meta'!$C$4:$C$21)</f>
        <v>12</v>
      </c>
      <c r="O887" s="28">
        <f>O878*_xlfn.XLOOKUP($L887,'Balizador da Meta'!$B$4:$B$21,'Balizador da Meta'!$C$4:$C$21)</f>
        <v>12</v>
      </c>
      <c r="P887" s="28">
        <f>P878*_xlfn.XLOOKUP($L887,'Balizador da Meta'!$B$4:$B$21,'Balizador da Meta'!$C$4:$C$21)</f>
        <v>12</v>
      </c>
      <c r="Q887" s="28">
        <f>Q878*_xlfn.XLOOKUP($L887,'Balizador da Meta'!$B$4:$B$21,'Balizador da Meta'!$C$4:$C$21)</f>
        <v>12</v>
      </c>
      <c r="R887" s="28">
        <f>R878*_xlfn.XLOOKUP($L887,'Balizador da Meta'!$B$4:$B$21,'Balizador da Meta'!$C$4:$C$21)</f>
        <v>12</v>
      </c>
      <c r="S887" s="28">
        <f>S878*_xlfn.XLOOKUP($L887,'Balizador da Meta'!$B$4:$B$21,'Balizador da Meta'!$C$4:$C$21)</f>
        <v>12</v>
      </c>
      <c r="T887" s="28">
        <f>T878*_xlfn.XLOOKUP($L887,'Balizador da Meta'!$B$4:$B$21,'Balizador da Meta'!$C$4:$C$21)</f>
        <v>12</v>
      </c>
      <c r="U887" s="28">
        <f>U878*_xlfn.XLOOKUP($L887,'Balizador da Meta'!$B$4:$B$21,'Balizador da Meta'!$C$4:$C$21)</f>
        <v>12</v>
      </c>
      <c r="V887" s="28">
        <f>V878*_xlfn.XLOOKUP($L887,'Balizador da Meta'!$B$4:$B$21,'Balizador da Meta'!$C$4:$C$21)</f>
        <v>12</v>
      </c>
      <c r="W887" s="28">
        <f>W878*_xlfn.XLOOKUP($L887,'Balizador da Meta'!$B$4:$B$21,'Balizador da Meta'!$C$4:$C$21)</f>
        <v>12</v>
      </c>
      <c r="X887" s="28">
        <f>X878*_xlfn.XLOOKUP($L887,'Balizador da Meta'!$B$4:$B$21,'Balizador da Meta'!$C$4:$C$21)</f>
        <v>12</v>
      </c>
      <c r="Y887" s="28">
        <f>Y878*_xlfn.XLOOKUP($L887,'Balizador da Meta'!$B$4:$B$21,'Balizador da Meta'!$C$4:$C$21)</f>
        <v>12</v>
      </c>
      <c r="Z887" s="30">
        <f t="shared" si="210"/>
        <v>144</v>
      </c>
      <c r="AA887" s="29"/>
      <c r="AB887" s="31">
        <f>SUMIFS('Historico - FAT'!AK:AK,'Historico - FAT'!$K:$K,Faturamento!$L887,'Historico - FAT'!$I:$I,Faturamento!$J887,'Historico - FAT'!$G:$G,Faturamento!$H887)</f>
        <v>0</v>
      </c>
      <c r="AC887" s="31">
        <f>SUMIFS('Historico - FAT'!AL:AL,'Historico - FAT'!$K:$K,Faturamento!$L887,'Historico - FAT'!$I:$I,Faturamento!$J887,'Historico - FAT'!$G:$G,Faturamento!$H887)</f>
        <v>0</v>
      </c>
      <c r="AD887" s="31">
        <f>SUMIFS('Historico - FAT'!AM:AM,'Historico - FAT'!$K:$K,Faturamento!$L887,'Historico - FAT'!$I:$I,Faturamento!$J887,'Historico - FAT'!$G:$G,Faturamento!$H887)</f>
        <v>0</v>
      </c>
      <c r="AE887" s="27">
        <f>SUMIFS('Historico - FAT'!AN:AN,'Historico - FAT'!$K:$K,Faturamento!$L887,'Historico - FAT'!$I:$I,Faturamento!$J887,'Historico - FAT'!$G:$G,Faturamento!$H887)</f>
        <v>0</v>
      </c>
      <c r="AG887" s="24">
        <f t="shared" si="212"/>
        <v>1</v>
      </c>
      <c r="AH887" s="24">
        <f t="shared" si="213"/>
        <v>1</v>
      </c>
      <c r="AI887" s="24">
        <f t="shared" si="214"/>
        <v>1</v>
      </c>
    </row>
    <row r="888" spans="1:35" hidden="1" x14ac:dyDescent="0.3">
      <c r="A888" s="2" t="str">
        <f t="shared" si="211"/>
        <v>NÃO</v>
      </c>
      <c r="B888" s="2">
        <v>1000184670</v>
      </c>
      <c r="C888" s="2" t="s">
        <v>147</v>
      </c>
      <c r="D888" s="4">
        <v>1000186197</v>
      </c>
      <c r="E888" s="4" t="s">
        <v>166</v>
      </c>
      <c r="F888" s="2">
        <v>1000184757</v>
      </c>
      <c r="G888" s="2" t="s">
        <v>62</v>
      </c>
      <c r="H888" s="4">
        <v>1000189791</v>
      </c>
      <c r="I888" s="4" t="s">
        <v>78</v>
      </c>
      <c r="J888" s="2">
        <v>1000189270</v>
      </c>
      <c r="K888" s="2" t="s">
        <v>34</v>
      </c>
      <c r="L888" s="4" t="s">
        <v>29</v>
      </c>
      <c r="M888" s="4" t="str">
        <f t="shared" si="201"/>
        <v>1000184670100018619710001897911000189270MAIS GRANEL</v>
      </c>
      <c r="N888" s="28">
        <f>N878*_xlfn.XLOOKUP($L888,'Balizador da Meta'!$B$4:$B$21,'Balizador da Meta'!$C$4:$C$21)</f>
        <v>384</v>
      </c>
      <c r="O888" s="28">
        <f>O878*_xlfn.XLOOKUP($L888,'Balizador da Meta'!$B$4:$B$21,'Balizador da Meta'!$C$4:$C$21)</f>
        <v>384</v>
      </c>
      <c r="P888" s="28">
        <f>P878*_xlfn.XLOOKUP($L888,'Balizador da Meta'!$B$4:$B$21,'Balizador da Meta'!$C$4:$C$21)</f>
        <v>384</v>
      </c>
      <c r="Q888" s="28">
        <f>Q878*_xlfn.XLOOKUP($L888,'Balizador da Meta'!$B$4:$B$21,'Balizador da Meta'!$C$4:$C$21)</f>
        <v>384</v>
      </c>
      <c r="R888" s="28">
        <f>R878*_xlfn.XLOOKUP($L888,'Balizador da Meta'!$B$4:$B$21,'Balizador da Meta'!$C$4:$C$21)</f>
        <v>384</v>
      </c>
      <c r="S888" s="28">
        <f>S878*_xlfn.XLOOKUP($L888,'Balizador da Meta'!$B$4:$B$21,'Balizador da Meta'!$C$4:$C$21)</f>
        <v>384</v>
      </c>
      <c r="T888" s="28">
        <f>T878*_xlfn.XLOOKUP($L888,'Balizador da Meta'!$B$4:$B$21,'Balizador da Meta'!$C$4:$C$21)</f>
        <v>384</v>
      </c>
      <c r="U888" s="28">
        <f>U878*_xlfn.XLOOKUP($L888,'Balizador da Meta'!$B$4:$B$21,'Balizador da Meta'!$C$4:$C$21)</f>
        <v>384</v>
      </c>
      <c r="V888" s="28">
        <f>V878*_xlfn.XLOOKUP($L888,'Balizador da Meta'!$B$4:$B$21,'Balizador da Meta'!$C$4:$C$21)</f>
        <v>384</v>
      </c>
      <c r="W888" s="28">
        <f>W878*_xlfn.XLOOKUP($L888,'Balizador da Meta'!$B$4:$B$21,'Balizador da Meta'!$C$4:$C$21)</f>
        <v>384</v>
      </c>
      <c r="X888" s="28">
        <f>X878*_xlfn.XLOOKUP($L888,'Balizador da Meta'!$B$4:$B$21,'Balizador da Meta'!$C$4:$C$21)</f>
        <v>384</v>
      </c>
      <c r="Y888" s="28">
        <f>Y878*_xlfn.XLOOKUP($L888,'Balizador da Meta'!$B$4:$B$21,'Balizador da Meta'!$C$4:$C$21)</f>
        <v>384</v>
      </c>
      <c r="Z888" s="30">
        <f t="shared" si="210"/>
        <v>4608</v>
      </c>
      <c r="AA888" s="29"/>
      <c r="AB888" s="31">
        <f>SUMIFS('Historico - FAT'!AK:AK,'Historico - FAT'!$K:$K,Faturamento!$L888,'Historico - FAT'!$I:$I,Faturamento!$J888,'Historico - FAT'!$G:$G,Faturamento!$H888)</f>
        <v>0</v>
      </c>
      <c r="AC888" s="31">
        <f>SUMIFS('Historico - FAT'!AL:AL,'Historico - FAT'!$K:$K,Faturamento!$L888,'Historico - FAT'!$I:$I,Faturamento!$J888,'Historico - FAT'!$G:$G,Faturamento!$H888)</f>
        <v>247.5</v>
      </c>
      <c r="AD888" s="31">
        <f>SUMIFS('Historico - FAT'!AM:AM,'Historico - FAT'!$K:$K,Faturamento!$L888,'Historico - FAT'!$I:$I,Faturamento!$J888,'Historico - FAT'!$G:$G,Faturamento!$H888)</f>
        <v>495</v>
      </c>
      <c r="AE888" s="27">
        <f>SUMIFS('Historico - FAT'!AN:AN,'Historico - FAT'!$K:$K,Faturamento!$L888,'Historico - FAT'!$I:$I,Faturamento!$J888,'Historico - FAT'!$G:$G,Faturamento!$H888)</f>
        <v>297</v>
      </c>
      <c r="AG888" s="24">
        <f t="shared" si="212"/>
        <v>1</v>
      </c>
      <c r="AH888" s="24">
        <f t="shared" si="213"/>
        <v>0.35546875</v>
      </c>
      <c r="AI888" s="24">
        <f t="shared" si="214"/>
        <v>-0.2890625</v>
      </c>
    </row>
    <row r="889" spans="1:35" hidden="1" x14ac:dyDescent="0.3">
      <c r="A889" s="2" t="str">
        <f t="shared" si="211"/>
        <v>NÃO</v>
      </c>
      <c r="B889" s="2">
        <v>1000184670</v>
      </c>
      <c r="C889" s="2" t="s">
        <v>147</v>
      </c>
      <c r="D889" s="4">
        <v>1000186197</v>
      </c>
      <c r="E889" s="4" t="s">
        <v>166</v>
      </c>
      <c r="F889" s="2">
        <v>1000184757</v>
      </c>
      <c r="G889" s="2" t="s">
        <v>62</v>
      </c>
      <c r="H889" s="4">
        <v>1000189791</v>
      </c>
      <c r="I889" s="4" t="s">
        <v>78</v>
      </c>
      <c r="J889" s="2">
        <v>1000189270</v>
      </c>
      <c r="K889" s="2" t="s">
        <v>34</v>
      </c>
      <c r="L889" s="4" t="s">
        <v>21</v>
      </c>
      <c r="M889" s="4" t="str">
        <f t="shared" si="201"/>
        <v>1000184670100018619710001897911000189270NATURATTA</v>
      </c>
      <c r="N889" s="28">
        <f>N878*_xlfn.XLOOKUP($L889,'Balizador da Meta'!$B$4:$B$21,'Balizador da Meta'!$C$4:$C$21)</f>
        <v>60</v>
      </c>
      <c r="O889" s="28">
        <f>O878*_xlfn.XLOOKUP($L889,'Balizador da Meta'!$B$4:$B$21,'Balizador da Meta'!$C$4:$C$21)</f>
        <v>60</v>
      </c>
      <c r="P889" s="28">
        <f>P878*_xlfn.XLOOKUP($L889,'Balizador da Meta'!$B$4:$B$21,'Balizador da Meta'!$C$4:$C$21)</f>
        <v>60</v>
      </c>
      <c r="Q889" s="28">
        <f>Q878*_xlfn.XLOOKUP($L889,'Balizador da Meta'!$B$4:$B$21,'Balizador da Meta'!$C$4:$C$21)</f>
        <v>60</v>
      </c>
      <c r="R889" s="28">
        <f>R878*_xlfn.XLOOKUP($L889,'Balizador da Meta'!$B$4:$B$21,'Balizador da Meta'!$C$4:$C$21)</f>
        <v>60</v>
      </c>
      <c r="S889" s="28">
        <f>S878*_xlfn.XLOOKUP($L889,'Balizador da Meta'!$B$4:$B$21,'Balizador da Meta'!$C$4:$C$21)</f>
        <v>60</v>
      </c>
      <c r="T889" s="28">
        <f>T878*_xlfn.XLOOKUP($L889,'Balizador da Meta'!$B$4:$B$21,'Balizador da Meta'!$C$4:$C$21)</f>
        <v>60</v>
      </c>
      <c r="U889" s="28">
        <f>U878*_xlfn.XLOOKUP($L889,'Balizador da Meta'!$B$4:$B$21,'Balizador da Meta'!$C$4:$C$21)</f>
        <v>60</v>
      </c>
      <c r="V889" s="28">
        <f>V878*_xlfn.XLOOKUP($L889,'Balizador da Meta'!$B$4:$B$21,'Balizador da Meta'!$C$4:$C$21)</f>
        <v>60</v>
      </c>
      <c r="W889" s="28">
        <f>W878*_xlfn.XLOOKUP($L889,'Balizador da Meta'!$B$4:$B$21,'Balizador da Meta'!$C$4:$C$21)</f>
        <v>60</v>
      </c>
      <c r="X889" s="28">
        <f>X878*_xlfn.XLOOKUP($L889,'Balizador da Meta'!$B$4:$B$21,'Balizador da Meta'!$C$4:$C$21)</f>
        <v>60</v>
      </c>
      <c r="Y889" s="28">
        <f>Y878*_xlfn.XLOOKUP($L889,'Balizador da Meta'!$B$4:$B$21,'Balizador da Meta'!$C$4:$C$21)</f>
        <v>60</v>
      </c>
      <c r="Z889" s="30">
        <f t="shared" si="210"/>
        <v>720</v>
      </c>
      <c r="AA889" s="29"/>
      <c r="AB889" s="31">
        <f>SUMIFS('Historico - FAT'!AK:AK,'Historico - FAT'!$K:$K,Faturamento!$L889,'Historico - FAT'!$I:$I,Faturamento!$J889,'Historico - FAT'!$G:$G,Faturamento!$H889)</f>
        <v>0</v>
      </c>
      <c r="AC889" s="31">
        <f>SUMIFS('Historico - FAT'!AL:AL,'Historico - FAT'!$K:$K,Faturamento!$L889,'Historico - FAT'!$I:$I,Faturamento!$J889,'Historico - FAT'!$G:$G,Faturamento!$H889)</f>
        <v>9.7650000000000006</v>
      </c>
      <c r="AD889" s="31">
        <f>SUMIFS('Historico - FAT'!AM:AM,'Historico - FAT'!$K:$K,Faturamento!$L889,'Historico - FAT'!$I:$I,Faturamento!$J889,'Historico - FAT'!$G:$G,Faturamento!$H889)</f>
        <v>19.53</v>
      </c>
      <c r="AE889" s="27">
        <f>SUMIFS('Historico - FAT'!AN:AN,'Historico - FAT'!$K:$K,Faturamento!$L889,'Historico - FAT'!$I:$I,Faturamento!$J889,'Historico - FAT'!$G:$G,Faturamento!$H889)</f>
        <v>11.718</v>
      </c>
      <c r="AG889" s="24">
        <f t="shared" si="212"/>
        <v>1</v>
      </c>
      <c r="AH889" s="24">
        <f t="shared" si="213"/>
        <v>0.83724999999999994</v>
      </c>
      <c r="AI889" s="24">
        <f t="shared" si="214"/>
        <v>0.67449999999999999</v>
      </c>
    </row>
    <row r="890" spans="1:35" hidden="1" x14ac:dyDescent="0.3">
      <c r="A890" s="2" t="str">
        <f t="shared" si="211"/>
        <v>NÃO</v>
      </c>
      <c r="B890" s="2">
        <v>1000184670</v>
      </c>
      <c r="C890" s="2" t="s">
        <v>147</v>
      </c>
      <c r="D890" s="4">
        <v>1000186197</v>
      </c>
      <c r="E890" s="4" t="s">
        <v>166</v>
      </c>
      <c r="F890" s="2">
        <v>1000184757</v>
      </c>
      <c r="G890" s="2" t="s">
        <v>62</v>
      </c>
      <c r="H890" s="4">
        <v>1000189791</v>
      </c>
      <c r="I890" s="4" t="s">
        <v>78</v>
      </c>
      <c r="J890" s="2">
        <v>1000189270</v>
      </c>
      <c r="K890" s="2" t="s">
        <v>34</v>
      </c>
      <c r="L890" s="4" t="s">
        <v>20</v>
      </c>
      <c r="M890" s="4" t="str">
        <f t="shared" si="201"/>
        <v>1000184670100018619710001897911000189270REEMBALADOS</v>
      </c>
      <c r="N890" s="28">
        <f>N878*_xlfn.XLOOKUP($L890,'Balizador da Meta'!$B$4:$B$21,'Balizador da Meta'!$C$4:$C$21)</f>
        <v>48</v>
      </c>
      <c r="O890" s="28">
        <f>O878*_xlfn.XLOOKUP($L890,'Balizador da Meta'!$B$4:$B$21,'Balizador da Meta'!$C$4:$C$21)</f>
        <v>48</v>
      </c>
      <c r="P890" s="28">
        <f>P878*_xlfn.XLOOKUP($L890,'Balizador da Meta'!$B$4:$B$21,'Balizador da Meta'!$C$4:$C$21)</f>
        <v>48</v>
      </c>
      <c r="Q890" s="28">
        <f>Q878*_xlfn.XLOOKUP($L890,'Balizador da Meta'!$B$4:$B$21,'Balizador da Meta'!$C$4:$C$21)</f>
        <v>48</v>
      </c>
      <c r="R890" s="28">
        <f>R878*_xlfn.XLOOKUP($L890,'Balizador da Meta'!$B$4:$B$21,'Balizador da Meta'!$C$4:$C$21)</f>
        <v>48</v>
      </c>
      <c r="S890" s="28">
        <f>S878*_xlfn.XLOOKUP($L890,'Balizador da Meta'!$B$4:$B$21,'Balizador da Meta'!$C$4:$C$21)</f>
        <v>48</v>
      </c>
      <c r="T890" s="28">
        <f>T878*_xlfn.XLOOKUP($L890,'Balizador da Meta'!$B$4:$B$21,'Balizador da Meta'!$C$4:$C$21)</f>
        <v>48</v>
      </c>
      <c r="U890" s="28">
        <f>U878*_xlfn.XLOOKUP($L890,'Balizador da Meta'!$B$4:$B$21,'Balizador da Meta'!$C$4:$C$21)</f>
        <v>48</v>
      </c>
      <c r="V890" s="28">
        <f>V878*_xlfn.XLOOKUP($L890,'Balizador da Meta'!$B$4:$B$21,'Balizador da Meta'!$C$4:$C$21)</f>
        <v>48</v>
      </c>
      <c r="W890" s="28">
        <f>W878*_xlfn.XLOOKUP($L890,'Balizador da Meta'!$B$4:$B$21,'Balizador da Meta'!$C$4:$C$21)</f>
        <v>48</v>
      </c>
      <c r="X890" s="28">
        <f>X878*_xlfn.XLOOKUP($L890,'Balizador da Meta'!$B$4:$B$21,'Balizador da Meta'!$C$4:$C$21)</f>
        <v>48</v>
      </c>
      <c r="Y890" s="28">
        <f>Y878*_xlfn.XLOOKUP($L890,'Balizador da Meta'!$B$4:$B$21,'Balizador da Meta'!$C$4:$C$21)</f>
        <v>48</v>
      </c>
      <c r="Z890" s="30">
        <f t="shared" si="210"/>
        <v>576</v>
      </c>
      <c r="AA890" s="29"/>
      <c r="AB890" s="31">
        <f>SUMIFS('Historico - FAT'!AK:AK,'Historico - FAT'!$K:$K,Faturamento!$L890,'Historico - FAT'!$I:$I,Faturamento!$J890,'Historico - FAT'!$G:$G,Faturamento!$H890)</f>
        <v>0</v>
      </c>
      <c r="AC890" s="31">
        <f>SUMIFS('Historico - FAT'!AL:AL,'Historico - FAT'!$K:$K,Faturamento!$L890,'Historico - FAT'!$I:$I,Faturamento!$J890,'Historico - FAT'!$G:$G,Faturamento!$H890)</f>
        <v>12.188333333333333</v>
      </c>
      <c r="AD890" s="31">
        <f>SUMIFS('Historico - FAT'!AM:AM,'Historico - FAT'!$K:$K,Faturamento!$L890,'Historico - FAT'!$I:$I,Faturamento!$J890,'Historico - FAT'!$G:$G,Faturamento!$H890)</f>
        <v>24.376666666666665</v>
      </c>
      <c r="AE890" s="27">
        <f>SUMIFS('Historico - FAT'!AN:AN,'Historico - FAT'!$K:$K,Faturamento!$L890,'Historico - FAT'!$I:$I,Faturamento!$J890,'Historico - FAT'!$G:$G,Faturamento!$H890)</f>
        <v>14.625999999999999</v>
      </c>
      <c r="AG890" s="24">
        <f t="shared" si="212"/>
        <v>1</v>
      </c>
      <c r="AH890" s="24">
        <f t="shared" si="213"/>
        <v>0.74607638888888894</v>
      </c>
      <c r="AI890" s="24">
        <f t="shared" si="214"/>
        <v>0.49215277777777783</v>
      </c>
    </row>
    <row r="891" spans="1:35" hidden="1" x14ac:dyDescent="0.3">
      <c r="A891" s="2" t="str">
        <f t="shared" si="211"/>
        <v>NÃO</v>
      </c>
      <c r="B891" s="2">
        <v>1000184670</v>
      </c>
      <c r="C891" s="2" t="s">
        <v>147</v>
      </c>
      <c r="D891" s="4">
        <v>1000186197</v>
      </c>
      <c r="E891" s="4" t="s">
        <v>166</v>
      </c>
      <c r="F891" s="2">
        <v>1000184757</v>
      </c>
      <c r="G891" s="2" t="s">
        <v>62</v>
      </c>
      <c r="H891" s="4">
        <v>1000189791</v>
      </c>
      <c r="I891" s="4" t="s">
        <v>78</v>
      </c>
      <c r="J891" s="2">
        <v>1000189270</v>
      </c>
      <c r="K891" s="2" t="s">
        <v>34</v>
      </c>
      <c r="L891" s="4" t="s">
        <v>22</v>
      </c>
      <c r="M891" s="4" t="str">
        <f t="shared" si="201"/>
        <v>1000184670100018619710001897911000189270S GLUTEN</v>
      </c>
      <c r="N891" s="28">
        <f>N878*_xlfn.XLOOKUP($L891,'Balizador da Meta'!$B$4:$B$21,'Balizador da Meta'!$C$4:$C$21)</f>
        <v>48</v>
      </c>
      <c r="O891" s="28">
        <f>O878*_xlfn.XLOOKUP($L891,'Balizador da Meta'!$B$4:$B$21,'Balizador da Meta'!$C$4:$C$21)</f>
        <v>48</v>
      </c>
      <c r="P891" s="28">
        <f>P878*_xlfn.XLOOKUP($L891,'Balizador da Meta'!$B$4:$B$21,'Balizador da Meta'!$C$4:$C$21)</f>
        <v>48</v>
      </c>
      <c r="Q891" s="28">
        <f>Q878*_xlfn.XLOOKUP($L891,'Balizador da Meta'!$B$4:$B$21,'Balizador da Meta'!$C$4:$C$21)</f>
        <v>48</v>
      </c>
      <c r="R891" s="28">
        <f>R878*_xlfn.XLOOKUP($L891,'Balizador da Meta'!$B$4:$B$21,'Balizador da Meta'!$C$4:$C$21)</f>
        <v>48</v>
      </c>
      <c r="S891" s="28">
        <f>S878*_xlfn.XLOOKUP($L891,'Balizador da Meta'!$B$4:$B$21,'Balizador da Meta'!$C$4:$C$21)</f>
        <v>48</v>
      </c>
      <c r="T891" s="28">
        <f>T878*_xlfn.XLOOKUP($L891,'Balizador da Meta'!$B$4:$B$21,'Balizador da Meta'!$C$4:$C$21)</f>
        <v>48</v>
      </c>
      <c r="U891" s="28">
        <f>U878*_xlfn.XLOOKUP($L891,'Balizador da Meta'!$B$4:$B$21,'Balizador da Meta'!$C$4:$C$21)</f>
        <v>48</v>
      </c>
      <c r="V891" s="28">
        <f>V878*_xlfn.XLOOKUP($L891,'Balizador da Meta'!$B$4:$B$21,'Balizador da Meta'!$C$4:$C$21)</f>
        <v>48</v>
      </c>
      <c r="W891" s="28">
        <f>W878*_xlfn.XLOOKUP($L891,'Balizador da Meta'!$B$4:$B$21,'Balizador da Meta'!$C$4:$C$21)</f>
        <v>48</v>
      </c>
      <c r="X891" s="28">
        <f>X878*_xlfn.XLOOKUP($L891,'Balizador da Meta'!$B$4:$B$21,'Balizador da Meta'!$C$4:$C$21)</f>
        <v>48</v>
      </c>
      <c r="Y891" s="28">
        <f>Y878*_xlfn.XLOOKUP($L891,'Balizador da Meta'!$B$4:$B$21,'Balizador da Meta'!$C$4:$C$21)</f>
        <v>48</v>
      </c>
      <c r="Z891" s="30">
        <f t="shared" si="210"/>
        <v>576</v>
      </c>
      <c r="AA891" s="29"/>
      <c r="AB891" s="31">
        <f>SUMIFS('Historico - FAT'!AK:AK,'Historico - FAT'!$K:$K,Faturamento!$L891,'Historico - FAT'!$I:$I,Faturamento!$J891,'Historico - FAT'!$G:$G,Faturamento!$H891)</f>
        <v>0</v>
      </c>
      <c r="AC891" s="31">
        <f>SUMIFS('Historico - FAT'!AL:AL,'Historico - FAT'!$K:$K,Faturamento!$L891,'Historico - FAT'!$I:$I,Faturamento!$J891,'Historico - FAT'!$G:$G,Faturamento!$H891)</f>
        <v>53.899166666666666</v>
      </c>
      <c r="AD891" s="31">
        <f>SUMIFS('Historico - FAT'!AM:AM,'Historico - FAT'!$K:$K,Faturamento!$L891,'Historico - FAT'!$I:$I,Faturamento!$J891,'Historico - FAT'!$G:$G,Faturamento!$H891)</f>
        <v>107.79833333333333</v>
      </c>
      <c r="AE891" s="27">
        <f>SUMIFS('Historico - FAT'!AN:AN,'Historico - FAT'!$K:$K,Faturamento!$L891,'Historico - FAT'!$I:$I,Faturamento!$J891,'Historico - FAT'!$G:$G,Faturamento!$H891)</f>
        <v>64.679000000000002</v>
      </c>
      <c r="AG891" s="24">
        <f t="shared" si="212"/>
        <v>1</v>
      </c>
      <c r="AH891" s="24">
        <f t="shared" si="213"/>
        <v>-0.12289930555555555</v>
      </c>
      <c r="AI891" s="24">
        <f t="shared" si="214"/>
        <v>-1.245798611111111</v>
      </c>
    </row>
    <row r="892" spans="1:35" hidden="1" x14ac:dyDescent="0.3">
      <c r="A892" s="2" t="str">
        <f t="shared" si="211"/>
        <v>NÃO</v>
      </c>
      <c r="B892" s="2">
        <v>1000184670</v>
      </c>
      <c r="C892" s="2" t="s">
        <v>147</v>
      </c>
      <c r="D892" s="4">
        <v>1000186197</v>
      </c>
      <c r="E892" s="4" t="s">
        <v>166</v>
      </c>
      <c r="F892" s="2">
        <v>1000184757</v>
      </c>
      <c r="G892" s="2" t="s">
        <v>62</v>
      </c>
      <c r="H892" s="4">
        <v>1000189791</v>
      </c>
      <c r="I892" s="4" t="s">
        <v>78</v>
      </c>
      <c r="J892" s="2">
        <v>1000189270</v>
      </c>
      <c r="K892" s="2" t="s">
        <v>34</v>
      </c>
      <c r="L892" s="4" t="s">
        <v>23</v>
      </c>
      <c r="M892" s="4" t="str">
        <f t="shared" si="201"/>
        <v>1000184670100018619710001897911000189270SABORES DO CAMPO</v>
      </c>
      <c r="N892" s="28">
        <f>N878*_xlfn.XLOOKUP($L892,'Balizador da Meta'!$B$4:$B$21,'Balizador da Meta'!$C$4:$C$21)</f>
        <v>0</v>
      </c>
      <c r="O892" s="28">
        <f>O878*_xlfn.XLOOKUP($L892,'Balizador da Meta'!$B$4:$B$21,'Balizador da Meta'!$C$4:$C$21)</f>
        <v>0</v>
      </c>
      <c r="P892" s="28">
        <f>P878*_xlfn.XLOOKUP($L892,'Balizador da Meta'!$B$4:$B$21,'Balizador da Meta'!$C$4:$C$21)</f>
        <v>0</v>
      </c>
      <c r="Q892" s="28">
        <f>Q878*_xlfn.XLOOKUP($L892,'Balizador da Meta'!$B$4:$B$21,'Balizador da Meta'!$C$4:$C$21)</f>
        <v>0</v>
      </c>
      <c r="R892" s="28">
        <f>R878*_xlfn.XLOOKUP($L892,'Balizador da Meta'!$B$4:$B$21,'Balizador da Meta'!$C$4:$C$21)</f>
        <v>0</v>
      </c>
      <c r="S892" s="28">
        <f>S878*_xlfn.XLOOKUP($L892,'Balizador da Meta'!$B$4:$B$21,'Balizador da Meta'!$C$4:$C$21)</f>
        <v>0</v>
      </c>
      <c r="T892" s="28">
        <f>T878*_xlfn.XLOOKUP($L892,'Balizador da Meta'!$B$4:$B$21,'Balizador da Meta'!$C$4:$C$21)</f>
        <v>0</v>
      </c>
      <c r="U892" s="28">
        <f>U878*_xlfn.XLOOKUP($L892,'Balizador da Meta'!$B$4:$B$21,'Balizador da Meta'!$C$4:$C$21)</f>
        <v>0</v>
      </c>
      <c r="V892" s="28">
        <f>V878*_xlfn.XLOOKUP($L892,'Balizador da Meta'!$B$4:$B$21,'Balizador da Meta'!$C$4:$C$21)</f>
        <v>0</v>
      </c>
      <c r="W892" s="28">
        <f>W878*_xlfn.XLOOKUP($L892,'Balizador da Meta'!$B$4:$B$21,'Balizador da Meta'!$C$4:$C$21)</f>
        <v>0</v>
      </c>
      <c r="X892" s="28">
        <f>X878*_xlfn.XLOOKUP($L892,'Balizador da Meta'!$B$4:$B$21,'Balizador da Meta'!$C$4:$C$21)</f>
        <v>0</v>
      </c>
      <c r="Y892" s="28">
        <f>Y878*_xlfn.XLOOKUP($L892,'Balizador da Meta'!$B$4:$B$21,'Balizador da Meta'!$C$4:$C$21)</f>
        <v>0</v>
      </c>
      <c r="Z892" s="30">
        <f t="shared" si="210"/>
        <v>0</v>
      </c>
      <c r="AA892" s="29"/>
      <c r="AB892" s="31">
        <f>SUMIFS('Historico - FAT'!AK:AK,'Historico - FAT'!$K:$K,Faturamento!$L892,'Historico - FAT'!$I:$I,Faturamento!$J892,'Historico - FAT'!$G:$G,Faturamento!$H892)</f>
        <v>0</v>
      </c>
      <c r="AC892" s="31">
        <f>SUMIFS('Historico - FAT'!AL:AL,'Historico - FAT'!$K:$K,Faturamento!$L892,'Historico - FAT'!$I:$I,Faturamento!$J892,'Historico - FAT'!$G:$G,Faturamento!$H892)</f>
        <v>4.6166666666666663</v>
      </c>
      <c r="AD892" s="31">
        <f>SUMIFS('Historico - FAT'!AM:AM,'Historico - FAT'!$K:$K,Faturamento!$L892,'Historico - FAT'!$I:$I,Faturamento!$J892,'Historico - FAT'!$G:$G,Faturamento!$H892)</f>
        <v>9.2333333333333325</v>
      </c>
      <c r="AE892" s="27">
        <f>SUMIFS('Historico - FAT'!AN:AN,'Historico - FAT'!$K:$K,Faturamento!$L892,'Historico - FAT'!$I:$I,Faturamento!$J892,'Historico - FAT'!$G:$G,Faturamento!$H892)</f>
        <v>5.54</v>
      </c>
      <c r="AG892" s="24" t="str">
        <f t="shared" si="212"/>
        <v/>
      </c>
      <c r="AH892" s="24" t="str">
        <f t="shared" si="213"/>
        <v/>
      </c>
      <c r="AI892" s="24" t="str">
        <f t="shared" si="214"/>
        <v/>
      </c>
    </row>
    <row r="893" spans="1:35" hidden="1" x14ac:dyDescent="0.3">
      <c r="A893" s="2" t="str">
        <f t="shared" si="211"/>
        <v>NÃO</v>
      </c>
      <c r="B893" s="2">
        <v>1000184670</v>
      </c>
      <c r="C893" s="2" t="s">
        <v>147</v>
      </c>
      <c r="D893" s="4">
        <v>1000186197</v>
      </c>
      <c r="E893" s="4" t="s">
        <v>166</v>
      </c>
      <c r="F893" s="2">
        <v>1000184757</v>
      </c>
      <c r="G893" s="2" t="s">
        <v>62</v>
      </c>
      <c r="H893" s="4">
        <v>1000189791</v>
      </c>
      <c r="I893" s="4" t="s">
        <v>78</v>
      </c>
      <c r="J893" s="2">
        <v>1000189270</v>
      </c>
      <c r="K893" s="2" t="s">
        <v>34</v>
      </c>
      <c r="L893" s="4" t="s">
        <v>28</v>
      </c>
      <c r="M893" s="4" t="str">
        <f t="shared" si="201"/>
        <v>1000184670100018619710001897911000189270SAL</v>
      </c>
      <c r="N893" s="28">
        <f>N878*_xlfn.XLOOKUP($L893,'Balizador da Meta'!$B$4:$B$21,'Balizador da Meta'!$C$4:$C$21)</f>
        <v>24</v>
      </c>
      <c r="O893" s="28">
        <f>O878*_xlfn.XLOOKUP($L893,'Balizador da Meta'!$B$4:$B$21,'Balizador da Meta'!$C$4:$C$21)</f>
        <v>24</v>
      </c>
      <c r="P893" s="28">
        <f>P878*_xlfn.XLOOKUP($L893,'Balizador da Meta'!$B$4:$B$21,'Balizador da Meta'!$C$4:$C$21)</f>
        <v>24</v>
      </c>
      <c r="Q893" s="28">
        <f>Q878*_xlfn.XLOOKUP($L893,'Balizador da Meta'!$B$4:$B$21,'Balizador da Meta'!$C$4:$C$21)</f>
        <v>24</v>
      </c>
      <c r="R893" s="28">
        <f>R878*_xlfn.XLOOKUP($L893,'Balizador da Meta'!$B$4:$B$21,'Balizador da Meta'!$C$4:$C$21)</f>
        <v>24</v>
      </c>
      <c r="S893" s="28">
        <f>S878*_xlfn.XLOOKUP($L893,'Balizador da Meta'!$B$4:$B$21,'Balizador da Meta'!$C$4:$C$21)</f>
        <v>24</v>
      </c>
      <c r="T893" s="28">
        <f>T878*_xlfn.XLOOKUP($L893,'Balizador da Meta'!$B$4:$B$21,'Balizador da Meta'!$C$4:$C$21)</f>
        <v>24</v>
      </c>
      <c r="U893" s="28">
        <f>U878*_xlfn.XLOOKUP($L893,'Balizador da Meta'!$B$4:$B$21,'Balizador da Meta'!$C$4:$C$21)</f>
        <v>24</v>
      </c>
      <c r="V893" s="28">
        <f>V878*_xlfn.XLOOKUP($L893,'Balizador da Meta'!$B$4:$B$21,'Balizador da Meta'!$C$4:$C$21)</f>
        <v>24</v>
      </c>
      <c r="W893" s="28">
        <f>W878*_xlfn.XLOOKUP($L893,'Balizador da Meta'!$B$4:$B$21,'Balizador da Meta'!$C$4:$C$21)</f>
        <v>24</v>
      </c>
      <c r="X893" s="28">
        <f>X878*_xlfn.XLOOKUP($L893,'Balizador da Meta'!$B$4:$B$21,'Balizador da Meta'!$C$4:$C$21)</f>
        <v>24</v>
      </c>
      <c r="Y893" s="28">
        <f>Y878*_xlfn.XLOOKUP($L893,'Balizador da Meta'!$B$4:$B$21,'Balizador da Meta'!$C$4:$C$21)</f>
        <v>24</v>
      </c>
      <c r="Z893" s="30">
        <f t="shared" si="210"/>
        <v>288</v>
      </c>
      <c r="AA893" s="29"/>
      <c r="AB893" s="31">
        <f>SUMIFS('Historico - FAT'!AK:AK,'Historico - FAT'!$K:$K,Faturamento!$L893,'Historico - FAT'!$I:$I,Faturamento!$J893,'Historico - FAT'!$G:$G,Faturamento!$H893)</f>
        <v>0</v>
      </c>
      <c r="AC893" s="31">
        <f>SUMIFS('Historico - FAT'!AL:AL,'Historico - FAT'!$K:$K,Faturamento!$L893,'Historico - FAT'!$I:$I,Faturamento!$J893,'Historico - FAT'!$G:$G,Faturamento!$H893)</f>
        <v>0</v>
      </c>
      <c r="AD893" s="31">
        <f>SUMIFS('Historico - FAT'!AM:AM,'Historico - FAT'!$K:$K,Faturamento!$L893,'Historico - FAT'!$I:$I,Faturamento!$J893,'Historico - FAT'!$G:$G,Faturamento!$H893)</f>
        <v>0</v>
      </c>
      <c r="AE893" s="27">
        <f>SUMIFS('Historico - FAT'!AN:AN,'Historico - FAT'!$K:$K,Faturamento!$L893,'Historico - FAT'!$I:$I,Faturamento!$J893,'Historico - FAT'!$G:$G,Faturamento!$H893)</f>
        <v>0</v>
      </c>
      <c r="AG893" s="24">
        <f t="shared" si="212"/>
        <v>1</v>
      </c>
      <c r="AH893" s="24">
        <f t="shared" si="213"/>
        <v>1</v>
      </c>
      <c r="AI893" s="24">
        <f t="shared" si="214"/>
        <v>1</v>
      </c>
    </row>
    <row r="894" spans="1:35" hidden="1" x14ac:dyDescent="0.3">
      <c r="A894" s="2" t="str">
        <f t="shared" si="211"/>
        <v>NÃO</v>
      </c>
      <c r="B894" s="2">
        <v>1000184670</v>
      </c>
      <c r="C894" s="2" t="s">
        <v>147</v>
      </c>
      <c r="D894" s="4">
        <v>1000186197</v>
      </c>
      <c r="E894" s="4" t="s">
        <v>166</v>
      </c>
      <c r="F894" s="2">
        <v>1000184757</v>
      </c>
      <c r="G894" s="2" t="s">
        <v>62</v>
      </c>
      <c r="H894" s="4">
        <v>1000189791</v>
      </c>
      <c r="I894" s="4" t="s">
        <v>78</v>
      </c>
      <c r="J894" s="2">
        <v>1000189270</v>
      </c>
      <c r="K894" s="2" t="s">
        <v>34</v>
      </c>
      <c r="L894" s="4" t="s">
        <v>26</v>
      </c>
      <c r="M894" s="4" t="str">
        <f t="shared" si="201"/>
        <v>1000184670100018619710001897911000189270SOULPRO</v>
      </c>
      <c r="N894" s="28">
        <f>N878*_xlfn.XLOOKUP($L894,'Balizador da Meta'!$B$4:$B$21,'Balizador da Meta'!$C$4:$C$21)</f>
        <v>72</v>
      </c>
      <c r="O894" s="28">
        <f>O878*_xlfn.XLOOKUP($L894,'Balizador da Meta'!$B$4:$B$21,'Balizador da Meta'!$C$4:$C$21)</f>
        <v>72</v>
      </c>
      <c r="P894" s="28">
        <f>P878*_xlfn.XLOOKUP($L894,'Balizador da Meta'!$B$4:$B$21,'Balizador da Meta'!$C$4:$C$21)</f>
        <v>72</v>
      </c>
      <c r="Q894" s="28">
        <f>Q878*_xlfn.XLOOKUP($L894,'Balizador da Meta'!$B$4:$B$21,'Balizador da Meta'!$C$4:$C$21)</f>
        <v>72</v>
      </c>
      <c r="R894" s="28">
        <f>R878*_xlfn.XLOOKUP($L894,'Balizador da Meta'!$B$4:$B$21,'Balizador da Meta'!$C$4:$C$21)</f>
        <v>72</v>
      </c>
      <c r="S894" s="28">
        <f>S878*_xlfn.XLOOKUP($L894,'Balizador da Meta'!$B$4:$B$21,'Balizador da Meta'!$C$4:$C$21)</f>
        <v>72</v>
      </c>
      <c r="T894" s="28">
        <f>T878*_xlfn.XLOOKUP($L894,'Balizador da Meta'!$B$4:$B$21,'Balizador da Meta'!$C$4:$C$21)</f>
        <v>72</v>
      </c>
      <c r="U894" s="28">
        <f>U878*_xlfn.XLOOKUP($L894,'Balizador da Meta'!$B$4:$B$21,'Balizador da Meta'!$C$4:$C$21)</f>
        <v>72</v>
      </c>
      <c r="V894" s="28">
        <f>V878*_xlfn.XLOOKUP($L894,'Balizador da Meta'!$B$4:$B$21,'Balizador da Meta'!$C$4:$C$21)</f>
        <v>72</v>
      </c>
      <c r="W894" s="28">
        <f>W878*_xlfn.XLOOKUP($L894,'Balizador da Meta'!$B$4:$B$21,'Balizador da Meta'!$C$4:$C$21)</f>
        <v>72</v>
      </c>
      <c r="X894" s="28">
        <f>X878*_xlfn.XLOOKUP($L894,'Balizador da Meta'!$B$4:$B$21,'Balizador da Meta'!$C$4:$C$21)</f>
        <v>72</v>
      </c>
      <c r="Y894" s="28">
        <f>Y878*_xlfn.XLOOKUP($L894,'Balizador da Meta'!$B$4:$B$21,'Balizador da Meta'!$C$4:$C$21)</f>
        <v>72</v>
      </c>
      <c r="Z894" s="30">
        <f t="shared" si="210"/>
        <v>864</v>
      </c>
      <c r="AA894" s="29"/>
      <c r="AB894" s="31">
        <f>SUMIFS('Historico - FAT'!AK:AK,'Historico - FAT'!$K:$K,Faturamento!$L894,'Historico - FAT'!$I:$I,Faturamento!$J894,'Historico - FAT'!$G:$G,Faturamento!$H894)</f>
        <v>0</v>
      </c>
      <c r="AC894" s="31">
        <f>SUMIFS('Historico - FAT'!AL:AL,'Historico - FAT'!$K:$K,Faturamento!$L894,'Historico - FAT'!$I:$I,Faturamento!$J894,'Historico - FAT'!$G:$G,Faturamento!$H894)</f>
        <v>0</v>
      </c>
      <c r="AD894" s="31">
        <f>SUMIFS('Historico - FAT'!AM:AM,'Historico - FAT'!$K:$K,Faturamento!$L894,'Historico - FAT'!$I:$I,Faturamento!$J894,'Historico - FAT'!$G:$G,Faturamento!$H894)</f>
        <v>0</v>
      </c>
      <c r="AE894" s="27">
        <f>SUMIFS('Historico - FAT'!AN:AN,'Historico - FAT'!$K:$K,Faturamento!$L894,'Historico - FAT'!$I:$I,Faturamento!$J894,'Historico - FAT'!$G:$G,Faturamento!$H894)</f>
        <v>0</v>
      </c>
      <c r="AG894" s="24">
        <f t="shared" si="212"/>
        <v>1</v>
      </c>
      <c r="AH894" s="24">
        <f t="shared" si="213"/>
        <v>1</v>
      </c>
      <c r="AI894" s="24">
        <f t="shared" si="214"/>
        <v>1</v>
      </c>
    </row>
    <row r="895" spans="1:35" hidden="1" x14ac:dyDescent="0.3">
      <c r="A895" s="2" t="str">
        <f t="shared" si="211"/>
        <v>NÃO</v>
      </c>
      <c r="B895" s="2">
        <v>1000184670</v>
      </c>
      <c r="C895" s="2" t="s">
        <v>147</v>
      </c>
      <c r="D895" s="4">
        <v>1000186197</v>
      </c>
      <c r="E895" s="4" t="s">
        <v>166</v>
      </c>
      <c r="F895" s="2">
        <v>1000184757</v>
      </c>
      <c r="G895" s="2" t="s">
        <v>62</v>
      </c>
      <c r="H895" s="4">
        <v>1000189791</v>
      </c>
      <c r="I895" s="4" t="s">
        <v>78</v>
      </c>
      <c r="J895" s="2">
        <v>1000189270</v>
      </c>
      <c r="K895" s="2" t="s">
        <v>34</v>
      </c>
      <c r="L895" s="4" t="s">
        <v>27</v>
      </c>
      <c r="M895" s="4" t="str">
        <f t="shared" si="201"/>
        <v>1000184670100018619710001897911000189270TAMARA</v>
      </c>
      <c r="N895" s="28">
        <f>N878*_xlfn.XLOOKUP($L895,'Balizador da Meta'!$B$4:$B$21,'Balizador da Meta'!$C$4:$C$21)</f>
        <v>96</v>
      </c>
      <c r="O895" s="28">
        <f>O878*_xlfn.XLOOKUP($L895,'Balizador da Meta'!$B$4:$B$21,'Balizador da Meta'!$C$4:$C$21)</f>
        <v>96</v>
      </c>
      <c r="P895" s="28">
        <f>P878*_xlfn.XLOOKUP($L895,'Balizador da Meta'!$B$4:$B$21,'Balizador da Meta'!$C$4:$C$21)</f>
        <v>96</v>
      </c>
      <c r="Q895" s="28">
        <f>Q878*_xlfn.XLOOKUP($L895,'Balizador da Meta'!$B$4:$B$21,'Balizador da Meta'!$C$4:$C$21)</f>
        <v>96</v>
      </c>
      <c r="R895" s="28">
        <f>R878*_xlfn.XLOOKUP($L895,'Balizador da Meta'!$B$4:$B$21,'Balizador da Meta'!$C$4:$C$21)</f>
        <v>96</v>
      </c>
      <c r="S895" s="28">
        <f>S878*_xlfn.XLOOKUP($L895,'Balizador da Meta'!$B$4:$B$21,'Balizador da Meta'!$C$4:$C$21)</f>
        <v>96</v>
      </c>
      <c r="T895" s="28">
        <f>T878*_xlfn.XLOOKUP($L895,'Balizador da Meta'!$B$4:$B$21,'Balizador da Meta'!$C$4:$C$21)</f>
        <v>96</v>
      </c>
      <c r="U895" s="28">
        <f>U878*_xlfn.XLOOKUP($L895,'Balizador da Meta'!$B$4:$B$21,'Balizador da Meta'!$C$4:$C$21)</f>
        <v>96</v>
      </c>
      <c r="V895" s="28">
        <f>V878*_xlfn.XLOOKUP($L895,'Balizador da Meta'!$B$4:$B$21,'Balizador da Meta'!$C$4:$C$21)</f>
        <v>96</v>
      </c>
      <c r="W895" s="28">
        <f>W878*_xlfn.XLOOKUP($L895,'Balizador da Meta'!$B$4:$B$21,'Balizador da Meta'!$C$4:$C$21)</f>
        <v>96</v>
      </c>
      <c r="X895" s="28">
        <f>X878*_xlfn.XLOOKUP($L895,'Balizador da Meta'!$B$4:$B$21,'Balizador da Meta'!$C$4:$C$21)</f>
        <v>96</v>
      </c>
      <c r="Y895" s="28">
        <f>Y878*_xlfn.XLOOKUP($L895,'Balizador da Meta'!$B$4:$B$21,'Balizador da Meta'!$C$4:$C$21)</f>
        <v>96</v>
      </c>
      <c r="Z895" s="30">
        <f t="shared" si="210"/>
        <v>1152</v>
      </c>
      <c r="AA895" s="29"/>
      <c r="AB895" s="31">
        <f>SUMIFS('Historico - FAT'!AK:AK,'Historico - FAT'!$K:$K,Faturamento!$L895,'Historico - FAT'!$I:$I,Faturamento!$J895,'Historico - FAT'!$G:$G,Faturamento!$H895)</f>
        <v>0</v>
      </c>
      <c r="AC895" s="31">
        <f>SUMIFS('Historico - FAT'!AL:AL,'Historico - FAT'!$K:$K,Faturamento!$L895,'Historico - FAT'!$I:$I,Faturamento!$J895,'Historico - FAT'!$G:$G,Faturamento!$H895)</f>
        <v>34.7425</v>
      </c>
      <c r="AD895" s="31">
        <f>SUMIFS('Historico - FAT'!AM:AM,'Historico - FAT'!$K:$K,Faturamento!$L895,'Historico - FAT'!$I:$I,Faturamento!$J895,'Historico - FAT'!$G:$G,Faturamento!$H895)</f>
        <v>69.484999999999999</v>
      </c>
      <c r="AE895" s="27">
        <f>SUMIFS('Historico - FAT'!AN:AN,'Historico - FAT'!$K:$K,Faturamento!$L895,'Historico - FAT'!$I:$I,Faturamento!$J895,'Historico - FAT'!$G:$G,Faturamento!$H895)</f>
        <v>41.691000000000003</v>
      </c>
      <c r="AG895" s="24">
        <f t="shared" si="212"/>
        <v>1</v>
      </c>
      <c r="AH895" s="24">
        <f t="shared" si="213"/>
        <v>0.6380989583333333</v>
      </c>
      <c r="AI895" s="24">
        <f t="shared" si="214"/>
        <v>0.27619791666666665</v>
      </c>
    </row>
    <row r="896" spans="1:35" hidden="1" x14ac:dyDescent="0.3">
      <c r="A896" s="2" t="str">
        <f t="shared" si="211"/>
        <v>NÃO</v>
      </c>
      <c r="B896" s="2">
        <v>1000184670</v>
      </c>
      <c r="C896" s="2" t="s">
        <v>147</v>
      </c>
      <c r="D896" s="4">
        <v>1000186197</v>
      </c>
      <c r="E896" s="4" t="s">
        <v>166</v>
      </c>
      <c r="F896" s="2">
        <v>1000184757</v>
      </c>
      <c r="G896" s="2" t="s">
        <v>62</v>
      </c>
      <c r="H896" s="4">
        <v>1000189791</v>
      </c>
      <c r="I896" s="4" t="s">
        <v>78</v>
      </c>
      <c r="J896" s="2">
        <v>1000189270</v>
      </c>
      <c r="K896" s="2" t="s">
        <v>34</v>
      </c>
      <c r="L896" s="4" t="s">
        <v>25</v>
      </c>
      <c r="M896" s="4" t="str">
        <f t="shared" si="201"/>
        <v>1000184670100018619710001897911000189270VICCIO</v>
      </c>
      <c r="N896" s="28">
        <f>N878*_xlfn.XLOOKUP($L896,'Balizador da Meta'!$B$4:$B$21,'Balizador da Meta'!$C$4:$C$21)</f>
        <v>36</v>
      </c>
      <c r="O896" s="28">
        <f>O878*_xlfn.XLOOKUP($L896,'Balizador da Meta'!$B$4:$B$21,'Balizador da Meta'!$C$4:$C$21)</f>
        <v>36</v>
      </c>
      <c r="P896" s="28">
        <f>P878*_xlfn.XLOOKUP($L896,'Balizador da Meta'!$B$4:$B$21,'Balizador da Meta'!$C$4:$C$21)</f>
        <v>36</v>
      </c>
      <c r="Q896" s="28">
        <f>Q878*_xlfn.XLOOKUP($L896,'Balizador da Meta'!$B$4:$B$21,'Balizador da Meta'!$C$4:$C$21)</f>
        <v>36</v>
      </c>
      <c r="R896" s="28">
        <f>R878*_xlfn.XLOOKUP($L896,'Balizador da Meta'!$B$4:$B$21,'Balizador da Meta'!$C$4:$C$21)</f>
        <v>36</v>
      </c>
      <c r="S896" s="28">
        <f>S878*_xlfn.XLOOKUP($L896,'Balizador da Meta'!$B$4:$B$21,'Balizador da Meta'!$C$4:$C$21)</f>
        <v>36</v>
      </c>
      <c r="T896" s="28">
        <f>T878*_xlfn.XLOOKUP($L896,'Balizador da Meta'!$B$4:$B$21,'Balizador da Meta'!$C$4:$C$21)</f>
        <v>36</v>
      </c>
      <c r="U896" s="28">
        <f>U878*_xlfn.XLOOKUP($L896,'Balizador da Meta'!$B$4:$B$21,'Balizador da Meta'!$C$4:$C$21)</f>
        <v>36</v>
      </c>
      <c r="V896" s="28">
        <f>V878*_xlfn.XLOOKUP($L896,'Balizador da Meta'!$B$4:$B$21,'Balizador da Meta'!$C$4:$C$21)</f>
        <v>36</v>
      </c>
      <c r="W896" s="28">
        <f>W878*_xlfn.XLOOKUP($L896,'Balizador da Meta'!$B$4:$B$21,'Balizador da Meta'!$C$4:$C$21)</f>
        <v>36</v>
      </c>
      <c r="X896" s="28">
        <f>X878*_xlfn.XLOOKUP($L896,'Balizador da Meta'!$B$4:$B$21,'Balizador da Meta'!$C$4:$C$21)</f>
        <v>36</v>
      </c>
      <c r="Y896" s="28">
        <f>Y878*_xlfn.XLOOKUP($L896,'Balizador da Meta'!$B$4:$B$21,'Balizador da Meta'!$C$4:$C$21)</f>
        <v>36</v>
      </c>
      <c r="Z896" s="30">
        <f t="shared" si="210"/>
        <v>432</v>
      </c>
      <c r="AA896" s="29"/>
      <c r="AB896" s="31">
        <f>SUMIFS('Historico - FAT'!AK:AK,'Historico - FAT'!$K:$K,Faturamento!$L896,'Historico - FAT'!$I:$I,Faturamento!$J896,'Historico - FAT'!$G:$G,Faturamento!$H896)</f>
        <v>0</v>
      </c>
      <c r="AC896" s="31">
        <f>SUMIFS('Historico - FAT'!AL:AL,'Historico - FAT'!$K:$K,Faturamento!$L896,'Historico - FAT'!$I:$I,Faturamento!$J896,'Historico - FAT'!$G:$G,Faturamento!$H896)</f>
        <v>0</v>
      </c>
      <c r="AD896" s="31">
        <f>SUMIFS('Historico - FAT'!AM:AM,'Historico - FAT'!$K:$K,Faturamento!$L896,'Historico - FAT'!$I:$I,Faturamento!$J896,'Historico - FAT'!$G:$G,Faturamento!$H896)</f>
        <v>0</v>
      </c>
      <c r="AE896" s="27">
        <f>SUMIFS('Historico - FAT'!AN:AN,'Historico - FAT'!$K:$K,Faturamento!$L896,'Historico - FAT'!$I:$I,Faturamento!$J896,'Historico - FAT'!$G:$G,Faturamento!$H896)</f>
        <v>0</v>
      </c>
      <c r="AG896" s="24">
        <f t="shared" si="212"/>
        <v>1</v>
      </c>
      <c r="AH896" s="24">
        <f t="shared" si="213"/>
        <v>1</v>
      </c>
      <c r="AI896" s="24">
        <f t="shared" si="214"/>
        <v>1</v>
      </c>
    </row>
    <row r="897" spans="1:35" x14ac:dyDescent="0.3">
      <c r="A897" s="2" t="str">
        <f t="shared" si="211"/>
        <v>SIM</v>
      </c>
      <c r="B897" s="2">
        <v>1000184670</v>
      </c>
      <c r="C897" s="2" t="s">
        <v>147</v>
      </c>
      <c r="D897" s="4">
        <v>1000186197</v>
      </c>
      <c r="E897" s="4" t="s">
        <v>166</v>
      </c>
      <c r="F897" s="2">
        <v>1000185288</v>
      </c>
      <c r="G897" s="2" t="s">
        <v>64</v>
      </c>
      <c r="H897" s="4">
        <v>1000189792</v>
      </c>
      <c r="I897" s="4" t="s">
        <v>116</v>
      </c>
      <c r="J897" s="2">
        <v>1000189270</v>
      </c>
      <c r="K897" s="2" t="s">
        <v>34</v>
      </c>
      <c r="L897" s="4" t="s">
        <v>124</v>
      </c>
      <c r="M897" s="4" t="str">
        <f t="shared" si="201"/>
        <v>100018467010001861971000189792100018927001. TOTAL</v>
      </c>
      <c r="N897" s="28">
        <f>SUMIFS(Positivação!L:L,Positivação!$I:$I,Faturamento!$J897,Positivação!$G:$G,Faturamento!$H897)*SUMIFS(Positivação!$Z:$Z,Positivação!$I:$I,Faturamento!$J897,Positivação!$G:$G,Faturamento!$H897)</f>
        <v>600</v>
      </c>
      <c r="O897" s="28">
        <f>SUMIFS(Positivação!M:M,Positivação!$I:$I,Faturamento!$J897,Positivação!$G:$G,Faturamento!$H897)*SUMIFS(Positivação!$Z:$Z,Positivação!$I:$I,Faturamento!$J897,Positivação!$G:$G,Faturamento!$H897)</f>
        <v>600</v>
      </c>
      <c r="P897" s="28">
        <f>SUMIFS(Positivação!N:N,Positivação!$I:$I,Faturamento!$J897,Positivação!$G:$G,Faturamento!$H897)*SUMIFS(Positivação!$Z:$Z,Positivação!$I:$I,Faturamento!$J897,Positivação!$G:$G,Faturamento!$H897)</f>
        <v>1200</v>
      </c>
      <c r="Q897" s="28">
        <f>SUMIFS(Positivação!O:O,Positivação!$I:$I,Faturamento!$J897,Positivação!$G:$G,Faturamento!$H897)*SUMIFS(Positivação!$Z:$Z,Positivação!$I:$I,Faturamento!$J897,Positivação!$G:$G,Faturamento!$H897)</f>
        <v>1200</v>
      </c>
      <c r="R897" s="28">
        <f>SUMIFS(Positivação!P:P,Positivação!$I:$I,Faturamento!$J897,Positivação!$G:$G,Faturamento!$H897)*SUMIFS(Positivação!$Z:$Z,Positivação!$I:$I,Faturamento!$J897,Positivação!$G:$G,Faturamento!$H897)</f>
        <v>1200</v>
      </c>
      <c r="S897" s="28">
        <f>SUMIFS(Positivação!Q:Q,Positivação!$I:$I,Faturamento!$J897,Positivação!$G:$G,Faturamento!$H897)*SUMIFS(Positivação!$Z:$Z,Positivação!$I:$I,Faturamento!$J897,Positivação!$G:$G,Faturamento!$H897)</f>
        <v>1200</v>
      </c>
      <c r="T897" s="28">
        <f>SUMIFS(Positivação!R:R,Positivação!$I:$I,Faturamento!$J897,Positivação!$G:$G,Faturamento!$H897)*SUMIFS(Positivação!$Z:$Z,Positivação!$I:$I,Faturamento!$J897,Positivação!$G:$G,Faturamento!$H897)</f>
        <v>1200</v>
      </c>
      <c r="U897" s="28">
        <f>SUMIFS(Positivação!S:S,Positivação!$I:$I,Faturamento!$J897,Positivação!$G:$G,Faturamento!$H897)*SUMIFS(Positivação!$Z:$Z,Positivação!$I:$I,Faturamento!$J897,Positivação!$G:$G,Faturamento!$H897)</f>
        <v>1800</v>
      </c>
      <c r="V897" s="28">
        <f>SUMIFS(Positivação!T:T,Positivação!$I:$I,Faturamento!$J897,Positivação!$G:$G,Faturamento!$H897)*SUMIFS(Positivação!$Z:$Z,Positivação!$I:$I,Faturamento!$J897,Positivação!$G:$G,Faturamento!$H897)</f>
        <v>1800</v>
      </c>
      <c r="W897" s="28">
        <f>SUMIFS(Positivação!U:U,Positivação!$I:$I,Faturamento!$J897,Positivação!$G:$G,Faturamento!$H897)*SUMIFS(Positivação!$Z:$Z,Positivação!$I:$I,Faturamento!$J897,Positivação!$G:$G,Faturamento!$H897)</f>
        <v>1800</v>
      </c>
      <c r="X897" s="28">
        <f>SUMIFS(Positivação!V:V,Positivação!$I:$I,Faturamento!$J897,Positivação!$G:$G,Faturamento!$H897)*SUMIFS(Positivação!$Z:$Z,Positivação!$I:$I,Faturamento!$J897,Positivação!$G:$G,Faturamento!$H897)</f>
        <v>1800</v>
      </c>
      <c r="Y897" s="28">
        <f>SUMIFS(Positivação!W:W,Positivação!$I:$I,Faturamento!$J897,Positivação!$G:$G,Faturamento!$H897)*SUMIFS(Positivação!$Z:$Z,Positivação!$I:$I,Faturamento!$J897,Positivação!$G:$G,Faturamento!$H897)</f>
        <v>1800</v>
      </c>
      <c r="Z897" s="28">
        <f t="shared" ref="Z897" si="215">SUM(Z898:Z915)</f>
        <v>16200</v>
      </c>
      <c r="AA897" s="29"/>
      <c r="AB897" s="28">
        <f t="shared" ref="AB897:AE897" si="216">SUM(AB898:AB915)</f>
        <v>0</v>
      </c>
      <c r="AC897" s="28">
        <f t="shared" si="216"/>
        <v>114.25</v>
      </c>
      <c r="AD897" s="28">
        <f t="shared" si="216"/>
        <v>228.5</v>
      </c>
      <c r="AE897" s="28">
        <f t="shared" si="216"/>
        <v>137.1</v>
      </c>
      <c r="AG897" s="24">
        <f t="shared" si="212"/>
        <v>1</v>
      </c>
      <c r="AH897" s="24">
        <f t="shared" si="213"/>
        <v>0.93652777777777774</v>
      </c>
      <c r="AI897" s="24">
        <f t="shared" si="214"/>
        <v>0.87305555555555558</v>
      </c>
    </row>
    <row r="898" spans="1:35" hidden="1" x14ac:dyDescent="0.3">
      <c r="A898" s="2" t="str">
        <f t="shared" si="211"/>
        <v>NÃO</v>
      </c>
      <c r="B898" s="2">
        <v>1000184670</v>
      </c>
      <c r="C898" s="2" t="s">
        <v>147</v>
      </c>
      <c r="D898" s="4">
        <v>1000186197</v>
      </c>
      <c r="E898" s="4" t="s">
        <v>166</v>
      </c>
      <c r="F898" s="2">
        <v>1000185288</v>
      </c>
      <c r="G898" s="2" t="s">
        <v>64</v>
      </c>
      <c r="H898" s="4">
        <v>1000189792</v>
      </c>
      <c r="I898" s="4" t="s">
        <v>116</v>
      </c>
      <c r="J898" s="2">
        <v>1000189270</v>
      </c>
      <c r="K898" s="2" t="s">
        <v>34</v>
      </c>
      <c r="L898" s="4" t="s">
        <v>13</v>
      </c>
      <c r="M898" s="4" t="str">
        <f t="shared" si="201"/>
        <v>1000184670100018619710001897921000189270BISCOITO</v>
      </c>
      <c r="N898" s="28">
        <f>N897*_xlfn.XLOOKUP($L898,'Balizador da Meta'!$B$4:$B$21,'Balizador da Meta'!$C$4:$C$21)</f>
        <v>42.000000000000007</v>
      </c>
      <c r="O898" s="28">
        <f>O897*_xlfn.XLOOKUP($L898,'Balizador da Meta'!$B$4:$B$21,'Balizador da Meta'!$C$4:$C$21)</f>
        <v>42.000000000000007</v>
      </c>
      <c r="P898" s="28">
        <f>P897*_xlfn.XLOOKUP($L898,'Balizador da Meta'!$B$4:$B$21,'Balizador da Meta'!$C$4:$C$21)</f>
        <v>84.000000000000014</v>
      </c>
      <c r="Q898" s="28">
        <f>Q897*_xlfn.XLOOKUP($L898,'Balizador da Meta'!$B$4:$B$21,'Balizador da Meta'!$C$4:$C$21)</f>
        <v>84.000000000000014</v>
      </c>
      <c r="R898" s="28">
        <f>R897*_xlfn.XLOOKUP($L898,'Balizador da Meta'!$B$4:$B$21,'Balizador da Meta'!$C$4:$C$21)</f>
        <v>84.000000000000014</v>
      </c>
      <c r="S898" s="28">
        <f>S897*_xlfn.XLOOKUP($L898,'Balizador da Meta'!$B$4:$B$21,'Balizador da Meta'!$C$4:$C$21)</f>
        <v>84.000000000000014</v>
      </c>
      <c r="T898" s="28">
        <f>T897*_xlfn.XLOOKUP($L898,'Balizador da Meta'!$B$4:$B$21,'Balizador da Meta'!$C$4:$C$21)</f>
        <v>84.000000000000014</v>
      </c>
      <c r="U898" s="28">
        <f>U897*_xlfn.XLOOKUP($L898,'Balizador da Meta'!$B$4:$B$21,'Balizador da Meta'!$C$4:$C$21)</f>
        <v>126.00000000000001</v>
      </c>
      <c r="V898" s="28">
        <f>V897*_xlfn.XLOOKUP($L898,'Balizador da Meta'!$B$4:$B$21,'Balizador da Meta'!$C$4:$C$21)</f>
        <v>126.00000000000001</v>
      </c>
      <c r="W898" s="28">
        <f>W897*_xlfn.XLOOKUP($L898,'Balizador da Meta'!$B$4:$B$21,'Balizador da Meta'!$C$4:$C$21)</f>
        <v>126.00000000000001</v>
      </c>
      <c r="X898" s="28">
        <f>X897*_xlfn.XLOOKUP($L898,'Balizador da Meta'!$B$4:$B$21,'Balizador da Meta'!$C$4:$C$21)</f>
        <v>126.00000000000001</v>
      </c>
      <c r="Y898" s="28">
        <f>Y897*_xlfn.XLOOKUP($L898,'Balizador da Meta'!$B$4:$B$21,'Balizador da Meta'!$C$4:$C$21)</f>
        <v>126.00000000000001</v>
      </c>
      <c r="Z898" s="30">
        <f t="shared" ref="Z898:Z915" si="217">SUM(N898:Y898)</f>
        <v>1134.0000000000002</v>
      </c>
      <c r="AA898" s="29"/>
      <c r="AB898" s="31">
        <f>SUMIFS('Historico - FAT'!AK:AK,'Historico - FAT'!$K:$K,Faturamento!$L898,'Historico - FAT'!$I:$I,Faturamento!$J898,'Historico - FAT'!$G:$G,Faturamento!$H898)</f>
        <v>0</v>
      </c>
      <c r="AC898" s="31">
        <f>SUMIFS('Historico - FAT'!AL:AL,'Historico - FAT'!$K:$K,Faturamento!$L898,'Historico - FAT'!$I:$I,Faturamento!$J898,'Historico - FAT'!$G:$G,Faturamento!$H898)</f>
        <v>1.8466666666666667</v>
      </c>
      <c r="AD898" s="31">
        <f>SUMIFS('Historico - FAT'!AM:AM,'Historico - FAT'!$K:$K,Faturamento!$L898,'Historico - FAT'!$I:$I,Faturamento!$J898,'Historico - FAT'!$G:$G,Faturamento!$H898)</f>
        <v>3.6933333333333334</v>
      </c>
      <c r="AE898" s="27">
        <f>SUMIFS('Historico - FAT'!AN:AN,'Historico - FAT'!$K:$K,Faturamento!$L898,'Historico - FAT'!$I:$I,Faturamento!$J898,'Historico - FAT'!$G:$G,Faturamento!$H898)</f>
        <v>2.2160000000000002</v>
      </c>
      <c r="AG898" s="24">
        <f t="shared" si="212"/>
        <v>1</v>
      </c>
      <c r="AH898" s="24">
        <f t="shared" si="213"/>
        <v>0.98534391534391541</v>
      </c>
      <c r="AI898" s="24">
        <f t="shared" si="214"/>
        <v>0.97068783068783071</v>
      </c>
    </row>
    <row r="899" spans="1:35" hidden="1" x14ac:dyDescent="0.3">
      <c r="A899" s="2" t="str">
        <f t="shared" si="211"/>
        <v>NÃO</v>
      </c>
      <c r="B899" s="2">
        <v>1000184670</v>
      </c>
      <c r="C899" s="2" t="s">
        <v>147</v>
      </c>
      <c r="D899" s="4">
        <v>1000186197</v>
      </c>
      <c r="E899" s="4" t="s">
        <v>166</v>
      </c>
      <c r="F899" s="2">
        <v>1000185288</v>
      </c>
      <c r="G899" s="2" t="s">
        <v>64</v>
      </c>
      <c r="H899" s="4">
        <v>1000189792</v>
      </c>
      <c r="I899" s="4" t="s">
        <v>116</v>
      </c>
      <c r="J899" s="2">
        <v>1000189270</v>
      </c>
      <c r="K899" s="2" t="s">
        <v>34</v>
      </c>
      <c r="L899" s="4" t="s">
        <v>14</v>
      </c>
      <c r="M899" s="4" t="str">
        <f t="shared" si="201"/>
        <v>1000184670100018619710001897921000189270CHOCOLATES</v>
      </c>
      <c r="N899" s="28">
        <f>N897*_xlfn.XLOOKUP($L899,'Balizador da Meta'!$B$4:$B$21,'Balizador da Meta'!$C$4:$C$21)</f>
        <v>42.000000000000007</v>
      </c>
      <c r="O899" s="28">
        <f>O897*_xlfn.XLOOKUP($L899,'Balizador da Meta'!$B$4:$B$21,'Balizador da Meta'!$C$4:$C$21)</f>
        <v>42.000000000000007</v>
      </c>
      <c r="P899" s="28">
        <f>P897*_xlfn.XLOOKUP($L899,'Balizador da Meta'!$B$4:$B$21,'Balizador da Meta'!$C$4:$C$21)</f>
        <v>84.000000000000014</v>
      </c>
      <c r="Q899" s="28">
        <f>Q897*_xlfn.XLOOKUP($L899,'Balizador da Meta'!$B$4:$B$21,'Balizador da Meta'!$C$4:$C$21)</f>
        <v>84.000000000000014</v>
      </c>
      <c r="R899" s="28">
        <f>R897*_xlfn.XLOOKUP($L899,'Balizador da Meta'!$B$4:$B$21,'Balizador da Meta'!$C$4:$C$21)</f>
        <v>84.000000000000014</v>
      </c>
      <c r="S899" s="28">
        <f>S897*_xlfn.XLOOKUP($L899,'Balizador da Meta'!$B$4:$B$21,'Balizador da Meta'!$C$4:$C$21)</f>
        <v>84.000000000000014</v>
      </c>
      <c r="T899" s="28">
        <f>T897*_xlfn.XLOOKUP($L899,'Balizador da Meta'!$B$4:$B$21,'Balizador da Meta'!$C$4:$C$21)</f>
        <v>84.000000000000014</v>
      </c>
      <c r="U899" s="28">
        <f>U897*_xlfn.XLOOKUP($L899,'Balizador da Meta'!$B$4:$B$21,'Balizador da Meta'!$C$4:$C$21)</f>
        <v>126.00000000000001</v>
      </c>
      <c r="V899" s="28">
        <f>V897*_xlfn.XLOOKUP($L899,'Balizador da Meta'!$B$4:$B$21,'Balizador da Meta'!$C$4:$C$21)</f>
        <v>126.00000000000001</v>
      </c>
      <c r="W899" s="28">
        <f>W897*_xlfn.XLOOKUP($L899,'Balizador da Meta'!$B$4:$B$21,'Balizador da Meta'!$C$4:$C$21)</f>
        <v>126.00000000000001</v>
      </c>
      <c r="X899" s="28">
        <f>X897*_xlfn.XLOOKUP($L899,'Balizador da Meta'!$B$4:$B$21,'Balizador da Meta'!$C$4:$C$21)</f>
        <v>126.00000000000001</v>
      </c>
      <c r="Y899" s="28">
        <f>Y897*_xlfn.XLOOKUP($L899,'Balizador da Meta'!$B$4:$B$21,'Balizador da Meta'!$C$4:$C$21)</f>
        <v>126.00000000000001</v>
      </c>
      <c r="Z899" s="30">
        <f t="shared" si="217"/>
        <v>1134.0000000000002</v>
      </c>
      <c r="AA899" s="29"/>
      <c r="AB899" s="31">
        <f>SUMIFS('Historico - FAT'!AK:AK,'Historico - FAT'!$K:$K,Faturamento!$L899,'Historico - FAT'!$I:$I,Faturamento!$J899,'Historico - FAT'!$G:$G,Faturamento!$H899)</f>
        <v>0</v>
      </c>
      <c r="AC899" s="31">
        <f>SUMIFS('Historico - FAT'!AL:AL,'Historico - FAT'!$K:$K,Faturamento!$L899,'Historico - FAT'!$I:$I,Faturamento!$J899,'Historico - FAT'!$G:$G,Faturamento!$H899)</f>
        <v>0</v>
      </c>
      <c r="AD899" s="31">
        <f>SUMIFS('Historico - FAT'!AM:AM,'Historico - FAT'!$K:$K,Faturamento!$L899,'Historico - FAT'!$I:$I,Faturamento!$J899,'Historico - FAT'!$G:$G,Faturamento!$H899)</f>
        <v>0</v>
      </c>
      <c r="AE899" s="27">
        <f>SUMIFS('Historico - FAT'!AN:AN,'Historico - FAT'!$K:$K,Faturamento!$L899,'Historico - FAT'!$I:$I,Faturamento!$J899,'Historico - FAT'!$G:$G,Faturamento!$H899)</f>
        <v>0</v>
      </c>
      <c r="AG899" s="24">
        <f t="shared" si="212"/>
        <v>1</v>
      </c>
      <c r="AH899" s="24">
        <f t="shared" si="213"/>
        <v>1</v>
      </c>
      <c r="AI899" s="24">
        <f t="shared" si="214"/>
        <v>1</v>
      </c>
    </row>
    <row r="900" spans="1:35" hidden="1" x14ac:dyDescent="0.3">
      <c r="A900" s="2" t="str">
        <f t="shared" si="211"/>
        <v>NÃO</v>
      </c>
      <c r="B900" s="2">
        <v>1000184670</v>
      </c>
      <c r="C900" s="2" t="s">
        <v>147</v>
      </c>
      <c r="D900" s="4">
        <v>1000186197</v>
      </c>
      <c r="E900" s="4" t="s">
        <v>166</v>
      </c>
      <c r="F900" s="2">
        <v>1000185288</v>
      </c>
      <c r="G900" s="2" t="s">
        <v>64</v>
      </c>
      <c r="H900" s="4">
        <v>1000189792</v>
      </c>
      <c r="I900" s="4" t="s">
        <v>116</v>
      </c>
      <c r="J900" s="2">
        <v>1000189270</v>
      </c>
      <c r="K900" s="2" t="s">
        <v>34</v>
      </c>
      <c r="L900" s="4" t="s">
        <v>16</v>
      </c>
      <c r="M900" s="4" t="str">
        <f t="shared" si="201"/>
        <v>1000184670100018619710001897921000189270DISNEY</v>
      </c>
      <c r="N900" s="28">
        <f>N897*_xlfn.XLOOKUP($L900,'Balizador da Meta'!$B$4:$B$21,'Balizador da Meta'!$C$4:$C$21)</f>
        <v>48</v>
      </c>
      <c r="O900" s="28">
        <f>O897*_xlfn.XLOOKUP($L900,'Balizador da Meta'!$B$4:$B$21,'Balizador da Meta'!$C$4:$C$21)</f>
        <v>48</v>
      </c>
      <c r="P900" s="28">
        <f>P897*_xlfn.XLOOKUP($L900,'Balizador da Meta'!$B$4:$B$21,'Balizador da Meta'!$C$4:$C$21)</f>
        <v>96</v>
      </c>
      <c r="Q900" s="28">
        <f>Q897*_xlfn.XLOOKUP($L900,'Balizador da Meta'!$B$4:$B$21,'Balizador da Meta'!$C$4:$C$21)</f>
        <v>96</v>
      </c>
      <c r="R900" s="28">
        <f>R897*_xlfn.XLOOKUP($L900,'Balizador da Meta'!$B$4:$B$21,'Balizador da Meta'!$C$4:$C$21)</f>
        <v>96</v>
      </c>
      <c r="S900" s="28">
        <f>S897*_xlfn.XLOOKUP($L900,'Balizador da Meta'!$B$4:$B$21,'Balizador da Meta'!$C$4:$C$21)</f>
        <v>96</v>
      </c>
      <c r="T900" s="28">
        <f>T897*_xlfn.XLOOKUP($L900,'Balizador da Meta'!$B$4:$B$21,'Balizador da Meta'!$C$4:$C$21)</f>
        <v>96</v>
      </c>
      <c r="U900" s="28">
        <f>U897*_xlfn.XLOOKUP($L900,'Balizador da Meta'!$B$4:$B$21,'Balizador da Meta'!$C$4:$C$21)</f>
        <v>144</v>
      </c>
      <c r="V900" s="28">
        <f>V897*_xlfn.XLOOKUP($L900,'Balizador da Meta'!$B$4:$B$21,'Balizador da Meta'!$C$4:$C$21)</f>
        <v>144</v>
      </c>
      <c r="W900" s="28">
        <f>W897*_xlfn.XLOOKUP($L900,'Balizador da Meta'!$B$4:$B$21,'Balizador da Meta'!$C$4:$C$21)</f>
        <v>144</v>
      </c>
      <c r="X900" s="28">
        <f>X897*_xlfn.XLOOKUP($L900,'Balizador da Meta'!$B$4:$B$21,'Balizador da Meta'!$C$4:$C$21)</f>
        <v>144</v>
      </c>
      <c r="Y900" s="28">
        <f>Y897*_xlfn.XLOOKUP($L900,'Balizador da Meta'!$B$4:$B$21,'Balizador da Meta'!$C$4:$C$21)</f>
        <v>144</v>
      </c>
      <c r="Z900" s="30">
        <f t="shared" si="217"/>
        <v>1296</v>
      </c>
      <c r="AA900" s="29"/>
      <c r="AB900" s="31">
        <f>SUMIFS('Historico - FAT'!AK:AK,'Historico - FAT'!$K:$K,Faturamento!$L900,'Historico - FAT'!$I:$I,Faturamento!$J900,'Historico - FAT'!$G:$G,Faturamento!$H900)</f>
        <v>0</v>
      </c>
      <c r="AC900" s="31">
        <f>SUMIFS('Historico - FAT'!AL:AL,'Historico - FAT'!$K:$K,Faturamento!$L900,'Historico - FAT'!$I:$I,Faturamento!$J900,'Historico - FAT'!$G:$G,Faturamento!$H900)</f>
        <v>0</v>
      </c>
      <c r="AD900" s="31">
        <f>SUMIFS('Historico - FAT'!AM:AM,'Historico - FAT'!$K:$K,Faturamento!$L900,'Historico - FAT'!$I:$I,Faturamento!$J900,'Historico - FAT'!$G:$G,Faturamento!$H900)</f>
        <v>0</v>
      </c>
      <c r="AE900" s="27">
        <f>SUMIFS('Historico - FAT'!AN:AN,'Historico - FAT'!$K:$K,Faturamento!$L900,'Historico - FAT'!$I:$I,Faturamento!$J900,'Historico - FAT'!$G:$G,Faturamento!$H900)</f>
        <v>0</v>
      </c>
      <c r="AG900" s="24">
        <f t="shared" si="212"/>
        <v>1</v>
      </c>
      <c r="AH900" s="24">
        <f t="shared" si="213"/>
        <v>1</v>
      </c>
      <c r="AI900" s="24">
        <f t="shared" si="214"/>
        <v>1</v>
      </c>
    </row>
    <row r="901" spans="1:35" hidden="1" x14ac:dyDescent="0.3">
      <c r="A901" s="2" t="str">
        <f t="shared" si="211"/>
        <v>NÃO</v>
      </c>
      <c r="B901" s="2">
        <v>1000184670</v>
      </c>
      <c r="C901" s="2" t="s">
        <v>147</v>
      </c>
      <c r="D901" s="4">
        <v>1000186197</v>
      </c>
      <c r="E901" s="4" t="s">
        <v>166</v>
      </c>
      <c r="F901" s="2">
        <v>1000185288</v>
      </c>
      <c r="G901" s="2" t="s">
        <v>64</v>
      </c>
      <c r="H901" s="4">
        <v>1000189792</v>
      </c>
      <c r="I901" s="4" t="s">
        <v>116</v>
      </c>
      <c r="J901" s="2">
        <v>1000189270</v>
      </c>
      <c r="K901" s="2" t="s">
        <v>34</v>
      </c>
      <c r="L901" s="4" t="s">
        <v>15</v>
      </c>
      <c r="M901" s="4" t="str">
        <f t="shared" ref="M901:M964" si="218">_xlfn.CONCAT(B901,D901,H901,J901,L901,)</f>
        <v>1000184670100018619710001897921000189270DOCES</v>
      </c>
      <c r="N901" s="28">
        <f>N897*_xlfn.XLOOKUP($L901,'Balizador da Meta'!$B$4:$B$21,'Balizador da Meta'!$C$4:$C$21)</f>
        <v>54</v>
      </c>
      <c r="O901" s="28">
        <f>O897*_xlfn.XLOOKUP($L901,'Balizador da Meta'!$B$4:$B$21,'Balizador da Meta'!$C$4:$C$21)</f>
        <v>54</v>
      </c>
      <c r="P901" s="28">
        <f>P897*_xlfn.XLOOKUP($L901,'Balizador da Meta'!$B$4:$B$21,'Balizador da Meta'!$C$4:$C$21)</f>
        <v>108</v>
      </c>
      <c r="Q901" s="28">
        <f>Q897*_xlfn.XLOOKUP($L901,'Balizador da Meta'!$B$4:$B$21,'Balizador da Meta'!$C$4:$C$21)</f>
        <v>108</v>
      </c>
      <c r="R901" s="28">
        <f>R897*_xlfn.XLOOKUP($L901,'Balizador da Meta'!$B$4:$B$21,'Balizador da Meta'!$C$4:$C$21)</f>
        <v>108</v>
      </c>
      <c r="S901" s="28">
        <f>S897*_xlfn.XLOOKUP($L901,'Balizador da Meta'!$B$4:$B$21,'Balizador da Meta'!$C$4:$C$21)</f>
        <v>108</v>
      </c>
      <c r="T901" s="28">
        <f>T897*_xlfn.XLOOKUP($L901,'Balizador da Meta'!$B$4:$B$21,'Balizador da Meta'!$C$4:$C$21)</f>
        <v>108</v>
      </c>
      <c r="U901" s="28">
        <f>U897*_xlfn.XLOOKUP($L901,'Balizador da Meta'!$B$4:$B$21,'Balizador da Meta'!$C$4:$C$21)</f>
        <v>162</v>
      </c>
      <c r="V901" s="28">
        <f>V897*_xlfn.XLOOKUP($L901,'Balizador da Meta'!$B$4:$B$21,'Balizador da Meta'!$C$4:$C$21)</f>
        <v>162</v>
      </c>
      <c r="W901" s="28">
        <f>W897*_xlfn.XLOOKUP($L901,'Balizador da Meta'!$B$4:$B$21,'Balizador da Meta'!$C$4:$C$21)</f>
        <v>162</v>
      </c>
      <c r="X901" s="28">
        <f>X897*_xlfn.XLOOKUP($L901,'Balizador da Meta'!$B$4:$B$21,'Balizador da Meta'!$C$4:$C$21)</f>
        <v>162</v>
      </c>
      <c r="Y901" s="28">
        <f>Y897*_xlfn.XLOOKUP($L901,'Balizador da Meta'!$B$4:$B$21,'Balizador da Meta'!$C$4:$C$21)</f>
        <v>162</v>
      </c>
      <c r="Z901" s="30">
        <f t="shared" si="217"/>
        <v>1458</v>
      </c>
      <c r="AA901" s="29"/>
      <c r="AB901" s="31">
        <f>SUMIFS('Historico - FAT'!AK:AK,'Historico - FAT'!$K:$K,Faturamento!$L901,'Historico - FAT'!$I:$I,Faturamento!$J901,'Historico - FAT'!$G:$G,Faturamento!$H901)</f>
        <v>0</v>
      </c>
      <c r="AC901" s="31">
        <f>SUMIFS('Historico - FAT'!AL:AL,'Historico - FAT'!$K:$K,Faturamento!$L901,'Historico - FAT'!$I:$I,Faturamento!$J901,'Historico - FAT'!$G:$G,Faturamento!$H901)</f>
        <v>0</v>
      </c>
      <c r="AD901" s="31">
        <f>SUMIFS('Historico - FAT'!AM:AM,'Historico - FAT'!$K:$K,Faturamento!$L901,'Historico - FAT'!$I:$I,Faturamento!$J901,'Historico - FAT'!$G:$G,Faturamento!$H901)</f>
        <v>0</v>
      </c>
      <c r="AE901" s="27">
        <f>SUMIFS('Historico - FAT'!AN:AN,'Historico - FAT'!$K:$K,Faturamento!$L901,'Historico - FAT'!$I:$I,Faturamento!$J901,'Historico - FAT'!$G:$G,Faturamento!$H901)</f>
        <v>0</v>
      </c>
      <c r="AG901" s="24">
        <f t="shared" si="212"/>
        <v>1</v>
      </c>
      <c r="AH901" s="24">
        <f t="shared" si="213"/>
        <v>1</v>
      </c>
      <c r="AI901" s="24">
        <f t="shared" si="214"/>
        <v>1</v>
      </c>
    </row>
    <row r="902" spans="1:35" hidden="1" x14ac:dyDescent="0.3">
      <c r="A902" s="2" t="str">
        <f t="shared" si="211"/>
        <v>NÃO</v>
      </c>
      <c r="B902" s="2">
        <v>1000184670</v>
      </c>
      <c r="C902" s="2" t="s">
        <v>147</v>
      </c>
      <c r="D902" s="4">
        <v>1000186197</v>
      </c>
      <c r="E902" s="4" t="s">
        <v>166</v>
      </c>
      <c r="F902" s="2">
        <v>1000185288</v>
      </c>
      <c r="G902" s="2" t="s">
        <v>64</v>
      </c>
      <c r="H902" s="4">
        <v>1000189792</v>
      </c>
      <c r="I902" s="4" t="s">
        <v>116</v>
      </c>
      <c r="J902" s="2">
        <v>1000189270</v>
      </c>
      <c r="K902" s="2" t="s">
        <v>34</v>
      </c>
      <c r="L902" s="4" t="s">
        <v>33</v>
      </c>
      <c r="M902" s="4" t="str">
        <f t="shared" si="218"/>
        <v>1000184670100018619710001897921000189270FOOD SERVICE</v>
      </c>
      <c r="N902" s="28">
        <f>N897*_xlfn.XLOOKUP($L902,'Balizador da Meta'!$B$4:$B$21,'Balizador da Meta'!$C$4:$C$21)</f>
        <v>0</v>
      </c>
      <c r="O902" s="28">
        <f>O897*_xlfn.XLOOKUP($L902,'Balizador da Meta'!$B$4:$B$21,'Balizador da Meta'!$C$4:$C$21)</f>
        <v>0</v>
      </c>
      <c r="P902" s="28">
        <f>P897*_xlfn.XLOOKUP($L902,'Balizador da Meta'!$B$4:$B$21,'Balizador da Meta'!$C$4:$C$21)</f>
        <v>0</v>
      </c>
      <c r="Q902" s="28">
        <f>Q897*_xlfn.XLOOKUP($L902,'Balizador da Meta'!$B$4:$B$21,'Balizador da Meta'!$C$4:$C$21)</f>
        <v>0</v>
      </c>
      <c r="R902" s="28">
        <f>R897*_xlfn.XLOOKUP($L902,'Balizador da Meta'!$B$4:$B$21,'Balizador da Meta'!$C$4:$C$21)</f>
        <v>0</v>
      </c>
      <c r="S902" s="28">
        <f>S897*_xlfn.XLOOKUP($L902,'Balizador da Meta'!$B$4:$B$21,'Balizador da Meta'!$C$4:$C$21)</f>
        <v>0</v>
      </c>
      <c r="T902" s="28">
        <f>T897*_xlfn.XLOOKUP($L902,'Balizador da Meta'!$B$4:$B$21,'Balizador da Meta'!$C$4:$C$21)</f>
        <v>0</v>
      </c>
      <c r="U902" s="28">
        <f>U897*_xlfn.XLOOKUP($L902,'Balizador da Meta'!$B$4:$B$21,'Balizador da Meta'!$C$4:$C$21)</f>
        <v>0</v>
      </c>
      <c r="V902" s="28">
        <f>V897*_xlfn.XLOOKUP($L902,'Balizador da Meta'!$B$4:$B$21,'Balizador da Meta'!$C$4:$C$21)</f>
        <v>0</v>
      </c>
      <c r="W902" s="28">
        <f>W897*_xlfn.XLOOKUP($L902,'Balizador da Meta'!$B$4:$B$21,'Balizador da Meta'!$C$4:$C$21)</f>
        <v>0</v>
      </c>
      <c r="X902" s="28">
        <f>X897*_xlfn.XLOOKUP($L902,'Balizador da Meta'!$B$4:$B$21,'Balizador da Meta'!$C$4:$C$21)</f>
        <v>0</v>
      </c>
      <c r="Y902" s="28">
        <f>Y897*_xlfn.XLOOKUP($L902,'Balizador da Meta'!$B$4:$B$21,'Balizador da Meta'!$C$4:$C$21)</f>
        <v>0</v>
      </c>
      <c r="Z902" s="30">
        <f t="shared" si="217"/>
        <v>0</v>
      </c>
      <c r="AA902" s="29"/>
      <c r="AB902" s="31">
        <f>SUMIFS('Historico - FAT'!AK:AK,'Historico - FAT'!$K:$K,Faturamento!$L902,'Historico - FAT'!$I:$I,Faturamento!$J902,'Historico - FAT'!$G:$G,Faturamento!$H902)</f>
        <v>0</v>
      </c>
      <c r="AC902" s="31">
        <f>SUMIFS('Historico - FAT'!AL:AL,'Historico - FAT'!$K:$K,Faturamento!$L902,'Historico - FAT'!$I:$I,Faturamento!$J902,'Historico - FAT'!$G:$G,Faturamento!$H902)</f>
        <v>0</v>
      </c>
      <c r="AD902" s="31">
        <f>SUMIFS('Historico - FAT'!AM:AM,'Historico - FAT'!$K:$K,Faturamento!$L902,'Historico - FAT'!$I:$I,Faturamento!$J902,'Historico - FAT'!$G:$G,Faturamento!$H902)</f>
        <v>0</v>
      </c>
      <c r="AE902" s="27">
        <f>SUMIFS('Historico - FAT'!AN:AN,'Historico - FAT'!$K:$K,Faturamento!$L902,'Historico - FAT'!$I:$I,Faturamento!$J902,'Historico - FAT'!$G:$G,Faturamento!$H902)</f>
        <v>0</v>
      </c>
      <c r="AG902" s="24" t="str">
        <f t="shared" si="212"/>
        <v/>
      </c>
      <c r="AH902" s="24" t="str">
        <f t="shared" si="213"/>
        <v/>
      </c>
      <c r="AI902" s="24" t="str">
        <f t="shared" si="214"/>
        <v/>
      </c>
    </row>
    <row r="903" spans="1:35" hidden="1" x14ac:dyDescent="0.3">
      <c r="A903" s="2" t="str">
        <f t="shared" si="211"/>
        <v>NÃO</v>
      </c>
      <c r="B903" s="2">
        <v>1000184670</v>
      </c>
      <c r="C903" s="2" t="s">
        <v>147</v>
      </c>
      <c r="D903" s="4">
        <v>1000186197</v>
      </c>
      <c r="E903" s="4" t="s">
        <v>166</v>
      </c>
      <c r="F903" s="2">
        <v>1000185288</v>
      </c>
      <c r="G903" s="2" t="s">
        <v>64</v>
      </c>
      <c r="H903" s="4">
        <v>1000189792</v>
      </c>
      <c r="I903" s="4" t="s">
        <v>116</v>
      </c>
      <c r="J903" s="2">
        <v>1000189270</v>
      </c>
      <c r="K903" s="2" t="s">
        <v>34</v>
      </c>
      <c r="L903" s="4" t="s">
        <v>19</v>
      </c>
      <c r="M903" s="4" t="str">
        <f t="shared" si="218"/>
        <v>1000184670100018619710001897921000189270GELEIA</v>
      </c>
      <c r="N903" s="28">
        <f>N897*_xlfn.XLOOKUP($L903,'Balizador da Meta'!$B$4:$B$21,'Balizador da Meta'!$C$4:$C$21)</f>
        <v>11.999999999999998</v>
      </c>
      <c r="O903" s="28">
        <f>O897*_xlfn.XLOOKUP($L903,'Balizador da Meta'!$B$4:$B$21,'Balizador da Meta'!$C$4:$C$21)</f>
        <v>11.999999999999998</v>
      </c>
      <c r="P903" s="28">
        <f>P897*_xlfn.XLOOKUP($L903,'Balizador da Meta'!$B$4:$B$21,'Balizador da Meta'!$C$4:$C$21)</f>
        <v>23.999999999999996</v>
      </c>
      <c r="Q903" s="28">
        <f>Q897*_xlfn.XLOOKUP($L903,'Balizador da Meta'!$B$4:$B$21,'Balizador da Meta'!$C$4:$C$21)</f>
        <v>23.999999999999996</v>
      </c>
      <c r="R903" s="28">
        <f>R897*_xlfn.XLOOKUP($L903,'Balizador da Meta'!$B$4:$B$21,'Balizador da Meta'!$C$4:$C$21)</f>
        <v>23.999999999999996</v>
      </c>
      <c r="S903" s="28">
        <f>S897*_xlfn.XLOOKUP($L903,'Balizador da Meta'!$B$4:$B$21,'Balizador da Meta'!$C$4:$C$21)</f>
        <v>23.999999999999996</v>
      </c>
      <c r="T903" s="28">
        <f>T897*_xlfn.XLOOKUP($L903,'Balizador da Meta'!$B$4:$B$21,'Balizador da Meta'!$C$4:$C$21)</f>
        <v>23.999999999999996</v>
      </c>
      <c r="U903" s="28">
        <f>U897*_xlfn.XLOOKUP($L903,'Balizador da Meta'!$B$4:$B$21,'Balizador da Meta'!$C$4:$C$21)</f>
        <v>35.999999999999993</v>
      </c>
      <c r="V903" s="28">
        <f>V897*_xlfn.XLOOKUP($L903,'Balizador da Meta'!$B$4:$B$21,'Balizador da Meta'!$C$4:$C$21)</f>
        <v>35.999999999999993</v>
      </c>
      <c r="W903" s="28">
        <f>W897*_xlfn.XLOOKUP($L903,'Balizador da Meta'!$B$4:$B$21,'Balizador da Meta'!$C$4:$C$21)</f>
        <v>35.999999999999993</v>
      </c>
      <c r="X903" s="28">
        <f>X897*_xlfn.XLOOKUP($L903,'Balizador da Meta'!$B$4:$B$21,'Balizador da Meta'!$C$4:$C$21)</f>
        <v>35.999999999999993</v>
      </c>
      <c r="Y903" s="28">
        <f>Y897*_xlfn.XLOOKUP($L903,'Balizador da Meta'!$B$4:$B$21,'Balizador da Meta'!$C$4:$C$21)</f>
        <v>35.999999999999993</v>
      </c>
      <c r="Z903" s="30">
        <f t="shared" si="217"/>
        <v>323.99999999999994</v>
      </c>
      <c r="AA903" s="29"/>
      <c r="AB903" s="31">
        <f>SUMIFS('Historico - FAT'!AK:AK,'Historico - FAT'!$K:$K,Faturamento!$L903,'Historico - FAT'!$I:$I,Faturamento!$J903,'Historico - FAT'!$G:$G,Faturamento!$H903)</f>
        <v>0</v>
      </c>
      <c r="AC903" s="31">
        <f>SUMIFS('Historico - FAT'!AL:AL,'Historico - FAT'!$K:$K,Faturamento!$L903,'Historico - FAT'!$I:$I,Faturamento!$J903,'Historico - FAT'!$G:$G,Faturamento!$H903)</f>
        <v>0</v>
      </c>
      <c r="AD903" s="31">
        <f>SUMIFS('Historico - FAT'!AM:AM,'Historico - FAT'!$K:$K,Faturamento!$L903,'Historico - FAT'!$I:$I,Faturamento!$J903,'Historico - FAT'!$G:$G,Faturamento!$H903)</f>
        <v>0</v>
      </c>
      <c r="AE903" s="27">
        <f>SUMIFS('Historico - FAT'!AN:AN,'Historico - FAT'!$K:$K,Faturamento!$L903,'Historico - FAT'!$I:$I,Faturamento!$J903,'Historico - FAT'!$G:$G,Faturamento!$H903)</f>
        <v>0</v>
      </c>
      <c r="AG903" s="24">
        <f t="shared" si="212"/>
        <v>1</v>
      </c>
      <c r="AH903" s="24">
        <f t="shared" si="213"/>
        <v>1</v>
      </c>
      <c r="AI903" s="24">
        <f t="shared" si="214"/>
        <v>1</v>
      </c>
    </row>
    <row r="904" spans="1:35" hidden="1" x14ac:dyDescent="0.3">
      <c r="A904" s="2" t="str">
        <f t="shared" si="211"/>
        <v>NÃO</v>
      </c>
      <c r="B904" s="2">
        <v>1000184670</v>
      </c>
      <c r="C904" s="2" t="s">
        <v>147</v>
      </c>
      <c r="D904" s="4">
        <v>1000186197</v>
      </c>
      <c r="E904" s="4" t="s">
        <v>166</v>
      </c>
      <c r="F904" s="2">
        <v>1000185288</v>
      </c>
      <c r="G904" s="2" t="s">
        <v>64</v>
      </c>
      <c r="H904" s="4">
        <v>1000189792</v>
      </c>
      <c r="I904" s="4" t="s">
        <v>116</v>
      </c>
      <c r="J904" s="2">
        <v>1000189270</v>
      </c>
      <c r="K904" s="2" t="s">
        <v>34</v>
      </c>
      <c r="L904" s="4" t="s">
        <v>17</v>
      </c>
      <c r="M904" s="4" t="str">
        <f t="shared" si="218"/>
        <v>1000184670100018619710001897921000189270GRANOLA</v>
      </c>
      <c r="N904" s="28">
        <f>N897*_xlfn.XLOOKUP($L904,'Balizador da Meta'!$B$4:$B$21,'Balizador da Meta'!$C$4:$C$21)</f>
        <v>12</v>
      </c>
      <c r="O904" s="28">
        <f>O897*_xlfn.XLOOKUP($L904,'Balizador da Meta'!$B$4:$B$21,'Balizador da Meta'!$C$4:$C$21)</f>
        <v>12</v>
      </c>
      <c r="P904" s="28">
        <f>P897*_xlfn.XLOOKUP($L904,'Balizador da Meta'!$B$4:$B$21,'Balizador da Meta'!$C$4:$C$21)</f>
        <v>24</v>
      </c>
      <c r="Q904" s="28">
        <f>Q897*_xlfn.XLOOKUP($L904,'Balizador da Meta'!$B$4:$B$21,'Balizador da Meta'!$C$4:$C$21)</f>
        <v>24</v>
      </c>
      <c r="R904" s="28">
        <f>R897*_xlfn.XLOOKUP($L904,'Balizador da Meta'!$B$4:$B$21,'Balizador da Meta'!$C$4:$C$21)</f>
        <v>24</v>
      </c>
      <c r="S904" s="28">
        <f>S897*_xlfn.XLOOKUP($L904,'Balizador da Meta'!$B$4:$B$21,'Balizador da Meta'!$C$4:$C$21)</f>
        <v>24</v>
      </c>
      <c r="T904" s="28">
        <f>T897*_xlfn.XLOOKUP($L904,'Balizador da Meta'!$B$4:$B$21,'Balizador da Meta'!$C$4:$C$21)</f>
        <v>24</v>
      </c>
      <c r="U904" s="28">
        <f>U897*_xlfn.XLOOKUP($L904,'Balizador da Meta'!$B$4:$B$21,'Balizador da Meta'!$C$4:$C$21)</f>
        <v>36</v>
      </c>
      <c r="V904" s="28">
        <f>V897*_xlfn.XLOOKUP($L904,'Balizador da Meta'!$B$4:$B$21,'Balizador da Meta'!$C$4:$C$21)</f>
        <v>36</v>
      </c>
      <c r="W904" s="28">
        <f>W897*_xlfn.XLOOKUP($L904,'Balizador da Meta'!$B$4:$B$21,'Balizador da Meta'!$C$4:$C$21)</f>
        <v>36</v>
      </c>
      <c r="X904" s="28">
        <f>X897*_xlfn.XLOOKUP($L904,'Balizador da Meta'!$B$4:$B$21,'Balizador da Meta'!$C$4:$C$21)</f>
        <v>36</v>
      </c>
      <c r="Y904" s="28">
        <f>Y897*_xlfn.XLOOKUP($L904,'Balizador da Meta'!$B$4:$B$21,'Balizador da Meta'!$C$4:$C$21)</f>
        <v>36</v>
      </c>
      <c r="Z904" s="30">
        <f t="shared" si="217"/>
        <v>324</v>
      </c>
      <c r="AA904" s="29"/>
      <c r="AB904" s="31">
        <f>SUMIFS('Historico - FAT'!AK:AK,'Historico - FAT'!$K:$K,Faturamento!$L904,'Historico - FAT'!$I:$I,Faturamento!$J904,'Historico - FAT'!$G:$G,Faturamento!$H904)</f>
        <v>0</v>
      </c>
      <c r="AC904" s="31">
        <f>SUMIFS('Historico - FAT'!AL:AL,'Historico - FAT'!$K:$K,Faturamento!$L904,'Historico - FAT'!$I:$I,Faturamento!$J904,'Historico - FAT'!$G:$G,Faturamento!$H904)</f>
        <v>0</v>
      </c>
      <c r="AD904" s="31">
        <f>SUMIFS('Historico - FAT'!AM:AM,'Historico - FAT'!$K:$K,Faturamento!$L904,'Historico - FAT'!$I:$I,Faturamento!$J904,'Historico - FAT'!$G:$G,Faturamento!$H904)</f>
        <v>0</v>
      </c>
      <c r="AE904" s="27">
        <f>SUMIFS('Historico - FAT'!AN:AN,'Historico - FAT'!$K:$K,Faturamento!$L904,'Historico - FAT'!$I:$I,Faturamento!$J904,'Historico - FAT'!$G:$G,Faturamento!$H904)</f>
        <v>0</v>
      </c>
      <c r="AG904" s="24">
        <f t="shared" si="212"/>
        <v>1</v>
      </c>
      <c r="AH904" s="24">
        <f t="shared" si="213"/>
        <v>1</v>
      </c>
      <c r="AI904" s="24">
        <f t="shared" si="214"/>
        <v>1</v>
      </c>
    </row>
    <row r="905" spans="1:35" hidden="1" x14ac:dyDescent="0.3">
      <c r="A905" s="2" t="str">
        <f t="shared" si="211"/>
        <v>NÃO</v>
      </c>
      <c r="B905" s="2">
        <v>1000184670</v>
      </c>
      <c r="C905" s="2" t="s">
        <v>147</v>
      </c>
      <c r="D905" s="4">
        <v>1000186197</v>
      </c>
      <c r="E905" s="4" t="s">
        <v>166</v>
      </c>
      <c r="F905" s="2">
        <v>1000185288</v>
      </c>
      <c r="G905" s="2" t="s">
        <v>64</v>
      </c>
      <c r="H905" s="4">
        <v>1000189792</v>
      </c>
      <c r="I905" s="4" t="s">
        <v>116</v>
      </c>
      <c r="J905" s="2">
        <v>1000189270</v>
      </c>
      <c r="K905" s="2" t="s">
        <v>34</v>
      </c>
      <c r="L905" s="4" t="s">
        <v>24</v>
      </c>
      <c r="M905" s="4" t="str">
        <f t="shared" si="218"/>
        <v>1000184670100018619710001897921000189270KIDS</v>
      </c>
      <c r="N905" s="28">
        <f>N897*_xlfn.XLOOKUP($L905,'Balizador da Meta'!$B$4:$B$21,'Balizador da Meta'!$C$4:$C$21)</f>
        <v>0</v>
      </c>
      <c r="O905" s="28">
        <f>O897*_xlfn.XLOOKUP($L905,'Balizador da Meta'!$B$4:$B$21,'Balizador da Meta'!$C$4:$C$21)</f>
        <v>0</v>
      </c>
      <c r="P905" s="28">
        <f>P897*_xlfn.XLOOKUP($L905,'Balizador da Meta'!$B$4:$B$21,'Balizador da Meta'!$C$4:$C$21)</f>
        <v>0</v>
      </c>
      <c r="Q905" s="28">
        <f>Q897*_xlfn.XLOOKUP($L905,'Balizador da Meta'!$B$4:$B$21,'Balizador da Meta'!$C$4:$C$21)</f>
        <v>0</v>
      </c>
      <c r="R905" s="28">
        <f>R897*_xlfn.XLOOKUP($L905,'Balizador da Meta'!$B$4:$B$21,'Balizador da Meta'!$C$4:$C$21)</f>
        <v>0</v>
      </c>
      <c r="S905" s="28">
        <f>S897*_xlfn.XLOOKUP($L905,'Balizador da Meta'!$B$4:$B$21,'Balizador da Meta'!$C$4:$C$21)</f>
        <v>0</v>
      </c>
      <c r="T905" s="28">
        <f>T897*_xlfn.XLOOKUP($L905,'Balizador da Meta'!$B$4:$B$21,'Balizador da Meta'!$C$4:$C$21)</f>
        <v>0</v>
      </c>
      <c r="U905" s="28">
        <f>U897*_xlfn.XLOOKUP($L905,'Balizador da Meta'!$B$4:$B$21,'Balizador da Meta'!$C$4:$C$21)</f>
        <v>0</v>
      </c>
      <c r="V905" s="28">
        <f>V897*_xlfn.XLOOKUP($L905,'Balizador da Meta'!$B$4:$B$21,'Balizador da Meta'!$C$4:$C$21)</f>
        <v>0</v>
      </c>
      <c r="W905" s="28">
        <f>W897*_xlfn.XLOOKUP($L905,'Balizador da Meta'!$B$4:$B$21,'Balizador da Meta'!$C$4:$C$21)</f>
        <v>0</v>
      </c>
      <c r="X905" s="28">
        <f>X897*_xlfn.XLOOKUP($L905,'Balizador da Meta'!$B$4:$B$21,'Balizador da Meta'!$C$4:$C$21)</f>
        <v>0</v>
      </c>
      <c r="Y905" s="28">
        <f>Y897*_xlfn.XLOOKUP($L905,'Balizador da Meta'!$B$4:$B$21,'Balizador da Meta'!$C$4:$C$21)</f>
        <v>0</v>
      </c>
      <c r="Z905" s="30">
        <f t="shared" si="217"/>
        <v>0</v>
      </c>
      <c r="AA905" s="29"/>
      <c r="AB905" s="31">
        <f>SUMIFS('Historico - FAT'!AK:AK,'Historico - FAT'!$K:$K,Faturamento!$L905,'Historico - FAT'!$I:$I,Faturamento!$J905,'Historico - FAT'!$G:$G,Faturamento!$H905)</f>
        <v>0</v>
      </c>
      <c r="AC905" s="31">
        <f>SUMIFS('Historico - FAT'!AL:AL,'Historico - FAT'!$K:$K,Faturamento!$L905,'Historico - FAT'!$I:$I,Faturamento!$J905,'Historico - FAT'!$G:$G,Faturamento!$H905)</f>
        <v>0</v>
      </c>
      <c r="AD905" s="31">
        <f>SUMIFS('Historico - FAT'!AM:AM,'Historico - FAT'!$K:$K,Faturamento!$L905,'Historico - FAT'!$I:$I,Faturamento!$J905,'Historico - FAT'!$G:$G,Faturamento!$H905)</f>
        <v>0</v>
      </c>
      <c r="AE905" s="27">
        <f>SUMIFS('Historico - FAT'!AN:AN,'Historico - FAT'!$K:$K,Faturamento!$L905,'Historico - FAT'!$I:$I,Faturamento!$J905,'Historico - FAT'!$G:$G,Faturamento!$H905)</f>
        <v>0</v>
      </c>
      <c r="AG905" s="24" t="str">
        <f t="shared" si="212"/>
        <v/>
      </c>
      <c r="AH905" s="24" t="str">
        <f t="shared" si="213"/>
        <v/>
      </c>
      <c r="AI905" s="24" t="str">
        <f t="shared" si="214"/>
        <v/>
      </c>
    </row>
    <row r="906" spans="1:35" hidden="1" x14ac:dyDescent="0.3">
      <c r="A906" s="2" t="str">
        <f t="shared" si="211"/>
        <v>NÃO</v>
      </c>
      <c r="B906" s="2">
        <v>1000184670</v>
      </c>
      <c r="C906" s="2" t="s">
        <v>147</v>
      </c>
      <c r="D906" s="4">
        <v>1000186197</v>
      </c>
      <c r="E906" s="4" t="s">
        <v>166</v>
      </c>
      <c r="F906" s="2">
        <v>1000185288</v>
      </c>
      <c r="G906" s="2" t="s">
        <v>64</v>
      </c>
      <c r="H906" s="4">
        <v>1000189792</v>
      </c>
      <c r="I906" s="4" t="s">
        <v>116</v>
      </c>
      <c r="J906" s="2">
        <v>1000189270</v>
      </c>
      <c r="K906" s="2" t="s">
        <v>34</v>
      </c>
      <c r="L906" s="4" t="s">
        <v>18</v>
      </c>
      <c r="M906" s="4" t="str">
        <f t="shared" si="218"/>
        <v>1000184670100018619710001897921000189270LANCHES</v>
      </c>
      <c r="N906" s="28">
        <f>N897*_xlfn.XLOOKUP($L906,'Balizador da Meta'!$B$4:$B$21,'Balizador da Meta'!$C$4:$C$21)</f>
        <v>6</v>
      </c>
      <c r="O906" s="28">
        <f>O897*_xlfn.XLOOKUP($L906,'Balizador da Meta'!$B$4:$B$21,'Balizador da Meta'!$C$4:$C$21)</f>
        <v>6</v>
      </c>
      <c r="P906" s="28">
        <f>P897*_xlfn.XLOOKUP($L906,'Balizador da Meta'!$B$4:$B$21,'Balizador da Meta'!$C$4:$C$21)</f>
        <v>12</v>
      </c>
      <c r="Q906" s="28">
        <f>Q897*_xlfn.XLOOKUP($L906,'Balizador da Meta'!$B$4:$B$21,'Balizador da Meta'!$C$4:$C$21)</f>
        <v>12</v>
      </c>
      <c r="R906" s="28">
        <f>R897*_xlfn.XLOOKUP($L906,'Balizador da Meta'!$B$4:$B$21,'Balizador da Meta'!$C$4:$C$21)</f>
        <v>12</v>
      </c>
      <c r="S906" s="28">
        <f>S897*_xlfn.XLOOKUP($L906,'Balizador da Meta'!$B$4:$B$21,'Balizador da Meta'!$C$4:$C$21)</f>
        <v>12</v>
      </c>
      <c r="T906" s="28">
        <f>T897*_xlfn.XLOOKUP($L906,'Balizador da Meta'!$B$4:$B$21,'Balizador da Meta'!$C$4:$C$21)</f>
        <v>12</v>
      </c>
      <c r="U906" s="28">
        <f>U897*_xlfn.XLOOKUP($L906,'Balizador da Meta'!$B$4:$B$21,'Balizador da Meta'!$C$4:$C$21)</f>
        <v>18</v>
      </c>
      <c r="V906" s="28">
        <f>V897*_xlfn.XLOOKUP($L906,'Balizador da Meta'!$B$4:$B$21,'Balizador da Meta'!$C$4:$C$21)</f>
        <v>18</v>
      </c>
      <c r="W906" s="28">
        <f>W897*_xlfn.XLOOKUP($L906,'Balizador da Meta'!$B$4:$B$21,'Balizador da Meta'!$C$4:$C$21)</f>
        <v>18</v>
      </c>
      <c r="X906" s="28">
        <f>X897*_xlfn.XLOOKUP($L906,'Balizador da Meta'!$B$4:$B$21,'Balizador da Meta'!$C$4:$C$21)</f>
        <v>18</v>
      </c>
      <c r="Y906" s="28">
        <f>Y897*_xlfn.XLOOKUP($L906,'Balizador da Meta'!$B$4:$B$21,'Balizador da Meta'!$C$4:$C$21)</f>
        <v>18</v>
      </c>
      <c r="Z906" s="30">
        <f t="shared" si="217"/>
        <v>162</v>
      </c>
      <c r="AA906" s="29"/>
      <c r="AB906" s="31">
        <f>SUMIFS('Historico - FAT'!AK:AK,'Historico - FAT'!$K:$K,Faturamento!$L906,'Historico - FAT'!$I:$I,Faturamento!$J906,'Historico - FAT'!$G:$G,Faturamento!$H906)</f>
        <v>0</v>
      </c>
      <c r="AC906" s="31">
        <f>SUMIFS('Historico - FAT'!AL:AL,'Historico - FAT'!$K:$K,Faturamento!$L906,'Historico - FAT'!$I:$I,Faturamento!$J906,'Historico - FAT'!$G:$G,Faturamento!$H906)</f>
        <v>0</v>
      </c>
      <c r="AD906" s="31">
        <f>SUMIFS('Historico - FAT'!AM:AM,'Historico - FAT'!$K:$K,Faturamento!$L906,'Historico - FAT'!$I:$I,Faturamento!$J906,'Historico - FAT'!$G:$G,Faturamento!$H906)</f>
        <v>0</v>
      </c>
      <c r="AE906" s="27">
        <f>SUMIFS('Historico - FAT'!AN:AN,'Historico - FAT'!$K:$K,Faturamento!$L906,'Historico - FAT'!$I:$I,Faturamento!$J906,'Historico - FAT'!$G:$G,Faturamento!$H906)</f>
        <v>0</v>
      </c>
      <c r="AG906" s="24">
        <f t="shared" si="212"/>
        <v>1</v>
      </c>
      <c r="AH906" s="24">
        <f t="shared" si="213"/>
        <v>1</v>
      </c>
      <c r="AI906" s="24">
        <f t="shared" si="214"/>
        <v>1</v>
      </c>
    </row>
    <row r="907" spans="1:35" hidden="1" x14ac:dyDescent="0.3">
      <c r="A907" s="2" t="str">
        <f t="shared" si="211"/>
        <v>NÃO</v>
      </c>
      <c r="B907" s="2">
        <v>1000184670</v>
      </c>
      <c r="C907" s="2" t="s">
        <v>147</v>
      </c>
      <c r="D907" s="4">
        <v>1000186197</v>
      </c>
      <c r="E907" s="4" t="s">
        <v>166</v>
      </c>
      <c r="F907" s="2">
        <v>1000185288</v>
      </c>
      <c r="G907" s="2" t="s">
        <v>64</v>
      </c>
      <c r="H907" s="4">
        <v>1000189792</v>
      </c>
      <c r="I907" s="4" t="s">
        <v>116</v>
      </c>
      <c r="J907" s="2">
        <v>1000189270</v>
      </c>
      <c r="K907" s="2" t="s">
        <v>34</v>
      </c>
      <c r="L907" s="4" t="s">
        <v>29</v>
      </c>
      <c r="M907" s="4" t="str">
        <f t="shared" si="218"/>
        <v>1000184670100018619710001897921000189270MAIS GRANEL</v>
      </c>
      <c r="N907" s="28">
        <f>N897*_xlfn.XLOOKUP($L907,'Balizador da Meta'!$B$4:$B$21,'Balizador da Meta'!$C$4:$C$21)</f>
        <v>192</v>
      </c>
      <c r="O907" s="28">
        <f>O897*_xlfn.XLOOKUP($L907,'Balizador da Meta'!$B$4:$B$21,'Balizador da Meta'!$C$4:$C$21)</f>
        <v>192</v>
      </c>
      <c r="P907" s="28">
        <f>P897*_xlfn.XLOOKUP($L907,'Balizador da Meta'!$B$4:$B$21,'Balizador da Meta'!$C$4:$C$21)</f>
        <v>384</v>
      </c>
      <c r="Q907" s="28">
        <f>Q897*_xlfn.XLOOKUP($L907,'Balizador da Meta'!$B$4:$B$21,'Balizador da Meta'!$C$4:$C$21)</f>
        <v>384</v>
      </c>
      <c r="R907" s="28">
        <f>R897*_xlfn.XLOOKUP($L907,'Balizador da Meta'!$B$4:$B$21,'Balizador da Meta'!$C$4:$C$21)</f>
        <v>384</v>
      </c>
      <c r="S907" s="28">
        <f>S897*_xlfn.XLOOKUP($L907,'Balizador da Meta'!$B$4:$B$21,'Balizador da Meta'!$C$4:$C$21)</f>
        <v>384</v>
      </c>
      <c r="T907" s="28">
        <f>T897*_xlfn.XLOOKUP($L907,'Balizador da Meta'!$B$4:$B$21,'Balizador da Meta'!$C$4:$C$21)</f>
        <v>384</v>
      </c>
      <c r="U907" s="28">
        <f>U897*_xlfn.XLOOKUP($L907,'Balizador da Meta'!$B$4:$B$21,'Balizador da Meta'!$C$4:$C$21)</f>
        <v>576</v>
      </c>
      <c r="V907" s="28">
        <f>V897*_xlfn.XLOOKUP($L907,'Balizador da Meta'!$B$4:$B$21,'Balizador da Meta'!$C$4:$C$21)</f>
        <v>576</v>
      </c>
      <c r="W907" s="28">
        <f>W897*_xlfn.XLOOKUP($L907,'Balizador da Meta'!$B$4:$B$21,'Balizador da Meta'!$C$4:$C$21)</f>
        <v>576</v>
      </c>
      <c r="X907" s="28">
        <f>X897*_xlfn.XLOOKUP($L907,'Balizador da Meta'!$B$4:$B$21,'Balizador da Meta'!$C$4:$C$21)</f>
        <v>576</v>
      </c>
      <c r="Y907" s="28">
        <f>Y897*_xlfn.XLOOKUP($L907,'Balizador da Meta'!$B$4:$B$21,'Balizador da Meta'!$C$4:$C$21)</f>
        <v>576</v>
      </c>
      <c r="Z907" s="30">
        <f t="shared" si="217"/>
        <v>5184</v>
      </c>
      <c r="AA907" s="29"/>
      <c r="AB907" s="31">
        <f>SUMIFS('Historico - FAT'!AK:AK,'Historico - FAT'!$K:$K,Faturamento!$L907,'Historico - FAT'!$I:$I,Faturamento!$J907,'Historico - FAT'!$G:$G,Faturamento!$H907)</f>
        <v>0</v>
      </c>
      <c r="AC907" s="31">
        <f>SUMIFS('Historico - FAT'!AL:AL,'Historico - FAT'!$K:$K,Faturamento!$L907,'Historico - FAT'!$I:$I,Faturamento!$J907,'Historico - FAT'!$G:$G,Faturamento!$H907)</f>
        <v>0</v>
      </c>
      <c r="AD907" s="31">
        <f>SUMIFS('Historico - FAT'!AM:AM,'Historico - FAT'!$K:$K,Faturamento!$L907,'Historico - FAT'!$I:$I,Faturamento!$J907,'Historico - FAT'!$G:$G,Faturamento!$H907)</f>
        <v>0</v>
      </c>
      <c r="AE907" s="27">
        <f>SUMIFS('Historico - FAT'!AN:AN,'Historico - FAT'!$K:$K,Faturamento!$L907,'Historico - FAT'!$I:$I,Faturamento!$J907,'Historico - FAT'!$G:$G,Faturamento!$H907)</f>
        <v>0</v>
      </c>
      <c r="AG907" s="24">
        <f t="shared" si="212"/>
        <v>1</v>
      </c>
      <c r="AH907" s="24">
        <f t="shared" si="213"/>
        <v>1</v>
      </c>
      <c r="AI907" s="24">
        <f t="shared" si="214"/>
        <v>1</v>
      </c>
    </row>
    <row r="908" spans="1:35" hidden="1" x14ac:dyDescent="0.3">
      <c r="A908" s="2" t="str">
        <f t="shared" si="211"/>
        <v>NÃO</v>
      </c>
      <c r="B908" s="2">
        <v>1000184670</v>
      </c>
      <c r="C908" s="2" t="s">
        <v>147</v>
      </c>
      <c r="D908" s="4">
        <v>1000186197</v>
      </c>
      <c r="E908" s="4" t="s">
        <v>166</v>
      </c>
      <c r="F908" s="2">
        <v>1000185288</v>
      </c>
      <c r="G908" s="2" t="s">
        <v>64</v>
      </c>
      <c r="H908" s="4">
        <v>1000189792</v>
      </c>
      <c r="I908" s="4" t="s">
        <v>116</v>
      </c>
      <c r="J908" s="2">
        <v>1000189270</v>
      </c>
      <c r="K908" s="2" t="s">
        <v>34</v>
      </c>
      <c r="L908" s="4" t="s">
        <v>21</v>
      </c>
      <c r="M908" s="4" t="str">
        <f t="shared" si="218"/>
        <v>1000184670100018619710001897921000189270NATURATTA</v>
      </c>
      <c r="N908" s="28">
        <f>N897*_xlfn.XLOOKUP($L908,'Balizador da Meta'!$B$4:$B$21,'Balizador da Meta'!$C$4:$C$21)</f>
        <v>30</v>
      </c>
      <c r="O908" s="28">
        <f>O897*_xlfn.XLOOKUP($L908,'Balizador da Meta'!$B$4:$B$21,'Balizador da Meta'!$C$4:$C$21)</f>
        <v>30</v>
      </c>
      <c r="P908" s="28">
        <f>P897*_xlfn.XLOOKUP($L908,'Balizador da Meta'!$B$4:$B$21,'Balizador da Meta'!$C$4:$C$21)</f>
        <v>60</v>
      </c>
      <c r="Q908" s="28">
        <f>Q897*_xlfn.XLOOKUP($L908,'Balizador da Meta'!$B$4:$B$21,'Balizador da Meta'!$C$4:$C$21)</f>
        <v>60</v>
      </c>
      <c r="R908" s="28">
        <f>R897*_xlfn.XLOOKUP($L908,'Balizador da Meta'!$B$4:$B$21,'Balizador da Meta'!$C$4:$C$21)</f>
        <v>60</v>
      </c>
      <c r="S908" s="28">
        <f>S897*_xlfn.XLOOKUP($L908,'Balizador da Meta'!$B$4:$B$21,'Balizador da Meta'!$C$4:$C$21)</f>
        <v>60</v>
      </c>
      <c r="T908" s="28">
        <f>T897*_xlfn.XLOOKUP($L908,'Balizador da Meta'!$B$4:$B$21,'Balizador da Meta'!$C$4:$C$21)</f>
        <v>60</v>
      </c>
      <c r="U908" s="28">
        <f>U897*_xlfn.XLOOKUP($L908,'Balizador da Meta'!$B$4:$B$21,'Balizador da Meta'!$C$4:$C$21)</f>
        <v>90</v>
      </c>
      <c r="V908" s="28">
        <f>V897*_xlfn.XLOOKUP($L908,'Balizador da Meta'!$B$4:$B$21,'Balizador da Meta'!$C$4:$C$21)</f>
        <v>90</v>
      </c>
      <c r="W908" s="28">
        <f>W897*_xlfn.XLOOKUP($L908,'Balizador da Meta'!$B$4:$B$21,'Balizador da Meta'!$C$4:$C$21)</f>
        <v>90</v>
      </c>
      <c r="X908" s="28">
        <f>X897*_xlfn.XLOOKUP($L908,'Balizador da Meta'!$B$4:$B$21,'Balizador da Meta'!$C$4:$C$21)</f>
        <v>90</v>
      </c>
      <c r="Y908" s="28">
        <f>Y897*_xlfn.XLOOKUP($L908,'Balizador da Meta'!$B$4:$B$21,'Balizador da Meta'!$C$4:$C$21)</f>
        <v>90</v>
      </c>
      <c r="Z908" s="30">
        <f t="shared" si="217"/>
        <v>810</v>
      </c>
      <c r="AA908" s="29"/>
      <c r="AB908" s="31">
        <f>SUMIFS('Historico - FAT'!AK:AK,'Historico - FAT'!$K:$K,Faturamento!$L908,'Historico - FAT'!$I:$I,Faturamento!$J908,'Historico - FAT'!$G:$G,Faturamento!$H908)</f>
        <v>0</v>
      </c>
      <c r="AC908" s="31">
        <f>SUMIFS('Historico - FAT'!AL:AL,'Historico - FAT'!$K:$K,Faturamento!$L908,'Historico - FAT'!$I:$I,Faturamento!$J908,'Historico - FAT'!$G:$G,Faturamento!$H908)</f>
        <v>0</v>
      </c>
      <c r="AD908" s="31">
        <f>SUMIFS('Historico - FAT'!AM:AM,'Historico - FAT'!$K:$K,Faturamento!$L908,'Historico - FAT'!$I:$I,Faturamento!$J908,'Historico - FAT'!$G:$G,Faturamento!$H908)</f>
        <v>0</v>
      </c>
      <c r="AE908" s="27">
        <f>SUMIFS('Historico - FAT'!AN:AN,'Historico - FAT'!$K:$K,Faturamento!$L908,'Historico - FAT'!$I:$I,Faturamento!$J908,'Historico - FAT'!$G:$G,Faturamento!$H908)</f>
        <v>0</v>
      </c>
      <c r="AG908" s="24">
        <f t="shared" si="212"/>
        <v>1</v>
      </c>
      <c r="AH908" s="24">
        <f t="shared" si="213"/>
        <v>1</v>
      </c>
      <c r="AI908" s="24">
        <f t="shared" si="214"/>
        <v>1</v>
      </c>
    </row>
    <row r="909" spans="1:35" hidden="1" x14ac:dyDescent="0.3">
      <c r="A909" s="2" t="str">
        <f t="shared" si="211"/>
        <v>NÃO</v>
      </c>
      <c r="B909" s="2">
        <v>1000184670</v>
      </c>
      <c r="C909" s="2" t="s">
        <v>147</v>
      </c>
      <c r="D909" s="4">
        <v>1000186197</v>
      </c>
      <c r="E909" s="4" t="s">
        <v>166</v>
      </c>
      <c r="F909" s="2">
        <v>1000185288</v>
      </c>
      <c r="G909" s="2" t="s">
        <v>64</v>
      </c>
      <c r="H909" s="4">
        <v>1000189792</v>
      </c>
      <c r="I909" s="4" t="s">
        <v>116</v>
      </c>
      <c r="J909" s="2">
        <v>1000189270</v>
      </c>
      <c r="K909" s="2" t="s">
        <v>34</v>
      </c>
      <c r="L909" s="4" t="s">
        <v>20</v>
      </c>
      <c r="M909" s="4" t="str">
        <f t="shared" si="218"/>
        <v>1000184670100018619710001897921000189270REEMBALADOS</v>
      </c>
      <c r="N909" s="28">
        <f>N897*_xlfn.XLOOKUP($L909,'Balizador da Meta'!$B$4:$B$21,'Balizador da Meta'!$C$4:$C$21)</f>
        <v>24</v>
      </c>
      <c r="O909" s="28">
        <f>O897*_xlfn.XLOOKUP($L909,'Balizador da Meta'!$B$4:$B$21,'Balizador da Meta'!$C$4:$C$21)</f>
        <v>24</v>
      </c>
      <c r="P909" s="28">
        <f>P897*_xlfn.XLOOKUP($L909,'Balizador da Meta'!$B$4:$B$21,'Balizador da Meta'!$C$4:$C$21)</f>
        <v>48</v>
      </c>
      <c r="Q909" s="28">
        <f>Q897*_xlfn.XLOOKUP($L909,'Balizador da Meta'!$B$4:$B$21,'Balizador da Meta'!$C$4:$C$21)</f>
        <v>48</v>
      </c>
      <c r="R909" s="28">
        <f>R897*_xlfn.XLOOKUP($L909,'Balizador da Meta'!$B$4:$B$21,'Balizador da Meta'!$C$4:$C$21)</f>
        <v>48</v>
      </c>
      <c r="S909" s="28">
        <f>S897*_xlfn.XLOOKUP($L909,'Balizador da Meta'!$B$4:$B$21,'Balizador da Meta'!$C$4:$C$21)</f>
        <v>48</v>
      </c>
      <c r="T909" s="28">
        <f>T897*_xlfn.XLOOKUP($L909,'Balizador da Meta'!$B$4:$B$21,'Balizador da Meta'!$C$4:$C$21)</f>
        <v>48</v>
      </c>
      <c r="U909" s="28">
        <f>U897*_xlfn.XLOOKUP($L909,'Balizador da Meta'!$B$4:$B$21,'Balizador da Meta'!$C$4:$C$21)</f>
        <v>72</v>
      </c>
      <c r="V909" s="28">
        <f>V897*_xlfn.XLOOKUP($L909,'Balizador da Meta'!$B$4:$B$21,'Balizador da Meta'!$C$4:$C$21)</f>
        <v>72</v>
      </c>
      <c r="W909" s="28">
        <f>W897*_xlfn.XLOOKUP($L909,'Balizador da Meta'!$B$4:$B$21,'Balizador da Meta'!$C$4:$C$21)</f>
        <v>72</v>
      </c>
      <c r="X909" s="28">
        <f>X897*_xlfn.XLOOKUP($L909,'Balizador da Meta'!$B$4:$B$21,'Balizador da Meta'!$C$4:$C$21)</f>
        <v>72</v>
      </c>
      <c r="Y909" s="28">
        <f>Y897*_xlfn.XLOOKUP($L909,'Balizador da Meta'!$B$4:$B$21,'Balizador da Meta'!$C$4:$C$21)</f>
        <v>72</v>
      </c>
      <c r="Z909" s="30">
        <f t="shared" si="217"/>
        <v>648</v>
      </c>
      <c r="AA909" s="29"/>
      <c r="AB909" s="31">
        <f>SUMIFS('Historico - FAT'!AK:AK,'Historico - FAT'!$K:$K,Faturamento!$L909,'Historico - FAT'!$I:$I,Faturamento!$J909,'Historico - FAT'!$G:$G,Faturamento!$H909)</f>
        <v>0</v>
      </c>
      <c r="AC909" s="31">
        <f>SUMIFS('Historico - FAT'!AL:AL,'Historico - FAT'!$K:$K,Faturamento!$L909,'Historico - FAT'!$I:$I,Faturamento!$J909,'Historico - FAT'!$G:$G,Faturamento!$H909)</f>
        <v>9.07</v>
      </c>
      <c r="AD909" s="31">
        <f>SUMIFS('Historico - FAT'!AM:AM,'Historico - FAT'!$K:$K,Faturamento!$L909,'Historico - FAT'!$I:$I,Faturamento!$J909,'Historico - FAT'!$G:$G,Faturamento!$H909)</f>
        <v>18.14</v>
      </c>
      <c r="AE909" s="27">
        <f>SUMIFS('Historico - FAT'!AN:AN,'Historico - FAT'!$K:$K,Faturamento!$L909,'Historico - FAT'!$I:$I,Faturamento!$J909,'Historico - FAT'!$G:$G,Faturamento!$H909)</f>
        <v>10.884</v>
      </c>
      <c r="AG909" s="24">
        <f t="shared" si="212"/>
        <v>1</v>
      </c>
      <c r="AH909" s="24">
        <f t="shared" si="213"/>
        <v>0.87402777777777774</v>
      </c>
      <c r="AI909" s="24">
        <f t="shared" si="214"/>
        <v>0.74805555555555558</v>
      </c>
    </row>
    <row r="910" spans="1:35" hidden="1" x14ac:dyDescent="0.3">
      <c r="A910" s="2" t="str">
        <f t="shared" si="211"/>
        <v>NÃO</v>
      </c>
      <c r="B910" s="2">
        <v>1000184670</v>
      </c>
      <c r="C910" s="2" t="s">
        <v>147</v>
      </c>
      <c r="D910" s="4">
        <v>1000186197</v>
      </c>
      <c r="E910" s="4" t="s">
        <v>166</v>
      </c>
      <c r="F910" s="2">
        <v>1000185288</v>
      </c>
      <c r="G910" s="2" t="s">
        <v>64</v>
      </c>
      <c r="H910" s="4">
        <v>1000189792</v>
      </c>
      <c r="I910" s="4" t="s">
        <v>116</v>
      </c>
      <c r="J910" s="2">
        <v>1000189270</v>
      </c>
      <c r="K910" s="2" t="s">
        <v>34</v>
      </c>
      <c r="L910" s="4" t="s">
        <v>22</v>
      </c>
      <c r="M910" s="4" t="str">
        <f t="shared" si="218"/>
        <v>1000184670100018619710001897921000189270S GLUTEN</v>
      </c>
      <c r="N910" s="28">
        <f>N897*_xlfn.XLOOKUP($L910,'Balizador da Meta'!$B$4:$B$21,'Balizador da Meta'!$C$4:$C$21)</f>
        <v>24</v>
      </c>
      <c r="O910" s="28">
        <f>O897*_xlfn.XLOOKUP($L910,'Balizador da Meta'!$B$4:$B$21,'Balizador da Meta'!$C$4:$C$21)</f>
        <v>24</v>
      </c>
      <c r="P910" s="28">
        <f>P897*_xlfn.XLOOKUP($L910,'Balizador da Meta'!$B$4:$B$21,'Balizador da Meta'!$C$4:$C$21)</f>
        <v>48</v>
      </c>
      <c r="Q910" s="28">
        <f>Q897*_xlfn.XLOOKUP($L910,'Balizador da Meta'!$B$4:$B$21,'Balizador da Meta'!$C$4:$C$21)</f>
        <v>48</v>
      </c>
      <c r="R910" s="28">
        <f>R897*_xlfn.XLOOKUP($L910,'Balizador da Meta'!$B$4:$B$21,'Balizador da Meta'!$C$4:$C$21)</f>
        <v>48</v>
      </c>
      <c r="S910" s="28">
        <f>S897*_xlfn.XLOOKUP($L910,'Balizador da Meta'!$B$4:$B$21,'Balizador da Meta'!$C$4:$C$21)</f>
        <v>48</v>
      </c>
      <c r="T910" s="28">
        <f>T897*_xlfn.XLOOKUP($L910,'Balizador da Meta'!$B$4:$B$21,'Balizador da Meta'!$C$4:$C$21)</f>
        <v>48</v>
      </c>
      <c r="U910" s="28">
        <f>U897*_xlfn.XLOOKUP($L910,'Balizador da Meta'!$B$4:$B$21,'Balizador da Meta'!$C$4:$C$21)</f>
        <v>72</v>
      </c>
      <c r="V910" s="28">
        <f>V897*_xlfn.XLOOKUP($L910,'Balizador da Meta'!$B$4:$B$21,'Balizador da Meta'!$C$4:$C$21)</f>
        <v>72</v>
      </c>
      <c r="W910" s="28">
        <f>W897*_xlfn.XLOOKUP($L910,'Balizador da Meta'!$B$4:$B$21,'Balizador da Meta'!$C$4:$C$21)</f>
        <v>72</v>
      </c>
      <c r="X910" s="28">
        <f>X897*_xlfn.XLOOKUP($L910,'Balizador da Meta'!$B$4:$B$21,'Balizador da Meta'!$C$4:$C$21)</f>
        <v>72</v>
      </c>
      <c r="Y910" s="28">
        <f>Y897*_xlfn.XLOOKUP($L910,'Balizador da Meta'!$B$4:$B$21,'Balizador da Meta'!$C$4:$C$21)</f>
        <v>72</v>
      </c>
      <c r="Z910" s="30">
        <f t="shared" si="217"/>
        <v>648</v>
      </c>
      <c r="AA910" s="29"/>
      <c r="AB910" s="31">
        <f>SUMIFS('Historico - FAT'!AK:AK,'Historico - FAT'!$K:$K,Faturamento!$L910,'Historico - FAT'!$I:$I,Faturamento!$J910,'Historico - FAT'!$G:$G,Faturamento!$H910)</f>
        <v>0</v>
      </c>
      <c r="AC910" s="31">
        <f>SUMIFS('Historico - FAT'!AL:AL,'Historico - FAT'!$K:$K,Faturamento!$L910,'Historico - FAT'!$I:$I,Faturamento!$J910,'Historico - FAT'!$G:$G,Faturamento!$H910)</f>
        <v>103.33333333333333</v>
      </c>
      <c r="AD910" s="31">
        <f>SUMIFS('Historico - FAT'!AM:AM,'Historico - FAT'!$K:$K,Faturamento!$L910,'Historico - FAT'!$I:$I,Faturamento!$J910,'Historico - FAT'!$G:$G,Faturamento!$H910)</f>
        <v>206.66666666666666</v>
      </c>
      <c r="AE910" s="27">
        <f>SUMIFS('Historico - FAT'!AN:AN,'Historico - FAT'!$K:$K,Faturamento!$L910,'Historico - FAT'!$I:$I,Faturamento!$J910,'Historico - FAT'!$G:$G,Faturamento!$H910)</f>
        <v>124</v>
      </c>
      <c r="AG910" s="24">
        <f t="shared" si="212"/>
        <v>1</v>
      </c>
      <c r="AH910" s="24">
        <f t="shared" si="213"/>
        <v>-0.43518518518518512</v>
      </c>
      <c r="AI910" s="24">
        <f t="shared" si="214"/>
        <v>-1.8703703703703702</v>
      </c>
    </row>
    <row r="911" spans="1:35" hidden="1" x14ac:dyDescent="0.3">
      <c r="A911" s="2" t="str">
        <f t="shared" si="211"/>
        <v>NÃO</v>
      </c>
      <c r="B911" s="2">
        <v>1000184670</v>
      </c>
      <c r="C911" s="2" t="s">
        <v>147</v>
      </c>
      <c r="D911" s="4">
        <v>1000186197</v>
      </c>
      <c r="E911" s="4" t="s">
        <v>166</v>
      </c>
      <c r="F911" s="2">
        <v>1000185288</v>
      </c>
      <c r="G911" s="2" t="s">
        <v>64</v>
      </c>
      <c r="H911" s="4">
        <v>1000189792</v>
      </c>
      <c r="I911" s="4" t="s">
        <v>116</v>
      </c>
      <c r="J911" s="2">
        <v>1000189270</v>
      </c>
      <c r="K911" s="2" t="s">
        <v>34</v>
      </c>
      <c r="L911" s="4" t="s">
        <v>23</v>
      </c>
      <c r="M911" s="4" t="str">
        <f t="shared" si="218"/>
        <v>1000184670100018619710001897921000189270SABORES DO CAMPO</v>
      </c>
      <c r="N911" s="28">
        <f>N897*_xlfn.XLOOKUP($L911,'Balizador da Meta'!$B$4:$B$21,'Balizador da Meta'!$C$4:$C$21)</f>
        <v>0</v>
      </c>
      <c r="O911" s="28">
        <f>O897*_xlfn.XLOOKUP($L911,'Balizador da Meta'!$B$4:$B$21,'Balizador da Meta'!$C$4:$C$21)</f>
        <v>0</v>
      </c>
      <c r="P911" s="28">
        <f>P897*_xlfn.XLOOKUP($L911,'Balizador da Meta'!$B$4:$B$21,'Balizador da Meta'!$C$4:$C$21)</f>
        <v>0</v>
      </c>
      <c r="Q911" s="28">
        <f>Q897*_xlfn.XLOOKUP($L911,'Balizador da Meta'!$B$4:$B$21,'Balizador da Meta'!$C$4:$C$21)</f>
        <v>0</v>
      </c>
      <c r="R911" s="28">
        <f>R897*_xlfn.XLOOKUP($L911,'Balizador da Meta'!$B$4:$B$21,'Balizador da Meta'!$C$4:$C$21)</f>
        <v>0</v>
      </c>
      <c r="S911" s="28">
        <f>S897*_xlfn.XLOOKUP($L911,'Balizador da Meta'!$B$4:$B$21,'Balizador da Meta'!$C$4:$C$21)</f>
        <v>0</v>
      </c>
      <c r="T911" s="28">
        <f>T897*_xlfn.XLOOKUP($L911,'Balizador da Meta'!$B$4:$B$21,'Balizador da Meta'!$C$4:$C$21)</f>
        <v>0</v>
      </c>
      <c r="U911" s="28">
        <f>U897*_xlfn.XLOOKUP($L911,'Balizador da Meta'!$B$4:$B$21,'Balizador da Meta'!$C$4:$C$21)</f>
        <v>0</v>
      </c>
      <c r="V911" s="28">
        <f>V897*_xlfn.XLOOKUP($L911,'Balizador da Meta'!$B$4:$B$21,'Balizador da Meta'!$C$4:$C$21)</f>
        <v>0</v>
      </c>
      <c r="W911" s="28">
        <f>W897*_xlfn.XLOOKUP($L911,'Balizador da Meta'!$B$4:$B$21,'Balizador da Meta'!$C$4:$C$21)</f>
        <v>0</v>
      </c>
      <c r="X911" s="28">
        <f>X897*_xlfn.XLOOKUP($L911,'Balizador da Meta'!$B$4:$B$21,'Balizador da Meta'!$C$4:$C$21)</f>
        <v>0</v>
      </c>
      <c r="Y911" s="28">
        <f>Y897*_xlfn.XLOOKUP($L911,'Balizador da Meta'!$B$4:$B$21,'Balizador da Meta'!$C$4:$C$21)</f>
        <v>0</v>
      </c>
      <c r="Z911" s="30">
        <f t="shared" si="217"/>
        <v>0</v>
      </c>
      <c r="AA911" s="29"/>
      <c r="AB911" s="31">
        <f>SUMIFS('Historico - FAT'!AK:AK,'Historico - FAT'!$K:$K,Faturamento!$L911,'Historico - FAT'!$I:$I,Faturamento!$J911,'Historico - FAT'!$G:$G,Faturamento!$H911)</f>
        <v>0</v>
      </c>
      <c r="AC911" s="31">
        <f>SUMIFS('Historico - FAT'!AL:AL,'Historico - FAT'!$K:$K,Faturamento!$L911,'Historico - FAT'!$I:$I,Faturamento!$J911,'Historico - FAT'!$G:$G,Faturamento!$H911)</f>
        <v>0</v>
      </c>
      <c r="AD911" s="31">
        <f>SUMIFS('Historico - FAT'!AM:AM,'Historico - FAT'!$K:$K,Faturamento!$L911,'Historico - FAT'!$I:$I,Faturamento!$J911,'Historico - FAT'!$G:$G,Faturamento!$H911)</f>
        <v>0</v>
      </c>
      <c r="AE911" s="27">
        <f>SUMIFS('Historico - FAT'!AN:AN,'Historico - FAT'!$K:$K,Faturamento!$L911,'Historico - FAT'!$I:$I,Faturamento!$J911,'Historico - FAT'!$G:$G,Faturamento!$H911)</f>
        <v>0</v>
      </c>
      <c r="AG911" s="24" t="str">
        <f t="shared" si="212"/>
        <v/>
      </c>
      <c r="AH911" s="24" t="str">
        <f t="shared" si="213"/>
        <v/>
      </c>
      <c r="AI911" s="24" t="str">
        <f t="shared" si="214"/>
        <v/>
      </c>
    </row>
    <row r="912" spans="1:35" hidden="1" x14ac:dyDescent="0.3">
      <c r="A912" s="2" t="str">
        <f t="shared" si="211"/>
        <v>NÃO</v>
      </c>
      <c r="B912" s="2">
        <v>1000184670</v>
      </c>
      <c r="C912" s="2" t="s">
        <v>147</v>
      </c>
      <c r="D912" s="4">
        <v>1000186197</v>
      </c>
      <c r="E912" s="4" t="s">
        <v>166</v>
      </c>
      <c r="F912" s="2">
        <v>1000185288</v>
      </c>
      <c r="G912" s="2" t="s">
        <v>64</v>
      </c>
      <c r="H912" s="4">
        <v>1000189792</v>
      </c>
      <c r="I912" s="4" t="s">
        <v>116</v>
      </c>
      <c r="J912" s="2">
        <v>1000189270</v>
      </c>
      <c r="K912" s="2" t="s">
        <v>34</v>
      </c>
      <c r="L912" s="4" t="s">
        <v>28</v>
      </c>
      <c r="M912" s="4" t="str">
        <f t="shared" si="218"/>
        <v>1000184670100018619710001897921000189270SAL</v>
      </c>
      <c r="N912" s="28">
        <f>N897*_xlfn.XLOOKUP($L912,'Balizador da Meta'!$B$4:$B$21,'Balizador da Meta'!$C$4:$C$21)</f>
        <v>12</v>
      </c>
      <c r="O912" s="28">
        <f>O897*_xlfn.XLOOKUP($L912,'Balizador da Meta'!$B$4:$B$21,'Balizador da Meta'!$C$4:$C$21)</f>
        <v>12</v>
      </c>
      <c r="P912" s="28">
        <f>P897*_xlfn.XLOOKUP($L912,'Balizador da Meta'!$B$4:$B$21,'Balizador da Meta'!$C$4:$C$21)</f>
        <v>24</v>
      </c>
      <c r="Q912" s="28">
        <f>Q897*_xlfn.XLOOKUP($L912,'Balizador da Meta'!$B$4:$B$21,'Balizador da Meta'!$C$4:$C$21)</f>
        <v>24</v>
      </c>
      <c r="R912" s="28">
        <f>R897*_xlfn.XLOOKUP($L912,'Balizador da Meta'!$B$4:$B$21,'Balizador da Meta'!$C$4:$C$21)</f>
        <v>24</v>
      </c>
      <c r="S912" s="28">
        <f>S897*_xlfn.XLOOKUP($L912,'Balizador da Meta'!$B$4:$B$21,'Balizador da Meta'!$C$4:$C$21)</f>
        <v>24</v>
      </c>
      <c r="T912" s="28">
        <f>T897*_xlfn.XLOOKUP($L912,'Balizador da Meta'!$B$4:$B$21,'Balizador da Meta'!$C$4:$C$21)</f>
        <v>24</v>
      </c>
      <c r="U912" s="28">
        <f>U897*_xlfn.XLOOKUP($L912,'Balizador da Meta'!$B$4:$B$21,'Balizador da Meta'!$C$4:$C$21)</f>
        <v>36</v>
      </c>
      <c r="V912" s="28">
        <f>V897*_xlfn.XLOOKUP($L912,'Balizador da Meta'!$B$4:$B$21,'Balizador da Meta'!$C$4:$C$21)</f>
        <v>36</v>
      </c>
      <c r="W912" s="28">
        <f>W897*_xlfn.XLOOKUP($L912,'Balizador da Meta'!$B$4:$B$21,'Balizador da Meta'!$C$4:$C$21)</f>
        <v>36</v>
      </c>
      <c r="X912" s="28">
        <f>X897*_xlfn.XLOOKUP($L912,'Balizador da Meta'!$B$4:$B$21,'Balizador da Meta'!$C$4:$C$21)</f>
        <v>36</v>
      </c>
      <c r="Y912" s="28">
        <f>Y897*_xlfn.XLOOKUP($L912,'Balizador da Meta'!$B$4:$B$21,'Balizador da Meta'!$C$4:$C$21)</f>
        <v>36</v>
      </c>
      <c r="Z912" s="30">
        <f t="shared" si="217"/>
        <v>324</v>
      </c>
      <c r="AA912" s="29"/>
      <c r="AB912" s="31">
        <f>SUMIFS('Historico - FAT'!AK:AK,'Historico - FAT'!$K:$K,Faturamento!$L912,'Historico - FAT'!$I:$I,Faturamento!$J912,'Historico - FAT'!$G:$G,Faturamento!$H912)</f>
        <v>0</v>
      </c>
      <c r="AC912" s="31">
        <f>SUMIFS('Historico - FAT'!AL:AL,'Historico - FAT'!$K:$K,Faturamento!$L912,'Historico - FAT'!$I:$I,Faturamento!$J912,'Historico - FAT'!$G:$G,Faturamento!$H912)</f>
        <v>0</v>
      </c>
      <c r="AD912" s="31">
        <f>SUMIFS('Historico - FAT'!AM:AM,'Historico - FAT'!$K:$K,Faturamento!$L912,'Historico - FAT'!$I:$I,Faturamento!$J912,'Historico - FAT'!$G:$G,Faturamento!$H912)</f>
        <v>0</v>
      </c>
      <c r="AE912" s="27">
        <f>SUMIFS('Historico - FAT'!AN:AN,'Historico - FAT'!$K:$K,Faturamento!$L912,'Historico - FAT'!$I:$I,Faturamento!$J912,'Historico - FAT'!$G:$G,Faturamento!$H912)</f>
        <v>0</v>
      </c>
      <c r="AG912" s="24">
        <f t="shared" si="212"/>
        <v>1</v>
      </c>
      <c r="AH912" s="24">
        <f t="shared" si="213"/>
        <v>1</v>
      </c>
      <c r="AI912" s="24">
        <f t="shared" si="214"/>
        <v>1</v>
      </c>
    </row>
    <row r="913" spans="1:35" hidden="1" x14ac:dyDescent="0.3">
      <c r="A913" s="2" t="str">
        <f t="shared" si="211"/>
        <v>NÃO</v>
      </c>
      <c r="B913" s="2">
        <v>1000184670</v>
      </c>
      <c r="C913" s="2" t="s">
        <v>147</v>
      </c>
      <c r="D913" s="4">
        <v>1000186197</v>
      </c>
      <c r="E913" s="4" t="s">
        <v>166</v>
      </c>
      <c r="F913" s="2">
        <v>1000185288</v>
      </c>
      <c r="G913" s="2" t="s">
        <v>64</v>
      </c>
      <c r="H913" s="4">
        <v>1000189792</v>
      </c>
      <c r="I913" s="4" t="s">
        <v>116</v>
      </c>
      <c r="J913" s="2">
        <v>1000189270</v>
      </c>
      <c r="K913" s="2" t="s">
        <v>34</v>
      </c>
      <c r="L913" s="4" t="s">
        <v>26</v>
      </c>
      <c r="M913" s="4" t="str">
        <f t="shared" si="218"/>
        <v>1000184670100018619710001897921000189270SOULPRO</v>
      </c>
      <c r="N913" s="28">
        <f>N897*_xlfn.XLOOKUP($L913,'Balizador da Meta'!$B$4:$B$21,'Balizador da Meta'!$C$4:$C$21)</f>
        <v>36</v>
      </c>
      <c r="O913" s="28">
        <f>O897*_xlfn.XLOOKUP($L913,'Balizador da Meta'!$B$4:$B$21,'Balizador da Meta'!$C$4:$C$21)</f>
        <v>36</v>
      </c>
      <c r="P913" s="28">
        <f>P897*_xlfn.XLOOKUP($L913,'Balizador da Meta'!$B$4:$B$21,'Balizador da Meta'!$C$4:$C$21)</f>
        <v>72</v>
      </c>
      <c r="Q913" s="28">
        <f>Q897*_xlfn.XLOOKUP($L913,'Balizador da Meta'!$B$4:$B$21,'Balizador da Meta'!$C$4:$C$21)</f>
        <v>72</v>
      </c>
      <c r="R913" s="28">
        <f>R897*_xlfn.XLOOKUP($L913,'Balizador da Meta'!$B$4:$B$21,'Balizador da Meta'!$C$4:$C$21)</f>
        <v>72</v>
      </c>
      <c r="S913" s="28">
        <f>S897*_xlfn.XLOOKUP($L913,'Balizador da Meta'!$B$4:$B$21,'Balizador da Meta'!$C$4:$C$21)</f>
        <v>72</v>
      </c>
      <c r="T913" s="28">
        <f>T897*_xlfn.XLOOKUP($L913,'Balizador da Meta'!$B$4:$B$21,'Balizador da Meta'!$C$4:$C$21)</f>
        <v>72</v>
      </c>
      <c r="U913" s="28">
        <f>U897*_xlfn.XLOOKUP($L913,'Balizador da Meta'!$B$4:$B$21,'Balizador da Meta'!$C$4:$C$21)</f>
        <v>108</v>
      </c>
      <c r="V913" s="28">
        <f>V897*_xlfn.XLOOKUP($L913,'Balizador da Meta'!$B$4:$B$21,'Balizador da Meta'!$C$4:$C$21)</f>
        <v>108</v>
      </c>
      <c r="W913" s="28">
        <f>W897*_xlfn.XLOOKUP($L913,'Balizador da Meta'!$B$4:$B$21,'Balizador da Meta'!$C$4:$C$21)</f>
        <v>108</v>
      </c>
      <c r="X913" s="28">
        <f>X897*_xlfn.XLOOKUP($L913,'Balizador da Meta'!$B$4:$B$21,'Balizador da Meta'!$C$4:$C$21)</f>
        <v>108</v>
      </c>
      <c r="Y913" s="28">
        <f>Y897*_xlfn.XLOOKUP($L913,'Balizador da Meta'!$B$4:$B$21,'Balizador da Meta'!$C$4:$C$21)</f>
        <v>108</v>
      </c>
      <c r="Z913" s="30">
        <f t="shared" si="217"/>
        <v>972</v>
      </c>
      <c r="AA913" s="29"/>
      <c r="AB913" s="31">
        <f>SUMIFS('Historico - FAT'!AK:AK,'Historico - FAT'!$K:$K,Faturamento!$L913,'Historico - FAT'!$I:$I,Faturamento!$J913,'Historico - FAT'!$G:$G,Faturamento!$H913)</f>
        <v>0</v>
      </c>
      <c r="AC913" s="31">
        <f>SUMIFS('Historico - FAT'!AL:AL,'Historico - FAT'!$K:$K,Faturamento!$L913,'Historico - FAT'!$I:$I,Faturamento!$J913,'Historico - FAT'!$G:$G,Faturamento!$H913)</f>
        <v>0</v>
      </c>
      <c r="AD913" s="31">
        <f>SUMIFS('Historico - FAT'!AM:AM,'Historico - FAT'!$K:$K,Faturamento!$L913,'Historico - FAT'!$I:$I,Faturamento!$J913,'Historico - FAT'!$G:$G,Faturamento!$H913)</f>
        <v>0</v>
      </c>
      <c r="AE913" s="27">
        <f>SUMIFS('Historico - FAT'!AN:AN,'Historico - FAT'!$K:$K,Faturamento!$L913,'Historico - FAT'!$I:$I,Faturamento!$J913,'Historico - FAT'!$G:$G,Faturamento!$H913)</f>
        <v>0</v>
      </c>
      <c r="AG913" s="24">
        <f t="shared" si="212"/>
        <v>1</v>
      </c>
      <c r="AH913" s="24">
        <f t="shared" si="213"/>
        <v>1</v>
      </c>
      <c r="AI913" s="24">
        <f t="shared" si="214"/>
        <v>1</v>
      </c>
    </row>
    <row r="914" spans="1:35" hidden="1" x14ac:dyDescent="0.3">
      <c r="A914" s="2" t="str">
        <f t="shared" si="211"/>
        <v>NÃO</v>
      </c>
      <c r="B914" s="2">
        <v>1000184670</v>
      </c>
      <c r="C914" s="2" t="s">
        <v>147</v>
      </c>
      <c r="D914" s="4">
        <v>1000186197</v>
      </c>
      <c r="E914" s="4" t="s">
        <v>166</v>
      </c>
      <c r="F914" s="2">
        <v>1000185288</v>
      </c>
      <c r="G914" s="2" t="s">
        <v>64</v>
      </c>
      <c r="H914" s="4">
        <v>1000189792</v>
      </c>
      <c r="I914" s="4" t="s">
        <v>116</v>
      </c>
      <c r="J914" s="2">
        <v>1000189270</v>
      </c>
      <c r="K914" s="2" t="s">
        <v>34</v>
      </c>
      <c r="L914" s="4" t="s">
        <v>27</v>
      </c>
      <c r="M914" s="4" t="str">
        <f t="shared" si="218"/>
        <v>1000184670100018619710001897921000189270TAMARA</v>
      </c>
      <c r="N914" s="28">
        <f>N897*_xlfn.XLOOKUP($L914,'Balizador da Meta'!$B$4:$B$21,'Balizador da Meta'!$C$4:$C$21)</f>
        <v>48</v>
      </c>
      <c r="O914" s="28">
        <f>O897*_xlfn.XLOOKUP($L914,'Balizador da Meta'!$B$4:$B$21,'Balizador da Meta'!$C$4:$C$21)</f>
        <v>48</v>
      </c>
      <c r="P914" s="28">
        <f>P897*_xlfn.XLOOKUP($L914,'Balizador da Meta'!$B$4:$B$21,'Balizador da Meta'!$C$4:$C$21)</f>
        <v>96</v>
      </c>
      <c r="Q914" s="28">
        <f>Q897*_xlfn.XLOOKUP($L914,'Balizador da Meta'!$B$4:$B$21,'Balizador da Meta'!$C$4:$C$21)</f>
        <v>96</v>
      </c>
      <c r="R914" s="28">
        <f>R897*_xlfn.XLOOKUP($L914,'Balizador da Meta'!$B$4:$B$21,'Balizador da Meta'!$C$4:$C$21)</f>
        <v>96</v>
      </c>
      <c r="S914" s="28">
        <f>S897*_xlfn.XLOOKUP($L914,'Balizador da Meta'!$B$4:$B$21,'Balizador da Meta'!$C$4:$C$21)</f>
        <v>96</v>
      </c>
      <c r="T914" s="28">
        <f>T897*_xlfn.XLOOKUP($L914,'Balizador da Meta'!$B$4:$B$21,'Balizador da Meta'!$C$4:$C$21)</f>
        <v>96</v>
      </c>
      <c r="U914" s="28">
        <f>U897*_xlfn.XLOOKUP($L914,'Balizador da Meta'!$B$4:$B$21,'Balizador da Meta'!$C$4:$C$21)</f>
        <v>144</v>
      </c>
      <c r="V914" s="28">
        <f>V897*_xlfn.XLOOKUP($L914,'Balizador da Meta'!$B$4:$B$21,'Balizador da Meta'!$C$4:$C$21)</f>
        <v>144</v>
      </c>
      <c r="W914" s="28">
        <f>W897*_xlfn.XLOOKUP($L914,'Balizador da Meta'!$B$4:$B$21,'Balizador da Meta'!$C$4:$C$21)</f>
        <v>144</v>
      </c>
      <c r="X914" s="28">
        <f>X897*_xlfn.XLOOKUP($L914,'Balizador da Meta'!$B$4:$B$21,'Balizador da Meta'!$C$4:$C$21)</f>
        <v>144</v>
      </c>
      <c r="Y914" s="28">
        <f>Y897*_xlfn.XLOOKUP($L914,'Balizador da Meta'!$B$4:$B$21,'Balizador da Meta'!$C$4:$C$21)</f>
        <v>144</v>
      </c>
      <c r="Z914" s="30">
        <f t="shared" si="217"/>
        <v>1296</v>
      </c>
      <c r="AA914" s="29"/>
      <c r="AB914" s="31">
        <f>SUMIFS('Historico - FAT'!AK:AK,'Historico - FAT'!$K:$K,Faturamento!$L914,'Historico - FAT'!$I:$I,Faturamento!$J914,'Historico - FAT'!$G:$G,Faturamento!$H914)</f>
        <v>0</v>
      </c>
      <c r="AC914" s="31">
        <f>SUMIFS('Historico - FAT'!AL:AL,'Historico - FAT'!$K:$K,Faturamento!$L914,'Historico - FAT'!$I:$I,Faturamento!$J914,'Historico - FAT'!$G:$G,Faturamento!$H914)</f>
        <v>0</v>
      </c>
      <c r="AD914" s="31">
        <f>SUMIFS('Historico - FAT'!AM:AM,'Historico - FAT'!$K:$K,Faturamento!$L914,'Historico - FAT'!$I:$I,Faturamento!$J914,'Historico - FAT'!$G:$G,Faturamento!$H914)</f>
        <v>0</v>
      </c>
      <c r="AE914" s="27">
        <f>SUMIFS('Historico - FAT'!AN:AN,'Historico - FAT'!$K:$K,Faturamento!$L914,'Historico - FAT'!$I:$I,Faturamento!$J914,'Historico - FAT'!$G:$G,Faturamento!$H914)</f>
        <v>0</v>
      </c>
      <c r="AG914" s="24">
        <f t="shared" si="212"/>
        <v>1</v>
      </c>
      <c r="AH914" s="24">
        <f t="shared" si="213"/>
        <v>1</v>
      </c>
      <c r="AI914" s="24">
        <f t="shared" si="214"/>
        <v>1</v>
      </c>
    </row>
    <row r="915" spans="1:35" hidden="1" x14ac:dyDescent="0.3">
      <c r="A915" s="2" t="str">
        <f t="shared" si="211"/>
        <v>NÃO</v>
      </c>
      <c r="B915" s="2">
        <v>1000184670</v>
      </c>
      <c r="C915" s="2" t="s">
        <v>147</v>
      </c>
      <c r="D915" s="4">
        <v>1000186197</v>
      </c>
      <c r="E915" s="4" t="s">
        <v>166</v>
      </c>
      <c r="F915" s="2">
        <v>1000185288</v>
      </c>
      <c r="G915" s="2" t="s">
        <v>64</v>
      </c>
      <c r="H915" s="4">
        <v>1000189792</v>
      </c>
      <c r="I915" s="4" t="s">
        <v>116</v>
      </c>
      <c r="J915" s="2">
        <v>1000189270</v>
      </c>
      <c r="K915" s="2" t="s">
        <v>34</v>
      </c>
      <c r="L915" s="4" t="s">
        <v>25</v>
      </c>
      <c r="M915" s="4" t="str">
        <f t="shared" si="218"/>
        <v>1000184670100018619710001897921000189270VICCIO</v>
      </c>
      <c r="N915" s="28">
        <f>N897*_xlfn.XLOOKUP($L915,'Balizador da Meta'!$B$4:$B$21,'Balizador da Meta'!$C$4:$C$21)</f>
        <v>18</v>
      </c>
      <c r="O915" s="28">
        <f>O897*_xlfn.XLOOKUP($L915,'Balizador da Meta'!$B$4:$B$21,'Balizador da Meta'!$C$4:$C$21)</f>
        <v>18</v>
      </c>
      <c r="P915" s="28">
        <f>P897*_xlfn.XLOOKUP($L915,'Balizador da Meta'!$B$4:$B$21,'Balizador da Meta'!$C$4:$C$21)</f>
        <v>36</v>
      </c>
      <c r="Q915" s="28">
        <f>Q897*_xlfn.XLOOKUP($L915,'Balizador da Meta'!$B$4:$B$21,'Balizador da Meta'!$C$4:$C$21)</f>
        <v>36</v>
      </c>
      <c r="R915" s="28">
        <f>R897*_xlfn.XLOOKUP($L915,'Balizador da Meta'!$B$4:$B$21,'Balizador da Meta'!$C$4:$C$21)</f>
        <v>36</v>
      </c>
      <c r="S915" s="28">
        <f>S897*_xlfn.XLOOKUP($L915,'Balizador da Meta'!$B$4:$B$21,'Balizador da Meta'!$C$4:$C$21)</f>
        <v>36</v>
      </c>
      <c r="T915" s="28">
        <f>T897*_xlfn.XLOOKUP($L915,'Balizador da Meta'!$B$4:$B$21,'Balizador da Meta'!$C$4:$C$21)</f>
        <v>36</v>
      </c>
      <c r="U915" s="28">
        <f>U897*_xlfn.XLOOKUP($L915,'Balizador da Meta'!$B$4:$B$21,'Balizador da Meta'!$C$4:$C$21)</f>
        <v>54</v>
      </c>
      <c r="V915" s="28">
        <f>V897*_xlfn.XLOOKUP($L915,'Balizador da Meta'!$B$4:$B$21,'Balizador da Meta'!$C$4:$C$21)</f>
        <v>54</v>
      </c>
      <c r="W915" s="28">
        <f>W897*_xlfn.XLOOKUP($L915,'Balizador da Meta'!$B$4:$B$21,'Balizador da Meta'!$C$4:$C$21)</f>
        <v>54</v>
      </c>
      <c r="X915" s="28">
        <f>X897*_xlfn.XLOOKUP($L915,'Balizador da Meta'!$B$4:$B$21,'Balizador da Meta'!$C$4:$C$21)</f>
        <v>54</v>
      </c>
      <c r="Y915" s="28">
        <f>Y897*_xlfn.XLOOKUP($L915,'Balizador da Meta'!$B$4:$B$21,'Balizador da Meta'!$C$4:$C$21)</f>
        <v>54</v>
      </c>
      <c r="Z915" s="30">
        <f t="shared" si="217"/>
        <v>486</v>
      </c>
      <c r="AA915" s="29"/>
      <c r="AB915" s="31">
        <f>SUMIFS('Historico - FAT'!AK:AK,'Historico - FAT'!$K:$K,Faturamento!$L915,'Historico - FAT'!$I:$I,Faturamento!$J915,'Historico - FAT'!$G:$G,Faturamento!$H915)</f>
        <v>0</v>
      </c>
      <c r="AC915" s="31">
        <f>SUMIFS('Historico - FAT'!AL:AL,'Historico - FAT'!$K:$K,Faturamento!$L915,'Historico - FAT'!$I:$I,Faturamento!$J915,'Historico - FAT'!$G:$G,Faturamento!$H915)</f>
        <v>0</v>
      </c>
      <c r="AD915" s="31">
        <f>SUMIFS('Historico - FAT'!AM:AM,'Historico - FAT'!$K:$K,Faturamento!$L915,'Historico - FAT'!$I:$I,Faturamento!$J915,'Historico - FAT'!$G:$G,Faturamento!$H915)</f>
        <v>0</v>
      </c>
      <c r="AE915" s="27">
        <f>SUMIFS('Historico - FAT'!AN:AN,'Historico - FAT'!$K:$K,Faturamento!$L915,'Historico - FAT'!$I:$I,Faturamento!$J915,'Historico - FAT'!$G:$G,Faturamento!$H915)</f>
        <v>0</v>
      </c>
      <c r="AG915" s="24">
        <f t="shared" si="212"/>
        <v>1</v>
      </c>
      <c r="AH915" s="24">
        <f t="shared" si="213"/>
        <v>1</v>
      </c>
      <c r="AI915" s="24">
        <f t="shared" si="214"/>
        <v>1</v>
      </c>
    </row>
    <row r="916" spans="1:35" x14ac:dyDescent="0.3">
      <c r="A916" s="2" t="str">
        <f t="shared" si="211"/>
        <v>SIM</v>
      </c>
      <c r="B916" s="2">
        <v>1000184670</v>
      </c>
      <c r="C916" s="2" t="s">
        <v>147</v>
      </c>
      <c r="D916" s="4">
        <v>1000186197</v>
      </c>
      <c r="E916" s="4" t="s">
        <v>166</v>
      </c>
      <c r="F916" s="2">
        <v>1000185288</v>
      </c>
      <c r="G916" s="2" t="s">
        <v>64</v>
      </c>
      <c r="H916" s="4">
        <v>1000189793</v>
      </c>
      <c r="I916" s="4" t="s">
        <v>85</v>
      </c>
      <c r="J916" s="2">
        <v>1000189270</v>
      </c>
      <c r="K916" s="2" t="s">
        <v>34</v>
      </c>
      <c r="L916" s="4" t="s">
        <v>124</v>
      </c>
      <c r="M916" s="4" t="str">
        <f t="shared" si="218"/>
        <v>100018467010001861971000189793100018927001. TOTAL</v>
      </c>
      <c r="N916" s="28">
        <f>SUMIFS(Positivação!L:L,Positivação!$I:$I,Faturamento!$J916,Positivação!$G:$G,Faturamento!$H916)*SUMIFS(Positivação!$Z:$Z,Positivação!$I:$I,Faturamento!$J916,Positivação!$G:$G,Faturamento!$H916)</f>
        <v>14400</v>
      </c>
      <c r="O916" s="28">
        <f>SUMIFS(Positivação!M:M,Positivação!$I:$I,Faturamento!$J916,Positivação!$G:$G,Faturamento!$H916)*SUMIFS(Positivação!$Z:$Z,Positivação!$I:$I,Faturamento!$J916,Positivação!$G:$G,Faturamento!$H916)</f>
        <v>14400</v>
      </c>
      <c r="P916" s="28">
        <f>SUMIFS(Positivação!N:N,Positivação!$I:$I,Faturamento!$J916,Positivação!$G:$G,Faturamento!$H916)*SUMIFS(Positivação!$Z:$Z,Positivação!$I:$I,Faturamento!$J916,Positivação!$G:$G,Faturamento!$H916)</f>
        <v>15000</v>
      </c>
      <c r="Q916" s="28">
        <f>SUMIFS(Positivação!O:O,Positivação!$I:$I,Faturamento!$J916,Positivação!$G:$G,Faturamento!$H916)*SUMIFS(Positivação!$Z:$Z,Positivação!$I:$I,Faturamento!$J916,Positivação!$G:$G,Faturamento!$H916)</f>
        <v>15000</v>
      </c>
      <c r="R916" s="28">
        <f>SUMIFS(Positivação!P:P,Positivação!$I:$I,Faturamento!$J916,Positivação!$G:$G,Faturamento!$H916)*SUMIFS(Positivação!$Z:$Z,Positivação!$I:$I,Faturamento!$J916,Positivação!$G:$G,Faturamento!$H916)</f>
        <v>15000</v>
      </c>
      <c r="S916" s="28">
        <f>SUMIFS(Positivação!Q:Q,Positivação!$I:$I,Faturamento!$J916,Positivação!$G:$G,Faturamento!$H916)*SUMIFS(Positivação!$Z:$Z,Positivação!$I:$I,Faturamento!$J916,Positivação!$G:$G,Faturamento!$H916)</f>
        <v>15600</v>
      </c>
      <c r="T916" s="28">
        <f>SUMIFS(Positivação!R:R,Positivação!$I:$I,Faturamento!$J916,Positivação!$G:$G,Faturamento!$H916)*SUMIFS(Positivação!$Z:$Z,Positivação!$I:$I,Faturamento!$J916,Positivação!$G:$G,Faturamento!$H916)</f>
        <v>15600</v>
      </c>
      <c r="U916" s="28">
        <f>SUMIFS(Positivação!S:S,Positivação!$I:$I,Faturamento!$J916,Positivação!$G:$G,Faturamento!$H916)*SUMIFS(Positivação!$Z:$Z,Positivação!$I:$I,Faturamento!$J916,Positivação!$G:$G,Faturamento!$H916)</f>
        <v>16200</v>
      </c>
      <c r="V916" s="28">
        <f>SUMIFS(Positivação!T:T,Positivação!$I:$I,Faturamento!$J916,Positivação!$G:$G,Faturamento!$H916)*SUMIFS(Positivação!$Z:$Z,Positivação!$I:$I,Faturamento!$J916,Positivação!$G:$G,Faturamento!$H916)</f>
        <v>16200</v>
      </c>
      <c r="W916" s="28">
        <f>SUMIFS(Positivação!U:U,Positivação!$I:$I,Faturamento!$J916,Positivação!$G:$G,Faturamento!$H916)*SUMIFS(Positivação!$Z:$Z,Positivação!$I:$I,Faturamento!$J916,Positivação!$G:$G,Faturamento!$H916)</f>
        <v>16200</v>
      </c>
      <c r="X916" s="28">
        <f>SUMIFS(Positivação!V:V,Positivação!$I:$I,Faturamento!$J916,Positivação!$G:$G,Faturamento!$H916)*SUMIFS(Positivação!$Z:$Z,Positivação!$I:$I,Faturamento!$J916,Positivação!$G:$G,Faturamento!$H916)</f>
        <v>16800</v>
      </c>
      <c r="Y916" s="28">
        <f>SUMIFS(Positivação!W:W,Positivação!$I:$I,Faturamento!$J916,Positivação!$G:$G,Faturamento!$H916)*SUMIFS(Positivação!$Z:$Z,Positivação!$I:$I,Faturamento!$J916,Positivação!$G:$G,Faturamento!$H916)</f>
        <v>16800</v>
      </c>
      <c r="Z916" s="28">
        <f t="shared" ref="Z916" si="219">SUM(Z917:Z934)</f>
        <v>187200</v>
      </c>
      <c r="AA916" s="29"/>
      <c r="AB916" s="28">
        <f t="shared" ref="AB916:AE916" si="220">SUM(AB917:AB934)</f>
        <v>1474.5641666666668</v>
      </c>
      <c r="AC916" s="28">
        <f t="shared" si="220"/>
        <v>22309.497500000001</v>
      </c>
      <c r="AD916" s="28">
        <f t="shared" si="220"/>
        <v>27618.373333333337</v>
      </c>
      <c r="AE916" s="28">
        <f t="shared" si="220"/>
        <v>26434.902000000002</v>
      </c>
      <c r="AG916" s="24">
        <f t="shared" si="212"/>
        <v>0.91117083333333326</v>
      </c>
      <c r="AH916" s="24">
        <f t="shared" si="213"/>
        <v>-0.34394563253012056</v>
      </c>
      <c r="AI916" s="24">
        <f t="shared" si="214"/>
        <v>-0.66375742971887575</v>
      </c>
    </row>
    <row r="917" spans="1:35" hidden="1" x14ac:dyDescent="0.3">
      <c r="A917" s="2" t="str">
        <f t="shared" si="211"/>
        <v>NÃO</v>
      </c>
      <c r="B917" s="2">
        <v>1000184670</v>
      </c>
      <c r="C917" s="2" t="s">
        <v>147</v>
      </c>
      <c r="D917" s="4">
        <v>1000186197</v>
      </c>
      <c r="E917" s="4" t="s">
        <v>166</v>
      </c>
      <c r="F917" s="2">
        <v>1000185288</v>
      </c>
      <c r="G917" s="2" t="s">
        <v>64</v>
      </c>
      <c r="H917" s="4">
        <v>1000189793</v>
      </c>
      <c r="I917" s="4" t="s">
        <v>85</v>
      </c>
      <c r="J917" s="2">
        <v>1000189270</v>
      </c>
      <c r="K917" s="2" t="s">
        <v>34</v>
      </c>
      <c r="L917" s="4" t="s">
        <v>13</v>
      </c>
      <c r="M917" s="4" t="str">
        <f t="shared" si="218"/>
        <v>1000184670100018619710001897931000189270BISCOITO</v>
      </c>
      <c r="N917" s="28">
        <f>N916*_xlfn.XLOOKUP($L917,'Balizador da Meta'!$B$4:$B$21,'Balizador da Meta'!$C$4:$C$21)</f>
        <v>1008.0000000000001</v>
      </c>
      <c r="O917" s="28">
        <f>O916*_xlfn.XLOOKUP($L917,'Balizador da Meta'!$B$4:$B$21,'Balizador da Meta'!$C$4:$C$21)</f>
        <v>1008.0000000000001</v>
      </c>
      <c r="P917" s="28">
        <f>P916*_xlfn.XLOOKUP($L917,'Balizador da Meta'!$B$4:$B$21,'Balizador da Meta'!$C$4:$C$21)</f>
        <v>1050</v>
      </c>
      <c r="Q917" s="28">
        <f>Q916*_xlfn.XLOOKUP($L917,'Balizador da Meta'!$B$4:$B$21,'Balizador da Meta'!$C$4:$C$21)</f>
        <v>1050</v>
      </c>
      <c r="R917" s="28">
        <f>R916*_xlfn.XLOOKUP($L917,'Balizador da Meta'!$B$4:$B$21,'Balizador da Meta'!$C$4:$C$21)</f>
        <v>1050</v>
      </c>
      <c r="S917" s="28">
        <f>S916*_xlfn.XLOOKUP($L917,'Balizador da Meta'!$B$4:$B$21,'Balizador da Meta'!$C$4:$C$21)</f>
        <v>1092</v>
      </c>
      <c r="T917" s="28">
        <f>T916*_xlfn.XLOOKUP($L917,'Balizador da Meta'!$B$4:$B$21,'Balizador da Meta'!$C$4:$C$21)</f>
        <v>1092</v>
      </c>
      <c r="U917" s="28">
        <f>U916*_xlfn.XLOOKUP($L917,'Balizador da Meta'!$B$4:$B$21,'Balizador da Meta'!$C$4:$C$21)</f>
        <v>1134</v>
      </c>
      <c r="V917" s="28">
        <f>V916*_xlfn.XLOOKUP($L917,'Balizador da Meta'!$B$4:$B$21,'Balizador da Meta'!$C$4:$C$21)</f>
        <v>1134</v>
      </c>
      <c r="W917" s="28">
        <f>W916*_xlfn.XLOOKUP($L917,'Balizador da Meta'!$B$4:$B$21,'Balizador da Meta'!$C$4:$C$21)</f>
        <v>1134</v>
      </c>
      <c r="X917" s="28">
        <f>X916*_xlfn.XLOOKUP($L917,'Balizador da Meta'!$B$4:$B$21,'Balizador da Meta'!$C$4:$C$21)</f>
        <v>1176</v>
      </c>
      <c r="Y917" s="28">
        <f>Y916*_xlfn.XLOOKUP($L917,'Balizador da Meta'!$B$4:$B$21,'Balizador da Meta'!$C$4:$C$21)</f>
        <v>1176</v>
      </c>
      <c r="Z917" s="30">
        <f t="shared" ref="Z917:Z934" si="221">SUM(N917:Y917)</f>
        <v>13104</v>
      </c>
      <c r="AA917" s="29"/>
      <c r="AB917" s="31">
        <f>SUMIFS('Historico - FAT'!AK:AK,'Historico - FAT'!$K:$K,Faturamento!$L917,'Historico - FAT'!$I:$I,Faturamento!$J917,'Historico - FAT'!$G:$G,Faturamento!$H917)</f>
        <v>562.43083333333334</v>
      </c>
      <c r="AC917" s="31">
        <f>SUMIFS('Historico - FAT'!AL:AL,'Historico - FAT'!$K:$K,Faturamento!$L917,'Historico - FAT'!$I:$I,Faturamento!$J917,'Historico - FAT'!$G:$G,Faturamento!$H917)</f>
        <v>3099.5691666666667</v>
      </c>
      <c r="AD917" s="31">
        <f>SUMIFS('Historico - FAT'!AM:AM,'Historico - FAT'!$K:$K,Faturamento!$L917,'Historico - FAT'!$I:$I,Faturamento!$J917,'Historico - FAT'!$G:$G,Faturamento!$H917)</f>
        <v>3737.1966666666667</v>
      </c>
      <c r="AE917" s="27">
        <f>SUMIFS('Historico - FAT'!AN:AN,'Historico - FAT'!$K:$K,Faturamento!$L917,'Historico - FAT'!$I:$I,Faturamento!$J917,'Historico - FAT'!$G:$G,Faturamento!$H917)</f>
        <v>3526.8830000000003</v>
      </c>
      <c r="AG917" s="24">
        <f t="shared" si="212"/>
        <v>0.51598034997131381</v>
      </c>
      <c r="AH917" s="24">
        <f t="shared" si="213"/>
        <v>-1.6674433448078025</v>
      </c>
      <c r="AI917" s="24">
        <f t="shared" si="214"/>
        <v>-2.2161761331038439</v>
      </c>
    </row>
    <row r="918" spans="1:35" hidden="1" x14ac:dyDescent="0.3">
      <c r="A918" s="2" t="str">
        <f t="shared" si="211"/>
        <v>NÃO</v>
      </c>
      <c r="B918" s="2">
        <v>1000184670</v>
      </c>
      <c r="C918" s="2" t="s">
        <v>147</v>
      </c>
      <c r="D918" s="4">
        <v>1000186197</v>
      </c>
      <c r="E918" s="4" t="s">
        <v>166</v>
      </c>
      <c r="F918" s="2">
        <v>1000185288</v>
      </c>
      <c r="G918" s="2" t="s">
        <v>64</v>
      </c>
      <c r="H918" s="4">
        <v>1000189793</v>
      </c>
      <c r="I918" s="4" t="s">
        <v>85</v>
      </c>
      <c r="J918" s="2">
        <v>1000189270</v>
      </c>
      <c r="K918" s="2" t="s">
        <v>34</v>
      </c>
      <c r="L918" s="4" t="s">
        <v>14</v>
      </c>
      <c r="M918" s="4" t="str">
        <f t="shared" si="218"/>
        <v>1000184670100018619710001897931000189270CHOCOLATES</v>
      </c>
      <c r="N918" s="28">
        <f>N916*_xlfn.XLOOKUP($L918,'Balizador da Meta'!$B$4:$B$21,'Balizador da Meta'!$C$4:$C$21)</f>
        <v>1008.0000000000001</v>
      </c>
      <c r="O918" s="28">
        <f>O916*_xlfn.XLOOKUP($L918,'Balizador da Meta'!$B$4:$B$21,'Balizador da Meta'!$C$4:$C$21)</f>
        <v>1008.0000000000001</v>
      </c>
      <c r="P918" s="28">
        <f>P916*_xlfn.XLOOKUP($L918,'Balizador da Meta'!$B$4:$B$21,'Balizador da Meta'!$C$4:$C$21)</f>
        <v>1050</v>
      </c>
      <c r="Q918" s="28">
        <f>Q916*_xlfn.XLOOKUP($L918,'Balizador da Meta'!$B$4:$B$21,'Balizador da Meta'!$C$4:$C$21)</f>
        <v>1050</v>
      </c>
      <c r="R918" s="28">
        <f>R916*_xlfn.XLOOKUP($L918,'Balizador da Meta'!$B$4:$B$21,'Balizador da Meta'!$C$4:$C$21)</f>
        <v>1050</v>
      </c>
      <c r="S918" s="28">
        <f>S916*_xlfn.XLOOKUP($L918,'Balizador da Meta'!$B$4:$B$21,'Balizador da Meta'!$C$4:$C$21)</f>
        <v>1092</v>
      </c>
      <c r="T918" s="28">
        <f>T916*_xlfn.XLOOKUP($L918,'Balizador da Meta'!$B$4:$B$21,'Balizador da Meta'!$C$4:$C$21)</f>
        <v>1092</v>
      </c>
      <c r="U918" s="28">
        <f>U916*_xlfn.XLOOKUP($L918,'Balizador da Meta'!$B$4:$B$21,'Balizador da Meta'!$C$4:$C$21)</f>
        <v>1134</v>
      </c>
      <c r="V918" s="28">
        <f>V916*_xlfn.XLOOKUP($L918,'Balizador da Meta'!$B$4:$B$21,'Balizador da Meta'!$C$4:$C$21)</f>
        <v>1134</v>
      </c>
      <c r="W918" s="28">
        <f>W916*_xlfn.XLOOKUP($L918,'Balizador da Meta'!$B$4:$B$21,'Balizador da Meta'!$C$4:$C$21)</f>
        <v>1134</v>
      </c>
      <c r="X918" s="28">
        <f>X916*_xlfn.XLOOKUP($L918,'Balizador da Meta'!$B$4:$B$21,'Balizador da Meta'!$C$4:$C$21)</f>
        <v>1176</v>
      </c>
      <c r="Y918" s="28">
        <f>Y916*_xlfn.XLOOKUP($L918,'Balizador da Meta'!$B$4:$B$21,'Balizador da Meta'!$C$4:$C$21)</f>
        <v>1176</v>
      </c>
      <c r="Z918" s="30">
        <f t="shared" si="221"/>
        <v>13104</v>
      </c>
      <c r="AA918" s="29"/>
      <c r="AB918" s="31">
        <f>SUMIFS('Historico - FAT'!AK:AK,'Historico - FAT'!$K:$K,Faturamento!$L918,'Historico - FAT'!$I:$I,Faturamento!$J918,'Historico - FAT'!$G:$G,Faturamento!$H918)</f>
        <v>-245.86833333333334</v>
      </c>
      <c r="AC918" s="31">
        <f>SUMIFS('Historico - FAT'!AL:AL,'Historico - FAT'!$K:$K,Faturamento!$L918,'Historico - FAT'!$I:$I,Faturamento!$J918,'Historico - FAT'!$G:$G,Faturamento!$H918)</f>
        <v>403.92</v>
      </c>
      <c r="AD918" s="31">
        <f>SUMIFS('Historico - FAT'!AM:AM,'Historico - FAT'!$K:$K,Faturamento!$L918,'Historico - FAT'!$I:$I,Faturamento!$J918,'Historico - FAT'!$G:$G,Faturamento!$H918)</f>
        <v>735.81</v>
      </c>
      <c r="AE918" s="27">
        <f>SUMIFS('Historico - FAT'!AN:AN,'Historico - FAT'!$K:$K,Faturamento!$L918,'Historico - FAT'!$I:$I,Faturamento!$J918,'Historico - FAT'!$G:$G,Faturamento!$H918)</f>
        <v>484.70400000000001</v>
      </c>
      <c r="AG918" s="24">
        <f t="shared" si="212"/>
        <v>1.2115906483075158</v>
      </c>
      <c r="AH918" s="24">
        <f t="shared" si="213"/>
        <v>0.65239242685025811</v>
      </c>
      <c r="AI918" s="24">
        <f t="shared" si="214"/>
        <v>0.36677280550774533</v>
      </c>
    </row>
    <row r="919" spans="1:35" hidden="1" x14ac:dyDescent="0.3">
      <c r="A919" s="2" t="str">
        <f t="shared" si="211"/>
        <v>NÃO</v>
      </c>
      <c r="B919" s="2">
        <v>1000184670</v>
      </c>
      <c r="C919" s="2" t="s">
        <v>147</v>
      </c>
      <c r="D919" s="4">
        <v>1000186197</v>
      </c>
      <c r="E919" s="4" t="s">
        <v>166</v>
      </c>
      <c r="F919" s="2">
        <v>1000185288</v>
      </c>
      <c r="G919" s="2" t="s">
        <v>64</v>
      </c>
      <c r="H919" s="4">
        <v>1000189793</v>
      </c>
      <c r="I919" s="4" t="s">
        <v>85</v>
      </c>
      <c r="J919" s="2">
        <v>1000189270</v>
      </c>
      <c r="K919" s="2" t="s">
        <v>34</v>
      </c>
      <c r="L919" s="4" t="s">
        <v>16</v>
      </c>
      <c r="M919" s="4" t="str">
        <f t="shared" si="218"/>
        <v>1000184670100018619710001897931000189270DISNEY</v>
      </c>
      <c r="N919" s="28">
        <f>N916*_xlfn.XLOOKUP($L919,'Balizador da Meta'!$B$4:$B$21,'Balizador da Meta'!$C$4:$C$21)</f>
        <v>1152</v>
      </c>
      <c r="O919" s="28">
        <f>O916*_xlfn.XLOOKUP($L919,'Balizador da Meta'!$B$4:$B$21,'Balizador da Meta'!$C$4:$C$21)</f>
        <v>1152</v>
      </c>
      <c r="P919" s="28">
        <f>P916*_xlfn.XLOOKUP($L919,'Balizador da Meta'!$B$4:$B$21,'Balizador da Meta'!$C$4:$C$21)</f>
        <v>1200</v>
      </c>
      <c r="Q919" s="28">
        <f>Q916*_xlfn.XLOOKUP($L919,'Balizador da Meta'!$B$4:$B$21,'Balizador da Meta'!$C$4:$C$21)</f>
        <v>1200</v>
      </c>
      <c r="R919" s="28">
        <f>R916*_xlfn.XLOOKUP($L919,'Balizador da Meta'!$B$4:$B$21,'Balizador da Meta'!$C$4:$C$21)</f>
        <v>1200</v>
      </c>
      <c r="S919" s="28">
        <f>S916*_xlfn.XLOOKUP($L919,'Balizador da Meta'!$B$4:$B$21,'Balizador da Meta'!$C$4:$C$21)</f>
        <v>1248</v>
      </c>
      <c r="T919" s="28">
        <f>T916*_xlfn.XLOOKUP($L919,'Balizador da Meta'!$B$4:$B$21,'Balizador da Meta'!$C$4:$C$21)</f>
        <v>1248</v>
      </c>
      <c r="U919" s="28">
        <f>U916*_xlfn.XLOOKUP($L919,'Balizador da Meta'!$B$4:$B$21,'Balizador da Meta'!$C$4:$C$21)</f>
        <v>1296</v>
      </c>
      <c r="V919" s="28">
        <f>V916*_xlfn.XLOOKUP($L919,'Balizador da Meta'!$B$4:$B$21,'Balizador da Meta'!$C$4:$C$21)</f>
        <v>1296</v>
      </c>
      <c r="W919" s="28">
        <f>W916*_xlfn.XLOOKUP($L919,'Balizador da Meta'!$B$4:$B$21,'Balizador da Meta'!$C$4:$C$21)</f>
        <v>1296</v>
      </c>
      <c r="X919" s="28">
        <f>X916*_xlfn.XLOOKUP($L919,'Balizador da Meta'!$B$4:$B$21,'Balizador da Meta'!$C$4:$C$21)</f>
        <v>1344</v>
      </c>
      <c r="Y919" s="28">
        <f>Y916*_xlfn.XLOOKUP($L919,'Balizador da Meta'!$B$4:$B$21,'Balizador da Meta'!$C$4:$C$21)</f>
        <v>1344</v>
      </c>
      <c r="Z919" s="30">
        <f t="shared" si="221"/>
        <v>14976</v>
      </c>
      <c r="AA919" s="29"/>
      <c r="AB919" s="31">
        <f>SUMIFS('Historico - FAT'!AK:AK,'Historico - FAT'!$K:$K,Faturamento!$L919,'Historico - FAT'!$I:$I,Faturamento!$J919,'Historico - FAT'!$G:$G,Faturamento!$H919)</f>
        <v>1049.97</v>
      </c>
      <c r="AC919" s="31">
        <f>SUMIFS('Historico - FAT'!AL:AL,'Historico - FAT'!$K:$K,Faturamento!$L919,'Historico - FAT'!$I:$I,Faturamento!$J919,'Historico - FAT'!$G:$G,Faturamento!$H919)</f>
        <v>5040.3900000000003</v>
      </c>
      <c r="AD919" s="31">
        <f>SUMIFS('Historico - FAT'!AM:AM,'Historico - FAT'!$K:$K,Faturamento!$L919,'Historico - FAT'!$I:$I,Faturamento!$J919,'Historico - FAT'!$G:$G,Faturamento!$H919)</f>
        <v>9477.92</v>
      </c>
      <c r="AE919" s="27">
        <f>SUMIFS('Historico - FAT'!AN:AN,'Historico - FAT'!$K:$K,Faturamento!$L919,'Historico - FAT'!$I:$I,Faturamento!$J919,'Historico - FAT'!$G:$G,Faturamento!$H919)</f>
        <v>6048.4679999999998</v>
      </c>
      <c r="AG919" s="24">
        <f t="shared" si="212"/>
        <v>0.20935993975903613</v>
      </c>
      <c r="AH919" s="24">
        <f t="shared" si="213"/>
        <v>-2.7954743975903615</v>
      </c>
      <c r="AI919" s="24">
        <f t="shared" si="214"/>
        <v>-6.136987951807229</v>
      </c>
    </row>
    <row r="920" spans="1:35" hidden="1" x14ac:dyDescent="0.3">
      <c r="A920" s="2" t="str">
        <f t="shared" si="211"/>
        <v>NÃO</v>
      </c>
      <c r="B920" s="2">
        <v>1000184670</v>
      </c>
      <c r="C920" s="2" t="s">
        <v>147</v>
      </c>
      <c r="D920" s="4">
        <v>1000186197</v>
      </c>
      <c r="E920" s="4" t="s">
        <v>166</v>
      </c>
      <c r="F920" s="2">
        <v>1000185288</v>
      </c>
      <c r="G920" s="2" t="s">
        <v>64</v>
      </c>
      <c r="H920" s="4">
        <v>1000189793</v>
      </c>
      <c r="I920" s="4" t="s">
        <v>85</v>
      </c>
      <c r="J920" s="2">
        <v>1000189270</v>
      </c>
      <c r="K920" s="2" t="s">
        <v>34</v>
      </c>
      <c r="L920" s="4" t="s">
        <v>15</v>
      </c>
      <c r="M920" s="4" t="str">
        <f t="shared" si="218"/>
        <v>1000184670100018619710001897931000189270DOCES</v>
      </c>
      <c r="N920" s="28">
        <f>N916*_xlfn.XLOOKUP($L920,'Balizador da Meta'!$B$4:$B$21,'Balizador da Meta'!$C$4:$C$21)</f>
        <v>1296</v>
      </c>
      <c r="O920" s="28">
        <f>O916*_xlfn.XLOOKUP($L920,'Balizador da Meta'!$B$4:$B$21,'Balizador da Meta'!$C$4:$C$21)</f>
        <v>1296</v>
      </c>
      <c r="P920" s="28">
        <f>P916*_xlfn.XLOOKUP($L920,'Balizador da Meta'!$B$4:$B$21,'Balizador da Meta'!$C$4:$C$21)</f>
        <v>1350</v>
      </c>
      <c r="Q920" s="28">
        <f>Q916*_xlfn.XLOOKUP($L920,'Balizador da Meta'!$B$4:$B$21,'Balizador da Meta'!$C$4:$C$21)</f>
        <v>1350</v>
      </c>
      <c r="R920" s="28">
        <f>R916*_xlfn.XLOOKUP($L920,'Balizador da Meta'!$B$4:$B$21,'Balizador da Meta'!$C$4:$C$21)</f>
        <v>1350</v>
      </c>
      <c r="S920" s="28">
        <f>S916*_xlfn.XLOOKUP($L920,'Balizador da Meta'!$B$4:$B$21,'Balizador da Meta'!$C$4:$C$21)</f>
        <v>1404</v>
      </c>
      <c r="T920" s="28">
        <f>T916*_xlfn.XLOOKUP($L920,'Balizador da Meta'!$B$4:$B$21,'Balizador da Meta'!$C$4:$C$21)</f>
        <v>1404</v>
      </c>
      <c r="U920" s="28">
        <f>U916*_xlfn.XLOOKUP($L920,'Balizador da Meta'!$B$4:$B$21,'Balizador da Meta'!$C$4:$C$21)</f>
        <v>1458</v>
      </c>
      <c r="V920" s="28">
        <f>V916*_xlfn.XLOOKUP($L920,'Balizador da Meta'!$B$4:$B$21,'Balizador da Meta'!$C$4:$C$21)</f>
        <v>1458</v>
      </c>
      <c r="W920" s="28">
        <f>W916*_xlfn.XLOOKUP($L920,'Balizador da Meta'!$B$4:$B$21,'Balizador da Meta'!$C$4:$C$21)</f>
        <v>1458</v>
      </c>
      <c r="X920" s="28">
        <f>X916*_xlfn.XLOOKUP($L920,'Balizador da Meta'!$B$4:$B$21,'Balizador da Meta'!$C$4:$C$21)</f>
        <v>1512</v>
      </c>
      <c r="Y920" s="28">
        <f>Y916*_xlfn.XLOOKUP($L920,'Balizador da Meta'!$B$4:$B$21,'Balizador da Meta'!$C$4:$C$21)</f>
        <v>1512</v>
      </c>
      <c r="Z920" s="30">
        <f t="shared" si="221"/>
        <v>16848</v>
      </c>
      <c r="AA920" s="29"/>
      <c r="AB920" s="31">
        <f>SUMIFS('Historico - FAT'!AK:AK,'Historico - FAT'!$K:$K,Faturamento!$L920,'Historico - FAT'!$I:$I,Faturamento!$J920,'Historico - FAT'!$G:$G,Faturamento!$H920)</f>
        <v>16.931666666666665</v>
      </c>
      <c r="AC920" s="31">
        <f>SUMIFS('Historico - FAT'!AL:AL,'Historico - FAT'!$K:$K,Faturamento!$L920,'Historico - FAT'!$I:$I,Faturamento!$J920,'Historico - FAT'!$G:$G,Faturamento!$H920)</f>
        <v>376.39249999999998</v>
      </c>
      <c r="AD920" s="31">
        <f>SUMIFS('Historico - FAT'!AM:AM,'Historico - FAT'!$K:$K,Faturamento!$L920,'Historico - FAT'!$I:$I,Faturamento!$J920,'Historico - FAT'!$G:$G,Faturamento!$H920)</f>
        <v>356.80666666666667</v>
      </c>
      <c r="AE920" s="27">
        <f>SUMIFS('Historico - FAT'!AN:AN,'Historico - FAT'!$K:$K,Faturamento!$L920,'Historico - FAT'!$I:$I,Faturamento!$J920,'Historico - FAT'!$G:$G,Faturamento!$H920)</f>
        <v>411.47700000000003</v>
      </c>
      <c r="AG920" s="24">
        <f t="shared" si="212"/>
        <v>0.98866688978134765</v>
      </c>
      <c r="AH920" s="24">
        <f t="shared" si="213"/>
        <v>0.74806392235609109</v>
      </c>
      <c r="AI920" s="24">
        <f t="shared" si="214"/>
        <v>0.76117358322177597</v>
      </c>
    </row>
    <row r="921" spans="1:35" hidden="1" x14ac:dyDescent="0.3">
      <c r="A921" s="2" t="str">
        <f t="shared" si="211"/>
        <v>NÃO</v>
      </c>
      <c r="B921" s="2">
        <v>1000184670</v>
      </c>
      <c r="C921" s="2" t="s">
        <v>147</v>
      </c>
      <c r="D921" s="4">
        <v>1000186197</v>
      </c>
      <c r="E921" s="4" t="s">
        <v>166</v>
      </c>
      <c r="F921" s="2">
        <v>1000185288</v>
      </c>
      <c r="G921" s="2" t="s">
        <v>64</v>
      </c>
      <c r="H921" s="4">
        <v>1000189793</v>
      </c>
      <c r="I921" s="4" t="s">
        <v>85</v>
      </c>
      <c r="J921" s="2">
        <v>1000189270</v>
      </c>
      <c r="K921" s="2" t="s">
        <v>34</v>
      </c>
      <c r="L921" s="4" t="s">
        <v>33</v>
      </c>
      <c r="M921" s="4" t="str">
        <f t="shared" si="218"/>
        <v>1000184670100018619710001897931000189270FOOD SERVICE</v>
      </c>
      <c r="N921" s="28">
        <f>N916*_xlfn.XLOOKUP($L921,'Balizador da Meta'!$B$4:$B$21,'Balizador da Meta'!$C$4:$C$21)</f>
        <v>0</v>
      </c>
      <c r="O921" s="28">
        <f>O916*_xlfn.XLOOKUP($L921,'Balizador da Meta'!$B$4:$B$21,'Balizador da Meta'!$C$4:$C$21)</f>
        <v>0</v>
      </c>
      <c r="P921" s="28">
        <f>P916*_xlfn.XLOOKUP($L921,'Balizador da Meta'!$B$4:$B$21,'Balizador da Meta'!$C$4:$C$21)</f>
        <v>0</v>
      </c>
      <c r="Q921" s="28">
        <f>Q916*_xlfn.XLOOKUP($L921,'Balizador da Meta'!$B$4:$B$21,'Balizador da Meta'!$C$4:$C$21)</f>
        <v>0</v>
      </c>
      <c r="R921" s="28">
        <f>R916*_xlfn.XLOOKUP($L921,'Balizador da Meta'!$B$4:$B$21,'Balizador da Meta'!$C$4:$C$21)</f>
        <v>0</v>
      </c>
      <c r="S921" s="28">
        <f>S916*_xlfn.XLOOKUP($L921,'Balizador da Meta'!$B$4:$B$21,'Balizador da Meta'!$C$4:$C$21)</f>
        <v>0</v>
      </c>
      <c r="T921" s="28">
        <f>T916*_xlfn.XLOOKUP($L921,'Balizador da Meta'!$B$4:$B$21,'Balizador da Meta'!$C$4:$C$21)</f>
        <v>0</v>
      </c>
      <c r="U921" s="28">
        <f>U916*_xlfn.XLOOKUP($L921,'Balizador da Meta'!$B$4:$B$21,'Balizador da Meta'!$C$4:$C$21)</f>
        <v>0</v>
      </c>
      <c r="V921" s="28">
        <f>V916*_xlfn.XLOOKUP($L921,'Balizador da Meta'!$B$4:$B$21,'Balizador da Meta'!$C$4:$C$21)</f>
        <v>0</v>
      </c>
      <c r="W921" s="28">
        <f>W916*_xlfn.XLOOKUP($L921,'Balizador da Meta'!$B$4:$B$21,'Balizador da Meta'!$C$4:$C$21)</f>
        <v>0</v>
      </c>
      <c r="X921" s="28">
        <f>X916*_xlfn.XLOOKUP($L921,'Balizador da Meta'!$B$4:$B$21,'Balizador da Meta'!$C$4:$C$21)</f>
        <v>0</v>
      </c>
      <c r="Y921" s="28">
        <f>Y916*_xlfn.XLOOKUP($L921,'Balizador da Meta'!$B$4:$B$21,'Balizador da Meta'!$C$4:$C$21)</f>
        <v>0</v>
      </c>
      <c r="Z921" s="30">
        <f t="shared" si="221"/>
        <v>0</v>
      </c>
      <c r="AA921" s="29"/>
      <c r="AB921" s="31">
        <f>SUMIFS('Historico - FAT'!AK:AK,'Historico - FAT'!$K:$K,Faturamento!$L921,'Historico - FAT'!$I:$I,Faturamento!$J921,'Historico - FAT'!$G:$G,Faturamento!$H921)</f>
        <v>0</v>
      </c>
      <c r="AC921" s="31">
        <f>SUMIFS('Historico - FAT'!AL:AL,'Historico - FAT'!$K:$K,Faturamento!$L921,'Historico - FAT'!$I:$I,Faturamento!$J921,'Historico - FAT'!$G:$G,Faturamento!$H921)</f>
        <v>212.5</v>
      </c>
      <c r="AD921" s="31">
        <f>SUMIFS('Historico - FAT'!AM:AM,'Historico - FAT'!$K:$K,Faturamento!$L921,'Historico - FAT'!$I:$I,Faturamento!$J921,'Historico - FAT'!$G:$G,Faturamento!$H921)</f>
        <v>425</v>
      </c>
      <c r="AE921" s="27">
        <f>SUMIFS('Historico - FAT'!AN:AN,'Historico - FAT'!$K:$K,Faturamento!$L921,'Historico - FAT'!$I:$I,Faturamento!$J921,'Historico - FAT'!$G:$G,Faturamento!$H921)</f>
        <v>255</v>
      </c>
      <c r="AG921" s="24" t="str">
        <f t="shared" si="212"/>
        <v/>
      </c>
      <c r="AH921" s="24" t="str">
        <f t="shared" si="213"/>
        <v/>
      </c>
      <c r="AI921" s="24" t="str">
        <f t="shared" si="214"/>
        <v/>
      </c>
    </row>
    <row r="922" spans="1:35" hidden="1" x14ac:dyDescent="0.3">
      <c r="A922" s="2" t="str">
        <f t="shared" si="211"/>
        <v>NÃO</v>
      </c>
      <c r="B922" s="2">
        <v>1000184670</v>
      </c>
      <c r="C922" s="2" t="s">
        <v>147</v>
      </c>
      <c r="D922" s="4">
        <v>1000186197</v>
      </c>
      <c r="E922" s="4" t="s">
        <v>166</v>
      </c>
      <c r="F922" s="2">
        <v>1000185288</v>
      </c>
      <c r="G922" s="2" t="s">
        <v>64</v>
      </c>
      <c r="H922" s="4">
        <v>1000189793</v>
      </c>
      <c r="I922" s="4" t="s">
        <v>85</v>
      </c>
      <c r="J922" s="2">
        <v>1000189270</v>
      </c>
      <c r="K922" s="2" t="s">
        <v>34</v>
      </c>
      <c r="L922" s="4" t="s">
        <v>19</v>
      </c>
      <c r="M922" s="4" t="str">
        <f t="shared" si="218"/>
        <v>1000184670100018619710001897931000189270GELEIA</v>
      </c>
      <c r="N922" s="28">
        <f>N916*_xlfn.XLOOKUP($L922,'Balizador da Meta'!$B$4:$B$21,'Balizador da Meta'!$C$4:$C$21)</f>
        <v>287.99999999999994</v>
      </c>
      <c r="O922" s="28">
        <f>O916*_xlfn.XLOOKUP($L922,'Balizador da Meta'!$B$4:$B$21,'Balizador da Meta'!$C$4:$C$21)</f>
        <v>287.99999999999994</v>
      </c>
      <c r="P922" s="28">
        <f>P916*_xlfn.XLOOKUP($L922,'Balizador da Meta'!$B$4:$B$21,'Balizador da Meta'!$C$4:$C$21)</f>
        <v>299.99999999999994</v>
      </c>
      <c r="Q922" s="28">
        <f>Q916*_xlfn.XLOOKUP($L922,'Balizador da Meta'!$B$4:$B$21,'Balizador da Meta'!$C$4:$C$21)</f>
        <v>299.99999999999994</v>
      </c>
      <c r="R922" s="28">
        <f>R916*_xlfn.XLOOKUP($L922,'Balizador da Meta'!$B$4:$B$21,'Balizador da Meta'!$C$4:$C$21)</f>
        <v>299.99999999999994</v>
      </c>
      <c r="S922" s="28">
        <f>S916*_xlfn.XLOOKUP($L922,'Balizador da Meta'!$B$4:$B$21,'Balizador da Meta'!$C$4:$C$21)</f>
        <v>311.99999999999994</v>
      </c>
      <c r="T922" s="28">
        <f>T916*_xlfn.XLOOKUP($L922,'Balizador da Meta'!$B$4:$B$21,'Balizador da Meta'!$C$4:$C$21)</f>
        <v>311.99999999999994</v>
      </c>
      <c r="U922" s="28">
        <f>U916*_xlfn.XLOOKUP($L922,'Balizador da Meta'!$B$4:$B$21,'Balizador da Meta'!$C$4:$C$21)</f>
        <v>323.99999999999994</v>
      </c>
      <c r="V922" s="28">
        <f>V916*_xlfn.XLOOKUP($L922,'Balizador da Meta'!$B$4:$B$21,'Balizador da Meta'!$C$4:$C$21)</f>
        <v>323.99999999999994</v>
      </c>
      <c r="W922" s="28">
        <f>W916*_xlfn.XLOOKUP($L922,'Balizador da Meta'!$B$4:$B$21,'Balizador da Meta'!$C$4:$C$21)</f>
        <v>323.99999999999994</v>
      </c>
      <c r="X922" s="28">
        <f>X916*_xlfn.XLOOKUP($L922,'Balizador da Meta'!$B$4:$B$21,'Balizador da Meta'!$C$4:$C$21)</f>
        <v>335.99999999999994</v>
      </c>
      <c r="Y922" s="28">
        <f>Y916*_xlfn.XLOOKUP($L922,'Balizador da Meta'!$B$4:$B$21,'Balizador da Meta'!$C$4:$C$21)</f>
        <v>335.99999999999994</v>
      </c>
      <c r="Z922" s="30">
        <f t="shared" si="221"/>
        <v>3743.9999999999995</v>
      </c>
      <c r="AA922" s="29"/>
      <c r="AB922" s="31">
        <f>SUMIFS('Historico - FAT'!AK:AK,'Historico - FAT'!$K:$K,Faturamento!$L922,'Historico - FAT'!$I:$I,Faturamento!$J922,'Historico - FAT'!$G:$G,Faturamento!$H922)</f>
        <v>99.100833333333341</v>
      </c>
      <c r="AC922" s="31">
        <f>SUMIFS('Historico - FAT'!AL:AL,'Historico - FAT'!$K:$K,Faturamento!$L922,'Historico - FAT'!$I:$I,Faturamento!$J922,'Historico - FAT'!$G:$G,Faturamento!$H922)</f>
        <v>175.20333333333335</v>
      </c>
      <c r="AD922" s="31">
        <f>SUMIFS('Historico - FAT'!AM:AM,'Historico - FAT'!$K:$K,Faturamento!$L922,'Historico - FAT'!$I:$I,Faturamento!$J922,'Historico - FAT'!$G:$G,Faturamento!$H922)</f>
        <v>228.155</v>
      </c>
      <c r="AE922" s="27">
        <f>SUMIFS('Historico - FAT'!AN:AN,'Historico - FAT'!$K:$K,Faturamento!$L922,'Historico - FAT'!$I:$I,Faturamento!$J922,'Historico - FAT'!$G:$G,Faturamento!$H922)</f>
        <v>187.29300000000001</v>
      </c>
      <c r="AG922" s="24">
        <f t="shared" si="212"/>
        <v>0.7015035140562248</v>
      </c>
      <c r="AH922" s="24">
        <f t="shared" si="213"/>
        <v>0.47227911646586335</v>
      </c>
      <c r="AI922" s="24">
        <f t="shared" si="214"/>
        <v>0.31278614457831311</v>
      </c>
    </row>
    <row r="923" spans="1:35" hidden="1" x14ac:dyDescent="0.3">
      <c r="A923" s="2" t="str">
        <f t="shared" si="211"/>
        <v>NÃO</v>
      </c>
      <c r="B923" s="2">
        <v>1000184670</v>
      </c>
      <c r="C923" s="2" t="s">
        <v>147</v>
      </c>
      <c r="D923" s="4">
        <v>1000186197</v>
      </c>
      <c r="E923" s="4" t="s">
        <v>166</v>
      </c>
      <c r="F923" s="2">
        <v>1000185288</v>
      </c>
      <c r="G923" s="2" t="s">
        <v>64</v>
      </c>
      <c r="H923" s="4">
        <v>1000189793</v>
      </c>
      <c r="I923" s="4" t="s">
        <v>85</v>
      </c>
      <c r="J923" s="2">
        <v>1000189270</v>
      </c>
      <c r="K923" s="2" t="s">
        <v>34</v>
      </c>
      <c r="L923" s="4" t="s">
        <v>17</v>
      </c>
      <c r="M923" s="4" t="str">
        <f t="shared" si="218"/>
        <v>1000184670100018619710001897931000189270GRANOLA</v>
      </c>
      <c r="N923" s="28">
        <f>N916*_xlfn.XLOOKUP($L923,'Balizador da Meta'!$B$4:$B$21,'Balizador da Meta'!$C$4:$C$21)</f>
        <v>288</v>
      </c>
      <c r="O923" s="28">
        <f>O916*_xlfn.XLOOKUP($L923,'Balizador da Meta'!$B$4:$B$21,'Balizador da Meta'!$C$4:$C$21)</f>
        <v>288</v>
      </c>
      <c r="P923" s="28">
        <f>P916*_xlfn.XLOOKUP($L923,'Balizador da Meta'!$B$4:$B$21,'Balizador da Meta'!$C$4:$C$21)</f>
        <v>300</v>
      </c>
      <c r="Q923" s="28">
        <f>Q916*_xlfn.XLOOKUP($L923,'Balizador da Meta'!$B$4:$B$21,'Balizador da Meta'!$C$4:$C$21)</f>
        <v>300</v>
      </c>
      <c r="R923" s="28">
        <f>R916*_xlfn.XLOOKUP($L923,'Balizador da Meta'!$B$4:$B$21,'Balizador da Meta'!$C$4:$C$21)</f>
        <v>300</v>
      </c>
      <c r="S923" s="28">
        <f>S916*_xlfn.XLOOKUP($L923,'Balizador da Meta'!$B$4:$B$21,'Balizador da Meta'!$C$4:$C$21)</f>
        <v>312</v>
      </c>
      <c r="T923" s="28">
        <f>T916*_xlfn.XLOOKUP($L923,'Balizador da Meta'!$B$4:$B$21,'Balizador da Meta'!$C$4:$C$21)</f>
        <v>312</v>
      </c>
      <c r="U923" s="28">
        <f>U916*_xlfn.XLOOKUP($L923,'Balizador da Meta'!$B$4:$B$21,'Balizador da Meta'!$C$4:$C$21)</f>
        <v>324</v>
      </c>
      <c r="V923" s="28">
        <f>V916*_xlfn.XLOOKUP($L923,'Balizador da Meta'!$B$4:$B$21,'Balizador da Meta'!$C$4:$C$21)</f>
        <v>324</v>
      </c>
      <c r="W923" s="28">
        <f>W916*_xlfn.XLOOKUP($L923,'Balizador da Meta'!$B$4:$B$21,'Balizador da Meta'!$C$4:$C$21)</f>
        <v>324</v>
      </c>
      <c r="X923" s="28">
        <f>X916*_xlfn.XLOOKUP($L923,'Balizador da Meta'!$B$4:$B$21,'Balizador da Meta'!$C$4:$C$21)</f>
        <v>336</v>
      </c>
      <c r="Y923" s="28">
        <f>Y916*_xlfn.XLOOKUP($L923,'Balizador da Meta'!$B$4:$B$21,'Balizador da Meta'!$C$4:$C$21)</f>
        <v>336</v>
      </c>
      <c r="Z923" s="30">
        <f t="shared" si="221"/>
        <v>3744</v>
      </c>
      <c r="AA923" s="29"/>
      <c r="AB923" s="31">
        <f>SUMIFS('Historico - FAT'!AK:AK,'Historico - FAT'!$K:$K,Faturamento!$L923,'Historico - FAT'!$I:$I,Faturamento!$J923,'Historico - FAT'!$G:$G,Faturamento!$H923)</f>
        <v>-8.2991666666666664</v>
      </c>
      <c r="AC923" s="31">
        <f>SUMIFS('Historico - FAT'!AL:AL,'Historico - FAT'!$K:$K,Faturamento!$L923,'Historico - FAT'!$I:$I,Faturamento!$J923,'Historico - FAT'!$G:$G,Faturamento!$H923)</f>
        <v>78.959166666666661</v>
      </c>
      <c r="AD923" s="31">
        <f>SUMIFS('Historico - FAT'!AM:AM,'Historico - FAT'!$K:$K,Faturamento!$L923,'Historico - FAT'!$I:$I,Faturamento!$J923,'Historico - FAT'!$G:$G,Faturamento!$H923)</f>
        <v>157.91833333333332</v>
      </c>
      <c r="AE923" s="27">
        <f>SUMIFS('Historico - FAT'!AN:AN,'Historico - FAT'!$K:$K,Faturamento!$L923,'Historico - FAT'!$I:$I,Faturamento!$J923,'Historico - FAT'!$G:$G,Faturamento!$H923)</f>
        <v>94.751000000000005</v>
      </c>
      <c r="AG923" s="24">
        <f t="shared" si="212"/>
        <v>1.0249974899598393</v>
      </c>
      <c r="AH923" s="24">
        <f t="shared" si="213"/>
        <v>0.76217118473895584</v>
      </c>
      <c r="AI923" s="24">
        <f t="shared" si="214"/>
        <v>0.52434236947791169</v>
      </c>
    </row>
    <row r="924" spans="1:35" hidden="1" x14ac:dyDescent="0.3">
      <c r="A924" s="2" t="str">
        <f t="shared" si="211"/>
        <v>NÃO</v>
      </c>
      <c r="B924" s="2">
        <v>1000184670</v>
      </c>
      <c r="C924" s="2" t="s">
        <v>147</v>
      </c>
      <c r="D924" s="4">
        <v>1000186197</v>
      </c>
      <c r="E924" s="4" t="s">
        <v>166</v>
      </c>
      <c r="F924" s="2">
        <v>1000185288</v>
      </c>
      <c r="G924" s="2" t="s">
        <v>64</v>
      </c>
      <c r="H924" s="4">
        <v>1000189793</v>
      </c>
      <c r="I924" s="4" t="s">
        <v>85</v>
      </c>
      <c r="J924" s="2">
        <v>1000189270</v>
      </c>
      <c r="K924" s="2" t="s">
        <v>34</v>
      </c>
      <c r="L924" s="4" t="s">
        <v>24</v>
      </c>
      <c r="M924" s="4" t="str">
        <f t="shared" si="218"/>
        <v>1000184670100018619710001897931000189270KIDS</v>
      </c>
      <c r="N924" s="28">
        <f>N916*_xlfn.XLOOKUP($L924,'Balizador da Meta'!$B$4:$B$21,'Balizador da Meta'!$C$4:$C$21)</f>
        <v>0</v>
      </c>
      <c r="O924" s="28">
        <f>O916*_xlfn.XLOOKUP($L924,'Balizador da Meta'!$B$4:$B$21,'Balizador da Meta'!$C$4:$C$21)</f>
        <v>0</v>
      </c>
      <c r="P924" s="28">
        <f>P916*_xlfn.XLOOKUP($L924,'Balizador da Meta'!$B$4:$B$21,'Balizador da Meta'!$C$4:$C$21)</f>
        <v>0</v>
      </c>
      <c r="Q924" s="28">
        <f>Q916*_xlfn.XLOOKUP($L924,'Balizador da Meta'!$B$4:$B$21,'Balizador da Meta'!$C$4:$C$21)</f>
        <v>0</v>
      </c>
      <c r="R924" s="28">
        <f>R916*_xlfn.XLOOKUP($L924,'Balizador da Meta'!$B$4:$B$21,'Balizador da Meta'!$C$4:$C$21)</f>
        <v>0</v>
      </c>
      <c r="S924" s="28">
        <f>S916*_xlfn.XLOOKUP($L924,'Balizador da Meta'!$B$4:$B$21,'Balizador da Meta'!$C$4:$C$21)</f>
        <v>0</v>
      </c>
      <c r="T924" s="28">
        <f>T916*_xlfn.XLOOKUP($L924,'Balizador da Meta'!$B$4:$B$21,'Balizador da Meta'!$C$4:$C$21)</f>
        <v>0</v>
      </c>
      <c r="U924" s="28">
        <f>U916*_xlfn.XLOOKUP($L924,'Balizador da Meta'!$B$4:$B$21,'Balizador da Meta'!$C$4:$C$21)</f>
        <v>0</v>
      </c>
      <c r="V924" s="28">
        <f>V916*_xlfn.XLOOKUP($L924,'Balizador da Meta'!$B$4:$B$21,'Balizador da Meta'!$C$4:$C$21)</f>
        <v>0</v>
      </c>
      <c r="W924" s="28">
        <f>W916*_xlfn.XLOOKUP($L924,'Balizador da Meta'!$B$4:$B$21,'Balizador da Meta'!$C$4:$C$21)</f>
        <v>0</v>
      </c>
      <c r="X924" s="28">
        <f>X916*_xlfn.XLOOKUP($L924,'Balizador da Meta'!$B$4:$B$21,'Balizador da Meta'!$C$4:$C$21)</f>
        <v>0</v>
      </c>
      <c r="Y924" s="28">
        <f>Y916*_xlfn.XLOOKUP($L924,'Balizador da Meta'!$B$4:$B$21,'Balizador da Meta'!$C$4:$C$21)</f>
        <v>0</v>
      </c>
      <c r="Z924" s="30">
        <f t="shared" si="221"/>
        <v>0</v>
      </c>
      <c r="AA924" s="29"/>
      <c r="AB924" s="31">
        <f>SUMIFS('Historico - FAT'!AK:AK,'Historico - FAT'!$K:$K,Faturamento!$L924,'Historico - FAT'!$I:$I,Faturamento!$J924,'Historico - FAT'!$G:$G,Faturamento!$H924)</f>
        <v>35.195</v>
      </c>
      <c r="AC924" s="31">
        <f>SUMIFS('Historico - FAT'!AL:AL,'Historico - FAT'!$K:$K,Faturamento!$L924,'Historico - FAT'!$I:$I,Faturamento!$J924,'Historico - FAT'!$G:$G,Faturamento!$H924)</f>
        <v>17.114166666666669</v>
      </c>
      <c r="AD924" s="31">
        <f>SUMIFS('Historico - FAT'!AM:AM,'Historico - FAT'!$K:$K,Faturamento!$L924,'Historico - FAT'!$I:$I,Faturamento!$J924,'Historico - FAT'!$G:$G,Faturamento!$H924)</f>
        <v>34.228333333333339</v>
      </c>
      <c r="AE924" s="27">
        <f>SUMIFS('Historico - FAT'!AN:AN,'Historico - FAT'!$K:$K,Faturamento!$L924,'Historico - FAT'!$I:$I,Faturamento!$J924,'Historico - FAT'!$G:$G,Faturamento!$H924)</f>
        <v>20.537000000000003</v>
      </c>
      <c r="AG924" s="24" t="str">
        <f t="shared" si="212"/>
        <v/>
      </c>
      <c r="AH924" s="24" t="str">
        <f t="shared" si="213"/>
        <v/>
      </c>
      <c r="AI924" s="24" t="str">
        <f t="shared" si="214"/>
        <v/>
      </c>
    </row>
    <row r="925" spans="1:35" hidden="1" x14ac:dyDescent="0.3">
      <c r="A925" s="2" t="str">
        <f t="shared" si="211"/>
        <v>NÃO</v>
      </c>
      <c r="B925" s="2">
        <v>1000184670</v>
      </c>
      <c r="C925" s="2" t="s">
        <v>147</v>
      </c>
      <c r="D925" s="4">
        <v>1000186197</v>
      </c>
      <c r="E925" s="4" t="s">
        <v>166</v>
      </c>
      <c r="F925" s="2">
        <v>1000185288</v>
      </c>
      <c r="G925" s="2" t="s">
        <v>64</v>
      </c>
      <c r="H925" s="4">
        <v>1000189793</v>
      </c>
      <c r="I925" s="4" t="s">
        <v>85</v>
      </c>
      <c r="J925" s="2">
        <v>1000189270</v>
      </c>
      <c r="K925" s="2" t="s">
        <v>34</v>
      </c>
      <c r="L925" s="4" t="s">
        <v>18</v>
      </c>
      <c r="M925" s="4" t="str">
        <f t="shared" si="218"/>
        <v>1000184670100018619710001897931000189270LANCHES</v>
      </c>
      <c r="N925" s="28">
        <f>N916*_xlfn.XLOOKUP($L925,'Balizador da Meta'!$B$4:$B$21,'Balizador da Meta'!$C$4:$C$21)</f>
        <v>144</v>
      </c>
      <c r="O925" s="28">
        <f>O916*_xlfn.XLOOKUP($L925,'Balizador da Meta'!$B$4:$B$21,'Balizador da Meta'!$C$4:$C$21)</f>
        <v>144</v>
      </c>
      <c r="P925" s="28">
        <f>P916*_xlfn.XLOOKUP($L925,'Balizador da Meta'!$B$4:$B$21,'Balizador da Meta'!$C$4:$C$21)</f>
        <v>150</v>
      </c>
      <c r="Q925" s="28">
        <f>Q916*_xlfn.XLOOKUP($L925,'Balizador da Meta'!$B$4:$B$21,'Balizador da Meta'!$C$4:$C$21)</f>
        <v>150</v>
      </c>
      <c r="R925" s="28">
        <f>R916*_xlfn.XLOOKUP($L925,'Balizador da Meta'!$B$4:$B$21,'Balizador da Meta'!$C$4:$C$21)</f>
        <v>150</v>
      </c>
      <c r="S925" s="28">
        <f>S916*_xlfn.XLOOKUP($L925,'Balizador da Meta'!$B$4:$B$21,'Balizador da Meta'!$C$4:$C$21)</f>
        <v>156</v>
      </c>
      <c r="T925" s="28">
        <f>T916*_xlfn.XLOOKUP($L925,'Balizador da Meta'!$B$4:$B$21,'Balizador da Meta'!$C$4:$C$21)</f>
        <v>156</v>
      </c>
      <c r="U925" s="28">
        <f>U916*_xlfn.XLOOKUP($L925,'Balizador da Meta'!$B$4:$B$21,'Balizador da Meta'!$C$4:$C$21)</f>
        <v>162</v>
      </c>
      <c r="V925" s="28">
        <f>V916*_xlfn.XLOOKUP($L925,'Balizador da Meta'!$B$4:$B$21,'Balizador da Meta'!$C$4:$C$21)</f>
        <v>162</v>
      </c>
      <c r="W925" s="28">
        <f>W916*_xlfn.XLOOKUP($L925,'Balizador da Meta'!$B$4:$B$21,'Balizador da Meta'!$C$4:$C$21)</f>
        <v>162</v>
      </c>
      <c r="X925" s="28">
        <f>X916*_xlfn.XLOOKUP($L925,'Balizador da Meta'!$B$4:$B$21,'Balizador da Meta'!$C$4:$C$21)</f>
        <v>168</v>
      </c>
      <c r="Y925" s="28">
        <f>Y916*_xlfn.XLOOKUP($L925,'Balizador da Meta'!$B$4:$B$21,'Balizador da Meta'!$C$4:$C$21)</f>
        <v>168</v>
      </c>
      <c r="Z925" s="30">
        <f t="shared" si="221"/>
        <v>1872</v>
      </c>
      <c r="AA925" s="29"/>
      <c r="AB925" s="31">
        <f>SUMIFS('Historico - FAT'!AK:AK,'Historico - FAT'!$K:$K,Faturamento!$L925,'Historico - FAT'!$I:$I,Faturamento!$J925,'Historico - FAT'!$G:$G,Faturamento!$H925)</f>
        <v>33.020000000000003</v>
      </c>
      <c r="AC925" s="31">
        <f>SUMIFS('Historico - FAT'!AL:AL,'Historico - FAT'!$K:$K,Faturamento!$L925,'Historico - FAT'!$I:$I,Faturamento!$J925,'Historico - FAT'!$G:$G,Faturamento!$H925)</f>
        <v>477.05166666666668</v>
      </c>
      <c r="AD925" s="31">
        <f>SUMIFS('Historico - FAT'!AM:AM,'Historico - FAT'!$K:$K,Faturamento!$L925,'Historico - FAT'!$I:$I,Faturamento!$J925,'Historico - FAT'!$G:$G,Faturamento!$H925)</f>
        <v>103.70333333333333</v>
      </c>
      <c r="AE925" s="27">
        <f>SUMIFS('Historico - FAT'!AN:AN,'Historico - FAT'!$K:$K,Faturamento!$L925,'Historico - FAT'!$I:$I,Faturamento!$J925,'Historico - FAT'!$G:$G,Faturamento!$H925)</f>
        <v>572.46199999999999</v>
      </c>
      <c r="AG925" s="24">
        <f t="shared" si="212"/>
        <v>0.80108433734939755</v>
      </c>
      <c r="AH925" s="24">
        <f t="shared" si="213"/>
        <v>-1.8738052208835343</v>
      </c>
      <c r="AI925" s="24">
        <f t="shared" si="214"/>
        <v>0.37528112449799195</v>
      </c>
    </row>
    <row r="926" spans="1:35" hidden="1" x14ac:dyDescent="0.3">
      <c r="A926" s="2" t="str">
        <f t="shared" si="211"/>
        <v>NÃO</v>
      </c>
      <c r="B926" s="2">
        <v>1000184670</v>
      </c>
      <c r="C926" s="2" t="s">
        <v>147</v>
      </c>
      <c r="D926" s="4">
        <v>1000186197</v>
      </c>
      <c r="E926" s="4" t="s">
        <v>166</v>
      </c>
      <c r="F926" s="2">
        <v>1000185288</v>
      </c>
      <c r="G926" s="2" t="s">
        <v>64</v>
      </c>
      <c r="H926" s="4">
        <v>1000189793</v>
      </c>
      <c r="I926" s="4" t="s">
        <v>85</v>
      </c>
      <c r="J926" s="2">
        <v>1000189270</v>
      </c>
      <c r="K926" s="2" t="s">
        <v>34</v>
      </c>
      <c r="L926" s="4" t="s">
        <v>29</v>
      </c>
      <c r="M926" s="4" t="str">
        <f t="shared" si="218"/>
        <v>1000184670100018619710001897931000189270MAIS GRANEL</v>
      </c>
      <c r="N926" s="28">
        <f>N916*_xlfn.XLOOKUP($L926,'Balizador da Meta'!$B$4:$B$21,'Balizador da Meta'!$C$4:$C$21)</f>
        <v>4608</v>
      </c>
      <c r="O926" s="28">
        <f>O916*_xlfn.XLOOKUP($L926,'Balizador da Meta'!$B$4:$B$21,'Balizador da Meta'!$C$4:$C$21)</f>
        <v>4608</v>
      </c>
      <c r="P926" s="28">
        <f>P916*_xlfn.XLOOKUP($L926,'Balizador da Meta'!$B$4:$B$21,'Balizador da Meta'!$C$4:$C$21)</f>
        <v>4800</v>
      </c>
      <c r="Q926" s="28">
        <f>Q916*_xlfn.XLOOKUP($L926,'Balizador da Meta'!$B$4:$B$21,'Balizador da Meta'!$C$4:$C$21)</f>
        <v>4800</v>
      </c>
      <c r="R926" s="28">
        <f>R916*_xlfn.XLOOKUP($L926,'Balizador da Meta'!$B$4:$B$21,'Balizador da Meta'!$C$4:$C$21)</f>
        <v>4800</v>
      </c>
      <c r="S926" s="28">
        <f>S916*_xlfn.XLOOKUP($L926,'Balizador da Meta'!$B$4:$B$21,'Balizador da Meta'!$C$4:$C$21)</f>
        <v>4992</v>
      </c>
      <c r="T926" s="28">
        <f>T916*_xlfn.XLOOKUP($L926,'Balizador da Meta'!$B$4:$B$21,'Balizador da Meta'!$C$4:$C$21)</f>
        <v>4992</v>
      </c>
      <c r="U926" s="28">
        <f>U916*_xlfn.XLOOKUP($L926,'Balizador da Meta'!$B$4:$B$21,'Balizador da Meta'!$C$4:$C$21)</f>
        <v>5184</v>
      </c>
      <c r="V926" s="28">
        <f>V916*_xlfn.XLOOKUP($L926,'Balizador da Meta'!$B$4:$B$21,'Balizador da Meta'!$C$4:$C$21)</f>
        <v>5184</v>
      </c>
      <c r="W926" s="28">
        <f>W916*_xlfn.XLOOKUP($L926,'Balizador da Meta'!$B$4:$B$21,'Balizador da Meta'!$C$4:$C$21)</f>
        <v>5184</v>
      </c>
      <c r="X926" s="28">
        <f>X916*_xlfn.XLOOKUP($L926,'Balizador da Meta'!$B$4:$B$21,'Balizador da Meta'!$C$4:$C$21)</f>
        <v>5376</v>
      </c>
      <c r="Y926" s="28">
        <f>Y916*_xlfn.XLOOKUP($L926,'Balizador da Meta'!$B$4:$B$21,'Balizador da Meta'!$C$4:$C$21)</f>
        <v>5376</v>
      </c>
      <c r="Z926" s="30">
        <f t="shared" si="221"/>
        <v>59904</v>
      </c>
      <c r="AA926" s="29"/>
      <c r="AB926" s="31">
        <f>SUMIFS('Historico - FAT'!AK:AK,'Historico - FAT'!$K:$K,Faturamento!$L926,'Historico - FAT'!$I:$I,Faturamento!$J926,'Historico - FAT'!$G:$G,Faturamento!$H926)</f>
        <v>0</v>
      </c>
      <c r="AC926" s="31">
        <f>SUMIFS('Historico - FAT'!AL:AL,'Historico - FAT'!$K:$K,Faturamento!$L926,'Historico - FAT'!$I:$I,Faturamento!$J926,'Historico - FAT'!$G:$G,Faturamento!$H926)</f>
        <v>1571.5375000000001</v>
      </c>
      <c r="AD926" s="31">
        <f>SUMIFS('Historico - FAT'!AM:AM,'Historico - FAT'!$K:$K,Faturamento!$L926,'Historico - FAT'!$I:$I,Faturamento!$J926,'Historico - FAT'!$G:$G,Faturamento!$H926)</f>
        <v>2889.81</v>
      </c>
      <c r="AE926" s="27">
        <f>SUMIFS('Historico - FAT'!AN:AN,'Historico - FAT'!$K:$K,Faturamento!$L926,'Historico - FAT'!$I:$I,Faturamento!$J926,'Historico - FAT'!$G:$G,Faturamento!$H926)</f>
        <v>1885.845</v>
      </c>
      <c r="AG926" s="24">
        <f t="shared" si="212"/>
        <v>1</v>
      </c>
      <c r="AH926" s="24">
        <f t="shared" si="213"/>
        <v>0.70415333207831321</v>
      </c>
      <c r="AI926" s="24">
        <f t="shared" si="214"/>
        <v>0.45598456325301207</v>
      </c>
    </row>
    <row r="927" spans="1:35" hidden="1" x14ac:dyDescent="0.3">
      <c r="A927" s="2" t="str">
        <f t="shared" si="211"/>
        <v>NÃO</v>
      </c>
      <c r="B927" s="2">
        <v>1000184670</v>
      </c>
      <c r="C927" s="2" t="s">
        <v>147</v>
      </c>
      <c r="D927" s="4">
        <v>1000186197</v>
      </c>
      <c r="E927" s="4" t="s">
        <v>166</v>
      </c>
      <c r="F927" s="2">
        <v>1000185288</v>
      </c>
      <c r="G927" s="2" t="s">
        <v>64</v>
      </c>
      <c r="H927" s="4">
        <v>1000189793</v>
      </c>
      <c r="I927" s="4" t="s">
        <v>85</v>
      </c>
      <c r="J927" s="2">
        <v>1000189270</v>
      </c>
      <c r="K927" s="2" t="s">
        <v>34</v>
      </c>
      <c r="L927" s="4" t="s">
        <v>21</v>
      </c>
      <c r="M927" s="4" t="str">
        <f t="shared" si="218"/>
        <v>1000184670100018619710001897931000189270NATURATTA</v>
      </c>
      <c r="N927" s="28">
        <f>N916*_xlfn.XLOOKUP($L927,'Balizador da Meta'!$B$4:$B$21,'Balizador da Meta'!$C$4:$C$21)</f>
        <v>720</v>
      </c>
      <c r="O927" s="28">
        <f>O916*_xlfn.XLOOKUP($L927,'Balizador da Meta'!$B$4:$B$21,'Balizador da Meta'!$C$4:$C$21)</f>
        <v>720</v>
      </c>
      <c r="P927" s="28">
        <f>P916*_xlfn.XLOOKUP($L927,'Balizador da Meta'!$B$4:$B$21,'Balizador da Meta'!$C$4:$C$21)</f>
        <v>750</v>
      </c>
      <c r="Q927" s="28">
        <f>Q916*_xlfn.XLOOKUP($L927,'Balizador da Meta'!$B$4:$B$21,'Balizador da Meta'!$C$4:$C$21)</f>
        <v>750</v>
      </c>
      <c r="R927" s="28">
        <f>R916*_xlfn.XLOOKUP($L927,'Balizador da Meta'!$B$4:$B$21,'Balizador da Meta'!$C$4:$C$21)</f>
        <v>750</v>
      </c>
      <c r="S927" s="28">
        <f>S916*_xlfn.XLOOKUP($L927,'Balizador da Meta'!$B$4:$B$21,'Balizador da Meta'!$C$4:$C$21)</f>
        <v>780</v>
      </c>
      <c r="T927" s="28">
        <f>T916*_xlfn.XLOOKUP($L927,'Balizador da Meta'!$B$4:$B$21,'Balizador da Meta'!$C$4:$C$21)</f>
        <v>780</v>
      </c>
      <c r="U927" s="28">
        <f>U916*_xlfn.XLOOKUP($L927,'Balizador da Meta'!$B$4:$B$21,'Balizador da Meta'!$C$4:$C$21)</f>
        <v>810</v>
      </c>
      <c r="V927" s="28">
        <f>V916*_xlfn.XLOOKUP($L927,'Balizador da Meta'!$B$4:$B$21,'Balizador da Meta'!$C$4:$C$21)</f>
        <v>810</v>
      </c>
      <c r="W927" s="28">
        <f>W916*_xlfn.XLOOKUP($L927,'Balizador da Meta'!$B$4:$B$21,'Balizador da Meta'!$C$4:$C$21)</f>
        <v>810</v>
      </c>
      <c r="X927" s="28">
        <f>X916*_xlfn.XLOOKUP($L927,'Balizador da Meta'!$B$4:$B$21,'Balizador da Meta'!$C$4:$C$21)</f>
        <v>840</v>
      </c>
      <c r="Y927" s="28">
        <f>Y916*_xlfn.XLOOKUP($L927,'Balizador da Meta'!$B$4:$B$21,'Balizador da Meta'!$C$4:$C$21)</f>
        <v>840</v>
      </c>
      <c r="Z927" s="30">
        <f t="shared" si="221"/>
        <v>9360</v>
      </c>
      <c r="AA927" s="29"/>
      <c r="AB927" s="31">
        <f>SUMIFS('Historico - FAT'!AK:AK,'Historico - FAT'!$K:$K,Faturamento!$L927,'Historico - FAT'!$I:$I,Faturamento!$J927,'Historico - FAT'!$G:$G,Faturamento!$H927)</f>
        <v>0</v>
      </c>
      <c r="AC927" s="31">
        <f>SUMIFS('Historico - FAT'!AL:AL,'Historico - FAT'!$K:$K,Faturamento!$L927,'Historico - FAT'!$I:$I,Faturamento!$J927,'Historico - FAT'!$G:$G,Faturamento!$H927)</f>
        <v>2124.4416666666666</v>
      </c>
      <c r="AD927" s="31">
        <f>SUMIFS('Historico - FAT'!AM:AM,'Historico - FAT'!$K:$K,Faturamento!$L927,'Historico - FAT'!$I:$I,Faturamento!$J927,'Historico - FAT'!$G:$G,Faturamento!$H927)</f>
        <v>3926.52</v>
      </c>
      <c r="AE927" s="27">
        <f>SUMIFS('Historico - FAT'!AN:AN,'Historico - FAT'!$K:$K,Faturamento!$L927,'Historico - FAT'!$I:$I,Faturamento!$J927,'Historico - FAT'!$G:$G,Faturamento!$H927)</f>
        <v>2549.33</v>
      </c>
      <c r="AG927" s="24">
        <f t="shared" si="212"/>
        <v>1</v>
      </c>
      <c r="AH927" s="24">
        <f t="shared" si="213"/>
        <v>-1.5595682730923695</v>
      </c>
      <c r="AI927" s="24">
        <f t="shared" si="214"/>
        <v>-3.7307469879518074</v>
      </c>
    </row>
    <row r="928" spans="1:35" hidden="1" x14ac:dyDescent="0.3">
      <c r="A928" s="2" t="str">
        <f t="shared" si="211"/>
        <v>NÃO</v>
      </c>
      <c r="B928" s="2">
        <v>1000184670</v>
      </c>
      <c r="C928" s="2" t="s">
        <v>147</v>
      </c>
      <c r="D928" s="4">
        <v>1000186197</v>
      </c>
      <c r="E928" s="4" t="s">
        <v>166</v>
      </c>
      <c r="F928" s="2">
        <v>1000185288</v>
      </c>
      <c r="G928" s="2" t="s">
        <v>64</v>
      </c>
      <c r="H928" s="4">
        <v>1000189793</v>
      </c>
      <c r="I928" s="4" t="s">
        <v>85</v>
      </c>
      <c r="J928" s="2">
        <v>1000189270</v>
      </c>
      <c r="K928" s="2" t="s">
        <v>34</v>
      </c>
      <c r="L928" s="4" t="s">
        <v>20</v>
      </c>
      <c r="M928" s="4" t="str">
        <f t="shared" si="218"/>
        <v>1000184670100018619710001897931000189270REEMBALADOS</v>
      </c>
      <c r="N928" s="28">
        <f>N916*_xlfn.XLOOKUP($L928,'Balizador da Meta'!$B$4:$B$21,'Balizador da Meta'!$C$4:$C$21)</f>
        <v>576</v>
      </c>
      <c r="O928" s="28">
        <f>O916*_xlfn.XLOOKUP($L928,'Balizador da Meta'!$B$4:$B$21,'Balizador da Meta'!$C$4:$C$21)</f>
        <v>576</v>
      </c>
      <c r="P928" s="28">
        <f>P916*_xlfn.XLOOKUP($L928,'Balizador da Meta'!$B$4:$B$21,'Balizador da Meta'!$C$4:$C$21)</f>
        <v>600</v>
      </c>
      <c r="Q928" s="28">
        <f>Q916*_xlfn.XLOOKUP($L928,'Balizador da Meta'!$B$4:$B$21,'Balizador da Meta'!$C$4:$C$21)</f>
        <v>600</v>
      </c>
      <c r="R928" s="28">
        <f>R916*_xlfn.XLOOKUP($L928,'Balizador da Meta'!$B$4:$B$21,'Balizador da Meta'!$C$4:$C$21)</f>
        <v>600</v>
      </c>
      <c r="S928" s="28">
        <f>S916*_xlfn.XLOOKUP($L928,'Balizador da Meta'!$B$4:$B$21,'Balizador da Meta'!$C$4:$C$21)</f>
        <v>624</v>
      </c>
      <c r="T928" s="28">
        <f>T916*_xlfn.XLOOKUP($L928,'Balizador da Meta'!$B$4:$B$21,'Balizador da Meta'!$C$4:$C$21)</f>
        <v>624</v>
      </c>
      <c r="U928" s="28">
        <f>U916*_xlfn.XLOOKUP($L928,'Balizador da Meta'!$B$4:$B$21,'Balizador da Meta'!$C$4:$C$21)</f>
        <v>648</v>
      </c>
      <c r="V928" s="28">
        <f>V916*_xlfn.XLOOKUP($L928,'Balizador da Meta'!$B$4:$B$21,'Balizador da Meta'!$C$4:$C$21)</f>
        <v>648</v>
      </c>
      <c r="W928" s="28">
        <f>W916*_xlfn.XLOOKUP($L928,'Balizador da Meta'!$B$4:$B$21,'Balizador da Meta'!$C$4:$C$21)</f>
        <v>648</v>
      </c>
      <c r="X928" s="28">
        <f>X916*_xlfn.XLOOKUP($L928,'Balizador da Meta'!$B$4:$B$21,'Balizador da Meta'!$C$4:$C$21)</f>
        <v>672</v>
      </c>
      <c r="Y928" s="28">
        <f>Y916*_xlfn.XLOOKUP($L928,'Balizador da Meta'!$B$4:$B$21,'Balizador da Meta'!$C$4:$C$21)</f>
        <v>672</v>
      </c>
      <c r="Z928" s="30">
        <f t="shared" si="221"/>
        <v>7488</v>
      </c>
      <c r="AA928" s="29"/>
      <c r="AB928" s="31">
        <f>SUMIFS('Historico - FAT'!AK:AK,'Historico - FAT'!$K:$K,Faturamento!$L928,'Historico - FAT'!$I:$I,Faturamento!$J928,'Historico - FAT'!$G:$G,Faturamento!$H928)</f>
        <v>-5.017500000000001</v>
      </c>
      <c r="AC928" s="31">
        <f>SUMIFS('Historico - FAT'!AL:AL,'Historico - FAT'!$K:$K,Faturamento!$L928,'Historico - FAT'!$I:$I,Faturamento!$J928,'Historico - FAT'!$G:$G,Faturamento!$H928)</f>
        <v>74.137500000000003</v>
      </c>
      <c r="AD928" s="31">
        <f>SUMIFS('Historico - FAT'!AM:AM,'Historico - FAT'!$K:$K,Faturamento!$L928,'Historico - FAT'!$I:$I,Faturamento!$J928,'Historico - FAT'!$G:$G,Faturamento!$H928)</f>
        <v>148.27500000000001</v>
      </c>
      <c r="AE928" s="27">
        <f>SUMIFS('Historico - FAT'!AN:AN,'Historico - FAT'!$K:$K,Faturamento!$L928,'Historico - FAT'!$I:$I,Faturamento!$J928,'Historico - FAT'!$G:$G,Faturamento!$H928)</f>
        <v>88.965000000000003</v>
      </c>
      <c r="AG928" s="24">
        <f t="shared" si="212"/>
        <v>1.0075564759036144</v>
      </c>
      <c r="AH928" s="24">
        <f t="shared" si="213"/>
        <v>0.88834713855421676</v>
      </c>
      <c r="AI928" s="24">
        <f t="shared" si="214"/>
        <v>0.77669427710843375</v>
      </c>
    </row>
    <row r="929" spans="1:35" hidden="1" x14ac:dyDescent="0.3">
      <c r="A929" s="2" t="str">
        <f t="shared" si="211"/>
        <v>NÃO</v>
      </c>
      <c r="B929" s="2">
        <v>1000184670</v>
      </c>
      <c r="C929" s="2" t="s">
        <v>147</v>
      </c>
      <c r="D929" s="4">
        <v>1000186197</v>
      </c>
      <c r="E929" s="4" t="s">
        <v>166</v>
      </c>
      <c r="F929" s="2">
        <v>1000185288</v>
      </c>
      <c r="G929" s="2" t="s">
        <v>64</v>
      </c>
      <c r="H929" s="4">
        <v>1000189793</v>
      </c>
      <c r="I929" s="4" t="s">
        <v>85</v>
      </c>
      <c r="J929" s="2">
        <v>1000189270</v>
      </c>
      <c r="K929" s="2" t="s">
        <v>34</v>
      </c>
      <c r="L929" s="4" t="s">
        <v>22</v>
      </c>
      <c r="M929" s="4" t="str">
        <f t="shared" si="218"/>
        <v>1000184670100018619710001897931000189270S GLUTEN</v>
      </c>
      <c r="N929" s="28">
        <f>N916*_xlfn.XLOOKUP($L929,'Balizador da Meta'!$B$4:$B$21,'Balizador da Meta'!$C$4:$C$21)</f>
        <v>576</v>
      </c>
      <c r="O929" s="28">
        <f>O916*_xlfn.XLOOKUP($L929,'Balizador da Meta'!$B$4:$B$21,'Balizador da Meta'!$C$4:$C$21)</f>
        <v>576</v>
      </c>
      <c r="P929" s="28">
        <f>P916*_xlfn.XLOOKUP($L929,'Balizador da Meta'!$B$4:$B$21,'Balizador da Meta'!$C$4:$C$21)</f>
        <v>600</v>
      </c>
      <c r="Q929" s="28">
        <f>Q916*_xlfn.XLOOKUP($L929,'Balizador da Meta'!$B$4:$B$21,'Balizador da Meta'!$C$4:$C$21)</f>
        <v>600</v>
      </c>
      <c r="R929" s="28">
        <f>R916*_xlfn.XLOOKUP($L929,'Balizador da Meta'!$B$4:$B$21,'Balizador da Meta'!$C$4:$C$21)</f>
        <v>600</v>
      </c>
      <c r="S929" s="28">
        <f>S916*_xlfn.XLOOKUP($L929,'Balizador da Meta'!$B$4:$B$21,'Balizador da Meta'!$C$4:$C$21)</f>
        <v>624</v>
      </c>
      <c r="T929" s="28">
        <f>T916*_xlfn.XLOOKUP($L929,'Balizador da Meta'!$B$4:$B$21,'Balizador da Meta'!$C$4:$C$21)</f>
        <v>624</v>
      </c>
      <c r="U929" s="28">
        <f>U916*_xlfn.XLOOKUP($L929,'Balizador da Meta'!$B$4:$B$21,'Balizador da Meta'!$C$4:$C$21)</f>
        <v>648</v>
      </c>
      <c r="V929" s="28">
        <f>V916*_xlfn.XLOOKUP($L929,'Balizador da Meta'!$B$4:$B$21,'Balizador da Meta'!$C$4:$C$21)</f>
        <v>648</v>
      </c>
      <c r="W929" s="28">
        <f>W916*_xlfn.XLOOKUP($L929,'Balizador da Meta'!$B$4:$B$21,'Balizador da Meta'!$C$4:$C$21)</f>
        <v>648</v>
      </c>
      <c r="X929" s="28">
        <f>X916*_xlfn.XLOOKUP($L929,'Balizador da Meta'!$B$4:$B$21,'Balizador da Meta'!$C$4:$C$21)</f>
        <v>672</v>
      </c>
      <c r="Y929" s="28">
        <f>Y916*_xlfn.XLOOKUP($L929,'Balizador da Meta'!$B$4:$B$21,'Balizador da Meta'!$C$4:$C$21)</f>
        <v>672</v>
      </c>
      <c r="Z929" s="30">
        <f t="shared" si="221"/>
        <v>7488</v>
      </c>
      <c r="AA929" s="29"/>
      <c r="AB929" s="31">
        <f>SUMIFS('Historico - FAT'!AK:AK,'Historico - FAT'!$K:$K,Faturamento!$L929,'Historico - FAT'!$I:$I,Faturamento!$J929,'Historico - FAT'!$G:$G,Faturamento!$H929)</f>
        <v>40.653333333333329</v>
      </c>
      <c r="AC929" s="31">
        <f>SUMIFS('Historico - FAT'!AL:AL,'Historico - FAT'!$K:$K,Faturamento!$L929,'Historico - FAT'!$I:$I,Faturamento!$J929,'Historico - FAT'!$G:$G,Faturamento!$H929)</f>
        <v>447.99166666666662</v>
      </c>
      <c r="AD929" s="31">
        <f>SUMIFS('Historico - FAT'!AM:AM,'Historico - FAT'!$K:$K,Faturamento!$L929,'Historico - FAT'!$I:$I,Faturamento!$J929,'Historico - FAT'!$G:$G,Faturamento!$H929)</f>
        <v>872.89666666666665</v>
      </c>
      <c r="AE929" s="27">
        <f>SUMIFS('Historico - FAT'!AN:AN,'Historico - FAT'!$K:$K,Faturamento!$L929,'Historico - FAT'!$I:$I,Faturamento!$J929,'Historico - FAT'!$G:$G,Faturamento!$H929)</f>
        <v>537.58999999999992</v>
      </c>
      <c r="AG929" s="24">
        <f t="shared" si="212"/>
        <v>0.9387751004016065</v>
      </c>
      <c r="AH929" s="24">
        <f t="shared" si="213"/>
        <v>0.32531375502008042</v>
      </c>
      <c r="AI929" s="24">
        <f t="shared" si="214"/>
        <v>-0.31460341365461847</v>
      </c>
    </row>
    <row r="930" spans="1:35" hidden="1" x14ac:dyDescent="0.3">
      <c r="A930" s="2" t="str">
        <f t="shared" si="211"/>
        <v>NÃO</v>
      </c>
      <c r="B930" s="2">
        <v>1000184670</v>
      </c>
      <c r="C930" s="2" t="s">
        <v>147</v>
      </c>
      <c r="D930" s="4">
        <v>1000186197</v>
      </c>
      <c r="E930" s="4" t="s">
        <v>166</v>
      </c>
      <c r="F930" s="2">
        <v>1000185288</v>
      </c>
      <c r="G930" s="2" t="s">
        <v>64</v>
      </c>
      <c r="H930" s="4">
        <v>1000189793</v>
      </c>
      <c r="I930" s="4" t="s">
        <v>85</v>
      </c>
      <c r="J930" s="2">
        <v>1000189270</v>
      </c>
      <c r="K930" s="2" t="s">
        <v>34</v>
      </c>
      <c r="L930" s="4" t="s">
        <v>23</v>
      </c>
      <c r="M930" s="4" t="str">
        <f t="shared" si="218"/>
        <v>1000184670100018619710001897931000189270SABORES DO CAMPO</v>
      </c>
      <c r="N930" s="28">
        <f>N916*_xlfn.XLOOKUP($L930,'Balizador da Meta'!$B$4:$B$21,'Balizador da Meta'!$C$4:$C$21)</f>
        <v>0</v>
      </c>
      <c r="O930" s="28">
        <f>O916*_xlfn.XLOOKUP($L930,'Balizador da Meta'!$B$4:$B$21,'Balizador da Meta'!$C$4:$C$21)</f>
        <v>0</v>
      </c>
      <c r="P930" s="28">
        <f>P916*_xlfn.XLOOKUP($L930,'Balizador da Meta'!$B$4:$B$21,'Balizador da Meta'!$C$4:$C$21)</f>
        <v>0</v>
      </c>
      <c r="Q930" s="28">
        <f>Q916*_xlfn.XLOOKUP($L930,'Balizador da Meta'!$B$4:$B$21,'Balizador da Meta'!$C$4:$C$21)</f>
        <v>0</v>
      </c>
      <c r="R930" s="28">
        <f>R916*_xlfn.XLOOKUP($L930,'Balizador da Meta'!$B$4:$B$21,'Balizador da Meta'!$C$4:$C$21)</f>
        <v>0</v>
      </c>
      <c r="S930" s="28">
        <f>S916*_xlfn.XLOOKUP($L930,'Balizador da Meta'!$B$4:$B$21,'Balizador da Meta'!$C$4:$C$21)</f>
        <v>0</v>
      </c>
      <c r="T930" s="28">
        <f>T916*_xlfn.XLOOKUP($L930,'Balizador da Meta'!$B$4:$B$21,'Balizador da Meta'!$C$4:$C$21)</f>
        <v>0</v>
      </c>
      <c r="U930" s="28">
        <f>U916*_xlfn.XLOOKUP($L930,'Balizador da Meta'!$B$4:$B$21,'Balizador da Meta'!$C$4:$C$21)</f>
        <v>0</v>
      </c>
      <c r="V930" s="28">
        <f>V916*_xlfn.XLOOKUP($L930,'Balizador da Meta'!$B$4:$B$21,'Balizador da Meta'!$C$4:$C$21)</f>
        <v>0</v>
      </c>
      <c r="W930" s="28">
        <f>W916*_xlfn.XLOOKUP($L930,'Balizador da Meta'!$B$4:$B$21,'Balizador da Meta'!$C$4:$C$21)</f>
        <v>0</v>
      </c>
      <c r="X930" s="28">
        <f>X916*_xlfn.XLOOKUP($L930,'Balizador da Meta'!$B$4:$B$21,'Balizador da Meta'!$C$4:$C$21)</f>
        <v>0</v>
      </c>
      <c r="Y930" s="28">
        <f>Y916*_xlfn.XLOOKUP($L930,'Balizador da Meta'!$B$4:$B$21,'Balizador da Meta'!$C$4:$C$21)</f>
        <v>0</v>
      </c>
      <c r="Z930" s="30">
        <f t="shared" si="221"/>
        <v>0</v>
      </c>
      <c r="AA930" s="29"/>
      <c r="AB930" s="31">
        <f>SUMIFS('Historico - FAT'!AK:AK,'Historico - FAT'!$K:$K,Faturamento!$L930,'Historico - FAT'!$I:$I,Faturamento!$J930,'Historico - FAT'!$G:$G,Faturamento!$H930)</f>
        <v>0</v>
      </c>
      <c r="AC930" s="31">
        <f>SUMIFS('Historico - FAT'!AL:AL,'Historico - FAT'!$K:$K,Faturamento!$L930,'Historico - FAT'!$I:$I,Faturamento!$J930,'Historico - FAT'!$G:$G,Faturamento!$H930)</f>
        <v>937.33833333333325</v>
      </c>
      <c r="AD930" s="31">
        <f>SUMIFS('Historico - FAT'!AM:AM,'Historico - FAT'!$K:$K,Faturamento!$L930,'Historico - FAT'!$I:$I,Faturamento!$J930,'Historico - FAT'!$G:$G,Faturamento!$H930)</f>
        <v>1672.2816666666665</v>
      </c>
      <c r="AE930" s="27">
        <f>SUMIFS('Historico - FAT'!AN:AN,'Historico - FAT'!$K:$K,Faturamento!$L930,'Historico - FAT'!$I:$I,Faturamento!$J930,'Historico - FAT'!$G:$G,Faturamento!$H930)</f>
        <v>1124.806</v>
      </c>
      <c r="AG930" s="24" t="str">
        <f t="shared" si="212"/>
        <v/>
      </c>
      <c r="AH930" s="24" t="str">
        <f t="shared" si="213"/>
        <v/>
      </c>
      <c r="AI930" s="24" t="str">
        <f t="shared" si="214"/>
        <v/>
      </c>
    </row>
    <row r="931" spans="1:35" hidden="1" x14ac:dyDescent="0.3">
      <c r="A931" s="2" t="str">
        <f t="shared" si="211"/>
        <v>NÃO</v>
      </c>
      <c r="B931" s="2">
        <v>1000184670</v>
      </c>
      <c r="C931" s="2" t="s">
        <v>147</v>
      </c>
      <c r="D931" s="4">
        <v>1000186197</v>
      </c>
      <c r="E931" s="4" t="s">
        <v>166</v>
      </c>
      <c r="F931" s="2">
        <v>1000185288</v>
      </c>
      <c r="G931" s="2" t="s">
        <v>64</v>
      </c>
      <c r="H931" s="4">
        <v>1000189793</v>
      </c>
      <c r="I931" s="4" t="s">
        <v>85</v>
      </c>
      <c r="J931" s="2">
        <v>1000189270</v>
      </c>
      <c r="K931" s="2" t="s">
        <v>34</v>
      </c>
      <c r="L931" s="4" t="s">
        <v>28</v>
      </c>
      <c r="M931" s="4" t="str">
        <f t="shared" si="218"/>
        <v>1000184670100018619710001897931000189270SAL</v>
      </c>
      <c r="N931" s="28">
        <f>N916*_xlfn.XLOOKUP($L931,'Balizador da Meta'!$B$4:$B$21,'Balizador da Meta'!$C$4:$C$21)</f>
        <v>288</v>
      </c>
      <c r="O931" s="28">
        <f>O916*_xlfn.XLOOKUP($L931,'Balizador da Meta'!$B$4:$B$21,'Balizador da Meta'!$C$4:$C$21)</f>
        <v>288</v>
      </c>
      <c r="P931" s="28">
        <f>P916*_xlfn.XLOOKUP($L931,'Balizador da Meta'!$B$4:$B$21,'Balizador da Meta'!$C$4:$C$21)</f>
        <v>300</v>
      </c>
      <c r="Q931" s="28">
        <f>Q916*_xlfn.XLOOKUP($L931,'Balizador da Meta'!$B$4:$B$21,'Balizador da Meta'!$C$4:$C$21)</f>
        <v>300</v>
      </c>
      <c r="R931" s="28">
        <f>R916*_xlfn.XLOOKUP($L931,'Balizador da Meta'!$B$4:$B$21,'Balizador da Meta'!$C$4:$C$21)</f>
        <v>300</v>
      </c>
      <c r="S931" s="28">
        <f>S916*_xlfn.XLOOKUP($L931,'Balizador da Meta'!$B$4:$B$21,'Balizador da Meta'!$C$4:$C$21)</f>
        <v>312</v>
      </c>
      <c r="T931" s="28">
        <f>T916*_xlfn.XLOOKUP($L931,'Balizador da Meta'!$B$4:$B$21,'Balizador da Meta'!$C$4:$C$21)</f>
        <v>312</v>
      </c>
      <c r="U931" s="28">
        <f>U916*_xlfn.XLOOKUP($L931,'Balizador da Meta'!$B$4:$B$21,'Balizador da Meta'!$C$4:$C$21)</f>
        <v>324</v>
      </c>
      <c r="V931" s="28">
        <f>V916*_xlfn.XLOOKUP($L931,'Balizador da Meta'!$B$4:$B$21,'Balizador da Meta'!$C$4:$C$21)</f>
        <v>324</v>
      </c>
      <c r="W931" s="28">
        <f>W916*_xlfn.XLOOKUP($L931,'Balizador da Meta'!$B$4:$B$21,'Balizador da Meta'!$C$4:$C$21)</f>
        <v>324</v>
      </c>
      <c r="X931" s="28">
        <f>X916*_xlfn.XLOOKUP($L931,'Balizador da Meta'!$B$4:$B$21,'Balizador da Meta'!$C$4:$C$21)</f>
        <v>336</v>
      </c>
      <c r="Y931" s="28">
        <f>Y916*_xlfn.XLOOKUP($L931,'Balizador da Meta'!$B$4:$B$21,'Balizador da Meta'!$C$4:$C$21)</f>
        <v>336</v>
      </c>
      <c r="Z931" s="30">
        <f t="shared" si="221"/>
        <v>3744</v>
      </c>
      <c r="AA931" s="29"/>
      <c r="AB931" s="31">
        <f>SUMIFS('Historico - FAT'!AK:AK,'Historico - FAT'!$K:$K,Faturamento!$L931,'Historico - FAT'!$I:$I,Faturamento!$J931,'Historico - FAT'!$G:$G,Faturamento!$H931)</f>
        <v>0</v>
      </c>
      <c r="AC931" s="31">
        <f>SUMIFS('Historico - FAT'!AL:AL,'Historico - FAT'!$K:$K,Faturamento!$L931,'Historico - FAT'!$I:$I,Faturamento!$J931,'Historico - FAT'!$G:$G,Faturamento!$H931)</f>
        <v>0</v>
      </c>
      <c r="AD931" s="31">
        <f>SUMIFS('Historico - FAT'!AM:AM,'Historico - FAT'!$K:$K,Faturamento!$L931,'Historico - FAT'!$I:$I,Faturamento!$J931,'Historico - FAT'!$G:$G,Faturamento!$H931)</f>
        <v>0</v>
      </c>
      <c r="AE931" s="27">
        <f>SUMIFS('Historico - FAT'!AN:AN,'Historico - FAT'!$K:$K,Faturamento!$L931,'Historico - FAT'!$I:$I,Faturamento!$J931,'Historico - FAT'!$G:$G,Faturamento!$H931)</f>
        <v>0</v>
      </c>
      <c r="AG931" s="24">
        <f t="shared" si="212"/>
        <v>1</v>
      </c>
      <c r="AH931" s="24">
        <f t="shared" si="213"/>
        <v>1</v>
      </c>
      <c r="AI931" s="24">
        <f t="shared" si="214"/>
        <v>1</v>
      </c>
    </row>
    <row r="932" spans="1:35" hidden="1" x14ac:dyDescent="0.3">
      <c r="A932" s="2" t="str">
        <f t="shared" si="211"/>
        <v>NÃO</v>
      </c>
      <c r="B932" s="2">
        <v>1000184670</v>
      </c>
      <c r="C932" s="2" t="s">
        <v>147</v>
      </c>
      <c r="D932" s="4">
        <v>1000186197</v>
      </c>
      <c r="E932" s="4" t="s">
        <v>166</v>
      </c>
      <c r="F932" s="2">
        <v>1000185288</v>
      </c>
      <c r="G932" s="2" t="s">
        <v>64</v>
      </c>
      <c r="H932" s="4">
        <v>1000189793</v>
      </c>
      <c r="I932" s="4" t="s">
        <v>85</v>
      </c>
      <c r="J932" s="2">
        <v>1000189270</v>
      </c>
      <c r="K932" s="2" t="s">
        <v>34</v>
      </c>
      <c r="L932" s="4" t="s">
        <v>26</v>
      </c>
      <c r="M932" s="4" t="str">
        <f t="shared" si="218"/>
        <v>1000184670100018619710001897931000189270SOULPRO</v>
      </c>
      <c r="N932" s="28">
        <f>N916*_xlfn.XLOOKUP($L932,'Balizador da Meta'!$B$4:$B$21,'Balizador da Meta'!$C$4:$C$21)</f>
        <v>864</v>
      </c>
      <c r="O932" s="28">
        <f>O916*_xlfn.XLOOKUP($L932,'Balizador da Meta'!$B$4:$B$21,'Balizador da Meta'!$C$4:$C$21)</f>
        <v>864</v>
      </c>
      <c r="P932" s="28">
        <f>P916*_xlfn.XLOOKUP($L932,'Balizador da Meta'!$B$4:$B$21,'Balizador da Meta'!$C$4:$C$21)</f>
        <v>900</v>
      </c>
      <c r="Q932" s="28">
        <f>Q916*_xlfn.XLOOKUP($L932,'Balizador da Meta'!$B$4:$B$21,'Balizador da Meta'!$C$4:$C$21)</f>
        <v>900</v>
      </c>
      <c r="R932" s="28">
        <f>R916*_xlfn.XLOOKUP($L932,'Balizador da Meta'!$B$4:$B$21,'Balizador da Meta'!$C$4:$C$21)</f>
        <v>900</v>
      </c>
      <c r="S932" s="28">
        <f>S916*_xlfn.XLOOKUP($L932,'Balizador da Meta'!$B$4:$B$21,'Balizador da Meta'!$C$4:$C$21)</f>
        <v>936</v>
      </c>
      <c r="T932" s="28">
        <f>T916*_xlfn.XLOOKUP($L932,'Balizador da Meta'!$B$4:$B$21,'Balizador da Meta'!$C$4:$C$21)</f>
        <v>936</v>
      </c>
      <c r="U932" s="28">
        <f>U916*_xlfn.XLOOKUP($L932,'Balizador da Meta'!$B$4:$B$21,'Balizador da Meta'!$C$4:$C$21)</f>
        <v>972</v>
      </c>
      <c r="V932" s="28">
        <f>V916*_xlfn.XLOOKUP($L932,'Balizador da Meta'!$B$4:$B$21,'Balizador da Meta'!$C$4:$C$21)</f>
        <v>972</v>
      </c>
      <c r="W932" s="28">
        <f>W916*_xlfn.XLOOKUP($L932,'Balizador da Meta'!$B$4:$B$21,'Balizador da Meta'!$C$4:$C$21)</f>
        <v>972</v>
      </c>
      <c r="X932" s="28">
        <f>X916*_xlfn.XLOOKUP($L932,'Balizador da Meta'!$B$4:$B$21,'Balizador da Meta'!$C$4:$C$21)</f>
        <v>1008</v>
      </c>
      <c r="Y932" s="28">
        <f>Y916*_xlfn.XLOOKUP($L932,'Balizador da Meta'!$B$4:$B$21,'Balizador da Meta'!$C$4:$C$21)</f>
        <v>1008</v>
      </c>
      <c r="Z932" s="30">
        <f t="shared" si="221"/>
        <v>11232</v>
      </c>
      <c r="AA932" s="29"/>
      <c r="AB932" s="31">
        <f>SUMIFS('Historico - FAT'!AK:AK,'Historico - FAT'!$K:$K,Faturamento!$L932,'Historico - FAT'!$I:$I,Faturamento!$J932,'Historico - FAT'!$G:$G,Faturamento!$H932)</f>
        <v>0</v>
      </c>
      <c r="AC932" s="31">
        <f>SUMIFS('Historico - FAT'!AL:AL,'Historico - FAT'!$K:$K,Faturamento!$L932,'Historico - FAT'!$I:$I,Faturamento!$J932,'Historico - FAT'!$G:$G,Faturamento!$H932)</f>
        <v>865.03083333333325</v>
      </c>
      <c r="AD932" s="31">
        <f>SUMIFS('Historico - FAT'!AM:AM,'Historico - FAT'!$K:$K,Faturamento!$L932,'Historico - FAT'!$I:$I,Faturamento!$J932,'Historico - FAT'!$G:$G,Faturamento!$H932)</f>
        <v>1730.0616666666665</v>
      </c>
      <c r="AE932" s="27">
        <f>SUMIFS('Historico - FAT'!AN:AN,'Historico - FAT'!$K:$K,Faturamento!$L932,'Historico - FAT'!$I:$I,Faturamento!$J932,'Historico - FAT'!$G:$G,Faturamento!$H932)</f>
        <v>1038.0369999999998</v>
      </c>
      <c r="AG932" s="24">
        <f t="shared" si="212"/>
        <v>1</v>
      </c>
      <c r="AH932" s="24">
        <f t="shared" si="213"/>
        <v>0.1314951472556895</v>
      </c>
      <c r="AI932" s="24">
        <f t="shared" si="214"/>
        <v>-0.73700970548862099</v>
      </c>
    </row>
    <row r="933" spans="1:35" hidden="1" x14ac:dyDescent="0.3">
      <c r="A933" s="2" t="str">
        <f t="shared" si="211"/>
        <v>NÃO</v>
      </c>
      <c r="B933" s="2">
        <v>1000184670</v>
      </c>
      <c r="C933" s="2" t="s">
        <v>147</v>
      </c>
      <c r="D933" s="4">
        <v>1000186197</v>
      </c>
      <c r="E933" s="4" t="s">
        <v>166</v>
      </c>
      <c r="F933" s="2">
        <v>1000185288</v>
      </c>
      <c r="G933" s="2" t="s">
        <v>64</v>
      </c>
      <c r="H933" s="4">
        <v>1000189793</v>
      </c>
      <c r="I933" s="4" t="s">
        <v>85</v>
      </c>
      <c r="J933" s="2">
        <v>1000189270</v>
      </c>
      <c r="K933" s="2" t="s">
        <v>34</v>
      </c>
      <c r="L933" s="4" t="s">
        <v>27</v>
      </c>
      <c r="M933" s="4" t="str">
        <f t="shared" si="218"/>
        <v>1000184670100018619710001897931000189270TAMARA</v>
      </c>
      <c r="N933" s="28">
        <f>N916*_xlfn.XLOOKUP($L933,'Balizador da Meta'!$B$4:$B$21,'Balizador da Meta'!$C$4:$C$21)</f>
        <v>1152</v>
      </c>
      <c r="O933" s="28">
        <f>O916*_xlfn.XLOOKUP($L933,'Balizador da Meta'!$B$4:$B$21,'Balizador da Meta'!$C$4:$C$21)</f>
        <v>1152</v>
      </c>
      <c r="P933" s="28">
        <f>P916*_xlfn.XLOOKUP($L933,'Balizador da Meta'!$B$4:$B$21,'Balizador da Meta'!$C$4:$C$21)</f>
        <v>1200</v>
      </c>
      <c r="Q933" s="28">
        <f>Q916*_xlfn.XLOOKUP($L933,'Balizador da Meta'!$B$4:$B$21,'Balizador da Meta'!$C$4:$C$21)</f>
        <v>1200</v>
      </c>
      <c r="R933" s="28">
        <f>R916*_xlfn.XLOOKUP($L933,'Balizador da Meta'!$B$4:$B$21,'Balizador da Meta'!$C$4:$C$21)</f>
        <v>1200</v>
      </c>
      <c r="S933" s="28">
        <f>S916*_xlfn.XLOOKUP($L933,'Balizador da Meta'!$B$4:$B$21,'Balizador da Meta'!$C$4:$C$21)</f>
        <v>1248</v>
      </c>
      <c r="T933" s="28">
        <f>T916*_xlfn.XLOOKUP($L933,'Balizador da Meta'!$B$4:$B$21,'Balizador da Meta'!$C$4:$C$21)</f>
        <v>1248</v>
      </c>
      <c r="U933" s="28">
        <f>U916*_xlfn.XLOOKUP($L933,'Balizador da Meta'!$B$4:$B$21,'Balizador da Meta'!$C$4:$C$21)</f>
        <v>1296</v>
      </c>
      <c r="V933" s="28">
        <f>V916*_xlfn.XLOOKUP($L933,'Balizador da Meta'!$B$4:$B$21,'Balizador da Meta'!$C$4:$C$21)</f>
        <v>1296</v>
      </c>
      <c r="W933" s="28">
        <f>W916*_xlfn.XLOOKUP($L933,'Balizador da Meta'!$B$4:$B$21,'Balizador da Meta'!$C$4:$C$21)</f>
        <v>1296</v>
      </c>
      <c r="X933" s="28">
        <f>X916*_xlfn.XLOOKUP($L933,'Balizador da Meta'!$B$4:$B$21,'Balizador da Meta'!$C$4:$C$21)</f>
        <v>1344</v>
      </c>
      <c r="Y933" s="28">
        <f>Y916*_xlfn.XLOOKUP($L933,'Balizador da Meta'!$B$4:$B$21,'Balizador da Meta'!$C$4:$C$21)</f>
        <v>1344</v>
      </c>
      <c r="Z933" s="30">
        <f t="shared" si="221"/>
        <v>14976</v>
      </c>
      <c r="AA933" s="29"/>
      <c r="AB933" s="31">
        <f>SUMIFS('Historico - FAT'!AK:AK,'Historico - FAT'!$K:$K,Faturamento!$L933,'Historico - FAT'!$I:$I,Faturamento!$J933,'Historico - FAT'!$G:$G,Faturamento!$H933)</f>
        <v>67.291666666666671</v>
      </c>
      <c r="AC933" s="31">
        <f>SUMIFS('Historico - FAT'!AL:AL,'Historico - FAT'!$K:$K,Faturamento!$L933,'Historico - FAT'!$I:$I,Faturamento!$J933,'Historico - FAT'!$G:$G,Faturamento!$H933)</f>
        <v>6224.5983333333343</v>
      </c>
      <c r="AD933" s="31">
        <f>SUMIFS('Historico - FAT'!AM:AM,'Historico - FAT'!$K:$K,Faturamento!$L933,'Historico - FAT'!$I:$I,Faturamento!$J933,'Historico - FAT'!$G:$G,Faturamento!$H933)</f>
        <v>774.27166666666653</v>
      </c>
      <c r="AE933" s="27">
        <f>SUMIFS('Historico - FAT'!AN:AN,'Historico - FAT'!$K:$K,Faturamento!$L933,'Historico - FAT'!$I:$I,Faturamento!$J933,'Historico - FAT'!$G:$G,Faturamento!$H933)</f>
        <v>7388.7680000000009</v>
      </c>
      <c r="AG933" s="24">
        <f t="shared" si="212"/>
        <v>0.94932856425702805</v>
      </c>
      <c r="AH933" s="24">
        <f t="shared" si="213"/>
        <v>-3.6871975401606432</v>
      </c>
      <c r="AI933" s="24">
        <f t="shared" si="214"/>
        <v>0.41696410642570292</v>
      </c>
    </row>
    <row r="934" spans="1:35" hidden="1" x14ac:dyDescent="0.3">
      <c r="A934" s="2" t="str">
        <f t="shared" si="211"/>
        <v>NÃO</v>
      </c>
      <c r="B934" s="2">
        <v>1000184670</v>
      </c>
      <c r="C934" s="2" t="s">
        <v>147</v>
      </c>
      <c r="D934" s="4">
        <v>1000186197</v>
      </c>
      <c r="E934" s="4" t="s">
        <v>166</v>
      </c>
      <c r="F934" s="2">
        <v>1000185288</v>
      </c>
      <c r="G934" s="2" t="s">
        <v>64</v>
      </c>
      <c r="H934" s="4">
        <v>1000189793</v>
      </c>
      <c r="I934" s="4" t="s">
        <v>85</v>
      </c>
      <c r="J934" s="2">
        <v>1000189270</v>
      </c>
      <c r="K934" s="2" t="s">
        <v>34</v>
      </c>
      <c r="L934" s="4" t="s">
        <v>25</v>
      </c>
      <c r="M934" s="4" t="str">
        <f t="shared" si="218"/>
        <v>1000184670100018619710001897931000189270VICCIO</v>
      </c>
      <c r="N934" s="28">
        <f>N916*_xlfn.XLOOKUP($L934,'Balizador da Meta'!$B$4:$B$21,'Balizador da Meta'!$C$4:$C$21)</f>
        <v>432</v>
      </c>
      <c r="O934" s="28">
        <f>O916*_xlfn.XLOOKUP($L934,'Balizador da Meta'!$B$4:$B$21,'Balizador da Meta'!$C$4:$C$21)</f>
        <v>432</v>
      </c>
      <c r="P934" s="28">
        <f>P916*_xlfn.XLOOKUP($L934,'Balizador da Meta'!$B$4:$B$21,'Balizador da Meta'!$C$4:$C$21)</f>
        <v>450</v>
      </c>
      <c r="Q934" s="28">
        <f>Q916*_xlfn.XLOOKUP($L934,'Balizador da Meta'!$B$4:$B$21,'Balizador da Meta'!$C$4:$C$21)</f>
        <v>450</v>
      </c>
      <c r="R934" s="28">
        <f>R916*_xlfn.XLOOKUP($L934,'Balizador da Meta'!$B$4:$B$21,'Balizador da Meta'!$C$4:$C$21)</f>
        <v>450</v>
      </c>
      <c r="S934" s="28">
        <f>S916*_xlfn.XLOOKUP($L934,'Balizador da Meta'!$B$4:$B$21,'Balizador da Meta'!$C$4:$C$21)</f>
        <v>468</v>
      </c>
      <c r="T934" s="28">
        <f>T916*_xlfn.XLOOKUP($L934,'Balizador da Meta'!$B$4:$B$21,'Balizador da Meta'!$C$4:$C$21)</f>
        <v>468</v>
      </c>
      <c r="U934" s="28">
        <f>U916*_xlfn.XLOOKUP($L934,'Balizador da Meta'!$B$4:$B$21,'Balizador da Meta'!$C$4:$C$21)</f>
        <v>486</v>
      </c>
      <c r="V934" s="28">
        <f>V916*_xlfn.XLOOKUP($L934,'Balizador da Meta'!$B$4:$B$21,'Balizador da Meta'!$C$4:$C$21)</f>
        <v>486</v>
      </c>
      <c r="W934" s="28">
        <f>W916*_xlfn.XLOOKUP($L934,'Balizador da Meta'!$B$4:$B$21,'Balizador da Meta'!$C$4:$C$21)</f>
        <v>486</v>
      </c>
      <c r="X934" s="28">
        <f>X916*_xlfn.XLOOKUP($L934,'Balizador da Meta'!$B$4:$B$21,'Balizador da Meta'!$C$4:$C$21)</f>
        <v>504</v>
      </c>
      <c r="Y934" s="28">
        <f>Y916*_xlfn.XLOOKUP($L934,'Balizador da Meta'!$B$4:$B$21,'Balizador da Meta'!$C$4:$C$21)</f>
        <v>504</v>
      </c>
      <c r="Z934" s="30">
        <f t="shared" si="221"/>
        <v>5616</v>
      </c>
      <c r="AA934" s="29"/>
      <c r="AB934" s="31">
        <f>SUMIFS('Historico - FAT'!AK:AK,'Historico - FAT'!$K:$K,Faturamento!$L934,'Historico - FAT'!$I:$I,Faturamento!$J934,'Historico - FAT'!$G:$G,Faturamento!$H934)</f>
        <v>-170.84416666666667</v>
      </c>
      <c r="AC934" s="31">
        <f>SUMIFS('Historico - FAT'!AL:AL,'Historico - FAT'!$K:$K,Faturamento!$L934,'Historico - FAT'!$I:$I,Faturamento!$J934,'Historico - FAT'!$G:$G,Faturamento!$H934)</f>
        <v>183.32166666666669</v>
      </c>
      <c r="AD934" s="31">
        <f>SUMIFS('Historico - FAT'!AM:AM,'Historico - FAT'!$K:$K,Faturamento!$L934,'Historico - FAT'!$I:$I,Faturamento!$J934,'Historico - FAT'!$G:$G,Faturamento!$H934)</f>
        <v>347.51833333333337</v>
      </c>
      <c r="AE934" s="27">
        <f>SUMIFS('Historico - FAT'!AN:AN,'Historico - FAT'!$K:$K,Faturamento!$L934,'Historico - FAT'!$I:$I,Faturamento!$J934,'Historico - FAT'!$G:$G,Faturamento!$H934)</f>
        <v>219.98600000000002</v>
      </c>
      <c r="AG934" s="24">
        <f t="shared" si="212"/>
        <v>1.3430605756358769</v>
      </c>
      <c r="AH934" s="24">
        <f t="shared" si="213"/>
        <v>0.63188420348058894</v>
      </c>
      <c r="AI934" s="24">
        <f t="shared" si="214"/>
        <v>0.30217202141900928</v>
      </c>
    </row>
    <row r="935" spans="1:35" x14ac:dyDescent="0.3">
      <c r="A935" s="2" t="str">
        <f t="shared" si="211"/>
        <v>SIM</v>
      </c>
      <c r="B935" s="2">
        <v>1000184670</v>
      </c>
      <c r="C935" s="2" t="s">
        <v>147</v>
      </c>
      <c r="D935" s="4">
        <v>1000186197</v>
      </c>
      <c r="E935" s="4" t="s">
        <v>166</v>
      </c>
      <c r="F935" s="2">
        <v>1000185288</v>
      </c>
      <c r="G935" s="2" t="s">
        <v>64</v>
      </c>
      <c r="H935" s="4">
        <v>1000189794</v>
      </c>
      <c r="I935" s="4" t="s">
        <v>117</v>
      </c>
      <c r="J935" s="2">
        <v>1000189270</v>
      </c>
      <c r="K935" s="2" t="s">
        <v>34</v>
      </c>
      <c r="L935" s="4" t="s">
        <v>124</v>
      </c>
      <c r="M935" s="4" t="str">
        <f t="shared" si="218"/>
        <v>100018467010001861971000189794100018927001. TOTAL</v>
      </c>
      <c r="N935" s="28">
        <f>SUMIFS(Positivação!L:L,Positivação!$I:$I,Faturamento!$J935,Positivação!$G:$G,Faturamento!$H935)*SUMIFS(Positivação!$Z:$Z,Positivação!$I:$I,Faturamento!$J935,Positivação!$G:$G,Faturamento!$H935)</f>
        <v>4200</v>
      </c>
      <c r="O935" s="28">
        <f>SUMIFS(Positivação!M:M,Positivação!$I:$I,Faturamento!$J935,Positivação!$G:$G,Faturamento!$H935)*SUMIFS(Positivação!$Z:$Z,Positivação!$I:$I,Faturamento!$J935,Positivação!$G:$G,Faturamento!$H935)</f>
        <v>4200</v>
      </c>
      <c r="P935" s="28">
        <f>SUMIFS(Positivação!N:N,Positivação!$I:$I,Faturamento!$J935,Positivação!$G:$G,Faturamento!$H935)*SUMIFS(Positivação!$Z:$Z,Positivação!$I:$I,Faturamento!$J935,Positivação!$G:$G,Faturamento!$H935)</f>
        <v>4200</v>
      </c>
      <c r="Q935" s="28">
        <f>SUMIFS(Positivação!O:O,Positivação!$I:$I,Faturamento!$J935,Positivação!$G:$G,Faturamento!$H935)*SUMIFS(Positivação!$Z:$Z,Positivação!$I:$I,Faturamento!$J935,Positivação!$G:$G,Faturamento!$H935)</f>
        <v>4800</v>
      </c>
      <c r="R935" s="28">
        <f>SUMIFS(Positivação!P:P,Positivação!$I:$I,Faturamento!$J935,Positivação!$G:$G,Faturamento!$H935)*SUMIFS(Positivação!$Z:$Z,Positivação!$I:$I,Faturamento!$J935,Positivação!$G:$G,Faturamento!$H935)</f>
        <v>4800</v>
      </c>
      <c r="S935" s="28">
        <f>SUMIFS(Positivação!Q:Q,Positivação!$I:$I,Faturamento!$J935,Positivação!$G:$G,Faturamento!$H935)*SUMIFS(Positivação!$Z:$Z,Positivação!$I:$I,Faturamento!$J935,Positivação!$G:$G,Faturamento!$H935)</f>
        <v>4800</v>
      </c>
      <c r="T935" s="28">
        <f>SUMIFS(Positivação!R:R,Positivação!$I:$I,Faturamento!$J935,Positivação!$G:$G,Faturamento!$H935)*SUMIFS(Positivação!$Z:$Z,Positivação!$I:$I,Faturamento!$J935,Positivação!$G:$G,Faturamento!$H935)</f>
        <v>4800</v>
      </c>
      <c r="U935" s="28">
        <f>SUMIFS(Positivação!S:S,Positivação!$I:$I,Faturamento!$J935,Positivação!$G:$G,Faturamento!$H935)*SUMIFS(Positivação!$Z:$Z,Positivação!$I:$I,Faturamento!$J935,Positivação!$G:$G,Faturamento!$H935)</f>
        <v>4800</v>
      </c>
      <c r="V935" s="28">
        <f>SUMIFS(Positivação!T:T,Positivação!$I:$I,Faturamento!$J935,Positivação!$G:$G,Faturamento!$H935)*SUMIFS(Positivação!$Z:$Z,Positivação!$I:$I,Faturamento!$J935,Positivação!$G:$G,Faturamento!$H935)</f>
        <v>5400</v>
      </c>
      <c r="W935" s="28">
        <f>SUMIFS(Positivação!U:U,Positivação!$I:$I,Faturamento!$J935,Positivação!$G:$G,Faturamento!$H935)*SUMIFS(Positivação!$Z:$Z,Positivação!$I:$I,Faturamento!$J935,Positivação!$G:$G,Faturamento!$H935)</f>
        <v>5400</v>
      </c>
      <c r="X935" s="28">
        <f>SUMIFS(Positivação!V:V,Positivação!$I:$I,Faturamento!$J935,Positivação!$G:$G,Faturamento!$H935)*SUMIFS(Positivação!$Z:$Z,Positivação!$I:$I,Faturamento!$J935,Positivação!$G:$G,Faturamento!$H935)</f>
        <v>5400</v>
      </c>
      <c r="Y935" s="28">
        <f>SUMIFS(Positivação!W:W,Positivação!$I:$I,Faturamento!$J935,Positivação!$G:$G,Faturamento!$H935)*SUMIFS(Positivação!$Z:$Z,Positivação!$I:$I,Faturamento!$J935,Positivação!$G:$G,Faturamento!$H935)</f>
        <v>5400</v>
      </c>
      <c r="Z935" s="28">
        <f t="shared" ref="Z935" si="222">SUM(Z936:Z953)</f>
        <v>58200</v>
      </c>
      <c r="AA935" s="29"/>
      <c r="AB935" s="28">
        <f t="shared" ref="AB935:AE935" si="223">SUM(AB936:AB953)</f>
        <v>0</v>
      </c>
      <c r="AC935" s="28">
        <f t="shared" si="223"/>
        <v>419.23749999999995</v>
      </c>
      <c r="AD935" s="28">
        <f t="shared" si="223"/>
        <v>634.68000000000006</v>
      </c>
      <c r="AE935" s="28">
        <f t="shared" si="223"/>
        <v>503.08499999999992</v>
      </c>
      <c r="AG935" s="24">
        <f t="shared" si="212"/>
        <v>1</v>
      </c>
      <c r="AH935" s="24">
        <f t="shared" si="213"/>
        <v>0.92236342592592591</v>
      </c>
      <c r="AI935" s="24">
        <f t="shared" si="214"/>
        <v>0.88246666666666662</v>
      </c>
    </row>
    <row r="936" spans="1:35" hidden="1" x14ac:dyDescent="0.3">
      <c r="A936" s="2" t="str">
        <f t="shared" si="211"/>
        <v>NÃO</v>
      </c>
      <c r="B936" s="2">
        <v>1000184670</v>
      </c>
      <c r="C936" s="2" t="s">
        <v>147</v>
      </c>
      <c r="D936" s="4">
        <v>1000186197</v>
      </c>
      <c r="E936" s="4" t="s">
        <v>166</v>
      </c>
      <c r="F936" s="2">
        <v>1000185288</v>
      </c>
      <c r="G936" s="2" t="s">
        <v>64</v>
      </c>
      <c r="H936" s="4">
        <v>1000189794</v>
      </c>
      <c r="I936" s="4" t="s">
        <v>117</v>
      </c>
      <c r="J936" s="2">
        <v>1000189270</v>
      </c>
      <c r="K936" s="2" t="s">
        <v>34</v>
      </c>
      <c r="L936" s="4" t="s">
        <v>13</v>
      </c>
      <c r="M936" s="4" t="str">
        <f t="shared" si="218"/>
        <v>1000184670100018619710001897941000189270BISCOITO</v>
      </c>
      <c r="N936" s="28">
        <f>N935*_xlfn.XLOOKUP($L936,'Balizador da Meta'!$B$4:$B$21,'Balizador da Meta'!$C$4:$C$21)</f>
        <v>294</v>
      </c>
      <c r="O936" s="28">
        <f>O935*_xlfn.XLOOKUP($L936,'Balizador da Meta'!$B$4:$B$21,'Balizador da Meta'!$C$4:$C$21)</f>
        <v>294</v>
      </c>
      <c r="P936" s="28">
        <f>P935*_xlfn.XLOOKUP($L936,'Balizador da Meta'!$B$4:$B$21,'Balizador da Meta'!$C$4:$C$21)</f>
        <v>294</v>
      </c>
      <c r="Q936" s="28">
        <f>Q935*_xlfn.XLOOKUP($L936,'Balizador da Meta'!$B$4:$B$21,'Balizador da Meta'!$C$4:$C$21)</f>
        <v>336.00000000000006</v>
      </c>
      <c r="R936" s="28">
        <f>R935*_xlfn.XLOOKUP($L936,'Balizador da Meta'!$B$4:$B$21,'Balizador da Meta'!$C$4:$C$21)</f>
        <v>336.00000000000006</v>
      </c>
      <c r="S936" s="28">
        <f>S935*_xlfn.XLOOKUP($L936,'Balizador da Meta'!$B$4:$B$21,'Balizador da Meta'!$C$4:$C$21)</f>
        <v>336.00000000000006</v>
      </c>
      <c r="T936" s="28">
        <f>T935*_xlfn.XLOOKUP($L936,'Balizador da Meta'!$B$4:$B$21,'Balizador da Meta'!$C$4:$C$21)</f>
        <v>336.00000000000006</v>
      </c>
      <c r="U936" s="28">
        <f>U935*_xlfn.XLOOKUP($L936,'Balizador da Meta'!$B$4:$B$21,'Balizador da Meta'!$C$4:$C$21)</f>
        <v>336.00000000000006</v>
      </c>
      <c r="V936" s="28">
        <f>V935*_xlfn.XLOOKUP($L936,'Balizador da Meta'!$B$4:$B$21,'Balizador da Meta'!$C$4:$C$21)</f>
        <v>378.00000000000006</v>
      </c>
      <c r="W936" s="28">
        <f>W935*_xlfn.XLOOKUP($L936,'Balizador da Meta'!$B$4:$B$21,'Balizador da Meta'!$C$4:$C$21)</f>
        <v>378.00000000000006</v>
      </c>
      <c r="X936" s="28">
        <f>X935*_xlfn.XLOOKUP($L936,'Balizador da Meta'!$B$4:$B$21,'Balizador da Meta'!$C$4:$C$21)</f>
        <v>378.00000000000006</v>
      </c>
      <c r="Y936" s="28">
        <f>Y935*_xlfn.XLOOKUP($L936,'Balizador da Meta'!$B$4:$B$21,'Balizador da Meta'!$C$4:$C$21)</f>
        <v>378.00000000000006</v>
      </c>
      <c r="Z936" s="30">
        <f t="shared" ref="Z936:Z953" si="224">SUM(N936:Y936)</f>
        <v>4074</v>
      </c>
      <c r="AA936" s="29"/>
      <c r="AB936" s="31">
        <f>SUMIFS('Historico - FAT'!AK:AK,'Historico - FAT'!$K:$K,Faturamento!$L936,'Historico - FAT'!$I:$I,Faturamento!$J936,'Historico - FAT'!$G:$G,Faturamento!$H936)</f>
        <v>0</v>
      </c>
      <c r="AC936" s="31">
        <f>SUMIFS('Historico - FAT'!AL:AL,'Historico - FAT'!$K:$K,Faturamento!$L936,'Historico - FAT'!$I:$I,Faturamento!$J936,'Historico - FAT'!$G:$G,Faturamento!$H936)</f>
        <v>22.807500000000001</v>
      </c>
      <c r="AD936" s="31">
        <f>SUMIFS('Historico - FAT'!AM:AM,'Historico - FAT'!$K:$K,Faturamento!$L936,'Historico - FAT'!$I:$I,Faturamento!$J936,'Historico - FAT'!$G:$G,Faturamento!$H936)</f>
        <v>41.94166666666667</v>
      </c>
      <c r="AE936" s="27">
        <f>SUMIFS('Historico - FAT'!AN:AN,'Historico - FAT'!$K:$K,Faturamento!$L936,'Historico - FAT'!$I:$I,Faturamento!$J936,'Historico - FAT'!$G:$G,Faturamento!$H936)</f>
        <v>27.369</v>
      </c>
      <c r="AG936" s="24">
        <f t="shared" si="212"/>
        <v>1</v>
      </c>
      <c r="AH936" s="24">
        <f t="shared" si="213"/>
        <v>0.93966269841269845</v>
      </c>
      <c r="AI936" s="24">
        <f t="shared" si="214"/>
        <v>0.88904320987654328</v>
      </c>
    </row>
    <row r="937" spans="1:35" hidden="1" x14ac:dyDescent="0.3">
      <c r="A937" s="2" t="str">
        <f t="shared" si="211"/>
        <v>NÃO</v>
      </c>
      <c r="B937" s="2">
        <v>1000184670</v>
      </c>
      <c r="C937" s="2" t="s">
        <v>147</v>
      </c>
      <c r="D937" s="4">
        <v>1000186197</v>
      </c>
      <c r="E937" s="4" t="s">
        <v>166</v>
      </c>
      <c r="F937" s="2">
        <v>1000185288</v>
      </c>
      <c r="G937" s="2" t="s">
        <v>64</v>
      </c>
      <c r="H937" s="4">
        <v>1000189794</v>
      </c>
      <c r="I937" s="4" t="s">
        <v>117</v>
      </c>
      <c r="J937" s="2">
        <v>1000189270</v>
      </c>
      <c r="K937" s="2" t="s">
        <v>34</v>
      </c>
      <c r="L937" s="4" t="s">
        <v>14</v>
      </c>
      <c r="M937" s="4" t="str">
        <f t="shared" si="218"/>
        <v>1000184670100018619710001897941000189270CHOCOLATES</v>
      </c>
      <c r="N937" s="28">
        <f>N935*_xlfn.XLOOKUP($L937,'Balizador da Meta'!$B$4:$B$21,'Balizador da Meta'!$C$4:$C$21)</f>
        <v>294</v>
      </c>
      <c r="O937" s="28">
        <f>O935*_xlfn.XLOOKUP($L937,'Balizador da Meta'!$B$4:$B$21,'Balizador da Meta'!$C$4:$C$21)</f>
        <v>294</v>
      </c>
      <c r="P937" s="28">
        <f>P935*_xlfn.XLOOKUP($L937,'Balizador da Meta'!$B$4:$B$21,'Balizador da Meta'!$C$4:$C$21)</f>
        <v>294</v>
      </c>
      <c r="Q937" s="28">
        <f>Q935*_xlfn.XLOOKUP($L937,'Balizador da Meta'!$B$4:$B$21,'Balizador da Meta'!$C$4:$C$21)</f>
        <v>336.00000000000006</v>
      </c>
      <c r="R937" s="28">
        <f>R935*_xlfn.XLOOKUP($L937,'Balizador da Meta'!$B$4:$B$21,'Balizador da Meta'!$C$4:$C$21)</f>
        <v>336.00000000000006</v>
      </c>
      <c r="S937" s="28">
        <f>S935*_xlfn.XLOOKUP($L937,'Balizador da Meta'!$B$4:$B$21,'Balizador da Meta'!$C$4:$C$21)</f>
        <v>336.00000000000006</v>
      </c>
      <c r="T937" s="28">
        <f>T935*_xlfn.XLOOKUP($L937,'Balizador da Meta'!$B$4:$B$21,'Balizador da Meta'!$C$4:$C$21)</f>
        <v>336.00000000000006</v>
      </c>
      <c r="U937" s="28">
        <f>U935*_xlfn.XLOOKUP($L937,'Balizador da Meta'!$B$4:$B$21,'Balizador da Meta'!$C$4:$C$21)</f>
        <v>336.00000000000006</v>
      </c>
      <c r="V937" s="28">
        <f>V935*_xlfn.XLOOKUP($L937,'Balizador da Meta'!$B$4:$B$21,'Balizador da Meta'!$C$4:$C$21)</f>
        <v>378.00000000000006</v>
      </c>
      <c r="W937" s="28">
        <f>W935*_xlfn.XLOOKUP($L937,'Balizador da Meta'!$B$4:$B$21,'Balizador da Meta'!$C$4:$C$21)</f>
        <v>378.00000000000006</v>
      </c>
      <c r="X937" s="28">
        <f>X935*_xlfn.XLOOKUP($L937,'Balizador da Meta'!$B$4:$B$21,'Balizador da Meta'!$C$4:$C$21)</f>
        <v>378.00000000000006</v>
      </c>
      <c r="Y937" s="28">
        <f>Y935*_xlfn.XLOOKUP($L937,'Balizador da Meta'!$B$4:$B$21,'Balizador da Meta'!$C$4:$C$21)</f>
        <v>378.00000000000006</v>
      </c>
      <c r="Z937" s="30">
        <f t="shared" si="224"/>
        <v>4074</v>
      </c>
      <c r="AA937" s="29"/>
      <c r="AB937" s="31">
        <f>SUMIFS('Historico - FAT'!AK:AK,'Historico - FAT'!$K:$K,Faturamento!$L937,'Historico - FAT'!$I:$I,Faturamento!$J937,'Historico - FAT'!$G:$G,Faturamento!$H937)</f>
        <v>0</v>
      </c>
      <c r="AC937" s="31">
        <f>SUMIFS('Historico - FAT'!AL:AL,'Historico - FAT'!$K:$K,Faturamento!$L937,'Historico - FAT'!$I:$I,Faturamento!$J937,'Historico - FAT'!$G:$G,Faturamento!$H937)</f>
        <v>41.225000000000001</v>
      </c>
      <c r="AD937" s="31">
        <f>SUMIFS('Historico - FAT'!AM:AM,'Historico - FAT'!$K:$K,Faturamento!$L937,'Historico - FAT'!$I:$I,Faturamento!$J937,'Historico - FAT'!$G:$G,Faturamento!$H937)</f>
        <v>53.199999999999996</v>
      </c>
      <c r="AE937" s="27">
        <f>SUMIFS('Historico - FAT'!AN:AN,'Historico - FAT'!$K:$K,Faturamento!$L937,'Historico - FAT'!$I:$I,Faturamento!$J937,'Historico - FAT'!$G:$G,Faturamento!$H937)</f>
        <v>49.47</v>
      </c>
      <c r="AG937" s="24">
        <f t="shared" si="212"/>
        <v>1</v>
      </c>
      <c r="AH937" s="24">
        <f t="shared" si="213"/>
        <v>0.89093915343915342</v>
      </c>
      <c r="AI937" s="24">
        <f t="shared" si="214"/>
        <v>0.85925925925925928</v>
      </c>
    </row>
    <row r="938" spans="1:35" hidden="1" x14ac:dyDescent="0.3">
      <c r="A938" s="2" t="str">
        <f t="shared" si="211"/>
        <v>NÃO</v>
      </c>
      <c r="B938" s="2">
        <v>1000184670</v>
      </c>
      <c r="C938" s="2" t="s">
        <v>147</v>
      </c>
      <c r="D938" s="4">
        <v>1000186197</v>
      </c>
      <c r="E938" s="4" t="s">
        <v>166</v>
      </c>
      <c r="F938" s="2">
        <v>1000185288</v>
      </c>
      <c r="G938" s="2" t="s">
        <v>64</v>
      </c>
      <c r="H938" s="4">
        <v>1000189794</v>
      </c>
      <c r="I938" s="4" t="s">
        <v>117</v>
      </c>
      <c r="J938" s="2">
        <v>1000189270</v>
      </c>
      <c r="K938" s="2" t="s">
        <v>34</v>
      </c>
      <c r="L938" s="4" t="s">
        <v>16</v>
      </c>
      <c r="M938" s="4" t="str">
        <f t="shared" si="218"/>
        <v>1000184670100018619710001897941000189270DISNEY</v>
      </c>
      <c r="N938" s="28">
        <f>N935*_xlfn.XLOOKUP($L938,'Balizador da Meta'!$B$4:$B$21,'Balizador da Meta'!$C$4:$C$21)</f>
        <v>336</v>
      </c>
      <c r="O938" s="28">
        <f>O935*_xlfn.XLOOKUP($L938,'Balizador da Meta'!$B$4:$B$21,'Balizador da Meta'!$C$4:$C$21)</f>
        <v>336</v>
      </c>
      <c r="P938" s="28">
        <f>P935*_xlfn.XLOOKUP($L938,'Balizador da Meta'!$B$4:$B$21,'Balizador da Meta'!$C$4:$C$21)</f>
        <v>336</v>
      </c>
      <c r="Q938" s="28">
        <f>Q935*_xlfn.XLOOKUP($L938,'Balizador da Meta'!$B$4:$B$21,'Balizador da Meta'!$C$4:$C$21)</f>
        <v>384</v>
      </c>
      <c r="R938" s="28">
        <f>R935*_xlfn.XLOOKUP($L938,'Balizador da Meta'!$B$4:$B$21,'Balizador da Meta'!$C$4:$C$21)</f>
        <v>384</v>
      </c>
      <c r="S938" s="28">
        <f>S935*_xlfn.XLOOKUP($L938,'Balizador da Meta'!$B$4:$B$21,'Balizador da Meta'!$C$4:$C$21)</f>
        <v>384</v>
      </c>
      <c r="T938" s="28">
        <f>T935*_xlfn.XLOOKUP($L938,'Balizador da Meta'!$B$4:$B$21,'Balizador da Meta'!$C$4:$C$21)</f>
        <v>384</v>
      </c>
      <c r="U938" s="28">
        <f>U935*_xlfn.XLOOKUP($L938,'Balizador da Meta'!$B$4:$B$21,'Balizador da Meta'!$C$4:$C$21)</f>
        <v>384</v>
      </c>
      <c r="V938" s="28">
        <f>V935*_xlfn.XLOOKUP($L938,'Balizador da Meta'!$B$4:$B$21,'Balizador da Meta'!$C$4:$C$21)</f>
        <v>432</v>
      </c>
      <c r="W938" s="28">
        <f>W935*_xlfn.XLOOKUP($L938,'Balizador da Meta'!$B$4:$B$21,'Balizador da Meta'!$C$4:$C$21)</f>
        <v>432</v>
      </c>
      <c r="X938" s="28">
        <f>X935*_xlfn.XLOOKUP($L938,'Balizador da Meta'!$B$4:$B$21,'Balizador da Meta'!$C$4:$C$21)</f>
        <v>432</v>
      </c>
      <c r="Y938" s="28">
        <f>Y935*_xlfn.XLOOKUP($L938,'Balizador da Meta'!$B$4:$B$21,'Balizador da Meta'!$C$4:$C$21)</f>
        <v>432</v>
      </c>
      <c r="Z938" s="30">
        <f t="shared" si="224"/>
        <v>4656</v>
      </c>
      <c r="AA938" s="29"/>
      <c r="AB938" s="31">
        <f>SUMIFS('Historico - FAT'!AK:AK,'Historico - FAT'!$K:$K,Faturamento!$L938,'Historico - FAT'!$I:$I,Faturamento!$J938,'Historico - FAT'!$G:$G,Faturamento!$H938)</f>
        <v>0</v>
      </c>
      <c r="AC938" s="31">
        <f>SUMIFS('Historico - FAT'!AL:AL,'Historico - FAT'!$K:$K,Faturamento!$L938,'Historico - FAT'!$I:$I,Faturamento!$J938,'Historico - FAT'!$G:$G,Faturamento!$H938)</f>
        <v>37.060833333333335</v>
      </c>
      <c r="AD938" s="31">
        <f>SUMIFS('Historico - FAT'!AM:AM,'Historico - FAT'!$K:$K,Faturamento!$L938,'Historico - FAT'!$I:$I,Faturamento!$J938,'Historico - FAT'!$G:$G,Faturamento!$H938)</f>
        <v>33.193333333333335</v>
      </c>
      <c r="AE938" s="27">
        <f>SUMIFS('Historico - FAT'!AN:AN,'Historico - FAT'!$K:$K,Faturamento!$L938,'Historico - FAT'!$I:$I,Faturamento!$J938,'Historico - FAT'!$G:$G,Faturamento!$H938)</f>
        <v>44.472999999999999</v>
      </c>
      <c r="AG938" s="24">
        <f t="shared" si="212"/>
        <v>1</v>
      </c>
      <c r="AH938" s="24">
        <f t="shared" si="213"/>
        <v>0.91421103395061731</v>
      </c>
      <c r="AI938" s="24">
        <f t="shared" si="214"/>
        <v>0.92316358024691358</v>
      </c>
    </row>
    <row r="939" spans="1:35" hidden="1" x14ac:dyDescent="0.3">
      <c r="A939" s="2" t="str">
        <f t="shared" si="211"/>
        <v>NÃO</v>
      </c>
      <c r="B939" s="2">
        <v>1000184670</v>
      </c>
      <c r="C939" s="2" t="s">
        <v>147</v>
      </c>
      <c r="D939" s="4">
        <v>1000186197</v>
      </c>
      <c r="E939" s="4" t="s">
        <v>166</v>
      </c>
      <c r="F939" s="2">
        <v>1000185288</v>
      </c>
      <c r="G939" s="2" t="s">
        <v>64</v>
      </c>
      <c r="H939" s="4">
        <v>1000189794</v>
      </c>
      <c r="I939" s="4" t="s">
        <v>117</v>
      </c>
      <c r="J939" s="2">
        <v>1000189270</v>
      </c>
      <c r="K939" s="2" t="s">
        <v>34</v>
      </c>
      <c r="L939" s="4" t="s">
        <v>15</v>
      </c>
      <c r="M939" s="4" t="str">
        <f t="shared" si="218"/>
        <v>1000184670100018619710001897941000189270DOCES</v>
      </c>
      <c r="N939" s="28">
        <f>N935*_xlfn.XLOOKUP($L939,'Balizador da Meta'!$B$4:$B$21,'Balizador da Meta'!$C$4:$C$21)</f>
        <v>378</v>
      </c>
      <c r="O939" s="28">
        <f>O935*_xlfn.XLOOKUP($L939,'Balizador da Meta'!$B$4:$B$21,'Balizador da Meta'!$C$4:$C$21)</f>
        <v>378</v>
      </c>
      <c r="P939" s="28">
        <f>P935*_xlfn.XLOOKUP($L939,'Balizador da Meta'!$B$4:$B$21,'Balizador da Meta'!$C$4:$C$21)</f>
        <v>378</v>
      </c>
      <c r="Q939" s="28">
        <f>Q935*_xlfn.XLOOKUP($L939,'Balizador da Meta'!$B$4:$B$21,'Balizador da Meta'!$C$4:$C$21)</f>
        <v>432</v>
      </c>
      <c r="R939" s="28">
        <f>R935*_xlfn.XLOOKUP($L939,'Balizador da Meta'!$B$4:$B$21,'Balizador da Meta'!$C$4:$C$21)</f>
        <v>432</v>
      </c>
      <c r="S939" s="28">
        <f>S935*_xlfn.XLOOKUP($L939,'Balizador da Meta'!$B$4:$B$21,'Balizador da Meta'!$C$4:$C$21)</f>
        <v>432</v>
      </c>
      <c r="T939" s="28">
        <f>T935*_xlfn.XLOOKUP($L939,'Balizador da Meta'!$B$4:$B$21,'Balizador da Meta'!$C$4:$C$21)</f>
        <v>432</v>
      </c>
      <c r="U939" s="28">
        <f>U935*_xlfn.XLOOKUP($L939,'Balizador da Meta'!$B$4:$B$21,'Balizador da Meta'!$C$4:$C$21)</f>
        <v>432</v>
      </c>
      <c r="V939" s="28">
        <f>V935*_xlfn.XLOOKUP($L939,'Balizador da Meta'!$B$4:$B$21,'Balizador da Meta'!$C$4:$C$21)</f>
        <v>486</v>
      </c>
      <c r="W939" s="28">
        <f>W935*_xlfn.XLOOKUP($L939,'Balizador da Meta'!$B$4:$B$21,'Balizador da Meta'!$C$4:$C$21)</f>
        <v>486</v>
      </c>
      <c r="X939" s="28">
        <f>X935*_xlfn.XLOOKUP($L939,'Balizador da Meta'!$B$4:$B$21,'Balizador da Meta'!$C$4:$C$21)</f>
        <v>486</v>
      </c>
      <c r="Y939" s="28">
        <f>Y935*_xlfn.XLOOKUP($L939,'Balizador da Meta'!$B$4:$B$21,'Balizador da Meta'!$C$4:$C$21)</f>
        <v>486</v>
      </c>
      <c r="Z939" s="30">
        <f t="shared" si="224"/>
        <v>5238</v>
      </c>
      <c r="AA939" s="29"/>
      <c r="AB939" s="31">
        <f>SUMIFS('Historico - FAT'!AK:AK,'Historico - FAT'!$K:$K,Faturamento!$L939,'Historico - FAT'!$I:$I,Faturamento!$J939,'Historico - FAT'!$G:$G,Faturamento!$H939)</f>
        <v>0</v>
      </c>
      <c r="AC939" s="31">
        <f>SUMIFS('Historico - FAT'!AL:AL,'Historico - FAT'!$K:$K,Faturamento!$L939,'Historico - FAT'!$I:$I,Faturamento!$J939,'Historico - FAT'!$G:$G,Faturamento!$H939)</f>
        <v>6.3649999999999993</v>
      </c>
      <c r="AD939" s="31">
        <f>SUMIFS('Historico - FAT'!AM:AM,'Historico - FAT'!$K:$K,Faturamento!$L939,'Historico - FAT'!$I:$I,Faturamento!$J939,'Historico - FAT'!$G:$G,Faturamento!$H939)</f>
        <v>0</v>
      </c>
      <c r="AE939" s="27">
        <f>SUMIFS('Historico - FAT'!AN:AN,'Historico - FAT'!$K:$K,Faturamento!$L939,'Historico - FAT'!$I:$I,Faturamento!$J939,'Historico - FAT'!$G:$G,Faturamento!$H939)</f>
        <v>7.6379999999999999</v>
      </c>
      <c r="AG939" s="24">
        <f t="shared" si="212"/>
        <v>1</v>
      </c>
      <c r="AH939" s="24">
        <f t="shared" si="213"/>
        <v>0.98690329218106998</v>
      </c>
      <c r="AI939" s="24">
        <f t="shared" si="214"/>
        <v>1</v>
      </c>
    </row>
    <row r="940" spans="1:35" hidden="1" x14ac:dyDescent="0.3">
      <c r="A940" s="2" t="str">
        <f t="shared" si="211"/>
        <v>NÃO</v>
      </c>
      <c r="B940" s="2">
        <v>1000184670</v>
      </c>
      <c r="C940" s="2" t="s">
        <v>147</v>
      </c>
      <c r="D940" s="4">
        <v>1000186197</v>
      </c>
      <c r="E940" s="4" t="s">
        <v>166</v>
      </c>
      <c r="F940" s="2">
        <v>1000185288</v>
      </c>
      <c r="G940" s="2" t="s">
        <v>64</v>
      </c>
      <c r="H940" s="4">
        <v>1000189794</v>
      </c>
      <c r="I940" s="4" t="s">
        <v>117</v>
      </c>
      <c r="J940" s="2">
        <v>1000189270</v>
      </c>
      <c r="K940" s="2" t="s">
        <v>34</v>
      </c>
      <c r="L940" s="4" t="s">
        <v>33</v>
      </c>
      <c r="M940" s="4" t="str">
        <f t="shared" si="218"/>
        <v>1000184670100018619710001897941000189270FOOD SERVICE</v>
      </c>
      <c r="N940" s="28">
        <f>N935*_xlfn.XLOOKUP($L940,'Balizador da Meta'!$B$4:$B$21,'Balizador da Meta'!$C$4:$C$21)</f>
        <v>0</v>
      </c>
      <c r="O940" s="28">
        <f>O935*_xlfn.XLOOKUP($L940,'Balizador da Meta'!$B$4:$B$21,'Balizador da Meta'!$C$4:$C$21)</f>
        <v>0</v>
      </c>
      <c r="P940" s="28">
        <f>P935*_xlfn.XLOOKUP($L940,'Balizador da Meta'!$B$4:$B$21,'Balizador da Meta'!$C$4:$C$21)</f>
        <v>0</v>
      </c>
      <c r="Q940" s="28">
        <f>Q935*_xlfn.XLOOKUP($L940,'Balizador da Meta'!$B$4:$B$21,'Balizador da Meta'!$C$4:$C$21)</f>
        <v>0</v>
      </c>
      <c r="R940" s="28">
        <f>R935*_xlfn.XLOOKUP($L940,'Balizador da Meta'!$B$4:$B$21,'Balizador da Meta'!$C$4:$C$21)</f>
        <v>0</v>
      </c>
      <c r="S940" s="28">
        <f>S935*_xlfn.XLOOKUP($L940,'Balizador da Meta'!$B$4:$B$21,'Balizador da Meta'!$C$4:$C$21)</f>
        <v>0</v>
      </c>
      <c r="T940" s="28">
        <f>T935*_xlfn.XLOOKUP($L940,'Balizador da Meta'!$B$4:$B$21,'Balizador da Meta'!$C$4:$C$21)</f>
        <v>0</v>
      </c>
      <c r="U940" s="28">
        <f>U935*_xlfn.XLOOKUP($L940,'Balizador da Meta'!$B$4:$B$21,'Balizador da Meta'!$C$4:$C$21)</f>
        <v>0</v>
      </c>
      <c r="V940" s="28">
        <f>V935*_xlfn.XLOOKUP($L940,'Balizador da Meta'!$B$4:$B$21,'Balizador da Meta'!$C$4:$C$21)</f>
        <v>0</v>
      </c>
      <c r="W940" s="28">
        <f>W935*_xlfn.XLOOKUP($L940,'Balizador da Meta'!$B$4:$B$21,'Balizador da Meta'!$C$4:$C$21)</f>
        <v>0</v>
      </c>
      <c r="X940" s="28">
        <f>X935*_xlfn.XLOOKUP($L940,'Balizador da Meta'!$B$4:$B$21,'Balizador da Meta'!$C$4:$C$21)</f>
        <v>0</v>
      </c>
      <c r="Y940" s="28">
        <f>Y935*_xlfn.XLOOKUP($L940,'Balizador da Meta'!$B$4:$B$21,'Balizador da Meta'!$C$4:$C$21)</f>
        <v>0</v>
      </c>
      <c r="Z940" s="30">
        <f t="shared" si="224"/>
        <v>0</v>
      </c>
      <c r="AA940" s="29"/>
      <c r="AB940" s="31">
        <f>SUMIFS('Historico - FAT'!AK:AK,'Historico - FAT'!$K:$K,Faturamento!$L940,'Historico - FAT'!$I:$I,Faturamento!$J940,'Historico - FAT'!$G:$G,Faturamento!$H940)</f>
        <v>0</v>
      </c>
      <c r="AC940" s="31">
        <f>SUMIFS('Historico - FAT'!AL:AL,'Historico - FAT'!$K:$K,Faturamento!$L940,'Historico - FAT'!$I:$I,Faturamento!$J940,'Historico - FAT'!$G:$G,Faturamento!$H940)</f>
        <v>0</v>
      </c>
      <c r="AD940" s="31">
        <f>SUMIFS('Historico - FAT'!AM:AM,'Historico - FAT'!$K:$K,Faturamento!$L940,'Historico - FAT'!$I:$I,Faturamento!$J940,'Historico - FAT'!$G:$G,Faturamento!$H940)</f>
        <v>0</v>
      </c>
      <c r="AE940" s="27">
        <f>SUMIFS('Historico - FAT'!AN:AN,'Historico - FAT'!$K:$K,Faturamento!$L940,'Historico - FAT'!$I:$I,Faturamento!$J940,'Historico - FAT'!$G:$G,Faturamento!$H940)</f>
        <v>0</v>
      </c>
      <c r="AG940" s="24" t="str">
        <f t="shared" si="212"/>
        <v/>
      </c>
      <c r="AH940" s="24" t="str">
        <f t="shared" si="213"/>
        <v/>
      </c>
      <c r="AI940" s="24" t="str">
        <f t="shared" si="214"/>
        <v/>
      </c>
    </row>
    <row r="941" spans="1:35" hidden="1" x14ac:dyDescent="0.3">
      <c r="A941" s="2" t="str">
        <f t="shared" si="211"/>
        <v>NÃO</v>
      </c>
      <c r="B941" s="2">
        <v>1000184670</v>
      </c>
      <c r="C941" s="2" t="s">
        <v>147</v>
      </c>
      <c r="D941" s="4">
        <v>1000186197</v>
      </c>
      <c r="E941" s="4" t="s">
        <v>166</v>
      </c>
      <c r="F941" s="2">
        <v>1000185288</v>
      </c>
      <c r="G941" s="2" t="s">
        <v>64</v>
      </c>
      <c r="H941" s="4">
        <v>1000189794</v>
      </c>
      <c r="I941" s="4" t="s">
        <v>117</v>
      </c>
      <c r="J941" s="2">
        <v>1000189270</v>
      </c>
      <c r="K941" s="2" t="s">
        <v>34</v>
      </c>
      <c r="L941" s="4" t="s">
        <v>19</v>
      </c>
      <c r="M941" s="4" t="str">
        <f t="shared" si="218"/>
        <v>1000184670100018619710001897941000189270GELEIA</v>
      </c>
      <c r="N941" s="28">
        <f>N935*_xlfn.XLOOKUP($L941,'Balizador da Meta'!$B$4:$B$21,'Balizador da Meta'!$C$4:$C$21)</f>
        <v>83.999999999999986</v>
      </c>
      <c r="O941" s="28">
        <f>O935*_xlfn.XLOOKUP($L941,'Balizador da Meta'!$B$4:$B$21,'Balizador da Meta'!$C$4:$C$21)</f>
        <v>83.999999999999986</v>
      </c>
      <c r="P941" s="28">
        <f>P935*_xlfn.XLOOKUP($L941,'Balizador da Meta'!$B$4:$B$21,'Balizador da Meta'!$C$4:$C$21)</f>
        <v>83.999999999999986</v>
      </c>
      <c r="Q941" s="28">
        <f>Q935*_xlfn.XLOOKUP($L941,'Balizador da Meta'!$B$4:$B$21,'Balizador da Meta'!$C$4:$C$21)</f>
        <v>95.999999999999986</v>
      </c>
      <c r="R941" s="28">
        <f>R935*_xlfn.XLOOKUP($L941,'Balizador da Meta'!$B$4:$B$21,'Balizador da Meta'!$C$4:$C$21)</f>
        <v>95.999999999999986</v>
      </c>
      <c r="S941" s="28">
        <f>S935*_xlfn.XLOOKUP($L941,'Balizador da Meta'!$B$4:$B$21,'Balizador da Meta'!$C$4:$C$21)</f>
        <v>95.999999999999986</v>
      </c>
      <c r="T941" s="28">
        <f>T935*_xlfn.XLOOKUP($L941,'Balizador da Meta'!$B$4:$B$21,'Balizador da Meta'!$C$4:$C$21)</f>
        <v>95.999999999999986</v>
      </c>
      <c r="U941" s="28">
        <f>U935*_xlfn.XLOOKUP($L941,'Balizador da Meta'!$B$4:$B$21,'Balizador da Meta'!$C$4:$C$21)</f>
        <v>95.999999999999986</v>
      </c>
      <c r="V941" s="28">
        <f>V935*_xlfn.XLOOKUP($L941,'Balizador da Meta'!$B$4:$B$21,'Balizador da Meta'!$C$4:$C$21)</f>
        <v>107.99999999999999</v>
      </c>
      <c r="W941" s="28">
        <f>W935*_xlfn.XLOOKUP($L941,'Balizador da Meta'!$B$4:$B$21,'Balizador da Meta'!$C$4:$C$21)</f>
        <v>107.99999999999999</v>
      </c>
      <c r="X941" s="28">
        <f>X935*_xlfn.XLOOKUP($L941,'Balizador da Meta'!$B$4:$B$21,'Balizador da Meta'!$C$4:$C$21)</f>
        <v>107.99999999999999</v>
      </c>
      <c r="Y941" s="28">
        <f>Y935*_xlfn.XLOOKUP($L941,'Balizador da Meta'!$B$4:$B$21,'Balizador da Meta'!$C$4:$C$21)</f>
        <v>107.99999999999999</v>
      </c>
      <c r="Z941" s="30">
        <f t="shared" si="224"/>
        <v>1163.9999999999998</v>
      </c>
      <c r="AA941" s="29"/>
      <c r="AB941" s="31">
        <f>SUMIFS('Historico - FAT'!AK:AK,'Historico - FAT'!$K:$K,Faturamento!$L941,'Historico - FAT'!$I:$I,Faturamento!$J941,'Historico - FAT'!$G:$G,Faturamento!$H941)</f>
        <v>0</v>
      </c>
      <c r="AC941" s="31">
        <f>SUMIFS('Historico - FAT'!AL:AL,'Historico - FAT'!$K:$K,Faturamento!$L941,'Historico - FAT'!$I:$I,Faturamento!$J941,'Historico - FAT'!$G:$G,Faturamento!$H941)</f>
        <v>2.85</v>
      </c>
      <c r="AD941" s="31">
        <f>SUMIFS('Historico - FAT'!AM:AM,'Historico - FAT'!$K:$K,Faturamento!$L941,'Historico - FAT'!$I:$I,Faturamento!$J941,'Historico - FAT'!$G:$G,Faturamento!$H941)</f>
        <v>0</v>
      </c>
      <c r="AE941" s="27">
        <f>SUMIFS('Historico - FAT'!AN:AN,'Historico - FAT'!$K:$K,Faturamento!$L941,'Historico - FAT'!$I:$I,Faturamento!$J941,'Historico - FAT'!$G:$G,Faturamento!$H941)</f>
        <v>3.4200000000000004</v>
      </c>
      <c r="AG941" s="24">
        <f t="shared" si="212"/>
        <v>1</v>
      </c>
      <c r="AH941" s="24">
        <f t="shared" si="213"/>
        <v>0.9736111111111112</v>
      </c>
      <c r="AI941" s="24">
        <f t="shared" si="214"/>
        <v>1</v>
      </c>
    </row>
    <row r="942" spans="1:35" hidden="1" x14ac:dyDescent="0.3">
      <c r="A942" s="2" t="str">
        <f t="shared" si="211"/>
        <v>NÃO</v>
      </c>
      <c r="B942" s="2">
        <v>1000184670</v>
      </c>
      <c r="C942" s="2" t="s">
        <v>147</v>
      </c>
      <c r="D942" s="4">
        <v>1000186197</v>
      </c>
      <c r="E942" s="4" t="s">
        <v>166</v>
      </c>
      <c r="F942" s="2">
        <v>1000185288</v>
      </c>
      <c r="G942" s="2" t="s">
        <v>64</v>
      </c>
      <c r="H942" s="4">
        <v>1000189794</v>
      </c>
      <c r="I942" s="4" t="s">
        <v>117</v>
      </c>
      <c r="J942" s="2">
        <v>1000189270</v>
      </c>
      <c r="K942" s="2" t="s">
        <v>34</v>
      </c>
      <c r="L942" s="4" t="s">
        <v>17</v>
      </c>
      <c r="M942" s="4" t="str">
        <f t="shared" si="218"/>
        <v>1000184670100018619710001897941000189270GRANOLA</v>
      </c>
      <c r="N942" s="28">
        <f>N935*_xlfn.XLOOKUP($L942,'Balizador da Meta'!$B$4:$B$21,'Balizador da Meta'!$C$4:$C$21)</f>
        <v>84</v>
      </c>
      <c r="O942" s="28">
        <f>O935*_xlfn.XLOOKUP($L942,'Balizador da Meta'!$B$4:$B$21,'Balizador da Meta'!$C$4:$C$21)</f>
        <v>84</v>
      </c>
      <c r="P942" s="28">
        <f>P935*_xlfn.XLOOKUP($L942,'Balizador da Meta'!$B$4:$B$21,'Balizador da Meta'!$C$4:$C$21)</f>
        <v>84</v>
      </c>
      <c r="Q942" s="28">
        <f>Q935*_xlfn.XLOOKUP($L942,'Balizador da Meta'!$B$4:$B$21,'Balizador da Meta'!$C$4:$C$21)</f>
        <v>96</v>
      </c>
      <c r="R942" s="28">
        <f>R935*_xlfn.XLOOKUP($L942,'Balizador da Meta'!$B$4:$B$21,'Balizador da Meta'!$C$4:$C$21)</f>
        <v>96</v>
      </c>
      <c r="S942" s="28">
        <f>S935*_xlfn.XLOOKUP($L942,'Balizador da Meta'!$B$4:$B$21,'Balizador da Meta'!$C$4:$C$21)</f>
        <v>96</v>
      </c>
      <c r="T942" s="28">
        <f>T935*_xlfn.XLOOKUP($L942,'Balizador da Meta'!$B$4:$B$21,'Balizador da Meta'!$C$4:$C$21)</f>
        <v>96</v>
      </c>
      <c r="U942" s="28">
        <f>U935*_xlfn.XLOOKUP($L942,'Balizador da Meta'!$B$4:$B$21,'Balizador da Meta'!$C$4:$C$21)</f>
        <v>96</v>
      </c>
      <c r="V942" s="28">
        <f>V935*_xlfn.XLOOKUP($L942,'Balizador da Meta'!$B$4:$B$21,'Balizador da Meta'!$C$4:$C$21)</f>
        <v>108</v>
      </c>
      <c r="W942" s="28">
        <f>W935*_xlfn.XLOOKUP($L942,'Balizador da Meta'!$B$4:$B$21,'Balizador da Meta'!$C$4:$C$21)</f>
        <v>108</v>
      </c>
      <c r="X942" s="28">
        <f>X935*_xlfn.XLOOKUP($L942,'Balizador da Meta'!$B$4:$B$21,'Balizador da Meta'!$C$4:$C$21)</f>
        <v>108</v>
      </c>
      <c r="Y942" s="28">
        <f>Y935*_xlfn.XLOOKUP($L942,'Balizador da Meta'!$B$4:$B$21,'Balizador da Meta'!$C$4:$C$21)</f>
        <v>108</v>
      </c>
      <c r="Z942" s="30">
        <f t="shared" si="224"/>
        <v>1164</v>
      </c>
      <c r="AA942" s="29"/>
      <c r="AB942" s="31">
        <f>SUMIFS('Historico - FAT'!AK:AK,'Historico - FAT'!$K:$K,Faturamento!$L942,'Historico - FAT'!$I:$I,Faturamento!$J942,'Historico - FAT'!$G:$G,Faturamento!$H942)</f>
        <v>0</v>
      </c>
      <c r="AC942" s="31">
        <f>SUMIFS('Historico - FAT'!AL:AL,'Historico - FAT'!$K:$K,Faturamento!$L942,'Historico - FAT'!$I:$I,Faturamento!$J942,'Historico - FAT'!$G:$G,Faturamento!$H942)</f>
        <v>0</v>
      </c>
      <c r="AD942" s="31">
        <f>SUMIFS('Historico - FAT'!AM:AM,'Historico - FAT'!$K:$K,Faturamento!$L942,'Historico - FAT'!$I:$I,Faturamento!$J942,'Historico - FAT'!$G:$G,Faturamento!$H942)</f>
        <v>0</v>
      </c>
      <c r="AE942" s="27">
        <f>SUMIFS('Historico - FAT'!AN:AN,'Historico - FAT'!$K:$K,Faturamento!$L942,'Historico - FAT'!$I:$I,Faturamento!$J942,'Historico - FAT'!$G:$G,Faturamento!$H942)</f>
        <v>0</v>
      </c>
      <c r="AG942" s="24">
        <f t="shared" si="212"/>
        <v>1</v>
      </c>
      <c r="AH942" s="24">
        <f t="shared" si="213"/>
        <v>1</v>
      </c>
      <c r="AI942" s="24">
        <f t="shared" si="214"/>
        <v>1</v>
      </c>
    </row>
    <row r="943" spans="1:35" hidden="1" x14ac:dyDescent="0.3">
      <c r="A943" s="2" t="str">
        <f t="shared" si="211"/>
        <v>NÃO</v>
      </c>
      <c r="B943" s="2">
        <v>1000184670</v>
      </c>
      <c r="C943" s="2" t="s">
        <v>147</v>
      </c>
      <c r="D943" s="4">
        <v>1000186197</v>
      </c>
      <c r="E943" s="4" t="s">
        <v>166</v>
      </c>
      <c r="F943" s="2">
        <v>1000185288</v>
      </c>
      <c r="G943" s="2" t="s">
        <v>64</v>
      </c>
      <c r="H943" s="4">
        <v>1000189794</v>
      </c>
      <c r="I943" s="4" t="s">
        <v>117</v>
      </c>
      <c r="J943" s="2">
        <v>1000189270</v>
      </c>
      <c r="K943" s="2" t="s">
        <v>34</v>
      </c>
      <c r="L943" s="4" t="s">
        <v>24</v>
      </c>
      <c r="M943" s="4" t="str">
        <f t="shared" si="218"/>
        <v>1000184670100018619710001897941000189270KIDS</v>
      </c>
      <c r="N943" s="28">
        <f>N935*_xlfn.XLOOKUP($L943,'Balizador da Meta'!$B$4:$B$21,'Balizador da Meta'!$C$4:$C$21)</f>
        <v>0</v>
      </c>
      <c r="O943" s="28">
        <f>O935*_xlfn.XLOOKUP($L943,'Balizador da Meta'!$B$4:$B$21,'Balizador da Meta'!$C$4:$C$21)</f>
        <v>0</v>
      </c>
      <c r="P943" s="28">
        <f>P935*_xlfn.XLOOKUP($L943,'Balizador da Meta'!$B$4:$B$21,'Balizador da Meta'!$C$4:$C$21)</f>
        <v>0</v>
      </c>
      <c r="Q943" s="28">
        <f>Q935*_xlfn.XLOOKUP($L943,'Balizador da Meta'!$B$4:$B$21,'Balizador da Meta'!$C$4:$C$21)</f>
        <v>0</v>
      </c>
      <c r="R943" s="28">
        <f>R935*_xlfn.XLOOKUP($L943,'Balizador da Meta'!$B$4:$B$21,'Balizador da Meta'!$C$4:$C$21)</f>
        <v>0</v>
      </c>
      <c r="S943" s="28">
        <f>S935*_xlfn.XLOOKUP($L943,'Balizador da Meta'!$B$4:$B$21,'Balizador da Meta'!$C$4:$C$21)</f>
        <v>0</v>
      </c>
      <c r="T943" s="28">
        <f>T935*_xlfn.XLOOKUP($L943,'Balizador da Meta'!$B$4:$B$21,'Balizador da Meta'!$C$4:$C$21)</f>
        <v>0</v>
      </c>
      <c r="U943" s="28">
        <f>U935*_xlfn.XLOOKUP($L943,'Balizador da Meta'!$B$4:$B$21,'Balizador da Meta'!$C$4:$C$21)</f>
        <v>0</v>
      </c>
      <c r="V943" s="28">
        <f>V935*_xlfn.XLOOKUP($L943,'Balizador da Meta'!$B$4:$B$21,'Balizador da Meta'!$C$4:$C$21)</f>
        <v>0</v>
      </c>
      <c r="W943" s="28">
        <f>W935*_xlfn.XLOOKUP($L943,'Balizador da Meta'!$B$4:$B$21,'Balizador da Meta'!$C$4:$C$21)</f>
        <v>0</v>
      </c>
      <c r="X943" s="28">
        <f>X935*_xlfn.XLOOKUP($L943,'Balizador da Meta'!$B$4:$B$21,'Balizador da Meta'!$C$4:$C$21)</f>
        <v>0</v>
      </c>
      <c r="Y943" s="28">
        <f>Y935*_xlfn.XLOOKUP($L943,'Balizador da Meta'!$B$4:$B$21,'Balizador da Meta'!$C$4:$C$21)</f>
        <v>0</v>
      </c>
      <c r="Z943" s="30">
        <f t="shared" si="224"/>
        <v>0</v>
      </c>
      <c r="AA943" s="29"/>
      <c r="AB943" s="31">
        <f>SUMIFS('Historico - FAT'!AK:AK,'Historico - FAT'!$K:$K,Faturamento!$L943,'Historico - FAT'!$I:$I,Faturamento!$J943,'Historico - FAT'!$G:$G,Faturamento!$H943)</f>
        <v>0</v>
      </c>
      <c r="AC943" s="31">
        <f>SUMIFS('Historico - FAT'!AL:AL,'Historico - FAT'!$K:$K,Faturamento!$L943,'Historico - FAT'!$I:$I,Faturamento!$J943,'Historico - FAT'!$G:$G,Faturamento!$H943)</f>
        <v>8.6316666666666677</v>
      </c>
      <c r="AD943" s="31">
        <f>SUMIFS('Historico - FAT'!AM:AM,'Historico - FAT'!$K:$K,Faturamento!$L943,'Historico - FAT'!$I:$I,Faturamento!$J943,'Historico - FAT'!$G:$G,Faturamento!$H943)</f>
        <v>11.715000000000002</v>
      </c>
      <c r="AE943" s="27">
        <f>SUMIFS('Historico - FAT'!AN:AN,'Historico - FAT'!$K:$K,Faturamento!$L943,'Historico - FAT'!$I:$I,Faturamento!$J943,'Historico - FAT'!$G:$G,Faturamento!$H943)</f>
        <v>10.358000000000001</v>
      </c>
      <c r="AG943" s="24" t="str">
        <f t="shared" si="212"/>
        <v/>
      </c>
      <c r="AH943" s="24" t="str">
        <f t="shared" si="213"/>
        <v/>
      </c>
      <c r="AI943" s="24" t="str">
        <f t="shared" si="214"/>
        <v/>
      </c>
    </row>
    <row r="944" spans="1:35" hidden="1" x14ac:dyDescent="0.3">
      <c r="A944" s="2" t="str">
        <f t="shared" si="211"/>
        <v>NÃO</v>
      </c>
      <c r="B944" s="2">
        <v>1000184670</v>
      </c>
      <c r="C944" s="2" t="s">
        <v>147</v>
      </c>
      <c r="D944" s="4">
        <v>1000186197</v>
      </c>
      <c r="E944" s="4" t="s">
        <v>166</v>
      </c>
      <c r="F944" s="2">
        <v>1000185288</v>
      </c>
      <c r="G944" s="2" t="s">
        <v>64</v>
      </c>
      <c r="H944" s="4">
        <v>1000189794</v>
      </c>
      <c r="I944" s="4" t="s">
        <v>117</v>
      </c>
      <c r="J944" s="2">
        <v>1000189270</v>
      </c>
      <c r="K944" s="2" t="s">
        <v>34</v>
      </c>
      <c r="L944" s="4" t="s">
        <v>18</v>
      </c>
      <c r="M944" s="4" t="str">
        <f t="shared" si="218"/>
        <v>1000184670100018619710001897941000189270LANCHES</v>
      </c>
      <c r="N944" s="28">
        <f>N935*_xlfn.XLOOKUP($L944,'Balizador da Meta'!$B$4:$B$21,'Balizador da Meta'!$C$4:$C$21)</f>
        <v>42</v>
      </c>
      <c r="O944" s="28">
        <f>O935*_xlfn.XLOOKUP($L944,'Balizador da Meta'!$B$4:$B$21,'Balizador da Meta'!$C$4:$C$21)</f>
        <v>42</v>
      </c>
      <c r="P944" s="28">
        <f>P935*_xlfn.XLOOKUP($L944,'Balizador da Meta'!$B$4:$B$21,'Balizador da Meta'!$C$4:$C$21)</f>
        <v>42</v>
      </c>
      <c r="Q944" s="28">
        <f>Q935*_xlfn.XLOOKUP($L944,'Balizador da Meta'!$B$4:$B$21,'Balizador da Meta'!$C$4:$C$21)</f>
        <v>48</v>
      </c>
      <c r="R944" s="28">
        <f>R935*_xlfn.XLOOKUP($L944,'Balizador da Meta'!$B$4:$B$21,'Balizador da Meta'!$C$4:$C$21)</f>
        <v>48</v>
      </c>
      <c r="S944" s="28">
        <f>S935*_xlfn.XLOOKUP($L944,'Balizador da Meta'!$B$4:$B$21,'Balizador da Meta'!$C$4:$C$21)</f>
        <v>48</v>
      </c>
      <c r="T944" s="28">
        <f>T935*_xlfn.XLOOKUP($L944,'Balizador da Meta'!$B$4:$B$21,'Balizador da Meta'!$C$4:$C$21)</f>
        <v>48</v>
      </c>
      <c r="U944" s="28">
        <f>U935*_xlfn.XLOOKUP($L944,'Balizador da Meta'!$B$4:$B$21,'Balizador da Meta'!$C$4:$C$21)</f>
        <v>48</v>
      </c>
      <c r="V944" s="28">
        <f>V935*_xlfn.XLOOKUP($L944,'Balizador da Meta'!$B$4:$B$21,'Balizador da Meta'!$C$4:$C$21)</f>
        <v>54</v>
      </c>
      <c r="W944" s="28">
        <f>W935*_xlfn.XLOOKUP($L944,'Balizador da Meta'!$B$4:$B$21,'Balizador da Meta'!$C$4:$C$21)</f>
        <v>54</v>
      </c>
      <c r="X944" s="28">
        <f>X935*_xlfn.XLOOKUP($L944,'Balizador da Meta'!$B$4:$B$21,'Balizador da Meta'!$C$4:$C$21)</f>
        <v>54</v>
      </c>
      <c r="Y944" s="28">
        <f>Y935*_xlfn.XLOOKUP($L944,'Balizador da Meta'!$B$4:$B$21,'Balizador da Meta'!$C$4:$C$21)</f>
        <v>54</v>
      </c>
      <c r="Z944" s="30">
        <f t="shared" si="224"/>
        <v>582</v>
      </c>
      <c r="AA944" s="29"/>
      <c r="AB944" s="31">
        <f>SUMIFS('Historico - FAT'!AK:AK,'Historico - FAT'!$K:$K,Faturamento!$L944,'Historico - FAT'!$I:$I,Faturamento!$J944,'Historico - FAT'!$G:$G,Faturamento!$H944)</f>
        <v>0</v>
      </c>
      <c r="AC944" s="31">
        <f>SUMIFS('Historico - FAT'!AL:AL,'Historico - FAT'!$K:$K,Faturamento!$L944,'Historico - FAT'!$I:$I,Faturamento!$J944,'Historico - FAT'!$G:$G,Faturamento!$H944)</f>
        <v>4.546666666666666</v>
      </c>
      <c r="AD944" s="31">
        <f>SUMIFS('Historico - FAT'!AM:AM,'Historico - FAT'!$K:$K,Faturamento!$L944,'Historico - FAT'!$I:$I,Faturamento!$J944,'Historico - FAT'!$G:$G,Faturamento!$H944)</f>
        <v>7.8</v>
      </c>
      <c r="AE944" s="27">
        <f>SUMIFS('Historico - FAT'!AN:AN,'Historico - FAT'!$K:$K,Faturamento!$L944,'Historico - FAT'!$I:$I,Faturamento!$J944,'Historico - FAT'!$G:$G,Faturamento!$H944)</f>
        <v>5.4559999999999995</v>
      </c>
      <c r="AG944" s="24">
        <f t="shared" si="212"/>
        <v>1</v>
      </c>
      <c r="AH944" s="24">
        <f t="shared" si="213"/>
        <v>0.91580246913580243</v>
      </c>
      <c r="AI944" s="24">
        <f t="shared" si="214"/>
        <v>0.85555555555555562</v>
      </c>
    </row>
    <row r="945" spans="1:35" hidden="1" x14ac:dyDescent="0.3">
      <c r="A945" s="2" t="str">
        <f t="shared" si="211"/>
        <v>NÃO</v>
      </c>
      <c r="B945" s="2">
        <v>1000184670</v>
      </c>
      <c r="C945" s="2" t="s">
        <v>147</v>
      </c>
      <c r="D945" s="4">
        <v>1000186197</v>
      </c>
      <c r="E945" s="4" t="s">
        <v>166</v>
      </c>
      <c r="F945" s="2">
        <v>1000185288</v>
      </c>
      <c r="G945" s="2" t="s">
        <v>64</v>
      </c>
      <c r="H945" s="4">
        <v>1000189794</v>
      </c>
      <c r="I945" s="4" t="s">
        <v>117</v>
      </c>
      <c r="J945" s="2">
        <v>1000189270</v>
      </c>
      <c r="K945" s="2" t="s">
        <v>34</v>
      </c>
      <c r="L945" s="4" t="s">
        <v>29</v>
      </c>
      <c r="M945" s="4" t="str">
        <f t="shared" si="218"/>
        <v>1000184670100018619710001897941000189270MAIS GRANEL</v>
      </c>
      <c r="N945" s="28">
        <f>N935*_xlfn.XLOOKUP($L945,'Balizador da Meta'!$B$4:$B$21,'Balizador da Meta'!$C$4:$C$21)</f>
        <v>1344</v>
      </c>
      <c r="O945" s="28">
        <f>O935*_xlfn.XLOOKUP($L945,'Balizador da Meta'!$B$4:$B$21,'Balizador da Meta'!$C$4:$C$21)</f>
        <v>1344</v>
      </c>
      <c r="P945" s="28">
        <f>P935*_xlfn.XLOOKUP($L945,'Balizador da Meta'!$B$4:$B$21,'Balizador da Meta'!$C$4:$C$21)</f>
        <v>1344</v>
      </c>
      <c r="Q945" s="28">
        <f>Q935*_xlfn.XLOOKUP($L945,'Balizador da Meta'!$B$4:$B$21,'Balizador da Meta'!$C$4:$C$21)</f>
        <v>1536</v>
      </c>
      <c r="R945" s="28">
        <f>R935*_xlfn.XLOOKUP($L945,'Balizador da Meta'!$B$4:$B$21,'Balizador da Meta'!$C$4:$C$21)</f>
        <v>1536</v>
      </c>
      <c r="S945" s="28">
        <f>S935*_xlfn.XLOOKUP($L945,'Balizador da Meta'!$B$4:$B$21,'Balizador da Meta'!$C$4:$C$21)</f>
        <v>1536</v>
      </c>
      <c r="T945" s="28">
        <f>T935*_xlfn.XLOOKUP($L945,'Balizador da Meta'!$B$4:$B$21,'Balizador da Meta'!$C$4:$C$21)</f>
        <v>1536</v>
      </c>
      <c r="U945" s="28">
        <f>U935*_xlfn.XLOOKUP($L945,'Balizador da Meta'!$B$4:$B$21,'Balizador da Meta'!$C$4:$C$21)</f>
        <v>1536</v>
      </c>
      <c r="V945" s="28">
        <f>V935*_xlfn.XLOOKUP($L945,'Balizador da Meta'!$B$4:$B$21,'Balizador da Meta'!$C$4:$C$21)</f>
        <v>1728</v>
      </c>
      <c r="W945" s="28">
        <f>W935*_xlfn.XLOOKUP($L945,'Balizador da Meta'!$B$4:$B$21,'Balizador da Meta'!$C$4:$C$21)</f>
        <v>1728</v>
      </c>
      <c r="X945" s="28">
        <f>X935*_xlfn.XLOOKUP($L945,'Balizador da Meta'!$B$4:$B$21,'Balizador da Meta'!$C$4:$C$21)</f>
        <v>1728</v>
      </c>
      <c r="Y945" s="28">
        <f>Y935*_xlfn.XLOOKUP($L945,'Balizador da Meta'!$B$4:$B$21,'Balizador da Meta'!$C$4:$C$21)</f>
        <v>1728</v>
      </c>
      <c r="Z945" s="30">
        <f t="shared" si="224"/>
        <v>18624</v>
      </c>
      <c r="AA945" s="29"/>
      <c r="AB945" s="31">
        <f>SUMIFS('Historico - FAT'!AK:AK,'Historico - FAT'!$K:$K,Faturamento!$L945,'Historico - FAT'!$I:$I,Faturamento!$J945,'Historico - FAT'!$G:$G,Faturamento!$H945)</f>
        <v>0</v>
      </c>
      <c r="AC945" s="31">
        <f>SUMIFS('Historico - FAT'!AL:AL,'Historico - FAT'!$K:$K,Faturamento!$L945,'Historico - FAT'!$I:$I,Faturamento!$J945,'Historico - FAT'!$G:$G,Faturamento!$H945)</f>
        <v>179.76249999999996</v>
      </c>
      <c r="AD945" s="31">
        <f>SUMIFS('Historico - FAT'!AM:AM,'Historico - FAT'!$K:$K,Faturamento!$L945,'Historico - FAT'!$I:$I,Faturamento!$J945,'Historico - FAT'!$G:$G,Faturamento!$H945)</f>
        <v>280.72500000000002</v>
      </c>
      <c r="AE945" s="27">
        <f>SUMIFS('Historico - FAT'!AN:AN,'Historico - FAT'!$K:$K,Faturamento!$L945,'Historico - FAT'!$I:$I,Faturamento!$J945,'Historico - FAT'!$G:$G,Faturamento!$H945)</f>
        <v>215.71499999999997</v>
      </c>
      <c r="AG945" s="24">
        <f t="shared" si="212"/>
        <v>1</v>
      </c>
      <c r="AH945" s="24">
        <f t="shared" si="213"/>
        <v>0.89597077546296289</v>
      </c>
      <c r="AI945" s="24">
        <f t="shared" si="214"/>
        <v>0.83754340277777783</v>
      </c>
    </row>
    <row r="946" spans="1:35" hidden="1" x14ac:dyDescent="0.3">
      <c r="A946" s="2" t="str">
        <f t="shared" ref="A946:A1009" si="225">IF(OR(H946&lt;&gt;H945,J946&lt;&gt;J945),"SIM","NÃO")</f>
        <v>NÃO</v>
      </c>
      <c r="B946" s="2">
        <v>1000184670</v>
      </c>
      <c r="C946" s="2" t="s">
        <v>147</v>
      </c>
      <c r="D946" s="4">
        <v>1000186197</v>
      </c>
      <c r="E946" s="4" t="s">
        <v>166</v>
      </c>
      <c r="F946" s="2">
        <v>1000185288</v>
      </c>
      <c r="G946" s="2" t="s">
        <v>64</v>
      </c>
      <c r="H946" s="4">
        <v>1000189794</v>
      </c>
      <c r="I946" s="4" t="s">
        <v>117</v>
      </c>
      <c r="J946" s="2">
        <v>1000189270</v>
      </c>
      <c r="K946" s="2" t="s">
        <v>34</v>
      </c>
      <c r="L946" s="4" t="s">
        <v>21</v>
      </c>
      <c r="M946" s="4" t="str">
        <f t="shared" si="218"/>
        <v>1000184670100018619710001897941000189270NATURATTA</v>
      </c>
      <c r="N946" s="28">
        <f>N935*_xlfn.XLOOKUP($L946,'Balizador da Meta'!$B$4:$B$21,'Balizador da Meta'!$C$4:$C$21)</f>
        <v>210</v>
      </c>
      <c r="O946" s="28">
        <f>O935*_xlfn.XLOOKUP($L946,'Balizador da Meta'!$B$4:$B$21,'Balizador da Meta'!$C$4:$C$21)</f>
        <v>210</v>
      </c>
      <c r="P946" s="28">
        <f>P935*_xlfn.XLOOKUP($L946,'Balizador da Meta'!$B$4:$B$21,'Balizador da Meta'!$C$4:$C$21)</f>
        <v>210</v>
      </c>
      <c r="Q946" s="28">
        <f>Q935*_xlfn.XLOOKUP($L946,'Balizador da Meta'!$B$4:$B$21,'Balizador da Meta'!$C$4:$C$21)</f>
        <v>240</v>
      </c>
      <c r="R946" s="28">
        <f>R935*_xlfn.XLOOKUP($L946,'Balizador da Meta'!$B$4:$B$21,'Balizador da Meta'!$C$4:$C$21)</f>
        <v>240</v>
      </c>
      <c r="S946" s="28">
        <f>S935*_xlfn.XLOOKUP($L946,'Balizador da Meta'!$B$4:$B$21,'Balizador da Meta'!$C$4:$C$21)</f>
        <v>240</v>
      </c>
      <c r="T946" s="28">
        <f>T935*_xlfn.XLOOKUP($L946,'Balizador da Meta'!$B$4:$B$21,'Balizador da Meta'!$C$4:$C$21)</f>
        <v>240</v>
      </c>
      <c r="U946" s="28">
        <f>U935*_xlfn.XLOOKUP($L946,'Balizador da Meta'!$B$4:$B$21,'Balizador da Meta'!$C$4:$C$21)</f>
        <v>240</v>
      </c>
      <c r="V946" s="28">
        <f>V935*_xlfn.XLOOKUP($L946,'Balizador da Meta'!$B$4:$B$21,'Balizador da Meta'!$C$4:$C$21)</f>
        <v>270</v>
      </c>
      <c r="W946" s="28">
        <f>W935*_xlfn.XLOOKUP($L946,'Balizador da Meta'!$B$4:$B$21,'Balizador da Meta'!$C$4:$C$21)</f>
        <v>270</v>
      </c>
      <c r="X946" s="28">
        <f>X935*_xlfn.XLOOKUP($L946,'Balizador da Meta'!$B$4:$B$21,'Balizador da Meta'!$C$4:$C$21)</f>
        <v>270</v>
      </c>
      <c r="Y946" s="28">
        <f>Y935*_xlfn.XLOOKUP($L946,'Balizador da Meta'!$B$4:$B$21,'Balizador da Meta'!$C$4:$C$21)</f>
        <v>270</v>
      </c>
      <c r="Z946" s="30">
        <f t="shared" si="224"/>
        <v>2910</v>
      </c>
      <c r="AA946" s="29"/>
      <c r="AB946" s="31">
        <f>SUMIFS('Historico - FAT'!AK:AK,'Historico - FAT'!$K:$K,Faturamento!$L946,'Historico - FAT'!$I:$I,Faturamento!$J946,'Historico - FAT'!$G:$G,Faturamento!$H946)</f>
        <v>0</v>
      </c>
      <c r="AC946" s="31">
        <f>SUMIFS('Historico - FAT'!AL:AL,'Historico - FAT'!$K:$K,Faturamento!$L946,'Historico - FAT'!$I:$I,Faturamento!$J946,'Historico - FAT'!$G:$G,Faturamento!$H946)</f>
        <v>23.684999999999999</v>
      </c>
      <c r="AD946" s="31">
        <f>SUMIFS('Historico - FAT'!AM:AM,'Historico - FAT'!$K:$K,Faturamento!$L946,'Historico - FAT'!$I:$I,Faturamento!$J946,'Historico - FAT'!$G:$G,Faturamento!$H946)</f>
        <v>45.983333333333327</v>
      </c>
      <c r="AE946" s="27">
        <f>SUMIFS('Historico - FAT'!AN:AN,'Historico - FAT'!$K:$K,Faturamento!$L946,'Historico - FAT'!$I:$I,Faturamento!$J946,'Historico - FAT'!$G:$G,Faturamento!$H946)</f>
        <v>28.421999999999997</v>
      </c>
      <c r="AG946" s="24">
        <f t="shared" ref="AG946:AG1009" si="226">IFERROR((AVERAGE(W946:Y946)-AB946)/AVERAGE(W946:Y946),"")</f>
        <v>1</v>
      </c>
      <c r="AH946" s="24">
        <f t="shared" ref="AH946:AH1009" si="227">IFERROR((AVERAGE(W946:Y946)-AC946)/AVERAGE(W946:Y946),"")</f>
        <v>0.91227777777777774</v>
      </c>
      <c r="AI946" s="24">
        <f t="shared" ref="AI946:AI1009" si="228">IFERROR((AVERAGE(W946:Y946)-AD946)/AVERAGE(W946:Y946),"")</f>
        <v>0.82969135802469141</v>
      </c>
    </row>
    <row r="947" spans="1:35" hidden="1" x14ac:dyDescent="0.3">
      <c r="A947" s="2" t="str">
        <f t="shared" si="225"/>
        <v>NÃO</v>
      </c>
      <c r="B947" s="2">
        <v>1000184670</v>
      </c>
      <c r="C947" s="2" t="s">
        <v>147</v>
      </c>
      <c r="D947" s="4">
        <v>1000186197</v>
      </c>
      <c r="E947" s="4" t="s">
        <v>166</v>
      </c>
      <c r="F947" s="2">
        <v>1000185288</v>
      </c>
      <c r="G947" s="2" t="s">
        <v>64</v>
      </c>
      <c r="H947" s="4">
        <v>1000189794</v>
      </c>
      <c r="I947" s="4" t="s">
        <v>117</v>
      </c>
      <c r="J947" s="2">
        <v>1000189270</v>
      </c>
      <c r="K947" s="2" t="s">
        <v>34</v>
      </c>
      <c r="L947" s="4" t="s">
        <v>20</v>
      </c>
      <c r="M947" s="4" t="str">
        <f t="shared" si="218"/>
        <v>1000184670100018619710001897941000189270REEMBALADOS</v>
      </c>
      <c r="N947" s="28">
        <f>N935*_xlfn.XLOOKUP($L947,'Balizador da Meta'!$B$4:$B$21,'Balizador da Meta'!$C$4:$C$21)</f>
        <v>168</v>
      </c>
      <c r="O947" s="28">
        <f>O935*_xlfn.XLOOKUP($L947,'Balizador da Meta'!$B$4:$B$21,'Balizador da Meta'!$C$4:$C$21)</f>
        <v>168</v>
      </c>
      <c r="P947" s="28">
        <f>P935*_xlfn.XLOOKUP($L947,'Balizador da Meta'!$B$4:$B$21,'Balizador da Meta'!$C$4:$C$21)</f>
        <v>168</v>
      </c>
      <c r="Q947" s="28">
        <f>Q935*_xlfn.XLOOKUP($L947,'Balizador da Meta'!$B$4:$B$21,'Balizador da Meta'!$C$4:$C$21)</f>
        <v>192</v>
      </c>
      <c r="R947" s="28">
        <f>R935*_xlfn.XLOOKUP($L947,'Balizador da Meta'!$B$4:$B$21,'Balizador da Meta'!$C$4:$C$21)</f>
        <v>192</v>
      </c>
      <c r="S947" s="28">
        <f>S935*_xlfn.XLOOKUP($L947,'Balizador da Meta'!$B$4:$B$21,'Balizador da Meta'!$C$4:$C$21)</f>
        <v>192</v>
      </c>
      <c r="T947" s="28">
        <f>T935*_xlfn.XLOOKUP($L947,'Balizador da Meta'!$B$4:$B$21,'Balizador da Meta'!$C$4:$C$21)</f>
        <v>192</v>
      </c>
      <c r="U947" s="28">
        <f>U935*_xlfn.XLOOKUP($L947,'Balizador da Meta'!$B$4:$B$21,'Balizador da Meta'!$C$4:$C$21)</f>
        <v>192</v>
      </c>
      <c r="V947" s="28">
        <f>V935*_xlfn.XLOOKUP($L947,'Balizador da Meta'!$B$4:$B$21,'Balizador da Meta'!$C$4:$C$21)</f>
        <v>216</v>
      </c>
      <c r="W947" s="28">
        <f>W935*_xlfn.XLOOKUP($L947,'Balizador da Meta'!$B$4:$B$21,'Balizador da Meta'!$C$4:$C$21)</f>
        <v>216</v>
      </c>
      <c r="X947" s="28">
        <f>X935*_xlfn.XLOOKUP($L947,'Balizador da Meta'!$B$4:$B$21,'Balizador da Meta'!$C$4:$C$21)</f>
        <v>216</v>
      </c>
      <c r="Y947" s="28">
        <f>Y935*_xlfn.XLOOKUP($L947,'Balizador da Meta'!$B$4:$B$21,'Balizador da Meta'!$C$4:$C$21)</f>
        <v>216</v>
      </c>
      <c r="Z947" s="30">
        <f t="shared" si="224"/>
        <v>2328</v>
      </c>
      <c r="AA947" s="29"/>
      <c r="AB947" s="31">
        <f>SUMIFS('Historico - FAT'!AK:AK,'Historico - FAT'!$K:$K,Faturamento!$L947,'Historico - FAT'!$I:$I,Faturamento!$J947,'Historico - FAT'!$G:$G,Faturamento!$H947)</f>
        <v>0</v>
      </c>
      <c r="AC947" s="31">
        <f>SUMIFS('Historico - FAT'!AL:AL,'Historico - FAT'!$K:$K,Faturamento!$L947,'Historico - FAT'!$I:$I,Faturamento!$J947,'Historico - FAT'!$G:$G,Faturamento!$H947)</f>
        <v>0</v>
      </c>
      <c r="AD947" s="31">
        <f>SUMIFS('Historico - FAT'!AM:AM,'Historico - FAT'!$K:$K,Faturamento!$L947,'Historico - FAT'!$I:$I,Faturamento!$J947,'Historico - FAT'!$G:$G,Faturamento!$H947)</f>
        <v>0</v>
      </c>
      <c r="AE947" s="27">
        <f>SUMIFS('Historico - FAT'!AN:AN,'Historico - FAT'!$K:$K,Faturamento!$L947,'Historico - FAT'!$I:$I,Faturamento!$J947,'Historico - FAT'!$G:$G,Faturamento!$H947)</f>
        <v>0</v>
      </c>
      <c r="AG947" s="24">
        <f t="shared" si="226"/>
        <v>1</v>
      </c>
      <c r="AH947" s="24">
        <f t="shared" si="227"/>
        <v>1</v>
      </c>
      <c r="AI947" s="24">
        <f t="shared" si="228"/>
        <v>1</v>
      </c>
    </row>
    <row r="948" spans="1:35" hidden="1" x14ac:dyDescent="0.3">
      <c r="A948" s="2" t="str">
        <f t="shared" si="225"/>
        <v>NÃO</v>
      </c>
      <c r="B948" s="2">
        <v>1000184670</v>
      </c>
      <c r="C948" s="2" t="s">
        <v>147</v>
      </c>
      <c r="D948" s="4">
        <v>1000186197</v>
      </c>
      <c r="E948" s="4" t="s">
        <v>166</v>
      </c>
      <c r="F948" s="2">
        <v>1000185288</v>
      </c>
      <c r="G948" s="2" t="s">
        <v>64</v>
      </c>
      <c r="H948" s="4">
        <v>1000189794</v>
      </c>
      <c r="I948" s="4" t="s">
        <v>117</v>
      </c>
      <c r="J948" s="2">
        <v>1000189270</v>
      </c>
      <c r="K948" s="2" t="s">
        <v>34</v>
      </c>
      <c r="L948" s="4" t="s">
        <v>22</v>
      </c>
      <c r="M948" s="4" t="str">
        <f t="shared" si="218"/>
        <v>1000184670100018619710001897941000189270S GLUTEN</v>
      </c>
      <c r="N948" s="28">
        <f>N935*_xlfn.XLOOKUP($L948,'Balizador da Meta'!$B$4:$B$21,'Balizador da Meta'!$C$4:$C$21)</f>
        <v>168</v>
      </c>
      <c r="O948" s="28">
        <f>O935*_xlfn.XLOOKUP($L948,'Balizador da Meta'!$B$4:$B$21,'Balizador da Meta'!$C$4:$C$21)</f>
        <v>168</v>
      </c>
      <c r="P948" s="28">
        <f>P935*_xlfn.XLOOKUP($L948,'Balizador da Meta'!$B$4:$B$21,'Balizador da Meta'!$C$4:$C$21)</f>
        <v>168</v>
      </c>
      <c r="Q948" s="28">
        <f>Q935*_xlfn.XLOOKUP($L948,'Balizador da Meta'!$B$4:$B$21,'Balizador da Meta'!$C$4:$C$21)</f>
        <v>192</v>
      </c>
      <c r="R948" s="28">
        <f>R935*_xlfn.XLOOKUP($L948,'Balizador da Meta'!$B$4:$B$21,'Balizador da Meta'!$C$4:$C$21)</f>
        <v>192</v>
      </c>
      <c r="S948" s="28">
        <f>S935*_xlfn.XLOOKUP($L948,'Balizador da Meta'!$B$4:$B$21,'Balizador da Meta'!$C$4:$C$21)</f>
        <v>192</v>
      </c>
      <c r="T948" s="28">
        <f>T935*_xlfn.XLOOKUP($L948,'Balizador da Meta'!$B$4:$B$21,'Balizador da Meta'!$C$4:$C$21)</f>
        <v>192</v>
      </c>
      <c r="U948" s="28">
        <f>U935*_xlfn.XLOOKUP($L948,'Balizador da Meta'!$B$4:$B$21,'Balizador da Meta'!$C$4:$C$21)</f>
        <v>192</v>
      </c>
      <c r="V948" s="28">
        <f>V935*_xlfn.XLOOKUP($L948,'Balizador da Meta'!$B$4:$B$21,'Balizador da Meta'!$C$4:$C$21)</f>
        <v>216</v>
      </c>
      <c r="W948" s="28">
        <f>W935*_xlfn.XLOOKUP($L948,'Balizador da Meta'!$B$4:$B$21,'Balizador da Meta'!$C$4:$C$21)</f>
        <v>216</v>
      </c>
      <c r="X948" s="28">
        <f>X935*_xlfn.XLOOKUP($L948,'Balizador da Meta'!$B$4:$B$21,'Balizador da Meta'!$C$4:$C$21)</f>
        <v>216</v>
      </c>
      <c r="Y948" s="28">
        <f>Y935*_xlfn.XLOOKUP($L948,'Balizador da Meta'!$B$4:$B$21,'Balizador da Meta'!$C$4:$C$21)</f>
        <v>216</v>
      </c>
      <c r="Z948" s="30">
        <f t="shared" si="224"/>
        <v>2328</v>
      </c>
      <c r="AA948" s="29"/>
      <c r="AB948" s="31">
        <f>SUMIFS('Historico - FAT'!AK:AK,'Historico - FAT'!$K:$K,Faturamento!$L948,'Historico - FAT'!$I:$I,Faturamento!$J948,'Historico - FAT'!$G:$G,Faturamento!$H948)</f>
        <v>0</v>
      </c>
      <c r="AC948" s="31">
        <f>SUMIFS('Historico - FAT'!AL:AL,'Historico - FAT'!$K:$K,Faturamento!$L948,'Historico - FAT'!$I:$I,Faturamento!$J948,'Historico - FAT'!$G:$G,Faturamento!$H948)</f>
        <v>0</v>
      </c>
      <c r="AD948" s="31">
        <f>SUMIFS('Historico - FAT'!AM:AM,'Historico - FAT'!$K:$K,Faturamento!$L948,'Historico - FAT'!$I:$I,Faturamento!$J948,'Historico - FAT'!$G:$G,Faturamento!$H948)</f>
        <v>0</v>
      </c>
      <c r="AE948" s="27">
        <f>SUMIFS('Historico - FAT'!AN:AN,'Historico - FAT'!$K:$K,Faturamento!$L948,'Historico - FAT'!$I:$I,Faturamento!$J948,'Historico - FAT'!$G:$G,Faturamento!$H948)</f>
        <v>0</v>
      </c>
      <c r="AG948" s="24">
        <f t="shared" si="226"/>
        <v>1</v>
      </c>
      <c r="AH948" s="24">
        <f t="shared" si="227"/>
        <v>1</v>
      </c>
      <c r="AI948" s="24">
        <f t="shared" si="228"/>
        <v>1</v>
      </c>
    </row>
    <row r="949" spans="1:35" hidden="1" x14ac:dyDescent="0.3">
      <c r="A949" s="2" t="str">
        <f t="shared" si="225"/>
        <v>NÃO</v>
      </c>
      <c r="B949" s="2">
        <v>1000184670</v>
      </c>
      <c r="C949" s="2" t="s">
        <v>147</v>
      </c>
      <c r="D949" s="4">
        <v>1000186197</v>
      </c>
      <c r="E949" s="4" t="s">
        <v>166</v>
      </c>
      <c r="F949" s="2">
        <v>1000185288</v>
      </c>
      <c r="G949" s="2" t="s">
        <v>64</v>
      </c>
      <c r="H949" s="4">
        <v>1000189794</v>
      </c>
      <c r="I949" s="4" t="s">
        <v>117</v>
      </c>
      <c r="J949" s="2">
        <v>1000189270</v>
      </c>
      <c r="K949" s="2" t="s">
        <v>34</v>
      </c>
      <c r="L949" s="4" t="s">
        <v>23</v>
      </c>
      <c r="M949" s="4" t="str">
        <f t="shared" si="218"/>
        <v>1000184670100018619710001897941000189270SABORES DO CAMPO</v>
      </c>
      <c r="N949" s="28">
        <f>N935*_xlfn.XLOOKUP($L949,'Balizador da Meta'!$B$4:$B$21,'Balizador da Meta'!$C$4:$C$21)</f>
        <v>0</v>
      </c>
      <c r="O949" s="28">
        <f>O935*_xlfn.XLOOKUP($L949,'Balizador da Meta'!$B$4:$B$21,'Balizador da Meta'!$C$4:$C$21)</f>
        <v>0</v>
      </c>
      <c r="P949" s="28">
        <f>P935*_xlfn.XLOOKUP($L949,'Balizador da Meta'!$B$4:$B$21,'Balizador da Meta'!$C$4:$C$21)</f>
        <v>0</v>
      </c>
      <c r="Q949" s="28">
        <f>Q935*_xlfn.XLOOKUP($L949,'Balizador da Meta'!$B$4:$B$21,'Balizador da Meta'!$C$4:$C$21)</f>
        <v>0</v>
      </c>
      <c r="R949" s="28">
        <f>R935*_xlfn.XLOOKUP($L949,'Balizador da Meta'!$B$4:$B$21,'Balizador da Meta'!$C$4:$C$21)</f>
        <v>0</v>
      </c>
      <c r="S949" s="28">
        <f>S935*_xlfn.XLOOKUP($L949,'Balizador da Meta'!$B$4:$B$21,'Balizador da Meta'!$C$4:$C$21)</f>
        <v>0</v>
      </c>
      <c r="T949" s="28">
        <f>T935*_xlfn.XLOOKUP($L949,'Balizador da Meta'!$B$4:$B$21,'Balizador da Meta'!$C$4:$C$21)</f>
        <v>0</v>
      </c>
      <c r="U949" s="28">
        <f>U935*_xlfn.XLOOKUP($L949,'Balizador da Meta'!$B$4:$B$21,'Balizador da Meta'!$C$4:$C$21)</f>
        <v>0</v>
      </c>
      <c r="V949" s="28">
        <f>V935*_xlfn.XLOOKUP($L949,'Balizador da Meta'!$B$4:$B$21,'Balizador da Meta'!$C$4:$C$21)</f>
        <v>0</v>
      </c>
      <c r="W949" s="28">
        <f>W935*_xlfn.XLOOKUP($L949,'Balizador da Meta'!$B$4:$B$21,'Balizador da Meta'!$C$4:$C$21)</f>
        <v>0</v>
      </c>
      <c r="X949" s="28">
        <f>X935*_xlfn.XLOOKUP($L949,'Balizador da Meta'!$B$4:$B$21,'Balizador da Meta'!$C$4:$C$21)</f>
        <v>0</v>
      </c>
      <c r="Y949" s="28">
        <f>Y935*_xlfn.XLOOKUP($L949,'Balizador da Meta'!$B$4:$B$21,'Balizador da Meta'!$C$4:$C$21)</f>
        <v>0</v>
      </c>
      <c r="Z949" s="30">
        <f t="shared" si="224"/>
        <v>0</v>
      </c>
      <c r="AA949" s="29"/>
      <c r="AB949" s="31">
        <f>SUMIFS('Historico - FAT'!AK:AK,'Historico - FAT'!$K:$K,Faturamento!$L949,'Historico - FAT'!$I:$I,Faturamento!$J949,'Historico - FAT'!$G:$G,Faturamento!$H949)</f>
        <v>0</v>
      </c>
      <c r="AC949" s="31">
        <f>SUMIFS('Historico - FAT'!AL:AL,'Historico - FAT'!$K:$K,Faturamento!$L949,'Historico - FAT'!$I:$I,Faturamento!$J949,'Historico - FAT'!$G:$G,Faturamento!$H949)</f>
        <v>1.3058333333333334</v>
      </c>
      <c r="AD949" s="31">
        <f>SUMIFS('Historico - FAT'!AM:AM,'Historico - FAT'!$K:$K,Faturamento!$L949,'Historico - FAT'!$I:$I,Faturamento!$J949,'Historico - FAT'!$G:$G,Faturamento!$H949)</f>
        <v>2.6116666666666668</v>
      </c>
      <c r="AE949" s="27">
        <f>SUMIFS('Historico - FAT'!AN:AN,'Historico - FAT'!$K:$K,Faturamento!$L949,'Historico - FAT'!$I:$I,Faturamento!$J949,'Historico - FAT'!$G:$G,Faturamento!$H949)</f>
        <v>1.5669999999999999</v>
      </c>
      <c r="AG949" s="24" t="str">
        <f t="shared" si="226"/>
        <v/>
      </c>
      <c r="AH949" s="24" t="str">
        <f t="shared" si="227"/>
        <v/>
      </c>
      <c r="AI949" s="24" t="str">
        <f t="shared" si="228"/>
        <v/>
      </c>
    </row>
    <row r="950" spans="1:35" hidden="1" x14ac:dyDescent="0.3">
      <c r="A950" s="2" t="str">
        <f t="shared" si="225"/>
        <v>NÃO</v>
      </c>
      <c r="B950" s="2">
        <v>1000184670</v>
      </c>
      <c r="C950" s="2" t="s">
        <v>147</v>
      </c>
      <c r="D950" s="4">
        <v>1000186197</v>
      </c>
      <c r="E950" s="4" t="s">
        <v>166</v>
      </c>
      <c r="F950" s="2">
        <v>1000185288</v>
      </c>
      <c r="G950" s="2" t="s">
        <v>64</v>
      </c>
      <c r="H950" s="4">
        <v>1000189794</v>
      </c>
      <c r="I950" s="4" t="s">
        <v>117</v>
      </c>
      <c r="J950" s="2">
        <v>1000189270</v>
      </c>
      <c r="K950" s="2" t="s">
        <v>34</v>
      </c>
      <c r="L950" s="4" t="s">
        <v>28</v>
      </c>
      <c r="M950" s="4" t="str">
        <f t="shared" si="218"/>
        <v>1000184670100018619710001897941000189270SAL</v>
      </c>
      <c r="N950" s="28">
        <f>N935*_xlfn.XLOOKUP($L950,'Balizador da Meta'!$B$4:$B$21,'Balizador da Meta'!$C$4:$C$21)</f>
        <v>84</v>
      </c>
      <c r="O950" s="28">
        <f>O935*_xlfn.XLOOKUP($L950,'Balizador da Meta'!$B$4:$B$21,'Balizador da Meta'!$C$4:$C$21)</f>
        <v>84</v>
      </c>
      <c r="P950" s="28">
        <f>P935*_xlfn.XLOOKUP($L950,'Balizador da Meta'!$B$4:$B$21,'Balizador da Meta'!$C$4:$C$21)</f>
        <v>84</v>
      </c>
      <c r="Q950" s="28">
        <f>Q935*_xlfn.XLOOKUP($L950,'Balizador da Meta'!$B$4:$B$21,'Balizador da Meta'!$C$4:$C$21)</f>
        <v>96</v>
      </c>
      <c r="R950" s="28">
        <f>R935*_xlfn.XLOOKUP($L950,'Balizador da Meta'!$B$4:$B$21,'Balizador da Meta'!$C$4:$C$21)</f>
        <v>96</v>
      </c>
      <c r="S950" s="28">
        <f>S935*_xlfn.XLOOKUP($L950,'Balizador da Meta'!$B$4:$B$21,'Balizador da Meta'!$C$4:$C$21)</f>
        <v>96</v>
      </c>
      <c r="T950" s="28">
        <f>T935*_xlfn.XLOOKUP($L950,'Balizador da Meta'!$B$4:$B$21,'Balizador da Meta'!$C$4:$C$21)</f>
        <v>96</v>
      </c>
      <c r="U950" s="28">
        <f>U935*_xlfn.XLOOKUP($L950,'Balizador da Meta'!$B$4:$B$21,'Balizador da Meta'!$C$4:$C$21)</f>
        <v>96</v>
      </c>
      <c r="V950" s="28">
        <f>V935*_xlfn.XLOOKUP($L950,'Balizador da Meta'!$B$4:$B$21,'Balizador da Meta'!$C$4:$C$21)</f>
        <v>108</v>
      </c>
      <c r="W950" s="28">
        <f>W935*_xlfn.XLOOKUP($L950,'Balizador da Meta'!$B$4:$B$21,'Balizador da Meta'!$C$4:$C$21)</f>
        <v>108</v>
      </c>
      <c r="X950" s="28">
        <f>X935*_xlfn.XLOOKUP($L950,'Balizador da Meta'!$B$4:$B$21,'Balizador da Meta'!$C$4:$C$21)</f>
        <v>108</v>
      </c>
      <c r="Y950" s="28">
        <f>Y935*_xlfn.XLOOKUP($L950,'Balizador da Meta'!$B$4:$B$21,'Balizador da Meta'!$C$4:$C$21)</f>
        <v>108</v>
      </c>
      <c r="Z950" s="30">
        <f t="shared" si="224"/>
        <v>1164</v>
      </c>
      <c r="AA950" s="29"/>
      <c r="AB950" s="31">
        <f>SUMIFS('Historico - FAT'!AK:AK,'Historico - FAT'!$K:$K,Faturamento!$L950,'Historico - FAT'!$I:$I,Faturamento!$J950,'Historico - FAT'!$G:$G,Faturamento!$H950)</f>
        <v>0</v>
      </c>
      <c r="AC950" s="31">
        <f>SUMIFS('Historico - FAT'!AL:AL,'Historico - FAT'!$K:$K,Faturamento!$L950,'Historico - FAT'!$I:$I,Faturamento!$J950,'Historico - FAT'!$G:$G,Faturamento!$H950)</f>
        <v>0</v>
      </c>
      <c r="AD950" s="31">
        <f>SUMIFS('Historico - FAT'!AM:AM,'Historico - FAT'!$K:$K,Faturamento!$L950,'Historico - FAT'!$I:$I,Faturamento!$J950,'Historico - FAT'!$G:$G,Faturamento!$H950)</f>
        <v>0</v>
      </c>
      <c r="AE950" s="27">
        <f>SUMIFS('Historico - FAT'!AN:AN,'Historico - FAT'!$K:$K,Faturamento!$L950,'Historico - FAT'!$I:$I,Faturamento!$J950,'Historico - FAT'!$G:$G,Faturamento!$H950)</f>
        <v>0</v>
      </c>
      <c r="AG950" s="24">
        <f t="shared" si="226"/>
        <v>1</v>
      </c>
      <c r="AH950" s="24">
        <f t="shared" si="227"/>
        <v>1</v>
      </c>
      <c r="AI950" s="24">
        <f t="shared" si="228"/>
        <v>1</v>
      </c>
    </row>
    <row r="951" spans="1:35" hidden="1" x14ac:dyDescent="0.3">
      <c r="A951" s="2" t="str">
        <f t="shared" si="225"/>
        <v>NÃO</v>
      </c>
      <c r="B951" s="2">
        <v>1000184670</v>
      </c>
      <c r="C951" s="2" t="s">
        <v>147</v>
      </c>
      <c r="D951" s="4">
        <v>1000186197</v>
      </c>
      <c r="E951" s="4" t="s">
        <v>166</v>
      </c>
      <c r="F951" s="2">
        <v>1000185288</v>
      </c>
      <c r="G951" s="2" t="s">
        <v>64</v>
      </c>
      <c r="H951" s="4">
        <v>1000189794</v>
      </c>
      <c r="I951" s="4" t="s">
        <v>117</v>
      </c>
      <c r="J951" s="2">
        <v>1000189270</v>
      </c>
      <c r="K951" s="2" t="s">
        <v>34</v>
      </c>
      <c r="L951" s="4" t="s">
        <v>26</v>
      </c>
      <c r="M951" s="4" t="str">
        <f t="shared" si="218"/>
        <v>1000184670100018619710001897941000189270SOULPRO</v>
      </c>
      <c r="N951" s="28">
        <f>N935*_xlfn.XLOOKUP($L951,'Balizador da Meta'!$B$4:$B$21,'Balizador da Meta'!$C$4:$C$21)</f>
        <v>252</v>
      </c>
      <c r="O951" s="28">
        <f>O935*_xlfn.XLOOKUP($L951,'Balizador da Meta'!$B$4:$B$21,'Balizador da Meta'!$C$4:$C$21)</f>
        <v>252</v>
      </c>
      <c r="P951" s="28">
        <f>P935*_xlfn.XLOOKUP($L951,'Balizador da Meta'!$B$4:$B$21,'Balizador da Meta'!$C$4:$C$21)</f>
        <v>252</v>
      </c>
      <c r="Q951" s="28">
        <f>Q935*_xlfn.XLOOKUP($L951,'Balizador da Meta'!$B$4:$B$21,'Balizador da Meta'!$C$4:$C$21)</f>
        <v>288</v>
      </c>
      <c r="R951" s="28">
        <f>R935*_xlfn.XLOOKUP($L951,'Balizador da Meta'!$B$4:$B$21,'Balizador da Meta'!$C$4:$C$21)</f>
        <v>288</v>
      </c>
      <c r="S951" s="28">
        <f>S935*_xlfn.XLOOKUP($L951,'Balizador da Meta'!$B$4:$B$21,'Balizador da Meta'!$C$4:$C$21)</f>
        <v>288</v>
      </c>
      <c r="T951" s="28">
        <f>T935*_xlfn.XLOOKUP($L951,'Balizador da Meta'!$B$4:$B$21,'Balizador da Meta'!$C$4:$C$21)</f>
        <v>288</v>
      </c>
      <c r="U951" s="28">
        <f>U935*_xlfn.XLOOKUP($L951,'Balizador da Meta'!$B$4:$B$21,'Balizador da Meta'!$C$4:$C$21)</f>
        <v>288</v>
      </c>
      <c r="V951" s="28">
        <f>V935*_xlfn.XLOOKUP($L951,'Balizador da Meta'!$B$4:$B$21,'Balizador da Meta'!$C$4:$C$21)</f>
        <v>324</v>
      </c>
      <c r="W951" s="28">
        <f>W935*_xlfn.XLOOKUP($L951,'Balizador da Meta'!$B$4:$B$21,'Balizador da Meta'!$C$4:$C$21)</f>
        <v>324</v>
      </c>
      <c r="X951" s="28">
        <f>X935*_xlfn.XLOOKUP($L951,'Balizador da Meta'!$B$4:$B$21,'Balizador da Meta'!$C$4:$C$21)</f>
        <v>324</v>
      </c>
      <c r="Y951" s="28">
        <f>Y935*_xlfn.XLOOKUP($L951,'Balizador da Meta'!$B$4:$B$21,'Balizador da Meta'!$C$4:$C$21)</f>
        <v>324</v>
      </c>
      <c r="Z951" s="30">
        <f t="shared" si="224"/>
        <v>3492</v>
      </c>
      <c r="AA951" s="29"/>
      <c r="AB951" s="31">
        <f>SUMIFS('Historico - FAT'!AK:AK,'Historico - FAT'!$K:$K,Faturamento!$L951,'Historico - FAT'!$I:$I,Faturamento!$J951,'Historico - FAT'!$G:$G,Faturamento!$H951)</f>
        <v>0</v>
      </c>
      <c r="AC951" s="31">
        <f>SUMIFS('Historico - FAT'!AL:AL,'Historico - FAT'!$K:$K,Faturamento!$L951,'Historico - FAT'!$I:$I,Faturamento!$J951,'Historico - FAT'!$G:$G,Faturamento!$H951)</f>
        <v>75.679999999999993</v>
      </c>
      <c r="AD951" s="31">
        <f>SUMIFS('Historico - FAT'!AM:AM,'Historico - FAT'!$K:$K,Faturamento!$L951,'Historico - FAT'!$I:$I,Faturamento!$J951,'Historico - FAT'!$G:$G,Faturamento!$H951)</f>
        <v>134</v>
      </c>
      <c r="AE951" s="27">
        <f>SUMIFS('Historico - FAT'!AN:AN,'Historico - FAT'!$K:$K,Faturamento!$L951,'Historico - FAT'!$I:$I,Faturamento!$J951,'Historico - FAT'!$G:$G,Faturamento!$H951)</f>
        <v>90.816000000000003</v>
      </c>
      <c r="AG951" s="24">
        <f t="shared" si="226"/>
        <v>1</v>
      </c>
      <c r="AH951" s="24">
        <f t="shared" si="227"/>
        <v>0.76641975308641974</v>
      </c>
      <c r="AI951" s="24">
        <f t="shared" si="228"/>
        <v>0.5864197530864198</v>
      </c>
    </row>
    <row r="952" spans="1:35" hidden="1" x14ac:dyDescent="0.3">
      <c r="A952" s="2" t="str">
        <f t="shared" si="225"/>
        <v>NÃO</v>
      </c>
      <c r="B952" s="2">
        <v>1000184670</v>
      </c>
      <c r="C952" s="2" t="s">
        <v>147</v>
      </c>
      <c r="D952" s="4">
        <v>1000186197</v>
      </c>
      <c r="E952" s="4" t="s">
        <v>166</v>
      </c>
      <c r="F952" s="2">
        <v>1000185288</v>
      </c>
      <c r="G952" s="2" t="s">
        <v>64</v>
      </c>
      <c r="H952" s="4">
        <v>1000189794</v>
      </c>
      <c r="I952" s="4" t="s">
        <v>117</v>
      </c>
      <c r="J952" s="2">
        <v>1000189270</v>
      </c>
      <c r="K952" s="2" t="s">
        <v>34</v>
      </c>
      <c r="L952" s="4" t="s">
        <v>27</v>
      </c>
      <c r="M952" s="4" t="str">
        <f t="shared" si="218"/>
        <v>1000184670100018619710001897941000189270TAMARA</v>
      </c>
      <c r="N952" s="28">
        <f>N935*_xlfn.XLOOKUP($L952,'Balizador da Meta'!$B$4:$B$21,'Balizador da Meta'!$C$4:$C$21)</f>
        <v>336</v>
      </c>
      <c r="O952" s="28">
        <f>O935*_xlfn.XLOOKUP($L952,'Balizador da Meta'!$B$4:$B$21,'Balizador da Meta'!$C$4:$C$21)</f>
        <v>336</v>
      </c>
      <c r="P952" s="28">
        <f>P935*_xlfn.XLOOKUP($L952,'Balizador da Meta'!$B$4:$B$21,'Balizador da Meta'!$C$4:$C$21)</f>
        <v>336</v>
      </c>
      <c r="Q952" s="28">
        <f>Q935*_xlfn.XLOOKUP($L952,'Balizador da Meta'!$B$4:$B$21,'Balizador da Meta'!$C$4:$C$21)</f>
        <v>384</v>
      </c>
      <c r="R952" s="28">
        <f>R935*_xlfn.XLOOKUP($L952,'Balizador da Meta'!$B$4:$B$21,'Balizador da Meta'!$C$4:$C$21)</f>
        <v>384</v>
      </c>
      <c r="S952" s="28">
        <f>S935*_xlfn.XLOOKUP($L952,'Balizador da Meta'!$B$4:$B$21,'Balizador da Meta'!$C$4:$C$21)</f>
        <v>384</v>
      </c>
      <c r="T952" s="28">
        <f>T935*_xlfn.XLOOKUP($L952,'Balizador da Meta'!$B$4:$B$21,'Balizador da Meta'!$C$4:$C$21)</f>
        <v>384</v>
      </c>
      <c r="U952" s="28">
        <f>U935*_xlfn.XLOOKUP($L952,'Balizador da Meta'!$B$4:$B$21,'Balizador da Meta'!$C$4:$C$21)</f>
        <v>384</v>
      </c>
      <c r="V952" s="28">
        <f>V935*_xlfn.XLOOKUP($L952,'Balizador da Meta'!$B$4:$B$21,'Balizador da Meta'!$C$4:$C$21)</f>
        <v>432</v>
      </c>
      <c r="W952" s="28">
        <f>W935*_xlfn.XLOOKUP($L952,'Balizador da Meta'!$B$4:$B$21,'Balizador da Meta'!$C$4:$C$21)</f>
        <v>432</v>
      </c>
      <c r="X952" s="28">
        <f>X935*_xlfn.XLOOKUP($L952,'Balizador da Meta'!$B$4:$B$21,'Balizador da Meta'!$C$4:$C$21)</f>
        <v>432</v>
      </c>
      <c r="Y952" s="28">
        <f>Y935*_xlfn.XLOOKUP($L952,'Balizador da Meta'!$B$4:$B$21,'Balizador da Meta'!$C$4:$C$21)</f>
        <v>432</v>
      </c>
      <c r="Z952" s="30">
        <f t="shared" si="224"/>
        <v>4656</v>
      </c>
      <c r="AA952" s="29"/>
      <c r="AB952" s="31">
        <f>SUMIFS('Historico - FAT'!AK:AK,'Historico - FAT'!$K:$K,Faturamento!$L952,'Historico - FAT'!$I:$I,Faturamento!$J952,'Historico - FAT'!$G:$G,Faturamento!$H952)</f>
        <v>0</v>
      </c>
      <c r="AC952" s="31">
        <f>SUMIFS('Historico - FAT'!AL:AL,'Historico - FAT'!$K:$K,Faturamento!$L952,'Historico - FAT'!$I:$I,Faturamento!$J952,'Historico - FAT'!$G:$G,Faturamento!$H952)</f>
        <v>0</v>
      </c>
      <c r="AD952" s="31">
        <f>SUMIFS('Historico - FAT'!AM:AM,'Historico - FAT'!$K:$K,Faturamento!$L952,'Historico - FAT'!$I:$I,Faturamento!$J952,'Historico - FAT'!$G:$G,Faturamento!$H952)</f>
        <v>0</v>
      </c>
      <c r="AE952" s="27">
        <f>SUMIFS('Historico - FAT'!AN:AN,'Historico - FAT'!$K:$K,Faturamento!$L952,'Historico - FAT'!$I:$I,Faturamento!$J952,'Historico - FAT'!$G:$G,Faturamento!$H952)</f>
        <v>0</v>
      </c>
      <c r="AG952" s="24">
        <f t="shared" si="226"/>
        <v>1</v>
      </c>
      <c r="AH952" s="24">
        <f t="shared" si="227"/>
        <v>1</v>
      </c>
      <c r="AI952" s="24">
        <f t="shared" si="228"/>
        <v>1</v>
      </c>
    </row>
    <row r="953" spans="1:35" hidden="1" x14ac:dyDescent="0.3">
      <c r="A953" s="2" t="str">
        <f t="shared" si="225"/>
        <v>NÃO</v>
      </c>
      <c r="B953" s="2">
        <v>1000184670</v>
      </c>
      <c r="C953" s="2" t="s">
        <v>147</v>
      </c>
      <c r="D953" s="4">
        <v>1000186197</v>
      </c>
      <c r="E953" s="4" t="s">
        <v>166</v>
      </c>
      <c r="F953" s="2">
        <v>1000185288</v>
      </c>
      <c r="G953" s="2" t="s">
        <v>64</v>
      </c>
      <c r="H953" s="4">
        <v>1000189794</v>
      </c>
      <c r="I953" s="4" t="s">
        <v>117</v>
      </c>
      <c r="J953" s="2">
        <v>1000189270</v>
      </c>
      <c r="K953" s="2" t="s">
        <v>34</v>
      </c>
      <c r="L953" s="4" t="s">
        <v>25</v>
      </c>
      <c r="M953" s="4" t="str">
        <f t="shared" si="218"/>
        <v>1000184670100018619710001897941000189270VICCIO</v>
      </c>
      <c r="N953" s="28">
        <f>N935*_xlfn.XLOOKUP($L953,'Balizador da Meta'!$B$4:$B$21,'Balizador da Meta'!$C$4:$C$21)</f>
        <v>126</v>
      </c>
      <c r="O953" s="28">
        <f>O935*_xlfn.XLOOKUP($L953,'Balizador da Meta'!$B$4:$B$21,'Balizador da Meta'!$C$4:$C$21)</f>
        <v>126</v>
      </c>
      <c r="P953" s="28">
        <f>P935*_xlfn.XLOOKUP($L953,'Balizador da Meta'!$B$4:$B$21,'Balizador da Meta'!$C$4:$C$21)</f>
        <v>126</v>
      </c>
      <c r="Q953" s="28">
        <f>Q935*_xlfn.XLOOKUP($L953,'Balizador da Meta'!$B$4:$B$21,'Balizador da Meta'!$C$4:$C$21)</f>
        <v>144</v>
      </c>
      <c r="R953" s="28">
        <f>R935*_xlfn.XLOOKUP($L953,'Balizador da Meta'!$B$4:$B$21,'Balizador da Meta'!$C$4:$C$21)</f>
        <v>144</v>
      </c>
      <c r="S953" s="28">
        <f>S935*_xlfn.XLOOKUP($L953,'Balizador da Meta'!$B$4:$B$21,'Balizador da Meta'!$C$4:$C$21)</f>
        <v>144</v>
      </c>
      <c r="T953" s="28">
        <f>T935*_xlfn.XLOOKUP($L953,'Balizador da Meta'!$B$4:$B$21,'Balizador da Meta'!$C$4:$C$21)</f>
        <v>144</v>
      </c>
      <c r="U953" s="28">
        <f>U935*_xlfn.XLOOKUP($L953,'Balizador da Meta'!$B$4:$B$21,'Balizador da Meta'!$C$4:$C$21)</f>
        <v>144</v>
      </c>
      <c r="V953" s="28">
        <f>V935*_xlfn.XLOOKUP($L953,'Balizador da Meta'!$B$4:$B$21,'Balizador da Meta'!$C$4:$C$21)</f>
        <v>162</v>
      </c>
      <c r="W953" s="28">
        <f>W935*_xlfn.XLOOKUP($L953,'Balizador da Meta'!$B$4:$B$21,'Balizador da Meta'!$C$4:$C$21)</f>
        <v>162</v>
      </c>
      <c r="X953" s="28">
        <f>X935*_xlfn.XLOOKUP($L953,'Balizador da Meta'!$B$4:$B$21,'Balizador da Meta'!$C$4:$C$21)</f>
        <v>162</v>
      </c>
      <c r="Y953" s="28">
        <f>Y935*_xlfn.XLOOKUP($L953,'Balizador da Meta'!$B$4:$B$21,'Balizador da Meta'!$C$4:$C$21)</f>
        <v>162</v>
      </c>
      <c r="Z953" s="30">
        <f t="shared" si="224"/>
        <v>1746</v>
      </c>
      <c r="AA953" s="29"/>
      <c r="AB953" s="31">
        <f>SUMIFS('Historico - FAT'!AK:AK,'Historico - FAT'!$K:$K,Faturamento!$L953,'Historico - FAT'!$I:$I,Faturamento!$J953,'Historico - FAT'!$G:$G,Faturamento!$H953)</f>
        <v>0</v>
      </c>
      <c r="AC953" s="31">
        <f>SUMIFS('Historico - FAT'!AL:AL,'Historico - FAT'!$K:$K,Faturamento!$L953,'Historico - FAT'!$I:$I,Faturamento!$J953,'Historico - FAT'!$G:$G,Faturamento!$H953)</f>
        <v>15.317500000000001</v>
      </c>
      <c r="AD953" s="31">
        <f>SUMIFS('Historico - FAT'!AM:AM,'Historico - FAT'!$K:$K,Faturamento!$L953,'Historico - FAT'!$I:$I,Faturamento!$J953,'Historico - FAT'!$G:$G,Faturamento!$H953)</f>
        <v>23.51</v>
      </c>
      <c r="AE953" s="27">
        <f>SUMIFS('Historico - FAT'!AN:AN,'Historico - FAT'!$K:$K,Faturamento!$L953,'Historico - FAT'!$I:$I,Faturamento!$J953,'Historico - FAT'!$G:$G,Faturamento!$H953)</f>
        <v>18.381</v>
      </c>
      <c r="AG953" s="24">
        <f t="shared" si="226"/>
        <v>1</v>
      </c>
      <c r="AH953" s="24">
        <f t="shared" si="227"/>
        <v>0.9054475308641976</v>
      </c>
      <c r="AI953" s="24">
        <f t="shared" si="228"/>
        <v>0.8548765432098766</v>
      </c>
    </row>
    <row r="954" spans="1:35" x14ac:dyDescent="0.3">
      <c r="A954" s="2" t="str">
        <f t="shared" si="225"/>
        <v>SIM</v>
      </c>
      <c r="B954" s="2">
        <v>1000184670</v>
      </c>
      <c r="C954" s="2" t="s">
        <v>147</v>
      </c>
      <c r="D954" s="4">
        <v>1000186197</v>
      </c>
      <c r="E954" s="4" t="s">
        <v>166</v>
      </c>
      <c r="F954" s="2">
        <v>1000185288</v>
      </c>
      <c r="G954" s="2" t="s">
        <v>64</v>
      </c>
      <c r="H954" s="4">
        <v>1000189795</v>
      </c>
      <c r="I954" s="4" t="s">
        <v>65</v>
      </c>
      <c r="J954" s="2">
        <v>1000189270</v>
      </c>
      <c r="K954" s="2" t="s">
        <v>34</v>
      </c>
      <c r="L954" s="4" t="s">
        <v>124</v>
      </c>
      <c r="M954" s="4" t="str">
        <f t="shared" si="218"/>
        <v>100018467010001861971000189795100018927001. TOTAL</v>
      </c>
      <c r="N954" s="28">
        <f>SUMIFS(Positivação!L:L,Positivação!$I:$I,Faturamento!$J954,Positivação!$G:$G,Faturamento!$H954)*SUMIFS(Positivação!$Z:$Z,Positivação!$I:$I,Faturamento!$J954,Positivação!$G:$G,Faturamento!$H954)</f>
        <v>5400</v>
      </c>
      <c r="O954" s="28">
        <f>SUMIFS(Positivação!M:M,Positivação!$I:$I,Faturamento!$J954,Positivação!$G:$G,Faturamento!$H954)*SUMIFS(Positivação!$Z:$Z,Positivação!$I:$I,Faturamento!$J954,Positivação!$G:$G,Faturamento!$H954)</f>
        <v>6000</v>
      </c>
      <c r="P954" s="28">
        <f>SUMIFS(Positivação!N:N,Positivação!$I:$I,Faturamento!$J954,Positivação!$G:$G,Faturamento!$H954)*SUMIFS(Positivação!$Z:$Z,Positivação!$I:$I,Faturamento!$J954,Positivação!$G:$G,Faturamento!$H954)</f>
        <v>6000</v>
      </c>
      <c r="Q954" s="28">
        <f>SUMIFS(Positivação!O:O,Positivação!$I:$I,Faturamento!$J954,Positivação!$G:$G,Faturamento!$H954)*SUMIFS(Positivação!$Z:$Z,Positivação!$I:$I,Faturamento!$J954,Positivação!$G:$G,Faturamento!$H954)</f>
        <v>6000</v>
      </c>
      <c r="R954" s="28">
        <f>SUMIFS(Positivação!P:P,Positivação!$I:$I,Faturamento!$J954,Positivação!$G:$G,Faturamento!$H954)*SUMIFS(Positivação!$Z:$Z,Positivação!$I:$I,Faturamento!$J954,Positivação!$G:$G,Faturamento!$H954)</f>
        <v>6000</v>
      </c>
      <c r="S954" s="28">
        <f>SUMIFS(Positivação!Q:Q,Positivação!$I:$I,Faturamento!$J954,Positivação!$G:$G,Faturamento!$H954)*SUMIFS(Positivação!$Z:$Z,Positivação!$I:$I,Faturamento!$J954,Positivação!$G:$G,Faturamento!$H954)</f>
        <v>6000</v>
      </c>
      <c r="T954" s="28">
        <f>SUMIFS(Positivação!R:R,Positivação!$I:$I,Faturamento!$J954,Positivação!$G:$G,Faturamento!$H954)*SUMIFS(Positivação!$Z:$Z,Positivação!$I:$I,Faturamento!$J954,Positivação!$G:$G,Faturamento!$H954)</f>
        <v>6600</v>
      </c>
      <c r="U954" s="28">
        <f>SUMIFS(Positivação!S:S,Positivação!$I:$I,Faturamento!$J954,Positivação!$G:$G,Faturamento!$H954)*SUMIFS(Positivação!$Z:$Z,Positivação!$I:$I,Faturamento!$J954,Positivação!$G:$G,Faturamento!$H954)</f>
        <v>6600</v>
      </c>
      <c r="V954" s="28">
        <f>SUMIFS(Positivação!T:T,Positivação!$I:$I,Faturamento!$J954,Positivação!$G:$G,Faturamento!$H954)*SUMIFS(Positivação!$Z:$Z,Positivação!$I:$I,Faturamento!$J954,Positivação!$G:$G,Faturamento!$H954)</f>
        <v>6600</v>
      </c>
      <c r="W954" s="28">
        <f>SUMIFS(Positivação!U:U,Positivação!$I:$I,Faturamento!$J954,Positivação!$G:$G,Faturamento!$H954)*SUMIFS(Positivação!$Z:$Z,Positivação!$I:$I,Faturamento!$J954,Positivação!$G:$G,Faturamento!$H954)</f>
        <v>6600</v>
      </c>
      <c r="X954" s="28">
        <f>SUMIFS(Positivação!V:V,Positivação!$I:$I,Faturamento!$J954,Positivação!$G:$G,Faturamento!$H954)*SUMIFS(Positivação!$Z:$Z,Positivação!$I:$I,Faturamento!$J954,Positivação!$G:$G,Faturamento!$H954)</f>
        <v>6600</v>
      </c>
      <c r="Y954" s="28">
        <f>SUMIFS(Positivação!W:W,Positivação!$I:$I,Faturamento!$J954,Positivação!$G:$G,Faturamento!$H954)*SUMIFS(Positivação!$Z:$Z,Positivação!$I:$I,Faturamento!$J954,Positivação!$G:$G,Faturamento!$H954)</f>
        <v>7200</v>
      </c>
      <c r="Z954" s="28">
        <f t="shared" ref="Z954" si="229">SUM(Z955:Z972)</f>
        <v>75600</v>
      </c>
      <c r="AA954" s="29"/>
      <c r="AB954" s="28">
        <f t="shared" ref="AB954:AE954" si="230">SUM(AB955:AB972)</f>
        <v>826.26166666666666</v>
      </c>
      <c r="AC954" s="28">
        <f t="shared" si="230"/>
        <v>5740.694166666668</v>
      </c>
      <c r="AD954" s="28">
        <f t="shared" si="230"/>
        <v>10678.996666666666</v>
      </c>
      <c r="AE954" s="28">
        <f t="shared" si="230"/>
        <v>6675.3979999999992</v>
      </c>
      <c r="AG954" s="24">
        <f t="shared" si="226"/>
        <v>0.87849093137254908</v>
      </c>
      <c r="AH954" s="24">
        <f t="shared" si="227"/>
        <v>0.15578026960784294</v>
      </c>
      <c r="AI954" s="24">
        <f t="shared" si="228"/>
        <v>-0.57044068627450972</v>
      </c>
    </row>
    <row r="955" spans="1:35" hidden="1" x14ac:dyDescent="0.3">
      <c r="A955" s="2" t="str">
        <f t="shared" si="225"/>
        <v>NÃO</v>
      </c>
      <c r="B955" s="2">
        <v>1000184670</v>
      </c>
      <c r="C955" s="2" t="s">
        <v>147</v>
      </c>
      <c r="D955" s="4">
        <v>1000186197</v>
      </c>
      <c r="E955" s="4" t="s">
        <v>166</v>
      </c>
      <c r="F955" s="2">
        <v>1000185288</v>
      </c>
      <c r="G955" s="2" t="s">
        <v>64</v>
      </c>
      <c r="H955" s="4">
        <v>1000189795</v>
      </c>
      <c r="I955" s="4" t="s">
        <v>65</v>
      </c>
      <c r="J955" s="2">
        <v>1000189270</v>
      </c>
      <c r="K955" s="2" t="s">
        <v>34</v>
      </c>
      <c r="L955" s="4" t="s">
        <v>13</v>
      </c>
      <c r="M955" s="4" t="str">
        <f t="shared" si="218"/>
        <v>1000184670100018619710001897951000189270BISCOITO</v>
      </c>
      <c r="N955" s="28">
        <f>N954*_xlfn.XLOOKUP($L955,'Balizador da Meta'!$B$4:$B$21,'Balizador da Meta'!$C$4:$C$21)</f>
        <v>378.00000000000006</v>
      </c>
      <c r="O955" s="28">
        <f>O954*_xlfn.XLOOKUP($L955,'Balizador da Meta'!$B$4:$B$21,'Balizador da Meta'!$C$4:$C$21)</f>
        <v>420.00000000000006</v>
      </c>
      <c r="P955" s="28">
        <f>P954*_xlfn.XLOOKUP($L955,'Balizador da Meta'!$B$4:$B$21,'Balizador da Meta'!$C$4:$C$21)</f>
        <v>420.00000000000006</v>
      </c>
      <c r="Q955" s="28">
        <f>Q954*_xlfn.XLOOKUP($L955,'Balizador da Meta'!$B$4:$B$21,'Balizador da Meta'!$C$4:$C$21)</f>
        <v>420.00000000000006</v>
      </c>
      <c r="R955" s="28">
        <f>R954*_xlfn.XLOOKUP($L955,'Balizador da Meta'!$B$4:$B$21,'Balizador da Meta'!$C$4:$C$21)</f>
        <v>420.00000000000006</v>
      </c>
      <c r="S955" s="28">
        <f>S954*_xlfn.XLOOKUP($L955,'Balizador da Meta'!$B$4:$B$21,'Balizador da Meta'!$C$4:$C$21)</f>
        <v>420.00000000000006</v>
      </c>
      <c r="T955" s="28">
        <f>T954*_xlfn.XLOOKUP($L955,'Balizador da Meta'!$B$4:$B$21,'Balizador da Meta'!$C$4:$C$21)</f>
        <v>462.00000000000006</v>
      </c>
      <c r="U955" s="28">
        <f>U954*_xlfn.XLOOKUP($L955,'Balizador da Meta'!$B$4:$B$21,'Balizador da Meta'!$C$4:$C$21)</f>
        <v>462.00000000000006</v>
      </c>
      <c r="V955" s="28">
        <f>V954*_xlfn.XLOOKUP($L955,'Balizador da Meta'!$B$4:$B$21,'Balizador da Meta'!$C$4:$C$21)</f>
        <v>462.00000000000006</v>
      </c>
      <c r="W955" s="28">
        <f>W954*_xlfn.XLOOKUP($L955,'Balizador da Meta'!$B$4:$B$21,'Balizador da Meta'!$C$4:$C$21)</f>
        <v>462.00000000000006</v>
      </c>
      <c r="X955" s="28">
        <f>X954*_xlfn.XLOOKUP($L955,'Balizador da Meta'!$B$4:$B$21,'Balizador da Meta'!$C$4:$C$21)</f>
        <v>462.00000000000006</v>
      </c>
      <c r="Y955" s="28">
        <f>Y954*_xlfn.XLOOKUP($L955,'Balizador da Meta'!$B$4:$B$21,'Balizador da Meta'!$C$4:$C$21)</f>
        <v>504.00000000000006</v>
      </c>
      <c r="Z955" s="30">
        <f t="shared" ref="Z955:Z972" si="231">SUM(N955:Y955)</f>
        <v>5292.0000000000009</v>
      </c>
      <c r="AA955" s="29"/>
      <c r="AB955" s="31">
        <f>SUMIFS('Historico - FAT'!AK:AK,'Historico - FAT'!$K:$K,Faturamento!$L955,'Historico - FAT'!$I:$I,Faturamento!$J955,'Historico - FAT'!$G:$G,Faturamento!$H955)</f>
        <v>0</v>
      </c>
      <c r="AC955" s="31">
        <f>SUMIFS('Historico - FAT'!AL:AL,'Historico - FAT'!$K:$K,Faturamento!$L955,'Historico - FAT'!$I:$I,Faturamento!$J955,'Historico - FAT'!$G:$G,Faturamento!$H955)</f>
        <v>1766.6958333333332</v>
      </c>
      <c r="AD955" s="31">
        <f>SUMIFS('Historico - FAT'!AM:AM,'Historico - FAT'!$K:$K,Faturamento!$L955,'Historico - FAT'!$I:$I,Faturamento!$J955,'Historico - FAT'!$G:$G,Faturamento!$H955)</f>
        <v>3533.3916666666664</v>
      </c>
      <c r="AE955" s="27">
        <f>SUMIFS('Historico - FAT'!AN:AN,'Historico - FAT'!$K:$K,Faturamento!$L955,'Historico - FAT'!$I:$I,Faturamento!$J955,'Historico - FAT'!$G:$G,Faturamento!$H955)</f>
        <v>2120.0349999999999</v>
      </c>
      <c r="AG955" s="24">
        <f t="shared" si="226"/>
        <v>1</v>
      </c>
      <c r="AH955" s="24">
        <f t="shared" si="227"/>
        <v>-2.7115458683473386</v>
      </c>
      <c r="AI955" s="24">
        <f t="shared" si="228"/>
        <v>-6.4230917366946763</v>
      </c>
    </row>
    <row r="956" spans="1:35" hidden="1" x14ac:dyDescent="0.3">
      <c r="A956" s="2" t="str">
        <f t="shared" si="225"/>
        <v>NÃO</v>
      </c>
      <c r="B956" s="2">
        <v>1000184670</v>
      </c>
      <c r="C956" s="2" t="s">
        <v>147</v>
      </c>
      <c r="D956" s="4">
        <v>1000186197</v>
      </c>
      <c r="E956" s="4" t="s">
        <v>166</v>
      </c>
      <c r="F956" s="2">
        <v>1000185288</v>
      </c>
      <c r="G956" s="2" t="s">
        <v>64</v>
      </c>
      <c r="H956" s="4">
        <v>1000189795</v>
      </c>
      <c r="I956" s="4" t="s">
        <v>65</v>
      </c>
      <c r="J956" s="2">
        <v>1000189270</v>
      </c>
      <c r="K956" s="2" t="s">
        <v>34</v>
      </c>
      <c r="L956" s="4" t="s">
        <v>14</v>
      </c>
      <c r="M956" s="4" t="str">
        <f t="shared" si="218"/>
        <v>1000184670100018619710001897951000189270CHOCOLATES</v>
      </c>
      <c r="N956" s="28">
        <f>N954*_xlfn.XLOOKUP($L956,'Balizador da Meta'!$B$4:$B$21,'Balizador da Meta'!$C$4:$C$21)</f>
        <v>378.00000000000006</v>
      </c>
      <c r="O956" s="28">
        <f>O954*_xlfn.XLOOKUP($L956,'Balizador da Meta'!$B$4:$B$21,'Balizador da Meta'!$C$4:$C$21)</f>
        <v>420.00000000000006</v>
      </c>
      <c r="P956" s="28">
        <f>P954*_xlfn.XLOOKUP($L956,'Balizador da Meta'!$B$4:$B$21,'Balizador da Meta'!$C$4:$C$21)</f>
        <v>420.00000000000006</v>
      </c>
      <c r="Q956" s="28">
        <f>Q954*_xlfn.XLOOKUP($L956,'Balizador da Meta'!$B$4:$B$21,'Balizador da Meta'!$C$4:$C$21)</f>
        <v>420.00000000000006</v>
      </c>
      <c r="R956" s="28">
        <f>R954*_xlfn.XLOOKUP($L956,'Balizador da Meta'!$B$4:$B$21,'Balizador da Meta'!$C$4:$C$21)</f>
        <v>420.00000000000006</v>
      </c>
      <c r="S956" s="28">
        <f>S954*_xlfn.XLOOKUP($L956,'Balizador da Meta'!$B$4:$B$21,'Balizador da Meta'!$C$4:$C$21)</f>
        <v>420.00000000000006</v>
      </c>
      <c r="T956" s="28">
        <f>T954*_xlfn.XLOOKUP($L956,'Balizador da Meta'!$B$4:$B$21,'Balizador da Meta'!$C$4:$C$21)</f>
        <v>462.00000000000006</v>
      </c>
      <c r="U956" s="28">
        <f>U954*_xlfn.XLOOKUP($L956,'Balizador da Meta'!$B$4:$B$21,'Balizador da Meta'!$C$4:$C$21)</f>
        <v>462.00000000000006</v>
      </c>
      <c r="V956" s="28">
        <f>V954*_xlfn.XLOOKUP($L956,'Balizador da Meta'!$B$4:$B$21,'Balizador da Meta'!$C$4:$C$21)</f>
        <v>462.00000000000006</v>
      </c>
      <c r="W956" s="28">
        <f>W954*_xlfn.XLOOKUP($L956,'Balizador da Meta'!$B$4:$B$21,'Balizador da Meta'!$C$4:$C$21)</f>
        <v>462.00000000000006</v>
      </c>
      <c r="X956" s="28">
        <f>X954*_xlfn.XLOOKUP($L956,'Balizador da Meta'!$B$4:$B$21,'Balizador da Meta'!$C$4:$C$21)</f>
        <v>462.00000000000006</v>
      </c>
      <c r="Y956" s="28">
        <f>Y954*_xlfn.XLOOKUP($L956,'Balizador da Meta'!$B$4:$B$21,'Balizador da Meta'!$C$4:$C$21)</f>
        <v>504.00000000000006</v>
      </c>
      <c r="Z956" s="30">
        <f t="shared" si="231"/>
        <v>5292.0000000000009</v>
      </c>
      <c r="AA956" s="29"/>
      <c r="AB956" s="31">
        <f>SUMIFS('Historico - FAT'!AK:AK,'Historico - FAT'!$K:$K,Faturamento!$L956,'Historico - FAT'!$I:$I,Faturamento!$J956,'Historico - FAT'!$G:$G,Faturamento!$H956)</f>
        <v>-5.0291666666666686</v>
      </c>
      <c r="AC956" s="31">
        <f>SUMIFS('Historico - FAT'!AL:AL,'Historico - FAT'!$K:$K,Faturamento!$L956,'Historico - FAT'!$I:$I,Faturamento!$J956,'Historico - FAT'!$G:$G,Faturamento!$H956)</f>
        <v>405</v>
      </c>
      <c r="AD956" s="31">
        <f>SUMIFS('Historico - FAT'!AM:AM,'Historico - FAT'!$K:$K,Faturamento!$L956,'Historico - FAT'!$I:$I,Faturamento!$J956,'Historico - FAT'!$G:$G,Faturamento!$H956)</f>
        <v>810</v>
      </c>
      <c r="AE956" s="27">
        <f>SUMIFS('Historico - FAT'!AN:AN,'Historico - FAT'!$K:$K,Faturamento!$L956,'Historico - FAT'!$I:$I,Faturamento!$J956,'Historico - FAT'!$G:$G,Faturamento!$H956)</f>
        <v>486</v>
      </c>
      <c r="AG956" s="24">
        <f t="shared" si="226"/>
        <v>1.0105654761904761</v>
      </c>
      <c r="AH956" s="24">
        <f t="shared" si="227"/>
        <v>0.14915966386554633</v>
      </c>
      <c r="AI956" s="24">
        <f t="shared" si="228"/>
        <v>-0.7016806722689074</v>
      </c>
    </row>
    <row r="957" spans="1:35" hidden="1" x14ac:dyDescent="0.3">
      <c r="A957" s="2" t="str">
        <f t="shared" si="225"/>
        <v>NÃO</v>
      </c>
      <c r="B957" s="2">
        <v>1000184670</v>
      </c>
      <c r="C957" s="2" t="s">
        <v>147</v>
      </c>
      <c r="D957" s="4">
        <v>1000186197</v>
      </c>
      <c r="E957" s="4" t="s">
        <v>166</v>
      </c>
      <c r="F957" s="2">
        <v>1000185288</v>
      </c>
      <c r="G957" s="2" t="s">
        <v>64</v>
      </c>
      <c r="H957" s="4">
        <v>1000189795</v>
      </c>
      <c r="I957" s="4" t="s">
        <v>65</v>
      </c>
      <c r="J957" s="2">
        <v>1000189270</v>
      </c>
      <c r="K957" s="2" t="s">
        <v>34</v>
      </c>
      <c r="L957" s="4" t="s">
        <v>16</v>
      </c>
      <c r="M957" s="4" t="str">
        <f t="shared" si="218"/>
        <v>1000184670100018619710001897951000189270DISNEY</v>
      </c>
      <c r="N957" s="28">
        <f>N954*_xlfn.XLOOKUP($L957,'Balizador da Meta'!$B$4:$B$21,'Balizador da Meta'!$C$4:$C$21)</f>
        <v>432</v>
      </c>
      <c r="O957" s="28">
        <f>O954*_xlfn.XLOOKUP($L957,'Balizador da Meta'!$B$4:$B$21,'Balizador da Meta'!$C$4:$C$21)</f>
        <v>480</v>
      </c>
      <c r="P957" s="28">
        <f>P954*_xlfn.XLOOKUP($L957,'Balizador da Meta'!$B$4:$B$21,'Balizador da Meta'!$C$4:$C$21)</f>
        <v>480</v>
      </c>
      <c r="Q957" s="28">
        <f>Q954*_xlfn.XLOOKUP($L957,'Balizador da Meta'!$B$4:$B$21,'Balizador da Meta'!$C$4:$C$21)</f>
        <v>480</v>
      </c>
      <c r="R957" s="28">
        <f>R954*_xlfn.XLOOKUP($L957,'Balizador da Meta'!$B$4:$B$21,'Balizador da Meta'!$C$4:$C$21)</f>
        <v>480</v>
      </c>
      <c r="S957" s="28">
        <f>S954*_xlfn.XLOOKUP($L957,'Balizador da Meta'!$B$4:$B$21,'Balizador da Meta'!$C$4:$C$21)</f>
        <v>480</v>
      </c>
      <c r="T957" s="28">
        <f>T954*_xlfn.XLOOKUP($L957,'Balizador da Meta'!$B$4:$B$21,'Balizador da Meta'!$C$4:$C$21)</f>
        <v>528</v>
      </c>
      <c r="U957" s="28">
        <f>U954*_xlfn.XLOOKUP($L957,'Balizador da Meta'!$B$4:$B$21,'Balizador da Meta'!$C$4:$C$21)</f>
        <v>528</v>
      </c>
      <c r="V957" s="28">
        <f>V954*_xlfn.XLOOKUP($L957,'Balizador da Meta'!$B$4:$B$21,'Balizador da Meta'!$C$4:$C$21)</f>
        <v>528</v>
      </c>
      <c r="W957" s="28">
        <f>W954*_xlfn.XLOOKUP($L957,'Balizador da Meta'!$B$4:$B$21,'Balizador da Meta'!$C$4:$C$21)</f>
        <v>528</v>
      </c>
      <c r="X957" s="28">
        <f>X954*_xlfn.XLOOKUP($L957,'Balizador da Meta'!$B$4:$B$21,'Balizador da Meta'!$C$4:$C$21)</f>
        <v>528</v>
      </c>
      <c r="Y957" s="28">
        <f>Y954*_xlfn.XLOOKUP($L957,'Balizador da Meta'!$B$4:$B$21,'Balizador da Meta'!$C$4:$C$21)</f>
        <v>576</v>
      </c>
      <c r="Z957" s="30">
        <f t="shared" si="231"/>
        <v>6048</v>
      </c>
      <c r="AA957" s="29"/>
      <c r="AB957" s="31">
        <f>SUMIFS('Historico - FAT'!AK:AK,'Historico - FAT'!$K:$K,Faturamento!$L957,'Historico - FAT'!$I:$I,Faturamento!$J957,'Historico - FAT'!$G:$G,Faturamento!$H957)</f>
        <v>0</v>
      </c>
      <c r="AC957" s="31">
        <f>SUMIFS('Historico - FAT'!AL:AL,'Historico - FAT'!$K:$K,Faturamento!$L957,'Historico - FAT'!$I:$I,Faturamento!$J957,'Historico - FAT'!$G:$G,Faturamento!$H957)</f>
        <v>1035.1199999999999</v>
      </c>
      <c r="AD957" s="31">
        <f>SUMIFS('Historico - FAT'!AM:AM,'Historico - FAT'!$K:$K,Faturamento!$L957,'Historico - FAT'!$I:$I,Faturamento!$J957,'Historico - FAT'!$G:$G,Faturamento!$H957)</f>
        <v>2070.2399999999998</v>
      </c>
      <c r="AE957" s="27">
        <f>SUMIFS('Historico - FAT'!AN:AN,'Historico - FAT'!$K:$K,Faturamento!$L957,'Historico - FAT'!$I:$I,Faturamento!$J957,'Historico - FAT'!$G:$G,Faturamento!$H957)</f>
        <v>1242.1439999999998</v>
      </c>
      <c r="AG957" s="24">
        <f t="shared" si="226"/>
        <v>1</v>
      </c>
      <c r="AH957" s="24">
        <f t="shared" si="227"/>
        <v>-0.90279411764705864</v>
      </c>
      <c r="AI957" s="24">
        <f t="shared" si="228"/>
        <v>-2.8055882352941173</v>
      </c>
    </row>
    <row r="958" spans="1:35" hidden="1" x14ac:dyDescent="0.3">
      <c r="A958" s="2" t="str">
        <f t="shared" si="225"/>
        <v>NÃO</v>
      </c>
      <c r="B958" s="2">
        <v>1000184670</v>
      </c>
      <c r="C958" s="2" t="s">
        <v>147</v>
      </c>
      <c r="D958" s="4">
        <v>1000186197</v>
      </c>
      <c r="E958" s="4" t="s">
        <v>166</v>
      </c>
      <c r="F958" s="2">
        <v>1000185288</v>
      </c>
      <c r="G958" s="2" t="s">
        <v>64</v>
      </c>
      <c r="H958" s="4">
        <v>1000189795</v>
      </c>
      <c r="I958" s="4" t="s">
        <v>65</v>
      </c>
      <c r="J958" s="2">
        <v>1000189270</v>
      </c>
      <c r="K958" s="2" t="s">
        <v>34</v>
      </c>
      <c r="L958" s="4" t="s">
        <v>15</v>
      </c>
      <c r="M958" s="4" t="str">
        <f t="shared" si="218"/>
        <v>1000184670100018619710001897951000189270DOCES</v>
      </c>
      <c r="N958" s="28">
        <f>N954*_xlfn.XLOOKUP($L958,'Balizador da Meta'!$B$4:$B$21,'Balizador da Meta'!$C$4:$C$21)</f>
        <v>486</v>
      </c>
      <c r="O958" s="28">
        <f>O954*_xlfn.XLOOKUP($L958,'Balizador da Meta'!$B$4:$B$21,'Balizador da Meta'!$C$4:$C$21)</f>
        <v>540</v>
      </c>
      <c r="P958" s="28">
        <f>P954*_xlfn.XLOOKUP($L958,'Balizador da Meta'!$B$4:$B$21,'Balizador da Meta'!$C$4:$C$21)</f>
        <v>540</v>
      </c>
      <c r="Q958" s="28">
        <f>Q954*_xlfn.XLOOKUP($L958,'Balizador da Meta'!$B$4:$B$21,'Balizador da Meta'!$C$4:$C$21)</f>
        <v>540</v>
      </c>
      <c r="R958" s="28">
        <f>R954*_xlfn.XLOOKUP($L958,'Balizador da Meta'!$B$4:$B$21,'Balizador da Meta'!$C$4:$C$21)</f>
        <v>540</v>
      </c>
      <c r="S958" s="28">
        <f>S954*_xlfn.XLOOKUP($L958,'Balizador da Meta'!$B$4:$B$21,'Balizador da Meta'!$C$4:$C$21)</f>
        <v>540</v>
      </c>
      <c r="T958" s="28">
        <f>T954*_xlfn.XLOOKUP($L958,'Balizador da Meta'!$B$4:$B$21,'Balizador da Meta'!$C$4:$C$21)</f>
        <v>594</v>
      </c>
      <c r="U958" s="28">
        <f>U954*_xlfn.XLOOKUP($L958,'Balizador da Meta'!$B$4:$B$21,'Balizador da Meta'!$C$4:$C$21)</f>
        <v>594</v>
      </c>
      <c r="V958" s="28">
        <f>V954*_xlfn.XLOOKUP($L958,'Balizador da Meta'!$B$4:$B$21,'Balizador da Meta'!$C$4:$C$21)</f>
        <v>594</v>
      </c>
      <c r="W958" s="28">
        <f>W954*_xlfn.XLOOKUP($L958,'Balizador da Meta'!$B$4:$B$21,'Balizador da Meta'!$C$4:$C$21)</f>
        <v>594</v>
      </c>
      <c r="X958" s="28">
        <f>X954*_xlfn.XLOOKUP($L958,'Balizador da Meta'!$B$4:$B$21,'Balizador da Meta'!$C$4:$C$21)</f>
        <v>594</v>
      </c>
      <c r="Y958" s="28">
        <f>Y954*_xlfn.XLOOKUP($L958,'Balizador da Meta'!$B$4:$B$21,'Balizador da Meta'!$C$4:$C$21)</f>
        <v>648</v>
      </c>
      <c r="Z958" s="30">
        <f t="shared" si="231"/>
        <v>6804</v>
      </c>
      <c r="AA958" s="29"/>
      <c r="AB958" s="31">
        <f>SUMIFS('Historico - FAT'!AK:AK,'Historico - FAT'!$K:$K,Faturamento!$L958,'Historico - FAT'!$I:$I,Faturamento!$J958,'Historico - FAT'!$G:$G,Faturamento!$H958)</f>
        <v>578.8125</v>
      </c>
      <c r="AC958" s="31">
        <f>SUMIFS('Historico - FAT'!AL:AL,'Historico - FAT'!$K:$K,Faturamento!$L958,'Historico - FAT'!$I:$I,Faturamento!$J958,'Historico - FAT'!$G:$G,Faturamento!$H958)</f>
        <v>836.05583333333345</v>
      </c>
      <c r="AD958" s="31">
        <f>SUMIFS('Historico - FAT'!AM:AM,'Historico - FAT'!$K:$K,Faturamento!$L958,'Historico - FAT'!$I:$I,Faturamento!$J958,'Historico - FAT'!$G:$G,Faturamento!$H958)</f>
        <v>869.72000000000014</v>
      </c>
      <c r="AE958" s="27">
        <f>SUMIFS('Historico - FAT'!AN:AN,'Historico - FAT'!$K:$K,Faturamento!$L958,'Historico - FAT'!$I:$I,Faturamento!$J958,'Historico - FAT'!$G:$G,Faturamento!$H958)</f>
        <v>789.83199999999999</v>
      </c>
      <c r="AG958" s="24">
        <f t="shared" si="226"/>
        <v>5.422794117647059E-2</v>
      </c>
      <c r="AH958" s="24">
        <f t="shared" si="227"/>
        <v>-0.36610430283224421</v>
      </c>
      <c r="AI958" s="24">
        <f t="shared" si="228"/>
        <v>-0.42111111111111132</v>
      </c>
    </row>
    <row r="959" spans="1:35" hidden="1" x14ac:dyDescent="0.3">
      <c r="A959" s="2" t="str">
        <f t="shared" si="225"/>
        <v>NÃO</v>
      </c>
      <c r="B959" s="2">
        <v>1000184670</v>
      </c>
      <c r="C959" s="2" t="s">
        <v>147</v>
      </c>
      <c r="D959" s="4">
        <v>1000186197</v>
      </c>
      <c r="E959" s="4" t="s">
        <v>166</v>
      </c>
      <c r="F959" s="2">
        <v>1000185288</v>
      </c>
      <c r="G959" s="2" t="s">
        <v>64</v>
      </c>
      <c r="H959" s="4">
        <v>1000189795</v>
      </c>
      <c r="I959" s="4" t="s">
        <v>65</v>
      </c>
      <c r="J959" s="2">
        <v>1000189270</v>
      </c>
      <c r="K959" s="2" t="s">
        <v>34</v>
      </c>
      <c r="L959" s="4" t="s">
        <v>33</v>
      </c>
      <c r="M959" s="4" t="str">
        <f t="shared" si="218"/>
        <v>1000184670100018619710001897951000189270FOOD SERVICE</v>
      </c>
      <c r="N959" s="28">
        <f>N954*_xlfn.XLOOKUP($L959,'Balizador da Meta'!$B$4:$B$21,'Balizador da Meta'!$C$4:$C$21)</f>
        <v>0</v>
      </c>
      <c r="O959" s="28">
        <f>O954*_xlfn.XLOOKUP($L959,'Balizador da Meta'!$B$4:$B$21,'Balizador da Meta'!$C$4:$C$21)</f>
        <v>0</v>
      </c>
      <c r="P959" s="28">
        <f>P954*_xlfn.XLOOKUP($L959,'Balizador da Meta'!$B$4:$B$21,'Balizador da Meta'!$C$4:$C$21)</f>
        <v>0</v>
      </c>
      <c r="Q959" s="28">
        <f>Q954*_xlfn.XLOOKUP($L959,'Balizador da Meta'!$B$4:$B$21,'Balizador da Meta'!$C$4:$C$21)</f>
        <v>0</v>
      </c>
      <c r="R959" s="28">
        <f>R954*_xlfn.XLOOKUP($L959,'Balizador da Meta'!$B$4:$B$21,'Balizador da Meta'!$C$4:$C$21)</f>
        <v>0</v>
      </c>
      <c r="S959" s="28">
        <f>S954*_xlfn.XLOOKUP($L959,'Balizador da Meta'!$B$4:$B$21,'Balizador da Meta'!$C$4:$C$21)</f>
        <v>0</v>
      </c>
      <c r="T959" s="28">
        <f>T954*_xlfn.XLOOKUP($L959,'Balizador da Meta'!$B$4:$B$21,'Balizador da Meta'!$C$4:$C$21)</f>
        <v>0</v>
      </c>
      <c r="U959" s="28">
        <f>U954*_xlfn.XLOOKUP($L959,'Balizador da Meta'!$B$4:$B$21,'Balizador da Meta'!$C$4:$C$21)</f>
        <v>0</v>
      </c>
      <c r="V959" s="28">
        <f>V954*_xlfn.XLOOKUP($L959,'Balizador da Meta'!$B$4:$B$21,'Balizador da Meta'!$C$4:$C$21)</f>
        <v>0</v>
      </c>
      <c r="W959" s="28">
        <f>W954*_xlfn.XLOOKUP($L959,'Balizador da Meta'!$B$4:$B$21,'Balizador da Meta'!$C$4:$C$21)</f>
        <v>0</v>
      </c>
      <c r="X959" s="28">
        <f>X954*_xlfn.XLOOKUP($L959,'Balizador da Meta'!$B$4:$B$21,'Balizador da Meta'!$C$4:$C$21)</f>
        <v>0</v>
      </c>
      <c r="Y959" s="28">
        <f>Y954*_xlfn.XLOOKUP($L959,'Balizador da Meta'!$B$4:$B$21,'Balizador da Meta'!$C$4:$C$21)</f>
        <v>0</v>
      </c>
      <c r="Z959" s="30">
        <f t="shared" si="231"/>
        <v>0</v>
      </c>
      <c r="AA959" s="29"/>
      <c r="AB959" s="31">
        <f>SUMIFS('Historico - FAT'!AK:AK,'Historico - FAT'!$K:$K,Faturamento!$L959,'Historico - FAT'!$I:$I,Faturamento!$J959,'Historico - FAT'!$G:$G,Faturamento!$H959)</f>
        <v>0</v>
      </c>
      <c r="AC959" s="31">
        <f>SUMIFS('Historico - FAT'!AL:AL,'Historico - FAT'!$K:$K,Faturamento!$L959,'Historico - FAT'!$I:$I,Faturamento!$J959,'Historico - FAT'!$G:$G,Faturamento!$H959)</f>
        <v>51.01</v>
      </c>
      <c r="AD959" s="31">
        <f>SUMIFS('Historico - FAT'!AM:AM,'Historico - FAT'!$K:$K,Faturamento!$L959,'Historico - FAT'!$I:$I,Faturamento!$J959,'Historico - FAT'!$G:$G,Faturamento!$H959)</f>
        <v>102.02</v>
      </c>
      <c r="AE959" s="27">
        <f>SUMIFS('Historico - FAT'!AN:AN,'Historico - FAT'!$K:$K,Faturamento!$L959,'Historico - FAT'!$I:$I,Faturamento!$J959,'Historico - FAT'!$G:$G,Faturamento!$H959)</f>
        <v>61.212000000000003</v>
      </c>
      <c r="AG959" s="24" t="str">
        <f t="shared" si="226"/>
        <v/>
      </c>
      <c r="AH959" s="24" t="str">
        <f t="shared" si="227"/>
        <v/>
      </c>
      <c r="AI959" s="24" t="str">
        <f t="shared" si="228"/>
        <v/>
      </c>
    </row>
    <row r="960" spans="1:35" hidden="1" x14ac:dyDescent="0.3">
      <c r="A960" s="2" t="str">
        <f t="shared" si="225"/>
        <v>NÃO</v>
      </c>
      <c r="B960" s="2">
        <v>1000184670</v>
      </c>
      <c r="C960" s="2" t="s">
        <v>147</v>
      </c>
      <c r="D960" s="4">
        <v>1000186197</v>
      </c>
      <c r="E960" s="4" t="s">
        <v>166</v>
      </c>
      <c r="F960" s="2">
        <v>1000185288</v>
      </c>
      <c r="G960" s="2" t="s">
        <v>64</v>
      </c>
      <c r="H960" s="4">
        <v>1000189795</v>
      </c>
      <c r="I960" s="4" t="s">
        <v>65</v>
      </c>
      <c r="J960" s="2">
        <v>1000189270</v>
      </c>
      <c r="K960" s="2" t="s">
        <v>34</v>
      </c>
      <c r="L960" s="4" t="s">
        <v>19</v>
      </c>
      <c r="M960" s="4" t="str">
        <f t="shared" si="218"/>
        <v>1000184670100018619710001897951000189270GELEIA</v>
      </c>
      <c r="N960" s="28">
        <f>N954*_xlfn.XLOOKUP($L960,'Balizador da Meta'!$B$4:$B$21,'Balizador da Meta'!$C$4:$C$21)</f>
        <v>107.99999999999999</v>
      </c>
      <c r="O960" s="28">
        <f>O954*_xlfn.XLOOKUP($L960,'Balizador da Meta'!$B$4:$B$21,'Balizador da Meta'!$C$4:$C$21)</f>
        <v>119.99999999999999</v>
      </c>
      <c r="P960" s="28">
        <f>P954*_xlfn.XLOOKUP($L960,'Balizador da Meta'!$B$4:$B$21,'Balizador da Meta'!$C$4:$C$21)</f>
        <v>119.99999999999999</v>
      </c>
      <c r="Q960" s="28">
        <f>Q954*_xlfn.XLOOKUP($L960,'Balizador da Meta'!$B$4:$B$21,'Balizador da Meta'!$C$4:$C$21)</f>
        <v>119.99999999999999</v>
      </c>
      <c r="R960" s="28">
        <f>R954*_xlfn.XLOOKUP($L960,'Balizador da Meta'!$B$4:$B$21,'Balizador da Meta'!$C$4:$C$21)</f>
        <v>119.99999999999999</v>
      </c>
      <c r="S960" s="28">
        <f>S954*_xlfn.XLOOKUP($L960,'Balizador da Meta'!$B$4:$B$21,'Balizador da Meta'!$C$4:$C$21)</f>
        <v>119.99999999999999</v>
      </c>
      <c r="T960" s="28">
        <f>T954*_xlfn.XLOOKUP($L960,'Balizador da Meta'!$B$4:$B$21,'Balizador da Meta'!$C$4:$C$21)</f>
        <v>131.99999999999997</v>
      </c>
      <c r="U960" s="28">
        <f>U954*_xlfn.XLOOKUP($L960,'Balizador da Meta'!$B$4:$B$21,'Balizador da Meta'!$C$4:$C$21)</f>
        <v>131.99999999999997</v>
      </c>
      <c r="V960" s="28">
        <f>V954*_xlfn.XLOOKUP($L960,'Balizador da Meta'!$B$4:$B$21,'Balizador da Meta'!$C$4:$C$21)</f>
        <v>131.99999999999997</v>
      </c>
      <c r="W960" s="28">
        <f>W954*_xlfn.XLOOKUP($L960,'Balizador da Meta'!$B$4:$B$21,'Balizador da Meta'!$C$4:$C$21)</f>
        <v>131.99999999999997</v>
      </c>
      <c r="X960" s="28">
        <f>X954*_xlfn.XLOOKUP($L960,'Balizador da Meta'!$B$4:$B$21,'Balizador da Meta'!$C$4:$C$21)</f>
        <v>131.99999999999997</v>
      </c>
      <c r="Y960" s="28">
        <f>Y954*_xlfn.XLOOKUP($L960,'Balizador da Meta'!$B$4:$B$21,'Balizador da Meta'!$C$4:$C$21)</f>
        <v>143.99999999999997</v>
      </c>
      <c r="Z960" s="30">
        <f t="shared" si="231"/>
        <v>1511.9999999999998</v>
      </c>
      <c r="AA960" s="29"/>
      <c r="AB960" s="31">
        <f>SUMIFS('Historico - FAT'!AK:AK,'Historico - FAT'!$K:$K,Faturamento!$L960,'Historico - FAT'!$I:$I,Faturamento!$J960,'Historico - FAT'!$G:$G,Faturamento!$H960)</f>
        <v>153.02250000000001</v>
      </c>
      <c r="AC960" s="31">
        <f>SUMIFS('Historico - FAT'!AL:AL,'Historico - FAT'!$K:$K,Faturamento!$L960,'Historico - FAT'!$I:$I,Faturamento!$J960,'Historico - FAT'!$G:$G,Faturamento!$H960)</f>
        <v>73.41</v>
      </c>
      <c r="AD960" s="31">
        <f>SUMIFS('Historico - FAT'!AM:AM,'Historico - FAT'!$K:$K,Faturamento!$L960,'Historico - FAT'!$I:$I,Faturamento!$J960,'Historico - FAT'!$G:$G,Faturamento!$H960)</f>
        <v>146.82</v>
      </c>
      <c r="AE960" s="27">
        <f>SUMIFS('Historico - FAT'!AN:AN,'Historico - FAT'!$K:$K,Faturamento!$L960,'Historico - FAT'!$I:$I,Faturamento!$J960,'Historico - FAT'!$G:$G,Faturamento!$H960)</f>
        <v>88.091999999999999</v>
      </c>
      <c r="AG960" s="24">
        <f t="shared" si="226"/>
        <v>-0.12516544117647088</v>
      </c>
      <c r="AH960" s="24">
        <f t="shared" si="227"/>
        <v>0.46022058823529405</v>
      </c>
      <c r="AI960" s="24">
        <f t="shared" si="228"/>
        <v>-7.9558823529411946E-2</v>
      </c>
    </row>
    <row r="961" spans="1:35" hidden="1" x14ac:dyDescent="0.3">
      <c r="A961" s="2" t="str">
        <f t="shared" si="225"/>
        <v>NÃO</v>
      </c>
      <c r="B961" s="2">
        <v>1000184670</v>
      </c>
      <c r="C961" s="2" t="s">
        <v>147</v>
      </c>
      <c r="D961" s="4">
        <v>1000186197</v>
      </c>
      <c r="E961" s="4" t="s">
        <v>166</v>
      </c>
      <c r="F961" s="2">
        <v>1000185288</v>
      </c>
      <c r="G961" s="2" t="s">
        <v>64</v>
      </c>
      <c r="H961" s="4">
        <v>1000189795</v>
      </c>
      <c r="I961" s="4" t="s">
        <v>65</v>
      </c>
      <c r="J961" s="2">
        <v>1000189270</v>
      </c>
      <c r="K961" s="2" t="s">
        <v>34</v>
      </c>
      <c r="L961" s="4" t="s">
        <v>17</v>
      </c>
      <c r="M961" s="4" t="str">
        <f t="shared" si="218"/>
        <v>1000184670100018619710001897951000189270GRANOLA</v>
      </c>
      <c r="N961" s="28">
        <f>N954*_xlfn.XLOOKUP($L961,'Balizador da Meta'!$B$4:$B$21,'Balizador da Meta'!$C$4:$C$21)</f>
        <v>108</v>
      </c>
      <c r="O961" s="28">
        <f>O954*_xlfn.XLOOKUP($L961,'Balizador da Meta'!$B$4:$B$21,'Balizador da Meta'!$C$4:$C$21)</f>
        <v>120</v>
      </c>
      <c r="P961" s="28">
        <f>P954*_xlfn.XLOOKUP($L961,'Balizador da Meta'!$B$4:$B$21,'Balizador da Meta'!$C$4:$C$21)</f>
        <v>120</v>
      </c>
      <c r="Q961" s="28">
        <f>Q954*_xlfn.XLOOKUP($L961,'Balizador da Meta'!$B$4:$B$21,'Balizador da Meta'!$C$4:$C$21)</f>
        <v>120</v>
      </c>
      <c r="R961" s="28">
        <f>R954*_xlfn.XLOOKUP($L961,'Balizador da Meta'!$B$4:$B$21,'Balizador da Meta'!$C$4:$C$21)</f>
        <v>120</v>
      </c>
      <c r="S961" s="28">
        <f>S954*_xlfn.XLOOKUP($L961,'Balizador da Meta'!$B$4:$B$21,'Balizador da Meta'!$C$4:$C$21)</f>
        <v>120</v>
      </c>
      <c r="T961" s="28">
        <f>T954*_xlfn.XLOOKUP($L961,'Balizador da Meta'!$B$4:$B$21,'Balizador da Meta'!$C$4:$C$21)</f>
        <v>132</v>
      </c>
      <c r="U961" s="28">
        <f>U954*_xlfn.XLOOKUP($L961,'Balizador da Meta'!$B$4:$B$21,'Balizador da Meta'!$C$4:$C$21)</f>
        <v>132</v>
      </c>
      <c r="V961" s="28">
        <f>V954*_xlfn.XLOOKUP($L961,'Balizador da Meta'!$B$4:$B$21,'Balizador da Meta'!$C$4:$C$21)</f>
        <v>132</v>
      </c>
      <c r="W961" s="28">
        <f>W954*_xlfn.XLOOKUP($L961,'Balizador da Meta'!$B$4:$B$21,'Balizador da Meta'!$C$4:$C$21)</f>
        <v>132</v>
      </c>
      <c r="X961" s="28">
        <f>X954*_xlfn.XLOOKUP($L961,'Balizador da Meta'!$B$4:$B$21,'Balizador da Meta'!$C$4:$C$21)</f>
        <v>132</v>
      </c>
      <c r="Y961" s="28">
        <f>Y954*_xlfn.XLOOKUP($L961,'Balizador da Meta'!$B$4:$B$21,'Balizador da Meta'!$C$4:$C$21)</f>
        <v>144</v>
      </c>
      <c r="Z961" s="30">
        <f t="shared" si="231"/>
        <v>1512</v>
      </c>
      <c r="AA961" s="29"/>
      <c r="AB961" s="31">
        <f>SUMIFS('Historico - FAT'!AK:AK,'Historico - FAT'!$K:$K,Faturamento!$L961,'Historico - FAT'!$I:$I,Faturamento!$J961,'Historico - FAT'!$G:$G,Faturamento!$H961)</f>
        <v>0</v>
      </c>
      <c r="AC961" s="31">
        <f>SUMIFS('Historico - FAT'!AL:AL,'Historico - FAT'!$K:$K,Faturamento!$L961,'Historico - FAT'!$I:$I,Faturamento!$J961,'Historico - FAT'!$G:$G,Faturamento!$H961)</f>
        <v>257.66666666666669</v>
      </c>
      <c r="AD961" s="31">
        <f>SUMIFS('Historico - FAT'!AM:AM,'Historico - FAT'!$K:$K,Faturamento!$L961,'Historico - FAT'!$I:$I,Faturamento!$J961,'Historico - FAT'!$G:$G,Faturamento!$H961)</f>
        <v>515.33333333333337</v>
      </c>
      <c r="AE961" s="27">
        <f>SUMIFS('Historico - FAT'!AN:AN,'Historico - FAT'!$K:$K,Faturamento!$L961,'Historico - FAT'!$I:$I,Faturamento!$J961,'Historico - FAT'!$G:$G,Faturamento!$H961)</f>
        <v>309.2</v>
      </c>
      <c r="AG961" s="24">
        <f t="shared" si="226"/>
        <v>1</v>
      </c>
      <c r="AH961" s="24">
        <f t="shared" si="227"/>
        <v>-0.89460784313725505</v>
      </c>
      <c r="AI961" s="24">
        <f t="shared" si="228"/>
        <v>-2.7892156862745101</v>
      </c>
    </row>
    <row r="962" spans="1:35" hidden="1" x14ac:dyDescent="0.3">
      <c r="A962" s="2" t="str">
        <f t="shared" si="225"/>
        <v>NÃO</v>
      </c>
      <c r="B962" s="2">
        <v>1000184670</v>
      </c>
      <c r="C962" s="2" t="s">
        <v>147</v>
      </c>
      <c r="D962" s="4">
        <v>1000186197</v>
      </c>
      <c r="E962" s="4" t="s">
        <v>166</v>
      </c>
      <c r="F962" s="2">
        <v>1000185288</v>
      </c>
      <c r="G962" s="2" t="s">
        <v>64</v>
      </c>
      <c r="H962" s="4">
        <v>1000189795</v>
      </c>
      <c r="I962" s="4" t="s">
        <v>65</v>
      </c>
      <c r="J962" s="2">
        <v>1000189270</v>
      </c>
      <c r="K962" s="2" t="s">
        <v>34</v>
      </c>
      <c r="L962" s="4" t="s">
        <v>24</v>
      </c>
      <c r="M962" s="4" t="str">
        <f t="shared" si="218"/>
        <v>1000184670100018619710001897951000189270KIDS</v>
      </c>
      <c r="N962" s="28">
        <f>N954*_xlfn.XLOOKUP($L962,'Balizador da Meta'!$B$4:$B$21,'Balizador da Meta'!$C$4:$C$21)</f>
        <v>0</v>
      </c>
      <c r="O962" s="28">
        <f>O954*_xlfn.XLOOKUP($L962,'Balizador da Meta'!$B$4:$B$21,'Balizador da Meta'!$C$4:$C$21)</f>
        <v>0</v>
      </c>
      <c r="P962" s="28">
        <f>P954*_xlfn.XLOOKUP($L962,'Balizador da Meta'!$B$4:$B$21,'Balizador da Meta'!$C$4:$C$21)</f>
        <v>0</v>
      </c>
      <c r="Q962" s="28">
        <f>Q954*_xlfn.XLOOKUP($L962,'Balizador da Meta'!$B$4:$B$21,'Balizador da Meta'!$C$4:$C$21)</f>
        <v>0</v>
      </c>
      <c r="R962" s="28">
        <f>R954*_xlfn.XLOOKUP($L962,'Balizador da Meta'!$B$4:$B$21,'Balizador da Meta'!$C$4:$C$21)</f>
        <v>0</v>
      </c>
      <c r="S962" s="28">
        <f>S954*_xlfn.XLOOKUP($L962,'Balizador da Meta'!$B$4:$B$21,'Balizador da Meta'!$C$4:$C$21)</f>
        <v>0</v>
      </c>
      <c r="T962" s="28">
        <f>T954*_xlfn.XLOOKUP($L962,'Balizador da Meta'!$B$4:$B$21,'Balizador da Meta'!$C$4:$C$21)</f>
        <v>0</v>
      </c>
      <c r="U962" s="28">
        <f>U954*_xlfn.XLOOKUP($L962,'Balizador da Meta'!$B$4:$B$21,'Balizador da Meta'!$C$4:$C$21)</f>
        <v>0</v>
      </c>
      <c r="V962" s="28">
        <f>V954*_xlfn.XLOOKUP($L962,'Balizador da Meta'!$B$4:$B$21,'Balizador da Meta'!$C$4:$C$21)</f>
        <v>0</v>
      </c>
      <c r="W962" s="28">
        <f>W954*_xlfn.XLOOKUP($L962,'Balizador da Meta'!$B$4:$B$21,'Balizador da Meta'!$C$4:$C$21)</f>
        <v>0</v>
      </c>
      <c r="X962" s="28">
        <f>X954*_xlfn.XLOOKUP($L962,'Balizador da Meta'!$B$4:$B$21,'Balizador da Meta'!$C$4:$C$21)</f>
        <v>0</v>
      </c>
      <c r="Y962" s="28">
        <f>Y954*_xlfn.XLOOKUP($L962,'Balizador da Meta'!$B$4:$B$21,'Balizador da Meta'!$C$4:$C$21)</f>
        <v>0</v>
      </c>
      <c r="Z962" s="30">
        <f t="shared" si="231"/>
        <v>0</v>
      </c>
      <c r="AA962" s="29"/>
      <c r="AB962" s="31">
        <f>SUMIFS('Historico - FAT'!AK:AK,'Historico - FAT'!$K:$K,Faturamento!$L962,'Historico - FAT'!$I:$I,Faturamento!$J962,'Historico - FAT'!$G:$G,Faturamento!$H962)</f>
        <v>5.3966666666666674</v>
      </c>
      <c r="AC962" s="31">
        <f>SUMIFS('Historico - FAT'!AL:AL,'Historico - FAT'!$K:$K,Faturamento!$L962,'Historico - FAT'!$I:$I,Faturamento!$J962,'Historico - FAT'!$G:$G,Faturamento!$H962)</f>
        <v>0.62083333333333335</v>
      </c>
      <c r="AD962" s="31">
        <f>SUMIFS('Historico - FAT'!AM:AM,'Historico - FAT'!$K:$K,Faturamento!$L962,'Historico - FAT'!$I:$I,Faturamento!$J962,'Historico - FAT'!$G:$G,Faturamento!$H962)</f>
        <v>1.2416666666666667</v>
      </c>
      <c r="AE962" s="27">
        <f>SUMIFS('Historico - FAT'!AN:AN,'Historico - FAT'!$K:$K,Faturamento!$L962,'Historico - FAT'!$I:$I,Faturamento!$J962,'Historico - FAT'!$G:$G,Faturamento!$H962)</f>
        <v>0.745</v>
      </c>
      <c r="AG962" s="24" t="str">
        <f t="shared" si="226"/>
        <v/>
      </c>
      <c r="AH962" s="24" t="str">
        <f t="shared" si="227"/>
        <v/>
      </c>
      <c r="AI962" s="24" t="str">
        <f t="shared" si="228"/>
        <v/>
      </c>
    </row>
    <row r="963" spans="1:35" hidden="1" x14ac:dyDescent="0.3">
      <c r="A963" s="2" t="str">
        <f t="shared" si="225"/>
        <v>NÃO</v>
      </c>
      <c r="B963" s="2">
        <v>1000184670</v>
      </c>
      <c r="C963" s="2" t="s">
        <v>147</v>
      </c>
      <c r="D963" s="4">
        <v>1000186197</v>
      </c>
      <c r="E963" s="4" t="s">
        <v>166</v>
      </c>
      <c r="F963" s="2">
        <v>1000185288</v>
      </c>
      <c r="G963" s="2" t="s">
        <v>64</v>
      </c>
      <c r="H963" s="4">
        <v>1000189795</v>
      </c>
      <c r="I963" s="4" t="s">
        <v>65</v>
      </c>
      <c r="J963" s="2">
        <v>1000189270</v>
      </c>
      <c r="K963" s="2" t="s">
        <v>34</v>
      </c>
      <c r="L963" s="4" t="s">
        <v>18</v>
      </c>
      <c r="M963" s="4" t="str">
        <f t="shared" si="218"/>
        <v>1000184670100018619710001897951000189270LANCHES</v>
      </c>
      <c r="N963" s="28">
        <f>N954*_xlfn.XLOOKUP($L963,'Balizador da Meta'!$B$4:$B$21,'Balizador da Meta'!$C$4:$C$21)</f>
        <v>54</v>
      </c>
      <c r="O963" s="28">
        <f>O954*_xlfn.XLOOKUP($L963,'Balizador da Meta'!$B$4:$B$21,'Balizador da Meta'!$C$4:$C$21)</f>
        <v>60</v>
      </c>
      <c r="P963" s="28">
        <f>P954*_xlfn.XLOOKUP($L963,'Balizador da Meta'!$B$4:$B$21,'Balizador da Meta'!$C$4:$C$21)</f>
        <v>60</v>
      </c>
      <c r="Q963" s="28">
        <f>Q954*_xlfn.XLOOKUP($L963,'Balizador da Meta'!$B$4:$B$21,'Balizador da Meta'!$C$4:$C$21)</f>
        <v>60</v>
      </c>
      <c r="R963" s="28">
        <f>R954*_xlfn.XLOOKUP($L963,'Balizador da Meta'!$B$4:$B$21,'Balizador da Meta'!$C$4:$C$21)</f>
        <v>60</v>
      </c>
      <c r="S963" s="28">
        <f>S954*_xlfn.XLOOKUP($L963,'Balizador da Meta'!$B$4:$B$21,'Balizador da Meta'!$C$4:$C$21)</f>
        <v>60</v>
      </c>
      <c r="T963" s="28">
        <f>T954*_xlfn.XLOOKUP($L963,'Balizador da Meta'!$B$4:$B$21,'Balizador da Meta'!$C$4:$C$21)</f>
        <v>66</v>
      </c>
      <c r="U963" s="28">
        <f>U954*_xlfn.XLOOKUP($L963,'Balizador da Meta'!$B$4:$B$21,'Balizador da Meta'!$C$4:$C$21)</f>
        <v>66</v>
      </c>
      <c r="V963" s="28">
        <f>V954*_xlfn.XLOOKUP($L963,'Balizador da Meta'!$B$4:$B$21,'Balizador da Meta'!$C$4:$C$21)</f>
        <v>66</v>
      </c>
      <c r="W963" s="28">
        <f>W954*_xlfn.XLOOKUP($L963,'Balizador da Meta'!$B$4:$B$21,'Balizador da Meta'!$C$4:$C$21)</f>
        <v>66</v>
      </c>
      <c r="X963" s="28">
        <f>X954*_xlfn.XLOOKUP($L963,'Balizador da Meta'!$B$4:$B$21,'Balizador da Meta'!$C$4:$C$21)</f>
        <v>66</v>
      </c>
      <c r="Y963" s="28">
        <f>Y954*_xlfn.XLOOKUP($L963,'Balizador da Meta'!$B$4:$B$21,'Balizador da Meta'!$C$4:$C$21)</f>
        <v>72</v>
      </c>
      <c r="Z963" s="30">
        <f t="shared" si="231"/>
        <v>756</v>
      </c>
      <c r="AA963" s="29"/>
      <c r="AB963" s="31">
        <f>SUMIFS('Historico - FAT'!AK:AK,'Historico - FAT'!$K:$K,Faturamento!$L963,'Historico - FAT'!$I:$I,Faturamento!$J963,'Historico - FAT'!$G:$G,Faturamento!$H963)</f>
        <v>11.1</v>
      </c>
      <c r="AC963" s="31">
        <f>SUMIFS('Historico - FAT'!AL:AL,'Historico - FAT'!$K:$K,Faturamento!$L963,'Historico - FAT'!$I:$I,Faturamento!$J963,'Historico - FAT'!$G:$G,Faturamento!$H963)</f>
        <v>6.6716666666666669</v>
      </c>
      <c r="AD963" s="31">
        <f>SUMIFS('Historico - FAT'!AM:AM,'Historico - FAT'!$K:$K,Faturamento!$L963,'Historico - FAT'!$I:$I,Faturamento!$J963,'Historico - FAT'!$G:$G,Faturamento!$H963)</f>
        <v>13.343333333333334</v>
      </c>
      <c r="AE963" s="27">
        <f>SUMIFS('Historico - FAT'!AN:AN,'Historico - FAT'!$K:$K,Faturamento!$L963,'Historico - FAT'!$I:$I,Faturamento!$J963,'Historico - FAT'!$G:$G,Faturamento!$H963)</f>
        <v>8.0060000000000002</v>
      </c>
      <c r="AG963" s="24">
        <f t="shared" si="226"/>
        <v>0.83676470588235297</v>
      </c>
      <c r="AH963" s="24">
        <f t="shared" si="227"/>
        <v>0.90188725490196076</v>
      </c>
      <c r="AI963" s="24">
        <f t="shared" si="228"/>
        <v>0.80377450980392151</v>
      </c>
    </row>
    <row r="964" spans="1:35" hidden="1" x14ac:dyDescent="0.3">
      <c r="A964" s="2" t="str">
        <f t="shared" si="225"/>
        <v>NÃO</v>
      </c>
      <c r="B964" s="2">
        <v>1000184670</v>
      </c>
      <c r="C964" s="2" t="s">
        <v>147</v>
      </c>
      <c r="D964" s="4">
        <v>1000186197</v>
      </c>
      <c r="E964" s="4" t="s">
        <v>166</v>
      </c>
      <c r="F964" s="2">
        <v>1000185288</v>
      </c>
      <c r="G964" s="2" t="s">
        <v>64</v>
      </c>
      <c r="H964" s="4">
        <v>1000189795</v>
      </c>
      <c r="I964" s="4" t="s">
        <v>65</v>
      </c>
      <c r="J964" s="2">
        <v>1000189270</v>
      </c>
      <c r="K964" s="2" t="s">
        <v>34</v>
      </c>
      <c r="L964" s="4" t="s">
        <v>29</v>
      </c>
      <c r="M964" s="4" t="str">
        <f t="shared" si="218"/>
        <v>1000184670100018619710001897951000189270MAIS GRANEL</v>
      </c>
      <c r="N964" s="28">
        <f>N954*_xlfn.XLOOKUP($L964,'Balizador da Meta'!$B$4:$B$21,'Balizador da Meta'!$C$4:$C$21)</f>
        <v>1728</v>
      </c>
      <c r="O964" s="28">
        <f>O954*_xlfn.XLOOKUP($L964,'Balizador da Meta'!$B$4:$B$21,'Balizador da Meta'!$C$4:$C$21)</f>
        <v>1920</v>
      </c>
      <c r="P964" s="28">
        <f>P954*_xlfn.XLOOKUP($L964,'Balizador da Meta'!$B$4:$B$21,'Balizador da Meta'!$C$4:$C$21)</f>
        <v>1920</v>
      </c>
      <c r="Q964" s="28">
        <f>Q954*_xlfn.XLOOKUP($L964,'Balizador da Meta'!$B$4:$B$21,'Balizador da Meta'!$C$4:$C$21)</f>
        <v>1920</v>
      </c>
      <c r="R964" s="28">
        <f>R954*_xlfn.XLOOKUP($L964,'Balizador da Meta'!$B$4:$B$21,'Balizador da Meta'!$C$4:$C$21)</f>
        <v>1920</v>
      </c>
      <c r="S964" s="28">
        <f>S954*_xlfn.XLOOKUP($L964,'Balizador da Meta'!$B$4:$B$21,'Balizador da Meta'!$C$4:$C$21)</f>
        <v>1920</v>
      </c>
      <c r="T964" s="28">
        <f>T954*_xlfn.XLOOKUP($L964,'Balizador da Meta'!$B$4:$B$21,'Balizador da Meta'!$C$4:$C$21)</f>
        <v>2112</v>
      </c>
      <c r="U964" s="28">
        <f>U954*_xlfn.XLOOKUP($L964,'Balizador da Meta'!$B$4:$B$21,'Balizador da Meta'!$C$4:$C$21)</f>
        <v>2112</v>
      </c>
      <c r="V964" s="28">
        <f>V954*_xlfn.XLOOKUP($L964,'Balizador da Meta'!$B$4:$B$21,'Balizador da Meta'!$C$4:$C$21)</f>
        <v>2112</v>
      </c>
      <c r="W964" s="28">
        <f>W954*_xlfn.XLOOKUP($L964,'Balizador da Meta'!$B$4:$B$21,'Balizador da Meta'!$C$4:$C$21)</f>
        <v>2112</v>
      </c>
      <c r="X964" s="28">
        <f>X954*_xlfn.XLOOKUP($L964,'Balizador da Meta'!$B$4:$B$21,'Balizador da Meta'!$C$4:$C$21)</f>
        <v>2112</v>
      </c>
      <c r="Y964" s="28">
        <f>Y954*_xlfn.XLOOKUP($L964,'Balizador da Meta'!$B$4:$B$21,'Balizador da Meta'!$C$4:$C$21)</f>
        <v>2304</v>
      </c>
      <c r="Z964" s="30">
        <f t="shared" si="231"/>
        <v>24192</v>
      </c>
      <c r="AA964" s="29"/>
      <c r="AB964" s="31">
        <f>SUMIFS('Historico - FAT'!AK:AK,'Historico - FAT'!$K:$K,Faturamento!$L964,'Historico - FAT'!$I:$I,Faturamento!$J964,'Historico - FAT'!$G:$G,Faturamento!$H964)</f>
        <v>0</v>
      </c>
      <c r="AC964" s="31">
        <f>SUMIFS('Historico - FAT'!AL:AL,'Historico - FAT'!$K:$K,Faturamento!$L964,'Historico - FAT'!$I:$I,Faturamento!$J964,'Historico - FAT'!$G:$G,Faturamento!$H964)</f>
        <v>680.27833333333331</v>
      </c>
      <c r="AD964" s="31">
        <f>SUMIFS('Historico - FAT'!AM:AM,'Historico - FAT'!$K:$K,Faturamento!$L964,'Historico - FAT'!$I:$I,Faturamento!$J964,'Historico - FAT'!$G:$G,Faturamento!$H964)</f>
        <v>1360.5566666666666</v>
      </c>
      <c r="AE964" s="27">
        <f>SUMIFS('Historico - FAT'!AN:AN,'Historico - FAT'!$K:$K,Faturamento!$L964,'Historico - FAT'!$I:$I,Faturamento!$J964,'Historico - FAT'!$G:$G,Faturamento!$H964)</f>
        <v>816.33400000000006</v>
      </c>
      <c r="AG964" s="24">
        <f t="shared" si="226"/>
        <v>1</v>
      </c>
      <c r="AH964" s="24">
        <f t="shared" si="227"/>
        <v>0.68737208946078443</v>
      </c>
      <c r="AI964" s="24">
        <f t="shared" si="228"/>
        <v>0.37474417892156864</v>
      </c>
    </row>
    <row r="965" spans="1:35" hidden="1" x14ac:dyDescent="0.3">
      <c r="A965" s="2" t="str">
        <f t="shared" si="225"/>
        <v>NÃO</v>
      </c>
      <c r="B965" s="2">
        <v>1000184670</v>
      </c>
      <c r="C965" s="2" t="s">
        <v>147</v>
      </c>
      <c r="D965" s="4">
        <v>1000186197</v>
      </c>
      <c r="E965" s="4" t="s">
        <v>166</v>
      </c>
      <c r="F965" s="2">
        <v>1000185288</v>
      </c>
      <c r="G965" s="2" t="s">
        <v>64</v>
      </c>
      <c r="H965" s="4">
        <v>1000189795</v>
      </c>
      <c r="I965" s="4" t="s">
        <v>65</v>
      </c>
      <c r="J965" s="2">
        <v>1000189270</v>
      </c>
      <c r="K965" s="2" t="s">
        <v>34</v>
      </c>
      <c r="L965" s="4" t="s">
        <v>21</v>
      </c>
      <c r="M965" s="4" t="str">
        <f t="shared" ref="M965:M1028" si="232">_xlfn.CONCAT(B965,D965,H965,J965,L965,)</f>
        <v>1000184670100018619710001897951000189270NATURATTA</v>
      </c>
      <c r="N965" s="28">
        <f>N954*_xlfn.XLOOKUP($L965,'Balizador da Meta'!$B$4:$B$21,'Balizador da Meta'!$C$4:$C$21)</f>
        <v>270</v>
      </c>
      <c r="O965" s="28">
        <f>O954*_xlfn.XLOOKUP($L965,'Balizador da Meta'!$B$4:$B$21,'Balizador da Meta'!$C$4:$C$21)</f>
        <v>300</v>
      </c>
      <c r="P965" s="28">
        <f>P954*_xlfn.XLOOKUP($L965,'Balizador da Meta'!$B$4:$B$21,'Balizador da Meta'!$C$4:$C$21)</f>
        <v>300</v>
      </c>
      <c r="Q965" s="28">
        <f>Q954*_xlfn.XLOOKUP($L965,'Balizador da Meta'!$B$4:$B$21,'Balizador da Meta'!$C$4:$C$21)</f>
        <v>300</v>
      </c>
      <c r="R965" s="28">
        <f>R954*_xlfn.XLOOKUP($L965,'Balizador da Meta'!$B$4:$B$21,'Balizador da Meta'!$C$4:$C$21)</f>
        <v>300</v>
      </c>
      <c r="S965" s="28">
        <f>S954*_xlfn.XLOOKUP($L965,'Balizador da Meta'!$B$4:$B$21,'Balizador da Meta'!$C$4:$C$21)</f>
        <v>300</v>
      </c>
      <c r="T965" s="28">
        <f>T954*_xlfn.XLOOKUP($L965,'Balizador da Meta'!$B$4:$B$21,'Balizador da Meta'!$C$4:$C$21)</f>
        <v>330</v>
      </c>
      <c r="U965" s="28">
        <f>U954*_xlfn.XLOOKUP($L965,'Balizador da Meta'!$B$4:$B$21,'Balizador da Meta'!$C$4:$C$21)</f>
        <v>330</v>
      </c>
      <c r="V965" s="28">
        <f>V954*_xlfn.XLOOKUP($L965,'Balizador da Meta'!$B$4:$B$21,'Balizador da Meta'!$C$4:$C$21)</f>
        <v>330</v>
      </c>
      <c r="W965" s="28">
        <f>W954*_xlfn.XLOOKUP($L965,'Balizador da Meta'!$B$4:$B$21,'Balizador da Meta'!$C$4:$C$21)</f>
        <v>330</v>
      </c>
      <c r="X965" s="28">
        <f>X954*_xlfn.XLOOKUP($L965,'Balizador da Meta'!$B$4:$B$21,'Balizador da Meta'!$C$4:$C$21)</f>
        <v>330</v>
      </c>
      <c r="Y965" s="28">
        <f>Y954*_xlfn.XLOOKUP($L965,'Balizador da Meta'!$B$4:$B$21,'Balizador da Meta'!$C$4:$C$21)</f>
        <v>360</v>
      </c>
      <c r="Z965" s="30">
        <f t="shared" si="231"/>
        <v>3780</v>
      </c>
      <c r="AA965" s="29"/>
      <c r="AB965" s="31">
        <f>SUMIFS('Historico - FAT'!AK:AK,'Historico - FAT'!$K:$K,Faturamento!$L965,'Historico - FAT'!$I:$I,Faturamento!$J965,'Historico - FAT'!$G:$G,Faturamento!$H965)</f>
        <v>0</v>
      </c>
      <c r="AC965" s="31">
        <f>SUMIFS('Historico - FAT'!AL:AL,'Historico - FAT'!$K:$K,Faturamento!$L965,'Historico - FAT'!$I:$I,Faturamento!$J965,'Historico - FAT'!$G:$G,Faturamento!$H965)</f>
        <v>2.7558333333333334</v>
      </c>
      <c r="AD965" s="31">
        <f>SUMIFS('Historico - FAT'!AM:AM,'Historico - FAT'!$K:$K,Faturamento!$L965,'Historico - FAT'!$I:$I,Faturamento!$J965,'Historico - FAT'!$G:$G,Faturamento!$H965)</f>
        <v>5.5116666666666667</v>
      </c>
      <c r="AE965" s="27">
        <f>SUMIFS('Historico - FAT'!AN:AN,'Historico - FAT'!$K:$K,Faturamento!$L965,'Historico - FAT'!$I:$I,Faturamento!$J965,'Historico - FAT'!$G:$G,Faturamento!$H965)</f>
        <v>3.3069999999999999</v>
      </c>
      <c r="AG965" s="24">
        <f t="shared" si="226"/>
        <v>1</v>
      </c>
      <c r="AH965" s="24">
        <f t="shared" si="227"/>
        <v>0.99189460784313732</v>
      </c>
      <c r="AI965" s="24">
        <f t="shared" si="228"/>
        <v>0.98378921568627453</v>
      </c>
    </row>
    <row r="966" spans="1:35" hidden="1" x14ac:dyDescent="0.3">
      <c r="A966" s="2" t="str">
        <f t="shared" si="225"/>
        <v>NÃO</v>
      </c>
      <c r="B966" s="2">
        <v>1000184670</v>
      </c>
      <c r="C966" s="2" t="s">
        <v>147</v>
      </c>
      <c r="D966" s="4">
        <v>1000186197</v>
      </c>
      <c r="E966" s="4" t="s">
        <v>166</v>
      </c>
      <c r="F966" s="2">
        <v>1000185288</v>
      </c>
      <c r="G966" s="2" t="s">
        <v>64</v>
      </c>
      <c r="H966" s="4">
        <v>1000189795</v>
      </c>
      <c r="I966" s="4" t="s">
        <v>65</v>
      </c>
      <c r="J966" s="2">
        <v>1000189270</v>
      </c>
      <c r="K966" s="2" t="s">
        <v>34</v>
      </c>
      <c r="L966" s="4" t="s">
        <v>20</v>
      </c>
      <c r="M966" s="4" t="str">
        <f t="shared" si="232"/>
        <v>1000184670100018619710001897951000189270REEMBALADOS</v>
      </c>
      <c r="N966" s="28">
        <f>N954*_xlfn.XLOOKUP($L966,'Balizador da Meta'!$B$4:$B$21,'Balizador da Meta'!$C$4:$C$21)</f>
        <v>216</v>
      </c>
      <c r="O966" s="28">
        <f>O954*_xlfn.XLOOKUP($L966,'Balizador da Meta'!$B$4:$B$21,'Balizador da Meta'!$C$4:$C$21)</f>
        <v>240</v>
      </c>
      <c r="P966" s="28">
        <f>P954*_xlfn.XLOOKUP($L966,'Balizador da Meta'!$B$4:$B$21,'Balizador da Meta'!$C$4:$C$21)</f>
        <v>240</v>
      </c>
      <c r="Q966" s="28">
        <f>Q954*_xlfn.XLOOKUP($L966,'Balizador da Meta'!$B$4:$B$21,'Balizador da Meta'!$C$4:$C$21)</f>
        <v>240</v>
      </c>
      <c r="R966" s="28">
        <f>R954*_xlfn.XLOOKUP($L966,'Balizador da Meta'!$B$4:$B$21,'Balizador da Meta'!$C$4:$C$21)</f>
        <v>240</v>
      </c>
      <c r="S966" s="28">
        <f>S954*_xlfn.XLOOKUP($L966,'Balizador da Meta'!$B$4:$B$21,'Balizador da Meta'!$C$4:$C$21)</f>
        <v>240</v>
      </c>
      <c r="T966" s="28">
        <f>T954*_xlfn.XLOOKUP($L966,'Balizador da Meta'!$B$4:$B$21,'Balizador da Meta'!$C$4:$C$21)</f>
        <v>264</v>
      </c>
      <c r="U966" s="28">
        <f>U954*_xlfn.XLOOKUP($L966,'Balizador da Meta'!$B$4:$B$21,'Balizador da Meta'!$C$4:$C$21)</f>
        <v>264</v>
      </c>
      <c r="V966" s="28">
        <f>V954*_xlfn.XLOOKUP($L966,'Balizador da Meta'!$B$4:$B$21,'Balizador da Meta'!$C$4:$C$21)</f>
        <v>264</v>
      </c>
      <c r="W966" s="28">
        <f>W954*_xlfn.XLOOKUP($L966,'Balizador da Meta'!$B$4:$B$21,'Balizador da Meta'!$C$4:$C$21)</f>
        <v>264</v>
      </c>
      <c r="X966" s="28">
        <f>X954*_xlfn.XLOOKUP($L966,'Balizador da Meta'!$B$4:$B$21,'Balizador da Meta'!$C$4:$C$21)</f>
        <v>264</v>
      </c>
      <c r="Y966" s="28">
        <f>Y954*_xlfn.XLOOKUP($L966,'Balizador da Meta'!$B$4:$B$21,'Balizador da Meta'!$C$4:$C$21)</f>
        <v>288</v>
      </c>
      <c r="Z966" s="30">
        <f t="shared" si="231"/>
        <v>3024</v>
      </c>
      <c r="AA966" s="29"/>
      <c r="AB966" s="31">
        <f>SUMIFS('Historico - FAT'!AK:AK,'Historico - FAT'!$K:$K,Faturamento!$L966,'Historico - FAT'!$I:$I,Faturamento!$J966,'Historico - FAT'!$G:$G,Faturamento!$H966)</f>
        <v>16.625</v>
      </c>
      <c r="AC966" s="31">
        <f>SUMIFS('Historico - FAT'!AL:AL,'Historico - FAT'!$K:$K,Faturamento!$L966,'Historico - FAT'!$I:$I,Faturamento!$J966,'Historico - FAT'!$G:$G,Faturamento!$H966)</f>
        <v>0</v>
      </c>
      <c r="AD966" s="31">
        <f>SUMIFS('Historico - FAT'!AM:AM,'Historico - FAT'!$K:$K,Faturamento!$L966,'Historico - FAT'!$I:$I,Faturamento!$J966,'Historico - FAT'!$G:$G,Faturamento!$H966)</f>
        <v>0</v>
      </c>
      <c r="AE966" s="27">
        <f>SUMIFS('Historico - FAT'!AN:AN,'Historico - FAT'!$K:$K,Faturamento!$L966,'Historico - FAT'!$I:$I,Faturamento!$J966,'Historico - FAT'!$G:$G,Faturamento!$H966)</f>
        <v>0</v>
      </c>
      <c r="AG966" s="24">
        <f t="shared" si="226"/>
        <v>0.9388786764705882</v>
      </c>
      <c r="AH966" s="24">
        <f t="shared" si="227"/>
        <v>1</v>
      </c>
      <c r="AI966" s="24">
        <f t="shared" si="228"/>
        <v>1</v>
      </c>
    </row>
    <row r="967" spans="1:35" hidden="1" x14ac:dyDescent="0.3">
      <c r="A967" s="2" t="str">
        <f t="shared" si="225"/>
        <v>NÃO</v>
      </c>
      <c r="B967" s="2">
        <v>1000184670</v>
      </c>
      <c r="C967" s="2" t="s">
        <v>147</v>
      </c>
      <c r="D967" s="4">
        <v>1000186197</v>
      </c>
      <c r="E967" s="4" t="s">
        <v>166</v>
      </c>
      <c r="F967" s="2">
        <v>1000185288</v>
      </c>
      <c r="G967" s="2" t="s">
        <v>64</v>
      </c>
      <c r="H967" s="4">
        <v>1000189795</v>
      </c>
      <c r="I967" s="4" t="s">
        <v>65</v>
      </c>
      <c r="J967" s="2">
        <v>1000189270</v>
      </c>
      <c r="K967" s="2" t="s">
        <v>34</v>
      </c>
      <c r="L967" s="4" t="s">
        <v>22</v>
      </c>
      <c r="M967" s="4" t="str">
        <f t="shared" si="232"/>
        <v>1000184670100018619710001897951000189270S GLUTEN</v>
      </c>
      <c r="N967" s="28">
        <f>N954*_xlfn.XLOOKUP($L967,'Balizador da Meta'!$B$4:$B$21,'Balizador da Meta'!$C$4:$C$21)</f>
        <v>216</v>
      </c>
      <c r="O967" s="28">
        <f>O954*_xlfn.XLOOKUP($L967,'Balizador da Meta'!$B$4:$B$21,'Balizador da Meta'!$C$4:$C$21)</f>
        <v>240</v>
      </c>
      <c r="P967" s="28">
        <f>P954*_xlfn.XLOOKUP($L967,'Balizador da Meta'!$B$4:$B$21,'Balizador da Meta'!$C$4:$C$21)</f>
        <v>240</v>
      </c>
      <c r="Q967" s="28">
        <f>Q954*_xlfn.XLOOKUP($L967,'Balizador da Meta'!$B$4:$B$21,'Balizador da Meta'!$C$4:$C$21)</f>
        <v>240</v>
      </c>
      <c r="R967" s="28">
        <f>R954*_xlfn.XLOOKUP($L967,'Balizador da Meta'!$B$4:$B$21,'Balizador da Meta'!$C$4:$C$21)</f>
        <v>240</v>
      </c>
      <c r="S967" s="28">
        <f>S954*_xlfn.XLOOKUP($L967,'Balizador da Meta'!$B$4:$B$21,'Balizador da Meta'!$C$4:$C$21)</f>
        <v>240</v>
      </c>
      <c r="T967" s="28">
        <f>T954*_xlfn.XLOOKUP($L967,'Balizador da Meta'!$B$4:$B$21,'Balizador da Meta'!$C$4:$C$21)</f>
        <v>264</v>
      </c>
      <c r="U967" s="28">
        <f>U954*_xlfn.XLOOKUP($L967,'Balizador da Meta'!$B$4:$B$21,'Balizador da Meta'!$C$4:$C$21)</f>
        <v>264</v>
      </c>
      <c r="V967" s="28">
        <f>V954*_xlfn.XLOOKUP($L967,'Balizador da Meta'!$B$4:$B$21,'Balizador da Meta'!$C$4:$C$21)</f>
        <v>264</v>
      </c>
      <c r="W967" s="28">
        <f>W954*_xlfn.XLOOKUP($L967,'Balizador da Meta'!$B$4:$B$21,'Balizador da Meta'!$C$4:$C$21)</f>
        <v>264</v>
      </c>
      <c r="X967" s="28">
        <f>X954*_xlfn.XLOOKUP($L967,'Balizador da Meta'!$B$4:$B$21,'Balizador da Meta'!$C$4:$C$21)</f>
        <v>264</v>
      </c>
      <c r="Y967" s="28">
        <f>Y954*_xlfn.XLOOKUP($L967,'Balizador da Meta'!$B$4:$B$21,'Balizador da Meta'!$C$4:$C$21)</f>
        <v>288</v>
      </c>
      <c r="Z967" s="30">
        <f t="shared" si="231"/>
        <v>3024</v>
      </c>
      <c r="AA967" s="29"/>
      <c r="AB967" s="31">
        <f>SUMIFS('Historico - FAT'!AK:AK,'Historico - FAT'!$K:$K,Faturamento!$L967,'Historico - FAT'!$I:$I,Faturamento!$J967,'Historico - FAT'!$G:$G,Faturamento!$H967)</f>
        <v>8.2650000000000006</v>
      </c>
      <c r="AC967" s="31">
        <f>SUMIFS('Historico - FAT'!AL:AL,'Historico - FAT'!$K:$K,Faturamento!$L967,'Historico - FAT'!$I:$I,Faturamento!$J967,'Historico - FAT'!$G:$G,Faturamento!$H967)</f>
        <v>138.45333333333332</v>
      </c>
      <c r="AD967" s="31">
        <f>SUMIFS('Historico - FAT'!AM:AM,'Historico - FAT'!$K:$K,Faturamento!$L967,'Historico - FAT'!$I:$I,Faturamento!$J967,'Historico - FAT'!$G:$G,Faturamento!$H967)</f>
        <v>276.90666666666664</v>
      </c>
      <c r="AE967" s="27">
        <f>SUMIFS('Historico - FAT'!AN:AN,'Historico - FAT'!$K:$K,Faturamento!$L967,'Historico - FAT'!$I:$I,Faturamento!$J967,'Historico - FAT'!$G:$G,Faturamento!$H967)</f>
        <v>166.14399999999998</v>
      </c>
      <c r="AG967" s="24">
        <f t="shared" si="226"/>
        <v>0.9696139705882354</v>
      </c>
      <c r="AH967" s="24">
        <f t="shared" si="227"/>
        <v>0.49098039215686279</v>
      </c>
      <c r="AI967" s="24">
        <f t="shared" si="228"/>
        <v>-1.8039215686274403E-2</v>
      </c>
    </row>
    <row r="968" spans="1:35" hidden="1" x14ac:dyDescent="0.3">
      <c r="A968" s="2" t="str">
        <f t="shared" si="225"/>
        <v>NÃO</v>
      </c>
      <c r="B968" s="2">
        <v>1000184670</v>
      </c>
      <c r="C968" s="2" t="s">
        <v>147</v>
      </c>
      <c r="D968" s="4">
        <v>1000186197</v>
      </c>
      <c r="E968" s="4" t="s">
        <v>166</v>
      </c>
      <c r="F968" s="2">
        <v>1000185288</v>
      </c>
      <c r="G968" s="2" t="s">
        <v>64</v>
      </c>
      <c r="H968" s="4">
        <v>1000189795</v>
      </c>
      <c r="I968" s="4" t="s">
        <v>65</v>
      </c>
      <c r="J968" s="2">
        <v>1000189270</v>
      </c>
      <c r="K968" s="2" t="s">
        <v>34</v>
      </c>
      <c r="L968" s="4" t="s">
        <v>23</v>
      </c>
      <c r="M968" s="4" t="str">
        <f t="shared" si="232"/>
        <v>1000184670100018619710001897951000189270SABORES DO CAMPO</v>
      </c>
      <c r="N968" s="28">
        <f>N954*_xlfn.XLOOKUP($L968,'Balizador da Meta'!$B$4:$B$21,'Balizador da Meta'!$C$4:$C$21)</f>
        <v>0</v>
      </c>
      <c r="O968" s="28">
        <f>O954*_xlfn.XLOOKUP($L968,'Balizador da Meta'!$B$4:$B$21,'Balizador da Meta'!$C$4:$C$21)</f>
        <v>0</v>
      </c>
      <c r="P968" s="28">
        <f>P954*_xlfn.XLOOKUP($L968,'Balizador da Meta'!$B$4:$B$21,'Balizador da Meta'!$C$4:$C$21)</f>
        <v>0</v>
      </c>
      <c r="Q968" s="28">
        <f>Q954*_xlfn.XLOOKUP($L968,'Balizador da Meta'!$B$4:$B$21,'Balizador da Meta'!$C$4:$C$21)</f>
        <v>0</v>
      </c>
      <c r="R968" s="28">
        <f>R954*_xlfn.XLOOKUP($L968,'Balizador da Meta'!$B$4:$B$21,'Balizador da Meta'!$C$4:$C$21)</f>
        <v>0</v>
      </c>
      <c r="S968" s="28">
        <f>S954*_xlfn.XLOOKUP($L968,'Balizador da Meta'!$B$4:$B$21,'Balizador da Meta'!$C$4:$C$21)</f>
        <v>0</v>
      </c>
      <c r="T968" s="28">
        <f>T954*_xlfn.XLOOKUP($L968,'Balizador da Meta'!$B$4:$B$21,'Balizador da Meta'!$C$4:$C$21)</f>
        <v>0</v>
      </c>
      <c r="U968" s="28">
        <f>U954*_xlfn.XLOOKUP($L968,'Balizador da Meta'!$B$4:$B$21,'Balizador da Meta'!$C$4:$C$21)</f>
        <v>0</v>
      </c>
      <c r="V968" s="28">
        <f>V954*_xlfn.XLOOKUP($L968,'Balizador da Meta'!$B$4:$B$21,'Balizador da Meta'!$C$4:$C$21)</f>
        <v>0</v>
      </c>
      <c r="W968" s="28">
        <f>W954*_xlfn.XLOOKUP($L968,'Balizador da Meta'!$B$4:$B$21,'Balizador da Meta'!$C$4:$C$21)</f>
        <v>0</v>
      </c>
      <c r="X968" s="28">
        <f>X954*_xlfn.XLOOKUP($L968,'Balizador da Meta'!$B$4:$B$21,'Balizador da Meta'!$C$4:$C$21)</f>
        <v>0</v>
      </c>
      <c r="Y968" s="28">
        <f>Y954*_xlfn.XLOOKUP($L968,'Balizador da Meta'!$B$4:$B$21,'Balizador da Meta'!$C$4:$C$21)</f>
        <v>0</v>
      </c>
      <c r="Z968" s="30">
        <f t="shared" si="231"/>
        <v>0</v>
      </c>
      <c r="AA968" s="29"/>
      <c r="AB968" s="31">
        <f>SUMIFS('Historico - FAT'!AK:AK,'Historico - FAT'!$K:$K,Faturamento!$L968,'Historico - FAT'!$I:$I,Faturamento!$J968,'Historico - FAT'!$G:$G,Faturamento!$H968)</f>
        <v>0</v>
      </c>
      <c r="AC968" s="31">
        <f>SUMIFS('Historico - FAT'!AL:AL,'Historico - FAT'!$K:$K,Faturamento!$L968,'Historico - FAT'!$I:$I,Faturamento!$J968,'Historico - FAT'!$G:$G,Faturamento!$H968)</f>
        <v>1.88</v>
      </c>
      <c r="AD968" s="31">
        <f>SUMIFS('Historico - FAT'!AM:AM,'Historico - FAT'!$K:$K,Faturamento!$L968,'Historico - FAT'!$I:$I,Faturamento!$J968,'Historico - FAT'!$G:$G,Faturamento!$H968)</f>
        <v>3.76</v>
      </c>
      <c r="AE968" s="27">
        <f>SUMIFS('Historico - FAT'!AN:AN,'Historico - FAT'!$K:$K,Faturamento!$L968,'Historico - FAT'!$I:$I,Faturamento!$J968,'Historico - FAT'!$G:$G,Faturamento!$H968)</f>
        <v>2.2559999999999998</v>
      </c>
      <c r="AG968" s="24" t="str">
        <f t="shared" si="226"/>
        <v/>
      </c>
      <c r="AH968" s="24" t="str">
        <f t="shared" si="227"/>
        <v/>
      </c>
      <c r="AI968" s="24" t="str">
        <f t="shared" si="228"/>
        <v/>
      </c>
    </row>
    <row r="969" spans="1:35" hidden="1" x14ac:dyDescent="0.3">
      <c r="A969" s="2" t="str">
        <f t="shared" si="225"/>
        <v>NÃO</v>
      </c>
      <c r="B969" s="2">
        <v>1000184670</v>
      </c>
      <c r="C969" s="2" t="s">
        <v>147</v>
      </c>
      <c r="D969" s="4">
        <v>1000186197</v>
      </c>
      <c r="E969" s="4" t="s">
        <v>166</v>
      </c>
      <c r="F969" s="2">
        <v>1000185288</v>
      </c>
      <c r="G969" s="2" t="s">
        <v>64</v>
      </c>
      <c r="H969" s="4">
        <v>1000189795</v>
      </c>
      <c r="I969" s="4" t="s">
        <v>65</v>
      </c>
      <c r="J969" s="2">
        <v>1000189270</v>
      </c>
      <c r="K969" s="2" t="s">
        <v>34</v>
      </c>
      <c r="L969" s="4" t="s">
        <v>28</v>
      </c>
      <c r="M969" s="4" t="str">
        <f t="shared" si="232"/>
        <v>1000184670100018619710001897951000189270SAL</v>
      </c>
      <c r="N969" s="28">
        <f>N954*_xlfn.XLOOKUP($L969,'Balizador da Meta'!$B$4:$B$21,'Balizador da Meta'!$C$4:$C$21)</f>
        <v>108</v>
      </c>
      <c r="O969" s="28">
        <f>O954*_xlfn.XLOOKUP($L969,'Balizador da Meta'!$B$4:$B$21,'Balizador da Meta'!$C$4:$C$21)</f>
        <v>120</v>
      </c>
      <c r="P969" s="28">
        <f>P954*_xlfn.XLOOKUP($L969,'Balizador da Meta'!$B$4:$B$21,'Balizador da Meta'!$C$4:$C$21)</f>
        <v>120</v>
      </c>
      <c r="Q969" s="28">
        <f>Q954*_xlfn.XLOOKUP($L969,'Balizador da Meta'!$B$4:$B$21,'Balizador da Meta'!$C$4:$C$21)</f>
        <v>120</v>
      </c>
      <c r="R969" s="28">
        <f>R954*_xlfn.XLOOKUP($L969,'Balizador da Meta'!$B$4:$B$21,'Balizador da Meta'!$C$4:$C$21)</f>
        <v>120</v>
      </c>
      <c r="S969" s="28">
        <f>S954*_xlfn.XLOOKUP($L969,'Balizador da Meta'!$B$4:$B$21,'Balizador da Meta'!$C$4:$C$21)</f>
        <v>120</v>
      </c>
      <c r="T969" s="28">
        <f>T954*_xlfn.XLOOKUP($L969,'Balizador da Meta'!$B$4:$B$21,'Balizador da Meta'!$C$4:$C$21)</f>
        <v>132</v>
      </c>
      <c r="U969" s="28">
        <f>U954*_xlfn.XLOOKUP($L969,'Balizador da Meta'!$B$4:$B$21,'Balizador da Meta'!$C$4:$C$21)</f>
        <v>132</v>
      </c>
      <c r="V969" s="28">
        <f>V954*_xlfn.XLOOKUP($L969,'Balizador da Meta'!$B$4:$B$21,'Balizador da Meta'!$C$4:$C$21)</f>
        <v>132</v>
      </c>
      <c r="W969" s="28">
        <f>W954*_xlfn.XLOOKUP($L969,'Balizador da Meta'!$B$4:$B$21,'Balizador da Meta'!$C$4:$C$21)</f>
        <v>132</v>
      </c>
      <c r="X969" s="28">
        <f>X954*_xlfn.XLOOKUP($L969,'Balizador da Meta'!$B$4:$B$21,'Balizador da Meta'!$C$4:$C$21)</f>
        <v>132</v>
      </c>
      <c r="Y969" s="28">
        <f>Y954*_xlfn.XLOOKUP($L969,'Balizador da Meta'!$B$4:$B$21,'Balizador da Meta'!$C$4:$C$21)</f>
        <v>144</v>
      </c>
      <c r="Z969" s="30">
        <f t="shared" si="231"/>
        <v>1512</v>
      </c>
      <c r="AA969" s="29"/>
      <c r="AB969" s="31">
        <f>SUMIFS('Historico - FAT'!AK:AK,'Historico - FAT'!$K:$K,Faturamento!$L969,'Historico - FAT'!$I:$I,Faturamento!$J969,'Historico - FAT'!$G:$G,Faturamento!$H969)</f>
        <v>0</v>
      </c>
      <c r="AC969" s="31">
        <f>SUMIFS('Historico - FAT'!AL:AL,'Historico - FAT'!$K:$K,Faturamento!$L969,'Historico - FAT'!$I:$I,Faturamento!$J969,'Historico - FAT'!$G:$G,Faturamento!$H969)</f>
        <v>0</v>
      </c>
      <c r="AD969" s="31">
        <f>SUMIFS('Historico - FAT'!AM:AM,'Historico - FAT'!$K:$K,Faturamento!$L969,'Historico - FAT'!$I:$I,Faturamento!$J969,'Historico - FAT'!$G:$G,Faturamento!$H969)</f>
        <v>0</v>
      </c>
      <c r="AE969" s="27">
        <f>SUMIFS('Historico - FAT'!AN:AN,'Historico - FAT'!$K:$K,Faturamento!$L969,'Historico - FAT'!$I:$I,Faturamento!$J969,'Historico - FAT'!$G:$G,Faturamento!$H969)</f>
        <v>0</v>
      </c>
      <c r="AG969" s="24">
        <f t="shared" si="226"/>
        <v>1</v>
      </c>
      <c r="AH969" s="24">
        <f t="shared" si="227"/>
        <v>1</v>
      </c>
      <c r="AI969" s="24">
        <f t="shared" si="228"/>
        <v>1</v>
      </c>
    </row>
    <row r="970" spans="1:35" hidden="1" x14ac:dyDescent="0.3">
      <c r="A970" s="2" t="str">
        <f t="shared" si="225"/>
        <v>NÃO</v>
      </c>
      <c r="B970" s="2">
        <v>1000184670</v>
      </c>
      <c r="C970" s="2" t="s">
        <v>147</v>
      </c>
      <c r="D970" s="4">
        <v>1000186197</v>
      </c>
      <c r="E970" s="4" t="s">
        <v>166</v>
      </c>
      <c r="F970" s="2">
        <v>1000185288</v>
      </c>
      <c r="G970" s="2" t="s">
        <v>64</v>
      </c>
      <c r="H970" s="4">
        <v>1000189795</v>
      </c>
      <c r="I970" s="4" t="s">
        <v>65</v>
      </c>
      <c r="J970" s="2">
        <v>1000189270</v>
      </c>
      <c r="K970" s="2" t="s">
        <v>34</v>
      </c>
      <c r="L970" s="4" t="s">
        <v>26</v>
      </c>
      <c r="M970" s="4" t="str">
        <f t="shared" si="232"/>
        <v>1000184670100018619710001897951000189270SOULPRO</v>
      </c>
      <c r="N970" s="28">
        <f>N954*_xlfn.XLOOKUP($L970,'Balizador da Meta'!$B$4:$B$21,'Balizador da Meta'!$C$4:$C$21)</f>
        <v>324</v>
      </c>
      <c r="O970" s="28">
        <f>O954*_xlfn.XLOOKUP($L970,'Balizador da Meta'!$B$4:$B$21,'Balizador da Meta'!$C$4:$C$21)</f>
        <v>360</v>
      </c>
      <c r="P970" s="28">
        <f>P954*_xlfn.XLOOKUP($L970,'Balizador da Meta'!$B$4:$B$21,'Balizador da Meta'!$C$4:$C$21)</f>
        <v>360</v>
      </c>
      <c r="Q970" s="28">
        <f>Q954*_xlfn.XLOOKUP($L970,'Balizador da Meta'!$B$4:$B$21,'Balizador da Meta'!$C$4:$C$21)</f>
        <v>360</v>
      </c>
      <c r="R970" s="28">
        <f>R954*_xlfn.XLOOKUP($L970,'Balizador da Meta'!$B$4:$B$21,'Balizador da Meta'!$C$4:$C$21)</f>
        <v>360</v>
      </c>
      <c r="S970" s="28">
        <f>S954*_xlfn.XLOOKUP($L970,'Balizador da Meta'!$B$4:$B$21,'Balizador da Meta'!$C$4:$C$21)</f>
        <v>360</v>
      </c>
      <c r="T970" s="28">
        <f>T954*_xlfn.XLOOKUP($L970,'Balizador da Meta'!$B$4:$B$21,'Balizador da Meta'!$C$4:$C$21)</f>
        <v>396</v>
      </c>
      <c r="U970" s="28">
        <f>U954*_xlfn.XLOOKUP($L970,'Balizador da Meta'!$B$4:$B$21,'Balizador da Meta'!$C$4:$C$21)</f>
        <v>396</v>
      </c>
      <c r="V970" s="28">
        <f>V954*_xlfn.XLOOKUP($L970,'Balizador da Meta'!$B$4:$B$21,'Balizador da Meta'!$C$4:$C$21)</f>
        <v>396</v>
      </c>
      <c r="W970" s="28">
        <f>W954*_xlfn.XLOOKUP($L970,'Balizador da Meta'!$B$4:$B$21,'Balizador da Meta'!$C$4:$C$21)</f>
        <v>396</v>
      </c>
      <c r="X970" s="28">
        <f>X954*_xlfn.XLOOKUP($L970,'Balizador da Meta'!$B$4:$B$21,'Balizador da Meta'!$C$4:$C$21)</f>
        <v>396</v>
      </c>
      <c r="Y970" s="28">
        <f>Y954*_xlfn.XLOOKUP($L970,'Balizador da Meta'!$B$4:$B$21,'Balizador da Meta'!$C$4:$C$21)</f>
        <v>432</v>
      </c>
      <c r="Z970" s="30">
        <f t="shared" si="231"/>
        <v>4536</v>
      </c>
      <c r="AA970" s="29"/>
      <c r="AB970" s="31">
        <f>SUMIFS('Historico - FAT'!AK:AK,'Historico - FAT'!$K:$K,Faturamento!$L970,'Historico - FAT'!$I:$I,Faturamento!$J970,'Historico - FAT'!$G:$G,Faturamento!$H970)</f>
        <v>58.069166666666668</v>
      </c>
      <c r="AC970" s="31">
        <f>SUMIFS('Historico - FAT'!AL:AL,'Historico - FAT'!$K:$K,Faturamento!$L970,'Historico - FAT'!$I:$I,Faturamento!$J970,'Historico - FAT'!$G:$G,Faturamento!$H970)</f>
        <v>16.599999999999998</v>
      </c>
      <c r="AD970" s="31">
        <f>SUMIFS('Historico - FAT'!AM:AM,'Historico - FAT'!$K:$K,Faturamento!$L970,'Historico - FAT'!$I:$I,Faturamento!$J970,'Historico - FAT'!$G:$G,Faturamento!$H970)</f>
        <v>33.199999999999996</v>
      </c>
      <c r="AE970" s="27">
        <f>SUMIFS('Historico - FAT'!AN:AN,'Historico - FAT'!$K:$K,Faturamento!$L970,'Historico - FAT'!$I:$I,Faturamento!$J970,'Historico - FAT'!$G:$G,Faturamento!$H970)</f>
        <v>19.919999999999998</v>
      </c>
      <c r="AG970" s="24">
        <f t="shared" si="226"/>
        <v>0.85767361111111118</v>
      </c>
      <c r="AH970" s="24">
        <f t="shared" si="227"/>
        <v>0.959313725490196</v>
      </c>
      <c r="AI970" s="24">
        <f t="shared" si="228"/>
        <v>0.91862745098039222</v>
      </c>
    </row>
    <row r="971" spans="1:35" hidden="1" x14ac:dyDescent="0.3">
      <c r="A971" s="2" t="str">
        <f t="shared" si="225"/>
        <v>NÃO</v>
      </c>
      <c r="B971" s="2">
        <v>1000184670</v>
      </c>
      <c r="C971" s="2" t="s">
        <v>147</v>
      </c>
      <c r="D971" s="4">
        <v>1000186197</v>
      </c>
      <c r="E971" s="4" t="s">
        <v>166</v>
      </c>
      <c r="F971" s="2">
        <v>1000185288</v>
      </c>
      <c r="G971" s="2" t="s">
        <v>64</v>
      </c>
      <c r="H971" s="4">
        <v>1000189795</v>
      </c>
      <c r="I971" s="4" t="s">
        <v>65</v>
      </c>
      <c r="J971" s="2">
        <v>1000189270</v>
      </c>
      <c r="K971" s="2" t="s">
        <v>34</v>
      </c>
      <c r="L971" s="4" t="s">
        <v>27</v>
      </c>
      <c r="M971" s="4" t="str">
        <f t="shared" si="232"/>
        <v>1000184670100018619710001897951000189270TAMARA</v>
      </c>
      <c r="N971" s="28">
        <f>N954*_xlfn.XLOOKUP($L971,'Balizador da Meta'!$B$4:$B$21,'Balizador da Meta'!$C$4:$C$21)</f>
        <v>432</v>
      </c>
      <c r="O971" s="28">
        <f>O954*_xlfn.XLOOKUP($L971,'Balizador da Meta'!$B$4:$B$21,'Balizador da Meta'!$C$4:$C$21)</f>
        <v>480</v>
      </c>
      <c r="P971" s="28">
        <f>P954*_xlfn.XLOOKUP($L971,'Balizador da Meta'!$B$4:$B$21,'Balizador da Meta'!$C$4:$C$21)</f>
        <v>480</v>
      </c>
      <c r="Q971" s="28">
        <f>Q954*_xlfn.XLOOKUP($L971,'Balizador da Meta'!$B$4:$B$21,'Balizador da Meta'!$C$4:$C$21)</f>
        <v>480</v>
      </c>
      <c r="R971" s="28">
        <f>R954*_xlfn.XLOOKUP($L971,'Balizador da Meta'!$B$4:$B$21,'Balizador da Meta'!$C$4:$C$21)</f>
        <v>480</v>
      </c>
      <c r="S971" s="28">
        <f>S954*_xlfn.XLOOKUP($L971,'Balizador da Meta'!$B$4:$B$21,'Balizador da Meta'!$C$4:$C$21)</f>
        <v>480</v>
      </c>
      <c r="T971" s="28">
        <f>T954*_xlfn.XLOOKUP($L971,'Balizador da Meta'!$B$4:$B$21,'Balizador da Meta'!$C$4:$C$21)</f>
        <v>528</v>
      </c>
      <c r="U971" s="28">
        <f>U954*_xlfn.XLOOKUP($L971,'Balizador da Meta'!$B$4:$B$21,'Balizador da Meta'!$C$4:$C$21)</f>
        <v>528</v>
      </c>
      <c r="V971" s="28">
        <f>V954*_xlfn.XLOOKUP($L971,'Balizador da Meta'!$B$4:$B$21,'Balizador da Meta'!$C$4:$C$21)</f>
        <v>528</v>
      </c>
      <c r="W971" s="28">
        <f>W954*_xlfn.XLOOKUP($L971,'Balizador da Meta'!$B$4:$B$21,'Balizador da Meta'!$C$4:$C$21)</f>
        <v>528</v>
      </c>
      <c r="X971" s="28">
        <f>X954*_xlfn.XLOOKUP($L971,'Balizador da Meta'!$B$4:$B$21,'Balizador da Meta'!$C$4:$C$21)</f>
        <v>528</v>
      </c>
      <c r="Y971" s="28">
        <f>Y954*_xlfn.XLOOKUP($L971,'Balizador da Meta'!$B$4:$B$21,'Balizador da Meta'!$C$4:$C$21)</f>
        <v>576</v>
      </c>
      <c r="Z971" s="30">
        <f t="shared" si="231"/>
        <v>6048</v>
      </c>
      <c r="AA971" s="29"/>
      <c r="AB971" s="31">
        <f>SUMIFS('Historico - FAT'!AK:AK,'Historico - FAT'!$K:$K,Faturamento!$L971,'Historico - FAT'!$I:$I,Faturamento!$J971,'Historico - FAT'!$G:$G,Faturamento!$H971)</f>
        <v>0</v>
      </c>
      <c r="AC971" s="31">
        <f>SUMIFS('Historico - FAT'!AL:AL,'Historico - FAT'!$K:$K,Faturamento!$L971,'Historico - FAT'!$I:$I,Faturamento!$J971,'Historico - FAT'!$G:$G,Faturamento!$H971)</f>
        <v>229.55583333333334</v>
      </c>
      <c r="AD971" s="31">
        <f>SUMIFS('Historico - FAT'!AM:AM,'Historico - FAT'!$K:$K,Faturamento!$L971,'Historico - FAT'!$I:$I,Faturamento!$J971,'Historico - FAT'!$G:$G,Faturamento!$H971)</f>
        <v>459.11166666666668</v>
      </c>
      <c r="AE971" s="27">
        <f>SUMIFS('Historico - FAT'!AN:AN,'Historico - FAT'!$K:$K,Faturamento!$L971,'Historico - FAT'!$I:$I,Faturamento!$J971,'Historico - FAT'!$G:$G,Faturamento!$H971)</f>
        <v>275.46699999999998</v>
      </c>
      <c r="AG971" s="24">
        <f t="shared" si="226"/>
        <v>1</v>
      </c>
      <c r="AH971" s="24">
        <f t="shared" si="227"/>
        <v>0.57802236519607841</v>
      </c>
      <c r="AI971" s="24">
        <f t="shared" si="228"/>
        <v>0.15604473039215683</v>
      </c>
    </row>
    <row r="972" spans="1:35" hidden="1" x14ac:dyDescent="0.3">
      <c r="A972" s="2" t="str">
        <f t="shared" si="225"/>
        <v>NÃO</v>
      </c>
      <c r="B972" s="2">
        <v>1000184670</v>
      </c>
      <c r="C972" s="2" t="s">
        <v>147</v>
      </c>
      <c r="D972" s="4">
        <v>1000186197</v>
      </c>
      <c r="E972" s="4" t="s">
        <v>166</v>
      </c>
      <c r="F972" s="2">
        <v>1000185288</v>
      </c>
      <c r="G972" s="2" t="s">
        <v>64</v>
      </c>
      <c r="H972" s="4">
        <v>1000189795</v>
      </c>
      <c r="I972" s="4" t="s">
        <v>65</v>
      </c>
      <c r="J972" s="2">
        <v>1000189270</v>
      </c>
      <c r="K972" s="2" t="s">
        <v>34</v>
      </c>
      <c r="L972" s="4" t="s">
        <v>25</v>
      </c>
      <c r="M972" s="4" t="str">
        <f t="shared" si="232"/>
        <v>1000184670100018619710001897951000189270VICCIO</v>
      </c>
      <c r="N972" s="28">
        <f>N954*_xlfn.XLOOKUP($L972,'Balizador da Meta'!$B$4:$B$21,'Balizador da Meta'!$C$4:$C$21)</f>
        <v>162</v>
      </c>
      <c r="O972" s="28">
        <f>O954*_xlfn.XLOOKUP($L972,'Balizador da Meta'!$B$4:$B$21,'Balizador da Meta'!$C$4:$C$21)</f>
        <v>180</v>
      </c>
      <c r="P972" s="28">
        <f>P954*_xlfn.XLOOKUP($L972,'Balizador da Meta'!$B$4:$B$21,'Balizador da Meta'!$C$4:$C$21)</f>
        <v>180</v>
      </c>
      <c r="Q972" s="28">
        <f>Q954*_xlfn.XLOOKUP($L972,'Balizador da Meta'!$B$4:$B$21,'Balizador da Meta'!$C$4:$C$21)</f>
        <v>180</v>
      </c>
      <c r="R972" s="28">
        <f>R954*_xlfn.XLOOKUP($L972,'Balizador da Meta'!$B$4:$B$21,'Balizador da Meta'!$C$4:$C$21)</f>
        <v>180</v>
      </c>
      <c r="S972" s="28">
        <f>S954*_xlfn.XLOOKUP($L972,'Balizador da Meta'!$B$4:$B$21,'Balizador da Meta'!$C$4:$C$21)</f>
        <v>180</v>
      </c>
      <c r="T972" s="28">
        <f>T954*_xlfn.XLOOKUP($L972,'Balizador da Meta'!$B$4:$B$21,'Balizador da Meta'!$C$4:$C$21)</f>
        <v>198</v>
      </c>
      <c r="U972" s="28">
        <f>U954*_xlfn.XLOOKUP($L972,'Balizador da Meta'!$B$4:$B$21,'Balizador da Meta'!$C$4:$C$21)</f>
        <v>198</v>
      </c>
      <c r="V972" s="28">
        <f>V954*_xlfn.XLOOKUP($L972,'Balizador da Meta'!$B$4:$B$21,'Balizador da Meta'!$C$4:$C$21)</f>
        <v>198</v>
      </c>
      <c r="W972" s="28">
        <f>W954*_xlfn.XLOOKUP($L972,'Balizador da Meta'!$B$4:$B$21,'Balizador da Meta'!$C$4:$C$21)</f>
        <v>198</v>
      </c>
      <c r="X972" s="28">
        <f>X954*_xlfn.XLOOKUP($L972,'Balizador da Meta'!$B$4:$B$21,'Balizador da Meta'!$C$4:$C$21)</f>
        <v>198</v>
      </c>
      <c r="Y972" s="28">
        <f>Y954*_xlfn.XLOOKUP($L972,'Balizador da Meta'!$B$4:$B$21,'Balizador da Meta'!$C$4:$C$21)</f>
        <v>216</v>
      </c>
      <c r="Z972" s="30">
        <f t="shared" si="231"/>
        <v>2268</v>
      </c>
      <c r="AA972" s="29"/>
      <c r="AB972" s="31">
        <f>SUMIFS('Historico - FAT'!AK:AK,'Historico - FAT'!$K:$K,Faturamento!$L972,'Historico - FAT'!$I:$I,Faturamento!$J972,'Historico - FAT'!$G:$G,Faturamento!$H972)</f>
        <v>0</v>
      </c>
      <c r="AC972" s="31">
        <f>SUMIFS('Historico - FAT'!AL:AL,'Historico - FAT'!$K:$K,Faturamento!$L972,'Historico - FAT'!$I:$I,Faturamento!$J972,'Historico - FAT'!$G:$G,Faturamento!$H972)</f>
        <v>238.92</v>
      </c>
      <c r="AD972" s="31">
        <f>SUMIFS('Historico - FAT'!AM:AM,'Historico - FAT'!$K:$K,Faturamento!$L972,'Historico - FAT'!$I:$I,Faturamento!$J972,'Historico - FAT'!$G:$G,Faturamento!$H972)</f>
        <v>477.84</v>
      </c>
      <c r="AE972" s="27">
        <f>SUMIFS('Historico - FAT'!AN:AN,'Historico - FAT'!$K:$K,Faturamento!$L972,'Historico - FAT'!$I:$I,Faturamento!$J972,'Historico - FAT'!$G:$G,Faturamento!$H972)</f>
        <v>286.70400000000001</v>
      </c>
      <c r="AG972" s="24">
        <f t="shared" si="226"/>
        <v>1</v>
      </c>
      <c r="AH972" s="24">
        <f t="shared" si="227"/>
        <v>-0.17117647058823524</v>
      </c>
      <c r="AI972" s="24">
        <f t="shared" si="228"/>
        <v>-1.3423529411764705</v>
      </c>
    </row>
    <row r="973" spans="1:35" x14ac:dyDescent="0.3">
      <c r="A973" s="2" t="str">
        <f t="shared" si="225"/>
        <v>SIM</v>
      </c>
      <c r="B973" s="2">
        <v>1000184670</v>
      </c>
      <c r="C973" s="2" t="s">
        <v>147</v>
      </c>
      <c r="D973" s="4">
        <v>1000186197</v>
      </c>
      <c r="E973" s="4" t="s">
        <v>166</v>
      </c>
      <c r="F973" s="2">
        <v>1000184760</v>
      </c>
      <c r="G973" s="2" t="s">
        <v>60</v>
      </c>
      <c r="H973" s="4">
        <v>1000189796</v>
      </c>
      <c r="I973" s="4" t="s">
        <v>61</v>
      </c>
      <c r="J973" s="2">
        <v>1000189270</v>
      </c>
      <c r="K973" s="2" t="s">
        <v>34</v>
      </c>
      <c r="L973" s="4" t="s">
        <v>124</v>
      </c>
      <c r="M973" s="4" t="str">
        <f t="shared" si="232"/>
        <v>100018467010001861971000189796100018927001. TOTAL</v>
      </c>
      <c r="N973" s="28">
        <f>SUMIFS(Positivação!L:L,Positivação!$I:$I,Faturamento!$J973,Positivação!$G:$G,Faturamento!$H973)*SUMIFS(Positivação!$Z:$Z,Positivação!$I:$I,Faturamento!$J973,Positivação!$G:$G,Faturamento!$H973)</f>
        <v>3600</v>
      </c>
      <c r="O973" s="28">
        <f>SUMIFS(Positivação!M:M,Positivação!$I:$I,Faturamento!$J973,Positivação!$G:$G,Faturamento!$H973)*SUMIFS(Positivação!$Z:$Z,Positivação!$I:$I,Faturamento!$J973,Positivação!$G:$G,Faturamento!$H973)</f>
        <v>3600</v>
      </c>
      <c r="P973" s="28">
        <f>SUMIFS(Positivação!N:N,Positivação!$I:$I,Faturamento!$J973,Positivação!$G:$G,Faturamento!$H973)*SUMIFS(Positivação!$Z:$Z,Positivação!$I:$I,Faturamento!$J973,Positivação!$G:$G,Faturamento!$H973)</f>
        <v>3600</v>
      </c>
      <c r="Q973" s="28">
        <f>SUMIFS(Positivação!O:O,Positivação!$I:$I,Faturamento!$J973,Positivação!$G:$G,Faturamento!$H973)*SUMIFS(Positivação!$Z:$Z,Positivação!$I:$I,Faturamento!$J973,Positivação!$G:$G,Faturamento!$H973)</f>
        <v>3600</v>
      </c>
      <c r="R973" s="28">
        <f>SUMIFS(Positivação!P:P,Positivação!$I:$I,Faturamento!$J973,Positivação!$G:$G,Faturamento!$H973)*SUMIFS(Positivação!$Z:$Z,Positivação!$I:$I,Faturamento!$J973,Positivação!$G:$G,Faturamento!$H973)</f>
        <v>3600</v>
      </c>
      <c r="S973" s="28">
        <f>SUMIFS(Positivação!Q:Q,Positivação!$I:$I,Faturamento!$J973,Positivação!$G:$G,Faturamento!$H973)*SUMIFS(Positivação!$Z:$Z,Positivação!$I:$I,Faturamento!$J973,Positivação!$G:$G,Faturamento!$H973)</f>
        <v>3600</v>
      </c>
      <c r="T973" s="28">
        <f>SUMIFS(Positivação!R:R,Positivação!$I:$I,Faturamento!$J973,Positivação!$G:$G,Faturamento!$H973)*SUMIFS(Positivação!$Z:$Z,Positivação!$I:$I,Faturamento!$J973,Positivação!$G:$G,Faturamento!$H973)</f>
        <v>3600</v>
      </c>
      <c r="U973" s="28">
        <f>SUMIFS(Positivação!S:S,Positivação!$I:$I,Faturamento!$J973,Positivação!$G:$G,Faturamento!$H973)*SUMIFS(Positivação!$Z:$Z,Positivação!$I:$I,Faturamento!$J973,Positivação!$G:$G,Faturamento!$H973)</f>
        <v>3600</v>
      </c>
      <c r="V973" s="28">
        <f>SUMIFS(Positivação!T:T,Positivação!$I:$I,Faturamento!$J973,Positivação!$G:$G,Faturamento!$H973)*SUMIFS(Positivação!$Z:$Z,Positivação!$I:$I,Faturamento!$J973,Positivação!$G:$G,Faturamento!$H973)</f>
        <v>3600</v>
      </c>
      <c r="W973" s="28">
        <f>SUMIFS(Positivação!U:U,Positivação!$I:$I,Faturamento!$J973,Positivação!$G:$G,Faturamento!$H973)*SUMIFS(Positivação!$Z:$Z,Positivação!$I:$I,Faturamento!$J973,Positivação!$G:$G,Faturamento!$H973)</f>
        <v>3600</v>
      </c>
      <c r="X973" s="28">
        <f>SUMIFS(Positivação!V:V,Positivação!$I:$I,Faturamento!$J973,Positivação!$G:$G,Faturamento!$H973)*SUMIFS(Positivação!$Z:$Z,Positivação!$I:$I,Faturamento!$J973,Positivação!$G:$G,Faturamento!$H973)</f>
        <v>3600</v>
      </c>
      <c r="Y973" s="28">
        <f>SUMIFS(Positivação!W:W,Positivação!$I:$I,Faturamento!$J973,Positivação!$G:$G,Faturamento!$H973)*SUMIFS(Positivação!$Z:$Z,Positivação!$I:$I,Faturamento!$J973,Positivação!$G:$G,Faturamento!$H973)</f>
        <v>3600</v>
      </c>
      <c r="Z973" s="28">
        <f t="shared" ref="Z973" si="233">SUM(Z974:Z991)</f>
        <v>43200</v>
      </c>
      <c r="AA973" s="29"/>
      <c r="AB973" s="28">
        <f t="shared" ref="AB973:AE973" si="234">SUM(AB974:AB991)</f>
        <v>133.35499999999999</v>
      </c>
      <c r="AC973" s="28">
        <f t="shared" si="234"/>
        <v>3507.7191666666663</v>
      </c>
      <c r="AD973" s="28">
        <f t="shared" si="234"/>
        <v>6540.3283333333347</v>
      </c>
      <c r="AE973" s="28">
        <f t="shared" si="234"/>
        <v>4209.2630000000008</v>
      </c>
      <c r="AG973" s="24">
        <f t="shared" si="226"/>
        <v>0.96295694444444446</v>
      </c>
      <c r="AH973" s="24">
        <f t="shared" si="227"/>
        <v>2.5633564814814918E-2</v>
      </c>
      <c r="AI973" s="24">
        <f t="shared" si="228"/>
        <v>-0.81675787037037073</v>
      </c>
    </row>
    <row r="974" spans="1:35" hidden="1" x14ac:dyDescent="0.3">
      <c r="A974" s="2" t="str">
        <f t="shared" si="225"/>
        <v>NÃO</v>
      </c>
      <c r="B974" s="2">
        <v>1000184670</v>
      </c>
      <c r="C974" s="2" t="s">
        <v>147</v>
      </c>
      <c r="D974" s="4">
        <v>1000186197</v>
      </c>
      <c r="E974" s="4" t="s">
        <v>166</v>
      </c>
      <c r="F974" s="2">
        <v>1000184760</v>
      </c>
      <c r="G974" s="2" t="s">
        <v>60</v>
      </c>
      <c r="H974" s="4">
        <v>1000189796</v>
      </c>
      <c r="I974" s="4" t="s">
        <v>61</v>
      </c>
      <c r="J974" s="2">
        <v>1000189270</v>
      </c>
      <c r="K974" s="2" t="s">
        <v>34</v>
      </c>
      <c r="L974" s="4" t="s">
        <v>13</v>
      </c>
      <c r="M974" s="4" t="str">
        <f t="shared" si="232"/>
        <v>1000184670100018619710001897961000189270BISCOITO</v>
      </c>
      <c r="N974" s="28">
        <f>N973*_xlfn.XLOOKUP($L974,'Balizador da Meta'!$B$4:$B$21,'Balizador da Meta'!$C$4:$C$21)</f>
        <v>252.00000000000003</v>
      </c>
      <c r="O974" s="28">
        <f>O973*_xlfn.XLOOKUP($L974,'Balizador da Meta'!$B$4:$B$21,'Balizador da Meta'!$C$4:$C$21)</f>
        <v>252.00000000000003</v>
      </c>
      <c r="P974" s="28">
        <f>P973*_xlfn.XLOOKUP($L974,'Balizador da Meta'!$B$4:$B$21,'Balizador da Meta'!$C$4:$C$21)</f>
        <v>252.00000000000003</v>
      </c>
      <c r="Q974" s="28">
        <f>Q973*_xlfn.XLOOKUP($L974,'Balizador da Meta'!$B$4:$B$21,'Balizador da Meta'!$C$4:$C$21)</f>
        <v>252.00000000000003</v>
      </c>
      <c r="R974" s="28">
        <f>R973*_xlfn.XLOOKUP($L974,'Balizador da Meta'!$B$4:$B$21,'Balizador da Meta'!$C$4:$C$21)</f>
        <v>252.00000000000003</v>
      </c>
      <c r="S974" s="28">
        <f>S973*_xlfn.XLOOKUP($L974,'Balizador da Meta'!$B$4:$B$21,'Balizador da Meta'!$C$4:$C$21)</f>
        <v>252.00000000000003</v>
      </c>
      <c r="T974" s="28">
        <f>T973*_xlfn.XLOOKUP($L974,'Balizador da Meta'!$B$4:$B$21,'Balizador da Meta'!$C$4:$C$21)</f>
        <v>252.00000000000003</v>
      </c>
      <c r="U974" s="28">
        <f>U973*_xlfn.XLOOKUP($L974,'Balizador da Meta'!$B$4:$B$21,'Balizador da Meta'!$C$4:$C$21)</f>
        <v>252.00000000000003</v>
      </c>
      <c r="V974" s="28">
        <f>V973*_xlfn.XLOOKUP($L974,'Balizador da Meta'!$B$4:$B$21,'Balizador da Meta'!$C$4:$C$21)</f>
        <v>252.00000000000003</v>
      </c>
      <c r="W974" s="28">
        <f>W973*_xlfn.XLOOKUP($L974,'Balizador da Meta'!$B$4:$B$21,'Balizador da Meta'!$C$4:$C$21)</f>
        <v>252.00000000000003</v>
      </c>
      <c r="X974" s="28">
        <f>X973*_xlfn.XLOOKUP($L974,'Balizador da Meta'!$B$4:$B$21,'Balizador da Meta'!$C$4:$C$21)</f>
        <v>252.00000000000003</v>
      </c>
      <c r="Y974" s="28">
        <f>Y973*_xlfn.XLOOKUP($L974,'Balizador da Meta'!$B$4:$B$21,'Balizador da Meta'!$C$4:$C$21)</f>
        <v>252.00000000000003</v>
      </c>
      <c r="Z974" s="30">
        <f t="shared" ref="Z974:Z991" si="235">SUM(N974:Y974)</f>
        <v>3024.0000000000005</v>
      </c>
      <c r="AA974" s="29"/>
      <c r="AB974" s="31">
        <f>SUMIFS('Historico - FAT'!AK:AK,'Historico - FAT'!$K:$K,Faturamento!$L974,'Historico - FAT'!$I:$I,Faturamento!$J974,'Historico - FAT'!$G:$G,Faturamento!$H974)</f>
        <v>0</v>
      </c>
      <c r="AC974" s="31">
        <f>SUMIFS('Historico - FAT'!AL:AL,'Historico - FAT'!$K:$K,Faturamento!$L974,'Historico - FAT'!$I:$I,Faturamento!$J974,'Historico - FAT'!$G:$G,Faturamento!$H974)</f>
        <v>614.16583333333335</v>
      </c>
      <c r="AD974" s="31">
        <f>SUMIFS('Historico - FAT'!AM:AM,'Historico - FAT'!$K:$K,Faturamento!$L974,'Historico - FAT'!$I:$I,Faturamento!$J974,'Historico - FAT'!$G:$G,Faturamento!$H974)</f>
        <v>1062.6633333333332</v>
      </c>
      <c r="AE974" s="27">
        <f>SUMIFS('Historico - FAT'!AN:AN,'Historico - FAT'!$K:$K,Faturamento!$L974,'Historico - FAT'!$I:$I,Faturamento!$J974,'Historico - FAT'!$G:$G,Faturamento!$H974)</f>
        <v>736.99900000000002</v>
      </c>
      <c r="AG974" s="24">
        <f t="shared" si="226"/>
        <v>1</v>
      </c>
      <c r="AH974" s="24">
        <f t="shared" si="227"/>
        <v>-1.4371660052910051</v>
      </c>
      <c r="AI974" s="24">
        <f t="shared" si="228"/>
        <v>-3.2169179894179885</v>
      </c>
    </row>
    <row r="975" spans="1:35" hidden="1" x14ac:dyDescent="0.3">
      <c r="A975" s="2" t="str">
        <f t="shared" si="225"/>
        <v>NÃO</v>
      </c>
      <c r="B975" s="2">
        <v>1000184670</v>
      </c>
      <c r="C975" s="2" t="s">
        <v>147</v>
      </c>
      <c r="D975" s="4">
        <v>1000186197</v>
      </c>
      <c r="E975" s="4" t="s">
        <v>166</v>
      </c>
      <c r="F975" s="2">
        <v>1000184760</v>
      </c>
      <c r="G975" s="2" t="s">
        <v>60</v>
      </c>
      <c r="H975" s="4">
        <v>1000189796</v>
      </c>
      <c r="I975" s="4" t="s">
        <v>61</v>
      </c>
      <c r="J975" s="2">
        <v>1000189270</v>
      </c>
      <c r="K975" s="2" t="s">
        <v>34</v>
      </c>
      <c r="L975" s="4" t="s">
        <v>14</v>
      </c>
      <c r="M975" s="4" t="str">
        <f t="shared" si="232"/>
        <v>1000184670100018619710001897961000189270CHOCOLATES</v>
      </c>
      <c r="N975" s="28">
        <f>N973*_xlfn.XLOOKUP($L975,'Balizador da Meta'!$B$4:$B$21,'Balizador da Meta'!$C$4:$C$21)</f>
        <v>252.00000000000003</v>
      </c>
      <c r="O975" s="28">
        <f>O973*_xlfn.XLOOKUP($L975,'Balizador da Meta'!$B$4:$B$21,'Balizador da Meta'!$C$4:$C$21)</f>
        <v>252.00000000000003</v>
      </c>
      <c r="P975" s="28">
        <f>P973*_xlfn.XLOOKUP($L975,'Balizador da Meta'!$B$4:$B$21,'Balizador da Meta'!$C$4:$C$21)</f>
        <v>252.00000000000003</v>
      </c>
      <c r="Q975" s="28">
        <f>Q973*_xlfn.XLOOKUP($L975,'Balizador da Meta'!$B$4:$B$21,'Balizador da Meta'!$C$4:$C$21)</f>
        <v>252.00000000000003</v>
      </c>
      <c r="R975" s="28">
        <f>R973*_xlfn.XLOOKUP($L975,'Balizador da Meta'!$B$4:$B$21,'Balizador da Meta'!$C$4:$C$21)</f>
        <v>252.00000000000003</v>
      </c>
      <c r="S975" s="28">
        <f>S973*_xlfn.XLOOKUP($L975,'Balizador da Meta'!$B$4:$B$21,'Balizador da Meta'!$C$4:$C$21)</f>
        <v>252.00000000000003</v>
      </c>
      <c r="T975" s="28">
        <f>T973*_xlfn.XLOOKUP($L975,'Balizador da Meta'!$B$4:$B$21,'Balizador da Meta'!$C$4:$C$21)</f>
        <v>252.00000000000003</v>
      </c>
      <c r="U975" s="28">
        <f>U973*_xlfn.XLOOKUP($L975,'Balizador da Meta'!$B$4:$B$21,'Balizador da Meta'!$C$4:$C$21)</f>
        <v>252.00000000000003</v>
      </c>
      <c r="V975" s="28">
        <f>V973*_xlfn.XLOOKUP($L975,'Balizador da Meta'!$B$4:$B$21,'Balizador da Meta'!$C$4:$C$21)</f>
        <v>252.00000000000003</v>
      </c>
      <c r="W975" s="28">
        <f>W973*_xlfn.XLOOKUP($L975,'Balizador da Meta'!$B$4:$B$21,'Balizador da Meta'!$C$4:$C$21)</f>
        <v>252.00000000000003</v>
      </c>
      <c r="X975" s="28">
        <f>X973*_xlfn.XLOOKUP($L975,'Balizador da Meta'!$B$4:$B$21,'Balizador da Meta'!$C$4:$C$21)</f>
        <v>252.00000000000003</v>
      </c>
      <c r="Y975" s="28">
        <f>Y973*_xlfn.XLOOKUP($L975,'Balizador da Meta'!$B$4:$B$21,'Balizador da Meta'!$C$4:$C$21)</f>
        <v>252.00000000000003</v>
      </c>
      <c r="Z975" s="30">
        <f t="shared" si="235"/>
        <v>3024.0000000000005</v>
      </c>
      <c r="AA975" s="29"/>
      <c r="AB975" s="31">
        <f>SUMIFS('Historico - FAT'!AK:AK,'Historico - FAT'!$K:$K,Faturamento!$L975,'Historico - FAT'!$I:$I,Faturamento!$J975,'Historico - FAT'!$G:$G,Faturamento!$H975)</f>
        <v>22</v>
      </c>
      <c r="AC975" s="31">
        <f>SUMIFS('Historico - FAT'!AL:AL,'Historico - FAT'!$K:$K,Faturamento!$L975,'Historico - FAT'!$I:$I,Faturamento!$J975,'Historico - FAT'!$G:$G,Faturamento!$H975)</f>
        <v>22.146666666666665</v>
      </c>
      <c r="AD975" s="31">
        <f>SUMIFS('Historico - FAT'!AM:AM,'Historico - FAT'!$K:$K,Faturamento!$L975,'Historico - FAT'!$I:$I,Faturamento!$J975,'Historico - FAT'!$G:$G,Faturamento!$H975)</f>
        <v>44.293333333333329</v>
      </c>
      <c r="AE975" s="27">
        <f>SUMIFS('Historico - FAT'!AN:AN,'Historico - FAT'!$K:$K,Faturamento!$L975,'Historico - FAT'!$I:$I,Faturamento!$J975,'Historico - FAT'!$G:$G,Faturamento!$H975)</f>
        <v>26.576000000000001</v>
      </c>
      <c r="AG975" s="24">
        <f t="shared" si="226"/>
        <v>0.91269841269841268</v>
      </c>
      <c r="AH975" s="24">
        <f t="shared" si="227"/>
        <v>0.9121164021164021</v>
      </c>
      <c r="AI975" s="24">
        <f t="shared" si="228"/>
        <v>0.82423280423280432</v>
      </c>
    </row>
    <row r="976" spans="1:35" hidden="1" x14ac:dyDescent="0.3">
      <c r="A976" s="2" t="str">
        <f t="shared" si="225"/>
        <v>NÃO</v>
      </c>
      <c r="B976" s="2">
        <v>1000184670</v>
      </c>
      <c r="C976" s="2" t="s">
        <v>147</v>
      </c>
      <c r="D976" s="4">
        <v>1000186197</v>
      </c>
      <c r="E976" s="4" t="s">
        <v>166</v>
      </c>
      <c r="F976" s="2">
        <v>1000184760</v>
      </c>
      <c r="G976" s="2" t="s">
        <v>60</v>
      </c>
      <c r="H976" s="4">
        <v>1000189796</v>
      </c>
      <c r="I976" s="4" t="s">
        <v>61</v>
      </c>
      <c r="J976" s="2">
        <v>1000189270</v>
      </c>
      <c r="K976" s="2" t="s">
        <v>34</v>
      </c>
      <c r="L976" s="4" t="s">
        <v>16</v>
      </c>
      <c r="M976" s="4" t="str">
        <f t="shared" si="232"/>
        <v>1000184670100018619710001897961000189270DISNEY</v>
      </c>
      <c r="N976" s="28">
        <f>N973*_xlfn.XLOOKUP($L976,'Balizador da Meta'!$B$4:$B$21,'Balizador da Meta'!$C$4:$C$21)</f>
        <v>288</v>
      </c>
      <c r="O976" s="28">
        <f>O973*_xlfn.XLOOKUP($L976,'Balizador da Meta'!$B$4:$B$21,'Balizador da Meta'!$C$4:$C$21)</f>
        <v>288</v>
      </c>
      <c r="P976" s="28">
        <f>P973*_xlfn.XLOOKUP($L976,'Balizador da Meta'!$B$4:$B$21,'Balizador da Meta'!$C$4:$C$21)</f>
        <v>288</v>
      </c>
      <c r="Q976" s="28">
        <f>Q973*_xlfn.XLOOKUP($L976,'Balizador da Meta'!$B$4:$B$21,'Balizador da Meta'!$C$4:$C$21)</f>
        <v>288</v>
      </c>
      <c r="R976" s="28">
        <f>R973*_xlfn.XLOOKUP($L976,'Balizador da Meta'!$B$4:$B$21,'Balizador da Meta'!$C$4:$C$21)</f>
        <v>288</v>
      </c>
      <c r="S976" s="28">
        <f>S973*_xlfn.XLOOKUP($L976,'Balizador da Meta'!$B$4:$B$21,'Balizador da Meta'!$C$4:$C$21)</f>
        <v>288</v>
      </c>
      <c r="T976" s="28">
        <f>T973*_xlfn.XLOOKUP($L976,'Balizador da Meta'!$B$4:$B$21,'Balizador da Meta'!$C$4:$C$21)</f>
        <v>288</v>
      </c>
      <c r="U976" s="28">
        <f>U973*_xlfn.XLOOKUP($L976,'Balizador da Meta'!$B$4:$B$21,'Balizador da Meta'!$C$4:$C$21)</f>
        <v>288</v>
      </c>
      <c r="V976" s="28">
        <f>V973*_xlfn.XLOOKUP($L976,'Balizador da Meta'!$B$4:$B$21,'Balizador da Meta'!$C$4:$C$21)</f>
        <v>288</v>
      </c>
      <c r="W976" s="28">
        <f>W973*_xlfn.XLOOKUP($L976,'Balizador da Meta'!$B$4:$B$21,'Balizador da Meta'!$C$4:$C$21)</f>
        <v>288</v>
      </c>
      <c r="X976" s="28">
        <f>X973*_xlfn.XLOOKUP($L976,'Balizador da Meta'!$B$4:$B$21,'Balizador da Meta'!$C$4:$C$21)</f>
        <v>288</v>
      </c>
      <c r="Y976" s="28">
        <f>Y973*_xlfn.XLOOKUP($L976,'Balizador da Meta'!$B$4:$B$21,'Balizador da Meta'!$C$4:$C$21)</f>
        <v>288</v>
      </c>
      <c r="Z976" s="30">
        <f t="shared" si="235"/>
        <v>3456</v>
      </c>
      <c r="AA976" s="29"/>
      <c r="AB976" s="31">
        <f>SUMIFS('Historico - FAT'!AK:AK,'Historico - FAT'!$K:$K,Faturamento!$L976,'Historico - FAT'!$I:$I,Faturamento!$J976,'Historico - FAT'!$G:$G,Faturamento!$H976)</f>
        <v>0</v>
      </c>
      <c r="AC976" s="31">
        <f>SUMIFS('Historico - FAT'!AL:AL,'Historico - FAT'!$K:$K,Faturamento!$L976,'Historico - FAT'!$I:$I,Faturamento!$J976,'Historico - FAT'!$G:$G,Faturamento!$H976)</f>
        <v>269.78749999999997</v>
      </c>
      <c r="AD976" s="31">
        <f>SUMIFS('Historico - FAT'!AM:AM,'Historico - FAT'!$K:$K,Faturamento!$L976,'Historico - FAT'!$I:$I,Faturamento!$J976,'Historico - FAT'!$G:$G,Faturamento!$H976)</f>
        <v>512.97833333333335</v>
      </c>
      <c r="AE976" s="27">
        <f>SUMIFS('Historico - FAT'!AN:AN,'Historico - FAT'!$K:$K,Faturamento!$L976,'Historico - FAT'!$I:$I,Faturamento!$J976,'Historico - FAT'!$G:$G,Faturamento!$H976)</f>
        <v>323.745</v>
      </c>
      <c r="AG976" s="24">
        <f t="shared" si="226"/>
        <v>1</v>
      </c>
      <c r="AH976" s="24">
        <f t="shared" si="227"/>
        <v>6.3237847222222338E-2</v>
      </c>
      <c r="AI976" s="24">
        <f t="shared" si="228"/>
        <v>-0.78117476851851864</v>
      </c>
    </row>
    <row r="977" spans="1:35" hidden="1" x14ac:dyDescent="0.3">
      <c r="A977" s="2" t="str">
        <f t="shared" si="225"/>
        <v>NÃO</v>
      </c>
      <c r="B977" s="2">
        <v>1000184670</v>
      </c>
      <c r="C977" s="2" t="s">
        <v>147</v>
      </c>
      <c r="D977" s="4">
        <v>1000186197</v>
      </c>
      <c r="E977" s="4" t="s">
        <v>166</v>
      </c>
      <c r="F977" s="2">
        <v>1000184760</v>
      </c>
      <c r="G977" s="2" t="s">
        <v>60</v>
      </c>
      <c r="H977" s="4">
        <v>1000189796</v>
      </c>
      <c r="I977" s="4" t="s">
        <v>61</v>
      </c>
      <c r="J977" s="2">
        <v>1000189270</v>
      </c>
      <c r="K977" s="2" t="s">
        <v>34</v>
      </c>
      <c r="L977" s="4" t="s">
        <v>15</v>
      </c>
      <c r="M977" s="4" t="str">
        <f t="shared" si="232"/>
        <v>1000184670100018619710001897961000189270DOCES</v>
      </c>
      <c r="N977" s="28">
        <f>N973*_xlfn.XLOOKUP($L977,'Balizador da Meta'!$B$4:$B$21,'Balizador da Meta'!$C$4:$C$21)</f>
        <v>324</v>
      </c>
      <c r="O977" s="28">
        <f>O973*_xlfn.XLOOKUP($L977,'Balizador da Meta'!$B$4:$B$21,'Balizador da Meta'!$C$4:$C$21)</f>
        <v>324</v>
      </c>
      <c r="P977" s="28">
        <f>P973*_xlfn.XLOOKUP($L977,'Balizador da Meta'!$B$4:$B$21,'Balizador da Meta'!$C$4:$C$21)</f>
        <v>324</v>
      </c>
      <c r="Q977" s="28">
        <f>Q973*_xlfn.XLOOKUP($L977,'Balizador da Meta'!$B$4:$B$21,'Balizador da Meta'!$C$4:$C$21)</f>
        <v>324</v>
      </c>
      <c r="R977" s="28">
        <f>R973*_xlfn.XLOOKUP($L977,'Balizador da Meta'!$B$4:$B$21,'Balizador da Meta'!$C$4:$C$21)</f>
        <v>324</v>
      </c>
      <c r="S977" s="28">
        <f>S973*_xlfn.XLOOKUP($L977,'Balizador da Meta'!$B$4:$B$21,'Balizador da Meta'!$C$4:$C$21)</f>
        <v>324</v>
      </c>
      <c r="T977" s="28">
        <f>T973*_xlfn.XLOOKUP($L977,'Balizador da Meta'!$B$4:$B$21,'Balizador da Meta'!$C$4:$C$21)</f>
        <v>324</v>
      </c>
      <c r="U977" s="28">
        <f>U973*_xlfn.XLOOKUP($L977,'Balizador da Meta'!$B$4:$B$21,'Balizador da Meta'!$C$4:$C$21)</f>
        <v>324</v>
      </c>
      <c r="V977" s="28">
        <f>V973*_xlfn.XLOOKUP($L977,'Balizador da Meta'!$B$4:$B$21,'Balizador da Meta'!$C$4:$C$21)</f>
        <v>324</v>
      </c>
      <c r="W977" s="28">
        <f>W973*_xlfn.XLOOKUP($L977,'Balizador da Meta'!$B$4:$B$21,'Balizador da Meta'!$C$4:$C$21)</f>
        <v>324</v>
      </c>
      <c r="X977" s="28">
        <f>X973*_xlfn.XLOOKUP($L977,'Balizador da Meta'!$B$4:$B$21,'Balizador da Meta'!$C$4:$C$21)</f>
        <v>324</v>
      </c>
      <c r="Y977" s="28">
        <f>Y973*_xlfn.XLOOKUP($L977,'Balizador da Meta'!$B$4:$B$21,'Balizador da Meta'!$C$4:$C$21)</f>
        <v>324</v>
      </c>
      <c r="Z977" s="30">
        <f t="shared" si="235"/>
        <v>3888</v>
      </c>
      <c r="AA977" s="29"/>
      <c r="AB977" s="31">
        <f>SUMIFS('Historico - FAT'!AK:AK,'Historico - FAT'!$K:$K,Faturamento!$L977,'Historico - FAT'!$I:$I,Faturamento!$J977,'Historico - FAT'!$G:$G,Faturamento!$H977)</f>
        <v>23.849999999999998</v>
      </c>
      <c r="AC977" s="31">
        <f>SUMIFS('Historico - FAT'!AL:AL,'Historico - FAT'!$K:$K,Faturamento!$L977,'Historico - FAT'!$I:$I,Faturamento!$J977,'Historico - FAT'!$G:$G,Faturamento!$H977)</f>
        <v>553.83333333333337</v>
      </c>
      <c r="AD977" s="31">
        <f>SUMIFS('Historico - FAT'!AM:AM,'Historico - FAT'!$K:$K,Faturamento!$L977,'Historico - FAT'!$I:$I,Faturamento!$J977,'Historico - FAT'!$G:$G,Faturamento!$H977)</f>
        <v>1080.8916666666667</v>
      </c>
      <c r="AE977" s="27">
        <f>SUMIFS('Historico - FAT'!AN:AN,'Historico - FAT'!$K:$K,Faturamento!$L977,'Historico - FAT'!$I:$I,Faturamento!$J977,'Historico - FAT'!$G:$G,Faturamento!$H977)</f>
        <v>664.6</v>
      </c>
      <c r="AG977" s="24">
        <f t="shared" si="226"/>
        <v>0.92638888888888882</v>
      </c>
      <c r="AH977" s="24">
        <f t="shared" si="227"/>
        <v>-0.70936213991769559</v>
      </c>
      <c r="AI977" s="24">
        <f t="shared" si="228"/>
        <v>-2.336085390946502</v>
      </c>
    </row>
    <row r="978" spans="1:35" hidden="1" x14ac:dyDescent="0.3">
      <c r="A978" s="2" t="str">
        <f t="shared" si="225"/>
        <v>NÃO</v>
      </c>
      <c r="B978" s="2">
        <v>1000184670</v>
      </c>
      <c r="C978" s="2" t="s">
        <v>147</v>
      </c>
      <c r="D978" s="4">
        <v>1000186197</v>
      </c>
      <c r="E978" s="4" t="s">
        <v>166</v>
      </c>
      <c r="F978" s="2">
        <v>1000184760</v>
      </c>
      <c r="G978" s="2" t="s">
        <v>60</v>
      </c>
      <c r="H978" s="4">
        <v>1000189796</v>
      </c>
      <c r="I978" s="4" t="s">
        <v>61</v>
      </c>
      <c r="J978" s="2">
        <v>1000189270</v>
      </c>
      <c r="K978" s="2" t="s">
        <v>34</v>
      </c>
      <c r="L978" s="4" t="s">
        <v>33</v>
      </c>
      <c r="M978" s="4" t="str">
        <f t="shared" si="232"/>
        <v>1000184670100018619710001897961000189270FOOD SERVICE</v>
      </c>
      <c r="N978" s="28">
        <f>N973*_xlfn.XLOOKUP($L978,'Balizador da Meta'!$B$4:$B$21,'Balizador da Meta'!$C$4:$C$21)</f>
        <v>0</v>
      </c>
      <c r="O978" s="28">
        <f>O973*_xlfn.XLOOKUP($L978,'Balizador da Meta'!$B$4:$B$21,'Balizador da Meta'!$C$4:$C$21)</f>
        <v>0</v>
      </c>
      <c r="P978" s="28">
        <f>P973*_xlfn.XLOOKUP($L978,'Balizador da Meta'!$B$4:$B$21,'Balizador da Meta'!$C$4:$C$21)</f>
        <v>0</v>
      </c>
      <c r="Q978" s="28">
        <f>Q973*_xlfn.XLOOKUP($L978,'Balizador da Meta'!$B$4:$B$21,'Balizador da Meta'!$C$4:$C$21)</f>
        <v>0</v>
      </c>
      <c r="R978" s="28">
        <f>R973*_xlfn.XLOOKUP($L978,'Balizador da Meta'!$B$4:$B$21,'Balizador da Meta'!$C$4:$C$21)</f>
        <v>0</v>
      </c>
      <c r="S978" s="28">
        <f>S973*_xlfn.XLOOKUP($L978,'Balizador da Meta'!$B$4:$B$21,'Balizador da Meta'!$C$4:$C$21)</f>
        <v>0</v>
      </c>
      <c r="T978" s="28">
        <f>T973*_xlfn.XLOOKUP($L978,'Balizador da Meta'!$B$4:$B$21,'Balizador da Meta'!$C$4:$C$21)</f>
        <v>0</v>
      </c>
      <c r="U978" s="28">
        <f>U973*_xlfn.XLOOKUP($L978,'Balizador da Meta'!$B$4:$B$21,'Balizador da Meta'!$C$4:$C$21)</f>
        <v>0</v>
      </c>
      <c r="V978" s="28">
        <f>V973*_xlfn.XLOOKUP($L978,'Balizador da Meta'!$B$4:$B$21,'Balizador da Meta'!$C$4:$C$21)</f>
        <v>0</v>
      </c>
      <c r="W978" s="28">
        <f>W973*_xlfn.XLOOKUP($L978,'Balizador da Meta'!$B$4:$B$21,'Balizador da Meta'!$C$4:$C$21)</f>
        <v>0</v>
      </c>
      <c r="X978" s="28">
        <f>X973*_xlfn.XLOOKUP($L978,'Balizador da Meta'!$B$4:$B$21,'Balizador da Meta'!$C$4:$C$21)</f>
        <v>0</v>
      </c>
      <c r="Y978" s="28">
        <f>Y973*_xlfn.XLOOKUP($L978,'Balizador da Meta'!$B$4:$B$21,'Balizador da Meta'!$C$4:$C$21)</f>
        <v>0</v>
      </c>
      <c r="Z978" s="30">
        <f t="shared" si="235"/>
        <v>0</v>
      </c>
      <c r="AA978" s="29"/>
      <c r="AB978" s="31">
        <f>SUMIFS('Historico - FAT'!AK:AK,'Historico - FAT'!$K:$K,Faturamento!$L978,'Historico - FAT'!$I:$I,Faturamento!$J978,'Historico - FAT'!$G:$G,Faturamento!$H978)</f>
        <v>0</v>
      </c>
      <c r="AC978" s="31">
        <f>SUMIFS('Historico - FAT'!AL:AL,'Historico - FAT'!$K:$K,Faturamento!$L978,'Historico - FAT'!$I:$I,Faturamento!$J978,'Historico - FAT'!$G:$G,Faturamento!$H978)</f>
        <v>0</v>
      </c>
      <c r="AD978" s="31">
        <f>SUMIFS('Historico - FAT'!AM:AM,'Historico - FAT'!$K:$K,Faturamento!$L978,'Historico - FAT'!$I:$I,Faturamento!$J978,'Historico - FAT'!$G:$G,Faturamento!$H978)</f>
        <v>0</v>
      </c>
      <c r="AE978" s="27">
        <f>SUMIFS('Historico - FAT'!AN:AN,'Historico - FAT'!$K:$K,Faturamento!$L978,'Historico - FAT'!$I:$I,Faturamento!$J978,'Historico - FAT'!$G:$G,Faturamento!$H978)</f>
        <v>0</v>
      </c>
      <c r="AG978" s="24" t="str">
        <f t="shared" si="226"/>
        <v/>
      </c>
      <c r="AH978" s="24" t="str">
        <f t="shared" si="227"/>
        <v/>
      </c>
      <c r="AI978" s="24" t="str">
        <f t="shared" si="228"/>
        <v/>
      </c>
    </row>
    <row r="979" spans="1:35" hidden="1" x14ac:dyDescent="0.3">
      <c r="A979" s="2" t="str">
        <f t="shared" si="225"/>
        <v>NÃO</v>
      </c>
      <c r="B979" s="2">
        <v>1000184670</v>
      </c>
      <c r="C979" s="2" t="s">
        <v>147</v>
      </c>
      <c r="D979" s="4">
        <v>1000186197</v>
      </c>
      <c r="E979" s="4" t="s">
        <v>166</v>
      </c>
      <c r="F979" s="2">
        <v>1000184760</v>
      </c>
      <c r="G979" s="2" t="s">
        <v>60</v>
      </c>
      <c r="H979" s="4">
        <v>1000189796</v>
      </c>
      <c r="I979" s="4" t="s">
        <v>61</v>
      </c>
      <c r="J979" s="2">
        <v>1000189270</v>
      </c>
      <c r="K979" s="2" t="s">
        <v>34</v>
      </c>
      <c r="L979" s="4" t="s">
        <v>19</v>
      </c>
      <c r="M979" s="4" t="str">
        <f t="shared" si="232"/>
        <v>1000184670100018619710001897961000189270GELEIA</v>
      </c>
      <c r="N979" s="28">
        <f>N973*_xlfn.XLOOKUP($L979,'Balizador da Meta'!$B$4:$B$21,'Balizador da Meta'!$C$4:$C$21)</f>
        <v>71.999999999999986</v>
      </c>
      <c r="O979" s="28">
        <f>O973*_xlfn.XLOOKUP($L979,'Balizador da Meta'!$B$4:$B$21,'Balizador da Meta'!$C$4:$C$21)</f>
        <v>71.999999999999986</v>
      </c>
      <c r="P979" s="28">
        <f>P973*_xlfn.XLOOKUP($L979,'Balizador da Meta'!$B$4:$B$21,'Balizador da Meta'!$C$4:$C$21)</f>
        <v>71.999999999999986</v>
      </c>
      <c r="Q979" s="28">
        <f>Q973*_xlfn.XLOOKUP($L979,'Balizador da Meta'!$B$4:$B$21,'Balizador da Meta'!$C$4:$C$21)</f>
        <v>71.999999999999986</v>
      </c>
      <c r="R979" s="28">
        <f>R973*_xlfn.XLOOKUP($L979,'Balizador da Meta'!$B$4:$B$21,'Balizador da Meta'!$C$4:$C$21)</f>
        <v>71.999999999999986</v>
      </c>
      <c r="S979" s="28">
        <f>S973*_xlfn.XLOOKUP($L979,'Balizador da Meta'!$B$4:$B$21,'Balizador da Meta'!$C$4:$C$21)</f>
        <v>71.999999999999986</v>
      </c>
      <c r="T979" s="28">
        <f>T973*_xlfn.XLOOKUP($L979,'Balizador da Meta'!$B$4:$B$21,'Balizador da Meta'!$C$4:$C$21)</f>
        <v>71.999999999999986</v>
      </c>
      <c r="U979" s="28">
        <f>U973*_xlfn.XLOOKUP($L979,'Balizador da Meta'!$B$4:$B$21,'Balizador da Meta'!$C$4:$C$21)</f>
        <v>71.999999999999986</v>
      </c>
      <c r="V979" s="28">
        <f>V973*_xlfn.XLOOKUP($L979,'Balizador da Meta'!$B$4:$B$21,'Balizador da Meta'!$C$4:$C$21)</f>
        <v>71.999999999999986</v>
      </c>
      <c r="W979" s="28">
        <f>W973*_xlfn.XLOOKUP($L979,'Balizador da Meta'!$B$4:$B$21,'Balizador da Meta'!$C$4:$C$21)</f>
        <v>71.999999999999986</v>
      </c>
      <c r="X979" s="28">
        <f>X973*_xlfn.XLOOKUP($L979,'Balizador da Meta'!$B$4:$B$21,'Balizador da Meta'!$C$4:$C$21)</f>
        <v>71.999999999999986</v>
      </c>
      <c r="Y979" s="28">
        <f>Y973*_xlfn.XLOOKUP($L979,'Balizador da Meta'!$B$4:$B$21,'Balizador da Meta'!$C$4:$C$21)</f>
        <v>71.999999999999986</v>
      </c>
      <c r="Z979" s="30">
        <f t="shared" si="235"/>
        <v>863.99999999999989</v>
      </c>
      <c r="AA979" s="29"/>
      <c r="AB979" s="31">
        <f>SUMIFS('Historico - FAT'!AK:AK,'Historico - FAT'!$K:$K,Faturamento!$L979,'Historico - FAT'!$I:$I,Faturamento!$J979,'Historico - FAT'!$G:$G,Faturamento!$H979)</f>
        <v>8.5050000000000008</v>
      </c>
      <c r="AC979" s="31">
        <f>SUMIFS('Historico - FAT'!AL:AL,'Historico - FAT'!$K:$K,Faturamento!$L979,'Historico - FAT'!$I:$I,Faturamento!$J979,'Historico - FAT'!$G:$G,Faturamento!$H979)</f>
        <v>16.489999999999998</v>
      </c>
      <c r="AD979" s="31">
        <f>SUMIFS('Historico - FAT'!AM:AM,'Historico - FAT'!$K:$K,Faturamento!$L979,'Historico - FAT'!$I:$I,Faturamento!$J979,'Historico - FAT'!$G:$G,Faturamento!$H979)</f>
        <v>32.979999999999997</v>
      </c>
      <c r="AE979" s="27">
        <f>SUMIFS('Historico - FAT'!AN:AN,'Historico - FAT'!$K:$K,Faturamento!$L979,'Historico - FAT'!$I:$I,Faturamento!$J979,'Historico - FAT'!$G:$G,Faturamento!$H979)</f>
        <v>19.788</v>
      </c>
      <c r="AG979" s="24">
        <f t="shared" si="226"/>
        <v>0.88187499999999996</v>
      </c>
      <c r="AH979" s="24">
        <f t="shared" si="227"/>
        <v>0.77097222222222228</v>
      </c>
      <c r="AI979" s="24">
        <f t="shared" si="228"/>
        <v>0.54194444444444445</v>
      </c>
    </row>
    <row r="980" spans="1:35" hidden="1" x14ac:dyDescent="0.3">
      <c r="A980" s="2" t="str">
        <f t="shared" si="225"/>
        <v>NÃO</v>
      </c>
      <c r="B980" s="2">
        <v>1000184670</v>
      </c>
      <c r="C980" s="2" t="s">
        <v>147</v>
      </c>
      <c r="D980" s="4">
        <v>1000186197</v>
      </c>
      <c r="E980" s="4" t="s">
        <v>166</v>
      </c>
      <c r="F980" s="2">
        <v>1000184760</v>
      </c>
      <c r="G980" s="2" t="s">
        <v>60</v>
      </c>
      <c r="H980" s="4">
        <v>1000189796</v>
      </c>
      <c r="I980" s="4" t="s">
        <v>61</v>
      </c>
      <c r="J980" s="2">
        <v>1000189270</v>
      </c>
      <c r="K980" s="2" t="s">
        <v>34</v>
      </c>
      <c r="L980" s="4" t="s">
        <v>17</v>
      </c>
      <c r="M980" s="4" t="str">
        <f t="shared" si="232"/>
        <v>1000184670100018619710001897961000189270GRANOLA</v>
      </c>
      <c r="N980" s="28">
        <f>N973*_xlfn.XLOOKUP($L980,'Balizador da Meta'!$B$4:$B$21,'Balizador da Meta'!$C$4:$C$21)</f>
        <v>72</v>
      </c>
      <c r="O980" s="28">
        <f>O973*_xlfn.XLOOKUP($L980,'Balizador da Meta'!$B$4:$B$21,'Balizador da Meta'!$C$4:$C$21)</f>
        <v>72</v>
      </c>
      <c r="P980" s="28">
        <f>P973*_xlfn.XLOOKUP($L980,'Balizador da Meta'!$B$4:$B$21,'Balizador da Meta'!$C$4:$C$21)</f>
        <v>72</v>
      </c>
      <c r="Q980" s="28">
        <f>Q973*_xlfn.XLOOKUP($L980,'Balizador da Meta'!$B$4:$B$21,'Balizador da Meta'!$C$4:$C$21)</f>
        <v>72</v>
      </c>
      <c r="R980" s="28">
        <f>R973*_xlfn.XLOOKUP($L980,'Balizador da Meta'!$B$4:$B$21,'Balizador da Meta'!$C$4:$C$21)</f>
        <v>72</v>
      </c>
      <c r="S980" s="28">
        <f>S973*_xlfn.XLOOKUP($L980,'Balizador da Meta'!$B$4:$B$21,'Balizador da Meta'!$C$4:$C$21)</f>
        <v>72</v>
      </c>
      <c r="T980" s="28">
        <f>T973*_xlfn.XLOOKUP($L980,'Balizador da Meta'!$B$4:$B$21,'Balizador da Meta'!$C$4:$C$21)</f>
        <v>72</v>
      </c>
      <c r="U980" s="28">
        <f>U973*_xlfn.XLOOKUP($L980,'Balizador da Meta'!$B$4:$B$21,'Balizador da Meta'!$C$4:$C$21)</f>
        <v>72</v>
      </c>
      <c r="V980" s="28">
        <f>V973*_xlfn.XLOOKUP($L980,'Balizador da Meta'!$B$4:$B$21,'Balizador da Meta'!$C$4:$C$21)</f>
        <v>72</v>
      </c>
      <c r="W980" s="28">
        <f>W973*_xlfn.XLOOKUP($L980,'Balizador da Meta'!$B$4:$B$21,'Balizador da Meta'!$C$4:$C$21)</f>
        <v>72</v>
      </c>
      <c r="X980" s="28">
        <f>X973*_xlfn.XLOOKUP($L980,'Balizador da Meta'!$B$4:$B$21,'Balizador da Meta'!$C$4:$C$21)</f>
        <v>72</v>
      </c>
      <c r="Y980" s="28">
        <f>Y973*_xlfn.XLOOKUP($L980,'Balizador da Meta'!$B$4:$B$21,'Balizador da Meta'!$C$4:$C$21)</f>
        <v>72</v>
      </c>
      <c r="Z980" s="30">
        <f t="shared" si="235"/>
        <v>864</v>
      </c>
      <c r="AA980" s="29"/>
      <c r="AB980" s="31">
        <f>SUMIFS('Historico - FAT'!AK:AK,'Historico - FAT'!$K:$K,Faturamento!$L980,'Historico - FAT'!$I:$I,Faturamento!$J980,'Historico - FAT'!$G:$G,Faturamento!$H980)</f>
        <v>20</v>
      </c>
      <c r="AC980" s="31">
        <f>SUMIFS('Historico - FAT'!AL:AL,'Historico - FAT'!$K:$K,Faturamento!$L980,'Historico - FAT'!$I:$I,Faturamento!$J980,'Historico - FAT'!$G:$G,Faturamento!$H980)</f>
        <v>9.0666666666666664</v>
      </c>
      <c r="AD980" s="31">
        <f>SUMIFS('Historico - FAT'!AM:AM,'Historico - FAT'!$K:$K,Faturamento!$L980,'Historico - FAT'!$I:$I,Faturamento!$J980,'Historico - FAT'!$G:$G,Faturamento!$H980)</f>
        <v>18.133333333333333</v>
      </c>
      <c r="AE980" s="27">
        <f>SUMIFS('Historico - FAT'!AN:AN,'Historico - FAT'!$K:$K,Faturamento!$L980,'Historico - FAT'!$I:$I,Faturamento!$J980,'Historico - FAT'!$G:$G,Faturamento!$H980)</f>
        <v>10.879999999999999</v>
      </c>
      <c r="AG980" s="24">
        <f t="shared" si="226"/>
        <v>0.72222222222222221</v>
      </c>
      <c r="AH980" s="24">
        <f t="shared" si="227"/>
        <v>0.87407407407407411</v>
      </c>
      <c r="AI980" s="24">
        <f t="shared" si="228"/>
        <v>0.74814814814814812</v>
      </c>
    </row>
    <row r="981" spans="1:35" hidden="1" x14ac:dyDescent="0.3">
      <c r="A981" s="2" t="str">
        <f t="shared" si="225"/>
        <v>NÃO</v>
      </c>
      <c r="B981" s="2">
        <v>1000184670</v>
      </c>
      <c r="C981" s="2" t="s">
        <v>147</v>
      </c>
      <c r="D981" s="4">
        <v>1000186197</v>
      </c>
      <c r="E981" s="4" t="s">
        <v>166</v>
      </c>
      <c r="F981" s="2">
        <v>1000184760</v>
      </c>
      <c r="G981" s="2" t="s">
        <v>60</v>
      </c>
      <c r="H981" s="4">
        <v>1000189796</v>
      </c>
      <c r="I981" s="4" t="s">
        <v>61</v>
      </c>
      <c r="J981" s="2">
        <v>1000189270</v>
      </c>
      <c r="K981" s="2" t="s">
        <v>34</v>
      </c>
      <c r="L981" s="4" t="s">
        <v>24</v>
      </c>
      <c r="M981" s="4" t="str">
        <f t="shared" si="232"/>
        <v>1000184670100018619710001897961000189270KIDS</v>
      </c>
      <c r="N981" s="28">
        <f>N973*_xlfn.XLOOKUP($L981,'Balizador da Meta'!$B$4:$B$21,'Balizador da Meta'!$C$4:$C$21)</f>
        <v>0</v>
      </c>
      <c r="O981" s="28">
        <f>O973*_xlfn.XLOOKUP($L981,'Balizador da Meta'!$B$4:$B$21,'Balizador da Meta'!$C$4:$C$21)</f>
        <v>0</v>
      </c>
      <c r="P981" s="28">
        <f>P973*_xlfn.XLOOKUP($L981,'Balizador da Meta'!$B$4:$B$21,'Balizador da Meta'!$C$4:$C$21)</f>
        <v>0</v>
      </c>
      <c r="Q981" s="28">
        <f>Q973*_xlfn.XLOOKUP($L981,'Balizador da Meta'!$B$4:$B$21,'Balizador da Meta'!$C$4:$C$21)</f>
        <v>0</v>
      </c>
      <c r="R981" s="28">
        <f>R973*_xlfn.XLOOKUP($L981,'Balizador da Meta'!$B$4:$B$21,'Balizador da Meta'!$C$4:$C$21)</f>
        <v>0</v>
      </c>
      <c r="S981" s="28">
        <f>S973*_xlfn.XLOOKUP($L981,'Balizador da Meta'!$B$4:$B$21,'Balizador da Meta'!$C$4:$C$21)</f>
        <v>0</v>
      </c>
      <c r="T981" s="28">
        <f>T973*_xlfn.XLOOKUP($L981,'Balizador da Meta'!$B$4:$B$21,'Balizador da Meta'!$C$4:$C$21)</f>
        <v>0</v>
      </c>
      <c r="U981" s="28">
        <f>U973*_xlfn.XLOOKUP($L981,'Balizador da Meta'!$B$4:$B$21,'Balizador da Meta'!$C$4:$C$21)</f>
        <v>0</v>
      </c>
      <c r="V981" s="28">
        <f>V973*_xlfn.XLOOKUP($L981,'Balizador da Meta'!$B$4:$B$21,'Balizador da Meta'!$C$4:$C$21)</f>
        <v>0</v>
      </c>
      <c r="W981" s="28">
        <f>W973*_xlfn.XLOOKUP($L981,'Balizador da Meta'!$B$4:$B$21,'Balizador da Meta'!$C$4:$C$21)</f>
        <v>0</v>
      </c>
      <c r="X981" s="28">
        <f>X973*_xlfn.XLOOKUP($L981,'Balizador da Meta'!$B$4:$B$21,'Balizador da Meta'!$C$4:$C$21)</f>
        <v>0</v>
      </c>
      <c r="Y981" s="28">
        <f>Y973*_xlfn.XLOOKUP($L981,'Balizador da Meta'!$B$4:$B$21,'Balizador da Meta'!$C$4:$C$21)</f>
        <v>0</v>
      </c>
      <c r="Z981" s="30">
        <f t="shared" si="235"/>
        <v>0</v>
      </c>
      <c r="AA981" s="29"/>
      <c r="AB981" s="31">
        <f>SUMIFS('Historico - FAT'!AK:AK,'Historico - FAT'!$K:$K,Faturamento!$L981,'Historico - FAT'!$I:$I,Faturamento!$J981,'Historico - FAT'!$G:$G,Faturamento!$H981)</f>
        <v>0</v>
      </c>
      <c r="AC981" s="31">
        <f>SUMIFS('Historico - FAT'!AL:AL,'Historico - FAT'!$K:$K,Faturamento!$L981,'Historico - FAT'!$I:$I,Faturamento!$J981,'Historico - FAT'!$G:$G,Faturamento!$H981)</f>
        <v>44.630833333333335</v>
      </c>
      <c r="AD981" s="31">
        <f>SUMIFS('Historico - FAT'!AM:AM,'Historico - FAT'!$K:$K,Faturamento!$L981,'Historico - FAT'!$I:$I,Faturamento!$J981,'Historico - FAT'!$G:$G,Faturamento!$H981)</f>
        <v>64.385000000000005</v>
      </c>
      <c r="AE981" s="27">
        <f>SUMIFS('Historico - FAT'!AN:AN,'Historico - FAT'!$K:$K,Faturamento!$L981,'Historico - FAT'!$I:$I,Faturamento!$J981,'Historico - FAT'!$G:$G,Faturamento!$H981)</f>
        <v>53.557000000000002</v>
      </c>
      <c r="AG981" s="24" t="str">
        <f t="shared" si="226"/>
        <v/>
      </c>
      <c r="AH981" s="24" t="str">
        <f t="shared" si="227"/>
        <v/>
      </c>
      <c r="AI981" s="24" t="str">
        <f t="shared" si="228"/>
        <v/>
      </c>
    </row>
    <row r="982" spans="1:35" hidden="1" x14ac:dyDescent="0.3">
      <c r="A982" s="2" t="str">
        <f t="shared" si="225"/>
        <v>NÃO</v>
      </c>
      <c r="B982" s="2">
        <v>1000184670</v>
      </c>
      <c r="C982" s="2" t="s">
        <v>147</v>
      </c>
      <c r="D982" s="4">
        <v>1000186197</v>
      </c>
      <c r="E982" s="4" t="s">
        <v>166</v>
      </c>
      <c r="F982" s="2">
        <v>1000184760</v>
      </c>
      <c r="G982" s="2" t="s">
        <v>60</v>
      </c>
      <c r="H982" s="4">
        <v>1000189796</v>
      </c>
      <c r="I982" s="4" t="s">
        <v>61</v>
      </c>
      <c r="J982" s="2">
        <v>1000189270</v>
      </c>
      <c r="K982" s="2" t="s">
        <v>34</v>
      </c>
      <c r="L982" s="4" t="s">
        <v>18</v>
      </c>
      <c r="M982" s="4" t="str">
        <f t="shared" si="232"/>
        <v>1000184670100018619710001897961000189270LANCHES</v>
      </c>
      <c r="N982" s="28">
        <f>N973*_xlfn.XLOOKUP($L982,'Balizador da Meta'!$B$4:$B$21,'Balizador da Meta'!$C$4:$C$21)</f>
        <v>36</v>
      </c>
      <c r="O982" s="28">
        <f>O973*_xlfn.XLOOKUP($L982,'Balizador da Meta'!$B$4:$B$21,'Balizador da Meta'!$C$4:$C$21)</f>
        <v>36</v>
      </c>
      <c r="P982" s="28">
        <f>P973*_xlfn.XLOOKUP($L982,'Balizador da Meta'!$B$4:$B$21,'Balizador da Meta'!$C$4:$C$21)</f>
        <v>36</v>
      </c>
      <c r="Q982" s="28">
        <f>Q973*_xlfn.XLOOKUP($L982,'Balizador da Meta'!$B$4:$B$21,'Balizador da Meta'!$C$4:$C$21)</f>
        <v>36</v>
      </c>
      <c r="R982" s="28">
        <f>R973*_xlfn.XLOOKUP($L982,'Balizador da Meta'!$B$4:$B$21,'Balizador da Meta'!$C$4:$C$21)</f>
        <v>36</v>
      </c>
      <c r="S982" s="28">
        <f>S973*_xlfn.XLOOKUP($L982,'Balizador da Meta'!$B$4:$B$21,'Balizador da Meta'!$C$4:$C$21)</f>
        <v>36</v>
      </c>
      <c r="T982" s="28">
        <f>T973*_xlfn.XLOOKUP($L982,'Balizador da Meta'!$B$4:$B$21,'Balizador da Meta'!$C$4:$C$21)</f>
        <v>36</v>
      </c>
      <c r="U982" s="28">
        <f>U973*_xlfn.XLOOKUP($L982,'Balizador da Meta'!$B$4:$B$21,'Balizador da Meta'!$C$4:$C$21)</f>
        <v>36</v>
      </c>
      <c r="V982" s="28">
        <f>V973*_xlfn.XLOOKUP($L982,'Balizador da Meta'!$B$4:$B$21,'Balizador da Meta'!$C$4:$C$21)</f>
        <v>36</v>
      </c>
      <c r="W982" s="28">
        <f>W973*_xlfn.XLOOKUP($L982,'Balizador da Meta'!$B$4:$B$21,'Balizador da Meta'!$C$4:$C$21)</f>
        <v>36</v>
      </c>
      <c r="X982" s="28">
        <f>X973*_xlfn.XLOOKUP($L982,'Balizador da Meta'!$B$4:$B$21,'Balizador da Meta'!$C$4:$C$21)</f>
        <v>36</v>
      </c>
      <c r="Y982" s="28">
        <f>Y973*_xlfn.XLOOKUP($L982,'Balizador da Meta'!$B$4:$B$21,'Balizador da Meta'!$C$4:$C$21)</f>
        <v>36</v>
      </c>
      <c r="Z982" s="30">
        <f t="shared" si="235"/>
        <v>432</v>
      </c>
      <c r="AA982" s="29"/>
      <c r="AB982" s="31">
        <f>SUMIFS('Historico - FAT'!AK:AK,'Historico - FAT'!$K:$K,Faturamento!$L982,'Historico - FAT'!$I:$I,Faturamento!$J982,'Historico - FAT'!$G:$G,Faturamento!$H982)</f>
        <v>0</v>
      </c>
      <c r="AC982" s="31">
        <f>SUMIFS('Historico - FAT'!AL:AL,'Historico - FAT'!$K:$K,Faturamento!$L982,'Historico - FAT'!$I:$I,Faturamento!$J982,'Historico - FAT'!$G:$G,Faturamento!$H982)</f>
        <v>79.528333333333336</v>
      </c>
      <c r="AD982" s="31">
        <f>SUMIFS('Historico - FAT'!AM:AM,'Historico - FAT'!$K:$K,Faturamento!$L982,'Historico - FAT'!$I:$I,Faturamento!$J982,'Historico - FAT'!$G:$G,Faturamento!$H982)</f>
        <v>137.68833333333333</v>
      </c>
      <c r="AE982" s="27">
        <f>SUMIFS('Historico - FAT'!AN:AN,'Historico - FAT'!$K:$K,Faturamento!$L982,'Historico - FAT'!$I:$I,Faturamento!$J982,'Historico - FAT'!$G:$G,Faturamento!$H982)</f>
        <v>95.433999999999997</v>
      </c>
      <c r="AG982" s="24">
        <f t="shared" si="226"/>
        <v>1</v>
      </c>
      <c r="AH982" s="24">
        <f t="shared" si="227"/>
        <v>-1.2091203703703703</v>
      </c>
      <c r="AI982" s="24">
        <f t="shared" si="228"/>
        <v>-2.8246759259259258</v>
      </c>
    </row>
    <row r="983" spans="1:35" hidden="1" x14ac:dyDescent="0.3">
      <c r="A983" s="2" t="str">
        <f t="shared" si="225"/>
        <v>NÃO</v>
      </c>
      <c r="B983" s="2">
        <v>1000184670</v>
      </c>
      <c r="C983" s="2" t="s">
        <v>147</v>
      </c>
      <c r="D983" s="4">
        <v>1000186197</v>
      </c>
      <c r="E983" s="4" t="s">
        <v>166</v>
      </c>
      <c r="F983" s="2">
        <v>1000184760</v>
      </c>
      <c r="G983" s="2" t="s">
        <v>60</v>
      </c>
      <c r="H983" s="4">
        <v>1000189796</v>
      </c>
      <c r="I983" s="4" t="s">
        <v>61</v>
      </c>
      <c r="J983" s="2">
        <v>1000189270</v>
      </c>
      <c r="K983" s="2" t="s">
        <v>34</v>
      </c>
      <c r="L983" s="4" t="s">
        <v>29</v>
      </c>
      <c r="M983" s="4" t="str">
        <f t="shared" si="232"/>
        <v>1000184670100018619710001897961000189270MAIS GRANEL</v>
      </c>
      <c r="N983" s="28">
        <f>N973*_xlfn.XLOOKUP($L983,'Balizador da Meta'!$B$4:$B$21,'Balizador da Meta'!$C$4:$C$21)</f>
        <v>1152</v>
      </c>
      <c r="O983" s="28">
        <f>O973*_xlfn.XLOOKUP($L983,'Balizador da Meta'!$B$4:$B$21,'Balizador da Meta'!$C$4:$C$21)</f>
        <v>1152</v>
      </c>
      <c r="P983" s="28">
        <f>P973*_xlfn.XLOOKUP($L983,'Balizador da Meta'!$B$4:$B$21,'Balizador da Meta'!$C$4:$C$21)</f>
        <v>1152</v>
      </c>
      <c r="Q983" s="28">
        <f>Q973*_xlfn.XLOOKUP($L983,'Balizador da Meta'!$B$4:$B$21,'Balizador da Meta'!$C$4:$C$21)</f>
        <v>1152</v>
      </c>
      <c r="R983" s="28">
        <f>R973*_xlfn.XLOOKUP($L983,'Balizador da Meta'!$B$4:$B$21,'Balizador da Meta'!$C$4:$C$21)</f>
        <v>1152</v>
      </c>
      <c r="S983" s="28">
        <f>S973*_xlfn.XLOOKUP($L983,'Balizador da Meta'!$B$4:$B$21,'Balizador da Meta'!$C$4:$C$21)</f>
        <v>1152</v>
      </c>
      <c r="T983" s="28">
        <f>T973*_xlfn.XLOOKUP($L983,'Balizador da Meta'!$B$4:$B$21,'Balizador da Meta'!$C$4:$C$21)</f>
        <v>1152</v>
      </c>
      <c r="U983" s="28">
        <f>U973*_xlfn.XLOOKUP($L983,'Balizador da Meta'!$B$4:$B$21,'Balizador da Meta'!$C$4:$C$21)</f>
        <v>1152</v>
      </c>
      <c r="V983" s="28">
        <f>V973*_xlfn.XLOOKUP($L983,'Balizador da Meta'!$B$4:$B$21,'Balizador da Meta'!$C$4:$C$21)</f>
        <v>1152</v>
      </c>
      <c r="W983" s="28">
        <f>W973*_xlfn.XLOOKUP($L983,'Balizador da Meta'!$B$4:$B$21,'Balizador da Meta'!$C$4:$C$21)</f>
        <v>1152</v>
      </c>
      <c r="X983" s="28">
        <f>X973*_xlfn.XLOOKUP($L983,'Balizador da Meta'!$B$4:$B$21,'Balizador da Meta'!$C$4:$C$21)</f>
        <v>1152</v>
      </c>
      <c r="Y983" s="28">
        <f>Y973*_xlfn.XLOOKUP($L983,'Balizador da Meta'!$B$4:$B$21,'Balizador da Meta'!$C$4:$C$21)</f>
        <v>1152</v>
      </c>
      <c r="Z983" s="30">
        <f t="shared" si="235"/>
        <v>13824</v>
      </c>
      <c r="AA983" s="29"/>
      <c r="AB983" s="31">
        <f>SUMIFS('Historico - FAT'!AK:AK,'Historico - FAT'!$K:$K,Faturamento!$L983,'Historico - FAT'!$I:$I,Faturamento!$J983,'Historico - FAT'!$G:$G,Faturamento!$H983)</f>
        <v>0</v>
      </c>
      <c r="AC983" s="31">
        <f>SUMIFS('Historico - FAT'!AL:AL,'Historico - FAT'!$K:$K,Faturamento!$L983,'Historico - FAT'!$I:$I,Faturamento!$J983,'Historico - FAT'!$G:$G,Faturamento!$H983)</f>
        <v>955.63333333333321</v>
      </c>
      <c r="AD983" s="31">
        <f>SUMIFS('Historico - FAT'!AM:AM,'Historico - FAT'!$K:$K,Faturamento!$L983,'Historico - FAT'!$I:$I,Faturamento!$J983,'Historico - FAT'!$G:$G,Faturamento!$H983)</f>
        <v>1911.2666666666664</v>
      </c>
      <c r="AE983" s="27">
        <f>SUMIFS('Historico - FAT'!AN:AN,'Historico - FAT'!$K:$K,Faturamento!$L983,'Historico - FAT'!$I:$I,Faturamento!$J983,'Historico - FAT'!$G:$G,Faturamento!$H983)</f>
        <v>1146.7599999999998</v>
      </c>
      <c r="AG983" s="24">
        <f t="shared" si="226"/>
        <v>1</v>
      </c>
      <c r="AH983" s="24">
        <f t="shared" si="227"/>
        <v>0.17045717592592602</v>
      </c>
      <c r="AI983" s="24">
        <f t="shared" si="228"/>
        <v>-0.65908564814814796</v>
      </c>
    </row>
    <row r="984" spans="1:35" hidden="1" x14ac:dyDescent="0.3">
      <c r="A984" s="2" t="str">
        <f t="shared" si="225"/>
        <v>NÃO</v>
      </c>
      <c r="B984" s="2">
        <v>1000184670</v>
      </c>
      <c r="C984" s="2" t="s">
        <v>147</v>
      </c>
      <c r="D984" s="4">
        <v>1000186197</v>
      </c>
      <c r="E984" s="4" t="s">
        <v>166</v>
      </c>
      <c r="F984" s="2">
        <v>1000184760</v>
      </c>
      <c r="G984" s="2" t="s">
        <v>60</v>
      </c>
      <c r="H984" s="4">
        <v>1000189796</v>
      </c>
      <c r="I984" s="4" t="s">
        <v>61</v>
      </c>
      <c r="J984" s="2">
        <v>1000189270</v>
      </c>
      <c r="K984" s="2" t="s">
        <v>34</v>
      </c>
      <c r="L984" s="4" t="s">
        <v>21</v>
      </c>
      <c r="M984" s="4" t="str">
        <f t="shared" si="232"/>
        <v>1000184670100018619710001897961000189270NATURATTA</v>
      </c>
      <c r="N984" s="28">
        <f>N973*_xlfn.XLOOKUP($L984,'Balizador da Meta'!$B$4:$B$21,'Balizador da Meta'!$C$4:$C$21)</f>
        <v>180</v>
      </c>
      <c r="O984" s="28">
        <f>O973*_xlfn.XLOOKUP($L984,'Balizador da Meta'!$B$4:$B$21,'Balizador da Meta'!$C$4:$C$21)</f>
        <v>180</v>
      </c>
      <c r="P984" s="28">
        <f>P973*_xlfn.XLOOKUP($L984,'Balizador da Meta'!$B$4:$B$21,'Balizador da Meta'!$C$4:$C$21)</f>
        <v>180</v>
      </c>
      <c r="Q984" s="28">
        <f>Q973*_xlfn.XLOOKUP($L984,'Balizador da Meta'!$B$4:$B$21,'Balizador da Meta'!$C$4:$C$21)</f>
        <v>180</v>
      </c>
      <c r="R984" s="28">
        <f>R973*_xlfn.XLOOKUP($L984,'Balizador da Meta'!$B$4:$B$21,'Balizador da Meta'!$C$4:$C$21)</f>
        <v>180</v>
      </c>
      <c r="S984" s="28">
        <f>S973*_xlfn.XLOOKUP($L984,'Balizador da Meta'!$B$4:$B$21,'Balizador da Meta'!$C$4:$C$21)</f>
        <v>180</v>
      </c>
      <c r="T984" s="28">
        <f>T973*_xlfn.XLOOKUP($L984,'Balizador da Meta'!$B$4:$B$21,'Balizador da Meta'!$C$4:$C$21)</f>
        <v>180</v>
      </c>
      <c r="U984" s="28">
        <f>U973*_xlfn.XLOOKUP($L984,'Balizador da Meta'!$B$4:$B$21,'Balizador da Meta'!$C$4:$C$21)</f>
        <v>180</v>
      </c>
      <c r="V984" s="28">
        <f>V973*_xlfn.XLOOKUP($L984,'Balizador da Meta'!$B$4:$B$21,'Balizador da Meta'!$C$4:$C$21)</f>
        <v>180</v>
      </c>
      <c r="W984" s="28">
        <f>W973*_xlfn.XLOOKUP($L984,'Balizador da Meta'!$B$4:$B$21,'Balizador da Meta'!$C$4:$C$21)</f>
        <v>180</v>
      </c>
      <c r="X984" s="28">
        <f>X973*_xlfn.XLOOKUP($L984,'Balizador da Meta'!$B$4:$B$21,'Balizador da Meta'!$C$4:$C$21)</f>
        <v>180</v>
      </c>
      <c r="Y984" s="28">
        <f>Y973*_xlfn.XLOOKUP($L984,'Balizador da Meta'!$B$4:$B$21,'Balizador da Meta'!$C$4:$C$21)</f>
        <v>180</v>
      </c>
      <c r="Z984" s="30">
        <f t="shared" si="235"/>
        <v>2160</v>
      </c>
      <c r="AA984" s="29"/>
      <c r="AB984" s="31">
        <f>SUMIFS('Historico - FAT'!AK:AK,'Historico - FAT'!$K:$K,Faturamento!$L984,'Historico - FAT'!$I:$I,Faturamento!$J984,'Historico - FAT'!$G:$G,Faturamento!$H984)</f>
        <v>18.5</v>
      </c>
      <c r="AC984" s="31">
        <f>SUMIFS('Historico - FAT'!AL:AL,'Historico - FAT'!$K:$K,Faturamento!$L984,'Historico - FAT'!$I:$I,Faturamento!$J984,'Historico - FAT'!$G:$G,Faturamento!$H984)</f>
        <v>57.9375</v>
      </c>
      <c r="AD984" s="31">
        <f>SUMIFS('Historico - FAT'!AM:AM,'Historico - FAT'!$K:$K,Faturamento!$L984,'Historico - FAT'!$I:$I,Faturamento!$J984,'Historico - FAT'!$G:$G,Faturamento!$H984)</f>
        <v>115.875</v>
      </c>
      <c r="AE984" s="27">
        <f>SUMIFS('Historico - FAT'!AN:AN,'Historico - FAT'!$K:$K,Faturamento!$L984,'Historico - FAT'!$I:$I,Faturamento!$J984,'Historico - FAT'!$G:$G,Faturamento!$H984)</f>
        <v>69.525000000000006</v>
      </c>
      <c r="AG984" s="24">
        <f t="shared" si="226"/>
        <v>0.89722222222222225</v>
      </c>
      <c r="AH984" s="24">
        <f t="shared" si="227"/>
        <v>0.67812499999999998</v>
      </c>
      <c r="AI984" s="24">
        <f t="shared" si="228"/>
        <v>0.35625000000000001</v>
      </c>
    </row>
    <row r="985" spans="1:35" hidden="1" x14ac:dyDescent="0.3">
      <c r="A985" s="2" t="str">
        <f t="shared" si="225"/>
        <v>NÃO</v>
      </c>
      <c r="B985" s="2">
        <v>1000184670</v>
      </c>
      <c r="C985" s="2" t="s">
        <v>147</v>
      </c>
      <c r="D985" s="4">
        <v>1000186197</v>
      </c>
      <c r="E985" s="4" t="s">
        <v>166</v>
      </c>
      <c r="F985" s="2">
        <v>1000184760</v>
      </c>
      <c r="G985" s="2" t="s">
        <v>60</v>
      </c>
      <c r="H985" s="4">
        <v>1000189796</v>
      </c>
      <c r="I985" s="4" t="s">
        <v>61</v>
      </c>
      <c r="J985" s="2">
        <v>1000189270</v>
      </c>
      <c r="K985" s="2" t="s">
        <v>34</v>
      </c>
      <c r="L985" s="4" t="s">
        <v>20</v>
      </c>
      <c r="M985" s="4" t="str">
        <f t="shared" si="232"/>
        <v>1000184670100018619710001897961000189270REEMBALADOS</v>
      </c>
      <c r="N985" s="28">
        <f>N973*_xlfn.XLOOKUP($L985,'Balizador da Meta'!$B$4:$B$21,'Balizador da Meta'!$C$4:$C$21)</f>
        <v>144</v>
      </c>
      <c r="O985" s="28">
        <f>O973*_xlfn.XLOOKUP($L985,'Balizador da Meta'!$B$4:$B$21,'Balizador da Meta'!$C$4:$C$21)</f>
        <v>144</v>
      </c>
      <c r="P985" s="28">
        <f>P973*_xlfn.XLOOKUP($L985,'Balizador da Meta'!$B$4:$B$21,'Balizador da Meta'!$C$4:$C$21)</f>
        <v>144</v>
      </c>
      <c r="Q985" s="28">
        <f>Q973*_xlfn.XLOOKUP($L985,'Balizador da Meta'!$B$4:$B$21,'Balizador da Meta'!$C$4:$C$21)</f>
        <v>144</v>
      </c>
      <c r="R985" s="28">
        <f>R973*_xlfn.XLOOKUP($L985,'Balizador da Meta'!$B$4:$B$21,'Balizador da Meta'!$C$4:$C$21)</f>
        <v>144</v>
      </c>
      <c r="S985" s="28">
        <f>S973*_xlfn.XLOOKUP($L985,'Balizador da Meta'!$B$4:$B$21,'Balizador da Meta'!$C$4:$C$21)</f>
        <v>144</v>
      </c>
      <c r="T985" s="28">
        <f>T973*_xlfn.XLOOKUP($L985,'Balizador da Meta'!$B$4:$B$21,'Balizador da Meta'!$C$4:$C$21)</f>
        <v>144</v>
      </c>
      <c r="U985" s="28">
        <f>U973*_xlfn.XLOOKUP($L985,'Balizador da Meta'!$B$4:$B$21,'Balizador da Meta'!$C$4:$C$21)</f>
        <v>144</v>
      </c>
      <c r="V985" s="28">
        <f>V973*_xlfn.XLOOKUP($L985,'Balizador da Meta'!$B$4:$B$21,'Balizador da Meta'!$C$4:$C$21)</f>
        <v>144</v>
      </c>
      <c r="W985" s="28">
        <f>W973*_xlfn.XLOOKUP($L985,'Balizador da Meta'!$B$4:$B$21,'Balizador da Meta'!$C$4:$C$21)</f>
        <v>144</v>
      </c>
      <c r="X985" s="28">
        <f>X973*_xlfn.XLOOKUP($L985,'Balizador da Meta'!$B$4:$B$21,'Balizador da Meta'!$C$4:$C$21)</f>
        <v>144</v>
      </c>
      <c r="Y985" s="28">
        <f>Y973*_xlfn.XLOOKUP($L985,'Balizador da Meta'!$B$4:$B$21,'Balizador da Meta'!$C$4:$C$21)</f>
        <v>144</v>
      </c>
      <c r="Z985" s="30">
        <f t="shared" si="235"/>
        <v>1728</v>
      </c>
      <c r="AA985" s="29"/>
      <c r="AB985" s="31">
        <f>SUMIFS('Historico - FAT'!AK:AK,'Historico - FAT'!$K:$K,Faturamento!$L985,'Historico - FAT'!$I:$I,Faturamento!$J985,'Historico - FAT'!$G:$G,Faturamento!$H985)</f>
        <v>0</v>
      </c>
      <c r="AC985" s="31">
        <f>SUMIFS('Historico - FAT'!AL:AL,'Historico - FAT'!$K:$K,Faturamento!$L985,'Historico - FAT'!$I:$I,Faturamento!$J985,'Historico - FAT'!$G:$G,Faturamento!$H985)</f>
        <v>181.12333333333333</v>
      </c>
      <c r="AD985" s="31">
        <f>SUMIFS('Historico - FAT'!AM:AM,'Historico - FAT'!$K:$K,Faturamento!$L985,'Historico - FAT'!$I:$I,Faturamento!$J985,'Historico - FAT'!$G:$G,Faturamento!$H985)</f>
        <v>349.685</v>
      </c>
      <c r="AE985" s="27">
        <f>SUMIFS('Historico - FAT'!AN:AN,'Historico - FAT'!$K:$K,Faturamento!$L985,'Historico - FAT'!$I:$I,Faturamento!$J985,'Historico - FAT'!$G:$G,Faturamento!$H985)</f>
        <v>217.34800000000001</v>
      </c>
      <c r="AG985" s="24">
        <f t="shared" si="226"/>
        <v>1</v>
      </c>
      <c r="AH985" s="24">
        <f t="shared" si="227"/>
        <v>-0.25780092592592596</v>
      </c>
      <c r="AI985" s="24">
        <f t="shared" si="228"/>
        <v>-1.4283680555555556</v>
      </c>
    </row>
    <row r="986" spans="1:35" hidden="1" x14ac:dyDescent="0.3">
      <c r="A986" s="2" t="str">
        <f t="shared" si="225"/>
        <v>NÃO</v>
      </c>
      <c r="B986" s="2">
        <v>1000184670</v>
      </c>
      <c r="C986" s="2" t="s">
        <v>147</v>
      </c>
      <c r="D986" s="4">
        <v>1000186197</v>
      </c>
      <c r="E986" s="4" t="s">
        <v>166</v>
      </c>
      <c r="F986" s="2">
        <v>1000184760</v>
      </c>
      <c r="G986" s="2" t="s">
        <v>60</v>
      </c>
      <c r="H986" s="4">
        <v>1000189796</v>
      </c>
      <c r="I986" s="4" t="s">
        <v>61</v>
      </c>
      <c r="J986" s="2">
        <v>1000189270</v>
      </c>
      <c r="K986" s="2" t="s">
        <v>34</v>
      </c>
      <c r="L986" s="4" t="s">
        <v>22</v>
      </c>
      <c r="M986" s="4" t="str">
        <f t="shared" si="232"/>
        <v>1000184670100018619710001897961000189270S GLUTEN</v>
      </c>
      <c r="N986" s="28">
        <f>N973*_xlfn.XLOOKUP($L986,'Balizador da Meta'!$B$4:$B$21,'Balizador da Meta'!$C$4:$C$21)</f>
        <v>144</v>
      </c>
      <c r="O986" s="28">
        <f>O973*_xlfn.XLOOKUP($L986,'Balizador da Meta'!$B$4:$B$21,'Balizador da Meta'!$C$4:$C$21)</f>
        <v>144</v>
      </c>
      <c r="P986" s="28">
        <f>P973*_xlfn.XLOOKUP($L986,'Balizador da Meta'!$B$4:$B$21,'Balizador da Meta'!$C$4:$C$21)</f>
        <v>144</v>
      </c>
      <c r="Q986" s="28">
        <f>Q973*_xlfn.XLOOKUP($L986,'Balizador da Meta'!$B$4:$B$21,'Balizador da Meta'!$C$4:$C$21)</f>
        <v>144</v>
      </c>
      <c r="R986" s="28">
        <f>R973*_xlfn.XLOOKUP($L986,'Balizador da Meta'!$B$4:$B$21,'Balizador da Meta'!$C$4:$C$21)</f>
        <v>144</v>
      </c>
      <c r="S986" s="28">
        <f>S973*_xlfn.XLOOKUP($L986,'Balizador da Meta'!$B$4:$B$21,'Balizador da Meta'!$C$4:$C$21)</f>
        <v>144</v>
      </c>
      <c r="T986" s="28">
        <f>T973*_xlfn.XLOOKUP($L986,'Balizador da Meta'!$B$4:$B$21,'Balizador da Meta'!$C$4:$C$21)</f>
        <v>144</v>
      </c>
      <c r="U986" s="28">
        <f>U973*_xlfn.XLOOKUP($L986,'Balizador da Meta'!$B$4:$B$21,'Balizador da Meta'!$C$4:$C$21)</f>
        <v>144</v>
      </c>
      <c r="V986" s="28">
        <f>V973*_xlfn.XLOOKUP($L986,'Balizador da Meta'!$B$4:$B$21,'Balizador da Meta'!$C$4:$C$21)</f>
        <v>144</v>
      </c>
      <c r="W986" s="28">
        <f>W973*_xlfn.XLOOKUP($L986,'Balizador da Meta'!$B$4:$B$21,'Balizador da Meta'!$C$4:$C$21)</f>
        <v>144</v>
      </c>
      <c r="X986" s="28">
        <f>X973*_xlfn.XLOOKUP($L986,'Balizador da Meta'!$B$4:$B$21,'Balizador da Meta'!$C$4:$C$21)</f>
        <v>144</v>
      </c>
      <c r="Y986" s="28">
        <f>Y973*_xlfn.XLOOKUP($L986,'Balizador da Meta'!$B$4:$B$21,'Balizador da Meta'!$C$4:$C$21)</f>
        <v>144</v>
      </c>
      <c r="Z986" s="30">
        <f t="shared" si="235"/>
        <v>1728</v>
      </c>
      <c r="AA986" s="29"/>
      <c r="AB986" s="31">
        <f>SUMIFS('Historico - FAT'!AK:AK,'Historico - FAT'!$K:$K,Faturamento!$L986,'Historico - FAT'!$I:$I,Faturamento!$J986,'Historico - FAT'!$G:$G,Faturamento!$H986)</f>
        <v>13.5</v>
      </c>
      <c r="AC986" s="31">
        <f>SUMIFS('Historico - FAT'!AL:AL,'Historico - FAT'!$K:$K,Faturamento!$L986,'Historico - FAT'!$I:$I,Faturamento!$J986,'Historico - FAT'!$G:$G,Faturamento!$H986)</f>
        <v>103.76916666666666</v>
      </c>
      <c r="AD986" s="31">
        <f>SUMIFS('Historico - FAT'!AM:AM,'Historico - FAT'!$K:$K,Faturamento!$L986,'Historico - FAT'!$I:$I,Faturamento!$J986,'Historico - FAT'!$G:$G,Faturamento!$H986)</f>
        <v>153.17166666666665</v>
      </c>
      <c r="AE986" s="27">
        <f>SUMIFS('Historico - FAT'!AN:AN,'Historico - FAT'!$K:$K,Faturamento!$L986,'Historico - FAT'!$I:$I,Faturamento!$J986,'Historico - FAT'!$G:$G,Faturamento!$H986)</f>
        <v>124.523</v>
      </c>
      <c r="AG986" s="24">
        <f t="shared" si="226"/>
        <v>0.90625</v>
      </c>
      <c r="AH986" s="24">
        <f t="shared" si="227"/>
        <v>0.27938078703703706</v>
      </c>
      <c r="AI986" s="24">
        <f t="shared" si="228"/>
        <v>-6.3692129629629529E-2</v>
      </c>
    </row>
    <row r="987" spans="1:35" hidden="1" x14ac:dyDescent="0.3">
      <c r="A987" s="2" t="str">
        <f t="shared" si="225"/>
        <v>NÃO</v>
      </c>
      <c r="B987" s="2">
        <v>1000184670</v>
      </c>
      <c r="C987" s="2" t="s">
        <v>147</v>
      </c>
      <c r="D987" s="4">
        <v>1000186197</v>
      </c>
      <c r="E987" s="4" t="s">
        <v>166</v>
      </c>
      <c r="F987" s="2">
        <v>1000184760</v>
      </c>
      <c r="G987" s="2" t="s">
        <v>60</v>
      </c>
      <c r="H987" s="4">
        <v>1000189796</v>
      </c>
      <c r="I987" s="4" t="s">
        <v>61</v>
      </c>
      <c r="J987" s="2">
        <v>1000189270</v>
      </c>
      <c r="K987" s="2" t="s">
        <v>34</v>
      </c>
      <c r="L987" s="4" t="s">
        <v>23</v>
      </c>
      <c r="M987" s="4" t="str">
        <f t="shared" si="232"/>
        <v>1000184670100018619710001897961000189270SABORES DO CAMPO</v>
      </c>
      <c r="N987" s="28">
        <f>N973*_xlfn.XLOOKUP($L987,'Balizador da Meta'!$B$4:$B$21,'Balizador da Meta'!$C$4:$C$21)</f>
        <v>0</v>
      </c>
      <c r="O987" s="28">
        <f>O973*_xlfn.XLOOKUP($L987,'Balizador da Meta'!$B$4:$B$21,'Balizador da Meta'!$C$4:$C$21)</f>
        <v>0</v>
      </c>
      <c r="P987" s="28">
        <f>P973*_xlfn.XLOOKUP($L987,'Balizador da Meta'!$B$4:$B$21,'Balizador da Meta'!$C$4:$C$21)</f>
        <v>0</v>
      </c>
      <c r="Q987" s="28">
        <f>Q973*_xlfn.XLOOKUP($L987,'Balizador da Meta'!$B$4:$B$21,'Balizador da Meta'!$C$4:$C$21)</f>
        <v>0</v>
      </c>
      <c r="R987" s="28">
        <f>R973*_xlfn.XLOOKUP($L987,'Balizador da Meta'!$B$4:$B$21,'Balizador da Meta'!$C$4:$C$21)</f>
        <v>0</v>
      </c>
      <c r="S987" s="28">
        <f>S973*_xlfn.XLOOKUP($L987,'Balizador da Meta'!$B$4:$B$21,'Balizador da Meta'!$C$4:$C$21)</f>
        <v>0</v>
      </c>
      <c r="T987" s="28">
        <f>T973*_xlfn.XLOOKUP($L987,'Balizador da Meta'!$B$4:$B$21,'Balizador da Meta'!$C$4:$C$21)</f>
        <v>0</v>
      </c>
      <c r="U987" s="28">
        <f>U973*_xlfn.XLOOKUP($L987,'Balizador da Meta'!$B$4:$B$21,'Balizador da Meta'!$C$4:$C$21)</f>
        <v>0</v>
      </c>
      <c r="V987" s="28">
        <f>V973*_xlfn.XLOOKUP($L987,'Balizador da Meta'!$B$4:$B$21,'Balizador da Meta'!$C$4:$C$21)</f>
        <v>0</v>
      </c>
      <c r="W987" s="28">
        <f>W973*_xlfn.XLOOKUP($L987,'Balizador da Meta'!$B$4:$B$21,'Balizador da Meta'!$C$4:$C$21)</f>
        <v>0</v>
      </c>
      <c r="X987" s="28">
        <f>X973*_xlfn.XLOOKUP($L987,'Balizador da Meta'!$B$4:$B$21,'Balizador da Meta'!$C$4:$C$21)</f>
        <v>0</v>
      </c>
      <c r="Y987" s="28">
        <f>Y973*_xlfn.XLOOKUP($L987,'Balizador da Meta'!$B$4:$B$21,'Balizador da Meta'!$C$4:$C$21)</f>
        <v>0</v>
      </c>
      <c r="Z987" s="30">
        <f t="shared" si="235"/>
        <v>0</v>
      </c>
      <c r="AA987" s="29"/>
      <c r="AB987" s="31">
        <f>SUMIFS('Historico - FAT'!AK:AK,'Historico - FAT'!$K:$K,Faturamento!$L987,'Historico - FAT'!$I:$I,Faturamento!$J987,'Historico - FAT'!$G:$G,Faturamento!$H987)</f>
        <v>0</v>
      </c>
      <c r="AC987" s="31">
        <f>SUMIFS('Historico - FAT'!AL:AL,'Historico - FAT'!$K:$K,Faturamento!$L987,'Historico - FAT'!$I:$I,Faturamento!$J987,'Historico - FAT'!$G:$G,Faturamento!$H987)</f>
        <v>67.519166666666678</v>
      </c>
      <c r="AD987" s="31">
        <f>SUMIFS('Historico - FAT'!AM:AM,'Historico - FAT'!$K:$K,Faturamento!$L987,'Historico - FAT'!$I:$I,Faturamento!$J987,'Historico - FAT'!$G:$G,Faturamento!$H987)</f>
        <v>135.03833333333336</v>
      </c>
      <c r="AE987" s="27">
        <f>SUMIFS('Historico - FAT'!AN:AN,'Historico - FAT'!$K:$K,Faturamento!$L987,'Historico - FAT'!$I:$I,Faturamento!$J987,'Historico - FAT'!$G:$G,Faturamento!$H987)</f>
        <v>81.02300000000001</v>
      </c>
      <c r="AG987" s="24" t="str">
        <f t="shared" si="226"/>
        <v/>
      </c>
      <c r="AH987" s="24" t="str">
        <f t="shared" si="227"/>
        <v/>
      </c>
      <c r="AI987" s="24" t="str">
        <f t="shared" si="228"/>
        <v/>
      </c>
    </row>
    <row r="988" spans="1:35" hidden="1" x14ac:dyDescent="0.3">
      <c r="A988" s="2" t="str">
        <f t="shared" si="225"/>
        <v>NÃO</v>
      </c>
      <c r="B988" s="2">
        <v>1000184670</v>
      </c>
      <c r="C988" s="2" t="s">
        <v>147</v>
      </c>
      <c r="D988" s="4">
        <v>1000186197</v>
      </c>
      <c r="E988" s="4" t="s">
        <v>166</v>
      </c>
      <c r="F988" s="2">
        <v>1000184760</v>
      </c>
      <c r="G988" s="2" t="s">
        <v>60</v>
      </c>
      <c r="H988" s="4">
        <v>1000189796</v>
      </c>
      <c r="I988" s="4" t="s">
        <v>61</v>
      </c>
      <c r="J988" s="2">
        <v>1000189270</v>
      </c>
      <c r="K988" s="2" t="s">
        <v>34</v>
      </c>
      <c r="L988" s="4" t="s">
        <v>28</v>
      </c>
      <c r="M988" s="4" t="str">
        <f t="shared" si="232"/>
        <v>1000184670100018619710001897961000189270SAL</v>
      </c>
      <c r="N988" s="28">
        <f>N973*_xlfn.XLOOKUP($L988,'Balizador da Meta'!$B$4:$B$21,'Balizador da Meta'!$C$4:$C$21)</f>
        <v>72</v>
      </c>
      <c r="O988" s="28">
        <f>O973*_xlfn.XLOOKUP($L988,'Balizador da Meta'!$B$4:$B$21,'Balizador da Meta'!$C$4:$C$21)</f>
        <v>72</v>
      </c>
      <c r="P988" s="28">
        <f>P973*_xlfn.XLOOKUP($L988,'Balizador da Meta'!$B$4:$B$21,'Balizador da Meta'!$C$4:$C$21)</f>
        <v>72</v>
      </c>
      <c r="Q988" s="28">
        <f>Q973*_xlfn.XLOOKUP($L988,'Balizador da Meta'!$B$4:$B$21,'Balizador da Meta'!$C$4:$C$21)</f>
        <v>72</v>
      </c>
      <c r="R988" s="28">
        <f>R973*_xlfn.XLOOKUP($L988,'Balizador da Meta'!$B$4:$B$21,'Balizador da Meta'!$C$4:$C$21)</f>
        <v>72</v>
      </c>
      <c r="S988" s="28">
        <f>S973*_xlfn.XLOOKUP($L988,'Balizador da Meta'!$B$4:$B$21,'Balizador da Meta'!$C$4:$C$21)</f>
        <v>72</v>
      </c>
      <c r="T988" s="28">
        <f>T973*_xlfn.XLOOKUP($L988,'Balizador da Meta'!$B$4:$B$21,'Balizador da Meta'!$C$4:$C$21)</f>
        <v>72</v>
      </c>
      <c r="U988" s="28">
        <f>U973*_xlfn.XLOOKUP($L988,'Balizador da Meta'!$B$4:$B$21,'Balizador da Meta'!$C$4:$C$21)</f>
        <v>72</v>
      </c>
      <c r="V988" s="28">
        <f>V973*_xlfn.XLOOKUP($L988,'Balizador da Meta'!$B$4:$B$21,'Balizador da Meta'!$C$4:$C$21)</f>
        <v>72</v>
      </c>
      <c r="W988" s="28">
        <f>W973*_xlfn.XLOOKUP($L988,'Balizador da Meta'!$B$4:$B$21,'Balizador da Meta'!$C$4:$C$21)</f>
        <v>72</v>
      </c>
      <c r="X988" s="28">
        <f>X973*_xlfn.XLOOKUP($L988,'Balizador da Meta'!$B$4:$B$21,'Balizador da Meta'!$C$4:$C$21)</f>
        <v>72</v>
      </c>
      <c r="Y988" s="28">
        <f>Y973*_xlfn.XLOOKUP($L988,'Balizador da Meta'!$B$4:$B$21,'Balizador da Meta'!$C$4:$C$21)</f>
        <v>72</v>
      </c>
      <c r="Z988" s="30">
        <f t="shared" si="235"/>
        <v>864</v>
      </c>
      <c r="AA988" s="29"/>
      <c r="AB988" s="31">
        <f>SUMIFS('Historico - FAT'!AK:AK,'Historico - FAT'!$K:$K,Faturamento!$L988,'Historico - FAT'!$I:$I,Faturamento!$J988,'Historico - FAT'!$G:$G,Faturamento!$H988)</f>
        <v>0</v>
      </c>
      <c r="AC988" s="31">
        <f>SUMIFS('Historico - FAT'!AL:AL,'Historico - FAT'!$K:$K,Faturamento!$L988,'Historico - FAT'!$I:$I,Faturamento!$J988,'Historico - FAT'!$G:$G,Faturamento!$H988)</f>
        <v>196.15333333333334</v>
      </c>
      <c r="AD988" s="31">
        <f>SUMIFS('Historico - FAT'!AM:AM,'Historico - FAT'!$K:$K,Faturamento!$L988,'Historico - FAT'!$I:$I,Faturamento!$J988,'Historico - FAT'!$G:$G,Faturamento!$H988)</f>
        <v>258.58166666666665</v>
      </c>
      <c r="AE988" s="27">
        <f>SUMIFS('Historico - FAT'!AN:AN,'Historico - FAT'!$K:$K,Faturamento!$L988,'Historico - FAT'!$I:$I,Faturamento!$J988,'Historico - FAT'!$G:$G,Faturamento!$H988)</f>
        <v>235.38400000000001</v>
      </c>
      <c r="AG988" s="24">
        <f t="shared" si="226"/>
        <v>1</v>
      </c>
      <c r="AH988" s="24">
        <f t="shared" si="227"/>
        <v>-1.7243518518518519</v>
      </c>
      <c r="AI988" s="24">
        <f t="shared" si="228"/>
        <v>-2.5914120370370366</v>
      </c>
    </row>
    <row r="989" spans="1:35" hidden="1" x14ac:dyDescent="0.3">
      <c r="A989" s="2" t="str">
        <f t="shared" si="225"/>
        <v>NÃO</v>
      </c>
      <c r="B989" s="2">
        <v>1000184670</v>
      </c>
      <c r="C989" s="2" t="s">
        <v>147</v>
      </c>
      <c r="D989" s="4">
        <v>1000186197</v>
      </c>
      <c r="E989" s="4" t="s">
        <v>166</v>
      </c>
      <c r="F989" s="2">
        <v>1000184760</v>
      </c>
      <c r="G989" s="2" t="s">
        <v>60</v>
      </c>
      <c r="H989" s="4">
        <v>1000189796</v>
      </c>
      <c r="I989" s="4" t="s">
        <v>61</v>
      </c>
      <c r="J989" s="2">
        <v>1000189270</v>
      </c>
      <c r="K989" s="2" t="s">
        <v>34</v>
      </c>
      <c r="L989" s="4" t="s">
        <v>26</v>
      </c>
      <c r="M989" s="4" t="str">
        <f t="shared" si="232"/>
        <v>1000184670100018619710001897961000189270SOULPRO</v>
      </c>
      <c r="N989" s="28">
        <f>N973*_xlfn.XLOOKUP($L989,'Balizador da Meta'!$B$4:$B$21,'Balizador da Meta'!$C$4:$C$21)</f>
        <v>216</v>
      </c>
      <c r="O989" s="28">
        <f>O973*_xlfn.XLOOKUP($L989,'Balizador da Meta'!$B$4:$B$21,'Balizador da Meta'!$C$4:$C$21)</f>
        <v>216</v>
      </c>
      <c r="P989" s="28">
        <f>P973*_xlfn.XLOOKUP($L989,'Balizador da Meta'!$B$4:$B$21,'Balizador da Meta'!$C$4:$C$21)</f>
        <v>216</v>
      </c>
      <c r="Q989" s="28">
        <f>Q973*_xlfn.XLOOKUP($L989,'Balizador da Meta'!$B$4:$B$21,'Balizador da Meta'!$C$4:$C$21)</f>
        <v>216</v>
      </c>
      <c r="R989" s="28">
        <f>R973*_xlfn.XLOOKUP($L989,'Balizador da Meta'!$B$4:$B$21,'Balizador da Meta'!$C$4:$C$21)</f>
        <v>216</v>
      </c>
      <c r="S989" s="28">
        <f>S973*_xlfn.XLOOKUP($L989,'Balizador da Meta'!$B$4:$B$21,'Balizador da Meta'!$C$4:$C$21)</f>
        <v>216</v>
      </c>
      <c r="T989" s="28">
        <f>T973*_xlfn.XLOOKUP($L989,'Balizador da Meta'!$B$4:$B$21,'Balizador da Meta'!$C$4:$C$21)</f>
        <v>216</v>
      </c>
      <c r="U989" s="28">
        <f>U973*_xlfn.XLOOKUP($L989,'Balizador da Meta'!$B$4:$B$21,'Balizador da Meta'!$C$4:$C$21)</f>
        <v>216</v>
      </c>
      <c r="V989" s="28">
        <f>V973*_xlfn.XLOOKUP($L989,'Balizador da Meta'!$B$4:$B$21,'Balizador da Meta'!$C$4:$C$21)</f>
        <v>216</v>
      </c>
      <c r="W989" s="28">
        <f>W973*_xlfn.XLOOKUP($L989,'Balizador da Meta'!$B$4:$B$21,'Balizador da Meta'!$C$4:$C$21)</f>
        <v>216</v>
      </c>
      <c r="X989" s="28">
        <f>X973*_xlfn.XLOOKUP($L989,'Balizador da Meta'!$B$4:$B$21,'Balizador da Meta'!$C$4:$C$21)</f>
        <v>216</v>
      </c>
      <c r="Y989" s="28">
        <f>Y973*_xlfn.XLOOKUP($L989,'Balizador da Meta'!$B$4:$B$21,'Balizador da Meta'!$C$4:$C$21)</f>
        <v>216</v>
      </c>
      <c r="Z989" s="30">
        <f t="shared" si="235"/>
        <v>2592</v>
      </c>
      <c r="AA989" s="29"/>
      <c r="AB989" s="31">
        <f>SUMIFS('Historico - FAT'!AK:AK,'Historico - FAT'!$K:$K,Faturamento!$L989,'Historico - FAT'!$I:$I,Faturamento!$J989,'Historico - FAT'!$G:$G,Faturamento!$H989)</f>
        <v>0</v>
      </c>
      <c r="AC989" s="31">
        <f>SUMIFS('Historico - FAT'!AL:AL,'Historico - FAT'!$K:$K,Faturamento!$L989,'Historico - FAT'!$I:$I,Faturamento!$J989,'Historico - FAT'!$G:$G,Faturamento!$H989)</f>
        <v>0</v>
      </c>
      <c r="AD989" s="31">
        <f>SUMIFS('Historico - FAT'!AM:AM,'Historico - FAT'!$K:$K,Faturamento!$L989,'Historico - FAT'!$I:$I,Faturamento!$J989,'Historico - FAT'!$G:$G,Faturamento!$H989)</f>
        <v>0</v>
      </c>
      <c r="AE989" s="27">
        <f>SUMIFS('Historico - FAT'!AN:AN,'Historico - FAT'!$K:$K,Faturamento!$L989,'Historico - FAT'!$I:$I,Faturamento!$J989,'Historico - FAT'!$G:$G,Faturamento!$H989)</f>
        <v>0</v>
      </c>
      <c r="AG989" s="24">
        <f t="shared" si="226"/>
        <v>1</v>
      </c>
      <c r="AH989" s="24">
        <f t="shared" si="227"/>
        <v>1</v>
      </c>
      <c r="AI989" s="24">
        <f t="shared" si="228"/>
        <v>1</v>
      </c>
    </row>
    <row r="990" spans="1:35" hidden="1" x14ac:dyDescent="0.3">
      <c r="A990" s="2" t="str">
        <f t="shared" si="225"/>
        <v>NÃO</v>
      </c>
      <c r="B990" s="2">
        <v>1000184670</v>
      </c>
      <c r="C990" s="2" t="s">
        <v>147</v>
      </c>
      <c r="D990" s="4">
        <v>1000186197</v>
      </c>
      <c r="E990" s="4" t="s">
        <v>166</v>
      </c>
      <c r="F990" s="2">
        <v>1000184760</v>
      </c>
      <c r="G990" s="2" t="s">
        <v>60</v>
      </c>
      <c r="H990" s="4">
        <v>1000189796</v>
      </c>
      <c r="I990" s="4" t="s">
        <v>61</v>
      </c>
      <c r="J990" s="2">
        <v>1000189270</v>
      </c>
      <c r="K990" s="2" t="s">
        <v>34</v>
      </c>
      <c r="L990" s="4" t="s">
        <v>27</v>
      </c>
      <c r="M990" s="4" t="str">
        <f t="shared" si="232"/>
        <v>1000184670100018619710001897961000189270TAMARA</v>
      </c>
      <c r="N990" s="28">
        <f>N973*_xlfn.XLOOKUP($L990,'Balizador da Meta'!$B$4:$B$21,'Balizador da Meta'!$C$4:$C$21)</f>
        <v>288</v>
      </c>
      <c r="O990" s="28">
        <f>O973*_xlfn.XLOOKUP($L990,'Balizador da Meta'!$B$4:$B$21,'Balizador da Meta'!$C$4:$C$21)</f>
        <v>288</v>
      </c>
      <c r="P990" s="28">
        <f>P973*_xlfn.XLOOKUP($L990,'Balizador da Meta'!$B$4:$B$21,'Balizador da Meta'!$C$4:$C$21)</f>
        <v>288</v>
      </c>
      <c r="Q990" s="28">
        <f>Q973*_xlfn.XLOOKUP($L990,'Balizador da Meta'!$B$4:$B$21,'Balizador da Meta'!$C$4:$C$21)</f>
        <v>288</v>
      </c>
      <c r="R990" s="28">
        <f>R973*_xlfn.XLOOKUP($L990,'Balizador da Meta'!$B$4:$B$21,'Balizador da Meta'!$C$4:$C$21)</f>
        <v>288</v>
      </c>
      <c r="S990" s="28">
        <f>S973*_xlfn.XLOOKUP($L990,'Balizador da Meta'!$B$4:$B$21,'Balizador da Meta'!$C$4:$C$21)</f>
        <v>288</v>
      </c>
      <c r="T990" s="28">
        <f>T973*_xlfn.XLOOKUP($L990,'Balizador da Meta'!$B$4:$B$21,'Balizador da Meta'!$C$4:$C$21)</f>
        <v>288</v>
      </c>
      <c r="U990" s="28">
        <f>U973*_xlfn.XLOOKUP($L990,'Balizador da Meta'!$B$4:$B$21,'Balizador da Meta'!$C$4:$C$21)</f>
        <v>288</v>
      </c>
      <c r="V990" s="28">
        <f>V973*_xlfn.XLOOKUP($L990,'Balizador da Meta'!$B$4:$B$21,'Balizador da Meta'!$C$4:$C$21)</f>
        <v>288</v>
      </c>
      <c r="W990" s="28">
        <f>W973*_xlfn.XLOOKUP($L990,'Balizador da Meta'!$B$4:$B$21,'Balizador da Meta'!$C$4:$C$21)</f>
        <v>288</v>
      </c>
      <c r="X990" s="28">
        <f>X973*_xlfn.XLOOKUP($L990,'Balizador da Meta'!$B$4:$B$21,'Balizador da Meta'!$C$4:$C$21)</f>
        <v>288</v>
      </c>
      <c r="Y990" s="28">
        <f>Y973*_xlfn.XLOOKUP($L990,'Balizador da Meta'!$B$4:$B$21,'Balizador da Meta'!$C$4:$C$21)</f>
        <v>288</v>
      </c>
      <c r="Z990" s="30">
        <f t="shared" si="235"/>
        <v>3456</v>
      </c>
      <c r="AA990" s="29"/>
      <c r="AB990" s="31">
        <f>SUMIFS('Historico - FAT'!AK:AK,'Historico - FAT'!$K:$K,Faturamento!$L990,'Historico - FAT'!$I:$I,Faturamento!$J990,'Historico - FAT'!$G:$G,Faturamento!$H990)</f>
        <v>0</v>
      </c>
      <c r="AC990" s="31">
        <f>SUMIFS('Historico - FAT'!AL:AL,'Historico - FAT'!$K:$K,Faturamento!$L990,'Historico - FAT'!$I:$I,Faturamento!$J990,'Historico - FAT'!$G:$G,Faturamento!$H990)</f>
        <v>312.42166666666668</v>
      </c>
      <c r="AD990" s="31">
        <f>SUMIFS('Historico - FAT'!AM:AM,'Historico - FAT'!$K:$K,Faturamento!$L990,'Historico - FAT'!$I:$I,Faturamento!$J990,'Historico - FAT'!$G:$G,Faturamento!$H990)</f>
        <v>615.67166666666662</v>
      </c>
      <c r="AE990" s="27">
        <f>SUMIFS('Historico - FAT'!AN:AN,'Historico - FAT'!$K:$K,Faturamento!$L990,'Historico - FAT'!$I:$I,Faturamento!$J990,'Historico - FAT'!$G:$G,Faturamento!$H990)</f>
        <v>374.90600000000001</v>
      </c>
      <c r="AG990" s="24">
        <f t="shared" si="226"/>
        <v>1</v>
      </c>
      <c r="AH990" s="24">
        <f t="shared" si="227"/>
        <v>-8.4797453703703757E-2</v>
      </c>
      <c r="AI990" s="24">
        <f t="shared" si="228"/>
        <v>-1.1377488425925923</v>
      </c>
    </row>
    <row r="991" spans="1:35" hidden="1" x14ac:dyDescent="0.3">
      <c r="A991" s="2" t="str">
        <f t="shared" si="225"/>
        <v>NÃO</v>
      </c>
      <c r="B991" s="2">
        <v>1000184670</v>
      </c>
      <c r="C991" s="2" t="s">
        <v>147</v>
      </c>
      <c r="D991" s="4">
        <v>1000186197</v>
      </c>
      <c r="E991" s="4" t="s">
        <v>166</v>
      </c>
      <c r="F991" s="2">
        <v>1000184760</v>
      </c>
      <c r="G991" s="2" t="s">
        <v>60</v>
      </c>
      <c r="H991" s="4">
        <v>1000189796</v>
      </c>
      <c r="I991" s="4" t="s">
        <v>61</v>
      </c>
      <c r="J991" s="2">
        <v>1000189270</v>
      </c>
      <c r="K991" s="2" t="s">
        <v>34</v>
      </c>
      <c r="L991" s="4" t="s">
        <v>25</v>
      </c>
      <c r="M991" s="4" t="str">
        <f t="shared" si="232"/>
        <v>1000184670100018619710001897961000189270VICCIO</v>
      </c>
      <c r="N991" s="28">
        <f>N973*_xlfn.XLOOKUP($L991,'Balizador da Meta'!$B$4:$B$21,'Balizador da Meta'!$C$4:$C$21)</f>
        <v>108</v>
      </c>
      <c r="O991" s="28">
        <f>O973*_xlfn.XLOOKUP($L991,'Balizador da Meta'!$B$4:$B$21,'Balizador da Meta'!$C$4:$C$21)</f>
        <v>108</v>
      </c>
      <c r="P991" s="28">
        <f>P973*_xlfn.XLOOKUP($L991,'Balizador da Meta'!$B$4:$B$21,'Balizador da Meta'!$C$4:$C$21)</f>
        <v>108</v>
      </c>
      <c r="Q991" s="28">
        <f>Q973*_xlfn.XLOOKUP($L991,'Balizador da Meta'!$B$4:$B$21,'Balizador da Meta'!$C$4:$C$21)</f>
        <v>108</v>
      </c>
      <c r="R991" s="28">
        <f>R973*_xlfn.XLOOKUP($L991,'Balizador da Meta'!$B$4:$B$21,'Balizador da Meta'!$C$4:$C$21)</f>
        <v>108</v>
      </c>
      <c r="S991" s="28">
        <f>S973*_xlfn.XLOOKUP($L991,'Balizador da Meta'!$B$4:$B$21,'Balizador da Meta'!$C$4:$C$21)</f>
        <v>108</v>
      </c>
      <c r="T991" s="28">
        <f>T973*_xlfn.XLOOKUP($L991,'Balizador da Meta'!$B$4:$B$21,'Balizador da Meta'!$C$4:$C$21)</f>
        <v>108</v>
      </c>
      <c r="U991" s="28">
        <f>U973*_xlfn.XLOOKUP($L991,'Balizador da Meta'!$B$4:$B$21,'Balizador da Meta'!$C$4:$C$21)</f>
        <v>108</v>
      </c>
      <c r="V991" s="28">
        <f>V973*_xlfn.XLOOKUP($L991,'Balizador da Meta'!$B$4:$B$21,'Balizador da Meta'!$C$4:$C$21)</f>
        <v>108</v>
      </c>
      <c r="W991" s="28">
        <f>W973*_xlfn.XLOOKUP($L991,'Balizador da Meta'!$B$4:$B$21,'Balizador da Meta'!$C$4:$C$21)</f>
        <v>108</v>
      </c>
      <c r="X991" s="28">
        <f>X973*_xlfn.XLOOKUP($L991,'Balizador da Meta'!$B$4:$B$21,'Balizador da Meta'!$C$4:$C$21)</f>
        <v>108</v>
      </c>
      <c r="Y991" s="28">
        <f>Y973*_xlfn.XLOOKUP($L991,'Balizador da Meta'!$B$4:$B$21,'Balizador da Meta'!$C$4:$C$21)</f>
        <v>108</v>
      </c>
      <c r="Z991" s="30">
        <f t="shared" si="235"/>
        <v>1296</v>
      </c>
      <c r="AA991" s="29"/>
      <c r="AB991" s="31">
        <f>SUMIFS('Historico - FAT'!AK:AK,'Historico - FAT'!$K:$K,Faturamento!$L991,'Historico - FAT'!$I:$I,Faturamento!$J991,'Historico - FAT'!$G:$G,Faturamento!$H991)</f>
        <v>27</v>
      </c>
      <c r="AC991" s="31">
        <f>SUMIFS('Historico - FAT'!AL:AL,'Historico - FAT'!$K:$K,Faturamento!$L991,'Historico - FAT'!$I:$I,Faturamento!$J991,'Historico - FAT'!$G:$G,Faturamento!$H991)</f>
        <v>23.512499999999999</v>
      </c>
      <c r="AD991" s="31">
        <f>SUMIFS('Historico - FAT'!AM:AM,'Historico - FAT'!$K:$K,Faturamento!$L991,'Historico - FAT'!$I:$I,Faturamento!$J991,'Historico - FAT'!$G:$G,Faturamento!$H991)</f>
        <v>47.024999999999999</v>
      </c>
      <c r="AE991" s="27">
        <f>SUMIFS('Historico - FAT'!AN:AN,'Historico - FAT'!$K:$K,Faturamento!$L991,'Historico - FAT'!$I:$I,Faturamento!$J991,'Historico - FAT'!$G:$G,Faturamento!$H991)</f>
        <v>28.214999999999996</v>
      </c>
      <c r="AG991" s="24">
        <f t="shared" si="226"/>
        <v>0.75</v>
      </c>
      <c r="AH991" s="24">
        <f t="shared" si="227"/>
        <v>0.78229166666666661</v>
      </c>
      <c r="AI991" s="24">
        <f t="shared" si="228"/>
        <v>0.56458333333333333</v>
      </c>
    </row>
    <row r="992" spans="1:35" x14ac:dyDescent="0.3">
      <c r="A992" s="2" t="str">
        <f t="shared" si="225"/>
        <v>SIM</v>
      </c>
      <c r="B992" s="2">
        <v>1000184670</v>
      </c>
      <c r="C992" s="2" t="s">
        <v>147</v>
      </c>
      <c r="D992" s="4">
        <v>1000186197</v>
      </c>
      <c r="E992" s="4" t="s">
        <v>166</v>
      </c>
      <c r="F992" s="2">
        <v>1000184760</v>
      </c>
      <c r="G992" s="2" t="s">
        <v>60</v>
      </c>
      <c r="H992" s="4">
        <v>1000189797</v>
      </c>
      <c r="I992" s="4" t="s">
        <v>80</v>
      </c>
      <c r="J992" s="2">
        <v>1000189270</v>
      </c>
      <c r="K992" s="2" t="s">
        <v>34</v>
      </c>
      <c r="L992" s="4" t="s">
        <v>124</v>
      </c>
      <c r="M992" s="4" t="str">
        <f t="shared" si="232"/>
        <v>100018467010001861971000189797100018927001. TOTAL</v>
      </c>
      <c r="N992" s="28">
        <f>SUMIFS(Positivação!L:L,Positivação!$I:$I,Faturamento!$J992,Positivação!$G:$G,Faturamento!$H992)*SUMIFS(Positivação!$Z:$Z,Positivação!$I:$I,Faturamento!$J992,Positivação!$G:$G,Faturamento!$H992)</f>
        <v>1200</v>
      </c>
      <c r="O992" s="28">
        <f>SUMIFS(Positivação!M:M,Positivação!$I:$I,Faturamento!$J992,Positivação!$G:$G,Faturamento!$H992)*SUMIFS(Positivação!$Z:$Z,Positivação!$I:$I,Faturamento!$J992,Positivação!$G:$G,Faturamento!$H992)</f>
        <v>1200</v>
      </c>
      <c r="P992" s="28">
        <f>SUMIFS(Positivação!N:N,Positivação!$I:$I,Faturamento!$J992,Positivação!$G:$G,Faturamento!$H992)*SUMIFS(Positivação!$Z:$Z,Positivação!$I:$I,Faturamento!$J992,Positivação!$G:$G,Faturamento!$H992)</f>
        <v>1200</v>
      </c>
      <c r="Q992" s="28">
        <f>SUMIFS(Positivação!O:O,Positivação!$I:$I,Faturamento!$J992,Positivação!$G:$G,Faturamento!$H992)*SUMIFS(Positivação!$Z:$Z,Positivação!$I:$I,Faturamento!$J992,Positivação!$G:$G,Faturamento!$H992)</f>
        <v>1200</v>
      </c>
      <c r="R992" s="28">
        <f>SUMIFS(Positivação!P:P,Positivação!$I:$I,Faturamento!$J992,Positivação!$G:$G,Faturamento!$H992)*SUMIFS(Positivação!$Z:$Z,Positivação!$I:$I,Faturamento!$J992,Positivação!$G:$G,Faturamento!$H992)</f>
        <v>1200</v>
      </c>
      <c r="S992" s="28">
        <f>SUMIFS(Positivação!Q:Q,Positivação!$I:$I,Faturamento!$J992,Positivação!$G:$G,Faturamento!$H992)*SUMIFS(Positivação!$Z:$Z,Positivação!$I:$I,Faturamento!$J992,Positivação!$G:$G,Faturamento!$H992)</f>
        <v>1200</v>
      </c>
      <c r="T992" s="28">
        <f>SUMIFS(Positivação!R:R,Positivação!$I:$I,Faturamento!$J992,Positivação!$G:$G,Faturamento!$H992)*SUMIFS(Positivação!$Z:$Z,Positivação!$I:$I,Faturamento!$J992,Positivação!$G:$G,Faturamento!$H992)</f>
        <v>1200</v>
      </c>
      <c r="U992" s="28">
        <f>SUMIFS(Positivação!S:S,Positivação!$I:$I,Faturamento!$J992,Positivação!$G:$G,Faturamento!$H992)*SUMIFS(Positivação!$Z:$Z,Positivação!$I:$I,Faturamento!$J992,Positivação!$G:$G,Faturamento!$H992)</f>
        <v>1200</v>
      </c>
      <c r="V992" s="28">
        <f>SUMIFS(Positivação!T:T,Positivação!$I:$I,Faturamento!$J992,Positivação!$G:$G,Faturamento!$H992)*SUMIFS(Positivação!$Z:$Z,Positivação!$I:$I,Faturamento!$J992,Positivação!$G:$G,Faturamento!$H992)</f>
        <v>1200</v>
      </c>
      <c r="W992" s="28">
        <f>SUMIFS(Positivação!U:U,Positivação!$I:$I,Faturamento!$J992,Positivação!$G:$G,Faturamento!$H992)*SUMIFS(Positivação!$Z:$Z,Positivação!$I:$I,Faturamento!$J992,Positivação!$G:$G,Faturamento!$H992)</f>
        <v>1200</v>
      </c>
      <c r="X992" s="28">
        <f>SUMIFS(Positivação!V:V,Positivação!$I:$I,Faturamento!$J992,Positivação!$G:$G,Faturamento!$H992)*SUMIFS(Positivação!$Z:$Z,Positivação!$I:$I,Faturamento!$J992,Positivação!$G:$G,Faturamento!$H992)</f>
        <v>1200</v>
      </c>
      <c r="Y992" s="28">
        <f>SUMIFS(Positivação!W:W,Positivação!$I:$I,Faturamento!$J992,Positivação!$G:$G,Faturamento!$H992)*SUMIFS(Positivação!$Z:$Z,Positivação!$I:$I,Faturamento!$J992,Positivação!$G:$G,Faturamento!$H992)</f>
        <v>1200</v>
      </c>
      <c r="Z992" s="28">
        <f t="shared" ref="Z992" si="236">SUM(Z993:Z1010)</f>
        <v>14400</v>
      </c>
      <c r="AA992" s="29"/>
      <c r="AB992" s="28">
        <f t="shared" ref="AB992:AE992" si="237">SUM(AB993:AB1010)</f>
        <v>571.99166666666667</v>
      </c>
      <c r="AC992" s="28">
        <f t="shared" si="237"/>
        <v>757.79833333333329</v>
      </c>
      <c r="AD992" s="28">
        <f t="shared" si="237"/>
        <v>965.59666666666681</v>
      </c>
      <c r="AE992" s="28">
        <f t="shared" si="237"/>
        <v>579.35800000000006</v>
      </c>
      <c r="AG992" s="24">
        <f t="shared" si="226"/>
        <v>0.52334027777777781</v>
      </c>
      <c r="AH992" s="24">
        <f t="shared" si="227"/>
        <v>0.36850138888888895</v>
      </c>
      <c r="AI992" s="24">
        <f t="shared" si="228"/>
        <v>0.19533611111111099</v>
      </c>
    </row>
    <row r="993" spans="1:35" hidden="1" x14ac:dyDescent="0.3">
      <c r="A993" s="2" t="str">
        <f t="shared" si="225"/>
        <v>NÃO</v>
      </c>
      <c r="B993" s="2">
        <v>1000184670</v>
      </c>
      <c r="C993" s="2" t="s">
        <v>147</v>
      </c>
      <c r="D993" s="4">
        <v>1000186197</v>
      </c>
      <c r="E993" s="4" t="s">
        <v>166</v>
      </c>
      <c r="F993" s="2">
        <v>1000184760</v>
      </c>
      <c r="G993" s="2" t="s">
        <v>60</v>
      </c>
      <c r="H993" s="4">
        <v>1000189797</v>
      </c>
      <c r="I993" s="4" t="s">
        <v>80</v>
      </c>
      <c r="J993" s="2">
        <v>1000189270</v>
      </c>
      <c r="K993" s="2" t="s">
        <v>34</v>
      </c>
      <c r="L993" s="4" t="s">
        <v>13</v>
      </c>
      <c r="M993" s="4" t="str">
        <f t="shared" si="232"/>
        <v>1000184670100018619710001897971000189270BISCOITO</v>
      </c>
      <c r="N993" s="28">
        <f>N992*_xlfn.XLOOKUP($L993,'Balizador da Meta'!$B$4:$B$21,'Balizador da Meta'!$C$4:$C$21)</f>
        <v>84.000000000000014</v>
      </c>
      <c r="O993" s="28">
        <f>O992*_xlfn.XLOOKUP($L993,'Balizador da Meta'!$B$4:$B$21,'Balizador da Meta'!$C$4:$C$21)</f>
        <v>84.000000000000014</v>
      </c>
      <c r="P993" s="28">
        <f>P992*_xlfn.XLOOKUP($L993,'Balizador da Meta'!$B$4:$B$21,'Balizador da Meta'!$C$4:$C$21)</f>
        <v>84.000000000000014</v>
      </c>
      <c r="Q993" s="28">
        <f>Q992*_xlfn.XLOOKUP($L993,'Balizador da Meta'!$B$4:$B$21,'Balizador da Meta'!$C$4:$C$21)</f>
        <v>84.000000000000014</v>
      </c>
      <c r="R993" s="28">
        <f>R992*_xlfn.XLOOKUP($L993,'Balizador da Meta'!$B$4:$B$21,'Balizador da Meta'!$C$4:$C$21)</f>
        <v>84.000000000000014</v>
      </c>
      <c r="S993" s="28">
        <f>S992*_xlfn.XLOOKUP($L993,'Balizador da Meta'!$B$4:$B$21,'Balizador da Meta'!$C$4:$C$21)</f>
        <v>84.000000000000014</v>
      </c>
      <c r="T993" s="28">
        <f>T992*_xlfn.XLOOKUP($L993,'Balizador da Meta'!$B$4:$B$21,'Balizador da Meta'!$C$4:$C$21)</f>
        <v>84.000000000000014</v>
      </c>
      <c r="U993" s="28">
        <f>U992*_xlfn.XLOOKUP($L993,'Balizador da Meta'!$B$4:$B$21,'Balizador da Meta'!$C$4:$C$21)</f>
        <v>84.000000000000014</v>
      </c>
      <c r="V993" s="28">
        <f>V992*_xlfn.XLOOKUP($L993,'Balizador da Meta'!$B$4:$B$21,'Balizador da Meta'!$C$4:$C$21)</f>
        <v>84.000000000000014</v>
      </c>
      <c r="W993" s="28">
        <f>W992*_xlfn.XLOOKUP($L993,'Balizador da Meta'!$B$4:$B$21,'Balizador da Meta'!$C$4:$C$21)</f>
        <v>84.000000000000014</v>
      </c>
      <c r="X993" s="28">
        <f>X992*_xlfn.XLOOKUP($L993,'Balizador da Meta'!$B$4:$B$21,'Balizador da Meta'!$C$4:$C$21)</f>
        <v>84.000000000000014</v>
      </c>
      <c r="Y993" s="28">
        <f>Y992*_xlfn.XLOOKUP($L993,'Balizador da Meta'!$B$4:$B$21,'Balizador da Meta'!$C$4:$C$21)</f>
        <v>84.000000000000014</v>
      </c>
      <c r="Z993" s="30">
        <f t="shared" ref="Z993:Z1010" si="238">SUM(N993:Y993)</f>
        <v>1008.0000000000001</v>
      </c>
      <c r="AA993" s="29"/>
      <c r="AB993" s="31">
        <f>SUMIFS('Historico - FAT'!AK:AK,'Historico - FAT'!$K:$K,Faturamento!$L993,'Historico - FAT'!$I:$I,Faturamento!$J993,'Historico - FAT'!$G:$G,Faturamento!$H993)</f>
        <v>0</v>
      </c>
      <c r="AC993" s="31">
        <f>SUMIFS('Historico - FAT'!AL:AL,'Historico - FAT'!$K:$K,Faturamento!$L993,'Historico - FAT'!$I:$I,Faturamento!$J993,'Historico - FAT'!$G:$G,Faturamento!$H993)</f>
        <v>35.610833333333332</v>
      </c>
      <c r="AD993" s="31">
        <f>SUMIFS('Historico - FAT'!AM:AM,'Historico - FAT'!$K:$K,Faturamento!$L993,'Historico - FAT'!$I:$I,Faturamento!$J993,'Historico - FAT'!$G:$G,Faturamento!$H993)</f>
        <v>71.221666666666664</v>
      </c>
      <c r="AE993" s="27">
        <f>SUMIFS('Historico - FAT'!AN:AN,'Historico - FAT'!$K:$K,Faturamento!$L993,'Historico - FAT'!$I:$I,Faturamento!$J993,'Historico - FAT'!$G:$G,Faturamento!$H993)</f>
        <v>42.732999999999997</v>
      </c>
      <c r="AG993" s="24">
        <f t="shared" si="226"/>
        <v>1</v>
      </c>
      <c r="AH993" s="24">
        <f t="shared" si="227"/>
        <v>0.57606150793650801</v>
      </c>
      <c r="AI993" s="24">
        <f t="shared" si="228"/>
        <v>0.15212301587301605</v>
      </c>
    </row>
    <row r="994" spans="1:35" hidden="1" x14ac:dyDescent="0.3">
      <c r="A994" s="2" t="str">
        <f t="shared" si="225"/>
        <v>NÃO</v>
      </c>
      <c r="B994" s="2">
        <v>1000184670</v>
      </c>
      <c r="C994" s="2" t="s">
        <v>147</v>
      </c>
      <c r="D994" s="4">
        <v>1000186197</v>
      </c>
      <c r="E994" s="4" t="s">
        <v>166</v>
      </c>
      <c r="F994" s="2">
        <v>1000184760</v>
      </c>
      <c r="G994" s="2" t="s">
        <v>60</v>
      </c>
      <c r="H994" s="4">
        <v>1000189797</v>
      </c>
      <c r="I994" s="4" t="s">
        <v>80</v>
      </c>
      <c r="J994" s="2">
        <v>1000189270</v>
      </c>
      <c r="K994" s="2" t="s">
        <v>34</v>
      </c>
      <c r="L994" s="4" t="s">
        <v>14</v>
      </c>
      <c r="M994" s="4" t="str">
        <f t="shared" si="232"/>
        <v>1000184670100018619710001897971000189270CHOCOLATES</v>
      </c>
      <c r="N994" s="28">
        <f>N992*_xlfn.XLOOKUP($L994,'Balizador da Meta'!$B$4:$B$21,'Balizador da Meta'!$C$4:$C$21)</f>
        <v>84.000000000000014</v>
      </c>
      <c r="O994" s="28">
        <f>O992*_xlfn.XLOOKUP($L994,'Balizador da Meta'!$B$4:$B$21,'Balizador da Meta'!$C$4:$C$21)</f>
        <v>84.000000000000014</v>
      </c>
      <c r="P994" s="28">
        <f>P992*_xlfn.XLOOKUP($L994,'Balizador da Meta'!$B$4:$B$21,'Balizador da Meta'!$C$4:$C$21)</f>
        <v>84.000000000000014</v>
      </c>
      <c r="Q994" s="28">
        <f>Q992*_xlfn.XLOOKUP($L994,'Balizador da Meta'!$B$4:$B$21,'Balizador da Meta'!$C$4:$C$21)</f>
        <v>84.000000000000014</v>
      </c>
      <c r="R994" s="28">
        <f>R992*_xlfn.XLOOKUP($L994,'Balizador da Meta'!$B$4:$B$21,'Balizador da Meta'!$C$4:$C$21)</f>
        <v>84.000000000000014</v>
      </c>
      <c r="S994" s="28">
        <f>S992*_xlfn.XLOOKUP($L994,'Balizador da Meta'!$B$4:$B$21,'Balizador da Meta'!$C$4:$C$21)</f>
        <v>84.000000000000014</v>
      </c>
      <c r="T994" s="28">
        <f>T992*_xlfn.XLOOKUP($L994,'Balizador da Meta'!$B$4:$B$21,'Balizador da Meta'!$C$4:$C$21)</f>
        <v>84.000000000000014</v>
      </c>
      <c r="U994" s="28">
        <f>U992*_xlfn.XLOOKUP($L994,'Balizador da Meta'!$B$4:$B$21,'Balizador da Meta'!$C$4:$C$21)</f>
        <v>84.000000000000014</v>
      </c>
      <c r="V994" s="28">
        <f>V992*_xlfn.XLOOKUP($L994,'Balizador da Meta'!$B$4:$B$21,'Balizador da Meta'!$C$4:$C$21)</f>
        <v>84.000000000000014</v>
      </c>
      <c r="W994" s="28">
        <f>W992*_xlfn.XLOOKUP($L994,'Balizador da Meta'!$B$4:$B$21,'Balizador da Meta'!$C$4:$C$21)</f>
        <v>84.000000000000014</v>
      </c>
      <c r="X994" s="28">
        <f>X992*_xlfn.XLOOKUP($L994,'Balizador da Meta'!$B$4:$B$21,'Balizador da Meta'!$C$4:$C$21)</f>
        <v>84.000000000000014</v>
      </c>
      <c r="Y994" s="28">
        <f>Y992*_xlfn.XLOOKUP($L994,'Balizador da Meta'!$B$4:$B$21,'Balizador da Meta'!$C$4:$C$21)</f>
        <v>84.000000000000014</v>
      </c>
      <c r="Z994" s="30">
        <f t="shared" si="238"/>
        <v>1008.0000000000001</v>
      </c>
      <c r="AA994" s="29"/>
      <c r="AB994" s="31">
        <f>SUMIFS('Historico - FAT'!AK:AK,'Historico - FAT'!$K:$K,Faturamento!$L994,'Historico - FAT'!$I:$I,Faturamento!$J994,'Historico - FAT'!$G:$G,Faturamento!$H994)</f>
        <v>0</v>
      </c>
      <c r="AC994" s="31">
        <f>SUMIFS('Historico - FAT'!AL:AL,'Historico - FAT'!$K:$K,Faturamento!$L994,'Historico - FAT'!$I:$I,Faturamento!$J994,'Historico - FAT'!$G:$G,Faturamento!$H994)</f>
        <v>5.95</v>
      </c>
      <c r="AD994" s="31">
        <f>SUMIFS('Historico - FAT'!AM:AM,'Historico - FAT'!$K:$K,Faturamento!$L994,'Historico - FAT'!$I:$I,Faturamento!$J994,'Historico - FAT'!$G:$G,Faturamento!$H994)</f>
        <v>11.9</v>
      </c>
      <c r="AE994" s="27">
        <f>SUMIFS('Historico - FAT'!AN:AN,'Historico - FAT'!$K:$K,Faturamento!$L994,'Historico - FAT'!$I:$I,Faturamento!$J994,'Historico - FAT'!$G:$G,Faturamento!$H994)</f>
        <v>7.1400000000000006</v>
      </c>
      <c r="AG994" s="24">
        <f t="shared" si="226"/>
        <v>1</v>
      </c>
      <c r="AH994" s="24">
        <f t="shared" si="227"/>
        <v>0.9291666666666667</v>
      </c>
      <c r="AI994" s="24">
        <f t="shared" si="228"/>
        <v>0.85833333333333328</v>
      </c>
    </row>
    <row r="995" spans="1:35" hidden="1" x14ac:dyDescent="0.3">
      <c r="A995" s="2" t="str">
        <f t="shared" si="225"/>
        <v>NÃO</v>
      </c>
      <c r="B995" s="2">
        <v>1000184670</v>
      </c>
      <c r="C995" s="2" t="s">
        <v>147</v>
      </c>
      <c r="D995" s="4">
        <v>1000186197</v>
      </c>
      <c r="E995" s="4" t="s">
        <v>166</v>
      </c>
      <c r="F995" s="2">
        <v>1000184760</v>
      </c>
      <c r="G995" s="2" t="s">
        <v>60</v>
      </c>
      <c r="H995" s="4">
        <v>1000189797</v>
      </c>
      <c r="I995" s="4" t="s">
        <v>80</v>
      </c>
      <c r="J995" s="2">
        <v>1000189270</v>
      </c>
      <c r="K995" s="2" t="s">
        <v>34</v>
      </c>
      <c r="L995" s="4" t="s">
        <v>16</v>
      </c>
      <c r="M995" s="4" t="str">
        <f t="shared" si="232"/>
        <v>1000184670100018619710001897971000189270DISNEY</v>
      </c>
      <c r="N995" s="28">
        <f>N992*_xlfn.XLOOKUP($L995,'Balizador da Meta'!$B$4:$B$21,'Balizador da Meta'!$C$4:$C$21)</f>
        <v>96</v>
      </c>
      <c r="O995" s="28">
        <f>O992*_xlfn.XLOOKUP($L995,'Balizador da Meta'!$B$4:$B$21,'Balizador da Meta'!$C$4:$C$21)</f>
        <v>96</v>
      </c>
      <c r="P995" s="28">
        <f>P992*_xlfn.XLOOKUP($L995,'Balizador da Meta'!$B$4:$B$21,'Balizador da Meta'!$C$4:$C$21)</f>
        <v>96</v>
      </c>
      <c r="Q995" s="28">
        <f>Q992*_xlfn.XLOOKUP($L995,'Balizador da Meta'!$B$4:$B$21,'Balizador da Meta'!$C$4:$C$21)</f>
        <v>96</v>
      </c>
      <c r="R995" s="28">
        <f>R992*_xlfn.XLOOKUP($L995,'Balizador da Meta'!$B$4:$B$21,'Balizador da Meta'!$C$4:$C$21)</f>
        <v>96</v>
      </c>
      <c r="S995" s="28">
        <f>S992*_xlfn.XLOOKUP($L995,'Balizador da Meta'!$B$4:$B$21,'Balizador da Meta'!$C$4:$C$21)</f>
        <v>96</v>
      </c>
      <c r="T995" s="28">
        <f>T992*_xlfn.XLOOKUP($L995,'Balizador da Meta'!$B$4:$B$21,'Balizador da Meta'!$C$4:$C$21)</f>
        <v>96</v>
      </c>
      <c r="U995" s="28">
        <f>U992*_xlfn.XLOOKUP($L995,'Balizador da Meta'!$B$4:$B$21,'Balizador da Meta'!$C$4:$C$21)</f>
        <v>96</v>
      </c>
      <c r="V995" s="28">
        <f>V992*_xlfn.XLOOKUP($L995,'Balizador da Meta'!$B$4:$B$21,'Balizador da Meta'!$C$4:$C$21)</f>
        <v>96</v>
      </c>
      <c r="W995" s="28">
        <f>W992*_xlfn.XLOOKUP($L995,'Balizador da Meta'!$B$4:$B$21,'Balizador da Meta'!$C$4:$C$21)</f>
        <v>96</v>
      </c>
      <c r="X995" s="28">
        <f>X992*_xlfn.XLOOKUP($L995,'Balizador da Meta'!$B$4:$B$21,'Balizador da Meta'!$C$4:$C$21)</f>
        <v>96</v>
      </c>
      <c r="Y995" s="28">
        <f>Y992*_xlfn.XLOOKUP($L995,'Balizador da Meta'!$B$4:$B$21,'Balizador da Meta'!$C$4:$C$21)</f>
        <v>96</v>
      </c>
      <c r="Z995" s="30">
        <f t="shared" si="238"/>
        <v>1152</v>
      </c>
      <c r="AA995" s="29"/>
      <c r="AB995" s="31">
        <f>SUMIFS('Historico - FAT'!AK:AK,'Historico - FAT'!$K:$K,Faturamento!$L995,'Historico - FAT'!$I:$I,Faturamento!$J995,'Historico - FAT'!$G:$G,Faturamento!$H995)</f>
        <v>124.28500000000001</v>
      </c>
      <c r="AC995" s="31">
        <f>SUMIFS('Historico - FAT'!AL:AL,'Historico - FAT'!$K:$K,Faturamento!$L995,'Historico - FAT'!$I:$I,Faturamento!$J995,'Historico - FAT'!$G:$G,Faturamento!$H995)</f>
        <v>37.707500000000003</v>
      </c>
      <c r="AD995" s="31">
        <f>SUMIFS('Historico - FAT'!AM:AM,'Historico - FAT'!$K:$K,Faturamento!$L995,'Historico - FAT'!$I:$I,Faturamento!$J995,'Historico - FAT'!$G:$G,Faturamento!$H995)</f>
        <v>75.415000000000006</v>
      </c>
      <c r="AE995" s="27">
        <f>SUMIFS('Historico - FAT'!AN:AN,'Historico - FAT'!$K:$K,Faturamento!$L995,'Historico - FAT'!$I:$I,Faturamento!$J995,'Historico - FAT'!$G:$G,Faturamento!$H995)</f>
        <v>45.249000000000002</v>
      </c>
      <c r="AG995" s="24">
        <f t="shared" si="226"/>
        <v>-0.29463541666666676</v>
      </c>
      <c r="AH995" s="24">
        <f t="shared" si="227"/>
        <v>0.60721354166666663</v>
      </c>
      <c r="AI995" s="24">
        <f t="shared" si="228"/>
        <v>0.21442708333333327</v>
      </c>
    </row>
    <row r="996" spans="1:35" hidden="1" x14ac:dyDescent="0.3">
      <c r="A996" s="2" t="str">
        <f t="shared" si="225"/>
        <v>NÃO</v>
      </c>
      <c r="B996" s="2">
        <v>1000184670</v>
      </c>
      <c r="C996" s="2" t="s">
        <v>147</v>
      </c>
      <c r="D996" s="4">
        <v>1000186197</v>
      </c>
      <c r="E996" s="4" t="s">
        <v>166</v>
      </c>
      <c r="F996" s="2">
        <v>1000184760</v>
      </c>
      <c r="G996" s="2" t="s">
        <v>60</v>
      </c>
      <c r="H996" s="4">
        <v>1000189797</v>
      </c>
      <c r="I996" s="4" t="s">
        <v>80</v>
      </c>
      <c r="J996" s="2">
        <v>1000189270</v>
      </c>
      <c r="K996" s="2" t="s">
        <v>34</v>
      </c>
      <c r="L996" s="4" t="s">
        <v>15</v>
      </c>
      <c r="M996" s="4" t="str">
        <f t="shared" si="232"/>
        <v>1000184670100018619710001897971000189270DOCES</v>
      </c>
      <c r="N996" s="28">
        <f>N992*_xlfn.XLOOKUP($L996,'Balizador da Meta'!$B$4:$B$21,'Balizador da Meta'!$C$4:$C$21)</f>
        <v>108</v>
      </c>
      <c r="O996" s="28">
        <f>O992*_xlfn.XLOOKUP($L996,'Balizador da Meta'!$B$4:$B$21,'Balizador da Meta'!$C$4:$C$21)</f>
        <v>108</v>
      </c>
      <c r="P996" s="28">
        <f>P992*_xlfn.XLOOKUP($L996,'Balizador da Meta'!$B$4:$B$21,'Balizador da Meta'!$C$4:$C$21)</f>
        <v>108</v>
      </c>
      <c r="Q996" s="28">
        <f>Q992*_xlfn.XLOOKUP($L996,'Balizador da Meta'!$B$4:$B$21,'Balizador da Meta'!$C$4:$C$21)</f>
        <v>108</v>
      </c>
      <c r="R996" s="28">
        <f>R992*_xlfn.XLOOKUP($L996,'Balizador da Meta'!$B$4:$B$21,'Balizador da Meta'!$C$4:$C$21)</f>
        <v>108</v>
      </c>
      <c r="S996" s="28">
        <f>S992*_xlfn.XLOOKUP($L996,'Balizador da Meta'!$B$4:$B$21,'Balizador da Meta'!$C$4:$C$21)</f>
        <v>108</v>
      </c>
      <c r="T996" s="28">
        <f>T992*_xlfn.XLOOKUP($L996,'Balizador da Meta'!$B$4:$B$21,'Balizador da Meta'!$C$4:$C$21)</f>
        <v>108</v>
      </c>
      <c r="U996" s="28">
        <f>U992*_xlfn.XLOOKUP($L996,'Balizador da Meta'!$B$4:$B$21,'Balizador da Meta'!$C$4:$C$21)</f>
        <v>108</v>
      </c>
      <c r="V996" s="28">
        <f>V992*_xlfn.XLOOKUP($L996,'Balizador da Meta'!$B$4:$B$21,'Balizador da Meta'!$C$4:$C$21)</f>
        <v>108</v>
      </c>
      <c r="W996" s="28">
        <f>W992*_xlfn.XLOOKUP($L996,'Balizador da Meta'!$B$4:$B$21,'Balizador da Meta'!$C$4:$C$21)</f>
        <v>108</v>
      </c>
      <c r="X996" s="28">
        <f>X992*_xlfn.XLOOKUP($L996,'Balizador da Meta'!$B$4:$B$21,'Balizador da Meta'!$C$4:$C$21)</f>
        <v>108</v>
      </c>
      <c r="Y996" s="28">
        <f>Y992*_xlfn.XLOOKUP($L996,'Balizador da Meta'!$B$4:$B$21,'Balizador da Meta'!$C$4:$C$21)</f>
        <v>108</v>
      </c>
      <c r="Z996" s="30">
        <f t="shared" si="238"/>
        <v>1296</v>
      </c>
      <c r="AA996" s="29"/>
      <c r="AB996" s="31">
        <f>SUMIFS('Historico - FAT'!AK:AK,'Historico - FAT'!$K:$K,Faturamento!$L996,'Historico - FAT'!$I:$I,Faturamento!$J996,'Historico - FAT'!$G:$G,Faturamento!$H996)</f>
        <v>0</v>
      </c>
      <c r="AC996" s="31">
        <f>SUMIFS('Historico - FAT'!AL:AL,'Historico - FAT'!$K:$K,Faturamento!$L996,'Historico - FAT'!$I:$I,Faturamento!$J996,'Historico - FAT'!$G:$G,Faturamento!$H996)</f>
        <v>38.743333333333332</v>
      </c>
      <c r="AD996" s="31">
        <f>SUMIFS('Historico - FAT'!AM:AM,'Historico - FAT'!$K:$K,Faturamento!$L996,'Historico - FAT'!$I:$I,Faturamento!$J996,'Historico - FAT'!$G:$G,Faturamento!$H996)</f>
        <v>77.486666666666665</v>
      </c>
      <c r="AE996" s="27">
        <f>SUMIFS('Historico - FAT'!AN:AN,'Historico - FAT'!$K:$K,Faturamento!$L996,'Historico - FAT'!$I:$I,Faturamento!$J996,'Historico - FAT'!$G:$G,Faturamento!$H996)</f>
        <v>46.491999999999997</v>
      </c>
      <c r="AG996" s="24">
        <f t="shared" si="226"/>
        <v>1</v>
      </c>
      <c r="AH996" s="24">
        <f t="shared" si="227"/>
        <v>0.64126543209876541</v>
      </c>
      <c r="AI996" s="24">
        <f t="shared" si="228"/>
        <v>0.28253086419753087</v>
      </c>
    </row>
    <row r="997" spans="1:35" hidden="1" x14ac:dyDescent="0.3">
      <c r="A997" s="2" t="str">
        <f t="shared" si="225"/>
        <v>NÃO</v>
      </c>
      <c r="B997" s="2">
        <v>1000184670</v>
      </c>
      <c r="C997" s="2" t="s">
        <v>147</v>
      </c>
      <c r="D997" s="4">
        <v>1000186197</v>
      </c>
      <c r="E997" s="4" t="s">
        <v>166</v>
      </c>
      <c r="F997" s="2">
        <v>1000184760</v>
      </c>
      <c r="G997" s="2" t="s">
        <v>60</v>
      </c>
      <c r="H997" s="4">
        <v>1000189797</v>
      </c>
      <c r="I997" s="4" t="s">
        <v>80</v>
      </c>
      <c r="J997" s="2">
        <v>1000189270</v>
      </c>
      <c r="K997" s="2" t="s">
        <v>34</v>
      </c>
      <c r="L997" s="4" t="s">
        <v>33</v>
      </c>
      <c r="M997" s="4" t="str">
        <f t="shared" si="232"/>
        <v>1000184670100018619710001897971000189270FOOD SERVICE</v>
      </c>
      <c r="N997" s="28">
        <f>N992*_xlfn.XLOOKUP($L997,'Balizador da Meta'!$B$4:$B$21,'Balizador da Meta'!$C$4:$C$21)</f>
        <v>0</v>
      </c>
      <c r="O997" s="28">
        <f>O992*_xlfn.XLOOKUP($L997,'Balizador da Meta'!$B$4:$B$21,'Balizador da Meta'!$C$4:$C$21)</f>
        <v>0</v>
      </c>
      <c r="P997" s="28">
        <f>P992*_xlfn.XLOOKUP($L997,'Balizador da Meta'!$B$4:$B$21,'Balizador da Meta'!$C$4:$C$21)</f>
        <v>0</v>
      </c>
      <c r="Q997" s="28">
        <f>Q992*_xlfn.XLOOKUP($L997,'Balizador da Meta'!$B$4:$B$21,'Balizador da Meta'!$C$4:$C$21)</f>
        <v>0</v>
      </c>
      <c r="R997" s="28">
        <f>R992*_xlfn.XLOOKUP($L997,'Balizador da Meta'!$B$4:$B$21,'Balizador da Meta'!$C$4:$C$21)</f>
        <v>0</v>
      </c>
      <c r="S997" s="28">
        <f>S992*_xlfn.XLOOKUP($L997,'Balizador da Meta'!$B$4:$B$21,'Balizador da Meta'!$C$4:$C$21)</f>
        <v>0</v>
      </c>
      <c r="T997" s="28">
        <f>T992*_xlfn.XLOOKUP($L997,'Balizador da Meta'!$B$4:$B$21,'Balizador da Meta'!$C$4:$C$21)</f>
        <v>0</v>
      </c>
      <c r="U997" s="28">
        <f>U992*_xlfn.XLOOKUP($L997,'Balizador da Meta'!$B$4:$B$21,'Balizador da Meta'!$C$4:$C$21)</f>
        <v>0</v>
      </c>
      <c r="V997" s="28">
        <f>V992*_xlfn.XLOOKUP($L997,'Balizador da Meta'!$B$4:$B$21,'Balizador da Meta'!$C$4:$C$21)</f>
        <v>0</v>
      </c>
      <c r="W997" s="28">
        <f>W992*_xlfn.XLOOKUP($L997,'Balizador da Meta'!$B$4:$B$21,'Balizador da Meta'!$C$4:$C$21)</f>
        <v>0</v>
      </c>
      <c r="X997" s="28">
        <f>X992*_xlfn.XLOOKUP($L997,'Balizador da Meta'!$B$4:$B$21,'Balizador da Meta'!$C$4:$C$21)</f>
        <v>0</v>
      </c>
      <c r="Y997" s="28">
        <f>Y992*_xlfn.XLOOKUP($L997,'Balizador da Meta'!$B$4:$B$21,'Balizador da Meta'!$C$4:$C$21)</f>
        <v>0</v>
      </c>
      <c r="Z997" s="30">
        <f t="shared" si="238"/>
        <v>0</v>
      </c>
      <c r="AA997" s="29"/>
      <c r="AB997" s="31">
        <f>SUMIFS('Historico - FAT'!AK:AK,'Historico - FAT'!$K:$K,Faturamento!$L997,'Historico - FAT'!$I:$I,Faturamento!$J997,'Historico - FAT'!$G:$G,Faturamento!$H997)</f>
        <v>0</v>
      </c>
      <c r="AC997" s="31">
        <f>SUMIFS('Historico - FAT'!AL:AL,'Historico - FAT'!$K:$K,Faturamento!$L997,'Historico - FAT'!$I:$I,Faturamento!$J997,'Historico - FAT'!$G:$G,Faturamento!$H997)</f>
        <v>0</v>
      </c>
      <c r="AD997" s="31">
        <f>SUMIFS('Historico - FAT'!AM:AM,'Historico - FAT'!$K:$K,Faturamento!$L997,'Historico - FAT'!$I:$I,Faturamento!$J997,'Historico - FAT'!$G:$G,Faturamento!$H997)</f>
        <v>0</v>
      </c>
      <c r="AE997" s="27">
        <f>SUMIFS('Historico - FAT'!AN:AN,'Historico - FAT'!$K:$K,Faturamento!$L997,'Historico - FAT'!$I:$I,Faturamento!$J997,'Historico - FAT'!$G:$G,Faturamento!$H997)</f>
        <v>0</v>
      </c>
      <c r="AG997" s="24" t="str">
        <f t="shared" si="226"/>
        <v/>
      </c>
      <c r="AH997" s="24" t="str">
        <f t="shared" si="227"/>
        <v/>
      </c>
      <c r="AI997" s="24" t="str">
        <f t="shared" si="228"/>
        <v/>
      </c>
    </row>
    <row r="998" spans="1:35" hidden="1" x14ac:dyDescent="0.3">
      <c r="A998" s="2" t="str">
        <f t="shared" si="225"/>
        <v>NÃO</v>
      </c>
      <c r="B998" s="2">
        <v>1000184670</v>
      </c>
      <c r="C998" s="2" t="s">
        <v>147</v>
      </c>
      <c r="D998" s="4">
        <v>1000186197</v>
      </c>
      <c r="E998" s="4" t="s">
        <v>166</v>
      </c>
      <c r="F998" s="2">
        <v>1000184760</v>
      </c>
      <c r="G998" s="2" t="s">
        <v>60</v>
      </c>
      <c r="H998" s="4">
        <v>1000189797</v>
      </c>
      <c r="I998" s="4" t="s">
        <v>80</v>
      </c>
      <c r="J998" s="2">
        <v>1000189270</v>
      </c>
      <c r="K998" s="2" t="s">
        <v>34</v>
      </c>
      <c r="L998" s="4" t="s">
        <v>19</v>
      </c>
      <c r="M998" s="4" t="str">
        <f t="shared" si="232"/>
        <v>1000184670100018619710001897971000189270GELEIA</v>
      </c>
      <c r="N998" s="28">
        <f>N992*_xlfn.XLOOKUP($L998,'Balizador da Meta'!$B$4:$B$21,'Balizador da Meta'!$C$4:$C$21)</f>
        <v>23.999999999999996</v>
      </c>
      <c r="O998" s="28">
        <f>O992*_xlfn.XLOOKUP($L998,'Balizador da Meta'!$B$4:$B$21,'Balizador da Meta'!$C$4:$C$21)</f>
        <v>23.999999999999996</v>
      </c>
      <c r="P998" s="28">
        <f>P992*_xlfn.XLOOKUP($L998,'Balizador da Meta'!$B$4:$B$21,'Balizador da Meta'!$C$4:$C$21)</f>
        <v>23.999999999999996</v>
      </c>
      <c r="Q998" s="28">
        <f>Q992*_xlfn.XLOOKUP($L998,'Balizador da Meta'!$B$4:$B$21,'Balizador da Meta'!$C$4:$C$21)</f>
        <v>23.999999999999996</v>
      </c>
      <c r="R998" s="28">
        <f>R992*_xlfn.XLOOKUP($L998,'Balizador da Meta'!$B$4:$B$21,'Balizador da Meta'!$C$4:$C$21)</f>
        <v>23.999999999999996</v>
      </c>
      <c r="S998" s="28">
        <f>S992*_xlfn.XLOOKUP($L998,'Balizador da Meta'!$B$4:$B$21,'Balizador da Meta'!$C$4:$C$21)</f>
        <v>23.999999999999996</v>
      </c>
      <c r="T998" s="28">
        <f>T992*_xlfn.XLOOKUP($L998,'Balizador da Meta'!$B$4:$B$21,'Balizador da Meta'!$C$4:$C$21)</f>
        <v>23.999999999999996</v>
      </c>
      <c r="U998" s="28">
        <f>U992*_xlfn.XLOOKUP($L998,'Balizador da Meta'!$B$4:$B$21,'Balizador da Meta'!$C$4:$C$21)</f>
        <v>23.999999999999996</v>
      </c>
      <c r="V998" s="28">
        <f>V992*_xlfn.XLOOKUP($L998,'Balizador da Meta'!$B$4:$B$21,'Balizador da Meta'!$C$4:$C$21)</f>
        <v>23.999999999999996</v>
      </c>
      <c r="W998" s="28">
        <f>W992*_xlfn.XLOOKUP($L998,'Balizador da Meta'!$B$4:$B$21,'Balizador da Meta'!$C$4:$C$21)</f>
        <v>23.999999999999996</v>
      </c>
      <c r="X998" s="28">
        <f>X992*_xlfn.XLOOKUP($L998,'Balizador da Meta'!$B$4:$B$21,'Balizador da Meta'!$C$4:$C$21)</f>
        <v>23.999999999999996</v>
      </c>
      <c r="Y998" s="28">
        <f>Y992*_xlfn.XLOOKUP($L998,'Balizador da Meta'!$B$4:$B$21,'Balizador da Meta'!$C$4:$C$21)</f>
        <v>23.999999999999996</v>
      </c>
      <c r="Z998" s="30">
        <f t="shared" si="238"/>
        <v>287.99999999999994</v>
      </c>
      <c r="AA998" s="29"/>
      <c r="AB998" s="31">
        <f>SUMIFS('Historico - FAT'!AK:AK,'Historico - FAT'!$K:$K,Faturamento!$L998,'Historico - FAT'!$I:$I,Faturamento!$J998,'Historico - FAT'!$G:$G,Faturamento!$H998)</f>
        <v>0</v>
      </c>
      <c r="AC998" s="31">
        <f>SUMIFS('Historico - FAT'!AL:AL,'Historico - FAT'!$K:$K,Faturamento!$L998,'Historico - FAT'!$I:$I,Faturamento!$J998,'Historico - FAT'!$G:$G,Faturamento!$H998)</f>
        <v>0</v>
      </c>
      <c r="AD998" s="31">
        <f>SUMIFS('Historico - FAT'!AM:AM,'Historico - FAT'!$K:$K,Faturamento!$L998,'Historico - FAT'!$I:$I,Faturamento!$J998,'Historico - FAT'!$G:$G,Faturamento!$H998)</f>
        <v>0</v>
      </c>
      <c r="AE998" s="27">
        <f>SUMIFS('Historico - FAT'!AN:AN,'Historico - FAT'!$K:$K,Faturamento!$L998,'Historico - FAT'!$I:$I,Faturamento!$J998,'Historico - FAT'!$G:$G,Faturamento!$H998)</f>
        <v>0</v>
      </c>
      <c r="AG998" s="24">
        <f t="shared" si="226"/>
        <v>1</v>
      </c>
      <c r="AH998" s="24">
        <f t="shared" si="227"/>
        <v>1</v>
      </c>
      <c r="AI998" s="24">
        <f t="shared" si="228"/>
        <v>1</v>
      </c>
    </row>
    <row r="999" spans="1:35" hidden="1" x14ac:dyDescent="0.3">
      <c r="A999" s="2" t="str">
        <f t="shared" si="225"/>
        <v>NÃO</v>
      </c>
      <c r="B999" s="2">
        <v>1000184670</v>
      </c>
      <c r="C999" s="2" t="s">
        <v>147</v>
      </c>
      <c r="D999" s="4">
        <v>1000186197</v>
      </c>
      <c r="E999" s="4" t="s">
        <v>166</v>
      </c>
      <c r="F999" s="2">
        <v>1000184760</v>
      </c>
      <c r="G999" s="2" t="s">
        <v>60</v>
      </c>
      <c r="H999" s="4">
        <v>1000189797</v>
      </c>
      <c r="I999" s="4" t="s">
        <v>80</v>
      </c>
      <c r="J999" s="2">
        <v>1000189270</v>
      </c>
      <c r="K999" s="2" t="s">
        <v>34</v>
      </c>
      <c r="L999" s="4" t="s">
        <v>17</v>
      </c>
      <c r="M999" s="4" t="str">
        <f t="shared" si="232"/>
        <v>1000184670100018619710001897971000189270GRANOLA</v>
      </c>
      <c r="N999" s="28">
        <f>N992*_xlfn.XLOOKUP($L999,'Balizador da Meta'!$B$4:$B$21,'Balizador da Meta'!$C$4:$C$21)</f>
        <v>24</v>
      </c>
      <c r="O999" s="28">
        <f>O992*_xlfn.XLOOKUP($L999,'Balizador da Meta'!$B$4:$B$21,'Balizador da Meta'!$C$4:$C$21)</f>
        <v>24</v>
      </c>
      <c r="P999" s="28">
        <f>P992*_xlfn.XLOOKUP($L999,'Balizador da Meta'!$B$4:$B$21,'Balizador da Meta'!$C$4:$C$21)</f>
        <v>24</v>
      </c>
      <c r="Q999" s="28">
        <f>Q992*_xlfn.XLOOKUP($L999,'Balizador da Meta'!$B$4:$B$21,'Balizador da Meta'!$C$4:$C$21)</f>
        <v>24</v>
      </c>
      <c r="R999" s="28">
        <f>R992*_xlfn.XLOOKUP($L999,'Balizador da Meta'!$B$4:$B$21,'Balizador da Meta'!$C$4:$C$21)</f>
        <v>24</v>
      </c>
      <c r="S999" s="28">
        <f>S992*_xlfn.XLOOKUP($L999,'Balizador da Meta'!$B$4:$B$21,'Balizador da Meta'!$C$4:$C$21)</f>
        <v>24</v>
      </c>
      <c r="T999" s="28">
        <f>T992*_xlfn.XLOOKUP($L999,'Balizador da Meta'!$B$4:$B$21,'Balizador da Meta'!$C$4:$C$21)</f>
        <v>24</v>
      </c>
      <c r="U999" s="28">
        <f>U992*_xlfn.XLOOKUP($L999,'Balizador da Meta'!$B$4:$B$21,'Balizador da Meta'!$C$4:$C$21)</f>
        <v>24</v>
      </c>
      <c r="V999" s="28">
        <f>V992*_xlfn.XLOOKUP($L999,'Balizador da Meta'!$B$4:$B$21,'Balizador da Meta'!$C$4:$C$21)</f>
        <v>24</v>
      </c>
      <c r="W999" s="28">
        <f>W992*_xlfn.XLOOKUP($L999,'Balizador da Meta'!$B$4:$B$21,'Balizador da Meta'!$C$4:$C$21)</f>
        <v>24</v>
      </c>
      <c r="X999" s="28">
        <f>X992*_xlfn.XLOOKUP($L999,'Balizador da Meta'!$B$4:$B$21,'Balizador da Meta'!$C$4:$C$21)</f>
        <v>24</v>
      </c>
      <c r="Y999" s="28">
        <f>Y992*_xlfn.XLOOKUP($L999,'Balizador da Meta'!$B$4:$B$21,'Balizador da Meta'!$C$4:$C$21)</f>
        <v>24</v>
      </c>
      <c r="Z999" s="30">
        <f t="shared" si="238"/>
        <v>288</v>
      </c>
      <c r="AA999" s="29"/>
      <c r="AB999" s="31">
        <f>SUMIFS('Historico - FAT'!AK:AK,'Historico - FAT'!$K:$K,Faturamento!$L999,'Historico - FAT'!$I:$I,Faturamento!$J999,'Historico - FAT'!$G:$G,Faturamento!$H999)</f>
        <v>0</v>
      </c>
      <c r="AC999" s="31">
        <f>SUMIFS('Historico - FAT'!AL:AL,'Historico - FAT'!$K:$K,Faturamento!$L999,'Historico - FAT'!$I:$I,Faturamento!$J999,'Historico - FAT'!$G:$G,Faturamento!$H999)</f>
        <v>0</v>
      </c>
      <c r="AD999" s="31">
        <f>SUMIFS('Historico - FAT'!AM:AM,'Historico - FAT'!$K:$K,Faturamento!$L999,'Historico - FAT'!$I:$I,Faturamento!$J999,'Historico - FAT'!$G:$G,Faturamento!$H999)</f>
        <v>0</v>
      </c>
      <c r="AE999" s="27">
        <f>SUMIFS('Historico - FAT'!AN:AN,'Historico - FAT'!$K:$K,Faturamento!$L999,'Historico - FAT'!$I:$I,Faturamento!$J999,'Historico - FAT'!$G:$G,Faturamento!$H999)</f>
        <v>0</v>
      </c>
      <c r="AG999" s="24">
        <f t="shared" si="226"/>
        <v>1</v>
      </c>
      <c r="AH999" s="24">
        <f t="shared" si="227"/>
        <v>1</v>
      </c>
      <c r="AI999" s="24">
        <f t="shared" si="228"/>
        <v>1</v>
      </c>
    </row>
    <row r="1000" spans="1:35" hidden="1" x14ac:dyDescent="0.3">
      <c r="A1000" s="2" t="str">
        <f t="shared" si="225"/>
        <v>NÃO</v>
      </c>
      <c r="B1000" s="2">
        <v>1000184670</v>
      </c>
      <c r="C1000" s="2" t="s">
        <v>147</v>
      </c>
      <c r="D1000" s="4">
        <v>1000186197</v>
      </c>
      <c r="E1000" s="4" t="s">
        <v>166</v>
      </c>
      <c r="F1000" s="2">
        <v>1000184760</v>
      </c>
      <c r="G1000" s="2" t="s">
        <v>60</v>
      </c>
      <c r="H1000" s="4">
        <v>1000189797</v>
      </c>
      <c r="I1000" s="4" t="s">
        <v>80</v>
      </c>
      <c r="J1000" s="2">
        <v>1000189270</v>
      </c>
      <c r="K1000" s="2" t="s">
        <v>34</v>
      </c>
      <c r="L1000" s="4" t="s">
        <v>24</v>
      </c>
      <c r="M1000" s="4" t="str">
        <f t="shared" si="232"/>
        <v>1000184670100018619710001897971000189270KIDS</v>
      </c>
      <c r="N1000" s="28">
        <f>N992*_xlfn.XLOOKUP($L1000,'Balizador da Meta'!$B$4:$B$21,'Balizador da Meta'!$C$4:$C$21)</f>
        <v>0</v>
      </c>
      <c r="O1000" s="28">
        <f>O992*_xlfn.XLOOKUP($L1000,'Balizador da Meta'!$B$4:$B$21,'Balizador da Meta'!$C$4:$C$21)</f>
        <v>0</v>
      </c>
      <c r="P1000" s="28">
        <f>P992*_xlfn.XLOOKUP($L1000,'Balizador da Meta'!$B$4:$B$21,'Balizador da Meta'!$C$4:$C$21)</f>
        <v>0</v>
      </c>
      <c r="Q1000" s="28">
        <f>Q992*_xlfn.XLOOKUP($L1000,'Balizador da Meta'!$B$4:$B$21,'Balizador da Meta'!$C$4:$C$21)</f>
        <v>0</v>
      </c>
      <c r="R1000" s="28">
        <f>R992*_xlfn.XLOOKUP($L1000,'Balizador da Meta'!$B$4:$B$21,'Balizador da Meta'!$C$4:$C$21)</f>
        <v>0</v>
      </c>
      <c r="S1000" s="28">
        <f>S992*_xlfn.XLOOKUP($L1000,'Balizador da Meta'!$B$4:$B$21,'Balizador da Meta'!$C$4:$C$21)</f>
        <v>0</v>
      </c>
      <c r="T1000" s="28">
        <f>T992*_xlfn.XLOOKUP($L1000,'Balizador da Meta'!$B$4:$B$21,'Balizador da Meta'!$C$4:$C$21)</f>
        <v>0</v>
      </c>
      <c r="U1000" s="28">
        <f>U992*_xlfn.XLOOKUP($L1000,'Balizador da Meta'!$B$4:$B$21,'Balizador da Meta'!$C$4:$C$21)</f>
        <v>0</v>
      </c>
      <c r="V1000" s="28">
        <f>V992*_xlfn.XLOOKUP($L1000,'Balizador da Meta'!$B$4:$B$21,'Balizador da Meta'!$C$4:$C$21)</f>
        <v>0</v>
      </c>
      <c r="W1000" s="28">
        <f>W992*_xlfn.XLOOKUP($L1000,'Balizador da Meta'!$B$4:$B$21,'Balizador da Meta'!$C$4:$C$21)</f>
        <v>0</v>
      </c>
      <c r="X1000" s="28">
        <f>X992*_xlfn.XLOOKUP($L1000,'Balizador da Meta'!$B$4:$B$21,'Balizador da Meta'!$C$4:$C$21)</f>
        <v>0</v>
      </c>
      <c r="Y1000" s="28">
        <f>Y992*_xlfn.XLOOKUP($L1000,'Balizador da Meta'!$B$4:$B$21,'Balizador da Meta'!$C$4:$C$21)</f>
        <v>0</v>
      </c>
      <c r="Z1000" s="30">
        <f t="shared" si="238"/>
        <v>0</v>
      </c>
      <c r="AA1000" s="29"/>
      <c r="AB1000" s="31">
        <f>SUMIFS('Historico - FAT'!AK:AK,'Historico - FAT'!$K:$K,Faturamento!$L1000,'Historico - FAT'!$I:$I,Faturamento!$J1000,'Historico - FAT'!$G:$G,Faturamento!$H1000)</f>
        <v>22.439999999999998</v>
      </c>
      <c r="AC1000" s="31">
        <f>SUMIFS('Historico - FAT'!AL:AL,'Historico - FAT'!$K:$K,Faturamento!$L1000,'Historico - FAT'!$I:$I,Faturamento!$J1000,'Historico - FAT'!$G:$G,Faturamento!$H1000)</f>
        <v>3.8633333333333333</v>
      </c>
      <c r="AD1000" s="31">
        <f>SUMIFS('Historico - FAT'!AM:AM,'Historico - FAT'!$K:$K,Faturamento!$L1000,'Historico - FAT'!$I:$I,Faturamento!$J1000,'Historico - FAT'!$G:$G,Faturamento!$H1000)</f>
        <v>7.7266666666666666</v>
      </c>
      <c r="AE1000" s="27">
        <f>SUMIFS('Historico - FAT'!AN:AN,'Historico - FAT'!$K:$K,Faturamento!$L1000,'Historico - FAT'!$I:$I,Faturamento!$J1000,'Historico - FAT'!$G:$G,Faturamento!$H1000)</f>
        <v>4.6360000000000001</v>
      </c>
      <c r="AG1000" s="24" t="str">
        <f t="shared" si="226"/>
        <v/>
      </c>
      <c r="AH1000" s="24" t="str">
        <f t="shared" si="227"/>
        <v/>
      </c>
      <c r="AI1000" s="24" t="str">
        <f t="shared" si="228"/>
        <v/>
      </c>
    </row>
    <row r="1001" spans="1:35" hidden="1" x14ac:dyDescent="0.3">
      <c r="A1001" s="2" t="str">
        <f t="shared" si="225"/>
        <v>NÃO</v>
      </c>
      <c r="B1001" s="2">
        <v>1000184670</v>
      </c>
      <c r="C1001" s="2" t="s">
        <v>147</v>
      </c>
      <c r="D1001" s="4">
        <v>1000186197</v>
      </c>
      <c r="E1001" s="4" t="s">
        <v>166</v>
      </c>
      <c r="F1001" s="2">
        <v>1000184760</v>
      </c>
      <c r="G1001" s="2" t="s">
        <v>60</v>
      </c>
      <c r="H1001" s="4">
        <v>1000189797</v>
      </c>
      <c r="I1001" s="4" t="s">
        <v>80</v>
      </c>
      <c r="J1001" s="2">
        <v>1000189270</v>
      </c>
      <c r="K1001" s="2" t="s">
        <v>34</v>
      </c>
      <c r="L1001" s="4" t="s">
        <v>18</v>
      </c>
      <c r="M1001" s="4" t="str">
        <f t="shared" si="232"/>
        <v>1000184670100018619710001897971000189270LANCHES</v>
      </c>
      <c r="N1001" s="28">
        <f>N992*_xlfn.XLOOKUP($L1001,'Balizador da Meta'!$B$4:$B$21,'Balizador da Meta'!$C$4:$C$21)</f>
        <v>12</v>
      </c>
      <c r="O1001" s="28">
        <f>O992*_xlfn.XLOOKUP($L1001,'Balizador da Meta'!$B$4:$B$21,'Balizador da Meta'!$C$4:$C$21)</f>
        <v>12</v>
      </c>
      <c r="P1001" s="28">
        <f>P992*_xlfn.XLOOKUP($L1001,'Balizador da Meta'!$B$4:$B$21,'Balizador da Meta'!$C$4:$C$21)</f>
        <v>12</v>
      </c>
      <c r="Q1001" s="28">
        <f>Q992*_xlfn.XLOOKUP($L1001,'Balizador da Meta'!$B$4:$B$21,'Balizador da Meta'!$C$4:$C$21)</f>
        <v>12</v>
      </c>
      <c r="R1001" s="28">
        <f>R992*_xlfn.XLOOKUP($L1001,'Balizador da Meta'!$B$4:$B$21,'Balizador da Meta'!$C$4:$C$21)</f>
        <v>12</v>
      </c>
      <c r="S1001" s="28">
        <f>S992*_xlfn.XLOOKUP($L1001,'Balizador da Meta'!$B$4:$B$21,'Balizador da Meta'!$C$4:$C$21)</f>
        <v>12</v>
      </c>
      <c r="T1001" s="28">
        <f>T992*_xlfn.XLOOKUP($L1001,'Balizador da Meta'!$B$4:$B$21,'Balizador da Meta'!$C$4:$C$21)</f>
        <v>12</v>
      </c>
      <c r="U1001" s="28">
        <f>U992*_xlfn.XLOOKUP($L1001,'Balizador da Meta'!$B$4:$B$21,'Balizador da Meta'!$C$4:$C$21)</f>
        <v>12</v>
      </c>
      <c r="V1001" s="28">
        <f>V992*_xlfn.XLOOKUP($L1001,'Balizador da Meta'!$B$4:$B$21,'Balizador da Meta'!$C$4:$C$21)</f>
        <v>12</v>
      </c>
      <c r="W1001" s="28">
        <f>W992*_xlfn.XLOOKUP($L1001,'Balizador da Meta'!$B$4:$B$21,'Balizador da Meta'!$C$4:$C$21)</f>
        <v>12</v>
      </c>
      <c r="X1001" s="28">
        <f>X992*_xlfn.XLOOKUP($L1001,'Balizador da Meta'!$B$4:$B$21,'Balizador da Meta'!$C$4:$C$21)</f>
        <v>12</v>
      </c>
      <c r="Y1001" s="28">
        <f>Y992*_xlfn.XLOOKUP($L1001,'Balizador da Meta'!$B$4:$B$21,'Balizador da Meta'!$C$4:$C$21)</f>
        <v>12</v>
      </c>
      <c r="Z1001" s="30">
        <f t="shared" si="238"/>
        <v>144</v>
      </c>
      <c r="AA1001" s="29"/>
      <c r="AB1001" s="31">
        <f>SUMIFS('Historico - FAT'!AK:AK,'Historico - FAT'!$K:$K,Faturamento!$L1001,'Historico - FAT'!$I:$I,Faturamento!$J1001,'Historico - FAT'!$G:$G,Faturamento!$H1001)</f>
        <v>23.099999999999998</v>
      </c>
      <c r="AC1001" s="31">
        <f>SUMIFS('Historico - FAT'!AL:AL,'Historico - FAT'!$K:$K,Faturamento!$L1001,'Historico - FAT'!$I:$I,Faturamento!$J1001,'Historico - FAT'!$G:$G,Faturamento!$H1001)</f>
        <v>3.6666666666666665</v>
      </c>
      <c r="AD1001" s="31">
        <f>SUMIFS('Historico - FAT'!AM:AM,'Historico - FAT'!$K:$K,Faturamento!$L1001,'Historico - FAT'!$I:$I,Faturamento!$J1001,'Historico - FAT'!$G:$G,Faturamento!$H1001)</f>
        <v>7.333333333333333</v>
      </c>
      <c r="AE1001" s="27">
        <f>SUMIFS('Historico - FAT'!AN:AN,'Historico - FAT'!$K:$K,Faturamento!$L1001,'Historico - FAT'!$I:$I,Faturamento!$J1001,'Historico - FAT'!$G:$G,Faturamento!$H1001)</f>
        <v>4.4000000000000004</v>
      </c>
      <c r="AG1001" s="24">
        <f t="shared" si="226"/>
        <v>-0.92499999999999982</v>
      </c>
      <c r="AH1001" s="24">
        <f t="shared" si="227"/>
        <v>0.69444444444444453</v>
      </c>
      <c r="AI1001" s="24">
        <f t="shared" si="228"/>
        <v>0.3888888888888889</v>
      </c>
    </row>
    <row r="1002" spans="1:35" hidden="1" x14ac:dyDescent="0.3">
      <c r="A1002" s="2" t="str">
        <f t="shared" si="225"/>
        <v>NÃO</v>
      </c>
      <c r="B1002" s="2">
        <v>1000184670</v>
      </c>
      <c r="C1002" s="2" t="s">
        <v>147</v>
      </c>
      <c r="D1002" s="4">
        <v>1000186197</v>
      </c>
      <c r="E1002" s="4" t="s">
        <v>166</v>
      </c>
      <c r="F1002" s="2">
        <v>1000184760</v>
      </c>
      <c r="G1002" s="2" t="s">
        <v>60</v>
      </c>
      <c r="H1002" s="4">
        <v>1000189797</v>
      </c>
      <c r="I1002" s="4" t="s">
        <v>80</v>
      </c>
      <c r="J1002" s="2">
        <v>1000189270</v>
      </c>
      <c r="K1002" s="2" t="s">
        <v>34</v>
      </c>
      <c r="L1002" s="4" t="s">
        <v>29</v>
      </c>
      <c r="M1002" s="4" t="str">
        <f t="shared" si="232"/>
        <v>1000184670100018619710001897971000189270MAIS GRANEL</v>
      </c>
      <c r="N1002" s="28">
        <f>N992*_xlfn.XLOOKUP($L1002,'Balizador da Meta'!$B$4:$B$21,'Balizador da Meta'!$C$4:$C$21)</f>
        <v>384</v>
      </c>
      <c r="O1002" s="28">
        <f>O992*_xlfn.XLOOKUP($L1002,'Balizador da Meta'!$B$4:$B$21,'Balizador da Meta'!$C$4:$C$21)</f>
        <v>384</v>
      </c>
      <c r="P1002" s="28">
        <f>P992*_xlfn.XLOOKUP($L1002,'Balizador da Meta'!$B$4:$B$21,'Balizador da Meta'!$C$4:$C$21)</f>
        <v>384</v>
      </c>
      <c r="Q1002" s="28">
        <f>Q992*_xlfn.XLOOKUP($L1002,'Balizador da Meta'!$B$4:$B$21,'Balizador da Meta'!$C$4:$C$21)</f>
        <v>384</v>
      </c>
      <c r="R1002" s="28">
        <f>R992*_xlfn.XLOOKUP($L1002,'Balizador da Meta'!$B$4:$B$21,'Balizador da Meta'!$C$4:$C$21)</f>
        <v>384</v>
      </c>
      <c r="S1002" s="28">
        <f>S992*_xlfn.XLOOKUP($L1002,'Balizador da Meta'!$B$4:$B$21,'Balizador da Meta'!$C$4:$C$21)</f>
        <v>384</v>
      </c>
      <c r="T1002" s="28">
        <f>T992*_xlfn.XLOOKUP($L1002,'Balizador da Meta'!$B$4:$B$21,'Balizador da Meta'!$C$4:$C$21)</f>
        <v>384</v>
      </c>
      <c r="U1002" s="28">
        <f>U992*_xlfn.XLOOKUP($L1002,'Balizador da Meta'!$B$4:$B$21,'Balizador da Meta'!$C$4:$C$21)</f>
        <v>384</v>
      </c>
      <c r="V1002" s="28">
        <f>V992*_xlfn.XLOOKUP($L1002,'Balizador da Meta'!$B$4:$B$21,'Balizador da Meta'!$C$4:$C$21)</f>
        <v>384</v>
      </c>
      <c r="W1002" s="28">
        <f>W992*_xlfn.XLOOKUP($L1002,'Balizador da Meta'!$B$4:$B$21,'Balizador da Meta'!$C$4:$C$21)</f>
        <v>384</v>
      </c>
      <c r="X1002" s="28">
        <f>X992*_xlfn.XLOOKUP($L1002,'Balizador da Meta'!$B$4:$B$21,'Balizador da Meta'!$C$4:$C$21)</f>
        <v>384</v>
      </c>
      <c r="Y1002" s="28">
        <f>Y992*_xlfn.XLOOKUP($L1002,'Balizador da Meta'!$B$4:$B$21,'Balizador da Meta'!$C$4:$C$21)</f>
        <v>384</v>
      </c>
      <c r="Z1002" s="30">
        <f t="shared" si="238"/>
        <v>4608</v>
      </c>
      <c r="AA1002" s="29"/>
      <c r="AB1002" s="31">
        <f>SUMIFS('Historico - FAT'!AK:AK,'Historico - FAT'!$K:$K,Faturamento!$L1002,'Historico - FAT'!$I:$I,Faturamento!$J1002,'Historico - FAT'!$G:$G,Faturamento!$H1002)</f>
        <v>0</v>
      </c>
      <c r="AC1002" s="31">
        <f>SUMIFS('Historico - FAT'!AL:AL,'Historico - FAT'!$K:$K,Faturamento!$L1002,'Historico - FAT'!$I:$I,Faturamento!$J1002,'Historico - FAT'!$G:$G,Faturamento!$H1002)</f>
        <v>45.204166666666673</v>
      </c>
      <c r="AD1002" s="31">
        <f>SUMIFS('Historico - FAT'!AM:AM,'Historico - FAT'!$K:$K,Faturamento!$L1002,'Historico - FAT'!$I:$I,Faturamento!$J1002,'Historico - FAT'!$G:$G,Faturamento!$H1002)</f>
        <v>90.408333333333346</v>
      </c>
      <c r="AE1002" s="27">
        <f>SUMIFS('Historico - FAT'!AN:AN,'Historico - FAT'!$K:$K,Faturamento!$L1002,'Historico - FAT'!$I:$I,Faturamento!$J1002,'Historico - FAT'!$G:$G,Faturamento!$H1002)</f>
        <v>54.245000000000005</v>
      </c>
      <c r="AG1002" s="24">
        <f t="shared" si="226"/>
        <v>1</v>
      </c>
      <c r="AH1002" s="24">
        <f t="shared" si="227"/>
        <v>0.8822808159722223</v>
      </c>
      <c r="AI1002" s="24">
        <f t="shared" si="228"/>
        <v>0.76456163194444438</v>
      </c>
    </row>
    <row r="1003" spans="1:35" hidden="1" x14ac:dyDescent="0.3">
      <c r="A1003" s="2" t="str">
        <f t="shared" si="225"/>
        <v>NÃO</v>
      </c>
      <c r="B1003" s="2">
        <v>1000184670</v>
      </c>
      <c r="C1003" s="2" t="s">
        <v>147</v>
      </c>
      <c r="D1003" s="4">
        <v>1000186197</v>
      </c>
      <c r="E1003" s="4" t="s">
        <v>166</v>
      </c>
      <c r="F1003" s="2">
        <v>1000184760</v>
      </c>
      <c r="G1003" s="2" t="s">
        <v>60</v>
      </c>
      <c r="H1003" s="4">
        <v>1000189797</v>
      </c>
      <c r="I1003" s="4" t="s">
        <v>80</v>
      </c>
      <c r="J1003" s="2">
        <v>1000189270</v>
      </c>
      <c r="K1003" s="2" t="s">
        <v>34</v>
      </c>
      <c r="L1003" s="4" t="s">
        <v>21</v>
      </c>
      <c r="M1003" s="4" t="str">
        <f t="shared" si="232"/>
        <v>1000184670100018619710001897971000189270NATURATTA</v>
      </c>
      <c r="N1003" s="28">
        <f>N992*_xlfn.XLOOKUP($L1003,'Balizador da Meta'!$B$4:$B$21,'Balizador da Meta'!$C$4:$C$21)</f>
        <v>60</v>
      </c>
      <c r="O1003" s="28">
        <f>O992*_xlfn.XLOOKUP($L1003,'Balizador da Meta'!$B$4:$B$21,'Balizador da Meta'!$C$4:$C$21)</f>
        <v>60</v>
      </c>
      <c r="P1003" s="28">
        <f>P992*_xlfn.XLOOKUP($L1003,'Balizador da Meta'!$B$4:$B$21,'Balizador da Meta'!$C$4:$C$21)</f>
        <v>60</v>
      </c>
      <c r="Q1003" s="28">
        <f>Q992*_xlfn.XLOOKUP($L1003,'Balizador da Meta'!$B$4:$B$21,'Balizador da Meta'!$C$4:$C$21)</f>
        <v>60</v>
      </c>
      <c r="R1003" s="28">
        <f>R992*_xlfn.XLOOKUP($L1003,'Balizador da Meta'!$B$4:$B$21,'Balizador da Meta'!$C$4:$C$21)</f>
        <v>60</v>
      </c>
      <c r="S1003" s="28">
        <f>S992*_xlfn.XLOOKUP($L1003,'Balizador da Meta'!$B$4:$B$21,'Balizador da Meta'!$C$4:$C$21)</f>
        <v>60</v>
      </c>
      <c r="T1003" s="28">
        <f>T992*_xlfn.XLOOKUP($L1003,'Balizador da Meta'!$B$4:$B$21,'Balizador da Meta'!$C$4:$C$21)</f>
        <v>60</v>
      </c>
      <c r="U1003" s="28">
        <f>U992*_xlfn.XLOOKUP($L1003,'Balizador da Meta'!$B$4:$B$21,'Balizador da Meta'!$C$4:$C$21)</f>
        <v>60</v>
      </c>
      <c r="V1003" s="28">
        <f>V992*_xlfn.XLOOKUP($L1003,'Balizador da Meta'!$B$4:$B$21,'Balizador da Meta'!$C$4:$C$21)</f>
        <v>60</v>
      </c>
      <c r="W1003" s="28">
        <f>W992*_xlfn.XLOOKUP($L1003,'Balizador da Meta'!$B$4:$B$21,'Balizador da Meta'!$C$4:$C$21)</f>
        <v>60</v>
      </c>
      <c r="X1003" s="28">
        <f>X992*_xlfn.XLOOKUP($L1003,'Balizador da Meta'!$B$4:$B$21,'Balizador da Meta'!$C$4:$C$21)</f>
        <v>60</v>
      </c>
      <c r="Y1003" s="28">
        <f>Y992*_xlfn.XLOOKUP($L1003,'Balizador da Meta'!$B$4:$B$21,'Balizador da Meta'!$C$4:$C$21)</f>
        <v>60</v>
      </c>
      <c r="Z1003" s="30">
        <f t="shared" si="238"/>
        <v>720</v>
      </c>
      <c r="AA1003" s="29"/>
      <c r="AB1003" s="31">
        <f>SUMIFS('Historico - FAT'!AK:AK,'Historico - FAT'!$K:$K,Faturamento!$L1003,'Historico - FAT'!$I:$I,Faturamento!$J1003,'Historico - FAT'!$G:$G,Faturamento!$H1003)</f>
        <v>-338.33333333333331</v>
      </c>
      <c r="AC1003" s="31">
        <f>SUMIFS('Historico - FAT'!AL:AL,'Historico - FAT'!$K:$K,Faturamento!$L1003,'Historico - FAT'!$I:$I,Faturamento!$J1003,'Historico - FAT'!$G:$G,Faturamento!$H1003)</f>
        <v>1.7533333333333332</v>
      </c>
      <c r="AD1003" s="31">
        <f>SUMIFS('Historico - FAT'!AM:AM,'Historico - FAT'!$K:$K,Faturamento!$L1003,'Historico - FAT'!$I:$I,Faturamento!$J1003,'Historico - FAT'!$G:$G,Faturamento!$H1003)</f>
        <v>3.5066666666666664</v>
      </c>
      <c r="AE1003" s="27">
        <f>SUMIFS('Historico - FAT'!AN:AN,'Historico - FAT'!$K:$K,Faturamento!$L1003,'Historico - FAT'!$I:$I,Faturamento!$J1003,'Historico - FAT'!$G:$G,Faturamento!$H1003)</f>
        <v>2.1040000000000001</v>
      </c>
      <c r="AG1003" s="24">
        <f t="shared" si="226"/>
        <v>6.6388888888888884</v>
      </c>
      <c r="AH1003" s="24">
        <f t="shared" si="227"/>
        <v>0.97077777777777785</v>
      </c>
      <c r="AI1003" s="24">
        <f t="shared" si="228"/>
        <v>0.94155555555555559</v>
      </c>
    </row>
    <row r="1004" spans="1:35" hidden="1" x14ac:dyDescent="0.3">
      <c r="A1004" s="2" t="str">
        <f t="shared" si="225"/>
        <v>NÃO</v>
      </c>
      <c r="B1004" s="2">
        <v>1000184670</v>
      </c>
      <c r="C1004" s="2" t="s">
        <v>147</v>
      </c>
      <c r="D1004" s="4">
        <v>1000186197</v>
      </c>
      <c r="E1004" s="4" t="s">
        <v>166</v>
      </c>
      <c r="F1004" s="2">
        <v>1000184760</v>
      </c>
      <c r="G1004" s="2" t="s">
        <v>60</v>
      </c>
      <c r="H1004" s="4">
        <v>1000189797</v>
      </c>
      <c r="I1004" s="4" t="s">
        <v>80</v>
      </c>
      <c r="J1004" s="2">
        <v>1000189270</v>
      </c>
      <c r="K1004" s="2" t="s">
        <v>34</v>
      </c>
      <c r="L1004" s="4" t="s">
        <v>20</v>
      </c>
      <c r="M1004" s="4" t="str">
        <f t="shared" si="232"/>
        <v>1000184670100018619710001897971000189270REEMBALADOS</v>
      </c>
      <c r="N1004" s="28">
        <f>N992*_xlfn.XLOOKUP($L1004,'Balizador da Meta'!$B$4:$B$21,'Balizador da Meta'!$C$4:$C$21)</f>
        <v>48</v>
      </c>
      <c r="O1004" s="28">
        <f>O992*_xlfn.XLOOKUP($L1004,'Balizador da Meta'!$B$4:$B$21,'Balizador da Meta'!$C$4:$C$21)</f>
        <v>48</v>
      </c>
      <c r="P1004" s="28">
        <f>P992*_xlfn.XLOOKUP($L1004,'Balizador da Meta'!$B$4:$B$21,'Balizador da Meta'!$C$4:$C$21)</f>
        <v>48</v>
      </c>
      <c r="Q1004" s="28">
        <f>Q992*_xlfn.XLOOKUP($L1004,'Balizador da Meta'!$B$4:$B$21,'Balizador da Meta'!$C$4:$C$21)</f>
        <v>48</v>
      </c>
      <c r="R1004" s="28">
        <f>R992*_xlfn.XLOOKUP($L1004,'Balizador da Meta'!$B$4:$B$21,'Balizador da Meta'!$C$4:$C$21)</f>
        <v>48</v>
      </c>
      <c r="S1004" s="28">
        <f>S992*_xlfn.XLOOKUP($L1004,'Balizador da Meta'!$B$4:$B$21,'Balizador da Meta'!$C$4:$C$21)</f>
        <v>48</v>
      </c>
      <c r="T1004" s="28">
        <f>T992*_xlfn.XLOOKUP($L1004,'Balizador da Meta'!$B$4:$B$21,'Balizador da Meta'!$C$4:$C$21)</f>
        <v>48</v>
      </c>
      <c r="U1004" s="28">
        <f>U992*_xlfn.XLOOKUP($L1004,'Balizador da Meta'!$B$4:$B$21,'Balizador da Meta'!$C$4:$C$21)</f>
        <v>48</v>
      </c>
      <c r="V1004" s="28">
        <f>V992*_xlfn.XLOOKUP($L1004,'Balizador da Meta'!$B$4:$B$21,'Balizador da Meta'!$C$4:$C$21)</f>
        <v>48</v>
      </c>
      <c r="W1004" s="28">
        <f>W992*_xlfn.XLOOKUP($L1004,'Balizador da Meta'!$B$4:$B$21,'Balizador da Meta'!$C$4:$C$21)</f>
        <v>48</v>
      </c>
      <c r="X1004" s="28">
        <f>X992*_xlfn.XLOOKUP($L1004,'Balizador da Meta'!$B$4:$B$21,'Balizador da Meta'!$C$4:$C$21)</f>
        <v>48</v>
      </c>
      <c r="Y1004" s="28">
        <f>Y992*_xlfn.XLOOKUP($L1004,'Balizador da Meta'!$B$4:$B$21,'Balizador da Meta'!$C$4:$C$21)</f>
        <v>48</v>
      </c>
      <c r="Z1004" s="30">
        <f t="shared" si="238"/>
        <v>576</v>
      </c>
      <c r="AA1004" s="29"/>
      <c r="AB1004" s="31">
        <f>SUMIFS('Historico - FAT'!AK:AK,'Historico - FAT'!$K:$K,Faturamento!$L1004,'Historico - FAT'!$I:$I,Faturamento!$J1004,'Historico - FAT'!$G:$G,Faturamento!$H1004)</f>
        <v>0</v>
      </c>
      <c r="AC1004" s="31">
        <f>SUMIFS('Historico - FAT'!AL:AL,'Historico - FAT'!$K:$K,Faturamento!$L1004,'Historico - FAT'!$I:$I,Faturamento!$J1004,'Historico - FAT'!$G:$G,Faturamento!$H1004)</f>
        <v>16.408333333333335</v>
      </c>
      <c r="AD1004" s="31">
        <f>SUMIFS('Historico - FAT'!AM:AM,'Historico - FAT'!$K:$K,Faturamento!$L1004,'Historico - FAT'!$I:$I,Faturamento!$J1004,'Historico - FAT'!$G:$G,Faturamento!$H1004)</f>
        <v>32.81666666666667</v>
      </c>
      <c r="AE1004" s="27">
        <f>SUMIFS('Historico - FAT'!AN:AN,'Historico - FAT'!$K:$K,Faturamento!$L1004,'Historico - FAT'!$I:$I,Faturamento!$J1004,'Historico - FAT'!$G:$G,Faturamento!$H1004)</f>
        <v>19.690000000000001</v>
      </c>
      <c r="AG1004" s="24">
        <f t="shared" si="226"/>
        <v>1</v>
      </c>
      <c r="AH1004" s="24">
        <f t="shared" si="227"/>
        <v>0.65815972222222219</v>
      </c>
      <c r="AI1004" s="24">
        <f t="shared" si="228"/>
        <v>0.31631944444444438</v>
      </c>
    </row>
    <row r="1005" spans="1:35" hidden="1" x14ac:dyDescent="0.3">
      <c r="A1005" s="2" t="str">
        <f t="shared" si="225"/>
        <v>NÃO</v>
      </c>
      <c r="B1005" s="2">
        <v>1000184670</v>
      </c>
      <c r="C1005" s="2" t="s">
        <v>147</v>
      </c>
      <c r="D1005" s="4">
        <v>1000186197</v>
      </c>
      <c r="E1005" s="4" t="s">
        <v>166</v>
      </c>
      <c r="F1005" s="2">
        <v>1000184760</v>
      </c>
      <c r="G1005" s="2" t="s">
        <v>60</v>
      </c>
      <c r="H1005" s="4">
        <v>1000189797</v>
      </c>
      <c r="I1005" s="4" t="s">
        <v>80</v>
      </c>
      <c r="J1005" s="2">
        <v>1000189270</v>
      </c>
      <c r="K1005" s="2" t="s">
        <v>34</v>
      </c>
      <c r="L1005" s="4" t="s">
        <v>22</v>
      </c>
      <c r="M1005" s="4" t="str">
        <f t="shared" si="232"/>
        <v>1000184670100018619710001897971000189270S GLUTEN</v>
      </c>
      <c r="N1005" s="28">
        <f>N992*_xlfn.XLOOKUP($L1005,'Balizador da Meta'!$B$4:$B$21,'Balizador da Meta'!$C$4:$C$21)</f>
        <v>48</v>
      </c>
      <c r="O1005" s="28">
        <f>O992*_xlfn.XLOOKUP($L1005,'Balizador da Meta'!$B$4:$B$21,'Balizador da Meta'!$C$4:$C$21)</f>
        <v>48</v>
      </c>
      <c r="P1005" s="28">
        <f>P992*_xlfn.XLOOKUP($L1005,'Balizador da Meta'!$B$4:$B$21,'Balizador da Meta'!$C$4:$C$21)</f>
        <v>48</v>
      </c>
      <c r="Q1005" s="28">
        <f>Q992*_xlfn.XLOOKUP($L1005,'Balizador da Meta'!$B$4:$B$21,'Balizador da Meta'!$C$4:$C$21)</f>
        <v>48</v>
      </c>
      <c r="R1005" s="28">
        <f>R992*_xlfn.XLOOKUP($L1005,'Balizador da Meta'!$B$4:$B$21,'Balizador da Meta'!$C$4:$C$21)</f>
        <v>48</v>
      </c>
      <c r="S1005" s="28">
        <f>S992*_xlfn.XLOOKUP($L1005,'Balizador da Meta'!$B$4:$B$21,'Balizador da Meta'!$C$4:$C$21)</f>
        <v>48</v>
      </c>
      <c r="T1005" s="28">
        <f>T992*_xlfn.XLOOKUP($L1005,'Balizador da Meta'!$B$4:$B$21,'Balizador da Meta'!$C$4:$C$21)</f>
        <v>48</v>
      </c>
      <c r="U1005" s="28">
        <f>U992*_xlfn.XLOOKUP($L1005,'Balizador da Meta'!$B$4:$B$21,'Balizador da Meta'!$C$4:$C$21)</f>
        <v>48</v>
      </c>
      <c r="V1005" s="28">
        <f>V992*_xlfn.XLOOKUP($L1005,'Balizador da Meta'!$B$4:$B$21,'Balizador da Meta'!$C$4:$C$21)</f>
        <v>48</v>
      </c>
      <c r="W1005" s="28">
        <f>W992*_xlfn.XLOOKUP($L1005,'Balizador da Meta'!$B$4:$B$21,'Balizador da Meta'!$C$4:$C$21)</f>
        <v>48</v>
      </c>
      <c r="X1005" s="28">
        <f>X992*_xlfn.XLOOKUP($L1005,'Balizador da Meta'!$B$4:$B$21,'Balizador da Meta'!$C$4:$C$21)</f>
        <v>48</v>
      </c>
      <c r="Y1005" s="28">
        <f>Y992*_xlfn.XLOOKUP($L1005,'Balizador da Meta'!$B$4:$B$21,'Balizador da Meta'!$C$4:$C$21)</f>
        <v>48</v>
      </c>
      <c r="Z1005" s="30">
        <f t="shared" si="238"/>
        <v>576</v>
      </c>
      <c r="AA1005" s="29"/>
      <c r="AB1005" s="31">
        <f>SUMIFS('Historico - FAT'!AK:AK,'Historico - FAT'!$K:$K,Faturamento!$L1005,'Historico - FAT'!$I:$I,Faturamento!$J1005,'Historico - FAT'!$G:$G,Faturamento!$H1005)</f>
        <v>740.5</v>
      </c>
      <c r="AC1005" s="31">
        <f>SUMIFS('Historico - FAT'!AL:AL,'Historico - FAT'!$K:$K,Faturamento!$L1005,'Historico - FAT'!$I:$I,Faturamento!$J1005,'Historico - FAT'!$G:$G,Faturamento!$H1005)</f>
        <v>558.10833333333323</v>
      </c>
      <c r="AD1005" s="31">
        <f>SUMIFS('Historico - FAT'!AM:AM,'Historico - FAT'!$K:$K,Faturamento!$L1005,'Historico - FAT'!$I:$I,Faturamento!$J1005,'Historico - FAT'!$G:$G,Faturamento!$H1005)</f>
        <v>566.2166666666667</v>
      </c>
      <c r="AE1005" s="27">
        <f>SUMIFS('Historico - FAT'!AN:AN,'Historico - FAT'!$K:$K,Faturamento!$L1005,'Historico - FAT'!$I:$I,Faturamento!$J1005,'Historico - FAT'!$G:$G,Faturamento!$H1005)</f>
        <v>339.73</v>
      </c>
      <c r="AG1005" s="24">
        <f t="shared" si="226"/>
        <v>-14.427083333333334</v>
      </c>
      <c r="AH1005" s="24">
        <f t="shared" si="227"/>
        <v>-10.627256944444442</v>
      </c>
      <c r="AI1005" s="24">
        <f t="shared" si="228"/>
        <v>-10.796180555555557</v>
      </c>
    </row>
    <row r="1006" spans="1:35" hidden="1" x14ac:dyDescent="0.3">
      <c r="A1006" s="2" t="str">
        <f t="shared" si="225"/>
        <v>NÃO</v>
      </c>
      <c r="B1006" s="2">
        <v>1000184670</v>
      </c>
      <c r="C1006" s="2" t="s">
        <v>147</v>
      </c>
      <c r="D1006" s="4">
        <v>1000186197</v>
      </c>
      <c r="E1006" s="4" t="s">
        <v>166</v>
      </c>
      <c r="F1006" s="2">
        <v>1000184760</v>
      </c>
      <c r="G1006" s="2" t="s">
        <v>60</v>
      </c>
      <c r="H1006" s="4">
        <v>1000189797</v>
      </c>
      <c r="I1006" s="4" t="s">
        <v>80</v>
      </c>
      <c r="J1006" s="2">
        <v>1000189270</v>
      </c>
      <c r="K1006" s="2" t="s">
        <v>34</v>
      </c>
      <c r="L1006" s="4" t="s">
        <v>23</v>
      </c>
      <c r="M1006" s="4" t="str">
        <f t="shared" si="232"/>
        <v>1000184670100018619710001897971000189270SABORES DO CAMPO</v>
      </c>
      <c r="N1006" s="28">
        <f>N992*_xlfn.XLOOKUP($L1006,'Balizador da Meta'!$B$4:$B$21,'Balizador da Meta'!$C$4:$C$21)</f>
        <v>0</v>
      </c>
      <c r="O1006" s="28">
        <f>O992*_xlfn.XLOOKUP($L1006,'Balizador da Meta'!$B$4:$B$21,'Balizador da Meta'!$C$4:$C$21)</f>
        <v>0</v>
      </c>
      <c r="P1006" s="28">
        <f>P992*_xlfn.XLOOKUP($L1006,'Balizador da Meta'!$B$4:$B$21,'Balizador da Meta'!$C$4:$C$21)</f>
        <v>0</v>
      </c>
      <c r="Q1006" s="28">
        <f>Q992*_xlfn.XLOOKUP($L1006,'Balizador da Meta'!$B$4:$B$21,'Balizador da Meta'!$C$4:$C$21)</f>
        <v>0</v>
      </c>
      <c r="R1006" s="28">
        <f>R992*_xlfn.XLOOKUP($L1006,'Balizador da Meta'!$B$4:$B$21,'Balizador da Meta'!$C$4:$C$21)</f>
        <v>0</v>
      </c>
      <c r="S1006" s="28">
        <f>S992*_xlfn.XLOOKUP($L1006,'Balizador da Meta'!$B$4:$B$21,'Balizador da Meta'!$C$4:$C$21)</f>
        <v>0</v>
      </c>
      <c r="T1006" s="28">
        <f>T992*_xlfn.XLOOKUP($L1006,'Balizador da Meta'!$B$4:$B$21,'Balizador da Meta'!$C$4:$C$21)</f>
        <v>0</v>
      </c>
      <c r="U1006" s="28">
        <f>U992*_xlfn.XLOOKUP($L1006,'Balizador da Meta'!$B$4:$B$21,'Balizador da Meta'!$C$4:$C$21)</f>
        <v>0</v>
      </c>
      <c r="V1006" s="28">
        <f>V992*_xlfn.XLOOKUP($L1006,'Balizador da Meta'!$B$4:$B$21,'Balizador da Meta'!$C$4:$C$21)</f>
        <v>0</v>
      </c>
      <c r="W1006" s="28">
        <f>W992*_xlfn.XLOOKUP($L1006,'Balizador da Meta'!$B$4:$B$21,'Balizador da Meta'!$C$4:$C$21)</f>
        <v>0</v>
      </c>
      <c r="X1006" s="28">
        <f>X992*_xlfn.XLOOKUP($L1006,'Balizador da Meta'!$B$4:$B$21,'Balizador da Meta'!$C$4:$C$21)</f>
        <v>0</v>
      </c>
      <c r="Y1006" s="28">
        <f>Y992*_xlfn.XLOOKUP($L1006,'Balizador da Meta'!$B$4:$B$21,'Balizador da Meta'!$C$4:$C$21)</f>
        <v>0</v>
      </c>
      <c r="Z1006" s="30">
        <f t="shared" si="238"/>
        <v>0</v>
      </c>
      <c r="AA1006" s="29"/>
      <c r="AB1006" s="31">
        <f>SUMIFS('Historico - FAT'!AK:AK,'Historico - FAT'!$K:$K,Faturamento!$L1006,'Historico - FAT'!$I:$I,Faturamento!$J1006,'Historico - FAT'!$G:$G,Faturamento!$H1006)</f>
        <v>0</v>
      </c>
      <c r="AC1006" s="31">
        <f>SUMIFS('Historico - FAT'!AL:AL,'Historico - FAT'!$K:$K,Faturamento!$L1006,'Historico - FAT'!$I:$I,Faturamento!$J1006,'Historico - FAT'!$G:$G,Faturamento!$H1006)</f>
        <v>10.782499999999999</v>
      </c>
      <c r="AD1006" s="31">
        <f>SUMIFS('Historico - FAT'!AM:AM,'Historico - FAT'!$K:$K,Faturamento!$L1006,'Historico - FAT'!$I:$I,Faturamento!$J1006,'Historico - FAT'!$G:$G,Faturamento!$H1006)</f>
        <v>21.564999999999998</v>
      </c>
      <c r="AE1006" s="27">
        <f>SUMIFS('Historico - FAT'!AN:AN,'Historico - FAT'!$K:$K,Faturamento!$L1006,'Historico - FAT'!$I:$I,Faturamento!$J1006,'Historico - FAT'!$G:$G,Faturamento!$H1006)</f>
        <v>12.938999999999998</v>
      </c>
      <c r="AG1006" s="24" t="str">
        <f t="shared" si="226"/>
        <v/>
      </c>
      <c r="AH1006" s="24" t="str">
        <f t="shared" si="227"/>
        <v/>
      </c>
      <c r="AI1006" s="24" t="str">
        <f t="shared" si="228"/>
        <v/>
      </c>
    </row>
    <row r="1007" spans="1:35" hidden="1" x14ac:dyDescent="0.3">
      <c r="A1007" s="2" t="str">
        <f t="shared" si="225"/>
        <v>NÃO</v>
      </c>
      <c r="B1007" s="2">
        <v>1000184670</v>
      </c>
      <c r="C1007" s="2" t="s">
        <v>147</v>
      </c>
      <c r="D1007" s="4">
        <v>1000186197</v>
      </c>
      <c r="E1007" s="4" t="s">
        <v>166</v>
      </c>
      <c r="F1007" s="2">
        <v>1000184760</v>
      </c>
      <c r="G1007" s="2" t="s">
        <v>60</v>
      </c>
      <c r="H1007" s="4">
        <v>1000189797</v>
      </c>
      <c r="I1007" s="4" t="s">
        <v>80</v>
      </c>
      <c r="J1007" s="2">
        <v>1000189270</v>
      </c>
      <c r="K1007" s="2" t="s">
        <v>34</v>
      </c>
      <c r="L1007" s="4" t="s">
        <v>28</v>
      </c>
      <c r="M1007" s="4" t="str">
        <f t="shared" si="232"/>
        <v>1000184670100018619710001897971000189270SAL</v>
      </c>
      <c r="N1007" s="28">
        <f>N992*_xlfn.XLOOKUP($L1007,'Balizador da Meta'!$B$4:$B$21,'Balizador da Meta'!$C$4:$C$21)</f>
        <v>24</v>
      </c>
      <c r="O1007" s="28">
        <f>O992*_xlfn.XLOOKUP($L1007,'Balizador da Meta'!$B$4:$B$21,'Balizador da Meta'!$C$4:$C$21)</f>
        <v>24</v>
      </c>
      <c r="P1007" s="28">
        <f>P992*_xlfn.XLOOKUP($L1007,'Balizador da Meta'!$B$4:$B$21,'Balizador da Meta'!$C$4:$C$21)</f>
        <v>24</v>
      </c>
      <c r="Q1007" s="28">
        <f>Q992*_xlfn.XLOOKUP($L1007,'Balizador da Meta'!$B$4:$B$21,'Balizador da Meta'!$C$4:$C$21)</f>
        <v>24</v>
      </c>
      <c r="R1007" s="28">
        <f>R992*_xlfn.XLOOKUP($L1007,'Balizador da Meta'!$B$4:$B$21,'Balizador da Meta'!$C$4:$C$21)</f>
        <v>24</v>
      </c>
      <c r="S1007" s="28">
        <f>S992*_xlfn.XLOOKUP($L1007,'Balizador da Meta'!$B$4:$B$21,'Balizador da Meta'!$C$4:$C$21)</f>
        <v>24</v>
      </c>
      <c r="T1007" s="28">
        <f>T992*_xlfn.XLOOKUP($L1007,'Balizador da Meta'!$B$4:$B$21,'Balizador da Meta'!$C$4:$C$21)</f>
        <v>24</v>
      </c>
      <c r="U1007" s="28">
        <f>U992*_xlfn.XLOOKUP($L1007,'Balizador da Meta'!$B$4:$B$21,'Balizador da Meta'!$C$4:$C$21)</f>
        <v>24</v>
      </c>
      <c r="V1007" s="28">
        <f>V992*_xlfn.XLOOKUP($L1007,'Balizador da Meta'!$B$4:$B$21,'Balizador da Meta'!$C$4:$C$21)</f>
        <v>24</v>
      </c>
      <c r="W1007" s="28">
        <f>W992*_xlfn.XLOOKUP($L1007,'Balizador da Meta'!$B$4:$B$21,'Balizador da Meta'!$C$4:$C$21)</f>
        <v>24</v>
      </c>
      <c r="X1007" s="28">
        <f>X992*_xlfn.XLOOKUP($L1007,'Balizador da Meta'!$B$4:$B$21,'Balizador da Meta'!$C$4:$C$21)</f>
        <v>24</v>
      </c>
      <c r="Y1007" s="28">
        <f>Y992*_xlfn.XLOOKUP($L1007,'Balizador da Meta'!$B$4:$B$21,'Balizador da Meta'!$C$4:$C$21)</f>
        <v>24</v>
      </c>
      <c r="Z1007" s="30">
        <f t="shared" si="238"/>
        <v>288</v>
      </c>
      <c r="AA1007" s="29"/>
      <c r="AB1007" s="31">
        <f>SUMIFS('Historico - FAT'!AK:AK,'Historico - FAT'!$K:$K,Faturamento!$L1007,'Historico - FAT'!$I:$I,Faturamento!$J1007,'Historico - FAT'!$G:$G,Faturamento!$H1007)</f>
        <v>0</v>
      </c>
      <c r="AC1007" s="31">
        <f>SUMIFS('Historico - FAT'!AL:AL,'Historico - FAT'!$K:$K,Faturamento!$L1007,'Historico - FAT'!$I:$I,Faturamento!$J1007,'Historico - FAT'!$G:$G,Faturamento!$H1007)</f>
        <v>0</v>
      </c>
      <c r="AD1007" s="31">
        <f>SUMIFS('Historico - FAT'!AM:AM,'Historico - FAT'!$K:$K,Faturamento!$L1007,'Historico - FAT'!$I:$I,Faturamento!$J1007,'Historico - FAT'!$G:$G,Faturamento!$H1007)</f>
        <v>0</v>
      </c>
      <c r="AE1007" s="27">
        <f>SUMIFS('Historico - FAT'!AN:AN,'Historico - FAT'!$K:$K,Faturamento!$L1007,'Historico - FAT'!$I:$I,Faturamento!$J1007,'Historico - FAT'!$G:$G,Faturamento!$H1007)</f>
        <v>0</v>
      </c>
      <c r="AG1007" s="24">
        <f t="shared" si="226"/>
        <v>1</v>
      </c>
      <c r="AH1007" s="24">
        <f t="shared" si="227"/>
        <v>1</v>
      </c>
      <c r="AI1007" s="24">
        <f t="shared" si="228"/>
        <v>1</v>
      </c>
    </row>
    <row r="1008" spans="1:35" hidden="1" x14ac:dyDescent="0.3">
      <c r="A1008" s="2" t="str">
        <f t="shared" si="225"/>
        <v>NÃO</v>
      </c>
      <c r="B1008" s="2">
        <v>1000184670</v>
      </c>
      <c r="C1008" s="2" t="s">
        <v>147</v>
      </c>
      <c r="D1008" s="4">
        <v>1000186197</v>
      </c>
      <c r="E1008" s="4" t="s">
        <v>166</v>
      </c>
      <c r="F1008" s="2">
        <v>1000184760</v>
      </c>
      <c r="G1008" s="2" t="s">
        <v>60</v>
      </c>
      <c r="H1008" s="4">
        <v>1000189797</v>
      </c>
      <c r="I1008" s="4" t="s">
        <v>80</v>
      </c>
      <c r="J1008" s="2">
        <v>1000189270</v>
      </c>
      <c r="K1008" s="2" t="s">
        <v>34</v>
      </c>
      <c r="L1008" s="4" t="s">
        <v>26</v>
      </c>
      <c r="M1008" s="4" t="str">
        <f t="shared" si="232"/>
        <v>1000184670100018619710001897971000189270SOULPRO</v>
      </c>
      <c r="N1008" s="28">
        <f>N992*_xlfn.XLOOKUP($L1008,'Balizador da Meta'!$B$4:$B$21,'Balizador da Meta'!$C$4:$C$21)</f>
        <v>72</v>
      </c>
      <c r="O1008" s="28">
        <f>O992*_xlfn.XLOOKUP($L1008,'Balizador da Meta'!$B$4:$B$21,'Balizador da Meta'!$C$4:$C$21)</f>
        <v>72</v>
      </c>
      <c r="P1008" s="28">
        <f>P992*_xlfn.XLOOKUP($L1008,'Balizador da Meta'!$B$4:$B$21,'Balizador da Meta'!$C$4:$C$21)</f>
        <v>72</v>
      </c>
      <c r="Q1008" s="28">
        <f>Q992*_xlfn.XLOOKUP($L1008,'Balizador da Meta'!$B$4:$B$21,'Balizador da Meta'!$C$4:$C$21)</f>
        <v>72</v>
      </c>
      <c r="R1008" s="28">
        <f>R992*_xlfn.XLOOKUP($L1008,'Balizador da Meta'!$B$4:$B$21,'Balizador da Meta'!$C$4:$C$21)</f>
        <v>72</v>
      </c>
      <c r="S1008" s="28">
        <f>S992*_xlfn.XLOOKUP($L1008,'Balizador da Meta'!$B$4:$B$21,'Balizador da Meta'!$C$4:$C$21)</f>
        <v>72</v>
      </c>
      <c r="T1008" s="28">
        <f>T992*_xlfn.XLOOKUP($L1008,'Balizador da Meta'!$B$4:$B$21,'Balizador da Meta'!$C$4:$C$21)</f>
        <v>72</v>
      </c>
      <c r="U1008" s="28">
        <f>U992*_xlfn.XLOOKUP($L1008,'Balizador da Meta'!$B$4:$B$21,'Balizador da Meta'!$C$4:$C$21)</f>
        <v>72</v>
      </c>
      <c r="V1008" s="28">
        <f>V992*_xlfn.XLOOKUP($L1008,'Balizador da Meta'!$B$4:$B$21,'Balizador da Meta'!$C$4:$C$21)</f>
        <v>72</v>
      </c>
      <c r="W1008" s="28">
        <f>W992*_xlfn.XLOOKUP($L1008,'Balizador da Meta'!$B$4:$B$21,'Balizador da Meta'!$C$4:$C$21)</f>
        <v>72</v>
      </c>
      <c r="X1008" s="28">
        <f>X992*_xlfn.XLOOKUP($L1008,'Balizador da Meta'!$B$4:$B$21,'Balizador da Meta'!$C$4:$C$21)</f>
        <v>72</v>
      </c>
      <c r="Y1008" s="28">
        <f>Y992*_xlfn.XLOOKUP($L1008,'Balizador da Meta'!$B$4:$B$21,'Balizador da Meta'!$C$4:$C$21)</f>
        <v>72</v>
      </c>
      <c r="Z1008" s="30">
        <f t="shared" si="238"/>
        <v>864</v>
      </c>
      <c r="AA1008" s="29"/>
      <c r="AB1008" s="31">
        <f>SUMIFS('Historico - FAT'!AK:AK,'Historico - FAT'!$K:$K,Faturamento!$L1008,'Historico - FAT'!$I:$I,Faturamento!$J1008,'Historico - FAT'!$G:$G,Faturamento!$H1008)</f>
        <v>0</v>
      </c>
      <c r="AC1008" s="31">
        <f>SUMIFS('Historico - FAT'!AL:AL,'Historico - FAT'!$K:$K,Faturamento!$L1008,'Historico - FAT'!$I:$I,Faturamento!$J1008,'Historico - FAT'!$G:$G,Faturamento!$H1008)</f>
        <v>0</v>
      </c>
      <c r="AD1008" s="31">
        <f>SUMIFS('Historico - FAT'!AM:AM,'Historico - FAT'!$K:$K,Faturamento!$L1008,'Historico - FAT'!$I:$I,Faturamento!$J1008,'Historico - FAT'!$G:$G,Faturamento!$H1008)</f>
        <v>0</v>
      </c>
      <c r="AE1008" s="27">
        <f>SUMIFS('Historico - FAT'!AN:AN,'Historico - FAT'!$K:$K,Faturamento!$L1008,'Historico - FAT'!$I:$I,Faturamento!$J1008,'Historico - FAT'!$G:$G,Faturamento!$H1008)</f>
        <v>0</v>
      </c>
      <c r="AG1008" s="24">
        <f t="shared" si="226"/>
        <v>1</v>
      </c>
      <c r="AH1008" s="24">
        <f t="shared" si="227"/>
        <v>1</v>
      </c>
      <c r="AI1008" s="24">
        <f t="shared" si="228"/>
        <v>1</v>
      </c>
    </row>
    <row r="1009" spans="1:35" hidden="1" x14ac:dyDescent="0.3">
      <c r="A1009" s="2" t="str">
        <f t="shared" si="225"/>
        <v>NÃO</v>
      </c>
      <c r="B1009" s="2">
        <v>1000184670</v>
      </c>
      <c r="C1009" s="2" t="s">
        <v>147</v>
      </c>
      <c r="D1009" s="4">
        <v>1000186197</v>
      </c>
      <c r="E1009" s="4" t="s">
        <v>166</v>
      </c>
      <c r="F1009" s="2">
        <v>1000184760</v>
      </c>
      <c r="G1009" s="2" t="s">
        <v>60</v>
      </c>
      <c r="H1009" s="4">
        <v>1000189797</v>
      </c>
      <c r="I1009" s="4" t="s">
        <v>80</v>
      </c>
      <c r="J1009" s="2">
        <v>1000189270</v>
      </c>
      <c r="K1009" s="2" t="s">
        <v>34</v>
      </c>
      <c r="L1009" s="4" t="s">
        <v>27</v>
      </c>
      <c r="M1009" s="4" t="str">
        <f t="shared" si="232"/>
        <v>1000184670100018619710001897971000189270TAMARA</v>
      </c>
      <c r="N1009" s="28">
        <f>N992*_xlfn.XLOOKUP($L1009,'Balizador da Meta'!$B$4:$B$21,'Balizador da Meta'!$C$4:$C$21)</f>
        <v>96</v>
      </c>
      <c r="O1009" s="28">
        <f>O992*_xlfn.XLOOKUP($L1009,'Balizador da Meta'!$B$4:$B$21,'Balizador da Meta'!$C$4:$C$21)</f>
        <v>96</v>
      </c>
      <c r="P1009" s="28">
        <f>P992*_xlfn.XLOOKUP($L1009,'Balizador da Meta'!$B$4:$B$21,'Balizador da Meta'!$C$4:$C$21)</f>
        <v>96</v>
      </c>
      <c r="Q1009" s="28">
        <f>Q992*_xlfn.XLOOKUP($L1009,'Balizador da Meta'!$B$4:$B$21,'Balizador da Meta'!$C$4:$C$21)</f>
        <v>96</v>
      </c>
      <c r="R1009" s="28">
        <f>R992*_xlfn.XLOOKUP($L1009,'Balizador da Meta'!$B$4:$B$21,'Balizador da Meta'!$C$4:$C$21)</f>
        <v>96</v>
      </c>
      <c r="S1009" s="28">
        <f>S992*_xlfn.XLOOKUP($L1009,'Balizador da Meta'!$B$4:$B$21,'Balizador da Meta'!$C$4:$C$21)</f>
        <v>96</v>
      </c>
      <c r="T1009" s="28">
        <f>T992*_xlfn.XLOOKUP($L1009,'Balizador da Meta'!$B$4:$B$21,'Balizador da Meta'!$C$4:$C$21)</f>
        <v>96</v>
      </c>
      <c r="U1009" s="28">
        <f>U992*_xlfn.XLOOKUP($L1009,'Balizador da Meta'!$B$4:$B$21,'Balizador da Meta'!$C$4:$C$21)</f>
        <v>96</v>
      </c>
      <c r="V1009" s="28">
        <f>V992*_xlfn.XLOOKUP($L1009,'Balizador da Meta'!$B$4:$B$21,'Balizador da Meta'!$C$4:$C$21)</f>
        <v>96</v>
      </c>
      <c r="W1009" s="28">
        <f>W992*_xlfn.XLOOKUP($L1009,'Balizador da Meta'!$B$4:$B$21,'Balizador da Meta'!$C$4:$C$21)</f>
        <v>96</v>
      </c>
      <c r="X1009" s="28">
        <f>X992*_xlfn.XLOOKUP($L1009,'Balizador da Meta'!$B$4:$B$21,'Balizador da Meta'!$C$4:$C$21)</f>
        <v>96</v>
      </c>
      <c r="Y1009" s="28">
        <f>Y992*_xlfn.XLOOKUP($L1009,'Balizador da Meta'!$B$4:$B$21,'Balizador da Meta'!$C$4:$C$21)</f>
        <v>96</v>
      </c>
      <c r="Z1009" s="30">
        <f t="shared" si="238"/>
        <v>1152</v>
      </c>
      <c r="AA1009" s="29"/>
      <c r="AB1009" s="31">
        <f>SUMIFS('Historico - FAT'!AK:AK,'Historico - FAT'!$K:$K,Faturamento!$L1009,'Historico - FAT'!$I:$I,Faturamento!$J1009,'Historico - FAT'!$G:$G,Faturamento!$H1009)</f>
        <v>0</v>
      </c>
      <c r="AC1009" s="31">
        <f>SUMIFS('Historico - FAT'!AL:AL,'Historico - FAT'!$K:$K,Faturamento!$L1009,'Historico - FAT'!$I:$I,Faturamento!$J1009,'Historico - FAT'!$G:$G,Faturamento!$H1009)</f>
        <v>0</v>
      </c>
      <c r="AD1009" s="31">
        <f>SUMIFS('Historico - FAT'!AM:AM,'Historico - FAT'!$K:$K,Faturamento!$L1009,'Historico - FAT'!$I:$I,Faturamento!$J1009,'Historico - FAT'!$G:$G,Faturamento!$H1009)</f>
        <v>0</v>
      </c>
      <c r="AE1009" s="27">
        <f>SUMIFS('Historico - FAT'!AN:AN,'Historico - FAT'!$K:$K,Faturamento!$L1009,'Historico - FAT'!$I:$I,Faturamento!$J1009,'Historico - FAT'!$G:$G,Faturamento!$H1009)</f>
        <v>0</v>
      </c>
      <c r="AG1009" s="24">
        <f t="shared" si="226"/>
        <v>1</v>
      </c>
      <c r="AH1009" s="24">
        <f t="shared" si="227"/>
        <v>1</v>
      </c>
      <c r="AI1009" s="24">
        <f t="shared" si="228"/>
        <v>1</v>
      </c>
    </row>
    <row r="1010" spans="1:35" hidden="1" x14ac:dyDescent="0.3">
      <c r="A1010" s="2" t="str">
        <f t="shared" ref="A1010:A1073" si="239">IF(OR(H1010&lt;&gt;H1009,J1010&lt;&gt;J1009),"SIM","NÃO")</f>
        <v>NÃO</v>
      </c>
      <c r="B1010" s="2">
        <v>1000184670</v>
      </c>
      <c r="C1010" s="2" t="s">
        <v>147</v>
      </c>
      <c r="D1010" s="4">
        <v>1000186197</v>
      </c>
      <c r="E1010" s="4" t="s">
        <v>166</v>
      </c>
      <c r="F1010" s="2">
        <v>1000184760</v>
      </c>
      <c r="G1010" s="2" t="s">
        <v>60</v>
      </c>
      <c r="H1010" s="4">
        <v>1000189797</v>
      </c>
      <c r="I1010" s="4" t="s">
        <v>80</v>
      </c>
      <c r="J1010" s="2">
        <v>1000189270</v>
      </c>
      <c r="K1010" s="2" t="s">
        <v>34</v>
      </c>
      <c r="L1010" s="4" t="s">
        <v>25</v>
      </c>
      <c r="M1010" s="4" t="str">
        <f t="shared" si="232"/>
        <v>1000184670100018619710001897971000189270VICCIO</v>
      </c>
      <c r="N1010" s="28">
        <f>N992*_xlfn.XLOOKUP($L1010,'Balizador da Meta'!$B$4:$B$21,'Balizador da Meta'!$C$4:$C$21)</f>
        <v>36</v>
      </c>
      <c r="O1010" s="28">
        <f>O992*_xlfn.XLOOKUP($L1010,'Balizador da Meta'!$B$4:$B$21,'Balizador da Meta'!$C$4:$C$21)</f>
        <v>36</v>
      </c>
      <c r="P1010" s="28">
        <f>P992*_xlfn.XLOOKUP($L1010,'Balizador da Meta'!$B$4:$B$21,'Balizador da Meta'!$C$4:$C$21)</f>
        <v>36</v>
      </c>
      <c r="Q1010" s="28">
        <f>Q992*_xlfn.XLOOKUP($L1010,'Balizador da Meta'!$B$4:$B$21,'Balizador da Meta'!$C$4:$C$21)</f>
        <v>36</v>
      </c>
      <c r="R1010" s="28">
        <f>R992*_xlfn.XLOOKUP($L1010,'Balizador da Meta'!$B$4:$B$21,'Balizador da Meta'!$C$4:$C$21)</f>
        <v>36</v>
      </c>
      <c r="S1010" s="28">
        <f>S992*_xlfn.XLOOKUP($L1010,'Balizador da Meta'!$B$4:$B$21,'Balizador da Meta'!$C$4:$C$21)</f>
        <v>36</v>
      </c>
      <c r="T1010" s="28">
        <f>T992*_xlfn.XLOOKUP($L1010,'Balizador da Meta'!$B$4:$B$21,'Balizador da Meta'!$C$4:$C$21)</f>
        <v>36</v>
      </c>
      <c r="U1010" s="28">
        <f>U992*_xlfn.XLOOKUP($L1010,'Balizador da Meta'!$B$4:$B$21,'Balizador da Meta'!$C$4:$C$21)</f>
        <v>36</v>
      </c>
      <c r="V1010" s="28">
        <f>V992*_xlfn.XLOOKUP($L1010,'Balizador da Meta'!$B$4:$B$21,'Balizador da Meta'!$C$4:$C$21)</f>
        <v>36</v>
      </c>
      <c r="W1010" s="28">
        <f>W992*_xlfn.XLOOKUP($L1010,'Balizador da Meta'!$B$4:$B$21,'Balizador da Meta'!$C$4:$C$21)</f>
        <v>36</v>
      </c>
      <c r="X1010" s="28">
        <f>X992*_xlfn.XLOOKUP($L1010,'Balizador da Meta'!$B$4:$B$21,'Balizador da Meta'!$C$4:$C$21)</f>
        <v>36</v>
      </c>
      <c r="Y1010" s="28">
        <f>Y992*_xlfn.XLOOKUP($L1010,'Balizador da Meta'!$B$4:$B$21,'Balizador da Meta'!$C$4:$C$21)</f>
        <v>36</v>
      </c>
      <c r="Z1010" s="30">
        <f t="shared" si="238"/>
        <v>432</v>
      </c>
      <c r="AA1010" s="29"/>
      <c r="AB1010" s="31">
        <f>SUMIFS('Historico - FAT'!AK:AK,'Historico - FAT'!$K:$K,Faturamento!$L1010,'Historico - FAT'!$I:$I,Faturamento!$J1010,'Historico - FAT'!$G:$G,Faturamento!$H1010)</f>
        <v>0</v>
      </c>
      <c r="AC1010" s="31">
        <f>SUMIFS('Historico - FAT'!AL:AL,'Historico - FAT'!$K:$K,Faturamento!$L1010,'Historico - FAT'!$I:$I,Faturamento!$J1010,'Historico - FAT'!$G:$G,Faturamento!$H1010)</f>
        <v>0</v>
      </c>
      <c r="AD1010" s="31">
        <f>SUMIFS('Historico - FAT'!AM:AM,'Historico - FAT'!$K:$K,Faturamento!$L1010,'Historico - FAT'!$I:$I,Faturamento!$J1010,'Historico - FAT'!$G:$G,Faturamento!$H1010)</f>
        <v>0</v>
      </c>
      <c r="AE1010" s="27">
        <f>SUMIFS('Historico - FAT'!AN:AN,'Historico - FAT'!$K:$K,Faturamento!$L1010,'Historico - FAT'!$I:$I,Faturamento!$J1010,'Historico - FAT'!$G:$G,Faturamento!$H1010)</f>
        <v>0</v>
      </c>
      <c r="AG1010" s="24">
        <f t="shared" ref="AG1010:AG1073" si="240">IFERROR((AVERAGE(W1010:Y1010)-AB1010)/AVERAGE(W1010:Y1010),"")</f>
        <v>1</v>
      </c>
      <c r="AH1010" s="24">
        <f t="shared" ref="AH1010:AH1073" si="241">IFERROR((AVERAGE(W1010:Y1010)-AC1010)/AVERAGE(W1010:Y1010),"")</f>
        <v>1</v>
      </c>
      <c r="AI1010" s="24">
        <f t="shared" ref="AI1010:AI1073" si="242">IFERROR((AVERAGE(W1010:Y1010)-AD1010)/AVERAGE(W1010:Y1010),"")</f>
        <v>1</v>
      </c>
    </row>
    <row r="1011" spans="1:35" x14ac:dyDescent="0.3">
      <c r="A1011" s="2" t="str">
        <f t="shared" si="239"/>
        <v>SIM</v>
      </c>
      <c r="B1011" s="2">
        <v>1000184670</v>
      </c>
      <c r="C1011" s="2" t="s">
        <v>147</v>
      </c>
      <c r="D1011" s="4">
        <v>1000186197</v>
      </c>
      <c r="E1011" s="4" t="s">
        <v>166</v>
      </c>
      <c r="F1011" s="2">
        <v>1000184760</v>
      </c>
      <c r="G1011" s="2" t="s">
        <v>60</v>
      </c>
      <c r="H1011" s="4">
        <v>1000189798</v>
      </c>
      <c r="I1011" s="4" t="s">
        <v>110</v>
      </c>
      <c r="J1011" s="2">
        <v>1000189270</v>
      </c>
      <c r="K1011" s="2" t="s">
        <v>34</v>
      </c>
      <c r="L1011" s="4" t="s">
        <v>124</v>
      </c>
      <c r="M1011" s="4" t="str">
        <f t="shared" si="232"/>
        <v>100018467010001861971000189798100018927001. TOTAL</v>
      </c>
      <c r="N1011" s="28">
        <f>SUMIFS(Positivação!L:L,Positivação!$I:$I,Faturamento!$J1011,Positivação!$G:$G,Faturamento!$H1011)*SUMIFS(Positivação!$Z:$Z,Positivação!$I:$I,Faturamento!$J1011,Positivação!$G:$G,Faturamento!$H1011)</f>
        <v>0</v>
      </c>
      <c r="O1011" s="28">
        <f>SUMIFS(Positivação!M:M,Positivação!$I:$I,Faturamento!$J1011,Positivação!$G:$G,Faturamento!$H1011)*SUMIFS(Positivação!$Z:$Z,Positivação!$I:$I,Faturamento!$J1011,Positivação!$G:$G,Faturamento!$H1011)</f>
        <v>0</v>
      </c>
      <c r="P1011" s="28">
        <f>SUMIFS(Positivação!N:N,Positivação!$I:$I,Faturamento!$J1011,Positivação!$G:$G,Faturamento!$H1011)*SUMIFS(Positivação!$Z:$Z,Positivação!$I:$I,Faturamento!$J1011,Positivação!$G:$G,Faturamento!$H1011)</f>
        <v>0</v>
      </c>
      <c r="Q1011" s="28">
        <f>SUMIFS(Positivação!O:O,Positivação!$I:$I,Faturamento!$J1011,Positivação!$G:$G,Faturamento!$H1011)*SUMIFS(Positivação!$Z:$Z,Positivação!$I:$I,Faturamento!$J1011,Positivação!$G:$G,Faturamento!$H1011)</f>
        <v>0</v>
      </c>
      <c r="R1011" s="28">
        <f>SUMIFS(Positivação!P:P,Positivação!$I:$I,Faturamento!$J1011,Positivação!$G:$G,Faturamento!$H1011)*SUMIFS(Positivação!$Z:$Z,Positivação!$I:$I,Faturamento!$J1011,Positivação!$G:$G,Faturamento!$H1011)</f>
        <v>0</v>
      </c>
      <c r="S1011" s="28">
        <f>SUMIFS(Positivação!Q:Q,Positivação!$I:$I,Faturamento!$J1011,Positivação!$G:$G,Faturamento!$H1011)*SUMIFS(Positivação!$Z:$Z,Positivação!$I:$I,Faturamento!$J1011,Positivação!$G:$G,Faturamento!$H1011)</f>
        <v>0</v>
      </c>
      <c r="T1011" s="28">
        <f>SUMIFS(Positivação!R:R,Positivação!$I:$I,Faturamento!$J1011,Positivação!$G:$G,Faturamento!$H1011)*SUMIFS(Positivação!$Z:$Z,Positivação!$I:$I,Faturamento!$J1011,Positivação!$G:$G,Faturamento!$H1011)</f>
        <v>0</v>
      </c>
      <c r="U1011" s="28">
        <f>SUMIFS(Positivação!S:S,Positivação!$I:$I,Faturamento!$J1011,Positivação!$G:$G,Faturamento!$H1011)*SUMIFS(Positivação!$Z:$Z,Positivação!$I:$I,Faturamento!$J1011,Positivação!$G:$G,Faturamento!$H1011)</f>
        <v>0</v>
      </c>
      <c r="V1011" s="28">
        <f>SUMIFS(Positivação!T:T,Positivação!$I:$I,Faturamento!$J1011,Positivação!$G:$G,Faturamento!$H1011)*SUMIFS(Positivação!$Z:$Z,Positivação!$I:$I,Faturamento!$J1011,Positivação!$G:$G,Faturamento!$H1011)</f>
        <v>0</v>
      </c>
      <c r="W1011" s="28">
        <f>SUMIFS(Positivação!U:U,Positivação!$I:$I,Faturamento!$J1011,Positivação!$G:$G,Faturamento!$H1011)*SUMIFS(Positivação!$Z:$Z,Positivação!$I:$I,Faturamento!$J1011,Positivação!$G:$G,Faturamento!$H1011)</f>
        <v>0</v>
      </c>
      <c r="X1011" s="28">
        <f>SUMIFS(Positivação!V:V,Positivação!$I:$I,Faturamento!$J1011,Positivação!$G:$G,Faturamento!$H1011)*SUMIFS(Positivação!$Z:$Z,Positivação!$I:$I,Faturamento!$J1011,Positivação!$G:$G,Faturamento!$H1011)</f>
        <v>0</v>
      </c>
      <c r="Y1011" s="28">
        <f>SUMIFS(Positivação!W:W,Positivação!$I:$I,Faturamento!$J1011,Positivação!$G:$G,Faturamento!$H1011)*SUMIFS(Positivação!$Z:$Z,Positivação!$I:$I,Faturamento!$J1011,Positivação!$G:$G,Faturamento!$H1011)</f>
        <v>0</v>
      </c>
      <c r="Z1011" s="28">
        <f t="shared" ref="Z1011" si="243">SUM(Z1012:Z1029)</f>
        <v>0</v>
      </c>
      <c r="AA1011" s="29"/>
      <c r="AB1011" s="28">
        <f t="shared" ref="AB1011:AD1011" si="244">SUM(AB1012:AB1029)</f>
        <v>0</v>
      </c>
      <c r="AC1011" s="28">
        <f t="shared" si="244"/>
        <v>356.04916666666674</v>
      </c>
      <c r="AD1011" s="28">
        <f t="shared" si="244"/>
        <v>712.09833333333347</v>
      </c>
      <c r="AE1011" s="28">
        <f t="shared" ref="AE1011" si="245">SUM(AE1012:AE1029)</f>
        <v>427.25899999999996</v>
      </c>
      <c r="AG1011" s="24" t="str">
        <f t="shared" si="240"/>
        <v/>
      </c>
      <c r="AH1011" s="24" t="str">
        <f t="shared" si="241"/>
        <v/>
      </c>
      <c r="AI1011" s="24" t="str">
        <f t="shared" si="242"/>
        <v/>
      </c>
    </row>
    <row r="1012" spans="1:35" hidden="1" x14ac:dyDescent="0.3">
      <c r="A1012" s="2" t="str">
        <f t="shared" si="239"/>
        <v>NÃO</v>
      </c>
      <c r="B1012" s="2">
        <v>1000184670</v>
      </c>
      <c r="C1012" s="2" t="s">
        <v>147</v>
      </c>
      <c r="D1012" s="4">
        <v>1000186197</v>
      </c>
      <c r="E1012" s="4" t="s">
        <v>166</v>
      </c>
      <c r="F1012" s="2">
        <v>1000184760</v>
      </c>
      <c r="G1012" s="2" t="s">
        <v>60</v>
      </c>
      <c r="H1012" s="4">
        <v>1000189798</v>
      </c>
      <c r="I1012" s="4" t="s">
        <v>110</v>
      </c>
      <c r="J1012" s="2">
        <v>1000189270</v>
      </c>
      <c r="K1012" s="2" t="s">
        <v>34</v>
      </c>
      <c r="L1012" s="4" t="s">
        <v>13</v>
      </c>
      <c r="M1012" s="4" t="str">
        <f t="shared" si="232"/>
        <v>1000184670100018619710001897981000189270BISCOITO</v>
      </c>
      <c r="N1012" s="28">
        <f>N1011*_xlfn.XLOOKUP($L1012,'Balizador da Meta'!$B$4:$B$21,'Balizador da Meta'!$C$4:$C$21)</f>
        <v>0</v>
      </c>
      <c r="O1012" s="28">
        <f>O1011*_xlfn.XLOOKUP($L1012,'Balizador da Meta'!$B$4:$B$21,'Balizador da Meta'!$C$4:$C$21)</f>
        <v>0</v>
      </c>
      <c r="P1012" s="28">
        <f>P1011*_xlfn.XLOOKUP($L1012,'Balizador da Meta'!$B$4:$B$21,'Balizador da Meta'!$C$4:$C$21)</f>
        <v>0</v>
      </c>
      <c r="Q1012" s="28">
        <f>Q1011*_xlfn.XLOOKUP($L1012,'Balizador da Meta'!$B$4:$B$21,'Balizador da Meta'!$C$4:$C$21)</f>
        <v>0</v>
      </c>
      <c r="R1012" s="28">
        <f>R1011*_xlfn.XLOOKUP($L1012,'Balizador da Meta'!$B$4:$B$21,'Balizador da Meta'!$C$4:$C$21)</f>
        <v>0</v>
      </c>
      <c r="S1012" s="28">
        <f>S1011*_xlfn.XLOOKUP($L1012,'Balizador da Meta'!$B$4:$B$21,'Balizador da Meta'!$C$4:$C$21)</f>
        <v>0</v>
      </c>
      <c r="T1012" s="28">
        <f>T1011*_xlfn.XLOOKUP($L1012,'Balizador da Meta'!$B$4:$B$21,'Balizador da Meta'!$C$4:$C$21)</f>
        <v>0</v>
      </c>
      <c r="U1012" s="28">
        <f>U1011*_xlfn.XLOOKUP($L1012,'Balizador da Meta'!$B$4:$B$21,'Balizador da Meta'!$C$4:$C$21)</f>
        <v>0</v>
      </c>
      <c r="V1012" s="28">
        <f>V1011*_xlfn.XLOOKUP($L1012,'Balizador da Meta'!$B$4:$B$21,'Balizador da Meta'!$C$4:$C$21)</f>
        <v>0</v>
      </c>
      <c r="W1012" s="28">
        <f>W1011*_xlfn.XLOOKUP($L1012,'Balizador da Meta'!$B$4:$B$21,'Balizador da Meta'!$C$4:$C$21)</f>
        <v>0</v>
      </c>
      <c r="X1012" s="28">
        <f>X1011*_xlfn.XLOOKUP($L1012,'Balizador da Meta'!$B$4:$B$21,'Balizador da Meta'!$C$4:$C$21)</f>
        <v>0</v>
      </c>
      <c r="Y1012" s="28">
        <f>Y1011*_xlfn.XLOOKUP($L1012,'Balizador da Meta'!$B$4:$B$21,'Balizador da Meta'!$C$4:$C$21)</f>
        <v>0</v>
      </c>
      <c r="Z1012" s="30">
        <f t="shared" ref="Z1012:Z1029" si="246">SUM(N1012:Y1012)</f>
        <v>0</v>
      </c>
      <c r="AA1012" s="29"/>
      <c r="AB1012" s="31">
        <f>SUMIFS('Historico - FAT'!AK:AK,'Historico - FAT'!$K:$K,Faturamento!$L1012,'Historico - FAT'!$I:$I,Faturamento!$J1012,'Historico - FAT'!$G:$G,Faturamento!$H1012)</f>
        <v>0</v>
      </c>
      <c r="AC1012" s="31">
        <f>SUMIFS('Historico - FAT'!AL:AL,'Historico - FAT'!$K:$K,Faturamento!$L1012,'Historico - FAT'!$I:$I,Faturamento!$J1012,'Historico - FAT'!$G:$G,Faturamento!$H1012)</f>
        <v>0</v>
      </c>
      <c r="AD1012" s="31">
        <f>SUMIFS('Historico - FAT'!AM:AM,'Historico - FAT'!$K:$K,Faturamento!$L1012,'Historico - FAT'!$I:$I,Faturamento!$J1012,'Historico - FAT'!$G:$G,Faturamento!$H1012)</f>
        <v>0</v>
      </c>
      <c r="AE1012" s="27">
        <f>SUMIFS('Historico - FAT'!AN:AN,'Historico - FAT'!$K:$K,Faturamento!$L1012,'Historico - FAT'!$I:$I,Faturamento!$J1012,'Historico - FAT'!$G:$G,Faturamento!$H1012)</f>
        <v>0</v>
      </c>
      <c r="AG1012" s="24" t="str">
        <f t="shared" si="240"/>
        <v/>
      </c>
      <c r="AH1012" s="24" t="str">
        <f t="shared" si="241"/>
        <v/>
      </c>
      <c r="AI1012" s="24" t="str">
        <f t="shared" si="242"/>
        <v/>
      </c>
    </row>
    <row r="1013" spans="1:35" hidden="1" x14ac:dyDescent="0.3">
      <c r="A1013" s="2" t="str">
        <f t="shared" si="239"/>
        <v>NÃO</v>
      </c>
      <c r="B1013" s="2">
        <v>1000184670</v>
      </c>
      <c r="C1013" s="2" t="s">
        <v>147</v>
      </c>
      <c r="D1013" s="4">
        <v>1000186197</v>
      </c>
      <c r="E1013" s="4" t="s">
        <v>166</v>
      </c>
      <c r="F1013" s="2">
        <v>1000184760</v>
      </c>
      <c r="G1013" s="2" t="s">
        <v>60</v>
      </c>
      <c r="H1013" s="4">
        <v>1000189798</v>
      </c>
      <c r="I1013" s="4" t="s">
        <v>110</v>
      </c>
      <c r="J1013" s="2">
        <v>1000189270</v>
      </c>
      <c r="K1013" s="2" t="s">
        <v>34</v>
      </c>
      <c r="L1013" s="4" t="s">
        <v>14</v>
      </c>
      <c r="M1013" s="4" t="str">
        <f t="shared" si="232"/>
        <v>1000184670100018619710001897981000189270CHOCOLATES</v>
      </c>
      <c r="N1013" s="28">
        <f>N1011*_xlfn.XLOOKUP($L1013,'Balizador da Meta'!$B$4:$B$21,'Balizador da Meta'!$C$4:$C$21)</f>
        <v>0</v>
      </c>
      <c r="O1013" s="28">
        <f>O1011*_xlfn.XLOOKUP($L1013,'Balizador da Meta'!$B$4:$B$21,'Balizador da Meta'!$C$4:$C$21)</f>
        <v>0</v>
      </c>
      <c r="P1013" s="28">
        <f>P1011*_xlfn.XLOOKUP($L1013,'Balizador da Meta'!$B$4:$B$21,'Balizador da Meta'!$C$4:$C$21)</f>
        <v>0</v>
      </c>
      <c r="Q1013" s="28">
        <f>Q1011*_xlfn.XLOOKUP($L1013,'Balizador da Meta'!$B$4:$B$21,'Balizador da Meta'!$C$4:$C$21)</f>
        <v>0</v>
      </c>
      <c r="R1013" s="28">
        <f>R1011*_xlfn.XLOOKUP($L1013,'Balizador da Meta'!$B$4:$B$21,'Balizador da Meta'!$C$4:$C$21)</f>
        <v>0</v>
      </c>
      <c r="S1013" s="28">
        <f>S1011*_xlfn.XLOOKUP($L1013,'Balizador da Meta'!$B$4:$B$21,'Balizador da Meta'!$C$4:$C$21)</f>
        <v>0</v>
      </c>
      <c r="T1013" s="28">
        <f>T1011*_xlfn.XLOOKUP($L1013,'Balizador da Meta'!$B$4:$B$21,'Balizador da Meta'!$C$4:$C$21)</f>
        <v>0</v>
      </c>
      <c r="U1013" s="28">
        <f>U1011*_xlfn.XLOOKUP($L1013,'Balizador da Meta'!$B$4:$B$21,'Balizador da Meta'!$C$4:$C$21)</f>
        <v>0</v>
      </c>
      <c r="V1013" s="28">
        <f>V1011*_xlfn.XLOOKUP($L1013,'Balizador da Meta'!$B$4:$B$21,'Balizador da Meta'!$C$4:$C$21)</f>
        <v>0</v>
      </c>
      <c r="W1013" s="28">
        <f>W1011*_xlfn.XLOOKUP($L1013,'Balizador da Meta'!$B$4:$B$21,'Balizador da Meta'!$C$4:$C$21)</f>
        <v>0</v>
      </c>
      <c r="X1013" s="28">
        <f>X1011*_xlfn.XLOOKUP($L1013,'Balizador da Meta'!$B$4:$B$21,'Balizador da Meta'!$C$4:$C$21)</f>
        <v>0</v>
      </c>
      <c r="Y1013" s="28">
        <f>Y1011*_xlfn.XLOOKUP($L1013,'Balizador da Meta'!$B$4:$B$21,'Balizador da Meta'!$C$4:$C$21)</f>
        <v>0</v>
      </c>
      <c r="Z1013" s="30">
        <f t="shared" si="246"/>
        <v>0</v>
      </c>
      <c r="AA1013" s="29"/>
      <c r="AB1013" s="31">
        <f>SUMIFS('Historico - FAT'!AK:AK,'Historico - FAT'!$K:$K,Faturamento!$L1013,'Historico - FAT'!$I:$I,Faturamento!$J1013,'Historico - FAT'!$G:$G,Faturamento!$H1013)</f>
        <v>0</v>
      </c>
      <c r="AC1013" s="31">
        <f>SUMIFS('Historico - FAT'!AL:AL,'Historico - FAT'!$K:$K,Faturamento!$L1013,'Historico - FAT'!$I:$I,Faturamento!$J1013,'Historico - FAT'!$G:$G,Faturamento!$H1013)</f>
        <v>0</v>
      </c>
      <c r="AD1013" s="31">
        <f>SUMIFS('Historico - FAT'!AM:AM,'Historico - FAT'!$K:$K,Faturamento!$L1013,'Historico - FAT'!$I:$I,Faturamento!$J1013,'Historico - FAT'!$G:$G,Faturamento!$H1013)</f>
        <v>0</v>
      </c>
      <c r="AE1013" s="27">
        <f>SUMIFS('Historico - FAT'!AN:AN,'Historico - FAT'!$K:$K,Faturamento!$L1013,'Historico - FAT'!$I:$I,Faturamento!$J1013,'Historico - FAT'!$G:$G,Faturamento!$H1013)</f>
        <v>0</v>
      </c>
      <c r="AG1013" s="24" t="str">
        <f t="shared" si="240"/>
        <v/>
      </c>
      <c r="AH1013" s="24" t="str">
        <f t="shared" si="241"/>
        <v/>
      </c>
      <c r="AI1013" s="24" t="str">
        <f t="shared" si="242"/>
        <v/>
      </c>
    </row>
    <row r="1014" spans="1:35" hidden="1" x14ac:dyDescent="0.3">
      <c r="A1014" s="2" t="str">
        <f t="shared" si="239"/>
        <v>NÃO</v>
      </c>
      <c r="B1014" s="2">
        <v>1000184670</v>
      </c>
      <c r="C1014" s="2" t="s">
        <v>147</v>
      </c>
      <c r="D1014" s="4">
        <v>1000186197</v>
      </c>
      <c r="E1014" s="4" t="s">
        <v>166</v>
      </c>
      <c r="F1014" s="2">
        <v>1000184760</v>
      </c>
      <c r="G1014" s="2" t="s">
        <v>60</v>
      </c>
      <c r="H1014" s="4">
        <v>1000189798</v>
      </c>
      <c r="I1014" s="4" t="s">
        <v>110</v>
      </c>
      <c r="J1014" s="2">
        <v>1000189270</v>
      </c>
      <c r="K1014" s="2" t="s">
        <v>34</v>
      </c>
      <c r="L1014" s="4" t="s">
        <v>16</v>
      </c>
      <c r="M1014" s="4" t="str">
        <f t="shared" si="232"/>
        <v>1000184670100018619710001897981000189270DISNEY</v>
      </c>
      <c r="N1014" s="28">
        <f>N1011*_xlfn.XLOOKUP($L1014,'Balizador da Meta'!$B$4:$B$21,'Balizador da Meta'!$C$4:$C$21)</f>
        <v>0</v>
      </c>
      <c r="O1014" s="28">
        <f>O1011*_xlfn.XLOOKUP($L1014,'Balizador da Meta'!$B$4:$B$21,'Balizador da Meta'!$C$4:$C$21)</f>
        <v>0</v>
      </c>
      <c r="P1014" s="28">
        <f>P1011*_xlfn.XLOOKUP($L1014,'Balizador da Meta'!$B$4:$B$21,'Balizador da Meta'!$C$4:$C$21)</f>
        <v>0</v>
      </c>
      <c r="Q1014" s="28">
        <f>Q1011*_xlfn.XLOOKUP($L1014,'Balizador da Meta'!$B$4:$B$21,'Balizador da Meta'!$C$4:$C$21)</f>
        <v>0</v>
      </c>
      <c r="R1014" s="28">
        <f>R1011*_xlfn.XLOOKUP($L1014,'Balizador da Meta'!$B$4:$B$21,'Balizador da Meta'!$C$4:$C$21)</f>
        <v>0</v>
      </c>
      <c r="S1014" s="28">
        <f>S1011*_xlfn.XLOOKUP($L1014,'Balizador da Meta'!$B$4:$B$21,'Balizador da Meta'!$C$4:$C$21)</f>
        <v>0</v>
      </c>
      <c r="T1014" s="28">
        <f>T1011*_xlfn.XLOOKUP($L1014,'Balizador da Meta'!$B$4:$B$21,'Balizador da Meta'!$C$4:$C$21)</f>
        <v>0</v>
      </c>
      <c r="U1014" s="28">
        <f>U1011*_xlfn.XLOOKUP($L1014,'Balizador da Meta'!$B$4:$B$21,'Balizador da Meta'!$C$4:$C$21)</f>
        <v>0</v>
      </c>
      <c r="V1014" s="28">
        <f>V1011*_xlfn.XLOOKUP($L1014,'Balizador da Meta'!$B$4:$B$21,'Balizador da Meta'!$C$4:$C$21)</f>
        <v>0</v>
      </c>
      <c r="W1014" s="28">
        <f>W1011*_xlfn.XLOOKUP($L1014,'Balizador da Meta'!$B$4:$B$21,'Balizador da Meta'!$C$4:$C$21)</f>
        <v>0</v>
      </c>
      <c r="X1014" s="28">
        <f>X1011*_xlfn.XLOOKUP($L1014,'Balizador da Meta'!$B$4:$B$21,'Balizador da Meta'!$C$4:$C$21)</f>
        <v>0</v>
      </c>
      <c r="Y1014" s="28">
        <f>Y1011*_xlfn.XLOOKUP($L1014,'Balizador da Meta'!$B$4:$B$21,'Balizador da Meta'!$C$4:$C$21)</f>
        <v>0</v>
      </c>
      <c r="Z1014" s="30">
        <f t="shared" si="246"/>
        <v>0</v>
      </c>
      <c r="AA1014" s="29"/>
      <c r="AB1014" s="31">
        <f>SUMIFS('Historico - FAT'!AK:AK,'Historico - FAT'!$K:$K,Faturamento!$L1014,'Historico - FAT'!$I:$I,Faturamento!$J1014,'Historico - FAT'!$G:$G,Faturamento!$H1014)</f>
        <v>0</v>
      </c>
      <c r="AC1014" s="31">
        <f>SUMIFS('Historico - FAT'!AL:AL,'Historico - FAT'!$K:$K,Faturamento!$L1014,'Historico - FAT'!$I:$I,Faturamento!$J1014,'Historico - FAT'!$G:$G,Faturamento!$H1014)</f>
        <v>37.264999999999993</v>
      </c>
      <c r="AD1014" s="31">
        <f>SUMIFS('Historico - FAT'!AM:AM,'Historico - FAT'!$K:$K,Faturamento!$L1014,'Historico - FAT'!$I:$I,Faturamento!$J1014,'Historico - FAT'!$G:$G,Faturamento!$H1014)</f>
        <v>74.529999999999987</v>
      </c>
      <c r="AE1014" s="27">
        <f>SUMIFS('Historico - FAT'!AN:AN,'Historico - FAT'!$K:$K,Faturamento!$L1014,'Historico - FAT'!$I:$I,Faturamento!$J1014,'Historico - FAT'!$G:$G,Faturamento!$H1014)</f>
        <v>44.717999999999996</v>
      </c>
      <c r="AG1014" s="24" t="str">
        <f t="shared" si="240"/>
        <v/>
      </c>
      <c r="AH1014" s="24" t="str">
        <f t="shared" si="241"/>
        <v/>
      </c>
      <c r="AI1014" s="24" t="str">
        <f t="shared" si="242"/>
        <v/>
      </c>
    </row>
    <row r="1015" spans="1:35" hidden="1" x14ac:dyDescent="0.3">
      <c r="A1015" s="2" t="str">
        <f t="shared" si="239"/>
        <v>NÃO</v>
      </c>
      <c r="B1015" s="2">
        <v>1000184670</v>
      </c>
      <c r="C1015" s="2" t="s">
        <v>147</v>
      </c>
      <c r="D1015" s="4">
        <v>1000186197</v>
      </c>
      <c r="E1015" s="4" t="s">
        <v>166</v>
      </c>
      <c r="F1015" s="2">
        <v>1000184760</v>
      </c>
      <c r="G1015" s="2" t="s">
        <v>60</v>
      </c>
      <c r="H1015" s="4">
        <v>1000189798</v>
      </c>
      <c r="I1015" s="4" t="s">
        <v>110</v>
      </c>
      <c r="J1015" s="2">
        <v>1000189270</v>
      </c>
      <c r="K1015" s="2" t="s">
        <v>34</v>
      </c>
      <c r="L1015" s="4" t="s">
        <v>15</v>
      </c>
      <c r="M1015" s="4" t="str">
        <f t="shared" si="232"/>
        <v>1000184670100018619710001897981000189270DOCES</v>
      </c>
      <c r="N1015" s="28">
        <f>N1011*_xlfn.XLOOKUP($L1015,'Balizador da Meta'!$B$4:$B$21,'Balizador da Meta'!$C$4:$C$21)</f>
        <v>0</v>
      </c>
      <c r="O1015" s="28">
        <f>O1011*_xlfn.XLOOKUP($L1015,'Balizador da Meta'!$B$4:$B$21,'Balizador da Meta'!$C$4:$C$21)</f>
        <v>0</v>
      </c>
      <c r="P1015" s="28">
        <f>P1011*_xlfn.XLOOKUP($L1015,'Balizador da Meta'!$B$4:$B$21,'Balizador da Meta'!$C$4:$C$21)</f>
        <v>0</v>
      </c>
      <c r="Q1015" s="28">
        <f>Q1011*_xlfn.XLOOKUP($L1015,'Balizador da Meta'!$B$4:$B$21,'Balizador da Meta'!$C$4:$C$21)</f>
        <v>0</v>
      </c>
      <c r="R1015" s="28">
        <f>R1011*_xlfn.XLOOKUP($L1015,'Balizador da Meta'!$B$4:$B$21,'Balizador da Meta'!$C$4:$C$21)</f>
        <v>0</v>
      </c>
      <c r="S1015" s="28">
        <f>S1011*_xlfn.XLOOKUP($L1015,'Balizador da Meta'!$B$4:$B$21,'Balizador da Meta'!$C$4:$C$21)</f>
        <v>0</v>
      </c>
      <c r="T1015" s="28">
        <f>T1011*_xlfn.XLOOKUP($L1015,'Balizador da Meta'!$B$4:$B$21,'Balizador da Meta'!$C$4:$C$21)</f>
        <v>0</v>
      </c>
      <c r="U1015" s="28">
        <f>U1011*_xlfn.XLOOKUP($L1015,'Balizador da Meta'!$B$4:$B$21,'Balizador da Meta'!$C$4:$C$21)</f>
        <v>0</v>
      </c>
      <c r="V1015" s="28">
        <f>V1011*_xlfn.XLOOKUP($L1015,'Balizador da Meta'!$B$4:$B$21,'Balizador da Meta'!$C$4:$C$21)</f>
        <v>0</v>
      </c>
      <c r="W1015" s="28">
        <f>W1011*_xlfn.XLOOKUP($L1015,'Balizador da Meta'!$B$4:$B$21,'Balizador da Meta'!$C$4:$C$21)</f>
        <v>0</v>
      </c>
      <c r="X1015" s="28">
        <f>X1011*_xlfn.XLOOKUP($L1015,'Balizador da Meta'!$B$4:$B$21,'Balizador da Meta'!$C$4:$C$21)</f>
        <v>0</v>
      </c>
      <c r="Y1015" s="28">
        <f>Y1011*_xlfn.XLOOKUP($L1015,'Balizador da Meta'!$B$4:$B$21,'Balizador da Meta'!$C$4:$C$21)</f>
        <v>0</v>
      </c>
      <c r="Z1015" s="30">
        <f t="shared" si="246"/>
        <v>0</v>
      </c>
      <c r="AA1015" s="29"/>
      <c r="AB1015" s="31">
        <f>SUMIFS('Historico - FAT'!AK:AK,'Historico - FAT'!$K:$K,Faturamento!$L1015,'Historico - FAT'!$I:$I,Faturamento!$J1015,'Historico - FAT'!$G:$G,Faturamento!$H1015)</f>
        <v>0</v>
      </c>
      <c r="AC1015" s="31">
        <f>SUMIFS('Historico - FAT'!AL:AL,'Historico - FAT'!$K:$K,Faturamento!$L1015,'Historico - FAT'!$I:$I,Faturamento!$J1015,'Historico - FAT'!$G:$G,Faturamento!$H1015)</f>
        <v>26.63</v>
      </c>
      <c r="AD1015" s="31">
        <f>SUMIFS('Historico - FAT'!AM:AM,'Historico - FAT'!$K:$K,Faturamento!$L1015,'Historico - FAT'!$I:$I,Faturamento!$J1015,'Historico - FAT'!$G:$G,Faturamento!$H1015)</f>
        <v>53.26</v>
      </c>
      <c r="AE1015" s="27">
        <f>SUMIFS('Historico - FAT'!AN:AN,'Historico - FAT'!$K:$K,Faturamento!$L1015,'Historico - FAT'!$I:$I,Faturamento!$J1015,'Historico - FAT'!$G:$G,Faturamento!$H1015)</f>
        <v>31.956</v>
      </c>
      <c r="AG1015" s="24" t="str">
        <f t="shared" si="240"/>
        <v/>
      </c>
      <c r="AH1015" s="24" t="str">
        <f t="shared" si="241"/>
        <v/>
      </c>
      <c r="AI1015" s="24" t="str">
        <f t="shared" si="242"/>
        <v/>
      </c>
    </row>
    <row r="1016" spans="1:35" hidden="1" x14ac:dyDescent="0.3">
      <c r="A1016" s="2" t="str">
        <f t="shared" si="239"/>
        <v>NÃO</v>
      </c>
      <c r="B1016" s="2">
        <v>1000184670</v>
      </c>
      <c r="C1016" s="2" t="s">
        <v>147</v>
      </c>
      <c r="D1016" s="4">
        <v>1000186197</v>
      </c>
      <c r="E1016" s="4" t="s">
        <v>166</v>
      </c>
      <c r="F1016" s="2">
        <v>1000184760</v>
      </c>
      <c r="G1016" s="2" t="s">
        <v>60</v>
      </c>
      <c r="H1016" s="4">
        <v>1000189798</v>
      </c>
      <c r="I1016" s="4" t="s">
        <v>110</v>
      </c>
      <c r="J1016" s="2">
        <v>1000189270</v>
      </c>
      <c r="K1016" s="2" t="s">
        <v>34</v>
      </c>
      <c r="L1016" s="4" t="s">
        <v>33</v>
      </c>
      <c r="M1016" s="4" t="str">
        <f t="shared" si="232"/>
        <v>1000184670100018619710001897981000189270FOOD SERVICE</v>
      </c>
      <c r="N1016" s="28">
        <f>N1011*_xlfn.XLOOKUP($L1016,'Balizador da Meta'!$B$4:$B$21,'Balizador da Meta'!$C$4:$C$21)</f>
        <v>0</v>
      </c>
      <c r="O1016" s="28">
        <f>O1011*_xlfn.XLOOKUP($L1016,'Balizador da Meta'!$B$4:$B$21,'Balizador da Meta'!$C$4:$C$21)</f>
        <v>0</v>
      </c>
      <c r="P1016" s="28">
        <f>P1011*_xlfn.XLOOKUP($L1016,'Balizador da Meta'!$B$4:$B$21,'Balizador da Meta'!$C$4:$C$21)</f>
        <v>0</v>
      </c>
      <c r="Q1016" s="28">
        <f>Q1011*_xlfn.XLOOKUP($L1016,'Balizador da Meta'!$B$4:$B$21,'Balizador da Meta'!$C$4:$C$21)</f>
        <v>0</v>
      </c>
      <c r="R1016" s="28">
        <f>R1011*_xlfn.XLOOKUP($L1016,'Balizador da Meta'!$B$4:$B$21,'Balizador da Meta'!$C$4:$C$21)</f>
        <v>0</v>
      </c>
      <c r="S1016" s="28">
        <f>S1011*_xlfn.XLOOKUP($L1016,'Balizador da Meta'!$B$4:$B$21,'Balizador da Meta'!$C$4:$C$21)</f>
        <v>0</v>
      </c>
      <c r="T1016" s="28">
        <f>T1011*_xlfn.XLOOKUP($L1016,'Balizador da Meta'!$B$4:$B$21,'Balizador da Meta'!$C$4:$C$21)</f>
        <v>0</v>
      </c>
      <c r="U1016" s="28">
        <f>U1011*_xlfn.XLOOKUP($L1016,'Balizador da Meta'!$B$4:$B$21,'Balizador da Meta'!$C$4:$C$21)</f>
        <v>0</v>
      </c>
      <c r="V1016" s="28">
        <f>V1011*_xlfn.XLOOKUP($L1016,'Balizador da Meta'!$B$4:$B$21,'Balizador da Meta'!$C$4:$C$21)</f>
        <v>0</v>
      </c>
      <c r="W1016" s="28">
        <f>W1011*_xlfn.XLOOKUP($L1016,'Balizador da Meta'!$B$4:$B$21,'Balizador da Meta'!$C$4:$C$21)</f>
        <v>0</v>
      </c>
      <c r="X1016" s="28">
        <f>X1011*_xlfn.XLOOKUP($L1016,'Balizador da Meta'!$B$4:$B$21,'Balizador da Meta'!$C$4:$C$21)</f>
        <v>0</v>
      </c>
      <c r="Y1016" s="28">
        <f>Y1011*_xlfn.XLOOKUP($L1016,'Balizador da Meta'!$B$4:$B$21,'Balizador da Meta'!$C$4:$C$21)</f>
        <v>0</v>
      </c>
      <c r="Z1016" s="30">
        <f t="shared" si="246"/>
        <v>0</v>
      </c>
      <c r="AA1016" s="29"/>
      <c r="AB1016" s="31">
        <f>SUMIFS('Historico - FAT'!AK:AK,'Historico - FAT'!$K:$K,Faturamento!$L1016,'Historico - FAT'!$I:$I,Faturamento!$J1016,'Historico - FAT'!$G:$G,Faturamento!$H1016)</f>
        <v>0</v>
      </c>
      <c r="AC1016" s="31">
        <f>SUMIFS('Historico - FAT'!AL:AL,'Historico - FAT'!$K:$K,Faturamento!$L1016,'Historico - FAT'!$I:$I,Faturamento!$J1016,'Historico - FAT'!$G:$G,Faturamento!$H1016)</f>
        <v>0</v>
      </c>
      <c r="AD1016" s="31">
        <f>SUMIFS('Historico - FAT'!AM:AM,'Historico - FAT'!$K:$K,Faturamento!$L1016,'Historico - FAT'!$I:$I,Faturamento!$J1016,'Historico - FAT'!$G:$G,Faturamento!$H1016)</f>
        <v>0</v>
      </c>
      <c r="AE1016" s="27">
        <f>SUMIFS('Historico - FAT'!AN:AN,'Historico - FAT'!$K:$K,Faturamento!$L1016,'Historico - FAT'!$I:$I,Faturamento!$J1016,'Historico - FAT'!$G:$G,Faturamento!$H1016)</f>
        <v>0</v>
      </c>
      <c r="AG1016" s="24" t="str">
        <f t="shared" si="240"/>
        <v/>
      </c>
      <c r="AH1016" s="24" t="str">
        <f t="shared" si="241"/>
        <v/>
      </c>
      <c r="AI1016" s="24" t="str">
        <f t="shared" si="242"/>
        <v/>
      </c>
    </row>
    <row r="1017" spans="1:35" hidden="1" x14ac:dyDescent="0.3">
      <c r="A1017" s="2" t="str">
        <f t="shared" si="239"/>
        <v>NÃO</v>
      </c>
      <c r="B1017" s="2">
        <v>1000184670</v>
      </c>
      <c r="C1017" s="2" t="s">
        <v>147</v>
      </c>
      <c r="D1017" s="4">
        <v>1000186197</v>
      </c>
      <c r="E1017" s="4" t="s">
        <v>166</v>
      </c>
      <c r="F1017" s="2">
        <v>1000184760</v>
      </c>
      <c r="G1017" s="2" t="s">
        <v>60</v>
      </c>
      <c r="H1017" s="4">
        <v>1000189798</v>
      </c>
      <c r="I1017" s="4" t="s">
        <v>110</v>
      </c>
      <c r="J1017" s="2">
        <v>1000189270</v>
      </c>
      <c r="K1017" s="2" t="s">
        <v>34</v>
      </c>
      <c r="L1017" s="4" t="s">
        <v>19</v>
      </c>
      <c r="M1017" s="4" t="str">
        <f t="shared" si="232"/>
        <v>1000184670100018619710001897981000189270GELEIA</v>
      </c>
      <c r="N1017" s="28">
        <f>N1011*_xlfn.XLOOKUP($L1017,'Balizador da Meta'!$B$4:$B$21,'Balizador da Meta'!$C$4:$C$21)</f>
        <v>0</v>
      </c>
      <c r="O1017" s="28">
        <f>O1011*_xlfn.XLOOKUP($L1017,'Balizador da Meta'!$B$4:$B$21,'Balizador da Meta'!$C$4:$C$21)</f>
        <v>0</v>
      </c>
      <c r="P1017" s="28">
        <f>P1011*_xlfn.XLOOKUP($L1017,'Balizador da Meta'!$B$4:$B$21,'Balizador da Meta'!$C$4:$C$21)</f>
        <v>0</v>
      </c>
      <c r="Q1017" s="28">
        <f>Q1011*_xlfn.XLOOKUP($L1017,'Balizador da Meta'!$B$4:$B$21,'Balizador da Meta'!$C$4:$C$21)</f>
        <v>0</v>
      </c>
      <c r="R1017" s="28">
        <f>R1011*_xlfn.XLOOKUP($L1017,'Balizador da Meta'!$B$4:$B$21,'Balizador da Meta'!$C$4:$C$21)</f>
        <v>0</v>
      </c>
      <c r="S1017" s="28">
        <f>S1011*_xlfn.XLOOKUP($L1017,'Balizador da Meta'!$B$4:$B$21,'Balizador da Meta'!$C$4:$C$21)</f>
        <v>0</v>
      </c>
      <c r="T1017" s="28">
        <f>T1011*_xlfn.XLOOKUP($L1017,'Balizador da Meta'!$B$4:$B$21,'Balizador da Meta'!$C$4:$C$21)</f>
        <v>0</v>
      </c>
      <c r="U1017" s="28">
        <f>U1011*_xlfn.XLOOKUP($L1017,'Balizador da Meta'!$B$4:$B$21,'Balizador da Meta'!$C$4:$C$21)</f>
        <v>0</v>
      </c>
      <c r="V1017" s="28">
        <f>V1011*_xlfn.XLOOKUP($L1017,'Balizador da Meta'!$B$4:$B$21,'Balizador da Meta'!$C$4:$C$21)</f>
        <v>0</v>
      </c>
      <c r="W1017" s="28">
        <f>W1011*_xlfn.XLOOKUP($L1017,'Balizador da Meta'!$B$4:$B$21,'Balizador da Meta'!$C$4:$C$21)</f>
        <v>0</v>
      </c>
      <c r="X1017" s="28">
        <f>X1011*_xlfn.XLOOKUP($L1017,'Balizador da Meta'!$B$4:$B$21,'Balizador da Meta'!$C$4:$C$21)</f>
        <v>0</v>
      </c>
      <c r="Y1017" s="28">
        <f>Y1011*_xlfn.XLOOKUP($L1017,'Balizador da Meta'!$B$4:$B$21,'Balizador da Meta'!$C$4:$C$21)</f>
        <v>0</v>
      </c>
      <c r="Z1017" s="30">
        <f t="shared" si="246"/>
        <v>0</v>
      </c>
      <c r="AA1017" s="29"/>
      <c r="AB1017" s="31">
        <f>SUMIFS('Historico - FAT'!AK:AK,'Historico - FAT'!$K:$K,Faturamento!$L1017,'Historico - FAT'!$I:$I,Faturamento!$J1017,'Historico - FAT'!$G:$G,Faturamento!$H1017)</f>
        <v>0</v>
      </c>
      <c r="AC1017" s="31">
        <f>SUMIFS('Historico - FAT'!AL:AL,'Historico - FAT'!$K:$K,Faturamento!$L1017,'Historico - FAT'!$I:$I,Faturamento!$J1017,'Historico - FAT'!$G:$G,Faturamento!$H1017)</f>
        <v>0</v>
      </c>
      <c r="AD1017" s="31">
        <f>SUMIFS('Historico - FAT'!AM:AM,'Historico - FAT'!$K:$K,Faturamento!$L1017,'Historico - FAT'!$I:$I,Faturamento!$J1017,'Historico - FAT'!$G:$G,Faturamento!$H1017)</f>
        <v>0</v>
      </c>
      <c r="AE1017" s="27">
        <f>SUMIFS('Historico - FAT'!AN:AN,'Historico - FAT'!$K:$K,Faturamento!$L1017,'Historico - FAT'!$I:$I,Faturamento!$J1017,'Historico - FAT'!$G:$G,Faturamento!$H1017)</f>
        <v>0</v>
      </c>
      <c r="AG1017" s="24" t="str">
        <f t="shared" si="240"/>
        <v/>
      </c>
      <c r="AH1017" s="24" t="str">
        <f t="shared" si="241"/>
        <v/>
      </c>
      <c r="AI1017" s="24" t="str">
        <f t="shared" si="242"/>
        <v/>
      </c>
    </row>
    <row r="1018" spans="1:35" hidden="1" x14ac:dyDescent="0.3">
      <c r="A1018" s="2" t="str">
        <f t="shared" si="239"/>
        <v>NÃO</v>
      </c>
      <c r="B1018" s="2">
        <v>1000184670</v>
      </c>
      <c r="C1018" s="2" t="s">
        <v>147</v>
      </c>
      <c r="D1018" s="4">
        <v>1000186197</v>
      </c>
      <c r="E1018" s="4" t="s">
        <v>166</v>
      </c>
      <c r="F1018" s="2">
        <v>1000184760</v>
      </c>
      <c r="G1018" s="2" t="s">
        <v>60</v>
      </c>
      <c r="H1018" s="4">
        <v>1000189798</v>
      </c>
      <c r="I1018" s="4" t="s">
        <v>110</v>
      </c>
      <c r="J1018" s="2">
        <v>1000189270</v>
      </c>
      <c r="K1018" s="2" t="s">
        <v>34</v>
      </c>
      <c r="L1018" s="4" t="s">
        <v>17</v>
      </c>
      <c r="M1018" s="4" t="str">
        <f t="shared" si="232"/>
        <v>1000184670100018619710001897981000189270GRANOLA</v>
      </c>
      <c r="N1018" s="28">
        <f>N1011*_xlfn.XLOOKUP($L1018,'Balizador da Meta'!$B$4:$B$21,'Balizador da Meta'!$C$4:$C$21)</f>
        <v>0</v>
      </c>
      <c r="O1018" s="28">
        <f>O1011*_xlfn.XLOOKUP($L1018,'Balizador da Meta'!$B$4:$B$21,'Balizador da Meta'!$C$4:$C$21)</f>
        <v>0</v>
      </c>
      <c r="P1018" s="28">
        <f>P1011*_xlfn.XLOOKUP($L1018,'Balizador da Meta'!$B$4:$B$21,'Balizador da Meta'!$C$4:$C$21)</f>
        <v>0</v>
      </c>
      <c r="Q1018" s="28">
        <f>Q1011*_xlfn.XLOOKUP($L1018,'Balizador da Meta'!$B$4:$B$21,'Balizador da Meta'!$C$4:$C$21)</f>
        <v>0</v>
      </c>
      <c r="R1018" s="28">
        <f>R1011*_xlfn.XLOOKUP($L1018,'Balizador da Meta'!$B$4:$B$21,'Balizador da Meta'!$C$4:$C$21)</f>
        <v>0</v>
      </c>
      <c r="S1018" s="28">
        <f>S1011*_xlfn.XLOOKUP($L1018,'Balizador da Meta'!$B$4:$B$21,'Balizador da Meta'!$C$4:$C$21)</f>
        <v>0</v>
      </c>
      <c r="T1018" s="28">
        <f>T1011*_xlfn.XLOOKUP($L1018,'Balizador da Meta'!$B$4:$B$21,'Balizador da Meta'!$C$4:$C$21)</f>
        <v>0</v>
      </c>
      <c r="U1018" s="28">
        <f>U1011*_xlfn.XLOOKUP($L1018,'Balizador da Meta'!$B$4:$B$21,'Balizador da Meta'!$C$4:$C$21)</f>
        <v>0</v>
      </c>
      <c r="V1018" s="28">
        <f>V1011*_xlfn.XLOOKUP($L1018,'Balizador da Meta'!$B$4:$B$21,'Balizador da Meta'!$C$4:$C$21)</f>
        <v>0</v>
      </c>
      <c r="W1018" s="28">
        <f>W1011*_xlfn.XLOOKUP($L1018,'Balizador da Meta'!$B$4:$B$21,'Balizador da Meta'!$C$4:$C$21)</f>
        <v>0</v>
      </c>
      <c r="X1018" s="28">
        <f>X1011*_xlfn.XLOOKUP($L1018,'Balizador da Meta'!$B$4:$B$21,'Balizador da Meta'!$C$4:$C$21)</f>
        <v>0</v>
      </c>
      <c r="Y1018" s="28">
        <f>Y1011*_xlfn.XLOOKUP($L1018,'Balizador da Meta'!$B$4:$B$21,'Balizador da Meta'!$C$4:$C$21)</f>
        <v>0</v>
      </c>
      <c r="Z1018" s="30">
        <f t="shared" si="246"/>
        <v>0</v>
      </c>
      <c r="AA1018" s="29"/>
      <c r="AB1018" s="31">
        <f>SUMIFS('Historico - FAT'!AK:AK,'Historico - FAT'!$K:$K,Faturamento!$L1018,'Historico - FAT'!$I:$I,Faturamento!$J1018,'Historico - FAT'!$G:$G,Faturamento!$H1018)</f>
        <v>0</v>
      </c>
      <c r="AC1018" s="31">
        <f>SUMIFS('Historico - FAT'!AL:AL,'Historico - FAT'!$K:$K,Faturamento!$L1018,'Historico - FAT'!$I:$I,Faturamento!$J1018,'Historico - FAT'!$G:$G,Faturamento!$H1018)</f>
        <v>0</v>
      </c>
      <c r="AD1018" s="31">
        <f>SUMIFS('Historico - FAT'!AM:AM,'Historico - FAT'!$K:$K,Faturamento!$L1018,'Historico - FAT'!$I:$I,Faturamento!$J1018,'Historico - FAT'!$G:$G,Faturamento!$H1018)</f>
        <v>0</v>
      </c>
      <c r="AE1018" s="27">
        <f>SUMIFS('Historico - FAT'!AN:AN,'Historico - FAT'!$K:$K,Faturamento!$L1018,'Historico - FAT'!$I:$I,Faturamento!$J1018,'Historico - FAT'!$G:$G,Faturamento!$H1018)</f>
        <v>0</v>
      </c>
      <c r="AG1018" s="24" t="str">
        <f t="shared" si="240"/>
        <v/>
      </c>
      <c r="AH1018" s="24" t="str">
        <f t="shared" si="241"/>
        <v/>
      </c>
      <c r="AI1018" s="24" t="str">
        <f t="shared" si="242"/>
        <v/>
      </c>
    </row>
    <row r="1019" spans="1:35" hidden="1" x14ac:dyDescent="0.3">
      <c r="A1019" s="2" t="str">
        <f t="shared" si="239"/>
        <v>NÃO</v>
      </c>
      <c r="B1019" s="2">
        <v>1000184670</v>
      </c>
      <c r="C1019" s="2" t="s">
        <v>147</v>
      </c>
      <c r="D1019" s="4">
        <v>1000186197</v>
      </c>
      <c r="E1019" s="4" t="s">
        <v>166</v>
      </c>
      <c r="F1019" s="2">
        <v>1000184760</v>
      </c>
      <c r="G1019" s="2" t="s">
        <v>60</v>
      </c>
      <c r="H1019" s="4">
        <v>1000189798</v>
      </c>
      <c r="I1019" s="4" t="s">
        <v>110</v>
      </c>
      <c r="J1019" s="2">
        <v>1000189270</v>
      </c>
      <c r="K1019" s="2" t="s">
        <v>34</v>
      </c>
      <c r="L1019" s="4" t="s">
        <v>24</v>
      </c>
      <c r="M1019" s="4" t="str">
        <f t="shared" si="232"/>
        <v>1000184670100018619710001897981000189270KIDS</v>
      </c>
      <c r="N1019" s="28">
        <f>N1011*_xlfn.XLOOKUP($L1019,'Balizador da Meta'!$B$4:$B$21,'Balizador da Meta'!$C$4:$C$21)</f>
        <v>0</v>
      </c>
      <c r="O1019" s="28">
        <f>O1011*_xlfn.XLOOKUP($L1019,'Balizador da Meta'!$B$4:$B$21,'Balizador da Meta'!$C$4:$C$21)</f>
        <v>0</v>
      </c>
      <c r="P1019" s="28">
        <f>P1011*_xlfn.XLOOKUP($L1019,'Balizador da Meta'!$B$4:$B$21,'Balizador da Meta'!$C$4:$C$21)</f>
        <v>0</v>
      </c>
      <c r="Q1019" s="28">
        <f>Q1011*_xlfn.XLOOKUP($L1019,'Balizador da Meta'!$B$4:$B$21,'Balizador da Meta'!$C$4:$C$21)</f>
        <v>0</v>
      </c>
      <c r="R1019" s="28">
        <f>R1011*_xlfn.XLOOKUP($L1019,'Balizador da Meta'!$B$4:$B$21,'Balizador da Meta'!$C$4:$C$21)</f>
        <v>0</v>
      </c>
      <c r="S1019" s="28">
        <f>S1011*_xlfn.XLOOKUP($L1019,'Balizador da Meta'!$B$4:$B$21,'Balizador da Meta'!$C$4:$C$21)</f>
        <v>0</v>
      </c>
      <c r="T1019" s="28">
        <f>T1011*_xlfn.XLOOKUP($L1019,'Balizador da Meta'!$B$4:$B$21,'Balizador da Meta'!$C$4:$C$21)</f>
        <v>0</v>
      </c>
      <c r="U1019" s="28">
        <f>U1011*_xlfn.XLOOKUP($L1019,'Balizador da Meta'!$B$4:$B$21,'Balizador da Meta'!$C$4:$C$21)</f>
        <v>0</v>
      </c>
      <c r="V1019" s="28">
        <f>V1011*_xlfn.XLOOKUP($L1019,'Balizador da Meta'!$B$4:$B$21,'Balizador da Meta'!$C$4:$C$21)</f>
        <v>0</v>
      </c>
      <c r="W1019" s="28">
        <f>W1011*_xlfn.XLOOKUP($L1019,'Balizador da Meta'!$B$4:$B$21,'Balizador da Meta'!$C$4:$C$21)</f>
        <v>0</v>
      </c>
      <c r="X1019" s="28">
        <f>X1011*_xlfn.XLOOKUP($L1019,'Balizador da Meta'!$B$4:$B$21,'Balizador da Meta'!$C$4:$C$21)</f>
        <v>0</v>
      </c>
      <c r="Y1019" s="28">
        <f>Y1011*_xlfn.XLOOKUP($L1019,'Balizador da Meta'!$B$4:$B$21,'Balizador da Meta'!$C$4:$C$21)</f>
        <v>0</v>
      </c>
      <c r="Z1019" s="30">
        <f t="shared" si="246"/>
        <v>0</v>
      </c>
      <c r="AA1019" s="29"/>
      <c r="AB1019" s="31">
        <f>SUMIFS('Historico - FAT'!AK:AK,'Historico - FAT'!$K:$K,Faturamento!$L1019,'Historico - FAT'!$I:$I,Faturamento!$J1019,'Historico - FAT'!$G:$G,Faturamento!$H1019)</f>
        <v>0</v>
      </c>
      <c r="AC1019" s="31">
        <f>SUMIFS('Historico - FAT'!AL:AL,'Historico - FAT'!$K:$K,Faturamento!$L1019,'Historico - FAT'!$I:$I,Faturamento!$J1019,'Historico - FAT'!$G:$G,Faturamento!$H1019)</f>
        <v>5.835</v>
      </c>
      <c r="AD1019" s="31">
        <f>SUMIFS('Historico - FAT'!AM:AM,'Historico - FAT'!$K:$K,Faturamento!$L1019,'Historico - FAT'!$I:$I,Faturamento!$J1019,'Historico - FAT'!$G:$G,Faturamento!$H1019)</f>
        <v>11.67</v>
      </c>
      <c r="AE1019" s="27">
        <f>SUMIFS('Historico - FAT'!AN:AN,'Historico - FAT'!$K:$K,Faturamento!$L1019,'Historico - FAT'!$I:$I,Faturamento!$J1019,'Historico - FAT'!$G:$G,Faturamento!$H1019)</f>
        <v>7.0019999999999998</v>
      </c>
      <c r="AG1019" s="24" t="str">
        <f t="shared" si="240"/>
        <v/>
      </c>
      <c r="AH1019" s="24" t="str">
        <f t="shared" si="241"/>
        <v/>
      </c>
      <c r="AI1019" s="24" t="str">
        <f t="shared" si="242"/>
        <v/>
      </c>
    </row>
    <row r="1020" spans="1:35" hidden="1" x14ac:dyDescent="0.3">
      <c r="A1020" s="2" t="str">
        <f t="shared" si="239"/>
        <v>NÃO</v>
      </c>
      <c r="B1020" s="2">
        <v>1000184670</v>
      </c>
      <c r="C1020" s="2" t="s">
        <v>147</v>
      </c>
      <c r="D1020" s="4">
        <v>1000186197</v>
      </c>
      <c r="E1020" s="4" t="s">
        <v>166</v>
      </c>
      <c r="F1020" s="2">
        <v>1000184760</v>
      </c>
      <c r="G1020" s="2" t="s">
        <v>60</v>
      </c>
      <c r="H1020" s="4">
        <v>1000189798</v>
      </c>
      <c r="I1020" s="4" t="s">
        <v>110</v>
      </c>
      <c r="J1020" s="2">
        <v>1000189270</v>
      </c>
      <c r="K1020" s="2" t="s">
        <v>34</v>
      </c>
      <c r="L1020" s="4" t="s">
        <v>18</v>
      </c>
      <c r="M1020" s="4" t="str">
        <f t="shared" si="232"/>
        <v>1000184670100018619710001897981000189270LANCHES</v>
      </c>
      <c r="N1020" s="28">
        <f>N1011*_xlfn.XLOOKUP($L1020,'Balizador da Meta'!$B$4:$B$21,'Balizador da Meta'!$C$4:$C$21)</f>
        <v>0</v>
      </c>
      <c r="O1020" s="28">
        <f>O1011*_xlfn.XLOOKUP($L1020,'Balizador da Meta'!$B$4:$B$21,'Balizador da Meta'!$C$4:$C$21)</f>
        <v>0</v>
      </c>
      <c r="P1020" s="28">
        <f>P1011*_xlfn.XLOOKUP($L1020,'Balizador da Meta'!$B$4:$B$21,'Balizador da Meta'!$C$4:$C$21)</f>
        <v>0</v>
      </c>
      <c r="Q1020" s="28">
        <f>Q1011*_xlfn.XLOOKUP($L1020,'Balizador da Meta'!$B$4:$B$21,'Balizador da Meta'!$C$4:$C$21)</f>
        <v>0</v>
      </c>
      <c r="R1020" s="28">
        <f>R1011*_xlfn.XLOOKUP($L1020,'Balizador da Meta'!$B$4:$B$21,'Balizador da Meta'!$C$4:$C$21)</f>
        <v>0</v>
      </c>
      <c r="S1020" s="28">
        <f>S1011*_xlfn.XLOOKUP($L1020,'Balizador da Meta'!$B$4:$B$21,'Balizador da Meta'!$C$4:$C$21)</f>
        <v>0</v>
      </c>
      <c r="T1020" s="28">
        <f>T1011*_xlfn.XLOOKUP($L1020,'Balizador da Meta'!$B$4:$B$21,'Balizador da Meta'!$C$4:$C$21)</f>
        <v>0</v>
      </c>
      <c r="U1020" s="28">
        <f>U1011*_xlfn.XLOOKUP($L1020,'Balizador da Meta'!$B$4:$B$21,'Balizador da Meta'!$C$4:$C$21)</f>
        <v>0</v>
      </c>
      <c r="V1020" s="28">
        <f>V1011*_xlfn.XLOOKUP($L1020,'Balizador da Meta'!$B$4:$B$21,'Balizador da Meta'!$C$4:$C$21)</f>
        <v>0</v>
      </c>
      <c r="W1020" s="28">
        <f>W1011*_xlfn.XLOOKUP($L1020,'Balizador da Meta'!$B$4:$B$21,'Balizador da Meta'!$C$4:$C$21)</f>
        <v>0</v>
      </c>
      <c r="X1020" s="28">
        <f>X1011*_xlfn.XLOOKUP($L1020,'Balizador da Meta'!$B$4:$B$21,'Balizador da Meta'!$C$4:$C$21)</f>
        <v>0</v>
      </c>
      <c r="Y1020" s="28">
        <f>Y1011*_xlfn.XLOOKUP($L1020,'Balizador da Meta'!$B$4:$B$21,'Balizador da Meta'!$C$4:$C$21)</f>
        <v>0</v>
      </c>
      <c r="Z1020" s="30">
        <f t="shared" si="246"/>
        <v>0</v>
      </c>
      <c r="AA1020" s="29"/>
      <c r="AB1020" s="31">
        <f>SUMIFS('Historico - FAT'!AK:AK,'Historico - FAT'!$K:$K,Faturamento!$L1020,'Historico - FAT'!$I:$I,Faturamento!$J1020,'Historico - FAT'!$G:$G,Faturamento!$H1020)</f>
        <v>0</v>
      </c>
      <c r="AC1020" s="31">
        <f>SUMIFS('Historico - FAT'!AL:AL,'Historico - FAT'!$K:$K,Faturamento!$L1020,'Historico - FAT'!$I:$I,Faturamento!$J1020,'Historico - FAT'!$G:$G,Faturamento!$H1020)</f>
        <v>0</v>
      </c>
      <c r="AD1020" s="31">
        <f>SUMIFS('Historico - FAT'!AM:AM,'Historico - FAT'!$K:$K,Faturamento!$L1020,'Historico - FAT'!$I:$I,Faturamento!$J1020,'Historico - FAT'!$G:$G,Faturamento!$H1020)</f>
        <v>0</v>
      </c>
      <c r="AE1020" s="27">
        <f>SUMIFS('Historico - FAT'!AN:AN,'Historico - FAT'!$K:$K,Faturamento!$L1020,'Historico - FAT'!$I:$I,Faturamento!$J1020,'Historico - FAT'!$G:$G,Faturamento!$H1020)</f>
        <v>0</v>
      </c>
      <c r="AG1020" s="24" t="str">
        <f t="shared" si="240"/>
        <v/>
      </c>
      <c r="AH1020" s="24" t="str">
        <f t="shared" si="241"/>
        <v/>
      </c>
      <c r="AI1020" s="24" t="str">
        <f t="shared" si="242"/>
        <v/>
      </c>
    </row>
    <row r="1021" spans="1:35" hidden="1" x14ac:dyDescent="0.3">
      <c r="A1021" s="2" t="str">
        <f t="shared" si="239"/>
        <v>NÃO</v>
      </c>
      <c r="B1021" s="2">
        <v>1000184670</v>
      </c>
      <c r="C1021" s="2" t="s">
        <v>147</v>
      </c>
      <c r="D1021" s="4">
        <v>1000186197</v>
      </c>
      <c r="E1021" s="4" t="s">
        <v>166</v>
      </c>
      <c r="F1021" s="2">
        <v>1000184760</v>
      </c>
      <c r="G1021" s="2" t="s">
        <v>60</v>
      </c>
      <c r="H1021" s="4">
        <v>1000189798</v>
      </c>
      <c r="I1021" s="4" t="s">
        <v>110</v>
      </c>
      <c r="J1021" s="2">
        <v>1000189270</v>
      </c>
      <c r="K1021" s="2" t="s">
        <v>34</v>
      </c>
      <c r="L1021" s="4" t="s">
        <v>29</v>
      </c>
      <c r="M1021" s="4" t="str">
        <f t="shared" si="232"/>
        <v>1000184670100018619710001897981000189270MAIS GRANEL</v>
      </c>
      <c r="N1021" s="28">
        <f>N1011*_xlfn.XLOOKUP($L1021,'Balizador da Meta'!$B$4:$B$21,'Balizador da Meta'!$C$4:$C$21)</f>
        <v>0</v>
      </c>
      <c r="O1021" s="28">
        <f>O1011*_xlfn.XLOOKUP($L1021,'Balizador da Meta'!$B$4:$B$21,'Balizador da Meta'!$C$4:$C$21)</f>
        <v>0</v>
      </c>
      <c r="P1021" s="28">
        <f>P1011*_xlfn.XLOOKUP($L1021,'Balizador da Meta'!$B$4:$B$21,'Balizador da Meta'!$C$4:$C$21)</f>
        <v>0</v>
      </c>
      <c r="Q1021" s="28">
        <f>Q1011*_xlfn.XLOOKUP($L1021,'Balizador da Meta'!$B$4:$B$21,'Balizador da Meta'!$C$4:$C$21)</f>
        <v>0</v>
      </c>
      <c r="R1021" s="28">
        <f>R1011*_xlfn.XLOOKUP($L1021,'Balizador da Meta'!$B$4:$B$21,'Balizador da Meta'!$C$4:$C$21)</f>
        <v>0</v>
      </c>
      <c r="S1021" s="28">
        <f>S1011*_xlfn.XLOOKUP($L1021,'Balizador da Meta'!$B$4:$B$21,'Balizador da Meta'!$C$4:$C$21)</f>
        <v>0</v>
      </c>
      <c r="T1021" s="28">
        <f>T1011*_xlfn.XLOOKUP($L1021,'Balizador da Meta'!$B$4:$B$21,'Balizador da Meta'!$C$4:$C$21)</f>
        <v>0</v>
      </c>
      <c r="U1021" s="28">
        <f>U1011*_xlfn.XLOOKUP($L1021,'Balizador da Meta'!$B$4:$B$21,'Balizador da Meta'!$C$4:$C$21)</f>
        <v>0</v>
      </c>
      <c r="V1021" s="28">
        <f>V1011*_xlfn.XLOOKUP($L1021,'Balizador da Meta'!$B$4:$B$21,'Balizador da Meta'!$C$4:$C$21)</f>
        <v>0</v>
      </c>
      <c r="W1021" s="28">
        <f>W1011*_xlfn.XLOOKUP($L1021,'Balizador da Meta'!$B$4:$B$21,'Balizador da Meta'!$C$4:$C$21)</f>
        <v>0</v>
      </c>
      <c r="X1021" s="28">
        <f>X1011*_xlfn.XLOOKUP($L1021,'Balizador da Meta'!$B$4:$B$21,'Balizador da Meta'!$C$4:$C$21)</f>
        <v>0</v>
      </c>
      <c r="Y1021" s="28">
        <f>Y1011*_xlfn.XLOOKUP($L1021,'Balizador da Meta'!$B$4:$B$21,'Balizador da Meta'!$C$4:$C$21)</f>
        <v>0</v>
      </c>
      <c r="Z1021" s="30">
        <f t="shared" si="246"/>
        <v>0</v>
      </c>
      <c r="AA1021" s="29"/>
      <c r="AB1021" s="31">
        <f>SUMIFS('Historico - FAT'!AK:AK,'Historico - FAT'!$K:$K,Faturamento!$L1021,'Historico - FAT'!$I:$I,Faturamento!$J1021,'Historico - FAT'!$G:$G,Faturamento!$H1021)</f>
        <v>0</v>
      </c>
      <c r="AC1021" s="31">
        <f>SUMIFS('Historico - FAT'!AL:AL,'Historico - FAT'!$K:$K,Faturamento!$L1021,'Historico - FAT'!$I:$I,Faturamento!$J1021,'Historico - FAT'!$G:$G,Faturamento!$H1021)</f>
        <v>269.75</v>
      </c>
      <c r="AD1021" s="31">
        <f>SUMIFS('Historico - FAT'!AM:AM,'Historico - FAT'!$K:$K,Faturamento!$L1021,'Historico - FAT'!$I:$I,Faturamento!$J1021,'Historico - FAT'!$G:$G,Faturamento!$H1021)</f>
        <v>539.5</v>
      </c>
      <c r="AE1021" s="27">
        <f>SUMIFS('Historico - FAT'!AN:AN,'Historico - FAT'!$K:$K,Faturamento!$L1021,'Historico - FAT'!$I:$I,Faturamento!$J1021,'Historico - FAT'!$G:$G,Faturamento!$H1021)</f>
        <v>323.7</v>
      </c>
      <c r="AG1021" s="24" t="str">
        <f t="shared" si="240"/>
        <v/>
      </c>
      <c r="AH1021" s="24" t="str">
        <f t="shared" si="241"/>
        <v/>
      </c>
      <c r="AI1021" s="24" t="str">
        <f t="shared" si="242"/>
        <v/>
      </c>
    </row>
    <row r="1022" spans="1:35" hidden="1" x14ac:dyDescent="0.3">
      <c r="A1022" s="2" t="str">
        <f t="shared" si="239"/>
        <v>NÃO</v>
      </c>
      <c r="B1022" s="2">
        <v>1000184670</v>
      </c>
      <c r="C1022" s="2" t="s">
        <v>147</v>
      </c>
      <c r="D1022" s="4">
        <v>1000186197</v>
      </c>
      <c r="E1022" s="4" t="s">
        <v>166</v>
      </c>
      <c r="F1022" s="2">
        <v>1000184760</v>
      </c>
      <c r="G1022" s="2" t="s">
        <v>60</v>
      </c>
      <c r="H1022" s="4">
        <v>1000189798</v>
      </c>
      <c r="I1022" s="4" t="s">
        <v>110</v>
      </c>
      <c r="J1022" s="2">
        <v>1000189270</v>
      </c>
      <c r="K1022" s="2" t="s">
        <v>34</v>
      </c>
      <c r="L1022" s="4" t="s">
        <v>21</v>
      </c>
      <c r="M1022" s="4" t="str">
        <f t="shared" si="232"/>
        <v>1000184670100018619710001897981000189270NATURATTA</v>
      </c>
      <c r="N1022" s="28">
        <f>N1011*_xlfn.XLOOKUP($L1022,'Balizador da Meta'!$B$4:$B$21,'Balizador da Meta'!$C$4:$C$21)</f>
        <v>0</v>
      </c>
      <c r="O1022" s="28">
        <f>O1011*_xlfn.XLOOKUP($L1022,'Balizador da Meta'!$B$4:$B$21,'Balizador da Meta'!$C$4:$C$21)</f>
        <v>0</v>
      </c>
      <c r="P1022" s="28">
        <f>P1011*_xlfn.XLOOKUP($L1022,'Balizador da Meta'!$B$4:$B$21,'Balizador da Meta'!$C$4:$C$21)</f>
        <v>0</v>
      </c>
      <c r="Q1022" s="28">
        <f>Q1011*_xlfn.XLOOKUP($L1022,'Balizador da Meta'!$B$4:$B$21,'Balizador da Meta'!$C$4:$C$21)</f>
        <v>0</v>
      </c>
      <c r="R1022" s="28">
        <f>R1011*_xlfn.XLOOKUP($L1022,'Balizador da Meta'!$B$4:$B$21,'Balizador da Meta'!$C$4:$C$21)</f>
        <v>0</v>
      </c>
      <c r="S1022" s="28">
        <f>S1011*_xlfn.XLOOKUP($L1022,'Balizador da Meta'!$B$4:$B$21,'Balizador da Meta'!$C$4:$C$21)</f>
        <v>0</v>
      </c>
      <c r="T1022" s="28">
        <f>T1011*_xlfn.XLOOKUP($L1022,'Balizador da Meta'!$B$4:$B$21,'Balizador da Meta'!$C$4:$C$21)</f>
        <v>0</v>
      </c>
      <c r="U1022" s="28">
        <f>U1011*_xlfn.XLOOKUP($L1022,'Balizador da Meta'!$B$4:$B$21,'Balizador da Meta'!$C$4:$C$21)</f>
        <v>0</v>
      </c>
      <c r="V1022" s="28">
        <f>V1011*_xlfn.XLOOKUP($L1022,'Balizador da Meta'!$B$4:$B$21,'Balizador da Meta'!$C$4:$C$21)</f>
        <v>0</v>
      </c>
      <c r="W1022" s="28">
        <f>W1011*_xlfn.XLOOKUP($L1022,'Balizador da Meta'!$B$4:$B$21,'Balizador da Meta'!$C$4:$C$21)</f>
        <v>0</v>
      </c>
      <c r="X1022" s="28">
        <f>X1011*_xlfn.XLOOKUP($L1022,'Balizador da Meta'!$B$4:$B$21,'Balizador da Meta'!$C$4:$C$21)</f>
        <v>0</v>
      </c>
      <c r="Y1022" s="28">
        <f>Y1011*_xlfn.XLOOKUP($L1022,'Balizador da Meta'!$B$4:$B$21,'Balizador da Meta'!$C$4:$C$21)</f>
        <v>0</v>
      </c>
      <c r="Z1022" s="30">
        <f t="shared" si="246"/>
        <v>0</v>
      </c>
      <c r="AA1022" s="29"/>
      <c r="AB1022" s="31">
        <f>SUMIFS('Historico - FAT'!AK:AK,'Historico - FAT'!$K:$K,Faturamento!$L1022,'Historico - FAT'!$I:$I,Faturamento!$J1022,'Historico - FAT'!$G:$G,Faturamento!$H1022)</f>
        <v>0</v>
      </c>
      <c r="AC1022" s="31">
        <f>SUMIFS('Historico - FAT'!AL:AL,'Historico - FAT'!$K:$K,Faturamento!$L1022,'Historico - FAT'!$I:$I,Faturamento!$J1022,'Historico - FAT'!$G:$G,Faturamento!$H1022)</f>
        <v>5.1183333333333332</v>
      </c>
      <c r="AD1022" s="31">
        <f>SUMIFS('Historico - FAT'!AM:AM,'Historico - FAT'!$K:$K,Faturamento!$L1022,'Historico - FAT'!$I:$I,Faturamento!$J1022,'Historico - FAT'!$G:$G,Faturamento!$H1022)</f>
        <v>10.236666666666666</v>
      </c>
      <c r="AE1022" s="27">
        <f>SUMIFS('Historico - FAT'!AN:AN,'Historico - FAT'!$K:$K,Faturamento!$L1022,'Historico - FAT'!$I:$I,Faturamento!$J1022,'Historico - FAT'!$G:$G,Faturamento!$H1022)</f>
        <v>6.1420000000000003</v>
      </c>
      <c r="AG1022" s="24" t="str">
        <f t="shared" si="240"/>
        <v/>
      </c>
      <c r="AH1022" s="24" t="str">
        <f t="shared" si="241"/>
        <v/>
      </c>
      <c r="AI1022" s="24" t="str">
        <f t="shared" si="242"/>
        <v/>
      </c>
    </row>
    <row r="1023" spans="1:35" hidden="1" x14ac:dyDescent="0.3">
      <c r="A1023" s="2" t="str">
        <f t="shared" si="239"/>
        <v>NÃO</v>
      </c>
      <c r="B1023" s="2">
        <v>1000184670</v>
      </c>
      <c r="C1023" s="2" t="s">
        <v>147</v>
      </c>
      <c r="D1023" s="4">
        <v>1000186197</v>
      </c>
      <c r="E1023" s="4" t="s">
        <v>166</v>
      </c>
      <c r="F1023" s="2">
        <v>1000184760</v>
      </c>
      <c r="G1023" s="2" t="s">
        <v>60</v>
      </c>
      <c r="H1023" s="4">
        <v>1000189798</v>
      </c>
      <c r="I1023" s="4" t="s">
        <v>110</v>
      </c>
      <c r="J1023" s="2">
        <v>1000189270</v>
      </c>
      <c r="K1023" s="2" t="s">
        <v>34</v>
      </c>
      <c r="L1023" s="4" t="s">
        <v>20</v>
      </c>
      <c r="M1023" s="4" t="str">
        <f t="shared" si="232"/>
        <v>1000184670100018619710001897981000189270REEMBALADOS</v>
      </c>
      <c r="N1023" s="28">
        <f>N1011*_xlfn.XLOOKUP($L1023,'Balizador da Meta'!$B$4:$B$21,'Balizador da Meta'!$C$4:$C$21)</f>
        <v>0</v>
      </c>
      <c r="O1023" s="28">
        <f>O1011*_xlfn.XLOOKUP($L1023,'Balizador da Meta'!$B$4:$B$21,'Balizador da Meta'!$C$4:$C$21)</f>
        <v>0</v>
      </c>
      <c r="P1023" s="28">
        <f>P1011*_xlfn.XLOOKUP($L1023,'Balizador da Meta'!$B$4:$B$21,'Balizador da Meta'!$C$4:$C$21)</f>
        <v>0</v>
      </c>
      <c r="Q1023" s="28">
        <f>Q1011*_xlfn.XLOOKUP($L1023,'Balizador da Meta'!$B$4:$B$21,'Balizador da Meta'!$C$4:$C$21)</f>
        <v>0</v>
      </c>
      <c r="R1023" s="28">
        <f>R1011*_xlfn.XLOOKUP($L1023,'Balizador da Meta'!$B$4:$B$21,'Balizador da Meta'!$C$4:$C$21)</f>
        <v>0</v>
      </c>
      <c r="S1023" s="28">
        <f>S1011*_xlfn.XLOOKUP($L1023,'Balizador da Meta'!$B$4:$B$21,'Balizador da Meta'!$C$4:$C$21)</f>
        <v>0</v>
      </c>
      <c r="T1023" s="28">
        <f>T1011*_xlfn.XLOOKUP($L1023,'Balizador da Meta'!$B$4:$B$21,'Balizador da Meta'!$C$4:$C$21)</f>
        <v>0</v>
      </c>
      <c r="U1023" s="28">
        <f>U1011*_xlfn.XLOOKUP($L1023,'Balizador da Meta'!$B$4:$B$21,'Balizador da Meta'!$C$4:$C$21)</f>
        <v>0</v>
      </c>
      <c r="V1023" s="28">
        <f>V1011*_xlfn.XLOOKUP($L1023,'Balizador da Meta'!$B$4:$B$21,'Balizador da Meta'!$C$4:$C$21)</f>
        <v>0</v>
      </c>
      <c r="W1023" s="28">
        <f>W1011*_xlfn.XLOOKUP($L1023,'Balizador da Meta'!$B$4:$B$21,'Balizador da Meta'!$C$4:$C$21)</f>
        <v>0</v>
      </c>
      <c r="X1023" s="28">
        <f>X1011*_xlfn.XLOOKUP($L1023,'Balizador da Meta'!$B$4:$B$21,'Balizador da Meta'!$C$4:$C$21)</f>
        <v>0</v>
      </c>
      <c r="Y1023" s="28">
        <f>Y1011*_xlfn.XLOOKUP($L1023,'Balizador da Meta'!$B$4:$B$21,'Balizador da Meta'!$C$4:$C$21)</f>
        <v>0</v>
      </c>
      <c r="Z1023" s="30">
        <f t="shared" si="246"/>
        <v>0</v>
      </c>
      <c r="AA1023" s="29"/>
      <c r="AB1023" s="31">
        <f>SUMIFS('Historico - FAT'!AK:AK,'Historico - FAT'!$K:$K,Faturamento!$L1023,'Historico - FAT'!$I:$I,Faturamento!$J1023,'Historico - FAT'!$G:$G,Faturamento!$H1023)</f>
        <v>0</v>
      </c>
      <c r="AC1023" s="31">
        <f>SUMIFS('Historico - FAT'!AL:AL,'Historico - FAT'!$K:$K,Faturamento!$L1023,'Historico - FAT'!$I:$I,Faturamento!$J1023,'Historico - FAT'!$G:$G,Faturamento!$H1023)</f>
        <v>2.8441666666666667</v>
      </c>
      <c r="AD1023" s="31">
        <f>SUMIFS('Historico - FAT'!AM:AM,'Historico - FAT'!$K:$K,Faturamento!$L1023,'Historico - FAT'!$I:$I,Faturamento!$J1023,'Historico - FAT'!$G:$G,Faturamento!$H1023)</f>
        <v>5.6883333333333335</v>
      </c>
      <c r="AE1023" s="27">
        <f>SUMIFS('Historico - FAT'!AN:AN,'Historico - FAT'!$K:$K,Faturamento!$L1023,'Historico - FAT'!$I:$I,Faturamento!$J1023,'Historico - FAT'!$G:$G,Faturamento!$H1023)</f>
        <v>3.4130000000000003</v>
      </c>
      <c r="AG1023" s="24" t="str">
        <f t="shared" si="240"/>
        <v/>
      </c>
      <c r="AH1023" s="24" t="str">
        <f t="shared" si="241"/>
        <v/>
      </c>
      <c r="AI1023" s="24" t="str">
        <f t="shared" si="242"/>
        <v/>
      </c>
    </row>
    <row r="1024" spans="1:35" hidden="1" x14ac:dyDescent="0.3">
      <c r="A1024" s="2" t="str">
        <f t="shared" si="239"/>
        <v>NÃO</v>
      </c>
      <c r="B1024" s="2">
        <v>1000184670</v>
      </c>
      <c r="C1024" s="2" t="s">
        <v>147</v>
      </c>
      <c r="D1024" s="4">
        <v>1000186197</v>
      </c>
      <c r="E1024" s="4" t="s">
        <v>166</v>
      </c>
      <c r="F1024" s="2">
        <v>1000184760</v>
      </c>
      <c r="G1024" s="2" t="s">
        <v>60</v>
      </c>
      <c r="H1024" s="4">
        <v>1000189798</v>
      </c>
      <c r="I1024" s="4" t="s">
        <v>110</v>
      </c>
      <c r="J1024" s="2">
        <v>1000189270</v>
      </c>
      <c r="K1024" s="2" t="s">
        <v>34</v>
      </c>
      <c r="L1024" s="4" t="s">
        <v>22</v>
      </c>
      <c r="M1024" s="4" t="str">
        <f t="shared" si="232"/>
        <v>1000184670100018619710001897981000189270S GLUTEN</v>
      </c>
      <c r="N1024" s="28">
        <f>N1011*_xlfn.XLOOKUP($L1024,'Balizador da Meta'!$B$4:$B$21,'Balizador da Meta'!$C$4:$C$21)</f>
        <v>0</v>
      </c>
      <c r="O1024" s="28">
        <f>O1011*_xlfn.XLOOKUP($L1024,'Balizador da Meta'!$B$4:$B$21,'Balizador da Meta'!$C$4:$C$21)</f>
        <v>0</v>
      </c>
      <c r="P1024" s="28">
        <f>P1011*_xlfn.XLOOKUP($L1024,'Balizador da Meta'!$B$4:$B$21,'Balizador da Meta'!$C$4:$C$21)</f>
        <v>0</v>
      </c>
      <c r="Q1024" s="28">
        <f>Q1011*_xlfn.XLOOKUP($L1024,'Balizador da Meta'!$B$4:$B$21,'Balizador da Meta'!$C$4:$C$21)</f>
        <v>0</v>
      </c>
      <c r="R1024" s="28">
        <f>R1011*_xlfn.XLOOKUP($L1024,'Balizador da Meta'!$B$4:$B$21,'Balizador da Meta'!$C$4:$C$21)</f>
        <v>0</v>
      </c>
      <c r="S1024" s="28">
        <f>S1011*_xlfn.XLOOKUP($L1024,'Balizador da Meta'!$B$4:$B$21,'Balizador da Meta'!$C$4:$C$21)</f>
        <v>0</v>
      </c>
      <c r="T1024" s="28">
        <f>T1011*_xlfn.XLOOKUP($L1024,'Balizador da Meta'!$B$4:$B$21,'Balizador da Meta'!$C$4:$C$21)</f>
        <v>0</v>
      </c>
      <c r="U1024" s="28">
        <f>U1011*_xlfn.XLOOKUP($L1024,'Balizador da Meta'!$B$4:$B$21,'Balizador da Meta'!$C$4:$C$21)</f>
        <v>0</v>
      </c>
      <c r="V1024" s="28">
        <f>V1011*_xlfn.XLOOKUP($L1024,'Balizador da Meta'!$B$4:$B$21,'Balizador da Meta'!$C$4:$C$21)</f>
        <v>0</v>
      </c>
      <c r="W1024" s="28">
        <f>W1011*_xlfn.XLOOKUP($L1024,'Balizador da Meta'!$B$4:$B$21,'Balizador da Meta'!$C$4:$C$21)</f>
        <v>0</v>
      </c>
      <c r="X1024" s="28">
        <f>X1011*_xlfn.XLOOKUP($L1024,'Balizador da Meta'!$B$4:$B$21,'Balizador da Meta'!$C$4:$C$21)</f>
        <v>0</v>
      </c>
      <c r="Y1024" s="28">
        <f>Y1011*_xlfn.XLOOKUP($L1024,'Balizador da Meta'!$B$4:$B$21,'Balizador da Meta'!$C$4:$C$21)</f>
        <v>0</v>
      </c>
      <c r="Z1024" s="30">
        <f t="shared" si="246"/>
        <v>0</v>
      </c>
      <c r="AA1024" s="29"/>
      <c r="AB1024" s="31">
        <f>SUMIFS('Historico - FAT'!AK:AK,'Historico - FAT'!$K:$K,Faturamento!$L1024,'Historico - FAT'!$I:$I,Faturamento!$J1024,'Historico - FAT'!$G:$G,Faturamento!$H1024)</f>
        <v>0</v>
      </c>
      <c r="AC1024" s="31">
        <f>SUMIFS('Historico - FAT'!AL:AL,'Historico - FAT'!$K:$K,Faturamento!$L1024,'Historico - FAT'!$I:$I,Faturamento!$J1024,'Historico - FAT'!$G:$G,Faturamento!$H1024)</f>
        <v>3.25</v>
      </c>
      <c r="AD1024" s="31">
        <f>SUMIFS('Historico - FAT'!AM:AM,'Historico - FAT'!$K:$K,Faturamento!$L1024,'Historico - FAT'!$I:$I,Faturamento!$J1024,'Historico - FAT'!$G:$G,Faturamento!$H1024)</f>
        <v>6.5</v>
      </c>
      <c r="AE1024" s="27">
        <f>SUMIFS('Historico - FAT'!AN:AN,'Historico - FAT'!$K:$K,Faturamento!$L1024,'Historico - FAT'!$I:$I,Faturamento!$J1024,'Historico - FAT'!$G:$G,Faturamento!$H1024)</f>
        <v>3.9</v>
      </c>
      <c r="AG1024" s="24" t="str">
        <f t="shared" si="240"/>
        <v/>
      </c>
      <c r="AH1024" s="24" t="str">
        <f t="shared" si="241"/>
        <v/>
      </c>
      <c r="AI1024" s="24" t="str">
        <f t="shared" si="242"/>
        <v/>
      </c>
    </row>
    <row r="1025" spans="1:35" hidden="1" x14ac:dyDescent="0.3">
      <c r="A1025" s="2" t="str">
        <f t="shared" si="239"/>
        <v>NÃO</v>
      </c>
      <c r="B1025" s="2">
        <v>1000184670</v>
      </c>
      <c r="C1025" s="2" t="s">
        <v>147</v>
      </c>
      <c r="D1025" s="4">
        <v>1000186197</v>
      </c>
      <c r="E1025" s="4" t="s">
        <v>166</v>
      </c>
      <c r="F1025" s="2">
        <v>1000184760</v>
      </c>
      <c r="G1025" s="2" t="s">
        <v>60</v>
      </c>
      <c r="H1025" s="4">
        <v>1000189798</v>
      </c>
      <c r="I1025" s="4" t="s">
        <v>110</v>
      </c>
      <c r="J1025" s="2">
        <v>1000189270</v>
      </c>
      <c r="K1025" s="2" t="s">
        <v>34</v>
      </c>
      <c r="L1025" s="4" t="s">
        <v>23</v>
      </c>
      <c r="M1025" s="4" t="str">
        <f t="shared" si="232"/>
        <v>1000184670100018619710001897981000189270SABORES DO CAMPO</v>
      </c>
      <c r="N1025" s="28">
        <f>N1011*_xlfn.XLOOKUP($L1025,'Balizador da Meta'!$B$4:$B$21,'Balizador da Meta'!$C$4:$C$21)</f>
        <v>0</v>
      </c>
      <c r="O1025" s="28">
        <f>O1011*_xlfn.XLOOKUP($L1025,'Balizador da Meta'!$B$4:$B$21,'Balizador da Meta'!$C$4:$C$21)</f>
        <v>0</v>
      </c>
      <c r="P1025" s="28">
        <f>P1011*_xlfn.XLOOKUP($L1025,'Balizador da Meta'!$B$4:$B$21,'Balizador da Meta'!$C$4:$C$21)</f>
        <v>0</v>
      </c>
      <c r="Q1025" s="28">
        <f>Q1011*_xlfn.XLOOKUP($L1025,'Balizador da Meta'!$B$4:$B$21,'Balizador da Meta'!$C$4:$C$21)</f>
        <v>0</v>
      </c>
      <c r="R1025" s="28">
        <f>R1011*_xlfn.XLOOKUP($L1025,'Balizador da Meta'!$B$4:$B$21,'Balizador da Meta'!$C$4:$C$21)</f>
        <v>0</v>
      </c>
      <c r="S1025" s="28">
        <f>S1011*_xlfn.XLOOKUP($L1025,'Balizador da Meta'!$B$4:$B$21,'Balizador da Meta'!$C$4:$C$21)</f>
        <v>0</v>
      </c>
      <c r="T1025" s="28">
        <f>T1011*_xlfn.XLOOKUP($L1025,'Balizador da Meta'!$B$4:$B$21,'Balizador da Meta'!$C$4:$C$21)</f>
        <v>0</v>
      </c>
      <c r="U1025" s="28">
        <f>U1011*_xlfn.XLOOKUP($L1025,'Balizador da Meta'!$B$4:$B$21,'Balizador da Meta'!$C$4:$C$21)</f>
        <v>0</v>
      </c>
      <c r="V1025" s="28">
        <f>V1011*_xlfn.XLOOKUP($L1025,'Balizador da Meta'!$B$4:$B$21,'Balizador da Meta'!$C$4:$C$21)</f>
        <v>0</v>
      </c>
      <c r="W1025" s="28">
        <f>W1011*_xlfn.XLOOKUP($L1025,'Balizador da Meta'!$B$4:$B$21,'Balizador da Meta'!$C$4:$C$21)</f>
        <v>0</v>
      </c>
      <c r="X1025" s="28">
        <f>X1011*_xlfn.XLOOKUP($L1025,'Balizador da Meta'!$B$4:$B$21,'Balizador da Meta'!$C$4:$C$21)</f>
        <v>0</v>
      </c>
      <c r="Y1025" s="28">
        <f>Y1011*_xlfn.XLOOKUP($L1025,'Balizador da Meta'!$B$4:$B$21,'Balizador da Meta'!$C$4:$C$21)</f>
        <v>0</v>
      </c>
      <c r="Z1025" s="30">
        <f t="shared" si="246"/>
        <v>0</v>
      </c>
      <c r="AA1025" s="29"/>
      <c r="AB1025" s="31">
        <f>SUMIFS('Historico - FAT'!AK:AK,'Historico - FAT'!$K:$K,Faturamento!$L1025,'Historico - FAT'!$I:$I,Faturamento!$J1025,'Historico - FAT'!$G:$G,Faturamento!$H1025)</f>
        <v>0</v>
      </c>
      <c r="AC1025" s="31">
        <f>SUMIFS('Historico - FAT'!AL:AL,'Historico - FAT'!$K:$K,Faturamento!$L1025,'Historico - FAT'!$I:$I,Faturamento!$J1025,'Historico - FAT'!$G:$G,Faturamento!$H1025)</f>
        <v>0</v>
      </c>
      <c r="AD1025" s="31">
        <f>SUMIFS('Historico - FAT'!AM:AM,'Historico - FAT'!$K:$K,Faturamento!$L1025,'Historico - FAT'!$I:$I,Faturamento!$J1025,'Historico - FAT'!$G:$G,Faturamento!$H1025)</f>
        <v>0</v>
      </c>
      <c r="AE1025" s="27">
        <f>SUMIFS('Historico - FAT'!AN:AN,'Historico - FAT'!$K:$K,Faturamento!$L1025,'Historico - FAT'!$I:$I,Faturamento!$J1025,'Historico - FAT'!$G:$G,Faturamento!$H1025)</f>
        <v>0</v>
      </c>
      <c r="AG1025" s="24" t="str">
        <f t="shared" si="240"/>
        <v/>
      </c>
      <c r="AH1025" s="24" t="str">
        <f t="shared" si="241"/>
        <v/>
      </c>
      <c r="AI1025" s="24" t="str">
        <f t="shared" si="242"/>
        <v/>
      </c>
    </row>
    <row r="1026" spans="1:35" hidden="1" x14ac:dyDescent="0.3">
      <c r="A1026" s="2" t="str">
        <f t="shared" si="239"/>
        <v>NÃO</v>
      </c>
      <c r="B1026" s="2">
        <v>1000184670</v>
      </c>
      <c r="C1026" s="2" t="s">
        <v>147</v>
      </c>
      <c r="D1026" s="4">
        <v>1000186197</v>
      </c>
      <c r="E1026" s="4" t="s">
        <v>166</v>
      </c>
      <c r="F1026" s="2">
        <v>1000184760</v>
      </c>
      <c r="G1026" s="2" t="s">
        <v>60</v>
      </c>
      <c r="H1026" s="4">
        <v>1000189798</v>
      </c>
      <c r="I1026" s="4" t="s">
        <v>110</v>
      </c>
      <c r="J1026" s="2">
        <v>1000189270</v>
      </c>
      <c r="K1026" s="2" t="s">
        <v>34</v>
      </c>
      <c r="L1026" s="4" t="s">
        <v>28</v>
      </c>
      <c r="M1026" s="4" t="str">
        <f t="shared" si="232"/>
        <v>1000184670100018619710001897981000189270SAL</v>
      </c>
      <c r="N1026" s="28">
        <f>N1011*_xlfn.XLOOKUP($L1026,'Balizador da Meta'!$B$4:$B$21,'Balizador da Meta'!$C$4:$C$21)</f>
        <v>0</v>
      </c>
      <c r="O1026" s="28">
        <f>O1011*_xlfn.XLOOKUP($L1026,'Balizador da Meta'!$B$4:$B$21,'Balizador da Meta'!$C$4:$C$21)</f>
        <v>0</v>
      </c>
      <c r="P1026" s="28">
        <f>P1011*_xlfn.XLOOKUP($L1026,'Balizador da Meta'!$B$4:$B$21,'Balizador da Meta'!$C$4:$C$21)</f>
        <v>0</v>
      </c>
      <c r="Q1026" s="28">
        <f>Q1011*_xlfn.XLOOKUP($L1026,'Balizador da Meta'!$B$4:$B$21,'Balizador da Meta'!$C$4:$C$21)</f>
        <v>0</v>
      </c>
      <c r="R1026" s="28">
        <f>R1011*_xlfn.XLOOKUP($L1026,'Balizador da Meta'!$B$4:$B$21,'Balizador da Meta'!$C$4:$C$21)</f>
        <v>0</v>
      </c>
      <c r="S1026" s="28">
        <f>S1011*_xlfn.XLOOKUP($L1026,'Balizador da Meta'!$B$4:$B$21,'Balizador da Meta'!$C$4:$C$21)</f>
        <v>0</v>
      </c>
      <c r="T1026" s="28">
        <f>T1011*_xlfn.XLOOKUP($L1026,'Balizador da Meta'!$B$4:$B$21,'Balizador da Meta'!$C$4:$C$21)</f>
        <v>0</v>
      </c>
      <c r="U1026" s="28">
        <f>U1011*_xlfn.XLOOKUP($L1026,'Balizador da Meta'!$B$4:$B$21,'Balizador da Meta'!$C$4:$C$21)</f>
        <v>0</v>
      </c>
      <c r="V1026" s="28">
        <f>V1011*_xlfn.XLOOKUP($L1026,'Balizador da Meta'!$B$4:$B$21,'Balizador da Meta'!$C$4:$C$21)</f>
        <v>0</v>
      </c>
      <c r="W1026" s="28">
        <f>W1011*_xlfn.XLOOKUP($L1026,'Balizador da Meta'!$B$4:$B$21,'Balizador da Meta'!$C$4:$C$21)</f>
        <v>0</v>
      </c>
      <c r="X1026" s="28">
        <f>X1011*_xlfn.XLOOKUP($L1026,'Balizador da Meta'!$B$4:$B$21,'Balizador da Meta'!$C$4:$C$21)</f>
        <v>0</v>
      </c>
      <c r="Y1026" s="28">
        <f>Y1011*_xlfn.XLOOKUP($L1026,'Balizador da Meta'!$B$4:$B$21,'Balizador da Meta'!$C$4:$C$21)</f>
        <v>0</v>
      </c>
      <c r="Z1026" s="30">
        <f t="shared" si="246"/>
        <v>0</v>
      </c>
      <c r="AA1026" s="29"/>
      <c r="AB1026" s="31">
        <f>SUMIFS('Historico - FAT'!AK:AK,'Historico - FAT'!$K:$K,Faturamento!$L1026,'Historico - FAT'!$I:$I,Faturamento!$J1026,'Historico - FAT'!$G:$G,Faturamento!$H1026)</f>
        <v>0</v>
      </c>
      <c r="AC1026" s="31">
        <f>SUMIFS('Historico - FAT'!AL:AL,'Historico - FAT'!$K:$K,Faturamento!$L1026,'Historico - FAT'!$I:$I,Faturamento!$J1026,'Historico - FAT'!$G:$G,Faturamento!$H1026)</f>
        <v>5.3566666666666665</v>
      </c>
      <c r="AD1026" s="31">
        <f>SUMIFS('Historico - FAT'!AM:AM,'Historico - FAT'!$K:$K,Faturamento!$L1026,'Historico - FAT'!$I:$I,Faturamento!$J1026,'Historico - FAT'!$G:$G,Faturamento!$H1026)</f>
        <v>10.713333333333333</v>
      </c>
      <c r="AE1026" s="27">
        <f>SUMIFS('Historico - FAT'!AN:AN,'Historico - FAT'!$K:$K,Faturamento!$L1026,'Historico - FAT'!$I:$I,Faturamento!$J1026,'Historico - FAT'!$G:$G,Faturamento!$H1026)</f>
        <v>6.4279999999999999</v>
      </c>
      <c r="AG1026" s="24" t="str">
        <f t="shared" si="240"/>
        <v/>
      </c>
      <c r="AH1026" s="24" t="str">
        <f t="shared" si="241"/>
        <v/>
      </c>
      <c r="AI1026" s="24" t="str">
        <f t="shared" si="242"/>
        <v/>
      </c>
    </row>
    <row r="1027" spans="1:35" hidden="1" x14ac:dyDescent="0.3">
      <c r="A1027" s="2" t="str">
        <f t="shared" si="239"/>
        <v>NÃO</v>
      </c>
      <c r="B1027" s="2">
        <v>1000184670</v>
      </c>
      <c r="C1027" s="2" t="s">
        <v>147</v>
      </c>
      <c r="D1027" s="4">
        <v>1000186197</v>
      </c>
      <c r="E1027" s="4" t="s">
        <v>166</v>
      </c>
      <c r="F1027" s="2">
        <v>1000184760</v>
      </c>
      <c r="G1027" s="2" t="s">
        <v>60</v>
      </c>
      <c r="H1027" s="4">
        <v>1000189798</v>
      </c>
      <c r="I1027" s="4" t="s">
        <v>110</v>
      </c>
      <c r="J1027" s="2">
        <v>1000189270</v>
      </c>
      <c r="K1027" s="2" t="s">
        <v>34</v>
      </c>
      <c r="L1027" s="4" t="s">
        <v>26</v>
      </c>
      <c r="M1027" s="4" t="str">
        <f t="shared" si="232"/>
        <v>1000184670100018619710001897981000189270SOULPRO</v>
      </c>
      <c r="N1027" s="28">
        <f>N1011*_xlfn.XLOOKUP($L1027,'Balizador da Meta'!$B$4:$B$21,'Balizador da Meta'!$C$4:$C$21)</f>
        <v>0</v>
      </c>
      <c r="O1027" s="28">
        <f>O1011*_xlfn.XLOOKUP($L1027,'Balizador da Meta'!$B$4:$B$21,'Balizador da Meta'!$C$4:$C$21)</f>
        <v>0</v>
      </c>
      <c r="P1027" s="28">
        <f>P1011*_xlfn.XLOOKUP($L1027,'Balizador da Meta'!$B$4:$B$21,'Balizador da Meta'!$C$4:$C$21)</f>
        <v>0</v>
      </c>
      <c r="Q1027" s="28">
        <f>Q1011*_xlfn.XLOOKUP($L1027,'Balizador da Meta'!$B$4:$B$21,'Balizador da Meta'!$C$4:$C$21)</f>
        <v>0</v>
      </c>
      <c r="R1027" s="28">
        <f>R1011*_xlfn.XLOOKUP($L1027,'Balizador da Meta'!$B$4:$B$21,'Balizador da Meta'!$C$4:$C$21)</f>
        <v>0</v>
      </c>
      <c r="S1027" s="28">
        <f>S1011*_xlfn.XLOOKUP($L1027,'Balizador da Meta'!$B$4:$B$21,'Balizador da Meta'!$C$4:$C$21)</f>
        <v>0</v>
      </c>
      <c r="T1027" s="28">
        <f>T1011*_xlfn.XLOOKUP($L1027,'Balizador da Meta'!$B$4:$B$21,'Balizador da Meta'!$C$4:$C$21)</f>
        <v>0</v>
      </c>
      <c r="U1027" s="28">
        <f>U1011*_xlfn.XLOOKUP($L1027,'Balizador da Meta'!$B$4:$B$21,'Balizador da Meta'!$C$4:$C$21)</f>
        <v>0</v>
      </c>
      <c r="V1027" s="28">
        <f>V1011*_xlfn.XLOOKUP($L1027,'Balizador da Meta'!$B$4:$B$21,'Balizador da Meta'!$C$4:$C$21)</f>
        <v>0</v>
      </c>
      <c r="W1027" s="28">
        <f>W1011*_xlfn.XLOOKUP($L1027,'Balizador da Meta'!$B$4:$B$21,'Balizador da Meta'!$C$4:$C$21)</f>
        <v>0</v>
      </c>
      <c r="X1027" s="28">
        <f>X1011*_xlfn.XLOOKUP($L1027,'Balizador da Meta'!$B$4:$B$21,'Balizador da Meta'!$C$4:$C$21)</f>
        <v>0</v>
      </c>
      <c r="Y1027" s="28">
        <f>Y1011*_xlfn.XLOOKUP($L1027,'Balizador da Meta'!$B$4:$B$21,'Balizador da Meta'!$C$4:$C$21)</f>
        <v>0</v>
      </c>
      <c r="Z1027" s="30">
        <f t="shared" si="246"/>
        <v>0</v>
      </c>
      <c r="AA1027" s="29"/>
      <c r="AB1027" s="31">
        <f>SUMIFS('Historico - FAT'!AK:AK,'Historico - FAT'!$K:$K,Faturamento!$L1027,'Historico - FAT'!$I:$I,Faturamento!$J1027,'Historico - FAT'!$G:$G,Faturamento!$H1027)</f>
        <v>0</v>
      </c>
      <c r="AC1027" s="31">
        <f>SUMIFS('Historico - FAT'!AL:AL,'Historico - FAT'!$K:$K,Faturamento!$L1027,'Historico - FAT'!$I:$I,Faturamento!$J1027,'Historico - FAT'!$G:$G,Faturamento!$H1027)</f>
        <v>0</v>
      </c>
      <c r="AD1027" s="31">
        <f>SUMIFS('Historico - FAT'!AM:AM,'Historico - FAT'!$K:$K,Faturamento!$L1027,'Historico - FAT'!$I:$I,Faturamento!$J1027,'Historico - FAT'!$G:$G,Faturamento!$H1027)</f>
        <v>0</v>
      </c>
      <c r="AE1027" s="27">
        <f>SUMIFS('Historico - FAT'!AN:AN,'Historico - FAT'!$K:$K,Faturamento!$L1027,'Historico - FAT'!$I:$I,Faturamento!$J1027,'Historico - FAT'!$G:$G,Faturamento!$H1027)</f>
        <v>0</v>
      </c>
      <c r="AG1027" s="24" t="str">
        <f t="shared" si="240"/>
        <v/>
      </c>
      <c r="AH1027" s="24" t="str">
        <f t="shared" si="241"/>
        <v/>
      </c>
      <c r="AI1027" s="24" t="str">
        <f t="shared" si="242"/>
        <v/>
      </c>
    </row>
    <row r="1028" spans="1:35" hidden="1" x14ac:dyDescent="0.3">
      <c r="A1028" s="2" t="str">
        <f t="shared" si="239"/>
        <v>NÃO</v>
      </c>
      <c r="B1028" s="2">
        <v>1000184670</v>
      </c>
      <c r="C1028" s="2" t="s">
        <v>147</v>
      </c>
      <c r="D1028" s="4">
        <v>1000186197</v>
      </c>
      <c r="E1028" s="4" t="s">
        <v>166</v>
      </c>
      <c r="F1028" s="2">
        <v>1000184760</v>
      </c>
      <c r="G1028" s="2" t="s">
        <v>60</v>
      </c>
      <c r="H1028" s="4">
        <v>1000189798</v>
      </c>
      <c r="I1028" s="4" t="s">
        <v>110</v>
      </c>
      <c r="J1028" s="2">
        <v>1000189270</v>
      </c>
      <c r="K1028" s="2" t="s">
        <v>34</v>
      </c>
      <c r="L1028" s="4" t="s">
        <v>27</v>
      </c>
      <c r="M1028" s="4" t="str">
        <f t="shared" si="232"/>
        <v>1000184670100018619710001897981000189270TAMARA</v>
      </c>
      <c r="N1028" s="28">
        <f>N1011*_xlfn.XLOOKUP($L1028,'Balizador da Meta'!$B$4:$B$21,'Balizador da Meta'!$C$4:$C$21)</f>
        <v>0</v>
      </c>
      <c r="O1028" s="28">
        <f>O1011*_xlfn.XLOOKUP($L1028,'Balizador da Meta'!$B$4:$B$21,'Balizador da Meta'!$C$4:$C$21)</f>
        <v>0</v>
      </c>
      <c r="P1028" s="28">
        <f>P1011*_xlfn.XLOOKUP($L1028,'Balizador da Meta'!$B$4:$B$21,'Balizador da Meta'!$C$4:$C$21)</f>
        <v>0</v>
      </c>
      <c r="Q1028" s="28">
        <f>Q1011*_xlfn.XLOOKUP($L1028,'Balizador da Meta'!$B$4:$B$21,'Balizador da Meta'!$C$4:$C$21)</f>
        <v>0</v>
      </c>
      <c r="R1028" s="28">
        <f>R1011*_xlfn.XLOOKUP($L1028,'Balizador da Meta'!$B$4:$B$21,'Balizador da Meta'!$C$4:$C$21)</f>
        <v>0</v>
      </c>
      <c r="S1028" s="28">
        <f>S1011*_xlfn.XLOOKUP($L1028,'Balizador da Meta'!$B$4:$B$21,'Balizador da Meta'!$C$4:$C$21)</f>
        <v>0</v>
      </c>
      <c r="T1028" s="28">
        <f>T1011*_xlfn.XLOOKUP($L1028,'Balizador da Meta'!$B$4:$B$21,'Balizador da Meta'!$C$4:$C$21)</f>
        <v>0</v>
      </c>
      <c r="U1028" s="28">
        <f>U1011*_xlfn.XLOOKUP($L1028,'Balizador da Meta'!$B$4:$B$21,'Balizador da Meta'!$C$4:$C$21)</f>
        <v>0</v>
      </c>
      <c r="V1028" s="28">
        <f>V1011*_xlfn.XLOOKUP($L1028,'Balizador da Meta'!$B$4:$B$21,'Balizador da Meta'!$C$4:$C$21)</f>
        <v>0</v>
      </c>
      <c r="W1028" s="28">
        <f>W1011*_xlfn.XLOOKUP($L1028,'Balizador da Meta'!$B$4:$B$21,'Balizador da Meta'!$C$4:$C$21)</f>
        <v>0</v>
      </c>
      <c r="X1028" s="28">
        <f>X1011*_xlfn.XLOOKUP($L1028,'Balizador da Meta'!$B$4:$B$21,'Balizador da Meta'!$C$4:$C$21)</f>
        <v>0</v>
      </c>
      <c r="Y1028" s="28">
        <f>Y1011*_xlfn.XLOOKUP($L1028,'Balizador da Meta'!$B$4:$B$21,'Balizador da Meta'!$C$4:$C$21)</f>
        <v>0</v>
      </c>
      <c r="Z1028" s="30">
        <f t="shared" si="246"/>
        <v>0</v>
      </c>
      <c r="AA1028" s="29"/>
      <c r="AB1028" s="31">
        <f>SUMIFS('Historico - FAT'!AK:AK,'Historico - FAT'!$K:$K,Faturamento!$L1028,'Historico - FAT'!$I:$I,Faturamento!$J1028,'Historico - FAT'!$G:$G,Faturamento!$H1028)</f>
        <v>0</v>
      </c>
      <c r="AC1028" s="31">
        <f>SUMIFS('Historico - FAT'!AL:AL,'Historico - FAT'!$K:$K,Faturamento!$L1028,'Historico - FAT'!$I:$I,Faturamento!$J1028,'Historico - FAT'!$G:$G,Faturamento!$H1028)</f>
        <v>0</v>
      </c>
      <c r="AD1028" s="31">
        <f>SUMIFS('Historico - FAT'!AM:AM,'Historico - FAT'!$K:$K,Faturamento!$L1028,'Historico - FAT'!$I:$I,Faturamento!$J1028,'Historico - FAT'!$G:$G,Faturamento!$H1028)</f>
        <v>0</v>
      </c>
      <c r="AE1028" s="27">
        <f>SUMIFS('Historico - FAT'!AN:AN,'Historico - FAT'!$K:$K,Faturamento!$L1028,'Historico - FAT'!$I:$I,Faturamento!$J1028,'Historico - FAT'!$G:$G,Faturamento!$H1028)</f>
        <v>0</v>
      </c>
      <c r="AG1028" s="24" t="str">
        <f t="shared" si="240"/>
        <v/>
      </c>
      <c r="AH1028" s="24" t="str">
        <f t="shared" si="241"/>
        <v/>
      </c>
      <c r="AI1028" s="24" t="str">
        <f t="shared" si="242"/>
        <v/>
      </c>
    </row>
    <row r="1029" spans="1:35" hidden="1" x14ac:dyDescent="0.3">
      <c r="A1029" s="2" t="str">
        <f t="shared" si="239"/>
        <v>NÃO</v>
      </c>
      <c r="B1029" s="2">
        <v>1000184670</v>
      </c>
      <c r="C1029" s="2" t="s">
        <v>147</v>
      </c>
      <c r="D1029" s="4">
        <v>1000186197</v>
      </c>
      <c r="E1029" s="4" t="s">
        <v>166</v>
      </c>
      <c r="F1029" s="2">
        <v>1000184760</v>
      </c>
      <c r="G1029" s="2" t="s">
        <v>60</v>
      </c>
      <c r="H1029" s="4">
        <v>1000189798</v>
      </c>
      <c r="I1029" s="4" t="s">
        <v>110</v>
      </c>
      <c r="J1029" s="2">
        <v>1000189270</v>
      </c>
      <c r="K1029" s="2" t="s">
        <v>34</v>
      </c>
      <c r="L1029" s="4" t="s">
        <v>25</v>
      </c>
      <c r="M1029" s="4" t="str">
        <f t="shared" ref="M1029:M1092" si="247">_xlfn.CONCAT(B1029,D1029,H1029,J1029,L1029,)</f>
        <v>1000184670100018619710001897981000189270VICCIO</v>
      </c>
      <c r="N1029" s="28">
        <f>N1011*_xlfn.XLOOKUP($L1029,'Balizador da Meta'!$B$4:$B$21,'Balizador da Meta'!$C$4:$C$21)</f>
        <v>0</v>
      </c>
      <c r="O1029" s="28">
        <f>O1011*_xlfn.XLOOKUP($L1029,'Balizador da Meta'!$B$4:$B$21,'Balizador da Meta'!$C$4:$C$21)</f>
        <v>0</v>
      </c>
      <c r="P1029" s="28">
        <f>P1011*_xlfn.XLOOKUP($L1029,'Balizador da Meta'!$B$4:$B$21,'Balizador da Meta'!$C$4:$C$21)</f>
        <v>0</v>
      </c>
      <c r="Q1029" s="28">
        <f>Q1011*_xlfn.XLOOKUP($L1029,'Balizador da Meta'!$B$4:$B$21,'Balizador da Meta'!$C$4:$C$21)</f>
        <v>0</v>
      </c>
      <c r="R1029" s="28">
        <f>R1011*_xlfn.XLOOKUP($L1029,'Balizador da Meta'!$B$4:$B$21,'Balizador da Meta'!$C$4:$C$21)</f>
        <v>0</v>
      </c>
      <c r="S1029" s="28">
        <f>S1011*_xlfn.XLOOKUP($L1029,'Balizador da Meta'!$B$4:$B$21,'Balizador da Meta'!$C$4:$C$21)</f>
        <v>0</v>
      </c>
      <c r="T1029" s="28">
        <f>T1011*_xlfn.XLOOKUP($L1029,'Balizador da Meta'!$B$4:$B$21,'Balizador da Meta'!$C$4:$C$21)</f>
        <v>0</v>
      </c>
      <c r="U1029" s="28">
        <f>U1011*_xlfn.XLOOKUP($L1029,'Balizador da Meta'!$B$4:$B$21,'Balizador da Meta'!$C$4:$C$21)</f>
        <v>0</v>
      </c>
      <c r="V1029" s="28">
        <f>V1011*_xlfn.XLOOKUP($L1029,'Balizador da Meta'!$B$4:$B$21,'Balizador da Meta'!$C$4:$C$21)</f>
        <v>0</v>
      </c>
      <c r="W1029" s="28">
        <f>W1011*_xlfn.XLOOKUP($L1029,'Balizador da Meta'!$B$4:$B$21,'Balizador da Meta'!$C$4:$C$21)</f>
        <v>0</v>
      </c>
      <c r="X1029" s="28">
        <f>X1011*_xlfn.XLOOKUP($L1029,'Balizador da Meta'!$B$4:$B$21,'Balizador da Meta'!$C$4:$C$21)</f>
        <v>0</v>
      </c>
      <c r="Y1029" s="28">
        <f>Y1011*_xlfn.XLOOKUP($L1029,'Balizador da Meta'!$B$4:$B$21,'Balizador da Meta'!$C$4:$C$21)</f>
        <v>0</v>
      </c>
      <c r="Z1029" s="30">
        <f t="shared" si="246"/>
        <v>0</v>
      </c>
      <c r="AA1029" s="29"/>
      <c r="AB1029" s="31">
        <f>SUMIFS('Historico - FAT'!AK:AK,'Historico - FAT'!$K:$K,Faturamento!$L1029,'Historico - FAT'!$I:$I,Faturamento!$J1029,'Historico - FAT'!$G:$G,Faturamento!$H1029)</f>
        <v>0</v>
      </c>
      <c r="AC1029" s="31">
        <f>SUMIFS('Historico - FAT'!AL:AL,'Historico - FAT'!$K:$K,Faturamento!$L1029,'Historico - FAT'!$I:$I,Faturamento!$J1029,'Historico - FAT'!$G:$G,Faturamento!$H1029)</f>
        <v>0</v>
      </c>
      <c r="AD1029" s="31">
        <f>SUMIFS('Historico - FAT'!AM:AM,'Historico - FAT'!$K:$K,Faturamento!$L1029,'Historico - FAT'!$I:$I,Faturamento!$J1029,'Historico - FAT'!$G:$G,Faturamento!$H1029)</f>
        <v>0</v>
      </c>
      <c r="AE1029" s="27">
        <f>SUMIFS('Historico - FAT'!AN:AN,'Historico - FAT'!$K:$K,Faturamento!$L1029,'Historico - FAT'!$I:$I,Faturamento!$J1029,'Historico - FAT'!$G:$G,Faturamento!$H1029)</f>
        <v>0</v>
      </c>
      <c r="AG1029" s="24" t="str">
        <f t="shared" si="240"/>
        <v/>
      </c>
      <c r="AH1029" s="24" t="str">
        <f t="shared" si="241"/>
        <v/>
      </c>
      <c r="AI1029" s="24" t="str">
        <f t="shared" si="242"/>
        <v/>
      </c>
    </row>
    <row r="1030" spans="1:35" x14ac:dyDescent="0.3">
      <c r="A1030" s="2" t="str">
        <f t="shared" si="239"/>
        <v>SIM</v>
      </c>
      <c r="B1030" s="2">
        <v>1000184670</v>
      </c>
      <c r="C1030" s="2" t="s">
        <v>147</v>
      </c>
      <c r="D1030" s="4">
        <v>1000186197</v>
      </c>
      <c r="E1030" s="4" t="s">
        <v>166</v>
      </c>
      <c r="F1030" s="2">
        <v>1000184760</v>
      </c>
      <c r="G1030" s="2" t="s">
        <v>60</v>
      </c>
      <c r="H1030" s="4">
        <v>1000189799</v>
      </c>
      <c r="I1030" s="4" t="s">
        <v>111</v>
      </c>
      <c r="J1030" s="2">
        <v>1000189270</v>
      </c>
      <c r="K1030" s="2" t="s">
        <v>34</v>
      </c>
      <c r="L1030" s="4" t="s">
        <v>124</v>
      </c>
      <c r="M1030" s="4" t="str">
        <f t="shared" si="247"/>
        <v>100018467010001861971000189799100018927001. TOTAL</v>
      </c>
      <c r="N1030" s="28">
        <f>SUMIFS(Positivação!L:L,Positivação!$I:$I,Faturamento!$J1030,Positivação!$G:$G,Faturamento!$H1030)*SUMIFS(Positivação!$Z:$Z,Positivação!$I:$I,Faturamento!$J1030,Positivação!$G:$G,Faturamento!$H1030)</f>
        <v>1200</v>
      </c>
      <c r="O1030" s="28">
        <f>SUMIFS(Positivação!M:M,Positivação!$I:$I,Faturamento!$J1030,Positivação!$G:$G,Faturamento!$H1030)*SUMIFS(Positivação!$Z:$Z,Positivação!$I:$I,Faturamento!$J1030,Positivação!$G:$G,Faturamento!$H1030)</f>
        <v>1200</v>
      </c>
      <c r="P1030" s="28">
        <f>SUMIFS(Positivação!N:N,Positivação!$I:$I,Faturamento!$J1030,Positivação!$G:$G,Faturamento!$H1030)*SUMIFS(Positivação!$Z:$Z,Positivação!$I:$I,Faturamento!$J1030,Positivação!$G:$G,Faturamento!$H1030)</f>
        <v>1200</v>
      </c>
      <c r="Q1030" s="28">
        <f>SUMIFS(Positivação!O:O,Positivação!$I:$I,Faturamento!$J1030,Positivação!$G:$G,Faturamento!$H1030)*SUMIFS(Positivação!$Z:$Z,Positivação!$I:$I,Faturamento!$J1030,Positivação!$G:$G,Faturamento!$H1030)</f>
        <v>1200</v>
      </c>
      <c r="R1030" s="28">
        <f>SUMIFS(Positivação!P:P,Positivação!$I:$I,Faturamento!$J1030,Positivação!$G:$G,Faturamento!$H1030)*SUMIFS(Positivação!$Z:$Z,Positivação!$I:$I,Faturamento!$J1030,Positivação!$G:$G,Faturamento!$H1030)</f>
        <v>1200</v>
      </c>
      <c r="S1030" s="28">
        <f>SUMIFS(Positivação!Q:Q,Positivação!$I:$I,Faturamento!$J1030,Positivação!$G:$G,Faturamento!$H1030)*SUMIFS(Positivação!$Z:$Z,Positivação!$I:$I,Faturamento!$J1030,Positivação!$G:$G,Faturamento!$H1030)</f>
        <v>1200</v>
      </c>
      <c r="T1030" s="28">
        <f>SUMIFS(Positivação!R:R,Positivação!$I:$I,Faturamento!$J1030,Positivação!$G:$G,Faturamento!$H1030)*SUMIFS(Positivação!$Z:$Z,Positivação!$I:$I,Faturamento!$J1030,Positivação!$G:$G,Faturamento!$H1030)</f>
        <v>1200</v>
      </c>
      <c r="U1030" s="28">
        <f>SUMIFS(Positivação!S:S,Positivação!$I:$I,Faturamento!$J1030,Positivação!$G:$G,Faturamento!$H1030)*SUMIFS(Positivação!$Z:$Z,Positivação!$I:$I,Faturamento!$J1030,Positivação!$G:$G,Faturamento!$H1030)</f>
        <v>1200</v>
      </c>
      <c r="V1030" s="28">
        <f>SUMIFS(Positivação!T:T,Positivação!$I:$I,Faturamento!$J1030,Positivação!$G:$G,Faturamento!$H1030)*SUMIFS(Positivação!$Z:$Z,Positivação!$I:$I,Faturamento!$J1030,Positivação!$G:$G,Faturamento!$H1030)</f>
        <v>1200</v>
      </c>
      <c r="W1030" s="28">
        <f>SUMIFS(Positivação!U:U,Positivação!$I:$I,Faturamento!$J1030,Positivação!$G:$G,Faturamento!$H1030)*SUMIFS(Positivação!$Z:$Z,Positivação!$I:$I,Faturamento!$J1030,Positivação!$G:$G,Faturamento!$H1030)</f>
        <v>1200</v>
      </c>
      <c r="X1030" s="28">
        <f>SUMIFS(Positivação!V:V,Positivação!$I:$I,Faturamento!$J1030,Positivação!$G:$G,Faturamento!$H1030)*SUMIFS(Positivação!$Z:$Z,Positivação!$I:$I,Faturamento!$J1030,Positivação!$G:$G,Faturamento!$H1030)</f>
        <v>1200</v>
      </c>
      <c r="Y1030" s="28">
        <f>SUMIFS(Positivação!W:W,Positivação!$I:$I,Faturamento!$J1030,Positivação!$G:$G,Faturamento!$H1030)*SUMIFS(Positivação!$Z:$Z,Positivação!$I:$I,Faturamento!$J1030,Positivação!$G:$G,Faturamento!$H1030)</f>
        <v>1200</v>
      </c>
      <c r="Z1030" s="28">
        <f t="shared" ref="Z1030" si="248">SUM(Z1031:Z1048)</f>
        <v>14400</v>
      </c>
      <c r="AA1030" s="29"/>
      <c r="AB1030" s="28">
        <f t="shared" ref="AB1030:AE1030" si="249">SUM(AB1031:AB1048)</f>
        <v>151.93916666666667</v>
      </c>
      <c r="AC1030" s="28">
        <f t="shared" si="249"/>
        <v>231.7475</v>
      </c>
      <c r="AD1030" s="28">
        <f t="shared" si="249"/>
        <v>459.04166666666674</v>
      </c>
      <c r="AE1030" s="28">
        <f t="shared" si="249"/>
        <v>278.09700000000004</v>
      </c>
      <c r="AG1030" s="24">
        <f t="shared" si="240"/>
        <v>0.8733840277777779</v>
      </c>
      <c r="AH1030" s="24">
        <f t="shared" si="241"/>
        <v>0.80687708333333341</v>
      </c>
      <c r="AI1030" s="24">
        <f t="shared" si="242"/>
        <v>0.61746527777777771</v>
      </c>
    </row>
    <row r="1031" spans="1:35" hidden="1" x14ac:dyDescent="0.3">
      <c r="A1031" s="2" t="str">
        <f t="shared" si="239"/>
        <v>NÃO</v>
      </c>
      <c r="B1031" s="2">
        <v>1000184670</v>
      </c>
      <c r="C1031" s="2" t="s">
        <v>147</v>
      </c>
      <c r="D1031" s="4">
        <v>1000186197</v>
      </c>
      <c r="E1031" s="4" t="s">
        <v>166</v>
      </c>
      <c r="F1031" s="2">
        <v>1000184760</v>
      </c>
      <c r="G1031" s="2" t="s">
        <v>60</v>
      </c>
      <c r="H1031" s="4">
        <v>1000189799</v>
      </c>
      <c r="I1031" s="4" t="s">
        <v>111</v>
      </c>
      <c r="J1031" s="2">
        <v>1000189270</v>
      </c>
      <c r="K1031" s="2" t="s">
        <v>34</v>
      </c>
      <c r="L1031" s="4" t="s">
        <v>13</v>
      </c>
      <c r="M1031" s="4" t="str">
        <f t="shared" si="247"/>
        <v>1000184670100018619710001897991000189270BISCOITO</v>
      </c>
      <c r="N1031" s="28">
        <f>N1030*_xlfn.XLOOKUP($L1031,'Balizador da Meta'!$B$4:$B$21,'Balizador da Meta'!$C$4:$C$21)</f>
        <v>84.000000000000014</v>
      </c>
      <c r="O1031" s="28">
        <f>O1030*_xlfn.XLOOKUP($L1031,'Balizador da Meta'!$B$4:$B$21,'Balizador da Meta'!$C$4:$C$21)</f>
        <v>84.000000000000014</v>
      </c>
      <c r="P1031" s="28">
        <f>P1030*_xlfn.XLOOKUP($L1031,'Balizador da Meta'!$B$4:$B$21,'Balizador da Meta'!$C$4:$C$21)</f>
        <v>84.000000000000014</v>
      </c>
      <c r="Q1031" s="28">
        <f>Q1030*_xlfn.XLOOKUP($L1031,'Balizador da Meta'!$B$4:$B$21,'Balizador da Meta'!$C$4:$C$21)</f>
        <v>84.000000000000014</v>
      </c>
      <c r="R1031" s="28">
        <f>R1030*_xlfn.XLOOKUP($L1031,'Balizador da Meta'!$B$4:$B$21,'Balizador da Meta'!$C$4:$C$21)</f>
        <v>84.000000000000014</v>
      </c>
      <c r="S1031" s="28">
        <f>S1030*_xlfn.XLOOKUP($L1031,'Balizador da Meta'!$B$4:$B$21,'Balizador da Meta'!$C$4:$C$21)</f>
        <v>84.000000000000014</v>
      </c>
      <c r="T1031" s="28">
        <f>T1030*_xlfn.XLOOKUP($L1031,'Balizador da Meta'!$B$4:$B$21,'Balizador da Meta'!$C$4:$C$21)</f>
        <v>84.000000000000014</v>
      </c>
      <c r="U1031" s="28">
        <f>U1030*_xlfn.XLOOKUP($L1031,'Balizador da Meta'!$B$4:$B$21,'Balizador da Meta'!$C$4:$C$21)</f>
        <v>84.000000000000014</v>
      </c>
      <c r="V1031" s="28">
        <f>V1030*_xlfn.XLOOKUP($L1031,'Balizador da Meta'!$B$4:$B$21,'Balizador da Meta'!$C$4:$C$21)</f>
        <v>84.000000000000014</v>
      </c>
      <c r="W1031" s="28">
        <f>W1030*_xlfn.XLOOKUP($L1031,'Balizador da Meta'!$B$4:$B$21,'Balizador da Meta'!$C$4:$C$21)</f>
        <v>84.000000000000014</v>
      </c>
      <c r="X1031" s="28">
        <f>X1030*_xlfn.XLOOKUP($L1031,'Balizador da Meta'!$B$4:$B$21,'Balizador da Meta'!$C$4:$C$21)</f>
        <v>84.000000000000014</v>
      </c>
      <c r="Y1031" s="28">
        <f>Y1030*_xlfn.XLOOKUP($L1031,'Balizador da Meta'!$B$4:$B$21,'Balizador da Meta'!$C$4:$C$21)</f>
        <v>84.000000000000014</v>
      </c>
      <c r="Z1031" s="30">
        <f t="shared" ref="Z1031:Z1048" si="250">SUM(N1031:Y1031)</f>
        <v>1008.0000000000001</v>
      </c>
      <c r="AA1031" s="29"/>
      <c r="AB1031" s="31">
        <f>SUMIFS('Historico - FAT'!AK:AK,'Historico - FAT'!$K:$K,Faturamento!$L1031,'Historico - FAT'!$I:$I,Faturamento!$J1031,'Historico - FAT'!$G:$G,Faturamento!$H1031)</f>
        <v>48.544999999999995</v>
      </c>
      <c r="AC1031" s="31">
        <f>SUMIFS('Historico - FAT'!AL:AL,'Historico - FAT'!$K:$K,Faturamento!$L1031,'Historico - FAT'!$I:$I,Faturamento!$J1031,'Historico - FAT'!$G:$G,Faturamento!$H1031)</f>
        <v>73.45</v>
      </c>
      <c r="AD1031" s="31">
        <f>SUMIFS('Historico - FAT'!AM:AM,'Historico - FAT'!$K:$K,Faturamento!$L1031,'Historico - FAT'!$I:$I,Faturamento!$J1031,'Historico - FAT'!$G:$G,Faturamento!$H1031)</f>
        <v>146.9</v>
      </c>
      <c r="AE1031" s="27">
        <f>SUMIFS('Historico - FAT'!AN:AN,'Historico - FAT'!$K:$K,Faturamento!$L1031,'Historico - FAT'!$I:$I,Faturamento!$J1031,'Historico - FAT'!$G:$G,Faturamento!$H1031)</f>
        <v>88.14</v>
      </c>
      <c r="AG1031" s="24">
        <f t="shared" si="240"/>
        <v>0.42208333333333348</v>
      </c>
      <c r="AH1031" s="24">
        <f t="shared" si="241"/>
        <v>0.1255952380952382</v>
      </c>
      <c r="AI1031" s="24">
        <f t="shared" si="242"/>
        <v>-0.74880952380952359</v>
      </c>
    </row>
    <row r="1032" spans="1:35" hidden="1" x14ac:dyDescent="0.3">
      <c r="A1032" s="2" t="str">
        <f t="shared" si="239"/>
        <v>NÃO</v>
      </c>
      <c r="B1032" s="2">
        <v>1000184670</v>
      </c>
      <c r="C1032" s="2" t="s">
        <v>147</v>
      </c>
      <c r="D1032" s="4">
        <v>1000186197</v>
      </c>
      <c r="E1032" s="4" t="s">
        <v>166</v>
      </c>
      <c r="F1032" s="2">
        <v>1000184760</v>
      </c>
      <c r="G1032" s="2" t="s">
        <v>60</v>
      </c>
      <c r="H1032" s="4">
        <v>1000189799</v>
      </c>
      <c r="I1032" s="4" t="s">
        <v>111</v>
      </c>
      <c r="J1032" s="2">
        <v>1000189270</v>
      </c>
      <c r="K1032" s="2" t="s">
        <v>34</v>
      </c>
      <c r="L1032" s="4" t="s">
        <v>14</v>
      </c>
      <c r="M1032" s="4" t="str">
        <f t="shared" si="247"/>
        <v>1000184670100018619710001897991000189270CHOCOLATES</v>
      </c>
      <c r="N1032" s="28">
        <f>N1030*_xlfn.XLOOKUP($L1032,'Balizador da Meta'!$B$4:$B$21,'Balizador da Meta'!$C$4:$C$21)</f>
        <v>84.000000000000014</v>
      </c>
      <c r="O1032" s="28">
        <f>O1030*_xlfn.XLOOKUP($L1032,'Balizador da Meta'!$B$4:$B$21,'Balizador da Meta'!$C$4:$C$21)</f>
        <v>84.000000000000014</v>
      </c>
      <c r="P1032" s="28">
        <f>P1030*_xlfn.XLOOKUP($L1032,'Balizador da Meta'!$B$4:$B$21,'Balizador da Meta'!$C$4:$C$21)</f>
        <v>84.000000000000014</v>
      </c>
      <c r="Q1032" s="28">
        <f>Q1030*_xlfn.XLOOKUP($L1032,'Balizador da Meta'!$B$4:$B$21,'Balizador da Meta'!$C$4:$C$21)</f>
        <v>84.000000000000014</v>
      </c>
      <c r="R1032" s="28">
        <f>R1030*_xlfn.XLOOKUP($L1032,'Balizador da Meta'!$B$4:$B$21,'Balizador da Meta'!$C$4:$C$21)</f>
        <v>84.000000000000014</v>
      </c>
      <c r="S1032" s="28">
        <f>S1030*_xlfn.XLOOKUP($L1032,'Balizador da Meta'!$B$4:$B$21,'Balizador da Meta'!$C$4:$C$21)</f>
        <v>84.000000000000014</v>
      </c>
      <c r="T1032" s="28">
        <f>T1030*_xlfn.XLOOKUP($L1032,'Balizador da Meta'!$B$4:$B$21,'Balizador da Meta'!$C$4:$C$21)</f>
        <v>84.000000000000014</v>
      </c>
      <c r="U1032" s="28">
        <f>U1030*_xlfn.XLOOKUP($L1032,'Balizador da Meta'!$B$4:$B$21,'Balizador da Meta'!$C$4:$C$21)</f>
        <v>84.000000000000014</v>
      </c>
      <c r="V1032" s="28">
        <f>V1030*_xlfn.XLOOKUP($L1032,'Balizador da Meta'!$B$4:$B$21,'Balizador da Meta'!$C$4:$C$21)</f>
        <v>84.000000000000014</v>
      </c>
      <c r="W1032" s="28">
        <f>W1030*_xlfn.XLOOKUP($L1032,'Balizador da Meta'!$B$4:$B$21,'Balizador da Meta'!$C$4:$C$21)</f>
        <v>84.000000000000014</v>
      </c>
      <c r="X1032" s="28">
        <f>X1030*_xlfn.XLOOKUP($L1032,'Balizador da Meta'!$B$4:$B$21,'Balizador da Meta'!$C$4:$C$21)</f>
        <v>84.000000000000014</v>
      </c>
      <c r="Y1032" s="28">
        <f>Y1030*_xlfn.XLOOKUP($L1032,'Balizador da Meta'!$B$4:$B$21,'Balizador da Meta'!$C$4:$C$21)</f>
        <v>84.000000000000014</v>
      </c>
      <c r="Z1032" s="30">
        <f t="shared" si="250"/>
        <v>1008.0000000000001</v>
      </c>
      <c r="AA1032" s="29"/>
      <c r="AB1032" s="31">
        <f>SUMIFS('Historico - FAT'!AK:AK,'Historico - FAT'!$K:$K,Faturamento!$L1032,'Historico - FAT'!$I:$I,Faturamento!$J1032,'Historico - FAT'!$G:$G,Faturamento!$H1032)</f>
        <v>0</v>
      </c>
      <c r="AC1032" s="31">
        <f>SUMIFS('Historico - FAT'!AL:AL,'Historico - FAT'!$K:$K,Faturamento!$L1032,'Historico - FAT'!$I:$I,Faturamento!$J1032,'Historico - FAT'!$G:$G,Faturamento!$H1032)</f>
        <v>35.375</v>
      </c>
      <c r="AD1032" s="31">
        <f>SUMIFS('Historico - FAT'!AM:AM,'Historico - FAT'!$K:$K,Faturamento!$L1032,'Historico - FAT'!$I:$I,Faturamento!$J1032,'Historico - FAT'!$G:$G,Faturamento!$H1032)</f>
        <v>70.75</v>
      </c>
      <c r="AE1032" s="27">
        <f>SUMIFS('Historico - FAT'!AN:AN,'Historico - FAT'!$K:$K,Faturamento!$L1032,'Historico - FAT'!$I:$I,Faturamento!$J1032,'Historico - FAT'!$G:$G,Faturamento!$H1032)</f>
        <v>42.45</v>
      </c>
      <c r="AG1032" s="24">
        <f t="shared" si="240"/>
        <v>1</v>
      </c>
      <c r="AH1032" s="24">
        <f t="shared" si="241"/>
        <v>0.57886904761904767</v>
      </c>
      <c r="AI1032" s="24">
        <f t="shared" si="242"/>
        <v>0.15773809523809537</v>
      </c>
    </row>
    <row r="1033" spans="1:35" hidden="1" x14ac:dyDescent="0.3">
      <c r="A1033" s="2" t="str">
        <f t="shared" si="239"/>
        <v>NÃO</v>
      </c>
      <c r="B1033" s="2">
        <v>1000184670</v>
      </c>
      <c r="C1033" s="2" t="s">
        <v>147</v>
      </c>
      <c r="D1033" s="4">
        <v>1000186197</v>
      </c>
      <c r="E1033" s="4" t="s">
        <v>166</v>
      </c>
      <c r="F1033" s="2">
        <v>1000184760</v>
      </c>
      <c r="G1033" s="2" t="s">
        <v>60</v>
      </c>
      <c r="H1033" s="4">
        <v>1000189799</v>
      </c>
      <c r="I1033" s="4" t="s">
        <v>111</v>
      </c>
      <c r="J1033" s="2">
        <v>1000189270</v>
      </c>
      <c r="K1033" s="2" t="s">
        <v>34</v>
      </c>
      <c r="L1033" s="4" t="s">
        <v>16</v>
      </c>
      <c r="M1033" s="4" t="str">
        <f t="shared" si="247"/>
        <v>1000184670100018619710001897991000189270DISNEY</v>
      </c>
      <c r="N1033" s="28">
        <f>N1030*_xlfn.XLOOKUP($L1033,'Balizador da Meta'!$B$4:$B$21,'Balizador da Meta'!$C$4:$C$21)</f>
        <v>96</v>
      </c>
      <c r="O1033" s="28">
        <f>O1030*_xlfn.XLOOKUP($L1033,'Balizador da Meta'!$B$4:$B$21,'Balizador da Meta'!$C$4:$C$21)</f>
        <v>96</v>
      </c>
      <c r="P1033" s="28">
        <f>P1030*_xlfn.XLOOKUP($L1033,'Balizador da Meta'!$B$4:$B$21,'Balizador da Meta'!$C$4:$C$21)</f>
        <v>96</v>
      </c>
      <c r="Q1033" s="28">
        <f>Q1030*_xlfn.XLOOKUP($L1033,'Balizador da Meta'!$B$4:$B$21,'Balizador da Meta'!$C$4:$C$21)</f>
        <v>96</v>
      </c>
      <c r="R1033" s="28">
        <f>R1030*_xlfn.XLOOKUP($L1033,'Balizador da Meta'!$B$4:$B$21,'Balizador da Meta'!$C$4:$C$21)</f>
        <v>96</v>
      </c>
      <c r="S1033" s="28">
        <f>S1030*_xlfn.XLOOKUP($L1033,'Balizador da Meta'!$B$4:$B$21,'Balizador da Meta'!$C$4:$C$21)</f>
        <v>96</v>
      </c>
      <c r="T1033" s="28">
        <f>T1030*_xlfn.XLOOKUP($L1033,'Balizador da Meta'!$B$4:$B$21,'Balizador da Meta'!$C$4:$C$21)</f>
        <v>96</v>
      </c>
      <c r="U1033" s="28">
        <f>U1030*_xlfn.XLOOKUP($L1033,'Balizador da Meta'!$B$4:$B$21,'Balizador da Meta'!$C$4:$C$21)</f>
        <v>96</v>
      </c>
      <c r="V1033" s="28">
        <f>V1030*_xlfn.XLOOKUP($L1033,'Balizador da Meta'!$B$4:$B$21,'Balizador da Meta'!$C$4:$C$21)</f>
        <v>96</v>
      </c>
      <c r="W1033" s="28">
        <f>W1030*_xlfn.XLOOKUP($L1033,'Balizador da Meta'!$B$4:$B$21,'Balizador da Meta'!$C$4:$C$21)</f>
        <v>96</v>
      </c>
      <c r="X1033" s="28">
        <f>X1030*_xlfn.XLOOKUP($L1033,'Balizador da Meta'!$B$4:$B$21,'Balizador da Meta'!$C$4:$C$21)</f>
        <v>96</v>
      </c>
      <c r="Y1033" s="28">
        <f>Y1030*_xlfn.XLOOKUP($L1033,'Balizador da Meta'!$B$4:$B$21,'Balizador da Meta'!$C$4:$C$21)</f>
        <v>96</v>
      </c>
      <c r="Z1033" s="30">
        <f t="shared" si="250"/>
        <v>1152</v>
      </c>
      <c r="AA1033" s="29"/>
      <c r="AB1033" s="31">
        <f>SUMIFS('Historico - FAT'!AK:AK,'Historico - FAT'!$K:$K,Faturamento!$L1033,'Historico - FAT'!$I:$I,Faturamento!$J1033,'Historico - FAT'!$G:$G,Faturamento!$H1033)</f>
        <v>38.916666666666664</v>
      </c>
      <c r="AC1033" s="31">
        <f>SUMIFS('Historico - FAT'!AL:AL,'Historico - FAT'!$K:$K,Faturamento!$L1033,'Historico - FAT'!$I:$I,Faturamento!$J1033,'Historico - FAT'!$G:$G,Faturamento!$H1033)</f>
        <v>17.497499999999999</v>
      </c>
      <c r="AD1033" s="31">
        <f>SUMIFS('Historico - FAT'!AM:AM,'Historico - FAT'!$K:$K,Faturamento!$L1033,'Historico - FAT'!$I:$I,Faturamento!$J1033,'Historico - FAT'!$G:$G,Faturamento!$H1033)</f>
        <v>34.994999999999997</v>
      </c>
      <c r="AE1033" s="27">
        <f>SUMIFS('Historico - FAT'!AN:AN,'Historico - FAT'!$K:$K,Faturamento!$L1033,'Historico - FAT'!$I:$I,Faturamento!$J1033,'Historico - FAT'!$G:$G,Faturamento!$H1033)</f>
        <v>20.997</v>
      </c>
      <c r="AG1033" s="24">
        <f t="shared" si="240"/>
        <v>0.59461805555555558</v>
      </c>
      <c r="AH1033" s="24">
        <f t="shared" si="241"/>
        <v>0.81773437500000001</v>
      </c>
      <c r="AI1033" s="24">
        <f t="shared" si="242"/>
        <v>0.63546875000000003</v>
      </c>
    </row>
    <row r="1034" spans="1:35" hidden="1" x14ac:dyDescent="0.3">
      <c r="A1034" s="2" t="str">
        <f t="shared" si="239"/>
        <v>NÃO</v>
      </c>
      <c r="B1034" s="2">
        <v>1000184670</v>
      </c>
      <c r="C1034" s="2" t="s">
        <v>147</v>
      </c>
      <c r="D1034" s="4">
        <v>1000186197</v>
      </c>
      <c r="E1034" s="4" t="s">
        <v>166</v>
      </c>
      <c r="F1034" s="2">
        <v>1000184760</v>
      </c>
      <c r="G1034" s="2" t="s">
        <v>60</v>
      </c>
      <c r="H1034" s="4">
        <v>1000189799</v>
      </c>
      <c r="I1034" s="4" t="s">
        <v>111</v>
      </c>
      <c r="J1034" s="2">
        <v>1000189270</v>
      </c>
      <c r="K1034" s="2" t="s">
        <v>34</v>
      </c>
      <c r="L1034" s="4" t="s">
        <v>15</v>
      </c>
      <c r="M1034" s="4" t="str">
        <f t="shared" si="247"/>
        <v>1000184670100018619710001897991000189270DOCES</v>
      </c>
      <c r="N1034" s="28">
        <f>N1030*_xlfn.XLOOKUP($L1034,'Balizador da Meta'!$B$4:$B$21,'Balizador da Meta'!$C$4:$C$21)</f>
        <v>108</v>
      </c>
      <c r="O1034" s="28">
        <f>O1030*_xlfn.XLOOKUP($L1034,'Balizador da Meta'!$B$4:$B$21,'Balizador da Meta'!$C$4:$C$21)</f>
        <v>108</v>
      </c>
      <c r="P1034" s="28">
        <f>P1030*_xlfn.XLOOKUP($L1034,'Balizador da Meta'!$B$4:$B$21,'Balizador da Meta'!$C$4:$C$21)</f>
        <v>108</v>
      </c>
      <c r="Q1034" s="28">
        <f>Q1030*_xlfn.XLOOKUP($L1034,'Balizador da Meta'!$B$4:$B$21,'Balizador da Meta'!$C$4:$C$21)</f>
        <v>108</v>
      </c>
      <c r="R1034" s="28">
        <f>R1030*_xlfn.XLOOKUP($L1034,'Balizador da Meta'!$B$4:$B$21,'Balizador da Meta'!$C$4:$C$21)</f>
        <v>108</v>
      </c>
      <c r="S1034" s="28">
        <f>S1030*_xlfn.XLOOKUP($L1034,'Balizador da Meta'!$B$4:$B$21,'Balizador da Meta'!$C$4:$C$21)</f>
        <v>108</v>
      </c>
      <c r="T1034" s="28">
        <f>T1030*_xlfn.XLOOKUP($L1034,'Balizador da Meta'!$B$4:$B$21,'Balizador da Meta'!$C$4:$C$21)</f>
        <v>108</v>
      </c>
      <c r="U1034" s="28">
        <f>U1030*_xlfn.XLOOKUP($L1034,'Balizador da Meta'!$B$4:$B$21,'Balizador da Meta'!$C$4:$C$21)</f>
        <v>108</v>
      </c>
      <c r="V1034" s="28">
        <f>V1030*_xlfn.XLOOKUP($L1034,'Balizador da Meta'!$B$4:$B$21,'Balizador da Meta'!$C$4:$C$21)</f>
        <v>108</v>
      </c>
      <c r="W1034" s="28">
        <f>W1030*_xlfn.XLOOKUP($L1034,'Balizador da Meta'!$B$4:$B$21,'Balizador da Meta'!$C$4:$C$21)</f>
        <v>108</v>
      </c>
      <c r="X1034" s="28">
        <f>X1030*_xlfn.XLOOKUP($L1034,'Balizador da Meta'!$B$4:$B$21,'Balizador da Meta'!$C$4:$C$21)</f>
        <v>108</v>
      </c>
      <c r="Y1034" s="28">
        <f>Y1030*_xlfn.XLOOKUP($L1034,'Balizador da Meta'!$B$4:$B$21,'Balizador da Meta'!$C$4:$C$21)</f>
        <v>108</v>
      </c>
      <c r="Z1034" s="30">
        <f t="shared" si="250"/>
        <v>1296</v>
      </c>
      <c r="AA1034" s="29"/>
      <c r="AB1034" s="31">
        <f>SUMIFS('Historico - FAT'!AK:AK,'Historico - FAT'!$K:$K,Faturamento!$L1034,'Historico - FAT'!$I:$I,Faturamento!$J1034,'Historico - FAT'!$G:$G,Faturamento!$H1034)</f>
        <v>0</v>
      </c>
      <c r="AC1034" s="31">
        <f>SUMIFS('Historico - FAT'!AL:AL,'Historico - FAT'!$K:$K,Faturamento!$L1034,'Historico - FAT'!$I:$I,Faturamento!$J1034,'Historico - FAT'!$G:$G,Faturamento!$H1034)</f>
        <v>18.05</v>
      </c>
      <c r="AD1034" s="31">
        <f>SUMIFS('Historico - FAT'!AM:AM,'Historico - FAT'!$K:$K,Faturamento!$L1034,'Historico - FAT'!$I:$I,Faturamento!$J1034,'Historico - FAT'!$G:$G,Faturamento!$H1034)</f>
        <v>36.1</v>
      </c>
      <c r="AE1034" s="27">
        <f>SUMIFS('Historico - FAT'!AN:AN,'Historico - FAT'!$K:$K,Faturamento!$L1034,'Historico - FAT'!$I:$I,Faturamento!$J1034,'Historico - FAT'!$G:$G,Faturamento!$H1034)</f>
        <v>21.66</v>
      </c>
      <c r="AG1034" s="24">
        <f t="shared" si="240"/>
        <v>1</v>
      </c>
      <c r="AH1034" s="24">
        <f t="shared" si="241"/>
        <v>0.83287037037037037</v>
      </c>
      <c r="AI1034" s="24">
        <f t="shared" si="242"/>
        <v>0.66574074074074074</v>
      </c>
    </row>
    <row r="1035" spans="1:35" hidden="1" x14ac:dyDescent="0.3">
      <c r="A1035" s="2" t="str">
        <f t="shared" si="239"/>
        <v>NÃO</v>
      </c>
      <c r="B1035" s="2">
        <v>1000184670</v>
      </c>
      <c r="C1035" s="2" t="s">
        <v>147</v>
      </c>
      <c r="D1035" s="4">
        <v>1000186197</v>
      </c>
      <c r="E1035" s="4" t="s">
        <v>166</v>
      </c>
      <c r="F1035" s="2">
        <v>1000184760</v>
      </c>
      <c r="G1035" s="2" t="s">
        <v>60</v>
      </c>
      <c r="H1035" s="4">
        <v>1000189799</v>
      </c>
      <c r="I1035" s="4" t="s">
        <v>111</v>
      </c>
      <c r="J1035" s="2">
        <v>1000189270</v>
      </c>
      <c r="K1035" s="2" t="s">
        <v>34</v>
      </c>
      <c r="L1035" s="4" t="s">
        <v>33</v>
      </c>
      <c r="M1035" s="4" t="str">
        <f t="shared" si="247"/>
        <v>1000184670100018619710001897991000189270FOOD SERVICE</v>
      </c>
      <c r="N1035" s="28">
        <f>N1030*_xlfn.XLOOKUP($L1035,'Balizador da Meta'!$B$4:$B$21,'Balizador da Meta'!$C$4:$C$21)</f>
        <v>0</v>
      </c>
      <c r="O1035" s="28">
        <f>O1030*_xlfn.XLOOKUP($L1035,'Balizador da Meta'!$B$4:$B$21,'Balizador da Meta'!$C$4:$C$21)</f>
        <v>0</v>
      </c>
      <c r="P1035" s="28">
        <f>P1030*_xlfn.XLOOKUP($L1035,'Balizador da Meta'!$B$4:$B$21,'Balizador da Meta'!$C$4:$C$21)</f>
        <v>0</v>
      </c>
      <c r="Q1035" s="28">
        <f>Q1030*_xlfn.XLOOKUP($L1035,'Balizador da Meta'!$B$4:$B$21,'Balizador da Meta'!$C$4:$C$21)</f>
        <v>0</v>
      </c>
      <c r="R1035" s="28">
        <f>R1030*_xlfn.XLOOKUP($L1035,'Balizador da Meta'!$B$4:$B$21,'Balizador da Meta'!$C$4:$C$21)</f>
        <v>0</v>
      </c>
      <c r="S1035" s="28">
        <f>S1030*_xlfn.XLOOKUP($L1035,'Balizador da Meta'!$B$4:$B$21,'Balizador da Meta'!$C$4:$C$21)</f>
        <v>0</v>
      </c>
      <c r="T1035" s="28">
        <f>T1030*_xlfn.XLOOKUP($L1035,'Balizador da Meta'!$B$4:$B$21,'Balizador da Meta'!$C$4:$C$21)</f>
        <v>0</v>
      </c>
      <c r="U1035" s="28">
        <f>U1030*_xlfn.XLOOKUP($L1035,'Balizador da Meta'!$B$4:$B$21,'Balizador da Meta'!$C$4:$C$21)</f>
        <v>0</v>
      </c>
      <c r="V1035" s="28">
        <f>V1030*_xlfn.XLOOKUP($L1035,'Balizador da Meta'!$B$4:$B$21,'Balizador da Meta'!$C$4:$C$21)</f>
        <v>0</v>
      </c>
      <c r="W1035" s="28">
        <f>W1030*_xlfn.XLOOKUP($L1035,'Balizador da Meta'!$B$4:$B$21,'Balizador da Meta'!$C$4:$C$21)</f>
        <v>0</v>
      </c>
      <c r="X1035" s="28">
        <f>X1030*_xlfn.XLOOKUP($L1035,'Balizador da Meta'!$B$4:$B$21,'Balizador da Meta'!$C$4:$C$21)</f>
        <v>0</v>
      </c>
      <c r="Y1035" s="28">
        <f>Y1030*_xlfn.XLOOKUP($L1035,'Balizador da Meta'!$B$4:$B$21,'Balizador da Meta'!$C$4:$C$21)</f>
        <v>0</v>
      </c>
      <c r="Z1035" s="30">
        <f t="shared" si="250"/>
        <v>0</v>
      </c>
      <c r="AA1035" s="29"/>
      <c r="AB1035" s="31">
        <f>SUMIFS('Historico - FAT'!AK:AK,'Historico - FAT'!$K:$K,Faturamento!$L1035,'Historico - FAT'!$I:$I,Faturamento!$J1035,'Historico - FAT'!$G:$G,Faturamento!$H1035)</f>
        <v>0</v>
      </c>
      <c r="AC1035" s="31">
        <f>SUMIFS('Historico - FAT'!AL:AL,'Historico - FAT'!$K:$K,Faturamento!$L1035,'Historico - FAT'!$I:$I,Faturamento!$J1035,'Historico - FAT'!$G:$G,Faturamento!$H1035)</f>
        <v>2.2266666666666666</v>
      </c>
      <c r="AD1035" s="31">
        <f>SUMIFS('Historico - FAT'!AM:AM,'Historico - FAT'!$K:$K,Faturamento!$L1035,'Historico - FAT'!$I:$I,Faturamento!$J1035,'Historico - FAT'!$G:$G,Faturamento!$H1035)</f>
        <v>0</v>
      </c>
      <c r="AE1035" s="27">
        <f>SUMIFS('Historico - FAT'!AN:AN,'Historico - FAT'!$K:$K,Faturamento!$L1035,'Historico - FAT'!$I:$I,Faturamento!$J1035,'Historico - FAT'!$G:$G,Faturamento!$H1035)</f>
        <v>2.6719999999999997</v>
      </c>
      <c r="AG1035" s="24" t="str">
        <f t="shared" si="240"/>
        <v/>
      </c>
      <c r="AH1035" s="24" t="str">
        <f t="shared" si="241"/>
        <v/>
      </c>
      <c r="AI1035" s="24" t="str">
        <f t="shared" si="242"/>
        <v/>
      </c>
    </row>
    <row r="1036" spans="1:35" hidden="1" x14ac:dyDescent="0.3">
      <c r="A1036" s="2" t="str">
        <f t="shared" si="239"/>
        <v>NÃO</v>
      </c>
      <c r="B1036" s="2">
        <v>1000184670</v>
      </c>
      <c r="C1036" s="2" t="s">
        <v>147</v>
      </c>
      <c r="D1036" s="4">
        <v>1000186197</v>
      </c>
      <c r="E1036" s="4" t="s">
        <v>166</v>
      </c>
      <c r="F1036" s="2">
        <v>1000184760</v>
      </c>
      <c r="G1036" s="2" t="s">
        <v>60</v>
      </c>
      <c r="H1036" s="4">
        <v>1000189799</v>
      </c>
      <c r="I1036" s="4" t="s">
        <v>111</v>
      </c>
      <c r="J1036" s="2">
        <v>1000189270</v>
      </c>
      <c r="K1036" s="2" t="s">
        <v>34</v>
      </c>
      <c r="L1036" s="4" t="s">
        <v>19</v>
      </c>
      <c r="M1036" s="4" t="str">
        <f t="shared" si="247"/>
        <v>1000184670100018619710001897991000189270GELEIA</v>
      </c>
      <c r="N1036" s="28">
        <f>N1030*_xlfn.XLOOKUP($L1036,'Balizador da Meta'!$B$4:$B$21,'Balizador da Meta'!$C$4:$C$21)</f>
        <v>23.999999999999996</v>
      </c>
      <c r="O1036" s="28">
        <f>O1030*_xlfn.XLOOKUP($L1036,'Balizador da Meta'!$B$4:$B$21,'Balizador da Meta'!$C$4:$C$21)</f>
        <v>23.999999999999996</v>
      </c>
      <c r="P1036" s="28">
        <f>P1030*_xlfn.XLOOKUP($L1036,'Balizador da Meta'!$B$4:$B$21,'Balizador da Meta'!$C$4:$C$21)</f>
        <v>23.999999999999996</v>
      </c>
      <c r="Q1036" s="28">
        <f>Q1030*_xlfn.XLOOKUP($L1036,'Balizador da Meta'!$B$4:$B$21,'Balizador da Meta'!$C$4:$C$21)</f>
        <v>23.999999999999996</v>
      </c>
      <c r="R1036" s="28">
        <f>R1030*_xlfn.XLOOKUP($L1036,'Balizador da Meta'!$B$4:$B$21,'Balizador da Meta'!$C$4:$C$21)</f>
        <v>23.999999999999996</v>
      </c>
      <c r="S1036" s="28">
        <f>S1030*_xlfn.XLOOKUP($L1036,'Balizador da Meta'!$B$4:$B$21,'Balizador da Meta'!$C$4:$C$21)</f>
        <v>23.999999999999996</v>
      </c>
      <c r="T1036" s="28">
        <f>T1030*_xlfn.XLOOKUP($L1036,'Balizador da Meta'!$B$4:$B$21,'Balizador da Meta'!$C$4:$C$21)</f>
        <v>23.999999999999996</v>
      </c>
      <c r="U1036" s="28">
        <f>U1030*_xlfn.XLOOKUP($L1036,'Balizador da Meta'!$B$4:$B$21,'Balizador da Meta'!$C$4:$C$21)</f>
        <v>23.999999999999996</v>
      </c>
      <c r="V1036" s="28">
        <f>V1030*_xlfn.XLOOKUP($L1036,'Balizador da Meta'!$B$4:$B$21,'Balizador da Meta'!$C$4:$C$21)</f>
        <v>23.999999999999996</v>
      </c>
      <c r="W1036" s="28">
        <f>W1030*_xlfn.XLOOKUP($L1036,'Balizador da Meta'!$B$4:$B$21,'Balizador da Meta'!$C$4:$C$21)</f>
        <v>23.999999999999996</v>
      </c>
      <c r="X1036" s="28">
        <f>X1030*_xlfn.XLOOKUP($L1036,'Balizador da Meta'!$B$4:$B$21,'Balizador da Meta'!$C$4:$C$21)</f>
        <v>23.999999999999996</v>
      </c>
      <c r="Y1036" s="28">
        <f>Y1030*_xlfn.XLOOKUP($L1036,'Balizador da Meta'!$B$4:$B$21,'Balizador da Meta'!$C$4:$C$21)</f>
        <v>23.999999999999996</v>
      </c>
      <c r="Z1036" s="30">
        <f t="shared" si="250"/>
        <v>287.99999999999994</v>
      </c>
      <c r="AA1036" s="29"/>
      <c r="AB1036" s="31">
        <f>SUMIFS('Historico - FAT'!AK:AK,'Historico - FAT'!$K:$K,Faturamento!$L1036,'Historico - FAT'!$I:$I,Faturamento!$J1036,'Historico - FAT'!$G:$G,Faturamento!$H1036)</f>
        <v>0</v>
      </c>
      <c r="AC1036" s="31">
        <f>SUMIFS('Historico - FAT'!AL:AL,'Historico - FAT'!$K:$K,Faturamento!$L1036,'Historico - FAT'!$I:$I,Faturamento!$J1036,'Historico - FAT'!$G:$G,Faturamento!$H1036)</f>
        <v>0</v>
      </c>
      <c r="AD1036" s="31">
        <f>SUMIFS('Historico - FAT'!AM:AM,'Historico - FAT'!$K:$K,Faturamento!$L1036,'Historico - FAT'!$I:$I,Faturamento!$J1036,'Historico - FAT'!$G:$G,Faturamento!$H1036)</f>
        <v>0</v>
      </c>
      <c r="AE1036" s="27">
        <f>SUMIFS('Historico - FAT'!AN:AN,'Historico - FAT'!$K:$K,Faturamento!$L1036,'Historico - FAT'!$I:$I,Faturamento!$J1036,'Historico - FAT'!$G:$G,Faturamento!$H1036)</f>
        <v>0</v>
      </c>
      <c r="AG1036" s="24">
        <f t="shared" si="240"/>
        <v>1</v>
      </c>
      <c r="AH1036" s="24">
        <f t="shared" si="241"/>
        <v>1</v>
      </c>
      <c r="AI1036" s="24">
        <f t="shared" si="242"/>
        <v>1</v>
      </c>
    </row>
    <row r="1037" spans="1:35" hidden="1" x14ac:dyDescent="0.3">
      <c r="A1037" s="2" t="str">
        <f t="shared" si="239"/>
        <v>NÃO</v>
      </c>
      <c r="B1037" s="2">
        <v>1000184670</v>
      </c>
      <c r="C1037" s="2" t="s">
        <v>147</v>
      </c>
      <c r="D1037" s="4">
        <v>1000186197</v>
      </c>
      <c r="E1037" s="4" t="s">
        <v>166</v>
      </c>
      <c r="F1037" s="2">
        <v>1000184760</v>
      </c>
      <c r="G1037" s="2" t="s">
        <v>60</v>
      </c>
      <c r="H1037" s="4">
        <v>1000189799</v>
      </c>
      <c r="I1037" s="4" t="s">
        <v>111</v>
      </c>
      <c r="J1037" s="2">
        <v>1000189270</v>
      </c>
      <c r="K1037" s="2" t="s">
        <v>34</v>
      </c>
      <c r="L1037" s="4" t="s">
        <v>17</v>
      </c>
      <c r="M1037" s="4" t="str">
        <f t="shared" si="247"/>
        <v>1000184670100018619710001897991000189270GRANOLA</v>
      </c>
      <c r="N1037" s="28">
        <f>N1030*_xlfn.XLOOKUP($L1037,'Balizador da Meta'!$B$4:$B$21,'Balizador da Meta'!$C$4:$C$21)</f>
        <v>24</v>
      </c>
      <c r="O1037" s="28">
        <f>O1030*_xlfn.XLOOKUP($L1037,'Balizador da Meta'!$B$4:$B$21,'Balizador da Meta'!$C$4:$C$21)</f>
        <v>24</v>
      </c>
      <c r="P1037" s="28">
        <f>P1030*_xlfn.XLOOKUP($L1037,'Balizador da Meta'!$B$4:$B$21,'Balizador da Meta'!$C$4:$C$21)</f>
        <v>24</v>
      </c>
      <c r="Q1037" s="28">
        <f>Q1030*_xlfn.XLOOKUP($L1037,'Balizador da Meta'!$B$4:$B$21,'Balizador da Meta'!$C$4:$C$21)</f>
        <v>24</v>
      </c>
      <c r="R1037" s="28">
        <f>R1030*_xlfn.XLOOKUP($L1037,'Balizador da Meta'!$B$4:$B$21,'Balizador da Meta'!$C$4:$C$21)</f>
        <v>24</v>
      </c>
      <c r="S1037" s="28">
        <f>S1030*_xlfn.XLOOKUP($L1037,'Balizador da Meta'!$B$4:$B$21,'Balizador da Meta'!$C$4:$C$21)</f>
        <v>24</v>
      </c>
      <c r="T1037" s="28">
        <f>T1030*_xlfn.XLOOKUP($L1037,'Balizador da Meta'!$B$4:$B$21,'Balizador da Meta'!$C$4:$C$21)</f>
        <v>24</v>
      </c>
      <c r="U1037" s="28">
        <f>U1030*_xlfn.XLOOKUP($L1037,'Balizador da Meta'!$B$4:$B$21,'Balizador da Meta'!$C$4:$C$21)</f>
        <v>24</v>
      </c>
      <c r="V1037" s="28">
        <f>V1030*_xlfn.XLOOKUP($L1037,'Balizador da Meta'!$B$4:$B$21,'Balizador da Meta'!$C$4:$C$21)</f>
        <v>24</v>
      </c>
      <c r="W1037" s="28">
        <f>W1030*_xlfn.XLOOKUP($L1037,'Balizador da Meta'!$B$4:$B$21,'Balizador da Meta'!$C$4:$C$21)</f>
        <v>24</v>
      </c>
      <c r="X1037" s="28">
        <f>X1030*_xlfn.XLOOKUP($L1037,'Balizador da Meta'!$B$4:$B$21,'Balizador da Meta'!$C$4:$C$21)</f>
        <v>24</v>
      </c>
      <c r="Y1037" s="28">
        <f>Y1030*_xlfn.XLOOKUP($L1037,'Balizador da Meta'!$B$4:$B$21,'Balizador da Meta'!$C$4:$C$21)</f>
        <v>24</v>
      </c>
      <c r="Z1037" s="30">
        <f t="shared" si="250"/>
        <v>288</v>
      </c>
      <c r="AA1037" s="29"/>
      <c r="AB1037" s="31">
        <f>SUMIFS('Historico - FAT'!AK:AK,'Historico - FAT'!$K:$K,Faturamento!$L1037,'Historico - FAT'!$I:$I,Faturamento!$J1037,'Historico - FAT'!$G:$G,Faturamento!$H1037)</f>
        <v>20.28</v>
      </c>
      <c r="AC1037" s="31">
        <f>SUMIFS('Historico - FAT'!AL:AL,'Historico - FAT'!$K:$K,Faturamento!$L1037,'Historico - FAT'!$I:$I,Faturamento!$J1037,'Historico - FAT'!$G:$G,Faturamento!$H1037)</f>
        <v>11.188333333333333</v>
      </c>
      <c r="AD1037" s="31">
        <f>SUMIFS('Historico - FAT'!AM:AM,'Historico - FAT'!$K:$K,Faturamento!$L1037,'Historico - FAT'!$I:$I,Faturamento!$J1037,'Historico - FAT'!$G:$G,Faturamento!$H1037)</f>
        <v>22.376666666666665</v>
      </c>
      <c r="AE1037" s="27">
        <f>SUMIFS('Historico - FAT'!AN:AN,'Historico - FAT'!$K:$K,Faturamento!$L1037,'Historico - FAT'!$I:$I,Faturamento!$J1037,'Historico - FAT'!$G:$G,Faturamento!$H1037)</f>
        <v>13.425999999999998</v>
      </c>
      <c r="AG1037" s="24">
        <f t="shared" si="240"/>
        <v>0.15499999999999994</v>
      </c>
      <c r="AH1037" s="24">
        <f t="shared" si="241"/>
        <v>0.53381944444444451</v>
      </c>
      <c r="AI1037" s="24">
        <f t="shared" si="242"/>
        <v>6.7638888888888957E-2</v>
      </c>
    </row>
    <row r="1038" spans="1:35" hidden="1" x14ac:dyDescent="0.3">
      <c r="A1038" s="2" t="str">
        <f t="shared" si="239"/>
        <v>NÃO</v>
      </c>
      <c r="B1038" s="2">
        <v>1000184670</v>
      </c>
      <c r="C1038" s="2" t="s">
        <v>147</v>
      </c>
      <c r="D1038" s="4">
        <v>1000186197</v>
      </c>
      <c r="E1038" s="4" t="s">
        <v>166</v>
      </c>
      <c r="F1038" s="2">
        <v>1000184760</v>
      </c>
      <c r="G1038" s="2" t="s">
        <v>60</v>
      </c>
      <c r="H1038" s="4">
        <v>1000189799</v>
      </c>
      <c r="I1038" s="4" t="s">
        <v>111</v>
      </c>
      <c r="J1038" s="2">
        <v>1000189270</v>
      </c>
      <c r="K1038" s="2" t="s">
        <v>34</v>
      </c>
      <c r="L1038" s="4" t="s">
        <v>24</v>
      </c>
      <c r="M1038" s="4" t="str">
        <f t="shared" si="247"/>
        <v>1000184670100018619710001897991000189270KIDS</v>
      </c>
      <c r="N1038" s="28">
        <f>N1030*_xlfn.XLOOKUP($L1038,'Balizador da Meta'!$B$4:$B$21,'Balizador da Meta'!$C$4:$C$21)</f>
        <v>0</v>
      </c>
      <c r="O1038" s="28">
        <f>O1030*_xlfn.XLOOKUP($L1038,'Balizador da Meta'!$B$4:$B$21,'Balizador da Meta'!$C$4:$C$21)</f>
        <v>0</v>
      </c>
      <c r="P1038" s="28">
        <f>P1030*_xlfn.XLOOKUP($L1038,'Balizador da Meta'!$B$4:$B$21,'Balizador da Meta'!$C$4:$C$21)</f>
        <v>0</v>
      </c>
      <c r="Q1038" s="28">
        <f>Q1030*_xlfn.XLOOKUP($L1038,'Balizador da Meta'!$B$4:$B$21,'Balizador da Meta'!$C$4:$C$21)</f>
        <v>0</v>
      </c>
      <c r="R1038" s="28">
        <f>R1030*_xlfn.XLOOKUP($L1038,'Balizador da Meta'!$B$4:$B$21,'Balizador da Meta'!$C$4:$C$21)</f>
        <v>0</v>
      </c>
      <c r="S1038" s="28">
        <f>S1030*_xlfn.XLOOKUP($L1038,'Balizador da Meta'!$B$4:$B$21,'Balizador da Meta'!$C$4:$C$21)</f>
        <v>0</v>
      </c>
      <c r="T1038" s="28">
        <f>T1030*_xlfn.XLOOKUP($L1038,'Balizador da Meta'!$B$4:$B$21,'Balizador da Meta'!$C$4:$C$21)</f>
        <v>0</v>
      </c>
      <c r="U1038" s="28">
        <f>U1030*_xlfn.XLOOKUP($L1038,'Balizador da Meta'!$B$4:$B$21,'Balizador da Meta'!$C$4:$C$21)</f>
        <v>0</v>
      </c>
      <c r="V1038" s="28">
        <f>V1030*_xlfn.XLOOKUP($L1038,'Balizador da Meta'!$B$4:$B$21,'Balizador da Meta'!$C$4:$C$21)</f>
        <v>0</v>
      </c>
      <c r="W1038" s="28">
        <f>W1030*_xlfn.XLOOKUP($L1038,'Balizador da Meta'!$B$4:$B$21,'Balizador da Meta'!$C$4:$C$21)</f>
        <v>0</v>
      </c>
      <c r="X1038" s="28">
        <f>X1030*_xlfn.XLOOKUP($L1038,'Balizador da Meta'!$B$4:$B$21,'Balizador da Meta'!$C$4:$C$21)</f>
        <v>0</v>
      </c>
      <c r="Y1038" s="28">
        <f>Y1030*_xlfn.XLOOKUP($L1038,'Balizador da Meta'!$B$4:$B$21,'Balizador da Meta'!$C$4:$C$21)</f>
        <v>0</v>
      </c>
      <c r="Z1038" s="30">
        <f t="shared" si="250"/>
        <v>0</v>
      </c>
      <c r="AA1038" s="29"/>
      <c r="AB1038" s="31">
        <f>SUMIFS('Historico - FAT'!AK:AK,'Historico - FAT'!$K:$K,Faturamento!$L1038,'Historico - FAT'!$I:$I,Faturamento!$J1038,'Historico - FAT'!$G:$G,Faturamento!$H1038)</f>
        <v>5.1674999999999995</v>
      </c>
      <c r="AC1038" s="31">
        <f>SUMIFS('Historico - FAT'!AL:AL,'Historico - FAT'!$K:$K,Faturamento!$L1038,'Historico - FAT'!$I:$I,Faturamento!$J1038,'Historico - FAT'!$G:$G,Faturamento!$H1038)</f>
        <v>6.8591666666666669</v>
      </c>
      <c r="AD1038" s="31">
        <f>SUMIFS('Historico - FAT'!AM:AM,'Historico - FAT'!$K:$K,Faturamento!$L1038,'Historico - FAT'!$I:$I,Faturamento!$J1038,'Historico - FAT'!$G:$G,Faturamento!$H1038)</f>
        <v>13.718333333333334</v>
      </c>
      <c r="AE1038" s="27">
        <f>SUMIFS('Historico - FAT'!AN:AN,'Historico - FAT'!$K:$K,Faturamento!$L1038,'Historico - FAT'!$I:$I,Faturamento!$J1038,'Historico - FAT'!$G:$G,Faturamento!$H1038)</f>
        <v>8.2309999999999999</v>
      </c>
      <c r="AG1038" s="24" t="str">
        <f t="shared" si="240"/>
        <v/>
      </c>
      <c r="AH1038" s="24" t="str">
        <f t="shared" si="241"/>
        <v/>
      </c>
      <c r="AI1038" s="24" t="str">
        <f t="shared" si="242"/>
        <v/>
      </c>
    </row>
    <row r="1039" spans="1:35" hidden="1" x14ac:dyDescent="0.3">
      <c r="A1039" s="2" t="str">
        <f t="shared" si="239"/>
        <v>NÃO</v>
      </c>
      <c r="B1039" s="2">
        <v>1000184670</v>
      </c>
      <c r="C1039" s="2" t="s">
        <v>147</v>
      </c>
      <c r="D1039" s="4">
        <v>1000186197</v>
      </c>
      <c r="E1039" s="4" t="s">
        <v>166</v>
      </c>
      <c r="F1039" s="2">
        <v>1000184760</v>
      </c>
      <c r="G1039" s="2" t="s">
        <v>60</v>
      </c>
      <c r="H1039" s="4">
        <v>1000189799</v>
      </c>
      <c r="I1039" s="4" t="s">
        <v>111</v>
      </c>
      <c r="J1039" s="2">
        <v>1000189270</v>
      </c>
      <c r="K1039" s="2" t="s">
        <v>34</v>
      </c>
      <c r="L1039" s="4" t="s">
        <v>18</v>
      </c>
      <c r="M1039" s="4" t="str">
        <f t="shared" si="247"/>
        <v>1000184670100018619710001897991000189270LANCHES</v>
      </c>
      <c r="N1039" s="28">
        <f>N1030*_xlfn.XLOOKUP($L1039,'Balizador da Meta'!$B$4:$B$21,'Balizador da Meta'!$C$4:$C$21)</f>
        <v>12</v>
      </c>
      <c r="O1039" s="28">
        <f>O1030*_xlfn.XLOOKUP($L1039,'Balizador da Meta'!$B$4:$B$21,'Balizador da Meta'!$C$4:$C$21)</f>
        <v>12</v>
      </c>
      <c r="P1039" s="28">
        <f>P1030*_xlfn.XLOOKUP($L1039,'Balizador da Meta'!$B$4:$B$21,'Balizador da Meta'!$C$4:$C$21)</f>
        <v>12</v>
      </c>
      <c r="Q1039" s="28">
        <f>Q1030*_xlfn.XLOOKUP($L1039,'Balizador da Meta'!$B$4:$B$21,'Balizador da Meta'!$C$4:$C$21)</f>
        <v>12</v>
      </c>
      <c r="R1039" s="28">
        <f>R1030*_xlfn.XLOOKUP($L1039,'Balizador da Meta'!$B$4:$B$21,'Balizador da Meta'!$C$4:$C$21)</f>
        <v>12</v>
      </c>
      <c r="S1039" s="28">
        <f>S1030*_xlfn.XLOOKUP($L1039,'Balizador da Meta'!$B$4:$B$21,'Balizador da Meta'!$C$4:$C$21)</f>
        <v>12</v>
      </c>
      <c r="T1039" s="28">
        <f>T1030*_xlfn.XLOOKUP($L1039,'Balizador da Meta'!$B$4:$B$21,'Balizador da Meta'!$C$4:$C$21)</f>
        <v>12</v>
      </c>
      <c r="U1039" s="28">
        <f>U1030*_xlfn.XLOOKUP($L1039,'Balizador da Meta'!$B$4:$B$21,'Balizador da Meta'!$C$4:$C$21)</f>
        <v>12</v>
      </c>
      <c r="V1039" s="28">
        <f>V1030*_xlfn.XLOOKUP($L1039,'Balizador da Meta'!$B$4:$B$21,'Balizador da Meta'!$C$4:$C$21)</f>
        <v>12</v>
      </c>
      <c r="W1039" s="28">
        <f>W1030*_xlfn.XLOOKUP($L1039,'Balizador da Meta'!$B$4:$B$21,'Balizador da Meta'!$C$4:$C$21)</f>
        <v>12</v>
      </c>
      <c r="X1039" s="28">
        <f>X1030*_xlfn.XLOOKUP($L1039,'Balizador da Meta'!$B$4:$B$21,'Balizador da Meta'!$C$4:$C$21)</f>
        <v>12</v>
      </c>
      <c r="Y1039" s="28">
        <f>Y1030*_xlfn.XLOOKUP($L1039,'Balizador da Meta'!$B$4:$B$21,'Balizador da Meta'!$C$4:$C$21)</f>
        <v>12</v>
      </c>
      <c r="Z1039" s="30">
        <f t="shared" si="250"/>
        <v>144</v>
      </c>
      <c r="AA1039" s="29"/>
      <c r="AB1039" s="31">
        <f>SUMIFS('Historico - FAT'!AK:AK,'Historico - FAT'!$K:$K,Faturamento!$L1039,'Historico - FAT'!$I:$I,Faturamento!$J1039,'Historico - FAT'!$G:$G,Faturamento!$H1039)</f>
        <v>0</v>
      </c>
      <c r="AC1039" s="31">
        <f>SUMIFS('Historico - FAT'!AL:AL,'Historico - FAT'!$K:$K,Faturamento!$L1039,'Historico - FAT'!$I:$I,Faturamento!$J1039,'Historico - FAT'!$G:$G,Faturamento!$H1039)</f>
        <v>10.364166666666668</v>
      </c>
      <c r="AD1039" s="31">
        <f>SUMIFS('Historico - FAT'!AM:AM,'Historico - FAT'!$K:$K,Faturamento!$L1039,'Historico - FAT'!$I:$I,Faturamento!$J1039,'Historico - FAT'!$G:$G,Faturamento!$H1039)</f>
        <v>20.728333333333335</v>
      </c>
      <c r="AE1039" s="27">
        <f>SUMIFS('Historico - FAT'!AN:AN,'Historico - FAT'!$K:$K,Faturamento!$L1039,'Historico - FAT'!$I:$I,Faturamento!$J1039,'Historico - FAT'!$G:$G,Faturamento!$H1039)</f>
        <v>12.437000000000001</v>
      </c>
      <c r="AG1039" s="24">
        <f t="shared" si="240"/>
        <v>1</v>
      </c>
      <c r="AH1039" s="24">
        <f t="shared" si="241"/>
        <v>0.13631944444444435</v>
      </c>
      <c r="AI1039" s="24">
        <f t="shared" si="242"/>
        <v>-0.72736111111111124</v>
      </c>
    </row>
    <row r="1040" spans="1:35" hidden="1" x14ac:dyDescent="0.3">
      <c r="A1040" s="2" t="str">
        <f t="shared" si="239"/>
        <v>NÃO</v>
      </c>
      <c r="B1040" s="2">
        <v>1000184670</v>
      </c>
      <c r="C1040" s="2" t="s">
        <v>147</v>
      </c>
      <c r="D1040" s="4">
        <v>1000186197</v>
      </c>
      <c r="E1040" s="4" t="s">
        <v>166</v>
      </c>
      <c r="F1040" s="2">
        <v>1000184760</v>
      </c>
      <c r="G1040" s="2" t="s">
        <v>60</v>
      </c>
      <c r="H1040" s="4">
        <v>1000189799</v>
      </c>
      <c r="I1040" s="4" t="s">
        <v>111</v>
      </c>
      <c r="J1040" s="2">
        <v>1000189270</v>
      </c>
      <c r="K1040" s="2" t="s">
        <v>34</v>
      </c>
      <c r="L1040" s="4" t="s">
        <v>29</v>
      </c>
      <c r="M1040" s="4" t="str">
        <f t="shared" si="247"/>
        <v>1000184670100018619710001897991000189270MAIS GRANEL</v>
      </c>
      <c r="N1040" s="28">
        <f>N1030*_xlfn.XLOOKUP($L1040,'Balizador da Meta'!$B$4:$B$21,'Balizador da Meta'!$C$4:$C$21)</f>
        <v>384</v>
      </c>
      <c r="O1040" s="28">
        <f>O1030*_xlfn.XLOOKUP($L1040,'Balizador da Meta'!$B$4:$B$21,'Balizador da Meta'!$C$4:$C$21)</f>
        <v>384</v>
      </c>
      <c r="P1040" s="28">
        <f>P1030*_xlfn.XLOOKUP($L1040,'Balizador da Meta'!$B$4:$B$21,'Balizador da Meta'!$C$4:$C$21)</f>
        <v>384</v>
      </c>
      <c r="Q1040" s="28">
        <f>Q1030*_xlfn.XLOOKUP($L1040,'Balizador da Meta'!$B$4:$B$21,'Balizador da Meta'!$C$4:$C$21)</f>
        <v>384</v>
      </c>
      <c r="R1040" s="28">
        <f>R1030*_xlfn.XLOOKUP($L1040,'Balizador da Meta'!$B$4:$B$21,'Balizador da Meta'!$C$4:$C$21)</f>
        <v>384</v>
      </c>
      <c r="S1040" s="28">
        <f>S1030*_xlfn.XLOOKUP($L1040,'Balizador da Meta'!$B$4:$B$21,'Balizador da Meta'!$C$4:$C$21)</f>
        <v>384</v>
      </c>
      <c r="T1040" s="28">
        <f>T1030*_xlfn.XLOOKUP($L1040,'Balizador da Meta'!$B$4:$B$21,'Balizador da Meta'!$C$4:$C$21)</f>
        <v>384</v>
      </c>
      <c r="U1040" s="28">
        <f>U1030*_xlfn.XLOOKUP($L1040,'Balizador da Meta'!$B$4:$B$21,'Balizador da Meta'!$C$4:$C$21)</f>
        <v>384</v>
      </c>
      <c r="V1040" s="28">
        <f>V1030*_xlfn.XLOOKUP($L1040,'Balizador da Meta'!$B$4:$B$21,'Balizador da Meta'!$C$4:$C$21)</f>
        <v>384</v>
      </c>
      <c r="W1040" s="28">
        <f>W1030*_xlfn.XLOOKUP($L1040,'Balizador da Meta'!$B$4:$B$21,'Balizador da Meta'!$C$4:$C$21)</f>
        <v>384</v>
      </c>
      <c r="X1040" s="28">
        <f>X1030*_xlfn.XLOOKUP($L1040,'Balizador da Meta'!$B$4:$B$21,'Balizador da Meta'!$C$4:$C$21)</f>
        <v>384</v>
      </c>
      <c r="Y1040" s="28">
        <f>Y1030*_xlfn.XLOOKUP($L1040,'Balizador da Meta'!$B$4:$B$21,'Balizador da Meta'!$C$4:$C$21)</f>
        <v>384</v>
      </c>
      <c r="Z1040" s="30">
        <f t="shared" si="250"/>
        <v>4608</v>
      </c>
      <c r="AA1040" s="29"/>
      <c r="AB1040" s="31">
        <f>SUMIFS('Historico - FAT'!AK:AK,'Historico - FAT'!$K:$K,Faturamento!$L1040,'Historico - FAT'!$I:$I,Faturamento!$J1040,'Historico - FAT'!$G:$G,Faturamento!$H1040)</f>
        <v>0</v>
      </c>
      <c r="AC1040" s="31">
        <f>SUMIFS('Historico - FAT'!AL:AL,'Historico - FAT'!$K:$K,Faturamento!$L1040,'Historico - FAT'!$I:$I,Faturamento!$J1040,'Historico - FAT'!$G:$G,Faturamento!$H1040)</f>
        <v>0</v>
      </c>
      <c r="AD1040" s="31">
        <f>SUMIFS('Historico - FAT'!AM:AM,'Historico - FAT'!$K:$K,Faturamento!$L1040,'Historico - FAT'!$I:$I,Faturamento!$J1040,'Historico - FAT'!$G:$G,Faturamento!$H1040)</f>
        <v>0</v>
      </c>
      <c r="AE1040" s="27">
        <f>SUMIFS('Historico - FAT'!AN:AN,'Historico - FAT'!$K:$K,Faturamento!$L1040,'Historico - FAT'!$I:$I,Faturamento!$J1040,'Historico - FAT'!$G:$G,Faturamento!$H1040)</f>
        <v>0</v>
      </c>
      <c r="AG1040" s="24">
        <f t="shared" si="240"/>
        <v>1</v>
      </c>
      <c r="AH1040" s="24">
        <f t="shared" si="241"/>
        <v>1</v>
      </c>
      <c r="AI1040" s="24">
        <f t="shared" si="242"/>
        <v>1</v>
      </c>
    </row>
    <row r="1041" spans="1:35" hidden="1" x14ac:dyDescent="0.3">
      <c r="A1041" s="2" t="str">
        <f t="shared" si="239"/>
        <v>NÃO</v>
      </c>
      <c r="B1041" s="2">
        <v>1000184670</v>
      </c>
      <c r="C1041" s="2" t="s">
        <v>147</v>
      </c>
      <c r="D1041" s="4">
        <v>1000186197</v>
      </c>
      <c r="E1041" s="4" t="s">
        <v>166</v>
      </c>
      <c r="F1041" s="2">
        <v>1000184760</v>
      </c>
      <c r="G1041" s="2" t="s">
        <v>60</v>
      </c>
      <c r="H1041" s="4">
        <v>1000189799</v>
      </c>
      <c r="I1041" s="4" t="s">
        <v>111</v>
      </c>
      <c r="J1041" s="2">
        <v>1000189270</v>
      </c>
      <c r="K1041" s="2" t="s">
        <v>34</v>
      </c>
      <c r="L1041" s="4" t="s">
        <v>21</v>
      </c>
      <c r="M1041" s="4" t="str">
        <f t="shared" si="247"/>
        <v>1000184670100018619710001897991000189270NATURATTA</v>
      </c>
      <c r="N1041" s="28">
        <f>N1030*_xlfn.XLOOKUP($L1041,'Balizador da Meta'!$B$4:$B$21,'Balizador da Meta'!$C$4:$C$21)</f>
        <v>60</v>
      </c>
      <c r="O1041" s="28">
        <f>O1030*_xlfn.XLOOKUP($L1041,'Balizador da Meta'!$B$4:$B$21,'Balizador da Meta'!$C$4:$C$21)</f>
        <v>60</v>
      </c>
      <c r="P1041" s="28">
        <f>P1030*_xlfn.XLOOKUP($L1041,'Balizador da Meta'!$B$4:$B$21,'Balizador da Meta'!$C$4:$C$21)</f>
        <v>60</v>
      </c>
      <c r="Q1041" s="28">
        <f>Q1030*_xlfn.XLOOKUP($L1041,'Balizador da Meta'!$B$4:$B$21,'Balizador da Meta'!$C$4:$C$21)</f>
        <v>60</v>
      </c>
      <c r="R1041" s="28">
        <f>R1030*_xlfn.XLOOKUP($L1041,'Balizador da Meta'!$B$4:$B$21,'Balizador da Meta'!$C$4:$C$21)</f>
        <v>60</v>
      </c>
      <c r="S1041" s="28">
        <f>S1030*_xlfn.XLOOKUP($L1041,'Balizador da Meta'!$B$4:$B$21,'Balizador da Meta'!$C$4:$C$21)</f>
        <v>60</v>
      </c>
      <c r="T1041" s="28">
        <f>T1030*_xlfn.XLOOKUP($L1041,'Balizador da Meta'!$B$4:$B$21,'Balizador da Meta'!$C$4:$C$21)</f>
        <v>60</v>
      </c>
      <c r="U1041" s="28">
        <f>U1030*_xlfn.XLOOKUP($L1041,'Balizador da Meta'!$B$4:$B$21,'Balizador da Meta'!$C$4:$C$21)</f>
        <v>60</v>
      </c>
      <c r="V1041" s="28">
        <f>V1030*_xlfn.XLOOKUP($L1041,'Balizador da Meta'!$B$4:$B$21,'Balizador da Meta'!$C$4:$C$21)</f>
        <v>60</v>
      </c>
      <c r="W1041" s="28">
        <f>W1030*_xlfn.XLOOKUP($L1041,'Balizador da Meta'!$B$4:$B$21,'Balizador da Meta'!$C$4:$C$21)</f>
        <v>60</v>
      </c>
      <c r="X1041" s="28">
        <f>X1030*_xlfn.XLOOKUP($L1041,'Balizador da Meta'!$B$4:$B$21,'Balizador da Meta'!$C$4:$C$21)</f>
        <v>60</v>
      </c>
      <c r="Y1041" s="28">
        <f>Y1030*_xlfn.XLOOKUP($L1041,'Balizador da Meta'!$B$4:$B$21,'Balizador da Meta'!$C$4:$C$21)</f>
        <v>60</v>
      </c>
      <c r="Z1041" s="30">
        <f t="shared" si="250"/>
        <v>720</v>
      </c>
      <c r="AA1041" s="29"/>
      <c r="AB1041" s="31">
        <f>SUMIFS('Historico - FAT'!AK:AK,'Historico - FAT'!$K:$K,Faturamento!$L1041,'Historico - FAT'!$I:$I,Faturamento!$J1041,'Historico - FAT'!$G:$G,Faturamento!$H1041)</f>
        <v>0</v>
      </c>
      <c r="AC1041" s="31">
        <f>SUMIFS('Historico - FAT'!AL:AL,'Historico - FAT'!$K:$K,Faturamento!$L1041,'Historico - FAT'!$I:$I,Faturamento!$J1041,'Historico - FAT'!$G:$G,Faturamento!$H1041)</f>
        <v>8.25</v>
      </c>
      <c r="AD1041" s="31">
        <f>SUMIFS('Historico - FAT'!AM:AM,'Historico - FAT'!$K:$K,Faturamento!$L1041,'Historico - FAT'!$I:$I,Faturamento!$J1041,'Historico - FAT'!$G:$G,Faturamento!$H1041)</f>
        <v>16.5</v>
      </c>
      <c r="AE1041" s="27">
        <f>SUMIFS('Historico - FAT'!AN:AN,'Historico - FAT'!$K:$K,Faturamento!$L1041,'Historico - FAT'!$I:$I,Faturamento!$J1041,'Historico - FAT'!$G:$G,Faturamento!$H1041)</f>
        <v>9.9</v>
      </c>
      <c r="AG1041" s="24">
        <f t="shared" si="240"/>
        <v>1</v>
      </c>
      <c r="AH1041" s="24">
        <f t="shared" si="241"/>
        <v>0.86250000000000004</v>
      </c>
      <c r="AI1041" s="24">
        <f t="shared" si="242"/>
        <v>0.72499999999999998</v>
      </c>
    </row>
    <row r="1042" spans="1:35" hidden="1" x14ac:dyDescent="0.3">
      <c r="A1042" s="2" t="str">
        <f t="shared" si="239"/>
        <v>NÃO</v>
      </c>
      <c r="B1042" s="2">
        <v>1000184670</v>
      </c>
      <c r="C1042" s="2" t="s">
        <v>147</v>
      </c>
      <c r="D1042" s="4">
        <v>1000186197</v>
      </c>
      <c r="E1042" s="4" t="s">
        <v>166</v>
      </c>
      <c r="F1042" s="2">
        <v>1000184760</v>
      </c>
      <c r="G1042" s="2" t="s">
        <v>60</v>
      </c>
      <c r="H1042" s="4">
        <v>1000189799</v>
      </c>
      <c r="I1042" s="4" t="s">
        <v>111</v>
      </c>
      <c r="J1042" s="2">
        <v>1000189270</v>
      </c>
      <c r="K1042" s="2" t="s">
        <v>34</v>
      </c>
      <c r="L1042" s="4" t="s">
        <v>20</v>
      </c>
      <c r="M1042" s="4" t="str">
        <f t="shared" si="247"/>
        <v>1000184670100018619710001897991000189270REEMBALADOS</v>
      </c>
      <c r="N1042" s="28">
        <f>N1030*_xlfn.XLOOKUP($L1042,'Balizador da Meta'!$B$4:$B$21,'Balizador da Meta'!$C$4:$C$21)</f>
        <v>48</v>
      </c>
      <c r="O1042" s="28">
        <f>O1030*_xlfn.XLOOKUP($L1042,'Balizador da Meta'!$B$4:$B$21,'Balizador da Meta'!$C$4:$C$21)</f>
        <v>48</v>
      </c>
      <c r="P1042" s="28">
        <f>P1030*_xlfn.XLOOKUP($L1042,'Balizador da Meta'!$B$4:$B$21,'Balizador da Meta'!$C$4:$C$21)</f>
        <v>48</v>
      </c>
      <c r="Q1042" s="28">
        <f>Q1030*_xlfn.XLOOKUP($L1042,'Balizador da Meta'!$B$4:$B$21,'Balizador da Meta'!$C$4:$C$21)</f>
        <v>48</v>
      </c>
      <c r="R1042" s="28">
        <f>R1030*_xlfn.XLOOKUP($L1042,'Balizador da Meta'!$B$4:$B$21,'Balizador da Meta'!$C$4:$C$21)</f>
        <v>48</v>
      </c>
      <c r="S1042" s="28">
        <f>S1030*_xlfn.XLOOKUP($L1042,'Balizador da Meta'!$B$4:$B$21,'Balizador da Meta'!$C$4:$C$21)</f>
        <v>48</v>
      </c>
      <c r="T1042" s="28">
        <f>T1030*_xlfn.XLOOKUP($L1042,'Balizador da Meta'!$B$4:$B$21,'Balizador da Meta'!$C$4:$C$21)</f>
        <v>48</v>
      </c>
      <c r="U1042" s="28">
        <f>U1030*_xlfn.XLOOKUP($L1042,'Balizador da Meta'!$B$4:$B$21,'Balizador da Meta'!$C$4:$C$21)</f>
        <v>48</v>
      </c>
      <c r="V1042" s="28">
        <f>V1030*_xlfn.XLOOKUP($L1042,'Balizador da Meta'!$B$4:$B$21,'Balizador da Meta'!$C$4:$C$21)</f>
        <v>48</v>
      </c>
      <c r="W1042" s="28">
        <f>W1030*_xlfn.XLOOKUP($L1042,'Balizador da Meta'!$B$4:$B$21,'Balizador da Meta'!$C$4:$C$21)</f>
        <v>48</v>
      </c>
      <c r="X1042" s="28">
        <f>X1030*_xlfn.XLOOKUP($L1042,'Balizador da Meta'!$B$4:$B$21,'Balizador da Meta'!$C$4:$C$21)</f>
        <v>48</v>
      </c>
      <c r="Y1042" s="28">
        <f>Y1030*_xlfn.XLOOKUP($L1042,'Balizador da Meta'!$B$4:$B$21,'Balizador da Meta'!$C$4:$C$21)</f>
        <v>48</v>
      </c>
      <c r="Z1042" s="30">
        <f t="shared" si="250"/>
        <v>576</v>
      </c>
      <c r="AA1042" s="29"/>
      <c r="AB1042" s="31">
        <f>SUMIFS('Historico - FAT'!AK:AK,'Historico - FAT'!$K:$K,Faturamento!$L1042,'Historico - FAT'!$I:$I,Faturamento!$J1042,'Historico - FAT'!$G:$G,Faturamento!$H1042)</f>
        <v>8.5316666666666663</v>
      </c>
      <c r="AC1042" s="31">
        <f>SUMIFS('Historico - FAT'!AL:AL,'Historico - FAT'!$K:$K,Faturamento!$L1042,'Historico - FAT'!$I:$I,Faturamento!$J1042,'Historico - FAT'!$G:$G,Faturamento!$H1042)</f>
        <v>18.309166666666666</v>
      </c>
      <c r="AD1042" s="31">
        <f>SUMIFS('Historico - FAT'!AM:AM,'Historico - FAT'!$K:$K,Faturamento!$L1042,'Historico - FAT'!$I:$I,Faturamento!$J1042,'Historico - FAT'!$G:$G,Faturamento!$H1042)</f>
        <v>36.618333333333332</v>
      </c>
      <c r="AE1042" s="27">
        <f>SUMIFS('Historico - FAT'!AN:AN,'Historico - FAT'!$K:$K,Faturamento!$L1042,'Historico - FAT'!$I:$I,Faturamento!$J1042,'Historico - FAT'!$G:$G,Faturamento!$H1042)</f>
        <v>21.971</v>
      </c>
      <c r="AG1042" s="24">
        <f t="shared" si="240"/>
        <v>0.82225694444444442</v>
      </c>
      <c r="AH1042" s="24">
        <f t="shared" si="241"/>
        <v>0.61855902777777783</v>
      </c>
      <c r="AI1042" s="24">
        <f t="shared" si="242"/>
        <v>0.23711805555555557</v>
      </c>
    </row>
    <row r="1043" spans="1:35" hidden="1" x14ac:dyDescent="0.3">
      <c r="A1043" s="2" t="str">
        <f t="shared" si="239"/>
        <v>NÃO</v>
      </c>
      <c r="B1043" s="2">
        <v>1000184670</v>
      </c>
      <c r="C1043" s="2" t="s">
        <v>147</v>
      </c>
      <c r="D1043" s="4">
        <v>1000186197</v>
      </c>
      <c r="E1043" s="4" t="s">
        <v>166</v>
      </c>
      <c r="F1043" s="2">
        <v>1000184760</v>
      </c>
      <c r="G1043" s="2" t="s">
        <v>60</v>
      </c>
      <c r="H1043" s="4">
        <v>1000189799</v>
      </c>
      <c r="I1043" s="4" t="s">
        <v>111</v>
      </c>
      <c r="J1043" s="2">
        <v>1000189270</v>
      </c>
      <c r="K1043" s="2" t="s">
        <v>34</v>
      </c>
      <c r="L1043" s="4" t="s">
        <v>22</v>
      </c>
      <c r="M1043" s="4" t="str">
        <f t="shared" si="247"/>
        <v>1000184670100018619710001897991000189270S GLUTEN</v>
      </c>
      <c r="N1043" s="28">
        <f>N1030*_xlfn.XLOOKUP($L1043,'Balizador da Meta'!$B$4:$B$21,'Balizador da Meta'!$C$4:$C$21)</f>
        <v>48</v>
      </c>
      <c r="O1043" s="28">
        <f>O1030*_xlfn.XLOOKUP($L1043,'Balizador da Meta'!$B$4:$B$21,'Balizador da Meta'!$C$4:$C$21)</f>
        <v>48</v>
      </c>
      <c r="P1043" s="28">
        <f>P1030*_xlfn.XLOOKUP($L1043,'Balizador da Meta'!$B$4:$B$21,'Balizador da Meta'!$C$4:$C$21)</f>
        <v>48</v>
      </c>
      <c r="Q1043" s="28">
        <f>Q1030*_xlfn.XLOOKUP($L1043,'Balizador da Meta'!$B$4:$B$21,'Balizador da Meta'!$C$4:$C$21)</f>
        <v>48</v>
      </c>
      <c r="R1043" s="28">
        <f>R1030*_xlfn.XLOOKUP($L1043,'Balizador da Meta'!$B$4:$B$21,'Balizador da Meta'!$C$4:$C$21)</f>
        <v>48</v>
      </c>
      <c r="S1043" s="28">
        <f>S1030*_xlfn.XLOOKUP($L1043,'Balizador da Meta'!$B$4:$B$21,'Balizador da Meta'!$C$4:$C$21)</f>
        <v>48</v>
      </c>
      <c r="T1043" s="28">
        <f>T1030*_xlfn.XLOOKUP($L1043,'Balizador da Meta'!$B$4:$B$21,'Balizador da Meta'!$C$4:$C$21)</f>
        <v>48</v>
      </c>
      <c r="U1043" s="28">
        <f>U1030*_xlfn.XLOOKUP($L1043,'Balizador da Meta'!$B$4:$B$21,'Balizador da Meta'!$C$4:$C$21)</f>
        <v>48</v>
      </c>
      <c r="V1043" s="28">
        <f>V1030*_xlfn.XLOOKUP($L1043,'Balizador da Meta'!$B$4:$B$21,'Balizador da Meta'!$C$4:$C$21)</f>
        <v>48</v>
      </c>
      <c r="W1043" s="28">
        <f>W1030*_xlfn.XLOOKUP($L1043,'Balizador da Meta'!$B$4:$B$21,'Balizador da Meta'!$C$4:$C$21)</f>
        <v>48</v>
      </c>
      <c r="X1043" s="28">
        <f>X1030*_xlfn.XLOOKUP($L1043,'Balizador da Meta'!$B$4:$B$21,'Balizador da Meta'!$C$4:$C$21)</f>
        <v>48</v>
      </c>
      <c r="Y1043" s="28">
        <f>Y1030*_xlfn.XLOOKUP($L1043,'Balizador da Meta'!$B$4:$B$21,'Balizador da Meta'!$C$4:$C$21)</f>
        <v>48</v>
      </c>
      <c r="Z1043" s="30">
        <f t="shared" si="250"/>
        <v>576</v>
      </c>
      <c r="AA1043" s="29"/>
      <c r="AB1043" s="31">
        <f>SUMIFS('Historico - FAT'!AK:AK,'Historico - FAT'!$K:$K,Faturamento!$L1043,'Historico - FAT'!$I:$I,Faturamento!$J1043,'Historico - FAT'!$G:$G,Faturamento!$H1043)</f>
        <v>26.081666666666667</v>
      </c>
      <c r="AC1043" s="31">
        <f>SUMIFS('Historico - FAT'!AL:AL,'Historico - FAT'!$K:$K,Faturamento!$L1043,'Historico - FAT'!$I:$I,Faturamento!$J1043,'Historico - FAT'!$G:$G,Faturamento!$H1043)</f>
        <v>18.618333333333332</v>
      </c>
      <c r="AD1043" s="31">
        <f>SUMIFS('Historico - FAT'!AM:AM,'Historico - FAT'!$K:$K,Faturamento!$L1043,'Historico - FAT'!$I:$I,Faturamento!$J1043,'Historico - FAT'!$G:$G,Faturamento!$H1043)</f>
        <v>37.236666666666665</v>
      </c>
      <c r="AE1043" s="27">
        <f>SUMIFS('Historico - FAT'!AN:AN,'Historico - FAT'!$K:$K,Faturamento!$L1043,'Historico - FAT'!$I:$I,Faturamento!$J1043,'Historico - FAT'!$G:$G,Faturamento!$H1043)</f>
        <v>22.341999999999999</v>
      </c>
      <c r="AG1043" s="24">
        <f t="shared" si="240"/>
        <v>0.45663194444444444</v>
      </c>
      <c r="AH1043" s="24">
        <f t="shared" si="241"/>
        <v>0.61211805555555554</v>
      </c>
      <c r="AI1043" s="24">
        <f t="shared" si="242"/>
        <v>0.22423611111111116</v>
      </c>
    </row>
    <row r="1044" spans="1:35" hidden="1" x14ac:dyDescent="0.3">
      <c r="A1044" s="2" t="str">
        <f t="shared" si="239"/>
        <v>NÃO</v>
      </c>
      <c r="B1044" s="2">
        <v>1000184670</v>
      </c>
      <c r="C1044" s="2" t="s">
        <v>147</v>
      </c>
      <c r="D1044" s="4">
        <v>1000186197</v>
      </c>
      <c r="E1044" s="4" t="s">
        <v>166</v>
      </c>
      <c r="F1044" s="2">
        <v>1000184760</v>
      </c>
      <c r="G1044" s="2" t="s">
        <v>60</v>
      </c>
      <c r="H1044" s="4">
        <v>1000189799</v>
      </c>
      <c r="I1044" s="4" t="s">
        <v>111</v>
      </c>
      <c r="J1044" s="2">
        <v>1000189270</v>
      </c>
      <c r="K1044" s="2" t="s">
        <v>34</v>
      </c>
      <c r="L1044" s="4" t="s">
        <v>23</v>
      </c>
      <c r="M1044" s="4" t="str">
        <f t="shared" si="247"/>
        <v>1000184670100018619710001897991000189270SABORES DO CAMPO</v>
      </c>
      <c r="N1044" s="28">
        <f>N1030*_xlfn.XLOOKUP($L1044,'Balizador da Meta'!$B$4:$B$21,'Balizador da Meta'!$C$4:$C$21)</f>
        <v>0</v>
      </c>
      <c r="O1044" s="28">
        <f>O1030*_xlfn.XLOOKUP($L1044,'Balizador da Meta'!$B$4:$B$21,'Balizador da Meta'!$C$4:$C$21)</f>
        <v>0</v>
      </c>
      <c r="P1044" s="28">
        <f>P1030*_xlfn.XLOOKUP($L1044,'Balizador da Meta'!$B$4:$B$21,'Balizador da Meta'!$C$4:$C$21)</f>
        <v>0</v>
      </c>
      <c r="Q1044" s="28">
        <f>Q1030*_xlfn.XLOOKUP($L1044,'Balizador da Meta'!$B$4:$B$21,'Balizador da Meta'!$C$4:$C$21)</f>
        <v>0</v>
      </c>
      <c r="R1044" s="28">
        <f>R1030*_xlfn.XLOOKUP($L1044,'Balizador da Meta'!$B$4:$B$21,'Balizador da Meta'!$C$4:$C$21)</f>
        <v>0</v>
      </c>
      <c r="S1044" s="28">
        <f>S1030*_xlfn.XLOOKUP($L1044,'Balizador da Meta'!$B$4:$B$21,'Balizador da Meta'!$C$4:$C$21)</f>
        <v>0</v>
      </c>
      <c r="T1044" s="28">
        <f>T1030*_xlfn.XLOOKUP($L1044,'Balizador da Meta'!$B$4:$B$21,'Balizador da Meta'!$C$4:$C$21)</f>
        <v>0</v>
      </c>
      <c r="U1044" s="28">
        <f>U1030*_xlfn.XLOOKUP($L1044,'Balizador da Meta'!$B$4:$B$21,'Balizador da Meta'!$C$4:$C$21)</f>
        <v>0</v>
      </c>
      <c r="V1044" s="28">
        <f>V1030*_xlfn.XLOOKUP($L1044,'Balizador da Meta'!$B$4:$B$21,'Balizador da Meta'!$C$4:$C$21)</f>
        <v>0</v>
      </c>
      <c r="W1044" s="28">
        <f>W1030*_xlfn.XLOOKUP($L1044,'Balizador da Meta'!$B$4:$B$21,'Balizador da Meta'!$C$4:$C$21)</f>
        <v>0</v>
      </c>
      <c r="X1044" s="28">
        <f>X1030*_xlfn.XLOOKUP($L1044,'Balizador da Meta'!$B$4:$B$21,'Balizador da Meta'!$C$4:$C$21)</f>
        <v>0</v>
      </c>
      <c r="Y1044" s="28">
        <f>Y1030*_xlfn.XLOOKUP($L1044,'Balizador da Meta'!$B$4:$B$21,'Balizador da Meta'!$C$4:$C$21)</f>
        <v>0</v>
      </c>
      <c r="Z1044" s="30">
        <f t="shared" si="250"/>
        <v>0</v>
      </c>
      <c r="AA1044" s="29"/>
      <c r="AB1044" s="31">
        <f>SUMIFS('Historico - FAT'!AK:AK,'Historico - FAT'!$K:$K,Faturamento!$L1044,'Historico - FAT'!$I:$I,Faturamento!$J1044,'Historico - FAT'!$G:$G,Faturamento!$H1044)</f>
        <v>0</v>
      </c>
      <c r="AC1044" s="31">
        <f>SUMIFS('Historico - FAT'!AL:AL,'Historico - FAT'!$K:$K,Faturamento!$L1044,'Historico - FAT'!$I:$I,Faturamento!$J1044,'Historico - FAT'!$G:$G,Faturamento!$H1044)</f>
        <v>2.4991666666666665</v>
      </c>
      <c r="AD1044" s="31">
        <f>SUMIFS('Historico - FAT'!AM:AM,'Historico - FAT'!$K:$K,Faturamento!$L1044,'Historico - FAT'!$I:$I,Faturamento!$J1044,'Historico - FAT'!$G:$G,Faturamento!$H1044)</f>
        <v>4.9983333333333331</v>
      </c>
      <c r="AE1044" s="27">
        <f>SUMIFS('Historico - FAT'!AN:AN,'Historico - FAT'!$K:$K,Faturamento!$L1044,'Historico - FAT'!$I:$I,Faturamento!$J1044,'Historico - FAT'!$G:$G,Faturamento!$H1044)</f>
        <v>2.9989999999999997</v>
      </c>
      <c r="AG1044" s="24" t="str">
        <f t="shared" si="240"/>
        <v/>
      </c>
      <c r="AH1044" s="24" t="str">
        <f t="shared" si="241"/>
        <v/>
      </c>
      <c r="AI1044" s="24" t="str">
        <f t="shared" si="242"/>
        <v/>
      </c>
    </row>
    <row r="1045" spans="1:35" hidden="1" x14ac:dyDescent="0.3">
      <c r="A1045" s="2" t="str">
        <f t="shared" si="239"/>
        <v>NÃO</v>
      </c>
      <c r="B1045" s="2">
        <v>1000184670</v>
      </c>
      <c r="C1045" s="2" t="s">
        <v>147</v>
      </c>
      <c r="D1045" s="4">
        <v>1000186197</v>
      </c>
      <c r="E1045" s="4" t="s">
        <v>166</v>
      </c>
      <c r="F1045" s="2">
        <v>1000184760</v>
      </c>
      <c r="G1045" s="2" t="s">
        <v>60</v>
      </c>
      <c r="H1045" s="4">
        <v>1000189799</v>
      </c>
      <c r="I1045" s="4" t="s">
        <v>111</v>
      </c>
      <c r="J1045" s="2">
        <v>1000189270</v>
      </c>
      <c r="K1045" s="2" t="s">
        <v>34</v>
      </c>
      <c r="L1045" s="4" t="s">
        <v>28</v>
      </c>
      <c r="M1045" s="4" t="str">
        <f t="shared" si="247"/>
        <v>1000184670100018619710001897991000189270SAL</v>
      </c>
      <c r="N1045" s="28">
        <f>N1030*_xlfn.XLOOKUP($L1045,'Balizador da Meta'!$B$4:$B$21,'Balizador da Meta'!$C$4:$C$21)</f>
        <v>24</v>
      </c>
      <c r="O1045" s="28">
        <f>O1030*_xlfn.XLOOKUP($L1045,'Balizador da Meta'!$B$4:$B$21,'Balizador da Meta'!$C$4:$C$21)</f>
        <v>24</v>
      </c>
      <c r="P1045" s="28">
        <f>P1030*_xlfn.XLOOKUP($L1045,'Balizador da Meta'!$B$4:$B$21,'Balizador da Meta'!$C$4:$C$21)</f>
        <v>24</v>
      </c>
      <c r="Q1045" s="28">
        <f>Q1030*_xlfn.XLOOKUP($L1045,'Balizador da Meta'!$B$4:$B$21,'Balizador da Meta'!$C$4:$C$21)</f>
        <v>24</v>
      </c>
      <c r="R1045" s="28">
        <f>R1030*_xlfn.XLOOKUP($L1045,'Balizador da Meta'!$B$4:$B$21,'Balizador da Meta'!$C$4:$C$21)</f>
        <v>24</v>
      </c>
      <c r="S1045" s="28">
        <f>S1030*_xlfn.XLOOKUP($L1045,'Balizador da Meta'!$B$4:$B$21,'Balizador da Meta'!$C$4:$C$21)</f>
        <v>24</v>
      </c>
      <c r="T1045" s="28">
        <f>T1030*_xlfn.XLOOKUP($L1045,'Balizador da Meta'!$B$4:$B$21,'Balizador da Meta'!$C$4:$C$21)</f>
        <v>24</v>
      </c>
      <c r="U1045" s="28">
        <f>U1030*_xlfn.XLOOKUP($L1045,'Balizador da Meta'!$B$4:$B$21,'Balizador da Meta'!$C$4:$C$21)</f>
        <v>24</v>
      </c>
      <c r="V1045" s="28">
        <f>V1030*_xlfn.XLOOKUP($L1045,'Balizador da Meta'!$B$4:$B$21,'Balizador da Meta'!$C$4:$C$21)</f>
        <v>24</v>
      </c>
      <c r="W1045" s="28">
        <f>W1030*_xlfn.XLOOKUP($L1045,'Balizador da Meta'!$B$4:$B$21,'Balizador da Meta'!$C$4:$C$21)</f>
        <v>24</v>
      </c>
      <c r="X1045" s="28">
        <f>X1030*_xlfn.XLOOKUP($L1045,'Balizador da Meta'!$B$4:$B$21,'Balizador da Meta'!$C$4:$C$21)</f>
        <v>24</v>
      </c>
      <c r="Y1045" s="28">
        <f>Y1030*_xlfn.XLOOKUP($L1045,'Balizador da Meta'!$B$4:$B$21,'Balizador da Meta'!$C$4:$C$21)</f>
        <v>24</v>
      </c>
      <c r="Z1045" s="30">
        <f t="shared" si="250"/>
        <v>288</v>
      </c>
      <c r="AA1045" s="29"/>
      <c r="AB1045" s="31">
        <f>SUMIFS('Historico - FAT'!AK:AK,'Historico - FAT'!$K:$K,Faturamento!$L1045,'Historico - FAT'!$I:$I,Faturamento!$J1045,'Historico - FAT'!$G:$G,Faturamento!$H1045)</f>
        <v>4.416666666666667</v>
      </c>
      <c r="AC1045" s="31">
        <f>SUMIFS('Historico - FAT'!AL:AL,'Historico - FAT'!$K:$K,Faturamento!$L1045,'Historico - FAT'!$I:$I,Faturamento!$J1045,'Historico - FAT'!$G:$G,Faturamento!$H1045)</f>
        <v>9.06</v>
      </c>
      <c r="AD1045" s="31">
        <f>SUMIFS('Historico - FAT'!AM:AM,'Historico - FAT'!$K:$K,Faturamento!$L1045,'Historico - FAT'!$I:$I,Faturamento!$J1045,'Historico - FAT'!$G:$G,Faturamento!$H1045)</f>
        <v>18.12</v>
      </c>
      <c r="AE1045" s="27">
        <f>SUMIFS('Historico - FAT'!AN:AN,'Historico - FAT'!$K:$K,Faturamento!$L1045,'Historico - FAT'!$I:$I,Faturamento!$J1045,'Historico - FAT'!$G:$G,Faturamento!$H1045)</f>
        <v>10.872</v>
      </c>
      <c r="AG1045" s="24">
        <f t="shared" si="240"/>
        <v>0.81597222222222221</v>
      </c>
      <c r="AH1045" s="24">
        <f t="shared" si="241"/>
        <v>0.62249999999999994</v>
      </c>
      <c r="AI1045" s="24">
        <f t="shared" si="242"/>
        <v>0.24499999999999997</v>
      </c>
    </row>
    <row r="1046" spans="1:35" hidden="1" x14ac:dyDescent="0.3">
      <c r="A1046" s="2" t="str">
        <f t="shared" si="239"/>
        <v>NÃO</v>
      </c>
      <c r="B1046" s="2">
        <v>1000184670</v>
      </c>
      <c r="C1046" s="2" t="s">
        <v>147</v>
      </c>
      <c r="D1046" s="4">
        <v>1000186197</v>
      </c>
      <c r="E1046" s="4" t="s">
        <v>166</v>
      </c>
      <c r="F1046" s="2">
        <v>1000184760</v>
      </c>
      <c r="G1046" s="2" t="s">
        <v>60</v>
      </c>
      <c r="H1046" s="4">
        <v>1000189799</v>
      </c>
      <c r="I1046" s="4" t="s">
        <v>111</v>
      </c>
      <c r="J1046" s="2">
        <v>1000189270</v>
      </c>
      <c r="K1046" s="2" t="s">
        <v>34</v>
      </c>
      <c r="L1046" s="4" t="s">
        <v>26</v>
      </c>
      <c r="M1046" s="4" t="str">
        <f t="shared" si="247"/>
        <v>1000184670100018619710001897991000189270SOULPRO</v>
      </c>
      <c r="N1046" s="28">
        <f>N1030*_xlfn.XLOOKUP($L1046,'Balizador da Meta'!$B$4:$B$21,'Balizador da Meta'!$C$4:$C$21)</f>
        <v>72</v>
      </c>
      <c r="O1046" s="28">
        <f>O1030*_xlfn.XLOOKUP($L1046,'Balizador da Meta'!$B$4:$B$21,'Balizador da Meta'!$C$4:$C$21)</f>
        <v>72</v>
      </c>
      <c r="P1046" s="28">
        <f>P1030*_xlfn.XLOOKUP($L1046,'Balizador da Meta'!$B$4:$B$21,'Balizador da Meta'!$C$4:$C$21)</f>
        <v>72</v>
      </c>
      <c r="Q1046" s="28">
        <f>Q1030*_xlfn.XLOOKUP($L1046,'Balizador da Meta'!$B$4:$B$21,'Balizador da Meta'!$C$4:$C$21)</f>
        <v>72</v>
      </c>
      <c r="R1046" s="28">
        <f>R1030*_xlfn.XLOOKUP($L1046,'Balizador da Meta'!$B$4:$B$21,'Balizador da Meta'!$C$4:$C$21)</f>
        <v>72</v>
      </c>
      <c r="S1046" s="28">
        <f>S1030*_xlfn.XLOOKUP($L1046,'Balizador da Meta'!$B$4:$B$21,'Balizador da Meta'!$C$4:$C$21)</f>
        <v>72</v>
      </c>
      <c r="T1046" s="28">
        <f>T1030*_xlfn.XLOOKUP($L1046,'Balizador da Meta'!$B$4:$B$21,'Balizador da Meta'!$C$4:$C$21)</f>
        <v>72</v>
      </c>
      <c r="U1046" s="28">
        <f>U1030*_xlfn.XLOOKUP($L1046,'Balizador da Meta'!$B$4:$B$21,'Balizador da Meta'!$C$4:$C$21)</f>
        <v>72</v>
      </c>
      <c r="V1046" s="28">
        <f>V1030*_xlfn.XLOOKUP($L1046,'Balizador da Meta'!$B$4:$B$21,'Balizador da Meta'!$C$4:$C$21)</f>
        <v>72</v>
      </c>
      <c r="W1046" s="28">
        <f>W1030*_xlfn.XLOOKUP($L1046,'Balizador da Meta'!$B$4:$B$21,'Balizador da Meta'!$C$4:$C$21)</f>
        <v>72</v>
      </c>
      <c r="X1046" s="28">
        <f>X1030*_xlfn.XLOOKUP($L1046,'Balizador da Meta'!$B$4:$B$21,'Balizador da Meta'!$C$4:$C$21)</f>
        <v>72</v>
      </c>
      <c r="Y1046" s="28">
        <f>Y1030*_xlfn.XLOOKUP($L1046,'Balizador da Meta'!$B$4:$B$21,'Balizador da Meta'!$C$4:$C$21)</f>
        <v>72</v>
      </c>
      <c r="Z1046" s="30">
        <f t="shared" si="250"/>
        <v>864</v>
      </c>
      <c r="AA1046" s="29"/>
      <c r="AB1046" s="31">
        <f>SUMIFS('Historico - FAT'!AK:AK,'Historico - FAT'!$K:$K,Faturamento!$L1046,'Historico - FAT'!$I:$I,Faturamento!$J1046,'Historico - FAT'!$G:$G,Faturamento!$H1046)</f>
        <v>0</v>
      </c>
      <c r="AC1046" s="31">
        <f>SUMIFS('Historico - FAT'!AL:AL,'Historico - FAT'!$K:$K,Faturamento!$L1046,'Historico - FAT'!$I:$I,Faturamento!$J1046,'Historico - FAT'!$G:$G,Faturamento!$H1046)</f>
        <v>0</v>
      </c>
      <c r="AD1046" s="31">
        <f>SUMIFS('Historico - FAT'!AM:AM,'Historico - FAT'!$K:$K,Faturamento!$L1046,'Historico - FAT'!$I:$I,Faturamento!$J1046,'Historico - FAT'!$G:$G,Faturamento!$H1046)</f>
        <v>0</v>
      </c>
      <c r="AE1046" s="27">
        <f>SUMIFS('Historico - FAT'!AN:AN,'Historico - FAT'!$K:$K,Faturamento!$L1046,'Historico - FAT'!$I:$I,Faturamento!$J1046,'Historico - FAT'!$G:$G,Faturamento!$H1046)</f>
        <v>0</v>
      </c>
      <c r="AG1046" s="24">
        <f t="shared" si="240"/>
        <v>1</v>
      </c>
      <c r="AH1046" s="24">
        <f t="shared" si="241"/>
        <v>1</v>
      </c>
      <c r="AI1046" s="24">
        <f t="shared" si="242"/>
        <v>1</v>
      </c>
    </row>
    <row r="1047" spans="1:35" hidden="1" x14ac:dyDescent="0.3">
      <c r="A1047" s="2" t="str">
        <f t="shared" si="239"/>
        <v>NÃO</v>
      </c>
      <c r="B1047" s="2">
        <v>1000184670</v>
      </c>
      <c r="C1047" s="2" t="s">
        <v>147</v>
      </c>
      <c r="D1047" s="4">
        <v>1000186197</v>
      </c>
      <c r="E1047" s="4" t="s">
        <v>166</v>
      </c>
      <c r="F1047" s="2">
        <v>1000184760</v>
      </c>
      <c r="G1047" s="2" t="s">
        <v>60</v>
      </c>
      <c r="H1047" s="4">
        <v>1000189799</v>
      </c>
      <c r="I1047" s="4" t="s">
        <v>111</v>
      </c>
      <c r="J1047" s="2">
        <v>1000189270</v>
      </c>
      <c r="K1047" s="2" t="s">
        <v>34</v>
      </c>
      <c r="L1047" s="4" t="s">
        <v>27</v>
      </c>
      <c r="M1047" s="4" t="str">
        <f t="shared" si="247"/>
        <v>1000184670100018619710001897991000189270TAMARA</v>
      </c>
      <c r="N1047" s="28">
        <f>N1030*_xlfn.XLOOKUP($L1047,'Balizador da Meta'!$B$4:$B$21,'Balizador da Meta'!$C$4:$C$21)</f>
        <v>96</v>
      </c>
      <c r="O1047" s="28">
        <f>O1030*_xlfn.XLOOKUP($L1047,'Balizador da Meta'!$B$4:$B$21,'Balizador da Meta'!$C$4:$C$21)</f>
        <v>96</v>
      </c>
      <c r="P1047" s="28">
        <f>P1030*_xlfn.XLOOKUP($L1047,'Balizador da Meta'!$B$4:$B$21,'Balizador da Meta'!$C$4:$C$21)</f>
        <v>96</v>
      </c>
      <c r="Q1047" s="28">
        <f>Q1030*_xlfn.XLOOKUP($L1047,'Balizador da Meta'!$B$4:$B$21,'Balizador da Meta'!$C$4:$C$21)</f>
        <v>96</v>
      </c>
      <c r="R1047" s="28">
        <f>R1030*_xlfn.XLOOKUP($L1047,'Balizador da Meta'!$B$4:$B$21,'Balizador da Meta'!$C$4:$C$21)</f>
        <v>96</v>
      </c>
      <c r="S1047" s="28">
        <f>S1030*_xlfn.XLOOKUP($L1047,'Balizador da Meta'!$B$4:$B$21,'Balizador da Meta'!$C$4:$C$21)</f>
        <v>96</v>
      </c>
      <c r="T1047" s="28">
        <f>T1030*_xlfn.XLOOKUP($L1047,'Balizador da Meta'!$B$4:$B$21,'Balizador da Meta'!$C$4:$C$21)</f>
        <v>96</v>
      </c>
      <c r="U1047" s="28">
        <f>U1030*_xlfn.XLOOKUP($L1047,'Balizador da Meta'!$B$4:$B$21,'Balizador da Meta'!$C$4:$C$21)</f>
        <v>96</v>
      </c>
      <c r="V1047" s="28">
        <f>V1030*_xlfn.XLOOKUP($L1047,'Balizador da Meta'!$B$4:$B$21,'Balizador da Meta'!$C$4:$C$21)</f>
        <v>96</v>
      </c>
      <c r="W1047" s="28">
        <f>W1030*_xlfn.XLOOKUP($L1047,'Balizador da Meta'!$B$4:$B$21,'Balizador da Meta'!$C$4:$C$21)</f>
        <v>96</v>
      </c>
      <c r="X1047" s="28">
        <f>X1030*_xlfn.XLOOKUP($L1047,'Balizador da Meta'!$B$4:$B$21,'Balizador da Meta'!$C$4:$C$21)</f>
        <v>96</v>
      </c>
      <c r="Y1047" s="28">
        <f>Y1030*_xlfn.XLOOKUP($L1047,'Balizador da Meta'!$B$4:$B$21,'Balizador da Meta'!$C$4:$C$21)</f>
        <v>96</v>
      </c>
      <c r="Z1047" s="30">
        <f t="shared" si="250"/>
        <v>1152</v>
      </c>
      <c r="AA1047" s="29"/>
      <c r="AB1047" s="31">
        <f>SUMIFS('Historico - FAT'!AK:AK,'Historico - FAT'!$K:$K,Faturamento!$L1047,'Historico - FAT'!$I:$I,Faturamento!$J1047,'Historico - FAT'!$G:$G,Faturamento!$H1047)</f>
        <v>0</v>
      </c>
      <c r="AC1047" s="31">
        <f>SUMIFS('Historico - FAT'!AL:AL,'Historico - FAT'!$K:$K,Faturamento!$L1047,'Historico - FAT'!$I:$I,Faturamento!$J1047,'Historico - FAT'!$G:$G,Faturamento!$H1047)</f>
        <v>0</v>
      </c>
      <c r="AD1047" s="31">
        <f>SUMIFS('Historico - FAT'!AM:AM,'Historico - FAT'!$K:$K,Faturamento!$L1047,'Historico - FAT'!$I:$I,Faturamento!$J1047,'Historico - FAT'!$G:$G,Faturamento!$H1047)</f>
        <v>0</v>
      </c>
      <c r="AE1047" s="27">
        <f>SUMIFS('Historico - FAT'!AN:AN,'Historico - FAT'!$K:$K,Faturamento!$L1047,'Historico - FAT'!$I:$I,Faturamento!$J1047,'Historico - FAT'!$G:$G,Faturamento!$H1047)</f>
        <v>0</v>
      </c>
      <c r="AG1047" s="24">
        <f t="shared" si="240"/>
        <v>1</v>
      </c>
      <c r="AH1047" s="24">
        <f t="shared" si="241"/>
        <v>1</v>
      </c>
      <c r="AI1047" s="24">
        <f t="shared" si="242"/>
        <v>1</v>
      </c>
    </row>
    <row r="1048" spans="1:35" hidden="1" x14ac:dyDescent="0.3">
      <c r="A1048" s="2" t="str">
        <f t="shared" si="239"/>
        <v>NÃO</v>
      </c>
      <c r="B1048" s="2">
        <v>1000184670</v>
      </c>
      <c r="C1048" s="2" t="s">
        <v>147</v>
      </c>
      <c r="D1048" s="4">
        <v>1000186197</v>
      </c>
      <c r="E1048" s="4" t="s">
        <v>166</v>
      </c>
      <c r="F1048" s="2">
        <v>1000184760</v>
      </c>
      <c r="G1048" s="2" t="s">
        <v>60</v>
      </c>
      <c r="H1048" s="4">
        <v>1000189799</v>
      </c>
      <c r="I1048" s="4" t="s">
        <v>111</v>
      </c>
      <c r="J1048" s="2">
        <v>1000189270</v>
      </c>
      <c r="K1048" s="2" t="s">
        <v>34</v>
      </c>
      <c r="L1048" s="4" t="s">
        <v>25</v>
      </c>
      <c r="M1048" s="4" t="str">
        <f t="shared" si="247"/>
        <v>1000184670100018619710001897991000189270VICCIO</v>
      </c>
      <c r="N1048" s="28">
        <f>N1030*_xlfn.XLOOKUP($L1048,'Balizador da Meta'!$B$4:$B$21,'Balizador da Meta'!$C$4:$C$21)</f>
        <v>36</v>
      </c>
      <c r="O1048" s="28">
        <f>O1030*_xlfn.XLOOKUP($L1048,'Balizador da Meta'!$B$4:$B$21,'Balizador da Meta'!$C$4:$C$21)</f>
        <v>36</v>
      </c>
      <c r="P1048" s="28">
        <f>P1030*_xlfn.XLOOKUP($L1048,'Balizador da Meta'!$B$4:$B$21,'Balizador da Meta'!$C$4:$C$21)</f>
        <v>36</v>
      </c>
      <c r="Q1048" s="28">
        <f>Q1030*_xlfn.XLOOKUP($L1048,'Balizador da Meta'!$B$4:$B$21,'Balizador da Meta'!$C$4:$C$21)</f>
        <v>36</v>
      </c>
      <c r="R1048" s="28">
        <f>R1030*_xlfn.XLOOKUP($L1048,'Balizador da Meta'!$B$4:$B$21,'Balizador da Meta'!$C$4:$C$21)</f>
        <v>36</v>
      </c>
      <c r="S1048" s="28">
        <f>S1030*_xlfn.XLOOKUP($L1048,'Balizador da Meta'!$B$4:$B$21,'Balizador da Meta'!$C$4:$C$21)</f>
        <v>36</v>
      </c>
      <c r="T1048" s="28">
        <f>T1030*_xlfn.XLOOKUP($L1048,'Balizador da Meta'!$B$4:$B$21,'Balizador da Meta'!$C$4:$C$21)</f>
        <v>36</v>
      </c>
      <c r="U1048" s="28">
        <f>U1030*_xlfn.XLOOKUP($L1048,'Balizador da Meta'!$B$4:$B$21,'Balizador da Meta'!$C$4:$C$21)</f>
        <v>36</v>
      </c>
      <c r="V1048" s="28">
        <f>V1030*_xlfn.XLOOKUP($L1048,'Balizador da Meta'!$B$4:$B$21,'Balizador da Meta'!$C$4:$C$21)</f>
        <v>36</v>
      </c>
      <c r="W1048" s="28">
        <f>W1030*_xlfn.XLOOKUP($L1048,'Balizador da Meta'!$B$4:$B$21,'Balizador da Meta'!$C$4:$C$21)</f>
        <v>36</v>
      </c>
      <c r="X1048" s="28">
        <f>X1030*_xlfn.XLOOKUP($L1048,'Balizador da Meta'!$B$4:$B$21,'Balizador da Meta'!$C$4:$C$21)</f>
        <v>36</v>
      </c>
      <c r="Y1048" s="28">
        <f>Y1030*_xlfn.XLOOKUP($L1048,'Balizador da Meta'!$B$4:$B$21,'Balizador da Meta'!$C$4:$C$21)</f>
        <v>36</v>
      </c>
      <c r="Z1048" s="30">
        <f t="shared" si="250"/>
        <v>432</v>
      </c>
      <c r="AA1048" s="29"/>
      <c r="AB1048" s="31">
        <f>SUMIFS('Historico - FAT'!AK:AK,'Historico - FAT'!$K:$K,Faturamento!$L1048,'Historico - FAT'!$I:$I,Faturamento!$J1048,'Historico - FAT'!$G:$G,Faturamento!$H1048)</f>
        <v>0</v>
      </c>
      <c r="AC1048" s="31">
        <f>SUMIFS('Historico - FAT'!AL:AL,'Historico - FAT'!$K:$K,Faturamento!$L1048,'Historico - FAT'!$I:$I,Faturamento!$J1048,'Historico - FAT'!$G:$G,Faturamento!$H1048)</f>
        <v>0</v>
      </c>
      <c r="AD1048" s="31">
        <f>SUMIFS('Historico - FAT'!AM:AM,'Historico - FAT'!$K:$K,Faturamento!$L1048,'Historico - FAT'!$I:$I,Faturamento!$J1048,'Historico - FAT'!$G:$G,Faturamento!$H1048)</f>
        <v>0</v>
      </c>
      <c r="AE1048" s="27">
        <f>SUMIFS('Historico - FAT'!AN:AN,'Historico - FAT'!$K:$K,Faturamento!$L1048,'Historico - FAT'!$I:$I,Faturamento!$J1048,'Historico - FAT'!$G:$G,Faturamento!$H1048)</f>
        <v>0</v>
      </c>
      <c r="AG1048" s="24">
        <f t="shared" si="240"/>
        <v>1</v>
      </c>
      <c r="AH1048" s="24">
        <f t="shared" si="241"/>
        <v>1</v>
      </c>
      <c r="AI1048" s="24">
        <f t="shared" si="242"/>
        <v>1</v>
      </c>
    </row>
    <row r="1049" spans="1:35" x14ac:dyDescent="0.3">
      <c r="A1049" s="2" t="str">
        <f t="shared" si="239"/>
        <v>SIM</v>
      </c>
      <c r="B1049" s="2">
        <v>1000184670</v>
      </c>
      <c r="C1049" s="2" t="s">
        <v>147</v>
      </c>
      <c r="D1049" s="4">
        <v>1000186197</v>
      </c>
      <c r="E1049" s="4" t="s">
        <v>166</v>
      </c>
      <c r="F1049" s="2">
        <v>1000184757</v>
      </c>
      <c r="G1049" s="2" t="s">
        <v>62</v>
      </c>
      <c r="H1049" s="4">
        <v>1000189800</v>
      </c>
      <c r="I1049" s="4" t="s">
        <v>95</v>
      </c>
      <c r="J1049" s="2">
        <v>1000189270</v>
      </c>
      <c r="K1049" s="2" t="s">
        <v>34</v>
      </c>
      <c r="L1049" s="4" t="s">
        <v>124</v>
      </c>
      <c r="M1049" s="4" t="str">
        <f t="shared" si="247"/>
        <v>100018467010001861971000189800100018927001. TOTAL</v>
      </c>
      <c r="N1049" s="28">
        <f>SUMIFS(Positivação!L:L,Positivação!$I:$I,Faturamento!$J1049,Positivação!$G:$G,Faturamento!$H1049)*SUMIFS(Positivação!$Z:$Z,Positivação!$I:$I,Faturamento!$J1049,Positivação!$G:$G,Faturamento!$H1049)</f>
        <v>3000</v>
      </c>
      <c r="O1049" s="28">
        <f>SUMIFS(Positivação!M:M,Positivação!$I:$I,Faturamento!$J1049,Positivação!$G:$G,Faturamento!$H1049)*SUMIFS(Positivação!$Z:$Z,Positivação!$I:$I,Faturamento!$J1049,Positivação!$G:$G,Faturamento!$H1049)</f>
        <v>3000</v>
      </c>
      <c r="P1049" s="28">
        <f>SUMIFS(Positivação!N:N,Positivação!$I:$I,Faturamento!$J1049,Positivação!$G:$G,Faturamento!$H1049)*SUMIFS(Positivação!$Z:$Z,Positivação!$I:$I,Faturamento!$J1049,Positivação!$G:$G,Faturamento!$H1049)</f>
        <v>3000</v>
      </c>
      <c r="Q1049" s="28">
        <f>SUMIFS(Positivação!O:O,Positivação!$I:$I,Faturamento!$J1049,Positivação!$G:$G,Faturamento!$H1049)*SUMIFS(Positivação!$Z:$Z,Positivação!$I:$I,Faturamento!$J1049,Positivação!$G:$G,Faturamento!$H1049)</f>
        <v>3000</v>
      </c>
      <c r="R1049" s="28">
        <f>SUMIFS(Positivação!P:P,Positivação!$I:$I,Faturamento!$J1049,Positivação!$G:$G,Faturamento!$H1049)*SUMIFS(Positivação!$Z:$Z,Positivação!$I:$I,Faturamento!$J1049,Positivação!$G:$G,Faturamento!$H1049)</f>
        <v>3000</v>
      </c>
      <c r="S1049" s="28">
        <f>SUMIFS(Positivação!Q:Q,Positivação!$I:$I,Faturamento!$J1049,Positivação!$G:$G,Faturamento!$H1049)*SUMIFS(Positivação!$Z:$Z,Positivação!$I:$I,Faturamento!$J1049,Positivação!$G:$G,Faturamento!$H1049)</f>
        <v>3000</v>
      </c>
      <c r="T1049" s="28">
        <f>SUMIFS(Positivação!R:R,Positivação!$I:$I,Faturamento!$J1049,Positivação!$G:$G,Faturamento!$H1049)*SUMIFS(Positivação!$Z:$Z,Positivação!$I:$I,Faturamento!$J1049,Positivação!$G:$G,Faturamento!$H1049)</f>
        <v>3000</v>
      </c>
      <c r="U1049" s="28">
        <f>SUMIFS(Positivação!S:S,Positivação!$I:$I,Faturamento!$J1049,Positivação!$G:$G,Faturamento!$H1049)*SUMIFS(Positivação!$Z:$Z,Positivação!$I:$I,Faturamento!$J1049,Positivação!$G:$G,Faturamento!$H1049)</f>
        <v>3000</v>
      </c>
      <c r="V1049" s="28">
        <f>SUMIFS(Positivação!T:T,Positivação!$I:$I,Faturamento!$J1049,Positivação!$G:$G,Faturamento!$H1049)*SUMIFS(Positivação!$Z:$Z,Positivação!$I:$I,Faturamento!$J1049,Positivação!$G:$G,Faturamento!$H1049)</f>
        <v>3000</v>
      </c>
      <c r="W1049" s="28">
        <f>SUMIFS(Positivação!U:U,Positivação!$I:$I,Faturamento!$J1049,Positivação!$G:$G,Faturamento!$H1049)*SUMIFS(Positivação!$Z:$Z,Positivação!$I:$I,Faturamento!$J1049,Positivação!$G:$G,Faturamento!$H1049)</f>
        <v>3000</v>
      </c>
      <c r="X1049" s="28">
        <f>SUMIFS(Positivação!V:V,Positivação!$I:$I,Faturamento!$J1049,Positivação!$G:$G,Faturamento!$H1049)*SUMIFS(Positivação!$Z:$Z,Positivação!$I:$I,Faturamento!$J1049,Positivação!$G:$G,Faturamento!$H1049)</f>
        <v>3000</v>
      </c>
      <c r="Y1049" s="28">
        <f>SUMIFS(Positivação!W:W,Positivação!$I:$I,Faturamento!$J1049,Positivação!$G:$G,Faturamento!$H1049)*SUMIFS(Positivação!$Z:$Z,Positivação!$I:$I,Faturamento!$J1049,Positivação!$G:$G,Faturamento!$H1049)</f>
        <v>3000</v>
      </c>
      <c r="Z1049" s="28">
        <f t="shared" ref="Z1049" si="251">SUM(Z1050:Z1067)</f>
        <v>36000</v>
      </c>
      <c r="AA1049" s="29"/>
      <c r="AB1049" s="28">
        <f t="shared" ref="AB1049:AE1049" si="252">SUM(AB1050:AB1067)</f>
        <v>49.949999999999996</v>
      </c>
      <c r="AC1049" s="28">
        <f t="shared" si="252"/>
        <v>180.23250000000002</v>
      </c>
      <c r="AD1049" s="28">
        <f t="shared" si="252"/>
        <v>360.46500000000003</v>
      </c>
      <c r="AE1049" s="28">
        <f t="shared" si="252"/>
        <v>216.279</v>
      </c>
      <c r="AG1049" s="24">
        <f t="shared" si="240"/>
        <v>0.98335000000000006</v>
      </c>
      <c r="AH1049" s="24">
        <f t="shared" si="241"/>
        <v>0.93992249999999999</v>
      </c>
      <c r="AI1049" s="24">
        <f t="shared" si="242"/>
        <v>0.87984499999999999</v>
      </c>
    </row>
    <row r="1050" spans="1:35" hidden="1" x14ac:dyDescent="0.3">
      <c r="A1050" s="2" t="str">
        <f t="shared" si="239"/>
        <v>NÃO</v>
      </c>
      <c r="B1050" s="2">
        <v>1000184670</v>
      </c>
      <c r="C1050" s="2" t="s">
        <v>147</v>
      </c>
      <c r="D1050" s="4">
        <v>1000186197</v>
      </c>
      <c r="E1050" s="4" t="s">
        <v>166</v>
      </c>
      <c r="F1050" s="2">
        <v>1000184757</v>
      </c>
      <c r="G1050" s="2" t="s">
        <v>62</v>
      </c>
      <c r="H1050" s="4">
        <v>1000189800</v>
      </c>
      <c r="I1050" s="4" t="s">
        <v>95</v>
      </c>
      <c r="J1050" s="2">
        <v>1000189270</v>
      </c>
      <c r="K1050" s="2" t="s">
        <v>34</v>
      </c>
      <c r="L1050" s="4" t="s">
        <v>13</v>
      </c>
      <c r="M1050" s="4" t="str">
        <f t="shared" si="247"/>
        <v>1000184670100018619710001898001000189270BISCOITO</v>
      </c>
      <c r="N1050" s="28">
        <f>N1049*_xlfn.XLOOKUP($L1050,'Balizador da Meta'!$B$4:$B$21,'Balizador da Meta'!$C$4:$C$21)</f>
        <v>210.00000000000003</v>
      </c>
      <c r="O1050" s="28">
        <f>O1049*_xlfn.XLOOKUP($L1050,'Balizador da Meta'!$B$4:$B$21,'Balizador da Meta'!$C$4:$C$21)</f>
        <v>210.00000000000003</v>
      </c>
      <c r="P1050" s="28">
        <f>P1049*_xlfn.XLOOKUP($L1050,'Balizador da Meta'!$B$4:$B$21,'Balizador da Meta'!$C$4:$C$21)</f>
        <v>210.00000000000003</v>
      </c>
      <c r="Q1050" s="28">
        <f>Q1049*_xlfn.XLOOKUP($L1050,'Balizador da Meta'!$B$4:$B$21,'Balizador da Meta'!$C$4:$C$21)</f>
        <v>210.00000000000003</v>
      </c>
      <c r="R1050" s="28">
        <f>R1049*_xlfn.XLOOKUP($L1050,'Balizador da Meta'!$B$4:$B$21,'Balizador da Meta'!$C$4:$C$21)</f>
        <v>210.00000000000003</v>
      </c>
      <c r="S1050" s="28">
        <f>S1049*_xlfn.XLOOKUP($L1050,'Balizador da Meta'!$B$4:$B$21,'Balizador da Meta'!$C$4:$C$21)</f>
        <v>210.00000000000003</v>
      </c>
      <c r="T1050" s="28">
        <f>T1049*_xlfn.XLOOKUP($L1050,'Balizador da Meta'!$B$4:$B$21,'Balizador da Meta'!$C$4:$C$21)</f>
        <v>210.00000000000003</v>
      </c>
      <c r="U1050" s="28">
        <f>U1049*_xlfn.XLOOKUP($L1050,'Balizador da Meta'!$B$4:$B$21,'Balizador da Meta'!$C$4:$C$21)</f>
        <v>210.00000000000003</v>
      </c>
      <c r="V1050" s="28">
        <f>V1049*_xlfn.XLOOKUP($L1050,'Balizador da Meta'!$B$4:$B$21,'Balizador da Meta'!$C$4:$C$21)</f>
        <v>210.00000000000003</v>
      </c>
      <c r="W1050" s="28">
        <f>W1049*_xlfn.XLOOKUP($L1050,'Balizador da Meta'!$B$4:$B$21,'Balizador da Meta'!$C$4:$C$21)</f>
        <v>210.00000000000003</v>
      </c>
      <c r="X1050" s="28">
        <f>X1049*_xlfn.XLOOKUP($L1050,'Balizador da Meta'!$B$4:$B$21,'Balizador da Meta'!$C$4:$C$21)</f>
        <v>210.00000000000003</v>
      </c>
      <c r="Y1050" s="28">
        <f>Y1049*_xlfn.XLOOKUP($L1050,'Balizador da Meta'!$B$4:$B$21,'Balizador da Meta'!$C$4:$C$21)</f>
        <v>210.00000000000003</v>
      </c>
      <c r="Z1050" s="30">
        <f t="shared" ref="Z1050:Z1067" si="253">SUM(N1050:Y1050)</f>
        <v>2520.0000000000005</v>
      </c>
      <c r="AA1050" s="29"/>
      <c r="AB1050" s="31">
        <f>SUMIFS('Historico - FAT'!AK:AK,'Historico - FAT'!$K:$K,Faturamento!$L1050,'Historico - FAT'!$I:$I,Faturamento!$J1050,'Historico - FAT'!$G:$G,Faturamento!$H1050)</f>
        <v>0</v>
      </c>
      <c r="AC1050" s="31">
        <f>SUMIFS('Historico - FAT'!AL:AL,'Historico - FAT'!$K:$K,Faturamento!$L1050,'Historico - FAT'!$I:$I,Faturamento!$J1050,'Historico - FAT'!$G:$G,Faturamento!$H1050)</f>
        <v>0</v>
      </c>
      <c r="AD1050" s="31">
        <f>SUMIFS('Historico - FAT'!AM:AM,'Historico - FAT'!$K:$K,Faturamento!$L1050,'Historico - FAT'!$I:$I,Faturamento!$J1050,'Historico - FAT'!$G:$G,Faturamento!$H1050)</f>
        <v>0</v>
      </c>
      <c r="AE1050" s="27">
        <f>SUMIFS('Historico - FAT'!AN:AN,'Historico - FAT'!$K:$K,Faturamento!$L1050,'Historico - FAT'!$I:$I,Faturamento!$J1050,'Historico - FAT'!$G:$G,Faturamento!$H1050)</f>
        <v>0</v>
      </c>
      <c r="AG1050" s="24">
        <f t="shared" si="240"/>
        <v>1</v>
      </c>
      <c r="AH1050" s="24">
        <f t="shared" si="241"/>
        <v>1</v>
      </c>
      <c r="AI1050" s="24">
        <f t="shared" si="242"/>
        <v>1</v>
      </c>
    </row>
    <row r="1051" spans="1:35" hidden="1" x14ac:dyDescent="0.3">
      <c r="A1051" s="2" t="str">
        <f t="shared" si="239"/>
        <v>NÃO</v>
      </c>
      <c r="B1051" s="2">
        <v>1000184670</v>
      </c>
      <c r="C1051" s="2" t="s">
        <v>147</v>
      </c>
      <c r="D1051" s="4">
        <v>1000186197</v>
      </c>
      <c r="E1051" s="4" t="s">
        <v>166</v>
      </c>
      <c r="F1051" s="2">
        <v>1000184757</v>
      </c>
      <c r="G1051" s="2" t="s">
        <v>62</v>
      </c>
      <c r="H1051" s="4">
        <v>1000189800</v>
      </c>
      <c r="I1051" s="4" t="s">
        <v>95</v>
      </c>
      <c r="J1051" s="2">
        <v>1000189270</v>
      </c>
      <c r="K1051" s="2" t="s">
        <v>34</v>
      </c>
      <c r="L1051" s="4" t="s">
        <v>14</v>
      </c>
      <c r="M1051" s="4" t="str">
        <f t="shared" si="247"/>
        <v>1000184670100018619710001898001000189270CHOCOLATES</v>
      </c>
      <c r="N1051" s="28">
        <f>N1049*_xlfn.XLOOKUP($L1051,'Balizador da Meta'!$B$4:$B$21,'Balizador da Meta'!$C$4:$C$21)</f>
        <v>210.00000000000003</v>
      </c>
      <c r="O1051" s="28">
        <f>O1049*_xlfn.XLOOKUP($L1051,'Balizador da Meta'!$B$4:$B$21,'Balizador da Meta'!$C$4:$C$21)</f>
        <v>210.00000000000003</v>
      </c>
      <c r="P1051" s="28">
        <f>P1049*_xlfn.XLOOKUP($L1051,'Balizador da Meta'!$B$4:$B$21,'Balizador da Meta'!$C$4:$C$21)</f>
        <v>210.00000000000003</v>
      </c>
      <c r="Q1051" s="28">
        <f>Q1049*_xlfn.XLOOKUP($L1051,'Balizador da Meta'!$B$4:$B$21,'Balizador da Meta'!$C$4:$C$21)</f>
        <v>210.00000000000003</v>
      </c>
      <c r="R1051" s="28">
        <f>R1049*_xlfn.XLOOKUP($L1051,'Balizador da Meta'!$B$4:$B$21,'Balizador da Meta'!$C$4:$C$21)</f>
        <v>210.00000000000003</v>
      </c>
      <c r="S1051" s="28">
        <f>S1049*_xlfn.XLOOKUP($L1051,'Balizador da Meta'!$B$4:$B$21,'Balizador da Meta'!$C$4:$C$21)</f>
        <v>210.00000000000003</v>
      </c>
      <c r="T1051" s="28">
        <f>T1049*_xlfn.XLOOKUP($L1051,'Balizador da Meta'!$B$4:$B$21,'Balizador da Meta'!$C$4:$C$21)</f>
        <v>210.00000000000003</v>
      </c>
      <c r="U1051" s="28">
        <f>U1049*_xlfn.XLOOKUP($L1051,'Balizador da Meta'!$B$4:$B$21,'Balizador da Meta'!$C$4:$C$21)</f>
        <v>210.00000000000003</v>
      </c>
      <c r="V1051" s="28">
        <f>V1049*_xlfn.XLOOKUP($L1051,'Balizador da Meta'!$B$4:$B$21,'Balizador da Meta'!$C$4:$C$21)</f>
        <v>210.00000000000003</v>
      </c>
      <c r="W1051" s="28">
        <f>W1049*_xlfn.XLOOKUP($L1051,'Balizador da Meta'!$B$4:$B$21,'Balizador da Meta'!$C$4:$C$21)</f>
        <v>210.00000000000003</v>
      </c>
      <c r="X1051" s="28">
        <f>X1049*_xlfn.XLOOKUP($L1051,'Balizador da Meta'!$B$4:$B$21,'Balizador da Meta'!$C$4:$C$21)</f>
        <v>210.00000000000003</v>
      </c>
      <c r="Y1051" s="28">
        <f>Y1049*_xlfn.XLOOKUP($L1051,'Balizador da Meta'!$B$4:$B$21,'Balizador da Meta'!$C$4:$C$21)</f>
        <v>210.00000000000003</v>
      </c>
      <c r="Z1051" s="30">
        <f t="shared" si="253"/>
        <v>2520.0000000000005</v>
      </c>
      <c r="AA1051" s="29"/>
      <c r="AB1051" s="31">
        <f>SUMIFS('Historico - FAT'!AK:AK,'Historico - FAT'!$K:$K,Faturamento!$L1051,'Historico - FAT'!$I:$I,Faturamento!$J1051,'Historico - FAT'!$G:$G,Faturamento!$H1051)</f>
        <v>0</v>
      </c>
      <c r="AC1051" s="31">
        <f>SUMIFS('Historico - FAT'!AL:AL,'Historico - FAT'!$K:$K,Faturamento!$L1051,'Historico - FAT'!$I:$I,Faturamento!$J1051,'Historico - FAT'!$G:$G,Faturamento!$H1051)</f>
        <v>0</v>
      </c>
      <c r="AD1051" s="31">
        <f>SUMIFS('Historico - FAT'!AM:AM,'Historico - FAT'!$K:$K,Faturamento!$L1051,'Historico - FAT'!$I:$I,Faturamento!$J1051,'Historico - FAT'!$G:$G,Faturamento!$H1051)</f>
        <v>0</v>
      </c>
      <c r="AE1051" s="27">
        <f>SUMIFS('Historico - FAT'!AN:AN,'Historico - FAT'!$K:$K,Faturamento!$L1051,'Historico - FAT'!$I:$I,Faturamento!$J1051,'Historico - FAT'!$G:$G,Faturamento!$H1051)</f>
        <v>0</v>
      </c>
      <c r="AG1051" s="24">
        <f t="shared" si="240"/>
        <v>1</v>
      </c>
      <c r="AH1051" s="24">
        <f t="shared" si="241"/>
        <v>1</v>
      </c>
      <c r="AI1051" s="24">
        <f t="shared" si="242"/>
        <v>1</v>
      </c>
    </row>
    <row r="1052" spans="1:35" hidden="1" x14ac:dyDescent="0.3">
      <c r="A1052" s="2" t="str">
        <f t="shared" si="239"/>
        <v>NÃO</v>
      </c>
      <c r="B1052" s="2">
        <v>1000184670</v>
      </c>
      <c r="C1052" s="2" t="s">
        <v>147</v>
      </c>
      <c r="D1052" s="4">
        <v>1000186197</v>
      </c>
      <c r="E1052" s="4" t="s">
        <v>166</v>
      </c>
      <c r="F1052" s="2">
        <v>1000184757</v>
      </c>
      <c r="G1052" s="2" t="s">
        <v>62</v>
      </c>
      <c r="H1052" s="4">
        <v>1000189800</v>
      </c>
      <c r="I1052" s="4" t="s">
        <v>95</v>
      </c>
      <c r="J1052" s="2">
        <v>1000189270</v>
      </c>
      <c r="K1052" s="2" t="s">
        <v>34</v>
      </c>
      <c r="L1052" s="4" t="s">
        <v>16</v>
      </c>
      <c r="M1052" s="4" t="str">
        <f t="shared" si="247"/>
        <v>1000184670100018619710001898001000189270DISNEY</v>
      </c>
      <c r="N1052" s="28">
        <f>N1049*_xlfn.XLOOKUP($L1052,'Balizador da Meta'!$B$4:$B$21,'Balizador da Meta'!$C$4:$C$21)</f>
        <v>240</v>
      </c>
      <c r="O1052" s="28">
        <f>O1049*_xlfn.XLOOKUP($L1052,'Balizador da Meta'!$B$4:$B$21,'Balizador da Meta'!$C$4:$C$21)</f>
        <v>240</v>
      </c>
      <c r="P1052" s="28">
        <f>P1049*_xlfn.XLOOKUP($L1052,'Balizador da Meta'!$B$4:$B$21,'Balizador da Meta'!$C$4:$C$21)</f>
        <v>240</v>
      </c>
      <c r="Q1052" s="28">
        <f>Q1049*_xlfn.XLOOKUP($L1052,'Balizador da Meta'!$B$4:$B$21,'Balizador da Meta'!$C$4:$C$21)</f>
        <v>240</v>
      </c>
      <c r="R1052" s="28">
        <f>R1049*_xlfn.XLOOKUP($L1052,'Balizador da Meta'!$B$4:$B$21,'Balizador da Meta'!$C$4:$C$21)</f>
        <v>240</v>
      </c>
      <c r="S1052" s="28">
        <f>S1049*_xlfn.XLOOKUP($L1052,'Balizador da Meta'!$B$4:$B$21,'Balizador da Meta'!$C$4:$C$21)</f>
        <v>240</v>
      </c>
      <c r="T1052" s="28">
        <f>T1049*_xlfn.XLOOKUP($L1052,'Balizador da Meta'!$B$4:$B$21,'Balizador da Meta'!$C$4:$C$21)</f>
        <v>240</v>
      </c>
      <c r="U1052" s="28">
        <f>U1049*_xlfn.XLOOKUP($L1052,'Balizador da Meta'!$B$4:$B$21,'Balizador da Meta'!$C$4:$C$21)</f>
        <v>240</v>
      </c>
      <c r="V1052" s="28">
        <f>V1049*_xlfn.XLOOKUP($L1052,'Balizador da Meta'!$B$4:$B$21,'Balizador da Meta'!$C$4:$C$21)</f>
        <v>240</v>
      </c>
      <c r="W1052" s="28">
        <f>W1049*_xlfn.XLOOKUP($L1052,'Balizador da Meta'!$B$4:$B$21,'Balizador da Meta'!$C$4:$C$21)</f>
        <v>240</v>
      </c>
      <c r="X1052" s="28">
        <f>X1049*_xlfn.XLOOKUP($L1052,'Balizador da Meta'!$B$4:$B$21,'Balizador da Meta'!$C$4:$C$21)</f>
        <v>240</v>
      </c>
      <c r="Y1052" s="28">
        <f>Y1049*_xlfn.XLOOKUP($L1052,'Balizador da Meta'!$B$4:$B$21,'Balizador da Meta'!$C$4:$C$21)</f>
        <v>240</v>
      </c>
      <c r="Z1052" s="30">
        <f t="shared" si="253"/>
        <v>2880</v>
      </c>
      <c r="AA1052" s="29"/>
      <c r="AB1052" s="31">
        <f>SUMIFS('Historico - FAT'!AK:AK,'Historico - FAT'!$K:$K,Faturamento!$L1052,'Historico - FAT'!$I:$I,Faturamento!$J1052,'Historico - FAT'!$G:$G,Faturamento!$H1052)</f>
        <v>0</v>
      </c>
      <c r="AC1052" s="31">
        <f>SUMIFS('Historico - FAT'!AL:AL,'Historico - FAT'!$K:$K,Faturamento!$L1052,'Historico - FAT'!$I:$I,Faturamento!$J1052,'Historico - FAT'!$G:$G,Faturamento!$H1052)</f>
        <v>0</v>
      </c>
      <c r="AD1052" s="31">
        <f>SUMIFS('Historico - FAT'!AM:AM,'Historico - FAT'!$K:$K,Faturamento!$L1052,'Historico - FAT'!$I:$I,Faturamento!$J1052,'Historico - FAT'!$G:$G,Faturamento!$H1052)</f>
        <v>0</v>
      </c>
      <c r="AE1052" s="27">
        <f>SUMIFS('Historico - FAT'!AN:AN,'Historico - FAT'!$K:$K,Faturamento!$L1052,'Historico - FAT'!$I:$I,Faturamento!$J1052,'Historico - FAT'!$G:$G,Faturamento!$H1052)</f>
        <v>0</v>
      </c>
      <c r="AG1052" s="24">
        <f t="shared" si="240"/>
        <v>1</v>
      </c>
      <c r="AH1052" s="24">
        <f t="shared" si="241"/>
        <v>1</v>
      </c>
      <c r="AI1052" s="24">
        <f t="shared" si="242"/>
        <v>1</v>
      </c>
    </row>
    <row r="1053" spans="1:35" hidden="1" x14ac:dyDescent="0.3">
      <c r="A1053" s="2" t="str">
        <f t="shared" si="239"/>
        <v>NÃO</v>
      </c>
      <c r="B1053" s="2">
        <v>1000184670</v>
      </c>
      <c r="C1053" s="2" t="s">
        <v>147</v>
      </c>
      <c r="D1053" s="4">
        <v>1000186197</v>
      </c>
      <c r="E1053" s="4" t="s">
        <v>166</v>
      </c>
      <c r="F1053" s="2">
        <v>1000184757</v>
      </c>
      <c r="G1053" s="2" t="s">
        <v>62</v>
      </c>
      <c r="H1053" s="4">
        <v>1000189800</v>
      </c>
      <c r="I1053" s="4" t="s">
        <v>95</v>
      </c>
      <c r="J1053" s="2">
        <v>1000189270</v>
      </c>
      <c r="K1053" s="2" t="s">
        <v>34</v>
      </c>
      <c r="L1053" s="4" t="s">
        <v>15</v>
      </c>
      <c r="M1053" s="4" t="str">
        <f t="shared" si="247"/>
        <v>1000184670100018619710001898001000189270DOCES</v>
      </c>
      <c r="N1053" s="28">
        <f>N1049*_xlfn.XLOOKUP($L1053,'Balizador da Meta'!$B$4:$B$21,'Balizador da Meta'!$C$4:$C$21)</f>
        <v>270</v>
      </c>
      <c r="O1053" s="28">
        <f>O1049*_xlfn.XLOOKUP($L1053,'Balizador da Meta'!$B$4:$B$21,'Balizador da Meta'!$C$4:$C$21)</f>
        <v>270</v>
      </c>
      <c r="P1053" s="28">
        <f>P1049*_xlfn.XLOOKUP($L1053,'Balizador da Meta'!$B$4:$B$21,'Balizador da Meta'!$C$4:$C$21)</f>
        <v>270</v>
      </c>
      <c r="Q1053" s="28">
        <f>Q1049*_xlfn.XLOOKUP($L1053,'Balizador da Meta'!$B$4:$B$21,'Balizador da Meta'!$C$4:$C$21)</f>
        <v>270</v>
      </c>
      <c r="R1053" s="28">
        <f>R1049*_xlfn.XLOOKUP($L1053,'Balizador da Meta'!$B$4:$B$21,'Balizador da Meta'!$C$4:$C$21)</f>
        <v>270</v>
      </c>
      <c r="S1053" s="28">
        <f>S1049*_xlfn.XLOOKUP($L1053,'Balizador da Meta'!$B$4:$B$21,'Balizador da Meta'!$C$4:$C$21)</f>
        <v>270</v>
      </c>
      <c r="T1053" s="28">
        <f>T1049*_xlfn.XLOOKUP($L1053,'Balizador da Meta'!$B$4:$B$21,'Balizador da Meta'!$C$4:$C$21)</f>
        <v>270</v>
      </c>
      <c r="U1053" s="28">
        <f>U1049*_xlfn.XLOOKUP($L1053,'Balizador da Meta'!$B$4:$B$21,'Balizador da Meta'!$C$4:$C$21)</f>
        <v>270</v>
      </c>
      <c r="V1053" s="28">
        <f>V1049*_xlfn.XLOOKUP($L1053,'Balizador da Meta'!$B$4:$B$21,'Balizador da Meta'!$C$4:$C$21)</f>
        <v>270</v>
      </c>
      <c r="W1053" s="28">
        <f>W1049*_xlfn.XLOOKUP($L1053,'Balizador da Meta'!$B$4:$B$21,'Balizador da Meta'!$C$4:$C$21)</f>
        <v>270</v>
      </c>
      <c r="X1053" s="28">
        <f>X1049*_xlfn.XLOOKUP($L1053,'Balizador da Meta'!$B$4:$B$21,'Balizador da Meta'!$C$4:$C$21)</f>
        <v>270</v>
      </c>
      <c r="Y1053" s="28">
        <f>Y1049*_xlfn.XLOOKUP($L1053,'Balizador da Meta'!$B$4:$B$21,'Balizador da Meta'!$C$4:$C$21)</f>
        <v>270</v>
      </c>
      <c r="Z1053" s="30">
        <f t="shared" si="253"/>
        <v>3240</v>
      </c>
      <c r="AA1053" s="29"/>
      <c r="AB1053" s="31">
        <f>SUMIFS('Historico - FAT'!AK:AK,'Historico - FAT'!$K:$K,Faturamento!$L1053,'Historico - FAT'!$I:$I,Faturamento!$J1053,'Historico - FAT'!$G:$G,Faturamento!$H1053)</f>
        <v>0</v>
      </c>
      <c r="AC1053" s="31">
        <f>SUMIFS('Historico - FAT'!AL:AL,'Historico - FAT'!$K:$K,Faturamento!$L1053,'Historico - FAT'!$I:$I,Faturamento!$J1053,'Historico - FAT'!$G:$G,Faturamento!$H1053)</f>
        <v>0</v>
      </c>
      <c r="AD1053" s="31">
        <f>SUMIFS('Historico - FAT'!AM:AM,'Historico - FAT'!$K:$K,Faturamento!$L1053,'Historico - FAT'!$I:$I,Faturamento!$J1053,'Historico - FAT'!$G:$G,Faturamento!$H1053)</f>
        <v>0</v>
      </c>
      <c r="AE1053" s="27">
        <f>SUMIFS('Historico - FAT'!AN:AN,'Historico - FAT'!$K:$K,Faturamento!$L1053,'Historico - FAT'!$I:$I,Faturamento!$J1053,'Historico - FAT'!$G:$G,Faturamento!$H1053)</f>
        <v>0</v>
      </c>
      <c r="AG1053" s="24">
        <f t="shared" si="240"/>
        <v>1</v>
      </c>
      <c r="AH1053" s="24">
        <f t="shared" si="241"/>
        <v>1</v>
      </c>
      <c r="AI1053" s="24">
        <f t="shared" si="242"/>
        <v>1</v>
      </c>
    </row>
    <row r="1054" spans="1:35" hidden="1" x14ac:dyDescent="0.3">
      <c r="A1054" s="2" t="str">
        <f t="shared" si="239"/>
        <v>NÃO</v>
      </c>
      <c r="B1054" s="2">
        <v>1000184670</v>
      </c>
      <c r="C1054" s="2" t="s">
        <v>147</v>
      </c>
      <c r="D1054" s="4">
        <v>1000186197</v>
      </c>
      <c r="E1054" s="4" t="s">
        <v>166</v>
      </c>
      <c r="F1054" s="2">
        <v>1000184757</v>
      </c>
      <c r="G1054" s="2" t="s">
        <v>62</v>
      </c>
      <c r="H1054" s="4">
        <v>1000189800</v>
      </c>
      <c r="I1054" s="4" t="s">
        <v>95</v>
      </c>
      <c r="J1054" s="2">
        <v>1000189270</v>
      </c>
      <c r="K1054" s="2" t="s">
        <v>34</v>
      </c>
      <c r="L1054" s="4" t="s">
        <v>33</v>
      </c>
      <c r="M1054" s="4" t="str">
        <f t="shared" si="247"/>
        <v>1000184670100018619710001898001000189270FOOD SERVICE</v>
      </c>
      <c r="N1054" s="28">
        <f>N1049*_xlfn.XLOOKUP($L1054,'Balizador da Meta'!$B$4:$B$21,'Balizador da Meta'!$C$4:$C$21)</f>
        <v>0</v>
      </c>
      <c r="O1054" s="28">
        <f>O1049*_xlfn.XLOOKUP($L1054,'Balizador da Meta'!$B$4:$B$21,'Balizador da Meta'!$C$4:$C$21)</f>
        <v>0</v>
      </c>
      <c r="P1054" s="28">
        <f>P1049*_xlfn.XLOOKUP($L1054,'Balizador da Meta'!$B$4:$B$21,'Balizador da Meta'!$C$4:$C$21)</f>
        <v>0</v>
      </c>
      <c r="Q1054" s="28">
        <f>Q1049*_xlfn.XLOOKUP($L1054,'Balizador da Meta'!$B$4:$B$21,'Balizador da Meta'!$C$4:$C$21)</f>
        <v>0</v>
      </c>
      <c r="R1054" s="28">
        <f>R1049*_xlfn.XLOOKUP($L1054,'Balizador da Meta'!$B$4:$B$21,'Balizador da Meta'!$C$4:$C$21)</f>
        <v>0</v>
      </c>
      <c r="S1054" s="28">
        <f>S1049*_xlfn.XLOOKUP($L1054,'Balizador da Meta'!$B$4:$B$21,'Balizador da Meta'!$C$4:$C$21)</f>
        <v>0</v>
      </c>
      <c r="T1054" s="28">
        <f>T1049*_xlfn.XLOOKUP($L1054,'Balizador da Meta'!$B$4:$B$21,'Balizador da Meta'!$C$4:$C$21)</f>
        <v>0</v>
      </c>
      <c r="U1054" s="28">
        <f>U1049*_xlfn.XLOOKUP($L1054,'Balizador da Meta'!$B$4:$B$21,'Balizador da Meta'!$C$4:$C$21)</f>
        <v>0</v>
      </c>
      <c r="V1054" s="28">
        <f>V1049*_xlfn.XLOOKUP($L1054,'Balizador da Meta'!$B$4:$B$21,'Balizador da Meta'!$C$4:$C$21)</f>
        <v>0</v>
      </c>
      <c r="W1054" s="28">
        <f>W1049*_xlfn.XLOOKUP($L1054,'Balizador da Meta'!$B$4:$B$21,'Balizador da Meta'!$C$4:$C$21)</f>
        <v>0</v>
      </c>
      <c r="X1054" s="28">
        <f>X1049*_xlfn.XLOOKUP($L1054,'Balizador da Meta'!$B$4:$B$21,'Balizador da Meta'!$C$4:$C$21)</f>
        <v>0</v>
      </c>
      <c r="Y1054" s="28">
        <f>Y1049*_xlfn.XLOOKUP($L1054,'Balizador da Meta'!$B$4:$B$21,'Balizador da Meta'!$C$4:$C$21)</f>
        <v>0</v>
      </c>
      <c r="Z1054" s="30">
        <f t="shared" si="253"/>
        <v>0</v>
      </c>
      <c r="AA1054" s="29"/>
      <c r="AB1054" s="31">
        <f>SUMIFS('Historico - FAT'!AK:AK,'Historico - FAT'!$K:$K,Faturamento!$L1054,'Historico - FAT'!$I:$I,Faturamento!$J1054,'Historico - FAT'!$G:$G,Faturamento!$H1054)</f>
        <v>0</v>
      </c>
      <c r="AC1054" s="31">
        <f>SUMIFS('Historico - FAT'!AL:AL,'Historico - FAT'!$K:$K,Faturamento!$L1054,'Historico - FAT'!$I:$I,Faturamento!$J1054,'Historico - FAT'!$G:$G,Faturamento!$H1054)</f>
        <v>0</v>
      </c>
      <c r="AD1054" s="31">
        <f>SUMIFS('Historico - FAT'!AM:AM,'Historico - FAT'!$K:$K,Faturamento!$L1054,'Historico - FAT'!$I:$I,Faturamento!$J1054,'Historico - FAT'!$G:$G,Faturamento!$H1054)</f>
        <v>0</v>
      </c>
      <c r="AE1054" s="27">
        <f>SUMIFS('Historico - FAT'!AN:AN,'Historico - FAT'!$K:$K,Faturamento!$L1054,'Historico - FAT'!$I:$I,Faturamento!$J1054,'Historico - FAT'!$G:$G,Faturamento!$H1054)</f>
        <v>0</v>
      </c>
      <c r="AG1054" s="24" t="str">
        <f t="shared" si="240"/>
        <v/>
      </c>
      <c r="AH1054" s="24" t="str">
        <f t="shared" si="241"/>
        <v/>
      </c>
      <c r="AI1054" s="24" t="str">
        <f t="shared" si="242"/>
        <v/>
      </c>
    </row>
    <row r="1055" spans="1:35" hidden="1" x14ac:dyDescent="0.3">
      <c r="A1055" s="2" t="str">
        <f t="shared" si="239"/>
        <v>NÃO</v>
      </c>
      <c r="B1055" s="2">
        <v>1000184670</v>
      </c>
      <c r="C1055" s="2" t="s">
        <v>147</v>
      </c>
      <c r="D1055" s="4">
        <v>1000186197</v>
      </c>
      <c r="E1055" s="4" t="s">
        <v>166</v>
      </c>
      <c r="F1055" s="2">
        <v>1000184757</v>
      </c>
      <c r="G1055" s="2" t="s">
        <v>62</v>
      </c>
      <c r="H1055" s="4">
        <v>1000189800</v>
      </c>
      <c r="I1055" s="4" t="s">
        <v>95</v>
      </c>
      <c r="J1055" s="2">
        <v>1000189270</v>
      </c>
      <c r="K1055" s="2" t="s">
        <v>34</v>
      </c>
      <c r="L1055" s="4" t="s">
        <v>19</v>
      </c>
      <c r="M1055" s="4" t="str">
        <f t="shared" si="247"/>
        <v>1000184670100018619710001898001000189270GELEIA</v>
      </c>
      <c r="N1055" s="28">
        <f>N1049*_xlfn.XLOOKUP($L1055,'Balizador da Meta'!$B$4:$B$21,'Balizador da Meta'!$C$4:$C$21)</f>
        <v>59.999999999999993</v>
      </c>
      <c r="O1055" s="28">
        <f>O1049*_xlfn.XLOOKUP($L1055,'Balizador da Meta'!$B$4:$B$21,'Balizador da Meta'!$C$4:$C$21)</f>
        <v>59.999999999999993</v>
      </c>
      <c r="P1055" s="28">
        <f>P1049*_xlfn.XLOOKUP($L1055,'Balizador da Meta'!$B$4:$B$21,'Balizador da Meta'!$C$4:$C$21)</f>
        <v>59.999999999999993</v>
      </c>
      <c r="Q1055" s="28">
        <f>Q1049*_xlfn.XLOOKUP($L1055,'Balizador da Meta'!$B$4:$B$21,'Balizador da Meta'!$C$4:$C$21)</f>
        <v>59.999999999999993</v>
      </c>
      <c r="R1055" s="28">
        <f>R1049*_xlfn.XLOOKUP($L1055,'Balizador da Meta'!$B$4:$B$21,'Balizador da Meta'!$C$4:$C$21)</f>
        <v>59.999999999999993</v>
      </c>
      <c r="S1055" s="28">
        <f>S1049*_xlfn.XLOOKUP($L1055,'Balizador da Meta'!$B$4:$B$21,'Balizador da Meta'!$C$4:$C$21)</f>
        <v>59.999999999999993</v>
      </c>
      <c r="T1055" s="28">
        <f>T1049*_xlfn.XLOOKUP($L1055,'Balizador da Meta'!$B$4:$B$21,'Balizador da Meta'!$C$4:$C$21)</f>
        <v>59.999999999999993</v>
      </c>
      <c r="U1055" s="28">
        <f>U1049*_xlfn.XLOOKUP($L1055,'Balizador da Meta'!$B$4:$B$21,'Balizador da Meta'!$C$4:$C$21)</f>
        <v>59.999999999999993</v>
      </c>
      <c r="V1055" s="28">
        <f>V1049*_xlfn.XLOOKUP($L1055,'Balizador da Meta'!$B$4:$B$21,'Balizador da Meta'!$C$4:$C$21)</f>
        <v>59.999999999999993</v>
      </c>
      <c r="W1055" s="28">
        <f>W1049*_xlfn.XLOOKUP($L1055,'Balizador da Meta'!$B$4:$B$21,'Balizador da Meta'!$C$4:$C$21)</f>
        <v>59.999999999999993</v>
      </c>
      <c r="X1055" s="28">
        <f>X1049*_xlfn.XLOOKUP($L1055,'Balizador da Meta'!$B$4:$B$21,'Balizador da Meta'!$C$4:$C$21)</f>
        <v>59.999999999999993</v>
      </c>
      <c r="Y1055" s="28">
        <f>Y1049*_xlfn.XLOOKUP($L1055,'Balizador da Meta'!$B$4:$B$21,'Balizador da Meta'!$C$4:$C$21)</f>
        <v>59.999999999999993</v>
      </c>
      <c r="Z1055" s="30">
        <f t="shared" si="253"/>
        <v>719.99999999999989</v>
      </c>
      <c r="AA1055" s="29"/>
      <c r="AB1055" s="31">
        <f>SUMIFS('Historico - FAT'!AK:AK,'Historico - FAT'!$K:$K,Faturamento!$L1055,'Historico - FAT'!$I:$I,Faturamento!$J1055,'Historico - FAT'!$G:$G,Faturamento!$H1055)</f>
        <v>0</v>
      </c>
      <c r="AC1055" s="31">
        <f>SUMIFS('Historico - FAT'!AL:AL,'Historico - FAT'!$K:$K,Faturamento!$L1055,'Historico - FAT'!$I:$I,Faturamento!$J1055,'Historico - FAT'!$G:$G,Faturamento!$H1055)</f>
        <v>0</v>
      </c>
      <c r="AD1055" s="31">
        <f>SUMIFS('Historico - FAT'!AM:AM,'Historico - FAT'!$K:$K,Faturamento!$L1055,'Historico - FAT'!$I:$I,Faturamento!$J1055,'Historico - FAT'!$G:$G,Faturamento!$H1055)</f>
        <v>0</v>
      </c>
      <c r="AE1055" s="27">
        <f>SUMIFS('Historico - FAT'!AN:AN,'Historico - FAT'!$K:$K,Faturamento!$L1055,'Historico - FAT'!$I:$I,Faturamento!$J1055,'Historico - FAT'!$G:$G,Faturamento!$H1055)</f>
        <v>0</v>
      </c>
      <c r="AG1055" s="24">
        <f t="shared" si="240"/>
        <v>1</v>
      </c>
      <c r="AH1055" s="24">
        <f t="shared" si="241"/>
        <v>1</v>
      </c>
      <c r="AI1055" s="24">
        <f t="shared" si="242"/>
        <v>1</v>
      </c>
    </row>
    <row r="1056" spans="1:35" hidden="1" x14ac:dyDescent="0.3">
      <c r="A1056" s="2" t="str">
        <f t="shared" si="239"/>
        <v>NÃO</v>
      </c>
      <c r="B1056" s="2">
        <v>1000184670</v>
      </c>
      <c r="C1056" s="2" t="s">
        <v>147</v>
      </c>
      <c r="D1056" s="4">
        <v>1000186197</v>
      </c>
      <c r="E1056" s="4" t="s">
        <v>166</v>
      </c>
      <c r="F1056" s="2">
        <v>1000184757</v>
      </c>
      <c r="G1056" s="2" t="s">
        <v>62</v>
      </c>
      <c r="H1056" s="4">
        <v>1000189800</v>
      </c>
      <c r="I1056" s="4" t="s">
        <v>95</v>
      </c>
      <c r="J1056" s="2">
        <v>1000189270</v>
      </c>
      <c r="K1056" s="2" t="s">
        <v>34</v>
      </c>
      <c r="L1056" s="4" t="s">
        <v>17</v>
      </c>
      <c r="M1056" s="4" t="str">
        <f t="shared" si="247"/>
        <v>1000184670100018619710001898001000189270GRANOLA</v>
      </c>
      <c r="N1056" s="28">
        <f>N1049*_xlfn.XLOOKUP($L1056,'Balizador da Meta'!$B$4:$B$21,'Balizador da Meta'!$C$4:$C$21)</f>
        <v>60</v>
      </c>
      <c r="O1056" s="28">
        <f>O1049*_xlfn.XLOOKUP($L1056,'Balizador da Meta'!$B$4:$B$21,'Balizador da Meta'!$C$4:$C$21)</f>
        <v>60</v>
      </c>
      <c r="P1056" s="28">
        <f>P1049*_xlfn.XLOOKUP($L1056,'Balizador da Meta'!$B$4:$B$21,'Balizador da Meta'!$C$4:$C$21)</f>
        <v>60</v>
      </c>
      <c r="Q1056" s="28">
        <f>Q1049*_xlfn.XLOOKUP($L1056,'Balizador da Meta'!$B$4:$B$21,'Balizador da Meta'!$C$4:$C$21)</f>
        <v>60</v>
      </c>
      <c r="R1056" s="28">
        <f>R1049*_xlfn.XLOOKUP($L1056,'Balizador da Meta'!$B$4:$B$21,'Balizador da Meta'!$C$4:$C$21)</f>
        <v>60</v>
      </c>
      <c r="S1056" s="28">
        <f>S1049*_xlfn.XLOOKUP($L1056,'Balizador da Meta'!$B$4:$B$21,'Balizador da Meta'!$C$4:$C$21)</f>
        <v>60</v>
      </c>
      <c r="T1056" s="28">
        <f>T1049*_xlfn.XLOOKUP($L1056,'Balizador da Meta'!$B$4:$B$21,'Balizador da Meta'!$C$4:$C$21)</f>
        <v>60</v>
      </c>
      <c r="U1056" s="28">
        <f>U1049*_xlfn.XLOOKUP($L1056,'Balizador da Meta'!$B$4:$B$21,'Balizador da Meta'!$C$4:$C$21)</f>
        <v>60</v>
      </c>
      <c r="V1056" s="28">
        <f>V1049*_xlfn.XLOOKUP($L1056,'Balizador da Meta'!$B$4:$B$21,'Balizador da Meta'!$C$4:$C$21)</f>
        <v>60</v>
      </c>
      <c r="W1056" s="28">
        <f>W1049*_xlfn.XLOOKUP($L1056,'Balizador da Meta'!$B$4:$B$21,'Balizador da Meta'!$C$4:$C$21)</f>
        <v>60</v>
      </c>
      <c r="X1056" s="28">
        <f>X1049*_xlfn.XLOOKUP($L1056,'Balizador da Meta'!$B$4:$B$21,'Balizador da Meta'!$C$4:$C$21)</f>
        <v>60</v>
      </c>
      <c r="Y1056" s="28">
        <f>Y1049*_xlfn.XLOOKUP($L1056,'Balizador da Meta'!$B$4:$B$21,'Balizador da Meta'!$C$4:$C$21)</f>
        <v>60</v>
      </c>
      <c r="Z1056" s="30">
        <f t="shared" si="253"/>
        <v>720</v>
      </c>
      <c r="AA1056" s="29"/>
      <c r="AB1056" s="31">
        <f>SUMIFS('Historico - FAT'!AK:AK,'Historico - FAT'!$K:$K,Faturamento!$L1056,'Historico - FAT'!$I:$I,Faturamento!$J1056,'Historico - FAT'!$G:$G,Faturamento!$H1056)</f>
        <v>0</v>
      </c>
      <c r="AC1056" s="31">
        <f>SUMIFS('Historico - FAT'!AL:AL,'Historico - FAT'!$K:$K,Faturamento!$L1056,'Historico - FAT'!$I:$I,Faturamento!$J1056,'Historico - FAT'!$G:$G,Faturamento!$H1056)</f>
        <v>0</v>
      </c>
      <c r="AD1056" s="31">
        <f>SUMIFS('Historico - FAT'!AM:AM,'Historico - FAT'!$K:$K,Faturamento!$L1056,'Historico - FAT'!$I:$I,Faturamento!$J1056,'Historico - FAT'!$G:$G,Faturamento!$H1056)</f>
        <v>0</v>
      </c>
      <c r="AE1056" s="27">
        <f>SUMIFS('Historico - FAT'!AN:AN,'Historico - FAT'!$K:$K,Faturamento!$L1056,'Historico - FAT'!$I:$I,Faturamento!$J1056,'Historico - FAT'!$G:$G,Faturamento!$H1056)</f>
        <v>0</v>
      </c>
      <c r="AG1056" s="24">
        <f t="shared" si="240"/>
        <v>1</v>
      </c>
      <c r="AH1056" s="24">
        <f t="shared" si="241"/>
        <v>1</v>
      </c>
      <c r="AI1056" s="24">
        <f t="shared" si="242"/>
        <v>1</v>
      </c>
    </row>
    <row r="1057" spans="1:35" hidden="1" x14ac:dyDescent="0.3">
      <c r="A1057" s="2" t="str">
        <f t="shared" si="239"/>
        <v>NÃO</v>
      </c>
      <c r="B1057" s="2">
        <v>1000184670</v>
      </c>
      <c r="C1057" s="2" t="s">
        <v>147</v>
      </c>
      <c r="D1057" s="4">
        <v>1000186197</v>
      </c>
      <c r="E1057" s="4" t="s">
        <v>166</v>
      </c>
      <c r="F1057" s="2">
        <v>1000184757</v>
      </c>
      <c r="G1057" s="2" t="s">
        <v>62</v>
      </c>
      <c r="H1057" s="4">
        <v>1000189800</v>
      </c>
      <c r="I1057" s="4" t="s">
        <v>95</v>
      </c>
      <c r="J1057" s="2">
        <v>1000189270</v>
      </c>
      <c r="K1057" s="2" t="s">
        <v>34</v>
      </c>
      <c r="L1057" s="4" t="s">
        <v>24</v>
      </c>
      <c r="M1057" s="4" t="str">
        <f t="shared" si="247"/>
        <v>1000184670100018619710001898001000189270KIDS</v>
      </c>
      <c r="N1057" s="28">
        <f>N1049*_xlfn.XLOOKUP($L1057,'Balizador da Meta'!$B$4:$B$21,'Balizador da Meta'!$C$4:$C$21)</f>
        <v>0</v>
      </c>
      <c r="O1057" s="28">
        <f>O1049*_xlfn.XLOOKUP($L1057,'Balizador da Meta'!$B$4:$B$21,'Balizador da Meta'!$C$4:$C$21)</f>
        <v>0</v>
      </c>
      <c r="P1057" s="28">
        <f>P1049*_xlfn.XLOOKUP($L1057,'Balizador da Meta'!$B$4:$B$21,'Balizador da Meta'!$C$4:$C$21)</f>
        <v>0</v>
      </c>
      <c r="Q1057" s="28">
        <f>Q1049*_xlfn.XLOOKUP($L1057,'Balizador da Meta'!$B$4:$B$21,'Balizador da Meta'!$C$4:$C$21)</f>
        <v>0</v>
      </c>
      <c r="R1057" s="28">
        <f>R1049*_xlfn.XLOOKUP($L1057,'Balizador da Meta'!$B$4:$B$21,'Balizador da Meta'!$C$4:$C$21)</f>
        <v>0</v>
      </c>
      <c r="S1057" s="28">
        <f>S1049*_xlfn.XLOOKUP($L1057,'Balizador da Meta'!$B$4:$B$21,'Balizador da Meta'!$C$4:$C$21)</f>
        <v>0</v>
      </c>
      <c r="T1057" s="28">
        <f>T1049*_xlfn.XLOOKUP($L1057,'Balizador da Meta'!$B$4:$B$21,'Balizador da Meta'!$C$4:$C$21)</f>
        <v>0</v>
      </c>
      <c r="U1057" s="28">
        <f>U1049*_xlfn.XLOOKUP($L1057,'Balizador da Meta'!$B$4:$B$21,'Balizador da Meta'!$C$4:$C$21)</f>
        <v>0</v>
      </c>
      <c r="V1057" s="28">
        <f>V1049*_xlfn.XLOOKUP($L1057,'Balizador da Meta'!$B$4:$B$21,'Balizador da Meta'!$C$4:$C$21)</f>
        <v>0</v>
      </c>
      <c r="W1057" s="28">
        <f>W1049*_xlfn.XLOOKUP($L1057,'Balizador da Meta'!$B$4:$B$21,'Balizador da Meta'!$C$4:$C$21)</f>
        <v>0</v>
      </c>
      <c r="X1057" s="28">
        <f>X1049*_xlfn.XLOOKUP($L1057,'Balizador da Meta'!$B$4:$B$21,'Balizador da Meta'!$C$4:$C$21)</f>
        <v>0</v>
      </c>
      <c r="Y1057" s="28">
        <f>Y1049*_xlfn.XLOOKUP($L1057,'Balizador da Meta'!$B$4:$B$21,'Balizador da Meta'!$C$4:$C$21)</f>
        <v>0</v>
      </c>
      <c r="Z1057" s="30">
        <f t="shared" si="253"/>
        <v>0</v>
      </c>
      <c r="AA1057" s="29"/>
      <c r="AB1057" s="31">
        <f>SUMIFS('Historico - FAT'!AK:AK,'Historico - FAT'!$K:$K,Faturamento!$L1057,'Historico - FAT'!$I:$I,Faturamento!$J1057,'Historico - FAT'!$G:$G,Faturamento!$H1057)</f>
        <v>0</v>
      </c>
      <c r="AC1057" s="31">
        <f>SUMIFS('Historico - FAT'!AL:AL,'Historico - FAT'!$K:$K,Faturamento!$L1057,'Historico - FAT'!$I:$I,Faturamento!$J1057,'Historico - FAT'!$G:$G,Faturamento!$H1057)</f>
        <v>0</v>
      </c>
      <c r="AD1057" s="31">
        <f>SUMIFS('Historico - FAT'!AM:AM,'Historico - FAT'!$K:$K,Faturamento!$L1057,'Historico - FAT'!$I:$I,Faturamento!$J1057,'Historico - FAT'!$G:$G,Faturamento!$H1057)</f>
        <v>0</v>
      </c>
      <c r="AE1057" s="27">
        <f>SUMIFS('Historico - FAT'!AN:AN,'Historico - FAT'!$K:$K,Faturamento!$L1057,'Historico - FAT'!$I:$I,Faturamento!$J1057,'Historico - FAT'!$G:$G,Faturamento!$H1057)</f>
        <v>0</v>
      </c>
      <c r="AG1057" s="24" t="str">
        <f t="shared" si="240"/>
        <v/>
      </c>
      <c r="AH1057" s="24" t="str">
        <f t="shared" si="241"/>
        <v/>
      </c>
      <c r="AI1057" s="24" t="str">
        <f t="shared" si="242"/>
        <v/>
      </c>
    </row>
    <row r="1058" spans="1:35" hidden="1" x14ac:dyDescent="0.3">
      <c r="A1058" s="2" t="str">
        <f t="shared" si="239"/>
        <v>NÃO</v>
      </c>
      <c r="B1058" s="2">
        <v>1000184670</v>
      </c>
      <c r="C1058" s="2" t="s">
        <v>147</v>
      </c>
      <c r="D1058" s="4">
        <v>1000186197</v>
      </c>
      <c r="E1058" s="4" t="s">
        <v>166</v>
      </c>
      <c r="F1058" s="2">
        <v>1000184757</v>
      </c>
      <c r="G1058" s="2" t="s">
        <v>62</v>
      </c>
      <c r="H1058" s="4">
        <v>1000189800</v>
      </c>
      <c r="I1058" s="4" t="s">
        <v>95</v>
      </c>
      <c r="J1058" s="2">
        <v>1000189270</v>
      </c>
      <c r="K1058" s="2" t="s">
        <v>34</v>
      </c>
      <c r="L1058" s="4" t="s">
        <v>18</v>
      </c>
      <c r="M1058" s="4" t="str">
        <f t="shared" si="247"/>
        <v>1000184670100018619710001898001000189270LANCHES</v>
      </c>
      <c r="N1058" s="28">
        <f>N1049*_xlfn.XLOOKUP($L1058,'Balizador da Meta'!$B$4:$B$21,'Balizador da Meta'!$C$4:$C$21)</f>
        <v>30</v>
      </c>
      <c r="O1058" s="28">
        <f>O1049*_xlfn.XLOOKUP($L1058,'Balizador da Meta'!$B$4:$B$21,'Balizador da Meta'!$C$4:$C$21)</f>
        <v>30</v>
      </c>
      <c r="P1058" s="28">
        <f>P1049*_xlfn.XLOOKUP($L1058,'Balizador da Meta'!$B$4:$B$21,'Balizador da Meta'!$C$4:$C$21)</f>
        <v>30</v>
      </c>
      <c r="Q1058" s="28">
        <f>Q1049*_xlfn.XLOOKUP($L1058,'Balizador da Meta'!$B$4:$B$21,'Balizador da Meta'!$C$4:$C$21)</f>
        <v>30</v>
      </c>
      <c r="R1058" s="28">
        <f>R1049*_xlfn.XLOOKUP($L1058,'Balizador da Meta'!$B$4:$B$21,'Balizador da Meta'!$C$4:$C$21)</f>
        <v>30</v>
      </c>
      <c r="S1058" s="28">
        <f>S1049*_xlfn.XLOOKUP($L1058,'Balizador da Meta'!$B$4:$B$21,'Balizador da Meta'!$C$4:$C$21)</f>
        <v>30</v>
      </c>
      <c r="T1058" s="28">
        <f>T1049*_xlfn.XLOOKUP($L1058,'Balizador da Meta'!$B$4:$B$21,'Balizador da Meta'!$C$4:$C$21)</f>
        <v>30</v>
      </c>
      <c r="U1058" s="28">
        <f>U1049*_xlfn.XLOOKUP($L1058,'Balizador da Meta'!$B$4:$B$21,'Balizador da Meta'!$C$4:$C$21)</f>
        <v>30</v>
      </c>
      <c r="V1058" s="28">
        <f>V1049*_xlfn.XLOOKUP($L1058,'Balizador da Meta'!$B$4:$B$21,'Balizador da Meta'!$C$4:$C$21)</f>
        <v>30</v>
      </c>
      <c r="W1058" s="28">
        <f>W1049*_xlfn.XLOOKUP($L1058,'Balizador da Meta'!$B$4:$B$21,'Balizador da Meta'!$C$4:$C$21)</f>
        <v>30</v>
      </c>
      <c r="X1058" s="28">
        <f>X1049*_xlfn.XLOOKUP($L1058,'Balizador da Meta'!$B$4:$B$21,'Balizador da Meta'!$C$4:$C$21)</f>
        <v>30</v>
      </c>
      <c r="Y1058" s="28">
        <f>Y1049*_xlfn.XLOOKUP($L1058,'Balizador da Meta'!$B$4:$B$21,'Balizador da Meta'!$C$4:$C$21)</f>
        <v>30</v>
      </c>
      <c r="Z1058" s="30">
        <f t="shared" si="253"/>
        <v>360</v>
      </c>
      <c r="AA1058" s="29"/>
      <c r="AB1058" s="31">
        <f>SUMIFS('Historico - FAT'!AK:AK,'Historico - FAT'!$K:$K,Faturamento!$L1058,'Historico - FAT'!$I:$I,Faturamento!$J1058,'Historico - FAT'!$G:$G,Faturamento!$H1058)</f>
        <v>0</v>
      </c>
      <c r="AC1058" s="31">
        <f>SUMIFS('Historico - FAT'!AL:AL,'Historico - FAT'!$K:$K,Faturamento!$L1058,'Historico - FAT'!$I:$I,Faturamento!$J1058,'Historico - FAT'!$G:$G,Faturamento!$H1058)</f>
        <v>5.3999999999999995</v>
      </c>
      <c r="AD1058" s="31">
        <f>SUMIFS('Historico - FAT'!AM:AM,'Historico - FAT'!$K:$K,Faturamento!$L1058,'Historico - FAT'!$I:$I,Faturamento!$J1058,'Historico - FAT'!$G:$G,Faturamento!$H1058)</f>
        <v>10.799999999999999</v>
      </c>
      <c r="AE1058" s="27">
        <f>SUMIFS('Historico - FAT'!AN:AN,'Historico - FAT'!$K:$K,Faturamento!$L1058,'Historico - FAT'!$I:$I,Faturamento!$J1058,'Historico - FAT'!$G:$G,Faturamento!$H1058)</f>
        <v>6.4799999999999995</v>
      </c>
      <c r="AG1058" s="24">
        <f t="shared" si="240"/>
        <v>1</v>
      </c>
      <c r="AH1058" s="24">
        <f t="shared" si="241"/>
        <v>0.82000000000000006</v>
      </c>
      <c r="AI1058" s="24">
        <f t="shared" si="242"/>
        <v>0.64000000000000012</v>
      </c>
    </row>
    <row r="1059" spans="1:35" hidden="1" x14ac:dyDescent="0.3">
      <c r="A1059" s="2" t="str">
        <f t="shared" si="239"/>
        <v>NÃO</v>
      </c>
      <c r="B1059" s="2">
        <v>1000184670</v>
      </c>
      <c r="C1059" s="2" t="s">
        <v>147</v>
      </c>
      <c r="D1059" s="4">
        <v>1000186197</v>
      </c>
      <c r="E1059" s="4" t="s">
        <v>166</v>
      </c>
      <c r="F1059" s="2">
        <v>1000184757</v>
      </c>
      <c r="G1059" s="2" t="s">
        <v>62</v>
      </c>
      <c r="H1059" s="4">
        <v>1000189800</v>
      </c>
      <c r="I1059" s="4" t="s">
        <v>95</v>
      </c>
      <c r="J1059" s="2">
        <v>1000189270</v>
      </c>
      <c r="K1059" s="2" t="s">
        <v>34</v>
      </c>
      <c r="L1059" s="4" t="s">
        <v>29</v>
      </c>
      <c r="M1059" s="4" t="str">
        <f t="shared" si="247"/>
        <v>1000184670100018619710001898001000189270MAIS GRANEL</v>
      </c>
      <c r="N1059" s="28">
        <f>N1049*_xlfn.XLOOKUP($L1059,'Balizador da Meta'!$B$4:$B$21,'Balizador da Meta'!$C$4:$C$21)</f>
        <v>960</v>
      </c>
      <c r="O1059" s="28">
        <f>O1049*_xlfn.XLOOKUP($L1059,'Balizador da Meta'!$B$4:$B$21,'Balizador da Meta'!$C$4:$C$21)</f>
        <v>960</v>
      </c>
      <c r="P1059" s="28">
        <f>P1049*_xlfn.XLOOKUP($L1059,'Balizador da Meta'!$B$4:$B$21,'Balizador da Meta'!$C$4:$C$21)</f>
        <v>960</v>
      </c>
      <c r="Q1059" s="28">
        <f>Q1049*_xlfn.XLOOKUP($L1059,'Balizador da Meta'!$B$4:$B$21,'Balizador da Meta'!$C$4:$C$21)</f>
        <v>960</v>
      </c>
      <c r="R1059" s="28">
        <f>R1049*_xlfn.XLOOKUP($L1059,'Balizador da Meta'!$B$4:$B$21,'Balizador da Meta'!$C$4:$C$21)</f>
        <v>960</v>
      </c>
      <c r="S1059" s="28">
        <f>S1049*_xlfn.XLOOKUP($L1059,'Balizador da Meta'!$B$4:$B$21,'Balizador da Meta'!$C$4:$C$21)</f>
        <v>960</v>
      </c>
      <c r="T1059" s="28">
        <f>T1049*_xlfn.XLOOKUP($L1059,'Balizador da Meta'!$B$4:$B$21,'Balizador da Meta'!$C$4:$C$21)</f>
        <v>960</v>
      </c>
      <c r="U1059" s="28">
        <f>U1049*_xlfn.XLOOKUP($L1059,'Balizador da Meta'!$B$4:$B$21,'Balizador da Meta'!$C$4:$C$21)</f>
        <v>960</v>
      </c>
      <c r="V1059" s="28">
        <f>V1049*_xlfn.XLOOKUP($L1059,'Balizador da Meta'!$B$4:$B$21,'Balizador da Meta'!$C$4:$C$21)</f>
        <v>960</v>
      </c>
      <c r="W1059" s="28">
        <f>W1049*_xlfn.XLOOKUP($L1059,'Balizador da Meta'!$B$4:$B$21,'Balizador da Meta'!$C$4:$C$21)</f>
        <v>960</v>
      </c>
      <c r="X1059" s="28">
        <f>X1049*_xlfn.XLOOKUP($L1059,'Balizador da Meta'!$B$4:$B$21,'Balizador da Meta'!$C$4:$C$21)</f>
        <v>960</v>
      </c>
      <c r="Y1059" s="28">
        <f>Y1049*_xlfn.XLOOKUP($L1059,'Balizador da Meta'!$B$4:$B$21,'Balizador da Meta'!$C$4:$C$21)</f>
        <v>960</v>
      </c>
      <c r="Z1059" s="30">
        <f t="shared" si="253"/>
        <v>11520</v>
      </c>
      <c r="AA1059" s="29"/>
      <c r="AB1059" s="31">
        <f>SUMIFS('Historico - FAT'!AK:AK,'Historico - FAT'!$K:$K,Faturamento!$L1059,'Historico - FAT'!$I:$I,Faturamento!$J1059,'Historico - FAT'!$G:$G,Faturamento!$H1059)</f>
        <v>0</v>
      </c>
      <c r="AC1059" s="31">
        <f>SUMIFS('Historico - FAT'!AL:AL,'Historico - FAT'!$K:$K,Faturamento!$L1059,'Historico - FAT'!$I:$I,Faturamento!$J1059,'Historico - FAT'!$G:$G,Faturamento!$H1059)</f>
        <v>150.03</v>
      </c>
      <c r="AD1059" s="31">
        <f>SUMIFS('Historico - FAT'!AM:AM,'Historico - FAT'!$K:$K,Faturamento!$L1059,'Historico - FAT'!$I:$I,Faturamento!$J1059,'Historico - FAT'!$G:$G,Faturamento!$H1059)</f>
        <v>300.06</v>
      </c>
      <c r="AE1059" s="27">
        <f>SUMIFS('Historico - FAT'!AN:AN,'Historico - FAT'!$K:$K,Faturamento!$L1059,'Historico - FAT'!$I:$I,Faturamento!$J1059,'Historico - FAT'!$G:$G,Faturamento!$H1059)</f>
        <v>180.036</v>
      </c>
      <c r="AG1059" s="24">
        <f t="shared" si="240"/>
        <v>1</v>
      </c>
      <c r="AH1059" s="24">
        <f t="shared" si="241"/>
        <v>0.84371875000000007</v>
      </c>
      <c r="AI1059" s="24">
        <f t="shared" si="242"/>
        <v>0.68743750000000003</v>
      </c>
    </row>
    <row r="1060" spans="1:35" hidden="1" x14ac:dyDescent="0.3">
      <c r="A1060" s="2" t="str">
        <f t="shared" si="239"/>
        <v>NÃO</v>
      </c>
      <c r="B1060" s="2">
        <v>1000184670</v>
      </c>
      <c r="C1060" s="2" t="s">
        <v>147</v>
      </c>
      <c r="D1060" s="4">
        <v>1000186197</v>
      </c>
      <c r="E1060" s="4" t="s">
        <v>166</v>
      </c>
      <c r="F1060" s="2">
        <v>1000184757</v>
      </c>
      <c r="G1060" s="2" t="s">
        <v>62</v>
      </c>
      <c r="H1060" s="4">
        <v>1000189800</v>
      </c>
      <c r="I1060" s="4" t="s">
        <v>95</v>
      </c>
      <c r="J1060" s="2">
        <v>1000189270</v>
      </c>
      <c r="K1060" s="2" t="s">
        <v>34</v>
      </c>
      <c r="L1060" s="4" t="s">
        <v>21</v>
      </c>
      <c r="M1060" s="4" t="str">
        <f t="shared" si="247"/>
        <v>1000184670100018619710001898001000189270NATURATTA</v>
      </c>
      <c r="N1060" s="28">
        <f>N1049*_xlfn.XLOOKUP($L1060,'Balizador da Meta'!$B$4:$B$21,'Balizador da Meta'!$C$4:$C$21)</f>
        <v>150</v>
      </c>
      <c r="O1060" s="28">
        <f>O1049*_xlfn.XLOOKUP($L1060,'Balizador da Meta'!$B$4:$B$21,'Balizador da Meta'!$C$4:$C$21)</f>
        <v>150</v>
      </c>
      <c r="P1060" s="28">
        <f>P1049*_xlfn.XLOOKUP($L1060,'Balizador da Meta'!$B$4:$B$21,'Balizador da Meta'!$C$4:$C$21)</f>
        <v>150</v>
      </c>
      <c r="Q1060" s="28">
        <f>Q1049*_xlfn.XLOOKUP($L1060,'Balizador da Meta'!$B$4:$B$21,'Balizador da Meta'!$C$4:$C$21)</f>
        <v>150</v>
      </c>
      <c r="R1060" s="28">
        <f>R1049*_xlfn.XLOOKUP($L1060,'Balizador da Meta'!$B$4:$B$21,'Balizador da Meta'!$C$4:$C$21)</f>
        <v>150</v>
      </c>
      <c r="S1060" s="28">
        <f>S1049*_xlfn.XLOOKUP($L1060,'Balizador da Meta'!$B$4:$B$21,'Balizador da Meta'!$C$4:$C$21)</f>
        <v>150</v>
      </c>
      <c r="T1060" s="28">
        <f>T1049*_xlfn.XLOOKUP($L1060,'Balizador da Meta'!$B$4:$B$21,'Balizador da Meta'!$C$4:$C$21)</f>
        <v>150</v>
      </c>
      <c r="U1060" s="28">
        <f>U1049*_xlfn.XLOOKUP($L1060,'Balizador da Meta'!$B$4:$B$21,'Balizador da Meta'!$C$4:$C$21)</f>
        <v>150</v>
      </c>
      <c r="V1060" s="28">
        <f>V1049*_xlfn.XLOOKUP($L1060,'Balizador da Meta'!$B$4:$B$21,'Balizador da Meta'!$C$4:$C$21)</f>
        <v>150</v>
      </c>
      <c r="W1060" s="28">
        <f>W1049*_xlfn.XLOOKUP($L1060,'Balizador da Meta'!$B$4:$B$21,'Balizador da Meta'!$C$4:$C$21)</f>
        <v>150</v>
      </c>
      <c r="X1060" s="28">
        <f>X1049*_xlfn.XLOOKUP($L1060,'Balizador da Meta'!$B$4:$B$21,'Balizador da Meta'!$C$4:$C$21)</f>
        <v>150</v>
      </c>
      <c r="Y1060" s="28">
        <f>Y1049*_xlfn.XLOOKUP($L1060,'Balizador da Meta'!$B$4:$B$21,'Balizador da Meta'!$C$4:$C$21)</f>
        <v>150</v>
      </c>
      <c r="Z1060" s="30">
        <f t="shared" si="253"/>
        <v>1800</v>
      </c>
      <c r="AA1060" s="29"/>
      <c r="AB1060" s="31">
        <f>SUMIFS('Historico - FAT'!AK:AK,'Historico - FAT'!$K:$K,Faturamento!$L1060,'Historico - FAT'!$I:$I,Faturamento!$J1060,'Historico - FAT'!$G:$G,Faturamento!$H1060)</f>
        <v>0</v>
      </c>
      <c r="AC1060" s="31">
        <f>SUMIFS('Historico - FAT'!AL:AL,'Historico - FAT'!$K:$K,Faturamento!$L1060,'Historico - FAT'!$I:$I,Faturamento!$J1060,'Historico - FAT'!$G:$G,Faturamento!$H1060)</f>
        <v>0</v>
      </c>
      <c r="AD1060" s="31">
        <f>SUMIFS('Historico - FAT'!AM:AM,'Historico - FAT'!$K:$K,Faturamento!$L1060,'Historico - FAT'!$I:$I,Faturamento!$J1060,'Historico - FAT'!$G:$G,Faturamento!$H1060)</f>
        <v>0</v>
      </c>
      <c r="AE1060" s="27">
        <f>SUMIFS('Historico - FAT'!AN:AN,'Historico - FAT'!$K:$K,Faturamento!$L1060,'Historico - FAT'!$I:$I,Faturamento!$J1060,'Historico - FAT'!$G:$G,Faturamento!$H1060)</f>
        <v>0</v>
      </c>
      <c r="AG1060" s="24">
        <f t="shared" si="240"/>
        <v>1</v>
      </c>
      <c r="AH1060" s="24">
        <f t="shared" si="241"/>
        <v>1</v>
      </c>
      <c r="AI1060" s="24">
        <f t="shared" si="242"/>
        <v>1</v>
      </c>
    </row>
    <row r="1061" spans="1:35" hidden="1" x14ac:dyDescent="0.3">
      <c r="A1061" s="2" t="str">
        <f t="shared" si="239"/>
        <v>NÃO</v>
      </c>
      <c r="B1061" s="2">
        <v>1000184670</v>
      </c>
      <c r="C1061" s="2" t="s">
        <v>147</v>
      </c>
      <c r="D1061" s="4">
        <v>1000186197</v>
      </c>
      <c r="E1061" s="4" t="s">
        <v>166</v>
      </c>
      <c r="F1061" s="2">
        <v>1000184757</v>
      </c>
      <c r="G1061" s="2" t="s">
        <v>62</v>
      </c>
      <c r="H1061" s="4">
        <v>1000189800</v>
      </c>
      <c r="I1061" s="4" t="s">
        <v>95</v>
      </c>
      <c r="J1061" s="2">
        <v>1000189270</v>
      </c>
      <c r="K1061" s="2" t="s">
        <v>34</v>
      </c>
      <c r="L1061" s="4" t="s">
        <v>20</v>
      </c>
      <c r="M1061" s="4" t="str">
        <f t="shared" si="247"/>
        <v>1000184670100018619710001898001000189270REEMBALADOS</v>
      </c>
      <c r="N1061" s="28">
        <f>N1049*_xlfn.XLOOKUP($L1061,'Balizador da Meta'!$B$4:$B$21,'Balizador da Meta'!$C$4:$C$21)</f>
        <v>120</v>
      </c>
      <c r="O1061" s="28">
        <f>O1049*_xlfn.XLOOKUP($L1061,'Balizador da Meta'!$B$4:$B$21,'Balizador da Meta'!$C$4:$C$21)</f>
        <v>120</v>
      </c>
      <c r="P1061" s="28">
        <f>P1049*_xlfn.XLOOKUP($L1061,'Balizador da Meta'!$B$4:$B$21,'Balizador da Meta'!$C$4:$C$21)</f>
        <v>120</v>
      </c>
      <c r="Q1061" s="28">
        <f>Q1049*_xlfn.XLOOKUP($L1061,'Balizador da Meta'!$B$4:$B$21,'Balizador da Meta'!$C$4:$C$21)</f>
        <v>120</v>
      </c>
      <c r="R1061" s="28">
        <f>R1049*_xlfn.XLOOKUP($L1061,'Balizador da Meta'!$B$4:$B$21,'Balizador da Meta'!$C$4:$C$21)</f>
        <v>120</v>
      </c>
      <c r="S1061" s="28">
        <f>S1049*_xlfn.XLOOKUP($L1061,'Balizador da Meta'!$B$4:$B$21,'Balizador da Meta'!$C$4:$C$21)</f>
        <v>120</v>
      </c>
      <c r="T1061" s="28">
        <f>T1049*_xlfn.XLOOKUP($L1061,'Balizador da Meta'!$B$4:$B$21,'Balizador da Meta'!$C$4:$C$21)</f>
        <v>120</v>
      </c>
      <c r="U1061" s="28">
        <f>U1049*_xlfn.XLOOKUP($L1061,'Balizador da Meta'!$B$4:$B$21,'Balizador da Meta'!$C$4:$C$21)</f>
        <v>120</v>
      </c>
      <c r="V1061" s="28">
        <f>V1049*_xlfn.XLOOKUP($L1061,'Balizador da Meta'!$B$4:$B$21,'Balizador da Meta'!$C$4:$C$21)</f>
        <v>120</v>
      </c>
      <c r="W1061" s="28">
        <f>W1049*_xlfn.XLOOKUP($L1061,'Balizador da Meta'!$B$4:$B$21,'Balizador da Meta'!$C$4:$C$21)</f>
        <v>120</v>
      </c>
      <c r="X1061" s="28">
        <f>X1049*_xlfn.XLOOKUP($L1061,'Balizador da Meta'!$B$4:$B$21,'Balizador da Meta'!$C$4:$C$21)</f>
        <v>120</v>
      </c>
      <c r="Y1061" s="28">
        <f>Y1049*_xlfn.XLOOKUP($L1061,'Balizador da Meta'!$B$4:$B$21,'Balizador da Meta'!$C$4:$C$21)</f>
        <v>120</v>
      </c>
      <c r="Z1061" s="30">
        <f t="shared" si="253"/>
        <v>1440</v>
      </c>
      <c r="AA1061" s="29"/>
      <c r="AB1061" s="31">
        <f>SUMIFS('Historico - FAT'!AK:AK,'Historico - FAT'!$K:$K,Faturamento!$L1061,'Historico - FAT'!$I:$I,Faturamento!$J1061,'Historico - FAT'!$G:$G,Faturamento!$H1061)</f>
        <v>0</v>
      </c>
      <c r="AC1061" s="31">
        <f>SUMIFS('Historico - FAT'!AL:AL,'Historico - FAT'!$K:$K,Faturamento!$L1061,'Historico - FAT'!$I:$I,Faturamento!$J1061,'Historico - FAT'!$G:$G,Faturamento!$H1061)</f>
        <v>0</v>
      </c>
      <c r="AD1061" s="31">
        <f>SUMIFS('Historico - FAT'!AM:AM,'Historico - FAT'!$K:$K,Faturamento!$L1061,'Historico - FAT'!$I:$I,Faturamento!$J1061,'Historico - FAT'!$G:$G,Faturamento!$H1061)</f>
        <v>0</v>
      </c>
      <c r="AE1061" s="27">
        <f>SUMIFS('Historico - FAT'!AN:AN,'Historico - FAT'!$K:$K,Faturamento!$L1061,'Historico - FAT'!$I:$I,Faturamento!$J1061,'Historico - FAT'!$G:$G,Faturamento!$H1061)</f>
        <v>0</v>
      </c>
      <c r="AG1061" s="24">
        <f t="shared" si="240"/>
        <v>1</v>
      </c>
      <c r="AH1061" s="24">
        <f t="shared" si="241"/>
        <v>1</v>
      </c>
      <c r="AI1061" s="24">
        <f t="shared" si="242"/>
        <v>1</v>
      </c>
    </row>
    <row r="1062" spans="1:35" hidden="1" x14ac:dyDescent="0.3">
      <c r="A1062" s="2" t="str">
        <f t="shared" si="239"/>
        <v>NÃO</v>
      </c>
      <c r="B1062" s="2">
        <v>1000184670</v>
      </c>
      <c r="C1062" s="2" t="s">
        <v>147</v>
      </c>
      <c r="D1062" s="4">
        <v>1000186197</v>
      </c>
      <c r="E1062" s="4" t="s">
        <v>166</v>
      </c>
      <c r="F1062" s="2">
        <v>1000184757</v>
      </c>
      <c r="G1062" s="2" t="s">
        <v>62</v>
      </c>
      <c r="H1062" s="4">
        <v>1000189800</v>
      </c>
      <c r="I1062" s="4" t="s">
        <v>95</v>
      </c>
      <c r="J1062" s="2">
        <v>1000189270</v>
      </c>
      <c r="K1062" s="2" t="s">
        <v>34</v>
      </c>
      <c r="L1062" s="4" t="s">
        <v>22</v>
      </c>
      <c r="M1062" s="4" t="str">
        <f t="shared" si="247"/>
        <v>1000184670100018619710001898001000189270S GLUTEN</v>
      </c>
      <c r="N1062" s="28">
        <f>N1049*_xlfn.XLOOKUP($L1062,'Balizador da Meta'!$B$4:$B$21,'Balizador da Meta'!$C$4:$C$21)</f>
        <v>120</v>
      </c>
      <c r="O1062" s="28">
        <f>O1049*_xlfn.XLOOKUP($L1062,'Balizador da Meta'!$B$4:$B$21,'Balizador da Meta'!$C$4:$C$21)</f>
        <v>120</v>
      </c>
      <c r="P1062" s="28">
        <f>P1049*_xlfn.XLOOKUP($L1062,'Balizador da Meta'!$B$4:$B$21,'Balizador da Meta'!$C$4:$C$21)</f>
        <v>120</v>
      </c>
      <c r="Q1062" s="28">
        <f>Q1049*_xlfn.XLOOKUP($L1062,'Balizador da Meta'!$B$4:$B$21,'Balizador da Meta'!$C$4:$C$21)</f>
        <v>120</v>
      </c>
      <c r="R1062" s="28">
        <f>R1049*_xlfn.XLOOKUP($L1062,'Balizador da Meta'!$B$4:$B$21,'Balizador da Meta'!$C$4:$C$21)</f>
        <v>120</v>
      </c>
      <c r="S1062" s="28">
        <f>S1049*_xlfn.XLOOKUP($L1062,'Balizador da Meta'!$B$4:$B$21,'Balizador da Meta'!$C$4:$C$21)</f>
        <v>120</v>
      </c>
      <c r="T1062" s="28">
        <f>T1049*_xlfn.XLOOKUP($L1062,'Balizador da Meta'!$B$4:$B$21,'Balizador da Meta'!$C$4:$C$21)</f>
        <v>120</v>
      </c>
      <c r="U1062" s="28">
        <f>U1049*_xlfn.XLOOKUP($L1062,'Balizador da Meta'!$B$4:$B$21,'Balizador da Meta'!$C$4:$C$21)</f>
        <v>120</v>
      </c>
      <c r="V1062" s="28">
        <f>V1049*_xlfn.XLOOKUP($L1062,'Balizador da Meta'!$B$4:$B$21,'Balizador da Meta'!$C$4:$C$21)</f>
        <v>120</v>
      </c>
      <c r="W1062" s="28">
        <f>W1049*_xlfn.XLOOKUP($L1062,'Balizador da Meta'!$B$4:$B$21,'Balizador da Meta'!$C$4:$C$21)</f>
        <v>120</v>
      </c>
      <c r="X1062" s="28">
        <f>X1049*_xlfn.XLOOKUP($L1062,'Balizador da Meta'!$B$4:$B$21,'Balizador da Meta'!$C$4:$C$21)</f>
        <v>120</v>
      </c>
      <c r="Y1062" s="28">
        <f>Y1049*_xlfn.XLOOKUP($L1062,'Balizador da Meta'!$B$4:$B$21,'Balizador da Meta'!$C$4:$C$21)</f>
        <v>120</v>
      </c>
      <c r="Z1062" s="30">
        <f t="shared" si="253"/>
        <v>1440</v>
      </c>
      <c r="AA1062" s="29"/>
      <c r="AB1062" s="31">
        <f>SUMIFS('Historico - FAT'!AK:AK,'Historico - FAT'!$K:$K,Faturamento!$L1062,'Historico - FAT'!$I:$I,Faturamento!$J1062,'Historico - FAT'!$G:$G,Faturamento!$H1062)</f>
        <v>0</v>
      </c>
      <c r="AC1062" s="31">
        <f>SUMIFS('Historico - FAT'!AL:AL,'Historico - FAT'!$K:$K,Faturamento!$L1062,'Historico - FAT'!$I:$I,Faturamento!$J1062,'Historico - FAT'!$G:$G,Faturamento!$H1062)</f>
        <v>0</v>
      </c>
      <c r="AD1062" s="31">
        <f>SUMIFS('Historico - FAT'!AM:AM,'Historico - FAT'!$K:$K,Faturamento!$L1062,'Historico - FAT'!$I:$I,Faturamento!$J1062,'Historico - FAT'!$G:$G,Faturamento!$H1062)</f>
        <v>0</v>
      </c>
      <c r="AE1062" s="27">
        <f>SUMIFS('Historico - FAT'!AN:AN,'Historico - FAT'!$K:$K,Faturamento!$L1062,'Historico - FAT'!$I:$I,Faturamento!$J1062,'Historico - FAT'!$G:$G,Faturamento!$H1062)</f>
        <v>0</v>
      </c>
      <c r="AG1062" s="24">
        <f t="shared" si="240"/>
        <v>1</v>
      </c>
      <c r="AH1062" s="24">
        <f t="shared" si="241"/>
        <v>1</v>
      </c>
      <c r="AI1062" s="24">
        <f t="shared" si="242"/>
        <v>1</v>
      </c>
    </row>
    <row r="1063" spans="1:35" hidden="1" x14ac:dyDescent="0.3">
      <c r="A1063" s="2" t="str">
        <f t="shared" si="239"/>
        <v>NÃO</v>
      </c>
      <c r="B1063" s="2">
        <v>1000184670</v>
      </c>
      <c r="C1063" s="2" t="s">
        <v>147</v>
      </c>
      <c r="D1063" s="4">
        <v>1000186197</v>
      </c>
      <c r="E1063" s="4" t="s">
        <v>166</v>
      </c>
      <c r="F1063" s="2">
        <v>1000184757</v>
      </c>
      <c r="G1063" s="2" t="s">
        <v>62</v>
      </c>
      <c r="H1063" s="4">
        <v>1000189800</v>
      </c>
      <c r="I1063" s="4" t="s">
        <v>95</v>
      </c>
      <c r="J1063" s="2">
        <v>1000189270</v>
      </c>
      <c r="K1063" s="2" t="s">
        <v>34</v>
      </c>
      <c r="L1063" s="4" t="s">
        <v>23</v>
      </c>
      <c r="M1063" s="4" t="str">
        <f t="shared" si="247"/>
        <v>1000184670100018619710001898001000189270SABORES DO CAMPO</v>
      </c>
      <c r="N1063" s="28">
        <f>N1049*_xlfn.XLOOKUP($L1063,'Balizador da Meta'!$B$4:$B$21,'Balizador da Meta'!$C$4:$C$21)</f>
        <v>0</v>
      </c>
      <c r="O1063" s="28">
        <f>O1049*_xlfn.XLOOKUP($L1063,'Balizador da Meta'!$B$4:$B$21,'Balizador da Meta'!$C$4:$C$21)</f>
        <v>0</v>
      </c>
      <c r="P1063" s="28">
        <f>P1049*_xlfn.XLOOKUP($L1063,'Balizador da Meta'!$B$4:$B$21,'Balizador da Meta'!$C$4:$C$21)</f>
        <v>0</v>
      </c>
      <c r="Q1063" s="28">
        <f>Q1049*_xlfn.XLOOKUP($L1063,'Balizador da Meta'!$B$4:$B$21,'Balizador da Meta'!$C$4:$C$21)</f>
        <v>0</v>
      </c>
      <c r="R1063" s="28">
        <f>R1049*_xlfn.XLOOKUP($L1063,'Balizador da Meta'!$B$4:$B$21,'Balizador da Meta'!$C$4:$C$21)</f>
        <v>0</v>
      </c>
      <c r="S1063" s="28">
        <f>S1049*_xlfn.XLOOKUP($L1063,'Balizador da Meta'!$B$4:$B$21,'Balizador da Meta'!$C$4:$C$21)</f>
        <v>0</v>
      </c>
      <c r="T1063" s="28">
        <f>T1049*_xlfn.XLOOKUP($L1063,'Balizador da Meta'!$B$4:$B$21,'Balizador da Meta'!$C$4:$C$21)</f>
        <v>0</v>
      </c>
      <c r="U1063" s="28">
        <f>U1049*_xlfn.XLOOKUP($L1063,'Balizador da Meta'!$B$4:$B$21,'Balizador da Meta'!$C$4:$C$21)</f>
        <v>0</v>
      </c>
      <c r="V1063" s="28">
        <f>V1049*_xlfn.XLOOKUP($L1063,'Balizador da Meta'!$B$4:$B$21,'Balizador da Meta'!$C$4:$C$21)</f>
        <v>0</v>
      </c>
      <c r="W1063" s="28">
        <f>W1049*_xlfn.XLOOKUP($L1063,'Balizador da Meta'!$B$4:$B$21,'Balizador da Meta'!$C$4:$C$21)</f>
        <v>0</v>
      </c>
      <c r="X1063" s="28">
        <f>X1049*_xlfn.XLOOKUP($L1063,'Balizador da Meta'!$B$4:$B$21,'Balizador da Meta'!$C$4:$C$21)</f>
        <v>0</v>
      </c>
      <c r="Y1063" s="28">
        <f>Y1049*_xlfn.XLOOKUP($L1063,'Balizador da Meta'!$B$4:$B$21,'Balizador da Meta'!$C$4:$C$21)</f>
        <v>0</v>
      </c>
      <c r="Z1063" s="30">
        <f t="shared" si="253"/>
        <v>0</v>
      </c>
      <c r="AA1063" s="29"/>
      <c r="AB1063" s="31">
        <f>SUMIFS('Historico - FAT'!AK:AK,'Historico - FAT'!$K:$K,Faturamento!$L1063,'Historico - FAT'!$I:$I,Faturamento!$J1063,'Historico - FAT'!$G:$G,Faturamento!$H1063)</f>
        <v>0</v>
      </c>
      <c r="AC1063" s="31">
        <f>SUMIFS('Historico - FAT'!AL:AL,'Historico - FAT'!$K:$K,Faturamento!$L1063,'Historico - FAT'!$I:$I,Faturamento!$J1063,'Historico - FAT'!$G:$G,Faturamento!$H1063)</f>
        <v>0</v>
      </c>
      <c r="AD1063" s="31">
        <f>SUMIFS('Historico - FAT'!AM:AM,'Historico - FAT'!$K:$K,Faturamento!$L1063,'Historico - FAT'!$I:$I,Faturamento!$J1063,'Historico - FAT'!$G:$G,Faturamento!$H1063)</f>
        <v>0</v>
      </c>
      <c r="AE1063" s="27">
        <f>SUMIFS('Historico - FAT'!AN:AN,'Historico - FAT'!$K:$K,Faturamento!$L1063,'Historico - FAT'!$I:$I,Faturamento!$J1063,'Historico - FAT'!$G:$G,Faturamento!$H1063)</f>
        <v>0</v>
      </c>
      <c r="AG1063" s="24" t="str">
        <f t="shared" si="240"/>
        <v/>
      </c>
      <c r="AH1063" s="24" t="str">
        <f t="shared" si="241"/>
        <v/>
      </c>
      <c r="AI1063" s="24" t="str">
        <f t="shared" si="242"/>
        <v/>
      </c>
    </row>
    <row r="1064" spans="1:35" hidden="1" x14ac:dyDescent="0.3">
      <c r="A1064" s="2" t="str">
        <f t="shared" si="239"/>
        <v>NÃO</v>
      </c>
      <c r="B1064" s="2">
        <v>1000184670</v>
      </c>
      <c r="C1064" s="2" t="s">
        <v>147</v>
      </c>
      <c r="D1064" s="4">
        <v>1000186197</v>
      </c>
      <c r="E1064" s="4" t="s">
        <v>166</v>
      </c>
      <c r="F1064" s="2">
        <v>1000184757</v>
      </c>
      <c r="G1064" s="2" t="s">
        <v>62</v>
      </c>
      <c r="H1064" s="4">
        <v>1000189800</v>
      </c>
      <c r="I1064" s="4" t="s">
        <v>95</v>
      </c>
      <c r="J1064" s="2">
        <v>1000189270</v>
      </c>
      <c r="K1064" s="2" t="s">
        <v>34</v>
      </c>
      <c r="L1064" s="4" t="s">
        <v>28</v>
      </c>
      <c r="M1064" s="4" t="str">
        <f t="shared" si="247"/>
        <v>1000184670100018619710001898001000189270SAL</v>
      </c>
      <c r="N1064" s="28">
        <f>N1049*_xlfn.XLOOKUP($L1064,'Balizador da Meta'!$B$4:$B$21,'Balizador da Meta'!$C$4:$C$21)</f>
        <v>60</v>
      </c>
      <c r="O1064" s="28">
        <f>O1049*_xlfn.XLOOKUP($L1064,'Balizador da Meta'!$B$4:$B$21,'Balizador da Meta'!$C$4:$C$21)</f>
        <v>60</v>
      </c>
      <c r="P1064" s="28">
        <f>P1049*_xlfn.XLOOKUP($L1064,'Balizador da Meta'!$B$4:$B$21,'Balizador da Meta'!$C$4:$C$21)</f>
        <v>60</v>
      </c>
      <c r="Q1064" s="28">
        <f>Q1049*_xlfn.XLOOKUP($L1064,'Balizador da Meta'!$B$4:$B$21,'Balizador da Meta'!$C$4:$C$21)</f>
        <v>60</v>
      </c>
      <c r="R1064" s="28">
        <f>R1049*_xlfn.XLOOKUP($L1064,'Balizador da Meta'!$B$4:$B$21,'Balizador da Meta'!$C$4:$C$21)</f>
        <v>60</v>
      </c>
      <c r="S1064" s="28">
        <f>S1049*_xlfn.XLOOKUP($L1064,'Balizador da Meta'!$B$4:$B$21,'Balizador da Meta'!$C$4:$C$21)</f>
        <v>60</v>
      </c>
      <c r="T1064" s="28">
        <f>T1049*_xlfn.XLOOKUP($L1064,'Balizador da Meta'!$B$4:$B$21,'Balizador da Meta'!$C$4:$C$21)</f>
        <v>60</v>
      </c>
      <c r="U1064" s="28">
        <f>U1049*_xlfn.XLOOKUP($L1064,'Balizador da Meta'!$B$4:$B$21,'Balizador da Meta'!$C$4:$C$21)</f>
        <v>60</v>
      </c>
      <c r="V1064" s="28">
        <f>V1049*_xlfn.XLOOKUP($L1064,'Balizador da Meta'!$B$4:$B$21,'Balizador da Meta'!$C$4:$C$21)</f>
        <v>60</v>
      </c>
      <c r="W1064" s="28">
        <f>W1049*_xlfn.XLOOKUP($L1064,'Balizador da Meta'!$B$4:$B$21,'Balizador da Meta'!$C$4:$C$21)</f>
        <v>60</v>
      </c>
      <c r="X1064" s="28">
        <f>X1049*_xlfn.XLOOKUP($L1064,'Balizador da Meta'!$B$4:$B$21,'Balizador da Meta'!$C$4:$C$21)</f>
        <v>60</v>
      </c>
      <c r="Y1064" s="28">
        <f>Y1049*_xlfn.XLOOKUP($L1064,'Balizador da Meta'!$B$4:$B$21,'Balizador da Meta'!$C$4:$C$21)</f>
        <v>60</v>
      </c>
      <c r="Z1064" s="30">
        <f t="shared" si="253"/>
        <v>720</v>
      </c>
      <c r="AA1064" s="29"/>
      <c r="AB1064" s="31">
        <f>SUMIFS('Historico - FAT'!AK:AK,'Historico - FAT'!$K:$K,Faturamento!$L1064,'Historico - FAT'!$I:$I,Faturamento!$J1064,'Historico - FAT'!$G:$G,Faturamento!$H1064)</f>
        <v>0</v>
      </c>
      <c r="AC1064" s="31">
        <f>SUMIFS('Historico - FAT'!AL:AL,'Historico - FAT'!$K:$K,Faturamento!$L1064,'Historico - FAT'!$I:$I,Faturamento!$J1064,'Historico - FAT'!$G:$G,Faturamento!$H1064)</f>
        <v>0</v>
      </c>
      <c r="AD1064" s="31">
        <f>SUMIFS('Historico - FAT'!AM:AM,'Historico - FAT'!$K:$K,Faturamento!$L1064,'Historico - FAT'!$I:$I,Faturamento!$J1064,'Historico - FAT'!$G:$G,Faturamento!$H1064)</f>
        <v>0</v>
      </c>
      <c r="AE1064" s="27">
        <f>SUMIFS('Historico - FAT'!AN:AN,'Historico - FAT'!$K:$K,Faturamento!$L1064,'Historico - FAT'!$I:$I,Faturamento!$J1064,'Historico - FAT'!$G:$G,Faturamento!$H1064)</f>
        <v>0</v>
      </c>
      <c r="AG1064" s="24">
        <f t="shared" si="240"/>
        <v>1</v>
      </c>
      <c r="AH1064" s="24">
        <f t="shared" si="241"/>
        <v>1</v>
      </c>
      <c r="AI1064" s="24">
        <f t="shared" si="242"/>
        <v>1</v>
      </c>
    </row>
    <row r="1065" spans="1:35" hidden="1" x14ac:dyDescent="0.3">
      <c r="A1065" s="2" t="str">
        <f t="shared" si="239"/>
        <v>NÃO</v>
      </c>
      <c r="B1065" s="2">
        <v>1000184670</v>
      </c>
      <c r="C1065" s="2" t="s">
        <v>147</v>
      </c>
      <c r="D1065" s="4">
        <v>1000186197</v>
      </c>
      <c r="E1065" s="4" t="s">
        <v>166</v>
      </c>
      <c r="F1065" s="2">
        <v>1000184757</v>
      </c>
      <c r="G1065" s="2" t="s">
        <v>62</v>
      </c>
      <c r="H1065" s="4">
        <v>1000189800</v>
      </c>
      <c r="I1065" s="4" t="s">
        <v>95</v>
      </c>
      <c r="J1065" s="2">
        <v>1000189270</v>
      </c>
      <c r="K1065" s="2" t="s">
        <v>34</v>
      </c>
      <c r="L1065" s="4" t="s">
        <v>26</v>
      </c>
      <c r="M1065" s="4" t="str">
        <f t="shared" si="247"/>
        <v>1000184670100018619710001898001000189270SOULPRO</v>
      </c>
      <c r="N1065" s="28">
        <f>N1049*_xlfn.XLOOKUP($L1065,'Balizador da Meta'!$B$4:$B$21,'Balizador da Meta'!$C$4:$C$21)</f>
        <v>180</v>
      </c>
      <c r="O1065" s="28">
        <f>O1049*_xlfn.XLOOKUP($L1065,'Balizador da Meta'!$B$4:$B$21,'Balizador da Meta'!$C$4:$C$21)</f>
        <v>180</v>
      </c>
      <c r="P1065" s="28">
        <f>P1049*_xlfn.XLOOKUP($L1065,'Balizador da Meta'!$B$4:$B$21,'Balizador da Meta'!$C$4:$C$21)</f>
        <v>180</v>
      </c>
      <c r="Q1065" s="28">
        <f>Q1049*_xlfn.XLOOKUP($L1065,'Balizador da Meta'!$B$4:$B$21,'Balizador da Meta'!$C$4:$C$21)</f>
        <v>180</v>
      </c>
      <c r="R1065" s="28">
        <f>R1049*_xlfn.XLOOKUP($L1065,'Balizador da Meta'!$B$4:$B$21,'Balizador da Meta'!$C$4:$C$21)</f>
        <v>180</v>
      </c>
      <c r="S1065" s="28">
        <f>S1049*_xlfn.XLOOKUP($L1065,'Balizador da Meta'!$B$4:$B$21,'Balizador da Meta'!$C$4:$C$21)</f>
        <v>180</v>
      </c>
      <c r="T1065" s="28">
        <f>T1049*_xlfn.XLOOKUP($L1065,'Balizador da Meta'!$B$4:$B$21,'Balizador da Meta'!$C$4:$C$21)</f>
        <v>180</v>
      </c>
      <c r="U1065" s="28">
        <f>U1049*_xlfn.XLOOKUP($L1065,'Balizador da Meta'!$B$4:$B$21,'Balizador da Meta'!$C$4:$C$21)</f>
        <v>180</v>
      </c>
      <c r="V1065" s="28">
        <f>V1049*_xlfn.XLOOKUP($L1065,'Balizador da Meta'!$B$4:$B$21,'Balizador da Meta'!$C$4:$C$21)</f>
        <v>180</v>
      </c>
      <c r="W1065" s="28">
        <f>W1049*_xlfn.XLOOKUP($L1065,'Balizador da Meta'!$B$4:$B$21,'Balizador da Meta'!$C$4:$C$21)</f>
        <v>180</v>
      </c>
      <c r="X1065" s="28">
        <f>X1049*_xlfn.XLOOKUP($L1065,'Balizador da Meta'!$B$4:$B$21,'Balizador da Meta'!$C$4:$C$21)</f>
        <v>180</v>
      </c>
      <c r="Y1065" s="28">
        <f>Y1049*_xlfn.XLOOKUP($L1065,'Balizador da Meta'!$B$4:$B$21,'Balizador da Meta'!$C$4:$C$21)</f>
        <v>180</v>
      </c>
      <c r="Z1065" s="30">
        <f t="shared" si="253"/>
        <v>2160</v>
      </c>
      <c r="AA1065" s="29"/>
      <c r="AB1065" s="31">
        <f>SUMIFS('Historico - FAT'!AK:AK,'Historico - FAT'!$K:$K,Faturamento!$L1065,'Historico - FAT'!$I:$I,Faturamento!$J1065,'Historico - FAT'!$G:$G,Faturamento!$H1065)</f>
        <v>49.949999999999996</v>
      </c>
      <c r="AC1065" s="31">
        <f>SUMIFS('Historico - FAT'!AL:AL,'Historico - FAT'!$K:$K,Faturamento!$L1065,'Historico - FAT'!$I:$I,Faturamento!$J1065,'Historico - FAT'!$G:$G,Faturamento!$H1065)</f>
        <v>0</v>
      </c>
      <c r="AD1065" s="31">
        <f>SUMIFS('Historico - FAT'!AM:AM,'Historico - FAT'!$K:$K,Faturamento!$L1065,'Historico - FAT'!$I:$I,Faturamento!$J1065,'Historico - FAT'!$G:$G,Faturamento!$H1065)</f>
        <v>0</v>
      </c>
      <c r="AE1065" s="27">
        <f>SUMIFS('Historico - FAT'!AN:AN,'Historico - FAT'!$K:$K,Faturamento!$L1065,'Historico - FAT'!$I:$I,Faturamento!$J1065,'Historico - FAT'!$G:$G,Faturamento!$H1065)</f>
        <v>0</v>
      </c>
      <c r="AG1065" s="24">
        <f t="shared" si="240"/>
        <v>0.72250000000000003</v>
      </c>
      <c r="AH1065" s="24">
        <f t="shared" si="241"/>
        <v>1</v>
      </c>
      <c r="AI1065" s="24">
        <f t="shared" si="242"/>
        <v>1</v>
      </c>
    </row>
    <row r="1066" spans="1:35" hidden="1" x14ac:dyDescent="0.3">
      <c r="A1066" s="2" t="str">
        <f t="shared" si="239"/>
        <v>NÃO</v>
      </c>
      <c r="B1066" s="2">
        <v>1000184670</v>
      </c>
      <c r="C1066" s="2" t="s">
        <v>147</v>
      </c>
      <c r="D1066" s="4">
        <v>1000186197</v>
      </c>
      <c r="E1066" s="4" t="s">
        <v>166</v>
      </c>
      <c r="F1066" s="2">
        <v>1000184757</v>
      </c>
      <c r="G1066" s="2" t="s">
        <v>62</v>
      </c>
      <c r="H1066" s="4">
        <v>1000189800</v>
      </c>
      <c r="I1066" s="4" t="s">
        <v>95</v>
      </c>
      <c r="J1066" s="2">
        <v>1000189270</v>
      </c>
      <c r="K1066" s="2" t="s">
        <v>34</v>
      </c>
      <c r="L1066" s="4" t="s">
        <v>27</v>
      </c>
      <c r="M1066" s="4" t="str">
        <f t="shared" si="247"/>
        <v>1000184670100018619710001898001000189270TAMARA</v>
      </c>
      <c r="N1066" s="28">
        <f>N1049*_xlfn.XLOOKUP($L1066,'Balizador da Meta'!$B$4:$B$21,'Balizador da Meta'!$C$4:$C$21)</f>
        <v>240</v>
      </c>
      <c r="O1066" s="28">
        <f>O1049*_xlfn.XLOOKUP($L1066,'Balizador da Meta'!$B$4:$B$21,'Balizador da Meta'!$C$4:$C$21)</f>
        <v>240</v>
      </c>
      <c r="P1066" s="28">
        <f>P1049*_xlfn.XLOOKUP($L1066,'Balizador da Meta'!$B$4:$B$21,'Balizador da Meta'!$C$4:$C$21)</f>
        <v>240</v>
      </c>
      <c r="Q1066" s="28">
        <f>Q1049*_xlfn.XLOOKUP($L1066,'Balizador da Meta'!$B$4:$B$21,'Balizador da Meta'!$C$4:$C$21)</f>
        <v>240</v>
      </c>
      <c r="R1066" s="28">
        <f>R1049*_xlfn.XLOOKUP($L1066,'Balizador da Meta'!$B$4:$B$21,'Balizador da Meta'!$C$4:$C$21)</f>
        <v>240</v>
      </c>
      <c r="S1066" s="28">
        <f>S1049*_xlfn.XLOOKUP($L1066,'Balizador da Meta'!$B$4:$B$21,'Balizador da Meta'!$C$4:$C$21)</f>
        <v>240</v>
      </c>
      <c r="T1066" s="28">
        <f>T1049*_xlfn.XLOOKUP($L1066,'Balizador da Meta'!$B$4:$B$21,'Balizador da Meta'!$C$4:$C$21)</f>
        <v>240</v>
      </c>
      <c r="U1066" s="28">
        <f>U1049*_xlfn.XLOOKUP($L1066,'Balizador da Meta'!$B$4:$B$21,'Balizador da Meta'!$C$4:$C$21)</f>
        <v>240</v>
      </c>
      <c r="V1066" s="28">
        <f>V1049*_xlfn.XLOOKUP($L1066,'Balizador da Meta'!$B$4:$B$21,'Balizador da Meta'!$C$4:$C$21)</f>
        <v>240</v>
      </c>
      <c r="W1066" s="28">
        <f>W1049*_xlfn.XLOOKUP($L1066,'Balizador da Meta'!$B$4:$B$21,'Balizador da Meta'!$C$4:$C$21)</f>
        <v>240</v>
      </c>
      <c r="X1066" s="28">
        <f>X1049*_xlfn.XLOOKUP($L1066,'Balizador da Meta'!$B$4:$B$21,'Balizador da Meta'!$C$4:$C$21)</f>
        <v>240</v>
      </c>
      <c r="Y1066" s="28">
        <f>Y1049*_xlfn.XLOOKUP($L1066,'Balizador da Meta'!$B$4:$B$21,'Balizador da Meta'!$C$4:$C$21)</f>
        <v>240</v>
      </c>
      <c r="Z1066" s="30">
        <f t="shared" si="253"/>
        <v>2880</v>
      </c>
      <c r="AA1066" s="29"/>
      <c r="AB1066" s="31">
        <f>SUMIFS('Historico - FAT'!AK:AK,'Historico - FAT'!$K:$K,Faturamento!$L1066,'Historico - FAT'!$I:$I,Faturamento!$J1066,'Historico - FAT'!$G:$G,Faturamento!$H1066)</f>
        <v>0</v>
      </c>
      <c r="AC1066" s="31">
        <f>SUMIFS('Historico - FAT'!AL:AL,'Historico - FAT'!$K:$K,Faturamento!$L1066,'Historico - FAT'!$I:$I,Faturamento!$J1066,'Historico - FAT'!$G:$G,Faturamento!$H1066)</f>
        <v>24.802499999999998</v>
      </c>
      <c r="AD1066" s="31">
        <f>SUMIFS('Historico - FAT'!AM:AM,'Historico - FAT'!$K:$K,Faturamento!$L1066,'Historico - FAT'!$I:$I,Faturamento!$J1066,'Historico - FAT'!$G:$G,Faturamento!$H1066)</f>
        <v>49.604999999999997</v>
      </c>
      <c r="AE1066" s="27">
        <f>SUMIFS('Historico - FAT'!AN:AN,'Historico - FAT'!$K:$K,Faturamento!$L1066,'Historico - FAT'!$I:$I,Faturamento!$J1066,'Historico - FAT'!$G:$G,Faturamento!$H1066)</f>
        <v>29.762999999999998</v>
      </c>
      <c r="AG1066" s="24">
        <f t="shared" si="240"/>
        <v>1</v>
      </c>
      <c r="AH1066" s="24">
        <f t="shared" si="241"/>
        <v>0.89665624999999993</v>
      </c>
      <c r="AI1066" s="24">
        <f t="shared" si="242"/>
        <v>0.79331250000000009</v>
      </c>
    </row>
    <row r="1067" spans="1:35" hidden="1" x14ac:dyDescent="0.3">
      <c r="A1067" s="2" t="str">
        <f t="shared" si="239"/>
        <v>NÃO</v>
      </c>
      <c r="B1067" s="2">
        <v>1000184670</v>
      </c>
      <c r="C1067" s="2" t="s">
        <v>147</v>
      </c>
      <c r="D1067" s="4">
        <v>1000186197</v>
      </c>
      <c r="E1067" s="4" t="s">
        <v>166</v>
      </c>
      <c r="F1067" s="2">
        <v>1000184757</v>
      </c>
      <c r="G1067" s="2" t="s">
        <v>62</v>
      </c>
      <c r="H1067" s="4">
        <v>1000189800</v>
      </c>
      <c r="I1067" s="4" t="s">
        <v>95</v>
      </c>
      <c r="J1067" s="2">
        <v>1000189270</v>
      </c>
      <c r="K1067" s="2" t="s">
        <v>34</v>
      </c>
      <c r="L1067" s="4" t="s">
        <v>25</v>
      </c>
      <c r="M1067" s="4" t="str">
        <f t="shared" si="247"/>
        <v>1000184670100018619710001898001000189270VICCIO</v>
      </c>
      <c r="N1067" s="28">
        <f>N1049*_xlfn.XLOOKUP($L1067,'Balizador da Meta'!$B$4:$B$21,'Balizador da Meta'!$C$4:$C$21)</f>
        <v>90</v>
      </c>
      <c r="O1067" s="28">
        <f>O1049*_xlfn.XLOOKUP($L1067,'Balizador da Meta'!$B$4:$B$21,'Balizador da Meta'!$C$4:$C$21)</f>
        <v>90</v>
      </c>
      <c r="P1067" s="28">
        <f>P1049*_xlfn.XLOOKUP($L1067,'Balizador da Meta'!$B$4:$B$21,'Balizador da Meta'!$C$4:$C$21)</f>
        <v>90</v>
      </c>
      <c r="Q1067" s="28">
        <f>Q1049*_xlfn.XLOOKUP($L1067,'Balizador da Meta'!$B$4:$B$21,'Balizador da Meta'!$C$4:$C$21)</f>
        <v>90</v>
      </c>
      <c r="R1067" s="28">
        <f>R1049*_xlfn.XLOOKUP($L1067,'Balizador da Meta'!$B$4:$B$21,'Balizador da Meta'!$C$4:$C$21)</f>
        <v>90</v>
      </c>
      <c r="S1067" s="28">
        <f>S1049*_xlfn.XLOOKUP($L1067,'Balizador da Meta'!$B$4:$B$21,'Balizador da Meta'!$C$4:$C$21)</f>
        <v>90</v>
      </c>
      <c r="T1067" s="28">
        <f>T1049*_xlfn.XLOOKUP($L1067,'Balizador da Meta'!$B$4:$B$21,'Balizador da Meta'!$C$4:$C$21)</f>
        <v>90</v>
      </c>
      <c r="U1067" s="28">
        <f>U1049*_xlfn.XLOOKUP($L1067,'Balizador da Meta'!$B$4:$B$21,'Balizador da Meta'!$C$4:$C$21)</f>
        <v>90</v>
      </c>
      <c r="V1067" s="28">
        <f>V1049*_xlfn.XLOOKUP($L1067,'Balizador da Meta'!$B$4:$B$21,'Balizador da Meta'!$C$4:$C$21)</f>
        <v>90</v>
      </c>
      <c r="W1067" s="28">
        <f>W1049*_xlfn.XLOOKUP($L1067,'Balizador da Meta'!$B$4:$B$21,'Balizador da Meta'!$C$4:$C$21)</f>
        <v>90</v>
      </c>
      <c r="X1067" s="28">
        <f>X1049*_xlfn.XLOOKUP($L1067,'Balizador da Meta'!$B$4:$B$21,'Balizador da Meta'!$C$4:$C$21)</f>
        <v>90</v>
      </c>
      <c r="Y1067" s="28">
        <f>Y1049*_xlfn.XLOOKUP($L1067,'Balizador da Meta'!$B$4:$B$21,'Balizador da Meta'!$C$4:$C$21)</f>
        <v>90</v>
      </c>
      <c r="Z1067" s="30">
        <f t="shared" si="253"/>
        <v>1080</v>
      </c>
      <c r="AA1067" s="29"/>
      <c r="AB1067" s="31">
        <f>SUMIFS('Historico - FAT'!AK:AK,'Historico - FAT'!$K:$K,Faturamento!$L1067,'Historico - FAT'!$I:$I,Faturamento!$J1067,'Historico - FAT'!$G:$G,Faturamento!$H1067)</f>
        <v>0</v>
      </c>
      <c r="AC1067" s="31">
        <f>SUMIFS('Historico - FAT'!AL:AL,'Historico - FAT'!$K:$K,Faturamento!$L1067,'Historico - FAT'!$I:$I,Faturamento!$J1067,'Historico - FAT'!$G:$G,Faturamento!$H1067)</f>
        <v>0</v>
      </c>
      <c r="AD1067" s="31">
        <f>SUMIFS('Historico - FAT'!AM:AM,'Historico - FAT'!$K:$K,Faturamento!$L1067,'Historico - FAT'!$I:$I,Faturamento!$J1067,'Historico - FAT'!$G:$G,Faturamento!$H1067)</f>
        <v>0</v>
      </c>
      <c r="AE1067" s="27">
        <f>SUMIFS('Historico - FAT'!AN:AN,'Historico - FAT'!$K:$K,Faturamento!$L1067,'Historico - FAT'!$I:$I,Faturamento!$J1067,'Historico - FAT'!$G:$G,Faturamento!$H1067)</f>
        <v>0</v>
      </c>
      <c r="AG1067" s="24">
        <f t="shared" si="240"/>
        <v>1</v>
      </c>
      <c r="AH1067" s="24">
        <f t="shared" si="241"/>
        <v>1</v>
      </c>
      <c r="AI1067" s="24">
        <f t="shared" si="242"/>
        <v>1</v>
      </c>
    </row>
    <row r="1068" spans="1:35" x14ac:dyDescent="0.3">
      <c r="A1068" s="2" t="str">
        <f t="shared" si="239"/>
        <v>SIM</v>
      </c>
      <c r="B1068" s="2">
        <v>1000184670</v>
      </c>
      <c r="C1068" s="2" t="s">
        <v>147</v>
      </c>
      <c r="D1068" s="4">
        <v>1000186197</v>
      </c>
      <c r="E1068" s="4" t="s">
        <v>166</v>
      </c>
      <c r="F1068" s="2">
        <v>1000184758</v>
      </c>
      <c r="G1068" s="2" t="s">
        <v>55</v>
      </c>
      <c r="H1068" s="4">
        <v>1000189801</v>
      </c>
      <c r="I1068" s="4" t="s">
        <v>87</v>
      </c>
      <c r="J1068" s="2">
        <v>1000189270</v>
      </c>
      <c r="K1068" s="2" t="s">
        <v>34</v>
      </c>
      <c r="L1068" s="4" t="s">
        <v>124</v>
      </c>
      <c r="M1068" s="4" t="str">
        <f t="shared" si="247"/>
        <v>100018467010001861971000189801100018927001. TOTAL</v>
      </c>
      <c r="N1068" s="28">
        <f>SUMIFS(Positivação!L:L,Positivação!$I:$I,Faturamento!$J1068,Positivação!$G:$G,Faturamento!$H1068)*SUMIFS(Positivação!$Z:$Z,Positivação!$I:$I,Faturamento!$J1068,Positivação!$G:$G,Faturamento!$H1068)</f>
        <v>1200</v>
      </c>
      <c r="O1068" s="28">
        <f>SUMIFS(Positivação!M:M,Positivação!$I:$I,Faturamento!$J1068,Positivação!$G:$G,Faturamento!$H1068)*SUMIFS(Positivação!$Z:$Z,Positivação!$I:$I,Faturamento!$J1068,Positivação!$G:$G,Faturamento!$H1068)</f>
        <v>1200</v>
      </c>
      <c r="P1068" s="28">
        <f>SUMIFS(Positivação!N:N,Positivação!$I:$I,Faturamento!$J1068,Positivação!$G:$G,Faturamento!$H1068)*SUMIFS(Positivação!$Z:$Z,Positivação!$I:$I,Faturamento!$J1068,Positivação!$G:$G,Faturamento!$H1068)</f>
        <v>1200</v>
      </c>
      <c r="Q1068" s="28">
        <f>SUMIFS(Positivação!O:O,Positivação!$I:$I,Faturamento!$J1068,Positivação!$G:$G,Faturamento!$H1068)*SUMIFS(Positivação!$Z:$Z,Positivação!$I:$I,Faturamento!$J1068,Positivação!$G:$G,Faturamento!$H1068)</f>
        <v>1200</v>
      </c>
      <c r="R1068" s="28">
        <f>SUMIFS(Positivação!P:P,Positivação!$I:$I,Faturamento!$J1068,Positivação!$G:$G,Faturamento!$H1068)*SUMIFS(Positivação!$Z:$Z,Positivação!$I:$I,Faturamento!$J1068,Positivação!$G:$G,Faturamento!$H1068)</f>
        <v>1200</v>
      </c>
      <c r="S1068" s="28">
        <f>SUMIFS(Positivação!Q:Q,Positivação!$I:$I,Faturamento!$J1068,Positivação!$G:$G,Faturamento!$H1068)*SUMIFS(Positivação!$Z:$Z,Positivação!$I:$I,Faturamento!$J1068,Positivação!$G:$G,Faturamento!$H1068)</f>
        <v>1200</v>
      </c>
      <c r="T1068" s="28">
        <f>SUMIFS(Positivação!R:R,Positivação!$I:$I,Faturamento!$J1068,Positivação!$G:$G,Faturamento!$H1068)*SUMIFS(Positivação!$Z:$Z,Positivação!$I:$I,Faturamento!$J1068,Positivação!$G:$G,Faturamento!$H1068)</f>
        <v>1200</v>
      </c>
      <c r="U1068" s="28">
        <f>SUMIFS(Positivação!S:S,Positivação!$I:$I,Faturamento!$J1068,Positivação!$G:$G,Faturamento!$H1068)*SUMIFS(Positivação!$Z:$Z,Positivação!$I:$I,Faturamento!$J1068,Positivação!$G:$G,Faturamento!$H1068)</f>
        <v>1200</v>
      </c>
      <c r="V1068" s="28">
        <f>SUMIFS(Positivação!T:T,Positivação!$I:$I,Faturamento!$J1068,Positivação!$G:$G,Faturamento!$H1068)*SUMIFS(Positivação!$Z:$Z,Positivação!$I:$I,Faturamento!$J1068,Positivação!$G:$G,Faturamento!$H1068)</f>
        <v>1200</v>
      </c>
      <c r="W1068" s="28">
        <f>SUMIFS(Positivação!U:U,Positivação!$I:$I,Faturamento!$J1068,Positivação!$G:$G,Faturamento!$H1068)*SUMIFS(Positivação!$Z:$Z,Positivação!$I:$I,Faturamento!$J1068,Positivação!$G:$G,Faturamento!$H1068)</f>
        <v>1200</v>
      </c>
      <c r="X1068" s="28">
        <f>SUMIFS(Positivação!V:V,Positivação!$I:$I,Faturamento!$J1068,Positivação!$G:$G,Faturamento!$H1068)*SUMIFS(Positivação!$Z:$Z,Positivação!$I:$I,Faturamento!$J1068,Positivação!$G:$G,Faturamento!$H1068)</f>
        <v>1200</v>
      </c>
      <c r="Y1068" s="28">
        <f>SUMIFS(Positivação!W:W,Positivação!$I:$I,Faturamento!$J1068,Positivação!$G:$G,Faturamento!$H1068)*SUMIFS(Positivação!$Z:$Z,Positivação!$I:$I,Faturamento!$J1068,Positivação!$G:$G,Faturamento!$H1068)</f>
        <v>1200</v>
      </c>
      <c r="Z1068" s="28">
        <f t="shared" ref="Z1068" si="254">SUM(Z1069:Z1086)</f>
        <v>14400</v>
      </c>
      <c r="AA1068" s="29"/>
      <c r="AB1068" s="28">
        <f t="shared" ref="AB1068:AE1068" si="255">SUM(AB1069:AB1086)</f>
        <v>0</v>
      </c>
      <c r="AC1068" s="28">
        <f t="shared" si="255"/>
        <v>0</v>
      </c>
      <c r="AD1068" s="28">
        <f t="shared" si="255"/>
        <v>0</v>
      </c>
      <c r="AE1068" s="28">
        <f t="shared" si="255"/>
        <v>0</v>
      </c>
      <c r="AG1068" s="24">
        <f t="shared" si="240"/>
        <v>1</v>
      </c>
      <c r="AH1068" s="24">
        <f t="shared" si="241"/>
        <v>1</v>
      </c>
      <c r="AI1068" s="24">
        <f t="shared" si="242"/>
        <v>1</v>
      </c>
    </row>
    <row r="1069" spans="1:35" hidden="1" x14ac:dyDescent="0.3">
      <c r="A1069" s="2" t="str">
        <f t="shared" si="239"/>
        <v>NÃO</v>
      </c>
      <c r="B1069" s="2">
        <v>1000184670</v>
      </c>
      <c r="C1069" s="2" t="s">
        <v>147</v>
      </c>
      <c r="D1069" s="4">
        <v>1000186197</v>
      </c>
      <c r="E1069" s="4" t="s">
        <v>166</v>
      </c>
      <c r="F1069" s="2">
        <v>1000184758</v>
      </c>
      <c r="G1069" s="2" t="s">
        <v>55</v>
      </c>
      <c r="H1069" s="4">
        <v>1000189801</v>
      </c>
      <c r="I1069" s="4" t="s">
        <v>87</v>
      </c>
      <c r="J1069" s="2">
        <v>1000189270</v>
      </c>
      <c r="K1069" s="2" t="s">
        <v>34</v>
      </c>
      <c r="L1069" s="4" t="s">
        <v>13</v>
      </c>
      <c r="M1069" s="4" t="str">
        <f t="shared" si="247"/>
        <v>1000184670100018619710001898011000189270BISCOITO</v>
      </c>
      <c r="N1069" s="28">
        <f>N1068*_xlfn.XLOOKUP($L1069,'Balizador da Meta'!$B$4:$B$21,'Balizador da Meta'!$C$4:$C$21)</f>
        <v>84.000000000000014</v>
      </c>
      <c r="O1069" s="28">
        <f>O1068*_xlfn.XLOOKUP($L1069,'Balizador da Meta'!$B$4:$B$21,'Balizador da Meta'!$C$4:$C$21)</f>
        <v>84.000000000000014</v>
      </c>
      <c r="P1069" s="28">
        <f>P1068*_xlfn.XLOOKUP($L1069,'Balizador da Meta'!$B$4:$B$21,'Balizador da Meta'!$C$4:$C$21)</f>
        <v>84.000000000000014</v>
      </c>
      <c r="Q1069" s="28">
        <f>Q1068*_xlfn.XLOOKUP($L1069,'Balizador da Meta'!$B$4:$B$21,'Balizador da Meta'!$C$4:$C$21)</f>
        <v>84.000000000000014</v>
      </c>
      <c r="R1069" s="28">
        <f>R1068*_xlfn.XLOOKUP($L1069,'Balizador da Meta'!$B$4:$B$21,'Balizador da Meta'!$C$4:$C$21)</f>
        <v>84.000000000000014</v>
      </c>
      <c r="S1069" s="28">
        <f>S1068*_xlfn.XLOOKUP($L1069,'Balizador da Meta'!$B$4:$B$21,'Balizador da Meta'!$C$4:$C$21)</f>
        <v>84.000000000000014</v>
      </c>
      <c r="T1069" s="28">
        <f>T1068*_xlfn.XLOOKUP($L1069,'Balizador da Meta'!$B$4:$B$21,'Balizador da Meta'!$C$4:$C$21)</f>
        <v>84.000000000000014</v>
      </c>
      <c r="U1069" s="28">
        <f>U1068*_xlfn.XLOOKUP($L1069,'Balizador da Meta'!$B$4:$B$21,'Balizador da Meta'!$C$4:$C$21)</f>
        <v>84.000000000000014</v>
      </c>
      <c r="V1069" s="28">
        <f>V1068*_xlfn.XLOOKUP($L1069,'Balizador da Meta'!$B$4:$B$21,'Balizador da Meta'!$C$4:$C$21)</f>
        <v>84.000000000000014</v>
      </c>
      <c r="W1069" s="28">
        <f>W1068*_xlfn.XLOOKUP($L1069,'Balizador da Meta'!$B$4:$B$21,'Balizador da Meta'!$C$4:$C$21)</f>
        <v>84.000000000000014</v>
      </c>
      <c r="X1069" s="28">
        <f>X1068*_xlfn.XLOOKUP($L1069,'Balizador da Meta'!$B$4:$B$21,'Balizador da Meta'!$C$4:$C$21)</f>
        <v>84.000000000000014</v>
      </c>
      <c r="Y1069" s="28">
        <f>Y1068*_xlfn.XLOOKUP($L1069,'Balizador da Meta'!$B$4:$B$21,'Balizador da Meta'!$C$4:$C$21)</f>
        <v>84.000000000000014</v>
      </c>
      <c r="Z1069" s="30">
        <f t="shared" ref="Z1069:Z1086" si="256">SUM(N1069:Y1069)</f>
        <v>1008.0000000000001</v>
      </c>
      <c r="AA1069" s="29"/>
      <c r="AB1069" s="31">
        <f>SUMIFS('Historico - FAT'!AK:AK,'Historico - FAT'!$K:$K,Faturamento!$L1069,'Historico - FAT'!$I:$I,Faturamento!$J1069,'Historico - FAT'!$G:$G,Faturamento!$H1069)</f>
        <v>0</v>
      </c>
      <c r="AC1069" s="31">
        <f>SUMIFS('Historico - FAT'!AL:AL,'Historico - FAT'!$K:$K,Faturamento!$L1069,'Historico - FAT'!$I:$I,Faturamento!$J1069,'Historico - FAT'!$G:$G,Faturamento!$H1069)</f>
        <v>0</v>
      </c>
      <c r="AD1069" s="31">
        <f>SUMIFS('Historico - FAT'!AM:AM,'Historico - FAT'!$K:$K,Faturamento!$L1069,'Historico - FAT'!$I:$I,Faturamento!$J1069,'Historico - FAT'!$G:$G,Faturamento!$H1069)</f>
        <v>0</v>
      </c>
      <c r="AE1069" s="27">
        <f>SUMIFS('Historico - FAT'!AN:AN,'Historico - FAT'!$K:$K,Faturamento!$L1069,'Historico - FAT'!$I:$I,Faturamento!$J1069,'Historico - FAT'!$G:$G,Faturamento!$H1069)</f>
        <v>0</v>
      </c>
      <c r="AG1069" s="24">
        <f t="shared" si="240"/>
        <v>1</v>
      </c>
      <c r="AH1069" s="24">
        <f t="shared" si="241"/>
        <v>1</v>
      </c>
      <c r="AI1069" s="24">
        <f t="shared" si="242"/>
        <v>1</v>
      </c>
    </row>
    <row r="1070" spans="1:35" hidden="1" x14ac:dyDescent="0.3">
      <c r="A1070" s="2" t="str">
        <f t="shared" si="239"/>
        <v>NÃO</v>
      </c>
      <c r="B1070" s="2">
        <v>1000184670</v>
      </c>
      <c r="C1070" s="2" t="s">
        <v>147</v>
      </c>
      <c r="D1070" s="4">
        <v>1000186197</v>
      </c>
      <c r="E1070" s="4" t="s">
        <v>166</v>
      </c>
      <c r="F1070" s="2">
        <v>1000184758</v>
      </c>
      <c r="G1070" s="2" t="s">
        <v>55</v>
      </c>
      <c r="H1070" s="4">
        <v>1000189801</v>
      </c>
      <c r="I1070" s="4" t="s">
        <v>87</v>
      </c>
      <c r="J1070" s="2">
        <v>1000189270</v>
      </c>
      <c r="K1070" s="2" t="s">
        <v>34</v>
      </c>
      <c r="L1070" s="4" t="s">
        <v>14</v>
      </c>
      <c r="M1070" s="4" t="str">
        <f t="shared" si="247"/>
        <v>1000184670100018619710001898011000189270CHOCOLATES</v>
      </c>
      <c r="N1070" s="28">
        <f>N1068*_xlfn.XLOOKUP($L1070,'Balizador da Meta'!$B$4:$B$21,'Balizador da Meta'!$C$4:$C$21)</f>
        <v>84.000000000000014</v>
      </c>
      <c r="O1070" s="28">
        <f>O1068*_xlfn.XLOOKUP($L1070,'Balizador da Meta'!$B$4:$B$21,'Balizador da Meta'!$C$4:$C$21)</f>
        <v>84.000000000000014</v>
      </c>
      <c r="P1070" s="28">
        <f>P1068*_xlfn.XLOOKUP($L1070,'Balizador da Meta'!$B$4:$B$21,'Balizador da Meta'!$C$4:$C$21)</f>
        <v>84.000000000000014</v>
      </c>
      <c r="Q1070" s="28">
        <f>Q1068*_xlfn.XLOOKUP($L1070,'Balizador da Meta'!$B$4:$B$21,'Balizador da Meta'!$C$4:$C$21)</f>
        <v>84.000000000000014</v>
      </c>
      <c r="R1070" s="28">
        <f>R1068*_xlfn.XLOOKUP($L1070,'Balizador da Meta'!$B$4:$B$21,'Balizador da Meta'!$C$4:$C$21)</f>
        <v>84.000000000000014</v>
      </c>
      <c r="S1070" s="28">
        <f>S1068*_xlfn.XLOOKUP($L1070,'Balizador da Meta'!$B$4:$B$21,'Balizador da Meta'!$C$4:$C$21)</f>
        <v>84.000000000000014</v>
      </c>
      <c r="T1070" s="28">
        <f>T1068*_xlfn.XLOOKUP($L1070,'Balizador da Meta'!$B$4:$B$21,'Balizador da Meta'!$C$4:$C$21)</f>
        <v>84.000000000000014</v>
      </c>
      <c r="U1070" s="28">
        <f>U1068*_xlfn.XLOOKUP($L1070,'Balizador da Meta'!$B$4:$B$21,'Balizador da Meta'!$C$4:$C$21)</f>
        <v>84.000000000000014</v>
      </c>
      <c r="V1070" s="28">
        <f>V1068*_xlfn.XLOOKUP($L1070,'Balizador da Meta'!$B$4:$B$21,'Balizador da Meta'!$C$4:$C$21)</f>
        <v>84.000000000000014</v>
      </c>
      <c r="W1070" s="28">
        <f>W1068*_xlfn.XLOOKUP($L1070,'Balizador da Meta'!$B$4:$B$21,'Balizador da Meta'!$C$4:$C$21)</f>
        <v>84.000000000000014</v>
      </c>
      <c r="X1070" s="28">
        <f>X1068*_xlfn.XLOOKUP($L1070,'Balizador da Meta'!$B$4:$B$21,'Balizador da Meta'!$C$4:$C$21)</f>
        <v>84.000000000000014</v>
      </c>
      <c r="Y1070" s="28">
        <f>Y1068*_xlfn.XLOOKUP($L1070,'Balizador da Meta'!$B$4:$B$21,'Balizador da Meta'!$C$4:$C$21)</f>
        <v>84.000000000000014</v>
      </c>
      <c r="Z1070" s="30">
        <f t="shared" si="256"/>
        <v>1008.0000000000001</v>
      </c>
      <c r="AA1070" s="29"/>
      <c r="AB1070" s="31">
        <f>SUMIFS('Historico - FAT'!AK:AK,'Historico - FAT'!$K:$K,Faturamento!$L1070,'Historico - FAT'!$I:$I,Faturamento!$J1070,'Historico - FAT'!$G:$G,Faturamento!$H1070)</f>
        <v>0</v>
      </c>
      <c r="AC1070" s="31">
        <f>SUMIFS('Historico - FAT'!AL:AL,'Historico - FAT'!$K:$K,Faturamento!$L1070,'Historico - FAT'!$I:$I,Faturamento!$J1070,'Historico - FAT'!$G:$G,Faturamento!$H1070)</f>
        <v>0</v>
      </c>
      <c r="AD1070" s="31">
        <f>SUMIFS('Historico - FAT'!AM:AM,'Historico - FAT'!$K:$K,Faturamento!$L1070,'Historico - FAT'!$I:$I,Faturamento!$J1070,'Historico - FAT'!$G:$G,Faturamento!$H1070)</f>
        <v>0</v>
      </c>
      <c r="AE1070" s="27">
        <f>SUMIFS('Historico - FAT'!AN:AN,'Historico - FAT'!$K:$K,Faturamento!$L1070,'Historico - FAT'!$I:$I,Faturamento!$J1070,'Historico - FAT'!$G:$G,Faturamento!$H1070)</f>
        <v>0</v>
      </c>
      <c r="AG1070" s="24">
        <f t="shared" si="240"/>
        <v>1</v>
      </c>
      <c r="AH1070" s="24">
        <f t="shared" si="241"/>
        <v>1</v>
      </c>
      <c r="AI1070" s="24">
        <f t="shared" si="242"/>
        <v>1</v>
      </c>
    </row>
    <row r="1071" spans="1:35" hidden="1" x14ac:dyDescent="0.3">
      <c r="A1071" s="2" t="str">
        <f t="shared" si="239"/>
        <v>NÃO</v>
      </c>
      <c r="B1071" s="2">
        <v>1000184670</v>
      </c>
      <c r="C1071" s="2" t="s">
        <v>147</v>
      </c>
      <c r="D1071" s="4">
        <v>1000186197</v>
      </c>
      <c r="E1071" s="4" t="s">
        <v>166</v>
      </c>
      <c r="F1071" s="2">
        <v>1000184758</v>
      </c>
      <c r="G1071" s="2" t="s">
        <v>55</v>
      </c>
      <c r="H1071" s="4">
        <v>1000189801</v>
      </c>
      <c r="I1071" s="4" t="s">
        <v>87</v>
      </c>
      <c r="J1071" s="2">
        <v>1000189270</v>
      </c>
      <c r="K1071" s="2" t="s">
        <v>34</v>
      </c>
      <c r="L1071" s="4" t="s">
        <v>16</v>
      </c>
      <c r="M1071" s="4" t="str">
        <f t="shared" si="247"/>
        <v>1000184670100018619710001898011000189270DISNEY</v>
      </c>
      <c r="N1071" s="28">
        <f>N1068*_xlfn.XLOOKUP($L1071,'Balizador da Meta'!$B$4:$B$21,'Balizador da Meta'!$C$4:$C$21)</f>
        <v>96</v>
      </c>
      <c r="O1071" s="28">
        <f>O1068*_xlfn.XLOOKUP($L1071,'Balizador da Meta'!$B$4:$B$21,'Balizador da Meta'!$C$4:$C$21)</f>
        <v>96</v>
      </c>
      <c r="P1071" s="28">
        <f>P1068*_xlfn.XLOOKUP($L1071,'Balizador da Meta'!$B$4:$B$21,'Balizador da Meta'!$C$4:$C$21)</f>
        <v>96</v>
      </c>
      <c r="Q1071" s="28">
        <f>Q1068*_xlfn.XLOOKUP($L1071,'Balizador da Meta'!$B$4:$B$21,'Balizador da Meta'!$C$4:$C$21)</f>
        <v>96</v>
      </c>
      <c r="R1071" s="28">
        <f>R1068*_xlfn.XLOOKUP($L1071,'Balizador da Meta'!$B$4:$B$21,'Balizador da Meta'!$C$4:$C$21)</f>
        <v>96</v>
      </c>
      <c r="S1071" s="28">
        <f>S1068*_xlfn.XLOOKUP($L1071,'Balizador da Meta'!$B$4:$B$21,'Balizador da Meta'!$C$4:$C$21)</f>
        <v>96</v>
      </c>
      <c r="T1071" s="28">
        <f>T1068*_xlfn.XLOOKUP($L1071,'Balizador da Meta'!$B$4:$B$21,'Balizador da Meta'!$C$4:$C$21)</f>
        <v>96</v>
      </c>
      <c r="U1071" s="28">
        <f>U1068*_xlfn.XLOOKUP($L1071,'Balizador da Meta'!$B$4:$B$21,'Balizador da Meta'!$C$4:$C$21)</f>
        <v>96</v>
      </c>
      <c r="V1071" s="28">
        <f>V1068*_xlfn.XLOOKUP($L1071,'Balizador da Meta'!$B$4:$B$21,'Balizador da Meta'!$C$4:$C$21)</f>
        <v>96</v>
      </c>
      <c r="W1071" s="28">
        <f>W1068*_xlfn.XLOOKUP($L1071,'Balizador da Meta'!$B$4:$B$21,'Balizador da Meta'!$C$4:$C$21)</f>
        <v>96</v>
      </c>
      <c r="X1071" s="28">
        <f>X1068*_xlfn.XLOOKUP($L1071,'Balizador da Meta'!$B$4:$B$21,'Balizador da Meta'!$C$4:$C$21)</f>
        <v>96</v>
      </c>
      <c r="Y1071" s="28">
        <f>Y1068*_xlfn.XLOOKUP($L1071,'Balizador da Meta'!$B$4:$B$21,'Balizador da Meta'!$C$4:$C$21)</f>
        <v>96</v>
      </c>
      <c r="Z1071" s="30">
        <f t="shared" si="256"/>
        <v>1152</v>
      </c>
      <c r="AA1071" s="29"/>
      <c r="AB1071" s="31">
        <f>SUMIFS('Historico - FAT'!AK:AK,'Historico - FAT'!$K:$K,Faturamento!$L1071,'Historico - FAT'!$I:$I,Faturamento!$J1071,'Historico - FAT'!$G:$G,Faturamento!$H1071)</f>
        <v>0</v>
      </c>
      <c r="AC1071" s="31">
        <f>SUMIFS('Historico - FAT'!AL:AL,'Historico - FAT'!$K:$K,Faturamento!$L1071,'Historico - FAT'!$I:$I,Faturamento!$J1071,'Historico - FAT'!$G:$G,Faturamento!$H1071)</f>
        <v>0</v>
      </c>
      <c r="AD1071" s="31">
        <f>SUMIFS('Historico - FAT'!AM:AM,'Historico - FAT'!$K:$K,Faturamento!$L1071,'Historico - FAT'!$I:$I,Faturamento!$J1071,'Historico - FAT'!$G:$G,Faturamento!$H1071)</f>
        <v>0</v>
      </c>
      <c r="AE1071" s="27">
        <f>SUMIFS('Historico - FAT'!AN:AN,'Historico - FAT'!$K:$K,Faturamento!$L1071,'Historico - FAT'!$I:$I,Faturamento!$J1071,'Historico - FAT'!$G:$G,Faturamento!$H1071)</f>
        <v>0</v>
      </c>
      <c r="AG1071" s="24">
        <f t="shared" si="240"/>
        <v>1</v>
      </c>
      <c r="AH1071" s="24">
        <f t="shared" si="241"/>
        <v>1</v>
      </c>
      <c r="AI1071" s="24">
        <f t="shared" si="242"/>
        <v>1</v>
      </c>
    </row>
    <row r="1072" spans="1:35" hidden="1" x14ac:dyDescent="0.3">
      <c r="A1072" s="2" t="str">
        <f t="shared" si="239"/>
        <v>NÃO</v>
      </c>
      <c r="B1072" s="2">
        <v>1000184670</v>
      </c>
      <c r="C1072" s="2" t="s">
        <v>147</v>
      </c>
      <c r="D1072" s="4">
        <v>1000186197</v>
      </c>
      <c r="E1072" s="4" t="s">
        <v>166</v>
      </c>
      <c r="F1072" s="2">
        <v>1000184758</v>
      </c>
      <c r="G1072" s="2" t="s">
        <v>55</v>
      </c>
      <c r="H1072" s="4">
        <v>1000189801</v>
      </c>
      <c r="I1072" s="4" t="s">
        <v>87</v>
      </c>
      <c r="J1072" s="2">
        <v>1000189270</v>
      </c>
      <c r="K1072" s="2" t="s">
        <v>34</v>
      </c>
      <c r="L1072" s="4" t="s">
        <v>15</v>
      </c>
      <c r="M1072" s="4" t="str">
        <f t="shared" si="247"/>
        <v>1000184670100018619710001898011000189270DOCES</v>
      </c>
      <c r="N1072" s="28">
        <f>N1068*_xlfn.XLOOKUP($L1072,'Balizador da Meta'!$B$4:$B$21,'Balizador da Meta'!$C$4:$C$21)</f>
        <v>108</v>
      </c>
      <c r="O1072" s="28">
        <f>O1068*_xlfn.XLOOKUP($L1072,'Balizador da Meta'!$B$4:$B$21,'Balizador da Meta'!$C$4:$C$21)</f>
        <v>108</v>
      </c>
      <c r="P1072" s="28">
        <f>P1068*_xlfn.XLOOKUP($L1072,'Balizador da Meta'!$B$4:$B$21,'Balizador da Meta'!$C$4:$C$21)</f>
        <v>108</v>
      </c>
      <c r="Q1072" s="28">
        <f>Q1068*_xlfn.XLOOKUP($L1072,'Balizador da Meta'!$B$4:$B$21,'Balizador da Meta'!$C$4:$C$21)</f>
        <v>108</v>
      </c>
      <c r="R1072" s="28">
        <f>R1068*_xlfn.XLOOKUP($L1072,'Balizador da Meta'!$B$4:$B$21,'Balizador da Meta'!$C$4:$C$21)</f>
        <v>108</v>
      </c>
      <c r="S1072" s="28">
        <f>S1068*_xlfn.XLOOKUP($L1072,'Balizador da Meta'!$B$4:$B$21,'Balizador da Meta'!$C$4:$C$21)</f>
        <v>108</v>
      </c>
      <c r="T1072" s="28">
        <f>T1068*_xlfn.XLOOKUP($L1072,'Balizador da Meta'!$B$4:$B$21,'Balizador da Meta'!$C$4:$C$21)</f>
        <v>108</v>
      </c>
      <c r="U1072" s="28">
        <f>U1068*_xlfn.XLOOKUP($L1072,'Balizador da Meta'!$B$4:$B$21,'Balizador da Meta'!$C$4:$C$21)</f>
        <v>108</v>
      </c>
      <c r="V1072" s="28">
        <f>V1068*_xlfn.XLOOKUP($L1072,'Balizador da Meta'!$B$4:$B$21,'Balizador da Meta'!$C$4:$C$21)</f>
        <v>108</v>
      </c>
      <c r="W1072" s="28">
        <f>W1068*_xlfn.XLOOKUP($L1072,'Balizador da Meta'!$B$4:$B$21,'Balizador da Meta'!$C$4:$C$21)</f>
        <v>108</v>
      </c>
      <c r="X1072" s="28">
        <f>X1068*_xlfn.XLOOKUP($L1072,'Balizador da Meta'!$B$4:$B$21,'Balizador da Meta'!$C$4:$C$21)</f>
        <v>108</v>
      </c>
      <c r="Y1072" s="28">
        <f>Y1068*_xlfn.XLOOKUP($L1072,'Balizador da Meta'!$B$4:$B$21,'Balizador da Meta'!$C$4:$C$21)</f>
        <v>108</v>
      </c>
      <c r="Z1072" s="30">
        <f t="shared" si="256"/>
        <v>1296</v>
      </c>
      <c r="AA1072" s="29"/>
      <c r="AB1072" s="31">
        <f>SUMIFS('Historico - FAT'!AK:AK,'Historico - FAT'!$K:$K,Faturamento!$L1072,'Historico - FAT'!$I:$I,Faturamento!$J1072,'Historico - FAT'!$G:$G,Faturamento!$H1072)</f>
        <v>0</v>
      </c>
      <c r="AC1072" s="31">
        <f>SUMIFS('Historico - FAT'!AL:AL,'Historico - FAT'!$K:$K,Faturamento!$L1072,'Historico - FAT'!$I:$I,Faturamento!$J1072,'Historico - FAT'!$G:$G,Faturamento!$H1072)</f>
        <v>0</v>
      </c>
      <c r="AD1072" s="31">
        <f>SUMIFS('Historico - FAT'!AM:AM,'Historico - FAT'!$K:$K,Faturamento!$L1072,'Historico - FAT'!$I:$I,Faturamento!$J1072,'Historico - FAT'!$G:$G,Faturamento!$H1072)</f>
        <v>0</v>
      </c>
      <c r="AE1072" s="27">
        <f>SUMIFS('Historico - FAT'!AN:AN,'Historico - FAT'!$K:$K,Faturamento!$L1072,'Historico - FAT'!$I:$I,Faturamento!$J1072,'Historico - FAT'!$G:$G,Faturamento!$H1072)</f>
        <v>0</v>
      </c>
      <c r="AG1072" s="24">
        <f t="shared" si="240"/>
        <v>1</v>
      </c>
      <c r="AH1072" s="24">
        <f t="shared" si="241"/>
        <v>1</v>
      </c>
      <c r="AI1072" s="24">
        <f t="shared" si="242"/>
        <v>1</v>
      </c>
    </row>
    <row r="1073" spans="1:35" hidden="1" x14ac:dyDescent="0.3">
      <c r="A1073" s="2" t="str">
        <f t="shared" si="239"/>
        <v>NÃO</v>
      </c>
      <c r="B1073" s="2">
        <v>1000184670</v>
      </c>
      <c r="C1073" s="2" t="s">
        <v>147</v>
      </c>
      <c r="D1073" s="4">
        <v>1000186197</v>
      </c>
      <c r="E1073" s="4" t="s">
        <v>166</v>
      </c>
      <c r="F1073" s="2">
        <v>1000184758</v>
      </c>
      <c r="G1073" s="2" t="s">
        <v>55</v>
      </c>
      <c r="H1073" s="4">
        <v>1000189801</v>
      </c>
      <c r="I1073" s="4" t="s">
        <v>87</v>
      </c>
      <c r="J1073" s="2">
        <v>1000189270</v>
      </c>
      <c r="K1073" s="2" t="s">
        <v>34</v>
      </c>
      <c r="L1073" s="4" t="s">
        <v>33</v>
      </c>
      <c r="M1073" s="4" t="str">
        <f t="shared" si="247"/>
        <v>1000184670100018619710001898011000189270FOOD SERVICE</v>
      </c>
      <c r="N1073" s="28">
        <f>N1068*_xlfn.XLOOKUP($L1073,'Balizador da Meta'!$B$4:$B$21,'Balizador da Meta'!$C$4:$C$21)</f>
        <v>0</v>
      </c>
      <c r="O1073" s="28">
        <f>O1068*_xlfn.XLOOKUP($L1073,'Balizador da Meta'!$B$4:$B$21,'Balizador da Meta'!$C$4:$C$21)</f>
        <v>0</v>
      </c>
      <c r="P1073" s="28">
        <f>P1068*_xlfn.XLOOKUP($L1073,'Balizador da Meta'!$B$4:$B$21,'Balizador da Meta'!$C$4:$C$21)</f>
        <v>0</v>
      </c>
      <c r="Q1073" s="28">
        <f>Q1068*_xlfn.XLOOKUP($L1073,'Balizador da Meta'!$B$4:$B$21,'Balizador da Meta'!$C$4:$C$21)</f>
        <v>0</v>
      </c>
      <c r="R1073" s="28">
        <f>R1068*_xlfn.XLOOKUP($L1073,'Balizador da Meta'!$B$4:$B$21,'Balizador da Meta'!$C$4:$C$21)</f>
        <v>0</v>
      </c>
      <c r="S1073" s="28">
        <f>S1068*_xlfn.XLOOKUP($L1073,'Balizador da Meta'!$B$4:$B$21,'Balizador da Meta'!$C$4:$C$21)</f>
        <v>0</v>
      </c>
      <c r="T1073" s="28">
        <f>T1068*_xlfn.XLOOKUP($L1073,'Balizador da Meta'!$B$4:$B$21,'Balizador da Meta'!$C$4:$C$21)</f>
        <v>0</v>
      </c>
      <c r="U1073" s="28">
        <f>U1068*_xlfn.XLOOKUP($L1073,'Balizador da Meta'!$B$4:$B$21,'Balizador da Meta'!$C$4:$C$21)</f>
        <v>0</v>
      </c>
      <c r="V1073" s="28">
        <f>V1068*_xlfn.XLOOKUP($L1073,'Balizador da Meta'!$B$4:$B$21,'Balizador da Meta'!$C$4:$C$21)</f>
        <v>0</v>
      </c>
      <c r="W1073" s="28">
        <f>W1068*_xlfn.XLOOKUP($L1073,'Balizador da Meta'!$B$4:$B$21,'Balizador da Meta'!$C$4:$C$21)</f>
        <v>0</v>
      </c>
      <c r="X1073" s="28">
        <f>X1068*_xlfn.XLOOKUP($L1073,'Balizador da Meta'!$B$4:$B$21,'Balizador da Meta'!$C$4:$C$21)</f>
        <v>0</v>
      </c>
      <c r="Y1073" s="28">
        <f>Y1068*_xlfn.XLOOKUP($L1073,'Balizador da Meta'!$B$4:$B$21,'Balizador da Meta'!$C$4:$C$21)</f>
        <v>0</v>
      </c>
      <c r="Z1073" s="30">
        <f t="shared" si="256"/>
        <v>0</v>
      </c>
      <c r="AA1073" s="29"/>
      <c r="AB1073" s="31">
        <f>SUMIFS('Historico - FAT'!AK:AK,'Historico - FAT'!$K:$K,Faturamento!$L1073,'Historico - FAT'!$I:$I,Faturamento!$J1073,'Historico - FAT'!$G:$G,Faturamento!$H1073)</f>
        <v>0</v>
      </c>
      <c r="AC1073" s="31">
        <f>SUMIFS('Historico - FAT'!AL:AL,'Historico - FAT'!$K:$K,Faturamento!$L1073,'Historico - FAT'!$I:$I,Faturamento!$J1073,'Historico - FAT'!$G:$G,Faturamento!$H1073)</f>
        <v>0</v>
      </c>
      <c r="AD1073" s="31">
        <f>SUMIFS('Historico - FAT'!AM:AM,'Historico - FAT'!$K:$K,Faturamento!$L1073,'Historico - FAT'!$I:$I,Faturamento!$J1073,'Historico - FAT'!$G:$G,Faturamento!$H1073)</f>
        <v>0</v>
      </c>
      <c r="AE1073" s="27">
        <f>SUMIFS('Historico - FAT'!AN:AN,'Historico - FAT'!$K:$K,Faturamento!$L1073,'Historico - FAT'!$I:$I,Faturamento!$J1073,'Historico - FAT'!$G:$G,Faturamento!$H1073)</f>
        <v>0</v>
      </c>
      <c r="AG1073" s="24" t="str">
        <f t="shared" si="240"/>
        <v/>
      </c>
      <c r="AH1073" s="24" t="str">
        <f t="shared" si="241"/>
        <v/>
      </c>
      <c r="AI1073" s="24" t="str">
        <f t="shared" si="242"/>
        <v/>
      </c>
    </row>
    <row r="1074" spans="1:35" hidden="1" x14ac:dyDescent="0.3">
      <c r="A1074" s="2" t="str">
        <f t="shared" ref="A1074:A1137" si="257">IF(OR(H1074&lt;&gt;H1073,J1074&lt;&gt;J1073),"SIM","NÃO")</f>
        <v>NÃO</v>
      </c>
      <c r="B1074" s="2">
        <v>1000184670</v>
      </c>
      <c r="C1074" s="2" t="s">
        <v>147</v>
      </c>
      <c r="D1074" s="4">
        <v>1000186197</v>
      </c>
      <c r="E1074" s="4" t="s">
        <v>166</v>
      </c>
      <c r="F1074" s="2">
        <v>1000184758</v>
      </c>
      <c r="G1074" s="2" t="s">
        <v>55</v>
      </c>
      <c r="H1074" s="4">
        <v>1000189801</v>
      </c>
      <c r="I1074" s="4" t="s">
        <v>87</v>
      </c>
      <c r="J1074" s="2">
        <v>1000189270</v>
      </c>
      <c r="K1074" s="2" t="s">
        <v>34</v>
      </c>
      <c r="L1074" s="4" t="s">
        <v>19</v>
      </c>
      <c r="M1074" s="4" t="str">
        <f t="shared" si="247"/>
        <v>1000184670100018619710001898011000189270GELEIA</v>
      </c>
      <c r="N1074" s="28">
        <f>N1068*_xlfn.XLOOKUP($L1074,'Balizador da Meta'!$B$4:$B$21,'Balizador da Meta'!$C$4:$C$21)</f>
        <v>23.999999999999996</v>
      </c>
      <c r="O1074" s="28">
        <f>O1068*_xlfn.XLOOKUP($L1074,'Balizador da Meta'!$B$4:$B$21,'Balizador da Meta'!$C$4:$C$21)</f>
        <v>23.999999999999996</v>
      </c>
      <c r="P1074" s="28">
        <f>P1068*_xlfn.XLOOKUP($L1074,'Balizador da Meta'!$B$4:$B$21,'Balizador da Meta'!$C$4:$C$21)</f>
        <v>23.999999999999996</v>
      </c>
      <c r="Q1074" s="28">
        <f>Q1068*_xlfn.XLOOKUP($L1074,'Balizador da Meta'!$B$4:$B$21,'Balizador da Meta'!$C$4:$C$21)</f>
        <v>23.999999999999996</v>
      </c>
      <c r="R1074" s="28">
        <f>R1068*_xlfn.XLOOKUP($L1074,'Balizador da Meta'!$B$4:$B$21,'Balizador da Meta'!$C$4:$C$21)</f>
        <v>23.999999999999996</v>
      </c>
      <c r="S1074" s="28">
        <f>S1068*_xlfn.XLOOKUP($L1074,'Balizador da Meta'!$B$4:$B$21,'Balizador da Meta'!$C$4:$C$21)</f>
        <v>23.999999999999996</v>
      </c>
      <c r="T1074" s="28">
        <f>T1068*_xlfn.XLOOKUP($L1074,'Balizador da Meta'!$B$4:$B$21,'Balizador da Meta'!$C$4:$C$21)</f>
        <v>23.999999999999996</v>
      </c>
      <c r="U1074" s="28">
        <f>U1068*_xlfn.XLOOKUP($L1074,'Balizador da Meta'!$B$4:$B$21,'Balizador da Meta'!$C$4:$C$21)</f>
        <v>23.999999999999996</v>
      </c>
      <c r="V1074" s="28">
        <f>V1068*_xlfn.XLOOKUP($L1074,'Balizador da Meta'!$B$4:$B$21,'Balizador da Meta'!$C$4:$C$21)</f>
        <v>23.999999999999996</v>
      </c>
      <c r="W1074" s="28">
        <f>W1068*_xlfn.XLOOKUP($L1074,'Balizador da Meta'!$B$4:$B$21,'Balizador da Meta'!$C$4:$C$21)</f>
        <v>23.999999999999996</v>
      </c>
      <c r="X1074" s="28">
        <f>X1068*_xlfn.XLOOKUP($L1074,'Balizador da Meta'!$B$4:$B$21,'Balizador da Meta'!$C$4:$C$21)</f>
        <v>23.999999999999996</v>
      </c>
      <c r="Y1074" s="28">
        <f>Y1068*_xlfn.XLOOKUP($L1074,'Balizador da Meta'!$B$4:$B$21,'Balizador da Meta'!$C$4:$C$21)</f>
        <v>23.999999999999996</v>
      </c>
      <c r="Z1074" s="30">
        <f t="shared" si="256"/>
        <v>287.99999999999994</v>
      </c>
      <c r="AA1074" s="29"/>
      <c r="AB1074" s="31">
        <f>SUMIFS('Historico - FAT'!AK:AK,'Historico - FAT'!$K:$K,Faturamento!$L1074,'Historico - FAT'!$I:$I,Faturamento!$J1074,'Historico - FAT'!$G:$G,Faturamento!$H1074)</f>
        <v>0</v>
      </c>
      <c r="AC1074" s="31">
        <f>SUMIFS('Historico - FAT'!AL:AL,'Historico - FAT'!$K:$K,Faturamento!$L1074,'Historico - FAT'!$I:$I,Faturamento!$J1074,'Historico - FAT'!$G:$G,Faturamento!$H1074)</f>
        <v>0</v>
      </c>
      <c r="AD1074" s="31">
        <f>SUMIFS('Historico - FAT'!AM:AM,'Historico - FAT'!$K:$K,Faturamento!$L1074,'Historico - FAT'!$I:$I,Faturamento!$J1074,'Historico - FAT'!$G:$G,Faturamento!$H1074)</f>
        <v>0</v>
      </c>
      <c r="AE1074" s="27">
        <f>SUMIFS('Historico - FAT'!AN:AN,'Historico - FAT'!$K:$K,Faturamento!$L1074,'Historico - FAT'!$I:$I,Faturamento!$J1074,'Historico - FAT'!$G:$G,Faturamento!$H1074)</f>
        <v>0</v>
      </c>
      <c r="AG1074" s="24">
        <f t="shared" ref="AG1074:AG1137" si="258">IFERROR((AVERAGE(W1074:Y1074)-AB1074)/AVERAGE(W1074:Y1074),"")</f>
        <v>1</v>
      </c>
      <c r="AH1074" s="24">
        <f t="shared" ref="AH1074:AH1137" si="259">IFERROR((AVERAGE(W1074:Y1074)-AC1074)/AVERAGE(W1074:Y1074),"")</f>
        <v>1</v>
      </c>
      <c r="AI1074" s="24">
        <f t="shared" ref="AI1074:AI1137" si="260">IFERROR((AVERAGE(W1074:Y1074)-AD1074)/AVERAGE(W1074:Y1074),"")</f>
        <v>1</v>
      </c>
    </row>
    <row r="1075" spans="1:35" hidden="1" x14ac:dyDescent="0.3">
      <c r="A1075" s="2" t="str">
        <f t="shared" si="257"/>
        <v>NÃO</v>
      </c>
      <c r="B1075" s="2">
        <v>1000184670</v>
      </c>
      <c r="C1075" s="2" t="s">
        <v>147</v>
      </c>
      <c r="D1075" s="4">
        <v>1000186197</v>
      </c>
      <c r="E1075" s="4" t="s">
        <v>166</v>
      </c>
      <c r="F1075" s="2">
        <v>1000184758</v>
      </c>
      <c r="G1075" s="2" t="s">
        <v>55</v>
      </c>
      <c r="H1075" s="4">
        <v>1000189801</v>
      </c>
      <c r="I1075" s="4" t="s">
        <v>87</v>
      </c>
      <c r="J1075" s="2">
        <v>1000189270</v>
      </c>
      <c r="K1075" s="2" t="s">
        <v>34</v>
      </c>
      <c r="L1075" s="4" t="s">
        <v>17</v>
      </c>
      <c r="M1075" s="4" t="str">
        <f t="shared" si="247"/>
        <v>1000184670100018619710001898011000189270GRANOLA</v>
      </c>
      <c r="N1075" s="28">
        <f>N1068*_xlfn.XLOOKUP($L1075,'Balizador da Meta'!$B$4:$B$21,'Balizador da Meta'!$C$4:$C$21)</f>
        <v>24</v>
      </c>
      <c r="O1075" s="28">
        <f>O1068*_xlfn.XLOOKUP($L1075,'Balizador da Meta'!$B$4:$B$21,'Balizador da Meta'!$C$4:$C$21)</f>
        <v>24</v>
      </c>
      <c r="P1075" s="28">
        <f>P1068*_xlfn.XLOOKUP($L1075,'Balizador da Meta'!$B$4:$B$21,'Balizador da Meta'!$C$4:$C$21)</f>
        <v>24</v>
      </c>
      <c r="Q1075" s="28">
        <f>Q1068*_xlfn.XLOOKUP($L1075,'Balizador da Meta'!$B$4:$B$21,'Balizador da Meta'!$C$4:$C$21)</f>
        <v>24</v>
      </c>
      <c r="R1075" s="28">
        <f>R1068*_xlfn.XLOOKUP($L1075,'Balizador da Meta'!$B$4:$B$21,'Balizador da Meta'!$C$4:$C$21)</f>
        <v>24</v>
      </c>
      <c r="S1075" s="28">
        <f>S1068*_xlfn.XLOOKUP($L1075,'Balizador da Meta'!$B$4:$B$21,'Balizador da Meta'!$C$4:$C$21)</f>
        <v>24</v>
      </c>
      <c r="T1075" s="28">
        <f>T1068*_xlfn.XLOOKUP($L1075,'Balizador da Meta'!$B$4:$B$21,'Balizador da Meta'!$C$4:$C$21)</f>
        <v>24</v>
      </c>
      <c r="U1075" s="28">
        <f>U1068*_xlfn.XLOOKUP($L1075,'Balizador da Meta'!$B$4:$B$21,'Balizador da Meta'!$C$4:$C$21)</f>
        <v>24</v>
      </c>
      <c r="V1075" s="28">
        <f>V1068*_xlfn.XLOOKUP($L1075,'Balizador da Meta'!$B$4:$B$21,'Balizador da Meta'!$C$4:$C$21)</f>
        <v>24</v>
      </c>
      <c r="W1075" s="28">
        <f>W1068*_xlfn.XLOOKUP($L1075,'Balizador da Meta'!$B$4:$B$21,'Balizador da Meta'!$C$4:$C$21)</f>
        <v>24</v>
      </c>
      <c r="X1075" s="28">
        <f>X1068*_xlfn.XLOOKUP($L1075,'Balizador da Meta'!$B$4:$B$21,'Balizador da Meta'!$C$4:$C$21)</f>
        <v>24</v>
      </c>
      <c r="Y1075" s="28">
        <f>Y1068*_xlfn.XLOOKUP($L1075,'Balizador da Meta'!$B$4:$B$21,'Balizador da Meta'!$C$4:$C$21)</f>
        <v>24</v>
      </c>
      <c r="Z1075" s="30">
        <f t="shared" si="256"/>
        <v>288</v>
      </c>
      <c r="AA1075" s="29"/>
      <c r="AB1075" s="31">
        <f>SUMIFS('Historico - FAT'!AK:AK,'Historico - FAT'!$K:$K,Faturamento!$L1075,'Historico - FAT'!$I:$I,Faturamento!$J1075,'Historico - FAT'!$G:$G,Faturamento!$H1075)</f>
        <v>0</v>
      </c>
      <c r="AC1075" s="31">
        <f>SUMIFS('Historico - FAT'!AL:AL,'Historico - FAT'!$K:$K,Faturamento!$L1075,'Historico - FAT'!$I:$I,Faturamento!$J1075,'Historico - FAT'!$G:$G,Faturamento!$H1075)</f>
        <v>0</v>
      </c>
      <c r="AD1075" s="31">
        <f>SUMIFS('Historico - FAT'!AM:AM,'Historico - FAT'!$K:$K,Faturamento!$L1075,'Historico - FAT'!$I:$I,Faturamento!$J1075,'Historico - FAT'!$G:$G,Faturamento!$H1075)</f>
        <v>0</v>
      </c>
      <c r="AE1075" s="27">
        <f>SUMIFS('Historico - FAT'!AN:AN,'Historico - FAT'!$K:$K,Faturamento!$L1075,'Historico - FAT'!$I:$I,Faturamento!$J1075,'Historico - FAT'!$G:$G,Faturamento!$H1075)</f>
        <v>0</v>
      </c>
      <c r="AG1075" s="24">
        <f t="shared" si="258"/>
        <v>1</v>
      </c>
      <c r="AH1075" s="24">
        <f t="shared" si="259"/>
        <v>1</v>
      </c>
      <c r="AI1075" s="24">
        <f t="shared" si="260"/>
        <v>1</v>
      </c>
    </row>
    <row r="1076" spans="1:35" hidden="1" x14ac:dyDescent="0.3">
      <c r="A1076" s="2" t="str">
        <f t="shared" si="257"/>
        <v>NÃO</v>
      </c>
      <c r="B1076" s="2">
        <v>1000184670</v>
      </c>
      <c r="C1076" s="2" t="s">
        <v>147</v>
      </c>
      <c r="D1076" s="4">
        <v>1000186197</v>
      </c>
      <c r="E1076" s="4" t="s">
        <v>166</v>
      </c>
      <c r="F1076" s="2">
        <v>1000184758</v>
      </c>
      <c r="G1076" s="2" t="s">
        <v>55</v>
      </c>
      <c r="H1076" s="4">
        <v>1000189801</v>
      </c>
      <c r="I1076" s="4" t="s">
        <v>87</v>
      </c>
      <c r="J1076" s="2">
        <v>1000189270</v>
      </c>
      <c r="K1076" s="2" t="s">
        <v>34</v>
      </c>
      <c r="L1076" s="4" t="s">
        <v>24</v>
      </c>
      <c r="M1076" s="4" t="str">
        <f t="shared" si="247"/>
        <v>1000184670100018619710001898011000189270KIDS</v>
      </c>
      <c r="N1076" s="28">
        <f>N1068*_xlfn.XLOOKUP($L1076,'Balizador da Meta'!$B$4:$B$21,'Balizador da Meta'!$C$4:$C$21)</f>
        <v>0</v>
      </c>
      <c r="O1076" s="28">
        <f>O1068*_xlfn.XLOOKUP($L1076,'Balizador da Meta'!$B$4:$B$21,'Balizador da Meta'!$C$4:$C$21)</f>
        <v>0</v>
      </c>
      <c r="P1076" s="28">
        <f>P1068*_xlfn.XLOOKUP($L1076,'Balizador da Meta'!$B$4:$B$21,'Balizador da Meta'!$C$4:$C$21)</f>
        <v>0</v>
      </c>
      <c r="Q1076" s="28">
        <f>Q1068*_xlfn.XLOOKUP($L1076,'Balizador da Meta'!$B$4:$B$21,'Balizador da Meta'!$C$4:$C$21)</f>
        <v>0</v>
      </c>
      <c r="R1076" s="28">
        <f>R1068*_xlfn.XLOOKUP($L1076,'Balizador da Meta'!$B$4:$B$21,'Balizador da Meta'!$C$4:$C$21)</f>
        <v>0</v>
      </c>
      <c r="S1076" s="28">
        <f>S1068*_xlfn.XLOOKUP($L1076,'Balizador da Meta'!$B$4:$B$21,'Balizador da Meta'!$C$4:$C$21)</f>
        <v>0</v>
      </c>
      <c r="T1076" s="28">
        <f>T1068*_xlfn.XLOOKUP($L1076,'Balizador da Meta'!$B$4:$B$21,'Balizador da Meta'!$C$4:$C$21)</f>
        <v>0</v>
      </c>
      <c r="U1076" s="28">
        <f>U1068*_xlfn.XLOOKUP($L1076,'Balizador da Meta'!$B$4:$B$21,'Balizador da Meta'!$C$4:$C$21)</f>
        <v>0</v>
      </c>
      <c r="V1076" s="28">
        <f>V1068*_xlfn.XLOOKUP($L1076,'Balizador da Meta'!$B$4:$B$21,'Balizador da Meta'!$C$4:$C$21)</f>
        <v>0</v>
      </c>
      <c r="W1076" s="28">
        <f>W1068*_xlfn.XLOOKUP($L1076,'Balizador da Meta'!$B$4:$B$21,'Balizador da Meta'!$C$4:$C$21)</f>
        <v>0</v>
      </c>
      <c r="X1076" s="28">
        <f>X1068*_xlfn.XLOOKUP($L1076,'Balizador da Meta'!$B$4:$B$21,'Balizador da Meta'!$C$4:$C$21)</f>
        <v>0</v>
      </c>
      <c r="Y1076" s="28">
        <f>Y1068*_xlfn.XLOOKUP($L1076,'Balizador da Meta'!$B$4:$B$21,'Balizador da Meta'!$C$4:$C$21)</f>
        <v>0</v>
      </c>
      <c r="Z1076" s="30">
        <f t="shared" si="256"/>
        <v>0</v>
      </c>
      <c r="AA1076" s="29"/>
      <c r="AB1076" s="31">
        <f>SUMIFS('Historico - FAT'!AK:AK,'Historico - FAT'!$K:$K,Faturamento!$L1076,'Historico - FAT'!$I:$I,Faturamento!$J1076,'Historico - FAT'!$G:$G,Faturamento!$H1076)</f>
        <v>0</v>
      </c>
      <c r="AC1076" s="31">
        <f>SUMIFS('Historico - FAT'!AL:AL,'Historico - FAT'!$K:$K,Faturamento!$L1076,'Historico - FAT'!$I:$I,Faturamento!$J1076,'Historico - FAT'!$G:$G,Faturamento!$H1076)</f>
        <v>0</v>
      </c>
      <c r="AD1076" s="31">
        <f>SUMIFS('Historico - FAT'!AM:AM,'Historico - FAT'!$K:$K,Faturamento!$L1076,'Historico - FAT'!$I:$I,Faturamento!$J1076,'Historico - FAT'!$G:$G,Faturamento!$H1076)</f>
        <v>0</v>
      </c>
      <c r="AE1076" s="27">
        <f>SUMIFS('Historico - FAT'!AN:AN,'Historico - FAT'!$K:$K,Faturamento!$L1076,'Historico - FAT'!$I:$I,Faturamento!$J1076,'Historico - FAT'!$G:$G,Faturamento!$H1076)</f>
        <v>0</v>
      </c>
      <c r="AG1076" s="24" t="str">
        <f t="shared" si="258"/>
        <v/>
      </c>
      <c r="AH1076" s="24" t="str">
        <f t="shared" si="259"/>
        <v/>
      </c>
      <c r="AI1076" s="24" t="str">
        <f t="shared" si="260"/>
        <v/>
      </c>
    </row>
    <row r="1077" spans="1:35" hidden="1" x14ac:dyDescent="0.3">
      <c r="A1077" s="2" t="str">
        <f t="shared" si="257"/>
        <v>NÃO</v>
      </c>
      <c r="B1077" s="2">
        <v>1000184670</v>
      </c>
      <c r="C1077" s="2" t="s">
        <v>147</v>
      </c>
      <c r="D1077" s="4">
        <v>1000186197</v>
      </c>
      <c r="E1077" s="4" t="s">
        <v>166</v>
      </c>
      <c r="F1077" s="2">
        <v>1000184758</v>
      </c>
      <c r="G1077" s="2" t="s">
        <v>55</v>
      </c>
      <c r="H1077" s="4">
        <v>1000189801</v>
      </c>
      <c r="I1077" s="4" t="s">
        <v>87</v>
      </c>
      <c r="J1077" s="2">
        <v>1000189270</v>
      </c>
      <c r="K1077" s="2" t="s">
        <v>34</v>
      </c>
      <c r="L1077" s="4" t="s">
        <v>18</v>
      </c>
      <c r="M1077" s="4" t="str">
        <f t="shared" si="247"/>
        <v>1000184670100018619710001898011000189270LANCHES</v>
      </c>
      <c r="N1077" s="28">
        <f>N1068*_xlfn.XLOOKUP($L1077,'Balizador da Meta'!$B$4:$B$21,'Balizador da Meta'!$C$4:$C$21)</f>
        <v>12</v>
      </c>
      <c r="O1077" s="28">
        <f>O1068*_xlfn.XLOOKUP($L1077,'Balizador da Meta'!$B$4:$B$21,'Balizador da Meta'!$C$4:$C$21)</f>
        <v>12</v>
      </c>
      <c r="P1077" s="28">
        <f>P1068*_xlfn.XLOOKUP($L1077,'Balizador da Meta'!$B$4:$B$21,'Balizador da Meta'!$C$4:$C$21)</f>
        <v>12</v>
      </c>
      <c r="Q1077" s="28">
        <f>Q1068*_xlfn.XLOOKUP($L1077,'Balizador da Meta'!$B$4:$B$21,'Balizador da Meta'!$C$4:$C$21)</f>
        <v>12</v>
      </c>
      <c r="R1077" s="28">
        <f>R1068*_xlfn.XLOOKUP($L1077,'Balizador da Meta'!$B$4:$B$21,'Balizador da Meta'!$C$4:$C$21)</f>
        <v>12</v>
      </c>
      <c r="S1077" s="28">
        <f>S1068*_xlfn.XLOOKUP($L1077,'Balizador da Meta'!$B$4:$B$21,'Balizador da Meta'!$C$4:$C$21)</f>
        <v>12</v>
      </c>
      <c r="T1077" s="28">
        <f>T1068*_xlfn.XLOOKUP($L1077,'Balizador da Meta'!$B$4:$B$21,'Balizador da Meta'!$C$4:$C$21)</f>
        <v>12</v>
      </c>
      <c r="U1077" s="28">
        <f>U1068*_xlfn.XLOOKUP($L1077,'Balizador da Meta'!$B$4:$B$21,'Balizador da Meta'!$C$4:$C$21)</f>
        <v>12</v>
      </c>
      <c r="V1077" s="28">
        <f>V1068*_xlfn.XLOOKUP($L1077,'Balizador da Meta'!$B$4:$B$21,'Balizador da Meta'!$C$4:$C$21)</f>
        <v>12</v>
      </c>
      <c r="W1077" s="28">
        <f>W1068*_xlfn.XLOOKUP($L1077,'Balizador da Meta'!$B$4:$B$21,'Balizador da Meta'!$C$4:$C$21)</f>
        <v>12</v>
      </c>
      <c r="X1077" s="28">
        <f>X1068*_xlfn.XLOOKUP($L1077,'Balizador da Meta'!$B$4:$B$21,'Balizador da Meta'!$C$4:$C$21)</f>
        <v>12</v>
      </c>
      <c r="Y1077" s="28">
        <f>Y1068*_xlfn.XLOOKUP($L1077,'Balizador da Meta'!$B$4:$B$21,'Balizador da Meta'!$C$4:$C$21)</f>
        <v>12</v>
      </c>
      <c r="Z1077" s="30">
        <f t="shared" si="256"/>
        <v>144</v>
      </c>
      <c r="AA1077" s="29"/>
      <c r="AB1077" s="31">
        <f>SUMIFS('Historico - FAT'!AK:AK,'Historico - FAT'!$K:$K,Faturamento!$L1077,'Historico - FAT'!$I:$I,Faturamento!$J1077,'Historico - FAT'!$G:$G,Faturamento!$H1077)</f>
        <v>0</v>
      </c>
      <c r="AC1077" s="31">
        <f>SUMIFS('Historico - FAT'!AL:AL,'Historico - FAT'!$K:$K,Faturamento!$L1077,'Historico - FAT'!$I:$I,Faturamento!$J1077,'Historico - FAT'!$G:$G,Faturamento!$H1077)</f>
        <v>0</v>
      </c>
      <c r="AD1077" s="31">
        <f>SUMIFS('Historico - FAT'!AM:AM,'Historico - FAT'!$K:$K,Faturamento!$L1077,'Historico - FAT'!$I:$I,Faturamento!$J1077,'Historico - FAT'!$G:$G,Faturamento!$H1077)</f>
        <v>0</v>
      </c>
      <c r="AE1077" s="27">
        <f>SUMIFS('Historico - FAT'!AN:AN,'Historico - FAT'!$K:$K,Faturamento!$L1077,'Historico - FAT'!$I:$I,Faturamento!$J1077,'Historico - FAT'!$G:$G,Faturamento!$H1077)</f>
        <v>0</v>
      </c>
      <c r="AG1077" s="24">
        <f t="shared" si="258"/>
        <v>1</v>
      </c>
      <c r="AH1077" s="24">
        <f t="shared" si="259"/>
        <v>1</v>
      </c>
      <c r="AI1077" s="24">
        <f t="shared" si="260"/>
        <v>1</v>
      </c>
    </row>
    <row r="1078" spans="1:35" hidden="1" x14ac:dyDescent="0.3">
      <c r="A1078" s="2" t="str">
        <f t="shared" si="257"/>
        <v>NÃO</v>
      </c>
      <c r="B1078" s="2">
        <v>1000184670</v>
      </c>
      <c r="C1078" s="2" t="s">
        <v>147</v>
      </c>
      <c r="D1078" s="4">
        <v>1000186197</v>
      </c>
      <c r="E1078" s="4" t="s">
        <v>166</v>
      </c>
      <c r="F1078" s="2">
        <v>1000184758</v>
      </c>
      <c r="G1078" s="2" t="s">
        <v>55</v>
      </c>
      <c r="H1078" s="4">
        <v>1000189801</v>
      </c>
      <c r="I1078" s="4" t="s">
        <v>87</v>
      </c>
      <c r="J1078" s="2">
        <v>1000189270</v>
      </c>
      <c r="K1078" s="2" t="s">
        <v>34</v>
      </c>
      <c r="L1078" s="4" t="s">
        <v>29</v>
      </c>
      <c r="M1078" s="4" t="str">
        <f t="shared" si="247"/>
        <v>1000184670100018619710001898011000189270MAIS GRANEL</v>
      </c>
      <c r="N1078" s="28">
        <f>N1068*_xlfn.XLOOKUP($L1078,'Balizador da Meta'!$B$4:$B$21,'Balizador da Meta'!$C$4:$C$21)</f>
        <v>384</v>
      </c>
      <c r="O1078" s="28">
        <f>O1068*_xlfn.XLOOKUP($L1078,'Balizador da Meta'!$B$4:$B$21,'Balizador da Meta'!$C$4:$C$21)</f>
        <v>384</v>
      </c>
      <c r="P1078" s="28">
        <f>P1068*_xlfn.XLOOKUP($L1078,'Balizador da Meta'!$B$4:$B$21,'Balizador da Meta'!$C$4:$C$21)</f>
        <v>384</v>
      </c>
      <c r="Q1078" s="28">
        <f>Q1068*_xlfn.XLOOKUP($L1078,'Balizador da Meta'!$B$4:$B$21,'Balizador da Meta'!$C$4:$C$21)</f>
        <v>384</v>
      </c>
      <c r="R1078" s="28">
        <f>R1068*_xlfn.XLOOKUP($L1078,'Balizador da Meta'!$B$4:$B$21,'Balizador da Meta'!$C$4:$C$21)</f>
        <v>384</v>
      </c>
      <c r="S1078" s="28">
        <f>S1068*_xlfn.XLOOKUP($L1078,'Balizador da Meta'!$B$4:$B$21,'Balizador da Meta'!$C$4:$C$21)</f>
        <v>384</v>
      </c>
      <c r="T1078" s="28">
        <f>T1068*_xlfn.XLOOKUP($L1078,'Balizador da Meta'!$B$4:$B$21,'Balizador da Meta'!$C$4:$C$21)</f>
        <v>384</v>
      </c>
      <c r="U1078" s="28">
        <f>U1068*_xlfn.XLOOKUP($L1078,'Balizador da Meta'!$B$4:$B$21,'Balizador da Meta'!$C$4:$C$21)</f>
        <v>384</v>
      </c>
      <c r="V1078" s="28">
        <f>V1068*_xlfn.XLOOKUP($L1078,'Balizador da Meta'!$B$4:$B$21,'Balizador da Meta'!$C$4:$C$21)</f>
        <v>384</v>
      </c>
      <c r="W1078" s="28">
        <f>W1068*_xlfn.XLOOKUP($L1078,'Balizador da Meta'!$B$4:$B$21,'Balizador da Meta'!$C$4:$C$21)</f>
        <v>384</v>
      </c>
      <c r="X1078" s="28">
        <f>X1068*_xlfn.XLOOKUP($L1078,'Balizador da Meta'!$B$4:$B$21,'Balizador da Meta'!$C$4:$C$21)</f>
        <v>384</v>
      </c>
      <c r="Y1078" s="28">
        <f>Y1068*_xlfn.XLOOKUP($L1078,'Balizador da Meta'!$B$4:$B$21,'Balizador da Meta'!$C$4:$C$21)</f>
        <v>384</v>
      </c>
      <c r="Z1078" s="30">
        <f t="shared" si="256"/>
        <v>4608</v>
      </c>
      <c r="AA1078" s="29"/>
      <c r="AB1078" s="31">
        <f>SUMIFS('Historico - FAT'!AK:AK,'Historico - FAT'!$K:$K,Faturamento!$L1078,'Historico - FAT'!$I:$I,Faturamento!$J1078,'Historico - FAT'!$G:$G,Faturamento!$H1078)</f>
        <v>0</v>
      </c>
      <c r="AC1078" s="31">
        <f>SUMIFS('Historico - FAT'!AL:AL,'Historico - FAT'!$K:$K,Faturamento!$L1078,'Historico - FAT'!$I:$I,Faturamento!$J1078,'Historico - FAT'!$G:$G,Faturamento!$H1078)</f>
        <v>0</v>
      </c>
      <c r="AD1078" s="31">
        <f>SUMIFS('Historico - FAT'!AM:AM,'Historico - FAT'!$K:$K,Faturamento!$L1078,'Historico - FAT'!$I:$I,Faturamento!$J1078,'Historico - FAT'!$G:$G,Faturamento!$H1078)</f>
        <v>0</v>
      </c>
      <c r="AE1078" s="27">
        <f>SUMIFS('Historico - FAT'!AN:AN,'Historico - FAT'!$K:$K,Faturamento!$L1078,'Historico - FAT'!$I:$I,Faturamento!$J1078,'Historico - FAT'!$G:$G,Faturamento!$H1078)</f>
        <v>0</v>
      </c>
      <c r="AG1078" s="24">
        <f t="shared" si="258"/>
        <v>1</v>
      </c>
      <c r="AH1078" s="24">
        <f t="shared" si="259"/>
        <v>1</v>
      </c>
      <c r="AI1078" s="24">
        <f t="shared" si="260"/>
        <v>1</v>
      </c>
    </row>
    <row r="1079" spans="1:35" hidden="1" x14ac:dyDescent="0.3">
      <c r="A1079" s="2" t="str">
        <f t="shared" si="257"/>
        <v>NÃO</v>
      </c>
      <c r="B1079" s="2">
        <v>1000184670</v>
      </c>
      <c r="C1079" s="2" t="s">
        <v>147</v>
      </c>
      <c r="D1079" s="4">
        <v>1000186197</v>
      </c>
      <c r="E1079" s="4" t="s">
        <v>166</v>
      </c>
      <c r="F1079" s="2">
        <v>1000184758</v>
      </c>
      <c r="G1079" s="2" t="s">
        <v>55</v>
      </c>
      <c r="H1079" s="4">
        <v>1000189801</v>
      </c>
      <c r="I1079" s="4" t="s">
        <v>87</v>
      </c>
      <c r="J1079" s="2">
        <v>1000189270</v>
      </c>
      <c r="K1079" s="2" t="s">
        <v>34</v>
      </c>
      <c r="L1079" s="4" t="s">
        <v>21</v>
      </c>
      <c r="M1079" s="4" t="str">
        <f t="shared" si="247"/>
        <v>1000184670100018619710001898011000189270NATURATTA</v>
      </c>
      <c r="N1079" s="28">
        <f>N1068*_xlfn.XLOOKUP($L1079,'Balizador da Meta'!$B$4:$B$21,'Balizador da Meta'!$C$4:$C$21)</f>
        <v>60</v>
      </c>
      <c r="O1079" s="28">
        <f>O1068*_xlfn.XLOOKUP($L1079,'Balizador da Meta'!$B$4:$B$21,'Balizador da Meta'!$C$4:$C$21)</f>
        <v>60</v>
      </c>
      <c r="P1079" s="28">
        <f>P1068*_xlfn.XLOOKUP($L1079,'Balizador da Meta'!$B$4:$B$21,'Balizador da Meta'!$C$4:$C$21)</f>
        <v>60</v>
      </c>
      <c r="Q1079" s="28">
        <f>Q1068*_xlfn.XLOOKUP($L1079,'Balizador da Meta'!$B$4:$B$21,'Balizador da Meta'!$C$4:$C$21)</f>
        <v>60</v>
      </c>
      <c r="R1079" s="28">
        <f>R1068*_xlfn.XLOOKUP($L1079,'Balizador da Meta'!$B$4:$B$21,'Balizador da Meta'!$C$4:$C$21)</f>
        <v>60</v>
      </c>
      <c r="S1079" s="28">
        <f>S1068*_xlfn.XLOOKUP($L1079,'Balizador da Meta'!$B$4:$B$21,'Balizador da Meta'!$C$4:$C$21)</f>
        <v>60</v>
      </c>
      <c r="T1079" s="28">
        <f>T1068*_xlfn.XLOOKUP($L1079,'Balizador da Meta'!$B$4:$B$21,'Balizador da Meta'!$C$4:$C$21)</f>
        <v>60</v>
      </c>
      <c r="U1079" s="28">
        <f>U1068*_xlfn.XLOOKUP($L1079,'Balizador da Meta'!$B$4:$B$21,'Balizador da Meta'!$C$4:$C$21)</f>
        <v>60</v>
      </c>
      <c r="V1079" s="28">
        <f>V1068*_xlfn.XLOOKUP($L1079,'Balizador da Meta'!$B$4:$B$21,'Balizador da Meta'!$C$4:$C$21)</f>
        <v>60</v>
      </c>
      <c r="W1079" s="28">
        <f>W1068*_xlfn.XLOOKUP($L1079,'Balizador da Meta'!$B$4:$B$21,'Balizador da Meta'!$C$4:$C$21)</f>
        <v>60</v>
      </c>
      <c r="X1079" s="28">
        <f>X1068*_xlfn.XLOOKUP($L1079,'Balizador da Meta'!$B$4:$B$21,'Balizador da Meta'!$C$4:$C$21)</f>
        <v>60</v>
      </c>
      <c r="Y1079" s="28">
        <f>Y1068*_xlfn.XLOOKUP($L1079,'Balizador da Meta'!$B$4:$B$21,'Balizador da Meta'!$C$4:$C$21)</f>
        <v>60</v>
      </c>
      <c r="Z1079" s="30">
        <f t="shared" si="256"/>
        <v>720</v>
      </c>
      <c r="AA1079" s="29"/>
      <c r="AB1079" s="31">
        <f>SUMIFS('Historico - FAT'!AK:AK,'Historico - FAT'!$K:$K,Faturamento!$L1079,'Historico - FAT'!$I:$I,Faturamento!$J1079,'Historico - FAT'!$G:$G,Faturamento!$H1079)</f>
        <v>0</v>
      </c>
      <c r="AC1079" s="31">
        <f>SUMIFS('Historico - FAT'!AL:AL,'Historico - FAT'!$K:$K,Faturamento!$L1079,'Historico - FAT'!$I:$I,Faturamento!$J1079,'Historico - FAT'!$G:$G,Faturamento!$H1079)</f>
        <v>0</v>
      </c>
      <c r="AD1079" s="31">
        <f>SUMIFS('Historico - FAT'!AM:AM,'Historico - FAT'!$K:$K,Faturamento!$L1079,'Historico - FAT'!$I:$I,Faturamento!$J1079,'Historico - FAT'!$G:$G,Faturamento!$H1079)</f>
        <v>0</v>
      </c>
      <c r="AE1079" s="27">
        <f>SUMIFS('Historico - FAT'!AN:AN,'Historico - FAT'!$K:$K,Faturamento!$L1079,'Historico - FAT'!$I:$I,Faturamento!$J1079,'Historico - FAT'!$G:$G,Faturamento!$H1079)</f>
        <v>0</v>
      </c>
      <c r="AG1079" s="24">
        <f t="shared" si="258"/>
        <v>1</v>
      </c>
      <c r="AH1079" s="24">
        <f t="shared" si="259"/>
        <v>1</v>
      </c>
      <c r="AI1079" s="24">
        <f t="shared" si="260"/>
        <v>1</v>
      </c>
    </row>
    <row r="1080" spans="1:35" hidden="1" x14ac:dyDescent="0.3">
      <c r="A1080" s="2" t="str">
        <f t="shared" si="257"/>
        <v>NÃO</v>
      </c>
      <c r="B1080" s="2">
        <v>1000184670</v>
      </c>
      <c r="C1080" s="2" t="s">
        <v>147</v>
      </c>
      <c r="D1080" s="4">
        <v>1000186197</v>
      </c>
      <c r="E1080" s="4" t="s">
        <v>166</v>
      </c>
      <c r="F1080" s="2">
        <v>1000184758</v>
      </c>
      <c r="G1080" s="2" t="s">
        <v>55</v>
      </c>
      <c r="H1080" s="4">
        <v>1000189801</v>
      </c>
      <c r="I1080" s="4" t="s">
        <v>87</v>
      </c>
      <c r="J1080" s="2">
        <v>1000189270</v>
      </c>
      <c r="K1080" s="2" t="s">
        <v>34</v>
      </c>
      <c r="L1080" s="4" t="s">
        <v>20</v>
      </c>
      <c r="M1080" s="4" t="str">
        <f t="shared" si="247"/>
        <v>1000184670100018619710001898011000189270REEMBALADOS</v>
      </c>
      <c r="N1080" s="28">
        <f>N1068*_xlfn.XLOOKUP($L1080,'Balizador da Meta'!$B$4:$B$21,'Balizador da Meta'!$C$4:$C$21)</f>
        <v>48</v>
      </c>
      <c r="O1080" s="28">
        <f>O1068*_xlfn.XLOOKUP($L1080,'Balizador da Meta'!$B$4:$B$21,'Balizador da Meta'!$C$4:$C$21)</f>
        <v>48</v>
      </c>
      <c r="P1080" s="28">
        <f>P1068*_xlfn.XLOOKUP($L1080,'Balizador da Meta'!$B$4:$B$21,'Balizador da Meta'!$C$4:$C$21)</f>
        <v>48</v>
      </c>
      <c r="Q1080" s="28">
        <f>Q1068*_xlfn.XLOOKUP($L1080,'Balizador da Meta'!$B$4:$B$21,'Balizador da Meta'!$C$4:$C$21)</f>
        <v>48</v>
      </c>
      <c r="R1080" s="28">
        <f>R1068*_xlfn.XLOOKUP($L1080,'Balizador da Meta'!$B$4:$B$21,'Balizador da Meta'!$C$4:$C$21)</f>
        <v>48</v>
      </c>
      <c r="S1080" s="28">
        <f>S1068*_xlfn.XLOOKUP($L1080,'Balizador da Meta'!$B$4:$B$21,'Balizador da Meta'!$C$4:$C$21)</f>
        <v>48</v>
      </c>
      <c r="T1080" s="28">
        <f>T1068*_xlfn.XLOOKUP($L1080,'Balizador da Meta'!$B$4:$B$21,'Balizador da Meta'!$C$4:$C$21)</f>
        <v>48</v>
      </c>
      <c r="U1080" s="28">
        <f>U1068*_xlfn.XLOOKUP($L1080,'Balizador da Meta'!$B$4:$B$21,'Balizador da Meta'!$C$4:$C$21)</f>
        <v>48</v>
      </c>
      <c r="V1080" s="28">
        <f>V1068*_xlfn.XLOOKUP($L1080,'Balizador da Meta'!$B$4:$B$21,'Balizador da Meta'!$C$4:$C$21)</f>
        <v>48</v>
      </c>
      <c r="W1080" s="28">
        <f>W1068*_xlfn.XLOOKUP($L1080,'Balizador da Meta'!$B$4:$B$21,'Balizador da Meta'!$C$4:$C$21)</f>
        <v>48</v>
      </c>
      <c r="X1080" s="28">
        <f>X1068*_xlfn.XLOOKUP($L1080,'Balizador da Meta'!$B$4:$B$21,'Balizador da Meta'!$C$4:$C$21)</f>
        <v>48</v>
      </c>
      <c r="Y1080" s="28">
        <f>Y1068*_xlfn.XLOOKUP($L1080,'Balizador da Meta'!$B$4:$B$21,'Balizador da Meta'!$C$4:$C$21)</f>
        <v>48</v>
      </c>
      <c r="Z1080" s="30">
        <f t="shared" si="256"/>
        <v>576</v>
      </c>
      <c r="AA1080" s="29"/>
      <c r="AB1080" s="31">
        <f>SUMIFS('Historico - FAT'!AK:AK,'Historico - FAT'!$K:$K,Faturamento!$L1080,'Historico - FAT'!$I:$I,Faturamento!$J1080,'Historico - FAT'!$G:$G,Faturamento!$H1080)</f>
        <v>0</v>
      </c>
      <c r="AC1080" s="31">
        <f>SUMIFS('Historico - FAT'!AL:AL,'Historico - FAT'!$K:$K,Faturamento!$L1080,'Historico - FAT'!$I:$I,Faturamento!$J1080,'Historico - FAT'!$G:$G,Faturamento!$H1080)</f>
        <v>0</v>
      </c>
      <c r="AD1080" s="31">
        <f>SUMIFS('Historico - FAT'!AM:AM,'Historico - FAT'!$K:$K,Faturamento!$L1080,'Historico - FAT'!$I:$I,Faturamento!$J1080,'Historico - FAT'!$G:$G,Faturamento!$H1080)</f>
        <v>0</v>
      </c>
      <c r="AE1080" s="27">
        <f>SUMIFS('Historico - FAT'!AN:AN,'Historico - FAT'!$K:$K,Faturamento!$L1080,'Historico - FAT'!$I:$I,Faturamento!$J1080,'Historico - FAT'!$G:$G,Faturamento!$H1080)</f>
        <v>0</v>
      </c>
      <c r="AG1080" s="24">
        <f t="shared" si="258"/>
        <v>1</v>
      </c>
      <c r="AH1080" s="24">
        <f t="shared" si="259"/>
        <v>1</v>
      </c>
      <c r="AI1080" s="24">
        <f t="shared" si="260"/>
        <v>1</v>
      </c>
    </row>
    <row r="1081" spans="1:35" hidden="1" x14ac:dyDescent="0.3">
      <c r="A1081" s="2" t="str">
        <f t="shared" si="257"/>
        <v>NÃO</v>
      </c>
      <c r="B1081" s="2">
        <v>1000184670</v>
      </c>
      <c r="C1081" s="2" t="s">
        <v>147</v>
      </c>
      <c r="D1081" s="4">
        <v>1000186197</v>
      </c>
      <c r="E1081" s="4" t="s">
        <v>166</v>
      </c>
      <c r="F1081" s="2">
        <v>1000184758</v>
      </c>
      <c r="G1081" s="2" t="s">
        <v>55</v>
      </c>
      <c r="H1081" s="4">
        <v>1000189801</v>
      </c>
      <c r="I1081" s="4" t="s">
        <v>87</v>
      </c>
      <c r="J1081" s="2">
        <v>1000189270</v>
      </c>
      <c r="K1081" s="2" t="s">
        <v>34</v>
      </c>
      <c r="L1081" s="4" t="s">
        <v>22</v>
      </c>
      <c r="M1081" s="4" t="str">
        <f t="shared" si="247"/>
        <v>1000184670100018619710001898011000189270S GLUTEN</v>
      </c>
      <c r="N1081" s="28">
        <f>N1068*_xlfn.XLOOKUP($L1081,'Balizador da Meta'!$B$4:$B$21,'Balizador da Meta'!$C$4:$C$21)</f>
        <v>48</v>
      </c>
      <c r="O1081" s="28">
        <f>O1068*_xlfn.XLOOKUP($L1081,'Balizador da Meta'!$B$4:$B$21,'Balizador da Meta'!$C$4:$C$21)</f>
        <v>48</v>
      </c>
      <c r="P1081" s="28">
        <f>P1068*_xlfn.XLOOKUP($L1081,'Balizador da Meta'!$B$4:$B$21,'Balizador da Meta'!$C$4:$C$21)</f>
        <v>48</v>
      </c>
      <c r="Q1081" s="28">
        <f>Q1068*_xlfn.XLOOKUP($L1081,'Balizador da Meta'!$B$4:$B$21,'Balizador da Meta'!$C$4:$C$21)</f>
        <v>48</v>
      </c>
      <c r="R1081" s="28">
        <f>R1068*_xlfn.XLOOKUP($L1081,'Balizador da Meta'!$B$4:$B$21,'Balizador da Meta'!$C$4:$C$21)</f>
        <v>48</v>
      </c>
      <c r="S1081" s="28">
        <f>S1068*_xlfn.XLOOKUP($L1081,'Balizador da Meta'!$B$4:$B$21,'Balizador da Meta'!$C$4:$C$21)</f>
        <v>48</v>
      </c>
      <c r="T1081" s="28">
        <f>T1068*_xlfn.XLOOKUP($L1081,'Balizador da Meta'!$B$4:$B$21,'Balizador da Meta'!$C$4:$C$21)</f>
        <v>48</v>
      </c>
      <c r="U1081" s="28">
        <f>U1068*_xlfn.XLOOKUP($L1081,'Balizador da Meta'!$B$4:$B$21,'Balizador da Meta'!$C$4:$C$21)</f>
        <v>48</v>
      </c>
      <c r="V1081" s="28">
        <f>V1068*_xlfn.XLOOKUP($L1081,'Balizador da Meta'!$B$4:$B$21,'Balizador da Meta'!$C$4:$C$21)</f>
        <v>48</v>
      </c>
      <c r="W1081" s="28">
        <f>W1068*_xlfn.XLOOKUP($L1081,'Balizador da Meta'!$B$4:$B$21,'Balizador da Meta'!$C$4:$C$21)</f>
        <v>48</v>
      </c>
      <c r="X1081" s="28">
        <f>X1068*_xlfn.XLOOKUP($L1081,'Balizador da Meta'!$B$4:$B$21,'Balizador da Meta'!$C$4:$C$21)</f>
        <v>48</v>
      </c>
      <c r="Y1081" s="28">
        <f>Y1068*_xlfn.XLOOKUP($L1081,'Balizador da Meta'!$B$4:$B$21,'Balizador da Meta'!$C$4:$C$21)</f>
        <v>48</v>
      </c>
      <c r="Z1081" s="30">
        <f t="shared" si="256"/>
        <v>576</v>
      </c>
      <c r="AA1081" s="29"/>
      <c r="AB1081" s="31">
        <f>SUMIFS('Historico - FAT'!AK:AK,'Historico - FAT'!$K:$K,Faturamento!$L1081,'Historico - FAT'!$I:$I,Faturamento!$J1081,'Historico - FAT'!$G:$G,Faturamento!$H1081)</f>
        <v>0</v>
      </c>
      <c r="AC1081" s="31">
        <f>SUMIFS('Historico - FAT'!AL:AL,'Historico - FAT'!$K:$K,Faturamento!$L1081,'Historico - FAT'!$I:$I,Faturamento!$J1081,'Historico - FAT'!$G:$G,Faturamento!$H1081)</f>
        <v>0</v>
      </c>
      <c r="AD1081" s="31">
        <f>SUMIFS('Historico - FAT'!AM:AM,'Historico - FAT'!$K:$K,Faturamento!$L1081,'Historico - FAT'!$I:$I,Faturamento!$J1081,'Historico - FAT'!$G:$G,Faturamento!$H1081)</f>
        <v>0</v>
      </c>
      <c r="AE1081" s="27">
        <f>SUMIFS('Historico - FAT'!AN:AN,'Historico - FAT'!$K:$K,Faturamento!$L1081,'Historico - FAT'!$I:$I,Faturamento!$J1081,'Historico - FAT'!$G:$G,Faturamento!$H1081)</f>
        <v>0</v>
      </c>
      <c r="AG1081" s="24">
        <f t="shared" si="258"/>
        <v>1</v>
      </c>
      <c r="AH1081" s="24">
        <f t="shared" si="259"/>
        <v>1</v>
      </c>
      <c r="AI1081" s="24">
        <f t="shared" si="260"/>
        <v>1</v>
      </c>
    </row>
    <row r="1082" spans="1:35" hidden="1" x14ac:dyDescent="0.3">
      <c r="A1082" s="2" t="str">
        <f t="shared" si="257"/>
        <v>NÃO</v>
      </c>
      <c r="B1082" s="2">
        <v>1000184670</v>
      </c>
      <c r="C1082" s="2" t="s">
        <v>147</v>
      </c>
      <c r="D1082" s="4">
        <v>1000186197</v>
      </c>
      <c r="E1082" s="4" t="s">
        <v>166</v>
      </c>
      <c r="F1082" s="2">
        <v>1000184758</v>
      </c>
      <c r="G1082" s="2" t="s">
        <v>55</v>
      </c>
      <c r="H1082" s="4">
        <v>1000189801</v>
      </c>
      <c r="I1082" s="4" t="s">
        <v>87</v>
      </c>
      <c r="J1082" s="2">
        <v>1000189270</v>
      </c>
      <c r="K1082" s="2" t="s">
        <v>34</v>
      </c>
      <c r="L1082" s="4" t="s">
        <v>23</v>
      </c>
      <c r="M1082" s="4" t="str">
        <f t="shared" si="247"/>
        <v>1000184670100018619710001898011000189270SABORES DO CAMPO</v>
      </c>
      <c r="N1082" s="28">
        <f>N1068*_xlfn.XLOOKUP($L1082,'Balizador da Meta'!$B$4:$B$21,'Balizador da Meta'!$C$4:$C$21)</f>
        <v>0</v>
      </c>
      <c r="O1082" s="28">
        <f>O1068*_xlfn.XLOOKUP($L1082,'Balizador da Meta'!$B$4:$B$21,'Balizador da Meta'!$C$4:$C$21)</f>
        <v>0</v>
      </c>
      <c r="P1082" s="28">
        <f>P1068*_xlfn.XLOOKUP($L1082,'Balizador da Meta'!$B$4:$B$21,'Balizador da Meta'!$C$4:$C$21)</f>
        <v>0</v>
      </c>
      <c r="Q1082" s="28">
        <f>Q1068*_xlfn.XLOOKUP($L1082,'Balizador da Meta'!$B$4:$B$21,'Balizador da Meta'!$C$4:$C$21)</f>
        <v>0</v>
      </c>
      <c r="R1082" s="28">
        <f>R1068*_xlfn.XLOOKUP($L1082,'Balizador da Meta'!$B$4:$B$21,'Balizador da Meta'!$C$4:$C$21)</f>
        <v>0</v>
      </c>
      <c r="S1082" s="28">
        <f>S1068*_xlfn.XLOOKUP($L1082,'Balizador da Meta'!$B$4:$B$21,'Balizador da Meta'!$C$4:$C$21)</f>
        <v>0</v>
      </c>
      <c r="T1082" s="28">
        <f>T1068*_xlfn.XLOOKUP($L1082,'Balizador da Meta'!$B$4:$B$21,'Balizador da Meta'!$C$4:$C$21)</f>
        <v>0</v>
      </c>
      <c r="U1082" s="28">
        <f>U1068*_xlfn.XLOOKUP($L1082,'Balizador da Meta'!$B$4:$B$21,'Balizador da Meta'!$C$4:$C$21)</f>
        <v>0</v>
      </c>
      <c r="V1082" s="28">
        <f>V1068*_xlfn.XLOOKUP($L1082,'Balizador da Meta'!$B$4:$B$21,'Balizador da Meta'!$C$4:$C$21)</f>
        <v>0</v>
      </c>
      <c r="W1082" s="28">
        <f>W1068*_xlfn.XLOOKUP($L1082,'Balizador da Meta'!$B$4:$B$21,'Balizador da Meta'!$C$4:$C$21)</f>
        <v>0</v>
      </c>
      <c r="X1082" s="28">
        <f>X1068*_xlfn.XLOOKUP($L1082,'Balizador da Meta'!$B$4:$B$21,'Balizador da Meta'!$C$4:$C$21)</f>
        <v>0</v>
      </c>
      <c r="Y1082" s="28">
        <f>Y1068*_xlfn.XLOOKUP($L1082,'Balizador da Meta'!$B$4:$B$21,'Balizador da Meta'!$C$4:$C$21)</f>
        <v>0</v>
      </c>
      <c r="Z1082" s="30">
        <f t="shared" si="256"/>
        <v>0</v>
      </c>
      <c r="AA1082" s="29"/>
      <c r="AB1082" s="31">
        <f>SUMIFS('Historico - FAT'!AK:AK,'Historico - FAT'!$K:$K,Faturamento!$L1082,'Historico - FAT'!$I:$I,Faturamento!$J1082,'Historico - FAT'!$G:$G,Faturamento!$H1082)</f>
        <v>0</v>
      </c>
      <c r="AC1082" s="31">
        <f>SUMIFS('Historico - FAT'!AL:AL,'Historico - FAT'!$K:$K,Faturamento!$L1082,'Historico - FAT'!$I:$I,Faturamento!$J1082,'Historico - FAT'!$G:$G,Faturamento!$H1082)</f>
        <v>0</v>
      </c>
      <c r="AD1082" s="31">
        <f>SUMIFS('Historico - FAT'!AM:AM,'Historico - FAT'!$K:$K,Faturamento!$L1082,'Historico - FAT'!$I:$I,Faturamento!$J1082,'Historico - FAT'!$G:$G,Faturamento!$H1082)</f>
        <v>0</v>
      </c>
      <c r="AE1082" s="27">
        <f>SUMIFS('Historico - FAT'!AN:AN,'Historico - FAT'!$K:$K,Faturamento!$L1082,'Historico - FAT'!$I:$I,Faturamento!$J1082,'Historico - FAT'!$G:$G,Faturamento!$H1082)</f>
        <v>0</v>
      </c>
      <c r="AG1082" s="24" t="str">
        <f t="shared" si="258"/>
        <v/>
      </c>
      <c r="AH1082" s="24" t="str">
        <f t="shared" si="259"/>
        <v/>
      </c>
      <c r="AI1082" s="24" t="str">
        <f t="shared" si="260"/>
        <v/>
      </c>
    </row>
    <row r="1083" spans="1:35" hidden="1" x14ac:dyDescent="0.3">
      <c r="A1083" s="2" t="str">
        <f t="shared" si="257"/>
        <v>NÃO</v>
      </c>
      <c r="B1083" s="2">
        <v>1000184670</v>
      </c>
      <c r="C1083" s="2" t="s">
        <v>147</v>
      </c>
      <c r="D1083" s="4">
        <v>1000186197</v>
      </c>
      <c r="E1083" s="4" t="s">
        <v>166</v>
      </c>
      <c r="F1083" s="2">
        <v>1000184758</v>
      </c>
      <c r="G1083" s="2" t="s">
        <v>55</v>
      </c>
      <c r="H1083" s="4">
        <v>1000189801</v>
      </c>
      <c r="I1083" s="4" t="s">
        <v>87</v>
      </c>
      <c r="J1083" s="2">
        <v>1000189270</v>
      </c>
      <c r="K1083" s="2" t="s">
        <v>34</v>
      </c>
      <c r="L1083" s="4" t="s">
        <v>28</v>
      </c>
      <c r="M1083" s="4" t="str">
        <f t="shared" si="247"/>
        <v>1000184670100018619710001898011000189270SAL</v>
      </c>
      <c r="N1083" s="28">
        <f>N1068*_xlfn.XLOOKUP($L1083,'Balizador da Meta'!$B$4:$B$21,'Balizador da Meta'!$C$4:$C$21)</f>
        <v>24</v>
      </c>
      <c r="O1083" s="28">
        <f>O1068*_xlfn.XLOOKUP($L1083,'Balizador da Meta'!$B$4:$B$21,'Balizador da Meta'!$C$4:$C$21)</f>
        <v>24</v>
      </c>
      <c r="P1083" s="28">
        <f>P1068*_xlfn.XLOOKUP($L1083,'Balizador da Meta'!$B$4:$B$21,'Balizador da Meta'!$C$4:$C$21)</f>
        <v>24</v>
      </c>
      <c r="Q1083" s="28">
        <f>Q1068*_xlfn.XLOOKUP($L1083,'Balizador da Meta'!$B$4:$B$21,'Balizador da Meta'!$C$4:$C$21)</f>
        <v>24</v>
      </c>
      <c r="R1083" s="28">
        <f>R1068*_xlfn.XLOOKUP($L1083,'Balizador da Meta'!$B$4:$B$21,'Balizador da Meta'!$C$4:$C$21)</f>
        <v>24</v>
      </c>
      <c r="S1083" s="28">
        <f>S1068*_xlfn.XLOOKUP($L1083,'Balizador da Meta'!$B$4:$B$21,'Balizador da Meta'!$C$4:$C$21)</f>
        <v>24</v>
      </c>
      <c r="T1083" s="28">
        <f>T1068*_xlfn.XLOOKUP($L1083,'Balizador da Meta'!$B$4:$B$21,'Balizador da Meta'!$C$4:$C$21)</f>
        <v>24</v>
      </c>
      <c r="U1083" s="28">
        <f>U1068*_xlfn.XLOOKUP($L1083,'Balizador da Meta'!$B$4:$B$21,'Balizador da Meta'!$C$4:$C$21)</f>
        <v>24</v>
      </c>
      <c r="V1083" s="28">
        <f>V1068*_xlfn.XLOOKUP($L1083,'Balizador da Meta'!$B$4:$B$21,'Balizador da Meta'!$C$4:$C$21)</f>
        <v>24</v>
      </c>
      <c r="W1083" s="28">
        <f>W1068*_xlfn.XLOOKUP($L1083,'Balizador da Meta'!$B$4:$B$21,'Balizador da Meta'!$C$4:$C$21)</f>
        <v>24</v>
      </c>
      <c r="X1083" s="28">
        <f>X1068*_xlfn.XLOOKUP($L1083,'Balizador da Meta'!$B$4:$B$21,'Balizador da Meta'!$C$4:$C$21)</f>
        <v>24</v>
      </c>
      <c r="Y1083" s="28">
        <f>Y1068*_xlfn.XLOOKUP($L1083,'Balizador da Meta'!$B$4:$B$21,'Balizador da Meta'!$C$4:$C$21)</f>
        <v>24</v>
      </c>
      <c r="Z1083" s="30">
        <f t="shared" si="256"/>
        <v>288</v>
      </c>
      <c r="AA1083" s="29"/>
      <c r="AB1083" s="31">
        <f>SUMIFS('Historico - FAT'!AK:AK,'Historico - FAT'!$K:$K,Faturamento!$L1083,'Historico - FAT'!$I:$I,Faturamento!$J1083,'Historico - FAT'!$G:$G,Faturamento!$H1083)</f>
        <v>0</v>
      </c>
      <c r="AC1083" s="31">
        <f>SUMIFS('Historico - FAT'!AL:AL,'Historico - FAT'!$K:$K,Faturamento!$L1083,'Historico - FAT'!$I:$I,Faturamento!$J1083,'Historico - FAT'!$G:$G,Faturamento!$H1083)</f>
        <v>0</v>
      </c>
      <c r="AD1083" s="31">
        <f>SUMIFS('Historico - FAT'!AM:AM,'Historico - FAT'!$K:$K,Faturamento!$L1083,'Historico - FAT'!$I:$I,Faturamento!$J1083,'Historico - FAT'!$G:$G,Faturamento!$H1083)</f>
        <v>0</v>
      </c>
      <c r="AE1083" s="27">
        <f>SUMIFS('Historico - FAT'!AN:AN,'Historico - FAT'!$K:$K,Faturamento!$L1083,'Historico - FAT'!$I:$I,Faturamento!$J1083,'Historico - FAT'!$G:$G,Faturamento!$H1083)</f>
        <v>0</v>
      </c>
      <c r="AG1083" s="24">
        <f t="shared" si="258"/>
        <v>1</v>
      </c>
      <c r="AH1083" s="24">
        <f t="shared" si="259"/>
        <v>1</v>
      </c>
      <c r="AI1083" s="24">
        <f t="shared" si="260"/>
        <v>1</v>
      </c>
    </row>
    <row r="1084" spans="1:35" hidden="1" x14ac:dyDescent="0.3">
      <c r="A1084" s="2" t="str">
        <f t="shared" si="257"/>
        <v>NÃO</v>
      </c>
      <c r="B1084" s="2">
        <v>1000184670</v>
      </c>
      <c r="C1084" s="2" t="s">
        <v>147</v>
      </c>
      <c r="D1084" s="4">
        <v>1000186197</v>
      </c>
      <c r="E1084" s="4" t="s">
        <v>166</v>
      </c>
      <c r="F1084" s="2">
        <v>1000184758</v>
      </c>
      <c r="G1084" s="2" t="s">
        <v>55</v>
      </c>
      <c r="H1084" s="4">
        <v>1000189801</v>
      </c>
      <c r="I1084" s="4" t="s">
        <v>87</v>
      </c>
      <c r="J1084" s="2">
        <v>1000189270</v>
      </c>
      <c r="K1084" s="2" t="s">
        <v>34</v>
      </c>
      <c r="L1084" s="4" t="s">
        <v>26</v>
      </c>
      <c r="M1084" s="4" t="str">
        <f t="shared" si="247"/>
        <v>1000184670100018619710001898011000189270SOULPRO</v>
      </c>
      <c r="N1084" s="28">
        <f>N1068*_xlfn.XLOOKUP($L1084,'Balizador da Meta'!$B$4:$B$21,'Balizador da Meta'!$C$4:$C$21)</f>
        <v>72</v>
      </c>
      <c r="O1084" s="28">
        <f>O1068*_xlfn.XLOOKUP($L1084,'Balizador da Meta'!$B$4:$B$21,'Balizador da Meta'!$C$4:$C$21)</f>
        <v>72</v>
      </c>
      <c r="P1084" s="28">
        <f>P1068*_xlfn.XLOOKUP($L1084,'Balizador da Meta'!$B$4:$B$21,'Balizador da Meta'!$C$4:$C$21)</f>
        <v>72</v>
      </c>
      <c r="Q1084" s="28">
        <f>Q1068*_xlfn.XLOOKUP($L1084,'Balizador da Meta'!$B$4:$B$21,'Balizador da Meta'!$C$4:$C$21)</f>
        <v>72</v>
      </c>
      <c r="R1084" s="28">
        <f>R1068*_xlfn.XLOOKUP($L1084,'Balizador da Meta'!$B$4:$B$21,'Balizador da Meta'!$C$4:$C$21)</f>
        <v>72</v>
      </c>
      <c r="S1084" s="28">
        <f>S1068*_xlfn.XLOOKUP($L1084,'Balizador da Meta'!$B$4:$B$21,'Balizador da Meta'!$C$4:$C$21)</f>
        <v>72</v>
      </c>
      <c r="T1084" s="28">
        <f>T1068*_xlfn.XLOOKUP($L1084,'Balizador da Meta'!$B$4:$B$21,'Balizador da Meta'!$C$4:$C$21)</f>
        <v>72</v>
      </c>
      <c r="U1084" s="28">
        <f>U1068*_xlfn.XLOOKUP($L1084,'Balizador da Meta'!$B$4:$B$21,'Balizador da Meta'!$C$4:$C$21)</f>
        <v>72</v>
      </c>
      <c r="V1084" s="28">
        <f>V1068*_xlfn.XLOOKUP($L1084,'Balizador da Meta'!$B$4:$B$21,'Balizador da Meta'!$C$4:$C$21)</f>
        <v>72</v>
      </c>
      <c r="W1084" s="28">
        <f>W1068*_xlfn.XLOOKUP($L1084,'Balizador da Meta'!$B$4:$B$21,'Balizador da Meta'!$C$4:$C$21)</f>
        <v>72</v>
      </c>
      <c r="X1084" s="28">
        <f>X1068*_xlfn.XLOOKUP($L1084,'Balizador da Meta'!$B$4:$B$21,'Balizador da Meta'!$C$4:$C$21)</f>
        <v>72</v>
      </c>
      <c r="Y1084" s="28">
        <f>Y1068*_xlfn.XLOOKUP($L1084,'Balizador da Meta'!$B$4:$B$21,'Balizador da Meta'!$C$4:$C$21)</f>
        <v>72</v>
      </c>
      <c r="Z1084" s="30">
        <f t="shared" si="256"/>
        <v>864</v>
      </c>
      <c r="AA1084" s="29"/>
      <c r="AB1084" s="31">
        <f>SUMIFS('Historico - FAT'!AK:AK,'Historico - FAT'!$K:$K,Faturamento!$L1084,'Historico - FAT'!$I:$I,Faturamento!$J1084,'Historico - FAT'!$G:$G,Faturamento!$H1084)</f>
        <v>0</v>
      </c>
      <c r="AC1084" s="31">
        <f>SUMIFS('Historico - FAT'!AL:AL,'Historico - FAT'!$K:$K,Faturamento!$L1084,'Historico - FAT'!$I:$I,Faturamento!$J1084,'Historico - FAT'!$G:$G,Faturamento!$H1084)</f>
        <v>0</v>
      </c>
      <c r="AD1084" s="31">
        <f>SUMIFS('Historico - FAT'!AM:AM,'Historico - FAT'!$K:$K,Faturamento!$L1084,'Historico - FAT'!$I:$I,Faturamento!$J1084,'Historico - FAT'!$G:$G,Faturamento!$H1084)</f>
        <v>0</v>
      </c>
      <c r="AE1084" s="27">
        <f>SUMIFS('Historico - FAT'!AN:AN,'Historico - FAT'!$K:$K,Faturamento!$L1084,'Historico - FAT'!$I:$I,Faturamento!$J1084,'Historico - FAT'!$G:$G,Faturamento!$H1084)</f>
        <v>0</v>
      </c>
      <c r="AG1084" s="24">
        <f t="shared" si="258"/>
        <v>1</v>
      </c>
      <c r="AH1084" s="24">
        <f t="shared" si="259"/>
        <v>1</v>
      </c>
      <c r="AI1084" s="24">
        <f t="shared" si="260"/>
        <v>1</v>
      </c>
    </row>
    <row r="1085" spans="1:35" hidden="1" x14ac:dyDescent="0.3">
      <c r="A1085" s="2" t="str">
        <f t="shared" si="257"/>
        <v>NÃO</v>
      </c>
      <c r="B1085" s="2">
        <v>1000184670</v>
      </c>
      <c r="C1085" s="2" t="s">
        <v>147</v>
      </c>
      <c r="D1085" s="4">
        <v>1000186197</v>
      </c>
      <c r="E1085" s="4" t="s">
        <v>166</v>
      </c>
      <c r="F1085" s="2">
        <v>1000184758</v>
      </c>
      <c r="G1085" s="2" t="s">
        <v>55</v>
      </c>
      <c r="H1085" s="4">
        <v>1000189801</v>
      </c>
      <c r="I1085" s="4" t="s">
        <v>87</v>
      </c>
      <c r="J1085" s="2">
        <v>1000189270</v>
      </c>
      <c r="K1085" s="2" t="s">
        <v>34</v>
      </c>
      <c r="L1085" s="4" t="s">
        <v>27</v>
      </c>
      <c r="M1085" s="4" t="str">
        <f t="shared" si="247"/>
        <v>1000184670100018619710001898011000189270TAMARA</v>
      </c>
      <c r="N1085" s="28">
        <f>N1068*_xlfn.XLOOKUP($L1085,'Balizador da Meta'!$B$4:$B$21,'Balizador da Meta'!$C$4:$C$21)</f>
        <v>96</v>
      </c>
      <c r="O1085" s="28">
        <f>O1068*_xlfn.XLOOKUP($L1085,'Balizador da Meta'!$B$4:$B$21,'Balizador da Meta'!$C$4:$C$21)</f>
        <v>96</v>
      </c>
      <c r="P1085" s="28">
        <f>P1068*_xlfn.XLOOKUP($L1085,'Balizador da Meta'!$B$4:$B$21,'Balizador da Meta'!$C$4:$C$21)</f>
        <v>96</v>
      </c>
      <c r="Q1085" s="28">
        <f>Q1068*_xlfn.XLOOKUP($L1085,'Balizador da Meta'!$B$4:$B$21,'Balizador da Meta'!$C$4:$C$21)</f>
        <v>96</v>
      </c>
      <c r="R1085" s="28">
        <f>R1068*_xlfn.XLOOKUP($L1085,'Balizador da Meta'!$B$4:$B$21,'Balizador da Meta'!$C$4:$C$21)</f>
        <v>96</v>
      </c>
      <c r="S1085" s="28">
        <f>S1068*_xlfn.XLOOKUP($L1085,'Balizador da Meta'!$B$4:$B$21,'Balizador da Meta'!$C$4:$C$21)</f>
        <v>96</v>
      </c>
      <c r="T1085" s="28">
        <f>T1068*_xlfn.XLOOKUP($L1085,'Balizador da Meta'!$B$4:$B$21,'Balizador da Meta'!$C$4:$C$21)</f>
        <v>96</v>
      </c>
      <c r="U1085" s="28">
        <f>U1068*_xlfn.XLOOKUP($L1085,'Balizador da Meta'!$B$4:$B$21,'Balizador da Meta'!$C$4:$C$21)</f>
        <v>96</v>
      </c>
      <c r="V1085" s="28">
        <f>V1068*_xlfn.XLOOKUP($L1085,'Balizador da Meta'!$B$4:$B$21,'Balizador da Meta'!$C$4:$C$21)</f>
        <v>96</v>
      </c>
      <c r="W1085" s="28">
        <f>W1068*_xlfn.XLOOKUP($L1085,'Balizador da Meta'!$B$4:$B$21,'Balizador da Meta'!$C$4:$C$21)</f>
        <v>96</v>
      </c>
      <c r="X1085" s="28">
        <f>X1068*_xlfn.XLOOKUP($L1085,'Balizador da Meta'!$B$4:$B$21,'Balizador da Meta'!$C$4:$C$21)</f>
        <v>96</v>
      </c>
      <c r="Y1085" s="28">
        <f>Y1068*_xlfn.XLOOKUP($L1085,'Balizador da Meta'!$B$4:$B$21,'Balizador da Meta'!$C$4:$C$21)</f>
        <v>96</v>
      </c>
      <c r="Z1085" s="30">
        <f t="shared" si="256"/>
        <v>1152</v>
      </c>
      <c r="AA1085" s="29"/>
      <c r="AB1085" s="31">
        <f>SUMIFS('Historico - FAT'!AK:AK,'Historico - FAT'!$K:$K,Faturamento!$L1085,'Historico - FAT'!$I:$I,Faturamento!$J1085,'Historico - FAT'!$G:$G,Faturamento!$H1085)</f>
        <v>0</v>
      </c>
      <c r="AC1085" s="31">
        <f>SUMIFS('Historico - FAT'!AL:AL,'Historico - FAT'!$K:$K,Faturamento!$L1085,'Historico - FAT'!$I:$I,Faturamento!$J1085,'Historico - FAT'!$G:$G,Faturamento!$H1085)</f>
        <v>0</v>
      </c>
      <c r="AD1085" s="31">
        <f>SUMIFS('Historico - FAT'!AM:AM,'Historico - FAT'!$K:$K,Faturamento!$L1085,'Historico - FAT'!$I:$I,Faturamento!$J1085,'Historico - FAT'!$G:$G,Faturamento!$H1085)</f>
        <v>0</v>
      </c>
      <c r="AE1085" s="27">
        <f>SUMIFS('Historico - FAT'!AN:AN,'Historico - FAT'!$K:$K,Faturamento!$L1085,'Historico - FAT'!$I:$I,Faturamento!$J1085,'Historico - FAT'!$G:$G,Faturamento!$H1085)</f>
        <v>0</v>
      </c>
      <c r="AG1085" s="24">
        <f t="shared" si="258"/>
        <v>1</v>
      </c>
      <c r="AH1085" s="24">
        <f t="shared" si="259"/>
        <v>1</v>
      </c>
      <c r="AI1085" s="24">
        <f t="shared" si="260"/>
        <v>1</v>
      </c>
    </row>
    <row r="1086" spans="1:35" hidden="1" x14ac:dyDescent="0.3">
      <c r="A1086" s="2" t="str">
        <f t="shared" si="257"/>
        <v>NÃO</v>
      </c>
      <c r="B1086" s="2">
        <v>1000184670</v>
      </c>
      <c r="C1086" s="2" t="s">
        <v>147</v>
      </c>
      <c r="D1086" s="4">
        <v>1000186197</v>
      </c>
      <c r="E1086" s="4" t="s">
        <v>166</v>
      </c>
      <c r="F1086" s="2">
        <v>1000184758</v>
      </c>
      <c r="G1086" s="2" t="s">
        <v>55</v>
      </c>
      <c r="H1086" s="4">
        <v>1000189801</v>
      </c>
      <c r="I1086" s="4" t="s">
        <v>87</v>
      </c>
      <c r="J1086" s="2">
        <v>1000189270</v>
      </c>
      <c r="K1086" s="2" t="s">
        <v>34</v>
      </c>
      <c r="L1086" s="4" t="s">
        <v>25</v>
      </c>
      <c r="M1086" s="4" t="str">
        <f t="shared" si="247"/>
        <v>1000184670100018619710001898011000189270VICCIO</v>
      </c>
      <c r="N1086" s="28">
        <f>N1068*_xlfn.XLOOKUP($L1086,'Balizador da Meta'!$B$4:$B$21,'Balizador da Meta'!$C$4:$C$21)</f>
        <v>36</v>
      </c>
      <c r="O1086" s="28">
        <f>O1068*_xlfn.XLOOKUP($L1086,'Balizador da Meta'!$B$4:$B$21,'Balizador da Meta'!$C$4:$C$21)</f>
        <v>36</v>
      </c>
      <c r="P1086" s="28">
        <f>P1068*_xlfn.XLOOKUP($L1086,'Balizador da Meta'!$B$4:$B$21,'Balizador da Meta'!$C$4:$C$21)</f>
        <v>36</v>
      </c>
      <c r="Q1086" s="28">
        <f>Q1068*_xlfn.XLOOKUP($L1086,'Balizador da Meta'!$B$4:$B$21,'Balizador da Meta'!$C$4:$C$21)</f>
        <v>36</v>
      </c>
      <c r="R1086" s="28">
        <f>R1068*_xlfn.XLOOKUP($L1086,'Balizador da Meta'!$B$4:$B$21,'Balizador da Meta'!$C$4:$C$21)</f>
        <v>36</v>
      </c>
      <c r="S1086" s="28">
        <f>S1068*_xlfn.XLOOKUP($L1086,'Balizador da Meta'!$B$4:$B$21,'Balizador da Meta'!$C$4:$C$21)</f>
        <v>36</v>
      </c>
      <c r="T1086" s="28">
        <f>T1068*_xlfn.XLOOKUP($L1086,'Balizador da Meta'!$B$4:$B$21,'Balizador da Meta'!$C$4:$C$21)</f>
        <v>36</v>
      </c>
      <c r="U1086" s="28">
        <f>U1068*_xlfn.XLOOKUP($L1086,'Balizador da Meta'!$B$4:$B$21,'Balizador da Meta'!$C$4:$C$21)</f>
        <v>36</v>
      </c>
      <c r="V1086" s="28">
        <f>V1068*_xlfn.XLOOKUP($L1086,'Balizador da Meta'!$B$4:$B$21,'Balizador da Meta'!$C$4:$C$21)</f>
        <v>36</v>
      </c>
      <c r="W1086" s="28">
        <f>W1068*_xlfn.XLOOKUP($L1086,'Balizador da Meta'!$B$4:$B$21,'Balizador da Meta'!$C$4:$C$21)</f>
        <v>36</v>
      </c>
      <c r="X1086" s="28">
        <f>X1068*_xlfn.XLOOKUP($L1086,'Balizador da Meta'!$B$4:$B$21,'Balizador da Meta'!$C$4:$C$21)</f>
        <v>36</v>
      </c>
      <c r="Y1086" s="28">
        <f>Y1068*_xlfn.XLOOKUP($L1086,'Balizador da Meta'!$B$4:$B$21,'Balizador da Meta'!$C$4:$C$21)</f>
        <v>36</v>
      </c>
      <c r="Z1086" s="30">
        <f t="shared" si="256"/>
        <v>432</v>
      </c>
      <c r="AA1086" s="29"/>
      <c r="AB1086" s="31">
        <f>SUMIFS('Historico - FAT'!AK:AK,'Historico - FAT'!$K:$K,Faturamento!$L1086,'Historico - FAT'!$I:$I,Faturamento!$J1086,'Historico - FAT'!$G:$G,Faturamento!$H1086)</f>
        <v>0</v>
      </c>
      <c r="AC1086" s="31">
        <f>SUMIFS('Historico - FAT'!AL:AL,'Historico - FAT'!$K:$K,Faturamento!$L1086,'Historico - FAT'!$I:$I,Faturamento!$J1086,'Historico - FAT'!$G:$G,Faturamento!$H1086)</f>
        <v>0</v>
      </c>
      <c r="AD1086" s="31">
        <f>SUMIFS('Historico - FAT'!AM:AM,'Historico - FAT'!$K:$K,Faturamento!$L1086,'Historico - FAT'!$I:$I,Faturamento!$J1086,'Historico - FAT'!$G:$G,Faturamento!$H1086)</f>
        <v>0</v>
      </c>
      <c r="AE1086" s="27">
        <f>SUMIFS('Historico - FAT'!AN:AN,'Historico - FAT'!$K:$K,Faturamento!$L1086,'Historico - FAT'!$I:$I,Faturamento!$J1086,'Historico - FAT'!$G:$G,Faturamento!$H1086)</f>
        <v>0</v>
      </c>
      <c r="AG1086" s="24">
        <f t="shared" si="258"/>
        <v>1</v>
      </c>
      <c r="AH1086" s="24">
        <f t="shared" si="259"/>
        <v>1</v>
      </c>
      <c r="AI1086" s="24">
        <f t="shared" si="260"/>
        <v>1</v>
      </c>
    </row>
    <row r="1087" spans="1:35" x14ac:dyDescent="0.3">
      <c r="A1087" s="2" t="str">
        <f t="shared" si="257"/>
        <v>SIM</v>
      </c>
      <c r="B1087" s="2">
        <v>1000184670</v>
      </c>
      <c r="C1087" s="2" t="s">
        <v>147</v>
      </c>
      <c r="D1087" s="4">
        <v>1000186197</v>
      </c>
      <c r="E1087" s="4" t="s">
        <v>166</v>
      </c>
      <c r="F1087" s="2">
        <v>1000184758</v>
      </c>
      <c r="G1087" s="2" t="s">
        <v>55</v>
      </c>
      <c r="H1087" s="4">
        <v>1000189802</v>
      </c>
      <c r="I1087" s="4" t="s">
        <v>105</v>
      </c>
      <c r="J1087" s="2">
        <v>1000189270</v>
      </c>
      <c r="K1087" s="2" t="s">
        <v>34</v>
      </c>
      <c r="L1087" s="4" t="s">
        <v>124</v>
      </c>
      <c r="M1087" s="4" t="str">
        <f t="shared" si="247"/>
        <v>100018467010001861971000189802100018927001. TOTAL</v>
      </c>
      <c r="N1087" s="28">
        <f>SUMIFS(Positivação!L:L,Positivação!$I:$I,Faturamento!$J1087,Positivação!$G:$G,Faturamento!$H1087)*SUMIFS(Positivação!$Z:$Z,Positivação!$I:$I,Faturamento!$J1087,Positivação!$G:$G,Faturamento!$H1087)</f>
        <v>0</v>
      </c>
      <c r="O1087" s="28">
        <f>SUMIFS(Positivação!M:M,Positivação!$I:$I,Faturamento!$J1087,Positivação!$G:$G,Faturamento!$H1087)*SUMIFS(Positivação!$Z:$Z,Positivação!$I:$I,Faturamento!$J1087,Positivação!$G:$G,Faturamento!$H1087)</f>
        <v>0</v>
      </c>
      <c r="P1087" s="28">
        <f>SUMIFS(Positivação!N:N,Positivação!$I:$I,Faturamento!$J1087,Positivação!$G:$G,Faturamento!$H1087)*SUMIFS(Positivação!$Z:$Z,Positivação!$I:$I,Faturamento!$J1087,Positivação!$G:$G,Faturamento!$H1087)</f>
        <v>0</v>
      </c>
      <c r="Q1087" s="28">
        <f>SUMIFS(Positivação!O:O,Positivação!$I:$I,Faturamento!$J1087,Positivação!$G:$G,Faturamento!$H1087)*SUMIFS(Positivação!$Z:$Z,Positivação!$I:$I,Faturamento!$J1087,Positivação!$G:$G,Faturamento!$H1087)</f>
        <v>0</v>
      </c>
      <c r="R1087" s="28">
        <f>SUMIFS(Positivação!P:P,Positivação!$I:$I,Faturamento!$J1087,Positivação!$G:$G,Faturamento!$H1087)*SUMIFS(Positivação!$Z:$Z,Positivação!$I:$I,Faturamento!$J1087,Positivação!$G:$G,Faturamento!$H1087)</f>
        <v>0</v>
      </c>
      <c r="S1087" s="28">
        <f>SUMIFS(Positivação!Q:Q,Positivação!$I:$I,Faturamento!$J1087,Positivação!$G:$G,Faturamento!$H1087)*SUMIFS(Positivação!$Z:$Z,Positivação!$I:$I,Faturamento!$J1087,Positivação!$G:$G,Faturamento!$H1087)</f>
        <v>0</v>
      </c>
      <c r="T1087" s="28">
        <f>SUMIFS(Positivação!R:R,Positivação!$I:$I,Faturamento!$J1087,Positivação!$G:$G,Faturamento!$H1087)*SUMIFS(Positivação!$Z:$Z,Positivação!$I:$I,Faturamento!$J1087,Positivação!$G:$G,Faturamento!$H1087)</f>
        <v>0</v>
      </c>
      <c r="U1087" s="28">
        <f>SUMIFS(Positivação!S:S,Positivação!$I:$I,Faturamento!$J1087,Positivação!$G:$G,Faturamento!$H1087)*SUMIFS(Positivação!$Z:$Z,Positivação!$I:$I,Faturamento!$J1087,Positivação!$G:$G,Faturamento!$H1087)</f>
        <v>0</v>
      </c>
      <c r="V1087" s="28">
        <f>SUMIFS(Positivação!T:T,Positivação!$I:$I,Faturamento!$J1087,Positivação!$G:$G,Faturamento!$H1087)*SUMIFS(Positivação!$Z:$Z,Positivação!$I:$I,Faturamento!$J1087,Positivação!$G:$G,Faturamento!$H1087)</f>
        <v>0</v>
      </c>
      <c r="W1087" s="28">
        <f>SUMIFS(Positivação!U:U,Positivação!$I:$I,Faturamento!$J1087,Positivação!$G:$G,Faturamento!$H1087)*SUMIFS(Positivação!$Z:$Z,Positivação!$I:$I,Faturamento!$J1087,Positivação!$G:$G,Faturamento!$H1087)</f>
        <v>0</v>
      </c>
      <c r="X1087" s="28">
        <f>SUMIFS(Positivação!V:V,Positivação!$I:$I,Faturamento!$J1087,Positivação!$G:$G,Faturamento!$H1087)*SUMIFS(Positivação!$Z:$Z,Positivação!$I:$I,Faturamento!$J1087,Positivação!$G:$G,Faturamento!$H1087)</f>
        <v>0</v>
      </c>
      <c r="Y1087" s="28">
        <f>SUMIFS(Positivação!W:W,Positivação!$I:$I,Faturamento!$J1087,Positivação!$G:$G,Faturamento!$H1087)*SUMIFS(Positivação!$Z:$Z,Positivação!$I:$I,Faturamento!$J1087,Positivação!$G:$G,Faturamento!$H1087)</f>
        <v>0</v>
      </c>
      <c r="Z1087" s="28">
        <f t="shared" ref="Z1087" si="261">SUM(Z1088:Z1105)</f>
        <v>0</v>
      </c>
      <c r="AA1087" s="29"/>
      <c r="AB1087" s="28">
        <f t="shared" ref="AB1087:AE1087" si="262">SUM(AB1088:AB1105)</f>
        <v>0</v>
      </c>
      <c r="AC1087" s="28">
        <f t="shared" si="262"/>
        <v>94.5</v>
      </c>
      <c r="AD1087" s="28">
        <f t="shared" si="262"/>
        <v>189</v>
      </c>
      <c r="AE1087" s="28">
        <f t="shared" si="262"/>
        <v>113.4</v>
      </c>
      <c r="AG1087" s="24" t="str">
        <f t="shared" si="258"/>
        <v/>
      </c>
      <c r="AH1087" s="24" t="str">
        <f t="shared" si="259"/>
        <v/>
      </c>
      <c r="AI1087" s="24" t="str">
        <f t="shared" si="260"/>
        <v/>
      </c>
    </row>
    <row r="1088" spans="1:35" hidden="1" x14ac:dyDescent="0.3">
      <c r="A1088" s="2" t="str">
        <f t="shared" si="257"/>
        <v>NÃO</v>
      </c>
      <c r="B1088" s="2">
        <v>1000184670</v>
      </c>
      <c r="C1088" s="2" t="s">
        <v>147</v>
      </c>
      <c r="D1088" s="4">
        <v>1000186197</v>
      </c>
      <c r="E1088" s="4" t="s">
        <v>166</v>
      </c>
      <c r="F1088" s="2">
        <v>1000184758</v>
      </c>
      <c r="G1088" s="2" t="s">
        <v>55</v>
      </c>
      <c r="H1088" s="4">
        <v>1000189802</v>
      </c>
      <c r="I1088" s="4" t="s">
        <v>105</v>
      </c>
      <c r="J1088" s="2">
        <v>1000189270</v>
      </c>
      <c r="K1088" s="2" t="s">
        <v>34</v>
      </c>
      <c r="L1088" s="4" t="s">
        <v>13</v>
      </c>
      <c r="M1088" s="4" t="str">
        <f t="shared" si="247"/>
        <v>1000184670100018619710001898021000189270BISCOITO</v>
      </c>
      <c r="N1088" s="28">
        <f>N1087*_xlfn.XLOOKUP($L1088,'Balizador da Meta'!$B$4:$B$21,'Balizador da Meta'!$C$4:$C$21)</f>
        <v>0</v>
      </c>
      <c r="O1088" s="28">
        <f>O1087*_xlfn.XLOOKUP($L1088,'Balizador da Meta'!$B$4:$B$21,'Balizador da Meta'!$C$4:$C$21)</f>
        <v>0</v>
      </c>
      <c r="P1088" s="28">
        <f>P1087*_xlfn.XLOOKUP($L1088,'Balizador da Meta'!$B$4:$B$21,'Balizador da Meta'!$C$4:$C$21)</f>
        <v>0</v>
      </c>
      <c r="Q1088" s="28">
        <f>Q1087*_xlfn.XLOOKUP($L1088,'Balizador da Meta'!$B$4:$B$21,'Balizador da Meta'!$C$4:$C$21)</f>
        <v>0</v>
      </c>
      <c r="R1088" s="28">
        <f>R1087*_xlfn.XLOOKUP($L1088,'Balizador da Meta'!$B$4:$B$21,'Balizador da Meta'!$C$4:$C$21)</f>
        <v>0</v>
      </c>
      <c r="S1088" s="28">
        <f>S1087*_xlfn.XLOOKUP($L1088,'Balizador da Meta'!$B$4:$B$21,'Balizador da Meta'!$C$4:$C$21)</f>
        <v>0</v>
      </c>
      <c r="T1088" s="28">
        <f>T1087*_xlfn.XLOOKUP($L1088,'Balizador da Meta'!$B$4:$B$21,'Balizador da Meta'!$C$4:$C$21)</f>
        <v>0</v>
      </c>
      <c r="U1088" s="28">
        <f>U1087*_xlfn.XLOOKUP($L1088,'Balizador da Meta'!$B$4:$B$21,'Balizador da Meta'!$C$4:$C$21)</f>
        <v>0</v>
      </c>
      <c r="V1088" s="28">
        <f>V1087*_xlfn.XLOOKUP($L1088,'Balizador da Meta'!$B$4:$B$21,'Balizador da Meta'!$C$4:$C$21)</f>
        <v>0</v>
      </c>
      <c r="W1088" s="28">
        <f>W1087*_xlfn.XLOOKUP($L1088,'Balizador da Meta'!$B$4:$B$21,'Balizador da Meta'!$C$4:$C$21)</f>
        <v>0</v>
      </c>
      <c r="X1088" s="28">
        <f>X1087*_xlfn.XLOOKUP($L1088,'Balizador da Meta'!$B$4:$B$21,'Balizador da Meta'!$C$4:$C$21)</f>
        <v>0</v>
      </c>
      <c r="Y1088" s="28">
        <f>Y1087*_xlfn.XLOOKUP($L1088,'Balizador da Meta'!$B$4:$B$21,'Balizador da Meta'!$C$4:$C$21)</f>
        <v>0</v>
      </c>
      <c r="Z1088" s="30">
        <f t="shared" ref="Z1088:Z1105" si="263">SUM(N1088:Y1088)</f>
        <v>0</v>
      </c>
      <c r="AA1088" s="29"/>
      <c r="AB1088" s="31">
        <f>SUMIFS('Historico - FAT'!AK:AK,'Historico - FAT'!$K:$K,Faturamento!$L1088,'Historico - FAT'!$I:$I,Faturamento!$J1088,'Historico - FAT'!$G:$G,Faturamento!$H1088)</f>
        <v>0</v>
      </c>
      <c r="AC1088" s="31">
        <f>SUMIFS('Historico - FAT'!AL:AL,'Historico - FAT'!$K:$K,Faturamento!$L1088,'Historico - FAT'!$I:$I,Faturamento!$J1088,'Historico - FAT'!$G:$G,Faturamento!$H1088)</f>
        <v>0</v>
      </c>
      <c r="AD1088" s="31">
        <f>SUMIFS('Historico - FAT'!AM:AM,'Historico - FAT'!$K:$K,Faturamento!$L1088,'Historico - FAT'!$I:$I,Faturamento!$J1088,'Historico - FAT'!$G:$G,Faturamento!$H1088)</f>
        <v>0</v>
      </c>
      <c r="AE1088" s="27">
        <f>SUMIFS('Historico - FAT'!AN:AN,'Historico - FAT'!$K:$K,Faturamento!$L1088,'Historico - FAT'!$I:$I,Faturamento!$J1088,'Historico - FAT'!$G:$G,Faturamento!$H1088)</f>
        <v>0</v>
      </c>
      <c r="AG1088" s="24" t="str">
        <f t="shared" si="258"/>
        <v/>
      </c>
      <c r="AH1088" s="24" t="str">
        <f t="shared" si="259"/>
        <v/>
      </c>
      <c r="AI1088" s="24" t="str">
        <f t="shared" si="260"/>
        <v/>
      </c>
    </row>
    <row r="1089" spans="1:35" hidden="1" x14ac:dyDescent="0.3">
      <c r="A1089" s="2" t="str">
        <f t="shared" si="257"/>
        <v>NÃO</v>
      </c>
      <c r="B1089" s="2">
        <v>1000184670</v>
      </c>
      <c r="C1089" s="2" t="s">
        <v>147</v>
      </c>
      <c r="D1089" s="4">
        <v>1000186197</v>
      </c>
      <c r="E1089" s="4" t="s">
        <v>166</v>
      </c>
      <c r="F1089" s="2">
        <v>1000184758</v>
      </c>
      <c r="G1089" s="2" t="s">
        <v>55</v>
      </c>
      <c r="H1089" s="4">
        <v>1000189802</v>
      </c>
      <c r="I1089" s="4" t="s">
        <v>105</v>
      </c>
      <c r="J1089" s="2">
        <v>1000189270</v>
      </c>
      <c r="K1089" s="2" t="s">
        <v>34</v>
      </c>
      <c r="L1089" s="4" t="s">
        <v>14</v>
      </c>
      <c r="M1089" s="4" t="str">
        <f t="shared" si="247"/>
        <v>1000184670100018619710001898021000189270CHOCOLATES</v>
      </c>
      <c r="N1089" s="28">
        <f>N1087*_xlfn.XLOOKUP($L1089,'Balizador da Meta'!$B$4:$B$21,'Balizador da Meta'!$C$4:$C$21)</f>
        <v>0</v>
      </c>
      <c r="O1089" s="28">
        <f>O1087*_xlfn.XLOOKUP($L1089,'Balizador da Meta'!$B$4:$B$21,'Balizador da Meta'!$C$4:$C$21)</f>
        <v>0</v>
      </c>
      <c r="P1089" s="28">
        <f>P1087*_xlfn.XLOOKUP($L1089,'Balizador da Meta'!$B$4:$B$21,'Balizador da Meta'!$C$4:$C$21)</f>
        <v>0</v>
      </c>
      <c r="Q1089" s="28">
        <f>Q1087*_xlfn.XLOOKUP($L1089,'Balizador da Meta'!$B$4:$B$21,'Balizador da Meta'!$C$4:$C$21)</f>
        <v>0</v>
      </c>
      <c r="R1089" s="28">
        <f>R1087*_xlfn.XLOOKUP($L1089,'Balizador da Meta'!$B$4:$B$21,'Balizador da Meta'!$C$4:$C$21)</f>
        <v>0</v>
      </c>
      <c r="S1089" s="28">
        <f>S1087*_xlfn.XLOOKUP($L1089,'Balizador da Meta'!$B$4:$B$21,'Balizador da Meta'!$C$4:$C$21)</f>
        <v>0</v>
      </c>
      <c r="T1089" s="28">
        <f>T1087*_xlfn.XLOOKUP($L1089,'Balizador da Meta'!$B$4:$B$21,'Balizador da Meta'!$C$4:$C$21)</f>
        <v>0</v>
      </c>
      <c r="U1089" s="28">
        <f>U1087*_xlfn.XLOOKUP($L1089,'Balizador da Meta'!$B$4:$B$21,'Balizador da Meta'!$C$4:$C$21)</f>
        <v>0</v>
      </c>
      <c r="V1089" s="28">
        <f>V1087*_xlfn.XLOOKUP($L1089,'Balizador da Meta'!$B$4:$B$21,'Balizador da Meta'!$C$4:$C$21)</f>
        <v>0</v>
      </c>
      <c r="W1089" s="28">
        <f>W1087*_xlfn.XLOOKUP($L1089,'Balizador da Meta'!$B$4:$B$21,'Balizador da Meta'!$C$4:$C$21)</f>
        <v>0</v>
      </c>
      <c r="X1089" s="28">
        <f>X1087*_xlfn.XLOOKUP($L1089,'Balizador da Meta'!$B$4:$B$21,'Balizador da Meta'!$C$4:$C$21)</f>
        <v>0</v>
      </c>
      <c r="Y1089" s="28">
        <f>Y1087*_xlfn.XLOOKUP($L1089,'Balizador da Meta'!$B$4:$B$21,'Balizador da Meta'!$C$4:$C$21)</f>
        <v>0</v>
      </c>
      <c r="Z1089" s="30">
        <f t="shared" si="263"/>
        <v>0</v>
      </c>
      <c r="AA1089" s="29"/>
      <c r="AB1089" s="31">
        <f>SUMIFS('Historico - FAT'!AK:AK,'Historico - FAT'!$K:$K,Faturamento!$L1089,'Historico - FAT'!$I:$I,Faturamento!$J1089,'Historico - FAT'!$G:$G,Faturamento!$H1089)</f>
        <v>0</v>
      </c>
      <c r="AC1089" s="31">
        <f>SUMIFS('Historico - FAT'!AL:AL,'Historico - FAT'!$K:$K,Faturamento!$L1089,'Historico - FAT'!$I:$I,Faturamento!$J1089,'Historico - FAT'!$G:$G,Faturamento!$H1089)</f>
        <v>94.5</v>
      </c>
      <c r="AD1089" s="31">
        <f>SUMIFS('Historico - FAT'!AM:AM,'Historico - FAT'!$K:$K,Faturamento!$L1089,'Historico - FAT'!$I:$I,Faturamento!$J1089,'Historico - FAT'!$G:$G,Faturamento!$H1089)</f>
        <v>189</v>
      </c>
      <c r="AE1089" s="27">
        <f>SUMIFS('Historico - FAT'!AN:AN,'Historico - FAT'!$K:$K,Faturamento!$L1089,'Historico - FAT'!$I:$I,Faturamento!$J1089,'Historico - FAT'!$G:$G,Faturamento!$H1089)</f>
        <v>113.4</v>
      </c>
      <c r="AG1089" s="24" t="str">
        <f t="shared" si="258"/>
        <v/>
      </c>
      <c r="AH1089" s="24" t="str">
        <f t="shared" si="259"/>
        <v/>
      </c>
      <c r="AI1089" s="24" t="str">
        <f t="shared" si="260"/>
        <v/>
      </c>
    </row>
    <row r="1090" spans="1:35" hidden="1" x14ac:dyDescent="0.3">
      <c r="A1090" s="2" t="str">
        <f t="shared" si="257"/>
        <v>NÃO</v>
      </c>
      <c r="B1090" s="2">
        <v>1000184670</v>
      </c>
      <c r="C1090" s="2" t="s">
        <v>147</v>
      </c>
      <c r="D1090" s="4">
        <v>1000186197</v>
      </c>
      <c r="E1090" s="4" t="s">
        <v>166</v>
      </c>
      <c r="F1090" s="2">
        <v>1000184758</v>
      </c>
      <c r="G1090" s="2" t="s">
        <v>55</v>
      </c>
      <c r="H1090" s="4">
        <v>1000189802</v>
      </c>
      <c r="I1090" s="4" t="s">
        <v>105</v>
      </c>
      <c r="J1090" s="2">
        <v>1000189270</v>
      </c>
      <c r="K1090" s="2" t="s">
        <v>34</v>
      </c>
      <c r="L1090" s="4" t="s">
        <v>16</v>
      </c>
      <c r="M1090" s="4" t="str">
        <f t="shared" si="247"/>
        <v>1000184670100018619710001898021000189270DISNEY</v>
      </c>
      <c r="N1090" s="28">
        <f>N1087*_xlfn.XLOOKUP($L1090,'Balizador da Meta'!$B$4:$B$21,'Balizador da Meta'!$C$4:$C$21)</f>
        <v>0</v>
      </c>
      <c r="O1090" s="28">
        <f>O1087*_xlfn.XLOOKUP($L1090,'Balizador da Meta'!$B$4:$B$21,'Balizador da Meta'!$C$4:$C$21)</f>
        <v>0</v>
      </c>
      <c r="P1090" s="28">
        <f>P1087*_xlfn.XLOOKUP($L1090,'Balizador da Meta'!$B$4:$B$21,'Balizador da Meta'!$C$4:$C$21)</f>
        <v>0</v>
      </c>
      <c r="Q1090" s="28">
        <f>Q1087*_xlfn.XLOOKUP($L1090,'Balizador da Meta'!$B$4:$B$21,'Balizador da Meta'!$C$4:$C$21)</f>
        <v>0</v>
      </c>
      <c r="R1090" s="28">
        <f>R1087*_xlfn.XLOOKUP($L1090,'Balizador da Meta'!$B$4:$B$21,'Balizador da Meta'!$C$4:$C$21)</f>
        <v>0</v>
      </c>
      <c r="S1090" s="28">
        <f>S1087*_xlfn.XLOOKUP($L1090,'Balizador da Meta'!$B$4:$B$21,'Balizador da Meta'!$C$4:$C$21)</f>
        <v>0</v>
      </c>
      <c r="T1090" s="28">
        <f>T1087*_xlfn.XLOOKUP($L1090,'Balizador da Meta'!$B$4:$B$21,'Balizador da Meta'!$C$4:$C$21)</f>
        <v>0</v>
      </c>
      <c r="U1090" s="28">
        <f>U1087*_xlfn.XLOOKUP($L1090,'Balizador da Meta'!$B$4:$B$21,'Balizador da Meta'!$C$4:$C$21)</f>
        <v>0</v>
      </c>
      <c r="V1090" s="28">
        <f>V1087*_xlfn.XLOOKUP($L1090,'Balizador da Meta'!$B$4:$B$21,'Balizador da Meta'!$C$4:$C$21)</f>
        <v>0</v>
      </c>
      <c r="W1090" s="28">
        <f>W1087*_xlfn.XLOOKUP($L1090,'Balizador da Meta'!$B$4:$B$21,'Balizador da Meta'!$C$4:$C$21)</f>
        <v>0</v>
      </c>
      <c r="X1090" s="28">
        <f>X1087*_xlfn.XLOOKUP($L1090,'Balizador da Meta'!$B$4:$B$21,'Balizador da Meta'!$C$4:$C$21)</f>
        <v>0</v>
      </c>
      <c r="Y1090" s="28">
        <f>Y1087*_xlfn.XLOOKUP($L1090,'Balizador da Meta'!$B$4:$B$21,'Balizador da Meta'!$C$4:$C$21)</f>
        <v>0</v>
      </c>
      <c r="Z1090" s="30">
        <f t="shared" si="263"/>
        <v>0</v>
      </c>
      <c r="AA1090" s="29"/>
      <c r="AB1090" s="31">
        <f>SUMIFS('Historico - FAT'!AK:AK,'Historico - FAT'!$K:$K,Faturamento!$L1090,'Historico - FAT'!$I:$I,Faturamento!$J1090,'Historico - FAT'!$G:$G,Faturamento!$H1090)</f>
        <v>0</v>
      </c>
      <c r="AC1090" s="31">
        <f>SUMIFS('Historico - FAT'!AL:AL,'Historico - FAT'!$K:$K,Faturamento!$L1090,'Historico - FAT'!$I:$I,Faturamento!$J1090,'Historico - FAT'!$G:$G,Faturamento!$H1090)</f>
        <v>0</v>
      </c>
      <c r="AD1090" s="31">
        <f>SUMIFS('Historico - FAT'!AM:AM,'Historico - FAT'!$K:$K,Faturamento!$L1090,'Historico - FAT'!$I:$I,Faturamento!$J1090,'Historico - FAT'!$G:$G,Faturamento!$H1090)</f>
        <v>0</v>
      </c>
      <c r="AE1090" s="27">
        <f>SUMIFS('Historico - FAT'!AN:AN,'Historico - FAT'!$K:$K,Faturamento!$L1090,'Historico - FAT'!$I:$I,Faturamento!$J1090,'Historico - FAT'!$G:$G,Faturamento!$H1090)</f>
        <v>0</v>
      </c>
      <c r="AG1090" s="24" t="str">
        <f t="shared" si="258"/>
        <v/>
      </c>
      <c r="AH1090" s="24" t="str">
        <f t="shared" si="259"/>
        <v/>
      </c>
      <c r="AI1090" s="24" t="str">
        <f t="shared" si="260"/>
        <v/>
      </c>
    </row>
    <row r="1091" spans="1:35" hidden="1" x14ac:dyDescent="0.3">
      <c r="A1091" s="2" t="str">
        <f t="shared" si="257"/>
        <v>NÃO</v>
      </c>
      <c r="B1091" s="2">
        <v>1000184670</v>
      </c>
      <c r="C1091" s="2" t="s">
        <v>147</v>
      </c>
      <c r="D1091" s="4">
        <v>1000186197</v>
      </c>
      <c r="E1091" s="4" t="s">
        <v>166</v>
      </c>
      <c r="F1091" s="2">
        <v>1000184758</v>
      </c>
      <c r="G1091" s="2" t="s">
        <v>55</v>
      </c>
      <c r="H1091" s="4">
        <v>1000189802</v>
      </c>
      <c r="I1091" s="4" t="s">
        <v>105</v>
      </c>
      <c r="J1091" s="2">
        <v>1000189270</v>
      </c>
      <c r="K1091" s="2" t="s">
        <v>34</v>
      </c>
      <c r="L1091" s="4" t="s">
        <v>15</v>
      </c>
      <c r="M1091" s="4" t="str">
        <f t="shared" si="247"/>
        <v>1000184670100018619710001898021000189270DOCES</v>
      </c>
      <c r="N1091" s="28">
        <f>N1087*_xlfn.XLOOKUP($L1091,'Balizador da Meta'!$B$4:$B$21,'Balizador da Meta'!$C$4:$C$21)</f>
        <v>0</v>
      </c>
      <c r="O1091" s="28">
        <f>O1087*_xlfn.XLOOKUP($L1091,'Balizador da Meta'!$B$4:$B$21,'Balizador da Meta'!$C$4:$C$21)</f>
        <v>0</v>
      </c>
      <c r="P1091" s="28">
        <f>P1087*_xlfn.XLOOKUP($L1091,'Balizador da Meta'!$B$4:$B$21,'Balizador da Meta'!$C$4:$C$21)</f>
        <v>0</v>
      </c>
      <c r="Q1091" s="28">
        <f>Q1087*_xlfn.XLOOKUP($L1091,'Balizador da Meta'!$B$4:$B$21,'Balizador da Meta'!$C$4:$C$21)</f>
        <v>0</v>
      </c>
      <c r="R1091" s="28">
        <f>R1087*_xlfn.XLOOKUP($L1091,'Balizador da Meta'!$B$4:$B$21,'Balizador da Meta'!$C$4:$C$21)</f>
        <v>0</v>
      </c>
      <c r="S1091" s="28">
        <f>S1087*_xlfn.XLOOKUP($L1091,'Balizador da Meta'!$B$4:$B$21,'Balizador da Meta'!$C$4:$C$21)</f>
        <v>0</v>
      </c>
      <c r="T1091" s="28">
        <f>T1087*_xlfn.XLOOKUP($L1091,'Balizador da Meta'!$B$4:$B$21,'Balizador da Meta'!$C$4:$C$21)</f>
        <v>0</v>
      </c>
      <c r="U1091" s="28">
        <f>U1087*_xlfn.XLOOKUP($L1091,'Balizador da Meta'!$B$4:$B$21,'Balizador da Meta'!$C$4:$C$21)</f>
        <v>0</v>
      </c>
      <c r="V1091" s="28">
        <f>V1087*_xlfn.XLOOKUP($L1091,'Balizador da Meta'!$B$4:$B$21,'Balizador da Meta'!$C$4:$C$21)</f>
        <v>0</v>
      </c>
      <c r="W1091" s="28">
        <f>W1087*_xlfn.XLOOKUP($L1091,'Balizador da Meta'!$B$4:$B$21,'Balizador da Meta'!$C$4:$C$21)</f>
        <v>0</v>
      </c>
      <c r="X1091" s="28">
        <f>X1087*_xlfn.XLOOKUP($L1091,'Balizador da Meta'!$B$4:$B$21,'Balizador da Meta'!$C$4:$C$21)</f>
        <v>0</v>
      </c>
      <c r="Y1091" s="28">
        <f>Y1087*_xlfn.XLOOKUP($L1091,'Balizador da Meta'!$B$4:$B$21,'Balizador da Meta'!$C$4:$C$21)</f>
        <v>0</v>
      </c>
      <c r="Z1091" s="30">
        <f t="shared" si="263"/>
        <v>0</v>
      </c>
      <c r="AA1091" s="29"/>
      <c r="AB1091" s="31">
        <f>SUMIFS('Historico - FAT'!AK:AK,'Historico - FAT'!$K:$K,Faturamento!$L1091,'Historico - FAT'!$I:$I,Faturamento!$J1091,'Historico - FAT'!$G:$G,Faturamento!$H1091)</f>
        <v>0</v>
      </c>
      <c r="AC1091" s="31">
        <f>SUMIFS('Historico - FAT'!AL:AL,'Historico - FAT'!$K:$K,Faturamento!$L1091,'Historico - FAT'!$I:$I,Faturamento!$J1091,'Historico - FAT'!$G:$G,Faturamento!$H1091)</f>
        <v>0</v>
      </c>
      <c r="AD1091" s="31">
        <f>SUMIFS('Historico - FAT'!AM:AM,'Historico - FAT'!$K:$K,Faturamento!$L1091,'Historico - FAT'!$I:$I,Faturamento!$J1091,'Historico - FAT'!$G:$G,Faturamento!$H1091)</f>
        <v>0</v>
      </c>
      <c r="AE1091" s="27">
        <f>SUMIFS('Historico - FAT'!AN:AN,'Historico - FAT'!$K:$K,Faturamento!$L1091,'Historico - FAT'!$I:$I,Faturamento!$J1091,'Historico - FAT'!$G:$G,Faturamento!$H1091)</f>
        <v>0</v>
      </c>
      <c r="AG1091" s="24" t="str">
        <f t="shared" si="258"/>
        <v/>
      </c>
      <c r="AH1091" s="24" t="str">
        <f t="shared" si="259"/>
        <v/>
      </c>
      <c r="AI1091" s="24" t="str">
        <f t="shared" si="260"/>
        <v/>
      </c>
    </row>
    <row r="1092" spans="1:35" hidden="1" x14ac:dyDescent="0.3">
      <c r="A1092" s="2" t="str">
        <f t="shared" si="257"/>
        <v>NÃO</v>
      </c>
      <c r="B1092" s="2">
        <v>1000184670</v>
      </c>
      <c r="C1092" s="2" t="s">
        <v>147</v>
      </c>
      <c r="D1092" s="4">
        <v>1000186197</v>
      </c>
      <c r="E1092" s="4" t="s">
        <v>166</v>
      </c>
      <c r="F1092" s="2">
        <v>1000184758</v>
      </c>
      <c r="G1092" s="2" t="s">
        <v>55</v>
      </c>
      <c r="H1092" s="4">
        <v>1000189802</v>
      </c>
      <c r="I1092" s="4" t="s">
        <v>105</v>
      </c>
      <c r="J1092" s="2">
        <v>1000189270</v>
      </c>
      <c r="K1092" s="2" t="s">
        <v>34</v>
      </c>
      <c r="L1092" s="4" t="s">
        <v>33</v>
      </c>
      <c r="M1092" s="4" t="str">
        <f t="shared" si="247"/>
        <v>1000184670100018619710001898021000189270FOOD SERVICE</v>
      </c>
      <c r="N1092" s="28">
        <f>N1087*_xlfn.XLOOKUP($L1092,'Balizador da Meta'!$B$4:$B$21,'Balizador da Meta'!$C$4:$C$21)</f>
        <v>0</v>
      </c>
      <c r="O1092" s="28">
        <f>O1087*_xlfn.XLOOKUP($L1092,'Balizador da Meta'!$B$4:$B$21,'Balizador da Meta'!$C$4:$C$21)</f>
        <v>0</v>
      </c>
      <c r="P1092" s="28">
        <f>P1087*_xlfn.XLOOKUP($L1092,'Balizador da Meta'!$B$4:$B$21,'Balizador da Meta'!$C$4:$C$21)</f>
        <v>0</v>
      </c>
      <c r="Q1092" s="28">
        <f>Q1087*_xlfn.XLOOKUP($L1092,'Balizador da Meta'!$B$4:$B$21,'Balizador da Meta'!$C$4:$C$21)</f>
        <v>0</v>
      </c>
      <c r="R1092" s="28">
        <f>R1087*_xlfn.XLOOKUP($L1092,'Balizador da Meta'!$B$4:$B$21,'Balizador da Meta'!$C$4:$C$21)</f>
        <v>0</v>
      </c>
      <c r="S1092" s="28">
        <f>S1087*_xlfn.XLOOKUP($L1092,'Balizador da Meta'!$B$4:$B$21,'Balizador da Meta'!$C$4:$C$21)</f>
        <v>0</v>
      </c>
      <c r="T1092" s="28">
        <f>T1087*_xlfn.XLOOKUP($L1092,'Balizador da Meta'!$B$4:$B$21,'Balizador da Meta'!$C$4:$C$21)</f>
        <v>0</v>
      </c>
      <c r="U1092" s="28">
        <f>U1087*_xlfn.XLOOKUP($L1092,'Balizador da Meta'!$B$4:$B$21,'Balizador da Meta'!$C$4:$C$21)</f>
        <v>0</v>
      </c>
      <c r="V1092" s="28">
        <f>V1087*_xlfn.XLOOKUP($L1092,'Balizador da Meta'!$B$4:$B$21,'Balizador da Meta'!$C$4:$C$21)</f>
        <v>0</v>
      </c>
      <c r="W1092" s="28">
        <f>W1087*_xlfn.XLOOKUP($L1092,'Balizador da Meta'!$B$4:$B$21,'Balizador da Meta'!$C$4:$C$21)</f>
        <v>0</v>
      </c>
      <c r="X1092" s="28">
        <f>X1087*_xlfn.XLOOKUP($L1092,'Balizador da Meta'!$B$4:$B$21,'Balizador da Meta'!$C$4:$C$21)</f>
        <v>0</v>
      </c>
      <c r="Y1092" s="28">
        <f>Y1087*_xlfn.XLOOKUP($L1092,'Balizador da Meta'!$B$4:$B$21,'Balizador da Meta'!$C$4:$C$21)</f>
        <v>0</v>
      </c>
      <c r="Z1092" s="30">
        <f t="shared" si="263"/>
        <v>0</v>
      </c>
      <c r="AA1092" s="29"/>
      <c r="AB1092" s="31">
        <f>SUMIFS('Historico - FAT'!AK:AK,'Historico - FAT'!$K:$K,Faturamento!$L1092,'Historico - FAT'!$I:$I,Faturamento!$J1092,'Historico - FAT'!$G:$G,Faturamento!$H1092)</f>
        <v>0</v>
      </c>
      <c r="AC1092" s="31">
        <f>SUMIFS('Historico - FAT'!AL:AL,'Historico - FAT'!$K:$K,Faturamento!$L1092,'Historico - FAT'!$I:$I,Faturamento!$J1092,'Historico - FAT'!$G:$G,Faturamento!$H1092)</f>
        <v>0</v>
      </c>
      <c r="AD1092" s="31">
        <f>SUMIFS('Historico - FAT'!AM:AM,'Historico - FAT'!$K:$K,Faturamento!$L1092,'Historico - FAT'!$I:$I,Faturamento!$J1092,'Historico - FAT'!$G:$G,Faturamento!$H1092)</f>
        <v>0</v>
      </c>
      <c r="AE1092" s="27">
        <f>SUMIFS('Historico - FAT'!AN:AN,'Historico - FAT'!$K:$K,Faturamento!$L1092,'Historico - FAT'!$I:$I,Faturamento!$J1092,'Historico - FAT'!$G:$G,Faturamento!$H1092)</f>
        <v>0</v>
      </c>
      <c r="AG1092" s="24" t="str">
        <f t="shared" si="258"/>
        <v/>
      </c>
      <c r="AH1092" s="24" t="str">
        <f t="shared" si="259"/>
        <v/>
      </c>
      <c r="AI1092" s="24" t="str">
        <f t="shared" si="260"/>
        <v/>
      </c>
    </row>
    <row r="1093" spans="1:35" hidden="1" x14ac:dyDescent="0.3">
      <c r="A1093" s="2" t="str">
        <f t="shared" si="257"/>
        <v>NÃO</v>
      </c>
      <c r="B1093" s="2">
        <v>1000184670</v>
      </c>
      <c r="C1093" s="2" t="s">
        <v>147</v>
      </c>
      <c r="D1093" s="4">
        <v>1000186197</v>
      </c>
      <c r="E1093" s="4" t="s">
        <v>166</v>
      </c>
      <c r="F1093" s="2">
        <v>1000184758</v>
      </c>
      <c r="G1093" s="2" t="s">
        <v>55</v>
      </c>
      <c r="H1093" s="4">
        <v>1000189802</v>
      </c>
      <c r="I1093" s="4" t="s">
        <v>105</v>
      </c>
      <c r="J1093" s="2">
        <v>1000189270</v>
      </c>
      <c r="K1093" s="2" t="s">
        <v>34</v>
      </c>
      <c r="L1093" s="4" t="s">
        <v>19</v>
      </c>
      <c r="M1093" s="4" t="str">
        <f t="shared" ref="M1093:M1156" si="264">_xlfn.CONCAT(B1093,D1093,H1093,J1093,L1093,)</f>
        <v>1000184670100018619710001898021000189270GELEIA</v>
      </c>
      <c r="N1093" s="28">
        <f>N1087*_xlfn.XLOOKUP($L1093,'Balizador da Meta'!$B$4:$B$21,'Balizador da Meta'!$C$4:$C$21)</f>
        <v>0</v>
      </c>
      <c r="O1093" s="28">
        <f>O1087*_xlfn.XLOOKUP($L1093,'Balizador da Meta'!$B$4:$B$21,'Balizador da Meta'!$C$4:$C$21)</f>
        <v>0</v>
      </c>
      <c r="P1093" s="28">
        <f>P1087*_xlfn.XLOOKUP($L1093,'Balizador da Meta'!$B$4:$B$21,'Balizador da Meta'!$C$4:$C$21)</f>
        <v>0</v>
      </c>
      <c r="Q1093" s="28">
        <f>Q1087*_xlfn.XLOOKUP($L1093,'Balizador da Meta'!$B$4:$B$21,'Balizador da Meta'!$C$4:$C$21)</f>
        <v>0</v>
      </c>
      <c r="R1093" s="28">
        <f>R1087*_xlfn.XLOOKUP($L1093,'Balizador da Meta'!$B$4:$B$21,'Balizador da Meta'!$C$4:$C$21)</f>
        <v>0</v>
      </c>
      <c r="S1093" s="28">
        <f>S1087*_xlfn.XLOOKUP($L1093,'Balizador da Meta'!$B$4:$B$21,'Balizador da Meta'!$C$4:$C$21)</f>
        <v>0</v>
      </c>
      <c r="T1093" s="28">
        <f>T1087*_xlfn.XLOOKUP($L1093,'Balizador da Meta'!$B$4:$B$21,'Balizador da Meta'!$C$4:$C$21)</f>
        <v>0</v>
      </c>
      <c r="U1093" s="28">
        <f>U1087*_xlfn.XLOOKUP($L1093,'Balizador da Meta'!$B$4:$B$21,'Balizador da Meta'!$C$4:$C$21)</f>
        <v>0</v>
      </c>
      <c r="V1093" s="28">
        <f>V1087*_xlfn.XLOOKUP($L1093,'Balizador da Meta'!$B$4:$B$21,'Balizador da Meta'!$C$4:$C$21)</f>
        <v>0</v>
      </c>
      <c r="W1093" s="28">
        <f>W1087*_xlfn.XLOOKUP($L1093,'Balizador da Meta'!$B$4:$B$21,'Balizador da Meta'!$C$4:$C$21)</f>
        <v>0</v>
      </c>
      <c r="X1093" s="28">
        <f>X1087*_xlfn.XLOOKUP($L1093,'Balizador da Meta'!$B$4:$B$21,'Balizador da Meta'!$C$4:$C$21)</f>
        <v>0</v>
      </c>
      <c r="Y1093" s="28">
        <f>Y1087*_xlfn.XLOOKUP($L1093,'Balizador da Meta'!$B$4:$B$21,'Balizador da Meta'!$C$4:$C$21)</f>
        <v>0</v>
      </c>
      <c r="Z1093" s="30">
        <f t="shared" si="263"/>
        <v>0</v>
      </c>
      <c r="AA1093" s="29"/>
      <c r="AB1093" s="31">
        <f>SUMIFS('Historico - FAT'!AK:AK,'Historico - FAT'!$K:$K,Faturamento!$L1093,'Historico - FAT'!$I:$I,Faturamento!$J1093,'Historico - FAT'!$G:$G,Faturamento!$H1093)</f>
        <v>0</v>
      </c>
      <c r="AC1093" s="31">
        <f>SUMIFS('Historico - FAT'!AL:AL,'Historico - FAT'!$K:$K,Faturamento!$L1093,'Historico - FAT'!$I:$I,Faturamento!$J1093,'Historico - FAT'!$G:$G,Faturamento!$H1093)</f>
        <v>0</v>
      </c>
      <c r="AD1093" s="31">
        <f>SUMIFS('Historico - FAT'!AM:AM,'Historico - FAT'!$K:$K,Faturamento!$L1093,'Historico - FAT'!$I:$I,Faturamento!$J1093,'Historico - FAT'!$G:$G,Faturamento!$H1093)</f>
        <v>0</v>
      </c>
      <c r="AE1093" s="27">
        <f>SUMIFS('Historico - FAT'!AN:AN,'Historico - FAT'!$K:$K,Faturamento!$L1093,'Historico - FAT'!$I:$I,Faturamento!$J1093,'Historico - FAT'!$G:$G,Faturamento!$H1093)</f>
        <v>0</v>
      </c>
      <c r="AG1093" s="24" t="str">
        <f t="shared" si="258"/>
        <v/>
      </c>
      <c r="AH1093" s="24" t="str">
        <f t="shared" si="259"/>
        <v/>
      </c>
      <c r="AI1093" s="24" t="str">
        <f t="shared" si="260"/>
        <v/>
      </c>
    </row>
    <row r="1094" spans="1:35" hidden="1" x14ac:dyDescent="0.3">
      <c r="A1094" s="2" t="str">
        <f t="shared" si="257"/>
        <v>NÃO</v>
      </c>
      <c r="B1094" s="2">
        <v>1000184670</v>
      </c>
      <c r="C1094" s="2" t="s">
        <v>147</v>
      </c>
      <c r="D1094" s="4">
        <v>1000186197</v>
      </c>
      <c r="E1094" s="4" t="s">
        <v>166</v>
      </c>
      <c r="F1094" s="2">
        <v>1000184758</v>
      </c>
      <c r="G1094" s="2" t="s">
        <v>55</v>
      </c>
      <c r="H1094" s="4">
        <v>1000189802</v>
      </c>
      <c r="I1094" s="4" t="s">
        <v>105</v>
      </c>
      <c r="J1094" s="2">
        <v>1000189270</v>
      </c>
      <c r="K1094" s="2" t="s">
        <v>34</v>
      </c>
      <c r="L1094" s="4" t="s">
        <v>17</v>
      </c>
      <c r="M1094" s="4" t="str">
        <f t="shared" si="264"/>
        <v>1000184670100018619710001898021000189270GRANOLA</v>
      </c>
      <c r="N1094" s="28">
        <f>N1087*_xlfn.XLOOKUP($L1094,'Balizador da Meta'!$B$4:$B$21,'Balizador da Meta'!$C$4:$C$21)</f>
        <v>0</v>
      </c>
      <c r="O1094" s="28">
        <f>O1087*_xlfn.XLOOKUP($L1094,'Balizador da Meta'!$B$4:$B$21,'Balizador da Meta'!$C$4:$C$21)</f>
        <v>0</v>
      </c>
      <c r="P1094" s="28">
        <f>P1087*_xlfn.XLOOKUP($L1094,'Balizador da Meta'!$B$4:$B$21,'Balizador da Meta'!$C$4:$C$21)</f>
        <v>0</v>
      </c>
      <c r="Q1094" s="28">
        <f>Q1087*_xlfn.XLOOKUP($L1094,'Balizador da Meta'!$B$4:$B$21,'Balizador da Meta'!$C$4:$C$21)</f>
        <v>0</v>
      </c>
      <c r="R1094" s="28">
        <f>R1087*_xlfn.XLOOKUP($L1094,'Balizador da Meta'!$B$4:$B$21,'Balizador da Meta'!$C$4:$C$21)</f>
        <v>0</v>
      </c>
      <c r="S1094" s="28">
        <f>S1087*_xlfn.XLOOKUP($L1094,'Balizador da Meta'!$B$4:$B$21,'Balizador da Meta'!$C$4:$C$21)</f>
        <v>0</v>
      </c>
      <c r="T1094" s="28">
        <f>T1087*_xlfn.XLOOKUP($L1094,'Balizador da Meta'!$B$4:$B$21,'Balizador da Meta'!$C$4:$C$21)</f>
        <v>0</v>
      </c>
      <c r="U1094" s="28">
        <f>U1087*_xlfn.XLOOKUP($L1094,'Balizador da Meta'!$B$4:$B$21,'Balizador da Meta'!$C$4:$C$21)</f>
        <v>0</v>
      </c>
      <c r="V1094" s="28">
        <f>V1087*_xlfn.XLOOKUP($L1094,'Balizador da Meta'!$B$4:$B$21,'Balizador da Meta'!$C$4:$C$21)</f>
        <v>0</v>
      </c>
      <c r="W1094" s="28">
        <f>W1087*_xlfn.XLOOKUP($L1094,'Balizador da Meta'!$B$4:$B$21,'Balizador da Meta'!$C$4:$C$21)</f>
        <v>0</v>
      </c>
      <c r="X1094" s="28">
        <f>X1087*_xlfn.XLOOKUP($L1094,'Balizador da Meta'!$B$4:$B$21,'Balizador da Meta'!$C$4:$C$21)</f>
        <v>0</v>
      </c>
      <c r="Y1094" s="28">
        <f>Y1087*_xlfn.XLOOKUP($L1094,'Balizador da Meta'!$B$4:$B$21,'Balizador da Meta'!$C$4:$C$21)</f>
        <v>0</v>
      </c>
      <c r="Z1094" s="30">
        <f t="shared" si="263"/>
        <v>0</v>
      </c>
      <c r="AA1094" s="29"/>
      <c r="AB1094" s="31">
        <f>SUMIFS('Historico - FAT'!AK:AK,'Historico - FAT'!$K:$K,Faturamento!$L1094,'Historico - FAT'!$I:$I,Faturamento!$J1094,'Historico - FAT'!$G:$G,Faturamento!$H1094)</f>
        <v>0</v>
      </c>
      <c r="AC1094" s="31">
        <f>SUMIFS('Historico - FAT'!AL:AL,'Historico - FAT'!$K:$K,Faturamento!$L1094,'Historico - FAT'!$I:$I,Faturamento!$J1094,'Historico - FAT'!$G:$G,Faturamento!$H1094)</f>
        <v>0</v>
      </c>
      <c r="AD1094" s="31">
        <f>SUMIFS('Historico - FAT'!AM:AM,'Historico - FAT'!$K:$K,Faturamento!$L1094,'Historico - FAT'!$I:$I,Faturamento!$J1094,'Historico - FAT'!$G:$G,Faturamento!$H1094)</f>
        <v>0</v>
      </c>
      <c r="AE1094" s="27">
        <f>SUMIFS('Historico - FAT'!AN:AN,'Historico - FAT'!$K:$K,Faturamento!$L1094,'Historico - FAT'!$I:$I,Faturamento!$J1094,'Historico - FAT'!$G:$G,Faturamento!$H1094)</f>
        <v>0</v>
      </c>
      <c r="AG1094" s="24" t="str">
        <f t="shared" si="258"/>
        <v/>
      </c>
      <c r="AH1094" s="24" t="str">
        <f t="shared" si="259"/>
        <v/>
      </c>
      <c r="AI1094" s="24" t="str">
        <f t="shared" si="260"/>
        <v/>
      </c>
    </row>
    <row r="1095" spans="1:35" hidden="1" x14ac:dyDescent="0.3">
      <c r="A1095" s="2" t="str">
        <f t="shared" si="257"/>
        <v>NÃO</v>
      </c>
      <c r="B1095" s="2">
        <v>1000184670</v>
      </c>
      <c r="C1095" s="2" t="s">
        <v>147</v>
      </c>
      <c r="D1095" s="4">
        <v>1000186197</v>
      </c>
      <c r="E1095" s="4" t="s">
        <v>166</v>
      </c>
      <c r="F1095" s="2">
        <v>1000184758</v>
      </c>
      <c r="G1095" s="2" t="s">
        <v>55</v>
      </c>
      <c r="H1095" s="4">
        <v>1000189802</v>
      </c>
      <c r="I1095" s="4" t="s">
        <v>105</v>
      </c>
      <c r="J1095" s="2">
        <v>1000189270</v>
      </c>
      <c r="K1095" s="2" t="s">
        <v>34</v>
      </c>
      <c r="L1095" s="4" t="s">
        <v>24</v>
      </c>
      <c r="M1095" s="4" t="str">
        <f t="shared" si="264"/>
        <v>1000184670100018619710001898021000189270KIDS</v>
      </c>
      <c r="N1095" s="28">
        <f>N1087*_xlfn.XLOOKUP($L1095,'Balizador da Meta'!$B$4:$B$21,'Balizador da Meta'!$C$4:$C$21)</f>
        <v>0</v>
      </c>
      <c r="O1095" s="28">
        <f>O1087*_xlfn.XLOOKUP($L1095,'Balizador da Meta'!$B$4:$B$21,'Balizador da Meta'!$C$4:$C$21)</f>
        <v>0</v>
      </c>
      <c r="P1095" s="28">
        <f>P1087*_xlfn.XLOOKUP($L1095,'Balizador da Meta'!$B$4:$B$21,'Balizador da Meta'!$C$4:$C$21)</f>
        <v>0</v>
      </c>
      <c r="Q1095" s="28">
        <f>Q1087*_xlfn.XLOOKUP($L1095,'Balizador da Meta'!$B$4:$B$21,'Balizador da Meta'!$C$4:$C$21)</f>
        <v>0</v>
      </c>
      <c r="R1095" s="28">
        <f>R1087*_xlfn.XLOOKUP($L1095,'Balizador da Meta'!$B$4:$B$21,'Balizador da Meta'!$C$4:$C$21)</f>
        <v>0</v>
      </c>
      <c r="S1095" s="28">
        <f>S1087*_xlfn.XLOOKUP($L1095,'Balizador da Meta'!$B$4:$B$21,'Balizador da Meta'!$C$4:$C$21)</f>
        <v>0</v>
      </c>
      <c r="T1095" s="28">
        <f>T1087*_xlfn.XLOOKUP($L1095,'Balizador da Meta'!$B$4:$B$21,'Balizador da Meta'!$C$4:$C$21)</f>
        <v>0</v>
      </c>
      <c r="U1095" s="28">
        <f>U1087*_xlfn.XLOOKUP($L1095,'Balizador da Meta'!$B$4:$B$21,'Balizador da Meta'!$C$4:$C$21)</f>
        <v>0</v>
      </c>
      <c r="V1095" s="28">
        <f>V1087*_xlfn.XLOOKUP($L1095,'Balizador da Meta'!$B$4:$B$21,'Balizador da Meta'!$C$4:$C$21)</f>
        <v>0</v>
      </c>
      <c r="W1095" s="28">
        <f>W1087*_xlfn.XLOOKUP($L1095,'Balizador da Meta'!$B$4:$B$21,'Balizador da Meta'!$C$4:$C$21)</f>
        <v>0</v>
      </c>
      <c r="X1095" s="28">
        <f>X1087*_xlfn.XLOOKUP($L1095,'Balizador da Meta'!$B$4:$B$21,'Balizador da Meta'!$C$4:$C$21)</f>
        <v>0</v>
      </c>
      <c r="Y1095" s="28">
        <f>Y1087*_xlfn.XLOOKUP($L1095,'Balizador da Meta'!$B$4:$B$21,'Balizador da Meta'!$C$4:$C$21)</f>
        <v>0</v>
      </c>
      <c r="Z1095" s="30">
        <f t="shared" si="263"/>
        <v>0</v>
      </c>
      <c r="AA1095" s="29"/>
      <c r="AB1095" s="31">
        <f>SUMIFS('Historico - FAT'!AK:AK,'Historico - FAT'!$K:$K,Faturamento!$L1095,'Historico - FAT'!$I:$I,Faturamento!$J1095,'Historico - FAT'!$G:$G,Faturamento!$H1095)</f>
        <v>0</v>
      </c>
      <c r="AC1095" s="31">
        <f>SUMIFS('Historico - FAT'!AL:AL,'Historico - FAT'!$K:$K,Faturamento!$L1095,'Historico - FAT'!$I:$I,Faturamento!$J1095,'Historico - FAT'!$G:$G,Faturamento!$H1095)</f>
        <v>0</v>
      </c>
      <c r="AD1095" s="31">
        <f>SUMIFS('Historico - FAT'!AM:AM,'Historico - FAT'!$K:$K,Faturamento!$L1095,'Historico - FAT'!$I:$I,Faturamento!$J1095,'Historico - FAT'!$G:$G,Faturamento!$H1095)</f>
        <v>0</v>
      </c>
      <c r="AE1095" s="27">
        <f>SUMIFS('Historico - FAT'!AN:AN,'Historico - FAT'!$K:$K,Faturamento!$L1095,'Historico - FAT'!$I:$I,Faturamento!$J1095,'Historico - FAT'!$G:$G,Faturamento!$H1095)</f>
        <v>0</v>
      </c>
      <c r="AG1095" s="24" t="str">
        <f t="shared" si="258"/>
        <v/>
      </c>
      <c r="AH1095" s="24" t="str">
        <f t="shared" si="259"/>
        <v/>
      </c>
      <c r="AI1095" s="24" t="str">
        <f t="shared" si="260"/>
        <v/>
      </c>
    </row>
    <row r="1096" spans="1:35" hidden="1" x14ac:dyDescent="0.3">
      <c r="A1096" s="2" t="str">
        <f t="shared" si="257"/>
        <v>NÃO</v>
      </c>
      <c r="B1096" s="2">
        <v>1000184670</v>
      </c>
      <c r="C1096" s="2" t="s">
        <v>147</v>
      </c>
      <c r="D1096" s="4">
        <v>1000186197</v>
      </c>
      <c r="E1096" s="4" t="s">
        <v>166</v>
      </c>
      <c r="F1096" s="2">
        <v>1000184758</v>
      </c>
      <c r="G1096" s="2" t="s">
        <v>55</v>
      </c>
      <c r="H1096" s="4">
        <v>1000189802</v>
      </c>
      <c r="I1096" s="4" t="s">
        <v>105</v>
      </c>
      <c r="J1096" s="2">
        <v>1000189270</v>
      </c>
      <c r="K1096" s="2" t="s">
        <v>34</v>
      </c>
      <c r="L1096" s="4" t="s">
        <v>18</v>
      </c>
      <c r="M1096" s="4" t="str">
        <f t="shared" si="264"/>
        <v>1000184670100018619710001898021000189270LANCHES</v>
      </c>
      <c r="N1096" s="28">
        <f>N1087*_xlfn.XLOOKUP($L1096,'Balizador da Meta'!$B$4:$B$21,'Balizador da Meta'!$C$4:$C$21)</f>
        <v>0</v>
      </c>
      <c r="O1096" s="28">
        <f>O1087*_xlfn.XLOOKUP($L1096,'Balizador da Meta'!$B$4:$B$21,'Balizador da Meta'!$C$4:$C$21)</f>
        <v>0</v>
      </c>
      <c r="P1096" s="28">
        <f>P1087*_xlfn.XLOOKUP($L1096,'Balizador da Meta'!$B$4:$B$21,'Balizador da Meta'!$C$4:$C$21)</f>
        <v>0</v>
      </c>
      <c r="Q1096" s="28">
        <f>Q1087*_xlfn.XLOOKUP($L1096,'Balizador da Meta'!$B$4:$B$21,'Balizador da Meta'!$C$4:$C$21)</f>
        <v>0</v>
      </c>
      <c r="R1096" s="28">
        <f>R1087*_xlfn.XLOOKUP($L1096,'Balizador da Meta'!$B$4:$B$21,'Balizador da Meta'!$C$4:$C$21)</f>
        <v>0</v>
      </c>
      <c r="S1096" s="28">
        <f>S1087*_xlfn.XLOOKUP($L1096,'Balizador da Meta'!$B$4:$B$21,'Balizador da Meta'!$C$4:$C$21)</f>
        <v>0</v>
      </c>
      <c r="T1096" s="28">
        <f>T1087*_xlfn.XLOOKUP($L1096,'Balizador da Meta'!$B$4:$B$21,'Balizador da Meta'!$C$4:$C$21)</f>
        <v>0</v>
      </c>
      <c r="U1096" s="28">
        <f>U1087*_xlfn.XLOOKUP($L1096,'Balizador da Meta'!$B$4:$B$21,'Balizador da Meta'!$C$4:$C$21)</f>
        <v>0</v>
      </c>
      <c r="V1096" s="28">
        <f>V1087*_xlfn.XLOOKUP($L1096,'Balizador da Meta'!$B$4:$B$21,'Balizador da Meta'!$C$4:$C$21)</f>
        <v>0</v>
      </c>
      <c r="W1096" s="28">
        <f>W1087*_xlfn.XLOOKUP($L1096,'Balizador da Meta'!$B$4:$B$21,'Balizador da Meta'!$C$4:$C$21)</f>
        <v>0</v>
      </c>
      <c r="X1096" s="28">
        <f>X1087*_xlfn.XLOOKUP($L1096,'Balizador da Meta'!$B$4:$B$21,'Balizador da Meta'!$C$4:$C$21)</f>
        <v>0</v>
      </c>
      <c r="Y1096" s="28">
        <f>Y1087*_xlfn.XLOOKUP($L1096,'Balizador da Meta'!$B$4:$B$21,'Balizador da Meta'!$C$4:$C$21)</f>
        <v>0</v>
      </c>
      <c r="Z1096" s="30">
        <f t="shared" si="263"/>
        <v>0</v>
      </c>
      <c r="AA1096" s="29"/>
      <c r="AB1096" s="31">
        <f>SUMIFS('Historico - FAT'!AK:AK,'Historico - FAT'!$K:$K,Faturamento!$L1096,'Historico - FAT'!$I:$I,Faturamento!$J1096,'Historico - FAT'!$G:$G,Faturamento!$H1096)</f>
        <v>0</v>
      </c>
      <c r="AC1096" s="31">
        <f>SUMIFS('Historico - FAT'!AL:AL,'Historico - FAT'!$K:$K,Faturamento!$L1096,'Historico - FAT'!$I:$I,Faturamento!$J1096,'Historico - FAT'!$G:$G,Faturamento!$H1096)</f>
        <v>0</v>
      </c>
      <c r="AD1096" s="31">
        <f>SUMIFS('Historico - FAT'!AM:AM,'Historico - FAT'!$K:$K,Faturamento!$L1096,'Historico - FAT'!$I:$I,Faturamento!$J1096,'Historico - FAT'!$G:$G,Faturamento!$H1096)</f>
        <v>0</v>
      </c>
      <c r="AE1096" s="27">
        <f>SUMIFS('Historico - FAT'!AN:AN,'Historico - FAT'!$K:$K,Faturamento!$L1096,'Historico - FAT'!$I:$I,Faturamento!$J1096,'Historico - FAT'!$G:$G,Faturamento!$H1096)</f>
        <v>0</v>
      </c>
      <c r="AG1096" s="24" t="str">
        <f t="shared" si="258"/>
        <v/>
      </c>
      <c r="AH1096" s="24" t="str">
        <f t="shared" si="259"/>
        <v/>
      </c>
      <c r="AI1096" s="24" t="str">
        <f t="shared" si="260"/>
        <v/>
      </c>
    </row>
    <row r="1097" spans="1:35" hidden="1" x14ac:dyDescent="0.3">
      <c r="A1097" s="2" t="str">
        <f t="shared" si="257"/>
        <v>NÃO</v>
      </c>
      <c r="B1097" s="2">
        <v>1000184670</v>
      </c>
      <c r="C1097" s="2" t="s">
        <v>147</v>
      </c>
      <c r="D1097" s="4">
        <v>1000186197</v>
      </c>
      <c r="E1097" s="4" t="s">
        <v>166</v>
      </c>
      <c r="F1097" s="2">
        <v>1000184758</v>
      </c>
      <c r="G1097" s="2" t="s">
        <v>55</v>
      </c>
      <c r="H1097" s="4">
        <v>1000189802</v>
      </c>
      <c r="I1097" s="4" t="s">
        <v>105</v>
      </c>
      <c r="J1097" s="2">
        <v>1000189270</v>
      </c>
      <c r="K1097" s="2" t="s">
        <v>34</v>
      </c>
      <c r="L1097" s="4" t="s">
        <v>29</v>
      </c>
      <c r="M1097" s="4" t="str">
        <f t="shared" si="264"/>
        <v>1000184670100018619710001898021000189270MAIS GRANEL</v>
      </c>
      <c r="N1097" s="28">
        <f>N1087*_xlfn.XLOOKUP($L1097,'Balizador da Meta'!$B$4:$B$21,'Balizador da Meta'!$C$4:$C$21)</f>
        <v>0</v>
      </c>
      <c r="O1097" s="28">
        <f>O1087*_xlfn.XLOOKUP($L1097,'Balizador da Meta'!$B$4:$B$21,'Balizador da Meta'!$C$4:$C$21)</f>
        <v>0</v>
      </c>
      <c r="P1097" s="28">
        <f>P1087*_xlfn.XLOOKUP($L1097,'Balizador da Meta'!$B$4:$B$21,'Balizador da Meta'!$C$4:$C$21)</f>
        <v>0</v>
      </c>
      <c r="Q1097" s="28">
        <f>Q1087*_xlfn.XLOOKUP($L1097,'Balizador da Meta'!$B$4:$B$21,'Balizador da Meta'!$C$4:$C$21)</f>
        <v>0</v>
      </c>
      <c r="R1097" s="28">
        <f>R1087*_xlfn.XLOOKUP($L1097,'Balizador da Meta'!$B$4:$B$21,'Balizador da Meta'!$C$4:$C$21)</f>
        <v>0</v>
      </c>
      <c r="S1097" s="28">
        <f>S1087*_xlfn.XLOOKUP($L1097,'Balizador da Meta'!$B$4:$B$21,'Balizador da Meta'!$C$4:$C$21)</f>
        <v>0</v>
      </c>
      <c r="T1097" s="28">
        <f>T1087*_xlfn.XLOOKUP($L1097,'Balizador da Meta'!$B$4:$B$21,'Balizador da Meta'!$C$4:$C$21)</f>
        <v>0</v>
      </c>
      <c r="U1097" s="28">
        <f>U1087*_xlfn.XLOOKUP($L1097,'Balizador da Meta'!$B$4:$B$21,'Balizador da Meta'!$C$4:$C$21)</f>
        <v>0</v>
      </c>
      <c r="V1097" s="28">
        <f>V1087*_xlfn.XLOOKUP($L1097,'Balizador da Meta'!$B$4:$B$21,'Balizador da Meta'!$C$4:$C$21)</f>
        <v>0</v>
      </c>
      <c r="W1097" s="28">
        <f>W1087*_xlfn.XLOOKUP($L1097,'Balizador da Meta'!$B$4:$B$21,'Balizador da Meta'!$C$4:$C$21)</f>
        <v>0</v>
      </c>
      <c r="X1097" s="28">
        <f>X1087*_xlfn.XLOOKUP($L1097,'Balizador da Meta'!$B$4:$B$21,'Balizador da Meta'!$C$4:$C$21)</f>
        <v>0</v>
      </c>
      <c r="Y1097" s="28">
        <f>Y1087*_xlfn.XLOOKUP($L1097,'Balizador da Meta'!$B$4:$B$21,'Balizador da Meta'!$C$4:$C$21)</f>
        <v>0</v>
      </c>
      <c r="Z1097" s="30">
        <f t="shared" si="263"/>
        <v>0</v>
      </c>
      <c r="AA1097" s="29"/>
      <c r="AB1097" s="31">
        <f>SUMIFS('Historico - FAT'!AK:AK,'Historico - FAT'!$K:$K,Faturamento!$L1097,'Historico - FAT'!$I:$I,Faturamento!$J1097,'Historico - FAT'!$G:$G,Faturamento!$H1097)</f>
        <v>0</v>
      </c>
      <c r="AC1097" s="31">
        <f>SUMIFS('Historico - FAT'!AL:AL,'Historico - FAT'!$K:$K,Faturamento!$L1097,'Historico - FAT'!$I:$I,Faturamento!$J1097,'Historico - FAT'!$G:$G,Faturamento!$H1097)</f>
        <v>0</v>
      </c>
      <c r="AD1097" s="31">
        <f>SUMIFS('Historico - FAT'!AM:AM,'Historico - FAT'!$K:$K,Faturamento!$L1097,'Historico - FAT'!$I:$I,Faturamento!$J1097,'Historico - FAT'!$G:$G,Faturamento!$H1097)</f>
        <v>0</v>
      </c>
      <c r="AE1097" s="27">
        <f>SUMIFS('Historico - FAT'!AN:AN,'Historico - FAT'!$K:$K,Faturamento!$L1097,'Historico - FAT'!$I:$I,Faturamento!$J1097,'Historico - FAT'!$G:$G,Faturamento!$H1097)</f>
        <v>0</v>
      </c>
      <c r="AG1097" s="24" t="str">
        <f t="shared" si="258"/>
        <v/>
      </c>
      <c r="AH1097" s="24" t="str">
        <f t="shared" si="259"/>
        <v/>
      </c>
      <c r="AI1097" s="24" t="str">
        <f t="shared" si="260"/>
        <v/>
      </c>
    </row>
    <row r="1098" spans="1:35" hidden="1" x14ac:dyDescent="0.3">
      <c r="A1098" s="2" t="str">
        <f t="shared" si="257"/>
        <v>NÃO</v>
      </c>
      <c r="B1098" s="2">
        <v>1000184670</v>
      </c>
      <c r="C1098" s="2" t="s">
        <v>147</v>
      </c>
      <c r="D1098" s="4">
        <v>1000186197</v>
      </c>
      <c r="E1098" s="4" t="s">
        <v>166</v>
      </c>
      <c r="F1098" s="2">
        <v>1000184758</v>
      </c>
      <c r="G1098" s="2" t="s">
        <v>55</v>
      </c>
      <c r="H1098" s="4">
        <v>1000189802</v>
      </c>
      <c r="I1098" s="4" t="s">
        <v>105</v>
      </c>
      <c r="J1098" s="2">
        <v>1000189270</v>
      </c>
      <c r="K1098" s="2" t="s">
        <v>34</v>
      </c>
      <c r="L1098" s="4" t="s">
        <v>21</v>
      </c>
      <c r="M1098" s="4" t="str">
        <f t="shared" si="264"/>
        <v>1000184670100018619710001898021000189270NATURATTA</v>
      </c>
      <c r="N1098" s="28">
        <f>N1087*_xlfn.XLOOKUP($L1098,'Balizador da Meta'!$B$4:$B$21,'Balizador da Meta'!$C$4:$C$21)</f>
        <v>0</v>
      </c>
      <c r="O1098" s="28">
        <f>O1087*_xlfn.XLOOKUP($L1098,'Balizador da Meta'!$B$4:$B$21,'Balizador da Meta'!$C$4:$C$21)</f>
        <v>0</v>
      </c>
      <c r="P1098" s="28">
        <f>P1087*_xlfn.XLOOKUP($L1098,'Balizador da Meta'!$B$4:$B$21,'Balizador da Meta'!$C$4:$C$21)</f>
        <v>0</v>
      </c>
      <c r="Q1098" s="28">
        <f>Q1087*_xlfn.XLOOKUP($L1098,'Balizador da Meta'!$B$4:$B$21,'Balizador da Meta'!$C$4:$C$21)</f>
        <v>0</v>
      </c>
      <c r="R1098" s="28">
        <f>R1087*_xlfn.XLOOKUP($L1098,'Balizador da Meta'!$B$4:$B$21,'Balizador da Meta'!$C$4:$C$21)</f>
        <v>0</v>
      </c>
      <c r="S1098" s="28">
        <f>S1087*_xlfn.XLOOKUP($L1098,'Balizador da Meta'!$B$4:$B$21,'Balizador da Meta'!$C$4:$C$21)</f>
        <v>0</v>
      </c>
      <c r="T1098" s="28">
        <f>T1087*_xlfn.XLOOKUP($L1098,'Balizador da Meta'!$B$4:$B$21,'Balizador da Meta'!$C$4:$C$21)</f>
        <v>0</v>
      </c>
      <c r="U1098" s="28">
        <f>U1087*_xlfn.XLOOKUP($L1098,'Balizador da Meta'!$B$4:$B$21,'Balizador da Meta'!$C$4:$C$21)</f>
        <v>0</v>
      </c>
      <c r="V1098" s="28">
        <f>V1087*_xlfn.XLOOKUP($L1098,'Balizador da Meta'!$B$4:$B$21,'Balizador da Meta'!$C$4:$C$21)</f>
        <v>0</v>
      </c>
      <c r="W1098" s="28">
        <f>W1087*_xlfn.XLOOKUP($L1098,'Balizador da Meta'!$B$4:$B$21,'Balizador da Meta'!$C$4:$C$21)</f>
        <v>0</v>
      </c>
      <c r="X1098" s="28">
        <f>X1087*_xlfn.XLOOKUP($L1098,'Balizador da Meta'!$B$4:$B$21,'Balizador da Meta'!$C$4:$C$21)</f>
        <v>0</v>
      </c>
      <c r="Y1098" s="28">
        <f>Y1087*_xlfn.XLOOKUP($L1098,'Balizador da Meta'!$B$4:$B$21,'Balizador da Meta'!$C$4:$C$21)</f>
        <v>0</v>
      </c>
      <c r="Z1098" s="30">
        <f t="shared" si="263"/>
        <v>0</v>
      </c>
      <c r="AA1098" s="29"/>
      <c r="AB1098" s="31">
        <f>SUMIFS('Historico - FAT'!AK:AK,'Historico - FAT'!$K:$K,Faturamento!$L1098,'Historico - FAT'!$I:$I,Faturamento!$J1098,'Historico - FAT'!$G:$G,Faturamento!$H1098)</f>
        <v>0</v>
      </c>
      <c r="AC1098" s="31">
        <f>SUMIFS('Historico - FAT'!AL:AL,'Historico - FAT'!$K:$K,Faturamento!$L1098,'Historico - FAT'!$I:$I,Faturamento!$J1098,'Historico - FAT'!$G:$G,Faturamento!$H1098)</f>
        <v>0</v>
      </c>
      <c r="AD1098" s="31">
        <f>SUMIFS('Historico - FAT'!AM:AM,'Historico - FAT'!$K:$K,Faturamento!$L1098,'Historico - FAT'!$I:$I,Faturamento!$J1098,'Historico - FAT'!$G:$G,Faturamento!$H1098)</f>
        <v>0</v>
      </c>
      <c r="AE1098" s="27">
        <f>SUMIFS('Historico - FAT'!AN:AN,'Historico - FAT'!$K:$K,Faturamento!$L1098,'Historico - FAT'!$I:$I,Faturamento!$J1098,'Historico - FAT'!$G:$G,Faturamento!$H1098)</f>
        <v>0</v>
      </c>
      <c r="AG1098" s="24" t="str">
        <f t="shared" si="258"/>
        <v/>
      </c>
      <c r="AH1098" s="24" t="str">
        <f t="shared" si="259"/>
        <v/>
      </c>
      <c r="AI1098" s="24" t="str">
        <f t="shared" si="260"/>
        <v/>
      </c>
    </row>
    <row r="1099" spans="1:35" hidden="1" x14ac:dyDescent="0.3">
      <c r="A1099" s="2" t="str">
        <f t="shared" si="257"/>
        <v>NÃO</v>
      </c>
      <c r="B1099" s="2">
        <v>1000184670</v>
      </c>
      <c r="C1099" s="2" t="s">
        <v>147</v>
      </c>
      <c r="D1099" s="4">
        <v>1000186197</v>
      </c>
      <c r="E1099" s="4" t="s">
        <v>166</v>
      </c>
      <c r="F1099" s="2">
        <v>1000184758</v>
      </c>
      <c r="G1099" s="2" t="s">
        <v>55</v>
      </c>
      <c r="H1099" s="4">
        <v>1000189802</v>
      </c>
      <c r="I1099" s="4" t="s">
        <v>105</v>
      </c>
      <c r="J1099" s="2">
        <v>1000189270</v>
      </c>
      <c r="K1099" s="2" t="s">
        <v>34</v>
      </c>
      <c r="L1099" s="4" t="s">
        <v>20</v>
      </c>
      <c r="M1099" s="4" t="str">
        <f t="shared" si="264"/>
        <v>1000184670100018619710001898021000189270REEMBALADOS</v>
      </c>
      <c r="N1099" s="28">
        <f>N1087*_xlfn.XLOOKUP($L1099,'Balizador da Meta'!$B$4:$B$21,'Balizador da Meta'!$C$4:$C$21)</f>
        <v>0</v>
      </c>
      <c r="O1099" s="28">
        <f>O1087*_xlfn.XLOOKUP($L1099,'Balizador da Meta'!$B$4:$B$21,'Balizador da Meta'!$C$4:$C$21)</f>
        <v>0</v>
      </c>
      <c r="P1099" s="28">
        <f>P1087*_xlfn.XLOOKUP($L1099,'Balizador da Meta'!$B$4:$B$21,'Balizador da Meta'!$C$4:$C$21)</f>
        <v>0</v>
      </c>
      <c r="Q1099" s="28">
        <f>Q1087*_xlfn.XLOOKUP($L1099,'Balizador da Meta'!$B$4:$B$21,'Balizador da Meta'!$C$4:$C$21)</f>
        <v>0</v>
      </c>
      <c r="R1099" s="28">
        <f>R1087*_xlfn.XLOOKUP($L1099,'Balizador da Meta'!$B$4:$B$21,'Balizador da Meta'!$C$4:$C$21)</f>
        <v>0</v>
      </c>
      <c r="S1099" s="28">
        <f>S1087*_xlfn.XLOOKUP($L1099,'Balizador da Meta'!$B$4:$B$21,'Balizador da Meta'!$C$4:$C$21)</f>
        <v>0</v>
      </c>
      <c r="T1099" s="28">
        <f>T1087*_xlfn.XLOOKUP($L1099,'Balizador da Meta'!$B$4:$B$21,'Balizador da Meta'!$C$4:$C$21)</f>
        <v>0</v>
      </c>
      <c r="U1099" s="28">
        <f>U1087*_xlfn.XLOOKUP($L1099,'Balizador da Meta'!$B$4:$B$21,'Balizador da Meta'!$C$4:$C$21)</f>
        <v>0</v>
      </c>
      <c r="V1099" s="28">
        <f>V1087*_xlfn.XLOOKUP($L1099,'Balizador da Meta'!$B$4:$B$21,'Balizador da Meta'!$C$4:$C$21)</f>
        <v>0</v>
      </c>
      <c r="W1099" s="28">
        <f>W1087*_xlfn.XLOOKUP($L1099,'Balizador da Meta'!$B$4:$B$21,'Balizador da Meta'!$C$4:$C$21)</f>
        <v>0</v>
      </c>
      <c r="X1099" s="28">
        <f>X1087*_xlfn.XLOOKUP($L1099,'Balizador da Meta'!$B$4:$B$21,'Balizador da Meta'!$C$4:$C$21)</f>
        <v>0</v>
      </c>
      <c r="Y1099" s="28">
        <f>Y1087*_xlfn.XLOOKUP($L1099,'Balizador da Meta'!$B$4:$B$21,'Balizador da Meta'!$C$4:$C$21)</f>
        <v>0</v>
      </c>
      <c r="Z1099" s="30">
        <f t="shared" si="263"/>
        <v>0</v>
      </c>
      <c r="AA1099" s="29"/>
      <c r="AB1099" s="31">
        <f>SUMIFS('Historico - FAT'!AK:AK,'Historico - FAT'!$K:$K,Faturamento!$L1099,'Historico - FAT'!$I:$I,Faturamento!$J1099,'Historico - FAT'!$G:$G,Faturamento!$H1099)</f>
        <v>0</v>
      </c>
      <c r="AC1099" s="31">
        <f>SUMIFS('Historico - FAT'!AL:AL,'Historico - FAT'!$K:$K,Faturamento!$L1099,'Historico - FAT'!$I:$I,Faturamento!$J1099,'Historico - FAT'!$G:$G,Faturamento!$H1099)</f>
        <v>0</v>
      </c>
      <c r="AD1099" s="31">
        <f>SUMIFS('Historico - FAT'!AM:AM,'Historico - FAT'!$K:$K,Faturamento!$L1099,'Historico - FAT'!$I:$I,Faturamento!$J1099,'Historico - FAT'!$G:$G,Faturamento!$H1099)</f>
        <v>0</v>
      </c>
      <c r="AE1099" s="27">
        <f>SUMIFS('Historico - FAT'!AN:AN,'Historico - FAT'!$K:$K,Faturamento!$L1099,'Historico - FAT'!$I:$I,Faturamento!$J1099,'Historico - FAT'!$G:$G,Faturamento!$H1099)</f>
        <v>0</v>
      </c>
      <c r="AG1099" s="24" t="str">
        <f t="shared" si="258"/>
        <v/>
      </c>
      <c r="AH1099" s="24" t="str">
        <f t="shared" si="259"/>
        <v/>
      </c>
      <c r="AI1099" s="24" t="str">
        <f t="shared" si="260"/>
        <v/>
      </c>
    </row>
    <row r="1100" spans="1:35" hidden="1" x14ac:dyDescent="0.3">
      <c r="A1100" s="2" t="str">
        <f t="shared" si="257"/>
        <v>NÃO</v>
      </c>
      <c r="B1100" s="2">
        <v>1000184670</v>
      </c>
      <c r="C1100" s="2" t="s">
        <v>147</v>
      </c>
      <c r="D1100" s="4">
        <v>1000186197</v>
      </c>
      <c r="E1100" s="4" t="s">
        <v>166</v>
      </c>
      <c r="F1100" s="2">
        <v>1000184758</v>
      </c>
      <c r="G1100" s="2" t="s">
        <v>55</v>
      </c>
      <c r="H1100" s="4">
        <v>1000189802</v>
      </c>
      <c r="I1100" s="4" t="s">
        <v>105</v>
      </c>
      <c r="J1100" s="2">
        <v>1000189270</v>
      </c>
      <c r="K1100" s="2" t="s">
        <v>34</v>
      </c>
      <c r="L1100" s="4" t="s">
        <v>22</v>
      </c>
      <c r="M1100" s="4" t="str">
        <f t="shared" si="264"/>
        <v>1000184670100018619710001898021000189270S GLUTEN</v>
      </c>
      <c r="N1100" s="28">
        <f>N1087*_xlfn.XLOOKUP($L1100,'Balizador da Meta'!$B$4:$B$21,'Balizador da Meta'!$C$4:$C$21)</f>
        <v>0</v>
      </c>
      <c r="O1100" s="28">
        <f>O1087*_xlfn.XLOOKUP($L1100,'Balizador da Meta'!$B$4:$B$21,'Balizador da Meta'!$C$4:$C$21)</f>
        <v>0</v>
      </c>
      <c r="P1100" s="28">
        <f>P1087*_xlfn.XLOOKUP($L1100,'Balizador da Meta'!$B$4:$B$21,'Balizador da Meta'!$C$4:$C$21)</f>
        <v>0</v>
      </c>
      <c r="Q1100" s="28">
        <f>Q1087*_xlfn.XLOOKUP($L1100,'Balizador da Meta'!$B$4:$B$21,'Balizador da Meta'!$C$4:$C$21)</f>
        <v>0</v>
      </c>
      <c r="R1100" s="28">
        <f>R1087*_xlfn.XLOOKUP($L1100,'Balizador da Meta'!$B$4:$B$21,'Balizador da Meta'!$C$4:$C$21)</f>
        <v>0</v>
      </c>
      <c r="S1100" s="28">
        <f>S1087*_xlfn.XLOOKUP($L1100,'Balizador da Meta'!$B$4:$B$21,'Balizador da Meta'!$C$4:$C$21)</f>
        <v>0</v>
      </c>
      <c r="T1100" s="28">
        <f>T1087*_xlfn.XLOOKUP($L1100,'Balizador da Meta'!$B$4:$B$21,'Balizador da Meta'!$C$4:$C$21)</f>
        <v>0</v>
      </c>
      <c r="U1100" s="28">
        <f>U1087*_xlfn.XLOOKUP($L1100,'Balizador da Meta'!$B$4:$B$21,'Balizador da Meta'!$C$4:$C$21)</f>
        <v>0</v>
      </c>
      <c r="V1100" s="28">
        <f>V1087*_xlfn.XLOOKUP($L1100,'Balizador da Meta'!$B$4:$B$21,'Balizador da Meta'!$C$4:$C$21)</f>
        <v>0</v>
      </c>
      <c r="W1100" s="28">
        <f>W1087*_xlfn.XLOOKUP($L1100,'Balizador da Meta'!$B$4:$B$21,'Balizador da Meta'!$C$4:$C$21)</f>
        <v>0</v>
      </c>
      <c r="X1100" s="28">
        <f>X1087*_xlfn.XLOOKUP($L1100,'Balizador da Meta'!$B$4:$B$21,'Balizador da Meta'!$C$4:$C$21)</f>
        <v>0</v>
      </c>
      <c r="Y1100" s="28">
        <f>Y1087*_xlfn.XLOOKUP($L1100,'Balizador da Meta'!$B$4:$B$21,'Balizador da Meta'!$C$4:$C$21)</f>
        <v>0</v>
      </c>
      <c r="Z1100" s="30">
        <f t="shared" si="263"/>
        <v>0</v>
      </c>
      <c r="AA1100" s="29"/>
      <c r="AB1100" s="31">
        <f>SUMIFS('Historico - FAT'!AK:AK,'Historico - FAT'!$K:$K,Faturamento!$L1100,'Historico - FAT'!$I:$I,Faturamento!$J1100,'Historico - FAT'!$G:$G,Faturamento!$H1100)</f>
        <v>0</v>
      </c>
      <c r="AC1100" s="31">
        <f>SUMIFS('Historico - FAT'!AL:AL,'Historico - FAT'!$K:$K,Faturamento!$L1100,'Historico - FAT'!$I:$I,Faturamento!$J1100,'Historico - FAT'!$G:$G,Faturamento!$H1100)</f>
        <v>0</v>
      </c>
      <c r="AD1100" s="31">
        <f>SUMIFS('Historico - FAT'!AM:AM,'Historico - FAT'!$K:$K,Faturamento!$L1100,'Historico - FAT'!$I:$I,Faturamento!$J1100,'Historico - FAT'!$G:$G,Faturamento!$H1100)</f>
        <v>0</v>
      </c>
      <c r="AE1100" s="27">
        <f>SUMIFS('Historico - FAT'!AN:AN,'Historico - FAT'!$K:$K,Faturamento!$L1100,'Historico - FAT'!$I:$I,Faturamento!$J1100,'Historico - FAT'!$G:$G,Faturamento!$H1100)</f>
        <v>0</v>
      </c>
      <c r="AG1100" s="24" t="str">
        <f t="shared" si="258"/>
        <v/>
      </c>
      <c r="AH1100" s="24" t="str">
        <f t="shared" si="259"/>
        <v/>
      </c>
      <c r="AI1100" s="24" t="str">
        <f t="shared" si="260"/>
        <v/>
      </c>
    </row>
    <row r="1101" spans="1:35" hidden="1" x14ac:dyDescent="0.3">
      <c r="A1101" s="2" t="str">
        <f t="shared" si="257"/>
        <v>NÃO</v>
      </c>
      <c r="B1101" s="2">
        <v>1000184670</v>
      </c>
      <c r="C1101" s="2" t="s">
        <v>147</v>
      </c>
      <c r="D1101" s="4">
        <v>1000186197</v>
      </c>
      <c r="E1101" s="4" t="s">
        <v>166</v>
      </c>
      <c r="F1101" s="2">
        <v>1000184758</v>
      </c>
      <c r="G1101" s="2" t="s">
        <v>55</v>
      </c>
      <c r="H1101" s="4">
        <v>1000189802</v>
      </c>
      <c r="I1101" s="4" t="s">
        <v>105</v>
      </c>
      <c r="J1101" s="2">
        <v>1000189270</v>
      </c>
      <c r="K1101" s="2" t="s">
        <v>34</v>
      </c>
      <c r="L1101" s="4" t="s">
        <v>23</v>
      </c>
      <c r="M1101" s="4" t="str">
        <f t="shared" si="264"/>
        <v>1000184670100018619710001898021000189270SABORES DO CAMPO</v>
      </c>
      <c r="N1101" s="28">
        <f>N1087*_xlfn.XLOOKUP($L1101,'Balizador da Meta'!$B$4:$B$21,'Balizador da Meta'!$C$4:$C$21)</f>
        <v>0</v>
      </c>
      <c r="O1101" s="28">
        <f>O1087*_xlfn.XLOOKUP($L1101,'Balizador da Meta'!$B$4:$B$21,'Balizador da Meta'!$C$4:$C$21)</f>
        <v>0</v>
      </c>
      <c r="P1101" s="28">
        <f>P1087*_xlfn.XLOOKUP($L1101,'Balizador da Meta'!$B$4:$B$21,'Balizador da Meta'!$C$4:$C$21)</f>
        <v>0</v>
      </c>
      <c r="Q1101" s="28">
        <f>Q1087*_xlfn.XLOOKUP($L1101,'Balizador da Meta'!$B$4:$B$21,'Balizador da Meta'!$C$4:$C$21)</f>
        <v>0</v>
      </c>
      <c r="R1101" s="28">
        <f>R1087*_xlfn.XLOOKUP($L1101,'Balizador da Meta'!$B$4:$B$21,'Balizador da Meta'!$C$4:$C$21)</f>
        <v>0</v>
      </c>
      <c r="S1101" s="28">
        <f>S1087*_xlfn.XLOOKUP($L1101,'Balizador da Meta'!$B$4:$B$21,'Balizador da Meta'!$C$4:$C$21)</f>
        <v>0</v>
      </c>
      <c r="T1101" s="28">
        <f>T1087*_xlfn.XLOOKUP($L1101,'Balizador da Meta'!$B$4:$B$21,'Balizador da Meta'!$C$4:$C$21)</f>
        <v>0</v>
      </c>
      <c r="U1101" s="28">
        <f>U1087*_xlfn.XLOOKUP($L1101,'Balizador da Meta'!$B$4:$B$21,'Balizador da Meta'!$C$4:$C$21)</f>
        <v>0</v>
      </c>
      <c r="V1101" s="28">
        <f>V1087*_xlfn.XLOOKUP($L1101,'Balizador da Meta'!$B$4:$B$21,'Balizador da Meta'!$C$4:$C$21)</f>
        <v>0</v>
      </c>
      <c r="W1101" s="28">
        <f>W1087*_xlfn.XLOOKUP($L1101,'Balizador da Meta'!$B$4:$B$21,'Balizador da Meta'!$C$4:$C$21)</f>
        <v>0</v>
      </c>
      <c r="X1101" s="28">
        <f>X1087*_xlfn.XLOOKUP($L1101,'Balizador da Meta'!$B$4:$B$21,'Balizador da Meta'!$C$4:$C$21)</f>
        <v>0</v>
      </c>
      <c r="Y1101" s="28">
        <f>Y1087*_xlfn.XLOOKUP($L1101,'Balizador da Meta'!$B$4:$B$21,'Balizador da Meta'!$C$4:$C$21)</f>
        <v>0</v>
      </c>
      <c r="Z1101" s="30">
        <f t="shared" si="263"/>
        <v>0</v>
      </c>
      <c r="AA1101" s="29"/>
      <c r="AB1101" s="31">
        <f>SUMIFS('Historico - FAT'!AK:AK,'Historico - FAT'!$K:$K,Faturamento!$L1101,'Historico - FAT'!$I:$I,Faturamento!$J1101,'Historico - FAT'!$G:$G,Faturamento!$H1101)</f>
        <v>0</v>
      </c>
      <c r="AC1101" s="31">
        <f>SUMIFS('Historico - FAT'!AL:AL,'Historico - FAT'!$K:$K,Faturamento!$L1101,'Historico - FAT'!$I:$I,Faturamento!$J1101,'Historico - FAT'!$G:$G,Faturamento!$H1101)</f>
        <v>0</v>
      </c>
      <c r="AD1101" s="31">
        <f>SUMIFS('Historico - FAT'!AM:AM,'Historico - FAT'!$K:$K,Faturamento!$L1101,'Historico - FAT'!$I:$I,Faturamento!$J1101,'Historico - FAT'!$G:$G,Faturamento!$H1101)</f>
        <v>0</v>
      </c>
      <c r="AE1101" s="27">
        <f>SUMIFS('Historico - FAT'!AN:AN,'Historico - FAT'!$K:$K,Faturamento!$L1101,'Historico - FAT'!$I:$I,Faturamento!$J1101,'Historico - FAT'!$G:$G,Faturamento!$H1101)</f>
        <v>0</v>
      </c>
      <c r="AG1101" s="24" t="str">
        <f t="shared" si="258"/>
        <v/>
      </c>
      <c r="AH1101" s="24" t="str">
        <f t="shared" si="259"/>
        <v/>
      </c>
      <c r="AI1101" s="24" t="str">
        <f t="shared" si="260"/>
        <v/>
      </c>
    </row>
    <row r="1102" spans="1:35" hidden="1" x14ac:dyDescent="0.3">
      <c r="A1102" s="2" t="str">
        <f t="shared" si="257"/>
        <v>NÃO</v>
      </c>
      <c r="B1102" s="2">
        <v>1000184670</v>
      </c>
      <c r="C1102" s="2" t="s">
        <v>147</v>
      </c>
      <c r="D1102" s="4">
        <v>1000186197</v>
      </c>
      <c r="E1102" s="4" t="s">
        <v>166</v>
      </c>
      <c r="F1102" s="2">
        <v>1000184758</v>
      </c>
      <c r="G1102" s="2" t="s">
        <v>55</v>
      </c>
      <c r="H1102" s="4">
        <v>1000189802</v>
      </c>
      <c r="I1102" s="4" t="s">
        <v>105</v>
      </c>
      <c r="J1102" s="2">
        <v>1000189270</v>
      </c>
      <c r="K1102" s="2" t="s">
        <v>34</v>
      </c>
      <c r="L1102" s="4" t="s">
        <v>28</v>
      </c>
      <c r="M1102" s="4" t="str">
        <f t="shared" si="264"/>
        <v>1000184670100018619710001898021000189270SAL</v>
      </c>
      <c r="N1102" s="28">
        <f>N1087*_xlfn.XLOOKUP($L1102,'Balizador da Meta'!$B$4:$B$21,'Balizador da Meta'!$C$4:$C$21)</f>
        <v>0</v>
      </c>
      <c r="O1102" s="28">
        <f>O1087*_xlfn.XLOOKUP($L1102,'Balizador da Meta'!$B$4:$B$21,'Balizador da Meta'!$C$4:$C$21)</f>
        <v>0</v>
      </c>
      <c r="P1102" s="28">
        <f>P1087*_xlfn.XLOOKUP($L1102,'Balizador da Meta'!$B$4:$B$21,'Balizador da Meta'!$C$4:$C$21)</f>
        <v>0</v>
      </c>
      <c r="Q1102" s="28">
        <f>Q1087*_xlfn.XLOOKUP($L1102,'Balizador da Meta'!$B$4:$B$21,'Balizador da Meta'!$C$4:$C$21)</f>
        <v>0</v>
      </c>
      <c r="R1102" s="28">
        <f>R1087*_xlfn.XLOOKUP($L1102,'Balizador da Meta'!$B$4:$B$21,'Balizador da Meta'!$C$4:$C$21)</f>
        <v>0</v>
      </c>
      <c r="S1102" s="28">
        <f>S1087*_xlfn.XLOOKUP($L1102,'Balizador da Meta'!$B$4:$B$21,'Balizador da Meta'!$C$4:$C$21)</f>
        <v>0</v>
      </c>
      <c r="T1102" s="28">
        <f>T1087*_xlfn.XLOOKUP($L1102,'Balizador da Meta'!$B$4:$B$21,'Balizador da Meta'!$C$4:$C$21)</f>
        <v>0</v>
      </c>
      <c r="U1102" s="28">
        <f>U1087*_xlfn.XLOOKUP($L1102,'Balizador da Meta'!$B$4:$B$21,'Balizador da Meta'!$C$4:$C$21)</f>
        <v>0</v>
      </c>
      <c r="V1102" s="28">
        <f>V1087*_xlfn.XLOOKUP($L1102,'Balizador da Meta'!$B$4:$B$21,'Balizador da Meta'!$C$4:$C$21)</f>
        <v>0</v>
      </c>
      <c r="W1102" s="28">
        <f>W1087*_xlfn.XLOOKUP($L1102,'Balizador da Meta'!$B$4:$B$21,'Balizador da Meta'!$C$4:$C$21)</f>
        <v>0</v>
      </c>
      <c r="X1102" s="28">
        <f>X1087*_xlfn.XLOOKUP($L1102,'Balizador da Meta'!$B$4:$B$21,'Balizador da Meta'!$C$4:$C$21)</f>
        <v>0</v>
      </c>
      <c r="Y1102" s="28">
        <f>Y1087*_xlfn.XLOOKUP($L1102,'Balizador da Meta'!$B$4:$B$21,'Balizador da Meta'!$C$4:$C$21)</f>
        <v>0</v>
      </c>
      <c r="Z1102" s="30">
        <f t="shared" si="263"/>
        <v>0</v>
      </c>
      <c r="AA1102" s="29"/>
      <c r="AB1102" s="31">
        <f>SUMIFS('Historico - FAT'!AK:AK,'Historico - FAT'!$K:$K,Faturamento!$L1102,'Historico - FAT'!$I:$I,Faturamento!$J1102,'Historico - FAT'!$G:$G,Faturamento!$H1102)</f>
        <v>0</v>
      </c>
      <c r="AC1102" s="31">
        <f>SUMIFS('Historico - FAT'!AL:AL,'Historico - FAT'!$K:$K,Faturamento!$L1102,'Historico - FAT'!$I:$I,Faturamento!$J1102,'Historico - FAT'!$G:$G,Faturamento!$H1102)</f>
        <v>0</v>
      </c>
      <c r="AD1102" s="31">
        <f>SUMIFS('Historico - FAT'!AM:AM,'Historico - FAT'!$K:$K,Faturamento!$L1102,'Historico - FAT'!$I:$I,Faturamento!$J1102,'Historico - FAT'!$G:$G,Faturamento!$H1102)</f>
        <v>0</v>
      </c>
      <c r="AE1102" s="27">
        <f>SUMIFS('Historico - FAT'!AN:AN,'Historico - FAT'!$K:$K,Faturamento!$L1102,'Historico - FAT'!$I:$I,Faturamento!$J1102,'Historico - FAT'!$G:$G,Faturamento!$H1102)</f>
        <v>0</v>
      </c>
      <c r="AG1102" s="24" t="str">
        <f t="shared" si="258"/>
        <v/>
      </c>
      <c r="AH1102" s="24" t="str">
        <f t="shared" si="259"/>
        <v/>
      </c>
      <c r="AI1102" s="24" t="str">
        <f t="shared" si="260"/>
        <v/>
      </c>
    </row>
    <row r="1103" spans="1:35" hidden="1" x14ac:dyDescent="0.3">
      <c r="A1103" s="2" t="str">
        <f t="shared" si="257"/>
        <v>NÃO</v>
      </c>
      <c r="B1103" s="2">
        <v>1000184670</v>
      </c>
      <c r="C1103" s="2" t="s">
        <v>147</v>
      </c>
      <c r="D1103" s="4">
        <v>1000186197</v>
      </c>
      <c r="E1103" s="4" t="s">
        <v>166</v>
      </c>
      <c r="F1103" s="2">
        <v>1000184758</v>
      </c>
      <c r="G1103" s="2" t="s">
        <v>55</v>
      </c>
      <c r="H1103" s="4">
        <v>1000189802</v>
      </c>
      <c r="I1103" s="4" t="s">
        <v>105</v>
      </c>
      <c r="J1103" s="2">
        <v>1000189270</v>
      </c>
      <c r="K1103" s="2" t="s">
        <v>34</v>
      </c>
      <c r="L1103" s="4" t="s">
        <v>26</v>
      </c>
      <c r="M1103" s="4" t="str">
        <f t="shared" si="264"/>
        <v>1000184670100018619710001898021000189270SOULPRO</v>
      </c>
      <c r="N1103" s="28">
        <f>N1087*_xlfn.XLOOKUP($L1103,'Balizador da Meta'!$B$4:$B$21,'Balizador da Meta'!$C$4:$C$21)</f>
        <v>0</v>
      </c>
      <c r="O1103" s="28">
        <f>O1087*_xlfn.XLOOKUP($L1103,'Balizador da Meta'!$B$4:$B$21,'Balizador da Meta'!$C$4:$C$21)</f>
        <v>0</v>
      </c>
      <c r="P1103" s="28">
        <f>P1087*_xlfn.XLOOKUP($L1103,'Balizador da Meta'!$B$4:$B$21,'Balizador da Meta'!$C$4:$C$21)</f>
        <v>0</v>
      </c>
      <c r="Q1103" s="28">
        <f>Q1087*_xlfn.XLOOKUP($L1103,'Balizador da Meta'!$B$4:$B$21,'Balizador da Meta'!$C$4:$C$21)</f>
        <v>0</v>
      </c>
      <c r="R1103" s="28">
        <f>R1087*_xlfn.XLOOKUP($L1103,'Balizador da Meta'!$B$4:$B$21,'Balizador da Meta'!$C$4:$C$21)</f>
        <v>0</v>
      </c>
      <c r="S1103" s="28">
        <f>S1087*_xlfn.XLOOKUP($L1103,'Balizador da Meta'!$B$4:$B$21,'Balizador da Meta'!$C$4:$C$21)</f>
        <v>0</v>
      </c>
      <c r="T1103" s="28">
        <f>T1087*_xlfn.XLOOKUP($L1103,'Balizador da Meta'!$B$4:$B$21,'Balizador da Meta'!$C$4:$C$21)</f>
        <v>0</v>
      </c>
      <c r="U1103" s="28">
        <f>U1087*_xlfn.XLOOKUP($L1103,'Balizador da Meta'!$B$4:$B$21,'Balizador da Meta'!$C$4:$C$21)</f>
        <v>0</v>
      </c>
      <c r="V1103" s="28">
        <f>V1087*_xlfn.XLOOKUP($L1103,'Balizador da Meta'!$B$4:$B$21,'Balizador da Meta'!$C$4:$C$21)</f>
        <v>0</v>
      </c>
      <c r="W1103" s="28">
        <f>W1087*_xlfn.XLOOKUP($L1103,'Balizador da Meta'!$B$4:$B$21,'Balizador da Meta'!$C$4:$C$21)</f>
        <v>0</v>
      </c>
      <c r="X1103" s="28">
        <f>X1087*_xlfn.XLOOKUP($L1103,'Balizador da Meta'!$B$4:$B$21,'Balizador da Meta'!$C$4:$C$21)</f>
        <v>0</v>
      </c>
      <c r="Y1103" s="28">
        <f>Y1087*_xlfn.XLOOKUP($L1103,'Balizador da Meta'!$B$4:$B$21,'Balizador da Meta'!$C$4:$C$21)</f>
        <v>0</v>
      </c>
      <c r="Z1103" s="30">
        <f t="shared" si="263"/>
        <v>0</v>
      </c>
      <c r="AA1103" s="29"/>
      <c r="AB1103" s="31">
        <f>SUMIFS('Historico - FAT'!AK:AK,'Historico - FAT'!$K:$K,Faturamento!$L1103,'Historico - FAT'!$I:$I,Faturamento!$J1103,'Historico - FAT'!$G:$G,Faturamento!$H1103)</f>
        <v>0</v>
      </c>
      <c r="AC1103" s="31">
        <f>SUMIFS('Historico - FAT'!AL:AL,'Historico - FAT'!$K:$K,Faturamento!$L1103,'Historico - FAT'!$I:$I,Faturamento!$J1103,'Historico - FAT'!$G:$G,Faturamento!$H1103)</f>
        <v>0</v>
      </c>
      <c r="AD1103" s="31">
        <f>SUMIFS('Historico - FAT'!AM:AM,'Historico - FAT'!$K:$K,Faturamento!$L1103,'Historico - FAT'!$I:$I,Faturamento!$J1103,'Historico - FAT'!$G:$G,Faturamento!$H1103)</f>
        <v>0</v>
      </c>
      <c r="AE1103" s="27">
        <f>SUMIFS('Historico - FAT'!AN:AN,'Historico - FAT'!$K:$K,Faturamento!$L1103,'Historico - FAT'!$I:$I,Faturamento!$J1103,'Historico - FAT'!$G:$G,Faturamento!$H1103)</f>
        <v>0</v>
      </c>
      <c r="AG1103" s="24" t="str">
        <f t="shared" si="258"/>
        <v/>
      </c>
      <c r="AH1103" s="24" t="str">
        <f t="shared" si="259"/>
        <v/>
      </c>
      <c r="AI1103" s="24" t="str">
        <f t="shared" si="260"/>
        <v/>
      </c>
    </row>
    <row r="1104" spans="1:35" hidden="1" x14ac:dyDescent="0.3">
      <c r="A1104" s="2" t="str">
        <f t="shared" si="257"/>
        <v>NÃO</v>
      </c>
      <c r="B1104" s="2">
        <v>1000184670</v>
      </c>
      <c r="C1104" s="2" t="s">
        <v>147</v>
      </c>
      <c r="D1104" s="4">
        <v>1000186197</v>
      </c>
      <c r="E1104" s="4" t="s">
        <v>166</v>
      </c>
      <c r="F1104" s="2">
        <v>1000184758</v>
      </c>
      <c r="G1104" s="2" t="s">
        <v>55</v>
      </c>
      <c r="H1104" s="4">
        <v>1000189802</v>
      </c>
      <c r="I1104" s="4" t="s">
        <v>105</v>
      </c>
      <c r="J1104" s="2">
        <v>1000189270</v>
      </c>
      <c r="K1104" s="2" t="s">
        <v>34</v>
      </c>
      <c r="L1104" s="4" t="s">
        <v>27</v>
      </c>
      <c r="M1104" s="4" t="str">
        <f t="shared" si="264"/>
        <v>1000184670100018619710001898021000189270TAMARA</v>
      </c>
      <c r="N1104" s="28">
        <f>N1087*_xlfn.XLOOKUP($L1104,'Balizador da Meta'!$B$4:$B$21,'Balizador da Meta'!$C$4:$C$21)</f>
        <v>0</v>
      </c>
      <c r="O1104" s="28">
        <f>O1087*_xlfn.XLOOKUP($L1104,'Balizador da Meta'!$B$4:$B$21,'Balizador da Meta'!$C$4:$C$21)</f>
        <v>0</v>
      </c>
      <c r="P1104" s="28">
        <f>P1087*_xlfn.XLOOKUP($L1104,'Balizador da Meta'!$B$4:$B$21,'Balizador da Meta'!$C$4:$C$21)</f>
        <v>0</v>
      </c>
      <c r="Q1104" s="28">
        <f>Q1087*_xlfn.XLOOKUP($L1104,'Balizador da Meta'!$B$4:$B$21,'Balizador da Meta'!$C$4:$C$21)</f>
        <v>0</v>
      </c>
      <c r="R1104" s="28">
        <f>R1087*_xlfn.XLOOKUP($L1104,'Balizador da Meta'!$B$4:$B$21,'Balizador da Meta'!$C$4:$C$21)</f>
        <v>0</v>
      </c>
      <c r="S1104" s="28">
        <f>S1087*_xlfn.XLOOKUP($L1104,'Balizador da Meta'!$B$4:$B$21,'Balizador da Meta'!$C$4:$C$21)</f>
        <v>0</v>
      </c>
      <c r="T1104" s="28">
        <f>T1087*_xlfn.XLOOKUP($L1104,'Balizador da Meta'!$B$4:$B$21,'Balizador da Meta'!$C$4:$C$21)</f>
        <v>0</v>
      </c>
      <c r="U1104" s="28">
        <f>U1087*_xlfn.XLOOKUP($L1104,'Balizador da Meta'!$B$4:$B$21,'Balizador da Meta'!$C$4:$C$21)</f>
        <v>0</v>
      </c>
      <c r="V1104" s="28">
        <f>V1087*_xlfn.XLOOKUP($L1104,'Balizador da Meta'!$B$4:$B$21,'Balizador da Meta'!$C$4:$C$21)</f>
        <v>0</v>
      </c>
      <c r="W1104" s="28">
        <f>W1087*_xlfn.XLOOKUP($L1104,'Balizador da Meta'!$B$4:$B$21,'Balizador da Meta'!$C$4:$C$21)</f>
        <v>0</v>
      </c>
      <c r="X1104" s="28">
        <f>X1087*_xlfn.XLOOKUP($L1104,'Balizador da Meta'!$B$4:$B$21,'Balizador da Meta'!$C$4:$C$21)</f>
        <v>0</v>
      </c>
      <c r="Y1104" s="28">
        <f>Y1087*_xlfn.XLOOKUP($L1104,'Balizador da Meta'!$B$4:$B$21,'Balizador da Meta'!$C$4:$C$21)</f>
        <v>0</v>
      </c>
      <c r="Z1104" s="30">
        <f t="shared" si="263"/>
        <v>0</v>
      </c>
      <c r="AA1104" s="29"/>
      <c r="AB1104" s="31">
        <f>SUMIFS('Historico - FAT'!AK:AK,'Historico - FAT'!$K:$K,Faturamento!$L1104,'Historico - FAT'!$I:$I,Faturamento!$J1104,'Historico - FAT'!$G:$G,Faturamento!$H1104)</f>
        <v>0</v>
      </c>
      <c r="AC1104" s="31">
        <f>SUMIFS('Historico - FAT'!AL:AL,'Historico - FAT'!$K:$K,Faturamento!$L1104,'Historico - FAT'!$I:$I,Faturamento!$J1104,'Historico - FAT'!$G:$G,Faturamento!$H1104)</f>
        <v>0</v>
      </c>
      <c r="AD1104" s="31">
        <f>SUMIFS('Historico - FAT'!AM:AM,'Historico - FAT'!$K:$K,Faturamento!$L1104,'Historico - FAT'!$I:$I,Faturamento!$J1104,'Historico - FAT'!$G:$G,Faturamento!$H1104)</f>
        <v>0</v>
      </c>
      <c r="AE1104" s="27">
        <f>SUMIFS('Historico - FAT'!AN:AN,'Historico - FAT'!$K:$K,Faturamento!$L1104,'Historico - FAT'!$I:$I,Faturamento!$J1104,'Historico - FAT'!$G:$G,Faturamento!$H1104)</f>
        <v>0</v>
      </c>
      <c r="AG1104" s="24" t="str">
        <f t="shared" si="258"/>
        <v/>
      </c>
      <c r="AH1104" s="24" t="str">
        <f t="shared" si="259"/>
        <v/>
      </c>
      <c r="AI1104" s="24" t="str">
        <f t="shared" si="260"/>
        <v/>
      </c>
    </row>
    <row r="1105" spans="1:35" hidden="1" x14ac:dyDescent="0.3">
      <c r="A1105" s="2" t="str">
        <f t="shared" si="257"/>
        <v>NÃO</v>
      </c>
      <c r="B1105" s="2">
        <v>1000184670</v>
      </c>
      <c r="C1105" s="2" t="s">
        <v>147</v>
      </c>
      <c r="D1105" s="4">
        <v>1000186197</v>
      </c>
      <c r="E1105" s="4" t="s">
        <v>166</v>
      </c>
      <c r="F1105" s="2">
        <v>1000184758</v>
      </c>
      <c r="G1105" s="2" t="s">
        <v>55</v>
      </c>
      <c r="H1105" s="4">
        <v>1000189802</v>
      </c>
      <c r="I1105" s="4" t="s">
        <v>105</v>
      </c>
      <c r="J1105" s="2">
        <v>1000189270</v>
      </c>
      <c r="K1105" s="2" t="s">
        <v>34</v>
      </c>
      <c r="L1105" s="4" t="s">
        <v>25</v>
      </c>
      <c r="M1105" s="4" t="str">
        <f t="shared" si="264"/>
        <v>1000184670100018619710001898021000189270VICCIO</v>
      </c>
      <c r="N1105" s="28">
        <f>N1087*_xlfn.XLOOKUP($L1105,'Balizador da Meta'!$B$4:$B$21,'Balizador da Meta'!$C$4:$C$21)</f>
        <v>0</v>
      </c>
      <c r="O1105" s="28">
        <f>O1087*_xlfn.XLOOKUP($L1105,'Balizador da Meta'!$B$4:$B$21,'Balizador da Meta'!$C$4:$C$21)</f>
        <v>0</v>
      </c>
      <c r="P1105" s="28">
        <f>P1087*_xlfn.XLOOKUP($L1105,'Balizador da Meta'!$B$4:$B$21,'Balizador da Meta'!$C$4:$C$21)</f>
        <v>0</v>
      </c>
      <c r="Q1105" s="28">
        <f>Q1087*_xlfn.XLOOKUP($L1105,'Balizador da Meta'!$B$4:$B$21,'Balizador da Meta'!$C$4:$C$21)</f>
        <v>0</v>
      </c>
      <c r="R1105" s="28">
        <f>R1087*_xlfn.XLOOKUP($L1105,'Balizador da Meta'!$B$4:$B$21,'Balizador da Meta'!$C$4:$C$21)</f>
        <v>0</v>
      </c>
      <c r="S1105" s="28">
        <f>S1087*_xlfn.XLOOKUP($L1105,'Balizador da Meta'!$B$4:$B$21,'Balizador da Meta'!$C$4:$C$21)</f>
        <v>0</v>
      </c>
      <c r="T1105" s="28">
        <f>T1087*_xlfn.XLOOKUP($L1105,'Balizador da Meta'!$B$4:$B$21,'Balizador da Meta'!$C$4:$C$21)</f>
        <v>0</v>
      </c>
      <c r="U1105" s="28">
        <f>U1087*_xlfn.XLOOKUP($L1105,'Balizador da Meta'!$B$4:$B$21,'Balizador da Meta'!$C$4:$C$21)</f>
        <v>0</v>
      </c>
      <c r="V1105" s="28">
        <f>V1087*_xlfn.XLOOKUP($L1105,'Balizador da Meta'!$B$4:$B$21,'Balizador da Meta'!$C$4:$C$21)</f>
        <v>0</v>
      </c>
      <c r="W1105" s="28">
        <f>W1087*_xlfn.XLOOKUP($L1105,'Balizador da Meta'!$B$4:$B$21,'Balizador da Meta'!$C$4:$C$21)</f>
        <v>0</v>
      </c>
      <c r="X1105" s="28">
        <f>X1087*_xlfn.XLOOKUP($L1105,'Balizador da Meta'!$B$4:$B$21,'Balizador da Meta'!$C$4:$C$21)</f>
        <v>0</v>
      </c>
      <c r="Y1105" s="28">
        <f>Y1087*_xlfn.XLOOKUP($L1105,'Balizador da Meta'!$B$4:$B$21,'Balizador da Meta'!$C$4:$C$21)</f>
        <v>0</v>
      </c>
      <c r="Z1105" s="30">
        <f t="shared" si="263"/>
        <v>0</v>
      </c>
      <c r="AA1105" s="29"/>
      <c r="AB1105" s="31">
        <f>SUMIFS('Historico - FAT'!AK:AK,'Historico - FAT'!$K:$K,Faturamento!$L1105,'Historico - FAT'!$I:$I,Faturamento!$J1105,'Historico - FAT'!$G:$G,Faturamento!$H1105)</f>
        <v>0</v>
      </c>
      <c r="AC1105" s="31">
        <f>SUMIFS('Historico - FAT'!AL:AL,'Historico - FAT'!$K:$K,Faturamento!$L1105,'Historico - FAT'!$I:$I,Faturamento!$J1105,'Historico - FAT'!$G:$G,Faturamento!$H1105)</f>
        <v>0</v>
      </c>
      <c r="AD1105" s="31">
        <f>SUMIFS('Historico - FAT'!AM:AM,'Historico - FAT'!$K:$K,Faturamento!$L1105,'Historico - FAT'!$I:$I,Faturamento!$J1105,'Historico - FAT'!$G:$G,Faturamento!$H1105)</f>
        <v>0</v>
      </c>
      <c r="AE1105" s="27">
        <f>SUMIFS('Historico - FAT'!AN:AN,'Historico - FAT'!$K:$K,Faturamento!$L1105,'Historico - FAT'!$I:$I,Faturamento!$J1105,'Historico - FAT'!$G:$G,Faturamento!$H1105)</f>
        <v>0</v>
      </c>
      <c r="AG1105" s="24" t="str">
        <f t="shared" si="258"/>
        <v/>
      </c>
      <c r="AH1105" s="24" t="str">
        <f t="shared" si="259"/>
        <v/>
      </c>
      <c r="AI1105" s="24" t="str">
        <f t="shared" si="260"/>
        <v/>
      </c>
    </row>
    <row r="1106" spans="1:35" x14ac:dyDescent="0.3">
      <c r="A1106" s="2" t="str">
        <f t="shared" si="257"/>
        <v>SIM</v>
      </c>
      <c r="B1106" s="2">
        <v>1000184670</v>
      </c>
      <c r="C1106" s="2" t="s">
        <v>147</v>
      </c>
      <c r="D1106" s="4">
        <v>1000186197</v>
      </c>
      <c r="E1106" s="4" t="s">
        <v>166</v>
      </c>
      <c r="F1106" s="2">
        <v>1000185288</v>
      </c>
      <c r="G1106" s="2" t="s">
        <v>64</v>
      </c>
      <c r="H1106" s="4">
        <v>1000189803</v>
      </c>
      <c r="I1106" s="4" t="s">
        <v>97</v>
      </c>
      <c r="J1106" s="2">
        <v>1000189270</v>
      </c>
      <c r="K1106" s="2" t="s">
        <v>34</v>
      </c>
      <c r="L1106" s="4" t="s">
        <v>124</v>
      </c>
      <c r="M1106" s="4" t="str">
        <f t="shared" si="264"/>
        <v>100018467010001861971000189803100018927001. TOTAL</v>
      </c>
      <c r="N1106" s="28">
        <f>SUMIFS(Positivação!L:L,Positivação!$I:$I,Faturamento!$J1106,Positivação!$G:$G,Faturamento!$H1106)*SUMIFS(Positivação!$Z:$Z,Positivação!$I:$I,Faturamento!$J1106,Positivação!$G:$G,Faturamento!$H1106)</f>
        <v>7200</v>
      </c>
      <c r="O1106" s="28">
        <f>SUMIFS(Positivação!M:M,Positivação!$I:$I,Faturamento!$J1106,Positivação!$G:$G,Faturamento!$H1106)*SUMIFS(Positivação!$Z:$Z,Positivação!$I:$I,Faturamento!$J1106,Positivação!$G:$G,Faturamento!$H1106)</f>
        <v>7200</v>
      </c>
      <c r="P1106" s="28">
        <f>SUMIFS(Positivação!N:N,Positivação!$I:$I,Faturamento!$J1106,Positivação!$G:$G,Faturamento!$H1106)*SUMIFS(Positivação!$Z:$Z,Positivação!$I:$I,Faturamento!$J1106,Positivação!$G:$G,Faturamento!$H1106)</f>
        <v>7200</v>
      </c>
      <c r="Q1106" s="28">
        <f>SUMIFS(Positivação!O:O,Positivação!$I:$I,Faturamento!$J1106,Positivação!$G:$G,Faturamento!$H1106)*SUMIFS(Positivação!$Z:$Z,Positivação!$I:$I,Faturamento!$J1106,Positivação!$G:$G,Faturamento!$H1106)</f>
        <v>7200</v>
      </c>
      <c r="R1106" s="28">
        <f>SUMIFS(Positivação!P:P,Positivação!$I:$I,Faturamento!$J1106,Positivação!$G:$G,Faturamento!$H1106)*SUMIFS(Positivação!$Z:$Z,Positivação!$I:$I,Faturamento!$J1106,Positivação!$G:$G,Faturamento!$H1106)</f>
        <v>7200</v>
      </c>
      <c r="S1106" s="28">
        <f>SUMIFS(Positivação!Q:Q,Positivação!$I:$I,Faturamento!$J1106,Positivação!$G:$G,Faturamento!$H1106)*SUMIFS(Positivação!$Z:$Z,Positivação!$I:$I,Faturamento!$J1106,Positivação!$G:$G,Faturamento!$H1106)</f>
        <v>7800</v>
      </c>
      <c r="T1106" s="28">
        <f>SUMIFS(Positivação!R:R,Positivação!$I:$I,Faturamento!$J1106,Positivação!$G:$G,Faturamento!$H1106)*SUMIFS(Positivação!$Z:$Z,Positivação!$I:$I,Faturamento!$J1106,Positivação!$G:$G,Faturamento!$H1106)</f>
        <v>7800</v>
      </c>
      <c r="U1106" s="28">
        <f>SUMIFS(Positivação!S:S,Positivação!$I:$I,Faturamento!$J1106,Positivação!$G:$G,Faturamento!$H1106)*SUMIFS(Positivação!$Z:$Z,Positivação!$I:$I,Faturamento!$J1106,Positivação!$G:$G,Faturamento!$H1106)</f>
        <v>7800</v>
      </c>
      <c r="V1106" s="28">
        <f>SUMIFS(Positivação!T:T,Positivação!$I:$I,Faturamento!$J1106,Positivação!$G:$G,Faturamento!$H1106)*SUMIFS(Positivação!$Z:$Z,Positivação!$I:$I,Faturamento!$J1106,Positivação!$G:$G,Faturamento!$H1106)</f>
        <v>7800</v>
      </c>
      <c r="W1106" s="28">
        <f>SUMIFS(Positivação!U:U,Positivação!$I:$I,Faturamento!$J1106,Positivação!$G:$G,Faturamento!$H1106)*SUMIFS(Positivação!$Z:$Z,Positivação!$I:$I,Faturamento!$J1106,Positivação!$G:$G,Faturamento!$H1106)</f>
        <v>7800</v>
      </c>
      <c r="X1106" s="28">
        <f>SUMIFS(Positivação!V:V,Positivação!$I:$I,Faturamento!$J1106,Positivação!$G:$G,Faturamento!$H1106)*SUMIFS(Positivação!$Z:$Z,Positivação!$I:$I,Faturamento!$J1106,Positivação!$G:$G,Faturamento!$H1106)</f>
        <v>8400</v>
      </c>
      <c r="Y1106" s="28">
        <f>SUMIFS(Positivação!W:W,Positivação!$I:$I,Faturamento!$J1106,Positivação!$G:$G,Faturamento!$H1106)*SUMIFS(Positivação!$Z:$Z,Positivação!$I:$I,Faturamento!$J1106,Positivação!$G:$G,Faturamento!$H1106)</f>
        <v>8400</v>
      </c>
      <c r="Z1106" s="28">
        <f t="shared" ref="Z1106" si="265">SUM(Z1107:Z1124)</f>
        <v>91800</v>
      </c>
      <c r="AA1106" s="29"/>
      <c r="AB1106" s="28">
        <f t="shared" ref="AB1106:AE1106" si="266">SUM(AB1107:AB1124)</f>
        <v>1990.9866666666669</v>
      </c>
      <c r="AC1106" s="28">
        <f t="shared" si="266"/>
        <v>3390.2566666666671</v>
      </c>
      <c r="AD1106" s="28">
        <f t="shared" si="266"/>
        <v>4831.7733333333335</v>
      </c>
      <c r="AE1106" s="28">
        <f t="shared" si="266"/>
        <v>3795.6429999999991</v>
      </c>
      <c r="AG1106" s="24">
        <f t="shared" si="258"/>
        <v>0.75719674796747971</v>
      </c>
      <c r="AH1106" s="24">
        <f t="shared" si="259"/>
        <v>0.58655406504065033</v>
      </c>
      <c r="AI1106" s="24">
        <f t="shared" si="260"/>
        <v>0.41075934959349591</v>
      </c>
    </row>
    <row r="1107" spans="1:35" hidden="1" x14ac:dyDescent="0.3">
      <c r="A1107" s="2" t="str">
        <f t="shared" si="257"/>
        <v>NÃO</v>
      </c>
      <c r="B1107" s="2">
        <v>1000184670</v>
      </c>
      <c r="C1107" s="2" t="s">
        <v>147</v>
      </c>
      <c r="D1107" s="4">
        <v>1000186197</v>
      </c>
      <c r="E1107" s="4" t="s">
        <v>166</v>
      </c>
      <c r="F1107" s="2">
        <v>1000185288</v>
      </c>
      <c r="G1107" s="2" t="s">
        <v>64</v>
      </c>
      <c r="H1107" s="4">
        <v>1000189803</v>
      </c>
      <c r="I1107" s="4" t="s">
        <v>97</v>
      </c>
      <c r="J1107" s="2">
        <v>1000189270</v>
      </c>
      <c r="K1107" s="2" t="s">
        <v>34</v>
      </c>
      <c r="L1107" s="4" t="s">
        <v>13</v>
      </c>
      <c r="M1107" s="4" t="str">
        <f t="shared" si="264"/>
        <v>1000184670100018619710001898031000189270BISCOITO</v>
      </c>
      <c r="N1107" s="28">
        <f>N1106*_xlfn.XLOOKUP($L1107,'Balizador da Meta'!$B$4:$B$21,'Balizador da Meta'!$C$4:$C$21)</f>
        <v>504.00000000000006</v>
      </c>
      <c r="O1107" s="28">
        <f>O1106*_xlfn.XLOOKUP($L1107,'Balizador da Meta'!$B$4:$B$21,'Balizador da Meta'!$C$4:$C$21)</f>
        <v>504.00000000000006</v>
      </c>
      <c r="P1107" s="28">
        <f>P1106*_xlfn.XLOOKUP($L1107,'Balizador da Meta'!$B$4:$B$21,'Balizador da Meta'!$C$4:$C$21)</f>
        <v>504.00000000000006</v>
      </c>
      <c r="Q1107" s="28">
        <f>Q1106*_xlfn.XLOOKUP($L1107,'Balizador da Meta'!$B$4:$B$21,'Balizador da Meta'!$C$4:$C$21)</f>
        <v>504.00000000000006</v>
      </c>
      <c r="R1107" s="28">
        <f>R1106*_xlfn.XLOOKUP($L1107,'Balizador da Meta'!$B$4:$B$21,'Balizador da Meta'!$C$4:$C$21)</f>
        <v>504.00000000000006</v>
      </c>
      <c r="S1107" s="28">
        <f>S1106*_xlfn.XLOOKUP($L1107,'Balizador da Meta'!$B$4:$B$21,'Balizador da Meta'!$C$4:$C$21)</f>
        <v>546</v>
      </c>
      <c r="T1107" s="28">
        <f>T1106*_xlfn.XLOOKUP($L1107,'Balizador da Meta'!$B$4:$B$21,'Balizador da Meta'!$C$4:$C$21)</f>
        <v>546</v>
      </c>
      <c r="U1107" s="28">
        <f>U1106*_xlfn.XLOOKUP($L1107,'Balizador da Meta'!$B$4:$B$21,'Balizador da Meta'!$C$4:$C$21)</f>
        <v>546</v>
      </c>
      <c r="V1107" s="28">
        <f>V1106*_xlfn.XLOOKUP($L1107,'Balizador da Meta'!$B$4:$B$21,'Balizador da Meta'!$C$4:$C$21)</f>
        <v>546</v>
      </c>
      <c r="W1107" s="28">
        <f>W1106*_xlfn.XLOOKUP($L1107,'Balizador da Meta'!$B$4:$B$21,'Balizador da Meta'!$C$4:$C$21)</f>
        <v>546</v>
      </c>
      <c r="X1107" s="28">
        <f>X1106*_xlfn.XLOOKUP($L1107,'Balizador da Meta'!$B$4:$B$21,'Balizador da Meta'!$C$4:$C$21)</f>
        <v>588</v>
      </c>
      <c r="Y1107" s="28">
        <f>Y1106*_xlfn.XLOOKUP($L1107,'Balizador da Meta'!$B$4:$B$21,'Balizador da Meta'!$C$4:$C$21)</f>
        <v>588</v>
      </c>
      <c r="Z1107" s="30">
        <f t="shared" ref="Z1107:Z1124" si="267">SUM(N1107:Y1107)</f>
        <v>6426</v>
      </c>
      <c r="AA1107" s="29"/>
      <c r="AB1107" s="31">
        <f>SUMIFS('Historico - FAT'!AK:AK,'Historico - FAT'!$K:$K,Faturamento!$L1107,'Historico - FAT'!$I:$I,Faturamento!$J1107,'Historico - FAT'!$G:$G,Faturamento!$H1107)</f>
        <v>257.95666666666665</v>
      </c>
      <c r="AC1107" s="31">
        <f>SUMIFS('Historico - FAT'!AL:AL,'Historico - FAT'!$K:$K,Faturamento!$L1107,'Historico - FAT'!$I:$I,Faturamento!$J1107,'Historico - FAT'!$G:$G,Faturamento!$H1107)</f>
        <v>235.9075</v>
      </c>
      <c r="AD1107" s="31">
        <f>SUMIFS('Historico - FAT'!AM:AM,'Historico - FAT'!$K:$K,Faturamento!$L1107,'Historico - FAT'!$I:$I,Faturamento!$J1107,'Historico - FAT'!$G:$G,Faturamento!$H1107)</f>
        <v>331.30666666666667</v>
      </c>
      <c r="AE1107" s="27">
        <f>SUMIFS('Historico - FAT'!AN:AN,'Historico - FAT'!$K:$K,Faturamento!$L1107,'Historico - FAT'!$I:$I,Faturamento!$J1107,'Historico - FAT'!$G:$G,Faturamento!$H1107)</f>
        <v>237.66399999999999</v>
      </c>
      <c r="AG1107" s="24">
        <f t="shared" si="258"/>
        <v>0.55059814169570265</v>
      </c>
      <c r="AH1107" s="24">
        <f t="shared" si="259"/>
        <v>0.58901132404181178</v>
      </c>
      <c r="AI1107" s="24">
        <f t="shared" si="260"/>
        <v>0.42281068524970961</v>
      </c>
    </row>
    <row r="1108" spans="1:35" hidden="1" x14ac:dyDescent="0.3">
      <c r="A1108" s="2" t="str">
        <f t="shared" si="257"/>
        <v>NÃO</v>
      </c>
      <c r="B1108" s="2">
        <v>1000184670</v>
      </c>
      <c r="C1108" s="2" t="s">
        <v>147</v>
      </c>
      <c r="D1108" s="4">
        <v>1000186197</v>
      </c>
      <c r="E1108" s="4" t="s">
        <v>166</v>
      </c>
      <c r="F1108" s="2">
        <v>1000185288</v>
      </c>
      <c r="G1108" s="2" t="s">
        <v>64</v>
      </c>
      <c r="H1108" s="4">
        <v>1000189803</v>
      </c>
      <c r="I1108" s="4" t="s">
        <v>97</v>
      </c>
      <c r="J1108" s="2">
        <v>1000189270</v>
      </c>
      <c r="K1108" s="2" t="s">
        <v>34</v>
      </c>
      <c r="L1108" s="4" t="s">
        <v>14</v>
      </c>
      <c r="M1108" s="4" t="str">
        <f t="shared" si="264"/>
        <v>1000184670100018619710001898031000189270CHOCOLATES</v>
      </c>
      <c r="N1108" s="28">
        <f>N1106*_xlfn.XLOOKUP($L1108,'Balizador da Meta'!$B$4:$B$21,'Balizador da Meta'!$C$4:$C$21)</f>
        <v>504.00000000000006</v>
      </c>
      <c r="O1108" s="28">
        <f>O1106*_xlfn.XLOOKUP($L1108,'Balizador da Meta'!$B$4:$B$21,'Balizador da Meta'!$C$4:$C$21)</f>
        <v>504.00000000000006</v>
      </c>
      <c r="P1108" s="28">
        <f>P1106*_xlfn.XLOOKUP($L1108,'Balizador da Meta'!$B$4:$B$21,'Balizador da Meta'!$C$4:$C$21)</f>
        <v>504.00000000000006</v>
      </c>
      <c r="Q1108" s="28">
        <f>Q1106*_xlfn.XLOOKUP($L1108,'Balizador da Meta'!$B$4:$B$21,'Balizador da Meta'!$C$4:$C$21)</f>
        <v>504.00000000000006</v>
      </c>
      <c r="R1108" s="28">
        <f>R1106*_xlfn.XLOOKUP($L1108,'Balizador da Meta'!$B$4:$B$21,'Balizador da Meta'!$C$4:$C$21)</f>
        <v>504.00000000000006</v>
      </c>
      <c r="S1108" s="28">
        <f>S1106*_xlfn.XLOOKUP($L1108,'Balizador da Meta'!$B$4:$B$21,'Balizador da Meta'!$C$4:$C$21)</f>
        <v>546</v>
      </c>
      <c r="T1108" s="28">
        <f>T1106*_xlfn.XLOOKUP($L1108,'Balizador da Meta'!$B$4:$B$21,'Balizador da Meta'!$C$4:$C$21)</f>
        <v>546</v>
      </c>
      <c r="U1108" s="28">
        <f>U1106*_xlfn.XLOOKUP($L1108,'Balizador da Meta'!$B$4:$B$21,'Balizador da Meta'!$C$4:$C$21)</f>
        <v>546</v>
      </c>
      <c r="V1108" s="28">
        <f>V1106*_xlfn.XLOOKUP($L1108,'Balizador da Meta'!$B$4:$B$21,'Balizador da Meta'!$C$4:$C$21)</f>
        <v>546</v>
      </c>
      <c r="W1108" s="28">
        <f>W1106*_xlfn.XLOOKUP($L1108,'Balizador da Meta'!$B$4:$B$21,'Balizador da Meta'!$C$4:$C$21)</f>
        <v>546</v>
      </c>
      <c r="X1108" s="28">
        <f>X1106*_xlfn.XLOOKUP($L1108,'Balizador da Meta'!$B$4:$B$21,'Balizador da Meta'!$C$4:$C$21)</f>
        <v>588</v>
      </c>
      <c r="Y1108" s="28">
        <f>Y1106*_xlfn.XLOOKUP($L1108,'Balizador da Meta'!$B$4:$B$21,'Balizador da Meta'!$C$4:$C$21)</f>
        <v>588</v>
      </c>
      <c r="Z1108" s="30">
        <f t="shared" si="267"/>
        <v>6426</v>
      </c>
      <c r="AA1108" s="29"/>
      <c r="AB1108" s="31">
        <f>SUMIFS('Historico - FAT'!AK:AK,'Historico - FAT'!$K:$K,Faturamento!$L1108,'Historico - FAT'!$I:$I,Faturamento!$J1108,'Historico - FAT'!$G:$G,Faturamento!$H1108)</f>
        <v>144.91666666666666</v>
      </c>
      <c r="AC1108" s="31">
        <f>SUMIFS('Historico - FAT'!AL:AL,'Historico - FAT'!$K:$K,Faturamento!$L1108,'Historico - FAT'!$I:$I,Faturamento!$J1108,'Historico - FAT'!$G:$G,Faturamento!$H1108)</f>
        <v>600.81166666666661</v>
      </c>
      <c r="AD1108" s="31">
        <f>SUMIFS('Historico - FAT'!AM:AM,'Historico - FAT'!$K:$K,Faturamento!$L1108,'Historico - FAT'!$I:$I,Faturamento!$J1108,'Historico - FAT'!$G:$G,Faturamento!$H1108)</f>
        <v>992.79</v>
      </c>
      <c r="AE1108" s="27">
        <f>SUMIFS('Historico - FAT'!AN:AN,'Historico - FAT'!$K:$K,Faturamento!$L1108,'Historico - FAT'!$I:$I,Faturamento!$J1108,'Historico - FAT'!$G:$G,Faturamento!$H1108)</f>
        <v>677.274</v>
      </c>
      <c r="AG1108" s="24">
        <f t="shared" si="258"/>
        <v>0.74753193960511044</v>
      </c>
      <c r="AH1108" s="24">
        <f t="shared" si="259"/>
        <v>-4.6710220673635207E-2</v>
      </c>
      <c r="AI1108" s="24">
        <f t="shared" si="260"/>
        <v>-0.72959930313588839</v>
      </c>
    </row>
    <row r="1109" spans="1:35" hidden="1" x14ac:dyDescent="0.3">
      <c r="A1109" s="2" t="str">
        <f t="shared" si="257"/>
        <v>NÃO</v>
      </c>
      <c r="B1109" s="2">
        <v>1000184670</v>
      </c>
      <c r="C1109" s="2" t="s">
        <v>147</v>
      </c>
      <c r="D1109" s="4">
        <v>1000186197</v>
      </c>
      <c r="E1109" s="4" t="s">
        <v>166</v>
      </c>
      <c r="F1109" s="2">
        <v>1000185288</v>
      </c>
      <c r="G1109" s="2" t="s">
        <v>64</v>
      </c>
      <c r="H1109" s="4">
        <v>1000189803</v>
      </c>
      <c r="I1109" s="4" t="s">
        <v>97</v>
      </c>
      <c r="J1109" s="2">
        <v>1000189270</v>
      </c>
      <c r="K1109" s="2" t="s">
        <v>34</v>
      </c>
      <c r="L1109" s="4" t="s">
        <v>16</v>
      </c>
      <c r="M1109" s="4" t="str">
        <f t="shared" si="264"/>
        <v>1000184670100018619710001898031000189270DISNEY</v>
      </c>
      <c r="N1109" s="28">
        <f>N1106*_xlfn.XLOOKUP($L1109,'Balizador da Meta'!$B$4:$B$21,'Balizador da Meta'!$C$4:$C$21)</f>
        <v>576</v>
      </c>
      <c r="O1109" s="28">
        <f>O1106*_xlfn.XLOOKUP($L1109,'Balizador da Meta'!$B$4:$B$21,'Balizador da Meta'!$C$4:$C$21)</f>
        <v>576</v>
      </c>
      <c r="P1109" s="28">
        <f>P1106*_xlfn.XLOOKUP($L1109,'Balizador da Meta'!$B$4:$B$21,'Balizador da Meta'!$C$4:$C$21)</f>
        <v>576</v>
      </c>
      <c r="Q1109" s="28">
        <f>Q1106*_xlfn.XLOOKUP($L1109,'Balizador da Meta'!$B$4:$B$21,'Balizador da Meta'!$C$4:$C$21)</f>
        <v>576</v>
      </c>
      <c r="R1109" s="28">
        <f>R1106*_xlfn.XLOOKUP($L1109,'Balizador da Meta'!$B$4:$B$21,'Balizador da Meta'!$C$4:$C$21)</f>
        <v>576</v>
      </c>
      <c r="S1109" s="28">
        <f>S1106*_xlfn.XLOOKUP($L1109,'Balizador da Meta'!$B$4:$B$21,'Balizador da Meta'!$C$4:$C$21)</f>
        <v>624</v>
      </c>
      <c r="T1109" s="28">
        <f>T1106*_xlfn.XLOOKUP($L1109,'Balizador da Meta'!$B$4:$B$21,'Balizador da Meta'!$C$4:$C$21)</f>
        <v>624</v>
      </c>
      <c r="U1109" s="28">
        <f>U1106*_xlfn.XLOOKUP($L1109,'Balizador da Meta'!$B$4:$B$21,'Balizador da Meta'!$C$4:$C$21)</f>
        <v>624</v>
      </c>
      <c r="V1109" s="28">
        <f>V1106*_xlfn.XLOOKUP($L1109,'Balizador da Meta'!$B$4:$B$21,'Balizador da Meta'!$C$4:$C$21)</f>
        <v>624</v>
      </c>
      <c r="W1109" s="28">
        <f>W1106*_xlfn.XLOOKUP($L1109,'Balizador da Meta'!$B$4:$B$21,'Balizador da Meta'!$C$4:$C$21)</f>
        <v>624</v>
      </c>
      <c r="X1109" s="28">
        <f>X1106*_xlfn.XLOOKUP($L1109,'Balizador da Meta'!$B$4:$B$21,'Balizador da Meta'!$C$4:$C$21)</f>
        <v>672</v>
      </c>
      <c r="Y1109" s="28">
        <f>Y1106*_xlfn.XLOOKUP($L1109,'Balizador da Meta'!$B$4:$B$21,'Balizador da Meta'!$C$4:$C$21)</f>
        <v>672</v>
      </c>
      <c r="Z1109" s="30">
        <f t="shared" si="267"/>
        <v>7344</v>
      </c>
      <c r="AA1109" s="29"/>
      <c r="AB1109" s="31">
        <f>SUMIFS('Historico - FAT'!AK:AK,'Historico - FAT'!$K:$K,Faturamento!$L1109,'Historico - FAT'!$I:$I,Faturamento!$J1109,'Historico - FAT'!$G:$G,Faturamento!$H1109)</f>
        <v>187.07583333333332</v>
      </c>
      <c r="AC1109" s="31">
        <f>SUMIFS('Historico - FAT'!AL:AL,'Historico - FAT'!$K:$K,Faturamento!$L1109,'Historico - FAT'!$I:$I,Faturamento!$J1109,'Historico - FAT'!$G:$G,Faturamento!$H1109)</f>
        <v>314.00083333333333</v>
      </c>
      <c r="AD1109" s="31">
        <f>SUMIFS('Historico - FAT'!AM:AM,'Historico - FAT'!$K:$K,Faturamento!$L1109,'Historico - FAT'!$I:$I,Faturamento!$J1109,'Historico - FAT'!$G:$G,Faturamento!$H1109)</f>
        <v>403.06500000000005</v>
      </c>
      <c r="AE1109" s="27">
        <f>SUMIFS('Historico - FAT'!AN:AN,'Historico - FAT'!$K:$K,Faturamento!$L1109,'Historico - FAT'!$I:$I,Faturamento!$J1109,'Historico - FAT'!$G:$G,Faturamento!$H1109)</f>
        <v>303.661</v>
      </c>
      <c r="AG1109" s="24">
        <f t="shared" si="258"/>
        <v>0.71482342479674799</v>
      </c>
      <c r="AH1109" s="24">
        <f t="shared" si="259"/>
        <v>0.52134019308943091</v>
      </c>
      <c r="AI1109" s="24">
        <f t="shared" si="260"/>
        <v>0.38557164634146335</v>
      </c>
    </row>
    <row r="1110" spans="1:35" hidden="1" x14ac:dyDescent="0.3">
      <c r="A1110" s="2" t="str">
        <f t="shared" si="257"/>
        <v>NÃO</v>
      </c>
      <c r="B1110" s="2">
        <v>1000184670</v>
      </c>
      <c r="C1110" s="2" t="s">
        <v>147</v>
      </c>
      <c r="D1110" s="4">
        <v>1000186197</v>
      </c>
      <c r="E1110" s="4" t="s">
        <v>166</v>
      </c>
      <c r="F1110" s="2">
        <v>1000185288</v>
      </c>
      <c r="G1110" s="2" t="s">
        <v>64</v>
      </c>
      <c r="H1110" s="4">
        <v>1000189803</v>
      </c>
      <c r="I1110" s="4" t="s">
        <v>97</v>
      </c>
      <c r="J1110" s="2">
        <v>1000189270</v>
      </c>
      <c r="K1110" s="2" t="s">
        <v>34</v>
      </c>
      <c r="L1110" s="4" t="s">
        <v>15</v>
      </c>
      <c r="M1110" s="4" t="str">
        <f t="shared" si="264"/>
        <v>1000184670100018619710001898031000189270DOCES</v>
      </c>
      <c r="N1110" s="28">
        <f>N1106*_xlfn.XLOOKUP($L1110,'Balizador da Meta'!$B$4:$B$21,'Balizador da Meta'!$C$4:$C$21)</f>
        <v>648</v>
      </c>
      <c r="O1110" s="28">
        <f>O1106*_xlfn.XLOOKUP($L1110,'Balizador da Meta'!$B$4:$B$21,'Balizador da Meta'!$C$4:$C$21)</f>
        <v>648</v>
      </c>
      <c r="P1110" s="28">
        <f>P1106*_xlfn.XLOOKUP($L1110,'Balizador da Meta'!$B$4:$B$21,'Balizador da Meta'!$C$4:$C$21)</f>
        <v>648</v>
      </c>
      <c r="Q1110" s="28">
        <f>Q1106*_xlfn.XLOOKUP($L1110,'Balizador da Meta'!$B$4:$B$21,'Balizador da Meta'!$C$4:$C$21)</f>
        <v>648</v>
      </c>
      <c r="R1110" s="28">
        <f>R1106*_xlfn.XLOOKUP($L1110,'Balizador da Meta'!$B$4:$B$21,'Balizador da Meta'!$C$4:$C$21)</f>
        <v>648</v>
      </c>
      <c r="S1110" s="28">
        <f>S1106*_xlfn.XLOOKUP($L1110,'Balizador da Meta'!$B$4:$B$21,'Balizador da Meta'!$C$4:$C$21)</f>
        <v>702</v>
      </c>
      <c r="T1110" s="28">
        <f>T1106*_xlfn.XLOOKUP($L1110,'Balizador da Meta'!$B$4:$B$21,'Balizador da Meta'!$C$4:$C$21)</f>
        <v>702</v>
      </c>
      <c r="U1110" s="28">
        <f>U1106*_xlfn.XLOOKUP($L1110,'Balizador da Meta'!$B$4:$B$21,'Balizador da Meta'!$C$4:$C$21)</f>
        <v>702</v>
      </c>
      <c r="V1110" s="28">
        <f>V1106*_xlfn.XLOOKUP($L1110,'Balizador da Meta'!$B$4:$B$21,'Balizador da Meta'!$C$4:$C$21)</f>
        <v>702</v>
      </c>
      <c r="W1110" s="28">
        <f>W1106*_xlfn.XLOOKUP($L1110,'Balizador da Meta'!$B$4:$B$21,'Balizador da Meta'!$C$4:$C$21)</f>
        <v>702</v>
      </c>
      <c r="X1110" s="28">
        <f>X1106*_xlfn.XLOOKUP($L1110,'Balizador da Meta'!$B$4:$B$21,'Balizador da Meta'!$C$4:$C$21)</f>
        <v>756</v>
      </c>
      <c r="Y1110" s="28">
        <f>Y1106*_xlfn.XLOOKUP($L1110,'Balizador da Meta'!$B$4:$B$21,'Balizador da Meta'!$C$4:$C$21)</f>
        <v>756</v>
      </c>
      <c r="Z1110" s="30">
        <f t="shared" si="267"/>
        <v>8262</v>
      </c>
      <c r="AA1110" s="29"/>
      <c r="AB1110" s="31">
        <f>SUMIFS('Historico - FAT'!AK:AK,'Historico - FAT'!$K:$K,Faturamento!$L1110,'Historico - FAT'!$I:$I,Faturamento!$J1110,'Historico - FAT'!$G:$G,Faturamento!$H1110)</f>
        <v>273.49416666666667</v>
      </c>
      <c r="AC1110" s="31">
        <f>SUMIFS('Historico - FAT'!AL:AL,'Historico - FAT'!$K:$K,Faturamento!$L1110,'Historico - FAT'!$I:$I,Faturamento!$J1110,'Historico - FAT'!$G:$G,Faturamento!$H1110)</f>
        <v>334.66916666666663</v>
      </c>
      <c r="AD1110" s="31">
        <f>SUMIFS('Historico - FAT'!AM:AM,'Historico - FAT'!$K:$K,Faturamento!$L1110,'Historico - FAT'!$I:$I,Faturamento!$J1110,'Historico - FAT'!$G:$G,Faturamento!$H1110)</f>
        <v>304.58499999999998</v>
      </c>
      <c r="AE1110" s="27">
        <f>SUMIFS('Historico - FAT'!AN:AN,'Historico - FAT'!$K:$K,Faturamento!$L1110,'Historico - FAT'!$I:$I,Faturamento!$J1110,'Historico - FAT'!$G:$G,Faturamento!$H1110)</f>
        <v>345.82799999999997</v>
      </c>
      <c r="AG1110" s="24">
        <f t="shared" si="258"/>
        <v>0.62941169828364951</v>
      </c>
      <c r="AH1110" s="24">
        <f t="shared" si="259"/>
        <v>0.5465187443541103</v>
      </c>
      <c r="AI1110" s="24">
        <f t="shared" si="260"/>
        <v>0.58728319783197835</v>
      </c>
    </row>
    <row r="1111" spans="1:35" hidden="1" x14ac:dyDescent="0.3">
      <c r="A1111" s="2" t="str">
        <f t="shared" si="257"/>
        <v>NÃO</v>
      </c>
      <c r="B1111" s="2">
        <v>1000184670</v>
      </c>
      <c r="C1111" s="2" t="s">
        <v>147</v>
      </c>
      <c r="D1111" s="4">
        <v>1000186197</v>
      </c>
      <c r="E1111" s="4" t="s">
        <v>166</v>
      </c>
      <c r="F1111" s="2">
        <v>1000185288</v>
      </c>
      <c r="G1111" s="2" t="s">
        <v>64</v>
      </c>
      <c r="H1111" s="4">
        <v>1000189803</v>
      </c>
      <c r="I1111" s="4" t="s">
        <v>97</v>
      </c>
      <c r="J1111" s="2">
        <v>1000189270</v>
      </c>
      <c r="K1111" s="2" t="s">
        <v>34</v>
      </c>
      <c r="L1111" s="4" t="s">
        <v>33</v>
      </c>
      <c r="M1111" s="4" t="str">
        <f t="shared" si="264"/>
        <v>1000184670100018619710001898031000189270FOOD SERVICE</v>
      </c>
      <c r="N1111" s="28">
        <f>N1106*_xlfn.XLOOKUP($L1111,'Balizador da Meta'!$B$4:$B$21,'Balizador da Meta'!$C$4:$C$21)</f>
        <v>0</v>
      </c>
      <c r="O1111" s="28">
        <f>O1106*_xlfn.XLOOKUP($L1111,'Balizador da Meta'!$B$4:$B$21,'Balizador da Meta'!$C$4:$C$21)</f>
        <v>0</v>
      </c>
      <c r="P1111" s="28">
        <f>P1106*_xlfn.XLOOKUP($L1111,'Balizador da Meta'!$B$4:$B$21,'Balizador da Meta'!$C$4:$C$21)</f>
        <v>0</v>
      </c>
      <c r="Q1111" s="28">
        <f>Q1106*_xlfn.XLOOKUP($L1111,'Balizador da Meta'!$B$4:$B$21,'Balizador da Meta'!$C$4:$C$21)</f>
        <v>0</v>
      </c>
      <c r="R1111" s="28">
        <f>R1106*_xlfn.XLOOKUP($L1111,'Balizador da Meta'!$B$4:$B$21,'Balizador da Meta'!$C$4:$C$21)</f>
        <v>0</v>
      </c>
      <c r="S1111" s="28">
        <f>S1106*_xlfn.XLOOKUP($L1111,'Balizador da Meta'!$B$4:$B$21,'Balizador da Meta'!$C$4:$C$21)</f>
        <v>0</v>
      </c>
      <c r="T1111" s="28">
        <f>T1106*_xlfn.XLOOKUP($L1111,'Balizador da Meta'!$B$4:$B$21,'Balizador da Meta'!$C$4:$C$21)</f>
        <v>0</v>
      </c>
      <c r="U1111" s="28">
        <f>U1106*_xlfn.XLOOKUP($L1111,'Balizador da Meta'!$B$4:$B$21,'Balizador da Meta'!$C$4:$C$21)</f>
        <v>0</v>
      </c>
      <c r="V1111" s="28">
        <f>V1106*_xlfn.XLOOKUP($L1111,'Balizador da Meta'!$B$4:$B$21,'Balizador da Meta'!$C$4:$C$21)</f>
        <v>0</v>
      </c>
      <c r="W1111" s="28">
        <f>W1106*_xlfn.XLOOKUP($L1111,'Balizador da Meta'!$B$4:$B$21,'Balizador da Meta'!$C$4:$C$21)</f>
        <v>0</v>
      </c>
      <c r="X1111" s="28">
        <f>X1106*_xlfn.XLOOKUP($L1111,'Balizador da Meta'!$B$4:$B$21,'Balizador da Meta'!$C$4:$C$21)</f>
        <v>0</v>
      </c>
      <c r="Y1111" s="28">
        <f>Y1106*_xlfn.XLOOKUP($L1111,'Balizador da Meta'!$B$4:$B$21,'Balizador da Meta'!$C$4:$C$21)</f>
        <v>0</v>
      </c>
      <c r="Z1111" s="30">
        <f t="shared" si="267"/>
        <v>0</v>
      </c>
      <c r="AA1111" s="29"/>
      <c r="AB1111" s="31">
        <f>SUMIFS('Historico - FAT'!AK:AK,'Historico - FAT'!$K:$K,Faturamento!$L1111,'Historico - FAT'!$I:$I,Faturamento!$J1111,'Historico - FAT'!$G:$G,Faturamento!$H1111)</f>
        <v>28.480833333333333</v>
      </c>
      <c r="AC1111" s="31">
        <f>SUMIFS('Historico - FAT'!AL:AL,'Historico - FAT'!$K:$K,Faturamento!$L1111,'Historico - FAT'!$I:$I,Faturamento!$J1111,'Historico - FAT'!$G:$G,Faturamento!$H1111)</f>
        <v>8.3333333333333339</v>
      </c>
      <c r="AD1111" s="31">
        <f>SUMIFS('Historico - FAT'!AM:AM,'Historico - FAT'!$K:$K,Faturamento!$L1111,'Historico - FAT'!$I:$I,Faturamento!$J1111,'Historico - FAT'!$G:$G,Faturamento!$H1111)</f>
        <v>16.666666666666668</v>
      </c>
      <c r="AE1111" s="27">
        <f>SUMIFS('Historico - FAT'!AN:AN,'Historico - FAT'!$K:$K,Faturamento!$L1111,'Historico - FAT'!$I:$I,Faturamento!$J1111,'Historico - FAT'!$G:$G,Faturamento!$H1111)</f>
        <v>10</v>
      </c>
      <c r="AG1111" s="24" t="str">
        <f t="shared" si="258"/>
        <v/>
      </c>
      <c r="AH1111" s="24" t="str">
        <f t="shared" si="259"/>
        <v/>
      </c>
      <c r="AI1111" s="24" t="str">
        <f t="shared" si="260"/>
        <v/>
      </c>
    </row>
    <row r="1112" spans="1:35" hidden="1" x14ac:dyDescent="0.3">
      <c r="A1112" s="2" t="str">
        <f t="shared" si="257"/>
        <v>NÃO</v>
      </c>
      <c r="B1112" s="2">
        <v>1000184670</v>
      </c>
      <c r="C1112" s="2" t="s">
        <v>147</v>
      </c>
      <c r="D1112" s="4">
        <v>1000186197</v>
      </c>
      <c r="E1112" s="4" t="s">
        <v>166</v>
      </c>
      <c r="F1112" s="2">
        <v>1000185288</v>
      </c>
      <c r="G1112" s="2" t="s">
        <v>64</v>
      </c>
      <c r="H1112" s="4">
        <v>1000189803</v>
      </c>
      <c r="I1112" s="4" t="s">
        <v>97</v>
      </c>
      <c r="J1112" s="2">
        <v>1000189270</v>
      </c>
      <c r="K1112" s="2" t="s">
        <v>34</v>
      </c>
      <c r="L1112" s="4" t="s">
        <v>19</v>
      </c>
      <c r="M1112" s="4" t="str">
        <f t="shared" si="264"/>
        <v>1000184670100018619710001898031000189270GELEIA</v>
      </c>
      <c r="N1112" s="28">
        <f>N1106*_xlfn.XLOOKUP($L1112,'Balizador da Meta'!$B$4:$B$21,'Balizador da Meta'!$C$4:$C$21)</f>
        <v>143.99999999999997</v>
      </c>
      <c r="O1112" s="28">
        <f>O1106*_xlfn.XLOOKUP($L1112,'Balizador da Meta'!$B$4:$B$21,'Balizador da Meta'!$C$4:$C$21)</f>
        <v>143.99999999999997</v>
      </c>
      <c r="P1112" s="28">
        <f>P1106*_xlfn.XLOOKUP($L1112,'Balizador da Meta'!$B$4:$B$21,'Balizador da Meta'!$C$4:$C$21)</f>
        <v>143.99999999999997</v>
      </c>
      <c r="Q1112" s="28">
        <f>Q1106*_xlfn.XLOOKUP($L1112,'Balizador da Meta'!$B$4:$B$21,'Balizador da Meta'!$C$4:$C$21)</f>
        <v>143.99999999999997</v>
      </c>
      <c r="R1112" s="28">
        <f>R1106*_xlfn.XLOOKUP($L1112,'Balizador da Meta'!$B$4:$B$21,'Balizador da Meta'!$C$4:$C$21)</f>
        <v>143.99999999999997</v>
      </c>
      <c r="S1112" s="28">
        <f>S1106*_xlfn.XLOOKUP($L1112,'Balizador da Meta'!$B$4:$B$21,'Balizador da Meta'!$C$4:$C$21)</f>
        <v>155.99999999999997</v>
      </c>
      <c r="T1112" s="28">
        <f>T1106*_xlfn.XLOOKUP($L1112,'Balizador da Meta'!$B$4:$B$21,'Balizador da Meta'!$C$4:$C$21)</f>
        <v>155.99999999999997</v>
      </c>
      <c r="U1112" s="28">
        <f>U1106*_xlfn.XLOOKUP($L1112,'Balizador da Meta'!$B$4:$B$21,'Balizador da Meta'!$C$4:$C$21)</f>
        <v>155.99999999999997</v>
      </c>
      <c r="V1112" s="28">
        <f>V1106*_xlfn.XLOOKUP($L1112,'Balizador da Meta'!$B$4:$B$21,'Balizador da Meta'!$C$4:$C$21)</f>
        <v>155.99999999999997</v>
      </c>
      <c r="W1112" s="28">
        <f>W1106*_xlfn.XLOOKUP($L1112,'Balizador da Meta'!$B$4:$B$21,'Balizador da Meta'!$C$4:$C$21)</f>
        <v>155.99999999999997</v>
      </c>
      <c r="X1112" s="28">
        <f>X1106*_xlfn.XLOOKUP($L1112,'Balizador da Meta'!$B$4:$B$21,'Balizador da Meta'!$C$4:$C$21)</f>
        <v>167.99999999999997</v>
      </c>
      <c r="Y1112" s="28">
        <f>Y1106*_xlfn.XLOOKUP($L1112,'Balizador da Meta'!$B$4:$B$21,'Balizador da Meta'!$C$4:$C$21)</f>
        <v>167.99999999999997</v>
      </c>
      <c r="Z1112" s="30">
        <f t="shared" si="267"/>
        <v>1835.9999999999998</v>
      </c>
      <c r="AA1112" s="29"/>
      <c r="AB1112" s="31">
        <f>SUMIFS('Historico - FAT'!AK:AK,'Historico - FAT'!$K:$K,Faturamento!$L1112,'Historico - FAT'!$I:$I,Faturamento!$J1112,'Historico - FAT'!$G:$G,Faturamento!$H1112)</f>
        <v>62.792499999999997</v>
      </c>
      <c r="AC1112" s="31">
        <f>SUMIFS('Historico - FAT'!AL:AL,'Historico - FAT'!$K:$K,Faturamento!$L1112,'Historico - FAT'!$I:$I,Faturamento!$J1112,'Historico - FAT'!$G:$G,Faturamento!$H1112)</f>
        <v>20.88</v>
      </c>
      <c r="AD1112" s="31">
        <f>SUMIFS('Historico - FAT'!AM:AM,'Historico - FAT'!$K:$K,Faturamento!$L1112,'Historico - FAT'!$I:$I,Faturamento!$J1112,'Historico - FAT'!$G:$G,Faturamento!$H1112)</f>
        <v>41.76</v>
      </c>
      <c r="AE1112" s="27">
        <f>SUMIFS('Historico - FAT'!AN:AN,'Historico - FAT'!$K:$K,Faturamento!$L1112,'Historico - FAT'!$I:$I,Faturamento!$J1112,'Historico - FAT'!$G:$G,Faturamento!$H1112)</f>
        <v>25.056000000000001</v>
      </c>
      <c r="AG1112" s="24">
        <f t="shared" si="258"/>
        <v>0.61711890243902434</v>
      </c>
      <c r="AH1112" s="24">
        <f t="shared" si="259"/>
        <v>0.87268292682926829</v>
      </c>
      <c r="AI1112" s="24">
        <f t="shared" si="260"/>
        <v>0.74536585365853658</v>
      </c>
    </row>
    <row r="1113" spans="1:35" hidden="1" x14ac:dyDescent="0.3">
      <c r="A1113" s="2" t="str">
        <f t="shared" si="257"/>
        <v>NÃO</v>
      </c>
      <c r="B1113" s="2">
        <v>1000184670</v>
      </c>
      <c r="C1113" s="2" t="s">
        <v>147</v>
      </c>
      <c r="D1113" s="4">
        <v>1000186197</v>
      </c>
      <c r="E1113" s="4" t="s">
        <v>166</v>
      </c>
      <c r="F1113" s="2">
        <v>1000185288</v>
      </c>
      <c r="G1113" s="2" t="s">
        <v>64</v>
      </c>
      <c r="H1113" s="4">
        <v>1000189803</v>
      </c>
      <c r="I1113" s="4" t="s">
        <v>97</v>
      </c>
      <c r="J1113" s="2">
        <v>1000189270</v>
      </c>
      <c r="K1113" s="2" t="s">
        <v>34</v>
      </c>
      <c r="L1113" s="4" t="s">
        <v>17</v>
      </c>
      <c r="M1113" s="4" t="str">
        <f t="shared" si="264"/>
        <v>1000184670100018619710001898031000189270GRANOLA</v>
      </c>
      <c r="N1113" s="28">
        <f>N1106*_xlfn.XLOOKUP($L1113,'Balizador da Meta'!$B$4:$B$21,'Balizador da Meta'!$C$4:$C$21)</f>
        <v>144</v>
      </c>
      <c r="O1113" s="28">
        <f>O1106*_xlfn.XLOOKUP($L1113,'Balizador da Meta'!$B$4:$B$21,'Balizador da Meta'!$C$4:$C$21)</f>
        <v>144</v>
      </c>
      <c r="P1113" s="28">
        <f>P1106*_xlfn.XLOOKUP($L1113,'Balizador da Meta'!$B$4:$B$21,'Balizador da Meta'!$C$4:$C$21)</f>
        <v>144</v>
      </c>
      <c r="Q1113" s="28">
        <f>Q1106*_xlfn.XLOOKUP($L1113,'Balizador da Meta'!$B$4:$B$21,'Balizador da Meta'!$C$4:$C$21)</f>
        <v>144</v>
      </c>
      <c r="R1113" s="28">
        <f>R1106*_xlfn.XLOOKUP($L1113,'Balizador da Meta'!$B$4:$B$21,'Balizador da Meta'!$C$4:$C$21)</f>
        <v>144</v>
      </c>
      <c r="S1113" s="28">
        <f>S1106*_xlfn.XLOOKUP($L1113,'Balizador da Meta'!$B$4:$B$21,'Balizador da Meta'!$C$4:$C$21)</f>
        <v>156</v>
      </c>
      <c r="T1113" s="28">
        <f>T1106*_xlfn.XLOOKUP($L1113,'Balizador da Meta'!$B$4:$B$21,'Balizador da Meta'!$C$4:$C$21)</f>
        <v>156</v>
      </c>
      <c r="U1113" s="28">
        <f>U1106*_xlfn.XLOOKUP($L1113,'Balizador da Meta'!$B$4:$B$21,'Balizador da Meta'!$C$4:$C$21)</f>
        <v>156</v>
      </c>
      <c r="V1113" s="28">
        <f>V1106*_xlfn.XLOOKUP($L1113,'Balizador da Meta'!$B$4:$B$21,'Balizador da Meta'!$C$4:$C$21)</f>
        <v>156</v>
      </c>
      <c r="W1113" s="28">
        <f>W1106*_xlfn.XLOOKUP($L1113,'Balizador da Meta'!$B$4:$B$21,'Balizador da Meta'!$C$4:$C$21)</f>
        <v>156</v>
      </c>
      <c r="X1113" s="28">
        <f>X1106*_xlfn.XLOOKUP($L1113,'Balizador da Meta'!$B$4:$B$21,'Balizador da Meta'!$C$4:$C$21)</f>
        <v>168</v>
      </c>
      <c r="Y1113" s="28">
        <f>Y1106*_xlfn.XLOOKUP($L1113,'Balizador da Meta'!$B$4:$B$21,'Balizador da Meta'!$C$4:$C$21)</f>
        <v>168</v>
      </c>
      <c r="Z1113" s="30">
        <f t="shared" si="267"/>
        <v>1836</v>
      </c>
      <c r="AA1113" s="29"/>
      <c r="AB1113" s="31">
        <f>SUMIFS('Historico - FAT'!AK:AK,'Historico - FAT'!$K:$K,Faturamento!$L1113,'Historico - FAT'!$I:$I,Faturamento!$J1113,'Historico - FAT'!$G:$G,Faturamento!$H1113)</f>
        <v>101.84166666666665</v>
      </c>
      <c r="AC1113" s="31">
        <f>SUMIFS('Historico - FAT'!AL:AL,'Historico - FAT'!$K:$K,Faturamento!$L1113,'Historico - FAT'!$I:$I,Faturamento!$J1113,'Historico - FAT'!$G:$G,Faturamento!$H1113)</f>
        <v>100.04166666666667</v>
      </c>
      <c r="AD1113" s="31">
        <f>SUMIFS('Historico - FAT'!AM:AM,'Historico - FAT'!$K:$K,Faturamento!$L1113,'Historico - FAT'!$I:$I,Faturamento!$J1113,'Historico - FAT'!$G:$G,Faturamento!$H1113)</f>
        <v>67.600000000000009</v>
      </c>
      <c r="AE1113" s="27">
        <f>SUMIFS('Historico - FAT'!AN:AN,'Historico - FAT'!$K:$K,Faturamento!$L1113,'Historico - FAT'!$I:$I,Faturamento!$J1113,'Historico - FAT'!$G:$G,Faturamento!$H1113)</f>
        <v>93.6</v>
      </c>
      <c r="AG1113" s="24">
        <f t="shared" si="258"/>
        <v>0.37901422764227649</v>
      </c>
      <c r="AH1113" s="24">
        <f t="shared" si="259"/>
        <v>0.38998983739837395</v>
      </c>
      <c r="AI1113" s="24">
        <f t="shared" si="260"/>
        <v>0.58780487804878045</v>
      </c>
    </row>
    <row r="1114" spans="1:35" hidden="1" x14ac:dyDescent="0.3">
      <c r="A1114" s="2" t="str">
        <f t="shared" si="257"/>
        <v>NÃO</v>
      </c>
      <c r="B1114" s="2">
        <v>1000184670</v>
      </c>
      <c r="C1114" s="2" t="s">
        <v>147</v>
      </c>
      <c r="D1114" s="4">
        <v>1000186197</v>
      </c>
      <c r="E1114" s="4" t="s">
        <v>166</v>
      </c>
      <c r="F1114" s="2">
        <v>1000185288</v>
      </c>
      <c r="G1114" s="2" t="s">
        <v>64</v>
      </c>
      <c r="H1114" s="4">
        <v>1000189803</v>
      </c>
      <c r="I1114" s="4" t="s">
        <v>97</v>
      </c>
      <c r="J1114" s="2">
        <v>1000189270</v>
      </c>
      <c r="K1114" s="2" t="s">
        <v>34</v>
      </c>
      <c r="L1114" s="4" t="s">
        <v>24</v>
      </c>
      <c r="M1114" s="4" t="str">
        <f t="shared" si="264"/>
        <v>1000184670100018619710001898031000189270KIDS</v>
      </c>
      <c r="N1114" s="28">
        <f>N1106*_xlfn.XLOOKUP($L1114,'Balizador da Meta'!$B$4:$B$21,'Balizador da Meta'!$C$4:$C$21)</f>
        <v>0</v>
      </c>
      <c r="O1114" s="28">
        <f>O1106*_xlfn.XLOOKUP($L1114,'Balizador da Meta'!$B$4:$B$21,'Balizador da Meta'!$C$4:$C$21)</f>
        <v>0</v>
      </c>
      <c r="P1114" s="28">
        <f>P1106*_xlfn.XLOOKUP($L1114,'Balizador da Meta'!$B$4:$B$21,'Balizador da Meta'!$C$4:$C$21)</f>
        <v>0</v>
      </c>
      <c r="Q1114" s="28">
        <f>Q1106*_xlfn.XLOOKUP($L1114,'Balizador da Meta'!$B$4:$B$21,'Balizador da Meta'!$C$4:$C$21)</f>
        <v>0</v>
      </c>
      <c r="R1114" s="28">
        <f>R1106*_xlfn.XLOOKUP($L1114,'Balizador da Meta'!$B$4:$B$21,'Balizador da Meta'!$C$4:$C$21)</f>
        <v>0</v>
      </c>
      <c r="S1114" s="28">
        <f>S1106*_xlfn.XLOOKUP($L1114,'Balizador da Meta'!$B$4:$B$21,'Balizador da Meta'!$C$4:$C$21)</f>
        <v>0</v>
      </c>
      <c r="T1114" s="28">
        <f>T1106*_xlfn.XLOOKUP($L1114,'Balizador da Meta'!$B$4:$B$21,'Balizador da Meta'!$C$4:$C$21)</f>
        <v>0</v>
      </c>
      <c r="U1114" s="28">
        <f>U1106*_xlfn.XLOOKUP($L1114,'Balizador da Meta'!$B$4:$B$21,'Balizador da Meta'!$C$4:$C$21)</f>
        <v>0</v>
      </c>
      <c r="V1114" s="28">
        <f>V1106*_xlfn.XLOOKUP($L1114,'Balizador da Meta'!$B$4:$B$21,'Balizador da Meta'!$C$4:$C$21)</f>
        <v>0</v>
      </c>
      <c r="W1114" s="28">
        <f>W1106*_xlfn.XLOOKUP($L1114,'Balizador da Meta'!$B$4:$B$21,'Balizador da Meta'!$C$4:$C$21)</f>
        <v>0</v>
      </c>
      <c r="X1114" s="28">
        <f>X1106*_xlfn.XLOOKUP($L1114,'Balizador da Meta'!$B$4:$B$21,'Balizador da Meta'!$C$4:$C$21)</f>
        <v>0</v>
      </c>
      <c r="Y1114" s="28">
        <f>Y1106*_xlfn.XLOOKUP($L1114,'Balizador da Meta'!$B$4:$B$21,'Balizador da Meta'!$C$4:$C$21)</f>
        <v>0</v>
      </c>
      <c r="Z1114" s="30">
        <f t="shared" si="267"/>
        <v>0</v>
      </c>
      <c r="AA1114" s="29"/>
      <c r="AB1114" s="31">
        <f>SUMIFS('Historico - FAT'!AK:AK,'Historico - FAT'!$K:$K,Faturamento!$L1114,'Historico - FAT'!$I:$I,Faturamento!$J1114,'Historico - FAT'!$G:$G,Faturamento!$H1114)</f>
        <v>0</v>
      </c>
      <c r="AC1114" s="31">
        <f>SUMIFS('Historico - FAT'!AL:AL,'Historico - FAT'!$K:$K,Faturamento!$L1114,'Historico - FAT'!$I:$I,Faturamento!$J1114,'Historico - FAT'!$G:$G,Faturamento!$H1114)</f>
        <v>24.8475</v>
      </c>
      <c r="AD1114" s="31">
        <f>SUMIFS('Historico - FAT'!AM:AM,'Historico - FAT'!$K:$K,Faturamento!$L1114,'Historico - FAT'!$I:$I,Faturamento!$J1114,'Historico - FAT'!$G:$G,Faturamento!$H1114)</f>
        <v>49.695</v>
      </c>
      <c r="AE1114" s="27">
        <f>SUMIFS('Historico - FAT'!AN:AN,'Historico - FAT'!$K:$K,Faturamento!$L1114,'Historico - FAT'!$I:$I,Faturamento!$J1114,'Historico - FAT'!$G:$G,Faturamento!$H1114)</f>
        <v>29.817</v>
      </c>
      <c r="AG1114" s="24" t="str">
        <f t="shared" si="258"/>
        <v/>
      </c>
      <c r="AH1114" s="24" t="str">
        <f t="shared" si="259"/>
        <v/>
      </c>
      <c r="AI1114" s="24" t="str">
        <f t="shared" si="260"/>
        <v/>
      </c>
    </row>
    <row r="1115" spans="1:35" hidden="1" x14ac:dyDescent="0.3">
      <c r="A1115" s="2" t="str">
        <f t="shared" si="257"/>
        <v>NÃO</v>
      </c>
      <c r="B1115" s="2">
        <v>1000184670</v>
      </c>
      <c r="C1115" s="2" t="s">
        <v>147</v>
      </c>
      <c r="D1115" s="4">
        <v>1000186197</v>
      </c>
      <c r="E1115" s="4" t="s">
        <v>166</v>
      </c>
      <c r="F1115" s="2">
        <v>1000185288</v>
      </c>
      <c r="G1115" s="2" t="s">
        <v>64</v>
      </c>
      <c r="H1115" s="4">
        <v>1000189803</v>
      </c>
      <c r="I1115" s="4" t="s">
        <v>97</v>
      </c>
      <c r="J1115" s="2">
        <v>1000189270</v>
      </c>
      <c r="K1115" s="2" t="s">
        <v>34</v>
      </c>
      <c r="L1115" s="4" t="s">
        <v>18</v>
      </c>
      <c r="M1115" s="4" t="str">
        <f t="shared" si="264"/>
        <v>1000184670100018619710001898031000189270LANCHES</v>
      </c>
      <c r="N1115" s="28">
        <f>N1106*_xlfn.XLOOKUP($L1115,'Balizador da Meta'!$B$4:$B$21,'Balizador da Meta'!$C$4:$C$21)</f>
        <v>72</v>
      </c>
      <c r="O1115" s="28">
        <f>O1106*_xlfn.XLOOKUP($L1115,'Balizador da Meta'!$B$4:$B$21,'Balizador da Meta'!$C$4:$C$21)</f>
        <v>72</v>
      </c>
      <c r="P1115" s="28">
        <f>P1106*_xlfn.XLOOKUP($L1115,'Balizador da Meta'!$B$4:$B$21,'Balizador da Meta'!$C$4:$C$21)</f>
        <v>72</v>
      </c>
      <c r="Q1115" s="28">
        <f>Q1106*_xlfn.XLOOKUP($L1115,'Balizador da Meta'!$B$4:$B$21,'Balizador da Meta'!$C$4:$C$21)</f>
        <v>72</v>
      </c>
      <c r="R1115" s="28">
        <f>R1106*_xlfn.XLOOKUP($L1115,'Balizador da Meta'!$B$4:$B$21,'Balizador da Meta'!$C$4:$C$21)</f>
        <v>72</v>
      </c>
      <c r="S1115" s="28">
        <f>S1106*_xlfn.XLOOKUP($L1115,'Balizador da Meta'!$B$4:$B$21,'Balizador da Meta'!$C$4:$C$21)</f>
        <v>78</v>
      </c>
      <c r="T1115" s="28">
        <f>T1106*_xlfn.XLOOKUP($L1115,'Balizador da Meta'!$B$4:$B$21,'Balizador da Meta'!$C$4:$C$21)</f>
        <v>78</v>
      </c>
      <c r="U1115" s="28">
        <f>U1106*_xlfn.XLOOKUP($L1115,'Balizador da Meta'!$B$4:$B$21,'Balizador da Meta'!$C$4:$C$21)</f>
        <v>78</v>
      </c>
      <c r="V1115" s="28">
        <f>V1106*_xlfn.XLOOKUP($L1115,'Balizador da Meta'!$B$4:$B$21,'Balizador da Meta'!$C$4:$C$21)</f>
        <v>78</v>
      </c>
      <c r="W1115" s="28">
        <f>W1106*_xlfn.XLOOKUP($L1115,'Balizador da Meta'!$B$4:$B$21,'Balizador da Meta'!$C$4:$C$21)</f>
        <v>78</v>
      </c>
      <c r="X1115" s="28">
        <f>X1106*_xlfn.XLOOKUP($L1115,'Balizador da Meta'!$B$4:$B$21,'Balizador da Meta'!$C$4:$C$21)</f>
        <v>84</v>
      </c>
      <c r="Y1115" s="28">
        <f>Y1106*_xlfn.XLOOKUP($L1115,'Balizador da Meta'!$B$4:$B$21,'Balizador da Meta'!$C$4:$C$21)</f>
        <v>84</v>
      </c>
      <c r="Z1115" s="30">
        <f t="shared" si="267"/>
        <v>918</v>
      </c>
      <c r="AA1115" s="29"/>
      <c r="AB1115" s="31">
        <f>SUMIFS('Historico - FAT'!AK:AK,'Historico - FAT'!$K:$K,Faturamento!$L1115,'Historico - FAT'!$I:$I,Faturamento!$J1115,'Historico - FAT'!$G:$G,Faturamento!$H1115)</f>
        <v>67.341666666666654</v>
      </c>
      <c r="AC1115" s="31">
        <f>SUMIFS('Historico - FAT'!AL:AL,'Historico - FAT'!$K:$K,Faturamento!$L1115,'Historico - FAT'!$I:$I,Faturamento!$J1115,'Historico - FAT'!$G:$G,Faturamento!$H1115)</f>
        <v>84.313333333333333</v>
      </c>
      <c r="AD1115" s="31">
        <f>SUMIFS('Historico - FAT'!AM:AM,'Historico - FAT'!$K:$K,Faturamento!$L1115,'Historico - FAT'!$I:$I,Faturamento!$J1115,'Historico - FAT'!$G:$G,Faturamento!$H1115)</f>
        <v>107.09333333333332</v>
      </c>
      <c r="AE1115" s="27">
        <f>SUMIFS('Historico - FAT'!AN:AN,'Historico - FAT'!$K:$K,Faturamento!$L1115,'Historico - FAT'!$I:$I,Faturamento!$J1115,'Historico - FAT'!$G:$G,Faturamento!$H1115)</f>
        <v>91.975999999999999</v>
      </c>
      <c r="AG1115" s="24">
        <f t="shared" si="258"/>
        <v>0.17876016260162617</v>
      </c>
      <c r="AH1115" s="24">
        <f t="shared" si="259"/>
        <v>-2.821138211382113E-2</v>
      </c>
      <c r="AI1115" s="24">
        <f t="shared" si="260"/>
        <v>-0.30601626016260147</v>
      </c>
    </row>
    <row r="1116" spans="1:35" hidden="1" x14ac:dyDescent="0.3">
      <c r="A1116" s="2" t="str">
        <f t="shared" si="257"/>
        <v>NÃO</v>
      </c>
      <c r="B1116" s="2">
        <v>1000184670</v>
      </c>
      <c r="C1116" s="2" t="s">
        <v>147</v>
      </c>
      <c r="D1116" s="4">
        <v>1000186197</v>
      </c>
      <c r="E1116" s="4" t="s">
        <v>166</v>
      </c>
      <c r="F1116" s="2">
        <v>1000185288</v>
      </c>
      <c r="G1116" s="2" t="s">
        <v>64</v>
      </c>
      <c r="H1116" s="4">
        <v>1000189803</v>
      </c>
      <c r="I1116" s="4" t="s">
        <v>97</v>
      </c>
      <c r="J1116" s="2">
        <v>1000189270</v>
      </c>
      <c r="K1116" s="2" t="s">
        <v>34</v>
      </c>
      <c r="L1116" s="4" t="s">
        <v>29</v>
      </c>
      <c r="M1116" s="4" t="str">
        <f t="shared" si="264"/>
        <v>1000184670100018619710001898031000189270MAIS GRANEL</v>
      </c>
      <c r="N1116" s="28">
        <f>N1106*_xlfn.XLOOKUP($L1116,'Balizador da Meta'!$B$4:$B$21,'Balizador da Meta'!$C$4:$C$21)</f>
        <v>2304</v>
      </c>
      <c r="O1116" s="28">
        <f>O1106*_xlfn.XLOOKUP($L1116,'Balizador da Meta'!$B$4:$B$21,'Balizador da Meta'!$C$4:$C$21)</f>
        <v>2304</v>
      </c>
      <c r="P1116" s="28">
        <f>P1106*_xlfn.XLOOKUP($L1116,'Balizador da Meta'!$B$4:$B$21,'Balizador da Meta'!$C$4:$C$21)</f>
        <v>2304</v>
      </c>
      <c r="Q1116" s="28">
        <f>Q1106*_xlfn.XLOOKUP($L1116,'Balizador da Meta'!$B$4:$B$21,'Balizador da Meta'!$C$4:$C$21)</f>
        <v>2304</v>
      </c>
      <c r="R1116" s="28">
        <f>R1106*_xlfn.XLOOKUP($L1116,'Balizador da Meta'!$B$4:$B$21,'Balizador da Meta'!$C$4:$C$21)</f>
        <v>2304</v>
      </c>
      <c r="S1116" s="28">
        <f>S1106*_xlfn.XLOOKUP($L1116,'Balizador da Meta'!$B$4:$B$21,'Balizador da Meta'!$C$4:$C$21)</f>
        <v>2496</v>
      </c>
      <c r="T1116" s="28">
        <f>T1106*_xlfn.XLOOKUP($L1116,'Balizador da Meta'!$B$4:$B$21,'Balizador da Meta'!$C$4:$C$21)</f>
        <v>2496</v>
      </c>
      <c r="U1116" s="28">
        <f>U1106*_xlfn.XLOOKUP($L1116,'Balizador da Meta'!$B$4:$B$21,'Balizador da Meta'!$C$4:$C$21)</f>
        <v>2496</v>
      </c>
      <c r="V1116" s="28">
        <f>V1106*_xlfn.XLOOKUP($L1116,'Balizador da Meta'!$B$4:$B$21,'Balizador da Meta'!$C$4:$C$21)</f>
        <v>2496</v>
      </c>
      <c r="W1116" s="28">
        <f>W1106*_xlfn.XLOOKUP($L1116,'Balizador da Meta'!$B$4:$B$21,'Balizador da Meta'!$C$4:$C$21)</f>
        <v>2496</v>
      </c>
      <c r="X1116" s="28">
        <f>X1106*_xlfn.XLOOKUP($L1116,'Balizador da Meta'!$B$4:$B$21,'Balizador da Meta'!$C$4:$C$21)</f>
        <v>2688</v>
      </c>
      <c r="Y1116" s="28">
        <f>Y1106*_xlfn.XLOOKUP($L1116,'Balizador da Meta'!$B$4:$B$21,'Balizador da Meta'!$C$4:$C$21)</f>
        <v>2688</v>
      </c>
      <c r="Z1116" s="30">
        <f t="shared" si="267"/>
        <v>29376</v>
      </c>
      <c r="AA1116" s="29"/>
      <c r="AB1116" s="31">
        <f>SUMIFS('Historico - FAT'!AK:AK,'Historico - FAT'!$K:$K,Faturamento!$L1116,'Historico - FAT'!$I:$I,Faturamento!$J1116,'Historico - FAT'!$G:$G,Faturamento!$H1116)</f>
        <v>0</v>
      </c>
      <c r="AC1116" s="31">
        <f>SUMIFS('Historico - FAT'!AL:AL,'Historico - FAT'!$K:$K,Faturamento!$L1116,'Historico - FAT'!$I:$I,Faturamento!$J1116,'Historico - FAT'!$G:$G,Faturamento!$H1116)</f>
        <v>635.0533333333334</v>
      </c>
      <c r="AD1116" s="31">
        <f>SUMIFS('Historico - FAT'!AM:AM,'Historico - FAT'!$K:$K,Faturamento!$L1116,'Historico - FAT'!$I:$I,Faturamento!$J1116,'Historico - FAT'!$G:$G,Faturamento!$H1116)</f>
        <v>735.35666666666657</v>
      </c>
      <c r="AE1116" s="27">
        <f>SUMIFS('Historico - FAT'!AN:AN,'Historico - FAT'!$K:$K,Faturamento!$L1116,'Historico - FAT'!$I:$I,Faturamento!$J1116,'Historico - FAT'!$G:$G,Faturamento!$H1116)</f>
        <v>762.06400000000008</v>
      </c>
      <c r="AG1116" s="24">
        <f t="shared" si="258"/>
        <v>1</v>
      </c>
      <c r="AH1116" s="24">
        <f t="shared" si="259"/>
        <v>0.75798272357723584</v>
      </c>
      <c r="AI1116" s="24">
        <f t="shared" si="260"/>
        <v>0.71975736788617894</v>
      </c>
    </row>
    <row r="1117" spans="1:35" hidden="1" x14ac:dyDescent="0.3">
      <c r="A1117" s="2" t="str">
        <f t="shared" si="257"/>
        <v>NÃO</v>
      </c>
      <c r="B1117" s="2">
        <v>1000184670</v>
      </c>
      <c r="C1117" s="2" t="s">
        <v>147</v>
      </c>
      <c r="D1117" s="4">
        <v>1000186197</v>
      </c>
      <c r="E1117" s="4" t="s">
        <v>166</v>
      </c>
      <c r="F1117" s="2">
        <v>1000185288</v>
      </c>
      <c r="G1117" s="2" t="s">
        <v>64</v>
      </c>
      <c r="H1117" s="4">
        <v>1000189803</v>
      </c>
      <c r="I1117" s="4" t="s">
        <v>97</v>
      </c>
      <c r="J1117" s="2">
        <v>1000189270</v>
      </c>
      <c r="K1117" s="2" t="s">
        <v>34</v>
      </c>
      <c r="L1117" s="4" t="s">
        <v>21</v>
      </c>
      <c r="M1117" s="4" t="str">
        <f t="shared" si="264"/>
        <v>1000184670100018619710001898031000189270NATURATTA</v>
      </c>
      <c r="N1117" s="28">
        <f>N1106*_xlfn.XLOOKUP($L1117,'Balizador da Meta'!$B$4:$B$21,'Balizador da Meta'!$C$4:$C$21)</f>
        <v>360</v>
      </c>
      <c r="O1117" s="28">
        <f>O1106*_xlfn.XLOOKUP($L1117,'Balizador da Meta'!$B$4:$B$21,'Balizador da Meta'!$C$4:$C$21)</f>
        <v>360</v>
      </c>
      <c r="P1117" s="28">
        <f>P1106*_xlfn.XLOOKUP($L1117,'Balizador da Meta'!$B$4:$B$21,'Balizador da Meta'!$C$4:$C$21)</f>
        <v>360</v>
      </c>
      <c r="Q1117" s="28">
        <f>Q1106*_xlfn.XLOOKUP($L1117,'Balizador da Meta'!$B$4:$B$21,'Balizador da Meta'!$C$4:$C$21)</f>
        <v>360</v>
      </c>
      <c r="R1117" s="28">
        <f>R1106*_xlfn.XLOOKUP($L1117,'Balizador da Meta'!$B$4:$B$21,'Balizador da Meta'!$C$4:$C$21)</f>
        <v>360</v>
      </c>
      <c r="S1117" s="28">
        <f>S1106*_xlfn.XLOOKUP($L1117,'Balizador da Meta'!$B$4:$B$21,'Balizador da Meta'!$C$4:$C$21)</f>
        <v>390</v>
      </c>
      <c r="T1117" s="28">
        <f>T1106*_xlfn.XLOOKUP($L1117,'Balizador da Meta'!$B$4:$B$21,'Balizador da Meta'!$C$4:$C$21)</f>
        <v>390</v>
      </c>
      <c r="U1117" s="28">
        <f>U1106*_xlfn.XLOOKUP($L1117,'Balizador da Meta'!$B$4:$B$21,'Balizador da Meta'!$C$4:$C$21)</f>
        <v>390</v>
      </c>
      <c r="V1117" s="28">
        <f>V1106*_xlfn.XLOOKUP($L1117,'Balizador da Meta'!$B$4:$B$21,'Balizador da Meta'!$C$4:$C$21)</f>
        <v>390</v>
      </c>
      <c r="W1117" s="28">
        <f>W1106*_xlfn.XLOOKUP($L1117,'Balizador da Meta'!$B$4:$B$21,'Balizador da Meta'!$C$4:$C$21)</f>
        <v>390</v>
      </c>
      <c r="X1117" s="28">
        <f>X1106*_xlfn.XLOOKUP($L1117,'Balizador da Meta'!$B$4:$B$21,'Balizador da Meta'!$C$4:$C$21)</f>
        <v>420</v>
      </c>
      <c r="Y1117" s="28">
        <f>Y1106*_xlfn.XLOOKUP($L1117,'Balizador da Meta'!$B$4:$B$21,'Balizador da Meta'!$C$4:$C$21)</f>
        <v>420</v>
      </c>
      <c r="Z1117" s="30">
        <f t="shared" si="267"/>
        <v>4590</v>
      </c>
      <c r="AA1117" s="29"/>
      <c r="AB1117" s="31">
        <f>SUMIFS('Historico - FAT'!AK:AK,'Historico - FAT'!$K:$K,Faturamento!$L1117,'Historico - FAT'!$I:$I,Faturamento!$J1117,'Historico - FAT'!$G:$G,Faturamento!$H1117)</f>
        <v>425.95</v>
      </c>
      <c r="AC1117" s="31">
        <f>SUMIFS('Historico - FAT'!AL:AL,'Historico - FAT'!$K:$K,Faturamento!$L1117,'Historico - FAT'!$I:$I,Faturamento!$J1117,'Historico - FAT'!$G:$G,Faturamento!$H1117)</f>
        <v>34.975000000000001</v>
      </c>
      <c r="AD1117" s="31">
        <f>SUMIFS('Historico - FAT'!AM:AM,'Historico - FAT'!$K:$K,Faturamento!$L1117,'Historico - FAT'!$I:$I,Faturamento!$J1117,'Historico - FAT'!$G:$G,Faturamento!$H1117)</f>
        <v>69.95</v>
      </c>
      <c r="AE1117" s="27">
        <f>SUMIFS('Historico - FAT'!AN:AN,'Historico - FAT'!$K:$K,Faturamento!$L1117,'Historico - FAT'!$I:$I,Faturamento!$J1117,'Historico - FAT'!$G:$G,Faturamento!$H1117)</f>
        <v>41.970000000000006</v>
      </c>
      <c r="AG1117" s="24">
        <f t="shared" si="258"/>
        <v>-3.8902439024390216E-2</v>
      </c>
      <c r="AH1117" s="24">
        <f t="shared" si="259"/>
        <v>0.91469512195121949</v>
      </c>
      <c r="AI1117" s="24">
        <f t="shared" si="260"/>
        <v>0.82939024390243909</v>
      </c>
    </row>
    <row r="1118" spans="1:35" hidden="1" x14ac:dyDescent="0.3">
      <c r="A1118" s="2" t="str">
        <f t="shared" si="257"/>
        <v>NÃO</v>
      </c>
      <c r="B1118" s="2">
        <v>1000184670</v>
      </c>
      <c r="C1118" s="2" t="s">
        <v>147</v>
      </c>
      <c r="D1118" s="4">
        <v>1000186197</v>
      </c>
      <c r="E1118" s="4" t="s">
        <v>166</v>
      </c>
      <c r="F1118" s="2">
        <v>1000185288</v>
      </c>
      <c r="G1118" s="2" t="s">
        <v>64</v>
      </c>
      <c r="H1118" s="4">
        <v>1000189803</v>
      </c>
      <c r="I1118" s="4" t="s">
        <v>97</v>
      </c>
      <c r="J1118" s="2">
        <v>1000189270</v>
      </c>
      <c r="K1118" s="2" t="s">
        <v>34</v>
      </c>
      <c r="L1118" s="4" t="s">
        <v>20</v>
      </c>
      <c r="M1118" s="4" t="str">
        <f t="shared" si="264"/>
        <v>1000184670100018619710001898031000189270REEMBALADOS</v>
      </c>
      <c r="N1118" s="28">
        <f>N1106*_xlfn.XLOOKUP($L1118,'Balizador da Meta'!$B$4:$B$21,'Balizador da Meta'!$C$4:$C$21)</f>
        <v>288</v>
      </c>
      <c r="O1118" s="28">
        <f>O1106*_xlfn.XLOOKUP($L1118,'Balizador da Meta'!$B$4:$B$21,'Balizador da Meta'!$C$4:$C$21)</f>
        <v>288</v>
      </c>
      <c r="P1118" s="28">
        <f>P1106*_xlfn.XLOOKUP($L1118,'Balizador da Meta'!$B$4:$B$21,'Balizador da Meta'!$C$4:$C$21)</f>
        <v>288</v>
      </c>
      <c r="Q1118" s="28">
        <f>Q1106*_xlfn.XLOOKUP($L1118,'Balizador da Meta'!$B$4:$B$21,'Balizador da Meta'!$C$4:$C$21)</f>
        <v>288</v>
      </c>
      <c r="R1118" s="28">
        <f>R1106*_xlfn.XLOOKUP($L1118,'Balizador da Meta'!$B$4:$B$21,'Balizador da Meta'!$C$4:$C$21)</f>
        <v>288</v>
      </c>
      <c r="S1118" s="28">
        <f>S1106*_xlfn.XLOOKUP($L1118,'Balizador da Meta'!$B$4:$B$21,'Balizador da Meta'!$C$4:$C$21)</f>
        <v>312</v>
      </c>
      <c r="T1118" s="28">
        <f>T1106*_xlfn.XLOOKUP($L1118,'Balizador da Meta'!$B$4:$B$21,'Balizador da Meta'!$C$4:$C$21)</f>
        <v>312</v>
      </c>
      <c r="U1118" s="28">
        <f>U1106*_xlfn.XLOOKUP($L1118,'Balizador da Meta'!$B$4:$B$21,'Balizador da Meta'!$C$4:$C$21)</f>
        <v>312</v>
      </c>
      <c r="V1118" s="28">
        <f>V1106*_xlfn.XLOOKUP($L1118,'Balizador da Meta'!$B$4:$B$21,'Balizador da Meta'!$C$4:$C$21)</f>
        <v>312</v>
      </c>
      <c r="W1118" s="28">
        <f>W1106*_xlfn.XLOOKUP($L1118,'Balizador da Meta'!$B$4:$B$21,'Balizador da Meta'!$C$4:$C$21)</f>
        <v>312</v>
      </c>
      <c r="X1118" s="28">
        <f>X1106*_xlfn.XLOOKUP($L1118,'Balizador da Meta'!$B$4:$B$21,'Balizador da Meta'!$C$4:$C$21)</f>
        <v>336</v>
      </c>
      <c r="Y1118" s="28">
        <f>Y1106*_xlfn.XLOOKUP($L1118,'Balizador da Meta'!$B$4:$B$21,'Balizador da Meta'!$C$4:$C$21)</f>
        <v>336</v>
      </c>
      <c r="Z1118" s="30">
        <f t="shared" si="267"/>
        <v>3672</v>
      </c>
      <c r="AA1118" s="29"/>
      <c r="AB1118" s="31">
        <f>SUMIFS('Historico - FAT'!AK:AK,'Historico - FAT'!$K:$K,Faturamento!$L1118,'Historico - FAT'!$I:$I,Faturamento!$J1118,'Historico - FAT'!$G:$G,Faturamento!$H1118)</f>
        <v>6.956666666666667</v>
      </c>
      <c r="AC1118" s="31">
        <f>SUMIFS('Historico - FAT'!AL:AL,'Historico - FAT'!$K:$K,Faturamento!$L1118,'Historico - FAT'!$I:$I,Faturamento!$J1118,'Historico - FAT'!$G:$G,Faturamento!$H1118)</f>
        <v>146.14166666666665</v>
      </c>
      <c r="AD1118" s="31">
        <f>SUMIFS('Historico - FAT'!AM:AM,'Historico - FAT'!$K:$K,Faturamento!$L1118,'Historico - FAT'!$I:$I,Faturamento!$J1118,'Historico - FAT'!$G:$G,Faturamento!$H1118)</f>
        <v>292.2833333333333</v>
      </c>
      <c r="AE1118" s="27">
        <f>SUMIFS('Historico - FAT'!AN:AN,'Historico - FAT'!$K:$K,Faturamento!$L1118,'Historico - FAT'!$I:$I,Faturamento!$J1118,'Historico - FAT'!$G:$G,Faturamento!$H1118)</f>
        <v>175.36999999999998</v>
      </c>
      <c r="AG1118" s="24">
        <f t="shared" si="258"/>
        <v>0.97879065040650415</v>
      </c>
      <c r="AH1118" s="24">
        <f t="shared" si="259"/>
        <v>0.55444613821138211</v>
      </c>
      <c r="AI1118" s="24">
        <f t="shared" si="260"/>
        <v>0.10889227642276432</v>
      </c>
    </row>
    <row r="1119" spans="1:35" hidden="1" x14ac:dyDescent="0.3">
      <c r="A1119" s="2" t="str">
        <f t="shared" si="257"/>
        <v>NÃO</v>
      </c>
      <c r="B1119" s="2">
        <v>1000184670</v>
      </c>
      <c r="C1119" s="2" t="s">
        <v>147</v>
      </c>
      <c r="D1119" s="4">
        <v>1000186197</v>
      </c>
      <c r="E1119" s="4" t="s">
        <v>166</v>
      </c>
      <c r="F1119" s="2">
        <v>1000185288</v>
      </c>
      <c r="G1119" s="2" t="s">
        <v>64</v>
      </c>
      <c r="H1119" s="4">
        <v>1000189803</v>
      </c>
      <c r="I1119" s="4" t="s">
        <v>97</v>
      </c>
      <c r="J1119" s="2">
        <v>1000189270</v>
      </c>
      <c r="K1119" s="2" t="s">
        <v>34</v>
      </c>
      <c r="L1119" s="4" t="s">
        <v>22</v>
      </c>
      <c r="M1119" s="4" t="str">
        <f t="shared" si="264"/>
        <v>1000184670100018619710001898031000189270S GLUTEN</v>
      </c>
      <c r="N1119" s="28">
        <f>N1106*_xlfn.XLOOKUP($L1119,'Balizador da Meta'!$B$4:$B$21,'Balizador da Meta'!$C$4:$C$21)</f>
        <v>288</v>
      </c>
      <c r="O1119" s="28">
        <f>O1106*_xlfn.XLOOKUP($L1119,'Balizador da Meta'!$B$4:$B$21,'Balizador da Meta'!$C$4:$C$21)</f>
        <v>288</v>
      </c>
      <c r="P1119" s="28">
        <f>P1106*_xlfn.XLOOKUP($L1119,'Balizador da Meta'!$B$4:$B$21,'Balizador da Meta'!$C$4:$C$21)</f>
        <v>288</v>
      </c>
      <c r="Q1119" s="28">
        <f>Q1106*_xlfn.XLOOKUP($L1119,'Balizador da Meta'!$B$4:$B$21,'Balizador da Meta'!$C$4:$C$21)</f>
        <v>288</v>
      </c>
      <c r="R1119" s="28">
        <f>R1106*_xlfn.XLOOKUP($L1119,'Balizador da Meta'!$B$4:$B$21,'Balizador da Meta'!$C$4:$C$21)</f>
        <v>288</v>
      </c>
      <c r="S1119" s="28">
        <f>S1106*_xlfn.XLOOKUP($L1119,'Balizador da Meta'!$B$4:$B$21,'Balizador da Meta'!$C$4:$C$21)</f>
        <v>312</v>
      </c>
      <c r="T1119" s="28">
        <f>T1106*_xlfn.XLOOKUP($L1119,'Balizador da Meta'!$B$4:$B$21,'Balizador da Meta'!$C$4:$C$21)</f>
        <v>312</v>
      </c>
      <c r="U1119" s="28">
        <f>U1106*_xlfn.XLOOKUP($L1119,'Balizador da Meta'!$B$4:$B$21,'Balizador da Meta'!$C$4:$C$21)</f>
        <v>312</v>
      </c>
      <c r="V1119" s="28">
        <f>V1106*_xlfn.XLOOKUP($L1119,'Balizador da Meta'!$B$4:$B$21,'Balizador da Meta'!$C$4:$C$21)</f>
        <v>312</v>
      </c>
      <c r="W1119" s="28">
        <f>W1106*_xlfn.XLOOKUP($L1119,'Balizador da Meta'!$B$4:$B$21,'Balizador da Meta'!$C$4:$C$21)</f>
        <v>312</v>
      </c>
      <c r="X1119" s="28">
        <f>X1106*_xlfn.XLOOKUP($L1119,'Balizador da Meta'!$B$4:$B$21,'Balizador da Meta'!$C$4:$C$21)</f>
        <v>336</v>
      </c>
      <c r="Y1119" s="28">
        <f>Y1106*_xlfn.XLOOKUP($L1119,'Balizador da Meta'!$B$4:$B$21,'Balizador da Meta'!$C$4:$C$21)</f>
        <v>336</v>
      </c>
      <c r="Z1119" s="30">
        <f t="shared" si="267"/>
        <v>3672</v>
      </c>
      <c r="AA1119" s="29"/>
      <c r="AB1119" s="31">
        <f>SUMIFS('Historico - FAT'!AK:AK,'Historico - FAT'!$K:$K,Faturamento!$L1119,'Historico - FAT'!$I:$I,Faturamento!$J1119,'Historico - FAT'!$G:$G,Faturamento!$H1119)</f>
        <v>259.11250000000001</v>
      </c>
      <c r="AC1119" s="31">
        <f>SUMIFS('Historico - FAT'!AL:AL,'Historico - FAT'!$K:$K,Faturamento!$L1119,'Historico - FAT'!$I:$I,Faturamento!$J1119,'Historico - FAT'!$G:$G,Faturamento!$H1119)</f>
        <v>86.130833333333342</v>
      </c>
      <c r="AD1119" s="31">
        <f>SUMIFS('Historico - FAT'!AM:AM,'Historico - FAT'!$K:$K,Faturamento!$L1119,'Historico - FAT'!$I:$I,Faturamento!$J1119,'Historico - FAT'!$G:$G,Faturamento!$H1119)</f>
        <v>172.26166666666668</v>
      </c>
      <c r="AE1119" s="27">
        <f>SUMIFS('Historico - FAT'!AN:AN,'Historico - FAT'!$K:$K,Faturamento!$L1119,'Historico - FAT'!$I:$I,Faturamento!$J1119,'Historico - FAT'!$G:$G,Faturamento!$H1119)</f>
        <v>103.35700000000001</v>
      </c>
      <c r="AG1119" s="24">
        <f t="shared" si="258"/>
        <v>0.21002286585365851</v>
      </c>
      <c r="AH1119" s="24">
        <f t="shared" si="259"/>
        <v>0.73740599593495937</v>
      </c>
      <c r="AI1119" s="24">
        <f t="shared" si="260"/>
        <v>0.47481199186991863</v>
      </c>
    </row>
    <row r="1120" spans="1:35" hidden="1" x14ac:dyDescent="0.3">
      <c r="A1120" s="2" t="str">
        <f t="shared" si="257"/>
        <v>NÃO</v>
      </c>
      <c r="B1120" s="2">
        <v>1000184670</v>
      </c>
      <c r="C1120" s="2" t="s">
        <v>147</v>
      </c>
      <c r="D1120" s="4">
        <v>1000186197</v>
      </c>
      <c r="E1120" s="4" t="s">
        <v>166</v>
      </c>
      <c r="F1120" s="2">
        <v>1000185288</v>
      </c>
      <c r="G1120" s="2" t="s">
        <v>64</v>
      </c>
      <c r="H1120" s="4">
        <v>1000189803</v>
      </c>
      <c r="I1120" s="4" t="s">
        <v>97</v>
      </c>
      <c r="J1120" s="2">
        <v>1000189270</v>
      </c>
      <c r="K1120" s="2" t="s">
        <v>34</v>
      </c>
      <c r="L1120" s="4" t="s">
        <v>23</v>
      </c>
      <c r="M1120" s="4" t="str">
        <f t="shared" si="264"/>
        <v>1000184670100018619710001898031000189270SABORES DO CAMPO</v>
      </c>
      <c r="N1120" s="28">
        <f>N1106*_xlfn.XLOOKUP($L1120,'Balizador da Meta'!$B$4:$B$21,'Balizador da Meta'!$C$4:$C$21)</f>
        <v>0</v>
      </c>
      <c r="O1120" s="28">
        <f>O1106*_xlfn.XLOOKUP($L1120,'Balizador da Meta'!$B$4:$B$21,'Balizador da Meta'!$C$4:$C$21)</f>
        <v>0</v>
      </c>
      <c r="P1120" s="28">
        <f>P1106*_xlfn.XLOOKUP($L1120,'Balizador da Meta'!$B$4:$B$21,'Balizador da Meta'!$C$4:$C$21)</f>
        <v>0</v>
      </c>
      <c r="Q1120" s="28">
        <f>Q1106*_xlfn.XLOOKUP($L1120,'Balizador da Meta'!$B$4:$B$21,'Balizador da Meta'!$C$4:$C$21)</f>
        <v>0</v>
      </c>
      <c r="R1120" s="28">
        <f>R1106*_xlfn.XLOOKUP($L1120,'Balizador da Meta'!$B$4:$B$21,'Balizador da Meta'!$C$4:$C$21)</f>
        <v>0</v>
      </c>
      <c r="S1120" s="28">
        <f>S1106*_xlfn.XLOOKUP($L1120,'Balizador da Meta'!$B$4:$B$21,'Balizador da Meta'!$C$4:$C$21)</f>
        <v>0</v>
      </c>
      <c r="T1120" s="28">
        <f>T1106*_xlfn.XLOOKUP($L1120,'Balizador da Meta'!$B$4:$B$21,'Balizador da Meta'!$C$4:$C$21)</f>
        <v>0</v>
      </c>
      <c r="U1120" s="28">
        <f>U1106*_xlfn.XLOOKUP($L1120,'Balizador da Meta'!$B$4:$B$21,'Balizador da Meta'!$C$4:$C$21)</f>
        <v>0</v>
      </c>
      <c r="V1120" s="28">
        <f>V1106*_xlfn.XLOOKUP($L1120,'Balizador da Meta'!$B$4:$B$21,'Balizador da Meta'!$C$4:$C$21)</f>
        <v>0</v>
      </c>
      <c r="W1120" s="28">
        <f>W1106*_xlfn.XLOOKUP($L1120,'Balizador da Meta'!$B$4:$B$21,'Balizador da Meta'!$C$4:$C$21)</f>
        <v>0</v>
      </c>
      <c r="X1120" s="28">
        <f>X1106*_xlfn.XLOOKUP($L1120,'Balizador da Meta'!$B$4:$B$21,'Balizador da Meta'!$C$4:$C$21)</f>
        <v>0</v>
      </c>
      <c r="Y1120" s="28">
        <f>Y1106*_xlfn.XLOOKUP($L1120,'Balizador da Meta'!$B$4:$B$21,'Balizador da Meta'!$C$4:$C$21)</f>
        <v>0</v>
      </c>
      <c r="Z1120" s="30">
        <f t="shared" si="267"/>
        <v>0</v>
      </c>
      <c r="AA1120" s="29"/>
      <c r="AB1120" s="31">
        <f>SUMIFS('Historico - FAT'!AK:AK,'Historico - FAT'!$K:$K,Faturamento!$L1120,'Historico - FAT'!$I:$I,Faturamento!$J1120,'Historico - FAT'!$G:$G,Faturamento!$H1120)</f>
        <v>32.255000000000003</v>
      </c>
      <c r="AC1120" s="31">
        <f>SUMIFS('Historico - FAT'!AL:AL,'Historico - FAT'!$K:$K,Faturamento!$L1120,'Historico - FAT'!$I:$I,Faturamento!$J1120,'Historico - FAT'!$G:$G,Faturamento!$H1120)</f>
        <v>7.1258333333333335</v>
      </c>
      <c r="AD1120" s="31">
        <f>SUMIFS('Historico - FAT'!AM:AM,'Historico - FAT'!$K:$K,Faturamento!$L1120,'Historico - FAT'!$I:$I,Faturamento!$J1120,'Historico - FAT'!$G:$G,Faturamento!$H1120)</f>
        <v>14.251666666666667</v>
      </c>
      <c r="AE1120" s="27">
        <f>SUMIFS('Historico - FAT'!AN:AN,'Historico - FAT'!$K:$K,Faturamento!$L1120,'Historico - FAT'!$I:$I,Faturamento!$J1120,'Historico - FAT'!$G:$G,Faturamento!$H1120)</f>
        <v>8.5510000000000002</v>
      </c>
      <c r="AG1120" s="24" t="str">
        <f t="shared" si="258"/>
        <v/>
      </c>
      <c r="AH1120" s="24" t="str">
        <f t="shared" si="259"/>
        <v/>
      </c>
      <c r="AI1120" s="24" t="str">
        <f t="shared" si="260"/>
        <v/>
      </c>
    </row>
    <row r="1121" spans="1:35" hidden="1" x14ac:dyDescent="0.3">
      <c r="A1121" s="2" t="str">
        <f t="shared" si="257"/>
        <v>NÃO</v>
      </c>
      <c r="B1121" s="2">
        <v>1000184670</v>
      </c>
      <c r="C1121" s="2" t="s">
        <v>147</v>
      </c>
      <c r="D1121" s="4">
        <v>1000186197</v>
      </c>
      <c r="E1121" s="4" t="s">
        <v>166</v>
      </c>
      <c r="F1121" s="2">
        <v>1000185288</v>
      </c>
      <c r="G1121" s="2" t="s">
        <v>64</v>
      </c>
      <c r="H1121" s="4">
        <v>1000189803</v>
      </c>
      <c r="I1121" s="4" t="s">
        <v>97</v>
      </c>
      <c r="J1121" s="2">
        <v>1000189270</v>
      </c>
      <c r="K1121" s="2" t="s">
        <v>34</v>
      </c>
      <c r="L1121" s="4" t="s">
        <v>28</v>
      </c>
      <c r="M1121" s="4" t="str">
        <f t="shared" si="264"/>
        <v>1000184670100018619710001898031000189270SAL</v>
      </c>
      <c r="N1121" s="28">
        <f>N1106*_xlfn.XLOOKUP($L1121,'Balizador da Meta'!$B$4:$B$21,'Balizador da Meta'!$C$4:$C$21)</f>
        <v>144</v>
      </c>
      <c r="O1121" s="28">
        <f>O1106*_xlfn.XLOOKUP($L1121,'Balizador da Meta'!$B$4:$B$21,'Balizador da Meta'!$C$4:$C$21)</f>
        <v>144</v>
      </c>
      <c r="P1121" s="28">
        <f>P1106*_xlfn.XLOOKUP($L1121,'Balizador da Meta'!$B$4:$B$21,'Balizador da Meta'!$C$4:$C$21)</f>
        <v>144</v>
      </c>
      <c r="Q1121" s="28">
        <f>Q1106*_xlfn.XLOOKUP($L1121,'Balizador da Meta'!$B$4:$B$21,'Balizador da Meta'!$C$4:$C$21)</f>
        <v>144</v>
      </c>
      <c r="R1121" s="28">
        <f>R1106*_xlfn.XLOOKUP($L1121,'Balizador da Meta'!$B$4:$B$21,'Balizador da Meta'!$C$4:$C$21)</f>
        <v>144</v>
      </c>
      <c r="S1121" s="28">
        <f>S1106*_xlfn.XLOOKUP($L1121,'Balizador da Meta'!$B$4:$B$21,'Balizador da Meta'!$C$4:$C$21)</f>
        <v>156</v>
      </c>
      <c r="T1121" s="28">
        <f>T1106*_xlfn.XLOOKUP($L1121,'Balizador da Meta'!$B$4:$B$21,'Balizador da Meta'!$C$4:$C$21)</f>
        <v>156</v>
      </c>
      <c r="U1121" s="28">
        <f>U1106*_xlfn.XLOOKUP($L1121,'Balizador da Meta'!$B$4:$B$21,'Balizador da Meta'!$C$4:$C$21)</f>
        <v>156</v>
      </c>
      <c r="V1121" s="28">
        <f>V1106*_xlfn.XLOOKUP($L1121,'Balizador da Meta'!$B$4:$B$21,'Balizador da Meta'!$C$4:$C$21)</f>
        <v>156</v>
      </c>
      <c r="W1121" s="28">
        <f>W1106*_xlfn.XLOOKUP($L1121,'Balizador da Meta'!$B$4:$B$21,'Balizador da Meta'!$C$4:$C$21)</f>
        <v>156</v>
      </c>
      <c r="X1121" s="28">
        <f>X1106*_xlfn.XLOOKUP($L1121,'Balizador da Meta'!$B$4:$B$21,'Balizador da Meta'!$C$4:$C$21)</f>
        <v>168</v>
      </c>
      <c r="Y1121" s="28">
        <f>Y1106*_xlfn.XLOOKUP($L1121,'Balizador da Meta'!$B$4:$B$21,'Balizador da Meta'!$C$4:$C$21)</f>
        <v>168</v>
      </c>
      <c r="Z1121" s="30">
        <f t="shared" si="267"/>
        <v>1836</v>
      </c>
      <c r="AA1121" s="29"/>
      <c r="AB1121" s="31">
        <f>SUMIFS('Historico - FAT'!AK:AK,'Historico - FAT'!$K:$K,Faturamento!$L1121,'Historico - FAT'!$I:$I,Faturamento!$J1121,'Historico - FAT'!$G:$G,Faturamento!$H1121)</f>
        <v>0</v>
      </c>
      <c r="AC1121" s="31">
        <f>SUMIFS('Historico - FAT'!AL:AL,'Historico - FAT'!$K:$K,Faturamento!$L1121,'Historico - FAT'!$I:$I,Faturamento!$J1121,'Historico - FAT'!$G:$G,Faturamento!$H1121)</f>
        <v>0.86166666666666669</v>
      </c>
      <c r="AD1121" s="31">
        <f>SUMIFS('Historico - FAT'!AM:AM,'Historico - FAT'!$K:$K,Faturamento!$L1121,'Historico - FAT'!$I:$I,Faturamento!$J1121,'Historico - FAT'!$G:$G,Faturamento!$H1121)</f>
        <v>1.7233333333333334</v>
      </c>
      <c r="AE1121" s="27">
        <f>SUMIFS('Historico - FAT'!AN:AN,'Historico - FAT'!$K:$K,Faturamento!$L1121,'Historico - FAT'!$I:$I,Faturamento!$J1121,'Historico - FAT'!$G:$G,Faturamento!$H1121)</f>
        <v>1.034</v>
      </c>
      <c r="AG1121" s="24">
        <f t="shared" si="258"/>
        <v>1</v>
      </c>
      <c r="AH1121" s="24">
        <f t="shared" si="259"/>
        <v>0.99474593495934949</v>
      </c>
      <c r="AI1121" s="24">
        <f t="shared" si="260"/>
        <v>0.9894918699186992</v>
      </c>
    </row>
    <row r="1122" spans="1:35" hidden="1" x14ac:dyDescent="0.3">
      <c r="A1122" s="2" t="str">
        <f t="shared" si="257"/>
        <v>NÃO</v>
      </c>
      <c r="B1122" s="2">
        <v>1000184670</v>
      </c>
      <c r="C1122" s="2" t="s">
        <v>147</v>
      </c>
      <c r="D1122" s="4">
        <v>1000186197</v>
      </c>
      <c r="E1122" s="4" t="s">
        <v>166</v>
      </c>
      <c r="F1122" s="2">
        <v>1000185288</v>
      </c>
      <c r="G1122" s="2" t="s">
        <v>64</v>
      </c>
      <c r="H1122" s="4">
        <v>1000189803</v>
      </c>
      <c r="I1122" s="4" t="s">
        <v>97</v>
      </c>
      <c r="J1122" s="2">
        <v>1000189270</v>
      </c>
      <c r="K1122" s="2" t="s">
        <v>34</v>
      </c>
      <c r="L1122" s="4" t="s">
        <v>26</v>
      </c>
      <c r="M1122" s="4" t="str">
        <f t="shared" si="264"/>
        <v>1000184670100018619710001898031000189270SOULPRO</v>
      </c>
      <c r="N1122" s="28">
        <f>N1106*_xlfn.XLOOKUP($L1122,'Balizador da Meta'!$B$4:$B$21,'Balizador da Meta'!$C$4:$C$21)</f>
        <v>432</v>
      </c>
      <c r="O1122" s="28">
        <f>O1106*_xlfn.XLOOKUP($L1122,'Balizador da Meta'!$B$4:$B$21,'Balizador da Meta'!$C$4:$C$21)</f>
        <v>432</v>
      </c>
      <c r="P1122" s="28">
        <f>P1106*_xlfn.XLOOKUP($L1122,'Balizador da Meta'!$B$4:$B$21,'Balizador da Meta'!$C$4:$C$21)</f>
        <v>432</v>
      </c>
      <c r="Q1122" s="28">
        <f>Q1106*_xlfn.XLOOKUP($L1122,'Balizador da Meta'!$B$4:$B$21,'Balizador da Meta'!$C$4:$C$21)</f>
        <v>432</v>
      </c>
      <c r="R1122" s="28">
        <f>R1106*_xlfn.XLOOKUP($L1122,'Balizador da Meta'!$B$4:$B$21,'Balizador da Meta'!$C$4:$C$21)</f>
        <v>432</v>
      </c>
      <c r="S1122" s="28">
        <f>S1106*_xlfn.XLOOKUP($L1122,'Balizador da Meta'!$B$4:$B$21,'Balizador da Meta'!$C$4:$C$21)</f>
        <v>468</v>
      </c>
      <c r="T1122" s="28">
        <f>T1106*_xlfn.XLOOKUP($L1122,'Balizador da Meta'!$B$4:$B$21,'Balizador da Meta'!$C$4:$C$21)</f>
        <v>468</v>
      </c>
      <c r="U1122" s="28">
        <f>U1106*_xlfn.XLOOKUP($L1122,'Balizador da Meta'!$B$4:$B$21,'Balizador da Meta'!$C$4:$C$21)</f>
        <v>468</v>
      </c>
      <c r="V1122" s="28">
        <f>V1106*_xlfn.XLOOKUP($L1122,'Balizador da Meta'!$B$4:$B$21,'Balizador da Meta'!$C$4:$C$21)</f>
        <v>468</v>
      </c>
      <c r="W1122" s="28">
        <f>W1106*_xlfn.XLOOKUP($L1122,'Balizador da Meta'!$B$4:$B$21,'Balizador da Meta'!$C$4:$C$21)</f>
        <v>468</v>
      </c>
      <c r="X1122" s="28">
        <f>X1106*_xlfn.XLOOKUP($L1122,'Balizador da Meta'!$B$4:$B$21,'Balizador da Meta'!$C$4:$C$21)</f>
        <v>504</v>
      </c>
      <c r="Y1122" s="28">
        <f>Y1106*_xlfn.XLOOKUP($L1122,'Balizador da Meta'!$B$4:$B$21,'Balizador da Meta'!$C$4:$C$21)</f>
        <v>504</v>
      </c>
      <c r="Z1122" s="30">
        <f t="shared" si="267"/>
        <v>5508</v>
      </c>
      <c r="AA1122" s="29"/>
      <c r="AB1122" s="31">
        <f>SUMIFS('Historico - FAT'!AK:AK,'Historico - FAT'!$K:$K,Faturamento!$L1122,'Historico - FAT'!$I:$I,Faturamento!$J1122,'Historico - FAT'!$G:$G,Faturamento!$H1122)</f>
        <v>100</v>
      </c>
      <c r="AC1122" s="31">
        <f>SUMIFS('Historico - FAT'!AL:AL,'Historico - FAT'!$K:$K,Faturamento!$L1122,'Historico - FAT'!$I:$I,Faturamento!$J1122,'Historico - FAT'!$G:$G,Faturamento!$H1122)</f>
        <v>174.80833333333331</v>
      </c>
      <c r="AD1122" s="31">
        <f>SUMIFS('Historico - FAT'!AM:AM,'Historico - FAT'!$K:$K,Faturamento!$L1122,'Historico - FAT'!$I:$I,Faturamento!$J1122,'Historico - FAT'!$G:$G,Faturamento!$H1122)</f>
        <v>176.4</v>
      </c>
      <c r="AE1122" s="27">
        <f>SUMIFS('Historico - FAT'!AN:AN,'Historico - FAT'!$K:$K,Faturamento!$L1122,'Historico - FAT'!$I:$I,Faturamento!$J1122,'Historico - FAT'!$G:$G,Faturamento!$H1122)</f>
        <v>209.76999999999998</v>
      </c>
      <c r="AG1122" s="24">
        <f t="shared" si="258"/>
        <v>0.7967479674796748</v>
      </c>
      <c r="AH1122" s="24">
        <f t="shared" si="259"/>
        <v>0.64469850948509499</v>
      </c>
      <c r="AI1122" s="24">
        <f t="shared" si="260"/>
        <v>0.64146341463414636</v>
      </c>
    </row>
    <row r="1123" spans="1:35" hidden="1" x14ac:dyDescent="0.3">
      <c r="A1123" s="2" t="str">
        <f t="shared" si="257"/>
        <v>NÃO</v>
      </c>
      <c r="B1123" s="2">
        <v>1000184670</v>
      </c>
      <c r="C1123" s="2" t="s">
        <v>147</v>
      </c>
      <c r="D1123" s="4">
        <v>1000186197</v>
      </c>
      <c r="E1123" s="4" t="s">
        <v>166</v>
      </c>
      <c r="F1123" s="2">
        <v>1000185288</v>
      </c>
      <c r="G1123" s="2" t="s">
        <v>64</v>
      </c>
      <c r="H1123" s="4">
        <v>1000189803</v>
      </c>
      <c r="I1123" s="4" t="s">
        <v>97</v>
      </c>
      <c r="J1123" s="2">
        <v>1000189270</v>
      </c>
      <c r="K1123" s="2" t="s">
        <v>34</v>
      </c>
      <c r="L1123" s="4" t="s">
        <v>27</v>
      </c>
      <c r="M1123" s="4" t="str">
        <f t="shared" si="264"/>
        <v>1000184670100018619710001898031000189270TAMARA</v>
      </c>
      <c r="N1123" s="28">
        <f>N1106*_xlfn.XLOOKUP($L1123,'Balizador da Meta'!$B$4:$B$21,'Balizador da Meta'!$C$4:$C$21)</f>
        <v>576</v>
      </c>
      <c r="O1123" s="28">
        <f>O1106*_xlfn.XLOOKUP($L1123,'Balizador da Meta'!$B$4:$B$21,'Balizador da Meta'!$C$4:$C$21)</f>
        <v>576</v>
      </c>
      <c r="P1123" s="28">
        <f>P1106*_xlfn.XLOOKUP($L1123,'Balizador da Meta'!$B$4:$B$21,'Balizador da Meta'!$C$4:$C$21)</f>
        <v>576</v>
      </c>
      <c r="Q1123" s="28">
        <f>Q1106*_xlfn.XLOOKUP($L1123,'Balizador da Meta'!$B$4:$B$21,'Balizador da Meta'!$C$4:$C$21)</f>
        <v>576</v>
      </c>
      <c r="R1123" s="28">
        <f>R1106*_xlfn.XLOOKUP($L1123,'Balizador da Meta'!$B$4:$B$21,'Balizador da Meta'!$C$4:$C$21)</f>
        <v>576</v>
      </c>
      <c r="S1123" s="28">
        <f>S1106*_xlfn.XLOOKUP($L1123,'Balizador da Meta'!$B$4:$B$21,'Balizador da Meta'!$C$4:$C$21)</f>
        <v>624</v>
      </c>
      <c r="T1123" s="28">
        <f>T1106*_xlfn.XLOOKUP($L1123,'Balizador da Meta'!$B$4:$B$21,'Balizador da Meta'!$C$4:$C$21)</f>
        <v>624</v>
      </c>
      <c r="U1123" s="28">
        <f>U1106*_xlfn.XLOOKUP($L1123,'Balizador da Meta'!$B$4:$B$21,'Balizador da Meta'!$C$4:$C$21)</f>
        <v>624</v>
      </c>
      <c r="V1123" s="28">
        <f>V1106*_xlfn.XLOOKUP($L1123,'Balizador da Meta'!$B$4:$B$21,'Balizador da Meta'!$C$4:$C$21)</f>
        <v>624</v>
      </c>
      <c r="W1123" s="28">
        <f>W1106*_xlfn.XLOOKUP($L1123,'Balizador da Meta'!$B$4:$B$21,'Balizador da Meta'!$C$4:$C$21)</f>
        <v>624</v>
      </c>
      <c r="X1123" s="28">
        <f>X1106*_xlfn.XLOOKUP($L1123,'Balizador da Meta'!$B$4:$B$21,'Balizador da Meta'!$C$4:$C$21)</f>
        <v>672</v>
      </c>
      <c r="Y1123" s="28">
        <f>Y1106*_xlfn.XLOOKUP($L1123,'Balizador da Meta'!$B$4:$B$21,'Balizador da Meta'!$C$4:$C$21)</f>
        <v>672</v>
      </c>
      <c r="Z1123" s="30">
        <f t="shared" si="267"/>
        <v>7344</v>
      </c>
      <c r="AA1123" s="29"/>
      <c r="AB1123" s="31">
        <f>SUMIFS('Historico - FAT'!AK:AK,'Historico - FAT'!$K:$K,Faturamento!$L1123,'Historico - FAT'!$I:$I,Faturamento!$J1123,'Historico - FAT'!$G:$G,Faturamento!$H1123)</f>
        <v>0</v>
      </c>
      <c r="AC1123" s="31">
        <f>SUMIFS('Historico - FAT'!AL:AL,'Historico - FAT'!$K:$K,Faturamento!$L1123,'Historico - FAT'!$I:$I,Faturamento!$J1123,'Historico - FAT'!$G:$G,Faturamento!$H1123)</f>
        <v>0</v>
      </c>
      <c r="AD1123" s="31">
        <f>SUMIFS('Historico - FAT'!AM:AM,'Historico - FAT'!$K:$K,Faturamento!$L1123,'Historico - FAT'!$I:$I,Faturamento!$J1123,'Historico - FAT'!$G:$G,Faturamento!$H1123)</f>
        <v>0</v>
      </c>
      <c r="AE1123" s="27">
        <f>SUMIFS('Historico - FAT'!AN:AN,'Historico - FAT'!$K:$K,Faturamento!$L1123,'Historico - FAT'!$I:$I,Faturamento!$J1123,'Historico - FAT'!$G:$G,Faturamento!$H1123)</f>
        <v>0</v>
      </c>
      <c r="AG1123" s="24">
        <f t="shared" si="258"/>
        <v>1</v>
      </c>
      <c r="AH1123" s="24">
        <f t="shared" si="259"/>
        <v>1</v>
      </c>
      <c r="AI1123" s="24">
        <f t="shared" si="260"/>
        <v>1</v>
      </c>
    </row>
    <row r="1124" spans="1:35" hidden="1" x14ac:dyDescent="0.3">
      <c r="A1124" s="2" t="str">
        <f t="shared" si="257"/>
        <v>NÃO</v>
      </c>
      <c r="B1124" s="2">
        <v>1000184670</v>
      </c>
      <c r="C1124" s="2" t="s">
        <v>147</v>
      </c>
      <c r="D1124" s="4">
        <v>1000186197</v>
      </c>
      <c r="E1124" s="4" t="s">
        <v>166</v>
      </c>
      <c r="F1124" s="2">
        <v>1000185288</v>
      </c>
      <c r="G1124" s="2" t="s">
        <v>64</v>
      </c>
      <c r="H1124" s="4">
        <v>1000189803</v>
      </c>
      <c r="I1124" s="4" t="s">
        <v>97</v>
      </c>
      <c r="J1124" s="2">
        <v>1000189270</v>
      </c>
      <c r="K1124" s="2" t="s">
        <v>34</v>
      </c>
      <c r="L1124" s="4" t="s">
        <v>25</v>
      </c>
      <c r="M1124" s="4" t="str">
        <f t="shared" si="264"/>
        <v>1000184670100018619710001898031000189270VICCIO</v>
      </c>
      <c r="N1124" s="28">
        <f>N1106*_xlfn.XLOOKUP($L1124,'Balizador da Meta'!$B$4:$B$21,'Balizador da Meta'!$C$4:$C$21)</f>
        <v>216</v>
      </c>
      <c r="O1124" s="28">
        <f>O1106*_xlfn.XLOOKUP($L1124,'Balizador da Meta'!$B$4:$B$21,'Balizador da Meta'!$C$4:$C$21)</f>
        <v>216</v>
      </c>
      <c r="P1124" s="28">
        <f>P1106*_xlfn.XLOOKUP($L1124,'Balizador da Meta'!$B$4:$B$21,'Balizador da Meta'!$C$4:$C$21)</f>
        <v>216</v>
      </c>
      <c r="Q1124" s="28">
        <f>Q1106*_xlfn.XLOOKUP($L1124,'Balizador da Meta'!$B$4:$B$21,'Balizador da Meta'!$C$4:$C$21)</f>
        <v>216</v>
      </c>
      <c r="R1124" s="28">
        <f>R1106*_xlfn.XLOOKUP($L1124,'Balizador da Meta'!$B$4:$B$21,'Balizador da Meta'!$C$4:$C$21)</f>
        <v>216</v>
      </c>
      <c r="S1124" s="28">
        <f>S1106*_xlfn.XLOOKUP($L1124,'Balizador da Meta'!$B$4:$B$21,'Balizador da Meta'!$C$4:$C$21)</f>
        <v>234</v>
      </c>
      <c r="T1124" s="28">
        <f>T1106*_xlfn.XLOOKUP($L1124,'Balizador da Meta'!$B$4:$B$21,'Balizador da Meta'!$C$4:$C$21)</f>
        <v>234</v>
      </c>
      <c r="U1124" s="28">
        <f>U1106*_xlfn.XLOOKUP($L1124,'Balizador da Meta'!$B$4:$B$21,'Balizador da Meta'!$C$4:$C$21)</f>
        <v>234</v>
      </c>
      <c r="V1124" s="28">
        <f>V1106*_xlfn.XLOOKUP($L1124,'Balizador da Meta'!$B$4:$B$21,'Balizador da Meta'!$C$4:$C$21)</f>
        <v>234</v>
      </c>
      <c r="W1124" s="28">
        <f>W1106*_xlfn.XLOOKUP($L1124,'Balizador da Meta'!$B$4:$B$21,'Balizador da Meta'!$C$4:$C$21)</f>
        <v>234</v>
      </c>
      <c r="X1124" s="28">
        <f>X1106*_xlfn.XLOOKUP($L1124,'Balizador da Meta'!$B$4:$B$21,'Balizador da Meta'!$C$4:$C$21)</f>
        <v>252</v>
      </c>
      <c r="Y1124" s="28">
        <f>Y1106*_xlfn.XLOOKUP($L1124,'Balizador da Meta'!$B$4:$B$21,'Balizador da Meta'!$C$4:$C$21)</f>
        <v>252</v>
      </c>
      <c r="Z1124" s="30">
        <f t="shared" si="267"/>
        <v>2754</v>
      </c>
      <c r="AA1124" s="29"/>
      <c r="AB1124" s="31">
        <f>SUMIFS('Historico - FAT'!AK:AK,'Historico - FAT'!$K:$K,Faturamento!$L1124,'Historico - FAT'!$I:$I,Faturamento!$J1124,'Historico - FAT'!$G:$G,Faturamento!$H1124)</f>
        <v>42.8125</v>
      </c>
      <c r="AC1124" s="31">
        <f>SUMIFS('Historico - FAT'!AL:AL,'Historico - FAT'!$K:$K,Faturamento!$L1124,'Historico - FAT'!$I:$I,Faturamento!$J1124,'Historico - FAT'!$G:$G,Faturamento!$H1124)</f>
        <v>581.35500000000002</v>
      </c>
      <c r="AD1124" s="31">
        <f>SUMIFS('Historico - FAT'!AM:AM,'Historico - FAT'!$K:$K,Faturamento!$L1124,'Historico - FAT'!$I:$I,Faturamento!$J1124,'Historico - FAT'!$G:$G,Faturamento!$H1124)</f>
        <v>1054.9849999999999</v>
      </c>
      <c r="AE1124" s="27">
        <f>SUMIFS('Historico - FAT'!AN:AN,'Historico - FAT'!$K:$K,Faturamento!$L1124,'Historico - FAT'!$I:$I,Faturamento!$J1124,'Historico - FAT'!$G:$G,Faturamento!$H1124)</f>
        <v>678.65100000000007</v>
      </c>
      <c r="AG1124" s="24">
        <f t="shared" si="258"/>
        <v>0.82596544715447151</v>
      </c>
      <c r="AH1124" s="24">
        <f t="shared" si="259"/>
        <v>-1.3632317073170732</v>
      </c>
      <c r="AI1124" s="24">
        <f t="shared" si="260"/>
        <v>-3.2885569105691053</v>
      </c>
    </row>
    <row r="1125" spans="1:35" x14ac:dyDescent="0.3">
      <c r="A1125" s="2" t="str">
        <f t="shared" si="257"/>
        <v>SIM</v>
      </c>
      <c r="B1125" s="2">
        <v>1000184670</v>
      </c>
      <c r="C1125" s="2" t="s">
        <v>147</v>
      </c>
      <c r="D1125" s="4">
        <v>1000186197</v>
      </c>
      <c r="E1125" s="4" t="s">
        <v>166</v>
      </c>
      <c r="F1125" s="2">
        <v>1000185288</v>
      </c>
      <c r="G1125" s="2" t="s">
        <v>64</v>
      </c>
      <c r="H1125" s="4">
        <v>1000189804</v>
      </c>
      <c r="I1125" s="4" t="s">
        <v>89</v>
      </c>
      <c r="J1125" s="2">
        <v>1000189270</v>
      </c>
      <c r="K1125" s="2" t="s">
        <v>34</v>
      </c>
      <c r="L1125" s="4" t="s">
        <v>124</v>
      </c>
      <c r="M1125" s="4" t="str">
        <f t="shared" si="264"/>
        <v>100018467010001861971000189804100018927001. TOTAL</v>
      </c>
      <c r="N1125" s="28">
        <f>SUMIFS(Positivação!L:L,Positivação!$I:$I,Faturamento!$J1125,Positivação!$G:$G,Faturamento!$H1125)*SUMIFS(Positivação!$Z:$Z,Positivação!$I:$I,Faturamento!$J1125,Positivação!$G:$G,Faturamento!$H1125)</f>
        <v>6000</v>
      </c>
      <c r="O1125" s="28">
        <f>SUMIFS(Positivação!M:M,Positivação!$I:$I,Faturamento!$J1125,Positivação!$G:$G,Faturamento!$H1125)*SUMIFS(Positivação!$Z:$Z,Positivação!$I:$I,Faturamento!$J1125,Positivação!$G:$G,Faturamento!$H1125)</f>
        <v>6000</v>
      </c>
      <c r="P1125" s="28">
        <f>SUMIFS(Positivação!N:N,Positivação!$I:$I,Faturamento!$J1125,Positivação!$G:$G,Faturamento!$H1125)*SUMIFS(Positivação!$Z:$Z,Positivação!$I:$I,Faturamento!$J1125,Positivação!$G:$G,Faturamento!$H1125)</f>
        <v>6000</v>
      </c>
      <c r="Q1125" s="28">
        <f>SUMIFS(Positivação!O:O,Positivação!$I:$I,Faturamento!$J1125,Positivação!$G:$G,Faturamento!$H1125)*SUMIFS(Positivação!$Z:$Z,Positivação!$I:$I,Faturamento!$J1125,Positivação!$G:$G,Faturamento!$H1125)</f>
        <v>6000</v>
      </c>
      <c r="R1125" s="28">
        <f>SUMIFS(Positivação!P:P,Positivação!$I:$I,Faturamento!$J1125,Positivação!$G:$G,Faturamento!$H1125)*SUMIFS(Positivação!$Z:$Z,Positivação!$I:$I,Faturamento!$J1125,Positivação!$G:$G,Faturamento!$H1125)</f>
        <v>6000</v>
      </c>
      <c r="S1125" s="28">
        <f>SUMIFS(Positivação!Q:Q,Positivação!$I:$I,Faturamento!$J1125,Positivação!$G:$G,Faturamento!$H1125)*SUMIFS(Positivação!$Z:$Z,Positivação!$I:$I,Faturamento!$J1125,Positivação!$G:$G,Faturamento!$H1125)</f>
        <v>6600</v>
      </c>
      <c r="T1125" s="28">
        <f>SUMIFS(Positivação!R:R,Positivação!$I:$I,Faturamento!$J1125,Positivação!$G:$G,Faturamento!$H1125)*SUMIFS(Positivação!$Z:$Z,Positivação!$I:$I,Faturamento!$J1125,Positivação!$G:$G,Faturamento!$H1125)</f>
        <v>6600</v>
      </c>
      <c r="U1125" s="28">
        <f>SUMIFS(Positivação!S:S,Positivação!$I:$I,Faturamento!$J1125,Positivação!$G:$G,Faturamento!$H1125)*SUMIFS(Positivação!$Z:$Z,Positivação!$I:$I,Faturamento!$J1125,Positivação!$G:$G,Faturamento!$H1125)</f>
        <v>6600</v>
      </c>
      <c r="V1125" s="28">
        <f>SUMIFS(Positivação!T:T,Positivação!$I:$I,Faturamento!$J1125,Positivação!$G:$G,Faturamento!$H1125)*SUMIFS(Positivação!$Z:$Z,Positivação!$I:$I,Faturamento!$J1125,Positivação!$G:$G,Faturamento!$H1125)</f>
        <v>6600</v>
      </c>
      <c r="W1125" s="28">
        <f>SUMIFS(Positivação!U:U,Positivação!$I:$I,Faturamento!$J1125,Positivação!$G:$G,Faturamento!$H1125)*SUMIFS(Positivação!$Z:$Z,Positivação!$I:$I,Faturamento!$J1125,Positivação!$G:$G,Faturamento!$H1125)</f>
        <v>6600</v>
      </c>
      <c r="X1125" s="28">
        <f>SUMIFS(Positivação!V:V,Positivação!$I:$I,Faturamento!$J1125,Positivação!$G:$G,Faturamento!$H1125)*SUMIFS(Positivação!$Z:$Z,Positivação!$I:$I,Faturamento!$J1125,Positivação!$G:$G,Faturamento!$H1125)</f>
        <v>7200</v>
      </c>
      <c r="Y1125" s="28">
        <f>SUMIFS(Positivação!W:W,Positivação!$I:$I,Faturamento!$J1125,Positivação!$G:$G,Faturamento!$H1125)*SUMIFS(Positivação!$Z:$Z,Positivação!$I:$I,Faturamento!$J1125,Positivação!$G:$G,Faturamento!$H1125)</f>
        <v>7200</v>
      </c>
      <c r="Z1125" s="28">
        <f t="shared" ref="Z1125" si="268">SUM(Z1126:Z1143)</f>
        <v>77400</v>
      </c>
      <c r="AA1125" s="29"/>
      <c r="AB1125" s="28">
        <f t="shared" ref="AB1125:AE1125" si="269">SUM(AB1126:AB1143)</f>
        <v>179.23250000000002</v>
      </c>
      <c r="AC1125" s="28">
        <f t="shared" si="269"/>
        <v>412.7716666666667</v>
      </c>
      <c r="AD1125" s="28">
        <f t="shared" si="269"/>
        <v>658.18333333333339</v>
      </c>
      <c r="AE1125" s="28">
        <f t="shared" si="269"/>
        <v>425.59400000000005</v>
      </c>
      <c r="AG1125" s="24">
        <f t="shared" si="258"/>
        <v>0.97439535714285708</v>
      </c>
      <c r="AH1125" s="24">
        <f t="shared" si="259"/>
        <v>0.94103261904761903</v>
      </c>
      <c r="AI1125" s="24">
        <f t="shared" si="260"/>
        <v>0.90597380952380957</v>
      </c>
    </row>
    <row r="1126" spans="1:35" hidden="1" x14ac:dyDescent="0.3">
      <c r="A1126" s="2" t="str">
        <f t="shared" si="257"/>
        <v>NÃO</v>
      </c>
      <c r="B1126" s="2">
        <v>1000184670</v>
      </c>
      <c r="C1126" s="2" t="s">
        <v>147</v>
      </c>
      <c r="D1126" s="4">
        <v>1000186197</v>
      </c>
      <c r="E1126" s="4" t="s">
        <v>166</v>
      </c>
      <c r="F1126" s="2">
        <v>1000185288</v>
      </c>
      <c r="G1126" s="2" t="s">
        <v>64</v>
      </c>
      <c r="H1126" s="4">
        <v>1000189804</v>
      </c>
      <c r="I1126" s="4" t="s">
        <v>89</v>
      </c>
      <c r="J1126" s="2">
        <v>1000189270</v>
      </c>
      <c r="K1126" s="2" t="s">
        <v>34</v>
      </c>
      <c r="L1126" s="4" t="s">
        <v>13</v>
      </c>
      <c r="M1126" s="4" t="str">
        <f t="shared" si="264"/>
        <v>1000184670100018619710001898041000189270BISCOITO</v>
      </c>
      <c r="N1126" s="28">
        <f>N1125*_xlfn.XLOOKUP($L1126,'Balizador da Meta'!$B$4:$B$21,'Balizador da Meta'!$C$4:$C$21)</f>
        <v>420.00000000000006</v>
      </c>
      <c r="O1126" s="28">
        <f>O1125*_xlfn.XLOOKUP($L1126,'Balizador da Meta'!$B$4:$B$21,'Balizador da Meta'!$C$4:$C$21)</f>
        <v>420.00000000000006</v>
      </c>
      <c r="P1126" s="28">
        <f>P1125*_xlfn.XLOOKUP($L1126,'Balizador da Meta'!$B$4:$B$21,'Balizador da Meta'!$C$4:$C$21)</f>
        <v>420.00000000000006</v>
      </c>
      <c r="Q1126" s="28">
        <f>Q1125*_xlfn.XLOOKUP($L1126,'Balizador da Meta'!$B$4:$B$21,'Balizador da Meta'!$C$4:$C$21)</f>
        <v>420.00000000000006</v>
      </c>
      <c r="R1126" s="28">
        <f>R1125*_xlfn.XLOOKUP($L1126,'Balizador da Meta'!$B$4:$B$21,'Balizador da Meta'!$C$4:$C$21)</f>
        <v>420.00000000000006</v>
      </c>
      <c r="S1126" s="28">
        <f>S1125*_xlfn.XLOOKUP($L1126,'Balizador da Meta'!$B$4:$B$21,'Balizador da Meta'!$C$4:$C$21)</f>
        <v>462.00000000000006</v>
      </c>
      <c r="T1126" s="28">
        <f>T1125*_xlfn.XLOOKUP($L1126,'Balizador da Meta'!$B$4:$B$21,'Balizador da Meta'!$C$4:$C$21)</f>
        <v>462.00000000000006</v>
      </c>
      <c r="U1126" s="28">
        <f>U1125*_xlfn.XLOOKUP($L1126,'Balizador da Meta'!$B$4:$B$21,'Balizador da Meta'!$C$4:$C$21)</f>
        <v>462.00000000000006</v>
      </c>
      <c r="V1126" s="28">
        <f>V1125*_xlfn.XLOOKUP($L1126,'Balizador da Meta'!$B$4:$B$21,'Balizador da Meta'!$C$4:$C$21)</f>
        <v>462.00000000000006</v>
      </c>
      <c r="W1126" s="28">
        <f>W1125*_xlfn.XLOOKUP($L1126,'Balizador da Meta'!$B$4:$B$21,'Balizador da Meta'!$C$4:$C$21)</f>
        <v>462.00000000000006</v>
      </c>
      <c r="X1126" s="28">
        <f>X1125*_xlfn.XLOOKUP($L1126,'Balizador da Meta'!$B$4:$B$21,'Balizador da Meta'!$C$4:$C$21)</f>
        <v>504.00000000000006</v>
      </c>
      <c r="Y1126" s="28">
        <f>Y1125*_xlfn.XLOOKUP($L1126,'Balizador da Meta'!$B$4:$B$21,'Balizador da Meta'!$C$4:$C$21)</f>
        <v>504.00000000000006</v>
      </c>
      <c r="Z1126" s="30">
        <f t="shared" ref="Z1126:Z1143" si="270">SUM(N1126:Y1126)</f>
        <v>5418.0000000000009</v>
      </c>
      <c r="AA1126" s="29"/>
      <c r="AB1126" s="31">
        <f>SUMIFS('Historico - FAT'!AK:AK,'Historico - FAT'!$K:$K,Faturamento!$L1126,'Historico - FAT'!$I:$I,Faturamento!$J1126,'Historico - FAT'!$G:$G,Faturamento!$H1126)</f>
        <v>52.195833333333333</v>
      </c>
      <c r="AC1126" s="31">
        <f>SUMIFS('Historico - FAT'!AL:AL,'Historico - FAT'!$K:$K,Faturamento!$L1126,'Historico - FAT'!$I:$I,Faturamento!$J1126,'Historico - FAT'!$G:$G,Faturamento!$H1126)</f>
        <v>38.301666666666669</v>
      </c>
      <c r="AD1126" s="31">
        <f>SUMIFS('Historico - FAT'!AM:AM,'Historico - FAT'!$K:$K,Faturamento!$L1126,'Historico - FAT'!$I:$I,Faturamento!$J1126,'Historico - FAT'!$G:$G,Faturamento!$H1126)</f>
        <v>60.103333333333332</v>
      </c>
      <c r="AE1126" s="27">
        <f>SUMIFS('Historico - FAT'!AN:AN,'Historico - FAT'!$K:$K,Faturamento!$L1126,'Historico - FAT'!$I:$I,Faturamento!$J1126,'Historico - FAT'!$G:$G,Faturamento!$H1126)</f>
        <v>45.962000000000003</v>
      </c>
      <c r="AG1126" s="24">
        <f t="shared" si="258"/>
        <v>0.89347789115646259</v>
      </c>
      <c r="AH1126" s="24">
        <f t="shared" si="259"/>
        <v>0.92183333333333328</v>
      </c>
      <c r="AI1126" s="24">
        <f t="shared" si="260"/>
        <v>0.87734013605442174</v>
      </c>
    </row>
    <row r="1127" spans="1:35" hidden="1" x14ac:dyDescent="0.3">
      <c r="A1127" s="2" t="str">
        <f t="shared" si="257"/>
        <v>NÃO</v>
      </c>
      <c r="B1127" s="2">
        <v>1000184670</v>
      </c>
      <c r="C1127" s="2" t="s">
        <v>147</v>
      </c>
      <c r="D1127" s="4">
        <v>1000186197</v>
      </c>
      <c r="E1127" s="4" t="s">
        <v>166</v>
      </c>
      <c r="F1127" s="2">
        <v>1000185288</v>
      </c>
      <c r="G1127" s="2" t="s">
        <v>64</v>
      </c>
      <c r="H1127" s="4">
        <v>1000189804</v>
      </c>
      <c r="I1127" s="4" t="s">
        <v>89</v>
      </c>
      <c r="J1127" s="2">
        <v>1000189270</v>
      </c>
      <c r="K1127" s="2" t="s">
        <v>34</v>
      </c>
      <c r="L1127" s="4" t="s">
        <v>14</v>
      </c>
      <c r="M1127" s="4" t="str">
        <f t="shared" si="264"/>
        <v>1000184670100018619710001898041000189270CHOCOLATES</v>
      </c>
      <c r="N1127" s="28">
        <f>N1125*_xlfn.XLOOKUP($L1127,'Balizador da Meta'!$B$4:$B$21,'Balizador da Meta'!$C$4:$C$21)</f>
        <v>420.00000000000006</v>
      </c>
      <c r="O1127" s="28">
        <f>O1125*_xlfn.XLOOKUP($L1127,'Balizador da Meta'!$B$4:$B$21,'Balizador da Meta'!$C$4:$C$21)</f>
        <v>420.00000000000006</v>
      </c>
      <c r="P1127" s="28">
        <f>P1125*_xlfn.XLOOKUP($L1127,'Balizador da Meta'!$B$4:$B$21,'Balizador da Meta'!$C$4:$C$21)</f>
        <v>420.00000000000006</v>
      </c>
      <c r="Q1127" s="28">
        <f>Q1125*_xlfn.XLOOKUP($L1127,'Balizador da Meta'!$B$4:$B$21,'Balizador da Meta'!$C$4:$C$21)</f>
        <v>420.00000000000006</v>
      </c>
      <c r="R1127" s="28">
        <f>R1125*_xlfn.XLOOKUP($L1127,'Balizador da Meta'!$B$4:$B$21,'Balizador da Meta'!$C$4:$C$21)</f>
        <v>420.00000000000006</v>
      </c>
      <c r="S1127" s="28">
        <f>S1125*_xlfn.XLOOKUP($L1127,'Balizador da Meta'!$B$4:$B$21,'Balizador da Meta'!$C$4:$C$21)</f>
        <v>462.00000000000006</v>
      </c>
      <c r="T1127" s="28">
        <f>T1125*_xlfn.XLOOKUP($L1127,'Balizador da Meta'!$B$4:$B$21,'Balizador da Meta'!$C$4:$C$21)</f>
        <v>462.00000000000006</v>
      </c>
      <c r="U1127" s="28">
        <f>U1125*_xlfn.XLOOKUP($L1127,'Balizador da Meta'!$B$4:$B$21,'Balizador da Meta'!$C$4:$C$21)</f>
        <v>462.00000000000006</v>
      </c>
      <c r="V1127" s="28">
        <f>V1125*_xlfn.XLOOKUP($L1127,'Balizador da Meta'!$B$4:$B$21,'Balizador da Meta'!$C$4:$C$21)</f>
        <v>462.00000000000006</v>
      </c>
      <c r="W1127" s="28">
        <f>W1125*_xlfn.XLOOKUP($L1127,'Balizador da Meta'!$B$4:$B$21,'Balizador da Meta'!$C$4:$C$21)</f>
        <v>462.00000000000006</v>
      </c>
      <c r="X1127" s="28">
        <f>X1125*_xlfn.XLOOKUP($L1127,'Balizador da Meta'!$B$4:$B$21,'Balizador da Meta'!$C$4:$C$21)</f>
        <v>504.00000000000006</v>
      </c>
      <c r="Y1127" s="28">
        <f>Y1125*_xlfn.XLOOKUP($L1127,'Balizador da Meta'!$B$4:$B$21,'Balizador da Meta'!$C$4:$C$21)</f>
        <v>504.00000000000006</v>
      </c>
      <c r="Z1127" s="30">
        <f t="shared" si="270"/>
        <v>5418.0000000000009</v>
      </c>
      <c r="AA1127" s="29"/>
      <c r="AB1127" s="31">
        <f>SUMIFS('Historico - FAT'!AK:AK,'Historico - FAT'!$K:$K,Faturamento!$L1127,'Historico - FAT'!$I:$I,Faturamento!$J1127,'Historico - FAT'!$G:$G,Faturamento!$H1127)</f>
        <v>0</v>
      </c>
      <c r="AC1127" s="31">
        <f>SUMIFS('Historico - FAT'!AL:AL,'Historico - FAT'!$K:$K,Faturamento!$L1127,'Historico - FAT'!$I:$I,Faturamento!$J1127,'Historico - FAT'!$G:$G,Faturamento!$H1127)</f>
        <v>22.3</v>
      </c>
      <c r="AD1127" s="31">
        <f>SUMIFS('Historico - FAT'!AM:AM,'Historico - FAT'!$K:$K,Faturamento!$L1127,'Historico - FAT'!$I:$I,Faturamento!$J1127,'Historico - FAT'!$G:$G,Faturamento!$H1127)</f>
        <v>44.6</v>
      </c>
      <c r="AE1127" s="27">
        <f>SUMIFS('Historico - FAT'!AN:AN,'Historico - FAT'!$K:$K,Faturamento!$L1127,'Historico - FAT'!$I:$I,Faturamento!$J1127,'Historico - FAT'!$G:$G,Faturamento!$H1127)</f>
        <v>26.76</v>
      </c>
      <c r="AG1127" s="24">
        <f t="shared" si="258"/>
        <v>1</v>
      </c>
      <c r="AH1127" s="24">
        <f t="shared" si="259"/>
        <v>0.95448979591836736</v>
      </c>
      <c r="AI1127" s="24">
        <f t="shared" si="260"/>
        <v>0.90897959183673471</v>
      </c>
    </row>
    <row r="1128" spans="1:35" hidden="1" x14ac:dyDescent="0.3">
      <c r="A1128" s="2" t="str">
        <f t="shared" si="257"/>
        <v>NÃO</v>
      </c>
      <c r="B1128" s="2">
        <v>1000184670</v>
      </c>
      <c r="C1128" s="2" t="s">
        <v>147</v>
      </c>
      <c r="D1128" s="4">
        <v>1000186197</v>
      </c>
      <c r="E1128" s="4" t="s">
        <v>166</v>
      </c>
      <c r="F1128" s="2">
        <v>1000185288</v>
      </c>
      <c r="G1128" s="2" t="s">
        <v>64</v>
      </c>
      <c r="H1128" s="4">
        <v>1000189804</v>
      </c>
      <c r="I1128" s="4" t="s">
        <v>89</v>
      </c>
      <c r="J1128" s="2">
        <v>1000189270</v>
      </c>
      <c r="K1128" s="2" t="s">
        <v>34</v>
      </c>
      <c r="L1128" s="4" t="s">
        <v>16</v>
      </c>
      <c r="M1128" s="4" t="str">
        <f t="shared" si="264"/>
        <v>1000184670100018619710001898041000189270DISNEY</v>
      </c>
      <c r="N1128" s="28">
        <f>N1125*_xlfn.XLOOKUP($L1128,'Balizador da Meta'!$B$4:$B$21,'Balizador da Meta'!$C$4:$C$21)</f>
        <v>480</v>
      </c>
      <c r="O1128" s="28">
        <f>O1125*_xlfn.XLOOKUP($L1128,'Balizador da Meta'!$B$4:$B$21,'Balizador da Meta'!$C$4:$C$21)</f>
        <v>480</v>
      </c>
      <c r="P1128" s="28">
        <f>P1125*_xlfn.XLOOKUP($L1128,'Balizador da Meta'!$B$4:$B$21,'Balizador da Meta'!$C$4:$C$21)</f>
        <v>480</v>
      </c>
      <c r="Q1128" s="28">
        <f>Q1125*_xlfn.XLOOKUP($L1128,'Balizador da Meta'!$B$4:$B$21,'Balizador da Meta'!$C$4:$C$21)</f>
        <v>480</v>
      </c>
      <c r="R1128" s="28">
        <f>R1125*_xlfn.XLOOKUP($L1128,'Balizador da Meta'!$B$4:$B$21,'Balizador da Meta'!$C$4:$C$21)</f>
        <v>480</v>
      </c>
      <c r="S1128" s="28">
        <f>S1125*_xlfn.XLOOKUP($L1128,'Balizador da Meta'!$B$4:$B$21,'Balizador da Meta'!$C$4:$C$21)</f>
        <v>528</v>
      </c>
      <c r="T1128" s="28">
        <f>T1125*_xlfn.XLOOKUP($L1128,'Balizador da Meta'!$B$4:$B$21,'Balizador da Meta'!$C$4:$C$21)</f>
        <v>528</v>
      </c>
      <c r="U1128" s="28">
        <f>U1125*_xlfn.XLOOKUP($L1128,'Balizador da Meta'!$B$4:$B$21,'Balizador da Meta'!$C$4:$C$21)</f>
        <v>528</v>
      </c>
      <c r="V1128" s="28">
        <f>V1125*_xlfn.XLOOKUP($L1128,'Balizador da Meta'!$B$4:$B$21,'Balizador da Meta'!$C$4:$C$21)</f>
        <v>528</v>
      </c>
      <c r="W1128" s="28">
        <f>W1125*_xlfn.XLOOKUP($L1128,'Balizador da Meta'!$B$4:$B$21,'Balizador da Meta'!$C$4:$C$21)</f>
        <v>528</v>
      </c>
      <c r="X1128" s="28">
        <f>X1125*_xlfn.XLOOKUP($L1128,'Balizador da Meta'!$B$4:$B$21,'Balizador da Meta'!$C$4:$C$21)</f>
        <v>576</v>
      </c>
      <c r="Y1128" s="28">
        <f>Y1125*_xlfn.XLOOKUP($L1128,'Balizador da Meta'!$B$4:$B$21,'Balizador da Meta'!$C$4:$C$21)</f>
        <v>576</v>
      </c>
      <c r="Z1128" s="30">
        <f t="shared" si="270"/>
        <v>6192</v>
      </c>
      <c r="AA1128" s="29"/>
      <c r="AB1128" s="31">
        <f>SUMIFS('Historico - FAT'!AK:AK,'Historico - FAT'!$K:$K,Faturamento!$L1128,'Historico - FAT'!$I:$I,Faturamento!$J1128,'Historico - FAT'!$G:$G,Faturamento!$H1128)</f>
        <v>13.296666666666667</v>
      </c>
      <c r="AC1128" s="31">
        <f>SUMIFS('Historico - FAT'!AL:AL,'Historico - FAT'!$K:$K,Faturamento!$L1128,'Historico - FAT'!$I:$I,Faturamento!$J1128,'Historico - FAT'!$G:$G,Faturamento!$H1128)</f>
        <v>5.5266666666666664</v>
      </c>
      <c r="AD1128" s="31">
        <f>SUMIFS('Historico - FAT'!AM:AM,'Historico - FAT'!$K:$K,Faturamento!$L1128,'Historico - FAT'!$I:$I,Faturamento!$J1128,'Historico - FAT'!$G:$G,Faturamento!$H1128)</f>
        <v>11.053333333333333</v>
      </c>
      <c r="AE1128" s="27">
        <f>SUMIFS('Historico - FAT'!AN:AN,'Historico - FAT'!$K:$K,Faturamento!$L1128,'Historico - FAT'!$I:$I,Faturamento!$J1128,'Historico - FAT'!$G:$G,Faturamento!$H1128)</f>
        <v>6.6319999999999997</v>
      </c>
      <c r="AG1128" s="24">
        <f t="shared" si="258"/>
        <v>0.97625595238095242</v>
      </c>
      <c r="AH1128" s="24">
        <f t="shared" si="259"/>
        <v>0.99013095238095239</v>
      </c>
      <c r="AI1128" s="24">
        <f t="shared" si="260"/>
        <v>0.98026190476190489</v>
      </c>
    </row>
    <row r="1129" spans="1:35" hidden="1" x14ac:dyDescent="0.3">
      <c r="A1129" s="2" t="str">
        <f t="shared" si="257"/>
        <v>NÃO</v>
      </c>
      <c r="B1129" s="2">
        <v>1000184670</v>
      </c>
      <c r="C1129" s="2" t="s">
        <v>147</v>
      </c>
      <c r="D1129" s="4">
        <v>1000186197</v>
      </c>
      <c r="E1129" s="4" t="s">
        <v>166</v>
      </c>
      <c r="F1129" s="2">
        <v>1000185288</v>
      </c>
      <c r="G1129" s="2" t="s">
        <v>64</v>
      </c>
      <c r="H1129" s="4">
        <v>1000189804</v>
      </c>
      <c r="I1129" s="4" t="s">
        <v>89</v>
      </c>
      <c r="J1129" s="2">
        <v>1000189270</v>
      </c>
      <c r="K1129" s="2" t="s">
        <v>34</v>
      </c>
      <c r="L1129" s="4" t="s">
        <v>15</v>
      </c>
      <c r="M1129" s="4" t="str">
        <f t="shared" si="264"/>
        <v>1000184670100018619710001898041000189270DOCES</v>
      </c>
      <c r="N1129" s="28">
        <f>N1125*_xlfn.XLOOKUP($L1129,'Balizador da Meta'!$B$4:$B$21,'Balizador da Meta'!$C$4:$C$21)</f>
        <v>540</v>
      </c>
      <c r="O1129" s="28">
        <f>O1125*_xlfn.XLOOKUP($L1129,'Balizador da Meta'!$B$4:$B$21,'Balizador da Meta'!$C$4:$C$21)</f>
        <v>540</v>
      </c>
      <c r="P1129" s="28">
        <f>P1125*_xlfn.XLOOKUP($L1129,'Balizador da Meta'!$B$4:$B$21,'Balizador da Meta'!$C$4:$C$21)</f>
        <v>540</v>
      </c>
      <c r="Q1129" s="28">
        <f>Q1125*_xlfn.XLOOKUP($L1129,'Balizador da Meta'!$B$4:$B$21,'Balizador da Meta'!$C$4:$C$21)</f>
        <v>540</v>
      </c>
      <c r="R1129" s="28">
        <f>R1125*_xlfn.XLOOKUP($L1129,'Balizador da Meta'!$B$4:$B$21,'Balizador da Meta'!$C$4:$C$21)</f>
        <v>540</v>
      </c>
      <c r="S1129" s="28">
        <f>S1125*_xlfn.XLOOKUP($L1129,'Balizador da Meta'!$B$4:$B$21,'Balizador da Meta'!$C$4:$C$21)</f>
        <v>594</v>
      </c>
      <c r="T1129" s="28">
        <f>T1125*_xlfn.XLOOKUP($L1129,'Balizador da Meta'!$B$4:$B$21,'Balizador da Meta'!$C$4:$C$21)</f>
        <v>594</v>
      </c>
      <c r="U1129" s="28">
        <f>U1125*_xlfn.XLOOKUP($L1129,'Balizador da Meta'!$B$4:$B$21,'Balizador da Meta'!$C$4:$C$21)</f>
        <v>594</v>
      </c>
      <c r="V1129" s="28">
        <f>V1125*_xlfn.XLOOKUP($L1129,'Balizador da Meta'!$B$4:$B$21,'Balizador da Meta'!$C$4:$C$21)</f>
        <v>594</v>
      </c>
      <c r="W1129" s="28">
        <f>W1125*_xlfn.XLOOKUP($L1129,'Balizador da Meta'!$B$4:$B$21,'Balizador da Meta'!$C$4:$C$21)</f>
        <v>594</v>
      </c>
      <c r="X1129" s="28">
        <f>X1125*_xlfn.XLOOKUP($L1129,'Balizador da Meta'!$B$4:$B$21,'Balizador da Meta'!$C$4:$C$21)</f>
        <v>648</v>
      </c>
      <c r="Y1129" s="28">
        <f>Y1125*_xlfn.XLOOKUP($L1129,'Balizador da Meta'!$B$4:$B$21,'Balizador da Meta'!$C$4:$C$21)</f>
        <v>648</v>
      </c>
      <c r="Z1129" s="30">
        <f t="shared" si="270"/>
        <v>6966</v>
      </c>
      <c r="AA1129" s="29"/>
      <c r="AB1129" s="31">
        <f>SUMIFS('Historico - FAT'!AK:AK,'Historico - FAT'!$K:$K,Faturamento!$L1129,'Historico - FAT'!$I:$I,Faturamento!$J1129,'Historico - FAT'!$G:$G,Faturamento!$H1129)</f>
        <v>8.91</v>
      </c>
      <c r="AC1129" s="31">
        <f>SUMIFS('Historico - FAT'!AL:AL,'Historico - FAT'!$K:$K,Faturamento!$L1129,'Historico - FAT'!$I:$I,Faturamento!$J1129,'Historico - FAT'!$G:$G,Faturamento!$H1129)</f>
        <v>15.080833333333333</v>
      </c>
      <c r="AD1129" s="31">
        <f>SUMIFS('Historico - FAT'!AM:AM,'Historico - FAT'!$K:$K,Faturamento!$L1129,'Historico - FAT'!$I:$I,Faturamento!$J1129,'Historico - FAT'!$G:$G,Faturamento!$H1129)</f>
        <v>30.161666666666665</v>
      </c>
      <c r="AE1129" s="27">
        <f>SUMIFS('Historico - FAT'!AN:AN,'Historico - FAT'!$K:$K,Faturamento!$L1129,'Historico - FAT'!$I:$I,Faturamento!$J1129,'Historico - FAT'!$G:$G,Faturamento!$H1129)</f>
        <v>18.097000000000001</v>
      </c>
      <c r="AG1129" s="24">
        <f t="shared" si="258"/>
        <v>0.98585714285714288</v>
      </c>
      <c r="AH1129" s="24">
        <f t="shared" si="259"/>
        <v>0.97606216931216938</v>
      </c>
      <c r="AI1129" s="24">
        <f t="shared" si="260"/>
        <v>0.95212433862433865</v>
      </c>
    </row>
    <row r="1130" spans="1:35" hidden="1" x14ac:dyDescent="0.3">
      <c r="A1130" s="2" t="str">
        <f t="shared" si="257"/>
        <v>NÃO</v>
      </c>
      <c r="B1130" s="2">
        <v>1000184670</v>
      </c>
      <c r="C1130" s="2" t="s">
        <v>147</v>
      </c>
      <c r="D1130" s="4">
        <v>1000186197</v>
      </c>
      <c r="E1130" s="4" t="s">
        <v>166</v>
      </c>
      <c r="F1130" s="2">
        <v>1000185288</v>
      </c>
      <c r="G1130" s="2" t="s">
        <v>64</v>
      </c>
      <c r="H1130" s="4">
        <v>1000189804</v>
      </c>
      <c r="I1130" s="4" t="s">
        <v>89</v>
      </c>
      <c r="J1130" s="2">
        <v>1000189270</v>
      </c>
      <c r="K1130" s="2" t="s">
        <v>34</v>
      </c>
      <c r="L1130" s="4" t="s">
        <v>33</v>
      </c>
      <c r="M1130" s="4" t="str">
        <f t="shared" si="264"/>
        <v>1000184670100018619710001898041000189270FOOD SERVICE</v>
      </c>
      <c r="N1130" s="28">
        <f>N1125*_xlfn.XLOOKUP($L1130,'Balizador da Meta'!$B$4:$B$21,'Balizador da Meta'!$C$4:$C$21)</f>
        <v>0</v>
      </c>
      <c r="O1130" s="28">
        <f>O1125*_xlfn.XLOOKUP($L1130,'Balizador da Meta'!$B$4:$B$21,'Balizador da Meta'!$C$4:$C$21)</f>
        <v>0</v>
      </c>
      <c r="P1130" s="28">
        <f>P1125*_xlfn.XLOOKUP($L1130,'Balizador da Meta'!$B$4:$B$21,'Balizador da Meta'!$C$4:$C$21)</f>
        <v>0</v>
      </c>
      <c r="Q1130" s="28">
        <f>Q1125*_xlfn.XLOOKUP($L1130,'Balizador da Meta'!$B$4:$B$21,'Balizador da Meta'!$C$4:$C$21)</f>
        <v>0</v>
      </c>
      <c r="R1130" s="28">
        <f>R1125*_xlfn.XLOOKUP($L1130,'Balizador da Meta'!$B$4:$B$21,'Balizador da Meta'!$C$4:$C$21)</f>
        <v>0</v>
      </c>
      <c r="S1130" s="28">
        <f>S1125*_xlfn.XLOOKUP($L1130,'Balizador da Meta'!$B$4:$B$21,'Balizador da Meta'!$C$4:$C$21)</f>
        <v>0</v>
      </c>
      <c r="T1130" s="28">
        <f>T1125*_xlfn.XLOOKUP($L1130,'Balizador da Meta'!$B$4:$B$21,'Balizador da Meta'!$C$4:$C$21)</f>
        <v>0</v>
      </c>
      <c r="U1130" s="28">
        <f>U1125*_xlfn.XLOOKUP($L1130,'Balizador da Meta'!$B$4:$B$21,'Balizador da Meta'!$C$4:$C$21)</f>
        <v>0</v>
      </c>
      <c r="V1130" s="28">
        <f>V1125*_xlfn.XLOOKUP($L1130,'Balizador da Meta'!$B$4:$B$21,'Balizador da Meta'!$C$4:$C$21)</f>
        <v>0</v>
      </c>
      <c r="W1130" s="28">
        <f>W1125*_xlfn.XLOOKUP($L1130,'Balizador da Meta'!$B$4:$B$21,'Balizador da Meta'!$C$4:$C$21)</f>
        <v>0</v>
      </c>
      <c r="X1130" s="28">
        <f>X1125*_xlfn.XLOOKUP($L1130,'Balizador da Meta'!$B$4:$B$21,'Balizador da Meta'!$C$4:$C$21)</f>
        <v>0</v>
      </c>
      <c r="Y1130" s="28">
        <f>Y1125*_xlfn.XLOOKUP($L1130,'Balizador da Meta'!$B$4:$B$21,'Balizador da Meta'!$C$4:$C$21)</f>
        <v>0</v>
      </c>
      <c r="Z1130" s="30">
        <f t="shared" si="270"/>
        <v>0</v>
      </c>
      <c r="AA1130" s="29"/>
      <c r="AB1130" s="31">
        <f>SUMIFS('Historico - FAT'!AK:AK,'Historico - FAT'!$K:$K,Faturamento!$L1130,'Historico - FAT'!$I:$I,Faturamento!$J1130,'Historico - FAT'!$G:$G,Faturamento!$H1130)</f>
        <v>0</v>
      </c>
      <c r="AC1130" s="31">
        <f>SUMIFS('Historico - FAT'!AL:AL,'Historico - FAT'!$K:$K,Faturamento!$L1130,'Historico - FAT'!$I:$I,Faturamento!$J1130,'Historico - FAT'!$G:$G,Faturamento!$H1130)</f>
        <v>0</v>
      </c>
      <c r="AD1130" s="31">
        <f>SUMIFS('Historico - FAT'!AM:AM,'Historico - FAT'!$K:$K,Faturamento!$L1130,'Historico - FAT'!$I:$I,Faturamento!$J1130,'Historico - FAT'!$G:$G,Faturamento!$H1130)</f>
        <v>0</v>
      </c>
      <c r="AE1130" s="27">
        <f>SUMIFS('Historico - FAT'!AN:AN,'Historico - FAT'!$K:$K,Faturamento!$L1130,'Historico - FAT'!$I:$I,Faturamento!$J1130,'Historico - FAT'!$G:$G,Faturamento!$H1130)</f>
        <v>0</v>
      </c>
      <c r="AG1130" s="24" t="str">
        <f t="shared" si="258"/>
        <v/>
      </c>
      <c r="AH1130" s="24" t="str">
        <f t="shared" si="259"/>
        <v/>
      </c>
      <c r="AI1130" s="24" t="str">
        <f t="shared" si="260"/>
        <v/>
      </c>
    </row>
    <row r="1131" spans="1:35" hidden="1" x14ac:dyDescent="0.3">
      <c r="A1131" s="2" t="str">
        <f t="shared" si="257"/>
        <v>NÃO</v>
      </c>
      <c r="B1131" s="2">
        <v>1000184670</v>
      </c>
      <c r="C1131" s="2" t="s">
        <v>147</v>
      </c>
      <c r="D1131" s="4">
        <v>1000186197</v>
      </c>
      <c r="E1131" s="4" t="s">
        <v>166</v>
      </c>
      <c r="F1131" s="2">
        <v>1000185288</v>
      </c>
      <c r="G1131" s="2" t="s">
        <v>64</v>
      </c>
      <c r="H1131" s="4">
        <v>1000189804</v>
      </c>
      <c r="I1131" s="4" t="s">
        <v>89</v>
      </c>
      <c r="J1131" s="2">
        <v>1000189270</v>
      </c>
      <c r="K1131" s="2" t="s">
        <v>34</v>
      </c>
      <c r="L1131" s="4" t="s">
        <v>19</v>
      </c>
      <c r="M1131" s="4" t="str">
        <f t="shared" si="264"/>
        <v>1000184670100018619710001898041000189270GELEIA</v>
      </c>
      <c r="N1131" s="28">
        <f>N1125*_xlfn.XLOOKUP($L1131,'Balizador da Meta'!$B$4:$B$21,'Balizador da Meta'!$C$4:$C$21)</f>
        <v>119.99999999999999</v>
      </c>
      <c r="O1131" s="28">
        <f>O1125*_xlfn.XLOOKUP($L1131,'Balizador da Meta'!$B$4:$B$21,'Balizador da Meta'!$C$4:$C$21)</f>
        <v>119.99999999999999</v>
      </c>
      <c r="P1131" s="28">
        <f>P1125*_xlfn.XLOOKUP($L1131,'Balizador da Meta'!$B$4:$B$21,'Balizador da Meta'!$C$4:$C$21)</f>
        <v>119.99999999999999</v>
      </c>
      <c r="Q1131" s="28">
        <f>Q1125*_xlfn.XLOOKUP($L1131,'Balizador da Meta'!$B$4:$B$21,'Balizador da Meta'!$C$4:$C$21)</f>
        <v>119.99999999999999</v>
      </c>
      <c r="R1131" s="28">
        <f>R1125*_xlfn.XLOOKUP($L1131,'Balizador da Meta'!$B$4:$B$21,'Balizador da Meta'!$C$4:$C$21)</f>
        <v>119.99999999999999</v>
      </c>
      <c r="S1131" s="28">
        <f>S1125*_xlfn.XLOOKUP($L1131,'Balizador da Meta'!$B$4:$B$21,'Balizador da Meta'!$C$4:$C$21)</f>
        <v>131.99999999999997</v>
      </c>
      <c r="T1131" s="28">
        <f>T1125*_xlfn.XLOOKUP($L1131,'Balizador da Meta'!$B$4:$B$21,'Balizador da Meta'!$C$4:$C$21)</f>
        <v>131.99999999999997</v>
      </c>
      <c r="U1131" s="28">
        <f>U1125*_xlfn.XLOOKUP($L1131,'Balizador da Meta'!$B$4:$B$21,'Balizador da Meta'!$C$4:$C$21)</f>
        <v>131.99999999999997</v>
      </c>
      <c r="V1131" s="28">
        <f>V1125*_xlfn.XLOOKUP($L1131,'Balizador da Meta'!$B$4:$B$21,'Balizador da Meta'!$C$4:$C$21)</f>
        <v>131.99999999999997</v>
      </c>
      <c r="W1131" s="28">
        <f>W1125*_xlfn.XLOOKUP($L1131,'Balizador da Meta'!$B$4:$B$21,'Balizador da Meta'!$C$4:$C$21)</f>
        <v>131.99999999999997</v>
      </c>
      <c r="X1131" s="28">
        <f>X1125*_xlfn.XLOOKUP($L1131,'Balizador da Meta'!$B$4:$B$21,'Balizador da Meta'!$C$4:$C$21)</f>
        <v>143.99999999999997</v>
      </c>
      <c r="Y1131" s="28">
        <f>Y1125*_xlfn.XLOOKUP($L1131,'Balizador da Meta'!$B$4:$B$21,'Balizador da Meta'!$C$4:$C$21)</f>
        <v>143.99999999999997</v>
      </c>
      <c r="Z1131" s="30">
        <f t="shared" si="270"/>
        <v>1547.9999999999998</v>
      </c>
      <c r="AA1131" s="29"/>
      <c r="AB1131" s="31">
        <f>SUMIFS('Historico - FAT'!AK:AK,'Historico - FAT'!$K:$K,Faturamento!$L1131,'Historico - FAT'!$I:$I,Faturamento!$J1131,'Historico - FAT'!$G:$G,Faturamento!$H1131)</f>
        <v>0</v>
      </c>
      <c r="AC1131" s="31">
        <f>SUMIFS('Historico - FAT'!AL:AL,'Historico - FAT'!$K:$K,Faturamento!$L1131,'Historico - FAT'!$I:$I,Faturamento!$J1131,'Historico - FAT'!$G:$G,Faturamento!$H1131)</f>
        <v>14.700000000000001</v>
      </c>
      <c r="AD1131" s="31">
        <f>SUMIFS('Historico - FAT'!AM:AM,'Historico - FAT'!$K:$K,Faturamento!$L1131,'Historico - FAT'!$I:$I,Faturamento!$J1131,'Historico - FAT'!$G:$G,Faturamento!$H1131)</f>
        <v>11.4</v>
      </c>
      <c r="AE1131" s="27">
        <f>SUMIFS('Historico - FAT'!AN:AN,'Historico - FAT'!$K:$K,Faturamento!$L1131,'Historico - FAT'!$I:$I,Faturamento!$J1131,'Historico - FAT'!$G:$G,Faturamento!$H1131)</f>
        <v>17.64</v>
      </c>
      <c r="AG1131" s="24">
        <f t="shared" si="258"/>
        <v>1</v>
      </c>
      <c r="AH1131" s="24">
        <f t="shared" si="259"/>
        <v>0.89499999999999991</v>
      </c>
      <c r="AI1131" s="24">
        <f t="shared" si="260"/>
        <v>0.91857142857142848</v>
      </c>
    </row>
    <row r="1132" spans="1:35" hidden="1" x14ac:dyDescent="0.3">
      <c r="A1132" s="2" t="str">
        <f t="shared" si="257"/>
        <v>NÃO</v>
      </c>
      <c r="B1132" s="2">
        <v>1000184670</v>
      </c>
      <c r="C1132" s="2" t="s">
        <v>147</v>
      </c>
      <c r="D1132" s="4">
        <v>1000186197</v>
      </c>
      <c r="E1132" s="4" t="s">
        <v>166</v>
      </c>
      <c r="F1132" s="2">
        <v>1000185288</v>
      </c>
      <c r="G1132" s="2" t="s">
        <v>64</v>
      </c>
      <c r="H1132" s="4">
        <v>1000189804</v>
      </c>
      <c r="I1132" s="4" t="s">
        <v>89</v>
      </c>
      <c r="J1132" s="2">
        <v>1000189270</v>
      </c>
      <c r="K1132" s="2" t="s">
        <v>34</v>
      </c>
      <c r="L1132" s="4" t="s">
        <v>17</v>
      </c>
      <c r="M1132" s="4" t="str">
        <f t="shared" si="264"/>
        <v>1000184670100018619710001898041000189270GRANOLA</v>
      </c>
      <c r="N1132" s="28">
        <f>N1125*_xlfn.XLOOKUP($L1132,'Balizador da Meta'!$B$4:$B$21,'Balizador da Meta'!$C$4:$C$21)</f>
        <v>120</v>
      </c>
      <c r="O1132" s="28">
        <f>O1125*_xlfn.XLOOKUP($L1132,'Balizador da Meta'!$B$4:$B$21,'Balizador da Meta'!$C$4:$C$21)</f>
        <v>120</v>
      </c>
      <c r="P1132" s="28">
        <f>P1125*_xlfn.XLOOKUP($L1132,'Balizador da Meta'!$B$4:$B$21,'Balizador da Meta'!$C$4:$C$21)</f>
        <v>120</v>
      </c>
      <c r="Q1132" s="28">
        <f>Q1125*_xlfn.XLOOKUP($L1132,'Balizador da Meta'!$B$4:$B$21,'Balizador da Meta'!$C$4:$C$21)</f>
        <v>120</v>
      </c>
      <c r="R1132" s="28">
        <f>R1125*_xlfn.XLOOKUP($L1132,'Balizador da Meta'!$B$4:$B$21,'Balizador da Meta'!$C$4:$C$21)</f>
        <v>120</v>
      </c>
      <c r="S1132" s="28">
        <f>S1125*_xlfn.XLOOKUP($L1132,'Balizador da Meta'!$B$4:$B$21,'Balizador da Meta'!$C$4:$C$21)</f>
        <v>132</v>
      </c>
      <c r="T1132" s="28">
        <f>T1125*_xlfn.XLOOKUP($L1132,'Balizador da Meta'!$B$4:$B$21,'Balizador da Meta'!$C$4:$C$21)</f>
        <v>132</v>
      </c>
      <c r="U1132" s="28">
        <f>U1125*_xlfn.XLOOKUP($L1132,'Balizador da Meta'!$B$4:$B$21,'Balizador da Meta'!$C$4:$C$21)</f>
        <v>132</v>
      </c>
      <c r="V1132" s="28">
        <f>V1125*_xlfn.XLOOKUP($L1132,'Balizador da Meta'!$B$4:$B$21,'Balizador da Meta'!$C$4:$C$21)</f>
        <v>132</v>
      </c>
      <c r="W1132" s="28">
        <f>W1125*_xlfn.XLOOKUP($L1132,'Balizador da Meta'!$B$4:$B$21,'Balizador da Meta'!$C$4:$C$21)</f>
        <v>132</v>
      </c>
      <c r="X1132" s="28">
        <f>X1125*_xlfn.XLOOKUP($L1132,'Balizador da Meta'!$B$4:$B$21,'Balizador da Meta'!$C$4:$C$21)</f>
        <v>144</v>
      </c>
      <c r="Y1132" s="28">
        <f>Y1125*_xlfn.XLOOKUP($L1132,'Balizador da Meta'!$B$4:$B$21,'Balizador da Meta'!$C$4:$C$21)</f>
        <v>144</v>
      </c>
      <c r="Z1132" s="30">
        <f t="shared" si="270"/>
        <v>1548</v>
      </c>
      <c r="AA1132" s="29"/>
      <c r="AB1132" s="31">
        <f>SUMIFS('Historico - FAT'!AK:AK,'Historico - FAT'!$K:$K,Faturamento!$L1132,'Historico - FAT'!$I:$I,Faturamento!$J1132,'Historico - FAT'!$G:$G,Faturamento!$H1132)</f>
        <v>0</v>
      </c>
      <c r="AC1132" s="31">
        <f>SUMIFS('Historico - FAT'!AL:AL,'Historico - FAT'!$K:$K,Faturamento!$L1132,'Historico - FAT'!$I:$I,Faturamento!$J1132,'Historico - FAT'!$G:$G,Faturamento!$H1132)</f>
        <v>0</v>
      </c>
      <c r="AD1132" s="31">
        <f>SUMIFS('Historico - FAT'!AM:AM,'Historico - FAT'!$K:$K,Faturamento!$L1132,'Historico - FAT'!$I:$I,Faturamento!$J1132,'Historico - FAT'!$G:$G,Faturamento!$H1132)</f>
        <v>0</v>
      </c>
      <c r="AE1132" s="27">
        <f>SUMIFS('Historico - FAT'!AN:AN,'Historico - FAT'!$K:$K,Faturamento!$L1132,'Historico - FAT'!$I:$I,Faturamento!$J1132,'Historico - FAT'!$G:$G,Faturamento!$H1132)</f>
        <v>0</v>
      </c>
      <c r="AG1132" s="24">
        <f t="shared" si="258"/>
        <v>1</v>
      </c>
      <c r="AH1132" s="24">
        <f t="shared" si="259"/>
        <v>1</v>
      </c>
      <c r="AI1132" s="24">
        <f t="shared" si="260"/>
        <v>1</v>
      </c>
    </row>
    <row r="1133" spans="1:35" hidden="1" x14ac:dyDescent="0.3">
      <c r="A1133" s="2" t="str">
        <f t="shared" si="257"/>
        <v>NÃO</v>
      </c>
      <c r="B1133" s="2">
        <v>1000184670</v>
      </c>
      <c r="C1133" s="2" t="s">
        <v>147</v>
      </c>
      <c r="D1133" s="4">
        <v>1000186197</v>
      </c>
      <c r="E1133" s="4" t="s">
        <v>166</v>
      </c>
      <c r="F1133" s="2">
        <v>1000185288</v>
      </c>
      <c r="G1133" s="2" t="s">
        <v>64</v>
      </c>
      <c r="H1133" s="4">
        <v>1000189804</v>
      </c>
      <c r="I1133" s="4" t="s">
        <v>89</v>
      </c>
      <c r="J1133" s="2">
        <v>1000189270</v>
      </c>
      <c r="K1133" s="2" t="s">
        <v>34</v>
      </c>
      <c r="L1133" s="4" t="s">
        <v>24</v>
      </c>
      <c r="M1133" s="4" t="str">
        <f t="shared" si="264"/>
        <v>1000184670100018619710001898041000189270KIDS</v>
      </c>
      <c r="N1133" s="28">
        <f>N1125*_xlfn.XLOOKUP($L1133,'Balizador da Meta'!$B$4:$B$21,'Balizador da Meta'!$C$4:$C$21)</f>
        <v>0</v>
      </c>
      <c r="O1133" s="28">
        <f>O1125*_xlfn.XLOOKUP($L1133,'Balizador da Meta'!$B$4:$B$21,'Balizador da Meta'!$C$4:$C$21)</f>
        <v>0</v>
      </c>
      <c r="P1133" s="28">
        <f>P1125*_xlfn.XLOOKUP($L1133,'Balizador da Meta'!$B$4:$B$21,'Balizador da Meta'!$C$4:$C$21)</f>
        <v>0</v>
      </c>
      <c r="Q1133" s="28">
        <f>Q1125*_xlfn.XLOOKUP($L1133,'Balizador da Meta'!$B$4:$B$21,'Balizador da Meta'!$C$4:$C$21)</f>
        <v>0</v>
      </c>
      <c r="R1133" s="28">
        <f>R1125*_xlfn.XLOOKUP($L1133,'Balizador da Meta'!$B$4:$B$21,'Balizador da Meta'!$C$4:$C$21)</f>
        <v>0</v>
      </c>
      <c r="S1133" s="28">
        <f>S1125*_xlfn.XLOOKUP($L1133,'Balizador da Meta'!$B$4:$B$21,'Balizador da Meta'!$C$4:$C$21)</f>
        <v>0</v>
      </c>
      <c r="T1133" s="28">
        <f>T1125*_xlfn.XLOOKUP($L1133,'Balizador da Meta'!$B$4:$B$21,'Balizador da Meta'!$C$4:$C$21)</f>
        <v>0</v>
      </c>
      <c r="U1133" s="28">
        <f>U1125*_xlfn.XLOOKUP($L1133,'Balizador da Meta'!$B$4:$B$21,'Balizador da Meta'!$C$4:$C$21)</f>
        <v>0</v>
      </c>
      <c r="V1133" s="28">
        <f>V1125*_xlfn.XLOOKUP($L1133,'Balizador da Meta'!$B$4:$B$21,'Balizador da Meta'!$C$4:$C$21)</f>
        <v>0</v>
      </c>
      <c r="W1133" s="28">
        <f>W1125*_xlfn.XLOOKUP($L1133,'Balizador da Meta'!$B$4:$B$21,'Balizador da Meta'!$C$4:$C$21)</f>
        <v>0</v>
      </c>
      <c r="X1133" s="28">
        <f>X1125*_xlfn.XLOOKUP($L1133,'Balizador da Meta'!$B$4:$B$21,'Balizador da Meta'!$C$4:$C$21)</f>
        <v>0</v>
      </c>
      <c r="Y1133" s="28">
        <f>Y1125*_xlfn.XLOOKUP($L1133,'Balizador da Meta'!$B$4:$B$21,'Balizador da Meta'!$C$4:$C$21)</f>
        <v>0</v>
      </c>
      <c r="Z1133" s="30">
        <f t="shared" si="270"/>
        <v>0</v>
      </c>
      <c r="AA1133" s="29"/>
      <c r="AB1133" s="31">
        <f>SUMIFS('Historico - FAT'!AK:AK,'Historico - FAT'!$K:$K,Faturamento!$L1133,'Historico - FAT'!$I:$I,Faturamento!$J1133,'Historico - FAT'!$G:$G,Faturamento!$H1133)</f>
        <v>10.220000000000001</v>
      </c>
      <c r="AC1133" s="31">
        <f>SUMIFS('Historico - FAT'!AL:AL,'Historico - FAT'!$K:$K,Faturamento!$L1133,'Historico - FAT'!$I:$I,Faturamento!$J1133,'Historico - FAT'!$G:$G,Faturamento!$H1133)</f>
        <v>0</v>
      </c>
      <c r="AD1133" s="31">
        <f>SUMIFS('Historico - FAT'!AM:AM,'Historico - FAT'!$K:$K,Faturamento!$L1133,'Historico - FAT'!$I:$I,Faturamento!$J1133,'Historico - FAT'!$G:$G,Faturamento!$H1133)</f>
        <v>0</v>
      </c>
      <c r="AE1133" s="27">
        <f>SUMIFS('Historico - FAT'!AN:AN,'Historico - FAT'!$K:$K,Faturamento!$L1133,'Historico - FAT'!$I:$I,Faturamento!$J1133,'Historico - FAT'!$G:$G,Faturamento!$H1133)</f>
        <v>0</v>
      </c>
      <c r="AG1133" s="24" t="str">
        <f t="shared" si="258"/>
        <v/>
      </c>
      <c r="AH1133" s="24" t="str">
        <f t="shared" si="259"/>
        <v/>
      </c>
      <c r="AI1133" s="24" t="str">
        <f t="shared" si="260"/>
        <v/>
      </c>
    </row>
    <row r="1134" spans="1:35" hidden="1" x14ac:dyDescent="0.3">
      <c r="A1134" s="2" t="str">
        <f t="shared" si="257"/>
        <v>NÃO</v>
      </c>
      <c r="B1134" s="2">
        <v>1000184670</v>
      </c>
      <c r="C1134" s="2" t="s">
        <v>147</v>
      </c>
      <c r="D1134" s="4">
        <v>1000186197</v>
      </c>
      <c r="E1134" s="4" t="s">
        <v>166</v>
      </c>
      <c r="F1134" s="2">
        <v>1000185288</v>
      </c>
      <c r="G1134" s="2" t="s">
        <v>64</v>
      </c>
      <c r="H1134" s="4">
        <v>1000189804</v>
      </c>
      <c r="I1134" s="4" t="s">
        <v>89</v>
      </c>
      <c r="J1134" s="2">
        <v>1000189270</v>
      </c>
      <c r="K1134" s="2" t="s">
        <v>34</v>
      </c>
      <c r="L1134" s="4" t="s">
        <v>18</v>
      </c>
      <c r="M1134" s="4" t="str">
        <f t="shared" si="264"/>
        <v>1000184670100018619710001898041000189270LANCHES</v>
      </c>
      <c r="N1134" s="28">
        <f>N1125*_xlfn.XLOOKUP($L1134,'Balizador da Meta'!$B$4:$B$21,'Balizador da Meta'!$C$4:$C$21)</f>
        <v>60</v>
      </c>
      <c r="O1134" s="28">
        <f>O1125*_xlfn.XLOOKUP($L1134,'Balizador da Meta'!$B$4:$B$21,'Balizador da Meta'!$C$4:$C$21)</f>
        <v>60</v>
      </c>
      <c r="P1134" s="28">
        <f>P1125*_xlfn.XLOOKUP($L1134,'Balizador da Meta'!$B$4:$B$21,'Balizador da Meta'!$C$4:$C$21)</f>
        <v>60</v>
      </c>
      <c r="Q1134" s="28">
        <f>Q1125*_xlfn.XLOOKUP($L1134,'Balizador da Meta'!$B$4:$B$21,'Balizador da Meta'!$C$4:$C$21)</f>
        <v>60</v>
      </c>
      <c r="R1134" s="28">
        <f>R1125*_xlfn.XLOOKUP($L1134,'Balizador da Meta'!$B$4:$B$21,'Balizador da Meta'!$C$4:$C$21)</f>
        <v>60</v>
      </c>
      <c r="S1134" s="28">
        <f>S1125*_xlfn.XLOOKUP($L1134,'Balizador da Meta'!$B$4:$B$21,'Balizador da Meta'!$C$4:$C$21)</f>
        <v>66</v>
      </c>
      <c r="T1134" s="28">
        <f>T1125*_xlfn.XLOOKUP($L1134,'Balizador da Meta'!$B$4:$B$21,'Balizador da Meta'!$C$4:$C$21)</f>
        <v>66</v>
      </c>
      <c r="U1134" s="28">
        <f>U1125*_xlfn.XLOOKUP($L1134,'Balizador da Meta'!$B$4:$B$21,'Balizador da Meta'!$C$4:$C$21)</f>
        <v>66</v>
      </c>
      <c r="V1134" s="28">
        <f>V1125*_xlfn.XLOOKUP($L1134,'Balizador da Meta'!$B$4:$B$21,'Balizador da Meta'!$C$4:$C$21)</f>
        <v>66</v>
      </c>
      <c r="W1134" s="28">
        <f>W1125*_xlfn.XLOOKUP($L1134,'Balizador da Meta'!$B$4:$B$21,'Balizador da Meta'!$C$4:$C$21)</f>
        <v>66</v>
      </c>
      <c r="X1134" s="28">
        <f>X1125*_xlfn.XLOOKUP($L1134,'Balizador da Meta'!$B$4:$B$21,'Balizador da Meta'!$C$4:$C$21)</f>
        <v>72</v>
      </c>
      <c r="Y1134" s="28">
        <f>Y1125*_xlfn.XLOOKUP($L1134,'Balizador da Meta'!$B$4:$B$21,'Balizador da Meta'!$C$4:$C$21)</f>
        <v>72</v>
      </c>
      <c r="Z1134" s="30">
        <f t="shared" si="270"/>
        <v>774</v>
      </c>
      <c r="AA1134" s="29"/>
      <c r="AB1134" s="31">
        <f>SUMIFS('Historico - FAT'!AK:AK,'Historico - FAT'!$K:$K,Faturamento!$L1134,'Historico - FAT'!$I:$I,Faturamento!$J1134,'Historico - FAT'!$G:$G,Faturamento!$H1134)</f>
        <v>0</v>
      </c>
      <c r="AC1134" s="31">
        <f>SUMIFS('Historico - FAT'!AL:AL,'Historico - FAT'!$K:$K,Faturamento!$L1134,'Historico - FAT'!$I:$I,Faturamento!$J1134,'Historico - FAT'!$G:$G,Faturamento!$H1134)</f>
        <v>0</v>
      </c>
      <c r="AD1134" s="31">
        <f>SUMIFS('Historico - FAT'!AM:AM,'Historico - FAT'!$K:$K,Faturamento!$L1134,'Historico - FAT'!$I:$I,Faturamento!$J1134,'Historico - FAT'!$G:$G,Faturamento!$H1134)</f>
        <v>0</v>
      </c>
      <c r="AE1134" s="27">
        <f>SUMIFS('Historico - FAT'!AN:AN,'Historico - FAT'!$K:$K,Faturamento!$L1134,'Historico - FAT'!$I:$I,Faturamento!$J1134,'Historico - FAT'!$G:$G,Faturamento!$H1134)</f>
        <v>0</v>
      </c>
      <c r="AG1134" s="24">
        <f t="shared" si="258"/>
        <v>1</v>
      </c>
      <c r="AH1134" s="24">
        <f t="shared" si="259"/>
        <v>1</v>
      </c>
      <c r="AI1134" s="24">
        <f t="shared" si="260"/>
        <v>1</v>
      </c>
    </row>
    <row r="1135" spans="1:35" hidden="1" x14ac:dyDescent="0.3">
      <c r="A1135" s="2" t="str">
        <f t="shared" si="257"/>
        <v>NÃO</v>
      </c>
      <c r="B1135" s="2">
        <v>1000184670</v>
      </c>
      <c r="C1135" s="2" t="s">
        <v>147</v>
      </c>
      <c r="D1135" s="4">
        <v>1000186197</v>
      </c>
      <c r="E1135" s="4" t="s">
        <v>166</v>
      </c>
      <c r="F1135" s="2">
        <v>1000185288</v>
      </c>
      <c r="G1135" s="2" t="s">
        <v>64</v>
      </c>
      <c r="H1135" s="4">
        <v>1000189804</v>
      </c>
      <c r="I1135" s="4" t="s">
        <v>89</v>
      </c>
      <c r="J1135" s="2">
        <v>1000189270</v>
      </c>
      <c r="K1135" s="2" t="s">
        <v>34</v>
      </c>
      <c r="L1135" s="4" t="s">
        <v>29</v>
      </c>
      <c r="M1135" s="4" t="str">
        <f t="shared" si="264"/>
        <v>1000184670100018619710001898041000189270MAIS GRANEL</v>
      </c>
      <c r="N1135" s="28">
        <f>N1125*_xlfn.XLOOKUP($L1135,'Balizador da Meta'!$B$4:$B$21,'Balizador da Meta'!$C$4:$C$21)</f>
        <v>1920</v>
      </c>
      <c r="O1135" s="28">
        <f>O1125*_xlfn.XLOOKUP($L1135,'Balizador da Meta'!$B$4:$B$21,'Balizador da Meta'!$C$4:$C$21)</f>
        <v>1920</v>
      </c>
      <c r="P1135" s="28">
        <f>P1125*_xlfn.XLOOKUP($L1135,'Balizador da Meta'!$B$4:$B$21,'Balizador da Meta'!$C$4:$C$21)</f>
        <v>1920</v>
      </c>
      <c r="Q1135" s="28">
        <f>Q1125*_xlfn.XLOOKUP($L1135,'Balizador da Meta'!$B$4:$B$21,'Balizador da Meta'!$C$4:$C$21)</f>
        <v>1920</v>
      </c>
      <c r="R1135" s="28">
        <f>R1125*_xlfn.XLOOKUP($L1135,'Balizador da Meta'!$B$4:$B$21,'Balizador da Meta'!$C$4:$C$21)</f>
        <v>1920</v>
      </c>
      <c r="S1135" s="28">
        <f>S1125*_xlfn.XLOOKUP($L1135,'Balizador da Meta'!$B$4:$B$21,'Balizador da Meta'!$C$4:$C$21)</f>
        <v>2112</v>
      </c>
      <c r="T1135" s="28">
        <f>T1125*_xlfn.XLOOKUP($L1135,'Balizador da Meta'!$B$4:$B$21,'Balizador da Meta'!$C$4:$C$21)</f>
        <v>2112</v>
      </c>
      <c r="U1135" s="28">
        <f>U1125*_xlfn.XLOOKUP($L1135,'Balizador da Meta'!$B$4:$B$21,'Balizador da Meta'!$C$4:$C$21)</f>
        <v>2112</v>
      </c>
      <c r="V1135" s="28">
        <f>V1125*_xlfn.XLOOKUP($L1135,'Balizador da Meta'!$B$4:$B$21,'Balizador da Meta'!$C$4:$C$21)</f>
        <v>2112</v>
      </c>
      <c r="W1135" s="28">
        <f>W1125*_xlfn.XLOOKUP($L1135,'Balizador da Meta'!$B$4:$B$21,'Balizador da Meta'!$C$4:$C$21)</f>
        <v>2112</v>
      </c>
      <c r="X1135" s="28">
        <f>X1125*_xlfn.XLOOKUP($L1135,'Balizador da Meta'!$B$4:$B$21,'Balizador da Meta'!$C$4:$C$21)</f>
        <v>2304</v>
      </c>
      <c r="Y1135" s="28">
        <f>Y1125*_xlfn.XLOOKUP($L1135,'Balizador da Meta'!$B$4:$B$21,'Balizador da Meta'!$C$4:$C$21)</f>
        <v>2304</v>
      </c>
      <c r="Z1135" s="30">
        <f t="shared" si="270"/>
        <v>24768</v>
      </c>
      <c r="AA1135" s="29"/>
      <c r="AB1135" s="31">
        <f>SUMIFS('Historico - FAT'!AK:AK,'Historico - FAT'!$K:$K,Faturamento!$L1135,'Historico - FAT'!$I:$I,Faturamento!$J1135,'Historico - FAT'!$G:$G,Faturamento!$H1135)</f>
        <v>0</v>
      </c>
      <c r="AC1135" s="31">
        <f>SUMIFS('Historico - FAT'!AL:AL,'Historico - FAT'!$K:$K,Faturamento!$L1135,'Historico - FAT'!$I:$I,Faturamento!$J1135,'Historico - FAT'!$G:$G,Faturamento!$H1135)</f>
        <v>160.37916666666669</v>
      </c>
      <c r="AD1135" s="31">
        <f>SUMIFS('Historico - FAT'!AM:AM,'Historico - FAT'!$K:$K,Faturamento!$L1135,'Historico - FAT'!$I:$I,Faturamento!$J1135,'Historico - FAT'!$G:$G,Faturamento!$H1135)</f>
        <v>320.75833333333338</v>
      </c>
      <c r="AE1135" s="27">
        <f>SUMIFS('Historico - FAT'!AN:AN,'Historico - FAT'!$K:$K,Faturamento!$L1135,'Historico - FAT'!$I:$I,Faturamento!$J1135,'Historico - FAT'!$G:$G,Faturamento!$H1135)</f>
        <v>192.45500000000001</v>
      </c>
      <c r="AG1135" s="24">
        <f t="shared" si="258"/>
        <v>1</v>
      </c>
      <c r="AH1135" s="24">
        <f t="shared" si="259"/>
        <v>0.92840215773809531</v>
      </c>
      <c r="AI1135" s="24">
        <f t="shared" si="260"/>
        <v>0.8568043154761904</v>
      </c>
    </row>
    <row r="1136" spans="1:35" hidden="1" x14ac:dyDescent="0.3">
      <c r="A1136" s="2" t="str">
        <f t="shared" si="257"/>
        <v>NÃO</v>
      </c>
      <c r="B1136" s="2">
        <v>1000184670</v>
      </c>
      <c r="C1136" s="2" t="s">
        <v>147</v>
      </c>
      <c r="D1136" s="4">
        <v>1000186197</v>
      </c>
      <c r="E1136" s="4" t="s">
        <v>166</v>
      </c>
      <c r="F1136" s="2">
        <v>1000185288</v>
      </c>
      <c r="G1136" s="2" t="s">
        <v>64</v>
      </c>
      <c r="H1136" s="4">
        <v>1000189804</v>
      </c>
      <c r="I1136" s="4" t="s">
        <v>89</v>
      </c>
      <c r="J1136" s="2">
        <v>1000189270</v>
      </c>
      <c r="K1136" s="2" t="s">
        <v>34</v>
      </c>
      <c r="L1136" s="4" t="s">
        <v>21</v>
      </c>
      <c r="M1136" s="4" t="str">
        <f t="shared" si="264"/>
        <v>1000184670100018619710001898041000189270NATURATTA</v>
      </c>
      <c r="N1136" s="28">
        <f>N1125*_xlfn.XLOOKUP($L1136,'Balizador da Meta'!$B$4:$B$21,'Balizador da Meta'!$C$4:$C$21)</f>
        <v>300</v>
      </c>
      <c r="O1136" s="28">
        <f>O1125*_xlfn.XLOOKUP($L1136,'Balizador da Meta'!$B$4:$B$21,'Balizador da Meta'!$C$4:$C$21)</f>
        <v>300</v>
      </c>
      <c r="P1136" s="28">
        <f>P1125*_xlfn.XLOOKUP($L1136,'Balizador da Meta'!$B$4:$B$21,'Balizador da Meta'!$C$4:$C$21)</f>
        <v>300</v>
      </c>
      <c r="Q1136" s="28">
        <f>Q1125*_xlfn.XLOOKUP($L1136,'Balizador da Meta'!$B$4:$B$21,'Balizador da Meta'!$C$4:$C$21)</f>
        <v>300</v>
      </c>
      <c r="R1136" s="28">
        <f>R1125*_xlfn.XLOOKUP($L1136,'Balizador da Meta'!$B$4:$B$21,'Balizador da Meta'!$C$4:$C$21)</f>
        <v>300</v>
      </c>
      <c r="S1136" s="28">
        <f>S1125*_xlfn.XLOOKUP($L1136,'Balizador da Meta'!$B$4:$B$21,'Balizador da Meta'!$C$4:$C$21)</f>
        <v>330</v>
      </c>
      <c r="T1136" s="28">
        <f>T1125*_xlfn.XLOOKUP($L1136,'Balizador da Meta'!$B$4:$B$21,'Balizador da Meta'!$C$4:$C$21)</f>
        <v>330</v>
      </c>
      <c r="U1136" s="28">
        <f>U1125*_xlfn.XLOOKUP($L1136,'Balizador da Meta'!$B$4:$B$21,'Balizador da Meta'!$C$4:$C$21)</f>
        <v>330</v>
      </c>
      <c r="V1136" s="28">
        <f>V1125*_xlfn.XLOOKUP($L1136,'Balizador da Meta'!$B$4:$B$21,'Balizador da Meta'!$C$4:$C$21)</f>
        <v>330</v>
      </c>
      <c r="W1136" s="28">
        <f>W1125*_xlfn.XLOOKUP($L1136,'Balizador da Meta'!$B$4:$B$21,'Balizador da Meta'!$C$4:$C$21)</f>
        <v>330</v>
      </c>
      <c r="X1136" s="28">
        <f>X1125*_xlfn.XLOOKUP($L1136,'Balizador da Meta'!$B$4:$B$21,'Balizador da Meta'!$C$4:$C$21)</f>
        <v>360</v>
      </c>
      <c r="Y1136" s="28">
        <f>Y1125*_xlfn.XLOOKUP($L1136,'Balizador da Meta'!$B$4:$B$21,'Balizador da Meta'!$C$4:$C$21)</f>
        <v>360</v>
      </c>
      <c r="Z1136" s="30">
        <f t="shared" si="270"/>
        <v>3870</v>
      </c>
      <c r="AA1136" s="29"/>
      <c r="AB1136" s="31">
        <f>SUMIFS('Historico - FAT'!AK:AK,'Historico - FAT'!$K:$K,Faturamento!$L1136,'Historico - FAT'!$I:$I,Faturamento!$J1136,'Historico - FAT'!$G:$G,Faturamento!$H1136)</f>
        <v>0</v>
      </c>
      <c r="AC1136" s="31">
        <f>SUMIFS('Historico - FAT'!AL:AL,'Historico - FAT'!$K:$K,Faturamento!$L1136,'Historico - FAT'!$I:$I,Faturamento!$J1136,'Historico - FAT'!$G:$G,Faturamento!$H1136)</f>
        <v>55.189166666666665</v>
      </c>
      <c r="AD1136" s="31">
        <f>SUMIFS('Historico - FAT'!AM:AM,'Historico - FAT'!$K:$K,Faturamento!$L1136,'Historico - FAT'!$I:$I,Faturamento!$J1136,'Historico - FAT'!$G:$G,Faturamento!$H1136)</f>
        <v>93.738333333333344</v>
      </c>
      <c r="AE1136" s="27">
        <f>SUMIFS('Historico - FAT'!AN:AN,'Historico - FAT'!$K:$K,Faturamento!$L1136,'Historico - FAT'!$I:$I,Faturamento!$J1136,'Historico - FAT'!$G:$G,Faturamento!$H1136)</f>
        <v>66.227000000000004</v>
      </c>
      <c r="AG1136" s="24">
        <f t="shared" si="258"/>
        <v>1</v>
      </c>
      <c r="AH1136" s="24">
        <f t="shared" si="259"/>
        <v>0.84231666666666671</v>
      </c>
      <c r="AI1136" s="24">
        <f t="shared" si="260"/>
        <v>0.73217619047619042</v>
      </c>
    </row>
    <row r="1137" spans="1:35" hidden="1" x14ac:dyDescent="0.3">
      <c r="A1137" s="2" t="str">
        <f t="shared" si="257"/>
        <v>NÃO</v>
      </c>
      <c r="B1137" s="2">
        <v>1000184670</v>
      </c>
      <c r="C1137" s="2" t="s">
        <v>147</v>
      </c>
      <c r="D1137" s="4">
        <v>1000186197</v>
      </c>
      <c r="E1137" s="4" t="s">
        <v>166</v>
      </c>
      <c r="F1137" s="2">
        <v>1000185288</v>
      </c>
      <c r="G1137" s="2" t="s">
        <v>64</v>
      </c>
      <c r="H1137" s="4">
        <v>1000189804</v>
      </c>
      <c r="I1137" s="4" t="s">
        <v>89</v>
      </c>
      <c r="J1137" s="2">
        <v>1000189270</v>
      </c>
      <c r="K1137" s="2" t="s">
        <v>34</v>
      </c>
      <c r="L1137" s="4" t="s">
        <v>20</v>
      </c>
      <c r="M1137" s="4" t="str">
        <f t="shared" si="264"/>
        <v>1000184670100018619710001898041000189270REEMBALADOS</v>
      </c>
      <c r="N1137" s="28">
        <f>N1125*_xlfn.XLOOKUP($L1137,'Balizador da Meta'!$B$4:$B$21,'Balizador da Meta'!$C$4:$C$21)</f>
        <v>240</v>
      </c>
      <c r="O1137" s="28">
        <f>O1125*_xlfn.XLOOKUP($L1137,'Balizador da Meta'!$B$4:$B$21,'Balizador da Meta'!$C$4:$C$21)</f>
        <v>240</v>
      </c>
      <c r="P1137" s="28">
        <f>P1125*_xlfn.XLOOKUP($L1137,'Balizador da Meta'!$B$4:$B$21,'Balizador da Meta'!$C$4:$C$21)</f>
        <v>240</v>
      </c>
      <c r="Q1137" s="28">
        <f>Q1125*_xlfn.XLOOKUP($L1137,'Balizador da Meta'!$B$4:$B$21,'Balizador da Meta'!$C$4:$C$21)</f>
        <v>240</v>
      </c>
      <c r="R1137" s="28">
        <f>R1125*_xlfn.XLOOKUP($L1137,'Balizador da Meta'!$B$4:$B$21,'Balizador da Meta'!$C$4:$C$21)</f>
        <v>240</v>
      </c>
      <c r="S1137" s="28">
        <f>S1125*_xlfn.XLOOKUP($L1137,'Balizador da Meta'!$B$4:$B$21,'Balizador da Meta'!$C$4:$C$21)</f>
        <v>264</v>
      </c>
      <c r="T1137" s="28">
        <f>T1125*_xlfn.XLOOKUP($L1137,'Balizador da Meta'!$B$4:$B$21,'Balizador da Meta'!$C$4:$C$21)</f>
        <v>264</v>
      </c>
      <c r="U1137" s="28">
        <f>U1125*_xlfn.XLOOKUP($L1137,'Balizador da Meta'!$B$4:$B$21,'Balizador da Meta'!$C$4:$C$21)</f>
        <v>264</v>
      </c>
      <c r="V1137" s="28">
        <f>V1125*_xlfn.XLOOKUP($L1137,'Balizador da Meta'!$B$4:$B$21,'Balizador da Meta'!$C$4:$C$21)</f>
        <v>264</v>
      </c>
      <c r="W1137" s="28">
        <f>W1125*_xlfn.XLOOKUP($L1137,'Balizador da Meta'!$B$4:$B$21,'Balizador da Meta'!$C$4:$C$21)</f>
        <v>264</v>
      </c>
      <c r="X1137" s="28">
        <f>X1125*_xlfn.XLOOKUP($L1137,'Balizador da Meta'!$B$4:$B$21,'Balizador da Meta'!$C$4:$C$21)</f>
        <v>288</v>
      </c>
      <c r="Y1137" s="28">
        <f>Y1125*_xlfn.XLOOKUP($L1137,'Balizador da Meta'!$B$4:$B$21,'Balizador da Meta'!$C$4:$C$21)</f>
        <v>288</v>
      </c>
      <c r="Z1137" s="30">
        <f t="shared" si="270"/>
        <v>3096</v>
      </c>
      <c r="AA1137" s="29"/>
      <c r="AB1137" s="31">
        <f>SUMIFS('Historico - FAT'!AK:AK,'Historico - FAT'!$K:$K,Faturamento!$L1137,'Historico - FAT'!$I:$I,Faturamento!$J1137,'Historico - FAT'!$G:$G,Faturamento!$H1137)</f>
        <v>17.5</v>
      </c>
      <c r="AC1137" s="31">
        <f>SUMIFS('Historico - FAT'!AL:AL,'Historico - FAT'!$K:$K,Faturamento!$L1137,'Historico - FAT'!$I:$I,Faturamento!$J1137,'Historico - FAT'!$G:$G,Faturamento!$H1137)</f>
        <v>0</v>
      </c>
      <c r="AD1137" s="31">
        <f>SUMIFS('Historico - FAT'!AM:AM,'Historico - FAT'!$K:$K,Faturamento!$L1137,'Historico - FAT'!$I:$I,Faturamento!$J1137,'Historico - FAT'!$G:$G,Faturamento!$H1137)</f>
        <v>0</v>
      </c>
      <c r="AE1137" s="27">
        <f>SUMIFS('Historico - FAT'!AN:AN,'Historico - FAT'!$K:$K,Faturamento!$L1137,'Historico - FAT'!$I:$I,Faturamento!$J1137,'Historico - FAT'!$G:$G,Faturamento!$H1137)</f>
        <v>0</v>
      </c>
      <c r="AG1137" s="24">
        <f t="shared" si="258"/>
        <v>0.9375</v>
      </c>
      <c r="AH1137" s="24">
        <f t="shared" si="259"/>
        <v>1</v>
      </c>
      <c r="AI1137" s="24">
        <f t="shared" si="260"/>
        <v>1</v>
      </c>
    </row>
    <row r="1138" spans="1:35" hidden="1" x14ac:dyDescent="0.3">
      <c r="A1138" s="2" t="str">
        <f t="shared" ref="A1138:A1201" si="271">IF(OR(H1138&lt;&gt;H1137,J1138&lt;&gt;J1137),"SIM","NÃO")</f>
        <v>NÃO</v>
      </c>
      <c r="B1138" s="2">
        <v>1000184670</v>
      </c>
      <c r="C1138" s="2" t="s">
        <v>147</v>
      </c>
      <c r="D1138" s="4">
        <v>1000186197</v>
      </c>
      <c r="E1138" s="4" t="s">
        <v>166</v>
      </c>
      <c r="F1138" s="2">
        <v>1000185288</v>
      </c>
      <c r="G1138" s="2" t="s">
        <v>64</v>
      </c>
      <c r="H1138" s="4">
        <v>1000189804</v>
      </c>
      <c r="I1138" s="4" t="s">
        <v>89</v>
      </c>
      <c r="J1138" s="2">
        <v>1000189270</v>
      </c>
      <c r="K1138" s="2" t="s">
        <v>34</v>
      </c>
      <c r="L1138" s="4" t="s">
        <v>22</v>
      </c>
      <c r="M1138" s="4" t="str">
        <f t="shared" si="264"/>
        <v>1000184670100018619710001898041000189270S GLUTEN</v>
      </c>
      <c r="N1138" s="28">
        <f>N1125*_xlfn.XLOOKUP($L1138,'Balizador da Meta'!$B$4:$B$21,'Balizador da Meta'!$C$4:$C$21)</f>
        <v>240</v>
      </c>
      <c r="O1138" s="28">
        <f>O1125*_xlfn.XLOOKUP($L1138,'Balizador da Meta'!$B$4:$B$21,'Balizador da Meta'!$C$4:$C$21)</f>
        <v>240</v>
      </c>
      <c r="P1138" s="28">
        <f>P1125*_xlfn.XLOOKUP($L1138,'Balizador da Meta'!$B$4:$B$21,'Balizador da Meta'!$C$4:$C$21)</f>
        <v>240</v>
      </c>
      <c r="Q1138" s="28">
        <f>Q1125*_xlfn.XLOOKUP($L1138,'Balizador da Meta'!$B$4:$B$21,'Balizador da Meta'!$C$4:$C$21)</f>
        <v>240</v>
      </c>
      <c r="R1138" s="28">
        <f>R1125*_xlfn.XLOOKUP($L1138,'Balizador da Meta'!$B$4:$B$21,'Balizador da Meta'!$C$4:$C$21)</f>
        <v>240</v>
      </c>
      <c r="S1138" s="28">
        <f>S1125*_xlfn.XLOOKUP($L1138,'Balizador da Meta'!$B$4:$B$21,'Balizador da Meta'!$C$4:$C$21)</f>
        <v>264</v>
      </c>
      <c r="T1138" s="28">
        <f>T1125*_xlfn.XLOOKUP($L1138,'Balizador da Meta'!$B$4:$B$21,'Balizador da Meta'!$C$4:$C$21)</f>
        <v>264</v>
      </c>
      <c r="U1138" s="28">
        <f>U1125*_xlfn.XLOOKUP($L1138,'Balizador da Meta'!$B$4:$B$21,'Balizador da Meta'!$C$4:$C$21)</f>
        <v>264</v>
      </c>
      <c r="V1138" s="28">
        <f>V1125*_xlfn.XLOOKUP($L1138,'Balizador da Meta'!$B$4:$B$21,'Balizador da Meta'!$C$4:$C$21)</f>
        <v>264</v>
      </c>
      <c r="W1138" s="28">
        <f>W1125*_xlfn.XLOOKUP($L1138,'Balizador da Meta'!$B$4:$B$21,'Balizador da Meta'!$C$4:$C$21)</f>
        <v>264</v>
      </c>
      <c r="X1138" s="28">
        <f>X1125*_xlfn.XLOOKUP($L1138,'Balizador da Meta'!$B$4:$B$21,'Balizador da Meta'!$C$4:$C$21)</f>
        <v>288</v>
      </c>
      <c r="Y1138" s="28">
        <f>Y1125*_xlfn.XLOOKUP($L1138,'Balizador da Meta'!$B$4:$B$21,'Balizador da Meta'!$C$4:$C$21)</f>
        <v>288</v>
      </c>
      <c r="Z1138" s="30">
        <f t="shared" si="270"/>
        <v>3096</v>
      </c>
      <c r="AA1138" s="29"/>
      <c r="AB1138" s="31">
        <f>SUMIFS('Historico - FAT'!AK:AK,'Historico - FAT'!$K:$K,Faturamento!$L1138,'Historico - FAT'!$I:$I,Faturamento!$J1138,'Historico - FAT'!$G:$G,Faturamento!$H1138)</f>
        <v>19</v>
      </c>
      <c r="AC1138" s="31">
        <f>SUMIFS('Historico - FAT'!AL:AL,'Historico - FAT'!$K:$K,Faturamento!$L1138,'Historico - FAT'!$I:$I,Faturamento!$J1138,'Historico - FAT'!$G:$G,Faturamento!$H1138)</f>
        <v>2.75</v>
      </c>
      <c r="AD1138" s="31">
        <f>SUMIFS('Historico - FAT'!AM:AM,'Historico - FAT'!$K:$K,Faturamento!$L1138,'Historico - FAT'!$I:$I,Faturamento!$J1138,'Historico - FAT'!$G:$G,Faturamento!$H1138)</f>
        <v>5.5</v>
      </c>
      <c r="AE1138" s="27">
        <f>SUMIFS('Historico - FAT'!AN:AN,'Historico - FAT'!$K:$K,Faturamento!$L1138,'Historico - FAT'!$I:$I,Faturamento!$J1138,'Historico - FAT'!$G:$G,Faturamento!$H1138)</f>
        <v>3.3</v>
      </c>
      <c r="AG1138" s="24">
        <f t="shared" ref="AG1138:AG1201" si="272">IFERROR((AVERAGE(W1138:Y1138)-AB1138)/AVERAGE(W1138:Y1138),"")</f>
        <v>0.93214285714285716</v>
      </c>
      <c r="AH1138" s="24">
        <f t="shared" ref="AH1138:AH1201" si="273">IFERROR((AVERAGE(W1138:Y1138)-AC1138)/AVERAGE(W1138:Y1138),"")</f>
        <v>0.99017857142857146</v>
      </c>
      <c r="AI1138" s="24">
        <f t="shared" ref="AI1138:AI1201" si="274">IFERROR((AVERAGE(W1138:Y1138)-AD1138)/AVERAGE(W1138:Y1138),"")</f>
        <v>0.98035714285714282</v>
      </c>
    </row>
    <row r="1139" spans="1:35" hidden="1" x14ac:dyDescent="0.3">
      <c r="A1139" s="2" t="str">
        <f t="shared" si="271"/>
        <v>NÃO</v>
      </c>
      <c r="B1139" s="2">
        <v>1000184670</v>
      </c>
      <c r="C1139" s="2" t="s">
        <v>147</v>
      </c>
      <c r="D1139" s="4">
        <v>1000186197</v>
      </c>
      <c r="E1139" s="4" t="s">
        <v>166</v>
      </c>
      <c r="F1139" s="2">
        <v>1000185288</v>
      </c>
      <c r="G1139" s="2" t="s">
        <v>64</v>
      </c>
      <c r="H1139" s="4">
        <v>1000189804</v>
      </c>
      <c r="I1139" s="4" t="s">
        <v>89</v>
      </c>
      <c r="J1139" s="2">
        <v>1000189270</v>
      </c>
      <c r="K1139" s="2" t="s">
        <v>34</v>
      </c>
      <c r="L1139" s="4" t="s">
        <v>23</v>
      </c>
      <c r="M1139" s="4" t="str">
        <f t="shared" si="264"/>
        <v>1000184670100018619710001898041000189270SABORES DO CAMPO</v>
      </c>
      <c r="N1139" s="28">
        <f>N1125*_xlfn.XLOOKUP($L1139,'Balizador da Meta'!$B$4:$B$21,'Balizador da Meta'!$C$4:$C$21)</f>
        <v>0</v>
      </c>
      <c r="O1139" s="28">
        <f>O1125*_xlfn.XLOOKUP($L1139,'Balizador da Meta'!$B$4:$B$21,'Balizador da Meta'!$C$4:$C$21)</f>
        <v>0</v>
      </c>
      <c r="P1139" s="28">
        <f>P1125*_xlfn.XLOOKUP($L1139,'Balizador da Meta'!$B$4:$B$21,'Balizador da Meta'!$C$4:$C$21)</f>
        <v>0</v>
      </c>
      <c r="Q1139" s="28">
        <f>Q1125*_xlfn.XLOOKUP($L1139,'Balizador da Meta'!$B$4:$B$21,'Balizador da Meta'!$C$4:$C$21)</f>
        <v>0</v>
      </c>
      <c r="R1139" s="28">
        <f>R1125*_xlfn.XLOOKUP($L1139,'Balizador da Meta'!$B$4:$B$21,'Balizador da Meta'!$C$4:$C$21)</f>
        <v>0</v>
      </c>
      <c r="S1139" s="28">
        <f>S1125*_xlfn.XLOOKUP($L1139,'Balizador da Meta'!$B$4:$B$21,'Balizador da Meta'!$C$4:$C$21)</f>
        <v>0</v>
      </c>
      <c r="T1139" s="28">
        <f>T1125*_xlfn.XLOOKUP($L1139,'Balizador da Meta'!$B$4:$B$21,'Balizador da Meta'!$C$4:$C$21)</f>
        <v>0</v>
      </c>
      <c r="U1139" s="28">
        <f>U1125*_xlfn.XLOOKUP($L1139,'Balizador da Meta'!$B$4:$B$21,'Balizador da Meta'!$C$4:$C$21)</f>
        <v>0</v>
      </c>
      <c r="V1139" s="28">
        <f>V1125*_xlfn.XLOOKUP($L1139,'Balizador da Meta'!$B$4:$B$21,'Balizador da Meta'!$C$4:$C$21)</f>
        <v>0</v>
      </c>
      <c r="W1139" s="28">
        <f>W1125*_xlfn.XLOOKUP($L1139,'Balizador da Meta'!$B$4:$B$21,'Balizador da Meta'!$C$4:$C$21)</f>
        <v>0</v>
      </c>
      <c r="X1139" s="28">
        <f>X1125*_xlfn.XLOOKUP($L1139,'Balizador da Meta'!$B$4:$B$21,'Balizador da Meta'!$C$4:$C$21)</f>
        <v>0</v>
      </c>
      <c r="Y1139" s="28">
        <f>Y1125*_xlfn.XLOOKUP($L1139,'Balizador da Meta'!$B$4:$B$21,'Balizador da Meta'!$C$4:$C$21)</f>
        <v>0</v>
      </c>
      <c r="Z1139" s="30">
        <f t="shared" si="270"/>
        <v>0</v>
      </c>
      <c r="AA1139" s="29"/>
      <c r="AB1139" s="31">
        <f>SUMIFS('Historico - FAT'!AK:AK,'Historico - FAT'!$K:$K,Faturamento!$L1139,'Historico - FAT'!$I:$I,Faturamento!$J1139,'Historico - FAT'!$G:$G,Faturamento!$H1139)</f>
        <v>0</v>
      </c>
      <c r="AC1139" s="31">
        <f>SUMIFS('Historico - FAT'!AL:AL,'Historico - FAT'!$K:$K,Faturamento!$L1139,'Historico - FAT'!$I:$I,Faturamento!$J1139,'Historico - FAT'!$G:$G,Faturamento!$H1139)</f>
        <v>2.4341666666666666</v>
      </c>
      <c r="AD1139" s="31">
        <f>SUMIFS('Historico - FAT'!AM:AM,'Historico - FAT'!$K:$K,Faturamento!$L1139,'Historico - FAT'!$I:$I,Faturamento!$J1139,'Historico - FAT'!$G:$G,Faturamento!$H1139)</f>
        <v>4.8683333333333332</v>
      </c>
      <c r="AE1139" s="27">
        <f>SUMIFS('Historico - FAT'!AN:AN,'Historico - FAT'!$K:$K,Faturamento!$L1139,'Historico - FAT'!$I:$I,Faturamento!$J1139,'Historico - FAT'!$G:$G,Faturamento!$H1139)</f>
        <v>2.9210000000000003</v>
      </c>
      <c r="AG1139" s="24" t="str">
        <f t="shared" si="272"/>
        <v/>
      </c>
      <c r="AH1139" s="24" t="str">
        <f t="shared" si="273"/>
        <v/>
      </c>
      <c r="AI1139" s="24" t="str">
        <f t="shared" si="274"/>
        <v/>
      </c>
    </row>
    <row r="1140" spans="1:35" hidden="1" x14ac:dyDescent="0.3">
      <c r="A1140" s="2" t="str">
        <f t="shared" si="271"/>
        <v>NÃO</v>
      </c>
      <c r="B1140" s="2">
        <v>1000184670</v>
      </c>
      <c r="C1140" s="2" t="s">
        <v>147</v>
      </c>
      <c r="D1140" s="4">
        <v>1000186197</v>
      </c>
      <c r="E1140" s="4" t="s">
        <v>166</v>
      </c>
      <c r="F1140" s="2">
        <v>1000185288</v>
      </c>
      <c r="G1140" s="2" t="s">
        <v>64</v>
      </c>
      <c r="H1140" s="4">
        <v>1000189804</v>
      </c>
      <c r="I1140" s="4" t="s">
        <v>89</v>
      </c>
      <c r="J1140" s="2">
        <v>1000189270</v>
      </c>
      <c r="K1140" s="2" t="s">
        <v>34</v>
      </c>
      <c r="L1140" s="4" t="s">
        <v>28</v>
      </c>
      <c r="M1140" s="4" t="str">
        <f t="shared" si="264"/>
        <v>1000184670100018619710001898041000189270SAL</v>
      </c>
      <c r="N1140" s="28">
        <f>N1125*_xlfn.XLOOKUP($L1140,'Balizador da Meta'!$B$4:$B$21,'Balizador da Meta'!$C$4:$C$21)</f>
        <v>120</v>
      </c>
      <c r="O1140" s="28">
        <f>O1125*_xlfn.XLOOKUP($L1140,'Balizador da Meta'!$B$4:$B$21,'Balizador da Meta'!$C$4:$C$21)</f>
        <v>120</v>
      </c>
      <c r="P1140" s="28">
        <f>P1125*_xlfn.XLOOKUP($L1140,'Balizador da Meta'!$B$4:$B$21,'Balizador da Meta'!$C$4:$C$21)</f>
        <v>120</v>
      </c>
      <c r="Q1140" s="28">
        <f>Q1125*_xlfn.XLOOKUP($L1140,'Balizador da Meta'!$B$4:$B$21,'Balizador da Meta'!$C$4:$C$21)</f>
        <v>120</v>
      </c>
      <c r="R1140" s="28">
        <f>R1125*_xlfn.XLOOKUP($L1140,'Balizador da Meta'!$B$4:$B$21,'Balizador da Meta'!$C$4:$C$21)</f>
        <v>120</v>
      </c>
      <c r="S1140" s="28">
        <f>S1125*_xlfn.XLOOKUP($L1140,'Balizador da Meta'!$B$4:$B$21,'Balizador da Meta'!$C$4:$C$21)</f>
        <v>132</v>
      </c>
      <c r="T1140" s="28">
        <f>T1125*_xlfn.XLOOKUP($L1140,'Balizador da Meta'!$B$4:$B$21,'Balizador da Meta'!$C$4:$C$21)</f>
        <v>132</v>
      </c>
      <c r="U1140" s="28">
        <f>U1125*_xlfn.XLOOKUP($L1140,'Balizador da Meta'!$B$4:$B$21,'Balizador da Meta'!$C$4:$C$21)</f>
        <v>132</v>
      </c>
      <c r="V1140" s="28">
        <f>V1125*_xlfn.XLOOKUP($L1140,'Balizador da Meta'!$B$4:$B$21,'Balizador da Meta'!$C$4:$C$21)</f>
        <v>132</v>
      </c>
      <c r="W1140" s="28">
        <f>W1125*_xlfn.XLOOKUP($L1140,'Balizador da Meta'!$B$4:$B$21,'Balizador da Meta'!$C$4:$C$21)</f>
        <v>132</v>
      </c>
      <c r="X1140" s="28">
        <f>X1125*_xlfn.XLOOKUP($L1140,'Balizador da Meta'!$B$4:$B$21,'Balizador da Meta'!$C$4:$C$21)</f>
        <v>144</v>
      </c>
      <c r="Y1140" s="28">
        <f>Y1125*_xlfn.XLOOKUP($L1140,'Balizador da Meta'!$B$4:$B$21,'Balizador da Meta'!$C$4:$C$21)</f>
        <v>144</v>
      </c>
      <c r="Z1140" s="30">
        <f t="shared" si="270"/>
        <v>1548</v>
      </c>
      <c r="AA1140" s="29"/>
      <c r="AB1140" s="31">
        <f>SUMIFS('Historico - FAT'!AK:AK,'Historico - FAT'!$K:$K,Faturamento!$L1140,'Historico - FAT'!$I:$I,Faturamento!$J1140,'Historico - FAT'!$G:$G,Faturamento!$H1140)</f>
        <v>0</v>
      </c>
      <c r="AC1140" s="31">
        <f>SUMIFS('Historico - FAT'!AL:AL,'Historico - FAT'!$K:$K,Faturamento!$L1140,'Historico - FAT'!$I:$I,Faturamento!$J1140,'Historico - FAT'!$G:$G,Faturamento!$H1140)</f>
        <v>0</v>
      </c>
      <c r="AD1140" s="31">
        <f>SUMIFS('Historico - FAT'!AM:AM,'Historico - FAT'!$K:$K,Faturamento!$L1140,'Historico - FAT'!$I:$I,Faturamento!$J1140,'Historico - FAT'!$G:$G,Faturamento!$H1140)</f>
        <v>0</v>
      </c>
      <c r="AE1140" s="27">
        <f>SUMIFS('Historico - FAT'!AN:AN,'Historico - FAT'!$K:$K,Faturamento!$L1140,'Historico - FAT'!$I:$I,Faturamento!$J1140,'Historico - FAT'!$G:$G,Faturamento!$H1140)</f>
        <v>0</v>
      </c>
      <c r="AG1140" s="24">
        <f t="shared" si="272"/>
        <v>1</v>
      </c>
      <c r="AH1140" s="24">
        <f t="shared" si="273"/>
        <v>1</v>
      </c>
      <c r="AI1140" s="24">
        <f t="shared" si="274"/>
        <v>1</v>
      </c>
    </row>
    <row r="1141" spans="1:35" hidden="1" x14ac:dyDescent="0.3">
      <c r="A1141" s="2" t="str">
        <f t="shared" si="271"/>
        <v>NÃO</v>
      </c>
      <c r="B1141" s="2">
        <v>1000184670</v>
      </c>
      <c r="C1141" s="2" t="s">
        <v>147</v>
      </c>
      <c r="D1141" s="4">
        <v>1000186197</v>
      </c>
      <c r="E1141" s="4" t="s">
        <v>166</v>
      </c>
      <c r="F1141" s="2">
        <v>1000185288</v>
      </c>
      <c r="G1141" s="2" t="s">
        <v>64</v>
      </c>
      <c r="H1141" s="4">
        <v>1000189804</v>
      </c>
      <c r="I1141" s="4" t="s">
        <v>89</v>
      </c>
      <c r="J1141" s="2">
        <v>1000189270</v>
      </c>
      <c r="K1141" s="2" t="s">
        <v>34</v>
      </c>
      <c r="L1141" s="4" t="s">
        <v>26</v>
      </c>
      <c r="M1141" s="4" t="str">
        <f t="shared" si="264"/>
        <v>1000184670100018619710001898041000189270SOULPRO</v>
      </c>
      <c r="N1141" s="28">
        <f>N1125*_xlfn.XLOOKUP($L1141,'Balizador da Meta'!$B$4:$B$21,'Balizador da Meta'!$C$4:$C$21)</f>
        <v>360</v>
      </c>
      <c r="O1141" s="28">
        <f>O1125*_xlfn.XLOOKUP($L1141,'Balizador da Meta'!$B$4:$B$21,'Balizador da Meta'!$C$4:$C$21)</f>
        <v>360</v>
      </c>
      <c r="P1141" s="28">
        <f>P1125*_xlfn.XLOOKUP($L1141,'Balizador da Meta'!$B$4:$B$21,'Balizador da Meta'!$C$4:$C$21)</f>
        <v>360</v>
      </c>
      <c r="Q1141" s="28">
        <f>Q1125*_xlfn.XLOOKUP($L1141,'Balizador da Meta'!$B$4:$B$21,'Balizador da Meta'!$C$4:$C$21)</f>
        <v>360</v>
      </c>
      <c r="R1141" s="28">
        <f>R1125*_xlfn.XLOOKUP($L1141,'Balizador da Meta'!$B$4:$B$21,'Balizador da Meta'!$C$4:$C$21)</f>
        <v>360</v>
      </c>
      <c r="S1141" s="28">
        <f>S1125*_xlfn.XLOOKUP($L1141,'Balizador da Meta'!$B$4:$B$21,'Balizador da Meta'!$C$4:$C$21)</f>
        <v>396</v>
      </c>
      <c r="T1141" s="28">
        <f>T1125*_xlfn.XLOOKUP($L1141,'Balizador da Meta'!$B$4:$B$21,'Balizador da Meta'!$C$4:$C$21)</f>
        <v>396</v>
      </c>
      <c r="U1141" s="28">
        <f>U1125*_xlfn.XLOOKUP($L1141,'Balizador da Meta'!$B$4:$B$21,'Balizador da Meta'!$C$4:$C$21)</f>
        <v>396</v>
      </c>
      <c r="V1141" s="28">
        <f>V1125*_xlfn.XLOOKUP($L1141,'Balizador da Meta'!$B$4:$B$21,'Balizador da Meta'!$C$4:$C$21)</f>
        <v>396</v>
      </c>
      <c r="W1141" s="28">
        <f>W1125*_xlfn.XLOOKUP($L1141,'Balizador da Meta'!$B$4:$B$21,'Balizador da Meta'!$C$4:$C$21)</f>
        <v>396</v>
      </c>
      <c r="X1141" s="28">
        <f>X1125*_xlfn.XLOOKUP($L1141,'Balizador da Meta'!$B$4:$B$21,'Balizador da Meta'!$C$4:$C$21)</f>
        <v>432</v>
      </c>
      <c r="Y1141" s="28">
        <f>Y1125*_xlfn.XLOOKUP($L1141,'Balizador da Meta'!$B$4:$B$21,'Balizador da Meta'!$C$4:$C$21)</f>
        <v>432</v>
      </c>
      <c r="Z1141" s="30">
        <f t="shared" si="270"/>
        <v>4644</v>
      </c>
      <c r="AA1141" s="29"/>
      <c r="AB1141" s="31">
        <f>SUMIFS('Historico - FAT'!AK:AK,'Historico - FAT'!$K:$K,Faturamento!$L1141,'Historico - FAT'!$I:$I,Faturamento!$J1141,'Historico - FAT'!$G:$G,Faturamento!$H1141)</f>
        <v>58.110000000000007</v>
      </c>
      <c r="AC1141" s="31">
        <f>SUMIFS('Historico - FAT'!AL:AL,'Historico - FAT'!$K:$K,Faturamento!$L1141,'Historico - FAT'!$I:$I,Faturamento!$J1141,'Historico - FAT'!$G:$G,Faturamento!$H1141)</f>
        <v>96.110000000000014</v>
      </c>
      <c r="AD1141" s="31">
        <f>SUMIFS('Historico - FAT'!AM:AM,'Historico - FAT'!$K:$K,Faturamento!$L1141,'Historico - FAT'!$I:$I,Faturamento!$J1141,'Historico - FAT'!$G:$G,Faturamento!$H1141)</f>
        <v>76</v>
      </c>
      <c r="AE1141" s="27">
        <f>SUMIFS('Historico - FAT'!AN:AN,'Historico - FAT'!$K:$K,Faturamento!$L1141,'Historico - FAT'!$I:$I,Faturamento!$J1141,'Historico - FAT'!$G:$G,Faturamento!$H1141)</f>
        <v>45.6</v>
      </c>
      <c r="AG1141" s="24">
        <f t="shared" si="272"/>
        <v>0.86164285714285715</v>
      </c>
      <c r="AH1141" s="24">
        <f t="shared" si="273"/>
        <v>0.77116666666666667</v>
      </c>
      <c r="AI1141" s="24">
        <f t="shared" si="274"/>
        <v>0.81904761904761902</v>
      </c>
    </row>
    <row r="1142" spans="1:35" hidden="1" x14ac:dyDescent="0.3">
      <c r="A1142" s="2" t="str">
        <f t="shared" si="271"/>
        <v>NÃO</v>
      </c>
      <c r="B1142" s="2">
        <v>1000184670</v>
      </c>
      <c r="C1142" s="2" t="s">
        <v>147</v>
      </c>
      <c r="D1142" s="4">
        <v>1000186197</v>
      </c>
      <c r="E1142" s="4" t="s">
        <v>166</v>
      </c>
      <c r="F1142" s="2">
        <v>1000185288</v>
      </c>
      <c r="G1142" s="2" t="s">
        <v>64</v>
      </c>
      <c r="H1142" s="4">
        <v>1000189804</v>
      </c>
      <c r="I1142" s="4" t="s">
        <v>89</v>
      </c>
      <c r="J1142" s="2">
        <v>1000189270</v>
      </c>
      <c r="K1142" s="2" t="s">
        <v>34</v>
      </c>
      <c r="L1142" s="4" t="s">
        <v>27</v>
      </c>
      <c r="M1142" s="4" t="str">
        <f t="shared" si="264"/>
        <v>1000184670100018619710001898041000189270TAMARA</v>
      </c>
      <c r="N1142" s="28">
        <f>N1125*_xlfn.XLOOKUP($L1142,'Balizador da Meta'!$B$4:$B$21,'Balizador da Meta'!$C$4:$C$21)</f>
        <v>480</v>
      </c>
      <c r="O1142" s="28">
        <f>O1125*_xlfn.XLOOKUP($L1142,'Balizador da Meta'!$B$4:$B$21,'Balizador da Meta'!$C$4:$C$21)</f>
        <v>480</v>
      </c>
      <c r="P1142" s="28">
        <f>P1125*_xlfn.XLOOKUP($L1142,'Balizador da Meta'!$B$4:$B$21,'Balizador da Meta'!$C$4:$C$21)</f>
        <v>480</v>
      </c>
      <c r="Q1142" s="28">
        <f>Q1125*_xlfn.XLOOKUP($L1142,'Balizador da Meta'!$B$4:$B$21,'Balizador da Meta'!$C$4:$C$21)</f>
        <v>480</v>
      </c>
      <c r="R1142" s="28">
        <f>R1125*_xlfn.XLOOKUP($L1142,'Balizador da Meta'!$B$4:$B$21,'Balizador da Meta'!$C$4:$C$21)</f>
        <v>480</v>
      </c>
      <c r="S1142" s="28">
        <f>S1125*_xlfn.XLOOKUP($L1142,'Balizador da Meta'!$B$4:$B$21,'Balizador da Meta'!$C$4:$C$21)</f>
        <v>528</v>
      </c>
      <c r="T1142" s="28">
        <f>T1125*_xlfn.XLOOKUP($L1142,'Balizador da Meta'!$B$4:$B$21,'Balizador da Meta'!$C$4:$C$21)</f>
        <v>528</v>
      </c>
      <c r="U1142" s="28">
        <f>U1125*_xlfn.XLOOKUP($L1142,'Balizador da Meta'!$B$4:$B$21,'Balizador da Meta'!$C$4:$C$21)</f>
        <v>528</v>
      </c>
      <c r="V1142" s="28">
        <f>V1125*_xlfn.XLOOKUP($L1142,'Balizador da Meta'!$B$4:$B$21,'Balizador da Meta'!$C$4:$C$21)</f>
        <v>528</v>
      </c>
      <c r="W1142" s="28">
        <f>W1125*_xlfn.XLOOKUP($L1142,'Balizador da Meta'!$B$4:$B$21,'Balizador da Meta'!$C$4:$C$21)</f>
        <v>528</v>
      </c>
      <c r="X1142" s="28">
        <f>X1125*_xlfn.XLOOKUP($L1142,'Balizador da Meta'!$B$4:$B$21,'Balizador da Meta'!$C$4:$C$21)</f>
        <v>576</v>
      </c>
      <c r="Y1142" s="28">
        <f>Y1125*_xlfn.XLOOKUP($L1142,'Balizador da Meta'!$B$4:$B$21,'Balizador da Meta'!$C$4:$C$21)</f>
        <v>576</v>
      </c>
      <c r="Z1142" s="30">
        <f t="shared" si="270"/>
        <v>6192</v>
      </c>
      <c r="AA1142" s="29"/>
      <c r="AB1142" s="31">
        <f>SUMIFS('Historico - FAT'!AK:AK,'Historico - FAT'!$K:$K,Faturamento!$L1142,'Historico - FAT'!$I:$I,Faturamento!$J1142,'Historico - FAT'!$G:$G,Faturamento!$H1142)</f>
        <v>0</v>
      </c>
      <c r="AC1142" s="31">
        <f>SUMIFS('Historico - FAT'!AL:AL,'Historico - FAT'!$K:$K,Faturamento!$L1142,'Historico - FAT'!$I:$I,Faturamento!$J1142,'Historico - FAT'!$G:$G,Faturamento!$H1142)</f>
        <v>0</v>
      </c>
      <c r="AD1142" s="31">
        <f>SUMIFS('Historico - FAT'!AM:AM,'Historico - FAT'!$K:$K,Faturamento!$L1142,'Historico - FAT'!$I:$I,Faturamento!$J1142,'Historico - FAT'!$G:$G,Faturamento!$H1142)</f>
        <v>0</v>
      </c>
      <c r="AE1142" s="27">
        <f>SUMIFS('Historico - FAT'!AN:AN,'Historico - FAT'!$K:$K,Faturamento!$L1142,'Historico - FAT'!$I:$I,Faturamento!$J1142,'Historico - FAT'!$G:$G,Faturamento!$H1142)</f>
        <v>0</v>
      </c>
      <c r="AG1142" s="24">
        <f t="shared" si="272"/>
        <v>1</v>
      </c>
      <c r="AH1142" s="24">
        <f t="shared" si="273"/>
        <v>1</v>
      </c>
      <c r="AI1142" s="24">
        <f t="shared" si="274"/>
        <v>1</v>
      </c>
    </row>
    <row r="1143" spans="1:35" hidden="1" x14ac:dyDescent="0.3">
      <c r="A1143" s="2" t="str">
        <f t="shared" si="271"/>
        <v>NÃO</v>
      </c>
      <c r="B1143" s="2">
        <v>1000184670</v>
      </c>
      <c r="C1143" s="2" t="s">
        <v>147</v>
      </c>
      <c r="D1143" s="4">
        <v>1000186197</v>
      </c>
      <c r="E1143" s="4" t="s">
        <v>166</v>
      </c>
      <c r="F1143" s="2">
        <v>1000185288</v>
      </c>
      <c r="G1143" s="2" t="s">
        <v>64</v>
      </c>
      <c r="H1143" s="4">
        <v>1000189804</v>
      </c>
      <c r="I1143" s="4" t="s">
        <v>89</v>
      </c>
      <c r="J1143" s="2">
        <v>1000189270</v>
      </c>
      <c r="K1143" s="2" t="s">
        <v>34</v>
      </c>
      <c r="L1143" s="4" t="s">
        <v>25</v>
      </c>
      <c r="M1143" s="4" t="str">
        <f t="shared" si="264"/>
        <v>1000184670100018619710001898041000189270VICCIO</v>
      </c>
      <c r="N1143" s="28">
        <f>N1125*_xlfn.XLOOKUP($L1143,'Balizador da Meta'!$B$4:$B$21,'Balizador da Meta'!$C$4:$C$21)</f>
        <v>180</v>
      </c>
      <c r="O1143" s="28">
        <f>O1125*_xlfn.XLOOKUP($L1143,'Balizador da Meta'!$B$4:$B$21,'Balizador da Meta'!$C$4:$C$21)</f>
        <v>180</v>
      </c>
      <c r="P1143" s="28">
        <f>P1125*_xlfn.XLOOKUP($L1143,'Balizador da Meta'!$B$4:$B$21,'Balizador da Meta'!$C$4:$C$21)</f>
        <v>180</v>
      </c>
      <c r="Q1143" s="28">
        <f>Q1125*_xlfn.XLOOKUP($L1143,'Balizador da Meta'!$B$4:$B$21,'Balizador da Meta'!$C$4:$C$21)</f>
        <v>180</v>
      </c>
      <c r="R1143" s="28">
        <f>R1125*_xlfn.XLOOKUP($L1143,'Balizador da Meta'!$B$4:$B$21,'Balizador da Meta'!$C$4:$C$21)</f>
        <v>180</v>
      </c>
      <c r="S1143" s="28">
        <f>S1125*_xlfn.XLOOKUP($L1143,'Balizador da Meta'!$B$4:$B$21,'Balizador da Meta'!$C$4:$C$21)</f>
        <v>198</v>
      </c>
      <c r="T1143" s="28">
        <f>T1125*_xlfn.XLOOKUP($L1143,'Balizador da Meta'!$B$4:$B$21,'Balizador da Meta'!$C$4:$C$21)</f>
        <v>198</v>
      </c>
      <c r="U1143" s="28">
        <f>U1125*_xlfn.XLOOKUP($L1143,'Balizador da Meta'!$B$4:$B$21,'Balizador da Meta'!$C$4:$C$21)</f>
        <v>198</v>
      </c>
      <c r="V1143" s="28">
        <f>V1125*_xlfn.XLOOKUP($L1143,'Balizador da Meta'!$B$4:$B$21,'Balizador da Meta'!$C$4:$C$21)</f>
        <v>198</v>
      </c>
      <c r="W1143" s="28">
        <f>W1125*_xlfn.XLOOKUP($L1143,'Balizador da Meta'!$B$4:$B$21,'Balizador da Meta'!$C$4:$C$21)</f>
        <v>198</v>
      </c>
      <c r="X1143" s="28">
        <f>X1125*_xlfn.XLOOKUP($L1143,'Balizador da Meta'!$B$4:$B$21,'Balizador da Meta'!$C$4:$C$21)</f>
        <v>216</v>
      </c>
      <c r="Y1143" s="28">
        <f>Y1125*_xlfn.XLOOKUP($L1143,'Balizador da Meta'!$B$4:$B$21,'Balizador da Meta'!$C$4:$C$21)</f>
        <v>216</v>
      </c>
      <c r="Z1143" s="30">
        <f t="shared" si="270"/>
        <v>2322</v>
      </c>
      <c r="AA1143" s="29"/>
      <c r="AB1143" s="31">
        <f>SUMIFS('Historico - FAT'!AK:AK,'Historico - FAT'!$K:$K,Faturamento!$L1143,'Historico - FAT'!$I:$I,Faturamento!$J1143,'Historico - FAT'!$G:$G,Faturamento!$H1143)</f>
        <v>0</v>
      </c>
      <c r="AC1143" s="31">
        <f>SUMIFS('Historico - FAT'!AL:AL,'Historico - FAT'!$K:$K,Faturamento!$L1143,'Historico - FAT'!$I:$I,Faturamento!$J1143,'Historico - FAT'!$G:$G,Faturamento!$H1143)</f>
        <v>0</v>
      </c>
      <c r="AD1143" s="31">
        <f>SUMIFS('Historico - FAT'!AM:AM,'Historico - FAT'!$K:$K,Faturamento!$L1143,'Historico - FAT'!$I:$I,Faturamento!$J1143,'Historico - FAT'!$G:$G,Faturamento!$H1143)</f>
        <v>0</v>
      </c>
      <c r="AE1143" s="27">
        <f>SUMIFS('Historico - FAT'!AN:AN,'Historico - FAT'!$K:$K,Faturamento!$L1143,'Historico - FAT'!$I:$I,Faturamento!$J1143,'Historico - FAT'!$G:$G,Faturamento!$H1143)</f>
        <v>0</v>
      </c>
      <c r="AG1143" s="24">
        <f t="shared" si="272"/>
        <v>1</v>
      </c>
      <c r="AH1143" s="24">
        <f t="shared" si="273"/>
        <v>1</v>
      </c>
      <c r="AI1143" s="24">
        <f t="shared" si="274"/>
        <v>1</v>
      </c>
    </row>
    <row r="1144" spans="1:35" x14ac:dyDescent="0.3">
      <c r="A1144" s="2" t="str">
        <f t="shared" si="271"/>
        <v>SIM</v>
      </c>
      <c r="B1144" s="2">
        <v>1000184670</v>
      </c>
      <c r="C1144" s="2" t="s">
        <v>147</v>
      </c>
      <c r="D1144" s="4">
        <v>1000186197</v>
      </c>
      <c r="E1144" s="4" t="s">
        <v>166</v>
      </c>
      <c r="F1144" s="2">
        <v>1000185288</v>
      </c>
      <c r="G1144" s="2" t="s">
        <v>64</v>
      </c>
      <c r="H1144" s="4">
        <v>1000189805</v>
      </c>
      <c r="I1144" s="4" t="s">
        <v>118</v>
      </c>
      <c r="J1144" s="2">
        <v>1000189270</v>
      </c>
      <c r="K1144" s="2" t="s">
        <v>34</v>
      </c>
      <c r="L1144" s="4" t="s">
        <v>124</v>
      </c>
      <c r="M1144" s="4" t="str">
        <f t="shared" si="264"/>
        <v>100018467010001861971000189805100018927001. TOTAL</v>
      </c>
      <c r="N1144" s="28">
        <f>SUMIFS(Positivação!L:L,Positivação!$I:$I,Faturamento!$J1144,Positivação!$G:$G,Faturamento!$H1144)*SUMIFS(Positivação!$Z:$Z,Positivação!$I:$I,Faturamento!$J1144,Positivação!$G:$G,Faturamento!$H1144)</f>
        <v>1200</v>
      </c>
      <c r="O1144" s="28">
        <f>SUMIFS(Positivação!M:M,Positivação!$I:$I,Faturamento!$J1144,Positivação!$G:$G,Faturamento!$H1144)*SUMIFS(Positivação!$Z:$Z,Positivação!$I:$I,Faturamento!$J1144,Positivação!$G:$G,Faturamento!$H1144)</f>
        <v>1800</v>
      </c>
      <c r="P1144" s="28">
        <f>SUMIFS(Positivação!N:N,Positivação!$I:$I,Faturamento!$J1144,Positivação!$G:$G,Faturamento!$H1144)*SUMIFS(Positivação!$Z:$Z,Positivação!$I:$I,Faturamento!$J1144,Positivação!$G:$G,Faturamento!$H1144)</f>
        <v>1800</v>
      </c>
      <c r="Q1144" s="28">
        <f>SUMIFS(Positivação!O:O,Positivação!$I:$I,Faturamento!$J1144,Positivação!$G:$G,Faturamento!$H1144)*SUMIFS(Positivação!$Z:$Z,Positivação!$I:$I,Faturamento!$J1144,Positivação!$G:$G,Faturamento!$H1144)</f>
        <v>1800</v>
      </c>
      <c r="R1144" s="28">
        <f>SUMIFS(Positivação!P:P,Positivação!$I:$I,Faturamento!$J1144,Positivação!$G:$G,Faturamento!$H1144)*SUMIFS(Positivação!$Z:$Z,Positivação!$I:$I,Faturamento!$J1144,Positivação!$G:$G,Faturamento!$H1144)</f>
        <v>1800</v>
      </c>
      <c r="S1144" s="28">
        <f>SUMIFS(Positivação!Q:Q,Positivação!$I:$I,Faturamento!$J1144,Positivação!$G:$G,Faturamento!$H1144)*SUMIFS(Positivação!$Z:$Z,Positivação!$I:$I,Faturamento!$J1144,Positivação!$G:$G,Faturamento!$H1144)</f>
        <v>1800</v>
      </c>
      <c r="T1144" s="28">
        <f>SUMIFS(Positivação!R:R,Positivação!$I:$I,Faturamento!$J1144,Positivação!$G:$G,Faturamento!$H1144)*SUMIFS(Positivação!$Z:$Z,Positivação!$I:$I,Faturamento!$J1144,Positivação!$G:$G,Faturamento!$H1144)</f>
        <v>2400</v>
      </c>
      <c r="U1144" s="28">
        <f>SUMIFS(Positivação!S:S,Positivação!$I:$I,Faturamento!$J1144,Positivação!$G:$G,Faturamento!$H1144)*SUMIFS(Positivação!$Z:$Z,Positivação!$I:$I,Faturamento!$J1144,Positivação!$G:$G,Faturamento!$H1144)</f>
        <v>2400</v>
      </c>
      <c r="V1144" s="28">
        <f>SUMIFS(Positivação!T:T,Positivação!$I:$I,Faturamento!$J1144,Positivação!$G:$G,Faturamento!$H1144)*SUMIFS(Positivação!$Z:$Z,Positivação!$I:$I,Faturamento!$J1144,Positivação!$G:$G,Faturamento!$H1144)</f>
        <v>2400</v>
      </c>
      <c r="W1144" s="28">
        <f>SUMIFS(Positivação!U:U,Positivação!$I:$I,Faturamento!$J1144,Positivação!$G:$G,Faturamento!$H1144)*SUMIFS(Positivação!$Z:$Z,Positivação!$I:$I,Faturamento!$J1144,Positivação!$G:$G,Faturamento!$H1144)</f>
        <v>2400</v>
      </c>
      <c r="X1144" s="28">
        <f>SUMIFS(Positivação!V:V,Positivação!$I:$I,Faturamento!$J1144,Positivação!$G:$G,Faturamento!$H1144)*SUMIFS(Positivação!$Z:$Z,Positivação!$I:$I,Faturamento!$J1144,Positivação!$G:$G,Faturamento!$H1144)</f>
        <v>2400</v>
      </c>
      <c r="Y1144" s="28">
        <f>SUMIFS(Positivação!W:W,Positivação!$I:$I,Faturamento!$J1144,Positivação!$G:$G,Faturamento!$H1144)*SUMIFS(Positivação!$Z:$Z,Positivação!$I:$I,Faturamento!$J1144,Positivação!$G:$G,Faturamento!$H1144)</f>
        <v>3000</v>
      </c>
      <c r="Z1144" s="28">
        <f t="shared" ref="Z1144" si="275">SUM(Z1145:Z1162)</f>
        <v>25200</v>
      </c>
      <c r="AA1144" s="29"/>
      <c r="AB1144" s="28">
        <f t="shared" ref="AB1144:AE1144" si="276">SUM(AB1145:AB1162)</f>
        <v>231.72749999999999</v>
      </c>
      <c r="AC1144" s="28">
        <f t="shared" si="276"/>
        <v>409.36666666666667</v>
      </c>
      <c r="AD1144" s="28">
        <f t="shared" si="276"/>
        <v>476.73333333333329</v>
      </c>
      <c r="AE1144" s="28">
        <f t="shared" si="276"/>
        <v>491.23999999999995</v>
      </c>
      <c r="AG1144" s="24">
        <f t="shared" si="272"/>
        <v>0.91087403846153847</v>
      </c>
      <c r="AH1144" s="24">
        <f t="shared" si="273"/>
        <v>0.84255128205128205</v>
      </c>
      <c r="AI1144" s="24">
        <f t="shared" si="274"/>
        <v>0.8166410256410257</v>
      </c>
    </row>
    <row r="1145" spans="1:35" hidden="1" x14ac:dyDescent="0.3">
      <c r="A1145" s="2" t="str">
        <f t="shared" si="271"/>
        <v>NÃO</v>
      </c>
      <c r="B1145" s="2">
        <v>1000184670</v>
      </c>
      <c r="C1145" s="2" t="s">
        <v>147</v>
      </c>
      <c r="D1145" s="4">
        <v>1000186197</v>
      </c>
      <c r="E1145" s="4" t="s">
        <v>166</v>
      </c>
      <c r="F1145" s="2">
        <v>1000185288</v>
      </c>
      <c r="G1145" s="2" t="s">
        <v>64</v>
      </c>
      <c r="H1145" s="4">
        <v>1000189805</v>
      </c>
      <c r="I1145" s="4" t="s">
        <v>118</v>
      </c>
      <c r="J1145" s="2">
        <v>1000189270</v>
      </c>
      <c r="K1145" s="2" t="s">
        <v>34</v>
      </c>
      <c r="L1145" s="4" t="s">
        <v>13</v>
      </c>
      <c r="M1145" s="4" t="str">
        <f t="shared" si="264"/>
        <v>1000184670100018619710001898051000189270BISCOITO</v>
      </c>
      <c r="N1145" s="28">
        <f>N1144*_xlfn.XLOOKUP($L1145,'Balizador da Meta'!$B$4:$B$21,'Balizador da Meta'!$C$4:$C$21)</f>
        <v>84.000000000000014</v>
      </c>
      <c r="O1145" s="28">
        <f>O1144*_xlfn.XLOOKUP($L1145,'Balizador da Meta'!$B$4:$B$21,'Balizador da Meta'!$C$4:$C$21)</f>
        <v>126.00000000000001</v>
      </c>
      <c r="P1145" s="28">
        <f>P1144*_xlfn.XLOOKUP($L1145,'Balizador da Meta'!$B$4:$B$21,'Balizador da Meta'!$C$4:$C$21)</f>
        <v>126.00000000000001</v>
      </c>
      <c r="Q1145" s="28">
        <f>Q1144*_xlfn.XLOOKUP($L1145,'Balizador da Meta'!$B$4:$B$21,'Balizador da Meta'!$C$4:$C$21)</f>
        <v>126.00000000000001</v>
      </c>
      <c r="R1145" s="28">
        <f>R1144*_xlfn.XLOOKUP($L1145,'Balizador da Meta'!$B$4:$B$21,'Balizador da Meta'!$C$4:$C$21)</f>
        <v>126.00000000000001</v>
      </c>
      <c r="S1145" s="28">
        <f>S1144*_xlfn.XLOOKUP($L1145,'Balizador da Meta'!$B$4:$B$21,'Balizador da Meta'!$C$4:$C$21)</f>
        <v>126.00000000000001</v>
      </c>
      <c r="T1145" s="28">
        <f>T1144*_xlfn.XLOOKUP($L1145,'Balizador da Meta'!$B$4:$B$21,'Balizador da Meta'!$C$4:$C$21)</f>
        <v>168.00000000000003</v>
      </c>
      <c r="U1145" s="28">
        <f>U1144*_xlfn.XLOOKUP($L1145,'Balizador da Meta'!$B$4:$B$21,'Balizador da Meta'!$C$4:$C$21)</f>
        <v>168.00000000000003</v>
      </c>
      <c r="V1145" s="28">
        <f>V1144*_xlfn.XLOOKUP($L1145,'Balizador da Meta'!$B$4:$B$21,'Balizador da Meta'!$C$4:$C$21)</f>
        <v>168.00000000000003</v>
      </c>
      <c r="W1145" s="28">
        <f>W1144*_xlfn.XLOOKUP($L1145,'Balizador da Meta'!$B$4:$B$21,'Balizador da Meta'!$C$4:$C$21)</f>
        <v>168.00000000000003</v>
      </c>
      <c r="X1145" s="28">
        <f>X1144*_xlfn.XLOOKUP($L1145,'Balizador da Meta'!$B$4:$B$21,'Balizador da Meta'!$C$4:$C$21)</f>
        <v>168.00000000000003</v>
      </c>
      <c r="Y1145" s="28">
        <f>Y1144*_xlfn.XLOOKUP($L1145,'Balizador da Meta'!$B$4:$B$21,'Balizador da Meta'!$C$4:$C$21)</f>
        <v>210.00000000000003</v>
      </c>
      <c r="Z1145" s="30">
        <f t="shared" ref="Z1145:Z1162" si="277">SUM(N1145:Y1145)</f>
        <v>1764.0000000000002</v>
      </c>
      <c r="AA1145" s="29"/>
      <c r="AB1145" s="31">
        <f>SUMIFS('Historico - FAT'!AK:AK,'Historico - FAT'!$K:$K,Faturamento!$L1145,'Historico - FAT'!$I:$I,Faturamento!$J1145,'Historico - FAT'!$G:$G,Faturamento!$H1145)</f>
        <v>81.677499999999995</v>
      </c>
      <c r="AC1145" s="31">
        <f>SUMIFS('Historico - FAT'!AL:AL,'Historico - FAT'!$K:$K,Faturamento!$L1145,'Historico - FAT'!$I:$I,Faturamento!$J1145,'Historico - FAT'!$G:$G,Faturamento!$H1145)</f>
        <v>162.81666666666666</v>
      </c>
      <c r="AD1145" s="31">
        <f>SUMIFS('Historico - FAT'!AM:AM,'Historico - FAT'!$K:$K,Faturamento!$L1145,'Historico - FAT'!$I:$I,Faturamento!$J1145,'Historico - FAT'!$G:$G,Faturamento!$H1145)</f>
        <v>91.633333333333326</v>
      </c>
      <c r="AE1145" s="27">
        <f>SUMIFS('Historico - FAT'!AN:AN,'Historico - FAT'!$K:$K,Faturamento!$L1145,'Historico - FAT'!$I:$I,Faturamento!$J1145,'Historico - FAT'!$G:$G,Faturamento!$H1145)</f>
        <v>195.38</v>
      </c>
      <c r="AG1145" s="24">
        <f t="shared" si="272"/>
        <v>0.55122252747252753</v>
      </c>
      <c r="AH1145" s="24">
        <f t="shared" si="273"/>
        <v>0.10540293040293057</v>
      </c>
      <c r="AI1145" s="24">
        <f t="shared" si="274"/>
        <v>0.49652014652014664</v>
      </c>
    </row>
    <row r="1146" spans="1:35" hidden="1" x14ac:dyDescent="0.3">
      <c r="A1146" s="2" t="str">
        <f t="shared" si="271"/>
        <v>NÃO</v>
      </c>
      <c r="B1146" s="2">
        <v>1000184670</v>
      </c>
      <c r="C1146" s="2" t="s">
        <v>147</v>
      </c>
      <c r="D1146" s="4">
        <v>1000186197</v>
      </c>
      <c r="E1146" s="4" t="s">
        <v>166</v>
      </c>
      <c r="F1146" s="2">
        <v>1000185288</v>
      </c>
      <c r="G1146" s="2" t="s">
        <v>64</v>
      </c>
      <c r="H1146" s="4">
        <v>1000189805</v>
      </c>
      <c r="I1146" s="4" t="s">
        <v>118</v>
      </c>
      <c r="J1146" s="2">
        <v>1000189270</v>
      </c>
      <c r="K1146" s="2" t="s">
        <v>34</v>
      </c>
      <c r="L1146" s="4" t="s">
        <v>14</v>
      </c>
      <c r="M1146" s="4" t="str">
        <f t="shared" si="264"/>
        <v>1000184670100018619710001898051000189270CHOCOLATES</v>
      </c>
      <c r="N1146" s="28">
        <f>N1144*_xlfn.XLOOKUP($L1146,'Balizador da Meta'!$B$4:$B$21,'Balizador da Meta'!$C$4:$C$21)</f>
        <v>84.000000000000014</v>
      </c>
      <c r="O1146" s="28">
        <f>O1144*_xlfn.XLOOKUP($L1146,'Balizador da Meta'!$B$4:$B$21,'Balizador da Meta'!$C$4:$C$21)</f>
        <v>126.00000000000001</v>
      </c>
      <c r="P1146" s="28">
        <f>P1144*_xlfn.XLOOKUP($L1146,'Balizador da Meta'!$B$4:$B$21,'Balizador da Meta'!$C$4:$C$21)</f>
        <v>126.00000000000001</v>
      </c>
      <c r="Q1146" s="28">
        <f>Q1144*_xlfn.XLOOKUP($L1146,'Balizador da Meta'!$B$4:$B$21,'Balizador da Meta'!$C$4:$C$21)</f>
        <v>126.00000000000001</v>
      </c>
      <c r="R1146" s="28">
        <f>R1144*_xlfn.XLOOKUP($L1146,'Balizador da Meta'!$B$4:$B$21,'Balizador da Meta'!$C$4:$C$21)</f>
        <v>126.00000000000001</v>
      </c>
      <c r="S1146" s="28">
        <f>S1144*_xlfn.XLOOKUP($L1146,'Balizador da Meta'!$B$4:$B$21,'Balizador da Meta'!$C$4:$C$21)</f>
        <v>126.00000000000001</v>
      </c>
      <c r="T1146" s="28">
        <f>T1144*_xlfn.XLOOKUP($L1146,'Balizador da Meta'!$B$4:$B$21,'Balizador da Meta'!$C$4:$C$21)</f>
        <v>168.00000000000003</v>
      </c>
      <c r="U1146" s="28">
        <f>U1144*_xlfn.XLOOKUP($L1146,'Balizador da Meta'!$B$4:$B$21,'Balizador da Meta'!$C$4:$C$21)</f>
        <v>168.00000000000003</v>
      </c>
      <c r="V1146" s="28">
        <f>V1144*_xlfn.XLOOKUP($L1146,'Balizador da Meta'!$B$4:$B$21,'Balizador da Meta'!$C$4:$C$21)</f>
        <v>168.00000000000003</v>
      </c>
      <c r="W1146" s="28">
        <f>W1144*_xlfn.XLOOKUP($L1146,'Balizador da Meta'!$B$4:$B$21,'Balizador da Meta'!$C$4:$C$21)</f>
        <v>168.00000000000003</v>
      </c>
      <c r="X1146" s="28">
        <f>X1144*_xlfn.XLOOKUP($L1146,'Balizador da Meta'!$B$4:$B$21,'Balizador da Meta'!$C$4:$C$21)</f>
        <v>168.00000000000003</v>
      </c>
      <c r="Y1146" s="28">
        <f>Y1144*_xlfn.XLOOKUP($L1146,'Balizador da Meta'!$B$4:$B$21,'Balizador da Meta'!$C$4:$C$21)</f>
        <v>210.00000000000003</v>
      </c>
      <c r="Z1146" s="30">
        <f t="shared" si="277"/>
        <v>1764.0000000000002</v>
      </c>
      <c r="AA1146" s="29"/>
      <c r="AB1146" s="31">
        <f>SUMIFS('Historico - FAT'!AK:AK,'Historico - FAT'!$K:$K,Faturamento!$L1146,'Historico - FAT'!$I:$I,Faturamento!$J1146,'Historico - FAT'!$G:$G,Faturamento!$H1146)</f>
        <v>0</v>
      </c>
      <c r="AC1146" s="31">
        <f>SUMIFS('Historico - FAT'!AL:AL,'Historico - FAT'!$K:$K,Faturamento!$L1146,'Historico - FAT'!$I:$I,Faturamento!$J1146,'Historico - FAT'!$G:$G,Faturamento!$H1146)</f>
        <v>0</v>
      </c>
      <c r="AD1146" s="31">
        <f>SUMIFS('Historico - FAT'!AM:AM,'Historico - FAT'!$K:$K,Faturamento!$L1146,'Historico - FAT'!$I:$I,Faturamento!$J1146,'Historico - FAT'!$G:$G,Faturamento!$H1146)</f>
        <v>0</v>
      </c>
      <c r="AE1146" s="27">
        <f>SUMIFS('Historico - FAT'!AN:AN,'Historico - FAT'!$K:$K,Faturamento!$L1146,'Historico - FAT'!$I:$I,Faturamento!$J1146,'Historico - FAT'!$G:$G,Faturamento!$H1146)</f>
        <v>0</v>
      </c>
      <c r="AG1146" s="24">
        <f t="shared" si="272"/>
        <v>1</v>
      </c>
      <c r="AH1146" s="24">
        <f t="shared" si="273"/>
        <v>1</v>
      </c>
      <c r="AI1146" s="24">
        <f t="shared" si="274"/>
        <v>1</v>
      </c>
    </row>
    <row r="1147" spans="1:35" hidden="1" x14ac:dyDescent="0.3">
      <c r="A1147" s="2" t="str">
        <f t="shared" si="271"/>
        <v>NÃO</v>
      </c>
      <c r="B1147" s="2">
        <v>1000184670</v>
      </c>
      <c r="C1147" s="2" t="s">
        <v>147</v>
      </c>
      <c r="D1147" s="4">
        <v>1000186197</v>
      </c>
      <c r="E1147" s="4" t="s">
        <v>166</v>
      </c>
      <c r="F1147" s="2">
        <v>1000185288</v>
      </c>
      <c r="G1147" s="2" t="s">
        <v>64</v>
      </c>
      <c r="H1147" s="4">
        <v>1000189805</v>
      </c>
      <c r="I1147" s="4" t="s">
        <v>118</v>
      </c>
      <c r="J1147" s="2">
        <v>1000189270</v>
      </c>
      <c r="K1147" s="2" t="s">
        <v>34</v>
      </c>
      <c r="L1147" s="4" t="s">
        <v>16</v>
      </c>
      <c r="M1147" s="4" t="str">
        <f t="shared" si="264"/>
        <v>1000184670100018619710001898051000189270DISNEY</v>
      </c>
      <c r="N1147" s="28">
        <f>N1144*_xlfn.XLOOKUP($L1147,'Balizador da Meta'!$B$4:$B$21,'Balizador da Meta'!$C$4:$C$21)</f>
        <v>96</v>
      </c>
      <c r="O1147" s="28">
        <f>O1144*_xlfn.XLOOKUP($L1147,'Balizador da Meta'!$B$4:$B$21,'Balizador da Meta'!$C$4:$C$21)</f>
        <v>144</v>
      </c>
      <c r="P1147" s="28">
        <f>P1144*_xlfn.XLOOKUP($L1147,'Balizador da Meta'!$B$4:$B$21,'Balizador da Meta'!$C$4:$C$21)</f>
        <v>144</v>
      </c>
      <c r="Q1147" s="28">
        <f>Q1144*_xlfn.XLOOKUP($L1147,'Balizador da Meta'!$B$4:$B$21,'Balizador da Meta'!$C$4:$C$21)</f>
        <v>144</v>
      </c>
      <c r="R1147" s="28">
        <f>R1144*_xlfn.XLOOKUP($L1147,'Balizador da Meta'!$B$4:$B$21,'Balizador da Meta'!$C$4:$C$21)</f>
        <v>144</v>
      </c>
      <c r="S1147" s="28">
        <f>S1144*_xlfn.XLOOKUP($L1147,'Balizador da Meta'!$B$4:$B$21,'Balizador da Meta'!$C$4:$C$21)</f>
        <v>144</v>
      </c>
      <c r="T1147" s="28">
        <f>T1144*_xlfn.XLOOKUP($L1147,'Balizador da Meta'!$B$4:$B$21,'Balizador da Meta'!$C$4:$C$21)</f>
        <v>192</v>
      </c>
      <c r="U1147" s="28">
        <f>U1144*_xlfn.XLOOKUP($L1147,'Balizador da Meta'!$B$4:$B$21,'Balizador da Meta'!$C$4:$C$21)</f>
        <v>192</v>
      </c>
      <c r="V1147" s="28">
        <f>V1144*_xlfn.XLOOKUP($L1147,'Balizador da Meta'!$B$4:$B$21,'Balizador da Meta'!$C$4:$C$21)</f>
        <v>192</v>
      </c>
      <c r="W1147" s="28">
        <f>W1144*_xlfn.XLOOKUP($L1147,'Balizador da Meta'!$B$4:$B$21,'Balizador da Meta'!$C$4:$C$21)</f>
        <v>192</v>
      </c>
      <c r="X1147" s="28">
        <f>X1144*_xlfn.XLOOKUP($L1147,'Balizador da Meta'!$B$4:$B$21,'Balizador da Meta'!$C$4:$C$21)</f>
        <v>192</v>
      </c>
      <c r="Y1147" s="28">
        <f>Y1144*_xlfn.XLOOKUP($L1147,'Balizador da Meta'!$B$4:$B$21,'Balizador da Meta'!$C$4:$C$21)</f>
        <v>240</v>
      </c>
      <c r="Z1147" s="30">
        <f t="shared" si="277"/>
        <v>2016</v>
      </c>
      <c r="AA1147" s="29"/>
      <c r="AB1147" s="31">
        <f>SUMIFS('Historico - FAT'!AK:AK,'Historico - FAT'!$K:$K,Faturamento!$L1147,'Historico - FAT'!$I:$I,Faturamento!$J1147,'Historico - FAT'!$G:$G,Faturamento!$H1147)</f>
        <v>0</v>
      </c>
      <c r="AC1147" s="31">
        <f>SUMIFS('Historico - FAT'!AL:AL,'Historico - FAT'!$K:$K,Faturamento!$L1147,'Historico - FAT'!$I:$I,Faturamento!$J1147,'Historico - FAT'!$G:$G,Faturamento!$H1147)</f>
        <v>0</v>
      </c>
      <c r="AD1147" s="31">
        <f>SUMIFS('Historico - FAT'!AM:AM,'Historico - FAT'!$K:$K,Faturamento!$L1147,'Historico - FAT'!$I:$I,Faturamento!$J1147,'Historico - FAT'!$G:$G,Faturamento!$H1147)</f>
        <v>0</v>
      </c>
      <c r="AE1147" s="27">
        <f>SUMIFS('Historico - FAT'!AN:AN,'Historico - FAT'!$K:$K,Faturamento!$L1147,'Historico - FAT'!$I:$I,Faturamento!$J1147,'Historico - FAT'!$G:$G,Faturamento!$H1147)</f>
        <v>0</v>
      </c>
      <c r="AG1147" s="24">
        <f t="shared" si="272"/>
        <v>1</v>
      </c>
      <c r="AH1147" s="24">
        <f t="shared" si="273"/>
        <v>1</v>
      </c>
      <c r="AI1147" s="24">
        <f t="shared" si="274"/>
        <v>1</v>
      </c>
    </row>
    <row r="1148" spans="1:35" hidden="1" x14ac:dyDescent="0.3">
      <c r="A1148" s="2" t="str">
        <f t="shared" si="271"/>
        <v>NÃO</v>
      </c>
      <c r="B1148" s="2">
        <v>1000184670</v>
      </c>
      <c r="C1148" s="2" t="s">
        <v>147</v>
      </c>
      <c r="D1148" s="4">
        <v>1000186197</v>
      </c>
      <c r="E1148" s="4" t="s">
        <v>166</v>
      </c>
      <c r="F1148" s="2">
        <v>1000185288</v>
      </c>
      <c r="G1148" s="2" t="s">
        <v>64</v>
      </c>
      <c r="H1148" s="4">
        <v>1000189805</v>
      </c>
      <c r="I1148" s="4" t="s">
        <v>118</v>
      </c>
      <c r="J1148" s="2">
        <v>1000189270</v>
      </c>
      <c r="K1148" s="2" t="s">
        <v>34</v>
      </c>
      <c r="L1148" s="4" t="s">
        <v>15</v>
      </c>
      <c r="M1148" s="4" t="str">
        <f t="shared" si="264"/>
        <v>1000184670100018619710001898051000189270DOCES</v>
      </c>
      <c r="N1148" s="28">
        <f>N1144*_xlfn.XLOOKUP($L1148,'Balizador da Meta'!$B$4:$B$21,'Balizador da Meta'!$C$4:$C$21)</f>
        <v>108</v>
      </c>
      <c r="O1148" s="28">
        <f>O1144*_xlfn.XLOOKUP($L1148,'Balizador da Meta'!$B$4:$B$21,'Balizador da Meta'!$C$4:$C$21)</f>
        <v>162</v>
      </c>
      <c r="P1148" s="28">
        <f>P1144*_xlfn.XLOOKUP($L1148,'Balizador da Meta'!$B$4:$B$21,'Balizador da Meta'!$C$4:$C$21)</f>
        <v>162</v>
      </c>
      <c r="Q1148" s="28">
        <f>Q1144*_xlfn.XLOOKUP($L1148,'Balizador da Meta'!$B$4:$B$21,'Balizador da Meta'!$C$4:$C$21)</f>
        <v>162</v>
      </c>
      <c r="R1148" s="28">
        <f>R1144*_xlfn.XLOOKUP($L1148,'Balizador da Meta'!$B$4:$B$21,'Balizador da Meta'!$C$4:$C$21)</f>
        <v>162</v>
      </c>
      <c r="S1148" s="28">
        <f>S1144*_xlfn.XLOOKUP($L1148,'Balizador da Meta'!$B$4:$B$21,'Balizador da Meta'!$C$4:$C$21)</f>
        <v>162</v>
      </c>
      <c r="T1148" s="28">
        <f>T1144*_xlfn.XLOOKUP($L1148,'Balizador da Meta'!$B$4:$B$21,'Balizador da Meta'!$C$4:$C$21)</f>
        <v>216</v>
      </c>
      <c r="U1148" s="28">
        <f>U1144*_xlfn.XLOOKUP($L1148,'Balizador da Meta'!$B$4:$B$21,'Balizador da Meta'!$C$4:$C$21)</f>
        <v>216</v>
      </c>
      <c r="V1148" s="28">
        <f>V1144*_xlfn.XLOOKUP($L1148,'Balizador da Meta'!$B$4:$B$21,'Balizador da Meta'!$C$4:$C$21)</f>
        <v>216</v>
      </c>
      <c r="W1148" s="28">
        <f>W1144*_xlfn.XLOOKUP($L1148,'Balizador da Meta'!$B$4:$B$21,'Balizador da Meta'!$C$4:$C$21)</f>
        <v>216</v>
      </c>
      <c r="X1148" s="28">
        <f>X1144*_xlfn.XLOOKUP($L1148,'Balizador da Meta'!$B$4:$B$21,'Balizador da Meta'!$C$4:$C$21)</f>
        <v>216</v>
      </c>
      <c r="Y1148" s="28">
        <f>Y1144*_xlfn.XLOOKUP($L1148,'Balizador da Meta'!$B$4:$B$21,'Balizador da Meta'!$C$4:$C$21)</f>
        <v>270</v>
      </c>
      <c r="Z1148" s="30">
        <f t="shared" si="277"/>
        <v>2268</v>
      </c>
      <c r="AA1148" s="29"/>
      <c r="AB1148" s="31">
        <f>SUMIFS('Historico - FAT'!AK:AK,'Historico - FAT'!$K:$K,Faturamento!$L1148,'Historico - FAT'!$I:$I,Faturamento!$J1148,'Historico - FAT'!$G:$G,Faturamento!$H1148)</f>
        <v>31.77</v>
      </c>
      <c r="AC1148" s="31">
        <f>SUMIFS('Historico - FAT'!AL:AL,'Historico - FAT'!$K:$K,Faturamento!$L1148,'Historico - FAT'!$I:$I,Faturamento!$J1148,'Historico - FAT'!$G:$G,Faturamento!$H1148)</f>
        <v>0</v>
      </c>
      <c r="AD1148" s="31">
        <f>SUMIFS('Historico - FAT'!AM:AM,'Historico - FAT'!$K:$K,Faturamento!$L1148,'Historico - FAT'!$I:$I,Faturamento!$J1148,'Historico - FAT'!$G:$G,Faturamento!$H1148)</f>
        <v>0</v>
      </c>
      <c r="AE1148" s="27">
        <f>SUMIFS('Historico - FAT'!AN:AN,'Historico - FAT'!$K:$K,Faturamento!$L1148,'Historico - FAT'!$I:$I,Faturamento!$J1148,'Historico - FAT'!$G:$G,Faturamento!$H1148)</f>
        <v>0</v>
      </c>
      <c r="AG1148" s="24">
        <f t="shared" si="272"/>
        <v>0.86423076923076914</v>
      </c>
      <c r="AH1148" s="24">
        <f t="shared" si="273"/>
        <v>1</v>
      </c>
      <c r="AI1148" s="24">
        <f t="shared" si="274"/>
        <v>1</v>
      </c>
    </row>
    <row r="1149" spans="1:35" hidden="1" x14ac:dyDescent="0.3">
      <c r="A1149" s="2" t="str">
        <f t="shared" si="271"/>
        <v>NÃO</v>
      </c>
      <c r="B1149" s="2">
        <v>1000184670</v>
      </c>
      <c r="C1149" s="2" t="s">
        <v>147</v>
      </c>
      <c r="D1149" s="4">
        <v>1000186197</v>
      </c>
      <c r="E1149" s="4" t="s">
        <v>166</v>
      </c>
      <c r="F1149" s="2">
        <v>1000185288</v>
      </c>
      <c r="G1149" s="2" t="s">
        <v>64</v>
      </c>
      <c r="H1149" s="4">
        <v>1000189805</v>
      </c>
      <c r="I1149" s="4" t="s">
        <v>118</v>
      </c>
      <c r="J1149" s="2">
        <v>1000189270</v>
      </c>
      <c r="K1149" s="2" t="s">
        <v>34</v>
      </c>
      <c r="L1149" s="4" t="s">
        <v>33</v>
      </c>
      <c r="M1149" s="4" t="str">
        <f t="shared" si="264"/>
        <v>1000184670100018619710001898051000189270FOOD SERVICE</v>
      </c>
      <c r="N1149" s="28">
        <f>N1144*_xlfn.XLOOKUP($L1149,'Balizador da Meta'!$B$4:$B$21,'Balizador da Meta'!$C$4:$C$21)</f>
        <v>0</v>
      </c>
      <c r="O1149" s="28">
        <f>O1144*_xlfn.XLOOKUP($L1149,'Balizador da Meta'!$B$4:$B$21,'Balizador da Meta'!$C$4:$C$21)</f>
        <v>0</v>
      </c>
      <c r="P1149" s="28">
        <f>P1144*_xlfn.XLOOKUP($L1149,'Balizador da Meta'!$B$4:$B$21,'Balizador da Meta'!$C$4:$C$21)</f>
        <v>0</v>
      </c>
      <c r="Q1149" s="28">
        <f>Q1144*_xlfn.XLOOKUP($L1149,'Balizador da Meta'!$B$4:$B$21,'Balizador da Meta'!$C$4:$C$21)</f>
        <v>0</v>
      </c>
      <c r="R1149" s="28">
        <f>R1144*_xlfn.XLOOKUP($L1149,'Balizador da Meta'!$B$4:$B$21,'Balizador da Meta'!$C$4:$C$21)</f>
        <v>0</v>
      </c>
      <c r="S1149" s="28">
        <f>S1144*_xlfn.XLOOKUP($L1149,'Balizador da Meta'!$B$4:$B$21,'Balizador da Meta'!$C$4:$C$21)</f>
        <v>0</v>
      </c>
      <c r="T1149" s="28">
        <f>T1144*_xlfn.XLOOKUP($L1149,'Balizador da Meta'!$B$4:$B$21,'Balizador da Meta'!$C$4:$C$21)</f>
        <v>0</v>
      </c>
      <c r="U1149" s="28">
        <f>U1144*_xlfn.XLOOKUP($L1149,'Balizador da Meta'!$B$4:$B$21,'Balizador da Meta'!$C$4:$C$21)</f>
        <v>0</v>
      </c>
      <c r="V1149" s="28">
        <f>V1144*_xlfn.XLOOKUP($L1149,'Balizador da Meta'!$B$4:$B$21,'Balizador da Meta'!$C$4:$C$21)</f>
        <v>0</v>
      </c>
      <c r="W1149" s="28">
        <f>W1144*_xlfn.XLOOKUP($L1149,'Balizador da Meta'!$B$4:$B$21,'Balizador da Meta'!$C$4:$C$21)</f>
        <v>0</v>
      </c>
      <c r="X1149" s="28">
        <f>X1144*_xlfn.XLOOKUP($L1149,'Balizador da Meta'!$B$4:$B$21,'Balizador da Meta'!$C$4:$C$21)</f>
        <v>0</v>
      </c>
      <c r="Y1149" s="28">
        <f>Y1144*_xlfn.XLOOKUP($L1149,'Balizador da Meta'!$B$4:$B$21,'Balizador da Meta'!$C$4:$C$21)</f>
        <v>0</v>
      </c>
      <c r="Z1149" s="30">
        <f t="shared" si="277"/>
        <v>0</v>
      </c>
      <c r="AA1149" s="29"/>
      <c r="AB1149" s="31">
        <f>SUMIFS('Historico - FAT'!AK:AK,'Historico - FAT'!$K:$K,Faturamento!$L1149,'Historico - FAT'!$I:$I,Faturamento!$J1149,'Historico - FAT'!$G:$G,Faturamento!$H1149)</f>
        <v>0</v>
      </c>
      <c r="AC1149" s="31">
        <f>SUMIFS('Historico - FAT'!AL:AL,'Historico - FAT'!$K:$K,Faturamento!$L1149,'Historico - FAT'!$I:$I,Faturamento!$J1149,'Historico - FAT'!$G:$G,Faturamento!$H1149)</f>
        <v>0</v>
      </c>
      <c r="AD1149" s="31">
        <f>SUMIFS('Historico - FAT'!AM:AM,'Historico - FAT'!$K:$K,Faturamento!$L1149,'Historico - FAT'!$I:$I,Faturamento!$J1149,'Historico - FAT'!$G:$G,Faturamento!$H1149)</f>
        <v>0</v>
      </c>
      <c r="AE1149" s="27">
        <f>SUMIFS('Historico - FAT'!AN:AN,'Historico - FAT'!$K:$K,Faturamento!$L1149,'Historico - FAT'!$I:$I,Faturamento!$J1149,'Historico - FAT'!$G:$G,Faturamento!$H1149)</f>
        <v>0</v>
      </c>
      <c r="AG1149" s="24" t="str">
        <f t="shared" si="272"/>
        <v/>
      </c>
      <c r="AH1149" s="24" t="str">
        <f t="shared" si="273"/>
        <v/>
      </c>
      <c r="AI1149" s="24" t="str">
        <f t="shared" si="274"/>
        <v/>
      </c>
    </row>
    <row r="1150" spans="1:35" hidden="1" x14ac:dyDescent="0.3">
      <c r="A1150" s="2" t="str">
        <f t="shared" si="271"/>
        <v>NÃO</v>
      </c>
      <c r="B1150" s="2">
        <v>1000184670</v>
      </c>
      <c r="C1150" s="2" t="s">
        <v>147</v>
      </c>
      <c r="D1150" s="4">
        <v>1000186197</v>
      </c>
      <c r="E1150" s="4" t="s">
        <v>166</v>
      </c>
      <c r="F1150" s="2">
        <v>1000185288</v>
      </c>
      <c r="G1150" s="2" t="s">
        <v>64</v>
      </c>
      <c r="H1150" s="4">
        <v>1000189805</v>
      </c>
      <c r="I1150" s="4" t="s">
        <v>118</v>
      </c>
      <c r="J1150" s="2">
        <v>1000189270</v>
      </c>
      <c r="K1150" s="2" t="s">
        <v>34</v>
      </c>
      <c r="L1150" s="4" t="s">
        <v>19</v>
      </c>
      <c r="M1150" s="4" t="str">
        <f t="shared" si="264"/>
        <v>1000184670100018619710001898051000189270GELEIA</v>
      </c>
      <c r="N1150" s="28">
        <f>N1144*_xlfn.XLOOKUP($L1150,'Balizador da Meta'!$B$4:$B$21,'Balizador da Meta'!$C$4:$C$21)</f>
        <v>23.999999999999996</v>
      </c>
      <c r="O1150" s="28">
        <f>O1144*_xlfn.XLOOKUP($L1150,'Balizador da Meta'!$B$4:$B$21,'Balizador da Meta'!$C$4:$C$21)</f>
        <v>35.999999999999993</v>
      </c>
      <c r="P1150" s="28">
        <f>P1144*_xlfn.XLOOKUP($L1150,'Balizador da Meta'!$B$4:$B$21,'Balizador da Meta'!$C$4:$C$21)</f>
        <v>35.999999999999993</v>
      </c>
      <c r="Q1150" s="28">
        <f>Q1144*_xlfn.XLOOKUP($L1150,'Balizador da Meta'!$B$4:$B$21,'Balizador da Meta'!$C$4:$C$21)</f>
        <v>35.999999999999993</v>
      </c>
      <c r="R1150" s="28">
        <f>R1144*_xlfn.XLOOKUP($L1150,'Balizador da Meta'!$B$4:$B$21,'Balizador da Meta'!$C$4:$C$21)</f>
        <v>35.999999999999993</v>
      </c>
      <c r="S1150" s="28">
        <f>S1144*_xlfn.XLOOKUP($L1150,'Balizador da Meta'!$B$4:$B$21,'Balizador da Meta'!$C$4:$C$21)</f>
        <v>35.999999999999993</v>
      </c>
      <c r="T1150" s="28">
        <f>T1144*_xlfn.XLOOKUP($L1150,'Balizador da Meta'!$B$4:$B$21,'Balizador da Meta'!$C$4:$C$21)</f>
        <v>47.999999999999993</v>
      </c>
      <c r="U1150" s="28">
        <f>U1144*_xlfn.XLOOKUP($L1150,'Balizador da Meta'!$B$4:$B$21,'Balizador da Meta'!$C$4:$C$21)</f>
        <v>47.999999999999993</v>
      </c>
      <c r="V1150" s="28">
        <f>V1144*_xlfn.XLOOKUP($L1150,'Balizador da Meta'!$B$4:$B$21,'Balizador da Meta'!$C$4:$C$21)</f>
        <v>47.999999999999993</v>
      </c>
      <c r="W1150" s="28">
        <f>W1144*_xlfn.XLOOKUP($L1150,'Balizador da Meta'!$B$4:$B$21,'Balizador da Meta'!$C$4:$C$21)</f>
        <v>47.999999999999993</v>
      </c>
      <c r="X1150" s="28">
        <f>X1144*_xlfn.XLOOKUP($L1150,'Balizador da Meta'!$B$4:$B$21,'Balizador da Meta'!$C$4:$C$21)</f>
        <v>47.999999999999993</v>
      </c>
      <c r="Y1150" s="28">
        <f>Y1144*_xlfn.XLOOKUP($L1150,'Balizador da Meta'!$B$4:$B$21,'Balizador da Meta'!$C$4:$C$21)</f>
        <v>59.999999999999993</v>
      </c>
      <c r="Z1150" s="30">
        <f t="shared" si="277"/>
        <v>503.99999999999994</v>
      </c>
      <c r="AA1150" s="29"/>
      <c r="AB1150" s="31">
        <f>SUMIFS('Historico - FAT'!AK:AK,'Historico - FAT'!$K:$K,Faturamento!$L1150,'Historico - FAT'!$I:$I,Faturamento!$J1150,'Historico - FAT'!$G:$G,Faturamento!$H1150)</f>
        <v>0</v>
      </c>
      <c r="AC1150" s="31">
        <f>SUMIFS('Historico - FAT'!AL:AL,'Historico - FAT'!$K:$K,Faturamento!$L1150,'Historico - FAT'!$I:$I,Faturamento!$J1150,'Historico - FAT'!$G:$G,Faturamento!$H1150)</f>
        <v>11.39</v>
      </c>
      <c r="AD1150" s="31">
        <f>SUMIFS('Historico - FAT'!AM:AM,'Historico - FAT'!$K:$K,Faturamento!$L1150,'Historico - FAT'!$I:$I,Faturamento!$J1150,'Historico - FAT'!$G:$G,Faturamento!$H1150)</f>
        <v>22.78</v>
      </c>
      <c r="AE1150" s="27">
        <f>SUMIFS('Historico - FAT'!AN:AN,'Historico - FAT'!$K:$K,Faturamento!$L1150,'Historico - FAT'!$I:$I,Faturamento!$J1150,'Historico - FAT'!$G:$G,Faturamento!$H1150)</f>
        <v>13.668000000000001</v>
      </c>
      <c r="AG1150" s="24">
        <f t="shared" si="272"/>
        <v>1</v>
      </c>
      <c r="AH1150" s="24">
        <f t="shared" si="273"/>
        <v>0.78096153846153837</v>
      </c>
      <c r="AI1150" s="24">
        <f t="shared" si="274"/>
        <v>0.56192307692307686</v>
      </c>
    </row>
    <row r="1151" spans="1:35" hidden="1" x14ac:dyDescent="0.3">
      <c r="A1151" s="2" t="str">
        <f t="shared" si="271"/>
        <v>NÃO</v>
      </c>
      <c r="B1151" s="2">
        <v>1000184670</v>
      </c>
      <c r="C1151" s="2" t="s">
        <v>147</v>
      </c>
      <c r="D1151" s="4">
        <v>1000186197</v>
      </c>
      <c r="E1151" s="4" t="s">
        <v>166</v>
      </c>
      <c r="F1151" s="2">
        <v>1000185288</v>
      </c>
      <c r="G1151" s="2" t="s">
        <v>64</v>
      </c>
      <c r="H1151" s="4">
        <v>1000189805</v>
      </c>
      <c r="I1151" s="4" t="s">
        <v>118</v>
      </c>
      <c r="J1151" s="2">
        <v>1000189270</v>
      </c>
      <c r="K1151" s="2" t="s">
        <v>34</v>
      </c>
      <c r="L1151" s="4" t="s">
        <v>17</v>
      </c>
      <c r="M1151" s="4" t="str">
        <f t="shared" si="264"/>
        <v>1000184670100018619710001898051000189270GRANOLA</v>
      </c>
      <c r="N1151" s="28">
        <f>N1144*_xlfn.XLOOKUP($L1151,'Balizador da Meta'!$B$4:$B$21,'Balizador da Meta'!$C$4:$C$21)</f>
        <v>24</v>
      </c>
      <c r="O1151" s="28">
        <f>O1144*_xlfn.XLOOKUP($L1151,'Balizador da Meta'!$B$4:$B$21,'Balizador da Meta'!$C$4:$C$21)</f>
        <v>36</v>
      </c>
      <c r="P1151" s="28">
        <f>P1144*_xlfn.XLOOKUP($L1151,'Balizador da Meta'!$B$4:$B$21,'Balizador da Meta'!$C$4:$C$21)</f>
        <v>36</v>
      </c>
      <c r="Q1151" s="28">
        <f>Q1144*_xlfn.XLOOKUP($L1151,'Balizador da Meta'!$B$4:$B$21,'Balizador da Meta'!$C$4:$C$21)</f>
        <v>36</v>
      </c>
      <c r="R1151" s="28">
        <f>R1144*_xlfn.XLOOKUP($L1151,'Balizador da Meta'!$B$4:$B$21,'Balizador da Meta'!$C$4:$C$21)</f>
        <v>36</v>
      </c>
      <c r="S1151" s="28">
        <f>S1144*_xlfn.XLOOKUP($L1151,'Balizador da Meta'!$B$4:$B$21,'Balizador da Meta'!$C$4:$C$21)</f>
        <v>36</v>
      </c>
      <c r="T1151" s="28">
        <f>T1144*_xlfn.XLOOKUP($L1151,'Balizador da Meta'!$B$4:$B$21,'Balizador da Meta'!$C$4:$C$21)</f>
        <v>48</v>
      </c>
      <c r="U1151" s="28">
        <f>U1144*_xlfn.XLOOKUP($L1151,'Balizador da Meta'!$B$4:$B$21,'Balizador da Meta'!$C$4:$C$21)</f>
        <v>48</v>
      </c>
      <c r="V1151" s="28">
        <f>V1144*_xlfn.XLOOKUP($L1151,'Balizador da Meta'!$B$4:$B$21,'Balizador da Meta'!$C$4:$C$21)</f>
        <v>48</v>
      </c>
      <c r="W1151" s="28">
        <f>W1144*_xlfn.XLOOKUP($L1151,'Balizador da Meta'!$B$4:$B$21,'Balizador da Meta'!$C$4:$C$21)</f>
        <v>48</v>
      </c>
      <c r="X1151" s="28">
        <f>X1144*_xlfn.XLOOKUP($L1151,'Balizador da Meta'!$B$4:$B$21,'Balizador da Meta'!$C$4:$C$21)</f>
        <v>48</v>
      </c>
      <c r="Y1151" s="28">
        <f>Y1144*_xlfn.XLOOKUP($L1151,'Balizador da Meta'!$B$4:$B$21,'Balizador da Meta'!$C$4:$C$21)</f>
        <v>60</v>
      </c>
      <c r="Z1151" s="30">
        <f t="shared" si="277"/>
        <v>504</v>
      </c>
      <c r="AA1151" s="29"/>
      <c r="AB1151" s="31">
        <f>SUMIFS('Historico - FAT'!AK:AK,'Historico - FAT'!$K:$K,Faturamento!$L1151,'Historico - FAT'!$I:$I,Faturamento!$J1151,'Historico - FAT'!$G:$G,Faturamento!$H1151)</f>
        <v>0</v>
      </c>
      <c r="AC1151" s="31">
        <f>SUMIFS('Historico - FAT'!AL:AL,'Historico - FAT'!$K:$K,Faturamento!$L1151,'Historico - FAT'!$I:$I,Faturamento!$J1151,'Historico - FAT'!$G:$G,Faturamento!$H1151)</f>
        <v>0</v>
      </c>
      <c r="AD1151" s="31">
        <f>SUMIFS('Historico - FAT'!AM:AM,'Historico - FAT'!$K:$K,Faturamento!$L1151,'Historico - FAT'!$I:$I,Faturamento!$J1151,'Historico - FAT'!$G:$G,Faturamento!$H1151)</f>
        <v>0</v>
      </c>
      <c r="AE1151" s="27">
        <f>SUMIFS('Historico - FAT'!AN:AN,'Historico - FAT'!$K:$K,Faturamento!$L1151,'Historico - FAT'!$I:$I,Faturamento!$J1151,'Historico - FAT'!$G:$G,Faturamento!$H1151)</f>
        <v>0</v>
      </c>
      <c r="AG1151" s="24">
        <f t="shared" si="272"/>
        <v>1</v>
      </c>
      <c r="AH1151" s="24">
        <f t="shared" si="273"/>
        <v>1</v>
      </c>
      <c r="AI1151" s="24">
        <f t="shared" si="274"/>
        <v>1</v>
      </c>
    </row>
    <row r="1152" spans="1:35" hidden="1" x14ac:dyDescent="0.3">
      <c r="A1152" s="2" t="str">
        <f t="shared" si="271"/>
        <v>NÃO</v>
      </c>
      <c r="B1152" s="2">
        <v>1000184670</v>
      </c>
      <c r="C1152" s="2" t="s">
        <v>147</v>
      </c>
      <c r="D1152" s="4">
        <v>1000186197</v>
      </c>
      <c r="E1152" s="4" t="s">
        <v>166</v>
      </c>
      <c r="F1152" s="2">
        <v>1000185288</v>
      </c>
      <c r="G1152" s="2" t="s">
        <v>64</v>
      </c>
      <c r="H1152" s="4">
        <v>1000189805</v>
      </c>
      <c r="I1152" s="4" t="s">
        <v>118</v>
      </c>
      <c r="J1152" s="2">
        <v>1000189270</v>
      </c>
      <c r="K1152" s="2" t="s">
        <v>34</v>
      </c>
      <c r="L1152" s="4" t="s">
        <v>24</v>
      </c>
      <c r="M1152" s="4" t="str">
        <f t="shared" si="264"/>
        <v>1000184670100018619710001898051000189270KIDS</v>
      </c>
      <c r="N1152" s="28">
        <f>N1144*_xlfn.XLOOKUP($L1152,'Balizador da Meta'!$B$4:$B$21,'Balizador da Meta'!$C$4:$C$21)</f>
        <v>0</v>
      </c>
      <c r="O1152" s="28">
        <f>O1144*_xlfn.XLOOKUP($L1152,'Balizador da Meta'!$B$4:$B$21,'Balizador da Meta'!$C$4:$C$21)</f>
        <v>0</v>
      </c>
      <c r="P1152" s="28">
        <f>P1144*_xlfn.XLOOKUP($L1152,'Balizador da Meta'!$B$4:$B$21,'Balizador da Meta'!$C$4:$C$21)</f>
        <v>0</v>
      </c>
      <c r="Q1152" s="28">
        <f>Q1144*_xlfn.XLOOKUP($L1152,'Balizador da Meta'!$B$4:$B$21,'Balizador da Meta'!$C$4:$C$21)</f>
        <v>0</v>
      </c>
      <c r="R1152" s="28">
        <f>R1144*_xlfn.XLOOKUP($L1152,'Balizador da Meta'!$B$4:$B$21,'Balizador da Meta'!$C$4:$C$21)</f>
        <v>0</v>
      </c>
      <c r="S1152" s="28">
        <f>S1144*_xlfn.XLOOKUP($L1152,'Balizador da Meta'!$B$4:$B$21,'Balizador da Meta'!$C$4:$C$21)</f>
        <v>0</v>
      </c>
      <c r="T1152" s="28">
        <f>T1144*_xlfn.XLOOKUP($L1152,'Balizador da Meta'!$B$4:$B$21,'Balizador da Meta'!$C$4:$C$21)</f>
        <v>0</v>
      </c>
      <c r="U1152" s="28">
        <f>U1144*_xlfn.XLOOKUP($L1152,'Balizador da Meta'!$B$4:$B$21,'Balizador da Meta'!$C$4:$C$21)</f>
        <v>0</v>
      </c>
      <c r="V1152" s="28">
        <f>V1144*_xlfn.XLOOKUP($L1152,'Balizador da Meta'!$B$4:$B$21,'Balizador da Meta'!$C$4:$C$21)</f>
        <v>0</v>
      </c>
      <c r="W1152" s="28">
        <f>W1144*_xlfn.XLOOKUP($L1152,'Balizador da Meta'!$B$4:$B$21,'Balizador da Meta'!$C$4:$C$21)</f>
        <v>0</v>
      </c>
      <c r="X1152" s="28">
        <f>X1144*_xlfn.XLOOKUP($L1152,'Balizador da Meta'!$B$4:$B$21,'Balizador da Meta'!$C$4:$C$21)</f>
        <v>0</v>
      </c>
      <c r="Y1152" s="28">
        <f>Y1144*_xlfn.XLOOKUP($L1152,'Balizador da Meta'!$B$4:$B$21,'Balizador da Meta'!$C$4:$C$21)</f>
        <v>0</v>
      </c>
      <c r="Z1152" s="30">
        <f t="shared" si="277"/>
        <v>0</v>
      </c>
      <c r="AA1152" s="29"/>
      <c r="AB1152" s="31">
        <f>SUMIFS('Historico - FAT'!AK:AK,'Historico - FAT'!$K:$K,Faturamento!$L1152,'Historico - FAT'!$I:$I,Faturamento!$J1152,'Historico - FAT'!$G:$G,Faturamento!$H1152)</f>
        <v>19.68</v>
      </c>
      <c r="AC1152" s="31">
        <f>SUMIFS('Historico - FAT'!AL:AL,'Historico - FAT'!$K:$K,Faturamento!$L1152,'Historico - FAT'!$I:$I,Faturamento!$J1152,'Historico - FAT'!$G:$G,Faturamento!$H1152)</f>
        <v>0</v>
      </c>
      <c r="AD1152" s="31">
        <f>SUMIFS('Historico - FAT'!AM:AM,'Historico - FAT'!$K:$K,Faturamento!$L1152,'Historico - FAT'!$I:$I,Faturamento!$J1152,'Historico - FAT'!$G:$G,Faturamento!$H1152)</f>
        <v>0</v>
      </c>
      <c r="AE1152" s="27">
        <f>SUMIFS('Historico - FAT'!AN:AN,'Historico - FAT'!$K:$K,Faturamento!$L1152,'Historico - FAT'!$I:$I,Faturamento!$J1152,'Historico - FAT'!$G:$G,Faturamento!$H1152)</f>
        <v>0</v>
      </c>
      <c r="AG1152" s="24" t="str">
        <f t="shared" si="272"/>
        <v/>
      </c>
      <c r="AH1152" s="24" t="str">
        <f t="shared" si="273"/>
        <v/>
      </c>
      <c r="AI1152" s="24" t="str">
        <f t="shared" si="274"/>
        <v/>
      </c>
    </row>
    <row r="1153" spans="1:35" hidden="1" x14ac:dyDescent="0.3">
      <c r="A1153" s="2" t="str">
        <f t="shared" si="271"/>
        <v>NÃO</v>
      </c>
      <c r="B1153" s="2">
        <v>1000184670</v>
      </c>
      <c r="C1153" s="2" t="s">
        <v>147</v>
      </c>
      <c r="D1153" s="4">
        <v>1000186197</v>
      </c>
      <c r="E1153" s="4" t="s">
        <v>166</v>
      </c>
      <c r="F1153" s="2">
        <v>1000185288</v>
      </c>
      <c r="G1153" s="2" t="s">
        <v>64</v>
      </c>
      <c r="H1153" s="4">
        <v>1000189805</v>
      </c>
      <c r="I1153" s="4" t="s">
        <v>118</v>
      </c>
      <c r="J1153" s="2">
        <v>1000189270</v>
      </c>
      <c r="K1153" s="2" t="s">
        <v>34</v>
      </c>
      <c r="L1153" s="4" t="s">
        <v>18</v>
      </c>
      <c r="M1153" s="4" t="str">
        <f t="shared" si="264"/>
        <v>1000184670100018619710001898051000189270LANCHES</v>
      </c>
      <c r="N1153" s="28">
        <f>N1144*_xlfn.XLOOKUP($L1153,'Balizador da Meta'!$B$4:$B$21,'Balizador da Meta'!$C$4:$C$21)</f>
        <v>12</v>
      </c>
      <c r="O1153" s="28">
        <f>O1144*_xlfn.XLOOKUP($L1153,'Balizador da Meta'!$B$4:$B$21,'Balizador da Meta'!$C$4:$C$21)</f>
        <v>18</v>
      </c>
      <c r="P1153" s="28">
        <f>P1144*_xlfn.XLOOKUP($L1153,'Balizador da Meta'!$B$4:$B$21,'Balizador da Meta'!$C$4:$C$21)</f>
        <v>18</v>
      </c>
      <c r="Q1153" s="28">
        <f>Q1144*_xlfn.XLOOKUP($L1153,'Balizador da Meta'!$B$4:$B$21,'Balizador da Meta'!$C$4:$C$21)</f>
        <v>18</v>
      </c>
      <c r="R1153" s="28">
        <f>R1144*_xlfn.XLOOKUP($L1153,'Balizador da Meta'!$B$4:$B$21,'Balizador da Meta'!$C$4:$C$21)</f>
        <v>18</v>
      </c>
      <c r="S1153" s="28">
        <f>S1144*_xlfn.XLOOKUP($L1153,'Balizador da Meta'!$B$4:$B$21,'Balizador da Meta'!$C$4:$C$21)</f>
        <v>18</v>
      </c>
      <c r="T1153" s="28">
        <f>T1144*_xlfn.XLOOKUP($L1153,'Balizador da Meta'!$B$4:$B$21,'Balizador da Meta'!$C$4:$C$21)</f>
        <v>24</v>
      </c>
      <c r="U1153" s="28">
        <f>U1144*_xlfn.XLOOKUP($L1153,'Balizador da Meta'!$B$4:$B$21,'Balizador da Meta'!$C$4:$C$21)</f>
        <v>24</v>
      </c>
      <c r="V1153" s="28">
        <f>V1144*_xlfn.XLOOKUP($L1153,'Balizador da Meta'!$B$4:$B$21,'Balizador da Meta'!$C$4:$C$21)</f>
        <v>24</v>
      </c>
      <c r="W1153" s="28">
        <f>W1144*_xlfn.XLOOKUP($L1153,'Balizador da Meta'!$B$4:$B$21,'Balizador da Meta'!$C$4:$C$21)</f>
        <v>24</v>
      </c>
      <c r="X1153" s="28">
        <f>X1144*_xlfn.XLOOKUP($L1153,'Balizador da Meta'!$B$4:$B$21,'Balizador da Meta'!$C$4:$C$21)</f>
        <v>24</v>
      </c>
      <c r="Y1153" s="28">
        <f>Y1144*_xlfn.XLOOKUP($L1153,'Balizador da Meta'!$B$4:$B$21,'Balizador da Meta'!$C$4:$C$21)</f>
        <v>30</v>
      </c>
      <c r="Z1153" s="30">
        <f t="shared" si="277"/>
        <v>252</v>
      </c>
      <c r="AA1153" s="29"/>
      <c r="AB1153" s="31">
        <f>SUMIFS('Historico - FAT'!AK:AK,'Historico - FAT'!$K:$K,Faturamento!$L1153,'Historico - FAT'!$I:$I,Faturamento!$J1153,'Historico - FAT'!$G:$G,Faturamento!$H1153)</f>
        <v>23.099999999999998</v>
      </c>
      <c r="AC1153" s="31">
        <f>SUMIFS('Historico - FAT'!AL:AL,'Historico - FAT'!$K:$K,Faturamento!$L1153,'Historico - FAT'!$I:$I,Faturamento!$J1153,'Historico - FAT'!$G:$G,Faturamento!$H1153)</f>
        <v>0</v>
      </c>
      <c r="AD1153" s="31">
        <f>SUMIFS('Historico - FAT'!AM:AM,'Historico - FAT'!$K:$K,Faturamento!$L1153,'Historico - FAT'!$I:$I,Faturamento!$J1153,'Historico - FAT'!$G:$G,Faturamento!$H1153)</f>
        <v>0</v>
      </c>
      <c r="AE1153" s="27">
        <f>SUMIFS('Historico - FAT'!AN:AN,'Historico - FAT'!$K:$K,Faturamento!$L1153,'Historico - FAT'!$I:$I,Faturamento!$J1153,'Historico - FAT'!$G:$G,Faturamento!$H1153)</f>
        <v>0</v>
      </c>
      <c r="AG1153" s="24">
        <f t="shared" si="272"/>
        <v>0.11153846153846161</v>
      </c>
      <c r="AH1153" s="24">
        <f t="shared" si="273"/>
        <v>1</v>
      </c>
      <c r="AI1153" s="24">
        <f t="shared" si="274"/>
        <v>1</v>
      </c>
    </row>
    <row r="1154" spans="1:35" hidden="1" x14ac:dyDescent="0.3">
      <c r="A1154" s="2" t="str">
        <f t="shared" si="271"/>
        <v>NÃO</v>
      </c>
      <c r="B1154" s="2">
        <v>1000184670</v>
      </c>
      <c r="C1154" s="2" t="s">
        <v>147</v>
      </c>
      <c r="D1154" s="4">
        <v>1000186197</v>
      </c>
      <c r="E1154" s="4" t="s">
        <v>166</v>
      </c>
      <c r="F1154" s="2">
        <v>1000185288</v>
      </c>
      <c r="G1154" s="2" t="s">
        <v>64</v>
      </c>
      <c r="H1154" s="4">
        <v>1000189805</v>
      </c>
      <c r="I1154" s="4" t="s">
        <v>118</v>
      </c>
      <c r="J1154" s="2">
        <v>1000189270</v>
      </c>
      <c r="K1154" s="2" t="s">
        <v>34</v>
      </c>
      <c r="L1154" s="4" t="s">
        <v>29</v>
      </c>
      <c r="M1154" s="4" t="str">
        <f t="shared" si="264"/>
        <v>1000184670100018619710001898051000189270MAIS GRANEL</v>
      </c>
      <c r="N1154" s="28">
        <f>N1144*_xlfn.XLOOKUP($L1154,'Balizador da Meta'!$B$4:$B$21,'Balizador da Meta'!$C$4:$C$21)</f>
        <v>384</v>
      </c>
      <c r="O1154" s="28">
        <f>O1144*_xlfn.XLOOKUP($L1154,'Balizador da Meta'!$B$4:$B$21,'Balizador da Meta'!$C$4:$C$21)</f>
        <v>576</v>
      </c>
      <c r="P1154" s="28">
        <f>P1144*_xlfn.XLOOKUP($L1154,'Balizador da Meta'!$B$4:$B$21,'Balizador da Meta'!$C$4:$C$21)</f>
        <v>576</v>
      </c>
      <c r="Q1154" s="28">
        <f>Q1144*_xlfn.XLOOKUP($L1154,'Balizador da Meta'!$B$4:$B$21,'Balizador da Meta'!$C$4:$C$21)</f>
        <v>576</v>
      </c>
      <c r="R1154" s="28">
        <f>R1144*_xlfn.XLOOKUP($L1154,'Balizador da Meta'!$B$4:$B$21,'Balizador da Meta'!$C$4:$C$21)</f>
        <v>576</v>
      </c>
      <c r="S1154" s="28">
        <f>S1144*_xlfn.XLOOKUP($L1154,'Balizador da Meta'!$B$4:$B$21,'Balizador da Meta'!$C$4:$C$21)</f>
        <v>576</v>
      </c>
      <c r="T1154" s="28">
        <f>T1144*_xlfn.XLOOKUP($L1154,'Balizador da Meta'!$B$4:$B$21,'Balizador da Meta'!$C$4:$C$21)</f>
        <v>768</v>
      </c>
      <c r="U1154" s="28">
        <f>U1144*_xlfn.XLOOKUP($L1154,'Balizador da Meta'!$B$4:$B$21,'Balizador da Meta'!$C$4:$C$21)</f>
        <v>768</v>
      </c>
      <c r="V1154" s="28">
        <f>V1144*_xlfn.XLOOKUP($L1154,'Balizador da Meta'!$B$4:$B$21,'Balizador da Meta'!$C$4:$C$21)</f>
        <v>768</v>
      </c>
      <c r="W1154" s="28">
        <f>W1144*_xlfn.XLOOKUP($L1154,'Balizador da Meta'!$B$4:$B$21,'Balizador da Meta'!$C$4:$C$21)</f>
        <v>768</v>
      </c>
      <c r="X1154" s="28">
        <f>X1144*_xlfn.XLOOKUP($L1154,'Balizador da Meta'!$B$4:$B$21,'Balizador da Meta'!$C$4:$C$21)</f>
        <v>768</v>
      </c>
      <c r="Y1154" s="28">
        <f>Y1144*_xlfn.XLOOKUP($L1154,'Balizador da Meta'!$B$4:$B$21,'Balizador da Meta'!$C$4:$C$21)</f>
        <v>960</v>
      </c>
      <c r="Z1154" s="30">
        <f t="shared" si="277"/>
        <v>8064</v>
      </c>
      <c r="AA1154" s="29"/>
      <c r="AB1154" s="31">
        <f>SUMIFS('Historico - FAT'!AK:AK,'Historico - FAT'!$K:$K,Faturamento!$L1154,'Historico - FAT'!$I:$I,Faturamento!$J1154,'Historico - FAT'!$G:$G,Faturamento!$H1154)</f>
        <v>0</v>
      </c>
      <c r="AC1154" s="31">
        <f>SUMIFS('Historico - FAT'!AL:AL,'Historico - FAT'!$K:$K,Faturamento!$L1154,'Historico - FAT'!$I:$I,Faturamento!$J1154,'Historico - FAT'!$G:$G,Faturamento!$H1154)</f>
        <v>167</v>
      </c>
      <c r="AD1154" s="31">
        <f>SUMIFS('Historico - FAT'!AM:AM,'Historico - FAT'!$K:$K,Faturamento!$L1154,'Historico - FAT'!$I:$I,Faturamento!$J1154,'Historico - FAT'!$G:$G,Faturamento!$H1154)</f>
        <v>334</v>
      </c>
      <c r="AE1154" s="27">
        <f>SUMIFS('Historico - FAT'!AN:AN,'Historico - FAT'!$K:$K,Faturamento!$L1154,'Historico - FAT'!$I:$I,Faturamento!$J1154,'Historico - FAT'!$G:$G,Faturamento!$H1154)</f>
        <v>200.4</v>
      </c>
      <c r="AG1154" s="24">
        <f t="shared" si="272"/>
        <v>1</v>
      </c>
      <c r="AH1154" s="24">
        <f t="shared" si="273"/>
        <v>0.79927884615384615</v>
      </c>
      <c r="AI1154" s="24">
        <f t="shared" si="274"/>
        <v>0.59855769230769229</v>
      </c>
    </row>
    <row r="1155" spans="1:35" hidden="1" x14ac:dyDescent="0.3">
      <c r="A1155" s="2" t="str">
        <f t="shared" si="271"/>
        <v>NÃO</v>
      </c>
      <c r="B1155" s="2">
        <v>1000184670</v>
      </c>
      <c r="C1155" s="2" t="s">
        <v>147</v>
      </c>
      <c r="D1155" s="4">
        <v>1000186197</v>
      </c>
      <c r="E1155" s="4" t="s">
        <v>166</v>
      </c>
      <c r="F1155" s="2">
        <v>1000185288</v>
      </c>
      <c r="G1155" s="2" t="s">
        <v>64</v>
      </c>
      <c r="H1155" s="4">
        <v>1000189805</v>
      </c>
      <c r="I1155" s="4" t="s">
        <v>118</v>
      </c>
      <c r="J1155" s="2">
        <v>1000189270</v>
      </c>
      <c r="K1155" s="2" t="s">
        <v>34</v>
      </c>
      <c r="L1155" s="4" t="s">
        <v>21</v>
      </c>
      <c r="M1155" s="4" t="str">
        <f t="shared" si="264"/>
        <v>1000184670100018619710001898051000189270NATURATTA</v>
      </c>
      <c r="N1155" s="28">
        <f>N1144*_xlfn.XLOOKUP($L1155,'Balizador da Meta'!$B$4:$B$21,'Balizador da Meta'!$C$4:$C$21)</f>
        <v>60</v>
      </c>
      <c r="O1155" s="28">
        <f>O1144*_xlfn.XLOOKUP($L1155,'Balizador da Meta'!$B$4:$B$21,'Balizador da Meta'!$C$4:$C$21)</f>
        <v>90</v>
      </c>
      <c r="P1155" s="28">
        <f>P1144*_xlfn.XLOOKUP($L1155,'Balizador da Meta'!$B$4:$B$21,'Balizador da Meta'!$C$4:$C$21)</f>
        <v>90</v>
      </c>
      <c r="Q1155" s="28">
        <f>Q1144*_xlfn.XLOOKUP($L1155,'Balizador da Meta'!$B$4:$B$21,'Balizador da Meta'!$C$4:$C$21)</f>
        <v>90</v>
      </c>
      <c r="R1155" s="28">
        <f>R1144*_xlfn.XLOOKUP($L1155,'Balizador da Meta'!$B$4:$B$21,'Balizador da Meta'!$C$4:$C$21)</f>
        <v>90</v>
      </c>
      <c r="S1155" s="28">
        <f>S1144*_xlfn.XLOOKUP($L1155,'Balizador da Meta'!$B$4:$B$21,'Balizador da Meta'!$C$4:$C$21)</f>
        <v>90</v>
      </c>
      <c r="T1155" s="28">
        <f>T1144*_xlfn.XLOOKUP($L1155,'Balizador da Meta'!$B$4:$B$21,'Balizador da Meta'!$C$4:$C$21)</f>
        <v>120</v>
      </c>
      <c r="U1155" s="28">
        <f>U1144*_xlfn.XLOOKUP($L1155,'Balizador da Meta'!$B$4:$B$21,'Balizador da Meta'!$C$4:$C$21)</f>
        <v>120</v>
      </c>
      <c r="V1155" s="28">
        <f>V1144*_xlfn.XLOOKUP($L1155,'Balizador da Meta'!$B$4:$B$21,'Balizador da Meta'!$C$4:$C$21)</f>
        <v>120</v>
      </c>
      <c r="W1155" s="28">
        <f>W1144*_xlfn.XLOOKUP($L1155,'Balizador da Meta'!$B$4:$B$21,'Balizador da Meta'!$C$4:$C$21)</f>
        <v>120</v>
      </c>
      <c r="X1155" s="28">
        <f>X1144*_xlfn.XLOOKUP($L1155,'Balizador da Meta'!$B$4:$B$21,'Balizador da Meta'!$C$4:$C$21)</f>
        <v>120</v>
      </c>
      <c r="Y1155" s="28">
        <f>Y1144*_xlfn.XLOOKUP($L1155,'Balizador da Meta'!$B$4:$B$21,'Balizador da Meta'!$C$4:$C$21)</f>
        <v>150</v>
      </c>
      <c r="Z1155" s="30">
        <f t="shared" si="277"/>
        <v>1260</v>
      </c>
      <c r="AA1155" s="29"/>
      <c r="AB1155" s="31">
        <f>SUMIFS('Historico - FAT'!AK:AK,'Historico - FAT'!$K:$K,Faturamento!$L1155,'Historico - FAT'!$I:$I,Faturamento!$J1155,'Historico - FAT'!$G:$G,Faturamento!$H1155)</f>
        <v>18.5</v>
      </c>
      <c r="AC1155" s="31">
        <f>SUMIFS('Historico - FAT'!AL:AL,'Historico - FAT'!$K:$K,Faturamento!$L1155,'Historico - FAT'!$I:$I,Faturamento!$J1155,'Historico - FAT'!$G:$G,Faturamento!$H1155)</f>
        <v>21</v>
      </c>
      <c r="AD1155" s="31">
        <f>SUMIFS('Historico - FAT'!AM:AM,'Historico - FAT'!$K:$K,Faturamento!$L1155,'Historico - FAT'!$I:$I,Faturamento!$J1155,'Historico - FAT'!$G:$G,Faturamento!$H1155)</f>
        <v>0</v>
      </c>
      <c r="AE1155" s="27">
        <f>SUMIFS('Historico - FAT'!AN:AN,'Historico - FAT'!$K:$K,Faturamento!$L1155,'Historico - FAT'!$I:$I,Faturamento!$J1155,'Historico - FAT'!$G:$G,Faturamento!$H1155)</f>
        <v>25.2</v>
      </c>
      <c r="AG1155" s="24">
        <f t="shared" si="272"/>
        <v>0.85769230769230764</v>
      </c>
      <c r="AH1155" s="24">
        <f t="shared" si="273"/>
        <v>0.83846153846153848</v>
      </c>
      <c r="AI1155" s="24">
        <f t="shared" si="274"/>
        <v>1</v>
      </c>
    </row>
    <row r="1156" spans="1:35" hidden="1" x14ac:dyDescent="0.3">
      <c r="A1156" s="2" t="str">
        <f t="shared" si="271"/>
        <v>NÃO</v>
      </c>
      <c r="B1156" s="2">
        <v>1000184670</v>
      </c>
      <c r="C1156" s="2" t="s">
        <v>147</v>
      </c>
      <c r="D1156" s="4">
        <v>1000186197</v>
      </c>
      <c r="E1156" s="4" t="s">
        <v>166</v>
      </c>
      <c r="F1156" s="2">
        <v>1000185288</v>
      </c>
      <c r="G1156" s="2" t="s">
        <v>64</v>
      </c>
      <c r="H1156" s="4">
        <v>1000189805</v>
      </c>
      <c r="I1156" s="4" t="s">
        <v>118</v>
      </c>
      <c r="J1156" s="2">
        <v>1000189270</v>
      </c>
      <c r="K1156" s="2" t="s">
        <v>34</v>
      </c>
      <c r="L1156" s="4" t="s">
        <v>20</v>
      </c>
      <c r="M1156" s="4" t="str">
        <f t="shared" si="264"/>
        <v>1000184670100018619710001898051000189270REEMBALADOS</v>
      </c>
      <c r="N1156" s="28">
        <f>N1144*_xlfn.XLOOKUP($L1156,'Balizador da Meta'!$B$4:$B$21,'Balizador da Meta'!$C$4:$C$21)</f>
        <v>48</v>
      </c>
      <c r="O1156" s="28">
        <f>O1144*_xlfn.XLOOKUP($L1156,'Balizador da Meta'!$B$4:$B$21,'Balizador da Meta'!$C$4:$C$21)</f>
        <v>72</v>
      </c>
      <c r="P1156" s="28">
        <f>P1144*_xlfn.XLOOKUP($L1156,'Balizador da Meta'!$B$4:$B$21,'Balizador da Meta'!$C$4:$C$21)</f>
        <v>72</v>
      </c>
      <c r="Q1156" s="28">
        <f>Q1144*_xlfn.XLOOKUP($L1156,'Balizador da Meta'!$B$4:$B$21,'Balizador da Meta'!$C$4:$C$21)</f>
        <v>72</v>
      </c>
      <c r="R1156" s="28">
        <f>R1144*_xlfn.XLOOKUP($L1156,'Balizador da Meta'!$B$4:$B$21,'Balizador da Meta'!$C$4:$C$21)</f>
        <v>72</v>
      </c>
      <c r="S1156" s="28">
        <f>S1144*_xlfn.XLOOKUP($L1156,'Balizador da Meta'!$B$4:$B$21,'Balizador da Meta'!$C$4:$C$21)</f>
        <v>72</v>
      </c>
      <c r="T1156" s="28">
        <f>T1144*_xlfn.XLOOKUP($L1156,'Balizador da Meta'!$B$4:$B$21,'Balizador da Meta'!$C$4:$C$21)</f>
        <v>96</v>
      </c>
      <c r="U1156" s="28">
        <f>U1144*_xlfn.XLOOKUP($L1156,'Balizador da Meta'!$B$4:$B$21,'Balizador da Meta'!$C$4:$C$21)</f>
        <v>96</v>
      </c>
      <c r="V1156" s="28">
        <f>V1144*_xlfn.XLOOKUP($L1156,'Balizador da Meta'!$B$4:$B$21,'Balizador da Meta'!$C$4:$C$21)</f>
        <v>96</v>
      </c>
      <c r="W1156" s="28">
        <f>W1144*_xlfn.XLOOKUP($L1156,'Balizador da Meta'!$B$4:$B$21,'Balizador da Meta'!$C$4:$C$21)</f>
        <v>96</v>
      </c>
      <c r="X1156" s="28">
        <f>X1144*_xlfn.XLOOKUP($L1156,'Balizador da Meta'!$B$4:$B$21,'Balizador da Meta'!$C$4:$C$21)</f>
        <v>96</v>
      </c>
      <c r="Y1156" s="28">
        <f>Y1144*_xlfn.XLOOKUP($L1156,'Balizador da Meta'!$B$4:$B$21,'Balizador da Meta'!$C$4:$C$21)</f>
        <v>120</v>
      </c>
      <c r="Z1156" s="30">
        <f t="shared" si="277"/>
        <v>1008</v>
      </c>
      <c r="AA1156" s="29"/>
      <c r="AB1156" s="31">
        <f>SUMIFS('Historico - FAT'!AK:AK,'Historico - FAT'!$K:$K,Faturamento!$L1156,'Historico - FAT'!$I:$I,Faturamento!$J1156,'Historico - FAT'!$G:$G,Faturamento!$H1156)</f>
        <v>0</v>
      </c>
      <c r="AC1156" s="31">
        <f>SUMIFS('Historico - FAT'!AL:AL,'Historico - FAT'!$K:$K,Faturamento!$L1156,'Historico - FAT'!$I:$I,Faturamento!$J1156,'Historico - FAT'!$G:$G,Faturamento!$H1156)</f>
        <v>0</v>
      </c>
      <c r="AD1156" s="31">
        <f>SUMIFS('Historico - FAT'!AM:AM,'Historico - FAT'!$K:$K,Faturamento!$L1156,'Historico - FAT'!$I:$I,Faturamento!$J1156,'Historico - FAT'!$G:$G,Faturamento!$H1156)</f>
        <v>0</v>
      </c>
      <c r="AE1156" s="27">
        <f>SUMIFS('Historico - FAT'!AN:AN,'Historico - FAT'!$K:$K,Faturamento!$L1156,'Historico - FAT'!$I:$I,Faturamento!$J1156,'Historico - FAT'!$G:$G,Faturamento!$H1156)</f>
        <v>0</v>
      </c>
      <c r="AG1156" s="24">
        <f t="shared" si="272"/>
        <v>1</v>
      </c>
      <c r="AH1156" s="24">
        <f t="shared" si="273"/>
        <v>1</v>
      </c>
      <c r="AI1156" s="24">
        <f t="shared" si="274"/>
        <v>1</v>
      </c>
    </row>
    <row r="1157" spans="1:35" hidden="1" x14ac:dyDescent="0.3">
      <c r="A1157" s="2" t="str">
        <f t="shared" si="271"/>
        <v>NÃO</v>
      </c>
      <c r="B1157" s="2">
        <v>1000184670</v>
      </c>
      <c r="C1157" s="2" t="s">
        <v>147</v>
      </c>
      <c r="D1157" s="4">
        <v>1000186197</v>
      </c>
      <c r="E1157" s="4" t="s">
        <v>166</v>
      </c>
      <c r="F1157" s="2">
        <v>1000185288</v>
      </c>
      <c r="G1157" s="2" t="s">
        <v>64</v>
      </c>
      <c r="H1157" s="4">
        <v>1000189805</v>
      </c>
      <c r="I1157" s="4" t="s">
        <v>118</v>
      </c>
      <c r="J1157" s="2">
        <v>1000189270</v>
      </c>
      <c r="K1157" s="2" t="s">
        <v>34</v>
      </c>
      <c r="L1157" s="4" t="s">
        <v>22</v>
      </c>
      <c r="M1157" s="4" t="str">
        <f t="shared" ref="M1157:M1220" si="278">_xlfn.CONCAT(B1157,D1157,H1157,J1157,L1157,)</f>
        <v>1000184670100018619710001898051000189270S GLUTEN</v>
      </c>
      <c r="N1157" s="28">
        <f>N1144*_xlfn.XLOOKUP($L1157,'Balizador da Meta'!$B$4:$B$21,'Balizador da Meta'!$C$4:$C$21)</f>
        <v>48</v>
      </c>
      <c r="O1157" s="28">
        <f>O1144*_xlfn.XLOOKUP($L1157,'Balizador da Meta'!$B$4:$B$21,'Balizador da Meta'!$C$4:$C$21)</f>
        <v>72</v>
      </c>
      <c r="P1157" s="28">
        <f>P1144*_xlfn.XLOOKUP($L1157,'Balizador da Meta'!$B$4:$B$21,'Balizador da Meta'!$C$4:$C$21)</f>
        <v>72</v>
      </c>
      <c r="Q1157" s="28">
        <f>Q1144*_xlfn.XLOOKUP($L1157,'Balizador da Meta'!$B$4:$B$21,'Balizador da Meta'!$C$4:$C$21)</f>
        <v>72</v>
      </c>
      <c r="R1157" s="28">
        <f>R1144*_xlfn.XLOOKUP($L1157,'Balizador da Meta'!$B$4:$B$21,'Balizador da Meta'!$C$4:$C$21)</f>
        <v>72</v>
      </c>
      <c r="S1157" s="28">
        <f>S1144*_xlfn.XLOOKUP($L1157,'Balizador da Meta'!$B$4:$B$21,'Balizador da Meta'!$C$4:$C$21)</f>
        <v>72</v>
      </c>
      <c r="T1157" s="28">
        <f>T1144*_xlfn.XLOOKUP($L1157,'Balizador da Meta'!$B$4:$B$21,'Balizador da Meta'!$C$4:$C$21)</f>
        <v>96</v>
      </c>
      <c r="U1157" s="28">
        <f>U1144*_xlfn.XLOOKUP($L1157,'Balizador da Meta'!$B$4:$B$21,'Balizador da Meta'!$C$4:$C$21)</f>
        <v>96</v>
      </c>
      <c r="V1157" s="28">
        <f>V1144*_xlfn.XLOOKUP($L1157,'Balizador da Meta'!$B$4:$B$21,'Balizador da Meta'!$C$4:$C$21)</f>
        <v>96</v>
      </c>
      <c r="W1157" s="28">
        <f>W1144*_xlfn.XLOOKUP($L1157,'Balizador da Meta'!$B$4:$B$21,'Balizador da Meta'!$C$4:$C$21)</f>
        <v>96</v>
      </c>
      <c r="X1157" s="28">
        <f>X1144*_xlfn.XLOOKUP($L1157,'Balizador da Meta'!$B$4:$B$21,'Balizador da Meta'!$C$4:$C$21)</f>
        <v>96</v>
      </c>
      <c r="Y1157" s="28">
        <f>Y1144*_xlfn.XLOOKUP($L1157,'Balizador da Meta'!$B$4:$B$21,'Balizador da Meta'!$C$4:$C$21)</f>
        <v>120</v>
      </c>
      <c r="Z1157" s="30">
        <f t="shared" si="277"/>
        <v>1008</v>
      </c>
      <c r="AA1157" s="29"/>
      <c r="AB1157" s="31">
        <f>SUMIFS('Historico - FAT'!AK:AK,'Historico - FAT'!$K:$K,Faturamento!$L1157,'Historico - FAT'!$I:$I,Faturamento!$J1157,'Historico - FAT'!$G:$G,Faturamento!$H1157)</f>
        <v>57</v>
      </c>
      <c r="AC1157" s="31">
        <f>SUMIFS('Historico - FAT'!AL:AL,'Historico - FAT'!$K:$K,Faturamento!$L1157,'Historico - FAT'!$I:$I,Faturamento!$J1157,'Historico - FAT'!$G:$G,Faturamento!$H1157)</f>
        <v>47.16</v>
      </c>
      <c r="AD1157" s="31">
        <f>SUMIFS('Historico - FAT'!AM:AM,'Historico - FAT'!$K:$K,Faturamento!$L1157,'Historico - FAT'!$I:$I,Faturamento!$J1157,'Historico - FAT'!$G:$G,Faturamento!$H1157)</f>
        <v>28.320000000000004</v>
      </c>
      <c r="AE1157" s="27">
        <f>SUMIFS('Historico - FAT'!AN:AN,'Historico - FAT'!$K:$K,Faturamento!$L1157,'Historico - FAT'!$I:$I,Faturamento!$J1157,'Historico - FAT'!$G:$G,Faturamento!$H1157)</f>
        <v>56.591999999999999</v>
      </c>
      <c r="AG1157" s="24">
        <f t="shared" si="272"/>
        <v>0.45192307692307693</v>
      </c>
      <c r="AH1157" s="24">
        <f t="shared" si="273"/>
        <v>0.54653846153846153</v>
      </c>
      <c r="AI1157" s="24">
        <f t="shared" si="274"/>
        <v>0.72769230769230764</v>
      </c>
    </row>
    <row r="1158" spans="1:35" hidden="1" x14ac:dyDescent="0.3">
      <c r="A1158" s="2" t="str">
        <f t="shared" si="271"/>
        <v>NÃO</v>
      </c>
      <c r="B1158" s="2">
        <v>1000184670</v>
      </c>
      <c r="C1158" s="2" t="s">
        <v>147</v>
      </c>
      <c r="D1158" s="4">
        <v>1000186197</v>
      </c>
      <c r="E1158" s="4" t="s">
        <v>166</v>
      </c>
      <c r="F1158" s="2">
        <v>1000185288</v>
      </c>
      <c r="G1158" s="2" t="s">
        <v>64</v>
      </c>
      <c r="H1158" s="4">
        <v>1000189805</v>
      </c>
      <c r="I1158" s="4" t="s">
        <v>118</v>
      </c>
      <c r="J1158" s="2">
        <v>1000189270</v>
      </c>
      <c r="K1158" s="2" t="s">
        <v>34</v>
      </c>
      <c r="L1158" s="4" t="s">
        <v>23</v>
      </c>
      <c r="M1158" s="4" t="str">
        <f t="shared" si="278"/>
        <v>1000184670100018619710001898051000189270SABORES DO CAMPO</v>
      </c>
      <c r="N1158" s="28">
        <f>N1144*_xlfn.XLOOKUP($L1158,'Balizador da Meta'!$B$4:$B$21,'Balizador da Meta'!$C$4:$C$21)</f>
        <v>0</v>
      </c>
      <c r="O1158" s="28">
        <f>O1144*_xlfn.XLOOKUP($L1158,'Balizador da Meta'!$B$4:$B$21,'Balizador da Meta'!$C$4:$C$21)</f>
        <v>0</v>
      </c>
      <c r="P1158" s="28">
        <f>P1144*_xlfn.XLOOKUP($L1158,'Balizador da Meta'!$B$4:$B$21,'Balizador da Meta'!$C$4:$C$21)</f>
        <v>0</v>
      </c>
      <c r="Q1158" s="28">
        <f>Q1144*_xlfn.XLOOKUP($L1158,'Balizador da Meta'!$B$4:$B$21,'Balizador da Meta'!$C$4:$C$21)</f>
        <v>0</v>
      </c>
      <c r="R1158" s="28">
        <f>R1144*_xlfn.XLOOKUP($L1158,'Balizador da Meta'!$B$4:$B$21,'Balizador da Meta'!$C$4:$C$21)</f>
        <v>0</v>
      </c>
      <c r="S1158" s="28">
        <f>S1144*_xlfn.XLOOKUP($L1158,'Balizador da Meta'!$B$4:$B$21,'Balizador da Meta'!$C$4:$C$21)</f>
        <v>0</v>
      </c>
      <c r="T1158" s="28">
        <f>T1144*_xlfn.XLOOKUP($L1158,'Balizador da Meta'!$B$4:$B$21,'Balizador da Meta'!$C$4:$C$21)</f>
        <v>0</v>
      </c>
      <c r="U1158" s="28">
        <f>U1144*_xlfn.XLOOKUP($L1158,'Balizador da Meta'!$B$4:$B$21,'Balizador da Meta'!$C$4:$C$21)</f>
        <v>0</v>
      </c>
      <c r="V1158" s="28">
        <f>V1144*_xlfn.XLOOKUP($L1158,'Balizador da Meta'!$B$4:$B$21,'Balizador da Meta'!$C$4:$C$21)</f>
        <v>0</v>
      </c>
      <c r="W1158" s="28">
        <f>W1144*_xlfn.XLOOKUP($L1158,'Balizador da Meta'!$B$4:$B$21,'Balizador da Meta'!$C$4:$C$21)</f>
        <v>0</v>
      </c>
      <c r="X1158" s="28">
        <f>X1144*_xlfn.XLOOKUP($L1158,'Balizador da Meta'!$B$4:$B$21,'Balizador da Meta'!$C$4:$C$21)</f>
        <v>0</v>
      </c>
      <c r="Y1158" s="28">
        <f>Y1144*_xlfn.XLOOKUP($L1158,'Balizador da Meta'!$B$4:$B$21,'Balizador da Meta'!$C$4:$C$21)</f>
        <v>0</v>
      </c>
      <c r="Z1158" s="30">
        <f t="shared" si="277"/>
        <v>0</v>
      </c>
      <c r="AA1158" s="29"/>
      <c r="AB1158" s="31">
        <f>SUMIFS('Historico - FAT'!AK:AK,'Historico - FAT'!$K:$K,Faturamento!$L1158,'Historico - FAT'!$I:$I,Faturamento!$J1158,'Historico - FAT'!$G:$G,Faturamento!$H1158)</f>
        <v>0</v>
      </c>
      <c r="AC1158" s="31">
        <f>SUMIFS('Historico - FAT'!AL:AL,'Historico - FAT'!$K:$K,Faturamento!$L1158,'Historico - FAT'!$I:$I,Faturamento!$J1158,'Historico - FAT'!$G:$G,Faturamento!$H1158)</f>
        <v>0</v>
      </c>
      <c r="AD1158" s="31">
        <f>SUMIFS('Historico - FAT'!AM:AM,'Historico - FAT'!$K:$K,Faturamento!$L1158,'Historico - FAT'!$I:$I,Faturamento!$J1158,'Historico - FAT'!$G:$G,Faturamento!$H1158)</f>
        <v>0</v>
      </c>
      <c r="AE1158" s="27">
        <f>SUMIFS('Historico - FAT'!AN:AN,'Historico - FAT'!$K:$K,Faturamento!$L1158,'Historico - FAT'!$I:$I,Faturamento!$J1158,'Historico - FAT'!$G:$G,Faturamento!$H1158)</f>
        <v>0</v>
      </c>
      <c r="AG1158" s="24" t="str">
        <f t="shared" si="272"/>
        <v/>
      </c>
      <c r="AH1158" s="24" t="str">
        <f t="shared" si="273"/>
        <v/>
      </c>
      <c r="AI1158" s="24" t="str">
        <f t="shared" si="274"/>
        <v/>
      </c>
    </row>
    <row r="1159" spans="1:35" hidden="1" x14ac:dyDescent="0.3">
      <c r="A1159" s="2" t="str">
        <f t="shared" si="271"/>
        <v>NÃO</v>
      </c>
      <c r="B1159" s="2">
        <v>1000184670</v>
      </c>
      <c r="C1159" s="2" t="s">
        <v>147</v>
      </c>
      <c r="D1159" s="4">
        <v>1000186197</v>
      </c>
      <c r="E1159" s="4" t="s">
        <v>166</v>
      </c>
      <c r="F1159" s="2">
        <v>1000185288</v>
      </c>
      <c r="G1159" s="2" t="s">
        <v>64</v>
      </c>
      <c r="H1159" s="4">
        <v>1000189805</v>
      </c>
      <c r="I1159" s="4" t="s">
        <v>118</v>
      </c>
      <c r="J1159" s="2">
        <v>1000189270</v>
      </c>
      <c r="K1159" s="2" t="s">
        <v>34</v>
      </c>
      <c r="L1159" s="4" t="s">
        <v>28</v>
      </c>
      <c r="M1159" s="4" t="str">
        <f t="shared" si="278"/>
        <v>1000184670100018619710001898051000189270SAL</v>
      </c>
      <c r="N1159" s="28">
        <f>N1144*_xlfn.XLOOKUP($L1159,'Balizador da Meta'!$B$4:$B$21,'Balizador da Meta'!$C$4:$C$21)</f>
        <v>24</v>
      </c>
      <c r="O1159" s="28">
        <f>O1144*_xlfn.XLOOKUP($L1159,'Balizador da Meta'!$B$4:$B$21,'Balizador da Meta'!$C$4:$C$21)</f>
        <v>36</v>
      </c>
      <c r="P1159" s="28">
        <f>P1144*_xlfn.XLOOKUP($L1159,'Balizador da Meta'!$B$4:$B$21,'Balizador da Meta'!$C$4:$C$21)</f>
        <v>36</v>
      </c>
      <c r="Q1159" s="28">
        <f>Q1144*_xlfn.XLOOKUP($L1159,'Balizador da Meta'!$B$4:$B$21,'Balizador da Meta'!$C$4:$C$21)</f>
        <v>36</v>
      </c>
      <c r="R1159" s="28">
        <f>R1144*_xlfn.XLOOKUP($L1159,'Balizador da Meta'!$B$4:$B$21,'Balizador da Meta'!$C$4:$C$21)</f>
        <v>36</v>
      </c>
      <c r="S1159" s="28">
        <f>S1144*_xlfn.XLOOKUP($L1159,'Balizador da Meta'!$B$4:$B$21,'Balizador da Meta'!$C$4:$C$21)</f>
        <v>36</v>
      </c>
      <c r="T1159" s="28">
        <f>T1144*_xlfn.XLOOKUP($L1159,'Balizador da Meta'!$B$4:$B$21,'Balizador da Meta'!$C$4:$C$21)</f>
        <v>48</v>
      </c>
      <c r="U1159" s="28">
        <f>U1144*_xlfn.XLOOKUP($L1159,'Balizador da Meta'!$B$4:$B$21,'Balizador da Meta'!$C$4:$C$21)</f>
        <v>48</v>
      </c>
      <c r="V1159" s="28">
        <f>V1144*_xlfn.XLOOKUP($L1159,'Balizador da Meta'!$B$4:$B$21,'Balizador da Meta'!$C$4:$C$21)</f>
        <v>48</v>
      </c>
      <c r="W1159" s="28">
        <f>W1144*_xlfn.XLOOKUP($L1159,'Balizador da Meta'!$B$4:$B$21,'Balizador da Meta'!$C$4:$C$21)</f>
        <v>48</v>
      </c>
      <c r="X1159" s="28">
        <f>X1144*_xlfn.XLOOKUP($L1159,'Balizador da Meta'!$B$4:$B$21,'Balizador da Meta'!$C$4:$C$21)</f>
        <v>48</v>
      </c>
      <c r="Y1159" s="28">
        <f>Y1144*_xlfn.XLOOKUP($L1159,'Balizador da Meta'!$B$4:$B$21,'Balizador da Meta'!$C$4:$C$21)</f>
        <v>60</v>
      </c>
      <c r="Z1159" s="30">
        <f t="shared" si="277"/>
        <v>504</v>
      </c>
      <c r="AA1159" s="29"/>
      <c r="AB1159" s="31">
        <f>SUMIFS('Historico - FAT'!AK:AK,'Historico - FAT'!$K:$K,Faturamento!$L1159,'Historico - FAT'!$I:$I,Faturamento!$J1159,'Historico - FAT'!$G:$G,Faturamento!$H1159)</f>
        <v>0</v>
      </c>
      <c r="AC1159" s="31">
        <f>SUMIFS('Historico - FAT'!AL:AL,'Historico - FAT'!$K:$K,Faturamento!$L1159,'Historico - FAT'!$I:$I,Faturamento!$J1159,'Historico - FAT'!$G:$G,Faturamento!$H1159)</f>
        <v>0</v>
      </c>
      <c r="AD1159" s="31">
        <f>SUMIFS('Historico - FAT'!AM:AM,'Historico - FAT'!$K:$K,Faturamento!$L1159,'Historico - FAT'!$I:$I,Faturamento!$J1159,'Historico - FAT'!$G:$G,Faturamento!$H1159)</f>
        <v>0</v>
      </c>
      <c r="AE1159" s="27">
        <f>SUMIFS('Historico - FAT'!AN:AN,'Historico - FAT'!$K:$K,Faturamento!$L1159,'Historico - FAT'!$I:$I,Faturamento!$J1159,'Historico - FAT'!$G:$G,Faturamento!$H1159)</f>
        <v>0</v>
      </c>
      <c r="AG1159" s="24">
        <f t="shared" si="272"/>
        <v>1</v>
      </c>
      <c r="AH1159" s="24">
        <f t="shared" si="273"/>
        <v>1</v>
      </c>
      <c r="AI1159" s="24">
        <f t="shared" si="274"/>
        <v>1</v>
      </c>
    </row>
    <row r="1160" spans="1:35" hidden="1" x14ac:dyDescent="0.3">
      <c r="A1160" s="2" t="str">
        <f t="shared" si="271"/>
        <v>NÃO</v>
      </c>
      <c r="B1160" s="2">
        <v>1000184670</v>
      </c>
      <c r="C1160" s="2" t="s">
        <v>147</v>
      </c>
      <c r="D1160" s="4">
        <v>1000186197</v>
      </c>
      <c r="E1160" s="4" t="s">
        <v>166</v>
      </c>
      <c r="F1160" s="2">
        <v>1000185288</v>
      </c>
      <c r="G1160" s="2" t="s">
        <v>64</v>
      </c>
      <c r="H1160" s="4">
        <v>1000189805</v>
      </c>
      <c r="I1160" s="4" t="s">
        <v>118</v>
      </c>
      <c r="J1160" s="2">
        <v>1000189270</v>
      </c>
      <c r="K1160" s="2" t="s">
        <v>34</v>
      </c>
      <c r="L1160" s="4" t="s">
        <v>26</v>
      </c>
      <c r="M1160" s="4" t="str">
        <f t="shared" si="278"/>
        <v>1000184670100018619710001898051000189270SOULPRO</v>
      </c>
      <c r="N1160" s="28">
        <f>N1144*_xlfn.XLOOKUP($L1160,'Balizador da Meta'!$B$4:$B$21,'Balizador da Meta'!$C$4:$C$21)</f>
        <v>72</v>
      </c>
      <c r="O1160" s="28">
        <f>O1144*_xlfn.XLOOKUP($L1160,'Balizador da Meta'!$B$4:$B$21,'Balizador da Meta'!$C$4:$C$21)</f>
        <v>108</v>
      </c>
      <c r="P1160" s="28">
        <f>P1144*_xlfn.XLOOKUP($L1160,'Balizador da Meta'!$B$4:$B$21,'Balizador da Meta'!$C$4:$C$21)</f>
        <v>108</v>
      </c>
      <c r="Q1160" s="28">
        <f>Q1144*_xlfn.XLOOKUP($L1160,'Balizador da Meta'!$B$4:$B$21,'Balizador da Meta'!$C$4:$C$21)</f>
        <v>108</v>
      </c>
      <c r="R1160" s="28">
        <f>R1144*_xlfn.XLOOKUP($L1160,'Balizador da Meta'!$B$4:$B$21,'Balizador da Meta'!$C$4:$C$21)</f>
        <v>108</v>
      </c>
      <c r="S1160" s="28">
        <f>S1144*_xlfn.XLOOKUP($L1160,'Balizador da Meta'!$B$4:$B$21,'Balizador da Meta'!$C$4:$C$21)</f>
        <v>108</v>
      </c>
      <c r="T1160" s="28">
        <f>T1144*_xlfn.XLOOKUP($L1160,'Balizador da Meta'!$B$4:$B$21,'Balizador da Meta'!$C$4:$C$21)</f>
        <v>144</v>
      </c>
      <c r="U1160" s="28">
        <f>U1144*_xlfn.XLOOKUP($L1160,'Balizador da Meta'!$B$4:$B$21,'Balizador da Meta'!$C$4:$C$21)</f>
        <v>144</v>
      </c>
      <c r="V1160" s="28">
        <f>V1144*_xlfn.XLOOKUP($L1160,'Balizador da Meta'!$B$4:$B$21,'Balizador da Meta'!$C$4:$C$21)</f>
        <v>144</v>
      </c>
      <c r="W1160" s="28">
        <f>W1144*_xlfn.XLOOKUP($L1160,'Balizador da Meta'!$B$4:$B$21,'Balizador da Meta'!$C$4:$C$21)</f>
        <v>144</v>
      </c>
      <c r="X1160" s="28">
        <f>X1144*_xlfn.XLOOKUP($L1160,'Balizador da Meta'!$B$4:$B$21,'Balizador da Meta'!$C$4:$C$21)</f>
        <v>144</v>
      </c>
      <c r="Y1160" s="28">
        <f>Y1144*_xlfn.XLOOKUP($L1160,'Balizador da Meta'!$B$4:$B$21,'Balizador da Meta'!$C$4:$C$21)</f>
        <v>180</v>
      </c>
      <c r="Z1160" s="30">
        <f t="shared" si="277"/>
        <v>1512</v>
      </c>
      <c r="AA1160" s="29"/>
      <c r="AB1160" s="31">
        <f>SUMIFS('Historico - FAT'!AK:AK,'Historico - FAT'!$K:$K,Faturamento!$L1160,'Historico - FAT'!$I:$I,Faturamento!$J1160,'Historico - FAT'!$G:$G,Faturamento!$H1160)</f>
        <v>0</v>
      </c>
      <c r="AC1160" s="31">
        <f>SUMIFS('Historico - FAT'!AL:AL,'Historico - FAT'!$K:$K,Faturamento!$L1160,'Historico - FAT'!$I:$I,Faturamento!$J1160,'Historico - FAT'!$G:$G,Faturamento!$H1160)</f>
        <v>0</v>
      </c>
      <c r="AD1160" s="31">
        <f>SUMIFS('Historico - FAT'!AM:AM,'Historico - FAT'!$K:$K,Faturamento!$L1160,'Historico - FAT'!$I:$I,Faturamento!$J1160,'Historico - FAT'!$G:$G,Faturamento!$H1160)</f>
        <v>0</v>
      </c>
      <c r="AE1160" s="27">
        <f>SUMIFS('Historico - FAT'!AN:AN,'Historico - FAT'!$K:$K,Faturamento!$L1160,'Historico - FAT'!$I:$I,Faturamento!$J1160,'Historico - FAT'!$G:$G,Faturamento!$H1160)</f>
        <v>0</v>
      </c>
      <c r="AG1160" s="24">
        <f t="shared" si="272"/>
        <v>1</v>
      </c>
      <c r="AH1160" s="24">
        <f t="shared" si="273"/>
        <v>1</v>
      </c>
      <c r="AI1160" s="24">
        <f t="shared" si="274"/>
        <v>1</v>
      </c>
    </row>
    <row r="1161" spans="1:35" hidden="1" x14ac:dyDescent="0.3">
      <c r="A1161" s="2" t="str">
        <f t="shared" si="271"/>
        <v>NÃO</v>
      </c>
      <c r="B1161" s="2">
        <v>1000184670</v>
      </c>
      <c r="C1161" s="2" t="s">
        <v>147</v>
      </c>
      <c r="D1161" s="4">
        <v>1000186197</v>
      </c>
      <c r="E1161" s="4" t="s">
        <v>166</v>
      </c>
      <c r="F1161" s="2">
        <v>1000185288</v>
      </c>
      <c r="G1161" s="2" t="s">
        <v>64</v>
      </c>
      <c r="H1161" s="4">
        <v>1000189805</v>
      </c>
      <c r="I1161" s="4" t="s">
        <v>118</v>
      </c>
      <c r="J1161" s="2">
        <v>1000189270</v>
      </c>
      <c r="K1161" s="2" t="s">
        <v>34</v>
      </c>
      <c r="L1161" s="4" t="s">
        <v>27</v>
      </c>
      <c r="M1161" s="4" t="str">
        <f t="shared" si="278"/>
        <v>1000184670100018619710001898051000189270TAMARA</v>
      </c>
      <c r="N1161" s="28">
        <f>N1144*_xlfn.XLOOKUP($L1161,'Balizador da Meta'!$B$4:$B$21,'Balizador da Meta'!$C$4:$C$21)</f>
        <v>96</v>
      </c>
      <c r="O1161" s="28">
        <f>O1144*_xlfn.XLOOKUP($L1161,'Balizador da Meta'!$B$4:$B$21,'Balizador da Meta'!$C$4:$C$21)</f>
        <v>144</v>
      </c>
      <c r="P1161" s="28">
        <f>P1144*_xlfn.XLOOKUP($L1161,'Balizador da Meta'!$B$4:$B$21,'Balizador da Meta'!$C$4:$C$21)</f>
        <v>144</v>
      </c>
      <c r="Q1161" s="28">
        <f>Q1144*_xlfn.XLOOKUP($L1161,'Balizador da Meta'!$B$4:$B$21,'Balizador da Meta'!$C$4:$C$21)</f>
        <v>144</v>
      </c>
      <c r="R1161" s="28">
        <f>R1144*_xlfn.XLOOKUP($L1161,'Balizador da Meta'!$B$4:$B$21,'Balizador da Meta'!$C$4:$C$21)</f>
        <v>144</v>
      </c>
      <c r="S1161" s="28">
        <f>S1144*_xlfn.XLOOKUP($L1161,'Balizador da Meta'!$B$4:$B$21,'Balizador da Meta'!$C$4:$C$21)</f>
        <v>144</v>
      </c>
      <c r="T1161" s="28">
        <f>T1144*_xlfn.XLOOKUP($L1161,'Balizador da Meta'!$B$4:$B$21,'Balizador da Meta'!$C$4:$C$21)</f>
        <v>192</v>
      </c>
      <c r="U1161" s="28">
        <f>U1144*_xlfn.XLOOKUP($L1161,'Balizador da Meta'!$B$4:$B$21,'Balizador da Meta'!$C$4:$C$21)</f>
        <v>192</v>
      </c>
      <c r="V1161" s="28">
        <f>V1144*_xlfn.XLOOKUP($L1161,'Balizador da Meta'!$B$4:$B$21,'Balizador da Meta'!$C$4:$C$21)</f>
        <v>192</v>
      </c>
      <c r="W1161" s="28">
        <f>W1144*_xlfn.XLOOKUP($L1161,'Balizador da Meta'!$B$4:$B$21,'Balizador da Meta'!$C$4:$C$21)</f>
        <v>192</v>
      </c>
      <c r="X1161" s="28">
        <f>X1144*_xlfn.XLOOKUP($L1161,'Balizador da Meta'!$B$4:$B$21,'Balizador da Meta'!$C$4:$C$21)</f>
        <v>192</v>
      </c>
      <c r="Y1161" s="28">
        <f>Y1144*_xlfn.XLOOKUP($L1161,'Balizador da Meta'!$B$4:$B$21,'Balizador da Meta'!$C$4:$C$21)</f>
        <v>240</v>
      </c>
      <c r="Z1161" s="30">
        <f t="shared" si="277"/>
        <v>2016</v>
      </c>
      <c r="AA1161" s="29"/>
      <c r="AB1161" s="31">
        <f>SUMIFS('Historico - FAT'!AK:AK,'Historico - FAT'!$K:$K,Faturamento!$L1161,'Historico - FAT'!$I:$I,Faturamento!$J1161,'Historico - FAT'!$G:$G,Faturamento!$H1161)</f>
        <v>0</v>
      </c>
      <c r="AC1161" s="31">
        <f>SUMIFS('Historico - FAT'!AL:AL,'Historico - FAT'!$K:$K,Faturamento!$L1161,'Historico - FAT'!$I:$I,Faturamento!$J1161,'Historico - FAT'!$G:$G,Faturamento!$H1161)</f>
        <v>0</v>
      </c>
      <c r="AD1161" s="31">
        <f>SUMIFS('Historico - FAT'!AM:AM,'Historico - FAT'!$K:$K,Faturamento!$L1161,'Historico - FAT'!$I:$I,Faturamento!$J1161,'Historico - FAT'!$G:$G,Faturamento!$H1161)</f>
        <v>0</v>
      </c>
      <c r="AE1161" s="27">
        <f>SUMIFS('Historico - FAT'!AN:AN,'Historico - FAT'!$K:$K,Faturamento!$L1161,'Historico - FAT'!$I:$I,Faturamento!$J1161,'Historico - FAT'!$G:$G,Faturamento!$H1161)</f>
        <v>0</v>
      </c>
      <c r="AG1161" s="24">
        <f t="shared" si="272"/>
        <v>1</v>
      </c>
      <c r="AH1161" s="24">
        <f t="shared" si="273"/>
        <v>1</v>
      </c>
      <c r="AI1161" s="24">
        <f t="shared" si="274"/>
        <v>1</v>
      </c>
    </row>
    <row r="1162" spans="1:35" hidden="1" x14ac:dyDescent="0.3">
      <c r="A1162" s="2" t="str">
        <f t="shared" si="271"/>
        <v>NÃO</v>
      </c>
      <c r="B1162" s="2">
        <v>1000184670</v>
      </c>
      <c r="C1162" s="2" t="s">
        <v>147</v>
      </c>
      <c r="D1162" s="4">
        <v>1000186197</v>
      </c>
      <c r="E1162" s="4" t="s">
        <v>166</v>
      </c>
      <c r="F1162" s="2">
        <v>1000185288</v>
      </c>
      <c r="G1162" s="2" t="s">
        <v>64</v>
      </c>
      <c r="H1162" s="4">
        <v>1000189805</v>
      </c>
      <c r="I1162" s="4" t="s">
        <v>118</v>
      </c>
      <c r="J1162" s="2">
        <v>1000189270</v>
      </c>
      <c r="K1162" s="2" t="s">
        <v>34</v>
      </c>
      <c r="L1162" s="4" t="s">
        <v>25</v>
      </c>
      <c r="M1162" s="4" t="str">
        <f t="shared" si="278"/>
        <v>1000184670100018619710001898051000189270VICCIO</v>
      </c>
      <c r="N1162" s="28">
        <f>N1144*_xlfn.XLOOKUP($L1162,'Balizador da Meta'!$B$4:$B$21,'Balizador da Meta'!$C$4:$C$21)</f>
        <v>36</v>
      </c>
      <c r="O1162" s="28">
        <f>O1144*_xlfn.XLOOKUP($L1162,'Balizador da Meta'!$B$4:$B$21,'Balizador da Meta'!$C$4:$C$21)</f>
        <v>54</v>
      </c>
      <c r="P1162" s="28">
        <f>P1144*_xlfn.XLOOKUP($L1162,'Balizador da Meta'!$B$4:$B$21,'Balizador da Meta'!$C$4:$C$21)</f>
        <v>54</v>
      </c>
      <c r="Q1162" s="28">
        <f>Q1144*_xlfn.XLOOKUP($L1162,'Balizador da Meta'!$B$4:$B$21,'Balizador da Meta'!$C$4:$C$21)</f>
        <v>54</v>
      </c>
      <c r="R1162" s="28">
        <f>R1144*_xlfn.XLOOKUP($L1162,'Balizador da Meta'!$B$4:$B$21,'Balizador da Meta'!$C$4:$C$21)</f>
        <v>54</v>
      </c>
      <c r="S1162" s="28">
        <f>S1144*_xlfn.XLOOKUP($L1162,'Balizador da Meta'!$B$4:$B$21,'Balizador da Meta'!$C$4:$C$21)</f>
        <v>54</v>
      </c>
      <c r="T1162" s="28">
        <f>T1144*_xlfn.XLOOKUP($L1162,'Balizador da Meta'!$B$4:$B$21,'Balizador da Meta'!$C$4:$C$21)</f>
        <v>72</v>
      </c>
      <c r="U1162" s="28">
        <f>U1144*_xlfn.XLOOKUP($L1162,'Balizador da Meta'!$B$4:$B$21,'Balizador da Meta'!$C$4:$C$21)</f>
        <v>72</v>
      </c>
      <c r="V1162" s="28">
        <f>V1144*_xlfn.XLOOKUP($L1162,'Balizador da Meta'!$B$4:$B$21,'Balizador da Meta'!$C$4:$C$21)</f>
        <v>72</v>
      </c>
      <c r="W1162" s="28">
        <f>W1144*_xlfn.XLOOKUP($L1162,'Balizador da Meta'!$B$4:$B$21,'Balizador da Meta'!$C$4:$C$21)</f>
        <v>72</v>
      </c>
      <c r="X1162" s="28">
        <f>X1144*_xlfn.XLOOKUP($L1162,'Balizador da Meta'!$B$4:$B$21,'Balizador da Meta'!$C$4:$C$21)</f>
        <v>72</v>
      </c>
      <c r="Y1162" s="28">
        <f>Y1144*_xlfn.XLOOKUP($L1162,'Balizador da Meta'!$B$4:$B$21,'Balizador da Meta'!$C$4:$C$21)</f>
        <v>90</v>
      </c>
      <c r="Z1162" s="30">
        <f t="shared" si="277"/>
        <v>756</v>
      </c>
      <c r="AA1162" s="29"/>
      <c r="AB1162" s="31">
        <f>SUMIFS('Historico - FAT'!AK:AK,'Historico - FAT'!$K:$K,Faturamento!$L1162,'Historico - FAT'!$I:$I,Faturamento!$J1162,'Historico - FAT'!$G:$G,Faturamento!$H1162)</f>
        <v>0</v>
      </c>
      <c r="AC1162" s="31">
        <f>SUMIFS('Historico - FAT'!AL:AL,'Historico - FAT'!$K:$K,Faturamento!$L1162,'Historico - FAT'!$I:$I,Faturamento!$J1162,'Historico - FAT'!$G:$G,Faturamento!$H1162)</f>
        <v>0</v>
      </c>
      <c r="AD1162" s="31">
        <f>SUMIFS('Historico - FAT'!AM:AM,'Historico - FAT'!$K:$K,Faturamento!$L1162,'Historico - FAT'!$I:$I,Faturamento!$J1162,'Historico - FAT'!$G:$G,Faturamento!$H1162)</f>
        <v>0</v>
      </c>
      <c r="AE1162" s="27">
        <f>SUMIFS('Historico - FAT'!AN:AN,'Historico - FAT'!$K:$K,Faturamento!$L1162,'Historico - FAT'!$I:$I,Faturamento!$J1162,'Historico - FAT'!$G:$G,Faturamento!$H1162)</f>
        <v>0</v>
      </c>
      <c r="AG1162" s="24">
        <f t="shared" si="272"/>
        <v>1</v>
      </c>
      <c r="AH1162" s="24">
        <f t="shared" si="273"/>
        <v>1</v>
      </c>
      <c r="AI1162" s="24">
        <f t="shared" si="274"/>
        <v>1</v>
      </c>
    </row>
    <row r="1163" spans="1:35" x14ac:dyDescent="0.3">
      <c r="A1163" s="2" t="str">
        <f t="shared" si="271"/>
        <v>SIM</v>
      </c>
      <c r="B1163" s="2">
        <v>1000184670</v>
      </c>
      <c r="C1163" s="2" t="s">
        <v>147</v>
      </c>
      <c r="D1163" s="4">
        <v>1000186197</v>
      </c>
      <c r="E1163" s="4" t="s">
        <v>166</v>
      </c>
      <c r="F1163" s="2">
        <v>1000185288</v>
      </c>
      <c r="G1163" s="2" t="s">
        <v>64</v>
      </c>
      <c r="H1163" s="4">
        <v>1000189806</v>
      </c>
      <c r="I1163" s="4" t="s">
        <v>119</v>
      </c>
      <c r="J1163" s="2">
        <v>1000189270</v>
      </c>
      <c r="K1163" s="2" t="s">
        <v>34</v>
      </c>
      <c r="L1163" s="4" t="s">
        <v>124</v>
      </c>
      <c r="M1163" s="4" t="str">
        <f t="shared" si="278"/>
        <v>100018467010001861971000189806100018927001. TOTAL</v>
      </c>
      <c r="N1163" s="28">
        <f>SUMIFS(Positivação!L:L,Positivação!$I:$I,Faturamento!$J1163,Positivação!$G:$G,Faturamento!$H1163)*SUMIFS(Positivação!$Z:$Z,Positivação!$I:$I,Faturamento!$J1163,Positivação!$G:$G,Faturamento!$H1163)</f>
        <v>600</v>
      </c>
      <c r="O1163" s="28">
        <f>SUMIFS(Positivação!M:M,Positivação!$I:$I,Faturamento!$J1163,Positivação!$G:$G,Faturamento!$H1163)*SUMIFS(Positivação!$Z:$Z,Positivação!$I:$I,Faturamento!$J1163,Positivação!$G:$G,Faturamento!$H1163)</f>
        <v>1200</v>
      </c>
      <c r="P1163" s="28">
        <f>SUMIFS(Positivação!N:N,Positivação!$I:$I,Faturamento!$J1163,Positivação!$G:$G,Faturamento!$H1163)*SUMIFS(Positivação!$Z:$Z,Positivação!$I:$I,Faturamento!$J1163,Positivação!$G:$G,Faturamento!$H1163)</f>
        <v>1200</v>
      </c>
      <c r="Q1163" s="28">
        <f>SUMIFS(Positivação!O:O,Positivação!$I:$I,Faturamento!$J1163,Positivação!$G:$G,Faturamento!$H1163)*SUMIFS(Positivação!$Z:$Z,Positivação!$I:$I,Faturamento!$J1163,Positivação!$G:$G,Faturamento!$H1163)</f>
        <v>1200</v>
      </c>
      <c r="R1163" s="28">
        <f>SUMIFS(Positivação!P:P,Positivação!$I:$I,Faturamento!$J1163,Positivação!$G:$G,Faturamento!$H1163)*SUMIFS(Positivação!$Z:$Z,Positivação!$I:$I,Faturamento!$J1163,Positivação!$G:$G,Faturamento!$H1163)</f>
        <v>1200</v>
      </c>
      <c r="S1163" s="28">
        <f>SUMIFS(Positivação!Q:Q,Positivação!$I:$I,Faturamento!$J1163,Positivação!$G:$G,Faturamento!$H1163)*SUMIFS(Positivação!$Z:$Z,Positivação!$I:$I,Faturamento!$J1163,Positivação!$G:$G,Faturamento!$H1163)</f>
        <v>1200</v>
      </c>
      <c r="T1163" s="28">
        <f>SUMIFS(Positivação!R:R,Positivação!$I:$I,Faturamento!$J1163,Positivação!$G:$G,Faturamento!$H1163)*SUMIFS(Positivação!$Z:$Z,Positivação!$I:$I,Faturamento!$J1163,Positivação!$G:$G,Faturamento!$H1163)</f>
        <v>1800</v>
      </c>
      <c r="U1163" s="28">
        <f>SUMIFS(Positivação!S:S,Positivação!$I:$I,Faturamento!$J1163,Positivação!$G:$G,Faturamento!$H1163)*SUMIFS(Positivação!$Z:$Z,Positivação!$I:$I,Faturamento!$J1163,Positivação!$G:$G,Faturamento!$H1163)</f>
        <v>1800</v>
      </c>
      <c r="V1163" s="28">
        <f>SUMIFS(Positivação!T:T,Positivação!$I:$I,Faturamento!$J1163,Positivação!$G:$G,Faturamento!$H1163)*SUMIFS(Positivação!$Z:$Z,Positivação!$I:$I,Faturamento!$J1163,Positivação!$G:$G,Faturamento!$H1163)</f>
        <v>1800</v>
      </c>
      <c r="W1163" s="28">
        <f>SUMIFS(Positivação!U:U,Positivação!$I:$I,Faturamento!$J1163,Positivação!$G:$G,Faturamento!$H1163)*SUMIFS(Positivação!$Z:$Z,Positivação!$I:$I,Faturamento!$J1163,Positivação!$G:$G,Faturamento!$H1163)</f>
        <v>1800</v>
      </c>
      <c r="X1163" s="28">
        <f>SUMIFS(Positivação!V:V,Positivação!$I:$I,Faturamento!$J1163,Positivação!$G:$G,Faturamento!$H1163)*SUMIFS(Positivação!$Z:$Z,Positivação!$I:$I,Faturamento!$J1163,Positivação!$G:$G,Faturamento!$H1163)</f>
        <v>1800</v>
      </c>
      <c r="Y1163" s="28">
        <f>SUMIFS(Positivação!W:W,Positivação!$I:$I,Faturamento!$J1163,Positivação!$G:$G,Faturamento!$H1163)*SUMIFS(Positivação!$Z:$Z,Positivação!$I:$I,Faturamento!$J1163,Positivação!$G:$G,Faturamento!$H1163)</f>
        <v>2400</v>
      </c>
      <c r="Z1163" s="28">
        <f t="shared" ref="Z1163" si="279">SUM(Z1164:Z1181)</f>
        <v>18000</v>
      </c>
      <c r="AA1163" s="29"/>
      <c r="AB1163" s="28">
        <f t="shared" ref="AB1163:AE1163" si="280">SUM(AB1164:AB1181)</f>
        <v>219.93333333333337</v>
      </c>
      <c r="AC1163" s="28">
        <f t="shared" si="280"/>
        <v>734.56833333333327</v>
      </c>
      <c r="AD1163" s="28">
        <f t="shared" si="280"/>
        <v>1029.2700000000002</v>
      </c>
      <c r="AE1163" s="28">
        <f t="shared" si="280"/>
        <v>617.56200000000024</v>
      </c>
      <c r="AG1163" s="24">
        <f t="shared" si="272"/>
        <v>0.89003333333333334</v>
      </c>
      <c r="AH1163" s="24">
        <f t="shared" si="273"/>
        <v>0.63271583333333337</v>
      </c>
      <c r="AI1163" s="24">
        <f t="shared" si="274"/>
        <v>0.48536499999999988</v>
      </c>
    </row>
    <row r="1164" spans="1:35" hidden="1" x14ac:dyDescent="0.3">
      <c r="A1164" s="2" t="str">
        <f t="shared" si="271"/>
        <v>NÃO</v>
      </c>
      <c r="B1164" s="2">
        <v>1000184670</v>
      </c>
      <c r="C1164" s="2" t="s">
        <v>147</v>
      </c>
      <c r="D1164" s="4">
        <v>1000186197</v>
      </c>
      <c r="E1164" s="4" t="s">
        <v>166</v>
      </c>
      <c r="F1164" s="2">
        <v>1000185288</v>
      </c>
      <c r="G1164" s="2" t="s">
        <v>64</v>
      </c>
      <c r="H1164" s="4">
        <v>1000189806</v>
      </c>
      <c r="I1164" s="4" t="s">
        <v>119</v>
      </c>
      <c r="J1164" s="2">
        <v>1000189270</v>
      </c>
      <c r="K1164" s="2" t="s">
        <v>34</v>
      </c>
      <c r="L1164" s="4" t="s">
        <v>13</v>
      </c>
      <c r="M1164" s="4" t="str">
        <f t="shared" si="278"/>
        <v>1000184670100018619710001898061000189270BISCOITO</v>
      </c>
      <c r="N1164" s="28">
        <f>N1163*_xlfn.XLOOKUP($L1164,'Balizador da Meta'!$B$4:$B$21,'Balizador da Meta'!$C$4:$C$21)</f>
        <v>42.000000000000007</v>
      </c>
      <c r="O1164" s="28">
        <f>O1163*_xlfn.XLOOKUP($L1164,'Balizador da Meta'!$B$4:$B$21,'Balizador da Meta'!$C$4:$C$21)</f>
        <v>84.000000000000014</v>
      </c>
      <c r="P1164" s="28">
        <f>P1163*_xlfn.XLOOKUP($L1164,'Balizador da Meta'!$B$4:$B$21,'Balizador da Meta'!$C$4:$C$21)</f>
        <v>84.000000000000014</v>
      </c>
      <c r="Q1164" s="28">
        <f>Q1163*_xlfn.XLOOKUP($L1164,'Balizador da Meta'!$B$4:$B$21,'Balizador da Meta'!$C$4:$C$21)</f>
        <v>84.000000000000014</v>
      </c>
      <c r="R1164" s="28">
        <f>R1163*_xlfn.XLOOKUP($L1164,'Balizador da Meta'!$B$4:$B$21,'Balizador da Meta'!$C$4:$C$21)</f>
        <v>84.000000000000014</v>
      </c>
      <c r="S1164" s="28">
        <f>S1163*_xlfn.XLOOKUP($L1164,'Balizador da Meta'!$B$4:$B$21,'Balizador da Meta'!$C$4:$C$21)</f>
        <v>84.000000000000014</v>
      </c>
      <c r="T1164" s="28">
        <f>T1163*_xlfn.XLOOKUP($L1164,'Balizador da Meta'!$B$4:$B$21,'Balizador da Meta'!$C$4:$C$21)</f>
        <v>126.00000000000001</v>
      </c>
      <c r="U1164" s="28">
        <f>U1163*_xlfn.XLOOKUP($L1164,'Balizador da Meta'!$B$4:$B$21,'Balizador da Meta'!$C$4:$C$21)</f>
        <v>126.00000000000001</v>
      </c>
      <c r="V1164" s="28">
        <f>V1163*_xlfn.XLOOKUP($L1164,'Balizador da Meta'!$B$4:$B$21,'Balizador da Meta'!$C$4:$C$21)</f>
        <v>126.00000000000001</v>
      </c>
      <c r="W1164" s="28">
        <f>W1163*_xlfn.XLOOKUP($L1164,'Balizador da Meta'!$B$4:$B$21,'Balizador da Meta'!$C$4:$C$21)</f>
        <v>126.00000000000001</v>
      </c>
      <c r="X1164" s="28">
        <f>X1163*_xlfn.XLOOKUP($L1164,'Balizador da Meta'!$B$4:$B$21,'Balizador da Meta'!$C$4:$C$21)</f>
        <v>126.00000000000001</v>
      </c>
      <c r="Y1164" s="28">
        <f>Y1163*_xlfn.XLOOKUP($L1164,'Balizador da Meta'!$B$4:$B$21,'Balizador da Meta'!$C$4:$C$21)</f>
        <v>168.00000000000003</v>
      </c>
      <c r="Z1164" s="30">
        <f t="shared" ref="Z1164:Z1181" si="281">SUM(N1164:Y1164)</f>
        <v>1260.0000000000002</v>
      </c>
      <c r="AA1164" s="29"/>
      <c r="AB1164" s="31">
        <f>SUMIFS('Historico - FAT'!AK:AK,'Historico - FAT'!$K:$K,Faturamento!$L1164,'Historico - FAT'!$I:$I,Faturamento!$J1164,'Historico - FAT'!$G:$G,Faturamento!$H1164)</f>
        <v>75.284999999999997</v>
      </c>
      <c r="AC1164" s="31">
        <f>SUMIFS('Historico - FAT'!AL:AL,'Historico - FAT'!$K:$K,Faturamento!$L1164,'Historico - FAT'!$I:$I,Faturamento!$J1164,'Historico - FAT'!$G:$G,Faturamento!$H1164)</f>
        <v>83.385000000000005</v>
      </c>
      <c r="AD1164" s="31">
        <f>SUMIFS('Historico - FAT'!AM:AM,'Historico - FAT'!$K:$K,Faturamento!$L1164,'Historico - FAT'!$I:$I,Faturamento!$J1164,'Historico - FAT'!$G:$G,Faturamento!$H1164)</f>
        <v>16.2</v>
      </c>
      <c r="AE1164" s="27">
        <f>SUMIFS('Historico - FAT'!AN:AN,'Historico - FAT'!$K:$K,Faturamento!$L1164,'Historico - FAT'!$I:$I,Faturamento!$J1164,'Historico - FAT'!$G:$G,Faturamento!$H1164)</f>
        <v>9.7200000000000006</v>
      </c>
      <c r="AG1164" s="24">
        <f t="shared" si="272"/>
        <v>0.46225000000000016</v>
      </c>
      <c r="AH1164" s="24">
        <f t="shared" si="273"/>
        <v>0.40439285714285722</v>
      </c>
      <c r="AI1164" s="24">
        <f t="shared" si="274"/>
        <v>0.88428571428571434</v>
      </c>
    </row>
    <row r="1165" spans="1:35" hidden="1" x14ac:dyDescent="0.3">
      <c r="A1165" s="2" t="str">
        <f t="shared" si="271"/>
        <v>NÃO</v>
      </c>
      <c r="B1165" s="2">
        <v>1000184670</v>
      </c>
      <c r="C1165" s="2" t="s">
        <v>147</v>
      </c>
      <c r="D1165" s="4">
        <v>1000186197</v>
      </c>
      <c r="E1165" s="4" t="s">
        <v>166</v>
      </c>
      <c r="F1165" s="2">
        <v>1000185288</v>
      </c>
      <c r="G1165" s="2" t="s">
        <v>64</v>
      </c>
      <c r="H1165" s="4">
        <v>1000189806</v>
      </c>
      <c r="I1165" s="4" t="s">
        <v>119</v>
      </c>
      <c r="J1165" s="2">
        <v>1000189270</v>
      </c>
      <c r="K1165" s="2" t="s">
        <v>34</v>
      </c>
      <c r="L1165" s="4" t="s">
        <v>14</v>
      </c>
      <c r="M1165" s="4" t="str">
        <f t="shared" si="278"/>
        <v>1000184670100018619710001898061000189270CHOCOLATES</v>
      </c>
      <c r="N1165" s="28">
        <f>N1163*_xlfn.XLOOKUP($L1165,'Balizador da Meta'!$B$4:$B$21,'Balizador da Meta'!$C$4:$C$21)</f>
        <v>42.000000000000007</v>
      </c>
      <c r="O1165" s="28">
        <f>O1163*_xlfn.XLOOKUP($L1165,'Balizador da Meta'!$B$4:$B$21,'Balizador da Meta'!$C$4:$C$21)</f>
        <v>84.000000000000014</v>
      </c>
      <c r="P1165" s="28">
        <f>P1163*_xlfn.XLOOKUP($L1165,'Balizador da Meta'!$B$4:$B$21,'Balizador da Meta'!$C$4:$C$21)</f>
        <v>84.000000000000014</v>
      </c>
      <c r="Q1165" s="28">
        <f>Q1163*_xlfn.XLOOKUP($L1165,'Balizador da Meta'!$B$4:$B$21,'Balizador da Meta'!$C$4:$C$21)</f>
        <v>84.000000000000014</v>
      </c>
      <c r="R1165" s="28">
        <f>R1163*_xlfn.XLOOKUP($L1165,'Balizador da Meta'!$B$4:$B$21,'Balizador da Meta'!$C$4:$C$21)</f>
        <v>84.000000000000014</v>
      </c>
      <c r="S1165" s="28">
        <f>S1163*_xlfn.XLOOKUP($L1165,'Balizador da Meta'!$B$4:$B$21,'Balizador da Meta'!$C$4:$C$21)</f>
        <v>84.000000000000014</v>
      </c>
      <c r="T1165" s="28">
        <f>T1163*_xlfn.XLOOKUP($L1165,'Balizador da Meta'!$B$4:$B$21,'Balizador da Meta'!$C$4:$C$21)</f>
        <v>126.00000000000001</v>
      </c>
      <c r="U1165" s="28">
        <f>U1163*_xlfn.XLOOKUP($L1165,'Balizador da Meta'!$B$4:$B$21,'Balizador da Meta'!$C$4:$C$21)</f>
        <v>126.00000000000001</v>
      </c>
      <c r="V1165" s="28">
        <f>V1163*_xlfn.XLOOKUP($L1165,'Balizador da Meta'!$B$4:$B$21,'Balizador da Meta'!$C$4:$C$21)</f>
        <v>126.00000000000001</v>
      </c>
      <c r="W1165" s="28">
        <f>W1163*_xlfn.XLOOKUP($L1165,'Balizador da Meta'!$B$4:$B$21,'Balizador da Meta'!$C$4:$C$21)</f>
        <v>126.00000000000001</v>
      </c>
      <c r="X1165" s="28">
        <f>X1163*_xlfn.XLOOKUP($L1165,'Balizador da Meta'!$B$4:$B$21,'Balizador da Meta'!$C$4:$C$21)</f>
        <v>126.00000000000001</v>
      </c>
      <c r="Y1165" s="28">
        <f>Y1163*_xlfn.XLOOKUP($L1165,'Balizador da Meta'!$B$4:$B$21,'Balizador da Meta'!$C$4:$C$21)</f>
        <v>168.00000000000003</v>
      </c>
      <c r="Z1165" s="30">
        <f t="shared" si="281"/>
        <v>1260.0000000000002</v>
      </c>
      <c r="AA1165" s="29"/>
      <c r="AB1165" s="31">
        <f>SUMIFS('Historico - FAT'!AK:AK,'Historico - FAT'!$K:$K,Faturamento!$L1165,'Historico - FAT'!$I:$I,Faturamento!$J1165,'Historico - FAT'!$G:$G,Faturamento!$H1165)</f>
        <v>0</v>
      </c>
      <c r="AC1165" s="31">
        <f>SUMIFS('Historico - FAT'!AL:AL,'Historico - FAT'!$K:$K,Faturamento!$L1165,'Historico - FAT'!$I:$I,Faturamento!$J1165,'Historico - FAT'!$G:$G,Faturamento!$H1165)</f>
        <v>25.2</v>
      </c>
      <c r="AD1165" s="31">
        <f>SUMIFS('Historico - FAT'!AM:AM,'Historico - FAT'!$K:$K,Faturamento!$L1165,'Historico - FAT'!$I:$I,Faturamento!$J1165,'Historico - FAT'!$G:$G,Faturamento!$H1165)</f>
        <v>50.4</v>
      </c>
      <c r="AE1165" s="27">
        <f>SUMIFS('Historico - FAT'!AN:AN,'Historico - FAT'!$K:$K,Faturamento!$L1165,'Historico - FAT'!$I:$I,Faturamento!$J1165,'Historico - FAT'!$G:$G,Faturamento!$H1165)</f>
        <v>30.24</v>
      </c>
      <c r="AG1165" s="24">
        <f t="shared" si="272"/>
        <v>1</v>
      </c>
      <c r="AH1165" s="24">
        <f t="shared" si="273"/>
        <v>0.82000000000000006</v>
      </c>
      <c r="AI1165" s="24">
        <f t="shared" si="274"/>
        <v>0.64</v>
      </c>
    </row>
    <row r="1166" spans="1:35" hidden="1" x14ac:dyDescent="0.3">
      <c r="A1166" s="2" t="str">
        <f t="shared" si="271"/>
        <v>NÃO</v>
      </c>
      <c r="B1166" s="2">
        <v>1000184670</v>
      </c>
      <c r="C1166" s="2" t="s">
        <v>147</v>
      </c>
      <c r="D1166" s="4">
        <v>1000186197</v>
      </c>
      <c r="E1166" s="4" t="s">
        <v>166</v>
      </c>
      <c r="F1166" s="2">
        <v>1000185288</v>
      </c>
      <c r="G1166" s="2" t="s">
        <v>64</v>
      </c>
      <c r="H1166" s="4">
        <v>1000189806</v>
      </c>
      <c r="I1166" s="4" t="s">
        <v>119</v>
      </c>
      <c r="J1166" s="2">
        <v>1000189270</v>
      </c>
      <c r="K1166" s="2" t="s">
        <v>34</v>
      </c>
      <c r="L1166" s="4" t="s">
        <v>16</v>
      </c>
      <c r="M1166" s="4" t="str">
        <f t="shared" si="278"/>
        <v>1000184670100018619710001898061000189270DISNEY</v>
      </c>
      <c r="N1166" s="28">
        <f>N1163*_xlfn.XLOOKUP($L1166,'Balizador da Meta'!$B$4:$B$21,'Balizador da Meta'!$C$4:$C$21)</f>
        <v>48</v>
      </c>
      <c r="O1166" s="28">
        <f>O1163*_xlfn.XLOOKUP($L1166,'Balizador da Meta'!$B$4:$B$21,'Balizador da Meta'!$C$4:$C$21)</f>
        <v>96</v>
      </c>
      <c r="P1166" s="28">
        <f>P1163*_xlfn.XLOOKUP($L1166,'Balizador da Meta'!$B$4:$B$21,'Balizador da Meta'!$C$4:$C$21)</f>
        <v>96</v>
      </c>
      <c r="Q1166" s="28">
        <f>Q1163*_xlfn.XLOOKUP($L1166,'Balizador da Meta'!$B$4:$B$21,'Balizador da Meta'!$C$4:$C$21)</f>
        <v>96</v>
      </c>
      <c r="R1166" s="28">
        <f>R1163*_xlfn.XLOOKUP($L1166,'Balizador da Meta'!$B$4:$B$21,'Balizador da Meta'!$C$4:$C$21)</f>
        <v>96</v>
      </c>
      <c r="S1166" s="28">
        <f>S1163*_xlfn.XLOOKUP($L1166,'Balizador da Meta'!$B$4:$B$21,'Balizador da Meta'!$C$4:$C$21)</f>
        <v>96</v>
      </c>
      <c r="T1166" s="28">
        <f>T1163*_xlfn.XLOOKUP($L1166,'Balizador da Meta'!$B$4:$B$21,'Balizador da Meta'!$C$4:$C$21)</f>
        <v>144</v>
      </c>
      <c r="U1166" s="28">
        <f>U1163*_xlfn.XLOOKUP($L1166,'Balizador da Meta'!$B$4:$B$21,'Balizador da Meta'!$C$4:$C$21)</f>
        <v>144</v>
      </c>
      <c r="V1166" s="28">
        <f>V1163*_xlfn.XLOOKUP($L1166,'Balizador da Meta'!$B$4:$B$21,'Balizador da Meta'!$C$4:$C$21)</f>
        <v>144</v>
      </c>
      <c r="W1166" s="28">
        <f>W1163*_xlfn.XLOOKUP($L1166,'Balizador da Meta'!$B$4:$B$21,'Balizador da Meta'!$C$4:$C$21)</f>
        <v>144</v>
      </c>
      <c r="X1166" s="28">
        <f>X1163*_xlfn.XLOOKUP($L1166,'Balizador da Meta'!$B$4:$B$21,'Balizador da Meta'!$C$4:$C$21)</f>
        <v>144</v>
      </c>
      <c r="Y1166" s="28">
        <f>Y1163*_xlfn.XLOOKUP($L1166,'Balizador da Meta'!$B$4:$B$21,'Balizador da Meta'!$C$4:$C$21)</f>
        <v>192</v>
      </c>
      <c r="Z1166" s="30">
        <f t="shared" si="281"/>
        <v>1440</v>
      </c>
      <c r="AA1166" s="29"/>
      <c r="AB1166" s="31">
        <f>SUMIFS('Historico - FAT'!AK:AK,'Historico - FAT'!$K:$K,Faturamento!$L1166,'Historico - FAT'!$I:$I,Faturamento!$J1166,'Historico - FAT'!$G:$G,Faturamento!$H1166)</f>
        <v>0</v>
      </c>
      <c r="AC1166" s="31">
        <f>SUMIFS('Historico - FAT'!AL:AL,'Historico - FAT'!$K:$K,Faturamento!$L1166,'Historico - FAT'!$I:$I,Faturamento!$J1166,'Historico - FAT'!$G:$G,Faturamento!$H1166)</f>
        <v>1.615</v>
      </c>
      <c r="AD1166" s="31">
        <f>SUMIFS('Historico - FAT'!AM:AM,'Historico - FAT'!$K:$K,Faturamento!$L1166,'Historico - FAT'!$I:$I,Faturamento!$J1166,'Historico - FAT'!$G:$G,Faturamento!$H1166)</f>
        <v>3.23</v>
      </c>
      <c r="AE1166" s="27">
        <f>SUMIFS('Historico - FAT'!AN:AN,'Historico - FAT'!$K:$K,Faturamento!$L1166,'Historico - FAT'!$I:$I,Faturamento!$J1166,'Historico - FAT'!$G:$G,Faturamento!$H1166)</f>
        <v>1.9379999999999999</v>
      </c>
      <c r="AG1166" s="24">
        <f t="shared" si="272"/>
        <v>1</v>
      </c>
      <c r="AH1166" s="24">
        <f t="shared" si="273"/>
        <v>0.98990624999999999</v>
      </c>
      <c r="AI1166" s="24">
        <f t="shared" si="274"/>
        <v>0.97981250000000009</v>
      </c>
    </row>
    <row r="1167" spans="1:35" hidden="1" x14ac:dyDescent="0.3">
      <c r="A1167" s="2" t="str">
        <f t="shared" si="271"/>
        <v>NÃO</v>
      </c>
      <c r="B1167" s="2">
        <v>1000184670</v>
      </c>
      <c r="C1167" s="2" t="s">
        <v>147</v>
      </c>
      <c r="D1167" s="4">
        <v>1000186197</v>
      </c>
      <c r="E1167" s="4" t="s">
        <v>166</v>
      </c>
      <c r="F1167" s="2">
        <v>1000185288</v>
      </c>
      <c r="G1167" s="2" t="s">
        <v>64</v>
      </c>
      <c r="H1167" s="4">
        <v>1000189806</v>
      </c>
      <c r="I1167" s="4" t="s">
        <v>119</v>
      </c>
      <c r="J1167" s="2">
        <v>1000189270</v>
      </c>
      <c r="K1167" s="2" t="s">
        <v>34</v>
      </c>
      <c r="L1167" s="4" t="s">
        <v>15</v>
      </c>
      <c r="M1167" s="4" t="str">
        <f t="shared" si="278"/>
        <v>1000184670100018619710001898061000189270DOCES</v>
      </c>
      <c r="N1167" s="28">
        <f>N1163*_xlfn.XLOOKUP($L1167,'Balizador da Meta'!$B$4:$B$21,'Balizador da Meta'!$C$4:$C$21)</f>
        <v>54</v>
      </c>
      <c r="O1167" s="28">
        <f>O1163*_xlfn.XLOOKUP($L1167,'Balizador da Meta'!$B$4:$B$21,'Balizador da Meta'!$C$4:$C$21)</f>
        <v>108</v>
      </c>
      <c r="P1167" s="28">
        <f>P1163*_xlfn.XLOOKUP($L1167,'Balizador da Meta'!$B$4:$B$21,'Balizador da Meta'!$C$4:$C$21)</f>
        <v>108</v>
      </c>
      <c r="Q1167" s="28">
        <f>Q1163*_xlfn.XLOOKUP($L1167,'Balizador da Meta'!$B$4:$B$21,'Balizador da Meta'!$C$4:$C$21)</f>
        <v>108</v>
      </c>
      <c r="R1167" s="28">
        <f>R1163*_xlfn.XLOOKUP($L1167,'Balizador da Meta'!$B$4:$B$21,'Balizador da Meta'!$C$4:$C$21)</f>
        <v>108</v>
      </c>
      <c r="S1167" s="28">
        <f>S1163*_xlfn.XLOOKUP($L1167,'Balizador da Meta'!$B$4:$B$21,'Balizador da Meta'!$C$4:$C$21)</f>
        <v>108</v>
      </c>
      <c r="T1167" s="28">
        <f>T1163*_xlfn.XLOOKUP($L1167,'Balizador da Meta'!$B$4:$B$21,'Balizador da Meta'!$C$4:$C$21)</f>
        <v>162</v>
      </c>
      <c r="U1167" s="28">
        <f>U1163*_xlfn.XLOOKUP($L1167,'Balizador da Meta'!$B$4:$B$21,'Balizador da Meta'!$C$4:$C$21)</f>
        <v>162</v>
      </c>
      <c r="V1167" s="28">
        <f>V1163*_xlfn.XLOOKUP($L1167,'Balizador da Meta'!$B$4:$B$21,'Balizador da Meta'!$C$4:$C$21)</f>
        <v>162</v>
      </c>
      <c r="W1167" s="28">
        <f>W1163*_xlfn.XLOOKUP($L1167,'Balizador da Meta'!$B$4:$B$21,'Balizador da Meta'!$C$4:$C$21)</f>
        <v>162</v>
      </c>
      <c r="X1167" s="28">
        <f>X1163*_xlfn.XLOOKUP($L1167,'Balizador da Meta'!$B$4:$B$21,'Balizador da Meta'!$C$4:$C$21)</f>
        <v>162</v>
      </c>
      <c r="Y1167" s="28">
        <f>Y1163*_xlfn.XLOOKUP($L1167,'Balizador da Meta'!$B$4:$B$21,'Balizador da Meta'!$C$4:$C$21)</f>
        <v>216</v>
      </c>
      <c r="Z1167" s="30">
        <f t="shared" si="281"/>
        <v>1620</v>
      </c>
      <c r="AA1167" s="29"/>
      <c r="AB1167" s="31">
        <f>SUMIFS('Historico - FAT'!AK:AK,'Historico - FAT'!$K:$K,Faturamento!$L1167,'Historico - FAT'!$I:$I,Faturamento!$J1167,'Historico - FAT'!$G:$G,Faturamento!$H1167)</f>
        <v>48.321666666666665</v>
      </c>
      <c r="AC1167" s="31">
        <f>SUMIFS('Historico - FAT'!AL:AL,'Historico - FAT'!$K:$K,Faturamento!$L1167,'Historico - FAT'!$I:$I,Faturamento!$J1167,'Historico - FAT'!$G:$G,Faturamento!$H1167)</f>
        <v>129.33583333333334</v>
      </c>
      <c r="AD1167" s="31">
        <f>SUMIFS('Historico - FAT'!AM:AM,'Historico - FAT'!$K:$K,Faturamento!$L1167,'Historico - FAT'!$I:$I,Faturamento!$J1167,'Historico - FAT'!$G:$G,Faturamento!$H1167)</f>
        <v>162.02833333333334</v>
      </c>
      <c r="AE1167" s="27">
        <f>SUMIFS('Historico - FAT'!AN:AN,'Historico - FAT'!$K:$K,Faturamento!$L1167,'Historico - FAT'!$I:$I,Faturamento!$J1167,'Historico - FAT'!$G:$G,Faturamento!$H1167)</f>
        <v>97.216999999999999</v>
      </c>
      <c r="AG1167" s="24">
        <f t="shared" si="272"/>
        <v>0.73154629629629631</v>
      </c>
      <c r="AH1167" s="24">
        <f t="shared" si="273"/>
        <v>0.28146759259259257</v>
      </c>
      <c r="AI1167" s="24">
        <f t="shared" si="274"/>
        <v>9.984259259259258E-2</v>
      </c>
    </row>
    <row r="1168" spans="1:35" hidden="1" x14ac:dyDescent="0.3">
      <c r="A1168" s="2" t="str">
        <f t="shared" si="271"/>
        <v>NÃO</v>
      </c>
      <c r="B1168" s="2">
        <v>1000184670</v>
      </c>
      <c r="C1168" s="2" t="s">
        <v>147</v>
      </c>
      <c r="D1168" s="4">
        <v>1000186197</v>
      </c>
      <c r="E1168" s="4" t="s">
        <v>166</v>
      </c>
      <c r="F1168" s="2">
        <v>1000185288</v>
      </c>
      <c r="G1168" s="2" t="s">
        <v>64</v>
      </c>
      <c r="H1168" s="4">
        <v>1000189806</v>
      </c>
      <c r="I1168" s="4" t="s">
        <v>119</v>
      </c>
      <c r="J1168" s="2">
        <v>1000189270</v>
      </c>
      <c r="K1168" s="2" t="s">
        <v>34</v>
      </c>
      <c r="L1168" s="4" t="s">
        <v>33</v>
      </c>
      <c r="M1168" s="4" t="str">
        <f t="shared" si="278"/>
        <v>1000184670100018619710001898061000189270FOOD SERVICE</v>
      </c>
      <c r="N1168" s="28">
        <f>N1163*_xlfn.XLOOKUP($L1168,'Balizador da Meta'!$B$4:$B$21,'Balizador da Meta'!$C$4:$C$21)</f>
        <v>0</v>
      </c>
      <c r="O1168" s="28">
        <f>O1163*_xlfn.XLOOKUP($L1168,'Balizador da Meta'!$B$4:$B$21,'Balizador da Meta'!$C$4:$C$21)</f>
        <v>0</v>
      </c>
      <c r="P1168" s="28">
        <f>P1163*_xlfn.XLOOKUP($L1168,'Balizador da Meta'!$B$4:$B$21,'Balizador da Meta'!$C$4:$C$21)</f>
        <v>0</v>
      </c>
      <c r="Q1168" s="28">
        <f>Q1163*_xlfn.XLOOKUP($L1168,'Balizador da Meta'!$B$4:$B$21,'Balizador da Meta'!$C$4:$C$21)</f>
        <v>0</v>
      </c>
      <c r="R1168" s="28">
        <f>R1163*_xlfn.XLOOKUP($L1168,'Balizador da Meta'!$B$4:$B$21,'Balizador da Meta'!$C$4:$C$21)</f>
        <v>0</v>
      </c>
      <c r="S1168" s="28">
        <f>S1163*_xlfn.XLOOKUP($L1168,'Balizador da Meta'!$B$4:$B$21,'Balizador da Meta'!$C$4:$C$21)</f>
        <v>0</v>
      </c>
      <c r="T1168" s="28">
        <f>T1163*_xlfn.XLOOKUP($L1168,'Balizador da Meta'!$B$4:$B$21,'Balizador da Meta'!$C$4:$C$21)</f>
        <v>0</v>
      </c>
      <c r="U1168" s="28">
        <f>U1163*_xlfn.XLOOKUP($L1168,'Balizador da Meta'!$B$4:$B$21,'Balizador da Meta'!$C$4:$C$21)</f>
        <v>0</v>
      </c>
      <c r="V1168" s="28">
        <f>V1163*_xlfn.XLOOKUP($L1168,'Balizador da Meta'!$B$4:$B$21,'Balizador da Meta'!$C$4:$C$21)</f>
        <v>0</v>
      </c>
      <c r="W1168" s="28">
        <f>W1163*_xlfn.XLOOKUP($L1168,'Balizador da Meta'!$B$4:$B$21,'Balizador da Meta'!$C$4:$C$21)</f>
        <v>0</v>
      </c>
      <c r="X1168" s="28">
        <f>X1163*_xlfn.XLOOKUP($L1168,'Balizador da Meta'!$B$4:$B$21,'Balizador da Meta'!$C$4:$C$21)</f>
        <v>0</v>
      </c>
      <c r="Y1168" s="28">
        <f>Y1163*_xlfn.XLOOKUP($L1168,'Balizador da Meta'!$B$4:$B$21,'Balizador da Meta'!$C$4:$C$21)</f>
        <v>0</v>
      </c>
      <c r="Z1168" s="30">
        <f t="shared" si="281"/>
        <v>0</v>
      </c>
      <c r="AA1168" s="29"/>
      <c r="AB1168" s="31">
        <f>SUMIFS('Historico - FAT'!AK:AK,'Historico - FAT'!$K:$K,Faturamento!$L1168,'Historico - FAT'!$I:$I,Faturamento!$J1168,'Historico - FAT'!$G:$G,Faturamento!$H1168)</f>
        <v>0</v>
      </c>
      <c r="AC1168" s="31">
        <f>SUMIFS('Historico - FAT'!AL:AL,'Historico - FAT'!$K:$K,Faturamento!$L1168,'Historico - FAT'!$I:$I,Faturamento!$J1168,'Historico - FAT'!$G:$G,Faturamento!$H1168)</f>
        <v>29</v>
      </c>
      <c r="AD1168" s="31">
        <f>SUMIFS('Historico - FAT'!AM:AM,'Historico - FAT'!$K:$K,Faturamento!$L1168,'Historico - FAT'!$I:$I,Faturamento!$J1168,'Historico - FAT'!$G:$G,Faturamento!$H1168)</f>
        <v>58</v>
      </c>
      <c r="AE1168" s="27">
        <f>SUMIFS('Historico - FAT'!AN:AN,'Historico - FAT'!$K:$K,Faturamento!$L1168,'Historico - FAT'!$I:$I,Faturamento!$J1168,'Historico - FAT'!$G:$G,Faturamento!$H1168)</f>
        <v>34.799999999999997</v>
      </c>
      <c r="AG1168" s="24" t="str">
        <f t="shared" si="272"/>
        <v/>
      </c>
      <c r="AH1168" s="24" t="str">
        <f t="shared" si="273"/>
        <v/>
      </c>
      <c r="AI1168" s="24" t="str">
        <f t="shared" si="274"/>
        <v/>
      </c>
    </row>
    <row r="1169" spans="1:35" hidden="1" x14ac:dyDescent="0.3">
      <c r="A1169" s="2" t="str">
        <f t="shared" si="271"/>
        <v>NÃO</v>
      </c>
      <c r="B1169" s="2">
        <v>1000184670</v>
      </c>
      <c r="C1169" s="2" t="s">
        <v>147</v>
      </c>
      <c r="D1169" s="4">
        <v>1000186197</v>
      </c>
      <c r="E1169" s="4" t="s">
        <v>166</v>
      </c>
      <c r="F1169" s="2">
        <v>1000185288</v>
      </c>
      <c r="G1169" s="2" t="s">
        <v>64</v>
      </c>
      <c r="H1169" s="4">
        <v>1000189806</v>
      </c>
      <c r="I1169" s="4" t="s">
        <v>119</v>
      </c>
      <c r="J1169" s="2">
        <v>1000189270</v>
      </c>
      <c r="K1169" s="2" t="s">
        <v>34</v>
      </c>
      <c r="L1169" s="4" t="s">
        <v>19</v>
      </c>
      <c r="M1169" s="4" t="str">
        <f t="shared" si="278"/>
        <v>1000184670100018619710001898061000189270GELEIA</v>
      </c>
      <c r="N1169" s="28">
        <f>N1163*_xlfn.XLOOKUP($L1169,'Balizador da Meta'!$B$4:$B$21,'Balizador da Meta'!$C$4:$C$21)</f>
        <v>11.999999999999998</v>
      </c>
      <c r="O1169" s="28">
        <f>O1163*_xlfn.XLOOKUP($L1169,'Balizador da Meta'!$B$4:$B$21,'Balizador da Meta'!$C$4:$C$21)</f>
        <v>23.999999999999996</v>
      </c>
      <c r="P1169" s="28">
        <f>P1163*_xlfn.XLOOKUP($L1169,'Balizador da Meta'!$B$4:$B$21,'Balizador da Meta'!$C$4:$C$21)</f>
        <v>23.999999999999996</v>
      </c>
      <c r="Q1169" s="28">
        <f>Q1163*_xlfn.XLOOKUP($L1169,'Balizador da Meta'!$B$4:$B$21,'Balizador da Meta'!$C$4:$C$21)</f>
        <v>23.999999999999996</v>
      </c>
      <c r="R1169" s="28">
        <f>R1163*_xlfn.XLOOKUP($L1169,'Balizador da Meta'!$B$4:$B$21,'Balizador da Meta'!$C$4:$C$21)</f>
        <v>23.999999999999996</v>
      </c>
      <c r="S1169" s="28">
        <f>S1163*_xlfn.XLOOKUP($L1169,'Balizador da Meta'!$B$4:$B$21,'Balizador da Meta'!$C$4:$C$21)</f>
        <v>23.999999999999996</v>
      </c>
      <c r="T1169" s="28">
        <f>T1163*_xlfn.XLOOKUP($L1169,'Balizador da Meta'!$B$4:$B$21,'Balizador da Meta'!$C$4:$C$21)</f>
        <v>35.999999999999993</v>
      </c>
      <c r="U1169" s="28">
        <f>U1163*_xlfn.XLOOKUP($L1169,'Balizador da Meta'!$B$4:$B$21,'Balizador da Meta'!$C$4:$C$21)</f>
        <v>35.999999999999993</v>
      </c>
      <c r="V1169" s="28">
        <f>V1163*_xlfn.XLOOKUP($L1169,'Balizador da Meta'!$B$4:$B$21,'Balizador da Meta'!$C$4:$C$21)</f>
        <v>35.999999999999993</v>
      </c>
      <c r="W1169" s="28">
        <f>W1163*_xlfn.XLOOKUP($L1169,'Balizador da Meta'!$B$4:$B$21,'Balizador da Meta'!$C$4:$C$21)</f>
        <v>35.999999999999993</v>
      </c>
      <c r="X1169" s="28">
        <f>X1163*_xlfn.XLOOKUP($L1169,'Balizador da Meta'!$B$4:$B$21,'Balizador da Meta'!$C$4:$C$21)</f>
        <v>35.999999999999993</v>
      </c>
      <c r="Y1169" s="28">
        <f>Y1163*_xlfn.XLOOKUP($L1169,'Balizador da Meta'!$B$4:$B$21,'Balizador da Meta'!$C$4:$C$21)</f>
        <v>47.999999999999993</v>
      </c>
      <c r="Z1169" s="30">
        <f t="shared" si="281"/>
        <v>359.99999999999994</v>
      </c>
      <c r="AA1169" s="29"/>
      <c r="AB1169" s="31">
        <f>SUMIFS('Historico - FAT'!AK:AK,'Historico - FAT'!$K:$K,Faturamento!$L1169,'Historico - FAT'!$I:$I,Faturamento!$J1169,'Historico - FAT'!$G:$G,Faturamento!$H1169)</f>
        <v>40.203333333333333</v>
      </c>
      <c r="AC1169" s="31">
        <f>SUMIFS('Historico - FAT'!AL:AL,'Historico - FAT'!$K:$K,Faturamento!$L1169,'Historico - FAT'!$I:$I,Faturamento!$J1169,'Historico - FAT'!$G:$G,Faturamento!$H1169)</f>
        <v>64.120833333333337</v>
      </c>
      <c r="AD1169" s="31">
        <f>SUMIFS('Historico - FAT'!AM:AM,'Historico - FAT'!$K:$K,Faturamento!$L1169,'Historico - FAT'!$I:$I,Faturamento!$J1169,'Historico - FAT'!$G:$G,Faturamento!$H1169)</f>
        <v>47.835000000000001</v>
      </c>
      <c r="AE1169" s="27">
        <f>SUMIFS('Historico - FAT'!AN:AN,'Historico - FAT'!$K:$K,Faturamento!$L1169,'Historico - FAT'!$I:$I,Faturamento!$J1169,'Historico - FAT'!$G:$G,Faturamento!$H1169)</f>
        <v>28.701000000000001</v>
      </c>
      <c r="AG1169" s="24">
        <f t="shared" si="272"/>
        <v>-5.0833333333335073E-3</v>
      </c>
      <c r="AH1169" s="24">
        <f t="shared" si="273"/>
        <v>-0.60302083333333367</v>
      </c>
      <c r="AI1169" s="24">
        <f t="shared" si="274"/>
        <v>-0.19587500000000024</v>
      </c>
    </row>
    <row r="1170" spans="1:35" hidden="1" x14ac:dyDescent="0.3">
      <c r="A1170" s="2" t="str">
        <f t="shared" si="271"/>
        <v>NÃO</v>
      </c>
      <c r="B1170" s="2">
        <v>1000184670</v>
      </c>
      <c r="C1170" s="2" t="s">
        <v>147</v>
      </c>
      <c r="D1170" s="4">
        <v>1000186197</v>
      </c>
      <c r="E1170" s="4" t="s">
        <v>166</v>
      </c>
      <c r="F1170" s="2">
        <v>1000185288</v>
      </c>
      <c r="G1170" s="2" t="s">
        <v>64</v>
      </c>
      <c r="H1170" s="4">
        <v>1000189806</v>
      </c>
      <c r="I1170" s="4" t="s">
        <v>119</v>
      </c>
      <c r="J1170" s="2">
        <v>1000189270</v>
      </c>
      <c r="K1170" s="2" t="s">
        <v>34</v>
      </c>
      <c r="L1170" s="4" t="s">
        <v>17</v>
      </c>
      <c r="M1170" s="4" t="str">
        <f t="shared" si="278"/>
        <v>1000184670100018619710001898061000189270GRANOLA</v>
      </c>
      <c r="N1170" s="28">
        <f>N1163*_xlfn.XLOOKUP($L1170,'Balizador da Meta'!$B$4:$B$21,'Balizador da Meta'!$C$4:$C$21)</f>
        <v>12</v>
      </c>
      <c r="O1170" s="28">
        <f>O1163*_xlfn.XLOOKUP($L1170,'Balizador da Meta'!$B$4:$B$21,'Balizador da Meta'!$C$4:$C$21)</f>
        <v>24</v>
      </c>
      <c r="P1170" s="28">
        <f>P1163*_xlfn.XLOOKUP($L1170,'Balizador da Meta'!$B$4:$B$21,'Balizador da Meta'!$C$4:$C$21)</f>
        <v>24</v>
      </c>
      <c r="Q1170" s="28">
        <f>Q1163*_xlfn.XLOOKUP($L1170,'Balizador da Meta'!$B$4:$B$21,'Balizador da Meta'!$C$4:$C$21)</f>
        <v>24</v>
      </c>
      <c r="R1170" s="28">
        <f>R1163*_xlfn.XLOOKUP($L1170,'Balizador da Meta'!$B$4:$B$21,'Balizador da Meta'!$C$4:$C$21)</f>
        <v>24</v>
      </c>
      <c r="S1170" s="28">
        <f>S1163*_xlfn.XLOOKUP($L1170,'Balizador da Meta'!$B$4:$B$21,'Balizador da Meta'!$C$4:$C$21)</f>
        <v>24</v>
      </c>
      <c r="T1170" s="28">
        <f>T1163*_xlfn.XLOOKUP($L1170,'Balizador da Meta'!$B$4:$B$21,'Balizador da Meta'!$C$4:$C$21)</f>
        <v>36</v>
      </c>
      <c r="U1170" s="28">
        <f>U1163*_xlfn.XLOOKUP($L1170,'Balizador da Meta'!$B$4:$B$21,'Balizador da Meta'!$C$4:$C$21)</f>
        <v>36</v>
      </c>
      <c r="V1170" s="28">
        <f>V1163*_xlfn.XLOOKUP($L1170,'Balizador da Meta'!$B$4:$B$21,'Balizador da Meta'!$C$4:$C$21)</f>
        <v>36</v>
      </c>
      <c r="W1170" s="28">
        <f>W1163*_xlfn.XLOOKUP($L1170,'Balizador da Meta'!$B$4:$B$21,'Balizador da Meta'!$C$4:$C$21)</f>
        <v>36</v>
      </c>
      <c r="X1170" s="28">
        <f>X1163*_xlfn.XLOOKUP($L1170,'Balizador da Meta'!$B$4:$B$21,'Balizador da Meta'!$C$4:$C$21)</f>
        <v>36</v>
      </c>
      <c r="Y1170" s="28">
        <f>Y1163*_xlfn.XLOOKUP($L1170,'Balizador da Meta'!$B$4:$B$21,'Balizador da Meta'!$C$4:$C$21)</f>
        <v>48</v>
      </c>
      <c r="Z1170" s="30">
        <f t="shared" si="281"/>
        <v>360</v>
      </c>
      <c r="AA1170" s="29"/>
      <c r="AB1170" s="31">
        <f>SUMIFS('Historico - FAT'!AK:AK,'Historico - FAT'!$K:$K,Faturamento!$L1170,'Historico - FAT'!$I:$I,Faturamento!$J1170,'Historico - FAT'!$G:$G,Faturamento!$H1170)</f>
        <v>10.628333333333334</v>
      </c>
      <c r="AC1170" s="31">
        <f>SUMIFS('Historico - FAT'!AL:AL,'Historico - FAT'!$K:$K,Faturamento!$L1170,'Historico - FAT'!$I:$I,Faturamento!$J1170,'Historico - FAT'!$G:$G,Faturamento!$H1170)</f>
        <v>10.628333333333334</v>
      </c>
      <c r="AD1170" s="31">
        <f>SUMIFS('Historico - FAT'!AM:AM,'Historico - FAT'!$K:$K,Faturamento!$L1170,'Historico - FAT'!$I:$I,Faturamento!$J1170,'Historico - FAT'!$G:$G,Faturamento!$H1170)</f>
        <v>0</v>
      </c>
      <c r="AE1170" s="27">
        <f>SUMIFS('Historico - FAT'!AN:AN,'Historico - FAT'!$K:$K,Faturamento!$L1170,'Historico - FAT'!$I:$I,Faturamento!$J1170,'Historico - FAT'!$G:$G,Faturamento!$H1170)</f>
        <v>0</v>
      </c>
      <c r="AG1170" s="24">
        <f t="shared" si="272"/>
        <v>0.73429166666666668</v>
      </c>
      <c r="AH1170" s="24">
        <f t="shared" si="273"/>
        <v>0.73429166666666668</v>
      </c>
      <c r="AI1170" s="24">
        <f t="shared" si="274"/>
        <v>1</v>
      </c>
    </row>
    <row r="1171" spans="1:35" hidden="1" x14ac:dyDescent="0.3">
      <c r="A1171" s="2" t="str">
        <f t="shared" si="271"/>
        <v>NÃO</v>
      </c>
      <c r="B1171" s="2">
        <v>1000184670</v>
      </c>
      <c r="C1171" s="2" t="s">
        <v>147</v>
      </c>
      <c r="D1171" s="4">
        <v>1000186197</v>
      </c>
      <c r="E1171" s="4" t="s">
        <v>166</v>
      </c>
      <c r="F1171" s="2">
        <v>1000185288</v>
      </c>
      <c r="G1171" s="2" t="s">
        <v>64</v>
      </c>
      <c r="H1171" s="4">
        <v>1000189806</v>
      </c>
      <c r="I1171" s="4" t="s">
        <v>119</v>
      </c>
      <c r="J1171" s="2">
        <v>1000189270</v>
      </c>
      <c r="K1171" s="2" t="s">
        <v>34</v>
      </c>
      <c r="L1171" s="4" t="s">
        <v>24</v>
      </c>
      <c r="M1171" s="4" t="str">
        <f t="shared" si="278"/>
        <v>1000184670100018619710001898061000189270KIDS</v>
      </c>
      <c r="N1171" s="28">
        <f>N1163*_xlfn.XLOOKUP($L1171,'Balizador da Meta'!$B$4:$B$21,'Balizador da Meta'!$C$4:$C$21)</f>
        <v>0</v>
      </c>
      <c r="O1171" s="28">
        <f>O1163*_xlfn.XLOOKUP($L1171,'Balizador da Meta'!$B$4:$B$21,'Balizador da Meta'!$C$4:$C$21)</f>
        <v>0</v>
      </c>
      <c r="P1171" s="28">
        <f>P1163*_xlfn.XLOOKUP($L1171,'Balizador da Meta'!$B$4:$B$21,'Balizador da Meta'!$C$4:$C$21)</f>
        <v>0</v>
      </c>
      <c r="Q1171" s="28">
        <f>Q1163*_xlfn.XLOOKUP($L1171,'Balizador da Meta'!$B$4:$B$21,'Balizador da Meta'!$C$4:$C$21)</f>
        <v>0</v>
      </c>
      <c r="R1171" s="28">
        <f>R1163*_xlfn.XLOOKUP($L1171,'Balizador da Meta'!$B$4:$B$21,'Balizador da Meta'!$C$4:$C$21)</f>
        <v>0</v>
      </c>
      <c r="S1171" s="28">
        <f>S1163*_xlfn.XLOOKUP($L1171,'Balizador da Meta'!$B$4:$B$21,'Balizador da Meta'!$C$4:$C$21)</f>
        <v>0</v>
      </c>
      <c r="T1171" s="28">
        <f>T1163*_xlfn.XLOOKUP($L1171,'Balizador da Meta'!$B$4:$B$21,'Balizador da Meta'!$C$4:$C$21)</f>
        <v>0</v>
      </c>
      <c r="U1171" s="28">
        <f>U1163*_xlfn.XLOOKUP($L1171,'Balizador da Meta'!$B$4:$B$21,'Balizador da Meta'!$C$4:$C$21)</f>
        <v>0</v>
      </c>
      <c r="V1171" s="28">
        <f>V1163*_xlfn.XLOOKUP($L1171,'Balizador da Meta'!$B$4:$B$21,'Balizador da Meta'!$C$4:$C$21)</f>
        <v>0</v>
      </c>
      <c r="W1171" s="28">
        <f>W1163*_xlfn.XLOOKUP($L1171,'Balizador da Meta'!$B$4:$B$21,'Balizador da Meta'!$C$4:$C$21)</f>
        <v>0</v>
      </c>
      <c r="X1171" s="28">
        <f>X1163*_xlfn.XLOOKUP($L1171,'Balizador da Meta'!$B$4:$B$21,'Balizador da Meta'!$C$4:$C$21)</f>
        <v>0</v>
      </c>
      <c r="Y1171" s="28">
        <f>Y1163*_xlfn.XLOOKUP($L1171,'Balizador da Meta'!$B$4:$B$21,'Balizador da Meta'!$C$4:$C$21)</f>
        <v>0</v>
      </c>
      <c r="Z1171" s="30">
        <f t="shared" si="281"/>
        <v>0</v>
      </c>
      <c r="AA1171" s="29"/>
      <c r="AB1171" s="31">
        <f>SUMIFS('Historico - FAT'!AK:AK,'Historico - FAT'!$K:$K,Faturamento!$L1171,'Historico - FAT'!$I:$I,Faturamento!$J1171,'Historico - FAT'!$G:$G,Faturamento!$H1171)</f>
        <v>0</v>
      </c>
      <c r="AC1171" s="31">
        <f>SUMIFS('Historico - FAT'!AL:AL,'Historico - FAT'!$K:$K,Faturamento!$L1171,'Historico - FAT'!$I:$I,Faturamento!$J1171,'Historico - FAT'!$G:$G,Faturamento!$H1171)</f>
        <v>0</v>
      </c>
      <c r="AD1171" s="31">
        <f>SUMIFS('Historico - FAT'!AM:AM,'Historico - FAT'!$K:$K,Faturamento!$L1171,'Historico - FAT'!$I:$I,Faturamento!$J1171,'Historico - FAT'!$G:$G,Faturamento!$H1171)</f>
        <v>0</v>
      </c>
      <c r="AE1171" s="27">
        <f>SUMIFS('Historico - FAT'!AN:AN,'Historico - FAT'!$K:$K,Faturamento!$L1171,'Historico - FAT'!$I:$I,Faturamento!$J1171,'Historico - FAT'!$G:$G,Faturamento!$H1171)</f>
        <v>0</v>
      </c>
      <c r="AG1171" s="24" t="str">
        <f t="shared" si="272"/>
        <v/>
      </c>
      <c r="AH1171" s="24" t="str">
        <f t="shared" si="273"/>
        <v/>
      </c>
      <c r="AI1171" s="24" t="str">
        <f t="shared" si="274"/>
        <v/>
      </c>
    </row>
    <row r="1172" spans="1:35" hidden="1" x14ac:dyDescent="0.3">
      <c r="A1172" s="2" t="str">
        <f t="shared" si="271"/>
        <v>NÃO</v>
      </c>
      <c r="B1172" s="2">
        <v>1000184670</v>
      </c>
      <c r="C1172" s="2" t="s">
        <v>147</v>
      </c>
      <c r="D1172" s="4">
        <v>1000186197</v>
      </c>
      <c r="E1172" s="4" t="s">
        <v>166</v>
      </c>
      <c r="F1172" s="2">
        <v>1000185288</v>
      </c>
      <c r="G1172" s="2" t="s">
        <v>64</v>
      </c>
      <c r="H1172" s="4">
        <v>1000189806</v>
      </c>
      <c r="I1172" s="4" t="s">
        <v>119</v>
      </c>
      <c r="J1172" s="2">
        <v>1000189270</v>
      </c>
      <c r="K1172" s="2" t="s">
        <v>34</v>
      </c>
      <c r="L1172" s="4" t="s">
        <v>18</v>
      </c>
      <c r="M1172" s="4" t="str">
        <f t="shared" si="278"/>
        <v>1000184670100018619710001898061000189270LANCHES</v>
      </c>
      <c r="N1172" s="28">
        <f>N1163*_xlfn.XLOOKUP($L1172,'Balizador da Meta'!$B$4:$B$21,'Balizador da Meta'!$C$4:$C$21)</f>
        <v>6</v>
      </c>
      <c r="O1172" s="28">
        <f>O1163*_xlfn.XLOOKUP($L1172,'Balizador da Meta'!$B$4:$B$21,'Balizador da Meta'!$C$4:$C$21)</f>
        <v>12</v>
      </c>
      <c r="P1172" s="28">
        <f>P1163*_xlfn.XLOOKUP($L1172,'Balizador da Meta'!$B$4:$B$21,'Balizador da Meta'!$C$4:$C$21)</f>
        <v>12</v>
      </c>
      <c r="Q1172" s="28">
        <f>Q1163*_xlfn.XLOOKUP($L1172,'Balizador da Meta'!$B$4:$B$21,'Balizador da Meta'!$C$4:$C$21)</f>
        <v>12</v>
      </c>
      <c r="R1172" s="28">
        <f>R1163*_xlfn.XLOOKUP($L1172,'Balizador da Meta'!$B$4:$B$21,'Balizador da Meta'!$C$4:$C$21)</f>
        <v>12</v>
      </c>
      <c r="S1172" s="28">
        <f>S1163*_xlfn.XLOOKUP($L1172,'Balizador da Meta'!$B$4:$B$21,'Balizador da Meta'!$C$4:$C$21)</f>
        <v>12</v>
      </c>
      <c r="T1172" s="28">
        <f>T1163*_xlfn.XLOOKUP($L1172,'Balizador da Meta'!$B$4:$B$21,'Balizador da Meta'!$C$4:$C$21)</f>
        <v>18</v>
      </c>
      <c r="U1172" s="28">
        <f>U1163*_xlfn.XLOOKUP($L1172,'Balizador da Meta'!$B$4:$B$21,'Balizador da Meta'!$C$4:$C$21)</f>
        <v>18</v>
      </c>
      <c r="V1172" s="28">
        <f>V1163*_xlfn.XLOOKUP($L1172,'Balizador da Meta'!$B$4:$B$21,'Balizador da Meta'!$C$4:$C$21)</f>
        <v>18</v>
      </c>
      <c r="W1172" s="28">
        <f>W1163*_xlfn.XLOOKUP($L1172,'Balizador da Meta'!$B$4:$B$21,'Balizador da Meta'!$C$4:$C$21)</f>
        <v>18</v>
      </c>
      <c r="X1172" s="28">
        <f>X1163*_xlfn.XLOOKUP($L1172,'Balizador da Meta'!$B$4:$B$21,'Balizador da Meta'!$C$4:$C$21)</f>
        <v>18</v>
      </c>
      <c r="Y1172" s="28">
        <f>Y1163*_xlfn.XLOOKUP($L1172,'Balizador da Meta'!$B$4:$B$21,'Balizador da Meta'!$C$4:$C$21)</f>
        <v>24</v>
      </c>
      <c r="Z1172" s="30">
        <f t="shared" si="281"/>
        <v>180</v>
      </c>
      <c r="AA1172" s="29"/>
      <c r="AB1172" s="31">
        <f>SUMIFS('Historico - FAT'!AK:AK,'Historico - FAT'!$K:$K,Faturamento!$L1172,'Historico - FAT'!$I:$I,Faturamento!$J1172,'Historico - FAT'!$G:$G,Faturamento!$H1172)</f>
        <v>0</v>
      </c>
      <c r="AC1172" s="31">
        <f>SUMIFS('Historico - FAT'!AL:AL,'Historico - FAT'!$K:$K,Faturamento!$L1172,'Historico - FAT'!$I:$I,Faturamento!$J1172,'Historico - FAT'!$G:$G,Faturamento!$H1172)</f>
        <v>0.70916666666666661</v>
      </c>
      <c r="AD1172" s="31">
        <f>SUMIFS('Historico - FAT'!AM:AM,'Historico - FAT'!$K:$K,Faturamento!$L1172,'Historico - FAT'!$I:$I,Faturamento!$J1172,'Historico - FAT'!$G:$G,Faturamento!$H1172)</f>
        <v>1.4183333333333332</v>
      </c>
      <c r="AE1172" s="27">
        <f>SUMIFS('Historico - FAT'!AN:AN,'Historico - FAT'!$K:$K,Faturamento!$L1172,'Historico - FAT'!$I:$I,Faturamento!$J1172,'Historico - FAT'!$G:$G,Faturamento!$H1172)</f>
        <v>0.85099999999999998</v>
      </c>
      <c r="AG1172" s="24">
        <f t="shared" si="272"/>
        <v>1</v>
      </c>
      <c r="AH1172" s="24">
        <f t="shared" si="273"/>
        <v>0.96454166666666663</v>
      </c>
      <c r="AI1172" s="24">
        <f t="shared" si="274"/>
        <v>0.92908333333333337</v>
      </c>
    </row>
    <row r="1173" spans="1:35" hidden="1" x14ac:dyDescent="0.3">
      <c r="A1173" s="2" t="str">
        <f t="shared" si="271"/>
        <v>NÃO</v>
      </c>
      <c r="B1173" s="2">
        <v>1000184670</v>
      </c>
      <c r="C1173" s="2" t="s">
        <v>147</v>
      </c>
      <c r="D1173" s="4">
        <v>1000186197</v>
      </c>
      <c r="E1173" s="4" t="s">
        <v>166</v>
      </c>
      <c r="F1173" s="2">
        <v>1000185288</v>
      </c>
      <c r="G1173" s="2" t="s">
        <v>64</v>
      </c>
      <c r="H1173" s="4">
        <v>1000189806</v>
      </c>
      <c r="I1173" s="4" t="s">
        <v>119</v>
      </c>
      <c r="J1173" s="2">
        <v>1000189270</v>
      </c>
      <c r="K1173" s="2" t="s">
        <v>34</v>
      </c>
      <c r="L1173" s="4" t="s">
        <v>29</v>
      </c>
      <c r="M1173" s="4" t="str">
        <f t="shared" si="278"/>
        <v>1000184670100018619710001898061000189270MAIS GRANEL</v>
      </c>
      <c r="N1173" s="28">
        <f>N1163*_xlfn.XLOOKUP($L1173,'Balizador da Meta'!$B$4:$B$21,'Balizador da Meta'!$C$4:$C$21)</f>
        <v>192</v>
      </c>
      <c r="O1173" s="28">
        <f>O1163*_xlfn.XLOOKUP($L1173,'Balizador da Meta'!$B$4:$B$21,'Balizador da Meta'!$C$4:$C$21)</f>
        <v>384</v>
      </c>
      <c r="P1173" s="28">
        <f>P1163*_xlfn.XLOOKUP($L1173,'Balizador da Meta'!$B$4:$B$21,'Balizador da Meta'!$C$4:$C$21)</f>
        <v>384</v>
      </c>
      <c r="Q1173" s="28">
        <f>Q1163*_xlfn.XLOOKUP($L1173,'Balizador da Meta'!$B$4:$B$21,'Balizador da Meta'!$C$4:$C$21)</f>
        <v>384</v>
      </c>
      <c r="R1173" s="28">
        <f>R1163*_xlfn.XLOOKUP($L1173,'Balizador da Meta'!$B$4:$B$21,'Balizador da Meta'!$C$4:$C$21)</f>
        <v>384</v>
      </c>
      <c r="S1173" s="28">
        <f>S1163*_xlfn.XLOOKUP($L1173,'Balizador da Meta'!$B$4:$B$21,'Balizador da Meta'!$C$4:$C$21)</f>
        <v>384</v>
      </c>
      <c r="T1173" s="28">
        <f>T1163*_xlfn.XLOOKUP($L1173,'Balizador da Meta'!$B$4:$B$21,'Balizador da Meta'!$C$4:$C$21)</f>
        <v>576</v>
      </c>
      <c r="U1173" s="28">
        <f>U1163*_xlfn.XLOOKUP($L1173,'Balizador da Meta'!$B$4:$B$21,'Balizador da Meta'!$C$4:$C$21)</f>
        <v>576</v>
      </c>
      <c r="V1173" s="28">
        <f>V1163*_xlfn.XLOOKUP($L1173,'Balizador da Meta'!$B$4:$B$21,'Balizador da Meta'!$C$4:$C$21)</f>
        <v>576</v>
      </c>
      <c r="W1173" s="28">
        <f>W1163*_xlfn.XLOOKUP($L1173,'Balizador da Meta'!$B$4:$B$21,'Balizador da Meta'!$C$4:$C$21)</f>
        <v>576</v>
      </c>
      <c r="X1173" s="28">
        <f>X1163*_xlfn.XLOOKUP($L1173,'Balizador da Meta'!$B$4:$B$21,'Balizador da Meta'!$C$4:$C$21)</f>
        <v>576</v>
      </c>
      <c r="Y1173" s="28">
        <f>Y1163*_xlfn.XLOOKUP($L1173,'Balizador da Meta'!$B$4:$B$21,'Balizador da Meta'!$C$4:$C$21)</f>
        <v>768</v>
      </c>
      <c r="Z1173" s="30">
        <f t="shared" si="281"/>
        <v>5760</v>
      </c>
      <c r="AA1173" s="29"/>
      <c r="AB1173" s="31">
        <f>SUMIFS('Historico - FAT'!AK:AK,'Historico - FAT'!$K:$K,Faturamento!$L1173,'Historico - FAT'!$I:$I,Faturamento!$J1173,'Historico - FAT'!$G:$G,Faturamento!$H1173)</f>
        <v>0</v>
      </c>
      <c r="AC1173" s="31">
        <f>SUMIFS('Historico - FAT'!AL:AL,'Historico - FAT'!$K:$K,Faturamento!$L1173,'Historico - FAT'!$I:$I,Faturamento!$J1173,'Historico - FAT'!$G:$G,Faturamento!$H1173)</f>
        <v>239.31666666666669</v>
      </c>
      <c r="AD1173" s="31">
        <f>SUMIFS('Historico - FAT'!AM:AM,'Historico - FAT'!$K:$K,Faturamento!$L1173,'Historico - FAT'!$I:$I,Faturamento!$J1173,'Historico - FAT'!$G:$G,Faturamento!$H1173)</f>
        <v>478.63333333333338</v>
      </c>
      <c r="AE1173" s="27">
        <f>SUMIFS('Historico - FAT'!AN:AN,'Historico - FAT'!$K:$K,Faturamento!$L1173,'Historico - FAT'!$I:$I,Faturamento!$J1173,'Historico - FAT'!$G:$G,Faturamento!$H1173)</f>
        <v>287.18</v>
      </c>
      <c r="AG1173" s="24">
        <f t="shared" si="272"/>
        <v>1</v>
      </c>
      <c r="AH1173" s="24">
        <f t="shared" si="273"/>
        <v>0.62606770833333325</v>
      </c>
      <c r="AI1173" s="24">
        <f t="shared" si="274"/>
        <v>0.25213541666666661</v>
      </c>
    </row>
    <row r="1174" spans="1:35" hidden="1" x14ac:dyDescent="0.3">
      <c r="A1174" s="2" t="str">
        <f t="shared" si="271"/>
        <v>NÃO</v>
      </c>
      <c r="B1174" s="2">
        <v>1000184670</v>
      </c>
      <c r="C1174" s="2" t="s">
        <v>147</v>
      </c>
      <c r="D1174" s="4">
        <v>1000186197</v>
      </c>
      <c r="E1174" s="4" t="s">
        <v>166</v>
      </c>
      <c r="F1174" s="2">
        <v>1000185288</v>
      </c>
      <c r="G1174" s="2" t="s">
        <v>64</v>
      </c>
      <c r="H1174" s="4">
        <v>1000189806</v>
      </c>
      <c r="I1174" s="4" t="s">
        <v>119</v>
      </c>
      <c r="J1174" s="2">
        <v>1000189270</v>
      </c>
      <c r="K1174" s="2" t="s">
        <v>34</v>
      </c>
      <c r="L1174" s="4" t="s">
        <v>21</v>
      </c>
      <c r="M1174" s="4" t="str">
        <f t="shared" si="278"/>
        <v>1000184670100018619710001898061000189270NATURATTA</v>
      </c>
      <c r="N1174" s="28">
        <f>N1163*_xlfn.XLOOKUP($L1174,'Balizador da Meta'!$B$4:$B$21,'Balizador da Meta'!$C$4:$C$21)</f>
        <v>30</v>
      </c>
      <c r="O1174" s="28">
        <f>O1163*_xlfn.XLOOKUP($L1174,'Balizador da Meta'!$B$4:$B$21,'Balizador da Meta'!$C$4:$C$21)</f>
        <v>60</v>
      </c>
      <c r="P1174" s="28">
        <f>P1163*_xlfn.XLOOKUP($L1174,'Balizador da Meta'!$B$4:$B$21,'Balizador da Meta'!$C$4:$C$21)</f>
        <v>60</v>
      </c>
      <c r="Q1174" s="28">
        <f>Q1163*_xlfn.XLOOKUP($L1174,'Balizador da Meta'!$B$4:$B$21,'Balizador da Meta'!$C$4:$C$21)</f>
        <v>60</v>
      </c>
      <c r="R1174" s="28">
        <f>R1163*_xlfn.XLOOKUP($L1174,'Balizador da Meta'!$B$4:$B$21,'Balizador da Meta'!$C$4:$C$21)</f>
        <v>60</v>
      </c>
      <c r="S1174" s="28">
        <f>S1163*_xlfn.XLOOKUP($L1174,'Balizador da Meta'!$B$4:$B$21,'Balizador da Meta'!$C$4:$C$21)</f>
        <v>60</v>
      </c>
      <c r="T1174" s="28">
        <f>T1163*_xlfn.XLOOKUP($L1174,'Balizador da Meta'!$B$4:$B$21,'Balizador da Meta'!$C$4:$C$21)</f>
        <v>90</v>
      </c>
      <c r="U1174" s="28">
        <f>U1163*_xlfn.XLOOKUP($L1174,'Balizador da Meta'!$B$4:$B$21,'Balizador da Meta'!$C$4:$C$21)</f>
        <v>90</v>
      </c>
      <c r="V1174" s="28">
        <f>V1163*_xlfn.XLOOKUP($L1174,'Balizador da Meta'!$B$4:$B$21,'Balizador da Meta'!$C$4:$C$21)</f>
        <v>90</v>
      </c>
      <c r="W1174" s="28">
        <f>W1163*_xlfn.XLOOKUP($L1174,'Balizador da Meta'!$B$4:$B$21,'Balizador da Meta'!$C$4:$C$21)</f>
        <v>90</v>
      </c>
      <c r="X1174" s="28">
        <f>X1163*_xlfn.XLOOKUP($L1174,'Balizador da Meta'!$B$4:$B$21,'Balizador da Meta'!$C$4:$C$21)</f>
        <v>90</v>
      </c>
      <c r="Y1174" s="28">
        <f>Y1163*_xlfn.XLOOKUP($L1174,'Balizador da Meta'!$B$4:$B$21,'Balizador da Meta'!$C$4:$C$21)</f>
        <v>120</v>
      </c>
      <c r="Z1174" s="30">
        <f t="shared" si="281"/>
        <v>900</v>
      </c>
      <c r="AA1174" s="29"/>
      <c r="AB1174" s="31">
        <f>SUMIFS('Historico - FAT'!AK:AK,'Historico - FAT'!$K:$K,Faturamento!$L1174,'Historico - FAT'!$I:$I,Faturamento!$J1174,'Historico - FAT'!$G:$G,Faturamento!$H1174)</f>
        <v>0</v>
      </c>
      <c r="AC1174" s="31">
        <f>SUMIFS('Historico - FAT'!AL:AL,'Historico - FAT'!$K:$K,Faturamento!$L1174,'Historico - FAT'!$I:$I,Faturamento!$J1174,'Historico - FAT'!$G:$G,Faturamento!$H1174)</f>
        <v>10.758333333333333</v>
      </c>
      <c r="AD1174" s="31">
        <f>SUMIFS('Historico - FAT'!AM:AM,'Historico - FAT'!$K:$K,Faturamento!$L1174,'Historico - FAT'!$I:$I,Faturamento!$J1174,'Historico - FAT'!$G:$G,Faturamento!$H1174)</f>
        <v>21.516666666666666</v>
      </c>
      <c r="AE1174" s="27">
        <f>SUMIFS('Historico - FAT'!AN:AN,'Historico - FAT'!$K:$K,Faturamento!$L1174,'Historico - FAT'!$I:$I,Faturamento!$J1174,'Historico - FAT'!$G:$G,Faturamento!$H1174)</f>
        <v>12.91</v>
      </c>
      <c r="AG1174" s="24">
        <f t="shared" si="272"/>
        <v>1</v>
      </c>
      <c r="AH1174" s="24">
        <f t="shared" si="273"/>
        <v>0.89241666666666675</v>
      </c>
      <c r="AI1174" s="24">
        <f t="shared" si="274"/>
        <v>0.78483333333333338</v>
      </c>
    </row>
    <row r="1175" spans="1:35" hidden="1" x14ac:dyDescent="0.3">
      <c r="A1175" s="2" t="str">
        <f t="shared" si="271"/>
        <v>NÃO</v>
      </c>
      <c r="B1175" s="2">
        <v>1000184670</v>
      </c>
      <c r="C1175" s="2" t="s">
        <v>147</v>
      </c>
      <c r="D1175" s="4">
        <v>1000186197</v>
      </c>
      <c r="E1175" s="4" t="s">
        <v>166</v>
      </c>
      <c r="F1175" s="2">
        <v>1000185288</v>
      </c>
      <c r="G1175" s="2" t="s">
        <v>64</v>
      </c>
      <c r="H1175" s="4">
        <v>1000189806</v>
      </c>
      <c r="I1175" s="4" t="s">
        <v>119</v>
      </c>
      <c r="J1175" s="2">
        <v>1000189270</v>
      </c>
      <c r="K1175" s="2" t="s">
        <v>34</v>
      </c>
      <c r="L1175" s="4" t="s">
        <v>20</v>
      </c>
      <c r="M1175" s="4" t="str">
        <f t="shared" si="278"/>
        <v>1000184670100018619710001898061000189270REEMBALADOS</v>
      </c>
      <c r="N1175" s="28">
        <f>N1163*_xlfn.XLOOKUP($L1175,'Balizador da Meta'!$B$4:$B$21,'Balizador da Meta'!$C$4:$C$21)</f>
        <v>24</v>
      </c>
      <c r="O1175" s="28">
        <f>O1163*_xlfn.XLOOKUP($L1175,'Balizador da Meta'!$B$4:$B$21,'Balizador da Meta'!$C$4:$C$21)</f>
        <v>48</v>
      </c>
      <c r="P1175" s="28">
        <f>P1163*_xlfn.XLOOKUP($L1175,'Balizador da Meta'!$B$4:$B$21,'Balizador da Meta'!$C$4:$C$21)</f>
        <v>48</v>
      </c>
      <c r="Q1175" s="28">
        <f>Q1163*_xlfn.XLOOKUP($L1175,'Balizador da Meta'!$B$4:$B$21,'Balizador da Meta'!$C$4:$C$21)</f>
        <v>48</v>
      </c>
      <c r="R1175" s="28">
        <f>R1163*_xlfn.XLOOKUP($L1175,'Balizador da Meta'!$B$4:$B$21,'Balizador da Meta'!$C$4:$C$21)</f>
        <v>48</v>
      </c>
      <c r="S1175" s="28">
        <f>S1163*_xlfn.XLOOKUP($L1175,'Balizador da Meta'!$B$4:$B$21,'Balizador da Meta'!$C$4:$C$21)</f>
        <v>48</v>
      </c>
      <c r="T1175" s="28">
        <f>T1163*_xlfn.XLOOKUP($L1175,'Balizador da Meta'!$B$4:$B$21,'Balizador da Meta'!$C$4:$C$21)</f>
        <v>72</v>
      </c>
      <c r="U1175" s="28">
        <f>U1163*_xlfn.XLOOKUP($L1175,'Balizador da Meta'!$B$4:$B$21,'Balizador da Meta'!$C$4:$C$21)</f>
        <v>72</v>
      </c>
      <c r="V1175" s="28">
        <f>V1163*_xlfn.XLOOKUP($L1175,'Balizador da Meta'!$B$4:$B$21,'Balizador da Meta'!$C$4:$C$21)</f>
        <v>72</v>
      </c>
      <c r="W1175" s="28">
        <f>W1163*_xlfn.XLOOKUP($L1175,'Balizador da Meta'!$B$4:$B$21,'Balizador da Meta'!$C$4:$C$21)</f>
        <v>72</v>
      </c>
      <c r="X1175" s="28">
        <f>X1163*_xlfn.XLOOKUP($L1175,'Balizador da Meta'!$B$4:$B$21,'Balizador da Meta'!$C$4:$C$21)</f>
        <v>72</v>
      </c>
      <c r="Y1175" s="28">
        <f>Y1163*_xlfn.XLOOKUP($L1175,'Balizador da Meta'!$B$4:$B$21,'Balizador da Meta'!$C$4:$C$21)</f>
        <v>96</v>
      </c>
      <c r="Z1175" s="30">
        <f t="shared" si="281"/>
        <v>720</v>
      </c>
      <c r="AA1175" s="29"/>
      <c r="AB1175" s="31">
        <f>SUMIFS('Historico - FAT'!AK:AK,'Historico - FAT'!$K:$K,Faturamento!$L1175,'Historico - FAT'!$I:$I,Faturamento!$J1175,'Historico - FAT'!$G:$G,Faturamento!$H1175)</f>
        <v>24.02333333333333</v>
      </c>
      <c r="AC1175" s="31">
        <f>SUMIFS('Historico - FAT'!AL:AL,'Historico - FAT'!$K:$K,Faturamento!$L1175,'Historico - FAT'!$I:$I,Faturamento!$J1175,'Historico - FAT'!$G:$G,Faturamento!$H1175)</f>
        <v>35.044999999999995</v>
      </c>
      <c r="AD1175" s="31">
        <f>SUMIFS('Historico - FAT'!AM:AM,'Historico - FAT'!$K:$K,Faturamento!$L1175,'Historico - FAT'!$I:$I,Faturamento!$J1175,'Historico - FAT'!$G:$G,Faturamento!$H1175)</f>
        <v>22.043333333333333</v>
      </c>
      <c r="AE1175" s="27">
        <f>SUMIFS('Historico - FAT'!AN:AN,'Historico - FAT'!$K:$K,Faturamento!$L1175,'Historico - FAT'!$I:$I,Faturamento!$J1175,'Historico - FAT'!$G:$G,Faturamento!$H1175)</f>
        <v>13.225999999999999</v>
      </c>
      <c r="AG1175" s="24">
        <f t="shared" si="272"/>
        <v>0.69970833333333338</v>
      </c>
      <c r="AH1175" s="24">
        <f t="shared" si="273"/>
        <v>0.56193750000000009</v>
      </c>
      <c r="AI1175" s="24">
        <f t="shared" si="274"/>
        <v>0.72445833333333332</v>
      </c>
    </row>
    <row r="1176" spans="1:35" hidden="1" x14ac:dyDescent="0.3">
      <c r="A1176" s="2" t="str">
        <f t="shared" si="271"/>
        <v>NÃO</v>
      </c>
      <c r="B1176" s="2">
        <v>1000184670</v>
      </c>
      <c r="C1176" s="2" t="s">
        <v>147</v>
      </c>
      <c r="D1176" s="4">
        <v>1000186197</v>
      </c>
      <c r="E1176" s="4" t="s">
        <v>166</v>
      </c>
      <c r="F1176" s="2">
        <v>1000185288</v>
      </c>
      <c r="G1176" s="2" t="s">
        <v>64</v>
      </c>
      <c r="H1176" s="4">
        <v>1000189806</v>
      </c>
      <c r="I1176" s="4" t="s">
        <v>119</v>
      </c>
      <c r="J1176" s="2">
        <v>1000189270</v>
      </c>
      <c r="K1176" s="2" t="s">
        <v>34</v>
      </c>
      <c r="L1176" s="4" t="s">
        <v>22</v>
      </c>
      <c r="M1176" s="4" t="str">
        <f t="shared" si="278"/>
        <v>1000184670100018619710001898061000189270S GLUTEN</v>
      </c>
      <c r="N1176" s="28">
        <f>N1163*_xlfn.XLOOKUP($L1176,'Balizador da Meta'!$B$4:$B$21,'Balizador da Meta'!$C$4:$C$21)</f>
        <v>24</v>
      </c>
      <c r="O1176" s="28">
        <f>O1163*_xlfn.XLOOKUP($L1176,'Balizador da Meta'!$B$4:$B$21,'Balizador da Meta'!$C$4:$C$21)</f>
        <v>48</v>
      </c>
      <c r="P1176" s="28">
        <f>P1163*_xlfn.XLOOKUP($L1176,'Balizador da Meta'!$B$4:$B$21,'Balizador da Meta'!$C$4:$C$21)</f>
        <v>48</v>
      </c>
      <c r="Q1176" s="28">
        <f>Q1163*_xlfn.XLOOKUP($L1176,'Balizador da Meta'!$B$4:$B$21,'Balizador da Meta'!$C$4:$C$21)</f>
        <v>48</v>
      </c>
      <c r="R1176" s="28">
        <f>R1163*_xlfn.XLOOKUP($L1176,'Balizador da Meta'!$B$4:$B$21,'Balizador da Meta'!$C$4:$C$21)</f>
        <v>48</v>
      </c>
      <c r="S1176" s="28">
        <f>S1163*_xlfn.XLOOKUP($L1176,'Balizador da Meta'!$B$4:$B$21,'Balizador da Meta'!$C$4:$C$21)</f>
        <v>48</v>
      </c>
      <c r="T1176" s="28">
        <f>T1163*_xlfn.XLOOKUP($L1176,'Balizador da Meta'!$B$4:$B$21,'Balizador da Meta'!$C$4:$C$21)</f>
        <v>72</v>
      </c>
      <c r="U1176" s="28">
        <f>U1163*_xlfn.XLOOKUP($L1176,'Balizador da Meta'!$B$4:$B$21,'Balizador da Meta'!$C$4:$C$21)</f>
        <v>72</v>
      </c>
      <c r="V1176" s="28">
        <f>V1163*_xlfn.XLOOKUP($L1176,'Balizador da Meta'!$B$4:$B$21,'Balizador da Meta'!$C$4:$C$21)</f>
        <v>72</v>
      </c>
      <c r="W1176" s="28">
        <f>W1163*_xlfn.XLOOKUP($L1176,'Balizador da Meta'!$B$4:$B$21,'Balizador da Meta'!$C$4:$C$21)</f>
        <v>72</v>
      </c>
      <c r="X1176" s="28">
        <f>X1163*_xlfn.XLOOKUP($L1176,'Balizador da Meta'!$B$4:$B$21,'Balizador da Meta'!$C$4:$C$21)</f>
        <v>72</v>
      </c>
      <c r="Y1176" s="28">
        <f>Y1163*_xlfn.XLOOKUP($L1176,'Balizador da Meta'!$B$4:$B$21,'Balizador da Meta'!$C$4:$C$21)</f>
        <v>96</v>
      </c>
      <c r="Z1176" s="30">
        <f t="shared" si="281"/>
        <v>720</v>
      </c>
      <c r="AA1176" s="29"/>
      <c r="AB1176" s="31">
        <f>SUMIFS('Historico - FAT'!AK:AK,'Historico - FAT'!$K:$K,Faturamento!$L1176,'Historico - FAT'!$I:$I,Faturamento!$J1176,'Historico - FAT'!$G:$G,Faturamento!$H1176)</f>
        <v>8.4533333333333331</v>
      </c>
      <c r="AC1176" s="31">
        <f>SUMIFS('Historico - FAT'!AL:AL,'Historico - FAT'!$K:$K,Faturamento!$L1176,'Historico - FAT'!$I:$I,Faturamento!$J1176,'Historico - FAT'!$G:$G,Faturamento!$H1176)</f>
        <v>29.329166666666666</v>
      </c>
      <c r="AD1176" s="31">
        <f>SUMIFS('Historico - FAT'!AM:AM,'Historico - FAT'!$K:$K,Faturamento!$L1176,'Historico - FAT'!$I:$I,Faturamento!$J1176,'Historico - FAT'!$G:$G,Faturamento!$H1176)</f>
        <v>41.751666666666672</v>
      </c>
      <c r="AE1176" s="27">
        <f>SUMIFS('Historico - FAT'!AN:AN,'Historico - FAT'!$K:$K,Faturamento!$L1176,'Historico - FAT'!$I:$I,Faturamento!$J1176,'Historico - FAT'!$G:$G,Faturamento!$H1176)</f>
        <v>25.051000000000002</v>
      </c>
      <c r="AG1176" s="24">
        <f t="shared" si="272"/>
        <v>0.89433333333333331</v>
      </c>
      <c r="AH1176" s="24">
        <f t="shared" si="273"/>
        <v>0.6333854166666667</v>
      </c>
      <c r="AI1176" s="24">
        <f t="shared" si="274"/>
        <v>0.47810416666666661</v>
      </c>
    </row>
    <row r="1177" spans="1:35" hidden="1" x14ac:dyDescent="0.3">
      <c r="A1177" s="2" t="str">
        <f t="shared" si="271"/>
        <v>NÃO</v>
      </c>
      <c r="B1177" s="2">
        <v>1000184670</v>
      </c>
      <c r="C1177" s="2" t="s">
        <v>147</v>
      </c>
      <c r="D1177" s="4">
        <v>1000186197</v>
      </c>
      <c r="E1177" s="4" t="s">
        <v>166</v>
      </c>
      <c r="F1177" s="2">
        <v>1000185288</v>
      </c>
      <c r="G1177" s="2" t="s">
        <v>64</v>
      </c>
      <c r="H1177" s="4">
        <v>1000189806</v>
      </c>
      <c r="I1177" s="4" t="s">
        <v>119</v>
      </c>
      <c r="J1177" s="2">
        <v>1000189270</v>
      </c>
      <c r="K1177" s="2" t="s">
        <v>34</v>
      </c>
      <c r="L1177" s="4" t="s">
        <v>23</v>
      </c>
      <c r="M1177" s="4" t="str">
        <f t="shared" si="278"/>
        <v>1000184670100018619710001898061000189270SABORES DO CAMPO</v>
      </c>
      <c r="N1177" s="28">
        <f>N1163*_xlfn.XLOOKUP($L1177,'Balizador da Meta'!$B$4:$B$21,'Balizador da Meta'!$C$4:$C$21)</f>
        <v>0</v>
      </c>
      <c r="O1177" s="28">
        <f>O1163*_xlfn.XLOOKUP($L1177,'Balizador da Meta'!$B$4:$B$21,'Balizador da Meta'!$C$4:$C$21)</f>
        <v>0</v>
      </c>
      <c r="P1177" s="28">
        <f>P1163*_xlfn.XLOOKUP($L1177,'Balizador da Meta'!$B$4:$B$21,'Balizador da Meta'!$C$4:$C$21)</f>
        <v>0</v>
      </c>
      <c r="Q1177" s="28">
        <f>Q1163*_xlfn.XLOOKUP($L1177,'Balizador da Meta'!$B$4:$B$21,'Balizador da Meta'!$C$4:$C$21)</f>
        <v>0</v>
      </c>
      <c r="R1177" s="28">
        <f>R1163*_xlfn.XLOOKUP($L1177,'Balizador da Meta'!$B$4:$B$21,'Balizador da Meta'!$C$4:$C$21)</f>
        <v>0</v>
      </c>
      <c r="S1177" s="28">
        <f>S1163*_xlfn.XLOOKUP($L1177,'Balizador da Meta'!$B$4:$B$21,'Balizador da Meta'!$C$4:$C$21)</f>
        <v>0</v>
      </c>
      <c r="T1177" s="28">
        <f>T1163*_xlfn.XLOOKUP($L1177,'Balizador da Meta'!$B$4:$B$21,'Balizador da Meta'!$C$4:$C$21)</f>
        <v>0</v>
      </c>
      <c r="U1177" s="28">
        <f>U1163*_xlfn.XLOOKUP($L1177,'Balizador da Meta'!$B$4:$B$21,'Balizador da Meta'!$C$4:$C$21)</f>
        <v>0</v>
      </c>
      <c r="V1177" s="28">
        <f>V1163*_xlfn.XLOOKUP($L1177,'Balizador da Meta'!$B$4:$B$21,'Balizador da Meta'!$C$4:$C$21)</f>
        <v>0</v>
      </c>
      <c r="W1177" s="28">
        <f>W1163*_xlfn.XLOOKUP($L1177,'Balizador da Meta'!$B$4:$B$21,'Balizador da Meta'!$C$4:$C$21)</f>
        <v>0</v>
      </c>
      <c r="X1177" s="28">
        <f>X1163*_xlfn.XLOOKUP($L1177,'Balizador da Meta'!$B$4:$B$21,'Balizador da Meta'!$C$4:$C$21)</f>
        <v>0</v>
      </c>
      <c r="Y1177" s="28">
        <f>Y1163*_xlfn.XLOOKUP($L1177,'Balizador da Meta'!$B$4:$B$21,'Balizador da Meta'!$C$4:$C$21)</f>
        <v>0</v>
      </c>
      <c r="Z1177" s="30">
        <f t="shared" si="281"/>
        <v>0</v>
      </c>
      <c r="AA1177" s="29"/>
      <c r="AB1177" s="31">
        <f>SUMIFS('Historico - FAT'!AK:AK,'Historico - FAT'!$K:$K,Faturamento!$L1177,'Historico - FAT'!$I:$I,Faturamento!$J1177,'Historico - FAT'!$G:$G,Faturamento!$H1177)</f>
        <v>0</v>
      </c>
      <c r="AC1177" s="31">
        <f>SUMIFS('Historico - FAT'!AL:AL,'Historico - FAT'!$K:$K,Faturamento!$L1177,'Historico - FAT'!$I:$I,Faturamento!$J1177,'Historico - FAT'!$G:$G,Faturamento!$H1177)</f>
        <v>3.8774999999999999</v>
      </c>
      <c r="AD1177" s="31">
        <f>SUMIFS('Historico - FAT'!AM:AM,'Historico - FAT'!$K:$K,Faturamento!$L1177,'Historico - FAT'!$I:$I,Faturamento!$J1177,'Historico - FAT'!$G:$G,Faturamento!$H1177)</f>
        <v>7.7549999999999999</v>
      </c>
      <c r="AE1177" s="27">
        <f>SUMIFS('Historico - FAT'!AN:AN,'Historico - FAT'!$K:$K,Faturamento!$L1177,'Historico - FAT'!$I:$I,Faturamento!$J1177,'Historico - FAT'!$G:$G,Faturamento!$H1177)</f>
        <v>4.6530000000000005</v>
      </c>
      <c r="AG1177" s="24" t="str">
        <f t="shared" si="272"/>
        <v/>
      </c>
      <c r="AH1177" s="24" t="str">
        <f t="shared" si="273"/>
        <v/>
      </c>
      <c r="AI1177" s="24" t="str">
        <f t="shared" si="274"/>
        <v/>
      </c>
    </row>
    <row r="1178" spans="1:35" hidden="1" x14ac:dyDescent="0.3">
      <c r="A1178" s="2" t="str">
        <f t="shared" si="271"/>
        <v>NÃO</v>
      </c>
      <c r="B1178" s="2">
        <v>1000184670</v>
      </c>
      <c r="C1178" s="2" t="s">
        <v>147</v>
      </c>
      <c r="D1178" s="4">
        <v>1000186197</v>
      </c>
      <c r="E1178" s="4" t="s">
        <v>166</v>
      </c>
      <c r="F1178" s="2">
        <v>1000185288</v>
      </c>
      <c r="G1178" s="2" t="s">
        <v>64</v>
      </c>
      <c r="H1178" s="4">
        <v>1000189806</v>
      </c>
      <c r="I1178" s="4" t="s">
        <v>119</v>
      </c>
      <c r="J1178" s="2">
        <v>1000189270</v>
      </c>
      <c r="K1178" s="2" t="s">
        <v>34</v>
      </c>
      <c r="L1178" s="4" t="s">
        <v>28</v>
      </c>
      <c r="M1178" s="4" t="str">
        <f t="shared" si="278"/>
        <v>1000184670100018619710001898061000189270SAL</v>
      </c>
      <c r="N1178" s="28">
        <f>N1163*_xlfn.XLOOKUP($L1178,'Balizador da Meta'!$B$4:$B$21,'Balizador da Meta'!$C$4:$C$21)</f>
        <v>12</v>
      </c>
      <c r="O1178" s="28">
        <f>O1163*_xlfn.XLOOKUP($L1178,'Balizador da Meta'!$B$4:$B$21,'Balizador da Meta'!$C$4:$C$21)</f>
        <v>24</v>
      </c>
      <c r="P1178" s="28">
        <f>P1163*_xlfn.XLOOKUP($L1178,'Balizador da Meta'!$B$4:$B$21,'Balizador da Meta'!$C$4:$C$21)</f>
        <v>24</v>
      </c>
      <c r="Q1178" s="28">
        <f>Q1163*_xlfn.XLOOKUP($L1178,'Balizador da Meta'!$B$4:$B$21,'Balizador da Meta'!$C$4:$C$21)</f>
        <v>24</v>
      </c>
      <c r="R1178" s="28">
        <f>R1163*_xlfn.XLOOKUP($L1178,'Balizador da Meta'!$B$4:$B$21,'Balizador da Meta'!$C$4:$C$21)</f>
        <v>24</v>
      </c>
      <c r="S1178" s="28">
        <f>S1163*_xlfn.XLOOKUP($L1178,'Balizador da Meta'!$B$4:$B$21,'Balizador da Meta'!$C$4:$C$21)</f>
        <v>24</v>
      </c>
      <c r="T1178" s="28">
        <f>T1163*_xlfn.XLOOKUP($L1178,'Balizador da Meta'!$B$4:$B$21,'Balizador da Meta'!$C$4:$C$21)</f>
        <v>36</v>
      </c>
      <c r="U1178" s="28">
        <f>U1163*_xlfn.XLOOKUP($L1178,'Balizador da Meta'!$B$4:$B$21,'Balizador da Meta'!$C$4:$C$21)</f>
        <v>36</v>
      </c>
      <c r="V1178" s="28">
        <f>V1163*_xlfn.XLOOKUP($L1178,'Balizador da Meta'!$B$4:$B$21,'Balizador da Meta'!$C$4:$C$21)</f>
        <v>36</v>
      </c>
      <c r="W1178" s="28">
        <f>W1163*_xlfn.XLOOKUP($L1178,'Balizador da Meta'!$B$4:$B$21,'Balizador da Meta'!$C$4:$C$21)</f>
        <v>36</v>
      </c>
      <c r="X1178" s="28">
        <f>X1163*_xlfn.XLOOKUP($L1178,'Balizador da Meta'!$B$4:$B$21,'Balizador da Meta'!$C$4:$C$21)</f>
        <v>36</v>
      </c>
      <c r="Y1178" s="28">
        <f>Y1163*_xlfn.XLOOKUP($L1178,'Balizador da Meta'!$B$4:$B$21,'Balizador da Meta'!$C$4:$C$21)</f>
        <v>48</v>
      </c>
      <c r="Z1178" s="30">
        <f t="shared" si="281"/>
        <v>360</v>
      </c>
      <c r="AA1178" s="29"/>
      <c r="AB1178" s="31">
        <f>SUMIFS('Historico - FAT'!AK:AK,'Historico - FAT'!$K:$K,Faturamento!$L1178,'Historico - FAT'!$I:$I,Faturamento!$J1178,'Historico - FAT'!$G:$G,Faturamento!$H1178)</f>
        <v>0</v>
      </c>
      <c r="AC1178" s="31">
        <f>SUMIFS('Historico - FAT'!AL:AL,'Historico - FAT'!$K:$K,Faturamento!$L1178,'Historico - FAT'!$I:$I,Faturamento!$J1178,'Historico - FAT'!$G:$G,Faturamento!$H1178)</f>
        <v>2.04</v>
      </c>
      <c r="AD1178" s="31">
        <f>SUMIFS('Historico - FAT'!AM:AM,'Historico - FAT'!$K:$K,Faturamento!$L1178,'Historico - FAT'!$I:$I,Faturamento!$J1178,'Historico - FAT'!$G:$G,Faturamento!$H1178)</f>
        <v>4.08</v>
      </c>
      <c r="AE1178" s="27">
        <f>SUMIFS('Historico - FAT'!AN:AN,'Historico - FAT'!$K:$K,Faturamento!$L1178,'Historico - FAT'!$I:$I,Faturamento!$J1178,'Historico - FAT'!$G:$G,Faturamento!$H1178)</f>
        <v>2.448</v>
      </c>
      <c r="AG1178" s="24">
        <f t="shared" si="272"/>
        <v>1</v>
      </c>
      <c r="AH1178" s="24">
        <f t="shared" si="273"/>
        <v>0.94900000000000007</v>
      </c>
      <c r="AI1178" s="24">
        <f t="shared" si="274"/>
        <v>0.89800000000000002</v>
      </c>
    </row>
    <row r="1179" spans="1:35" hidden="1" x14ac:dyDescent="0.3">
      <c r="A1179" s="2" t="str">
        <f t="shared" si="271"/>
        <v>NÃO</v>
      </c>
      <c r="B1179" s="2">
        <v>1000184670</v>
      </c>
      <c r="C1179" s="2" t="s">
        <v>147</v>
      </c>
      <c r="D1179" s="4">
        <v>1000186197</v>
      </c>
      <c r="E1179" s="4" t="s">
        <v>166</v>
      </c>
      <c r="F1179" s="2">
        <v>1000185288</v>
      </c>
      <c r="G1179" s="2" t="s">
        <v>64</v>
      </c>
      <c r="H1179" s="4">
        <v>1000189806</v>
      </c>
      <c r="I1179" s="4" t="s">
        <v>119</v>
      </c>
      <c r="J1179" s="2">
        <v>1000189270</v>
      </c>
      <c r="K1179" s="2" t="s">
        <v>34</v>
      </c>
      <c r="L1179" s="4" t="s">
        <v>26</v>
      </c>
      <c r="M1179" s="4" t="str">
        <f t="shared" si="278"/>
        <v>1000184670100018619710001898061000189270SOULPRO</v>
      </c>
      <c r="N1179" s="28">
        <f>N1163*_xlfn.XLOOKUP($L1179,'Balizador da Meta'!$B$4:$B$21,'Balizador da Meta'!$C$4:$C$21)</f>
        <v>36</v>
      </c>
      <c r="O1179" s="28">
        <f>O1163*_xlfn.XLOOKUP($L1179,'Balizador da Meta'!$B$4:$B$21,'Balizador da Meta'!$C$4:$C$21)</f>
        <v>72</v>
      </c>
      <c r="P1179" s="28">
        <f>P1163*_xlfn.XLOOKUP($L1179,'Balizador da Meta'!$B$4:$B$21,'Balizador da Meta'!$C$4:$C$21)</f>
        <v>72</v>
      </c>
      <c r="Q1179" s="28">
        <f>Q1163*_xlfn.XLOOKUP($L1179,'Balizador da Meta'!$B$4:$B$21,'Balizador da Meta'!$C$4:$C$21)</f>
        <v>72</v>
      </c>
      <c r="R1179" s="28">
        <f>R1163*_xlfn.XLOOKUP($L1179,'Balizador da Meta'!$B$4:$B$21,'Balizador da Meta'!$C$4:$C$21)</f>
        <v>72</v>
      </c>
      <c r="S1179" s="28">
        <f>S1163*_xlfn.XLOOKUP($L1179,'Balizador da Meta'!$B$4:$B$21,'Balizador da Meta'!$C$4:$C$21)</f>
        <v>72</v>
      </c>
      <c r="T1179" s="28">
        <f>T1163*_xlfn.XLOOKUP($L1179,'Balizador da Meta'!$B$4:$B$21,'Balizador da Meta'!$C$4:$C$21)</f>
        <v>108</v>
      </c>
      <c r="U1179" s="28">
        <f>U1163*_xlfn.XLOOKUP($L1179,'Balizador da Meta'!$B$4:$B$21,'Balizador da Meta'!$C$4:$C$21)</f>
        <v>108</v>
      </c>
      <c r="V1179" s="28">
        <f>V1163*_xlfn.XLOOKUP($L1179,'Balizador da Meta'!$B$4:$B$21,'Balizador da Meta'!$C$4:$C$21)</f>
        <v>108</v>
      </c>
      <c r="W1179" s="28">
        <f>W1163*_xlfn.XLOOKUP($L1179,'Balizador da Meta'!$B$4:$B$21,'Balizador da Meta'!$C$4:$C$21)</f>
        <v>108</v>
      </c>
      <c r="X1179" s="28">
        <f>X1163*_xlfn.XLOOKUP($L1179,'Balizador da Meta'!$B$4:$B$21,'Balizador da Meta'!$C$4:$C$21)</f>
        <v>108</v>
      </c>
      <c r="Y1179" s="28">
        <f>Y1163*_xlfn.XLOOKUP($L1179,'Balizador da Meta'!$B$4:$B$21,'Balizador da Meta'!$C$4:$C$21)</f>
        <v>144</v>
      </c>
      <c r="Z1179" s="30">
        <f t="shared" si="281"/>
        <v>1080</v>
      </c>
      <c r="AA1179" s="29"/>
      <c r="AB1179" s="31">
        <f>SUMIFS('Historico - FAT'!AK:AK,'Historico - FAT'!$K:$K,Faturamento!$L1179,'Historico - FAT'!$I:$I,Faturamento!$J1179,'Historico - FAT'!$G:$G,Faturamento!$H1179)</f>
        <v>0</v>
      </c>
      <c r="AC1179" s="31">
        <f>SUMIFS('Historico - FAT'!AL:AL,'Historico - FAT'!$K:$K,Faturamento!$L1179,'Historico - FAT'!$I:$I,Faturamento!$J1179,'Historico - FAT'!$G:$G,Faturamento!$H1179)</f>
        <v>41.85</v>
      </c>
      <c r="AD1179" s="31">
        <f>SUMIFS('Historico - FAT'!AM:AM,'Historico - FAT'!$K:$K,Faturamento!$L1179,'Historico - FAT'!$I:$I,Faturamento!$J1179,'Historico - FAT'!$G:$G,Faturamento!$H1179)</f>
        <v>83.7</v>
      </c>
      <c r="AE1179" s="27">
        <f>SUMIFS('Historico - FAT'!AN:AN,'Historico - FAT'!$K:$K,Faturamento!$L1179,'Historico - FAT'!$I:$I,Faturamento!$J1179,'Historico - FAT'!$G:$G,Faturamento!$H1179)</f>
        <v>50.22</v>
      </c>
      <c r="AG1179" s="24">
        <f t="shared" si="272"/>
        <v>1</v>
      </c>
      <c r="AH1179" s="24">
        <f t="shared" si="273"/>
        <v>0.65125</v>
      </c>
      <c r="AI1179" s="24">
        <f t="shared" si="274"/>
        <v>0.30249999999999999</v>
      </c>
    </row>
    <row r="1180" spans="1:35" hidden="1" x14ac:dyDescent="0.3">
      <c r="A1180" s="2" t="str">
        <f t="shared" si="271"/>
        <v>NÃO</v>
      </c>
      <c r="B1180" s="2">
        <v>1000184670</v>
      </c>
      <c r="C1180" s="2" t="s">
        <v>147</v>
      </c>
      <c r="D1180" s="4">
        <v>1000186197</v>
      </c>
      <c r="E1180" s="4" t="s">
        <v>166</v>
      </c>
      <c r="F1180" s="2">
        <v>1000185288</v>
      </c>
      <c r="G1180" s="2" t="s">
        <v>64</v>
      </c>
      <c r="H1180" s="4">
        <v>1000189806</v>
      </c>
      <c r="I1180" s="4" t="s">
        <v>119</v>
      </c>
      <c r="J1180" s="2">
        <v>1000189270</v>
      </c>
      <c r="K1180" s="2" t="s">
        <v>34</v>
      </c>
      <c r="L1180" s="4" t="s">
        <v>27</v>
      </c>
      <c r="M1180" s="4" t="str">
        <f t="shared" si="278"/>
        <v>1000184670100018619710001898061000189270TAMARA</v>
      </c>
      <c r="N1180" s="28">
        <f>N1163*_xlfn.XLOOKUP($L1180,'Balizador da Meta'!$B$4:$B$21,'Balizador da Meta'!$C$4:$C$21)</f>
        <v>48</v>
      </c>
      <c r="O1180" s="28">
        <f>O1163*_xlfn.XLOOKUP($L1180,'Balizador da Meta'!$B$4:$B$21,'Balizador da Meta'!$C$4:$C$21)</f>
        <v>96</v>
      </c>
      <c r="P1180" s="28">
        <f>P1163*_xlfn.XLOOKUP($L1180,'Balizador da Meta'!$B$4:$B$21,'Balizador da Meta'!$C$4:$C$21)</f>
        <v>96</v>
      </c>
      <c r="Q1180" s="28">
        <f>Q1163*_xlfn.XLOOKUP($L1180,'Balizador da Meta'!$B$4:$B$21,'Balizador da Meta'!$C$4:$C$21)</f>
        <v>96</v>
      </c>
      <c r="R1180" s="28">
        <f>R1163*_xlfn.XLOOKUP($L1180,'Balizador da Meta'!$B$4:$B$21,'Balizador da Meta'!$C$4:$C$21)</f>
        <v>96</v>
      </c>
      <c r="S1180" s="28">
        <f>S1163*_xlfn.XLOOKUP($L1180,'Balizador da Meta'!$B$4:$B$21,'Balizador da Meta'!$C$4:$C$21)</f>
        <v>96</v>
      </c>
      <c r="T1180" s="28">
        <f>T1163*_xlfn.XLOOKUP($L1180,'Balizador da Meta'!$B$4:$B$21,'Balizador da Meta'!$C$4:$C$21)</f>
        <v>144</v>
      </c>
      <c r="U1180" s="28">
        <f>U1163*_xlfn.XLOOKUP($L1180,'Balizador da Meta'!$B$4:$B$21,'Balizador da Meta'!$C$4:$C$21)</f>
        <v>144</v>
      </c>
      <c r="V1180" s="28">
        <f>V1163*_xlfn.XLOOKUP($L1180,'Balizador da Meta'!$B$4:$B$21,'Balizador da Meta'!$C$4:$C$21)</f>
        <v>144</v>
      </c>
      <c r="W1180" s="28">
        <f>W1163*_xlfn.XLOOKUP($L1180,'Balizador da Meta'!$B$4:$B$21,'Balizador da Meta'!$C$4:$C$21)</f>
        <v>144</v>
      </c>
      <c r="X1180" s="28">
        <f>X1163*_xlfn.XLOOKUP($L1180,'Balizador da Meta'!$B$4:$B$21,'Balizador da Meta'!$C$4:$C$21)</f>
        <v>144</v>
      </c>
      <c r="Y1180" s="28">
        <f>Y1163*_xlfn.XLOOKUP($L1180,'Balizador da Meta'!$B$4:$B$21,'Balizador da Meta'!$C$4:$C$21)</f>
        <v>192</v>
      </c>
      <c r="Z1180" s="30">
        <f t="shared" si="281"/>
        <v>1440</v>
      </c>
      <c r="AA1180" s="29"/>
      <c r="AB1180" s="31">
        <f>SUMIFS('Historico - FAT'!AK:AK,'Historico - FAT'!$K:$K,Faturamento!$L1180,'Historico - FAT'!$I:$I,Faturamento!$J1180,'Historico - FAT'!$G:$G,Faturamento!$H1180)</f>
        <v>0</v>
      </c>
      <c r="AC1180" s="31">
        <f>SUMIFS('Historico - FAT'!AL:AL,'Historico - FAT'!$K:$K,Faturamento!$L1180,'Historico - FAT'!$I:$I,Faturamento!$J1180,'Historico - FAT'!$G:$G,Faturamento!$H1180)</f>
        <v>15.339166666666666</v>
      </c>
      <c r="AD1180" s="31">
        <f>SUMIFS('Historico - FAT'!AM:AM,'Historico - FAT'!$K:$K,Faturamento!$L1180,'Historico - FAT'!$I:$I,Faturamento!$J1180,'Historico - FAT'!$G:$G,Faturamento!$H1180)</f>
        <v>30.678333333333331</v>
      </c>
      <c r="AE1180" s="27">
        <f>SUMIFS('Historico - FAT'!AN:AN,'Historico - FAT'!$K:$K,Faturamento!$L1180,'Historico - FAT'!$I:$I,Faturamento!$J1180,'Historico - FAT'!$G:$G,Faturamento!$H1180)</f>
        <v>18.407</v>
      </c>
      <c r="AG1180" s="24">
        <f t="shared" si="272"/>
        <v>1</v>
      </c>
      <c r="AH1180" s="24">
        <f t="shared" si="273"/>
        <v>0.90413020833333335</v>
      </c>
      <c r="AI1180" s="24">
        <f t="shared" si="274"/>
        <v>0.80826041666666659</v>
      </c>
    </row>
    <row r="1181" spans="1:35" hidden="1" x14ac:dyDescent="0.3">
      <c r="A1181" s="2" t="str">
        <f t="shared" si="271"/>
        <v>NÃO</v>
      </c>
      <c r="B1181" s="2">
        <v>1000184670</v>
      </c>
      <c r="C1181" s="2" t="s">
        <v>147</v>
      </c>
      <c r="D1181" s="4">
        <v>1000186197</v>
      </c>
      <c r="E1181" s="4" t="s">
        <v>166</v>
      </c>
      <c r="F1181" s="2">
        <v>1000185288</v>
      </c>
      <c r="G1181" s="2" t="s">
        <v>64</v>
      </c>
      <c r="H1181" s="4">
        <v>1000189806</v>
      </c>
      <c r="I1181" s="4" t="s">
        <v>119</v>
      </c>
      <c r="J1181" s="2">
        <v>1000189270</v>
      </c>
      <c r="K1181" s="2" t="s">
        <v>34</v>
      </c>
      <c r="L1181" s="4" t="s">
        <v>25</v>
      </c>
      <c r="M1181" s="4" t="str">
        <f t="shared" si="278"/>
        <v>1000184670100018619710001898061000189270VICCIO</v>
      </c>
      <c r="N1181" s="28">
        <f>N1163*_xlfn.XLOOKUP($L1181,'Balizador da Meta'!$B$4:$B$21,'Balizador da Meta'!$C$4:$C$21)</f>
        <v>18</v>
      </c>
      <c r="O1181" s="28">
        <f>O1163*_xlfn.XLOOKUP($L1181,'Balizador da Meta'!$B$4:$B$21,'Balizador da Meta'!$C$4:$C$21)</f>
        <v>36</v>
      </c>
      <c r="P1181" s="28">
        <f>P1163*_xlfn.XLOOKUP($L1181,'Balizador da Meta'!$B$4:$B$21,'Balizador da Meta'!$C$4:$C$21)</f>
        <v>36</v>
      </c>
      <c r="Q1181" s="28">
        <f>Q1163*_xlfn.XLOOKUP($L1181,'Balizador da Meta'!$B$4:$B$21,'Balizador da Meta'!$C$4:$C$21)</f>
        <v>36</v>
      </c>
      <c r="R1181" s="28">
        <f>R1163*_xlfn.XLOOKUP($L1181,'Balizador da Meta'!$B$4:$B$21,'Balizador da Meta'!$C$4:$C$21)</f>
        <v>36</v>
      </c>
      <c r="S1181" s="28">
        <f>S1163*_xlfn.XLOOKUP($L1181,'Balizador da Meta'!$B$4:$B$21,'Balizador da Meta'!$C$4:$C$21)</f>
        <v>36</v>
      </c>
      <c r="T1181" s="28">
        <f>T1163*_xlfn.XLOOKUP($L1181,'Balizador da Meta'!$B$4:$B$21,'Balizador da Meta'!$C$4:$C$21)</f>
        <v>54</v>
      </c>
      <c r="U1181" s="28">
        <f>U1163*_xlfn.XLOOKUP($L1181,'Balizador da Meta'!$B$4:$B$21,'Balizador da Meta'!$C$4:$C$21)</f>
        <v>54</v>
      </c>
      <c r="V1181" s="28">
        <f>V1163*_xlfn.XLOOKUP($L1181,'Balizador da Meta'!$B$4:$B$21,'Balizador da Meta'!$C$4:$C$21)</f>
        <v>54</v>
      </c>
      <c r="W1181" s="28">
        <f>W1163*_xlfn.XLOOKUP($L1181,'Balizador da Meta'!$B$4:$B$21,'Balizador da Meta'!$C$4:$C$21)</f>
        <v>54</v>
      </c>
      <c r="X1181" s="28">
        <f>X1163*_xlfn.XLOOKUP($L1181,'Balizador da Meta'!$B$4:$B$21,'Balizador da Meta'!$C$4:$C$21)</f>
        <v>54</v>
      </c>
      <c r="Y1181" s="28">
        <f>Y1163*_xlfn.XLOOKUP($L1181,'Balizador da Meta'!$B$4:$B$21,'Balizador da Meta'!$C$4:$C$21)</f>
        <v>72</v>
      </c>
      <c r="Z1181" s="30">
        <f t="shared" si="281"/>
        <v>540</v>
      </c>
      <c r="AA1181" s="29"/>
      <c r="AB1181" s="31">
        <f>SUMIFS('Historico - FAT'!AK:AK,'Historico - FAT'!$K:$K,Faturamento!$L1181,'Historico - FAT'!$I:$I,Faturamento!$J1181,'Historico - FAT'!$G:$G,Faturamento!$H1181)</f>
        <v>13.018333333333333</v>
      </c>
      <c r="AC1181" s="31">
        <f>SUMIFS('Historico - FAT'!AL:AL,'Historico - FAT'!$K:$K,Faturamento!$L1181,'Historico - FAT'!$I:$I,Faturamento!$J1181,'Historico - FAT'!$G:$G,Faturamento!$H1181)</f>
        <v>13.018333333333333</v>
      </c>
      <c r="AD1181" s="31">
        <f>SUMIFS('Historico - FAT'!AM:AM,'Historico - FAT'!$K:$K,Faturamento!$L1181,'Historico - FAT'!$I:$I,Faturamento!$J1181,'Historico - FAT'!$G:$G,Faturamento!$H1181)</f>
        <v>0</v>
      </c>
      <c r="AE1181" s="27">
        <f>SUMIFS('Historico - FAT'!AN:AN,'Historico - FAT'!$K:$K,Faturamento!$L1181,'Historico - FAT'!$I:$I,Faturamento!$J1181,'Historico - FAT'!$G:$G,Faturamento!$H1181)</f>
        <v>0</v>
      </c>
      <c r="AG1181" s="24">
        <f t="shared" si="272"/>
        <v>0.78302777777777777</v>
      </c>
      <c r="AH1181" s="24">
        <f t="shared" si="273"/>
        <v>0.78302777777777777</v>
      </c>
      <c r="AI1181" s="24">
        <f t="shared" si="274"/>
        <v>1</v>
      </c>
    </row>
    <row r="1182" spans="1:35" x14ac:dyDescent="0.3">
      <c r="A1182" s="2" t="str">
        <f t="shared" si="271"/>
        <v>SIM</v>
      </c>
      <c r="B1182" s="2">
        <v>1000184670</v>
      </c>
      <c r="C1182" s="2" t="s">
        <v>147</v>
      </c>
      <c r="D1182" s="4">
        <v>1000186197</v>
      </c>
      <c r="E1182" s="4" t="s">
        <v>166</v>
      </c>
      <c r="F1182" s="2">
        <v>1000185288</v>
      </c>
      <c r="G1182" s="2" t="s">
        <v>64</v>
      </c>
      <c r="H1182" s="4">
        <v>1000189807</v>
      </c>
      <c r="I1182" s="4" t="s">
        <v>81</v>
      </c>
      <c r="J1182" s="2">
        <v>1000189270</v>
      </c>
      <c r="K1182" s="2" t="s">
        <v>34</v>
      </c>
      <c r="L1182" s="4" t="s">
        <v>124</v>
      </c>
      <c r="M1182" s="4" t="str">
        <f t="shared" si="278"/>
        <v>100018467010001861971000189807100018927001. TOTAL</v>
      </c>
      <c r="N1182" s="28">
        <f>SUMIFS(Positivação!L:L,Positivação!$I:$I,Faturamento!$J1182,Positivação!$G:$G,Faturamento!$H1182)*SUMIFS(Positivação!$Z:$Z,Positivação!$I:$I,Faturamento!$J1182,Positivação!$G:$G,Faturamento!$H1182)</f>
        <v>16800</v>
      </c>
      <c r="O1182" s="28">
        <f>SUMIFS(Positivação!M:M,Positivação!$I:$I,Faturamento!$J1182,Positivação!$G:$G,Faturamento!$H1182)*SUMIFS(Positivação!$Z:$Z,Positivação!$I:$I,Faturamento!$J1182,Positivação!$G:$G,Faturamento!$H1182)</f>
        <v>17400</v>
      </c>
      <c r="P1182" s="28">
        <f>SUMIFS(Positivação!N:N,Positivação!$I:$I,Faturamento!$J1182,Positivação!$G:$G,Faturamento!$H1182)*SUMIFS(Positivação!$Z:$Z,Positivação!$I:$I,Faturamento!$J1182,Positivação!$G:$G,Faturamento!$H1182)</f>
        <v>17400</v>
      </c>
      <c r="Q1182" s="28">
        <f>SUMIFS(Positivação!O:O,Positivação!$I:$I,Faturamento!$J1182,Positivação!$G:$G,Faturamento!$H1182)*SUMIFS(Positivação!$Z:$Z,Positivação!$I:$I,Faturamento!$J1182,Positivação!$G:$G,Faturamento!$H1182)</f>
        <v>17400</v>
      </c>
      <c r="R1182" s="28">
        <f>SUMIFS(Positivação!P:P,Positivação!$I:$I,Faturamento!$J1182,Positivação!$G:$G,Faturamento!$H1182)*SUMIFS(Positivação!$Z:$Z,Positivação!$I:$I,Faturamento!$J1182,Positivação!$G:$G,Faturamento!$H1182)</f>
        <v>18000</v>
      </c>
      <c r="S1182" s="28">
        <f>SUMIFS(Positivação!Q:Q,Positivação!$I:$I,Faturamento!$J1182,Positivação!$G:$G,Faturamento!$H1182)*SUMIFS(Positivação!$Z:$Z,Positivação!$I:$I,Faturamento!$J1182,Positivação!$G:$G,Faturamento!$H1182)</f>
        <v>18000</v>
      </c>
      <c r="T1182" s="28">
        <f>SUMIFS(Positivação!R:R,Positivação!$I:$I,Faturamento!$J1182,Positivação!$G:$G,Faturamento!$H1182)*SUMIFS(Positivação!$Z:$Z,Positivação!$I:$I,Faturamento!$J1182,Positivação!$G:$G,Faturamento!$H1182)</f>
        <v>18600</v>
      </c>
      <c r="U1182" s="28">
        <f>SUMIFS(Positivação!S:S,Positivação!$I:$I,Faturamento!$J1182,Positivação!$G:$G,Faturamento!$H1182)*SUMIFS(Positivação!$Z:$Z,Positivação!$I:$I,Faturamento!$J1182,Positivação!$G:$G,Faturamento!$H1182)</f>
        <v>18600</v>
      </c>
      <c r="V1182" s="28">
        <f>SUMIFS(Positivação!T:T,Positivação!$I:$I,Faturamento!$J1182,Positivação!$G:$G,Faturamento!$H1182)*SUMIFS(Positivação!$Z:$Z,Positivação!$I:$I,Faturamento!$J1182,Positivação!$G:$G,Faturamento!$H1182)</f>
        <v>18600</v>
      </c>
      <c r="W1182" s="28">
        <f>SUMIFS(Positivação!U:U,Positivação!$I:$I,Faturamento!$J1182,Positivação!$G:$G,Faturamento!$H1182)*SUMIFS(Positivação!$Z:$Z,Positivação!$I:$I,Faturamento!$J1182,Positivação!$G:$G,Faturamento!$H1182)</f>
        <v>19200</v>
      </c>
      <c r="X1182" s="28">
        <f>SUMIFS(Positivação!V:V,Positivação!$I:$I,Faturamento!$J1182,Positivação!$G:$G,Faturamento!$H1182)*SUMIFS(Positivação!$Z:$Z,Positivação!$I:$I,Faturamento!$J1182,Positivação!$G:$G,Faturamento!$H1182)</f>
        <v>19200</v>
      </c>
      <c r="Y1182" s="28">
        <f>SUMIFS(Positivação!W:W,Positivação!$I:$I,Faturamento!$J1182,Positivação!$G:$G,Faturamento!$H1182)*SUMIFS(Positivação!$Z:$Z,Positivação!$I:$I,Faturamento!$J1182,Positivação!$G:$G,Faturamento!$H1182)</f>
        <v>19800</v>
      </c>
      <c r="Z1182" s="28">
        <f t="shared" ref="Z1182" si="282">SUM(Z1183:Z1200)</f>
        <v>219000</v>
      </c>
      <c r="AA1182" s="29"/>
      <c r="AB1182" s="28">
        <f t="shared" ref="AB1182:AE1182" si="283">SUM(AB1183:AB1200)</f>
        <v>4204.8183333333336</v>
      </c>
      <c r="AC1182" s="28">
        <f t="shared" si="283"/>
        <v>13763.764166666664</v>
      </c>
      <c r="AD1182" s="28">
        <f t="shared" si="283"/>
        <v>23102.1</v>
      </c>
      <c r="AE1182" s="28">
        <f t="shared" si="283"/>
        <v>16186.939</v>
      </c>
      <c r="AG1182" s="24">
        <f t="shared" si="272"/>
        <v>0.78325678694158074</v>
      </c>
      <c r="AH1182" s="24">
        <f t="shared" si="273"/>
        <v>0.29052762027491424</v>
      </c>
      <c r="AI1182" s="24">
        <f t="shared" si="274"/>
        <v>-0.19082989690721641</v>
      </c>
    </row>
    <row r="1183" spans="1:35" hidden="1" x14ac:dyDescent="0.3">
      <c r="A1183" s="2" t="str">
        <f t="shared" si="271"/>
        <v>NÃO</v>
      </c>
      <c r="B1183" s="2">
        <v>1000184670</v>
      </c>
      <c r="C1183" s="2" t="s">
        <v>147</v>
      </c>
      <c r="D1183" s="4">
        <v>1000186197</v>
      </c>
      <c r="E1183" s="4" t="s">
        <v>166</v>
      </c>
      <c r="F1183" s="2">
        <v>1000185288</v>
      </c>
      <c r="G1183" s="2" t="s">
        <v>64</v>
      </c>
      <c r="H1183" s="4">
        <v>1000189807</v>
      </c>
      <c r="I1183" s="4" t="s">
        <v>81</v>
      </c>
      <c r="J1183" s="2">
        <v>1000189270</v>
      </c>
      <c r="K1183" s="2" t="s">
        <v>34</v>
      </c>
      <c r="L1183" s="4" t="s">
        <v>13</v>
      </c>
      <c r="M1183" s="4" t="str">
        <f t="shared" si="278"/>
        <v>1000184670100018619710001898071000189270BISCOITO</v>
      </c>
      <c r="N1183" s="28">
        <f>N1182*_xlfn.XLOOKUP($L1183,'Balizador da Meta'!$B$4:$B$21,'Balizador da Meta'!$C$4:$C$21)</f>
        <v>1176</v>
      </c>
      <c r="O1183" s="28">
        <f>O1182*_xlfn.XLOOKUP($L1183,'Balizador da Meta'!$B$4:$B$21,'Balizador da Meta'!$C$4:$C$21)</f>
        <v>1218.0000000000002</v>
      </c>
      <c r="P1183" s="28">
        <f>P1182*_xlfn.XLOOKUP($L1183,'Balizador da Meta'!$B$4:$B$21,'Balizador da Meta'!$C$4:$C$21)</f>
        <v>1218.0000000000002</v>
      </c>
      <c r="Q1183" s="28">
        <f>Q1182*_xlfn.XLOOKUP($L1183,'Balizador da Meta'!$B$4:$B$21,'Balizador da Meta'!$C$4:$C$21)</f>
        <v>1218.0000000000002</v>
      </c>
      <c r="R1183" s="28">
        <f>R1182*_xlfn.XLOOKUP($L1183,'Balizador da Meta'!$B$4:$B$21,'Balizador da Meta'!$C$4:$C$21)</f>
        <v>1260.0000000000002</v>
      </c>
      <c r="S1183" s="28">
        <f>S1182*_xlfn.XLOOKUP($L1183,'Balizador da Meta'!$B$4:$B$21,'Balizador da Meta'!$C$4:$C$21)</f>
        <v>1260.0000000000002</v>
      </c>
      <c r="T1183" s="28">
        <f>T1182*_xlfn.XLOOKUP($L1183,'Balizador da Meta'!$B$4:$B$21,'Balizador da Meta'!$C$4:$C$21)</f>
        <v>1302.0000000000002</v>
      </c>
      <c r="U1183" s="28">
        <f>U1182*_xlfn.XLOOKUP($L1183,'Balizador da Meta'!$B$4:$B$21,'Balizador da Meta'!$C$4:$C$21)</f>
        <v>1302.0000000000002</v>
      </c>
      <c r="V1183" s="28">
        <f>V1182*_xlfn.XLOOKUP($L1183,'Balizador da Meta'!$B$4:$B$21,'Balizador da Meta'!$C$4:$C$21)</f>
        <v>1302.0000000000002</v>
      </c>
      <c r="W1183" s="28">
        <f>W1182*_xlfn.XLOOKUP($L1183,'Balizador da Meta'!$B$4:$B$21,'Balizador da Meta'!$C$4:$C$21)</f>
        <v>1344.0000000000002</v>
      </c>
      <c r="X1183" s="28">
        <f>X1182*_xlfn.XLOOKUP($L1183,'Balizador da Meta'!$B$4:$B$21,'Balizador da Meta'!$C$4:$C$21)</f>
        <v>1344.0000000000002</v>
      </c>
      <c r="Y1183" s="28">
        <f>Y1182*_xlfn.XLOOKUP($L1183,'Balizador da Meta'!$B$4:$B$21,'Balizador da Meta'!$C$4:$C$21)</f>
        <v>1386.0000000000002</v>
      </c>
      <c r="Z1183" s="30">
        <f t="shared" ref="Z1183:Z1200" si="284">SUM(N1183:Y1183)</f>
        <v>15330</v>
      </c>
      <c r="AA1183" s="29"/>
      <c r="AB1183" s="31">
        <f>SUMIFS('Historico - FAT'!AK:AK,'Historico - FAT'!$K:$K,Faturamento!$L1183,'Historico - FAT'!$I:$I,Faturamento!$J1183,'Historico - FAT'!$G:$G,Faturamento!$H1183)</f>
        <v>311.27083333333331</v>
      </c>
      <c r="AC1183" s="31">
        <f>SUMIFS('Historico - FAT'!AL:AL,'Historico - FAT'!$K:$K,Faturamento!$L1183,'Historico - FAT'!$I:$I,Faturamento!$J1183,'Historico - FAT'!$G:$G,Faturamento!$H1183)</f>
        <v>630.46249999999998</v>
      </c>
      <c r="AD1183" s="31">
        <f>SUMIFS('Historico - FAT'!AM:AM,'Historico - FAT'!$K:$K,Faturamento!$L1183,'Historico - FAT'!$I:$I,Faturamento!$J1183,'Historico - FAT'!$G:$G,Faturamento!$H1183)</f>
        <v>1238.875</v>
      </c>
      <c r="AE1183" s="27">
        <f>SUMIFS('Historico - FAT'!AN:AN,'Historico - FAT'!$K:$K,Faturamento!$L1183,'Historico - FAT'!$I:$I,Faturamento!$J1183,'Historico - FAT'!$G:$G,Faturamento!$H1183)</f>
        <v>749.95499999999993</v>
      </c>
      <c r="AG1183" s="24">
        <f t="shared" si="272"/>
        <v>0.77078730976926868</v>
      </c>
      <c r="AH1183" s="24">
        <f t="shared" si="273"/>
        <v>0.53574189985272469</v>
      </c>
      <c r="AI1183" s="24">
        <f t="shared" si="274"/>
        <v>8.7720913107511192E-2</v>
      </c>
    </row>
    <row r="1184" spans="1:35" hidden="1" x14ac:dyDescent="0.3">
      <c r="A1184" s="2" t="str">
        <f t="shared" si="271"/>
        <v>NÃO</v>
      </c>
      <c r="B1184" s="2">
        <v>1000184670</v>
      </c>
      <c r="C1184" s="2" t="s">
        <v>147</v>
      </c>
      <c r="D1184" s="4">
        <v>1000186197</v>
      </c>
      <c r="E1184" s="4" t="s">
        <v>166</v>
      </c>
      <c r="F1184" s="2">
        <v>1000185288</v>
      </c>
      <c r="G1184" s="2" t="s">
        <v>64</v>
      </c>
      <c r="H1184" s="4">
        <v>1000189807</v>
      </c>
      <c r="I1184" s="4" t="s">
        <v>81</v>
      </c>
      <c r="J1184" s="2">
        <v>1000189270</v>
      </c>
      <c r="K1184" s="2" t="s">
        <v>34</v>
      </c>
      <c r="L1184" s="4" t="s">
        <v>14</v>
      </c>
      <c r="M1184" s="4" t="str">
        <f t="shared" si="278"/>
        <v>1000184670100018619710001898071000189270CHOCOLATES</v>
      </c>
      <c r="N1184" s="28">
        <f>N1182*_xlfn.XLOOKUP($L1184,'Balizador da Meta'!$B$4:$B$21,'Balizador da Meta'!$C$4:$C$21)</f>
        <v>1176</v>
      </c>
      <c r="O1184" s="28">
        <f>O1182*_xlfn.XLOOKUP($L1184,'Balizador da Meta'!$B$4:$B$21,'Balizador da Meta'!$C$4:$C$21)</f>
        <v>1218.0000000000002</v>
      </c>
      <c r="P1184" s="28">
        <f>P1182*_xlfn.XLOOKUP($L1184,'Balizador da Meta'!$B$4:$B$21,'Balizador da Meta'!$C$4:$C$21)</f>
        <v>1218.0000000000002</v>
      </c>
      <c r="Q1184" s="28">
        <f>Q1182*_xlfn.XLOOKUP($L1184,'Balizador da Meta'!$B$4:$B$21,'Balizador da Meta'!$C$4:$C$21)</f>
        <v>1218.0000000000002</v>
      </c>
      <c r="R1184" s="28">
        <f>R1182*_xlfn.XLOOKUP($L1184,'Balizador da Meta'!$B$4:$B$21,'Balizador da Meta'!$C$4:$C$21)</f>
        <v>1260.0000000000002</v>
      </c>
      <c r="S1184" s="28">
        <f>S1182*_xlfn.XLOOKUP($L1184,'Balizador da Meta'!$B$4:$B$21,'Balizador da Meta'!$C$4:$C$21)</f>
        <v>1260.0000000000002</v>
      </c>
      <c r="T1184" s="28">
        <f>T1182*_xlfn.XLOOKUP($L1184,'Balizador da Meta'!$B$4:$B$21,'Balizador da Meta'!$C$4:$C$21)</f>
        <v>1302.0000000000002</v>
      </c>
      <c r="U1184" s="28">
        <f>U1182*_xlfn.XLOOKUP($L1184,'Balizador da Meta'!$B$4:$B$21,'Balizador da Meta'!$C$4:$C$21)</f>
        <v>1302.0000000000002</v>
      </c>
      <c r="V1184" s="28">
        <f>V1182*_xlfn.XLOOKUP($L1184,'Balizador da Meta'!$B$4:$B$21,'Balizador da Meta'!$C$4:$C$21)</f>
        <v>1302.0000000000002</v>
      </c>
      <c r="W1184" s="28">
        <f>W1182*_xlfn.XLOOKUP($L1184,'Balizador da Meta'!$B$4:$B$21,'Balizador da Meta'!$C$4:$C$21)</f>
        <v>1344.0000000000002</v>
      </c>
      <c r="X1184" s="28">
        <f>X1182*_xlfn.XLOOKUP($L1184,'Balizador da Meta'!$B$4:$B$21,'Balizador da Meta'!$C$4:$C$21)</f>
        <v>1344.0000000000002</v>
      </c>
      <c r="Y1184" s="28">
        <f>Y1182*_xlfn.XLOOKUP($L1184,'Balizador da Meta'!$B$4:$B$21,'Balizador da Meta'!$C$4:$C$21)</f>
        <v>1386.0000000000002</v>
      </c>
      <c r="Z1184" s="30">
        <f t="shared" si="284"/>
        <v>15330</v>
      </c>
      <c r="AA1184" s="29"/>
      <c r="AB1184" s="31">
        <f>SUMIFS('Historico - FAT'!AK:AK,'Historico - FAT'!$K:$K,Faturamento!$L1184,'Historico - FAT'!$I:$I,Faturamento!$J1184,'Historico - FAT'!$G:$G,Faturamento!$H1184)</f>
        <v>587.29916666666668</v>
      </c>
      <c r="AC1184" s="31">
        <f>SUMIFS('Historico - FAT'!AL:AL,'Historico - FAT'!$K:$K,Faturamento!$L1184,'Historico - FAT'!$I:$I,Faturamento!$J1184,'Historico - FAT'!$G:$G,Faturamento!$H1184)</f>
        <v>244.49333333333334</v>
      </c>
      <c r="AD1184" s="31">
        <f>SUMIFS('Historico - FAT'!AM:AM,'Historico - FAT'!$K:$K,Faturamento!$L1184,'Historico - FAT'!$I:$I,Faturamento!$J1184,'Historico - FAT'!$G:$G,Faturamento!$H1184)</f>
        <v>250.98666666666665</v>
      </c>
      <c r="AE1184" s="27">
        <f>SUMIFS('Historico - FAT'!AN:AN,'Historico - FAT'!$K:$K,Faturamento!$L1184,'Historico - FAT'!$I:$I,Faturamento!$J1184,'Historico - FAT'!$G:$G,Faturamento!$H1184)</f>
        <v>293.392</v>
      </c>
      <c r="AG1184" s="24">
        <f t="shared" si="272"/>
        <v>0.56752638684339718</v>
      </c>
      <c r="AH1184" s="24">
        <f t="shared" si="273"/>
        <v>0.8199607265586647</v>
      </c>
      <c r="AI1184" s="24">
        <f t="shared" si="274"/>
        <v>0.81517918507609233</v>
      </c>
    </row>
    <row r="1185" spans="1:35" hidden="1" x14ac:dyDescent="0.3">
      <c r="A1185" s="2" t="str">
        <f t="shared" si="271"/>
        <v>NÃO</v>
      </c>
      <c r="B1185" s="2">
        <v>1000184670</v>
      </c>
      <c r="C1185" s="2" t="s">
        <v>147</v>
      </c>
      <c r="D1185" s="4">
        <v>1000186197</v>
      </c>
      <c r="E1185" s="4" t="s">
        <v>166</v>
      </c>
      <c r="F1185" s="2">
        <v>1000185288</v>
      </c>
      <c r="G1185" s="2" t="s">
        <v>64</v>
      </c>
      <c r="H1185" s="4">
        <v>1000189807</v>
      </c>
      <c r="I1185" s="4" t="s">
        <v>81</v>
      </c>
      <c r="J1185" s="2">
        <v>1000189270</v>
      </c>
      <c r="K1185" s="2" t="s">
        <v>34</v>
      </c>
      <c r="L1185" s="4" t="s">
        <v>16</v>
      </c>
      <c r="M1185" s="4" t="str">
        <f t="shared" si="278"/>
        <v>1000184670100018619710001898071000189270DISNEY</v>
      </c>
      <c r="N1185" s="28">
        <f>N1182*_xlfn.XLOOKUP($L1185,'Balizador da Meta'!$B$4:$B$21,'Balizador da Meta'!$C$4:$C$21)</f>
        <v>1344</v>
      </c>
      <c r="O1185" s="28">
        <f>O1182*_xlfn.XLOOKUP($L1185,'Balizador da Meta'!$B$4:$B$21,'Balizador da Meta'!$C$4:$C$21)</f>
        <v>1392</v>
      </c>
      <c r="P1185" s="28">
        <f>P1182*_xlfn.XLOOKUP($L1185,'Balizador da Meta'!$B$4:$B$21,'Balizador da Meta'!$C$4:$C$21)</f>
        <v>1392</v>
      </c>
      <c r="Q1185" s="28">
        <f>Q1182*_xlfn.XLOOKUP($L1185,'Balizador da Meta'!$B$4:$B$21,'Balizador da Meta'!$C$4:$C$21)</f>
        <v>1392</v>
      </c>
      <c r="R1185" s="28">
        <f>R1182*_xlfn.XLOOKUP($L1185,'Balizador da Meta'!$B$4:$B$21,'Balizador da Meta'!$C$4:$C$21)</f>
        <v>1440</v>
      </c>
      <c r="S1185" s="28">
        <f>S1182*_xlfn.XLOOKUP($L1185,'Balizador da Meta'!$B$4:$B$21,'Balizador da Meta'!$C$4:$C$21)</f>
        <v>1440</v>
      </c>
      <c r="T1185" s="28">
        <f>T1182*_xlfn.XLOOKUP($L1185,'Balizador da Meta'!$B$4:$B$21,'Balizador da Meta'!$C$4:$C$21)</f>
        <v>1488</v>
      </c>
      <c r="U1185" s="28">
        <f>U1182*_xlfn.XLOOKUP($L1185,'Balizador da Meta'!$B$4:$B$21,'Balizador da Meta'!$C$4:$C$21)</f>
        <v>1488</v>
      </c>
      <c r="V1185" s="28">
        <f>V1182*_xlfn.XLOOKUP($L1185,'Balizador da Meta'!$B$4:$B$21,'Balizador da Meta'!$C$4:$C$21)</f>
        <v>1488</v>
      </c>
      <c r="W1185" s="28">
        <f>W1182*_xlfn.XLOOKUP($L1185,'Balizador da Meta'!$B$4:$B$21,'Balizador da Meta'!$C$4:$C$21)</f>
        <v>1536</v>
      </c>
      <c r="X1185" s="28">
        <f>X1182*_xlfn.XLOOKUP($L1185,'Balizador da Meta'!$B$4:$B$21,'Balizador da Meta'!$C$4:$C$21)</f>
        <v>1536</v>
      </c>
      <c r="Y1185" s="28">
        <f>Y1182*_xlfn.XLOOKUP($L1185,'Balizador da Meta'!$B$4:$B$21,'Balizador da Meta'!$C$4:$C$21)</f>
        <v>1584</v>
      </c>
      <c r="Z1185" s="30">
        <f t="shared" si="284"/>
        <v>17520</v>
      </c>
      <c r="AA1185" s="29"/>
      <c r="AB1185" s="31">
        <f>SUMIFS('Historico - FAT'!AK:AK,'Historico - FAT'!$K:$K,Faturamento!$L1185,'Historico - FAT'!$I:$I,Faturamento!$J1185,'Historico - FAT'!$G:$G,Faturamento!$H1185)</f>
        <v>231.5683333333333</v>
      </c>
      <c r="AC1185" s="31">
        <f>SUMIFS('Historico - FAT'!AL:AL,'Historico - FAT'!$K:$K,Faturamento!$L1185,'Historico - FAT'!$I:$I,Faturamento!$J1185,'Historico - FAT'!$G:$G,Faturamento!$H1185)</f>
        <v>693.45166666666671</v>
      </c>
      <c r="AD1185" s="31">
        <f>SUMIFS('Historico - FAT'!AM:AM,'Historico - FAT'!$K:$K,Faturamento!$L1185,'Historico - FAT'!$I:$I,Faturamento!$J1185,'Historico - FAT'!$G:$G,Faturamento!$H1185)</f>
        <v>1259.2866666666666</v>
      </c>
      <c r="AE1185" s="27">
        <f>SUMIFS('Historico - FAT'!AN:AN,'Historico - FAT'!$K:$K,Faturamento!$L1185,'Historico - FAT'!$I:$I,Faturamento!$J1185,'Historico - FAT'!$G:$G,Faturamento!$H1185)</f>
        <v>832.14200000000005</v>
      </c>
      <c r="AG1185" s="24">
        <f t="shared" si="272"/>
        <v>0.85079359965635737</v>
      </c>
      <c r="AH1185" s="24">
        <f t="shared" si="273"/>
        <v>0.55318835910652919</v>
      </c>
      <c r="AI1185" s="24">
        <f t="shared" si="274"/>
        <v>0.1886039518900344</v>
      </c>
    </row>
    <row r="1186" spans="1:35" hidden="1" x14ac:dyDescent="0.3">
      <c r="A1186" s="2" t="str">
        <f t="shared" si="271"/>
        <v>NÃO</v>
      </c>
      <c r="B1186" s="2">
        <v>1000184670</v>
      </c>
      <c r="C1186" s="2" t="s">
        <v>147</v>
      </c>
      <c r="D1186" s="4">
        <v>1000186197</v>
      </c>
      <c r="E1186" s="4" t="s">
        <v>166</v>
      </c>
      <c r="F1186" s="2">
        <v>1000185288</v>
      </c>
      <c r="G1186" s="2" t="s">
        <v>64</v>
      </c>
      <c r="H1186" s="4">
        <v>1000189807</v>
      </c>
      <c r="I1186" s="4" t="s">
        <v>81</v>
      </c>
      <c r="J1186" s="2">
        <v>1000189270</v>
      </c>
      <c r="K1186" s="2" t="s">
        <v>34</v>
      </c>
      <c r="L1186" s="4" t="s">
        <v>15</v>
      </c>
      <c r="M1186" s="4" t="str">
        <f t="shared" si="278"/>
        <v>1000184670100018619710001898071000189270DOCES</v>
      </c>
      <c r="N1186" s="28">
        <f>N1182*_xlfn.XLOOKUP($L1186,'Balizador da Meta'!$B$4:$B$21,'Balizador da Meta'!$C$4:$C$21)</f>
        <v>1512</v>
      </c>
      <c r="O1186" s="28">
        <f>O1182*_xlfn.XLOOKUP($L1186,'Balizador da Meta'!$B$4:$B$21,'Balizador da Meta'!$C$4:$C$21)</f>
        <v>1566</v>
      </c>
      <c r="P1186" s="28">
        <f>P1182*_xlfn.XLOOKUP($L1186,'Balizador da Meta'!$B$4:$B$21,'Balizador da Meta'!$C$4:$C$21)</f>
        <v>1566</v>
      </c>
      <c r="Q1186" s="28">
        <f>Q1182*_xlfn.XLOOKUP($L1186,'Balizador da Meta'!$B$4:$B$21,'Balizador da Meta'!$C$4:$C$21)</f>
        <v>1566</v>
      </c>
      <c r="R1186" s="28">
        <f>R1182*_xlfn.XLOOKUP($L1186,'Balizador da Meta'!$B$4:$B$21,'Balizador da Meta'!$C$4:$C$21)</f>
        <v>1620</v>
      </c>
      <c r="S1186" s="28">
        <f>S1182*_xlfn.XLOOKUP($L1186,'Balizador da Meta'!$B$4:$B$21,'Balizador da Meta'!$C$4:$C$21)</f>
        <v>1620</v>
      </c>
      <c r="T1186" s="28">
        <f>T1182*_xlfn.XLOOKUP($L1186,'Balizador da Meta'!$B$4:$B$21,'Balizador da Meta'!$C$4:$C$21)</f>
        <v>1674</v>
      </c>
      <c r="U1186" s="28">
        <f>U1182*_xlfn.XLOOKUP($L1186,'Balizador da Meta'!$B$4:$B$21,'Balizador da Meta'!$C$4:$C$21)</f>
        <v>1674</v>
      </c>
      <c r="V1186" s="28">
        <f>V1182*_xlfn.XLOOKUP($L1186,'Balizador da Meta'!$B$4:$B$21,'Balizador da Meta'!$C$4:$C$21)</f>
        <v>1674</v>
      </c>
      <c r="W1186" s="28">
        <f>W1182*_xlfn.XLOOKUP($L1186,'Balizador da Meta'!$B$4:$B$21,'Balizador da Meta'!$C$4:$C$21)</f>
        <v>1728</v>
      </c>
      <c r="X1186" s="28">
        <f>X1182*_xlfn.XLOOKUP($L1186,'Balizador da Meta'!$B$4:$B$21,'Balizador da Meta'!$C$4:$C$21)</f>
        <v>1728</v>
      </c>
      <c r="Y1186" s="28">
        <f>Y1182*_xlfn.XLOOKUP($L1186,'Balizador da Meta'!$B$4:$B$21,'Balizador da Meta'!$C$4:$C$21)</f>
        <v>1782</v>
      </c>
      <c r="Z1186" s="30">
        <f t="shared" si="284"/>
        <v>19710</v>
      </c>
      <c r="AA1186" s="29"/>
      <c r="AB1186" s="31">
        <f>SUMIFS('Historico - FAT'!AK:AK,'Historico - FAT'!$K:$K,Faturamento!$L1186,'Historico - FAT'!$I:$I,Faturamento!$J1186,'Historico - FAT'!$G:$G,Faturamento!$H1186)</f>
        <v>938.77583333333348</v>
      </c>
      <c r="AC1186" s="31">
        <f>SUMIFS('Historico - FAT'!AL:AL,'Historico - FAT'!$K:$K,Faturamento!$L1186,'Historico - FAT'!$I:$I,Faturamento!$J1186,'Historico - FAT'!$G:$G,Faturamento!$H1186)</f>
        <v>470.74250000000001</v>
      </c>
      <c r="AD1186" s="31">
        <f>SUMIFS('Historico - FAT'!AM:AM,'Historico - FAT'!$K:$K,Faturamento!$L1186,'Historico - FAT'!$I:$I,Faturamento!$J1186,'Historico - FAT'!$G:$G,Faturamento!$H1186)</f>
        <v>568.61</v>
      </c>
      <c r="AE1186" s="27">
        <f>SUMIFS('Historico - FAT'!AN:AN,'Historico - FAT'!$K:$K,Faturamento!$L1186,'Historico - FAT'!$I:$I,Faturamento!$J1186,'Historico - FAT'!$G:$G,Faturamento!$H1186)</f>
        <v>415.89600000000002</v>
      </c>
      <c r="AG1186" s="24">
        <f t="shared" si="272"/>
        <v>0.46232770141275287</v>
      </c>
      <c r="AH1186" s="24">
        <f t="shared" si="273"/>
        <v>0.73038802978235962</v>
      </c>
      <c r="AI1186" s="24">
        <f t="shared" si="274"/>
        <v>0.67433562428407778</v>
      </c>
    </row>
    <row r="1187" spans="1:35" hidden="1" x14ac:dyDescent="0.3">
      <c r="A1187" s="2" t="str">
        <f t="shared" si="271"/>
        <v>NÃO</v>
      </c>
      <c r="B1187" s="2">
        <v>1000184670</v>
      </c>
      <c r="C1187" s="2" t="s">
        <v>147</v>
      </c>
      <c r="D1187" s="4">
        <v>1000186197</v>
      </c>
      <c r="E1187" s="4" t="s">
        <v>166</v>
      </c>
      <c r="F1187" s="2">
        <v>1000185288</v>
      </c>
      <c r="G1187" s="2" t="s">
        <v>64</v>
      </c>
      <c r="H1187" s="4">
        <v>1000189807</v>
      </c>
      <c r="I1187" s="4" t="s">
        <v>81</v>
      </c>
      <c r="J1187" s="2">
        <v>1000189270</v>
      </c>
      <c r="K1187" s="2" t="s">
        <v>34</v>
      </c>
      <c r="L1187" s="4" t="s">
        <v>33</v>
      </c>
      <c r="M1187" s="4" t="str">
        <f t="shared" si="278"/>
        <v>1000184670100018619710001898071000189270FOOD SERVICE</v>
      </c>
      <c r="N1187" s="28">
        <f>N1182*_xlfn.XLOOKUP($L1187,'Balizador da Meta'!$B$4:$B$21,'Balizador da Meta'!$C$4:$C$21)</f>
        <v>0</v>
      </c>
      <c r="O1187" s="28">
        <f>O1182*_xlfn.XLOOKUP($L1187,'Balizador da Meta'!$B$4:$B$21,'Balizador da Meta'!$C$4:$C$21)</f>
        <v>0</v>
      </c>
      <c r="P1187" s="28">
        <f>P1182*_xlfn.XLOOKUP($L1187,'Balizador da Meta'!$B$4:$B$21,'Balizador da Meta'!$C$4:$C$21)</f>
        <v>0</v>
      </c>
      <c r="Q1187" s="28">
        <f>Q1182*_xlfn.XLOOKUP($L1187,'Balizador da Meta'!$B$4:$B$21,'Balizador da Meta'!$C$4:$C$21)</f>
        <v>0</v>
      </c>
      <c r="R1187" s="28">
        <f>R1182*_xlfn.XLOOKUP($L1187,'Balizador da Meta'!$B$4:$B$21,'Balizador da Meta'!$C$4:$C$21)</f>
        <v>0</v>
      </c>
      <c r="S1187" s="28">
        <f>S1182*_xlfn.XLOOKUP($L1187,'Balizador da Meta'!$B$4:$B$21,'Balizador da Meta'!$C$4:$C$21)</f>
        <v>0</v>
      </c>
      <c r="T1187" s="28">
        <f>T1182*_xlfn.XLOOKUP($L1187,'Balizador da Meta'!$B$4:$B$21,'Balizador da Meta'!$C$4:$C$21)</f>
        <v>0</v>
      </c>
      <c r="U1187" s="28">
        <f>U1182*_xlfn.XLOOKUP($L1187,'Balizador da Meta'!$B$4:$B$21,'Balizador da Meta'!$C$4:$C$21)</f>
        <v>0</v>
      </c>
      <c r="V1187" s="28">
        <f>V1182*_xlfn.XLOOKUP($L1187,'Balizador da Meta'!$B$4:$B$21,'Balizador da Meta'!$C$4:$C$21)</f>
        <v>0</v>
      </c>
      <c r="W1187" s="28">
        <f>W1182*_xlfn.XLOOKUP($L1187,'Balizador da Meta'!$B$4:$B$21,'Balizador da Meta'!$C$4:$C$21)</f>
        <v>0</v>
      </c>
      <c r="X1187" s="28">
        <f>X1182*_xlfn.XLOOKUP($L1187,'Balizador da Meta'!$B$4:$B$21,'Balizador da Meta'!$C$4:$C$21)</f>
        <v>0</v>
      </c>
      <c r="Y1187" s="28">
        <f>Y1182*_xlfn.XLOOKUP($L1187,'Balizador da Meta'!$B$4:$B$21,'Balizador da Meta'!$C$4:$C$21)</f>
        <v>0</v>
      </c>
      <c r="Z1187" s="30">
        <f t="shared" si="284"/>
        <v>0</v>
      </c>
      <c r="AA1187" s="29"/>
      <c r="AB1187" s="31">
        <f>SUMIFS('Historico - FAT'!AK:AK,'Historico - FAT'!$K:$K,Faturamento!$L1187,'Historico - FAT'!$I:$I,Faturamento!$J1187,'Historico - FAT'!$G:$G,Faturamento!$H1187)</f>
        <v>0</v>
      </c>
      <c r="AC1187" s="31">
        <f>SUMIFS('Historico - FAT'!AL:AL,'Historico - FAT'!$K:$K,Faturamento!$L1187,'Historico - FAT'!$I:$I,Faturamento!$J1187,'Historico - FAT'!$G:$G,Faturamento!$H1187)</f>
        <v>60</v>
      </c>
      <c r="AD1187" s="31">
        <f>SUMIFS('Historico - FAT'!AM:AM,'Historico - FAT'!$K:$K,Faturamento!$L1187,'Historico - FAT'!$I:$I,Faturamento!$J1187,'Historico - FAT'!$G:$G,Faturamento!$H1187)</f>
        <v>120</v>
      </c>
      <c r="AE1187" s="27">
        <f>SUMIFS('Historico - FAT'!AN:AN,'Historico - FAT'!$K:$K,Faturamento!$L1187,'Historico - FAT'!$I:$I,Faturamento!$J1187,'Historico - FAT'!$G:$G,Faturamento!$H1187)</f>
        <v>72</v>
      </c>
      <c r="AG1187" s="24" t="str">
        <f t="shared" si="272"/>
        <v/>
      </c>
      <c r="AH1187" s="24" t="str">
        <f t="shared" si="273"/>
        <v/>
      </c>
      <c r="AI1187" s="24" t="str">
        <f t="shared" si="274"/>
        <v/>
      </c>
    </row>
    <row r="1188" spans="1:35" hidden="1" x14ac:dyDescent="0.3">
      <c r="A1188" s="2" t="str">
        <f t="shared" si="271"/>
        <v>NÃO</v>
      </c>
      <c r="B1188" s="2">
        <v>1000184670</v>
      </c>
      <c r="C1188" s="2" t="s">
        <v>147</v>
      </c>
      <c r="D1188" s="4">
        <v>1000186197</v>
      </c>
      <c r="E1188" s="4" t="s">
        <v>166</v>
      </c>
      <c r="F1188" s="2">
        <v>1000185288</v>
      </c>
      <c r="G1188" s="2" t="s">
        <v>64</v>
      </c>
      <c r="H1188" s="4">
        <v>1000189807</v>
      </c>
      <c r="I1188" s="4" t="s">
        <v>81</v>
      </c>
      <c r="J1188" s="2">
        <v>1000189270</v>
      </c>
      <c r="K1188" s="2" t="s">
        <v>34</v>
      </c>
      <c r="L1188" s="4" t="s">
        <v>19</v>
      </c>
      <c r="M1188" s="4" t="str">
        <f t="shared" si="278"/>
        <v>1000184670100018619710001898071000189270GELEIA</v>
      </c>
      <c r="N1188" s="28">
        <f>N1182*_xlfn.XLOOKUP($L1188,'Balizador da Meta'!$B$4:$B$21,'Balizador da Meta'!$C$4:$C$21)</f>
        <v>335.99999999999994</v>
      </c>
      <c r="O1188" s="28">
        <f>O1182*_xlfn.XLOOKUP($L1188,'Balizador da Meta'!$B$4:$B$21,'Balizador da Meta'!$C$4:$C$21)</f>
        <v>347.99999999999994</v>
      </c>
      <c r="P1188" s="28">
        <f>P1182*_xlfn.XLOOKUP($L1188,'Balizador da Meta'!$B$4:$B$21,'Balizador da Meta'!$C$4:$C$21)</f>
        <v>347.99999999999994</v>
      </c>
      <c r="Q1188" s="28">
        <f>Q1182*_xlfn.XLOOKUP($L1188,'Balizador da Meta'!$B$4:$B$21,'Balizador da Meta'!$C$4:$C$21)</f>
        <v>347.99999999999994</v>
      </c>
      <c r="R1188" s="28">
        <f>R1182*_xlfn.XLOOKUP($L1188,'Balizador da Meta'!$B$4:$B$21,'Balizador da Meta'!$C$4:$C$21)</f>
        <v>359.99999999999994</v>
      </c>
      <c r="S1188" s="28">
        <f>S1182*_xlfn.XLOOKUP($L1188,'Balizador da Meta'!$B$4:$B$21,'Balizador da Meta'!$C$4:$C$21)</f>
        <v>359.99999999999994</v>
      </c>
      <c r="T1188" s="28">
        <f>T1182*_xlfn.XLOOKUP($L1188,'Balizador da Meta'!$B$4:$B$21,'Balizador da Meta'!$C$4:$C$21)</f>
        <v>371.99999999999994</v>
      </c>
      <c r="U1188" s="28">
        <f>U1182*_xlfn.XLOOKUP($L1188,'Balizador da Meta'!$B$4:$B$21,'Balizador da Meta'!$C$4:$C$21)</f>
        <v>371.99999999999994</v>
      </c>
      <c r="V1188" s="28">
        <f>V1182*_xlfn.XLOOKUP($L1188,'Balizador da Meta'!$B$4:$B$21,'Balizador da Meta'!$C$4:$C$21)</f>
        <v>371.99999999999994</v>
      </c>
      <c r="W1188" s="28">
        <f>W1182*_xlfn.XLOOKUP($L1188,'Balizador da Meta'!$B$4:$B$21,'Balizador da Meta'!$C$4:$C$21)</f>
        <v>383.99999999999994</v>
      </c>
      <c r="X1188" s="28">
        <f>X1182*_xlfn.XLOOKUP($L1188,'Balizador da Meta'!$B$4:$B$21,'Balizador da Meta'!$C$4:$C$21)</f>
        <v>383.99999999999994</v>
      </c>
      <c r="Y1188" s="28">
        <f>Y1182*_xlfn.XLOOKUP($L1188,'Balizador da Meta'!$B$4:$B$21,'Balizador da Meta'!$C$4:$C$21)</f>
        <v>395.99999999999994</v>
      </c>
      <c r="Z1188" s="30">
        <f t="shared" si="284"/>
        <v>4379.9999999999991</v>
      </c>
      <c r="AA1188" s="29"/>
      <c r="AB1188" s="31">
        <f>SUMIFS('Historico - FAT'!AK:AK,'Historico - FAT'!$K:$K,Faturamento!$L1188,'Historico - FAT'!$I:$I,Faturamento!$J1188,'Historico - FAT'!$G:$G,Faturamento!$H1188)</f>
        <v>371.04166666666657</v>
      </c>
      <c r="AC1188" s="31">
        <f>SUMIFS('Historico - FAT'!AL:AL,'Historico - FAT'!$K:$K,Faturamento!$L1188,'Historico - FAT'!$I:$I,Faturamento!$J1188,'Historico - FAT'!$G:$G,Faturamento!$H1188)</f>
        <v>104.82916666666667</v>
      </c>
      <c r="AD1188" s="31">
        <f>SUMIFS('Historico - FAT'!AM:AM,'Historico - FAT'!$K:$K,Faturamento!$L1188,'Historico - FAT'!$I:$I,Faturamento!$J1188,'Historico - FAT'!$G:$G,Faturamento!$H1188)</f>
        <v>126.25833333333333</v>
      </c>
      <c r="AE1188" s="27">
        <f>SUMIFS('Historico - FAT'!AN:AN,'Historico - FAT'!$K:$K,Faturamento!$L1188,'Historico - FAT'!$I:$I,Faturamento!$J1188,'Historico - FAT'!$G:$G,Faturamento!$H1188)</f>
        <v>125.795</v>
      </c>
      <c r="AG1188" s="24">
        <f t="shared" si="272"/>
        <v>4.370704467353962E-2</v>
      </c>
      <c r="AH1188" s="24">
        <f t="shared" si="273"/>
        <v>0.72982173539518902</v>
      </c>
      <c r="AI1188" s="24">
        <f t="shared" si="274"/>
        <v>0.67459192439862536</v>
      </c>
    </row>
    <row r="1189" spans="1:35" hidden="1" x14ac:dyDescent="0.3">
      <c r="A1189" s="2" t="str">
        <f t="shared" si="271"/>
        <v>NÃO</v>
      </c>
      <c r="B1189" s="2">
        <v>1000184670</v>
      </c>
      <c r="C1189" s="2" t="s">
        <v>147</v>
      </c>
      <c r="D1189" s="4">
        <v>1000186197</v>
      </c>
      <c r="E1189" s="4" t="s">
        <v>166</v>
      </c>
      <c r="F1189" s="2">
        <v>1000185288</v>
      </c>
      <c r="G1189" s="2" t="s">
        <v>64</v>
      </c>
      <c r="H1189" s="4">
        <v>1000189807</v>
      </c>
      <c r="I1189" s="4" t="s">
        <v>81</v>
      </c>
      <c r="J1189" s="2">
        <v>1000189270</v>
      </c>
      <c r="K1189" s="2" t="s">
        <v>34</v>
      </c>
      <c r="L1189" s="4" t="s">
        <v>17</v>
      </c>
      <c r="M1189" s="4" t="str">
        <f t="shared" si="278"/>
        <v>1000184670100018619710001898071000189270GRANOLA</v>
      </c>
      <c r="N1189" s="28">
        <f>N1182*_xlfn.XLOOKUP($L1189,'Balizador da Meta'!$B$4:$B$21,'Balizador da Meta'!$C$4:$C$21)</f>
        <v>336</v>
      </c>
      <c r="O1189" s="28">
        <f>O1182*_xlfn.XLOOKUP($L1189,'Balizador da Meta'!$B$4:$B$21,'Balizador da Meta'!$C$4:$C$21)</f>
        <v>348</v>
      </c>
      <c r="P1189" s="28">
        <f>P1182*_xlfn.XLOOKUP($L1189,'Balizador da Meta'!$B$4:$B$21,'Balizador da Meta'!$C$4:$C$21)</f>
        <v>348</v>
      </c>
      <c r="Q1189" s="28">
        <f>Q1182*_xlfn.XLOOKUP($L1189,'Balizador da Meta'!$B$4:$B$21,'Balizador da Meta'!$C$4:$C$21)</f>
        <v>348</v>
      </c>
      <c r="R1189" s="28">
        <f>R1182*_xlfn.XLOOKUP($L1189,'Balizador da Meta'!$B$4:$B$21,'Balizador da Meta'!$C$4:$C$21)</f>
        <v>360</v>
      </c>
      <c r="S1189" s="28">
        <f>S1182*_xlfn.XLOOKUP($L1189,'Balizador da Meta'!$B$4:$B$21,'Balizador da Meta'!$C$4:$C$21)</f>
        <v>360</v>
      </c>
      <c r="T1189" s="28">
        <f>T1182*_xlfn.XLOOKUP($L1189,'Balizador da Meta'!$B$4:$B$21,'Balizador da Meta'!$C$4:$C$21)</f>
        <v>372</v>
      </c>
      <c r="U1189" s="28">
        <f>U1182*_xlfn.XLOOKUP($L1189,'Balizador da Meta'!$B$4:$B$21,'Balizador da Meta'!$C$4:$C$21)</f>
        <v>372</v>
      </c>
      <c r="V1189" s="28">
        <f>V1182*_xlfn.XLOOKUP($L1189,'Balizador da Meta'!$B$4:$B$21,'Balizador da Meta'!$C$4:$C$21)</f>
        <v>372</v>
      </c>
      <c r="W1189" s="28">
        <f>W1182*_xlfn.XLOOKUP($L1189,'Balizador da Meta'!$B$4:$B$21,'Balizador da Meta'!$C$4:$C$21)</f>
        <v>384</v>
      </c>
      <c r="X1189" s="28">
        <f>X1182*_xlfn.XLOOKUP($L1189,'Balizador da Meta'!$B$4:$B$21,'Balizador da Meta'!$C$4:$C$21)</f>
        <v>384</v>
      </c>
      <c r="Y1189" s="28">
        <f>Y1182*_xlfn.XLOOKUP($L1189,'Balizador da Meta'!$B$4:$B$21,'Balizador da Meta'!$C$4:$C$21)</f>
        <v>396</v>
      </c>
      <c r="Z1189" s="30">
        <f t="shared" si="284"/>
        <v>4380</v>
      </c>
      <c r="AA1189" s="29"/>
      <c r="AB1189" s="31">
        <f>SUMIFS('Historico - FAT'!AK:AK,'Historico - FAT'!$K:$K,Faturamento!$L1189,'Historico - FAT'!$I:$I,Faturamento!$J1189,'Historico - FAT'!$G:$G,Faturamento!$H1189)</f>
        <v>318.70499999999998</v>
      </c>
      <c r="AC1189" s="31">
        <f>SUMIFS('Historico - FAT'!AL:AL,'Historico - FAT'!$K:$K,Faturamento!$L1189,'Historico - FAT'!$I:$I,Faturamento!$J1189,'Historico - FAT'!$G:$G,Faturamento!$H1189)</f>
        <v>105.3</v>
      </c>
      <c r="AD1189" s="31">
        <f>SUMIFS('Historico - FAT'!AM:AM,'Historico - FAT'!$K:$K,Faturamento!$L1189,'Historico - FAT'!$I:$I,Faturamento!$J1189,'Historico - FAT'!$G:$G,Faturamento!$H1189)</f>
        <v>210.6</v>
      </c>
      <c r="AE1189" s="27">
        <f>SUMIFS('Historico - FAT'!AN:AN,'Historico - FAT'!$K:$K,Faturamento!$L1189,'Historico - FAT'!$I:$I,Faturamento!$J1189,'Historico - FAT'!$G:$G,Faturamento!$H1189)</f>
        <v>126.35999999999999</v>
      </c>
      <c r="AG1189" s="24">
        <f t="shared" si="272"/>
        <v>0.17859536082474231</v>
      </c>
      <c r="AH1189" s="24">
        <f t="shared" si="273"/>
        <v>0.72860824742268038</v>
      </c>
      <c r="AI1189" s="24">
        <f t="shared" si="274"/>
        <v>0.45721649484536087</v>
      </c>
    </row>
    <row r="1190" spans="1:35" hidden="1" x14ac:dyDescent="0.3">
      <c r="A1190" s="2" t="str">
        <f t="shared" si="271"/>
        <v>NÃO</v>
      </c>
      <c r="B1190" s="2">
        <v>1000184670</v>
      </c>
      <c r="C1190" s="2" t="s">
        <v>147</v>
      </c>
      <c r="D1190" s="4">
        <v>1000186197</v>
      </c>
      <c r="E1190" s="4" t="s">
        <v>166</v>
      </c>
      <c r="F1190" s="2">
        <v>1000185288</v>
      </c>
      <c r="G1190" s="2" t="s">
        <v>64</v>
      </c>
      <c r="H1190" s="4">
        <v>1000189807</v>
      </c>
      <c r="I1190" s="4" t="s">
        <v>81</v>
      </c>
      <c r="J1190" s="2">
        <v>1000189270</v>
      </c>
      <c r="K1190" s="2" t="s">
        <v>34</v>
      </c>
      <c r="L1190" s="4" t="s">
        <v>24</v>
      </c>
      <c r="M1190" s="4" t="str">
        <f t="shared" si="278"/>
        <v>1000184670100018619710001898071000189270KIDS</v>
      </c>
      <c r="N1190" s="28">
        <f>N1182*_xlfn.XLOOKUP($L1190,'Balizador da Meta'!$B$4:$B$21,'Balizador da Meta'!$C$4:$C$21)</f>
        <v>0</v>
      </c>
      <c r="O1190" s="28">
        <f>O1182*_xlfn.XLOOKUP($L1190,'Balizador da Meta'!$B$4:$B$21,'Balizador da Meta'!$C$4:$C$21)</f>
        <v>0</v>
      </c>
      <c r="P1190" s="28">
        <f>P1182*_xlfn.XLOOKUP($L1190,'Balizador da Meta'!$B$4:$B$21,'Balizador da Meta'!$C$4:$C$21)</f>
        <v>0</v>
      </c>
      <c r="Q1190" s="28">
        <f>Q1182*_xlfn.XLOOKUP($L1190,'Balizador da Meta'!$B$4:$B$21,'Balizador da Meta'!$C$4:$C$21)</f>
        <v>0</v>
      </c>
      <c r="R1190" s="28">
        <f>R1182*_xlfn.XLOOKUP($L1190,'Balizador da Meta'!$B$4:$B$21,'Balizador da Meta'!$C$4:$C$21)</f>
        <v>0</v>
      </c>
      <c r="S1190" s="28">
        <f>S1182*_xlfn.XLOOKUP($L1190,'Balizador da Meta'!$B$4:$B$21,'Balizador da Meta'!$C$4:$C$21)</f>
        <v>0</v>
      </c>
      <c r="T1190" s="28">
        <f>T1182*_xlfn.XLOOKUP($L1190,'Balizador da Meta'!$B$4:$B$21,'Balizador da Meta'!$C$4:$C$21)</f>
        <v>0</v>
      </c>
      <c r="U1190" s="28">
        <f>U1182*_xlfn.XLOOKUP($L1190,'Balizador da Meta'!$B$4:$B$21,'Balizador da Meta'!$C$4:$C$21)</f>
        <v>0</v>
      </c>
      <c r="V1190" s="28">
        <f>V1182*_xlfn.XLOOKUP($L1190,'Balizador da Meta'!$B$4:$B$21,'Balizador da Meta'!$C$4:$C$21)</f>
        <v>0</v>
      </c>
      <c r="W1190" s="28">
        <f>W1182*_xlfn.XLOOKUP($L1190,'Balizador da Meta'!$B$4:$B$21,'Balizador da Meta'!$C$4:$C$21)</f>
        <v>0</v>
      </c>
      <c r="X1190" s="28">
        <f>X1182*_xlfn.XLOOKUP($L1190,'Balizador da Meta'!$B$4:$B$21,'Balizador da Meta'!$C$4:$C$21)</f>
        <v>0</v>
      </c>
      <c r="Y1190" s="28">
        <f>Y1182*_xlfn.XLOOKUP($L1190,'Balizador da Meta'!$B$4:$B$21,'Balizador da Meta'!$C$4:$C$21)</f>
        <v>0</v>
      </c>
      <c r="Z1190" s="30">
        <f t="shared" si="284"/>
        <v>0</v>
      </c>
      <c r="AA1190" s="29"/>
      <c r="AB1190" s="31">
        <f>SUMIFS('Historico - FAT'!AK:AK,'Historico - FAT'!$K:$K,Faturamento!$L1190,'Historico - FAT'!$I:$I,Faturamento!$J1190,'Historico - FAT'!$G:$G,Faturamento!$H1190)</f>
        <v>37.056666666666665</v>
      </c>
      <c r="AC1190" s="31">
        <f>SUMIFS('Historico - FAT'!AL:AL,'Historico - FAT'!$K:$K,Faturamento!$L1190,'Historico - FAT'!$I:$I,Faturamento!$J1190,'Historico - FAT'!$G:$G,Faturamento!$H1190)</f>
        <v>66.448333333333338</v>
      </c>
      <c r="AD1190" s="31">
        <f>SUMIFS('Historico - FAT'!AM:AM,'Historico - FAT'!$K:$K,Faturamento!$L1190,'Historico - FAT'!$I:$I,Faturamento!$J1190,'Historico - FAT'!$G:$G,Faturamento!$H1190)</f>
        <v>90.429999999999993</v>
      </c>
      <c r="AE1190" s="27">
        <f>SUMIFS('Historico - FAT'!AN:AN,'Historico - FAT'!$K:$K,Faturamento!$L1190,'Historico - FAT'!$I:$I,Faturamento!$J1190,'Historico - FAT'!$G:$G,Faturamento!$H1190)</f>
        <v>79.738</v>
      </c>
      <c r="AG1190" s="24" t="str">
        <f t="shared" si="272"/>
        <v/>
      </c>
      <c r="AH1190" s="24" t="str">
        <f t="shared" si="273"/>
        <v/>
      </c>
      <c r="AI1190" s="24" t="str">
        <f t="shared" si="274"/>
        <v/>
      </c>
    </row>
    <row r="1191" spans="1:35" hidden="1" x14ac:dyDescent="0.3">
      <c r="A1191" s="2" t="str">
        <f t="shared" si="271"/>
        <v>NÃO</v>
      </c>
      <c r="B1191" s="2">
        <v>1000184670</v>
      </c>
      <c r="C1191" s="2" t="s">
        <v>147</v>
      </c>
      <c r="D1191" s="4">
        <v>1000186197</v>
      </c>
      <c r="E1191" s="4" t="s">
        <v>166</v>
      </c>
      <c r="F1191" s="2">
        <v>1000185288</v>
      </c>
      <c r="G1191" s="2" t="s">
        <v>64</v>
      </c>
      <c r="H1191" s="4">
        <v>1000189807</v>
      </c>
      <c r="I1191" s="4" t="s">
        <v>81</v>
      </c>
      <c r="J1191" s="2">
        <v>1000189270</v>
      </c>
      <c r="K1191" s="2" t="s">
        <v>34</v>
      </c>
      <c r="L1191" s="4" t="s">
        <v>18</v>
      </c>
      <c r="M1191" s="4" t="str">
        <f t="shared" si="278"/>
        <v>1000184670100018619710001898071000189270LANCHES</v>
      </c>
      <c r="N1191" s="28">
        <f>N1182*_xlfn.XLOOKUP($L1191,'Balizador da Meta'!$B$4:$B$21,'Balizador da Meta'!$C$4:$C$21)</f>
        <v>168</v>
      </c>
      <c r="O1191" s="28">
        <f>O1182*_xlfn.XLOOKUP($L1191,'Balizador da Meta'!$B$4:$B$21,'Balizador da Meta'!$C$4:$C$21)</f>
        <v>174</v>
      </c>
      <c r="P1191" s="28">
        <f>P1182*_xlfn.XLOOKUP($L1191,'Balizador da Meta'!$B$4:$B$21,'Balizador da Meta'!$C$4:$C$21)</f>
        <v>174</v>
      </c>
      <c r="Q1191" s="28">
        <f>Q1182*_xlfn.XLOOKUP($L1191,'Balizador da Meta'!$B$4:$B$21,'Balizador da Meta'!$C$4:$C$21)</f>
        <v>174</v>
      </c>
      <c r="R1191" s="28">
        <f>R1182*_xlfn.XLOOKUP($L1191,'Balizador da Meta'!$B$4:$B$21,'Balizador da Meta'!$C$4:$C$21)</f>
        <v>180</v>
      </c>
      <c r="S1191" s="28">
        <f>S1182*_xlfn.XLOOKUP($L1191,'Balizador da Meta'!$B$4:$B$21,'Balizador da Meta'!$C$4:$C$21)</f>
        <v>180</v>
      </c>
      <c r="T1191" s="28">
        <f>T1182*_xlfn.XLOOKUP($L1191,'Balizador da Meta'!$B$4:$B$21,'Balizador da Meta'!$C$4:$C$21)</f>
        <v>186</v>
      </c>
      <c r="U1191" s="28">
        <f>U1182*_xlfn.XLOOKUP($L1191,'Balizador da Meta'!$B$4:$B$21,'Balizador da Meta'!$C$4:$C$21)</f>
        <v>186</v>
      </c>
      <c r="V1191" s="28">
        <f>V1182*_xlfn.XLOOKUP($L1191,'Balizador da Meta'!$B$4:$B$21,'Balizador da Meta'!$C$4:$C$21)</f>
        <v>186</v>
      </c>
      <c r="W1191" s="28">
        <f>W1182*_xlfn.XLOOKUP($L1191,'Balizador da Meta'!$B$4:$B$21,'Balizador da Meta'!$C$4:$C$21)</f>
        <v>192</v>
      </c>
      <c r="X1191" s="28">
        <f>X1182*_xlfn.XLOOKUP($L1191,'Balizador da Meta'!$B$4:$B$21,'Balizador da Meta'!$C$4:$C$21)</f>
        <v>192</v>
      </c>
      <c r="Y1191" s="28">
        <f>Y1182*_xlfn.XLOOKUP($L1191,'Balizador da Meta'!$B$4:$B$21,'Balizador da Meta'!$C$4:$C$21)</f>
        <v>198</v>
      </c>
      <c r="Z1191" s="30">
        <f t="shared" si="284"/>
        <v>2190</v>
      </c>
      <c r="AA1191" s="29"/>
      <c r="AB1191" s="31">
        <f>SUMIFS('Historico - FAT'!AK:AK,'Historico - FAT'!$K:$K,Faturamento!$L1191,'Historico - FAT'!$I:$I,Faturamento!$J1191,'Historico - FAT'!$G:$G,Faturamento!$H1191)</f>
        <v>52.47</v>
      </c>
      <c r="AC1191" s="31">
        <f>SUMIFS('Historico - FAT'!AL:AL,'Historico - FAT'!$K:$K,Faturamento!$L1191,'Historico - FAT'!$I:$I,Faturamento!$J1191,'Historico - FAT'!$G:$G,Faturamento!$H1191)</f>
        <v>53.901666666666671</v>
      </c>
      <c r="AD1191" s="31">
        <f>SUMIFS('Historico - FAT'!AM:AM,'Historico - FAT'!$K:$K,Faturamento!$L1191,'Historico - FAT'!$I:$I,Faturamento!$J1191,'Historico - FAT'!$G:$G,Faturamento!$H1191)</f>
        <v>94.803333333333342</v>
      </c>
      <c r="AE1191" s="27">
        <f>SUMIFS('Historico - FAT'!AN:AN,'Historico - FAT'!$K:$K,Faturamento!$L1191,'Historico - FAT'!$I:$I,Faturamento!$J1191,'Historico - FAT'!$G:$G,Faturamento!$H1191)</f>
        <v>64.682000000000002</v>
      </c>
      <c r="AG1191" s="24">
        <f t="shared" si="272"/>
        <v>0.72953608247422685</v>
      </c>
      <c r="AH1191" s="24">
        <f t="shared" si="273"/>
        <v>0.72215635738831618</v>
      </c>
      <c r="AI1191" s="24">
        <f t="shared" si="274"/>
        <v>0.51132302405498276</v>
      </c>
    </row>
    <row r="1192" spans="1:35" hidden="1" x14ac:dyDescent="0.3">
      <c r="A1192" s="2" t="str">
        <f t="shared" si="271"/>
        <v>NÃO</v>
      </c>
      <c r="B1192" s="2">
        <v>1000184670</v>
      </c>
      <c r="C1192" s="2" t="s">
        <v>147</v>
      </c>
      <c r="D1192" s="4">
        <v>1000186197</v>
      </c>
      <c r="E1192" s="4" t="s">
        <v>166</v>
      </c>
      <c r="F1192" s="2">
        <v>1000185288</v>
      </c>
      <c r="G1192" s="2" t="s">
        <v>64</v>
      </c>
      <c r="H1192" s="4">
        <v>1000189807</v>
      </c>
      <c r="I1192" s="4" t="s">
        <v>81</v>
      </c>
      <c r="J1192" s="2">
        <v>1000189270</v>
      </c>
      <c r="K1192" s="2" t="s">
        <v>34</v>
      </c>
      <c r="L1192" s="4" t="s">
        <v>29</v>
      </c>
      <c r="M1192" s="4" t="str">
        <f t="shared" si="278"/>
        <v>1000184670100018619710001898071000189270MAIS GRANEL</v>
      </c>
      <c r="N1192" s="28">
        <f>N1182*_xlfn.XLOOKUP($L1192,'Balizador da Meta'!$B$4:$B$21,'Balizador da Meta'!$C$4:$C$21)</f>
        <v>5376</v>
      </c>
      <c r="O1192" s="28">
        <f>O1182*_xlfn.XLOOKUP($L1192,'Balizador da Meta'!$B$4:$B$21,'Balizador da Meta'!$C$4:$C$21)</f>
        <v>5568</v>
      </c>
      <c r="P1192" s="28">
        <f>P1182*_xlfn.XLOOKUP($L1192,'Balizador da Meta'!$B$4:$B$21,'Balizador da Meta'!$C$4:$C$21)</f>
        <v>5568</v>
      </c>
      <c r="Q1192" s="28">
        <f>Q1182*_xlfn.XLOOKUP($L1192,'Balizador da Meta'!$B$4:$B$21,'Balizador da Meta'!$C$4:$C$21)</f>
        <v>5568</v>
      </c>
      <c r="R1192" s="28">
        <f>R1182*_xlfn.XLOOKUP($L1192,'Balizador da Meta'!$B$4:$B$21,'Balizador da Meta'!$C$4:$C$21)</f>
        <v>5760</v>
      </c>
      <c r="S1192" s="28">
        <f>S1182*_xlfn.XLOOKUP($L1192,'Balizador da Meta'!$B$4:$B$21,'Balizador da Meta'!$C$4:$C$21)</f>
        <v>5760</v>
      </c>
      <c r="T1192" s="28">
        <f>T1182*_xlfn.XLOOKUP($L1192,'Balizador da Meta'!$B$4:$B$21,'Balizador da Meta'!$C$4:$C$21)</f>
        <v>5952</v>
      </c>
      <c r="U1192" s="28">
        <f>U1182*_xlfn.XLOOKUP($L1192,'Balizador da Meta'!$B$4:$B$21,'Balizador da Meta'!$C$4:$C$21)</f>
        <v>5952</v>
      </c>
      <c r="V1192" s="28">
        <f>V1182*_xlfn.XLOOKUP($L1192,'Balizador da Meta'!$B$4:$B$21,'Balizador da Meta'!$C$4:$C$21)</f>
        <v>5952</v>
      </c>
      <c r="W1192" s="28">
        <f>W1182*_xlfn.XLOOKUP($L1192,'Balizador da Meta'!$B$4:$B$21,'Balizador da Meta'!$C$4:$C$21)</f>
        <v>6144</v>
      </c>
      <c r="X1192" s="28">
        <f>X1182*_xlfn.XLOOKUP($L1192,'Balizador da Meta'!$B$4:$B$21,'Balizador da Meta'!$C$4:$C$21)</f>
        <v>6144</v>
      </c>
      <c r="Y1192" s="28">
        <f>Y1182*_xlfn.XLOOKUP($L1192,'Balizador da Meta'!$B$4:$B$21,'Balizador da Meta'!$C$4:$C$21)</f>
        <v>6336</v>
      </c>
      <c r="Z1192" s="30">
        <f t="shared" si="284"/>
        <v>70080</v>
      </c>
      <c r="AA1192" s="29"/>
      <c r="AB1192" s="31">
        <f>SUMIFS('Historico - FAT'!AK:AK,'Historico - FAT'!$K:$K,Faturamento!$L1192,'Historico - FAT'!$I:$I,Faturamento!$J1192,'Historico - FAT'!$G:$G,Faturamento!$H1192)</f>
        <v>0</v>
      </c>
      <c r="AC1192" s="31">
        <f>SUMIFS('Historico - FAT'!AL:AL,'Historico - FAT'!$K:$K,Faturamento!$L1192,'Historico - FAT'!$I:$I,Faturamento!$J1192,'Historico - FAT'!$G:$G,Faturamento!$H1192)</f>
        <v>8068.1499999999987</v>
      </c>
      <c r="AD1192" s="31">
        <f>SUMIFS('Historico - FAT'!AM:AM,'Historico - FAT'!$K:$K,Faturamento!$L1192,'Historico - FAT'!$I:$I,Faturamento!$J1192,'Historico - FAT'!$G:$G,Faturamento!$H1192)</f>
        <v>14604.466666666665</v>
      </c>
      <c r="AE1192" s="27">
        <f>SUMIFS('Historico - FAT'!AN:AN,'Historico - FAT'!$K:$K,Faturamento!$L1192,'Historico - FAT'!$I:$I,Faturamento!$J1192,'Historico - FAT'!$G:$G,Faturamento!$H1192)</f>
        <v>9681.7799999999988</v>
      </c>
      <c r="AG1192" s="24">
        <f t="shared" si="272"/>
        <v>1</v>
      </c>
      <c r="AH1192" s="24">
        <f t="shared" si="273"/>
        <v>-0.2996375644329895</v>
      </c>
      <c r="AI1192" s="24">
        <f t="shared" si="274"/>
        <v>-1.352523625429553</v>
      </c>
    </row>
    <row r="1193" spans="1:35" hidden="1" x14ac:dyDescent="0.3">
      <c r="A1193" s="2" t="str">
        <f t="shared" si="271"/>
        <v>NÃO</v>
      </c>
      <c r="B1193" s="2">
        <v>1000184670</v>
      </c>
      <c r="C1193" s="2" t="s">
        <v>147</v>
      </c>
      <c r="D1193" s="4">
        <v>1000186197</v>
      </c>
      <c r="E1193" s="4" t="s">
        <v>166</v>
      </c>
      <c r="F1193" s="2">
        <v>1000185288</v>
      </c>
      <c r="G1193" s="2" t="s">
        <v>64</v>
      </c>
      <c r="H1193" s="4">
        <v>1000189807</v>
      </c>
      <c r="I1193" s="4" t="s">
        <v>81</v>
      </c>
      <c r="J1193" s="2">
        <v>1000189270</v>
      </c>
      <c r="K1193" s="2" t="s">
        <v>34</v>
      </c>
      <c r="L1193" s="4" t="s">
        <v>21</v>
      </c>
      <c r="M1193" s="4" t="str">
        <f t="shared" si="278"/>
        <v>1000184670100018619710001898071000189270NATURATTA</v>
      </c>
      <c r="N1193" s="28">
        <f>N1182*_xlfn.XLOOKUP($L1193,'Balizador da Meta'!$B$4:$B$21,'Balizador da Meta'!$C$4:$C$21)</f>
        <v>840</v>
      </c>
      <c r="O1193" s="28">
        <f>O1182*_xlfn.XLOOKUP($L1193,'Balizador da Meta'!$B$4:$B$21,'Balizador da Meta'!$C$4:$C$21)</f>
        <v>870</v>
      </c>
      <c r="P1193" s="28">
        <f>P1182*_xlfn.XLOOKUP($L1193,'Balizador da Meta'!$B$4:$B$21,'Balizador da Meta'!$C$4:$C$21)</f>
        <v>870</v>
      </c>
      <c r="Q1193" s="28">
        <f>Q1182*_xlfn.XLOOKUP($L1193,'Balizador da Meta'!$B$4:$B$21,'Balizador da Meta'!$C$4:$C$21)</f>
        <v>870</v>
      </c>
      <c r="R1193" s="28">
        <f>R1182*_xlfn.XLOOKUP($L1193,'Balizador da Meta'!$B$4:$B$21,'Balizador da Meta'!$C$4:$C$21)</f>
        <v>900</v>
      </c>
      <c r="S1193" s="28">
        <f>S1182*_xlfn.XLOOKUP($L1193,'Balizador da Meta'!$B$4:$B$21,'Balizador da Meta'!$C$4:$C$21)</f>
        <v>900</v>
      </c>
      <c r="T1193" s="28">
        <f>T1182*_xlfn.XLOOKUP($L1193,'Balizador da Meta'!$B$4:$B$21,'Balizador da Meta'!$C$4:$C$21)</f>
        <v>930</v>
      </c>
      <c r="U1193" s="28">
        <f>U1182*_xlfn.XLOOKUP($L1193,'Balizador da Meta'!$B$4:$B$21,'Balizador da Meta'!$C$4:$C$21)</f>
        <v>930</v>
      </c>
      <c r="V1193" s="28">
        <f>V1182*_xlfn.XLOOKUP($L1193,'Balizador da Meta'!$B$4:$B$21,'Balizador da Meta'!$C$4:$C$21)</f>
        <v>930</v>
      </c>
      <c r="W1193" s="28">
        <f>W1182*_xlfn.XLOOKUP($L1193,'Balizador da Meta'!$B$4:$B$21,'Balizador da Meta'!$C$4:$C$21)</f>
        <v>960</v>
      </c>
      <c r="X1193" s="28">
        <f>X1182*_xlfn.XLOOKUP($L1193,'Balizador da Meta'!$B$4:$B$21,'Balizador da Meta'!$C$4:$C$21)</f>
        <v>960</v>
      </c>
      <c r="Y1193" s="28">
        <f>Y1182*_xlfn.XLOOKUP($L1193,'Balizador da Meta'!$B$4:$B$21,'Balizador da Meta'!$C$4:$C$21)</f>
        <v>990</v>
      </c>
      <c r="Z1193" s="30">
        <f t="shared" si="284"/>
        <v>10950</v>
      </c>
      <c r="AA1193" s="29"/>
      <c r="AB1193" s="31">
        <f>SUMIFS('Historico - FAT'!AK:AK,'Historico - FAT'!$K:$K,Faturamento!$L1193,'Historico - FAT'!$I:$I,Faturamento!$J1193,'Historico - FAT'!$G:$G,Faturamento!$H1193)</f>
        <v>33.75</v>
      </c>
      <c r="AC1193" s="31">
        <f>SUMIFS('Historico - FAT'!AL:AL,'Historico - FAT'!$K:$K,Faturamento!$L1193,'Historico - FAT'!$I:$I,Faturamento!$J1193,'Historico - FAT'!$G:$G,Faturamento!$H1193)</f>
        <v>469.27416666666664</v>
      </c>
      <c r="AD1193" s="31">
        <f>SUMIFS('Historico - FAT'!AM:AM,'Historico - FAT'!$K:$K,Faturamento!$L1193,'Historico - FAT'!$I:$I,Faturamento!$J1193,'Historico - FAT'!$G:$G,Faturamento!$H1193)</f>
        <v>926.79833333333329</v>
      </c>
      <c r="AE1193" s="27">
        <f>SUMIFS('Historico - FAT'!AN:AN,'Historico - FAT'!$K:$K,Faturamento!$L1193,'Historico - FAT'!$I:$I,Faturamento!$J1193,'Historico - FAT'!$G:$G,Faturamento!$H1193)</f>
        <v>563.12900000000002</v>
      </c>
      <c r="AG1193" s="24">
        <f t="shared" si="272"/>
        <v>0.96520618556701032</v>
      </c>
      <c r="AH1193" s="24">
        <f t="shared" si="273"/>
        <v>0.51621219931271478</v>
      </c>
      <c r="AI1193" s="24">
        <f t="shared" si="274"/>
        <v>4.4537800687285266E-2</v>
      </c>
    </row>
    <row r="1194" spans="1:35" hidden="1" x14ac:dyDescent="0.3">
      <c r="A1194" s="2" t="str">
        <f t="shared" si="271"/>
        <v>NÃO</v>
      </c>
      <c r="B1194" s="2">
        <v>1000184670</v>
      </c>
      <c r="C1194" s="2" t="s">
        <v>147</v>
      </c>
      <c r="D1194" s="4">
        <v>1000186197</v>
      </c>
      <c r="E1194" s="4" t="s">
        <v>166</v>
      </c>
      <c r="F1194" s="2">
        <v>1000185288</v>
      </c>
      <c r="G1194" s="2" t="s">
        <v>64</v>
      </c>
      <c r="H1194" s="4">
        <v>1000189807</v>
      </c>
      <c r="I1194" s="4" t="s">
        <v>81</v>
      </c>
      <c r="J1194" s="2">
        <v>1000189270</v>
      </c>
      <c r="K1194" s="2" t="s">
        <v>34</v>
      </c>
      <c r="L1194" s="4" t="s">
        <v>20</v>
      </c>
      <c r="M1194" s="4" t="str">
        <f t="shared" si="278"/>
        <v>1000184670100018619710001898071000189270REEMBALADOS</v>
      </c>
      <c r="N1194" s="28">
        <f>N1182*_xlfn.XLOOKUP($L1194,'Balizador da Meta'!$B$4:$B$21,'Balizador da Meta'!$C$4:$C$21)</f>
        <v>672</v>
      </c>
      <c r="O1194" s="28">
        <f>O1182*_xlfn.XLOOKUP($L1194,'Balizador da Meta'!$B$4:$B$21,'Balizador da Meta'!$C$4:$C$21)</f>
        <v>696</v>
      </c>
      <c r="P1194" s="28">
        <f>P1182*_xlfn.XLOOKUP($L1194,'Balizador da Meta'!$B$4:$B$21,'Balizador da Meta'!$C$4:$C$21)</f>
        <v>696</v>
      </c>
      <c r="Q1194" s="28">
        <f>Q1182*_xlfn.XLOOKUP($L1194,'Balizador da Meta'!$B$4:$B$21,'Balizador da Meta'!$C$4:$C$21)</f>
        <v>696</v>
      </c>
      <c r="R1194" s="28">
        <f>R1182*_xlfn.XLOOKUP($L1194,'Balizador da Meta'!$B$4:$B$21,'Balizador da Meta'!$C$4:$C$21)</f>
        <v>720</v>
      </c>
      <c r="S1194" s="28">
        <f>S1182*_xlfn.XLOOKUP($L1194,'Balizador da Meta'!$B$4:$B$21,'Balizador da Meta'!$C$4:$C$21)</f>
        <v>720</v>
      </c>
      <c r="T1194" s="28">
        <f>T1182*_xlfn.XLOOKUP($L1194,'Balizador da Meta'!$B$4:$B$21,'Balizador da Meta'!$C$4:$C$21)</f>
        <v>744</v>
      </c>
      <c r="U1194" s="28">
        <f>U1182*_xlfn.XLOOKUP($L1194,'Balizador da Meta'!$B$4:$B$21,'Balizador da Meta'!$C$4:$C$21)</f>
        <v>744</v>
      </c>
      <c r="V1194" s="28">
        <f>V1182*_xlfn.XLOOKUP($L1194,'Balizador da Meta'!$B$4:$B$21,'Balizador da Meta'!$C$4:$C$21)</f>
        <v>744</v>
      </c>
      <c r="W1194" s="28">
        <f>W1182*_xlfn.XLOOKUP($L1194,'Balizador da Meta'!$B$4:$B$21,'Balizador da Meta'!$C$4:$C$21)</f>
        <v>768</v>
      </c>
      <c r="X1194" s="28">
        <f>X1182*_xlfn.XLOOKUP($L1194,'Balizador da Meta'!$B$4:$B$21,'Balizador da Meta'!$C$4:$C$21)</f>
        <v>768</v>
      </c>
      <c r="Y1194" s="28">
        <f>Y1182*_xlfn.XLOOKUP($L1194,'Balizador da Meta'!$B$4:$B$21,'Balizador da Meta'!$C$4:$C$21)</f>
        <v>792</v>
      </c>
      <c r="Z1194" s="30">
        <f t="shared" si="284"/>
        <v>8760</v>
      </c>
      <c r="AA1194" s="29"/>
      <c r="AB1194" s="31">
        <f>SUMIFS('Historico - FAT'!AK:AK,'Historico - FAT'!$K:$K,Faturamento!$L1194,'Historico - FAT'!$I:$I,Faturamento!$J1194,'Historico - FAT'!$G:$G,Faturamento!$H1194)</f>
        <v>155.19666666666669</v>
      </c>
      <c r="AC1194" s="31">
        <f>SUMIFS('Historico - FAT'!AL:AL,'Historico - FAT'!$K:$K,Faturamento!$L1194,'Historico - FAT'!$I:$I,Faturamento!$J1194,'Historico - FAT'!$G:$G,Faturamento!$H1194)</f>
        <v>1138.3266666666666</v>
      </c>
      <c r="AD1194" s="31">
        <f>SUMIFS('Historico - FAT'!AM:AM,'Historico - FAT'!$K:$K,Faturamento!$L1194,'Historico - FAT'!$I:$I,Faturamento!$J1194,'Historico - FAT'!$G:$G,Faturamento!$H1194)</f>
        <v>2263.2233333333334</v>
      </c>
      <c r="AE1194" s="27">
        <f>SUMIFS('Historico - FAT'!AN:AN,'Historico - FAT'!$K:$K,Faturamento!$L1194,'Historico - FAT'!$I:$I,Faturamento!$J1194,'Historico - FAT'!$G:$G,Faturamento!$H1194)</f>
        <v>1365.992</v>
      </c>
      <c r="AG1194" s="24">
        <f t="shared" si="272"/>
        <v>0.80000429553264596</v>
      </c>
      <c r="AH1194" s="24">
        <f t="shared" si="273"/>
        <v>-0.46691580756013734</v>
      </c>
      <c r="AI1194" s="24">
        <f t="shared" si="274"/>
        <v>-1.9165249140893472</v>
      </c>
    </row>
    <row r="1195" spans="1:35" hidden="1" x14ac:dyDescent="0.3">
      <c r="A1195" s="2" t="str">
        <f t="shared" si="271"/>
        <v>NÃO</v>
      </c>
      <c r="B1195" s="2">
        <v>1000184670</v>
      </c>
      <c r="C1195" s="2" t="s">
        <v>147</v>
      </c>
      <c r="D1195" s="4">
        <v>1000186197</v>
      </c>
      <c r="E1195" s="4" t="s">
        <v>166</v>
      </c>
      <c r="F1195" s="2">
        <v>1000185288</v>
      </c>
      <c r="G1195" s="2" t="s">
        <v>64</v>
      </c>
      <c r="H1195" s="4">
        <v>1000189807</v>
      </c>
      <c r="I1195" s="4" t="s">
        <v>81</v>
      </c>
      <c r="J1195" s="2">
        <v>1000189270</v>
      </c>
      <c r="K1195" s="2" t="s">
        <v>34</v>
      </c>
      <c r="L1195" s="4" t="s">
        <v>22</v>
      </c>
      <c r="M1195" s="4" t="str">
        <f t="shared" si="278"/>
        <v>1000184670100018619710001898071000189270S GLUTEN</v>
      </c>
      <c r="N1195" s="28">
        <f>N1182*_xlfn.XLOOKUP($L1195,'Balizador da Meta'!$B$4:$B$21,'Balizador da Meta'!$C$4:$C$21)</f>
        <v>672</v>
      </c>
      <c r="O1195" s="28">
        <f>O1182*_xlfn.XLOOKUP($L1195,'Balizador da Meta'!$B$4:$B$21,'Balizador da Meta'!$C$4:$C$21)</f>
        <v>696</v>
      </c>
      <c r="P1195" s="28">
        <f>P1182*_xlfn.XLOOKUP($L1195,'Balizador da Meta'!$B$4:$B$21,'Balizador da Meta'!$C$4:$C$21)</f>
        <v>696</v>
      </c>
      <c r="Q1195" s="28">
        <f>Q1182*_xlfn.XLOOKUP($L1195,'Balizador da Meta'!$B$4:$B$21,'Balizador da Meta'!$C$4:$C$21)</f>
        <v>696</v>
      </c>
      <c r="R1195" s="28">
        <f>R1182*_xlfn.XLOOKUP($L1195,'Balizador da Meta'!$B$4:$B$21,'Balizador da Meta'!$C$4:$C$21)</f>
        <v>720</v>
      </c>
      <c r="S1195" s="28">
        <f>S1182*_xlfn.XLOOKUP($L1195,'Balizador da Meta'!$B$4:$B$21,'Balizador da Meta'!$C$4:$C$21)</f>
        <v>720</v>
      </c>
      <c r="T1195" s="28">
        <f>T1182*_xlfn.XLOOKUP($L1195,'Balizador da Meta'!$B$4:$B$21,'Balizador da Meta'!$C$4:$C$21)</f>
        <v>744</v>
      </c>
      <c r="U1195" s="28">
        <f>U1182*_xlfn.XLOOKUP($L1195,'Balizador da Meta'!$B$4:$B$21,'Balizador da Meta'!$C$4:$C$21)</f>
        <v>744</v>
      </c>
      <c r="V1195" s="28">
        <f>V1182*_xlfn.XLOOKUP($L1195,'Balizador da Meta'!$B$4:$B$21,'Balizador da Meta'!$C$4:$C$21)</f>
        <v>744</v>
      </c>
      <c r="W1195" s="28">
        <f>W1182*_xlfn.XLOOKUP($L1195,'Balizador da Meta'!$B$4:$B$21,'Balizador da Meta'!$C$4:$C$21)</f>
        <v>768</v>
      </c>
      <c r="X1195" s="28">
        <f>X1182*_xlfn.XLOOKUP($L1195,'Balizador da Meta'!$B$4:$B$21,'Balizador da Meta'!$C$4:$C$21)</f>
        <v>768</v>
      </c>
      <c r="Y1195" s="28">
        <f>Y1182*_xlfn.XLOOKUP($L1195,'Balizador da Meta'!$B$4:$B$21,'Balizador da Meta'!$C$4:$C$21)</f>
        <v>792</v>
      </c>
      <c r="Z1195" s="30">
        <f t="shared" si="284"/>
        <v>8760</v>
      </c>
      <c r="AA1195" s="29"/>
      <c r="AB1195" s="31">
        <f>SUMIFS('Historico - FAT'!AK:AK,'Historico - FAT'!$K:$K,Faturamento!$L1195,'Historico - FAT'!$I:$I,Faturamento!$J1195,'Historico - FAT'!$G:$G,Faturamento!$H1195)</f>
        <v>193.48333333333335</v>
      </c>
      <c r="AC1195" s="31">
        <f>SUMIFS('Historico - FAT'!AL:AL,'Historico - FAT'!$K:$K,Faturamento!$L1195,'Historico - FAT'!$I:$I,Faturamento!$J1195,'Historico - FAT'!$G:$G,Faturamento!$H1195)</f>
        <v>75.915833333333339</v>
      </c>
      <c r="AD1195" s="31">
        <f>SUMIFS('Historico - FAT'!AM:AM,'Historico - FAT'!$K:$K,Faturamento!$L1195,'Historico - FAT'!$I:$I,Faturamento!$J1195,'Historico - FAT'!$G:$G,Faturamento!$H1195)</f>
        <v>151.83166666666668</v>
      </c>
      <c r="AE1195" s="27">
        <f>SUMIFS('Historico - FAT'!AN:AN,'Historico - FAT'!$K:$K,Faturamento!$L1195,'Historico - FAT'!$I:$I,Faturamento!$J1195,'Historico - FAT'!$G:$G,Faturamento!$H1195)</f>
        <v>91.099000000000004</v>
      </c>
      <c r="AG1195" s="24">
        <f t="shared" si="272"/>
        <v>0.75066580756013745</v>
      </c>
      <c r="AH1195" s="24">
        <f t="shared" si="273"/>
        <v>0.90217031786941582</v>
      </c>
      <c r="AI1195" s="24">
        <f t="shared" si="274"/>
        <v>0.80434063573883152</v>
      </c>
    </row>
    <row r="1196" spans="1:35" hidden="1" x14ac:dyDescent="0.3">
      <c r="A1196" s="2" t="str">
        <f t="shared" si="271"/>
        <v>NÃO</v>
      </c>
      <c r="B1196" s="2">
        <v>1000184670</v>
      </c>
      <c r="C1196" s="2" t="s">
        <v>147</v>
      </c>
      <c r="D1196" s="4">
        <v>1000186197</v>
      </c>
      <c r="E1196" s="4" t="s">
        <v>166</v>
      </c>
      <c r="F1196" s="2">
        <v>1000185288</v>
      </c>
      <c r="G1196" s="2" t="s">
        <v>64</v>
      </c>
      <c r="H1196" s="4">
        <v>1000189807</v>
      </c>
      <c r="I1196" s="4" t="s">
        <v>81</v>
      </c>
      <c r="J1196" s="2">
        <v>1000189270</v>
      </c>
      <c r="K1196" s="2" t="s">
        <v>34</v>
      </c>
      <c r="L1196" s="4" t="s">
        <v>23</v>
      </c>
      <c r="M1196" s="4" t="str">
        <f t="shared" si="278"/>
        <v>1000184670100018619710001898071000189270SABORES DO CAMPO</v>
      </c>
      <c r="N1196" s="28">
        <f>N1182*_xlfn.XLOOKUP($L1196,'Balizador da Meta'!$B$4:$B$21,'Balizador da Meta'!$C$4:$C$21)</f>
        <v>0</v>
      </c>
      <c r="O1196" s="28">
        <f>O1182*_xlfn.XLOOKUP($L1196,'Balizador da Meta'!$B$4:$B$21,'Balizador da Meta'!$C$4:$C$21)</f>
        <v>0</v>
      </c>
      <c r="P1196" s="28">
        <f>P1182*_xlfn.XLOOKUP($L1196,'Balizador da Meta'!$B$4:$B$21,'Balizador da Meta'!$C$4:$C$21)</f>
        <v>0</v>
      </c>
      <c r="Q1196" s="28">
        <f>Q1182*_xlfn.XLOOKUP($L1196,'Balizador da Meta'!$B$4:$B$21,'Balizador da Meta'!$C$4:$C$21)</f>
        <v>0</v>
      </c>
      <c r="R1196" s="28">
        <f>R1182*_xlfn.XLOOKUP($L1196,'Balizador da Meta'!$B$4:$B$21,'Balizador da Meta'!$C$4:$C$21)</f>
        <v>0</v>
      </c>
      <c r="S1196" s="28">
        <f>S1182*_xlfn.XLOOKUP($L1196,'Balizador da Meta'!$B$4:$B$21,'Balizador da Meta'!$C$4:$C$21)</f>
        <v>0</v>
      </c>
      <c r="T1196" s="28">
        <f>T1182*_xlfn.XLOOKUP($L1196,'Balizador da Meta'!$B$4:$B$21,'Balizador da Meta'!$C$4:$C$21)</f>
        <v>0</v>
      </c>
      <c r="U1196" s="28">
        <f>U1182*_xlfn.XLOOKUP($L1196,'Balizador da Meta'!$B$4:$B$21,'Balizador da Meta'!$C$4:$C$21)</f>
        <v>0</v>
      </c>
      <c r="V1196" s="28">
        <f>V1182*_xlfn.XLOOKUP($L1196,'Balizador da Meta'!$B$4:$B$21,'Balizador da Meta'!$C$4:$C$21)</f>
        <v>0</v>
      </c>
      <c r="W1196" s="28">
        <f>W1182*_xlfn.XLOOKUP($L1196,'Balizador da Meta'!$B$4:$B$21,'Balizador da Meta'!$C$4:$C$21)</f>
        <v>0</v>
      </c>
      <c r="X1196" s="28">
        <f>X1182*_xlfn.XLOOKUP($L1196,'Balizador da Meta'!$B$4:$B$21,'Balizador da Meta'!$C$4:$C$21)</f>
        <v>0</v>
      </c>
      <c r="Y1196" s="28">
        <f>Y1182*_xlfn.XLOOKUP($L1196,'Balizador da Meta'!$B$4:$B$21,'Balizador da Meta'!$C$4:$C$21)</f>
        <v>0</v>
      </c>
      <c r="Z1196" s="30">
        <f t="shared" si="284"/>
        <v>0</v>
      </c>
      <c r="AA1196" s="29"/>
      <c r="AB1196" s="31">
        <f>SUMIFS('Historico - FAT'!AK:AK,'Historico - FAT'!$K:$K,Faturamento!$L1196,'Historico - FAT'!$I:$I,Faturamento!$J1196,'Historico - FAT'!$G:$G,Faturamento!$H1196)</f>
        <v>0</v>
      </c>
      <c r="AC1196" s="31">
        <f>SUMIFS('Historico - FAT'!AL:AL,'Historico - FAT'!$K:$K,Faturamento!$L1196,'Historico - FAT'!$I:$I,Faturamento!$J1196,'Historico - FAT'!$G:$G,Faturamento!$H1196)</f>
        <v>0</v>
      </c>
      <c r="AD1196" s="31">
        <f>SUMIFS('Historico - FAT'!AM:AM,'Historico - FAT'!$K:$K,Faturamento!$L1196,'Historico - FAT'!$I:$I,Faturamento!$J1196,'Historico - FAT'!$G:$G,Faturamento!$H1196)</f>
        <v>0</v>
      </c>
      <c r="AE1196" s="27">
        <f>SUMIFS('Historico - FAT'!AN:AN,'Historico - FAT'!$K:$K,Faturamento!$L1196,'Historico - FAT'!$I:$I,Faturamento!$J1196,'Historico - FAT'!$G:$G,Faturamento!$H1196)</f>
        <v>0</v>
      </c>
      <c r="AG1196" s="24" t="str">
        <f t="shared" si="272"/>
        <v/>
      </c>
      <c r="AH1196" s="24" t="str">
        <f t="shared" si="273"/>
        <v/>
      </c>
      <c r="AI1196" s="24" t="str">
        <f t="shared" si="274"/>
        <v/>
      </c>
    </row>
    <row r="1197" spans="1:35" hidden="1" x14ac:dyDescent="0.3">
      <c r="A1197" s="2" t="str">
        <f t="shared" si="271"/>
        <v>NÃO</v>
      </c>
      <c r="B1197" s="2">
        <v>1000184670</v>
      </c>
      <c r="C1197" s="2" t="s">
        <v>147</v>
      </c>
      <c r="D1197" s="4">
        <v>1000186197</v>
      </c>
      <c r="E1197" s="4" t="s">
        <v>166</v>
      </c>
      <c r="F1197" s="2">
        <v>1000185288</v>
      </c>
      <c r="G1197" s="2" t="s">
        <v>64</v>
      </c>
      <c r="H1197" s="4">
        <v>1000189807</v>
      </c>
      <c r="I1197" s="4" t="s">
        <v>81</v>
      </c>
      <c r="J1197" s="2">
        <v>1000189270</v>
      </c>
      <c r="K1197" s="2" t="s">
        <v>34</v>
      </c>
      <c r="L1197" s="4" t="s">
        <v>28</v>
      </c>
      <c r="M1197" s="4" t="str">
        <f t="shared" si="278"/>
        <v>1000184670100018619710001898071000189270SAL</v>
      </c>
      <c r="N1197" s="28">
        <f>N1182*_xlfn.XLOOKUP($L1197,'Balizador da Meta'!$B$4:$B$21,'Balizador da Meta'!$C$4:$C$21)</f>
        <v>336</v>
      </c>
      <c r="O1197" s="28">
        <f>O1182*_xlfn.XLOOKUP($L1197,'Balizador da Meta'!$B$4:$B$21,'Balizador da Meta'!$C$4:$C$21)</f>
        <v>348</v>
      </c>
      <c r="P1197" s="28">
        <f>P1182*_xlfn.XLOOKUP($L1197,'Balizador da Meta'!$B$4:$B$21,'Balizador da Meta'!$C$4:$C$21)</f>
        <v>348</v>
      </c>
      <c r="Q1197" s="28">
        <f>Q1182*_xlfn.XLOOKUP($L1197,'Balizador da Meta'!$B$4:$B$21,'Balizador da Meta'!$C$4:$C$21)</f>
        <v>348</v>
      </c>
      <c r="R1197" s="28">
        <f>R1182*_xlfn.XLOOKUP($L1197,'Balizador da Meta'!$B$4:$B$21,'Balizador da Meta'!$C$4:$C$21)</f>
        <v>360</v>
      </c>
      <c r="S1197" s="28">
        <f>S1182*_xlfn.XLOOKUP($L1197,'Balizador da Meta'!$B$4:$B$21,'Balizador da Meta'!$C$4:$C$21)</f>
        <v>360</v>
      </c>
      <c r="T1197" s="28">
        <f>T1182*_xlfn.XLOOKUP($L1197,'Balizador da Meta'!$B$4:$B$21,'Balizador da Meta'!$C$4:$C$21)</f>
        <v>372</v>
      </c>
      <c r="U1197" s="28">
        <f>U1182*_xlfn.XLOOKUP($L1197,'Balizador da Meta'!$B$4:$B$21,'Balizador da Meta'!$C$4:$C$21)</f>
        <v>372</v>
      </c>
      <c r="V1197" s="28">
        <f>V1182*_xlfn.XLOOKUP($L1197,'Balizador da Meta'!$B$4:$B$21,'Balizador da Meta'!$C$4:$C$21)</f>
        <v>372</v>
      </c>
      <c r="W1197" s="28">
        <f>W1182*_xlfn.XLOOKUP($L1197,'Balizador da Meta'!$B$4:$B$21,'Balizador da Meta'!$C$4:$C$21)</f>
        <v>384</v>
      </c>
      <c r="X1197" s="28">
        <f>X1182*_xlfn.XLOOKUP($L1197,'Balizador da Meta'!$B$4:$B$21,'Balizador da Meta'!$C$4:$C$21)</f>
        <v>384</v>
      </c>
      <c r="Y1197" s="28">
        <f>Y1182*_xlfn.XLOOKUP($L1197,'Balizador da Meta'!$B$4:$B$21,'Balizador da Meta'!$C$4:$C$21)</f>
        <v>396</v>
      </c>
      <c r="Z1197" s="30">
        <f t="shared" si="284"/>
        <v>4380</v>
      </c>
      <c r="AA1197" s="29"/>
      <c r="AB1197" s="31">
        <f>SUMIFS('Historico - FAT'!AK:AK,'Historico - FAT'!$K:$K,Faturamento!$L1197,'Historico - FAT'!$I:$I,Faturamento!$J1197,'Historico - FAT'!$G:$G,Faturamento!$H1197)</f>
        <v>79.533333333333331</v>
      </c>
      <c r="AC1197" s="31">
        <f>SUMIFS('Historico - FAT'!AL:AL,'Historico - FAT'!$K:$K,Faturamento!$L1197,'Historico - FAT'!$I:$I,Faturamento!$J1197,'Historico - FAT'!$G:$G,Faturamento!$H1197)</f>
        <v>12.470833333333333</v>
      </c>
      <c r="AD1197" s="31">
        <f>SUMIFS('Historico - FAT'!AM:AM,'Historico - FAT'!$K:$K,Faturamento!$L1197,'Historico - FAT'!$I:$I,Faturamento!$J1197,'Historico - FAT'!$G:$G,Faturamento!$H1197)</f>
        <v>24.941666666666666</v>
      </c>
      <c r="AE1197" s="27">
        <f>SUMIFS('Historico - FAT'!AN:AN,'Historico - FAT'!$K:$K,Faturamento!$L1197,'Historico - FAT'!$I:$I,Faturamento!$J1197,'Historico - FAT'!$G:$G,Faturamento!$H1197)</f>
        <v>14.965</v>
      </c>
      <c r="AG1197" s="24">
        <f t="shared" si="272"/>
        <v>0.79501718213058425</v>
      </c>
      <c r="AH1197" s="24">
        <f t="shared" si="273"/>
        <v>0.96785867697594496</v>
      </c>
      <c r="AI1197" s="24">
        <f t="shared" si="274"/>
        <v>0.93571735395189004</v>
      </c>
    </row>
    <row r="1198" spans="1:35" hidden="1" x14ac:dyDescent="0.3">
      <c r="A1198" s="2" t="str">
        <f t="shared" si="271"/>
        <v>NÃO</v>
      </c>
      <c r="B1198" s="2">
        <v>1000184670</v>
      </c>
      <c r="C1198" s="2" t="s">
        <v>147</v>
      </c>
      <c r="D1198" s="4">
        <v>1000186197</v>
      </c>
      <c r="E1198" s="4" t="s">
        <v>166</v>
      </c>
      <c r="F1198" s="2">
        <v>1000185288</v>
      </c>
      <c r="G1198" s="2" t="s">
        <v>64</v>
      </c>
      <c r="H1198" s="4">
        <v>1000189807</v>
      </c>
      <c r="I1198" s="4" t="s">
        <v>81</v>
      </c>
      <c r="J1198" s="2">
        <v>1000189270</v>
      </c>
      <c r="K1198" s="2" t="s">
        <v>34</v>
      </c>
      <c r="L1198" s="4" t="s">
        <v>26</v>
      </c>
      <c r="M1198" s="4" t="str">
        <f t="shared" si="278"/>
        <v>1000184670100018619710001898071000189270SOULPRO</v>
      </c>
      <c r="N1198" s="28">
        <f>N1182*_xlfn.XLOOKUP($L1198,'Balizador da Meta'!$B$4:$B$21,'Balizador da Meta'!$C$4:$C$21)</f>
        <v>1008</v>
      </c>
      <c r="O1198" s="28">
        <f>O1182*_xlfn.XLOOKUP($L1198,'Balizador da Meta'!$B$4:$B$21,'Balizador da Meta'!$C$4:$C$21)</f>
        <v>1044</v>
      </c>
      <c r="P1198" s="28">
        <f>P1182*_xlfn.XLOOKUP($L1198,'Balizador da Meta'!$B$4:$B$21,'Balizador da Meta'!$C$4:$C$21)</f>
        <v>1044</v>
      </c>
      <c r="Q1198" s="28">
        <f>Q1182*_xlfn.XLOOKUP($L1198,'Balizador da Meta'!$B$4:$B$21,'Balizador da Meta'!$C$4:$C$21)</f>
        <v>1044</v>
      </c>
      <c r="R1198" s="28">
        <f>R1182*_xlfn.XLOOKUP($L1198,'Balizador da Meta'!$B$4:$B$21,'Balizador da Meta'!$C$4:$C$21)</f>
        <v>1080</v>
      </c>
      <c r="S1198" s="28">
        <f>S1182*_xlfn.XLOOKUP($L1198,'Balizador da Meta'!$B$4:$B$21,'Balizador da Meta'!$C$4:$C$21)</f>
        <v>1080</v>
      </c>
      <c r="T1198" s="28">
        <f>T1182*_xlfn.XLOOKUP($L1198,'Balizador da Meta'!$B$4:$B$21,'Balizador da Meta'!$C$4:$C$21)</f>
        <v>1116</v>
      </c>
      <c r="U1198" s="28">
        <f>U1182*_xlfn.XLOOKUP($L1198,'Balizador da Meta'!$B$4:$B$21,'Balizador da Meta'!$C$4:$C$21)</f>
        <v>1116</v>
      </c>
      <c r="V1198" s="28">
        <f>V1182*_xlfn.XLOOKUP($L1198,'Balizador da Meta'!$B$4:$B$21,'Balizador da Meta'!$C$4:$C$21)</f>
        <v>1116</v>
      </c>
      <c r="W1198" s="28">
        <f>W1182*_xlfn.XLOOKUP($L1198,'Balizador da Meta'!$B$4:$B$21,'Balizador da Meta'!$C$4:$C$21)</f>
        <v>1152</v>
      </c>
      <c r="X1198" s="28">
        <f>X1182*_xlfn.XLOOKUP($L1198,'Balizador da Meta'!$B$4:$B$21,'Balizador da Meta'!$C$4:$C$21)</f>
        <v>1152</v>
      </c>
      <c r="Y1198" s="28">
        <f>Y1182*_xlfn.XLOOKUP($L1198,'Balizador da Meta'!$B$4:$B$21,'Balizador da Meta'!$C$4:$C$21)</f>
        <v>1188</v>
      </c>
      <c r="Z1198" s="30">
        <f t="shared" si="284"/>
        <v>13140</v>
      </c>
      <c r="AA1198" s="29"/>
      <c r="AB1198" s="31">
        <f>SUMIFS('Historico - FAT'!AK:AK,'Historico - FAT'!$K:$K,Faturamento!$L1198,'Historico - FAT'!$I:$I,Faturamento!$J1198,'Historico - FAT'!$G:$G,Faturamento!$H1198)</f>
        <v>783.12416666666661</v>
      </c>
      <c r="AC1198" s="31">
        <f>SUMIFS('Historico - FAT'!AL:AL,'Historico - FAT'!$K:$K,Faturamento!$L1198,'Historico - FAT'!$I:$I,Faturamento!$J1198,'Historico - FAT'!$G:$G,Faturamento!$H1198)</f>
        <v>1455.4033333333334</v>
      </c>
      <c r="AD1198" s="31">
        <f>SUMIFS('Historico - FAT'!AM:AM,'Historico - FAT'!$K:$K,Faturamento!$L1198,'Historico - FAT'!$I:$I,Faturamento!$J1198,'Historico - FAT'!$G:$G,Faturamento!$H1198)</f>
        <v>856.69999999999993</v>
      </c>
      <c r="AE1198" s="27">
        <f>SUMIFS('Historico - FAT'!AN:AN,'Historico - FAT'!$K:$K,Faturamento!$L1198,'Historico - FAT'!$I:$I,Faturamento!$J1198,'Historico - FAT'!$G:$G,Faturamento!$H1198)</f>
        <v>1455.6410000000001</v>
      </c>
      <c r="AG1198" s="24">
        <f t="shared" si="272"/>
        <v>0.32721291523482249</v>
      </c>
      <c r="AH1198" s="24">
        <f t="shared" si="273"/>
        <v>-0.25034650630011462</v>
      </c>
      <c r="AI1198" s="24">
        <f t="shared" si="274"/>
        <v>0.2640034364261169</v>
      </c>
    </row>
    <row r="1199" spans="1:35" hidden="1" x14ac:dyDescent="0.3">
      <c r="A1199" s="2" t="str">
        <f t="shared" si="271"/>
        <v>NÃO</v>
      </c>
      <c r="B1199" s="2">
        <v>1000184670</v>
      </c>
      <c r="C1199" s="2" t="s">
        <v>147</v>
      </c>
      <c r="D1199" s="4">
        <v>1000186197</v>
      </c>
      <c r="E1199" s="4" t="s">
        <v>166</v>
      </c>
      <c r="F1199" s="2">
        <v>1000185288</v>
      </c>
      <c r="G1199" s="2" t="s">
        <v>64</v>
      </c>
      <c r="H1199" s="4">
        <v>1000189807</v>
      </c>
      <c r="I1199" s="4" t="s">
        <v>81</v>
      </c>
      <c r="J1199" s="2">
        <v>1000189270</v>
      </c>
      <c r="K1199" s="2" t="s">
        <v>34</v>
      </c>
      <c r="L1199" s="4" t="s">
        <v>27</v>
      </c>
      <c r="M1199" s="4" t="str">
        <f t="shared" si="278"/>
        <v>1000184670100018619710001898071000189270TAMARA</v>
      </c>
      <c r="N1199" s="28">
        <f>N1182*_xlfn.XLOOKUP($L1199,'Balizador da Meta'!$B$4:$B$21,'Balizador da Meta'!$C$4:$C$21)</f>
        <v>1344</v>
      </c>
      <c r="O1199" s="28">
        <f>O1182*_xlfn.XLOOKUP($L1199,'Balizador da Meta'!$B$4:$B$21,'Balizador da Meta'!$C$4:$C$21)</f>
        <v>1392</v>
      </c>
      <c r="P1199" s="28">
        <f>P1182*_xlfn.XLOOKUP($L1199,'Balizador da Meta'!$B$4:$B$21,'Balizador da Meta'!$C$4:$C$21)</f>
        <v>1392</v>
      </c>
      <c r="Q1199" s="28">
        <f>Q1182*_xlfn.XLOOKUP($L1199,'Balizador da Meta'!$B$4:$B$21,'Balizador da Meta'!$C$4:$C$21)</f>
        <v>1392</v>
      </c>
      <c r="R1199" s="28">
        <f>R1182*_xlfn.XLOOKUP($L1199,'Balizador da Meta'!$B$4:$B$21,'Balizador da Meta'!$C$4:$C$21)</f>
        <v>1440</v>
      </c>
      <c r="S1199" s="28">
        <f>S1182*_xlfn.XLOOKUP($L1199,'Balizador da Meta'!$B$4:$B$21,'Balizador da Meta'!$C$4:$C$21)</f>
        <v>1440</v>
      </c>
      <c r="T1199" s="28">
        <f>T1182*_xlfn.XLOOKUP($L1199,'Balizador da Meta'!$B$4:$B$21,'Balizador da Meta'!$C$4:$C$21)</f>
        <v>1488</v>
      </c>
      <c r="U1199" s="28">
        <f>U1182*_xlfn.XLOOKUP($L1199,'Balizador da Meta'!$B$4:$B$21,'Balizador da Meta'!$C$4:$C$21)</f>
        <v>1488</v>
      </c>
      <c r="V1199" s="28">
        <f>V1182*_xlfn.XLOOKUP($L1199,'Balizador da Meta'!$B$4:$B$21,'Balizador da Meta'!$C$4:$C$21)</f>
        <v>1488</v>
      </c>
      <c r="W1199" s="28">
        <f>W1182*_xlfn.XLOOKUP($L1199,'Balizador da Meta'!$B$4:$B$21,'Balizador da Meta'!$C$4:$C$21)</f>
        <v>1536</v>
      </c>
      <c r="X1199" s="28">
        <f>X1182*_xlfn.XLOOKUP($L1199,'Balizador da Meta'!$B$4:$B$21,'Balizador da Meta'!$C$4:$C$21)</f>
        <v>1536</v>
      </c>
      <c r="Y1199" s="28">
        <f>Y1182*_xlfn.XLOOKUP($L1199,'Balizador da Meta'!$B$4:$B$21,'Balizador da Meta'!$C$4:$C$21)</f>
        <v>1584</v>
      </c>
      <c r="Z1199" s="30">
        <f t="shared" si="284"/>
        <v>17520</v>
      </c>
      <c r="AA1199" s="29"/>
      <c r="AB1199" s="31">
        <f>SUMIFS('Historico - FAT'!AK:AK,'Historico - FAT'!$K:$K,Faturamento!$L1199,'Historico - FAT'!$I:$I,Faturamento!$J1199,'Historico - FAT'!$G:$G,Faturamento!$H1199)</f>
        <v>0</v>
      </c>
      <c r="AC1199" s="31">
        <f>SUMIFS('Historico - FAT'!AL:AL,'Historico - FAT'!$K:$K,Faturamento!$L1199,'Historico - FAT'!$I:$I,Faturamento!$J1199,'Historico - FAT'!$G:$G,Faturamento!$H1199)</f>
        <v>68.045833333333334</v>
      </c>
      <c r="AD1199" s="31">
        <f>SUMIFS('Historico - FAT'!AM:AM,'Historico - FAT'!$K:$K,Faturamento!$L1199,'Historico - FAT'!$I:$I,Faturamento!$J1199,'Historico - FAT'!$G:$G,Faturamento!$H1199)</f>
        <v>136.09166666666667</v>
      </c>
      <c r="AE1199" s="27">
        <f>SUMIFS('Historico - FAT'!AN:AN,'Historico - FAT'!$K:$K,Faturamento!$L1199,'Historico - FAT'!$I:$I,Faturamento!$J1199,'Historico - FAT'!$G:$G,Faturamento!$H1199)</f>
        <v>81.655000000000001</v>
      </c>
      <c r="AG1199" s="24">
        <f t="shared" si="272"/>
        <v>1</v>
      </c>
      <c r="AH1199" s="24">
        <f t="shared" si="273"/>
        <v>0.95615603522336767</v>
      </c>
      <c r="AI1199" s="24">
        <f t="shared" si="274"/>
        <v>0.91231207044673535</v>
      </c>
    </row>
    <row r="1200" spans="1:35" hidden="1" x14ac:dyDescent="0.3">
      <c r="A1200" s="2" t="str">
        <f t="shared" si="271"/>
        <v>NÃO</v>
      </c>
      <c r="B1200" s="2">
        <v>1000184670</v>
      </c>
      <c r="C1200" s="2" t="s">
        <v>147</v>
      </c>
      <c r="D1200" s="4">
        <v>1000186197</v>
      </c>
      <c r="E1200" s="4" t="s">
        <v>166</v>
      </c>
      <c r="F1200" s="2">
        <v>1000185288</v>
      </c>
      <c r="G1200" s="2" t="s">
        <v>64</v>
      </c>
      <c r="H1200" s="4">
        <v>1000189807</v>
      </c>
      <c r="I1200" s="4" t="s">
        <v>81</v>
      </c>
      <c r="J1200" s="2">
        <v>1000189270</v>
      </c>
      <c r="K1200" s="2" t="s">
        <v>34</v>
      </c>
      <c r="L1200" s="4" t="s">
        <v>25</v>
      </c>
      <c r="M1200" s="4" t="str">
        <f t="shared" si="278"/>
        <v>1000184670100018619710001898071000189270VICCIO</v>
      </c>
      <c r="N1200" s="28">
        <f>N1182*_xlfn.XLOOKUP($L1200,'Balizador da Meta'!$B$4:$B$21,'Balizador da Meta'!$C$4:$C$21)</f>
        <v>504</v>
      </c>
      <c r="O1200" s="28">
        <f>O1182*_xlfn.XLOOKUP($L1200,'Balizador da Meta'!$B$4:$B$21,'Balizador da Meta'!$C$4:$C$21)</f>
        <v>522</v>
      </c>
      <c r="P1200" s="28">
        <f>P1182*_xlfn.XLOOKUP($L1200,'Balizador da Meta'!$B$4:$B$21,'Balizador da Meta'!$C$4:$C$21)</f>
        <v>522</v>
      </c>
      <c r="Q1200" s="28">
        <f>Q1182*_xlfn.XLOOKUP($L1200,'Balizador da Meta'!$B$4:$B$21,'Balizador da Meta'!$C$4:$C$21)</f>
        <v>522</v>
      </c>
      <c r="R1200" s="28">
        <f>R1182*_xlfn.XLOOKUP($L1200,'Balizador da Meta'!$B$4:$B$21,'Balizador da Meta'!$C$4:$C$21)</f>
        <v>540</v>
      </c>
      <c r="S1200" s="28">
        <f>S1182*_xlfn.XLOOKUP($L1200,'Balizador da Meta'!$B$4:$B$21,'Balizador da Meta'!$C$4:$C$21)</f>
        <v>540</v>
      </c>
      <c r="T1200" s="28">
        <f>T1182*_xlfn.XLOOKUP($L1200,'Balizador da Meta'!$B$4:$B$21,'Balizador da Meta'!$C$4:$C$21)</f>
        <v>558</v>
      </c>
      <c r="U1200" s="28">
        <f>U1182*_xlfn.XLOOKUP($L1200,'Balizador da Meta'!$B$4:$B$21,'Balizador da Meta'!$C$4:$C$21)</f>
        <v>558</v>
      </c>
      <c r="V1200" s="28">
        <f>V1182*_xlfn.XLOOKUP($L1200,'Balizador da Meta'!$B$4:$B$21,'Balizador da Meta'!$C$4:$C$21)</f>
        <v>558</v>
      </c>
      <c r="W1200" s="28">
        <f>W1182*_xlfn.XLOOKUP($L1200,'Balizador da Meta'!$B$4:$B$21,'Balizador da Meta'!$C$4:$C$21)</f>
        <v>576</v>
      </c>
      <c r="X1200" s="28">
        <f>X1182*_xlfn.XLOOKUP($L1200,'Balizador da Meta'!$B$4:$B$21,'Balizador da Meta'!$C$4:$C$21)</f>
        <v>576</v>
      </c>
      <c r="Y1200" s="28">
        <f>Y1182*_xlfn.XLOOKUP($L1200,'Balizador da Meta'!$B$4:$B$21,'Balizador da Meta'!$C$4:$C$21)</f>
        <v>594</v>
      </c>
      <c r="Z1200" s="30">
        <f t="shared" si="284"/>
        <v>6570</v>
      </c>
      <c r="AA1200" s="29"/>
      <c r="AB1200" s="31">
        <f>SUMIFS('Historico - FAT'!AK:AK,'Historico - FAT'!$K:$K,Faturamento!$L1200,'Historico - FAT'!$I:$I,Faturamento!$J1200,'Historico - FAT'!$G:$G,Faturamento!$H1200)</f>
        <v>111.54333333333331</v>
      </c>
      <c r="AC1200" s="31">
        <f>SUMIFS('Historico - FAT'!AL:AL,'Historico - FAT'!$K:$K,Faturamento!$L1200,'Historico - FAT'!$I:$I,Faturamento!$J1200,'Historico - FAT'!$G:$G,Faturamento!$H1200)</f>
        <v>46.548333333333318</v>
      </c>
      <c r="AD1200" s="31">
        <f>SUMIFS('Historico - FAT'!AM:AM,'Historico - FAT'!$K:$K,Faturamento!$L1200,'Historico - FAT'!$I:$I,Faturamento!$J1200,'Historico - FAT'!$G:$G,Faturamento!$H1200)</f>
        <v>178.19666666666669</v>
      </c>
      <c r="AE1200" s="27">
        <f>SUMIFS('Historico - FAT'!AN:AN,'Historico - FAT'!$K:$K,Faturamento!$L1200,'Historico - FAT'!$I:$I,Faturamento!$J1200,'Historico - FAT'!$G:$G,Faturamento!$H1200)</f>
        <v>172.71799999999999</v>
      </c>
      <c r="AG1200" s="24">
        <f t="shared" si="272"/>
        <v>0.80834478808705623</v>
      </c>
      <c r="AH1200" s="24">
        <f t="shared" si="273"/>
        <v>0.92002004581901498</v>
      </c>
      <c r="AI1200" s="24">
        <f t="shared" si="274"/>
        <v>0.69382016036655203</v>
      </c>
    </row>
    <row r="1201" spans="1:35" x14ac:dyDescent="0.3">
      <c r="A1201" s="2" t="str">
        <f t="shared" si="271"/>
        <v>SIM</v>
      </c>
      <c r="B1201" s="2">
        <v>1000184670</v>
      </c>
      <c r="C1201" s="2" t="s">
        <v>147</v>
      </c>
      <c r="D1201" s="4">
        <v>1000186197</v>
      </c>
      <c r="E1201" s="4" t="s">
        <v>166</v>
      </c>
      <c r="F1201" s="2">
        <v>1000185288</v>
      </c>
      <c r="G1201" s="2" t="s">
        <v>64</v>
      </c>
      <c r="H1201" s="4">
        <v>1000189808</v>
      </c>
      <c r="I1201" s="4" t="s">
        <v>120</v>
      </c>
      <c r="J1201" s="2">
        <v>1000189270</v>
      </c>
      <c r="K1201" s="2" t="s">
        <v>34</v>
      </c>
      <c r="L1201" s="4" t="s">
        <v>124</v>
      </c>
      <c r="M1201" s="4" t="str">
        <f t="shared" si="278"/>
        <v>100018467010001861971000189808100018927001. TOTAL</v>
      </c>
      <c r="N1201" s="28">
        <f>SUMIFS(Positivação!L:L,Positivação!$I:$I,Faturamento!$J1201,Positivação!$G:$G,Faturamento!$H1201)*SUMIFS(Positivação!$Z:$Z,Positivação!$I:$I,Faturamento!$J1201,Positivação!$G:$G,Faturamento!$H1201)</f>
        <v>10200</v>
      </c>
      <c r="O1201" s="28">
        <f>SUMIFS(Positivação!M:M,Positivação!$I:$I,Faturamento!$J1201,Positivação!$G:$G,Faturamento!$H1201)*SUMIFS(Positivação!$Z:$Z,Positivação!$I:$I,Faturamento!$J1201,Positivação!$G:$G,Faturamento!$H1201)</f>
        <v>10200</v>
      </c>
      <c r="P1201" s="28">
        <f>SUMIFS(Positivação!N:N,Positivação!$I:$I,Faturamento!$J1201,Positivação!$G:$G,Faturamento!$H1201)*SUMIFS(Positivação!$Z:$Z,Positivação!$I:$I,Faturamento!$J1201,Positivação!$G:$G,Faturamento!$H1201)</f>
        <v>10200</v>
      </c>
      <c r="Q1201" s="28">
        <f>SUMIFS(Positivação!O:O,Positivação!$I:$I,Faturamento!$J1201,Positivação!$G:$G,Faturamento!$H1201)*SUMIFS(Positivação!$Z:$Z,Positivação!$I:$I,Faturamento!$J1201,Positivação!$G:$G,Faturamento!$H1201)</f>
        <v>10800</v>
      </c>
      <c r="R1201" s="28">
        <f>SUMIFS(Positivação!P:P,Positivação!$I:$I,Faturamento!$J1201,Positivação!$G:$G,Faturamento!$H1201)*SUMIFS(Positivação!$Z:$Z,Positivação!$I:$I,Faturamento!$J1201,Positivação!$G:$G,Faturamento!$H1201)</f>
        <v>10800</v>
      </c>
      <c r="S1201" s="28">
        <f>SUMIFS(Positivação!Q:Q,Positivação!$I:$I,Faturamento!$J1201,Positivação!$G:$G,Faturamento!$H1201)*SUMIFS(Positivação!$Z:$Z,Positivação!$I:$I,Faturamento!$J1201,Positivação!$G:$G,Faturamento!$H1201)</f>
        <v>10800</v>
      </c>
      <c r="T1201" s="28">
        <f>SUMIFS(Positivação!R:R,Positivação!$I:$I,Faturamento!$J1201,Positivação!$G:$G,Faturamento!$H1201)*SUMIFS(Positivação!$Z:$Z,Positivação!$I:$I,Faturamento!$J1201,Positivação!$G:$G,Faturamento!$H1201)</f>
        <v>10800</v>
      </c>
      <c r="U1201" s="28">
        <f>SUMIFS(Positivação!S:S,Positivação!$I:$I,Faturamento!$J1201,Positivação!$G:$G,Faturamento!$H1201)*SUMIFS(Positivação!$Z:$Z,Positivação!$I:$I,Faturamento!$J1201,Positivação!$G:$G,Faturamento!$H1201)</f>
        <v>10800</v>
      </c>
      <c r="V1201" s="28">
        <f>SUMIFS(Positivação!T:T,Positivação!$I:$I,Faturamento!$J1201,Positivação!$G:$G,Faturamento!$H1201)*SUMIFS(Positivação!$Z:$Z,Positivação!$I:$I,Faturamento!$J1201,Positivação!$G:$G,Faturamento!$H1201)</f>
        <v>11400</v>
      </c>
      <c r="W1201" s="28">
        <f>SUMIFS(Positivação!U:U,Positivação!$I:$I,Faturamento!$J1201,Positivação!$G:$G,Faturamento!$H1201)*SUMIFS(Positivação!$Z:$Z,Positivação!$I:$I,Faturamento!$J1201,Positivação!$G:$G,Faturamento!$H1201)</f>
        <v>11400</v>
      </c>
      <c r="X1201" s="28">
        <f>SUMIFS(Positivação!V:V,Positivação!$I:$I,Faturamento!$J1201,Positivação!$G:$G,Faturamento!$H1201)*SUMIFS(Positivação!$Z:$Z,Positivação!$I:$I,Faturamento!$J1201,Positivação!$G:$G,Faturamento!$H1201)</f>
        <v>11400</v>
      </c>
      <c r="Y1201" s="28">
        <f>SUMIFS(Positivação!W:W,Positivação!$I:$I,Faturamento!$J1201,Positivação!$G:$G,Faturamento!$H1201)*SUMIFS(Positivação!$Z:$Z,Positivação!$I:$I,Faturamento!$J1201,Positivação!$G:$G,Faturamento!$H1201)</f>
        <v>11400</v>
      </c>
      <c r="Z1201" s="28">
        <f t="shared" ref="Z1201" si="285">SUM(Z1202:Z1219)</f>
        <v>130200</v>
      </c>
      <c r="AA1201" s="29"/>
      <c r="AB1201" s="28">
        <f t="shared" ref="AB1201:AE1201" si="286">SUM(AB1202:AB1219)</f>
        <v>1214.563333333333</v>
      </c>
      <c r="AC1201" s="28">
        <f t="shared" si="286"/>
        <v>2461.9499999999998</v>
      </c>
      <c r="AD1201" s="28">
        <f t="shared" si="286"/>
        <v>3287.5316666666663</v>
      </c>
      <c r="AE1201" s="28">
        <f t="shared" si="286"/>
        <v>2925.6329999999998</v>
      </c>
      <c r="AG1201" s="24">
        <f t="shared" si="272"/>
        <v>0.8934593567251462</v>
      </c>
      <c r="AH1201" s="24">
        <f t="shared" si="273"/>
        <v>0.78403947368421045</v>
      </c>
      <c r="AI1201" s="24">
        <f t="shared" si="274"/>
        <v>0.71162002923976619</v>
      </c>
    </row>
    <row r="1202" spans="1:35" hidden="1" x14ac:dyDescent="0.3">
      <c r="A1202" s="2" t="str">
        <f t="shared" ref="A1202:A1265" si="287">IF(OR(H1202&lt;&gt;H1201,J1202&lt;&gt;J1201),"SIM","NÃO")</f>
        <v>NÃO</v>
      </c>
      <c r="B1202" s="2">
        <v>1000184670</v>
      </c>
      <c r="C1202" s="2" t="s">
        <v>147</v>
      </c>
      <c r="D1202" s="4">
        <v>1000186197</v>
      </c>
      <c r="E1202" s="4" t="s">
        <v>166</v>
      </c>
      <c r="F1202" s="2">
        <v>1000185288</v>
      </c>
      <c r="G1202" s="2" t="s">
        <v>64</v>
      </c>
      <c r="H1202" s="4">
        <v>1000189808</v>
      </c>
      <c r="I1202" s="4" t="s">
        <v>120</v>
      </c>
      <c r="J1202" s="2">
        <v>1000189270</v>
      </c>
      <c r="K1202" s="2" t="s">
        <v>34</v>
      </c>
      <c r="L1202" s="4" t="s">
        <v>13</v>
      </c>
      <c r="M1202" s="4" t="str">
        <f t="shared" si="278"/>
        <v>1000184670100018619710001898081000189270BISCOITO</v>
      </c>
      <c r="N1202" s="28">
        <f>N1201*_xlfn.XLOOKUP($L1202,'Balizador da Meta'!$B$4:$B$21,'Balizador da Meta'!$C$4:$C$21)</f>
        <v>714.00000000000011</v>
      </c>
      <c r="O1202" s="28">
        <f>O1201*_xlfn.XLOOKUP($L1202,'Balizador da Meta'!$B$4:$B$21,'Balizador da Meta'!$C$4:$C$21)</f>
        <v>714.00000000000011</v>
      </c>
      <c r="P1202" s="28">
        <f>P1201*_xlfn.XLOOKUP($L1202,'Balizador da Meta'!$B$4:$B$21,'Balizador da Meta'!$C$4:$C$21)</f>
        <v>714.00000000000011</v>
      </c>
      <c r="Q1202" s="28">
        <f>Q1201*_xlfn.XLOOKUP($L1202,'Balizador da Meta'!$B$4:$B$21,'Balizador da Meta'!$C$4:$C$21)</f>
        <v>756.00000000000011</v>
      </c>
      <c r="R1202" s="28">
        <f>R1201*_xlfn.XLOOKUP($L1202,'Balizador da Meta'!$B$4:$B$21,'Balizador da Meta'!$C$4:$C$21)</f>
        <v>756.00000000000011</v>
      </c>
      <c r="S1202" s="28">
        <f>S1201*_xlfn.XLOOKUP($L1202,'Balizador da Meta'!$B$4:$B$21,'Balizador da Meta'!$C$4:$C$21)</f>
        <v>756.00000000000011</v>
      </c>
      <c r="T1202" s="28">
        <f>T1201*_xlfn.XLOOKUP($L1202,'Balizador da Meta'!$B$4:$B$21,'Balizador da Meta'!$C$4:$C$21)</f>
        <v>756.00000000000011</v>
      </c>
      <c r="U1202" s="28">
        <f>U1201*_xlfn.XLOOKUP($L1202,'Balizador da Meta'!$B$4:$B$21,'Balizador da Meta'!$C$4:$C$21)</f>
        <v>756.00000000000011</v>
      </c>
      <c r="V1202" s="28">
        <f>V1201*_xlfn.XLOOKUP($L1202,'Balizador da Meta'!$B$4:$B$21,'Balizador da Meta'!$C$4:$C$21)</f>
        <v>798.00000000000011</v>
      </c>
      <c r="W1202" s="28">
        <f>W1201*_xlfn.XLOOKUP($L1202,'Balizador da Meta'!$B$4:$B$21,'Balizador da Meta'!$C$4:$C$21)</f>
        <v>798.00000000000011</v>
      </c>
      <c r="X1202" s="28">
        <f>X1201*_xlfn.XLOOKUP($L1202,'Balizador da Meta'!$B$4:$B$21,'Balizador da Meta'!$C$4:$C$21)</f>
        <v>798.00000000000011</v>
      </c>
      <c r="Y1202" s="28">
        <f>Y1201*_xlfn.XLOOKUP($L1202,'Balizador da Meta'!$B$4:$B$21,'Balizador da Meta'!$C$4:$C$21)</f>
        <v>798.00000000000011</v>
      </c>
      <c r="Z1202" s="30">
        <f t="shared" ref="Z1202:Z1219" si="288">SUM(N1202:Y1202)</f>
        <v>9114.0000000000018</v>
      </c>
      <c r="AA1202" s="29"/>
      <c r="AB1202" s="31">
        <f>SUMIFS('Historico - FAT'!AK:AK,'Historico - FAT'!$K:$K,Faturamento!$L1202,'Historico - FAT'!$I:$I,Faturamento!$J1202,'Historico - FAT'!$G:$G,Faturamento!$H1202)</f>
        <v>217.80666666666664</v>
      </c>
      <c r="AC1202" s="31">
        <f>SUMIFS('Historico - FAT'!AL:AL,'Historico - FAT'!$K:$K,Faturamento!$L1202,'Historico - FAT'!$I:$I,Faturamento!$J1202,'Historico - FAT'!$G:$G,Faturamento!$H1202)</f>
        <v>164.91749999999999</v>
      </c>
      <c r="AD1202" s="31">
        <f>SUMIFS('Historico - FAT'!AM:AM,'Historico - FAT'!$K:$K,Faturamento!$L1202,'Historico - FAT'!$I:$I,Faturamento!$J1202,'Historico - FAT'!$G:$G,Faturamento!$H1202)</f>
        <v>-6.7233333333333372</v>
      </c>
      <c r="AE1202" s="27">
        <f>SUMIFS('Historico - FAT'!AN:AN,'Historico - FAT'!$K:$K,Faturamento!$L1202,'Historico - FAT'!$I:$I,Faturamento!$J1202,'Historico - FAT'!$G:$G,Faturamento!$H1202)</f>
        <v>197.90100000000001</v>
      </c>
      <c r="AG1202" s="24">
        <f t="shared" ref="AG1202:AG1265" si="289">IFERROR((AVERAGE(W1202:Y1202)-AB1202)/AVERAGE(W1202:Y1202),"")</f>
        <v>0.72705931495405185</v>
      </c>
      <c r="AH1202" s="24">
        <f t="shared" ref="AH1202:AH1265" si="290">IFERROR((AVERAGE(W1202:Y1202)-AC1202)/AVERAGE(W1202:Y1202),"")</f>
        <v>0.79333646616541353</v>
      </c>
      <c r="AI1202" s="24">
        <f t="shared" ref="AI1202:AI1265" si="291">IFERROR((AVERAGE(W1202:Y1202)-AD1202)/AVERAGE(W1202:Y1202),"")</f>
        <v>1.0084252297410192</v>
      </c>
    </row>
    <row r="1203" spans="1:35" hidden="1" x14ac:dyDescent="0.3">
      <c r="A1203" s="2" t="str">
        <f t="shared" si="287"/>
        <v>NÃO</v>
      </c>
      <c r="B1203" s="2">
        <v>1000184670</v>
      </c>
      <c r="C1203" s="2" t="s">
        <v>147</v>
      </c>
      <c r="D1203" s="4">
        <v>1000186197</v>
      </c>
      <c r="E1203" s="4" t="s">
        <v>166</v>
      </c>
      <c r="F1203" s="2">
        <v>1000185288</v>
      </c>
      <c r="G1203" s="2" t="s">
        <v>64</v>
      </c>
      <c r="H1203" s="4">
        <v>1000189808</v>
      </c>
      <c r="I1203" s="4" t="s">
        <v>120</v>
      </c>
      <c r="J1203" s="2">
        <v>1000189270</v>
      </c>
      <c r="K1203" s="2" t="s">
        <v>34</v>
      </c>
      <c r="L1203" s="4" t="s">
        <v>14</v>
      </c>
      <c r="M1203" s="4" t="str">
        <f t="shared" si="278"/>
        <v>1000184670100018619710001898081000189270CHOCOLATES</v>
      </c>
      <c r="N1203" s="28">
        <f>N1201*_xlfn.XLOOKUP($L1203,'Balizador da Meta'!$B$4:$B$21,'Balizador da Meta'!$C$4:$C$21)</f>
        <v>714.00000000000011</v>
      </c>
      <c r="O1203" s="28">
        <f>O1201*_xlfn.XLOOKUP($L1203,'Balizador da Meta'!$B$4:$B$21,'Balizador da Meta'!$C$4:$C$21)</f>
        <v>714.00000000000011</v>
      </c>
      <c r="P1203" s="28">
        <f>P1201*_xlfn.XLOOKUP($L1203,'Balizador da Meta'!$B$4:$B$21,'Balizador da Meta'!$C$4:$C$21)</f>
        <v>714.00000000000011</v>
      </c>
      <c r="Q1203" s="28">
        <f>Q1201*_xlfn.XLOOKUP($L1203,'Balizador da Meta'!$B$4:$B$21,'Balizador da Meta'!$C$4:$C$21)</f>
        <v>756.00000000000011</v>
      </c>
      <c r="R1203" s="28">
        <f>R1201*_xlfn.XLOOKUP($L1203,'Balizador da Meta'!$B$4:$B$21,'Balizador da Meta'!$C$4:$C$21)</f>
        <v>756.00000000000011</v>
      </c>
      <c r="S1203" s="28">
        <f>S1201*_xlfn.XLOOKUP($L1203,'Balizador da Meta'!$B$4:$B$21,'Balizador da Meta'!$C$4:$C$21)</f>
        <v>756.00000000000011</v>
      </c>
      <c r="T1203" s="28">
        <f>T1201*_xlfn.XLOOKUP($L1203,'Balizador da Meta'!$B$4:$B$21,'Balizador da Meta'!$C$4:$C$21)</f>
        <v>756.00000000000011</v>
      </c>
      <c r="U1203" s="28">
        <f>U1201*_xlfn.XLOOKUP($L1203,'Balizador da Meta'!$B$4:$B$21,'Balizador da Meta'!$C$4:$C$21)</f>
        <v>756.00000000000011</v>
      </c>
      <c r="V1203" s="28">
        <f>V1201*_xlfn.XLOOKUP($L1203,'Balizador da Meta'!$B$4:$B$21,'Balizador da Meta'!$C$4:$C$21)</f>
        <v>798.00000000000011</v>
      </c>
      <c r="W1203" s="28">
        <f>W1201*_xlfn.XLOOKUP($L1203,'Balizador da Meta'!$B$4:$B$21,'Balizador da Meta'!$C$4:$C$21)</f>
        <v>798.00000000000011</v>
      </c>
      <c r="X1203" s="28">
        <f>X1201*_xlfn.XLOOKUP($L1203,'Balizador da Meta'!$B$4:$B$21,'Balizador da Meta'!$C$4:$C$21)</f>
        <v>798.00000000000011</v>
      </c>
      <c r="Y1203" s="28">
        <f>Y1201*_xlfn.XLOOKUP($L1203,'Balizador da Meta'!$B$4:$B$21,'Balizador da Meta'!$C$4:$C$21)</f>
        <v>798.00000000000011</v>
      </c>
      <c r="Z1203" s="30">
        <f t="shared" si="288"/>
        <v>9114.0000000000018</v>
      </c>
      <c r="AA1203" s="29"/>
      <c r="AB1203" s="31">
        <f>SUMIFS('Historico - FAT'!AK:AK,'Historico - FAT'!$K:$K,Faturamento!$L1203,'Historico - FAT'!$I:$I,Faturamento!$J1203,'Historico - FAT'!$G:$G,Faturamento!$H1203)</f>
        <v>211.98499999999999</v>
      </c>
      <c r="AC1203" s="31">
        <f>SUMIFS('Historico - FAT'!AL:AL,'Historico - FAT'!$K:$K,Faturamento!$L1203,'Historico - FAT'!$I:$I,Faturamento!$J1203,'Historico - FAT'!$G:$G,Faturamento!$H1203)</f>
        <v>171.96833333333333</v>
      </c>
      <c r="AD1203" s="31">
        <f>SUMIFS('Historico - FAT'!AM:AM,'Historico - FAT'!$K:$K,Faturamento!$L1203,'Historico - FAT'!$I:$I,Faturamento!$J1203,'Historico - FAT'!$G:$G,Faturamento!$H1203)</f>
        <v>144.46</v>
      </c>
      <c r="AE1203" s="27">
        <f>SUMIFS('Historico - FAT'!AN:AN,'Historico - FAT'!$K:$K,Faturamento!$L1203,'Historico - FAT'!$I:$I,Faturamento!$J1203,'Historico - FAT'!$G:$G,Faturamento!$H1203)</f>
        <v>206.36199999999999</v>
      </c>
      <c r="AG1203" s="24">
        <f t="shared" si="289"/>
        <v>0.7343546365914787</v>
      </c>
      <c r="AH1203" s="24">
        <f t="shared" si="290"/>
        <v>0.78450083542188809</v>
      </c>
      <c r="AI1203" s="24">
        <f t="shared" si="291"/>
        <v>0.81897243107769424</v>
      </c>
    </row>
    <row r="1204" spans="1:35" hidden="1" x14ac:dyDescent="0.3">
      <c r="A1204" s="2" t="str">
        <f t="shared" si="287"/>
        <v>NÃO</v>
      </c>
      <c r="B1204" s="2">
        <v>1000184670</v>
      </c>
      <c r="C1204" s="2" t="s">
        <v>147</v>
      </c>
      <c r="D1204" s="4">
        <v>1000186197</v>
      </c>
      <c r="E1204" s="4" t="s">
        <v>166</v>
      </c>
      <c r="F1204" s="2">
        <v>1000185288</v>
      </c>
      <c r="G1204" s="2" t="s">
        <v>64</v>
      </c>
      <c r="H1204" s="4">
        <v>1000189808</v>
      </c>
      <c r="I1204" s="4" t="s">
        <v>120</v>
      </c>
      <c r="J1204" s="2">
        <v>1000189270</v>
      </c>
      <c r="K1204" s="2" t="s">
        <v>34</v>
      </c>
      <c r="L1204" s="4" t="s">
        <v>16</v>
      </c>
      <c r="M1204" s="4" t="str">
        <f t="shared" si="278"/>
        <v>1000184670100018619710001898081000189270DISNEY</v>
      </c>
      <c r="N1204" s="28">
        <f>N1201*_xlfn.XLOOKUP($L1204,'Balizador da Meta'!$B$4:$B$21,'Balizador da Meta'!$C$4:$C$21)</f>
        <v>816</v>
      </c>
      <c r="O1204" s="28">
        <f>O1201*_xlfn.XLOOKUP($L1204,'Balizador da Meta'!$B$4:$B$21,'Balizador da Meta'!$C$4:$C$21)</f>
        <v>816</v>
      </c>
      <c r="P1204" s="28">
        <f>P1201*_xlfn.XLOOKUP($L1204,'Balizador da Meta'!$B$4:$B$21,'Balizador da Meta'!$C$4:$C$21)</f>
        <v>816</v>
      </c>
      <c r="Q1204" s="28">
        <f>Q1201*_xlfn.XLOOKUP($L1204,'Balizador da Meta'!$B$4:$B$21,'Balizador da Meta'!$C$4:$C$21)</f>
        <v>864</v>
      </c>
      <c r="R1204" s="28">
        <f>R1201*_xlfn.XLOOKUP($L1204,'Balizador da Meta'!$B$4:$B$21,'Balizador da Meta'!$C$4:$C$21)</f>
        <v>864</v>
      </c>
      <c r="S1204" s="28">
        <f>S1201*_xlfn.XLOOKUP($L1204,'Balizador da Meta'!$B$4:$B$21,'Balizador da Meta'!$C$4:$C$21)</f>
        <v>864</v>
      </c>
      <c r="T1204" s="28">
        <f>T1201*_xlfn.XLOOKUP($L1204,'Balizador da Meta'!$B$4:$B$21,'Balizador da Meta'!$C$4:$C$21)</f>
        <v>864</v>
      </c>
      <c r="U1204" s="28">
        <f>U1201*_xlfn.XLOOKUP($L1204,'Balizador da Meta'!$B$4:$B$21,'Balizador da Meta'!$C$4:$C$21)</f>
        <v>864</v>
      </c>
      <c r="V1204" s="28">
        <f>V1201*_xlfn.XLOOKUP($L1204,'Balizador da Meta'!$B$4:$B$21,'Balizador da Meta'!$C$4:$C$21)</f>
        <v>912</v>
      </c>
      <c r="W1204" s="28">
        <f>W1201*_xlfn.XLOOKUP($L1204,'Balizador da Meta'!$B$4:$B$21,'Balizador da Meta'!$C$4:$C$21)</f>
        <v>912</v>
      </c>
      <c r="X1204" s="28">
        <f>X1201*_xlfn.XLOOKUP($L1204,'Balizador da Meta'!$B$4:$B$21,'Balizador da Meta'!$C$4:$C$21)</f>
        <v>912</v>
      </c>
      <c r="Y1204" s="28">
        <f>Y1201*_xlfn.XLOOKUP($L1204,'Balizador da Meta'!$B$4:$B$21,'Balizador da Meta'!$C$4:$C$21)</f>
        <v>912</v>
      </c>
      <c r="Z1204" s="30">
        <f t="shared" si="288"/>
        <v>10416</v>
      </c>
      <c r="AA1204" s="29"/>
      <c r="AB1204" s="31">
        <f>SUMIFS('Historico - FAT'!AK:AK,'Historico - FAT'!$K:$K,Faturamento!$L1204,'Historico - FAT'!$I:$I,Faturamento!$J1204,'Historico - FAT'!$G:$G,Faturamento!$H1204)</f>
        <v>50.071666666666665</v>
      </c>
      <c r="AC1204" s="31">
        <f>SUMIFS('Historico - FAT'!AL:AL,'Historico - FAT'!$K:$K,Faturamento!$L1204,'Historico - FAT'!$I:$I,Faturamento!$J1204,'Historico - FAT'!$G:$G,Faturamento!$H1204)</f>
        <v>197.42416666666668</v>
      </c>
      <c r="AD1204" s="31">
        <f>SUMIFS('Historico - FAT'!AM:AM,'Historico - FAT'!$K:$K,Faturamento!$L1204,'Historico - FAT'!$I:$I,Faturamento!$J1204,'Historico - FAT'!$G:$G,Faturamento!$H1204)</f>
        <v>297.495</v>
      </c>
      <c r="AE1204" s="27">
        <f>SUMIFS('Historico - FAT'!AN:AN,'Historico - FAT'!$K:$K,Faturamento!$L1204,'Historico - FAT'!$I:$I,Faturamento!$J1204,'Historico - FAT'!$G:$G,Faturamento!$H1204)</f>
        <v>236.90900000000002</v>
      </c>
      <c r="AG1204" s="24">
        <f t="shared" si="289"/>
        <v>0.9450968567251461</v>
      </c>
      <c r="AH1204" s="24">
        <f t="shared" si="290"/>
        <v>0.78352613304093566</v>
      </c>
      <c r="AI1204" s="24">
        <f t="shared" si="291"/>
        <v>0.67379934210526315</v>
      </c>
    </row>
    <row r="1205" spans="1:35" hidden="1" x14ac:dyDescent="0.3">
      <c r="A1205" s="2" t="str">
        <f t="shared" si="287"/>
        <v>NÃO</v>
      </c>
      <c r="B1205" s="2">
        <v>1000184670</v>
      </c>
      <c r="C1205" s="2" t="s">
        <v>147</v>
      </c>
      <c r="D1205" s="4">
        <v>1000186197</v>
      </c>
      <c r="E1205" s="4" t="s">
        <v>166</v>
      </c>
      <c r="F1205" s="2">
        <v>1000185288</v>
      </c>
      <c r="G1205" s="2" t="s">
        <v>64</v>
      </c>
      <c r="H1205" s="4">
        <v>1000189808</v>
      </c>
      <c r="I1205" s="4" t="s">
        <v>120</v>
      </c>
      <c r="J1205" s="2">
        <v>1000189270</v>
      </c>
      <c r="K1205" s="2" t="s">
        <v>34</v>
      </c>
      <c r="L1205" s="4" t="s">
        <v>15</v>
      </c>
      <c r="M1205" s="4" t="str">
        <f t="shared" si="278"/>
        <v>1000184670100018619710001898081000189270DOCES</v>
      </c>
      <c r="N1205" s="28">
        <f>N1201*_xlfn.XLOOKUP($L1205,'Balizador da Meta'!$B$4:$B$21,'Balizador da Meta'!$C$4:$C$21)</f>
        <v>918</v>
      </c>
      <c r="O1205" s="28">
        <f>O1201*_xlfn.XLOOKUP($L1205,'Balizador da Meta'!$B$4:$B$21,'Balizador da Meta'!$C$4:$C$21)</f>
        <v>918</v>
      </c>
      <c r="P1205" s="28">
        <f>P1201*_xlfn.XLOOKUP($L1205,'Balizador da Meta'!$B$4:$B$21,'Balizador da Meta'!$C$4:$C$21)</f>
        <v>918</v>
      </c>
      <c r="Q1205" s="28">
        <f>Q1201*_xlfn.XLOOKUP($L1205,'Balizador da Meta'!$B$4:$B$21,'Balizador da Meta'!$C$4:$C$21)</f>
        <v>972</v>
      </c>
      <c r="R1205" s="28">
        <f>R1201*_xlfn.XLOOKUP($L1205,'Balizador da Meta'!$B$4:$B$21,'Balizador da Meta'!$C$4:$C$21)</f>
        <v>972</v>
      </c>
      <c r="S1205" s="28">
        <f>S1201*_xlfn.XLOOKUP($L1205,'Balizador da Meta'!$B$4:$B$21,'Balizador da Meta'!$C$4:$C$21)</f>
        <v>972</v>
      </c>
      <c r="T1205" s="28">
        <f>T1201*_xlfn.XLOOKUP($L1205,'Balizador da Meta'!$B$4:$B$21,'Balizador da Meta'!$C$4:$C$21)</f>
        <v>972</v>
      </c>
      <c r="U1205" s="28">
        <f>U1201*_xlfn.XLOOKUP($L1205,'Balizador da Meta'!$B$4:$B$21,'Balizador da Meta'!$C$4:$C$21)</f>
        <v>972</v>
      </c>
      <c r="V1205" s="28">
        <f>V1201*_xlfn.XLOOKUP($L1205,'Balizador da Meta'!$B$4:$B$21,'Balizador da Meta'!$C$4:$C$21)</f>
        <v>1026</v>
      </c>
      <c r="W1205" s="28">
        <f>W1201*_xlfn.XLOOKUP($L1205,'Balizador da Meta'!$B$4:$B$21,'Balizador da Meta'!$C$4:$C$21)</f>
        <v>1026</v>
      </c>
      <c r="X1205" s="28">
        <f>X1201*_xlfn.XLOOKUP($L1205,'Balizador da Meta'!$B$4:$B$21,'Balizador da Meta'!$C$4:$C$21)</f>
        <v>1026</v>
      </c>
      <c r="Y1205" s="28">
        <f>Y1201*_xlfn.XLOOKUP($L1205,'Balizador da Meta'!$B$4:$B$21,'Balizador da Meta'!$C$4:$C$21)</f>
        <v>1026</v>
      </c>
      <c r="Z1205" s="30">
        <f t="shared" si="288"/>
        <v>11718</v>
      </c>
      <c r="AA1205" s="29"/>
      <c r="AB1205" s="31">
        <f>SUMIFS('Historico - FAT'!AK:AK,'Historico - FAT'!$K:$K,Faturamento!$L1205,'Historico - FAT'!$I:$I,Faturamento!$J1205,'Historico - FAT'!$G:$G,Faturamento!$H1205)</f>
        <v>18.525000000000002</v>
      </c>
      <c r="AC1205" s="31">
        <f>SUMIFS('Historico - FAT'!AL:AL,'Historico - FAT'!$K:$K,Faturamento!$L1205,'Historico - FAT'!$I:$I,Faturamento!$J1205,'Historico - FAT'!$G:$G,Faturamento!$H1205)</f>
        <v>32.180833333333332</v>
      </c>
      <c r="AD1205" s="31">
        <f>SUMIFS('Historico - FAT'!AM:AM,'Historico - FAT'!$K:$K,Faturamento!$L1205,'Historico - FAT'!$I:$I,Faturamento!$J1205,'Historico - FAT'!$G:$G,Faturamento!$H1205)</f>
        <v>11.9</v>
      </c>
      <c r="AE1205" s="27">
        <f>SUMIFS('Historico - FAT'!AN:AN,'Historico - FAT'!$K:$K,Faturamento!$L1205,'Historico - FAT'!$I:$I,Faturamento!$J1205,'Historico - FAT'!$G:$G,Faturamento!$H1205)</f>
        <v>38.616999999999997</v>
      </c>
      <c r="AG1205" s="24">
        <f t="shared" si="289"/>
        <v>0.98194444444444451</v>
      </c>
      <c r="AH1205" s="24">
        <f t="shared" si="290"/>
        <v>0.96863466536712151</v>
      </c>
      <c r="AI1205" s="24">
        <f t="shared" si="291"/>
        <v>0.98840155945419106</v>
      </c>
    </row>
    <row r="1206" spans="1:35" hidden="1" x14ac:dyDescent="0.3">
      <c r="A1206" s="2" t="str">
        <f t="shared" si="287"/>
        <v>NÃO</v>
      </c>
      <c r="B1206" s="2">
        <v>1000184670</v>
      </c>
      <c r="C1206" s="2" t="s">
        <v>147</v>
      </c>
      <c r="D1206" s="4">
        <v>1000186197</v>
      </c>
      <c r="E1206" s="4" t="s">
        <v>166</v>
      </c>
      <c r="F1206" s="2">
        <v>1000185288</v>
      </c>
      <c r="G1206" s="2" t="s">
        <v>64</v>
      </c>
      <c r="H1206" s="4">
        <v>1000189808</v>
      </c>
      <c r="I1206" s="4" t="s">
        <v>120</v>
      </c>
      <c r="J1206" s="2">
        <v>1000189270</v>
      </c>
      <c r="K1206" s="2" t="s">
        <v>34</v>
      </c>
      <c r="L1206" s="4" t="s">
        <v>33</v>
      </c>
      <c r="M1206" s="4" t="str">
        <f t="shared" si="278"/>
        <v>1000184670100018619710001898081000189270FOOD SERVICE</v>
      </c>
      <c r="N1206" s="28">
        <f>N1201*_xlfn.XLOOKUP($L1206,'Balizador da Meta'!$B$4:$B$21,'Balizador da Meta'!$C$4:$C$21)</f>
        <v>0</v>
      </c>
      <c r="O1206" s="28">
        <f>O1201*_xlfn.XLOOKUP($L1206,'Balizador da Meta'!$B$4:$B$21,'Balizador da Meta'!$C$4:$C$21)</f>
        <v>0</v>
      </c>
      <c r="P1206" s="28">
        <f>P1201*_xlfn.XLOOKUP($L1206,'Balizador da Meta'!$B$4:$B$21,'Balizador da Meta'!$C$4:$C$21)</f>
        <v>0</v>
      </c>
      <c r="Q1206" s="28">
        <f>Q1201*_xlfn.XLOOKUP($L1206,'Balizador da Meta'!$B$4:$B$21,'Balizador da Meta'!$C$4:$C$21)</f>
        <v>0</v>
      </c>
      <c r="R1206" s="28">
        <f>R1201*_xlfn.XLOOKUP($L1206,'Balizador da Meta'!$B$4:$B$21,'Balizador da Meta'!$C$4:$C$21)</f>
        <v>0</v>
      </c>
      <c r="S1206" s="28">
        <f>S1201*_xlfn.XLOOKUP($L1206,'Balizador da Meta'!$B$4:$B$21,'Balizador da Meta'!$C$4:$C$21)</f>
        <v>0</v>
      </c>
      <c r="T1206" s="28">
        <f>T1201*_xlfn.XLOOKUP($L1206,'Balizador da Meta'!$B$4:$B$21,'Balizador da Meta'!$C$4:$C$21)</f>
        <v>0</v>
      </c>
      <c r="U1206" s="28">
        <f>U1201*_xlfn.XLOOKUP($L1206,'Balizador da Meta'!$B$4:$B$21,'Balizador da Meta'!$C$4:$C$21)</f>
        <v>0</v>
      </c>
      <c r="V1206" s="28">
        <f>V1201*_xlfn.XLOOKUP($L1206,'Balizador da Meta'!$B$4:$B$21,'Balizador da Meta'!$C$4:$C$21)</f>
        <v>0</v>
      </c>
      <c r="W1206" s="28">
        <f>W1201*_xlfn.XLOOKUP($L1206,'Balizador da Meta'!$B$4:$B$21,'Balizador da Meta'!$C$4:$C$21)</f>
        <v>0</v>
      </c>
      <c r="X1206" s="28">
        <f>X1201*_xlfn.XLOOKUP($L1206,'Balizador da Meta'!$B$4:$B$21,'Balizador da Meta'!$C$4:$C$21)</f>
        <v>0</v>
      </c>
      <c r="Y1206" s="28">
        <f>Y1201*_xlfn.XLOOKUP($L1206,'Balizador da Meta'!$B$4:$B$21,'Balizador da Meta'!$C$4:$C$21)</f>
        <v>0</v>
      </c>
      <c r="Z1206" s="30">
        <f t="shared" si="288"/>
        <v>0</v>
      </c>
      <c r="AA1206" s="29"/>
      <c r="AB1206" s="31">
        <f>SUMIFS('Historico - FAT'!AK:AK,'Historico - FAT'!$K:$K,Faturamento!$L1206,'Historico - FAT'!$I:$I,Faturamento!$J1206,'Historico - FAT'!$G:$G,Faturamento!$H1206)</f>
        <v>0</v>
      </c>
      <c r="AC1206" s="31">
        <f>SUMIFS('Historico - FAT'!AL:AL,'Historico - FAT'!$K:$K,Faturamento!$L1206,'Historico - FAT'!$I:$I,Faturamento!$J1206,'Historico - FAT'!$G:$G,Faturamento!$H1206)</f>
        <v>0</v>
      </c>
      <c r="AD1206" s="31">
        <f>SUMIFS('Historico - FAT'!AM:AM,'Historico - FAT'!$K:$K,Faturamento!$L1206,'Historico - FAT'!$I:$I,Faturamento!$J1206,'Historico - FAT'!$G:$G,Faturamento!$H1206)</f>
        <v>0</v>
      </c>
      <c r="AE1206" s="27">
        <f>SUMIFS('Historico - FAT'!AN:AN,'Historico - FAT'!$K:$K,Faturamento!$L1206,'Historico - FAT'!$I:$I,Faturamento!$J1206,'Historico - FAT'!$G:$G,Faturamento!$H1206)</f>
        <v>0</v>
      </c>
      <c r="AG1206" s="24" t="str">
        <f t="shared" si="289"/>
        <v/>
      </c>
      <c r="AH1206" s="24" t="str">
        <f t="shared" si="290"/>
        <v/>
      </c>
      <c r="AI1206" s="24" t="str">
        <f t="shared" si="291"/>
        <v/>
      </c>
    </row>
    <row r="1207" spans="1:35" hidden="1" x14ac:dyDescent="0.3">
      <c r="A1207" s="2" t="str">
        <f t="shared" si="287"/>
        <v>NÃO</v>
      </c>
      <c r="B1207" s="2">
        <v>1000184670</v>
      </c>
      <c r="C1207" s="2" t="s">
        <v>147</v>
      </c>
      <c r="D1207" s="4">
        <v>1000186197</v>
      </c>
      <c r="E1207" s="4" t="s">
        <v>166</v>
      </c>
      <c r="F1207" s="2">
        <v>1000185288</v>
      </c>
      <c r="G1207" s="2" t="s">
        <v>64</v>
      </c>
      <c r="H1207" s="4">
        <v>1000189808</v>
      </c>
      <c r="I1207" s="4" t="s">
        <v>120</v>
      </c>
      <c r="J1207" s="2">
        <v>1000189270</v>
      </c>
      <c r="K1207" s="2" t="s">
        <v>34</v>
      </c>
      <c r="L1207" s="4" t="s">
        <v>19</v>
      </c>
      <c r="M1207" s="4" t="str">
        <f t="shared" si="278"/>
        <v>1000184670100018619710001898081000189270GELEIA</v>
      </c>
      <c r="N1207" s="28">
        <f>N1201*_xlfn.XLOOKUP($L1207,'Balizador da Meta'!$B$4:$B$21,'Balizador da Meta'!$C$4:$C$21)</f>
        <v>203.99999999999997</v>
      </c>
      <c r="O1207" s="28">
        <f>O1201*_xlfn.XLOOKUP($L1207,'Balizador da Meta'!$B$4:$B$21,'Balizador da Meta'!$C$4:$C$21)</f>
        <v>203.99999999999997</v>
      </c>
      <c r="P1207" s="28">
        <f>P1201*_xlfn.XLOOKUP($L1207,'Balizador da Meta'!$B$4:$B$21,'Balizador da Meta'!$C$4:$C$21)</f>
        <v>203.99999999999997</v>
      </c>
      <c r="Q1207" s="28">
        <f>Q1201*_xlfn.XLOOKUP($L1207,'Balizador da Meta'!$B$4:$B$21,'Balizador da Meta'!$C$4:$C$21)</f>
        <v>215.99999999999997</v>
      </c>
      <c r="R1207" s="28">
        <f>R1201*_xlfn.XLOOKUP($L1207,'Balizador da Meta'!$B$4:$B$21,'Balizador da Meta'!$C$4:$C$21)</f>
        <v>215.99999999999997</v>
      </c>
      <c r="S1207" s="28">
        <f>S1201*_xlfn.XLOOKUP($L1207,'Balizador da Meta'!$B$4:$B$21,'Balizador da Meta'!$C$4:$C$21)</f>
        <v>215.99999999999997</v>
      </c>
      <c r="T1207" s="28">
        <f>T1201*_xlfn.XLOOKUP($L1207,'Balizador da Meta'!$B$4:$B$21,'Balizador da Meta'!$C$4:$C$21)</f>
        <v>215.99999999999997</v>
      </c>
      <c r="U1207" s="28">
        <f>U1201*_xlfn.XLOOKUP($L1207,'Balizador da Meta'!$B$4:$B$21,'Balizador da Meta'!$C$4:$C$21)</f>
        <v>215.99999999999997</v>
      </c>
      <c r="V1207" s="28">
        <f>V1201*_xlfn.XLOOKUP($L1207,'Balizador da Meta'!$B$4:$B$21,'Balizador da Meta'!$C$4:$C$21)</f>
        <v>227.99999999999997</v>
      </c>
      <c r="W1207" s="28">
        <f>W1201*_xlfn.XLOOKUP($L1207,'Balizador da Meta'!$B$4:$B$21,'Balizador da Meta'!$C$4:$C$21)</f>
        <v>227.99999999999997</v>
      </c>
      <c r="X1207" s="28">
        <f>X1201*_xlfn.XLOOKUP($L1207,'Balizador da Meta'!$B$4:$B$21,'Balizador da Meta'!$C$4:$C$21)</f>
        <v>227.99999999999997</v>
      </c>
      <c r="Y1207" s="28">
        <f>Y1201*_xlfn.XLOOKUP($L1207,'Balizador da Meta'!$B$4:$B$21,'Balizador da Meta'!$C$4:$C$21)</f>
        <v>227.99999999999997</v>
      </c>
      <c r="Z1207" s="30">
        <f t="shared" si="288"/>
        <v>2603.9999999999995</v>
      </c>
      <c r="AA1207" s="29"/>
      <c r="AB1207" s="31">
        <f>SUMIFS('Historico - FAT'!AK:AK,'Historico - FAT'!$K:$K,Faturamento!$L1207,'Historico - FAT'!$I:$I,Faturamento!$J1207,'Historico - FAT'!$G:$G,Faturamento!$H1207)</f>
        <v>35.49</v>
      </c>
      <c r="AC1207" s="31">
        <f>SUMIFS('Historico - FAT'!AL:AL,'Historico - FAT'!$K:$K,Faturamento!$L1207,'Historico - FAT'!$I:$I,Faturamento!$J1207,'Historico - FAT'!$G:$G,Faturamento!$H1207)</f>
        <v>21.354166666666668</v>
      </c>
      <c r="AD1207" s="31">
        <f>SUMIFS('Historico - FAT'!AM:AM,'Historico - FAT'!$K:$K,Faturamento!$L1207,'Historico - FAT'!$I:$I,Faturamento!$J1207,'Historico - FAT'!$G:$G,Faturamento!$H1207)</f>
        <v>2.8683333333333336</v>
      </c>
      <c r="AE1207" s="27">
        <f>SUMIFS('Historico - FAT'!AN:AN,'Historico - FAT'!$K:$K,Faturamento!$L1207,'Historico - FAT'!$I:$I,Faturamento!$J1207,'Historico - FAT'!$G:$G,Faturamento!$H1207)</f>
        <v>25.625</v>
      </c>
      <c r="AG1207" s="24">
        <f t="shared" si="289"/>
        <v>0.84434210526315778</v>
      </c>
      <c r="AH1207" s="24">
        <f t="shared" si="290"/>
        <v>0.90634137426900585</v>
      </c>
      <c r="AI1207" s="24">
        <f t="shared" si="291"/>
        <v>0.98741959064327478</v>
      </c>
    </row>
    <row r="1208" spans="1:35" hidden="1" x14ac:dyDescent="0.3">
      <c r="A1208" s="2" t="str">
        <f t="shared" si="287"/>
        <v>NÃO</v>
      </c>
      <c r="B1208" s="2">
        <v>1000184670</v>
      </c>
      <c r="C1208" s="2" t="s">
        <v>147</v>
      </c>
      <c r="D1208" s="4">
        <v>1000186197</v>
      </c>
      <c r="E1208" s="4" t="s">
        <v>166</v>
      </c>
      <c r="F1208" s="2">
        <v>1000185288</v>
      </c>
      <c r="G1208" s="2" t="s">
        <v>64</v>
      </c>
      <c r="H1208" s="4">
        <v>1000189808</v>
      </c>
      <c r="I1208" s="4" t="s">
        <v>120</v>
      </c>
      <c r="J1208" s="2">
        <v>1000189270</v>
      </c>
      <c r="K1208" s="2" t="s">
        <v>34</v>
      </c>
      <c r="L1208" s="4" t="s">
        <v>17</v>
      </c>
      <c r="M1208" s="4" t="str">
        <f t="shared" si="278"/>
        <v>1000184670100018619710001898081000189270GRANOLA</v>
      </c>
      <c r="N1208" s="28">
        <f>N1201*_xlfn.XLOOKUP($L1208,'Balizador da Meta'!$B$4:$B$21,'Balizador da Meta'!$C$4:$C$21)</f>
        <v>204</v>
      </c>
      <c r="O1208" s="28">
        <f>O1201*_xlfn.XLOOKUP($L1208,'Balizador da Meta'!$B$4:$B$21,'Balizador da Meta'!$C$4:$C$21)</f>
        <v>204</v>
      </c>
      <c r="P1208" s="28">
        <f>P1201*_xlfn.XLOOKUP($L1208,'Balizador da Meta'!$B$4:$B$21,'Balizador da Meta'!$C$4:$C$21)</f>
        <v>204</v>
      </c>
      <c r="Q1208" s="28">
        <f>Q1201*_xlfn.XLOOKUP($L1208,'Balizador da Meta'!$B$4:$B$21,'Balizador da Meta'!$C$4:$C$21)</f>
        <v>216</v>
      </c>
      <c r="R1208" s="28">
        <f>R1201*_xlfn.XLOOKUP($L1208,'Balizador da Meta'!$B$4:$B$21,'Balizador da Meta'!$C$4:$C$21)</f>
        <v>216</v>
      </c>
      <c r="S1208" s="28">
        <f>S1201*_xlfn.XLOOKUP($L1208,'Balizador da Meta'!$B$4:$B$21,'Balizador da Meta'!$C$4:$C$21)</f>
        <v>216</v>
      </c>
      <c r="T1208" s="28">
        <f>T1201*_xlfn.XLOOKUP($L1208,'Balizador da Meta'!$B$4:$B$21,'Balizador da Meta'!$C$4:$C$21)</f>
        <v>216</v>
      </c>
      <c r="U1208" s="28">
        <f>U1201*_xlfn.XLOOKUP($L1208,'Balizador da Meta'!$B$4:$B$21,'Balizador da Meta'!$C$4:$C$21)</f>
        <v>216</v>
      </c>
      <c r="V1208" s="28">
        <f>V1201*_xlfn.XLOOKUP($L1208,'Balizador da Meta'!$B$4:$B$21,'Balizador da Meta'!$C$4:$C$21)</f>
        <v>228</v>
      </c>
      <c r="W1208" s="28">
        <f>W1201*_xlfn.XLOOKUP($L1208,'Balizador da Meta'!$B$4:$B$21,'Balizador da Meta'!$C$4:$C$21)</f>
        <v>228</v>
      </c>
      <c r="X1208" s="28">
        <f>X1201*_xlfn.XLOOKUP($L1208,'Balizador da Meta'!$B$4:$B$21,'Balizador da Meta'!$C$4:$C$21)</f>
        <v>228</v>
      </c>
      <c r="Y1208" s="28">
        <f>Y1201*_xlfn.XLOOKUP($L1208,'Balizador da Meta'!$B$4:$B$21,'Balizador da Meta'!$C$4:$C$21)</f>
        <v>228</v>
      </c>
      <c r="Z1208" s="30">
        <f t="shared" si="288"/>
        <v>2604</v>
      </c>
      <c r="AA1208" s="29"/>
      <c r="AB1208" s="31">
        <f>SUMIFS('Historico - FAT'!AK:AK,'Historico - FAT'!$K:$K,Faturamento!$L1208,'Historico - FAT'!$I:$I,Faturamento!$J1208,'Historico - FAT'!$G:$G,Faturamento!$H1208)</f>
        <v>168.16166666666666</v>
      </c>
      <c r="AC1208" s="31">
        <f>SUMIFS('Historico - FAT'!AL:AL,'Historico - FAT'!$K:$K,Faturamento!$L1208,'Historico - FAT'!$I:$I,Faturamento!$J1208,'Historico - FAT'!$G:$G,Faturamento!$H1208)</f>
        <v>9.5916666666666668</v>
      </c>
      <c r="AD1208" s="31">
        <f>SUMIFS('Historico - FAT'!AM:AM,'Historico - FAT'!$K:$K,Faturamento!$L1208,'Historico - FAT'!$I:$I,Faturamento!$J1208,'Historico - FAT'!$G:$G,Faturamento!$H1208)</f>
        <v>0</v>
      </c>
      <c r="AE1208" s="27">
        <f>SUMIFS('Historico - FAT'!AN:AN,'Historico - FAT'!$K:$K,Faturamento!$L1208,'Historico - FAT'!$I:$I,Faturamento!$J1208,'Historico - FAT'!$G:$G,Faturamento!$H1208)</f>
        <v>11.51</v>
      </c>
      <c r="AG1208" s="24">
        <f t="shared" si="289"/>
        <v>0.26244883040935674</v>
      </c>
      <c r="AH1208" s="24">
        <f t="shared" si="290"/>
        <v>0.95793128654970761</v>
      </c>
      <c r="AI1208" s="24">
        <f t="shared" si="291"/>
        <v>1</v>
      </c>
    </row>
    <row r="1209" spans="1:35" hidden="1" x14ac:dyDescent="0.3">
      <c r="A1209" s="2" t="str">
        <f t="shared" si="287"/>
        <v>NÃO</v>
      </c>
      <c r="B1209" s="2">
        <v>1000184670</v>
      </c>
      <c r="C1209" s="2" t="s">
        <v>147</v>
      </c>
      <c r="D1209" s="4">
        <v>1000186197</v>
      </c>
      <c r="E1209" s="4" t="s">
        <v>166</v>
      </c>
      <c r="F1209" s="2">
        <v>1000185288</v>
      </c>
      <c r="G1209" s="2" t="s">
        <v>64</v>
      </c>
      <c r="H1209" s="4">
        <v>1000189808</v>
      </c>
      <c r="I1209" s="4" t="s">
        <v>120</v>
      </c>
      <c r="J1209" s="2">
        <v>1000189270</v>
      </c>
      <c r="K1209" s="2" t="s">
        <v>34</v>
      </c>
      <c r="L1209" s="4" t="s">
        <v>24</v>
      </c>
      <c r="M1209" s="4" t="str">
        <f t="shared" si="278"/>
        <v>1000184670100018619710001898081000189270KIDS</v>
      </c>
      <c r="N1209" s="28">
        <f>N1201*_xlfn.XLOOKUP($L1209,'Balizador da Meta'!$B$4:$B$21,'Balizador da Meta'!$C$4:$C$21)</f>
        <v>0</v>
      </c>
      <c r="O1209" s="28">
        <f>O1201*_xlfn.XLOOKUP($L1209,'Balizador da Meta'!$B$4:$B$21,'Balizador da Meta'!$C$4:$C$21)</f>
        <v>0</v>
      </c>
      <c r="P1209" s="28">
        <f>P1201*_xlfn.XLOOKUP($L1209,'Balizador da Meta'!$B$4:$B$21,'Balizador da Meta'!$C$4:$C$21)</f>
        <v>0</v>
      </c>
      <c r="Q1209" s="28">
        <f>Q1201*_xlfn.XLOOKUP($L1209,'Balizador da Meta'!$B$4:$B$21,'Balizador da Meta'!$C$4:$C$21)</f>
        <v>0</v>
      </c>
      <c r="R1209" s="28">
        <f>R1201*_xlfn.XLOOKUP($L1209,'Balizador da Meta'!$B$4:$B$21,'Balizador da Meta'!$C$4:$C$21)</f>
        <v>0</v>
      </c>
      <c r="S1209" s="28">
        <f>S1201*_xlfn.XLOOKUP($L1209,'Balizador da Meta'!$B$4:$B$21,'Balizador da Meta'!$C$4:$C$21)</f>
        <v>0</v>
      </c>
      <c r="T1209" s="28">
        <f>T1201*_xlfn.XLOOKUP($L1209,'Balizador da Meta'!$B$4:$B$21,'Balizador da Meta'!$C$4:$C$21)</f>
        <v>0</v>
      </c>
      <c r="U1209" s="28">
        <f>U1201*_xlfn.XLOOKUP($L1209,'Balizador da Meta'!$B$4:$B$21,'Balizador da Meta'!$C$4:$C$21)</f>
        <v>0</v>
      </c>
      <c r="V1209" s="28">
        <f>V1201*_xlfn.XLOOKUP($L1209,'Balizador da Meta'!$B$4:$B$21,'Balizador da Meta'!$C$4:$C$21)</f>
        <v>0</v>
      </c>
      <c r="W1209" s="28">
        <f>W1201*_xlfn.XLOOKUP($L1209,'Balizador da Meta'!$B$4:$B$21,'Balizador da Meta'!$C$4:$C$21)</f>
        <v>0</v>
      </c>
      <c r="X1209" s="28">
        <f>X1201*_xlfn.XLOOKUP($L1209,'Balizador da Meta'!$B$4:$B$21,'Balizador da Meta'!$C$4:$C$21)</f>
        <v>0</v>
      </c>
      <c r="Y1209" s="28">
        <f>Y1201*_xlfn.XLOOKUP($L1209,'Balizador da Meta'!$B$4:$B$21,'Balizador da Meta'!$C$4:$C$21)</f>
        <v>0</v>
      </c>
      <c r="Z1209" s="30">
        <f t="shared" si="288"/>
        <v>0</v>
      </c>
      <c r="AA1209" s="29"/>
      <c r="AB1209" s="31">
        <f>SUMIFS('Historico - FAT'!AK:AK,'Historico - FAT'!$K:$K,Faturamento!$L1209,'Historico - FAT'!$I:$I,Faturamento!$J1209,'Historico - FAT'!$G:$G,Faturamento!$H1209)</f>
        <v>18.760000000000002</v>
      </c>
      <c r="AC1209" s="31">
        <f>SUMIFS('Historico - FAT'!AL:AL,'Historico - FAT'!$K:$K,Faturamento!$L1209,'Historico - FAT'!$I:$I,Faturamento!$J1209,'Historico - FAT'!$G:$G,Faturamento!$H1209)</f>
        <v>5.1483333333333334</v>
      </c>
      <c r="AD1209" s="31">
        <f>SUMIFS('Historico - FAT'!AM:AM,'Historico - FAT'!$K:$K,Faturamento!$L1209,'Historico - FAT'!$I:$I,Faturamento!$J1209,'Historico - FAT'!$G:$G,Faturamento!$H1209)</f>
        <v>0</v>
      </c>
      <c r="AE1209" s="27">
        <f>SUMIFS('Historico - FAT'!AN:AN,'Historico - FAT'!$K:$K,Faturamento!$L1209,'Historico - FAT'!$I:$I,Faturamento!$J1209,'Historico - FAT'!$G:$G,Faturamento!$H1209)</f>
        <v>6.1779999999999999</v>
      </c>
      <c r="AG1209" s="24" t="str">
        <f t="shared" si="289"/>
        <v/>
      </c>
      <c r="AH1209" s="24" t="str">
        <f t="shared" si="290"/>
        <v/>
      </c>
      <c r="AI1209" s="24" t="str">
        <f t="shared" si="291"/>
        <v/>
      </c>
    </row>
    <row r="1210" spans="1:35" hidden="1" x14ac:dyDescent="0.3">
      <c r="A1210" s="2" t="str">
        <f t="shared" si="287"/>
        <v>NÃO</v>
      </c>
      <c r="B1210" s="2">
        <v>1000184670</v>
      </c>
      <c r="C1210" s="2" t="s">
        <v>147</v>
      </c>
      <c r="D1210" s="4">
        <v>1000186197</v>
      </c>
      <c r="E1210" s="4" t="s">
        <v>166</v>
      </c>
      <c r="F1210" s="2">
        <v>1000185288</v>
      </c>
      <c r="G1210" s="2" t="s">
        <v>64</v>
      </c>
      <c r="H1210" s="4">
        <v>1000189808</v>
      </c>
      <c r="I1210" s="4" t="s">
        <v>120</v>
      </c>
      <c r="J1210" s="2">
        <v>1000189270</v>
      </c>
      <c r="K1210" s="2" t="s">
        <v>34</v>
      </c>
      <c r="L1210" s="4" t="s">
        <v>18</v>
      </c>
      <c r="M1210" s="4" t="str">
        <f t="shared" si="278"/>
        <v>1000184670100018619710001898081000189270LANCHES</v>
      </c>
      <c r="N1210" s="28">
        <f>N1201*_xlfn.XLOOKUP($L1210,'Balizador da Meta'!$B$4:$B$21,'Balizador da Meta'!$C$4:$C$21)</f>
        <v>102</v>
      </c>
      <c r="O1210" s="28">
        <f>O1201*_xlfn.XLOOKUP($L1210,'Balizador da Meta'!$B$4:$B$21,'Balizador da Meta'!$C$4:$C$21)</f>
        <v>102</v>
      </c>
      <c r="P1210" s="28">
        <f>P1201*_xlfn.XLOOKUP($L1210,'Balizador da Meta'!$B$4:$B$21,'Balizador da Meta'!$C$4:$C$21)</f>
        <v>102</v>
      </c>
      <c r="Q1210" s="28">
        <f>Q1201*_xlfn.XLOOKUP($L1210,'Balizador da Meta'!$B$4:$B$21,'Balizador da Meta'!$C$4:$C$21)</f>
        <v>108</v>
      </c>
      <c r="R1210" s="28">
        <f>R1201*_xlfn.XLOOKUP($L1210,'Balizador da Meta'!$B$4:$B$21,'Balizador da Meta'!$C$4:$C$21)</f>
        <v>108</v>
      </c>
      <c r="S1210" s="28">
        <f>S1201*_xlfn.XLOOKUP($L1210,'Balizador da Meta'!$B$4:$B$21,'Balizador da Meta'!$C$4:$C$21)</f>
        <v>108</v>
      </c>
      <c r="T1210" s="28">
        <f>T1201*_xlfn.XLOOKUP($L1210,'Balizador da Meta'!$B$4:$B$21,'Balizador da Meta'!$C$4:$C$21)</f>
        <v>108</v>
      </c>
      <c r="U1210" s="28">
        <f>U1201*_xlfn.XLOOKUP($L1210,'Balizador da Meta'!$B$4:$B$21,'Balizador da Meta'!$C$4:$C$21)</f>
        <v>108</v>
      </c>
      <c r="V1210" s="28">
        <f>V1201*_xlfn.XLOOKUP($L1210,'Balizador da Meta'!$B$4:$B$21,'Balizador da Meta'!$C$4:$C$21)</f>
        <v>114</v>
      </c>
      <c r="W1210" s="28">
        <f>W1201*_xlfn.XLOOKUP($L1210,'Balizador da Meta'!$B$4:$B$21,'Balizador da Meta'!$C$4:$C$21)</f>
        <v>114</v>
      </c>
      <c r="X1210" s="28">
        <f>X1201*_xlfn.XLOOKUP($L1210,'Balizador da Meta'!$B$4:$B$21,'Balizador da Meta'!$C$4:$C$21)</f>
        <v>114</v>
      </c>
      <c r="Y1210" s="28">
        <f>Y1201*_xlfn.XLOOKUP($L1210,'Balizador da Meta'!$B$4:$B$21,'Balizador da Meta'!$C$4:$C$21)</f>
        <v>114</v>
      </c>
      <c r="Z1210" s="30">
        <f t="shared" si="288"/>
        <v>1302</v>
      </c>
      <c r="AA1210" s="29"/>
      <c r="AB1210" s="31">
        <f>SUMIFS('Historico - FAT'!AK:AK,'Historico - FAT'!$K:$K,Faturamento!$L1210,'Historico - FAT'!$I:$I,Faturamento!$J1210,'Historico - FAT'!$G:$G,Faturamento!$H1210)</f>
        <v>80.66</v>
      </c>
      <c r="AC1210" s="31">
        <f>SUMIFS('Historico - FAT'!AL:AL,'Historico - FAT'!$K:$K,Faturamento!$L1210,'Historico - FAT'!$I:$I,Faturamento!$J1210,'Historico - FAT'!$G:$G,Faturamento!$H1210)</f>
        <v>167.76083333333332</v>
      </c>
      <c r="AD1210" s="31">
        <f>SUMIFS('Historico - FAT'!AM:AM,'Historico - FAT'!$K:$K,Faturamento!$L1210,'Historico - FAT'!$I:$I,Faturamento!$J1210,'Historico - FAT'!$G:$G,Faturamento!$H1210)</f>
        <v>128</v>
      </c>
      <c r="AE1210" s="27">
        <f>SUMIFS('Historico - FAT'!AN:AN,'Historico - FAT'!$K:$K,Faturamento!$L1210,'Historico - FAT'!$I:$I,Faturamento!$J1210,'Historico - FAT'!$G:$G,Faturamento!$H1210)</f>
        <v>201.31299999999999</v>
      </c>
      <c r="AG1210" s="24">
        <f t="shared" si="289"/>
        <v>0.29245614035087725</v>
      </c>
      <c r="AH1210" s="24">
        <f t="shared" si="290"/>
        <v>-0.47158625730994141</v>
      </c>
      <c r="AI1210" s="24">
        <f t="shared" si="291"/>
        <v>-0.12280701754385964</v>
      </c>
    </row>
    <row r="1211" spans="1:35" hidden="1" x14ac:dyDescent="0.3">
      <c r="A1211" s="2" t="str">
        <f t="shared" si="287"/>
        <v>NÃO</v>
      </c>
      <c r="B1211" s="2">
        <v>1000184670</v>
      </c>
      <c r="C1211" s="2" t="s">
        <v>147</v>
      </c>
      <c r="D1211" s="4">
        <v>1000186197</v>
      </c>
      <c r="E1211" s="4" t="s">
        <v>166</v>
      </c>
      <c r="F1211" s="2">
        <v>1000185288</v>
      </c>
      <c r="G1211" s="2" t="s">
        <v>64</v>
      </c>
      <c r="H1211" s="4">
        <v>1000189808</v>
      </c>
      <c r="I1211" s="4" t="s">
        <v>120</v>
      </c>
      <c r="J1211" s="2">
        <v>1000189270</v>
      </c>
      <c r="K1211" s="2" t="s">
        <v>34</v>
      </c>
      <c r="L1211" s="4" t="s">
        <v>29</v>
      </c>
      <c r="M1211" s="4" t="str">
        <f t="shared" si="278"/>
        <v>1000184670100018619710001898081000189270MAIS GRANEL</v>
      </c>
      <c r="N1211" s="28">
        <f>N1201*_xlfn.XLOOKUP($L1211,'Balizador da Meta'!$B$4:$B$21,'Balizador da Meta'!$C$4:$C$21)</f>
        <v>3264</v>
      </c>
      <c r="O1211" s="28">
        <f>O1201*_xlfn.XLOOKUP($L1211,'Balizador da Meta'!$B$4:$B$21,'Balizador da Meta'!$C$4:$C$21)</f>
        <v>3264</v>
      </c>
      <c r="P1211" s="28">
        <f>P1201*_xlfn.XLOOKUP($L1211,'Balizador da Meta'!$B$4:$B$21,'Balizador da Meta'!$C$4:$C$21)</f>
        <v>3264</v>
      </c>
      <c r="Q1211" s="28">
        <f>Q1201*_xlfn.XLOOKUP($L1211,'Balizador da Meta'!$B$4:$B$21,'Balizador da Meta'!$C$4:$C$21)</f>
        <v>3456</v>
      </c>
      <c r="R1211" s="28">
        <f>R1201*_xlfn.XLOOKUP($L1211,'Balizador da Meta'!$B$4:$B$21,'Balizador da Meta'!$C$4:$C$21)</f>
        <v>3456</v>
      </c>
      <c r="S1211" s="28">
        <f>S1201*_xlfn.XLOOKUP($L1211,'Balizador da Meta'!$B$4:$B$21,'Balizador da Meta'!$C$4:$C$21)</f>
        <v>3456</v>
      </c>
      <c r="T1211" s="28">
        <f>T1201*_xlfn.XLOOKUP($L1211,'Balizador da Meta'!$B$4:$B$21,'Balizador da Meta'!$C$4:$C$21)</f>
        <v>3456</v>
      </c>
      <c r="U1211" s="28">
        <f>U1201*_xlfn.XLOOKUP($L1211,'Balizador da Meta'!$B$4:$B$21,'Balizador da Meta'!$C$4:$C$21)</f>
        <v>3456</v>
      </c>
      <c r="V1211" s="28">
        <f>V1201*_xlfn.XLOOKUP($L1211,'Balizador da Meta'!$B$4:$B$21,'Balizador da Meta'!$C$4:$C$21)</f>
        <v>3648</v>
      </c>
      <c r="W1211" s="28">
        <f>W1201*_xlfn.XLOOKUP($L1211,'Balizador da Meta'!$B$4:$B$21,'Balizador da Meta'!$C$4:$C$21)</f>
        <v>3648</v>
      </c>
      <c r="X1211" s="28">
        <f>X1201*_xlfn.XLOOKUP($L1211,'Balizador da Meta'!$B$4:$B$21,'Balizador da Meta'!$C$4:$C$21)</f>
        <v>3648</v>
      </c>
      <c r="Y1211" s="28">
        <f>Y1201*_xlfn.XLOOKUP($L1211,'Balizador da Meta'!$B$4:$B$21,'Balizador da Meta'!$C$4:$C$21)</f>
        <v>3648</v>
      </c>
      <c r="Z1211" s="30">
        <f t="shared" si="288"/>
        <v>41664</v>
      </c>
      <c r="AA1211" s="29"/>
      <c r="AB1211" s="31">
        <f>SUMIFS('Historico - FAT'!AK:AK,'Historico - FAT'!$K:$K,Faturamento!$L1211,'Historico - FAT'!$I:$I,Faturamento!$J1211,'Historico - FAT'!$G:$G,Faturamento!$H1211)</f>
        <v>0</v>
      </c>
      <c r="AC1211" s="31">
        <f>SUMIFS('Historico - FAT'!AL:AL,'Historico - FAT'!$K:$K,Faturamento!$L1211,'Historico - FAT'!$I:$I,Faturamento!$J1211,'Historico - FAT'!$G:$G,Faturamento!$H1211)</f>
        <v>1151.4841666666664</v>
      </c>
      <c r="AD1211" s="31">
        <f>SUMIFS('Historico - FAT'!AM:AM,'Historico - FAT'!$K:$K,Faturamento!$L1211,'Historico - FAT'!$I:$I,Faturamento!$J1211,'Historico - FAT'!$G:$G,Faturamento!$H1211)</f>
        <v>2249.4249999999997</v>
      </c>
      <c r="AE1211" s="27">
        <f>SUMIFS('Historico - FAT'!AN:AN,'Historico - FAT'!$K:$K,Faturamento!$L1211,'Historico - FAT'!$I:$I,Faturamento!$J1211,'Historico - FAT'!$G:$G,Faturamento!$H1211)</f>
        <v>1381.7809999999997</v>
      </c>
      <c r="AG1211" s="24">
        <f t="shared" si="289"/>
        <v>1</v>
      </c>
      <c r="AH1211" s="24">
        <f t="shared" si="290"/>
        <v>0.68435192799707611</v>
      </c>
      <c r="AI1211" s="24">
        <f t="shared" si="291"/>
        <v>0.38338130482456145</v>
      </c>
    </row>
    <row r="1212" spans="1:35" hidden="1" x14ac:dyDescent="0.3">
      <c r="A1212" s="2" t="str">
        <f t="shared" si="287"/>
        <v>NÃO</v>
      </c>
      <c r="B1212" s="2">
        <v>1000184670</v>
      </c>
      <c r="C1212" s="2" t="s">
        <v>147</v>
      </c>
      <c r="D1212" s="4">
        <v>1000186197</v>
      </c>
      <c r="E1212" s="4" t="s">
        <v>166</v>
      </c>
      <c r="F1212" s="2">
        <v>1000185288</v>
      </c>
      <c r="G1212" s="2" t="s">
        <v>64</v>
      </c>
      <c r="H1212" s="4">
        <v>1000189808</v>
      </c>
      <c r="I1212" s="4" t="s">
        <v>120</v>
      </c>
      <c r="J1212" s="2">
        <v>1000189270</v>
      </c>
      <c r="K1212" s="2" t="s">
        <v>34</v>
      </c>
      <c r="L1212" s="4" t="s">
        <v>21</v>
      </c>
      <c r="M1212" s="4" t="str">
        <f t="shared" si="278"/>
        <v>1000184670100018619710001898081000189270NATURATTA</v>
      </c>
      <c r="N1212" s="28">
        <f>N1201*_xlfn.XLOOKUP($L1212,'Balizador da Meta'!$B$4:$B$21,'Balizador da Meta'!$C$4:$C$21)</f>
        <v>510</v>
      </c>
      <c r="O1212" s="28">
        <f>O1201*_xlfn.XLOOKUP($L1212,'Balizador da Meta'!$B$4:$B$21,'Balizador da Meta'!$C$4:$C$21)</f>
        <v>510</v>
      </c>
      <c r="P1212" s="28">
        <f>P1201*_xlfn.XLOOKUP($L1212,'Balizador da Meta'!$B$4:$B$21,'Balizador da Meta'!$C$4:$C$21)</f>
        <v>510</v>
      </c>
      <c r="Q1212" s="28">
        <f>Q1201*_xlfn.XLOOKUP($L1212,'Balizador da Meta'!$B$4:$B$21,'Balizador da Meta'!$C$4:$C$21)</f>
        <v>540</v>
      </c>
      <c r="R1212" s="28">
        <f>R1201*_xlfn.XLOOKUP($L1212,'Balizador da Meta'!$B$4:$B$21,'Balizador da Meta'!$C$4:$C$21)</f>
        <v>540</v>
      </c>
      <c r="S1212" s="28">
        <f>S1201*_xlfn.XLOOKUP($L1212,'Balizador da Meta'!$B$4:$B$21,'Balizador da Meta'!$C$4:$C$21)</f>
        <v>540</v>
      </c>
      <c r="T1212" s="28">
        <f>T1201*_xlfn.XLOOKUP($L1212,'Balizador da Meta'!$B$4:$B$21,'Balizador da Meta'!$C$4:$C$21)</f>
        <v>540</v>
      </c>
      <c r="U1212" s="28">
        <f>U1201*_xlfn.XLOOKUP($L1212,'Balizador da Meta'!$B$4:$B$21,'Balizador da Meta'!$C$4:$C$21)</f>
        <v>540</v>
      </c>
      <c r="V1212" s="28">
        <f>V1201*_xlfn.XLOOKUP($L1212,'Balizador da Meta'!$B$4:$B$21,'Balizador da Meta'!$C$4:$C$21)</f>
        <v>570</v>
      </c>
      <c r="W1212" s="28">
        <f>W1201*_xlfn.XLOOKUP($L1212,'Balizador da Meta'!$B$4:$B$21,'Balizador da Meta'!$C$4:$C$21)</f>
        <v>570</v>
      </c>
      <c r="X1212" s="28">
        <f>X1201*_xlfn.XLOOKUP($L1212,'Balizador da Meta'!$B$4:$B$21,'Balizador da Meta'!$C$4:$C$21)</f>
        <v>570</v>
      </c>
      <c r="Y1212" s="28">
        <f>Y1201*_xlfn.XLOOKUP($L1212,'Balizador da Meta'!$B$4:$B$21,'Balizador da Meta'!$C$4:$C$21)</f>
        <v>570</v>
      </c>
      <c r="Z1212" s="30">
        <f t="shared" si="288"/>
        <v>6510</v>
      </c>
      <c r="AA1212" s="29"/>
      <c r="AB1212" s="31">
        <f>SUMIFS('Historico - FAT'!AK:AK,'Historico - FAT'!$K:$K,Faturamento!$L1212,'Historico - FAT'!$I:$I,Faturamento!$J1212,'Historico - FAT'!$G:$G,Faturamento!$H1212)</f>
        <v>52.65</v>
      </c>
      <c r="AC1212" s="31">
        <f>SUMIFS('Historico - FAT'!AL:AL,'Historico - FAT'!$K:$K,Faturamento!$L1212,'Historico - FAT'!$I:$I,Faturamento!$J1212,'Historico - FAT'!$G:$G,Faturamento!$H1212)</f>
        <v>117.53416666666668</v>
      </c>
      <c r="AD1212" s="31">
        <f>SUMIFS('Historico - FAT'!AM:AM,'Historico - FAT'!$K:$K,Faturamento!$L1212,'Historico - FAT'!$I:$I,Faturamento!$J1212,'Historico - FAT'!$G:$G,Faturamento!$H1212)</f>
        <v>225.36833333333334</v>
      </c>
      <c r="AE1212" s="27">
        <f>SUMIFS('Historico - FAT'!AN:AN,'Historico - FAT'!$K:$K,Faturamento!$L1212,'Historico - FAT'!$I:$I,Faturamento!$J1212,'Historico - FAT'!$G:$G,Faturamento!$H1212)</f>
        <v>141.041</v>
      </c>
      <c r="AG1212" s="24">
        <f t="shared" si="289"/>
        <v>0.90763157894736846</v>
      </c>
      <c r="AH1212" s="24">
        <f t="shared" si="290"/>
        <v>0.79379970760233909</v>
      </c>
      <c r="AI1212" s="24">
        <f t="shared" si="291"/>
        <v>0.60461695906432744</v>
      </c>
    </row>
    <row r="1213" spans="1:35" hidden="1" x14ac:dyDescent="0.3">
      <c r="A1213" s="2" t="str">
        <f t="shared" si="287"/>
        <v>NÃO</v>
      </c>
      <c r="B1213" s="2">
        <v>1000184670</v>
      </c>
      <c r="C1213" s="2" t="s">
        <v>147</v>
      </c>
      <c r="D1213" s="4">
        <v>1000186197</v>
      </c>
      <c r="E1213" s="4" t="s">
        <v>166</v>
      </c>
      <c r="F1213" s="2">
        <v>1000185288</v>
      </c>
      <c r="G1213" s="2" t="s">
        <v>64</v>
      </c>
      <c r="H1213" s="4">
        <v>1000189808</v>
      </c>
      <c r="I1213" s="4" t="s">
        <v>120</v>
      </c>
      <c r="J1213" s="2">
        <v>1000189270</v>
      </c>
      <c r="K1213" s="2" t="s">
        <v>34</v>
      </c>
      <c r="L1213" s="4" t="s">
        <v>20</v>
      </c>
      <c r="M1213" s="4" t="str">
        <f t="shared" si="278"/>
        <v>1000184670100018619710001898081000189270REEMBALADOS</v>
      </c>
      <c r="N1213" s="28">
        <f>N1201*_xlfn.XLOOKUP($L1213,'Balizador da Meta'!$B$4:$B$21,'Balizador da Meta'!$C$4:$C$21)</f>
        <v>408</v>
      </c>
      <c r="O1213" s="28">
        <f>O1201*_xlfn.XLOOKUP($L1213,'Balizador da Meta'!$B$4:$B$21,'Balizador da Meta'!$C$4:$C$21)</f>
        <v>408</v>
      </c>
      <c r="P1213" s="28">
        <f>P1201*_xlfn.XLOOKUP($L1213,'Balizador da Meta'!$B$4:$B$21,'Balizador da Meta'!$C$4:$C$21)</f>
        <v>408</v>
      </c>
      <c r="Q1213" s="28">
        <f>Q1201*_xlfn.XLOOKUP($L1213,'Balizador da Meta'!$B$4:$B$21,'Balizador da Meta'!$C$4:$C$21)</f>
        <v>432</v>
      </c>
      <c r="R1213" s="28">
        <f>R1201*_xlfn.XLOOKUP($L1213,'Balizador da Meta'!$B$4:$B$21,'Balizador da Meta'!$C$4:$C$21)</f>
        <v>432</v>
      </c>
      <c r="S1213" s="28">
        <f>S1201*_xlfn.XLOOKUP($L1213,'Balizador da Meta'!$B$4:$B$21,'Balizador da Meta'!$C$4:$C$21)</f>
        <v>432</v>
      </c>
      <c r="T1213" s="28">
        <f>T1201*_xlfn.XLOOKUP($L1213,'Balizador da Meta'!$B$4:$B$21,'Balizador da Meta'!$C$4:$C$21)</f>
        <v>432</v>
      </c>
      <c r="U1213" s="28">
        <f>U1201*_xlfn.XLOOKUP($L1213,'Balizador da Meta'!$B$4:$B$21,'Balizador da Meta'!$C$4:$C$21)</f>
        <v>432</v>
      </c>
      <c r="V1213" s="28">
        <f>V1201*_xlfn.XLOOKUP($L1213,'Balizador da Meta'!$B$4:$B$21,'Balizador da Meta'!$C$4:$C$21)</f>
        <v>456</v>
      </c>
      <c r="W1213" s="28">
        <f>W1201*_xlfn.XLOOKUP($L1213,'Balizador da Meta'!$B$4:$B$21,'Balizador da Meta'!$C$4:$C$21)</f>
        <v>456</v>
      </c>
      <c r="X1213" s="28">
        <f>X1201*_xlfn.XLOOKUP($L1213,'Balizador da Meta'!$B$4:$B$21,'Balizador da Meta'!$C$4:$C$21)</f>
        <v>456</v>
      </c>
      <c r="Y1213" s="28">
        <f>Y1201*_xlfn.XLOOKUP($L1213,'Balizador da Meta'!$B$4:$B$21,'Balizador da Meta'!$C$4:$C$21)</f>
        <v>456</v>
      </c>
      <c r="Z1213" s="30">
        <f t="shared" si="288"/>
        <v>5208</v>
      </c>
      <c r="AA1213" s="29"/>
      <c r="AB1213" s="31">
        <f>SUMIFS('Historico - FAT'!AK:AK,'Historico - FAT'!$K:$K,Faturamento!$L1213,'Historico - FAT'!$I:$I,Faturamento!$J1213,'Historico - FAT'!$G:$G,Faturamento!$H1213)</f>
        <v>115.5575</v>
      </c>
      <c r="AC1213" s="31">
        <f>SUMIFS('Historico - FAT'!AL:AL,'Historico - FAT'!$K:$K,Faturamento!$L1213,'Historico - FAT'!$I:$I,Faturamento!$J1213,'Historico - FAT'!$G:$G,Faturamento!$H1213)</f>
        <v>10.179166666666667</v>
      </c>
      <c r="AD1213" s="31">
        <f>SUMIFS('Historico - FAT'!AM:AM,'Historico - FAT'!$K:$K,Faturamento!$L1213,'Historico - FAT'!$I:$I,Faturamento!$J1213,'Historico - FAT'!$G:$G,Faturamento!$H1213)</f>
        <v>20.358333333333334</v>
      </c>
      <c r="AE1213" s="27">
        <f>SUMIFS('Historico - FAT'!AN:AN,'Historico - FAT'!$K:$K,Faturamento!$L1213,'Historico - FAT'!$I:$I,Faturamento!$J1213,'Historico - FAT'!$G:$G,Faturamento!$H1213)</f>
        <v>12.215</v>
      </c>
      <c r="AG1213" s="24">
        <f t="shared" si="289"/>
        <v>0.74658442982456141</v>
      </c>
      <c r="AH1213" s="24">
        <f t="shared" si="290"/>
        <v>0.97767726608187133</v>
      </c>
      <c r="AI1213" s="24">
        <f t="shared" si="291"/>
        <v>0.95535453216374266</v>
      </c>
    </row>
    <row r="1214" spans="1:35" hidden="1" x14ac:dyDescent="0.3">
      <c r="A1214" s="2" t="str">
        <f t="shared" si="287"/>
        <v>NÃO</v>
      </c>
      <c r="B1214" s="2">
        <v>1000184670</v>
      </c>
      <c r="C1214" s="2" t="s">
        <v>147</v>
      </c>
      <c r="D1214" s="4">
        <v>1000186197</v>
      </c>
      <c r="E1214" s="4" t="s">
        <v>166</v>
      </c>
      <c r="F1214" s="2">
        <v>1000185288</v>
      </c>
      <c r="G1214" s="2" t="s">
        <v>64</v>
      </c>
      <c r="H1214" s="4">
        <v>1000189808</v>
      </c>
      <c r="I1214" s="4" t="s">
        <v>120</v>
      </c>
      <c r="J1214" s="2">
        <v>1000189270</v>
      </c>
      <c r="K1214" s="2" t="s">
        <v>34</v>
      </c>
      <c r="L1214" s="4" t="s">
        <v>22</v>
      </c>
      <c r="M1214" s="4" t="str">
        <f t="shared" si="278"/>
        <v>1000184670100018619710001898081000189270S GLUTEN</v>
      </c>
      <c r="N1214" s="28">
        <f>N1201*_xlfn.XLOOKUP($L1214,'Balizador da Meta'!$B$4:$B$21,'Balizador da Meta'!$C$4:$C$21)</f>
        <v>408</v>
      </c>
      <c r="O1214" s="28">
        <f>O1201*_xlfn.XLOOKUP($L1214,'Balizador da Meta'!$B$4:$B$21,'Balizador da Meta'!$C$4:$C$21)</f>
        <v>408</v>
      </c>
      <c r="P1214" s="28">
        <f>P1201*_xlfn.XLOOKUP($L1214,'Balizador da Meta'!$B$4:$B$21,'Balizador da Meta'!$C$4:$C$21)</f>
        <v>408</v>
      </c>
      <c r="Q1214" s="28">
        <f>Q1201*_xlfn.XLOOKUP($L1214,'Balizador da Meta'!$B$4:$B$21,'Balizador da Meta'!$C$4:$C$21)</f>
        <v>432</v>
      </c>
      <c r="R1214" s="28">
        <f>R1201*_xlfn.XLOOKUP($L1214,'Balizador da Meta'!$B$4:$B$21,'Balizador da Meta'!$C$4:$C$21)</f>
        <v>432</v>
      </c>
      <c r="S1214" s="28">
        <f>S1201*_xlfn.XLOOKUP($L1214,'Balizador da Meta'!$B$4:$B$21,'Balizador da Meta'!$C$4:$C$21)</f>
        <v>432</v>
      </c>
      <c r="T1214" s="28">
        <f>T1201*_xlfn.XLOOKUP($L1214,'Balizador da Meta'!$B$4:$B$21,'Balizador da Meta'!$C$4:$C$21)</f>
        <v>432</v>
      </c>
      <c r="U1214" s="28">
        <f>U1201*_xlfn.XLOOKUP($L1214,'Balizador da Meta'!$B$4:$B$21,'Balizador da Meta'!$C$4:$C$21)</f>
        <v>432</v>
      </c>
      <c r="V1214" s="28">
        <f>V1201*_xlfn.XLOOKUP($L1214,'Balizador da Meta'!$B$4:$B$21,'Balizador da Meta'!$C$4:$C$21)</f>
        <v>456</v>
      </c>
      <c r="W1214" s="28">
        <f>W1201*_xlfn.XLOOKUP($L1214,'Balizador da Meta'!$B$4:$B$21,'Balizador da Meta'!$C$4:$C$21)</f>
        <v>456</v>
      </c>
      <c r="X1214" s="28">
        <f>X1201*_xlfn.XLOOKUP($L1214,'Balizador da Meta'!$B$4:$B$21,'Balizador da Meta'!$C$4:$C$21)</f>
        <v>456</v>
      </c>
      <c r="Y1214" s="28">
        <f>Y1201*_xlfn.XLOOKUP($L1214,'Balizador da Meta'!$B$4:$B$21,'Balizador da Meta'!$C$4:$C$21)</f>
        <v>456</v>
      </c>
      <c r="Z1214" s="30">
        <f t="shared" si="288"/>
        <v>5208</v>
      </c>
      <c r="AA1214" s="29"/>
      <c r="AB1214" s="31">
        <f>SUMIFS('Historico - FAT'!AK:AK,'Historico - FAT'!$K:$K,Faturamento!$L1214,'Historico - FAT'!$I:$I,Faturamento!$J1214,'Historico - FAT'!$G:$G,Faturamento!$H1214)</f>
        <v>52.26</v>
      </c>
      <c r="AC1214" s="31">
        <f>SUMIFS('Historico - FAT'!AL:AL,'Historico - FAT'!$K:$K,Faturamento!$L1214,'Historico - FAT'!$I:$I,Faturamento!$J1214,'Historico - FAT'!$G:$G,Faturamento!$H1214)</f>
        <v>23.240833333333331</v>
      </c>
      <c r="AD1214" s="31">
        <f>SUMIFS('Historico - FAT'!AM:AM,'Historico - FAT'!$K:$K,Faturamento!$L1214,'Historico - FAT'!$I:$I,Faturamento!$J1214,'Historico - FAT'!$G:$G,Faturamento!$H1214)</f>
        <v>23.25</v>
      </c>
      <c r="AE1214" s="27">
        <f>SUMIFS('Historico - FAT'!AN:AN,'Historico - FAT'!$K:$K,Faturamento!$L1214,'Historico - FAT'!$I:$I,Faturamento!$J1214,'Historico - FAT'!$G:$G,Faturamento!$H1214)</f>
        <v>27.888999999999999</v>
      </c>
      <c r="AG1214" s="24">
        <f t="shared" si="289"/>
        <v>0.88539473684210523</v>
      </c>
      <c r="AH1214" s="24">
        <f t="shared" si="290"/>
        <v>0.9490332602339181</v>
      </c>
      <c r="AI1214" s="24">
        <f t="shared" si="291"/>
        <v>0.94901315789473684</v>
      </c>
    </row>
    <row r="1215" spans="1:35" hidden="1" x14ac:dyDescent="0.3">
      <c r="A1215" s="2" t="str">
        <f t="shared" si="287"/>
        <v>NÃO</v>
      </c>
      <c r="B1215" s="2">
        <v>1000184670</v>
      </c>
      <c r="C1215" s="2" t="s">
        <v>147</v>
      </c>
      <c r="D1215" s="4">
        <v>1000186197</v>
      </c>
      <c r="E1215" s="4" t="s">
        <v>166</v>
      </c>
      <c r="F1215" s="2">
        <v>1000185288</v>
      </c>
      <c r="G1215" s="2" t="s">
        <v>64</v>
      </c>
      <c r="H1215" s="4">
        <v>1000189808</v>
      </c>
      <c r="I1215" s="4" t="s">
        <v>120</v>
      </c>
      <c r="J1215" s="2">
        <v>1000189270</v>
      </c>
      <c r="K1215" s="2" t="s">
        <v>34</v>
      </c>
      <c r="L1215" s="4" t="s">
        <v>23</v>
      </c>
      <c r="M1215" s="4" t="str">
        <f t="shared" si="278"/>
        <v>1000184670100018619710001898081000189270SABORES DO CAMPO</v>
      </c>
      <c r="N1215" s="28">
        <f>N1201*_xlfn.XLOOKUP($L1215,'Balizador da Meta'!$B$4:$B$21,'Balizador da Meta'!$C$4:$C$21)</f>
        <v>0</v>
      </c>
      <c r="O1215" s="28">
        <f>O1201*_xlfn.XLOOKUP($L1215,'Balizador da Meta'!$B$4:$B$21,'Balizador da Meta'!$C$4:$C$21)</f>
        <v>0</v>
      </c>
      <c r="P1215" s="28">
        <f>P1201*_xlfn.XLOOKUP($L1215,'Balizador da Meta'!$B$4:$B$21,'Balizador da Meta'!$C$4:$C$21)</f>
        <v>0</v>
      </c>
      <c r="Q1215" s="28">
        <f>Q1201*_xlfn.XLOOKUP($L1215,'Balizador da Meta'!$B$4:$B$21,'Balizador da Meta'!$C$4:$C$21)</f>
        <v>0</v>
      </c>
      <c r="R1215" s="28">
        <f>R1201*_xlfn.XLOOKUP($L1215,'Balizador da Meta'!$B$4:$B$21,'Balizador da Meta'!$C$4:$C$21)</f>
        <v>0</v>
      </c>
      <c r="S1215" s="28">
        <f>S1201*_xlfn.XLOOKUP($L1215,'Balizador da Meta'!$B$4:$B$21,'Balizador da Meta'!$C$4:$C$21)</f>
        <v>0</v>
      </c>
      <c r="T1215" s="28">
        <f>T1201*_xlfn.XLOOKUP($L1215,'Balizador da Meta'!$B$4:$B$21,'Balizador da Meta'!$C$4:$C$21)</f>
        <v>0</v>
      </c>
      <c r="U1215" s="28">
        <f>U1201*_xlfn.XLOOKUP($L1215,'Balizador da Meta'!$B$4:$B$21,'Balizador da Meta'!$C$4:$C$21)</f>
        <v>0</v>
      </c>
      <c r="V1215" s="28">
        <f>V1201*_xlfn.XLOOKUP($L1215,'Balizador da Meta'!$B$4:$B$21,'Balizador da Meta'!$C$4:$C$21)</f>
        <v>0</v>
      </c>
      <c r="W1215" s="28">
        <f>W1201*_xlfn.XLOOKUP($L1215,'Balizador da Meta'!$B$4:$B$21,'Balizador da Meta'!$C$4:$C$21)</f>
        <v>0</v>
      </c>
      <c r="X1215" s="28">
        <f>X1201*_xlfn.XLOOKUP($L1215,'Balizador da Meta'!$B$4:$B$21,'Balizador da Meta'!$C$4:$C$21)</f>
        <v>0</v>
      </c>
      <c r="Y1215" s="28">
        <f>Y1201*_xlfn.XLOOKUP($L1215,'Balizador da Meta'!$B$4:$B$21,'Balizador da Meta'!$C$4:$C$21)</f>
        <v>0</v>
      </c>
      <c r="Z1215" s="30">
        <f t="shared" si="288"/>
        <v>0</v>
      </c>
      <c r="AA1215" s="29"/>
      <c r="AB1215" s="31">
        <f>SUMIFS('Historico - FAT'!AK:AK,'Historico - FAT'!$K:$K,Faturamento!$L1215,'Historico - FAT'!$I:$I,Faturamento!$J1215,'Historico - FAT'!$G:$G,Faturamento!$H1215)</f>
        <v>0</v>
      </c>
      <c r="AC1215" s="31">
        <f>SUMIFS('Historico - FAT'!AL:AL,'Historico - FAT'!$K:$K,Faturamento!$L1215,'Historico - FAT'!$I:$I,Faturamento!$J1215,'Historico - FAT'!$G:$G,Faturamento!$H1215)</f>
        <v>0.79916666666666669</v>
      </c>
      <c r="AD1215" s="31">
        <f>SUMIFS('Historico - FAT'!AM:AM,'Historico - FAT'!$K:$K,Faturamento!$L1215,'Historico - FAT'!$I:$I,Faturamento!$J1215,'Historico - FAT'!$G:$G,Faturamento!$H1215)</f>
        <v>1.5983333333333334</v>
      </c>
      <c r="AE1215" s="27">
        <f>SUMIFS('Historico - FAT'!AN:AN,'Historico - FAT'!$K:$K,Faturamento!$L1215,'Historico - FAT'!$I:$I,Faturamento!$J1215,'Historico - FAT'!$G:$G,Faturamento!$H1215)</f>
        <v>0.95899999999999996</v>
      </c>
      <c r="AG1215" s="24" t="str">
        <f t="shared" si="289"/>
        <v/>
      </c>
      <c r="AH1215" s="24" t="str">
        <f t="shared" si="290"/>
        <v/>
      </c>
      <c r="AI1215" s="24" t="str">
        <f t="shared" si="291"/>
        <v/>
      </c>
    </row>
    <row r="1216" spans="1:35" hidden="1" x14ac:dyDescent="0.3">
      <c r="A1216" s="2" t="str">
        <f t="shared" si="287"/>
        <v>NÃO</v>
      </c>
      <c r="B1216" s="2">
        <v>1000184670</v>
      </c>
      <c r="C1216" s="2" t="s">
        <v>147</v>
      </c>
      <c r="D1216" s="4">
        <v>1000186197</v>
      </c>
      <c r="E1216" s="4" t="s">
        <v>166</v>
      </c>
      <c r="F1216" s="2">
        <v>1000185288</v>
      </c>
      <c r="G1216" s="2" t="s">
        <v>64</v>
      </c>
      <c r="H1216" s="4">
        <v>1000189808</v>
      </c>
      <c r="I1216" s="4" t="s">
        <v>120</v>
      </c>
      <c r="J1216" s="2">
        <v>1000189270</v>
      </c>
      <c r="K1216" s="2" t="s">
        <v>34</v>
      </c>
      <c r="L1216" s="4" t="s">
        <v>28</v>
      </c>
      <c r="M1216" s="4" t="str">
        <f t="shared" si="278"/>
        <v>1000184670100018619710001898081000189270SAL</v>
      </c>
      <c r="N1216" s="28">
        <f>N1201*_xlfn.XLOOKUP($L1216,'Balizador da Meta'!$B$4:$B$21,'Balizador da Meta'!$C$4:$C$21)</f>
        <v>204</v>
      </c>
      <c r="O1216" s="28">
        <f>O1201*_xlfn.XLOOKUP($L1216,'Balizador da Meta'!$B$4:$B$21,'Balizador da Meta'!$C$4:$C$21)</f>
        <v>204</v>
      </c>
      <c r="P1216" s="28">
        <f>P1201*_xlfn.XLOOKUP($L1216,'Balizador da Meta'!$B$4:$B$21,'Balizador da Meta'!$C$4:$C$21)</f>
        <v>204</v>
      </c>
      <c r="Q1216" s="28">
        <f>Q1201*_xlfn.XLOOKUP($L1216,'Balizador da Meta'!$B$4:$B$21,'Balizador da Meta'!$C$4:$C$21)</f>
        <v>216</v>
      </c>
      <c r="R1216" s="28">
        <f>R1201*_xlfn.XLOOKUP($L1216,'Balizador da Meta'!$B$4:$B$21,'Balizador da Meta'!$C$4:$C$21)</f>
        <v>216</v>
      </c>
      <c r="S1216" s="28">
        <f>S1201*_xlfn.XLOOKUP($L1216,'Balizador da Meta'!$B$4:$B$21,'Balizador da Meta'!$C$4:$C$21)</f>
        <v>216</v>
      </c>
      <c r="T1216" s="28">
        <f>T1201*_xlfn.XLOOKUP($L1216,'Balizador da Meta'!$B$4:$B$21,'Balizador da Meta'!$C$4:$C$21)</f>
        <v>216</v>
      </c>
      <c r="U1216" s="28">
        <f>U1201*_xlfn.XLOOKUP($L1216,'Balizador da Meta'!$B$4:$B$21,'Balizador da Meta'!$C$4:$C$21)</f>
        <v>216</v>
      </c>
      <c r="V1216" s="28">
        <f>V1201*_xlfn.XLOOKUP($L1216,'Balizador da Meta'!$B$4:$B$21,'Balizador da Meta'!$C$4:$C$21)</f>
        <v>228</v>
      </c>
      <c r="W1216" s="28">
        <f>W1201*_xlfn.XLOOKUP($L1216,'Balizador da Meta'!$B$4:$B$21,'Balizador da Meta'!$C$4:$C$21)</f>
        <v>228</v>
      </c>
      <c r="X1216" s="28">
        <f>X1201*_xlfn.XLOOKUP($L1216,'Balizador da Meta'!$B$4:$B$21,'Balizador da Meta'!$C$4:$C$21)</f>
        <v>228</v>
      </c>
      <c r="Y1216" s="28">
        <f>Y1201*_xlfn.XLOOKUP($L1216,'Balizador da Meta'!$B$4:$B$21,'Balizador da Meta'!$C$4:$C$21)</f>
        <v>228</v>
      </c>
      <c r="Z1216" s="30">
        <f t="shared" si="288"/>
        <v>2604</v>
      </c>
      <c r="AA1216" s="29"/>
      <c r="AB1216" s="31">
        <f>SUMIFS('Historico - FAT'!AK:AK,'Historico - FAT'!$K:$K,Faturamento!$L1216,'Historico - FAT'!$I:$I,Faturamento!$J1216,'Historico - FAT'!$G:$G,Faturamento!$H1216)</f>
        <v>73.913333333333341</v>
      </c>
      <c r="AC1216" s="31">
        <f>SUMIFS('Historico - FAT'!AL:AL,'Historico - FAT'!$K:$K,Faturamento!$L1216,'Historico - FAT'!$I:$I,Faturamento!$J1216,'Historico - FAT'!$G:$G,Faturamento!$H1216)</f>
        <v>4.8391666666666664</v>
      </c>
      <c r="AD1216" s="31">
        <f>SUMIFS('Historico - FAT'!AM:AM,'Historico - FAT'!$K:$K,Faturamento!$L1216,'Historico - FAT'!$I:$I,Faturamento!$J1216,'Historico - FAT'!$G:$G,Faturamento!$H1216)</f>
        <v>6.96</v>
      </c>
      <c r="AE1216" s="27">
        <f>SUMIFS('Historico - FAT'!AN:AN,'Historico - FAT'!$K:$K,Faturamento!$L1216,'Historico - FAT'!$I:$I,Faturamento!$J1216,'Historico - FAT'!$G:$G,Faturamento!$H1216)</f>
        <v>5.8069999999999995</v>
      </c>
      <c r="AG1216" s="24">
        <f t="shared" si="289"/>
        <v>0.67581871345029232</v>
      </c>
      <c r="AH1216" s="24">
        <f t="shared" si="290"/>
        <v>0.97877558479532167</v>
      </c>
      <c r="AI1216" s="24">
        <f t="shared" si="291"/>
        <v>0.96947368421052627</v>
      </c>
    </row>
    <row r="1217" spans="1:35" hidden="1" x14ac:dyDescent="0.3">
      <c r="A1217" s="2" t="str">
        <f t="shared" si="287"/>
        <v>NÃO</v>
      </c>
      <c r="B1217" s="2">
        <v>1000184670</v>
      </c>
      <c r="C1217" s="2" t="s">
        <v>147</v>
      </c>
      <c r="D1217" s="4">
        <v>1000186197</v>
      </c>
      <c r="E1217" s="4" t="s">
        <v>166</v>
      </c>
      <c r="F1217" s="2">
        <v>1000185288</v>
      </c>
      <c r="G1217" s="2" t="s">
        <v>64</v>
      </c>
      <c r="H1217" s="4">
        <v>1000189808</v>
      </c>
      <c r="I1217" s="4" t="s">
        <v>120</v>
      </c>
      <c r="J1217" s="2">
        <v>1000189270</v>
      </c>
      <c r="K1217" s="2" t="s">
        <v>34</v>
      </c>
      <c r="L1217" s="4" t="s">
        <v>26</v>
      </c>
      <c r="M1217" s="4" t="str">
        <f t="shared" si="278"/>
        <v>1000184670100018619710001898081000189270SOULPRO</v>
      </c>
      <c r="N1217" s="28">
        <f>N1201*_xlfn.XLOOKUP($L1217,'Balizador da Meta'!$B$4:$B$21,'Balizador da Meta'!$C$4:$C$21)</f>
        <v>612</v>
      </c>
      <c r="O1217" s="28">
        <f>O1201*_xlfn.XLOOKUP($L1217,'Balizador da Meta'!$B$4:$B$21,'Balizador da Meta'!$C$4:$C$21)</f>
        <v>612</v>
      </c>
      <c r="P1217" s="28">
        <f>P1201*_xlfn.XLOOKUP($L1217,'Balizador da Meta'!$B$4:$B$21,'Balizador da Meta'!$C$4:$C$21)</f>
        <v>612</v>
      </c>
      <c r="Q1217" s="28">
        <f>Q1201*_xlfn.XLOOKUP($L1217,'Balizador da Meta'!$B$4:$B$21,'Balizador da Meta'!$C$4:$C$21)</f>
        <v>648</v>
      </c>
      <c r="R1217" s="28">
        <f>R1201*_xlfn.XLOOKUP($L1217,'Balizador da Meta'!$B$4:$B$21,'Balizador da Meta'!$C$4:$C$21)</f>
        <v>648</v>
      </c>
      <c r="S1217" s="28">
        <f>S1201*_xlfn.XLOOKUP($L1217,'Balizador da Meta'!$B$4:$B$21,'Balizador da Meta'!$C$4:$C$21)</f>
        <v>648</v>
      </c>
      <c r="T1217" s="28">
        <f>T1201*_xlfn.XLOOKUP($L1217,'Balizador da Meta'!$B$4:$B$21,'Balizador da Meta'!$C$4:$C$21)</f>
        <v>648</v>
      </c>
      <c r="U1217" s="28">
        <f>U1201*_xlfn.XLOOKUP($L1217,'Balizador da Meta'!$B$4:$B$21,'Balizador da Meta'!$C$4:$C$21)</f>
        <v>648</v>
      </c>
      <c r="V1217" s="28">
        <f>V1201*_xlfn.XLOOKUP($L1217,'Balizador da Meta'!$B$4:$B$21,'Balizador da Meta'!$C$4:$C$21)</f>
        <v>684</v>
      </c>
      <c r="W1217" s="28">
        <f>W1201*_xlfn.XLOOKUP($L1217,'Balizador da Meta'!$B$4:$B$21,'Balizador da Meta'!$C$4:$C$21)</f>
        <v>684</v>
      </c>
      <c r="X1217" s="28">
        <f>X1201*_xlfn.XLOOKUP($L1217,'Balizador da Meta'!$B$4:$B$21,'Balizador da Meta'!$C$4:$C$21)</f>
        <v>684</v>
      </c>
      <c r="Y1217" s="28">
        <f>Y1201*_xlfn.XLOOKUP($L1217,'Balizador da Meta'!$B$4:$B$21,'Balizador da Meta'!$C$4:$C$21)</f>
        <v>684</v>
      </c>
      <c r="Z1217" s="30">
        <f t="shared" si="288"/>
        <v>7812</v>
      </c>
      <c r="AA1217" s="29"/>
      <c r="AB1217" s="31">
        <f>SUMIFS('Historico - FAT'!AK:AK,'Historico - FAT'!$K:$K,Faturamento!$L1217,'Historico - FAT'!$I:$I,Faturamento!$J1217,'Historico - FAT'!$G:$G,Faturamento!$H1217)</f>
        <v>110.6725</v>
      </c>
      <c r="AC1217" s="31">
        <f>SUMIFS('Historico - FAT'!AL:AL,'Historico - FAT'!$K:$K,Faturamento!$L1217,'Historico - FAT'!$I:$I,Faturamento!$J1217,'Historico - FAT'!$G:$G,Faturamento!$H1217)</f>
        <v>312.82666666666665</v>
      </c>
      <c r="AD1217" s="31">
        <f>SUMIFS('Historico - FAT'!AM:AM,'Historico - FAT'!$K:$K,Faturamento!$L1217,'Historico - FAT'!$I:$I,Faturamento!$J1217,'Historico - FAT'!$G:$G,Faturamento!$H1217)</f>
        <v>125</v>
      </c>
      <c r="AE1217" s="27">
        <f>SUMIFS('Historico - FAT'!AN:AN,'Historico - FAT'!$K:$K,Faturamento!$L1217,'Historico - FAT'!$I:$I,Faturamento!$J1217,'Historico - FAT'!$G:$G,Faturamento!$H1217)</f>
        <v>356.34500000000003</v>
      </c>
      <c r="AG1217" s="24">
        <f t="shared" si="289"/>
        <v>0.83819809941520462</v>
      </c>
      <c r="AH1217" s="24">
        <f t="shared" si="290"/>
        <v>0.54265107212475638</v>
      </c>
      <c r="AI1217" s="24">
        <f t="shared" si="291"/>
        <v>0.81725146198830412</v>
      </c>
    </row>
    <row r="1218" spans="1:35" hidden="1" x14ac:dyDescent="0.3">
      <c r="A1218" s="2" t="str">
        <f t="shared" si="287"/>
        <v>NÃO</v>
      </c>
      <c r="B1218" s="2">
        <v>1000184670</v>
      </c>
      <c r="C1218" s="2" t="s">
        <v>147</v>
      </c>
      <c r="D1218" s="4">
        <v>1000186197</v>
      </c>
      <c r="E1218" s="4" t="s">
        <v>166</v>
      </c>
      <c r="F1218" s="2">
        <v>1000185288</v>
      </c>
      <c r="G1218" s="2" t="s">
        <v>64</v>
      </c>
      <c r="H1218" s="4">
        <v>1000189808</v>
      </c>
      <c r="I1218" s="4" t="s">
        <v>120</v>
      </c>
      <c r="J1218" s="2">
        <v>1000189270</v>
      </c>
      <c r="K1218" s="2" t="s">
        <v>34</v>
      </c>
      <c r="L1218" s="4" t="s">
        <v>27</v>
      </c>
      <c r="M1218" s="4" t="str">
        <f t="shared" si="278"/>
        <v>1000184670100018619710001898081000189270TAMARA</v>
      </c>
      <c r="N1218" s="28">
        <f>N1201*_xlfn.XLOOKUP($L1218,'Balizador da Meta'!$B$4:$B$21,'Balizador da Meta'!$C$4:$C$21)</f>
        <v>816</v>
      </c>
      <c r="O1218" s="28">
        <f>O1201*_xlfn.XLOOKUP($L1218,'Balizador da Meta'!$B$4:$B$21,'Balizador da Meta'!$C$4:$C$21)</f>
        <v>816</v>
      </c>
      <c r="P1218" s="28">
        <f>P1201*_xlfn.XLOOKUP($L1218,'Balizador da Meta'!$B$4:$B$21,'Balizador da Meta'!$C$4:$C$21)</f>
        <v>816</v>
      </c>
      <c r="Q1218" s="28">
        <f>Q1201*_xlfn.XLOOKUP($L1218,'Balizador da Meta'!$B$4:$B$21,'Balizador da Meta'!$C$4:$C$21)</f>
        <v>864</v>
      </c>
      <c r="R1218" s="28">
        <f>R1201*_xlfn.XLOOKUP($L1218,'Balizador da Meta'!$B$4:$B$21,'Balizador da Meta'!$C$4:$C$21)</f>
        <v>864</v>
      </c>
      <c r="S1218" s="28">
        <f>S1201*_xlfn.XLOOKUP($L1218,'Balizador da Meta'!$B$4:$B$21,'Balizador da Meta'!$C$4:$C$21)</f>
        <v>864</v>
      </c>
      <c r="T1218" s="28">
        <f>T1201*_xlfn.XLOOKUP($L1218,'Balizador da Meta'!$B$4:$B$21,'Balizador da Meta'!$C$4:$C$21)</f>
        <v>864</v>
      </c>
      <c r="U1218" s="28">
        <f>U1201*_xlfn.XLOOKUP($L1218,'Balizador da Meta'!$B$4:$B$21,'Balizador da Meta'!$C$4:$C$21)</f>
        <v>864</v>
      </c>
      <c r="V1218" s="28">
        <f>V1201*_xlfn.XLOOKUP($L1218,'Balizador da Meta'!$B$4:$B$21,'Balizador da Meta'!$C$4:$C$21)</f>
        <v>912</v>
      </c>
      <c r="W1218" s="28">
        <f>W1201*_xlfn.XLOOKUP($L1218,'Balizador da Meta'!$B$4:$B$21,'Balizador da Meta'!$C$4:$C$21)</f>
        <v>912</v>
      </c>
      <c r="X1218" s="28">
        <f>X1201*_xlfn.XLOOKUP($L1218,'Balizador da Meta'!$B$4:$B$21,'Balizador da Meta'!$C$4:$C$21)</f>
        <v>912</v>
      </c>
      <c r="Y1218" s="28">
        <f>Y1201*_xlfn.XLOOKUP($L1218,'Balizador da Meta'!$B$4:$B$21,'Balizador da Meta'!$C$4:$C$21)</f>
        <v>912</v>
      </c>
      <c r="Z1218" s="30">
        <f t="shared" si="288"/>
        <v>10416</v>
      </c>
      <c r="AA1218" s="29"/>
      <c r="AB1218" s="31">
        <f>SUMIFS('Historico - FAT'!AK:AK,'Historico - FAT'!$K:$K,Faturamento!$L1218,'Historico - FAT'!$I:$I,Faturamento!$J1218,'Historico - FAT'!$G:$G,Faturamento!$H1218)</f>
        <v>0</v>
      </c>
      <c r="AC1218" s="31">
        <f>SUMIFS('Historico - FAT'!AL:AL,'Historico - FAT'!$K:$K,Faturamento!$L1218,'Historico - FAT'!$I:$I,Faturamento!$J1218,'Historico - FAT'!$G:$G,Faturamento!$H1218)</f>
        <v>25.2075</v>
      </c>
      <c r="AD1218" s="31">
        <f>SUMIFS('Historico - FAT'!AM:AM,'Historico - FAT'!$K:$K,Faturamento!$L1218,'Historico - FAT'!$I:$I,Faturamento!$J1218,'Historico - FAT'!$G:$G,Faturamento!$H1218)</f>
        <v>20.035</v>
      </c>
      <c r="AE1218" s="27">
        <f>SUMIFS('Historico - FAT'!AN:AN,'Historico - FAT'!$K:$K,Faturamento!$L1218,'Historico - FAT'!$I:$I,Faturamento!$J1218,'Historico - FAT'!$G:$G,Faturamento!$H1218)</f>
        <v>30.249000000000002</v>
      </c>
      <c r="AG1218" s="24">
        <f t="shared" si="289"/>
        <v>1</v>
      </c>
      <c r="AH1218" s="24">
        <f t="shared" si="290"/>
        <v>0.97236019736842105</v>
      </c>
      <c r="AI1218" s="24">
        <f t="shared" si="291"/>
        <v>0.97803179824561404</v>
      </c>
    </row>
    <row r="1219" spans="1:35" hidden="1" x14ac:dyDescent="0.3">
      <c r="A1219" s="2" t="str">
        <f t="shared" si="287"/>
        <v>NÃO</v>
      </c>
      <c r="B1219" s="2">
        <v>1000184670</v>
      </c>
      <c r="C1219" s="2" t="s">
        <v>147</v>
      </c>
      <c r="D1219" s="4">
        <v>1000186197</v>
      </c>
      <c r="E1219" s="4" t="s">
        <v>166</v>
      </c>
      <c r="F1219" s="2">
        <v>1000185288</v>
      </c>
      <c r="G1219" s="2" t="s">
        <v>64</v>
      </c>
      <c r="H1219" s="4">
        <v>1000189808</v>
      </c>
      <c r="I1219" s="4" t="s">
        <v>120</v>
      </c>
      <c r="J1219" s="2">
        <v>1000189270</v>
      </c>
      <c r="K1219" s="2" t="s">
        <v>34</v>
      </c>
      <c r="L1219" s="4" t="s">
        <v>25</v>
      </c>
      <c r="M1219" s="4" t="str">
        <f t="shared" si="278"/>
        <v>1000184670100018619710001898081000189270VICCIO</v>
      </c>
      <c r="N1219" s="28">
        <f>N1201*_xlfn.XLOOKUP($L1219,'Balizador da Meta'!$B$4:$B$21,'Balizador da Meta'!$C$4:$C$21)</f>
        <v>306</v>
      </c>
      <c r="O1219" s="28">
        <f>O1201*_xlfn.XLOOKUP($L1219,'Balizador da Meta'!$B$4:$B$21,'Balizador da Meta'!$C$4:$C$21)</f>
        <v>306</v>
      </c>
      <c r="P1219" s="28">
        <f>P1201*_xlfn.XLOOKUP($L1219,'Balizador da Meta'!$B$4:$B$21,'Balizador da Meta'!$C$4:$C$21)</f>
        <v>306</v>
      </c>
      <c r="Q1219" s="28">
        <f>Q1201*_xlfn.XLOOKUP($L1219,'Balizador da Meta'!$B$4:$B$21,'Balizador da Meta'!$C$4:$C$21)</f>
        <v>324</v>
      </c>
      <c r="R1219" s="28">
        <f>R1201*_xlfn.XLOOKUP($L1219,'Balizador da Meta'!$B$4:$B$21,'Balizador da Meta'!$C$4:$C$21)</f>
        <v>324</v>
      </c>
      <c r="S1219" s="28">
        <f>S1201*_xlfn.XLOOKUP($L1219,'Balizador da Meta'!$B$4:$B$21,'Balizador da Meta'!$C$4:$C$21)</f>
        <v>324</v>
      </c>
      <c r="T1219" s="28">
        <f>T1201*_xlfn.XLOOKUP($L1219,'Balizador da Meta'!$B$4:$B$21,'Balizador da Meta'!$C$4:$C$21)</f>
        <v>324</v>
      </c>
      <c r="U1219" s="28">
        <f>U1201*_xlfn.XLOOKUP($L1219,'Balizador da Meta'!$B$4:$B$21,'Balizador da Meta'!$C$4:$C$21)</f>
        <v>324</v>
      </c>
      <c r="V1219" s="28">
        <f>V1201*_xlfn.XLOOKUP($L1219,'Balizador da Meta'!$B$4:$B$21,'Balizador da Meta'!$C$4:$C$21)</f>
        <v>342</v>
      </c>
      <c r="W1219" s="28">
        <f>W1201*_xlfn.XLOOKUP($L1219,'Balizador da Meta'!$B$4:$B$21,'Balizador da Meta'!$C$4:$C$21)</f>
        <v>342</v>
      </c>
      <c r="X1219" s="28">
        <f>X1201*_xlfn.XLOOKUP($L1219,'Balizador da Meta'!$B$4:$B$21,'Balizador da Meta'!$C$4:$C$21)</f>
        <v>342</v>
      </c>
      <c r="Y1219" s="28">
        <f>Y1201*_xlfn.XLOOKUP($L1219,'Balizador da Meta'!$B$4:$B$21,'Balizador da Meta'!$C$4:$C$21)</f>
        <v>342</v>
      </c>
      <c r="Z1219" s="30">
        <f t="shared" si="288"/>
        <v>3906</v>
      </c>
      <c r="AA1219" s="29"/>
      <c r="AB1219" s="31">
        <f>SUMIFS('Historico - FAT'!AK:AK,'Historico - FAT'!$K:$K,Faturamento!$L1219,'Historico - FAT'!$I:$I,Faturamento!$J1219,'Historico - FAT'!$G:$G,Faturamento!$H1219)</f>
        <v>8.0499999999999989</v>
      </c>
      <c r="AC1219" s="31">
        <f>SUMIFS('Historico - FAT'!AL:AL,'Historico - FAT'!$K:$K,Faturamento!$L1219,'Historico - FAT'!$I:$I,Faturamento!$J1219,'Historico - FAT'!$G:$G,Faturamento!$H1219)</f>
        <v>45.493333333333339</v>
      </c>
      <c r="AD1219" s="31">
        <f>SUMIFS('Historico - FAT'!AM:AM,'Historico - FAT'!$K:$K,Faturamento!$L1219,'Historico - FAT'!$I:$I,Faturamento!$J1219,'Historico - FAT'!$G:$G,Faturamento!$H1219)</f>
        <v>37.536666666666669</v>
      </c>
      <c r="AE1219" s="27">
        <f>SUMIFS('Historico - FAT'!AN:AN,'Historico - FAT'!$K:$K,Faturamento!$L1219,'Historico - FAT'!$I:$I,Faturamento!$J1219,'Historico - FAT'!$G:$G,Faturamento!$H1219)</f>
        <v>44.932000000000002</v>
      </c>
      <c r="AG1219" s="24">
        <f t="shared" si="289"/>
        <v>0.97646198830409359</v>
      </c>
      <c r="AH1219" s="24">
        <f t="shared" si="290"/>
        <v>0.86697855750487329</v>
      </c>
      <c r="AI1219" s="24">
        <f t="shared" si="291"/>
        <v>0.89024366471734884</v>
      </c>
    </row>
    <row r="1220" spans="1:35" x14ac:dyDescent="0.3">
      <c r="A1220" s="2" t="str">
        <f t="shared" si="287"/>
        <v>SIM</v>
      </c>
      <c r="B1220" s="2">
        <v>1000184670</v>
      </c>
      <c r="C1220" s="2" t="s">
        <v>147</v>
      </c>
      <c r="D1220" s="4">
        <v>1000186197</v>
      </c>
      <c r="E1220" s="4" t="s">
        <v>166</v>
      </c>
      <c r="F1220" s="2">
        <v>1000185288</v>
      </c>
      <c r="G1220" s="2" t="s">
        <v>64</v>
      </c>
      <c r="H1220" s="4">
        <v>1000189809</v>
      </c>
      <c r="I1220" s="4" t="s">
        <v>92</v>
      </c>
      <c r="J1220" s="2">
        <v>1000189270</v>
      </c>
      <c r="K1220" s="2" t="s">
        <v>34</v>
      </c>
      <c r="L1220" s="4" t="s">
        <v>124</v>
      </c>
      <c r="M1220" s="4" t="str">
        <f t="shared" si="278"/>
        <v>100018467010001861971000189809100018927001. TOTAL</v>
      </c>
      <c r="N1220" s="28">
        <f>SUMIFS(Positivação!L:L,Positivação!$I:$I,Faturamento!$J1220,Positivação!$G:$G,Faturamento!$H1220)*SUMIFS(Positivação!$Z:$Z,Positivação!$I:$I,Faturamento!$J1220,Positivação!$G:$G,Faturamento!$H1220)</f>
        <v>5400</v>
      </c>
      <c r="O1220" s="28">
        <f>SUMIFS(Positivação!M:M,Positivação!$I:$I,Faturamento!$J1220,Positivação!$G:$G,Faturamento!$H1220)*SUMIFS(Positivação!$Z:$Z,Positivação!$I:$I,Faturamento!$J1220,Positivação!$G:$G,Faturamento!$H1220)</f>
        <v>6000</v>
      </c>
      <c r="P1220" s="28">
        <f>SUMIFS(Positivação!N:N,Positivação!$I:$I,Faturamento!$J1220,Positivação!$G:$G,Faturamento!$H1220)*SUMIFS(Positivação!$Z:$Z,Positivação!$I:$I,Faturamento!$J1220,Positivação!$G:$G,Faturamento!$H1220)</f>
        <v>6000</v>
      </c>
      <c r="Q1220" s="28">
        <f>SUMIFS(Positivação!O:O,Positivação!$I:$I,Faturamento!$J1220,Positivação!$G:$G,Faturamento!$H1220)*SUMIFS(Positivação!$Z:$Z,Positivação!$I:$I,Faturamento!$J1220,Positivação!$G:$G,Faturamento!$H1220)</f>
        <v>6000</v>
      </c>
      <c r="R1220" s="28">
        <f>SUMIFS(Positivação!P:P,Positivação!$I:$I,Faturamento!$J1220,Positivação!$G:$G,Faturamento!$H1220)*SUMIFS(Positivação!$Z:$Z,Positivação!$I:$I,Faturamento!$J1220,Positivação!$G:$G,Faturamento!$H1220)</f>
        <v>6000</v>
      </c>
      <c r="S1220" s="28">
        <f>SUMIFS(Positivação!Q:Q,Positivação!$I:$I,Faturamento!$J1220,Positivação!$G:$G,Faturamento!$H1220)*SUMIFS(Positivação!$Z:$Z,Positivação!$I:$I,Faturamento!$J1220,Positivação!$G:$G,Faturamento!$H1220)</f>
        <v>6000</v>
      </c>
      <c r="T1220" s="28">
        <f>SUMIFS(Positivação!R:R,Positivação!$I:$I,Faturamento!$J1220,Positivação!$G:$G,Faturamento!$H1220)*SUMIFS(Positivação!$Z:$Z,Positivação!$I:$I,Faturamento!$J1220,Positivação!$G:$G,Faturamento!$H1220)</f>
        <v>6600</v>
      </c>
      <c r="U1220" s="28">
        <f>SUMIFS(Positivação!S:S,Positivação!$I:$I,Faturamento!$J1220,Positivação!$G:$G,Faturamento!$H1220)*SUMIFS(Positivação!$Z:$Z,Positivação!$I:$I,Faturamento!$J1220,Positivação!$G:$G,Faturamento!$H1220)</f>
        <v>6600</v>
      </c>
      <c r="V1220" s="28">
        <f>SUMIFS(Positivação!T:T,Positivação!$I:$I,Faturamento!$J1220,Positivação!$G:$G,Faturamento!$H1220)*SUMIFS(Positivação!$Z:$Z,Positivação!$I:$I,Faturamento!$J1220,Positivação!$G:$G,Faturamento!$H1220)</f>
        <v>6600</v>
      </c>
      <c r="W1220" s="28">
        <f>SUMIFS(Positivação!U:U,Positivação!$I:$I,Faturamento!$J1220,Positivação!$G:$G,Faturamento!$H1220)*SUMIFS(Positivação!$Z:$Z,Positivação!$I:$I,Faturamento!$J1220,Positivação!$G:$G,Faturamento!$H1220)</f>
        <v>6600</v>
      </c>
      <c r="X1220" s="28">
        <f>SUMIFS(Positivação!V:V,Positivação!$I:$I,Faturamento!$J1220,Positivação!$G:$G,Faturamento!$H1220)*SUMIFS(Positivação!$Z:$Z,Positivação!$I:$I,Faturamento!$J1220,Positivação!$G:$G,Faturamento!$H1220)</f>
        <v>6600</v>
      </c>
      <c r="Y1220" s="28">
        <f>SUMIFS(Positivação!W:W,Positivação!$I:$I,Faturamento!$J1220,Positivação!$G:$G,Faturamento!$H1220)*SUMIFS(Positivação!$Z:$Z,Positivação!$I:$I,Faturamento!$J1220,Positivação!$G:$G,Faturamento!$H1220)</f>
        <v>7200</v>
      </c>
      <c r="Z1220" s="28">
        <f t="shared" ref="Z1220" si="292">SUM(Z1221:Z1238)</f>
        <v>75600</v>
      </c>
      <c r="AA1220" s="29"/>
      <c r="AB1220" s="28">
        <f t="shared" ref="AB1220:AE1220" si="293">SUM(AB1221:AB1238)</f>
        <v>1364.8324999999998</v>
      </c>
      <c r="AC1220" s="28">
        <f t="shared" si="293"/>
        <v>1556.0833333333333</v>
      </c>
      <c r="AD1220" s="28">
        <f t="shared" si="293"/>
        <v>1549.2633333333333</v>
      </c>
      <c r="AE1220" s="28">
        <f t="shared" si="293"/>
        <v>1772.2989999999998</v>
      </c>
      <c r="AG1220" s="24">
        <f t="shared" si="289"/>
        <v>0.79928933823529413</v>
      </c>
      <c r="AH1220" s="24">
        <f t="shared" si="290"/>
        <v>0.77116421568627458</v>
      </c>
      <c r="AI1220" s="24">
        <f t="shared" si="291"/>
        <v>0.77216715686274506</v>
      </c>
    </row>
    <row r="1221" spans="1:35" hidden="1" x14ac:dyDescent="0.3">
      <c r="A1221" s="2" t="str">
        <f t="shared" si="287"/>
        <v>NÃO</v>
      </c>
      <c r="B1221" s="2">
        <v>1000184670</v>
      </c>
      <c r="C1221" s="2" t="s">
        <v>147</v>
      </c>
      <c r="D1221" s="4">
        <v>1000186197</v>
      </c>
      <c r="E1221" s="4" t="s">
        <v>166</v>
      </c>
      <c r="F1221" s="2">
        <v>1000185288</v>
      </c>
      <c r="G1221" s="2" t="s">
        <v>64</v>
      </c>
      <c r="H1221" s="4">
        <v>1000189809</v>
      </c>
      <c r="I1221" s="4" t="s">
        <v>92</v>
      </c>
      <c r="J1221" s="2">
        <v>1000189270</v>
      </c>
      <c r="K1221" s="2" t="s">
        <v>34</v>
      </c>
      <c r="L1221" s="4" t="s">
        <v>13</v>
      </c>
      <c r="M1221" s="4" t="str">
        <f t="shared" ref="M1221:M1284" si="294">_xlfn.CONCAT(B1221,D1221,H1221,J1221,L1221,)</f>
        <v>1000184670100018619710001898091000189270BISCOITO</v>
      </c>
      <c r="N1221" s="28">
        <f>N1220*_xlfn.XLOOKUP($L1221,'Balizador da Meta'!$B$4:$B$21,'Balizador da Meta'!$C$4:$C$21)</f>
        <v>378.00000000000006</v>
      </c>
      <c r="O1221" s="28">
        <f>O1220*_xlfn.XLOOKUP($L1221,'Balizador da Meta'!$B$4:$B$21,'Balizador da Meta'!$C$4:$C$21)</f>
        <v>420.00000000000006</v>
      </c>
      <c r="P1221" s="28">
        <f>P1220*_xlfn.XLOOKUP($L1221,'Balizador da Meta'!$B$4:$B$21,'Balizador da Meta'!$C$4:$C$21)</f>
        <v>420.00000000000006</v>
      </c>
      <c r="Q1221" s="28">
        <f>Q1220*_xlfn.XLOOKUP($L1221,'Balizador da Meta'!$B$4:$B$21,'Balizador da Meta'!$C$4:$C$21)</f>
        <v>420.00000000000006</v>
      </c>
      <c r="R1221" s="28">
        <f>R1220*_xlfn.XLOOKUP($L1221,'Balizador da Meta'!$B$4:$B$21,'Balizador da Meta'!$C$4:$C$21)</f>
        <v>420.00000000000006</v>
      </c>
      <c r="S1221" s="28">
        <f>S1220*_xlfn.XLOOKUP($L1221,'Balizador da Meta'!$B$4:$B$21,'Balizador da Meta'!$C$4:$C$21)</f>
        <v>420.00000000000006</v>
      </c>
      <c r="T1221" s="28">
        <f>T1220*_xlfn.XLOOKUP($L1221,'Balizador da Meta'!$B$4:$B$21,'Balizador da Meta'!$C$4:$C$21)</f>
        <v>462.00000000000006</v>
      </c>
      <c r="U1221" s="28">
        <f>U1220*_xlfn.XLOOKUP($L1221,'Balizador da Meta'!$B$4:$B$21,'Balizador da Meta'!$C$4:$C$21)</f>
        <v>462.00000000000006</v>
      </c>
      <c r="V1221" s="28">
        <f>V1220*_xlfn.XLOOKUP($L1221,'Balizador da Meta'!$B$4:$B$21,'Balizador da Meta'!$C$4:$C$21)</f>
        <v>462.00000000000006</v>
      </c>
      <c r="W1221" s="28">
        <f>W1220*_xlfn.XLOOKUP($L1221,'Balizador da Meta'!$B$4:$B$21,'Balizador da Meta'!$C$4:$C$21)</f>
        <v>462.00000000000006</v>
      </c>
      <c r="X1221" s="28">
        <f>X1220*_xlfn.XLOOKUP($L1221,'Balizador da Meta'!$B$4:$B$21,'Balizador da Meta'!$C$4:$C$21)</f>
        <v>462.00000000000006</v>
      </c>
      <c r="Y1221" s="28">
        <f>Y1220*_xlfn.XLOOKUP($L1221,'Balizador da Meta'!$B$4:$B$21,'Balizador da Meta'!$C$4:$C$21)</f>
        <v>504.00000000000006</v>
      </c>
      <c r="Z1221" s="30">
        <f t="shared" ref="Z1221:Z1238" si="295">SUM(N1221:Y1221)</f>
        <v>5292.0000000000009</v>
      </c>
      <c r="AA1221" s="29"/>
      <c r="AB1221" s="31">
        <f>SUMIFS('Historico - FAT'!AK:AK,'Historico - FAT'!$K:$K,Faturamento!$L1221,'Historico - FAT'!$I:$I,Faturamento!$J1221,'Historico - FAT'!$G:$G,Faturamento!$H1221)</f>
        <v>182.65499999999997</v>
      </c>
      <c r="AC1221" s="31">
        <f>SUMIFS('Historico - FAT'!AL:AL,'Historico - FAT'!$K:$K,Faturamento!$L1221,'Historico - FAT'!$I:$I,Faturamento!$J1221,'Historico - FAT'!$G:$G,Faturamento!$H1221)</f>
        <v>387.94499999999999</v>
      </c>
      <c r="AD1221" s="31">
        <f>SUMIFS('Historico - FAT'!AM:AM,'Historico - FAT'!$K:$K,Faturamento!$L1221,'Historico - FAT'!$I:$I,Faturamento!$J1221,'Historico - FAT'!$G:$G,Faturamento!$H1221)</f>
        <v>468.39000000000004</v>
      </c>
      <c r="AE1221" s="27">
        <f>SUMIFS('Historico - FAT'!AN:AN,'Historico - FAT'!$K:$K,Faturamento!$L1221,'Historico - FAT'!$I:$I,Faturamento!$J1221,'Historico - FAT'!$G:$G,Faturamento!$H1221)</f>
        <v>465.53399999999999</v>
      </c>
      <c r="AG1221" s="24">
        <f t="shared" si="289"/>
        <v>0.61627100840336146</v>
      </c>
      <c r="AH1221" s="24">
        <f t="shared" si="290"/>
        <v>0.18498949579831944</v>
      </c>
      <c r="AI1221" s="24">
        <f t="shared" si="291"/>
        <v>1.5987394957983219E-2</v>
      </c>
    </row>
    <row r="1222" spans="1:35" hidden="1" x14ac:dyDescent="0.3">
      <c r="A1222" s="2" t="str">
        <f t="shared" si="287"/>
        <v>NÃO</v>
      </c>
      <c r="B1222" s="2">
        <v>1000184670</v>
      </c>
      <c r="C1222" s="2" t="s">
        <v>147</v>
      </c>
      <c r="D1222" s="4">
        <v>1000186197</v>
      </c>
      <c r="E1222" s="4" t="s">
        <v>166</v>
      </c>
      <c r="F1222" s="2">
        <v>1000185288</v>
      </c>
      <c r="G1222" s="2" t="s">
        <v>64</v>
      </c>
      <c r="H1222" s="4">
        <v>1000189809</v>
      </c>
      <c r="I1222" s="4" t="s">
        <v>92</v>
      </c>
      <c r="J1222" s="2">
        <v>1000189270</v>
      </c>
      <c r="K1222" s="2" t="s">
        <v>34</v>
      </c>
      <c r="L1222" s="4" t="s">
        <v>14</v>
      </c>
      <c r="M1222" s="4" t="str">
        <f t="shared" si="294"/>
        <v>1000184670100018619710001898091000189270CHOCOLATES</v>
      </c>
      <c r="N1222" s="28">
        <f>N1220*_xlfn.XLOOKUP($L1222,'Balizador da Meta'!$B$4:$B$21,'Balizador da Meta'!$C$4:$C$21)</f>
        <v>378.00000000000006</v>
      </c>
      <c r="O1222" s="28">
        <f>O1220*_xlfn.XLOOKUP($L1222,'Balizador da Meta'!$B$4:$B$21,'Balizador da Meta'!$C$4:$C$21)</f>
        <v>420.00000000000006</v>
      </c>
      <c r="P1222" s="28">
        <f>P1220*_xlfn.XLOOKUP($L1222,'Balizador da Meta'!$B$4:$B$21,'Balizador da Meta'!$C$4:$C$21)</f>
        <v>420.00000000000006</v>
      </c>
      <c r="Q1222" s="28">
        <f>Q1220*_xlfn.XLOOKUP($L1222,'Balizador da Meta'!$B$4:$B$21,'Balizador da Meta'!$C$4:$C$21)</f>
        <v>420.00000000000006</v>
      </c>
      <c r="R1222" s="28">
        <f>R1220*_xlfn.XLOOKUP($L1222,'Balizador da Meta'!$B$4:$B$21,'Balizador da Meta'!$C$4:$C$21)</f>
        <v>420.00000000000006</v>
      </c>
      <c r="S1222" s="28">
        <f>S1220*_xlfn.XLOOKUP($L1222,'Balizador da Meta'!$B$4:$B$21,'Balizador da Meta'!$C$4:$C$21)</f>
        <v>420.00000000000006</v>
      </c>
      <c r="T1222" s="28">
        <f>T1220*_xlfn.XLOOKUP($L1222,'Balizador da Meta'!$B$4:$B$21,'Balizador da Meta'!$C$4:$C$21)</f>
        <v>462.00000000000006</v>
      </c>
      <c r="U1222" s="28">
        <f>U1220*_xlfn.XLOOKUP($L1222,'Balizador da Meta'!$B$4:$B$21,'Balizador da Meta'!$C$4:$C$21)</f>
        <v>462.00000000000006</v>
      </c>
      <c r="V1222" s="28">
        <f>V1220*_xlfn.XLOOKUP($L1222,'Balizador da Meta'!$B$4:$B$21,'Balizador da Meta'!$C$4:$C$21)</f>
        <v>462.00000000000006</v>
      </c>
      <c r="W1222" s="28">
        <f>W1220*_xlfn.XLOOKUP($L1222,'Balizador da Meta'!$B$4:$B$21,'Balizador da Meta'!$C$4:$C$21)</f>
        <v>462.00000000000006</v>
      </c>
      <c r="X1222" s="28">
        <f>X1220*_xlfn.XLOOKUP($L1222,'Balizador da Meta'!$B$4:$B$21,'Balizador da Meta'!$C$4:$C$21)</f>
        <v>462.00000000000006</v>
      </c>
      <c r="Y1222" s="28">
        <f>Y1220*_xlfn.XLOOKUP($L1222,'Balizador da Meta'!$B$4:$B$21,'Balizador da Meta'!$C$4:$C$21)</f>
        <v>504.00000000000006</v>
      </c>
      <c r="Z1222" s="30">
        <f t="shared" si="295"/>
        <v>5292.0000000000009</v>
      </c>
      <c r="AA1222" s="29"/>
      <c r="AB1222" s="31">
        <f>SUMIFS('Historico - FAT'!AK:AK,'Historico - FAT'!$K:$K,Faturamento!$L1222,'Historico - FAT'!$I:$I,Faturamento!$J1222,'Historico - FAT'!$G:$G,Faturamento!$H1222)</f>
        <v>0</v>
      </c>
      <c r="AC1222" s="31">
        <f>SUMIFS('Historico - FAT'!AL:AL,'Historico - FAT'!$K:$K,Faturamento!$L1222,'Historico - FAT'!$I:$I,Faturamento!$J1222,'Historico - FAT'!$G:$G,Faturamento!$H1222)</f>
        <v>92.473333333333343</v>
      </c>
      <c r="AD1222" s="31">
        <f>SUMIFS('Historico - FAT'!AM:AM,'Historico - FAT'!$K:$K,Faturamento!$L1222,'Historico - FAT'!$I:$I,Faturamento!$J1222,'Historico - FAT'!$G:$G,Faturamento!$H1222)</f>
        <v>110.25</v>
      </c>
      <c r="AE1222" s="27">
        <f>SUMIFS('Historico - FAT'!AN:AN,'Historico - FAT'!$K:$K,Faturamento!$L1222,'Historico - FAT'!$I:$I,Faturamento!$J1222,'Historico - FAT'!$G:$G,Faturamento!$H1222)</f>
        <v>110.968</v>
      </c>
      <c r="AG1222" s="24">
        <f t="shared" si="289"/>
        <v>1</v>
      </c>
      <c r="AH1222" s="24">
        <f t="shared" si="290"/>
        <v>0.80572829131652657</v>
      </c>
      <c r="AI1222" s="24">
        <f t="shared" si="291"/>
        <v>0.76838235294117652</v>
      </c>
    </row>
    <row r="1223" spans="1:35" hidden="1" x14ac:dyDescent="0.3">
      <c r="A1223" s="2" t="str">
        <f t="shared" si="287"/>
        <v>NÃO</v>
      </c>
      <c r="B1223" s="2">
        <v>1000184670</v>
      </c>
      <c r="C1223" s="2" t="s">
        <v>147</v>
      </c>
      <c r="D1223" s="4">
        <v>1000186197</v>
      </c>
      <c r="E1223" s="4" t="s">
        <v>166</v>
      </c>
      <c r="F1223" s="2">
        <v>1000185288</v>
      </c>
      <c r="G1223" s="2" t="s">
        <v>64</v>
      </c>
      <c r="H1223" s="4">
        <v>1000189809</v>
      </c>
      <c r="I1223" s="4" t="s">
        <v>92</v>
      </c>
      <c r="J1223" s="2">
        <v>1000189270</v>
      </c>
      <c r="K1223" s="2" t="s">
        <v>34</v>
      </c>
      <c r="L1223" s="4" t="s">
        <v>16</v>
      </c>
      <c r="M1223" s="4" t="str">
        <f t="shared" si="294"/>
        <v>1000184670100018619710001898091000189270DISNEY</v>
      </c>
      <c r="N1223" s="28">
        <f>N1220*_xlfn.XLOOKUP($L1223,'Balizador da Meta'!$B$4:$B$21,'Balizador da Meta'!$C$4:$C$21)</f>
        <v>432</v>
      </c>
      <c r="O1223" s="28">
        <f>O1220*_xlfn.XLOOKUP($L1223,'Balizador da Meta'!$B$4:$B$21,'Balizador da Meta'!$C$4:$C$21)</f>
        <v>480</v>
      </c>
      <c r="P1223" s="28">
        <f>P1220*_xlfn.XLOOKUP($L1223,'Balizador da Meta'!$B$4:$B$21,'Balizador da Meta'!$C$4:$C$21)</f>
        <v>480</v>
      </c>
      <c r="Q1223" s="28">
        <f>Q1220*_xlfn.XLOOKUP($L1223,'Balizador da Meta'!$B$4:$B$21,'Balizador da Meta'!$C$4:$C$21)</f>
        <v>480</v>
      </c>
      <c r="R1223" s="28">
        <f>R1220*_xlfn.XLOOKUP($L1223,'Balizador da Meta'!$B$4:$B$21,'Balizador da Meta'!$C$4:$C$21)</f>
        <v>480</v>
      </c>
      <c r="S1223" s="28">
        <f>S1220*_xlfn.XLOOKUP($L1223,'Balizador da Meta'!$B$4:$B$21,'Balizador da Meta'!$C$4:$C$21)</f>
        <v>480</v>
      </c>
      <c r="T1223" s="28">
        <f>T1220*_xlfn.XLOOKUP($L1223,'Balizador da Meta'!$B$4:$B$21,'Balizador da Meta'!$C$4:$C$21)</f>
        <v>528</v>
      </c>
      <c r="U1223" s="28">
        <f>U1220*_xlfn.XLOOKUP($L1223,'Balizador da Meta'!$B$4:$B$21,'Balizador da Meta'!$C$4:$C$21)</f>
        <v>528</v>
      </c>
      <c r="V1223" s="28">
        <f>V1220*_xlfn.XLOOKUP($L1223,'Balizador da Meta'!$B$4:$B$21,'Balizador da Meta'!$C$4:$C$21)</f>
        <v>528</v>
      </c>
      <c r="W1223" s="28">
        <f>W1220*_xlfn.XLOOKUP($L1223,'Balizador da Meta'!$B$4:$B$21,'Balizador da Meta'!$C$4:$C$21)</f>
        <v>528</v>
      </c>
      <c r="X1223" s="28">
        <f>X1220*_xlfn.XLOOKUP($L1223,'Balizador da Meta'!$B$4:$B$21,'Balizador da Meta'!$C$4:$C$21)</f>
        <v>528</v>
      </c>
      <c r="Y1223" s="28">
        <f>Y1220*_xlfn.XLOOKUP($L1223,'Balizador da Meta'!$B$4:$B$21,'Balizador da Meta'!$C$4:$C$21)</f>
        <v>576</v>
      </c>
      <c r="Z1223" s="30">
        <f t="shared" si="295"/>
        <v>6048</v>
      </c>
      <c r="AA1223" s="29"/>
      <c r="AB1223" s="31">
        <f>SUMIFS('Historico - FAT'!AK:AK,'Historico - FAT'!$K:$K,Faturamento!$L1223,'Historico - FAT'!$I:$I,Faturamento!$J1223,'Historico - FAT'!$G:$G,Faturamento!$H1223)</f>
        <v>0</v>
      </c>
      <c r="AC1223" s="31">
        <f>SUMIFS('Historico - FAT'!AL:AL,'Historico - FAT'!$K:$K,Faturamento!$L1223,'Historico - FAT'!$I:$I,Faturamento!$J1223,'Historico - FAT'!$G:$G,Faturamento!$H1223)</f>
        <v>32.080000000000005</v>
      </c>
      <c r="AD1223" s="31">
        <f>SUMIFS('Historico - FAT'!AM:AM,'Historico - FAT'!$K:$K,Faturamento!$L1223,'Historico - FAT'!$I:$I,Faturamento!$J1223,'Historico - FAT'!$G:$G,Faturamento!$H1223)</f>
        <v>64.160000000000011</v>
      </c>
      <c r="AE1223" s="27">
        <f>SUMIFS('Historico - FAT'!AN:AN,'Historico - FAT'!$K:$K,Faturamento!$L1223,'Historico - FAT'!$I:$I,Faturamento!$J1223,'Historico - FAT'!$G:$G,Faturamento!$H1223)</f>
        <v>38.496000000000002</v>
      </c>
      <c r="AG1223" s="24">
        <f t="shared" si="289"/>
        <v>1</v>
      </c>
      <c r="AH1223" s="24">
        <f t="shared" si="290"/>
        <v>0.94102941176470589</v>
      </c>
      <c r="AI1223" s="24">
        <f t="shared" si="291"/>
        <v>0.88205882352941167</v>
      </c>
    </row>
    <row r="1224" spans="1:35" hidden="1" x14ac:dyDescent="0.3">
      <c r="A1224" s="2" t="str">
        <f t="shared" si="287"/>
        <v>NÃO</v>
      </c>
      <c r="B1224" s="2">
        <v>1000184670</v>
      </c>
      <c r="C1224" s="2" t="s">
        <v>147</v>
      </c>
      <c r="D1224" s="4">
        <v>1000186197</v>
      </c>
      <c r="E1224" s="4" t="s">
        <v>166</v>
      </c>
      <c r="F1224" s="2">
        <v>1000185288</v>
      </c>
      <c r="G1224" s="2" t="s">
        <v>64</v>
      </c>
      <c r="H1224" s="4">
        <v>1000189809</v>
      </c>
      <c r="I1224" s="4" t="s">
        <v>92</v>
      </c>
      <c r="J1224" s="2">
        <v>1000189270</v>
      </c>
      <c r="K1224" s="2" t="s">
        <v>34</v>
      </c>
      <c r="L1224" s="4" t="s">
        <v>15</v>
      </c>
      <c r="M1224" s="4" t="str">
        <f t="shared" si="294"/>
        <v>1000184670100018619710001898091000189270DOCES</v>
      </c>
      <c r="N1224" s="28">
        <f>N1220*_xlfn.XLOOKUP($L1224,'Balizador da Meta'!$B$4:$B$21,'Balizador da Meta'!$C$4:$C$21)</f>
        <v>486</v>
      </c>
      <c r="O1224" s="28">
        <f>O1220*_xlfn.XLOOKUP($L1224,'Balizador da Meta'!$B$4:$B$21,'Balizador da Meta'!$C$4:$C$21)</f>
        <v>540</v>
      </c>
      <c r="P1224" s="28">
        <f>P1220*_xlfn.XLOOKUP($L1224,'Balizador da Meta'!$B$4:$B$21,'Balizador da Meta'!$C$4:$C$21)</f>
        <v>540</v>
      </c>
      <c r="Q1224" s="28">
        <f>Q1220*_xlfn.XLOOKUP($L1224,'Balizador da Meta'!$B$4:$B$21,'Balizador da Meta'!$C$4:$C$21)</f>
        <v>540</v>
      </c>
      <c r="R1224" s="28">
        <f>R1220*_xlfn.XLOOKUP($L1224,'Balizador da Meta'!$B$4:$B$21,'Balizador da Meta'!$C$4:$C$21)</f>
        <v>540</v>
      </c>
      <c r="S1224" s="28">
        <f>S1220*_xlfn.XLOOKUP($L1224,'Balizador da Meta'!$B$4:$B$21,'Balizador da Meta'!$C$4:$C$21)</f>
        <v>540</v>
      </c>
      <c r="T1224" s="28">
        <f>T1220*_xlfn.XLOOKUP($L1224,'Balizador da Meta'!$B$4:$B$21,'Balizador da Meta'!$C$4:$C$21)</f>
        <v>594</v>
      </c>
      <c r="U1224" s="28">
        <f>U1220*_xlfn.XLOOKUP($L1224,'Balizador da Meta'!$B$4:$B$21,'Balizador da Meta'!$C$4:$C$21)</f>
        <v>594</v>
      </c>
      <c r="V1224" s="28">
        <f>V1220*_xlfn.XLOOKUP($L1224,'Balizador da Meta'!$B$4:$B$21,'Balizador da Meta'!$C$4:$C$21)</f>
        <v>594</v>
      </c>
      <c r="W1224" s="28">
        <f>W1220*_xlfn.XLOOKUP($L1224,'Balizador da Meta'!$B$4:$B$21,'Balizador da Meta'!$C$4:$C$21)</f>
        <v>594</v>
      </c>
      <c r="X1224" s="28">
        <f>X1220*_xlfn.XLOOKUP($L1224,'Balizador da Meta'!$B$4:$B$21,'Balizador da Meta'!$C$4:$C$21)</f>
        <v>594</v>
      </c>
      <c r="Y1224" s="28">
        <f>Y1220*_xlfn.XLOOKUP($L1224,'Balizador da Meta'!$B$4:$B$21,'Balizador da Meta'!$C$4:$C$21)</f>
        <v>648</v>
      </c>
      <c r="Z1224" s="30">
        <f t="shared" si="295"/>
        <v>6804</v>
      </c>
      <c r="AA1224" s="29"/>
      <c r="AB1224" s="31">
        <f>SUMIFS('Historico - FAT'!AK:AK,'Historico - FAT'!$K:$K,Faturamento!$L1224,'Historico - FAT'!$I:$I,Faturamento!$J1224,'Historico - FAT'!$G:$G,Faturamento!$H1224)</f>
        <v>206.63</v>
      </c>
      <c r="AC1224" s="31">
        <f>SUMIFS('Historico - FAT'!AL:AL,'Historico - FAT'!$K:$K,Faturamento!$L1224,'Historico - FAT'!$I:$I,Faturamento!$J1224,'Historico - FAT'!$G:$G,Faturamento!$H1224)</f>
        <v>41.005833333333335</v>
      </c>
      <c r="AD1224" s="31">
        <f>SUMIFS('Historico - FAT'!AM:AM,'Historico - FAT'!$K:$K,Faturamento!$L1224,'Historico - FAT'!$I:$I,Faturamento!$J1224,'Historico - FAT'!$G:$G,Faturamento!$H1224)</f>
        <v>17.436666666666664</v>
      </c>
      <c r="AE1224" s="27">
        <f>SUMIFS('Historico - FAT'!AN:AN,'Historico - FAT'!$K:$K,Faturamento!$L1224,'Historico - FAT'!$I:$I,Faturamento!$J1224,'Historico - FAT'!$G:$G,Faturamento!$H1224)</f>
        <v>49.207000000000001</v>
      </c>
      <c r="AG1224" s="24">
        <f t="shared" si="289"/>
        <v>0.66236928104575166</v>
      </c>
      <c r="AH1224" s="24">
        <f t="shared" si="290"/>
        <v>0.93299700435729838</v>
      </c>
      <c r="AI1224" s="24">
        <f t="shared" si="291"/>
        <v>0.97150871459694998</v>
      </c>
    </row>
    <row r="1225" spans="1:35" hidden="1" x14ac:dyDescent="0.3">
      <c r="A1225" s="2" t="str">
        <f t="shared" si="287"/>
        <v>NÃO</v>
      </c>
      <c r="B1225" s="2">
        <v>1000184670</v>
      </c>
      <c r="C1225" s="2" t="s">
        <v>147</v>
      </c>
      <c r="D1225" s="4">
        <v>1000186197</v>
      </c>
      <c r="E1225" s="4" t="s">
        <v>166</v>
      </c>
      <c r="F1225" s="2">
        <v>1000185288</v>
      </c>
      <c r="G1225" s="2" t="s">
        <v>64</v>
      </c>
      <c r="H1225" s="4">
        <v>1000189809</v>
      </c>
      <c r="I1225" s="4" t="s">
        <v>92</v>
      </c>
      <c r="J1225" s="2">
        <v>1000189270</v>
      </c>
      <c r="K1225" s="2" t="s">
        <v>34</v>
      </c>
      <c r="L1225" s="4" t="s">
        <v>33</v>
      </c>
      <c r="M1225" s="4" t="str">
        <f t="shared" si="294"/>
        <v>1000184670100018619710001898091000189270FOOD SERVICE</v>
      </c>
      <c r="N1225" s="28">
        <f>N1220*_xlfn.XLOOKUP($L1225,'Balizador da Meta'!$B$4:$B$21,'Balizador da Meta'!$C$4:$C$21)</f>
        <v>0</v>
      </c>
      <c r="O1225" s="28">
        <f>O1220*_xlfn.XLOOKUP($L1225,'Balizador da Meta'!$B$4:$B$21,'Balizador da Meta'!$C$4:$C$21)</f>
        <v>0</v>
      </c>
      <c r="P1225" s="28">
        <f>P1220*_xlfn.XLOOKUP($L1225,'Balizador da Meta'!$B$4:$B$21,'Balizador da Meta'!$C$4:$C$21)</f>
        <v>0</v>
      </c>
      <c r="Q1225" s="28">
        <f>Q1220*_xlfn.XLOOKUP($L1225,'Balizador da Meta'!$B$4:$B$21,'Balizador da Meta'!$C$4:$C$21)</f>
        <v>0</v>
      </c>
      <c r="R1225" s="28">
        <f>R1220*_xlfn.XLOOKUP($L1225,'Balizador da Meta'!$B$4:$B$21,'Balizador da Meta'!$C$4:$C$21)</f>
        <v>0</v>
      </c>
      <c r="S1225" s="28">
        <f>S1220*_xlfn.XLOOKUP($L1225,'Balizador da Meta'!$B$4:$B$21,'Balizador da Meta'!$C$4:$C$21)</f>
        <v>0</v>
      </c>
      <c r="T1225" s="28">
        <f>T1220*_xlfn.XLOOKUP($L1225,'Balizador da Meta'!$B$4:$B$21,'Balizador da Meta'!$C$4:$C$21)</f>
        <v>0</v>
      </c>
      <c r="U1225" s="28">
        <f>U1220*_xlfn.XLOOKUP($L1225,'Balizador da Meta'!$B$4:$B$21,'Balizador da Meta'!$C$4:$C$21)</f>
        <v>0</v>
      </c>
      <c r="V1225" s="28">
        <f>V1220*_xlfn.XLOOKUP($L1225,'Balizador da Meta'!$B$4:$B$21,'Balizador da Meta'!$C$4:$C$21)</f>
        <v>0</v>
      </c>
      <c r="W1225" s="28">
        <f>W1220*_xlfn.XLOOKUP($L1225,'Balizador da Meta'!$B$4:$B$21,'Balizador da Meta'!$C$4:$C$21)</f>
        <v>0</v>
      </c>
      <c r="X1225" s="28">
        <f>X1220*_xlfn.XLOOKUP($L1225,'Balizador da Meta'!$B$4:$B$21,'Balizador da Meta'!$C$4:$C$21)</f>
        <v>0</v>
      </c>
      <c r="Y1225" s="28">
        <f>Y1220*_xlfn.XLOOKUP($L1225,'Balizador da Meta'!$B$4:$B$21,'Balizador da Meta'!$C$4:$C$21)</f>
        <v>0</v>
      </c>
      <c r="Z1225" s="30">
        <f t="shared" si="295"/>
        <v>0</v>
      </c>
      <c r="AA1225" s="29"/>
      <c r="AB1225" s="31">
        <f>SUMIFS('Historico - FAT'!AK:AK,'Historico - FAT'!$K:$K,Faturamento!$L1225,'Historico - FAT'!$I:$I,Faturamento!$J1225,'Historico - FAT'!$G:$G,Faturamento!$H1225)</f>
        <v>0</v>
      </c>
      <c r="AC1225" s="31">
        <f>SUMIFS('Historico - FAT'!AL:AL,'Historico - FAT'!$K:$K,Faturamento!$L1225,'Historico - FAT'!$I:$I,Faturamento!$J1225,'Historico - FAT'!$G:$G,Faturamento!$H1225)</f>
        <v>52.291666666666664</v>
      </c>
      <c r="AD1225" s="31">
        <f>SUMIFS('Historico - FAT'!AM:AM,'Historico - FAT'!$K:$K,Faturamento!$L1225,'Historico - FAT'!$I:$I,Faturamento!$J1225,'Historico - FAT'!$G:$G,Faturamento!$H1225)</f>
        <v>26.666666666666668</v>
      </c>
      <c r="AE1225" s="27">
        <f>SUMIFS('Historico - FAT'!AN:AN,'Historico - FAT'!$K:$K,Faturamento!$L1225,'Historico - FAT'!$I:$I,Faturamento!$J1225,'Historico - FAT'!$G:$G,Faturamento!$H1225)</f>
        <v>62.75</v>
      </c>
      <c r="AG1225" s="24" t="str">
        <f t="shared" si="289"/>
        <v/>
      </c>
      <c r="AH1225" s="24" t="str">
        <f t="shared" si="290"/>
        <v/>
      </c>
      <c r="AI1225" s="24" t="str">
        <f t="shared" si="291"/>
        <v/>
      </c>
    </row>
    <row r="1226" spans="1:35" hidden="1" x14ac:dyDescent="0.3">
      <c r="A1226" s="2" t="str">
        <f t="shared" si="287"/>
        <v>NÃO</v>
      </c>
      <c r="B1226" s="2">
        <v>1000184670</v>
      </c>
      <c r="C1226" s="2" t="s">
        <v>147</v>
      </c>
      <c r="D1226" s="4">
        <v>1000186197</v>
      </c>
      <c r="E1226" s="4" t="s">
        <v>166</v>
      </c>
      <c r="F1226" s="2">
        <v>1000185288</v>
      </c>
      <c r="G1226" s="2" t="s">
        <v>64</v>
      </c>
      <c r="H1226" s="4">
        <v>1000189809</v>
      </c>
      <c r="I1226" s="4" t="s">
        <v>92</v>
      </c>
      <c r="J1226" s="2">
        <v>1000189270</v>
      </c>
      <c r="K1226" s="2" t="s">
        <v>34</v>
      </c>
      <c r="L1226" s="4" t="s">
        <v>19</v>
      </c>
      <c r="M1226" s="4" t="str">
        <f t="shared" si="294"/>
        <v>1000184670100018619710001898091000189270GELEIA</v>
      </c>
      <c r="N1226" s="28">
        <f>N1220*_xlfn.XLOOKUP($L1226,'Balizador da Meta'!$B$4:$B$21,'Balizador da Meta'!$C$4:$C$21)</f>
        <v>107.99999999999999</v>
      </c>
      <c r="O1226" s="28">
        <f>O1220*_xlfn.XLOOKUP($L1226,'Balizador da Meta'!$B$4:$B$21,'Balizador da Meta'!$C$4:$C$21)</f>
        <v>119.99999999999999</v>
      </c>
      <c r="P1226" s="28">
        <f>P1220*_xlfn.XLOOKUP($L1226,'Balizador da Meta'!$B$4:$B$21,'Balizador da Meta'!$C$4:$C$21)</f>
        <v>119.99999999999999</v>
      </c>
      <c r="Q1226" s="28">
        <f>Q1220*_xlfn.XLOOKUP($L1226,'Balizador da Meta'!$B$4:$B$21,'Balizador da Meta'!$C$4:$C$21)</f>
        <v>119.99999999999999</v>
      </c>
      <c r="R1226" s="28">
        <f>R1220*_xlfn.XLOOKUP($L1226,'Balizador da Meta'!$B$4:$B$21,'Balizador da Meta'!$C$4:$C$21)</f>
        <v>119.99999999999999</v>
      </c>
      <c r="S1226" s="28">
        <f>S1220*_xlfn.XLOOKUP($L1226,'Balizador da Meta'!$B$4:$B$21,'Balizador da Meta'!$C$4:$C$21)</f>
        <v>119.99999999999999</v>
      </c>
      <c r="T1226" s="28">
        <f>T1220*_xlfn.XLOOKUP($L1226,'Balizador da Meta'!$B$4:$B$21,'Balizador da Meta'!$C$4:$C$21)</f>
        <v>131.99999999999997</v>
      </c>
      <c r="U1226" s="28">
        <f>U1220*_xlfn.XLOOKUP($L1226,'Balizador da Meta'!$B$4:$B$21,'Balizador da Meta'!$C$4:$C$21)</f>
        <v>131.99999999999997</v>
      </c>
      <c r="V1226" s="28">
        <f>V1220*_xlfn.XLOOKUP($L1226,'Balizador da Meta'!$B$4:$B$21,'Balizador da Meta'!$C$4:$C$21)</f>
        <v>131.99999999999997</v>
      </c>
      <c r="W1226" s="28">
        <f>W1220*_xlfn.XLOOKUP($L1226,'Balizador da Meta'!$B$4:$B$21,'Balizador da Meta'!$C$4:$C$21)</f>
        <v>131.99999999999997</v>
      </c>
      <c r="X1226" s="28">
        <f>X1220*_xlfn.XLOOKUP($L1226,'Balizador da Meta'!$B$4:$B$21,'Balizador da Meta'!$C$4:$C$21)</f>
        <v>131.99999999999997</v>
      </c>
      <c r="Y1226" s="28">
        <f>Y1220*_xlfn.XLOOKUP($L1226,'Balizador da Meta'!$B$4:$B$21,'Balizador da Meta'!$C$4:$C$21)</f>
        <v>143.99999999999997</v>
      </c>
      <c r="Z1226" s="30">
        <f t="shared" si="295"/>
        <v>1511.9999999999998</v>
      </c>
      <c r="AA1226" s="29"/>
      <c r="AB1226" s="31">
        <f>SUMIFS('Historico - FAT'!AK:AK,'Historico - FAT'!$K:$K,Faturamento!$L1226,'Historico - FAT'!$I:$I,Faturamento!$J1226,'Historico - FAT'!$G:$G,Faturamento!$H1226)</f>
        <v>210.60999999999999</v>
      </c>
      <c r="AC1226" s="31">
        <f>SUMIFS('Historico - FAT'!AL:AL,'Historico - FAT'!$K:$K,Faturamento!$L1226,'Historico - FAT'!$I:$I,Faturamento!$J1226,'Historico - FAT'!$G:$G,Faturamento!$H1226)</f>
        <v>9</v>
      </c>
      <c r="AD1226" s="31">
        <f>SUMIFS('Historico - FAT'!AM:AM,'Historico - FAT'!$K:$K,Faturamento!$L1226,'Historico - FAT'!$I:$I,Faturamento!$J1226,'Historico - FAT'!$G:$G,Faturamento!$H1226)</f>
        <v>0</v>
      </c>
      <c r="AE1226" s="27">
        <f>SUMIFS('Historico - FAT'!AN:AN,'Historico - FAT'!$K:$K,Faturamento!$L1226,'Historico - FAT'!$I:$I,Faturamento!$J1226,'Historico - FAT'!$G:$G,Faturamento!$H1226)</f>
        <v>10.8</v>
      </c>
      <c r="AG1226" s="24">
        <f t="shared" si="289"/>
        <v>-0.54860294117647079</v>
      </c>
      <c r="AH1226" s="24">
        <f t="shared" si="290"/>
        <v>0.93382352941176472</v>
      </c>
      <c r="AI1226" s="24">
        <f t="shared" si="291"/>
        <v>1</v>
      </c>
    </row>
    <row r="1227" spans="1:35" hidden="1" x14ac:dyDescent="0.3">
      <c r="A1227" s="2" t="str">
        <f t="shared" si="287"/>
        <v>NÃO</v>
      </c>
      <c r="B1227" s="2">
        <v>1000184670</v>
      </c>
      <c r="C1227" s="2" t="s">
        <v>147</v>
      </c>
      <c r="D1227" s="4">
        <v>1000186197</v>
      </c>
      <c r="E1227" s="4" t="s">
        <v>166</v>
      </c>
      <c r="F1227" s="2">
        <v>1000185288</v>
      </c>
      <c r="G1227" s="2" t="s">
        <v>64</v>
      </c>
      <c r="H1227" s="4">
        <v>1000189809</v>
      </c>
      <c r="I1227" s="4" t="s">
        <v>92</v>
      </c>
      <c r="J1227" s="2">
        <v>1000189270</v>
      </c>
      <c r="K1227" s="2" t="s">
        <v>34</v>
      </c>
      <c r="L1227" s="4" t="s">
        <v>17</v>
      </c>
      <c r="M1227" s="4" t="str">
        <f t="shared" si="294"/>
        <v>1000184670100018619710001898091000189270GRANOLA</v>
      </c>
      <c r="N1227" s="28">
        <f>N1220*_xlfn.XLOOKUP($L1227,'Balizador da Meta'!$B$4:$B$21,'Balizador da Meta'!$C$4:$C$21)</f>
        <v>108</v>
      </c>
      <c r="O1227" s="28">
        <f>O1220*_xlfn.XLOOKUP($L1227,'Balizador da Meta'!$B$4:$B$21,'Balizador da Meta'!$C$4:$C$21)</f>
        <v>120</v>
      </c>
      <c r="P1227" s="28">
        <f>P1220*_xlfn.XLOOKUP($L1227,'Balizador da Meta'!$B$4:$B$21,'Balizador da Meta'!$C$4:$C$21)</f>
        <v>120</v>
      </c>
      <c r="Q1227" s="28">
        <f>Q1220*_xlfn.XLOOKUP($L1227,'Balizador da Meta'!$B$4:$B$21,'Balizador da Meta'!$C$4:$C$21)</f>
        <v>120</v>
      </c>
      <c r="R1227" s="28">
        <f>R1220*_xlfn.XLOOKUP($L1227,'Balizador da Meta'!$B$4:$B$21,'Balizador da Meta'!$C$4:$C$21)</f>
        <v>120</v>
      </c>
      <c r="S1227" s="28">
        <f>S1220*_xlfn.XLOOKUP($L1227,'Balizador da Meta'!$B$4:$B$21,'Balizador da Meta'!$C$4:$C$21)</f>
        <v>120</v>
      </c>
      <c r="T1227" s="28">
        <f>T1220*_xlfn.XLOOKUP($L1227,'Balizador da Meta'!$B$4:$B$21,'Balizador da Meta'!$C$4:$C$21)</f>
        <v>132</v>
      </c>
      <c r="U1227" s="28">
        <f>U1220*_xlfn.XLOOKUP($L1227,'Balizador da Meta'!$B$4:$B$21,'Balizador da Meta'!$C$4:$C$21)</f>
        <v>132</v>
      </c>
      <c r="V1227" s="28">
        <f>V1220*_xlfn.XLOOKUP($L1227,'Balizador da Meta'!$B$4:$B$21,'Balizador da Meta'!$C$4:$C$21)</f>
        <v>132</v>
      </c>
      <c r="W1227" s="28">
        <f>W1220*_xlfn.XLOOKUP($L1227,'Balizador da Meta'!$B$4:$B$21,'Balizador da Meta'!$C$4:$C$21)</f>
        <v>132</v>
      </c>
      <c r="X1227" s="28">
        <f>X1220*_xlfn.XLOOKUP($L1227,'Balizador da Meta'!$B$4:$B$21,'Balizador da Meta'!$C$4:$C$21)</f>
        <v>132</v>
      </c>
      <c r="Y1227" s="28">
        <f>Y1220*_xlfn.XLOOKUP($L1227,'Balizador da Meta'!$B$4:$B$21,'Balizador da Meta'!$C$4:$C$21)</f>
        <v>144</v>
      </c>
      <c r="Z1227" s="30">
        <f t="shared" si="295"/>
        <v>1512</v>
      </c>
      <c r="AA1227" s="29"/>
      <c r="AB1227" s="31">
        <f>SUMIFS('Historico - FAT'!AK:AK,'Historico - FAT'!$K:$K,Faturamento!$L1227,'Historico - FAT'!$I:$I,Faturamento!$J1227,'Historico - FAT'!$G:$G,Faturamento!$H1227)</f>
        <v>150.54999999999998</v>
      </c>
      <c r="AC1227" s="31">
        <f>SUMIFS('Historico - FAT'!AL:AL,'Historico - FAT'!$K:$K,Faturamento!$L1227,'Historico - FAT'!$I:$I,Faturamento!$J1227,'Historico - FAT'!$G:$G,Faturamento!$H1227)</f>
        <v>2.64</v>
      </c>
      <c r="AD1227" s="31">
        <f>SUMIFS('Historico - FAT'!AM:AM,'Historico - FAT'!$K:$K,Faturamento!$L1227,'Historico - FAT'!$I:$I,Faturamento!$J1227,'Historico - FAT'!$G:$G,Faturamento!$H1227)</f>
        <v>0</v>
      </c>
      <c r="AE1227" s="27">
        <f>SUMIFS('Historico - FAT'!AN:AN,'Historico - FAT'!$K:$K,Faturamento!$L1227,'Historico - FAT'!$I:$I,Faturamento!$J1227,'Historico - FAT'!$G:$G,Faturamento!$H1227)</f>
        <v>3.1680000000000001</v>
      </c>
      <c r="AG1227" s="24">
        <f t="shared" si="289"/>
        <v>-0.10698529411764693</v>
      </c>
      <c r="AH1227" s="24">
        <f t="shared" si="290"/>
        <v>0.98058823529411776</v>
      </c>
      <c r="AI1227" s="24">
        <f t="shared" si="291"/>
        <v>1</v>
      </c>
    </row>
    <row r="1228" spans="1:35" hidden="1" x14ac:dyDescent="0.3">
      <c r="A1228" s="2" t="str">
        <f t="shared" si="287"/>
        <v>NÃO</v>
      </c>
      <c r="B1228" s="2">
        <v>1000184670</v>
      </c>
      <c r="C1228" s="2" t="s">
        <v>147</v>
      </c>
      <c r="D1228" s="4">
        <v>1000186197</v>
      </c>
      <c r="E1228" s="4" t="s">
        <v>166</v>
      </c>
      <c r="F1228" s="2">
        <v>1000185288</v>
      </c>
      <c r="G1228" s="2" t="s">
        <v>64</v>
      </c>
      <c r="H1228" s="4">
        <v>1000189809</v>
      </c>
      <c r="I1228" s="4" t="s">
        <v>92</v>
      </c>
      <c r="J1228" s="2">
        <v>1000189270</v>
      </c>
      <c r="K1228" s="2" t="s">
        <v>34</v>
      </c>
      <c r="L1228" s="4" t="s">
        <v>24</v>
      </c>
      <c r="M1228" s="4" t="str">
        <f t="shared" si="294"/>
        <v>1000184670100018619710001898091000189270KIDS</v>
      </c>
      <c r="N1228" s="28">
        <f>N1220*_xlfn.XLOOKUP($L1228,'Balizador da Meta'!$B$4:$B$21,'Balizador da Meta'!$C$4:$C$21)</f>
        <v>0</v>
      </c>
      <c r="O1228" s="28">
        <f>O1220*_xlfn.XLOOKUP($L1228,'Balizador da Meta'!$B$4:$B$21,'Balizador da Meta'!$C$4:$C$21)</f>
        <v>0</v>
      </c>
      <c r="P1228" s="28">
        <f>P1220*_xlfn.XLOOKUP($L1228,'Balizador da Meta'!$B$4:$B$21,'Balizador da Meta'!$C$4:$C$21)</f>
        <v>0</v>
      </c>
      <c r="Q1228" s="28">
        <f>Q1220*_xlfn.XLOOKUP($L1228,'Balizador da Meta'!$B$4:$B$21,'Balizador da Meta'!$C$4:$C$21)</f>
        <v>0</v>
      </c>
      <c r="R1228" s="28">
        <f>R1220*_xlfn.XLOOKUP($L1228,'Balizador da Meta'!$B$4:$B$21,'Balizador da Meta'!$C$4:$C$21)</f>
        <v>0</v>
      </c>
      <c r="S1228" s="28">
        <f>S1220*_xlfn.XLOOKUP($L1228,'Balizador da Meta'!$B$4:$B$21,'Balizador da Meta'!$C$4:$C$21)</f>
        <v>0</v>
      </c>
      <c r="T1228" s="28">
        <f>T1220*_xlfn.XLOOKUP($L1228,'Balizador da Meta'!$B$4:$B$21,'Balizador da Meta'!$C$4:$C$21)</f>
        <v>0</v>
      </c>
      <c r="U1228" s="28">
        <f>U1220*_xlfn.XLOOKUP($L1228,'Balizador da Meta'!$B$4:$B$21,'Balizador da Meta'!$C$4:$C$21)</f>
        <v>0</v>
      </c>
      <c r="V1228" s="28">
        <f>V1220*_xlfn.XLOOKUP($L1228,'Balizador da Meta'!$B$4:$B$21,'Balizador da Meta'!$C$4:$C$21)</f>
        <v>0</v>
      </c>
      <c r="W1228" s="28">
        <f>W1220*_xlfn.XLOOKUP($L1228,'Balizador da Meta'!$B$4:$B$21,'Balizador da Meta'!$C$4:$C$21)</f>
        <v>0</v>
      </c>
      <c r="X1228" s="28">
        <f>X1220*_xlfn.XLOOKUP($L1228,'Balizador da Meta'!$B$4:$B$21,'Balizador da Meta'!$C$4:$C$21)</f>
        <v>0</v>
      </c>
      <c r="Y1228" s="28">
        <f>Y1220*_xlfn.XLOOKUP($L1228,'Balizador da Meta'!$B$4:$B$21,'Balizador da Meta'!$C$4:$C$21)</f>
        <v>0</v>
      </c>
      <c r="Z1228" s="30">
        <f t="shared" si="295"/>
        <v>0</v>
      </c>
      <c r="AA1228" s="29"/>
      <c r="AB1228" s="31">
        <f>SUMIFS('Historico - FAT'!AK:AK,'Historico - FAT'!$K:$K,Faturamento!$L1228,'Historico - FAT'!$I:$I,Faturamento!$J1228,'Historico - FAT'!$G:$G,Faturamento!$H1228)</f>
        <v>43.169999999999995</v>
      </c>
      <c r="AC1228" s="31">
        <f>SUMIFS('Historico - FAT'!AL:AL,'Historico - FAT'!$K:$K,Faturamento!$L1228,'Historico - FAT'!$I:$I,Faturamento!$J1228,'Historico - FAT'!$G:$G,Faturamento!$H1228)</f>
        <v>14.423333333333334</v>
      </c>
      <c r="AD1228" s="31">
        <f>SUMIFS('Historico - FAT'!AM:AM,'Historico - FAT'!$K:$K,Faturamento!$L1228,'Historico - FAT'!$I:$I,Faturamento!$J1228,'Historico - FAT'!$G:$G,Faturamento!$H1228)</f>
        <v>28.846666666666668</v>
      </c>
      <c r="AE1228" s="27">
        <f>SUMIFS('Historico - FAT'!AN:AN,'Historico - FAT'!$K:$K,Faturamento!$L1228,'Historico - FAT'!$I:$I,Faturamento!$J1228,'Historico - FAT'!$G:$G,Faturamento!$H1228)</f>
        <v>17.308</v>
      </c>
      <c r="AG1228" s="24" t="str">
        <f t="shared" si="289"/>
        <v/>
      </c>
      <c r="AH1228" s="24" t="str">
        <f t="shared" si="290"/>
        <v/>
      </c>
      <c r="AI1228" s="24" t="str">
        <f t="shared" si="291"/>
        <v/>
      </c>
    </row>
    <row r="1229" spans="1:35" hidden="1" x14ac:dyDescent="0.3">
      <c r="A1229" s="2" t="str">
        <f t="shared" si="287"/>
        <v>NÃO</v>
      </c>
      <c r="B1229" s="2">
        <v>1000184670</v>
      </c>
      <c r="C1229" s="2" t="s">
        <v>147</v>
      </c>
      <c r="D1229" s="4">
        <v>1000186197</v>
      </c>
      <c r="E1229" s="4" t="s">
        <v>166</v>
      </c>
      <c r="F1229" s="2">
        <v>1000185288</v>
      </c>
      <c r="G1229" s="2" t="s">
        <v>64</v>
      </c>
      <c r="H1229" s="4">
        <v>1000189809</v>
      </c>
      <c r="I1229" s="4" t="s">
        <v>92</v>
      </c>
      <c r="J1229" s="2">
        <v>1000189270</v>
      </c>
      <c r="K1229" s="2" t="s">
        <v>34</v>
      </c>
      <c r="L1229" s="4" t="s">
        <v>18</v>
      </c>
      <c r="M1229" s="4" t="str">
        <f t="shared" si="294"/>
        <v>1000184670100018619710001898091000189270LANCHES</v>
      </c>
      <c r="N1229" s="28">
        <f>N1220*_xlfn.XLOOKUP($L1229,'Balizador da Meta'!$B$4:$B$21,'Balizador da Meta'!$C$4:$C$21)</f>
        <v>54</v>
      </c>
      <c r="O1229" s="28">
        <f>O1220*_xlfn.XLOOKUP($L1229,'Balizador da Meta'!$B$4:$B$21,'Balizador da Meta'!$C$4:$C$21)</f>
        <v>60</v>
      </c>
      <c r="P1229" s="28">
        <f>P1220*_xlfn.XLOOKUP($L1229,'Balizador da Meta'!$B$4:$B$21,'Balizador da Meta'!$C$4:$C$21)</f>
        <v>60</v>
      </c>
      <c r="Q1229" s="28">
        <f>Q1220*_xlfn.XLOOKUP($L1229,'Balizador da Meta'!$B$4:$B$21,'Balizador da Meta'!$C$4:$C$21)</f>
        <v>60</v>
      </c>
      <c r="R1229" s="28">
        <f>R1220*_xlfn.XLOOKUP($L1229,'Balizador da Meta'!$B$4:$B$21,'Balizador da Meta'!$C$4:$C$21)</f>
        <v>60</v>
      </c>
      <c r="S1229" s="28">
        <f>S1220*_xlfn.XLOOKUP($L1229,'Balizador da Meta'!$B$4:$B$21,'Balizador da Meta'!$C$4:$C$21)</f>
        <v>60</v>
      </c>
      <c r="T1229" s="28">
        <f>T1220*_xlfn.XLOOKUP($L1229,'Balizador da Meta'!$B$4:$B$21,'Balizador da Meta'!$C$4:$C$21)</f>
        <v>66</v>
      </c>
      <c r="U1229" s="28">
        <f>U1220*_xlfn.XLOOKUP($L1229,'Balizador da Meta'!$B$4:$B$21,'Balizador da Meta'!$C$4:$C$21)</f>
        <v>66</v>
      </c>
      <c r="V1229" s="28">
        <f>V1220*_xlfn.XLOOKUP($L1229,'Balizador da Meta'!$B$4:$B$21,'Balizador da Meta'!$C$4:$C$21)</f>
        <v>66</v>
      </c>
      <c r="W1229" s="28">
        <f>W1220*_xlfn.XLOOKUP($L1229,'Balizador da Meta'!$B$4:$B$21,'Balizador da Meta'!$C$4:$C$21)</f>
        <v>66</v>
      </c>
      <c r="X1229" s="28">
        <f>X1220*_xlfn.XLOOKUP($L1229,'Balizador da Meta'!$B$4:$B$21,'Balizador da Meta'!$C$4:$C$21)</f>
        <v>66</v>
      </c>
      <c r="Y1229" s="28">
        <f>Y1220*_xlfn.XLOOKUP($L1229,'Balizador da Meta'!$B$4:$B$21,'Balizador da Meta'!$C$4:$C$21)</f>
        <v>72</v>
      </c>
      <c r="Z1229" s="30">
        <f t="shared" si="295"/>
        <v>756</v>
      </c>
      <c r="AA1229" s="29"/>
      <c r="AB1229" s="31">
        <f>SUMIFS('Historico - FAT'!AK:AK,'Historico - FAT'!$K:$K,Faturamento!$L1229,'Historico - FAT'!$I:$I,Faturamento!$J1229,'Historico - FAT'!$G:$G,Faturamento!$H1229)</f>
        <v>87.644999999999996</v>
      </c>
      <c r="AC1229" s="31">
        <f>SUMIFS('Historico - FAT'!AL:AL,'Historico - FAT'!$K:$K,Faturamento!$L1229,'Historico - FAT'!$I:$I,Faturamento!$J1229,'Historico - FAT'!$G:$G,Faturamento!$H1229)</f>
        <v>1.6666666666666667</v>
      </c>
      <c r="AD1229" s="31">
        <f>SUMIFS('Historico - FAT'!AM:AM,'Historico - FAT'!$K:$K,Faturamento!$L1229,'Historico - FAT'!$I:$I,Faturamento!$J1229,'Historico - FAT'!$G:$G,Faturamento!$H1229)</f>
        <v>3.3333333333333335</v>
      </c>
      <c r="AE1229" s="27">
        <f>SUMIFS('Historico - FAT'!AN:AN,'Historico - FAT'!$K:$K,Faturamento!$L1229,'Historico - FAT'!$I:$I,Faturamento!$J1229,'Historico - FAT'!$G:$G,Faturamento!$H1229)</f>
        <v>2</v>
      </c>
      <c r="AG1229" s="24">
        <f t="shared" si="289"/>
        <v>-0.28889705882352934</v>
      </c>
      <c r="AH1229" s="24">
        <f t="shared" si="290"/>
        <v>0.97549019607843135</v>
      </c>
      <c r="AI1229" s="24">
        <f t="shared" si="291"/>
        <v>0.95098039215686281</v>
      </c>
    </row>
    <row r="1230" spans="1:35" hidden="1" x14ac:dyDescent="0.3">
      <c r="A1230" s="2" t="str">
        <f t="shared" si="287"/>
        <v>NÃO</v>
      </c>
      <c r="B1230" s="2">
        <v>1000184670</v>
      </c>
      <c r="C1230" s="2" t="s">
        <v>147</v>
      </c>
      <c r="D1230" s="4">
        <v>1000186197</v>
      </c>
      <c r="E1230" s="4" t="s">
        <v>166</v>
      </c>
      <c r="F1230" s="2">
        <v>1000185288</v>
      </c>
      <c r="G1230" s="2" t="s">
        <v>64</v>
      </c>
      <c r="H1230" s="4">
        <v>1000189809</v>
      </c>
      <c r="I1230" s="4" t="s">
        <v>92</v>
      </c>
      <c r="J1230" s="2">
        <v>1000189270</v>
      </c>
      <c r="K1230" s="2" t="s">
        <v>34</v>
      </c>
      <c r="L1230" s="4" t="s">
        <v>29</v>
      </c>
      <c r="M1230" s="4" t="str">
        <f t="shared" si="294"/>
        <v>1000184670100018619710001898091000189270MAIS GRANEL</v>
      </c>
      <c r="N1230" s="28">
        <f>N1220*_xlfn.XLOOKUP($L1230,'Balizador da Meta'!$B$4:$B$21,'Balizador da Meta'!$C$4:$C$21)</f>
        <v>1728</v>
      </c>
      <c r="O1230" s="28">
        <f>O1220*_xlfn.XLOOKUP($L1230,'Balizador da Meta'!$B$4:$B$21,'Balizador da Meta'!$C$4:$C$21)</f>
        <v>1920</v>
      </c>
      <c r="P1230" s="28">
        <f>P1220*_xlfn.XLOOKUP($L1230,'Balizador da Meta'!$B$4:$B$21,'Balizador da Meta'!$C$4:$C$21)</f>
        <v>1920</v>
      </c>
      <c r="Q1230" s="28">
        <f>Q1220*_xlfn.XLOOKUP($L1230,'Balizador da Meta'!$B$4:$B$21,'Balizador da Meta'!$C$4:$C$21)</f>
        <v>1920</v>
      </c>
      <c r="R1230" s="28">
        <f>R1220*_xlfn.XLOOKUP($L1230,'Balizador da Meta'!$B$4:$B$21,'Balizador da Meta'!$C$4:$C$21)</f>
        <v>1920</v>
      </c>
      <c r="S1230" s="28">
        <f>S1220*_xlfn.XLOOKUP($L1230,'Balizador da Meta'!$B$4:$B$21,'Balizador da Meta'!$C$4:$C$21)</f>
        <v>1920</v>
      </c>
      <c r="T1230" s="28">
        <f>T1220*_xlfn.XLOOKUP($L1230,'Balizador da Meta'!$B$4:$B$21,'Balizador da Meta'!$C$4:$C$21)</f>
        <v>2112</v>
      </c>
      <c r="U1230" s="28">
        <f>U1220*_xlfn.XLOOKUP($L1230,'Balizador da Meta'!$B$4:$B$21,'Balizador da Meta'!$C$4:$C$21)</f>
        <v>2112</v>
      </c>
      <c r="V1230" s="28">
        <f>V1220*_xlfn.XLOOKUP($L1230,'Balizador da Meta'!$B$4:$B$21,'Balizador da Meta'!$C$4:$C$21)</f>
        <v>2112</v>
      </c>
      <c r="W1230" s="28">
        <f>W1220*_xlfn.XLOOKUP($L1230,'Balizador da Meta'!$B$4:$B$21,'Balizador da Meta'!$C$4:$C$21)</f>
        <v>2112</v>
      </c>
      <c r="X1230" s="28">
        <f>X1220*_xlfn.XLOOKUP($L1230,'Balizador da Meta'!$B$4:$B$21,'Balizador da Meta'!$C$4:$C$21)</f>
        <v>2112</v>
      </c>
      <c r="Y1230" s="28">
        <f>Y1220*_xlfn.XLOOKUP($L1230,'Balizador da Meta'!$B$4:$B$21,'Balizador da Meta'!$C$4:$C$21)</f>
        <v>2304</v>
      </c>
      <c r="Z1230" s="30">
        <f t="shared" si="295"/>
        <v>24192</v>
      </c>
      <c r="AA1230" s="29"/>
      <c r="AB1230" s="31">
        <f>SUMIFS('Historico - FAT'!AK:AK,'Historico - FAT'!$K:$K,Faturamento!$L1230,'Historico - FAT'!$I:$I,Faturamento!$J1230,'Historico - FAT'!$G:$G,Faturamento!$H1230)</f>
        <v>0</v>
      </c>
      <c r="AC1230" s="31">
        <f>SUMIFS('Historico - FAT'!AL:AL,'Historico - FAT'!$K:$K,Faturamento!$L1230,'Historico - FAT'!$I:$I,Faturamento!$J1230,'Historico - FAT'!$G:$G,Faturamento!$H1230)</f>
        <v>285.93333333333334</v>
      </c>
      <c r="AD1230" s="31">
        <f>SUMIFS('Historico - FAT'!AM:AM,'Historico - FAT'!$K:$K,Faturamento!$L1230,'Historico - FAT'!$I:$I,Faturamento!$J1230,'Historico - FAT'!$G:$G,Faturamento!$H1230)</f>
        <v>532.19166666666672</v>
      </c>
      <c r="AE1230" s="27">
        <f>SUMIFS('Historico - FAT'!AN:AN,'Historico - FAT'!$K:$K,Faturamento!$L1230,'Historico - FAT'!$I:$I,Faturamento!$J1230,'Historico - FAT'!$G:$G,Faturamento!$H1230)</f>
        <v>343.12</v>
      </c>
      <c r="AG1230" s="24">
        <f t="shared" si="289"/>
        <v>1</v>
      </c>
      <c r="AH1230" s="24">
        <f t="shared" si="290"/>
        <v>0.86859681372549014</v>
      </c>
      <c r="AI1230" s="24">
        <f t="shared" si="291"/>
        <v>0.75542662377450986</v>
      </c>
    </row>
    <row r="1231" spans="1:35" hidden="1" x14ac:dyDescent="0.3">
      <c r="A1231" s="2" t="str">
        <f t="shared" si="287"/>
        <v>NÃO</v>
      </c>
      <c r="B1231" s="2">
        <v>1000184670</v>
      </c>
      <c r="C1231" s="2" t="s">
        <v>147</v>
      </c>
      <c r="D1231" s="4">
        <v>1000186197</v>
      </c>
      <c r="E1231" s="4" t="s">
        <v>166</v>
      </c>
      <c r="F1231" s="2">
        <v>1000185288</v>
      </c>
      <c r="G1231" s="2" t="s">
        <v>64</v>
      </c>
      <c r="H1231" s="4">
        <v>1000189809</v>
      </c>
      <c r="I1231" s="4" t="s">
        <v>92</v>
      </c>
      <c r="J1231" s="2">
        <v>1000189270</v>
      </c>
      <c r="K1231" s="2" t="s">
        <v>34</v>
      </c>
      <c r="L1231" s="4" t="s">
        <v>21</v>
      </c>
      <c r="M1231" s="4" t="str">
        <f t="shared" si="294"/>
        <v>1000184670100018619710001898091000189270NATURATTA</v>
      </c>
      <c r="N1231" s="28">
        <f>N1220*_xlfn.XLOOKUP($L1231,'Balizador da Meta'!$B$4:$B$21,'Balizador da Meta'!$C$4:$C$21)</f>
        <v>270</v>
      </c>
      <c r="O1231" s="28">
        <f>O1220*_xlfn.XLOOKUP($L1231,'Balizador da Meta'!$B$4:$B$21,'Balizador da Meta'!$C$4:$C$21)</f>
        <v>300</v>
      </c>
      <c r="P1231" s="28">
        <f>P1220*_xlfn.XLOOKUP($L1231,'Balizador da Meta'!$B$4:$B$21,'Balizador da Meta'!$C$4:$C$21)</f>
        <v>300</v>
      </c>
      <c r="Q1231" s="28">
        <f>Q1220*_xlfn.XLOOKUP($L1231,'Balizador da Meta'!$B$4:$B$21,'Balizador da Meta'!$C$4:$C$21)</f>
        <v>300</v>
      </c>
      <c r="R1231" s="28">
        <f>R1220*_xlfn.XLOOKUP($L1231,'Balizador da Meta'!$B$4:$B$21,'Balizador da Meta'!$C$4:$C$21)</f>
        <v>300</v>
      </c>
      <c r="S1231" s="28">
        <f>S1220*_xlfn.XLOOKUP($L1231,'Balizador da Meta'!$B$4:$B$21,'Balizador da Meta'!$C$4:$C$21)</f>
        <v>300</v>
      </c>
      <c r="T1231" s="28">
        <f>T1220*_xlfn.XLOOKUP($L1231,'Balizador da Meta'!$B$4:$B$21,'Balizador da Meta'!$C$4:$C$21)</f>
        <v>330</v>
      </c>
      <c r="U1231" s="28">
        <f>U1220*_xlfn.XLOOKUP($L1231,'Balizador da Meta'!$B$4:$B$21,'Balizador da Meta'!$C$4:$C$21)</f>
        <v>330</v>
      </c>
      <c r="V1231" s="28">
        <f>V1220*_xlfn.XLOOKUP($L1231,'Balizador da Meta'!$B$4:$B$21,'Balizador da Meta'!$C$4:$C$21)</f>
        <v>330</v>
      </c>
      <c r="W1231" s="28">
        <f>W1220*_xlfn.XLOOKUP($L1231,'Balizador da Meta'!$B$4:$B$21,'Balizador da Meta'!$C$4:$C$21)</f>
        <v>330</v>
      </c>
      <c r="X1231" s="28">
        <f>X1220*_xlfn.XLOOKUP($L1231,'Balizador da Meta'!$B$4:$B$21,'Balizador da Meta'!$C$4:$C$21)</f>
        <v>330</v>
      </c>
      <c r="Y1231" s="28">
        <f>Y1220*_xlfn.XLOOKUP($L1231,'Balizador da Meta'!$B$4:$B$21,'Balizador da Meta'!$C$4:$C$21)</f>
        <v>360</v>
      </c>
      <c r="Z1231" s="30">
        <f t="shared" si="295"/>
        <v>3780</v>
      </c>
      <c r="AA1231" s="29"/>
      <c r="AB1231" s="31">
        <f>SUMIFS('Historico - FAT'!AK:AK,'Historico - FAT'!$K:$K,Faturamento!$L1231,'Historico - FAT'!$I:$I,Faturamento!$J1231,'Historico - FAT'!$G:$G,Faturamento!$H1231)</f>
        <v>0</v>
      </c>
      <c r="AC1231" s="31">
        <f>SUMIFS('Historico - FAT'!AL:AL,'Historico - FAT'!$K:$K,Faturamento!$L1231,'Historico - FAT'!$I:$I,Faturamento!$J1231,'Historico - FAT'!$G:$G,Faturamento!$H1231)</f>
        <v>13.582500000000001</v>
      </c>
      <c r="AD1231" s="31">
        <f>SUMIFS('Historico - FAT'!AM:AM,'Historico - FAT'!$K:$K,Faturamento!$L1231,'Historico - FAT'!$I:$I,Faturamento!$J1231,'Historico - FAT'!$G:$G,Faturamento!$H1231)</f>
        <v>27.165000000000003</v>
      </c>
      <c r="AE1231" s="27">
        <f>SUMIFS('Historico - FAT'!AN:AN,'Historico - FAT'!$K:$K,Faturamento!$L1231,'Historico - FAT'!$I:$I,Faturamento!$J1231,'Historico - FAT'!$G:$G,Faturamento!$H1231)</f>
        <v>16.298999999999999</v>
      </c>
      <c r="AG1231" s="24">
        <f t="shared" si="289"/>
        <v>1</v>
      </c>
      <c r="AH1231" s="24">
        <f t="shared" si="290"/>
        <v>0.96005147058823537</v>
      </c>
      <c r="AI1231" s="24">
        <f t="shared" si="291"/>
        <v>0.92010294117647051</v>
      </c>
    </row>
    <row r="1232" spans="1:35" hidden="1" x14ac:dyDescent="0.3">
      <c r="A1232" s="2" t="str">
        <f t="shared" si="287"/>
        <v>NÃO</v>
      </c>
      <c r="B1232" s="2">
        <v>1000184670</v>
      </c>
      <c r="C1232" s="2" t="s">
        <v>147</v>
      </c>
      <c r="D1232" s="4">
        <v>1000186197</v>
      </c>
      <c r="E1232" s="4" t="s">
        <v>166</v>
      </c>
      <c r="F1232" s="2">
        <v>1000185288</v>
      </c>
      <c r="G1232" s="2" t="s">
        <v>64</v>
      </c>
      <c r="H1232" s="4">
        <v>1000189809</v>
      </c>
      <c r="I1232" s="4" t="s">
        <v>92</v>
      </c>
      <c r="J1232" s="2">
        <v>1000189270</v>
      </c>
      <c r="K1232" s="2" t="s">
        <v>34</v>
      </c>
      <c r="L1232" s="4" t="s">
        <v>20</v>
      </c>
      <c r="M1232" s="4" t="str">
        <f t="shared" si="294"/>
        <v>1000184670100018619710001898091000189270REEMBALADOS</v>
      </c>
      <c r="N1232" s="28">
        <f>N1220*_xlfn.XLOOKUP($L1232,'Balizador da Meta'!$B$4:$B$21,'Balizador da Meta'!$C$4:$C$21)</f>
        <v>216</v>
      </c>
      <c r="O1232" s="28">
        <f>O1220*_xlfn.XLOOKUP($L1232,'Balizador da Meta'!$B$4:$B$21,'Balizador da Meta'!$C$4:$C$21)</f>
        <v>240</v>
      </c>
      <c r="P1232" s="28">
        <f>P1220*_xlfn.XLOOKUP($L1232,'Balizador da Meta'!$B$4:$B$21,'Balizador da Meta'!$C$4:$C$21)</f>
        <v>240</v>
      </c>
      <c r="Q1232" s="28">
        <f>Q1220*_xlfn.XLOOKUP($L1232,'Balizador da Meta'!$B$4:$B$21,'Balizador da Meta'!$C$4:$C$21)</f>
        <v>240</v>
      </c>
      <c r="R1232" s="28">
        <f>R1220*_xlfn.XLOOKUP($L1232,'Balizador da Meta'!$B$4:$B$21,'Balizador da Meta'!$C$4:$C$21)</f>
        <v>240</v>
      </c>
      <c r="S1232" s="28">
        <f>S1220*_xlfn.XLOOKUP($L1232,'Balizador da Meta'!$B$4:$B$21,'Balizador da Meta'!$C$4:$C$21)</f>
        <v>240</v>
      </c>
      <c r="T1232" s="28">
        <f>T1220*_xlfn.XLOOKUP($L1232,'Balizador da Meta'!$B$4:$B$21,'Balizador da Meta'!$C$4:$C$21)</f>
        <v>264</v>
      </c>
      <c r="U1232" s="28">
        <f>U1220*_xlfn.XLOOKUP($L1232,'Balizador da Meta'!$B$4:$B$21,'Balizador da Meta'!$C$4:$C$21)</f>
        <v>264</v>
      </c>
      <c r="V1232" s="28">
        <f>V1220*_xlfn.XLOOKUP($L1232,'Balizador da Meta'!$B$4:$B$21,'Balizador da Meta'!$C$4:$C$21)</f>
        <v>264</v>
      </c>
      <c r="W1232" s="28">
        <f>W1220*_xlfn.XLOOKUP($L1232,'Balizador da Meta'!$B$4:$B$21,'Balizador da Meta'!$C$4:$C$21)</f>
        <v>264</v>
      </c>
      <c r="X1232" s="28">
        <f>X1220*_xlfn.XLOOKUP($L1232,'Balizador da Meta'!$B$4:$B$21,'Balizador da Meta'!$C$4:$C$21)</f>
        <v>264</v>
      </c>
      <c r="Y1232" s="28">
        <f>Y1220*_xlfn.XLOOKUP($L1232,'Balizador da Meta'!$B$4:$B$21,'Balizador da Meta'!$C$4:$C$21)</f>
        <v>288</v>
      </c>
      <c r="Z1232" s="30">
        <f t="shared" si="295"/>
        <v>3024</v>
      </c>
      <c r="AA1232" s="29"/>
      <c r="AB1232" s="31">
        <f>SUMIFS('Historico - FAT'!AK:AK,'Historico - FAT'!$K:$K,Faturamento!$L1232,'Historico - FAT'!$I:$I,Faturamento!$J1232,'Historico - FAT'!$G:$G,Faturamento!$H1232)</f>
        <v>181.64500000000001</v>
      </c>
      <c r="AC1232" s="31">
        <f>SUMIFS('Historico - FAT'!AL:AL,'Historico - FAT'!$K:$K,Faturamento!$L1232,'Historico - FAT'!$I:$I,Faturamento!$J1232,'Historico - FAT'!$G:$G,Faturamento!$H1232)</f>
        <v>384.18583333333339</v>
      </c>
      <c r="AD1232" s="31">
        <f>SUMIFS('Historico - FAT'!AM:AM,'Historico - FAT'!$K:$K,Faturamento!$L1232,'Historico - FAT'!$I:$I,Faturamento!$J1232,'Historico - FAT'!$G:$G,Faturamento!$H1232)</f>
        <v>57.501666666666665</v>
      </c>
      <c r="AE1232" s="27">
        <f>SUMIFS('Historico - FAT'!AN:AN,'Historico - FAT'!$K:$K,Faturamento!$L1232,'Historico - FAT'!$I:$I,Faturamento!$J1232,'Historico - FAT'!$G:$G,Faturamento!$H1232)</f>
        <v>461.02300000000002</v>
      </c>
      <c r="AG1232" s="24">
        <f t="shared" si="289"/>
        <v>0.33218749999999997</v>
      </c>
      <c r="AH1232" s="24">
        <f t="shared" si="290"/>
        <v>-0.41244791666666686</v>
      </c>
      <c r="AI1232" s="24">
        <f t="shared" si="291"/>
        <v>0.78859681372549018</v>
      </c>
    </row>
    <row r="1233" spans="1:35" hidden="1" x14ac:dyDescent="0.3">
      <c r="A1233" s="2" t="str">
        <f t="shared" si="287"/>
        <v>NÃO</v>
      </c>
      <c r="B1233" s="2">
        <v>1000184670</v>
      </c>
      <c r="C1233" s="2" t="s">
        <v>147</v>
      </c>
      <c r="D1233" s="4">
        <v>1000186197</v>
      </c>
      <c r="E1233" s="4" t="s">
        <v>166</v>
      </c>
      <c r="F1233" s="2">
        <v>1000185288</v>
      </c>
      <c r="G1233" s="2" t="s">
        <v>64</v>
      </c>
      <c r="H1233" s="4">
        <v>1000189809</v>
      </c>
      <c r="I1233" s="4" t="s">
        <v>92</v>
      </c>
      <c r="J1233" s="2">
        <v>1000189270</v>
      </c>
      <c r="K1233" s="2" t="s">
        <v>34</v>
      </c>
      <c r="L1233" s="4" t="s">
        <v>22</v>
      </c>
      <c r="M1233" s="4" t="str">
        <f t="shared" si="294"/>
        <v>1000184670100018619710001898091000189270S GLUTEN</v>
      </c>
      <c r="N1233" s="28">
        <f>N1220*_xlfn.XLOOKUP($L1233,'Balizador da Meta'!$B$4:$B$21,'Balizador da Meta'!$C$4:$C$21)</f>
        <v>216</v>
      </c>
      <c r="O1233" s="28">
        <f>O1220*_xlfn.XLOOKUP($L1233,'Balizador da Meta'!$B$4:$B$21,'Balizador da Meta'!$C$4:$C$21)</f>
        <v>240</v>
      </c>
      <c r="P1233" s="28">
        <f>P1220*_xlfn.XLOOKUP($L1233,'Balizador da Meta'!$B$4:$B$21,'Balizador da Meta'!$C$4:$C$21)</f>
        <v>240</v>
      </c>
      <c r="Q1233" s="28">
        <f>Q1220*_xlfn.XLOOKUP($L1233,'Balizador da Meta'!$B$4:$B$21,'Balizador da Meta'!$C$4:$C$21)</f>
        <v>240</v>
      </c>
      <c r="R1233" s="28">
        <f>R1220*_xlfn.XLOOKUP($L1233,'Balizador da Meta'!$B$4:$B$21,'Balizador da Meta'!$C$4:$C$21)</f>
        <v>240</v>
      </c>
      <c r="S1233" s="28">
        <f>S1220*_xlfn.XLOOKUP($L1233,'Balizador da Meta'!$B$4:$B$21,'Balizador da Meta'!$C$4:$C$21)</f>
        <v>240</v>
      </c>
      <c r="T1233" s="28">
        <f>T1220*_xlfn.XLOOKUP($L1233,'Balizador da Meta'!$B$4:$B$21,'Balizador da Meta'!$C$4:$C$21)</f>
        <v>264</v>
      </c>
      <c r="U1233" s="28">
        <f>U1220*_xlfn.XLOOKUP($L1233,'Balizador da Meta'!$B$4:$B$21,'Balizador da Meta'!$C$4:$C$21)</f>
        <v>264</v>
      </c>
      <c r="V1233" s="28">
        <f>V1220*_xlfn.XLOOKUP($L1233,'Balizador da Meta'!$B$4:$B$21,'Balizador da Meta'!$C$4:$C$21)</f>
        <v>264</v>
      </c>
      <c r="W1233" s="28">
        <f>W1220*_xlfn.XLOOKUP($L1233,'Balizador da Meta'!$B$4:$B$21,'Balizador da Meta'!$C$4:$C$21)</f>
        <v>264</v>
      </c>
      <c r="X1233" s="28">
        <f>X1220*_xlfn.XLOOKUP($L1233,'Balizador da Meta'!$B$4:$B$21,'Balizador da Meta'!$C$4:$C$21)</f>
        <v>264</v>
      </c>
      <c r="Y1233" s="28">
        <f>Y1220*_xlfn.XLOOKUP($L1233,'Balizador da Meta'!$B$4:$B$21,'Balizador da Meta'!$C$4:$C$21)</f>
        <v>288</v>
      </c>
      <c r="Z1233" s="30">
        <f t="shared" si="295"/>
        <v>3024</v>
      </c>
      <c r="AA1233" s="29"/>
      <c r="AB1233" s="31">
        <f>SUMIFS('Historico - FAT'!AK:AK,'Historico - FAT'!$K:$K,Faturamento!$L1233,'Historico - FAT'!$I:$I,Faturamento!$J1233,'Historico - FAT'!$G:$G,Faturamento!$H1233)</f>
        <v>192.1</v>
      </c>
      <c r="AC1233" s="31">
        <f>SUMIFS('Historico - FAT'!AL:AL,'Historico - FAT'!$K:$K,Faturamento!$L1233,'Historico - FAT'!$I:$I,Faturamento!$J1233,'Historico - FAT'!$G:$G,Faturamento!$H1233)</f>
        <v>58.162500000000001</v>
      </c>
      <c r="AD1233" s="31">
        <f>SUMIFS('Historico - FAT'!AM:AM,'Historico - FAT'!$K:$K,Faturamento!$L1233,'Historico - FAT'!$I:$I,Faturamento!$J1233,'Historico - FAT'!$G:$G,Faturamento!$H1233)</f>
        <v>90.17</v>
      </c>
      <c r="AE1233" s="27">
        <f>SUMIFS('Historico - FAT'!AN:AN,'Historico - FAT'!$K:$K,Faturamento!$L1233,'Historico - FAT'!$I:$I,Faturamento!$J1233,'Historico - FAT'!$G:$G,Faturamento!$H1233)</f>
        <v>69.795000000000002</v>
      </c>
      <c r="AG1233" s="24">
        <f t="shared" si="289"/>
        <v>0.29375000000000001</v>
      </c>
      <c r="AH1233" s="24">
        <f t="shared" si="290"/>
        <v>0.78616727941176467</v>
      </c>
      <c r="AI1233" s="24">
        <f t="shared" si="291"/>
        <v>0.6684926470588235</v>
      </c>
    </row>
    <row r="1234" spans="1:35" hidden="1" x14ac:dyDescent="0.3">
      <c r="A1234" s="2" t="str">
        <f t="shared" si="287"/>
        <v>NÃO</v>
      </c>
      <c r="B1234" s="2">
        <v>1000184670</v>
      </c>
      <c r="C1234" s="2" t="s">
        <v>147</v>
      </c>
      <c r="D1234" s="4">
        <v>1000186197</v>
      </c>
      <c r="E1234" s="4" t="s">
        <v>166</v>
      </c>
      <c r="F1234" s="2">
        <v>1000185288</v>
      </c>
      <c r="G1234" s="2" t="s">
        <v>64</v>
      </c>
      <c r="H1234" s="4">
        <v>1000189809</v>
      </c>
      <c r="I1234" s="4" t="s">
        <v>92</v>
      </c>
      <c r="J1234" s="2">
        <v>1000189270</v>
      </c>
      <c r="K1234" s="2" t="s">
        <v>34</v>
      </c>
      <c r="L1234" s="4" t="s">
        <v>23</v>
      </c>
      <c r="M1234" s="4" t="str">
        <f t="shared" si="294"/>
        <v>1000184670100018619710001898091000189270SABORES DO CAMPO</v>
      </c>
      <c r="N1234" s="28">
        <f>N1220*_xlfn.XLOOKUP($L1234,'Balizador da Meta'!$B$4:$B$21,'Balizador da Meta'!$C$4:$C$21)</f>
        <v>0</v>
      </c>
      <c r="O1234" s="28">
        <f>O1220*_xlfn.XLOOKUP($L1234,'Balizador da Meta'!$B$4:$B$21,'Balizador da Meta'!$C$4:$C$21)</f>
        <v>0</v>
      </c>
      <c r="P1234" s="28">
        <f>P1220*_xlfn.XLOOKUP($L1234,'Balizador da Meta'!$B$4:$B$21,'Balizador da Meta'!$C$4:$C$21)</f>
        <v>0</v>
      </c>
      <c r="Q1234" s="28">
        <f>Q1220*_xlfn.XLOOKUP($L1234,'Balizador da Meta'!$B$4:$B$21,'Balizador da Meta'!$C$4:$C$21)</f>
        <v>0</v>
      </c>
      <c r="R1234" s="28">
        <f>R1220*_xlfn.XLOOKUP($L1234,'Balizador da Meta'!$B$4:$B$21,'Balizador da Meta'!$C$4:$C$21)</f>
        <v>0</v>
      </c>
      <c r="S1234" s="28">
        <f>S1220*_xlfn.XLOOKUP($L1234,'Balizador da Meta'!$B$4:$B$21,'Balizador da Meta'!$C$4:$C$21)</f>
        <v>0</v>
      </c>
      <c r="T1234" s="28">
        <f>T1220*_xlfn.XLOOKUP($L1234,'Balizador da Meta'!$B$4:$B$21,'Balizador da Meta'!$C$4:$C$21)</f>
        <v>0</v>
      </c>
      <c r="U1234" s="28">
        <f>U1220*_xlfn.XLOOKUP($L1234,'Balizador da Meta'!$B$4:$B$21,'Balizador da Meta'!$C$4:$C$21)</f>
        <v>0</v>
      </c>
      <c r="V1234" s="28">
        <f>V1220*_xlfn.XLOOKUP($L1234,'Balizador da Meta'!$B$4:$B$21,'Balizador da Meta'!$C$4:$C$21)</f>
        <v>0</v>
      </c>
      <c r="W1234" s="28">
        <f>W1220*_xlfn.XLOOKUP($L1234,'Balizador da Meta'!$B$4:$B$21,'Balizador da Meta'!$C$4:$C$21)</f>
        <v>0</v>
      </c>
      <c r="X1234" s="28">
        <f>X1220*_xlfn.XLOOKUP($L1234,'Balizador da Meta'!$B$4:$B$21,'Balizador da Meta'!$C$4:$C$21)</f>
        <v>0</v>
      </c>
      <c r="Y1234" s="28">
        <f>Y1220*_xlfn.XLOOKUP($L1234,'Balizador da Meta'!$B$4:$B$21,'Balizador da Meta'!$C$4:$C$21)</f>
        <v>0</v>
      </c>
      <c r="Z1234" s="30">
        <f t="shared" si="295"/>
        <v>0</v>
      </c>
      <c r="AA1234" s="29"/>
      <c r="AB1234" s="31">
        <f>SUMIFS('Historico - FAT'!AK:AK,'Historico - FAT'!$K:$K,Faturamento!$L1234,'Historico - FAT'!$I:$I,Faturamento!$J1234,'Historico - FAT'!$G:$G,Faturamento!$H1234)</f>
        <v>0</v>
      </c>
      <c r="AC1234" s="31">
        <f>SUMIFS('Historico - FAT'!AL:AL,'Historico - FAT'!$K:$K,Faturamento!$L1234,'Historico - FAT'!$I:$I,Faturamento!$J1234,'Historico - FAT'!$G:$G,Faturamento!$H1234)</f>
        <v>34.775833333333331</v>
      </c>
      <c r="AD1234" s="31">
        <f>SUMIFS('Historico - FAT'!AM:AM,'Historico - FAT'!$K:$K,Faturamento!$L1234,'Historico - FAT'!$I:$I,Faturamento!$J1234,'Historico - FAT'!$G:$G,Faturamento!$H1234)</f>
        <v>3.7516666666666669</v>
      </c>
      <c r="AE1234" s="27">
        <f>SUMIFS('Historico - FAT'!AN:AN,'Historico - FAT'!$K:$K,Faturamento!$L1234,'Historico - FAT'!$I:$I,Faturamento!$J1234,'Historico - FAT'!$G:$G,Faturamento!$H1234)</f>
        <v>41.731000000000002</v>
      </c>
      <c r="AG1234" s="24" t="str">
        <f t="shared" si="289"/>
        <v/>
      </c>
      <c r="AH1234" s="24" t="str">
        <f t="shared" si="290"/>
        <v/>
      </c>
      <c r="AI1234" s="24" t="str">
        <f t="shared" si="291"/>
        <v/>
      </c>
    </row>
    <row r="1235" spans="1:35" hidden="1" x14ac:dyDescent="0.3">
      <c r="A1235" s="2" t="str">
        <f t="shared" si="287"/>
        <v>NÃO</v>
      </c>
      <c r="B1235" s="2">
        <v>1000184670</v>
      </c>
      <c r="C1235" s="2" t="s">
        <v>147</v>
      </c>
      <c r="D1235" s="4">
        <v>1000186197</v>
      </c>
      <c r="E1235" s="4" t="s">
        <v>166</v>
      </c>
      <c r="F1235" s="2">
        <v>1000185288</v>
      </c>
      <c r="G1235" s="2" t="s">
        <v>64</v>
      </c>
      <c r="H1235" s="4">
        <v>1000189809</v>
      </c>
      <c r="I1235" s="4" t="s">
        <v>92</v>
      </c>
      <c r="J1235" s="2">
        <v>1000189270</v>
      </c>
      <c r="K1235" s="2" t="s">
        <v>34</v>
      </c>
      <c r="L1235" s="4" t="s">
        <v>28</v>
      </c>
      <c r="M1235" s="4" t="str">
        <f t="shared" si="294"/>
        <v>1000184670100018619710001898091000189270SAL</v>
      </c>
      <c r="N1235" s="28">
        <f>N1220*_xlfn.XLOOKUP($L1235,'Balizador da Meta'!$B$4:$B$21,'Balizador da Meta'!$C$4:$C$21)</f>
        <v>108</v>
      </c>
      <c r="O1235" s="28">
        <f>O1220*_xlfn.XLOOKUP($L1235,'Balizador da Meta'!$B$4:$B$21,'Balizador da Meta'!$C$4:$C$21)</f>
        <v>120</v>
      </c>
      <c r="P1235" s="28">
        <f>P1220*_xlfn.XLOOKUP($L1235,'Balizador da Meta'!$B$4:$B$21,'Balizador da Meta'!$C$4:$C$21)</f>
        <v>120</v>
      </c>
      <c r="Q1235" s="28">
        <f>Q1220*_xlfn.XLOOKUP($L1235,'Balizador da Meta'!$B$4:$B$21,'Balizador da Meta'!$C$4:$C$21)</f>
        <v>120</v>
      </c>
      <c r="R1235" s="28">
        <f>R1220*_xlfn.XLOOKUP($L1235,'Balizador da Meta'!$B$4:$B$21,'Balizador da Meta'!$C$4:$C$21)</f>
        <v>120</v>
      </c>
      <c r="S1235" s="28">
        <f>S1220*_xlfn.XLOOKUP($L1235,'Balizador da Meta'!$B$4:$B$21,'Balizador da Meta'!$C$4:$C$21)</f>
        <v>120</v>
      </c>
      <c r="T1235" s="28">
        <f>T1220*_xlfn.XLOOKUP($L1235,'Balizador da Meta'!$B$4:$B$21,'Balizador da Meta'!$C$4:$C$21)</f>
        <v>132</v>
      </c>
      <c r="U1235" s="28">
        <f>U1220*_xlfn.XLOOKUP($L1235,'Balizador da Meta'!$B$4:$B$21,'Balizador da Meta'!$C$4:$C$21)</f>
        <v>132</v>
      </c>
      <c r="V1235" s="28">
        <f>V1220*_xlfn.XLOOKUP($L1235,'Balizador da Meta'!$B$4:$B$21,'Balizador da Meta'!$C$4:$C$21)</f>
        <v>132</v>
      </c>
      <c r="W1235" s="28">
        <f>W1220*_xlfn.XLOOKUP($L1235,'Balizador da Meta'!$B$4:$B$21,'Balizador da Meta'!$C$4:$C$21)</f>
        <v>132</v>
      </c>
      <c r="X1235" s="28">
        <f>X1220*_xlfn.XLOOKUP($L1235,'Balizador da Meta'!$B$4:$B$21,'Balizador da Meta'!$C$4:$C$21)</f>
        <v>132</v>
      </c>
      <c r="Y1235" s="28">
        <f>Y1220*_xlfn.XLOOKUP($L1235,'Balizador da Meta'!$B$4:$B$21,'Balizador da Meta'!$C$4:$C$21)</f>
        <v>144</v>
      </c>
      <c r="Z1235" s="30">
        <f t="shared" si="295"/>
        <v>1512</v>
      </c>
      <c r="AA1235" s="29"/>
      <c r="AB1235" s="31">
        <f>SUMIFS('Historico - FAT'!AK:AK,'Historico - FAT'!$K:$K,Faturamento!$L1235,'Historico - FAT'!$I:$I,Faturamento!$J1235,'Historico - FAT'!$G:$G,Faturamento!$H1235)</f>
        <v>18.12</v>
      </c>
      <c r="AC1235" s="31">
        <f>SUMIFS('Historico - FAT'!AL:AL,'Historico - FAT'!$K:$K,Faturamento!$L1235,'Historico - FAT'!$I:$I,Faturamento!$J1235,'Historico - FAT'!$G:$G,Faturamento!$H1235)</f>
        <v>0</v>
      </c>
      <c r="AD1235" s="31">
        <f>SUMIFS('Historico - FAT'!AM:AM,'Historico - FAT'!$K:$K,Faturamento!$L1235,'Historico - FAT'!$I:$I,Faturamento!$J1235,'Historico - FAT'!$G:$G,Faturamento!$H1235)</f>
        <v>0</v>
      </c>
      <c r="AE1235" s="27">
        <f>SUMIFS('Historico - FAT'!AN:AN,'Historico - FAT'!$K:$K,Faturamento!$L1235,'Historico - FAT'!$I:$I,Faturamento!$J1235,'Historico - FAT'!$G:$G,Faturamento!$H1235)</f>
        <v>0</v>
      </c>
      <c r="AG1235" s="24">
        <f t="shared" si="289"/>
        <v>0.86676470588235288</v>
      </c>
      <c r="AH1235" s="24">
        <f t="shared" si="290"/>
        <v>1</v>
      </c>
      <c r="AI1235" s="24">
        <f t="shared" si="291"/>
        <v>1</v>
      </c>
    </row>
    <row r="1236" spans="1:35" hidden="1" x14ac:dyDescent="0.3">
      <c r="A1236" s="2" t="str">
        <f t="shared" si="287"/>
        <v>NÃO</v>
      </c>
      <c r="B1236" s="2">
        <v>1000184670</v>
      </c>
      <c r="C1236" s="2" t="s">
        <v>147</v>
      </c>
      <c r="D1236" s="4">
        <v>1000186197</v>
      </c>
      <c r="E1236" s="4" t="s">
        <v>166</v>
      </c>
      <c r="F1236" s="2">
        <v>1000185288</v>
      </c>
      <c r="G1236" s="2" t="s">
        <v>64</v>
      </c>
      <c r="H1236" s="4">
        <v>1000189809</v>
      </c>
      <c r="I1236" s="4" t="s">
        <v>92</v>
      </c>
      <c r="J1236" s="2">
        <v>1000189270</v>
      </c>
      <c r="K1236" s="2" t="s">
        <v>34</v>
      </c>
      <c r="L1236" s="4" t="s">
        <v>26</v>
      </c>
      <c r="M1236" s="4" t="str">
        <f t="shared" si="294"/>
        <v>1000184670100018619710001898091000189270SOULPRO</v>
      </c>
      <c r="N1236" s="28">
        <f>N1220*_xlfn.XLOOKUP($L1236,'Balizador da Meta'!$B$4:$B$21,'Balizador da Meta'!$C$4:$C$21)</f>
        <v>324</v>
      </c>
      <c r="O1236" s="28">
        <f>O1220*_xlfn.XLOOKUP($L1236,'Balizador da Meta'!$B$4:$B$21,'Balizador da Meta'!$C$4:$C$21)</f>
        <v>360</v>
      </c>
      <c r="P1236" s="28">
        <f>P1220*_xlfn.XLOOKUP($L1236,'Balizador da Meta'!$B$4:$B$21,'Balizador da Meta'!$C$4:$C$21)</f>
        <v>360</v>
      </c>
      <c r="Q1236" s="28">
        <f>Q1220*_xlfn.XLOOKUP($L1236,'Balizador da Meta'!$B$4:$B$21,'Balizador da Meta'!$C$4:$C$21)</f>
        <v>360</v>
      </c>
      <c r="R1236" s="28">
        <f>R1220*_xlfn.XLOOKUP($L1236,'Balizador da Meta'!$B$4:$B$21,'Balizador da Meta'!$C$4:$C$21)</f>
        <v>360</v>
      </c>
      <c r="S1236" s="28">
        <f>S1220*_xlfn.XLOOKUP($L1236,'Balizador da Meta'!$B$4:$B$21,'Balizador da Meta'!$C$4:$C$21)</f>
        <v>360</v>
      </c>
      <c r="T1236" s="28">
        <f>T1220*_xlfn.XLOOKUP($L1236,'Balizador da Meta'!$B$4:$B$21,'Balizador da Meta'!$C$4:$C$21)</f>
        <v>396</v>
      </c>
      <c r="U1236" s="28">
        <f>U1220*_xlfn.XLOOKUP($L1236,'Balizador da Meta'!$B$4:$B$21,'Balizador da Meta'!$C$4:$C$21)</f>
        <v>396</v>
      </c>
      <c r="V1236" s="28">
        <f>V1220*_xlfn.XLOOKUP($L1236,'Balizador da Meta'!$B$4:$B$21,'Balizador da Meta'!$C$4:$C$21)</f>
        <v>396</v>
      </c>
      <c r="W1236" s="28">
        <f>W1220*_xlfn.XLOOKUP($L1236,'Balizador da Meta'!$B$4:$B$21,'Balizador da Meta'!$C$4:$C$21)</f>
        <v>396</v>
      </c>
      <c r="X1236" s="28">
        <f>X1220*_xlfn.XLOOKUP($L1236,'Balizador da Meta'!$B$4:$B$21,'Balizador da Meta'!$C$4:$C$21)</f>
        <v>396</v>
      </c>
      <c r="Y1236" s="28">
        <f>Y1220*_xlfn.XLOOKUP($L1236,'Balizador da Meta'!$B$4:$B$21,'Balizador da Meta'!$C$4:$C$21)</f>
        <v>432</v>
      </c>
      <c r="Z1236" s="30">
        <f t="shared" si="295"/>
        <v>4536</v>
      </c>
      <c r="AA1236" s="29"/>
      <c r="AB1236" s="31">
        <f>SUMIFS('Historico - FAT'!AK:AK,'Historico - FAT'!$K:$K,Faturamento!$L1236,'Historico - FAT'!$I:$I,Faturamento!$J1236,'Historico - FAT'!$G:$G,Faturamento!$H1236)</f>
        <v>79.167500000000004</v>
      </c>
      <c r="AC1236" s="31">
        <f>SUMIFS('Historico - FAT'!AL:AL,'Historico - FAT'!$K:$K,Faturamento!$L1236,'Historico - FAT'!$I:$I,Faturamento!$J1236,'Historico - FAT'!$G:$G,Faturamento!$H1236)</f>
        <v>104.71750000000002</v>
      </c>
      <c r="AD1236" s="31">
        <f>SUMIFS('Historico - FAT'!AM:AM,'Historico - FAT'!$K:$K,Faturamento!$L1236,'Historico - FAT'!$I:$I,Faturamento!$J1236,'Historico - FAT'!$G:$G,Faturamento!$H1236)</f>
        <v>51.1</v>
      </c>
      <c r="AE1236" s="27">
        <f>SUMIFS('Historico - FAT'!AN:AN,'Historico - FAT'!$K:$K,Faturamento!$L1236,'Historico - FAT'!$I:$I,Faturamento!$J1236,'Historico - FAT'!$G:$G,Faturamento!$H1236)</f>
        <v>30.660000000000004</v>
      </c>
      <c r="AG1236" s="24">
        <f t="shared" si="289"/>
        <v>0.80596200980392152</v>
      </c>
      <c r="AH1236" s="24">
        <f t="shared" si="290"/>
        <v>0.74333946078431368</v>
      </c>
      <c r="AI1236" s="24">
        <f t="shared" si="291"/>
        <v>0.8747549019607842</v>
      </c>
    </row>
    <row r="1237" spans="1:35" hidden="1" x14ac:dyDescent="0.3">
      <c r="A1237" s="2" t="str">
        <f t="shared" si="287"/>
        <v>NÃO</v>
      </c>
      <c r="B1237" s="2">
        <v>1000184670</v>
      </c>
      <c r="C1237" s="2" t="s">
        <v>147</v>
      </c>
      <c r="D1237" s="4">
        <v>1000186197</v>
      </c>
      <c r="E1237" s="4" t="s">
        <v>166</v>
      </c>
      <c r="F1237" s="2">
        <v>1000185288</v>
      </c>
      <c r="G1237" s="2" t="s">
        <v>64</v>
      </c>
      <c r="H1237" s="4">
        <v>1000189809</v>
      </c>
      <c r="I1237" s="4" t="s">
        <v>92</v>
      </c>
      <c r="J1237" s="2">
        <v>1000189270</v>
      </c>
      <c r="K1237" s="2" t="s">
        <v>34</v>
      </c>
      <c r="L1237" s="4" t="s">
        <v>27</v>
      </c>
      <c r="M1237" s="4" t="str">
        <f t="shared" si="294"/>
        <v>1000184670100018619710001898091000189270TAMARA</v>
      </c>
      <c r="N1237" s="28">
        <f>N1220*_xlfn.XLOOKUP($L1237,'Balizador da Meta'!$B$4:$B$21,'Balizador da Meta'!$C$4:$C$21)</f>
        <v>432</v>
      </c>
      <c r="O1237" s="28">
        <f>O1220*_xlfn.XLOOKUP($L1237,'Balizador da Meta'!$B$4:$B$21,'Balizador da Meta'!$C$4:$C$21)</f>
        <v>480</v>
      </c>
      <c r="P1237" s="28">
        <f>P1220*_xlfn.XLOOKUP($L1237,'Balizador da Meta'!$B$4:$B$21,'Balizador da Meta'!$C$4:$C$21)</f>
        <v>480</v>
      </c>
      <c r="Q1237" s="28">
        <f>Q1220*_xlfn.XLOOKUP($L1237,'Balizador da Meta'!$B$4:$B$21,'Balizador da Meta'!$C$4:$C$21)</f>
        <v>480</v>
      </c>
      <c r="R1237" s="28">
        <f>R1220*_xlfn.XLOOKUP($L1237,'Balizador da Meta'!$B$4:$B$21,'Balizador da Meta'!$C$4:$C$21)</f>
        <v>480</v>
      </c>
      <c r="S1237" s="28">
        <f>S1220*_xlfn.XLOOKUP($L1237,'Balizador da Meta'!$B$4:$B$21,'Balizador da Meta'!$C$4:$C$21)</f>
        <v>480</v>
      </c>
      <c r="T1237" s="28">
        <f>T1220*_xlfn.XLOOKUP($L1237,'Balizador da Meta'!$B$4:$B$21,'Balizador da Meta'!$C$4:$C$21)</f>
        <v>528</v>
      </c>
      <c r="U1237" s="28">
        <f>U1220*_xlfn.XLOOKUP($L1237,'Balizador da Meta'!$B$4:$B$21,'Balizador da Meta'!$C$4:$C$21)</f>
        <v>528</v>
      </c>
      <c r="V1237" s="28">
        <f>V1220*_xlfn.XLOOKUP($L1237,'Balizador da Meta'!$B$4:$B$21,'Balizador da Meta'!$C$4:$C$21)</f>
        <v>528</v>
      </c>
      <c r="W1237" s="28">
        <f>W1220*_xlfn.XLOOKUP($L1237,'Balizador da Meta'!$B$4:$B$21,'Balizador da Meta'!$C$4:$C$21)</f>
        <v>528</v>
      </c>
      <c r="X1237" s="28">
        <f>X1220*_xlfn.XLOOKUP($L1237,'Balizador da Meta'!$B$4:$B$21,'Balizador da Meta'!$C$4:$C$21)</f>
        <v>528</v>
      </c>
      <c r="Y1237" s="28">
        <f>Y1220*_xlfn.XLOOKUP($L1237,'Balizador da Meta'!$B$4:$B$21,'Balizador da Meta'!$C$4:$C$21)</f>
        <v>576</v>
      </c>
      <c r="Z1237" s="30">
        <f t="shared" si="295"/>
        <v>6048</v>
      </c>
      <c r="AA1237" s="29"/>
      <c r="AB1237" s="31">
        <f>SUMIFS('Historico - FAT'!AK:AK,'Historico - FAT'!$K:$K,Faturamento!$L1237,'Historico - FAT'!$I:$I,Faturamento!$J1237,'Historico - FAT'!$G:$G,Faturamento!$H1237)</f>
        <v>0</v>
      </c>
      <c r="AC1237" s="31">
        <f>SUMIFS('Historico - FAT'!AL:AL,'Historico - FAT'!$K:$K,Faturamento!$L1237,'Historico - FAT'!$I:$I,Faturamento!$J1237,'Historico - FAT'!$G:$G,Faturamento!$H1237)</f>
        <v>3.4</v>
      </c>
      <c r="AD1237" s="31">
        <f>SUMIFS('Historico - FAT'!AM:AM,'Historico - FAT'!$K:$K,Faturamento!$L1237,'Historico - FAT'!$I:$I,Faturamento!$J1237,'Historico - FAT'!$G:$G,Faturamento!$H1237)</f>
        <v>6.8</v>
      </c>
      <c r="AE1237" s="27">
        <f>SUMIFS('Historico - FAT'!AN:AN,'Historico - FAT'!$K:$K,Faturamento!$L1237,'Historico - FAT'!$I:$I,Faturamento!$J1237,'Historico - FAT'!$G:$G,Faturamento!$H1237)</f>
        <v>4.08</v>
      </c>
      <c r="AG1237" s="24">
        <f t="shared" si="289"/>
        <v>1</v>
      </c>
      <c r="AH1237" s="24">
        <f t="shared" si="290"/>
        <v>0.99375000000000002</v>
      </c>
      <c r="AI1237" s="24">
        <f t="shared" si="291"/>
        <v>0.98750000000000004</v>
      </c>
    </row>
    <row r="1238" spans="1:35" hidden="1" x14ac:dyDescent="0.3">
      <c r="A1238" s="2" t="str">
        <f t="shared" si="287"/>
        <v>NÃO</v>
      </c>
      <c r="B1238" s="2">
        <v>1000184670</v>
      </c>
      <c r="C1238" s="2" t="s">
        <v>147</v>
      </c>
      <c r="D1238" s="4">
        <v>1000186197</v>
      </c>
      <c r="E1238" s="4" t="s">
        <v>166</v>
      </c>
      <c r="F1238" s="2">
        <v>1000185288</v>
      </c>
      <c r="G1238" s="2" t="s">
        <v>64</v>
      </c>
      <c r="H1238" s="4">
        <v>1000189809</v>
      </c>
      <c r="I1238" s="4" t="s">
        <v>92</v>
      </c>
      <c r="J1238" s="2">
        <v>1000189270</v>
      </c>
      <c r="K1238" s="2" t="s">
        <v>34</v>
      </c>
      <c r="L1238" s="4" t="s">
        <v>25</v>
      </c>
      <c r="M1238" s="4" t="str">
        <f t="shared" si="294"/>
        <v>1000184670100018619710001898091000189270VICCIO</v>
      </c>
      <c r="N1238" s="28">
        <f>N1220*_xlfn.XLOOKUP($L1238,'Balizador da Meta'!$B$4:$B$21,'Balizador da Meta'!$C$4:$C$21)</f>
        <v>162</v>
      </c>
      <c r="O1238" s="28">
        <f>O1220*_xlfn.XLOOKUP($L1238,'Balizador da Meta'!$B$4:$B$21,'Balizador da Meta'!$C$4:$C$21)</f>
        <v>180</v>
      </c>
      <c r="P1238" s="28">
        <f>P1220*_xlfn.XLOOKUP($L1238,'Balizador da Meta'!$B$4:$B$21,'Balizador da Meta'!$C$4:$C$21)</f>
        <v>180</v>
      </c>
      <c r="Q1238" s="28">
        <f>Q1220*_xlfn.XLOOKUP($L1238,'Balizador da Meta'!$B$4:$B$21,'Balizador da Meta'!$C$4:$C$21)</f>
        <v>180</v>
      </c>
      <c r="R1238" s="28">
        <f>R1220*_xlfn.XLOOKUP($L1238,'Balizador da Meta'!$B$4:$B$21,'Balizador da Meta'!$C$4:$C$21)</f>
        <v>180</v>
      </c>
      <c r="S1238" s="28">
        <f>S1220*_xlfn.XLOOKUP($L1238,'Balizador da Meta'!$B$4:$B$21,'Balizador da Meta'!$C$4:$C$21)</f>
        <v>180</v>
      </c>
      <c r="T1238" s="28">
        <f>T1220*_xlfn.XLOOKUP($L1238,'Balizador da Meta'!$B$4:$B$21,'Balizador da Meta'!$C$4:$C$21)</f>
        <v>198</v>
      </c>
      <c r="U1238" s="28">
        <f>U1220*_xlfn.XLOOKUP($L1238,'Balizador da Meta'!$B$4:$B$21,'Balizador da Meta'!$C$4:$C$21)</f>
        <v>198</v>
      </c>
      <c r="V1238" s="28">
        <f>V1220*_xlfn.XLOOKUP($L1238,'Balizador da Meta'!$B$4:$B$21,'Balizador da Meta'!$C$4:$C$21)</f>
        <v>198</v>
      </c>
      <c r="W1238" s="28">
        <f>W1220*_xlfn.XLOOKUP($L1238,'Balizador da Meta'!$B$4:$B$21,'Balizador da Meta'!$C$4:$C$21)</f>
        <v>198</v>
      </c>
      <c r="X1238" s="28">
        <f>X1220*_xlfn.XLOOKUP($L1238,'Balizador da Meta'!$B$4:$B$21,'Balizador da Meta'!$C$4:$C$21)</f>
        <v>198</v>
      </c>
      <c r="Y1238" s="28">
        <f>Y1220*_xlfn.XLOOKUP($L1238,'Balizador da Meta'!$B$4:$B$21,'Balizador da Meta'!$C$4:$C$21)</f>
        <v>216</v>
      </c>
      <c r="Z1238" s="30">
        <f t="shared" si="295"/>
        <v>2268</v>
      </c>
      <c r="AA1238" s="29"/>
      <c r="AB1238" s="31">
        <f>SUMIFS('Historico - FAT'!AK:AK,'Historico - FAT'!$K:$K,Faturamento!$L1238,'Historico - FAT'!$I:$I,Faturamento!$J1238,'Historico - FAT'!$G:$G,Faturamento!$H1238)</f>
        <v>12.54</v>
      </c>
      <c r="AC1238" s="31">
        <f>SUMIFS('Historico - FAT'!AL:AL,'Historico - FAT'!$K:$K,Faturamento!$L1238,'Historico - FAT'!$I:$I,Faturamento!$J1238,'Historico - FAT'!$G:$G,Faturamento!$H1238)</f>
        <v>37.800000000000004</v>
      </c>
      <c r="AD1238" s="31">
        <f>SUMIFS('Historico - FAT'!AM:AM,'Historico - FAT'!$K:$K,Faturamento!$L1238,'Historico - FAT'!$I:$I,Faturamento!$J1238,'Historico - FAT'!$G:$G,Faturamento!$H1238)</f>
        <v>61.5</v>
      </c>
      <c r="AE1238" s="27">
        <f>SUMIFS('Historico - FAT'!AN:AN,'Historico - FAT'!$K:$K,Faturamento!$L1238,'Historico - FAT'!$I:$I,Faturamento!$J1238,'Historico - FAT'!$G:$G,Faturamento!$H1238)</f>
        <v>45.36</v>
      </c>
      <c r="AG1238" s="24">
        <f t="shared" si="289"/>
        <v>0.93852941176470595</v>
      </c>
      <c r="AH1238" s="24">
        <f t="shared" si="290"/>
        <v>0.81470588235294117</v>
      </c>
      <c r="AI1238" s="24">
        <f t="shared" si="291"/>
        <v>0.69852941176470584</v>
      </c>
    </row>
    <row r="1239" spans="1:35" x14ac:dyDescent="0.3">
      <c r="A1239" s="2" t="str">
        <f t="shared" si="287"/>
        <v>SIM</v>
      </c>
      <c r="B1239" s="2">
        <v>1000184670</v>
      </c>
      <c r="C1239" s="2" t="s">
        <v>147</v>
      </c>
      <c r="D1239" s="4">
        <v>1000186197</v>
      </c>
      <c r="E1239" s="4" t="s">
        <v>166</v>
      </c>
      <c r="F1239" s="2">
        <v>1000185288</v>
      </c>
      <c r="G1239" s="2" t="s">
        <v>64</v>
      </c>
      <c r="H1239" s="4">
        <v>1000189810</v>
      </c>
      <c r="I1239" s="4" t="s">
        <v>96</v>
      </c>
      <c r="J1239" s="2">
        <v>1000189270</v>
      </c>
      <c r="K1239" s="2" t="s">
        <v>34</v>
      </c>
      <c r="L1239" s="4" t="s">
        <v>124</v>
      </c>
      <c r="M1239" s="4" t="str">
        <f t="shared" si="294"/>
        <v>100018467010001861971000189810100018927001. TOTAL</v>
      </c>
      <c r="N1239" s="28">
        <f>SUMIFS(Positivação!L:L,Positivação!$I:$I,Faturamento!$J1239,Positivação!$G:$G,Faturamento!$H1239)*SUMIFS(Positivação!$Z:$Z,Positivação!$I:$I,Faturamento!$J1239,Positivação!$G:$G,Faturamento!$H1239)</f>
        <v>5400</v>
      </c>
      <c r="O1239" s="28">
        <f>SUMIFS(Positivação!M:M,Positivação!$I:$I,Faturamento!$J1239,Positivação!$G:$G,Faturamento!$H1239)*SUMIFS(Positivação!$Z:$Z,Positivação!$I:$I,Faturamento!$J1239,Positivação!$G:$G,Faturamento!$H1239)</f>
        <v>5400</v>
      </c>
      <c r="P1239" s="28">
        <f>SUMIFS(Positivação!N:N,Positivação!$I:$I,Faturamento!$J1239,Positivação!$G:$G,Faturamento!$H1239)*SUMIFS(Positivação!$Z:$Z,Positivação!$I:$I,Faturamento!$J1239,Positivação!$G:$G,Faturamento!$H1239)</f>
        <v>6000</v>
      </c>
      <c r="Q1239" s="28">
        <f>SUMIFS(Positivação!O:O,Positivação!$I:$I,Faturamento!$J1239,Positivação!$G:$G,Faturamento!$H1239)*SUMIFS(Positivação!$Z:$Z,Positivação!$I:$I,Faturamento!$J1239,Positivação!$G:$G,Faturamento!$H1239)</f>
        <v>6000</v>
      </c>
      <c r="R1239" s="28">
        <f>SUMIFS(Positivação!P:P,Positivação!$I:$I,Faturamento!$J1239,Positivação!$G:$G,Faturamento!$H1239)*SUMIFS(Positivação!$Z:$Z,Positivação!$I:$I,Faturamento!$J1239,Positivação!$G:$G,Faturamento!$H1239)</f>
        <v>6000</v>
      </c>
      <c r="S1239" s="28">
        <f>SUMIFS(Positivação!Q:Q,Positivação!$I:$I,Faturamento!$J1239,Positivação!$G:$G,Faturamento!$H1239)*SUMIFS(Positivação!$Z:$Z,Positivação!$I:$I,Faturamento!$J1239,Positivação!$G:$G,Faturamento!$H1239)</f>
        <v>6000</v>
      </c>
      <c r="T1239" s="28">
        <f>SUMIFS(Positivação!R:R,Positivação!$I:$I,Faturamento!$J1239,Positivação!$G:$G,Faturamento!$H1239)*SUMIFS(Positivação!$Z:$Z,Positivação!$I:$I,Faturamento!$J1239,Positivação!$G:$G,Faturamento!$H1239)</f>
        <v>6000</v>
      </c>
      <c r="U1239" s="28">
        <f>SUMIFS(Positivação!S:S,Positivação!$I:$I,Faturamento!$J1239,Positivação!$G:$G,Faturamento!$H1239)*SUMIFS(Positivação!$Z:$Z,Positivação!$I:$I,Faturamento!$J1239,Positivação!$G:$G,Faturamento!$H1239)</f>
        <v>6600</v>
      </c>
      <c r="V1239" s="28">
        <f>SUMIFS(Positivação!T:T,Positivação!$I:$I,Faturamento!$J1239,Positivação!$G:$G,Faturamento!$H1239)*SUMIFS(Positivação!$Z:$Z,Positivação!$I:$I,Faturamento!$J1239,Positivação!$G:$G,Faturamento!$H1239)</f>
        <v>6600</v>
      </c>
      <c r="W1239" s="28">
        <f>SUMIFS(Positivação!U:U,Positivação!$I:$I,Faturamento!$J1239,Positivação!$G:$G,Faturamento!$H1239)*SUMIFS(Positivação!$Z:$Z,Positivação!$I:$I,Faturamento!$J1239,Positivação!$G:$G,Faturamento!$H1239)</f>
        <v>6600</v>
      </c>
      <c r="X1239" s="28">
        <f>SUMIFS(Positivação!V:V,Positivação!$I:$I,Faturamento!$J1239,Positivação!$G:$G,Faturamento!$H1239)*SUMIFS(Positivação!$Z:$Z,Positivação!$I:$I,Faturamento!$J1239,Positivação!$G:$G,Faturamento!$H1239)</f>
        <v>6600</v>
      </c>
      <c r="Y1239" s="28">
        <f>SUMIFS(Positivação!W:W,Positivação!$I:$I,Faturamento!$J1239,Positivação!$G:$G,Faturamento!$H1239)*SUMIFS(Positivação!$Z:$Z,Positivação!$I:$I,Faturamento!$J1239,Positivação!$G:$G,Faturamento!$H1239)</f>
        <v>6600</v>
      </c>
      <c r="Z1239" s="28">
        <f t="shared" ref="Z1239" si="296">SUM(Z1240:Z1257)</f>
        <v>73800</v>
      </c>
      <c r="AA1239" s="29"/>
      <c r="AB1239" s="28">
        <f t="shared" ref="AB1239:AE1239" si="297">SUM(AB1240:AB1257)</f>
        <v>154.66666666666666</v>
      </c>
      <c r="AC1239" s="28">
        <f t="shared" si="297"/>
        <v>2267.5825</v>
      </c>
      <c r="AD1239" s="28">
        <f t="shared" si="297"/>
        <v>4291.6933333333336</v>
      </c>
      <c r="AE1239" s="28">
        <f t="shared" si="297"/>
        <v>2721.0989999999997</v>
      </c>
      <c r="AG1239" s="24">
        <f t="shared" si="289"/>
        <v>0.97656565656565653</v>
      </c>
      <c r="AH1239" s="24">
        <f t="shared" si="290"/>
        <v>0.65642689393939391</v>
      </c>
      <c r="AI1239" s="24">
        <f t="shared" si="291"/>
        <v>0.3497434343434343</v>
      </c>
    </row>
    <row r="1240" spans="1:35" hidden="1" x14ac:dyDescent="0.3">
      <c r="A1240" s="2" t="str">
        <f t="shared" si="287"/>
        <v>NÃO</v>
      </c>
      <c r="B1240" s="2">
        <v>1000184670</v>
      </c>
      <c r="C1240" s="2" t="s">
        <v>147</v>
      </c>
      <c r="D1240" s="4">
        <v>1000186197</v>
      </c>
      <c r="E1240" s="4" t="s">
        <v>166</v>
      </c>
      <c r="F1240" s="2">
        <v>1000185288</v>
      </c>
      <c r="G1240" s="2" t="s">
        <v>64</v>
      </c>
      <c r="H1240" s="4">
        <v>1000189810</v>
      </c>
      <c r="I1240" s="4" t="s">
        <v>96</v>
      </c>
      <c r="J1240" s="2">
        <v>1000189270</v>
      </c>
      <c r="K1240" s="2" t="s">
        <v>34</v>
      </c>
      <c r="L1240" s="4" t="s">
        <v>13</v>
      </c>
      <c r="M1240" s="4" t="str">
        <f t="shared" si="294"/>
        <v>1000184670100018619710001898101000189270BISCOITO</v>
      </c>
      <c r="N1240" s="28">
        <f>N1239*_xlfn.XLOOKUP($L1240,'Balizador da Meta'!$B$4:$B$21,'Balizador da Meta'!$C$4:$C$21)</f>
        <v>378.00000000000006</v>
      </c>
      <c r="O1240" s="28">
        <f>O1239*_xlfn.XLOOKUP($L1240,'Balizador da Meta'!$B$4:$B$21,'Balizador da Meta'!$C$4:$C$21)</f>
        <v>378.00000000000006</v>
      </c>
      <c r="P1240" s="28">
        <f>P1239*_xlfn.XLOOKUP($L1240,'Balizador da Meta'!$B$4:$B$21,'Balizador da Meta'!$C$4:$C$21)</f>
        <v>420.00000000000006</v>
      </c>
      <c r="Q1240" s="28">
        <f>Q1239*_xlfn.XLOOKUP($L1240,'Balizador da Meta'!$B$4:$B$21,'Balizador da Meta'!$C$4:$C$21)</f>
        <v>420.00000000000006</v>
      </c>
      <c r="R1240" s="28">
        <f>R1239*_xlfn.XLOOKUP($L1240,'Balizador da Meta'!$B$4:$B$21,'Balizador da Meta'!$C$4:$C$21)</f>
        <v>420.00000000000006</v>
      </c>
      <c r="S1240" s="28">
        <f>S1239*_xlfn.XLOOKUP($L1240,'Balizador da Meta'!$B$4:$B$21,'Balizador da Meta'!$C$4:$C$21)</f>
        <v>420.00000000000006</v>
      </c>
      <c r="T1240" s="28">
        <f>T1239*_xlfn.XLOOKUP($L1240,'Balizador da Meta'!$B$4:$B$21,'Balizador da Meta'!$C$4:$C$21)</f>
        <v>420.00000000000006</v>
      </c>
      <c r="U1240" s="28">
        <f>U1239*_xlfn.XLOOKUP($L1240,'Balizador da Meta'!$B$4:$B$21,'Balizador da Meta'!$C$4:$C$21)</f>
        <v>462.00000000000006</v>
      </c>
      <c r="V1240" s="28">
        <f>V1239*_xlfn.XLOOKUP($L1240,'Balizador da Meta'!$B$4:$B$21,'Balizador da Meta'!$C$4:$C$21)</f>
        <v>462.00000000000006</v>
      </c>
      <c r="W1240" s="28">
        <f>W1239*_xlfn.XLOOKUP($L1240,'Balizador da Meta'!$B$4:$B$21,'Balizador da Meta'!$C$4:$C$21)</f>
        <v>462.00000000000006</v>
      </c>
      <c r="X1240" s="28">
        <f>X1239*_xlfn.XLOOKUP($L1240,'Balizador da Meta'!$B$4:$B$21,'Balizador da Meta'!$C$4:$C$21)</f>
        <v>462.00000000000006</v>
      </c>
      <c r="Y1240" s="28">
        <f>Y1239*_xlfn.XLOOKUP($L1240,'Balizador da Meta'!$B$4:$B$21,'Balizador da Meta'!$C$4:$C$21)</f>
        <v>462.00000000000006</v>
      </c>
      <c r="Z1240" s="30">
        <f t="shared" ref="Z1240:Z1257" si="298">SUM(N1240:Y1240)</f>
        <v>5166.0000000000009</v>
      </c>
      <c r="AA1240" s="29"/>
      <c r="AB1240" s="31">
        <f>SUMIFS('Historico - FAT'!AK:AK,'Historico - FAT'!$K:$K,Faturamento!$L1240,'Historico - FAT'!$I:$I,Faturamento!$J1240,'Historico - FAT'!$G:$G,Faturamento!$H1240)</f>
        <v>0</v>
      </c>
      <c r="AC1240" s="31">
        <f>SUMIFS('Historico - FAT'!AL:AL,'Historico - FAT'!$K:$K,Faturamento!$L1240,'Historico - FAT'!$I:$I,Faturamento!$J1240,'Historico - FAT'!$G:$G,Faturamento!$H1240)</f>
        <v>114.64500000000002</v>
      </c>
      <c r="AD1240" s="31">
        <f>SUMIFS('Historico - FAT'!AM:AM,'Historico - FAT'!$K:$K,Faturamento!$L1240,'Historico - FAT'!$I:$I,Faturamento!$J1240,'Historico - FAT'!$G:$G,Faturamento!$H1240)</f>
        <v>229.29000000000005</v>
      </c>
      <c r="AE1240" s="27">
        <f>SUMIFS('Historico - FAT'!AN:AN,'Historico - FAT'!$K:$K,Faturamento!$L1240,'Historico - FAT'!$I:$I,Faturamento!$J1240,'Historico - FAT'!$G:$G,Faturamento!$H1240)</f>
        <v>137.57400000000001</v>
      </c>
      <c r="AG1240" s="24">
        <f t="shared" si="289"/>
        <v>1</v>
      </c>
      <c r="AH1240" s="24">
        <f t="shared" si="290"/>
        <v>0.75185064935064927</v>
      </c>
      <c r="AI1240" s="24">
        <f t="shared" si="291"/>
        <v>0.50370129870129865</v>
      </c>
    </row>
    <row r="1241" spans="1:35" hidden="1" x14ac:dyDescent="0.3">
      <c r="A1241" s="2" t="str">
        <f t="shared" si="287"/>
        <v>NÃO</v>
      </c>
      <c r="B1241" s="2">
        <v>1000184670</v>
      </c>
      <c r="C1241" s="2" t="s">
        <v>147</v>
      </c>
      <c r="D1241" s="4">
        <v>1000186197</v>
      </c>
      <c r="E1241" s="4" t="s">
        <v>166</v>
      </c>
      <c r="F1241" s="2">
        <v>1000185288</v>
      </c>
      <c r="G1241" s="2" t="s">
        <v>64</v>
      </c>
      <c r="H1241" s="4">
        <v>1000189810</v>
      </c>
      <c r="I1241" s="4" t="s">
        <v>96</v>
      </c>
      <c r="J1241" s="2">
        <v>1000189270</v>
      </c>
      <c r="K1241" s="2" t="s">
        <v>34</v>
      </c>
      <c r="L1241" s="4" t="s">
        <v>14</v>
      </c>
      <c r="M1241" s="4" t="str">
        <f t="shared" si="294"/>
        <v>1000184670100018619710001898101000189270CHOCOLATES</v>
      </c>
      <c r="N1241" s="28">
        <f>N1239*_xlfn.XLOOKUP($L1241,'Balizador da Meta'!$B$4:$B$21,'Balizador da Meta'!$C$4:$C$21)</f>
        <v>378.00000000000006</v>
      </c>
      <c r="O1241" s="28">
        <f>O1239*_xlfn.XLOOKUP($L1241,'Balizador da Meta'!$B$4:$B$21,'Balizador da Meta'!$C$4:$C$21)</f>
        <v>378.00000000000006</v>
      </c>
      <c r="P1241" s="28">
        <f>P1239*_xlfn.XLOOKUP($L1241,'Balizador da Meta'!$B$4:$B$21,'Balizador da Meta'!$C$4:$C$21)</f>
        <v>420.00000000000006</v>
      </c>
      <c r="Q1241" s="28">
        <f>Q1239*_xlfn.XLOOKUP($L1241,'Balizador da Meta'!$B$4:$B$21,'Balizador da Meta'!$C$4:$C$21)</f>
        <v>420.00000000000006</v>
      </c>
      <c r="R1241" s="28">
        <f>R1239*_xlfn.XLOOKUP($L1241,'Balizador da Meta'!$B$4:$B$21,'Balizador da Meta'!$C$4:$C$21)</f>
        <v>420.00000000000006</v>
      </c>
      <c r="S1241" s="28">
        <f>S1239*_xlfn.XLOOKUP($L1241,'Balizador da Meta'!$B$4:$B$21,'Balizador da Meta'!$C$4:$C$21)</f>
        <v>420.00000000000006</v>
      </c>
      <c r="T1241" s="28">
        <f>T1239*_xlfn.XLOOKUP($L1241,'Balizador da Meta'!$B$4:$B$21,'Balizador da Meta'!$C$4:$C$21)</f>
        <v>420.00000000000006</v>
      </c>
      <c r="U1241" s="28">
        <f>U1239*_xlfn.XLOOKUP($L1241,'Balizador da Meta'!$B$4:$B$21,'Balizador da Meta'!$C$4:$C$21)</f>
        <v>462.00000000000006</v>
      </c>
      <c r="V1241" s="28">
        <f>V1239*_xlfn.XLOOKUP($L1241,'Balizador da Meta'!$B$4:$B$21,'Balizador da Meta'!$C$4:$C$21)</f>
        <v>462.00000000000006</v>
      </c>
      <c r="W1241" s="28">
        <f>W1239*_xlfn.XLOOKUP($L1241,'Balizador da Meta'!$B$4:$B$21,'Balizador da Meta'!$C$4:$C$21)</f>
        <v>462.00000000000006</v>
      </c>
      <c r="X1241" s="28">
        <f>X1239*_xlfn.XLOOKUP($L1241,'Balizador da Meta'!$B$4:$B$21,'Balizador da Meta'!$C$4:$C$21)</f>
        <v>462.00000000000006</v>
      </c>
      <c r="Y1241" s="28">
        <f>Y1239*_xlfn.XLOOKUP($L1241,'Balizador da Meta'!$B$4:$B$21,'Balizador da Meta'!$C$4:$C$21)</f>
        <v>462.00000000000006</v>
      </c>
      <c r="Z1241" s="30">
        <f t="shared" si="298"/>
        <v>5166.0000000000009</v>
      </c>
      <c r="AA1241" s="29"/>
      <c r="AB1241" s="31">
        <f>SUMIFS('Historico - FAT'!AK:AK,'Historico - FAT'!$K:$K,Faturamento!$L1241,'Historico - FAT'!$I:$I,Faturamento!$J1241,'Historico - FAT'!$G:$G,Faturamento!$H1241)</f>
        <v>0</v>
      </c>
      <c r="AC1241" s="31">
        <f>SUMIFS('Historico - FAT'!AL:AL,'Historico - FAT'!$K:$K,Faturamento!$L1241,'Historico - FAT'!$I:$I,Faturamento!$J1241,'Historico - FAT'!$G:$G,Faturamento!$H1241)</f>
        <v>130.46833333333333</v>
      </c>
      <c r="AD1241" s="31">
        <f>SUMIFS('Historico - FAT'!AM:AM,'Historico - FAT'!$K:$K,Faturamento!$L1241,'Historico - FAT'!$I:$I,Faturamento!$J1241,'Historico - FAT'!$G:$G,Faturamento!$H1241)</f>
        <v>153.99833333333333</v>
      </c>
      <c r="AE1241" s="27">
        <f>SUMIFS('Historico - FAT'!AN:AN,'Historico - FAT'!$K:$K,Faturamento!$L1241,'Historico - FAT'!$I:$I,Faturamento!$J1241,'Historico - FAT'!$G:$G,Faturamento!$H1241)</f>
        <v>156.56199999999998</v>
      </c>
      <c r="AG1241" s="24">
        <f t="shared" si="289"/>
        <v>1</v>
      </c>
      <c r="AH1241" s="24">
        <f t="shared" si="290"/>
        <v>0.71760101010101018</v>
      </c>
      <c r="AI1241" s="24">
        <f t="shared" si="291"/>
        <v>0.66667027417027425</v>
      </c>
    </row>
    <row r="1242" spans="1:35" hidden="1" x14ac:dyDescent="0.3">
      <c r="A1242" s="2" t="str">
        <f t="shared" si="287"/>
        <v>NÃO</v>
      </c>
      <c r="B1242" s="2">
        <v>1000184670</v>
      </c>
      <c r="C1242" s="2" t="s">
        <v>147</v>
      </c>
      <c r="D1242" s="4">
        <v>1000186197</v>
      </c>
      <c r="E1242" s="4" t="s">
        <v>166</v>
      </c>
      <c r="F1242" s="2">
        <v>1000185288</v>
      </c>
      <c r="G1242" s="2" t="s">
        <v>64</v>
      </c>
      <c r="H1242" s="4">
        <v>1000189810</v>
      </c>
      <c r="I1242" s="4" t="s">
        <v>96</v>
      </c>
      <c r="J1242" s="2">
        <v>1000189270</v>
      </c>
      <c r="K1242" s="2" t="s">
        <v>34</v>
      </c>
      <c r="L1242" s="4" t="s">
        <v>16</v>
      </c>
      <c r="M1242" s="4" t="str">
        <f t="shared" si="294"/>
        <v>1000184670100018619710001898101000189270DISNEY</v>
      </c>
      <c r="N1242" s="28">
        <f>N1239*_xlfn.XLOOKUP($L1242,'Balizador da Meta'!$B$4:$B$21,'Balizador da Meta'!$C$4:$C$21)</f>
        <v>432</v>
      </c>
      <c r="O1242" s="28">
        <f>O1239*_xlfn.XLOOKUP($L1242,'Balizador da Meta'!$B$4:$B$21,'Balizador da Meta'!$C$4:$C$21)</f>
        <v>432</v>
      </c>
      <c r="P1242" s="28">
        <f>P1239*_xlfn.XLOOKUP($L1242,'Balizador da Meta'!$B$4:$B$21,'Balizador da Meta'!$C$4:$C$21)</f>
        <v>480</v>
      </c>
      <c r="Q1242" s="28">
        <f>Q1239*_xlfn.XLOOKUP($L1242,'Balizador da Meta'!$B$4:$B$21,'Balizador da Meta'!$C$4:$C$21)</f>
        <v>480</v>
      </c>
      <c r="R1242" s="28">
        <f>R1239*_xlfn.XLOOKUP($L1242,'Balizador da Meta'!$B$4:$B$21,'Balizador da Meta'!$C$4:$C$21)</f>
        <v>480</v>
      </c>
      <c r="S1242" s="28">
        <f>S1239*_xlfn.XLOOKUP($L1242,'Balizador da Meta'!$B$4:$B$21,'Balizador da Meta'!$C$4:$C$21)</f>
        <v>480</v>
      </c>
      <c r="T1242" s="28">
        <f>T1239*_xlfn.XLOOKUP($L1242,'Balizador da Meta'!$B$4:$B$21,'Balizador da Meta'!$C$4:$C$21)</f>
        <v>480</v>
      </c>
      <c r="U1242" s="28">
        <f>U1239*_xlfn.XLOOKUP($L1242,'Balizador da Meta'!$B$4:$B$21,'Balizador da Meta'!$C$4:$C$21)</f>
        <v>528</v>
      </c>
      <c r="V1242" s="28">
        <f>V1239*_xlfn.XLOOKUP($L1242,'Balizador da Meta'!$B$4:$B$21,'Balizador da Meta'!$C$4:$C$21)</f>
        <v>528</v>
      </c>
      <c r="W1242" s="28">
        <f>W1239*_xlfn.XLOOKUP($L1242,'Balizador da Meta'!$B$4:$B$21,'Balizador da Meta'!$C$4:$C$21)</f>
        <v>528</v>
      </c>
      <c r="X1242" s="28">
        <f>X1239*_xlfn.XLOOKUP($L1242,'Balizador da Meta'!$B$4:$B$21,'Balizador da Meta'!$C$4:$C$21)</f>
        <v>528</v>
      </c>
      <c r="Y1242" s="28">
        <f>Y1239*_xlfn.XLOOKUP($L1242,'Balizador da Meta'!$B$4:$B$21,'Balizador da Meta'!$C$4:$C$21)</f>
        <v>528</v>
      </c>
      <c r="Z1242" s="30">
        <f t="shared" si="298"/>
        <v>5904</v>
      </c>
      <c r="AA1242" s="29"/>
      <c r="AB1242" s="31">
        <f>SUMIFS('Historico - FAT'!AK:AK,'Historico - FAT'!$K:$K,Faturamento!$L1242,'Historico - FAT'!$I:$I,Faturamento!$J1242,'Historico - FAT'!$G:$G,Faturamento!$H1242)</f>
        <v>0</v>
      </c>
      <c r="AC1242" s="31">
        <f>SUMIFS('Historico - FAT'!AL:AL,'Historico - FAT'!$K:$K,Faturamento!$L1242,'Historico - FAT'!$I:$I,Faturamento!$J1242,'Historico - FAT'!$G:$G,Faturamento!$H1242)</f>
        <v>114.37499999999999</v>
      </c>
      <c r="AD1242" s="31">
        <f>SUMIFS('Historico - FAT'!AM:AM,'Historico - FAT'!$K:$K,Faturamento!$L1242,'Historico - FAT'!$I:$I,Faturamento!$J1242,'Historico - FAT'!$G:$G,Faturamento!$H1242)</f>
        <v>228.74999999999997</v>
      </c>
      <c r="AE1242" s="27">
        <f>SUMIFS('Historico - FAT'!AN:AN,'Historico - FAT'!$K:$K,Faturamento!$L1242,'Historico - FAT'!$I:$I,Faturamento!$J1242,'Historico - FAT'!$G:$G,Faturamento!$H1242)</f>
        <v>137.24999999999997</v>
      </c>
      <c r="AG1242" s="24">
        <f t="shared" si="289"/>
        <v>1</v>
      </c>
      <c r="AH1242" s="24">
        <f t="shared" si="290"/>
        <v>0.78338068181818177</v>
      </c>
      <c r="AI1242" s="24">
        <f t="shared" si="291"/>
        <v>0.56676136363636365</v>
      </c>
    </row>
    <row r="1243" spans="1:35" hidden="1" x14ac:dyDescent="0.3">
      <c r="A1243" s="2" t="str">
        <f t="shared" si="287"/>
        <v>NÃO</v>
      </c>
      <c r="B1243" s="2">
        <v>1000184670</v>
      </c>
      <c r="C1243" s="2" t="s">
        <v>147</v>
      </c>
      <c r="D1243" s="4">
        <v>1000186197</v>
      </c>
      <c r="E1243" s="4" t="s">
        <v>166</v>
      </c>
      <c r="F1243" s="2">
        <v>1000185288</v>
      </c>
      <c r="G1243" s="2" t="s">
        <v>64</v>
      </c>
      <c r="H1243" s="4">
        <v>1000189810</v>
      </c>
      <c r="I1243" s="4" t="s">
        <v>96</v>
      </c>
      <c r="J1243" s="2">
        <v>1000189270</v>
      </c>
      <c r="K1243" s="2" t="s">
        <v>34</v>
      </c>
      <c r="L1243" s="4" t="s">
        <v>15</v>
      </c>
      <c r="M1243" s="4" t="str">
        <f t="shared" si="294"/>
        <v>1000184670100018619710001898101000189270DOCES</v>
      </c>
      <c r="N1243" s="28">
        <f>N1239*_xlfn.XLOOKUP($L1243,'Balizador da Meta'!$B$4:$B$21,'Balizador da Meta'!$C$4:$C$21)</f>
        <v>486</v>
      </c>
      <c r="O1243" s="28">
        <f>O1239*_xlfn.XLOOKUP($L1243,'Balizador da Meta'!$B$4:$B$21,'Balizador da Meta'!$C$4:$C$21)</f>
        <v>486</v>
      </c>
      <c r="P1243" s="28">
        <f>P1239*_xlfn.XLOOKUP($L1243,'Balizador da Meta'!$B$4:$B$21,'Balizador da Meta'!$C$4:$C$21)</f>
        <v>540</v>
      </c>
      <c r="Q1243" s="28">
        <f>Q1239*_xlfn.XLOOKUP($L1243,'Balizador da Meta'!$B$4:$B$21,'Balizador da Meta'!$C$4:$C$21)</f>
        <v>540</v>
      </c>
      <c r="R1243" s="28">
        <f>R1239*_xlfn.XLOOKUP($L1243,'Balizador da Meta'!$B$4:$B$21,'Balizador da Meta'!$C$4:$C$21)</f>
        <v>540</v>
      </c>
      <c r="S1243" s="28">
        <f>S1239*_xlfn.XLOOKUP($L1243,'Balizador da Meta'!$B$4:$B$21,'Balizador da Meta'!$C$4:$C$21)</f>
        <v>540</v>
      </c>
      <c r="T1243" s="28">
        <f>T1239*_xlfn.XLOOKUP($L1243,'Balizador da Meta'!$B$4:$B$21,'Balizador da Meta'!$C$4:$C$21)</f>
        <v>540</v>
      </c>
      <c r="U1243" s="28">
        <f>U1239*_xlfn.XLOOKUP($L1243,'Balizador da Meta'!$B$4:$B$21,'Balizador da Meta'!$C$4:$C$21)</f>
        <v>594</v>
      </c>
      <c r="V1243" s="28">
        <f>V1239*_xlfn.XLOOKUP($L1243,'Balizador da Meta'!$B$4:$B$21,'Balizador da Meta'!$C$4:$C$21)</f>
        <v>594</v>
      </c>
      <c r="W1243" s="28">
        <f>W1239*_xlfn.XLOOKUP($L1243,'Balizador da Meta'!$B$4:$B$21,'Balizador da Meta'!$C$4:$C$21)</f>
        <v>594</v>
      </c>
      <c r="X1243" s="28">
        <f>X1239*_xlfn.XLOOKUP($L1243,'Balizador da Meta'!$B$4:$B$21,'Balizador da Meta'!$C$4:$C$21)</f>
        <v>594</v>
      </c>
      <c r="Y1243" s="28">
        <f>Y1239*_xlfn.XLOOKUP($L1243,'Balizador da Meta'!$B$4:$B$21,'Balizador da Meta'!$C$4:$C$21)</f>
        <v>594</v>
      </c>
      <c r="Z1243" s="30">
        <f t="shared" si="298"/>
        <v>6642</v>
      </c>
      <c r="AA1243" s="29"/>
      <c r="AB1243" s="31">
        <f>SUMIFS('Historico - FAT'!AK:AK,'Historico - FAT'!$K:$K,Faturamento!$L1243,'Historico - FAT'!$I:$I,Faturamento!$J1243,'Historico - FAT'!$G:$G,Faturamento!$H1243)</f>
        <v>0</v>
      </c>
      <c r="AC1243" s="31">
        <f>SUMIFS('Historico - FAT'!AL:AL,'Historico - FAT'!$K:$K,Faturamento!$L1243,'Historico - FAT'!$I:$I,Faturamento!$J1243,'Historico - FAT'!$G:$G,Faturamento!$H1243)</f>
        <v>70.498333333333335</v>
      </c>
      <c r="AD1243" s="31">
        <f>SUMIFS('Historico - FAT'!AM:AM,'Historico - FAT'!$K:$K,Faturamento!$L1243,'Historico - FAT'!$I:$I,Faturamento!$J1243,'Historico - FAT'!$G:$G,Faturamento!$H1243)</f>
        <v>140.99666666666667</v>
      </c>
      <c r="AE1243" s="27">
        <f>SUMIFS('Historico - FAT'!AN:AN,'Historico - FAT'!$K:$K,Faturamento!$L1243,'Historico - FAT'!$I:$I,Faturamento!$J1243,'Historico - FAT'!$G:$G,Faturamento!$H1243)</f>
        <v>84.597999999999999</v>
      </c>
      <c r="AG1243" s="24">
        <f t="shared" si="289"/>
        <v>1</v>
      </c>
      <c r="AH1243" s="24">
        <f t="shared" si="290"/>
        <v>0.88131593714927048</v>
      </c>
      <c r="AI1243" s="24">
        <f t="shared" si="291"/>
        <v>0.76263187429854096</v>
      </c>
    </row>
    <row r="1244" spans="1:35" hidden="1" x14ac:dyDescent="0.3">
      <c r="A1244" s="2" t="str">
        <f t="shared" si="287"/>
        <v>NÃO</v>
      </c>
      <c r="B1244" s="2">
        <v>1000184670</v>
      </c>
      <c r="C1244" s="2" t="s">
        <v>147</v>
      </c>
      <c r="D1244" s="4">
        <v>1000186197</v>
      </c>
      <c r="E1244" s="4" t="s">
        <v>166</v>
      </c>
      <c r="F1244" s="2">
        <v>1000185288</v>
      </c>
      <c r="G1244" s="2" t="s">
        <v>64</v>
      </c>
      <c r="H1244" s="4">
        <v>1000189810</v>
      </c>
      <c r="I1244" s="4" t="s">
        <v>96</v>
      </c>
      <c r="J1244" s="2">
        <v>1000189270</v>
      </c>
      <c r="K1244" s="2" t="s">
        <v>34</v>
      </c>
      <c r="L1244" s="4" t="s">
        <v>33</v>
      </c>
      <c r="M1244" s="4" t="str">
        <f t="shared" si="294"/>
        <v>1000184670100018619710001898101000189270FOOD SERVICE</v>
      </c>
      <c r="N1244" s="28">
        <f>N1239*_xlfn.XLOOKUP($L1244,'Balizador da Meta'!$B$4:$B$21,'Balizador da Meta'!$C$4:$C$21)</f>
        <v>0</v>
      </c>
      <c r="O1244" s="28">
        <f>O1239*_xlfn.XLOOKUP($L1244,'Balizador da Meta'!$B$4:$B$21,'Balizador da Meta'!$C$4:$C$21)</f>
        <v>0</v>
      </c>
      <c r="P1244" s="28">
        <f>P1239*_xlfn.XLOOKUP($L1244,'Balizador da Meta'!$B$4:$B$21,'Balizador da Meta'!$C$4:$C$21)</f>
        <v>0</v>
      </c>
      <c r="Q1244" s="28">
        <f>Q1239*_xlfn.XLOOKUP($L1244,'Balizador da Meta'!$B$4:$B$21,'Balizador da Meta'!$C$4:$C$21)</f>
        <v>0</v>
      </c>
      <c r="R1244" s="28">
        <f>R1239*_xlfn.XLOOKUP($L1244,'Balizador da Meta'!$B$4:$B$21,'Balizador da Meta'!$C$4:$C$21)</f>
        <v>0</v>
      </c>
      <c r="S1244" s="28">
        <f>S1239*_xlfn.XLOOKUP($L1244,'Balizador da Meta'!$B$4:$B$21,'Balizador da Meta'!$C$4:$C$21)</f>
        <v>0</v>
      </c>
      <c r="T1244" s="28">
        <f>T1239*_xlfn.XLOOKUP($L1244,'Balizador da Meta'!$B$4:$B$21,'Balizador da Meta'!$C$4:$C$21)</f>
        <v>0</v>
      </c>
      <c r="U1244" s="28">
        <f>U1239*_xlfn.XLOOKUP($L1244,'Balizador da Meta'!$B$4:$B$21,'Balizador da Meta'!$C$4:$C$21)</f>
        <v>0</v>
      </c>
      <c r="V1244" s="28">
        <f>V1239*_xlfn.XLOOKUP($L1244,'Balizador da Meta'!$B$4:$B$21,'Balizador da Meta'!$C$4:$C$21)</f>
        <v>0</v>
      </c>
      <c r="W1244" s="28">
        <f>W1239*_xlfn.XLOOKUP($L1244,'Balizador da Meta'!$B$4:$B$21,'Balizador da Meta'!$C$4:$C$21)</f>
        <v>0</v>
      </c>
      <c r="X1244" s="28">
        <f>X1239*_xlfn.XLOOKUP($L1244,'Balizador da Meta'!$B$4:$B$21,'Balizador da Meta'!$C$4:$C$21)</f>
        <v>0</v>
      </c>
      <c r="Y1244" s="28">
        <f>Y1239*_xlfn.XLOOKUP($L1244,'Balizador da Meta'!$B$4:$B$21,'Balizador da Meta'!$C$4:$C$21)</f>
        <v>0</v>
      </c>
      <c r="Z1244" s="30">
        <f t="shared" si="298"/>
        <v>0</v>
      </c>
      <c r="AA1244" s="29"/>
      <c r="AB1244" s="31">
        <f>SUMIFS('Historico - FAT'!AK:AK,'Historico - FAT'!$K:$K,Faturamento!$L1244,'Historico - FAT'!$I:$I,Faturamento!$J1244,'Historico - FAT'!$G:$G,Faturamento!$H1244)</f>
        <v>154.66666666666666</v>
      </c>
      <c r="AC1244" s="31">
        <f>SUMIFS('Historico - FAT'!AL:AL,'Historico - FAT'!$K:$K,Faturamento!$L1244,'Historico - FAT'!$I:$I,Faturamento!$J1244,'Historico - FAT'!$G:$G,Faturamento!$H1244)</f>
        <v>20.25</v>
      </c>
      <c r="AD1244" s="31">
        <f>SUMIFS('Historico - FAT'!AM:AM,'Historico - FAT'!$K:$K,Faturamento!$L1244,'Historico - FAT'!$I:$I,Faturamento!$J1244,'Historico - FAT'!$G:$G,Faturamento!$H1244)</f>
        <v>40.5</v>
      </c>
      <c r="AE1244" s="27">
        <f>SUMIFS('Historico - FAT'!AN:AN,'Historico - FAT'!$K:$K,Faturamento!$L1244,'Historico - FAT'!$I:$I,Faturamento!$J1244,'Historico - FAT'!$G:$G,Faturamento!$H1244)</f>
        <v>24.3</v>
      </c>
      <c r="AG1244" s="24" t="str">
        <f t="shared" si="289"/>
        <v/>
      </c>
      <c r="AH1244" s="24" t="str">
        <f t="shared" si="290"/>
        <v/>
      </c>
      <c r="AI1244" s="24" t="str">
        <f t="shared" si="291"/>
        <v/>
      </c>
    </row>
    <row r="1245" spans="1:35" hidden="1" x14ac:dyDescent="0.3">
      <c r="A1245" s="2" t="str">
        <f t="shared" si="287"/>
        <v>NÃO</v>
      </c>
      <c r="B1245" s="2">
        <v>1000184670</v>
      </c>
      <c r="C1245" s="2" t="s">
        <v>147</v>
      </c>
      <c r="D1245" s="4">
        <v>1000186197</v>
      </c>
      <c r="E1245" s="4" t="s">
        <v>166</v>
      </c>
      <c r="F1245" s="2">
        <v>1000185288</v>
      </c>
      <c r="G1245" s="2" t="s">
        <v>64</v>
      </c>
      <c r="H1245" s="4">
        <v>1000189810</v>
      </c>
      <c r="I1245" s="4" t="s">
        <v>96</v>
      </c>
      <c r="J1245" s="2">
        <v>1000189270</v>
      </c>
      <c r="K1245" s="2" t="s">
        <v>34</v>
      </c>
      <c r="L1245" s="4" t="s">
        <v>19</v>
      </c>
      <c r="M1245" s="4" t="str">
        <f t="shared" si="294"/>
        <v>1000184670100018619710001898101000189270GELEIA</v>
      </c>
      <c r="N1245" s="28">
        <f>N1239*_xlfn.XLOOKUP($L1245,'Balizador da Meta'!$B$4:$B$21,'Balizador da Meta'!$C$4:$C$21)</f>
        <v>107.99999999999999</v>
      </c>
      <c r="O1245" s="28">
        <f>O1239*_xlfn.XLOOKUP($L1245,'Balizador da Meta'!$B$4:$B$21,'Balizador da Meta'!$C$4:$C$21)</f>
        <v>107.99999999999999</v>
      </c>
      <c r="P1245" s="28">
        <f>P1239*_xlfn.XLOOKUP($L1245,'Balizador da Meta'!$B$4:$B$21,'Balizador da Meta'!$C$4:$C$21)</f>
        <v>119.99999999999999</v>
      </c>
      <c r="Q1245" s="28">
        <f>Q1239*_xlfn.XLOOKUP($L1245,'Balizador da Meta'!$B$4:$B$21,'Balizador da Meta'!$C$4:$C$21)</f>
        <v>119.99999999999999</v>
      </c>
      <c r="R1245" s="28">
        <f>R1239*_xlfn.XLOOKUP($L1245,'Balizador da Meta'!$B$4:$B$21,'Balizador da Meta'!$C$4:$C$21)</f>
        <v>119.99999999999999</v>
      </c>
      <c r="S1245" s="28">
        <f>S1239*_xlfn.XLOOKUP($L1245,'Balizador da Meta'!$B$4:$B$21,'Balizador da Meta'!$C$4:$C$21)</f>
        <v>119.99999999999999</v>
      </c>
      <c r="T1245" s="28">
        <f>T1239*_xlfn.XLOOKUP($L1245,'Balizador da Meta'!$B$4:$B$21,'Balizador da Meta'!$C$4:$C$21)</f>
        <v>119.99999999999999</v>
      </c>
      <c r="U1245" s="28">
        <f>U1239*_xlfn.XLOOKUP($L1245,'Balizador da Meta'!$B$4:$B$21,'Balizador da Meta'!$C$4:$C$21)</f>
        <v>131.99999999999997</v>
      </c>
      <c r="V1245" s="28">
        <f>V1239*_xlfn.XLOOKUP($L1245,'Balizador da Meta'!$B$4:$B$21,'Balizador da Meta'!$C$4:$C$21)</f>
        <v>131.99999999999997</v>
      </c>
      <c r="W1245" s="28">
        <f>W1239*_xlfn.XLOOKUP($L1245,'Balizador da Meta'!$B$4:$B$21,'Balizador da Meta'!$C$4:$C$21)</f>
        <v>131.99999999999997</v>
      </c>
      <c r="X1245" s="28">
        <f>X1239*_xlfn.XLOOKUP($L1245,'Balizador da Meta'!$B$4:$B$21,'Balizador da Meta'!$C$4:$C$21)</f>
        <v>131.99999999999997</v>
      </c>
      <c r="Y1245" s="28">
        <f>Y1239*_xlfn.XLOOKUP($L1245,'Balizador da Meta'!$B$4:$B$21,'Balizador da Meta'!$C$4:$C$21)</f>
        <v>131.99999999999997</v>
      </c>
      <c r="Z1245" s="30">
        <f t="shared" si="298"/>
        <v>1475.9999999999998</v>
      </c>
      <c r="AA1245" s="29"/>
      <c r="AB1245" s="31">
        <f>SUMIFS('Historico - FAT'!AK:AK,'Historico - FAT'!$K:$K,Faturamento!$L1245,'Historico - FAT'!$I:$I,Faturamento!$J1245,'Historico - FAT'!$G:$G,Faturamento!$H1245)</f>
        <v>0</v>
      </c>
      <c r="AC1245" s="31">
        <f>SUMIFS('Historico - FAT'!AL:AL,'Historico - FAT'!$K:$K,Faturamento!$L1245,'Historico - FAT'!$I:$I,Faturamento!$J1245,'Historico - FAT'!$G:$G,Faturamento!$H1245)</f>
        <v>112.38999999999999</v>
      </c>
      <c r="AD1245" s="31">
        <f>SUMIFS('Historico - FAT'!AM:AM,'Historico - FAT'!$K:$K,Faturamento!$L1245,'Historico - FAT'!$I:$I,Faturamento!$J1245,'Historico - FAT'!$G:$G,Faturamento!$H1245)</f>
        <v>224.77999999999997</v>
      </c>
      <c r="AE1245" s="27">
        <f>SUMIFS('Historico - FAT'!AN:AN,'Historico - FAT'!$K:$K,Faturamento!$L1245,'Historico - FAT'!$I:$I,Faturamento!$J1245,'Historico - FAT'!$G:$G,Faturamento!$H1245)</f>
        <v>134.86799999999999</v>
      </c>
      <c r="AG1245" s="24">
        <f t="shared" si="289"/>
        <v>1</v>
      </c>
      <c r="AH1245" s="24">
        <f t="shared" si="290"/>
        <v>0.14856060606060598</v>
      </c>
      <c r="AI1245" s="24">
        <f t="shared" si="291"/>
        <v>-0.70287878787878799</v>
      </c>
    </row>
    <row r="1246" spans="1:35" hidden="1" x14ac:dyDescent="0.3">
      <c r="A1246" s="2" t="str">
        <f t="shared" si="287"/>
        <v>NÃO</v>
      </c>
      <c r="B1246" s="2">
        <v>1000184670</v>
      </c>
      <c r="C1246" s="2" t="s">
        <v>147</v>
      </c>
      <c r="D1246" s="4">
        <v>1000186197</v>
      </c>
      <c r="E1246" s="4" t="s">
        <v>166</v>
      </c>
      <c r="F1246" s="2">
        <v>1000185288</v>
      </c>
      <c r="G1246" s="2" t="s">
        <v>64</v>
      </c>
      <c r="H1246" s="4">
        <v>1000189810</v>
      </c>
      <c r="I1246" s="4" t="s">
        <v>96</v>
      </c>
      <c r="J1246" s="2">
        <v>1000189270</v>
      </c>
      <c r="K1246" s="2" t="s">
        <v>34</v>
      </c>
      <c r="L1246" s="4" t="s">
        <v>17</v>
      </c>
      <c r="M1246" s="4" t="str">
        <f t="shared" si="294"/>
        <v>1000184670100018619710001898101000189270GRANOLA</v>
      </c>
      <c r="N1246" s="28">
        <f>N1239*_xlfn.XLOOKUP($L1246,'Balizador da Meta'!$B$4:$B$21,'Balizador da Meta'!$C$4:$C$21)</f>
        <v>108</v>
      </c>
      <c r="O1246" s="28">
        <f>O1239*_xlfn.XLOOKUP($L1246,'Balizador da Meta'!$B$4:$B$21,'Balizador da Meta'!$C$4:$C$21)</f>
        <v>108</v>
      </c>
      <c r="P1246" s="28">
        <f>P1239*_xlfn.XLOOKUP($L1246,'Balizador da Meta'!$B$4:$B$21,'Balizador da Meta'!$C$4:$C$21)</f>
        <v>120</v>
      </c>
      <c r="Q1246" s="28">
        <f>Q1239*_xlfn.XLOOKUP($L1246,'Balizador da Meta'!$B$4:$B$21,'Balizador da Meta'!$C$4:$C$21)</f>
        <v>120</v>
      </c>
      <c r="R1246" s="28">
        <f>R1239*_xlfn.XLOOKUP($L1246,'Balizador da Meta'!$B$4:$B$21,'Balizador da Meta'!$C$4:$C$21)</f>
        <v>120</v>
      </c>
      <c r="S1246" s="28">
        <f>S1239*_xlfn.XLOOKUP($L1246,'Balizador da Meta'!$B$4:$B$21,'Balizador da Meta'!$C$4:$C$21)</f>
        <v>120</v>
      </c>
      <c r="T1246" s="28">
        <f>T1239*_xlfn.XLOOKUP($L1246,'Balizador da Meta'!$B$4:$B$21,'Balizador da Meta'!$C$4:$C$21)</f>
        <v>120</v>
      </c>
      <c r="U1246" s="28">
        <f>U1239*_xlfn.XLOOKUP($L1246,'Balizador da Meta'!$B$4:$B$21,'Balizador da Meta'!$C$4:$C$21)</f>
        <v>132</v>
      </c>
      <c r="V1246" s="28">
        <f>V1239*_xlfn.XLOOKUP($L1246,'Balizador da Meta'!$B$4:$B$21,'Balizador da Meta'!$C$4:$C$21)</f>
        <v>132</v>
      </c>
      <c r="W1246" s="28">
        <f>W1239*_xlfn.XLOOKUP($L1246,'Balizador da Meta'!$B$4:$B$21,'Balizador da Meta'!$C$4:$C$21)</f>
        <v>132</v>
      </c>
      <c r="X1246" s="28">
        <f>X1239*_xlfn.XLOOKUP($L1246,'Balizador da Meta'!$B$4:$B$21,'Balizador da Meta'!$C$4:$C$21)</f>
        <v>132</v>
      </c>
      <c r="Y1246" s="28">
        <f>Y1239*_xlfn.XLOOKUP($L1246,'Balizador da Meta'!$B$4:$B$21,'Balizador da Meta'!$C$4:$C$21)</f>
        <v>132</v>
      </c>
      <c r="Z1246" s="30">
        <f t="shared" si="298"/>
        <v>1476</v>
      </c>
      <c r="AA1246" s="29"/>
      <c r="AB1246" s="31">
        <f>SUMIFS('Historico - FAT'!AK:AK,'Historico - FAT'!$K:$K,Faturamento!$L1246,'Historico - FAT'!$I:$I,Faturamento!$J1246,'Historico - FAT'!$G:$G,Faturamento!$H1246)</f>
        <v>0</v>
      </c>
      <c r="AC1246" s="31">
        <f>SUMIFS('Historico - FAT'!AL:AL,'Historico - FAT'!$K:$K,Faturamento!$L1246,'Historico - FAT'!$I:$I,Faturamento!$J1246,'Historico - FAT'!$G:$G,Faturamento!$H1246)</f>
        <v>55.47</v>
      </c>
      <c r="AD1246" s="31">
        <f>SUMIFS('Historico - FAT'!AM:AM,'Historico - FAT'!$K:$K,Faturamento!$L1246,'Historico - FAT'!$I:$I,Faturamento!$J1246,'Historico - FAT'!$G:$G,Faturamento!$H1246)</f>
        <v>110.94</v>
      </c>
      <c r="AE1246" s="27">
        <f>SUMIFS('Historico - FAT'!AN:AN,'Historico - FAT'!$K:$K,Faturamento!$L1246,'Historico - FAT'!$I:$I,Faturamento!$J1246,'Historico - FAT'!$G:$G,Faturamento!$H1246)</f>
        <v>66.563999999999993</v>
      </c>
      <c r="AG1246" s="24">
        <f t="shared" si="289"/>
        <v>1</v>
      </c>
      <c r="AH1246" s="24">
        <f t="shared" si="290"/>
        <v>0.57977272727272733</v>
      </c>
      <c r="AI1246" s="24">
        <f t="shared" si="291"/>
        <v>0.15954545454545457</v>
      </c>
    </row>
    <row r="1247" spans="1:35" hidden="1" x14ac:dyDescent="0.3">
      <c r="A1247" s="2" t="str">
        <f t="shared" si="287"/>
        <v>NÃO</v>
      </c>
      <c r="B1247" s="2">
        <v>1000184670</v>
      </c>
      <c r="C1247" s="2" t="s">
        <v>147</v>
      </c>
      <c r="D1247" s="4">
        <v>1000186197</v>
      </c>
      <c r="E1247" s="4" t="s">
        <v>166</v>
      </c>
      <c r="F1247" s="2">
        <v>1000185288</v>
      </c>
      <c r="G1247" s="2" t="s">
        <v>64</v>
      </c>
      <c r="H1247" s="4">
        <v>1000189810</v>
      </c>
      <c r="I1247" s="4" t="s">
        <v>96</v>
      </c>
      <c r="J1247" s="2">
        <v>1000189270</v>
      </c>
      <c r="K1247" s="2" t="s">
        <v>34</v>
      </c>
      <c r="L1247" s="4" t="s">
        <v>24</v>
      </c>
      <c r="M1247" s="4" t="str">
        <f t="shared" si="294"/>
        <v>1000184670100018619710001898101000189270KIDS</v>
      </c>
      <c r="N1247" s="28">
        <f>N1239*_xlfn.XLOOKUP($L1247,'Balizador da Meta'!$B$4:$B$21,'Balizador da Meta'!$C$4:$C$21)</f>
        <v>0</v>
      </c>
      <c r="O1247" s="28">
        <f>O1239*_xlfn.XLOOKUP($L1247,'Balizador da Meta'!$B$4:$B$21,'Balizador da Meta'!$C$4:$C$21)</f>
        <v>0</v>
      </c>
      <c r="P1247" s="28">
        <f>P1239*_xlfn.XLOOKUP($L1247,'Balizador da Meta'!$B$4:$B$21,'Balizador da Meta'!$C$4:$C$21)</f>
        <v>0</v>
      </c>
      <c r="Q1247" s="28">
        <f>Q1239*_xlfn.XLOOKUP($L1247,'Balizador da Meta'!$B$4:$B$21,'Balizador da Meta'!$C$4:$C$21)</f>
        <v>0</v>
      </c>
      <c r="R1247" s="28">
        <f>R1239*_xlfn.XLOOKUP($L1247,'Balizador da Meta'!$B$4:$B$21,'Balizador da Meta'!$C$4:$C$21)</f>
        <v>0</v>
      </c>
      <c r="S1247" s="28">
        <f>S1239*_xlfn.XLOOKUP($L1247,'Balizador da Meta'!$B$4:$B$21,'Balizador da Meta'!$C$4:$C$21)</f>
        <v>0</v>
      </c>
      <c r="T1247" s="28">
        <f>T1239*_xlfn.XLOOKUP($L1247,'Balizador da Meta'!$B$4:$B$21,'Balizador da Meta'!$C$4:$C$21)</f>
        <v>0</v>
      </c>
      <c r="U1247" s="28">
        <f>U1239*_xlfn.XLOOKUP($L1247,'Balizador da Meta'!$B$4:$B$21,'Balizador da Meta'!$C$4:$C$21)</f>
        <v>0</v>
      </c>
      <c r="V1247" s="28">
        <f>V1239*_xlfn.XLOOKUP($L1247,'Balizador da Meta'!$B$4:$B$21,'Balizador da Meta'!$C$4:$C$21)</f>
        <v>0</v>
      </c>
      <c r="W1247" s="28">
        <f>W1239*_xlfn.XLOOKUP($L1247,'Balizador da Meta'!$B$4:$B$21,'Balizador da Meta'!$C$4:$C$21)</f>
        <v>0</v>
      </c>
      <c r="X1247" s="28">
        <f>X1239*_xlfn.XLOOKUP($L1247,'Balizador da Meta'!$B$4:$B$21,'Balizador da Meta'!$C$4:$C$21)</f>
        <v>0</v>
      </c>
      <c r="Y1247" s="28">
        <f>Y1239*_xlfn.XLOOKUP($L1247,'Balizador da Meta'!$B$4:$B$21,'Balizador da Meta'!$C$4:$C$21)</f>
        <v>0</v>
      </c>
      <c r="Z1247" s="30">
        <f t="shared" si="298"/>
        <v>0</v>
      </c>
      <c r="AA1247" s="29"/>
      <c r="AB1247" s="31">
        <f>SUMIFS('Historico - FAT'!AK:AK,'Historico - FAT'!$K:$K,Faturamento!$L1247,'Historico - FAT'!$I:$I,Faturamento!$J1247,'Historico - FAT'!$G:$G,Faturamento!$H1247)</f>
        <v>0</v>
      </c>
      <c r="AC1247" s="31">
        <f>SUMIFS('Historico - FAT'!AL:AL,'Historico - FAT'!$K:$K,Faturamento!$L1247,'Historico - FAT'!$I:$I,Faturamento!$J1247,'Historico - FAT'!$G:$G,Faturamento!$H1247)</f>
        <v>4.3766666666666669</v>
      </c>
      <c r="AD1247" s="31">
        <f>SUMIFS('Historico - FAT'!AM:AM,'Historico - FAT'!$K:$K,Faturamento!$L1247,'Historico - FAT'!$I:$I,Faturamento!$J1247,'Historico - FAT'!$G:$G,Faturamento!$H1247)</f>
        <v>8.7533333333333339</v>
      </c>
      <c r="AE1247" s="27">
        <f>SUMIFS('Historico - FAT'!AN:AN,'Historico - FAT'!$K:$K,Faturamento!$L1247,'Historico - FAT'!$I:$I,Faturamento!$J1247,'Historico - FAT'!$G:$G,Faturamento!$H1247)</f>
        <v>5.2520000000000007</v>
      </c>
      <c r="AG1247" s="24" t="str">
        <f t="shared" si="289"/>
        <v/>
      </c>
      <c r="AH1247" s="24" t="str">
        <f t="shared" si="290"/>
        <v/>
      </c>
      <c r="AI1247" s="24" t="str">
        <f t="shared" si="291"/>
        <v/>
      </c>
    </row>
    <row r="1248" spans="1:35" hidden="1" x14ac:dyDescent="0.3">
      <c r="A1248" s="2" t="str">
        <f t="shared" si="287"/>
        <v>NÃO</v>
      </c>
      <c r="B1248" s="2">
        <v>1000184670</v>
      </c>
      <c r="C1248" s="2" t="s">
        <v>147</v>
      </c>
      <c r="D1248" s="4">
        <v>1000186197</v>
      </c>
      <c r="E1248" s="4" t="s">
        <v>166</v>
      </c>
      <c r="F1248" s="2">
        <v>1000185288</v>
      </c>
      <c r="G1248" s="2" t="s">
        <v>64</v>
      </c>
      <c r="H1248" s="4">
        <v>1000189810</v>
      </c>
      <c r="I1248" s="4" t="s">
        <v>96</v>
      </c>
      <c r="J1248" s="2">
        <v>1000189270</v>
      </c>
      <c r="K1248" s="2" t="s">
        <v>34</v>
      </c>
      <c r="L1248" s="4" t="s">
        <v>18</v>
      </c>
      <c r="M1248" s="4" t="str">
        <f t="shared" si="294"/>
        <v>1000184670100018619710001898101000189270LANCHES</v>
      </c>
      <c r="N1248" s="28">
        <f>N1239*_xlfn.XLOOKUP($L1248,'Balizador da Meta'!$B$4:$B$21,'Balizador da Meta'!$C$4:$C$21)</f>
        <v>54</v>
      </c>
      <c r="O1248" s="28">
        <f>O1239*_xlfn.XLOOKUP($L1248,'Balizador da Meta'!$B$4:$B$21,'Balizador da Meta'!$C$4:$C$21)</f>
        <v>54</v>
      </c>
      <c r="P1248" s="28">
        <f>P1239*_xlfn.XLOOKUP($L1248,'Balizador da Meta'!$B$4:$B$21,'Balizador da Meta'!$C$4:$C$21)</f>
        <v>60</v>
      </c>
      <c r="Q1248" s="28">
        <f>Q1239*_xlfn.XLOOKUP($L1248,'Balizador da Meta'!$B$4:$B$21,'Balizador da Meta'!$C$4:$C$21)</f>
        <v>60</v>
      </c>
      <c r="R1248" s="28">
        <f>R1239*_xlfn.XLOOKUP($L1248,'Balizador da Meta'!$B$4:$B$21,'Balizador da Meta'!$C$4:$C$21)</f>
        <v>60</v>
      </c>
      <c r="S1248" s="28">
        <f>S1239*_xlfn.XLOOKUP($L1248,'Balizador da Meta'!$B$4:$B$21,'Balizador da Meta'!$C$4:$C$21)</f>
        <v>60</v>
      </c>
      <c r="T1248" s="28">
        <f>T1239*_xlfn.XLOOKUP($L1248,'Balizador da Meta'!$B$4:$B$21,'Balizador da Meta'!$C$4:$C$21)</f>
        <v>60</v>
      </c>
      <c r="U1248" s="28">
        <f>U1239*_xlfn.XLOOKUP($L1248,'Balizador da Meta'!$B$4:$B$21,'Balizador da Meta'!$C$4:$C$21)</f>
        <v>66</v>
      </c>
      <c r="V1248" s="28">
        <f>V1239*_xlfn.XLOOKUP($L1248,'Balizador da Meta'!$B$4:$B$21,'Balizador da Meta'!$C$4:$C$21)</f>
        <v>66</v>
      </c>
      <c r="W1248" s="28">
        <f>W1239*_xlfn.XLOOKUP($L1248,'Balizador da Meta'!$B$4:$B$21,'Balizador da Meta'!$C$4:$C$21)</f>
        <v>66</v>
      </c>
      <c r="X1248" s="28">
        <f>X1239*_xlfn.XLOOKUP($L1248,'Balizador da Meta'!$B$4:$B$21,'Balizador da Meta'!$C$4:$C$21)</f>
        <v>66</v>
      </c>
      <c r="Y1248" s="28">
        <f>Y1239*_xlfn.XLOOKUP($L1248,'Balizador da Meta'!$B$4:$B$21,'Balizador da Meta'!$C$4:$C$21)</f>
        <v>66</v>
      </c>
      <c r="Z1248" s="30">
        <f t="shared" si="298"/>
        <v>738</v>
      </c>
      <c r="AA1248" s="29"/>
      <c r="AB1248" s="31">
        <f>SUMIFS('Historico - FAT'!AK:AK,'Historico - FAT'!$K:$K,Faturamento!$L1248,'Historico - FAT'!$I:$I,Faturamento!$J1248,'Historico - FAT'!$G:$G,Faturamento!$H1248)</f>
        <v>0</v>
      </c>
      <c r="AC1248" s="31">
        <f>SUMIFS('Historico - FAT'!AL:AL,'Historico - FAT'!$K:$K,Faturamento!$L1248,'Historico - FAT'!$I:$I,Faturamento!$J1248,'Historico - FAT'!$G:$G,Faturamento!$H1248)</f>
        <v>3.5</v>
      </c>
      <c r="AD1248" s="31">
        <f>SUMIFS('Historico - FAT'!AM:AM,'Historico - FAT'!$K:$K,Faturamento!$L1248,'Historico - FAT'!$I:$I,Faturamento!$J1248,'Historico - FAT'!$G:$G,Faturamento!$H1248)</f>
        <v>7</v>
      </c>
      <c r="AE1248" s="27">
        <f>SUMIFS('Historico - FAT'!AN:AN,'Historico - FAT'!$K:$K,Faturamento!$L1248,'Historico - FAT'!$I:$I,Faturamento!$J1248,'Historico - FAT'!$G:$G,Faturamento!$H1248)</f>
        <v>4.2</v>
      </c>
      <c r="AG1248" s="24">
        <f t="shared" si="289"/>
        <v>1</v>
      </c>
      <c r="AH1248" s="24">
        <f t="shared" si="290"/>
        <v>0.94696969696969702</v>
      </c>
      <c r="AI1248" s="24">
        <f t="shared" si="291"/>
        <v>0.89393939393939392</v>
      </c>
    </row>
    <row r="1249" spans="1:35" hidden="1" x14ac:dyDescent="0.3">
      <c r="A1249" s="2" t="str">
        <f t="shared" si="287"/>
        <v>NÃO</v>
      </c>
      <c r="B1249" s="2">
        <v>1000184670</v>
      </c>
      <c r="C1249" s="2" t="s">
        <v>147</v>
      </c>
      <c r="D1249" s="4">
        <v>1000186197</v>
      </c>
      <c r="E1249" s="4" t="s">
        <v>166</v>
      </c>
      <c r="F1249" s="2">
        <v>1000185288</v>
      </c>
      <c r="G1249" s="2" t="s">
        <v>64</v>
      </c>
      <c r="H1249" s="4">
        <v>1000189810</v>
      </c>
      <c r="I1249" s="4" t="s">
        <v>96</v>
      </c>
      <c r="J1249" s="2">
        <v>1000189270</v>
      </c>
      <c r="K1249" s="2" t="s">
        <v>34</v>
      </c>
      <c r="L1249" s="4" t="s">
        <v>29</v>
      </c>
      <c r="M1249" s="4" t="str">
        <f t="shared" si="294"/>
        <v>1000184670100018619710001898101000189270MAIS GRANEL</v>
      </c>
      <c r="N1249" s="28">
        <f>N1239*_xlfn.XLOOKUP($L1249,'Balizador da Meta'!$B$4:$B$21,'Balizador da Meta'!$C$4:$C$21)</f>
        <v>1728</v>
      </c>
      <c r="O1249" s="28">
        <f>O1239*_xlfn.XLOOKUP($L1249,'Balizador da Meta'!$B$4:$B$21,'Balizador da Meta'!$C$4:$C$21)</f>
        <v>1728</v>
      </c>
      <c r="P1249" s="28">
        <f>P1239*_xlfn.XLOOKUP($L1249,'Balizador da Meta'!$B$4:$B$21,'Balizador da Meta'!$C$4:$C$21)</f>
        <v>1920</v>
      </c>
      <c r="Q1249" s="28">
        <f>Q1239*_xlfn.XLOOKUP($L1249,'Balizador da Meta'!$B$4:$B$21,'Balizador da Meta'!$C$4:$C$21)</f>
        <v>1920</v>
      </c>
      <c r="R1249" s="28">
        <f>R1239*_xlfn.XLOOKUP($L1249,'Balizador da Meta'!$B$4:$B$21,'Balizador da Meta'!$C$4:$C$21)</f>
        <v>1920</v>
      </c>
      <c r="S1249" s="28">
        <f>S1239*_xlfn.XLOOKUP($L1249,'Balizador da Meta'!$B$4:$B$21,'Balizador da Meta'!$C$4:$C$21)</f>
        <v>1920</v>
      </c>
      <c r="T1249" s="28">
        <f>T1239*_xlfn.XLOOKUP($L1249,'Balizador da Meta'!$B$4:$B$21,'Balizador da Meta'!$C$4:$C$21)</f>
        <v>1920</v>
      </c>
      <c r="U1249" s="28">
        <f>U1239*_xlfn.XLOOKUP($L1249,'Balizador da Meta'!$B$4:$B$21,'Balizador da Meta'!$C$4:$C$21)</f>
        <v>2112</v>
      </c>
      <c r="V1249" s="28">
        <f>V1239*_xlfn.XLOOKUP($L1249,'Balizador da Meta'!$B$4:$B$21,'Balizador da Meta'!$C$4:$C$21)</f>
        <v>2112</v>
      </c>
      <c r="W1249" s="28">
        <f>W1239*_xlfn.XLOOKUP($L1249,'Balizador da Meta'!$B$4:$B$21,'Balizador da Meta'!$C$4:$C$21)</f>
        <v>2112</v>
      </c>
      <c r="X1249" s="28">
        <f>X1239*_xlfn.XLOOKUP($L1249,'Balizador da Meta'!$B$4:$B$21,'Balizador da Meta'!$C$4:$C$21)</f>
        <v>2112</v>
      </c>
      <c r="Y1249" s="28">
        <f>Y1239*_xlfn.XLOOKUP($L1249,'Balizador da Meta'!$B$4:$B$21,'Balizador da Meta'!$C$4:$C$21)</f>
        <v>2112</v>
      </c>
      <c r="Z1249" s="30">
        <f t="shared" si="298"/>
        <v>23616</v>
      </c>
      <c r="AA1249" s="29"/>
      <c r="AB1249" s="31">
        <f>SUMIFS('Historico - FAT'!AK:AK,'Historico - FAT'!$K:$K,Faturamento!$L1249,'Historico - FAT'!$I:$I,Faturamento!$J1249,'Historico - FAT'!$G:$G,Faturamento!$H1249)</f>
        <v>0</v>
      </c>
      <c r="AC1249" s="31">
        <f>SUMIFS('Historico - FAT'!AL:AL,'Historico - FAT'!$K:$K,Faturamento!$L1249,'Historico - FAT'!$I:$I,Faturamento!$J1249,'Historico - FAT'!$G:$G,Faturamento!$H1249)</f>
        <v>1146.1683333333333</v>
      </c>
      <c r="AD1249" s="31">
        <f>SUMIFS('Historico - FAT'!AM:AM,'Historico - FAT'!$K:$K,Faturamento!$L1249,'Historico - FAT'!$I:$I,Faturamento!$J1249,'Historico - FAT'!$G:$G,Faturamento!$H1249)</f>
        <v>2292.3366666666666</v>
      </c>
      <c r="AE1249" s="27">
        <f>SUMIFS('Historico - FAT'!AN:AN,'Historico - FAT'!$K:$K,Faturamento!$L1249,'Historico - FAT'!$I:$I,Faturamento!$J1249,'Historico - FAT'!$G:$G,Faturamento!$H1249)</f>
        <v>1375.402</v>
      </c>
      <c r="AG1249" s="24">
        <f t="shared" si="289"/>
        <v>1</v>
      </c>
      <c r="AH1249" s="24">
        <f t="shared" si="290"/>
        <v>0.4573066603535354</v>
      </c>
      <c r="AI1249" s="24">
        <f t="shared" si="291"/>
        <v>-8.5386679292929257E-2</v>
      </c>
    </row>
    <row r="1250" spans="1:35" hidden="1" x14ac:dyDescent="0.3">
      <c r="A1250" s="2" t="str">
        <f t="shared" si="287"/>
        <v>NÃO</v>
      </c>
      <c r="B1250" s="2">
        <v>1000184670</v>
      </c>
      <c r="C1250" s="2" t="s">
        <v>147</v>
      </c>
      <c r="D1250" s="4">
        <v>1000186197</v>
      </c>
      <c r="E1250" s="4" t="s">
        <v>166</v>
      </c>
      <c r="F1250" s="2">
        <v>1000185288</v>
      </c>
      <c r="G1250" s="2" t="s">
        <v>64</v>
      </c>
      <c r="H1250" s="4">
        <v>1000189810</v>
      </c>
      <c r="I1250" s="4" t="s">
        <v>96</v>
      </c>
      <c r="J1250" s="2">
        <v>1000189270</v>
      </c>
      <c r="K1250" s="2" t="s">
        <v>34</v>
      </c>
      <c r="L1250" s="4" t="s">
        <v>21</v>
      </c>
      <c r="M1250" s="4" t="str">
        <f t="shared" si="294"/>
        <v>1000184670100018619710001898101000189270NATURATTA</v>
      </c>
      <c r="N1250" s="28">
        <f>N1239*_xlfn.XLOOKUP($L1250,'Balizador da Meta'!$B$4:$B$21,'Balizador da Meta'!$C$4:$C$21)</f>
        <v>270</v>
      </c>
      <c r="O1250" s="28">
        <f>O1239*_xlfn.XLOOKUP($L1250,'Balizador da Meta'!$B$4:$B$21,'Balizador da Meta'!$C$4:$C$21)</f>
        <v>270</v>
      </c>
      <c r="P1250" s="28">
        <f>P1239*_xlfn.XLOOKUP($L1250,'Balizador da Meta'!$B$4:$B$21,'Balizador da Meta'!$C$4:$C$21)</f>
        <v>300</v>
      </c>
      <c r="Q1250" s="28">
        <f>Q1239*_xlfn.XLOOKUP($L1250,'Balizador da Meta'!$B$4:$B$21,'Balizador da Meta'!$C$4:$C$21)</f>
        <v>300</v>
      </c>
      <c r="R1250" s="28">
        <f>R1239*_xlfn.XLOOKUP($L1250,'Balizador da Meta'!$B$4:$B$21,'Balizador da Meta'!$C$4:$C$21)</f>
        <v>300</v>
      </c>
      <c r="S1250" s="28">
        <f>S1239*_xlfn.XLOOKUP($L1250,'Balizador da Meta'!$B$4:$B$21,'Balizador da Meta'!$C$4:$C$21)</f>
        <v>300</v>
      </c>
      <c r="T1250" s="28">
        <f>T1239*_xlfn.XLOOKUP($L1250,'Balizador da Meta'!$B$4:$B$21,'Balizador da Meta'!$C$4:$C$21)</f>
        <v>300</v>
      </c>
      <c r="U1250" s="28">
        <f>U1239*_xlfn.XLOOKUP($L1250,'Balizador da Meta'!$B$4:$B$21,'Balizador da Meta'!$C$4:$C$21)</f>
        <v>330</v>
      </c>
      <c r="V1250" s="28">
        <f>V1239*_xlfn.XLOOKUP($L1250,'Balizador da Meta'!$B$4:$B$21,'Balizador da Meta'!$C$4:$C$21)</f>
        <v>330</v>
      </c>
      <c r="W1250" s="28">
        <f>W1239*_xlfn.XLOOKUP($L1250,'Balizador da Meta'!$B$4:$B$21,'Balizador da Meta'!$C$4:$C$21)</f>
        <v>330</v>
      </c>
      <c r="X1250" s="28">
        <f>X1239*_xlfn.XLOOKUP($L1250,'Balizador da Meta'!$B$4:$B$21,'Balizador da Meta'!$C$4:$C$21)</f>
        <v>330</v>
      </c>
      <c r="Y1250" s="28">
        <f>Y1239*_xlfn.XLOOKUP($L1250,'Balizador da Meta'!$B$4:$B$21,'Balizador da Meta'!$C$4:$C$21)</f>
        <v>330</v>
      </c>
      <c r="Z1250" s="30">
        <f t="shared" si="298"/>
        <v>3690</v>
      </c>
      <c r="AA1250" s="29"/>
      <c r="AB1250" s="31">
        <f>SUMIFS('Historico - FAT'!AK:AK,'Historico - FAT'!$K:$K,Faturamento!$L1250,'Historico - FAT'!$I:$I,Faturamento!$J1250,'Historico - FAT'!$G:$G,Faturamento!$H1250)</f>
        <v>0</v>
      </c>
      <c r="AC1250" s="31">
        <f>SUMIFS('Historico - FAT'!AL:AL,'Historico - FAT'!$K:$K,Faturamento!$L1250,'Historico - FAT'!$I:$I,Faturamento!$J1250,'Historico - FAT'!$G:$G,Faturamento!$H1250)</f>
        <v>59.143333333333338</v>
      </c>
      <c r="AD1250" s="31">
        <f>SUMIFS('Historico - FAT'!AM:AM,'Historico - FAT'!$K:$K,Faturamento!$L1250,'Historico - FAT'!$I:$I,Faturamento!$J1250,'Historico - FAT'!$G:$G,Faturamento!$H1250)</f>
        <v>118.28666666666668</v>
      </c>
      <c r="AE1250" s="27">
        <f>SUMIFS('Historico - FAT'!AN:AN,'Historico - FAT'!$K:$K,Faturamento!$L1250,'Historico - FAT'!$I:$I,Faturamento!$J1250,'Historico - FAT'!$G:$G,Faturamento!$H1250)</f>
        <v>70.972000000000008</v>
      </c>
      <c r="AG1250" s="24">
        <f t="shared" si="289"/>
        <v>1</v>
      </c>
      <c r="AH1250" s="24">
        <f t="shared" si="290"/>
        <v>0.82077777777777783</v>
      </c>
      <c r="AI1250" s="24">
        <f t="shared" si="291"/>
        <v>0.64155555555555543</v>
      </c>
    </row>
    <row r="1251" spans="1:35" hidden="1" x14ac:dyDescent="0.3">
      <c r="A1251" s="2" t="str">
        <f t="shared" si="287"/>
        <v>NÃO</v>
      </c>
      <c r="B1251" s="2">
        <v>1000184670</v>
      </c>
      <c r="C1251" s="2" t="s">
        <v>147</v>
      </c>
      <c r="D1251" s="4">
        <v>1000186197</v>
      </c>
      <c r="E1251" s="4" t="s">
        <v>166</v>
      </c>
      <c r="F1251" s="2">
        <v>1000185288</v>
      </c>
      <c r="G1251" s="2" t="s">
        <v>64</v>
      </c>
      <c r="H1251" s="4">
        <v>1000189810</v>
      </c>
      <c r="I1251" s="4" t="s">
        <v>96</v>
      </c>
      <c r="J1251" s="2">
        <v>1000189270</v>
      </c>
      <c r="K1251" s="2" t="s">
        <v>34</v>
      </c>
      <c r="L1251" s="4" t="s">
        <v>20</v>
      </c>
      <c r="M1251" s="4" t="str">
        <f t="shared" si="294"/>
        <v>1000184670100018619710001898101000189270REEMBALADOS</v>
      </c>
      <c r="N1251" s="28">
        <f>N1239*_xlfn.XLOOKUP($L1251,'Balizador da Meta'!$B$4:$B$21,'Balizador da Meta'!$C$4:$C$21)</f>
        <v>216</v>
      </c>
      <c r="O1251" s="28">
        <f>O1239*_xlfn.XLOOKUP($L1251,'Balizador da Meta'!$B$4:$B$21,'Balizador da Meta'!$C$4:$C$21)</f>
        <v>216</v>
      </c>
      <c r="P1251" s="28">
        <f>P1239*_xlfn.XLOOKUP($L1251,'Balizador da Meta'!$B$4:$B$21,'Balizador da Meta'!$C$4:$C$21)</f>
        <v>240</v>
      </c>
      <c r="Q1251" s="28">
        <f>Q1239*_xlfn.XLOOKUP($L1251,'Balizador da Meta'!$B$4:$B$21,'Balizador da Meta'!$C$4:$C$21)</f>
        <v>240</v>
      </c>
      <c r="R1251" s="28">
        <f>R1239*_xlfn.XLOOKUP($L1251,'Balizador da Meta'!$B$4:$B$21,'Balizador da Meta'!$C$4:$C$21)</f>
        <v>240</v>
      </c>
      <c r="S1251" s="28">
        <f>S1239*_xlfn.XLOOKUP($L1251,'Balizador da Meta'!$B$4:$B$21,'Balizador da Meta'!$C$4:$C$21)</f>
        <v>240</v>
      </c>
      <c r="T1251" s="28">
        <f>T1239*_xlfn.XLOOKUP($L1251,'Balizador da Meta'!$B$4:$B$21,'Balizador da Meta'!$C$4:$C$21)</f>
        <v>240</v>
      </c>
      <c r="U1251" s="28">
        <f>U1239*_xlfn.XLOOKUP($L1251,'Balizador da Meta'!$B$4:$B$21,'Balizador da Meta'!$C$4:$C$21)</f>
        <v>264</v>
      </c>
      <c r="V1251" s="28">
        <f>V1239*_xlfn.XLOOKUP($L1251,'Balizador da Meta'!$B$4:$B$21,'Balizador da Meta'!$C$4:$C$21)</f>
        <v>264</v>
      </c>
      <c r="W1251" s="28">
        <f>W1239*_xlfn.XLOOKUP($L1251,'Balizador da Meta'!$B$4:$B$21,'Balizador da Meta'!$C$4:$C$21)</f>
        <v>264</v>
      </c>
      <c r="X1251" s="28">
        <f>X1239*_xlfn.XLOOKUP($L1251,'Balizador da Meta'!$B$4:$B$21,'Balizador da Meta'!$C$4:$C$21)</f>
        <v>264</v>
      </c>
      <c r="Y1251" s="28">
        <f>Y1239*_xlfn.XLOOKUP($L1251,'Balizador da Meta'!$B$4:$B$21,'Balizador da Meta'!$C$4:$C$21)</f>
        <v>264</v>
      </c>
      <c r="Z1251" s="30">
        <f t="shared" si="298"/>
        <v>2952</v>
      </c>
      <c r="AA1251" s="29"/>
      <c r="AB1251" s="31">
        <f>SUMIFS('Historico - FAT'!AK:AK,'Historico - FAT'!$K:$K,Faturamento!$L1251,'Historico - FAT'!$I:$I,Faturamento!$J1251,'Historico - FAT'!$G:$G,Faturamento!$H1251)</f>
        <v>0</v>
      </c>
      <c r="AC1251" s="31">
        <f>SUMIFS('Historico - FAT'!AL:AL,'Historico - FAT'!$K:$K,Faturamento!$L1251,'Historico - FAT'!$I:$I,Faturamento!$J1251,'Historico - FAT'!$G:$G,Faturamento!$H1251)</f>
        <v>339.22750000000002</v>
      </c>
      <c r="AD1251" s="31">
        <f>SUMIFS('Historico - FAT'!AM:AM,'Historico - FAT'!$K:$K,Faturamento!$L1251,'Historico - FAT'!$I:$I,Faturamento!$J1251,'Historico - FAT'!$G:$G,Faturamento!$H1251)</f>
        <v>678.45500000000004</v>
      </c>
      <c r="AE1251" s="27">
        <f>SUMIFS('Historico - FAT'!AN:AN,'Historico - FAT'!$K:$K,Faturamento!$L1251,'Historico - FAT'!$I:$I,Faturamento!$J1251,'Historico - FAT'!$G:$G,Faturamento!$H1251)</f>
        <v>407.07299999999998</v>
      </c>
      <c r="AG1251" s="24">
        <f t="shared" si="289"/>
        <v>1</v>
      </c>
      <c r="AH1251" s="24">
        <f t="shared" si="290"/>
        <v>-0.28495265151515159</v>
      </c>
      <c r="AI1251" s="24">
        <f t="shared" si="291"/>
        <v>-1.5699053030303032</v>
      </c>
    </row>
    <row r="1252" spans="1:35" hidden="1" x14ac:dyDescent="0.3">
      <c r="A1252" s="2" t="str">
        <f t="shared" si="287"/>
        <v>NÃO</v>
      </c>
      <c r="B1252" s="2">
        <v>1000184670</v>
      </c>
      <c r="C1252" s="2" t="s">
        <v>147</v>
      </c>
      <c r="D1252" s="4">
        <v>1000186197</v>
      </c>
      <c r="E1252" s="4" t="s">
        <v>166</v>
      </c>
      <c r="F1252" s="2">
        <v>1000185288</v>
      </c>
      <c r="G1252" s="2" t="s">
        <v>64</v>
      </c>
      <c r="H1252" s="4">
        <v>1000189810</v>
      </c>
      <c r="I1252" s="4" t="s">
        <v>96</v>
      </c>
      <c r="J1252" s="2">
        <v>1000189270</v>
      </c>
      <c r="K1252" s="2" t="s">
        <v>34</v>
      </c>
      <c r="L1252" s="4" t="s">
        <v>22</v>
      </c>
      <c r="M1252" s="4" t="str">
        <f t="shared" si="294"/>
        <v>1000184670100018619710001898101000189270S GLUTEN</v>
      </c>
      <c r="N1252" s="28">
        <f>N1239*_xlfn.XLOOKUP($L1252,'Balizador da Meta'!$B$4:$B$21,'Balizador da Meta'!$C$4:$C$21)</f>
        <v>216</v>
      </c>
      <c r="O1252" s="28">
        <f>O1239*_xlfn.XLOOKUP($L1252,'Balizador da Meta'!$B$4:$B$21,'Balizador da Meta'!$C$4:$C$21)</f>
        <v>216</v>
      </c>
      <c r="P1252" s="28">
        <f>P1239*_xlfn.XLOOKUP($L1252,'Balizador da Meta'!$B$4:$B$21,'Balizador da Meta'!$C$4:$C$21)</f>
        <v>240</v>
      </c>
      <c r="Q1252" s="28">
        <f>Q1239*_xlfn.XLOOKUP($L1252,'Balizador da Meta'!$B$4:$B$21,'Balizador da Meta'!$C$4:$C$21)</f>
        <v>240</v>
      </c>
      <c r="R1252" s="28">
        <f>R1239*_xlfn.XLOOKUP($L1252,'Balizador da Meta'!$B$4:$B$21,'Balizador da Meta'!$C$4:$C$21)</f>
        <v>240</v>
      </c>
      <c r="S1252" s="28">
        <f>S1239*_xlfn.XLOOKUP($L1252,'Balizador da Meta'!$B$4:$B$21,'Balizador da Meta'!$C$4:$C$21)</f>
        <v>240</v>
      </c>
      <c r="T1252" s="28">
        <f>T1239*_xlfn.XLOOKUP($L1252,'Balizador da Meta'!$B$4:$B$21,'Balizador da Meta'!$C$4:$C$21)</f>
        <v>240</v>
      </c>
      <c r="U1252" s="28">
        <f>U1239*_xlfn.XLOOKUP($L1252,'Balizador da Meta'!$B$4:$B$21,'Balizador da Meta'!$C$4:$C$21)</f>
        <v>264</v>
      </c>
      <c r="V1252" s="28">
        <f>V1239*_xlfn.XLOOKUP($L1252,'Balizador da Meta'!$B$4:$B$21,'Balizador da Meta'!$C$4:$C$21)</f>
        <v>264</v>
      </c>
      <c r="W1252" s="28">
        <f>W1239*_xlfn.XLOOKUP($L1252,'Balizador da Meta'!$B$4:$B$21,'Balizador da Meta'!$C$4:$C$21)</f>
        <v>264</v>
      </c>
      <c r="X1252" s="28">
        <f>X1239*_xlfn.XLOOKUP($L1252,'Balizador da Meta'!$B$4:$B$21,'Balizador da Meta'!$C$4:$C$21)</f>
        <v>264</v>
      </c>
      <c r="Y1252" s="28">
        <f>Y1239*_xlfn.XLOOKUP($L1252,'Balizador da Meta'!$B$4:$B$21,'Balizador da Meta'!$C$4:$C$21)</f>
        <v>264</v>
      </c>
      <c r="Z1252" s="30">
        <f t="shared" si="298"/>
        <v>2952</v>
      </c>
      <c r="AA1252" s="29"/>
      <c r="AB1252" s="31">
        <f>SUMIFS('Historico - FAT'!AK:AK,'Historico - FAT'!$K:$K,Faturamento!$L1252,'Historico - FAT'!$I:$I,Faturamento!$J1252,'Historico - FAT'!$G:$G,Faturamento!$H1252)</f>
        <v>0</v>
      </c>
      <c r="AC1252" s="31">
        <f>SUMIFS('Historico - FAT'!AL:AL,'Historico - FAT'!$K:$K,Faturamento!$L1252,'Historico - FAT'!$I:$I,Faturamento!$J1252,'Historico - FAT'!$G:$G,Faturamento!$H1252)</f>
        <v>0</v>
      </c>
      <c r="AD1252" s="31">
        <f>SUMIFS('Historico - FAT'!AM:AM,'Historico - FAT'!$K:$K,Faturamento!$L1252,'Historico - FAT'!$I:$I,Faturamento!$J1252,'Historico - FAT'!$G:$G,Faturamento!$H1252)</f>
        <v>0</v>
      </c>
      <c r="AE1252" s="27">
        <f>SUMIFS('Historico - FAT'!AN:AN,'Historico - FAT'!$K:$K,Faturamento!$L1252,'Historico - FAT'!$I:$I,Faturamento!$J1252,'Historico - FAT'!$G:$G,Faturamento!$H1252)</f>
        <v>0</v>
      </c>
      <c r="AG1252" s="24">
        <f t="shared" si="289"/>
        <v>1</v>
      </c>
      <c r="AH1252" s="24">
        <f t="shared" si="290"/>
        <v>1</v>
      </c>
      <c r="AI1252" s="24">
        <f t="shared" si="291"/>
        <v>1</v>
      </c>
    </row>
    <row r="1253" spans="1:35" hidden="1" x14ac:dyDescent="0.3">
      <c r="A1253" s="2" t="str">
        <f t="shared" si="287"/>
        <v>NÃO</v>
      </c>
      <c r="B1253" s="2">
        <v>1000184670</v>
      </c>
      <c r="C1253" s="2" t="s">
        <v>147</v>
      </c>
      <c r="D1253" s="4">
        <v>1000186197</v>
      </c>
      <c r="E1253" s="4" t="s">
        <v>166</v>
      </c>
      <c r="F1253" s="2">
        <v>1000185288</v>
      </c>
      <c r="G1253" s="2" t="s">
        <v>64</v>
      </c>
      <c r="H1253" s="4">
        <v>1000189810</v>
      </c>
      <c r="I1253" s="4" t="s">
        <v>96</v>
      </c>
      <c r="J1253" s="2">
        <v>1000189270</v>
      </c>
      <c r="K1253" s="2" t="s">
        <v>34</v>
      </c>
      <c r="L1253" s="4" t="s">
        <v>23</v>
      </c>
      <c r="M1253" s="4" t="str">
        <f t="shared" si="294"/>
        <v>1000184670100018619710001898101000189270SABORES DO CAMPO</v>
      </c>
      <c r="N1253" s="28">
        <f>N1239*_xlfn.XLOOKUP($L1253,'Balizador da Meta'!$B$4:$B$21,'Balizador da Meta'!$C$4:$C$21)</f>
        <v>0</v>
      </c>
      <c r="O1253" s="28">
        <f>O1239*_xlfn.XLOOKUP($L1253,'Balizador da Meta'!$B$4:$B$21,'Balizador da Meta'!$C$4:$C$21)</f>
        <v>0</v>
      </c>
      <c r="P1253" s="28">
        <f>P1239*_xlfn.XLOOKUP($L1253,'Balizador da Meta'!$B$4:$B$21,'Balizador da Meta'!$C$4:$C$21)</f>
        <v>0</v>
      </c>
      <c r="Q1253" s="28">
        <f>Q1239*_xlfn.XLOOKUP($L1253,'Balizador da Meta'!$B$4:$B$21,'Balizador da Meta'!$C$4:$C$21)</f>
        <v>0</v>
      </c>
      <c r="R1253" s="28">
        <f>R1239*_xlfn.XLOOKUP($L1253,'Balizador da Meta'!$B$4:$B$21,'Balizador da Meta'!$C$4:$C$21)</f>
        <v>0</v>
      </c>
      <c r="S1253" s="28">
        <f>S1239*_xlfn.XLOOKUP($L1253,'Balizador da Meta'!$B$4:$B$21,'Balizador da Meta'!$C$4:$C$21)</f>
        <v>0</v>
      </c>
      <c r="T1253" s="28">
        <f>T1239*_xlfn.XLOOKUP($L1253,'Balizador da Meta'!$B$4:$B$21,'Balizador da Meta'!$C$4:$C$21)</f>
        <v>0</v>
      </c>
      <c r="U1253" s="28">
        <f>U1239*_xlfn.XLOOKUP($L1253,'Balizador da Meta'!$B$4:$B$21,'Balizador da Meta'!$C$4:$C$21)</f>
        <v>0</v>
      </c>
      <c r="V1253" s="28">
        <f>V1239*_xlfn.XLOOKUP($L1253,'Balizador da Meta'!$B$4:$B$21,'Balizador da Meta'!$C$4:$C$21)</f>
        <v>0</v>
      </c>
      <c r="W1253" s="28">
        <f>W1239*_xlfn.XLOOKUP($L1253,'Balizador da Meta'!$B$4:$B$21,'Balizador da Meta'!$C$4:$C$21)</f>
        <v>0</v>
      </c>
      <c r="X1253" s="28">
        <f>X1239*_xlfn.XLOOKUP($L1253,'Balizador da Meta'!$B$4:$B$21,'Balizador da Meta'!$C$4:$C$21)</f>
        <v>0</v>
      </c>
      <c r="Y1253" s="28">
        <f>Y1239*_xlfn.XLOOKUP($L1253,'Balizador da Meta'!$B$4:$B$21,'Balizador da Meta'!$C$4:$C$21)</f>
        <v>0</v>
      </c>
      <c r="Z1253" s="30">
        <f t="shared" si="298"/>
        <v>0</v>
      </c>
      <c r="AA1253" s="29"/>
      <c r="AB1253" s="31">
        <f>SUMIFS('Historico - FAT'!AK:AK,'Historico - FAT'!$K:$K,Faturamento!$L1253,'Historico - FAT'!$I:$I,Faturamento!$J1253,'Historico - FAT'!$G:$G,Faturamento!$H1253)</f>
        <v>0</v>
      </c>
      <c r="AC1253" s="31">
        <f>SUMIFS('Historico - FAT'!AL:AL,'Historico - FAT'!$K:$K,Faturamento!$L1253,'Historico - FAT'!$I:$I,Faturamento!$J1253,'Historico - FAT'!$G:$G,Faturamento!$H1253)</f>
        <v>3.5375000000000001</v>
      </c>
      <c r="AD1253" s="31">
        <f>SUMIFS('Historico - FAT'!AM:AM,'Historico - FAT'!$K:$K,Faturamento!$L1253,'Historico - FAT'!$I:$I,Faturamento!$J1253,'Historico - FAT'!$G:$G,Faturamento!$H1253)</f>
        <v>7.0750000000000002</v>
      </c>
      <c r="AE1253" s="27">
        <f>SUMIFS('Historico - FAT'!AN:AN,'Historico - FAT'!$K:$K,Faturamento!$L1253,'Historico - FAT'!$I:$I,Faturamento!$J1253,'Historico - FAT'!$G:$G,Faturamento!$H1253)</f>
        <v>4.2450000000000001</v>
      </c>
      <c r="AG1253" s="24" t="str">
        <f t="shared" si="289"/>
        <v/>
      </c>
      <c r="AH1253" s="24" t="str">
        <f t="shared" si="290"/>
        <v/>
      </c>
      <c r="AI1253" s="24" t="str">
        <f t="shared" si="291"/>
        <v/>
      </c>
    </row>
    <row r="1254" spans="1:35" hidden="1" x14ac:dyDescent="0.3">
      <c r="A1254" s="2" t="str">
        <f t="shared" si="287"/>
        <v>NÃO</v>
      </c>
      <c r="B1254" s="2">
        <v>1000184670</v>
      </c>
      <c r="C1254" s="2" t="s">
        <v>147</v>
      </c>
      <c r="D1254" s="4">
        <v>1000186197</v>
      </c>
      <c r="E1254" s="4" t="s">
        <v>166</v>
      </c>
      <c r="F1254" s="2">
        <v>1000185288</v>
      </c>
      <c r="G1254" s="2" t="s">
        <v>64</v>
      </c>
      <c r="H1254" s="4">
        <v>1000189810</v>
      </c>
      <c r="I1254" s="4" t="s">
        <v>96</v>
      </c>
      <c r="J1254" s="2">
        <v>1000189270</v>
      </c>
      <c r="K1254" s="2" t="s">
        <v>34</v>
      </c>
      <c r="L1254" s="4" t="s">
        <v>28</v>
      </c>
      <c r="M1254" s="4" t="str">
        <f t="shared" si="294"/>
        <v>1000184670100018619710001898101000189270SAL</v>
      </c>
      <c r="N1254" s="28">
        <f>N1239*_xlfn.XLOOKUP($L1254,'Balizador da Meta'!$B$4:$B$21,'Balizador da Meta'!$C$4:$C$21)</f>
        <v>108</v>
      </c>
      <c r="O1254" s="28">
        <f>O1239*_xlfn.XLOOKUP($L1254,'Balizador da Meta'!$B$4:$B$21,'Balizador da Meta'!$C$4:$C$21)</f>
        <v>108</v>
      </c>
      <c r="P1254" s="28">
        <f>P1239*_xlfn.XLOOKUP($L1254,'Balizador da Meta'!$B$4:$B$21,'Balizador da Meta'!$C$4:$C$21)</f>
        <v>120</v>
      </c>
      <c r="Q1254" s="28">
        <f>Q1239*_xlfn.XLOOKUP($L1254,'Balizador da Meta'!$B$4:$B$21,'Balizador da Meta'!$C$4:$C$21)</f>
        <v>120</v>
      </c>
      <c r="R1254" s="28">
        <f>R1239*_xlfn.XLOOKUP($L1254,'Balizador da Meta'!$B$4:$B$21,'Balizador da Meta'!$C$4:$C$21)</f>
        <v>120</v>
      </c>
      <c r="S1254" s="28">
        <f>S1239*_xlfn.XLOOKUP($L1254,'Balizador da Meta'!$B$4:$B$21,'Balizador da Meta'!$C$4:$C$21)</f>
        <v>120</v>
      </c>
      <c r="T1254" s="28">
        <f>T1239*_xlfn.XLOOKUP($L1254,'Balizador da Meta'!$B$4:$B$21,'Balizador da Meta'!$C$4:$C$21)</f>
        <v>120</v>
      </c>
      <c r="U1254" s="28">
        <f>U1239*_xlfn.XLOOKUP($L1254,'Balizador da Meta'!$B$4:$B$21,'Balizador da Meta'!$C$4:$C$21)</f>
        <v>132</v>
      </c>
      <c r="V1254" s="28">
        <f>V1239*_xlfn.XLOOKUP($L1254,'Balizador da Meta'!$B$4:$B$21,'Balizador da Meta'!$C$4:$C$21)</f>
        <v>132</v>
      </c>
      <c r="W1254" s="28">
        <f>W1239*_xlfn.XLOOKUP($L1254,'Balizador da Meta'!$B$4:$B$21,'Balizador da Meta'!$C$4:$C$21)</f>
        <v>132</v>
      </c>
      <c r="X1254" s="28">
        <f>X1239*_xlfn.XLOOKUP($L1254,'Balizador da Meta'!$B$4:$B$21,'Balizador da Meta'!$C$4:$C$21)</f>
        <v>132</v>
      </c>
      <c r="Y1254" s="28">
        <f>Y1239*_xlfn.XLOOKUP($L1254,'Balizador da Meta'!$B$4:$B$21,'Balizador da Meta'!$C$4:$C$21)</f>
        <v>132</v>
      </c>
      <c r="Z1254" s="30">
        <f t="shared" si="298"/>
        <v>1476</v>
      </c>
      <c r="AA1254" s="29"/>
      <c r="AB1254" s="31">
        <f>SUMIFS('Historico - FAT'!AK:AK,'Historico - FAT'!$K:$K,Faturamento!$L1254,'Historico - FAT'!$I:$I,Faturamento!$J1254,'Historico - FAT'!$G:$G,Faturamento!$H1254)</f>
        <v>0</v>
      </c>
      <c r="AC1254" s="31">
        <f>SUMIFS('Historico - FAT'!AL:AL,'Historico - FAT'!$K:$K,Faturamento!$L1254,'Historico - FAT'!$I:$I,Faturamento!$J1254,'Historico - FAT'!$G:$G,Faturamento!$H1254)</f>
        <v>15.985833333333332</v>
      </c>
      <c r="AD1254" s="31">
        <f>SUMIFS('Historico - FAT'!AM:AM,'Historico - FAT'!$K:$K,Faturamento!$L1254,'Historico - FAT'!$I:$I,Faturamento!$J1254,'Historico - FAT'!$G:$G,Faturamento!$H1254)</f>
        <v>31.971666666666664</v>
      </c>
      <c r="AE1254" s="27">
        <f>SUMIFS('Historico - FAT'!AN:AN,'Historico - FAT'!$K:$K,Faturamento!$L1254,'Historico - FAT'!$I:$I,Faturamento!$J1254,'Historico - FAT'!$G:$G,Faturamento!$H1254)</f>
        <v>19.183</v>
      </c>
      <c r="AG1254" s="24">
        <f t="shared" si="289"/>
        <v>1</v>
      </c>
      <c r="AH1254" s="24">
        <f t="shared" si="290"/>
        <v>0.87889520202020199</v>
      </c>
      <c r="AI1254" s="24">
        <f t="shared" si="291"/>
        <v>0.7577904040404041</v>
      </c>
    </row>
    <row r="1255" spans="1:35" hidden="1" x14ac:dyDescent="0.3">
      <c r="A1255" s="2" t="str">
        <f t="shared" si="287"/>
        <v>NÃO</v>
      </c>
      <c r="B1255" s="2">
        <v>1000184670</v>
      </c>
      <c r="C1255" s="2" t="s">
        <v>147</v>
      </c>
      <c r="D1255" s="4">
        <v>1000186197</v>
      </c>
      <c r="E1255" s="4" t="s">
        <v>166</v>
      </c>
      <c r="F1255" s="2">
        <v>1000185288</v>
      </c>
      <c r="G1255" s="2" t="s">
        <v>64</v>
      </c>
      <c r="H1255" s="4">
        <v>1000189810</v>
      </c>
      <c r="I1255" s="4" t="s">
        <v>96</v>
      </c>
      <c r="J1255" s="2">
        <v>1000189270</v>
      </c>
      <c r="K1255" s="2" t="s">
        <v>34</v>
      </c>
      <c r="L1255" s="4" t="s">
        <v>26</v>
      </c>
      <c r="M1255" s="4" t="str">
        <f t="shared" si="294"/>
        <v>1000184670100018619710001898101000189270SOULPRO</v>
      </c>
      <c r="N1255" s="28">
        <f>N1239*_xlfn.XLOOKUP($L1255,'Balizador da Meta'!$B$4:$B$21,'Balizador da Meta'!$C$4:$C$21)</f>
        <v>324</v>
      </c>
      <c r="O1255" s="28">
        <f>O1239*_xlfn.XLOOKUP($L1255,'Balizador da Meta'!$B$4:$B$21,'Balizador da Meta'!$C$4:$C$21)</f>
        <v>324</v>
      </c>
      <c r="P1255" s="28">
        <f>P1239*_xlfn.XLOOKUP($L1255,'Balizador da Meta'!$B$4:$B$21,'Balizador da Meta'!$C$4:$C$21)</f>
        <v>360</v>
      </c>
      <c r="Q1255" s="28">
        <f>Q1239*_xlfn.XLOOKUP($L1255,'Balizador da Meta'!$B$4:$B$21,'Balizador da Meta'!$C$4:$C$21)</f>
        <v>360</v>
      </c>
      <c r="R1255" s="28">
        <f>R1239*_xlfn.XLOOKUP($L1255,'Balizador da Meta'!$B$4:$B$21,'Balizador da Meta'!$C$4:$C$21)</f>
        <v>360</v>
      </c>
      <c r="S1255" s="28">
        <f>S1239*_xlfn.XLOOKUP($L1255,'Balizador da Meta'!$B$4:$B$21,'Balizador da Meta'!$C$4:$C$21)</f>
        <v>360</v>
      </c>
      <c r="T1255" s="28">
        <f>T1239*_xlfn.XLOOKUP($L1255,'Balizador da Meta'!$B$4:$B$21,'Balizador da Meta'!$C$4:$C$21)</f>
        <v>360</v>
      </c>
      <c r="U1255" s="28">
        <f>U1239*_xlfn.XLOOKUP($L1255,'Balizador da Meta'!$B$4:$B$21,'Balizador da Meta'!$C$4:$C$21)</f>
        <v>396</v>
      </c>
      <c r="V1255" s="28">
        <f>V1239*_xlfn.XLOOKUP($L1255,'Balizador da Meta'!$B$4:$B$21,'Balizador da Meta'!$C$4:$C$21)</f>
        <v>396</v>
      </c>
      <c r="W1255" s="28">
        <f>W1239*_xlfn.XLOOKUP($L1255,'Balizador da Meta'!$B$4:$B$21,'Balizador da Meta'!$C$4:$C$21)</f>
        <v>396</v>
      </c>
      <c r="X1255" s="28">
        <f>X1239*_xlfn.XLOOKUP($L1255,'Balizador da Meta'!$B$4:$B$21,'Balizador da Meta'!$C$4:$C$21)</f>
        <v>396</v>
      </c>
      <c r="Y1255" s="28">
        <f>Y1239*_xlfn.XLOOKUP($L1255,'Balizador da Meta'!$B$4:$B$21,'Balizador da Meta'!$C$4:$C$21)</f>
        <v>396</v>
      </c>
      <c r="Z1255" s="30">
        <f t="shared" si="298"/>
        <v>4428</v>
      </c>
      <c r="AA1255" s="29"/>
      <c r="AB1255" s="31">
        <f>SUMIFS('Historico - FAT'!AK:AK,'Historico - FAT'!$K:$K,Faturamento!$L1255,'Historico - FAT'!$I:$I,Faturamento!$J1255,'Historico - FAT'!$G:$G,Faturamento!$H1255)</f>
        <v>0</v>
      </c>
      <c r="AC1255" s="31">
        <f>SUMIFS('Historico - FAT'!AL:AL,'Historico - FAT'!$K:$K,Faturamento!$L1255,'Historico - FAT'!$I:$I,Faturamento!$J1255,'Historico - FAT'!$G:$G,Faturamento!$H1255)</f>
        <v>52.802500000000002</v>
      </c>
      <c r="AD1255" s="31">
        <f>SUMIFS('Historico - FAT'!AM:AM,'Historico - FAT'!$K:$K,Faturamento!$L1255,'Historico - FAT'!$I:$I,Faturamento!$J1255,'Historico - FAT'!$G:$G,Faturamento!$H1255)</f>
        <v>0</v>
      </c>
      <c r="AE1255" s="27">
        <f>SUMIFS('Historico - FAT'!AN:AN,'Historico - FAT'!$K:$K,Faturamento!$L1255,'Historico - FAT'!$I:$I,Faturamento!$J1255,'Historico - FAT'!$G:$G,Faturamento!$H1255)</f>
        <v>63.363</v>
      </c>
      <c r="AG1255" s="24">
        <f t="shared" si="289"/>
        <v>1</v>
      </c>
      <c r="AH1255" s="24">
        <f t="shared" si="290"/>
        <v>0.86666035353535353</v>
      </c>
      <c r="AI1255" s="24">
        <f t="shared" si="291"/>
        <v>1</v>
      </c>
    </row>
    <row r="1256" spans="1:35" hidden="1" x14ac:dyDescent="0.3">
      <c r="A1256" s="2" t="str">
        <f t="shared" si="287"/>
        <v>NÃO</v>
      </c>
      <c r="B1256" s="2">
        <v>1000184670</v>
      </c>
      <c r="C1256" s="2" t="s">
        <v>147</v>
      </c>
      <c r="D1256" s="4">
        <v>1000186197</v>
      </c>
      <c r="E1256" s="4" t="s">
        <v>166</v>
      </c>
      <c r="F1256" s="2">
        <v>1000185288</v>
      </c>
      <c r="G1256" s="2" t="s">
        <v>64</v>
      </c>
      <c r="H1256" s="4">
        <v>1000189810</v>
      </c>
      <c r="I1256" s="4" t="s">
        <v>96</v>
      </c>
      <c r="J1256" s="2">
        <v>1000189270</v>
      </c>
      <c r="K1256" s="2" t="s">
        <v>34</v>
      </c>
      <c r="L1256" s="4" t="s">
        <v>27</v>
      </c>
      <c r="M1256" s="4" t="str">
        <f t="shared" si="294"/>
        <v>1000184670100018619710001898101000189270TAMARA</v>
      </c>
      <c r="N1256" s="28">
        <f>N1239*_xlfn.XLOOKUP($L1256,'Balizador da Meta'!$B$4:$B$21,'Balizador da Meta'!$C$4:$C$21)</f>
        <v>432</v>
      </c>
      <c r="O1256" s="28">
        <f>O1239*_xlfn.XLOOKUP($L1256,'Balizador da Meta'!$B$4:$B$21,'Balizador da Meta'!$C$4:$C$21)</f>
        <v>432</v>
      </c>
      <c r="P1256" s="28">
        <f>P1239*_xlfn.XLOOKUP($L1256,'Balizador da Meta'!$B$4:$B$21,'Balizador da Meta'!$C$4:$C$21)</f>
        <v>480</v>
      </c>
      <c r="Q1256" s="28">
        <f>Q1239*_xlfn.XLOOKUP($L1256,'Balizador da Meta'!$B$4:$B$21,'Balizador da Meta'!$C$4:$C$21)</f>
        <v>480</v>
      </c>
      <c r="R1256" s="28">
        <f>R1239*_xlfn.XLOOKUP($L1256,'Balizador da Meta'!$B$4:$B$21,'Balizador da Meta'!$C$4:$C$21)</f>
        <v>480</v>
      </c>
      <c r="S1256" s="28">
        <f>S1239*_xlfn.XLOOKUP($L1256,'Balizador da Meta'!$B$4:$B$21,'Balizador da Meta'!$C$4:$C$21)</f>
        <v>480</v>
      </c>
      <c r="T1256" s="28">
        <f>T1239*_xlfn.XLOOKUP($L1256,'Balizador da Meta'!$B$4:$B$21,'Balizador da Meta'!$C$4:$C$21)</f>
        <v>480</v>
      </c>
      <c r="U1256" s="28">
        <f>U1239*_xlfn.XLOOKUP($L1256,'Balizador da Meta'!$B$4:$B$21,'Balizador da Meta'!$C$4:$C$21)</f>
        <v>528</v>
      </c>
      <c r="V1256" s="28">
        <f>V1239*_xlfn.XLOOKUP($L1256,'Balizador da Meta'!$B$4:$B$21,'Balizador da Meta'!$C$4:$C$21)</f>
        <v>528</v>
      </c>
      <c r="W1256" s="28">
        <f>W1239*_xlfn.XLOOKUP($L1256,'Balizador da Meta'!$B$4:$B$21,'Balizador da Meta'!$C$4:$C$21)</f>
        <v>528</v>
      </c>
      <c r="X1256" s="28">
        <f>X1239*_xlfn.XLOOKUP($L1256,'Balizador da Meta'!$B$4:$B$21,'Balizador da Meta'!$C$4:$C$21)</f>
        <v>528</v>
      </c>
      <c r="Y1256" s="28">
        <f>Y1239*_xlfn.XLOOKUP($L1256,'Balizador da Meta'!$B$4:$B$21,'Balizador da Meta'!$C$4:$C$21)</f>
        <v>528</v>
      </c>
      <c r="Z1256" s="30">
        <f t="shared" si="298"/>
        <v>5904</v>
      </c>
      <c r="AA1256" s="29"/>
      <c r="AB1256" s="31">
        <f>SUMIFS('Historico - FAT'!AK:AK,'Historico - FAT'!$K:$K,Faturamento!$L1256,'Historico - FAT'!$I:$I,Faturamento!$J1256,'Historico - FAT'!$G:$G,Faturamento!$H1256)</f>
        <v>0</v>
      </c>
      <c r="AC1256" s="31">
        <f>SUMIFS('Historico - FAT'!AL:AL,'Historico - FAT'!$K:$K,Faturamento!$L1256,'Historico - FAT'!$I:$I,Faturamento!$J1256,'Historico - FAT'!$G:$G,Faturamento!$H1256)</f>
        <v>7.3641666666666667</v>
      </c>
      <c r="AD1256" s="31">
        <f>SUMIFS('Historico - FAT'!AM:AM,'Historico - FAT'!$K:$K,Faturamento!$L1256,'Historico - FAT'!$I:$I,Faturamento!$J1256,'Historico - FAT'!$G:$G,Faturamento!$H1256)</f>
        <v>0</v>
      </c>
      <c r="AE1256" s="27">
        <f>SUMIFS('Historico - FAT'!AN:AN,'Historico - FAT'!$K:$K,Faturamento!$L1256,'Historico - FAT'!$I:$I,Faturamento!$J1256,'Historico - FAT'!$G:$G,Faturamento!$H1256)</f>
        <v>8.8369999999999997</v>
      </c>
      <c r="AG1256" s="24">
        <f t="shared" si="289"/>
        <v>1</v>
      </c>
      <c r="AH1256" s="24">
        <f t="shared" si="290"/>
        <v>0.98605271464646471</v>
      </c>
      <c r="AI1256" s="24">
        <f t="shared" si="291"/>
        <v>1</v>
      </c>
    </row>
    <row r="1257" spans="1:35" hidden="1" x14ac:dyDescent="0.3">
      <c r="A1257" s="2" t="str">
        <f t="shared" si="287"/>
        <v>NÃO</v>
      </c>
      <c r="B1257" s="2">
        <v>1000184670</v>
      </c>
      <c r="C1257" s="2" t="s">
        <v>147</v>
      </c>
      <c r="D1257" s="4">
        <v>1000186197</v>
      </c>
      <c r="E1257" s="4" t="s">
        <v>166</v>
      </c>
      <c r="F1257" s="2">
        <v>1000185288</v>
      </c>
      <c r="G1257" s="2" t="s">
        <v>64</v>
      </c>
      <c r="H1257" s="4">
        <v>1000189810</v>
      </c>
      <c r="I1257" s="4" t="s">
        <v>96</v>
      </c>
      <c r="J1257" s="2">
        <v>1000189270</v>
      </c>
      <c r="K1257" s="2" t="s">
        <v>34</v>
      </c>
      <c r="L1257" s="4" t="s">
        <v>25</v>
      </c>
      <c r="M1257" s="4" t="str">
        <f t="shared" si="294"/>
        <v>1000184670100018619710001898101000189270VICCIO</v>
      </c>
      <c r="N1257" s="28">
        <f>N1239*_xlfn.XLOOKUP($L1257,'Balizador da Meta'!$B$4:$B$21,'Balizador da Meta'!$C$4:$C$21)</f>
        <v>162</v>
      </c>
      <c r="O1257" s="28">
        <f>O1239*_xlfn.XLOOKUP($L1257,'Balizador da Meta'!$B$4:$B$21,'Balizador da Meta'!$C$4:$C$21)</f>
        <v>162</v>
      </c>
      <c r="P1257" s="28">
        <f>P1239*_xlfn.XLOOKUP($L1257,'Balizador da Meta'!$B$4:$B$21,'Balizador da Meta'!$C$4:$C$21)</f>
        <v>180</v>
      </c>
      <c r="Q1257" s="28">
        <f>Q1239*_xlfn.XLOOKUP($L1257,'Balizador da Meta'!$B$4:$B$21,'Balizador da Meta'!$C$4:$C$21)</f>
        <v>180</v>
      </c>
      <c r="R1257" s="28">
        <f>R1239*_xlfn.XLOOKUP($L1257,'Balizador da Meta'!$B$4:$B$21,'Balizador da Meta'!$C$4:$C$21)</f>
        <v>180</v>
      </c>
      <c r="S1257" s="28">
        <f>S1239*_xlfn.XLOOKUP($L1257,'Balizador da Meta'!$B$4:$B$21,'Balizador da Meta'!$C$4:$C$21)</f>
        <v>180</v>
      </c>
      <c r="T1257" s="28">
        <f>T1239*_xlfn.XLOOKUP($L1257,'Balizador da Meta'!$B$4:$B$21,'Balizador da Meta'!$C$4:$C$21)</f>
        <v>180</v>
      </c>
      <c r="U1257" s="28">
        <f>U1239*_xlfn.XLOOKUP($L1257,'Balizador da Meta'!$B$4:$B$21,'Balizador da Meta'!$C$4:$C$21)</f>
        <v>198</v>
      </c>
      <c r="V1257" s="28">
        <f>V1239*_xlfn.XLOOKUP($L1257,'Balizador da Meta'!$B$4:$B$21,'Balizador da Meta'!$C$4:$C$21)</f>
        <v>198</v>
      </c>
      <c r="W1257" s="28">
        <f>W1239*_xlfn.XLOOKUP($L1257,'Balizador da Meta'!$B$4:$B$21,'Balizador da Meta'!$C$4:$C$21)</f>
        <v>198</v>
      </c>
      <c r="X1257" s="28">
        <f>X1239*_xlfn.XLOOKUP($L1257,'Balizador da Meta'!$B$4:$B$21,'Balizador da Meta'!$C$4:$C$21)</f>
        <v>198</v>
      </c>
      <c r="Y1257" s="28">
        <f>Y1239*_xlfn.XLOOKUP($L1257,'Balizador da Meta'!$B$4:$B$21,'Balizador da Meta'!$C$4:$C$21)</f>
        <v>198</v>
      </c>
      <c r="Z1257" s="30">
        <f t="shared" si="298"/>
        <v>2214</v>
      </c>
      <c r="AA1257" s="29"/>
      <c r="AB1257" s="31">
        <f>SUMIFS('Historico - FAT'!AK:AK,'Historico - FAT'!$K:$K,Faturamento!$L1257,'Historico - FAT'!$I:$I,Faturamento!$J1257,'Historico - FAT'!$G:$G,Faturamento!$H1257)</f>
        <v>0</v>
      </c>
      <c r="AC1257" s="31">
        <f>SUMIFS('Historico - FAT'!AL:AL,'Historico - FAT'!$K:$K,Faturamento!$L1257,'Historico - FAT'!$I:$I,Faturamento!$J1257,'Historico - FAT'!$G:$G,Faturamento!$H1257)</f>
        <v>17.38</v>
      </c>
      <c r="AD1257" s="31">
        <f>SUMIFS('Historico - FAT'!AM:AM,'Historico - FAT'!$K:$K,Faturamento!$L1257,'Historico - FAT'!$I:$I,Faturamento!$J1257,'Historico - FAT'!$G:$G,Faturamento!$H1257)</f>
        <v>18.559999999999999</v>
      </c>
      <c r="AE1257" s="27">
        <f>SUMIFS('Historico - FAT'!AN:AN,'Historico - FAT'!$K:$K,Faturamento!$L1257,'Historico - FAT'!$I:$I,Faturamento!$J1257,'Historico - FAT'!$G:$G,Faturamento!$H1257)</f>
        <v>20.856000000000002</v>
      </c>
      <c r="AG1257" s="24">
        <f t="shared" si="289"/>
        <v>1</v>
      </c>
      <c r="AH1257" s="24">
        <f t="shared" si="290"/>
        <v>0.91222222222222227</v>
      </c>
      <c r="AI1257" s="24">
        <f t="shared" si="291"/>
        <v>0.90626262626262621</v>
      </c>
    </row>
    <row r="1258" spans="1:35" x14ac:dyDescent="0.3">
      <c r="A1258" s="2" t="str">
        <f t="shared" si="287"/>
        <v>SIM</v>
      </c>
      <c r="B1258" s="2">
        <v>1000184670</v>
      </c>
      <c r="C1258" s="2" t="s">
        <v>147</v>
      </c>
      <c r="D1258" s="4">
        <v>1000186197</v>
      </c>
      <c r="E1258" s="4" t="s">
        <v>166</v>
      </c>
      <c r="F1258" s="2">
        <v>1000184757</v>
      </c>
      <c r="G1258" s="2" t="s">
        <v>62</v>
      </c>
      <c r="H1258" s="4">
        <v>1000189811</v>
      </c>
      <c r="I1258" s="4" t="s">
        <v>76</v>
      </c>
      <c r="J1258" s="2">
        <v>1000189270</v>
      </c>
      <c r="K1258" s="2" t="s">
        <v>34</v>
      </c>
      <c r="L1258" s="4" t="s">
        <v>124</v>
      </c>
      <c r="M1258" s="4" t="str">
        <f t="shared" si="294"/>
        <v>100018467010001861971000189811100018927001. TOTAL</v>
      </c>
      <c r="N1258" s="28">
        <f>SUMIFS(Positivação!L:L,Positivação!$I:$I,Faturamento!$J1258,Positivação!$G:$G,Faturamento!$H1258)*SUMIFS(Positivação!$Z:$Z,Positivação!$I:$I,Faturamento!$J1258,Positivação!$G:$G,Faturamento!$H1258)</f>
        <v>600</v>
      </c>
      <c r="O1258" s="28">
        <f>SUMIFS(Positivação!M:M,Positivação!$I:$I,Faturamento!$J1258,Positivação!$G:$G,Faturamento!$H1258)*SUMIFS(Positivação!$Z:$Z,Positivação!$I:$I,Faturamento!$J1258,Positivação!$G:$G,Faturamento!$H1258)</f>
        <v>600</v>
      </c>
      <c r="P1258" s="28">
        <f>SUMIFS(Positivação!N:N,Positivação!$I:$I,Faturamento!$J1258,Positivação!$G:$G,Faturamento!$H1258)*SUMIFS(Positivação!$Z:$Z,Positivação!$I:$I,Faturamento!$J1258,Positivação!$G:$G,Faturamento!$H1258)</f>
        <v>600</v>
      </c>
      <c r="Q1258" s="28">
        <f>SUMIFS(Positivação!O:O,Positivação!$I:$I,Faturamento!$J1258,Positivação!$G:$G,Faturamento!$H1258)*SUMIFS(Positivação!$Z:$Z,Positivação!$I:$I,Faturamento!$J1258,Positivação!$G:$G,Faturamento!$H1258)</f>
        <v>600</v>
      </c>
      <c r="R1258" s="28">
        <f>SUMIFS(Positivação!P:P,Positivação!$I:$I,Faturamento!$J1258,Positivação!$G:$G,Faturamento!$H1258)*SUMIFS(Positivação!$Z:$Z,Positivação!$I:$I,Faturamento!$J1258,Positivação!$G:$G,Faturamento!$H1258)</f>
        <v>600</v>
      </c>
      <c r="S1258" s="28">
        <f>SUMIFS(Positivação!Q:Q,Positivação!$I:$I,Faturamento!$J1258,Positivação!$G:$G,Faturamento!$H1258)*SUMIFS(Positivação!$Z:$Z,Positivação!$I:$I,Faturamento!$J1258,Positivação!$G:$G,Faturamento!$H1258)</f>
        <v>600</v>
      </c>
      <c r="T1258" s="28">
        <f>SUMIFS(Positivação!R:R,Positivação!$I:$I,Faturamento!$J1258,Positivação!$G:$G,Faturamento!$H1258)*SUMIFS(Positivação!$Z:$Z,Positivação!$I:$I,Faturamento!$J1258,Positivação!$G:$G,Faturamento!$H1258)</f>
        <v>600</v>
      </c>
      <c r="U1258" s="28">
        <f>SUMIFS(Positivação!S:S,Positivação!$I:$I,Faturamento!$J1258,Positivação!$G:$G,Faturamento!$H1258)*SUMIFS(Positivação!$Z:$Z,Positivação!$I:$I,Faturamento!$J1258,Positivação!$G:$G,Faturamento!$H1258)</f>
        <v>600</v>
      </c>
      <c r="V1258" s="28">
        <f>SUMIFS(Positivação!T:T,Positivação!$I:$I,Faturamento!$J1258,Positivação!$G:$G,Faturamento!$H1258)*SUMIFS(Positivação!$Z:$Z,Positivação!$I:$I,Faturamento!$J1258,Positivação!$G:$G,Faturamento!$H1258)</f>
        <v>600</v>
      </c>
      <c r="W1258" s="28">
        <f>SUMIFS(Positivação!U:U,Positivação!$I:$I,Faturamento!$J1258,Positivação!$G:$G,Faturamento!$H1258)*SUMIFS(Positivação!$Z:$Z,Positivação!$I:$I,Faturamento!$J1258,Positivação!$G:$G,Faturamento!$H1258)</f>
        <v>600</v>
      </c>
      <c r="X1258" s="28">
        <f>SUMIFS(Positivação!V:V,Positivação!$I:$I,Faturamento!$J1258,Positivação!$G:$G,Faturamento!$H1258)*SUMIFS(Positivação!$Z:$Z,Positivação!$I:$I,Faturamento!$J1258,Positivação!$G:$G,Faturamento!$H1258)</f>
        <v>600</v>
      </c>
      <c r="Y1258" s="28">
        <f>SUMIFS(Positivação!W:W,Positivação!$I:$I,Faturamento!$J1258,Positivação!$G:$G,Faturamento!$H1258)*SUMIFS(Positivação!$Z:$Z,Positivação!$I:$I,Faturamento!$J1258,Positivação!$G:$G,Faturamento!$H1258)</f>
        <v>600</v>
      </c>
      <c r="Z1258" s="28">
        <f t="shared" ref="Z1258" si="299">SUM(Z1259:Z1276)</f>
        <v>7200</v>
      </c>
      <c r="AA1258" s="29"/>
      <c r="AB1258" s="28">
        <f t="shared" ref="AB1258:AE1258" si="300">SUM(AB1259:AB1276)</f>
        <v>0</v>
      </c>
      <c r="AC1258" s="28">
        <f t="shared" si="300"/>
        <v>0</v>
      </c>
      <c r="AD1258" s="28">
        <f t="shared" si="300"/>
        <v>0</v>
      </c>
      <c r="AE1258" s="28">
        <f t="shared" si="300"/>
        <v>0</v>
      </c>
      <c r="AG1258" s="24">
        <f t="shared" si="289"/>
        <v>1</v>
      </c>
      <c r="AH1258" s="24">
        <f t="shared" si="290"/>
        <v>1</v>
      </c>
      <c r="AI1258" s="24">
        <f t="shared" si="291"/>
        <v>1</v>
      </c>
    </row>
    <row r="1259" spans="1:35" hidden="1" x14ac:dyDescent="0.3">
      <c r="A1259" s="2" t="str">
        <f t="shared" si="287"/>
        <v>NÃO</v>
      </c>
      <c r="B1259" s="2">
        <v>1000184670</v>
      </c>
      <c r="C1259" s="2" t="s">
        <v>147</v>
      </c>
      <c r="D1259" s="4">
        <v>1000186197</v>
      </c>
      <c r="E1259" s="4" t="s">
        <v>166</v>
      </c>
      <c r="F1259" s="2">
        <v>1000184757</v>
      </c>
      <c r="G1259" s="2" t="s">
        <v>62</v>
      </c>
      <c r="H1259" s="4">
        <v>1000189811</v>
      </c>
      <c r="I1259" s="4" t="s">
        <v>76</v>
      </c>
      <c r="J1259" s="2">
        <v>1000189270</v>
      </c>
      <c r="K1259" s="2" t="s">
        <v>34</v>
      </c>
      <c r="L1259" s="4" t="s">
        <v>13</v>
      </c>
      <c r="M1259" s="4" t="str">
        <f t="shared" si="294"/>
        <v>1000184670100018619710001898111000189270BISCOITO</v>
      </c>
      <c r="N1259" s="28">
        <f>N1258*_xlfn.XLOOKUP($L1259,'Balizador da Meta'!$B$4:$B$21,'Balizador da Meta'!$C$4:$C$21)</f>
        <v>42.000000000000007</v>
      </c>
      <c r="O1259" s="28">
        <f>O1258*_xlfn.XLOOKUP($L1259,'Balizador da Meta'!$B$4:$B$21,'Balizador da Meta'!$C$4:$C$21)</f>
        <v>42.000000000000007</v>
      </c>
      <c r="P1259" s="28">
        <f>P1258*_xlfn.XLOOKUP($L1259,'Balizador da Meta'!$B$4:$B$21,'Balizador da Meta'!$C$4:$C$21)</f>
        <v>42.000000000000007</v>
      </c>
      <c r="Q1259" s="28">
        <f>Q1258*_xlfn.XLOOKUP($L1259,'Balizador da Meta'!$B$4:$B$21,'Balizador da Meta'!$C$4:$C$21)</f>
        <v>42.000000000000007</v>
      </c>
      <c r="R1259" s="28">
        <f>R1258*_xlfn.XLOOKUP($L1259,'Balizador da Meta'!$B$4:$B$21,'Balizador da Meta'!$C$4:$C$21)</f>
        <v>42.000000000000007</v>
      </c>
      <c r="S1259" s="28">
        <f>S1258*_xlfn.XLOOKUP($L1259,'Balizador da Meta'!$B$4:$B$21,'Balizador da Meta'!$C$4:$C$21)</f>
        <v>42.000000000000007</v>
      </c>
      <c r="T1259" s="28">
        <f>T1258*_xlfn.XLOOKUP($L1259,'Balizador da Meta'!$B$4:$B$21,'Balizador da Meta'!$C$4:$C$21)</f>
        <v>42.000000000000007</v>
      </c>
      <c r="U1259" s="28">
        <f>U1258*_xlfn.XLOOKUP($L1259,'Balizador da Meta'!$B$4:$B$21,'Balizador da Meta'!$C$4:$C$21)</f>
        <v>42.000000000000007</v>
      </c>
      <c r="V1259" s="28">
        <f>V1258*_xlfn.XLOOKUP($L1259,'Balizador da Meta'!$B$4:$B$21,'Balizador da Meta'!$C$4:$C$21)</f>
        <v>42.000000000000007</v>
      </c>
      <c r="W1259" s="28">
        <f>W1258*_xlfn.XLOOKUP($L1259,'Balizador da Meta'!$B$4:$B$21,'Balizador da Meta'!$C$4:$C$21)</f>
        <v>42.000000000000007</v>
      </c>
      <c r="X1259" s="28">
        <f>X1258*_xlfn.XLOOKUP($L1259,'Balizador da Meta'!$B$4:$B$21,'Balizador da Meta'!$C$4:$C$21)</f>
        <v>42.000000000000007</v>
      </c>
      <c r="Y1259" s="28">
        <f>Y1258*_xlfn.XLOOKUP($L1259,'Balizador da Meta'!$B$4:$B$21,'Balizador da Meta'!$C$4:$C$21)</f>
        <v>42.000000000000007</v>
      </c>
      <c r="Z1259" s="30">
        <f t="shared" ref="Z1259:Z1276" si="301">SUM(N1259:Y1259)</f>
        <v>504.00000000000006</v>
      </c>
      <c r="AA1259" s="29"/>
      <c r="AB1259" s="31">
        <f>SUMIFS('Historico - FAT'!AK:AK,'Historico - FAT'!$K:$K,Faturamento!$L1259,'Historico - FAT'!$I:$I,Faturamento!$J1259,'Historico - FAT'!$G:$G,Faturamento!$H1259)</f>
        <v>0</v>
      </c>
      <c r="AC1259" s="31">
        <f>SUMIFS('Historico - FAT'!AL:AL,'Historico - FAT'!$K:$K,Faturamento!$L1259,'Historico - FAT'!$I:$I,Faturamento!$J1259,'Historico - FAT'!$G:$G,Faturamento!$H1259)</f>
        <v>0</v>
      </c>
      <c r="AD1259" s="31">
        <f>SUMIFS('Historico - FAT'!AM:AM,'Historico - FAT'!$K:$K,Faturamento!$L1259,'Historico - FAT'!$I:$I,Faturamento!$J1259,'Historico - FAT'!$G:$G,Faturamento!$H1259)</f>
        <v>0</v>
      </c>
      <c r="AE1259" s="27">
        <f>SUMIFS('Historico - FAT'!AN:AN,'Historico - FAT'!$K:$K,Faturamento!$L1259,'Historico - FAT'!$I:$I,Faturamento!$J1259,'Historico - FAT'!$G:$G,Faturamento!$H1259)</f>
        <v>0</v>
      </c>
      <c r="AG1259" s="24">
        <f t="shared" si="289"/>
        <v>1</v>
      </c>
      <c r="AH1259" s="24">
        <f t="shared" si="290"/>
        <v>1</v>
      </c>
      <c r="AI1259" s="24">
        <f t="shared" si="291"/>
        <v>1</v>
      </c>
    </row>
    <row r="1260" spans="1:35" hidden="1" x14ac:dyDescent="0.3">
      <c r="A1260" s="2" t="str">
        <f t="shared" si="287"/>
        <v>NÃO</v>
      </c>
      <c r="B1260" s="2">
        <v>1000184670</v>
      </c>
      <c r="C1260" s="2" t="s">
        <v>147</v>
      </c>
      <c r="D1260" s="4">
        <v>1000186197</v>
      </c>
      <c r="E1260" s="4" t="s">
        <v>166</v>
      </c>
      <c r="F1260" s="2">
        <v>1000184757</v>
      </c>
      <c r="G1260" s="2" t="s">
        <v>62</v>
      </c>
      <c r="H1260" s="4">
        <v>1000189811</v>
      </c>
      <c r="I1260" s="4" t="s">
        <v>76</v>
      </c>
      <c r="J1260" s="2">
        <v>1000189270</v>
      </c>
      <c r="K1260" s="2" t="s">
        <v>34</v>
      </c>
      <c r="L1260" s="4" t="s">
        <v>14</v>
      </c>
      <c r="M1260" s="4" t="str">
        <f t="shared" si="294"/>
        <v>1000184670100018619710001898111000189270CHOCOLATES</v>
      </c>
      <c r="N1260" s="28">
        <f>N1258*_xlfn.XLOOKUP($L1260,'Balizador da Meta'!$B$4:$B$21,'Balizador da Meta'!$C$4:$C$21)</f>
        <v>42.000000000000007</v>
      </c>
      <c r="O1260" s="28">
        <f>O1258*_xlfn.XLOOKUP($L1260,'Balizador da Meta'!$B$4:$B$21,'Balizador da Meta'!$C$4:$C$21)</f>
        <v>42.000000000000007</v>
      </c>
      <c r="P1260" s="28">
        <f>P1258*_xlfn.XLOOKUP($L1260,'Balizador da Meta'!$B$4:$B$21,'Balizador da Meta'!$C$4:$C$21)</f>
        <v>42.000000000000007</v>
      </c>
      <c r="Q1260" s="28">
        <f>Q1258*_xlfn.XLOOKUP($L1260,'Balizador da Meta'!$B$4:$B$21,'Balizador da Meta'!$C$4:$C$21)</f>
        <v>42.000000000000007</v>
      </c>
      <c r="R1260" s="28">
        <f>R1258*_xlfn.XLOOKUP($L1260,'Balizador da Meta'!$B$4:$B$21,'Balizador da Meta'!$C$4:$C$21)</f>
        <v>42.000000000000007</v>
      </c>
      <c r="S1260" s="28">
        <f>S1258*_xlfn.XLOOKUP($L1260,'Balizador da Meta'!$B$4:$B$21,'Balizador da Meta'!$C$4:$C$21)</f>
        <v>42.000000000000007</v>
      </c>
      <c r="T1260" s="28">
        <f>T1258*_xlfn.XLOOKUP($L1260,'Balizador da Meta'!$B$4:$B$21,'Balizador da Meta'!$C$4:$C$21)</f>
        <v>42.000000000000007</v>
      </c>
      <c r="U1260" s="28">
        <f>U1258*_xlfn.XLOOKUP($L1260,'Balizador da Meta'!$B$4:$B$21,'Balizador da Meta'!$C$4:$C$21)</f>
        <v>42.000000000000007</v>
      </c>
      <c r="V1260" s="28">
        <f>V1258*_xlfn.XLOOKUP($L1260,'Balizador da Meta'!$B$4:$B$21,'Balizador da Meta'!$C$4:$C$21)</f>
        <v>42.000000000000007</v>
      </c>
      <c r="W1260" s="28">
        <f>W1258*_xlfn.XLOOKUP($L1260,'Balizador da Meta'!$B$4:$B$21,'Balizador da Meta'!$C$4:$C$21)</f>
        <v>42.000000000000007</v>
      </c>
      <c r="X1260" s="28">
        <f>X1258*_xlfn.XLOOKUP($L1260,'Balizador da Meta'!$B$4:$B$21,'Balizador da Meta'!$C$4:$C$21)</f>
        <v>42.000000000000007</v>
      </c>
      <c r="Y1260" s="28">
        <f>Y1258*_xlfn.XLOOKUP($L1260,'Balizador da Meta'!$B$4:$B$21,'Balizador da Meta'!$C$4:$C$21)</f>
        <v>42.000000000000007</v>
      </c>
      <c r="Z1260" s="30">
        <f t="shared" si="301"/>
        <v>504.00000000000006</v>
      </c>
      <c r="AA1260" s="29"/>
      <c r="AB1260" s="31">
        <f>SUMIFS('Historico - FAT'!AK:AK,'Historico - FAT'!$K:$K,Faturamento!$L1260,'Historico - FAT'!$I:$I,Faturamento!$J1260,'Historico - FAT'!$G:$G,Faturamento!$H1260)</f>
        <v>0</v>
      </c>
      <c r="AC1260" s="31">
        <f>SUMIFS('Historico - FAT'!AL:AL,'Historico - FAT'!$K:$K,Faturamento!$L1260,'Historico - FAT'!$I:$I,Faturamento!$J1260,'Historico - FAT'!$G:$G,Faturamento!$H1260)</f>
        <v>0</v>
      </c>
      <c r="AD1260" s="31">
        <f>SUMIFS('Historico - FAT'!AM:AM,'Historico - FAT'!$K:$K,Faturamento!$L1260,'Historico - FAT'!$I:$I,Faturamento!$J1260,'Historico - FAT'!$G:$G,Faturamento!$H1260)</f>
        <v>0</v>
      </c>
      <c r="AE1260" s="27">
        <f>SUMIFS('Historico - FAT'!AN:AN,'Historico - FAT'!$K:$K,Faturamento!$L1260,'Historico - FAT'!$I:$I,Faturamento!$J1260,'Historico - FAT'!$G:$G,Faturamento!$H1260)</f>
        <v>0</v>
      </c>
      <c r="AG1260" s="24">
        <f t="shared" si="289"/>
        <v>1</v>
      </c>
      <c r="AH1260" s="24">
        <f t="shared" si="290"/>
        <v>1</v>
      </c>
      <c r="AI1260" s="24">
        <f t="shared" si="291"/>
        <v>1</v>
      </c>
    </row>
    <row r="1261" spans="1:35" hidden="1" x14ac:dyDescent="0.3">
      <c r="A1261" s="2" t="str">
        <f t="shared" si="287"/>
        <v>NÃO</v>
      </c>
      <c r="B1261" s="2">
        <v>1000184670</v>
      </c>
      <c r="C1261" s="2" t="s">
        <v>147</v>
      </c>
      <c r="D1261" s="4">
        <v>1000186197</v>
      </c>
      <c r="E1261" s="4" t="s">
        <v>166</v>
      </c>
      <c r="F1261" s="2">
        <v>1000184757</v>
      </c>
      <c r="G1261" s="2" t="s">
        <v>62</v>
      </c>
      <c r="H1261" s="4">
        <v>1000189811</v>
      </c>
      <c r="I1261" s="4" t="s">
        <v>76</v>
      </c>
      <c r="J1261" s="2">
        <v>1000189270</v>
      </c>
      <c r="K1261" s="2" t="s">
        <v>34</v>
      </c>
      <c r="L1261" s="4" t="s">
        <v>16</v>
      </c>
      <c r="M1261" s="4" t="str">
        <f t="shared" si="294"/>
        <v>1000184670100018619710001898111000189270DISNEY</v>
      </c>
      <c r="N1261" s="28">
        <f>N1258*_xlfn.XLOOKUP($L1261,'Balizador da Meta'!$B$4:$B$21,'Balizador da Meta'!$C$4:$C$21)</f>
        <v>48</v>
      </c>
      <c r="O1261" s="28">
        <f>O1258*_xlfn.XLOOKUP($L1261,'Balizador da Meta'!$B$4:$B$21,'Balizador da Meta'!$C$4:$C$21)</f>
        <v>48</v>
      </c>
      <c r="P1261" s="28">
        <f>P1258*_xlfn.XLOOKUP($L1261,'Balizador da Meta'!$B$4:$B$21,'Balizador da Meta'!$C$4:$C$21)</f>
        <v>48</v>
      </c>
      <c r="Q1261" s="28">
        <f>Q1258*_xlfn.XLOOKUP($L1261,'Balizador da Meta'!$B$4:$B$21,'Balizador da Meta'!$C$4:$C$21)</f>
        <v>48</v>
      </c>
      <c r="R1261" s="28">
        <f>R1258*_xlfn.XLOOKUP($L1261,'Balizador da Meta'!$B$4:$B$21,'Balizador da Meta'!$C$4:$C$21)</f>
        <v>48</v>
      </c>
      <c r="S1261" s="28">
        <f>S1258*_xlfn.XLOOKUP($L1261,'Balizador da Meta'!$B$4:$B$21,'Balizador da Meta'!$C$4:$C$21)</f>
        <v>48</v>
      </c>
      <c r="T1261" s="28">
        <f>T1258*_xlfn.XLOOKUP($L1261,'Balizador da Meta'!$B$4:$B$21,'Balizador da Meta'!$C$4:$C$21)</f>
        <v>48</v>
      </c>
      <c r="U1261" s="28">
        <f>U1258*_xlfn.XLOOKUP($L1261,'Balizador da Meta'!$B$4:$B$21,'Balizador da Meta'!$C$4:$C$21)</f>
        <v>48</v>
      </c>
      <c r="V1261" s="28">
        <f>V1258*_xlfn.XLOOKUP($L1261,'Balizador da Meta'!$B$4:$B$21,'Balizador da Meta'!$C$4:$C$21)</f>
        <v>48</v>
      </c>
      <c r="W1261" s="28">
        <f>W1258*_xlfn.XLOOKUP($L1261,'Balizador da Meta'!$B$4:$B$21,'Balizador da Meta'!$C$4:$C$21)</f>
        <v>48</v>
      </c>
      <c r="X1261" s="28">
        <f>X1258*_xlfn.XLOOKUP($L1261,'Balizador da Meta'!$B$4:$B$21,'Balizador da Meta'!$C$4:$C$21)</f>
        <v>48</v>
      </c>
      <c r="Y1261" s="28">
        <f>Y1258*_xlfn.XLOOKUP($L1261,'Balizador da Meta'!$B$4:$B$21,'Balizador da Meta'!$C$4:$C$21)</f>
        <v>48</v>
      </c>
      <c r="Z1261" s="30">
        <f t="shared" si="301"/>
        <v>576</v>
      </c>
      <c r="AA1261" s="29"/>
      <c r="AB1261" s="31">
        <f>SUMIFS('Historico - FAT'!AK:AK,'Historico - FAT'!$K:$K,Faturamento!$L1261,'Historico - FAT'!$I:$I,Faturamento!$J1261,'Historico - FAT'!$G:$G,Faturamento!$H1261)</f>
        <v>0</v>
      </c>
      <c r="AC1261" s="31">
        <f>SUMIFS('Historico - FAT'!AL:AL,'Historico - FAT'!$K:$K,Faturamento!$L1261,'Historico - FAT'!$I:$I,Faturamento!$J1261,'Historico - FAT'!$G:$G,Faturamento!$H1261)</f>
        <v>0</v>
      </c>
      <c r="AD1261" s="31">
        <f>SUMIFS('Historico - FAT'!AM:AM,'Historico - FAT'!$K:$K,Faturamento!$L1261,'Historico - FAT'!$I:$I,Faturamento!$J1261,'Historico - FAT'!$G:$G,Faturamento!$H1261)</f>
        <v>0</v>
      </c>
      <c r="AE1261" s="27">
        <f>SUMIFS('Historico - FAT'!AN:AN,'Historico - FAT'!$K:$K,Faturamento!$L1261,'Historico - FAT'!$I:$I,Faturamento!$J1261,'Historico - FAT'!$G:$G,Faturamento!$H1261)</f>
        <v>0</v>
      </c>
      <c r="AG1261" s="24">
        <f t="shared" si="289"/>
        <v>1</v>
      </c>
      <c r="AH1261" s="24">
        <f t="shared" si="290"/>
        <v>1</v>
      </c>
      <c r="AI1261" s="24">
        <f t="shared" si="291"/>
        <v>1</v>
      </c>
    </row>
    <row r="1262" spans="1:35" hidden="1" x14ac:dyDescent="0.3">
      <c r="A1262" s="2" t="str">
        <f t="shared" si="287"/>
        <v>NÃO</v>
      </c>
      <c r="B1262" s="2">
        <v>1000184670</v>
      </c>
      <c r="C1262" s="2" t="s">
        <v>147</v>
      </c>
      <c r="D1262" s="4">
        <v>1000186197</v>
      </c>
      <c r="E1262" s="4" t="s">
        <v>166</v>
      </c>
      <c r="F1262" s="2">
        <v>1000184757</v>
      </c>
      <c r="G1262" s="2" t="s">
        <v>62</v>
      </c>
      <c r="H1262" s="4">
        <v>1000189811</v>
      </c>
      <c r="I1262" s="4" t="s">
        <v>76</v>
      </c>
      <c r="J1262" s="2">
        <v>1000189270</v>
      </c>
      <c r="K1262" s="2" t="s">
        <v>34</v>
      </c>
      <c r="L1262" s="4" t="s">
        <v>15</v>
      </c>
      <c r="M1262" s="4" t="str">
        <f t="shared" si="294"/>
        <v>1000184670100018619710001898111000189270DOCES</v>
      </c>
      <c r="N1262" s="28">
        <f>N1258*_xlfn.XLOOKUP($L1262,'Balizador da Meta'!$B$4:$B$21,'Balizador da Meta'!$C$4:$C$21)</f>
        <v>54</v>
      </c>
      <c r="O1262" s="28">
        <f>O1258*_xlfn.XLOOKUP($L1262,'Balizador da Meta'!$B$4:$B$21,'Balizador da Meta'!$C$4:$C$21)</f>
        <v>54</v>
      </c>
      <c r="P1262" s="28">
        <f>P1258*_xlfn.XLOOKUP($L1262,'Balizador da Meta'!$B$4:$B$21,'Balizador da Meta'!$C$4:$C$21)</f>
        <v>54</v>
      </c>
      <c r="Q1262" s="28">
        <f>Q1258*_xlfn.XLOOKUP($L1262,'Balizador da Meta'!$B$4:$B$21,'Balizador da Meta'!$C$4:$C$21)</f>
        <v>54</v>
      </c>
      <c r="R1262" s="28">
        <f>R1258*_xlfn.XLOOKUP($L1262,'Balizador da Meta'!$B$4:$B$21,'Balizador da Meta'!$C$4:$C$21)</f>
        <v>54</v>
      </c>
      <c r="S1262" s="28">
        <f>S1258*_xlfn.XLOOKUP($L1262,'Balizador da Meta'!$B$4:$B$21,'Balizador da Meta'!$C$4:$C$21)</f>
        <v>54</v>
      </c>
      <c r="T1262" s="28">
        <f>T1258*_xlfn.XLOOKUP($L1262,'Balizador da Meta'!$B$4:$B$21,'Balizador da Meta'!$C$4:$C$21)</f>
        <v>54</v>
      </c>
      <c r="U1262" s="28">
        <f>U1258*_xlfn.XLOOKUP($L1262,'Balizador da Meta'!$B$4:$B$21,'Balizador da Meta'!$C$4:$C$21)</f>
        <v>54</v>
      </c>
      <c r="V1262" s="28">
        <f>V1258*_xlfn.XLOOKUP($L1262,'Balizador da Meta'!$B$4:$B$21,'Balizador da Meta'!$C$4:$C$21)</f>
        <v>54</v>
      </c>
      <c r="W1262" s="28">
        <f>W1258*_xlfn.XLOOKUP($L1262,'Balizador da Meta'!$B$4:$B$21,'Balizador da Meta'!$C$4:$C$21)</f>
        <v>54</v>
      </c>
      <c r="X1262" s="28">
        <f>X1258*_xlfn.XLOOKUP($L1262,'Balizador da Meta'!$B$4:$B$21,'Balizador da Meta'!$C$4:$C$21)</f>
        <v>54</v>
      </c>
      <c r="Y1262" s="28">
        <f>Y1258*_xlfn.XLOOKUP($L1262,'Balizador da Meta'!$B$4:$B$21,'Balizador da Meta'!$C$4:$C$21)</f>
        <v>54</v>
      </c>
      <c r="Z1262" s="30">
        <f t="shared" si="301"/>
        <v>648</v>
      </c>
      <c r="AA1262" s="29"/>
      <c r="AB1262" s="31">
        <f>SUMIFS('Historico - FAT'!AK:AK,'Historico - FAT'!$K:$K,Faturamento!$L1262,'Historico - FAT'!$I:$I,Faturamento!$J1262,'Historico - FAT'!$G:$G,Faturamento!$H1262)</f>
        <v>0</v>
      </c>
      <c r="AC1262" s="31">
        <f>SUMIFS('Historico - FAT'!AL:AL,'Historico - FAT'!$K:$K,Faturamento!$L1262,'Historico - FAT'!$I:$I,Faturamento!$J1262,'Historico - FAT'!$G:$G,Faturamento!$H1262)</f>
        <v>0</v>
      </c>
      <c r="AD1262" s="31">
        <f>SUMIFS('Historico - FAT'!AM:AM,'Historico - FAT'!$K:$K,Faturamento!$L1262,'Historico - FAT'!$I:$I,Faturamento!$J1262,'Historico - FAT'!$G:$G,Faturamento!$H1262)</f>
        <v>0</v>
      </c>
      <c r="AE1262" s="27">
        <f>SUMIFS('Historico - FAT'!AN:AN,'Historico - FAT'!$K:$K,Faturamento!$L1262,'Historico - FAT'!$I:$I,Faturamento!$J1262,'Historico - FAT'!$G:$G,Faturamento!$H1262)</f>
        <v>0</v>
      </c>
      <c r="AG1262" s="24">
        <f t="shared" si="289"/>
        <v>1</v>
      </c>
      <c r="AH1262" s="24">
        <f t="shared" si="290"/>
        <v>1</v>
      </c>
      <c r="AI1262" s="24">
        <f t="shared" si="291"/>
        <v>1</v>
      </c>
    </row>
    <row r="1263" spans="1:35" hidden="1" x14ac:dyDescent="0.3">
      <c r="A1263" s="2" t="str">
        <f t="shared" si="287"/>
        <v>NÃO</v>
      </c>
      <c r="B1263" s="2">
        <v>1000184670</v>
      </c>
      <c r="C1263" s="2" t="s">
        <v>147</v>
      </c>
      <c r="D1263" s="4">
        <v>1000186197</v>
      </c>
      <c r="E1263" s="4" t="s">
        <v>166</v>
      </c>
      <c r="F1263" s="2">
        <v>1000184757</v>
      </c>
      <c r="G1263" s="2" t="s">
        <v>62</v>
      </c>
      <c r="H1263" s="4">
        <v>1000189811</v>
      </c>
      <c r="I1263" s="4" t="s">
        <v>76</v>
      </c>
      <c r="J1263" s="2">
        <v>1000189270</v>
      </c>
      <c r="K1263" s="2" t="s">
        <v>34</v>
      </c>
      <c r="L1263" s="4" t="s">
        <v>33</v>
      </c>
      <c r="M1263" s="4" t="str">
        <f t="shared" si="294"/>
        <v>1000184670100018619710001898111000189270FOOD SERVICE</v>
      </c>
      <c r="N1263" s="28">
        <f>N1258*_xlfn.XLOOKUP($L1263,'Balizador da Meta'!$B$4:$B$21,'Balizador da Meta'!$C$4:$C$21)</f>
        <v>0</v>
      </c>
      <c r="O1263" s="28">
        <f>O1258*_xlfn.XLOOKUP($L1263,'Balizador da Meta'!$B$4:$B$21,'Balizador da Meta'!$C$4:$C$21)</f>
        <v>0</v>
      </c>
      <c r="P1263" s="28">
        <f>P1258*_xlfn.XLOOKUP($L1263,'Balizador da Meta'!$B$4:$B$21,'Balizador da Meta'!$C$4:$C$21)</f>
        <v>0</v>
      </c>
      <c r="Q1263" s="28">
        <f>Q1258*_xlfn.XLOOKUP($L1263,'Balizador da Meta'!$B$4:$B$21,'Balizador da Meta'!$C$4:$C$21)</f>
        <v>0</v>
      </c>
      <c r="R1263" s="28">
        <f>R1258*_xlfn.XLOOKUP($L1263,'Balizador da Meta'!$B$4:$B$21,'Balizador da Meta'!$C$4:$C$21)</f>
        <v>0</v>
      </c>
      <c r="S1263" s="28">
        <f>S1258*_xlfn.XLOOKUP($L1263,'Balizador da Meta'!$B$4:$B$21,'Balizador da Meta'!$C$4:$C$21)</f>
        <v>0</v>
      </c>
      <c r="T1263" s="28">
        <f>T1258*_xlfn.XLOOKUP($L1263,'Balizador da Meta'!$B$4:$B$21,'Balizador da Meta'!$C$4:$C$21)</f>
        <v>0</v>
      </c>
      <c r="U1263" s="28">
        <f>U1258*_xlfn.XLOOKUP($L1263,'Balizador da Meta'!$B$4:$B$21,'Balizador da Meta'!$C$4:$C$21)</f>
        <v>0</v>
      </c>
      <c r="V1263" s="28">
        <f>V1258*_xlfn.XLOOKUP($L1263,'Balizador da Meta'!$B$4:$B$21,'Balizador da Meta'!$C$4:$C$21)</f>
        <v>0</v>
      </c>
      <c r="W1263" s="28">
        <f>W1258*_xlfn.XLOOKUP($L1263,'Balizador da Meta'!$B$4:$B$21,'Balizador da Meta'!$C$4:$C$21)</f>
        <v>0</v>
      </c>
      <c r="X1263" s="28">
        <f>X1258*_xlfn.XLOOKUP($L1263,'Balizador da Meta'!$B$4:$B$21,'Balizador da Meta'!$C$4:$C$21)</f>
        <v>0</v>
      </c>
      <c r="Y1263" s="28">
        <f>Y1258*_xlfn.XLOOKUP($L1263,'Balizador da Meta'!$B$4:$B$21,'Balizador da Meta'!$C$4:$C$21)</f>
        <v>0</v>
      </c>
      <c r="Z1263" s="30">
        <f t="shared" si="301"/>
        <v>0</v>
      </c>
      <c r="AA1263" s="29"/>
      <c r="AB1263" s="31">
        <f>SUMIFS('Historico - FAT'!AK:AK,'Historico - FAT'!$K:$K,Faturamento!$L1263,'Historico - FAT'!$I:$I,Faturamento!$J1263,'Historico - FAT'!$G:$G,Faturamento!$H1263)</f>
        <v>0</v>
      </c>
      <c r="AC1263" s="31">
        <f>SUMIFS('Historico - FAT'!AL:AL,'Historico - FAT'!$K:$K,Faturamento!$L1263,'Historico - FAT'!$I:$I,Faturamento!$J1263,'Historico - FAT'!$G:$G,Faturamento!$H1263)</f>
        <v>0</v>
      </c>
      <c r="AD1263" s="31">
        <f>SUMIFS('Historico - FAT'!AM:AM,'Historico - FAT'!$K:$K,Faturamento!$L1263,'Historico - FAT'!$I:$I,Faturamento!$J1263,'Historico - FAT'!$G:$G,Faturamento!$H1263)</f>
        <v>0</v>
      </c>
      <c r="AE1263" s="27">
        <f>SUMIFS('Historico - FAT'!AN:AN,'Historico - FAT'!$K:$K,Faturamento!$L1263,'Historico - FAT'!$I:$I,Faturamento!$J1263,'Historico - FAT'!$G:$G,Faturamento!$H1263)</f>
        <v>0</v>
      </c>
      <c r="AG1263" s="24" t="str">
        <f t="shared" si="289"/>
        <v/>
      </c>
      <c r="AH1263" s="24" t="str">
        <f t="shared" si="290"/>
        <v/>
      </c>
      <c r="AI1263" s="24" t="str">
        <f t="shared" si="291"/>
        <v/>
      </c>
    </row>
    <row r="1264" spans="1:35" hidden="1" x14ac:dyDescent="0.3">
      <c r="A1264" s="2" t="str">
        <f t="shared" si="287"/>
        <v>NÃO</v>
      </c>
      <c r="B1264" s="2">
        <v>1000184670</v>
      </c>
      <c r="C1264" s="2" t="s">
        <v>147</v>
      </c>
      <c r="D1264" s="4">
        <v>1000186197</v>
      </c>
      <c r="E1264" s="4" t="s">
        <v>166</v>
      </c>
      <c r="F1264" s="2">
        <v>1000184757</v>
      </c>
      <c r="G1264" s="2" t="s">
        <v>62</v>
      </c>
      <c r="H1264" s="4">
        <v>1000189811</v>
      </c>
      <c r="I1264" s="4" t="s">
        <v>76</v>
      </c>
      <c r="J1264" s="2">
        <v>1000189270</v>
      </c>
      <c r="K1264" s="2" t="s">
        <v>34</v>
      </c>
      <c r="L1264" s="4" t="s">
        <v>19</v>
      </c>
      <c r="M1264" s="4" t="str">
        <f t="shared" si="294"/>
        <v>1000184670100018619710001898111000189270GELEIA</v>
      </c>
      <c r="N1264" s="28">
        <f>N1258*_xlfn.XLOOKUP($L1264,'Balizador da Meta'!$B$4:$B$21,'Balizador da Meta'!$C$4:$C$21)</f>
        <v>11.999999999999998</v>
      </c>
      <c r="O1264" s="28">
        <f>O1258*_xlfn.XLOOKUP($L1264,'Balizador da Meta'!$B$4:$B$21,'Balizador da Meta'!$C$4:$C$21)</f>
        <v>11.999999999999998</v>
      </c>
      <c r="P1264" s="28">
        <f>P1258*_xlfn.XLOOKUP($L1264,'Balizador da Meta'!$B$4:$B$21,'Balizador da Meta'!$C$4:$C$21)</f>
        <v>11.999999999999998</v>
      </c>
      <c r="Q1264" s="28">
        <f>Q1258*_xlfn.XLOOKUP($L1264,'Balizador da Meta'!$B$4:$B$21,'Balizador da Meta'!$C$4:$C$21)</f>
        <v>11.999999999999998</v>
      </c>
      <c r="R1264" s="28">
        <f>R1258*_xlfn.XLOOKUP($L1264,'Balizador da Meta'!$B$4:$B$21,'Balizador da Meta'!$C$4:$C$21)</f>
        <v>11.999999999999998</v>
      </c>
      <c r="S1264" s="28">
        <f>S1258*_xlfn.XLOOKUP($L1264,'Balizador da Meta'!$B$4:$B$21,'Balizador da Meta'!$C$4:$C$21)</f>
        <v>11.999999999999998</v>
      </c>
      <c r="T1264" s="28">
        <f>T1258*_xlfn.XLOOKUP($L1264,'Balizador da Meta'!$B$4:$B$21,'Balizador da Meta'!$C$4:$C$21)</f>
        <v>11.999999999999998</v>
      </c>
      <c r="U1264" s="28">
        <f>U1258*_xlfn.XLOOKUP($L1264,'Balizador da Meta'!$B$4:$B$21,'Balizador da Meta'!$C$4:$C$21)</f>
        <v>11.999999999999998</v>
      </c>
      <c r="V1264" s="28">
        <f>V1258*_xlfn.XLOOKUP($L1264,'Balizador da Meta'!$B$4:$B$21,'Balizador da Meta'!$C$4:$C$21)</f>
        <v>11.999999999999998</v>
      </c>
      <c r="W1264" s="28">
        <f>W1258*_xlfn.XLOOKUP($L1264,'Balizador da Meta'!$B$4:$B$21,'Balizador da Meta'!$C$4:$C$21)</f>
        <v>11.999999999999998</v>
      </c>
      <c r="X1264" s="28">
        <f>X1258*_xlfn.XLOOKUP($L1264,'Balizador da Meta'!$B$4:$B$21,'Balizador da Meta'!$C$4:$C$21)</f>
        <v>11.999999999999998</v>
      </c>
      <c r="Y1264" s="28">
        <f>Y1258*_xlfn.XLOOKUP($L1264,'Balizador da Meta'!$B$4:$B$21,'Balizador da Meta'!$C$4:$C$21)</f>
        <v>11.999999999999998</v>
      </c>
      <c r="Z1264" s="30">
        <f t="shared" si="301"/>
        <v>143.99999999999997</v>
      </c>
      <c r="AA1264" s="29"/>
      <c r="AB1264" s="31">
        <f>SUMIFS('Historico - FAT'!AK:AK,'Historico - FAT'!$K:$K,Faturamento!$L1264,'Historico - FAT'!$I:$I,Faturamento!$J1264,'Historico - FAT'!$G:$G,Faturamento!$H1264)</f>
        <v>0</v>
      </c>
      <c r="AC1264" s="31">
        <f>SUMIFS('Historico - FAT'!AL:AL,'Historico - FAT'!$K:$K,Faturamento!$L1264,'Historico - FAT'!$I:$I,Faturamento!$J1264,'Historico - FAT'!$G:$G,Faturamento!$H1264)</f>
        <v>0</v>
      </c>
      <c r="AD1264" s="31">
        <f>SUMIFS('Historico - FAT'!AM:AM,'Historico - FAT'!$K:$K,Faturamento!$L1264,'Historico - FAT'!$I:$I,Faturamento!$J1264,'Historico - FAT'!$G:$G,Faturamento!$H1264)</f>
        <v>0</v>
      </c>
      <c r="AE1264" s="27">
        <f>SUMIFS('Historico - FAT'!AN:AN,'Historico - FAT'!$K:$K,Faturamento!$L1264,'Historico - FAT'!$I:$I,Faturamento!$J1264,'Historico - FAT'!$G:$G,Faturamento!$H1264)</f>
        <v>0</v>
      </c>
      <c r="AG1264" s="24">
        <f t="shared" si="289"/>
        <v>1</v>
      </c>
      <c r="AH1264" s="24">
        <f t="shared" si="290"/>
        <v>1</v>
      </c>
      <c r="AI1264" s="24">
        <f t="shared" si="291"/>
        <v>1</v>
      </c>
    </row>
    <row r="1265" spans="1:35" hidden="1" x14ac:dyDescent="0.3">
      <c r="A1265" s="2" t="str">
        <f t="shared" si="287"/>
        <v>NÃO</v>
      </c>
      <c r="B1265" s="2">
        <v>1000184670</v>
      </c>
      <c r="C1265" s="2" t="s">
        <v>147</v>
      </c>
      <c r="D1265" s="4">
        <v>1000186197</v>
      </c>
      <c r="E1265" s="4" t="s">
        <v>166</v>
      </c>
      <c r="F1265" s="2">
        <v>1000184757</v>
      </c>
      <c r="G1265" s="2" t="s">
        <v>62</v>
      </c>
      <c r="H1265" s="4">
        <v>1000189811</v>
      </c>
      <c r="I1265" s="4" t="s">
        <v>76</v>
      </c>
      <c r="J1265" s="2">
        <v>1000189270</v>
      </c>
      <c r="K1265" s="2" t="s">
        <v>34</v>
      </c>
      <c r="L1265" s="4" t="s">
        <v>17</v>
      </c>
      <c r="M1265" s="4" t="str">
        <f t="shared" si="294"/>
        <v>1000184670100018619710001898111000189270GRANOLA</v>
      </c>
      <c r="N1265" s="28">
        <f>N1258*_xlfn.XLOOKUP($L1265,'Balizador da Meta'!$B$4:$B$21,'Balizador da Meta'!$C$4:$C$21)</f>
        <v>12</v>
      </c>
      <c r="O1265" s="28">
        <f>O1258*_xlfn.XLOOKUP($L1265,'Balizador da Meta'!$B$4:$B$21,'Balizador da Meta'!$C$4:$C$21)</f>
        <v>12</v>
      </c>
      <c r="P1265" s="28">
        <f>P1258*_xlfn.XLOOKUP($L1265,'Balizador da Meta'!$B$4:$B$21,'Balizador da Meta'!$C$4:$C$21)</f>
        <v>12</v>
      </c>
      <c r="Q1265" s="28">
        <f>Q1258*_xlfn.XLOOKUP($L1265,'Balizador da Meta'!$B$4:$B$21,'Balizador da Meta'!$C$4:$C$21)</f>
        <v>12</v>
      </c>
      <c r="R1265" s="28">
        <f>R1258*_xlfn.XLOOKUP($L1265,'Balizador da Meta'!$B$4:$B$21,'Balizador da Meta'!$C$4:$C$21)</f>
        <v>12</v>
      </c>
      <c r="S1265" s="28">
        <f>S1258*_xlfn.XLOOKUP($L1265,'Balizador da Meta'!$B$4:$B$21,'Balizador da Meta'!$C$4:$C$21)</f>
        <v>12</v>
      </c>
      <c r="T1265" s="28">
        <f>T1258*_xlfn.XLOOKUP($L1265,'Balizador da Meta'!$B$4:$B$21,'Balizador da Meta'!$C$4:$C$21)</f>
        <v>12</v>
      </c>
      <c r="U1265" s="28">
        <f>U1258*_xlfn.XLOOKUP($L1265,'Balizador da Meta'!$B$4:$B$21,'Balizador da Meta'!$C$4:$C$21)</f>
        <v>12</v>
      </c>
      <c r="V1265" s="28">
        <f>V1258*_xlfn.XLOOKUP($L1265,'Balizador da Meta'!$B$4:$B$21,'Balizador da Meta'!$C$4:$C$21)</f>
        <v>12</v>
      </c>
      <c r="W1265" s="28">
        <f>W1258*_xlfn.XLOOKUP($L1265,'Balizador da Meta'!$B$4:$B$21,'Balizador da Meta'!$C$4:$C$21)</f>
        <v>12</v>
      </c>
      <c r="X1265" s="28">
        <f>X1258*_xlfn.XLOOKUP($L1265,'Balizador da Meta'!$B$4:$B$21,'Balizador da Meta'!$C$4:$C$21)</f>
        <v>12</v>
      </c>
      <c r="Y1265" s="28">
        <f>Y1258*_xlfn.XLOOKUP($L1265,'Balizador da Meta'!$B$4:$B$21,'Balizador da Meta'!$C$4:$C$21)</f>
        <v>12</v>
      </c>
      <c r="Z1265" s="30">
        <f t="shared" si="301"/>
        <v>144</v>
      </c>
      <c r="AA1265" s="29"/>
      <c r="AB1265" s="31">
        <f>SUMIFS('Historico - FAT'!AK:AK,'Historico - FAT'!$K:$K,Faturamento!$L1265,'Historico - FAT'!$I:$I,Faturamento!$J1265,'Historico - FAT'!$G:$G,Faturamento!$H1265)</f>
        <v>0</v>
      </c>
      <c r="AC1265" s="31">
        <f>SUMIFS('Historico - FAT'!AL:AL,'Historico - FAT'!$K:$K,Faturamento!$L1265,'Historico - FAT'!$I:$I,Faturamento!$J1265,'Historico - FAT'!$G:$G,Faturamento!$H1265)</f>
        <v>0</v>
      </c>
      <c r="AD1265" s="31">
        <f>SUMIFS('Historico - FAT'!AM:AM,'Historico - FAT'!$K:$K,Faturamento!$L1265,'Historico - FAT'!$I:$I,Faturamento!$J1265,'Historico - FAT'!$G:$G,Faturamento!$H1265)</f>
        <v>0</v>
      </c>
      <c r="AE1265" s="27">
        <f>SUMIFS('Historico - FAT'!AN:AN,'Historico - FAT'!$K:$K,Faturamento!$L1265,'Historico - FAT'!$I:$I,Faturamento!$J1265,'Historico - FAT'!$G:$G,Faturamento!$H1265)</f>
        <v>0</v>
      </c>
      <c r="AG1265" s="24">
        <f t="shared" si="289"/>
        <v>1</v>
      </c>
      <c r="AH1265" s="24">
        <f t="shared" si="290"/>
        <v>1</v>
      </c>
      <c r="AI1265" s="24">
        <f t="shared" si="291"/>
        <v>1</v>
      </c>
    </row>
    <row r="1266" spans="1:35" hidden="1" x14ac:dyDescent="0.3">
      <c r="A1266" s="2" t="str">
        <f t="shared" ref="A1266:A1329" si="302">IF(OR(H1266&lt;&gt;H1265,J1266&lt;&gt;J1265),"SIM","NÃO")</f>
        <v>NÃO</v>
      </c>
      <c r="B1266" s="2">
        <v>1000184670</v>
      </c>
      <c r="C1266" s="2" t="s">
        <v>147</v>
      </c>
      <c r="D1266" s="4">
        <v>1000186197</v>
      </c>
      <c r="E1266" s="4" t="s">
        <v>166</v>
      </c>
      <c r="F1266" s="2">
        <v>1000184757</v>
      </c>
      <c r="G1266" s="2" t="s">
        <v>62</v>
      </c>
      <c r="H1266" s="4">
        <v>1000189811</v>
      </c>
      <c r="I1266" s="4" t="s">
        <v>76</v>
      </c>
      <c r="J1266" s="2">
        <v>1000189270</v>
      </c>
      <c r="K1266" s="2" t="s">
        <v>34</v>
      </c>
      <c r="L1266" s="4" t="s">
        <v>24</v>
      </c>
      <c r="M1266" s="4" t="str">
        <f t="shared" si="294"/>
        <v>1000184670100018619710001898111000189270KIDS</v>
      </c>
      <c r="N1266" s="28">
        <f>N1258*_xlfn.XLOOKUP($L1266,'Balizador da Meta'!$B$4:$B$21,'Balizador da Meta'!$C$4:$C$21)</f>
        <v>0</v>
      </c>
      <c r="O1266" s="28">
        <f>O1258*_xlfn.XLOOKUP($L1266,'Balizador da Meta'!$B$4:$B$21,'Balizador da Meta'!$C$4:$C$21)</f>
        <v>0</v>
      </c>
      <c r="P1266" s="28">
        <f>P1258*_xlfn.XLOOKUP($L1266,'Balizador da Meta'!$B$4:$B$21,'Balizador da Meta'!$C$4:$C$21)</f>
        <v>0</v>
      </c>
      <c r="Q1266" s="28">
        <f>Q1258*_xlfn.XLOOKUP($L1266,'Balizador da Meta'!$B$4:$B$21,'Balizador da Meta'!$C$4:$C$21)</f>
        <v>0</v>
      </c>
      <c r="R1266" s="28">
        <f>R1258*_xlfn.XLOOKUP($L1266,'Balizador da Meta'!$B$4:$B$21,'Balizador da Meta'!$C$4:$C$21)</f>
        <v>0</v>
      </c>
      <c r="S1266" s="28">
        <f>S1258*_xlfn.XLOOKUP($L1266,'Balizador da Meta'!$B$4:$B$21,'Balizador da Meta'!$C$4:$C$21)</f>
        <v>0</v>
      </c>
      <c r="T1266" s="28">
        <f>T1258*_xlfn.XLOOKUP($L1266,'Balizador da Meta'!$B$4:$B$21,'Balizador da Meta'!$C$4:$C$21)</f>
        <v>0</v>
      </c>
      <c r="U1266" s="28">
        <f>U1258*_xlfn.XLOOKUP($L1266,'Balizador da Meta'!$B$4:$B$21,'Balizador da Meta'!$C$4:$C$21)</f>
        <v>0</v>
      </c>
      <c r="V1266" s="28">
        <f>V1258*_xlfn.XLOOKUP($L1266,'Balizador da Meta'!$B$4:$B$21,'Balizador da Meta'!$C$4:$C$21)</f>
        <v>0</v>
      </c>
      <c r="W1266" s="28">
        <f>W1258*_xlfn.XLOOKUP($L1266,'Balizador da Meta'!$B$4:$B$21,'Balizador da Meta'!$C$4:$C$21)</f>
        <v>0</v>
      </c>
      <c r="X1266" s="28">
        <f>X1258*_xlfn.XLOOKUP($L1266,'Balizador da Meta'!$B$4:$B$21,'Balizador da Meta'!$C$4:$C$21)</f>
        <v>0</v>
      </c>
      <c r="Y1266" s="28">
        <f>Y1258*_xlfn.XLOOKUP($L1266,'Balizador da Meta'!$B$4:$B$21,'Balizador da Meta'!$C$4:$C$21)</f>
        <v>0</v>
      </c>
      <c r="Z1266" s="30">
        <f t="shared" si="301"/>
        <v>0</v>
      </c>
      <c r="AA1266" s="29"/>
      <c r="AB1266" s="31">
        <f>SUMIFS('Historico - FAT'!AK:AK,'Historico - FAT'!$K:$K,Faturamento!$L1266,'Historico - FAT'!$I:$I,Faturamento!$J1266,'Historico - FAT'!$G:$G,Faturamento!$H1266)</f>
        <v>0</v>
      </c>
      <c r="AC1266" s="31">
        <f>SUMIFS('Historico - FAT'!AL:AL,'Historico - FAT'!$K:$K,Faturamento!$L1266,'Historico - FAT'!$I:$I,Faturamento!$J1266,'Historico - FAT'!$G:$G,Faturamento!$H1266)</f>
        <v>0</v>
      </c>
      <c r="AD1266" s="31">
        <f>SUMIFS('Historico - FAT'!AM:AM,'Historico - FAT'!$K:$K,Faturamento!$L1266,'Historico - FAT'!$I:$I,Faturamento!$J1266,'Historico - FAT'!$G:$G,Faturamento!$H1266)</f>
        <v>0</v>
      </c>
      <c r="AE1266" s="27">
        <f>SUMIFS('Historico - FAT'!AN:AN,'Historico - FAT'!$K:$K,Faturamento!$L1266,'Historico - FAT'!$I:$I,Faturamento!$J1266,'Historico - FAT'!$G:$G,Faturamento!$H1266)</f>
        <v>0</v>
      </c>
      <c r="AG1266" s="24" t="str">
        <f t="shared" ref="AG1266:AG1329" si="303">IFERROR((AVERAGE(W1266:Y1266)-AB1266)/AVERAGE(W1266:Y1266),"")</f>
        <v/>
      </c>
      <c r="AH1266" s="24" t="str">
        <f t="shared" ref="AH1266:AH1329" si="304">IFERROR((AVERAGE(W1266:Y1266)-AC1266)/AVERAGE(W1266:Y1266),"")</f>
        <v/>
      </c>
      <c r="AI1266" s="24" t="str">
        <f t="shared" ref="AI1266:AI1329" si="305">IFERROR((AVERAGE(W1266:Y1266)-AD1266)/AVERAGE(W1266:Y1266),"")</f>
        <v/>
      </c>
    </row>
    <row r="1267" spans="1:35" hidden="1" x14ac:dyDescent="0.3">
      <c r="A1267" s="2" t="str">
        <f t="shared" si="302"/>
        <v>NÃO</v>
      </c>
      <c r="B1267" s="2">
        <v>1000184670</v>
      </c>
      <c r="C1267" s="2" t="s">
        <v>147</v>
      </c>
      <c r="D1267" s="4">
        <v>1000186197</v>
      </c>
      <c r="E1267" s="4" t="s">
        <v>166</v>
      </c>
      <c r="F1267" s="2">
        <v>1000184757</v>
      </c>
      <c r="G1267" s="2" t="s">
        <v>62</v>
      </c>
      <c r="H1267" s="4">
        <v>1000189811</v>
      </c>
      <c r="I1267" s="4" t="s">
        <v>76</v>
      </c>
      <c r="J1267" s="2">
        <v>1000189270</v>
      </c>
      <c r="K1267" s="2" t="s">
        <v>34</v>
      </c>
      <c r="L1267" s="4" t="s">
        <v>18</v>
      </c>
      <c r="M1267" s="4" t="str">
        <f t="shared" si="294"/>
        <v>1000184670100018619710001898111000189270LANCHES</v>
      </c>
      <c r="N1267" s="28">
        <f>N1258*_xlfn.XLOOKUP($L1267,'Balizador da Meta'!$B$4:$B$21,'Balizador da Meta'!$C$4:$C$21)</f>
        <v>6</v>
      </c>
      <c r="O1267" s="28">
        <f>O1258*_xlfn.XLOOKUP($L1267,'Balizador da Meta'!$B$4:$B$21,'Balizador da Meta'!$C$4:$C$21)</f>
        <v>6</v>
      </c>
      <c r="P1267" s="28">
        <f>P1258*_xlfn.XLOOKUP($L1267,'Balizador da Meta'!$B$4:$B$21,'Balizador da Meta'!$C$4:$C$21)</f>
        <v>6</v>
      </c>
      <c r="Q1267" s="28">
        <f>Q1258*_xlfn.XLOOKUP($L1267,'Balizador da Meta'!$B$4:$B$21,'Balizador da Meta'!$C$4:$C$21)</f>
        <v>6</v>
      </c>
      <c r="R1267" s="28">
        <f>R1258*_xlfn.XLOOKUP($L1267,'Balizador da Meta'!$B$4:$B$21,'Balizador da Meta'!$C$4:$C$21)</f>
        <v>6</v>
      </c>
      <c r="S1267" s="28">
        <f>S1258*_xlfn.XLOOKUP($L1267,'Balizador da Meta'!$B$4:$B$21,'Balizador da Meta'!$C$4:$C$21)</f>
        <v>6</v>
      </c>
      <c r="T1267" s="28">
        <f>T1258*_xlfn.XLOOKUP($L1267,'Balizador da Meta'!$B$4:$B$21,'Balizador da Meta'!$C$4:$C$21)</f>
        <v>6</v>
      </c>
      <c r="U1267" s="28">
        <f>U1258*_xlfn.XLOOKUP($L1267,'Balizador da Meta'!$B$4:$B$21,'Balizador da Meta'!$C$4:$C$21)</f>
        <v>6</v>
      </c>
      <c r="V1267" s="28">
        <f>V1258*_xlfn.XLOOKUP($L1267,'Balizador da Meta'!$B$4:$B$21,'Balizador da Meta'!$C$4:$C$21)</f>
        <v>6</v>
      </c>
      <c r="W1267" s="28">
        <f>W1258*_xlfn.XLOOKUP($L1267,'Balizador da Meta'!$B$4:$B$21,'Balizador da Meta'!$C$4:$C$21)</f>
        <v>6</v>
      </c>
      <c r="X1267" s="28">
        <f>X1258*_xlfn.XLOOKUP($L1267,'Balizador da Meta'!$B$4:$B$21,'Balizador da Meta'!$C$4:$C$21)</f>
        <v>6</v>
      </c>
      <c r="Y1267" s="28">
        <f>Y1258*_xlfn.XLOOKUP($L1267,'Balizador da Meta'!$B$4:$B$21,'Balizador da Meta'!$C$4:$C$21)</f>
        <v>6</v>
      </c>
      <c r="Z1267" s="30">
        <f t="shared" si="301"/>
        <v>72</v>
      </c>
      <c r="AA1267" s="29"/>
      <c r="AB1267" s="31">
        <f>SUMIFS('Historico - FAT'!AK:AK,'Historico - FAT'!$K:$K,Faturamento!$L1267,'Historico - FAT'!$I:$I,Faturamento!$J1267,'Historico - FAT'!$G:$G,Faturamento!$H1267)</f>
        <v>0</v>
      </c>
      <c r="AC1267" s="31">
        <f>SUMIFS('Historico - FAT'!AL:AL,'Historico - FAT'!$K:$K,Faturamento!$L1267,'Historico - FAT'!$I:$I,Faturamento!$J1267,'Historico - FAT'!$G:$G,Faturamento!$H1267)</f>
        <v>0</v>
      </c>
      <c r="AD1267" s="31">
        <f>SUMIFS('Historico - FAT'!AM:AM,'Historico - FAT'!$K:$K,Faturamento!$L1267,'Historico - FAT'!$I:$I,Faturamento!$J1267,'Historico - FAT'!$G:$G,Faturamento!$H1267)</f>
        <v>0</v>
      </c>
      <c r="AE1267" s="27">
        <f>SUMIFS('Historico - FAT'!AN:AN,'Historico - FAT'!$K:$K,Faturamento!$L1267,'Historico - FAT'!$I:$I,Faturamento!$J1267,'Historico - FAT'!$G:$G,Faturamento!$H1267)</f>
        <v>0</v>
      </c>
      <c r="AG1267" s="24">
        <f t="shared" si="303"/>
        <v>1</v>
      </c>
      <c r="AH1267" s="24">
        <f t="shared" si="304"/>
        <v>1</v>
      </c>
      <c r="AI1267" s="24">
        <f t="shared" si="305"/>
        <v>1</v>
      </c>
    </row>
    <row r="1268" spans="1:35" hidden="1" x14ac:dyDescent="0.3">
      <c r="A1268" s="2" t="str">
        <f t="shared" si="302"/>
        <v>NÃO</v>
      </c>
      <c r="B1268" s="2">
        <v>1000184670</v>
      </c>
      <c r="C1268" s="2" t="s">
        <v>147</v>
      </c>
      <c r="D1268" s="4">
        <v>1000186197</v>
      </c>
      <c r="E1268" s="4" t="s">
        <v>166</v>
      </c>
      <c r="F1268" s="2">
        <v>1000184757</v>
      </c>
      <c r="G1268" s="2" t="s">
        <v>62</v>
      </c>
      <c r="H1268" s="4">
        <v>1000189811</v>
      </c>
      <c r="I1268" s="4" t="s">
        <v>76</v>
      </c>
      <c r="J1268" s="2">
        <v>1000189270</v>
      </c>
      <c r="K1268" s="2" t="s">
        <v>34</v>
      </c>
      <c r="L1268" s="4" t="s">
        <v>29</v>
      </c>
      <c r="M1268" s="4" t="str">
        <f t="shared" si="294"/>
        <v>1000184670100018619710001898111000189270MAIS GRANEL</v>
      </c>
      <c r="N1268" s="28">
        <f>N1258*_xlfn.XLOOKUP($L1268,'Balizador da Meta'!$B$4:$B$21,'Balizador da Meta'!$C$4:$C$21)</f>
        <v>192</v>
      </c>
      <c r="O1268" s="28">
        <f>O1258*_xlfn.XLOOKUP($L1268,'Balizador da Meta'!$B$4:$B$21,'Balizador da Meta'!$C$4:$C$21)</f>
        <v>192</v>
      </c>
      <c r="P1268" s="28">
        <f>P1258*_xlfn.XLOOKUP($L1268,'Balizador da Meta'!$B$4:$B$21,'Balizador da Meta'!$C$4:$C$21)</f>
        <v>192</v>
      </c>
      <c r="Q1268" s="28">
        <f>Q1258*_xlfn.XLOOKUP($L1268,'Balizador da Meta'!$B$4:$B$21,'Balizador da Meta'!$C$4:$C$21)</f>
        <v>192</v>
      </c>
      <c r="R1268" s="28">
        <f>R1258*_xlfn.XLOOKUP($L1268,'Balizador da Meta'!$B$4:$B$21,'Balizador da Meta'!$C$4:$C$21)</f>
        <v>192</v>
      </c>
      <c r="S1268" s="28">
        <f>S1258*_xlfn.XLOOKUP($L1268,'Balizador da Meta'!$B$4:$B$21,'Balizador da Meta'!$C$4:$C$21)</f>
        <v>192</v>
      </c>
      <c r="T1268" s="28">
        <f>T1258*_xlfn.XLOOKUP($L1268,'Balizador da Meta'!$B$4:$B$21,'Balizador da Meta'!$C$4:$C$21)</f>
        <v>192</v>
      </c>
      <c r="U1268" s="28">
        <f>U1258*_xlfn.XLOOKUP($L1268,'Balizador da Meta'!$B$4:$B$21,'Balizador da Meta'!$C$4:$C$21)</f>
        <v>192</v>
      </c>
      <c r="V1268" s="28">
        <f>V1258*_xlfn.XLOOKUP($L1268,'Balizador da Meta'!$B$4:$B$21,'Balizador da Meta'!$C$4:$C$21)</f>
        <v>192</v>
      </c>
      <c r="W1268" s="28">
        <f>W1258*_xlfn.XLOOKUP($L1268,'Balizador da Meta'!$B$4:$B$21,'Balizador da Meta'!$C$4:$C$21)</f>
        <v>192</v>
      </c>
      <c r="X1268" s="28">
        <f>X1258*_xlfn.XLOOKUP($L1268,'Balizador da Meta'!$B$4:$B$21,'Balizador da Meta'!$C$4:$C$21)</f>
        <v>192</v>
      </c>
      <c r="Y1268" s="28">
        <f>Y1258*_xlfn.XLOOKUP($L1268,'Balizador da Meta'!$B$4:$B$21,'Balizador da Meta'!$C$4:$C$21)</f>
        <v>192</v>
      </c>
      <c r="Z1268" s="30">
        <f t="shared" si="301"/>
        <v>2304</v>
      </c>
      <c r="AA1268" s="29"/>
      <c r="AB1268" s="31">
        <f>SUMIFS('Historico - FAT'!AK:AK,'Historico - FAT'!$K:$K,Faturamento!$L1268,'Historico - FAT'!$I:$I,Faturamento!$J1268,'Historico - FAT'!$G:$G,Faturamento!$H1268)</f>
        <v>0</v>
      </c>
      <c r="AC1268" s="31">
        <f>SUMIFS('Historico - FAT'!AL:AL,'Historico - FAT'!$K:$K,Faturamento!$L1268,'Historico - FAT'!$I:$I,Faturamento!$J1268,'Historico - FAT'!$G:$G,Faturamento!$H1268)</f>
        <v>0</v>
      </c>
      <c r="AD1268" s="31">
        <f>SUMIFS('Historico - FAT'!AM:AM,'Historico - FAT'!$K:$K,Faturamento!$L1268,'Historico - FAT'!$I:$I,Faturamento!$J1268,'Historico - FAT'!$G:$G,Faturamento!$H1268)</f>
        <v>0</v>
      </c>
      <c r="AE1268" s="27">
        <f>SUMIFS('Historico - FAT'!AN:AN,'Historico - FAT'!$K:$K,Faturamento!$L1268,'Historico - FAT'!$I:$I,Faturamento!$J1268,'Historico - FAT'!$G:$G,Faturamento!$H1268)</f>
        <v>0</v>
      </c>
      <c r="AG1268" s="24">
        <f t="shared" si="303"/>
        <v>1</v>
      </c>
      <c r="AH1268" s="24">
        <f t="shared" si="304"/>
        <v>1</v>
      </c>
      <c r="AI1268" s="24">
        <f t="shared" si="305"/>
        <v>1</v>
      </c>
    </row>
    <row r="1269" spans="1:35" hidden="1" x14ac:dyDescent="0.3">
      <c r="A1269" s="2" t="str">
        <f t="shared" si="302"/>
        <v>NÃO</v>
      </c>
      <c r="B1269" s="2">
        <v>1000184670</v>
      </c>
      <c r="C1269" s="2" t="s">
        <v>147</v>
      </c>
      <c r="D1269" s="4">
        <v>1000186197</v>
      </c>
      <c r="E1269" s="4" t="s">
        <v>166</v>
      </c>
      <c r="F1269" s="2">
        <v>1000184757</v>
      </c>
      <c r="G1269" s="2" t="s">
        <v>62</v>
      </c>
      <c r="H1269" s="4">
        <v>1000189811</v>
      </c>
      <c r="I1269" s="4" t="s">
        <v>76</v>
      </c>
      <c r="J1269" s="2">
        <v>1000189270</v>
      </c>
      <c r="K1269" s="2" t="s">
        <v>34</v>
      </c>
      <c r="L1269" s="4" t="s">
        <v>21</v>
      </c>
      <c r="M1269" s="4" t="str">
        <f t="shared" si="294"/>
        <v>1000184670100018619710001898111000189270NATURATTA</v>
      </c>
      <c r="N1269" s="28">
        <f>N1258*_xlfn.XLOOKUP($L1269,'Balizador da Meta'!$B$4:$B$21,'Balizador da Meta'!$C$4:$C$21)</f>
        <v>30</v>
      </c>
      <c r="O1269" s="28">
        <f>O1258*_xlfn.XLOOKUP($L1269,'Balizador da Meta'!$B$4:$B$21,'Balizador da Meta'!$C$4:$C$21)</f>
        <v>30</v>
      </c>
      <c r="P1269" s="28">
        <f>P1258*_xlfn.XLOOKUP($L1269,'Balizador da Meta'!$B$4:$B$21,'Balizador da Meta'!$C$4:$C$21)</f>
        <v>30</v>
      </c>
      <c r="Q1269" s="28">
        <f>Q1258*_xlfn.XLOOKUP($L1269,'Balizador da Meta'!$B$4:$B$21,'Balizador da Meta'!$C$4:$C$21)</f>
        <v>30</v>
      </c>
      <c r="R1269" s="28">
        <f>R1258*_xlfn.XLOOKUP($L1269,'Balizador da Meta'!$B$4:$B$21,'Balizador da Meta'!$C$4:$C$21)</f>
        <v>30</v>
      </c>
      <c r="S1269" s="28">
        <f>S1258*_xlfn.XLOOKUP($L1269,'Balizador da Meta'!$B$4:$B$21,'Balizador da Meta'!$C$4:$C$21)</f>
        <v>30</v>
      </c>
      <c r="T1269" s="28">
        <f>T1258*_xlfn.XLOOKUP($L1269,'Balizador da Meta'!$B$4:$B$21,'Balizador da Meta'!$C$4:$C$21)</f>
        <v>30</v>
      </c>
      <c r="U1269" s="28">
        <f>U1258*_xlfn.XLOOKUP($L1269,'Balizador da Meta'!$B$4:$B$21,'Balizador da Meta'!$C$4:$C$21)</f>
        <v>30</v>
      </c>
      <c r="V1269" s="28">
        <f>V1258*_xlfn.XLOOKUP($L1269,'Balizador da Meta'!$B$4:$B$21,'Balizador da Meta'!$C$4:$C$21)</f>
        <v>30</v>
      </c>
      <c r="W1269" s="28">
        <f>W1258*_xlfn.XLOOKUP($L1269,'Balizador da Meta'!$B$4:$B$21,'Balizador da Meta'!$C$4:$C$21)</f>
        <v>30</v>
      </c>
      <c r="X1269" s="28">
        <f>X1258*_xlfn.XLOOKUP($L1269,'Balizador da Meta'!$B$4:$B$21,'Balizador da Meta'!$C$4:$C$21)</f>
        <v>30</v>
      </c>
      <c r="Y1269" s="28">
        <f>Y1258*_xlfn.XLOOKUP($L1269,'Balizador da Meta'!$B$4:$B$21,'Balizador da Meta'!$C$4:$C$21)</f>
        <v>30</v>
      </c>
      <c r="Z1269" s="30">
        <f t="shared" si="301"/>
        <v>360</v>
      </c>
      <c r="AA1269" s="29"/>
      <c r="AB1269" s="31">
        <f>SUMIFS('Historico - FAT'!AK:AK,'Historico - FAT'!$K:$K,Faturamento!$L1269,'Historico - FAT'!$I:$I,Faturamento!$J1269,'Historico - FAT'!$G:$G,Faturamento!$H1269)</f>
        <v>0</v>
      </c>
      <c r="AC1269" s="31">
        <f>SUMIFS('Historico - FAT'!AL:AL,'Historico - FAT'!$K:$K,Faturamento!$L1269,'Historico - FAT'!$I:$I,Faturamento!$J1269,'Historico - FAT'!$G:$G,Faturamento!$H1269)</f>
        <v>0</v>
      </c>
      <c r="AD1269" s="31">
        <f>SUMIFS('Historico - FAT'!AM:AM,'Historico - FAT'!$K:$K,Faturamento!$L1269,'Historico - FAT'!$I:$I,Faturamento!$J1269,'Historico - FAT'!$G:$G,Faturamento!$H1269)</f>
        <v>0</v>
      </c>
      <c r="AE1269" s="27">
        <f>SUMIFS('Historico - FAT'!AN:AN,'Historico - FAT'!$K:$K,Faturamento!$L1269,'Historico - FAT'!$I:$I,Faturamento!$J1269,'Historico - FAT'!$G:$G,Faturamento!$H1269)</f>
        <v>0</v>
      </c>
      <c r="AG1269" s="24">
        <f t="shared" si="303"/>
        <v>1</v>
      </c>
      <c r="AH1269" s="24">
        <f t="shared" si="304"/>
        <v>1</v>
      </c>
      <c r="AI1269" s="24">
        <f t="shared" si="305"/>
        <v>1</v>
      </c>
    </row>
    <row r="1270" spans="1:35" hidden="1" x14ac:dyDescent="0.3">
      <c r="A1270" s="2" t="str">
        <f t="shared" si="302"/>
        <v>NÃO</v>
      </c>
      <c r="B1270" s="2">
        <v>1000184670</v>
      </c>
      <c r="C1270" s="2" t="s">
        <v>147</v>
      </c>
      <c r="D1270" s="4">
        <v>1000186197</v>
      </c>
      <c r="E1270" s="4" t="s">
        <v>166</v>
      </c>
      <c r="F1270" s="2">
        <v>1000184757</v>
      </c>
      <c r="G1270" s="2" t="s">
        <v>62</v>
      </c>
      <c r="H1270" s="4">
        <v>1000189811</v>
      </c>
      <c r="I1270" s="4" t="s">
        <v>76</v>
      </c>
      <c r="J1270" s="2">
        <v>1000189270</v>
      </c>
      <c r="K1270" s="2" t="s">
        <v>34</v>
      </c>
      <c r="L1270" s="4" t="s">
        <v>20</v>
      </c>
      <c r="M1270" s="4" t="str">
        <f t="shared" si="294"/>
        <v>1000184670100018619710001898111000189270REEMBALADOS</v>
      </c>
      <c r="N1270" s="28">
        <f>N1258*_xlfn.XLOOKUP($L1270,'Balizador da Meta'!$B$4:$B$21,'Balizador da Meta'!$C$4:$C$21)</f>
        <v>24</v>
      </c>
      <c r="O1270" s="28">
        <f>O1258*_xlfn.XLOOKUP($L1270,'Balizador da Meta'!$B$4:$B$21,'Balizador da Meta'!$C$4:$C$21)</f>
        <v>24</v>
      </c>
      <c r="P1270" s="28">
        <f>P1258*_xlfn.XLOOKUP($L1270,'Balizador da Meta'!$B$4:$B$21,'Balizador da Meta'!$C$4:$C$21)</f>
        <v>24</v>
      </c>
      <c r="Q1270" s="28">
        <f>Q1258*_xlfn.XLOOKUP($L1270,'Balizador da Meta'!$B$4:$B$21,'Balizador da Meta'!$C$4:$C$21)</f>
        <v>24</v>
      </c>
      <c r="R1270" s="28">
        <f>R1258*_xlfn.XLOOKUP($L1270,'Balizador da Meta'!$B$4:$B$21,'Balizador da Meta'!$C$4:$C$21)</f>
        <v>24</v>
      </c>
      <c r="S1270" s="28">
        <f>S1258*_xlfn.XLOOKUP($L1270,'Balizador da Meta'!$B$4:$B$21,'Balizador da Meta'!$C$4:$C$21)</f>
        <v>24</v>
      </c>
      <c r="T1270" s="28">
        <f>T1258*_xlfn.XLOOKUP($L1270,'Balizador da Meta'!$B$4:$B$21,'Balizador da Meta'!$C$4:$C$21)</f>
        <v>24</v>
      </c>
      <c r="U1270" s="28">
        <f>U1258*_xlfn.XLOOKUP($L1270,'Balizador da Meta'!$B$4:$B$21,'Balizador da Meta'!$C$4:$C$21)</f>
        <v>24</v>
      </c>
      <c r="V1270" s="28">
        <f>V1258*_xlfn.XLOOKUP($L1270,'Balizador da Meta'!$B$4:$B$21,'Balizador da Meta'!$C$4:$C$21)</f>
        <v>24</v>
      </c>
      <c r="W1270" s="28">
        <f>W1258*_xlfn.XLOOKUP($L1270,'Balizador da Meta'!$B$4:$B$21,'Balizador da Meta'!$C$4:$C$21)</f>
        <v>24</v>
      </c>
      <c r="X1270" s="28">
        <f>X1258*_xlfn.XLOOKUP($L1270,'Balizador da Meta'!$B$4:$B$21,'Balizador da Meta'!$C$4:$C$21)</f>
        <v>24</v>
      </c>
      <c r="Y1270" s="28">
        <f>Y1258*_xlfn.XLOOKUP($L1270,'Balizador da Meta'!$B$4:$B$21,'Balizador da Meta'!$C$4:$C$21)</f>
        <v>24</v>
      </c>
      <c r="Z1270" s="30">
        <f t="shared" si="301"/>
        <v>288</v>
      </c>
      <c r="AA1270" s="29"/>
      <c r="AB1270" s="31">
        <f>SUMIFS('Historico - FAT'!AK:AK,'Historico - FAT'!$K:$K,Faturamento!$L1270,'Historico - FAT'!$I:$I,Faturamento!$J1270,'Historico - FAT'!$G:$G,Faturamento!$H1270)</f>
        <v>0</v>
      </c>
      <c r="AC1270" s="31">
        <f>SUMIFS('Historico - FAT'!AL:AL,'Historico - FAT'!$K:$K,Faturamento!$L1270,'Historico - FAT'!$I:$I,Faturamento!$J1270,'Historico - FAT'!$G:$G,Faturamento!$H1270)</f>
        <v>0</v>
      </c>
      <c r="AD1270" s="31">
        <f>SUMIFS('Historico - FAT'!AM:AM,'Historico - FAT'!$K:$K,Faturamento!$L1270,'Historico - FAT'!$I:$I,Faturamento!$J1270,'Historico - FAT'!$G:$G,Faturamento!$H1270)</f>
        <v>0</v>
      </c>
      <c r="AE1270" s="27">
        <f>SUMIFS('Historico - FAT'!AN:AN,'Historico - FAT'!$K:$K,Faturamento!$L1270,'Historico - FAT'!$I:$I,Faturamento!$J1270,'Historico - FAT'!$G:$G,Faturamento!$H1270)</f>
        <v>0</v>
      </c>
      <c r="AG1270" s="24">
        <f t="shared" si="303"/>
        <v>1</v>
      </c>
      <c r="AH1270" s="24">
        <f t="shared" si="304"/>
        <v>1</v>
      </c>
      <c r="AI1270" s="24">
        <f t="shared" si="305"/>
        <v>1</v>
      </c>
    </row>
    <row r="1271" spans="1:35" hidden="1" x14ac:dyDescent="0.3">
      <c r="A1271" s="2" t="str">
        <f t="shared" si="302"/>
        <v>NÃO</v>
      </c>
      <c r="B1271" s="2">
        <v>1000184670</v>
      </c>
      <c r="C1271" s="2" t="s">
        <v>147</v>
      </c>
      <c r="D1271" s="4">
        <v>1000186197</v>
      </c>
      <c r="E1271" s="4" t="s">
        <v>166</v>
      </c>
      <c r="F1271" s="2">
        <v>1000184757</v>
      </c>
      <c r="G1271" s="2" t="s">
        <v>62</v>
      </c>
      <c r="H1271" s="4">
        <v>1000189811</v>
      </c>
      <c r="I1271" s="4" t="s">
        <v>76</v>
      </c>
      <c r="J1271" s="2">
        <v>1000189270</v>
      </c>
      <c r="K1271" s="2" t="s">
        <v>34</v>
      </c>
      <c r="L1271" s="4" t="s">
        <v>22</v>
      </c>
      <c r="M1271" s="4" t="str">
        <f t="shared" si="294"/>
        <v>1000184670100018619710001898111000189270S GLUTEN</v>
      </c>
      <c r="N1271" s="28">
        <f>N1258*_xlfn.XLOOKUP($L1271,'Balizador da Meta'!$B$4:$B$21,'Balizador da Meta'!$C$4:$C$21)</f>
        <v>24</v>
      </c>
      <c r="O1271" s="28">
        <f>O1258*_xlfn.XLOOKUP($L1271,'Balizador da Meta'!$B$4:$B$21,'Balizador da Meta'!$C$4:$C$21)</f>
        <v>24</v>
      </c>
      <c r="P1271" s="28">
        <f>P1258*_xlfn.XLOOKUP($L1271,'Balizador da Meta'!$B$4:$B$21,'Balizador da Meta'!$C$4:$C$21)</f>
        <v>24</v>
      </c>
      <c r="Q1271" s="28">
        <f>Q1258*_xlfn.XLOOKUP($L1271,'Balizador da Meta'!$B$4:$B$21,'Balizador da Meta'!$C$4:$C$21)</f>
        <v>24</v>
      </c>
      <c r="R1271" s="28">
        <f>R1258*_xlfn.XLOOKUP($L1271,'Balizador da Meta'!$B$4:$B$21,'Balizador da Meta'!$C$4:$C$21)</f>
        <v>24</v>
      </c>
      <c r="S1271" s="28">
        <f>S1258*_xlfn.XLOOKUP($L1271,'Balizador da Meta'!$B$4:$B$21,'Balizador da Meta'!$C$4:$C$21)</f>
        <v>24</v>
      </c>
      <c r="T1271" s="28">
        <f>T1258*_xlfn.XLOOKUP($L1271,'Balizador da Meta'!$B$4:$B$21,'Balizador da Meta'!$C$4:$C$21)</f>
        <v>24</v>
      </c>
      <c r="U1271" s="28">
        <f>U1258*_xlfn.XLOOKUP($L1271,'Balizador da Meta'!$B$4:$B$21,'Balizador da Meta'!$C$4:$C$21)</f>
        <v>24</v>
      </c>
      <c r="V1271" s="28">
        <f>V1258*_xlfn.XLOOKUP($L1271,'Balizador da Meta'!$B$4:$B$21,'Balizador da Meta'!$C$4:$C$21)</f>
        <v>24</v>
      </c>
      <c r="W1271" s="28">
        <f>W1258*_xlfn.XLOOKUP($L1271,'Balizador da Meta'!$B$4:$B$21,'Balizador da Meta'!$C$4:$C$21)</f>
        <v>24</v>
      </c>
      <c r="X1271" s="28">
        <f>X1258*_xlfn.XLOOKUP($L1271,'Balizador da Meta'!$B$4:$B$21,'Balizador da Meta'!$C$4:$C$21)</f>
        <v>24</v>
      </c>
      <c r="Y1271" s="28">
        <f>Y1258*_xlfn.XLOOKUP($L1271,'Balizador da Meta'!$B$4:$B$21,'Balizador da Meta'!$C$4:$C$21)</f>
        <v>24</v>
      </c>
      <c r="Z1271" s="30">
        <f t="shared" si="301"/>
        <v>288</v>
      </c>
      <c r="AA1271" s="29"/>
      <c r="AB1271" s="31">
        <f>SUMIFS('Historico - FAT'!AK:AK,'Historico - FAT'!$K:$K,Faturamento!$L1271,'Historico - FAT'!$I:$I,Faturamento!$J1271,'Historico - FAT'!$G:$G,Faturamento!$H1271)</f>
        <v>0</v>
      </c>
      <c r="AC1271" s="31">
        <f>SUMIFS('Historico - FAT'!AL:AL,'Historico - FAT'!$K:$K,Faturamento!$L1271,'Historico - FAT'!$I:$I,Faturamento!$J1271,'Historico - FAT'!$G:$G,Faturamento!$H1271)</f>
        <v>0</v>
      </c>
      <c r="AD1271" s="31">
        <f>SUMIFS('Historico - FAT'!AM:AM,'Historico - FAT'!$K:$K,Faturamento!$L1271,'Historico - FAT'!$I:$I,Faturamento!$J1271,'Historico - FAT'!$G:$G,Faturamento!$H1271)</f>
        <v>0</v>
      </c>
      <c r="AE1271" s="27">
        <f>SUMIFS('Historico - FAT'!AN:AN,'Historico - FAT'!$K:$K,Faturamento!$L1271,'Historico - FAT'!$I:$I,Faturamento!$J1271,'Historico - FAT'!$G:$G,Faturamento!$H1271)</f>
        <v>0</v>
      </c>
      <c r="AG1271" s="24">
        <f t="shared" si="303"/>
        <v>1</v>
      </c>
      <c r="AH1271" s="24">
        <f t="shared" si="304"/>
        <v>1</v>
      </c>
      <c r="AI1271" s="24">
        <f t="shared" si="305"/>
        <v>1</v>
      </c>
    </row>
    <row r="1272" spans="1:35" hidden="1" x14ac:dyDescent="0.3">
      <c r="A1272" s="2" t="str">
        <f t="shared" si="302"/>
        <v>NÃO</v>
      </c>
      <c r="B1272" s="2">
        <v>1000184670</v>
      </c>
      <c r="C1272" s="2" t="s">
        <v>147</v>
      </c>
      <c r="D1272" s="4">
        <v>1000186197</v>
      </c>
      <c r="E1272" s="4" t="s">
        <v>166</v>
      </c>
      <c r="F1272" s="2">
        <v>1000184757</v>
      </c>
      <c r="G1272" s="2" t="s">
        <v>62</v>
      </c>
      <c r="H1272" s="4">
        <v>1000189811</v>
      </c>
      <c r="I1272" s="4" t="s">
        <v>76</v>
      </c>
      <c r="J1272" s="2">
        <v>1000189270</v>
      </c>
      <c r="K1272" s="2" t="s">
        <v>34</v>
      </c>
      <c r="L1272" s="4" t="s">
        <v>23</v>
      </c>
      <c r="M1272" s="4" t="str">
        <f t="shared" si="294"/>
        <v>1000184670100018619710001898111000189270SABORES DO CAMPO</v>
      </c>
      <c r="N1272" s="28">
        <f>N1258*_xlfn.XLOOKUP($L1272,'Balizador da Meta'!$B$4:$B$21,'Balizador da Meta'!$C$4:$C$21)</f>
        <v>0</v>
      </c>
      <c r="O1272" s="28">
        <f>O1258*_xlfn.XLOOKUP($L1272,'Balizador da Meta'!$B$4:$B$21,'Balizador da Meta'!$C$4:$C$21)</f>
        <v>0</v>
      </c>
      <c r="P1272" s="28">
        <f>P1258*_xlfn.XLOOKUP($L1272,'Balizador da Meta'!$B$4:$B$21,'Balizador da Meta'!$C$4:$C$21)</f>
        <v>0</v>
      </c>
      <c r="Q1272" s="28">
        <f>Q1258*_xlfn.XLOOKUP($L1272,'Balizador da Meta'!$B$4:$B$21,'Balizador da Meta'!$C$4:$C$21)</f>
        <v>0</v>
      </c>
      <c r="R1272" s="28">
        <f>R1258*_xlfn.XLOOKUP($L1272,'Balizador da Meta'!$B$4:$B$21,'Balizador da Meta'!$C$4:$C$21)</f>
        <v>0</v>
      </c>
      <c r="S1272" s="28">
        <f>S1258*_xlfn.XLOOKUP($L1272,'Balizador da Meta'!$B$4:$B$21,'Balizador da Meta'!$C$4:$C$21)</f>
        <v>0</v>
      </c>
      <c r="T1272" s="28">
        <f>T1258*_xlfn.XLOOKUP($L1272,'Balizador da Meta'!$B$4:$B$21,'Balizador da Meta'!$C$4:$C$21)</f>
        <v>0</v>
      </c>
      <c r="U1272" s="28">
        <f>U1258*_xlfn.XLOOKUP($L1272,'Balizador da Meta'!$B$4:$B$21,'Balizador da Meta'!$C$4:$C$21)</f>
        <v>0</v>
      </c>
      <c r="V1272" s="28">
        <f>V1258*_xlfn.XLOOKUP($L1272,'Balizador da Meta'!$B$4:$B$21,'Balizador da Meta'!$C$4:$C$21)</f>
        <v>0</v>
      </c>
      <c r="W1272" s="28">
        <f>W1258*_xlfn.XLOOKUP($L1272,'Balizador da Meta'!$B$4:$B$21,'Balizador da Meta'!$C$4:$C$21)</f>
        <v>0</v>
      </c>
      <c r="X1272" s="28">
        <f>X1258*_xlfn.XLOOKUP($L1272,'Balizador da Meta'!$B$4:$B$21,'Balizador da Meta'!$C$4:$C$21)</f>
        <v>0</v>
      </c>
      <c r="Y1272" s="28">
        <f>Y1258*_xlfn.XLOOKUP($L1272,'Balizador da Meta'!$B$4:$B$21,'Balizador da Meta'!$C$4:$C$21)</f>
        <v>0</v>
      </c>
      <c r="Z1272" s="30">
        <f t="shared" si="301"/>
        <v>0</v>
      </c>
      <c r="AA1272" s="29"/>
      <c r="AB1272" s="31">
        <f>SUMIFS('Historico - FAT'!AK:AK,'Historico - FAT'!$K:$K,Faturamento!$L1272,'Historico - FAT'!$I:$I,Faturamento!$J1272,'Historico - FAT'!$G:$G,Faturamento!$H1272)</f>
        <v>0</v>
      </c>
      <c r="AC1272" s="31">
        <f>SUMIFS('Historico - FAT'!AL:AL,'Historico - FAT'!$K:$K,Faturamento!$L1272,'Historico - FAT'!$I:$I,Faturamento!$J1272,'Historico - FAT'!$G:$G,Faturamento!$H1272)</f>
        <v>0</v>
      </c>
      <c r="AD1272" s="31">
        <f>SUMIFS('Historico - FAT'!AM:AM,'Historico - FAT'!$K:$K,Faturamento!$L1272,'Historico - FAT'!$I:$I,Faturamento!$J1272,'Historico - FAT'!$G:$G,Faturamento!$H1272)</f>
        <v>0</v>
      </c>
      <c r="AE1272" s="27">
        <f>SUMIFS('Historico - FAT'!AN:AN,'Historico - FAT'!$K:$K,Faturamento!$L1272,'Historico - FAT'!$I:$I,Faturamento!$J1272,'Historico - FAT'!$G:$G,Faturamento!$H1272)</f>
        <v>0</v>
      </c>
      <c r="AG1272" s="24" t="str">
        <f t="shared" si="303"/>
        <v/>
      </c>
      <c r="AH1272" s="24" t="str">
        <f t="shared" si="304"/>
        <v/>
      </c>
      <c r="AI1272" s="24" t="str">
        <f t="shared" si="305"/>
        <v/>
      </c>
    </row>
    <row r="1273" spans="1:35" hidden="1" x14ac:dyDescent="0.3">
      <c r="A1273" s="2" t="str">
        <f t="shared" si="302"/>
        <v>NÃO</v>
      </c>
      <c r="B1273" s="2">
        <v>1000184670</v>
      </c>
      <c r="C1273" s="2" t="s">
        <v>147</v>
      </c>
      <c r="D1273" s="4">
        <v>1000186197</v>
      </c>
      <c r="E1273" s="4" t="s">
        <v>166</v>
      </c>
      <c r="F1273" s="2">
        <v>1000184757</v>
      </c>
      <c r="G1273" s="2" t="s">
        <v>62</v>
      </c>
      <c r="H1273" s="4">
        <v>1000189811</v>
      </c>
      <c r="I1273" s="4" t="s">
        <v>76</v>
      </c>
      <c r="J1273" s="2">
        <v>1000189270</v>
      </c>
      <c r="K1273" s="2" t="s">
        <v>34</v>
      </c>
      <c r="L1273" s="4" t="s">
        <v>28</v>
      </c>
      <c r="M1273" s="4" t="str">
        <f t="shared" si="294"/>
        <v>1000184670100018619710001898111000189270SAL</v>
      </c>
      <c r="N1273" s="28">
        <f>N1258*_xlfn.XLOOKUP($L1273,'Balizador da Meta'!$B$4:$B$21,'Balizador da Meta'!$C$4:$C$21)</f>
        <v>12</v>
      </c>
      <c r="O1273" s="28">
        <f>O1258*_xlfn.XLOOKUP($L1273,'Balizador da Meta'!$B$4:$B$21,'Balizador da Meta'!$C$4:$C$21)</f>
        <v>12</v>
      </c>
      <c r="P1273" s="28">
        <f>P1258*_xlfn.XLOOKUP($L1273,'Balizador da Meta'!$B$4:$B$21,'Balizador da Meta'!$C$4:$C$21)</f>
        <v>12</v>
      </c>
      <c r="Q1273" s="28">
        <f>Q1258*_xlfn.XLOOKUP($L1273,'Balizador da Meta'!$B$4:$B$21,'Balizador da Meta'!$C$4:$C$21)</f>
        <v>12</v>
      </c>
      <c r="R1273" s="28">
        <f>R1258*_xlfn.XLOOKUP($L1273,'Balizador da Meta'!$B$4:$B$21,'Balizador da Meta'!$C$4:$C$21)</f>
        <v>12</v>
      </c>
      <c r="S1273" s="28">
        <f>S1258*_xlfn.XLOOKUP($L1273,'Balizador da Meta'!$B$4:$B$21,'Balizador da Meta'!$C$4:$C$21)</f>
        <v>12</v>
      </c>
      <c r="T1273" s="28">
        <f>T1258*_xlfn.XLOOKUP($L1273,'Balizador da Meta'!$B$4:$B$21,'Balizador da Meta'!$C$4:$C$21)</f>
        <v>12</v>
      </c>
      <c r="U1273" s="28">
        <f>U1258*_xlfn.XLOOKUP($L1273,'Balizador da Meta'!$B$4:$B$21,'Balizador da Meta'!$C$4:$C$21)</f>
        <v>12</v>
      </c>
      <c r="V1273" s="28">
        <f>V1258*_xlfn.XLOOKUP($L1273,'Balizador da Meta'!$B$4:$B$21,'Balizador da Meta'!$C$4:$C$21)</f>
        <v>12</v>
      </c>
      <c r="W1273" s="28">
        <f>W1258*_xlfn.XLOOKUP($L1273,'Balizador da Meta'!$B$4:$B$21,'Balizador da Meta'!$C$4:$C$21)</f>
        <v>12</v>
      </c>
      <c r="X1273" s="28">
        <f>X1258*_xlfn.XLOOKUP($L1273,'Balizador da Meta'!$B$4:$B$21,'Balizador da Meta'!$C$4:$C$21)</f>
        <v>12</v>
      </c>
      <c r="Y1273" s="28">
        <f>Y1258*_xlfn.XLOOKUP($L1273,'Balizador da Meta'!$B$4:$B$21,'Balizador da Meta'!$C$4:$C$21)</f>
        <v>12</v>
      </c>
      <c r="Z1273" s="30">
        <f t="shared" si="301"/>
        <v>144</v>
      </c>
      <c r="AA1273" s="29"/>
      <c r="AB1273" s="31">
        <f>SUMIFS('Historico - FAT'!AK:AK,'Historico - FAT'!$K:$K,Faturamento!$L1273,'Historico - FAT'!$I:$I,Faturamento!$J1273,'Historico - FAT'!$G:$G,Faturamento!$H1273)</f>
        <v>0</v>
      </c>
      <c r="AC1273" s="31">
        <f>SUMIFS('Historico - FAT'!AL:AL,'Historico - FAT'!$K:$K,Faturamento!$L1273,'Historico - FAT'!$I:$I,Faturamento!$J1273,'Historico - FAT'!$G:$G,Faturamento!$H1273)</f>
        <v>0</v>
      </c>
      <c r="AD1273" s="31">
        <f>SUMIFS('Historico - FAT'!AM:AM,'Historico - FAT'!$K:$K,Faturamento!$L1273,'Historico - FAT'!$I:$I,Faturamento!$J1273,'Historico - FAT'!$G:$G,Faturamento!$H1273)</f>
        <v>0</v>
      </c>
      <c r="AE1273" s="27">
        <f>SUMIFS('Historico - FAT'!AN:AN,'Historico - FAT'!$K:$K,Faturamento!$L1273,'Historico - FAT'!$I:$I,Faturamento!$J1273,'Historico - FAT'!$G:$G,Faturamento!$H1273)</f>
        <v>0</v>
      </c>
      <c r="AG1273" s="24">
        <f t="shared" si="303"/>
        <v>1</v>
      </c>
      <c r="AH1273" s="24">
        <f t="shared" si="304"/>
        <v>1</v>
      </c>
      <c r="AI1273" s="24">
        <f t="shared" si="305"/>
        <v>1</v>
      </c>
    </row>
    <row r="1274" spans="1:35" hidden="1" x14ac:dyDescent="0.3">
      <c r="A1274" s="2" t="str">
        <f t="shared" si="302"/>
        <v>NÃO</v>
      </c>
      <c r="B1274" s="2">
        <v>1000184670</v>
      </c>
      <c r="C1274" s="2" t="s">
        <v>147</v>
      </c>
      <c r="D1274" s="4">
        <v>1000186197</v>
      </c>
      <c r="E1274" s="4" t="s">
        <v>166</v>
      </c>
      <c r="F1274" s="2">
        <v>1000184757</v>
      </c>
      <c r="G1274" s="2" t="s">
        <v>62</v>
      </c>
      <c r="H1274" s="4">
        <v>1000189811</v>
      </c>
      <c r="I1274" s="4" t="s">
        <v>76</v>
      </c>
      <c r="J1274" s="2">
        <v>1000189270</v>
      </c>
      <c r="K1274" s="2" t="s">
        <v>34</v>
      </c>
      <c r="L1274" s="4" t="s">
        <v>26</v>
      </c>
      <c r="M1274" s="4" t="str">
        <f t="shared" si="294"/>
        <v>1000184670100018619710001898111000189270SOULPRO</v>
      </c>
      <c r="N1274" s="28">
        <f>N1258*_xlfn.XLOOKUP($L1274,'Balizador da Meta'!$B$4:$B$21,'Balizador da Meta'!$C$4:$C$21)</f>
        <v>36</v>
      </c>
      <c r="O1274" s="28">
        <f>O1258*_xlfn.XLOOKUP($L1274,'Balizador da Meta'!$B$4:$B$21,'Balizador da Meta'!$C$4:$C$21)</f>
        <v>36</v>
      </c>
      <c r="P1274" s="28">
        <f>P1258*_xlfn.XLOOKUP($L1274,'Balizador da Meta'!$B$4:$B$21,'Balizador da Meta'!$C$4:$C$21)</f>
        <v>36</v>
      </c>
      <c r="Q1274" s="28">
        <f>Q1258*_xlfn.XLOOKUP($L1274,'Balizador da Meta'!$B$4:$B$21,'Balizador da Meta'!$C$4:$C$21)</f>
        <v>36</v>
      </c>
      <c r="R1274" s="28">
        <f>R1258*_xlfn.XLOOKUP($L1274,'Balizador da Meta'!$B$4:$B$21,'Balizador da Meta'!$C$4:$C$21)</f>
        <v>36</v>
      </c>
      <c r="S1274" s="28">
        <f>S1258*_xlfn.XLOOKUP($L1274,'Balizador da Meta'!$B$4:$B$21,'Balizador da Meta'!$C$4:$C$21)</f>
        <v>36</v>
      </c>
      <c r="T1274" s="28">
        <f>T1258*_xlfn.XLOOKUP($L1274,'Balizador da Meta'!$B$4:$B$21,'Balizador da Meta'!$C$4:$C$21)</f>
        <v>36</v>
      </c>
      <c r="U1274" s="28">
        <f>U1258*_xlfn.XLOOKUP($L1274,'Balizador da Meta'!$B$4:$B$21,'Balizador da Meta'!$C$4:$C$21)</f>
        <v>36</v>
      </c>
      <c r="V1274" s="28">
        <f>V1258*_xlfn.XLOOKUP($L1274,'Balizador da Meta'!$B$4:$B$21,'Balizador da Meta'!$C$4:$C$21)</f>
        <v>36</v>
      </c>
      <c r="W1274" s="28">
        <f>W1258*_xlfn.XLOOKUP($L1274,'Balizador da Meta'!$B$4:$B$21,'Balizador da Meta'!$C$4:$C$21)</f>
        <v>36</v>
      </c>
      <c r="X1274" s="28">
        <f>X1258*_xlfn.XLOOKUP($L1274,'Balizador da Meta'!$B$4:$B$21,'Balizador da Meta'!$C$4:$C$21)</f>
        <v>36</v>
      </c>
      <c r="Y1274" s="28">
        <f>Y1258*_xlfn.XLOOKUP($L1274,'Balizador da Meta'!$B$4:$B$21,'Balizador da Meta'!$C$4:$C$21)</f>
        <v>36</v>
      </c>
      <c r="Z1274" s="30">
        <f t="shared" si="301"/>
        <v>432</v>
      </c>
      <c r="AA1274" s="29"/>
      <c r="AB1274" s="31">
        <f>SUMIFS('Historico - FAT'!AK:AK,'Historico - FAT'!$K:$K,Faturamento!$L1274,'Historico - FAT'!$I:$I,Faturamento!$J1274,'Historico - FAT'!$G:$G,Faturamento!$H1274)</f>
        <v>0</v>
      </c>
      <c r="AC1274" s="31">
        <f>SUMIFS('Historico - FAT'!AL:AL,'Historico - FAT'!$K:$K,Faturamento!$L1274,'Historico - FAT'!$I:$I,Faturamento!$J1274,'Historico - FAT'!$G:$G,Faturamento!$H1274)</f>
        <v>0</v>
      </c>
      <c r="AD1274" s="31">
        <f>SUMIFS('Historico - FAT'!AM:AM,'Historico - FAT'!$K:$K,Faturamento!$L1274,'Historico - FAT'!$I:$I,Faturamento!$J1274,'Historico - FAT'!$G:$G,Faturamento!$H1274)</f>
        <v>0</v>
      </c>
      <c r="AE1274" s="27">
        <f>SUMIFS('Historico - FAT'!AN:AN,'Historico - FAT'!$K:$K,Faturamento!$L1274,'Historico - FAT'!$I:$I,Faturamento!$J1274,'Historico - FAT'!$G:$G,Faturamento!$H1274)</f>
        <v>0</v>
      </c>
      <c r="AG1274" s="24">
        <f t="shared" si="303"/>
        <v>1</v>
      </c>
      <c r="AH1274" s="24">
        <f t="shared" si="304"/>
        <v>1</v>
      </c>
      <c r="AI1274" s="24">
        <f t="shared" si="305"/>
        <v>1</v>
      </c>
    </row>
    <row r="1275" spans="1:35" hidden="1" x14ac:dyDescent="0.3">
      <c r="A1275" s="2" t="str">
        <f t="shared" si="302"/>
        <v>NÃO</v>
      </c>
      <c r="B1275" s="2">
        <v>1000184670</v>
      </c>
      <c r="C1275" s="2" t="s">
        <v>147</v>
      </c>
      <c r="D1275" s="4">
        <v>1000186197</v>
      </c>
      <c r="E1275" s="4" t="s">
        <v>166</v>
      </c>
      <c r="F1275" s="2">
        <v>1000184757</v>
      </c>
      <c r="G1275" s="2" t="s">
        <v>62</v>
      </c>
      <c r="H1275" s="4">
        <v>1000189811</v>
      </c>
      <c r="I1275" s="4" t="s">
        <v>76</v>
      </c>
      <c r="J1275" s="2">
        <v>1000189270</v>
      </c>
      <c r="K1275" s="2" t="s">
        <v>34</v>
      </c>
      <c r="L1275" s="4" t="s">
        <v>27</v>
      </c>
      <c r="M1275" s="4" t="str">
        <f t="shared" si="294"/>
        <v>1000184670100018619710001898111000189270TAMARA</v>
      </c>
      <c r="N1275" s="28">
        <f>N1258*_xlfn.XLOOKUP($L1275,'Balizador da Meta'!$B$4:$B$21,'Balizador da Meta'!$C$4:$C$21)</f>
        <v>48</v>
      </c>
      <c r="O1275" s="28">
        <f>O1258*_xlfn.XLOOKUP($L1275,'Balizador da Meta'!$B$4:$B$21,'Balizador da Meta'!$C$4:$C$21)</f>
        <v>48</v>
      </c>
      <c r="P1275" s="28">
        <f>P1258*_xlfn.XLOOKUP($L1275,'Balizador da Meta'!$B$4:$B$21,'Balizador da Meta'!$C$4:$C$21)</f>
        <v>48</v>
      </c>
      <c r="Q1275" s="28">
        <f>Q1258*_xlfn.XLOOKUP($L1275,'Balizador da Meta'!$B$4:$B$21,'Balizador da Meta'!$C$4:$C$21)</f>
        <v>48</v>
      </c>
      <c r="R1275" s="28">
        <f>R1258*_xlfn.XLOOKUP($L1275,'Balizador da Meta'!$B$4:$B$21,'Balizador da Meta'!$C$4:$C$21)</f>
        <v>48</v>
      </c>
      <c r="S1275" s="28">
        <f>S1258*_xlfn.XLOOKUP($L1275,'Balizador da Meta'!$B$4:$B$21,'Balizador da Meta'!$C$4:$C$21)</f>
        <v>48</v>
      </c>
      <c r="T1275" s="28">
        <f>T1258*_xlfn.XLOOKUP($L1275,'Balizador da Meta'!$B$4:$B$21,'Balizador da Meta'!$C$4:$C$21)</f>
        <v>48</v>
      </c>
      <c r="U1275" s="28">
        <f>U1258*_xlfn.XLOOKUP($L1275,'Balizador da Meta'!$B$4:$B$21,'Balizador da Meta'!$C$4:$C$21)</f>
        <v>48</v>
      </c>
      <c r="V1275" s="28">
        <f>V1258*_xlfn.XLOOKUP($L1275,'Balizador da Meta'!$B$4:$B$21,'Balizador da Meta'!$C$4:$C$21)</f>
        <v>48</v>
      </c>
      <c r="W1275" s="28">
        <f>W1258*_xlfn.XLOOKUP($L1275,'Balizador da Meta'!$B$4:$B$21,'Balizador da Meta'!$C$4:$C$21)</f>
        <v>48</v>
      </c>
      <c r="X1275" s="28">
        <f>X1258*_xlfn.XLOOKUP($L1275,'Balizador da Meta'!$B$4:$B$21,'Balizador da Meta'!$C$4:$C$21)</f>
        <v>48</v>
      </c>
      <c r="Y1275" s="28">
        <f>Y1258*_xlfn.XLOOKUP($L1275,'Balizador da Meta'!$B$4:$B$21,'Balizador da Meta'!$C$4:$C$21)</f>
        <v>48</v>
      </c>
      <c r="Z1275" s="30">
        <f t="shared" si="301"/>
        <v>576</v>
      </c>
      <c r="AA1275" s="29"/>
      <c r="AB1275" s="31">
        <f>SUMIFS('Historico - FAT'!AK:AK,'Historico - FAT'!$K:$K,Faturamento!$L1275,'Historico - FAT'!$I:$I,Faturamento!$J1275,'Historico - FAT'!$G:$G,Faturamento!$H1275)</f>
        <v>0</v>
      </c>
      <c r="AC1275" s="31">
        <f>SUMIFS('Historico - FAT'!AL:AL,'Historico - FAT'!$K:$K,Faturamento!$L1275,'Historico - FAT'!$I:$I,Faturamento!$J1275,'Historico - FAT'!$G:$G,Faturamento!$H1275)</f>
        <v>0</v>
      </c>
      <c r="AD1275" s="31">
        <f>SUMIFS('Historico - FAT'!AM:AM,'Historico - FAT'!$K:$K,Faturamento!$L1275,'Historico - FAT'!$I:$I,Faturamento!$J1275,'Historico - FAT'!$G:$G,Faturamento!$H1275)</f>
        <v>0</v>
      </c>
      <c r="AE1275" s="27">
        <f>SUMIFS('Historico - FAT'!AN:AN,'Historico - FAT'!$K:$K,Faturamento!$L1275,'Historico - FAT'!$I:$I,Faturamento!$J1275,'Historico - FAT'!$G:$G,Faturamento!$H1275)</f>
        <v>0</v>
      </c>
      <c r="AG1275" s="24">
        <f t="shared" si="303"/>
        <v>1</v>
      </c>
      <c r="AH1275" s="24">
        <f t="shared" si="304"/>
        <v>1</v>
      </c>
      <c r="AI1275" s="24">
        <f t="shared" si="305"/>
        <v>1</v>
      </c>
    </row>
    <row r="1276" spans="1:35" hidden="1" x14ac:dyDescent="0.3">
      <c r="A1276" s="2" t="str">
        <f t="shared" si="302"/>
        <v>NÃO</v>
      </c>
      <c r="B1276" s="2">
        <v>1000184670</v>
      </c>
      <c r="C1276" s="2" t="s">
        <v>147</v>
      </c>
      <c r="D1276" s="4">
        <v>1000186197</v>
      </c>
      <c r="E1276" s="4" t="s">
        <v>166</v>
      </c>
      <c r="F1276" s="2">
        <v>1000184757</v>
      </c>
      <c r="G1276" s="2" t="s">
        <v>62</v>
      </c>
      <c r="H1276" s="4">
        <v>1000189811</v>
      </c>
      <c r="I1276" s="4" t="s">
        <v>76</v>
      </c>
      <c r="J1276" s="2">
        <v>1000189270</v>
      </c>
      <c r="K1276" s="2" t="s">
        <v>34</v>
      </c>
      <c r="L1276" s="4" t="s">
        <v>25</v>
      </c>
      <c r="M1276" s="4" t="str">
        <f t="shared" si="294"/>
        <v>1000184670100018619710001898111000189270VICCIO</v>
      </c>
      <c r="N1276" s="28">
        <f>N1258*_xlfn.XLOOKUP($L1276,'Balizador da Meta'!$B$4:$B$21,'Balizador da Meta'!$C$4:$C$21)</f>
        <v>18</v>
      </c>
      <c r="O1276" s="28">
        <f>O1258*_xlfn.XLOOKUP($L1276,'Balizador da Meta'!$B$4:$B$21,'Balizador da Meta'!$C$4:$C$21)</f>
        <v>18</v>
      </c>
      <c r="P1276" s="28">
        <f>P1258*_xlfn.XLOOKUP($L1276,'Balizador da Meta'!$B$4:$B$21,'Balizador da Meta'!$C$4:$C$21)</f>
        <v>18</v>
      </c>
      <c r="Q1276" s="28">
        <f>Q1258*_xlfn.XLOOKUP($L1276,'Balizador da Meta'!$B$4:$B$21,'Balizador da Meta'!$C$4:$C$21)</f>
        <v>18</v>
      </c>
      <c r="R1276" s="28">
        <f>R1258*_xlfn.XLOOKUP($L1276,'Balizador da Meta'!$B$4:$B$21,'Balizador da Meta'!$C$4:$C$21)</f>
        <v>18</v>
      </c>
      <c r="S1276" s="28">
        <f>S1258*_xlfn.XLOOKUP($L1276,'Balizador da Meta'!$B$4:$B$21,'Balizador da Meta'!$C$4:$C$21)</f>
        <v>18</v>
      </c>
      <c r="T1276" s="28">
        <f>T1258*_xlfn.XLOOKUP($L1276,'Balizador da Meta'!$B$4:$B$21,'Balizador da Meta'!$C$4:$C$21)</f>
        <v>18</v>
      </c>
      <c r="U1276" s="28">
        <f>U1258*_xlfn.XLOOKUP($L1276,'Balizador da Meta'!$B$4:$B$21,'Balizador da Meta'!$C$4:$C$21)</f>
        <v>18</v>
      </c>
      <c r="V1276" s="28">
        <f>V1258*_xlfn.XLOOKUP($L1276,'Balizador da Meta'!$B$4:$B$21,'Balizador da Meta'!$C$4:$C$21)</f>
        <v>18</v>
      </c>
      <c r="W1276" s="28">
        <f>W1258*_xlfn.XLOOKUP($L1276,'Balizador da Meta'!$B$4:$B$21,'Balizador da Meta'!$C$4:$C$21)</f>
        <v>18</v>
      </c>
      <c r="X1276" s="28">
        <f>X1258*_xlfn.XLOOKUP($L1276,'Balizador da Meta'!$B$4:$B$21,'Balizador da Meta'!$C$4:$C$21)</f>
        <v>18</v>
      </c>
      <c r="Y1276" s="28">
        <f>Y1258*_xlfn.XLOOKUP($L1276,'Balizador da Meta'!$B$4:$B$21,'Balizador da Meta'!$C$4:$C$21)</f>
        <v>18</v>
      </c>
      <c r="Z1276" s="30">
        <f t="shared" si="301"/>
        <v>216</v>
      </c>
      <c r="AA1276" s="29"/>
      <c r="AB1276" s="31">
        <f>SUMIFS('Historico - FAT'!AK:AK,'Historico - FAT'!$K:$K,Faturamento!$L1276,'Historico - FAT'!$I:$I,Faturamento!$J1276,'Historico - FAT'!$G:$G,Faturamento!$H1276)</f>
        <v>0</v>
      </c>
      <c r="AC1276" s="31">
        <f>SUMIFS('Historico - FAT'!AL:AL,'Historico - FAT'!$K:$K,Faturamento!$L1276,'Historico - FAT'!$I:$I,Faturamento!$J1276,'Historico - FAT'!$G:$G,Faturamento!$H1276)</f>
        <v>0</v>
      </c>
      <c r="AD1276" s="31">
        <f>SUMIFS('Historico - FAT'!AM:AM,'Historico - FAT'!$K:$K,Faturamento!$L1276,'Historico - FAT'!$I:$I,Faturamento!$J1276,'Historico - FAT'!$G:$G,Faturamento!$H1276)</f>
        <v>0</v>
      </c>
      <c r="AE1276" s="27">
        <f>SUMIFS('Historico - FAT'!AN:AN,'Historico - FAT'!$K:$K,Faturamento!$L1276,'Historico - FAT'!$I:$I,Faturamento!$J1276,'Historico - FAT'!$G:$G,Faturamento!$H1276)</f>
        <v>0</v>
      </c>
      <c r="AG1276" s="24">
        <f t="shared" si="303"/>
        <v>1</v>
      </c>
      <c r="AH1276" s="24">
        <f t="shared" si="304"/>
        <v>1</v>
      </c>
      <c r="AI1276" s="24">
        <f t="shared" si="305"/>
        <v>1</v>
      </c>
    </row>
    <row r="1277" spans="1:35" x14ac:dyDescent="0.3">
      <c r="A1277" s="2" t="str">
        <f t="shared" si="302"/>
        <v>SIM</v>
      </c>
      <c r="B1277" s="2">
        <v>1000184670</v>
      </c>
      <c r="C1277" s="2" t="s">
        <v>147</v>
      </c>
      <c r="D1277" s="4">
        <v>1000186197</v>
      </c>
      <c r="E1277" s="4" t="s">
        <v>166</v>
      </c>
      <c r="F1277" s="2">
        <v>1000184762</v>
      </c>
      <c r="G1277" s="2" t="s">
        <v>58</v>
      </c>
      <c r="H1277" s="4">
        <v>1000189812</v>
      </c>
      <c r="I1277" s="4" t="s">
        <v>112</v>
      </c>
      <c r="J1277" s="2">
        <v>1000189270</v>
      </c>
      <c r="K1277" s="2" t="s">
        <v>34</v>
      </c>
      <c r="L1277" s="4" t="s">
        <v>124</v>
      </c>
      <c r="M1277" s="4" t="str">
        <f t="shared" si="294"/>
        <v>100018467010001861971000189812100018927001. TOTAL</v>
      </c>
      <c r="N1277" s="28">
        <f>SUMIFS(Positivação!L:L,Positivação!$I:$I,Faturamento!$J1277,Positivação!$G:$G,Faturamento!$H1277)*SUMIFS(Positivação!$Z:$Z,Positivação!$I:$I,Faturamento!$J1277,Positivação!$G:$G,Faturamento!$H1277)</f>
        <v>1200</v>
      </c>
      <c r="O1277" s="28">
        <f>SUMIFS(Positivação!M:M,Positivação!$I:$I,Faturamento!$J1277,Positivação!$G:$G,Faturamento!$H1277)*SUMIFS(Positivação!$Z:$Z,Positivação!$I:$I,Faturamento!$J1277,Positivação!$G:$G,Faturamento!$H1277)</f>
        <v>1200</v>
      </c>
      <c r="P1277" s="28">
        <f>SUMIFS(Positivação!N:N,Positivação!$I:$I,Faturamento!$J1277,Positivação!$G:$G,Faturamento!$H1277)*SUMIFS(Positivação!$Z:$Z,Positivação!$I:$I,Faturamento!$J1277,Positivação!$G:$G,Faturamento!$H1277)</f>
        <v>1800</v>
      </c>
      <c r="Q1277" s="28">
        <f>SUMIFS(Positivação!O:O,Positivação!$I:$I,Faturamento!$J1277,Positivação!$G:$G,Faturamento!$H1277)*SUMIFS(Positivação!$Z:$Z,Positivação!$I:$I,Faturamento!$J1277,Positivação!$G:$G,Faturamento!$H1277)</f>
        <v>1800</v>
      </c>
      <c r="R1277" s="28">
        <f>SUMIFS(Positivação!P:P,Positivação!$I:$I,Faturamento!$J1277,Positivação!$G:$G,Faturamento!$H1277)*SUMIFS(Positivação!$Z:$Z,Positivação!$I:$I,Faturamento!$J1277,Positivação!$G:$G,Faturamento!$H1277)</f>
        <v>1800</v>
      </c>
      <c r="S1277" s="28">
        <f>SUMIFS(Positivação!Q:Q,Positivação!$I:$I,Faturamento!$J1277,Positivação!$G:$G,Faturamento!$H1277)*SUMIFS(Positivação!$Z:$Z,Positivação!$I:$I,Faturamento!$J1277,Positivação!$G:$G,Faturamento!$H1277)</f>
        <v>1800</v>
      </c>
      <c r="T1277" s="28">
        <f>SUMIFS(Positivação!R:R,Positivação!$I:$I,Faturamento!$J1277,Positivação!$G:$G,Faturamento!$H1277)*SUMIFS(Positivação!$Z:$Z,Positivação!$I:$I,Faturamento!$J1277,Positivação!$G:$G,Faturamento!$H1277)</f>
        <v>1800</v>
      </c>
      <c r="U1277" s="28">
        <f>SUMIFS(Positivação!S:S,Positivação!$I:$I,Faturamento!$J1277,Positivação!$G:$G,Faturamento!$H1277)*SUMIFS(Positivação!$Z:$Z,Positivação!$I:$I,Faturamento!$J1277,Positivação!$G:$G,Faturamento!$H1277)</f>
        <v>2400</v>
      </c>
      <c r="V1277" s="28">
        <f>SUMIFS(Positivação!T:T,Positivação!$I:$I,Faturamento!$J1277,Positivação!$G:$G,Faturamento!$H1277)*SUMIFS(Positivação!$Z:$Z,Positivação!$I:$I,Faturamento!$J1277,Positivação!$G:$G,Faturamento!$H1277)</f>
        <v>2400</v>
      </c>
      <c r="W1277" s="28">
        <f>SUMIFS(Positivação!U:U,Positivação!$I:$I,Faturamento!$J1277,Positivação!$G:$G,Faturamento!$H1277)*SUMIFS(Positivação!$Z:$Z,Positivação!$I:$I,Faturamento!$J1277,Positivação!$G:$G,Faturamento!$H1277)</f>
        <v>2400</v>
      </c>
      <c r="X1277" s="28">
        <f>SUMIFS(Positivação!V:V,Positivação!$I:$I,Faturamento!$J1277,Positivação!$G:$G,Faturamento!$H1277)*SUMIFS(Positivação!$Z:$Z,Positivação!$I:$I,Faturamento!$J1277,Positivação!$G:$G,Faturamento!$H1277)</f>
        <v>2400</v>
      </c>
      <c r="Y1277" s="28">
        <f>SUMIFS(Positivação!W:W,Positivação!$I:$I,Faturamento!$J1277,Positivação!$G:$G,Faturamento!$H1277)*SUMIFS(Positivação!$Z:$Z,Positivação!$I:$I,Faturamento!$J1277,Positivação!$G:$G,Faturamento!$H1277)</f>
        <v>2400</v>
      </c>
      <c r="Z1277" s="28">
        <f t="shared" ref="Z1277" si="306">SUM(Z1278:Z1295)</f>
        <v>23400</v>
      </c>
      <c r="AA1277" s="29"/>
      <c r="AB1277" s="28">
        <f t="shared" ref="AB1277:AE1277" si="307">SUM(AB1278:AB1295)</f>
        <v>145.73333333333332</v>
      </c>
      <c r="AC1277" s="28">
        <f t="shared" si="307"/>
        <v>248.97666666666669</v>
      </c>
      <c r="AD1277" s="28">
        <f t="shared" si="307"/>
        <v>497.95333333333338</v>
      </c>
      <c r="AE1277" s="28">
        <f t="shared" si="307"/>
        <v>298.77199999999999</v>
      </c>
      <c r="AG1277" s="24">
        <f t="shared" si="303"/>
        <v>0.93927777777777788</v>
      </c>
      <c r="AH1277" s="24">
        <f t="shared" si="304"/>
        <v>0.89625972222222228</v>
      </c>
      <c r="AI1277" s="24">
        <f t="shared" si="305"/>
        <v>0.79251944444444444</v>
      </c>
    </row>
    <row r="1278" spans="1:35" hidden="1" x14ac:dyDescent="0.3">
      <c r="A1278" s="2" t="str">
        <f t="shared" si="302"/>
        <v>NÃO</v>
      </c>
      <c r="B1278" s="2">
        <v>1000184670</v>
      </c>
      <c r="C1278" s="2" t="s">
        <v>147</v>
      </c>
      <c r="D1278" s="4">
        <v>1000186197</v>
      </c>
      <c r="E1278" s="4" t="s">
        <v>166</v>
      </c>
      <c r="F1278" s="2">
        <v>1000184762</v>
      </c>
      <c r="G1278" s="2" t="s">
        <v>58</v>
      </c>
      <c r="H1278" s="4">
        <v>1000189812</v>
      </c>
      <c r="I1278" s="4" t="s">
        <v>112</v>
      </c>
      <c r="J1278" s="2">
        <v>1000189270</v>
      </c>
      <c r="K1278" s="2" t="s">
        <v>34</v>
      </c>
      <c r="L1278" s="4" t="s">
        <v>13</v>
      </c>
      <c r="M1278" s="4" t="str">
        <f t="shared" si="294"/>
        <v>1000184670100018619710001898121000189270BISCOITO</v>
      </c>
      <c r="N1278" s="28">
        <f>N1277*_xlfn.XLOOKUP($L1278,'Balizador da Meta'!$B$4:$B$21,'Balizador da Meta'!$C$4:$C$21)</f>
        <v>84.000000000000014</v>
      </c>
      <c r="O1278" s="28">
        <f>O1277*_xlfn.XLOOKUP($L1278,'Balizador da Meta'!$B$4:$B$21,'Balizador da Meta'!$C$4:$C$21)</f>
        <v>84.000000000000014</v>
      </c>
      <c r="P1278" s="28">
        <f>P1277*_xlfn.XLOOKUP($L1278,'Balizador da Meta'!$B$4:$B$21,'Balizador da Meta'!$C$4:$C$21)</f>
        <v>126.00000000000001</v>
      </c>
      <c r="Q1278" s="28">
        <f>Q1277*_xlfn.XLOOKUP($L1278,'Balizador da Meta'!$B$4:$B$21,'Balizador da Meta'!$C$4:$C$21)</f>
        <v>126.00000000000001</v>
      </c>
      <c r="R1278" s="28">
        <f>R1277*_xlfn.XLOOKUP($L1278,'Balizador da Meta'!$B$4:$B$21,'Balizador da Meta'!$C$4:$C$21)</f>
        <v>126.00000000000001</v>
      </c>
      <c r="S1278" s="28">
        <f>S1277*_xlfn.XLOOKUP($L1278,'Balizador da Meta'!$B$4:$B$21,'Balizador da Meta'!$C$4:$C$21)</f>
        <v>126.00000000000001</v>
      </c>
      <c r="T1278" s="28">
        <f>T1277*_xlfn.XLOOKUP($L1278,'Balizador da Meta'!$B$4:$B$21,'Balizador da Meta'!$C$4:$C$21)</f>
        <v>126.00000000000001</v>
      </c>
      <c r="U1278" s="28">
        <f>U1277*_xlfn.XLOOKUP($L1278,'Balizador da Meta'!$B$4:$B$21,'Balizador da Meta'!$C$4:$C$21)</f>
        <v>168.00000000000003</v>
      </c>
      <c r="V1278" s="28">
        <f>V1277*_xlfn.XLOOKUP($L1278,'Balizador da Meta'!$B$4:$B$21,'Balizador da Meta'!$C$4:$C$21)</f>
        <v>168.00000000000003</v>
      </c>
      <c r="W1278" s="28">
        <f>W1277*_xlfn.XLOOKUP($L1278,'Balizador da Meta'!$B$4:$B$21,'Balizador da Meta'!$C$4:$C$21)</f>
        <v>168.00000000000003</v>
      </c>
      <c r="X1278" s="28">
        <f>X1277*_xlfn.XLOOKUP($L1278,'Balizador da Meta'!$B$4:$B$21,'Balizador da Meta'!$C$4:$C$21)</f>
        <v>168.00000000000003</v>
      </c>
      <c r="Y1278" s="28">
        <f>Y1277*_xlfn.XLOOKUP($L1278,'Balizador da Meta'!$B$4:$B$21,'Balizador da Meta'!$C$4:$C$21)</f>
        <v>168.00000000000003</v>
      </c>
      <c r="Z1278" s="30">
        <f t="shared" ref="Z1278:Z1295" si="308">SUM(N1278:Y1278)</f>
        <v>1638.0000000000002</v>
      </c>
      <c r="AA1278" s="29"/>
      <c r="AB1278" s="31">
        <f>SUMIFS('Historico - FAT'!AK:AK,'Historico - FAT'!$K:$K,Faturamento!$L1278,'Historico - FAT'!$I:$I,Faturamento!$J1278,'Historico - FAT'!$G:$G,Faturamento!$H1278)</f>
        <v>0</v>
      </c>
      <c r="AC1278" s="31">
        <f>SUMIFS('Historico - FAT'!AL:AL,'Historico - FAT'!$K:$K,Faturamento!$L1278,'Historico - FAT'!$I:$I,Faturamento!$J1278,'Historico - FAT'!$G:$G,Faturamento!$H1278)</f>
        <v>0</v>
      </c>
      <c r="AD1278" s="31">
        <f>SUMIFS('Historico - FAT'!AM:AM,'Historico - FAT'!$K:$K,Faturamento!$L1278,'Historico - FAT'!$I:$I,Faturamento!$J1278,'Historico - FAT'!$G:$G,Faturamento!$H1278)</f>
        <v>0</v>
      </c>
      <c r="AE1278" s="27">
        <f>SUMIFS('Historico - FAT'!AN:AN,'Historico - FAT'!$K:$K,Faturamento!$L1278,'Historico - FAT'!$I:$I,Faturamento!$J1278,'Historico - FAT'!$G:$G,Faturamento!$H1278)</f>
        <v>0</v>
      </c>
      <c r="AG1278" s="24">
        <f t="shared" si="303"/>
        <v>1</v>
      </c>
      <c r="AH1278" s="24">
        <f t="shared" si="304"/>
        <v>1</v>
      </c>
      <c r="AI1278" s="24">
        <f t="shared" si="305"/>
        <v>1</v>
      </c>
    </row>
    <row r="1279" spans="1:35" hidden="1" x14ac:dyDescent="0.3">
      <c r="A1279" s="2" t="str">
        <f t="shared" si="302"/>
        <v>NÃO</v>
      </c>
      <c r="B1279" s="2">
        <v>1000184670</v>
      </c>
      <c r="C1279" s="2" t="s">
        <v>147</v>
      </c>
      <c r="D1279" s="4">
        <v>1000186197</v>
      </c>
      <c r="E1279" s="4" t="s">
        <v>166</v>
      </c>
      <c r="F1279" s="2">
        <v>1000184762</v>
      </c>
      <c r="G1279" s="2" t="s">
        <v>58</v>
      </c>
      <c r="H1279" s="4">
        <v>1000189812</v>
      </c>
      <c r="I1279" s="4" t="s">
        <v>112</v>
      </c>
      <c r="J1279" s="2">
        <v>1000189270</v>
      </c>
      <c r="K1279" s="2" t="s">
        <v>34</v>
      </c>
      <c r="L1279" s="4" t="s">
        <v>14</v>
      </c>
      <c r="M1279" s="4" t="str">
        <f t="shared" si="294"/>
        <v>1000184670100018619710001898121000189270CHOCOLATES</v>
      </c>
      <c r="N1279" s="28">
        <f>N1277*_xlfn.XLOOKUP($L1279,'Balizador da Meta'!$B$4:$B$21,'Balizador da Meta'!$C$4:$C$21)</f>
        <v>84.000000000000014</v>
      </c>
      <c r="O1279" s="28">
        <f>O1277*_xlfn.XLOOKUP($L1279,'Balizador da Meta'!$B$4:$B$21,'Balizador da Meta'!$C$4:$C$21)</f>
        <v>84.000000000000014</v>
      </c>
      <c r="P1279" s="28">
        <f>P1277*_xlfn.XLOOKUP($L1279,'Balizador da Meta'!$B$4:$B$21,'Balizador da Meta'!$C$4:$C$21)</f>
        <v>126.00000000000001</v>
      </c>
      <c r="Q1279" s="28">
        <f>Q1277*_xlfn.XLOOKUP($L1279,'Balizador da Meta'!$B$4:$B$21,'Balizador da Meta'!$C$4:$C$21)</f>
        <v>126.00000000000001</v>
      </c>
      <c r="R1279" s="28">
        <f>R1277*_xlfn.XLOOKUP($L1279,'Balizador da Meta'!$B$4:$B$21,'Balizador da Meta'!$C$4:$C$21)</f>
        <v>126.00000000000001</v>
      </c>
      <c r="S1279" s="28">
        <f>S1277*_xlfn.XLOOKUP($L1279,'Balizador da Meta'!$B$4:$B$21,'Balizador da Meta'!$C$4:$C$21)</f>
        <v>126.00000000000001</v>
      </c>
      <c r="T1279" s="28">
        <f>T1277*_xlfn.XLOOKUP($L1279,'Balizador da Meta'!$B$4:$B$21,'Balizador da Meta'!$C$4:$C$21)</f>
        <v>126.00000000000001</v>
      </c>
      <c r="U1279" s="28">
        <f>U1277*_xlfn.XLOOKUP($L1279,'Balizador da Meta'!$B$4:$B$21,'Balizador da Meta'!$C$4:$C$21)</f>
        <v>168.00000000000003</v>
      </c>
      <c r="V1279" s="28">
        <f>V1277*_xlfn.XLOOKUP($L1279,'Balizador da Meta'!$B$4:$B$21,'Balizador da Meta'!$C$4:$C$21)</f>
        <v>168.00000000000003</v>
      </c>
      <c r="W1279" s="28">
        <f>W1277*_xlfn.XLOOKUP($L1279,'Balizador da Meta'!$B$4:$B$21,'Balizador da Meta'!$C$4:$C$21)</f>
        <v>168.00000000000003</v>
      </c>
      <c r="X1279" s="28">
        <f>X1277*_xlfn.XLOOKUP($L1279,'Balizador da Meta'!$B$4:$B$21,'Balizador da Meta'!$C$4:$C$21)</f>
        <v>168.00000000000003</v>
      </c>
      <c r="Y1279" s="28">
        <f>Y1277*_xlfn.XLOOKUP($L1279,'Balizador da Meta'!$B$4:$B$21,'Balizador da Meta'!$C$4:$C$21)</f>
        <v>168.00000000000003</v>
      </c>
      <c r="Z1279" s="30">
        <f t="shared" si="308"/>
        <v>1638.0000000000002</v>
      </c>
      <c r="AA1279" s="29"/>
      <c r="AB1279" s="31">
        <f>SUMIFS('Historico - FAT'!AK:AK,'Historico - FAT'!$K:$K,Faturamento!$L1279,'Historico - FAT'!$I:$I,Faturamento!$J1279,'Historico - FAT'!$G:$G,Faturamento!$H1279)</f>
        <v>0</v>
      </c>
      <c r="AC1279" s="31">
        <f>SUMIFS('Historico - FAT'!AL:AL,'Historico - FAT'!$K:$K,Faturamento!$L1279,'Historico - FAT'!$I:$I,Faturamento!$J1279,'Historico - FAT'!$G:$G,Faturamento!$H1279)</f>
        <v>0</v>
      </c>
      <c r="AD1279" s="31">
        <f>SUMIFS('Historico - FAT'!AM:AM,'Historico - FAT'!$K:$K,Faturamento!$L1279,'Historico - FAT'!$I:$I,Faturamento!$J1279,'Historico - FAT'!$G:$G,Faturamento!$H1279)</f>
        <v>0</v>
      </c>
      <c r="AE1279" s="27">
        <f>SUMIFS('Historico - FAT'!AN:AN,'Historico - FAT'!$K:$K,Faturamento!$L1279,'Historico - FAT'!$I:$I,Faturamento!$J1279,'Historico - FAT'!$G:$G,Faturamento!$H1279)</f>
        <v>0</v>
      </c>
      <c r="AG1279" s="24">
        <f t="shared" si="303"/>
        <v>1</v>
      </c>
      <c r="AH1279" s="24">
        <f t="shared" si="304"/>
        <v>1</v>
      </c>
      <c r="AI1279" s="24">
        <f t="shared" si="305"/>
        <v>1</v>
      </c>
    </row>
    <row r="1280" spans="1:35" hidden="1" x14ac:dyDescent="0.3">
      <c r="A1280" s="2" t="str">
        <f t="shared" si="302"/>
        <v>NÃO</v>
      </c>
      <c r="B1280" s="2">
        <v>1000184670</v>
      </c>
      <c r="C1280" s="2" t="s">
        <v>147</v>
      </c>
      <c r="D1280" s="4">
        <v>1000186197</v>
      </c>
      <c r="E1280" s="4" t="s">
        <v>166</v>
      </c>
      <c r="F1280" s="2">
        <v>1000184762</v>
      </c>
      <c r="G1280" s="2" t="s">
        <v>58</v>
      </c>
      <c r="H1280" s="4">
        <v>1000189812</v>
      </c>
      <c r="I1280" s="4" t="s">
        <v>112</v>
      </c>
      <c r="J1280" s="2">
        <v>1000189270</v>
      </c>
      <c r="K1280" s="2" t="s">
        <v>34</v>
      </c>
      <c r="L1280" s="4" t="s">
        <v>16</v>
      </c>
      <c r="M1280" s="4" t="str">
        <f t="shared" si="294"/>
        <v>1000184670100018619710001898121000189270DISNEY</v>
      </c>
      <c r="N1280" s="28">
        <f>N1277*_xlfn.XLOOKUP($L1280,'Balizador da Meta'!$B$4:$B$21,'Balizador da Meta'!$C$4:$C$21)</f>
        <v>96</v>
      </c>
      <c r="O1280" s="28">
        <f>O1277*_xlfn.XLOOKUP($L1280,'Balizador da Meta'!$B$4:$B$21,'Balizador da Meta'!$C$4:$C$21)</f>
        <v>96</v>
      </c>
      <c r="P1280" s="28">
        <f>P1277*_xlfn.XLOOKUP($L1280,'Balizador da Meta'!$B$4:$B$21,'Balizador da Meta'!$C$4:$C$21)</f>
        <v>144</v>
      </c>
      <c r="Q1280" s="28">
        <f>Q1277*_xlfn.XLOOKUP($L1280,'Balizador da Meta'!$B$4:$B$21,'Balizador da Meta'!$C$4:$C$21)</f>
        <v>144</v>
      </c>
      <c r="R1280" s="28">
        <f>R1277*_xlfn.XLOOKUP($L1280,'Balizador da Meta'!$B$4:$B$21,'Balizador da Meta'!$C$4:$C$21)</f>
        <v>144</v>
      </c>
      <c r="S1280" s="28">
        <f>S1277*_xlfn.XLOOKUP($L1280,'Balizador da Meta'!$B$4:$B$21,'Balizador da Meta'!$C$4:$C$21)</f>
        <v>144</v>
      </c>
      <c r="T1280" s="28">
        <f>T1277*_xlfn.XLOOKUP($L1280,'Balizador da Meta'!$B$4:$B$21,'Balizador da Meta'!$C$4:$C$21)</f>
        <v>144</v>
      </c>
      <c r="U1280" s="28">
        <f>U1277*_xlfn.XLOOKUP($L1280,'Balizador da Meta'!$B$4:$B$21,'Balizador da Meta'!$C$4:$C$21)</f>
        <v>192</v>
      </c>
      <c r="V1280" s="28">
        <f>V1277*_xlfn.XLOOKUP($L1280,'Balizador da Meta'!$B$4:$B$21,'Balizador da Meta'!$C$4:$C$21)</f>
        <v>192</v>
      </c>
      <c r="W1280" s="28">
        <f>W1277*_xlfn.XLOOKUP($L1280,'Balizador da Meta'!$B$4:$B$21,'Balizador da Meta'!$C$4:$C$21)</f>
        <v>192</v>
      </c>
      <c r="X1280" s="28">
        <f>X1277*_xlfn.XLOOKUP($L1280,'Balizador da Meta'!$B$4:$B$21,'Balizador da Meta'!$C$4:$C$21)</f>
        <v>192</v>
      </c>
      <c r="Y1280" s="28">
        <f>Y1277*_xlfn.XLOOKUP($L1280,'Balizador da Meta'!$B$4:$B$21,'Balizador da Meta'!$C$4:$C$21)</f>
        <v>192</v>
      </c>
      <c r="Z1280" s="30">
        <f t="shared" si="308"/>
        <v>1872</v>
      </c>
      <c r="AA1280" s="29"/>
      <c r="AB1280" s="31">
        <f>SUMIFS('Historico - FAT'!AK:AK,'Historico - FAT'!$K:$K,Faturamento!$L1280,'Historico - FAT'!$I:$I,Faturamento!$J1280,'Historico - FAT'!$G:$G,Faturamento!$H1280)</f>
        <v>0</v>
      </c>
      <c r="AC1280" s="31">
        <f>SUMIFS('Historico - FAT'!AL:AL,'Historico - FAT'!$K:$K,Faturamento!$L1280,'Historico - FAT'!$I:$I,Faturamento!$J1280,'Historico - FAT'!$G:$G,Faturamento!$H1280)</f>
        <v>0</v>
      </c>
      <c r="AD1280" s="31">
        <f>SUMIFS('Historico - FAT'!AM:AM,'Historico - FAT'!$K:$K,Faturamento!$L1280,'Historico - FAT'!$I:$I,Faturamento!$J1280,'Historico - FAT'!$G:$G,Faturamento!$H1280)</f>
        <v>0</v>
      </c>
      <c r="AE1280" s="27">
        <f>SUMIFS('Historico - FAT'!AN:AN,'Historico - FAT'!$K:$K,Faturamento!$L1280,'Historico - FAT'!$I:$I,Faturamento!$J1280,'Historico - FAT'!$G:$G,Faturamento!$H1280)</f>
        <v>0</v>
      </c>
      <c r="AG1280" s="24">
        <f t="shared" si="303"/>
        <v>1</v>
      </c>
      <c r="AH1280" s="24">
        <f t="shared" si="304"/>
        <v>1</v>
      </c>
      <c r="AI1280" s="24">
        <f t="shared" si="305"/>
        <v>1</v>
      </c>
    </row>
    <row r="1281" spans="1:35" hidden="1" x14ac:dyDescent="0.3">
      <c r="A1281" s="2" t="str">
        <f t="shared" si="302"/>
        <v>NÃO</v>
      </c>
      <c r="B1281" s="2">
        <v>1000184670</v>
      </c>
      <c r="C1281" s="2" t="s">
        <v>147</v>
      </c>
      <c r="D1281" s="4">
        <v>1000186197</v>
      </c>
      <c r="E1281" s="4" t="s">
        <v>166</v>
      </c>
      <c r="F1281" s="2">
        <v>1000184762</v>
      </c>
      <c r="G1281" s="2" t="s">
        <v>58</v>
      </c>
      <c r="H1281" s="4">
        <v>1000189812</v>
      </c>
      <c r="I1281" s="4" t="s">
        <v>112</v>
      </c>
      <c r="J1281" s="2">
        <v>1000189270</v>
      </c>
      <c r="K1281" s="2" t="s">
        <v>34</v>
      </c>
      <c r="L1281" s="4" t="s">
        <v>15</v>
      </c>
      <c r="M1281" s="4" t="str">
        <f t="shared" si="294"/>
        <v>1000184670100018619710001898121000189270DOCES</v>
      </c>
      <c r="N1281" s="28">
        <f>N1277*_xlfn.XLOOKUP($L1281,'Balizador da Meta'!$B$4:$B$21,'Balizador da Meta'!$C$4:$C$21)</f>
        <v>108</v>
      </c>
      <c r="O1281" s="28">
        <f>O1277*_xlfn.XLOOKUP($L1281,'Balizador da Meta'!$B$4:$B$21,'Balizador da Meta'!$C$4:$C$21)</f>
        <v>108</v>
      </c>
      <c r="P1281" s="28">
        <f>P1277*_xlfn.XLOOKUP($L1281,'Balizador da Meta'!$B$4:$B$21,'Balizador da Meta'!$C$4:$C$21)</f>
        <v>162</v>
      </c>
      <c r="Q1281" s="28">
        <f>Q1277*_xlfn.XLOOKUP($L1281,'Balizador da Meta'!$B$4:$B$21,'Balizador da Meta'!$C$4:$C$21)</f>
        <v>162</v>
      </c>
      <c r="R1281" s="28">
        <f>R1277*_xlfn.XLOOKUP($L1281,'Balizador da Meta'!$B$4:$B$21,'Balizador da Meta'!$C$4:$C$21)</f>
        <v>162</v>
      </c>
      <c r="S1281" s="28">
        <f>S1277*_xlfn.XLOOKUP($L1281,'Balizador da Meta'!$B$4:$B$21,'Balizador da Meta'!$C$4:$C$21)</f>
        <v>162</v>
      </c>
      <c r="T1281" s="28">
        <f>T1277*_xlfn.XLOOKUP($L1281,'Balizador da Meta'!$B$4:$B$21,'Balizador da Meta'!$C$4:$C$21)</f>
        <v>162</v>
      </c>
      <c r="U1281" s="28">
        <f>U1277*_xlfn.XLOOKUP($L1281,'Balizador da Meta'!$B$4:$B$21,'Balizador da Meta'!$C$4:$C$21)</f>
        <v>216</v>
      </c>
      <c r="V1281" s="28">
        <f>V1277*_xlfn.XLOOKUP($L1281,'Balizador da Meta'!$B$4:$B$21,'Balizador da Meta'!$C$4:$C$21)</f>
        <v>216</v>
      </c>
      <c r="W1281" s="28">
        <f>W1277*_xlfn.XLOOKUP($L1281,'Balizador da Meta'!$B$4:$B$21,'Balizador da Meta'!$C$4:$C$21)</f>
        <v>216</v>
      </c>
      <c r="X1281" s="28">
        <f>X1277*_xlfn.XLOOKUP($L1281,'Balizador da Meta'!$B$4:$B$21,'Balizador da Meta'!$C$4:$C$21)</f>
        <v>216</v>
      </c>
      <c r="Y1281" s="28">
        <f>Y1277*_xlfn.XLOOKUP($L1281,'Balizador da Meta'!$B$4:$B$21,'Balizador da Meta'!$C$4:$C$21)</f>
        <v>216</v>
      </c>
      <c r="Z1281" s="30">
        <f t="shared" si="308"/>
        <v>2106</v>
      </c>
      <c r="AA1281" s="29"/>
      <c r="AB1281" s="31">
        <f>SUMIFS('Historico - FAT'!AK:AK,'Historico - FAT'!$K:$K,Faturamento!$L1281,'Historico - FAT'!$I:$I,Faturamento!$J1281,'Historico - FAT'!$G:$G,Faturamento!$H1281)</f>
        <v>0</v>
      </c>
      <c r="AC1281" s="31">
        <f>SUMIFS('Historico - FAT'!AL:AL,'Historico - FAT'!$K:$K,Faturamento!$L1281,'Historico - FAT'!$I:$I,Faturamento!$J1281,'Historico - FAT'!$G:$G,Faturamento!$H1281)</f>
        <v>0</v>
      </c>
      <c r="AD1281" s="31">
        <f>SUMIFS('Historico - FAT'!AM:AM,'Historico - FAT'!$K:$K,Faturamento!$L1281,'Historico - FAT'!$I:$I,Faturamento!$J1281,'Historico - FAT'!$G:$G,Faturamento!$H1281)</f>
        <v>0</v>
      </c>
      <c r="AE1281" s="27">
        <f>SUMIFS('Historico - FAT'!AN:AN,'Historico - FAT'!$K:$K,Faturamento!$L1281,'Historico - FAT'!$I:$I,Faturamento!$J1281,'Historico - FAT'!$G:$G,Faturamento!$H1281)</f>
        <v>0</v>
      </c>
      <c r="AG1281" s="24">
        <f t="shared" si="303"/>
        <v>1</v>
      </c>
      <c r="AH1281" s="24">
        <f t="shared" si="304"/>
        <v>1</v>
      </c>
      <c r="AI1281" s="24">
        <f t="shared" si="305"/>
        <v>1</v>
      </c>
    </row>
    <row r="1282" spans="1:35" hidden="1" x14ac:dyDescent="0.3">
      <c r="A1282" s="2" t="str">
        <f t="shared" si="302"/>
        <v>NÃO</v>
      </c>
      <c r="B1282" s="2">
        <v>1000184670</v>
      </c>
      <c r="C1282" s="2" t="s">
        <v>147</v>
      </c>
      <c r="D1282" s="4">
        <v>1000186197</v>
      </c>
      <c r="E1282" s="4" t="s">
        <v>166</v>
      </c>
      <c r="F1282" s="2">
        <v>1000184762</v>
      </c>
      <c r="G1282" s="2" t="s">
        <v>58</v>
      </c>
      <c r="H1282" s="4">
        <v>1000189812</v>
      </c>
      <c r="I1282" s="4" t="s">
        <v>112</v>
      </c>
      <c r="J1282" s="2">
        <v>1000189270</v>
      </c>
      <c r="K1282" s="2" t="s">
        <v>34</v>
      </c>
      <c r="L1282" s="4" t="s">
        <v>33</v>
      </c>
      <c r="M1282" s="4" t="str">
        <f t="shared" si="294"/>
        <v>1000184670100018619710001898121000189270FOOD SERVICE</v>
      </c>
      <c r="N1282" s="28">
        <f>N1277*_xlfn.XLOOKUP($L1282,'Balizador da Meta'!$B$4:$B$21,'Balizador da Meta'!$C$4:$C$21)</f>
        <v>0</v>
      </c>
      <c r="O1282" s="28">
        <f>O1277*_xlfn.XLOOKUP($L1282,'Balizador da Meta'!$B$4:$B$21,'Balizador da Meta'!$C$4:$C$21)</f>
        <v>0</v>
      </c>
      <c r="P1282" s="28">
        <f>P1277*_xlfn.XLOOKUP($L1282,'Balizador da Meta'!$B$4:$B$21,'Balizador da Meta'!$C$4:$C$21)</f>
        <v>0</v>
      </c>
      <c r="Q1282" s="28">
        <f>Q1277*_xlfn.XLOOKUP($L1282,'Balizador da Meta'!$B$4:$B$21,'Balizador da Meta'!$C$4:$C$21)</f>
        <v>0</v>
      </c>
      <c r="R1282" s="28">
        <f>R1277*_xlfn.XLOOKUP($L1282,'Balizador da Meta'!$B$4:$B$21,'Balizador da Meta'!$C$4:$C$21)</f>
        <v>0</v>
      </c>
      <c r="S1282" s="28">
        <f>S1277*_xlfn.XLOOKUP($L1282,'Balizador da Meta'!$B$4:$B$21,'Balizador da Meta'!$C$4:$C$21)</f>
        <v>0</v>
      </c>
      <c r="T1282" s="28">
        <f>T1277*_xlfn.XLOOKUP($L1282,'Balizador da Meta'!$B$4:$B$21,'Balizador da Meta'!$C$4:$C$21)</f>
        <v>0</v>
      </c>
      <c r="U1282" s="28">
        <f>U1277*_xlfn.XLOOKUP($L1282,'Balizador da Meta'!$B$4:$B$21,'Balizador da Meta'!$C$4:$C$21)</f>
        <v>0</v>
      </c>
      <c r="V1282" s="28">
        <f>V1277*_xlfn.XLOOKUP($L1282,'Balizador da Meta'!$B$4:$B$21,'Balizador da Meta'!$C$4:$C$21)</f>
        <v>0</v>
      </c>
      <c r="W1282" s="28">
        <f>W1277*_xlfn.XLOOKUP($L1282,'Balizador da Meta'!$B$4:$B$21,'Balizador da Meta'!$C$4:$C$21)</f>
        <v>0</v>
      </c>
      <c r="X1282" s="28">
        <f>X1277*_xlfn.XLOOKUP($L1282,'Balizador da Meta'!$B$4:$B$21,'Balizador da Meta'!$C$4:$C$21)</f>
        <v>0</v>
      </c>
      <c r="Y1282" s="28">
        <f>Y1277*_xlfn.XLOOKUP($L1282,'Balizador da Meta'!$B$4:$B$21,'Balizador da Meta'!$C$4:$C$21)</f>
        <v>0</v>
      </c>
      <c r="Z1282" s="30">
        <f t="shared" si="308"/>
        <v>0</v>
      </c>
      <c r="AA1282" s="29"/>
      <c r="AB1282" s="31">
        <f>SUMIFS('Historico - FAT'!AK:AK,'Historico - FAT'!$K:$K,Faturamento!$L1282,'Historico - FAT'!$I:$I,Faturamento!$J1282,'Historico - FAT'!$G:$G,Faturamento!$H1282)</f>
        <v>0</v>
      </c>
      <c r="AC1282" s="31">
        <f>SUMIFS('Historico - FAT'!AL:AL,'Historico - FAT'!$K:$K,Faturamento!$L1282,'Historico - FAT'!$I:$I,Faturamento!$J1282,'Historico - FAT'!$G:$G,Faturamento!$H1282)</f>
        <v>0</v>
      </c>
      <c r="AD1282" s="31">
        <f>SUMIFS('Historico - FAT'!AM:AM,'Historico - FAT'!$K:$K,Faturamento!$L1282,'Historico - FAT'!$I:$I,Faturamento!$J1282,'Historico - FAT'!$G:$G,Faturamento!$H1282)</f>
        <v>0</v>
      </c>
      <c r="AE1282" s="27">
        <f>SUMIFS('Historico - FAT'!AN:AN,'Historico - FAT'!$K:$K,Faturamento!$L1282,'Historico - FAT'!$I:$I,Faturamento!$J1282,'Historico - FAT'!$G:$G,Faturamento!$H1282)</f>
        <v>0</v>
      </c>
      <c r="AG1282" s="24" t="str">
        <f t="shared" si="303"/>
        <v/>
      </c>
      <c r="AH1282" s="24" t="str">
        <f t="shared" si="304"/>
        <v/>
      </c>
      <c r="AI1282" s="24" t="str">
        <f t="shared" si="305"/>
        <v/>
      </c>
    </row>
    <row r="1283" spans="1:35" hidden="1" x14ac:dyDescent="0.3">
      <c r="A1283" s="2" t="str">
        <f t="shared" si="302"/>
        <v>NÃO</v>
      </c>
      <c r="B1283" s="2">
        <v>1000184670</v>
      </c>
      <c r="C1283" s="2" t="s">
        <v>147</v>
      </c>
      <c r="D1283" s="4">
        <v>1000186197</v>
      </c>
      <c r="E1283" s="4" t="s">
        <v>166</v>
      </c>
      <c r="F1283" s="2">
        <v>1000184762</v>
      </c>
      <c r="G1283" s="2" t="s">
        <v>58</v>
      </c>
      <c r="H1283" s="4">
        <v>1000189812</v>
      </c>
      <c r="I1283" s="4" t="s">
        <v>112</v>
      </c>
      <c r="J1283" s="2">
        <v>1000189270</v>
      </c>
      <c r="K1283" s="2" t="s">
        <v>34</v>
      </c>
      <c r="L1283" s="4" t="s">
        <v>19</v>
      </c>
      <c r="M1283" s="4" t="str">
        <f t="shared" si="294"/>
        <v>1000184670100018619710001898121000189270GELEIA</v>
      </c>
      <c r="N1283" s="28">
        <f>N1277*_xlfn.XLOOKUP($L1283,'Balizador da Meta'!$B$4:$B$21,'Balizador da Meta'!$C$4:$C$21)</f>
        <v>23.999999999999996</v>
      </c>
      <c r="O1283" s="28">
        <f>O1277*_xlfn.XLOOKUP($L1283,'Balizador da Meta'!$B$4:$B$21,'Balizador da Meta'!$C$4:$C$21)</f>
        <v>23.999999999999996</v>
      </c>
      <c r="P1283" s="28">
        <f>P1277*_xlfn.XLOOKUP($L1283,'Balizador da Meta'!$B$4:$B$21,'Balizador da Meta'!$C$4:$C$21)</f>
        <v>35.999999999999993</v>
      </c>
      <c r="Q1283" s="28">
        <f>Q1277*_xlfn.XLOOKUP($L1283,'Balizador da Meta'!$B$4:$B$21,'Balizador da Meta'!$C$4:$C$21)</f>
        <v>35.999999999999993</v>
      </c>
      <c r="R1283" s="28">
        <f>R1277*_xlfn.XLOOKUP($L1283,'Balizador da Meta'!$B$4:$B$21,'Balizador da Meta'!$C$4:$C$21)</f>
        <v>35.999999999999993</v>
      </c>
      <c r="S1283" s="28">
        <f>S1277*_xlfn.XLOOKUP($L1283,'Balizador da Meta'!$B$4:$B$21,'Balizador da Meta'!$C$4:$C$21)</f>
        <v>35.999999999999993</v>
      </c>
      <c r="T1283" s="28">
        <f>T1277*_xlfn.XLOOKUP($L1283,'Balizador da Meta'!$B$4:$B$21,'Balizador da Meta'!$C$4:$C$21)</f>
        <v>35.999999999999993</v>
      </c>
      <c r="U1283" s="28">
        <f>U1277*_xlfn.XLOOKUP($L1283,'Balizador da Meta'!$B$4:$B$21,'Balizador da Meta'!$C$4:$C$21)</f>
        <v>47.999999999999993</v>
      </c>
      <c r="V1283" s="28">
        <f>V1277*_xlfn.XLOOKUP($L1283,'Balizador da Meta'!$B$4:$B$21,'Balizador da Meta'!$C$4:$C$21)</f>
        <v>47.999999999999993</v>
      </c>
      <c r="W1283" s="28">
        <f>W1277*_xlfn.XLOOKUP($L1283,'Balizador da Meta'!$B$4:$B$21,'Balizador da Meta'!$C$4:$C$21)</f>
        <v>47.999999999999993</v>
      </c>
      <c r="X1283" s="28">
        <f>X1277*_xlfn.XLOOKUP($L1283,'Balizador da Meta'!$B$4:$B$21,'Balizador da Meta'!$C$4:$C$21)</f>
        <v>47.999999999999993</v>
      </c>
      <c r="Y1283" s="28">
        <f>Y1277*_xlfn.XLOOKUP($L1283,'Balizador da Meta'!$B$4:$B$21,'Balizador da Meta'!$C$4:$C$21)</f>
        <v>47.999999999999993</v>
      </c>
      <c r="Z1283" s="30">
        <f t="shared" si="308"/>
        <v>467.99999999999994</v>
      </c>
      <c r="AA1283" s="29"/>
      <c r="AB1283" s="31">
        <f>SUMIFS('Historico - FAT'!AK:AK,'Historico - FAT'!$K:$K,Faturamento!$L1283,'Historico - FAT'!$I:$I,Faturamento!$J1283,'Historico - FAT'!$G:$G,Faturamento!$H1283)</f>
        <v>0</v>
      </c>
      <c r="AC1283" s="31">
        <f>SUMIFS('Historico - FAT'!AL:AL,'Historico - FAT'!$K:$K,Faturamento!$L1283,'Historico - FAT'!$I:$I,Faturamento!$J1283,'Historico - FAT'!$G:$G,Faturamento!$H1283)</f>
        <v>0</v>
      </c>
      <c r="AD1283" s="31">
        <f>SUMIFS('Historico - FAT'!AM:AM,'Historico - FAT'!$K:$K,Faturamento!$L1283,'Historico - FAT'!$I:$I,Faturamento!$J1283,'Historico - FAT'!$G:$G,Faturamento!$H1283)</f>
        <v>0</v>
      </c>
      <c r="AE1283" s="27">
        <f>SUMIFS('Historico - FAT'!AN:AN,'Historico - FAT'!$K:$K,Faturamento!$L1283,'Historico - FAT'!$I:$I,Faturamento!$J1283,'Historico - FAT'!$G:$G,Faturamento!$H1283)</f>
        <v>0</v>
      </c>
      <c r="AG1283" s="24">
        <f t="shared" si="303"/>
        <v>1</v>
      </c>
      <c r="AH1283" s="24">
        <f t="shared" si="304"/>
        <v>1</v>
      </c>
      <c r="AI1283" s="24">
        <f t="shared" si="305"/>
        <v>1</v>
      </c>
    </row>
    <row r="1284" spans="1:35" hidden="1" x14ac:dyDescent="0.3">
      <c r="A1284" s="2" t="str">
        <f t="shared" si="302"/>
        <v>NÃO</v>
      </c>
      <c r="B1284" s="2">
        <v>1000184670</v>
      </c>
      <c r="C1284" s="2" t="s">
        <v>147</v>
      </c>
      <c r="D1284" s="4">
        <v>1000186197</v>
      </c>
      <c r="E1284" s="4" t="s">
        <v>166</v>
      </c>
      <c r="F1284" s="2">
        <v>1000184762</v>
      </c>
      <c r="G1284" s="2" t="s">
        <v>58</v>
      </c>
      <c r="H1284" s="4">
        <v>1000189812</v>
      </c>
      <c r="I1284" s="4" t="s">
        <v>112</v>
      </c>
      <c r="J1284" s="2">
        <v>1000189270</v>
      </c>
      <c r="K1284" s="2" t="s">
        <v>34</v>
      </c>
      <c r="L1284" s="4" t="s">
        <v>17</v>
      </c>
      <c r="M1284" s="4" t="str">
        <f t="shared" si="294"/>
        <v>1000184670100018619710001898121000189270GRANOLA</v>
      </c>
      <c r="N1284" s="28">
        <f>N1277*_xlfn.XLOOKUP($L1284,'Balizador da Meta'!$B$4:$B$21,'Balizador da Meta'!$C$4:$C$21)</f>
        <v>24</v>
      </c>
      <c r="O1284" s="28">
        <f>O1277*_xlfn.XLOOKUP($L1284,'Balizador da Meta'!$B$4:$B$21,'Balizador da Meta'!$C$4:$C$21)</f>
        <v>24</v>
      </c>
      <c r="P1284" s="28">
        <f>P1277*_xlfn.XLOOKUP($L1284,'Balizador da Meta'!$B$4:$B$21,'Balizador da Meta'!$C$4:$C$21)</f>
        <v>36</v>
      </c>
      <c r="Q1284" s="28">
        <f>Q1277*_xlfn.XLOOKUP($L1284,'Balizador da Meta'!$B$4:$B$21,'Balizador da Meta'!$C$4:$C$21)</f>
        <v>36</v>
      </c>
      <c r="R1284" s="28">
        <f>R1277*_xlfn.XLOOKUP($L1284,'Balizador da Meta'!$B$4:$B$21,'Balizador da Meta'!$C$4:$C$21)</f>
        <v>36</v>
      </c>
      <c r="S1284" s="28">
        <f>S1277*_xlfn.XLOOKUP($L1284,'Balizador da Meta'!$B$4:$B$21,'Balizador da Meta'!$C$4:$C$21)</f>
        <v>36</v>
      </c>
      <c r="T1284" s="28">
        <f>T1277*_xlfn.XLOOKUP($L1284,'Balizador da Meta'!$B$4:$B$21,'Balizador da Meta'!$C$4:$C$21)</f>
        <v>36</v>
      </c>
      <c r="U1284" s="28">
        <f>U1277*_xlfn.XLOOKUP($L1284,'Balizador da Meta'!$B$4:$B$21,'Balizador da Meta'!$C$4:$C$21)</f>
        <v>48</v>
      </c>
      <c r="V1284" s="28">
        <f>V1277*_xlfn.XLOOKUP($L1284,'Balizador da Meta'!$B$4:$B$21,'Balizador da Meta'!$C$4:$C$21)</f>
        <v>48</v>
      </c>
      <c r="W1284" s="28">
        <f>W1277*_xlfn.XLOOKUP($L1284,'Balizador da Meta'!$B$4:$B$21,'Balizador da Meta'!$C$4:$C$21)</f>
        <v>48</v>
      </c>
      <c r="X1284" s="28">
        <f>X1277*_xlfn.XLOOKUP($L1284,'Balizador da Meta'!$B$4:$B$21,'Balizador da Meta'!$C$4:$C$21)</f>
        <v>48</v>
      </c>
      <c r="Y1284" s="28">
        <f>Y1277*_xlfn.XLOOKUP($L1284,'Balizador da Meta'!$B$4:$B$21,'Balizador da Meta'!$C$4:$C$21)</f>
        <v>48</v>
      </c>
      <c r="Z1284" s="30">
        <f t="shared" si="308"/>
        <v>468</v>
      </c>
      <c r="AA1284" s="29"/>
      <c r="AB1284" s="31">
        <f>SUMIFS('Historico - FAT'!AK:AK,'Historico - FAT'!$K:$K,Faturamento!$L1284,'Historico - FAT'!$I:$I,Faturamento!$J1284,'Historico - FAT'!$G:$G,Faturamento!$H1284)</f>
        <v>0</v>
      </c>
      <c r="AC1284" s="31">
        <f>SUMIFS('Historico - FAT'!AL:AL,'Historico - FAT'!$K:$K,Faturamento!$L1284,'Historico - FAT'!$I:$I,Faturamento!$J1284,'Historico - FAT'!$G:$G,Faturamento!$H1284)</f>
        <v>0</v>
      </c>
      <c r="AD1284" s="31">
        <f>SUMIFS('Historico - FAT'!AM:AM,'Historico - FAT'!$K:$K,Faturamento!$L1284,'Historico - FAT'!$I:$I,Faturamento!$J1284,'Historico - FAT'!$G:$G,Faturamento!$H1284)</f>
        <v>0</v>
      </c>
      <c r="AE1284" s="27">
        <f>SUMIFS('Historico - FAT'!AN:AN,'Historico - FAT'!$K:$K,Faturamento!$L1284,'Historico - FAT'!$I:$I,Faturamento!$J1284,'Historico - FAT'!$G:$G,Faturamento!$H1284)</f>
        <v>0</v>
      </c>
      <c r="AG1284" s="24">
        <f t="shared" si="303"/>
        <v>1</v>
      </c>
      <c r="AH1284" s="24">
        <f t="shared" si="304"/>
        <v>1</v>
      </c>
      <c r="AI1284" s="24">
        <f t="shared" si="305"/>
        <v>1</v>
      </c>
    </row>
    <row r="1285" spans="1:35" hidden="1" x14ac:dyDescent="0.3">
      <c r="A1285" s="2" t="str">
        <f t="shared" si="302"/>
        <v>NÃO</v>
      </c>
      <c r="B1285" s="2">
        <v>1000184670</v>
      </c>
      <c r="C1285" s="2" t="s">
        <v>147</v>
      </c>
      <c r="D1285" s="4">
        <v>1000186197</v>
      </c>
      <c r="E1285" s="4" t="s">
        <v>166</v>
      </c>
      <c r="F1285" s="2">
        <v>1000184762</v>
      </c>
      <c r="G1285" s="2" t="s">
        <v>58</v>
      </c>
      <c r="H1285" s="4">
        <v>1000189812</v>
      </c>
      <c r="I1285" s="4" t="s">
        <v>112</v>
      </c>
      <c r="J1285" s="2">
        <v>1000189270</v>
      </c>
      <c r="K1285" s="2" t="s">
        <v>34</v>
      </c>
      <c r="L1285" s="4" t="s">
        <v>24</v>
      </c>
      <c r="M1285" s="4" t="str">
        <f t="shared" ref="M1285:M1348" si="309">_xlfn.CONCAT(B1285,D1285,H1285,J1285,L1285,)</f>
        <v>1000184670100018619710001898121000189270KIDS</v>
      </c>
      <c r="N1285" s="28">
        <f>N1277*_xlfn.XLOOKUP($L1285,'Balizador da Meta'!$B$4:$B$21,'Balizador da Meta'!$C$4:$C$21)</f>
        <v>0</v>
      </c>
      <c r="O1285" s="28">
        <f>O1277*_xlfn.XLOOKUP($L1285,'Balizador da Meta'!$B$4:$B$21,'Balizador da Meta'!$C$4:$C$21)</f>
        <v>0</v>
      </c>
      <c r="P1285" s="28">
        <f>P1277*_xlfn.XLOOKUP($L1285,'Balizador da Meta'!$B$4:$B$21,'Balizador da Meta'!$C$4:$C$21)</f>
        <v>0</v>
      </c>
      <c r="Q1285" s="28">
        <f>Q1277*_xlfn.XLOOKUP($L1285,'Balizador da Meta'!$B$4:$B$21,'Balizador da Meta'!$C$4:$C$21)</f>
        <v>0</v>
      </c>
      <c r="R1285" s="28">
        <f>R1277*_xlfn.XLOOKUP($L1285,'Balizador da Meta'!$B$4:$B$21,'Balizador da Meta'!$C$4:$C$21)</f>
        <v>0</v>
      </c>
      <c r="S1285" s="28">
        <f>S1277*_xlfn.XLOOKUP($L1285,'Balizador da Meta'!$B$4:$B$21,'Balizador da Meta'!$C$4:$C$21)</f>
        <v>0</v>
      </c>
      <c r="T1285" s="28">
        <f>T1277*_xlfn.XLOOKUP($L1285,'Balizador da Meta'!$B$4:$B$21,'Balizador da Meta'!$C$4:$C$21)</f>
        <v>0</v>
      </c>
      <c r="U1285" s="28">
        <f>U1277*_xlfn.XLOOKUP($L1285,'Balizador da Meta'!$B$4:$B$21,'Balizador da Meta'!$C$4:$C$21)</f>
        <v>0</v>
      </c>
      <c r="V1285" s="28">
        <f>V1277*_xlfn.XLOOKUP($L1285,'Balizador da Meta'!$B$4:$B$21,'Balizador da Meta'!$C$4:$C$21)</f>
        <v>0</v>
      </c>
      <c r="W1285" s="28">
        <f>W1277*_xlfn.XLOOKUP($L1285,'Balizador da Meta'!$B$4:$B$21,'Balizador da Meta'!$C$4:$C$21)</f>
        <v>0</v>
      </c>
      <c r="X1285" s="28">
        <f>X1277*_xlfn.XLOOKUP($L1285,'Balizador da Meta'!$B$4:$B$21,'Balizador da Meta'!$C$4:$C$21)</f>
        <v>0</v>
      </c>
      <c r="Y1285" s="28">
        <f>Y1277*_xlfn.XLOOKUP($L1285,'Balizador da Meta'!$B$4:$B$21,'Balizador da Meta'!$C$4:$C$21)</f>
        <v>0</v>
      </c>
      <c r="Z1285" s="30">
        <f t="shared" si="308"/>
        <v>0</v>
      </c>
      <c r="AA1285" s="29"/>
      <c r="AB1285" s="31">
        <f>SUMIFS('Historico - FAT'!AK:AK,'Historico - FAT'!$K:$K,Faturamento!$L1285,'Historico - FAT'!$I:$I,Faturamento!$J1285,'Historico - FAT'!$G:$G,Faturamento!$H1285)</f>
        <v>0</v>
      </c>
      <c r="AC1285" s="31">
        <f>SUMIFS('Historico - FAT'!AL:AL,'Historico - FAT'!$K:$K,Faturamento!$L1285,'Historico - FAT'!$I:$I,Faturamento!$J1285,'Historico - FAT'!$G:$G,Faturamento!$H1285)</f>
        <v>0</v>
      </c>
      <c r="AD1285" s="31">
        <f>SUMIFS('Historico - FAT'!AM:AM,'Historico - FAT'!$K:$K,Faturamento!$L1285,'Historico - FAT'!$I:$I,Faturamento!$J1285,'Historico - FAT'!$G:$G,Faturamento!$H1285)</f>
        <v>0</v>
      </c>
      <c r="AE1285" s="27">
        <f>SUMIFS('Historico - FAT'!AN:AN,'Historico - FAT'!$K:$K,Faturamento!$L1285,'Historico - FAT'!$I:$I,Faturamento!$J1285,'Historico - FAT'!$G:$G,Faturamento!$H1285)</f>
        <v>0</v>
      </c>
      <c r="AG1285" s="24" t="str">
        <f t="shared" si="303"/>
        <v/>
      </c>
      <c r="AH1285" s="24" t="str">
        <f t="shared" si="304"/>
        <v/>
      </c>
      <c r="AI1285" s="24" t="str">
        <f t="shared" si="305"/>
        <v/>
      </c>
    </row>
    <row r="1286" spans="1:35" hidden="1" x14ac:dyDescent="0.3">
      <c r="A1286" s="2" t="str">
        <f t="shared" si="302"/>
        <v>NÃO</v>
      </c>
      <c r="B1286" s="2">
        <v>1000184670</v>
      </c>
      <c r="C1286" s="2" t="s">
        <v>147</v>
      </c>
      <c r="D1286" s="4">
        <v>1000186197</v>
      </c>
      <c r="E1286" s="4" t="s">
        <v>166</v>
      </c>
      <c r="F1286" s="2">
        <v>1000184762</v>
      </c>
      <c r="G1286" s="2" t="s">
        <v>58</v>
      </c>
      <c r="H1286" s="4">
        <v>1000189812</v>
      </c>
      <c r="I1286" s="4" t="s">
        <v>112</v>
      </c>
      <c r="J1286" s="2">
        <v>1000189270</v>
      </c>
      <c r="K1286" s="2" t="s">
        <v>34</v>
      </c>
      <c r="L1286" s="4" t="s">
        <v>18</v>
      </c>
      <c r="M1286" s="4" t="str">
        <f t="shared" si="309"/>
        <v>1000184670100018619710001898121000189270LANCHES</v>
      </c>
      <c r="N1286" s="28">
        <f>N1277*_xlfn.XLOOKUP($L1286,'Balizador da Meta'!$B$4:$B$21,'Balizador da Meta'!$C$4:$C$21)</f>
        <v>12</v>
      </c>
      <c r="O1286" s="28">
        <f>O1277*_xlfn.XLOOKUP($L1286,'Balizador da Meta'!$B$4:$B$21,'Balizador da Meta'!$C$4:$C$21)</f>
        <v>12</v>
      </c>
      <c r="P1286" s="28">
        <f>P1277*_xlfn.XLOOKUP($L1286,'Balizador da Meta'!$B$4:$B$21,'Balizador da Meta'!$C$4:$C$21)</f>
        <v>18</v>
      </c>
      <c r="Q1286" s="28">
        <f>Q1277*_xlfn.XLOOKUP($L1286,'Balizador da Meta'!$B$4:$B$21,'Balizador da Meta'!$C$4:$C$21)</f>
        <v>18</v>
      </c>
      <c r="R1286" s="28">
        <f>R1277*_xlfn.XLOOKUP($L1286,'Balizador da Meta'!$B$4:$B$21,'Balizador da Meta'!$C$4:$C$21)</f>
        <v>18</v>
      </c>
      <c r="S1286" s="28">
        <f>S1277*_xlfn.XLOOKUP($L1286,'Balizador da Meta'!$B$4:$B$21,'Balizador da Meta'!$C$4:$C$21)</f>
        <v>18</v>
      </c>
      <c r="T1286" s="28">
        <f>T1277*_xlfn.XLOOKUP($L1286,'Balizador da Meta'!$B$4:$B$21,'Balizador da Meta'!$C$4:$C$21)</f>
        <v>18</v>
      </c>
      <c r="U1286" s="28">
        <f>U1277*_xlfn.XLOOKUP($L1286,'Balizador da Meta'!$B$4:$B$21,'Balizador da Meta'!$C$4:$C$21)</f>
        <v>24</v>
      </c>
      <c r="V1286" s="28">
        <f>V1277*_xlfn.XLOOKUP($L1286,'Balizador da Meta'!$B$4:$B$21,'Balizador da Meta'!$C$4:$C$21)</f>
        <v>24</v>
      </c>
      <c r="W1286" s="28">
        <f>W1277*_xlfn.XLOOKUP($L1286,'Balizador da Meta'!$B$4:$B$21,'Balizador da Meta'!$C$4:$C$21)</f>
        <v>24</v>
      </c>
      <c r="X1286" s="28">
        <f>X1277*_xlfn.XLOOKUP($L1286,'Balizador da Meta'!$B$4:$B$21,'Balizador da Meta'!$C$4:$C$21)</f>
        <v>24</v>
      </c>
      <c r="Y1286" s="28">
        <f>Y1277*_xlfn.XLOOKUP($L1286,'Balizador da Meta'!$B$4:$B$21,'Balizador da Meta'!$C$4:$C$21)</f>
        <v>24</v>
      </c>
      <c r="Z1286" s="30">
        <f t="shared" si="308"/>
        <v>234</v>
      </c>
      <c r="AA1286" s="29"/>
      <c r="AB1286" s="31">
        <f>SUMIFS('Historico - FAT'!AK:AK,'Historico - FAT'!$K:$K,Faturamento!$L1286,'Historico - FAT'!$I:$I,Faturamento!$J1286,'Historico - FAT'!$G:$G,Faturamento!$H1286)</f>
        <v>0</v>
      </c>
      <c r="AC1286" s="31">
        <f>SUMIFS('Historico - FAT'!AL:AL,'Historico - FAT'!$K:$K,Faturamento!$L1286,'Historico - FAT'!$I:$I,Faturamento!$J1286,'Historico - FAT'!$G:$G,Faturamento!$H1286)</f>
        <v>0</v>
      </c>
      <c r="AD1286" s="31">
        <f>SUMIFS('Historico - FAT'!AM:AM,'Historico - FAT'!$K:$K,Faturamento!$L1286,'Historico - FAT'!$I:$I,Faturamento!$J1286,'Historico - FAT'!$G:$G,Faturamento!$H1286)</f>
        <v>0</v>
      </c>
      <c r="AE1286" s="27">
        <f>SUMIFS('Historico - FAT'!AN:AN,'Historico - FAT'!$K:$K,Faturamento!$L1286,'Historico - FAT'!$I:$I,Faturamento!$J1286,'Historico - FAT'!$G:$G,Faturamento!$H1286)</f>
        <v>0</v>
      </c>
      <c r="AG1286" s="24">
        <f t="shared" si="303"/>
        <v>1</v>
      </c>
      <c r="AH1286" s="24">
        <f t="shared" si="304"/>
        <v>1</v>
      </c>
      <c r="AI1286" s="24">
        <f t="shared" si="305"/>
        <v>1</v>
      </c>
    </row>
    <row r="1287" spans="1:35" hidden="1" x14ac:dyDescent="0.3">
      <c r="A1287" s="2" t="str">
        <f t="shared" si="302"/>
        <v>NÃO</v>
      </c>
      <c r="B1287" s="2">
        <v>1000184670</v>
      </c>
      <c r="C1287" s="2" t="s">
        <v>147</v>
      </c>
      <c r="D1287" s="4">
        <v>1000186197</v>
      </c>
      <c r="E1287" s="4" t="s">
        <v>166</v>
      </c>
      <c r="F1287" s="2">
        <v>1000184762</v>
      </c>
      <c r="G1287" s="2" t="s">
        <v>58</v>
      </c>
      <c r="H1287" s="4">
        <v>1000189812</v>
      </c>
      <c r="I1287" s="4" t="s">
        <v>112</v>
      </c>
      <c r="J1287" s="2">
        <v>1000189270</v>
      </c>
      <c r="K1287" s="2" t="s">
        <v>34</v>
      </c>
      <c r="L1287" s="4" t="s">
        <v>29</v>
      </c>
      <c r="M1287" s="4" t="str">
        <f t="shared" si="309"/>
        <v>1000184670100018619710001898121000189270MAIS GRANEL</v>
      </c>
      <c r="N1287" s="28">
        <f>N1277*_xlfn.XLOOKUP($L1287,'Balizador da Meta'!$B$4:$B$21,'Balizador da Meta'!$C$4:$C$21)</f>
        <v>384</v>
      </c>
      <c r="O1287" s="28">
        <f>O1277*_xlfn.XLOOKUP($L1287,'Balizador da Meta'!$B$4:$B$21,'Balizador da Meta'!$C$4:$C$21)</f>
        <v>384</v>
      </c>
      <c r="P1287" s="28">
        <f>P1277*_xlfn.XLOOKUP($L1287,'Balizador da Meta'!$B$4:$B$21,'Balizador da Meta'!$C$4:$C$21)</f>
        <v>576</v>
      </c>
      <c r="Q1287" s="28">
        <f>Q1277*_xlfn.XLOOKUP($L1287,'Balizador da Meta'!$B$4:$B$21,'Balizador da Meta'!$C$4:$C$21)</f>
        <v>576</v>
      </c>
      <c r="R1287" s="28">
        <f>R1277*_xlfn.XLOOKUP($L1287,'Balizador da Meta'!$B$4:$B$21,'Balizador da Meta'!$C$4:$C$21)</f>
        <v>576</v>
      </c>
      <c r="S1287" s="28">
        <f>S1277*_xlfn.XLOOKUP($L1287,'Balizador da Meta'!$B$4:$B$21,'Balizador da Meta'!$C$4:$C$21)</f>
        <v>576</v>
      </c>
      <c r="T1287" s="28">
        <f>T1277*_xlfn.XLOOKUP($L1287,'Balizador da Meta'!$B$4:$B$21,'Balizador da Meta'!$C$4:$C$21)</f>
        <v>576</v>
      </c>
      <c r="U1287" s="28">
        <f>U1277*_xlfn.XLOOKUP($L1287,'Balizador da Meta'!$B$4:$B$21,'Balizador da Meta'!$C$4:$C$21)</f>
        <v>768</v>
      </c>
      <c r="V1287" s="28">
        <f>V1277*_xlfn.XLOOKUP($L1287,'Balizador da Meta'!$B$4:$B$21,'Balizador da Meta'!$C$4:$C$21)</f>
        <v>768</v>
      </c>
      <c r="W1287" s="28">
        <f>W1277*_xlfn.XLOOKUP($L1287,'Balizador da Meta'!$B$4:$B$21,'Balizador da Meta'!$C$4:$C$21)</f>
        <v>768</v>
      </c>
      <c r="X1287" s="28">
        <f>X1277*_xlfn.XLOOKUP($L1287,'Balizador da Meta'!$B$4:$B$21,'Balizador da Meta'!$C$4:$C$21)</f>
        <v>768</v>
      </c>
      <c r="Y1287" s="28">
        <f>Y1277*_xlfn.XLOOKUP($L1287,'Balizador da Meta'!$B$4:$B$21,'Balizador da Meta'!$C$4:$C$21)</f>
        <v>768</v>
      </c>
      <c r="Z1287" s="30">
        <f t="shared" si="308"/>
        <v>7488</v>
      </c>
      <c r="AA1287" s="29"/>
      <c r="AB1287" s="31">
        <f>SUMIFS('Historico - FAT'!AK:AK,'Historico - FAT'!$K:$K,Faturamento!$L1287,'Historico - FAT'!$I:$I,Faturamento!$J1287,'Historico - FAT'!$G:$G,Faturamento!$H1287)</f>
        <v>0</v>
      </c>
      <c r="AC1287" s="31">
        <f>SUMIFS('Historico - FAT'!AL:AL,'Historico - FAT'!$K:$K,Faturamento!$L1287,'Historico - FAT'!$I:$I,Faturamento!$J1287,'Historico - FAT'!$G:$G,Faturamento!$H1287)</f>
        <v>81.016666666666666</v>
      </c>
      <c r="AD1287" s="31">
        <f>SUMIFS('Historico - FAT'!AM:AM,'Historico - FAT'!$K:$K,Faturamento!$L1287,'Historico - FAT'!$I:$I,Faturamento!$J1287,'Historico - FAT'!$G:$G,Faturamento!$H1287)</f>
        <v>162.03333333333333</v>
      </c>
      <c r="AE1287" s="27">
        <f>SUMIFS('Historico - FAT'!AN:AN,'Historico - FAT'!$K:$K,Faturamento!$L1287,'Historico - FAT'!$I:$I,Faturamento!$J1287,'Historico - FAT'!$G:$G,Faturamento!$H1287)</f>
        <v>97.22</v>
      </c>
      <c r="AG1287" s="24">
        <f t="shared" si="303"/>
        <v>1</v>
      </c>
      <c r="AH1287" s="24">
        <f t="shared" si="304"/>
        <v>0.89450954861111109</v>
      </c>
      <c r="AI1287" s="24">
        <f t="shared" si="305"/>
        <v>0.7890190972222223</v>
      </c>
    </row>
    <row r="1288" spans="1:35" hidden="1" x14ac:dyDescent="0.3">
      <c r="A1288" s="2" t="str">
        <f t="shared" si="302"/>
        <v>NÃO</v>
      </c>
      <c r="B1288" s="2">
        <v>1000184670</v>
      </c>
      <c r="C1288" s="2" t="s">
        <v>147</v>
      </c>
      <c r="D1288" s="4">
        <v>1000186197</v>
      </c>
      <c r="E1288" s="4" t="s">
        <v>166</v>
      </c>
      <c r="F1288" s="2">
        <v>1000184762</v>
      </c>
      <c r="G1288" s="2" t="s">
        <v>58</v>
      </c>
      <c r="H1288" s="4">
        <v>1000189812</v>
      </c>
      <c r="I1288" s="4" t="s">
        <v>112</v>
      </c>
      <c r="J1288" s="2">
        <v>1000189270</v>
      </c>
      <c r="K1288" s="2" t="s">
        <v>34</v>
      </c>
      <c r="L1288" s="4" t="s">
        <v>21</v>
      </c>
      <c r="M1288" s="4" t="str">
        <f t="shared" si="309"/>
        <v>1000184670100018619710001898121000189270NATURATTA</v>
      </c>
      <c r="N1288" s="28">
        <f>N1277*_xlfn.XLOOKUP($L1288,'Balizador da Meta'!$B$4:$B$21,'Balizador da Meta'!$C$4:$C$21)</f>
        <v>60</v>
      </c>
      <c r="O1288" s="28">
        <f>O1277*_xlfn.XLOOKUP($L1288,'Balizador da Meta'!$B$4:$B$21,'Balizador da Meta'!$C$4:$C$21)</f>
        <v>60</v>
      </c>
      <c r="P1288" s="28">
        <f>P1277*_xlfn.XLOOKUP($L1288,'Balizador da Meta'!$B$4:$B$21,'Balizador da Meta'!$C$4:$C$21)</f>
        <v>90</v>
      </c>
      <c r="Q1288" s="28">
        <f>Q1277*_xlfn.XLOOKUP($L1288,'Balizador da Meta'!$B$4:$B$21,'Balizador da Meta'!$C$4:$C$21)</f>
        <v>90</v>
      </c>
      <c r="R1288" s="28">
        <f>R1277*_xlfn.XLOOKUP($L1288,'Balizador da Meta'!$B$4:$B$21,'Balizador da Meta'!$C$4:$C$21)</f>
        <v>90</v>
      </c>
      <c r="S1288" s="28">
        <f>S1277*_xlfn.XLOOKUP($L1288,'Balizador da Meta'!$B$4:$B$21,'Balizador da Meta'!$C$4:$C$21)</f>
        <v>90</v>
      </c>
      <c r="T1288" s="28">
        <f>T1277*_xlfn.XLOOKUP($L1288,'Balizador da Meta'!$B$4:$B$21,'Balizador da Meta'!$C$4:$C$21)</f>
        <v>90</v>
      </c>
      <c r="U1288" s="28">
        <f>U1277*_xlfn.XLOOKUP($L1288,'Balizador da Meta'!$B$4:$B$21,'Balizador da Meta'!$C$4:$C$21)</f>
        <v>120</v>
      </c>
      <c r="V1288" s="28">
        <f>V1277*_xlfn.XLOOKUP($L1288,'Balizador da Meta'!$B$4:$B$21,'Balizador da Meta'!$C$4:$C$21)</f>
        <v>120</v>
      </c>
      <c r="W1288" s="28">
        <f>W1277*_xlfn.XLOOKUP($L1288,'Balizador da Meta'!$B$4:$B$21,'Balizador da Meta'!$C$4:$C$21)</f>
        <v>120</v>
      </c>
      <c r="X1288" s="28">
        <f>X1277*_xlfn.XLOOKUP($L1288,'Balizador da Meta'!$B$4:$B$21,'Balizador da Meta'!$C$4:$C$21)</f>
        <v>120</v>
      </c>
      <c r="Y1288" s="28">
        <f>Y1277*_xlfn.XLOOKUP($L1288,'Balizador da Meta'!$B$4:$B$21,'Balizador da Meta'!$C$4:$C$21)</f>
        <v>120</v>
      </c>
      <c r="Z1288" s="30">
        <f t="shared" si="308"/>
        <v>1170</v>
      </c>
      <c r="AA1288" s="29"/>
      <c r="AB1288" s="31">
        <f>SUMIFS('Historico - FAT'!AK:AK,'Historico - FAT'!$K:$K,Faturamento!$L1288,'Historico - FAT'!$I:$I,Faturamento!$J1288,'Historico - FAT'!$G:$G,Faturamento!$H1288)</f>
        <v>0</v>
      </c>
      <c r="AC1288" s="31">
        <f>SUMIFS('Historico - FAT'!AL:AL,'Historico - FAT'!$K:$K,Faturamento!$L1288,'Historico - FAT'!$I:$I,Faturamento!$J1288,'Historico - FAT'!$G:$G,Faturamento!$H1288)</f>
        <v>0</v>
      </c>
      <c r="AD1288" s="31">
        <f>SUMIFS('Historico - FAT'!AM:AM,'Historico - FAT'!$K:$K,Faturamento!$L1288,'Historico - FAT'!$I:$I,Faturamento!$J1288,'Historico - FAT'!$G:$G,Faturamento!$H1288)</f>
        <v>0</v>
      </c>
      <c r="AE1288" s="27">
        <f>SUMIFS('Historico - FAT'!AN:AN,'Historico - FAT'!$K:$K,Faturamento!$L1288,'Historico - FAT'!$I:$I,Faturamento!$J1288,'Historico - FAT'!$G:$G,Faturamento!$H1288)</f>
        <v>0</v>
      </c>
      <c r="AG1288" s="24">
        <f t="shared" si="303"/>
        <v>1</v>
      </c>
      <c r="AH1288" s="24">
        <f t="shared" si="304"/>
        <v>1</v>
      </c>
      <c r="AI1288" s="24">
        <f t="shared" si="305"/>
        <v>1</v>
      </c>
    </row>
    <row r="1289" spans="1:35" hidden="1" x14ac:dyDescent="0.3">
      <c r="A1289" s="2" t="str">
        <f t="shared" si="302"/>
        <v>NÃO</v>
      </c>
      <c r="B1289" s="2">
        <v>1000184670</v>
      </c>
      <c r="C1289" s="2" t="s">
        <v>147</v>
      </c>
      <c r="D1289" s="4">
        <v>1000186197</v>
      </c>
      <c r="E1289" s="4" t="s">
        <v>166</v>
      </c>
      <c r="F1289" s="2">
        <v>1000184762</v>
      </c>
      <c r="G1289" s="2" t="s">
        <v>58</v>
      </c>
      <c r="H1289" s="4">
        <v>1000189812</v>
      </c>
      <c r="I1289" s="4" t="s">
        <v>112</v>
      </c>
      <c r="J1289" s="2">
        <v>1000189270</v>
      </c>
      <c r="K1289" s="2" t="s">
        <v>34</v>
      </c>
      <c r="L1289" s="4" t="s">
        <v>20</v>
      </c>
      <c r="M1289" s="4" t="str">
        <f t="shared" si="309"/>
        <v>1000184670100018619710001898121000189270REEMBALADOS</v>
      </c>
      <c r="N1289" s="28">
        <f>N1277*_xlfn.XLOOKUP($L1289,'Balizador da Meta'!$B$4:$B$21,'Balizador da Meta'!$C$4:$C$21)</f>
        <v>48</v>
      </c>
      <c r="O1289" s="28">
        <f>O1277*_xlfn.XLOOKUP($L1289,'Balizador da Meta'!$B$4:$B$21,'Balizador da Meta'!$C$4:$C$21)</f>
        <v>48</v>
      </c>
      <c r="P1289" s="28">
        <f>P1277*_xlfn.XLOOKUP($L1289,'Balizador da Meta'!$B$4:$B$21,'Balizador da Meta'!$C$4:$C$21)</f>
        <v>72</v>
      </c>
      <c r="Q1289" s="28">
        <f>Q1277*_xlfn.XLOOKUP($L1289,'Balizador da Meta'!$B$4:$B$21,'Balizador da Meta'!$C$4:$C$21)</f>
        <v>72</v>
      </c>
      <c r="R1289" s="28">
        <f>R1277*_xlfn.XLOOKUP($L1289,'Balizador da Meta'!$B$4:$B$21,'Balizador da Meta'!$C$4:$C$21)</f>
        <v>72</v>
      </c>
      <c r="S1289" s="28">
        <f>S1277*_xlfn.XLOOKUP($L1289,'Balizador da Meta'!$B$4:$B$21,'Balizador da Meta'!$C$4:$C$21)</f>
        <v>72</v>
      </c>
      <c r="T1289" s="28">
        <f>T1277*_xlfn.XLOOKUP($L1289,'Balizador da Meta'!$B$4:$B$21,'Balizador da Meta'!$C$4:$C$21)</f>
        <v>72</v>
      </c>
      <c r="U1289" s="28">
        <f>U1277*_xlfn.XLOOKUP($L1289,'Balizador da Meta'!$B$4:$B$21,'Balizador da Meta'!$C$4:$C$21)</f>
        <v>96</v>
      </c>
      <c r="V1289" s="28">
        <f>V1277*_xlfn.XLOOKUP($L1289,'Balizador da Meta'!$B$4:$B$21,'Balizador da Meta'!$C$4:$C$21)</f>
        <v>96</v>
      </c>
      <c r="W1289" s="28">
        <f>W1277*_xlfn.XLOOKUP($L1289,'Balizador da Meta'!$B$4:$B$21,'Balizador da Meta'!$C$4:$C$21)</f>
        <v>96</v>
      </c>
      <c r="X1289" s="28">
        <f>X1277*_xlfn.XLOOKUP($L1289,'Balizador da Meta'!$B$4:$B$21,'Balizador da Meta'!$C$4:$C$21)</f>
        <v>96</v>
      </c>
      <c r="Y1289" s="28">
        <f>Y1277*_xlfn.XLOOKUP($L1289,'Balizador da Meta'!$B$4:$B$21,'Balizador da Meta'!$C$4:$C$21)</f>
        <v>96</v>
      </c>
      <c r="Z1289" s="30">
        <f t="shared" si="308"/>
        <v>936</v>
      </c>
      <c r="AA1289" s="29"/>
      <c r="AB1289" s="31">
        <f>SUMIFS('Historico - FAT'!AK:AK,'Historico - FAT'!$K:$K,Faturamento!$L1289,'Historico - FAT'!$I:$I,Faturamento!$J1289,'Historico - FAT'!$G:$G,Faturamento!$H1289)</f>
        <v>145.73333333333332</v>
      </c>
      <c r="AC1289" s="31">
        <f>SUMIFS('Historico - FAT'!AL:AL,'Historico - FAT'!$K:$K,Faturamento!$L1289,'Historico - FAT'!$I:$I,Faturamento!$J1289,'Historico - FAT'!$G:$G,Faturamento!$H1289)</f>
        <v>167.96</v>
      </c>
      <c r="AD1289" s="31">
        <f>SUMIFS('Historico - FAT'!AM:AM,'Historico - FAT'!$K:$K,Faturamento!$L1289,'Historico - FAT'!$I:$I,Faturamento!$J1289,'Historico - FAT'!$G:$G,Faturamento!$H1289)</f>
        <v>335.92</v>
      </c>
      <c r="AE1289" s="27">
        <f>SUMIFS('Historico - FAT'!AN:AN,'Historico - FAT'!$K:$K,Faturamento!$L1289,'Historico - FAT'!$I:$I,Faturamento!$J1289,'Historico - FAT'!$G:$G,Faturamento!$H1289)</f>
        <v>201.55199999999999</v>
      </c>
      <c r="AG1289" s="24">
        <f t="shared" si="303"/>
        <v>-0.51805555555555538</v>
      </c>
      <c r="AH1289" s="24">
        <f t="shared" si="304"/>
        <v>-0.74958333333333338</v>
      </c>
      <c r="AI1289" s="24">
        <f t="shared" si="305"/>
        <v>-2.499166666666667</v>
      </c>
    </row>
    <row r="1290" spans="1:35" hidden="1" x14ac:dyDescent="0.3">
      <c r="A1290" s="2" t="str">
        <f t="shared" si="302"/>
        <v>NÃO</v>
      </c>
      <c r="B1290" s="2">
        <v>1000184670</v>
      </c>
      <c r="C1290" s="2" t="s">
        <v>147</v>
      </c>
      <c r="D1290" s="4">
        <v>1000186197</v>
      </c>
      <c r="E1290" s="4" t="s">
        <v>166</v>
      </c>
      <c r="F1290" s="2">
        <v>1000184762</v>
      </c>
      <c r="G1290" s="2" t="s">
        <v>58</v>
      </c>
      <c r="H1290" s="4">
        <v>1000189812</v>
      </c>
      <c r="I1290" s="4" t="s">
        <v>112</v>
      </c>
      <c r="J1290" s="2">
        <v>1000189270</v>
      </c>
      <c r="K1290" s="2" t="s">
        <v>34</v>
      </c>
      <c r="L1290" s="4" t="s">
        <v>22</v>
      </c>
      <c r="M1290" s="4" t="str">
        <f t="shared" si="309"/>
        <v>1000184670100018619710001898121000189270S GLUTEN</v>
      </c>
      <c r="N1290" s="28">
        <f>N1277*_xlfn.XLOOKUP($L1290,'Balizador da Meta'!$B$4:$B$21,'Balizador da Meta'!$C$4:$C$21)</f>
        <v>48</v>
      </c>
      <c r="O1290" s="28">
        <f>O1277*_xlfn.XLOOKUP($L1290,'Balizador da Meta'!$B$4:$B$21,'Balizador da Meta'!$C$4:$C$21)</f>
        <v>48</v>
      </c>
      <c r="P1290" s="28">
        <f>P1277*_xlfn.XLOOKUP($L1290,'Balizador da Meta'!$B$4:$B$21,'Balizador da Meta'!$C$4:$C$21)</f>
        <v>72</v>
      </c>
      <c r="Q1290" s="28">
        <f>Q1277*_xlfn.XLOOKUP($L1290,'Balizador da Meta'!$B$4:$B$21,'Balizador da Meta'!$C$4:$C$21)</f>
        <v>72</v>
      </c>
      <c r="R1290" s="28">
        <f>R1277*_xlfn.XLOOKUP($L1290,'Balizador da Meta'!$B$4:$B$21,'Balizador da Meta'!$C$4:$C$21)</f>
        <v>72</v>
      </c>
      <c r="S1290" s="28">
        <f>S1277*_xlfn.XLOOKUP($L1290,'Balizador da Meta'!$B$4:$B$21,'Balizador da Meta'!$C$4:$C$21)</f>
        <v>72</v>
      </c>
      <c r="T1290" s="28">
        <f>T1277*_xlfn.XLOOKUP($L1290,'Balizador da Meta'!$B$4:$B$21,'Balizador da Meta'!$C$4:$C$21)</f>
        <v>72</v>
      </c>
      <c r="U1290" s="28">
        <f>U1277*_xlfn.XLOOKUP($L1290,'Balizador da Meta'!$B$4:$B$21,'Balizador da Meta'!$C$4:$C$21)</f>
        <v>96</v>
      </c>
      <c r="V1290" s="28">
        <f>V1277*_xlfn.XLOOKUP($L1290,'Balizador da Meta'!$B$4:$B$21,'Balizador da Meta'!$C$4:$C$21)</f>
        <v>96</v>
      </c>
      <c r="W1290" s="28">
        <f>W1277*_xlfn.XLOOKUP($L1290,'Balizador da Meta'!$B$4:$B$21,'Balizador da Meta'!$C$4:$C$21)</f>
        <v>96</v>
      </c>
      <c r="X1290" s="28">
        <f>X1277*_xlfn.XLOOKUP($L1290,'Balizador da Meta'!$B$4:$B$21,'Balizador da Meta'!$C$4:$C$21)</f>
        <v>96</v>
      </c>
      <c r="Y1290" s="28">
        <f>Y1277*_xlfn.XLOOKUP($L1290,'Balizador da Meta'!$B$4:$B$21,'Balizador da Meta'!$C$4:$C$21)</f>
        <v>96</v>
      </c>
      <c r="Z1290" s="30">
        <f t="shared" si="308"/>
        <v>936</v>
      </c>
      <c r="AA1290" s="29"/>
      <c r="AB1290" s="31">
        <f>SUMIFS('Historico - FAT'!AK:AK,'Historico - FAT'!$K:$K,Faturamento!$L1290,'Historico - FAT'!$I:$I,Faturamento!$J1290,'Historico - FAT'!$G:$G,Faturamento!$H1290)</f>
        <v>0</v>
      </c>
      <c r="AC1290" s="31">
        <f>SUMIFS('Historico - FAT'!AL:AL,'Historico - FAT'!$K:$K,Faturamento!$L1290,'Historico - FAT'!$I:$I,Faturamento!$J1290,'Historico - FAT'!$G:$G,Faturamento!$H1290)</f>
        <v>0</v>
      </c>
      <c r="AD1290" s="31">
        <f>SUMIFS('Historico - FAT'!AM:AM,'Historico - FAT'!$K:$K,Faturamento!$L1290,'Historico - FAT'!$I:$I,Faturamento!$J1290,'Historico - FAT'!$G:$G,Faturamento!$H1290)</f>
        <v>0</v>
      </c>
      <c r="AE1290" s="27">
        <f>SUMIFS('Historico - FAT'!AN:AN,'Historico - FAT'!$K:$K,Faturamento!$L1290,'Historico - FAT'!$I:$I,Faturamento!$J1290,'Historico - FAT'!$G:$G,Faturamento!$H1290)</f>
        <v>0</v>
      </c>
      <c r="AG1290" s="24">
        <f t="shared" si="303"/>
        <v>1</v>
      </c>
      <c r="AH1290" s="24">
        <f t="shared" si="304"/>
        <v>1</v>
      </c>
      <c r="AI1290" s="24">
        <f t="shared" si="305"/>
        <v>1</v>
      </c>
    </row>
    <row r="1291" spans="1:35" hidden="1" x14ac:dyDescent="0.3">
      <c r="A1291" s="2" t="str">
        <f t="shared" si="302"/>
        <v>NÃO</v>
      </c>
      <c r="B1291" s="2">
        <v>1000184670</v>
      </c>
      <c r="C1291" s="2" t="s">
        <v>147</v>
      </c>
      <c r="D1291" s="4">
        <v>1000186197</v>
      </c>
      <c r="E1291" s="4" t="s">
        <v>166</v>
      </c>
      <c r="F1291" s="2">
        <v>1000184762</v>
      </c>
      <c r="G1291" s="2" t="s">
        <v>58</v>
      </c>
      <c r="H1291" s="4">
        <v>1000189812</v>
      </c>
      <c r="I1291" s="4" t="s">
        <v>112</v>
      </c>
      <c r="J1291" s="2">
        <v>1000189270</v>
      </c>
      <c r="K1291" s="2" t="s">
        <v>34</v>
      </c>
      <c r="L1291" s="4" t="s">
        <v>23</v>
      </c>
      <c r="M1291" s="4" t="str">
        <f t="shared" si="309"/>
        <v>1000184670100018619710001898121000189270SABORES DO CAMPO</v>
      </c>
      <c r="N1291" s="28">
        <f>N1277*_xlfn.XLOOKUP($L1291,'Balizador da Meta'!$B$4:$B$21,'Balizador da Meta'!$C$4:$C$21)</f>
        <v>0</v>
      </c>
      <c r="O1291" s="28">
        <f>O1277*_xlfn.XLOOKUP($L1291,'Balizador da Meta'!$B$4:$B$21,'Balizador da Meta'!$C$4:$C$21)</f>
        <v>0</v>
      </c>
      <c r="P1291" s="28">
        <f>P1277*_xlfn.XLOOKUP($L1291,'Balizador da Meta'!$B$4:$B$21,'Balizador da Meta'!$C$4:$C$21)</f>
        <v>0</v>
      </c>
      <c r="Q1291" s="28">
        <f>Q1277*_xlfn.XLOOKUP($L1291,'Balizador da Meta'!$B$4:$B$21,'Balizador da Meta'!$C$4:$C$21)</f>
        <v>0</v>
      </c>
      <c r="R1291" s="28">
        <f>R1277*_xlfn.XLOOKUP($L1291,'Balizador da Meta'!$B$4:$B$21,'Balizador da Meta'!$C$4:$C$21)</f>
        <v>0</v>
      </c>
      <c r="S1291" s="28">
        <f>S1277*_xlfn.XLOOKUP($L1291,'Balizador da Meta'!$B$4:$B$21,'Balizador da Meta'!$C$4:$C$21)</f>
        <v>0</v>
      </c>
      <c r="T1291" s="28">
        <f>T1277*_xlfn.XLOOKUP($L1291,'Balizador da Meta'!$B$4:$B$21,'Balizador da Meta'!$C$4:$C$21)</f>
        <v>0</v>
      </c>
      <c r="U1291" s="28">
        <f>U1277*_xlfn.XLOOKUP($L1291,'Balizador da Meta'!$B$4:$B$21,'Balizador da Meta'!$C$4:$C$21)</f>
        <v>0</v>
      </c>
      <c r="V1291" s="28">
        <f>V1277*_xlfn.XLOOKUP($L1291,'Balizador da Meta'!$B$4:$B$21,'Balizador da Meta'!$C$4:$C$21)</f>
        <v>0</v>
      </c>
      <c r="W1291" s="28">
        <f>W1277*_xlfn.XLOOKUP($L1291,'Balizador da Meta'!$B$4:$B$21,'Balizador da Meta'!$C$4:$C$21)</f>
        <v>0</v>
      </c>
      <c r="X1291" s="28">
        <f>X1277*_xlfn.XLOOKUP($L1291,'Balizador da Meta'!$B$4:$B$21,'Balizador da Meta'!$C$4:$C$21)</f>
        <v>0</v>
      </c>
      <c r="Y1291" s="28">
        <f>Y1277*_xlfn.XLOOKUP($L1291,'Balizador da Meta'!$B$4:$B$21,'Balizador da Meta'!$C$4:$C$21)</f>
        <v>0</v>
      </c>
      <c r="Z1291" s="30">
        <f t="shared" si="308"/>
        <v>0</v>
      </c>
      <c r="AA1291" s="29"/>
      <c r="AB1291" s="31">
        <f>SUMIFS('Historico - FAT'!AK:AK,'Historico - FAT'!$K:$K,Faturamento!$L1291,'Historico - FAT'!$I:$I,Faturamento!$J1291,'Historico - FAT'!$G:$G,Faturamento!$H1291)</f>
        <v>0</v>
      </c>
      <c r="AC1291" s="31">
        <f>SUMIFS('Historico - FAT'!AL:AL,'Historico - FAT'!$K:$K,Faturamento!$L1291,'Historico - FAT'!$I:$I,Faturamento!$J1291,'Historico - FAT'!$G:$G,Faturamento!$H1291)</f>
        <v>0</v>
      </c>
      <c r="AD1291" s="31">
        <f>SUMIFS('Historico - FAT'!AM:AM,'Historico - FAT'!$K:$K,Faturamento!$L1291,'Historico - FAT'!$I:$I,Faturamento!$J1291,'Historico - FAT'!$G:$G,Faturamento!$H1291)</f>
        <v>0</v>
      </c>
      <c r="AE1291" s="27">
        <f>SUMIFS('Historico - FAT'!AN:AN,'Historico - FAT'!$K:$K,Faturamento!$L1291,'Historico - FAT'!$I:$I,Faturamento!$J1291,'Historico - FAT'!$G:$G,Faturamento!$H1291)</f>
        <v>0</v>
      </c>
      <c r="AG1291" s="24" t="str">
        <f t="shared" si="303"/>
        <v/>
      </c>
      <c r="AH1291" s="24" t="str">
        <f t="shared" si="304"/>
        <v/>
      </c>
      <c r="AI1291" s="24" t="str">
        <f t="shared" si="305"/>
        <v/>
      </c>
    </row>
    <row r="1292" spans="1:35" hidden="1" x14ac:dyDescent="0.3">
      <c r="A1292" s="2" t="str">
        <f t="shared" si="302"/>
        <v>NÃO</v>
      </c>
      <c r="B1292" s="2">
        <v>1000184670</v>
      </c>
      <c r="C1292" s="2" t="s">
        <v>147</v>
      </c>
      <c r="D1292" s="4">
        <v>1000186197</v>
      </c>
      <c r="E1292" s="4" t="s">
        <v>166</v>
      </c>
      <c r="F1292" s="2">
        <v>1000184762</v>
      </c>
      <c r="G1292" s="2" t="s">
        <v>58</v>
      </c>
      <c r="H1292" s="4">
        <v>1000189812</v>
      </c>
      <c r="I1292" s="4" t="s">
        <v>112</v>
      </c>
      <c r="J1292" s="2">
        <v>1000189270</v>
      </c>
      <c r="K1292" s="2" t="s">
        <v>34</v>
      </c>
      <c r="L1292" s="4" t="s">
        <v>28</v>
      </c>
      <c r="M1292" s="4" t="str">
        <f t="shared" si="309"/>
        <v>1000184670100018619710001898121000189270SAL</v>
      </c>
      <c r="N1292" s="28">
        <f>N1277*_xlfn.XLOOKUP($L1292,'Balizador da Meta'!$B$4:$B$21,'Balizador da Meta'!$C$4:$C$21)</f>
        <v>24</v>
      </c>
      <c r="O1292" s="28">
        <f>O1277*_xlfn.XLOOKUP($L1292,'Balizador da Meta'!$B$4:$B$21,'Balizador da Meta'!$C$4:$C$21)</f>
        <v>24</v>
      </c>
      <c r="P1292" s="28">
        <f>P1277*_xlfn.XLOOKUP($L1292,'Balizador da Meta'!$B$4:$B$21,'Balizador da Meta'!$C$4:$C$21)</f>
        <v>36</v>
      </c>
      <c r="Q1292" s="28">
        <f>Q1277*_xlfn.XLOOKUP($L1292,'Balizador da Meta'!$B$4:$B$21,'Balizador da Meta'!$C$4:$C$21)</f>
        <v>36</v>
      </c>
      <c r="R1292" s="28">
        <f>R1277*_xlfn.XLOOKUP($L1292,'Balizador da Meta'!$B$4:$B$21,'Balizador da Meta'!$C$4:$C$21)</f>
        <v>36</v>
      </c>
      <c r="S1292" s="28">
        <f>S1277*_xlfn.XLOOKUP($L1292,'Balizador da Meta'!$B$4:$B$21,'Balizador da Meta'!$C$4:$C$21)</f>
        <v>36</v>
      </c>
      <c r="T1292" s="28">
        <f>T1277*_xlfn.XLOOKUP($L1292,'Balizador da Meta'!$B$4:$B$21,'Balizador da Meta'!$C$4:$C$21)</f>
        <v>36</v>
      </c>
      <c r="U1292" s="28">
        <f>U1277*_xlfn.XLOOKUP($L1292,'Balizador da Meta'!$B$4:$B$21,'Balizador da Meta'!$C$4:$C$21)</f>
        <v>48</v>
      </c>
      <c r="V1292" s="28">
        <f>V1277*_xlfn.XLOOKUP($L1292,'Balizador da Meta'!$B$4:$B$21,'Balizador da Meta'!$C$4:$C$21)</f>
        <v>48</v>
      </c>
      <c r="W1292" s="28">
        <f>W1277*_xlfn.XLOOKUP($L1292,'Balizador da Meta'!$B$4:$B$21,'Balizador da Meta'!$C$4:$C$21)</f>
        <v>48</v>
      </c>
      <c r="X1292" s="28">
        <f>X1277*_xlfn.XLOOKUP($L1292,'Balizador da Meta'!$B$4:$B$21,'Balizador da Meta'!$C$4:$C$21)</f>
        <v>48</v>
      </c>
      <c r="Y1292" s="28">
        <f>Y1277*_xlfn.XLOOKUP($L1292,'Balizador da Meta'!$B$4:$B$21,'Balizador da Meta'!$C$4:$C$21)</f>
        <v>48</v>
      </c>
      <c r="Z1292" s="30">
        <f t="shared" si="308"/>
        <v>468</v>
      </c>
      <c r="AA1292" s="29"/>
      <c r="AB1292" s="31">
        <f>SUMIFS('Historico - FAT'!AK:AK,'Historico - FAT'!$K:$K,Faturamento!$L1292,'Historico - FAT'!$I:$I,Faturamento!$J1292,'Historico - FAT'!$G:$G,Faturamento!$H1292)</f>
        <v>0</v>
      </c>
      <c r="AC1292" s="31">
        <f>SUMIFS('Historico - FAT'!AL:AL,'Historico - FAT'!$K:$K,Faturamento!$L1292,'Historico - FAT'!$I:$I,Faturamento!$J1292,'Historico - FAT'!$G:$G,Faturamento!$H1292)</f>
        <v>0</v>
      </c>
      <c r="AD1292" s="31">
        <f>SUMIFS('Historico - FAT'!AM:AM,'Historico - FAT'!$K:$K,Faturamento!$L1292,'Historico - FAT'!$I:$I,Faturamento!$J1292,'Historico - FAT'!$G:$G,Faturamento!$H1292)</f>
        <v>0</v>
      </c>
      <c r="AE1292" s="27">
        <f>SUMIFS('Historico - FAT'!AN:AN,'Historico - FAT'!$K:$K,Faturamento!$L1292,'Historico - FAT'!$I:$I,Faturamento!$J1292,'Historico - FAT'!$G:$G,Faturamento!$H1292)</f>
        <v>0</v>
      </c>
      <c r="AG1292" s="24">
        <f t="shared" si="303"/>
        <v>1</v>
      </c>
      <c r="AH1292" s="24">
        <f t="shared" si="304"/>
        <v>1</v>
      </c>
      <c r="AI1292" s="24">
        <f t="shared" si="305"/>
        <v>1</v>
      </c>
    </row>
    <row r="1293" spans="1:35" hidden="1" x14ac:dyDescent="0.3">
      <c r="A1293" s="2" t="str">
        <f t="shared" si="302"/>
        <v>NÃO</v>
      </c>
      <c r="B1293" s="2">
        <v>1000184670</v>
      </c>
      <c r="C1293" s="2" t="s">
        <v>147</v>
      </c>
      <c r="D1293" s="4">
        <v>1000186197</v>
      </c>
      <c r="E1293" s="4" t="s">
        <v>166</v>
      </c>
      <c r="F1293" s="2">
        <v>1000184762</v>
      </c>
      <c r="G1293" s="2" t="s">
        <v>58</v>
      </c>
      <c r="H1293" s="4">
        <v>1000189812</v>
      </c>
      <c r="I1293" s="4" t="s">
        <v>112</v>
      </c>
      <c r="J1293" s="2">
        <v>1000189270</v>
      </c>
      <c r="K1293" s="2" t="s">
        <v>34</v>
      </c>
      <c r="L1293" s="4" t="s">
        <v>26</v>
      </c>
      <c r="M1293" s="4" t="str">
        <f t="shared" si="309"/>
        <v>1000184670100018619710001898121000189270SOULPRO</v>
      </c>
      <c r="N1293" s="28">
        <f>N1277*_xlfn.XLOOKUP($L1293,'Balizador da Meta'!$B$4:$B$21,'Balizador da Meta'!$C$4:$C$21)</f>
        <v>72</v>
      </c>
      <c r="O1293" s="28">
        <f>O1277*_xlfn.XLOOKUP($L1293,'Balizador da Meta'!$B$4:$B$21,'Balizador da Meta'!$C$4:$C$21)</f>
        <v>72</v>
      </c>
      <c r="P1293" s="28">
        <f>P1277*_xlfn.XLOOKUP($L1293,'Balizador da Meta'!$B$4:$B$21,'Balizador da Meta'!$C$4:$C$21)</f>
        <v>108</v>
      </c>
      <c r="Q1293" s="28">
        <f>Q1277*_xlfn.XLOOKUP($L1293,'Balizador da Meta'!$B$4:$B$21,'Balizador da Meta'!$C$4:$C$21)</f>
        <v>108</v>
      </c>
      <c r="R1293" s="28">
        <f>R1277*_xlfn.XLOOKUP($L1293,'Balizador da Meta'!$B$4:$B$21,'Balizador da Meta'!$C$4:$C$21)</f>
        <v>108</v>
      </c>
      <c r="S1293" s="28">
        <f>S1277*_xlfn.XLOOKUP($L1293,'Balizador da Meta'!$B$4:$B$21,'Balizador da Meta'!$C$4:$C$21)</f>
        <v>108</v>
      </c>
      <c r="T1293" s="28">
        <f>T1277*_xlfn.XLOOKUP($L1293,'Balizador da Meta'!$B$4:$B$21,'Balizador da Meta'!$C$4:$C$21)</f>
        <v>108</v>
      </c>
      <c r="U1293" s="28">
        <f>U1277*_xlfn.XLOOKUP($L1293,'Balizador da Meta'!$B$4:$B$21,'Balizador da Meta'!$C$4:$C$21)</f>
        <v>144</v>
      </c>
      <c r="V1293" s="28">
        <f>V1277*_xlfn.XLOOKUP($L1293,'Balizador da Meta'!$B$4:$B$21,'Balizador da Meta'!$C$4:$C$21)</f>
        <v>144</v>
      </c>
      <c r="W1293" s="28">
        <f>W1277*_xlfn.XLOOKUP($L1293,'Balizador da Meta'!$B$4:$B$21,'Balizador da Meta'!$C$4:$C$21)</f>
        <v>144</v>
      </c>
      <c r="X1293" s="28">
        <f>X1277*_xlfn.XLOOKUP($L1293,'Balizador da Meta'!$B$4:$B$21,'Balizador da Meta'!$C$4:$C$21)</f>
        <v>144</v>
      </c>
      <c r="Y1293" s="28">
        <f>Y1277*_xlfn.XLOOKUP($L1293,'Balizador da Meta'!$B$4:$B$21,'Balizador da Meta'!$C$4:$C$21)</f>
        <v>144</v>
      </c>
      <c r="Z1293" s="30">
        <f t="shared" si="308"/>
        <v>1404</v>
      </c>
      <c r="AA1293" s="29"/>
      <c r="AB1293" s="31">
        <f>SUMIFS('Historico - FAT'!AK:AK,'Historico - FAT'!$K:$K,Faturamento!$L1293,'Historico - FAT'!$I:$I,Faturamento!$J1293,'Historico - FAT'!$G:$G,Faturamento!$H1293)</f>
        <v>0</v>
      </c>
      <c r="AC1293" s="31">
        <f>SUMIFS('Historico - FAT'!AL:AL,'Historico - FAT'!$K:$K,Faturamento!$L1293,'Historico - FAT'!$I:$I,Faturamento!$J1293,'Historico - FAT'!$G:$G,Faturamento!$H1293)</f>
        <v>0</v>
      </c>
      <c r="AD1293" s="31">
        <f>SUMIFS('Historico - FAT'!AM:AM,'Historico - FAT'!$K:$K,Faturamento!$L1293,'Historico - FAT'!$I:$I,Faturamento!$J1293,'Historico - FAT'!$G:$G,Faturamento!$H1293)</f>
        <v>0</v>
      </c>
      <c r="AE1293" s="27">
        <f>SUMIFS('Historico - FAT'!AN:AN,'Historico - FAT'!$K:$K,Faturamento!$L1293,'Historico - FAT'!$I:$I,Faturamento!$J1293,'Historico - FAT'!$G:$G,Faturamento!$H1293)</f>
        <v>0</v>
      </c>
      <c r="AG1293" s="24">
        <f t="shared" si="303"/>
        <v>1</v>
      </c>
      <c r="AH1293" s="24">
        <f t="shared" si="304"/>
        <v>1</v>
      </c>
      <c r="AI1293" s="24">
        <f t="shared" si="305"/>
        <v>1</v>
      </c>
    </row>
    <row r="1294" spans="1:35" hidden="1" x14ac:dyDescent="0.3">
      <c r="A1294" s="2" t="str">
        <f t="shared" si="302"/>
        <v>NÃO</v>
      </c>
      <c r="B1294" s="2">
        <v>1000184670</v>
      </c>
      <c r="C1294" s="2" t="s">
        <v>147</v>
      </c>
      <c r="D1294" s="4">
        <v>1000186197</v>
      </c>
      <c r="E1294" s="4" t="s">
        <v>166</v>
      </c>
      <c r="F1294" s="2">
        <v>1000184762</v>
      </c>
      <c r="G1294" s="2" t="s">
        <v>58</v>
      </c>
      <c r="H1294" s="4">
        <v>1000189812</v>
      </c>
      <c r="I1294" s="4" t="s">
        <v>112</v>
      </c>
      <c r="J1294" s="2">
        <v>1000189270</v>
      </c>
      <c r="K1294" s="2" t="s">
        <v>34</v>
      </c>
      <c r="L1294" s="4" t="s">
        <v>27</v>
      </c>
      <c r="M1294" s="4" t="str">
        <f t="shared" si="309"/>
        <v>1000184670100018619710001898121000189270TAMARA</v>
      </c>
      <c r="N1294" s="28">
        <f>N1277*_xlfn.XLOOKUP($L1294,'Balizador da Meta'!$B$4:$B$21,'Balizador da Meta'!$C$4:$C$21)</f>
        <v>96</v>
      </c>
      <c r="O1294" s="28">
        <f>O1277*_xlfn.XLOOKUP($L1294,'Balizador da Meta'!$B$4:$B$21,'Balizador da Meta'!$C$4:$C$21)</f>
        <v>96</v>
      </c>
      <c r="P1294" s="28">
        <f>P1277*_xlfn.XLOOKUP($L1294,'Balizador da Meta'!$B$4:$B$21,'Balizador da Meta'!$C$4:$C$21)</f>
        <v>144</v>
      </c>
      <c r="Q1294" s="28">
        <f>Q1277*_xlfn.XLOOKUP($L1294,'Balizador da Meta'!$B$4:$B$21,'Balizador da Meta'!$C$4:$C$21)</f>
        <v>144</v>
      </c>
      <c r="R1294" s="28">
        <f>R1277*_xlfn.XLOOKUP($L1294,'Balizador da Meta'!$B$4:$B$21,'Balizador da Meta'!$C$4:$C$21)</f>
        <v>144</v>
      </c>
      <c r="S1294" s="28">
        <f>S1277*_xlfn.XLOOKUP($L1294,'Balizador da Meta'!$B$4:$B$21,'Balizador da Meta'!$C$4:$C$21)</f>
        <v>144</v>
      </c>
      <c r="T1294" s="28">
        <f>T1277*_xlfn.XLOOKUP($L1294,'Balizador da Meta'!$B$4:$B$21,'Balizador da Meta'!$C$4:$C$21)</f>
        <v>144</v>
      </c>
      <c r="U1294" s="28">
        <f>U1277*_xlfn.XLOOKUP($L1294,'Balizador da Meta'!$B$4:$B$21,'Balizador da Meta'!$C$4:$C$21)</f>
        <v>192</v>
      </c>
      <c r="V1294" s="28">
        <f>V1277*_xlfn.XLOOKUP($L1294,'Balizador da Meta'!$B$4:$B$21,'Balizador da Meta'!$C$4:$C$21)</f>
        <v>192</v>
      </c>
      <c r="W1294" s="28">
        <f>W1277*_xlfn.XLOOKUP($L1294,'Balizador da Meta'!$B$4:$B$21,'Balizador da Meta'!$C$4:$C$21)</f>
        <v>192</v>
      </c>
      <c r="X1294" s="28">
        <f>X1277*_xlfn.XLOOKUP($L1294,'Balizador da Meta'!$B$4:$B$21,'Balizador da Meta'!$C$4:$C$21)</f>
        <v>192</v>
      </c>
      <c r="Y1294" s="28">
        <f>Y1277*_xlfn.XLOOKUP($L1294,'Balizador da Meta'!$B$4:$B$21,'Balizador da Meta'!$C$4:$C$21)</f>
        <v>192</v>
      </c>
      <c r="Z1294" s="30">
        <f t="shared" si="308"/>
        <v>1872</v>
      </c>
      <c r="AA1294" s="29"/>
      <c r="AB1294" s="31">
        <f>SUMIFS('Historico - FAT'!AK:AK,'Historico - FAT'!$K:$K,Faturamento!$L1294,'Historico - FAT'!$I:$I,Faturamento!$J1294,'Historico - FAT'!$G:$G,Faturamento!$H1294)</f>
        <v>0</v>
      </c>
      <c r="AC1294" s="31">
        <f>SUMIFS('Historico - FAT'!AL:AL,'Historico - FAT'!$K:$K,Faturamento!$L1294,'Historico - FAT'!$I:$I,Faturamento!$J1294,'Historico - FAT'!$G:$G,Faturamento!$H1294)</f>
        <v>0</v>
      </c>
      <c r="AD1294" s="31">
        <f>SUMIFS('Historico - FAT'!AM:AM,'Historico - FAT'!$K:$K,Faturamento!$L1294,'Historico - FAT'!$I:$I,Faturamento!$J1294,'Historico - FAT'!$G:$G,Faturamento!$H1294)</f>
        <v>0</v>
      </c>
      <c r="AE1294" s="27">
        <f>SUMIFS('Historico - FAT'!AN:AN,'Historico - FAT'!$K:$K,Faturamento!$L1294,'Historico - FAT'!$I:$I,Faturamento!$J1294,'Historico - FAT'!$G:$G,Faturamento!$H1294)</f>
        <v>0</v>
      </c>
      <c r="AG1294" s="24">
        <f t="shared" si="303"/>
        <v>1</v>
      </c>
      <c r="AH1294" s="24">
        <f t="shared" si="304"/>
        <v>1</v>
      </c>
      <c r="AI1294" s="24">
        <f t="shared" si="305"/>
        <v>1</v>
      </c>
    </row>
    <row r="1295" spans="1:35" hidden="1" x14ac:dyDescent="0.3">
      <c r="A1295" s="2" t="str">
        <f t="shared" si="302"/>
        <v>NÃO</v>
      </c>
      <c r="B1295" s="2">
        <v>1000184670</v>
      </c>
      <c r="C1295" s="2" t="s">
        <v>147</v>
      </c>
      <c r="D1295" s="4">
        <v>1000186197</v>
      </c>
      <c r="E1295" s="4" t="s">
        <v>166</v>
      </c>
      <c r="F1295" s="2">
        <v>1000184762</v>
      </c>
      <c r="G1295" s="2" t="s">
        <v>58</v>
      </c>
      <c r="H1295" s="4">
        <v>1000189812</v>
      </c>
      <c r="I1295" s="4" t="s">
        <v>112</v>
      </c>
      <c r="J1295" s="2">
        <v>1000189270</v>
      </c>
      <c r="K1295" s="2" t="s">
        <v>34</v>
      </c>
      <c r="L1295" s="4" t="s">
        <v>25</v>
      </c>
      <c r="M1295" s="4" t="str">
        <f t="shared" si="309"/>
        <v>1000184670100018619710001898121000189270VICCIO</v>
      </c>
      <c r="N1295" s="28">
        <f>N1277*_xlfn.XLOOKUP($L1295,'Balizador da Meta'!$B$4:$B$21,'Balizador da Meta'!$C$4:$C$21)</f>
        <v>36</v>
      </c>
      <c r="O1295" s="28">
        <f>O1277*_xlfn.XLOOKUP($L1295,'Balizador da Meta'!$B$4:$B$21,'Balizador da Meta'!$C$4:$C$21)</f>
        <v>36</v>
      </c>
      <c r="P1295" s="28">
        <f>P1277*_xlfn.XLOOKUP($L1295,'Balizador da Meta'!$B$4:$B$21,'Balizador da Meta'!$C$4:$C$21)</f>
        <v>54</v>
      </c>
      <c r="Q1295" s="28">
        <f>Q1277*_xlfn.XLOOKUP($L1295,'Balizador da Meta'!$B$4:$B$21,'Balizador da Meta'!$C$4:$C$21)</f>
        <v>54</v>
      </c>
      <c r="R1295" s="28">
        <f>R1277*_xlfn.XLOOKUP($L1295,'Balizador da Meta'!$B$4:$B$21,'Balizador da Meta'!$C$4:$C$21)</f>
        <v>54</v>
      </c>
      <c r="S1295" s="28">
        <f>S1277*_xlfn.XLOOKUP($L1295,'Balizador da Meta'!$B$4:$B$21,'Balizador da Meta'!$C$4:$C$21)</f>
        <v>54</v>
      </c>
      <c r="T1295" s="28">
        <f>T1277*_xlfn.XLOOKUP($L1295,'Balizador da Meta'!$B$4:$B$21,'Balizador da Meta'!$C$4:$C$21)</f>
        <v>54</v>
      </c>
      <c r="U1295" s="28">
        <f>U1277*_xlfn.XLOOKUP($L1295,'Balizador da Meta'!$B$4:$B$21,'Balizador da Meta'!$C$4:$C$21)</f>
        <v>72</v>
      </c>
      <c r="V1295" s="28">
        <f>V1277*_xlfn.XLOOKUP($L1295,'Balizador da Meta'!$B$4:$B$21,'Balizador da Meta'!$C$4:$C$21)</f>
        <v>72</v>
      </c>
      <c r="W1295" s="28">
        <f>W1277*_xlfn.XLOOKUP($L1295,'Balizador da Meta'!$B$4:$B$21,'Balizador da Meta'!$C$4:$C$21)</f>
        <v>72</v>
      </c>
      <c r="X1295" s="28">
        <f>X1277*_xlfn.XLOOKUP($L1295,'Balizador da Meta'!$B$4:$B$21,'Balizador da Meta'!$C$4:$C$21)</f>
        <v>72</v>
      </c>
      <c r="Y1295" s="28">
        <f>Y1277*_xlfn.XLOOKUP($L1295,'Balizador da Meta'!$B$4:$B$21,'Balizador da Meta'!$C$4:$C$21)</f>
        <v>72</v>
      </c>
      <c r="Z1295" s="30">
        <f t="shared" si="308"/>
        <v>702</v>
      </c>
      <c r="AA1295" s="29"/>
      <c r="AB1295" s="31">
        <f>SUMIFS('Historico - FAT'!AK:AK,'Historico - FAT'!$K:$K,Faturamento!$L1295,'Historico - FAT'!$I:$I,Faturamento!$J1295,'Historico - FAT'!$G:$G,Faturamento!$H1295)</f>
        <v>0</v>
      </c>
      <c r="AC1295" s="31">
        <f>SUMIFS('Historico - FAT'!AL:AL,'Historico - FAT'!$K:$K,Faturamento!$L1295,'Historico - FAT'!$I:$I,Faturamento!$J1295,'Historico - FAT'!$G:$G,Faturamento!$H1295)</f>
        <v>0</v>
      </c>
      <c r="AD1295" s="31">
        <f>SUMIFS('Historico - FAT'!AM:AM,'Historico - FAT'!$K:$K,Faturamento!$L1295,'Historico - FAT'!$I:$I,Faturamento!$J1295,'Historico - FAT'!$G:$G,Faturamento!$H1295)</f>
        <v>0</v>
      </c>
      <c r="AE1295" s="27">
        <f>SUMIFS('Historico - FAT'!AN:AN,'Historico - FAT'!$K:$K,Faturamento!$L1295,'Historico - FAT'!$I:$I,Faturamento!$J1295,'Historico - FAT'!$G:$G,Faturamento!$H1295)</f>
        <v>0</v>
      </c>
      <c r="AG1295" s="24">
        <f t="shared" si="303"/>
        <v>1</v>
      </c>
      <c r="AH1295" s="24">
        <f t="shared" si="304"/>
        <v>1</v>
      </c>
      <c r="AI1295" s="24">
        <f t="shared" si="305"/>
        <v>1</v>
      </c>
    </row>
    <row r="1296" spans="1:35" x14ac:dyDescent="0.3">
      <c r="A1296" s="2" t="str">
        <f t="shared" si="302"/>
        <v>SIM</v>
      </c>
      <c r="B1296" s="2">
        <v>1000184670</v>
      </c>
      <c r="C1296" s="2" t="s">
        <v>147</v>
      </c>
      <c r="D1296" s="4">
        <v>1000186197</v>
      </c>
      <c r="E1296" s="4" t="s">
        <v>166</v>
      </c>
      <c r="F1296" s="2">
        <v>1000184762</v>
      </c>
      <c r="G1296" s="2" t="s">
        <v>58</v>
      </c>
      <c r="H1296" s="4">
        <v>1000189813</v>
      </c>
      <c r="I1296" s="4" t="s">
        <v>82</v>
      </c>
      <c r="J1296" s="2">
        <v>1000189270</v>
      </c>
      <c r="K1296" s="2" t="s">
        <v>34</v>
      </c>
      <c r="L1296" s="4" t="s">
        <v>124</v>
      </c>
      <c r="M1296" s="4" t="str">
        <f t="shared" si="309"/>
        <v>100018467010001861971000189813100018927001. TOTAL</v>
      </c>
      <c r="N1296" s="28">
        <f>SUMIFS(Positivação!L:L,Positivação!$I:$I,Faturamento!$J1296,Positivação!$G:$G,Faturamento!$H1296)*SUMIFS(Positivação!$Z:$Z,Positivação!$I:$I,Faturamento!$J1296,Positivação!$G:$G,Faturamento!$H1296)</f>
        <v>600</v>
      </c>
      <c r="O1296" s="28">
        <f>SUMIFS(Positivação!M:M,Positivação!$I:$I,Faturamento!$J1296,Positivação!$G:$G,Faturamento!$H1296)*SUMIFS(Positivação!$Z:$Z,Positivação!$I:$I,Faturamento!$J1296,Positivação!$G:$G,Faturamento!$H1296)</f>
        <v>600</v>
      </c>
      <c r="P1296" s="28">
        <f>SUMIFS(Positivação!N:N,Positivação!$I:$I,Faturamento!$J1296,Positivação!$G:$G,Faturamento!$H1296)*SUMIFS(Positivação!$Z:$Z,Positivação!$I:$I,Faturamento!$J1296,Positivação!$G:$G,Faturamento!$H1296)</f>
        <v>600</v>
      </c>
      <c r="Q1296" s="28">
        <f>SUMIFS(Positivação!O:O,Positivação!$I:$I,Faturamento!$J1296,Positivação!$G:$G,Faturamento!$H1296)*SUMIFS(Positivação!$Z:$Z,Positivação!$I:$I,Faturamento!$J1296,Positivação!$G:$G,Faturamento!$H1296)</f>
        <v>600</v>
      </c>
      <c r="R1296" s="28">
        <f>SUMIFS(Positivação!P:P,Positivação!$I:$I,Faturamento!$J1296,Positivação!$G:$G,Faturamento!$H1296)*SUMIFS(Positivação!$Z:$Z,Positivação!$I:$I,Faturamento!$J1296,Positivação!$G:$G,Faturamento!$H1296)</f>
        <v>1200</v>
      </c>
      <c r="S1296" s="28">
        <f>SUMIFS(Positivação!Q:Q,Positivação!$I:$I,Faturamento!$J1296,Positivação!$G:$G,Faturamento!$H1296)*SUMIFS(Positivação!$Z:$Z,Positivação!$I:$I,Faturamento!$J1296,Positivação!$G:$G,Faturamento!$H1296)</f>
        <v>1200</v>
      </c>
      <c r="T1296" s="28">
        <f>SUMIFS(Positivação!R:R,Positivação!$I:$I,Faturamento!$J1296,Positivação!$G:$G,Faturamento!$H1296)*SUMIFS(Positivação!$Z:$Z,Positivação!$I:$I,Faturamento!$J1296,Positivação!$G:$G,Faturamento!$H1296)</f>
        <v>1200</v>
      </c>
      <c r="U1296" s="28">
        <f>SUMIFS(Positivação!S:S,Positivação!$I:$I,Faturamento!$J1296,Positivação!$G:$G,Faturamento!$H1296)*SUMIFS(Positivação!$Z:$Z,Positivação!$I:$I,Faturamento!$J1296,Positivação!$G:$G,Faturamento!$H1296)</f>
        <v>1200</v>
      </c>
      <c r="V1296" s="28">
        <f>SUMIFS(Positivação!T:T,Positivação!$I:$I,Faturamento!$J1296,Positivação!$G:$G,Faturamento!$H1296)*SUMIFS(Positivação!$Z:$Z,Positivação!$I:$I,Faturamento!$J1296,Positivação!$G:$G,Faturamento!$H1296)</f>
        <v>1200</v>
      </c>
      <c r="W1296" s="28">
        <f>SUMIFS(Positivação!U:U,Positivação!$I:$I,Faturamento!$J1296,Positivação!$G:$G,Faturamento!$H1296)*SUMIFS(Positivação!$Z:$Z,Positivação!$I:$I,Faturamento!$J1296,Positivação!$G:$G,Faturamento!$H1296)</f>
        <v>1800</v>
      </c>
      <c r="X1296" s="28">
        <f>SUMIFS(Positivação!V:V,Positivação!$I:$I,Faturamento!$J1296,Positivação!$G:$G,Faturamento!$H1296)*SUMIFS(Positivação!$Z:$Z,Positivação!$I:$I,Faturamento!$J1296,Positivação!$G:$G,Faturamento!$H1296)</f>
        <v>1800</v>
      </c>
      <c r="Y1296" s="28">
        <f>SUMIFS(Positivação!W:W,Positivação!$I:$I,Faturamento!$J1296,Positivação!$G:$G,Faturamento!$H1296)*SUMIFS(Positivação!$Z:$Z,Positivação!$I:$I,Faturamento!$J1296,Positivação!$G:$G,Faturamento!$H1296)</f>
        <v>1800</v>
      </c>
      <c r="Z1296" s="28">
        <f t="shared" ref="Z1296" si="310">SUM(Z1297:Z1314)</f>
        <v>13800</v>
      </c>
      <c r="AA1296" s="29"/>
      <c r="AB1296" s="28">
        <f t="shared" ref="AB1296:AE1296" si="311">SUM(AB1297:AB1314)</f>
        <v>0</v>
      </c>
      <c r="AC1296" s="28">
        <f t="shared" si="311"/>
        <v>336.45499999999998</v>
      </c>
      <c r="AD1296" s="28">
        <f t="shared" si="311"/>
        <v>381.59999999999997</v>
      </c>
      <c r="AE1296" s="28">
        <f t="shared" si="311"/>
        <v>403.74599999999998</v>
      </c>
      <c r="AG1296" s="24">
        <f t="shared" si="303"/>
        <v>1</v>
      </c>
      <c r="AH1296" s="24">
        <f t="shared" si="304"/>
        <v>0.81308055555555558</v>
      </c>
      <c r="AI1296" s="24">
        <f t="shared" si="305"/>
        <v>0.78800000000000003</v>
      </c>
    </row>
    <row r="1297" spans="1:35" hidden="1" x14ac:dyDescent="0.3">
      <c r="A1297" s="2" t="str">
        <f t="shared" si="302"/>
        <v>NÃO</v>
      </c>
      <c r="B1297" s="2">
        <v>1000184670</v>
      </c>
      <c r="C1297" s="2" t="s">
        <v>147</v>
      </c>
      <c r="D1297" s="4">
        <v>1000186197</v>
      </c>
      <c r="E1297" s="4" t="s">
        <v>166</v>
      </c>
      <c r="F1297" s="2">
        <v>1000184762</v>
      </c>
      <c r="G1297" s="2" t="s">
        <v>58</v>
      </c>
      <c r="H1297" s="4">
        <v>1000189813</v>
      </c>
      <c r="I1297" s="4" t="s">
        <v>82</v>
      </c>
      <c r="J1297" s="2">
        <v>1000189270</v>
      </c>
      <c r="K1297" s="2" t="s">
        <v>34</v>
      </c>
      <c r="L1297" s="4" t="s">
        <v>13</v>
      </c>
      <c r="M1297" s="4" t="str">
        <f t="shared" si="309"/>
        <v>1000184670100018619710001898131000189270BISCOITO</v>
      </c>
      <c r="N1297" s="28">
        <f>N1296*_xlfn.XLOOKUP($L1297,'Balizador da Meta'!$B$4:$B$21,'Balizador da Meta'!$C$4:$C$21)</f>
        <v>42.000000000000007</v>
      </c>
      <c r="O1297" s="28">
        <f>O1296*_xlfn.XLOOKUP($L1297,'Balizador da Meta'!$B$4:$B$21,'Balizador da Meta'!$C$4:$C$21)</f>
        <v>42.000000000000007</v>
      </c>
      <c r="P1297" s="28">
        <f>P1296*_xlfn.XLOOKUP($L1297,'Balizador da Meta'!$B$4:$B$21,'Balizador da Meta'!$C$4:$C$21)</f>
        <v>42.000000000000007</v>
      </c>
      <c r="Q1297" s="28">
        <f>Q1296*_xlfn.XLOOKUP($L1297,'Balizador da Meta'!$B$4:$B$21,'Balizador da Meta'!$C$4:$C$21)</f>
        <v>42.000000000000007</v>
      </c>
      <c r="R1297" s="28">
        <f>R1296*_xlfn.XLOOKUP($L1297,'Balizador da Meta'!$B$4:$B$21,'Balizador da Meta'!$C$4:$C$21)</f>
        <v>84.000000000000014</v>
      </c>
      <c r="S1297" s="28">
        <f>S1296*_xlfn.XLOOKUP($L1297,'Balizador da Meta'!$B$4:$B$21,'Balizador da Meta'!$C$4:$C$21)</f>
        <v>84.000000000000014</v>
      </c>
      <c r="T1297" s="28">
        <f>T1296*_xlfn.XLOOKUP($L1297,'Balizador da Meta'!$B$4:$B$21,'Balizador da Meta'!$C$4:$C$21)</f>
        <v>84.000000000000014</v>
      </c>
      <c r="U1297" s="28">
        <f>U1296*_xlfn.XLOOKUP($L1297,'Balizador da Meta'!$B$4:$B$21,'Balizador da Meta'!$C$4:$C$21)</f>
        <v>84.000000000000014</v>
      </c>
      <c r="V1297" s="28">
        <f>V1296*_xlfn.XLOOKUP($L1297,'Balizador da Meta'!$B$4:$B$21,'Balizador da Meta'!$C$4:$C$21)</f>
        <v>84.000000000000014</v>
      </c>
      <c r="W1297" s="28">
        <f>W1296*_xlfn.XLOOKUP($L1297,'Balizador da Meta'!$B$4:$B$21,'Balizador da Meta'!$C$4:$C$21)</f>
        <v>126.00000000000001</v>
      </c>
      <c r="X1297" s="28">
        <f>X1296*_xlfn.XLOOKUP($L1297,'Balizador da Meta'!$B$4:$B$21,'Balizador da Meta'!$C$4:$C$21)</f>
        <v>126.00000000000001</v>
      </c>
      <c r="Y1297" s="28">
        <f>Y1296*_xlfn.XLOOKUP($L1297,'Balizador da Meta'!$B$4:$B$21,'Balizador da Meta'!$C$4:$C$21)</f>
        <v>126.00000000000001</v>
      </c>
      <c r="Z1297" s="30">
        <f t="shared" ref="Z1297:Z1314" si="312">SUM(N1297:Y1297)</f>
        <v>966.00000000000011</v>
      </c>
      <c r="AA1297" s="29"/>
      <c r="AB1297" s="31">
        <f>SUMIFS('Historico - FAT'!AK:AK,'Historico - FAT'!$K:$K,Faturamento!$L1297,'Historico - FAT'!$I:$I,Faturamento!$J1297,'Historico - FAT'!$G:$G,Faturamento!$H1297)</f>
        <v>0</v>
      </c>
      <c r="AC1297" s="31">
        <f>SUMIFS('Historico - FAT'!AL:AL,'Historico - FAT'!$K:$K,Faturamento!$L1297,'Historico - FAT'!$I:$I,Faturamento!$J1297,'Historico - FAT'!$G:$G,Faturamento!$H1297)</f>
        <v>0</v>
      </c>
      <c r="AD1297" s="31">
        <f>SUMIFS('Historico - FAT'!AM:AM,'Historico - FAT'!$K:$K,Faturamento!$L1297,'Historico - FAT'!$I:$I,Faturamento!$J1297,'Historico - FAT'!$G:$G,Faturamento!$H1297)</f>
        <v>0</v>
      </c>
      <c r="AE1297" s="27">
        <f>SUMIFS('Historico - FAT'!AN:AN,'Historico - FAT'!$K:$K,Faturamento!$L1297,'Historico - FAT'!$I:$I,Faturamento!$J1297,'Historico - FAT'!$G:$G,Faturamento!$H1297)</f>
        <v>0</v>
      </c>
      <c r="AG1297" s="24">
        <f t="shared" si="303"/>
        <v>1</v>
      </c>
      <c r="AH1297" s="24">
        <f t="shared" si="304"/>
        <v>1</v>
      </c>
      <c r="AI1297" s="24">
        <f t="shared" si="305"/>
        <v>1</v>
      </c>
    </row>
    <row r="1298" spans="1:35" hidden="1" x14ac:dyDescent="0.3">
      <c r="A1298" s="2" t="str">
        <f t="shared" si="302"/>
        <v>NÃO</v>
      </c>
      <c r="B1298" s="2">
        <v>1000184670</v>
      </c>
      <c r="C1298" s="2" t="s">
        <v>147</v>
      </c>
      <c r="D1298" s="4">
        <v>1000186197</v>
      </c>
      <c r="E1298" s="4" t="s">
        <v>166</v>
      </c>
      <c r="F1298" s="2">
        <v>1000184762</v>
      </c>
      <c r="G1298" s="2" t="s">
        <v>58</v>
      </c>
      <c r="H1298" s="4">
        <v>1000189813</v>
      </c>
      <c r="I1298" s="4" t="s">
        <v>82</v>
      </c>
      <c r="J1298" s="2">
        <v>1000189270</v>
      </c>
      <c r="K1298" s="2" t="s">
        <v>34</v>
      </c>
      <c r="L1298" s="4" t="s">
        <v>14</v>
      </c>
      <c r="M1298" s="4" t="str">
        <f t="shared" si="309"/>
        <v>1000184670100018619710001898131000189270CHOCOLATES</v>
      </c>
      <c r="N1298" s="28">
        <f>N1296*_xlfn.XLOOKUP($L1298,'Balizador da Meta'!$B$4:$B$21,'Balizador da Meta'!$C$4:$C$21)</f>
        <v>42.000000000000007</v>
      </c>
      <c r="O1298" s="28">
        <f>O1296*_xlfn.XLOOKUP($L1298,'Balizador da Meta'!$B$4:$B$21,'Balizador da Meta'!$C$4:$C$21)</f>
        <v>42.000000000000007</v>
      </c>
      <c r="P1298" s="28">
        <f>P1296*_xlfn.XLOOKUP($L1298,'Balizador da Meta'!$B$4:$B$21,'Balizador da Meta'!$C$4:$C$21)</f>
        <v>42.000000000000007</v>
      </c>
      <c r="Q1298" s="28">
        <f>Q1296*_xlfn.XLOOKUP($L1298,'Balizador da Meta'!$B$4:$B$21,'Balizador da Meta'!$C$4:$C$21)</f>
        <v>42.000000000000007</v>
      </c>
      <c r="R1298" s="28">
        <f>R1296*_xlfn.XLOOKUP($L1298,'Balizador da Meta'!$B$4:$B$21,'Balizador da Meta'!$C$4:$C$21)</f>
        <v>84.000000000000014</v>
      </c>
      <c r="S1298" s="28">
        <f>S1296*_xlfn.XLOOKUP($L1298,'Balizador da Meta'!$B$4:$B$21,'Balizador da Meta'!$C$4:$C$21)</f>
        <v>84.000000000000014</v>
      </c>
      <c r="T1298" s="28">
        <f>T1296*_xlfn.XLOOKUP($L1298,'Balizador da Meta'!$B$4:$B$21,'Balizador da Meta'!$C$4:$C$21)</f>
        <v>84.000000000000014</v>
      </c>
      <c r="U1298" s="28">
        <f>U1296*_xlfn.XLOOKUP($L1298,'Balizador da Meta'!$B$4:$B$21,'Balizador da Meta'!$C$4:$C$21)</f>
        <v>84.000000000000014</v>
      </c>
      <c r="V1298" s="28">
        <f>V1296*_xlfn.XLOOKUP($L1298,'Balizador da Meta'!$B$4:$B$21,'Balizador da Meta'!$C$4:$C$21)</f>
        <v>84.000000000000014</v>
      </c>
      <c r="W1298" s="28">
        <f>W1296*_xlfn.XLOOKUP($L1298,'Balizador da Meta'!$B$4:$B$21,'Balizador da Meta'!$C$4:$C$21)</f>
        <v>126.00000000000001</v>
      </c>
      <c r="X1298" s="28">
        <f>X1296*_xlfn.XLOOKUP($L1298,'Balizador da Meta'!$B$4:$B$21,'Balizador da Meta'!$C$4:$C$21)</f>
        <v>126.00000000000001</v>
      </c>
      <c r="Y1298" s="28">
        <f>Y1296*_xlfn.XLOOKUP($L1298,'Balizador da Meta'!$B$4:$B$21,'Balizador da Meta'!$C$4:$C$21)</f>
        <v>126.00000000000001</v>
      </c>
      <c r="Z1298" s="30">
        <f t="shared" si="312"/>
        <v>966.00000000000011</v>
      </c>
      <c r="AA1298" s="29"/>
      <c r="AB1298" s="31">
        <f>SUMIFS('Historico - FAT'!AK:AK,'Historico - FAT'!$K:$K,Faturamento!$L1298,'Historico - FAT'!$I:$I,Faturamento!$J1298,'Historico - FAT'!$G:$G,Faturamento!$H1298)</f>
        <v>0</v>
      </c>
      <c r="AC1298" s="31">
        <f>SUMIFS('Historico - FAT'!AL:AL,'Historico - FAT'!$K:$K,Faturamento!$L1298,'Historico - FAT'!$I:$I,Faturamento!$J1298,'Historico - FAT'!$G:$G,Faturamento!$H1298)</f>
        <v>0</v>
      </c>
      <c r="AD1298" s="31">
        <f>SUMIFS('Historico - FAT'!AM:AM,'Historico - FAT'!$K:$K,Faturamento!$L1298,'Historico - FAT'!$I:$I,Faturamento!$J1298,'Historico - FAT'!$G:$G,Faturamento!$H1298)</f>
        <v>0</v>
      </c>
      <c r="AE1298" s="27">
        <f>SUMIFS('Historico - FAT'!AN:AN,'Historico - FAT'!$K:$K,Faturamento!$L1298,'Historico - FAT'!$I:$I,Faturamento!$J1298,'Historico - FAT'!$G:$G,Faturamento!$H1298)</f>
        <v>0</v>
      </c>
      <c r="AG1298" s="24">
        <f t="shared" si="303"/>
        <v>1</v>
      </c>
      <c r="AH1298" s="24">
        <f t="shared" si="304"/>
        <v>1</v>
      </c>
      <c r="AI1298" s="24">
        <f t="shared" si="305"/>
        <v>1</v>
      </c>
    </row>
    <row r="1299" spans="1:35" hidden="1" x14ac:dyDescent="0.3">
      <c r="A1299" s="2" t="str">
        <f t="shared" si="302"/>
        <v>NÃO</v>
      </c>
      <c r="B1299" s="2">
        <v>1000184670</v>
      </c>
      <c r="C1299" s="2" t="s">
        <v>147</v>
      </c>
      <c r="D1299" s="4">
        <v>1000186197</v>
      </c>
      <c r="E1299" s="4" t="s">
        <v>166</v>
      </c>
      <c r="F1299" s="2">
        <v>1000184762</v>
      </c>
      <c r="G1299" s="2" t="s">
        <v>58</v>
      </c>
      <c r="H1299" s="4">
        <v>1000189813</v>
      </c>
      <c r="I1299" s="4" t="s">
        <v>82</v>
      </c>
      <c r="J1299" s="2">
        <v>1000189270</v>
      </c>
      <c r="K1299" s="2" t="s">
        <v>34</v>
      </c>
      <c r="L1299" s="4" t="s">
        <v>16</v>
      </c>
      <c r="M1299" s="4" t="str">
        <f t="shared" si="309"/>
        <v>1000184670100018619710001898131000189270DISNEY</v>
      </c>
      <c r="N1299" s="28">
        <f>N1296*_xlfn.XLOOKUP($L1299,'Balizador da Meta'!$B$4:$B$21,'Balizador da Meta'!$C$4:$C$21)</f>
        <v>48</v>
      </c>
      <c r="O1299" s="28">
        <f>O1296*_xlfn.XLOOKUP($L1299,'Balizador da Meta'!$B$4:$B$21,'Balizador da Meta'!$C$4:$C$21)</f>
        <v>48</v>
      </c>
      <c r="P1299" s="28">
        <f>P1296*_xlfn.XLOOKUP($L1299,'Balizador da Meta'!$B$4:$B$21,'Balizador da Meta'!$C$4:$C$21)</f>
        <v>48</v>
      </c>
      <c r="Q1299" s="28">
        <f>Q1296*_xlfn.XLOOKUP($L1299,'Balizador da Meta'!$B$4:$B$21,'Balizador da Meta'!$C$4:$C$21)</f>
        <v>48</v>
      </c>
      <c r="R1299" s="28">
        <f>R1296*_xlfn.XLOOKUP($L1299,'Balizador da Meta'!$B$4:$B$21,'Balizador da Meta'!$C$4:$C$21)</f>
        <v>96</v>
      </c>
      <c r="S1299" s="28">
        <f>S1296*_xlfn.XLOOKUP($L1299,'Balizador da Meta'!$B$4:$B$21,'Balizador da Meta'!$C$4:$C$21)</f>
        <v>96</v>
      </c>
      <c r="T1299" s="28">
        <f>T1296*_xlfn.XLOOKUP($L1299,'Balizador da Meta'!$B$4:$B$21,'Balizador da Meta'!$C$4:$C$21)</f>
        <v>96</v>
      </c>
      <c r="U1299" s="28">
        <f>U1296*_xlfn.XLOOKUP($L1299,'Balizador da Meta'!$B$4:$B$21,'Balizador da Meta'!$C$4:$C$21)</f>
        <v>96</v>
      </c>
      <c r="V1299" s="28">
        <f>V1296*_xlfn.XLOOKUP($L1299,'Balizador da Meta'!$B$4:$B$21,'Balizador da Meta'!$C$4:$C$21)</f>
        <v>96</v>
      </c>
      <c r="W1299" s="28">
        <f>W1296*_xlfn.XLOOKUP($L1299,'Balizador da Meta'!$B$4:$B$21,'Balizador da Meta'!$C$4:$C$21)</f>
        <v>144</v>
      </c>
      <c r="X1299" s="28">
        <f>X1296*_xlfn.XLOOKUP($L1299,'Balizador da Meta'!$B$4:$B$21,'Balizador da Meta'!$C$4:$C$21)</f>
        <v>144</v>
      </c>
      <c r="Y1299" s="28">
        <f>Y1296*_xlfn.XLOOKUP($L1299,'Balizador da Meta'!$B$4:$B$21,'Balizador da Meta'!$C$4:$C$21)</f>
        <v>144</v>
      </c>
      <c r="Z1299" s="30">
        <f t="shared" si="312"/>
        <v>1104</v>
      </c>
      <c r="AA1299" s="29"/>
      <c r="AB1299" s="31">
        <f>SUMIFS('Historico - FAT'!AK:AK,'Historico - FAT'!$K:$K,Faturamento!$L1299,'Historico - FAT'!$I:$I,Faturamento!$J1299,'Historico - FAT'!$G:$G,Faturamento!$H1299)</f>
        <v>0</v>
      </c>
      <c r="AC1299" s="31">
        <f>SUMIFS('Historico - FAT'!AL:AL,'Historico - FAT'!$K:$K,Faturamento!$L1299,'Historico - FAT'!$I:$I,Faturamento!$J1299,'Historico - FAT'!$G:$G,Faturamento!$H1299)</f>
        <v>0</v>
      </c>
      <c r="AD1299" s="31">
        <f>SUMIFS('Historico - FAT'!AM:AM,'Historico - FAT'!$K:$K,Faturamento!$L1299,'Historico - FAT'!$I:$I,Faturamento!$J1299,'Historico - FAT'!$G:$G,Faturamento!$H1299)</f>
        <v>0</v>
      </c>
      <c r="AE1299" s="27">
        <f>SUMIFS('Historico - FAT'!AN:AN,'Historico - FAT'!$K:$K,Faturamento!$L1299,'Historico - FAT'!$I:$I,Faturamento!$J1299,'Historico - FAT'!$G:$G,Faturamento!$H1299)</f>
        <v>0</v>
      </c>
      <c r="AG1299" s="24">
        <f t="shared" si="303"/>
        <v>1</v>
      </c>
      <c r="AH1299" s="24">
        <f t="shared" si="304"/>
        <v>1</v>
      </c>
      <c r="AI1299" s="24">
        <f t="shared" si="305"/>
        <v>1</v>
      </c>
    </row>
    <row r="1300" spans="1:35" hidden="1" x14ac:dyDescent="0.3">
      <c r="A1300" s="2" t="str">
        <f t="shared" si="302"/>
        <v>NÃO</v>
      </c>
      <c r="B1300" s="2">
        <v>1000184670</v>
      </c>
      <c r="C1300" s="2" t="s">
        <v>147</v>
      </c>
      <c r="D1300" s="4">
        <v>1000186197</v>
      </c>
      <c r="E1300" s="4" t="s">
        <v>166</v>
      </c>
      <c r="F1300" s="2">
        <v>1000184762</v>
      </c>
      <c r="G1300" s="2" t="s">
        <v>58</v>
      </c>
      <c r="H1300" s="4">
        <v>1000189813</v>
      </c>
      <c r="I1300" s="4" t="s">
        <v>82</v>
      </c>
      <c r="J1300" s="2">
        <v>1000189270</v>
      </c>
      <c r="K1300" s="2" t="s">
        <v>34</v>
      </c>
      <c r="L1300" s="4" t="s">
        <v>15</v>
      </c>
      <c r="M1300" s="4" t="str">
        <f t="shared" si="309"/>
        <v>1000184670100018619710001898131000189270DOCES</v>
      </c>
      <c r="N1300" s="28">
        <f>N1296*_xlfn.XLOOKUP($L1300,'Balizador da Meta'!$B$4:$B$21,'Balizador da Meta'!$C$4:$C$21)</f>
        <v>54</v>
      </c>
      <c r="O1300" s="28">
        <f>O1296*_xlfn.XLOOKUP($L1300,'Balizador da Meta'!$B$4:$B$21,'Balizador da Meta'!$C$4:$C$21)</f>
        <v>54</v>
      </c>
      <c r="P1300" s="28">
        <f>P1296*_xlfn.XLOOKUP($L1300,'Balizador da Meta'!$B$4:$B$21,'Balizador da Meta'!$C$4:$C$21)</f>
        <v>54</v>
      </c>
      <c r="Q1300" s="28">
        <f>Q1296*_xlfn.XLOOKUP($L1300,'Balizador da Meta'!$B$4:$B$21,'Balizador da Meta'!$C$4:$C$21)</f>
        <v>54</v>
      </c>
      <c r="R1300" s="28">
        <f>R1296*_xlfn.XLOOKUP($L1300,'Balizador da Meta'!$B$4:$B$21,'Balizador da Meta'!$C$4:$C$21)</f>
        <v>108</v>
      </c>
      <c r="S1300" s="28">
        <f>S1296*_xlfn.XLOOKUP($L1300,'Balizador da Meta'!$B$4:$B$21,'Balizador da Meta'!$C$4:$C$21)</f>
        <v>108</v>
      </c>
      <c r="T1300" s="28">
        <f>T1296*_xlfn.XLOOKUP($L1300,'Balizador da Meta'!$B$4:$B$21,'Balizador da Meta'!$C$4:$C$21)</f>
        <v>108</v>
      </c>
      <c r="U1300" s="28">
        <f>U1296*_xlfn.XLOOKUP($L1300,'Balizador da Meta'!$B$4:$B$21,'Balizador da Meta'!$C$4:$C$21)</f>
        <v>108</v>
      </c>
      <c r="V1300" s="28">
        <f>V1296*_xlfn.XLOOKUP($L1300,'Balizador da Meta'!$B$4:$B$21,'Balizador da Meta'!$C$4:$C$21)</f>
        <v>108</v>
      </c>
      <c r="W1300" s="28">
        <f>W1296*_xlfn.XLOOKUP($L1300,'Balizador da Meta'!$B$4:$B$21,'Balizador da Meta'!$C$4:$C$21)</f>
        <v>162</v>
      </c>
      <c r="X1300" s="28">
        <f>X1296*_xlfn.XLOOKUP($L1300,'Balizador da Meta'!$B$4:$B$21,'Balizador da Meta'!$C$4:$C$21)</f>
        <v>162</v>
      </c>
      <c r="Y1300" s="28">
        <f>Y1296*_xlfn.XLOOKUP($L1300,'Balizador da Meta'!$B$4:$B$21,'Balizador da Meta'!$C$4:$C$21)</f>
        <v>162</v>
      </c>
      <c r="Z1300" s="30">
        <f t="shared" si="312"/>
        <v>1242</v>
      </c>
      <c r="AA1300" s="29"/>
      <c r="AB1300" s="31">
        <f>SUMIFS('Historico - FAT'!AK:AK,'Historico - FAT'!$K:$K,Faturamento!$L1300,'Historico - FAT'!$I:$I,Faturamento!$J1300,'Historico - FAT'!$G:$G,Faturamento!$H1300)</f>
        <v>0</v>
      </c>
      <c r="AC1300" s="31">
        <f>SUMIFS('Historico - FAT'!AL:AL,'Historico - FAT'!$K:$K,Faturamento!$L1300,'Historico - FAT'!$I:$I,Faturamento!$J1300,'Historico - FAT'!$G:$G,Faturamento!$H1300)</f>
        <v>0</v>
      </c>
      <c r="AD1300" s="31">
        <f>SUMIFS('Historico - FAT'!AM:AM,'Historico - FAT'!$K:$K,Faturamento!$L1300,'Historico - FAT'!$I:$I,Faturamento!$J1300,'Historico - FAT'!$G:$G,Faturamento!$H1300)</f>
        <v>0</v>
      </c>
      <c r="AE1300" s="27">
        <f>SUMIFS('Historico - FAT'!AN:AN,'Historico - FAT'!$K:$K,Faturamento!$L1300,'Historico - FAT'!$I:$I,Faturamento!$J1300,'Historico - FAT'!$G:$G,Faturamento!$H1300)</f>
        <v>0</v>
      </c>
      <c r="AG1300" s="24">
        <f t="shared" si="303"/>
        <v>1</v>
      </c>
      <c r="AH1300" s="24">
        <f t="shared" si="304"/>
        <v>1</v>
      </c>
      <c r="AI1300" s="24">
        <f t="shared" si="305"/>
        <v>1</v>
      </c>
    </row>
    <row r="1301" spans="1:35" hidden="1" x14ac:dyDescent="0.3">
      <c r="A1301" s="2" t="str">
        <f t="shared" si="302"/>
        <v>NÃO</v>
      </c>
      <c r="B1301" s="2">
        <v>1000184670</v>
      </c>
      <c r="C1301" s="2" t="s">
        <v>147</v>
      </c>
      <c r="D1301" s="4">
        <v>1000186197</v>
      </c>
      <c r="E1301" s="4" t="s">
        <v>166</v>
      </c>
      <c r="F1301" s="2">
        <v>1000184762</v>
      </c>
      <c r="G1301" s="2" t="s">
        <v>58</v>
      </c>
      <c r="H1301" s="4">
        <v>1000189813</v>
      </c>
      <c r="I1301" s="4" t="s">
        <v>82</v>
      </c>
      <c r="J1301" s="2">
        <v>1000189270</v>
      </c>
      <c r="K1301" s="2" t="s">
        <v>34</v>
      </c>
      <c r="L1301" s="4" t="s">
        <v>33</v>
      </c>
      <c r="M1301" s="4" t="str">
        <f t="shared" si="309"/>
        <v>1000184670100018619710001898131000189270FOOD SERVICE</v>
      </c>
      <c r="N1301" s="28">
        <f>N1296*_xlfn.XLOOKUP($L1301,'Balizador da Meta'!$B$4:$B$21,'Balizador da Meta'!$C$4:$C$21)</f>
        <v>0</v>
      </c>
      <c r="O1301" s="28">
        <f>O1296*_xlfn.XLOOKUP($L1301,'Balizador da Meta'!$B$4:$B$21,'Balizador da Meta'!$C$4:$C$21)</f>
        <v>0</v>
      </c>
      <c r="P1301" s="28">
        <f>P1296*_xlfn.XLOOKUP($L1301,'Balizador da Meta'!$B$4:$B$21,'Balizador da Meta'!$C$4:$C$21)</f>
        <v>0</v>
      </c>
      <c r="Q1301" s="28">
        <f>Q1296*_xlfn.XLOOKUP($L1301,'Balizador da Meta'!$B$4:$B$21,'Balizador da Meta'!$C$4:$C$21)</f>
        <v>0</v>
      </c>
      <c r="R1301" s="28">
        <f>R1296*_xlfn.XLOOKUP($L1301,'Balizador da Meta'!$B$4:$B$21,'Balizador da Meta'!$C$4:$C$21)</f>
        <v>0</v>
      </c>
      <c r="S1301" s="28">
        <f>S1296*_xlfn.XLOOKUP($L1301,'Balizador da Meta'!$B$4:$B$21,'Balizador da Meta'!$C$4:$C$21)</f>
        <v>0</v>
      </c>
      <c r="T1301" s="28">
        <f>T1296*_xlfn.XLOOKUP($L1301,'Balizador da Meta'!$B$4:$B$21,'Balizador da Meta'!$C$4:$C$21)</f>
        <v>0</v>
      </c>
      <c r="U1301" s="28">
        <f>U1296*_xlfn.XLOOKUP($L1301,'Balizador da Meta'!$B$4:$B$21,'Balizador da Meta'!$C$4:$C$21)</f>
        <v>0</v>
      </c>
      <c r="V1301" s="28">
        <f>V1296*_xlfn.XLOOKUP($L1301,'Balizador da Meta'!$B$4:$B$21,'Balizador da Meta'!$C$4:$C$21)</f>
        <v>0</v>
      </c>
      <c r="W1301" s="28">
        <f>W1296*_xlfn.XLOOKUP($L1301,'Balizador da Meta'!$B$4:$B$21,'Balizador da Meta'!$C$4:$C$21)</f>
        <v>0</v>
      </c>
      <c r="X1301" s="28">
        <f>X1296*_xlfn.XLOOKUP($L1301,'Balizador da Meta'!$B$4:$B$21,'Balizador da Meta'!$C$4:$C$21)</f>
        <v>0</v>
      </c>
      <c r="Y1301" s="28">
        <f>Y1296*_xlfn.XLOOKUP($L1301,'Balizador da Meta'!$B$4:$B$21,'Balizador da Meta'!$C$4:$C$21)</f>
        <v>0</v>
      </c>
      <c r="Z1301" s="30">
        <f t="shared" si="312"/>
        <v>0</v>
      </c>
      <c r="AA1301" s="29"/>
      <c r="AB1301" s="31">
        <f>SUMIFS('Historico - FAT'!AK:AK,'Historico - FAT'!$K:$K,Faturamento!$L1301,'Historico - FAT'!$I:$I,Faturamento!$J1301,'Historico - FAT'!$G:$G,Faturamento!$H1301)</f>
        <v>0</v>
      </c>
      <c r="AC1301" s="31">
        <f>SUMIFS('Historico - FAT'!AL:AL,'Historico - FAT'!$K:$K,Faturamento!$L1301,'Historico - FAT'!$I:$I,Faturamento!$J1301,'Historico - FAT'!$G:$G,Faturamento!$H1301)</f>
        <v>0</v>
      </c>
      <c r="AD1301" s="31">
        <f>SUMIFS('Historico - FAT'!AM:AM,'Historico - FAT'!$K:$K,Faturamento!$L1301,'Historico - FAT'!$I:$I,Faturamento!$J1301,'Historico - FAT'!$G:$G,Faturamento!$H1301)</f>
        <v>0</v>
      </c>
      <c r="AE1301" s="27">
        <f>SUMIFS('Historico - FAT'!AN:AN,'Historico - FAT'!$K:$K,Faturamento!$L1301,'Historico - FAT'!$I:$I,Faturamento!$J1301,'Historico - FAT'!$G:$G,Faturamento!$H1301)</f>
        <v>0</v>
      </c>
      <c r="AG1301" s="24" t="str">
        <f t="shared" si="303"/>
        <v/>
      </c>
      <c r="AH1301" s="24" t="str">
        <f t="shared" si="304"/>
        <v/>
      </c>
      <c r="AI1301" s="24" t="str">
        <f t="shared" si="305"/>
        <v/>
      </c>
    </row>
    <row r="1302" spans="1:35" hidden="1" x14ac:dyDescent="0.3">
      <c r="A1302" s="2" t="str">
        <f t="shared" si="302"/>
        <v>NÃO</v>
      </c>
      <c r="B1302" s="2">
        <v>1000184670</v>
      </c>
      <c r="C1302" s="2" t="s">
        <v>147</v>
      </c>
      <c r="D1302" s="4">
        <v>1000186197</v>
      </c>
      <c r="E1302" s="4" t="s">
        <v>166</v>
      </c>
      <c r="F1302" s="2">
        <v>1000184762</v>
      </c>
      <c r="G1302" s="2" t="s">
        <v>58</v>
      </c>
      <c r="H1302" s="4">
        <v>1000189813</v>
      </c>
      <c r="I1302" s="4" t="s">
        <v>82</v>
      </c>
      <c r="J1302" s="2">
        <v>1000189270</v>
      </c>
      <c r="K1302" s="2" t="s">
        <v>34</v>
      </c>
      <c r="L1302" s="4" t="s">
        <v>19</v>
      </c>
      <c r="M1302" s="4" t="str">
        <f t="shared" si="309"/>
        <v>1000184670100018619710001898131000189270GELEIA</v>
      </c>
      <c r="N1302" s="28">
        <f>N1296*_xlfn.XLOOKUP($L1302,'Balizador da Meta'!$B$4:$B$21,'Balizador da Meta'!$C$4:$C$21)</f>
        <v>11.999999999999998</v>
      </c>
      <c r="O1302" s="28">
        <f>O1296*_xlfn.XLOOKUP($L1302,'Balizador da Meta'!$B$4:$B$21,'Balizador da Meta'!$C$4:$C$21)</f>
        <v>11.999999999999998</v>
      </c>
      <c r="P1302" s="28">
        <f>P1296*_xlfn.XLOOKUP($L1302,'Balizador da Meta'!$B$4:$B$21,'Balizador da Meta'!$C$4:$C$21)</f>
        <v>11.999999999999998</v>
      </c>
      <c r="Q1302" s="28">
        <f>Q1296*_xlfn.XLOOKUP($L1302,'Balizador da Meta'!$B$4:$B$21,'Balizador da Meta'!$C$4:$C$21)</f>
        <v>11.999999999999998</v>
      </c>
      <c r="R1302" s="28">
        <f>R1296*_xlfn.XLOOKUP($L1302,'Balizador da Meta'!$B$4:$B$21,'Balizador da Meta'!$C$4:$C$21)</f>
        <v>23.999999999999996</v>
      </c>
      <c r="S1302" s="28">
        <f>S1296*_xlfn.XLOOKUP($L1302,'Balizador da Meta'!$B$4:$B$21,'Balizador da Meta'!$C$4:$C$21)</f>
        <v>23.999999999999996</v>
      </c>
      <c r="T1302" s="28">
        <f>T1296*_xlfn.XLOOKUP($L1302,'Balizador da Meta'!$B$4:$B$21,'Balizador da Meta'!$C$4:$C$21)</f>
        <v>23.999999999999996</v>
      </c>
      <c r="U1302" s="28">
        <f>U1296*_xlfn.XLOOKUP($L1302,'Balizador da Meta'!$B$4:$B$21,'Balizador da Meta'!$C$4:$C$21)</f>
        <v>23.999999999999996</v>
      </c>
      <c r="V1302" s="28">
        <f>V1296*_xlfn.XLOOKUP($L1302,'Balizador da Meta'!$B$4:$B$21,'Balizador da Meta'!$C$4:$C$21)</f>
        <v>23.999999999999996</v>
      </c>
      <c r="W1302" s="28">
        <f>W1296*_xlfn.XLOOKUP($L1302,'Balizador da Meta'!$B$4:$B$21,'Balizador da Meta'!$C$4:$C$21)</f>
        <v>35.999999999999993</v>
      </c>
      <c r="X1302" s="28">
        <f>X1296*_xlfn.XLOOKUP($L1302,'Balizador da Meta'!$B$4:$B$21,'Balizador da Meta'!$C$4:$C$21)</f>
        <v>35.999999999999993</v>
      </c>
      <c r="Y1302" s="28">
        <f>Y1296*_xlfn.XLOOKUP($L1302,'Balizador da Meta'!$B$4:$B$21,'Balizador da Meta'!$C$4:$C$21)</f>
        <v>35.999999999999993</v>
      </c>
      <c r="Z1302" s="30">
        <f t="shared" si="312"/>
        <v>275.99999999999994</v>
      </c>
      <c r="AA1302" s="29"/>
      <c r="AB1302" s="31">
        <f>SUMIFS('Historico - FAT'!AK:AK,'Historico - FAT'!$K:$K,Faturamento!$L1302,'Historico - FAT'!$I:$I,Faturamento!$J1302,'Historico - FAT'!$G:$G,Faturamento!$H1302)</f>
        <v>0</v>
      </c>
      <c r="AC1302" s="31">
        <f>SUMIFS('Historico - FAT'!AL:AL,'Historico - FAT'!$K:$K,Faturamento!$L1302,'Historico - FAT'!$I:$I,Faturamento!$J1302,'Historico - FAT'!$G:$G,Faturamento!$H1302)</f>
        <v>24</v>
      </c>
      <c r="AD1302" s="31">
        <f>SUMIFS('Historico - FAT'!AM:AM,'Historico - FAT'!$K:$K,Faturamento!$L1302,'Historico - FAT'!$I:$I,Faturamento!$J1302,'Historico - FAT'!$G:$G,Faturamento!$H1302)</f>
        <v>0</v>
      </c>
      <c r="AE1302" s="27">
        <f>SUMIFS('Historico - FAT'!AN:AN,'Historico - FAT'!$K:$K,Faturamento!$L1302,'Historico - FAT'!$I:$I,Faturamento!$J1302,'Historico - FAT'!$G:$G,Faturamento!$H1302)</f>
        <v>28.8</v>
      </c>
      <c r="AG1302" s="24">
        <f t="shared" si="303"/>
        <v>1</v>
      </c>
      <c r="AH1302" s="24">
        <f t="shared" si="304"/>
        <v>0.3333333333333332</v>
      </c>
      <c r="AI1302" s="24">
        <f t="shared" si="305"/>
        <v>1</v>
      </c>
    </row>
    <row r="1303" spans="1:35" hidden="1" x14ac:dyDescent="0.3">
      <c r="A1303" s="2" t="str">
        <f t="shared" si="302"/>
        <v>NÃO</v>
      </c>
      <c r="B1303" s="2">
        <v>1000184670</v>
      </c>
      <c r="C1303" s="2" t="s">
        <v>147</v>
      </c>
      <c r="D1303" s="4">
        <v>1000186197</v>
      </c>
      <c r="E1303" s="4" t="s">
        <v>166</v>
      </c>
      <c r="F1303" s="2">
        <v>1000184762</v>
      </c>
      <c r="G1303" s="2" t="s">
        <v>58</v>
      </c>
      <c r="H1303" s="4">
        <v>1000189813</v>
      </c>
      <c r="I1303" s="4" t="s">
        <v>82</v>
      </c>
      <c r="J1303" s="2">
        <v>1000189270</v>
      </c>
      <c r="K1303" s="2" t="s">
        <v>34</v>
      </c>
      <c r="L1303" s="4" t="s">
        <v>17</v>
      </c>
      <c r="M1303" s="4" t="str">
        <f t="shared" si="309"/>
        <v>1000184670100018619710001898131000189270GRANOLA</v>
      </c>
      <c r="N1303" s="28">
        <f>N1296*_xlfn.XLOOKUP($L1303,'Balizador da Meta'!$B$4:$B$21,'Balizador da Meta'!$C$4:$C$21)</f>
        <v>12</v>
      </c>
      <c r="O1303" s="28">
        <f>O1296*_xlfn.XLOOKUP($L1303,'Balizador da Meta'!$B$4:$B$21,'Balizador da Meta'!$C$4:$C$21)</f>
        <v>12</v>
      </c>
      <c r="P1303" s="28">
        <f>P1296*_xlfn.XLOOKUP($L1303,'Balizador da Meta'!$B$4:$B$21,'Balizador da Meta'!$C$4:$C$21)</f>
        <v>12</v>
      </c>
      <c r="Q1303" s="28">
        <f>Q1296*_xlfn.XLOOKUP($L1303,'Balizador da Meta'!$B$4:$B$21,'Balizador da Meta'!$C$4:$C$21)</f>
        <v>12</v>
      </c>
      <c r="R1303" s="28">
        <f>R1296*_xlfn.XLOOKUP($L1303,'Balizador da Meta'!$B$4:$B$21,'Balizador da Meta'!$C$4:$C$21)</f>
        <v>24</v>
      </c>
      <c r="S1303" s="28">
        <f>S1296*_xlfn.XLOOKUP($L1303,'Balizador da Meta'!$B$4:$B$21,'Balizador da Meta'!$C$4:$C$21)</f>
        <v>24</v>
      </c>
      <c r="T1303" s="28">
        <f>T1296*_xlfn.XLOOKUP($L1303,'Balizador da Meta'!$B$4:$B$21,'Balizador da Meta'!$C$4:$C$21)</f>
        <v>24</v>
      </c>
      <c r="U1303" s="28">
        <f>U1296*_xlfn.XLOOKUP($L1303,'Balizador da Meta'!$B$4:$B$21,'Balizador da Meta'!$C$4:$C$21)</f>
        <v>24</v>
      </c>
      <c r="V1303" s="28">
        <f>V1296*_xlfn.XLOOKUP($L1303,'Balizador da Meta'!$B$4:$B$21,'Balizador da Meta'!$C$4:$C$21)</f>
        <v>24</v>
      </c>
      <c r="W1303" s="28">
        <f>W1296*_xlfn.XLOOKUP($L1303,'Balizador da Meta'!$B$4:$B$21,'Balizador da Meta'!$C$4:$C$21)</f>
        <v>36</v>
      </c>
      <c r="X1303" s="28">
        <f>X1296*_xlfn.XLOOKUP($L1303,'Balizador da Meta'!$B$4:$B$21,'Balizador da Meta'!$C$4:$C$21)</f>
        <v>36</v>
      </c>
      <c r="Y1303" s="28">
        <f>Y1296*_xlfn.XLOOKUP($L1303,'Balizador da Meta'!$B$4:$B$21,'Balizador da Meta'!$C$4:$C$21)</f>
        <v>36</v>
      </c>
      <c r="Z1303" s="30">
        <f t="shared" si="312"/>
        <v>276</v>
      </c>
      <c r="AA1303" s="29"/>
      <c r="AB1303" s="31">
        <f>SUMIFS('Historico - FAT'!AK:AK,'Historico - FAT'!$K:$K,Faturamento!$L1303,'Historico - FAT'!$I:$I,Faturamento!$J1303,'Historico - FAT'!$G:$G,Faturamento!$H1303)</f>
        <v>0</v>
      </c>
      <c r="AC1303" s="31">
        <f>SUMIFS('Historico - FAT'!AL:AL,'Historico - FAT'!$K:$K,Faturamento!$L1303,'Historico - FAT'!$I:$I,Faturamento!$J1303,'Historico - FAT'!$G:$G,Faturamento!$H1303)</f>
        <v>0</v>
      </c>
      <c r="AD1303" s="31">
        <f>SUMIFS('Historico - FAT'!AM:AM,'Historico - FAT'!$K:$K,Faturamento!$L1303,'Historico - FAT'!$I:$I,Faturamento!$J1303,'Historico - FAT'!$G:$G,Faturamento!$H1303)</f>
        <v>0</v>
      </c>
      <c r="AE1303" s="27">
        <f>SUMIFS('Historico - FAT'!AN:AN,'Historico - FAT'!$K:$K,Faturamento!$L1303,'Historico - FAT'!$I:$I,Faturamento!$J1303,'Historico - FAT'!$G:$G,Faturamento!$H1303)</f>
        <v>0</v>
      </c>
      <c r="AG1303" s="24">
        <f t="shared" si="303"/>
        <v>1</v>
      </c>
      <c r="AH1303" s="24">
        <f t="shared" si="304"/>
        <v>1</v>
      </c>
      <c r="AI1303" s="24">
        <f t="shared" si="305"/>
        <v>1</v>
      </c>
    </row>
    <row r="1304" spans="1:35" hidden="1" x14ac:dyDescent="0.3">
      <c r="A1304" s="2" t="str">
        <f t="shared" si="302"/>
        <v>NÃO</v>
      </c>
      <c r="B1304" s="2">
        <v>1000184670</v>
      </c>
      <c r="C1304" s="2" t="s">
        <v>147</v>
      </c>
      <c r="D1304" s="4">
        <v>1000186197</v>
      </c>
      <c r="E1304" s="4" t="s">
        <v>166</v>
      </c>
      <c r="F1304" s="2">
        <v>1000184762</v>
      </c>
      <c r="G1304" s="2" t="s">
        <v>58</v>
      </c>
      <c r="H1304" s="4">
        <v>1000189813</v>
      </c>
      <c r="I1304" s="4" t="s">
        <v>82</v>
      </c>
      <c r="J1304" s="2">
        <v>1000189270</v>
      </c>
      <c r="K1304" s="2" t="s">
        <v>34</v>
      </c>
      <c r="L1304" s="4" t="s">
        <v>24</v>
      </c>
      <c r="M1304" s="4" t="str">
        <f t="shared" si="309"/>
        <v>1000184670100018619710001898131000189270KIDS</v>
      </c>
      <c r="N1304" s="28">
        <f>N1296*_xlfn.XLOOKUP($L1304,'Balizador da Meta'!$B$4:$B$21,'Balizador da Meta'!$C$4:$C$21)</f>
        <v>0</v>
      </c>
      <c r="O1304" s="28">
        <f>O1296*_xlfn.XLOOKUP($L1304,'Balizador da Meta'!$B$4:$B$21,'Balizador da Meta'!$C$4:$C$21)</f>
        <v>0</v>
      </c>
      <c r="P1304" s="28">
        <f>P1296*_xlfn.XLOOKUP($L1304,'Balizador da Meta'!$B$4:$B$21,'Balizador da Meta'!$C$4:$C$21)</f>
        <v>0</v>
      </c>
      <c r="Q1304" s="28">
        <f>Q1296*_xlfn.XLOOKUP($L1304,'Balizador da Meta'!$B$4:$B$21,'Balizador da Meta'!$C$4:$C$21)</f>
        <v>0</v>
      </c>
      <c r="R1304" s="28">
        <f>R1296*_xlfn.XLOOKUP($L1304,'Balizador da Meta'!$B$4:$B$21,'Balizador da Meta'!$C$4:$C$21)</f>
        <v>0</v>
      </c>
      <c r="S1304" s="28">
        <f>S1296*_xlfn.XLOOKUP($L1304,'Balizador da Meta'!$B$4:$B$21,'Balizador da Meta'!$C$4:$C$21)</f>
        <v>0</v>
      </c>
      <c r="T1304" s="28">
        <f>T1296*_xlfn.XLOOKUP($L1304,'Balizador da Meta'!$B$4:$B$21,'Balizador da Meta'!$C$4:$C$21)</f>
        <v>0</v>
      </c>
      <c r="U1304" s="28">
        <f>U1296*_xlfn.XLOOKUP($L1304,'Balizador da Meta'!$B$4:$B$21,'Balizador da Meta'!$C$4:$C$21)</f>
        <v>0</v>
      </c>
      <c r="V1304" s="28">
        <f>V1296*_xlfn.XLOOKUP($L1304,'Balizador da Meta'!$B$4:$B$21,'Balizador da Meta'!$C$4:$C$21)</f>
        <v>0</v>
      </c>
      <c r="W1304" s="28">
        <f>W1296*_xlfn.XLOOKUP($L1304,'Balizador da Meta'!$B$4:$B$21,'Balizador da Meta'!$C$4:$C$21)</f>
        <v>0</v>
      </c>
      <c r="X1304" s="28">
        <f>X1296*_xlfn.XLOOKUP($L1304,'Balizador da Meta'!$B$4:$B$21,'Balizador da Meta'!$C$4:$C$21)</f>
        <v>0</v>
      </c>
      <c r="Y1304" s="28">
        <f>Y1296*_xlfn.XLOOKUP($L1304,'Balizador da Meta'!$B$4:$B$21,'Balizador da Meta'!$C$4:$C$21)</f>
        <v>0</v>
      </c>
      <c r="Z1304" s="30">
        <f t="shared" si="312"/>
        <v>0</v>
      </c>
      <c r="AA1304" s="29"/>
      <c r="AB1304" s="31">
        <f>SUMIFS('Historico - FAT'!AK:AK,'Historico - FAT'!$K:$K,Faturamento!$L1304,'Historico - FAT'!$I:$I,Faturamento!$J1304,'Historico - FAT'!$G:$G,Faturamento!$H1304)</f>
        <v>0</v>
      </c>
      <c r="AC1304" s="31">
        <f>SUMIFS('Historico - FAT'!AL:AL,'Historico - FAT'!$K:$K,Faturamento!$L1304,'Historico - FAT'!$I:$I,Faturamento!$J1304,'Historico - FAT'!$G:$G,Faturamento!$H1304)</f>
        <v>0</v>
      </c>
      <c r="AD1304" s="31">
        <f>SUMIFS('Historico - FAT'!AM:AM,'Historico - FAT'!$K:$K,Faturamento!$L1304,'Historico - FAT'!$I:$I,Faturamento!$J1304,'Historico - FAT'!$G:$G,Faturamento!$H1304)</f>
        <v>0</v>
      </c>
      <c r="AE1304" s="27">
        <f>SUMIFS('Historico - FAT'!AN:AN,'Historico - FAT'!$K:$K,Faturamento!$L1304,'Historico - FAT'!$I:$I,Faturamento!$J1304,'Historico - FAT'!$G:$G,Faturamento!$H1304)</f>
        <v>0</v>
      </c>
      <c r="AG1304" s="24" t="str">
        <f t="shared" si="303"/>
        <v/>
      </c>
      <c r="AH1304" s="24" t="str">
        <f t="shared" si="304"/>
        <v/>
      </c>
      <c r="AI1304" s="24" t="str">
        <f t="shared" si="305"/>
        <v/>
      </c>
    </row>
    <row r="1305" spans="1:35" hidden="1" x14ac:dyDescent="0.3">
      <c r="A1305" s="2" t="str">
        <f t="shared" si="302"/>
        <v>NÃO</v>
      </c>
      <c r="B1305" s="2">
        <v>1000184670</v>
      </c>
      <c r="C1305" s="2" t="s">
        <v>147</v>
      </c>
      <c r="D1305" s="4">
        <v>1000186197</v>
      </c>
      <c r="E1305" s="4" t="s">
        <v>166</v>
      </c>
      <c r="F1305" s="2">
        <v>1000184762</v>
      </c>
      <c r="G1305" s="2" t="s">
        <v>58</v>
      </c>
      <c r="H1305" s="4">
        <v>1000189813</v>
      </c>
      <c r="I1305" s="4" t="s">
        <v>82</v>
      </c>
      <c r="J1305" s="2">
        <v>1000189270</v>
      </c>
      <c r="K1305" s="2" t="s">
        <v>34</v>
      </c>
      <c r="L1305" s="4" t="s">
        <v>18</v>
      </c>
      <c r="M1305" s="4" t="str">
        <f t="shared" si="309"/>
        <v>1000184670100018619710001898131000189270LANCHES</v>
      </c>
      <c r="N1305" s="28">
        <f>N1296*_xlfn.XLOOKUP($L1305,'Balizador da Meta'!$B$4:$B$21,'Balizador da Meta'!$C$4:$C$21)</f>
        <v>6</v>
      </c>
      <c r="O1305" s="28">
        <f>O1296*_xlfn.XLOOKUP($L1305,'Balizador da Meta'!$B$4:$B$21,'Balizador da Meta'!$C$4:$C$21)</f>
        <v>6</v>
      </c>
      <c r="P1305" s="28">
        <f>P1296*_xlfn.XLOOKUP($L1305,'Balizador da Meta'!$B$4:$B$21,'Balizador da Meta'!$C$4:$C$21)</f>
        <v>6</v>
      </c>
      <c r="Q1305" s="28">
        <f>Q1296*_xlfn.XLOOKUP($L1305,'Balizador da Meta'!$B$4:$B$21,'Balizador da Meta'!$C$4:$C$21)</f>
        <v>6</v>
      </c>
      <c r="R1305" s="28">
        <f>R1296*_xlfn.XLOOKUP($L1305,'Balizador da Meta'!$B$4:$B$21,'Balizador da Meta'!$C$4:$C$21)</f>
        <v>12</v>
      </c>
      <c r="S1305" s="28">
        <f>S1296*_xlfn.XLOOKUP($L1305,'Balizador da Meta'!$B$4:$B$21,'Balizador da Meta'!$C$4:$C$21)</f>
        <v>12</v>
      </c>
      <c r="T1305" s="28">
        <f>T1296*_xlfn.XLOOKUP($L1305,'Balizador da Meta'!$B$4:$B$21,'Balizador da Meta'!$C$4:$C$21)</f>
        <v>12</v>
      </c>
      <c r="U1305" s="28">
        <f>U1296*_xlfn.XLOOKUP($L1305,'Balizador da Meta'!$B$4:$B$21,'Balizador da Meta'!$C$4:$C$21)</f>
        <v>12</v>
      </c>
      <c r="V1305" s="28">
        <f>V1296*_xlfn.XLOOKUP($L1305,'Balizador da Meta'!$B$4:$B$21,'Balizador da Meta'!$C$4:$C$21)</f>
        <v>12</v>
      </c>
      <c r="W1305" s="28">
        <f>W1296*_xlfn.XLOOKUP($L1305,'Balizador da Meta'!$B$4:$B$21,'Balizador da Meta'!$C$4:$C$21)</f>
        <v>18</v>
      </c>
      <c r="X1305" s="28">
        <f>X1296*_xlfn.XLOOKUP($L1305,'Balizador da Meta'!$B$4:$B$21,'Balizador da Meta'!$C$4:$C$21)</f>
        <v>18</v>
      </c>
      <c r="Y1305" s="28">
        <f>Y1296*_xlfn.XLOOKUP($L1305,'Balizador da Meta'!$B$4:$B$21,'Balizador da Meta'!$C$4:$C$21)</f>
        <v>18</v>
      </c>
      <c r="Z1305" s="30">
        <f t="shared" si="312"/>
        <v>138</v>
      </c>
      <c r="AA1305" s="29"/>
      <c r="AB1305" s="31">
        <f>SUMIFS('Historico - FAT'!AK:AK,'Historico - FAT'!$K:$K,Faturamento!$L1305,'Historico - FAT'!$I:$I,Faturamento!$J1305,'Historico - FAT'!$G:$G,Faturamento!$H1305)</f>
        <v>0</v>
      </c>
      <c r="AC1305" s="31">
        <f>SUMIFS('Historico - FAT'!AL:AL,'Historico - FAT'!$K:$K,Faturamento!$L1305,'Historico - FAT'!$I:$I,Faturamento!$J1305,'Historico - FAT'!$G:$G,Faturamento!$H1305)</f>
        <v>0</v>
      </c>
      <c r="AD1305" s="31">
        <f>SUMIFS('Historico - FAT'!AM:AM,'Historico - FAT'!$K:$K,Faturamento!$L1305,'Historico - FAT'!$I:$I,Faturamento!$J1305,'Historico - FAT'!$G:$G,Faturamento!$H1305)</f>
        <v>0</v>
      </c>
      <c r="AE1305" s="27">
        <f>SUMIFS('Historico - FAT'!AN:AN,'Historico - FAT'!$K:$K,Faturamento!$L1305,'Historico - FAT'!$I:$I,Faturamento!$J1305,'Historico - FAT'!$G:$G,Faturamento!$H1305)</f>
        <v>0</v>
      </c>
      <c r="AG1305" s="24">
        <f t="shared" si="303"/>
        <v>1</v>
      </c>
      <c r="AH1305" s="24">
        <f t="shared" si="304"/>
        <v>1</v>
      </c>
      <c r="AI1305" s="24">
        <f t="shared" si="305"/>
        <v>1</v>
      </c>
    </row>
    <row r="1306" spans="1:35" hidden="1" x14ac:dyDescent="0.3">
      <c r="A1306" s="2" t="str">
        <f t="shared" si="302"/>
        <v>NÃO</v>
      </c>
      <c r="B1306" s="2">
        <v>1000184670</v>
      </c>
      <c r="C1306" s="2" t="s">
        <v>147</v>
      </c>
      <c r="D1306" s="4">
        <v>1000186197</v>
      </c>
      <c r="E1306" s="4" t="s">
        <v>166</v>
      </c>
      <c r="F1306" s="2">
        <v>1000184762</v>
      </c>
      <c r="G1306" s="2" t="s">
        <v>58</v>
      </c>
      <c r="H1306" s="4">
        <v>1000189813</v>
      </c>
      <c r="I1306" s="4" t="s">
        <v>82</v>
      </c>
      <c r="J1306" s="2">
        <v>1000189270</v>
      </c>
      <c r="K1306" s="2" t="s">
        <v>34</v>
      </c>
      <c r="L1306" s="4" t="s">
        <v>29</v>
      </c>
      <c r="M1306" s="4" t="str">
        <f t="shared" si="309"/>
        <v>1000184670100018619710001898131000189270MAIS GRANEL</v>
      </c>
      <c r="N1306" s="28">
        <f>N1296*_xlfn.XLOOKUP($L1306,'Balizador da Meta'!$B$4:$B$21,'Balizador da Meta'!$C$4:$C$21)</f>
        <v>192</v>
      </c>
      <c r="O1306" s="28">
        <f>O1296*_xlfn.XLOOKUP($L1306,'Balizador da Meta'!$B$4:$B$21,'Balizador da Meta'!$C$4:$C$21)</f>
        <v>192</v>
      </c>
      <c r="P1306" s="28">
        <f>P1296*_xlfn.XLOOKUP($L1306,'Balizador da Meta'!$B$4:$B$21,'Balizador da Meta'!$C$4:$C$21)</f>
        <v>192</v>
      </c>
      <c r="Q1306" s="28">
        <f>Q1296*_xlfn.XLOOKUP($L1306,'Balizador da Meta'!$B$4:$B$21,'Balizador da Meta'!$C$4:$C$21)</f>
        <v>192</v>
      </c>
      <c r="R1306" s="28">
        <f>R1296*_xlfn.XLOOKUP($L1306,'Balizador da Meta'!$B$4:$B$21,'Balizador da Meta'!$C$4:$C$21)</f>
        <v>384</v>
      </c>
      <c r="S1306" s="28">
        <f>S1296*_xlfn.XLOOKUP($L1306,'Balizador da Meta'!$B$4:$B$21,'Balizador da Meta'!$C$4:$C$21)</f>
        <v>384</v>
      </c>
      <c r="T1306" s="28">
        <f>T1296*_xlfn.XLOOKUP($L1306,'Balizador da Meta'!$B$4:$B$21,'Balizador da Meta'!$C$4:$C$21)</f>
        <v>384</v>
      </c>
      <c r="U1306" s="28">
        <f>U1296*_xlfn.XLOOKUP($L1306,'Balizador da Meta'!$B$4:$B$21,'Balizador da Meta'!$C$4:$C$21)</f>
        <v>384</v>
      </c>
      <c r="V1306" s="28">
        <f>V1296*_xlfn.XLOOKUP($L1306,'Balizador da Meta'!$B$4:$B$21,'Balizador da Meta'!$C$4:$C$21)</f>
        <v>384</v>
      </c>
      <c r="W1306" s="28">
        <f>W1296*_xlfn.XLOOKUP($L1306,'Balizador da Meta'!$B$4:$B$21,'Balizador da Meta'!$C$4:$C$21)</f>
        <v>576</v>
      </c>
      <c r="X1306" s="28">
        <f>X1296*_xlfn.XLOOKUP($L1306,'Balizador da Meta'!$B$4:$B$21,'Balizador da Meta'!$C$4:$C$21)</f>
        <v>576</v>
      </c>
      <c r="Y1306" s="28">
        <f>Y1296*_xlfn.XLOOKUP($L1306,'Balizador da Meta'!$B$4:$B$21,'Balizador da Meta'!$C$4:$C$21)</f>
        <v>576</v>
      </c>
      <c r="Z1306" s="30">
        <f t="shared" si="312"/>
        <v>4416</v>
      </c>
      <c r="AA1306" s="29"/>
      <c r="AB1306" s="31">
        <f>SUMIFS('Historico - FAT'!AK:AK,'Historico - FAT'!$K:$K,Faturamento!$L1306,'Historico - FAT'!$I:$I,Faturamento!$J1306,'Historico - FAT'!$G:$G,Faturamento!$H1306)</f>
        <v>0</v>
      </c>
      <c r="AC1306" s="31">
        <f>SUMIFS('Historico - FAT'!AL:AL,'Historico - FAT'!$K:$K,Faturamento!$L1306,'Historico - FAT'!$I:$I,Faturamento!$J1306,'Historico - FAT'!$G:$G,Faturamento!$H1306)</f>
        <v>190.79999999999998</v>
      </c>
      <c r="AD1306" s="31">
        <f>SUMIFS('Historico - FAT'!AM:AM,'Historico - FAT'!$K:$K,Faturamento!$L1306,'Historico - FAT'!$I:$I,Faturamento!$J1306,'Historico - FAT'!$G:$G,Faturamento!$H1306)</f>
        <v>381.59999999999997</v>
      </c>
      <c r="AE1306" s="27">
        <f>SUMIFS('Historico - FAT'!AN:AN,'Historico - FAT'!$K:$K,Faturamento!$L1306,'Historico - FAT'!$I:$I,Faturamento!$J1306,'Historico - FAT'!$G:$G,Faturamento!$H1306)</f>
        <v>228.95999999999998</v>
      </c>
      <c r="AG1306" s="24">
        <f t="shared" si="303"/>
        <v>1</v>
      </c>
      <c r="AH1306" s="24">
        <f t="shared" si="304"/>
        <v>0.66875000000000007</v>
      </c>
      <c r="AI1306" s="24">
        <f t="shared" si="305"/>
        <v>0.33750000000000008</v>
      </c>
    </row>
    <row r="1307" spans="1:35" hidden="1" x14ac:dyDescent="0.3">
      <c r="A1307" s="2" t="str">
        <f t="shared" si="302"/>
        <v>NÃO</v>
      </c>
      <c r="B1307" s="2">
        <v>1000184670</v>
      </c>
      <c r="C1307" s="2" t="s">
        <v>147</v>
      </c>
      <c r="D1307" s="4">
        <v>1000186197</v>
      </c>
      <c r="E1307" s="4" t="s">
        <v>166</v>
      </c>
      <c r="F1307" s="2">
        <v>1000184762</v>
      </c>
      <c r="G1307" s="2" t="s">
        <v>58</v>
      </c>
      <c r="H1307" s="4">
        <v>1000189813</v>
      </c>
      <c r="I1307" s="4" t="s">
        <v>82</v>
      </c>
      <c r="J1307" s="2">
        <v>1000189270</v>
      </c>
      <c r="K1307" s="2" t="s">
        <v>34</v>
      </c>
      <c r="L1307" s="4" t="s">
        <v>21</v>
      </c>
      <c r="M1307" s="4" t="str">
        <f t="shared" si="309"/>
        <v>1000184670100018619710001898131000189270NATURATTA</v>
      </c>
      <c r="N1307" s="28">
        <f>N1296*_xlfn.XLOOKUP($L1307,'Balizador da Meta'!$B$4:$B$21,'Balizador da Meta'!$C$4:$C$21)</f>
        <v>30</v>
      </c>
      <c r="O1307" s="28">
        <f>O1296*_xlfn.XLOOKUP($L1307,'Balizador da Meta'!$B$4:$B$21,'Balizador da Meta'!$C$4:$C$21)</f>
        <v>30</v>
      </c>
      <c r="P1307" s="28">
        <f>P1296*_xlfn.XLOOKUP($L1307,'Balizador da Meta'!$B$4:$B$21,'Balizador da Meta'!$C$4:$C$21)</f>
        <v>30</v>
      </c>
      <c r="Q1307" s="28">
        <f>Q1296*_xlfn.XLOOKUP($L1307,'Balizador da Meta'!$B$4:$B$21,'Balizador da Meta'!$C$4:$C$21)</f>
        <v>30</v>
      </c>
      <c r="R1307" s="28">
        <f>R1296*_xlfn.XLOOKUP($L1307,'Balizador da Meta'!$B$4:$B$21,'Balizador da Meta'!$C$4:$C$21)</f>
        <v>60</v>
      </c>
      <c r="S1307" s="28">
        <f>S1296*_xlfn.XLOOKUP($L1307,'Balizador da Meta'!$B$4:$B$21,'Balizador da Meta'!$C$4:$C$21)</f>
        <v>60</v>
      </c>
      <c r="T1307" s="28">
        <f>T1296*_xlfn.XLOOKUP($L1307,'Balizador da Meta'!$B$4:$B$21,'Balizador da Meta'!$C$4:$C$21)</f>
        <v>60</v>
      </c>
      <c r="U1307" s="28">
        <f>U1296*_xlfn.XLOOKUP($L1307,'Balizador da Meta'!$B$4:$B$21,'Balizador da Meta'!$C$4:$C$21)</f>
        <v>60</v>
      </c>
      <c r="V1307" s="28">
        <f>V1296*_xlfn.XLOOKUP($L1307,'Balizador da Meta'!$B$4:$B$21,'Balizador da Meta'!$C$4:$C$21)</f>
        <v>60</v>
      </c>
      <c r="W1307" s="28">
        <f>W1296*_xlfn.XLOOKUP($L1307,'Balizador da Meta'!$B$4:$B$21,'Balizador da Meta'!$C$4:$C$21)</f>
        <v>90</v>
      </c>
      <c r="X1307" s="28">
        <f>X1296*_xlfn.XLOOKUP($L1307,'Balizador da Meta'!$B$4:$B$21,'Balizador da Meta'!$C$4:$C$21)</f>
        <v>90</v>
      </c>
      <c r="Y1307" s="28">
        <f>Y1296*_xlfn.XLOOKUP($L1307,'Balizador da Meta'!$B$4:$B$21,'Balizador da Meta'!$C$4:$C$21)</f>
        <v>90</v>
      </c>
      <c r="Z1307" s="30">
        <f t="shared" si="312"/>
        <v>690</v>
      </c>
      <c r="AA1307" s="29"/>
      <c r="AB1307" s="31">
        <f>SUMIFS('Historico - FAT'!AK:AK,'Historico - FAT'!$K:$K,Faturamento!$L1307,'Historico - FAT'!$I:$I,Faturamento!$J1307,'Historico - FAT'!$G:$G,Faturamento!$H1307)</f>
        <v>0</v>
      </c>
      <c r="AC1307" s="31">
        <f>SUMIFS('Historico - FAT'!AL:AL,'Historico - FAT'!$K:$K,Faturamento!$L1307,'Historico - FAT'!$I:$I,Faturamento!$J1307,'Historico - FAT'!$G:$G,Faturamento!$H1307)</f>
        <v>0</v>
      </c>
      <c r="AD1307" s="31">
        <f>SUMIFS('Historico - FAT'!AM:AM,'Historico - FAT'!$K:$K,Faturamento!$L1307,'Historico - FAT'!$I:$I,Faturamento!$J1307,'Historico - FAT'!$G:$G,Faturamento!$H1307)</f>
        <v>0</v>
      </c>
      <c r="AE1307" s="27">
        <f>SUMIFS('Historico - FAT'!AN:AN,'Historico - FAT'!$K:$K,Faturamento!$L1307,'Historico - FAT'!$I:$I,Faturamento!$J1307,'Historico - FAT'!$G:$G,Faturamento!$H1307)</f>
        <v>0</v>
      </c>
      <c r="AG1307" s="24">
        <f t="shared" si="303"/>
        <v>1</v>
      </c>
      <c r="AH1307" s="24">
        <f t="shared" si="304"/>
        <v>1</v>
      </c>
      <c r="AI1307" s="24">
        <f t="shared" si="305"/>
        <v>1</v>
      </c>
    </row>
    <row r="1308" spans="1:35" hidden="1" x14ac:dyDescent="0.3">
      <c r="A1308" s="2" t="str">
        <f t="shared" si="302"/>
        <v>NÃO</v>
      </c>
      <c r="B1308" s="2">
        <v>1000184670</v>
      </c>
      <c r="C1308" s="2" t="s">
        <v>147</v>
      </c>
      <c r="D1308" s="4">
        <v>1000186197</v>
      </c>
      <c r="E1308" s="4" t="s">
        <v>166</v>
      </c>
      <c r="F1308" s="2">
        <v>1000184762</v>
      </c>
      <c r="G1308" s="2" t="s">
        <v>58</v>
      </c>
      <c r="H1308" s="4">
        <v>1000189813</v>
      </c>
      <c r="I1308" s="4" t="s">
        <v>82</v>
      </c>
      <c r="J1308" s="2">
        <v>1000189270</v>
      </c>
      <c r="K1308" s="2" t="s">
        <v>34</v>
      </c>
      <c r="L1308" s="4" t="s">
        <v>20</v>
      </c>
      <c r="M1308" s="4" t="str">
        <f t="shared" si="309"/>
        <v>1000184670100018619710001898131000189270REEMBALADOS</v>
      </c>
      <c r="N1308" s="28">
        <f>N1296*_xlfn.XLOOKUP($L1308,'Balizador da Meta'!$B$4:$B$21,'Balizador da Meta'!$C$4:$C$21)</f>
        <v>24</v>
      </c>
      <c r="O1308" s="28">
        <f>O1296*_xlfn.XLOOKUP($L1308,'Balizador da Meta'!$B$4:$B$21,'Balizador da Meta'!$C$4:$C$21)</f>
        <v>24</v>
      </c>
      <c r="P1308" s="28">
        <f>P1296*_xlfn.XLOOKUP($L1308,'Balizador da Meta'!$B$4:$B$21,'Balizador da Meta'!$C$4:$C$21)</f>
        <v>24</v>
      </c>
      <c r="Q1308" s="28">
        <f>Q1296*_xlfn.XLOOKUP($L1308,'Balizador da Meta'!$B$4:$B$21,'Balizador da Meta'!$C$4:$C$21)</f>
        <v>24</v>
      </c>
      <c r="R1308" s="28">
        <f>R1296*_xlfn.XLOOKUP($L1308,'Balizador da Meta'!$B$4:$B$21,'Balizador da Meta'!$C$4:$C$21)</f>
        <v>48</v>
      </c>
      <c r="S1308" s="28">
        <f>S1296*_xlfn.XLOOKUP($L1308,'Balizador da Meta'!$B$4:$B$21,'Balizador da Meta'!$C$4:$C$21)</f>
        <v>48</v>
      </c>
      <c r="T1308" s="28">
        <f>T1296*_xlfn.XLOOKUP($L1308,'Balizador da Meta'!$B$4:$B$21,'Balizador da Meta'!$C$4:$C$21)</f>
        <v>48</v>
      </c>
      <c r="U1308" s="28">
        <f>U1296*_xlfn.XLOOKUP($L1308,'Balizador da Meta'!$B$4:$B$21,'Balizador da Meta'!$C$4:$C$21)</f>
        <v>48</v>
      </c>
      <c r="V1308" s="28">
        <f>V1296*_xlfn.XLOOKUP($L1308,'Balizador da Meta'!$B$4:$B$21,'Balizador da Meta'!$C$4:$C$21)</f>
        <v>48</v>
      </c>
      <c r="W1308" s="28">
        <f>W1296*_xlfn.XLOOKUP($L1308,'Balizador da Meta'!$B$4:$B$21,'Balizador da Meta'!$C$4:$C$21)</f>
        <v>72</v>
      </c>
      <c r="X1308" s="28">
        <f>X1296*_xlfn.XLOOKUP($L1308,'Balizador da Meta'!$B$4:$B$21,'Balizador da Meta'!$C$4:$C$21)</f>
        <v>72</v>
      </c>
      <c r="Y1308" s="28">
        <f>Y1296*_xlfn.XLOOKUP($L1308,'Balizador da Meta'!$B$4:$B$21,'Balizador da Meta'!$C$4:$C$21)</f>
        <v>72</v>
      </c>
      <c r="Z1308" s="30">
        <f t="shared" si="312"/>
        <v>552</v>
      </c>
      <c r="AA1308" s="29"/>
      <c r="AB1308" s="31">
        <f>SUMIFS('Historico - FAT'!AK:AK,'Historico - FAT'!$K:$K,Faturamento!$L1308,'Historico - FAT'!$I:$I,Faturamento!$J1308,'Historico - FAT'!$G:$G,Faturamento!$H1308)</f>
        <v>0</v>
      </c>
      <c r="AC1308" s="31">
        <f>SUMIFS('Historico - FAT'!AL:AL,'Historico - FAT'!$K:$K,Faturamento!$L1308,'Historico - FAT'!$I:$I,Faturamento!$J1308,'Historico - FAT'!$G:$G,Faturamento!$H1308)</f>
        <v>101.59500000000001</v>
      </c>
      <c r="AD1308" s="31">
        <f>SUMIFS('Historico - FAT'!AM:AM,'Historico - FAT'!$K:$K,Faturamento!$L1308,'Historico - FAT'!$I:$I,Faturamento!$J1308,'Historico - FAT'!$G:$G,Faturamento!$H1308)</f>
        <v>0</v>
      </c>
      <c r="AE1308" s="27">
        <f>SUMIFS('Historico - FAT'!AN:AN,'Historico - FAT'!$K:$K,Faturamento!$L1308,'Historico - FAT'!$I:$I,Faturamento!$J1308,'Historico - FAT'!$G:$G,Faturamento!$H1308)</f>
        <v>121.91400000000002</v>
      </c>
      <c r="AG1308" s="24">
        <f t="shared" si="303"/>
        <v>1</v>
      </c>
      <c r="AH1308" s="24">
        <f t="shared" si="304"/>
        <v>-0.41104166666666686</v>
      </c>
      <c r="AI1308" s="24">
        <f t="shared" si="305"/>
        <v>1</v>
      </c>
    </row>
    <row r="1309" spans="1:35" hidden="1" x14ac:dyDescent="0.3">
      <c r="A1309" s="2" t="str">
        <f t="shared" si="302"/>
        <v>NÃO</v>
      </c>
      <c r="B1309" s="2">
        <v>1000184670</v>
      </c>
      <c r="C1309" s="2" t="s">
        <v>147</v>
      </c>
      <c r="D1309" s="4">
        <v>1000186197</v>
      </c>
      <c r="E1309" s="4" t="s">
        <v>166</v>
      </c>
      <c r="F1309" s="2">
        <v>1000184762</v>
      </c>
      <c r="G1309" s="2" t="s">
        <v>58</v>
      </c>
      <c r="H1309" s="4">
        <v>1000189813</v>
      </c>
      <c r="I1309" s="4" t="s">
        <v>82</v>
      </c>
      <c r="J1309" s="2">
        <v>1000189270</v>
      </c>
      <c r="K1309" s="2" t="s">
        <v>34</v>
      </c>
      <c r="L1309" s="4" t="s">
        <v>22</v>
      </c>
      <c r="M1309" s="4" t="str">
        <f t="shared" si="309"/>
        <v>1000184670100018619710001898131000189270S GLUTEN</v>
      </c>
      <c r="N1309" s="28">
        <f>N1296*_xlfn.XLOOKUP($L1309,'Balizador da Meta'!$B$4:$B$21,'Balizador da Meta'!$C$4:$C$21)</f>
        <v>24</v>
      </c>
      <c r="O1309" s="28">
        <f>O1296*_xlfn.XLOOKUP($L1309,'Balizador da Meta'!$B$4:$B$21,'Balizador da Meta'!$C$4:$C$21)</f>
        <v>24</v>
      </c>
      <c r="P1309" s="28">
        <f>P1296*_xlfn.XLOOKUP($L1309,'Balizador da Meta'!$B$4:$B$21,'Balizador da Meta'!$C$4:$C$21)</f>
        <v>24</v>
      </c>
      <c r="Q1309" s="28">
        <f>Q1296*_xlfn.XLOOKUP($L1309,'Balizador da Meta'!$B$4:$B$21,'Balizador da Meta'!$C$4:$C$21)</f>
        <v>24</v>
      </c>
      <c r="R1309" s="28">
        <f>R1296*_xlfn.XLOOKUP($L1309,'Balizador da Meta'!$B$4:$B$21,'Balizador da Meta'!$C$4:$C$21)</f>
        <v>48</v>
      </c>
      <c r="S1309" s="28">
        <f>S1296*_xlfn.XLOOKUP($L1309,'Balizador da Meta'!$B$4:$B$21,'Balizador da Meta'!$C$4:$C$21)</f>
        <v>48</v>
      </c>
      <c r="T1309" s="28">
        <f>T1296*_xlfn.XLOOKUP($L1309,'Balizador da Meta'!$B$4:$B$21,'Balizador da Meta'!$C$4:$C$21)</f>
        <v>48</v>
      </c>
      <c r="U1309" s="28">
        <f>U1296*_xlfn.XLOOKUP($L1309,'Balizador da Meta'!$B$4:$B$21,'Balizador da Meta'!$C$4:$C$21)</f>
        <v>48</v>
      </c>
      <c r="V1309" s="28">
        <f>V1296*_xlfn.XLOOKUP($L1309,'Balizador da Meta'!$B$4:$B$21,'Balizador da Meta'!$C$4:$C$21)</f>
        <v>48</v>
      </c>
      <c r="W1309" s="28">
        <f>W1296*_xlfn.XLOOKUP($L1309,'Balizador da Meta'!$B$4:$B$21,'Balizador da Meta'!$C$4:$C$21)</f>
        <v>72</v>
      </c>
      <c r="X1309" s="28">
        <f>X1296*_xlfn.XLOOKUP($L1309,'Balizador da Meta'!$B$4:$B$21,'Balizador da Meta'!$C$4:$C$21)</f>
        <v>72</v>
      </c>
      <c r="Y1309" s="28">
        <f>Y1296*_xlfn.XLOOKUP($L1309,'Balizador da Meta'!$B$4:$B$21,'Balizador da Meta'!$C$4:$C$21)</f>
        <v>72</v>
      </c>
      <c r="Z1309" s="30">
        <f t="shared" si="312"/>
        <v>552</v>
      </c>
      <c r="AA1309" s="29"/>
      <c r="AB1309" s="31">
        <f>SUMIFS('Historico - FAT'!AK:AK,'Historico - FAT'!$K:$K,Faturamento!$L1309,'Historico - FAT'!$I:$I,Faturamento!$J1309,'Historico - FAT'!$G:$G,Faturamento!$H1309)</f>
        <v>0</v>
      </c>
      <c r="AC1309" s="31">
        <f>SUMIFS('Historico - FAT'!AL:AL,'Historico - FAT'!$K:$K,Faturamento!$L1309,'Historico - FAT'!$I:$I,Faturamento!$J1309,'Historico - FAT'!$G:$G,Faturamento!$H1309)</f>
        <v>11</v>
      </c>
      <c r="AD1309" s="31">
        <f>SUMIFS('Historico - FAT'!AM:AM,'Historico - FAT'!$K:$K,Faturamento!$L1309,'Historico - FAT'!$I:$I,Faturamento!$J1309,'Historico - FAT'!$G:$G,Faturamento!$H1309)</f>
        <v>0</v>
      </c>
      <c r="AE1309" s="27">
        <f>SUMIFS('Historico - FAT'!AN:AN,'Historico - FAT'!$K:$K,Faturamento!$L1309,'Historico - FAT'!$I:$I,Faturamento!$J1309,'Historico - FAT'!$G:$G,Faturamento!$H1309)</f>
        <v>13.2</v>
      </c>
      <c r="AG1309" s="24">
        <f t="shared" si="303"/>
        <v>1</v>
      </c>
      <c r="AH1309" s="24">
        <f t="shared" si="304"/>
        <v>0.84722222222222221</v>
      </c>
      <c r="AI1309" s="24">
        <f t="shared" si="305"/>
        <v>1</v>
      </c>
    </row>
    <row r="1310" spans="1:35" hidden="1" x14ac:dyDescent="0.3">
      <c r="A1310" s="2" t="str">
        <f t="shared" si="302"/>
        <v>NÃO</v>
      </c>
      <c r="B1310" s="2">
        <v>1000184670</v>
      </c>
      <c r="C1310" s="2" t="s">
        <v>147</v>
      </c>
      <c r="D1310" s="4">
        <v>1000186197</v>
      </c>
      <c r="E1310" s="4" t="s">
        <v>166</v>
      </c>
      <c r="F1310" s="2">
        <v>1000184762</v>
      </c>
      <c r="G1310" s="2" t="s">
        <v>58</v>
      </c>
      <c r="H1310" s="4">
        <v>1000189813</v>
      </c>
      <c r="I1310" s="4" t="s">
        <v>82</v>
      </c>
      <c r="J1310" s="2">
        <v>1000189270</v>
      </c>
      <c r="K1310" s="2" t="s">
        <v>34</v>
      </c>
      <c r="L1310" s="4" t="s">
        <v>23</v>
      </c>
      <c r="M1310" s="4" t="str">
        <f t="shared" si="309"/>
        <v>1000184670100018619710001898131000189270SABORES DO CAMPO</v>
      </c>
      <c r="N1310" s="28">
        <f>N1296*_xlfn.XLOOKUP($L1310,'Balizador da Meta'!$B$4:$B$21,'Balizador da Meta'!$C$4:$C$21)</f>
        <v>0</v>
      </c>
      <c r="O1310" s="28">
        <f>O1296*_xlfn.XLOOKUP($L1310,'Balizador da Meta'!$B$4:$B$21,'Balizador da Meta'!$C$4:$C$21)</f>
        <v>0</v>
      </c>
      <c r="P1310" s="28">
        <f>P1296*_xlfn.XLOOKUP($L1310,'Balizador da Meta'!$B$4:$B$21,'Balizador da Meta'!$C$4:$C$21)</f>
        <v>0</v>
      </c>
      <c r="Q1310" s="28">
        <f>Q1296*_xlfn.XLOOKUP($L1310,'Balizador da Meta'!$B$4:$B$21,'Balizador da Meta'!$C$4:$C$21)</f>
        <v>0</v>
      </c>
      <c r="R1310" s="28">
        <f>R1296*_xlfn.XLOOKUP($L1310,'Balizador da Meta'!$B$4:$B$21,'Balizador da Meta'!$C$4:$C$21)</f>
        <v>0</v>
      </c>
      <c r="S1310" s="28">
        <f>S1296*_xlfn.XLOOKUP($L1310,'Balizador da Meta'!$B$4:$B$21,'Balizador da Meta'!$C$4:$C$21)</f>
        <v>0</v>
      </c>
      <c r="T1310" s="28">
        <f>T1296*_xlfn.XLOOKUP($L1310,'Balizador da Meta'!$B$4:$B$21,'Balizador da Meta'!$C$4:$C$21)</f>
        <v>0</v>
      </c>
      <c r="U1310" s="28">
        <f>U1296*_xlfn.XLOOKUP($L1310,'Balizador da Meta'!$B$4:$B$21,'Balizador da Meta'!$C$4:$C$21)</f>
        <v>0</v>
      </c>
      <c r="V1310" s="28">
        <f>V1296*_xlfn.XLOOKUP($L1310,'Balizador da Meta'!$B$4:$B$21,'Balizador da Meta'!$C$4:$C$21)</f>
        <v>0</v>
      </c>
      <c r="W1310" s="28">
        <f>W1296*_xlfn.XLOOKUP($L1310,'Balizador da Meta'!$B$4:$B$21,'Balizador da Meta'!$C$4:$C$21)</f>
        <v>0</v>
      </c>
      <c r="X1310" s="28">
        <f>X1296*_xlfn.XLOOKUP($L1310,'Balizador da Meta'!$B$4:$B$21,'Balizador da Meta'!$C$4:$C$21)</f>
        <v>0</v>
      </c>
      <c r="Y1310" s="28">
        <f>Y1296*_xlfn.XLOOKUP($L1310,'Balizador da Meta'!$B$4:$B$21,'Balizador da Meta'!$C$4:$C$21)</f>
        <v>0</v>
      </c>
      <c r="Z1310" s="30">
        <f t="shared" si="312"/>
        <v>0</v>
      </c>
      <c r="AA1310" s="29"/>
      <c r="AB1310" s="31">
        <f>SUMIFS('Historico - FAT'!AK:AK,'Historico - FAT'!$K:$K,Faturamento!$L1310,'Historico - FAT'!$I:$I,Faturamento!$J1310,'Historico - FAT'!$G:$G,Faturamento!$H1310)</f>
        <v>0</v>
      </c>
      <c r="AC1310" s="31">
        <f>SUMIFS('Historico - FAT'!AL:AL,'Historico - FAT'!$K:$K,Faturamento!$L1310,'Historico - FAT'!$I:$I,Faturamento!$J1310,'Historico - FAT'!$G:$G,Faturamento!$H1310)</f>
        <v>0</v>
      </c>
      <c r="AD1310" s="31">
        <f>SUMIFS('Historico - FAT'!AM:AM,'Historico - FAT'!$K:$K,Faturamento!$L1310,'Historico - FAT'!$I:$I,Faturamento!$J1310,'Historico - FAT'!$G:$G,Faturamento!$H1310)</f>
        <v>0</v>
      </c>
      <c r="AE1310" s="27">
        <f>SUMIFS('Historico - FAT'!AN:AN,'Historico - FAT'!$K:$K,Faturamento!$L1310,'Historico - FAT'!$I:$I,Faturamento!$J1310,'Historico - FAT'!$G:$G,Faturamento!$H1310)</f>
        <v>0</v>
      </c>
      <c r="AG1310" s="24" t="str">
        <f t="shared" si="303"/>
        <v/>
      </c>
      <c r="AH1310" s="24" t="str">
        <f t="shared" si="304"/>
        <v/>
      </c>
      <c r="AI1310" s="24" t="str">
        <f t="shared" si="305"/>
        <v/>
      </c>
    </row>
    <row r="1311" spans="1:35" hidden="1" x14ac:dyDescent="0.3">
      <c r="A1311" s="2" t="str">
        <f t="shared" si="302"/>
        <v>NÃO</v>
      </c>
      <c r="B1311" s="2">
        <v>1000184670</v>
      </c>
      <c r="C1311" s="2" t="s">
        <v>147</v>
      </c>
      <c r="D1311" s="4">
        <v>1000186197</v>
      </c>
      <c r="E1311" s="4" t="s">
        <v>166</v>
      </c>
      <c r="F1311" s="2">
        <v>1000184762</v>
      </c>
      <c r="G1311" s="2" t="s">
        <v>58</v>
      </c>
      <c r="H1311" s="4">
        <v>1000189813</v>
      </c>
      <c r="I1311" s="4" t="s">
        <v>82</v>
      </c>
      <c r="J1311" s="2">
        <v>1000189270</v>
      </c>
      <c r="K1311" s="2" t="s">
        <v>34</v>
      </c>
      <c r="L1311" s="4" t="s">
        <v>28</v>
      </c>
      <c r="M1311" s="4" t="str">
        <f t="shared" si="309"/>
        <v>1000184670100018619710001898131000189270SAL</v>
      </c>
      <c r="N1311" s="28">
        <f>N1296*_xlfn.XLOOKUP($L1311,'Balizador da Meta'!$B$4:$B$21,'Balizador da Meta'!$C$4:$C$21)</f>
        <v>12</v>
      </c>
      <c r="O1311" s="28">
        <f>O1296*_xlfn.XLOOKUP($L1311,'Balizador da Meta'!$B$4:$B$21,'Balizador da Meta'!$C$4:$C$21)</f>
        <v>12</v>
      </c>
      <c r="P1311" s="28">
        <f>P1296*_xlfn.XLOOKUP($L1311,'Balizador da Meta'!$B$4:$B$21,'Balizador da Meta'!$C$4:$C$21)</f>
        <v>12</v>
      </c>
      <c r="Q1311" s="28">
        <f>Q1296*_xlfn.XLOOKUP($L1311,'Balizador da Meta'!$B$4:$B$21,'Balizador da Meta'!$C$4:$C$21)</f>
        <v>12</v>
      </c>
      <c r="R1311" s="28">
        <f>R1296*_xlfn.XLOOKUP($L1311,'Balizador da Meta'!$B$4:$B$21,'Balizador da Meta'!$C$4:$C$21)</f>
        <v>24</v>
      </c>
      <c r="S1311" s="28">
        <f>S1296*_xlfn.XLOOKUP($L1311,'Balizador da Meta'!$B$4:$B$21,'Balizador da Meta'!$C$4:$C$21)</f>
        <v>24</v>
      </c>
      <c r="T1311" s="28">
        <f>T1296*_xlfn.XLOOKUP($L1311,'Balizador da Meta'!$B$4:$B$21,'Balizador da Meta'!$C$4:$C$21)</f>
        <v>24</v>
      </c>
      <c r="U1311" s="28">
        <f>U1296*_xlfn.XLOOKUP($L1311,'Balizador da Meta'!$B$4:$B$21,'Balizador da Meta'!$C$4:$C$21)</f>
        <v>24</v>
      </c>
      <c r="V1311" s="28">
        <f>V1296*_xlfn.XLOOKUP($L1311,'Balizador da Meta'!$B$4:$B$21,'Balizador da Meta'!$C$4:$C$21)</f>
        <v>24</v>
      </c>
      <c r="W1311" s="28">
        <f>W1296*_xlfn.XLOOKUP($L1311,'Balizador da Meta'!$B$4:$B$21,'Balizador da Meta'!$C$4:$C$21)</f>
        <v>36</v>
      </c>
      <c r="X1311" s="28">
        <f>X1296*_xlfn.XLOOKUP($L1311,'Balizador da Meta'!$B$4:$B$21,'Balizador da Meta'!$C$4:$C$21)</f>
        <v>36</v>
      </c>
      <c r="Y1311" s="28">
        <f>Y1296*_xlfn.XLOOKUP($L1311,'Balizador da Meta'!$B$4:$B$21,'Balizador da Meta'!$C$4:$C$21)</f>
        <v>36</v>
      </c>
      <c r="Z1311" s="30">
        <f t="shared" si="312"/>
        <v>276</v>
      </c>
      <c r="AA1311" s="29"/>
      <c r="AB1311" s="31">
        <f>SUMIFS('Historico - FAT'!AK:AK,'Historico - FAT'!$K:$K,Faturamento!$L1311,'Historico - FAT'!$I:$I,Faturamento!$J1311,'Historico - FAT'!$G:$G,Faturamento!$H1311)</f>
        <v>0</v>
      </c>
      <c r="AC1311" s="31">
        <f>SUMIFS('Historico - FAT'!AL:AL,'Historico - FAT'!$K:$K,Faturamento!$L1311,'Historico - FAT'!$I:$I,Faturamento!$J1311,'Historico - FAT'!$G:$G,Faturamento!$H1311)</f>
        <v>9.06</v>
      </c>
      <c r="AD1311" s="31">
        <f>SUMIFS('Historico - FAT'!AM:AM,'Historico - FAT'!$K:$K,Faturamento!$L1311,'Historico - FAT'!$I:$I,Faturamento!$J1311,'Historico - FAT'!$G:$G,Faturamento!$H1311)</f>
        <v>0</v>
      </c>
      <c r="AE1311" s="27">
        <f>SUMIFS('Historico - FAT'!AN:AN,'Historico - FAT'!$K:$K,Faturamento!$L1311,'Historico - FAT'!$I:$I,Faturamento!$J1311,'Historico - FAT'!$G:$G,Faturamento!$H1311)</f>
        <v>10.872</v>
      </c>
      <c r="AG1311" s="24">
        <f t="shared" si="303"/>
        <v>1</v>
      </c>
      <c r="AH1311" s="24">
        <f t="shared" si="304"/>
        <v>0.74833333333333329</v>
      </c>
      <c r="AI1311" s="24">
        <f t="shared" si="305"/>
        <v>1</v>
      </c>
    </row>
    <row r="1312" spans="1:35" hidden="1" x14ac:dyDescent="0.3">
      <c r="A1312" s="2" t="str">
        <f t="shared" si="302"/>
        <v>NÃO</v>
      </c>
      <c r="B1312" s="2">
        <v>1000184670</v>
      </c>
      <c r="C1312" s="2" t="s">
        <v>147</v>
      </c>
      <c r="D1312" s="4">
        <v>1000186197</v>
      </c>
      <c r="E1312" s="4" t="s">
        <v>166</v>
      </c>
      <c r="F1312" s="2">
        <v>1000184762</v>
      </c>
      <c r="G1312" s="2" t="s">
        <v>58</v>
      </c>
      <c r="H1312" s="4">
        <v>1000189813</v>
      </c>
      <c r="I1312" s="4" t="s">
        <v>82</v>
      </c>
      <c r="J1312" s="2">
        <v>1000189270</v>
      </c>
      <c r="K1312" s="2" t="s">
        <v>34</v>
      </c>
      <c r="L1312" s="4" t="s">
        <v>26</v>
      </c>
      <c r="M1312" s="4" t="str">
        <f t="shared" si="309"/>
        <v>1000184670100018619710001898131000189270SOULPRO</v>
      </c>
      <c r="N1312" s="28">
        <f>N1296*_xlfn.XLOOKUP($L1312,'Balizador da Meta'!$B$4:$B$21,'Balizador da Meta'!$C$4:$C$21)</f>
        <v>36</v>
      </c>
      <c r="O1312" s="28">
        <f>O1296*_xlfn.XLOOKUP($L1312,'Balizador da Meta'!$B$4:$B$21,'Balizador da Meta'!$C$4:$C$21)</f>
        <v>36</v>
      </c>
      <c r="P1312" s="28">
        <f>P1296*_xlfn.XLOOKUP($L1312,'Balizador da Meta'!$B$4:$B$21,'Balizador da Meta'!$C$4:$C$21)</f>
        <v>36</v>
      </c>
      <c r="Q1312" s="28">
        <f>Q1296*_xlfn.XLOOKUP($L1312,'Balizador da Meta'!$B$4:$B$21,'Balizador da Meta'!$C$4:$C$21)</f>
        <v>36</v>
      </c>
      <c r="R1312" s="28">
        <f>R1296*_xlfn.XLOOKUP($L1312,'Balizador da Meta'!$B$4:$B$21,'Balizador da Meta'!$C$4:$C$21)</f>
        <v>72</v>
      </c>
      <c r="S1312" s="28">
        <f>S1296*_xlfn.XLOOKUP($L1312,'Balizador da Meta'!$B$4:$B$21,'Balizador da Meta'!$C$4:$C$21)</f>
        <v>72</v>
      </c>
      <c r="T1312" s="28">
        <f>T1296*_xlfn.XLOOKUP($L1312,'Balizador da Meta'!$B$4:$B$21,'Balizador da Meta'!$C$4:$C$21)</f>
        <v>72</v>
      </c>
      <c r="U1312" s="28">
        <f>U1296*_xlfn.XLOOKUP($L1312,'Balizador da Meta'!$B$4:$B$21,'Balizador da Meta'!$C$4:$C$21)</f>
        <v>72</v>
      </c>
      <c r="V1312" s="28">
        <f>V1296*_xlfn.XLOOKUP($L1312,'Balizador da Meta'!$B$4:$B$21,'Balizador da Meta'!$C$4:$C$21)</f>
        <v>72</v>
      </c>
      <c r="W1312" s="28">
        <f>W1296*_xlfn.XLOOKUP($L1312,'Balizador da Meta'!$B$4:$B$21,'Balizador da Meta'!$C$4:$C$21)</f>
        <v>108</v>
      </c>
      <c r="X1312" s="28">
        <f>X1296*_xlfn.XLOOKUP($L1312,'Balizador da Meta'!$B$4:$B$21,'Balizador da Meta'!$C$4:$C$21)</f>
        <v>108</v>
      </c>
      <c r="Y1312" s="28">
        <f>Y1296*_xlfn.XLOOKUP($L1312,'Balizador da Meta'!$B$4:$B$21,'Balizador da Meta'!$C$4:$C$21)</f>
        <v>108</v>
      </c>
      <c r="Z1312" s="30">
        <f t="shared" si="312"/>
        <v>828</v>
      </c>
      <c r="AA1312" s="29"/>
      <c r="AB1312" s="31">
        <f>SUMIFS('Historico - FAT'!AK:AK,'Historico - FAT'!$K:$K,Faturamento!$L1312,'Historico - FAT'!$I:$I,Faturamento!$J1312,'Historico - FAT'!$G:$G,Faturamento!$H1312)</f>
        <v>0</v>
      </c>
      <c r="AC1312" s="31">
        <f>SUMIFS('Historico - FAT'!AL:AL,'Historico - FAT'!$K:$K,Faturamento!$L1312,'Historico - FAT'!$I:$I,Faturamento!$J1312,'Historico - FAT'!$G:$G,Faturamento!$H1312)</f>
        <v>0</v>
      </c>
      <c r="AD1312" s="31">
        <f>SUMIFS('Historico - FAT'!AM:AM,'Historico - FAT'!$K:$K,Faturamento!$L1312,'Historico - FAT'!$I:$I,Faturamento!$J1312,'Historico - FAT'!$G:$G,Faturamento!$H1312)</f>
        <v>0</v>
      </c>
      <c r="AE1312" s="27">
        <f>SUMIFS('Historico - FAT'!AN:AN,'Historico - FAT'!$K:$K,Faturamento!$L1312,'Historico - FAT'!$I:$I,Faturamento!$J1312,'Historico - FAT'!$G:$G,Faturamento!$H1312)</f>
        <v>0</v>
      </c>
      <c r="AG1312" s="24">
        <f t="shared" si="303"/>
        <v>1</v>
      </c>
      <c r="AH1312" s="24">
        <f t="shared" si="304"/>
        <v>1</v>
      </c>
      <c r="AI1312" s="24">
        <f t="shared" si="305"/>
        <v>1</v>
      </c>
    </row>
    <row r="1313" spans="1:35" hidden="1" x14ac:dyDescent="0.3">
      <c r="A1313" s="2" t="str">
        <f t="shared" si="302"/>
        <v>NÃO</v>
      </c>
      <c r="B1313" s="2">
        <v>1000184670</v>
      </c>
      <c r="C1313" s="2" t="s">
        <v>147</v>
      </c>
      <c r="D1313" s="4">
        <v>1000186197</v>
      </c>
      <c r="E1313" s="4" t="s">
        <v>166</v>
      </c>
      <c r="F1313" s="2">
        <v>1000184762</v>
      </c>
      <c r="G1313" s="2" t="s">
        <v>58</v>
      </c>
      <c r="H1313" s="4">
        <v>1000189813</v>
      </c>
      <c r="I1313" s="4" t="s">
        <v>82</v>
      </c>
      <c r="J1313" s="2">
        <v>1000189270</v>
      </c>
      <c r="K1313" s="2" t="s">
        <v>34</v>
      </c>
      <c r="L1313" s="4" t="s">
        <v>27</v>
      </c>
      <c r="M1313" s="4" t="str">
        <f t="shared" si="309"/>
        <v>1000184670100018619710001898131000189270TAMARA</v>
      </c>
      <c r="N1313" s="28">
        <f>N1296*_xlfn.XLOOKUP($L1313,'Balizador da Meta'!$B$4:$B$21,'Balizador da Meta'!$C$4:$C$21)</f>
        <v>48</v>
      </c>
      <c r="O1313" s="28">
        <f>O1296*_xlfn.XLOOKUP($L1313,'Balizador da Meta'!$B$4:$B$21,'Balizador da Meta'!$C$4:$C$21)</f>
        <v>48</v>
      </c>
      <c r="P1313" s="28">
        <f>P1296*_xlfn.XLOOKUP($L1313,'Balizador da Meta'!$B$4:$B$21,'Balizador da Meta'!$C$4:$C$21)</f>
        <v>48</v>
      </c>
      <c r="Q1313" s="28">
        <f>Q1296*_xlfn.XLOOKUP($L1313,'Balizador da Meta'!$B$4:$B$21,'Balizador da Meta'!$C$4:$C$21)</f>
        <v>48</v>
      </c>
      <c r="R1313" s="28">
        <f>R1296*_xlfn.XLOOKUP($L1313,'Balizador da Meta'!$B$4:$B$21,'Balizador da Meta'!$C$4:$C$21)</f>
        <v>96</v>
      </c>
      <c r="S1313" s="28">
        <f>S1296*_xlfn.XLOOKUP($L1313,'Balizador da Meta'!$B$4:$B$21,'Balizador da Meta'!$C$4:$C$21)</f>
        <v>96</v>
      </c>
      <c r="T1313" s="28">
        <f>T1296*_xlfn.XLOOKUP($L1313,'Balizador da Meta'!$B$4:$B$21,'Balizador da Meta'!$C$4:$C$21)</f>
        <v>96</v>
      </c>
      <c r="U1313" s="28">
        <f>U1296*_xlfn.XLOOKUP($L1313,'Balizador da Meta'!$B$4:$B$21,'Balizador da Meta'!$C$4:$C$21)</f>
        <v>96</v>
      </c>
      <c r="V1313" s="28">
        <f>V1296*_xlfn.XLOOKUP($L1313,'Balizador da Meta'!$B$4:$B$21,'Balizador da Meta'!$C$4:$C$21)</f>
        <v>96</v>
      </c>
      <c r="W1313" s="28">
        <f>W1296*_xlfn.XLOOKUP($L1313,'Balizador da Meta'!$B$4:$B$21,'Balizador da Meta'!$C$4:$C$21)</f>
        <v>144</v>
      </c>
      <c r="X1313" s="28">
        <f>X1296*_xlfn.XLOOKUP($L1313,'Balizador da Meta'!$B$4:$B$21,'Balizador da Meta'!$C$4:$C$21)</f>
        <v>144</v>
      </c>
      <c r="Y1313" s="28">
        <f>Y1296*_xlfn.XLOOKUP($L1313,'Balizador da Meta'!$B$4:$B$21,'Balizador da Meta'!$C$4:$C$21)</f>
        <v>144</v>
      </c>
      <c r="Z1313" s="30">
        <f t="shared" si="312"/>
        <v>1104</v>
      </c>
      <c r="AA1313" s="29"/>
      <c r="AB1313" s="31">
        <f>SUMIFS('Historico - FAT'!AK:AK,'Historico - FAT'!$K:$K,Faturamento!$L1313,'Historico - FAT'!$I:$I,Faturamento!$J1313,'Historico - FAT'!$G:$G,Faturamento!$H1313)</f>
        <v>0</v>
      </c>
      <c r="AC1313" s="31">
        <f>SUMIFS('Historico - FAT'!AL:AL,'Historico - FAT'!$K:$K,Faturamento!$L1313,'Historico - FAT'!$I:$I,Faturamento!$J1313,'Historico - FAT'!$G:$G,Faturamento!$H1313)</f>
        <v>0</v>
      </c>
      <c r="AD1313" s="31">
        <f>SUMIFS('Historico - FAT'!AM:AM,'Historico - FAT'!$K:$K,Faturamento!$L1313,'Historico - FAT'!$I:$I,Faturamento!$J1313,'Historico - FAT'!$G:$G,Faturamento!$H1313)</f>
        <v>0</v>
      </c>
      <c r="AE1313" s="27">
        <f>SUMIFS('Historico - FAT'!AN:AN,'Historico - FAT'!$K:$K,Faturamento!$L1313,'Historico - FAT'!$I:$I,Faturamento!$J1313,'Historico - FAT'!$G:$G,Faturamento!$H1313)</f>
        <v>0</v>
      </c>
      <c r="AG1313" s="24">
        <f t="shared" si="303"/>
        <v>1</v>
      </c>
      <c r="AH1313" s="24">
        <f t="shared" si="304"/>
        <v>1</v>
      </c>
      <c r="AI1313" s="24">
        <f t="shared" si="305"/>
        <v>1</v>
      </c>
    </row>
    <row r="1314" spans="1:35" hidden="1" x14ac:dyDescent="0.3">
      <c r="A1314" s="2" t="str">
        <f t="shared" si="302"/>
        <v>NÃO</v>
      </c>
      <c r="B1314" s="2">
        <v>1000184670</v>
      </c>
      <c r="C1314" s="2" t="s">
        <v>147</v>
      </c>
      <c r="D1314" s="4">
        <v>1000186197</v>
      </c>
      <c r="E1314" s="4" t="s">
        <v>166</v>
      </c>
      <c r="F1314" s="2">
        <v>1000184762</v>
      </c>
      <c r="G1314" s="2" t="s">
        <v>58</v>
      </c>
      <c r="H1314" s="4">
        <v>1000189813</v>
      </c>
      <c r="I1314" s="4" t="s">
        <v>82</v>
      </c>
      <c r="J1314" s="2">
        <v>1000189270</v>
      </c>
      <c r="K1314" s="2" t="s">
        <v>34</v>
      </c>
      <c r="L1314" s="4" t="s">
        <v>25</v>
      </c>
      <c r="M1314" s="4" t="str">
        <f t="shared" si="309"/>
        <v>1000184670100018619710001898131000189270VICCIO</v>
      </c>
      <c r="N1314" s="28">
        <f>N1296*_xlfn.XLOOKUP($L1314,'Balizador da Meta'!$B$4:$B$21,'Balizador da Meta'!$C$4:$C$21)</f>
        <v>18</v>
      </c>
      <c r="O1314" s="28">
        <f>O1296*_xlfn.XLOOKUP($L1314,'Balizador da Meta'!$B$4:$B$21,'Balizador da Meta'!$C$4:$C$21)</f>
        <v>18</v>
      </c>
      <c r="P1314" s="28">
        <f>P1296*_xlfn.XLOOKUP($L1314,'Balizador da Meta'!$B$4:$B$21,'Balizador da Meta'!$C$4:$C$21)</f>
        <v>18</v>
      </c>
      <c r="Q1314" s="28">
        <f>Q1296*_xlfn.XLOOKUP($L1314,'Balizador da Meta'!$B$4:$B$21,'Balizador da Meta'!$C$4:$C$21)</f>
        <v>18</v>
      </c>
      <c r="R1314" s="28">
        <f>R1296*_xlfn.XLOOKUP($L1314,'Balizador da Meta'!$B$4:$B$21,'Balizador da Meta'!$C$4:$C$21)</f>
        <v>36</v>
      </c>
      <c r="S1314" s="28">
        <f>S1296*_xlfn.XLOOKUP($L1314,'Balizador da Meta'!$B$4:$B$21,'Balizador da Meta'!$C$4:$C$21)</f>
        <v>36</v>
      </c>
      <c r="T1314" s="28">
        <f>T1296*_xlfn.XLOOKUP($L1314,'Balizador da Meta'!$B$4:$B$21,'Balizador da Meta'!$C$4:$C$21)</f>
        <v>36</v>
      </c>
      <c r="U1314" s="28">
        <f>U1296*_xlfn.XLOOKUP($L1314,'Balizador da Meta'!$B$4:$B$21,'Balizador da Meta'!$C$4:$C$21)</f>
        <v>36</v>
      </c>
      <c r="V1314" s="28">
        <f>V1296*_xlfn.XLOOKUP($L1314,'Balizador da Meta'!$B$4:$B$21,'Balizador da Meta'!$C$4:$C$21)</f>
        <v>36</v>
      </c>
      <c r="W1314" s="28">
        <f>W1296*_xlfn.XLOOKUP($L1314,'Balizador da Meta'!$B$4:$B$21,'Balizador da Meta'!$C$4:$C$21)</f>
        <v>54</v>
      </c>
      <c r="X1314" s="28">
        <f>X1296*_xlfn.XLOOKUP($L1314,'Balizador da Meta'!$B$4:$B$21,'Balizador da Meta'!$C$4:$C$21)</f>
        <v>54</v>
      </c>
      <c r="Y1314" s="28">
        <f>Y1296*_xlfn.XLOOKUP($L1314,'Balizador da Meta'!$B$4:$B$21,'Balizador da Meta'!$C$4:$C$21)</f>
        <v>54</v>
      </c>
      <c r="Z1314" s="30">
        <f t="shared" si="312"/>
        <v>414</v>
      </c>
      <c r="AA1314" s="29"/>
      <c r="AB1314" s="31">
        <f>SUMIFS('Historico - FAT'!AK:AK,'Historico - FAT'!$K:$K,Faturamento!$L1314,'Historico - FAT'!$I:$I,Faturamento!$J1314,'Historico - FAT'!$G:$G,Faturamento!$H1314)</f>
        <v>0</v>
      </c>
      <c r="AC1314" s="31">
        <f>SUMIFS('Historico - FAT'!AL:AL,'Historico - FAT'!$K:$K,Faturamento!$L1314,'Historico - FAT'!$I:$I,Faturamento!$J1314,'Historico - FAT'!$G:$G,Faturamento!$H1314)</f>
        <v>0</v>
      </c>
      <c r="AD1314" s="31">
        <f>SUMIFS('Historico - FAT'!AM:AM,'Historico - FAT'!$K:$K,Faturamento!$L1314,'Historico - FAT'!$I:$I,Faturamento!$J1314,'Historico - FAT'!$G:$G,Faturamento!$H1314)</f>
        <v>0</v>
      </c>
      <c r="AE1314" s="27">
        <f>SUMIFS('Historico - FAT'!AN:AN,'Historico - FAT'!$K:$K,Faturamento!$L1314,'Historico - FAT'!$I:$I,Faturamento!$J1314,'Historico - FAT'!$G:$G,Faturamento!$H1314)</f>
        <v>0</v>
      </c>
      <c r="AG1314" s="24">
        <f t="shared" si="303"/>
        <v>1</v>
      </c>
      <c r="AH1314" s="24">
        <f t="shared" si="304"/>
        <v>1</v>
      </c>
      <c r="AI1314" s="24">
        <f t="shared" si="305"/>
        <v>1</v>
      </c>
    </row>
    <row r="1315" spans="1:35" x14ac:dyDescent="0.3">
      <c r="A1315" s="2" t="str">
        <f t="shared" si="302"/>
        <v>SIM</v>
      </c>
      <c r="B1315" s="2">
        <v>1000184670</v>
      </c>
      <c r="C1315" s="2" t="s">
        <v>147</v>
      </c>
      <c r="D1315" s="4">
        <v>1000186197</v>
      </c>
      <c r="E1315" s="4" t="s">
        <v>166</v>
      </c>
      <c r="F1315" s="2">
        <v>1000184762</v>
      </c>
      <c r="G1315" s="2" t="s">
        <v>58</v>
      </c>
      <c r="H1315" s="4">
        <v>1000189814</v>
      </c>
      <c r="I1315" s="4" t="s">
        <v>91</v>
      </c>
      <c r="J1315" s="2">
        <v>1000189270</v>
      </c>
      <c r="K1315" s="2" t="s">
        <v>34</v>
      </c>
      <c r="L1315" s="4" t="s">
        <v>124</v>
      </c>
      <c r="M1315" s="4" t="str">
        <f t="shared" si="309"/>
        <v>100018467010001861971000189814100018927001. TOTAL</v>
      </c>
      <c r="N1315" s="28">
        <f>SUMIFS(Positivação!L:L,Positivação!$I:$I,Faturamento!$J1315,Positivação!$G:$G,Faturamento!$H1315)*SUMIFS(Positivação!$Z:$Z,Positivação!$I:$I,Faturamento!$J1315,Positivação!$G:$G,Faturamento!$H1315)</f>
        <v>2400</v>
      </c>
      <c r="O1315" s="28">
        <f>SUMIFS(Positivação!M:M,Positivação!$I:$I,Faturamento!$J1315,Positivação!$G:$G,Faturamento!$H1315)*SUMIFS(Positivação!$Z:$Z,Positivação!$I:$I,Faturamento!$J1315,Positivação!$G:$G,Faturamento!$H1315)</f>
        <v>2400</v>
      </c>
      <c r="P1315" s="28">
        <f>SUMIFS(Positivação!N:N,Positivação!$I:$I,Faturamento!$J1315,Positivação!$G:$G,Faturamento!$H1315)*SUMIFS(Positivação!$Z:$Z,Positivação!$I:$I,Faturamento!$J1315,Positivação!$G:$G,Faturamento!$H1315)</f>
        <v>2400</v>
      </c>
      <c r="Q1315" s="28">
        <f>SUMIFS(Positivação!O:O,Positivação!$I:$I,Faturamento!$J1315,Positivação!$G:$G,Faturamento!$H1315)*SUMIFS(Positivação!$Z:$Z,Positivação!$I:$I,Faturamento!$J1315,Positivação!$G:$G,Faturamento!$H1315)</f>
        <v>2400</v>
      </c>
      <c r="R1315" s="28">
        <f>SUMIFS(Positivação!P:P,Positivação!$I:$I,Faturamento!$J1315,Positivação!$G:$G,Faturamento!$H1315)*SUMIFS(Positivação!$Z:$Z,Positivação!$I:$I,Faturamento!$J1315,Positivação!$G:$G,Faturamento!$H1315)</f>
        <v>3000</v>
      </c>
      <c r="S1315" s="28">
        <f>SUMIFS(Positivação!Q:Q,Positivação!$I:$I,Faturamento!$J1315,Positivação!$G:$G,Faturamento!$H1315)*SUMIFS(Positivação!$Z:$Z,Positivação!$I:$I,Faturamento!$J1315,Positivação!$G:$G,Faturamento!$H1315)</f>
        <v>3000</v>
      </c>
      <c r="T1315" s="28">
        <f>SUMIFS(Positivação!R:R,Positivação!$I:$I,Faturamento!$J1315,Positivação!$G:$G,Faturamento!$H1315)*SUMIFS(Positivação!$Z:$Z,Positivação!$I:$I,Faturamento!$J1315,Positivação!$G:$G,Faturamento!$H1315)</f>
        <v>3000</v>
      </c>
      <c r="U1315" s="28">
        <f>SUMIFS(Positivação!S:S,Positivação!$I:$I,Faturamento!$J1315,Positivação!$G:$G,Faturamento!$H1315)*SUMIFS(Positivação!$Z:$Z,Positivação!$I:$I,Faturamento!$J1315,Positivação!$G:$G,Faturamento!$H1315)</f>
        <v>3000</v>
      </c>
      <c r="V1315" s="28">
        <f>SUMIFS(Positivação!T:T,Positivação!$I:$I,Faturamento!$J1315,Positivação!$G:$G,Faturamento!$H1315)*SUMIFS(Positivação!$Z:$Z,Positivação!$I:$I,Faturamento!$J1315,Positivação!$G:$G,Faturamento!$H1315)</f>
        <v>3000</v>
      </c>
      <c r="W1315" s="28">
        <f>SUMIFS(Positivação!U:U,Positivação!$I:$I,Faturamento!$J1315,Positivação!$G:$G,Faturamento!$H1315)*SUMIFS(Positivação!$Z:$Z,Positivação!$I:$I,Faturamento!$J1315,Positivação!$G:$G,Faturamento!$H1315)</f>
        <v>3600</v>
      </c>
      <c r="X1315" s="28">
        <f>SUMIFS(Positivação!V:V,Positivação!$I:$I,Faturamento!$J1315,Positivação!$G:$G,Faturamento!$H1315)*SUMIFS(Positivação!$Z:$Z,Positivação!$I:$I,Faturamento!$J1315,Positivação!$G:$G,Faturamento!$H1315)</f>
        <v>3600</v>
      </c>
      <c r="Y1315" s="28">
        <f>SUMIFS(Positivação!W:W,Positivação!$I:$I,Faturamento!$J1315,Positivação!$G:$G,Faturamento!$H1315)*SUMIFS(Positivação!$Z:$Z,Positivação!$I:$I,Faturamento!$J1315,Positivação!$G:$G,Faturamento!$H1315)</f>
        <v>3600</v>
      </c>
      <c r="Z1315" s="28">
        <f t="shared" ref="Z1315" si="313">SUM(Z1316:Z1333)</f>
        <v>35400</v>
      </c>
      <c r="AA1315" s="29"/>
      <c r="AB1315" s="28">
        <f t="shared" ref="AB1315:AE1315" si="314">SUM(AB1316:AB1333)</f>
        <v>98.419999999999987</v>
      </c>
      <c r="AC1315" s="28">
        <f t="shared" si="314"/>
        <v>89.014166666666668</v>
      </c>
      <c r="AD1315" s="28">
        <f t="shared" si="314"/>
        <v>127.5</v>
      </c>
      <c r="AE1315" s="28">
        <f t="shared" si="314"/>
        <v>106.81700000000001</v>
      </c>
      <c r="AG1315" s="24">
        <f t="shared" si="303"/>
        <v>0.97266111111111109</v>
      </c>
      <c r="AH1315" s="24">
        <f t="shared" si="304"/>
        <v>0.97527384259259253</v>
      </c>
      <c r="AI1315" s="24">
        <f t="shared" si="305"/>
        <v>0.96458333333333335</v>
      </c>
    </row>
    <row r="1316" spans="1:35" hidden="1" x14ac:dyDescent="0.3">
      <c r="A1316" s="2" t="str">
        <f t="shared" si="302"/>
        <v>NÃO</v>
      </c>
      <c r="B1316" s="2">
        <v>1000184670</v>
      </c>
      <c r="C1316" s="2" t="s">
        <v>147</v>
      </c>
      <c r="D1316" s="4">
        <v>1000186197</v>
      </c>
      <c r="E1316" s="4" t="s">
        <v>166</v>
      </c>
      <c r="F1316" s="2">
        <v>1000184762</v>
      </c>
      <c r="G1316" s="2" t="s">
        <v>58</v>
      </c>
      <c r="H1316" s="4">
        <v>1000189814</v>
      </c>
      <c r="I1316" s="4" t="s">
        <v>91</v>
      </c>
      <c r="J1316" s="2">
        <v>1000189270</v>
      </c>
      <c r="K1316" s="2" t="s">
        <v>34</v>
      </c>
      <c r="L1316" s="4" t="s">
        <v>13</v>
      </c>
      <c r="M1316" s="4" t="str">
        <f t="shared" si="309"/>
        <v>1000184670100018619710001898141000189270BISCOITO</v>
      </c>
      <c r="N1316" s="28">
        <f>N1315*_xlfn.XLOOKUP($L1316,'Balizador da Meta'!$B$4:$B$21,'Balizador da Meta'!$C$4:$C$21)</f>
        <v>168.00000000000003</v>
      </c>
      <c r="O1316" s="28">
        <f>O1315*_xlfn.XLOOKUP($L1316,'Balizador da Meta'!$B$4:$B$21,'Balizador da Meta'!$C$4:$C$21)</f>
        <v>168.00000000000003</v>
      </c>
      <c r="P1316" s="28">
        <f>P1315*_xlfn.XLOOKUP($L1316,'Balizador da Meta'!$B$4:$B$21,'Balizador da Meta'!$C$4:$C$21)</f>
        <v>168.00000000000003</v>
      </c>
      <c r="Q1316" s="28">
        <f>Q1315*_xlfn.XLOOKUP($L1316,'Balizador da Meta'!$B$4:$B$21,'Balizador da Meta'!$C$4:$C$21)</f>
        <v>168.00000000000003</v>
      </c>
      <c r="R1316" s="28">
        <f>R1315*_xlfn.XLOOKUP($L1316,'Balizador da Meta'!$B$4:$B$21,'Balizador da Meta'!$C$4:$C$21)</f>
        <v>210.00000000000003</v>
      </c>
      <c r="S1316" s="28">
        <f>S1315*_xlfn.XLOOKUP($L1316,'Balizador da Meta'!$B$4:$B$21,'Balizador da Meta'!$C$4:$C$21)</f>
        <v>210.00000000000003</v>
      </c>
      <c r="T1316" s="28">
        <f>T1315*_xlfn.XLOOKUP($L1316,'Balizador da Meta'!$B$4:$B$21,'Balizador da Meta'!$C$4:$C$21)</f>
        <v>210.00000000000003</v>
      </c>
      <c r="U1316" s="28">
        <f>U1315*_xlfn.XLOOKUP($L1316,'Balizador da Meta'!$B$4:$B$21,'Balizador da Meta'!$C$4:$C$21)</f>
        <v>210.00000000000003</v>
      </c>
      <c r="V1316" s="28">
        <f>V1315*_xlfn.XLOOKUP($L1316,'Balizador da Meta'!$B$4:$B$21,'Balizador da Meta'!$C$4:$C$21)</f>
        <v>210.00000000000003</v>
      </c>
      <c r="W1316" s="28">
        <f>W1315*_xlfn.XLOOKUP($L1316,'Balizador da Meta'!$B$4:$B$21,'Balizador da Meta'!$C$4:$C$21)</f>
        <v>252.00000000000003</v>
      </c>
      <c r="X1316" s="28">
        <f>X1315*_xlfn.XLOOKUP($L1316,'Balizador da Meta'!$B$4:$B$21,'Balizador da Meta'!$C$4:$C$21)</f>
        <v>252.00000000000003</v>
      </c>
      <c r="Y1316" s="28">
        <f>Y1315*_xlfn.XLOOKUP($L1316,'Balizador da Meta'!$B$4:$B$21,'Balizador da Meta'!$C$4:$C$21)</f>
        <v>252.00000000000003</v>
      </c>
      <c r="Z1316" s="30">
        <f t="shared" ref="Z1316:Z1333" si="315">SUM(N1316:Y1316)</f>
        <v>2478.0000000000005</v>
      </c>
      <c r="AA1316" s="29"/>
      <c r="AB1316" s="31">
        <f>SUMIFS('Historico - FAT'!AK:AK,'Historico - FAT'!$K:$K,Faturamento!$L1316,'Historico - FAT'!$I:$I,Faturamento!$J1316,'Historico - FAT'!$G:$G,Faturamento!$H1316)</f>
        <v>38.919999999999995</v>
      </c>
      <c r="AC1316" s="31">
        <f>SUMIFS('Historico - FAT'!AL:AL,'Historico - FAT'!$K:$K,Faturamento!$L1316,'Historico - FAT'!$I:$I,Faturamento!$J1316,'Historico - FAT'!$G:$G,Faturamento!$H1316)</f>
        <v>-62</v>
      </c>
      <c r="AD1316" s="31">
        <f>SUMIFS('Historico - FAT'!AM:AM,'Historico - FAT'!$K:$K,Faturamento!$L1316,'Historico - FAT'!$I:$I,Faturamento!$J1316,'Historico - FAT'!$G:$G,Faturamento!$H1316)</f>
        <v>-124</v>
      </c>
      <c r="AE1316" s="27">
        <f>SUMIFS('Historico - FAT'!AN:AN,'Historico - FAT'!$K:$K,Faturamento!$L1316,'Historico - FAT'!$I:$I,Faturamento!$J1316,'Historico - FAT'!$G:$G,Faturamento!$H1316)</f>
        <v>-74.400000000000006</v>
      </c>
      <c r="AG1316" s="24">
        <f t="shared" si="303"/>
        <v>0.84555555555555562</v>
      </c>
      <c r="AH1316" s="24">
        <f t="shared" si="304"/>
        <v>1.2460317460317458</v>
      </c>
      <c r="AI1316" s="24">
        <f t="shared" si="305"/>
        <v>1.4920634920634919</v>
      </c>
    </row>
    <row r="1317" spans="1:35" hidden="1" x14ac:dyDescent="0.3">
      <c r="A1317" s="2" t="str">
        <f t="shared" si="302"/>
        <v>NÃO</v>
      </c>
      <c r="B1317" s="2">
        <v>1000184670</v>
      </c>
      <c r="C1317" s="2" t="s">
        <v>147</v>
      </c>
      <c r="D1317" s="4">
        <v>1000186197</v>
      </c>
      <c r="E1317" s="4" t="s">
        <v>166</v>
      </c>
      <c r="F1317" s="2">
        <v>1000184762</v>
      </c>
      <c r="G1317" s="2" t="s">
        <v>58</v>
      </c>
      <c r="H1317" s="4">
        <v>1000189814</v>
      </c>
      <c r="I1317" s="4" t="s">
        <v>91</v>
      </c>
      <c r="J1317" s="2">
        <v>1000189270</v>
      </c>
      <c r="K1317" s="2" t="s">
        <v>34</v>
      </c>
      <c r="L1317" s="4" t="s">
        <v>14</v>
      </c>
      <c r="M1317" s="4" t="str">
        <f t="shared" si="309"/>
        <v>1000184670100018619710001898141000189270CHOCOLATES</v>
      </c>
      <c r="N1317" s="28">
        <f>N1315*_xlfn.XLOOKUP($L1317,'Balizador da Meta'!$B$4:$B$21,'Balizador da Meta'!$C$4:$C$21)</f>
        <v>168.00000000000003</v>
      </c>
      <c r="O1317" s="28">
        <f>O1315*_xlfn.XLOOKUP($L1317,'Balizador da Meta'!$B$4:$B$21,'Balizador da Meta'!$C$4:$C$21)</f>
        <v>168.00000000000003</v>
      </c>
      <c r="P1317" s="28">
        <f>P1315*_xlfn.XLOOKUP($L1317,'Balizador da Meta'!$B$4:$B$21,'Balizador da Meta'!$C$4:$C$21)</f>
        <v>168.00000000000003</v>
      </c>
      <c r="Q1317" s="28">
        <f>Q1315*_xlfn.XLOOKUP($L1317,'Balizador da Meta'!$B$4:$B$21,'Balizador da Meta'!$C$4:$C$21)</f>
        <v>168.00000000000003</v>
      </c>
      <c r="R1317" s="28">
        <f>R1315*_xlfn.XLOOKUP($L1317,'Balizador da Meta'!$B$4:$B$21,'Balizador da Meta'!$C$4:$C$21)</f>
        <v>210.00000000000003</v>
      </c>
      <c r="S1317" s="28">
        <f>S1315*_xlfn.XLOOKUP($L1317,'Balizador da Meta'!$B$4:$B$21,'Balizador da Meta'!$C$4:$C$21)</f>
        <v>210.00000000000003</v>
      </c>
      <c r="T1317" s="28">
        <f>T1315*_xlfn.XLOOKUP($L1317,'Balizador da Meta'!$B$4:$B$21,'Balizador da Meta'!$C$4:$C$21)</f>
        <v>210.00000000000003</v>
      </c>
      <c r="U1317" s="28">
        <f>U1315*_xlfn.XLOOKUP($L1317,'Balizador da Meta'!$B$4:$B$21,'Balizador da Meta'!$C$4:$C$21)</f>
        <v>210.00000000000003</v>
      </c>
      <c r="V1317" s="28">
        <f>V1315*_xlfn.XLOOKUP($L1317,'Balizador da Meta'!$B$4:$B$21,'Balizador da Meta'!$C$4:$C$21)</f>
        <v>210.00000000000003</v>
      </c>
      <c r="W1317" s="28">
        <f>W1315*_xlfn.XLOOKUP($L1317,'Balizador da Meta'!$B$4:$B$21,'Balizador da Meta'!$C$4:$C$21)</f>
        <v>252.00000000000003</v>
      </c>
      <c r="X1317" s="28">
        <f>X1315*_xlfn.XLOOKUP($L1317,'Balizador da Meta'!$B$4:$B$21,'Balizador da Meta'!$C$4:$C$21)</f>
        <v>252.00000000000003</v>
      </c>
      <c r="Y1317" s="28">
        <f>Y1315*_xlfn.XLOOKUP($L1317,'Balizador da Meta'!$B$4:$B$21,'Balizador da Meta'!$C$4:$C$21)</f>
        <v>252.00000000000003</v>
      </c>
      <c r="Z1317" s="30">
        <f t="shared" si="315"/>
        <v>2478.0000000000005</v>
      </c>
      <c r="AA1317" s="29"/>
      <c r="AB1317" s="31">
        <f>SUMIFS('Historico - FAT'!AK:AK,'Historico - FAT'!$K:$K,Faturamento!$L1317,'Historico - FAT'!$I:$I,Faturamento!$J1317,'Historico - FAT'!$G:$G,Faturamento!$H1317)</f>
        <v>0</v>
      </c>
      <c r="AC1317" s="31">
        <f>SUMIFS('Historico - FAT'!AL:AL,'Historico - FAT'!$K:$K,Faturamento!$L1317,'Historico - FAT'!$I:$I,Faturamento!$J1317,'Historico - FAT'!$G:$G,Faturamento!$H1317)</f>
        <v>0</v>
      </c>
      <c r="AD1317" s="31">
        <f>SUMIFS('Historico - FAT'!AM:AM,'Historico - FAT'!$K:$K,Faturamento!$L1317,'Historico - FAT'!$I:$I,Faturamento!$J1317,'Historico - FAT'!$G:$G,Faturamento!$H1317)</f>
        <v>0</v>
      </c>
      <c r="AE1317" s="27">
        <f>SUMIFS('Historico - FAT'!AN:AN,'Historico - FAT'!$K:$K,Faturamento!$L1317,'Historico - FAT'!$I:$I,Faturamento!$J1317,'Historico - FAT'!$G:$G,Faturamento!$H1317)</f>
        <v>0</v>
      </c>
      <c r="AG1317" s="24">
        <f t="shared" si="303"/>
        <v>1</v>
      </c>
      <c r="AH1317" s="24">
        <f t="shared" si="304"/>
        <v>1</v>
      </c>
      <c r="AI1317" s="24">
        <f t="shared" si="305"/>
        <v>1</v>
      </c>
    </row>
    <row r="1318" spans="1:35" hidden="1" x14ac:dyDescent="0.3">
      <c r="A1318" s="2" t="str">
        <f t="shared" si="302"/>
        <v>NÃO</v>
      </c>
      <c r="B1318" s="2">
        <v>1000184670</v>
      </c>
      <c r="C1318" s="2" t="s">
        <v>147</v>
      </c>
      <c r="D1318" s="4">
        <v>1000186197</v>
      </c>
      <c r="E1318" s="4" t="s">
        <v>166</v>
      </c>
      <c r="F1318" s="2">
        <v>1000184762</v>
      </c>
      <c r="G1318" s="2" t="s">
        <v>58</v>
      </c>
      <c r="H1318" s="4">
        <v>1000189814</v>
      </c>
      <c r="I1318" s="4" t="s">
        <v>91</v>
      </c>
      <c r="J1318" s="2">
        <v>1000189270</v>
      </c>
      <c r="K1318" s="2" t="s">
        <v>34</v>
      </c>
      <c r="L1318" s="4" t="s">
        <v>16</v>
      </c>
      <c r="M1318" s="4" t="str">
        <f t="shared" si="309"/>
        <v>1000184670100018619710001898141000189270DISNEY</v>
      </c>
      <c r="N1318" s="28">
        <f>N1315*_xlfn.XLOOKUP($L1318,'Balizador da Meta'!$B$4:$B$21,'Balizador da Meta'!$C$4:$C$21)</f>
        <v>192</v>
      </c>
      <c r="O1318" s="28">
        <f>O1315*_xlfn.XLOOKUP($L1318,'Balizador da Meta'!$B$4:$B$21,'Balizador da Meta'!$C$4:$C$21)</f>
        <v>192</v>
      </c>
      <c r="P1318" s="28">
        <f>P1315*_xlfn.XLOOKUP($L1318,'Balizador da Meta'!$B$4:$B$21,'Balizador da Meta'!$C$4:$C$21)</f>
        <v>192</v>
      </c>
      <c r="Q1318" s="28">
        <f>Q1315*_xlfn.XLOOKUP($L1318,'Balizador da Meta'!$B$4:$B$21,'Balizador da Meta'!$C$4:$C$21)</f>
        <v>192</v>
      </c>
      <c r="R1318" s="28">
        <f>R1315*_xlfn.XLOOKUP($L1318,'Balizador da Meta'!$B$4:$B$21,'Balizador da Meta'!$C$4:$C$21)</f>
        <v>240</v>
      </c>
      <c r="S1318" s="28">
        <f>S1315*_xlfn.XLOOKUP($L1318,'Balizador da Meta'!$B$4:$B$21,'Balizador da Meta'!$C$4:$C$21)</f>
        <v>240</v>
      </c>
      <c r="T1318" s="28">
        <f>T1315*_xlfn.XLOOKUP($L1318,'Balizador da Meta'!$B$4:$B$21,'Balizador da Meta'!$C$4:$C$21)</f>
        <v>240</v>
      </c>
      <c r="U1318" s="28">
        <f>U1315*_xlfn.XLOOKUP($L1318,'Balizador da Meta'!$B$4:$B$21,'Balizador da Meta'!$C$4:$C$21)</f>
        <v>240</v>
      </c>
      <c r="V1318" s="28">
        <f>V1315*_xlfn.XLOOKUP($L1318,'Balizador da Meta'!$B$4:$B$21,'Balizador da Meta'!$C$4:$C$21)</f>
        <v>240</v>
      </c>
      <c r="W1318" s="28">
        <f>W1315*_xlfn.XLOOKUP($L1318,'Balizador da Meta'!$B$4:$B$21,'Balizador da Meta'!$C$4:$C$21)</f>
        <v>288</v>
      </c>
      <c r="X1318" s="28">
        <f>X1315*_xlfn.XLOOKUP($L1318,'Balizador da Meta'!$B$4:$B$21,'Balizador da Meta'!$C$4:$C$21)</f>
        <v>288</v>
      </c>
      <c r="Y1318" s="28">
        <f>Y1315*_xlfn.XLOOKUP($L1318,'Balizador da Meta'!$B$4:$B$21,'Balizador da Meta'!$C$4:$C$21)</f>
        <v>288</v>
      </c>
      <c r="Z1318" s="30">
        <f t="shared" si="315"/>
        <v>2832</v>
      </c>
      <c r="AA1318" s="29"/>
      <c r="AB1318" s="31">
        <f>SUMIFS('Historico - FAT'!AK:AK,'Historico - FAT'!$K:$K,Faturamento!$L1318,'Historico - FAT'!$I:$I,Faturamento!$J1318,'Historico - FAT'!$G:$G,Faturamento!$H1318)</f>
        <v>0</v>
      </c>
      <c r="AC1318" s="31">
        <f>SUMIFS('Historico - FAT'!AL:AL,'Historico - FAT'!$K:$K,Faturamento!$L1318,'Historico - FAT'!$I:$I,Faturamento!$J1318,'Historico - FAT'!$G:$G,Faturamento!$H1318)</f>
        <v>0</v>
      </c>
      <c r="AD1318" s="31">
        <f>SUMIFS('Historico - FAT'!AM:AM,'Historico - FAT'!$K:$K,Faturamento!$L1318,'Historico - FAT'!$I:$I,Faturamento!$J1318,'Historico - FAT'!$G:$G,Faturamento!$H1318)</f>
        <v>0</v>
      </c>
      <c r="AE1318" s="27">
        <f>SUMIFS('Historico - FAT'!AN:AN,'Historico - FAT'!$K:$K,Faturamento!$L1318,'Historico - FAT'!$I:$I,Faturamento!$J1318,'Historico - FAT'!$G:$G,Faturamento!$H1318)</f>
        <v>0</v>
      </c>
      <c r="AG1318" s="24">
        <f t="shared" si="303"/>
        <v>1</v>
      </c>
      <c r="AH1318" s="24">
        <f t="shared" si="304"/>
        <v>1</v>
      </c>
      <c r="AI1318" s="24">
        <f t="shared" si="305"/>
        <v>1</v>
      </c>
    </row>
    <row r="1319" spans="1:35" hidden="1" x14ac:dyDescent="0.3">
      <c r="A1319" s="2" t="str">
        <f t="shared" si="302"/>
        <v>NÃO</v>
      </c>
      <c r="B1319" s="2">
        <v>1000184670</v>
      </c>
      <c r="C1319" s="2" t="s">
        <v>147</v>
      </c>
      <c r="D1319" s="4">
        <v>1000186197</v>
      </c>
      <c r="E1319" s="4" t="s">
        <v>166</v>
      </c>
      <c r="F1319" s="2">
        <v>1000184762</v>
      </c>
      <c r="G1319" s="2" t="s">
        <v>58</v>
      </c>
      <c r="H1319" s="4">
        <v>1000189814</v>
      </c>
      <c r="I1319" s="4" t="s">
        <v>91</v>
      </c>
      <c r="J1319" s="2">
        <v>1000189270</v>
      </c>
      <c r="K1319" s="2" t="s">
        <v>34</v>
      </c>
      <c r="L1319" s="4" t="s">
        <v>15</v>
      </c>
      <c r="M1319" s="4" t="str">
        <f t="shared" si="309"/>
        <v>1000184670100018619710001898141000189270DOCES</v>
      </c>
      <c r="N1319" s="28">
        <f>N1315*_xlfn.XLOOKUP($L1319,'Balizador da Meta'!$B$4:$B$21,'Balizador da Meta'!$C$4:$C$21)</f>
        <v>216</v>
      </c>
      <c r="O1319" s="28">
        <f>O1315*_xlfn.XLOOKUP($L1319,'Balizador da Meta'!$B$4:$B$21,'Balizador da Meta'!$C$4:$C$21)</f>
        <v>216</v>
      </c>
      <c r="P1319" s="28">
        <f>P1315*_xlfn.XLOOKUP($L1319,'Balizador da Meta'!$B$4:$B$21,'Balizador da Meta'!$C$4:$C$21)</f>
        <v>216</v>
      </c>
      <c r="Q1319" s="28">
        <f>Q1315*_xlfn.XLOOKUP($L1319,'Balizador da Meta'!$B$4:$B$21,'Balizador da Meta'!$C$4:$C$21)</f>
        <v>216</v>
      </c>
      <c r="R1319" s="28">
        <f>R1315*_xlfn.XLOOKUP($L1319,'Balizador da Meta'!$B$4:$B$21,'Balizador da Meta'!$C$4:$C$21)</f>
        <v>270</v>
      </c>
      <c r="S1319" s="28">
        <f>S1315*_xlfn.XLOOKUP($L1319,'Balizador da Meta'!$B$4:$B$21,'Balizador da Meta'!$C$4:$C$21)</f>
        <v>270</v>
      </c>
      <c r="T1319" s="28">
        <f>T1315*_xlfn.XLOOKUP($L1319,'Balizador da Meta'!$B$4:$B$21,'Balizador da Meta'!$C$4:$C$21)</f>
        <v>270</v>
      </c>
      <c r="U1319" s="28">
        <f>U1315*_xlfn.XLOOKUP($L1319,'Balizador da Meta'!$B$4:$B$21,'Balizador da Meta'!$C$4:$C$21)</f>
        <v>270</v>
      </c>
      <c r="V1319" s="28">
        <f>V1315*_xlfn.XLOOKUP($L1319,'Balizador da Meta'!$B$4:$B$21,'Balizador da Meta'!$C$4:$C$21)</f>
        <v>270</v>
      </c>
      <c r="W1319" s="28">
        <f>W1315*_xlfn.XLOOKUP($L1319,'Balizador da Meta'!$B$4:$B$21,'Balizador da Meta'!$C$4:$C$21)</f>
        <v>324</v>
      </c>
      <c r="X1319" s="28">
        <f>X1315*_xlfn.XLOOKUP($L1319,'Balizador da Meta'!$B$4:$B$21,'Balizador da Meta'!$C$4:$C$21)</f>
        <v>324</v>
      </c>
      <c r="Y1319" s="28">
        <f>Y1315*_xlfn.XLOOKUP($L1319,'Balizador da Meta'!$B$4:$B$21,'Balizador da Meta'!$C$4:$C$21)</f>
        <v>324</v>
      </c>
      <c r="Z1319" s="30">
        <f t="shared" si="315"/>
        <v>3186</v>
      </c>
      <c r="AA1319" s="29"/>
      <c r="AB1319" s="31">
        <f>SUMIFS('Historico - FAT'!AK:AK,'Historico - FAT'!$K:$K,Faturamento!$L1319,'Historico - FAT'!$I:$I,Faturamento!$J1319,'Historico - FAT'!$G:$G,Faturamento!$H1319)</f>
        <v>0</v>
      </c>
      <c r="AC1319" s="31">
        <f>SUMIFS('Historico - FAT'!AL:AL,'Historico - FAT'!$K:$K,Faturamento!$L1319,'Historico - FAT'!$I:$I,Faturamento!$J1319,'Historico - FAT'!$G:$G,Faturamento!$H1319)</f>
        <v>15.625</v>
      </c>
      <c r="AD1319" s="31">
        <f>SUMIFS('Historico - FAT'!AM:AM,'Historico - FAT'!$K:$K,Faturamento!$L1319,'Historico - FAT'!$I:$I,Faturamento!$J1319,'Historico - FAT'!$G:$G,Faturamento!$H1319)</f>
        <v>0</v>
      </c>
      <c r="AE1319" s="27">
        <f>SUMIFS('Historico - FAT'!AN:AN,'Historico - FAT'!$K:$K,Faturamento!$L1319,'Historico - FAT'!$I:$I,Faturamento!$J1319,'Historico - FAT'!$G:$G,Faturamento!$H1319)</f>
        <v>18.75</v>
      </c>
      <c r="AG1319" s="24">
        <f t="shared" si="303"/>
        <v>1</v>
      </c>
      <c r="AH1319" s="24">
        <f t="shared" si="304"/>
        <v>0.95177469135802473</v>
      </c>
      <c r="AI1319" s="24">
        <f t="shared" si="305"/>
        <v>1</v>
      </c>
    </row>
    <row r="1320" spans="1:35" hidden="1" x14ac:dyDescent="0.3">
      <c r="A1320" s="2" t="str">
        <f t="shared" si="302"/>
        <v>NÃO</v>
      </c>
      <c r="B1320" s="2">
        <v>1000184670</v>
      </c>
      <c r="C1320" s="2" t="s">
        <v>147</v>
      </c>
      <c r="D1320" s="4">
        <v>1000186197</v>
      </c>
      <c r="E1320" s="4" t="s">
        <v>166</v>
      </c>
      <c r="F1320" s="2">
        <v>1000184762</v>
      </c>
      <c r="G1320" s="2" t="s">
        <v>58</v>
      </c>
      <c r="H1320" s="4">
        <v>1000189814</v>
      </c>
      <c r="I1320" s="4" t="s">
        <v>91</v>
      </c>
      <c r="J1320" s="2">
        <v>1000189270</v>
      </c>
      <c r="K1320" s="2" t="s">
        <v>34</v>
      </c>
      <c r="L1320" s="4" t="s">
        <v>33</v>
      </c>
      <c r="M1320" s="4" t="str">
        <f t="shared" si="309"/>
        <v>1000184670100018619710001898141000189270FOOD SERVICE</v>
      </c>
      <c r="N1320" s="28">
        <f>N1315*_xlfn.XLOOKUP($L1320,'Balizador da Meta'!$B$4:$B$21,'Balizador da Meta'!$C$4:$C$21)</f>
        <v>0</v>
      </c>
      <c r="O1320" s="28">
        <f>O1315*_xlfn.XLOOKUP($L1320,'Balizador da Meta'!$B$4:$B$21,'Balizador da Meta'!$C$4:$C$21)</f>
        <v>0</v>
      </c>
      <c r="P1320" s="28">
        <f>P1315*_xlfn.XLOOKUP($L1320,'Balizador da Meta'!$B$4:$B$21,'Balizador da Meta'!$C$4:$C$21)</f>
        <v>0</v>
      </c>
      <c r="Q1320" s="28">
        <f>Q1315*_xlfn.XLOOKUP($L1320,'Balizador da Meta'!$B$4:$B$21,'Balizador da Meta'!$C$4:$C$21)</f>
        <v>0</v>
      </c>
      <c r="R1320" s="28">
        <f>R1315*_xlfn.XLOOKUP($L1320,'Balizador da Meta'!$B$4:$B$21,'Balizador da Meta'!$C$4:$C$21)</f>
        <v>0</v>
      </c>
      <c r="S1320" s="28">
        <f>S1315*_xlfn.XLOOKUP($L1320,'Balizador da Meta'!$B$4:$B$21,'Balizador da Meta'!$C$4:$C$21)</f>
        <v>0</v>
      </c>
      <c r="T1320" s="28">
        <f>T1315*_xlfn.XLOOKUP($L1320,'Balizador da Meta'!$B$4:$B$21,'Balizador da Meta'!$C$4:$C$21)</f>
        <v>0</v>
      </c>
      <c r="U1320" s="28">
        <f>U1315*_xlfn.XLOOKUP($L1320,'Balizador da Meta'!$B$4:$B$21,'Balizador da Meta'!$C$4:$C$21)</f>
        <v>0</v>
      </c>
      <c r="V1320" s="28">
        <f>V1315*_xlfn.XLOOKUP($L1320,'Balizador da Meta'!$B$4:$B$21,'Balizador da Meta'!$C$4:$C$21)</f>
        <v>0</v>
      </c>
      <c r="W1320" s="28">
        <f>W1315*_xlfn.XLOOKUP($L1320,'Balizador da Meta'!$B$4:$B$21,'Balizador da Meta'!$C$4:$C$21)</f>
        <v>0</v>
      </c>
      <c r="X1320" s="28">
        <f>X1315*_xlfn.XLOOKUP($L1320,'Balizador da Meta'!$B$4:$B$21,'Balizador da Meta'!$C$4:$C$21)</f>
        <v>0</v>
      </c>
      <c r="Y1320" s="28">
        <f>Y1315*_xlfn.XLOOKUP($L1320,'Balizador da Meta'!$B$4:$B$21,'Balizador da Meta'!$C$4:$C$21)</f>
        <v>0</v>
      </c>
      <c r="Z1320" s="30">
        <f t="shared" si="315"/>
        <v>0</v>
      </c>
      <c r="AA1320" s="29"/>
      <c r="AB1320" s="31">
        <f>SUMIFS('Historico - FAT'!AK:AK,'Historico - FAT'!$K:$K,Faturamento!$L1320,'Historico - FAT'!$I:$I,Faturamento!$J1320,'Historico - FAT'!$G:$G,Faturamento!$H1320)</f>
        <v>0</v>
      </c>
      <c r="AC1320" s="31">
        <f>SUMIFS('Historico - FAT'!AL:AL,'Historico - FAT'!$K:$K,Faturamento!$L1320,'Historico - FAT'!$I:$I,Faturamento!$J1320,'Historico - FAT'!$G:$G,Faturamento!$H1320)</f>
        <v>0</v>
      </c>
      <c r="AD1320" s="31">
        <f>SUMIFS('Historico - FAT'!AM:AM,'Historico - FAT'!$K:$K,Faturamento!$L1320,'Historico - FAT'!$I:$I,Faturamento!$J1320,'Historico - FAT'!$G:$G,Faturamento!$H1320)</f>
        <v>0</v>
      </c>
      <c r="AE1320" s="27">
        <f>SUMIFS('Historico - FAT'!AN:AN,'Historico - FAT'!$K:$K,Faturamento!$L1320,'Historico - FAT'!$I:$I,Faturamento!$J1320,'Historico - FAT'!$G:$G,Faturamento!$H1320)</f>
        <v>0</v>
      </c>
      <c r="AG1320" s="24" t="str">
        <f t="shared" si="303"/>
        <v/>
      </c>
      <c r="AH1320" s="24" t="str">
        <f t="shared" si="304"/>
        <v/>
      </c>
      <c r="AI1320" s="24" t="str">
        <f t="shared" si="305"/>
        <v/>
      </c>
    </row>
    <row r="1321" spans="1:35" hidden="1" x14ac:dyDescent="0.3">
      <c r="A1321" s="2" t="str">
        <f t="shared" si="302"/>
        <v>NÃO</v>
      </c>
      <c r="B1321" s="2">
        <v>1000184670</v>
      </c>
      <c r="C1321" s="2" t="s">
        <v>147</v>
      </c>
      <c r="D1321" s="4">
        <v>1000186197</v>
      </c>
      <c r="E1321" s="4" t="s">
        <v>166</v>
      </c>
      <c r="F1321" s="2">
        <v>1000184762</v>
      </c>
      <c r="G1321" s="2" t="s">
        <v>58</v>
      </c>
      <c r="H1321" s="4">
        <v>1000189814</v>
      </c>
      <c r="I1321" s="4" t="s">
        <v>91</v>
      </c>
      <c r="J1321" s="2">
        <v>1000189270</v>
      </c>
      <c r="K1321" s="2" t="s">
        <v>34</v>
      </c>
      <c r="L1321" s="4" t="s">
        <v>19</v>
      </c>
      <c r="M1321" s="4" t="str">
        <f t="shared" si="309"/>
        <v>1000184670100018619710001898141000189270GELEIA</v>
      </c>
      <c r="N1321" s="28">
        <f>N1315*_xlfn.XLOOKUP($L1321,'Balizador da Meta'!$B$4:$B$21,'Balizador da Meta'!$C$4:$C$21)</f>
        <v>47.999999999999993</v>
      </c>
      <c r="O1321" s="28">
        <f>O1315*_xlfn.XLOOKUP($L1321,'Balizador da Meta'!$B$4:$B$21,'Balizador da Meta'!$C$4:$C$21)</f>
        <v>47.999999999999993</v>
      </c>
      <c r="P1321" s="28">
        <f>P1315*_xlfn.XLOOKUP($L1321,'Balizador da Meta'!$B$4:$B$21,'Balizador da Meta'!$C$4:$C$21)</f>
        <v>47.999999999999993</v>
      </c>
      <c r="Q1321" s="28">
        <f>Q1315*_xlfn.XLOOKUP($L1321,'Balizador da Meta'!$B$4:$B$21,'Balizador da Meta'!$C$4:$C$21)</f>
        <v>47.999999999999993</v>
      </c>
      <c r="R1321" s="28">
        <f>R1315*_xlfn.XLOOKUP($L1321,'Balizador da Meta'!$B$4:$B$21,'Balizador da Meta'!$C$4:$C$21)</f>
        <v>59.999999999999993</v>
      </c>
      <c r="S1321" s="28">
        <f>S1315*_xlfn.XLOOKUP($L1321,'Balizador da Meta'!$B$4:$B$21,'Balizador da Meta'!$C$4:$C$21)</f>
        <v>59.999999999999993</v>
      </c>
      <c r="T1321" s="28">
        <f>T1315*_xlfn.XLOOKUP($L1321,'Balizador da Meta'!$B$4:$B$21,'Balizador da Meta'!$C$4:$C$21)</f>
        <v>59.999999999999993</v>
      </c>
      <c r="U1321" s="28">
        <f>U1315*_xlfn.XLOOKUP($L1321,'Balizador da Meta'!$B$4:$B$21,'Balizador da Meta'!$C$4:$C$21)</f>
        <v>59.999999999999993</v>
      </c>
      <c r="V1321" s="28">
        <f>V1315*_xlfn.XLOOKUP($L1321,'Balizador da Meta'!$B$4:$B$21,'Balizador da Meta'!$C$4:$C$21)</f>
        <v>59.999999999999993</v>
      </c>
      <c r="W1321" s="28">
        <f>W1315*_xlfn.XLOOKUP($L1321,'Balizador da Meta'!$B$4:$B$21,'Balizador da Meta'!$C$4:$C$21)</f>
        <v>71.999999999999986</v>
      </c>
      <c r="X1321" s="28">
        <f>X1315*_xlfn.XLOOKUP($L1321,'Balizador da Meta'!$B$4:$B$21,'Balizador da Meta'!$C$4:$C$21)</f>
        <v>71.999999999999986</v>
      </c>
      <c r="Y1321" s="28">
        <f>Y1315*_xlfn.XLOOKUP($L1321,'Balizador da Meta'!$B$4:$B$21,'Balizador da Meta'!$C$4:$C$21)</f>
        <v>71.999999999999986</v>
      </c>
      <c r="Z1321" s="30">
        <f t="shared" si="315"/>
        <v>707.99999999999989</v>
      </c>
      <c r="AA1321" s="29"/>
      <c r="AB1321" s="31">
        <f>SUMIFS('Historico - FAT'!AK:AK,'Historico - FAT'!$K:$K,Faturamento!$L1321,'Historico - FAT'!$I:$I,Faturamento!$J1321,'Historico - FAT'!$G:$G,Faturamento!$H1321)</f>
        <v>0</v>
      </c>
      <c r="AC1321" s="31">
        <f>SUMIFS('Historico - FAT'!AL:AL,'Historico - FAT'!$K:$K,Faturamento!$L1321,'Historico - FAT'!$I:$I,Faturamento!$J1321,'Historico - FAT'!$G:$G,Faturamento!$H1321)</f>
        <v>0</v>
      </c>
      <c r="AD1321" s="31">
        <f>SUMIFS('Historico - FAT'!AM:AM,'Historico - FAT'!$K:$K,Faturamento!$L1321,'Historico - FAT'!$I:$I,Faturamento!$J1321,'Historico - FAT'!$G:$G,Faturamento!$H1321)</f>
        <v>0</v>
      </c>
      <c r="AE1321" s="27">
        <f>SUMIFS('Historico - FAT'!AN:AN,'Historico - FAT'!$K:$K,Faturamento!$L1321,'Historico - FAT'!$I:$I,Faturamento!$J1321,'Historico - FAT'!$G:$G,Faturamento!$H1321)</f>
        <v>0</v>
      </c>
      <c r="AG1321" s="24">
        <f t="shared" si="303"/>
        <v>1</v>
      </c>
      <c r="AH1321" s="24">
        <f t="shared" si="304"/>
        <v>1</v>
      </c>
      <c r="AI1321" s="24">
        <f t="shared" si="305"/>
        <v>1</v>
      </c>
    </row>
    <row r="1322" spans="1:35" hidden="1" x14ac:dyDescent="0.3">
      <c r="A1322" s="2" t="str">
        <f t="shared" si="302"/>
        <v>NÃO</v>
      </c>
      <c r="B1322" s="2">
        <v>1000184670</v>
      </c>
      <c r="C1322" s="2" t="s">
        <v>147</v>
      </c>
      <c r="D1322" s="4">
        <v>1000186197</v>
      </c>
      <c r="E1322" s="4" t="s">
        <v>166</v>
      </c>
      <c r="F1322" s="2">
        <v>1000184762</v>
      </c>
      <c r="G1322" s="2" t="s">
        <v>58</v>
      </c>
      <c r="H1322" s="4">
        <v>1000189814</v>
      </c>
      <c r="I1322" s="4" t="s">
        <v>91</v>
      </c>
      <c r="J1322" s="2">
        <v>1000189270</v>
      </c>
      <c r="K1322" s="2" t="s">
        <v>34</v>
      </c>
      <c r="L1322" s="4" t="s">
        <v>17</v>
      </c>
      <c r="M1322" s="4" t="str">
        <f t="shared" si="309"/>
        <v>1000184670100018619710001898141000189270GRANOLA</v>
      </c>
      <c r="N1322" s="28">
        <f>N1315*_xlfn.XLOOKUP($L1322,'Balizador da Meta'!$B$4:$B$21,'Balizador da Meta'!$C$4:$C$21)</f>
        <v>48</v>
      </c>
      <c r="O1322" s="28">
        <f>O1315*_xlfn.XLOOKUP($L1322,'Balizador da Meta'!$B$4:$B$21,'Balizador da Meta'!$C$4:$C$21)</f>
        <v>48</v>
      </c>
      <c r="P1322" s="28">
        <f>P1315*_xlfn.XLOOKUP($L1322,'Balizador da Meta'!$B$4:$B$21,'Balizador da Meta'!$C$4:$C$21)</f>
        <v>48</v>
      </c>
      <c r="Q1322" s="28">
        <f>Q1315*_xlfn.XLOOKUP($L1322,'Balizador da Meta'!$B$4:$B$21,'Balizador da Meta'!$C$4:$C$21)</f>
        <v>48</v>
      </c>
      <c r="R1322" s="28">
        <f>R1315*_xlfn.XLOOKUP($L1322,'Balizador da Meta'!$B$4:$B$21,'Balizador da Meta'!$C$4:$C$21)</f>
        <v>60</v>
      </c>
      <c r="S1322" s="28">
        <f>S1315*_xlfn.XLOOKUP($L1322,'Balizador da Meta'!$B$4:$B$21,'Balizador da Meta'!$C$4:$C$21)</f>
        <v>60</v>
      </c>
      <c r="T1322" s="28">
        <f>T1315*_xlfn.XLOOKUP($L1322,'Balizador da Meta'!$B$4:$B$21,'Balizador da Meta'!$C$4:$C$21)</f>
        <v>60</v>
      </c>
      <c r="U1322" s="28">
        <f>U1315*_xlfn.XLOOKUP($L1322,'Balizador da Meta'!$B$4:$B$21,'Balizador da Meta'!$C$4:$C$21)</f>
        <v>60</v>
      </c>
      <c r="V1322" s="28">
        <f>V1315*_xlfn.XLOOKUP($L1322,'Balizador da Meta'!$B$4:$B$21,'Balizador da Meta'!$C$4:$C$21)</f>
        <v>60</v>
      </c>
      <c r="W1322" s="28">
        <f>W1315*_xlfn.XLOOKUP($L1322,'Balizador da Meta'!$B$4:$B$21,'Balizador da Meta'!$C$4:$C$21)</f>
        <v>72</v>
      </c>
      <c r="X1322" s="28">
        <f>X1315*_xlfn.XLOOKUP($L1322,'Balizador da Meta'!$B$4:$B$21,'Balizador da Meta'!$C$4:$C$21)</f>
        <v>72</v>
      </c>
      <c r="Y1322" s="28">
        <f>Y1315*_xlfn.XLOOKUP($L1322,'Balizador da Meta'!$B$4:$B$21,'Balizador da Meta'!$C$4:$C$21)</f>
        <v>72</v>
      </c>
      <c r="Z1322" s="30">
        <f t="shared" si="315"/>
        <v>708</v>
      </c>
      <c r="AA1322" s="29"/>
      <c r="AB1322" s="31">
        <f>SUMIFS('Historico - FAT'!AK:AK,'Historico - FAT'!$K:$K,Faturamento!$L1322,'Historico - FAT'!$I:$I,Faturamento!$J1322,'Historico - FAT'!$G:$G,Faturamento!$H1322)</f>
        <v>0</v>
      </c>
      <c r="AC1322" s="31">
        <f>SUMIFS('Historico - FAT'!AL:AL,'Historico - FAT'!$K:$K,Faturamento!$L1322,'Historico - FAT'!$I:$I,Faturamento!$J1322,'Historico - FAT'!$G:$G,Faturamento!$H1322)</f>
        <v>0</v>
      </c>
      <c r="AD1322" s="31">
        <f>SUMIFS('Historico - FAT'!AM:AM,'Historico - FAT'!$K:$K,Faturamento!$L1322,'Historico - FAT'!$I:$I,Faturamento!$J1322,'Historico - FAT'!$G:$G,Faturamento!$H1322)</f>
        <v>0</v>
      </c>
      <c r="AE1322" s="27">
        <f>SUMIFS('Historico - FAT'!AN:AN,'Historico - FAT'!$K:$K,Faturamento!$L1322,'Historico - FAT'!$I:$I,Faturamento!$J1322,'Historico - FAT'!$G:$G,Faturamento!$H1322)</f>
        <v>0</v>
      </c>
      <c r="AG1322" s="24">
        <f t="shared" si="303"/>
        <v>1</v>
      </c>
      <c r="AH1322" s="24">
        <f t="shared" si="304"/>
        <v>1</v>
      </c>
      <c r="AI1322" s="24">
        <f t="shared" si="305"/>
        <v>1</v>
      </c>
    </row>
    <row r="1323" spans="1:35" hidden="1" x14ac:dyDescent="0.3">
      <c r="A1323" s="2" t="str">
        <f t="shared" si="302"/>
        <v>NÃO</v>
      </c>
      <c r="B1323" s="2">
        <v>1000184670</v>
      </c>
      <c r="C1323" s="2" t="s">
        <v>147</v>
      </c>
      <c r="D1323" s="4">
        <v>1000186197</v>
      </c>
      <c r="E1323" s="4" t="s">
        <v>166</v>
      </c>
      <c r="F1323" s="2">
        <v>1000184762</v>
      </c>
      <c r="G1323" s="2" t="s">
        <v>58</v>
      </c>
      <c r="H1323" s="4">
        <v>1000189814</v>
      </c>
      <c r="I1323" s="4" t="s">
        <v>91</v>
      </c>
      <c r="J1323" s="2">
        <v>1000189270</v>
      </c>
      <c r="K1323" s="2" t="s">
        <v>34</v>
      </c>
      <c r="L1323" s="4" t="s">
        <v>24</v>
      </c>
      <c r="M1323" s="4" t="str">
        <f t="shared" si="309"/>
        <v>1000184670100018619710001898141000189270KIDS</v>
      </c>
      <c r="N1323" s="28">
        <f>N1315*_xlfn.XLOOKUP($L1323,'Balizador da Meta'!$B$4:$B$21,'Balizador da Meta'!$C$4:$C$21)</f>
        <v>0</v>
      </c>
      <c r="O1323" s="28">
        <f>O1315*_xlfn.XLOOKUP($L1323,'Balizador da Meta'!$B$4:$B$21,'Balizador da Meta'!$C$4:$C$21)</f>
        <v>0</v>
      </c>
      <c r="P1323" s="28">
        <f>P1315*_xlfn.XLOOKUP($L1323,'Balizador da Meta'!$B$4:$B$21,'Balizador da Meta'!$C$4:$C$21)</f>
        <v>0</v>
      </c>
      <c r="Q1323" s="28">
        <f>Q1315*_xlfn.XLOOKUP($L1323,'Balizador da Meta'!$B$4:$B$21,'Balizador da Meta'!$C$4:$C$21)</f>
        <v>0</v>
      </c>
      <c r="R1323" s="28">
        <f>R1315*_xlfn.XLOOKUP($L1323,'Balizador da Meta'!$B$4:$B$21,'Balizador da Meta'!$C$4:$C$21)</f>
        <v>0</v>
      </c>
      <c r="S1323" s="28">
        <f>S1315*_xlfn.XLOOKUP($L1323,'Balizador da Meta'!$B$4:$B$21,'Balizador da Meta'!$C$4:$C$21)</f>
        <v>0</v>
      </c>
      <c r="T1323" s="28">
        <f>T1315*_xlfn.XLOOKUP($L1323,'Balizador da Meta'!$B$4:$B$21,'Balizador da Meta'!$C$4:$C$21)</f>
        <v>0</v>
      </c>
      <c r="U1323" s="28">
        <f>U1315*_xlfn.XLOOKUP($L1323,'Balizador da Meta'!$B$4:$B$21,'Balizador da Meta'!$C$4:$C$21)</f>
        <v>0</v>
      </c>
      <c r="V1323" s="28">
        <f>V1315*_xlfn.XLOOKUP($L1323,'Balizador da Meta'!$B$4:$B$21,'Balizador da Meta'!$C$4:$C$21)</f>
        <v>0</v>
      </c>
      <c r="W1323" s="28">
        <f>W1315*_xlfn.XLOOKUP($L1323,'Balizador da Meta'!$B$4:$B$21,'Balizador da Meta'!$C$4:$C$21)</f>
        <v>0</v>
      </c>
      <c r="X1323" s="28">
        <f>X1315*_xlfn.XLOOKUP($L1323,'Balizador da Meta'!$B$4:$B$21,'Balizador da Meta'!$C$4:$C$21)</f>
        <v>0</v>
      </c>
      <c r="Y1323" s="28">
        <f>Y1315*_xlfn.XLOOKUP($L1323,'Balizador da Meta'!$B$4:$B$21,'Balizador da Meta'!$C$4:$C$21)</f>
        <v>0</v>
      </c>
      <c r="Z1323" s="30">
        <f t="shared" si="315"/>
        <v>0</v>
      </c>
      <c r="AA1323" s="29"/>
      <c r="AB1323" s="31">
        <f>SUMIFS('Historico - FAT'!AK:AK,'Historico - FAT'!$K:$K,Faturamento!$L1323,'Historico - FAT'!$I:$I,Faturamento!$J1323,'Historico - FAT'!$G:$G,Faturamento!$H1323)</f>
        <v>0</v>
      </c>
      <c r="AC1323" s="31">
        <f>SUMIFS('Historico - FAT'!AL:AL,'Historico - FAT'!$K:$K,Faturamento!$L1323,'Historico - FAT'!$I:$I,Faturamento!$J1323,'Historico - FAT'!$G:$G,Faturamento!$H1323)</f>
        <v>0</v>
      </c>
      <c r="AD1323" s="31">
        <f>SUMIFS('Historico - FAT'!AM:AM,'Historico - FAT'!$K:$K,Faturamento!$L1323,'Historico - FAT'!$I:$I,Faturamento!$J1323,'Historico - FAT'!$G:$G,Faturamento!$H1323)</f>
        <v>0</v>
      </c>
      <c r="AE1323" s="27">
        <f>SUMIFS('Historico - FAT'!AN:AN,'Historico - FAT'!$K:$K,Faturamento!$L1323,'Historico - FAT'!$I:$I,Faturamento!$J1323,'Historico - FAT'!$G:$G,Faturamento!$H1323)</f>
        <v>0</v>
      </c>
      <c r="AG1323" s="24" t="str">
        <f t="shared" si="303"/>
        <v/>
      </c>
      <c r="AH1323" s="24" t="str">
        <f t="shared" si="304"/>
        <v/>
      </c>
      <c r="AI1323" s="24" t="str">
        <f t="shared" si="305"/>
        <v/>
      </c>
    </row>
    <row r="1324" spans="1:35" hidden="1" x14ac:dyDescent="0.3">
      <c r="A1324" s="2" t="str">
        <f t="shared" si="302"/>
        <v>NÃO</v>
      </c>
      <c r="B1324" s="2">
        <v>1000184670</v>
      </c>
      <c r="C1324" s="2" t="s">
        <v>147</v>
      </c>
      <c r="D1324" s="4">
        <v>1000186197</v>
      </c>
      <c r="E1324" s="4" t="s">
        <v>166</v>
      </c>
      <c r="F1324" s="2">
        <v>1000184762</v>
      </c>
      <c r="G1324" s="2" t="s">
        <v>58</v>
      </c>
      <c r="H1324" s="4">
        <v>1000189814</v>
      </c>
      <c r="I1324" s="4" t="s">
        <v>91</v>
      </c>
      <c r="J1324" s="2">
        <v>1000189270</v>
      </c>
      <c r="K1324" s="2" t="s">
        <v>34</v>
      </c>
      <c r="L1324" s="4" t="s">
        <v>18</v>
      </c>
      <c r="M1324" s="4" t="str">
        <f t="shared" si="309"/>
        <v>1000184670100018619710001898141000189270LANCHES</v>
      </c>
      <c r="N1324" s="28">
        <f>N1315*_xlfn.XLOOKUP($L1324,'Balizador da Meta'!$B$4:$B$21,'Balizador da Meta'!$C$4:$C$21)</f>
        <v>24</v>
      </c>
      <c r="O1324" s="28">
        <f>O1315*_xlfn.XLOOKUP($L1324,'Balizador da Meta'!$B$4:$B$21,'Balizador da Meta'!$C$4:$C$21)</f>
        <v>24</v>
      </c>
      <c r="P1324" s="28">
        <f>P1315*_xlfn.XLOOKUP($L1324,'Balizador da Meta'!$B$4:$B$21,'Balizador da Meta'!$C$4:$C$21)</f>
        <v>24</v>
      </c>
      <c r="Q1324" s="28">
        <f>Q1315*_xlfn.XLOOKUP($L1324,'Balizador da Meta'!$B$4:$B$21,'Balizador da Meta'!$C$4:$C$21)</f>
        <v>24</v>
      </c>
      <c r="R1324" s="28">
        <f>R1315*_xlfn.XLOOKUP($L1324,'Balizador da Meta'!$B$4:$B$21,'Balizador da Meta'!$C$4:$C$21)</f>
        <v>30</v>
      </c>
      <c r="S1324" s="28">
        <f>S1315*_xlfn.XLOOKUP($L1324,'Balizador da Meta'!$B$4:$B$21,'Balizador da Meta'!$C$4:$C$21)</f>
        <v>30</v>
      </c>
      <c r="T1324" s="28">
        <f>T1315*_xlfn.XLOOKUP($L1324,'Balizador da Meta'!$B$4:$B$21,'Balizador da Meta'!$C$4:$C$21)</f>
        <v>30</v>
      </c>
      <c r="U1324" s="28">
        <f>U1315*_xlfn.XLOOKUP($L1324,'Balizador da Meta'!$B$4:$B$21,'Balizador da Meta'!$C$4:$C$21)</f>
        <v>30</v>
      </c>
      <c r="V1324" s="28">
        <f>V1315*_xlfn.XLOOKUP($L1324,'Balizador da Meta'!$B$4:$B$21,'Balizador da Meta'!$C$4:$C$21)</f>
        <v>30</v>
      </c>
      <c r="W1324" s="28">
        <f>W1315*_xlfn.XLOOKUP($L1324,'Balizador da Meta'!$B$4:$B$21,'Balizador da Meta'!$C$4:$C$21)</f>
        <v>36</v>
      </c>
      <c r="X1324" s="28">
        <f>X1315*_xlfn.XLOOKUP($L1324,'Balizador da Meta'!$B$4:$B$21,'Balizador da Meta'!$C$4:$C$21)</f>
        <v>36</v>
      </c>
      <c r="Y1324" s="28">
        <f>Y1315*_xlfn.XLOOKUP($L1324,'Balizador da Meta'!$B$4:$B$21,'Balizador da Meta'!$C$4:$C$21)</f>
        <v>36</v>
      </c>
      <c r="Z1324" s="30">
        <f t="shared" si="315"/>
        <v>354</v>
      </c>
      <c r="AA1324" s="29"/>
      <c r="AB1324" s="31">
        <f>SUMIFS('Historico - FAT'!AK:AK,'Historico - FAT'!$K:$K,Faturamento!$L1324,'Historico - FAT'!$I:$I,Faturamento!$J1324,'Historico - FAT'!$G:$G,Faturamento!$H1324)</f>
        <v>0</v>
      </c>
      <c r="AC1324" s="31">
        <f>SUMIFS('Historico - FAT'!AL:AL,'Historico - FAT'!$K:$K,Faturamento!$L1324,'Historico - FAT'!$I:$I,Faturamento!$J1324,'Historico - FAT'!$G:$G,Faturamento!$H1324)</f>
        <v>0</v>
      </c>
      <c r="AD1324" s="31">
        <f>SUMIFS('Historico - FAT'!AM:AM,'Historico - FAT'!$K:$K,Faturamento!$L1324,'Historico - FAT'!$I:$I,Faturamento!$J1324,'Historico - FAT'!$G:$G,Faturamento!$H1324)</f>
        <v>0</v>
      </c>
      <c r="AE1324" s="27">
        <f>SUMIFS('Historico - FAT'!AN:AN,'Historico - FAT'!$K:$K,Faturamento!$L1324,'Historico - FAT'!$I:$I,Faturamento!$J1324,'Historico - FAT'!$G:$G,Faturamento!$H1324)</f>
        <v>0</v>
      </c>
      <c r="AG1324" s="24">
        <f t="shared" si="303"/>
        <v>1</v>
      </c>
      <c r="AH1324" s="24">
        <f t="shared" si="304"/>
        <v>1</v>
      </c>
      <c r="AI1324" s="24">
        <f t="shared" si="305"/>
        <v>1</v>
      </c>
    </row>
    <row r="1325" spans="1:35" hidden="1" x14ac:dyDescent="0.3">
      <c r="A1325" s="2" t="str">
        <f t="shared" si="302"/>
        <v>NÃO</v>
      </c>
      <c r="B1325" s="2">
        <v>1000184670</v>
      </c>
      <c r="C1325" s="2" t="s">
        <v>147</v>
      </c>
      <c r="D1325" s="4">
        <v>1000186197</v>
      </c>
      <c r="E1325" s="4" t="s">
        <v>166</v>
      </c>
      <c r="F1325" s="2">
        <v>1000184762</v>
      </c>
      <c r="G1325" s="2" t="s">
        <v>58</v>
      </c>
      <c r="H1325" s="4">
        <v>1000189814</v>
      </c>
      <c r="I1325" s="4" t="s">
        <v>91</v>
      </c>
      <c r="J1325" s="2">
        <v>1000189270</v>
      </c>
      <c r="K1325" s="2" t="s">
        <v>34</v>
      </c>
      <c r="L1325" s="4" t="s">
        <v>29</v>
      </c>
      <c r="M1325" s="4" t="str">
        <f t="shared" si="309"/>
        <v>1000184670100018619710001898141000189270MAIS GRANEL</v>
      </c>
      <c r="N1325" s="28">
        <f>N1315*_xlfn.XLOOKUP($L1325,'Balizador da Meta'!$B$4:$B$21,'Balizador da Meta'!$C$4:$C$21)</f>
        <v>768</v>
      </c>
      <c r="O1325" s="28">
        <f>O1315*_xlfn.XLOOKUP($L1325,'Balizador da Meta'!$B$4:$B$21,'Balizador da Meta'!$C$4:$C$21)</f>
        <v>768</v>
      </c>
      <c r="P1325" s="28">
        <f>P1315*_xlfn.XLOOKUP($L1325,'Balizador da Meta'!$B$4:$B$21,'Balizador da Meta'!$C$4:$C$21)</f>
        <v>768</v>
      </c>
      <c r="Q1325" s="28">
        <f>Q1315*_xlfn.XLOOKUP($L1325,'Balizador da Meta'!$B$4:$B$21,'Balizador da Meta'!$C$4:$C$21)</f>
        <v>768</v>
      </c>
      <c r="R1325" s="28">
        <f>R1315*_xlfn.XLOOKUP($L1325,'Balizador da Meta'!$B$4:$B$21,'Balizador da Meta'!$C$4:$C$21)</f>
        <v>960</v>
      </c>
      <c r="S1325" s="28">
        <f>S1315*_xlfn.XLOOKUP($L1325,'Balizador da Meta'!$B$4:$B$21,'Balizador da Meta'!$C$4:$C$21)</f>
        <v>960</v>
      </c>
      <c r="T1325" s="28">
        <f>T1315*_xlfn.XLOOKUP($L1325,'Balizador da Meta'!$B$4:$B$21,'Balizador da Meta'!$C$4:$C$21)</f>
        <v>960</v>
      </c>
      <c r="U1325" s="28">
        <f>U1315*_xlfn.XLOOKUP($L1325,'Balizador da Meta'!$B$4:$B$21,'Balizador da Meta'!$C$4:$C$21)</f>
        <v>960</v>
      </c>
      <c r="V1325" s="28">
        <f>V1315*_xlfn.XLOOKUP($L1325,'Balizador da Meta'!$B$4:$B$21,'Balizador da Meta'!$C$4:$C$21)</f>
        <v>960</v>
      </c>
      <c r="W1325" s="28">
        <f>W1315*_xlfn.XLOOKUP($L1325,'Balizador da Meta'!$B$4:$B$21,'Balizador da Meta'!$C$4:$C$21)</f>
        <v>1152</v>
      </c>
      <c r="X1325" s="28">
        <f>X1315*_xlfn.XLOOKUP($L1325,'Balizador da Meta'!$B$4:$B$21,'Balizador da Meta'!$C$4:$C$21)</f>
        <v>1152</v>
      </c>
      <c r="Y1325" s="28">
        <f>Y1315*_xlfn.XLOOKUP($L1325,'Balizador da Meta'!$B$4:$B$21,'Balizador da Meta'!$C$4:$C$21)</f>
        <v>1152</v>
      </c>
      <c r="Z1325" s="30">
        <f t="shared" si="315"/>
        <v>11328</v>
      </c>
      <c r="AA1325" s="29"/>
      <c r="AB1325" s="31">
        <f>SUMIFS('Historico - FAT'!AK:AK,'Historico - FAT'!$K:$K,Faturamento!$L1325,'Historico - FAT'!$I:$I,Faturamento!$J1325,'Historico - FAT'!$G:$G,Faturamento!$H1325)</f>
        <v>0</v>
      </c>
      <c r="AC1325" s="31">
        <f>SUMIFS('Historico - FAT'!AL:AL,'Historico - FAT'!$K:$K,Faturamento!$L1325,'Historico - FAT'!$I:$I,Faturamento!$J1325,'Historico - FAT'!$G:$G,Faturamento!$H1325)</f>
        <v>108.75</v>
      </c>
      <c r="AD1325" s="31">
        <f>SUMIFS('Historico - FAT'!AM:AM,'Historico - FAT'!$K:$K,Faturamento!$L1325,'Historico - FAT'!$I:$I,Faturamento!$J1325,'Historico - FAT'!$G:$G,Faturamento!$H1325)</f>
        <v>217.5</v>
      </c>
      <c r="AE1325" s="27">
        <f>SUMIFS('Historico - FAT'!AN:AN,'Historico - FAT'!$K:$K,Faturamento!$L1325,'Historico - FAT'!$I:$I,Faturamento!$J1325,'Historico - FAT'!$G:$G,Faturamento!$H1325)</f>
        <v>130.5</v>
      </c>
      <c r="AG1325" s="24">
        <f t="shared" si="303"/>
        <v>1</v>
      </c>
      <c r="AH1325" s="24">
        <f t="shared" si="304"/>
        <v>0.90559895833333337</v>
      </c>
      <c r="AI1325" s="24">
        <f t="shared" si="305"/>
        <v>0.81119791666666663</v>
      </c>
    </row>
    <row r="1326" spans="1:35" hidden="1" x14ac:dyDescent="0.3">
      <c r="A1326" s="2" t="str">
        <f t="shared" si="302"/>
        <v>NÃO</v>
      </c>
      <c r="B1326" s="2">
        <v>1000184670</v>
      </c>
      <c r="C1326" s="2" t="s">
        <v>147</v>
      </c>
      <c r="D1326" s="4">
        <v>1000186197</v>
      </c>
      <c r="E1326" s="4" t="s">
        <v>166</v>
      </c>
      <c r="F1326" s="2">
        <v>1000184762</v>
      </c>
      <c r="G1326" s="2" t="s">
        <v>58</v>
      </c>
      <c r="H1326" s="4">
        <v>1000189814</v>
      </c>
      <c r="I1326" s="4" t="s">
        <v>91</v>
      </c>
      <c r="J1326" s="2">
        <v>1000189270</v>
      </c>
      <c r="K1326" s="2" t="s">
        <v>34</v>
      </c>
      <c r="L1326" s="4" t="s">
        <v>21</v>
      </c>
      <c r="M1326" s="4" t="str">
        <f t="shared" si="309"/>
        <v>1000184670100018619710001898141000189270NATURATTA</v>
      </c>
      <c r="N1326" s="28">
        <f>N1315*_xlfn.XLOOKUP($L1326,'Balizador da Meta'!$B$4:$B$21,'Balizador da Meta'!$C$4:$C$21)</f>
        <v>120</v>
      </c>
      <c r="O1326" s="28">
        <f>O1315*_xlfn.XLOOKUP($L1326,'Balizador da Meta'!$B$4:$B$21,'Balizador da Meta'!$C$4:$C$21)</f>
        <v>120</v>
      </c>
      <c r="P1326" s="28">
        <f>P1315*_xlfn.XLOOKUP($L1326,'Balizador da Meta'!$B$4:$B$21,'Balizador da Meta'!$C$4:$C$21)</f>
        <v>120</v>
      </c>
      <c r="Q1326" s="28">
        <f>Q1315*_xlfn.XLOOKUP($L1326,'Balizador da Meta'!$B$4:$B$21,'Balizador da Meta'!$C$4:$C$21)</f>
        <v>120</v>
      </c>
      <c r="R1326" s="28">
        <f>R1315*_xlfn.XLOOKUP($L1326,'Balizador da Meta'!$B$4:$B$21,'Balizador da Meta'!$C$4:$C$21)</f>
        <v>150</v>
      </c>
      <c r="S1326" s="28">
        <f>S1315*_xlfn.XLOOKUP($L1326,'Balizador da Meta'!$B$4:$B$21,'Balizador da Meta'!$C$4:$C$21)</f>
        <v>150</v>
      </c>
      <c r="T1326" s="28">
        <f>T1315*_xlfn.XLOOKUP($L1326,'Balizador da Meta'!$B$4:$B$21,'Balizador da Meta'!$C$4:$C$21)</f>
        <v>150</v>
      </c>
      <c r="U1326" s="28">
        <f>U1315*_xlfn.XLOOKUP($L1326,'Balizador da Meta'!$B$4:$B$21,'Balizador da Meta'!$C$4:$C$21)</f>
        <v>150</v>
      </c>
      <c r="V1326" s="28">
        <f>V1315*_xlfn.XLOOKUP($L1326,'Balizador da Meta'!$B$4:$B$21,'Balizador da Meta'!$C$4:$C$21)</f>
        <v>150</v>
      </c>
      <c r="W1326" s="28">
        <f>W1315*_xlfn.XLOOKUP($L1326,'Balizador da Meta'!$B$4:$B$21,'Balizador da Meta'!$C$4:$C$21)</f>
        <v>180</v>
      </c>
      <c r="X1326" s="28">
        <f>X1315*_xlfn.XLOOKUP($L1326,'Balizador da Meta'!$B$4:$B$21,'Balizador da Meta'!$C$4:$C$21)</f>
        <v>180</v>
      </c>
      <c r="Y1326" s="28">
        <f>Y1315*_xlfn.XLOOKUP($L1326,'Balizador da Meta'!$B$4:$B$21,'Balizador da Meta'!$C$4:$C$21)</f>
        <v>180</v>
      </c>
      <c r="Z1326" s="30">
        <f t="shared" si="315"/>
        <v>1770</v>
      </c>
      <c r="AA1326" s="29"/>
      <c r="AB1326" s="31">
        <f>SUMIFS('Historico - FAT'!AK:AK,'Historico - FAT'!$K:$K,Faturamento!$L1326,'Historico - FAT'!$I:$I,Faturamento!$J1326,'Historico - FAT'!$G:$G,Faturamento!$H1326)</f>
        <v>0</v>
      </c>
      <c r="AC1326" s="31">
        <f>SUMIFS('Historico - FAT'!AL:AL,'Historico - FAT'!$K:$K,Faturamento!$L1326,'Historico - FAT'!$I:$I,Faturamento!$J1326,'Historico - FAT'!$G:$G,Faturamento!$H1326)</f>
        <v>0</v>
      </c>
      <c r="AD1326" s="31">
        <f>SUMIFS('Historico - FAT'!AM:AM,'Historico - FAT'!$K:$K,Faturamento!$L1326,'Historico - FAT'!$I:$I,Faturamento!$J1326,'Historico - FAT'!$G:$G,Faturamento!$H1326)</f>
        <v>0</v>
      </c>
      <c r="AE1326" s="27">
        <f>SUMIFS('Historico - FAT'!AN:AN,'Historico - FAT'!$K:$K,Faturamento!$L1326,'Historico - FAT'!$I:$I,Faturamento!$J1326,'Historico - FAT'!$G:$G,Faturamento!$H1326)</f>
        <v>0</v>
      </c>
      <c r="AG1326" s="24">
        <f t="shared" si="303"/>
        <v>1</v>
      </c>
      <c r="AH1326" s="24">
        <f t="shared" si="304"/>
        <v>1</v>
      </c>
      <c r="AI1326" s="24">
        <f t="shared" si="305"/>
        <v>1</v>
      </c>
    </row>
    <row r="1327" spans="1:35" hidden="1" x14ac:dyDescent="0.3">
      <c r="A1327" s="2" t="str">
        <f t="shared" si="302"/>
        <v>NÃO</v>
      </c>
      <c r="B1327" s="2">
        <v>1000184670</v>
      </c>
      <c r="C1327" s="2" t="s">
        <v>147</v>
      </c>
      <c r="D1327" s="4">
        <v>1000186197</v>
      </c>
      <c r="E1327" s="4" t="s">
        <v>166</v>
      </c>
      <c r="F1327" s="2">
        <v>1000184762</v>
      </c>
      <c r="G1327" s="2" t="s">
        <v>58</v>
      </c>
      <c r="H1327" s="4">
        <v>1000189814</v>
      </c>
      <c r="I1327" s="4" t="s">
        <v>91</v>
      </c>
      <c r="J1327" s="2">
        <v>1000189270</v>
      </c>
      <c r="K1327" s="2" t="s">
        <v>34</v>
      </c>
      <c r="L1327" s="4" t="s">
        <v>20</v>
      </c>
      <c r="M1327" s="4" t="str">
        <f t="shared" si="309"/>
        <v>1000184670100018619710001898141000189270REEMBALADOS</v>
      </c>
      <c r="N1327" s="28">
        <f>N1315*_xlfn.XLOOKUP($L1327,'Balizador da Meta'!$B$4:$B$21,'Balizador da Meta'!$C$4:$C$21)</f>
        <v>96</v>
      </c>
      <c r="O1327" s="28">
        <f>O1315*_xlfn.XLOOKUP($L1327,'Balizador da Meta'!$B$4:$B$21,'Balizador da Meta'!$C$4:$C$21)</f>
        <v>96</v>
      </c>
      <c r="P1327" s="28">
        <f>P1315*_xlfn.XLOOKUP($L1327,'Balizador da Meta'!$B$4:$B$21,'Balizador da Meta'!$C$4:$C$21)</f>
        <v>96</v>
      </c>
      <c r="Q1327" s="28">
        <f>Q1315*_xlfn.XLOOKUP($L1327,'Balizador da Meta'!$B$4:$B$21,'Balizador da Meta'!$C$4:$C$21)</f>
        <v>96</v>
      </c>
      <c r="R1327" s="28">
        <f>R1315*_xlfn.XLOOKUP($L1327,'Balizador da Meta'!$B$4:$B$21,'Balizador da Meta'!$C$4:$C$21)</f>
        <v>120</v>
      </c>
      <c r="S1327" s="28">
        <f>S1315*_xlfn.XLOOKUP($L1327,'Balizador da Meta'!$B$4:$B$21,'Balizador da Meta'!$C$4:$C$21)</f>
        <v>120</v>
      </c>
      <c r="T1327" s="28">
        <f>T1315*_xlfn.XLOOKUP($L1327,'Balizador da Meta'!$B$4:$B$21,'Balizador da Meta'!$C$4:$C$21)</f>
        <v>120</v>
      </c>
      <c r="U1327" s="28">
        <f>U1315*_xlfn.XLOOKUP($L1327,'Balizador da Meta'!$B$4:$B$21,'Balizador da Meta'!$C$4:$C$21)</f>
        <v>120</v>
      </c>
      <c r="V1327" s="28">
        <f>V1315*_xlfn.XLOOKUP($L1327,'Balizador da Meta'!$B$4:$B$21,'Balizador da Meta'!$C$4:$C$21)</f>
        <v>120</v>
      </c>
      <c r="W1327" s="28">
        <f>W1315*_xlfn.XLOOKUP($L1327,'Balizador da Meta'!$B$4:$B$21,'Balizador da Meta'!$C$4:$C$21)</f>
        <v>144</v>
      </c>
      <c r="X1327" s="28">
        <f>X1315*_xlfn.XLOOKUP($L1327,'Balizador da Meta'!$B$4:$B$21,'Balizador da Meta'!$C$4:$C$21)</f>
        <v>144</v>
      </c>
      <c r="Y1327" s="28">
        <f>Y1315*_xlfn.XLOOKUP($L1327,'Balizador da Meta'!$B$4:$B$21,'Balizador da Meta'!$C$4:$C$21)</f>
        <v>144</v>
      </c>
      <c r="Z1327" s="30">
        <f t="shared" si="315"/>
        <v>1416</v>
      </c>
      <c r="AA1327" s="29"/>
      <c r="AB1327" s="31">
        <f>SUMIFS('Historico - FAT'!AK:AK,'Historico - FAT'!$K:$K,Faturamento!$L1327,'Historico - FAT'!$I:$I,Faturamento!$J1327,'Historico - FAT'!$G:$G,Faturamento!$H1327)</f>
        <v>42.199999999999996</v>
      </c>
      <c r="AC1327" s="31">
        <f>SUMIFS('Historico - FAT'!AL:AL,'Historico - FAT'!$K:$K,Faturamento!$L1327,'Historico - FAT'!$I:$I,Faturamento!$J1327,'Historico - FAT'!$G:$G,Faturamento!$H1327)</f>
        <v>9.6391666666666662</v>
      </c>
      <c r="AD1327" s="31">
        <f>SUMIFS('Historico - FAT'!AM:AM,'Historico - FAT'!$K:$K,Faturamento!$L1327,'Historico - FAT'!$I:$I,Faturamento!$J1327,'Historico - FAT'!$G:$G,Faturamento!$H1327)</f>
        <v>0</v>
      </c>
      <c r="AE1327" s="27">
        <f>SUMIFS('Historico - FAT'!AN:AN,'Historico - FAT'!$K:$K,Faturamento!$L1327,'Historico - FAT'!$I:$I,Faturamento!$J1327,'Historico - FAT'!$G:$G,Faturamento!$H1327)</f>
        <v>11.567</v>
      </c>
      <c r="AG1327" s="24">
        <f t="shared" si="303"/>
        <v>0.70694444444444449</v>
      </c>
      <c r="AH1327" s="24">
        <f t="shared" si="304"/>
        <v>0.93306134259259266</v>
      </c>
      <c r="AI1327" s="24">
        <f t="shared" si="305"/>
        <v>1</v>
      </c>
    </row>
    <row r="1328" spans="1:35" hidden="1" x14ac:dyDescent="0.3">
      <c r="A1328" s="2" t="str">
        <f t="shared" si="302"/>
        <v>NÃO</v>
      </c>
      <c r="B1328" s="2">
        <v>1000184670</v>
      </c>
      <c r="C1328" s="2" t="s">
        <v>147</v>
      </c>
      <c r="D1328" s="4">
        <v>1000186197</v>
      </c>
      <c r="E1328" s="4" t="s">
        <v>166</v>
      </c>
      <c r="F1328" s="2">
        <v>1000184762</v>
      </c>
      <c r="G1328" s="2" t="s">
        <v>58</v>
      </c>
      <c r="H1328" s="4">
        <v>1000189814</v>
      </c>
      <c r="I1328" s="4" t="s">
        <v>91</v>
      </c>
      <c r="J1328" s="2">
        <v>1000189270</v>
      </c>
      <c r="K1328" s="2" t="s">
        <v>34</v>
      </c>
      <c r="L1328" s="4" t="s">
        <v>22</v>
      </c>
      <c r="M1328" s="4" t="str">
        <f t="shared" si="309"/>
        <v>1000184670100018619710001898141000189270S GLUTEN</v>
      </c>
      <c r="N1328" s="28">
        <f>N1315*_xlfn.XLOOKUP($L1328,'Balizador da Meta'!$B$4:$B$21,'Balizador da Meta'!$C$4:$C$21)</f>
        <v>96</v>
      </c>
      <c r="O1328" s="28">
        <f>O1315*_xlfn.XLOOKUP($L1328,'Balizador da Meta'!$B$4:$B$21,'Balizador da Meta'!$C$4:$C$21)</f>
        <v>96</v>
      </c>
      <c r="P1328" s="28">
        <f>P1315*_xlfn.XLOOKUP($L1328,'Balizador da Meta'!$B$4:$B$21,'Balizador da Meta'!$C$4:$C$21)</f>
        <v>96</v>
      </c>
      <c r="Q1328" s="28">
        <f>Q1315*_xlfn.XLOOKUP($L1328,'Balizador da Meta'!$B$4:$B$21,'Balizador da Meta'!$C$4:$C$21)</f>
        <v>96</v>
      </c>
      <c r="R1328" s="28">
        <f>R1315*_xlfn.XLOOKUP($L1328,'Balizador da Meta'!$B$4:$B$21,'Balizador da Meta'!$C$4:$C$21)</f>
        <v>120</v>
      </c>
      <c r="S1328" s="28">
        <f>S1315*_xlfn.XLOOKUP($L1328,'Balizador da Meta'!$B$4:$B$21,'Balizador da Meta'!$C$4:$C$21)</f>
        <v>120</v>
      </c>
      <c r="T1328" s="28">
        <f>T1315*_xlfn.XLOOKUP($L1328,'Balizador da Meta'!$B$4:$B$21,'Balizador da Meta'!$C$4:$C$21)</f>
        <v>120</v>
      </c>
      <c r="U1328" s="28">
        <f>U1315*_xlfn.XLOOKUP($L1328,'Balizador da Meta'!$B$4:$B$21,'Balizador da Meta'!$C$4:$C$21)</f>
        <v>120</v>
      </c>
      <c r="V1328" s="28">
        <f>V1315*_xlfn.XLOOKUP($L1328,'Balizador da Meta'!$B$4:$B$21,'Balizador da Meta'!$C$4:$C$21)</f>
        <v>120</v>
      </c>
      <c r="W1328" s="28">
        <f>W1315*_xlfn.XLOOKUP($L1328,'Balizador da Meta'!$B$4:$B$21,'Balizador da Meta'!$C$4:$C$21)</f>
        <v>144</v>
      </c>
      <c r="X1328" s="28">
        <f>X1315*_xlfn.XLOOKUP($L1328,'Balizador da Meta'!$B$4:$B$21,'Balizador da Meta'!$C$4:$C$21)</f>
        <v>144</v>
      </c>
      <c r="Y1328" s="28">
        <f>Y1315*_xlfn.XLOOKUP($L1328,'Balizador da Meta'!$B$4:$B$21,'Balizador da Meta'!$C$4:$C$21)</f>
        <v>144</v>
      </c>
      <c r="Z1328" s="30">
        <f t="shared" si="315"/>
        <v>1416</v>
      </c>
      <c r="AA1328" s="29"/>
      <c r="AB1328" s="31">
        <f>SUMIFS('Historico - FAT'!AK:AK,'Historico - FAT'!$K:$K,Faturamento!$L1328,'Historico - FAT'!$I:$I,Faturamento!$J1328,'Historico - FAT'!$G:$G,Faturamento!$H1328)</f>
        <v>17.3</v>
      </c>
      <c r="AC1328" s="31">
        <f>SUMIFS('Historico - FAT'!AL:AL,'Historico - FAT'!$K:$K,Faturamento!$L1328,'Historico - FAT'!$I:$I,Faturamento!$J1328,'Historico - FAT'!$G:$G,Faturamento!$H1328)</f>
        <v>0</v>
      </c>
      <c r="AD1328" s="31">
        <f>SUMIFS('Historico - FAT'!AM:AM,'Historico - FAT'!$K:$K,Faturamento!$L1328,'Historico - FAT'!$I:$I,Faturamento!$J1328,'Historico - FAT'!$G:$G,Faturamento!$H1328)</f>
        <v>0</v>
      </c>
      <c r="AE1328" s="27">
        <f>SUMIFS('Historico - FAT'!AN:AN,'Historico - FAT'!$K:$K,Faturamento!$L1328,'Historico - FAT'!$I:$I,Faturamento!$J1328,'Historico - FAT'!$G:$G,Faturamento!$H1328)</f>
        <v>0</v>
      </c>
      <c r="AG1328" s="24">
        <f t="shared" si="303"/>
        <v>0.87986111111111109</v>
      </c>
      <c r="AH1328" s="24">
        <f t="shared" si="304"/>
        <v>1</v>
      </c>
      <c r="AI1328" s="24">
        <f t="shared" si="305"/>
        <v>1</v>
      </c>
    </row>
    <row r="1329" spans="1:35" hidden="1" x14ac:dyDescent="0.3">
      <c r="A1329" s="2" t="str">
        <f t="shared" si="302"/>
        <v>NÃO</v>
      </c>
      <c r="B1329" s="2">
        <v>1000184670</v>
      </c>
      <c r="C1329" s="2" t="s">
        <v>147</v>
      </c>
      <c r="D1329" s="4">
        <v>1000186197</v>
      </c>
      <c r="E1329" s="4" t="s">
        <v>166</v>
      </c>
      <c r="F1329" s="2">
        <v>1000184762</v>
      </c>
      <c r="G1329" s="2" t="s">
        <v>58</v>
      </c>
      <c r="H1329" s="4">
        <v>1000189814</v>
      </c>
      <c r="I1329" s="4" t="s">
        <v>91</v>
      </c>
      <c r="J1329" s="2">
        <v>1000189270</v>
      </c>
      <c r="K1329" s="2" t="s">
        <v>34</v>
      </c>
      <c r="L1329" s="4" t="s">
        <v>23</v>
      </c>
      <c r="M1329" s="4" t="str">
        <f t="shared" si="309"/>
        <v>1000184670100018619710001898141000189270SABORES DO CAMPO</v>
      </c>
      <c r="N1329" s="28">
        <f>N1315*_xlfn.XLOOKUP($L1329,'Balizador da Meta'!$B$4:$B$21,'Balizador da Meta'!$C$4:$C$21)</f>
        <v>0</v>
      </c>
      <c r="O1329" s="28">
        <f>O1315*_xlfn.XLOOKUP($L1329,'Balizador da Meta'!$B$4:$B$21,'Balizador da Meta'!$C$4:$C$21)</f>
        <v>0</v>
      </c>
      <c r="P1329" s="28">
        <f>P1315*_xlfn.XLOOKUP($L1329,'Balizador da Meta'!$B$4:$B$21,'Balizador da Meta'!$C$4:$C$21)</f>
        <v>0</v>
      </c>
      <c r="Q1329" s="28">
        <f>Q1315*_xlfn.XLOOKUP($L1329,'Balizador da Meta'!$B$4:$B$21,'Balizador da Meta'!$C$4:$C$21)</f>
        <v>0</v>
      </c>
      <c r="R1329" s="28">
        <f>R1315*_xlfn.XLOOKUP($L1329,'Balizador da Meta'!$B$4:$B$21,'Balizador da Meta'!$C$4:$C$21)</f>
        <v>0</v>
      </c>
      <c r="S1329" s="28">
        <f>S1315*_xlfn.XLOOKUP($L1329,'Balizador da Meta'!$B$4:$B$21,'Balizador da Meta'!$C$4:$C$21)</f>
        <v>0</v>
      </c>
      <c r="T1329" s="28">
        <f>T1315*_xlfn.XLOOKUP($L1329,'Balizador da Meta'!$B$4:$B$21,'Balizador da Meta'!$C$4:$C$21)</f>
        <v>0</v>
      </c>
      <c r="U1329" s="28">
        <f>U1315*_xlfn.XLOOKUP($L1329,'Balizador da Meta'!$B$4:$B$21,'Balizador da Meta'!$C$4:$C$21)</f>
        <v>0</v>
      </c>
      <c r="V1329" s="28">
        <f>V1315*_xlfn.XLOOKUP($L1329,'Balizador da Meta'!$B$4:$B$21,'Balizador da Meta'!$C$4:$C$21)</f>
        <v>0</v>
      </c>
      <c r="W1329" s="28">
        <f>W1315*_xlfn.XLOOKUP($L1329,'Balizador da Meta'!$B$4:$B$21,'Balizador da Meta'!$C$4:$C$21)</f>
        <v>0</v>
      </c>
      <c r="X1329" s="28">
        <f>X1315*_xlfn.XLOOKUP($L1329,'Balizador da Meta'!$B$4:$B$21,'Balizador da Meta'!$C$4:$C$21)</f>
        <v>0</v>
      </c>
      <c r="Y1329" s="28">
        <f>Y1315*_xlfn.XLOOKUP($L1329,'Balizador da Meta'!$B$4:$B$21,'Balizador da Meta'!$C$4:$C$21)</f>
        <v>0</v>
      </c>
      <c r="Z1329" s="30">
        <f t="shared" si="315"/>
        <v>0</v>
      </c>
      <c r="AA1329" s="29"/>
      <c r="AB1329" s="31">
        <f>SUMIFS('Historico - FAT'!AK:AK,'Historico - FAT'!$K:$K,Faturamento!$L1329,'Historico - FAT'!$I:$I,Faturamento!$J1329,'Historico - FAT'!$G:$G,Faturamento!$H1329)</f>
        <v>0</v>
      </c>
      <c r="AC1329" s="31">
        <f>SUMIFS('Historico - FAT'!AL:AL,'Historico - FAT'!$K:$K,Faturamento!$L1329,'Historico - FAT'!$I:$I,Faturamento!$J1329,'Historico - FAT'!$G:$G,Faturamento!$H1329)</f>
        <v>0</v>
      </c>
      <c r="AD1329" s="31">
        <f>SUMIFS('Historico - FAT'!AM:AM,'Historico - FAT'!$K:$K,Faturamento!$L1329,'Historico - FAT'!$I:$I,Faturamento!$J1329,'Historico - FAT'!$G:$G,Faturamento!$H1329)</f>
        <v>0</v>
      </c>
      <c r="AE1329" s="27">
        <f>SUMIFS('Historico - FAT'!AN:AN,'Historico - FAT'!$K:$K,Faturamento!$L1329,'Historico - FAT'!$I:$I,Faturamento!$J1329,'Historico - FAT'!$G:$G,Faturamento!$H1329)</f>
        <v>0</v>
      </c>
      <c r="AG1329" s="24" t="str">
        <f t="shared" si="303"/>
        <v/>
      </c>
      <c r="AH1329" s="24" t="str">
        <f t="shared" si="304"/>
        <v/>
      </c>
      <c r="AI1329" s="24" t="str">
        <f t="shared" si="305"/>
        <v/>
      </c>
    </row>
    <row r="1330" spans="1:35" hidden="1" x14ac:dyDescent="0.3">
      <c r="A1330" s="2" t="str">
        <f t="shared" ref="A1330:A1393" si="316">IF(OR(H1330&lt;&gt;H1329,J1330&lt;&gt;J1329),"SIM","NÃO")</f>
        <v>NÃO</v>
      </c>
      <c r="B1330" s="2">
        <v>1000184670</v>
      </c>
      <c r="C1330" s="2" t="s">
        <v>147</v>
      </c>
      <c r="D1330" s="4">
        <v>1000186197</v>
      </c>
      <c r="E1330" s="4" t="s">
        <v>166</v>
      </c>
      <c r="F1330" s="2">
        <v>1000184762</v>
      </c>
      <c r="G1330" s="2" t="s">
        <v>58</v>
      </c>
      <c r="H1330" s="4">
        <v>1000189814</v>
      </c>
      <c r="I1330" s="4" t="s">
        <v>91</v>
      </c>
      <c r="J1330" s="2">
        <v>1000189270</v>
      </c>
      <c r="K1330" s="2" t="s">
        <v>34</v>
      </c>
      <c r="L1330" s="4" t="s">
        <v>28</v>
      </c>
      <c r="M1330" s="4" t="str">
        <f t="shared" si="309"/>
        <v>1000184670100018619710001898141000189270SAL</v>
      </c>
      <c r="N1330" s="28">
        <f>N1315*_xlfn.XLOOKUP($L1330,'Balizador da Meta'!$B$4:$B$21,'Balizador da Meta'!$C$4:$C$21)</f>
        <v>48</v>
      </c>
      <c r="O1330" s="28">
        <f>O1315*_xlfn.XLOOKUP($L1330,'Balizador da Meta'!$B$4:$B$21,'Balizador da Meta'!$C$4:$C$21)</f>
        <v>48</v>
      </c>
      <c r="P1330" s="28">
        <f>P1315*_xlfn.XLOOKUP($L1330,'Balizador da Meta'!$B$4:$B$21,'Balizador da Meta'!$C$4:$C$21)</f>
        <v>48</v>
      </c>
      <c r="Q1330" s="28">
        <f>Q1315*_xlfn.XLOOKUP($L1330,'Balizador da Meta'!$B$4:$B$21,'Balizador da Meta'!$C$4:$C$21)</f>
        <v>48</v>
      </c>
      <c r="R1330" s="28">
        <f>R1315*_xlfn.XLOOKUP($L1330,'Balizador da Meta'!$B$4:$B$21,'Balizador da Meta'!$C$4:$C$21)</f>
        <v>60</v>
      </c>
      <c r="S1330" s="28">
        <f>S1315*_xlfn.XLOOKUP($L1330,'Balizador da Meta'!$B$4:$B$21,'Balizador da Meta'!$C$4:$C$21)</f>
        <v>60</v>
      </c>
      <c r="T1330" s="28">
        <f>T1315*_xlfn.XLOOKUP($L1330,'Balizador da Meta'!$B$4:$B$21,'Balizador da Meta'!$C$4:$C$21)</f>
        <v>60</v>
      </c>
      <c r="U1330" s="28">
        <f>U1315*_xlfn.XLOOKUP($L1330,'Balizador da Meta'!$B$4:$B$21,'Balizador da Meta'!$C$4:$C$21)</f>
        <v>60</v>
      </c>
      <c r="V1330" s="28">
        <f>V1315*_xlfn.XLOOKUP($L1330,'Balizador da Meta'!$B$4:$B$21,'Balizador da Meta'!$C$4:$C$21)</f>
        <v>60</v>
      </c>
      <c r="W1330" s="28">
        <f>W1315*_xlfn.XLOOKUP($L1330,'Balizador da Meta'!$B$4:$B$21,'Balizador da Meta'!$C$4:$C$21)</f>
        <v>72</v>
      </c>
      <c r="X1330" s="28">
        <f>X1315*_xlfn.XLOOKUP($L1330,'Balizador da Meta'!$B$4:$B$21,'Balizador da Meta'!$C$4:$C$21)</f>
        <v>72</v>
      </c>
      <c r="Y1330" s="28">
        <f>Y1315*_xlfn.XLOOKUP($L1330,'Balizador da Meta'!$B$4:$B$21,'Balizador da Meta'!$C$4:$C$21)</f>
        <v>72</v>
      </c>
      <c r="Z1330" s="30">
        <f t="shared" si="315"/>
        <v>708</v>
      </c>
      <c r="AA1330" s="29"/>
      <c r="AB1330" s="31">
        <f>SUMIFS('Historico - FAT'!AK:AK,'Historico - FAT'!$K:$K,Faturamento!$L1330,'Historico - FAT'!$I:$I,Faturamento!$J1330,'Historico - FAT'!$G:$G,Faturamento!$H1330)</f>
        <v>0</v>
      </c>
      <c r="AC1330" s="31">
        <f>SUMIFS('Historico - FAT'!AL:AL,'Historico - FAT'!$K:$K,Faturamento!$L1330,'Historico - FAT'!$I:$I,Faturamento!$J1330,'Historico - FAT'!$G:$G,Faturamento!$H1330)</f>
        <v>0</v>
      </c>
      <c r="AD1330" s="31">
        <f>SUMIFS('Historico - FAT'!AM:AM,'Historico - FAT'!$K:$K,Faturamento!$L1330,'Historico - FAT'!$I:$I,Faturamento!$J1330,'Historico - FAT'!$G:$G,Faturamento!$H1330)</f>
        <v>0</v>
      </c>
      <c r="AE1330" s="27">
        <f>SUMIFS('Historico - FAT'!AN:AN,'Historico - FAT'!$K:$K,Faturamento!$L1330,'Historico - FAT'!$I:$I,Faturamento!$J1330,'Historico - FAT'!$G:$G,Faturamento!$H1330)</f>
        <v>0</v>
      </c>
      <c r="AG1330" s="24">
        <f t="shared" ref="AG1330:AG1393" si="317">IFERROR((AVERAGE(W1330:Y1330)-AB1330)/AVERAGE(W1330:Y1330),"")</f>
        <v>1</v>
      </c>
      <c r="AH1330" s="24">
        <f t="shared" ref="AH1330:AH1393" si="318">IFERROR((AVERAGE(W1330:Y1330)-AC1330)/AVERAGE(W1330:Y1330),"")</f>
        <v>1</v>
      </c>
      <c r="AI1330" s="24">
        <f t="shared" ref="AI1330:AI1393" si="319">IFERROR((AVERAGE(W1330:Y1330)-AD1330)/AVERAGE(W1330:Y1330),"")</f>
        <v>1</v>
      </c>
    </row>
    <row r="1331" spans="1:35" hidden="1" x14ac:dyDescent="0.3">
      <c r="A1331" s="2" t="str">
        <f t="shared" si="316"/>
        <v>NÃO</v>
      </c>
      <c r="B1331" s="2">
        <v>1000184670</v>
      </c>
      <c r="C1331" s="2" t="s">
        <v>147</v>
      </c>
      <c r="D1331" s="4">
        <v>1000186197</v>
      </c>
      <c r="E1331" s="4" t="s">
        <v>166</v>
      </c>
      <c r="F1331" s="2">
        <v>1000184762</v>
      </c>
      <c r="G1331" s="2" t="s">
        <v>58</v>
      </c>
      <c r="H1331" s="4">
        <v>1000189814</v>
      </c>
      <c r="I1331" s="4" t="s">
        <v>91</v>
      </c>
      <c r="J1331" s="2">
        <v>1000189270</v>
      </c>
      <c r="K1331" s="2" t="s">
        <v>34</v>
      </c>
      <c r="L1331" s="4" t="s">
        <v>26</v>
      </c>
      <c r="M1331" s="4" t="str">
        <f t="shared" si="309"/>
        <v>1000184670100018619710001898141000189270SOULPRO</v>
      </c>
      <c r="N1331" s="28">
        <f>N1315*_xlfn.XLOOKUP($L1331,'Balizador da Meta'!$B$4:$B$21,'Balizador da Meta'!$C$4:$C$21)</f>
        <v>144</v>
      </c>
      <c r="O1331" s="28">
        <f>O1315*_xlfn.XLOOKUP($L1331,'Balizador da Meta'!$B$4:$B$21,'Balizador da Meta'!$C$4:$C$21)</f>
        <v>144</v>
      </c>
      <c r="P1331" s="28">
        <f>P1315*_xlfn.XLOOKUP($L1331,'Balizador da Meta'!$B$4:$B$21,'Balizador da Meta'!$C$4:$C$21)</f>
        <v>144</v>
      </c>
      <c r="Q1331" s="28">
        <f>Q1315*_xlfn.XLOOKUP($L1331,'Balizador da Meta'!$B$4:$B$21,'Balizador da Meta'!$C$4:$C$21)</f>
        <v>144</v>
      </c>
      <c r="R1331" s="28">
        <f>R1315*_xlfn.XLOOKUP($L1331,'Balizador da Meta'!$B$4:$B$21,'Balizador da Meta'!$C$4:$C$21)</f>
        <v>180</v>
      </c>
      <c r="S1331" s="28">
        <f>S1315*_xlfn.XLOOKUP($L1331,'Balizador da Meta'!$B$4:$B$21,'Balizador da Meta'!$C$4:$C$21)</f>
        <v>180</v>
      </c>
      <c r="T1331" s="28">
        <f>T1315*_xlfn.XLOOKUP($L1331,'Balizador da Meta'!$B$4:$B$21,'Balizador da Meta'!$C$4:$C$21)</f>
        <v>180</v>
      </c>
      <c r="U1331" s="28">
        <f>U1315*_xlfn.XLOOKUP($L1331,'Balizador da Meta'!$B$4:$B$21,'Balizador da Meta'!$C$4:$C$21)</f>
        <v>180</v>
      </c>
      <c r="V1331" s="28">
        <f>V1315*_xlfn.XLOOKUP($L1331,'Balizador da Meta'!$B$4:$B$21,'Balizador da Meta'!$C$4:$C$21)</f>
        <v>180</v>
      </c>
      <c r="W1331" s="28">
        <f>W1315*_xlfn.XLOOKUP($L1331,'Balizador da Meta'!$B$4:$B$21,'Balizador da Meta'!$C$4:$C$21)</f>
        <v>216</v>
      </c>
      <c r="X1331" s="28">
        <f>X1315*_xlfn.XLOOKUP($L1331,'Balizador da Meta'!$B$4:$B$21,'Balizador da Meta'!$C$4:$C$21)</f>
        <v>216</v>
      </c>
      <c r="Y1331" s="28">
        <f>Y1315*_xlfn.XLOOKUP($L1331,'Balizador da Meta'!$B$4:$B$21,'Balizador da Meta'!$C$4:$C$21)</f>
        <v>216</v>
      </c>
      <c r="Z1331" s="30">
        <f t="shared" si="315"/>
        <v>2124</v>
      </c>
      <c r="AA1331" s="29"/>
      <c r="AB1331" s="31">
        <f>SUMIFS('Historico - FAT'!AK:AK,'Historico - FAT'!$K:$K,Faturamento!$L1331,'Historico - FAT'!$I:$I,Faturamento!$J1331,'Historico - FAT'!$G:$G,Faturamento!$H1331)</f>
        <v>0</v>
      </c>
      <c r="AC1331" s="31">
        <f>SUMIFS('Historico - FAT'!AL:AL,'Historico - FAT'!$K:$K,Faturamento!$L1331,'Historico - FAT'!$I:$I,Faturamento!$J1331,'Historico - FAT'!$G:$G,Faturamento!$H1331)</f>
        <v>0</v>
      </c>
      <c r="AD1331" s="31">
        <f>SUMIFS('Historico - FAT'!AM:AM,'Historico - FAT'!$K:$K,Faturamento!$L1331,'Historico - FAT'!$I:$I,Faturamento!$J1331,'Historico - FAT'!$G:$G,Faturamento!$H1331)</f>
        <v>0</v>
      </c>
      <c r="AE1331" s="27">
        <f>SUMIFS('Historico - FAT'!AN:AN,'Historico - FAT'!$K:$K,Faturamento!$L1331,'Historico - FAT'!$I:$I,Faturamento!$J1331,'Historico - FAT'!$G:$G,Faturamento!$H1331)</f>
        <v>0</v>
      </c>
      <c r="AG1331" s="24">
        <f t="shared" si="317"/>
        <v>1</v>
      </c>
      <c r="AH1331" s="24">
        <f t="shared" si="318"/>
        <v>1</v>
      </c>
      <c r="AI1331" s="24">
        <f t="shared" si="319"/>
        <v>1</v>
      </c>
    </row>
    <row r="1332" spans="1:35" hidden="1" x14ac:dyDescent="0.3">
      <c r="A1332" s="2" t="str">
        <f t="shared" si="316"/>
        <v>NÃO</v>
      </c>
      <c r="B1332" s="2">
        <v>1000184670</v>
      </c>
      <c r="C1332" s="2" t="s">
        <v>147</v>
      </c>
      <c r="D1332" s="4">
        <v>1000186197</v>
      </c>
      <c r="E1332" s="4" t="s">
        <v>166</v>
      </c>
      <c r="F1332" s="2">
        <v>1000184762</v>
      </c>
      <c r="G1332" s="2" t="s">
        <v>58</v>
      </c>
      <c r="H1332" s="4">
        <v>1000189814</v>
      </c>
      <c r="I1332" s="4" t="s">
        <v>91</v>
      </c>
      <c r="J1332" s="2">
        <v>1000189270</v>
      </c>
      <c r="K1332" s="2" t="s">
        <v>34</v>
      </c>
      <c r="L1332" s="4" t="s">
        <v>27</v>
      </c>
      <c r="M1332" s="4" t="str">
        <f t="shared" si="309"/>
        <v>1000184670100018619710001898141000189270TAMARA</v>
      </c>
      <c r="N1332" s="28">
        <f>N1315*_xlfn.XLOOKUP($L1332,'Balizador da Meta'!$B$4:$B$21,'Balizador da Meta'!$C$4:$C$21)</f>
        <v>192</v>
      </c>
      <c r="O1332" s="28">
        <f>O1315*_xlfn.XLOOKUP($L1332,'Balizador da Meta'!$B$4:$B$21,'Balizador da Meta'!$C$4:$C$21)</f>
        <v>192</v>
      </c>
      <c r="P1332" s="28">
        <f>P1315*_xlfn.XLOOKUP($L1332,'Balizador da Meta'!$B$4:$B$21,'Balizador da Meta'!$C$4:$C$21)</f>
        <v>192</v>
      </c>
      <c r="Q1332" s="28">
        <f>Q1315*_xlfn.XLOOKUP($L1332,'Balizador da Meta'!$B$4:$B$21,'Balizador da Meta'!$C$4:$C$21)</f>
        <v>192</v>
      </c>
      <c r="R1332" s="28">
        <f>R1315*_xlfn.XLOOKUP($L1332,'Balizador da Meta'!$B$4:$B$21,'Balizador da Meta'!$C$4:$C$21)</f>
        <v>240</v>
      </c>
      <c r="S1332" s="28">
        <f>S1315*_xlfn.XLOOKUP($L1332,'Balizador da Meta'!$B$4:$B$21,'Balizador da Meta'!$C$4:$C$21)</f>
        <v>240</v>
      </c>
      <c r="T1332" s="28">
        <f>T1315*_xlfn.XLOOKUP($L1332,'Balizador da Meta'!$B$4:$B$21,'Balizador da Meta'!$C$4:$C$21)</f>
        <v>240</v>
      </c>
      <c r="U1332" s="28">
        <f>U1315*_xlfn.XLOOKUP($L1332,'Balizador da Meta'!$B$4:$B$21,'Balizador da Meta'!$C$4:$C$21)</f>
        <v>240</v>
      </c>
      <c r="V1332" s="28">
        <f>V1315*_xlfn.XLOOKUP($L1332,'Balizador da Meta'!$B$4:$B$21,'Balizador da Meta'!$C$4:$C$21)</f>
        <v>240</v>
      </c>
      <c r="W1332" s="28">
        <f>W1315*_xlfn.XLOOKUP($L1332,'Balizador da Meta'!$B$4:$B$21,'Balizador da Meta'!$C$4:$C$21)</f>
        <v>288</v>
      </c>
      <c r="X1332" s="28">
        <f>X1315*_xlfn.XLOOKUP($L1332,'Balizador da Meta'!$B$4:$B$21,'Balizador da Meta'!$C$4:$C$21)</f>
        <v>288</v>
      </c>
      <c r="Y1332" s="28">
        <f>Y1315*_xlfn.XLOOKUP($L1332,'Balizador da Meta'!$B$4:$B$21,'Balizador da Meta'!$C$4:$C$21)</f>
        <v>288</v>
      </c>
      <c r="Z1332" s="30">
        <f t="shared" si="315"/>
        <v>2832</v>
      </c>
      <c r="AA1332" s="29"/>
      <c r="AB1332" s="31">
        <f>SUMIFS('Historico - FAT'!AK:AK,'Historico - FAT'!$K:$K,Faturamento!$L1332,'Historico - FAT'!$I:$I,Faturamento!$J1332,'Historico - FAT'!$G:$G,Faturamento!$H1332)</f>
        <v>0</v>
      </c>
      <c r="AC1332" s="31">
        <f>SUMIFS('Historico - FAT'!AL:AL,'Historico - FAT'!$K:$K,Faturamento!$L1332,'Historico - FAT'!$I:$I,Faturamento!$J1332,'Historico - FAT'!$G:$G,Faturamento!$H1332)</f>
        <v>17</v>
      </c>
      <c r="AD1332" s="31">
        <f>SUMIFS('Historico - FAT'!AM:AM,'Historico - FAT'!$K:$K,Faturamento!$L1332,'Historico - FAT'!$I:$I,Faturamento!$J1332,'Historico - FAT'!$G:$G,Faturamento!$H1332)</f>
        <v>34</v>
      </c>
      <c r="AE1332" s="27">
        <f>SUMIFS('Historico - FAT'!AN:AN,'Historico - FAT'!$K:$K,Faturamento!$L1332,'Historico - FAT'!$I:$I,Faturamento!$J1332,'Historico - FAT'!$G:$G,Faturamento!$H1332)</f>
        <v>20.399999999999999</v>
      </c>
      <c r="AG1332" s="24">
        <f t="shared" si="317"/>
        <v>1</v>
      </c>
      <c r="AH1332" s="24">
        <f t="shared" si="318"/>
        <v>0.94097222222222221</v>
      </c>
      <c r="AI1332" s="24">
        <f t="shared" si="319"/>
        <v>0.88194444444444442</v>
      </c>
    </row>
    <row r="1333" spans="1:35" hidden="1" x14ac:dyDescent="0.3">
      <c r="A1333" s="2" t="str">
        <f t="shared" si="316"/>
        <v>NÃO</v>
      </c>
      <c r="B1333" s="2">
        <v>1000184670</v>
      </c>
      <c r="C1333" s="2" t="s">
        <v>147</v>
      </c>
      <c r="D1333" s="4">
        <v>1000186197</v>
      </c>
      <c r="E1333" s="4" t="s">
        <v>166</v>
      </c>
      <c r="F1333" s="2">
        <v>1000184762</v>
      </c>
      <c r="G1333" s="2" t="s">
        <v>58</v>
      </c>
      <c r="H1333" s="4">
        <v>1000189814</v>
      </c>
      <c r="I1333" s="4" t="s">
        <v>91</v>
      </c>
      <c r="J1333" s="2">
        <v>1000189270</v>
      </c>
      <c r="K1333" s="2" t="s">
        <v>34</v>
      </c>
      <c r="L1333" s="4" t="s">
        <v>25</v>
      </c>
      <c r="M1333" s="4" t="str">
        <f t="shared" si="309"/>
        <v>1000184670100018619710001898141000189270VICCIO</v>
      </c>
      <c r="N1333" s="28">
        <f>N1315*_xlfn.XLOOKUP($L1333,'Balizador da Meta'!$B$4:$B$21,'Balizador da Meta'!$C$4:$C$21)</f>
        <v>72</v>
      </c>
      <c r="O1333" s="28">
        <f>O1315*_xlfn.XLOOKUP($L1333,'Balizador da Meta'!$B$4:$B$21,'Balizador da Meta'!$C$4:$C$21)</f>
        <v>72</v>
      </c>
      <c r="P1333" s="28">
        <f>P1315*_xlfn.XLOOKUP($L1333,'Balizador da Meta'!$B$4:$B$21,'Balizador da Meta'!$C$4:$C$21)</f>
        <v>72</v>
      </c>
      <c r="Q1333" s="28">
        <f>Q1315*_xlfn.XLOOKUP($L1333,'Balizador da Meta'!$B$4:$B$21,'Balizador da Meta'!$C$4:$C$21)</f>
        <v>72</v>
      </c>
      <c r="R1333" s="28">
        <f>R1315*_xlfn.XLOOKUP($L1333,'Balizador da Meta'!$B$4:$B$21,'Balizador da Meta'!$C$4:$C$21)</f>
        <v>90</v>
      </c>
      <c r="S1333" s="28">
        <f>S1315*_xlfn.XLOOKUP($L1333,'Balizador da Meta'!$B$4:$B$21,'Balizador da Meta'!$C$4:$C$21)</f>
        <v>90</v>
      </c>
      <c r="T1333" s="28">
        <f>T1315*_xlfn.XLOOKUP($L1333,'Balizador da Meta'!$B$4:$B$21,'Balizador da Meta'!$C$4:$C$21)</f>
        <v>90</v>
      </c>
      <c r="U1333" s="28">
        <f>U1315*_xlfn.XLOOKUP($L1333,'Balizador da Meta'!$B$4:$B$21,'Balizador da Meta'!$C$4:$C$21)</f>
        <v>90</v>
      </c>
      <c r="V1333" s="28">
        <f>V1315*_xlfn.XLOOKUP($L1333,'Balizador da Meta'!$B$4:$B$21,'Balizador da Meta'!$C$4:$C$21)</f>
        <v>90</v>
      </c>
      <c r="W1333" s="28">
        <f>W1315*_xlfn.XLOOKUP($L1333,'Balizador da Meta'!$B$4:$B$21,'Balizador da Meta'!$C$4:$C$21)</f>
        <v>108</v>
      </c>
      <c r="X1333" s="28">
        <f>X1315*_xlfn.XLOOKUP($L1333,'Balizador da Meta'!$B$4:$B$21,'Balizador da Meta'!$C$4:$C$21)</f>
        <v>108</v>
      </c>
      <c r="Y1333" s="28">
        <f>Y1315*_xlfn.XLOOKUP($L1333,'Balizador da Meta'!$B$4:$B$21,'Balizador da Meta'!$C$4:$C$21)</f>
        <v>108</v>
      </c>
      <c r="Z1333" s="30">
        <f t="shared" si="315"/>
        <v>1062</v>
      </c>
      <c r="AA1333" s="29"/>
      <c r="AB1333" s="31">
        <f>SUMIFS('Historico - FAT'!AK:AK,'Historico - FAT'!$K:$K,Faturamento!$L1333,'Historico - FAT'!$I:$I,Faturamento!$J1333,'Historico - FAT'!$G:$G,Faturamento!$H1333)</f>
        <v>0</v>
      </c>
      <c r="AC1333" s="31">
        <f>SUMIFS('Historico - FAT'!AL:AL,'Historico - FAT'!$K:$K,Faturamento!$L1333,'Historico - FAT'!$I:$I,Faturamento!$J1333,'Historico - FAT'!$G:$G,Faturamento!$H1333)</f>
        <v>0</v>
      </c>
      <c r="AD1333" s="31">
        <f>SUMIFS('Historico - FAT'!AM:AM,'Historico - FAT'!$K:$K,Faturamento!$L1333,'Historico - FAT'!$I:$I,Faturamento!$J1333,'Historico - FAT'!$G:$G,Faturamento!$H1333)</f>
        <v>0</v>
      </c>
      <c r="AE1333" s="27">
        <f>SUMIFS('Historico - FAT'!AN:AN,'Historico - FAT'!$K:$K,Faturamento!$L1333,'Historico - FAT'!$I:$I,Faturamento!$J1333,'Historico - FAT'!$G:$G,Faturamento!$H1333)</f>
        <v>0</v>
      </c>
      <c r="AG1333" s="24">
        <f t="shared" si="317"/>
        <v>1</v>
      </c>
      <c r="AH1333" s="24">
        <f t="shared" si="318"/>
        <v>1</v>
      </c>
      <c r="AI1333" s="24">
        <f t="shared" si="319"/>
        <v>1</v>
      </c>
    </row>
    <row r="1334" spans="1:35" x14ac:dyDescent="0.3">
      <c r="A1334" s="2" t="str">
        <f t="shared" si="316"/>
        <v>SIM</v>
      </c>
      <c r="B1334" s="2">
        <v>1000184670</v>
      </c>
      <c r="C1334" s="2" t="s">
        <v>147</v>
      </c>
      <c r="D1334" s="4">
        <v>1000186197</v>
      </c>
      <c r="E1334" s="4" t="s">
        <v>166</v>
      </c>
      <c r="F1334" s="2">
        <v>1000184762</v>
      </c>
      <c r="G1334" s="2" t="s">
        <v>58</v>
      </c>
      <c r="H1334" s="4">
        <v>1000189815</v>
      </c>
      <c r="I1334" s="4" t="s">
        <v>59</v>
      </c>
      <c r="J1334" s="2">
        <v>1000189270</v>
      </c>
      <c r="K1334" s="2" t="s">
        <v>34</v>
      </c>
      <c r="L1334" s="4" t="s">
        <v>124</v>
      </c>
      <c r="M1334" s="4" t="str">
        <f t="shared" si="309"/>
        <v>100018467010001861971000189815100018927001. TOTAL</v>
      </c>
      <c r="N1334" s="28">
        <f>SUMIFS(Positivação!L:L,Positivação!$I:$I,Faturamento!$J1334,Positivação!$G:$G,Faturamento!$H1334)*SUMIFS(Positivação!$Z:$Z,Positivação!$I:$I,Faturamento!$J1334,Positivação!$G:$G,Faturamento!$H1334)</f>
        <v>600</v>
      </c>
      <c r="O1334" s="28">
        <f>SUMIFS(Positivação!M:M,Positivação!$I:$I,Faturamento!$J1334,Positivação!$G:$G,Faturamento!$H1334)*SUMIFS(Positivação!$Z:$Z,Positivação!$I:$I,Faturamento!$J1334,Positivação!$G:$G,Faturamento!$H1334)</f>
        <v>1200</v>
      </c>
      <c r="P1334" s="28">
        <f>SUMIFS(Positivação!N:N,Positivação!$I:$I,Faturamento!$J1334,Positivação!$G:$G,Faturamento!$H1334)*SUMIFS(Positivação!$Z:$Z,Positivação!$I:$I,Faturamento!$J1334,Positivação!$G:$G,Faturamento!$H1334)</f>
        <v>1200</v>
      </c>
      <c r="Q1334" s="28">
        <f>SUMIFS(Positivação!O:O,Positivação!$I:$I,Faturamento!$J1334,Positivação!$G:$G,Faturamento!$H1334)*SUMIFS(Positivação!$Z:$Z,Positivação!$I:$I,Faturamento!$J1334,Positivação!$G:$G,Faturamento!$H1334)</f>
        <v>1200</v>
      </c>
      <c r="R1334" s="28">
        <f>SUMIFS(Positivação!P:P,Positivação!$I:$I,Faturamento!$J1334,Positivação!$G:$G,Faturamento!$H1334)*SUMIFS(Positivação!$Z:$Z,Positivação!$I:$I,Faturamento!$J1334,Positivação!$G:$G,Faturamento!$H1334)</f>
        <v>1200</v>
      </c>
      <c r="S1334" s="28">
        <f>SUMIFS(Positivação!Q:Q,Positivação!$I:$I,Faturamento!$J1334,Positivação!$G:$G,Faturamento!$H1334)*SUMIFS(Positivação!$Z:$Z,Positivação!$I:$I,Faturamento!$J1334,Positivação!$G:$G,Faturamento!$H1334)</f>
        <v>1200</v>
      </c>
      <c r="T1334" s="28">
        <f>SUMIFS(Positivação!R:R,Positivação!$I:$I,Faturamento!$J1334,Positivação!$G:$G,Faturamento!$H1334)*SUMIFS(Positivação!$Z:$Z,Positivação!$I:$I,Faturamento!$J1334,Positivação!$G:$G,Faturamento!$H1334)</f>
        <v>1800</v>
      </c>
      <c r="U1334" s="28">
        <f>SUMIFS(Positivação!S:S,Positivação!$I:$I,Faturamento!$J1334,Positivação!$G:$G,Faturamento!$H1334)*SUMIFS(Positivação!$Z:$Z,Positivação!$I:$I,Faturamento!$J1334,Positivação!$G:$G,Faturamento!$H1334)</f>
        <v>1800</v>
      </c>
      <c r="V1334" s="28">
        <f>SUMIFS(Positivação!T:T,Positivação!$I:$I,Faturamento!$J1334,Positivação!$G:$G,Faturamento!$H1334)*SUMIFS(Positivação!$Z:$Z,Positivação!$I:$I,Faturamento!$J1334,Positivação!$G:$G,Faturamento!$H1334)</f>
        <v>1800</v>
      </c>
      <c r="W1334" s="28">
        <f>SUMIFS(Positivação!U:U,Positivação!$I:$I,Faturamento!$J1334,Positivação!$G:$G,Faturamento!$H1334)*SUMIFS(Positivação!$Z:$Z,Positivação!$I:$I,Faturamento!$J1334,Positivação!$G:$G,Faturamento!$H1334)</f>
        <v>1800</v>
      </c>
      <c r="X1334" s="28">
        <f>SUMIFS(Positivação!V:V,Positivação!$I:$I,Faturamento!$J1334,Positivação!$G:$G,Faturamento!$H1334)*SUMIFS(Positivação!$Z:$Z,Positivação!$I:$I,Faturamento!$J1334,Positivação!$G:$G,Faturamento!$H1334)</f>
        <v>1800</v>
      </c>
      <c r="Y1334" s="28">
        <f>SUMIFS(Positivação!W:W,Positivação!$I:$I,Faturamento!$J1334,Positivação!$G:$G,Faturamento!$H1334)*SUMIFS(Positivação!$Z:$Z,Positivação!$I:$I,Faturamento!$J1334,Positivação!$G:$G,Faturamento!$H1334)</f>
        <v>2400</v>
      </c>
      <c r="Z1334" s="28">
        <f t="shared" ref="Z1334" si="320">SUM(Z1335:Z1352)</f>
        <v>18000</v>
      </c>
      <c r="AA1334" s="29"/>
      <c r="AB1334" s="28">
        <f t="shared" ref="AB1334:AE1334" si="321">SUM(AB1335:AB1352)</f>
        <v>21.098333333333333</v>
      </c>
      <c r="AC1334" s="28">
        <f t="shared" si="321"/>
        <v>345.78916666666663</v>
      </c>
      <c r="AD1334" s="28">
        <f t="shared" si="321"/>
        <v>627.79666666666662</v>
      </c>
      <c r="AE1334" s="28">
        <f t="shared" si="321"/>
        <v>414.94700000000006</v>
      </c>
      <c r="AG1334" s="24">
        <f t="shared" si="317"/>
        <v>0.98945083333333328</v>
      </c>
      <c r="AH1334" s="24">
        <f t="shared" si="318"/>
        <v>0.8271054166666667</v>
      </c>
      <c r="AI1334" s="24">
        <f t="shared" si="319"/>
        <v>0.68610166666666672</v>
      </c>
    </row>
    <row r="1335" spans="1:35" hidden="1" x14ac:dyDescent="0.3">
      <c r="A1335" s="2" t="str">
        <f t="shared" si="316"/>
        <v>NÃO</v>
      </c>
      <c r="B1335" s="2">
        <v>1000184670</v>
      </c>
      <c r="C1335" s="2" t="s">
        <v>147</v>
      </c>
      <c r="D1335" s="4">
        <v>1000186197</v>
      </c>
      <c r="E1335" s="4" t="s">
        <v>166</v>
      </c>
      <c r="F1335" s="2">
        <v>1000184762</v>
      </c>
      <c r="G1335" s="2" t="s">
        <v>58</v>
      </c>
      <c r="H1335" s="4">
        <v>1000189815</v>
      </c>
      <c r="I1335" s="4" t="s">
        <v>59</v>
      </c>
      <c r="J1335" s="2">
        <v>1000189270</v>
      </c>
      <c r="K1335" s="2" t="s">
        <v>34</v>
      </c>
      <c r="L1335" s="4" t="s">
        <v>13</v>
      </c>
      <c r="M1335" s="4" t="str">
        <f t="shared" si="309"/>
        <v>1000184670100018619710001898151000189270BISCOITO</v>
      </c>
      <c r="N1335" s="28">
        <f>N1334*_xlfn.XLOOKUP($L1335,'Balizador da Meta'!$B$4:$B$21,'Balizador da Meta'!$C$4:$C$21)</f>
        <v>42.000000000000007</v>
      </c>
      <c r="O1335" s="28">
        <f>O1334*_xlfn.XLOOKUP($L1335,'Balizador da Meta'!$B$4:$B$21,'Balizador da Meta'!$C$4:$C$21)</f>
        <v>84.000000000000014</v>
      </c>
      <c r="P1335" s="28">
        <f>P1334*_xlfn.XLOOKUP($L1335,'Balizador da Meta'!$B$4:$B$21,'Balizador da Meta'!$C$4:$C$21)</f>
        <v>84.000000000000014</v>
      </c>
      <c r="Q1335" s="28">
        <f>Q1334*_xlfn.XLOOKUP($L1335,'Balizador da Meta'!$B$4:$B$21,'Balizador da Meta'!$C$4:$C$21)</f>
        <v>84.000000000000014</v>
      </c>
      <c r="R1335" s="28">
        <f>R1334*_xlfn.XLOOKUP($L1335,'Balizador da Meta'!$B$4:$B$21,'Balizador da Meta'!$C$4:$C$21)</f>
        <v>84.000000000000014</v>
      </c>
      <c r="S1335" s="28">
        <f>S1334*_xlfn.XLOOKUP($L1335,'Balizador da Meta'!$B$4:$B$21,'Balizador da Meta'!$C$4:$C$21)</f>
        <v>84.000000000000014</v>
      </c>
      <c r="T1335" s="28">
        <f>T1334*_xlfn.XLOOKUP($L1335,'Balizador da Meta'!$B$4:$B$21,'Balizador da Meta'!$C$4:$C$21)</f>
        <v>126.00000000000001</v>
      </c>
      <c r="U1335" s="28">
        <f>U1334*_xlfn.XLOOKUP($L1335,'Balizador da Meta'!$B$4:$B$21,'Balizador da Meta'!$C$4:$C$21)</f>
        <v>126.00000000000001</v>
      </c>
      <c r="V1335" s="28">
        <f>V1334*_xlfn.XLOOKUP($L1335,'Balizador da Meta'!$B$4:$B$21,'Balizador da Meta'!$C$4:$C$21)</f>
        <v>126.00000000000001</v>
      </c>
      <c r="W1335" s="28">
        <f>W1334*_xlfn.XLOOKUP($L1335,'Balizador da Meta'!$B$4:$B$21,'Balizador da Meta'!$C$4:$C$21)</f>
        <v>126.00000000000001</v>
      </c>
      <c r="X1335" s="28">
        <f>X1334*_xlfn.XLOOKUP($L1335,'Balizador da Meta'!$B$4:$B$21,'Balizador da Meta'!$C$4:$C$21)</f>
        <v>126.00000000000001</v>
      </c>
      <c r="Y1335" s="28">
        <f>Y1334*_xlfn.XLOOKUP($L1335,'Balizador da Meta'!$B$4:$B$21,'Balizador da Meta'!$C$4:$C$21)</f>
        <v>168.00000000000003</v>
      </c>
      <c r="Z1335" s="30">
        <f t="shared" ref="Z1335:Z1352" si="322">SUM(N1335:Y1335)</f>
        <v>1260.0000000000002</v>
      </c>
      <c r="AA1335" s="29"/>
      <c r="AB1335" s="31">
        <f>SUMIFS('Historico - FAT'!AK:AK,'Historico - FAT'!$K:$K,Faturamento!$L1335,'Historico - FAT'!$I:$I,Faturamento!$J1335,'Historico - FAT'!$G:$G,Faturamento!$H1335)</f>
        <v>0</v>
      </c>
      <c r="AC1335" s="31">
        <f>SUMIFS('Historico - FAT'!AL:AL,'Historico - FAT'!$K:$K,Faturamento!$L1335,'Historico - FAT'!$I:$I,Faturamento!$J1335,'Historico - FAT'!$G:$G,Faturamento!$H1335)</f>
        <v>32.929166666666667</v>
      </c>
      <c r="AD1335" s="31">
        <f>SUMIFS('Historico - FAT'!AM:AM,'Historico - FAT'!$K:$K,Faturamento!$L1335,'Historico - FAT'!$I:$I,Faturamento!$J1335,'Historico - FAT'!$G:$G,Faturamento!$H1335)</f>
        <v>65.858333333333334</v>
      </c>
      <c r="AE1335" s="27">
        <f>SUMIFS('Historico - FAT'!AN:AN,'Historico - FAT'!$K:$K,Faturamento!$L1335,'Historico - FAT'!$I:$I,Faturamento!$J1335,'Historico - FAT'!$G:$G,Faturamento!$H1335)</f>
        <v>39.515000000000001</v>
      </c>
      <c r="AG1335" s="24">
        <f t="shared" si="317"/>
        <v>1</v>
      </c>
      <c r="AH1335" s="24">
        <f t="shared" si="318"/>
        <v>0.76479166666666665</v>
      </c>
      <c r="AI1335" s="24">
        <f t="shared" si="319"/>
        <v>0.52958333333333341</v>
      </c>
    </row>
    <row r="1336" spans="1:35" hidden="1" x14ac:dyDescent="0.3">
      <c r="A1336" s="2" t="str">
        <f t="shared" si="316"/>
        <v>NÃO</v>
      </c>
      <c r="B1336" s="2">
        <v>1000184670</v>
      </c>
      <c r="C1336" s="2" t="s">
        <v>147</v>
      </c>
      <c r="D1336" s="4">
        <v>1000186197</v>
      </c>
      <c r="E1336" s="4" t="s">
        <v>166</v>
      </c>
      <c r="F1336" s="2">
        <v>1000184762</v>
      </c>
      <c r="G1336" s="2" t="s">
        <v>58</v>
      </c>
      <c r="H1336" s="4">
        <v>1000189815</v>
      </c>
      <c r="I1336" s="4" t="s">
        <v>59</v>
      </c>
      <c r="J1336" s="2">
        <v>1000189270</v>
      </c>
      <c r="K1336" s="2" t="s">
        <v>34</v>
      </c>
      <c r="L1336" s="4" t="s">
        <v>14</v>
      </c>
      <c r="M1336" s="4" t="str">
        <f t="shared" si="309"/>
        <v>1000184670100018619710001898151000189270CHOCOLATES</v>
      </c>
      <c r="N1336" s="28">
        <f>N1334*_xlfn.XLOOKUP($L1336,'Balizador da Meta'!$B$4:$B$21,'Balizador da Meta'!$C$4:$C$21)</f>
        <v>42.000000000000007</v>
      </c>
      <c r="O1336" s="28">
        <f>O1334*_xlfn.XLOOKUP($L1336,'Balizador da Meta'!$B$4:$B$21,'Balizador da Meta'!$C$4:$C$21)</f>
        <v>84.000000000000014</v>
      </c>
      <c r="P1336" s="28">
        <f>P1334*_xlfn.XLOOKUP($L1336,'Balizador da Meta'!$B$4:$B$21,'Balizador da Meta'!$C$4:$C$21)</f>
        <v>84.000000000000014</v>
      </c>
      <c r="Q1336" s="28">
        <f>Q1334*_xlfn.XLOOKUP($L1336,'Balizador da Meta'!$B$4:$B$21,'Balizador da Meta'!$C$4:$C$21)</f>
        <v>84.000000000000014</v>
      </c>
      <c r="R1336" s="28">
        <f>R1334*_xlfn.XLOOKUP($L1336,'Balizador da Meta'!$B$4:$B$21,'Balizador da Meta'!$C$4:$C$21)</f>
        <v>84.000000000000014</v>
      </c>
      <c r="S1336" s="28">
        <f>S1334*_xlfn.XLOOKUP($L1336,'Balizador da Meta'!$B$4:$B$21,'Balizador da Meta'!$C$4:$C$21)</f>
        <v>84.000000000000014</v>
      </c>
      <c r="T1336" s="28">
        <f>T1334*_xlfn.XLOOKUP($L1336,'Balizador da Meta'!$B$4:$B$21,'Balizador da Meta'!$C$4:$C$21)</f>
        <v>126.00000000000001</v>
      </c>
      <c r="U1336" s="28">
        <f>U1334*_xlfn.XLOOKUP($L1336,'Balizador da Meta'!$B$4:$B$21,'Balizador da Meta'!$C$4:$C$21)</f>
        <v>126.00000000000001</v>
      </c>
      <c r="V1336" s="28">
        <f>V1334*_xlfn.XLOOKUP($L1336,'Balizador da Meta'!$B$4:$B$21,'Balizador da Meta'!$C$4:$C$21)</f>
        <v>126.00000000000001</v>
      </c>
      <c r="W1336" s="28">
        <f>W1334*_xlfn.XLOOKUP($L1336,'Balizador da Meta'!$B$4:$B$21,'Balizador da Meta'!$C$4:$C$21)</f>
        <v>126.00000000000001</v>
      </c>
      <c r="X1336" s="28">
        <f>X1334*_xlfn.XLOOKUP($L1336,'Balizador da Meta'!$B$4:$B$21,'Balizador da Meta'!$C$4:$C$21)</f>
        <v>126.00000000000001</v>
      </c>
      <c r="Y1336" s="28">
        <f>Y1334*_xlfn.XLOOKUP($L1336,'Balizador da Meta'!$B$4:$B$21,'Balizador da Meta'!$C$4:$C$21)</f>
        <v>168.00000000000003</v>
      </c>
      <c r="Z1336" s="30">
        <f t="shared" si="322"/>
        <v>1260.0000000000002</v>
      </c>
      <c r="AA1336" s="29"/>
      <c r="AB1336" s="31">
        <f>SUMIFS('Historico - FAT'!AK:AK,'Historico - FAT'!$K:$K,Faturamento!$L1336,'Historico - FAT'!$I:$I,Faturamento!$J1336,'Historico - FAT'!$G:$G,Faturamento!$H1336)</f>
        <v>0</v>
      </c>
      <c r="AC1336" s="31">
        <f>SUMIFS('Historico - FAT'!AL:AL,'Historico - FAT'!$K:$K,Faturamento!$L1336,'Historico - FAT'!$I:$I,Faturamento!$J1336,'Historico - FAT'!$G:$G,Faturamento!$H1336)</f>
        <v>0</v>
      </c>
      <c r="AD1336" s="31">
        <f>SUMIFS('Historico - FAT'!AM:AM,'Historico - FAT'!$K:$K,Faturamento!$L1336,'Historico - FAT'!$I:$I,Faturamento!$J1336,'Historico - FAT'!$G:$G,Faturamento!$H1336)</f>
        <v>0</v>
      </c>
      <c r="AE1336" s="27">
        <f>SUMIFS('Historico - FAT'!AN:AN,'Historico - FAT'!$K:$K,Faturamento!$L1336,'Historico - FAT'!$I:$I,Faturamento!$J1336,'Historico - FAT'!$G:$G,Faturamento!$H1336)</f>
        <v>0</v>
      </c>
      <c r="AG1336" s="24">
        <f t="shared" si="317"/>
        <v>1</v>
      </c>
      <c r="AH1336" s="24">
        <f t="shared" si="318"/>
        <v>1</v>
      </c>
      <c r="AI1336" s="24">
        <f t="shared" si="319"/>
        <v>1</v>
      </c>
    </row>
    <row r="1337" spans="1:35" hidden="1" x14ac:dyDescent="0.3">
      <c r="A1337" s="2" t="str">
        <f t="shared" si="316"/>
        <v>NÃO</v>
      </c>
      <c r="B1337" s="2">
        <v>1000184670</v>
      </c>
      <c r="C1337" s="2" t="s">
        <v>147</v>
      </c>
      <c r="D1337" s="4">
        <v>1000186197</v>
      </c>
      <c r="E1337" s="4" t="s">
        <v>166</v>
      </c>
      <c r="F1337" s="2">
        <v>1000184762</v>
      </c>
      <c r="G1337" s="2" t="s">
        <v>58</v>
      </c>
      <c r="H1337" s="4">
        <v>1000189815</v>
      </c>
      <c r="I1337" s="4" t="s">
        <v>59</v>
      </c>
      <c r="J1337" s="2">
        <v>1000189270</v>
      </c>
      <c r="K1337" s="2" t="s">
        <v>34</v>
      </c>
      <c r="L1337" s="4" t="s">
        <v>16</v>
      </c>
      <c r="M1337" s="4" t="str">
        <f t="shared" si="309"/>
        <v>1000184670100018619710001898151000189270DISNEY</v>
      </c>
      <c r="N1337" s="28">
        <f>N1334*_xlfn.XLOOKUP($L1337,'Balizador da Meta'!$B$4:$B$21,'Balizador da Meta'!$C$4:$C$21)</f>
        <v>48</v>
      </c>
      <c r="O1337" s="28">
        <f>O1334*_xlfn.XLOOKUP($L1337,'Balizador da Meta'!$B$4:$B$21,'Balizador da Meta'!$C$4:$C$21)</f>
        <v>96</v>
      </c>
      <c r="P1337" s="28">
        <f>P1334*_xlfn.XLOOKUP($L1337,'Balizador da Meta'!$B$4:$B$21,'Balizador da Meta'!$C$4:$C$21)</f>
        <v>96</v>
      </c>
      <c r="Q1337" s="28">
        <f>Q1334*_xlfn.XLOOKUP($L1337,'Balizador da Meta'!$B$4:$B$21,'Balizador da Meta'!$C$4:$C$21)</f>
        <v>96</v>
      </c>
      <c r="R1337" s="28">
        <f>R1334*_xlfn.XLOOKUP($L1337,'Balizador da Meta'!$B$4:$B$21,'Balizador da Meta'!$C$4:$C$21)</f>
        <v>96</v>
      </c>
      <c r="S1337" s="28">
        <f>S1334*_xlfn.XLOOKUP($L1337,'Balizador da Meta'!$B$4:$B$21,'Balizador da Meta'!$C$4:$C$21)</f>
        <v>96</v>
      </c>
      <c r="T1337" s="28">
        <f>T1334*_xlfn.XLOOKUP($L1337,'Balizador da Meta'!$B$4:$B$21,'Balizador da Meta'!$C$4:$C$21)</f>
        <v>144</v>
      </c>
      <c r="U1337" s="28">
        <f>U1334*_xlfn.XLOOKUP($L1337,'Balizador da Meta'!$B$4:$B$21,'Balizador da Meta'!$C$4:$C$21)</f>
        <v>144</v>
      </c>
      <c r="V1337" s="28">
        <f>V1334*_xlfn.XLOOKUP($L1337,'Balizador da Meta'!$B$4:$B$21,'Balizador da Meta'!$C$4:$C$21)</f>
        <v>144</v>
      </c>
      <c r="W1337" s="28">
        <f>W1334*_xlfn.XLOOKUP($L1337,'Balizador da Meta'!$B$4:$B$21,'Balizador da Meta'!$C$4:$C$21)</f>
        <v>144</v>
      </c>
      <c r="X1337" s="28">
        <f>X1334*_xlfn.XLOOKUP($L1337,'Balizador da Meta'!$B$4:$B$21,'Balizador da Meta'!$C$4:$C$21)</f>
        <v>144</v>
      </c>
      <c r="Y1337" s="28">
        <f>Y1334*_xlfn.XLOOKUP($L1337,'Balizador da Meta'!$B$4:$B$21,'Balizador da Meta'!$C$4:$C$21)</f>
        <v>192</v>
      </c>
      <c r="Z1337" s="30">
        <f t="shared" si="322"/>
        <v>1440</v>
      </c>
      <c r="AA1337" s="29"/>
      <c r="AB1337" s="31">
        <f>SUMIFS('Historico - FAT'!AK:AK,'Historico - FAT'!$K:$K,Faturamento!$L1337,'Historico - FAT'!$I:$I,Faturamento!$J1337,'Historico - FAT'!$G:$G,Faturamento!$H1337)</f>
        <v>0</v>
      </c>
      <c r="AC1337" s="31">
        <f>SUMIFS('Historico - FAT'!AL:AL,'Historico - FAT'!$K:$K,Faturamento!$L1337,'Historico - FAT'!$I:$I,Faturamento!$J1337,'Historico - FAT'!$G:$G,Faturamento!$H1337)</f>
        <v>0</v>
      </c>
      <c r="AD1337" s="31">
        <f>SUMIFS('Historico - FAT'!AM:AM,'Historico - FAT'!$K:$K,Faturamento!$L1337,'Historico - FAT'!$I:$I,Faturamento!$J1337,'Historico - FAT'!$G:$G,Faturamento!$H1337)</f>
        <v>0</v>
      </c>
      <c r="AE1337" s="27">
        <f>SUMIFS('Historico - FAT'!AN:AN,'Historico - FAT'!$K:$K,Faturamento!$L1337,'Historico - FAT'!$I:$I,Faturamento!$J1337,'Historico - FAT'!$G:$G,Faturamento!$H1337)</f>
        <v>0</v>
      </c>
      <c r="AG1337" s="24">
        <f t="shared" si="317"/>
        <v>1</v>
      </c>
      <c r="AH1337" s="24">
        <f t="shared" si="318"/>
        <v>1</v>
      </c>
      <c r="AI1337" s="24">
        <f t="shared" si="319"/>
        <v>1</v>
      </c>
    </row>
    <row r="1338" spans="1:35" hidden="1" x14ac:dyDescent="0.3">
      <c r="A1338" s="2" t="str">
        <f t="shared" si="316"/>
        <v>NÃO</v>
      </c>
      <c r="B1338" s="2">
        <v>1000184670</v>
      </c>
      <c r="C1338" s="2" t="s">
        <v>147</v>
      </c>
      <c r="D1338" s="4">
        <v>1000186197</v>
      </c>
      <c r="E1338" s="4" t="s">
        <v>166</v>
      </c>
      <c r="F1338" s="2">
        <v>1000184762</v>
      </c>
      <c r="G1338" s="2" t="s">
        <v>58</v>
      </c>
      <c r="H1338" s="4">
        <v>1000189815</v>
      </c>
      <c r="I1338" s="4" t="s">
        <v>59</v>
      </c>
      <c r="J1338" s="2">
        <v>1000189270</v>
      </c>
      <c r="K1338" s="2" t="s">
        <v>34</v>
      </c>
      <c r="L1338" s="4" t="s">
        <v>15</v>
      </c>
      <c r="M1338" s="4" t="str">
        <f t="shared" si="309"/>
        <v>1000184670100018619710001898151000189270DOCES</v>
      </c>
      <c r="N1338" s="28">
        <f>N1334*_xlfn.XLOOKUP($L1338,'Balizador da Meta'!$B$4:$B$21,'Balizador da Meta'!$C$4:$C$21)</f>
        <v>54</v>
      </c>
      <c r="O1338" s="28">
        <f>O1334*_xlfn.XLOOKUP($L1338,'Balizador da Meta'!$B$4:$B$21,'Balizador da Meta'!$C$4:$C$21)</f>
        <v>108</v>
      </c>
      <c r="P1338" s="28">
        <f>P1334*_xlfn.XLOOKUP($L1338,'Balizador da Meta'!$B$4:$B$21,'Balizador da Meta'!$C$4:$C$21)</f>
        <v>108</v>
      </c>
      <c r="Q1338" s="28">
        <f>Q1334*_xlfn.XLOOKUP($L1338,'Balizador da Meta'!$B$4:$B$21,'Balizador da Meta'!$C$4:$C$21)</f>
        <v>108</v>
      </c>
      <c r="R1338" s="28">
        <f>R1334*_xlfn.XLOOKUP($L1338,'Balizador da Meta'!$B$4:$B$21,'Balizador da Meta'!$C$4:$C$21)</f>
        <v>108</v>
      </c>
      <c r="S1338" s="28">
        <f>S1334*_xlfn.XLOOKUP($L1338,'Balizador da Meta'!$B$4:$B$21,'Balizador da Meta'!$C$4:$C$21)</f>
        <v>108</v>
      </c>
      <c r="T1338" s="28">
        <f>T1334*_xlfn.XLOOKUP($L1338,'Balizador da Meta'!$B$4:$B$21,'Balizador da Meta'!$C$4:$C$21)</f>
        <v>162</v>
      </c>
      <c r="U1338" s="28">
        <f>U1334*_xlfn.XLOOKUP($L1338,'Balizador da Meta'!$B$4:$B$21,'Balizador da Meta'!$C$4:$C$21)</f>
        <v>162</v>
      </c>
      <c r="V1338" s="28">
        <f>V1334*_xlfn.XLOOKUP($L1338,'Balizador da Meta'!$B$4:$B$21,'Balizador da Meta'!$C$4:$C$21)</f>
        <v>162</v>
      </c>
      <c r="W1338" s="28">
        <f>W1334*_xlfn.XLOOKUP($L1338,'Balizador da Meta'!$B$4:$B$21,'Balizador da Meta'!$C$4:$C$21)</f>
        <v>162</v>
      </c>
      <c r="X1338" s="28">
        <f>X1334*_xlfn.XLOOKUP($L1338,'Balizador da Meta'!$B$4:$B$21,'Balizador da Meta'!$C$4:$C$21)</f>
        <v>162</v>
      </c>
      <c r="Y1338" s="28">
        <f>Y1334*_xlfn.XLOOKUP($L1338,'Balizador da Meta'!$B$4:$B$21,'Balizador da Meta'!$C$4:$C$21)</f>
        <v>216</v>
      </c>
      <c r="Z1338" s="30">
        <f t="shared" si="322"/>
        <v>1620</v>
      </c>
      <c r="AA1338" s="29"/>
      <c r="AB1338" s="31">
        <f>SUMIFS('Historico - FAT'!AK:AK,'Historico - FAT'!$K:$K,Faturamento!$L1338,'Historico - FAT'!$I:$I,Faturamento!$J1338,'Historico - FAT'!$G:$G,Faturamento!$H1338)</f>
        <v>0</v>
      </c>
      <c r="AC1338" s="31">
        <f>SUMIFS('Historico - FAT'!AL:AL,'Historico - FAT'!$K:$K,Faturamento!$L1338,'Historico - FAT'!$I:$I,Faturamento!$J1338,'Historico - FAT'!$G:$G,Faturamento!$H1338)</f>
        <v>42.5</v>
      </c>
      <c r="AD1338" s="31">
        <f>SUMIFS('Historico - FAT'!AM:AM,'Historico - FAT'!$K:$K,Faturamento!$L1338,'Historico - FAT'!$I:$I,Faturamento!$J1338,'Historico - FAT'!$G:$G,Faturamento!$H1338)</f>
        <v>85</v>
      </c>
      <c r="AE1338" s="27">
        <f>SUMIFS('Historico - FAT'!AN:AN,'Historico - FAT'!$K:$K,Faturamento!$L1338,'Historico - FAT'!$I:$I,Faturamento!$J1338,'Historico - FAT'!$G:$G,Faturamento!$H1338)</f>
        <v>51</v>
      </c>
      <c r="AG1338" s="24">
        <f t="shared" si="317"/>
        <v>1</v>
      </c>
      <c r="AH1338" s="24">
        <f t="shared" si="318"/>
        <v>0.76388888888888884</v>
      </c>
      <c r="AI1338" s="24">
        <f t="shared" si="319"/>
        <v>0.52777777777777779</v>
      </c>
    </row>
    <row r="1339" spans="1:35" hidden="1" x14ac:dyDescent="0.3">
      <c r="A1339" s="2" t="str">
        <f t="shared" si="316"/>
        <v>NÃO</v>
      </c>
      <c r="B1339" s="2">
        <v>1000184670</v>
      </c>
      <c r="C1339" s="2" t="s">
        <v>147</v>
      </c>
      <c r="D1339" s="4">
        <v>1000186197</v>
      </c>
      <c r="E1339" s="4" t="s">
        <v>166</v>
      </c>
      <c r="F1339" s="2">
        <v>1000184762</v>
      </c>
      <c r="G1339" s="2" t="s">
        <v>58</v>
      </c>
      <c r="H1339" s="4">
        <v>1000189815</v>
      </c>
      <c r="I1339" s="4" t="s">
        <v>59</v>
      </c>
      <c r="J1339" s="2">
        <v>1000189270</v>
      </c>
      <c r="K1339" s="2" t="s">
        <v>34</v>
      </c>
      <c r="L1339" s="4" t="s">
        <v>33</v>
      </c>
      <c r="M1339" s="4" t="str">
        <f t="shared" si="309"/>
        <v>1000184670100018619710001898151000189270FOOD SERVICE</v>
      </c>
      <c r="N1339" s="28">
        <f>N1334*_xlfn.XLOOKUP($L1339,'Balizador da Meta'!$B$4:$B$21,'Balizador da Meta'!$C$4:$C$21)</f>
        <v>0</v>
      </c>
      <c r="O1339" s="28">
        <f>O1334*_xlfn.XLOOKUP($L1339,'Balizador da Meta'!$B$4:$B$21,'Balizador da Meta'!$C$4:$C$21)</f>
        <v>0</v>
      </c>
      <c r="P1339" s="28">
        <f>P1334*_xlfn.XLOOKUP($L1339,'Balizador da Meta'!$B$4:$B$21,'Balizador da Meta'!$C$4:$C$21)</f>
        <v>0</v>
      </c>
      <c r="Q1339" s="28">
        <f>Q1334*_xlfn.XLOOKUP($L1339,'Balizador da Meta'!$B$4:$B$21,'Balizador da Meta'!$C$4:$C$21)</f>
        <v>0</v>
      </c>
      <c r="R1339" s="28">
        <f>R1334*_xlfn.XLOOKUP($L1339,'Balizador da Meta'!$B$4:$B$21,'Balizador da Meta'!$C$4:$C$21)</f>
        <v>0</v>
      </c>
      <c r="S1339" s="28">
        <f>S1334*_xlfn.XLOOKUP($L1339,'Balizador da Meta'!$B$4:$B$21,'Balizador da Meta'!$C$4:$C$21)</f>
        <v>0</v>
      </c>
      <c r="T1339" s="28">
        <f>T1334*_xlfn.XLOOKUP($L1339,'Balizador da Meta'!$B$4:$B$21,'Balizador da Meta'!$C$4:$C$21)</f>
        <v>0</v>
      </c>
      <c r="U1339" s="28">
        <f>U1334*_xlfn.XLOOKUP($L1339,'Balizador da Meta'!$B$4:$B$21,'Balizador da Meta'!$C$4:$C$21)</f>
        <v>0</v>
      </c>
      <c r="V1339" s="28">
        <f>V1334*_xlfn.XLOOKUP($L1339,'Balizador da Meta'!$B$4:$B$21,'Balizador da Meta'!$C$4:$C$21)</f>
        <v>0</v>
      </c>
      <c r="W1339" s="28">
        <f>W1334*_xlfn.XLOOKUP($L1339,'Balizador da Meta'!$B$4:$B$21,'Balizador da Meta'!$C$4:$C$21)</f>
        <v>0</v>
      </c>
      <c r="X1339" s="28">
        <f>X1334*_xlfn.XLOOKUP($L1339,'Balizador da Meta'!$B$4:$B$21,'Balizador da Meta'!$C$4:$C$21)</f>
        <v>0</v>
      </c>
      <c r="Y1339" s="28">
        <f>Y1334*_xlfn.XLOOKUP($L1339,'Balizador da Meta'!$B$4:$B$21,'Balizador da Meta'!$C$4:$C$21)</f>
        <v>0</v>
      </c>
      <c r="Z1339" s="30">
        <f t="shared" si="322"/>
        <v>0</v>
      </c>
      <c r="AA1339" s="29"/>
      <c r="AB1339" s="31">
        <f>SUMIFS('Historico - FAT'!AK:AK,'Historico - FAT'!$K:$K,Faturamento!$L1339,'Historico - FAT'!$I:$I,Faturamento!$J1339,'Historico - FAT'!$G:$G,Faturamento!$H1339)</f>
        <v>0</v>
      </c>
      <c r="AC1339" s="31">
        <f>SUMIFS('Historico - FAT'!AL:AL,'Historico - FAT'!$K:$K,Faturamento!$L1339,'Historico - FAT'!$I:$I,Faturamento!$J1339,'Historico - FAT'!$G:$G,Faturamento!$H1339)</f>
        <v>0</v>
      </c>
      <c r="AD1339" s="31">
        <f>SUMIFS('Historico - FAT'!AM:AM,'Historico - FAT'!$K:$K,Faturamento!$L1339,'Historico - FAT'!$I:$I,Faturamento!$J1339,'Historico - FAT'!$G:$G,Faturamento!$H1339)</f>
        <v>0</v>
      </c>
      <c r="AE1339" s="27">
        <f>SUMIFS('Historico - FAT'!AN:AN,'Historico - FAT'!$K:$K,Faturamento!$L1339,'Historico - FAT'!$I:$I,Faturamento!$J1339,'Historico - FAT'!$G:$G,Faturamento!$H1339)</f>
        <v>0</v>
      </c>
      <c r="AG1339" s="24" t="str">
        <f t="shared" si="317"/>
        <v/>
      </c>
      <c r="AH1339" s="24" t="str">
        <f t="shared" si="318"/>
        <v/>
      </c>
      <c r="AI1339" s="24" t="str">
        <f t="shared" si="319"/>
        <v/>
      </c>
    </row>
    <row r="1340" spans="1:35" hidden="1" x14ac:dyDescent="0.3">
      <c r="A1340" s="2" t="str">
        <f t="shared" si="316"/>
        <v>NÃO</v>
      </c>
      <c r="B1340" s="2">
        <v>1000184670</v>
      </c>
      <c r="C1340" s="2" t="s">
        <v>147</v>
      </c>
      <c r="D1340" s="4">
        <v>1000186197</v>
      </c>
      <c r="E1340" s="4" t="s">
        <v>166</v>
      </c>
      <c r="F1340" s="2">
        <v>1000184762</v>
      </c>
      <c r="G1340" s="2" t="s">
        <v>58</v>
      </c>
      <c r="H1340" s="4">
        <v>1000189815</v>
      </c>
      <c r="I1340" s="4" t="s">
        <v>59</v>
      </c>
      <c r="J1340" s="2">
        <v>1000189270</v>
      </c>
      <c r="K1340" s="2" t="s">
        <v>34</v>
      </c>
      <c r="L1340" s="4" t="s">
        <v>19</v>
      </c>
      <c r="M1340" s="4" t="str">
        <f t="shared" si="309"/>
        <v>1000184670100018619710001898151000189270GELEIA</v>
      </c>
      <c r="N1340" s="28">
        <f>N1334*_xlfn.XLOOKUP($L1340,'Balizador da Meta'!$B$4:$B$21,'Balizador da Meta'!$C$4:$C$21)</f>
        <v>11.999999999999998</v>
      </c>
      <c r="O1340" s="28">
        <f>O1334*_xlfn.XLOOKUP($L1340,'Balizador da Meta'!$B$4:$B$21,'Balizador da Meta'!$C$4:$C$21)</f>
        <v>23.999999999999996</v>
      </c>
      <c r="P1340" s="28">
        <f>P1334*_xlfn.XLOOKUP($L1340,'Balizador da Meta'!$B$4:$B$21,'Balizador da Meta'!$C$4:$C$21)</f>
        <v>23.999999999999996</v>
      </c>
      <c r="Q1340" s="28">
        <f>Q1334*_xlfn.XLOOKUP($L1340,'Balizador da Meta'!$B$4:$B$21,'Balizador da Meta'!$C$4:$C$21)</f>
        <v>23.999999999999996</v>
      </c>
      <c r="R1340" s="28">
        <f>R1334*_xlfn.XLOOKUP($L1340,'Balizador da Meta'!$B$4:$B$21,'Balizador da Meta'!$C$4:$C$21)</f>
        <v>23.999999999999996</v>
      </c>
      <c r="S1340" s="28">
        <f>S1334*_xlfn.XLOOKUP($L1340,'Balizador da Meta'!$B$4:$B$21,'Balizador da Meta'!$C$4:$C$21)</f>
        <v>23.999999999999996</v>
      </c>
      <c r="T1340" s="28">
        <f>T1334*_xlfn.XLOOKUP($L1340,'Balizador da Meta'!$B$4:$B$21,'Balizador da Meta'!$C$4:$C$21)</f>
        <v>35.999999999999993</v>
      </c>
      <c r="U1340" s="28">
        <f>U1334*_xlfn.XLOOKUP($L1340,'Balizador da Meta'!$B$4:$B$21,'Balizador da Meta'!$C$4:$C$21)</f>
        <v>35.999999999999993</v>
      </c>
      <c r="V1340" s="28">
        <f>V1334*_xlfn.XLOOKUP($L1340,'Balizador da Meta'!$B$4:$B$21,'Balizador da Meta'!$C$4:$C$21)</f>
        <v>35.999999999999993</v>
      </c>
      <c r="W1340" s="28">
        <f>W1334*_xlfn.XLOOKUP($L1340,'Balizador da Meta'!$B$4:$B$21,'Balizador da Meta'!$C$4:$C$21)</f>
        <v>35.999999999999993</v>
      </c>
      <c r="X1340" s="28">
        <f>X1334*_xlfn.XLOOKUP($L1340,'Balizador da Meta'!$B$4:$B$21,'Balizador da Meta'!$C$4:$C$21)</f>
        <v>35.999999999999993</v>
      </c>
      <c r="Y1340" s="28">
        <f>Y1334*_xlfn.XLOOKUP($L1340,'Balizador da Meta'!$B$4:$B$21,'Balizador da Meta'!$C$4:$C$21)</f>
        <v>47.999999999999993</v>
      </c>
      <c r="Z1340" s="30">
        <f t="shared" si="322"/>
        <v>359.99999999999994</v>
      </c>
      <c r="AA1340" s="29"/>
      <c r="AB1340" s="31">
        <f>SUMIFS('Historico - FAT'!AK:AK,'Historico - FAT'!$K:$K,Faturamento!$L1340,'Historico - FAT'!$I:$I,Faturamento!$J1340,'Historico - FAT'!$G:$G,Faturamento!$H1340)</f>
        <v>0</v>
      </c>
      <c r="AC1340" s="31">
        <f>SUMIFS('Historico - FAT'!AL:AL,'Historico - FAT'!$K:$K,Faturamento!$L1340,'Historico - FAT'!$I:$I,Faturamento!$J1340,'Historico - FAT'!$G:$G,Faturamento!$H1340)</f>
        <v>0</v>
      </c>
      <c r="AD1340" s="31">
        <f>SUMIFS('Historico - FAT'!AM:AM,'Historico - FAT'!$K:$K,Faturamento!$L1340,'Historico - FAT'!$I:$I,Faturamento!$J1340,'Historico - FAT'!$G:$G,Faturamento!$H1340)</f>
        <v>0</v>
      </c>
      <c r="AE1340" s="27">
        <f>SUMIFS('Historico - FAT'!AN:AN,'Historico - FAT'!$K:$K,Faturamento!$L1340,'Historico - FAT'!$I:$I,Faturamento!$J1340,'Historico - FAT'!$G:$G,Faturamento!$H1340)</f>
        <v>0</v>
      </c>
      <c r="AG1340" s="24">
        <f t="shared" si="317"/>
        <v>1</v>
      </c>
      <c r="AH1340" s="24">
        <f t="shared" si="318"/>
        <v>1</v>
      </c>
      <c r="AI1340" s="24">
        <f t="shared" si="319"/>
        <v>1</v>
      </c>
    </row>
    <row r="1341" spans="1:35" hidden="1" x14ac:dyDescent="0.3">
      <c r="A1341" s="2" t="str">
        <f t="shared" si="316"/>
        <v>NÃO</v>
      </c>
      <c r="B1341" s="2">
        <v>1000184670</v>
      </c>
      <c r="C1341" s="2" t="s">
        <v>147</v>
      </c>
      <c r="D1341" s="4">
        <v>1000186197</v>
      </c>
      <c r="E1341" s="4" t="s">
        <v>166</v>
      </c>
      <c r="F1341" s="2">
        <v>1000184762</v>
      </c>
      <c r="G1341" s="2" t="s">
        <v>58</v>
      </c>
      <c r="H1341" s="4">
        <v>1000189815</v>
      </c>
      <c r="I1341" s="4" t="s">
        <v>59</v>
      </c>
      <c r="J1341" s="2">
        <v>1000189270</v>
      </c>
      <c r="K1341" s="2" t="s">
        <v>34</v>
      </c>
      <c r="L1341" s="4" t="s">
        <v>17</v>
      </c>
      <c r="M1341" s="4" t="str">
        <f t="shared" si="309"/>
        <v>1000184670100018619710001898151000189270GRANOLA</v>
      </c>
      <c r="N1341" s="28">
        <f>N1334*_xlfn.XLOOKUP($L1341,'Balizador da Meta'!$B$4:$B$21,'Balizador da Meta'!$C$4:$C$21)</f>
        <v>12</v>
      </c>
      <c r="O1341" s="28">
        <f>O1334*_xlfn.XLOOKUP($L1341,'Balizador da Meta'!$B$4:$B$21,'Balizador da Meta'!$C$4:$C$21)</f>
        <v>24</v>
      </c>
      <c r="P1341" s="28">
        <f>P1334*_xlfn.XLOOKUP($L1341,'Balizador da Meta'!$B$4:$B$21,'Balizador da Meta'!$C$4:$C$21)</f>
        <v>24</v>
      </c>
      <c r="Q1341" s="28">
        <f>Q1334*_xlfn.XLOOKUP($L1341,'Balizador da Meta'!$B$4:$B$21,'Balizador da Meta'!$C$4:$C$21)</f>
        <v>24</v>
      </c>
      <c r="R1341" s="28">
        <f>R1334*_xlfn.XLOOKUP($L1341,'Balizador da Meta'!$B$4:$B$21,'Balizador da Meta'!$C$4:$C$21)</f>
        <v>24</v>
      </c>
      <c r="S1341" s="28">
        <f>S1334*_xlfn.XLOOKUP($L1341,'Balizador da Meta'!$B$4:$B$21,'Balizador da Meta'!$C$4:$C$21)</f>
        <v>24</v>
      </c>
      <c r="T1341" s="28">
        <f>T1334*_xlfn.XLOOKUP($L1341,'Balizador da Meta'!$B$4:$B$21,'Balizador da Meta'!$C$4:$C$21)</f>
        <v>36</v>
      </c>
      <c r="U1341" s="28">
        <f>U1334*_xlfn.XLOOKUP($L1341,'Balizador da Meta'!$B$4:$B$21,'Balizador da Meta'!$C$4:$C$21)</f>
        <v>36</v>
      </c>
      <c r="V1341" s="28">
        <f>V1334*_xlfn.XLOOKUP($L1341,'Balizador da Meta'!$B$4:$B$21,'Balizador da Meta'!$C$4:$C$21)</f>
        <v>36</v>
      </c>
      <c r="W1341" s="28">
        <f>W1334*_xlfn.XLOOKUP($L1341,'Balizador da Meta'!$B$4:$B$21,'Balizador da Meta'!$C$4:$C$21)</f>
        <v>36</v>
      </c>
      <c r="X1341" s="28">
        <f>X1334*_xlfn.XLOOKUP($L1341,'Balizador da Meta'!$B$4:$B$21,'Balizador da Meta'!$C$4:$C$21)</f>
        <v>36</v>
      </c>
      <c r="Y1341" s="28">
        <f>Y1334*_xlfn.XLOOKUP($L1341,'Balizador da Meta'!$B$4:$B$21,'Balizador da Meta'!$C$4:$C$21)</f>
        <v>48</v>
      </c>
      <c r="Z1341" s="30">
        <f t="shared" si="322"/>
        <v>360</v>
      </c>
      <c r="AA1341" s="29"/>
      <c r="AB1341" s="31">
        <f>SUMIFS('Historico - FAT'!AK:AK,'Historico - FAT'!$K:$K,Faturamento!$L1341,'Historico - FAT'!$I:$I,Faturamento!$J1341,'Historico - FAT'!$G:$G,Faturamento!$H1341)</f>
        <v>0</v>
      </c>
      <c r="AC1341" s="31">
        <f>SUMIFS('Historico - FAT'!AL:AL,'Historico - FAT'!$K:$K,Faturamento!$L1341,'Historico - FAT'!$I:$I,Faturamento!$J1341,'Historico - FAT'!$G:$G,Faturamento!$H1341)</f>
        <v>0</v>
      </c>
      <c r="AD1341" s="31">
        <f>SUMIFS('Historico - FAT'!AM:AM,'Historico - FAT'!$K:$K,Faturamento!$L1341,'Historico - FAT'!$I:$I,Faturamento!$J1341,'Historico - FAT'!$G:$G,Faturamento!$H1341)</f>
        <v>0</v>
      </c>
      <c r="AE1341" s="27">
        <f>SUMIFS('Historico - FAT'!AN:AN,'Historico - FAT'!$K:$K,Faturamento!$L1341,'Historico - FAT'!$I:$I,Faturamento!$J1341,'Historico - FAT'!$G:$G,Faturamento!$H1341)</f>
        <v>0</v>
      </c>
      <c r="AG1341" s="24">
        <f t="shared" si="317"/>
        <v>1</v>
      </c>
      <c r="AH1341" s="24">
        <f t="shared" si="318"/>
        <v>1</v>
      </c>
      <c r="AI1341" s="24">
        <f t="shared" si="319"/>
        <v>1</v>
      </c>
    </row>
    <row r="1342" spans="1:35" hidden="1" x14ac:dyDescent="0.3">
      <c r="A1342" s="2" t="str">
        <f t="shared" si="316"/>
        <v>NÃO</v>
      </c>
      <c r="B1342" s="2">
        <v>1000184670</v>
      </c>
      <c r="C1342" s="2" t="s">
        <v>147</v>
      </c>
      <c r="D1342" s="4">
        <v>1000186197</v>
      </c>
      <c r="E1342" s="4" t="s">
        <v>166</v>
      </c>
      <c r="F1342" s="2">
        <v>1000184762</v>
      </c>
      <c r="G1342" s="2" t="s">
        <v>58</v>
      </c>
      <c r="H1342" s="4">
        <v>1000189815</v>
      </c>
      <c r="I1342" s="4" t="s">
        <v>59</v>
      </c>
      <c r="J1342" s="2">
        <v>1000189270</v>
      </c>
      <c r="K1342" s="2" t="s">
        <v>34</v>
      </c>
      <c r="L1342" s="4" t="s">
        <v>24</v>
      </c>
      <c r="M1342" s="4" t="str">
        <f t="shared" si="309"/>
        <v>1000184670100018619710001898151000189270KIDS</v>
      </c>
      <c r="N1342" s="28">
        <f>N1334*_xlfn.XLOOKUP($L1342,'Balizador da Meta'!$B$4:$B$21,'Balizador da Meta'!$C$4:$C$21)</f>
        <v>0</v>
      </c>
      <c r="O1342" s="28">
        <f>O1334*_xlfn.XLOOKUP($L1342,'Balizador da Meta'!$B$4:$B$21,'Balizador da Meta'!$C$4:$C$21)</f>
        <v>0</v>
      </c>
      <c r="P1342" s="28">
        <f>P1334*_xlfn.XLOOKUP($L1342,'Balizador da Meta'!$B$4:$B$21,'Balizador da Meta'!$C$4:$C$21)</f>
        <v>0</v>
      </c>
      <c r="Q1342" s="28">
        <f>Q1334*_xlfn.XLOOKUP($L1342,'Balizador da Meta'!$B$4:$B$21,'Balizador da Meta'!$C$4:$C$21)</f>
        <v>0</v>
      </c>
      <c r="R1342" s="28">
        <f>R1334*_xlfn.XLOOKUP($L1342,'Balizador da Meta'!$B$4:$B$21,'Balizador da Meta'!$C$4:$C$21)</f>
        <v>0</v>
      </c>
      <c r="S1342" s="28">
        <f>S1334*_xlfn.XLOOKUP($L1342,'Balizador da Meta'!$B$4:$B$21,'Balizador da Meta'!$C$4:$C$21)</f>
        <v>0</v>
      </c>
      <c r="T1342" s="28">
        <f>T1334*_xlfn.XLOOKUP($L1342,'Balizador da Meta'!$B$4:$B$21,'Balizador da Meta'!$C$4:$C$21)</f>
        <v>0</v>
      </c>
      <c r="U1342" s="28">
        <f>U1334*_xlfn.XLOOKUP($L1342,'Balizador da Meta'!$B$4:$B$21,'Balizador da Meta'!$C$4:$C$21)</f>
        <v>0</v>
      </c>
      <c r="V1342" s="28">
        <f>V1334*_xlfn.XLOOKUP($L1342,'Balizador da Meta'!$B$4:$B$21,'Balizador da Meta'!$C$4:$C$21)</f>
        <v>0</v>
      </c>
      <c r="W1342" s="28">
        <f>W1334*_xlfn.XLOOKUP($L1342,'Balizador da Meta'!$B$4:$B$21,'Balizador da Meta'!$C$4:$C$21)</f>
        <v>0</v>
      </c>
      <c r="X1342" s="28">
        <f>X1334*_xlfn.XLOOKUP($L1342,'Balizador da Meta'!$B$4:$B$21,'Balizador da Meta'!$C$4:$C$21)</f>
        <v>0</v>
      </c>
      <c r="Y1342" s="28">
        <f>Y1334*_xlfn.XLOOKUP($L1342,'Balizador da Meta'!$B$4:$B$21,'Balizador da Meta'!$C$4:$C$21)</f>
        <v>0</v>
      </c>
      <c r="Z1342" s="30">
        <f t="shared" si="322"/>
        <v>0</v>
      </c>
      <c r="AA1342" s="29"/>
      <c r="AB1342" s="31">
        <f>SUMIFS('Historico - FAT'!AK:AK,'Historico - FAT'!$K:$K,Faturamento!$L1342,'Historico - FAT'!$I:$I,Faturamento!$J1342,'Historico - FAT'!$G:$G,Faturamento!$H1342)</f>
        <v>0</v>
      </c>
      <c r="AC1342" s="31">
        <f>SUMIFS('Historico - FAT'!AL:AL,'Historico - FAT'!$K:$K,Faturamento!$L1342,'Historico - FAT'!$I:$I,Faturamento!$J1342,'Historico - FAT'!$G:$G,Faturamento!$H1342)</f>
        <v>0</v>
      </c>
      <c r="AD1342" s="31">
        <f>SUMIFS('Historico - FAT'!AM:AM,'Historico - FAT'!$K:$K,Faturamento!$L1342,'Historico - FAT'!$I:$I,Faturamento!$J1342,'Historico - FAT'!$G:$G,Faturamento!$H1342)</f>
        <v>0</v>
      </c>
      <c r="AE1342" s="27">
        <f>SUMIFS('Historico - FAT'!AN:AN,'Historico - FAT'!$K:$K,Faturamento!$L1342,'Historico - FAT'!$I:$I,Faturamento!$J1342,'Historico - FAT'!$G:$G,Faturamento!$H1342)</f>
        <v>0</v>
      </c>
      <c r="AG1342" s="24" t="str">
        <f t="shared" si="317"/>
        <v/>
      </c>
      <c r="AH1342" s="24" t="str">
        <f t="shared" si="318"/>
        <v/>
      </c>
      <c r="AI1342" s="24" t="str">
        <f t="shared" si="319"/>
        <v/>
      </c>
    </row>
    <row r="1343" spans="1:35" hidden="1" x14ac:dyDescent="0.3">
      <c r="A1343" s="2" t="str">
        <f t="shared" si="316"/>
        <v>NÃO</v>
      </c>
      <c r="B1343" s="2">
        <v>1000184670</v>
      </c>
      <c r="C1343" s="2" t="s">
        <v>147</v>
      </c>
      <c r="D1343" s="4">
        <v>1000186197</v>
      </c>
      <c r="E1343" s="4" t="s">
        <v>166</v>
      </c>
      <c r="F1343" s="2">
        <v>1000184762</v>
      </c>
      <c r="G1343" s="2" t="s">
        <v>58</v>
      </c>
      <c r="H1343" s="4">
        <v>1000189815</v>
      </c>
      <c r="I1343" s="4" t="s">
        <v>59</v>
      </c>
      <c r="J1343" s="2">
        <v>1000189270</v>
      </c>
      <c r="K1343" s="2" t="s">
        <v>34</v>
      </c>
      <c r="L1343" s="4" t="s">
        <v>18</v>
      </c>
      <c r="M1343" s="4" t="str">
        <f t="shared" si="309"/>
        <v>1000184670100018619710001898151000189270LANCHES</v>
      </c>
      <c r="N1343" s="28">
        <f>N1334*_xlfn.XLOOKUP($L1343,'Balizador da Meta'!$B$4:$B$21,'Balizador da Meta'!$C$4:$C$21)</f>
        <v>6</v>
      </c>
      <c r="O1343" s="28">
        <f>O1334*_xlfn.XLOOKUP($L1343,'Balizador da Meta'!$B$4:$B$21,'Balizador da Meta'!$C$4:$C$21)</f>
        <v>12</v>
      </c>
      <c r="P1343" s="28">
        <f>P1334*_xlfn.XLOOKUP($L1343,'Balizador da Meta'!$B$4:$B$21,'Balizador da Meta'!$C$4:$C$21)</f>
        <v>12</v>
      </c>
      <c r="Q1343" s="28">
        <f>Q1334*_xlfn.XLOOKUP($L1343,'Balizador da Meta'!$B$4:$B$21,'Balizador da Meta'!$C$4:$C$21)</f>
        <v>12</v>
      </c>
      <c r="R1343" s="28">
        <f>R1334*_xlfn.XLOOKUP($L1343,'Balizador da Meta'!$B$4:$B$21,'Balizador da Meta'!$C$4:$C$21)</f>
        <v>12</v>
      </c>
      <c r="S1343" s="28">
        <f>S1334*_xlfn.XLOOKUP($L1343,'Balizador da Meta'!$B$4:$B$21,'Balizador da Meta'!$C$4:$C$21)</f>
        <v>12</v>
      </c>
      <c r="T1343" s="28">
        <f>T1334*_xlfn.XLOOKUP($L1343,'Balizador da Meta'!$B$4:$B$21,'Balizador da Meta'!$C$4:$C$21)</f>
        <v>18</v>
      </c>
      <c r="U1343" s="28">
        <f>U1334*_xlfn.XLOOKUP($L1343,'Balizador da Meta'!$B$4:$B$21,'Balizador da Meta'!$C$4:$C$21)</f>
        <v>18</v>
      </c>
      <c r="V1343" s="28">
        <f>V1334*_xlfn.XLOOKUP($L1343,'Balizador da Meta'!$B$4:$B$21,'Balizador da Meta'!$C$4:$C$21)</f>
        <v>18</v>
      </c>
      <c r="W1343" s="28">
        <f>W1334*_xlfn.XLOOKUP($L1343,'Balizador da Meta'!$B$4:$B$21,'Balizador da Meta'!$C$4:$C$21)</f>
        <v>18</v>
      </c>
      <c r="X1343" s="28">
        <f>X1334*_xlfn.XLOOKUP($L1343,'Balizador da Meta'!$B$4:$B$21,'Balizador da Meta'!$C$4:$C$21)</f>
        <v>18</v>
      </c>
      <c r="Y1343" s="28">
        <f>Y1334*_xlfn.XLOOKUP($L1343,'Balizador da Meta'!$B$4:$B$21,'Balizador da Meta'!$C$4:$C$21)</f>
        <v>24</v>
      </c>
      <c r="Z1343" s="30">
        <f t="shared" si="322"/>
        <v>180</v>
      </c>
      <c r="AA1343" s="29"/>
      <c r="AB1343" s="31">
        <f>SUMIFS('Historico - FAT'!AK:AK,'Historico - FAT'!$K:$K,Faturamento!$L1343,'Historico - FAT'!$I:$I,Faturamento!$J1343,'Historico - FAT'!$G:$G,Faturamento!$H1343)</f>
        <v>0</v>
      </c>
      <c r="AC1343" s="31">
        <f>SUMIFS('Historico - FAT'!AL:AL,'Historico - FAT'!$K:$K,Faturamento!$L1343,'Historico - FAT'!$I:$I,Faturamento!$J1343,'Historico - FAT'!$G:$G,Faturamento!$H1343)</f>
        <v>0</v>
      </c>
      <c r="AD1343" s="31">
        <f>SUMIFS('Historico - FAT'!AM:AM,'Historico - FAT'!$K:$K,Faturamento!$L1343,'Historico - FAT'!$I:$I,Faturamento!$J1343,'Historico - FAT'!$G:$G,Faturamento!$H1343)</f>
        <v>0</v>
      </c>
      <c r="AE1343" s="27">
        <f>SUMIFS('Historico - FAT'!AN:AN,'Historico - FAT'!$K:$K,Faturamento!$L1343,'Historico - FAT'!$I:$I,Faturamento!$J1343,'Historico - FAT'!$G:$G,Faturamento!$H1343)</f>
        <v>0</v>
      </c>
      <c r="AG1343" s="24">
        <f t="shared" si="317"/>
        <v>1</v>
      </c>
      <c r="AH1343" s="24">
        <f t="shared" si="318"/>
        <v>1</v>
      </c>
      <c r="AI1343" s="24">
        <f t="shared" si="319"/>
        <v>1</v>
      </c>
    </row>
    <row r="1344" spans="1:35" hidden="1" x14ac:dyDescent="0.3">
      <c r="A1344" s="2" t="str">
        <f t="shared" si="316"/>
        <v>NÃO</v>
      </c>
      <c r="B1344" s="2">
        <v>1000184670</v>
      </c>
      <c r="C1344" s="2" t="s">
        <v>147</v>
      </c>
      <c r="D1344" s="4">
        <v>1000186197</v>
      </c>
      <c r="E1344" s="4" t="s">
        <v>166</v>
      </c>
      <c r="F1344" s="2">
        <v>1000184762</v>
      </c>
      <c r="G1344" s="2" t="s">
        <v>58</v>
      </c>
      <c r="H1344" s="4">
        <v>1000189815</v>
      </c>
      <c r="I1344" s="4" t="s">
        <v>59</v>
      </c>
      <c r="J1344" s="2">
        <v>1000189270</v>
      </c>
      <c r="K1344" s="2" t="s">
        <v>34</v>
      </c>
      <c r="L1344" s="4" t="s">
        <v>29</v>
      </c>
      <c r="M1344" s="4" t="str">
        <f t="shared" si="309"/>
        <v>1000184670100018619710001898151000189270MAIS GRANEL</v>
      </c>
      <c r="N1344" s="28">
        <f>N1334*_xlfn.XLOOKUP($L1344,'Balizador da Meta'!$B$4:$B$21,'Balizador da Meta'!$C$4:$C$21)</f>
        <v>192</v>
      </c>
      <c r="O1344" s="28">
        <f>O1334*_xlfn.XLOOKUP($L1344,'Balizador da Meta'!$B$4:$B$21,'Balizador da Meta'!$C$4:$C$21)</f>
        <v>384</v>
      </c>
      <c r="P1344" s="28">
        <f>P1334*_xlfn.XLOOKUP($L1344,'Balizador da Meta'!$B$4:$B$21,'Balizador da Meta'!$C$4:$C$21)</f>
        <v>384</v>
      </c>
      <c r="Q1344" s="28">
        <f>Q1334*_xlfn.XLOOKUP($L1344,'Balizador da Meta'!$B$4:$B$21,'Balizador da Meta'!$C$4:$C$21)</f>
        <v>384</v>
      </c>
      <c r="R1344" s="28">
        <f>R1334*_xlfn.XLOOKUP($L1344,'Balizador da Meta'!$B$4:$B$21,'Balizador da Meta'!$C$4:$C$21)</f>
        <v>384</v>
      </c>
      <c r="S1344" s="28">
        <f>S1334*_xlfn.XLOOKUP($L1344,'Balizador da Meta'!$B$4:$B$21,'Balizador da Meta'!$C$4:$C$21)</f>
        <v>384</v>
      </c>
      <c r="T1344" s="28">
        <f>T1334*_xlfn.XLOOKUP($L1344,'Balizador da Meta'!$B$4:$B$21,'Balizador da Meta'!$C$4:$C$21)</f>
        <v>576</v>
      </c>
      <c r="U1344" s="28">
        <f>U1334*_xlfn.XLOOKUP($L1344,'Balizador da Meta'!$B$4:$B$21,'Balizador da Meta'!$C$4:$C$21)</f>
        <v>576</v>
      </c>
      <c r="V1344" s="28">
        <f>V1334*_xlfn.XLOOKUP($L1344,'Balizador da Meta'!$B$4:$B$21,'Balizador da Meta'!$C$4:$C$21)</f>
        <v>576</v>
      </c>
      <c r="W1344" s="28">
        <f>W1334*_xlfn.XLOOKUP($L1344,'Balizador da Meta'!$B$4:$B$21,'Balizador da Meta'!$C$4:$C$21)</f>
        <v>576</v>
      </c>
      <c r="X1344" s="28">
        <f>X1334*_xlfn.XLOOKUP($L1344,'Balizador da Meta'!$B$4:$B$21,'Balizador da Meta'!$C$4:$C$21)</f>
        <v>576</v>
      </c>
      <c r="Y1344" s="28">
        <f>Y1334*_xlfn.XLOOKUP($L1344,'Balizador da Meta'!$B$4:$B$21,'Balizador da Meta'!$C$4:$C$21)</f>
        <v>768</v>
      </c>
      <c r="Z1344" s="30">
        <f t="shared" si="322"/>
        <v>5760</v>
      </c>
      <c r="AA1344" s="29"/>
      <c r="AB1344" s="31">
        <f>SUMIFS('Historico - FAT'!AK:AK,'Historico - FAT'!$K:$K,Faturamento!$L1344,'Historico - FAT'!$I:$I,Faturamento!$J1344,'Historico - FAT'!$G:$G,Faturamento!$H1344)</f>
        <v>0</v>
      </c>
      <c r="AC1344" s="31">
        <f>SUMIFS('Historico - FAT'!AL:AL,'Historico - FAT'!$K:$K,Faturamento!$L1344,'Historico - FAT'!$I:$I,Faturamento!$J1344,'Historico - FAT'!$G:$G,Faturamento!$H1344)</f>
        <v>0</v>
      </c>
      <c r="AD1344" s="31">
        <f>SUMIFS('Historico - FAT'!AM:AM,'Historico - FAT'!$K:$K,Faturamento!$L1344,'Historico - FAT'!$I:$I,Faturamento!$J1344,'Historico - FAT'!$G:$G,Faturamento!$H1344)</f>
        <v>0</v>
      </c>
      <c r="AE1344" s="27">
        <f>SUMIFS('Historico - FAT'!AN:AN,'Historico - FAT'!$K:$K,Faturamento!$L1344,'Historico - FAT'!$I:$I,Faturamento!$J1344,'Historico - FAT'!$G:$G,Faturamento!$H1344)</f>
        <v>0</v>
      </c>
      <c r="AG1344" s="24">
        <f t="shared" si="317"/>
        <v>1</v>
      </c>
      <c r="AH1344" s="24">
        <f t="shared" si="318"/>
        <v>1</v>
      </c>
      <c r="AI1344" s="24">
        <f t="shared" si="319"/>
        <v>1</v>
      </c>
    </row>
    <row r="1345" spans="1:35" hidden="1" x14ac:dyDescent="0.3">
      <c r="A1345" s="2" t="str">
        <f t="shared" si="316"/>
        <v>NÃO</v>
      </c>
      <c r="B1345" s="2">
        <v>1000184670</v>
      </c>
      <c r="C1345" s="2" t="s">
        <v>147</v>
      </c>
      <c r="D1345" s="4">
        <v>1000186197</v>
      </c>
      <c r="E1345" s="4" t="s">
        <v>166</v>
      </c>
      <c r="F1345" s="2">
        <v>1000184762</v>
      </c>
      <c r="G1345" s="2" t="s">
        <v>58</v>
      </c>
      <c r="H1345" s="4">
        <v>1000189815</v>
      </c>
      <c r="I1345" s="4" t="s">
        <v>59</v>
      </c>
      <c r="J1345" s="2">
        <v>1000189270</v>
      </c>
      <c r="K1345" s="2" t="s">
        <v>34</v>
      </c>
      <c r="L1345" s="4" t="s">
        <v>21</v>
      </c>
      <c r="M1345" s="4" t="str">
        <f t="shared" si="309"/>
        <v>1000184670100018619710001898151000189270NATURATTA</v>
      </c>
      <c r="N1345" s="28">
        <f>N1334*_xlfn.XLOOKUP($L1345,'Balizador da Meta'!$B$4:$B$21,'Balizador da Meta'!$C$4:$C$21)</f>
        <v>30</v>
      </c>
      <c r="O1345" s="28">
        <f>O1334*_xlfn.XLOOKUP($L1345,'Balizador da Meta'!$B$4:$B$21,'Balizador da Meta'!$C$4:$C$21)</f>
        <v>60</v>
      </c>
      <c r="P1345" s="28">
        <f>P1334*_xlfn.XLOOKUP($L1345,'Balizador da Meta'!$B$4:$B$21,'Balizador da Meta'!$C$4:$C$21)</f>
        <v>60</v>
      </c>
      <c r="Q1345" s="28">
        <f>Q1334*_xlfn.XLOOKUP($L1345,'Balizador da Meta'!$B$4:$B$21,'Balizador da Meta'!$C$4:$C$21)</f>
        <v>60</v>
      </c>
      <c r="R1345" s="28">
        <f>R1334*_xlfn.XLOOKUP($L1345,'Balizador da Meta'!$B$4:$B$21,'Balizador da Meta'!$C$4:$C$21)</f>
        <v>60</v>
      </c>
      <c r="S1345" s="28">
        <f>S1334*_xlfn.XLOOKUP($L1345,'Balizador da Meta'!$B$4:$B$21,'Balizador da Meta'!$C$4:$C$21)</f>
        <v>60</v>
      </c>
      <c r="T1345" s="28">
        <f>T1334*_xlfn.XLOOKUP($L1345,'Balizador da Meta'!$B$4:$B$21,'Balizador da Meta'!$C$4:$C$21)</f>
        <v>90</v>
      </c>
      <c r="U1345" s="28">
        <f>U1334*_xlfn.XLOOKUP($L1345,'Balizador da Meta'!$B$4:$B$21,'Balizador da Meta'!$C$4:$C$21)</f>
        <v>90</v>
      </c>
      <c r="V1345" s="28">
        <f>V1334*_xlfn.XLOOKUP($L1345,'Balizador da Meta'!$B$4:$B$21,'Balizador da Meta'!$C$4:$C$21)</f>
        <v>90</v>
      </c>
      <c r="W1345" s="28">
        <f>W1334*_xlfn.XLOOKUP($L1345,'Balizador da Meta'!$B$4:$B$21,'Balizador da Meta'!$C$4:$C$21)</f>
        <v>90</v>
      </c>
      <c r="X1345" s="28">
        <f>X1334*_xlfn.XLOOKUP($L1345,'Balizador da Meta'!$B$4:$B$21,'Balizador da Meta'!$C$4:$C$21)</f>
        <v>90</v>
      </c>
      <c r="Y1345" s="28">
        <f>Y1334*_xlfn.XLOOKUP($L1345,'Balizador da Meta'!$B$4:$B$21,'Balizador da Meta'!$C$4:$C$21)</f>
        <v>120</v>
      </c>
      <c r="Z1345" s="30">
        <f t="shared" si="322"/>
        <v>900</v>
      </c>
      <c r="AA1345" s="29"/>
      <c r="AB1345" s="31">
        <f>SUMIFS('Historico - FAT'!AK:AK,'Historico - FAT'!$K:$K,Faturamento!$L1345,'Historico - FAT'!$I:$I,Faturamento!$J1345,'Historico - FAT'!$G:$G,Faturamento!$H1345)</f>
        <v>0</v>
      </c>
      <c r="AC1345" s="31">
        <f>SUMIFS('Historico - FAT'!AL:AL,'Historico - FAT'!$K:$K,Faturamento!$L1345,'Historico - FAT'!$I:$I,Faturamento!$J1345,'Historico - FAT'!$G:$G,Faturamento!$H1345)</f>
        <v>0</v>
      </c>
      <c r="AD1345" s="31">
        <f>SUMIFS('Historico - FAT'!AM:AM,'Historico - FAT'!$K:$K,Faturamento!$L1345,'Historico - FAT'!$I:$I,Faturamento!$J1345,'Historico - FAT'!$G:$G,Faturamento!$H1345)</f>
        <v>0</v>
      </c>
      <c r="AE1345" s="27">
        <f>SUMIFS('Historico - FAT'!AN:AN,'Historico - FAT'!$K:$K,Faturamento!$L1345,'Historico - FAT'!$I:$I,Faturamento!$J1345,'Historico - FAT'!$G:$G,Faturamento!$H1345)</f>
        <v>0</v>
      </c>
      <c r="AG1345" s="24">
        <f t="shared" si="317"/>
        <v>1</v>
      </c>
      <c r="AH1345" s="24">
        <f t="shared" si="318"/>
        <v>1</v>
      </c>
      <c r="AI1345" s="24">
        <f t="shared" si="319"/>
        <v>1</v>
      </c>
    </row>
    <row r="1346" spans="1:35" hidden="1" x14ac:dyDescent="0.3">
      <c r="A1346" s="2" t="str">
        <f t="shared" si="316"/>
        <v>NÃO</v>
      </c>
      <c r="B1346" s="2">
        <v>1000184670</v>
      </c>
      <c r="C1346" s="2" t="s">
        <v>147</v>
      </c>
      <c r="D1346" s="4">
        <v>1000186197</v>
      </c>
      <c r="E1346" s="4" t="s">
        <v>166</v>
      </c>
      <c r="F1346" s="2">
        <v>1000184762</v>
      </c>
      <c r="G1346" s="2" t="s">
        <v>58</v>
      </c>
      <c r="H1346" s="4">
        <v>1000189815</v>
      </c>
      <c r="I1346" s="4" t="s">
        <v>59</v>
      </c>
      <c r="J1346" s="2">
        <v>1000189270</v>
      </c>
      <c r="K1346" s="2" t="s">
        <v>34</v>
      </c>
      <c r="L1346" s="4" t="s">
        <v>20</v>
      </c>
      <c r="M1346" s="4" t="str">
        <f t="shared" si="309"/>
        <v>1000184670100018619710001898151000189270REEMBALADOS</v>
      </c>
      <c r="N1346" s="28">
        <f>N1334*_xlfn.XLOOKUP($L1346,'Balizador da Meta'!$B$4:$B$21,'Balizador da Meta'!$C$4:$C$21)</f>
        <v>24</v>
      </c>
      <c r="O1346" s="28">
        <f>O1334*_xlfn.XLOOKUP($L1346,'Balizador da Meta'!$B$4:$B$21,'Balizador da Meta'!$C$4:$C$21)</f>
        <v>48</v>
      </c>
      <c r="P1346" s="28">
        <f>P1334*_xlfn.XLOOKUP($L1346,'Balizador da Meta'!$B$4:$B$21,'Balizador da Meta'!$C$4:$C$21)</f>
        <v>48</v>
      </c>
      <c r="Q1346" s="28">
        <f>Q1334*_xlfn.XLOOKUP($L1346,'Balizador da Meta'!$B$4:$B$21,'Balizador da Meta'!$C$4:$C$21)</f>
        <v>48</v>
      </c>
      <c r="R1346" s="28">
        <f>R1334*_xlfn.XLOOKUP($L1346,'Balizador da Meta'!$B$4:$B$21,'Balizador da Meta'!$C$4:$C$21)</f>
        <v>48</v>
      </c>
      <c r="S1346" s="28">
        <f>S1334*_xlfn.XLOOKUP($L1346,'Balizador da Meta'!$B$4:$B$21,'Balizador da Meta'!$C$4:$C$21)</f>
        <v>48</v>
      </c>
      <c r="T1346" s="28">
        <f>T1334*_xlfn.XLOOKUP($L1346,'Balizador da Meta'!$B$4:$B$21,'Balizador da Meta'!$C$4:$C$21)</f>
        <v>72</v>
      </c>
      <c r="U1346" s="28">
        <f>U1334*_xlfn.XLOOKUP($L1346,'Balizador da Meta'!$B$4:$B$21,'Balizador da Meta'!$C$4:$C$21)</f>
        <v>72</v>
      </c>
      <c r="V1346" s="28">
        <f>V1334*_xlfn.XLOOKUP($L1346,'Balizador da Meta'!$B$4:$B$21,'Balizador da Meta'!$C$4:$C$21)</f>
        <v>72</v>
      </c>
      <c r="W1346" s="28">
        <f>W1334*_xlfn.XLOOKUP($L1346,'Balizador da Meta'!$B$4:$B$21,'Balizador da Meta'!$C$4:$C$21)</f>
        <v>72</v>
      </c>
      <c r="X1346" s="28">
        <f>X1334*_xlfn.XLOOKUP($L1346,'Balizador da Meta'!$B$4:$B$21,'Balizador da Meta'!$C$4:$C$21)</f>
        <v>72</v>
      </c>
      <c r="Y1346" s="28">
        <f>Y1334*_xlfn.XLOOKUP($L1346,'Balizador da Meta'!$B$4:$B$21,'Balizador da Meta'!$C$4:$C$21)</f>
        <v>96</v>
      </c>
      <c r="Z1346" s="30">
        <f t="shared" si="322"/>
        <v>720</v>
      </c>
      <c r="AA1346" s="29"/>
      <c r="AB1346" s="31">
        <f>SUMIFS('Historico - FAT'!AK:AK,'Historico - FAT'!$K:$K,Faturamento!$L1346,'Historico - FAT'!$I:$I,Faturamento!$J1346,'Historico - FAT'!$G:$G,Faturamento!$H1346)</f>
        <v>0</v>
      </c>
      <c r="AC1346" s="31">
        <f>SUMIFS('Historico - FAT'!AL:AL,'Historico - FAT'!$K:$K,Faturamento!$L1346,'Historico - FAT'!$I:$I,Faturamento!$J1346,'Historico - FAT'!$G:$G,Faturamento!$H1346)</f>
        <v>11.700000000000001</v>
      </c>
      <c r="AD1346" s="31">
        <f>SUMIFS('Historico - FAT'!AM:AM,'Historico - FAT'!$K:$K,Faturamento!$L1346,'Historico - FAT'!$I:$I,Faturamento!$J1346,'Historico - FAT'!$G:$G,Faturamento!$H1346)</f>
        <v>23.400000000000002</v>
      </c>
      <c r="AE1346" s="27">
        <f>SUMIFS('Historico - FAT'!AN:AN,'Historico - FAT'!$K:$K,Faturamento!$L1346,'Historico - FAT'!$I:$I,Faturamento!$J1346,'Historico - FAT'!$G:$G,Faturamento!$H1346)</f>
        <v>14.040000000000001</v>
      </c>
      <c r="AG1346" s="24">
        <f t="shared" si="317"/>
        <v>1</v>
      </c>
      <c r="AH1346" s="24">
        <f t="shared" si="318"/>
        <v>0.85375000000000001</v>
      </c>
      <c r="AI1346" s="24">
        <f t="shared" si="319"/>
        <v>0.70749999999999991</v>
      </c>
    </row>
    <row r="1347" spans="1:35" hidden="1" x14ac:dyDescent="0.3">
      <c r="A1347" s="2" t="str">
        <f t="shared" si="316"/>
        <v>NÃO</v>
      </c>
      <c r="B1347" s="2">
        <v>1000184670</v>
      </c>
      <c r="C1347" s="2" t="s">
        <v>147</v>
      </c>
      <c r="D1347" s="4">
        <v>1000186197</v>
      </c>
      <c r="E1347" s="4" t="s">
        <v>166</v>
      </c>
      <c r="F1347" s="2">
        <v>1000184762</v>
      </c>
      <c r="G1347" s="2" t="s">
        <v>58</v>
      </c>
      <c r="H1347" s="4">
        <v>1000189815</v>
      </c>
      <c r="I1347" s="4" t="s">
        <v>59</v>
      </c>
      <c r="J1347" s="2">
        <v>1000189270</v>
      </c>
      <c r="K1347" s="2" t="s">
        <v>34</v>
      </c>
      <c r="L1347" s="4" t="s">
        <v>22</v>
      </c>
      <c r="M1347" s="4" t="str">
        <f t="shared" si="309"/>
        <v>1000184670100018619710001898151000189270S GLUTEN</v>
      </c>
      <c r="N1347" s="28">
        <f>N1334*_xlfn.XLOOKUP($L1347,'Balizador da Meta'!$B$4:$B$21,'Balizador da Meta'!$C$4:$C$21)</f>
        <v>24</v>
      </c>
      <c r="O1347" s="28">
        <f>O1334*_xlfn.XLOOKUP($L1347,'Balizador da Meta'!$B$4:$B$21,'Balizador da Meta'!$C$4:$C$21)</f>
        <v>48</v>
      </c>
      <c r="P1347" s="28">
        <f>P1334*_xlfn.XLOOKUP($L1347,'Balizador da Meta'!$B$4:$B$21,'Balizador da Meta'!$C$4:$C$21)</f>
        <v>48</v>
      </c>
      <c r="Q1347" s="28">
        <f>Q1334*_xlfn.XLOOKUP($L1347,'Balizador da Meta'!$B$4:$B$21,'Balizador da Meta'!$C$4:$C$21)</f>
        <v>48</v>
      </c>
      <c r="R1347" s="28">
        <f>R1334*_xlfn.XLOOKUP($L1347,'Balizador da Meta'!$B$4:$B$21,'Balizador da Meta'!$C$4:$C$21)</f>
        <v>48</v>
      </c>
      <c r="S1347" s="28">
        <f>S1334*_xlfn.XLOOKUP($L1347,'Balizador da Meta'!$B$4:$B$21,'Balizador da Meta'!$C$4:$C$21)</f>
        <v>48</v>
      </c>
      <c r="T1347" s="28">
        <f>T1334*_xlfn.XLOOKUP($L1347,'Balizador da Meta'!$B$4:$B$21,'Balizador da Meta'!$C$4:$C$21)</f>
        <v>72</v>
      </c>
      <c r="U1347" s="28">
        <f>U1334*_xlfn.XLOOKUP($L1347,'Balizador da Meta'!$B$4:$B$21,'Balizador da Meta'!$C$4:$C$21)</f>
        <v>72</v>
      </c>
      <c r="V1347" s="28">
        <f>V1334*_xlfn.XLOOKUP($L1347,'Balizador da Meta'!$B$4:$B$21,'Balizador da Meta'!$C$4:$C$21)</f>
        <v>72</v>
      </c>
      <c r="W1347" s="28">
        <f>W1334*_xlfn.XLOOKUP($L1347,'Balizador da Meta'!$B$4:$B$21,'Balizador da Meta'!$C$4:$C$21)</f>
        <v>72</v>
      </c>
      <c r="X1347" s="28">
        <f>X1334*_xlfn.XLOOKUP($L1347,'Balizador da Meta'!$B$4:$B$21,'Balizador da Meta'!$C$4:$C$21)</f>
        <v>72</v>
      </c>
      <c r="Y1347" s="28">
        <f>Y1334*_xlfn.XLOOKUP($L1347,'Balizador da Meta'!$B$4:$B$21,'Balizador da Meta'!$C$4:$C$21)</f>
        <v>96</v>
      </c>
      <c r="Z1347" s="30">
        <f t="shared" si="322"/>
        <v>720</v>
      </c>
      <c r="AA1347" s="29"/>
      <c r="AB1347" s="31">
        <f>SUMIFS('Historico - FAT'!AK:AK,'Historico - FAT'!$K:$K,Faturamento!$L1347,'Historico - FAT'!$I:$I,Faturamento!$J1347,'Historico - FAT'!$G:$G,Faturamento!$H1347)</f>
        <v>0</v>
      </c>
      <c r="AC1347" s="31">
        <f>SUMIFS('Historico - FAT'!AL:AL,'Historico - FAT'!$K:$K,Faturamento!$L1347,'Historico - FAT'!$I:$I,Faturamento!$J1347,'Historico - FAT'!$G:$G,Faturamento!$H1347)</f>
        <v>11.67</v>
      </c>
      <c r="AD1347" s="31">
        <f>SUMIFS('Historico - FAT'!AM:AM,'Historico - FAT'!$K:$K,Faturamento!$L1347,'Historico - FAT'!$I:$I,Faturamento!$J1347,'Historico - FAT'!$G:$G,Faturamento!$H1347)</f>
        <v>23.34</v>
      </c>
      <c r="AE1347" s="27">
        <f>SUMIFS('Historico - FAT'!AN:AN,'Historico - FAT'!$K:$K,Faturamento!$L1347,'Historico - FAT'!$I:$I,Faturamento!$J1347,'Historico - FAT'!$G:$G,Faturamento!$H1347)</f>
        <v>14.004</v>
      </c>
      <c r="AG1347" s="24">
        <f t="shared" si="317"/>
        <v>1</v>
      </c>
      <c r="AH1347" s="24">
        <f t="shared" si="318"/>
        <v>0.85412500000000002</v>
      </c>
      <c r="AI1347" s="24">
        <f t="shared" si="319"/>
        <v>0.70824999999999994</v>
      </c>
    </row>
    <row r="1348" spans="1:35" hidden="1" x14ac:dyDescent="0.3">
      <c r="A1348" s="2" t="str">
        <f t="shared" si="316"/>
        <v>NÃO</v>
      </c>
      <c r="B1348" s="2">
        <v>1000184670</v>
      </c>
      <c r="C1348" s="2" t="s">
        <v>147</v>
      </c>
      <c r="D1348" s="4">
        <v>1000186197</v>
      </c>
      <c r="E1348" s="4" t="s">
        <v>166</v>
      </c>
      <c r="F1348" s="2">
        <v>1000184762</v>
      </c>
      <c r="G1348" s="2" t="s">
        <v>58</v>
      </c>
      <c r="H1348" s="4">
        <v>1000189815</v>
      </c>
      <c r="I1348" s="4" t="s">
        <v>59</v>
      </c>
      <c r="J1348" s="2">
        <v>1000189270</v>
      </c>
      <c r="K1348" s="2" t="s">
        <v>34</v>
      </c>
      <c r="L1348" s="4" t="s">
        <v>23</v>
      </c>
      <c r="M1348" s="4" t="str">
        <f t="shared" si="309"/>
        <v>1000184670100018619710001898151000189270SABORES DO CAMPO</v>
      </c>
      <c r="N1348" s="28">
        <f>N1334*_xlfn.XLOOKUP($L1348,'Balizador da Meta'!$B$4:$B$21,'Balizador da Meta'!$C$4:$C$21)</f>
        <v>0</v>
      </c>
      <c r="O1348" s="28">
        <f>O1334*_xlfn.XLOOKUP($L1348,'Balizador da Meta'!$B$4:$B$21,'Balizador da Meta'!$C$4:$C$21)</f>
        <v>0</v>
      </c>
      <c r="P1348" s="28">
        <f>P1334*_xlfn.XLOOKUP($L1348,'Balizador da Meta'!$B$4:$B$21,'Balizador da Meta'!$C$4:$C$21)</f>
        <v>0</v>
      </c>
      <c r="Q1348" s="28">
        <f>Q1334*_xlfn.XLOOKUP($L1348,'Balizador da Meta'!$B$4:$B$21,'Balizador da Meta'!$C$4:$C$21)</f>
        <v>0</v>
      </c>
      <c r="R1348" s="28">
        <f>R1334*_xlfn.XLOOKUP($L1348,'Balizador da Meta'!$B$4:$B$21,'Balizador da Meta'!$C$4:$C$21)</f>
        <v>0</v>
      </c>
      <c r="S1348" s="28">
        <f>S1334*_xlfn.XLOOKUP($L1348,'Balizador da Meta'!$B$4:$B$21,'Balizador da Meta'!$C$4:$C$21)</f>
        <v>0</v>
      </c>
      <c r="T1348" s="28">
        <f>T1334*_xlfn.XLOOKUP($L1348,'Balizador da Meta'!$B$4:$B$21,'Balizador da Meta'!$C$4:$C$21)</f>
        <v>0</v>
      </c>
      <c r="U1348" s="28">
        <f>U1334*_xlfn.XLOOKUP($L1348,'Balizador da Meta'!$B$4:$B$21,'Balizador da Meta'!$C$4:$C$21)</f>
        <v>0</v>
      </c>
      <c r="V1348" s="28">
        <f>V1334*_xlfn.XLOOKUP($L1348,'Balizador da Meta'!$B$4:$B$21,'Balizador da Meta'!$C$4:$C$21)</f>
        <v>0</v>
      </c>
      <c r="W1348" s="28">
        <f>W1334*_xlfn.XLOOKUP($L1348,'Balizador da Meta'!$B$4:$B$21,'Balizador da Meta'!$C$4:$C$21)</f>
        <v>0</v>
      </c>
      <c r="X1348" s="28">
        <f>X1334*_xlfn.XLOOKUP($L1348,'Balizador da Meta'!$B$4:$B$21,'Balizador da Meta'!$C$4:$C$21)</f>
        <v>0</v>
      </c>
      <c r="Y1348" s="28">
        <f>Y1334*_xlfn.XLOOKUP($L1348,'Balizador da Meta'!$B$4:$B$21,'Balizador da Meta'!$C$4:$C$21)</f>
        <v>0</v>
      </c>
      <c r="Z1348" s="30">
        <f t="shared" si="322"/>
        <v>0</v>
      </c>
      <c r="AA1348" s="29"/>
      <c r="AB1348" s="31">
        <f>SUMIFS('Historico - FAT'!AK:AK,'Historico - FAT'!$K:$K,Faturamento!$L1348,'Historico - FAT'!$I:$I,Faturamento!$J1348,'Historico - FAT'!$G:$G,Faturamento!$H1348)</f>
        <v>0</v>
      </c>
      <c r="AC1348" s="31">
        <f>SUMIFS('Historico - FAT'!AL:AL,'Historico - FAT'!$K:$K,Faturamento!$L1348,'Historico - FAT'!$I:$I,Faturamento!$J1348,'Historico - FAT'!$G:$G,Faturamento!$H1348)</f>
        <v>0</v>
      </c>
      <c r="AD1348" s="31">
        <f>SUMIFS('Historico - FAT'!AM:AM,'Historico - FAT'!$K:$K,Faturamento!$L1348,'Historico - FAT'!$I:$I,Faturamento!$J1348,'Historico - FAT'!$G:$G,Faturamento!$H1348)</f>
        <v>0</v>
      </c>
      <c r="AE1348" s="27">
        <f>SUMIFS('Historico - FAT'!AN:AN,'Historico - FAT'!$K:$K,Faturamento!$L1348,'Historico - FAT'!$I:$I,Faturamento!$J1348,'Historico - FAT'!$G:$G,Faturamento!$H1348)</f>
        <v>0</v>
      </c>
      <c r="AG1348" s="24" t="str">
        <f t="shared" si="317"/>
        <v/>
      </c>
      <c r="AH1348" s="24" t="str">
        <f t="shared" si="318"/>
        <v/>
      </c>
      <c r="AI1348" s="24" t="str">
        <f t="shared" si="319"/>
        <v/>
      </c>
    </row>
    <row r="1349" spans="1:35" hidden="1" x14ac:dyDescent="0.3">
      <c r="A1349" s="2" t="str">
        <f t="shared" si="316"/>
        <v>NÃO</v>
      </c>
      <c r="B1349" s="2">
        <v>1000184670</v>
      </c>
      <c r="C1349" s="2" t="s">
        <v>147</v>
      </c>
      <c r="D1349" s="4">
        <v>1000186197</v>
      </c>
      <c r="E1349" s="4" t="s">
        <v>166</v>
      </c>
      <c r="F1349" s="2">
        <v>1000184762</v>
      </c>
      <c r="G1349" s="2" t="s">
        <v>58</v>
      </c>
      <c r="H1349" s="4">
        <v>1000189815</v>
      </c>
      <c r="I1349" s="4" t="s">
        <v>59</v>
      </c>
      <c r="J1349" s="2">
        <v>1000189270</v>
      </c>
      <c r="K1349" s="2" t="s">
        <v>34</v>
      </c>
      <c r="L1349" s="4" t="s">
        <v>28</v>
      </c>
      <c r="M1349" s="4" t="str">
        <f t="shared" ref="M1349:M1412" si="323">_xlfn.CONCAT(B1349,D1349,H1349,J1349,L1349,)</f>
        <v>1000184670100018619710001898151000189270SAL</v>
      </c>
      <c r="N1349" s="28">
        <f>N1334*_xlfn.XLOOKUP($L1349,'Balizador da Meta'!$B$4:$B$21,'Balizador da Meta'!$C$4:$C$21)</f>
        <v>12</v>
      </c>
      <c r="O1349" s="28">
        <f>O1334*_xlfn.XLOOKUP($L1349,'Balizador da Meta'!$B$4:$B$21,'Balizador da Meta'!$C$4:$C$21)</f>
        <v>24</v>
      </c>
      <c r="P1349" s="28">
        <f>P1334*_xlfn.XLOOKUP($L1349,'Balizador da Meta'!$B$4:$B$21,'Balizador da Meta'!$C$4:$C$21)</f>
        <v>24</v>
      </c>
      <c r="Q1349" s="28">
        <f>Q1334*_xlfn.XLOOKUP($L1349,'Balizador da Meta'!$B$4:$B$21,'Balizador da Meta'!$C$4:$C$21)</f>
        <v>24</v>
      </c>
      <c r="R1349" s="28">
        <f>R1334*_xlfn.XLOOKUP($L1349,'Balizador da Meta'!$B$4:$B$21,'Balizador da Meta'!$C$4:$C$21)</f>
        <v>24</v>
      </c>
      <c r="S1349" s="28">
        <f>S1334*_xlfn.XLOOKUP($L1349,'Balizador da Meta'!$B$4:$B$21,'Balizador da Meta'!$C$4:$C$21)</f>
        <v>24</v>
      </c>
      <c r="T1349" s="28">
        <f>T1334*_xlfn.XLOOKUP($L1349,'Balizador da Meta'!$B$4:$B$21,'Balizador da Meta'!$C$4:$C$21)</f>
        <v>36</v>
      </c>
      <c r="U1349" s="28">
        <f>U1334*_xlfn.XLOOKUP($L1349,'Balizador da Meta'!$B$4:$B$21,'Balizador da Meta'!$C$4:$C$21)</f>
        <v>36</v>
      </c>
      <c r="V1349" s="28">
        <f>V1334*_xlfn.XLOOKUP($L1349,'Balizador da Meta'!$B$4:$B$21,'Balizador da Meta'!$C$4:$C$21)</f>
        <v>36</v>
      </c>
      <c r="W1349" s="28">
        <f>W1334*_xlfn.XLOOKUP($L1349,'Balizador da Meta'!$B$4:$B$21,'Balizador da Meta'!$C$4:$C$21)</f>
        <v>36</v>
      </c>
      <c r="X1349" s="28">
        <f>X1334*_xlfn.XLOOKUP($L1349,'Balizador da Meta'!$B$4:$B$21,'Balizador da Meta'!$C$4:$C$21)</f>
        <v>36</v>
      </c>
      <c r="Y1349" s="28">
        <f>Y1334*_xlfn.XLOOKUP($L1349,'Balizador da Meta'!$B$4:$B$21,'Balizador da Meta'!$C$4:$C$21)</f>
        <v>48</v>
      </c>
      <c r="Z1349" s="30">
        <f t="shared" si="322"/>
        <v>360</v>
      </c>
      <c r="AA1349" s="29"/>
      <c r="AB1349" s="31">
        <f>SUMIFS('Historico - FAT'!AK:AK,'Historico - FAT'!$K:$K,Faturamento!$L1349,'Historico - FAT'!$I:$I,Faturamento!$J1349,'Historico - FAT'!$G:$G,Faturamento!$H1349)</f>
        <v>0</v>
      </c>
      <c r="AC1349" s="31">
        <f>SUMIFS('Historico - FAT'!AL:AL,'Historico - FAT'!$K:$K,Faturamento!$L1349,'Historico - FAT'!$I:$I,Faturamento!$J1349,'Historico - FAT'!$G:$G,Faturamento!$H1349)</f>
        <v>215.09916666666666</v>
      </c>
      <c r="AD1349" s="31">
        <f>SUMIFS('Historico - FAT'!AM:AM,'Historico - FAT'!$K:$K,Faturamento!$L1349,'Historico - FAT'!$I:$I,Faturamento!$J1349,'Historico - FAT'!$G:$G,Faturamento!$H1349)</f>
        <v>430.19833333333332</v>
      </c>
      <c r="AE1349" s="27">
        <f>SUMIFS('Historico - FAT'!AN:AN,'Historico - FAT'!$K:$K,Faturamento!$L1349,'Historico - FAT'!$I:$I,Faturamento!$J1349,'Historico - FAT'!$G:$G,Faturamento!$H1349)</f>
        <v>258.11900000000003</v>
      </c>
      <c r="AG1349" s="24">
        <f t="shared" si="317"/>
        <v>1</v>
      </c>
      <c r="AH1349" s="24">
        <f t="shared" si="318"/>
        <v>-4.3774791666666664</v>
      </c>
      <c r="AI1349" s="24">
        <f t="shared" si="319"/>
        <v>-9.7549583333333327</v>
      </c>
    </row>
    <row r="1350" spans="1:35" hidden="1" x14ac:dyDescent="0.3">
      <c r="A1350" s="2" t="str">
        <f t="shared" si="316"/>
        <v>NÃO</v>
      </c>
      <c r="B1350" s="2">
        <v>1000184670</v>
      </c>
      <c r="C1350" s="2" t="s">
        <v>147</v>
      </c>
      <c r="D1350" s="4">
        <v>1000186197</v>
      </c>
      <c r="E1350" s="4" t="s">
        <v>166</v>
      </c>
      <c r="F1350" s="2">
        <v>1000184762</v>
      </c>
      <c r="G1350" s="2" t="s">
        <v>58</v>
      </c>
      <c r="H1350" s="4">
        <v>1000189815</v>
      </c>
      <c r="I1350" s="4" t="s">
        <v>59</v>
      </c>
      <c r="J1350" s="2">
        <v>1000189270</v>
      </c>
      <c r="K1350" s="2" t="s">
        <v>34</v>
      </c>
      <c r="L1350" s="4" t="s">
        <v>26</v>
      </c>
      <c r="M1350" s="4" t="str">
        <f t="shared" si="323"/>
        <v>1000184670100018619710001898151000189270SOULPRO</v>
      </c>
      <c r="N1350" s="28">
        <f>N1334*_xlfn.XLOOKUP($L1350,'Balizador da Meta'!$B$4:$B$21,'Balizador da Meta'!$C$4:$C$21)</f>
        <v>36</v>
      </c>
      <c r="O1350" s="28">
        <f>O1334*_xlfn.XLOOKUP($L1350,'Balizador da Meta'!$B$4:$B$21,'Balizador da Meta'!$C$4:$C$21)</f>
        <v>72</v>
      </c>
      <c r="P1350" s="28">
        <f>P1334*_xlfn.XLOOKUP($L1350,'Balizador da Meta'!$B$4:$B$21,'Balizador da Meta'!$C$4:$C$21)</f>
        <v>72</v>
      </c>
      <c r="Q1350" s="28">
        <f>Q1334*_xlfn.XLOOKUP($L1350,'Balizador da Meta'!$B$4:$B$21,'Balizador da Meta'!$C$4:$C$21)</f>
        <v>72</v>
      </c>
      <c r="R1350" s="28">
        <f>R1334*_xlfn.XLOOKUP($L1350,'Balizador da Meta'!$B$4:$B$21,'Balizador da Meta'!$C$4:$C$21)</f>
        <v>72</v>
      </c>
      <c r="S1350" s="28">
        <f>S1334*_xlfn.XLOOKUP($L1350,'Balizador da Meta'!$B$4:$B$21,'Balizador da Meta'!$C$4:$C$21)</f>
        <v>72</v>
      </c>
      <c r="T1350" s="28">
        <f>T1334*_xlfn.XLOOKUP($L1350,'Balizador da Meta'!$B$4:$B$21,'Balizador da Meta'!$C$4:$C$21)</f>
        <v>108</v>
      </c>
      <c r="U1350" s="28">
        <f>U1334*_xlfn.XLOOKUP($L1350,'Balizador da Meta'!$B$4:$B$21,'Balizador da Meta'!$C$4:$C$21)</f>
        <v>108</v>
      </c>
      <c r="V1350" s="28">
        <f>V1334*_xlfn.XLOOKUP($L1350,'Balizador da Meta'!$B$4:$B$21,'Balizador da Meta'!$C$4:$C$21)</f>
        <v>108</v>
      </c>
      <c r="W1350" s="28">
        <f>W1334*_xlfn.XLOOKUP($L1350,'Balizador da Meta'!$B$4:$B$21,'Balizador da Meta'!$C$4:$C$21)</f>
        <v>108</v>
      </c>
      <c r="X1350" s="28">
        <f>X1334*_xlfn.XLOOKUP($L1350,'Balizador da Meta'!$B$4:$B$21,'Balizador da Meta'!$C$4:$C$21)</f>
        <v>108</v>
      </c>
      <c r="Y1350" s="28">
        <f>Y1334*_xlfn.XLOOKUP($L1350,'Balizador da Meta'!$B$4:$B$21,'Balizador da Meta'!$C$4:$C$21)</f>
        <v>144</v>
      </c>
      <c r="Z1350" s="30">
        <f t="shared" si="322"/>
        <v>1080</v>
      </c>
      <c r="AA1350" s="29"/>
      <c r="AB1350" s="31">
        <f>SUMIFS('Historico - FAT'!AK:AK,'Historico - FAT'!$K:$K,Faturamento!$L1350,'Historico - FAT'!$I:$I,Faturamento!$J1350,'Historico - FAT'!$G:$G,Faturamento!$H1350)</f>
        <v>21.098333333333333</v>
      </c>
      <c r="AC1350" s="31">
        <f>SUMIFS('Historico - FAT'!AL:AL,'Historico - FAT'!$K:$K,Faturamento!$L1350,'Historico - FAT'!$I:$I,Faturamento!$J1350,'Historico - FAT'!$G:$G,Faturamento!$H1350)</f>
        <v>31.890833333333333</v>
      </c>
      <c r="AD1350" s="31">
        <f>SUMIFS('Historico - FAT'!AM:AM,'Historico - FAT'!$K:$K,Faturamento!$L1350,'Historico - FAT'!$I:$I,Faturamento!$J1350,'Historico - FAT'!$G:$G,Faturamento!$H1350)</f>
        <v>0</v>
      </c>
      <c r="AE1350" s="27">
        <f>SUMIFS('Historico - FAT'!AN:AN,'Historico - FAT'!$K:$K,Faturamento!$L1350,'Historico - FAT'!$I:$I,Faturamento!$J1350,'Historico - FAT'!$G:$G,Faturamento!$H1350)</f>
        <v>38.268999999999998</v>
      </c>
      <c r="AG1350" s="24">
        <f t="shared" si="317"/>
        <v>0.82418055555555558</v>
      </c>
      <c r="AH1350" s="24">
        <f t="shared" si="318"/>
        <v>0.73424305555555558</v>
      </c>
      <c r="AI1350" s="24">
        <f t="shared" si="319"/>
        <v>1</v>
      </c>
    </row>
    <row r="1351" spans="1:35" hidden="1" x14ac:dyDescent="0.3">
      <c r="A1351" s="2" t="str">
        <f t="shared" si="316"/>
        <v>NÃO</v>
      </c>
      <c r="B1351" s="2">
        <v>1000184670</v>
      </c>
      <c r="C1351" s="2" t="s">
        <v>147</v>
      </c>
      <c r="D1351" s="4">
        <v>1000186197</v>
      </c>
      <c r="E1351" s="4" t="s">
        <v>166</v>
      </c>
      <c r="F1351" s="2">
        <v>1000184762</v>
      </c>
      <c r="G1351" s="2" t="s">
        <v>58</v>
      </c>
      <c r="H1351" s="4">
        <v>1000189815</v>
      </c>
      <c r="I1351" s="4" t="s">
        <v>59</v>
      </c>
      <c r="J1351" s="2">
        <v>1000189270</v>
      </c>
      <c r="K1351" s="2" t="s">
        <v>34</v>
      </c>
      <c r="L1351" s="4" t="s">
        <v>27</v>
      </c>
      <c r="M1351" s="4" t="str">
        <f t="shared" si="323"/>
        <v>1000184670100018619710001898151000189270TAMARA</v>
      </c>
      <c r="N1351" s="28">
        <f>N1334*_xlfn.XLOOKUP($L1351,'Balizador da Meta'!$B$4:$B$21,'Balizador da Meta'!$C$4:$C$21)</f>
        <v>48</v>
      </c>
      <c r="O1351" s="28">
        <f>O1334*_xlfn.XLOOKUP($L1351,'Balizador da Meta'!$B$4:$B$21,'Balizador da Meta'!$C$4:$C$21)</f>
        <v>96</v>
      </c>
      <c r="P1351" s="28">
        <f>P1334*_xlfn.XLOOKUP($L1351,'Balizador da Meta'!$B$4:$B$21,'Balizador da Meta'!$C$4:$C$21)</f>
        <v>96</v>
      </c>
      <c r="Q1351" s="28">
        <f>Q1334*_xlfn.XLOOKUP($L1351,'Balizador da Meta'!$B$4:$B$21,'Balizador da Meta'!$C$4:$C$21)</f>
        <v>96</v>
      </c>
      <c r="R1351" s="28">
        <f>R1334*_xlfn.XLOOKUP($L1351,'Balizador da Meta'!$B$4:$B$21,'Balizador da Meta'!$C$4:$C$21)</f>
        <v>96</v>
      </c>
      <c r="S1351" s="28">
        <f>S1334*_xlfn.XLOOKUP($L1351,'Balizador da Meta'!$B$4:$B$21,'Balizador da Meta'!$C$4:$C$21)</f>
        <v>96</v>
      </c>
      <c r="T1351" s="28">
        <f>T1334*_xlfn.XLOOKUP($L1351,'Balizador da Meta'!$B$4:$B$21,'Balizador da Meta'!$C$4:$C$21)</f>
        <v>144</v>
      </c>
      <c r="U1351" s="28">
        <f>U1334*_xlfn.XLOOKUP($L1351,'Balizador da Meta'!$B$4:$B$21,'Balizador da Meta'!$C$4:$C$21)</f>
        <v>144</v>
      </c>
      <c r="V1351" s="28">
        <f>V1334*_xlfn.XLOOKUP($L1351,'Balizador da Meta'!$B$4:$B$21,'Balizador da Meta'!$C$4:$C$21)</f>
        <v>144</v>
      </c>
      <c r="W1351" s="28">
        <f>W1334*_xlfn.XLOOKUP($L1351,'Balizador da Meta'!$B$4:$B$21,'Balizador da Meta'!$C$4:$C$21)</f>
        <v>144</v>
      </c>
      <c r="X1351" s="28">
        <f>X1334*_xlfn.XLOOKUP($L1351,'Balizador da Meta'!$B$4:$B$21,'Balizador da Meta'!$C$4:$C$21)</f>
        <v>144</v>
      </c>
      <c r="Y1351" s="28">
        <f>Y1334*_xlfn.XLOOKUP($L1351,'Balizador da Meta'!$B$4:$B$21,'Balizador da Meta'!$C$4:$C$21)</f>
        <v>192</v>
      </c>
      <c r="Z1351" s="30">
        <f t="shared" si="322"/>
        <v>1440</v>
      </c>
      <c r="AA1351" s="29"/>
      <c r="AB1351" s="31">
        <f>SUMIFS('Historico - FAT'!AK:AK,'Historico - FAT'!$K:$K,Faturamento!$L1351,'Historico - FAT'!$I:$I,Faturamento!$J1351,'Historico - FAT'!$G:$G,Faturamento!$H1351)</f>
        <v>0</v>
      </c>
      <c r="AC1351" s="31">
        <f>SUMIFS('Historico - FAT'!AL:AL,'Historico - FAT'!$K:$K,Faturamento!$L1351,'Historico - FAT'!$I:$I,Faturamento!$J1351,'Historico - FAT'!$G:$G,Faturamento!$H1351)</f>
        <v>0</v>
      </c>
      <c r="AD1351" s="31">
        <f>SUMIFS('Historico - FAT'!AM:AM,'Historico - FAT'!$K:$K,Faturamento!$L1351,'Historico - FAT'!$I:$I,Faturamento!$J1351,'Historico - FAT'!$G:$G,Faturamento!$H1351)</f>
        <v>0</v>
      </c>
      <c r="AE1351" s="27">
        <f>SUMIFS('Historico - FAT'!AN:AN,'Historico - FAT'!$K:$K,Faturamento!$L1351,'Historico - FAT'!$I:$I,Faturamento!$J1351,'Historico - FAT'!$G:$G,Faturamento!$H1351)</f>
        <v>0</v>
      </c>
      <c r="AG1351" s="24">
        <f t="shared" si="317"/>
        <v>1</v>
      </c>
      <c r="AH1351" s="24">
        <f t="shared" si="318"/>
        <v>1</v>
      </c>
      <c r="AI1351" s="24">
        <f t="shared" si="319"/>
        <v>1</v>
      </c>
    </row>
    <row r="1352" spans="1:35" hidden="1" x14ac:dyDescent="0.3">
      <c r="A1352" s="2" t="str">
        <f t="shared" si="316"/>
        <v>NÃO</v>
      </c>
      <c r="B1352" s="2">
        <v>1000184670</v>
      </c>
      <c r="C1352" s="2" t="s">
        <v>147</v>
      </c>
      <c r="D1352" s="4">
        <v>1000186197</v>
      </c>
      <c r="E1352" s="4" t="s">
        <v>166</v>
      </c>
      <c r="F1352" s="2">
        <v>1000184762</v>
      </c>
      <c r="G1352" s="2" t="s">
        <v>58</v>
      </c>
      <c r="H1352" s="4">
        <v>1000189815</v>
      </c>
      <c r="I1352" s="4" t="s">
        <v>59</v>
      </c>
      <c r="J1352" s="2">
        <v>1000189270</v>
      </c>
      <c r="K1352" s="2" t="s">
        <v>34</v>
      </c>
      <c r="L1352" s="4" t="s">
        <v>25</v>
      </c>
      <c r="M1352" s="4" t="str">
        <f t="shared" si="323"/>
        <v>1000184670100018619710001898151000189270VICCIO</v>
      </c>
      <c r="N1352" s="28">
        <f>N1334*_xlfn.XLOOKUP($L1352,'Balizador da Meta'!$B$4:$B$21,'Balizador da Meta'!$C$4:$C$21)</f>
        <v>18</v>
      </c>
      <c r="O1352" s="28">
        <f>O1334*_xlfn.XLOOKUP($L1352,'Balizador da Meta'!$B$4:$B$21,'Balizador da Meta'!$C$4:$C$21)</f>
        <v>36</v>
      </c>
      <c r="P1352" s="28">
        <f>P1334*_xlfn.XLOOKUP($L1352,'Balizador da Meta'!$B$4:$B$21,'Balizador da Meta'!$C$4:$C$21)</f>
        <v>36</v>
      </c>
      <c r="Q1352" s="28">
        <f>Q1334*_xlfn.XLOOKUP($L1352,'Balizador da Meta'!$B$4:$B$21,'Balizador da Meta'!$C$4:$C$21)</f>
        <v>36</v>
      </c>
      <c r="R1352" s="28">
        <f>R1334*_xlfn.XLOOKUP($L1352,'Balizador da Meta'!$B$4:$B$21,'Balizador da Meta'!$C$4:$C$21)</f>
        <v>36</v>
      </c>
      <c r="S1352" s="28">
        <f>S1334*_xlfn.XLOOKUP($L1352,'Balizador da Meta'!$B$4:$B$21,'Balizador da Meta'!$C$4:$C$21)</f>
        <v>36</v>
      </c>
      <c r="T1352" s="28">
        <f>T1334*_xlfn.XLOOKUP($L1352,'Balizador da Meta'!$B$4:$B$21,'Balizador da Meta'!$C$4:$C$21)</f>
        <v>54</v>
      </c>
      <c r="U1352" s="28">
        <f>U1334*_xlfn.XLOOKUP($L1352,'Balizador da Meta'!$B$4:$B$21,'Balizador da Meta'!$C$4:$C$21)</f>
        <v>54</v>
      </c>
      <c r="V1352" s="28">
        <f>V1334*_xlfn.XLOOKUP($L1352,'Balizador da Meta'!$B$4:$B$21,'Balizador da Meta'!$C$4:$C$21)</f>
        <v>54</v>
      </c>
      <c r="W1352" s="28">
        <f>W1334*_xlfn.XLOOKUP($L1352,'Balizador da Meta'!$B$4:$B$21,'Balizador da Meta'!$C$4:$C$21)</f>
        <v>54</v>
      </c>
      <c r="X1352" s="28">
        <f>X1334*_xlfn.XLOOKUP($L1352,'Balizador da Meta'!$B$4:$B$21,'Balizador da Meta'!$C$4:$C$21)</f>
        <v>54</v>
      </c>
      <c r="Y1352" s="28">
        <f>Y1334*_xlfn.XLOOKUP($L1352,'Balizador da Meta'!$B$4:$B$21,'Balizador da Meta'!$C$4:$C$21)</f>
        <v>72</v>
      </c>
      <c r="Z1352" s="30">
        <f t="shared" si="322"/>
        <v>540</v>
      </c>
      <c r="AA1352" s="29"/>
      <c r="AB1352" s="31">
        <f>SUMIFS('Historico - FAT'!AK:AK,'Historico - FAT'!$K:$K,Faturamento!$L1352,'Historico - FAT'!$I:$I,Faturamento!$J1352,'Historico - FAT'!$G:$G,Faturamento!$H1352)</f>
        <v>0</v>
      </c>
      <c r="AC1352" s="31">
        <f>SUMIFS('Historico - FAT'!AL:AL,'Historico - FAT'!$K:$K,Faturamento!$L1352,'Historico - FAT'!$I:$I,Faturamento!$J1352,'Historico - FAT'!$G:$G,Faturamento!$H1352)</f>
        <v>0</v>
      </c>
      <c r="AD1352" s="31">
        <f>SUMIFS('Historico - FAT'!AM:AM,'Historico - FAT'!$K:$K,Faturamento!$L1352,'Historico - FAT'!$I:$I,Faturamento!$J1352,'Historico - FAT'!$G:$G,Faturamento!$H1352)</f>
        <v>0</v>
      </c>
      <c r="AE1352" s="27">
        <f>SUMIFS('Historico - FAT'!AN:AN,'Historico - FAT'!$K:$K,Faturamento!$L1352,'Historico - FAT'!$I:$I,Faturamento!$J1352,'Historico - FAT'!$G:$G,Faturamento!$H1352)</f>
        <v>0</v>
      </c>
      <c r="AG1352" s="24">
        <f t="shared" si="317"/>
        <v>1</v>
      </c>
      <c r="AH1352" s="24">
        <f t="shared" si="318"/>
        <v>1</v>
      </c>
      <c r="AI1352" s="24">
        <f t="shared" si="319"/>
        <v>1</v>
      </c>
    </row>
    <row r="1353" spans="1:35" x14ac:dyDescent="0.3">
      <c r="A1353" s="2" t="str">
        <f t="shared" si="316"/>
        <v>SIM</v>
      </c>
      <c r="B1353" s="2">
        <v>1000184670</v>
      </c>
      <c r="C1353" s="2" t="s">
        <v>147</v>
      </c>
      <c r="D1353" s="4">
        <v>1000186197</v>
      </c>
      <c r="E1353" s="4" t="s">
        <v>166</v>
      </c>
      <c r="F1353" s="2">
        <v>1000184762</v>
      </c>
      <c r="G1353" s="2" t="s">
        <v>58</v>
      </c>
      <c r="H1353" s="4">
        <v>1000189816</v>
      </c>
      <c r="I1353" s="4" t="s">
        <v>113</v>
      </c>
      <c r="J1353" s="2">
        <v>1000189270</v>
      </c>
      <c r="K1353" s="2" t="s">
        <v>34</v>
      </c>
      <c r="L1353" s="4" t="s">
        <v>124</v>
      </c>
      <c r="M1353" s="4" t="str">
        <f t="shared" si="323"/>
        <v>100018467010001861971000189816100018927001. TOTAL</v>
      </c>
      <c r="N1353" s="28">
        <f>SUMIFS(Positivação!L:L,Positivação!$I:$I,Faturamento!$J1353,Positivação!$G:$G,Faturamento!$H1353)*SUMIFS(Positivação!$Z:$Z,Positivação!$I:$I,Faturamento!$J1353,Positivação!$G:$G,Faturamento!$H1353)</f>
        <v>2400</v>
      </c>
      <c r="O1353" s="28">
        <f>SUMIFS(Positivação!M:M,Positivação!$I:$I,Faturamento!$J1353,Positivação!$G:$G,Faturamento!$H1353)*SUMIFS(Positivação!$Z:$Z,Positivação!$I:$I,Faturamento!$J1353,Positivação!$G:$G,Faturamento!$H1353)</f>
        <v>2400</v>
      </c>
      <c r="P1353" s="28">
        <f>SUMIFS(Positivação!N:N,Positivação!$I:$I,Faturamento!$J1353,Positivação!$G:$G,Faturamento!$H1353)*SUMIFS(Positivação!$Z:$Z,Positivação!$I:$I,Faturamento!$J1353,Positivação!$G:$G,Faturamento!$H1353)</f>
        <v>2400</v>
      </c>
      <c r="Q1353" s="28">
        <f>SUMIFS(Positivação!O:O,Positivação!$I:$I,Faturamento!$J1353,Positivação!$G:$G,Faturamento!$H1353)*SUMIFS(Positivação!$Z:$Z,Positivação!$I:$I,Faturamento!$J1353,Positivação!$G:$G,Faturamento!$H1353)</f>
        <v>2400</v>
      </c>
      <c r="R1353" s="28">
        <f>SUMIFS(Positivação!P:P,Positivação!$I:$I,Faturamento!$J1353,Positivação!$G:$G,Faturamento!$H1353)*SUMIFS(Positivação!$Z:$Z,Positivação!$I:$I,Faturamento!$J1353,Positivação!$G:$G,Faturamento!$H1353)</f>
        <v>3000</v>
      </c>
      <c r="S1353" s="28">
        <f>SUMIFS(Positivação!Q:Q,Positivação!$I:$I,Faturamento!$J1353,Positivação!$G:$G,Faturamento!$H1353)*SUMIFS(Positivação!$Z:$Z,Positivação!$I:$I,Faturamento!$J1353,Positivação!$G:$G,Faturamento!$H1353)</f>
        <v>3000</v>
      </c>
      <c r="T1353" s="28">
        <f>SUMIFS(Positivação!R:R,Positivação!$I:$I,Faturamento!$J1353,Positivação!$G:$G,Faturamento!$H1353)*SUMIFS(Positivação!$Z:$Z,Positivação!$I:$I,Faturamento!$J1353,Positivação!$G:$G,Faturamento!$H1353)</f>
        <v>3000</v>
      </c>
      <c r="U1353" s="28">
        <f>SUMIFS(Positivação!S:S,Positivação!$I:$I,Faturamento!$J1353,Positivação!$G:$G,Faturamento!$H1353)*SUMIFS(Positivação!$Z:$Z,Positivação!$I:$I,Faturamento!$J1353,Positivação!$G:$G,Faturamento!$H1353)</f>
        <v>3000</v>
      </c>
      <c r="V1353" s="28">
        <f>SUMIFS(Positivação!T:T,Positivação!$I:$I,Faturamento!$J1353,Positivação!$G:$G,Faturamento!$H1353)*SUMIFS(Positivação!$Z:$Z,Positivação!$I:$I,Faturamento!$J1353,Positivação!$G:$G,Faturamento!$H1353)</f>
        <v>3000</v>
      </c>
      <c r="W1353" s="28">
        <f>SUMIFS(Positivação!U:U,Positivação!$I:$I,Faturamento!$J1353,Positivação!$G:$G,Faturamento!$H1353)*SUMIFS(Positivação!$Z:$Z,Positivação!$I:$I,Faturamento!$J1353,Positivação!$G:$G,Faturamento!$H1353)</f>
        <v>3600</v>
      </c>
      <c r="X1353" s="28">
        <f>SUMIFS(Positivação!V:V,Positivação!$I:$I,Faturamento!$J1353,Positivação!$G:$G,Faturamento!$H1353)*SUMIFS(Positivação!$Z:$Z,Positivação!$I:$I,Faturamento!$J1353,Positivação!$G:$G,Faturamento!$H1353)</f>
        <v>3600</v>
      </c>
      <c r="Y1353" s="28">
        <f>SUMIFS(Positivação!W:W,Positivação!$I:$I,Faturamento!$J1353,Positivação!$G:$G,Faturamento!$H1353)*SUMIFS(Positivação!$Z:$Z,Positivação!$I:$I,Faturamento!$J1353,Positivação!$G:$G,Faturamento!$H1353)</f>
        <v>3600</v>
      </c>
      <c r="Z1353" s="28">
        <f t="shared" ref="Z1353" si="324">SUM(Z1354:Z1371)</f>
        <v>35400</v>
      </c>
      <c r="AA1353" s="29"/>
      <c r="AB1353" s="28">
        <f t="shared" ref="AB1353:AE1353" si="325">SUM(AB1354:AB1371)</f>
        <v>1227.9508333333333</v>
      </c>
      <c r="AC1353" s="28">
        <f t="shared" si="325"/>
        <v>1521.9266666666667</v>
      </c>
      <c r="AD1353" s="28">
        <f t="shared" si="325"/>
        <v>1050.8066666666668</v>
      </c>
      <c r="AE1353" s="28">
        <f t="shared" si="325"/>
        <v>1513.1119999999999</v>
      </c>
      <c r="AG1353" s="24">
        <f t="shared" si="317"/>
        <v>0.6589025462962963</v>
      </c>
      <c r="AH1353" s="24">
        <f t="shared" si="318"/>
        <v>0.57724259259259258</v>
      </c>
      <c r="AI1353" s="24">
        <f t="shared" si="319"/>
        <v>0.70810925925925916</v>
      </c>
    </row>
    <row r="1354" spans="1:35" hidden="1" x14ac:dyDescent="0.3">
      <c r="A1354" s="2" t="str">
        <f t="shared" si="316"/>
        <v>NÃO</v>
      </c>
      <c r="B1354" s="2">
        <v>1000184670</v>
      </c>
      <c r="C1354" s="2" t="s">
        <v>147</v>
      </c>
      <c r="D1354" s="4">
        <v>1000186197</v>
      </c>
      <c r="E1354" s="4" t="s">
        <v>166</v>
      </c>
      <c r="F1354" s="2">
        <v>1000184762</v>
      </c>
      <c r="G1354" s="2" t="s">
        <v>58</v>
      </c>
      <c r="H1354" s="4">
        <v>1000189816</v>
      </c>
      <c r="I1354" s="4" t="s">
        <v>113</v>
      </c>
      <c r="J1354" s="2">
        <v>1000189270</v>
      </c>
      <c r="K1354" s="2" t="s">
        <v>34</v>
      </c>
      <c r="L1354" s="4" t="s">
        <v>13</v>
      </c>
      <c r="M1354" s="4" t="str">
        <f t="shared" si="323"/>
        <v>1000184670100018619710001898161000189270BISCOITO</v>
      </c>
      <c r="N1354" s="28">
        <f>N1353*_xlfn.XLOOKUP($L1354,'Balizador da Meta'!$B$4:$B$21,'Balizador da Meta'!$C$4:$C$21)</f>
        <v>168.00000000000003</v>
      </c>
      <c r="O1354" s="28">
        <f>O1353*_xlfn.XLOOKUP($L1354,'Balizador da Meta'!$B$4:$B$21,'Balizador da Meta'!$C$4:$C$21)</f>
        <v>168.00000000000003</v>
      </c>
      <c r="P1354" s="28">
        <f>P1353*_xlfn.XLOOKUP($L1354,'Balizador da Meta'!$B$4:$B$21,'Balizador da Meta'!$C$4:$C$21)</f>
        <v>168.00000000000003</v>
      </c>
      <c r="Q1354" s="28">
        <f>Q1353*_xlfn.XLOOKUP($L1354,'Balizador da Meta'!$B$4:$B$21,'Balizador da Meta'!$C$4:$C$21)</f>
        <v>168.00000000000003</v>
      </c>
      <c r="R1354" s="28">
        <f>R1353*_xlfn.XLOOKUP($L1354,'Balizador da Meta'!$B$4:$B$21,'Balizador da Meta'!$C$4:$C$21)</f>
        <v>210.00000000000003</v>
      </c>
      <c r="S1354" s="28">
        <f>S1353*_xlfn.XLOOKUP($L1354,'Balizador da Meta'!$B$4:$B$21,'Balizador da Meta'!$C$4:$C$21)</f>
        <v>210.00000000000003</v>
      </c>
      <c r="T1354" s="28">
        <f>T1353*_xlfn.XLOOKUP($L1354,'Balizador da Meta'!$B$4:$B$21,'Balizador da Meta'!$C$4:$C$21)</f>
        <v>210.00000000000003</v>
      </c>
      <c r="U1354" s="28">
        <f>U1353*_xlfn.XLOOKUP($L1354,'Balizador da Meta'!$B$4:$B$21,'Balizador da Meta'!$C$4:$C$21)</f>
        <v>210.00000000000003</v>
      </c>
      <c r="V1354" s="28">
        <f>V1353*_xlfn.XLOOKUP($L1354,'Balizador da Meta'!$B$4:$B$21,'Balizador da Meta'!$C$4:$C$21)</f>
        <v>210.00000000000003</v>
      </c>
      <c r="W1354" s="28">
        <f>W1353*_xlfn.XLOOKUP($L1354,'Balizador da Meta'!$B$4:$B$21,'Balizador da Meta'!$C$4:$C$21)</f>
        <v>252.00000000000003</v>
      </c>
      <c r="X1354" s="28">
        <f>X1353*_xlfn.XLOOKUP($L1354,'Balizador da Meta'!$B$4:$B$21,'Balizador da Meta'!$C$4:$C$21)</f>
        <v>252.00000000000003</v>
      </c>
      <c r="Y1354" s="28">
        <f>Y1353*_xlfn.XLOOKUP($L1354,'Balizador da Meta'!$B$4:$B$21,'Balizador da Meta'!$C$4:$C$21)</f>
        <v>252.00000000000003</v>
      </c>
      <c r="Z1354" s="30">
        <f t="shared" ref="Z1354:Z1371" si="326">SUM(N1354:Y1354)</f>
        <v>2478.0000000000005</v>
      </c>
      <c r="AA1354" s="29"/>
      <c r="AB1354" s="31">
        <f>SUMIFS('Historico - FAT'!AK:AK,'Historico - FAT'!$K:$K,Faturamento!$L1354,'Historico - FAT'!$I:$I,Faturamento!$J1354,'Historico - FAT'!$G:$G,Faturamento!$H1354)</f>
        <v>11.601666666666667</v>
      </c>
      <c r="AC1354" s="31">
        <f>SUMIFS('Historico - FAT'!AL:AL,'Historico - FAT'!$K:$K,Faturamento!$L1354,'Historico - FAT'!$I:$I,Faturamento!$J1354,'Historico - FAT'!$G:$G,Faturamento!$H1354)</f>
        <v>0</v>
      </c>
      <c r="AD1354" s="31">
        <f>SUMIFS('Historico - FAT'!AM:AM,'Historico - FAT'!$K:$K,Faturamento!$L1354,'Historico - FAT'!$I:$I,Faturamento!$J1354,'Historico - FAT'!$G:$G,Faturamento!$H1354)</f>
        <v>0</v>
      </c>
      <c r="AE1354" s="27">
        <f>SUMIFS('Historico - FAT'!AN:AN,'Historico - FAT'!$K:$K,Faturamento!$L1354,'Historico - FAT'!$I:$I,Faturamento!$J1354,'Historico - FAT'!$G:$G,Faturamento!$H1354)</f>
        <v>0</v>
      </c>
      <c r="AG1354" s="24">
        <f t="shared" si="317"/>
        <v>0.9539616402116402</v>
      </c>
      <c r="AH1354" s="24">
        <f t="shared" si="318"/>
        <v>1</v>
      </c>
      <c r="AI1354" s="24">
        <f t="shared" si="319"/>
        <v>1</v>
      </c>
    </row>
    <row r="1355" spans="1:35" hidden="1" x14ac:dyDescent="0.3">
      <c r="A1355" s="2" t="str">
        <f t="shared" si="316"/>
        <v>NÃO</v>
      </c>
      <c r="B1355" s="2">
        <v>1000184670</v>
      </c>
      <c r="C1355" s="2" t="s">
        <v>147</v>
      </c>
      <c r="D1355" s="4">
        <v>1000186197</v>
      </c>
      <c r="E1355" s="4" t="s">
        <v>166</v>
      </c>
      <c r="F1355" s="2">
        <v>1000184762</v>
      </c>
      <c r="G1355" s="2" t="s">
        <v>58</v>
      </c>
      <c r="H1355" s="4">
        <v>1000189816</v>
      </c>
      <c r="I1355" s="4" t="s">
        <v>113</v>
      </c>
      <c r="J1355" s="2">
        <v>1000189270</v>
      </c>
      <c r="K1355" s="2" t="s">
        <v>34</v>
      </c>
      <c r="L1355" s="4" t="s">
        <v>14</v>
      </c>
      <c r="M1355" s="4" t="str">
        <f t="shared" si="323"/>
        <v>1000184670100018619710001898161000189270CHOCOLATES</v>
      </c>
      <c r="N1355" s="28">
        <f>N1353*_xlfn.XLOOKUP($L1355,'Balizador da Meta'!$B$4:$B$21,'Balizador da Meta'!$C$4:$C$21)</f>
        <v>168.00000000000003</v>
      </c>
      <c r="O1355" s="28">
        <f>O1353*_xlfn.XLOOKUP($L1355,'Balizador da Meta'!$B$4:$B$21,'Balizador da Meta'!$C$4:$C$21)</f>
        <v>168.00000000000003</v>
      </c>
      <c r="P1355" s="28">
        <f>P1353*_xlfn.XLOOKUP($L1355,'Balizador da Meta'!$B$4:$B$21,'Balizador da Meta'!$C$4:$C$21)</f>
        <v>168.00000000000003</v>
      </c>
      <c r="Q1355" s="28">
        <f>Q1353*_xlfn.XLOOKUP($L1355,'Balizador da Meta'!$B$4:$B$21,'Balizador da Meta'!$C$4:$C$21)</f>
        <v>168.00000000000003</v>
      </c>
      <c r="R1355" s="28">
        <f>R1353*_xlfn.XLOOKUP($L1355,'Balizador da Meta'!$B$4:$B$21,'Balizador da Meta'!$C$4:$C$21)</f>
        <v>210.00000000000003</v>
      </c>
      <c r="S1355" s="28">
        <f>S1353*_xlfn.XLOOKUP($L1355,'Balizador da Meta'!$B$4:$B$21,'Balizador da Meta'!$C$4:$C$21)</f>
        <v>210.00000000000003</v>
      </c>
      <c r="T1355" s="28">
        <f>T1353*_xlfn.XLOOKUP($L1355,'Balizador da Meta'!$B$4:$B$21,'Balizador da Meta'!$C$4:$C$21)</f>
        <v>210.00000000000003</v>
      </c>
      <c r="U1355" s="28">
        <f>U1353*_xlfn.XLOOKUP($L1355,'Balizador da Meta'!$B$4:$B$21,'Balizador da Meta'!$C$4:$C$21)</f>
        <v>210.00000000000003</v>
      </c>
      <c r="V1355" s="28">
        <f>V1353*_xlfn.XLOOKUP($L1355,'Balizador da Meta'!$B$4:$B$21,'Balizador da Meta'!$C$4:$C$21)</f>
        <v>210.00000000000003</v>
      </c>
      <c r="W1355" s="28">
        <f>W1353*_xlfn.XLOOKUP($L1355,'Balizador da Meta'!$B$4:$B$21,'Balizador da Meta'!$C$4:$C$21)</f>
        <v>252.00000000000003</v>
      </c>
      <c r="X1355" s="28">
        <f>X1353*_xlfn.XLOOKUP($L1355,'Balizador da Meta'!$B$4:$B$21,'Balizador da Meta'!$C$4:$C$21)</f>
        <v>252.00000000000003</v>
      </c>
      <c r="Y1355" s="28">
        <f>Y1353*_xlfn.XLOOKUP($L1355,'Balizador da Meta'!$B$4:$B$21,'Balizador da Meta'!$C$4:$C$21)</f>
        <v>252.00000000000003</v>
      </c>
      <c r="Z1355" s="30">
        <f t="shared" si="326"/>
        <v>2478.0000000000005</v>
      </c>
      <c r="AA1355" s="29"/>
      <c r="AB1355" s="31">
        <f>SUMIFS('Historico - FAT'!AK:AK,'Historico - FAT'!$K:$K,Faturamento!$L1355,'Historico - FAT'!$I:$I,Faturamento!$J1355,'Historico - FAT'!$G:$G,Faturamento!$H1355)</f>
        <v>39.15</v>
      </c>
      <c r="AC1355" s="31">
        <f>SUMIFS('Historico - FAT'!AL:AL,'Historico - FAT'!$K:$K,Faturamento!$L1355,'Historico - FAT'!$I:$I,Faturamento!$J1355,'Historico - FAT'!$G:$G,Faturamento!$H1355)</f>
        <v>39.15</v>
      </c>
      <c r="AD1355" s="31">
        <f>SUMIFS('Historico - FAT'!AM:AM,'Historico - FAT'!$K:$K,Faturamento!$L1355,'Historico - FAT'!$I:$I,Faturamento!$J1355,'Historico - FAT'!$G:$G,Faturamento!$H1355)</f>
        <v>0</v>
      </c>
      <c r="AE1355" s="27">
        <f>SUMIFS('Historico - FAT'!AN:AN,'Historico - FAT'!$K:$K,Faturamento!$L1355,'Historico - FAT'!$I:$I,Faturamento!$J1355,'Historico - FAT'!$G:$G,Faturamento!$H1355)</f>
        <v>0</v>
      </c>
      <c r="AG1355" s="24">
        <f t="shared" si="317"/>
        <v>0.84464285714285714</v>
      </c>
      <c r="AH1355" s="24">
        <f t="shared" si="318"/>
        <v>0.84464285714285714</v>
      </c>
      <c r="AI1355" s="24">
        <f t="shared" si="319"/>
        <v>1</v>
      </c>
    </row>
    <row r="1356" spans="1:35" hidden="1" x14ac:dyDescent="0.3">
      <c r="A1356" s="2" t="str">
        <f t="shared" si="316"/>
        <v>NÃO</v>
      </c>
      <c r="B1356" s="2">
        <v>1000184670</v>
      </c>
      <c r="C1356" s="2" t="s">
        <v>147</v>
      </c>
      <c r="D1356" s="4">
        <v>1000186197</v>
      </c>
      <c r="E1356" s="4" t="s">
        <v>166</v>
      </c>
      <c r="F1356" s="2">
        <v>1000184762</v>
      </c>
      <c r="G1356" s="2" t="s">
        <v>58</v>
      </c>
      <c r="H1356" s="4">
        <v>1000189816</v>
      </c>
      <c r="I1356" s="4" t="s">
        <v>113</v>
      </c>
      <c r="J1356" s="2">
        <v>1000189270</v>
      </c>
      <c r="K1356" s="2" t="s">
        <v>34</v>
      </c>
      <c r="L1356" s="4" t="s">
        <v>16</v>
      </c>
      <c r="M1356" s="4" t="str">
        <f t="shared" si="323"/>
        <v>1000184670100018619710001898161000189270DISNEY</v>
      </c>
      <c r="N1356" s="28">
        <f>N1353*_xlfn.XLOOKUP($L1356,'Balizador da Meta'!$B$4:$B$21,'Balizador da Meta'!$C$4:$C$21)</f>
        <v>192</v>
      </c>
      <c r="O1356" s="28">
        <f>O1353*_xlfn.XLOOKUP($L1356,'Balizador da Meta'!$B$4:$B$21,'Balizador da Meta'!$C$4:$C$21)</f>
        <v>192</v>
      </c>
      <c r="P1356" s="28">
        <f>P1353*_xlfn.XLOOKUP($L1356,'Balizador da Meta'!$B$4:$B$21,'Balizador da Meta'!$C$4:$C$21)</f>
        <v>192</v>
      </c>
      <c r="Q1356" s="28">
        <f>Q1353*_xlfn.XLOOKUP($L1356,'Balizador da Meta'!$B$4:$B$21,'Balizador da Meta'!$C$4:$C$21)</f>
        <v>192</v>
      </c>
      <c r="R1356" s="28">
        <f>R1353*_xlfn.XLOOKUP($L1356,'Balizador da Meta'!$B$4:$B$21,'Balizador da Meta'!$C$4:$C$21)</f>
        <v>240</v>
      </c>
      <c r="S1356" s="28">
        <f>S1353*_xlfn.XLOOKUP($L1356,'Balizador da Meta'!$B$4:$B$21,'Balizador da Meta'!$C$4:$C$21)</f>
        <v>240</v>
      </c>
      <c r="T1356" s="28">
        <f>T1353*_xlfn.XLOOKUP($L1356,'Balizador da Meta'!$B$4:$B$21,'Balizador da Meta'!$C$4:$C$21)</f>
        <v>240</v>
      </c>
      <c r="U1356" s="28">
        <f>U1353*_xlfn.XLOOKUP($L1356,'Balizador da Meta'!$B$4:$B$21,'Balizador da Meta'!$C$4:$C$21)</f>
        <v>240</v>
      </c>
      <c r="V1356" s="28">
        <f>V1353*_xlfn.XLOOKUP($L1356,'Balizador da Meta'!$B$4:$B$21,'Balizador da Meta'!$C$4:$C$21)</f>
        <v>240</v>
      </c>
      <c r="W1356" s="28">
        <f>W1353*_xlfn.XLOOKUP($L1356,'Balizador da Meta'!$B$4:$B$21,'Balizador da Meta'!$C$4:$C$21)</f>
        <v>288</v>
      </c>
      <c r="X1356" s="28">
        <f>X1353*_xlfn.XLOOKUP($L1356,'Balizador da Meta'!$B$4:$B$21,'Balizador da Meta'!$C$4:$C$21)</f>
        <v>288</v>
      </c>
      <c r="Y1356" s="28">
        <f>Y1353*_xlfn.XLOOKUP($L1356,'Balizador da Meta'!$B$4:$B$21,'Balizador da Meta'!$C$4:$C$21)</f>
        <v>288</v>
      </c>
      <c r="Z1356" s="30">
        <f t="shared" si="326"/>
        <v>2832</v>
      </c>
      <c r="AA1356" s="29"/>
      <c r="AB1356" s="31">
        <f>SUMIFS('Historico - FAT'!AK:AK,'Historico - FAT'!$K:$K,Faturamento!$L1356,'Historico - FAT'!$I:$I,Faturamento!$J1356,'Historico - FAT'!$G:$G,Faturamento!$H1356)</f>
        <v>0</v>
      </c>
      <c r="AC1356" s="31">
        <f>SUMIFS('Historico - FAT'!AL:AL,'Historico - FAT'!$K:$K,Faturamento!$L1356,'Historico - FAT'!$I:$I,Faturamento!$J1356,'Historico - FAT'!$G:$G,Faturamento!$H1356)</f>
        <v>0</v>
      </c>
      <c r="AD1356" s="31">
        <f>SUMIFS('Historico - FAT'!AM:AM,'Historico - FAT'!$K:$K,Faturamento!$L1356,'Historico - FAT'!$I:$I,Faturamento!$J1356,'Historico - FAT'!$G:$G,Faturamento!$H1356)</f>
        <v>0</v>
      </c>
      <c r="AE1356" s="27">
        <f>SUMIFS('Historico - FAT'!AN:AN,'Historico - FAT'!$K:$K,Faturamento!$L1356,'Historico - FAT'!$I:$I,Faturamento!$J1356,'Historico - FAT'!$G:$G,Faturamento!$H1356)</f>
        <v>0</v>
      </c>
      <c r="AG1356" s="24">
        <f t="shared" si="317"/>
        <v>1</v>
      </c>
      <c r="AH1356" s="24">
        <f t="shared" si="318"/>
        <v>1</v>
      </c>
      <c r="AI1356" s="24">
        <f t="shared" si="319"/>
        <v>1</v>
      </c>
    </row>
    <row r="1357" spans="1:35" hidden="1" x14ac:dyDescent="0.3">
      <c r="A1357" s="2" t="str">
        <f t="shared" si="316"/>
        <v>NÃO</v>
      </c>
      <c r="B1357" s="2">
        <v>1000184670</v>
      </c>
      <c r="C1357" s="2" t="s">
        <v>147</v>
      </c>
      <c r="D1357" s="4">
        <v>1000186197</v>
      </c>
      <c r="E1357" s="4" t="s">
        <v>166</v>
      </c>
      <c r="F1357" s="2">
        <v>1000184762</v>
      </c>
      <c r="G1357" s="2" t="s">
        <v>58</v>
      </c>
      <c r="H1357" s="4">
        <v>1000189816</v>
      </c>
      <c r="I1357" s="4" t="s">
        <v>113</v>
      </c>
      <c r="J1357" s="2">
        <v>1000189270</v>
      </c>
      <c r="K1357" s="2" t="s">
        <v>34</v>
      </c>
      <c r="L1357" s="4" t="s">
        <v>15</v>
      </c>
      <c r="M1357" s="4" t="str">
        <f t="shared" si="323"/>
        <v>1000184670100018619710001898161000189270DOCES</v>
      </c>
      <c r="N1357" s="28">
        <f>N1353*_xlfn.XLOOKUP($L1357,'Balizador da Meta'!$B$4:$B$21,'Balizador da Meta'!$C$4:$C$21)</f>
        <v>216</v>
      </c>
      <c r="O1357" s="28">
        <f>O1353*_xlfn.XLOOKUP($L1357,'Balizador da Meta'!$B$4:$B$21,'Balizador da Meta'!$C$4:$C$21)</f>
        <v>216</v>
      </c>
      <c r="P1357" s="28">
        <f>P1353*_xlfn.XLOOKUP($L1357,'Balizador da Meta'!$B$4:$B$21,'Balizador da Meta'!$C$4:$C$21)</f>
        <v>216</v>
      </c>
      <c r="Q1357" s="28">
        <f>Q1353*_xlfn.XLOOKUP($L1357,'Balizador da Meta'!$B$4:$B$21,'Balizador da Meta'!$C$4:$C$21)</f>
        <v>216</v>
      </c>
      <c r="R1357" s="28">
        <f>R1353*_xlfn.XLOOKUP($L1357,'Balizador da Meta'!$B$4:$B$21,'Balizador da Meta'!$C$4:$C$21)</f>
        <v>270</v>
      </c>
      <c r="S1357" s="28">
        <f>S1353*_xlfn.XLOOKUP($L1357,'Balizador da Meta'!$B$4:$B$21,'Balizador da Meta'!$C$4:$C$21)</f>
        <v>270</v>
      </c>
      <c r="T1357" s="28">
        <f>T1353*_xlfn.XLOOKUP($L1357,'Balizador da Meta'!$B$4:$B$21,'Balizador da Meta'!$C$4:$C$21)</f>
        <v>270</v>
      </c>
      <c r="U1357" s="28">
        <f>U1353*_xlfn.XLOOKUP($L1357,'Balizador da Meta'!$B$4:$B$21,'Balizador da Meta'!$C$4:$C$21)</f>
        <v>270</v>
      </c>
      <c r="V1357" s="28">
        <f>V1353*_xlfn.XLOOKUP($L1357,'Balizador da Meta'!$B$4:$B$21,'Balizador da Meta'!$C$4:$C$21)</f>
        <v>270</v>
      </c>
      <c r="W1357" s="28">
        <f>W1353*_xlfn.XLOOKUP($L1357,'Balizador da Meta'!$B$4:$B$21,'Balizador da Meta'!$C$4:$C$21)</f>
        <v>324</v>
      </c>
      <c r="X1357" s="28">
        <f>X1353*_xlfn.XLOOKUP($L1357,'Balizador da Meta'!$B$4:$B$21,'Balizador da Meta'!$C$4:$C$21)</f>
        <v>324</v>
      </c>
      <c r="Y1357" s="28">
        <f>Y1353*_xlfn.XLOOKUP($L1357,'Balizador da Meta'!$B$4:$B$21,'Balizador da Meta'!$C$4:$C$21)</f>
        <v>324</v>
      </c>
      <c r="Z1357" s="30">
        <f t="shared" si="326"/>
        <v>3186</v>
      </c>
      <c r="AA1357" s="29"/>
      <c r="AB1357" s="31">
        <f>SUMIFS('Historico - FAT'!AK:AK,'Historico - FAT'!$K:$K,Faturamento!$L1357,'Historico - FAT'!$I:$I,Faturamento!$J1357,'Historico - FAT'!$G:$G,Faturamento!$H1357)</f>
        <v>260.7525</v>
      </c>
      <c r="AC1357" s="31">
        <f>SUMIFS('Historico - FAT'!AL:AL,'Historico - FAT'!$K:$K,Faturamento!$L1357,'Historico - FAT'!$I:$I,Faturamento!$J1357,'Historico - FAT'!$G:$G,Faturamento!$H1357)</f>
        <v>4.9874999999999998</v>
      </c>
      <c r="AD1357" s="31">
        <f>SUMIFS('Historico - FAT'!AM:AM,'Historico - FAT'!$K:$K,Faturamento!$L1357,'Historico - FAT'!$I:$I,Faturamento!$J1357,'Historico - FAT'!$G:$G,Faturamento!$H1357)</f>
        <v>0</v>
      </c>
      <c r="AE1357" s="27">
        <f>SUMIFS('Historico - FAT'!AN:AN,'Historico - FAT'!$K:$K,Faturamento!$L1357,'Historico - FAT'!$I:$I,Faturamento!$J1357,'Historico - FAT'!$G:$G,Faturamento!$H1357)</f>
        <v>5.9850000000000003</v>
      </c>
      <c r="AG1357" s="24">
        <f t="shared" si="317"/>
        <v>0.19520833333333334</v>
      </c>
      <c r="AH1357" s="24">
        <f t="shared" si="318"/>
        <v>0.98460648148148144</v>
      </c>
      <c r="AI1357" s="24">
        <f t="shared" si="319"/>
        <v>1</v>
      </c>
    </row>
    <row r="1358" spans="1:35" hidden="1" x14ac:dyDescent="0.3">
      <c r="A1358" s="2" t="str">
        <f t="shared" si="316"/>
        <v>NÃO</v>
      </c>
      <c r="B1358" s="2">
        <v>1000184670</v>
      </c>
      <c r="C1358" s="2" t="s">
        <v>147</v>
      </c>
      <c r="D1358" s="4">
        <v>1000186197</v>
      </c>
      <c r="E1358" s="4" t="s">
        <v>166</v>
      </c>
      <c r="F1358" s="2">
        <v>1000184762</v>
      </c>
      <c r="G1358" s="2" t="s">
        <v>58</v>
      </c>
      <c r="H1358" s="4">
        <v>1000189816</v>
      </c>
      <c r="I1358" s="4" t="s">
        <v>113</v>
      </c>
      <c r="J1358" s="2">
        <v>1000189270</v>
      </c>
      <c r="K1358" s="2" t="s">
        <v>34</v>
      </c>
      <c r="L1358" s="4" t="s">
        <v>33</v>
      </c>
      <c r="M1358" s="4" t="str">
        <f t="shared" si="323"/>
        <v>1000184670100018619710001898161000189270FOOD SERVICE</v>
      </c>
      <c r="N1358" s="28">
        <f>N1353*_xlfn.XLOOKUP($L1358,'Balizador da Meta'!$B$4:$B$21,'Balizador da Meta'!$C$4:$C$21)</f>
        <v>0</v>
      </c>
      <c r="O1358" s="28">
        <f>O1353*_xlfn.XLOOKUP($L1358,'Balizador da Meta'!$B$4:$B$21,'Balizador da Meta'!$C$4:$C$21)</f>
        <v>0</v>
      </c>
      <c r="P1358" s="28">
        <f>P1353*_xlfn.XLOOKUP($L1358,'Balizador da Meta'!$B$4:$B$21,'Balizador da Meta'!$C$4:$C$21)</f>
        <v>0</v>
      </c>
      <c r="Q1358" s="28">
        <f>Q1353*_xlfn.XLOOKUP($L1358,'Balizador da Meta'!$B$4:$B$21,'Balizador da Meta'!$C$4:$C$21)</f>
        <v>0</v>
      </c>
      <c r="R1358" s="28">
        <f>R1353*_xlfn.XLOOKUP($L1358,'Balizador da Meta'!$B$4:$B$21,'Balizador da Meta'!$C$4:$C$21)</f>
        <v>0</v>
      </c>
      <c r="S1358" s="28">
        <f>S1353*_xlfn.XLOOKUP($L1358,'Balizador da Meta'!$B$4:$B$21,'Balizador da Meta'!$C$4:$C$21)</f>
        <v>0</v>
      </c>
      <c r="T1358" s="28">
        <f>T1353*_xlfn.XLOOKUP($L1358,'Balizador da Meta'!$B$4:$B$21,'Balizador da Meta'!$C$4:$C$21)</f>
        <v>0</v>
      </c>
      <c r="U1358" s="28">
        <f>U1353*_xlfn.XLOOKUP($L1358,'Balizador da Meta'!$B$4:$B$21,'Balizador da Meta'!$C$4:$C$21)</f>
        <v>0</v>
      </c>
      <c r="V1358" s="28">
        <f>V1353*_xlfn.XLOOKUP($L1358,'Balizador da Meta'!$B$4:$B$21,'Balizador da Meta'!$C$4:$C$21)</f>
        <v>0</v>
      </c>
      <c r="W1358" s="28">
        <f>W1353*_xlfn.XLOOKUP($L1358,'Balizador da Meta'!$B$4:$B$21,'Balizador da Meta'!$C$4:$C$21)</f>
        <v>0</v>
      </c>
      <c r="X1358" s="28">
        <f>X1353*_xlfn.XLOOKUP($L1358,'Balizador da Meta'!$B$4:$B$21,'Balizador da Meta'!$C$4:$C$21)</f>
        <v>0</v>
      </c>
      <c r="Y1358" s="28">
        <f>Y1353*_xlfn.XLOOKUP($L1358,'Balizador da Meta'!$B$4:$B$21,'Balizador da Meta'!$C$4:$C$21)</f>
        <v>0</v>
      </c>
      <c r="Z1358" s="30">
        <f t="shared" si="326"/>
        <v>0</v>
      </c>
      <c r="AA1358" s="29"/>
      <c r="AB1358" s="31">
        <f>SUMIFS('Historico - FAT'!AK:AK,'Historico - FAT'!$K:$K,Faturamento!$L1358,'Historico - FAT'!$I:$I,Faturamento!$J1358,'Historico - FAT'!$G:$G,Faturamento!$H1358)</f>
        <v>0</v>
      </c>
      <c r="AC1358" s="31">
        <f>SUMIFS('Historico - FAT'!AL:AL,'Historico - FAT'!$K:$K,Faturamento!$L1358,'Historico - FAT'!$I:$I,Faturamento!$J1358,'Historico - FAT'!$G:$G,Faturamento!$H1358)</f>
        <v>0</v>
      </c>
      <c r="AD1358" s="31">
        <f>SUMIFS('Historico - FAT'!AM:AM,'Historico - FAT'!$K:$K,Faturamento!$L1358,'Historico - FAT'!$I:$I,Faturamento!$J1358,'Historico - FAT'!$G:$G,Faturamento!$H1358)</f>
        <v>0</v>
      </c>
      <c r="AE1358" s="27">
        <f>SUMIFS('Historico - FAT'!AN:AN,'Historico - FAT'!$K:$K,Faturamento!$L1358,'Historico - FAT'!$I:$I,Faturamento!$J1358,'Historico - FAT'!$G:$G,Faturamento!$H1358)</f>
        <v>0</v>
      </c>
      <c r="AG1358" s="24" t="str">
        <f t="shared" si="317"/>
        <v/>
      </c>
      <c r="AH1358" s="24" t="str">
        <f t="shared" si="318"/>
        <v/>
      </c>
      <c r="AI1358" s="24" t="str">
        <f t="shared" si="319"/>
        <v/>
      </c>
    </row>
    <row r="1359" spans="1:35" hidden="1" x14ac:dyDescent="0.3">
      <c r="A1359" s="2" t="str">
        <f t="shared" si="316"/>
        <v>NÃO</v>
      </c>
      <c r="B1359" s="2">
        <v>1000184670</v>
      </c>
      <c r="C1359" s="2" t="s">
        <v>147</v>
      </c>
      <c r="D1359" s="4">
        <v>1000186197</v>
      </c>
      <c r="E1359" s="4" t="s">
        <v>166</v>
      </c>
      <c r="F1359" s="2">
        <v>1000184762</v>
      </c>
      <c r="G1359" s="2" t="s">
        <v>58</v>
      </c>
      <c r="H1359" s="4">
        <v>1000189816</v>
      </c>
      <c r="I1359" s="4" t="s">
        <v>113</v>
      </c>
      <c r="J1359" s="2">
        <v>1000189270</v>
      </c>
      <c r="K1359" s="2" t="s">
        <v>34</v>
      </c>
      <c r="L1359" s="4" t="s">
        <v>19</v>
      </c>
      <c r="M1359" s="4" t="str">
        <f t="shared" si="323"/>
        <v>1000184670100018619710001898161000189270GELEIA</v>
      </c>
      <c r="N1359" s="28">
        <f>N1353*_xlfn.XLOOKUP($L1359,'Balizador da Meta'!$B$4:$B$21,'Balizador da Meta'!$C$4:$C$21)</f>
        <v>47.999999999999993</v>
      </c>
      <c r="O1359" s="28">
        <f>O1353*_xlfn.XLOOKUP($L1359,'Balizador da Meta'!$B$4:$B$21,'Balizador da Meta'!$C$4:$C$21)</f>
        <v>47.999999999999993</v>
      </c>
      <c r="P1359" s="28">
        <f>P1353*_xlfn.XLOOKUP($L1359,'Balizador da Meta'!$B$4:$B$21,'Balizador da Meta'!$C$4:$C$21)</f>
        <v>47.999999999999993</v>
      </c>
      <c r="Q1359" s="28">
        <f>Q1353*_xlfn.XLOOKUP($L1359,'Balizador da Meta'!$B$4:$B$21,'Balizador da Meta'!$C$4:$C$21)</f>
        <v>47.999999999999993</v>
      </c>
      <c r="R1359" s="28">
        <f>R1353*_xlfn.XLOOKUP($L1359,'Balizador da Meta'!$B$4:$B$21,'Balizador da Meta'!$C$4:$C$21)</f>
        <v>59.999999999999993</v>
      </c>
      <c r="S1359" s="28">
        <f>S1353*_xlfn.XLOOKUP($L1359,'Balizador da Meta'!$B$4:$B$21,'Balizador da Meta'!$C$4:$C$21)</f>
        <v>59.999999999999993</v>
      </c>
      <c r="T1359" s="28">
        <f>T1353*_xlfn.XLOOKUP($L1359,'Balizador da Meta'!$B$4:$B$21,'Balizador da Meta'!$C$4:$C$21)</f>
        <v>59.999999999999993</v>
      </c>
      <c r="U1359" s="28">
        <f>U1353*_xlfn.XLOOKUP($L1359,'Balizador da Meta'!$B$4:$B$21,'Balizador da Meta'!$C$4:$C$21)</f>
        <v>59.999999999999993</v>
      </c>
      <c r="V1359" s="28">
        <f>V1353*_xlfn.XLOOKUP($L1359,'Balizador da Meta'!$B$4:$B$21,'Balizador da Meta'!$C$4:$C$21)</f>
        <v>59.999999999999993</v>
      </c>
      <c r="W1359" s="28">
        <f>W1353*_xlfn.XLOOKUP($L1359,'Balizador da Meta'!$B$4:$B$21,'Balizador da Meta'!$C$4:$C$21)</f>
        <v>71.999999999999986</v>
      </c>
      <c r="X1359" s="28">
        <f>X1353*_xlfn.XLOOKUP($L1359,'Balizador da Meta'!$B$4:$B$21,'Balizador da Meta'!$C$4:$C$21)</f>
        <v>71.999999999999986</v>
      </c>
      <c r="Y1359" s="28">
        <f>Y1353*_xlfn.XLOOKUP($L1359,'Balizador da Meta'!$B$4:$B$21,'Balizador da Meta'!$C$4:$C$21)</f>
        <v>71.999999999999986</v>
      </c>
      <c r="Z1359" s="30">
        <f t="shared" si="326"/>
        <v>707.99999999999989</v>
      </c>
      <c r="AA1359" s="29"/>
      <c r="AB1359" s="31">
        <f>SUMIFS('Historico - FAT'!AK:AK,'Historico - FAT'!$K:$K,Faturamento!$L1359,'Historico - FAT'!$I:$I,Faturamento!$J1359,'Historico - FAT'!$G:$G,Faturamento!$H1359)</f>
        <v>0</v>
      </c>
      <c r="AC1359" s="31">
        <f>SUMIFS('Historico - FAT'!AL:AL,'Historico - FAT'!$K:$K,Faturamento!$L1359,'Historico - FAT'!$I:$I,Faturamento!$J1359,'Historico - FAT'!$G:$G,Faturamento!$H1359)</f>
        <v>0</v>
      </c>
      <c r="AD1359" s="31">
        <f>SUMIFS('Historico - FAT'!AM:AM,'Historico - FAT'!$K:$K,Faturamento!$L1359,'Historico - FAT'!$I:$I,Faturamento!$J1359,'Historico - FAT'!$G:$G,Faturamento!$H1359)</f>
        <v>0</v>
      </c>
      <c r="AE1359" s="27">
        <f>SUMIFS('Historico - FAT'!AN:AN,'Historico - FAT'!$K:$K,Faturamento!$L1359,'Historico - FAT'!$I:$I,Faturamento!$J1359,'Historico - FAT'!$G:$G,Faturamento!$H1359)</f>
        <v>0</v>
      </c>
      <c r="AG1359" s="24">
        <f t="shared" si="317"/>
        <v>1</v>
      </c>
      <c r="AH1359" s="24">
        <f t="shared" si="318"/>
        <v>1</v>
      </c>
      <c r="AI1359" s="24">
        <f t="shared" si="319"/>
        <v>1</v>
      </c>
    </row>
    <row r="1360" spans="1:35" hidden="1" x14ac:dyDescent="0.3">
      <c r="A1360" s="2" t="str">
        <f t="shared" si="316"/>
        <v>NÃO</v>
      </c>
      <c r="B1360" s="2">
        <v>1000184670</v>
      </c>
      <c r="C1360" s="2" t="s">
        <v>147</v>
      </c>
      <c r="D1360" s="4">
        <v>1000186197</v>
      </c>
      <c r="E1360" s="4" t="s">
        <v>166</v>
      </c>
      <c r="F1360" s="2">
        <v>1000184762</v>
      </c>
      <c r="G1360" s="2" t="s">
        <v>58</v>
      </c>
      <c r="H1360" s="4">
        <v>1000189816</v>
      </c>
      <c r="I1360" s="4" t="s">
        <v>113</v>
      </c>
      <c r="J1360" s="2">
        <v>1000189270</v>
      </c>
      <c r="K1360" s="2" t="s">
        <v>34</v>
      </c>
      <c r="L1360" s="4" t="s">
        <v>17</v>
      </c>
      <c r="M1360" s="4" t="str">
        <f t="shared" si="323"/>
        <v>1000184670100018619710001898161000189270GRANOLA</v>
      </c>
      <c r="N1360" s="28">
        <f>N1353*_xlfn.XLOOKUP($L1360,'Balizador da Meta'!$B$4:$B$21,'Balizador da Meta'!$C$4:$C$21)</f>
        <v>48</v>
      </c>
      <c r="O1360" s="28">
        <f>O1353*_xlfn.XLOOKUP($L1360,'Balizador da Meta'!$B$4:$B$21,'Balizador da Meta'!$C$4:$C$21)</f>
        <v>48</v>
      </c>
      <c r="P1360" s="28">
        <f>P1353*_xlfn.XLOOKUP($L1360,'Balizador da Meta'!$B$4:$B$21,'Balizador da Meta'!$C$4:$C$21)</f>
        <v>48</v>
      </c>
      <c r="Q1360" s="28">
        <f>Q1353*_xlfn.XLOOKUP($L1360,'Balizador da Meta'!$B$4:$B$21,'Balizador da Meta'!$C$4:$C$21)</f>
        <v>48</v>
      </c>
      <c r="R1360" s="28">
        <f>R1353*_xlfn.XLOOKUP($L1360,'Balizador da Meta'!$B$4:$B$21,'Balizador da Meta'!$C$4:$C$21)</f>
        <v>60</v>
      </c>
      <c r="S1360" s="28">
        <f>S1353*_xlfn.XLOOKUP($L1360,'Balizador da Meta'!$B$4:$B$21,'Balizador da Meta'!$C$4:$C$21)</f>
        <v>60</v>
      </c>
      <c r="T1360" s="28">
        <f>T1353*_xlfn.XLOOKUP($L1360,'Balizador da Meta'!$B$4:$B$21,'Balizador da Meta'!$C$4:$C$21)</f>
        <v>60</v>
      </c>
      <c r="U1360" s="28">
        <f>U1353*_xlfn.XLOOKUP($L1360,'Balizador da Meta'!$B$4:$B$21,'Balizador da Meta'!$C$4:$C$21)</f>
        <v>60</v>
      </c>
      <c r="V1360" s="28">
        <f>V1353*_xlfn.XLOOKUP($L1360,'Balizador da Meta'!$B$4:$B$21,'Balizador da Meta'!$C$4:$C$21)</f>
        <v>60</v>
      </c>
      <c r="W1360" s="28">
        <f>W1353*_xlfn.XLOOKUP($L1360,'Balizador da Meta'!$B$4:$B$21,'Balizador da Meta'!$C$4:$C$21)</f>
        <v>72</v>
      </c>
      <c r="X1360" s="28">
        <f>X1353*_xlfn.XLOOKUP($L1360,'Balizador da Meta'!$B$4:$B$21,'Balizador da Meta'!$C$4:$C$21)</f>
        <v>72</v>
      </c>
      <c r="Y1360" s="28">
        <f>Y1353*_xlfn.XLOOKUP($L1360,'Balizador da Meta'!$B$4:$B$21,'Balizador da Meta'!$C$4:$C$21)</f>
        <v>72</v>
      </c>
      <c r="Z1360" s="30">
        <f t="shared" si="326"/>
        <v>708</v>
      </c>
      <c r="AA1360" s="29"/>
      <c r="AB1360" s="31">
        <f>SUMIFS('Historico - FAT'!AK:AK,'Historico - FAT'!$K:$K,Faturamento!$L1360,'Historico - FAT'!$I:$I,Faturamento!$J1360,'Historico - FAT'!$G:$G,Faturamento!$H1360)</f>
        <v>15</v>
      </c>
      <c r="AC1360" s="31">
        <f>SUMIFS('Historico - FAT'!AL:AL,'Historico - FAT'!$K:$K,Faturamento!$L1360,'Historico - FAT'!$I:$I,Faturamento!$J1360,'Historico - FAT'!$G:$G,Faturamento!$H1360)</f>
        <v>0</v>
      </c>
      <c r="AD1360" s="31">
        <f>SUMIFS('Historico - FAT'!AM:AM,'Historico - FAT'!$K:$K,Faturamento!$L1360,'Historico - FAT'!$I:$I,Faturamento!$J1360,'Historico - FAT'!$G:$G,Faturamento!$H1360)</f>
        <v>0</v>
      </c>
      <c r="AE1360" s="27">
        <f>SUMIFS('Historico - FAT'!AN:AN,'Historico - FAT'!$K:$K,Faturamento!$L1360,'Historico - FAT'!$I:$I,Faturamento!$J1360,'Historico - FAT'!$G:$G,Faturamento!$H1360)</f>
        <v>0</v>
      </c>
      <c r="AG1360" s="24">
        <f t="shared" si="317"/>
        <v>0.79166666666666663</v>
      </c>
      <c r="AH1360" s="24">
        <f t="shared" si="318"/>
        <v>1</v>
      </c>
      <c r="AI1360" s="24">
        <f t="shared" si="319"/>
        <v>1</v>
      </c>
    </row>
    <row r="1361" spans="1:35" hidden="1" x14ac:dyDescent="0.3">
      <c r="A1361" s="2" t="str">
        <f t="shared" si="316"/>
        <v>NÃO</v>
      </c>
      <c r="B1361" s="2">
        <v>1000184670</v>
      </c>
      <c r="C1361" s="2" t="s">
        <v>147</v>
      </c>
      <c r="D1361" s="4">
        <v>1000186197</v>
      </c>
      <c r="E1361" s="4" t="s">
        <v>166</v>
      </c>
      <c r="F1361" s="2">
        <v>1000184762</v>
      </c>
      <c r="G1361" s="2" t="s">
        <v>58</v>
      </c>
      <c r="H1361" s="4">
        <v>1000189816</v>
      </c>
      <c r="I1361" s="4" t="s">
        <v>113</v>
      </c>
      <c r="J1361" s="2">
        <v>1000189270</v>
      </c>
      <c r="K1361" s="2" t="s">
        <v>34</v>
      </c>
      <c r="L1361" s="4" t="s">
        <v>24</v>
      </c>
      <c r="M1361" s="4" t="str">
        <f t="shared" si="323"/>
        <v>1000184670100018619710001898161000189270KIDS</v>
      </c>
      <c r="N1361" s="28">
        <f>N1353*_xlfn.XLOOKUP($L1361,'Balizador da Meta'!$B$4:$B$21,'Balizador da Meta'!$C$4:$C$21)</f>
        <v>0</v>
      </c>
      <c r="O1361" s="28">
        <f>O1353*_xlfn.XLOOKUP($L1361,'Balizador da Meta'!$B$4:$B$21,'Balizador da Meta'!$C$4:$C$21)</f>
        <v>0</v>
      </c>
      <c r="P1361" s="28">
        <f>P1353*_xlfn.XLOOKUP($L1361,'Balizador da Meta'!$B$4:$B$21,'Balizador da Meta'!$C$4:$C$21)</f>
        <v>0</v>
      </c>
      <c r="Q1361" s="28">
        <f>Q1353*_xlfn.XLOOKUP($L1361,'Balizador da Meta'!$B$4:$B$21,'Balizador da Meta'!$C$4:$C$21)</f>
        <v>0</v>
      </c>
      <c r="R1361" s="28">
        <f>R1353*_xlfn.XLOOKUP($L1361,'Balizador da Meta'!$B$4:$B$21,'Balizador da Meta'!$C$4:$C$21)</f>
        <v>0</v>
      </c>
      <c r="S1361" s="28">
        <f>S1353*_xlfn.XLOOKUP($L1361,'Balizador da Meta'!$B$4:$B$21,'Balizador da Meta'!$C$4:$C$21)</f>
        <v>0</v>
      </c>
      <c r="T1361" s="28">
        <f>T1353*_xlfn.XLOOKUP($L1361,'Balizador da Meta'!$B$4:$B$21,'Balizador da Meta'!$C$4:$C$21)</f>
        <v>0</v>
      </c>
      <c r="U1361" s="28">
        <f>U1353*_xlfn.XLOOKUP($L1361,'Balizador da Meta'!$B$4:$B$21,'Balizador da Meta'!$C$4:$C$21)</f>
        <v>0</v>
      </c>
      <c r="V1361" s="28">
        <f>V1353*_xlfn.XLOOKUP($L1361,'Balizador da Meta'!$B$4:$B$21,'Balizador da Meta'!$C$4:$C$21)</f>
        <v>0</v>
      </c>
      <c r="W1361" s="28">
        <f>W1353*_xlfn.XLOOKUP($L1361,'Balizador da Meta'!$B$4:$B$21,'Balizador da Meta'!$C$4:$C$21)</f>
        <v>0</v>
      </c>
      <c r="X1361" s="28">
        <f>X1353*_xlfn.XLOOKUP($L1361,'Balizador da Meta'!$B$4:$B$21,'Balizador da Meta'!$C$4:$C$21)</f>
        <v>0</v>
      </c>
      <c r="Y1361" s="28">
        <f>Y1353*_xlfn.XLOOKUP($L1361,'Balizador da Meta'!$B$4:$B$21,'Balizador da Meta'!$C$4:$C$21)</f>
        <v>0</v>
      </c>
      <c r="Z1361" s="30">
        <f t="shared" si="326"/>
        <v>0</v>
      </c>
      <c r="AA1361" s="29"/>
      <c r="AB1361" s="31">
        <f>SUMIFS('Historico - FAT'!AK:AK,'Historico - FAT'!$K:$K,Faturamento!$L1361,'Historico - FAT'!$I:$I,Faturamento!$J1361,'Historico - FAT'!$G:$G,Faturamento!$H1361)</f>
        <v>0</v>
      </c>
      <c r="AC1361" s="31">
        <f>SUMIFS('Historico - FAT'!AL:AL,'Historico - FAT'!$K:$K,Faturamento!$L1361,'Historico - FAT'!$I:$I,Faturamento!$J1361,'Historico - FAT'!$G:$G,Faturamento!$H1361)</f>
        <v>0</v>
      </c>
      <c r="AD1361" s="31">
        <f>SUMIFS('Historico - FAT'!AM:AM,'Historico - FAT'!$K:$K,Faturamento!$L1361,'Historico - FAT'!$I:$I,Faturamento!$J1361,'Historico - FAT'!$G:$G,Faturamento!$H1361)</f>
        <v>0</v>
      </c>
      <c r="AE1361" s="27">
        <f>SUMIFS('Historico - FAT'!AN:AN,'Historico - FAT'!$K:$K,Faturamento!$L1361,'Historico - FAT'!$I:$I,Faturamento!$J1361,'Historico - FAT'!$G:$G,Faturamento!$H1361)</f>
        <v>0</v>
      </c>
      <c r="AG1361" s="24" t="str">
        <f t="shared" si="317"/>
        <v/>
      </c>
      <c r="AH1361" s="24" t="str">
        <f t="shared" si="318"/>
        <v/>
      </c>
      <c r="AI1361" s="24" t="str">
        <f t="shared" si="319"/>
        <v/>
      </c>
    </row>
    <row r="1362" spans="1:35" hidden="1" x14ac:dyDescent="0.3">
      <c r="A1362" s="2" t="str">
        <f t="shared" si="316"/>
        <v>NÃO</v>
      </c>
      <c r="B1362" s="2">
        <v>1000184670</v>
      </c>
      <c r="C1362" s="2" t="s">
        <v>147</v>
      </c>
      <c r="D1362" s="4">
        <v>1000186197</v>
      </c>
      <c r="E1362" s="4" t="s">
        <v>166</v>
      </c>
      <c r="F1362" s="2">
        <v>1000184762</v>
      </c>
      <c r="G1362" s="2" t="s">
        <v>58</v>
      </c>
      <c r="H1362" s="4">
        <v>1000189816</v>
      </c>
      <c r="I1362" s="4" t="s">
        <v>113</v>
      </c>
      <c r="J1362" s="2">
        <v>1000189270</v>
      </c>
      <c r="K1362" s="2" t="s">
        <v>34</v>
      </c>
      <c r="L1362" s="4" t="s">
        <v>18</v>
      </c>
      <c r="M1362" s="4" t="str">
        <f t="shared" si="323"/>
        <v>1000184670100018619710001898161000189270LANCHES</v>
      </c>
      <c r="N1362" s="28">
        <f>N1353*_xlfn.XLOOKUP($L1362,'Balizador da Meta'!$B$4:$B$21,'Balizador da Meta'!$C$4:$C$21)</f>
        <v>24</v>
      </c>
      <c r="O1362" s="28">
        <f>O1353*_xlfn.XLOOKUP($L1362,'Balizador da Meta'!$B$4:$B$21,'Balizador da Meta'!$C$4:$C$21)</f>
        <v>24</v>
      </c>
      <c r="P1362" s="28">
        <f>P1353*_xlfn.XLOOKUP($L1362,'Balizador da Meta'!$B$4:$B$21,'Balizador da Meta'!$C$4:$C$21)</f>
        <v>24</v>
      </c>
      <c r="Q1362" s="28">
        <f>Q1353*_xlfn.XLOOKUP($L1362,'Balizador da Meta'!$B$4:$B$21,'Balizador da Meta'!$C$4:$C$21)</f>
        <v>24</v>
      </c>
      <c r="R1362" s="28">
        <f>R1353*_xlfn.XLOOKUP($L1362,'Balizador da Meta'!$B$4:$B$21,'Balizador da Meta'!$C$4:$C$21)</f>
        <v>30</v>
      </c>
      <c r="S1362" s="28">
        <f>S1353*_xlfn.XLOOKUP($L1362,'Balizador da Meta'!$B$4:$B$21,'Balizador da Meta'!$C$4:$C$21)</f>
        <v>30</v>
      </c>
      <c r="T1362" s="28">
        <f>T1353*_xlfn.XLOOKUP($L1362,'Balizador da Meta'!$B$4:$B$21,'Balizador da Meta'!$C$4:$C$21)</f>
        <v>30</v>
      </c>
      <c r="U1362" s="28">
        <f>U1353*_xlfn.XLOOKUP($L1362,'Balizador da Meta'!$B$4:$B$21,'Balizador da Meta'!$C$4:$C$21)</f>
        <v>30</v>
      </c>
      <c r="V1362" s="28">
        <f>V1353*_xlfn.XLOOKUP($L1362,'Balizador da Meta'!$B$4:$B$21,'Balizador da Meta'!$C$4:$C$21)</f>
        <v>30</v>
      </c>
      <c r="W1362" s="28">
        <f>W1353*_xlfn.XLOOKUP($L1362,'Balizador da Meta'!$B$4:$B$21,'Balizador da Meta'!$C$4:$C$21)</f>
        <v>36</v>
      </c>
      <c r="X1362" s="28">
        <f>X1353*_xlfn.XLOOKUP($L1362,'Balizador da Meta'!$B$4:$B$21,'Balizador da Meta'!$C$4:$C$21)</f>
        <v>36</v>
      </c>
      <c r="Y1362" s="28">
        <f>Y1353*_xlfn.XLOOKUP($L1362,'Balizador da Meta'!$B$4:$B$21,'Balizador da Meta'!$C$4:$C$21)</f>
        <v>36</v>
      </c>
      <c r="Z1362" s="30">
        <f t="shared" si="326"/>
        <v>354</v>
      </c>
      <c r="AA1362" s="29"/>
      <c r="AB1362" s="31">
        <f>SUMIFS('Historico - FAT'!AK:AK,'Historico - FAT'!$K:$K,Faturamento!$L1362,'Historico - FAT'!$I:$I,Faturamento!$J1362,'Historico - FAT'!$G:$G,Faturamento!$H1362)</f>
        <v>0</v>
      </c>
      <c r="AC1362" s="31">
        <f>SUMIFS('Historico - FAT'!AL:AL,'Historico - FAT'!$K:$K,Faturamento!$L1362,'Historico - FAT'!$I:$I,Faturamento!$J1362,'Historico - FAT'!$G:$G,Faturamento!$H1362)</f>
        <v>0</v>
      </c>
      <c r="AD1362" s="31">
        <f>SUMIFS('Historico - FAT'!AM:AM,'Historico - FAT'!$K:$K,Faturamento!$L1362,'Historico - FAT'!$I:$I,Faturamento!$J1362,'Historico - FAT'!$G:$G,Faturamento!$H1362)</f>
        <v>0</v>
      </c>
      <c r="AE1362" s="27">
        <f>SUMIFS('Historico - FAT'!AN:AN,'Historico - FAT'!$K:$K,Faturamento!$L1362,'Historico - FAT'!$I:$I,Faturamento!$J1362,'Historico - FAT'!$G:$G,Faturamento!$H1362)</f>
        <v>0</v>
      </c>
      <c r="AG1362" s="24">
        <f t="shared" si="317"/>
        <v>1</v>
      </c>
      <c r="AH1362" s="24">
        <f t="shared" si="318"/>
        <v>1</v>
      </c>
      <c r="AI1362" s="24">
        <f t="shared" si="319"/>
        <v>1</v>
      </c>
    </row>
    <row r="1363" spans="1:35" hidden="1" x14ac:dyDescent="0.3">
      <c r="A1363" s="2" t="str">
        <f t="shared" si="316"/>
        <v>NÃO</v>
      </c>
      <c r="B1363" s="2">
        <v>1000184670</v>
      </c>
      <c r="C1363" s="2" t="s">
        <v>147</v>
      </c>
      <c r="D1363" s="4">
        <v>1000186197</v>
      </c>
      <c r="E1363" s="4" t="s">
        <v>166</v>
      </c>
      <c r="F1363" s="2">
        <v>1000184762</v>
      </c>
      <c r="G1363" s="2" t="s">
        <v>58</v>
      </c>
      <c r="H1363" s="4">
        <v>1000189816</v>
      </c>
      <c r="I1363" s="4" t="s">
        <v>113</v>
      </c>
      <c r="J1363" s="2">
        <v>1000189270</v>
      </c>
      <c r="K1363" s="2" t="s">
        <v>34</v>
      </c>
      <c r="L1363" s="4" t="s">
        <v>29</v>
      </c>
      <c r="M1363" s="4" t="str">
        <f t="shared" si="323"/>
        <v>1000184670100018619710001898161000189270MAIS GRANEL</v>
      </c>
      <c r="N1363" s="28">
        <f>N1353*_xlfn.XLOOKUP($L1363,'Balizador da Meta'!$B$4:$B$21,'Balizador da Meta'!$C$4:$C$21)</f>
        <v>768</v>
      </c>
      <c r="O1363" s="28">
        <f>O1353*_xlfn.XLOOKUP($L1363,'Balizador da Meta'!$B$4:$B$21,'Balizador da Meta'!$C$4:$C$21)</f>
        <v>768</v>
      </c>
      <c r="P1363" s="28">
        <f>P1353*_xlfn.XLOOKUP($L1363,'Balizador da Meta'!$B$4:$B$21,'Balizador da Meta'!$C$4:$C$21)</f>
        <v>768</v>
      </c>
      <c r="Q1363" s="28">
        <f>Q1353*_xlfn.XLOOKUP($L1363,'Balizador da Meta'!$B$4:$B$21,'Balizador da Meta'!$C$4:$C$21)</f>
        <v>768</v>
      </c>
      <c r="R1363" s="28">
        <f>R1353*_xlfn.XLOOKUP($L1363,'Balizador da Meta'!$B$4:$B$21,'Balizador da Meta'!$C$4:$C$21)</f>
        <v>960</v>
      </c>
      <c r="S1363" s="28">
        <f>S1353*_xlfn.XLOOKUP($L1363,'Balizador da Meta'!$B$4:$B$21,'Balizador da Meta'!$C$4:$C$21)</f>
        <v>960</v>
      </c>
      <c r="T1363" s="28">
        <f>T1353*_xlfn.XLOOKUP($L1363,'Balizador da Meta'!$B$4:$B$21,'Balizador da Meta'!$C$4:$C$21)</f>
        <v>960</v>
      </c>
      <c r="U1363" s="28">
        <f>U1353*_xlfn.XLOOKUP($L1363,'Balizador da Meta'!$B$4:$B$21,'Balizador da Meta'!$C$4:$C$21)</f>
        <v>960</v>
      </c>
      <c r="V1363" s="28">
        <f>V1353*_xlfn.XLOOKUP($L1363,'Balizador da Meta'!$B$4:$B$21,'Balizador da Meta'!$C$4:$C$21)</f>
        <v>960</v>
      </c>
      <c r="W1363" s="28">
        <f>W1353*_xlfn.XLOOKUP($L1363,'Balizador da Meta'!$B$4:$B$21,'Balizador da Meta'!$C$4:$C$21)</f>
        <v>1152</v>
      </c>
      <c r="X1363" s="28">
        <f>X1353*_xlfn.XLOOKUP($L1363,'Balizador da Meta'!$B$4:$B$21,'Balizador da Meta'!$C$4:$C$21)</f>
        <v>1152</v>
      </c>
      <c r="Y1363" s="28">
        <f>Y1353*_xlfn.XLOOKUP($L1363,'Balizador da Meta'!$B$4:$B$21,'Balizador da Meta'!$C$4:$C$21)</f>
        <v>1152</v>
      </c>
      <c r="Z1363" s="30">
        <f t="shared" si="326"/>
        <v>11328</v>
      </c>
      <c r="AA1363" s="29"/>
      <c r="AB1363" s="31">
        <f>SUMIFS('Historico - FAT'!AK:AK,'Historico - FAT'!$K:$K,Faturamento!$L1363,'Historico - FAT'!$I:$I,Faturamento!$J1363,'Historico - FAT'!$G:$G,Faturamento!$H1363)</f>
        <v>0</v>
      </c>
      <c r="AC1363" s="31">
        <f>SUMIFS('Historico - FAT'!AL:AL,'Historico - FAT'!$K:$K,Faturamento!$L1363,'Historico - FAT'!$I:$I,Faturamento!$J1363,'Historico - FAT'!$G:$G,Faturamento!$H1363)</f>
        <v>140.33000000000001</v>
      </c>
      <c r="AD1363" s="31">
        <f>SUMIFS('Historico - FAT'!AM:AM,'Historico - FAT'!$K:$K,Faturamento!$L1363,'Historico - FAT'!$I:$I,Faturamento!$J1363,'Historico - FAT'!$G:$G,Faturamento!$H1363)</f>
        <v>190.66</v>
      </c>
      <c r="AE1363" s="27">
        <f>SUMIFS('Historico - FAT'!AN:AN,'Historico - FAT'!$K:$K,Faturamento!$L1363,'Historico - FAT'!$I:$I,Faturamento!$J1363,'Historico - FAT'!$G:$G,Faturamento!$H1363)</f>
        <v>168.39600000000002</v>
      </c>
      <c r="AG1363" s="24">
        <f t="shared" si="317"/>
        <v>1</v>
      </c>
      <c r="AH1363" s="24">
        <f t="shared" si="318"/>
        <v>0.8781857638888888</v>
      </c>
      <c r="AI1363" s="24">
        <f t="shared" si="319"/>
        <v>0.83449652777777783</v>
      </c>
    </row>
    <row r="1364" spans="1:35" hidden="1" x14ac:dyDescent="0.3">
      <c r="A1364" s="2" t="str">
        <f t="shared" si="316"/>
        <v>NÃO</v>
      </c>
      <c r="B1364" s="2">
        <v>1000184670</v>
      </c>
      <c r="C1364" s="2" t="s">
        <v>147</v>
      </c>
      <c r="D1364" s="4">
        <v>1000186197</v>
      </c>
      <c r="E1364" s="4" t="s">
        <v>166</v>
      </c>
      <c r="F1364" s="2">
        <v>1000184762</v>
      </c>
      <c r="G1364" s="2" t="s">
        <v>58</v>
      </c>
      <c r="H1364" s="4">
        <v>1000189816</v>
      </c>
      <c r="I1364" s="4" t="s">
        <v>113</v>
      </c>
      <c r="J1364" s="2">
        <v>1000189270</v>
      </c>
      <c r="K1364" s="2" t="s">
        <v>34</v>
      </c>
      <c r="L1364" s="4" t="s">
        <v>21</v>
      </c>
      <c r="M1364" s="4" t="str">
        <f t="shared" si="323"/>
        <v>1000184670100018619710001898161000189270NATURATTA</v>
      </c>
      <c r="N1364" s="28">
        <f>N1353*_xlfn.XLOOKUP($L1364,'Balizador da Meta'!$B$4:$B$21,'Balizador da Meta'!$C$4:$C$21)</f>
        <v>120</v>
      </c>
      <c r="O1364" s="28">
        <f>O1353*_xlfn.XLOOKUP($L1364,'Balizador da Meta'!$B$4:$B$21,'Balizador da Meta'!$C$4:$C$21)</f>
        <v>120</v>
      </c>
      <c r="P1364" s="28">
        <f>P1353*_xlfn.XLOOKUP($L1364,'Balizador da Meta'!$B$4:$B$21,'Balizador da Meta'!$C$4:$C$21)</f>
        <v>120</v>
      </c>
      <c r="Q1364" s="28">
        <f>Q1353*_xlfn.XLOOKUP($L1364,'Balizador da Meta'!$B$4:$B$21,'Balizador da Meta'!$C$4:$C$21)</f>
        <v>120</v>
      </c>
      <c r="R1364" s="28">
        <f>R1353*_xlfn.XLOOKUP($L1364,'Balizador da Meta'!$B$4:$B$21,'Balizador da Meta'!$C$4:$C$21)</f>
        <v>150</v>
      </c>
      <c r="S1364" s="28">
        <f>S1353*_xlfn.XLOOKUP($L1364,'Balizador da Meta'!$B$4:$B$21,'Balizador da Meta'!$C$4:$C$21)</f>
        <v>150</v>
      </c>
      <c r="T1364" s="28">
        <f>T1353*_xlfn.XLOOKUP($L1364,'Balizador da Meta'!$B$4:$B$21,'Balizador da Meta'!$C$4:$C$21)</f>
        <v>150</v>
      </c>
      <c r="U1364" s="28">
        <f>U1353*_xlfn.XLOOKUP($L1364,'Balizador da Meta'!$B$4:$B$21,'Balizador da Meta'!$C$4:$C$21)</f>
        <v>150</v>
      </c>
      <c r="V1364" s="28">
        <f>V1353*_xlfn.XLOOKUP($L1364,'Balizador da Meta'!$B$4:$B$21,'Balizador da Meta'!$C$4:$C$21)</f>
        <v>150</v>
      </c>
      <c r="W1364" s="28">
        <f>W1353*_xlfn.XLOOKUP($L1364,'Balizador da Meta'!$B$4:$B$21,'Balizador da Meta'!$C$4:$C$21)</f>
        <v>180</v>
      </c>
      <c r="X1364" s="28">
        <f>X1353*_xlfn.XLOOKUP($L1364,'Balizador da Meta'!$B$4:$B$21,'Balizador da Meta'!$C$4:$C$21)</f>
        <v>180</v>
      </c>
      <c r="Y1364" s="28">
        <f>Y1353*_xlfn.XLOOKUP($L1364,'Balizador da Meta'!$B$4:$B$21,'Balizador da Meta'!$C$4:$C$21)</f>
        <v>180</v>
      </c>
      <c r="Z1364" s="30">
        <f t="shared" si="326"/>
        <v>1770</v>
      </c>
      <c r="AA1364" s="29"/>
      <c r="AB1364" s="31">
        <f>SUMIFS('Historico - FAT'!AK:AK,'Historico - FAT'!$K:$K,Faturamento!$L1364,'Historico - FAT'!$I:$I,Faturamento!$J1364,'Historico - FAT'!$G:$G,Faturamento!$H1364)</f>
        <v>44.949999999999996</v>
      </c>
      <c r="AC1364" s="31">
        <f>SUMIFS('Historico - FAT'!AL:AL,'Historico - FAT'!$K:$K,Faturamento!$L1364,'Historico - FAT'!$I:$I,Faturamento!$J1364,'Historico - FAT'!$G:$G,Faturamento!$H1364)</f>
        <v>44.949999999999996</v>
      </c>
      <c r="AD1364" s="31">
        <f>SUMIFS('Historico - FAT'!AM:AM,'Historico - FAT'!$K:$K,Faturamento!$L1364,'Historico - FAT'!$I:$I,Faturamento!$J1364,'Historico - FAT'!$G:$G,Faturamento!$H1364)</f>
        <v>0</v>
      </c>
      <c r="AE1364" s="27">
        <f>SUMIFS('Historico - FAT'!AN:AN,'Historico - FAT'!$K:$K,Faturamento!$L1364,'Historico - FAT'!$I:$I,Faturamento!$J1364,'Historico - FAT'!$G:$G,Faturamento!$H1364)</f>
        <v>0</v>
      </c>
      <c r="AG1364" s="24">
        <f t="shared" si="317"/>
        <v>0.75027777777777782</v>
      </c>
      <c r="AH1364" s="24">
        <f t="shared" si="318"/>
        <v>0.75027777777777782</v>
      </c>
      <c r="AI1364" s="24">
        <f t="shared" si="319"/>
        <v>1</v>
      </c>
    </row>
    <row r="1365" spans="1:35" hidden="1" x14ac:dyDescent="0.3">
      <c r="A1365" s="2" t="str">
        <f t="shared" si="316"/>
        <v>NÃO</v>
      </c>
      <c r="B1365" s="2">
        <v>1000184670</v>
      </c>
      <c r="C1365" s="2" t="s">
        <v>147</v>
      </c>
      <c r="D1365" s="4">
        <v>1000186197</v>
      </c>
      <c r="E1365" s="4" t="s">
        <v>166</v>
      </c>
      <c r="F1365" s="2">
        <v>1000184762</v>
      </c>
      <c r="G1365" s="2" t="s">
        <v>58</v>
      </c>
      <c r="H1365" s="4">
        <v>1000189816</v>
      </c>
      <c r="I1365" s="4" t="s">
        <v>113</v>
      </c>
      <c r="J1365" s="2">
        <v>1000189270</v>
      </c>
      <c r="K1365" s="2" t="s">
        <v>34</v>
      </c>
      <c r="L1365" s="4" t="s">
        <v>20</v>
      </c>
      <c r="M1365" s="4" t="str">
        <f t="shared" si="323"/>
        <v>1000184670100018619710001898161000189270REEMBALADOS</v>
      </c>
      <c r="N1365" s="28">
        <f>N1353*_xlfn.XLOOKUP($L1365,'Balizador da Meta'!$B$4:$B$21,'Balizador da Meta'!$C$4:$C$21)</f>
        <v>96</v>
      </c>
      <c r="O1365" s="28">
        <f>O1353*_xlfn.XLOOKUP($L1365,'Balizador da Meta'!$B$4:$B$21,'Balizador da Meta'!$C$4:$C$21)</f>
        <v>96</v>
      </c>
      <c r="P1365" s="28">
        <f>P1353*_xlfn.XLOOKUP($L1365,'Balizador da Meta'!$B$4:$B$21,'Balizador da Meta'!$C$4:$C$21)</f>
        <v>96</v>
      </c>
      <c r="Q1365" s="28">
        <f>Q1353*_xlfn.XLOOKUP($L1365,'Balizador da Meta'!$B$4:$B$21,'Balizador da Meta'!$C$4:$C$21)</f>
        <v>96</v>
      </c>
      <c r="R1365" s="28">
        <f>R1353*_xlfn.XLOOKUP($L1365,'Balizador da Meta'!$B$4:$B$21,'Balizador da Meta'!$C$4:$C$21)</f>
        <v>120</v>
      </c>
      <c r="S1365" s="28">
        <f>S1353*_xlfn.XLOOKUP($L1365,'Balizador da Meta'!$B$4:$B$21,'Balizador da Meta'!$C$4:$C$21)</f>
        <v>120</v>
      </c>
      <c r="T1365" s="28">
        <f>T1353*_xlfn.XLOOKUP($L1365,'Balizador da Meta'!$B$4:$B$21,'Balizador da Meta'!$C$4:$C$21)</f>
        <v>120</v>
      </c>
      <c r="U1365" s="28">
        <f>U1353*_xlfn.XLOOKUP($L1365,'Balizador da Meta'!$B$4:$B$21,'Balizador da Meta'!$C$4:$C$21)</f>
        <v>120</v>
      </c>
      <c r="V1365" s="28">
        <f>V1353*_xlfn.XLOOKUP($L1365,'Balizador da Meta'!$B$4:$B$21,'Balizador da Meta'!$C$4:$C$21)</f>
        <v>120</v>
      </c>
      <c r="W1365" s="28">
        <f>W1353*_xlfn.XLOOKUP($L1365,'Balizador da Meta'!$B$4:$B$21,'Balizador da Meta'!$C$4:$C$21)</f>
        <v>144</v>
      </c>
      <c r="X1365" s="28">
        <f>X1353*_xlfn.XLOOKUP($L1365,'Balizador da Meta'!$B$4:$B$21,'Balizador da Meta'!$C$4:$C$21)</f>
        <v>144</v>
      </c>
      <c r="Y1365" s="28">
        <f>Y1353*_xlfn.XLOOKUP($L1365,'Balizador da Meta'!$B$4:$B$21,'Balizador da Meta'!$C$4:$C$21)</f>
        <v>144</v>
      </c>
      <c r="Z1365" s="30">
        <f t="shared" si="326"/>
        <v>1416</v>
      </c>
      <c r="AA1365" s="29"/>
      <c r="AB1365" s="31">
        <f>SUMIFS('Historico - FAT'!AK:AK,'Historico - FAT'!$K:$K,Faturamento!$L1365,'Historico - FAT'!$I:$I,Faturamento!$J1365,'Historico - FAT'!$G:$G,Faturamento!$H1365)</f>
        <v>118.05749999999999</v>
      </c>
      <c r="AC1365" s="31">
        <f>SUMIFS('Historico - FAT'!AL:AL,'Historico - FAT'!$K:$K,Faturamento!$L1365,'Historico - FAT'!$I:$I,Faturamento!$J1365,'Historico - FAT'!$G:$G,Faturamento!$H1365)</f>
        <v>24.016666666666666</v>
      </c>
      <c r="AD1365" s="31">
        <f>SUMIFS('Historico - FAT'!AM:AM,'Historico - FAT'!$K:$K,Faturamento!$L1365,'Historico - FAT'!$I:$I,Faturamento!$J1365,'Historico - FAT'!$G:$G,Faturamento!$H1365)</f>
        <v>22.72</v>
      </c>
      <c r="AE1365" s="27">
        <f>SUMIFS('Historico - FAT'!AN:AN,'Historico - FAT'!$K:$K,Faturamento!$L1365,'Historico - FAT'!$I:$I,Faturamento!$J1365,'Historico - FAT'!$G:$G,Faturamento!$H1365)</f>
        <v>28.82</v>
      </c>
      <c r="AG1365" s="24">
        <f t="shared" si="317"/>
        <v>0.18015625000000007</v>
      </c>
      <c r="AH1365" s="24">
        <f t="shared" si="318"/>
        <v>0.83321759259259265</v>
      </c>
      <c r="AI1365" s="24">
        <f t="shared" si="319"/>
        <v>0.84222222222222221</v>
      </c>
    </row>
    <row r="1366" spans="1:35" hidden="1" x14ac:dyDescent="0.3">
      <c r="A1366" s="2" t="str">
        <f t="shared" si="316"/>
        <v>NÃO</v>
      </c>
      <c r="B1366" s="2">
        <v>1000184670</v>
      </c>
      <c r="C1366" s="2" t="s">
        <v>147</v>
      </c>
      <c r="D1366" s="4">
        <v>1000186197</v>
      </c>
      <c r="E1366" s="4" t="s">
        <v>166</v>
      </c>
      <c r="F1366" s="2">
        <v>1000184762</v>
      </c>
      <c r="G1366" s="2" t="s">
        <v>58</v>
      </c>
      <c r="H1366" s="4">
        <v>1000189816</v>
      </c>
      <c r="I1366" s="4" t="s">
        <v>113</v>
      </c>
      <c r="J1366" s="2">
        <v>1000189270</v>
      </c>
      <c r="K1366" s="2" t="s">
        <v>34</v>
      </c>
      <c r="L1366" s="4" t="s">
        <v>22</v>
      </c>
      <c r="M1366" s="4" t="str">
        <f t="shared" si="323"/>
        <v>1000184670100018619710001898161000189270S GLUTEN</v>
      </c>
      <c r="N1366" s="28">
        <f>N1353*_xlfn.XLOOKUP($L1366,'Balizador da Meta'!$B$4:$B$21,'Balizador da Meta'!$C$4:$C$21)</f>
        <v>96</v>
      </c>
      <c r="O1366" s="28">
        <f>O1353*_xlfn.XLOOKUP($L1366,'Balizador da Meta'!$B$4:$B$21,'Balizador da Meta'!$C$4:$C$21)</f>
        <v>96</v>
      </c>
      <c r="P1366" s="28">
        <f>P1353*_xlfn.XLOOKUP($L1366,'Balizador da Meta'!$B$4:$B$21,'Balizador da Meta'!$C$4:$C$21)</f>
        <v>96</v>
      </c>
      <c r="Q1366" s="28">
        <f>Q1353*_xlfn.XLOOKUP($L1366,'Balizador da Meta'!$B$4:$B$21,'Balizador da Meta'!$C$4:$C$21)</f>
        <v>96</v>
      </c>
      <c r="R1366" s="28">
        <f>R1353*_xlfn.XLOOKUP($L1366,'Balizador da Meta'!$B$4:$B$21,'Balizador da Meta'!$C$4:$C$21)</f>
        <v>120</v>
      </c>
      <c r="S1366" s="28">
        <f>S1353*_xlfn.XLOOKUP($L1366,'Balizador da Meta'!$B$4:$B$21,'Balizador da Meta'!$C$4:$C$21)</f>
        <v>120</v>
      </c>
      <c r="T1366" s="28">
        <f>T1353*_xlfn.XLOOKUP($L1366,'Balizador da Meta'!$B$4:$B$21,'Balizador da Meta'!$C$4:$C$21)</f>
        <v>120</v>
      </c>
      <c r="U1366" s="28">
        <f>U1353*_xlfn.XLOOKUP($L1366,'Balizador da Meta'!$B$4:$B$21,'Balizador da Meta'!$C$4:$C$21)</f>
        <v>120</v>
      </c>
      <c r="V1366" s="28">
        <f>V1353*_xlfn.XLOOKUP($L1366,'Balizador da Meta'!$B$4:$B$21,'Balizador da Meta'!$C$4:$C$21)</f>
        <v>120</v>
      </c>
      <c r="W1366" s="28">
        <f>W1353*_xlfn.XLOOKUP($L1366,'Balizador da Meta'!$B$4:$B$21,'Balizador da Meta'!$C$4:$C$21)</f>
        <v>144</v>
      </c>
      <c r="X1366" s="28">
        <f>X1353*_xlfn.XLOOKUP($L1366,'Balizador da Meta'!$B$4:$B$21,'Balizador da Meta'!$C$4:$C$21)</f>
        <v>144</v>
      </c>
      <c r="Y1366" s="28">
        <f>Y1353*_xlfn.XLOOKUP($L1366,'Balizador da Meta'!$B$4:$B$21,'Balizador da Meta'!$C$4:$C$21)</f>
        <v>144</v>
      </c>
      <c r="Z1366" s="30">
        <f t="shared" si="326"/>
        <v>1416</v>
      </c>
      <c r="AA1366" s="29"/>
      <c r="AB1366" s="31">
        <f>SUMIFS('Historico - FAT'!AK:AK,'Historico - FAT'!$K:$K,Faturamento!$L1366,'Historico - FAT'!$I:$I,Faturamento!$J1366,'Historico - FAT'!$G:$G,Faturamento!$H1366)</f>
        <v>10.125</v>
      </c>
      <c r="AC1366" s="31">
        <f>SUMIFS('Historico - FAT'!AL:AL,'Historico - FAT'!$K:$K,Faturamento!$L1366,'Historico - FAT'!$I:$I,Faturamento!$J1366,'Historico - FAT'!$G:$G,Faturamento!$H1366)</f>
        <v>43.977499999999999</v>
      </c>
      <c r="AD1366" s="31">
        <f>SUMIFS('Historico - FAT'!AM:AM,'Historico - FAT'!$K:$K,Faturamento!$L1366,'Historico - FAT'!$I:$I,Faturamento!$J1366,'Historico - FAT'!$G:$G,Faturamento!$H1366)</f>
        <v>47.093333333333334</v>
      </c>
      <c r="AE1366" s="27">
        <f>SUMIFS('Historico - FAT'!AN:AN,'Historico - FAT'!$K:$K,Faturamento!$L1366,'Historico - FAT'!$I:$I,Faturamento!$J1366,'Historico - FAT'!$G:$G,Faturamento!$H1366)</f>
        <v>52.773000000000003</v>
      </c>
      <c r="AG1366" s="24">
        <f t="shared" si="317"/>
        <v>0.9296875</v>
      </c>
      <c r="AH1366" s="24">
        <f t="shared" si="318"/>
        <v>0.6946006944444445</v>
      </c>
      <c r="AI1366" s="24">
        <f t="shared" si="319"/>
        <v>0.67296296296296299</v>
      </c>
    </row>
    <row r="1367" spans="1:35" hidden="1" x14ac:dyDescent="0.3">
      <c r="A1367" s="2" t="str">
        <f t="shared" si="316"/>
        <v>NÃO</v>
      </c>
      <c r="B1367" s="2">
        <v>1000184670</v>
      </c>
      <c r="C1367" s="2" t="s">
        <v>147</v>
      </c>
      <c r="D1367" s="4">
        <v>1000186197</v>
      </c>
      <c r="E1367" s="4" t="s">
        <v>166</v>
      </c>
      <c r="F1367" s="2">
        <v>1000184762</v>
      </c>
      <c r="G1367" s="2" t="s">
        <v>58</v>
      </c>
      <c r="H1367" s="4">
        <v>1000189816</v>
      </c>
      <c r="I1367" s="4" t="s">
        <v>113</v>
      </c>
      <c r="J1367" s="2">
        <v>1000189270</v>
      </c>
      <c r="K1367" s="2" t="s">
        <v>34</v>
      </c>
      <c r="L1367" s="4" t="s">
        <v>23</v>
      </c>
      <c r="M1367" s="4" t="str">
        <f t="shared" si="323"/>
        <v>1000184670100018619710001898161000189270SABORES DO CAMPO</v>
      </c>
      <c r="N1367" s="28">
        <f>N1353*_xlfn.XLOOKUP($L1367,'Balizador da Meta'!$B$4:$B$21,'Balizador da Meta'!$C$4:$C$21)</f>
        <v>0</v>
      </c>
      <c r="O1367" s="28">
        <f>O1353*_xlfn.XLOOKUP($L1367,'Balizador da Meta'!$B$4:$B$21,'Balizador da Meta'!$C$4:$C$21)</f>
        <v>0</v>
      </c>
      <c r="P1367" s="28">
        <f>P1353*_xlfn.XLOOKUP($L1367,'Balizador da Meta'!$B$4:$B$21,'Balizador da Meta'!$C$4:$C$21)</f>
        <v>0</v>
      </c>
      <c r="Q1367" s="28">
        <f>Q1353*_xlfn.XLOOKUP($L1367,'Balizador da Meta'!$B$4:$B$21,'Balizador da Meta'!$C$4:$C$21)</f>
        <v>0</v>
      </c>
      <c r="R1367" s="28">
        <f>R1353*_xlfn.XLOOKUP($L1367,'Balizador da Meta'!$B$4:$B$21,'Balizador da Meta'!$C$4:$C$21)</f>
        <v>0</v>
      </c>
      <c r="S1367" s="28">
        <f>S1353*_xlfn.XLOOKUP($L1367,'Balizador da Meta'!$B$4:$B$21,'Balizador da Meta'!$C$4:$C$21)</f>
        <v>0</v>
      </c>
      <c r="T1367" s="28">
        <f>T1353*_xlfn.XLOOKUP($L1367,'Balizador da Meta'!$B$4:$B$21,'Balizador da Meta'!$C$4:$C$21)</f>
        <v>0</v>
      </c>
      <c r="U1367" s="28">
        <f>U1353*_xlfn.XLOOKUP($L1367,'Balizador da Meta'!$B$4:$B$21,'Balizador da Meta'!$C$4:$C$21)</f>
        <v>0</v>
      </c>
      <c r="V1367" s="28">
        <f>V1353*_xlfn.XLOOKUP($L1367,'Balizador da Meta'!$B$4:$B$21,'Balizador da Meta'!$C$4:$C$21)</f>
        <v>0</v>
      </c>
      <c r="W1367" s="28">
        <f>W1353*_xlfn.XLOOKUP($L1367,'Balizador da Meta'!$B$4:$B$21,'Balizador da Meta'!$C$4:$C$21)</f>
        <v>0</v>
      </c>
      <c r="X1367" s="28">
        <f>X1353*_xlfn.XLOOKUP($L1367,'Balizador da Meta'!$B$4:$B$21,'Balizador da Meta'!$C$4:$C$21)</f>
        <v>0</v>
      </c>
      <c r="Y1367" s="28">
        <f>Y1353*_xlfn.XLOOKUP($L1367,'Balizador da Meta'!$B$4:$B$21,'Balizador da Meta'!$C$4:$C$21)</f>
        <v>0</v>
      </c>
      <c r="Z1367" s="30">
        <f t="shared" si="326"/>
        <v>0</v>
      </c>
      <c r="AA1367" s="29"/>
      <c r="AB1367" s="31">
        <f>SUMIFS('Historico - FAT'!AK:AK,'Historico - FAT'!$K:$K,Faturamento!$L1367,'Historico - FAT'!$I:$I,Faturamento!$J1367,'Historico - FAT'!$G:$G,Faturamento!$H1367)</f>
        <v>0</v>
      </c>
      <c r="AC1367" s="31">
        <f>SUMIFS('Historico - FAT'!AL:AL,'Historico - FAT'!$K:$K,Faturamento!$L1367,'Historico - FAT'!$I:$I,Faturamento!$J1367,'Historico - FAT'!$G:$G,Faturamento!$H1367)</f>
        <v>0</v>
      </c>
      <c r="AD1367" s="31">
        <f>SUMIFS('Historico - FAT'!AM:AM,'Historico - FAT'!$K:$K,Faturamento!$L1367,'Historico - FAT'!$I:$I,Faturamento!$J1367,'Historico - FAT'!$G:$G,Faturamento!$H1367)</f>
        <v>0</v>
      </c>
      <c r="AE1367" s="27">
        <f>SUMIFS('Historico - FAT'!AN:AN,'Historico - FAT'!$K:$K,Faturamento!$L1367,'Historico - FAT'!$I:$I,Faturamento!$J1367,'Historico - FAT'!$G:$G,Faturamento!$H1367)</f>
        <v>0</v>
      </c>
      <c r="AG1367" s="24" t="str">
        <f t="shared" si="317"/>
        <v/>
      </c>
      <c r="AH1367" s="24" t="str">
        <f t="shared" si="318"/>
        <v/>
      </c>
      <c r="AI1367" s="24" t="str">
        <f t="shared" si="319"/>
        <v/>
      </c>
    </row>
    <row r="1368" spans="1:35" hidden="1" x14ac:dyDescent="0.3">
      <c r="A1368" s="2" t="str">
        <f t="shared" si="316"/>
        <v>NÃO</v>
      </c>
      <c r="B1368" s="2">
        <v>1000184670</v>
      </c>
      <c r="C1368" s="2" t="s">
        <v>147</v>
      </c>
      <c r="D1368" s="4">
        <v>1000186197</v>
      </c>
      <c r="E1368" s="4" t="s">
        <v>166</v>
      </c>
      <c r="F1368" s="2">
        <v>1000184762</v>
      </c>
      <c r="G1368" s="2" t="s">
        <v>58</v>
      </c>
      <c r="H1368" s="4">
        <v>1000189816</v>
      </c>
      <c r="I1368" s="4" t="s">
        <v>113</v>
      </c>
      <c r="J1368" s="2">
        <v>1000189270</v>
      </c>
      <c r="K1368" s="2" t="s">
        <v>34</v>
      </c>
      <c r="L1368" s="4" t="s">
        <v>28</v>
      </c>
      <c r="M1368" s="4" t="str">
        <f t="shared" si="323"/>
        <v>1000184670100018619710001898161000189270SAL</v>
      </c>
      <c r="N1368" s="28">
        <f>N1353*_xlfn.XLOOKUP($L1368,'Balizador da Meta'!$B$4:$B$21,'Balizador da Meta'!$C$4:$C$21)</f>
        <v>48</v>
      </c>
      <c r="O1368" s="28">
        <f>O1353*_xlfn.XLOOKUP($L1368,'Balizador da Meta'!$B$4:$B$21,'Balizador da Meta'!$C$4:$C$21)</f>
        <v>48</v>
      </c>
      <c r="P1368" s="28">
        <f>P1353*_xlfn.XLOOKUP($L1368,'Balizador da Meta'!$B$4:$B$21,'Balizador da Meta'!$C$4:$C$21)</f>
        <v>48</v>
      </c>
      <c r="Q1368" s="28">
        <f>Q1353*_xlfn.XLOOKUP($L1368,'Balizador da Meta'!$B$4:$B$21,'Balizador da Meta'!$C$4:$C$21)</f>
        <v>48</v>
      </c>
      <c r="R1368" s="28">
        <f>R1353*_xlfn.XLOOKUP($L1368,'Balizador da Meta'!$B$4:$B$21,'Balizador da Meta'!$C$4:$C$21)</f>
        <v>60</v>
      </c>
      <c r="S1368" s="28">
        <f>S1353*_xlfn.XLOOKUP($L1368,'Balizador da Meta'!$B$4:$B$21,'Balizador da Meta'!$C$4:$C$21)</f>
        <v>60</v>
      </c>
      <c r="T1368" s="28">
        <f>T1353*_xlfn.XLOOKUP($L1368,'Balizador da Meta'!$B$4:$B$21,'Balizador da Meta'!$C$4:$C$21)</f>
        <v>60</v>
      </c>
      <c r="U1368" s="28">
        <f>U1353*_xlfn.XLOOKUP($L1368,'Balizador da Meta'!$B$4:$B$21,'Balizador da Meta'!$C$4:$C$21)</f>
        <v>60</v>
      </c>
      <c r="V1368" s="28">
        <f>V1353*_xlfn.XLOOKUP($L1368,'Balizador da Meta'!$B$4:$B$21,'Balizador da Meta'!$C$4:$C$21)</f>
        <v>60</v>
      </c>
      <c r="W1368" s="28">
        <f>W1353*_xlfn.XLOOKUP($L1368,'Balizador da Meta'!$B$4:$B$21,'Balizador da Meta'!$C$4:$C$21)</f>
        <v>72</v>
      </c>
      <c r="X1368" s="28">
        <f>X1353*_xlfn.XLOOKUP($L1368,'Balizador da Meta'!$B$4:$B$21,'Balizador da Meta'!$C$4:$C$21)</f>
        <v>72</v>
      </c>
      <c r="Y1368" s="28">
        <f>Y1353*_xlfn.XLOOKUP($L1368,'Balizador da Meta'!$B$4:$B$21,'Balizador da Meta'!$C$4:$C$21)</f>
        <v>72</v>
      </c>
      <c r="Z1368" s="30">
        <f t="shared" si="326"/>
        <v>708</v>
      </c>
      <c r="AA1368" s="29"/>
      <c r="AB1368" s="31">
        <f>SUMIFS('Historico - FAT'!AK:AK,'Historico - FAT'!$K:$K,Faturamento!$L1368,'Historico - FAT'!$I:$I,Faturamento!$J1368,'Historico - FAT'!$G:$G,Faturamento!$H1368)</f>
        <v>551.41416666666669</v>
      </c>
      <c r="AC1368" s="31">
        <f>SUMIFS('Historico - FAT'!AL:AL,'Historico - FAT'!$K:$K,Faturamento!$L1368,'Historico - FAT'!$I:$I,Faturamento!$J1368,'Historico - FAT'!$G:$G,Faturamento!$H1368)</f>
        <v>674.51666666666665</v>
      </c>
      <c r="AD1368" s="31">
        <f>SUMIFS('Historico - FAT'!AM:AM,'Historico - FAT'!$K:$K,Faturamento!$L1368,'Historico - FAT'!$I:$I,Faturamento!$J1368,'Historico - FAT'!$G:$G,Faturamento!$H1368)</f>
        <v>790.33333333333337</v>
      </c>
      <c r="AE1368" s="27">
        <f>SUMIFS('Historico - FAT'!AN:AN,'Historico - FAT'!$K:$K,Faturamento!$L1368,'Historico - FAT'!$I:$I,Faturamento!$J1368,'Historico - FAT'!$G:$G,Faturamento!$H1368)</f>
        <v>809.42</v>
      </c>
      <c r="AG1368" s="24">
        <f t="shared" si="317"/>
        <v>-6.658530092592593</v>
      </c>
      <c r="AH1368" s="24">
        <f t="shared" si="318"/>
        <v>-8.368287037037037</v>
      </c>
      <c r="AI1368" s="24">
        <f t="shared" si="319"/>
        <v>-9.976851851851853</v>
      </c>
    </row>
    <row r="1369" spans="1:35" hidden="1" x14ac:dyDescent="0.3">
      <c r="A1369" s="2" t="str">
        <f t="shared" si="316"/>
        <v>NÃO</v>
      </c>
      <c r="B1369" s="2">
        <v>1000184670</v>
      </c>
      <c r="C1369" s="2" t="s">
        <v>147</v>
      </c>
      <c r="D1369" s="4">
        <v>1000186197</v>
      </c>
      <c r="E1369" s="4" t="s">
        <v>166</v>
      </c>
      <c r="F1369" s="2">
        <v>1000184762</v>
      </c>
      <c r="G1369" s="2" t="s">
        <v>58</v>
      </c>
      <c r="H1369" s="4">
        <v>1000189816</v>
      </c>
      <c r="I1369" s="4" t="s">
        <v>113</v>
      </c>
      <c r="J1369" s="2">
        <v>1000189270</v>
      </c>
      <c r="K1369" s="2" t="s">
        <v>34</v>
      </c>
      <c r="L1369" s="4" t="s">
        <v>26</v>
      </c>
      <c r="M1369" s="4" t="str">
        <f t="shared" si="323"/>
        <v>1000184670100018619710001898161000189270SOULPRO</v>
      </c>
      <c r="N1369" s="28">
        <f>N1353*_xlfn.XLOOKUP($L1369,'Balizador da Meta'!$B$4:$B$21,'Balizador da Meta'!$C$4:$C$21)</f>
        <v>144</v>
      </c>
      <c r="O1369" s="28">
        <f>O1353*_xlfn.XLOOKUP($L1369,'Balizador da Meta'!$B$4:$B$21,'Balizador da Meta'!$C$4:$C$21)</f>
        <v>144</v>
      </c>
      <c r="P1369" s="28">
        <f>P1353*_xlfn.XLOOKUP($L1369,'Balizador da Meta'!$B$4:$B$21,'Balizador da Meta'!$C$4:$C$21)</f>
        <v>144</v>
      </c>
      <c r="Q1369" s="28">
        <f>Q1353*_xlfn.XLOOKUP($L1369,'Balizador da Meta'!$B$4:$B$21,'Balizador da Meta'!$C$4:$C$21)</f>
        <v>144</v>
      </c>
      <c r="R1369" s="28">
        <f>R1353*_xlfn.XLOOKUP($L1369,'Balizador da Meta'!$B$4:$B$21,'Balizador da Meta'!$C$4:$C$21)</f>
        <v>180</v>
      </c>
      <c r="S1369" s="28">
        <f>S1353*_xlfn.XLOOKUP($L1369,'Balizador da Meta'!$B$4:$B$21,'Balizador da Meta'!$C$4:$C$21)</f>
        <v>180</v>
      </c>
      <c r="T1369" s="28">
        <f>T1353*_xlfn.XLOOKUP($L1369,'Balizador da Meta'!$B$4:$B$21,'Balizador da Meta'!$C$4:$C$21)</f>
        <v>180</v>
      </c>
      <c r="U1369" s="28">
        <f>U1353*_xlfn.XLOOKUP($L1369,'Balizador da Meta'!$B$4:$B$21,'Balizador da Meta'!$C$4:$C$21)</f>
        <v>180</v>
      </c>
      <c r="V1369" s="28">
        <f>V1353*_xlfn.XLOOKUP($L1369,'Balizador da Meta'!$B$4:$B$21,'Balizador da Meta'!$C$4:$C$21)</f>
        <v>180</v>
      </c>
      <c r="W1369" s="28">
        <f>W1353*_xlfn.XLOOKUP($L1369,'Balizador da Meta'!$B$4:$B$21,'Balizador da Meta'!$C$4:$C$21)</f>
        <v>216</v>
      </c>
      <c r="X1369" s="28">
        <f>X1353*_xlfn.XLOOKUP($L1369,'Balizador da Meta'!$B$4:$B$21,'Balizador da Meta'!$C$4:$C$21)</f>
        <v>216</v>
      </c>
      <c r="Y1369" s="28">
        <f>Y1353*_xlfn.XLOOKUP($L1369,'Balizador da Meta'!$B$4:$B$21,'Balizador da Meta'!$C$4:$C$21)</f>
        <v>216</v>
      </c>
      <c r="Z1369" s="30">
        <f t="shared" si="326"/>
        <v>2124</v>
      </c>
      <c r="AA1369" s="29"/>
      <c r="AB1369" s="31">
        <f>SUMIFS('Historico - FAT'!AK:AK,'Historico - FAT'!$K:$K,Faturamento!$L1369,'Historico - FAT'!$I:$I,Faturamento!$J1369,'Historico - FAT'!$G:$G,Faturamento!$H1369)</f>
        <v>108.75</v>
      </c>
      <c r="AC1369" s="31">
        <f>SUMIFS('Historico - FAT'!AL:AL,'Historico - FAT'!$K:$K,Faturamento!$L1369,'Historico - FAT'!$I:$I,Faturamento!$J1369,'Historico - FAT'!$G:$G,Faturamento!$H1369)</f>
        <v>474.5</v>
      </c>
      <c r="AD1369" s="31">
        <f>SUMIFS('Historico - FAT'!AM:AM,'Historico - FAT'!$K:$K,Faturamento!$L1369,'Historico - FAT'!$I:$I,Faturamento!$J1369,'Historico - FAT'!$G:$G,Faturamento!$H1369)</f>
        <v>0</v>
      </c>
      <c r="AE1369" s="27">
        <f>SUMIFS('Historico - FAT'!AN:AN,'Historico - FAT'!$K:$K,Faturamento!$L1369,'Historico - FAT'!$I:$I,Faturamento!$J1369,'Historico - FAT'!$G:$G,Faturamento!$H1369)</f>
        <v>438.9</v>
      </c>
      <c r="AG1369" s="24">
        <f t="shared" si="317"/>
        <v>0.49652777777777779</v>
      </c>
      <c r="AH1369" s="24">
        <f t="shared" si="318"/>
        <v>-1.1967592592592593</v>
      </c>
      <c r="AI1369" s="24">
        <f t="shared" si="319"/>
        <v>1</v>
      </c>
    </row>
    <row r="1370" spans="1:35" hidden="1" x14ac:dyDescent="0.3">
      <c r="A1370" s="2" t="str">
        <f t="shared" si="316"/>
        <v>NÃO</v>
      </c>
      <c r="B1370" s="2">
        <v>1000184670</v>
      </c>
      <c r="C1370" s="2" t="s">
        <v>147</v>
      </c>
      <c r="D1370" s="4">
        <v>1000186197</v>
      </c>
      <c r="E1370" s="4" t="s">
        <v>166</v>
      </c>
      <c r="F1370" s="2">
        <v>1000184762</v>
      </c>
      <c r="G1370" s="2" t="s">
        <v>58</v>
      </c>
      <c r="H1370" s="4">
        <v>1000189816</v>
      </c>
      <c r="I1370" s="4" t="s">
        <v>113</v>
      </c>
      <c r="J1370" s="2">
        <v>1000189270</v>
      </c>
      <c r="K1370" s="2" t="s">
        <v>34</v>
      </c>
      <c r="L1370" s="4" t="s">
        <v>27</v>
      </c>
      <c r="M1370" s="4" t="str">
        <f t="shared" si="323"/>
        <v>1000184670100018619710001898161000189270TAMARA</v>
      </c>
      <c r="N1370" s="28">
        <f>N1353*_xlfn.XLOOKUP($L1370,'Balizador da Meta'!$B$4:$B$21,'Balizador da Meta'!$C$4:$C$21)</f>
        <v>192</v>
      </c>
      <c r="O1370" s="28">
        <f>O1353*_xlfn.XLOOKUP($L1370,'Balizador da Meta'!$B$4:$B$21,'Balizador da Meta'!$C$4:$C$21)</f>
        <v>192</v>
      </c>
      <c r="P1370" s="28">
        <f>P1353*_xlfn.XLOOKUP($L1370,'Balizador da Meta'!$B$4:$B$21,'Balizador da Meta'!$C$4:$C$21)</f>
        <v>192</v>
      </c>
      <c r="Q1370" s="28">
        <f>Q1353*_xlfn.XLOOKUP($L1370,'Balizador da Meta'!$B$4:$B$21,'Balizador da Meta'!$C$4:$C$21)</f>
        <v>192</v>
      </c>
      <c r="R1370" s="28">
        <f>R1353*_xlfn.XLOOKUP($L1370,'Balizador da Meta'!$B$4:$B$21,'Balizador da Meta'!$C$4:$C$21)</f>
        <v>240</v>
      </c>
      <c r="S1370" s="28">
        <f>S1353*_xlfn.XLOOKUP($L1370,'Balizador da Meta'!$B$4:$B$21,'Balizador da Meta'!$C$4:$C$21)</f>
        <v>240</v>
      </c>
      <c r="T1370" s="28">
        <f>T1353*_xlfn.XLOOKUP($L1370,'Balizador da Meta'!$B$4:$B$21,'Balizador da Meta'!$C$4:$C$21)</f>
        <v>240</v>
      </c>
      <c r="U1370" s="28">
        <f>U1353*_xlfn.XLOOKUP($L1370,'Balizador da Meta'!$B$4:$B$21,'Balizador da Meta'!$C$4:$C$21)</f>
        <v>240</v>
      </c>
      <c r="V1370" s="28">
        <f>V1353*_xlfn.XLOOKUP($L1370,'Balizador da Meta'!$B$4:$B$21,'Balizador da Meta'!$C$4:$C$21)</f>
        <v>240</v>
      </c>
      <c r="W1370" s="28">
        <f>W1353*_xlfn.XLOOKUP($L1370,'Balizador da Meta'!$B$4:$B$21,'Balizador da Meta'!$C$4:$C$21)</f>
        <v>288</v>
      </c>
      <c r="X1370" s="28">
        <f>X1353*_xlfn.XLOOKUP($L1370,'Balizador da Meta'!$B$4:$B$21,'Balizador da Meta'!$C$4:$C$21)</f>
        <v>288</v>
      </c>
      <c r="Y1370" s="28">
        <f>Y1353*_xlfn.XLOOKUP($L1370,'Balizador da Meta'!$B$4:$B$21,'Balizador da Meta'!$C$4:$C$21)</f>
        <v>288</v>
      </c>
      <c r="Z1370" s="30">
        <f t="shared" si="326"/>
        <v>2832</v>
      </c>
      <c r="AA1370" s="29"/>
      <c r="AB1370" s="31">
        <f>SUMIFS('Historico - FAT'!AK:AK,'Historico - FAT'!$K:$K,Faturamento!$L1370,'Historico - FAT'!$I:$I,Faturamento!$J1370,'Historico - FAT'!$G:$G,Faturamento!$H1370)</f>
        <v>68.149999999999991</v>
      </c>
      <c r="AC1370" s="31">
        <f>SUMIFS('Historico - FAT'!AL:AL,'Historico - FAT'!$K:$K,Faturamento!$L1370,'Historico - FAT'!$I:$I,Faturamento!$J1370,'Historico - FAT'!$G:$G,Faturamento!$H1370)</f>
        <v>75.498333333333335</v>
      </c>
      <c r="AD1370" s="31">
        <f>SUMIFS('Historico - FAT'!AM:AM,'Historico - FAT'!$K:$K,Faturamento!$L1370,'Historico - FAT'!$I:$I,Faturamento!$J1370,'Historico - FAT'!$G:$G,Faturamento!$H1370)</f>
        <v>0</v>
      </c>
      <c r="AE1370" s="27">
        <f>SUMIFS('Historico - FAT'!AN:AN,'Historico - FAT'!$K:$K,Faturamento!$L1370,'Historico - FAT'!$I:$I,Faturamento!$J1370,'Historico - FAT'!$G:$G,Faturamento!$H1370)</f>
        <v>8.8180000000000014</v>
      </c>
      <c r="AG1370" s="24">
        <f t="shared" si="317"/>
        <v>0.76336805555555565</v>
      </c>
      <c r="AH1370" s="24">
        <f t="shared" si="318"/>
        <v>0.73785300925925923</v>
      </c>
      <c r="AI1370" s="24">
        <f t="shared" si="319"/>
        <v>1</v>
      </c>
    </row>
    <row r="1371" spans="1:35" hidden="1" x14ac:dyDescent="0.3">
      <c r="A1371" s="2" t="str">
        <f t="shared" si="316"/>
        <v>NÃO</v>
      </c>
      <c r="B1371" s="2">
        <v>1000184670</v>
      </c>
      <c r="C1371" s="2" t="s">
        <v>147</v>
      </c>
      <c r="D1371" s="4">
        <v>1000186197</v>
      </c>
      <c r="E1371" s="4" t="s">
        <v>166</v>
      </c>
      <c r="F1371" s="2">
        <v>1000184762</v>
      </c>
      <c r="G1371" s="2" t="s">
        <v>58</v>
      </c>
      <c r="H1371" s="4">
        <v>1000189816</v>
      </c>
      <c r="I1371" s="4" t="s">
        <v>113</v>
      </c>
      <c r="J1371" s="2">
        <v>1000189270</v>
      </c>
      <c r="K1371" s="2" t="s">
        <v>34</v>
      </c>
      <c r="L1371" s="4" t="s">
        <v>25</v>
      </c>
      <c r="M1371" s="4" t="str">
        <f t="shared" si="323"/>
        <v>1000184670100018619710001898161000189270VICCIO</v>
      </c>
      <c r="N1371" s="28">
        <f>N1353*_xlfn.XLOOKUP($L1371,'Balizador da Meta'!$B$4:$B$21,'Balizador da Meta'!$C$4:$C$21)</f>
        <v>72</v>
      </c>
      <c r="O1371" s="28">
        <f>O1353*_xlfn.XLOOKUP($L1371,'Balizador da Meta'!$B$4:$B$21,'Balizador da Meta'!$C$4:$C$21)</f>
        <v>72</v>
      </c>
      <c r="P1371" s="28">
        <f>P1353*_xlfn.XLOOKUP($L1371,'Balizador da Meta'!$B$4:$B$21,'Balizador da Meta'!$C$4:$C$21)</f>
        <v>72</v>
      </c>
      <c r="Q1371" s="28">
        <f>Q1353*_xlfn.XLOOKUP($L1371,'Balizador da Meta'!$B$4:$B$21,'Balizador da Meta'!$C$4:$C$21)</f>
        <v>72</v>
      </c>
      <c r="R1371" s="28">
        <f>R1353*_xlfn.XLOOKUP($L1371,'Balizador da Meta'!$B$4:$B$21,'Balizador da Meta'!$C$4:$C$21)</f>
        <v>90</v>
      </c>
      <c r="S1371" s="28">
        <f>S1353*_xlfn.XLOOKUP($L1371,'Balizador da Meta'!$B$4:$B$21,'Balizador da Meta'!$C$4:$C$21)</f>
        <v>90</v>
      </c>
      <c r="T1371" s="28">
        <f>T1353*_xlfn.XLOOKUP($L1371,'Balizador da Meta'!$B$4:$B$21,'Balizador da Meta'!$C$4:$C$21)</f>
        <v>90</v>
      </c>
      <c r="U1371" s="28">
        <f>U1353*_xlfn.XLOOKUP($L1371,'Balizador da Meta'!$B$4:$B$21,'Balizador da Meta'!$C$4:$C$21)</f>
        <v>90</v>
      </c>
      <c r="V1371" s="28">
        <f>V1353*_xlfn.XLOOKUP($L1371,'Balizador da Meta'!$B$4:$B$21,'Balizador da Meta'!$C$4:$C$21)</f>
        <v>90</v>
      </c>
      <c r="W1371" s="28">
        <f>W1353*_xlfn.XLOOKUP($L1371,'Balizador da Meta'!$B$4:$B$21,'Balizador da Meta'!$C$4:$C$21)</f>
        <v>108</v>
      </c>
      <c r="X1371" s="28">
        <f>X1353*_xlfn.XLOOKUP($L1371,'Balizador da Meta'!$B$4:$B$21,'Balizador da Meta'!$C$4:$C$21)</f>
        <v>108</v>
      </c>
      <c r="Y1371" s="28">
        <f>Y1353*_xlfn.XLOOKUP($L1371,'Balizador da Meta'!$B$4:$B$21,'Balizador da Meta'!$C$4:$C$21)</f>
        <v>108</v>
      </c>
      <c r="Z1371" s="30">
        <f t="shared" si="326"/>
        <v>1062</v>
      </c>
      <c r="AA1371" s="29"/>
      <c r="AB1371" s="31">
        <f>SUMIFS('Historico - FAT'!AK:AK,'Historico - FAT'!$K:$K,Faturamento!$L1371,'Historico - FAT'!$I:$I,Faturamento!$J1371,'Historico - FAT'!$G:$G,Faturamento!$H1371)</f>
        <v>0</v>
      </c>
      <c r="AC1371" s="31">
        <f>SUMIFS('Historico - FAT'!AL:AL,'Historico - FAT'!$K:$K,Faturamento!$L1371,'Historico - FAT'!$I:$I,Faturamento!$J1371,'Historico - FAT'!$G:$G,Faturamento!$H1371)</f>
        <v>0</v>
      </c>
      <c r="AD1371" s="31">
        <f>SUMIFS('Historico - FAT'!AM:AM,'Historico - FAT'!$K:$K,Faturamento!$L1371,'Historico - FAT'!$I:$I,Faturamento!$J1371,'Historico - FAT'!$G:$G,Faturamento!$H1371)</f>
        <v>0</v>
      </c>
      <c r="AE1371" s="27">
        <f>SUMIFS('Historico - FAT'!AN:AN,'Historico - FAT'!$K:$K,Faturamento!$L1371,'Historico - FAT'!$I:$I,Faturamento!$J1371,'Historico - FAT'!$G:$G,Faturamento!$H1371)</f>
        <v>0</v>
      </c>
      <c r="AG1371" s="24">
        <f t="shared" si="317"/>
        <v>1</v>
      </c>
      <c r="AH1371" s="24">
        <f t="shared" si="318"/>
        <v>1</v>
      </c>
      <c r="AI1371" s="24">
        <f t="shared" si="319"/>
        <v>1</v>
      </c>
    </row>
    <row r="1372" spans="1:35" x14ac:dyDescent="0.3">
      <c r="A1372" s="2" t="str">
        <f t="shared" si="316"/>
        <v>SIM</v>
      </c>
      <c r="B1372" s="2">
        <v>1000184670</v>
      </c>
      <c r="C1372" s="2" t="s">
        <v>147</v>
      </c>
      <c r="D1372" s="4">
        <v>1000186197</v>
      </c>
      <c r="E1372" s="4" t="s">
        <v>166</v>
      </c>
      <c r="F1372" s="2">
        <v>1000184762</v>
      </c>
      <c r="G1372" s="2" t="s">
        <v>58</v>
      </c>
      <c r="H1372" s="4">
        <v>1000189817</v>
      </c>
      <c r="I1372" s="4" t="s">
        <v>94</v>
      </c>
      <c r="J1372" s="2">
        <v>1000189270</v>
      </c>
      <c r="K1372" s="2" t="s">
        <v>34</v>
      </c>
      <c r="L1372" s="4" t="s">
        <v>124</v>
      </c>
      <c r="M1372" s="4" t="str">
        <f t="shared" si="323"/>
        <v>100018467010001861971000189817100018927001. TOTAL</v>
      </c>
      <c r="N1372" s="28">
        <f>SUMIFS(Positivação!L:L,Positivação!$I:$I,Faturamento!$J1372,Positivação!$G:$G,Faturamento!$H1372)*SUMIFS(Positivação!$Z:$Z,Positivação!$I:$I,Faturamento!$J1372,Positivação!$G:$G,Faturamento!$H1372)</f>
        <v>4800</v>
      </c>
      <c r="O1372" s="28">
        <f>SUMIFS(Positivação!M:M,Positivação!$I:$I,Faturamento!$J1372,Positivação!$G:$G,Faturamento!$H1372)*SUMIFS(Positivação!$Z:$Z,Positivação!$I:$I,Faturamento!$J1372,Positivação!$G:$G,Faturamento!$H1372)</f>
        <v>5400</v>
      </c>
      <c r="P1372" s="28">
        <f>SUMIFS(Positivação!N:N,Positivação!$I:$I,Faturamento!$J1372,Positivação!$G:$G,Faturamento!$H1372)*SUMIFS(Positivação!$Z:$Z,Positivação!$I:$I,Faturamento!$J1372,Positivação!$G:$G,Faturamento!$H1372)</f>
        <v>5400</v>
      </c>
      <c r="Q1372" s="28">
        <f>SUMIFS(Positivação!O:O,Positivação!$I:$I,Faturamento!$J1372,Positivação!$G:$G,Faturamento!$H1372)*SUMIFS(Positivação!$Z:$Z,Positivação!$I:$I,Faturamento!$J1372,Positivação!$G:$G,Faturamento!$H1372)</f>
        <v>5400</v>
      </c>
      <c r="R1372" s="28">
        <f>SUMIFS(Positivação!P:P,Positivação!$I:$I,Faturamento!$J1372,Positivação!$G:$G,Faturamento!$H1372)*SUMIFS(Positivação!$Z:$Z,Positivação!$I:$I,Faturamento!$J1372,Positivação!$G:$G,Faturamento!$H1372)</f>
        <v>5400</v>
      </c>
      <c r="S1372" s="28">
        <f>SUMIFS(Positivação!Q:Q,Positivação!$I:$I,Faturamento!$J1372,Positivação!$G:$G,Faturamento!$H1372)*SUMIFS(Positivação!$Z:$Z,Positivação!$I:$I,Faturamento!$J1372,Positivação!$G:$G,Faturamento!$H1372)</f>
        <v>5400</v>
      </c>
      <c r="T1372" s="28">
        <f>SUMIFS(Positivação!R:R,Positivação!$I:$I,Faturamento!$J1372,Positivação!$G:$G,Faturamento!$H1372)*SUMIFS(Positivação!$Z:$Z,Positivação!$I:$I,Faturamento!$J1372,Positivação!$G:$G,Faturamento!$H1372)</f>
        <v>6000</v>
      </c>
      <c r="U1372" s="28">
        <f>SUMIFS(Positivação!S:S,Positivação!$I:$I,Faturamento!$J1372,Positivação!$G:$G,Faturamento!$H1372)*SUMIFS(Positivação!$Z:$Z,Positivação!$I:$I,Faturamento!$J1372,Positivação!$G:$G,Faturamento!$H1372)</f>
        <v>6000</v>
      </c>
      <c r="V1372" s="28">
        <f>SUMIFS(Positivação!T:T,Positivação!$I:$I,Faturamento!$J1372,Positivação!$G:$G,Faturamento!$H1372)*SUMIFS(Positivação!$Z:$Z,Positivação!$I:$I,Faturamento!$J1372,Positivação!$G:$G,Faturamento!$H1372)</f>
        <v>6000</v>
      </c>
      <c r="W1372" s="28">
        <f>SUMIFS(Positivação!U:U,Positivação!$I:$I,Faturamento!$J1372,Positivação!$G:$G,Faturamento!$H1372)*SUMIFS(Positivação!$Z:$Z,Positivação!$I:$I,Faturamento!$J1372,Positivação!$G:$G,Faturamento!$H1372)</f>
        <v>6000</v>
      </c>
      <c r="X1372" s="28">
        <f>SUMIFS(Positivação!V:V,Positivação!$I:$I,Faturamento!$J1372,Positivação!$G:$G,Faturamento!$H1372)*SUMIFS(Positivação!$Z:$Z,Positivação!$I:$I,Faturamento!$J1372,Positivação!$G:$G,Faturamento!$H1372)</f>
        <v>6000</v>
      </c>
      <c r="Y1372" s="28">
        <f>SUMIFS(Positivação!W:W,Positivação!$I:$I,Faturamento!$J1372,Positivação!$G:$G,Faturamento!$H1372)*SUMIFS(Positivação!$Z:$Z,Positivação!$I:$I,Faturamento!$J1372,Positivação!$G:$G,Faturamento!$H1372)</f>
        <v>6600</v>
      </c>
      <c r="Z1372" s="28">
        <f t="shared" ref="Z1372" si="327">SUM(Z1373:Z1390)</f>
        <v>68400</v>
      </c>
      <c r="AA1372" s="29"/>
      <c r="AB1372" s="28">
        <f t="shared" ref="AB1372:AE1372" si="328">SUM(AB1373:AB1390)</f>
        <v>996.71333333333314</v>
      </c>
      <c r="AC1372" s="28">
        <f t="shared" si="328"/>
        <v>5671.2808333333332</v>
      </c>
      <c r="AD1372" s="28">
        <f t="shared" si="328"/>
        <v>6851.9150000000009</v>
      </c>
      <c r="AE1372" s="28">
        <f t="shared" si="328"/>
        <v>6356.317</v>
      </c>
      <c r="AG1372" s="24">
        <f t="shared" si="317"/>
        <v>0.83923978494623663</v>
      </c>
      <c r="AH1372" s="24">
        <f t="shared" si="318"/>
        <v>8.527728494623657E-2</v>
      </c>
      <c r="AI1372" s="24">
        <f t="shared" si="319"/>
        <v>-0.10514758064516143</v>
      </c>
    </row>
    <row r="1373" spans="1:35" hidden="1" x14ac:dyDescent="0.3">
      <c r="A1373" s="2" t="str">
        <f t="shared" si="316"/>
        <v>NÃO</v>
      </c>
      <c r="B1373" s="2">
        <v>1000184670</v>
      </c>
      <c r="C1373" s="2" t="s">
        <v>147</v>
      </c>
      <c r="D1373" s="4">
        <v>1000186197</v>
      </c>
      <c r="E1373" s="4" t="s">
        <v>166</v>
      </c>
      <c r="F1373" s="2">
        <v>1000184762</v>
      </c>
      <c r="G1373" s="2" t="s">
        <v>58</v>
      </c>
      <c r="H1373" s="4">
        <v>1000189817</v>
      </c>
      <c r="I1373" s="4" t="s">
        <v>94</v>
      </c>
      <c r="J1373" s="2">
        <v>1000189270</v>
      </c>
      <c r="K1373" s="2" t="s">
        <v>34</v>
      </c>
      <c r="L1373" s="4" t="s">
        <v>13</v>
      </c>
      <c r="M1373" s="4" t="str">
        <f t="shared" si="323"/>
        <v>1000184670100018619710001898171000189270BISCOITO</v>
      </c>
      <c r="N1373" s="28">
        <f>N1372*_xlfn.XLOOKUP($L1373,'Balizador da Meta'!$B$4:$B$21,'Balizador da Meta'!$C$4:$C$21)</f>
        <v>336.00000000000006</v>
      </c>
      <c r="O1373" s="28">
        <f>O1372*_xlfn.XLOOKUP($L1373,'Balizador da Meta'!$B$4:$B$21,'Balizador da Meta'!$C$4:$C$21)</f>
        <v>378.00000000000006</v>
      </c>
      <c r="P1373" s="28">
        <f>P1372*_xlfn.XLOOKUP($L1373,'Balizador da Meta'!$B$4:$B$21,'Balizador da Meta'!$C$4:$C$21)</f>
        <v>378.00000000000006</v>
      </c>
      <c r="Q1373" s="28">
        <f>Q1372*_xlfn.XLOOKUP($L1373,'Balizador da Meta'!$B$4:$B$21,'Balizador da Meta'!$C$4:$C$21)</f>
        <v>378.00000000000006</v>
      </c>
      <c r="R1373" s="28">
        <f>R1372*_xlfn.XLOOKUP($L1373,'Balizador da Meta'!$B$4:$B$21,'Balizador da Meta'!$C$4:$C$21)</f>
        <v>378.00000000000006</v>
      </c>
      <c r="S1373" s="28">
        <f>S1372*_xlfn.XLOOKUP($L1373,'Balizador da Meta'!$B$4:$B$21,'Balizador da Meta'!$C$4:$C$21)</f>
        <v>378.00000000000006</v>
      </c>
      <c r="T1373" s="28">
        <f>T1372*_xlfn.XLOOKUP($L1373,'Balizador da Meta'!$B$4:$B$21,'Balizador da Meta'!$C$4:$C$21)</f>
        <v>420.00000000000006</v>
      </c>
      <c r="U1373" s="28">
        <f>U1372*_xlfn.XLOOKUP($L1373,'Balizador da Meta'!$B$4:$B$21,'Balizador da Meta'!$C$4:$C$21)</f>
        <v>420.00000000000006</v>
      </c>
      <c r="V1373" s="28">
        <f>V1372*_xlfn.XLOOKUP($L1373,'Balizador da Meta'!$B$4:$B$21,'Balizador da Meta'!$C$4:$C$21)</f>
        <v>420.00000000000006</v>
      </c>
      <c r="W1373" s="28">
        <f>W1372*_xlfn.XLOOKUP($L1373,'Balizador da Meta'!$B$4:$B$21,'Balizador da Meta'!$C$4:$C$21)</f>
        <v>420.00000000000006</v>
      </c>
      <c r="X1373" s="28">
        <f>X1372*_xlfn.XLOOKUP($L1373,'Balizador da Meta'!$B$4:$B$21,'Balizador da Meta'!$C$4:$C$21)</f>
        <v>420.00000000000006</v>
      </c>
      <c r="Y1373" s="28">
        <f>Y1372*_xlfn.XLOOKUP($L1373,'Balizador da Meta'!$B$4:$B$21,'Balizador da Meta'!$C$4:$C$21)</f>
        <v>462.00000000000006</v>
      </c>
      <c r="Z1373" s="30">
        <f t="shared" ref="Z1373:Z1390" si="329">SUM(N1373:Y1373)</f>
        <v>4788.0000000000009</v>
      </c>
      <c r="AA1373" s="29"/>
      <c r="AB1373" s="31">
        <f>SUMIFS('Historico - FAT'!AK:AK,'Historico - FAT'!$K:$K,Faturamento!$L1373,'Historico - FAT'!$I:$I,Faturamento!$J1373,'Historico - FAT'!$G:$G,Faturamento!$H1373)</f>
        <v>-168.44416666666666</v>
      </c>
      <c r="AC1373" s="31">
        <f>SUMIFS('Historico - FAT'!AL:AL,'Historico - FAT'!$K:$K,Faturamento!$L1373,'Historico - FAT'!$I:$I,Faturamento!$J1373,'Historico - FAT'!$G:$G,Faturamento!$H1373)</f>
        <v>146.97916666666666</v>
      </c>
      <c r="AD1373" s="31">
        <f>SUMIFS('Historico - FAT'!AM:AM,'Historico - FAT'!$K:$K,Faturamento!$L1373,'Historico - FAT'!$I:$I,Faturamento!$J1373,'Historico - FAT'!$G:$G,Faturamento!$H1373)</f>
        <v>139.4</v>
      </c>
      <c r="AE1373" s="27">
        <f>SUMIFS('Historico - FAT'!AN:AN,'Historico - FAT'!$K:$K,Faturamento!$L1373,'Historico - FAT'!$I:$I,Faturamento!$J1373,'Historico - FAT'!$G:$G,Faturamento!$H1373)</f>
        <v>145.17500000000001</v>
      </c>
      <c r="AG1373" s="24">
        <f t="shared" si="317"/>
        <v>1.3881201996927801</v>
      </c>
      <c r="AH1373" s="24">
        <f t="shared" si="318"/>
        <v>0.66133832565284179</v>
      </c>
      <c r="AI1373" s="24">
        <f t="shared" si="319"/>
        <v>0.67880184331797233</v>
      </c>
    </row>
    <row r="1374" spans="1:35" hidden="1" x14ac:dyDescent="0.3">
      <c r="A1374" s="2" t="str">
        <f t="shared" si="316"/>
        <v>NÃO</v>
      </c>
      <c r="B1374" s="2">
        <v>1000184670</v>
      </c>
      <c r="C1374" s="2" t="s">
        <v>147</v>
      </c>
      <c r="D1374" s="4">
        <v>1000186197</v>
      </c>
      <c r="E1374" s="4" t="s">
        <v>166</v>
      </c>
      <c r="F1374" s="2">
        <v>1000184762</v>
      </c>
      <c r="G1374" s="2" t="s">
        <v>58</v>
      </c>
      <c r="H1374" s="4">
        <v>1000189817</v>
      </c>
      <c r="I1374" s="4" t="s">
        <v>94</v>
      </c>
      <c r="J1374" s="2">
        <v>1000189270</v>
      </c>
      <c r="K1374" s="2" t="s">
        <v>34</v>
      </c>
      <c r="L1374" s="4" t="s">
        <v>14</v>
      </c>
      <c r="M1374" s="4" t="str">
        <f t="shared" si="323"/>
        <v>1000184670100018619710001898171000189270CHOCOLATES</v>
      </c>
      <c r="N1374" s="28">
        <f>N1372*_xlfn.XLOOKUP($L1374,'Balizador da Meta'!$B$4:$B$21,'Balizador da Meta'!$C$4:$C$21)</f>
        <v>336.00000000000006</v>
      </c>
      <c r="O1374" s="28">
        <f>O1372*_xlfn.XLOOKUP($L1374,'Balizador da Meta'!$B$4:$B$21,'Balizador da Meta'!$C$4:$C$21)</f>
        <v>378.00000000000006</v>
      </c>
      <c r="P1374" s="28">
        <f>P1372*_xlfn.XLOOKUP($L1374,'Balizador da Meta'!$B$4:$B$21,'Balizador da Meta'!$C$4:$C$21)</f>
        <v>378.00000000000006</v>
      </c>
      <c r="Q1374" s="28">
        <f>Q1372*_xlfn.XLOOKUP($L1374,'Balizador da Meta'!$B$4:$B$21,'Balizador da Meta'!$C$4:$C$21)</f>
        <v>378.00000000000006</v>
      </c>
      <c r="R1374" s="28">
        <f>R1372*_xlfn.XLOOKUP($L1374,'Balizador da Meta'!$B$4:$B$21,'Balizador da Meta'!$C$4:$C$21)</f>
        <v>378.00000000000006</v>
      </c>
      <c r="S1374" s="28">
        <f>S1372*_xlfn.XLOOKUP($L1374,'Balizador da Meta'!$B$4:$B$21,'Balizador da Meta'!$C$4:$C$21)</f>
        <v>378.00000000000006</v>
      </c>
      <c r="T1374" s="28">
        <f>T1372*_xlfn.XLOOKUP($L1374,'Balizador da Meta'!$B$4:$B$21,'Balizador da Meta'!$C$4:$C$21)</f>
        <v>420.00000000000006</v>
      </c>
      <c r="U1374" s="28">
        <f>U1372*_xlfn.XLOOKUP($L1374,'Balizador da Meta'!$B$4:$B$21,'Balizador da Meta'!$C$4:$C$21)</f>
        <v>420.00000000000006</v>
      </c>
      <c r="V1374" s="28">
        <f>V1372*_xlfn.XLOOKUP($L1374,'Balizador da Meta'!$B$4:$B$21,'Balizador da Meta'!$C$4:$C$21)</f>
        <v>420.00000000000006</v>
      </c>
      <c r="W1374" s="28">
        <f>W1372*_xlfn.XLOOKUP($L1374,'Balizador da Meta'!$B$4:$B$21,'Balizador da Meta'!$C$4:$C$21)</f>
        <v>420.00000000000006</v>
      </c>
      <c r="X1374" s="28">
        <f>X1372*_xlfn.XLOOKUP($L1374,'Balizador da Meta'!$B$4:$B$21,'Balizador da Meta'!$C$4:$C$21)</f>
        <v>420.00000000000006</v>
      </c>
      <c r="Y1374" s="28">
        <f>Y1372*_xlfn.XLOOKUP($L1374,'Balizador da Meta'!$B$4:$B$21,'Balizador da Meta'!$C$4:$C$21)</f>
        <v>462.00000000000006</v>
      </c>
      <c r="Z1374" s="30">
        <f t="shared" si="329"/>
        <v>4788.0000000000009</v>
      </c>
      <c r="AA1374" s="29"/>
      <c r="AB1374" s="31">
        <f>SUMIFS('Historico - FAT'!AK:AK,'Historico - FAT'!$K:$K,Faturamento!$L1374,'Historico - FAT'!$I:$I,Faturamento!$J1374,'Historico - FAT'!$G:$G,Faturamento!$H1374)</f>
        <v>97.413333333333341</v>
      </c>
      <c r="AC1374" s="31">
        <f>SUMIFS('Historico - FAT'!AL:AL,'Historico - FAT'!$K:$K,Faturamento!$L1374,'Historico - FAT'!$I:$I,Faturamento!$J1374,'Historico - FAT'!$G:$G,Faturamento!$H1374)</f>
        <v>184.31999999999996</v>
      </c>
      <c r="AD1374" s="31">
        <f>SUMIFS('Historico - FAT'!AM:AM,'Historico - FAT'!$K:$K,Faturamento!$L1374,'Historico - FAT'!$I:$I,Faturamento!$J1374,'Historico - FAT'!$G:$G,Faturamento!$H1374)</f>
        <v>17.599999999999998</v>
      </c>
      <c r="AE1374" s="27">
        <f>SUMIFS('Historico - FAT'!AN:AN,'Historico - FAT'!$K:$K,Faturamento!$L1374,'Historico - FAT'!$I:$I,Faturamento!$J1374,'Historico - FAT'!$G:$G,Faturamento!$H1374)</f>
        <v>221.18399999999997</v>
      </c>
      <c r="AG1374" s="24">
        <f t="shared" si="317"/>
        <v>0.77554531490015355</v>
      </c>
      <c r="AH1374" s="24">
        <f t="shared" si="318"/>
        <v>0.57529953917050702</v>
      </c>
      <c r="AI1374" s="24">
        <f t="shared" si="319"/>
        <v>0.95944700460829491</v>
      </c>
    </row>
    <row r="1375" spans="1:35" hidden="1" x14ac:dyDescent="0.3">
      <c r="A1375" s="2" t="str">
        <f t="shared" si="316"/>
        <v>NÃO</v>
      </c>
      <c r="B1375" s="2">
        <v>1000184670</v>
      </c>
      <c r="C1375" s="2" t="s">
        <v>147</v>
      </c>
      <c r="D1375" s="4">
        <v>1000186197</v>
      </c>
      <c r="E1375" s="4" t="s">
        <v>166</v>
      </c>
      <c r="F1375" s="2">
        <v>1000184762</v>
      </c>
      <c r="G1375" s="2" t="s">
        <v>58</v>
      </c>
      <c r="H1375" s="4">
        <v>1000189817</v>
      </c>
      <c r="I1375" s="4" t="s">
        <v>94</v>
      </c>
      <c r="J1375" s="2">
        <v>1000189270</v>
      </c>
      <c r="K1375" s="2" t="s">
        <v>34</v>
      </c>
      <c r="L1375" s="4" t="s">
        <v>16</v>
      </c>
      <c r="M1375" s="4" t="str">
        <f t="shared" si="323"/>
        <v>1000184670100018619710001898171000189270DISNEY</v>
      </c>
      <c r="N1375" s="28">
        <f>N1372*_xlfn.XLOOKUP($L1375,'Balizador da Meta'!$B$4:$B$21,'Balizador da Meta'!$C$4:$C$21)</f>
        <v>384</v>
      </c>
      <c r="O1375" s="28">
        <f>O1372*_xlfn.XLOOKUP($L1375,'Balizador da Meta'!$B$4:$B$21,'Balizador da Meta'!$C$4:$C$21)</f>
        <v>432</v>
      </c>
      <c r="P1375" s="28">
        <f>P1372*_xlfn.XLOOKUP($L1375,'Balizador da Meta'!$B$4:$B$21,'Balizador da Meta'!$C$4:$C$21)</f>
        <v>432</v>
      </c>
      <c r="Q1375" s="28">
        <f>Q1372*_xlfn.XLOOKUP($L1375,'Balizador da Meta'!$B$4:$B$21,'Balizador da Meta'!$C$4:$C$21)</f>
        <v>432</v>
      </c>
      <c r="R1375" s="28">
        <f>R1372*_xlfn.XLOOKUP($L1375,'Balizador da Meta'!$B$4:$B$21,'Balizador da Meta'!$C$4:$C$21)</f>
        <v>432</v>
      </c>
      <c r="S1375" s="28">
        <f>S1372*_xlfn.XLOOKUP($L1375,'Balizador da Meta'!$B$4:$B$21,'Balizador da Meta'!$C$4:$C$21)</f>
        <v>432</v>
      </c>
      <c r="T1375" s="28">
        <f>T1372*_xlfn.XLOOKUP($L1375,'Balizador da Meta'!$B$4:$B$21,'Balizador da Meta'!$C$4:$C$21)</f>
        <v>480</v>
      </c>
      <c r="U1375" s="28">
        <f>U1372*_xlfn.XLOOKUP($L1375,'Balizador da Meta'!$B$4:$B$21,'Balizador da Meta'!$C$4:$C$21)</f>
        <v>480</v>
      </c>
      <c r="V1375" s="28">
        <f>V1372*_xlfn.XLOOKUP($L1375,'Balizador da Meta'!$B$4:$B$21,'Balizador da Meta'!$C$4:$C$21)</f>
        <v>480</v>
      </c>
      <c r="W1375" s="28">
        <f>W1372*_xlfn.XLOOKUP($L1375,'Balizador da Meta'!$B$4:$B$21,'Balizador da Meta'!$C$4:$C$21)</f>
        <v>480</v>
      </c>
      <c r="X1375" s="28">
        <f>X1372*_xlfn.XLOOKUP($L1375,'Balizador da Meta'!$B$4:$B$21,'Balizador da Meta'!$C$4:$C$21)</f>
        <v>480</v>
      </c>
      <c r="Y1375" s="28">
        <f>Y1372*_xlfn.XLOOKUP($L1375,'Balizador da Meta'!$B$4:$B$21,'Balizador da Meta'!$C$4:$C$21)</f>
        <v>528</v>
      </c>
      <c r="Z1375" s="30">
        <f t="shared" si="329"/>
        <v>5472</v>
      </c>
      <c r="AA1375" s="29"/>
      <c r="AB1375" s="31">
        <f>SUMIFS('Historico - FAT'!AK:AK,'Historico - FAT'!$K:$K,Faturamento!$L1375,'Historico - FAT'!$I:$I,Faturamento!$J1375,'Historico - FAT'!$G:$G,Faturamento!$H1375)</f>
        <v>71.976666666666674</v>
      </c>
      <c r="AC1375" s="31">
        <f>SUMIFS('Historico - FAT'!AL:AL,'Historico - FAT'!$K:$K,Faturamento!$L1375,'Historico - FAT'!$I:$I,Faturamento!$J1375,'Historico - FAT'!$G:$G,Faturamento!$H1375)</f>
        <v>247.93333333333331</v>
      </c>
      <c r="AD1375" s="31">
        <f>SUMIFS('Historico - FAT'!AM:AM,'Historico - FAT'!$K:$K,Faturamento!$L1375,'Historico - FAT'!$I:$I,Faturamento!$J1375,'Historico - FAT'!$G:$G,Faturamento!$H1375)</f>
        <v>107.33499999999999</v>
      </c>
      <c r="AE1375" s="27">
        <f>SUMIFS('Historico - FAT'!AN:AN,'Historico - FAT'!$K:$K,Faturamento!$L1375,'Historico - FAT'!$I:$I,Faturamento!$J1375,'Historico - FAT'!$G:$G,Faturamento!$H1375)</f>
        <v>297.52</v>
      </c>
      <c r="AG1375" s="24">
        <f t="shared" si="317"/>
        <v>0.85488575268817202</v>
      </c>
      <c r="AH1375" s="24">
        <f t="shared" si="318"/>
        <v>0.50013440860215064</v>
      </c>
      <c r="AI1375" s="24">
        <f t="shared" si="319"/>
        <v>0.78359879032258073</v>
      </c>
    </row>
    <row r="1376" spans="1:35" hidden="1" x14ac:dyDescent="0.3">
      <c r="A1376" s="2" t="str">
        <f t="shared" si="316"/>
        <v>NÃO</v>
      </c>
      <c r="B1376" s="2">
        <v>1000184670</v>
      </c>
      <c r="C1376" s="2" t="s">
        <v>147</v>
      </c>
      <c r="D1376" s="4">
        <v>1000186197</v>
      </c>
      <c r="E1376" s="4" t="s">
        <v>166</v>
      </c>
      <c r="F1376" s="2">
        <v>1000184762</v>
      </c>
      <c r="G1376" s="2" t="s">
        <v>58</v>
      </c>
      <c r="H1376" s="4">
        <v>1000189817</v>
      </c>
      <c r="I1376" s="4" t="s">
        <v>94</v>
      </c>
      <c r="J1376" s="2">
        <v>1000189270</v>
      </c>
      <c r="K1376" s="2" t="s">
        <v>34</v>
      </c>
      <c r="L1376" s="4" t="s">
        <v>15</v>
      </c>
      <c r="M1376" s="4" t="str">
        <f t="shared" si="323"/>
        <v>1000184670100018619710001898171000189270DOCES</v>
      </c>
      <c r="N1376" s="28">
        <f>N1372*_xlfn.XLOOKUP($L1376,'Balizador da Meta'!$B$4:$B$21,'Balizador da Meta'!$C$4:$C$21)</f>
        <v>432</v>
      </c>
      <c r="O1376" s="28">
        <f>O1372*_xlfn.XLOOKUP($L1376,'Balizador da Meta'!$B$4:$B$21,'Balizador da Meta'!$C$4:$C$21)</f>
        <v>486</v>
      </c>
      <c r="P1376" s="28">
        <f>P1372*_xlfn.XLOOKUP($L1376,'Balizador da Meta'!$B$4:$B$21,'Balizador da Meta'!$C$4:$C$21)</f>
        <v>486</v>
      </c>
      <c r="Q1376" s="28">
        <f>Q1372*_xlfn.XLOOKUP($L1376,'Balizador da Meta'!$B$4:$B$21,'Balizador da Meta'!$C$4:$C$21)</f>
        <v>486</v>
      </c>
      <c r="R1376" s="28">
        <f>R1372*_xlfn.XLOOKUP($L1376,'Balizador da Meta'!$B$4:$B$21,'Balizador da Meta'!$C$4:$C$21)</f>
        <v>486</v>
      </c>
      <c r="S1376" s="28">
        <f>S1372*_xlfn.XLOOKUP($L1376,'Balizador da Meta'!$B$4:$B$21,'Balizador da Meta'!$C$4:$C$21)</f>
        <v>486</v>
      </c>
      <c r="T1376" s="28">
        <f>T1372*_xlfn.XLOOKUP($L1376,'Balizador da Meta'!$B$4:$B$21,'Balizador da Meta'!$C$4:$C$21)</f>
        <v>540</v>
      </c>
      <c r="U1376" s="28">
        <f>U1372*_xlfn.XLOOKUP($L1376,'Balizador da Meta'!$B$4:$B$21,'Balizador da Meta'!$C$4:$C$21)</f>
        <v>540</v>
      </c>
      <c r="V1376" s="28">
        <f>V1372*_xlfn.XLOOKUP($L1376,'Balizador da Meta'!$B$4:$B$21,'Balizador da Meta'!$C$4:$C$21)</f>
        <v>540</v>
      </c>
      <c r="W1376" s="28">
        <f>W1372*_xlfn.XLOOKUP($L1376,'Balizador da Meta'!$B$4:$B$21,'Balizador da Meta'!$C$4:$C$21)</f>
        <v>540</v>
      </c>
      <c r="X1376" s="28">
        <f>X1372*_xlfn.XLOOKUP($L1376,'Balizador da Meta'!$B$4:$B$21,'Balizador da Meta'!$C$4:$C$21)</f>
        <v>540</v>
      </c>
      <c r="Y1376" s="28">
        <f>Y1372*_xlfn.XLOOKUP($L1376,'Balizador da Meta'!$B$4:$B$21,'Balizador da Meta'!$C$4:$C$21)</f>
        <v>594</v>
      </c>
      <c r="Z1376" s="30">
        <f t="shared" si="329"/>
        <v>6156</v>
      </c>
      <c r="AA1376" s="29"/>
      <c r="AB1376" s="31">
        <f>SUMIFS('Historico - FAT'!AK:AK,'Historico - FAT'!$K:$K,Faturamento!$L1376,'Historico - FAT'!$I:$I,Faturamento!$J1376,'Historico - FAT'!$G:$G,Faturamento!$H1376)</f>
        <v>189.40583333333333</v>
      </c>
      <c r="AC1376" s="31">
        <f>SUMIFS('Historico - FAT'!AL:AL,'Historico - FAT'!$K:$K,Faturamento!$L1376,'Historico - FAT'!$I:$I,Faturamento!$J1376,'Historico - FAT'!$G:$G,Faturamento!$H1376)</f>
        <v>716.43833333333316</v>
      </c>
      <c r="AD1376" s="31">
        <f>SUMIFS('Historico - FAT'!AM:AM,'Historico - FAT'!$K:$K,Faturamento!$L1376,'Historico - FAT'!$I:$I,Faturamento!$J1376,'Historico - FAT'!$G:$G,Faturamento!$H1376)</f>
        <v>495.79500000000002</v>
      </c>
      <c r="AE1376" s="27">
        <f>SUMIFS('Historico - FAT'!AN:AN,'Historico - FAT'!$K:$K,Faturamento!$L1376,'Historico - FAT'!$I:$I,Faturamento!$J1376,'Historico - FAT'!$G:$G,Faturamento!$H1376)</f>
        <v>584.20600000000002</v>
      </c>
      <c r="AG1376" s="24">
        <f t="shared" si="317"/>
        <v>0.66056302270011946</v>
      </c>
      <c r="AH1376" s="24">
        <f t="shared" si="318"/>
        <v>-0.28393966547192323</v>
      </c>
      <c r="AI1376" s="24">
        <f t="shared" si="319"/>
        <v>0.11147849462365589</v>
      </c>
    </row>
    <row r="1377" spans="1:35" hidden="1" x14ac:dyDescent="0.3">
      <c r="A1377" s="2" t="str">
        <f t="shared" si="316"/>
        <v>NÃO</v>
      </c>
      <c r="B1377" s="2">
        <v>1000184670</v>
      </c>
      <c r="C1377" s="2" t="s">
        <v>147</v>
      </c>
      <c r="D1377" s="4">
        <v>1000186197</v>
      </c>
      <c r="E1377" s="4" t="s">
        <v>166</v>
      </c>
      <c r="F1377" s="2">
        <v>1000184762</v>
      </c>
      <c r="G1377" s="2" t="s">
        <v>58</v>
      </c>
      <c r="H1377" s="4">
        <v>1000189817</v>
      </c>
      <c r="I1377" s="4" t="s">
        <v>94</v>
      </c>
      <c r="J1377" s="2">
        <v>1000189270</v>
      </c>
      <c r="K1377" s="2" t="s">
        <v>34</v>
      </c>
      <c r="L1377" s="4" t="s">
        <v>33</v>
      </c>
      <c r="M1377" s="4" t="str">
        <f t="shared" si="323"/>
        <v>1000184670100018619710001898171000189270FOOD SERVICE</v>
      </c>
      <c r="N1377" s="28">
        <f>N1372*_xlfn.XLOOKUP($L1377,'Balizador da Meta'!$B$4:$B$21,'Balizador da Meta'!$C$4:$C$21)</f>
        <v>0</v>
      </c>
      <c r="O1377" s="28">
        <f>O1372*_xlfn.XLOOKUP($L1377,'Balizador da Meta'!$B$4:$B$21,'Balizador da Meta'!$C$4:$C$21)</f>
        <v>0</v>
      </c>
      <c r="P1377" s="28">
        <f>P1372*_xlfn.XLOOKUP($L1377,'Balizador da Meta'!$B$4:$B$21,'Balizador da Meta'!$C$4:$C$21)</f>
        <v>0</v>
      </c>
      <c r="Q1377" s="28">
        <f>Q1372*_xlfn.XLOOKUP($L1377,'Balizador da Meta'!$B$4:$B$21,'Balizador da Meta'!$C$4:$C$21)</f>
        <v>0</v>
      </c>
      <c r="R1377" s="28">
        <f>R1372*_xlfn.XLOOKUP($L1377,'Balizador da Meta'!$B$4:$B$21,'Balizador da Meta'!$C$4:$C$21)</f>
        <v>0</v>
      </c>
      <c r="S1377" s="28">
        <f>S1372*_xlfn.XLOOKUP($L1377,'Balizador da Meta'!$B$4:$B$21,'Balizador da Meta'!$C$4:$C$21)</f>
        <v>0</v>
      </c>
      <c r="T1377" s="28">
        <f>T1372*_xlfn.XLOOKUP($L1377,'Balizador da Meta'!$B$4:$B$21,'Balizador da Meta'!$C$4:$C$21)</f>
        <v>0</v>
      </c>
      <c r="U1377" s="28">
        <f>U1372*_xlfn.XLOOKUP($L1377,'Balizador da Meta'!$B$4:$B$21,'Balizador da Meta'!$C$4:$C$21)</f>
        <v>0</v>
      </c>
      <c r="V1377" s="28">
        <f>V1372*_xlfn.XLOOKUP($L1377,'Balizador da Meta'!$B$4:$B$21,'Balizador da Meta'!$C$4:$C$21)</f>
        <v>0</v>
      </c>
      <c r="W1377" s="28">
        <f>W1372*_xlfn.XLOOKUP($L1377,'Balizador da Meta'!$B$4:$B$21,'Balizador da Meta'!$C$4:$C$21)</f>
        <v>0</v>
      </c>
      <c r="X1377" s="28">
        <f>X1372*_xlfn.XLOOKUP($L1377,'Balizador da Meta'!$B$4:$B$21,'Balizador da Meta'!$C$4:$C$21)</f>
        <v>0</v>
      </c>
      <c r="Y1377" s="28">
        <f>Y1372*_xlfn.XLOOKUP($L1377,'Balizador da Meta'!$B$4:$B$21,'Balizador da Meta'!$C$4:$C$21)</f>
        <v>0</v>
      </c>
      <c r="Z1377" s="30">
        <f t="shared" si="329"/>
        <v>0</v>
      </c>
      <c r="AA1377" s="29"/>
      <c r="AB1377" s="31">
        <f>SUMIFS('Historico - FAT'!AK:AK,'Historico - FAT'!$K:$K,Faturamento!$L1377,'Historico - FAT'!$I:$I,Faturamento!$J1377,'Historico - FAT'!$G:$G,Faturamento!$H1377)</f>
        <v>0</v>
      </c>
      <c r="AC1377" s="31">
        <f>SUMIFS('Historico - FAT'!AL:AL,'Historico - FAT'!$K:$K,Faturamento!$L1377,'Historico - FAT'!$I:$I,Faturamento!$J1377,'Historico - FAT'!$G:$G,Faturamento!$H1377)</f>
        <v>176.57500000000002</v>
      </c>
      <c r="AD1377" s="31">
        <f>SUMIFS('Historico - FAT'!AM:AM,'Historico - FAT'!$K:$K,Faturamento!$L1377,'Historico - FAT'!$I:$I,Faturamento!$J1377,'Historico - FAT'!$G:$G,Faturamento!$H1377)</f>
        <v>353.15000000000003</v>
      </c>
      <c r="AE1377" s="27">
        <f>SUMIFS('Historico - FAT'!AN:AN,'Historico - FAT'!$K:$K,Faturamento!$L1377,'Historico - FAT'!$I:$I,Faturamento!$J1377,'Historico - FAT'!$G:$G,Faturamento!$H1377)</f>
        <v>211.89000000000001</v>
      </c>
      <c r="AG1377" s="24" t="str">
        <f t="shared" si="317"/>
        <v/>
      </c>
      <c r="AH1377" s="24" t="str">
        <f t="shared" si="318"/>
        <v/>
      </c>
      <c r="AI1377" s="24" t="str">
        <f t="shared" si="319"/>
        <v/>
      </c>
    </row>
    <row r="1378" spans="1:35" hidden="1" x14ac:dyDescent="0.3">
      <c r="A1378" s="2" t="str">
        <f t="shared" si="316"/>
        <v>NÃO</v>
      </c>
      <c r="B1378" s="2">
        <v>1000184670</v>
      </c>
      <c r="C1378" s="2" t="s">
        <v>147</v>
      </c>
      <c r="D1378" s="4">
        <v>1000186197</v>
      </c>
      <c r="E1378" s="4" t="s">
        <v>166</v>
      </c>
      <c r="F1378" s="2">
        <v>1000184762</v>
      </c>
      <c r="G1378" s="2" t="s">
        <v>58</v>
      </c>
      <c r="H1378" s="4">
        <v>1000189817</v>
      </c>
      <c r="I1378" s="4" t="s">
        <v>94</v>
      </c>
      <c r="J1378" s="2">
        <v>1000189270</v>
      </c>
      <c r="K1378" s="2" t="s">
        <v>34</v>
      </c>
      <c r="L1378" s="4" t="s">
        <v>19</v>
      </c>
      <c r="M1378" s="4" t="str">
        <f t="shared" si="323"/>
        <v>1000184670100018619710001898171000189270GELEIA</v>
      </c>
      <c r="N1378" s="28">
        <f>N1372*_xlfn.XLOOKUP($L1378,'Balizador da Meta'!$B$4:$B$21,'Balizador da Meta'!$C$4:$C$21)</f>
        <v>95.999999999999986</v>
      </c>
      <c r="O1378" s="28">
        <f>O1372*_xlfn.XLOOKUP($L1378,'Balizador da Meta'!$B$4:$B$21,'Balizador da Meta'!$C$4:$C$21)</f>
        <v>107.99999999999999</v>
      </c>
      <c r="P1378" s="28">
        <f>P1372*_xlfn.XLOOKUP($L1378,'Balizador da Meta'!$B$4:$B$21,'Balizador da Meta'!$C$4:$C$21)</f>
        <v>107.99999999999999</v>
      </c>
      <c r="Q1378" s="28">
        <f>Q1372*_xlfn.XLOOKUP($L1378,'Balizador da Meta'!$B$4:$B$21,'Balizador da Meta'!$C$4:$C$21)</f>
        <v>107.99999999999999</v>
      </c>
      <c r="R1378" s="28">
        <f>R1372*_xlfn.XLOOKUP($L1378,'Balizador da Meta'!$B$4:$B$21,'Balizador da Meta'!$C$4:$C$21)</f>
        <v>107.99999999999999</v>
      </c>
      <c r="S1378" s="28">
        <f>S1372*_xlfn.XLOOKUP($L1378,'Balizador da Meta'!$B$4:$B$21,'Balizador da Meta'!$C$4:$C$21)</f>
        <v>107.99999999999999</v>
      </c>
      <c r="T1378" s="28">
        <f>T1372*_xlfn.XLOOKUP($L1378,'Balizador da Meta'!$B$4:$B$21,'Balizador da Meta'!$C$4:$C$21)</f>
        <v>119.99999999999999</v>
      </c>
      <c r="U1378" s="28">
        <f>U1372*_xlfn.XLOOKUP($L1378,'Balizador da Meta'!$B$4:$B$21,'Balizador da Meta'!$C$4:$C$21)</f>
        <v>119.99999999999999</v>
      </c>
      <c r="V1378" s="28">
        <f>V1372*_xlfn.XLOOKUP($L1378,'Balizador da Meta'!$B$4:$B$21,'Balizador da Meta'!$C$4:$C$21)</f>
        <v>119.99999999999999</v>
      </c>
      <c r="W1378" s="28">
        <f>W1372*_xlfn.XLOOKUP($L1378,'Balizador da Meta'!$B$4:$B$21,'Balizador da Meta'!$C$4:$C$21)</f>
        <v>119.99999999999999</v>
      </c>
      <c r="X1378" s="28">
        <f>X1372*_xlfn.XLOOKUP($L1378,'Balizador da Meta'!$B$4:$B$21,'Balizador da Meta'!$C$4:$C$21)</f>
        <v>119.99999999999999</v>
      </c>
      <c r="Y1378" s="28">
        <f>Y1372*_xlfn.XLOOKUP($L1378,'Balizador da Meta'!$B$4:$B$21,'Balizador da Meta'!$C$4:$C$21)</f>
        <v>131.99999999999997</v>
      </c>
      <c r="Z1378" s="30">
        <f t="shared" si="329"/>
        <v>1367.9999999999998</v>
      </c>
      <c r="AA1378" s="29"/>
      <c r="AB1378" s="31">
        <f>SUMIFS('Historico - FAT'!AK:AK,'Historico - FAT'!$K:$K,Faturamento!$L1378,'Historico - FAT'!$I:$I,Faturamento!$J1378,'Historico - FAT'!$G:$G,Faturamento!$H1378)</f>
        <v>60.951666666666675</v>
      </c>
      <c r="AC1378" s="31">
        <f>SUMIFS('Historico - FAT'!AL:AL,'Historico - FAT'!$K:$K,Faturamento!$L1378,'Historico - FAT'!$I:$I,Faturamento!$J1378,'Historico - FAT'!$G:$G,Faturamento!$H1378)</f>
        <v>120.16583333333334</v>
      </c>
      <c r="AD1378" s="31">
        <f>SUMIFS('Historico - FAT'!AM:AM,'Historico - FAT'!$K:$K,Faturamento!$L1378,'Historico - FAT'!$I:$I,Faturamento!$J1378,'Historico - FAT'!$G:$G,Faturamento!$H1378)</f>
        <v>25.650000000000002</v>
      </c>
      <c r="AE1378" s="27">
        <f>SUMIFS('Historico - FAT'!AN:AN,'Historico - FAT'!$K:$K,Faturamento!$L1378,'Historico - FAT'!$I:$I,Faturamento!$J1378,'Historico - FAT'!$G:$G,Faturamento!$H1378)</f>
        <v>28.999000000000002</v>
      </c>
      <c r="AG1378" s="24">
        <f t="shared" si="317"/>
        <v>0.50845430107526868</v>
      </c>
      <c r="AH1378" s="24">
        <f t="shared" si="318"/>
        <v>3.0920698924731028E-2</v>
      </c>
      <c r="AI1378" s="24">
        <f t="shared" si="319"/>
        <v>0.79314516129032253</v>
      </c>
    </row>
    <row r="1379" spans="1:35" hidden="1" x14ac:dyDescent="0.3">
      <c r="A1379" s="2" t="str">
        <f t="shared" si="316"/>
        <v>NÃO</v>
      </c>
      <c r="B1379" s="2">
        <v>1000184670</v>
      </c>
      <c r="C1379" s="2" t="s">
        <v>147</v>
      </c>
      <c r="D1379" s="4">
        <v>1000186197</v>
      </c>
      <c r="E1379" s="4" t="s">
        <v>166</v>
      </c>
      <c r="F1379" s="2">
        <v>1000184762</v>
      </c>
      <c r="G1379" s="2" t="s">
        <v>58</v>
      </c>
      <c r="H1379" s="4">
        <v>1000189817</v>
      </c>
      <c r="I1379" s="4" t="s">
        <v>94</v>
      </c>
      <c r="J1379" s="2">
        <v>1000189270</v>
      </c>
      <c r="K1379" s="2" t="s">
        <v>34</v>
      </c>
      <c r="L1379" s="4" t="s">
        <v>17</v>
      </c>
      <c r="M1379" s="4" t="str">
        <f t="shared" si="323"/>
        <v>1000184670100018619710001898171000189270GRANOLA</v>
      </c>
      <c r="N1379" s="28">
        <f>N1372*_xlfn.XLOOKUP($L1379,'Balizador da Meta'!$B$4:$B$21,'Balizador da Meta'!$C$4:$C$21)</f>
        <v>96</v>
      </c>
      <c r="O1379" s="28">
        <f>O1372*_xlfn.XLOOKUP($L1379,'Balizador da Meta'!$B$4:$B$21,'Balizador da Meta'!$C$4:$C$21)</f>
        <v>108</v>
      </c>
      <c r="P1379" s="28">
        <f>P1372*_xlfn.XLOOKUP($L1379,'Balizador da Meta'!$B$4:$B$21,'Balizador da Meta'!$C$4:$C$21)</f>
        <v>108</v>
      </c>
      <c r="Q1379" s="28">
        <f>Q1372*_xlfn.XLOOKUP($L1379,'Balizador da Meta'!$B$4:$B$21,'Balizador da Meta'!$C$4:$C$21)</f>
        <v>108</v>
      </c>
      <c r="R1379" s="28">
        <f>R1372*_xlfn.XLOOKUP($L1379,'Balizador da Meta'!$B$4:$B$21,'Balizador da Meta'!$C$4:$C$21)</f>
        <v>108</v>
      </c>
      <c r="S1379" s="28">
        <f>S1372*_xlfn.XLOOKUP($L1379,'Balizador da Meta'!$B$4:$B$21,'Balizador da Meta'!$C$4:$C$21)</f>
        <v>108</v>
      </c>
      <c r="T1379" s="28">
        <f>T1372*_xlfn.XLOOKUP($L1379,'Balizador da Meta'!$B$4:$B$21,'Balizador da Meta'!$C$4:$C$21)</f>
        <v>120</v>
      </c>
      <c r="U1379" s="28">
        <f>U1372*_xlfn.XLOOKUP($L1379,'Balizador da Meta'!$B$4:$B$21,'Balizador da Meta'!$C$4:$C$21)</f>
        <v>120</v>
      </c>
      <c r="V1379" s="28">
        <f>V1372*_xlfn.XLOOKUP($L1379,'Balizador da Meta'!$B$4:$B$21,'Balizador da Meta'!$C$4:$C$21)</f>
        <v>120</v>
      </c>
      <c r="W1379" s="28">
        <f>W1372*_xlfn.XLOOKUP($L1379,'Balizador da Meta'!$B$4:$B$21,'Balizador da Meta'!$C$4:$C$21)</f>
        <v>120</v>
      </c>
      <c r="X1379" s="28">
        <f>X1372*_xlfn.XLOOKUP($L1379,'Balizador da Meta'!$B$4:$B$21,'Balizador da Meta'!$C$4:$C$21)</f>
        <v>120</v>
      </c>
      <c r="Y1379" s="28">
        <f>Y1372*_xlfn.XLOOKUP($L1379,'Balizador da Meta'!$B$4:$B$21,'Balizador da Meta'!$C$4:$C$21)</f>
        <v>132</v>
      </c>
      <c r="Z1379" s="30">
        <f t="shared" si="329"/>
        <v>1368</v>
      </c>
      <c r="AA1379" s="29"/>
      <c r="AB1379" s="31">
        <f>SUMIFS('Historico - FAT'!AK:AK,'Historico - FAT'!$K:$K,Faturamento!$L1379,'Historico - FAT'!$I:$I,Faturamento!$J1379,'Historico - FAT'!$G:$G,Faturamento!$H1379)</f>
        <v>-135.64333333333335</v>
      </c>
      <c r="AC1379" s="31">
        <f>SUMIFS('Historico - FAT'!AL:AL,'Historico - FAT'!$K:$K,Faturamento!$L1379,'Historico - FAT'!$I:$I,Faturamento!$J1379,'Historico - FAT'!$G:$G,Faturamento!$H1379)</f>
        <v>111.61333333333334</v>
      </c>
      <c r="AD1379" s="31">
        <f>SUMIFS('Historico - FAT'!AM:AM,'Historico - FAT'!$K:$K,Faturamento!$L1379,'Historico - FAT'!$I:$I,Faturamento!$J1379,'Historico - FAT'!$G:$G,Faturamento!$H1379)</f>
        <v>70.399999999999991</v>
      </c>
      <c r="AE1379" s="27">
        <f>SUMIFS('Historico - FAT'!AN:AN,'Historico - FAT'!$K:$K,Faturamento!$L1379,'Historico - FAT'!$I:$I,Faturamento!$J1379,'Historico - FAT'!$G:$G,Faturamento!$H1379)</f>
        <v>133.93600000000001</v>
      </c>
      <c r="AG1379" s="24">
        <f t="shared" si="317"/>
        <v>2.0938978494623655</v>
      </c>
      <c r="AH1379" s="24">
        <f t="shared" si="318"/>
        <v>9.9892473118279479E-2</v>
      </c>
      <c r="AI1379" s="24">
        <f t="shared" si="319"/>
        <v>0.43225806451612908</v>
      </c>
    </row>
    <row r="1380" spans="1:35" hidden="1" x14ac:dyDescent="0.3">
      <c r="A1380" s="2" t="str">
        <f t="shared" si="316"/>
        <v>NÃO</v>
      </c>
      <c r="B1380" s="2">
        <v>1000184670</v>
      </c>
      <c r="C1380" s="2" t="s">
        <v>147</v>
      </c>
      <c r="D1380" s="4">
        <v>1000186197</v>
      </c>
      <c r="E1380" s="4" t="s">
        <v>166</v>
      </c>
      <c r="F1380" s="2">
        <v>1000184762</v>
      </c>
      <c r="G1380" s="2" t="s">
        <v>58</v>
      </c>
      <c r="H1380" s="4">
        <v>1000189817</v>
      </c>
      <c r="I1380" s="4" t="s">
        <v>94</v>
      </c>
      <c r="J1380" s="2">
        <v>1000189270</v>
      </c>
      <c r="K1380" s="2" t="s">
        <v>34</v>
      </c>
      <c r="L1380" s="4" t="s">
        <v>24</v>
      </c>
      <c r="M1380" s="4" t="str">
        <f t="shared" si="323"/>
        <v>1000184670100018619710001898171000189270KIDS</v>
      </c>
      <c r="N1380" s="28">
        <f>N1372*_xlfn.XLOOKUP($L1380,'Balizador da Meta'!$B$4:$B$21,'Balizador da Meta'!$C$4:$C$21)</f>
        <v>0</v>
      </c>
      <c r="O1380" s="28">
        <f>O1372*_xlfn.XLOOKUP($L1380,'Balizador da Meta'!$B$4:$B$21,'Balizador da Meta'!$C$4:$C$21)</f>
        <v>0</v>
      </c>
      <c r="P1380" s="28">
        <f>P1372*_xlfn.XLOOKUP($L1380,'Balizador da Meta'!$B$4:$B$21,'Balizador da Meta'!$C$4:$C$21)</f>
        <v>0</v>
      </c>
      <c r="Q1380" s="28">
        <f>Q1372*_xlfn.XLOOKUP($L1380,'Balizador da Meta'!$B$4:$B$21,'Balizador da Meta'!$C$4:$C$21)</f>
        <v>0</v>
      </c>
      <c r="R1380" s="28">
        <f>R1372*_xlfn.XLOOKUP($L1380,'Balizador da Meta'!$B$4:$B$21,'Balizador da Meta'!$C$4:$C$21)</f>
        <v>0</v>
      </c>
      <c r="S1380" s="28">
        <f>S1372*_xlfn.XLOOKUP($L1380,'Balizador da Meta'!$B$4:$B$21,'Balizador da Meta'!$C$4:$C$21)</f>
        <v>0</v>
      </c>
      <c r="T1380" s="28">
        <f>T1372*_xlfn.XLOOKUP($L1380,'Balizador da Meta'!$B$4:$B$21,'Balizador da Meta'!$C$4:$C$21)</f>
        <v>0</v>
      </c>
      <c r="U1380" s="28">
        <f>U1372*_xlfn.XLOOKUP($L1380,'Balizador da Meta'!$B$4:$B$21,'Balizador da Meta'!$C$4:$C$21)</f>
        <v>0</v>
      </c>
      <c r="V1380" s="28">
        <f>V1372*_xlfn.XLOOKUP($L1380,'Balizador da Meta'!$B$4:$B$21,'Balizador da Meta'!$C$4:$C$21)</f>
        <v>0</v>
      </c>
      <c r="W1380" s="28">
        <f>W1372*_xlfn.XLOOKUP($L1380,'Balizador da Meta'!$B$4:$B$21,'Balizador da Meta'!$C$4:$C$21)</f>
        <v>0</v>
      </c>
      <c r="X1380" s="28">
        <f>X1372*_xlfn.XLOOKUP($L1380,'Balizador da Meta'!$B$4:$B$21,'Balizador da Meta'!$C$4:$C$21)</f>
        <v>0</v>
      </c>
      <c r="Y1380" s="28">
        <f>Y1372*_xlfn.XLOOKUP($L1380,'Balizador da Meta'!$B$4:$B$21,'Balizador da Meta'!$C$4:$C$21)</f>
        <v>0</v>
      </c>
      <c r="Z1380" s="30">
        <f t="shared" si="329"/>
        <v>0</v>
      </c>
      <c r="AA1380" s="29"/>
      <c r="AB1380" s="31">
        <f>SUMIFS('Historico - FAT'!AK:AK,'Historico - FAT'!$K:$K,Faturamento!$L1380,'Historico - FAT'!$I:$I,Faturamento!$J1380,'Historico - FAT'!$G:$G,Faturamento!$H1380)</f>
        <v>0</v>
      </c>
      <c r="AC1380" s="31">
        <f>SUMIFS('Historico - FAT'!AL:AL,'Historico - FAT'!$K:$K,Faturamento!$L1380,'Historico - FAT'!$I:$I,Faturamento!$J1380,'Historico - FAT'!$G:$G,Faturamento!$H1380)</f>
        <v>2.8041666666666667</v>
      </c>
      <c r="AD1380" s="31">
        <f>SUMIFS('Historico - FAT'!AM:AM,'Historico - FAT'!$K:$K,Faturamento!$L1380,'Historico - FAT'!$I:$I,Faturamento!$J1380,'Historico - FAT'!$G:$G,Faturamento!$H1380)</f>
        <v>0</v>
      </c>
      <c r="AE1380" s="27">
        <f>SUMIFS('Historico - FAT'!AN:AN,'Historico - FAT'!$K:$K,Faturamento!$L1380,'Historico - FAT'!$I:$I,Faturamento!$J1380,'Historico - FAT'!$G:$G,Faturamento!$H1380)</f>
        <v>3.3649999999999998</v>
      </c>
      <c r="AG1380" s="24" t="str">
        <f t="shared" si="317"/>
        <v/>
      </c>
      <c r="AH1380" s="24" t="str">
        <f t="shared" si="318"/>
        <v/>
      </c>
      <c r="AI1380" s="24" t="str">
        <f t="shared" si="319"/>
        <v/>
      </c>
    </row>
    <row r="1381" spans="1:35" hidden="1" x14ac:dyDescent="0.3">
      <c r="A1381" s="2" t="str">
        <f t="shared" si="316"/>
        <v>NÃO</v>
      </c>
      <c r="B1381" s="2">
        <v>1000184670</v>
      </c>
      <c r="C1381" s="2" t="s">
        <v>147</v>
      </c>
      <c r="D1381" s="4">
        <v>1000186197</v>
      </c>
      <c r="E1381" s="4" t="s">
        <v>166</v>
      </c>
      <c r="F1381" s="2">
        <v>1000184762</v>
      </c>
      <c r="G1381" s="2" t="s">
        <v>58</v>
      </c>
      <c r="H1381" s="4">
        <v>1000189817</v>
      </c>
      <c r="I1381" s="4" t="s">
        <v>94</v>
      </c>
      <c r="J1381" s="2">
        <v>1000189270</v>
      </c>
      <c r="K1381" s="2" t="s">
        <v>34</v>
      </c>
      <c r="L1381" s="4" t="s">
        <v>18</v>
      </c>
      <c r="M1381" s="4" t="str">
        <f t="shared" si="323"/>
        <v>1000184670100018619710001898171000189270LANCHES</v>
      </c>
      <c r="N1381" s="28">
        <f>N1372*_xlfn.XLOOKUP($L1381,'Balizador da Meta'!$B$4:$B$21,'Balizador da Meta'!$C$4:$C$21)</f>
        <v>48</v>
      </c>
      <c r="O1381" s="28">
        <f>O1372*_xlfn.XLOOKUP($L1381,'Balizador da Meta'!$B$4:$B$21,'Balizador da Meta'!$C$4:$C$21)</f>
        <v>54</v>
      </c>
      <c r="P1381" s="28">
        <f>P1372*_xlfn.XLOOKUP($L1381,'Balizador da Meta'!$B$4:$B$21,'Balizador da Meta'!$C$4:$C$21)</f>
        <v>54</v>
      </c>
      <c r="Q1381" s="28">
        <f>Q1372*_xlfn.XLOOKUP($L1381,'Balizador da Meta'!$B$4:$B$21,'Balizador da Meta'!$C$4:$C$21)</f>
        <v>54</v>
      </c>
      <c r="R1381" s="28">
        <f>R1372*_xlfn.XLOOKUP($L1381,'Balizador da Meta'!$B$4:$B$21,'Balizador da Meta'!$C$4:$C$21)</f>
        <v>54</v>
      </c>
      <c r="S1381" s="28">
        <f>S1372*_xlfn.XLOOKUP($L1381,'Balizador da Meta'!$B$4:$B$21,'Balizador da Meta'!$C$4:$C$21)</f>
        <v>54</v>
      </c>
      <c r="T1381" s="28">
        <f>T1372*_xlfn.XLOOKUP($L1381,'Balizador da Meta'!$B$4:$B$21,'Balizador da Meta'!$C$4:$C$21)</f>
        <v>60</v>
      </c>
      <c r="U1381" s="28">
        <f>U1372*_xlfn.XLOOKUP($L1381,'Balizador da Meta'!$B$4:$B$21,'Balizador da Meta'!$C$4:$C$21)</f>
        <v>60</v>
      </c>
      <c r="V1381" s="28">
        <f>V1372*_xlfn.XLOOKUP($L1381,'Balizador da Meta'!$B$4:$B$21,'Balizador da Meta'!$C$4:$C$21)</f>
        <v>60</v>
      </c>
      <c r="W1381" s="28">
        <f>W1372*_xlfn.XLOOKUP($L1381,'Balizador da Meta'!$B$4:$B$21,'Balizador da Meta'!$C$4:$C$21)</f>
        <v>60</v>
      </c>
      <c r="X1381" s="28">
        <f>X1372*_xlfn.XLOOKUP($L1381,'Balizador da Meta'!$B$4:$B$21,'Balizador da Meta'!$C$4:$C$21)</f>
        <v>60</v>
      </c>
      <c r="Y1381" s="28">
        <f>Y1372*_xlfn.XLOOKUP($L1381,'Balizador da Meta'!$B$4:$B$21,'Balizador da Meta'!$C$4:$C$21)</f>
        <v>66</v>
      </c>
      <c r="Z1381" s="30">
        <f t="shared" si="329"/>
        <v>684</v>
      </c>
      <c r="AA1381" s="29"/>
      <c r="AB1381" s="31">
        <f>SUMIFS('Historico - FAT'!AK:AK,'Historico - FAT'!$K:$K,Faturamento!$L1381,'Historico - FAT'!$I:$I,Faturamento!$J1381,'Historico - FAT'!$G:$G,Faturamento!$H1381)</f>
        <v>291.73333333333335</v>
      </c>
      <c r="AC1381" s="31">
        <f>SUMIFS('Historico - FAT'!AL:AL,'Historico - FAT'!$K:$K,Faturamento!$L1381,'Historico - FAT'!$I:$I,Faturamento!$J1381,'Historico - FAT'!$G:$G,Faturamento!$H1381)</f>
        <v>59.385000000000012</v>
      </c>
      <c r="AD1381" s="31">
        <f>SUMIFS('Historico - FAT'!AM:AM,'Historico - FAT'!$K:$K,Faturamento!$L1381,'Historico - FAT'!$I:$I,Faturamento!$J1381,'Historico - FAT'!$G:$G,Faturamento!$H1381)</f>
        <v>30.8</v>
      </c>
      <c r="AE1381" s="27">
        <f>SUMIFS('Historico - FAT'!AN:AN,'Historico - FAT'!$K:$K,Faturamento!$L1381,'Historico - FAT'!$I:$I,Faturamento!$J1381,'Historico - FAT'!$G:$G,Faturamento!$H1381)</f>
        <v>71.262000000000015</v>
      </c>
      <c r="AG1381" s="24">
        <f t="shared" si="317"/>
        <v>-3.7053763440860217</v>
      </c>
      <c r="AH1381" s="24">
        <f t="shared" si="318"/>
        <v>4.2177419354838513E-2</v>
      </c>
      <c r="AI1381" s="24">
        <f t="shared" si="319"/>
        <v>0.50322580645161286</v>
      </c>
    </row>
    <row r="1382" spans="1:35" hidden="1" x14ac:dyDescent="0.3">
      <c r="A1382" s="2" t="str">
        <f t="shared" si="316"/>
        <v>NÃO</v>
      </c>
      <c r="B1382" s="2">
        <v>1000184670</v>
      </c>
      <c r="C1382" s="2" t="s">
        <v>147</v>
      </c>
      <c r="D1382" s="4">
        <v>1000186197</v>
      </c>
      <c r="E1382" s="4" t="s">
        <v>166</v>
      </c>
      <c r="F1382" s="2">
        <v>1000184762</v>
      </c>
      <c r="G1382" s="2" t="s">
        <v>58</v>
      </c>
      <c r="H1382" s="4">
        <v>1000189817</v>
      </c>
      <c r="I1382" s="4" t="s">
        <v>94</v>
      </c>
      <c r="J1382" s="2">
        <v>1000189270</v>
      </c>
      <c r="K1382" s="2" t="s">
        <v>34</v>
      </c>
      <c r="L1382" s="4" t="s">
        <v>29</v>
      </c>
      <c r="M1382" s="4" t="str">
        <f t="shared" si="323"/>
        <v>1000184670100018619710001898171000189270MAIS GRANEL</v>
      </c>
      <c r="N1382" s="28">
        <f>N1372*_xlfn.XLOOKUP($L1382,'Balizador da Meta'!$B$4:$B$21,'Balizador da Meta'!$C$4:$C$21)</f>
        <v>1536</v>
      </c>
      <c r="O1382" s="28">
        <f>O1372*_xlfn.XLOOKUP($L1382,'Balizador da Meta'!$B$4:$B$21,'Balizador da Meta'!$C$4:$C$21)</f>
        <v>1728</v>
      </c>
      <c r="P1382" s="28">
        <f>P1372*_xlfn.XLOOKUP($L1382,'Balizador da Meta'!$B$4:$B$21,'Balizador da Meta'!$C$4:$C$21)</f>
        <v>1728</v>
      </c>
      <c r="Q1382" s="28">
        <f>Q1372*_xlfn.XLOOKUP($L1382,'Balizador da Meta'!$B$4:$B$21,'Balizador da Meta'!$C$4:$C$21)</f>
        <v>1728</v>
      </c>
      <c r="R1382" s="28">
        <f>R1372*_xlfn.XLOOKUP($L1382,'Balizador da Meta'!$B$4:$B$21,'Balizador da Meta'!$C$4:$C$21)</f>
        <v>1728</v>
      </c>
      <c r="S1382" s="28">
        <f>S1372*_xlfn.XLOOKUP($L1382,'Balizador da Meta'!$B$4:$B$21,'Balizador da Meta'!$C$4:$C$21)</f>
        <v>1728</v>
      </c>
      <c r="T1382" s="28">
        <f>T1372*_xlfn.XLOOKUP($L1382,'Balizador da Meta'!$B$4:$B$21,'Balizador da Meta'!$C$4:$C$21)</f>
        <v>1920</v>
      </c>
      <c r="U1382" s="28">
        <f>U1372*_xlfn.XLOOKUP($L1382,'Balizador da Meta'!$B$4:$B$21,'Balizador da Meta'!$C$4:$C$21)</f>
        <v>1920</v>
      </c>
      <c r="V1382" s="28">
        <f>V1372*_xlfn.XLOOKUP($L1382,'Balizador da Meta'!$B$4:$B$21,'Balizador da Meta'!$C$4:$C$21)</f>
        <v>1920</v>
      </c>
      <c r="W1382" s="28">
        <f>W1372*_xlfn.XLOOKUP($L1382,'Balizador da Meta'!$B$4:$B$21,'Balizador da Meta'!$C$4:$C$21)</f>
        <v>1920</v>
      </c>
      <c r="X1382" s="28">
        <f>X1372*_xlfn.XLOOKUP($L1382,'Balizador da Meta'!$B$4:$B$21,'Balizador da Meta'!$C$4:$C$21)</f>
        <v>1920</v>
      </c>
      <c r="Y1382" s="28">
        <f>Y1372*_xlfn.XLOOKUP($L1382,'Balizador da Meta'!$B$4:$B$21,'Balizador da Meta'!$C$4:$C$21)</f>
        <v>2112</v>
      </c>
      <c r="Z1382" s="30">
        <f t="shared" si="329"/>
        <v>21888</v>
      </c>
      <c r="AA1382" s="29"/>
      <c r="AB1382" s="31">
        <f>SUMIFS('Historico - FAT'!AK:AK,'Historico - FAT'!$K:$K,Faturamento!$L1382,'Historico - FAT'!$I:$I,Faturamento!$J1382,'Historico - FAT'!$G:$G,Faturamento!$H1382)</f>
        <v>0</v>
      </c>
      <c r="AC1382" s="31">
        <f>SUMIFS('Historico - FAT'!AL:AL,'Historico - FAT'!$K:$K,Faturamento!$L1382,'Historico - FAT'!$I:$I,Faturamento!$J1382,'Historico - FAT'!$G:$G,Faturamento!$H1382)</f>
        <v>1230.0366666666666</v>
      </c>
      <c r="AD1382" s="31">
        <f>SUMIFS('Historico - FAT'!AM:AM,'Historico - FAT'!$K:$K,Faturamento!$L1382,'Historico - FAT'!$I:$I,Faturamento!$J1382,'Historico - FAT'!$G:$G,Faturamento!$H1382)</f>
        <v>2460.0733333333333</v>
      </c>
      <c r="AE1382" s="27">
        <f>SUMIFS('Historico - FAT'!AN:AN,'Historico - FAT'!$K:$K,Faturamento!$L1382,'Historico - FAT'!$I:$I,Faturamento!$J1382,'Historico - FAT'!$G:$G,Faturamento!$H1382)</f>
        <v>1476.0439999999999</v>
      </c>
      <c r="AG1382" s="24">
        <f t="shared" si="317"/>
        <v>1</v>
      </c>
      <c r="AH1382" s="24">
        <f t="shared" si="318"/>
        <v>0.3800218413978495</v>
      </c>
      <c r="AI1382" s="24">
        <f t="shared" si="319"/>
        <v>-0.23995631720430105</v>
      </c>
    </row>
    <row r="1383" spans="1:35" hidden="1" x14ac:dyDescent="0.3">
      <c r="A1383" s="2" t="str">
        <f t="shared" si="316"/>
        <v>NÃO</v>
      </c>
      <c r="B1383" s="2">
        <v>1000184670</v>
      </c>
      <c r="C1383" s="2" t="s">
        <v>147</v>
      </c>
      <c r="D1383" s="4">
        <v>1000186197</v>
      </c>
      <c r="E1383" s="4" t="s">
        <v>166</v>
      </c>
      <c r="F1383" s="2">
        <v>1000184762</v>
      </c>
      <c r="G1383" s="2" t="s">
        <v>58</v>
      </c>
      <c r="H1383" s="4">
        <v>1000189817</v>
      </c>
      <c r="I1383" s="4" t="s">
        <v>94</v>
      </c>
      <c r="J1383" s="2">
        <v>1000189270</v>
      </c>
      <c r="K1383" s="2" t="s">
        <v>34</v>
      </c>
      <c r="L1383" s="4" t="s">
        <v>21</v>
      </c>
      <c r="M1383" s="4" t="str">
        <f t="shared" si="323"/>
        <v>1000184670100018619710001898171000189270NATURATTA</v>
      </c>
      <c r="N1383" s="28">
        <f>N1372*_xlfn.XLOOKUP($L1383,'Balizador da Meta'!$B$4:$B$21,'Balizador da Meta'!$C$4:$C$21)</f>
        <v>240</v>
      </c>
      <c r="O1383" s="28">
        <f>O1372*_xlfn.XLOOKUP($L1383,'Balizador da Meta'!$B$4:$B$21,'Balizador da Meta'!$C$4:$C$21)</f>
        <v>270</v>
      </c>
      <c r="P1383" s="28">
        <f>P1372*_xlfn.XLOOKUP($L1383,'Balizador da Meta'!$B$4:$B$21,'Balizador da Meta'!$C$4:$C$21)</f>
        <v>270</v>
      </c>
      <c r="Q1383" s="28">
        <f>Q1372*_xlfn.XLOOKUP($L1383,'Balizador da Meta'!$B$4:$B$21,'Balizador da Meta'!$C$4:$C$21)</f>
        <v>270</v>
      </c>
      <c r="R1383" s="28">
        <f>R1372*_xlfn.XLOOKUP($L1383,'Balizador da Meta'!$B$4:$B$21,'Balizador da Meta'!$C$4:$C$21)</f>
        <v>270</v>
      </c>
      <c r="S1383" s="28">
        <f>S1372*_xlfn.XLOOKUP($L1383,'Balizador da Meta'!$B$4:$B$21,'Balizador da Meta'!$C$4:$C$21)</f>
        <v>270</v>
      </c>
      <c r="T1383" s="28">
        <f>T1372*_xlfn.XLOOKUP($L1383,'Balizador da Meta'!$B$4:$B$21,'Balizador da Meta'!$C$4:$C$21)</f>
        <v>300</v>
      </c>
      <c r="U1383" s="28">
        <f>U1372*_xlfn.XLOOKUP($L1383,'Balizador da Meta'!$B$4:$B$21,'Balizador da Meta'!$C$4:$C$21)</f>
        <v>300</v>
      </c>
      <c r="V1383" s="28">
        <f>V1372*_xlfn.XLOOKUP($L1383,'Balizador da Meta'!$B$4:$B$21,'Balizador da Meta'!$C$4:$C$21)</f>
        <v>300</v>
      </c>
      <c r="W1383" s="28">
        <f>W1372*_xlfn.XLOOKUP($L1383,'Balizador da Meta'!$B$4:$B$21,'Balizador da Meta'!$C$4:$C$21)</f>
        <v>300</v>
      </c>
      <c r="X1383" s="28">
        <f>X1372*_xlfn.XLOOKUP($L1383,'Balizador da Meta'!$B$4:$B$21,'Balizador da Meta'!$C$4:$C$21)</f>
        <v>300</v>
      </c>
      <c r="Y1383" s="28">
        <f>Y1372*_xlfn.XLOOKUP($L1383,'Balizador da Meta'!$B$4:$B$21,'Balizador da Meta'!$C$4:$C$21)</f>
        <v>330</v>
      </c>
      <c r="Z1383" s="30">
        <f t="shared" si="329"/>
        <v>3420</v>
      </c>
      <c r="AA1383" s="29"/>
      <c r="AB1383" s="31">
        <f>SUMIFS('Historico - FAT'!AK:AK,'Historico - FAT'!$K:$K,Faturamento!$L1383,'Historico - FAT'!$I:$I,Faturamento!$J1383,'Historico - FAT'!$G:$G,Faturamento!$H1383)</f>
        <v>-71.924999999999997</v>
      </c>
      <c r="AC1383" s="31">
        <f>SUMIFS('Historico - FAT'!AL:AL,'Historico - FAT'!$K:$K,Faturamento!$L1383,'Historico - FAT'!$I:$I,Faturamento!$J1383,'Historico - FAT'!$G:$G,Faturamento!$H1383)</f>
        <v>159.57250000000002</v>
      </c>
      <c r="AD1383" s="31">
        <f>SUMIFS('Historico - FAT'!AM:AM,'Historico - FAT'!$K:$K,Faturamento!$L1383,'Historico - FAT'!$I:$I,Faturamento!$J1383,'Historico - FAT'!$G:$G,Faturamento!$H1383)</f>
        <v>151.73666666666668</v>
      </c>
      <c r="AE1383" s="27">
        <f>SUMIFS('Historico - FAT'!AN:AN,'Historico - FAT'!$K:$K,Faturamento!$L1383,'Historico - FAT'!$I:$I,Faturamento!$J1383,'Historico - FAT'!$G:$G,Faturamento!$H1383)</f>
        <v>191.48700000000002</v>
      </c>
      <c r="AG1383" s="24">
        <f t="shared" si="317"/>
        <v>1.2320161290322582</v>
      </c>
      <c r="AH1383" s="24">
        <f t="shared" si="318"/>
        <v>0.48524999999999996</v>
      </c>
      <c r="AI1383" s="24">
        <f t="shared" si="319"/>
        <v>0.51052688172043004</v>
      </c>
    </row>
    <row r="1384" spans="1:35" hidden="1" x14ac:dyDescent="0.3">
      <c r="A1384" s="2" t="str">
        <f t="shared" si="316"/>
        <v>NÃO</v>
      </c>
      <c r="B1384" s="2">
        <v>1000184670</v>
      </c>
      <c r="C1384" s="2" t="s">
        <v>147</v>
      </c>
      <c r="D1384" s="4">
        <v>1000186197</v>
      </c>
      <c r="E1384" s="4" t="s">
        <v>166</v>
      </c>
      <c r="F1384" s="2">
        <v>1000184762</v>
      </c>
      <c r="G1384" s="2" t="s">
        <v>58</v>
      </c>
      <c r="H1384" s="4">
        <v>1000189817</v>
      </c>
      <c r="I1384" s="4" t="s">
        <v>94</v>
      </c>
      <c r="J1384" s="2">
        <v>1000189270</v>
      </c>
      <c r="K1384" s="2" t="s">
        <v>34</v>
      </c>
      <c r="L1384" s="4" t="s">
        <v>20</v>
      </c>
      <c r="M1384" s="4" t="str">
        <f t="shared" si="323"/>
        <v>1000184670100018619710001898171000189270REEMBALADOS</v>
      </c>
      <c r="N1384" s="28">
        <f>N1372*_xlfn.XLOOKUP($L1384,'Balizador da Meta'!$B$4:$B$21,'Balizador da Meta'!$C$4:$C$21)</f>
        <v>192</v>
      </c>
      <c r="O1384" s="28">
        <f>O1372*_xlfn.XLOOKUP($L1384,'Balizador da Meta'!$B$4:$B$21,'Balizador da Meta'!$C$4:$C$21)</f>
        <v>216</v>
      </c>
      <c r="P1384" s="28">
        <f>P1372*_xlfn.XLOOKUP($L1384,'Balizador da Meta'!$B$4:$B$21,'Balizador da Meta'!$C$4:$C$21)</f>
        <v>216</v>
      </c>
      <c r="Q1384" s="28">
        <f>Q1372*_xlfn.XLOOKUP($L1384,'Balizador da Meta'!$B$4:$B$21,'Balizador da Meta'!$C$4:$C$21)</f>
        <v>216</v>
      </c>
      <c r="R1384" s="28">
        <f>R1372*_xlfn.XLOOKUP($L1384,'Balizador da Meta'!$B$4:$B$21,'Balizador da Meta'!$C$4:$C$21)</f>
        <v>216</v>
      </c>
      <c r="S1384" s="28">
        <f>S1372*_xlfn.XLOOKUP($L1384,'Balizador da Meta'!$B$4:$B$21,'Balizador da Meta'!$C$4:$C$21)</f>
        <v>216</v>
      </c>
      <c r="T1384" s="28">
        <f>T1372*_xlfn.XLOOKUP($L1384,'Balizador da Meta'!$B$4:$B$21,'Balizador da Meta'!$C$4:$C$21)</f>
        <v>240</v>
      </c>
      <c r="U1384" s="28">
        <f>U1372*_xlfn.XLOOKUP($L1384,'Balizador da Meta'!$B$4:$B$21,'Balizador da Meta'!$C$4:$C$21)</f>
        <v>240</v>
      </c>
      <c r="V1384" s="28">
        <f>V1372*_xlfn.XLOOKUP($L1384,'Balizador da Meta'!$B$4:$B$21,'Balizador da Meta'!$C$4:$C$21)</f>
        <v>240</v>
      </c>
      <c r="W1384" s="28">
        <f>W1372*_xlfn.XLOOKUP($L1384,'Balizador da Meta'!$B$4:$B$21,'Balizador da Meta'!$C$4:$C$21)</f>
        <v>240</v>
      </c>
      <c r="X1384" s="28">
        <f>X1372*_xlfn.XLOOKUP($L1384,'Balizador da Meta'!$B$4:$B$21,'Balizador da Meta'!$C$4:$C$21)</f>
        <v>240</v>
      </c>
      <c r="Y1384" s="28">
        <f>Y1372*_xlfn.XLOOKUP($L1384,'Balizador da Meta'!$B$4:$B$21,'Balizador da Meta'!$C$4:$C$21)</f>
        <v>264</v>
      </c>
      <c r="Z1384" s="30">
        <f t="shared" si="329"/>
        <v>2736</v>
      </c>
      <c r="AA1384" s="29"/>
      <c r="AB1384" s="31">
        <f>SUMIFS('Historico - FAT'!AK:AK,'Historico - FAT'!$K:$K,Faturamento!$L1384,'Historico - FAT'!$I:$I,Faturamento!$J1384,'Historico - FAT'!$G:$G,Faturamento!$H1384)</f>
        <v>-113.81166666666667</v>
      </c>
      <c r="AC1384" s="31">
        <f>SUMIFS('Historico - FAT'!AL:AL,'Historico - FAT'!$K:$K,Faturamento!$L1384,'Historico - FAT'!$I:$I,Faturamento!$J1384,'Historico - FAT'!$G:$G,Faturamento!$H1384)</f>
        <v>54.798333333333346</v>
      </c>
      <c r="AD1384" s="31">
        <f>SUMIFS('Historico - FAT'!AM:AM,'Historico - FAT'!$K:$K,Faturamento!$L1384,'Historico - FAT'!$I:$I,Faturamento!$J1384,'Historico - FAT'!$G:$G,Faturamento!$H1384)</f>
        <v>23.675000000000001</v>
      </c>
      <c r="AE1384" s="27">
        <f>SUMIFS('Historico - FAT'!AN:AN,'Historico - FAT'!$K:$K,Faturamento!$L1384,'Historico - FAT'!$I:$I,Faturamento!$J1384,'Historico - FAT'!$G:$G,Faturamento!$H1384)</f>
        <v>65.75800000000001</v>
      </c>
      <c r="AG1384" s="24">
        <f t="shared" si="317"/>
        <v>1.4589180107526882</v>
      </c>
      <c r="AH1384" s="24">
        <f t="shared" si="318"/>
        <v>0.77903897849462356</v>
      </c>
      <c r="AI1384" s="24">
        <f t="shared" si="319"/>
        <v>0.90453629032258065</v>
      </c>
    </row>
    <row r="1385" spans="1:35" hidden="1" x14ac:dyDescent="0.3">
      <c r="A1385" s="2" t="str">
        <f t="shared" si="316"/>
        <v>NÃO</v>
      </c>
      <c r="B1385" s="2">
        <v>1000184670</v>
      </c>
      <c r="C1385" s="2" t="s">
        <v>147</v>
      </c>
      <c r="D1385" s="4">
        <v>1000186197</v>
      </c>
      <c r="E1385" s="4" t="s">
        <v>166</v>
      </c>
      <c r="F1385" s="2">
        <v>1000184762</v>
      </c>
      <c r="G1385" s="2" t="s">
        <v>58</v>
      </c>
      <c r="H1385" s="4">
        <v>1000189817</v>
      </c>
      <c r="I1385" s="4" t="s">
        <v>94</v>
      </c>
      <c r="J1385" s="2">
        <v>1000189270</v>
      </c>
      <c r="K1385" s="2" t="s">
        <v>34</v>
      </c>
      <c r="L1385" s="4" t="s">
        <v>22</v>
      </c>
      <c r="M1385" s="4" t="str">
        <f t="shared" si="323"/>
        <v>1000184670100018619710001898171000189270S GLUTEN</v>
      </c>
      <c r="N1385" s="28">
        <f>N1372*_xlfn.XLOOKUP($L1385,'Balizador da Meta'!$B$4:$B$21,'Balizador da Meta'!$C$4:$C$21)</f>
        <v>192</v>
      </c>
      <c r="O1385" s="28">
        <f>O1372*_xlfn.XLOOKUP($L1385,'Balizador da Meta'!$B$4:$B$21,'Balizador da Meta'!$C$4:$C$21)</f>
        <v>216</v>
      </c>
      <c r="P1385" s="28">
        <f>P1372*_xlfn.XLOOKUP($L1385,'Balizador da Meta'!$B$4:$B$21,'Balizador da Meta'!$C$4:$C$21)</f>
        <v>216</v>
      </c>
      <c r="Q1385" s="28">
        <f>Q1372*_xlfn.XLOOKUP($L1385,'Balizador da Meta'!$B$4:$B$21,'Balizador da Meta'!$C$4:$C$21)</f>
        <v>216</v>
      </c>
      <c r="R1385" s="28">
        <f>R1372*_xlfn.XLOOKUP($L1385,'Balizador da Meta'!$B$4:$B$21,'Balizador da Meta'!$C$4:$C$21)</f>
        <v>216</v>
      </c>
      <c r="S1385" s="28">
        <f>S1372*_xlfn.XLOOKUP($L1385,'Balizador da Meta'!$B$4:$B$21,'Balizador da Meta'!$C$4:$C$21)</f>
        <v>216</v>
      </c>
      <c r="T1385" s="28">
        <f>T1372*_xlfn.XLOOKUP($L1385,'Balizador da Meta'!$B$4:$B$21,'Balizador da Meta'!$C$4:$C$21)</f>
        <v>240</v>
      </c>
      <c r="U1385" s="28">
        <f>U1372*_xlfn.XLOOKUP($L1385,'Balizador da Meta'!$B$4:$B$21,'Balizador da Meta'!$C$4:$C$21)</f>
        <v>240</v>
      </c>
      <c r="V1385" s="28">
        <f>V1372*_xlfn.XLOOKUP($L1385,'Balizador da Meta'!$B$4:$B$21,'Balizador da Meta'!$C$4:$C$21)</f>
        <v>240</v>
      </c>
      <c r="W1385" s="28">
        <f>W1372*_xlfn.XLOOKUP($L1385,'Balizador da Meta'!$B$4:$B$21,'Balizador da Meta'!$C$4:$C$21)</f>
        <v>240</v>
      </c>
      <c r="X1385" s="28">
        <f>X1372*_xlfn.XLOOKUP($L1385,'Balizador da Meta'!$B$4:$B$21,'Balizador da Meta'!$C$4:$C$21)</f>
        <v>240</v>
      </c>
      <c r="Y1385" s="28">
        <f>Y1372*_xlfn.XLOOKUP($L1385,'Balizador da Meta'!$B$4:$B$21,'Balizador da Meta'!$C$4:$C$21)</f>
        <v>264</v>
      </c>
      <c r="Z1385" s="30">
        <f t="shared" si="329"/>
        <v>2736</v>
      </c>
      <c r="AA1385" s="29"/>
      <c r="AB1385" s="31">
        <f>SUMIFS('Historico - FAT'!AK:AK,'Historico - FAT'!$K:$K,Faturamento!$L1385,'Historico - FAT'!$I:$I,Faturamento!$J1385,'Historico - FAT'!$G:$G,Faturamento!$H1385)</f>
        <v>813.61749999999995</v>
      </c>
      <c r="AC1385" s="31">
        <f>SUMIFS('Historico - FAT'!AL:AL,'Historico - FAT'!$K:$K,Faturamento!$L1385,'Historico - FAT'!$I:$I,Faturamento!$J1385,'Historico - FAT'!$G:$G,Faturamento!$H1385)</f>
        <v>854.81000000000006</v>
      </c>
      <c r="AD1385" s="31">
        <f>SUMIFS('Historico - FAT'!AM:AM,'Historico - FAT'!$K:$K,Faturamento!$L1385,'Historico - FAT'!$I:$I,Faturamento!$J1385,'Historico - FAT'!$G:$G,Faturamento!$H1385)</f>
        <v>973.9083333333333</v>
      </c>
      <c r="AE1385" s="27">
        <f>SUMIFS('Historico - FAT'!AN:AN,'Historico - FAT'!$K:$K,Faturamento!$L1385,'Historico - FAT'!$I:$I,Faturamento!$J1385,'Historico - FAT'!$G:$G,Faturamento!$H1385)</f>
        <v>998.47200000000009</v>
      </c>
      <c r="AG1385" s="24">
        <f t="shared" si="317"/>
        <v>-2.2807157258064512</v>
      </c>
      <c r="AH1385" s="24">
        <f t="shared" si="318"/>
        <v>-2.4468145161290327</v>
      </c>
      <c r="AI1385" s="24">
        <f t="shared" si="319"/>
        <v>-2.9270497311827954</v>
      </c>
    </row>
    <row r="1386" spans="1:35" hidden="1" x14ac:dyDescent="0.3">
      <c r="A1386" s="2" t="str">
        <f t="shared" si="316"/>
        <v>NÃO</v>
      </c>
      <c r="B1386" s="2">
        <v>1000184670</v>
      </c>
      <c r="C1386" s="2" t="s">
        <v>147</v>
      </c>
      <c r="D1386" s="4">
        <v>1000186197</v>
      </c>
      <c r="E1386" s="4" t="s">
        <v>166</v>
      </c>
      <c r="F1386" s="2">
        <v>1000184762</v>
      </c>
      <c r="G1386" s="2" t="s">
        <v>58</v>
      </c>
      <c r="H1386" s="4">
        <v>1000189817</v>
      </c>
      <c r="I1386" s="4" t="s">
        <v>94</v>
      </c>
      <c r="J1386" s="2">
        <v>1000189270</v>
      </c>
      <c r="K1386" s="2" t="s">
        <v>34</v>
      </c>
      <c r="L1386" s="4" t="s">
        <v>23</v>
      </c>
      <c r="M1386" s="4" t="str">
        <f t="shared" si="323"/>
        <v>1000184670100018619710001898171000189270SABORES DO CAMPO</v>
      </c>
      <c r="N1386" s="28">
        <f>N1372*_xlfn.XLOOKUP($L1386,'Balizador da Meta'!$B$4:$B$21,'Balizador da Meta'!$C$4:$C$21)</f>
        <v>0</v>
      </c>
      <c r="O1386" s="28">
        <f>O1372*_xlfn.XLOOKUP($L1386,'Balizador da Meta'!$B$4:$B$21,'Balizador da Meta'!$C$4:$C$21)</f>
        <v>0</v>
      </c>
      <c r="P1386" s="28">
        <f>P1372*_xlfn.XLOOKUP($L1386,'Balizador da Meta'!$B$4:$B$21,'Balizador da Meta'!$C$4:$C$21)</f>
        <v>0</v>
      </c>
      <c r="Q1386" s="28">
        <f>Q1372*_xlfn.XLOOKUP($L1386,'Balizador da Meta'!$B$4:$B$21,'Balizador da Meta'!$C$4:$C$21)</f>
        <v>0</v>
      </c>
      <c r="R1386" s="28">
        <f>R1372*_xlfn.XLOOKUP($L1386,'Balizador da Meta'!$B$4:$B$21,'Balizador da Meta'!$C$4:$C$21)</f>
        <v>0</v>
      </c>
      <c r="S1386" s="28">
        <f>S1372*_xlfn.XLOOKUP($L1386,'Balizador da Meta'!$B$4:$B$21,'Balizador da Meta'!$C$4:$C$21)</f>
        <v>0</v>
      </c>
      <c r="T1386" s="28">
        <f>T1372*_xlfn.XLOOKUP($L1386,'Balizador da Meta'!$B$4:$B$21,'Balizador da Meta'!$C$4:$C$21)</f>
        <v>0</v>
      </c>
      <c r="U1386" s="28">
        <f>U1372*_xlfn.XLOOKUP($L1386,'Balizador da Meta'!$B$4:$B$21,'Balizador da Meta'!$C$4:$C$21)</f>
        <v>0</v>
      </c>
      <c r="V1386" s="28">
        <f>V1372*_xlfn.XLOOKUP($L1386,'Balizador da Meta'!$B$4:$B$21,'Balizador da Meta'!$C$4:$C$21)</f>
        <v>0</v>
      </c>
      <c r="W1386" s="28">
        <f>W1372*_xlfn.XLOOKUP($L1386,'Balizador da Meta'!$B$4:$B$21,'Balizador da Meta'!$C$4:$C$21)</f>
        <v>0</v>
      </c>
      <c r="X1386" s="28">
        <f>X1372*_xlfn.XLOOKUP($L1386,'Balizador da Meta'!$B$4:$B$21,'Balizador da Meta'!$C$4:$C$21)</f>
        <v>0</v>
      </c>
      <c r="Y1386" s="28">
        <f>Y1372*_xlfn.XLOOKUP($L1386,'Balizador da Meta'!$B$4:$B$21,'Balizador da Meta'!$C$4:$C$21)</f>
        <v>0</v>
      </c>
      <c r="Z1386" s="30">
        <f t="shared" si="329"/>
        <v>0</v>
      </c>
      <c r="AA1386" s="29"/>
      <c r="AB1386" s="31">
        <f>SUMIFS('Historico - FAT'!AK:AK,'Historico - FAT'!$K:$K,Faturamento!$L1386,'Historico - FAT'!$I:$I,Faturamento!$J1386,'Historico - FAT'!$G:$G,Faturamento!$H1386)</f>
        <v>-264.51249999999999</v>
      </c>
      <c r="AC1386" s="31">
        <f>SUMIFS('Historico - FAT'!AL:AL,'Historico - FAT'!$K:$K,Faturamento!$L1386,'Historico - FAT'!$I:$I,Faturamento!$J1386,'Historico - FAT'!$G:$G,Faturamento!$H1386)</f>
        <v>0.27499999999999997</v>
      </c>
      <c r="AD1386" s="31">
        <f>SUMIFS('Historico - FAT'!AM:AM,'Historico - FAT'!$K:$K,Faturamento!$L1386,'Historico - FAT'!$I:$I,Faturamento!$J1386,'Historico - FAT'!$G:$G,Faturamento!$H1386)</f>
        <v>0.54999999999999993</v>
      </c>
      <c r="AE1386" s="27">
        <f>SUMIFS('Historico - FAT'!AN:AN,'Historico - FAT'!$K:$K,Faturamento!$L1386,'Historico - FAT'!$I:$I,Faturamento!$J1386,'Historico - FAT'!$G:$G,Faturamento!$H1386)</f>
        <v>0.32999999999999996</v>
      </c>
      <c r="AG1386" s="24" t="str">
        <f t="shared" si="317"/>
        <v/>
      </c>
      <c r="AH1386" s="24" t="str">
        <f t="shared" si="318"/>
        <v/>
      </c>
      <c r="AI1386" s="24" t="str">
        <f t="shared" si="319"/>
        <v/>
      </c>
    </row>
    <row r="1387" spans="1:35" hidden="1" x14ac:dyDescent="0.3">
      <c r="A1387" s="2" t="str">
        <f t="shared" si="316"/>
        <v>NÃO</v>
      </c>
      <c r="B1387" s="2">
        <v>1000184670</v>
      </c>
      <c r="C1387" s="2" t="s">
        <v>147</v>
      </c>
      <c r="D1387" s="4">
        <v>1000186197</v>
      </c>
      <c r="E1387" s="4" t="s">
        <v>166</v>
      </c>
      <c r="F1387" s="2">
        <v>1000184762</v>
      </c>
      <c r="G1387" s="2" t="s">
        <v>58</v>
      </c>
      <c r="H1387" s="4">
        <v>1000189817</v>
      </c>
      <c r="I1387" s="4" t="s">
        <v>94</v>
      </c>
      <c r="J1387" s="2">
        <v>1000189270</v>
      </c>
      <c r="K1387" s="2" t="s">
        <v>34</v>
      </c>
      <c r="L1387" s="4" t="s">
        <v>28</v>
      </c>
      <c r="M1387" s="4" t="str">
        <f t="shared" si="323"/>
        <v>1000184670100018619710001898171000189270SAL</v>
      </c>
      <c r="N1387" s="28">
        <f>N1372*_xlfn.XLOOKUP($L1387,'Balizador da Meta'!$B$4:$B$21,'Balizador da Meta'!$C$4:$C$21)</f>
        <v>96</v>
      </c>
      <c r="O1387" s="28">
        <f>O1372*_xlfn.XLOOKUP($L1387,'Balizador da Meta'!$B$4:$B$21,'Balizador da Meta'!$C$4:$C$21)</f>
        <v>108</v>
      </c>
      <c r="P1387" s="28">
        <f>P1372*_xlfn.XLOOKUP($L1387,'Balizador da Meta'!$B$4:$B$21,'Balizador da Meta'!$C$4:$C$21)</f>
        <v>108</v>
      </c>
      <c r="Q1387" s="28">
        <f>Q1372*_xlfn.XLOOKUP($L1387,'Balizador da Meta'!$B$4:$B$21,'Balizador da Meta'!$C$4:$C$21)</f>
        <v>108</v>
      </c>
      <c r="R1387" s="28">
        <f>R1372*_xlfn.XLOOKUP($L1387,'Balizador da Meta'!$B$4:$B$21,'Balizador da Meta'!$C$4:$C$21)</f>
        <v>108</v>
      </c>
      <c r="S1387" s="28">
        <f>S1372*_xlfn.XLOOKUP($L1387,'Balizador da Meta'!$B$4:$B$21,'Balizador da Meta'!$C$4:$C$21)</f>
        <v>108</v>
      </c>
      <c r="T1387" s="28">
        <f>T1372*_xlfn.XLOOKUP($L1387,'Balizador da Meta'!$B$4:$B$21,'Balizador da Meta'!$C$4:$C$21)</f>
        <v>120</v>
      </c>
      <c r="U1387" s="28">
        <f>U1372*_xlfn.XLOOKUP($L1387,'Balizador da Meta'!$B$4:$B$21,'Balizador da Meta'!$C$4:$C$21)</f>
        <v>120</v>
      </c>
      <c r="V1387" s="28">
        <f>V1372*_xlfn.XLOOKUP($L1387,'Balizador da Meta'!$B$4:$B$21,'Balizador da Meta'!$C$4:$C$21)</f>
        <v>120</v>
      </c>
      <c r="W1387" s="28">
        <f>W1372*_xlfn.XLOOKUP($L1387,'Balizador da Meta'!$B$4:$B$21,'Balizador da Meta'!$C$4:$C$21)</f>
        <v>120</v>
      </c>
      <c r="X1387" s="28">
        <f>X1372*_xlfn.XLOOKUP($L1387,'Balizador da Meta'!$B$4:$B$21,'Balizador da Meta'!$C$4:$C$21)</f>
        <v>120</v>
      </c>
      <c r="Y1387" s="28">
        <f>Y1372*_xlfn.XLOOKUP($L1387,'Balizador da Meta'!$B$4:$B$21,'Balizador da Meta'!$C$4:$C$21)</f>
        <v>132</v>
      </c>
      <c r="Z1387" s="30">
        <f t="shared" si="329"/>
        <v>1368</v>
      </c>
      <c r="AA1387" s="29"/>
      <c r="AB1387" s="31">
        <f>SUMIFS('Historico - FAT'!AK:AK,'Historico - FAT'!$K:$K,Faturamento!$L1387,'Historico - FAT'!$I:$I,Faturamento!$J1387,'Historico - FAT'!$G:$G,Faturamento!$H1387)</f>
        <v>-37.699999999999996</v>
      </c>
      <c r="AC1387" s="31">
        <f>SUMIFS('Historico - FAT'!AL:AL,'Historico - FAT'!$K:$K,Faturamento!$L1387,'Historico - FAT'!$I:$I,Faturamento!$J1387,'Historico - FAT'!$G:$G,Faturamento!$H1387)</f>
        <v>0</v>
      </c>
      <c r="AD1387" s="31">
        <f>SUMIFS('Historico - FAT'!AM:AM,'Historico - FAT'!$K:$K,Faturamento!$L1387,'Historico - FAT'!$I:$I,Faturamento!$J1387,'Historico - FAT'!$G:$G,Faturamento!$H1387)</f>
        <v>0</v>
      </c>
      <c r="AE1387" s="27">
        <f>SUMIFS('Historico - FAT'!AN:AN,'Historico - FAT'!$K:$K,Faturamento!$L1387,'Historico - FAT'!$I:$I,Faturamento!$J1387,'Historico - FAT'!$G:$G,Faturamento!$H1387)</f>
        <v>0</v>
      </c>
      <c r="AG1387" s="24">
        <f t="shared" si="317"/>
        <v>1.3040322580645161</v>
      </c>
      <c r="AH1387" s="24">
        <f t="shared" si="318"/>
        <v>1</v>
      </c>
      <c r="AI1387" s="24">
        <f t="shared" si="319"/>
        <v>1</v>
      </c>
    </row>
    <row r="1388" spans="1:35" hidden="1" x14ac:dyDescent="0.3">
      <c r="A1388" s="2" t="str">
        <f t="shared" si="316"/>
        <v>NÃO</v>
      </c>
      <c r="B1388" s="2">
        <v>1000184670</v>
      </c>
      <c r="C1388" s="2" t="s">
        <v>147</v>
      </c>
      <c r="D1388" s="4">
        <v>1000186197</v>
      </c>
      <c r="E1388" s="4" t="s">
        <v>166</v>
      </c>
      <c r="F1388" s="2">
        <v>1000184762</v>
      </c>
      <c r="G1388" s="2" t="s">
        <v>58</v>
      </c>
      <c r="H1388" s="4">
        <v>1000189817</v>
      </c>
      <c r="I1388" s="4" t="s">
        <v>94</v>
      </c>
      <c r="J1388" s="2">
        <v>1000189270</v>
      </c>
      <c r="K1388" s="2" t="s">
        <v>34</v>
      </c>
      <c r="L1388" s="4" t="s">
        <v>26</v>
      </c>
      <c r="M1388" s="4" t="str">
        <f t="shared" si="323"/>
        <v>1000184670100018619710001898171000189270SOULPRO</v>
      </c>
      <c r="N1388" s="28">
        <f>N1372*_xlfn.XLOOKUP($L1388,'Balizador da Meta'!$B$4:$B$21,'Balizador da Meta'!$C$4:$C$21)</f>
        <v>288</v>
      </c>
      <c r="O1388" s="28">
        <f>O1372*_xlfn.XLOOKUP($L1388,'Balizador da Meta'!$B$4:$B$21,'Balizador da Meta'!$C$4:$C$21)</f>
        <v>324</v>
      </c>
      <c r="P1388" s="28">
        <f>P1372*_xlfn.XLOOKUP($L1388,'Balizador da Meta'!$B$4:$B$21,'Balizador da Meta'!$C$4:$C$21)</f>
        <v>324</v>
      </c>
      <c r="Q1388" s="28">
        <f>Q1372*_xlfn.XLOOKUP($L1388,'Balizador da Meta'!$B$4:$B$21,'Balizador da Meta'!$C$4:$C$21)</f>
        <v>324</v>
      </c>
      <c r="R1388" s="28">
        <f>R1372*_xlfn.XLOOKUP($L1388,'Balizador da Meta'!$B$4:$B$21,'Balizador da Meta'!$C$4:$C$21)</f>
        <v>324</v>
      </c>
      <c r="S1388" s="28">
        <f>S1372*_xlfn.XLOOKUP($L1388,'Balizador da Meta'!$B$4:$B$21,'Balizador da Meta'!$C$4:$C$21)</f>
        <v>324</v>
      </c>
      <c r="T1388" s="28">
        <f>T1372*_xlfn.XLOOKUP($L1388,'Balizador da Meta'!$B$4:$B$21,'Balizador da Meta'!$C$4:$C$21)</f>
        <v>360</v>
      </c>
      <c r="U1388" s="28">
        <f>U1372*_xlfn.XLOOKUP($L1388,'Balizador da Meta'!$B$4:$B$21,'Balizador da Meta'!$C$4:$C$21)</f>
        <v>360</v>
      </c>
      <c r="V1388" s="28">
        <f>V1372*_xlfn.XLOOKUP($L1388,'Balizador da Meta'!$B$4:$B$21,'Balizador da Meta'!$C$4:$C$21)</f>
        <v>360</v>
      </c>
      <c r="W1388" s="28">
        <f>W1372*_xlfn.XLOOKUP($L1388,'Balizador da Meta'!$B$4:$B$21,'Balizador da Meta'!$C$4:$C$21)</f>
        <v>360</v>
      </c>
      <c r="X1388" s="28">
        <f>X1372*_xlfn.XLOOKUP($L1388,'Balizador da Meta'!$B$4:$B$21,'Balizador da Meta'!$C$4:$C$21)</f>
        <v>360</v>
      </c>
      <c r="Y1388" s="28">
        <f>Y1372*_xlfn.XLOOKUP($L1388,'Balizador da Meta'!$B$4:$B$21,'Balizador da Meta'!$C$4:$C$21)</f>
        <v>396</v>
      </c>
      <c r="Z1388" s="30">
        <f t="shared" si="329"/>
        <v>4104</v>
      </c>
      <c r="AA1388" s="29"/>
      <c r="AB1388" s="31">
        <f>SUMIFS('Historico - FAT'!AK:AK,'Historico - FAT'!$K:$K,Faturamento!$L1388,'Historico - FAT'!$I:$I,Faturamento!$J1388,'Historico - FAT'!$G:$G,Faturamento!$H1388)</f>
        <v>259.875</v>
      </c>
      <c r="AC1388" s="31">
        <f>SUMIFS('Historico - FAT'!AL:AL,'Historico - FAT'!$K:$K,Faturamento!$L1388,'Historico - FAT'!$I:$I,Faturamento!$J1388,'Historico - FAT'!$G:$G,Faturamento!$H1388)</f>
        <v>644.77750000000003</v>
      </c>
      <c r="AD1388" s="31">
        <f>SUMIFS('Historico - FAT'!AM:AM,'Historico - FAT'!$K:$K,Faturamento!$L1388,'Historico - FAT'!$I:$I,Faturamento!$J1388,'Historico - FAT'!$G:$G,Faturamento!$H1388)</f>
        <v>303.59999999999997</v>
      </c>
      <c r="AE1388" s="27">
        <f>SUMIFS('Historico - FAT'!AN:AN,'Historico - FAT'!$K:$K,Faturamento!$L1388,'Historico - FAT'!$I:$I,Faturamento!$J1388,'Historico - FAT'!$G:$G,Faturamento!$H1388)</f>
        <v>773.73299999999995</v>
      </c>
      <c r="AG1388" s="24">
        <f t="shared" si="317"/>
        <v>0.30141129032258063</v>
      </c>
      <c r="AH1388" s="24">
        <f t="shared" si="318"/>
        <v>-0.73327284946236571</v>
      </c>
      <c r="AI1388" s="24">
        <f t="shared" si="319"/>
        <v>0.18387096774193556</v>
      </c>
    </row>
    <row r="1389" spans="1:35" hidden="1" x14ac:dyDescent="0.3">
      <c r="A1389" s="2" t="str">
        <f t="shared" si="316"/>
        <v>NÃO</v>
      </c>
      <c r="B1389" s="2">
        <v>1000184670</v>
      </c>
      <c r="C1389" s="2" t="s">
        <v>147</v>
      </c>
      <c r="D1389" s="4">
        <v>1000186197</v>
      </c>
      <c r="E1389" s="4" t="s">
        <v>166</v>
      </c>
      <c r="F1389" s="2">
        <v>1000184762</v>
      </c>
      <c r="G1389" s="2" t="s">
        <v>58</v>
      </c>
      <c r="H1389" s="4">
        <v>1000189817</v>
      </c>
      <c r="I1389" s="4" t="s">
        <v>94</v>
      </c>
      <c r="J1389" s="2">
        <v>1000189270</v>
      </c>
      <c r="K1389" s="2" t="s">
        <v>34</v>
      </c>
      <c r="L1389" s="4" t="s">
        <v>27</v>
      </c>
      <c r="M1389" s="4" t="str">
        <f t="shared" si="323"/>
        <v>1000184670100018619710001898171000189270TAMARA</v>
      </c>
      <c r="N1389" s="28">
        <f>N1372*_xlfn.XLOOKUP($L1389,'Balizador da Meta'!$B$4:$B$21,'Balizador da Meta'!$C$4:$C$21)</f>
        <v>384</v>
      </c>
      <c r="O1389" s="28">
        <f>O1372*_xlfn.XLOOKUP($L1389,'Balizador da Meta'!$B$4:$B$21,'Balizador da Meta'!$C$4:$C$21)</f>
        <v>432</v>
      </c>
      <c r="P1389" s="28">
        <f>P1372*_xlfn.XLOOKUP($L1389,'Balizador da Meta'!$B$4:$B$21,'Balizador da Meta'!$C$4:$C$21)</f>
        <v>432</v>
      </c>
      <c r="Q1389" s="28">
        <f>Q1372*_xlfn.XLOOKUP($L1389,'Balizador da Meta'!$B$4:$B$21,'Balizador da Meta'!$C$4:$C$21)</f>
        <v>432</v>
      </c>
      <c r="R1389" s="28">
        <f>R1372*_xlfn.XLOOKUP($L1389,'Balizador da Meta'!$B$4:$B$21,'Balizador da Meta'!$C$4:$C$21)</f>
        <v>432</v>
      </c>
      <c r="S1389" s="28">
        <f>S1372*_xlfn.XLOOKUP($L1389,'Balizador da Meta'!$B$4:$B$21,'Balizador da Meta'!$C$4:$C$21)</f>
        <v>432</v>
      </c>
      <c r="T1389" s="28">
        <f>T1372*_xlfn.XLOOKUP($L1389,'Balizador da Meta'!$B$4:$B$21,'Balizador da Meta'!$C$4:$C$21)</f>
        <v>480</v>
      </c>
      <c r="U1389" s="28">
        <f>U1372*_xlfn.XLOOKUP($L1389,'Balizador da Meta'!$B$4:$B$21,'Balizador da Meta'!$C$4:$C$21)</f>
        <v>480</v>
      </c>
      <c r="V1389" s="28">
        <f>V1372*_xlfn.XLOOKUP($L1389,'Balizador da Meta'!$B$4:$B$21,'Balizador da Meta'!$C$4:$C$21)</f>
        <v>480</v>
      </c>
      <c r="W1389" s="28">
        <f>W1372*_xlfn.XLOOKUP($L1389,'Balizador da Meta'!$B$4:$B$21,'Balizador da Meta'!$C$4:$C$21)</f>
        <v>480</v>
      </c>
      <c r="X1389" s="28">
        <f>X1372*_xlfn.XLOOKUP($L1389,'Balizador da Meta'!$B$4:$B$21,'Balizador da Meta'!$C$4:$C$21)</f>
        <v>480</v>
      </c>
      <c r="Y1389" s="28">
        <f>Y1372*_xlfn.XLOOKUP($L1389,'Balizador da Meta'!$B$4:$B$21,'Balizador da Meta'!$C$4:$C$21)</f>
        <v>528</v>
      </c>
      <c r="Z1389" s="30">
        <f t="shared" si="329"/>
        <v>5472</v>
      </c>
      <c r="AA1389" s="29"/>
      <c r="AB1389" s="31">
        <f>SUMIFS('Historico - FAT'!AK:AK,'Historico - FAT'!$K:$K,Faturamento!$L1389,'Historico - FAT'!$I:$I,Faturamento!$J1389,'Historico - FAT'!$G:$G,Faturamento!$H1389)</f>
        <v>0</v>
      </c>
      <c r="AC1389" s="31">
        <f>SUMIFS('Historico - FAT'!AL:AL,'Historico - FAT'!$K:$K,Faturamento!$L1389,'Historico - FAT'!$I:$I,Faturamento!$J1389,'Historico - FAT'!$G:$G,Faturamento!$H1389)</f>
        <v>835.04666666666674</v>
      </c>
      <c r="AD1389" s="31">
        <f>SUMIFS('Historico - FAT'!AM:AM,'Historico - FAT'!$K:$K,Faturamento!$L1389,'Historico - FAT'!$I:$I,Faturamento!$J1389,'Historico - FAT'!$G:$G,Faturamento!$H1389)</f>
        <v>1599.9916666666668</v>
      </c>
      <c r="AE1389" s="27">
        <f>SUMIFS('Historico - FAT'!AN:AN,'Historico - FAT'!$K:$K,Faturamento!$L1389,'Historico - FAT'!$I:$I,Faturamento!$J1389,'Historico - FAT'!$G:$G,Faturamento!$H1389)</f>
        <v>1002.0560000000002</v>
      </c>
      <c r="AG1389" s="24">
        <f t="shared" si="317"/>
        <v>1</v>
      </c>
      <c r="AH1389" s="24">
        <f t="shared" si="318"/>
        <v>-0.68356182795698939</v>
      </c>
      <c r="AI1389" s="24">
        <f t="shared" si="319"/>
        <v>-2.2257896505376347</v>
      </c>
    </row>
    <row r="1390" spans="1:35" hidden="1" x14ac:dyDescent="0.3">
      <c r="A1390" s="2" t="str">
        <f t="shared" si="316"/>
        <v>NÃO</v>
      </c>
      <c r="B1390" s="2">
        <v>1000184670</v>
      </c>
      <c r="C1390" s="2" t="s">
        <v>147</v>
      </c>
      <c r="D1390" s="4">
        <v>1000186197</v>
      </c>
      <c r="E1390" s="4" t="s">
        <v>166</v>
      </c>
      <c r="F1390" s="2">
        <v>1000184762</v>
      </c>
      <c r="G1390" s="2" t="s">
        <v>58</v>
      </c>
      <c r="H1390" s="4">
        <v>1000189817</v>
      </c>
      <c r="I1390" s="4" t="s">
        <v>94</v>
      </c>
      <c r="J1390" s="2">
        <v>1000189270</v>
      </c>
      <c r="K1390" s="2" t="s">
        <v>34</v>
      </c>
      <c r="L1390" s="4" t="s">
        <v>25</v>
      </c>
      <c r="M1390" s="4" t="str">
        <f t="shared" si="323"/>
        <v>1000184670100018619710001898171000189270VICCIO</v>
      </c>
      <c r="N1390" s="28">
        <f>N1372*_xlfn.XLOOKUP($L1390,'Balizador da Meta'!$B$4:$B$21,'Balizador da Meta'!$C$4:$C$21)</f>
        <v>144</v>
      </c>
      <c r="O1390" s="28">
        <f>O1372*_xlfn.XLOOKUP($L1390,'Balizador da Meta'!$B$4:$B$21,'Balizador da Meta'!$C$4:$C$21)</f>
        <v>162</v>
      </c>
      <c r="P1390" s="28">
        <f>P1372*_xlfn.XLOOKUP($L1390,'Balizador da Meta'!$B$4:$B$21,'Balizador da Meta'!$C$4:$C$21)</f>
        <v>162</v>
      </c>
      <c r="Q1390" s="28">
        <f>Q1372*_xlfn.XLOOKUP($L1390,'Balizador da Meta'!$B$4:$B$21,'Balizador da Meta'!$C$4:$C$21)</f>
        <v>162</v>
      </c>
      <c r="R1390" s="28">
        <f>R1372*_xlfn.XLOOKUP($L1390,'Balizador da Meta'!$B$4:$B$21,'Balizador da Meta'!$C$4:$C$21)</f>
        <v>162</v>
      </c>
      <c r="S1390" s="28">
        <f>S1372*_xlfn.XLOOKUP($L1390,'Balizador da Meta'!$B$4:$B$21,'Balizador da Meta'!$C$4:$C$21)</f>
        <v>162</v>
      </c>
      <c r="T1390" s="28">
        <f>T1372*_xlfn.XLOOKUP($L1390,'Balizador da Meta'!$B$4:$B$21,'Balizador da Meta'!$C$4:$C$21)</f>
        <v>180</v>
      </c>
      <c r="U1390" s="28">
        <f>U1372*_xlfn.XLOOKUP($L1390,'Balizador da Meta'!$B$4:$B$21,'Balizador da Meta'!$C$4:$C$21)</f>
        <v>180</v>
      </c>
      <c r="V1390" s="28">
        <f>V1372*_xlfn.XLOOKUP($L1390,'Balizador da Meta'!$B$4:$B$21,'Balizador da Meta'!$C$4:$C$21)</f>
        <v>180</v>
      </c>
      <c r="W1390" s="28">
        <f>W1372*_xlfn.XLOOKUP($L1390,'Balizador da Meta'!$B$4:$B$21,'Balizador da Meta'!$C$4:$C$21)</f>
        <v>180</v>
      </c>
      <c r="X1390" s="28">
        <f>X1372*_xlfn.XLOOKUP($L1390,'Balizador da Meta'!$B$4:$B$21,'Balizador da Meta'!$C$4:$C$21)</f>
        <v>180</v>
      </c>
      <c r="Y1390" s="28">
        <f>Y1372*_xlfn.XLOOKUP($L1390,'Balizador da Meta'!$B$4:$B$21,'Balizador da Meta'!$C$4:$C$21)</f>
        <v>198</v>
      </c>
      <c r="Z1390" s="30">
        <f t="shared" si="329"/>
        <v>2052</v>
      </c>
      <c r="AA1390" s="29"/>
      <c r="AB1390" s="31">
        <f>SUMIFS('Historico - FAT'!AK:AK,'Historico - FAT'!$K:$K,Faturamento!$L1390,'Historico - FAT'!$I:$I,Faturamento!$J1390,'Historico - FAT'!$G:$G,Faturamento!$H1390)</f>
        <v>3.776666666666666</v>
      </c>
      <c r="AC1390" s="31">
        <f>SUMIFS('Historico - FAT'!AL:AL,'Historico - FAT'!$K:$K,Faturamento!$L1390,'Historico - FAT'!$I:$I,Faturamento!$J1390,'Historico - FAT'!$G:$G,Faturamento!$H1390)</f>
        <v>125.75</v>
      </c>
      <c r="AD1390" s="31">
        <f>SUMIFS('Historico - FAT'!AM:AM,'Historico - FAT'!$K:$K,Faturamento!$L1390,'Historico - FAT'!$I:$I,Faturamento!$J1390,'Historico - FAT'!$G:$G,Faturamento!$H1390)</f>
        <v>98.25</v>
      </c>
      <c r="AE1390" s="27">
        <f>SUMIFS('Historico - FAT'!AN:AN,'Historico - FAT'!$K:$K,Faturamento!$L1390,'Historico - FAT'!$I:$I,Faturamento!$J1390,'Historico - FAT'!$G:$G,Faturamento!$H1390)</f>
        <v>150.9</v>
      </c>
      <c r="AG1390" s="24">
        <f t="shared" si="317"/>
        <v>0.97969534050179208</v>
      </c>
      <c r="AH1390" s="24">
        <f t="shared" si="318"/>
        <v>0.32392473118279569</v>
      </c>
      <c r="AI1390" s="24">
        <f t="shared" si="319"/>
        <v>0.47177419354838712</v>
      </c>
    </row>
    <row r="1391" spans="1:35" x14ac:dyDescent="0.3">
      <c r="A1391" s="2" t="str">
        <f t="shared" si="316"/>
        <v>SIM</v>
      </c>
      <c r="B1391" s="2">
        <v>1000184670</v>
      </c>
      <c r="C1391" s="2" t="s">
        <v>147</v>
      </c>
      <c r="D1391" s="4">
        <v>1000186197</v>
      </c>
      <c r="E1391" s="4" t="s">
        <v>166</v>
      </c>
      <c r="F1391" s="2">
        <v>1000184764</v>
      </c>
      <c r="G1391" s="2" t="s">
        <v>70</v>
      </c>
      <c r="H1391" s="4">
        <v>1000189818</v>
      </c>
      <c r="I1391" s="4" t="s">
        <v>72</v>
      </c>
      <c r="J1391" s="2">
        <v>1000189270</v>
      </c>
      <c r="K1391" s="2" t="s">
        <v>34</v>
      </c>
      <c r="L1391" s="4" t="s">
        <v>124</v>
      </c>
      <c r="M1391" s="4" t="str">
        <f t="shared" si="323"/>
        <v>100018467010001861971000189818100018927001. TOTAL</v>
      </c>
      <c r="N1391" s="28">
        <f>SUMIFS(Positivação!L:L,Positivação!$I:$I,Faturamento!$J1391,Positivação!$G:$G,Faturamento!$H1391)*SUMIFS(Positivação!$Z:$Z,Positivação!$I:$I,Faturamento!$J1391,Positivação!$G:$G,Faturamento!$H1391)</f>
        <v>7200</v>
      </c>
      <c r="O1391" s="28">
        <f>SUMIFS(Positivação!M:M,Positivação!$I:$I,Faturamento!$J1391,Positivação!$G:$G,Faturamento!$H1391)*SUMIFS(Positivação!$Z:$Z,Positivação!$I:$I,Faturamento!$J1391,Positivação!$G:$G,Faturamento!$H1391)</f>
        <v>7200</v>
      </c>
      <c r="P1391" s="28">
        <f>SUMIFS(Positivação!N:N,Positivação!$I:$I,Faturamento!$J1391,Positivação!$G:$G,Faturamento!$H1391)*SUMIFS(Positivação!$Z:$Z,Positivação!$I:$I,Faturamento!$J1391,Positivação!$G:$G,Faturamento!$H1391)</f>
        <v>7200</v>
      </c>
      <c r="Q1391" s="28">
        <f>SUMIFS(Positivação!O:O,Positivação!$I:$I,Faturamento!$J1391,Positivação!$G:$G,Faturamento!$H1391)*SUMIFS(Positivação!$Z:$Z,Positivação!$I:$I,Faturamento!$J1391,Positivação!$G:$G,Faturamento!$H1391)</f>
        <v>7200</v>
      </c>
      <c r="R1391" s="28">
        <f>SUMIFS(Positivação!P:P,Positivação!$I:$I,Faturamento!$J1391,Positivação!$G:$G,Faturamento!$H1391)*SUMIFS(Positivação!$Z:$Z,Positivação!$I:$I,Faturamento!$J1391,Positivação!$G:$G,Faturamento!$H1391)</f>
        <v>7200</v>
      </c>
      <c r="S1391" s="28">
        <f>SUMIFS(Positivação!Q:Q,Positivação!$I:$I,Faturamento!$J1391,Positivação!$G:$G,Faturamento!$H1391)*SUMIFS(Positivação!$Z:$Z,Positivação!$I:$I,Faturamento!$J1391,Positivação!$G:$G,Faturamento!$H1391)</f>
        <v>7800</v>
      </c>
      <c r="T1391" s="28">
        <f>SUMIFS(Positivação!R:R,Positivação!$I:$I,Faturamento!$J1391,Positivação!$G:$G,Faturamento!$H1391)*SUMIFS(Positivação!$Z:$Z,Positivação!$I:$I,Faturamento!$J1391,Positivação!$G:$G,Faturamento!$H1391)</f>
        <v>7800</v>
      </c>
      <c r="U1391" s="28">
        <f>SUMIFS(Positivação!S:S,Positivação!$I:$I,Faturamento!$J1391,Positivação!$G:$G,Faturamento!$H1391)*SUMIFS(Positivação!$Z:$Z,Positivação!$I:$I,Faturamento!$J1391,Positivação!$G:$G,Faturamento!$H1391)</f>
        <v>7800</v>
      </c>
      <c r="V1391" s="28">
        <f>SUMIFS(Positivação!T:T,Positivação!$I:$I,Faturamento!$J1391,Positivação!$G:$G,Faturamento!$H1391)*SUMIFS(Positivação!$Z:$Z,Positivação!$I:$I,Faturamento!$J1391,Positivação!$G:$G,Faturamento!$H1391)</f>
        <v>7800</v>
      </c>
      <c r="W1391" s="28">
        <f>SUMIFS(Positivação!U:U,Positivação!$I:$I,Faturamento!$J1391,Positivação!$G:$G,Faturamento!$H1391)*SUMIFS(Positivação!$Z:$Z,Positivação!$I:$I,Faturamento!$J1391,Positivação!$G:$G,Faturamento!$H1391)</f>
        <v>7800</v>
      </c>
      <c r="X1391" s="28">
        <f>SUMIFS(Positivação!V:V,Positivação!$I:$I,Faturamento!$J1391,Positivação!$G:$G,Faturamento!$H1391)*SUMIFS(Positivação!$Z:$Z,Positivação!$I:$I,Faturamento!$J1391,Positivação!$G:$G,Faturamento!$H1391)</f>
        <v>8400</v>
      </c>
      <c r="Y1391" s="28">
        <f>SUMIFS(Positivação!W:W,Positivação!$I:$I,Faturamento!$J1391,Positivação!$G:$G,Faturamento!$H1391)*SUMIFS(Positivação!$Z:$Z,Positivação!$I:$I,Faturamento!$J1391,Positivação!$G:$G,Faturamento!$H1391)</f>
        <v>8400</v>
      </c>
      <c r="Z1391" s="28">
        <f t="shared" ref="Z1391" si="330">SUM(Z1392:Z1409)</f>
        <v>91800</v>
      </c>
      <c r="AA1391" s="29"/>
      <c r="AB1391" s="28">
        <f t="shared" ref="AB1391:AE1391" si="331">SUM(AB1392:AB1409)</f>
        <v>8872.9408333333322</v>
      </c>
      <c r="AC1391" s="28">
        <f t="shared" si="331"/>
        <v>7360.9983333333339</v>
      </c>
      <c r="AD1391" s="28">
        <f t="shared" si="331"/>
        <v>9531.22166666667</v>
      </c>
      <c r="AE1391" s="28">
        <f t="shared" si="331"/>
        <v>7930.7570000000014</v>
      </c>
      <c r="AG1391" s="24">
        <f t="shared" si="317"/>
        <v>-8.2065955284552711E-2</v>
      </c>
      <c r="AH1391" s="24">
        <f t="shared" si="318"/>
        <v>0.10231727642276416</v>
      </c>
      <c r="AI1391" s="24">
        <f t="shared" si="319"/>
        <v>-0.16234410569105731</v>
      </c>
    </row>
    <row r="1392" spans="1:35" hidden="1" x14ac:dyDescent="0.3">
      <c r="A1392" s="2" t="str">
        <f t="shared" si="316"/>
        <v>NÃO</v>
      </c>
      <c r="B1392" s="2">
        <v>1000184670</v>
      </c>
      <c r="C1392" s="2" t="s">
        <v>147</v>
      </c>
      <c r="D1392" s="4">
        <v>1000186197</v>
      </c>
      <c r="E1392" s="4" t="s">
        <v>166</v>
      </c>
      <c r="F1392" s="2">
        <v>1000184764</v>
      </c>
      <c r="G1392" s="2" t="s">
        <v>70</v>
      </c>
      <c r="H1392" s="4">
        <v>1000189818</v>
      </c>
      <c r="I1392" s="4" t="s">
        <v>72</v>
      </c>
      <c r="J1392" s="2">
        <v>1000189270</v>
      </c>
      <c r="K1392" s="2" t="s">
        <v>34</v>
      </c>
      <c r="L1392" s="4" t="s">
        <v>13</v>
      </c>
      <c r="M1392" s="4" t="str">
        <f t="shared" si="323"/>
        <v>1000184670100018619710001898181000189270BISCOITO</v>
      </c>
      <c r="N1392" s="28">
        <f>N1391*_xlfn.XLOOKUP($L1392,'Balizador da Meta'!$B$4:$B$21,'Balizador da Meta'!$C$4:$C$21)</f>
        <v>504.00000000000006</v>
      </c>
      <c r="O1392" s="28">
        <f>O1391*_xlfn.XLOOKUP($L1392,'Balizador da Meta'!$B$4:$B$21,'Balizador da Meta'!$C$4:$C$21)</f>
        <v>504.00000000000006</v>
      </c>
      <c r="P1392" s="28">
        <f>P1391*_xlfn.XLOOKUP($L1392,'Balizador da Meta'!$B$4:$B$21,'Balizador da Meta'!$C$4:$C$21)</f>
        <v>504.00000000000006</v>
      </c>
      <c r="Q1392" s="28">
        <f>Q1391*_xlfn.XLOOKUP($L1392,'Balizador da Meta'!$B$4:$B$21,'Balizador da Meta'!$C$4:$C$21)</f>
        <v>504.00000000000006</v>
      </c>
      <c r="R1392" s="28">
        <f>R1391*_xlfn.XLOOKUP($L1392,'Balizador da Meta'!$B$4:$B$21,'Balizador da Meta'!$C$4:$C$21)</f>
        <v>504.00000000000006</v>
      </c>
      <c r="S1392" s="28">
        <f>S1391*_xlfn.XLOOKUP($L1392,'Balizador da Meta'!$B$4:$B$21,'Balizador da Meta'!$C$4:$C$21)</f>
        <v>546</v>
      </c>
      <c r="T1392" s="28">
        <f>T1391*_xlfn.XLOOKUP($L1392,'Balizador da Meta'!$B$4:$B$21,'Balizador da Meta'!$C$4:$C$21)</f>
        <v>546</v>
      </c>
      <c r="U1392" s="28">
        <f>U1391*_xlfn.XLOOKUP($L1392,'Balizador da Meta'!$B$4:$B$21,'Balizador da Meta'!$C$4:$C$21)</f>
        <v>546</v>
      </c>
      <c r="V1392" s="28">
        <f>V1391*_xlfn.XLOOKUP($L1392,'Balizador da Meta'!$B$4:$B$21,'Balizador da Meta'!$C$4:$C$21)</f>
        <v>546</v>
      </c>
      <c r="W1392" s="28">
        <f>W1391*_xlfn.XLOOKUP($L1392,'Balizador da Meta'!$B$4:$B$21,'Balizador da Meta'!$C$4:$C$21)</f>
        <v>546</v>
      </c>
      <c r="X1392" s="28">
        <f>X1391*_xlfn.XLOOKUP($L1392,'Balizador da Meta'!$B$4:$B$21,'Balizador da Meta'!$C$4:$C$21)</f>
        <v>588</v>
      </c>
      <c r="Y1392" s="28">
        <f>Y1391*_xlfn.XLOOKUP($L1392,'Balizador da Meta'!$B$4:$B$21,'Balizador da Meta'!$C$4:$C$21)</f>
        <v>588</v>
      </c>
      <c r="Z1392" s="30">
        <f t="shared" ref="Z1392:Z1409" si="332">SUM(N1392:Y1392)</f>
        <v>6426</v>
      </c>
      <c r="AA1392" s="29"/>
      <c r="AB1392" s="31">
        <f>SUMIFS('Historico - FAT'!AK:AK,'Historico - FAT'!$K:$K,Faturamento!$L1392,'Historico - FAT'!$I:$I,Faturamento!$J1392,'Historico - FAT'!$G:$G,Faturamento!$H1392)</f>
        <v>346.065</v>
      </c>
      <c r="AC1392" s="31">
        <f>SUMIFS('Historico - FAT'!AL:AL,'Historico - FAT'!$K:$K,Faturamento!$L1392,'Historico - FAT'!$I:$I,Faturamento!$J1392,'Historico - FAT'!$G:$G,Faturamento!$H1392)</f>
        <v>419.27749999999997</v>
      </c>
      <c r="AD1392" s="31">
        <f>SUMIFS('Historico - FAT'!AM:AM,'Historico - FAT'!$K:$K,Faturamento!$L1392,'Historico - FAT'!$I:$I,Faturamento!$J1392,'Historico - FAT'!$G:$G,Faturamento!$H1392)</f>
        <v>628.93000000000006</v>
      </c>
      <c r="AE1392" s="27">
        <f>SUMIFS('Historico - FAT'!AN:AN,'Historico - FAT'!$K:$K,Faturamento!$L1392,'Historico - FAT'!$I:$I,Faturamento!$J1392,'Historico - FAT'!$G:$G,Faturamento!$H1392)</f>
        <v>455.71799999999996</v>
      </c>
      <c r="AG1392" s="24">
        <f t="shared" si="317"/>
        <v>0.39709930313588848</v>
      </c>
      <c r="AH1392" s="24">
        <f t="shared" si="318"/>
        <v>0.26955139372822307</v>
      </c>
      <c r="AI1392" s="24">
        <f t="shared" si="319"/>
        <v>-9.5696864111498373E-2</v>
      </c>
    </row>
    <row r="1393" spans="1:35" hidden="1" x14ac:dyDescent="0.3">
      <c r="A1393" s="2" t="str">
        <f t="shared" si="316"/>
        <v>NÃO</v>
      </c>
      <c r="B1393" s="2">
        <v>1000184670</v>
      </c>
      <c r="C1393" s="2" t="s">
        <v>147</v>
      </c>
      <c r="D1393" s="4">
        <v>1000186197</v>
      </c>
      <c r="E1393" s="4" t="s">
        <v>166</v>
      </c>
      <c r="F1393" s="2">
        <v>1000184764</v>
      </c>
      <c r="G1393" s="2" t="s">
        <v>70</v>
      </c>
      <c r="H1393" s="4">
        <v>1000189818</v>
      </c>
      <c r="I1393" s="4" t="s">
        <v>72</v>
      </c>
      <c r="J1393" s="2">
        <v>1000189270</v>
      </c>
      <c r="K1393" s="2" t="s">
        <v>34</v>
      </c>
      <c r="L1393" s="4" t="s">
        <v>14</v>
      </c>
      <c r="M1393" s="4" t="str">
        <f t="shared" si="323"/>
        <v>1000184670100018619710001898181000189270CHOCOLATES</v>
      </c>
      <c r="N1393" s="28">
        <f>N1391*_xlfn.XLOOKUP($L1393,'Balizador da Meta'!$B$4:$B$21,'Balizador da Meta'!$C$4:$C$21)</f>
        <v>504.00000000000006</v>
      </c>
      <c r="O1393" s="28">
        <f>O1391*_xlfn.XLOOKUP($L1393,'Balizador da Meta'!$B$4:$B$21,'Balizador da Meta'!$C$4:$C$21)</f>
        <v>504.00000000000006</v>
      </c>
      <c r="P1393" s="28">
        <f>P1391*_xlfn.XLOOKUP($L1393,'Balizador da Meta'!$B$4:$B$21,'Balizador da Meta'!$C$4:$C$21)</f>
        <v>504.00000000000006</v>
      </c>
      <c r="Q1393" s="28">
        <f>Q1391*_xlfn.XLOOKUP($L1393,'Balizador da Meta'!$B$4:$B$21,'Balizador da Meta'!$C$4:$C$21)</f>
        <v>504.00000000000006</v>
      </c>
      <c r="R1393" s="28">
        <f>R1391*_xlfn.XLOOKUP($L1393,'Balizador da Meta'!$B$4:$B$21,'Balizador da Meta'!$C$4:$C$21)</f>
        <v>504.00000000000006</v>
      </c>
      <c r="S1393" s="28">
        <f>S1391*_xlfn.XLOOKUP($L1393,'Balizador da Meta'!$B$4:$B$21,'Balizador da Meta'!$C$4:$C$21)</f>
        <v>546</v>
      </c>
      <c r="T1393" s="28">
        <f>T1391*_xlfn.XLOOKUP($L1393,'Balizador da Meta'!$B$4:$B$21,'Balizador da Meta'!$C$4:$C$21)</f>
        <v>546</v>
      </c>
      <c r="U1393" s="28">
        <f>U1391*_xlfn.XLOOKUP($L1393,'Balizador da Meta'!$B$4:$B$21,'Balizador da Meta'!$C$4:$C$21)</f>
        <v>546</v>
      </c>
      <c r="V1393" s="28">
        <f>V1391*_xlfn.XLOOKUP($L1393,'Balizador da Meta'!$B$4:$B$21,'Balizador da Meta'!$C$4:$C$21)</f>
        <v>546</v>
      </c>
      <c r="W1393" s="28">
        <f>W1391*_xlfn.XLOOKUP($L1393,'Balizador da Meta'!$B$4:$B$21,'Balizador da Meta'!$C$4:$C$21)</f>
        <v>546</v>
      </c>
      <c r="X1393" s="28">
        <f>X1391*_xlfn.XLOOKUP($L1393,'Balizador da Meta'!$B$4:$B$21,'Balizador da Meta'!$C$4:$C$21)</f>
        <v>588</v>
      </c>
      <c r="Y1393" s="28">
        <f>Y1391*_xlfn.XLOOKUP($L1393,'Balizador da Meta'!$B$4:$B$21,'Balizador da Meta'!$C$4:$C$21)</f>
        <v>588</v>
      </c>
      <c r="Z1393" s="30">
        <f t="shared" si="332"/>
        <v>6426</v>
      </c>
      <c r="AA1393" s="29"/>
      <c r="AB1393" s="31">
        <f>SUMIFS('Historico - FAT'!AK:AK,'Historico - FAT'!$K:$K,Faturamento!$L1393,'Historico - FAT'!$I:$I,Faturamento!$J1393,'Historico - FAT'!$G:$G,Faturamento!$H1393)</f>
        <v>514.18249999999989</v>
      </c>
      <c r="AC1393" s="31">
        <f>SUMIFS('Historico - FAT'!AL:AL,'Historico - FAT'!$K:$K,Faturamento!$L1393,'Historico - FAT'!$I:$I,Faturamento!$J1393,'Historico - FAT'!$G:$G,Faturamento!$H1393)</f>
        <v>680.70833333333337</v>
      </c>
      <c r="AD1393" s="31">
        <f>SUMIFS('Historico - FAT'!AM:AM,'Historico - FAT'!$K:$K,Faturamento!$L1393,'Historico - FAT'!$I:$I,Faturamento!$J1393,'Historico - FAT'!$G:$G,Faturamento!$H1393)</f>
        <v>1065.8</v>
      </c>
      <c r="AE1393" s="27">
        <f>SUMIFS('Historico - FAT'!AN:AN,'Historico - FAT'!$K:$K,Faturamento!$L1393,'Historico - FAT'!$I:$I,Faturamento!$J1393,'Historico - FAT'!$G:$G,Faturamento!$H1393)</f>
        <v>755.03500000000008</v>
      </c>
      <c r="AG1393" s="24">
        <f t="shared" si="317"/>
        <v>0.10421167247386778</v>
      </c>
      <c r="AH1393" s="24">
        <f t="shared" si="318"/>
        <v>-0.18590301974448323</v>
      </c>
      <c r="AI1393" s="24">
        <f t="shared" si="319"/>
        <v>-0.8567944250871079</v>
      </c>
    </row>
    <row r="1394" spans="1:35" hidden="1" x14ac:dyDescent="0.3">
      <c r="A1394" s="2" t="str">
        <f t="shared" ref="A1394:A1457" si="333">IF(OR(H1394&lt;&gt;H1393,J1394&lt;&gt;J1393),"SIM","NÃO")</f>
        <v>NÃO</v>
      </c>
      <c r="B1394" s="2">
        <v>1000184670</v>
      </c>
      <c r="C1394" s="2" t="s">
        <v>147</v>
      </c>
      <c r="D1394" s="4">
        <v>1000186197</v>
      </c>
      <c r="E1394" s="4" t="s">
        <v>166</v>
      </c>
      <c r="F1394" s="2">
        <v>1000184764</v>
      </c>
      <c r="G1394" s="2" t="s">
        <v>70</v>
      </c>
      <c r="H1394" s="4">
        <v>1000189818</v>
      </c>
      <c r="I1394" s="4" t="s">
        <v>72</v>
      </c>
      <c r="J1394" s="2">
        <v>1000189270</v>
      </c>
      <c r="K1394" s="2" t="s">
        <v>34</v>
      </c>
      <c r="L1394" s="4" t="s">
        <v>16</v>
      </c>
      <c r="M1394" s="4" t="str">
        <f t="shared" si="323"/>
        <v>1000184670100018619710001898181000189270DISNEY</v>
      </c>
      <c r="N1394" s="28">
        <f>N1391*_xlfn.XLOOKUP($L1394,'Balizador da Meta'!$B$4:$B$21,'Balizador da Meta'!$C$4:$C$21)</f>
        <v>576</v>
      </c>
      <c r="O1394" s="28">
        <f>O1391*_xlfn.XLOOKUP($L1394,'Balizador da Meta'!$B$4:$B$21,'Balizador da Meta'!$C$4:$C$21)</f>
        <v>576</v>
      </c>
      <c r="P1394" s="28">
        <f>P1391*_xlfn.XLOOKUP($L1394,'Balizador da Meta'!$B$4:$B$21,'Balizador da Meta'!$C$4:$C$21)</f>
        <v>576</v>
      </c>
      <c r="Q1394" s="28">
        <f>Q1391*_xlfn.XLOOKUP($L1394,'Balizador da Meta'!$B$4:$B$21,'Balizador da Meta'!$C$4:$C$21)</f>
        <v>576</v>
      </c>
      <c r="R1394" s="28">
        <f>R1391*_xlfn.XLOOKUP($L1394,'Balizador da Meta'!$B$4:$B$21,'Balizador da Meta'!$C$4:$C$21)</f>
        <v>576</v>
      </c>
      <c r="S1394" s="28">
        <f>S1391*_xlfn.XLOOKUP($L1394,'Balizador da Meta'!$B$4:$B$21,'Balizador da Meta'!$C$4:$C$21)</f>
        <v>624</v>
      </c>
      <c r="T1394" s="28">
        <f>T1391*_xlfn.XLOOKUP($L1394,'Balizador da Meta'!$B$4:$B$21,'Balizador da Meta'!$C$4:$C$21)</f>
        <v>624</v>
      </c>
      <c r="U1394" s="28">
        <f>U1391*_xlfn.XLOOKUP($L1394,'Balizador da Meta'!$B$4:$B$21,'Balizador da Meta'!$C$4:$C$21)</f>
        <v>624</v>
      </c>
      <c r="V1394" s="28">
        <f>V1391*_xlfn.XLOOKUP($L1394,'Balizador da Meta'!$B$4:$B$21,'Balizador da Meta'!$C$4:$C$21)</f>
        <v>624</v>
      </c>
      <c r="W1394" s="28">
        <f>W1391*_xlfn.XLOOKUP($L1394,'Balizador da Meta'!$B$4:$B$21,'Balizador da Meta'!$C$4:$C$21)</f>
        <v>624</v>
      </c>
      <c r="X1394" s="28">
        <f>X1391*_xlfn.XLOOKUP($L1394,'Balizador da Meta'!$B$4:$B$21,'Balizador da Meta'!$C$4:$C$21)</f>
        <v>672</v>
      </c>
      <c r="Y1394" s="28">
        <f>Y1391*_xlfn.XLOOKUP($L1394,'Balizador da Meta'!$B$4:$B$21,'Balizador da Meta'!$C$4:$C$21)</f>
        <v>672</v>
      </c>
      <c r="Z1394" s="30">
        <f t="shared" si="332"/>
        <v>7344</v>
      </c>
      <c r="AA1394" s="29"/>
      <c r="AB1394" s="31">
        <f>SUMIFS('Historico - FAT'!AK:AK,'Historico - FAT'!$K:$K,Faturamento!$L1394,'Historico - FAT'!$I:$I,Faturamento!$J1394,'Historico - FAT'!$G:$G,Faturamento!$H1394)</f>
        <v>40.083333333333336</v>
      </c>
      <c r="AC1394" s="31">
        <f>SUMIFS('Historico - FAT'!AL:AL,'Historico - FAT'!$K:$K,Faturamento!$L1394,'Historico - FAT'!$I:$I,Faturamento!$J1394,'Historico - FAT'!$G:$G,Faturamento!$H1394)</f>
        <v>225.27333333333331</v>
      </c>
      <c r="AD1394" s="31">
        <f>SUMIFS('Historico - FAT'!AM:AM,'Historico - FAT'!$K:$K,Faturamento!$L1394,'Historico - FAT'!$I:$I,Faturamento!$J1394,'Historico - FAT'!$G:$G,Faturamento!$H1394)</f>
        <v>357.74</v>
      </c>
      <c r="AE1394" s="27">
        <f>SUMIFS('Historico - FAT'!AN:AN,'Historico - FAT'!$K:$K,Faturamento!$L1394,'Historico - FAT'!$I:$I,Faturamento!$J1394,'Historico - FAT'!$G:$G,Faturamento!$H1394)</f>
        <v>261.48799999999994</v>
      </c>
      <c r="AG1394" s="24">
        <f t="shared" ref="AG1394:AG1457" si="334">IFERROR((AVERAGE(W1394:Y1394)-AB1394)/AVERAGE(W1394:Y1394),"")</f>
        <v>0.93889735772357719</v>
      </c>
      <c r="AH1394" s="24">
        <f t="shared" ref="AH1394:AH1457" si="335">IFERROR((AVERAGE(W1394:Y1394)-AC1394)/AVERAGE(W1394:Y1394),"")</f>
        <v>0.65659552845528457</v>
      </c>
      <c r="AI1394" s="24">
        <f t="shared" ref="AI1394:AI1457" si="336">IFERROR((AVERAGE(W1394:Y1394)-AD1394)/AVERAGE(W1394:Y1394),"")</f>
        <v>0.45466463414634145</v>
      </c>
    </row>
    <row r="1395" spans="1:35" hidden="1" x14ac:dyDescent="0.3">
      <c r="A1395" s="2" t="str">
        <f t="shared" si="333"/>
        <v>NÃO</v>
      </c>
      <c r="B1395" s="2">
        <v>1000184670</v>
      </c>
      <c r="C1395" s="2" t="s">
        <v>147</v>
      </c>
      <c r="D1395" s="4">
        <v>1000186197</v>
      </c>
      <c r="E1395" s="4" t="s">
        <v>166</v>
      </c>
      <c r="F1395" s="2">
        <v>1000184764</v>
      </c>
      <c r="G1395" s="2" t="s">
        <v>70</v>
      </c>
      <c r="H1395" s="4">
        <v>1000189818</v>
      </c>
      <c r="I1395" s="4" t="s">
        <v>72</v>
      </c>
      <c r="J1395" s="2">
        <v>1000189270</v>
      </c>
      <c r="K1395" s="2" t="s">
        <v>34</v>
      </c>
      <c r="L1395" s="4" t="s">
        <v>15</v>
      </c>
      <c r="M1395" s="4" t="str">
        <f t="shared" si="323"/>
        <v>1000184670100018619710001898181000189270DOCES</v>
      </c>
      <c r="N1395" s="28">
        <f>N1391*_xlfn.XLOOKUP($L1395,'Balizador da Meta'!$B$4:$B$21,'Balizador da Meta'!$C$4:$C$21)</f>
        <v>648</v>
      </c>
      <c r="O1395" s="28">
        <f>O1391*_xlfn.XLOOKUP($L1395,'Balizador da Meta'!$B$4:$B$21,'Balizador da Meta'!$C$4:$C$21)</f>
        <v>648</v>
      </c>
      <c r="P1395" s="28">
        <f>P1391*_xlfn.XLOOKUP($L1395,'Balizador da Meta'!$B$4:$B$21,'Balizador da Meta'!$C$4:$C$21)</f>
        <v>648</v>
      </c>
      <c r="Q1395" s="28">
        <f>Q1391*_xlfn.XLOOKUP($L1395,'Balizador da Meta'!$B$4:$B$21,'Balizador da Meta'!$C$4:$C$21)</f>
        <v>648</v>
      </c>
      <c r="R1395" s="28">
        <f>R1391*_xlfn.XLOOKUP($L1395,'Balizador da Meta'!$B$4:$B$21,'Balizador da Meta'!$C$4:$C$21)</f>
        <v>648</v>
      </c>
      <c r="S1395" s="28">
        <f>S1391*_xlfn.XLOOKUP($L1395,'Balizador da Meta'!$B$4:$B$21,'Balizador da Meta'!$C$4:$C$21)</f>
        <v>702</v>
      </c>
      <c r="T1395" s="28">
        <f>T1391*_xlfn.XLOOKUP($L1395,'Balizador da Meta'!$B$4:$B$21,'Balizador da Meta'!$C$4:$C$21)</f>
        <v>702</v>
      </c>
      <c r="U1395" s="28">
        <f>U1391*_xlfn.XLOOKUP($L1395,'Balizador da Meta'!$B$4:$B$21,'Balizador da Meta'!$C$4:$C$21)</f>
        <v>702</v>
      </c>
      <c r="V1395" s="28">
        <f>V1391*_xlfn.XLOOKUP($L1395,'Balizador da Meta'!$B$4:$B$21,'Balizador da Meta'!$C$4:$C$21)</f>
        <v>702</v>
      </c>
      <c r="W1395" s="28">
        <f>W1391*_xlfn.XLOOKUP($L1395,'Balizador da Meta'!$B$4:$B$21,'Balizador da Meta'!$C$4:$C$21)</f>
        <v>702</v>
      </c>
      <c r="X1395" s="28">
        <f>X1391*_xlfn.XLOOKUP($L1395,'Balizador da Meta'!$B$4:$B$21,'Balizador da Meta'!$C$4:$C$21)</f>
        <v>756</v>
      </c>
      <c r="Y1395" s="28">
        <f>Y1391*_xlfn.XLOOKUP($L1395,'Balizador da Meta'!$B$4:$B$21,'Balizador da Meta'!$C$4:$C$21)</f>
        <v>756</v>
      </c>
      <c r="Z1395" s="30">
        <f t="shared" si="332"/>
        <v>8262</v>
      </c>
      <c r="AA1395" s="29"/>
      <c r="AB1395" s="31">
        <f>SUMIFS('Historico - FAT'!AK:AK,'Historico - FAT'!$K:$K,Faturamento!$L1395,'Historico - FAT'!$I:$I,Faturamento!$J1395,'Historico - FAT'!$G:$G,Faturamento!$H1395)</f>
        <v>2004.1958333333332</v>
      </c>
      <c r="AC1395" s="31">
        <f>SUMIFS('Historico - FAT'!AL:AL,'Historico - FAT'!$K:$K,Faturamento!$L1395,'Historico - FAT'!$I:$I,Faturamento!$J1395,'Historico - FAT'!$G:$G,Faturamento!$H1395)</f>
        <v>1907.0008333333335</v>
      </c>
      <c r="AD1395" s="31">
        <f>SUMIFS('Historico - FAT'!AM:AM,'Historico - FAT'!$K:$K,Faturamento!$L1395,'Historico - FAT'!$I:$I,Faturamento!$J1395,'Historico - FAT'!$G:$G,Faturamento!$H1395)</f>
        <v>2393.2833333333333</v>
      </c>
      <c r="AE1395" s="27">
        <f>SUMIFS('Historico - FAT'!AN:AN,'Historico - FAT'!$K:$K,Faturamento!$L1395,'Historico - FAT'!$I:$I,Faturamento!$J1395,'Historico - FAT'!$G:$G,Faturamento!$H1395)</f>
        <v>2003.2870000000003</v>
      </c>
      <c r="AG1395" s="24">
        <f t="shared" si="334"/>
        <v>-1.7157125112917795</v>
      </c>
      <c r="AH1395" s="24">
        <f t="shared" si="335"/>
        <v>-1.5840119692863597</v>
      </c>
      <c r="AI1395" s="24">
        <f t="shared" si="336"/>
        <v>-2.2429313459801263</v>
      </c>
    </row>
    <row r="1396" spans="1:35" hidden="1" x14ac:dyDescent="0.3">
      <c r="A1396" s="2" t="str">
        <f t="shared" si="333"/>
        <v>NÃO</v>
      </c>
      <c r="B1396" s="2">
        <v>1000184670</v>
      </c>
      <c r="C1396" s="2" t="s">
        <v>147</v>
      </c>
      <c r="D1396" s="4">
        <v>1000186197</v>
      </c>
      <c r="E1396" s="4" t="s">
        <v>166</v>
      </c>
      <c r="F1396" s="2">
        <v>1000184764</v>
      </c>
      <c r="G1396" s="2" t="s">
        <v>70</v>
      </c>
      <c r="H1396" s="4">
        <v>1000189818</v>
      </c>
      <c r="I1396" s="4" t="s">
        <v>72</v>
      </c>
      <c r="J1396" s="2">
        <v>1000189270</v>
      </c>
      <c r="K1396" s="2" t="s">
        <v>34</v>
      </c>
      <c r="L1396" s="4" t="s">
        <v>33</v>
      </c>
      <c r="M1396" s="4" t="str">
        <f t="shared" si="323"/>
        <v>1000184670100018619710001898181000189270FOOD SERVICE</v>
      </c>
      <c r="N1396" s="28">
        <f>N1391*_xlfn.XLOOKUP($L1396,'Balizador da Meta'!$B$4:$B$21,'Balizador da Meta'!$C$4:$C$21)</f>
        <v>0</v>
      </c>
      <c r="O1396" s="28">
        <f>O1391*_xlfn.XLOOKUP($L1396,'Balizador da Meta'!$B$4:$B$21,'Balizador da Meta'!$C$4:$C$21)</f>
        <v>0</v>
      </c>
      <c r="P1396" s="28">
        <f>P1391*_xlfn.XLOOKUP($L1396,'Balizador da Meta'!$B$4:$B$21,'Balizador da Meta'!$C$4:$C$21)</f>
        <v>0</v>
      </c>
      <c r="Q1396" s="28">
        <f>Q1391*_xlfn.XLOOKUP($L1396,'Balizador da Meta'!$B$4:$B$21,'Balizador da Meta'!$C$4:$C$21)</f>
        <v>0</v>
      </c>
      <c r="R1396" s="28">
        <f>R1391*_xlfn.XLOOKUP($L1396,'Balizador da Meta'!$B$4:$B$21,'Balizador da Meta'!$C$4:$C$21)</f>
        <v>0</v>
      </c>
      <c r="S1396" s="28">
        <f>S1391*_xlfn.XLOOKUP($L1396,'Balizador da Meta'!$B$4:$B$21,'Balizador da Meta'!$C$4:$C$21)</f>
        <v>0</v>
      </c>
      <c r="T1396" s="28">
        <f>T1391*_xlfn.XLOOKUP($L1396,'Balizador da Meta'!$B$4:$B$21,'Balizador da Meta'!$C$4:$C$21)</f>
        <v>0</v>
      </c>
      <c r="U1396" s="28">
        <f>U1391*_xlfn.XLOOKUP($L1396,'Balizador da Meta'!$B$4:$B$21,'Balizador da Meta'!$C$4:$C$21)</f>
        <v>0</v>
      </c>
      <c r="V1396" s="28">
        <f>V1391*_xlfn.XLOOKUP($L1396,'Balizador da Meta'!$B$4:$B$21,'Balizador da Meta'!$C$4:$C$21)</f>
        <v>0</v>
      </c>
      <c r="W1396" s="28">
        <f>W1391*_xlfn.XLOOKUP($L1396,'Balizador da Meta'!$B$4:$B$21,'Balizador da Meta'!$C$4:$C$21)</f>
        <v>0</v>
      </c>
      <c r="X1396" s="28">
        <f>X1391*_xlfn.XLOOKUP($L1396,'Balizador da Meta'!$B$4:$B$21,'Balizador da Meta'!$C$4:$C$21)</f>
        <v>0</v>
      </c>
      <c r="Y1396" s="28">
        <f>Y1391*_xlfn.XLOOKUP($L1396,'Balizador da Meta'!$B$4:$B$21,'Balizador da Meta'!$C$4:$C$21)</f>
        <v>0</v>
      </c>
      <c r="Z1396" s="30">
        <f t="shared" si="332"/>
        <v>0</v>
      </c>
      <c r="AA1396" s="29"/>
      <c r="AB1396" s="31">
        <f>SUMIFS('Historico - FAT'!AK:AK,'Historico - FAT'!$K:$K,Faturamento!$L1396,'Historico - FAT'!$I:$I,Faturamento!$J1396,'Historico - FAT'!$G:$G,Faturamento!$H1396)</f>
        <v>0</v>
      </c>
      <c r="AC1396" s="31">
        <f>SUMIFS('Historico - FAT'!AL:AL,'Historico - FAT'!$K:$K,Faturamento!$L1396,'Historico - FAT'!$I:$I,Faturamento!$J1396,'Historico - FAT'!$G:$G,Faturamento!$H1396)</f>
        <v>116.14999999999999</v>
      </c>
      <c r="AD1396" s="31">
        <f>SUMIFS('Historico - FAT'!AM:AM,'Historico - FAT'!$K:$K,Faturamento!$L1396,'Historico - FAT'!$I:$I,Faturamento!$J1396,'Historico - FAT'!$G:$G,Faturamento!$H1396)</f>
        <v>232.29999999999998</v>
      </c>
      <c r="AE1396" s="27">
        <f>SUMIFS('Historico - FAT'!AN:AN,'Historico - FAT'!$K:$K,Faturamento!$L1396,'Historico - FAT'!$I:$I,Faturamento!$J1396,'Historico - FAT'!$G:$G,Faturamento!$H1396)</f>
        <v>139.38</v>
      </c>
      <c r="AG1396" s="24" t="str">
        <f t="shared" si="334"/>
        <v/>
      </c>
      <c r="AH1396" s="24" t="str">
        <f t="shared" si="335"/>
        <v/>
      </c>
      <c r="AI1396" s="24" t="str">
        <f t="shared" si="336"/>
        <v/>
      </c>
    </row>
    <row r="1397" spans="1:35" hidden="1" x14ac:dyDescent="0.3">
      <c r="A1397" s="2" t="str">
        <f t="shared" si="333"/>
        <v>NÃO</v>
      </c>
      <c r="B1397" s="2">
        <v>1000184670</v>
      </c>
      <c r="C1397" s="2" t="s">
        <v>147</v>
      </c>
      <c r="D1397" s="4">
        <v>1000186197</v>
      </c>
      <c r="E1397" s="4" t="s">
        <v>166</v>
      </c>
      <c r="F1397" s="2">
        <v>1000184764</v>
      </c>
      <c r="G1397" s="2" t="s">
        <v>70</v>
      </c>
      <c r="H1397" s="4">
        <v>1000189818</v>
      </c>
      <c r="I1397" s="4" t="s">
        <v>72</v>
      </c>
      <c r="J1397" s="2">
        <v>1000189270</v>
      </c>
      <c r="K1397" s="2" t="s">
        <v>34</v>
      </c>
      <c r="L1397" s="4" t="s">
        <v>19</v>
      </c>
      <c r="M1397" s="4" t="str">
        <f t="shared" si="323"/>
        <v>1000184670100018619710001898181000189270GELEIA</v>
      </c>
      <c r="N1397" s="28">
        <f>N1391*_xlfn.XLOOKUP($L1397,'Balizador da Meta'!$B$4:$B$21,'Balizador da Meta'!$C$4:$C$21)</f>
        <v>143.99999999999997</v>
      </c>
      <c r="O1397" s="28">
        <f>O1391*_xlfn.XLOOKUP($L1397,'Balizador da Meta'!$B$4:$B$21,'Balizador da Meta'!$C$4:$C$21)</f>
        <v>143.99999999999997</v>
      </c>
      <c r="P1397" s="28">
        <f>P1391*_xlfn.XLOOKUP($L1397,'Balizador da Meta'!$B$4:$B$21,'Balizador da Meta'!$C$4:$C$21)</f>
        <v>143.99999999999997</v>
      </c>
      <c r="Q1397" s="28">
        <f>Q1391*_xlfn.XLOOKUP($L1397,'Balizador da Meta'!$B$4:$B$21,'Balizador da Meta'!$C$4:$C$21)</f>
        <v>143.99999999999997</v>
      </c>
      <c r="R1397" s="28">
        <f>R1391*_xlfn.XLOOKUP($L1397,'Balizador da Meta'!$B$4:$B$21,'Balizador da Meta'!$C$4:$C$21)</f>
        <v>143.99999999999997</v>
      </c>
      <c r="S1397" s="28">
        <f>S1391*_xlfn.XLOOKUP($L1397,'Balizador da Meta'!$B$4:$B$21,'Balizador da Meta'!$C$4:$C$21)</f>
        <v>155.99999999999997</v>
      </c>
      <c r="T1397" s="28">
        <f>T1391*_xlfn.XLOOKUP($L1397,'Balizador da Meta'!$B$4:$B$21,'Balizador da Meta'!$C$4:$C$21)</f>
        <v>155.99999999999997</v>
      </c>
      <c r="U1397" s="28">
        <f>U1391*_xlfn.XLOOKUP($L1397,'Balizador da Meta'!$B$4:$B$21,'Balizador da Meta'!$C$4:$C$21)</f>
        <v>155.99999999999997</v>
      </c>
      <c r="V1397" s="28">
        <f>V1391*_xlfn.XLOOKUP($L1397,'Balizador da Meta'!$B$4:$B$21,'Balizador da Meta'!$C$4:$C$21)</f>
        <v>155.99999999999997</v>
      </c>
      <c r="W1397" s="28">
        <f>W1391*_xlfn.XLOOKUP($L1397,'Balizador da Meta'!$B$4:$B$21,'Balizador da Meta'!$C$4:$C$21)</f>
        <v>155.99999999999997</v>
      </c>
      <c r="X1397" s="28">
        <f>X1391*_xlfn.XLOOKUP($L1397,'Balizador da Meta'!$B$4:$B$21,'Balizador da Meta'!$C$4:$C$21)</f>
        <v>167.99999999999997</v>
      </c>
      <c r="Y1397" s="28">
        <f>Y1391*_xlfn.XLOOKUP($L1397,'Balizador da Meta'!$B$4:$B$21,'Balizador da Meta'!$C$4:$C$21)</f>
        <v>167.99999999999997</v>
      </c>
      <c r="Z1397" s="30">
        <f t="shared" si="332"/>
        <v>1835.9999999999998</v>
      </c>
      <c r="AA1397" s="29"/>
      <c r="AB1397" s="31">
        <f>SUMIFS('Historico - FAT'!AK:AK,'Historico - FAT'!$K:$K,Faturamento!$L1397,'Historico - FAT'!$I:$I,Faturamento!$J1397,'Historico - FAT'!$G:$G,Faturamento!$H1397)</f>
        <v>325.25416666666666</v>
      </c>
      <c r="AC1397" s="31">
        <f>SUMIFS('Historico - FAT'!AL:AL,'Historico - FAT'!$K:$K,Faturamento!$L1397,'Historico - FAT'!$I:$I,Faturamento!$J1397,'Historico - FAT'!$G:$G,Faturamento!$H1397)</f>
        <v>514.16166666666663</v>
      </c>
      <c r="AD1397" s="31">
        <f>SUMIFS('Historico - FAT'!AM:AM,'Historico - FAT'!$K:$K,Faturamento!$L1397,'Historico - FAT'!$I:$I,Faturamento!$J1397,'Historico - FAT'!$G:$G,Faturamento!$H1397)</f>
        <v>806.54999999999984</v>
      </c>
      <c r="AE1397" s="27">
        <f>SUMIFS('Historico - FAT'!AN:AN,'Historico - FAT'!$K:$K,Faturamento!$L1397,'Historico - FAT'!$I:$I,Faturamento!$J1397,'Historico - FAT'!$G:$G,Faturamento!$H1397)</f>
        <v>568.89</v>
      </c>
      <c r="AG1397" s="24">
        <f t="shared" si="334"/>
        <v>-0.98325711382113856</v>
      </c>
      <c r="AH1397" s="24">
        <f t="shared" si="335"/>
        <v>-2.1351321138211383</v>
      </c>
      <c r="AI1397" s="24">
        <f t="shared" si="336"/>
        <v>-3.9179878048780483</v>
      </c>
    </row>
    <row r="1398" spans="1:35" hidden="1" x14ac:dyDescent="0.3">
      <c r="A1398" s="2" t="str">
        <f t="shared" si="333"/>
        <v>NÃO</v>
      </c>
      <c r="B1398" s="2">
        <v>1000184670</v>
      </c>
      <c r="C1398" s="2" t="s">
        <v>147</v>
      </c>
      <c r="D1398" s="4">
        <v>1000186197</v>
      </c>
      <c r="E1398" s="4" t="s">
        <v>166</v>
      </c>
      <c r="F1398" s="2">
        <v>1000184764</v>
      </c>
      <c r="G1398" s="2" t="s">
        <v>70</v>
      </c>
      <c r="H1398" s="4">
        <v>1000189818</v>
      </c>
      <c r="I1398" s="4" t="s">
        <v>72</v>
      </c>
      <c r="J1398" s="2">
        <v>1000189270</v>
      </c>
      <c r="K1398" s="2" t="s">
        <v>34</v>
      </c>
      <c r="L1398" s="4" t="s">
        <v>17</v>
      </c>
      <c r="M1398" s="4" t="str">
        <f t="shared" si="323"/>
        <v>1000184670100018619710001898181000189270GRANOLA</v>
      </c>
      <c r="N1398" s="28">
        <f>N1391*_xlfn.XLOOKUP($L1398,'Balizador da Meta'!$B$4:$B$21,'Balizador da Meta'!$C$4:$C$21)</f>
        <v>144</v>
      </c>
      <c r="O1398" s="28">
        <f>O1391*_xlfn.XLOOKUP($L1398,'Balizador da Meta'!$B$4:$B$21,'Balizador da Meta'!$C$4:$C$21)</f>
        <v>144</v>
      </c>
      <c r="P1398" s="28">
        <f>P1391*_xlfn.XLOOKUP($L1398,'Balizador da Meta'!$B$4:$B$21,'Balizador da Meta'!$C$4:$C$21)</f>
        <v>144</v>
      </c>
      <c r="Q1398" s="28">
        <f>Q1391*_xlfn.XLOOKUP($L1398,'Balizador da Meta'!$B$4:$B$21,'Balizador da Meta'!$C$4:$C$21)</f>
        <v>144</v>
      </c>
      <c r="R1398" s="28">
        <f>R1391*_xlfn.XLOOKUP($L1398,'Balizador da Meta'!$B$4:$B$21,'Balizador da Meta'!$C$4:$C$21)</f>
        <v>144</v>
      </c>
      <c r="S1398" s="28">
        <f>S1391*_xlfn.XLOOKUP($L1398,'Balizador da Meta'!$B$4:$B$21,'Balizador da Meta'!$C$4:$C$21)</f>
        <v>156</v>
      </c>
      <c r="T1398" s="28">
        <f>T1391*_xlfn.XLOOKUP($L1398,'Balizador da Meta'!$B$4:$B$21,'Balizador da Meta'!$C$4:$C$21)</f>
        <v>156</v>
      </c>
      <c r="U1398" s="28">
        <f>U1391*_xlfn.XLOOKUP($L1398,'Balizador da Meta'!$B$4:$B$21,'Balizador da Meta'!$C$4:$C$21)</f>
        <v>156</v>
      </c>
      <c r="V1398" s="28">
        <f>V1391*_xlfn.XLOOKUP($L1398,'Balizador da Meta'!$B$4:$B$21,'Balizador da Meta'!$C$4:$C$21)</f>
        <v>156</v>
      </c>
      <c r="W1398" s="28">
        <f>W1391*_xlfn.XLOOKUP($L1398,'Balizador da Meta'!$B$4:$B$21,'Balizador da Meta'!$C$4:$C$21)</f>
        <v>156</v>
      </c>
      <c r="X1398" s="28">
        <f>X1391*_xlfn.XLOOKUP($L1398,'Balizador da Meta'!$B$4:$B$21,'Balizador da Meta'!$C$4:$C$21)</f>
        <v>168</v>
      </c>
      <c r="Y1398" s="28">
        <f>Y1391*_xlfn.XLOOKUP($L1398,'Balizador da Meta'!$B$4:$B$21,'Balizador da Meta'!$C$4:$C$21)</f>
        <v>168</v>
      </c>
      <c r="Z1398" s="30">
        <f t="shared" si="332"/>
        <v>1836</v>
      </c>
      <c r="AA1398" s="29"/>
      <c r="AB1398" s="31">
        <f>SUMIFS('Historico - FAT'!AK:AK,'Historico - FAT'!$K:$K,Faturamento!$L1398,'Historico - FAT'!$I:$I,Faturamento!$J1398,'Historico - FAT'!$G:$G,Faturamento!$H1398)</f>
        <v>124.07999999999998</v>
      </c>
      <c r="AC1398" s="31">
        <f>SUMIFS('Historico - FAT'!AL:AL,'Historico - FAT'!$K:$K,Faturamento!$L1398,'Historico - FAT'!$I:$I,Faturamento!$J1398,'Historico - FAT'!$G:$G,Faturamento!$H1398)</f>
        <v>138</v>
      </c>
      <c r="AD1398" s="31">
        <f>SUMIFS('Historico - FAT'!AM:AM,'Historico - FAT'!$K:$K,Faturamento!$L1398,'Historico - FAT'!$I:$I,Faturamento!$J1398,'Historico - FAT'!$G:$G,Faturamento!$H1398)</f>
        <v>182.6</v>
      </c>
      <c r="AE1398" s="27">
        <f>SUMIFS('Historico - FAT'!AN:AN,'Historico - FAT'!$K:$K,Faturamento!$L1398,'Historico - FAT'!$I:$I,Faturamento!$J1398,'Historico - FAT'!$G:$G,Faturamento!$H1398)</f>
        <v>165.6</v>
      </c>
      <c r="AG1398" s="24">
        <f t="shared" si="334"/>
        <v>0.24341463414634157</v>
      </c>
      <c r="AH1398" s="24">
        <f t="shared" si="335"/>
        <v>0.15853658536585366</v>
      </c>
      <c r="AI1398" s="24">
        <f t="shared" si="336"/>
        <v>-0.11341463414634143</v>
      </c>
    </row>
    <row r="1399" spans="1:35" hidden="1" x14ac:dyDescent="0.3">
      <c r="A1399" s="2" t="str">
        <f t="shared" si="333"/>
        <v>NÃO</v>
      </c>
      <c r="B1399" s="2">
        <v>1000184670</v>
      </c>
      <c r="C1399" s="2" t="s">
        <v>147</v>
      </c>
      <c r="D1399" s="4">
        <v>1000186197</v>
      </c>
      <c r="E1399" s="4" t="s">
        <v>166</v>
      </c>
      <c r="F1399" s="2">
        <v>1000184764</v>
      </c>
      <c r="G1399" s="2" t="s">
        <v>70</v>
      </c>
      <c r="H1399" s="4">
        <v>1000189818</v>
      </c>
      <c r="I1399" s="4" t="s">
        <v>72</v>
      </c>
      <c r="J1399" s="2">
        <v>1000189270</v>
      </c>
      <c r="K1399" s="2" t="s">
        <v>34</v>
      </c>
      <c r="L1399" s="4" t="s">
        <v>24</v>
      </c>
      <c r="M1399" s="4" t="str">
        <f t="shared" si="323"/>
        <v>1000184670100018619710001898181000189270KIDS</v>
      </c>
      <c r="N1399" s="28">
        <f>N1391*_xlfn.XLOOKUP($L1399,'Balizador da Meta'!$B$4:$B$21,'Balizador da Meta'!$C$4:$C$21)</f>
        <v>0</v>
      </c>
      <c r="O1399" s="28">
        <f>O1391*_xlfn.XLOOKUP($L1399,'Balizador da Meta'!$B$4:$B$21,'Balizador da Meta'!$C$4:$C$21)</f>
        <v>0</v>
      </c>
      <c r="P1399" s="28">
        <f>P1391*_xlfn.XLOOKUP($L1399,'Balizador da Meta'!$B$4:$B$21,'Balizador da Meta'!$C$4:$C$21)</f>
        <v>0</v>
      </c>
      <c r="Q1399" s="28">
        <f>Q1391*_xlfn.XLOOKUP($L1399,'Balizador da Meta'!$B$4:$B$21,'Balizador da Meta'!$C$4:$C$21)</f>
        <v>0</v>
      </c>
      <c r="R1399" s="28">
        <f>R1391*_xlfn.XLOOKUP($L1399,'Balizador da Meta'!$B$4:$B$21,'Balizador da Meta'!$C$4:$C$21)</f>
        <v>0</v>
      </c>
      <c r="S1399" s="28">
        <f>S1391*_xlfn.XLOOKUP($L1399,'Balizador da Meta'!$B$4:$B$21,'Balizador da Meta'!$C$4:$C$21)</f>
        <v>0</v>
      </c>
      <c r="T1399" s="28">
        <f>T1391*_xlfn.XLOOKUP($L1399,'Balizador da Meta'!$B$4:$B$21,'Balizador da Meta'!$C$4:$C$21)</f>
        <v>0</v>
      </c>
      <c r="U1399" s="28">
        <f>U1391*_xlfn.XLOOKUP($L1399,'Balizador da Meta'!$B$4:$B$21,'Balizador da Meta'!$C$4:$C$21)</f>
        <v>0</v>
      </c>
      <c r="V1399" s="28">
        <f>V1391*_xlfn.XLOOKUP($L1399,'Balizador da Meta'!$B$4:$B$21,'Balizador da Meta'!$C$4:$C$21)</f>
        <v>0</v>
      </c>
      <c r="W1399" s="28">
        <f>W1391*_xlfn.XLOOKUP($L1399,'Balizador da Meta'!$B$4:$B$21,'Balizador da Meta'!$C$4:$C$21)</f>
        <v>0</v>
      </c>
      <c r="X1399" s="28">
        <f>X1391*_xlfn.XLOOKUP($L1399,'Balizador da Meta'!$B$4:$B$21,'Balizador da Meta'!$C$4:$C$21)</f>
        <v>0</v>
      </c>
      <c r="Y1399" s="28">
        <f>Y1391*_xlfn.XLOOKUP($L1399,'Balizador da Meta'!$B$4:$B$21,'Balizador da Meta'!$C$4:$C$21)</f>
        <v>0</v>
      </c>
      <c r="Z1399" s="30">
        <f t="shared" si="332"/>
        <v>0</v>
      </c>
      <c r="AA1399" s="29"/>
      <c r="AB1399" s="31">
        <f>SUMIFS('Historico - FAT'!AK:AK,'Historico - FAT'!$K:$K,Faturamento!$L1399,'Historico - FAT'!$I:$I,Faturamento!$J1399,'Historico - FAT'!$G:$G,Faturamento!$H1399)</f>
        <v>140.56</v>
      </c>
      <c r="AC1399" s="31">
        <f>SUMIFS('Historico - FAT'!AL:AL,'Historico - FAT'!$K:$K,Faturamento!$L1399,'Historico - FAT'!$I:$I,Faturamento!$J1399,'Historico - FAT'!$G:$G,Faturamento!$H1399)</f>
        <v>160.64083333333332</v>
      </c>
      <c r="AD1399" s="31">
        <f>SUMIFS('Historico - FAT'!AM:AM,'Historico - FAT'!$K:$K,Faturamento!$L1399,'Historico - FAT'!$I:$I,Faturamento!$J1399,'Historico - FAT'!$G:$G,Faturamento!$H1399)</f>
        <v>190.50166666666667</v>
      </c>
      <c r="AE1399" s="27">
        <f>SUMIFS('Historico - FAT'!AN:AN,'Historico - FAT'!$K:$K,Faturamento!$L1399,'Historico - FAT'!$I:$I,Faturamento!$J1399,'Historico - FAT'!$G:$G,Faturamento!$H1399)</f>
        <v>165.541</v>
      </c>
      <c r="AG1399" s="24" t="str">
        <f t="shared" si="334"/>
        <v/>
      </c>
      <c r="AH1399" s="24" t="str">
        <f t="shared" si="335"/>
        <v/>
      </c>
      <c r="AI1399" s="24" t="str">
        <f t="shared" si="336"/>
        <v/>
      </c>
    </row>
    <row r="1400" spans="1:35" hidden="1" x14ac:dyDescent="0.3">
      <c r="A1400" s="2" t="str">
        <f t="shared" si="333"/>
        <v>NÃO</v>
      </c>
      <c r="B1400" s="2">
        <v>1000184670</v>
      </c>
      <c r="C1400" s="2" t="s">
        <v>147</v>
      </c>
      <c r="D1400" s="4">
        <v>1000186197</v>
      </c>
      <c r="E1400" s="4" t="s">
        <v>166</v>
      </c>
      <c r="F1400" s="2">
        <v>1000184764</v>
      </c>
      <c r="G1400" s="2" t="s">
        <v>70</v>
      </c>
      <c r="H1400" s="4">
        <v>1000189818</v>
      </c>
      <c r="I1400" s="4" t="s">
        <v>72</v>
      </c>
      <c r="J1400" s="2">
        <v>1000189270</v>
      </c>
      <c r="K1400" s="2" t="s">
        <v>34</v>
      </c>
      <c r="L1400" s="4" t="s">
        <v>18</v>
      </c>
      <c r="M1400" s="4" t="str">
        <f t="shared" si="323"/>
        <v>1000184670100018619710001898181000189270LANCHES</v>
      </c>
      <c r="N1400" s="28">
        <f>N1391*_xlfn.XLOOKUP($L1400,'Balizador da Meta'!$B$4:$B$21,'Balizador da Meta'!$C$4:$C$21)</f>
        <v>72</v>
      </c>
      <c r="O1400" s="28">
        <f>O1391*_xlfn.XLOOKUP($L1400,'Balizador da Meta'!$B$4:$B$21,'Balizador da Meta'!$C$4:$C$21)</f>
        <v>72</v>
      </c>
      <c r="P1400" s="28">
        <f>P1391*_xlfn.XLOOKUP($L1400,'Balizador da Meta'!$B$4:$B$21,'Balizador da Meta'!$C$4:$C$21)</f>
        <v>72</v>
      </c>
      <c r="Q1400" s="28">
        <f>Q1391*_xlfn.XLOOKUP($L1400,'Balizador da Meta'!$B$4:$B$21,'Balizador da Meta'!$C$4:$C$21)</f>
        <v>72</v>
      </c>
      <c r="R1400" s="28">
        <f>R1391*_xlfn.XLOOKUP($L1400,'Balizador da Meta'!$B$4:$B$21,'Balizador da Meta'!$C$4:$C$21)</f>
        <v>72</v>
      </c>
      <c r="S1400" s="28">
        <f>S1391*_xlfn.XLOOKUP($L1400,'Balizador da Meta'!$B$4:$B$21,'Balizador da Meta'!$C$4:$C$21)</f>
        <v>78</v>
      </c>
      <c r="T1400" s="28">
        <f>T1391*_xlfn.XLOOKUP($L1400,'Balizador da Meta'!$B$4:$B$21,'Balizador da Meta'!$C$4:$C$21)</f>
        <v>78</v>
      </c>
      <c r="U1400" s="28">
        <f>U1391*_xlfn.XLOOKUP($L1400,'Balizador da Meta'!$B$4:$B$21,'Balizador da Meta'!$C$4:$C$21)</f>
        <v>78</v>
      </c>
      <c r="V1400" s="28">
        <f>V1391*_xlfn.XLOOKUP($L1400,'Balizador da Meta'!$B$4:$B$21,'Balizador da Meta'!$C$4:$C$21)</f>
        <v>78</v>
      </c>
      <c r="W1400" s="28">
        <f>W1391*_xlfn.XLOOKUP($L1400,'Balizador da Meta'!$B$4:$B$21,'Balizador da Meta'!$C$4:$C$21)</f>
        <v>78</v>
      </c>
      <c r="X1400" s="28">
        <f>X1391*_xlfn.XLOOKUP($L1400,'Balizador da Meta'!$B$4:$B$21,'Balizador da Meta'!$C$4:$C$21)</f>
        <v>84</v>
      </c>
      <c r="Y1400" s="28">
        <f>Y1391*_xlfn.XLOOKUP($L1400,'Balizador da Meta'!$B$4:$B$21,'Balizador da Meta'!$C$4:$C$21)</f>
        <v>84</v>
      </c>
      <c r="Z1400" s="30">
        <f t="shared" si="332"/>
        <v>918</v>
      </c>
      <c r="AA1400" s="29"/>
      <c r="AB1400" s="31">
        <f>SUMIFS('Historico - FAT'!AK:AK,'Historico - FAT'!$K:$K,Faturamento!$L1400,'Historico - FAT'!$I:$I,Faturamento!$J1400,'Historico - FAT'!$G:$G,Faturamento!$H1400)</f>
        <v>61.120000000000005</v>
      </c>
      <c r="AC1400" s="31">
        <f>SUMIFS('Historico - FAT'!AL:AL,'Historico - FAT'!$K:$K,Faturamento!$L1400,'Historico - FAT'!$I:$I,Faturamento!$J1400,'Historico - FAT'!$G:$G,Faturamento!$H1400)</f>
        <v>74.537500000000009</v>
      </c>
      <c r="AD1400" s="31">
        <f>SUMIFS('Historico - FAT'!AM:AM,'Historico - FAT'!$K:$K,Faturamento!$L1400,'Historico - FAT'!$I:$I,Faturamento!$J1400,'Historico - FAT'!$G:$G,Faturamento!$H1400)</f>
        <v>110.765</v>
      </c>
      <c r="AE1400" s="27">
        <f>SUMIFS('Historico - FAT'!AN:AN,'Historico - FAT'!$K:$K,Faturamento!$L1400,'Historico - FAT'!$I:$I,Faturamento!$J1400,'Historico - FAT'!$G:$G,Faturamento!$H1400)</f>
        <v>80.319000000000017</v>
      </c>
      <c r="AG1400" s="24">
        <f t="shared" si="334"/>
        <v>0.25463414634146336</v>
      </c>
      <c r="AH1400" s="24">
        <f t="shared" si="335"/>
        <v>9.100609756097551E-2</v>
      </c>
      <c r="AI1400" s="24">
        <f t="shared" si="336"/>
        <v>-0.3507926829268293</v>
      </c>
    </row>
    <row r="1401" spans="1:35" hidden="1" x14ac:dyDescent="0.3">
      <c r="A1401" s="2" t="str">
        <f t="shared" si="333"/>
        <v>NÃO</v>
      </c>
      <c r="B1401" s="2">
        <v>1000184670</v>
      </c>
      <c r="C1401" s="2" t="s">
        <v>147</v>
      </c>
      <c r="D1401" s="4">
        <v>1000186197</v>
      </c>
      <c r="E1401" s="4" t="s">
        <v>166</v>
      </c>
      <c r="F1401" s="2">
        <v>1000184764</v>
      </c>
      <c r="G1401" s="2" t="s">
        <v>70</v>
      </c>
      <c r="H1401" s="4">
        <v>1000189818</v>
      </c>
      <c r="I1401" s="4" t="s">
        <v>72</v>
      </c>
      <c r="J1401" s="2">
        <v>1000189270</v>
      </c>
      <c r="K1401" s="2" t="s">
        <v>34</v>
      </c>
      <c r="L1401" s="4" t="s">
        <v>29</v>
      </c>
      <c r="M1401" s="4" t="str">
        <f t="shared" si="323"/>
        <v>1000184670100018619710001898181000189270MAIS GRANEL</v>
      </c>
      <c r="N1401" s="28">
        <f>N1391*_xlfn.XLOOKUP($L1401,'Balizador da Meta'!$B$4:$B$21,'Balizador da Meta'!$C$4:$C$21)</f>
        <v>2304</v>
      </c>
      <c r="O1401" s="28">
        <f>O1391*_xlfn.XLOOKUP($L1401,'Balizador da Meta'!$B$4:$B$21,'Balizador da Meta'!$C$4:$C$21)</f>
        <v>2304</v>
      </c>
      <c r="P1401" s="28">
        <f>P1391*_xlfn.XLOOKUP($L1401,'Balizador da Meta'!$B$4:$B$21,'Balizador da Meta'!$C$4:$C$21)</f>
        <v>2304</v>
      </c>
      <c r="Q1401" s="28">
        <f>Q1391*_xlfn.XLOOKUP($L1401,'Balizador da Meta'!$B$4:$B$21,'Balizador da Meta'!$C$4:$C$21)</f>
        <v>2304</v>
      </c>
      <c r="R1401" s="28">
        <f>R1391*_xlfn.XLOOKUP($L1401,'Balizador da Meta'!$B$4:$B$21,'Balizador da Meta'!$C$4:$C$21)</f>
        <v>2304</v>
      </c>
      <c r="S1401" s="28">
        <f>S1391*_xlfn.XLOOKUP($L1401,'Balizador da Meta'!$B$4:$B$21,'Balizador da Meta'!$C$4:$C$21)</f>
        <v>2496</v>
      </c>
      <c r="T1401" s="28">
        <f>T1391*_xlfn.XLOOKUP($L1401,'Balizador da Meta'!$B$4:$B$21,'Balizador da Meta'!$C$4:$C$21)</f>
        <v>2496</v>
      </c>
      <c r="U1401" s="28">
        <f>U1391*_xlfn.XLOOKUP($L1401,'Balizador da Meta'!$B$4:$B$21,'Balizador da Meta'!$C$4:$C$21)</f>
        <v>2496</v>
      </c>
      <c r="V1401" s="28">
        <f>V1391*_xlfn.XLOOKUP($L1401,'Balizador da Meta'!$B$4:$B$21,'Balizador da Meta'!$C$4:$C$21)</f>
        <v>2496</v>
      </c>
      <c r="W1401" s="28">
        <f>W1391*_xlfn.XLOOKUP($L1401,'Balizador da Meta'!$B$4:$B$21,'Balizador da Meta'!$C$4:$C$21)</f>
        <v>2496</v>
      </c>
      <c r="X1401" s="28">
        <f>X1391*_xlfn.XLOOKUP($L1401,'Balizador da Meta'!$B$4:$B$21,'Balizador da Meta'!$C$4:$C$21)</f>
        <v>2688</v>
      </c>
      <c r="Y1401" s="28">
        <f>Y1391*_xlfn.XLOOKUP($L1401,'Balizador da Meta'!$B$4:$B$21,'Balizador da Meta'!$C$4:$C$21)</f>
        <v>2688</v>
      </c>
      <c r="Z1401" s="30">
        <f t="shared" si="332"/>
        <v>29376</v>
      </c>
      <c r="AA1401" s="29"/>
      <c r="AB1401" s="31">
        <f>SUMIFS('Historico - FAT'!AK:AK,'Historico - FAT'!$K:$K,Faturamento!$L1401,'Historico - FAT'!$I:$I,Faturamento!$J1401,'Historico - FAT'!$G:$G,Faturamento!$H1401)</f>
        <v>0</v>
      </c>
      <c r="AC1401" s="31">
        <f>SUMIFS('Historico - FAT'!AL:AL,'Historico - FAT'!$K:$K,Faturamento!$L1401,'Historico - FAT'!$I:$I,Faturamento!$J1401,'Historico - FAT'!$G:$G,Faturamento!$H1401)</f>
        <v>256.37916666666666</v>
      </c>
      <c r="AD1401" s="31">
        <f>SUMIFS('Historico - FAT'!AM:AM,'Historico - FAT'!$K:$K,Faturamento!$L1401,'Historico - FAT'!$I:$I,Faturamento!$J1401,'Historico - FAT'!$G:$G,Faturamento!$H1401)</f>
        <v>512.75833333333333</v>
      </c>
      <c r="AE1401" s="27">
        <f>SUMIFS('Historico - FAT'!AN:AN,'Historico - FAT'!$K:$K,Faturamento!$L1401,'Historico - FAT'!$I:$I,Faturamento!$J1401,'Historico - FAT'!$G:$G,Faturamento!$H1401)</f>
        <v>307.65500000000003</v>
      </c>
      <c r="AG1401" s="24">
        <f t="shared" si="334"/>
        <v>1</v>
      </c>
      <c r="AH1401" s="24">
        <f t="shared" si="335"/>
        <v>0.90229452489837403</v>
      </c>
      <c r="AI1401" s="24">
        <f t="shared" si="336"/>
        <v>0.80458904979674806</v>
      </c>
    </row>
    <row r="1402" spans="1:35" hidden="1" x14ac:dyDescent="0.3">
      <c r="A1402" s="2" t="str">
        <f t="shared" si="333"/>
        <v>NÃO</v>
      </c>
      <c r="B1402" s="2">
        <v>1000184670</v>
      </c>
      <c r="C1402" s="2" t="s">
        <v>147</v>
      </c>
      <c r="D1402" s="4">
        <v>1000186197</v>
      </c>
      <c r="E1402" s="4" t="s">
        <v>166</v>
      </c>
      <c r="F1402" s="2">
        <v>1000184764</v>
      </c>
      <c r="G1402" s="2" t="s">
        <v>70</v>
      </c>
      <c r="H1402" s="4">
        <v>1000189818</v>
      </c>
      <c r="I1402" s="4" t="s">
        <v>72</v>
      </c>
      <c r="J1402" s="2">
        <v>1000189270</v>
      </c>
      <c r="K1402" s="2" t="s">
        <v>34</v>
      </c>
      <c r="L1402" s="4" t="s">
        <v>21</v>
      </c>
      <c r="M1402" s="4" t="str">
        <f t="shared" si="323"/>
        <v>1000184670100018619710001898181000189270NATURATTA</v>
      </c>
      <c r="N1402" s="28">
        <f>N1391*_xlfn.XLOOKUP($L1402,'Balizador da Meta'!$B$4:$B$21,'Balizador da Meta'!$C$4:$C$21)</f>
        <v>360</v>
      </c>
      <c r="O1402" s="28">
        <f>O1391*_xlfn.XLOOKUP($L1402,'Balizador da Meta'!$B$4:$B$21,'Balizador da Meta'!$C$4:$C$21)</f>
        <v>360</v>
      </c>
      <c r="P1402" s="28">
        <f>P1391*_xlfn.XLOOKUP($L1402,'Balizador da Meta'!$B$4:$B$21,'Balizador da Meta'!$C$4:$C$21)</f>
        <v>360</v>
      </c>
      <c r="Q1402" s="28">
        <f>Q1391*_xlfn.XLOOKUP($L1402,'Balizador da Meta'!$B$4:$B$21,'Balizador da Meta'!$C$4:$C$21)</f>
        <v>360</v>
      </c>
      <c r="R1402" s="28">
        <f>R1391*_xlfn.XLOOKUP($L1402,'Balizador da Meta'!$B$4:$B$21,'Balizador da Meta'!$C$4:$C$21)</f>
        <v>360</v>
      </c>
      <c r="S1402" s="28">
        <f>S1391*_xlfn.XLOOKUP($L1402,'Balizador da Meta'!$B$4:$B$21,'Balizador da Meta'!$C$4:$C$21)</f>
        <v>390</v>
      </c>
      <c r="T1402" s="28">
        <f>T1391*_xlfn.XLOOKUP($L1402,'Balizador da Meta'!$B$4:$B$21,'Balizador da Meta'!$C$4:$C$21)</f>
        <v>390</v>
      </c>
      <c r="U1402" s="28">
        <f>U1391*_xlfn.XLOOKUP($L1402,'Balizador da Meta'!$B$4:$B$21,'Balizador da Meta'!$C$4:$C$21)</f>
        <v>390</v>
      </c>
      <c r="V1402" s="28">
        <f>V1391*_xlfn.XLOOKUP($L1402,'Balizador da Meta'!$B$4:$B$21,'Balizador da Meta'!$C$4:$C$21)</f>
        <v>390</v>
      </c>
      <c r="W1402" s="28">
        <f>W1391*_xlfn.XLOOKUP($L1402,'Balizador da Meta'!$B$4:$B$21,'Balizador da Meta'!$C$4:$C$21)</f>
        <v>390</v>
      </c>
      <c r="X1402" s="28">
        <f>X1391*_xlfn.XLOOKUP($L1402,'Balizador da Meta'!$B$4:$B$21,'Balizador da Meta'!$C$4:$C$21)</f>
        <v>420</v>
      </c>
      <c r="Y1402" s="28">
        <f>Y1391*_xlfn.XLOOKUP($L1402,'Balizador da Meta'!$B$4:$B$21,'Balizador da Meta'!$C$4:$C$21)</f>
        <v>420</v>
      </c>
      <c r="Z1402" s="30">
        <f t="shared" si="332"/>
        <v>4590</v>
      </c>
      <c r="AA1402" s="29"/>
      <c r="AB1402" s="31">
        <f>SUMIFS('Historico - FAT'!AK:AK,'Historico - FAT'!$K:$K,Faturamento!$L1402,'Historico - FAT'!$I:$I,Faturamento!$J1402,'Historico - FAT'!$G:$G,Faturamento!$H1402)</f>
        <v>2181.6233333333334</v>
      </c>
      <c r="AC1402" s="31">
        <f>SUMIFS('Historico - FAT'!AL:AL,'Historico - FAT'!$K:$K,Faturamento!$L1402,'Historico - FAT'!$I:$I,Faturamento!$J1402,'Historico - FAT'!$G:$G,Faturamento!$H1402)</f>
        <v>423.77083333333331</v>
      </c>
      <c r="AD1402" s="31">
        <f>SUMIFS('Historico - FAT'!AM:AM,'Historico - FAT'!$K:$K,Faturamento!$L1402,'Historico - FAT'!$I:$I,Faturamento!$J1402,'Historico - FAT'!$G:$G,Faturamento!$H1402)</f>
        <v>488.21166666666664</v>
      </c>
      <c r="AE1402" s="27">
        <f>SUMIFS('Historico - FAT'!AN:AN,'Historico - FAT'!$K:$K,Faturamento!$L1402,'Historico - FAT'!$I:$I,Faturamento!$J1402,'Historico - FAT'!$G:$G,Faturamento!$H1402)</f>
        <v>388.53699999999998</v>
      </c>
      <c r="AG1402" s="24">
        <f t="shared" si="334"/>
        <v>-4.3210325203252031</v>
      </c>
      <c r="AH1402" s="24">
        <f t="shared" si="335"/>
        <v>-3.3587398373983696E-2</v>
      </c>
      <c r="AI1402" s="24">
        <f t="shared" si="336"/>
        <v>-0.19076016260162595</v>
      </c>
    </row>
    <row r="1403" spans="1:35" hidden="1" x14ac:dyDescent="0.3">
      <c r="A1403" s="2" t="str">
        <f t="shared" si="333"/>
        <v>NÃO</v>
      </c>
      <c r="B1403" s="2">
        <v>1000184670</v>
      </c>
      <c r="C1403" s="2" t="s">
        <v>147</v>
      </c>
      <c r="D1403" s="4">
        <v>1000186197</v>
      </c>
      <c r="E1403" s="4" t="s">
        <v>166</v>
      </c>
      <c r="F1403" s="2">
        <v>1000184764</v>
      </c>
      <c r="G1403" s="2" t="s">
        <v>70</v>
      </c>
      <c r="H1403" s="4">
        <v>1000189818</v>
      </c>
      <c r="I1403" s="4" t="s">
        <v>72</v>
      </c>
      <c r="J1403" s="2">
        <v>1000189270</v>
      </c>
      <c r="K1403" s="2" t="s">
        <v>34</v>
      </c>
      <c r="L1403" s="4" t="s">
        <v>20</v>
      </c>
      <c r="M1403" s="4" t="str">
        <f t="shared" si="323"/>
        <v>1000184670100018619710001898181000189270REEMBALADOS</v>
      </c>
      <c r="N1403" s="28">
        <f>N1391*_xlfn.XLOOKUP($L1403,'Balizador da Meta'!$B$4:$B$21,'Balizador da Meta'!$C$4:$C$21)</f>
        <v>288</v>
      </c>
      <c r="O1403" s="28">
        <f>O1391*_xlfn.XLOOKUP($L1403,'Balizador da Meta'!$B$4:$B$21,'Balizador da Meta'!$C$4:$C$21)</f>
        <v>288</v>
      </c>
      <c r="P1403" s="28">
        <f>P1391*_xlfn.XLOOKUP($L1403,'Balizador da Meta'!$B$4:$B$21,'Balizador da Meta'!$C$4:$C$21)</f>
        <v>288</v>
      </c>
      <c r="Q1403" s="28">
        <f>Q1391*_xlfn.XLOOKUP($L1403,'Balizador da Meta'!$B$4:$B$21,'Balizador da Meta'!$C$4:$C$21)</f>
        <v>288</v>
      </c>
      <c r="R1403" s="28">
        <f>R1391*_xlfn.XLOOKUP($L1403,'Balizador da Meta'!$B$4:$B$21,'Balizador da Meta'!$C$4:$C$21)</f>
        <v>288</v>
      </c>
      <c r="S1403" s="28">
        <f>S1391*_xlfn.XLOOKUP($L1403,'Balizador da Meta'!$B$4:$B$21,'Balizador da Meta'!$C$4:$C$21)</f>
        <v>312</v>
      </c>
      <c r="T1403" s="28">
        <f>T1391*_xlfn.XLOOKUP($L1403,'Balizador da Meta'!$B$4:$B$21,'Balizador da Meta'!$C$4:$C$21)</f>
        <v>312</v>
      </c>
      <c r="U1403" s="28">
        <f>U1391*_xlfn.XLOOKUP($L1403,'Balizador da Meta'!$B$4:$B$21,'Balizador da Meta'!$C$4:$C$21)</f>
        <v>312</v>
      </c>
      <c r="V1403" s="28">
        <f>V1391*_xlfn.XLOOKUP($L1403,'Balizador da Meta'!$B$4:$B$21,'Balizador da Meta'!$C$4:$C$21)</f>
        <v>312</v>
      </c>
      <c r="W1403" s="28">
        <f>W1391*_xlfn.XLOOKUP($L1403,'Balizador da Meta'!$B$4:$B$21,'Balizador da Meta'!$C$4:$C$21)</f>
        <v>312</v>
      </c>
      <c r="X1403" s="28">
        <f>X1391*_xlfn.XLOOKUP($L1403,'Balizador da Meta'!$B$4:$B$21,'Balizador da Meta'!$C$4:$C$21)</f>
        <v>336</v>
      </c>
      <c r="Y1403" s="28">
        <f>Y1391*_xlfn.XLOOKUP($L1403,'Balizador da Meta'!$B$4:$B$21,'Balizador da Meta'!$C$4:$C$21)</f>
        <v>336</v>
      </c>
      <c r="Z1403" s="30">
        <f t="shared" si="332"/>
        <v>3672</v>
      </c>
      <c r="AA1403" s="29"/>
      <c r="AB1403" s="31">
        <f>SUMIFS('Historico - FAT'!AK:AK,'Historico - FAT'!$K:$K,Faturamento!$L1403,'Historico - FAT'!$I:$I,Faturamento!$J1403,'Historico - FAT'!$G:$G,Faturamento!$H1403)</f>
        <v>701.94916666666677</v>
      </c>
      <c r="AC1403" s="31">
        <f>SUMIFS('Historico - FAT'!AL:AL,'Historico - FAT'!$K:$K,Faturamento!$L1403,'Historico - FAT'!$I:$I,Faturamento!$J1403,'Historico - FAT'!$G:$G,Faturamento!$H1403)</f>
        <v>441.64916666666664</v>
      </c>
      <c r="AD1403" s="31">
        <f>SUMIFS('Historico - FAT'!AM:AM,'Historico - FAT'!$K:$K,Faturamento!$L1403,'Historico - FAT'!$I:$I,Faturamento!$J1403,'Historico - FAT'!$G:$G,Faturamento!$H1403)</f>
        <v>609.06833333333338</v>
      </c>
      <c r="AE1403" s="27">
        <f>SUMIFS('Historico - FAT'!AN:AN,'Historico - FAT'!$K:$K,Faturamento!$L1403,'Historico - FAT'!$I:$I,Faturamento!$J1403,'Historico - FAT'!$G:$G,Faturamento!$H1403)</f>
        <v>567.36500000000001</v>
      </c>
      <c r="AG1403" s="24">
        <f t="shared" si="334"/>
        <v>-1.1400889227642279</v>
      </c>
      <c r="AH1403" s="24">
        <f t="shared" si="335"/>
        <v>-0.34649136178861784</v>
      </c>
      <c r="AI1403" s="24">
        <f t="shared" si="336"/>
        <v>-0.85691565040650419</v>
      </c>
    </row>
    <row r="1404" spans="1:35" hidden="1" x14ac:dyDescent="0.3">
      <c r="A1404" s="2" t="str">
        <f t="shared" si="333"/>
        <v>NÃO</v>
      </c>
      <c r="B1404" s="2">
        <v>1000184670</v>
      </c>
      <c r="C1404" s="2" t="s">
        <v>147</v>
      </c>
      <c r="D1404" s="4">
        <v>1000186197</v>
      </c>
      <c r="E1404" s="4" t="s">
        <v>166</v>
      </c>
      <c r="F1404" s="2">
        <v>1000184764</v>
      </c>
      <c r="G1404" s="2" t="s">
        <v>70</v>
      </c>
      <c r="H1404" s="4">
        <v>1000189818</v>
      </c>
      <c r="I1404" s="4" t="s">
        <v>72</v>
      </c>
      <c r="J1404" s="2">
        <v>1000189270</v>
      </c>
      <c r="K1404" s="2" t="s">
        <v>34</v>
      </c>
      <c r="L1404" s="4" t="s">
        <v>22</v>
      </c>
      <c r="M1404" s="4" t="str">
        <f t="shared" si="323"/>
        <v>1000184670100018619710001898181000189270S GLUTEN</v>
      </c>
      <c r="N1404" s="28">
        <f>N1391*_xlfn.XLOOKUP($L1404,'Balizador da Meta'!$B$4:$B$21,'Balizador da Meta'!$C$4:$C$21)</f>
        <v>288</v>
      </c>
      <c r="O1404" s="28">
        <f>O1391*_xlfn.XLOOKUP($L1404,'Balizador da Meta'!$B$4:$B$21,'Balizador da Meta'!$C$4:$C$21)</f>
        <v>288</v>
      </c>
      <c r="P1404" s="28">
        <f>P1391*_xlfn.XLOOKUP($L1404,'Balizador da Meta'!$B$4:$B$21,'Balizador da Meta'!$C$4:$C$21)</f>
        <v>288</v>
      </c>
      <c r="Q1404" s="28">
        <f>Q1391*_xlfn.XLOOKUP($L1404,'Balizador da Meta'!$B$4:$B$21,'Balizador da Meta'!$C$4:$C$21)</f>
        <v>288</v>
      </c>
      <c r="R1404" s="28">
        <f>R1391*_xlfn.XLOOKUP($L1404,'Balizador da Meta'!$B$4:$B$21,'Balizador da Meta'!$C$4:$C$21)</f>
        <v>288</v>
      </c>
      <c r="S1404" s="28">
        <f>S1391*_xlfn.XLOOKUP($L1404,'Balizador da Meta'!$B$4:$B$21,'Balizador da Meta'!$C$4:$C$21)</f>
        <v>312</v>
      </c>
      <c r="T1404" s="28">
        <f>T1391*_xlfn.XLOOKUP($L1404,'Balizador da Meta'!$B$4:$B$21,'Balizador da Meta'!$C$4:$C$21)</f>
        <v>312</v>
      </c>
      <c r="U1404" s="28">
        <f>U1391*_xlfn.XLOOKUP($L1404,'Balizador da Meta'!$B$4:$B$21,'Balizador da Meta'!$C$4:$C$21)</f>
        <v>312</v>
      </c>
      <c r="V1404" s="28">
        <f>V1391*_xlfn.XLOOKUP($L1404,'Balizador da Meta'!$B$4:$B$21,'Balizador da Meta'!$C$4:$C$21)</f>
        <v>312</v>
      </c>
      <c r="W1404" s="28">
        <f>W1391*_xlfn.XLOOKUP($L1404,'Balizador da Meta'!$B$4:$B$21,'Balizador da Meta'!$C$4:$C$21)</f>
        <v>312</v>
      </c>
      <c r="X1404" s="28">
        <f>X1391*_xlfn.XLOOKUP($L1404,'Balizador da Meta'!$B$4:$B$21,'Balizador da Meta'!$C$4:$C$21)</f>
        <v>336</v>
      </c>
      <c r="Y1404" s="28">
        <f>Y1391*_xlfn.XLOOKUP($L1404,'Balizador da Meta'!$B$4:$B$21,'Balizador da Meta'!$C$4:$C$21)</f>
        <v>336</v>
      </c>
      <c r="Z1404" s="30">
        <f t="shared" si="332"/>
        <v>3672</v>
      </c>
      <c r="AA1404" s="29"/>
      <c r="AB1404" s="31">
        <f>SUMIFS('Historico - FAT'!AK:AK,'Historico - FAT'!$K:$K,Faturamento!$L1404,'Historico - FAT'!$I:$I,Faturamento!$J1404,'Historico - FAT'!$G:$G,Faturamento!$H1404)</f>
        <v>1923.9591666666665</v>
      </c>
      <c r="AC1404" s="31">
        <f>SUMIFS('Historico - FAT'!AL:AL,'Historico - FAT'!$K:$K,Faturamento!$L1404,'Historico - FAT'!$I:$I,Faturamento!$J1404,'Historico - FAT'!$G:$G,Faturamento!$H1404)</f>
        <v>1614.2366666666667</v>
      </c>
      <c r="AD1404" s="31">
        <f>SUMIFS('Historico - FAT'!AM:AM,'Historico - FAT'!$K:$K,Faturamento!$L1404,'Historico - FAT'!$I:$I,Faturamento!$J1404,'Historico - FAT'!$G:$G,Faturamento!$H1404)</f>
        <v>1575.3999999999999</v>
      </c>
      <c r="AE1404" s="27">
        <f>SUMIFS('Historico - FAT'!AN:AN,'Historico - FAT'!$K:$K,Faturamento!$L1404,'Historico - FAT'!$I:$I,Faturamento!$J1404,'Historico - FAT'!$G:$G,Faturamento!$H1404)</f>
        <v>1673.48</v>
      </c>
      <c r="AG1404" s="24">
        <f t="shared" si="334"/>
        <v>-4.8657291666666662</v>
      </c>
      <c r="AH1404" s="24">
        <f t="shared" si="335"/>
        <v>-3.9214532520325203</v>
      </c>
      <c r="AI1404" s="24">
        <f t="shared" si="336"/>
        <v>-3.8030487804878046</v>
      </c>
    </row>
    <row r="1405" spans="1:35" hidden="1" x14ac:dyDescent="0.3">
      <c r="A1405" s="2" t="str">
        <f t="shared" si="333"/>
        <v>NÃO</v>
      </c>
      <c r="B1405" s="2">
        <v>1000184670</v>
      </c>
      <c r="C1405" s="2" t="s">
        <v>147</v>
      </c>
      <c r="D1405" s="4">
        <v>1000186197</v>
      </c>
      <c r="E1405" s="4" t="s">
        <v>166</v>
      </c>
      <c r="F1405" s="2">
        <v>1000184764</v>
      </c>
      <c r="G1405" s="2" t="s">
        <v>70</v>
      </c>
      <c r="H1405" s="4">
        <v>1000189818</v>
      </c>
      <c r="I1405" s="4" t="s">
        <v>72</v>
      </c>
      <c r="J1405" s="2">
        <v>1000189270</v>
      </c>
      <c r="K1405" s="2" t="s">
        <v>34</v>
      </c>
      <c r="L1405" s="4" t="s">
        <v>23</v>
      </c>
      <c r="M1405" s="4" t="str">
        <f t="shared" si="323"/>
        <v>1000184670100018619710001898181000189270SABORES DO CAMPO</v>
      </c>
      <c r="N1405" s="28">
        <f>N1391*_xlfn.XLOOKUP($L1405,'Balizador da Meta'!$B$4:$B$21,'Balizador da Meta'!$C$4:$C$21)</f>
        <v>0</v>
      </c>
      <c r="O1405" s="28">
        <f>O1391*_xlfn.XLOOKUP($L1405,'Balizador da Meta'!$B$4:$B$21,'Balizador da Meta'!$C$4:$C$21)</f>
        <v>0</v>
      </c>
      <c r="P1405" s="28">
        <f>P1391*_xlfn.XLOOKUP($L1405,'Balizador da Meta'!$B$4:$B$21,'Balizador da Meta'!$C$4:$C$21)</f>
        <v>0</v>
      </c>
      <c r="Q1405" s="28">
        <f>Q1391*_xlfn.XLOOKUP($L1405,'Balizador da Meta'!$B$4:$B$21,'Balizador da Meta'!$C$4:$C$21)</f>
        <v>0</v>
      </c>
      <c r="R1405" s="28">
        <f>R1391*_xlfn.XLOOKUP($L1405,'Balizador da Meta'!$B$4:$B$21,'Balizador da Meta'!$C$4:$C$21)</f>
        <v>0</v>
      </c>
      <c r="S1405" s="28">
        <f>S1391*_xlfn.XLOOKUP($L1405,'Balizador da Meta'!$B$4:$B$21,'Balizador da Meta'!$C$4:$C$21)</f>
        <v>0</v>
      </c>
      <c r="T1405" s="28">
        <f>T1391*_xlfn.XLOOKUP($L1405,'Balizador da Meta'!$B$4:$B$21,'Balizador da Meta'!$C$4:$C$21)</f>
        <v>0</v>
      </c>
      <c r="U1405" s="28">
        <f>U1391*_xlfn.XLOOKUP($L1405,'Balizador da Meta'!$B$4:$B$21,'Balizador da Meta'!$C$4:$C$21)</f>
        <v>0</v>
      </c>
      <c r="V1405" s="28">
        <f>V1391*_xlfn.XLOOKUP($L1405,'Balizador da Meta'!$B$4:$B$21,'Balizador da Meta'!$C$4:$C$21)</f>
        <v>0</v>
      </c>
      <c r="W1405" s="28">
        <f>W1391*_xlfn.XLOOKUP($L1405,'Balizador da Meta'!$B$4:$B$21,'Balizador da Meta'!$C$4:$C$21)</f>
        <v>0</v>
      </c>
      <c r="X1405" s="28">
        <f>X1391*_xlfn.XLOOKUP($L1405,'Balizador da Meta'!$B$4:$B$21,'Balizador da Meta'!$C$4:$C$21)</f>
        <v>0</v>
      </c>
      <c r="Y1405" s="28">
        <f>Y1391*_xlfn.XLOOKUP($L1405,'Balizador da Meta'!$B$4:$B$21,'Balizador da Meta'!$C$4:$C$21)</f>
        <v>0</v>
      </c>
      <c r="Z1405" s="30">
        <f t="shared" si="332"/>
        <v>0</v>
      </c>
      <c r="AA1405" s="29"/>
      <c r="AB1405" s="31">
        <f>SUMIFS('Historico - FAT'!AK:AK,'Historico - FAT'!$K:$K,Faturamento!$L1405,'Historico - FAT'!$I:$I,Faturamento!$J1405,'Historico - FAT'!$G:$G,Faturamento!$H1405)</f>
        <v>0</v>
      </c>
      <c r="AC1405" s="31">
        <f>SUMIFS('Historico - FAT'!AL:AL,'Historico - FAT'!$K:$K,Faturamento!$L1405,'Historico - FAT'!$I:$I,Faturamento!$J1405,'Historico - FAT'!$G:$G,Faturamento!$H1405)</f>
        <v>6.3649999999999993</v>
      </c>
      <c r="AD1405" s="31">
        <f>SUMIFS('Historico - FAT'!AM:AM,'Historico - FAT'!$K:$K,Faturamento!$L1405,'Historico - FAT'!$I:$I,Faturamento!$J1405,'Historico - FAT'!$G:$G,Faturamento!$H1405)</f>
        <v>12.729999999999999</v>
      </c>
      <c r="AE1405" s="27">
        <f>SUMIFS('Historico - FAT'!AN:AN,'Historico - FAT'!$K:$K,Faturamento!$L1405,'Historico - FAT'!$I:$I,Faturamento!$J1405,'Historico - FAT'!$G:$G,Faturamento!$H1405)</f>
        <v>7.6379999999999999</v>
      </c>
      <c r="AG1405" s="24" t="str">
        <f t="shared" si="334"/>
        <v/>
      </c>
      <c r="AH1405" s="24" t="str">
        <f t="shared" si="335"/>
        <v/>
      </c>
      <c r="AI1405" s="24" t="str">
        <f t="shared" si="336"/>
        <v/>
      </c>
    </row>
    <row r="1406" spans="1:35" hidden="1" x14ac:dyDescent="0.3">
      <c r="A1406" s="2" t="str">
        <f t="shared" si="333"/>
        <v>NÃO</v>
      </c>
      <c r="B1406" s="2">
        <v>1000184670</v>
      </c>
      <c r="C1406" s="2" t="s">
        <v>147</v>
      </c>
      <c r="D1406" s="4">
        <v>1000186197</v>
      </c>
      <c r="E1406" s="4" t="s">
        <v>166</v>
      </c>
      <c r="F1406" s="2">
        <v>1000184764</v>
      </c>
      <c r="G1406" s="2" t="s">
        <v>70</v>
      </c>
      <c r="H1406" s="4">
        <v>1000189818</v>
      </c>
      <c r="I1406" s="4" t="s">
        <v>72</v>
      </c>
      <c r="J1406" s="2">
        <v>1000189270</v>
      </c>
      <c r="K1406" s="2" t="s">
        <v>34</v>
      </c>
      <c r="L1406" s="4" t="s">
        <v>28</v>
      </c>
      <c r="M1406" s="4" t="str">
        <f t="shared" si="323"/>
        <v>1000184670100018619710001898181000189270SAL</v>
      </c>
      <c r="N1406" s="28">
        <f>N1391*_xlfn.XLOOKUP($L1406,'Balizador da Meta'!$B$4:$B$21,'Balizador da Meta'!$C$4:$C$21)</f>
        <v>144</v>
      </c>
      <c r="O1406" s="28">
        <f>O1391*_xlfn.XLOOKUP($L1406,'Balizador da Meta'!$B$4:$B$21,'Balizador da Meta'!$C$4:$C$21)</f>
        <v>144</v>
      </c>
      <c r="P1406" s="28">
        <f>P1391*_xlfn.XLOOKUP($L1406,'Balizador da Meta'!$B$4:$B$21,'Balizador da Meta'!$C$4:$C$21)</f>
        <v>144</v>
      </c>
      <c r="Q1406" s="28">
        <f>Q1391*_xlfn.XLOOKUP($L1406,'Balizador da Meta'!$B$4:$B$21,'Balizador da Meta'!$C$4:$C$21)</f>
        <v>144</v>
      </c>
      <c r="R1406" s="28">
        <f>R1391*_xlfn.XLOOKUP($L1406,'Balizador da Meta'!$B$4:$B$21,'Balizador da Meta'!$C$4:$C$21)</f>
        <v>144</v>
      </c>
      <c r="S1406" s="28">
        <f>S1391*_xlfn.XLOOKUP($L1406,'Balizador da Meta'!$B$4:$B$21,'Balizador da Meta'!$C$4:$C$21)</f>
        <v>156</v>
      </c>
      <c r="T1406" s="28">
        <f>T1391*_xlfn.XLOOKUP($L1406,'Balizador da Meta'!$B$4:$B$21,'Balizador da Meta'!$C$4:$C$21)</f>
        <v>156</v>
      </c>
      <c r="U1406" s="28">
        <f>U1391*_xlfn.XLOOKUP($L1406,'Balizador da Meta'!$B$4:$B$21,'Balizador da Meta'!$C$4:$C$21)</f>
        <v>156</v>
      </c>
      <c r="V1406" s="28">
        <f>V1391*_xlfn.XLOOKUP($L1406,'Balizador da Meta'!$B$4:$B$21,'Balizador da Meta'!$C$4:$C$21)</f>
        <v>156</v>
      </c>
      <c r="W1406" s="28">
        <f>W1391*_xlfn.XLOOKUP($L1406,'Balizador da Meta'!$B$4:$B$21,'Balizador da Meta'!$C$4:$C$21)</f>
        <v>156</v>
      </c>
      <c r="X1406" s="28">
        <f>X1391*_xlfn.XLOOKUP($L1406,'Balizador da Meta'!$B$4:$B$21,'Balizador da Meta'!$C$4:$C$21)</f>
        <v>168</v>
      </c>
      <c r="Y1406" s="28">
        <f>Y1391*_xlfn.XLOOKUP($L1406,'Balizador da Meta'!$B$4:$B$21,'Balizador da Meta'!$C$4:$C$21)</f>
        <v>168</v>
      </c>
      <c r="Z1406" s="30">
        <f t="shared" si="332"/>
        <v>1836</v>
      </c>
      <c r="AA1406" s="29"/>
      <c r="AB1406" s="31">
        <f>SUMIFS('Historico - FAT'!AK:AK,'Historico - FAT'!$K:$K,Faturamento!$L1406,'Historico - FAT'!$I:$I,Faturamento!$J1406,'Historico - FAT'!$G:$G,Faturamento!$H1406)</f>
        <v>408.66833333333329</v>
      </c>
      <c r="AC1406" s="31">
        <f>SUMIFS('Historico - FAT'!AL:AL,'Historico - FAT'!$K:$K,Faturamento!$L1406,'Historico - FAT'!$I:$I,Faturamento!$J1406,'Historico - FAT'!$G:$G,Faturamento!$H1406)</f>
        <v>329.12666666666667</v>
      </c>
      <c r="AD1406" s="31">
        <f>SUMIFS('Historico - FAT'!AM:AM,'Historico - FAT'!$K:$K,Faturamento!$L1406,'Historico - FAT'!$I:$I,Faturamento!$J1406,'Historico - FAT'!$G:$G,Faturamento!$H1406)</f>
        <v>306.20833333333331</v>
      </c>
      <c r="AE1406" s="27">
        <f>SUMIFS('Historico - FAT'!AN:AN,'Historico - FAT'!$K:$K,Faturamento!$L1406,'Historico - FAT'!$I:$I,Faturamento!$J1406,'Historico - FAT'!$G:$G,Faturamento!$H1406)</f>
        <v>355.79900000000004</v>
      </c>
      <c r="AG1406" s="24">
        <f t="shared" si="334"/>
        <v>-1.4918800813008128</v>
      </c>
      <c r="AH1406" s="24">
        <f t="shared" si="335"/>
        <v>-1.006869918699187</v>
      </c>
      <c r="AI1406" s="24">
        <f t="shared" si="336"/>
        <v>-0.86712398373983723</v>
      </c>
    </row>
    <row r="1407" spans="1:35" hidden="1" x14ac:dyDescent="0.3">
      <c r="A1407" s="2" t="str">
        <f t="shared" si="333"/>
        <v>NÃO</v>
      </c>
      <c r="B1407" s="2">
        <v>1000184670</v>
      </c>
      <c r="C1407" s="2" t="s">
        <v>147</v>
      </c>
      <c r="D1407" s="4">
        <v>1000186197</v>
      </c>
      <c r="E1407" s="4" t="s">
        <v>166</v>
      </c>
      <c r="F1407" s="2">
        <v>1000184764</v>
      </c>
      <c r="G1407" s="2" t="s">
        <v>70</v>
      </c>
      <c r="H1407" s="4">
        <v>1000189818</v>
      </c>
      <c r="I1407" s="4" t="s">
        <v>72</v>
      </c>
      <c r="J1407" s="2">
        <v>1000189270</v>
      </c>
      <c r="K1407" s="2" t="s">
        <v>34</v>
      </c>
      <c r="L1407" s="4" t="s">
        <v>26</v>
      </c>
      <c r="M1407" s="4" t="str">
        <f t="shared" si="323"/>
        <v>1000184670100018619710001898181000189270SOULPRO</v>
      </c>
      <c r="N1407" s="28">
        <f>N1391*_xlfn.XLOOKUP($L1407,'Balizador da Meta'!$B$4:$B$21,'Balizador da Meta'!$C$4:$C$21)</f>
        <v>432</v>
      </c>
      <c r="O1407" s="28">
        <f>O1391*_xlfn.XLOOKUP($L1407,'Balizador da Meta'!$B$4:$B$21,'Balizador da Meta'!$C$4:$C$21)</f>
        <v>432</v>
      </c>
      <c r="P1407" s="28">
        <f>P1391*_xlfn.XLOOKUP($L1407,'Balizador da Meta'!$B$4:$B$21,'Balizador da Meta'!$C$4:$C$21)</f>
        <v>432</v>
      </c>
      <c r="Q1407" s="28">
        <f>Q1391*_xlfn.XLOOKUP($L1407,'Balizador da Meta'!$B$4:$B$21,'Balizador da Meta'!$C$4:$C$21)</f>
        <v>432</v>
      </c>
      <c r="R1407" s="28">
        <f>R1391*_xlfn.XLOOKUP($L1407,'Balizador da Meta'!$B$4:$B$21,'Balizador da Meta'!$C$4:$C$21)</f>
        <v>432</v>
      </c>
      <c r="S1407" s="28">
        <f>S1391*_xlfn.XLOOKUP($L1407,'Balizador da Meta'!$B$4:$B$21,'Balizador da Meta'!$C$4:$C$21)</f>
        <v>468</v>
      </c>
      <c r="T1407" s="28">
        <f>T1391*_xlfn.XLOOKUP($L1407,'Balizador da Meta'!$B$4:$B$21,'Balizador da Meta'!$C$4:$C$21)</f>
        <v>468</v>
      </c>
      <c r="U1407" s="28">
        <f>U1391*_xlfn.XLOOKUP($L1407,'Balizador da Meta'!$B$4:$B$21,'Balizador da Meta'!$C$4:$C$21)</f>
        <v>468</v>
      </c>
      <c r="V1407" s="28">
        <f>V1391*_xlfn.XLOOKUP($L1407,'Balizador da Meta'!$B$4:$B$21,'Balizador da Meta'!$C$4:$C$21)</f>
        <v>468</v>
      </c>
      <c r="W1407" s="28">
        <f>W1391*_xlfn.XLOOKUP($L1407,'Balizador da Meta'!$B$4:$B$21,'Balizador da Meta'!$C$4:$C$21)</f>
        <v>468</v>
      </c>
      <c r="X1407" s="28">
        <f>X1391*_xlfn.XLOOKUP($L1407,'Balizador da Meta'!$B$4:$B$21,'Balizador da Meta'!$C$4:$C$21)</f>
        <v>504</v>
      </c>
      <c r="Y1407" s="28">
        <f>Y1391*_xlfn.XLOOKUP($L1407,'Balizador da Meta'!$B$4:$B$21,'Balizador da Meta'!$C$4:$C$21)</f>
        <v>504</v>
      </c>
      <c r="Z1407" s="30">
        <f t="shared" si="332"/>
        <v>5508</v>
      </c>
      <c r="AA1407" s="29"/>
      <c r="AB1407" s="31">
        <f>SUMIFS('Historico - FAT'!AK:AK,'Historico - FAT'!$K:$K,Faturamento!$L1407,'Historico - FAT'!$I:$I,Faturamento!$J1407,'Historico - FAT'!$G:$G,Faturamento!$H1407)</f>
        <v>101.2</v>
      </c>
      <c r="AC1407" s="31">
        <f>SUMIFS('Historico - FAT'!AL:AL,'Historico - FAT'!$K:$K,Faturamento!$L1407,'Historico - FAT'!$I:$I,Faturamento!$J1407,'Historico - FAT'!$G:$G,Faturamento!$H1407)</f>
        <v>44.533333333333331</v>
      </c>
      <c r="AD1407" s="31">
        <f>SUMIFS('Historico - FAT'!AM:AM,'Historico - FAT'!$K:$K,Faturamento!$L1407,'Historico - FAT'!$I:$I,Faturamento!$J1407,'Historico - FAT'!$G:$G,Faturamento!$H1407)</f>
        <v>40</v>
      </c>
      <c r="AE1407" s="27">
        <f>SUMIFS('Historico - FAT'!AN:AN,'Historico - FAT'!$K:$K,Faturamento!$L1407,'Historico - FAT'!$I:$I,Faturamento!$J1407,'Historico - FAT'!$G:$G,Faturamento!$H1407)</f>
        <v>24</v>
      </c>
      <c r="AG1407" s="24">
        <f t="shared" si="334"/>
        <v>0.7943089430894309</v>
      </c>
      <c r="AH1407" s="24">
        <f t="shared" si="335"/>
        <v>0.90948509485094853</v>
      </c>
      <c r="AI1407" s="24">
        <f t="shared" si="336"/>
        <v>0.91869918699186992</v>
      </c>
    </row>
    <row r="1408" spans="1:35" hidden="1" x14ac:dyDescent="0.3">
      <c r="A1408" s="2" t="str">
        <f t="shared" si="333"/>
        <v>NÃO</v>
      </c>
      <c r="B1408" s="2">
        <v>1000184670</v>
      </c>
      <c r="C1408" s="2" t="s">
        <v>147</v>
      </c>
      <c r="D1408" s="4">
        <v>1000186197</v>
      </c>
      <c r="E1408" s="4" t="s">
        <v>166</v>
      </c>
      <c r="F1408" s="2">
        <v>1000184764</v>
      </c>
      <c r="G1408" s="2" t="s">
        <v>70</v>
      </c>
      <c r="H1408" s="4">
        <v>1000189818</v>
      </c>
      <c r="I1408" s="4" t="s">
        <v>72</v>
      </c>
      <c r="J1408" s="2">
        <v>1000189270</v>
      </c>
      <c r="K1408" s="2" t="s">
        <v>34</v>
      </c>
      <c r="L1408" s="4" t="s">
        <v>27</v>
      </c>
      <c r="M1408" s="4" t="str">
        <f t="shared" si="323"/>
        <v>1000184670100018619710001898181000189270TAMARA</v>
      </c>
      <c r="N1408" s="28">
        <f>N1391*_xlfn.XLOOKUP($L1408,'Balizador da Meta'!$B$4:$B$21,'Balizador da Meta'!$C$4:$C$21)</f>
        <v>576</v>
      </c>
      <c r="O1408" s="28">
        <f>O1391*_xlfn.XLOOKUP($L1408,'Balizador da Meta'!$B$4:$B$21,'Balizador da Meta'!$C$4:$C$21)</f>
        <v>576</v>
      </c>
      <c r="P1408" s="28">
        <f>P1391*_xlfn.XLOOKUP($L1408,'Balizador da Meta'!$B$4:$B$21,'Balizador da Meta'!$C$4:$C$21)</f>
        <v>576</v>
      </c>
      <c r="Q1408" s="28">
        <f>Q1391*_xlfn.XLOOKUP($L1408,'Balizador da Meta'!$B$4:$B$21,'Balizador da Meta'!$C$4:$C$21)</f>
        <v>576</v>
      </c>
      <c r="R1408" s="28">
        <f>R1391*_xlfn.XLOOKUP($L1408,'Balizador da Meta'!$B$4:$B$21,'Balizador da Meta'!$C$4:$C$21)</f>
        <v>576</v>
      </c>
      <c r="S1408" s="28">
        <f>S1391*_xlfn.XLOOKUP($L1408,'Balizador da Meta'!$B$4:$B$21,'Balizador da Meta'!$C$4:$C$21)</f>
        <v>624</v>
      </c>
      <c r="T1408" s="28">
        <f>T1391*_xlfn.XLOOKUP($L1408,'Balizador da Meta'!$B$4:$B$21,'Balizador da Meta'!$C$4:$C$21)</f>
        <v>624</v>
      </c>
      <c r="U1408" s="28">
        <f>U1391*_xlfn.XLOOKUP($L1408,'Balizador da Meta'!$B$4:$B$21,'Balizador da Meta'!$C$4:$C$21)</f>
        <v>624</v>
      </c>
      <c r="V1408" s="28">
        <f>V1391*_xlfn.XLOOKUP($L1408,'Balizador da Meta'!$B$4:$B$21,'Balizador da Meta'!$C$4:$C$21)</f>
        <v>624</v>
      </c>
      <c r="W1408" s="28">
        <f>W1391*_xlfn.XLOOKUP($L1408,'Balizador da Meta'!$B$4:$B$21,'Balizador da Meta'!$C$4:$C$21)</f>
        <v>624</v>
      </c>
      <c r="X1408" s="28">
        <f>X1391*_xlfn.XLOOKUP($L1408,'Balizador da Meta'!$B$4:$B$21,'Balizador da Meta'!$C$4:$C$21)</f>
        <v>672</v>
      </c>
      <c r="Y1408" s="28">
        <f>Y1391*_xlfn.XLOOKUP($L1408,'Balizador da Meta'!$B$4:$B$21,'Balizador da Meta'!$C$4:$C$21)</f>
        <v>672</v>
      </c>
      <c r="Z1408" s="30">
        <f t="shared" si="332"/>
        <v>7344</v>
      </c>
      <c r="AA1408" s="29"/>
      <c r="AB1408" s="31">
        <f>SUMIFS('Historico - FAT'!AK:AK,'Historico - FAT'!$K:$K,Faturamento!$L1408,'Historico - FAT'!$I:$I,Faturamento!$J1408,'Historico - FAT'!$G:$G,Faturamento!$H1408)</f>
        <v>0</v>
      </c>
      <c r="AC1408" s="31">
        <f>SUMIFS('Historico - FAT'!AL:AL,'Historico - FAT'!$K:$K,Faturamento!$L1408,'Historico - FAT'!$I:$I,Faturamento!$J1408,'Historico - FAT'!$G:$G,Faturamento!$H1408)</f>
        <v>5.0625</v>
      </c>
      <c r="AD1408" s="31">
        <f>SUMIFS('Historico - FAT'!AM:AM,'Historico - FAT'!$K:$K,Faturamento!$L1408,'Historico - FAT'!$I:$I,Faturamento!$J1408,'Historico - FAT'!$G:$G,Faturamento!$H1408)</f>
        <v>10.125</v>
      </c>
      <c r="AE1408" s="27">
        <f>SUMIFS('Historico - FAT'!AN:AN,'Historico - FAT'!$K:$K,Faturamento!$L1408,'Historico - FAT'!$I:$I,Faturamento!$J1408,'Historico - FAT'!$G:$G,Faturamento!$H1408)</f>
        <v>6.0750000000000002</v>
      </c>
      <c r="AG1408" s="24">
        <f t="shared" si="334"/>
        <v>1</v>
      </c>
      <c r="AH1408" s="24">
        <f t="shared" si="335"/>
        <v>0.99228277439024393</v>
      </c>
      <c r="AI1408" s="24">
        <f t="shared" si="336"/>
        <v>0.98456554878048785</v>
      </c>
    </row>
    <row r="1409" spans="1:35" hidden="1" x14ac:dyDescent="0.3">
      <c r="A1409" s="2" t="str">
        <f t="shared" si="333"/>
        <v>NÃO</v>
      </c>
      <c r="B1409" s="2">
        <v>1000184670</v>
      </c>
      <c r="C1409" s="2" t="s">
        <v>147</v>
      </c>
      <c r="D1409" s="4">
        <v>1000186197</v>
      </c>
      <c r="E1409" s="4" t="s">
        <v>166</v>
      </c>
      <c r="F1409" s="2">
        <v>1000184764</v>
      </c>
      <c r="G1409" s="2" t="s">
        <v>70</v>
      </c>
      <c r="H1409" s="4">
        <v>1000189818</v>
      </c>
      <c r="I1409" s="4" t="s">
        <v>72</v>
      </c>
      <c r="J1409" s="2">
        <v>1000189270</v>
      </c>
      <c r="K1409" s="2" t="s">
        <v>34</v>
      </c>
      <c r="L1409" s="4" t="s">
        <v>25</v>
      </c>
      <c r="M1409" s="4" t="str">
        <f t="shared" si="323"/>
        <v>1000184670100018619710001898181000189270VICCIO</v>
      </c>
      <c r="N1409" s="28">
        <f>N1391*_xlfn.XLOOKUP($L1409,'Balizador da Meta'!$B$4:$B$21,'Balizador da Meta'!$C$4:$C$21)</f>
        <v>216</v>
      </c>
      <c r="O1409" s="28">
        <f>O1391*_xlfn.XLOOKUP($L1409,'Balizador da Meta'!$B$4:$B$21,'Balizador da Meta'!$C$4:$C$21)</f>
        <v>216</v>
      </c>
      <c r="P1409" s="28">
        <f>P1391*_xlfn.XLOOKUP($L1409,'Balizador da Meta'!$B$4:$B$21,'Balizador da Meta'!$C$4:$C$21)</f>
        <v>216</v>
      </c>
      <c r="Q1409" s="28">
        <f>Q1391*_xlfn.XLOOKUP($L1409,'Balizador da Meta'!$B$4:$B$21,'Balizador da Meta'!$C$4:$C$21)</f>
        <v>216</v>
      </c>
      <c r="R1409" s="28">
        <f>R1391*_xlfn.XLOOKUP($L1409,'Balizador da Meta'!$B$4:$B$21,'Balizador da Meta'!$C$4:$C$21)</f>
        <v>216</v>
      </c>
      <c r="S1409" s="28">
        <f>S1391*_xlfn.XLOOKUP($L1409,'Balizador da Meta'!$B$4:$B$21,'Balizador da Meta'!$C$4:$C$21)</f>
        <v>234</v>
      </c>
      <c r="T1409" s="28">
        <f>T1391*_xlfn.XLOOKUP($L1409,'Balizador da Meta'!$B$4:$B$21,'Balizador da Meta'!$C$4:$C$21)</f>
        <v>234</v>
      </c>
      <c r="U1409" s="28">
        <f>U1391*_xlfn.XLOOKUP($L1409,'Balizador da Meta'!$B$4:$B$21,'Balizador da Meta'!$C$4:$C$21)</f>
        <v>234</v>
      </c>
      <c r="V1409" s="28">
        <f>V1391*_xlfn.XLOOKUP($L1409,'Balizador da Meta'!$B$4:$B$21,'Balizador da Meta'!$C$4:$C$21)</f>
        <v>234</v>
      </c>
      <c r="W1409" s="28">
        <f>W1391*_xlfn.XLOOKUP($L1409,'Balizador da Meta'!$B$4:$B$21,'Balizador da Meta'!$C$4:$C$21)</f>
        <v>234</v>
      </c>
      <c r="X1409" s="28">
        <f>X1391*_xlfn.XLOOKUP($L1409,'Balizador da Meta'!$B$4:$B$21,'Balizador da Meta'!$C$4:$C$21)</f>
        <v>252</v>
      </c>
      <c r="Y1409" s="28">
        <f>Y1391*_xlfn.XLOOKUP($L1409,'Balizador da Meta'!$B$4:$B$21,'Balizador da Meta'!$C$4:$C$21)</f>
        <v>252</v>
      </c>
      <c r="Z1409" s="30">
        <f t="shared" si="332"/>
        <v>2754</v>
      </c>
      <c r="AA1409" s="29"/>
      <c r="AB1409" s="31">
        <f>SUMIFS('Historico - FAT'!AK:AK,'Historico - FAT'!$K:$K,Faturamento!$L1409,'Historico - FAT'!$I:$I,Faturamento!$J1409,'Historico - FAT'!$G:$G,Faturamento!$H1409)</f>
        <v>0</v>
      </c>
      <c r="AC1409" s="31">
        <f>SUMIFS('Historico - FAT'!AL:AL,'Historico - FAT'!$K:$K,Faturamento!$L1409,'Historico - FAT'!$I:$I,Faturamento!$J1409,'Historico - FAT'!$G:$G,Faturamento!$H1409)</f>
        <v>4.125</v>
      </c>
      <c r="AD1409" s="31">
        <f>SUMIFS('Historico - FAT'!AM:AM,'Historico - FAT'!$K:$K,Faturamento!$L1409,'Historico - FAT'!$I:$I,Faturamento!$J1409,'Historico - FAT'!$G:$G,Faturamento!$H1409)</f>
        <v>8.25</v>
      </c>
      <c r="AE1409" s="27">
        <f>SUMIFS('Historico - FAT'!AN:AN,'Historico - FAT'!$K:$K,Faturamento!$L1409,'Historico - FAT'!$I:$I,Faturamento!$J1409,'Historico - FAT'!$G:$G,Faturamento!$H1409)</f>
        <v>4.95</v>
      </c>
      <c r="AG1409" s="24">
        <f t="shared" si="334"/>
        <v>1</v>
      </c>
      <c r="AH1409" s="24">
        <f t="shared" si="335"/>
        <v>0.98323170731707321</v>
      </c>
      <c r="AI1409" s="24">
        <f t="shared" si="336"/>
        <v>0.96646341463414631</v>
      </c>
    </row>
    <row r="1410" spans="1:35" x14ac:dyDescent="0.3">
      <c r="A1410" s="2" t="str">
        <f t="shared" si="333"/>
        <v>SIM</v>
      </c>
      <c r="B1410" s="2">
        <v>1000184670</v>
      </c>
      <c r="C1410" s="2" t="s">
        <v>147</v>
      </c>
      <c r="D1410" s="4">
        <v>1000186197</v>
      </c>
      <c r="E1410" s="4" t="s">
        <v>166</v>
      </c>
      <c r="F1410" s="2">
        <v>1000184764</v>
      </c>
      <c r="G1410" s="2" t="s">
        <v>70</v>
      </c>
      <c r="H1410" s="4">
        <v>1000189819</v>
      </c>
      <c r="I1410" s="4" t="s">
        <v>74</v>
      </c>
      <c r="J1410" s="2">
        <v>1000189270</v>
      </c>
      <c r="K1410" s="2" t="s">
        <v>34</v>
      </c>
      <c r="L1410" s="4" t="s">
        <v>124</v>
      </c>
      <c r="M1410" s="4" t="str">
        <f t="shared" si="323"/>
        <v>100018467010001861971000189819100018927001. TOTAL</v>
      </c>
      <c r="N1410" s="28">
        <f>SUMIFS(Positivação!L:L,Positivação!$I:$I,Faturamento!$J1410,Positivação!$G:$G,Faturamento!$H1410)*SUMIFS(Positivação!$Z:$Z,Positivação!$I:$I,Faturamento!$J1410,Positivação!$G:$G,Faturamento!$H1410)</f>
        <v>2400</v>
      </c>
      <c r="O1410" s="28">
        <f>SUMIFS(Positivação!M:M,Positivação!$I:$I,Faturamento!$J1410,Positivação!$G:$G,Faturamento!$H1410)*SUMIFS(Positivação!$Z:$Z,Positivação!$I:$I,Faturamento!$J1410,Positivação!$G:$G,Faturamento!$H1410)</f>
        <v>2400</v>
      </c>
      <c r="P1410" s="28">
        <f>SUMIFS(Positivação!N:N,Positivação!$I:$I,Faturamento!$J1410,Positivação!$G:$G,Faturamento!$H1410)*SUMIFS(Positivação!$Z:$Z,Positivação!$I:$I,Faturamento!$J1410,Positivação!$G:$G,Faturamento!$H1410)</f>
        <v>2400</v>
      </c>
      <c r="Q1410" s="28">
        <f>SUMIFS(Positivação!O:O,Positivação!$I:$I,Faturamento!$J1410,Positivação!$G:$G,Faturamento!$H1410)*SUMIFS(Positivação!$Z:$Z,Positivação!$I:$I,Faturamento!$J1410,Positivação!$G:$G,Faturamento!$H1410)</f>
        <v>3000</v>
      </c>
      <c r="R1410" s="28">
        <f>SUMIFS(Positivação!P:P,Positivação!$I:$I,Faturamento!$J1410,Positivação!$G:$G,Faturamento!$H1410)*SUMIFS(Positivação!$Z:$Z,Positivação!$I:$I,Faturamento!$J1410,Positivação!$G:$G,Faturamento!$H1410)</f>
        <v>3000</v>
      </c>
      <c r="S1410" s="28">
        <f>SUMIFS(Positivação!Q:Q,Positivação!$I:$I,Faturamento!$J1410,Positivação!$G:$G,Faturamento!$H1410)*SUMIFS(Positivação!$Z:$Z,Positivação!$I:$I,Faturamento!$J1410,Positivação!$G:$G,Faturamento!$H1410)</f>
        <v>3000</v>
      </c>
      <c r="T1410" s="28">
        <f>SUMIFS(Positivação!R:R,Positivação!$I:$I,Faturamento!$J1410,Positivação!$G:$G,Faturamento!$H1410)*SUMIFS(Positivação!$Z:$Z,Positivação!$I:$I,Faturamento!$J1410,Positivação!$G:$G,Faturamento!$H1410)</f>
        <v>3000</v>
      </c>
      <c r="U1410" s="28">
        <f>SUMIFS(Positivação!S:S,Positivação!$I:$I,Faturamento!$J1410,Positivação!$G:$G,Faturamento!$H1410)*SUMIFS(Positivação!$Z:$Z,Positivação!$I:$I,Faturamento!$J1410,Positivação!$G:$G,Faturamento!$H1410)</f>
        <v>3000</v>
      </c>
      <c r="V1410" s="28">
        <f>SUMIFS(Positivação!T:T,Positivação!$I:$I,Faturamento!$J1410,Positivação!$G:$G,Faturamento!$H1410)*SUMIFS(Positivação!$Z:$Z,Positivação!$I:$I,Faturamento!$J1410,Positivação!$G:$G,Faturamento!$H1410)</f>
        <v>3600</v>
      </c>
      <c r="W1410" s="28">
        <f>SUMIFS(Positivação!U:U,Positivação!$I:$I,Faturamento!$J1410,Positivação!$G:$G,Faturamento!$H1410)*SUMIFS(Positivação!$Z:$Z,Positivação!$I:$I,Faturamento!$J1410,Positivação!$G:$G,Faturamento!$H1410)</f>
        <v>3600</v>
      </c>
      <c r="X1410" s="28">
        <f>SUMIFS(Positivação!V:V,Positivação!$I:$I,Faturamento!$J1410,Positivação!$G:$G,Faturamento!$H1410)*SUMIFS(Positivação!$Z:$Z,Positivação!$I:$I,Faturamento!$J1410,Positivação!$G:$G,Faturamento!$H1410)</f>
        <v>3600</v>
      </c>
      <c r="Y1410" s="28">
        <f>SUMIFS(Positivação!W:W,Positivação!$I:$I,Faturamento!$J1410,Positivação!$G:$G,Faturamento!$H1410)*SUMIFS(Positivação!$Z:$Z,Positivação!$I:$I,Faturamento!$J1410,Positivação!$G:$G,Faturamento!$H1410)</f>
        <v>3600</v>
      </c>
      <c r="Z1410" s="28">
        <f t="shared" ref="Z1410" si="337">SUM(Z1411:Z1428)</f>
        <v>36600</v>
      </c>
      <c r="AA1410" s="29"/>
      <c r="AB1410" s="28">
        <f t="shared" ref="AB1410:AE1410" si="338">SUM(AB1411:AB1428)</f>
        <v>777.62666666666667</v>
      </c>
      <c r="AC1410" s="28">
        <f t="shared" si="338"/>
        <v>1620.2474999999997</v>
      </c>
      <c r="AD1410" s="28">
        <f t="shared" si="338"/>
        <v>2208.4083333333333</v>
      </c>
      <c r="AE1410" s="28">
        <f t="shared" si="338"/>
        <v>1819.6290000000001</v>
      </c>
      <c r="AG1410" s="24">
        <f t="shared" si="334"/>
        <v>0.78399259259259257</v>
      </c>
      <c r="AH1410" s="24">
        <f t="shared" si="335"/>
        <v>0.54993125000000009</v>
      </c>
      <c r="AI1410" s="24">
        <f t="shared" si="336"/>
        <v>0.38655324074074077</v>
      </c>
    </row>
    <row r="1411" spans="1:35" hidden="1" x14ac:dyDescent="0.3">
      <c r="A1411" s="2" t="str">
        <f t="shared" si="333"/>
        <v>NÃO</v>
      </c>
      <c r="B1411" s="2">
        <v>1000184670</v>
      </c>
      <c r="C1411" s="2" t="s">
        <v>147</v>
      </c>
      <c r="D1411" s="4">
        <v>1000186197</v>
      </c>
      <c r="E1411" s="4" t="s">
        <v>166</v>
      </c>
      <c r="F1411" s="2">
        <v>1000184764</v>
      </c>
      <c r="G1411" s="2" t="s">
        <v>70</v>
      </c>
      <c r="H1411" s="4">
        <v>1000189819</v>
      </c>
      <c r="I1411" s="4" t="s">
        <v>74</v>
      </c>
      <c r="J1411" s="2">
        <v>1000189270</v>
      </c>
      <c r="K1411" s="2" t="s">
        <v>34</v>
      </c>
      <c r="L1411" s="4" t="s">
        <v>13</v>
      </c>
      <c r="M1411" s="4" t="str">
        <f t="shared" si="323"/>
        <v>1000184670100018619710001898191000189270BISCOITO</v>
      </c>
      <c r="N1411" s="28">
        <f>N1410*_xlfn.XLOOKUP($L1411,'Balizador da Meta'!$B$4:$B$21,'Balizador da Meta'!$C$4:$C$21)</f>
        <v>168.00000000000003</v>
      </c>
      <c r="O1411" s="28">
        <f>O1410*_xlfn.XLOOKUP($L1411,'Balizador da Meta'!$B$4:$B$21,'Balizador da Meta'!$C$4:$C$21)</f>
        <v>168.00000000000003</v>
      </c>
      <c r="P1411" s="28">
        <f>P1410*_xlfn.XLOOKUP($L1411,'Balizador da Meta'!$B$4:$B$21,'Balizador da Meta'!$C$4:$C$21)</f>
        <v>168.00000000000003</v>
      </c>
      <c r="Q1411" s="28">
        <f>Q1410*_xlfn.XLOOKUP($L1411,'Balizador da Meta'!$B$4:$B$21,'Balizador da Meta'!$C$4:$C$21)</f>
        <v>210.00000000000003</v>
      </c>
      <c r="R1411" s="28">
        <f>R1410*_xlfn.XLOOKUP($L1411,'Balizador da Meta'!$B$4:$B$21,'Balizador da Meta'!$C$4:$C$21)</f>
        <v>210.00000000000003</v>
      </c>
      <c r="S1411" s="28">
        <f>S1410*_xlfn.XLOOKUP($L1411,'Balizador da Meta'!$B$4:$B$21,'Balizador da Meta'!$C$4:$C$21)</f>
        <v>210.00000000000003</v>
      </c>
      <c r="T1411" s="28">
        <f>T1410*_xlfn.XLOOKUP($L1411,'Balizador da Meta'!$B$4:$B$21,'Balizador da Meta'!$C$4:$C$21)</f>
        <v>210.00000000000003</v>
      </c>
      <c r="U1411" s="28">
        <f>U1410*_xlfn.XLOOKUP($L1411,'Balizador da Meta'!$B$4:$B$21,'Balizador da Meta'!$C$4:$C$21)</f>
        <v>210.00000000000003</v>
      </c>
      <c r="V1411" s="28">
        <f>V1410*_xlfn.XLOOKUP($L1411,'Balizador da Meta'!$B$4:$B$21,'Balizador da Meta'!$C$4:$C$21)</f>
        <v>252.00000000000003</v>
      </c>
      <c r="W1411" s="28">
        <f>W1410*_xlfn.XLOOKUP($L1411,'Balizador da Meta'!$B$4:$B$21,'Balizador da Meta'!$C$4:$C$21)</f>
        <v>252.00000000000003</v>
      </c>
      <c r="X1411" s="28">
        <f>X1410*_xlfn.XLOOKUP($L1411,'Balizador da Meta'!$B$4:$B$21,'Balizador da Meta'!$C$4:$C$21)</f>
        <v>252.00000000000003</v>
      </c>
      <c r="Y1411" s="28">
        <f>Y1410*_xlfn.XLOOKUP($L1411,'Balizador da Meta'!$B$4:$B$21,'Balizador da Meta'!$C$4:$C$21)</f>
        <v>252.00000000000003</v>
      </c>
      <c r="Z1411" s="30">
        <f t="shared" ref="Z1411:Z1428" si="339">SUM(N1411:Y1411)</f>
        <v>2562.0000000000005</v>
      </c>
      <c r="AA1411" s="29"/>
      <c r="AB1411" s="31">
        <f>SUMIFS('Historico - FAT'!AK:AK,'Historico - FAT'!$K:$K,Faturamento!$L1411,'Historico - FAT'!$I:$I,Faturamento!$J1411,'Historico - FAT'!$G:$G,Faturamento!$H1411)</f>
        <v>31.307500000000001</v>
      </c>
      <c r="AC1411" s="31">
        <f>SUMIFS('Historico - FAT'!AL:AL,'Historico - FAT'!$K:$K,Faturamento!$L1411,'Historico - FAT'!$I:$I,Faturamento!$J1411,'Historico - FAT'!$G:$G,Faturamento!$H1411)</f>
        <v>80.332499999999996</v>
      </c>
      <c r="AD1411" s="31">
        <f>SUMIFS('Historico - FAT'!AM:AM,'Historico - FAT'!$K:$K,Faturamento!$L1411,'Historico - FAT'!$I:$I,Faturamento!$J1411,'Historico - FAT'!$G:$G,Faturamento!$H1411)</f>
        <v>58.265000000000008</v>
      </c>
      <c r="AE1411" s="27">
        <f>SUMIFS('Historico - FAT'!AN:AN,'Historico - FAT'!$K:$K,Faturamento!$L1411,'Historico - FAT'!$I:$I,Faturamento!$J1411,'Historico - FAT'!$G:$G,Faturamento!$H1411)</f>
        <v>88.599000000000004</v>
      </c>
      <c r="AG1411" s="24">
        <f t="shared" si="334"/>
        <v>0.8757638888888889</v>
      </c>
      <c r="AH1411" s="24">
        <f t="shared" si="335"/>
        <v>0.68122023809523813</v>
      </c>
      <c r="AI1411" s="24">
        <f t="shared" si="336"/>
        <v>0.7687896825396825</v>
      </c>
    </row>
    <row r="1412" spans="1:35" hidden="1" x14ac:dyDescent="0.3">
      <c r="A1412" s="2" t="str">
        <f t="shared" si="333"/>
        <v>NÃO</v>
      </c>
      <c r="B1412" s="2">
        <v>1000184670</v>
      </c>
      <c r="C1412" s="2" t="s">
        <v>147</v>
      </c>
      <c r="D1412" s="4">
        <v>1000186197</v>
      </c>
      <c r="E1412" s="4" t="s">
        <v>166</v>
      </c>
      <c r="F1412" s="2">
        <v>1000184764</v>
      </c>
      <c r="G1412" s="2" t="s">
        <v>70</v>
      </c>
      <c r="H1412" s="4">
        <v>1000189819</v>
      </c>
      <c r="I1412" s="4" t="s">
        <v>74</v>
      </c>
      <c r="J1412" s="2">
        <v>1000189270</v>
      </c>
      <c r="K1412" s="2" t="s">
        <v>34</v>
      </c>
      <c r="L1412" s="4" t="s">
        <v>14</v>
      </c>
      <c r="M1412" s="4" t="str">
        <f t="shared" si="323"/>
        <v>1000184670100018619710001898191000189270CHOCOLATES</v>
      </c>
      <c r="N1412" s="28">
        <f>N1410*_xlfn.XLOOKUP($L1412,'Balizador da Meta'!$B$4:$B$21,'Balizador da Meta'!$C$4:$C$21)</f>
        <v>168.00000000000003</v>
      </c>
      <c r="O1412" s="28">
        <f>O1410*_xlfn.XLOOKUP($L1412,'Balizador da Meta'!$B$4:$B$21,'Balizador da Meta'!$C$4:$C$21)</f>
        <v>168.00000000000003</v>
      </c>
      <c r="P1412" s="28">
        <f>P1410*_xlfn.XLOOKUP($L1412,'Balizador da Meta'!$B$4:$B$21,'Balizador da Meta'!$C$4:$C$21)</f>
        <v>168.00000000000003</v>
      </c>
      <c r="Q1412" s="28">
        <f>Q1410*_xlfn.XLOOKUP($L1412,'Balizador da Meta'!$B$4:$B$21,'Balizador da Meta'!$C$4:$C$21)</f>
        <v>210.00000000000003</v>
      </c>
      <c r="R1412" s="28">
        <f>R1410*_xlfn.XLOOKUP($L1412,'Balizador da Meta'!$B$4:$B$21,'Balizador da Meta'!$C$4:$C$21)</f>
        <v>210.00000000000003</v>
      </c>
      <c r="S1412" s="28">
        <f>S1410*_xlfn.XLOOKUP($L1412,'Balizador da Meta'!$B$4:$B$21,'Balizador da Meta'!$C$4:$C$21)</f>
        <v>210.00000000000003</v>
      </c>
      <c r="T1412" s="28">
        <f>T1410*_xlfn.XLOOKUP($L1412,'Balizador da Meta'!$B$4:$B$21,'Balizador da Meta'!$C$4:$C$21)</f>
        <v>210.00000000000003</v>
      </c>
      <c r="U1412" s="28">
        <f>U1410*_xlfn.XLOOKUP($L1412,'Balizador da Meta'!$B$4:$B$21,'Balizador da Meta'!$C$4:$C$21)</f>
        <v>210.00000000000003</v>
      </c>
      <c r="V1412" s="28">
        <f>V1410*_xlfn.XLOOKUP($L1412,'Balizador da Meta'!$B$4:$B$21,'Balizador da Meta'!$C$4:$C$21)</f>
        <v>252.00000000000003</v>
      </c>
      <c r="W1412" s="28">
        <f>W1410*_xlfn.XLOOKUP($L1412,'Balizador da Meta'!$B$4:$B$21,'Balizador da Meta'!$C$4:$C$21)</f>
        <v>252.00000000000003</v>
      </c>
      <c r="X1412" s="28">
        <f>X1410*_xlfn.XLOOKUP($L1412,'Balizador da Meta'!$B$4:$B$21,'Balizador da Meta'!$C$4:$C$21)</f>
        <v>252.00000000000003</v>
      </c>
      <c r="Y1412" s="28">
        <f>Y1410*_xlfn.XLOOKUP($L1412,'Balizador da Meta'!$B$4:$B$21,'Balizador da Meta'!$C$4:$C$21)</f>
        <v>252.00000000000003</v>
      </c>
      <c r="Z1412" s="30">
        <f t="shared" si="339"/>
        <v>2562.0000000000005</v>
      </c>
      <c r="AA1412" s="29"/>
      <c r="AB1412" s="31">
        <f>SUMIFS('Historico - FAT'!AK:AK,'Historico - FAT'!$K:$K,Faturamento!$L1412,'Historico - FAT'!$I:$I,Faturamento!$J1412,'Historico - FAT'!$G:$G,Faturamento!$H1412)</f>
        <v>95.138333333333335</v>
      </c>
      <c r="AC1412" s="31">
        <f>SUMIFS('Historico - FAT'!AL:AL,'Historico - FAT'!$K:$K,Faturamento!$L1412,'Historico - FAT'!$I:$I,Faturamento!$J1412,'Historico - FAT'!$G:$G,Faturamento!$H1412)</f>
        <v>219.86999999999998</v>
      </c>
      <c r="AD1412" s="31">
        <f>SUMIFS('Historico - FAT'!AM:AM,'Historico - FAT'!$K:$K,Faturamento!$L1412,'Historico - FAT'!$I:$I,Faturamento!$J1412,'Historico - FAT'!$G:$G,Faturamento!$H1412)</f>
        <v>254.74</v>
      </c>
      <c r="AE1412" s="27">
        <f>SUMIFS('Historico - FAT'!AN:AN,'Historico - FAT'!$K:$K,Faturamento!$L1412,'Historico - FAT'!$I:$I,Faturamento!$J1412,'Historico - FAT'!$G:$G,Faturamento!$H1412)</f>
        <v>263.84399999999994</v>
      </c>
      <c r="AG1412" s="24">
        <f t="shared" si="334"/>
        <v>0.6224669312169312</v>
      </c>
      <c r="AH1412" s="24">
        <f t="shared" si="335"/>
        <v>0.1275000000000002</v>
      </c>
      <c r="AI1412" s="24">
        <f t="shared" si="336"/>
        <v>-1.0873015873015795E-2</v>
      </c>
    </row>
    <row r="1413" spans="1:35" hidden="1" x14ac:dyDescent="0.3">
      <c r="A1413" s="2" t="str">
        <f t="shared" si="333"/>
        <v>NÃO</v>
      </c>
      <c r="B1413" s="2">
        <v>1000184670</v>
      </c>
      <c r="C1413" s="2" t="s">
        <v>147</v>
      </c>
      <c r="D1413" s="4">
        <v>1000186197</v>
      </c>
      <c r="E1413" s="4" t="s">
        <v>166</v>
      </c>
      <c r="F1413" s="2">
        <v>1000184764</v>
      </c>
      <c r="G1413" s="2" t="s">
        <v>70</v>
      </c>
      <c r="H1413" s="4">
        <v>1000189819</v>
      </c>
      <c r="I1413" s="4" t="s">
        <v>74</v>
      </c>
      <c r="J1413" s="2">
        <v>1000189270</v>
      </c>
      <c r="K1413" s="2" t="s">
        <v>34</v>
      </c>
      <c r="L1413" s="4" t="s">
        <v>16</v>
      </c>
      <c r="M1413" s="4" t="str">
        <f t="shared" ref="M1413:M1476" si="340">_xlfn.CONCAT(B1413,D1413,H1413,J1413,L1413,)</f>
        <v>1000184670100018619710001898191000189270DISNEY</v>
      </c>
      <c r="N1413" s="28">
        <f>N1410*_xlfn.XLOOKUP($L1413,'Balizador da Meta'!$B$4:$B$21,'Balizador da Meta'!$C$4:$C$21)</f>
        <v>192</v>
      </c>
      <c r="O1413" s="28">
        <f>O1410*_xlfn.XLOOKUP($L1413,'Balizador da Meta'!$B$4:$B$21,'Balizador da Meta'!$C$4:$C$21)</f>
        <v>192</v>
      </c>
      <c r="P1413" s="28">
        <f>P1410*_xlfn.XLOOKUP($L1413,'Balizador da Meta'!$B$4:$B$21,'Balizador da Meta'!$C$4:$C$21)</f>
        <v>192</v>
      </c>
      <c r="Q1413" s="28">
        <f>Q1410*_xlfn.XLOOKUP($L1413,'Balizador da Meta'!$B$4:$B$21,'Balizador da Meta'!$C$4:$C$21)</f>
        <v>240</v>
      </c>
      <c r="R1413" s="28">
        <f>R1410*_xlfn.XLOOKUP($L1413,'Balizador da Meta'!$B$4:$B$21,'Balizador da Meta'!$C$4:$C$21)</f>
        <v>240</v>
      </c>
      <c r="S1413" s="28">
        <f>S1410*_xlfn.XLOOKUP($L1413,'Balizador da Meta'!$B$4:$B$21,'Balizador da Meta'!$C$4:$C$21)</f>
        <v>240</v>
      </c>
      <c r="T1413" s="28">
        <f>T1410*_xlfn.XLOOKUP($L1413,'Balizador da Meta'!$B$4:$B$21,'Balizador da Meta'!$C$4:$C$21)</f>
        <v>240</v>
      </c>
      <c r="U1413" s="28">
        <f>U1410*_xlfn.XLOOKUP($L1413,'Balizador da Meta'!$B$4:$B$21,'Balizador da Meta'!$C$4:$C$21)</f>
        <v>240</v>
      </c>
      <c r="V1413" s="28">
        <f>V1410*_xlfn.XLOOKUP($L1413,'Balizador da Meta'!$B$4:$B$21,'Balizador da Meta'!$C$4:$C$21)</f>
        <v>288</v>
      </c>
      <c r="W1413" s="28">
        <f>W1410*_xlfn.XLOOKUP($L1413,'Balizador da Meta'!$B$4:$B$21,'Balizador da Meta'!$C$4:$C$21)</f>
        <v>288</v>
      </c>
      <c r="X1413" s="28">
        <f>X1410*_xlfn.XLOOKUP($L1413,'Balizador da Meta'!$B$4:$B$21,'Balizador da Meta'!$C$4:$C$21)</f>
        <v>288</v>
      </c>
      <c r="Y1413" s="28">
        <f>Y1410*_xlfn.XLOOKUP($L1413,'Balizador da Meta'!$B$4:$B$21,'Balizador da Meta'!$C$4:$C$21)</f>
        <v>288</v>
      </c>
      <c r="Z1413" s="30">
        <f t="shared" si="339"/>
        <v>2928</v>
      </c>
      <c r="AA1413" s="29"/>
      <c r="AB1413" s="31">
        <f>SUMIFS('Historico - FAT'!AK:AK,'Historico - FAT'!$K:$K,Faturamento!$L1413,'Historico - FAT'!$I:$I,Faturamento!$J1413,'Historico - FAT'!$G:$G,Faturamento!$H1413)</f>
        <v>6.543333333333333</v>
      </c>
      <c r="AC1413" s="31">
        <f>SUMIFS('Historico - FAT'!AL:AL,'Historico - FAT'!$K:$K,Faturamento!$L1413,'Historico - FAT'!$I:$I,Faturamento!$J1413,'Historico - FAT'!$G:$G,Faturamento!$H1413)</f>
        <v>68.82083333333334</v>
      </c>
      <c r="AD1413" s="31">
        <f>SUMIFS('Historico - FAT'!AM:AM,'Historico - FAT'!$K:$K,Faturamento!$L1413,'Historico - FAT'!$I:$I,Faturamento!$J1413,'Historico - FAT'!$G:$G,Faturamento!$H1413)</f>
        <v>124.55500000000001</v>
      </c>
      <c r="AE1413" s="27">
        <f>SUMIFS('Historico - FAT'!AN:AN,'Historico - FAT'!$K:$K,Faturamento!$L1413,'Historico - FAT'!$I:$I,Faturamento!$J1413,'Historico - FAT'!$G:$G,Faturamento!$H1413)</f>
        <v>82.585000000000008</v>
      </c>
      <c r="AG1413" s="24">
        <f t="shared" si="334"/>
        <v>0.97728009259259252</v>
      </c>
      <c r="AH1413" s="24">
        <f t="shared" si="335"/>
        <v>0.76103877314814816</v>
      </c>
      <c r="AI1413" s="24">
        <f t="shared" si="336"/>
        <v>0.56751736111111106</v>
      </c>
    </row>
    <row r="1414" spans="1:35" hidden="1" x14ac:dyDescent="0.3">
      <c r="A1414" s="2" t="str">
        <f t="shared" si="333"/>
        <v>NÃO</v>
      </c>
      <c r="B1414" s="2">
        <v>1000184670</v>
      </c>
      <c r="C1414" s="2" t="s">
        <v>147</v>
      </c>
      <c r="D1414" s="4">
        <v>1000186197</v>
      </c>
      <c r="E1414" s="4" t="s">
        <v>166</v>
      </c>
      <c r="F1414" s="2">
        <v>1000184764</v>
      </c>
      <c r="G1414" s="2" t="s">
        <v>70</v>
      </c>
      <c r="H1414" s="4">
        <v>1000189819</v>
      </c>
      <c r="I1414" s="4" t="s">
        <v>74</v>
      </c>
      <c r="J1414" s="2">
        <v>1000189270</v>
      </c>
      <c r="K1414" s="2" t="s">
        <v>34</v>
      </c>
      <c r="L1414" s="4" t="s">
        <v>15</v>
      </c>
      <c r="M1414" s="4" t="str">
        <f t="shared" si="340"/>
        <v>1000184670100018619710001898191000189270DOCES</v>
      </c>
      <c r="N1414" s="28">
        <f>N1410*_xlfn.XLOOKUP($L1414,'Balizador da Meta'!$B$4:$B$21,'Balizador da Meta'!$C$4:$C$21)</f>
        <v>216</v>
      </c>
      <c r="O1414" s="28">
        <f>O1410*_xlfn.XLOOKUP($L1414,'Balizador da Meta'!$B$4:$B$21,'Balizador da Meta'!$C$4:$C$21)</f>
        <v>216</v>
      </c>
      <c r="P1414" s="28">
        <f>P1410*_xlfn.XLOOKUP($L1414,'Balizador da Meta'!$B$4:$B$21,'Balizador da Meta'!$C$4:$C$21)</f>
        <v>216</v>
      </c>
      <c r="Q1414" s="28">
        <f>Q1410*_xlfn.XLOOKUP($L1414,'Balizador da Meta'!$B$4:$B$21,'Balizador da Meta'!$C$4:$C$21)</f>
        <v>270</v>
      </c>
      <c r="R1414" s="28">
        <f>R1410*_xlfn.XLOOKUP($L1414,'Balizador da Meta'!$B$4:$B$21,'Balizador da Meta'!$C$4:$C$21)</f>
        <v>270</v>
      </c>
      <c r="S1414" s="28">
        <f>S1410*_xlfn.XLOOKUP($L1414,'Balizador da Meta'!$B$4:$B$21,'Balizador da Meta'!$C$4:$C$21)</f>
        <v>270</v>
      </c>
      <c r="T1414" s="28">
        <f>T1410*_xlfn.XLOOKUP($L1414,'Balizador da Meta'!$B$4:$B$21,'Balizador da Meta'!$C$4:$C$21)</f>
        <v>270</v>
      </c>
      <c r="U1414" s="28">
        <f>U1410*_xlfn.XLOOKUP($L1414,'Balizador da Meta'!$B$4:$B$21,'Balizador da Meta'!$C$4:$C$21)</f>
        <v>270</v>
      </c>
      <c r="V1414" s="28">
        <f>V1410*_xlfn.XLOOKUP($L1414,'Balizador da Meta'!$B$4:$B$21,'Balizador da Meta'!$C$4:$C$21)</f>
        <v>324</v>
      </c>
      <c r="W1414" s="28">
        <f>W1410*_xlfn.XLOOKUP($L1414,'Balizador da Meta'!$B$4:$B$21,'Balizador da Meta'!$C$4:$C$21)</f>
        <v>324</v>
      </c>
      <c r="X1414" s="28">
        <f>X1410*_xlfn.XLOOKUP($L1414,'Balizador da Meta'!$B$4:$B$21,'Balizador da Meta'!$C$4:$C$21)</f>
        <v>324</v>
      </c>
      <c r="Y1414" s="28">
        <f>Y1410*_xlfn.XLOOKUP($L1414,'Balizador da Meta'!$B$4:$B$21,'Balizador da Meta'!$C$4:$C$21)</f>
        <v>324</v>
      </c>
      <c r="Z1414" s="30">
        <f t="shared" si="339"/>
        <v>3294</v>
      </c>
      <c r="AA1414" s="29"/>
      <c r="AB1414" s="31">
        <f>SUMIFS('Historico - FAT'!AK:AK,'Historico - FAT'!$K:$K,Faturamento!$L1414,'Historico - FAT'!$I:$I,Faturamento!$J1414,'Historico - FAT'!$G:$G,Faturamento!$H1414)</f>
        <v>104.10583333333334</v>
      </c>
      <c r="AC1414" s="31">
        <f>SUMIFS('Historico - FAT'!AL:AL,'Historico - FAT'!$K:$K,Faturamento!$L1414,'Historico - FAT'!$I:$I,Faturamento!$J1414,'Historico - FAT'!$G:$G,Faturamento!$H1414)</f>
        <v>144.45000000000002</v>
      </c>
      <c r="AD1414" s="31">
        <f>SUMIFS('Historico - FAT'!AM:AM,'Historico - FAT'!$K:$K,Faturamento!$L1414,'Historico - FAT'!$I:$I,Faturamento!$J1414,'Historico - FAT'!$G:$G,Faturamento!$H1414)</f>
        <v>162.9</v>
      </c>
      <c r="AE1414" s="27">
        <f>SUMIFS('Historico - FAT'!AN:AN,'Historico - FAT'!$K:$K,Faturamento!$L1414,'Historico - FAT'!$I:$I,Faturamento!$J1414,'Historico - FAT'!$G:$G,Faturamento!$H1414)</f>
        <v>145.74</v>
      </c>
      <c r="AG1414" s="24">
        <f t="shared" si="334"/>
        <v>0.67868569958847735</v>
      </c>
      <c r="AH1414" s="24">
        <f t="shared" si="335"/>
        <v>0.55416666666666659</v>
      </c>
      <c r="AI1414" s="24">
        <f t="shared" si="336"/>
        <v>0.49722222222222223</v>
      </c>
    </row>
    <row r="1415" spans="1:35" hidden="1" x14ac:dyDescent="0.3">
      <c r="A1415" s="2" t="str">
        <f t="shared" si="333"/>
        <v>NÃO</v>
      </c>
      <c r="B1415" s="2">
        <v>1000184670</v>
      </c>
      <c r="C1415" s="2" t="s">
        <v>147</v>
      </c>
      <c r="D1415" s="4">
        <v>1000186197</v>
      </c>
      <c r="E1415" s="4" t="s">
        <v>166</v>
      </c>
      <c r="F1415" s="2">
        <v>1000184764</v>
      </c>
      <c r="G1415" s="2" t="s">
        <v>70</v>
      </c>
      <c r="H1415" s="4">
        <v>1000189819</v>
      </c>
      <c r="I1415" s="4" t="s">
        <v>74</v>
      </c>
      <c r="J1415" s="2">
        <v>1000189270</v>
      </c>
      <c r="K1415" s="2" t="s">
        <v>34</v>
      </c>
      <c r="L1415" s="4" t="s">
        <v>33</v>
      </c>
      <c r="M1415" s="4" t="str">
        <f t="shared" si="340"/>
        <v>1000184670100018619710001898191000189270FOOD SERVICE</v>
      </c>
      <c r="N1415" s="28">
        <f>N1410*_xlfn.XLOOKUP($L1415,'Balizador da Meta'!$B$4:$B$21,'Balizador da Meta'!$C$4:$C$21)</f>
        <v>0</v>
      </c>
      <c r="O1415" s="28">
        <f>O1410*_xlfn.XLOOKUP($L1415,'Balizador da Meta'!$B$4:$B$21,'Balizador da Meta'!$C$4:$C$21)</f>
        <v>0</v>
      </c>
      <c r="P1415" s="28">
        <f>P1410*_xlfn.XLOOKUP($L1415,'Balizador da Meta'!$B$4:$B$21,'Balizador da Meta'!$C$4:$C$21)</f>
        <v>0</v>
      </c>
      <c r="Q1415" s="28">
        <f>Q1410*_xlfn.XLOOKUP($L1415,'Balizador da Meta'!$B$4:$B$21,'Balizador da Meta'!$C$4:$C$21)</f>
        <v>0</v>
      </c>
      <c r="R1415" s="28">
        <f>R1410*_xlfn.XLOOKUP($L1415,'Balizador da Meta'!$B$4:$B$21,'Balizador da Meta'!$C$4:$C$21)</f>
        <v>0</v>
      </c>
      <c r="S1415" s="28">
        <f>S1410*_xlfn.XLOOKUP($L1415,'Balizador da Meta'!$B$4:$B$21,'Balizador da Meta'!$C$4:$C$21)</f>
        <v>0</v>
      </c>
      <c r="T1415" s="28">
        <f>T1410*_xlfn.XLOOKUP($L1415,'Balizador da Meta'!$B$4:$B$21,'Balizador da Meta'!$C$4:$C$21)</f>
        <v>0</v>
      </c>
      <c r="U1415" s="28">
        <f>U1410*_xlfn.XLOOKUP($L1415,'Balizador da Meta'!$B$4:$B$21,'Balizador da Meta'!$C$4:$C$21)</f>
        <v>0</v>
      </c>
      <c r="V1415" s="28">
        <f>V1410*_xlfn.XLOOKUP($L1415,'Balizador da Meta'!$B$4:$B$21,'Balizador da Meta'!$C$4:$C$21)</f>
        <v>0</v>
      </c>
      <c r="W1415" s="28">
        <f>W1410*_xlfn.XLOOKUP($L1415,'Balizador da Meta'!$B$4:$B$21,'Balizador da Meta'!$C$4:$C$21)</f>
        <v>0</v>
      </c>
      <c r="X1415" s="28">
        <f>X1410*_xlfn.XLOOKUP($L1415,'Balizador da Meta'!$B$4:$B$21,'Balizador da Meta'!$C$4:$C$21)</f>
        <v>0</v>
      </c>
      <c r="Y1415" s="28">
        <f>Y1410*_xlfn.XLOOKUP($L1415,'Balizador da Meta'!$B$4:$B$21,'Balizador da Meta'!$C$4:$C$21)</f>
        <v>0</v>
      </c>
      <c r="Z1415" s="30">
        <f t="shared" si="339"/>
        <v>0</v>
      </c>
      <c r="AA1415" s="29"/>
      <c r="AB1415" s="31">
        <f>SUMIFS('Historico - FAT'!AK:AK,'Historico - FAT'!$K:$K,Faturamento!$L1415,'Historico - FAT'!$I:$I,Faturamento!$J1415,'Historico - FAT'!$G:$G,Faturamento!$H1415)</f>
        <v>0</v>
      </c>
      <c r="AC1415" s="31">
        <f>SUMIFS('Historico - FAT'!AL:AL,'Historico - FAT'!$K:$K,Faturamento!$L1415,'Historico - FAT'!$I:$I,Faturamento!$J1415,'Historico - FAT'!$G:$G,Faturamento!$H1415)</f>
        <v>0</v>
      </c>
      <c r="AD1415" s="31">
        <f>SUMIFS('Historico - FAT'!AM:AM,'Historico - FAT'!$K:$K,Faturamento!$L1415,'Historico - FAT'!$I:$I,Faturamento!$J1415,'Historico - FAT'!$G:$G,Faturamento!$H1415)</f>
        <v>0</v>
      </c>
      <c r="AE1415" s="27">
        <f>SUMIFS('Historico - FAT'!AN:AN,'Historico - FAT'!$K:$K,Faturamento!$L1415,'Historico - FAT'!$I:$I,Faturamento!$J1415,'Historico - FAT'!$G:$G,Faturamento!$H1415)</f>
        <v>0</v>
      </c>
      <c r="AG1415" s="24" t="str">
        <f t="shared" si="334"/>
        <v/>
      </c>
      <c r="AH1415" s="24" t="str">
        <f t="shared" si="335"/>
        <v/>
      </c>
      <c r="AI1415" s="24" t="str">
        <f t="shared" si="336"/>
        <v/>
      </c>
    </row>
    <row r="1416" spans="1:35" hidden="1" x14ac:dyDescent="0.3">
      <c r="A1416" s="2" t="str">
        <f t="shared" si="333"/>
        <v>NÃO</v>
      </c>
      <c r="B1416" s="2">
        <v>1000184670</v>
      </c>
      <c r="C1416" s="2" t="s">
        <v>147</v>
      </c>
      <c r="D1416" s="4">
        <v>1000186197</v>
      </c>
      <c r="E1416" s="4" t="s">
        <v>166</v>
      </c>
      <c r="F1416" s="2">
        <v>1000184764</v>
      </c>
      <c r="G1416" s="2" t="s">
        <v>70</v>
      </c>
      <c r="H1416" s="4">
        <v>1000189819</v>
      </c>
      <c r="I1416" s="4" t="s">
        <v>74</v>
      </c>
      <c r="J1416" s="2">
        <v>1000189270</v>
      </c>
      <c r="K1416" s="2" t="s">
        <v>34</v>
      </c>
      <c r="L1416" s="4" t="s">
        <v>19</v>
      </c>
      <c r="M1416" s="4" t="str">
        <f t="shared" si="340"/>
        <v>1000184670100018619710001898191000189270GELEIA</v>
      </c>
      <c r="N1416" s="28">
        <f>N1410*_xlfn.XLOOKUP($L1416,'Balizador da Meta'!$B$4:$B$21,'Balizador da Meta'!$C$4:$C$21)</f>
        <v>47.999999999999993</v>
      </c>
      <c r="O1416" s="28">
        <f>O1410*_xlfn.XLOOKUP($L1416,'Balizador da Meta'!$B$4:$B$21,'Balizador da Meta'!$C$4:$C$21)</f>
        <v>47.999999999999993</v>
      </c>
      <c r="P1416" s="28">
        <f>P1410*_xlfn.XLOOKUP($L1416,'Balizador da Meta'!$B$4:$B$21,'Balizador da Meta'!$C$4:$C$21)</f>
        <v>47.999999999999993</v>
      </c>
      <c r="Q1416" s="28">
        <f>Q1410*_xlfn.XLOOKUP($L1416,'Balizador da Meta'!$B$4:$B$21,'Balizador da Meta'!$C$4:$C$21)</f>
        <v>59.999999999999993</v>
      </c>
      <c r="R1416" s="28">
        <f>R1410*_xlfn.XLOOKUP($L1416,'Balizador da Meta'!$B$4:$B$21,'Balizador da Meta'!$C$4:$C$21)</f>
        <v>59.999999999999993</v>
      </c>
      <c r="S1416" s="28">
        <f>S1410*_xlfn.XLOOKUP($L1416,'Balizador da Meta'!$B$4:$B$21,'Balizador da Meta'!$C$4:$C$21)</f>
        <v>59.999999999999993</v>
      </c>
      <c r="T1416" s="28">
        <f>T1410*_xlfn.XLOOKUP($L1416,'Balizador da Meta'!$B$4:$B$21,'Balizador da Meta'!$C$4:$C$21)</f>
        <v>59.999999999999993</v>
      </c>
      <c r="U1416" s="28">
        <f>U1410*_xlfn.XLOOKUP($L1416,'Balizador da Meta'!$B$4:$B$21,'Balizador da Meta'!$C$4:$C$21)</f>
        <v>59.999999999999993</v>
      </c>
      <c r="V1416" s="28">
        <f>V1410*_xlfn.XLOOKUP($L1416,'Balizador da Meta'!$B$4:$B$21,'Balizador da Meta'!$C$4:$C$21)</f>
        <v>71.999999999999986</v>
      </c>
      <c r="W1416" s="28">
        <f>W1410*_xlfn.XLOOKUP($L1416,'Balizador da Meta'!$B$4:$B$21,'Balizador da Meta'!$C$4:$C$21)</f>
        <v>71.999999999999986</v>
      </c>
      <c r="X1416" s="28">
        <f>X1410*_xlfn.XLOOKUP($L1416,'Balizador da Meta'!$B$4:$B$21,'Balizador da Meta'!$C$4:$C$21)</f>
        <v>71.999999999999986</v>
      </c>
      <c r="Y1416" s="28">
        <f>Y1410*_xlfn.XLOOKUP($L1416,'Balizador da Meta'!$B$4:$B$21,'Balizador da Meta'!$C$4:$C$21)</f>
        <v>71.999999999999986</v>
      </c>
      <c r="Z1416" s="30">
        <f t="shared" si="339"/>
        <v>731.99999999999989</v>
      </c>
      <c r="AA1416" s="29"/>
      <c r="AB1416" s="31">
        <f>SUMIFS('Historico - FAT'!AK:AK,'Historico - FAT'!$K:$K,Faturamento!$L1416,'Historico - FAT'!$I:$I,Faturamento!$J1416,'Historico - FAT'!$G:$G,Faturamento!$H1416)</f>
        <v>82.004999999999995</v>
      </c>
      <c r="AC1416" s="31">
        <f>SUMIFS('Historico - FAT'!AL:AL,'Historico - FAT'!$K:$K,Faturamento!$L1416,'Historico - FAT'!$I:$I,Faturamento!$J1416,'Historico - FAT'!$G:$G,Faturamento!$H1416)</f>
        <v>105.75</v>
      </c>
      <c r="AD1416" s="31">
        <f>SUMIFS('Historico - FAT'!AM:AM,'Historico - FAT'!$K:$K,Faturamento!$L1416,'Historico - FAT'!$I:$I,Faturamento!$J1416,'Historico - FAT'!$G:$G,Faturamento!$H1416)</f>
        <v>67.5</v>
      </c>
      <c r="AE1416" s="27">
        <f>SUMIFS('Historico - FAT'!AN:AN,'Historico - FAT'!$K:$K,Faturamento!$L1416,'Historico - FAT'!$I:$I,Faturamento!$J1416,'Historico - FAT'!$G:$G,Faturamento!$H1416)</f>
        <v>98.1</v>
      </c>
      <c r="AG1416" s="24">
        <f t="shared" si="334"/>
        <v>-0.13895833333333349</v>
      </c>
      <c r="AH1416" s="24">
        <f t="shared" si="335"/>
        <v>-0.46875000000000028</v>
      </c>
      <c r="AI1416" s="24">
        <f t="shared" si="336"/>
        <v>6.2499999999999813E-2</v>
      </c>
    </row>
    <row r="1417" spans="1:35" hidden="1" x14ac:dyDescent="0.3">
      <c r="A1417" s="2" t="str">
        <f t="shared" si="333"/>
        <v>NÃO</v>
      </c>
      <c r="B1417" s="2">
        <v>1000184670</v>
      </c>
      <c r="C1417" s="2" t="s">
        <v>147</v>
      </c>
      <c r="D1417" s="4">
        <v>1000186197</v>
      </c>
      <c r="E1417" s="4" t="s">
        <v>166</v>
      </c>
      <c r="F1417" s="2">
        <v>1000184764</v>
      </c>
      <c r="G1417" s="2" t="s">
        <v>70</v>
      </c>
      <c r="H1417" s="4">
        <v>1000189819</v>
      </c>
      <c r="I1417" s="4" t="s">
        <v>74</v>
      </c>
      <c r="J1417" s="2">
        <v>1000189270</v>
      </c>
      <c r="K1417" s="2" t="s">
        <v>34</v>
      </c>
      <c r="L1417" s="4" t="s">
        <v>17</v>
      </c>
      <c r="M1417" s="4" t="str">
        <f t="shared" si="340"/>
        <v>1000184670100018619710001898191000189270GRANOLA</v>
      </c>
      <c r="N1417" s="28">
        <f>N1410*_xlfn.XLOOKUP($L1417,'Balizador da Meta'!$B$4:$B$21,'Balizador da Meta'!$C$4:$C$21)</f>
        <v>48</v>
      </c>
      <c r="O1417" s="28">
        <f>O1410*_xlfn.XLOOKUP($L1417,'Balizador da Meta'!$B$4:$B$21,'Balizador da Meta'!$C$4:$C$21)</f>
        <v>48</v>
      </c>
      <c r="P1417" s="28">
        <f>P1410*_xlfn.XLOOKUP($L1417,'Balizador da Meta'!$B$4:$B$21,'Balizador da Meta'!$C$4:$C$21)</f>
        <v>48</v>
      </c>
      <c r="Q1417" s="28">
        <f>Q1410*_xlfn.XLOOKUP($L1417,'Balizador da Meta'!$B$4:$B$21,'Balizador da Meta'!$C$4:$C$21)</f>
        <v>60</v>
      </c>
      <c r="R1417" s="28">
        <f>R1410*_xlfn.XLOOKUP($L1417,'Balizador da Meta'!$B$4:$B$21,'Balizador da Meta'!$C$4:$C$21)</f>
        <v>60</v>
      </c>
      <c r="S1417" s="28">
        <f>S1410*_xlfn.XLOOKUP($L1417,'Balizador da Meta'!$B$4:$B$21,'Balizador da Meta'!$C$4:$C$21)</f>
        <v>60</v>
      </c>
      <c r="T1417" s="28">
        <f>T1410*_xlfn.XLOOKUP($L1417,'Balizador da Meta'!$B$4:$B$21,'Balizador da Meta'!$C$4:$C$21)</f>
        <v>60</v>
      </c>
      <c r="U1417" s="28">
        <f>U1410*_xlfn.XLOOKUP($L1417,'Balizador da Meta'!$B$4:$B$21,'Balizador da Meta'!$C$4:$C$21)</f>
        <v>60</v>
      </c>
      <c r="V1417" s="28">
        <f>V1410*_xlfn.XLOOKUP($L1417,'Balizador da Meta'!$B$4:$B$21,'Balizador da Meta'!$C$4:$C$21)</f>
        <v>72</v>
      </c>
      <c r="W1417" s="28">
        <f>W1410*_xlfn.XLOOKUP($L1417,'Balizador da Meta'!$B$4:$B$21,'Balizador da Meta'!$C$4:$C$21)</f>
        <v>72</v>
      </c>
      <c r="X1417" s="28">
        <f>X1410*_xlfn.XLOOKUP($L1417,'Balizador da Meta'!$B$4:$B$21,'Balizador da Meta'!$C$4:$C$21)</f>
        <v>72</v>
      </c>
      <c r="Y1417" s="28">
        <f>Y1410*_xlfn.XLOOKUP($L1417,'Balizador da Meta'!$B$4:$B$21,'Balizador da Meta'!$C$4:$C$21)</f>
        <v>72</v>
      </c>
      <c r="Z1417" s="30">
        <f t="shared" si="339"/>
        <v>732</v>
      </c>
      <c r="AA1417" s="29"/>
      <c r="AB1417" s="31">
        <f>SUMIFS('Historico - FAT'!AK:AK,'Historico - FAT'!$K:$K,Faturamento!$L1417,'Historico - FAT'!$I:$I,Faturamento!$J1417,'Historico - FAT'!$G:$G,Faturamento!$H1417)</f>
        <v>135.07000000000002</v>
      </c>
      <c r="AC1417" s="31">
        <f>SUMIFS('Historico - FAT'!AL:AL,'Historico - FAT'!$K:$K,Faturamento!$L1417,'Historico - FAT'!$I:$I,Faturamento!$J1417,'Historico - FAT'!$G:$G,Faturamento!$H1417)</f>
        <v>135.29999999999998</v>
      </c>
      <c r="AD1417" s="31">
        <f>SUMIFS('Historico - FAT'!AM:AM,'Historico - FAT'!$K:$K,Faturamento!$L1417,'Historico - FAT'!$I:$I,Faturamento!$J1417,'Historico - FAT'!$G:$G,Faturamento!$H1417)</f>
        <v>138</v>
      </c>
      <c r="AE1417" s="27">
        <f>SUMIFS('Historico - FAT'!AN:AN,'Historico - FAT'!$K:$K,Faturamento!$L1417,'Historico - FAT'!$I:$I,Faturamento!$J1417,'Historico - FAT'!$G:$G,Faturamento!$H1417)</f>
        <v>123.12</v>
      </c>
      <c r="AG1417" s="24">
        <f t="shared" si="334"/>
        <v>-0.87597222222222249</v>
      </c>
      <c r="AH1417" s="24">
        <f t="shared" si="335"/>
        <v>-0.87916666666666643</v>
      </c>
      <c r="AI1417" s="24">
        <f t="shared" si="336"/>
        <v>-0.91666666666666663</v>
      </c>
    </row>
    <row r="1418" spans="1:35" hidden="1" x14ac:dyDescent="0.3">
      <c r="A1418" s="2" t="str">
        <f t="shared" si="333"/>
        <v>NÃO</v>
      </c>
      <c r="B1418" s="2">
        <v>1000184670</v>
      </c>
      <c r="C1418" s="2" t="s">
        <v>147</v>
      </c>
      <c r="D1418" s="4">
        <v>1000186197</v>
      </c>
      <c r="E1418" s="4" t="s">
        <v>166</v>
      </c>
      <c r="F1418" s="2">
        <v>1000184764</v>
      </c>
      <c r="G1418" s="2" t="s">
        <v>70</v>
      </c>
      <c r="H1418" s="4">
        <v>1000189819</v>
      </c>
      <c r="I1418" s="4" t="s">
        <v>74</v>
      </c>
      <c r="J1418" s="2">
        <v>1000189270</v>
      </c>
      <c r="K1418" s="2" t="s">
        <v>34</v>
      </c>
      <c r="L1418" s="4" t="s">
        <v>24</v>
      </c>
      <c r="M1418" s="4" t="str">
        <f t="shared" si="340"/>
        <v>1000184670100018619710001898191000189270KIDS</v>
      </c>
      <c r="N1418" s="28">
        <f>N1410*_xlfn.XLOOKUP($L1418,'Balizador da Meta'!$B$4:$B$21,'Balizador da Meta'!$C$4:$C$21)</f>
        <v>0</v>
      </c>
      <c r="O1418" s="28">
        <f>O1410*_xlfn.XLOOKUP($L1418,'Balizador da Meta'!$B$4:$B$21,'Balizador da Meta'!$C$4:$C$21)</f>
        <v>0</v>
      </c>
      <c r="P1418" s="28">
        <f>P1410*_xlfn.XLOOKUP($L1418,'Balizador da Meta'!$B$4:$B$21,'Balizador da Meta'!$C$4:$C$21)</f>
        <v>0</v>
      </c>
      <c r="Q1418" s="28">
        <f>Q1410*_xlfn.XLOOKUP($L1418,'Balizador da Meta'!$B$4:$B$21,'Balizador da Meta'!$C$4:$C$21)</f>
        <v>0</v>
      </c>
      <c r="R1418" s="28">
        <f>R1410*_xlfn.XLOOKUP($L1418,'Balizador da Meta'!$B$4:$B$21,'Balizador da Meta'!$C$4:$C$21)</f>
        <v>0</v>
      </c>
      <c r="S1418" s="28">
        <f>S1410*_xlfn.XLOOKUP($L1418,'Balizador da Meta'!$B$4:$B$21,'Balizador da Meta'!$C$4:$C$21)</f>
        <v>0</v>
      </c>
      <c r="T1418" s="28">
        <f>T1410*_xlfn.XLOOKUP($L1418,'Balizador da Meta'!$B$4:$B$21,'Balizador da Meta'!$C$4:$C$21)</f>
        <v>0</v>
      </c>
      <c r="U1418" s="28">
        <f>U1410*_xlfn.XLOOKUP($L1418,'Balizador da Meta'!$B$4:$B$21,'Balizador da Meta'!$C$4:$C$21)</f>
        <v>0</v>
      </c>
      <c r="V1418" s="28">
        <f>V1410*_xlfn.XLOOKUP($L1418,'Balizador da Meta'!$B$4:$B$21,'Balizador da Meta'!$C$4:$C$21)</f>
        <v>0</v>
      </c>
      <c r="W1418" s="28">
        <f>W1410*_xlfn.XLOOKUP($L1418,'Balizador da Meta'!$B$4:$B$21,'Balizador da Meta'!$C$4:$C$21)</f>
        <v>0</v>
      </c>
      <c r="X1418" s="28">
        <f>X1410*_xlfn.XLOOKUP($L1418,'Balizador da Meta'!$B$4:$B$21,'Balizador da Meta'!$C$4:$C$21)</f>
        <v>0</v>
      </c>
      <c r="Y1418" s="28">
        <f>Y1410*_xlfn.XLOOKUP($L1418,'Balizador da Meta'!$B$4:$B$21,'Balizador da Meta'!$C$4:$C$21)</f>
        <v>0</v>
      </c>
      <c r="Z1418" s="30">
        <f t="shared" si="339"/>
        <v>0</v>
      </c>
      <c r="AA1418" s="29"/>
      <c r="AB1418" s="31">
        <f>SUMIFS('Historico - FAT'!AK:AK,'Historico - FAT'!$K:$K,Faturamento!$L1418,'Historico - FAT'!$I:$I,Faturamento!$J1418,'Historico - FAT'!$G:$G,Faturamento!$H1418)</f>
        <v>0</v>
      </c>
      <c r="AC1418" s="31">
        <f>SUMIFS('Historico - FAT'!AL:AL,'Historico - FAT'!$K:$K,Faturamento!$L1418,'Historico - FAT'!$I:$I,Faturamento!$J1418,'Historico - FAT'!$G:$G,Faturamento!$H1418)</f>
        <v>12.873333333333333</v>
      </c>
      <c r="AD1418" s="31">
        <f>SUMIFS('Historico - FAT'!AM:AM,'Historico - FAT'!$K:$K,Faturamento!$L1418,'Historico - FAT'!$I:$I,Faturamento!$J1418,'Historico - FAT'!$G:$G,Faturamento!$H1418)</f>
        <v>25.746666666666666</v>
      </c>
      <c r="AE1418" s="27">
        <f>SUMIFS('Historico - FAT'!AN:AN,'Historico - FAT'!$K:$K,Faturamento!$L1418,'Historico - FAT'!$I:$I,Faturamento!$J1418,'Historico - FAT'!$G:$G,Faturamento!$H1418)</f>
        <v>15.447999999999999</v>
      </c>
      <c r="AG1418" s="24" t="str">
        <f t="shared" si="334"/>
        <v/>
      </c>
      <c r="AH1418" s="24" t="str">
        <f t="shared" si="335"/>
        <v/>
      </c>
      <c r="AI1418" s="24" t="str">
        <f t="shared" si="336"/>
        <v/>
      </c>
    </row>
    <row r="1419" spans="1:35" hidden="1" x14ac:dyDescent="0.3">
      <c r="A1419" s="2" t="str">
        <f t="shared" si="333"/>
        <v>NÃO</v>
      </c>
      <c r="B1419" s="2">
        <v>1000184670</v>
      </c>
      <c r="C1419" s="2" t="s">
        <v>147</v>
      </c>
      <c r="D1419" s="4">
        <v>1000186197</v>
      </c>
      <c r="E1419" s="4" t="s">
        <v>166</v>
      </c>
      <c r="F1419" s="2">
        <v>1000184764</v>
      </c>
      <c r="G1419" s="2" t="s">
        <v>70</v>
      </c>
      <c r="H1419" s="4">
        <v>1000189819</v>
      </c>
      <c r="I1419" s="4" t="s">
        <v>74</v>
      </c>
      <c r="J1419" s="2">
        <v>1000189270</v>
      </c>
      <c r="K1419" s="2" t="s">
        <v>34</v>
      </c>
      <c r="L1419" s="4" t="s">
        <v>18</v>
      </c>
      <c r="M1419" s="4" t="str">
        <f t="shared" si="340"/>
        <v>1000184670100018619710001898191000189270LANCHES</v>
      </c>
      <c r="N1419" s="28">
        <f>N1410*_xlfn.XLOOKUP($L1419,'Balizador da Meta'!$B$4:$B$21,'Balizador da Meta'!$C$4:$C$21)</f>
        <v>24</v>
      </c>
      <c r="O1419" s="28">
        <f>O1410*_xlfn.XLOOKUP($L1419,'Balizador da Meta'!$B$4:$B$21,'Balizador da Meta'!$C$4:$C$21)</f>
        <v>24</v>
      </c>
      <c r="P1419" s="28">
        <f>P1410*_xlfn.XLOOKUP($L1419,'Balizador da Meta'!$B$4:$B$21,'Balizador da Meta'!$C$4:$C$21)</f>
        <v>24</v>
      </c>
      <c r="Q1419" s="28">
        <f>Q1410*_xlfn.XLOOKUP($L1419,'Balizador da Meta'!$B$4:$B$21,'Balizador da Meta'!$C$4:$C$21)</f>
        <v>30</v>
      </c>
      <c r="R1419" s="28">
        <f>R1410*_xlfn.XLOOKUP($L1419,'Balizador da Meta'!$B$4:$B$21,'Balizador da Meta'!$C$4:$C$21)</f>
        <v>30</v>
      </c>
      <c r="S1419" s="28">
        <f>S1410*_xlfn.XLOOKUP($L1419,'Balizador da Meta'!$B$4:$B$21,'Balizador da Meta'!$C$4:$C$21)</f>
        <v>30</v>
      </c>
      <c r="T1419" s="28">
        <f>T1410*_xlfn.XLOOKUP($L1419,'Balizador da Meta'!$B$4:$B$21,'Balizador da Meta'!$C$4:$C$21)</f>
        <v>30</v>
      </c>
      <c r="U1419" s="28">
        <f>U1410*_xlfn.XLOOKUP($L1419,'Balizador da Meta'!$B$4:$B$21,'Balizador da Meta'!$C$4:$C$21)</f>
        <v>30</v>
      </c>
      <c r="V1419" s="28">
        <f>V1410*_xlfn.XLOOKUP($L1419,'Balizador da Meta'!$B$4:$B$21,'Balizador da Meta'!$C$4:$C$21)</f>
        <v>36</v>
      </c>
      <c r="W1419" s="28">
        <f>W1410*_xlfn.XLOOKUP($L1419,'Balizador da Meta'!$B$4:$B$21,'Balizador da Meta'!$C$4:$C$21)</f>
        <v>36</v>
      </c>
      <c r="X1419" s="28">
        <f>X1410*_xlfn.XLOOKUP($L1419,'Balizador da Meta'!$B$4:$B$21,'Balizador da Meta'!$C$4:$C$21)</f>
        <v>36</v>
      </c>
      <c r="Y1419" s="28">
        <f>Y1410*_xlfn.XLOOKUP($L1419,'Balizador da Meta'!$B$4:$B$21,'Balizador da Meta'!$C$4:$C$21)</f>
        <v>36</v>
      </c>
      <c r="Z1419" s="30">
        <f t="shared" si="339"/>
        <v>366</v>
      </c>
      <c r="AA1419" s="29"/>
      <c r="AB1419" s="31">
        <f>SUMIFS('Historico - FAT'!AK:AK,'Historico - FAT'!$K:$K,Faturamento!$L1419,'Historico - FAT'!$I:$I,Faturamento!$J1419,'Historico - FAT'!$G:$G,Faturamento!$H1419)</f>
        <v>7.7</v>
      </c>
      <c r="AC1419" s="31">
        <f>SUMIFS('Historico - FAT'!AL:AL,'Historico - FAT'!$K:$K,Faturamento!$L1419,'Historico - FAT'!$I:$I,Faturamento!$J1419,'Historico - FAT'!$G:$G,Faturamento!$H1419)</f>
        <v>19</v>
      </c>
      <c r="AD1419" s="31">
        <f>SUMIFS('Historico - FAT'!AM:AM,'Historico - FAT'!$K:$K,Faturamento!$L1419,'Historico - FAT'!$I:$I,Faturamento!$J1419,'Historico - FAT'!$G:$G,Faturamento!$H1419)</f>
        <v>7.2</v>
      </c>
      <c r="AE1419" s="27">
        <f>SUMIFS('Historico - FAT'!AN:AN,'Historico - FAT'!$K:$K,Faturamento!$L1419,'Historico - FAT'!$I:$I,Faturamento!$J1419,'Historico - FAT'!$G:$G,Faturamento!$H1419)</f>
        <v>22.8</v>
      </c>
      <c r="AG1419" s="24">
        <f t="shared" si="334"/>
        <v>0.78611111111111109</v>
      </c>
      <c r="AH1419" s="24">
        <f t="shared" si="335"/>
        <v>0.47222222222222221</v>
      </c>
      <c r="AI1419" s="24">
        <f t="shared" si="336"/>
        <v>0.8</v>
      </c>
    </row>
    <row r="1420" spans="1:35" hidden="1" x14ac:dyDescent="0.3">
      <c r="A1420" s="2" t="str">
        <f t="shared" si="333"/>
        <v>NÃO</v>
      </c>
      <c r="B1420" s="2">
        <v>1000184670</v>
      </c>
      <c r="C1420" s="2" t="s">
        <v>147</v>
      </c>
      <c r="D1420" s="4">
        <v>1000186197</v>
      </c>
      <c r="E1420" s="4" t="s">
        <v>166</v>
      </c>
      <c r="F1420" s="2">
        <v>1000184764</v>
      </c>
      <c r="G1420" s="2" t="s">
        <v>70</v>
      </c>
      <c r="H1420" s="4">
        <v>1000189819</v>
      </c>
      <c r="I1420" s="4" t="s">
        <v>74</v>
      </c>
      <c r="J1420" s="2">
        <v>1000189270</v>
      </c>
      <c r="K1420" s="2" t="s">
        <v>34</v>
      </c>
      <c r="L1420" s="4" t="s">
        <v>29</v>
      </c>
      <c r="M1420" s="4" t="str">
        <f t="shared" si="340"/>
        <v>1000184670100018619710001898191000189270MAIS GRANEL</v>
      </c>
      <c r="N1420" s="28">
        <f>N1410*_xlfn.XLOOKUP($L1420,'Balizador da Meta'!$B$4:$B$21,'Balizador da Meta'!$C$4:$C$21)</f>
        <v>768</v>
      </c>
      <c r="O1420" s="28">
        <f>O1410*_xlfn.XLOOKUP($L1420,'Balizador da Meta'!$B$4:$B$21,'Balizador da Meta'!$C$4:$C$21)</f>
        <v>768</v>
      </c>
      <c r="P1420" s="28">
        <f>P1410*_xlfn.XLOOKUP($L1420,'Balizador da Meta'!$B$4:$B$21,'Balizador da Meta'!$C$4:$C$21)</f>
        <v>768</v>
      </c>
      <c r="Q1420" s="28">
        <f>Q1410*_xlfn.XLOOKUP($L1420,'Balizador da Meta'!$B$4:$B$21,'Balizador da Meta'!$C$4:$C$21)</f>
        <v>960</v>
      </c>
      <c r="R1420" s="28">
        <f>R1410*_xlfn.XLOOKUP($L1420,'Balizador da Meta'!$B$4:$B$21,'Balizador da Meta'!$C$4:$C$21)</f>
        <v>960</v>
      </c>
      <c r="S1420" s="28">
        <f>S1410*_xlfn.XLOOKUP($L1420,'Balizador da Meta'!$B$4:$B$21,'Balizador da Meta'!$C$4:$C$21)</f>
        <v>960</v>
      </c>
      <c r="T1420" s="28">
        <f>T1410*_xlfn.XLOOKUP($L1420,'Balizador da Meta'!$B$4:$B$21,'Balizador da Meta'!$C$4:$C$21)</f>
        <v>960</v>
      </c>
      <c r="U1420" s="28">
        <f>U1410*_xlfn.XLOOKUP($L1420,'Balizador da Meta'!$B$4:$B$21,'Balizador da Meta'!$C$4:$C$21)</f>
        <v>960</v>
      </c>
      <c r="V1420" s="28">
        <f>V1410*_xlfn.XLOOKUP($L1420,'Balizador da Meta'!$B$4:$B$21,'Balizador da Meta'!$C$4:$C$21)</f>
        <v>1152</v>
      </c>
      <c r="W1420" s="28">
        <f>W1410*_xlfn.XLOOKUP($L1420,'Balizador da Meta'!$B$4:$B$21,'Balizador da Meta'!$C$4:$C$21)</f>
        <v>1152</v>
      </c>
      <c r="X1420" s="28">
        <f>X1410*_xlfn.XLOOKUP($L1420,'Balizador da Meta'!$B$4:$B$21,'Balizador da Meta'!$C$4:$C$21)</f>
        <v>1152</v>
      </c>
      <c r="Y1420" s="28">
        <f>Y1410*_xlfn.XLOOKUP($L1420,'Balizador da Meta'!$B$4:$B$21,'Balizador da Meta'!$C$4:$C$21)</f>
        <v>1152</v>
      </c>
      <c r="Z1420" s="30">
        <f t="shared" si="339"/>
        <v>11712</v>
      </c>
      <c r="AA1420" s="29"/>
      <c r="AB1420" s="31">
        <f>SUMIFS('Historico - FAT'!AK:AK,'Historico - FAT'!$K:$K,Faturamento!$L1420,'Historico - FAT'!$I:$I,Faturamento!$J1420,'Historico - FAT'!$G:$G,Faturamento!$H1420)</f>
        <v>0</v>
      </c>
      <c r="AC1420" s="31">
        <f>SUMIFS('Historico - FAT'!AL:AL,'Historico - FAT'!$K:$K,Faturamento!$L1420,'Historico - FAT'!$I:$I,Faturamento!$J1420,'Historico - FAT'!$G:$G,Faturamento!$H1420)</f>
        <v>456.16083333333336</v>
      </c>
      <c r="AD1420" s="31">
        <f>SUMIFS('Historico - FAT'!AM:AM,'Historico - FAT'!$K:$K,Faturamento!$L1420,'Historico - FAT'!$I:$I,Faturamento!$J1420,'Historico - FAT'!$G:$G,Faturamento!$H1420)</f>
        <v>912.32166666666672</v>
      </c>
      <c r="AE1420" s="27">
        <f>SUMIFS('Historico - FAT'!AN:AN,'Historico - FAT'!$K:$K,Faturamento!$L1420,'Historico - FAT'!$I:$I,Faturamento!$J1420,'Historico - FAT'!$G:$G,Faturamento!$H1420)</f>
        <v>547.39300000000003</v>
      </c>
      <c r="AG1420" s="24">
        <f t="shared" si="334"/>
        <v>1</v>
      </c>
      <c r="AH1420" s="24">
        <f t="shared" si="335"/>
        <v>0.60402705439814808</v>
      </c>
      <c r="AI1420" s="24">
        <f t="shared" si="336"/>
        <v>0.20805410879629627</v>
      </c>
    </row>
    <row r="1421" spans="1:35" hidden="1" x14ac:dyDescent="0.3">
      <c r="A1421" s="2" t="str">
        <f t="shared" si="333"/>
        <v>NÃO</v>
      </c>
      <c r="B1421" s="2">
        <v>1000184670</v>
      </c>
      <c r="C1421" s="2" t="s">
        <v>147</v>
      </c>
      <c r="D1421" s="4">
        <v>1000186197</v>
      </c>
      <c r="E1421" s="4" t="s">
        <v>166</v>
      </c>
      <c r="F1421" s="2">
        <v>1000184764</v>
      </c>
      <c r="G1421" s="2" t="s">
        <v>70</v>
      </c>
      <c r="H1421" s="4">
        <v>1000189819</v>
      </c>
      <c r="I1421" s="4" t="s">
        <v>74</v>
      </c>
      <c r="J1421" s="2">
        <v>1000189270</v>
      </c>
      <c r="K1421" s="2" t="s">
        <v>34</v>
      </c>
      <c r="L1421" s="4" t="s">
        <v>21</v>
      </c>
      <c r="M1421" s="4" t="str">
        <f t="shared" si="340"/>
        <v>1000184670100018619710001898191000189270NATURATTA</v>
      </c>
      <c r="N1421" s="28">
        <f>N1410*_xlfn.XLOOKUP($L1421,'Balizador da Meta'!$B$4:$B$21,'Balizador da Meta'!$C$4:$C$21)</f>
        <v>120</v>
      </c>
      <c r="O1421" s="28">
        <f>O1410*_xlfn.XLOOKUP($L1421,'Balizador da Meta'!$B$4:$B$21,'Balizador da Meta'!$C$4:$C$21)</f>
        <v>120</v>
      </c>
      <c r="P1421" s="28">
        <f>P1410*_xlfn.XLOOKUP($L1421,'Balizador da Meta'!$B$4:$B$21,'Balizador da Meta'!$C$4:$C$21)</f>
        <v>120</v>
      </c>
      <c r="Q1421" s="28">
        <f>Q1410*_xlfn.XLOOKUP($L1421,'Balizador da Meta'!$B$4:$B$21,'Balizador da Meta'!$C$4:$C$21)</f>
        <v>150</v>
      </c>
      <c r="R1421" s="28">
        <f>R1410*_xlfn.XLOOKUP($L1421,'Balizador da Meta'!$B$4:$B$21,'Balizador da Meta'!$C$4:$C$21)</f>
        <v>150</v>
      </c>
      <c r="S1421" s="28">
        <f>S1410*_xlfn.XLOOKUP($L1421,'Balizador da Meta'!$B$4:$B$21,'Balizador da Meta'!$C$4:$C$21)</f>
        <v>150</v>
      </c>
      <c r="T1421" s="28">
        <f>T1410*_xlfn.XLOOKUP($L1421,'Balizador da Meta'!$B$4:$B$21,'Balizador da Meta'!$C$4:$C$21)</f>
        <v>150</v>
      </c>
      <c r="U1421" s="28">
        <f>U1410*_xlfn.XLOOKUP($L1421,'Balizador da Meta'!$B$4:$B$21,'Balizador da Meta'!$C$4:$C$21)</f>
        <v>150</v>
      </c>
      <c r="V1421" s="28">
        <f>V1410*_xlfn.XLOOKUP($L1421,'Balizador da Meta'!$B$4:$B$21,'Balizador da Meta'!$C$4:$C$21)</f>
        <v>180</v>
      </c>
      <c r="W1421" s="28">
        <f>W1410*_xlfn.XLOOKUP($L1421,'Balizador da Meta'!$B$4:$B$21,'Balizador da Meta'!$C$4:$C$21)</f>
        <v>180</v>
      </c>
      <c r="X1421" s="28">
        <f>X1410*_xlfn.XLOOKUP($L1421,'Balizador da Meta'!$B$4:$B$21,'Balizador da Meta'!$C$4:$C$21)</f>
        <v>180</v>
      </c>
      <c r="Y1421" s="28">
        <f>Y1410*_xlfn.XLOOKUP($L1421,'Balizador da Meta'!$B$4:$B$21,'Balizador da Meta'!$C$4:$C$21)</f>
        <v>180</v>
      </c>
      <c r="Z1421" s="30">
        <f t="shared" si="339"/>
        <v>1830</v>
      </c>
      <c r="AA1421" s="29"/>
      <c r="AB1421" s="31">
        <f>SUMIFS('Historico - FAT'!AK:AK,'Historico - FAT'!$K:$K,Faturamento!$L1421,'Historico - FAT'!$I:$I,Faturamento!$J1421,'Historico - FAT'!$G:$G,Faturamento!$H1421)</f>
        <v>0</v>
      </c>
      <c r="AC1421" s="31">
        <f>SUMIFS('Historico - FAT'!AL:AL,'Historico - FAT'!$K:$K,Faturamento!$L1421,'Historico - FAT'!$I:$I,Faturamento!$J1421,'Historico - FAT'!$G:$G,Faturamento!$H1421)</f>
        <v>16.501666666666669</v>
      </c>
      <c r="AD1421" s="31">
        <f>SUMIFS('Historico - FAT'!AM:AM,'Historico - FAT'!$K:$K,Faturamento!$L1421,'Historico - FAT'!$I:$I,Faturamento!$J1421,'Historico - FAT'!$G:$G,Faturamento!$H1421)</f>
        <v>33.003333333333337</v>
      </c>
      <c r="AE1421" s="27">
        <f>SUMIFS('Historico - FAT'!AN:AN,'Historico - FAT'!$K:$K,Faturamento!$L1421,'Historico - FAT'!$I:$I,Faturamento!$J1421,'Historico - FAT'!$G:$G,Faturamento!$H1421)</f>
        <v>19.802</v>
      </c>
      <c r="AG1421" s="24">
        <f t="shared" si="334"/>
        <v>1</v>
      </c>
      <c r="AH1421" s="24">
        <f t="shared" si="335"/>
        <v>0.90832407407407412</v>
      </c>
      <c r="AI1421" s="24">
        <f t="shared" si="336"/>
        <v>0.81664814814814812</v>
      </c>
    </row>
    <row r="1422" spans="1:35" hidden="1" x14ac:dyDescent="0.3">
      <c r="A1422" s="2" t="str">
        <f t="shared" si="333"/>
        <v>NÃO</v>
      </c>
      <c r="B1422" s="2">
        <v>1000184670</v>
      </c>
      <c r="C1422" s="2" t="s">
        <v>147</v>
      </c>
      <c r="D1422" s="4">
        <v>1000186197</v>
      </c>
      <c r="E1422" s="4" t="s">
        <v>166</v>
      </c>
      <c r="F1422" s="2">
        <v>1000184764</v>
      </c>
      <c r="G1422" s="2" t="s">
        <v>70</v>
      </c>
      <c r="H1422" s="4">
        <v>1000189819</v>
      </c>
      <c r="I1422" s="4" t="s">
        <v>74</v>
      </c>
      <c r="J1422" s="2">
        <v>1000189270</v>
      </c>
      <c r="K1422" s="2" t="s">
        <v>34</v>
      </c>
      <c r="L1422" s="4" t="s">
        <v>20</v>
      </c>
      <c r="M1422" s="4" t="str">
        <f t="shared" si="340"/>
        <v>1000184670100018619710001898191000189270REEMBALADOS</v>
      </c>
      <c r="N1422" s="28">
        <f>N1410*_xlfn.XLOOKUP($L1422,'Balizador da Meta'!$B$4:$B$21,'Balizador da Meta'!$C$4:$C$21)</f>
        <v>96</v>
      </c>
      <c r="O1422" s="28">
        <f>O1410*_xlfn.XLOOKUP($L1422,'Balizador da Meta'!$B$4:$B$21,'Balizador da Meta'!$C$4:$C$21)</f>
        <v>96</v>
      </c>
      <c r="P1422" s="28">
        <f>P1410*_xlfn.XLOOKUP($L1422,'Balizador da Meta'!$B$4:$B$21,'Balizador da Meta'!$C$4:$C$21)</f>
        <v>96</v>
      </c>
      <c r="Q1422" s="28">
        <f>Q1410*_xlfn.XLOOKUP($L1422,'Balizador da Meta'!$B$4:$B$21,'Balizador da Meta'!$C$4:$C$21)</f>
        <v>120</v>
      </c>
      <c r="R1422" s="28">
        <f>R1410*_xlfn.XLOOKUP($L1422,'Balizador da Meta'!$B$4:$B$21,'Balizador da Meta'!$C$4:$C$21)</f>
        <v>120</v>
      </c>
      <c r="S1422" s="28">
        <f>S1410*_xlfn.XLOOKUP($L1422,'Balizador da Meta'!$B$4:$B$21,'Balizador da Meta'!$C$4:$C$21)</f>
        <v>120</v>
      </c>
      <c r="T1422" s="28">
        <f>T1410*_xlfn.XLOOKUP($L1422,'Balizador da Meta'!$B$4:$B$21,'Balizador da Meta'!$C$4:$C$21)</f>
        <v>120</v>
      </c>
      <c r="U1422" s="28">
        <f>U1410*_xlfn.XLOOKUP($L1422,'Balizador da Meta'!$B$4:$B$21,'Balizador da Meta'!$C$4:$C$21)</f>
        <v>120</v>
      </c>
      <c r="V1422" s="28">
        <f>V1410*_xlfn.XLOOKUP($L1422,'Balizador da Meta'!$B$4:$B$21,'Balizador da Meta'!$C$4:$C$21)</f>
        <v>144</v>
      </c>
      <c r="W1422" s="28">
        <f>W1410*_xlfn.XLOOKUP($L1422,'Balizador da Meta'!$B$4:$B$21,'Balizador da Meta'!$C$4:$C$21)</f>
        <v>144</v>
      </c>
      <c r="X1422" s="28">
        <f>X1410*_xlfn.XLOOKUP($L1422,'Balizador da Meta'!$B$4:$B$21,'Balizador da Meta'!$C$4:$C$21)</f>
        <v>144</v>
      </c>
      <c r="Y1422" s="28">
        <f>Y1410*_xlfn.XLOOKUP($L1422,'Balizador da Meta'!$B$4:$B$21,'Balizador da Meta'!$C$4:$C$21)</f>
        <v>144</v>
      </c>
      <c r="Z1422" s="30">
        <f t="shared" si="339"/>
        <v>1464</v>
      </c>
      <c r="AA1422" s="29"/>
      <c r="AB1422" s="31">
        <f>SUMIFS('Historico - FAT'!AK:AK,'Historico - FAT'!$K:$K,Faturamento!$L1422,'Historico - FAT'!$I:$I,Faturamento!$J1422,'Historico - FAT'!$G:$G,Faturamento!$H1422)</f>
        <v>157.27833333333334</v>
      </c>
      <c r="AC1422" s="31">
        <f>SUMIFS('Historico - FAT'!AL:AL,'Historico - FAT'!$K:$K,Faturamento!$L1422,'Historico - FAT'!$I:$I,Faturamento!$J1422,'Historico - FAT'!$G:$G,Faturamento!$H1422)</f>
        <v>164.11499999999998</v>
      </c>
      <c r="AD1422" s="31">
        <f>SUMIFS('Historico - FAT'!AM:AM,'Historico - FAT'!$K:$K,Faturamento!$L1422,'Historico - FAT'!$I:$I,Faturamento!$J1422,'Historico - FAT'!$G:$G,Faturamento!$H1422)</f>
        <v>130.89000000000001</v>
      </c>
      <c r="AE1422" s="27">
        <f>SUMIFS('Historico - FAT'!AN:AN,'Historico - FAT'!$K:$K,Faturamento!$L1422,'Historico - FAT'!$I:$I,Faturamento!$J1422,'Historico - FAT'!$G:$G,Faturamento!$H1422)</f>
        <v>188.91</v>
      </c>
      <c r="AG1422" s="24">
        <f t="shared" si="334"/>
        <v>-9.2210648148148167E-2</v>
      </c>
      <c r="AH1422" s="24">
        <f t="shared" si="335"/>
        <v>-0.13968749999999985</v>
      </c>
      <c r="AI1422" s="24">
        <f t="shared" si="336"/>
        <v>9.1041666666666562E-2</v>
      </c>
    </row>
    <row r="1423" spans="1:35" hidden="1" x14ac:dyDescent="0.3">
      <c r="A1423" s="2" t="str">
        <f t="shared" si="333"/>
        <v>NÃO</v>
      </c>
      <c r="B1423" s="2">
        <v>1000184670</v>
      </c>
      <c r="C1423" s="2" t="s">
        <v>147</v>
      </c>
      <c r="D1423" s="4">
        <v>1000186197</v>
      </c>
      <c r="E1423" s="4" t="s">
        <v>166</v>
      </c>
      <c r="F1423" s="2">
        <v>1000184764</v>
      </c>
      <c r="G1423" s="2" t="s">
        <v>70</v>
      </c>
      <c r="H1423" s="4">
        <v>1000189819</v>
      </c>
      <c r="I1423" s="4" t="s">
        <v>74</v>
      </c>
      <c r="J1423" s="2">
        <v>1000189270</v>
      </c>
      <c r="K1423" s="2" t="s">
        <v>34</v>
      </c>
      <c r="L1423" s="4" t="s">
        <v>22</v>
      </c>
      <c r="M1423" s="4" t="str">
        <f t="shared" si="340"/>
        <v>1000184670100018619710001898191000189270S GLUTEN</v>
      </c>
      <c r="N1423" s="28">
        <f>N1410*_xlfn.XLOOKUP($L1423,'Balizador da Meta'!$B$4:$B$21,'Balizador da Meta'!$C$4:$C$21)</f>
        <v>96</v>
      </c>
      <c r="O1423" s="28">
        <f>O1410*_xlfn.XLOOKUP($L1423,'Balizador da Meta'!$B$4:$B$21,'Balizador da Meta'!$C$4:$C$21)</f>
        <v>96</v>
      </c>
      <c r="P1423" s="28">
        <f>P1410*_xlfn.XLOOKUP($L1423,'Balizador da Meta'!$B$4:$B$21,'Balizador da Meta'!$C$4:$C$21)</f>
        <v>96</v>
      </c>
      <c r="Q1423" s="28">
        <f>Q1410*_xlfn.XLOOKUP($L1423,'Balizador da Meta'!$B$4:$B$21,'Balizador da Meta'!$C$4:$C$21)</f>
        <v>120</v>
      </c>
      <c r="R1423" s="28">
        <f>R1410*_xlfn.XLOOKUP($L1423,'Balizador da Meta'!$B$4:$B$21,'Balizador da Meta'!$C$4:$C$21)</f>
        <v>120</v>
      </c>
      <c r="S1423" s="28">
        <f>S1410*_xlfn.XLOOKUP($L1423,'Balizador da Meta'!$B$4:$B$21,'Balizador da Meta'!$C$4:$C$21)</f>
        <v>120</v>
      </c>
      <c r="T1423" s="28">
        <f>T1410*_xlfn.XLOOKUP($L1423,'Balizador da Meta'!$B$4:$B$21,'Balizador da Meta'!$C$4:$C$21)</f>
        <v>120</v>
      </c>
      <c r="U1423" s="28">
        <f>U1410*_xlfn.XLOOKUP($L1423,'Balizador da Meta'!$B$4:$B$21,'Balizador da Meta'!$C$4:$C$21)</f>
        <v>120</v>
      </c>
      <c r="V1423" s="28">
        <f>V1410*_xlfn.XLOOKUP($L1423,'Balizador da Meta'!$B$4:$B$21,'Balizador da Meta'!$C$4:$C$21)</f>
        <v>144</v>
      </c>
      <c r="W1423" s="28">
        <f>W1410*_xlfn.XLOOKUP($L1423,'Balizador da Meta'!$B$4:$B$21,'Balizador da Meta'!$C$4:$C$21)</f>
        <v>144</v>
      </c>
      <c r="X1423" s="28">
        <f>X1410*_xlfn.XLOOKUP($L1423,'Balizador da Meta'!$B$4:$B$21,'Balizador da Meta'!$C$4:$C$21)</f>
        <v>144</v>
      </c>
      <c r="Y1423" s="28">
        <f>Y1410*_xlfn.XLOOKUP($L1423,'Balizador da Meta'!$B$4:$B$21,'Balizador da Meta'!$C$4:$C$21)</f>
        <v>144</v>
      </c>
      <c r="Z1423" s="30">
        <f t="shared" si="339"/>
        <v>1464</v>
      </c>
      <c r="AA1423" s="29"/>
      <c r="AB1423" s="31">
        <f>SUMIFS('Historico - FAT'!AK:AK,'Historico - FAT'!$K:$K,Faturamento!$L1423,'Historico - FAT'!$I:$I,Faturamento!$J1423,'Historico - FAT'!$G:$G,Faturamento!$H1423)</f>
        <v>54.638333333333328</v>
      </c>
      <c r="AC1423" s="31">
        <f>SUMIFS('Historico - FAT'!AL:AL,'Historico - FAT'!$K:$K,Faturamento!$L1423,'Historico - FAT'!$I:$I,Faturamento!$J1423,'Historico - FAT'!$G:$G,Faturamento!$H1423)</f>
        <v>126.71833333333332</v>
      </c>
      <c r="AD1423" s="31">
        <f>SUMIFS('Historico - FAT'!AM:AM,'Historico - FAT'!$K:$K,Faturamento!$L1423,'Historico - FAT'!$I:$I,Faturamento!$J1423,'Historico - FAT'!$G:$G,Faturamento!$H1423)</f>
        <v>161.63666666666666</v>
      </c>
      <c r="AE1423" s="27">
        <f>SUMIFS('Historico - FAT'!AN:AN,'Historico - FAT'!$K:$K,Faturamento!$L1423,'Historico - FAT'!$I:$I,Faturamento!$J1423,'Historico - FAT'!$G:$G,Faturamento!$H1423)</f>
        <v>138.86199999999999</v>
      </c>
      <c r="AG1423" s="24">
        <f t="shared" si="334"/>
        <v>0.62056712962962968</v>
      </c>
      <c r="AH1423" s="24">
        <f t="shared" si="335"/>
        <v>0.12001157407407417</v>
      </c>
      <c r="AI1423" s="24">
        <f t="shared" si="336"/>
        <v>-0.12247685185185178</v>
      </c>
    </row>
    <row r="1424" spans="1:35" hidden="1" x14ac:dyDescent="0.3">
      <c r="A1424" s="2" t="str">
        <f t="shared" si="333"/>
        <v>NÃO</v>
      </c>
      <c r="B1424" s="2">
        <v>1000184670</v>
      </c>
      <c r="C1424" s="2" t="s">
        <v>147</v>
      </c>
      <c r="D1424" s="4">
        <v>1000186197</v>
      </c>
      <c r="E1424" s="4" t="s">
        <v>166</v>
      </c>
      <c r="F1424" s="2">
        <v>1000184764</v>
      </c>
      <c r="G1424" s="2" t="s">
        <v>70</v>
      </c>
      <c r="H1424" s="4">
        <v>1000189819</v>
      </c>
      <c r="I1424" s="4" t="s">
        <v>74</v>
      </c>
      <c r="J1424" s="2">
        <v>1000189270</v>
      </c>
      <c r="K1424" s="2" t="s">
        <v>34</v>
      </c>
      <c r="L1424" s="4" t="s">
        <v>23</v>
      </c>
      <c r="M1424" s="4" t="str">
        <f t="shared" si="340"/>
        <v>1000184670100018619710001898191000189270SABORES DO CAMPO</v>
      </c>
      <c r="N1424" s="28">
        <f>N1410*_xlfn.XLOOKUP($L1424,'Balizador da Meta'!$B$4:$B$21,'Balizador da Meta'!$C$4:$C$21)</f>
        <v>0</v>
      </c>
      <c r="O1424" s="28">
        <f>O1410*_xlfn.XLOOKUP($L1424,'Balizador da Meta'!$B$4:$B$21,'Balizador da Meta'!$C$4:$C$21)</f>
        <v>0</v>
      </c>
      <c r="P1424" s="28">
        <f>P1410*_xlfn.XLOOKUP($L1424,'Balizador da Meta'!$B$4:$B$21,'Balizador da Meta'!$C$4:$C$21)</f>
        <v>0</v>
      </c>
      <c r="Q1424" s="28">
        <f>Q1410*_xlfn.XLOOKUP($L1424,'Balizador da Meta'!$B$4:$B$21,'Balizador da Meta'!$C$4:$C$21)</f>
        <v>0</v>
      </c>
      <c r="R1424" s="28">
        <f>R1410*_xlfn.XLOOKUP($L1424,'Balizador da Meta'!$B$4:$B$21,'Balizador da Meta'!$C$4:$C$21)</f>
        <v>0</v>
      </c>
      <c r="S1424" s="28">
        <f>S1410*_xlfn.XLOOKUP($L1424,'Balizador da Meta'!$B$4:$B$21,'Balizador da Meta'!$C$4:$C$21)</f>
        <v>0</v>
      </c>
      <c r="T1424" s="28">
        <f>T1410*_xlfn.XLOOKUP($L1424,'Balizador da Meta'!$B$4:$B$21,'Balizador da Meta'!$C$4:$C$21)</f>
        <v>0</v>
      </c>
      <c r="U1424" s="28">
        <f>U1410*_xlfn.XLOOKUP($L1424,'Balizador da Meta'!$B$4:$B$21,'Balizador da Meta'!$C$4:$C$21)</f>
        <v>0</v>
      </c>
      <c r="V1424" s="28">
        <f>V1410*_xlfn.XLOOKUP($L1424,'Balizador da Meta'!$B$4:$B$21,'Balizador da Meta'!$C$4:$C$21)</f>
        <v>0</v>
      </c>
      <c r="W1424" s="28">
        <f>W1410*_xlfn.XLOOKUP($L1424,'Balizador da Meta'!$B$4:$B$21,'Balizador da Meta'!$C$4:$C$21)</f>
        <v>0</v>
      </c>
      <c r="X1424" s="28">
        <f>X1410*_xlfn.XLOOKUP($L1424,'Balizador da Meta'!$B$4:$B$21,'Balizador da Meta'!$C$4:$C$21)</f>
        <v>0</v>
      </c>
      <c r="Y1424" s="28">
        <f>Y1410*_xlfn.XLOOKUP($L1424,'Balizador da Meta'!$B$4:$B$21,'Balizador da Meta'!$C$4:$C$21)</f>
        <v>0</v>
      </c>
      <c r="Z1424" s="30">
        <f t="shared" si="339"/>
        <v>0</v>
      </c>
      <c r="AA1424" s="29"/>
      <c r="AB1424" s="31">
        <f>SUMIFS('Historico - FAT'!AK:AK,'Historico - FAT'!$K:$K,Faturamento!$L1424,'Historico - FAT'!$I:$I,Faturamento!$J1424,'Historico - FAT'!$G:$G,Faturamento!$H1424)</f>
        <v>0</v>
      </c>
      <c r="AC1424" s="31">
        <f>SUMIFS('Historico - FAT'!AL:AL,'Historico - FAT'!$K:$K,Faturamento!$L1424,'Historico - FAT'!$I:$I,Faturamento!$J1424,'Historico - FAT'!$G:$G,Faturamento!$H1424)</f>
        <v>0</v>
      </c>
      <c r="AD1424" s="31">
        <f>SUMIFS('Historico - FAT'!AM:AM,'Historico - FAT'!$K:$K,Faturamento!$L1424,'Historico - FAT'!$I:$I,Faturamento!$J1424,'Historico - FAT'!$G:$G,Faturamento!$H1424)</f>
        <v>0</v>
      </c>
      <c r="AE1424" s="27">
        <f>SUMIFS('Historico - FAT'!AN:AN,'Historico - FAT'!$K:$K,Faturamento!$L1424,'Historico - FAT'!$I:$I,Faturamento!$J1424,'Historico - FAT'!$G:$G,Faturamento!$H1424)</f>
        <v>0</v>
      </c>
      <c r="AG1424" s="24" t="str">
        <f t="shared" si="334"/>
        <v/>
      </c>
      <c r="AH1424" s="24" t="str">
        <f t="shared" si="335"/>
        <v/>
      </c>
      <c r="AI1424" s="24" t="str">
        <f t="shared" si="336"/>
        <v/>
      </c>
    </row>
    <row r="1425" spans="1:35" hidden="1" x14ac:dyDescent="0.3">
      <c r="A1425" s="2" t="str">
        <f t="shared" si="333"/>
        <v>NÃO</v>
      </c>
      <c r="B1425" s="2">
        <v>1000184670</v>
      </c>
      <c r="C1425" s="2" t="s">
        <v>147</v>
      </c>
      <c r="D1425" s="4">
        <v>1000186197</v>
      </c>
      <c r="E1425" s="4" t="s">
        <v>166</v>
      </c>
      <c r="F1425" s="2">
        <v>1000184764</v>
      </c>
      <c r="G1425" s="2" t="s">
        <v>70</v>
      </c>
      <c r="H1425" s="4">
        <v>1000189819</v>
      </c>
      <c r="I1425" s="4" t="s">
        <v>74</v>
      </c>
      <c r="J1425" s="2">
        <v>1000189270</v>
      </c>
      <c r="K1425" s="2" t="s">
        <v>34</v>
      </c>
      <c r="L1425" s="4" t="s">
        <v>28</v>
      </c>
      <c r="M1425" s="4" t="str">
        <f t="shared" si="340"/>
        <v>1000184670100018619710001898191000189270SAL</v>
      </c>
      <c r="N1425" s="28">
        <f>N1410*_xlfn.XLOOKUP($L1425,'Balizador da Meta'!$B$4:$B$21,'Balizador da Meta'!$C$4:$C$21)</f>
        <v>48</v>
      </c>
      <c r="O1425" s="28">
        <f>O1410*_xlfn.XLOOKUP($L1425,'Balizador da Meta'!$B$4:$B$21,'Balizador da Meta'!$C$4:$C$21)</f>
        <v>48</v>
      </c>
      <c r="P1425" s="28">
        <f>P1410*_xlfn.XLOOKUP($L1425,'Balizador da Meta'!$B$4:$B$21,'Balizador da Meta'!$C$4:$C$21)</f>
        <v>48</v>
      </c>
      <c r="Q1425" s="28">
        <f>Q1410*_xlfn.XLOOKUP($L1425,'Balizador da Meta'!$B$4:$B$21,'Balizador da Meta'!$C$4:$C$21)</f>
        <v>60</v>
      </c>
      <c r="R1425" s="28">
        <f>R1410*_xlfn.XLOOKUP($L1425,'Balizador da Meta'!$B$4:$B$21,'Balizador da Meta'!$C$4:$C$21)</f>
        <v>60</v>
      </c>
      <c r="S1425" s="28">
        <f>S1410*_xlfn.XLOOKUP($L1425,'Balizador da Meta'!$B$4:$B$21,'Balizador da Meta'!$C$4:$C$21)</f>
        <v>60</v>
      </c>
      <c r="T1425" s="28">
        <f>T1410*_xlfn.XLOOKUP($L1425,'Balizador da Meta'!$B$4:$B$21,'Balizador da Meta'!$C$4:$C$21)</f>
        <v>60</v>
      </c>
      <c r="U1425" s="28">
        <f>U1410*_xlfn.XLOOKUP($L1425,'Balizador da Meta'!$B$4:$B$21,'Balizador da Meta'!$C$4:$C$21)</f>
        <v>60</v>
      </c>
      <c r="V1425" s="28">
        <f>V1410*_xlfn.XLOOKUP($L1425,'Balizador da Meta'!$B$4:$B$21,'Balizador da Meta'!$C$4:$C$21)</f>
        <v>72</v>
      </c>
      <c r="W1425" s="28">
        <f>W1410*_xlfn.XLOOKUP($L1425,'Balizador da Meta'!$B$4:$B$21,'Balizador da Meta'!$C$4:$C$21)</f>
        <v>72</v>
      </c>
      <c r="X1425" s="28">
        <f>X1410*_xlfn.XLOOKUP($L1425,'Balizador da Meta'!$B$4:$B$21,'Balizador da Meta'!$C$4:$C$21)</f>
        <v>72</v>
      </c>
      <c r="Y1425" s="28">
        <f>Y1410*_xlfn.XLOOKUP($L1425,'Balizador da Meta'!$B$4:$B$21,'Balizador da Meta'!$C$4:$C$21)</f>
        <v>72</v>
      </c>
      <c r="Z1425" s="30">
        <f t="shared" si="339"/>
        <v>732</v>
      </c>
      <c r="AA1425" s="29"/>
      <c r="AB1425" s="31">
        <f>SUMIFS('Historico - FAT'!AK:AK,'Historico - FAT'!$K:$K,Faturamento!$L1425,'Historico - FAT'!$I:$I,Faturamento!$J1425,'Historico - FAT'!$G:$G,Faturamento!$H1425)</f>
        <v>8.7999999999999989</v>
      </c>
      <c r="AC1425" s="31">
        <f>SUMIFS('Historico - FAT'!AL:AL,'Historico - FAT'!$K:$K,Faturamento!$L1425,'Historico - FAT'!$I:$I,Faturamento!$J1425,'Historico - FAT'!$G:$G,Faturamento!$H1425)</f>
        <v>9.06</v>
      </c>
      <c r="AD1425" s="31">
        <f>SUMIFS('Historico - FAT'!AM:AM,'Historico - FAT'!$K:$K,Faturamento!$L1425,'Historico - FAT'!$I:$I,Faturamento!$J1425,'Historico - FAT'!$G:$G,Faturamento!$H1425)</f>
        <v>9.06</v>
      </c>
      <c r="AE1425" s="27">
        <f>SUMIFS('Historico - FAT'!AN:AN,'Historico - FAT'!$K:$K,Faturamento!$L1425,'Historico - FAT'!$I:$I,Faturamento!$J1425,'Historico - FAT'!$G:$G,Faturamento!$H1425)</f>
        <v>10.872</v>
      </c>
      <c r="AG1425" s="24">
        <f t="shared" si="334"/>
        <v>0.87777777777777777</v>
      </c>
      <c r="AH1425" s="24">
        <f t="shared" si="335"/>
        <v>0.87416666666666665</v>
      </c>
      <c r="AI1425" s="24">
        <f t="shared" si="336"/>
        <v>0.87416666666666665</v>
      </c>
    </row>
    <row r="1426" spans="1:35" hidden="1" x14ac:dyDescent="0.3">
      <c r="A1426" s="2" t="str">
        <f t="shared" si="333"/>
        <v>NÃO</v>
      </c>
      <c r="B1426" s="2">
        <v>1000184670</v>
      </c>
      <c r="C1426" s="2" t="s">
        <v>147</v>
      </c>
      <c r="D1426" s="4">
        <v>1000186197</v>
      </c>
      <c r="E1426" s="4" t="s">
        <v>166</v>
      </c>
      <c r="F1426" s="2">
        <v>1000184764</v>
      </c>
      <c r="G1426" s="2" t="s">
        <v>70</v>
      </c>
      <c r="H1426" s="4">
        <v>1000189819</v>
      </c>
      <c r="I1426" s="4" t="s">
        <v>74</v>
      </c>
      <c r="J1426" s="2">
        <v>1000189270</v>
      </c>
      <c r="K1426" s="2" t="s">
        <v>34</v>
      </c>
      <c r="L1426" s="4" t="s">
        <v>26</v>
      </c>
      <c r="M1426" s="4" t="str">
        <f t="shared" si="340"/>
        <v>1000184670100018619710001898191000189270SOULPRO</v>
      </c>
      <c r="N1426" s="28">
        <f>N1410*_xlfn.XLOOKUP($L1426,'Balizador da Meta'!$B$4:$B$21,'Balizador da Meta'!$C$4:$C$21)</f>
        <v>144</v>
      </c>
      <c r="O1426" s="28">
        <f>O1410*_xlfn.XLOOKUP($L1426,'Balizador da Meta'!$B$4:$B$21,'Balizador da Meta'!$C$4:$C$21)</f>
        <v>144</v>
      </c>
      <c r="P1426" s="28">
        <f>P1410*_xlfn.XLOOKUP($L1426,'Balizador da Meta'!$B$4:$B$21,'Balizador da Meta'!$C$4:$C$21)</f>
        <v>144</v>
      </c>
      <c r="Q1426" s="28">
        <f>Q1410*_xlfn.XLOOKUP($L1426,'Balizador da Meta'!$B$4:$B$21,'Balizador da Meta'!$C$4:$C$21)</f>
        <v>180</v>
      </c>
      <c r="R1426" s="28">
        <f>R1410*_xlfn.XLOOKUP($L1426,'Balizador da Meta'!$B$4:$B$21,'Balizador da Meta'!$C$4:$C$21)</f>
        <v>180</v>
      </c>
      <c r="S1426" s="28">
        <f>S1410*_xlfn.XLOOKUP($L1426,'Balizador da Meta'!$B$4:$B$21,'Balizador da Meta'!$C$4:$C$21)</f>
        <v>180</v>
      </c>
      <c r="T1426" s="28">
        <f>T1410*_xlfn.XLOOKUP($L1426,'Balizador da Meta'!$B$4:$B$21,'Balizador da Meta'!$C$4:$C$21)</f>
        <v>180</v>
      </c>
      <c r="U1426" s="28">
        <f>U1410*_xlfn.XLOOKUP($L1426,'Balizador da Meta'!$B$4:$B$21,'Balizador da Meta'!$C$4:$C$21)</f>
        <v>180</v>
      </c>
      <c r="V1426" s="28">
        <f>V1410*_xlfn.XLOOKUP($L1426,'Balizador da Meta'!$B$4:$B$21,'Balizador da Meta'!$C$4:$C$21)</f>
        <v>216</v>
      </c>
      <c r="W1426" s="28">
        <f>W1410*_xlfn.XLOOKUP($L1426,'Balizador da Meta'!$B$4:$B$21,'Balizador da Meta'!$C$4:$C$21)</f>
        <v>216</v>
      </c>
      <c r="X1426" s="28">
        <f>X1410*_xlfn.XLOOKUP($L1426,'Balizador da Meta'!$B$4:$B$21,'Balizador da Meta'!$C$4:$C$21)</f>
        <v>216</v>
      </c>
      <c r="Y1426" s="28">
        <f>Y1410*_xlfn.XLOOKUP($L1426,'Balizador da Meta'!$B$4:$B$21,'Balizador da Meta'!$C$4:$C$21)</f>
        <v>216</v>
      </c>
      <c r="Z1426" s="30">
        <f t="shared" si="339"/>
        <v>2196</v>
      </c>
      <c r="AA1426" s="29"/>
      <c r="AB1426" s="31">
        <f>SUMIFS('Historico - FAT'!AK:AK,'Historico - FAT'!$K:$K,Faturamento!$L1426,'Historico - FAT'!$I:$I,Faturamento!$J1426,'Historico - FAT'!$G:$G,Faturamento!$H1426)</f>
        <v>95.04</v>
      </c>
      <c r="AC1426" s="31">
        <f>SUMIFS('Historico - FAT'!AL:AL,'Historico - FAT'!$K:$K,Faturamento!$L1426,'Historico - FAT'!$I:$I,Faturamento!$J1426,'Historico - FAT'!$G:$G,Faturamento!$H1426)</f>
        <v>30</v>
      </c>
      <c r="AD1426" s="31">
        <f>SUMIFS('Historico - FAT'!AM:AM,'Historico - FAT'!$K:$K,Faturamento!$L1426,'Historico - FAT'!$I:$I,Faturamento!$J1426,'Historico - FAT'!$G:$G,Faturamento!$H1426)</f>
        <v>60</v>
      </c>
      <c r="AE1426" s="27">
        <f>SUMIFS('Historico - FAT'!AN:AN,'Historico - FAT'!$K:$K,Faturamento!$L1426,'Historico - FAT'!$I:$I,Faturamento!$J1426,'Historico - FAT'!$G:$G,Faturamento!$H1426)</f>
        <v>36</v>
      </c>
      <c r="AG1426" s="24">
        <f t="shared" si="334"/>
        <v>0.55999999999999994</v>
      </c>
      <c r="AH1426" s="24">
        <f t="shared" si="335"/>
        <v>0.86111111111111116</v>
      </c>
      <c r="AI1426" s="24">
        <f t="shared" si="336"/>
        <v>0.72222222222222221</v>
      </c>
    </row>
    <row r="1427" spans="1:35" hidden="1" x14ac:dyDescent="0.3">
      <c r="A1427" s="2" t="str">
        <f t="shared" si="333"/>
        <v>NÃO</v>
      </c>
      <c r="B1427" s="2">
        <v>1000184670</v>
      </c>
      <c r="C1427" s="2" t="s">
        <v>147</v>
      </c>
      <c r="D1427" s="4">
        <v>1000186197</v>
      </c>
      <c r="E1427" s="4" t="s">
        <v>166</v>
      </c>
      <c r="F1427" s="2">
        <v>1000184764</v>
      </c>
      <c r="G1427" s="2" t="s">
        <v>70</v>
      </c>
      <c r="H1427" s="4">
        <v>1000189819</v>
      </c>
      <c r="I1427" s="4" t="s">
        <v>74</v>
      </c>
      <c r="J1427" s="2">
        <v>1000189270</v>
      </c>
      <c r="K1427" s="2" t="s">
        <v>34</v>
      </c>
      <c r="L1427" s="4" t="s">
        <v>27</v>
      </c>
      <c r="M1427" s="4" t="str">
        <f t="shared" si="340"/>
        <v>1000184670100018619710001898191000189270TAMARA</v>
      </c>
      <c r="N1427" s="28">
        <f>N1410*_xlfn.XLOOKUP($L1427,'Balizador da Meta'!$B$4:$B$21,'Balizador da Meta'!$C$4:$C$21)</f>
        <v>192</v>
      </c>
      <c r="O1427" s="28">
        <f>O1410*_xlfn.XLOOKUP($L1427,'Balizador da Meta'!$B$4:$B$21,'Balizador da Meta'!$C$4:$C$21)</f>
        <v>192</v>
      </c>
      <c r="P1427" s="28">
        <f>P1410*_xlfn.XLOOKUP($L1427,'Balizador da Meta'!$B$4:$B$21,'Balizador da Meta'!$C$4:$C$21)</f>
        <v>192</v>
      </c>
      <c r="Q1427" s="28">
        <f>Q1410*_xlfn.XLOOKUP($L1427,'Balizador da Meta'!$B$4:$B$21,'Balizador da Meta'!$C$4:$C$21)</f>
        <v>240</v>
      </c>
      <c r="R1427" s="28">
        <f>R1410*_xlfn.XLOOKUP($L1427,'Balizador da Meta'!$B$4:$B$21,'Balizador da Meta'!$C$4:$C$21)</f>
        <v>240</v>
      </c>
      <c r="S1427" s="28">
        <f>S1410*_xlfn.XLOOKUP($L1427,'Balizador da Meta'!$B$4:$B$21,'Balizador da Meta'!$C$4:$C$21)</f>
        <v>240</v>
      </c>
      <c r="T1427" s="28">
        <f>T1410*_xlfn.XLOOKUP($L1427,'Balizador da Meta'!$B$4:$B$21,'Balizador da Meta'!$C$4:$C$21)</f>
        <v>240</v>
      </c>
      <c r="U1427" s="28">
        <f>U1410*_xlfn.XLOOKUP($L1427,'Balizador da Meta'!$B$4:$B$21,'Balizador da Meta'!$C$4:$C$21)</f>
        <v>240</v>
      </c>
      <c r="V1427" s="28">
        <f>V1410*_xlfn.XLOOKUP($L1427,'Balizador da Meta'!$B$4:$B$21,'Balizador da Meta'!$C$4:$C$21)</f>
        <v>288</v>
      </c>
      <c r="W1427" s="28">
        <f>W1410*_xlfn.XLOOKUP($L1427,'Balizador da Meta'!$B$4:$B$21,'Balizador da Meta'!$C$4:$C$21)</f>
        <v>288</v>
      </c>
      <c r="X1427" s="28">
        <f>X1410*_xlfn.XLOOKUP($L1427,'Balizador da Meta'!$B$4:$B$21,'Balizador da Meta'!$C$4:$C$21)</f>
        <v>288</v>
      </c>
      <c r="Y1427" s="28">
        <f>Y1410*_xlfn.XLOOKUP($L1427,'Balizador da Meta'!$B$4:$B$21,'Balizador da Meta'!$C$4:$C$21)</f>
        <v>288</v>
      </c>
      <c r="Z1427" s="30">
        <f t="shared" si="339"/>
        <v>2928</v>
      </c>
      <c r="AA1427" s="29"/>
      <c r="AB1427" s="31">
        <f>SUMIFS('Historico - FAT'!AK:AK,'Historico - FAT'!$K:$K,Faturamento!$L1427,'Historico - FAT'!$I:$I,Faturamento!$J1427,'Historico - FAT'!$G:$G,Faturamento!$H1427)</f>
        <v>0</v>
      </c>
      <c r="AC1427" s="31">
        <f>SUMIFS('Historico - FAT'!AL:AL,'Historico - FAT'!$K:$K,Faturamento!$L1427,'Historico - FAT'!$I:$I,Faturamento!$J1427,'Historico - FAT'!$G:$G,Faturamento!$H1427)</f>
        <v>23.87</v>
      </c>
      <c r="AD1427" s="31">
        <f>SUMIFS('Historico - FAT'!AM:AM,'Historico - FAT'!$K:$K,Faturamento!$L1427,'Historico - FAT'!$I:$I,Faturamento!$J1427,'Historico - FAT'!$G:$G,Faturamento!$H1427)</f>
        <v>47.74</v>
      </c>
      <c r="AE1427" s="27">
        <f>SUMIFS('Historico - FAT'!AN:AN,'Historico - FAT'!$K:$K,Faturamento!$L1427,'Historico - FAT'!$I:$I,Faturamento!$J1427,'Historico - FAT'!$G:$G,Faturamento!$H1427)</f>
        <v>28.643999999999998</v>
      </c>
      <c r="AG1427" s="24">
        <f t="shared" si="334"/>
        <v>1</v>
      </c>
      <c r="AH1427" s="24">
        <f t="shared" si="335"/>
        <v>0.91711805555555559</v>
      </c>
      <c r="AI1427" s="24">
        <f t="shared" si="336"/>
        <v>0.83423611111111107</v>
      </c>
    </row>
    <row r="1428" spans="1:35" hidden="1" x14ac:dyDescent="0.3">
      <c r="A1428" s="2" t="str">
        <f t="shared" si="333"/>
        <v>NÃO</v>
      </c>
      <c r="B1428" s="2">
        <v>1000184670</v>
      </c>
      <c r="C1428" s="2" t="s">
        <v>147</v>
      </c>
      <c r="D1428" s="4">
        <v>1000186197</v>
      </c>
      <c r="E1428" s="4" t="s">
        <v>166</v>
      </c>
      <c r="F1428" s="2">
        <v>1000184764</v>
      </c>
      <c r="G1428" s="2" t="s">
        <v>70</v>
      </c>
      <c r="H1428" s="4">
        <v>1000189819</v>
      </c>
      <c r="I1428" s="4" t="s">
        <v>74</v>
      </c>
      <c r="J1428" s="2">
        <v>1000189270</v>
      </c>
      <c r="K1428" s="2" t="s">
        <v>34</v>
      </c>
      <c r="L1428" s="4" t="s">
        <v>25</v>
      </c>
      <c r="M1428" s="4" t="str">
        <f t="shared" si="340"/>
        <v>1000184670100018619710001898191000189270VICCIO</v>
      </c>
      <c r="N1428" s="28">
        <f>N1410*_xlfn.XLOOKUP($L1428,'Balizador da Meta'!$B$4:$B$21,'Balizador da Meta'!$C$4:$C$21)</f>
        <v>72</v>
      </c>
      <c r="O1428" s="28">
        <f>O1410*_xlfn.XLOOKUP($L1428,'Balizador da Meta'!$B$4:$B$21,'Balizador da Meta'!$C$4:$C$21)</f>
        <v>72</v>
      </c>
      <c r="P1428" s="28">
        <f>P1410*_xlfn.XLOOKUP($L1428,'Balizador da Meta'!$B$4:$B$21,'Balizador da Meta'!$C$4:$C$21)</f>
        <v>72</v>
      </c>
      <c r="Q1428" s="28">
        <f>Q1410*_xlfn.XLOOKUP($L1428,'Balizador da Meta'!$B$4:$B$21,'Balizador da Meta'!$C$4:$C$21)</f>
        <v>90</v>
      </c>
      <c r="R1428" s="28">
        <f>R1410*_xlfn.XLOOKUP($L1428,'Balizador da Meta'!$B$4:$B$21,'Balizador da Meta'!$C$4:$C$21)</f>
        <v>90</v>
      </c>
      <c r="S1428" s="28">
        <f>S1410*_xlfn.XLOOKUP($L1428,'Balizador da Meta'!$B$4:$B$21,'Balizador da Meta'!$C$4:$C$21)</f>
        <v>90</v>
      </c>
      <c r="T1428" s="28">
        <f>T1410*_xlfn.XLOOKUP($L1428,'Balizador da Meta'!$B$4:$B$21,'Balizador da Meta'!$C$4:$C$21)</f>
        <v>90</v>
      </c>
      <c r="U1428" s="28">
        <f>U1410*_xlfn.XLOOKUP($L1428,'Balizador da Meta'!$B$4:$B$21,'Balizador da Meta'!$C$4:$C$21)</f>
        <v>90</v>
      </c>
      <c r="V1428" s="28">
        <f>V1410*_xlfn.XLOOKUP($L1428,'Balizador da Meta'!$B$4:$B$21,'Balizador da Meta'!$C$4:$C$21)</f>
        <v>108</v>
      </c>
      <c r="W1428" s="28">
        <f>W1410*_xlfn.XLOOKUP($L1428,'Balizador da Meta'!$B$4:$B$21,'Balizador da Meta'!$C$4:$C$21)</f>
        <v>108</v>
      </c>
      <c r="X1428" s="28">
        <f>X1410*_xlfn.XLOOKUP($L1428,'Balizador da Meta'!$B$4:$B$21,'Balizador da Meta'!$C$4:$C$21)</f>
        <v>108</v>
      </c>
      <c r="Y1428" s="28">
        <f>Y1410*_xlfn.XLOOKUP($L1428,'Balizador da Meta'!$B$4:$B$21,'Balizador da Meta'!$C$4:$C$21)</f>
        <v>108</v>
      </c>
      <c r="Z1428" s="30">
        <f t="shared" si="339"/>
        <v>1098</v>
      </c>
      <c r="AA1428" s="29"/>
      <c r="AB1428" s="31">
        <f>SUMIFS('Historico - FAT'!AK:AK,'Historico - FAT'!$K:$K,Faturamento!$L1428,'Historico - FAT'!$I:$I,Faturamento!$J1428,'Historico - FAT'!$G:$G,Faturamento!$H1428)</f>
        <v>0</v>
      </c>
      <c r="AC1428" s="31">
        <f>SUMIFS('Historico - FAT'!AL:AL,'Historico - FAT'!$K:$K,Faturamento!$L1428,'Historico - FAT'!$I:$I,Faturamento!$J1428,'Historico - FAT'!$G:$G,Faturamento!$H1428)</f>
        <v>7.4249999999999998</v>
      </c>
      <c r="AD1428" s="31">
        <f>SUMIFS('Historico - FAT'!AM:AM,'Historico - FAT'!$K:$K,Faturamento!$L1428,'Historico - FAT'!$I:$I,Faturamento!$J1428,'Historico - FAT'!$G:$G,Faturamento!$H1428)</f>
        <v>14.85</v>
      </c>
      <c r="AE1428" s="27">
        <f>SUMIFS('Historico - FAT'!AN:AN,'Historico - FAT'!$K:$K,Faturamento!$L1428,'Historico - FAT'!$I:$I,Faturamento!$J1428,'Historico - FAT'!$G:$G,Faturamento!$H1428)</f>
        <v>8.91</v>
      </c>
      <c r="AG1428" s="24">
        <f t="shared" si="334"/>
        <v>1</v>
      </c>
      <c r="AH1428" s="24">
        <f t="shared" si="335"/>
        <v>0.93125000000000002</v>
      </c>
      <c r="AI1428" s="24">
        <f t="shared" si="336"/>
        <v>0.86250000000000004</v>
      </c>
    </row>
    <row r="1429" spans="1:35" x14ac:dyDescent="0.3">
      <c r="A1429" s="2" t="str">
        <f t="shared" si="333"/>
        <v>SIM</v>
      </c>
      <c r="B1429" s="2">
        <v>1000184670</v>
      </c>
      <c r="C1429" s="2" t="s">
        <v>147</v>
      </c>
      <c r="D1429" s="4">
        <v>1000186197</v>
      </c>
      <c r="E1429" s="4" t="s">
        <v>166</v>
      </c>
      <c r="F1429" s="2">
        <v>1000184764</v>
      </c>
      <c r="G1429" s="2" t="s">
        <v>70</v>
      </c>
      <c r="H1429" s="4">
        <v>1000189820</v>
      </c>
      <c r="I1429" s="4" t="s">
        <v>114</v>
      </c>
      <c r="J1429" s="2">
        <v>1000189270</v>
      </c>
      <c r="K1429" s="2" t="s">
        <v>34</v>
      </c>
      <c r="L1429" s="4" t="s">
        <v>124</v>
      </c>
      <c r="M1429" s="4" t="str">
        <f t="shared" si="340"/>
        <v>100018467010001861971000189820100018927001. TOTAL</v>
      </c>
      <c r="N1429" s="28">
        <f>SUMIFS(Positivação!L:L,Positivação!$I:$I,Faturamento!$J1429,Positivação!$G:$G,Faturamento!$H1429)*SUMIFS(Positivação!$Z:$Z,Positivação!$I:$I,Faturamento!$J1429,Positivação!$G:$G,Faturamento!$H1429)</f>
        <v>3000</v>
      </c>
      <c r="O1429" s="28">
        <f>SUMIFS(Positivação!M:M,Positivação!$I:$I,Faturamento!$J1429,Positivação!$G:$G,Faturamento!$H1429)*SUMIFS(Positivação!$Z:$Z,Positivação!$I:$I,Faturamento!$J1429,Positivação!$G:$G,Faturamento!$H1429)</f>
        <v>3600</v>
      </c>
      <c r="P1429" s="28">
        <f>SUMIFS(Positivação!N:N,Positivação!$I:$I,Faturamento!$J1429,Positivação!$G:$G,Faturamento!$H1429)*SUMIFS(Positivação!$Z:$Z,Positivação!$I:$I,Faturamento!$J1429,Positivação!$G:$G,Faturamento!$H1429)</f>
        <v>3600</v>
      </c>
      <c r="Q1429" s="28">
        <f>SUMIFS(Positivação!O:O,Positivação!$I:$I,Faturamento!$J1429,Positivação!$G:$G,Faturamento!$H1429)*SUMIFS(Positivação!$Z:$Z,Positivação!$I:$I,Faturamento!$J1429,Positivação!$G:$G,Faturamento!$H1429)</f>
        <v>3600</v>
      </c>
      <c r="R1429" s="28">
        <f>SUMIFS(Positivação!P:P,Positivação!$I:$I,Faturamento!$J1429,Positivação!$G:$G,Faturamento!$H1429)*SUMIFS(Positivação!$Z:$Z,Positivação!$I:$I,Faturamento!$J1429,Positivação!$G:$G,Faturamento!$H1429)</f>
        <v>3600</v>
      </c>
      <c r="S1429" s="28">
        <f>SUMIFS(Positivação!Q:Q,Positivação!$I:$I,Faturamento!$J1429,Positivação!$G:$G,Faturamento!$H1429)*SUMIFS(Positivação!$Z:$Z,Positivação!$I:$I,Faturamento!$J1429,Positivação!$G:$G,Faturamento!$H1429)</f>
        <v>3600</v>
      </c>
      <c r="T1429" s="28">
        <f>SUMIFS(Positivação!R:R,Positivação!$I:$I,Faturamento!$J1429,Positivação!$G:$G,Faturamento!$H1429)*SUMIFS(Positivação!$Z:$Z,Positivação!$I:$I,Faturamento!$J1429,Positivação!$G:$G,Faturamento!$H1429)</f>
        <v>4200</v>
      </c>
      <c r="U1429" s="28">
        <f>SUMIFS(Positivação!S:S,Positivação!$I:$I,Faturamento!$J1429,Positivação!$G:$G,Faturamento!$H1429)*SUMIFS(Positivação!$Z:$Z,Positivação!$I:$I,Faturamento!$J1429,Positivação!$G:$G,Faturamento!$H1429)</f>
        <v>4200</v>
      </c>
      <c r="V1429" s="28">
        <f>SUMIFS(Positivação!T:T,Positivação!$I:$I,Faturamento!$J1429,Positivação!$G:$G,Faturamento!$H1429)*SUMIFS(Positivação!$Z:$Z,Positivação!$I:$I,Faturamento!$J1429,Positivação!$G:$G,Faturamento!$H1429)</f>
        <v>4200</v>
      </c>
      <c r="W1429" s="28">
        <f>SUMIFS(Positivação!U:U,Positivação!$I:$I,Faturamento!$J1429,Positivação!$G:$G,Faturamento!$H1429)*SUMIFS(Positivação!$Z:$Z,Positivação!$I:$I,Faturamento!$J1429,Positivação!$G:$G,Faturamento!$H1429)</f>
        <v>4200</v>
      </c>
      <c r="X1429" s="28">
        <f>SUMIFS(Positivação!V:V,Positivação!$I:$I,Faturamento!$J1429,Positivação!$G:$G,Faturamento!$H1429)*SUMIFS(Positivação!$Z:$Z,Positivação!$I:$I,Faturamento!$J1429,Positivação!$G:$G,Faturamento!$H1429)</f>
        <v>4200</v>
      </c>
      <c r="Y1429" s="28">
        <f>SUMIFS(Positivação!W:W,Positivação!$I:$I,Faturamento!$J1429,Positivação!$G:$G,Faturamento!$H1429)*SUMIFS(Positivação!$Z:$Z,Positivação!$I:$I,Faturamento!$J1429,Positivação!$G:$G,Faturamento!$H1429)</f>
        <v>4800</v>
      </c>
      <c r="Z1429" s="28">
        <f t="shared" ref="Z1429" si="341">SUM(Z1430:Z1447)</f>
        <v>46800</v>
      </c>
      <c r="AA1429" s="29"/>
      <c r="AB1429" s="28">
        <f t="shared" ref="AB1429:AE1429" si="342">SUM(AB1430:AB1447)</f>
        <v>4641.4874999999993</v>
      </c>
      <c r="AC1429" s="28">
        <f t="shared" si="342"/>
        <v>3830.5266666666666</v>
      </c>
      <c r="AD1429" s="28">
        <f t="shared" si="342"/>
        <v>5814.1533333333336</v>
      </c>
      <c r="AE1429" s="28">
        <f t="shared" si="342"/>
        <v>4596.6320000000014</v>
      </c>
      <c r="AG1429" s="24">
        <f t="shared" si="334"/>
        <v>-5.4883522727272559E-2</v>
      </c>
      <c r="AH1429" s="24">
        <f t="shared" si="335"/>
        <v>0.12942575757575758</v>
      </c>
      <c r="AI1429" s="24">
        <f t="shared" si="336"/>
        <v>-0.32139848484848493</v>
      </c>
    </row>
    <row r="1430" spans="1:35" hidden="1" x14ac:dyDescent="0.3">
      <c r="A1430" s="2" t="str">
        <f t="shared" si="333"/>
        <v>NÃO</v>
      </c>
      <c r="B1430" s="2">
        <v>1000184670</v>
      </c>
      <c r="C1430" s="2" t="s">
        <v>147</v>
      </c>
      <c r="D1430" s="4">
        <v>1000186197</v>
      </c>
      <c r="E1430" s="4" t="s">
        <v>166</v>
      </c>
      <c r="F1430" s="2">
        <v>1000184764</v>
      </c>
      <c r="G1430" s="2" t="s">
        <v>70</v>
      </c>
      <c r="H1430" s="4">
        <v>1000189820</v>
      </c>
      <c r="I1430" s="4" t="s">
        <v>114</v>
      </c>
      <c r="J1430" s="2">
        <v>1000189270</v>
      </c>
      <c r="K1430" s="2" t="s">
        <v>34</v>
      </c>
      <c r="L1430" s="4" t="s">
        <v>13</v>
      </c>
      <c r="M1430" s="4" t="str">
        <f t="shared" si="340"/>
        <v>1000184670100018619710001898201000189270BISCOITO</v>
      </c>
      <c r="N1430" s="28">
        <f>N1429*_xlfn.XLOOKUP($L1430,'Balizador da Meta'!$B$4:$B$21,'Balizador da Meta'!$C$4:$C$21)</f>
        <v>210.00000000000003</v>
      </c>
      <c r="O1430" s="28">
        <f>O1429*_xlfn.XLOOKUP($L1430,'Balizador da Meta'!$B$4:$B$21,'Balizador da Meta'!$C$4:$C$21)</f>
        <v>252.00000000000003</v>
      </c>
      <c r="P1430" s="28">
        <f>P1429*_xlfn.XLOOKUP($L1430,'Balizador da Meta'!$B$4:$B$21,'Balizador da Meta'!$C$4:$C$21)</f>
        <v>252.00000000000003</v>
      </c>
      <c r="Q1430" s="28">
        <f>Q1429*_xlfn.XLOOKUP($L1430,'Balizador da Meta'!$B$4:$B$21,'Balizador da Meta'!$C$4:$C$21)</f>
        <v>252.00000000000003</v>
      </c>
      <c r="R1430" s="28">
        <f>R1429*_xlfn.XLOOKUP($L1430,'Balizador da Meta'!$B$4:$B$21,'Balizador da Meta'!$C$4:$C$21)</f>
        <v>252.00000000000003</v>
      </c>
      <c r="S1430" s="28">
        <f>S1429*_xlfn.XLOOKUP($L1430,'Balizador da Meta'!$B$4:$B$21,'Balizador da Meta'!$C$4:$C$21)</f>
        <v>252.00000000000003</v>
      </c>
      <c r="T1430" s="28">
        <f>T1429*_xlfn.XLOOKUP($L1430,'Balizador da Meta'!$B$4:$B$21,'Balizador da Meta'!$C$4:$C$21)</f>
        <v>294</v>
      </c>
      <c r="U1430" s="28">
        <f>U1429*_xlfn.XLOOKUP($L1430,'Balizador da Meta'!$B$4:$B$21,'Balizador da Meta'!$C$4:$C$21)</f>
        <v>294</v>
      </c>
      <c r="V1430" s="28">
        <f>V1429*_xlfn.XLOOKUP($L1430,'Balizador da Meta'!$B$4:$B$21,'Balizador da Meta'!$C$4:$C$21)</f>
        <v>294</v>
      </c>
      <c r="W1430" s="28">
        <f>W1429*_xlfn.XLOOKUP($L1430,'Balizador da Meta'!$B$4:$B$21,'Balizador da Meta'!$C$4:$C$21)</f>
        <v>294</v>
      </c>
      <c r="X1430" s="28">
        <f>X1429*_xlfn.XLOOKUP($L1430,'Balizador da Meta'!$B$4:$B$21,'Balizador da Meta'!$C$4:$C$21)</f>
        <v>294</v>
      </c>
      <c r="Y1430" s="28">
        <f>Y1429*_xlfn.XLOOKUP($L1430,'Balizador da Meta'!$B$4:$B$21,'Balizador da Meta'!$C$4:$C$21)</f>
        <v>336.00000000000006</v>
      </c>
      <c r="Z1430" s="30">
        <f t="shared" ref="Z1430:Z1447" si="343">SUM(N1430:Y1430)</f>
        <v>3276</v>
      </c>
      <c r="AA1430" s="29"/>
      <c r="AB1430" s="31">
        <f>SUMIFS('Historico - FAT'!AK:AK,'Historico - FAT'!$K:$K,Faturamento!$L1430,'Historico - FAT'!$I:$I,Faturamento!$J1430,'Historico - FAT'!$G:$G,Faturamento!$H1430)</f>
        <v>583.63333333333333</v>
      </c>
      <c r="AC1430" s="31">
        <f>SUMIFS('Historico - FAT'!AL:AL,'Historico - FAT'!$K:$K,Faturamento!$L1430,'Historico - FAT'!$I:$I,Faturamento!$J1430,'Historico - FAT'!$G:$G,Faturamento!$H1430)</f>
        <v>72.445000000000007</v>
      </c>
      <c r="AD1430" s="31">
        <f>SUMIFS('Historico - FAT'!AM:AM,'Historico - FAT'!$K:$K,Faturamento!$L1430,'Historico - FAT'!$I:$I,Faturamento!$J1430,'Historico - FAT'!$G:$G,Faturamento!$H1430)</f>
        <v>77.399999999999991</v>
      </c>
      <c r="AE1430" s="27">
        <f>SUMIFS('Historico - FAT'!AN:AN,'Historico - FAT'!$K:$K,Faturamento!$L1430,'Historico - FAT'!$I:$I,Faturamento!$J1430,'Historico - FAT'!$G:$G,Faturamento!$H1430)</f>
        <v>86.933999999999997</v>
      </c>
      <c r="AG1430" s="24">
        <f t="shared" si="334"/>
        <v>-0.89491341991341988</v>
      </c>
      <c r="AH1430" s="24">
        <f t="shared" si="335"/>
        <v>0.7647889610389611</v>
      </c>
      <c r="AI1430" s="24">
        <f t="shared" si="336"/>
        <v>0.74870129870129876</v>
      </c>
    </row>
    <row r="1431" spans="1:35" hidden="1" x14ac:dyDescent="0.3">
      <c r="A1431" s="2" t="str">
        <f t="shared" si="333"/>
        <v>NÃO</v>
      </c>
      <c r="B1431" s="2">
        <v>1000184670</v>
      </c>
      <c r="C1431" s="2" t="s">
        <v>147</v>
      </c>
      <c r="D1431" s="4">
        <v>1000186197</v>
      </c>
      <c r="E1431" s="4" t="s">
        <v>166</v>
      </c>
      <c r="F1431" s="2">
        <v>1000184764</v>
      </c>
      <c r="G1431" s="2" t="s">
        <v>70</v>
      </c>
      <c r="H1431" s="4">
        <v>1000189820</v>
      </c>
      <c r="I1431" s="4" t="s">
        <v>114</v>
      </c>
      <c r="J1431" s="2">
        <v>1000189270</v>
      </c>
      <c r="K1431" s="2" t="s">
        <v>34</v>
      </c>
      <c r="L1431" s="4" t="s">
        <v>14</v>
      </c>
      <c r="M1431" s="4" t="str">
        <f t="shared" si="340"/>
        <v>1000184670100018619710001898201000189270CHOCOLATES</v>
      </c>
      <c r="N1431" s="28">
        <f>N1429*_xlfn.XLOOKUP($L1431,'Balizador da Meta'!$B$4:$B$21,'Balizador da Meta'!$C$4:$C$21)</f>
        <v>210.00000000000003</v>
      </c>
      <c r="O1431" s="28">
        <f>O1429*_xlfn.XLOOKUP($L1431,'Balizador da Meta'!$B$4:$B$21,'Balizador da Meta'!$C$4:$C$21)</f>
        <v>252.00000000000003</v>
      </c>
      <c r="P1431" s="28">
        <f>P1429*_xlfn.XLOOKUP($L1431,'Balizador da Meta'!$B$4:$B$21,'Balizador da Meta'!$C$4:$C$21)</f>
        <v>252.00000000000003</v>
      </c>
      <c r="Q1431" s="28">
        <f>Q1429*_xlfn.XLOOKUP($L1431,'Balizador da Meta'!$B$4:$B$21,'Balizador da Meta'!$C$4:$C$21)</f>
        <v>252.00000000000003</v>
      </c>
      <c r="R1431" s="28">
        <f>R1429*_xlfn.XLOOKUP($L1431,'Balizador da Meta'!$B$4:$B$21,'Balizador da Meta'!$C$4:$C$21)</f>
        <v>252.00000000000003</v>
      </c>
      <c r="S1431" s="28">
        <f>S1429*_xlfn.XLOOKUP($L1431,'Balizador da Meta'!$B$4:$B$21,'Balizador da Meta'!$C$4:$C$21)</f>
        <v>252.00000000000003</v>
      </c>
      <c r="T1431" s="28">
        <f>T1429*_xlfn.XLOOKUP($L1431,'Balizador da Meta'!$B$4:$B$21,'Balizador da Meta'!$C$4:$C$21)</f>
        <v>294</v>
      </c>
      <c r="U1431" s="28">
        <f>U1429*_xlfn.XLOOKUP($L1431,'Balizador da Meta'!$B$4:$B$21,'Balizador da Meta'!$C$4:$C$21)</f>
        <v>294</v>
      </c>
      <c r="V1431" s="28">
        <f>V1429*_xlfn.XLOOKUP($L1431,'Balizador da Meta'!$B$4:$B$21,'Balizador da Meta'!$C$4:$C$21)</f>
        <v>294</v>
      </c>
      <c r="W1431" s="28">
        <f>W1429*_xlfn.XLOOKUP($L1431,'Balizador da Meta'!$B$4:$B$21,'Balizador da Meta'!$C$4:$C$21)</f>
        <v>294</v>
      </c>
      <c r="X1431" s="28">
        <f>X1429*_xlfn.XLOOKUP($L1431,'Balizador da Meta'!$B$4:$B$21,'Balizador da Meta'!$C$4:$C$21)</f>
        <v>294</v>
      </c>
      <c r="Y1431" s="28">
        <f>Y1429*_xlfn.XLOOKUP($L1431,'Balizador da Meta'!$B$4:$B$21,'Balizador da Meta'!$C$4:$C$21)</f>
        <v>336.00000000000006</v>
      </c>
      <c r="Z1431" s="30">
        <f t="shared" si="343"/>
        <v>3276</v>
      </c>
      <c r="AA1431" s="29"/>
      <c r="AB1431" s="31">
        <f>SUMIFS('Historico - FAT'!AK:AK,'Historico - FAT'!$K:$K,Faturamento!$L1431,'Historico - FAT'!$I:$I,Faturamento!$J1431,'Historico - FAT'!$G:$G,Faturamento!$H1431)</f>
        <v>919.09833333333336</v>
      </c>
      <c r="AC1431" s="31">
        <f>SUMIFS('Historico - FAT'!AL:AL,'Historico - FAT'!$K:$K,Faturamento!$L1431,'Historico - FAT'!$I:$I,Faturamento!$J1431,'Historico - FAT'!$G:$G,Faturamento!$H1431)</f>
        <v>362.16499999999996</v>
      </c>
      <c r="AD1431" s="31">
        <f>SUMIFS('Historico - FAT'!AM:AM,'Historico - FAT'!$K:$K,Faturamento!$L1431,'Historico - FAT'!$I:$I,Faturamento!$J1431,'Historico - FAT'!$G:$G,Faturamento!$H1431)</f>
        <v>362.48333333333335</v>
      </c>
      <c r="AE1431" s="27">
        <f>SUMIFS('Historico - FAT'!AN:AN,'Historico - FAT'!$K:$K,Faturamento!$L1431,'Historico - FAT'!$I:$I,Faturamento!$J1431,'Historico - FAT'!$G:$G,Faturamento!$H1431)</f>
        <v>434.59799999999996</v>
      </c>
      <c r="AG1431" s="24">
        <f t="shared" si="334"/>
        <v>-1.9840854978354978</v>
      </c>
      <c r="AH1431" s="24">
        <f t="shared" si="335"/>
        <v>-0.17586038961038949</v>
      </c>
      <c r="AI1431" s="24">
        <f t="shared" si="336"/>
        <v>-0.17689393939393944</v>
      </c>
    </row>
    <row r="1432" spans="1:35" hidden="1" x14ac:dyDescent="0.3">
      <c r="A1432" s="2" t="str">
        <f t="shared" si="333"/>
        <v>NÃO</v>
      </c>
      <c r="B1432" s="2">
        <v>1000184670</v>
      </c>
      <c r="C1432" s="2" t="s">
        <v>147</v>
      </c>
      <c r="D1432" s="4">
        <v>1000186197</v>
      </c>
      <c r="E1432" s="4" t="s">
        <v>166</v>
      </c>
      <c r="F1432" s="2">
        <v>1000184764</v>
      </c>
      <c r="G1432" s="2" t="s">
        <v>70</v>
      </c>
      <c r="H1432" s="4">
        <v>1000189820</v>
      </c>
      <c r="I1432" s="4" t="s">
        <v>114</v>
      </c>
      <c r="J1432" s="2">
        <v>1000189270</v>
      </c>
      <c r="K1432" s="2" t="s">
        <v>34</v>
      </c>
      <c r="L1432" s="4" t="s">
        <v>16</v>
      </c>
      <c r="M1432" s="4" t="str">
        <f t="shared" si="340"/>
        <v>1000184670100018619710001898201000189270DISNEY</v>
      </c>
      <c r="N1432" s="28">
        <f>N1429*_xlfn.XLOOKUP($L1432,'Balizador da Meta'!$B$4:$B$21,'Balizador da Meta'!$C$4:$C$21)</f>
        <v>240</v>
      </c>
      <c r="O1432" s="28">
        <f>O1429*_xlfn.XLOOKUP($L1432,'Balizador da Meta'!$B$4:$B$21,'Balizador da Meta'!$C$4:$C$21)</f>
        <v>288</v>
      </c>
      <c r="P1432" s="28">
        <f>P1429*_xlfn.XLOOKUP($L1432,'Balizador da Meta'!$B$4:$B$21,'Balizador da Meta'!$C$4:$C$21)</f>
        <v>288</v>
      </c>
      <c r="Q1432" s="28">
        <f>Q1429*_xlfn.XLOOKUP($L1432,'Balizador da Meta'!$B$4:$B$21,'Balizador da Meta'!$C$4:$C$21)</f>
        <v>288</v>
      </c>
      <c r="R1432" s="28">
        <f>R1429*_xlfn.XLOOKUP($L1432,'Balizador da Meta'!$B$4:$B$21,'Balizador da Meta'!$C$4:$C$21)</f>
        <v>288</v>
      </c>
      <c r="S1432" s="28">
        <f>S1429*_xlfn.XLOOKUP($L1432,'Balizador da Meta'!$B$4:$B$21,'Balizador da Meta'!$C$4:$C$21)</f>
        <v>288</v>
      </c>
      <c r="T1432" s="28">
        <f>T1429*_xlfn.XLOOKUP($L1432,'Balizador da Meta'!$B$4:$B$21,'Balizador da Meta'!$C$4:$C$21)</f>
        <v>336</v>
      </c>
      <c r="U1432" s="28">
        <f>U1429*_xlfn.XLOOKUP($L1432,'Balizador da Meta'!$B$4:$B$21,'Balizador da Meta'!$C$4:$C$21)</f>
        <v>336</v>
      </c>
      <c r="V1432" s="28">
        <f>V1429*_xlfn.XLOOKUP($L1432,'Balizador da Meta'!$B$4:$B$21,'Balizador da Meta'!$C$4:$C$21)</f>
        <v>336</v>
      </c>
      <c r="W1432" s="28">
        <f>W1429*_xlfn.XLOOKUP($L1432,'Balizador da Meta'!$B$4:$B$21,'Balizador da Meta'!$C$4:$C$21)</f>
        <v>336</v>
      </c>
      <c r="X1432" s="28">
        <f>X1429*_xlfn.XLOOKUP($L1432,'Balizador da Meta'!$B$4:$B$21,'Balizador da Meta'!$C$4:$C$21)</f>
        <v>336</v>
      </c>
      <c r="Y1432" s="28">
        <f>Y1429*_xlfn.XLOOKUP($L1432,'Balizador da Meta'!$B$4:$B$21,'Balizador da Meta'!$C$4:$C$21)</f>
        <v>384</v>
      </c>
      <c r="Z1432" s="30">
        <f t="shared" si="343"/>
        <v>3744</v>
      </c>
      <c r="AA1432" s="29"/>
      <c r="AB1432" s="31">
        <f>SUMIFS('Historico - FAT'!AK:AK,'Historico - FAT'!$K:$K,Faturamento!$L1432,'Historico - FAT'!$I:$I,Faturamento!$J1432,'Historico - FAT'!$G:$G,Faturamento!$H1432)</f>
        <v>48.777499999999996</v>
      </c>
      <c r="AC1432" s="31">
        <f>SUMIFS('Historico - FAT'!AL:AL,'Historico - FAT'!$K:$K,Faturamento!$L1432,'Historico - FAT'!$I:$I,Faturamento!$J1432,'Historico - FAT'!$G:$G,Faturamento!$H1432)</f>
        <v>110.38166666666667</v>
      </c>
      <c r="AD1432" s="31">
        <f>SUMIFS('Historico - FAT'!AM:AM,'Historico - FAT'!$K:$K,Faturamento!$L1432,'Historico - FAT'!$I:$I,Faturamento!$J1432,'Historico - FAT'!$G:$G,Faturamento!$H1432)</f>
        <v>201.22166666666666</v>
      </c>
      <c r="AE1432" s="27">
        <f>SUMIFS('Historico - FAT'!AN:AN,'Historico - FAT'!$K:$K,Faturamento!$L1432,'Historico - FAT'!$I:$I,Faturamento!$J1432,'Historico - FAT'!$G:$G,Faturamento!$H1432)</f>
        <v>132.45800000000003</v>
      </c>
      <c r="AG1432" s="24">
        <f t="shared" si="334"/>
        <v>0.86142755681818184</v>
      </c>
      <c r="AH1432" s="24">
        <f t="shared" si="335"/>
        <v>0.68641571969696968</v>
      </c>
      <c r="AI1432" s="24">
        <f t="shared" si="336"/>
        <v>0.42834753787878788</v>
      </c>
    </row>
    <row r="1433" spans="1:35" hidden="1" x14ac:dyDescent="0.3">
      <c r="A1433" s="2" t="str">
        <f t="shared" si="333"/>
        <v>NÃO</v>
      </c>
      <c r="B1433" s="2">
        <v>1000184670</v>
      </c>
      <c r="C1433" s="2" t="s">
        <v>147</v>
      </c>
      <c r="D1433" s="4">
        <v>1000186197</v>
      </c>
      <c r="E1433" s="4" t="s">
        <v>166</v>
      </c>
      <c r="F1433" s="2">
        <v>1000184764</v>
      </c>
      <c r="G1433" s="2" t="s">
        <v>70</v>
      </c>
      <c r="H1433" s="4">
        <v>1000189820</v>
      </c>
      <c r="I1433" s="4" t="s">
        <v>114</v>
      </c>
      <c r="J1433" s="2">
        <v>1000189270</v>
      </c>
      <c r="K1433" s="2" t="s">
        <v>34</v>
      </c>
      <c r="L1433" s="4" t="s">
        <v>15</v>
      </c>
      <c r="M1433" s="4" t="str">
        <f t="shared" si="340"/>
        <v>1000184670100018619710001898201000189270DOCES</v>
      </c>
      <c r="N1433" s="28">
        <f>N1429*_xlfn.XLOOKUP($L1433,'Balizador da Meta'!$B$4:$B$21,'Balizador da Meta'!$C$4:$C$21)</f>
        <v>270</v>
      </c>
      <c r="O1433" s="28">
        <f>O1429*_xlfn.XLOOKUP($L1433,'Balizador da Meta'!$B$4:$B$21,'Balizador da Meta'!$C$4:$C$21)</f>
        <v>324</v>
      </c>
      <c r="P1433" s="28">
        <f>P1429*_xlfn.XLOOKUP($L1433,'Balizador da Meta'!$B$4:$B$21,'Balizador da Meta'!$C$4:$C$21)</f>
        <v>324</v>
      </c>
      <c r="Q1433" s="28">
        <f>Q1429*_xlfn.XLOOKUP($L1433,'Balizador da Meta'!$B$4:$B$21,'Balizador da Meta'!$C$4:$C$21)</f>
        <v>324</v>
      </c>
      <c r="R1433" s="28">
        <f>R1429*_xlfn.XLOOKUP($L1433,'Balizador da Meta'!$B$4:$B$21,'Balizador da Meta'!$C$4:$C$21)</f>
        <v>324</v>
      </c>
      <c r="S1433" s="28">
        <f>S1429*_xlfn.XLOOKUP($L1433,'Balizador da Meta'!$B$4:$B$21,'Balizador da Meta'!$C$4:$C$21)</f>
        <v>324</v>
      </c>
      <c r="T1433" s="28">
        <f>T1429*_xlfn.XLOOKUP($L1433,'Balizador da Meta'!$B$4:$B$21,'Balizador da Meta'!$C$4:$C$21)</f>
        <v>378</v>
      </c>
      <c r="U1433" s="28">
        <f>U1429*_xlfn.XLOOKUP($L1433,'Balizador da Meta'!$B$4:$B$21,'Balizador da Meta'!$C$4:$C$21)</f>
        <v>378</v>
      </c>
      <c r="V1433" s="28">
        <f>V1429*_xlfn.XLOOKUP($L1433,'Balizador da Meta'!$B$4:$B$21,'Balizador da Meta'!$C$4:$C$21)</f>
        <v>378</v>
      </c>
      <c r="W1433" s="28">
        <f>W1429*_xlfn.XLOOKUP($L1433,'Balizador da Meta'!$B$4:$B$21,'Balizador da Meta'!$C$4:$C$21)</f>
        <v>378</v>
      </c>
      <c r="X1433" s="28">
        <f>X1429*_xlfn.XLOOKUP($L1433,'Balizador da Meta'!$B$4:$B$21,'Balizador da Meta'!$C$4:$C$21)</f>
        <v>378</v>
      </c>
      <c r="Y1433" s="28">
        <f>Y1429*_xlfn.XLOOKUP($L1433,'Balizador da Meta'!$B$4:$B$21,'Balizador da Meta'!$C$4:$C$21)</f>
        <v>432</v>
      </c>
      <c r="Z1433" s="30">
        <f t="shared" si="343"/>
        <v>4212</v>
      </c>
      <c r="AA1433" s="29"/>
      <c r="AB1433" s="31">
        <f>SUMIFS('Historico - FAT'!AK:AK,'Historico - FAT'!$K:$K,Faturamento!$L1433,'Historico - FAT'!$I:$I,Faturamento!$J1433,'Historico - FAT'!$G:$G,Faturamento!$H1433)</f>
        <v>553.15083333333325</v>
      </c>
      <c r="AC1433" s="31">
        <f>SUMIFS('Historico - FAT'!AL:AL,'Historico - FAT'!$K:$K,Faturamento!$L1433,'Historico - FAT'!$I:$I,Faturamento!$J1433,'Historico - FAT'!$G:$G,Faturamento!$H1433)</f>
        <v>438.68916666666672</v>
      </c>
      <c r="AD1433" s="31">
        <f>SUMIFS('Historico - FAT'!AM:AM,'Historico - FAT'!$K:$K,Faturamento!$L1433,'Historico - FAT'!$I:$I,Faturamento!$J1433,'Historico - FAT'!$G:$G,Faturamento!$H1433)</f>
        <v>697.67500000000007</v>
      </c>
      <c r="AE1433" s="27">
        <f>SUMIFS('Historico - FAT'!AN:AN,'Historico - FAT'!$K:$K,Faturamento!$L1433,'Historico - FAT'!$I:$I,Faturamento!$J1433,'Historico - FAT'!$G:$G,Faturamento!$H1433)</f>
        <v>526.42700000000002</v>
      </c>
      <c r="AG1433" s="24">
        <f t="shared" si="334"/>
        <v>-0.39684553872053852</v>
      </c>
      <c r="AH1433" s="24">
        <f t="shared" si="335"/>
        <v>-0.10780092592592606</v>
      </c>
      <c r="AI1433" s="24">
        <f t="shared" si="336"/>
        <v>-0.76180555555555574</v>
      </c>
    </row>
    <row r="1434" spans="1:35" hidden="1" x14ac:dyDescent="0.3">
      <c r="A1434" s="2" t="str">
        <f t="shared" si="333"/>
        <v>NÃO</v>
      </c>
      <c r="B1434" s="2">
        <v>1000184670</v>
      </c>
      <c r="C1434" s="2" t="s">
        <v>147</v>
      </c>
      <c r="D1434" s="4">
        <v>1000186197</v>
      </c>
      <c r="E1434" s="4" t="s">
        <v>166</v>
      </c>
      <c r="F1434" s="2">
        <v>1000184764</v>
      </c>
      <c r="G1434" s="2" t="s">
        <v>70</v>
      </c>
      <c r="H1434" s="4">
        <v>1000189820</v>
      </c>
      <c r="I1434" s="4" t="s">
        <v>114</v>
      </c>
      <c r="J1434" s="2">
        <v>1000189270</v>
      </c>
      <c r="K1434" s="2" t="s">
        <v>34</v>
      </c>
      <c r="L1434" s="4" t="s">
        <v>33</v>
      </c>
      <c r="M1434" s="4" t="str">
        <f t="shared" si="340"/>
        <v>1000184670100018619710001898201000189270FOOD SERVICE</v>
      </c>
      <c r="N1434" s="28">
        <f>N1429*_xlfn.XLOOKUP($L1434,'Balizador da Meta'!$B$4:$B$21,'Balizador da Meta'!$C$4:$C$21)</f>
        <v>0</v>
      </c>
      <c r="O1434" s="28">
        <f>O1429*_xlfn.XLOOKUP($L1434,'Balizador da Meta'!$B$4:$B$21,'Balizador da Meta'!$C$4:$C$21)</f>
        <v>0</v>
      </c>
      <c r="P1434" s="28">
        <f>P1429*_xlfn.XLOOKUP($L1434,'Balizador da Meta'!$B$4:$B$21,'Balizador da Meta'!$C$4:$C$21)</f>
        <v>0</v>
      </c>
      <c r="Q1434" s="28">
        <f>Q1429*_xlfn.XLOOKUP($L1434,'Balizador da Meta'!$B$4:$B$21,'Balizador da Meta'!$C$4:$C$21)</f>
        <v>0</v>
      </c>
      <c r="R1434" s="28">
        <f>R1429*_xlfn.XLOOKUP($L1434,'Balizador da Meta'!$B$4:$B$21,'Balizador da Meta'!$C$4:$C$21)</f>
        <v>0</v>
      </c>
      <c r="S1434" s="28">
        <f>S1429*_xlfn.XLOOKUP($L1434,'Balizador da Meta'!$B$4:$B$21,'Balizador da Meta'!$C$4:$C$21)</f>
        <v>0</v>
      </c>
      <c r="T1434" s="28">
        <f>T1429*_xlfn.XLOOKUP($L1434,'Balizador da Meta'!$B$4:$B$21,'Balizador da Meta'!$C$4:$C$21)</f>
        <v>0</v>
      </c>
      <c r="U1434" s="28">
        <f>U1429*_xlfn.XLOOKUP($L1434,'Balizador da Meta'!$B$4:$B$21,'Balizador da Meta'!$C$4:$C$21)</f>
        <v>0</v>
      </c>
      <c r="V1434" s="28">
        <f>V1429*_xlfn.XLOOKUP($L1434,'Balizador da Meta'!$B$4:$B$21,'Balizador da Meta'!$C$4:$C$21)</f>
        <v>0</v>
      </c>
      <c r="W1434" s="28">
        <f>W1429*_xlfn.XLOOKUP($L1434,'Balizador da Meta'!$B$4:$B$21,'Balizador da Meta'!$C$4:$C$21)</f>
        <v>0</v>
      </c>
      <c r="X1434" s="28">
        <f>X1429*_xlfn.XLOOKUP($L1434,'Balizador da Meta'!$B$4:$B$21,'Balizador da Meta'!$C$4:$C$21)</f>
        <v>0</v>
      </c>
      <c r="Y1434" s="28">
        <f>Y1429*_xlfn.XLOOKUP($L1434,'Balizador da Meta'!$B$4:$B$21,'Balizador da Meta'!$C$4:$C$21)</f>
        <v>0</v>
      </c>
      <c r="Z1434" s="30">
        <f t="shared" si="343"/>
        <v>0</v>
      </c>
      <c r="AA1434" s="29"/>
      <c r="AB1434" s="31">
        <f>SUMIFS('Historico - FAT'!AK:AK,'Historico - FAT'!$K:$K,Faturamento!$L1434,'Historico - FAT'!$I:$I,Faturamento!$J1434,'Historico - FAT'!$G:$G,Faturamento!$H1434)</f>
        <v>0</v>
      </c>
      <c r="AC1434" s="31">
        <f>SUMIFS('Historico - FAT'!AL:AL,'Historico - FAT'!$K:$K,Faturamento!$L1434,'Historico - FAT'!$I:$I,Faturamento!$J1434,'Historico - FAT'!$G:$G,Faturamento!$H1434)</f>
        <v>346.00166666666672</v>
      </c>
      <c r="AD1434" s="31">
        <f>SUMIFS('Historico - FAT'!AM:AM,'Historico - FAT'!$K:$K,Faturamento!$L1434,'Historico - FAT'!$I:$I,Faturamento!$J1434,'Historico - FAT'!$G:$G,Faturamento!$H1434)</f>
        <v>692.00333333333344</v>
      </c>
      <c r="AE1434" s="27">
        <f>SUMIFS('Historico - FAT'!AN:AN,'Historico - FAT'!$K:$K,Faturamento!$L1434,'Historico - FAT'!$I:$I,Faturamento!$J1434,'Historico - FAT'!$G:$G,Faturamento!$H1434)</f>
        <v>415.20200000000006</v>
      </c>
      <c r="AG1434" s="24" t="str">
        <f t="shared" si="334"/>
        <v/>
      </c>
      <c r="AH1434" s="24" t="str">
        <f t="shared" si="335"/>
        <v/>
      </c>
      <c r="AI1434" s="24" t="str">
        <f t="shared" si="336"/>
        <v/>
      </c>
    </row>
    <row r="1435" spans="1:35" hidden="1" x14ac:dyDescent="0.3">
      <c r="A1435" s="2" t="str">
        <f t="shared" si="333"/>
        <v>NÃO</v>
      </c>
      <c r="B1435" s="2">
        <v>1000184670</v>
      </c>
      <c r="C1435" s="2" t="s">
        <v>147</v>
      </c>
      <c r="D1435" s="4">
        <v>1000186197</v>
      </c>
      <c r="E1435" s="4" t="s">
        <v>166</v>
      </c>
      <c r="F1435" s="2">
        <v>1000184764</v>
      </c>
      <c r="G1435" s="2" t="s">
        <v>70</v>
      </c>
      <c r="H1435" s="4">
        <v>1000189820</v>
      </c>
      <c r="I1435" s="4" t="s">
        <v>114</v>
      </c>
      <c r="J1435" s="2">
        <v>1000189270</v>
      </c>
      <c r="K1435" s="2" t="s">
        <v>34</v>
      </c>
      <c r="L1435" s="4" t="s">
        <v>19</v>
      </c>
      <c r="M1435" s="4" t="str">
        <f t="shared" si="340"/>
        <v>1000184670100018619710001898201000189270GELEIA</v>
      </c>
      <c r="N1435" s="28">
        <f>N1429*_xlfn.XLOOKUP($L1435,'Balizador da Meta'!$B$4:$B$21,'Balizador da Meta'!$C$4:$C$21)</f>
        <v>59.999999999999993</v>
      </c>
      <c r="O1435" s="28">
        <f>O1429*_xlfn.XLOOKUP($L1435,'Balizador da Meta'!$B$4:$B$21,'Balizador da Meta'!$C$4:$C$21)</f>
        <v>71.999999999999986</v>
      </c>
      <c r="P1435" s="28">
        <f>P1429*_xlfn.XLOOKUP($L1435,'Balizador da Meta'!$B$4:$B$21,'Balizador da Meta'!$C$4:$C$21)</f>
        <v>71.999999999999986</v>
      </c>
      <c r="Q1435" s="28">
        <f>Q1429*_xlfn.XLOOKUP($L1435,'Balizador da Meta'!$B$4:$B$21,'Balizador da Meta'!$C$4:$C$21)</f>
        <v>71.999999999999986</v>
      </c>
      <c r="R1435" s="28">
        <f>R1429*_xlfn.XLOOKUP($L1435,'Balizador da Meta'!$B$4:$B$21,'Balizador da Meta'!$C$4:$C$21)</f>
        <v>71.999999999999986</v>
      </c>
      <c r="S1435" s="28">
        <f>S1429*_xlfn.XLOOKUP($L1435,'Balizador da Meta'!$B$4:$B$21,'Balizador da Meta'!$C$4:$C$21)</f>
        <v>71.999999999999986</v>
      </c>
      <c r="T1435" s="28">
        <f>T1429*_xlfn.XLOOKUP($L1435,'Balizador da Meta'!$B$4:$B$21,'Balizador da Meta'!$C$4:$C$21)</f>
        <v>83.999999999999986</v>
      </c>
      <c r="U1435" s="28">
        <f>U1429*_xlfn.XLOOKUP($L1435,'Balizador da Meta'!$B$4:$B$21,'Balizador da Meta'!$C$4:$C$21)</f>
        <v>83.999999999999986</v>
      </c>
      <c r="V1435" s="28">
        <f>V1429*_xlfn.XLOOKUP($L1435,'Balizador da Meta'!$B$4:$B$21,'Balizador da Meta'!$C$4:$C$21)</f>
        <v>83.999999999999986</v>
      </c>
      <c r="W1435" s="28">
        <f>W1429*_xlfn.XLOOKUP($L1435,'Balizador da Meta'!$B$4:$B$21,'Balizador da Meta'!$C$4:$C$21)</f>
        <v>83.999999999999986</v>
      </c>
      <c r="X1435" s="28">
        <f>X1429*_xlfn.XLOOKUP($L1435,'Balizador da Meta'!$B$4:$B$21,'Balizador da Meta'!$C$4:$C$21)</f>
        <v>83.999999999999986</v>
      </c>
      <c r="Y1435" s="28">
        <f>Y1429*_xlfn.XLOOKUP($L1435,'Balizador da Meta'!$B$4:$B$21,'Balizador da Meta'!$C$4:$C$21)</f>
        <v>95.999999999999986</v>
      </c>
      <c r="Z1435" s="30">
        <f t="shared" si="343"/>
        <v>935.99999999999989</v>
      </c>
      <c r="AA1435" s="29"/>
      <c r="AB1435" s="31">
        <f>SUMIFS('Historico - FAT'!AK:AK,'Historico - FAT'!$K:$K,Faturamento!$L1435,'Historico - FAT'!$I:$I,Faturamento!$J1435,'Historico - FAT'!$G:$G,Faturamento!$H1435)</f>
        <v>176.13000000000002</v>
      </c>
      <c r="AC1435" s="31">
        <f>SUMIFS('Historico - FAT'!AL:AL,'Historico - FAT'!$K:$K,Faturamento!$L1435,'Historico - FAT'!$I:$I,Faturamento!$J1435,'Historico - FAT'!$G:$G,Faturamento!$H1435)</f>
        <v>68.850000000000009</v>
      </c>
      <c r="AD1435" s="31">
        <f>SUMIFS('Historico - FAT'!AM:AM,'Historico - FAT'!$K:$K,Faturamento!$L1435,'Historico - FAT'!$I:$I,Faturamento!$J1435,'Historico - FAT'!$G:$G,Faturamento!$H1435)</f>
        <v>49.949999999999996</v>
      </c>
      <c r="AE1435" s="27">
        <f>SUMIFS('Historico - FAT'!AN:AN,'Historico - FAT'!$K:$K,Faturamento!$L1435,'Historico - FAT'!$I:$I,Faturamento!$J1435,'Historico - FAT'!$G:$G,Faturamento!$H1435)</f>
        <v>82.62</v>
      </c>
      <c r="AG1435" s="24">
        <f t="shared" si="334"/>
        <v>-1.0014772727272734</v>
      </c>
      <c r="AH1435" s="24">
        <f t="shared" si="335"/>
        <v>0.21761363636363615</v>
      </c>
      <c r="AI1435" s="24">
        <f t="shared" si="336"/>
        <v>0.43238636363636357</v>
      </c>
    </row>
    <row r="1436" spans="1:35" hidden="1" x14ac:dyDescent="0.3">
      <c r="A1436" s="2" t="str">
        <f t="shared" si="333"/>
        <v>NÃO</v>
      </c>
      <c r="B1436" s="2">
        <v>1000184670</v>
      </c>
      <c r="C1436" s="2" t="s">
        <v>147</v>
      </c>
      <c r="D1436" s="4">
        <v>1000186197</v>
      </c>
      <c r="E1436" s="4" t="s">
        <v>166</v>
      </c>
      <c r="F1436" s="2">
        <v>1000184764</v>
      </c>
      <c r="G1436" s="2" t="s">
        <v>70</v>
      </c>
      <c r="H1436" s="4">
        <v>1000189820</v>
      </c>
      <c r="I1436" s="4" t="s">
        <v>114</v>
      </c>
      <c r="J1436" s="2">
        <v>1000189270</v>
      </c>
      <c r="K1436" s="2" t="s">
        <v>34</v>
      </c>
      <c r="L1436" s="4" t="s">
        <v>17</v>
      </c>
      <c r="M1436" s="4" t="str">
        <f t="shared" si="340"/>
        <v>1000184670100018619710001898201000189270GRANOLA</v>
      </c>
      <c r="N1436" s="28">
        <f>N1429*_xlfn.XLOOKUP($L1436,'Balizador da Meta'!$B$4:$B$21,'Balizador da Meta'!$C$4:$C$21)</f>
        <v>60</v>
      </c>
      <c r="O1436" s="28">
        <f>O1429*_xlfn.XLOOKUP($L1436,'Balizador da Meta'!$B$4:$B$21,'Balizador da Meta'!$C$4:$C$21)</f>
        <v>72</v>
      </c>
      <c r="P1436" s="28">
        <f>P1429*_xlfn.XLOOKUP($L1436,'Balizador da Meta'!$B$4:$B$21,'Balizador da Meta'!$C$4:$C$21)</f>
        <v>72</v>
      </c>
      <c r="Q1436" s="28">
        <f>Q1429*_xlfn.XLOOKUP($L1436,'Balizador da Meta'!$B$4:$B$21,'Balizador da Meta'!$C$4:$C$21)</f>
        <v>72</v>
      </c>
      <c r="R1436" s="28">
        <f>R1429*_xlfn.XLOOKUP($L1436,'Balizador da Meta'!$B$4:$B$21,'Balizador da Meta'!$C$4:$C$21)</f>
        <v>72</v>
      </c>
      <c r="S1436" s="28">
        <f>S1429*_xlfn.XLOOKUP($L1436,'Balizador da Meta'!$B$4:$B$21,'Balizador da Meta'!$C$4:$C$21)</f>
        <v>72</v>
      </c>
      <c r="T1436" s="28">
        <f>T1429*_xlfn.XLOOKUP($L1436,'Balizador da Meta'!$B$4:$B$21,'Balizador da Meta'!$C$4:$C$21)</f>
        <v>84</v>
      </c>
      <c r="U1436" s="28">
        <f>U1429*_xlfn.XLOOKUP($L1436,'Balizador da Meta'!$B$4:$B$21,'Balizador da Meta'!$C$4:$C$21)</f>
        <v>84</v>
      </c>
      <c r="V1436" s="28">
        <f>V1429*_xlfn.XLOOKUP($L1436,'Balizador da Meta'!$B$4:$B$21,'Balizador da Meta'!$C$4:$C$21)</f>
        <v>84</v>
      </c>
      <c r="W1436" s="28">
        <f>W1429*_xlfn.XLOOKUP($L1436,'Balizador da Meta'!$B$4:$B$21,'Balizador da Meta'!$C$4:$C$21)</f>
        <v>84</v>
      </c>
      <c r="X1436" s="28">
        <f>X1429*_xlfn.XLOOKUP($L1436,'Balizador da Meta'!$B$4:$B$21,'Balizador da Meta'!$C$4:$C$21)</f>
        <v>84</v>
      </c>
      <c r="Y1436" s="28">
        <f>Y1429*_xlfn.XLOOKUP($L1436,'Balizador da Meta'!$B$4:$B$21,'Balizador da Meta'!$C$4:$C$21)</f>
        <v>96</v>
      </c>
      <c r="Z1436" s="30">
        <f t="shared" si="343"/>
        <v>936</v>
      </c>
      <c r="AA1436" s="29"/>
      <c r="AB1436" s="31">
        <f>SUMIFS('Historico - FAT'!AK:AK,'Historico - FAT'!$K:$K,Faturamento!$L1436,'Historico - FAT'!$I:$I,Faturamento!$J1436,'Historico - FAT'!$G:$G,Faturamento!$H1436)</f>
        <v>209.32500000000002</v>
      </c>
      <c r="AC1436" s="31">
        <f>SUMIFS('Historico - FAT'!AL:AL,'Historico - FAT'!$K:$K,Faturamento!$L1436,'Historico - FAT'!$I:$I,Faturamento!$J1436,'Historico - FAT'!$G:$G,Faturamento!$H1436)</f>
        <v>178.8425</v>
      </c>
      <c r="AD1436" s="31">
        <f>SUMIFS('Historico - FAT'!AM:AM,'Historico - FAT'!$K:$K,Faturamento!$L1436,'Historico - FAT'!$I:$I,Faturamento!$J1436,'Historico - FAT'!$G:$G,Faturamento!$H1436)</f>
        <v>196.9</v>
      </c>
      <c r="AE1436" s="27">
        <f>SUMIFS('Historico - FAT'!AN:AN,'Historico - FAT'!$K:$K,Faturamento!$L1436,'Historico - FAT'!$I:$I,Faturamento!$J1436,'Historico - FAT'!$G:$G,Faturamento!$H1436)</f>
        <v>214.61100000000002</v>
      </c>
      <c r="AG1436" s="24">
        <f t="shared" si="334"/>
        <v>-1.378693181818182</v>
      </c>
      <c r="AH1436" s="24">
        <f t="shared" si="335"/>
        <v>-1.0323011363636363</v>
      </c>
      <c r="AI1436" s="24">
        <f t="shared" si="336"/>
        <v>-1.2375</v>
      </c>
    </row>
    <row r="1437" spans="1:35" hidden="1" x14ac:dyDescent="0.3">
      <c r="A1437" s="2" t="str">
        <f t="shared" si="333"/>
        <v>NÃO</v>
      </c>
      <c r="B1437" s="2">
        <v>1000184670</v>
      </c>
      <c r="C1437" s="2" t="s">
        <v>147</v>
      </c>
      <c r="D1437" s="4">
        <v>1000186197</v>
      </c>
      <c r="E1437" s="4" t="s">
        <v>166</v>
      </c>
      <c r="F1437" s="2">
        <v>1000184764</v>
      </c>
      <c r="G1437" s="2" t="s">
        <v>70</v>
      </c>
      <c r="H1437" s="4">
        <v>1000189820</v>
      </c>
      <c r="I1437" s="4" t="s">
        <v>114</v>
      </c>
      <c r="J1437" s="2">
        <v>1000189270</v>
      </c>
      <c r="K1437" s="2" t="s">
        <v>34</v>
      </c>
      <c r="L1437" s="4" t="s">
        <v>24</v>
      </c>
      <c r="M1437" s="4" t="str">
        <f t="shared" si="340"/>
        <v>1000184670100018619710001898201000189270KIDS</v>
      </c>
      <c r="N1437" s="28">
        <f>N1429*_xlfn.XLOOKUP($L1437,'Balizador da Meta'!$B$4:$B$21,'Balizador da Meta'!$C$4:$C$21)</f>
        <v>0</v>
      </c>
      <c r="O1437" s="28">
        <f>O1429*_xlfn.XLOOKUP($L1437,'Balizador da Meta'!$B$4:$B$21,'Balizador da Meta'!$C$4:$C$21)</f>
        <v>0</v>
      </c>
      <c r="P1437" s="28">
        <f>P1429*_xlfn.XLOOKUP($L1437,'Balizador da Meta'!$B$4:$B$21,'Balizador da Meta'!$C$4:$C$21)</f>
        <v>0</v>
      </c>
      <c r="Q1437" s="28">
        <f>Q1429*_xlfn.XLOOKUP($L1437,'Balizador da Meta'!$B$4:$B$21,'Balizador da Meta'!$C$4:$C$21)</f>
        <v>0</v>
      </c>
      <c r="R1437" s="28">
        <f>R1429*_xlfn.XLOOKUP($L1437,'Balizador da Meta'!$B$4:$B$21,'Balizador da Meta'!$C$4:$C$21)</f>
        <v>0</v>
      </c>
      <c r="S1437" s="28">
        <f>S1429*_xlfn.XLOOKUP($L1437,'Balizador da Meta'!$B$4:$B$21,'Balizador da Meta'!$C$4:$C$21)</f>
        <v>0</v>
      </c>
      <c r="T1437" s="28">
        <f>T1429*_xlfn.XLOOKUP($L1437,'Balizador da Meta'!$B$4:$B$21,'Balizador da Meta'!$C$4:$C$21)</f>
        <v>0</v>
      </c>
      <c r="U1437" s="28">
        <f>U1429*_xlfn.XLOOKUP($L1437,'Balizador da Meta'!$B$4:$B$21,'Balizador da Meta'!$C$4:$C$21)</f>
        <v>0</v>
      </c>
      <c r="V1437" s="28">
        <f>V1429*_xlfn.XLOOKUP($L1437,'Balizador da Meta'!$B$4:$B$21,'Balizador da Meta'!$C$4:$C$21)</f>
        <v>0</v>
      </c>
      <c r="W1437" s="28">
        <f>W1429*_xlfn.XLOOKUP($L1437,'Balizador da Meta'!$B$4:$B$21,'Balizador da Meta'!$C$4:$C$21)</f>
        <v>0</v>
      </c>
      <c r="X1437" s="28">
        <f>X1429*_xlfn.XLOOKUP($L1437,'Balizador da Meta'!$B$4:$B$21,'Balizador da Meta'!$C$4:$C$21)</f>
        <v>0</v>
      </c>
      <c r="Y1437" s="28">
        <f>Y1429*_xlfn.XLOOKUP($L1437,'Balizador da Meta'!$B$4:$B$21,'Balizador da Meta'!$C$4:$C$21)</f>
        <v>0</v>
      </c>
      <c r="Z1437" s="30">
        <f t="shared" si="343"/>
        <v>0</v>
      </c>
      <c r="AA1437" s="29"/>
      <c r="AB1437" s="31">
        <f>SUMIFS('Historico - FAT'!AK:AK,'Historico - FAT'!$K:$K,Faturamento!$L1437,'Historico - FAT'!$I:$I,Faturamento!$J1437,'Historico - FAT'!$G:$G,Faturamento!$H1437)</f>
        <v>119.49</v>
      </c>
      <c r="AC1437" s="31">
        <f>SUMIFS('Historico - FAT'!AL:AL,'Historico - FAT'!$K:$K,Faturamento!$L1437,'Historico - FAT'!$I:$I,Faturamento!$J1437,'Historico - FAT'!$G:$G,Faturamento!$H1437)</f>
        <v>138.51833333333335</v>
      </c>
      <c r="AD1437" s="31">
        <f>SUMIFS('Historico - FAT'!AM:AM,'Historico - FAT'!$K:$K,Faturamento!$L1437,'Historico - FAT'!$I:$I,Faturamento!$J1437,'Historico - FAT'!$G:$G,Faturamento!$H1437)</f>
        <v>204.61500000000001</v>
      </c>
      <c r="AE1437" s="27">
        <f>SUMIFS('Historico - FAT'!AN:AN,'Historico - FAT'!$K:$K,Faturamento!$L1437,'Historico - FAT'!$I:$I,Faturamento!$J1437,'Historico - FAT'!$G:$G,Faturamento!$H1437)</f>
        <v>166.22200000000001</v>
      </c>
      <c r="AG1437" s="24" t="str">
        <f t="shared" si="334"/>
        <v/>
      </c>
      <c r="AH1437" s="24" t="str">
        <f t="shared" si="335"/>
        <v/>
      </c>
      <c r="AI1437" s="24" t="str">
        <f t="shared" si="336"/>
        <v/>
      </c>
    </row>
    <row r="1438" spans="1:35" hidden="1" x14ac:dyDescent="0.3">
      <c r="A1438" s="2" t="str">
        <f t="shared" si="333"/>
        <v>NÃO</v>
      </c>
      <c r="B1438" s="2">
        <v>1000184670</v>
      </c>
      <c r="C1438" s="2" t="s">
        <v>147</v>
      </c>
      <c r="D1438" s="4">
        <v>1000186197</v>
      </c>
      <c r="E1438" s="4" t="s">
        <v>166</v>
      </c>
      <c r="F1438" s="2">
        <v>1000184764</v>
      </c>
      <c r="G1438" s="2" t="s">
        <v>70</v>
      </c>
      <c r="H1438" s="4">
        <v>1000189820</v>
      </c>
      <c r="I1438" s="4" t="s">
        <v>114</v>
      </c>
      <c r="J1438" s="2">
        <v>1000189270</v>
      </c>
      <c r="K1438" s="2" t="s">
        <v>34</v>
      </c>
      <c r="L1438" s="4" t="s">
        <v>18</v>
      </c>
      <c r="M1438" s="4" t="str">
        <f t="shared" si="340"/>
        <v>1000184670100018619710001898201000189270LANCHES</v>
      </c>
      <c r="N1438" s="28">
        <f>N1429*_xlfn.XLOOKUP($L1438,'Balizador da Meta'!$B$4:$B$21,'Balizador da Meta'!$C$4:$C$21)</f>
        <v>30</v>
      </c>
      <c r="O1438" s="28">
        <f>O1429*_xlfn.XLOOKUP($L1438,'Balizador da Meta'!$B$4:$B$21,'Balizador da Meta'!$C$4:$C$21)</f>
        <v>36</v>
      </c>
      <c r="P1438" s="28">
        <f>P1429*_xlfn.XLOOKUP($L1438,'Balizador da Meta'!$B$4:$B$21,'Balizador da Meta'!$C$4:$C$21)</f>
        <v>36</v>
      </c>
      <c r="Q1438" s="28">
        <f>Q1429*_xlfn.XLOOKUP($L1438,'Balizador da Meta'!$B$4:$B$21,'Balizador da Meta'!$C$4:$C$21)</f>
        <v>36</v>
      </c>
      <c r="R1438" s="28">
        <f>R1429*_xlfn.XLOOKUP($L1438,'Balizador da Meta'!$B$4:$B$21,'Balizador da Meta'!$C$4:$C$21)</f>
        <v>36</v>
      </c>
      <c r="S1438" s="28">
        <f>S1429*_xlfn.XLOOKUP($L1438,'Balizador da Meta'!$B$4:$B$21,'Balizador da Meta'!$C$4:$C$21)</f>
        <v>36</v>
      </c>
      <c r="T1438" s="28">
        <f>T1429*_xlfn.XLOOKUP($L1438,'Balizador da Meta'!$B$4:$B$21,'Balizador da Meta'!$C$4:$C$21)</f>
        <v>42</v>
      </c>
      <c r="U1438" s="28">
        <f>U1429*_xlfn.XLOOKUP($L1438,'Balizador da Meta'!$B$4:$B$21,'Balizador da Meta'!$C$4:$C$21)</f>
        <v>42</v>
      </c>
      <c r="V1438" s="28">
        <f>V1429*_xlfn.XLOOKUP($L1438,'Balizador da Meta'!$B$4:$B$21,'Balizador da Meta'!$C$4:$C$21)</f>
        <v>42</v>
      </c>
      <c r="W1438" s="28">
        <f>W1429*_xlfn.XLOOKUP($L1438,'Balizador da Meta'!$B$4:$B$21,'Balizador da Meta'!$C$4:$C$21)</f>
        <v>42</v>
      </c>
      <c r="X1438" s="28">
        <f>X1429*_xlfn.XLOOKUP($L1438,'Balizador da Meta'!$B$4:$B$21,'Balizador da Meta'!$C$4:$C$21)</f>
        <v>42</v>
      </c>
      <c r="Y1438" s="28">
        <f>Y1429*_xlfn.XLOOKUP($L1438,'Balizador da Meta'!$B$4:$B$21,'Balizador da Meta'!$C$4:$C$21)</f>
        <v>48</v>
      </c>
      <c r="Z1438" s="30">
        <f t="shared" si="343"/>
        <v>468</v>
      </c>
      <c r="AA1438" s="29"/>
      <c r="AB1438" s="31">
        <f>SUMIFS('Historico - FAT'!AK:AK,'Historico - FAT'!$K:$K,Faturamento!$L1438,'Historico - FAT'!$I:$I,Faturamento!$J1438,'Historico - FAT'!$G:$G,Faturamento!$H1438)</f>
        <v>77.791666666666671</v>
      </c>
      <c r="AC1438" s="31">
        <f>SUMIFS('Historico - FAT'!AL:AL,'Historico - FAT'!$K:$K,Faturamento!$L1438,'Historico - FAT'!$I:$I,Faturamento!$J1438,'Historico - FAT'!$G:$G,Faturamento!$H1438)</f>
        <v>65.210833333333326</v>
      </c>
      <c r="AD1438" s="31">
        <f>SUMIFS('Historico - FAT'!AM:AM,'Historico - FAT'!$K:$K,Faturamento!$L1438,'Historico - FAT'!$I:$I,Faturamento!$J1438,'Historico - FAT'!$G:$G,Faturamento!$H1438)</f>
        <v>112.27833333333332</v>
      </c>
      <c r="AE1438" s="27">
        <f>SUMIFS('Historico - FAT'!AN:AN,'Historico - FAT'!$K:$K,Faturamento!$L1438,'Historico - FAT'!$I:$I,Faturamento!$J1438,'Historico - FAT'!$G:$G,Faturamento!$H1438)</f>
        <v>78.253</v>
      </c>
      <c r="AG1438" s="24">
        <f t="shared" si="334"/>
        <v>-0.76799242424242431</v>
      </c>
      <c r="AH1438" s="24">
        <f t="shared" si="335"/>
        <v>-0.48206439393939376</v>
      </c>
      <c r="AI1438" s="24">
        <f t="shared" si="336"/>
        <v>-1.5517803030303028</v>
      </c>
    </row>
    <row r="1439" spans="1:35" hidden="1" x14ac:dyDescent="0.3">
      <c r="A1439" s="2" t="str">
        <f t="shared" si="333"/>
        <v>NÃO</v>
      </c>
      <c r="B1439" s="2">
        <v>1000184670</v>
      </c>
      <c r="C1439" s="2" t="s">
        <v>147</v>
      </c>
      <c r="D1439" s="4">
        <v>1000186197</v>
      </c>
      <c r="E1439" s="4" t="s">
        <v>166</v>
      </c>
      <c r="F1439" s="2">
        <v>1000184764</v>
      </c>
      <c r="G1439" s="2" t="s">
        <v>70</v>
      </c>
      <c r="H1439" s="4">
        <v>1000189820</v>
      </c>
      <c r="I1439" s="4" t="s">
        <v>114</v>
      </c>
      <c r="J1439" s="2">
        <v>1000189270</v>
      </c>
      <c r="K1439" s="2" t="s">
        <v>34</v>
      </c>
      <c r="L1439" s="4" t="s">
        <v>29</v>
      </c>
      <c r="M1439" s="4" t="str">
        <f t="shared" si="340"/>
        <v>1000184670100018619710001898201000189270MAIS GRANEL</v>
      </c>
      <c r="N1439" s="28">
        <f>N1429*_xlfn.XLOOKUP($L1439,'Balizador da Meta'!$B$4:$B$21,'Balizador da Meta'!$C$4:$C$21)</f>
        <v>960</v>
      </c>
      <c r="O1439" s="28">
        <f>O1429*_xlfn.XLOOKUP($L1439,'Balizador da Meta'!$B$4:$B$21,'Balizador da Meta'!$C$4:$C$21)</f>
        <v>1152</v>
      </c>
      <c r="P1439" s="28">
        <f>P1429*_xlfn.XLOOKUP($L1439,'Balizador da Meta'!$B$4:$B$21,'Balizador da Meta'!$C$4:$C$21)</f>
        <v>1152</v>
      </c>
      <c r="Q1439" s="28">
        <f>Q1429*_xlfn.XLOOKUP($L1439,'Balizador da Meta'!$B$4:$B$21,'Balizador da Meta'!$C$4:$C$21)</f>
        <v>1152</v>
      </c>
      <c r="R1439" s="28">
        <f>R1429*_xlfn.XLOOKUP($L1439,'Balizador da Meta'!$B$4:$B$21,'Balizador da Meta'!$C$4:$C$21)</f>
        <v>1152</v>
      </c>
      <c r="S1439" s="28">
        <f>S1429*_xlfn.XLOOKUP($L1439,'Balizador da Meta'!$B$4:$B$21,'Balizador da Meta'!$C$4:$C$21)</f>
        <v>1152</v>
      </c>
      <c r="T1439" s="28">
        <f>T1429*_xlfn.XLOOKUP($L1439,'Balizador da Meta'!$B$4:$B$21,'Balizador da Meta'!$C$4:$C$21)</f>
        <v>1344</v>
      </c>
      <c r="U1439" s="28">
        <f>U1429*_xlfn.XLOOKUP($L1439,'Balizador da Meta'!$B$4:$B$21,'Balizador da Meta'!$C$4:$C$21)</f>
        <v>1344</v>
      </c>
      <c r="V1439" s="28">
        <f>V1429*_xlfn.XLOOKUP($L1439,'Balizador da Meta'!$B$4:$B$21,'Balizador da Meta'!$C$4:$C$21)</f>
        <v>1344</v>
      </c>
      <c r="W1439" s="28">
        <f>W1429*_xlfn.XLOOKUP($L1439,'Balizador da Meta'!$B$4:$B$21,'Balizador da Meta'!$C$4:$C$21)</f>
        <v>1344</v>
      </c>
      <c r="X1439" s="28">
        <f>X1429*_xlfn.XLOOKUP($L1439,'Balizador da Meta'!$B$4:$B$21,'Balizador da Meta'!$C$4:$C$21)</f>
        <v>1344</v>
      </c>
      <c r="Y1439" s="28">
        <f>Y1429*_xlfn.XLOOKUP($L1439,'Balizador da Meta'!$B$4:$B$21,'Balizador da Meta'!$C$4:$C$21)</f>
        <v>1536</v>
      </c>
      <c r="Z1439" s="30">
        <f t="shared" si="343"/>
        <v>14976</v>
      </c>
      <c r="AA1439" s="29"/>
      <c r="AB1439" s="31">
        <f>SUMIFS('Historico - FAT'!AK:AK,'Historico - FAT'!$K:$K,Faturamento!$L1439,'Historico - FAT'!$I:$I,Faturamento!$J1439,'Historico - FAT'!$G:$G,Faturamento!$H1439)</f>
        <v>0</v>
      </c>
      <c r="AC1439" s="31">
        <f>SUMIFS('Historico - FAT'!AL:AL,'Historico - FAT'!$K:$K,Faturamento!$L1439,'Historico - FAT'!$I:$I,Faturamento!$J1439,'Historico - FAT'!$G:$G,Faturamento!$H1439)</f>
        <v>808.85833333333346</v>
      </c>
      <c r="AD1439" s="31">
        <f>SUMIFS('Historico - FAT'!AM:AM,'Historico - FAT'!$K:$K,Faturamento!$L1439,'Historico - FAT'!$I:$I,Faturamento!$J1439,'Historico - FAT'!$G:$G,Faturamento!$H1439)</f>
        <v>1617.7166666666669</v>
      </c>
      <c r="AE1439" s="27">
        <f>SUMIFS('Historico - FAT'!AN:AN,'Historico - FAT'!$K:$K,Faturamento!$L1439,'Historico - FAT'!$I:$I,Faturamento!$J1439,'Historico - FAT'!$G:$G,Faturamento!$H1439)</f>
        <v>970.63000000000011</v>
      </c>
      <c r="AG1439" s="24">
        <f t="shared" si="334"/>
        <v>1</v>
      </c>
      <c r="AH1439" s="24">
        <f t="shared" si="335"/>
        <v>0.42552675189393929</v>
      </c>
      <c r="AI1439" s="24">
        <f t="shared" si="336"/>
        <v>-0.14894649621212139</v>
      </c>
    </row>
    <row r="1440" spans="1:35" hidden="1" x14ac:dyDescent="0.3">
      <c r="A1440" s="2" t="str">
        <f t="shared" si="333"/>
        <v>NÃO</v>
      </c>
      <c r="B1440" s="2">
        <v>1000184670</v>
      </c>
      <c r="C1440" s="2" t="s">
        <v>147</v>
      </c>
      <c r="D1440" s="4">
        <v>1000186197</v>
      </c>
      <c r="E1440" s="4" t="s">
        <v>166</v>
      </c>
      <c r="F1440" s="2">
        <v>1000184764</v>
      </c>
      <c r="G1440" s="2" t="s">
        <v>70</v>
      </c>
      <c r="H1440" s="4">
        <v>1000189820</v>
      </c>
      <c r="I1440" s="4" t="s">
        <v>114</v>
      </c>
      <c r="J1440" s="2">
        <v>1000189270</v>
      </c>
      <c r="K1440" s="2" t="s">
        <v>34</v>
      </c>
      <c r="L1440" s="4" t="s">
        <v>21</v>
      </c>
      <c r="M1440" s="4" t="str">
        <f t="shared" si="340"/>
        <v>1000184670100018619710001898201000189270NATURATTA</v>
      </c>
      <c r="N1440" s="28">
        <f>N1429*_xlfn.XLOOKUP($L1440,'Balizador da Meta'!$B$4:$B$21,'Balizador da Meta'!$C$4:$C$21)</f>
        <v>150</v>
      </c>
      <c r="O1440" s="28">
        <f>O1429*_xlfn.XLOOKUP($L1440,'Balizador da Meta'!$B$4:$B$21,'Balizador da Meta'!$C$4:$C$21)</f>
        <v>180</v>
      </c>
      <c r="P1440" s="28">
        <f>P1429*_xlfn.XLOOKUP($L1440,'Balizador da Meta'!$B$4:$B$21,'Balizador da Meta'!$C$4:$C$21)</f>
        <v>180</v>
      </c>
      <c r="Q1440" s="28">
        <f>Q1429*_xlfn.XLOOKUP($L1440,'Balizador da Meta'!$B$4:$B$21,'Balizador da Meta'!$C$4:$C$21)</f>
        <v>180</v>
      </c>
      <c r="R1440" s="28">
        <f>R1429*_xlfn.XLOOKUP($L1440,'Balizador da Meta'!$B$4:$B$21,'Balizador da Meta'!$C$4:$C$21)</f>
        <v>180</v>
      </c>
      <c r="S1440" s="28">
        <f>S1429*_xlfn.XLOOKUP($L1440,'Balizador da Meta'!$B$4:$B$21,'Balizador da Meta'!$C$4:$C$21)</f>
        <v>180</v>
      </c>
      <c r="T1440" s="28">
        <f>T1429*_xlfn.XLOOKUP($L1440,'Balizador da Meta'!$B$4:$B$21,'Balizador da Meta'!$C$4:$C$21)</f>
        <v>210</v>
      </c>
      <c r="U1440" s="28">
        <f>U1429*_xlfn.XLOOKUP($L1440,'Balizador da Meta'!$B$4:$B$21,'Balizador da Meta'!$C$4:$C$21)</f>
        <v>210</v>
      </c>
      <c r="V1440" s="28">
        <f>V1429*_xlfn.XLOOKUP($L1440,'Balizador da Meta'!$B$4:$B$21,'Balizador da Meta'!$C$4:$C$21)</f>
        <v>210</v>
      </c>
      <c r="W1440" s="28">
        <f>W1429*_xlfn.XLOOKUP($L1440,'Balizador da Meta'!$B$4:$B$21,'Balizador da Meta'!$C$4:$C$21)</f>
        <v>210</v>
      </c>
      <c r="X1440" s="28">
        <f>X1429*_xlfn.XLOOKUP($L1440,'Balizador da Meta'!$B$4:$B$21,'Balizador da Meta'!$C$4:$C$21)</f>
        <v>210</v>
      </c>
      <c r="Y1440" s="28">
        <f>Y1429*_xlfn.XLOOKUP($L1440,'Balizador da Meta'!$B$4:$B$21,'Balizador da Meta'!$C$4:$C$21)</f>
        <v>240</v>
      </c>
      <c r="Z1440" s="30">
        <f t="shared" si="343"/>
        <v>2340</v>
      </c>
      <c r="AA1440" s="29"/>
      <c r="AB1440" s="31">
        <f>SUMIFS('Historico - FAT'!AK:AK,'Historico - FAT'!$K:$K,Faturamento!$L1440,'Historico - FAT'!$I:$I,Faturamento!$J1440,'Historico - FAT'!$G:$G,Faturamento!$H1440)</f>
        <v>467.41666666666669</v>
      </c>
      <c r="AC1440" s="31">
        <f>SUMIFS('Historico - FAT'!AL:AL,'Historico - FAT'!$K:$K,Faturamento!$L1440,'Historico - FAT'!$I:$I,Faturamento!$J1440,'Historico - FAT'!$G:$G,Faturamento!$H1440)</f>
        <v>329.3725</v>
      </c>
      <c r="AD1440" s="31">
        <f>SUMIFS('Historico - FAT'!AM:AM,'Historico - FAT'!$K:$K,Faturamento!$L1440,'Historico - FAT'!$I:$I,Faturamento!$J1440,'Historico - FAT'!$G:$G,Faturamento!$H1440)</f>
        <v>439.49500000000006</v>
      </c>
      <c r="AE1440" s="27">
        <f>SUMIFS('Historico - FAT'!AN:AN,'Historico - FAT'!$K:$K,Faturamento!$L1440,'Historico - FAT'!$I:$I,Faturamento!$J1440,'Historico - FAT'!$G:$G,Faturamento!$H1440)</f>
        <v>395.24700000000001</v>
      </c>
      <c r="AG1440" s="24">
        <f t="shared" si="334"/>
        <v>-1.1246212121212122</v>
      </c>
      <c r="AH1440" s="24">
        <f t="shared" si="335"/>
        <v>-0.49714772727272727</v>
      </c>
      <c r="AI1440" s="24">
        <f t="shared" si="336"/>
        <v>-0.99770454545454579</v>
      </c>
    </row>
    <row r="1441" spans="1:35" hidden="1" x14ac:dyDescent="0.3">
      <c r="A1441" s="2" t="str">
        <f t="shared" si="333"/>
        <v>NÃO</v>
      </c>
      <c r="B1441" s="2">
        <v>1000184670</v>
      </c>
      <c r="C1441" s="2" t="s">
        <v>147</v>
      </c>
      <c r="D1441" s="4">
        <v>1000186197</v>
      </c>
      <c r="E1441" s="4" t="s">
        <v>166</v>
      </c>
      <c r="F1441" s="2">
        <v>1000184764</v>
      </c>
      <c r="G1441" s="2" t="s">
        <v>70</v>
      </c>
      <c r="H1441" s="4">
        <v>1000189820</v>
      </c>
      <c r="I1441" s="4" t="s">
        <v>114</v>
      </c>
      <c r="J1441" s="2">
        <v>1000189270</v>
      </c>
      <c r="K1441" s="2" t="s">
        <v>34</v>
      </c>
      <c r="L1441" s="4" t="s">
        <v>20</v>
      </c>
      <c r="M1441" s="4" t="str">
        <f t="shared" si="340"/>
        <v>1000184670100018619710001898201000189270REEMBALADOS</v>
      </c>
      <c r="N1441" s="28">
        <f>N1429*_xlfn.XLOOKUP($L1441,'Balizador da Meta'!$B$4:$B$21,'Balizador da Meta'!$C$4:$C$21)</f>
        <v>120</v>
      </c>
      <c r="O1441" s="28">
        <f>O1429*_xlfn.XLOOKUP($L1441,'Balizador da Meta'!$B$4:$B$21,'Balizador da Meta'!$C$4:$C$21)</f>
        <v>144</v>
      </c>
      <c r="P1441" s="28">
        <f>P1429*_xlfn.XLOOKUP($L1441,'Balizador da Meta'!$B$4:$B$21,'Balizador da Meta'!$C$4:$C$21)</f>
        <v>144</v>
      </c>
      <c r="Q1441" s="28">
        <f>Q1429*_xlfn.XLOOKUP($L1441,'Balizador da Meta'!$B$4:$B$21,'Balizador da Meta'!$C$4:$C$21)</f>
        <v>144</v>
      </c>
      <c r="R1441" s="28">
        <f>R1429*_xlfn.XLOOKUP($L1441,'Balizador da Meta'!$B$4:$B$21,'Balizador da Meta'!$C$4:$C$21)</f>
        <v>144</v>
      </c>
      <c r="S1441" s="28">
        <f>S1429*_xlfn.XLOOKUP($L1441,'Balizador da Meta'!$B$4:$B$21,'Balizador da Meta'!$C$4:$C$21)</f>
        <v>144</v>
      </c>
      <c r="T1441" s="28">
        <f>T1429*_xlfn.XLOOKUP($L1441,'Balizador da Meta'!$B$4:$B$21,'Balizador da Meta'!$C$4:$C$21)</f>
        <v>168</v>
      </c>
      <c r="U1441" s="28">
        <f>U1429*_xlfn.XLOOKUP($L1441,'Balizador da Meta'!$B$4:$B$21,'Balizador da Meta'!$C$4:$C$21)</f>
        <v>168</v>
      </c>
      <c r="V1441" s="28">
        <f>V1429*_xlfn.XLOOKUP($L1441,'Balizador da Meta'!$B$4:$B$21,'Balizador da Meta'!$C$4:$C$21)</f>
        <v>168</v>
      </c>
      <c r="W1441" s="28">
        <f>W1429*_xlfn.XLOOKUP($L1441,'Balizador da Meta'!$B$4:$B$21,'Balizador da Meta'!$C$4:$C$21)</f>
        <v>168</v>
      </c>
      <c r="X1441" s="28">
        <f>X1429*_xlfn.XLOOKUP($L1441,'Balizador da Meta'!$B$4:$B$21,'Balizador da Meta'!$C$4:$C$21)</f>
        <v>168</v>
      </c>
      <c r="Y1441" s="28">
        <f>Y1429*_xlfn.XLOOKUP($L1441,'Balizador da Meta'!$B$4:$B$21,'Balizador da Meta'!$C$4:$C$21)</f>
        <v>192</v>
      </c>
      <c r="Z1441" s="30">
        <f t="shared" si="343"/>
        <v>1872</v>
      </c>
      <c r="AA1441" s="29"/>
      <c r="AB1441" s="31">
        <f>SUMIFS('Historico - FAT'!AK:AK,'Historico - FAT'!$K:$K,Faturamento!$L1441,'Historico - FAT'!$I:$I,Faturamento!$J1441,'Historico - FAT'!$G:$G,Faturamento!$H1441)</f>
        <v>253.02416666666667</v>
      </c>
      <c r="AC1441" s="31">
        <f>SUMIFS('Historico - FAT'!AL:AL,'Historico - FAT'!$K:$K,Faturamento!$L1441,'Historico - FAT'!$I:$I,Faturamento!$J1441,'Historico - FAT'!$G:$G,Faturamento!$H1441)</f>
        <v>257.06916666666666</v>
      </c>
      <c r="AD1441" s="31">
        <f>SUMIFS('Historico - FAT'!AM:AM,'Historico - FAT'!$K:$K,Faturamento!$L1441,'Historico - FAT'!$I:$I,Faturamento!$J1441,'Historico - FAT'!$G:$G,Faturamento!$H1441)</f>
        <v>404.26833333333337</v>
      </c>
      <c r="AE1441" s="27">
        <f>SUMIFS('Historico - FAT'!AN:AN,'Historico - FAT'!$K:$K,Faturamento!$L1441,'Historico - FAT'!$I:$I,Faturamento!$J1441,'Historico - FAT'!$G:$G,Faturamento!$H1441)</f>
        <v>308.483</v>
      </c>
      <c r="AG1441" s="24">
        <f t="shared" si="334"/>
        <v>-0.43763731060606065</v>
      </c>
      <c r="AH1441" s="24">
        <f t="shared" si="335"/>
        <v>-0.46062026515151511</v>
      </c>
      <c r="AI1441" s="24">
        <f t="shared" si="336"/>
        <v>-1.2969791666666668</v>
      </c>
    </row>
    <row r="1442" spans="1:35" hidden="1" x14ac:dyDescent="0.3">
      <c r="A1442" s="2" t="str">
        <f t="shared" si="333"/>
        <v>NÃO</v>
      </c>
      <c r="B1442" s="2">
        <v>1000184670</v>
      </c>
      <c r="C1442" s="2" t="s">
        <v>147</v>
      </c>
      <c r="D1442" s="4">
        <v>1000186197</v>
      </c>
      <c r="E1442" s="4" t="s">
        <v>166</v>
      </c>
      <c r="F1442" s="2">
        <v>1000184764</v>
      </c>
      <c r="G1442" s="2" t="s">
        <v>70</v>
      </c>
      <c r="H1442" s="4">
        <v>1000189820</v>
      </c>
      <c r="I1442" s="4" t="s">
        <v>114</v>
      </c>
      <c r="J1442" s="2">
        <v>1000189270</v>
      </c>
      <c r="K1442" s="2" t="s">
        <v>34</v>
      </c>
      <c r="L1442" s="4" t="s">
        <v>22</v>
      </c>
      <c r="M1442" s="4" t="str">
        <f t="shared" si="340"/>
        <v>1000184670100018619710001898201000189270S GLUTEN</v>
      </c>
      <c r="N1442" s="28">
        <f>N1429*_xlfn.XLOOKUP($L1442,'Balizador da Meta'!$B$4:$B$21,'Balizador da Meta'!$C$4:$C$21)</f>
        <v>120</v>
      </c>
      <c r="O1442" s="28">
        <f>O1429*_xlfn.XLOOKUP($L1442,'Balizador da Meta'!$B$4:$B$21,'Balizador da Meta'!$C$4:$C$21)</f>
        <v>144</v>
      </c>
      <c r="P1442" s="28">
        <f>P1429*_xlfn.XLOOKUP($L1442,'Balizador da Meta'!$B$4:$B$21,'Balizador da Meta'!$C$4:$C$21)</f>
        <v>144</v>
      </c>
      <c r="Q1442" s="28">
        <f>Q1429*_xlfn.XLOOKUP($L1442,'Balizador da Meta'!$B$4:$B$21,'Balizador da Meta'!$C$4:$C$21)</f>
        <v>144</v>
      </c>
      <c r="R1442" s="28">
        <f>R1429*_xlfn.XLOOKUP($L1442,'Balizador da Meta'!$B$4:$B$21,'Balizador da Meta'!$C$4:$C$21)</f>
        <v>144</v>
      </c>
      <c r="S1442" s="28">
        <f>S1429*_xlfn.XLOOKUP($L1442,'Balizador da Meta'!$B$4:$B$21,'Balizador da Meta'!$C$4:$C$21)</f>
        <v>144</v>
      </c>
      <c r="T1442" s="28">
        <f>T1429*_xlfn.XLOOKUP($L1442,'Balizador da Meta'!$B$4:$B$21,'Balizador da Meta'!$C$4:$C$21)</f>
        <v>168</v>
      </c>
      <c r="U1442" s="28">
        <f>U1429*_xlfn.XLOOKUP($L1442,'Balizador da Meta'!$B$4:$B$21,'Balizador da Meta'!$C$4:$C$21)</f>
        <v>168</v>
      </c>
      <c r="V1442" s="28">
        <f>V1429*_xlfn.XLOOKUP($L1442,'Balizador da Meta'!$B$4:$B$21,'Balizador da Meta'!$C$4:$C$21)</f>
        <v>168</v>
      </c>
      <c r="W1442" s="28">
        <f>W1429*_xlfn.XLOOKUP($L1442,'Balizador da Meta'!$B$4:$B$21,'Balizador da Meta'!$C$4:$C$21)</f>
        <v>168</v>
      </c>
      <c r="X1442" s="28">
        <f>X1429*_xlfn.XLOOKUP($L1442,'Balizador da Meta'!$B$4:$B$21,'Balizador da Meta'!$C$4:$C$21)</f>
        <v>168</v>
      </c>
      <c r="Y1442" s="28">
        <f>Y1429*_xlfn.XLOOKUP($L1442,'Balizador da Meta'!$B$4:$B$21,'Balizador da Meta'!$C$4:$C$21)</f>
        <v>192</v>
      </c>
      <c r="Z1442" s="30">
        <f t="shared" si="343"/>
        <v>1872</v>
      </c>
      <c r="AA1442" s="29"/>
      <c r="AB1442" s="31">
        <f>SUMIFS('Historico - FAT'!AK:AK,'Historico - FAT'!$K:$K,Faturamento!$L1442,'Historico - FAT'!$I:$I,Faturamento!$J1442,'Historico - FAT'!$G:$G,Faturamento!$H1442)</f>
        <v>36.574999999999996</v>
      </c>
      <c r="AC1442" s="31">
        <f>SUMIFS('Historico - FAT'!AL:AL,'Historico - FAT'!$K:$K,Faturamento!$L1442,'Historico - FAT'!$I:$I,Faturamento!$J1442,'Historico - FAT'!$G:$G,Faturamento!$H1442)</f>
        <v>4.395833333333333</v>
      </c>
      <c r="AD1442" s="31">
        <f>SUMIFS('Historico - FAT'!AM:AM,'Historico - FAT'!$K:$K,Faturamento!$L1442,'Historico - FAT'!$I:$I,Faturamento!$J1442,'Historico - FAT'!$G:$G,Faturamento!$H1442)</f>
        <v>0</v>
      </c>
      <c r="AE1442" s="27">
        <f>SUMIFS('Historico - FAT'!AN:AN,'Historico - FAT'!$K:$K,Faturamento!$L1442,'Historico - FAT'!$I:$I,Faturamento!$J1442,'Historico - FAT'!$G:$G,Faturamento!$H1442)</f>
        <v>5.2750000000000004</v>
      </c>
      <c r="AG1442" s="24">
        <f t="shared" si="334"/>
        <v>0.79218750000000004</v>
      </c>
      <c r="AH1442" s="24">
        <f t="shared" si="335"/>
        <v>0.9750236742424242</v>
      </c>
      <c r="AI1442" s="24">
        <f t="shared" si="336"/>
        <v>1</v>
      </c>
    </row>
    <row r="1443" spans="1:35" hidden="1" x14ac:dyDescent="0.3">
      <c r="A1443" s="2" t="str">
        <f t="shared" si="333"/>
        <v>NÃO</v>
      </c>
      <c r="B1443" s="2">
        <v>1000184670</v>
      </c>
      <c r="C1443" s="2" t="s">
        <v>147</v>
      </c>
      <c r="D1443" s="4">
        <v>1000186197</v>
      </c>
      <c r="E1443" s="4" t="s">
        <v>166</v>
      </c>
      <c r="F1443" s="2">
        <v>1000184764</v>
      </c>
      <c r="G1443" s="2" t="s">
        <v>70</v>
      </c>
      <c r="H1443" s="4">
        <v>1000189820</v>
      </c>
      <c r="I1443" s="4" t="s">
        <v>114</v>
      </c>
      <c r="J1443" s="2">
        <v>1000189270</v>
      </c>
      <c r="K1443" s="2" t="s">
        <v>34</v>
      </c>
      <c r="L1443" s="4" t="s">
        <v>23</v>
      </c>
      <c r="M1443" s="4" t="str">
        <f t="shared" si="340"/>
        <v>1000184670100018619710001898201000189270SABORES DO CAMPO</v>
      </c>
      <c r="N1443" s="28">
        <f>N1429*_xlfn.XLOOKUP($L1443,'Balizador da Meta'!$B$4:$B$21,'Balizador da Meta'!$C$4:$C$21)</f>
        <v>0</v>
      </c>
      <c r="O1443" s="28">
        <f>O1429*_xlfn.XLOOKUP($L1443,'Balizador da Meta'!$B$4:$B$21,'Balizador da Meta'!$C$4:$C$21)</f>
        <v>0</v>
      </c>
      <c r="P1443" s="28">
        <f>P1429*_xlfn.XLOOKUP($L1443,'Balizador da Meta'!$B$4:$B$21,'Balizador da Meta'!$C$4:$C$21)</f>
        <v>0</v>
      </c>
      <c r="Q1443" s="28">
        <f>Q1429*_xlfn.XLOOKUP($L1443,'Balizador da Meta'!$B$4:$B$21,'Balizador da Meta'!$C$4:$C$21)</f>
        <v>0</v>
      </c>
      <c r="R1443" s="28">
        <f>R1429*_xlfn.XLOOKUP($L1443,'Balizador da Meta'!$B$4:$B$21,'Balizador da Meta'!$C$4:$C$21)</f>
        <v>0</v>
      </c>
      <c r="S1443" s="28">
        <f>S1429*_xlfn.XLOOKUP($L1443,'Balizador da Meta'!$B$4:$B$21,'Balizador da Meta'!$C$4:$C$21)</f>
        <v>0</v>
      </c>
      <c r="T1443" s="28">
        <f>T1429*_xlfn.XLOOKUP($L1443,'Balizador da Meta'!$B$4:$B$21,'Balizador da Meta'!$C$4:$C$21)</f>
        <v>0</v>
      </c>
      <c r="U1443" s="28">
        <f>U1429*_xlfn.XLOOKUP($L1443,'Balizador da Meta'!$B$4:$B$21,'Balizador da Meta'!$C$4:$C$21)</f>
        <v>0</v>
      </c>
      <c r="V1443" s="28">
        <f>V1429*_xlfn.XLOOKUP($L1443,'Balizador da Meta'!$B$4:$B$21,'Balizador da Meta'!$C$4:$C$21)</f>
        <v>0</v>
      </c>
      <c r="W1443" s="28">
        <f>W1429*_xlfn.XLOOKUP($L1443,'Balizador da Meta'!$B$4:$B$21,'Balizador da Meta'!$C$4:$C$21)</f>
        <v>0</v>
      </c>
      <c r="X1443" s="28">
        <f>X1429*_xlfn.XLOOKUP($L1443,'Balizador da Meta'!$B$4:$B$21,'Balizador da Meta'!$C$4:$C$21)</f>
        <v>0</v>
      </c>
      <c r="Y1443" s="28">
        <f>Y1429*_xlfn.XLOOKUP($L1443,'Balizador da Meta'!$B$4:$B$21,'Balizador da Meta'!$C$4:$C$21)</f>
        <v>0</v>
      </c>
      <c r="Z1443" s="30">
        <f t="shared" si="343"/>
        <v>0</v>
      </c>
      <c r="AA1443" s="29"/>
      <c r="AB1443" s="31">
        <f>SUMIFS('Historico - FAT'!AK:AK,'Historico - FAT'!$K:$K,Faturamento!$L1443,'Historico - FAT'!$I:$I,Faturamento!$J1443,'Historico - FAT'!$G:$G,Faturamento!$H1443)</f>
        <v>0</v>
      </c>
      <c r="AC1443" s="31">
        <f>SUMIFS('Historico - FAT'!AL:AL,'Historico - FAT'!$K:$K,Faturamento!$L1443,'Historico - FAT'!$I:$I,Faturamento!$J1443,'Historico - FAT'!$G:$G,Faturamento!$H1443)</f>
        <v>0</v>
      </c>
      <c r="AD1443" s="31">
        <f>SUMIFS('Historico - FAT'!AM:AM,'Historico - FAT'!$K:$K,Faturamento!$L1443,'Historico - FAT'!$I:$I,Faturamento!$J1443,'Historico - FAT'!$G:$G,Faturamento!$H1443)</f>
        <v>0</v>
      </c>
      <c r="AE1443" s="27">
        <f>SUMIFS('Historico - FAT'!AN:AN,'Historico - FAT'!$K:$K,Faturamento!$L1443,'Historico - FAT'!$I:$I,Faturamento!$J1443,'Historico - FAT'!$G:$G,Faturamento!$H1443)</f>
        <v>0</v>
      </c>
      <c r="AG1443" s="24" t="str">
        <f t="shared" si="334"/>
        <v/>
      </c>
      <c r="AH1443" s="24" t="str">
        <f t="shared" si="335"/>
        <v/>
      </c>
      <c r="AI1443" s="24" t="str">
        <f t="shared" si="336"/>
        <v/>
      </c>
    </row>
    <row r="1444" spans="1:35" hidden="1" x14ac:dyDescent="0.3">
      <c r="A1444" s="2" t="str">
        <f t="shared" si="333"/>
        <v>NÃO</v>
      </c>
      <c r="B1444" s="2">
        <v>1000184670</v>
      </c>
      <c r="C1444" s="2" t="s">
        <v>147</v>
      </c>
      <c r="D1444" s="4">
        <v>1000186197</v>
      </c>
      <c r="E1444" s="4" t="s">
        <v>166</v>
      </c>
      <c r="F1444" s="2">
        <v>1000184764</v>
      </c>
      <c r="G1444" s="2" t="s">
        <v>70</v>
      </c>
      <c r="H1444" s="4">
        <v>1000189820</v>
      </c>
      <c r="I1444" s="4" t="s">
        <v>114</v>
      </c>
      <c r="J1444" s="2">
        <v>1000189270</v>
      </c>
      <c r="K1444" s="2" t="s">
        <v>34</v>
      </c>
      <c r="L1444" s="4" t="s">
        <v>28</v>
      </c>
      <c r="M1444" s="4" t="str">
        <f t="shared" si="340"/>
        <v>1000184670100018619710001898201000189270SAL</v>
      </c>
      <c r="N1444" s="28">
        <f>N1429*_xlfn.XLOOKUP($L1444,'Balizador da Meta'!$B$4:$B$21,'Balizador da Meta'!$C$4:$C$21)</f>
        <v>60</v>
      </c>
      <c r="O1444" s="28">
        <f>O1429*_xlfn.XLOOKUP($L1444,'Balizador da Meta'!$B$4:$B$21,'Balizador da Meta'!$C$4:$C$21)</f>
        <v>72</v>
      </c>
      <c r="P1444" s="28">
        <f>P1429*_xlfn.XLOOKUP($L1444,'Balizador da Meta'!$B$4:$B$21,'Balizador da Meta'!$C$4:$C$21)</f>
        <v>72</v>
      </c>
      <c r="Q1444" s="28">
        <f>Q1429*_xlfn.XLOOKUP($L1444,'Balizador da Meta'!$B$4:$B$21,'Balizador da Meta'!$C$4:$C$21)</f>
        <v>72</v>
      </c>
      <c r="R1444" s="28">
        <f>R1429*_xlfn.XLOOKUP($L1444,'Balizador da Meta'!$B$4:$B$21,'Balizador da Meta'!$C$4:$C$21)</f>
        <v>72</v>
      </c>
      <c r="S1444" s="28">
        <f>S1429*_xlfn.XLOOKUP($L1444,'Balizador da Meta'!$B$4:$B$21,'Balizador da Meta'!$C$4:$C$21)</f>
        <v>72</v>
      </c>
      <c r="T1444" s="28">
        <f>T1429*_xlfn.XLOOKUP($L1444,'Balizador da Meta'!$B$4:$B$21,'Balizador da Meta'!$C$4:$C$21)</f>
        <v>84</v>
      </c>
      <c r="U1444" s="28">
        <f>U1429*_xlfn.XLOOKUP($L1444,'Balizador da Meta'!$B$4:$B$21,'Balizador da Meta'!$C$4:$C$21)</f>
        <v>84</v>
      </c>
      <c r="V1444" s="28">
        <f>V1429*_xlfn.XLOOKUP($L1444,'Balizador da Meta'!$B$4:$B$21,'Balizador da Meta'!$C$4:$C$21)</f>
        <v>84</v>
      </c>
      <c r="W1444" s="28">
        <f>W1429*_xlfn.XLOOKUP($L1444,'Balizador da Meta'!$B$4:$B$21,'Balizador da Meta'!$C$4:$C$21)</f>
        <v>84</v>
      </c>
      <c r="X1444" s="28">
        <f>X1429*_xlfn.XLOOKUP($L1444,'Balizador da Meta'!$B$4:$B$21,'Balizador da Meta'!$C$4:$C$21)</f>
        <v>84</v>
      </c>
      <c r="Y1444" s="28">
        <f>Y1429*_xlfn.XLOOKUP($L1444,'Balizador da Meta'!$B$4:$B$21,'Balizador da Meta'!$C$4:$C$21)</f>
        <v>96</v>
      </c>
      <c r="Z1444" s="30">
        <f t="shared" si="343"/>
        <v>936</v>
      </c>
      <c r="AA1444" s="29"/>
      <c r="AB1444" s="31">
        <f>SUMIFS('Historico - FAT'!AK:AK,'Historico - FAT'!$K:$K,Faturamento!$L1444,'Historico - FAT'!$I:$I,Faturamento!$J1444,'Historico - FAT'!$G:$G,Faturamento!$H1444)</f>
        <v>579.69916666666666</v>
      </c>
      <c r="AC1444" s="31">
        <f>SUMIFS('Historico - FAT'!AL:AL,'Historico - FAT'!$K:$K,Faturamento!$L1444,'Historico - FAT'!$I:$I,Faturamento!$J1444,'Historico - FAT'!$G:$G,Faturamento!$H1444)</f>
        <v>154.01333333333335</v>
      </c>
      <c r="AD1444" s="31">
        <f>SUMIFS('Historico - FAT'!AM:AM,'Historico - FAT'!$K:$K,Faturamento!$L1444,'Historico - FAT'!$I:$I,Faturamento!$J1444,'Historico - FAT'!$G:$G,Faturamento!$H1444)</f>
        <v>162.92999999999998</v>
      </c>
      <c r="AE1444" s="27">
        <f>SUMIFS('Historico - FAT'!AN:AN,'Historico - FAT'!$K:$K,Faturamento!$L1444,'Historico - FAT'!$I:$I,Faturamento!$J1444,'Historico - FAT'!$G:$G,Faturamento!$H1444)</f>
        <v>184.816</v>
      </c>
      <c r="AG1444" s="24">
        <f t="shared" si="334"/>
        <v>-5.5874905303030298</v>
      </c>
      <c r="AH1444" s="24">
        <f t="shared" si="335"/>
        <v>-0.75015151515151535</v>
      </c>
      <c r="AI1444" s="24">
        <f t="shared" si="336"/>
        <v>-0.85147727272727247</v>
      </c>
    </row>
    <row r="1445" spans="1:35" hidden="1" x14ac:dyDescent="0.3">
      <c r="A1445" s="2" t="str">
        <f t="shared" si="333"/>
        <v>NÃO</v>
      </c>
      <c r="B1445" s="2">
        <v>1000184670</v>
      </c>
      <c r="C1445" s="2" t="s">
        <v>147</v>
      </c>
      <c r="D1445" s="4">
        <v>1000186197</v>
      </c>
      <c r="E1445" s="4" t="s">
        <v>166</v>
      </c>
      <c r="F1445" s="2">
        <v>1000184764</v>
      </c>
      <c r="G1445" s="2" t="s">
        <v>70</v>
      </c>
      <c r="H1445" s="4">
        <v>1000189820</v>
      </c>
      <c r="I1445" s="4" t="s">
        <v>114</v>
      </c>
      <c r="J1445" s="2">
        <v>1000189270</v>
      </c>
      <c r="K1445" s="2" t="s">
        <v>34</v>
      </c>
      <c r="L1445" s="4" t="s">
        <v>26</v>
      </c>
      <c r="M1445" s="4" t="str">
        <f t="shared" si="340"/>
        <v>1000184670100018619710001898201000189270SOULPRO</v>
      </c>
      <c r="N1445" s="28">
        <f>N1429*_xlfn.XLOOKUP($L1445,'Balizador da Meta'!$B$4:$B$21,'Balizador da Meta'!$C$4:$C$21)</f>
        <v>180</v>
      </c>
      <c r="O1445" s="28">
        <f>O1429*_xlfn.XLOOKUP($L1445,'Balizador da Meta'!$B$4:$B$21,'Balizador da Meta'!$C$4:$C$21)</f>
        <v>216</v>
      </c>
      <c r="P1445" s="28">
        <f>P1429*_xlfn.XLOOKUP($L1445,'Balizador da Meta'!$B$4:$B$21,'Balizador da Meta'!$C$4:$C$21)</f>
        <v>216</v>
      </c>
      <c r="Q1445" s="28">
        <f>Q1429*_xlfn.XLOOKUP($L1445,'Balizador da Meta'!$B$4:$B$21,'Balizador da Meta'!$C$4:$C$21)</f>
        <v>216</v>
      </c>
      <c r="R1445" s="28">
        <f>R1429*_xlfn.XLOOKUP($L1445,'Balizador da Meta'!$B$4:$B$21,'Balizador da Meta'!$C$4:$C$21)</f>
        <v>216</v>
      </c>
      <c r="S1445" s="28">
        <f>S1429*_xlfn.XLOOKUP($L1445,'Balizador da Meta'!$B$4:$B$21,'Balizador da Meta'!$C$4:$C$21)</f>
        <v>216</v>
      </c>
      <c r="T1445" s="28">
        <f>T1429*_xlfn.XLOOKUP($L1445,'Balizador da Meta'!$B$4:$B$21,'Balizador da Meta'!$C$4:$C$21)</f>
        <v>252</v>
      </c>
      <c r="U1445" s="28">
        <f>U1429*_xlfn.XLOOKUP($L1445,'Balizador da Meta'!$B$4:$B$21,'Balizador da Meta'!$C$4:$C$21)</f>
        <v>252</v>
      </c>
      <c r="V1445" s="28">
        <f>V1429*_xlfn.XLOOKUP($L1445,'Balizador da Meta'!$B$4:$B$21,'Balizador da Meta'!$C$4:$C$21)</f>
        <v>252</v>
      </c>
      <c r="W1445" s="28">
        <f>W1429*_xlfn.XLOOKUP($L1445,'Balizador da Meta'!$B$4:$B$21,'Balizador da Meta'!$C$4:$C$21)</f>
        <v>252</v>
      </c>
      <c r="X1445" s="28">
        <f>X1429*_xlfn.XLOOKUP($L1445,'Balizador da Meta'!$B$4:$B$21,'Balizador da Meta'!$C$4:$C$21)</f>
        <v>252</v>
      </c>
      <c r="Y1445" s="28">
        <f>Y1429*_xlfn.XLOOKUP($L1445,'Balizador da Meta'!$B$4:$B$21,'Balizador da Meta'!$C$4:$C$21)</f>
        <v>288</v>
      </c>
      <c r="Z1445" s="30">
        <f t="shared" si="343"/>
        <v>2808</v>
      </c>
      <c r="AA1445" s="29"/>
      <c r="AB1445" s="31">
        <f>SUMIFS('Historico - FAT'!AK:AK,'Historico - FAT'!$K:$K,Faturamento!$L1445,'Historico - FAT'!$I:$I,Faturamento!$J1445,'Historico - FAT'!$G:$G,Faturamento!$H1445)</f>
        <v>85.268333333333359</v>
      </c>
      <c r="AC1445" s="31">
        <f>SUMIFS('Historico - FAT'!AL:AL,'Historico - FAT'!$K:$K,Faturamento!$L1445,'Historico - FAT'!$I:$I,Faturamento!$J1445,'Historico - FAT'!$G:$G,Faturamento!$H1445)</f>
        <v>141.55500000000001</v>
      </c>
      <c r="AD1445" s="31">
        <f>SUMIFS('Historico - FAT'!AM:AM,'Historico - FAT'!$K:$K,Faturamento!$L1445,'Historico - FAT'!$I:$I,Faturamento!$J1445,'Historico - FAT'!$G:$G,Faturamento!$H1445)</f>
        <v>228</v>
      </c>
      <c r="AE1445" s="27">
        <f>SUMIFS('Historico - FAT'!AN:AN,'Historico - FAT'!$K:$K,Faturamento!$L1445,'Historico - FAT'!$I:$I,Faturamento!$J1445,'Historico - FAT'!$G:$G,Faturamento!$H1445)</f>
        <v>169.86600000000001</v>
      </c>
      <c r="AG1445" s="24">
        <f t="shared" si="334"/>
        <v>0.67701388888888869</v>
      </c>
      <c r="AH1445" s="24">
        <f t="shared" si="335"/>
        <v>0.46380681818181818</v>
      </c>
      <c r="AI1445" s="24">
        <f t="shared" si="336"/>
        <v>0.13636363636363635</v>
      </c>
    </row>
    <row r="1446" spans="1:35" hidden="1" x14ac:dyDescent="0.3">
      <c r="A1446" s="2" t="str">
        <f t="shared" si="333"/>
        <v>NÃO</v>
      </c>
      <c r="B1446" s="2">
        <v>1000184670</v>
      </c>
      <c r="C1446" s="2" t="s">
        <v>147</v>
      </c>
      <c r="D1446" s="4">
        <v>1000186197</v>
      </c>
      <c r="E1446" s="4" t="s">
        <v>166</v>
      </c>
      <c r="F1446" s="2">
        <v>1000184764</v>
      </c>
      <c r="G1446" s="2" t="s">
        <v>70</v>
      </c>
      <c r="H1446" s="4">
        <v>1000189820</v>
      </c>
      <c r="I1446" s="4" t="s">
        <v>114</v>
      </c>
      <c r="J1446" s="2">
        <v>1000189270</v>
      </c>
      <c r="K1446" s="2" t="s">
        <v>34</v>
      </c>
      <c r="L1446" s="4" t="s">
        <v>27</v>
      </c>
      <c r="M1446" s="4" t="str">
        <f t="shared" si="340"/>
        <v>1000184670100018619710001898201000189270TAMARA</v>
      </c>
      <c r="N1446" s="28">
        <f>N1429*_xlfn.XLOOKUP($L1446,'Balizador da Meta'!$B$4:$B$21,'Balizador da Meta'!$C$4:$C$21)</f>
        <v>240</v>
      </c>
      <c r="O1446" s="28">
        <f>O1429*_xlfn.XLOOKUP($L1446,'Balizador da Meta'!$B$4:$B$21,'Balizador da Meta'!$C$4:$C$21)</f>
        <v>288</v>
      </c>
      <c r="P1446" s="28">
        <f>P1429*_xlfn.XLOOKUP($L1446,'Balizador da Meta'!$B$4:$B$21,'Balizador da Meta'!$C$4:$C$21)</f>
        <v>288</v>
      </c>
      <c r="Q1446" s="28">
        <f>Q1429*_xlfn.XLOOKUP($L1446,'Balizador da Meta'!$B$4:$B$21,'Balizador da Meta'!$C$4:$C$21)</f>
        <v>288</v>
      </c>
      <c r="R1446" s="28">
        <f>R1429*_xlfn.XLOOKUP($L1446,'Balizador da Meta'!$B$4:$B$21,'Balizador da Meta'!$C$4:$C$21)</f>
        <v>288</v>
      </c>
      <c r="S1446" s="28">
        <f>S1429*_xlfn.XLOOKUP($L1446,'Balizador da Meta'!$B$4:$B$21,'Balizador da Meta'!$C$4:$C$21)</f>
        <v>288</v>
      </c>
      <c r="T1446" s="28">
        <f>T1429*_xlfn.XLOOKUP($L1446,'Balizador da Meta'!$B$4:$B$21,'Balizador da Meta'!$C$4:$C$21)</f>
        <v>336</v>
      </c>
      <c r="U1446" s="28">
        <f>U1429*_xlfn.XLOOKUP($L1446,'Balizador da Meta'!$B$4:$B$21,'Balizador da Meta'!$C$4:$C$21)</f>
        <v>336</v>
      </c>
      <c r="V1446" s="28">
        <f>V1429*_xlfn.XLOOKUP($L1446,'Balizador da Meta'!$B$4:$B$21,'Balizador da Meta'!$C$4:$C$21)</f>
        <v>336</v>
      </c>
      <c r="W1446" s="28">
        <f>W1429*_xlfn.XLOOKUP($L1446,'Balizador da Meta'!$B$4:$B$21,'Balizador da Meta'!$C$4:$C$21)</f>
        <v>336</v>
      </c>
      <c r="X1446" s="28">
        <f>X1429*_xlfn.XLOOKUP($L1446,'Balizador da Meta'!$B$4:$B$21,'Balizador da Meta'!$C$4:$C$21)</f>
        <v>336</v>
      </c>
      <c r="Y1446" s="28">
        <f>Y1429*_xlfn.XLOOKUP($L1446,'Balizador da Meta'!$B$4:$B$21,'Balizador da Meta'!$C$4:$C$21)</f>
        <v>384</v>
      </c>
      <c r="Z1446" s="30">
        <f t="shared" si="343"/>
        <v>3744</v>
      </c>
      <c r="AA1446" s="29"/>
      <c r="AB1446" s="31">
        <f>SUMIFS('Historico - FAT'!AK:AK,'Historico - FAT'!$K:$K,Faturamento!$L1446,'Historico - FAT'!$I:$I,Faturamento!$J1446,'Historico - FAT'!$G:$G,Faturamento!$H1446)</f>
        <v>255.47000000000003</v>
      </c>
      <c r="AC1446" s="31">
        <f>SUMIFS('Historico - FAT'!AL:AL,'Historico - FAT'!$K:$K,Faturamento!$L1446,'Historico - FAT'!$I:$I,Faturamento!$J1446,'Historico - FAT'!$G:$G,Faturamento!$H1446)</f>
        <v>169.10833333333332</v>
      </c>
      <c r="AD1446" s="31">
        <f>SUMIFS('Historico - FAT'!AM:AM,'Historico - FAT'!$K:$K,Faturamento!$L1446,'Historico - FAT'!$I:$I,Faturamento!$J1446,'Historico - FAT'!$G:$G,Faturamento!$H1446)</f>
        <v>257.21666666666664</v>
      </c>
      <c r="AE1446" s="27">
        <f>SUMIFS('Historico - FAT'!AN:AN,'Historico - FAT'!$K:$K,Faturamento!$L1446,'Historico - FAT'!$I:$I,Faturamento!$J1446,'Historico - FAT'!$G:$G,Faturamento!$H1446)</f>
        <v>202.92999999999998</v>
      </c>
      <c r="AG1446" s="24">
        <f t="shared" si="334"/>
        <v>0.27423295454545449</v>
      </c>
      <c r="AH1446" s="24">
        <f t="shared" si="335"/>
        <v>0.51957859848484855</v>
      </c>
      <c r="AI1446" s="24">
        <f t="shared" si="336"/>
        <v>0.2692708333333334</v>
      </c>
    </row>
    <row r="1447" spans="1:35" hidden="1" x14ac:dyDescent="0.3">
      <c r="A1447" s="2" t="str">
        <f t="shared" si="333"/>
        <v>NÃO</v>
      </c>
      <c r="B1447" s="2">
        <v>1000184670</v>
      </c>
      <c r="C1447" s="2" t="s">
        <v>147</v>
      </c>
      <c r="D1447" s="4">
        <v>1000186197</v>
      </c>
      <c r="E1447" s="4" t="s">
        <v>166</v>
      </c>
      <c r="F1447" s="2">
        <v>1000184764</v>
      </c>
      <c r="G1447" s="2" t="s">
        <v>70</v>
      </c>
      <c r="H1447" s="4">
        <v>1000189820</v>
      </c>
      <c r="I1447" s="4" t="s">
        <v>114</v>
      </c>
      <c r="J1447" s="2">
        <v>1000189270</v>
      </c>
      <c r="K1447" s="2" t="s">
        <v>34</v>
      </c>
      <c r="L1447" s="4" t="s">
        <v>25</v>
      </c>
      <c r="M1447" s="4" t="str">
        <f t="shared" si="340"/>
        <v>1000184670100018619710001898201000189270VICCIO</v>
      </c>
      <c r="N1447" s="28">
        <f>N1429*_xlfn.XLOOKUP($L1447,'Balizador da Meta'!$B$4:$B$21,'Balizador da Meta'!$C$4:$C$21)</f>
        <v>90</v>
      </c>
      <c r="O1447" s="28">
        <f>O1429*_xlfn.XLOOKUP($L1447,'Balizador da Meta'!$B$4:$B$21,'Balizador da Meta'!$C$4:$C$21)</f>
        <v>108</v>
      </c>
      <c r="P1447" s="28">
        <f>P1429*_xlfn.XLOOKUP($L1447,'Balizador da Meta'!$B$4:$B$21,'Balizador da Meta'!$C$4:$C$21)</f>
        <v>108</v>
      </c>
      <c r="Q1447" s="28">
        <f>Q1429*_xlfn.XLOOKUP($L1447,'Balizador da Meta'!$B$4:$B$21,'Balizador da Meta'!$C$4:$C$21)</f>
        <v>108</v>
      </c>
      <c r="R1447" s="28">
        <f>R1429*_xlfn.XLOOKUP($L1447,'Balizador da Meta'!$B$4:$B$21,'Balizador da Meta'!$C$4:$C$21)</f>
        <v>108</v>
      </c>
      <c r="S1447" s="28">
        <f>S1429*_xlfn.XLOOKUP($L1447,'Balizador da Meta'!$B$4:$B$21,'Balizador da Meta'!$C$4:$C$21)</f>
        <v>108</v>
      </c>
      <c r="T1447" s="28">
        <f>T1429*_xlfn.XLOOKUP($L1447,'Balizador da Meta'!$B$4:$B$21,'Balizador da Meta'!$C$4:$C$21)</f>
        <v>126</v>
      </c>
      <c r="U1447" s="28">
        <f>U1429*_xlfn.XLOOKUP($L1447,'Balizador da Meta'!$B$4:$B$21,'Balizador da Meta'!$C$4:$C$21)</f>
        <v>126</v>
      </c>
      <c r="V1447" s="28">
        <f>V1429*_xlfn.XLOOKUP($L1447,'Balizador da Meta'!$B$4:$B$21,'Balizador da Meta'!$C$4:$C$21)</f>
        <v>126</v>
      </c>
      <c r="W1447" s="28">
        <f>W1429*_xlfn.XLOOKUP($L1447,'Balizador da Meta'!$B$4:$B$21,'Balizador da Meta'!$C$4:$C$21)</f>
        <v>126</v>
      </c>
      <c r="X1447" s="28">
        <f>X1429*_xlfn.XLOOKUP($L1447,'Balizador da Meta'!$B$4:$B$21,'Balizador da Meta'!$C$4:$C$21)</f>
        <v>126</v>
      </c>
      <c r="Y1447" s="28">
        <f>Y1429*_xlfn.XLOOKUP($L1447,'Balizador da Meta'!$B$4:$B$21,'Balizador da Meta'!$C$4:$C$21)</f>
        <v>144</v>
      </c>
      <c r="Z1447" s="30">
        <f t="shared" si="343"/>
        <v>1404</v>
      </c>
      <c r="AA1447" s="29"/>
      <c r="AB1447" s="31">
        <f>SUMIFS('Historico - FAT'!AK:AK,'Historico - FAT'!$K:$K,Faturamento!$L1447,'Historico - FAT'!$I:$I,Faturamento!$J1447,'Historico - FAT'!$G:$G,Faturamento!$H1447)</f>
        <v>276.63749999999999</v>
      </c>
      <c r="AC1447" s="31">
        <f>SUMIFS('Historico - FAT'!AL:AL,'Historico - FAT'!$K:$K,Faturamento!$L1447,'Historico - FAT'!$I:$I,Faturamento!$J1447,'Historico - FAT'!$G:$G,Faturamento!$H1447)</f>
        <v>185.04999999999998</v>
      </c>
      <c r="AD1447" s="31">
        <f>SUMIFS('Historico - FAT'!AM:AM,'Historico - FAT'!$K:$K,Faturamento!$L1447,'Historico - FAT'!$I:$I,Faturamento!$J1447,'Historico - FAT'!$G:$G,Faturamento!$H1447)</f>
        <v>110</v>
      </c>
      <c r="AE1447" s="27">
        <f>SUMIFS('Historico - FAT'!AN:AN,'Historico - FAT'!$K:$K,Faturamento!$L1447,'Historico - FAT'!$I:$I,Faturamento!$J1447,'Historico - FAT'!$G:$G,Faturamento!$H1447)</f>
        <v>222.06</v>
      </c>
      <c r="AG1447" s="24">
        <f t="shared" si="334"/>
        <v>-1.0957386363636363</v>
      </c>
      <c r="AH1447" s="24">
        <f t="shared" si="335"/>
        <v>-0.40189393939393925</v>
      </c>
      <c r="AI1447" s="24">
        <f t="shared" si="336"/>
        <v>0.16666666666666666</v>
      </c>
    </row>
    <row r="1448" spans="1:35" x14ac:dyDescent="0.3">
      <c r="A1448" s="2" t="str">
        <f t="shared" si="333"/>
        <v>SIM</v>
      </c>
      <c r="B1448" s="2">
        <v>1000184670</v>
      </c>
      <c r="C1448" s="2" t="s">
        <v>147</v>
      </c>
      <c r="D1448" s="4">
        <v>1000186197</v>
      </c>
      <c r="E1448" s="4" t="s">
        <v>166</v>
      </c>
      <c r="F1448" s="2">
        <v>1000184764</v>
      </c>
      <c r="G1448" s="2" t="s">
        <v>70</v>
      </c>
      <c r="H1448" s="4">
        <v>1000189821</v>
      </c>
      <c r="I1448" s="4" t="s">
        <v>71</v>
      </c>
      <c r="J1448" s="2">
        <v>1000189270</v>
      </c>
      <c r="K1448" s="2" t="s">
        <v>34</v>
      </c>
      <c r="L1448" s="4" t="s">
        <v>124</v>
      </c>
      <c r="M1448" s="4" t="str">
        <f t="shared" si="340"/>
        <v>100018467010001861971000189821100018927001. TOTAL</v>
      </c>
      <c r="N1448" s="28">
        <f>SUMIFS(Positivação!L:L,Positivação!$I:$I,Faturamento!$J1448,Positivação!$G:$G,Faturamento!$H1448)*SUMIFS(Positivação!$Z:$Z,Positivação!$I:$I,Faturamento!$J1448,Positivação!$G:$G,Faturamento!$H1448)</f>
        <v>1200</v>
      </c>
      <c r="O1448" s="28">
        <f>SUMIFS(Positivação!M:M,Positivação!$I:$I,Faturamento!$J1448,Positivação!$G:$G,Faturamento!$H1448)*SUMIFS(Positivação!$Z:$Z,Positivação!$I:$I,Faturamento!$J1448,Positivação!$G:$G,Faturamento!$H1448)</f>
        <v>1800</v>
      </c>
      <c r="P1448" s="28">
        <f>SUMIFS(Positivação!N:N,Positivação!$I:$I,Faturamento!$J1448,Positivação!$G:$G,Faturamento!$H1448)*SUMIFS(Positivação!$Z:$Z,Positivação!$I:$I,Faturamento!$J1448,Positivação!$G:$G,Faturamento!$H1448)</f>
        <v>1800</v>
      </c>
      <c r="Q1448" s="28">
        <f>SUMIFS(Positivação!O:O,Positivação!$I:$I,Faturamento!$J1448,Positivação!$G:$G,Faturamento!$H1448)*SUMIFS(Positivação!$Z:$Z,Positivação!$I:$I,Faturamento!$J1448,Positivação!$G:$G,Faturamento!$H1448)</f>
        <v>1800</v>
      </c>
      <c r="R1448" s="28">
        <f>SUMIFS(Positivação!P:P,Positivação!$I:$I,Faturamento!$J1448,Positivação!$G:$G,Faturamento!$H1448)*SUMIFS(Positivação!$Z:$Z,Positivação!$I:$I,Faturamento!$J1448,Positivação!$G:$G,Faturamento!$H1448)</f>
        <v>1800</v>
      </c>
      <c r="S1448" s="28">
        <f>SUMIFS(Positivação!Q:Q,Positivação!$I:$I,Faturamento!$J1448,Positivação!$G:$G,Faturamento!$H1448)*SUMIFS(Positivação!$Z:$Z,Positivação!$I:$I,Faturamento!$J1448,Positivação!$G:$G,Faturamento!$H1448)</f>
        <v>1800</v>
      </c>
      <c r="T1448" s="28">
        <f>SUMIFS(Positivação!R:R,Positivação!$I:$I,Faturamento!$J1448,Positivação!$G:$G,Faturamento!$H1448)*SUMIFS(Positivação!$Z:$Z,Positivação!$I:$I,Faturamento!$J1448,Positivação!$G:$G,Faturamento!$H1448)</f>
        <v>2400</v>
      </c>
      <c r="U1448" s="28">
        <f>SUMIFS(Positivação!S:S,Positivação!$I:$I,Faturamento!$J1448,Positivação!$G:$G,Faturamento!$H1448)*SUMIFS(Positivação!$Z:$Z,Positivação!$I:$I,Faturamento!$J1448,Positivação!$G:$G,Faturamento!$H1448)</f>
        <v>2400</v>
      </c>
      <c r="V1448" s="28">
        <f>SUMIFS(Positivação!T:T,Positivação!$I:$I,Faturamento!$J1448,Positivação!$G:$G,Faturamento!$H1448)*SUMIFS(Positivação!$Z:$Z,Positivação!$I:$I,Faturamento!$J1448,Positivação!$G:$G,Faturamento!$H1448)</f>
        <v>2400</v>
      </c>
      <c r="W1448" s="28">
        <f>SUMIFS(Positivação!U:U,Positivação!$I:$I,Faturamento!$J1448,Positivação!$G:$G,Faturamento!$H1448)*SUMIFS(Positivação!$Z:$Z,Positivação!$I:$I,Faturamento!$J1448,Positivação!$G:$G,Faturamento!$H1448)</f>
        <v>2400</v>
      </c>
      <c r="X1448" s="28">
        <f>SUMIFS(Positivação!V:V,Positivação!$I:$I,Faturamento!$J1448,Positivação!$G:$G,Faturamento!$H1448)*SUMIFS(Positivação!$Z:$Z,Positivação!$I:$I,Faturamento!$J1448,Positivação!$G:$G,Faturamento!$H1448)</f>
        <v>2400</v>
      </c>
      <c r="Y1448" s="28">
        <f>SUMIFS(Positivação!W:W,Positivação!$I:$I,Faturamento!$J1448,Positivação!$G:$G,Faturamento!$H1448)*SUMIFS(Positivação!$Z:$Z,Positivação!$I:$I,Faturamento!$J1448,Positivação!$G:$G,Faturamento!$H1448)</f>
        <v>3000</v>
      </c>
      <c r="Z1448" s="28">
        <f t="shared" ref="Z1448" si="344">SUM(Z1449:Z1466)</f>
        <v>25200</v>
      </c>
      <c r="AA1448" s="29"/>
      <c r="AB1448" s="28">
        <f t="shared" ref="AB1448:AE1448" si="345">SUM(AB1449:AB1466)</f>
        <v>0</v>
      </c>
      <c r="AC1448" s="28">
        <f t="shared" si="345"/>
        <v>1556.1758333333337</v>
      </c>
      <c r="AD1448" s="28">
        <f t="shared" si="345"/>
        <v>3112.3516666666674</v>
      </c>
      <c r="AE1448" s="28">
        <f t="shared" si="345"/>
        <v>1867.4110000000001</v>
      </c>
      <c r="AG1448" s="24">
        <f t="shared" si="334"/>
        <v>1</v>
      </c>
      <c r="AH1448" s="24">
        <f t="shared" si="335"/>
        <v>0.40147083333333322</v>
      </c>
      <c r="AI1448" s="24">
        <f t="shared" si="336"/>
        <v>-0.19705833333333361</v>
      </c>
    </row>
    <row r="1449" spans="1:35" hidden="1" x14ac:dyDescent="0.3">
      <c r="A1449" s="2" t="str">
        <f t="shared" si="333"/>
        <v>NÃO</v>
      </c>
      <c r="B1449" s="2">
        <v>1000184670</v>
      </c>
      <c r="C1449" s="2" t="s">
        <v>147</v>
      </c>
      <c r="D1449" s="4">
        <v>1000186197</v>
      </c>
      <c r="E1449" s="4" t="s">
        <v>166</v>
      </c>
      <c r="F1449" s="2">
        <v>1000184764</v>
      </c>
      <c r="G1449" s="2" t="s">
        <v>70</v>
      </c>
      <c r="H1449" s="4">
        <v>1000189821</v>
      </c>
      <c r="I1449" s="4" t="s">
        <v>71</v>
      </c>
      <c r="J1449" s="2">
        <v>1000189270</v>
      </c>
      <c r="K1449" s="2" t="s">
        <v>34</v>
      </c>
      <c r="L1449" s="4" t="s">
        <v>13</v>
      </c>
      <c r="M1449" s="4" t="str">
        <f t="shared" si="340"/>
        <v>1000184670100018619710001898211000189270BISCOITO</v>
      </c>
      <c r="N1449" s="28">
        <f>N1448*_xlfn.XLOOKUP($L1449,'Balizador da Meta'!$B$4:$B$21,'Balizador da Meta'!$C$4:$C$21)</f>
        <v>84.000000000000014</v>
      </c>
      <c r="O1449" s="28">
        <f>O1448*_xlfn.XLOOKUP($L1449,'Balizador da Meta'!$B$4:$B$21,'Balizador da Meta'!$C$4:$C$21)</f>
        <v>126.00000000000001</v>
      </c>
      <c r="P1449" s="28">
        <f>P1448*_xlfn.XLOOKUP($L1449,'Balizador da Meta'!$B$4:$B$21,'Balizador da Meta'!$C$4:$C$21)</f>
        <v>126.00000000000001</v>
      </c>
      <c r="Q1449" s="28">
        <f>Q1448*_xlfn.XLOOKUP($L1449,'Balizador da Meta'!$B$4:$B$21,'Balizador da Meta'!$C$4:$C$21)</f>
        <v>126.00000000000001</v>
      </c>
      <c r="R1449" s="28">
        <f>R1448*_xlfn.XLOOKUP($L1449,'Balizador da Meta'!$B$4:$B$21,'Balizador da Meta'!$C$4:$C$21)</f>
        <v>126.00000000000001</v>
      </c>
      <c r="S1449" s="28">
        <f>S1448*_xlfn.XLOOKUP($L1449,'Balizador da Meta'!$B$4:$B$21,'Balizador da Meta'!$C$4:$C$21)</f>
        <v>126.00000000000001</v>
      </c>
      <c r="T1449" s="28">
        <f>T1448*_xlfn.XLOOKUP($L1449,'Balizador da Meta'!$B$4:$B$21,'Balizador da Meta'!$C$4:$C$21)</f>
        <v>168.00000000000003</v>
      </c>
      <c r="U1449" s="28">
        <f>U1448*_xlfn.XLOOKUP($L1449,'Balizador da Meta'!$B$4:$B$21,'Balizador da Meta'!$C$4:$C$21)</f>
        <v>168.00000000000003</v>
      </c>
      <c r="V1449" s="28">
        <f>V1448*_xlfn.XLOOKUP($L1449,'Balizador da Meta'!$B$4:$B$21,'Balizador da Meta'!$C$4:$C$21)</f>
        <v>168.00000000000003</v>
      </c>
      <c r="W1449" s="28">
        <f>W1448*_xlfn.XLOOKUP($L1449,'Balizador da Meta'!$B$4:$B$21,'Balizador da Meta'!$C$4:$C$21)</f>
        <v>168.00000000000003</v>
      </c>
      <c r="X1449" s="28">
        <f>X1448*_xlfn.XLOOKUP($L1449,'Balizador da Meta'!$B$4:$B$21,'Balizador da Meta'!$C$4:$C$21)</f>
        <v>168.00000000000003</v>
      </c>
      <c r="Y1449" s="28">
        <f>Y1448*_xlfn.XLOOKUP($L1449,'Balizador da Meta'!$B$4:$B$21,'Balizador da Meta'!$C$4:$C$21)</f>
        <v>210.00000000000003</v>
      </c>
      <c r="Z1449" s="30">
        <f t="shared" ref="Z1449:Z1466" si="346">SUM(N1449:Y1449)</f>
        <v>1764.0000000000002</v>
      </c>
      <c r="AA1449" s="29"/>
      <c r="AB1449" s="31">
        <f>SUMIFS('Historico - FAT'!AK:AK,'Historico - FAT'!$K:$K,Faturamento!$L1449,'Historico - FAT'!$I:$I,Faturamento!$J1449,'Historico - FAT'!$G:$G,Faturamento!$H1449)</f>
        <v>0</v>
      </c>
      <c r="AC1449" s="31">
        <f>SUMIFS('Historico - FAT'!AL:AL,'Historico - FAT'!$K:$K,Faturamento!$L1449,'Historico - FAT'!$I:$I,Faturamento!$J1449,'Historico - FAT'!$G:$G,Faturamento!$H1449)</f>
        <v>6.6224999999999996</v>
      </c>
      <c r="AD1449" s="31">
        <f>SUMIFS('Historico - FAT'!AM:AM,'Historico - FAT'!$K:$K,Faturamento!$L1449,'Historico - FAT'!$I:$I,Faturamento!$J1449,'Historico - FAT'!$G:$G,Faturamento!$H1449)</f>
        <v>13.244999999999999</v>
      </c>
      <c r="AE1449" s="27">
        <f>SUMIFS('Historico - FAT'!AN:AN,'Historico - FAT'!$K:$K,Faturamento!$L1449,'Historico - FAT'!$I:$I,Faturamento!$J1449,'Historico - FAT'!$G:$G,Faturamento!$H1449)</f>
        <v>7.9470000000000001</v>
      </c>
      <c r="AG1449" s="24">
        <f t="shared" si="334"/>
        <v>1</v>
      </c>
      <c r="AH1449" s="24">
        <f t="shared" si="335"/>
        <v>0.96361263736263736</v>
      </c>
      <c r="AI1449" s="24">
        <f t="shared" si="336"/>
        <v>0.92722527472527472</v>
      </c>
    </row>
    <row r="1450" spans="1:35" hidden="1" x14ac:dyDescent="0.3">
      <c r="A1450" s="2" t="str">
        <f t="shared" si="333"/>
        <v>NÃO</v>
      </c>
      <c r="B1450" s="2">
        <v>1000184670</v>
      </c>
      <c r="C1450" s="2" t="s">
        <v>147</v>
      </c>
      <c r="D1450" s="4">
        <v>1000186197</v>
      </c>
      <c r="E1450" s="4" t="s">
        <v>166</v>
      </c>
      <c r="F1450" s="2">
        <v>1000184764</v>
      </c>
      <c r="G1450" s="2" t="s">
        <v>70</v>
      </c>
      <c r="H1450" s="4">
        <v>1000189821</v>
      </c>
      <c r="I1450" s="4" t="s">
        <v>71</v>
      </c>
      <c r="J1450" s="2">
        <v>1000189270</v>
      </c>
      <c r="K1450" s="2" t="s">
        <v>34</v>
      </c>
      <c r="L1450" s="4" t="s">
        <v>14</v>
      </c>
      <c r="M1450" s="4" t="str">
        <f t="shared" si="340"/>
        <v>1000184670100018619710001898211000189270CHOCOLATES</v>
      </c>
      <c r="N1450" s="28">
        <f>N1448*_xlfn.XLOOKUP($L1450,'Balizador da Meta'!$B$4:$B$21,'Balizador da Meta'!$C$4:$C$21)</f>
        <v>84.000000000000014</v>
      </c>
      <c r="O1450" s="28">
        <f>O1448*_xlfn.XLOOKUP($L1450,'Balizador da Meta'!$B$4:$B$21,'Balizador da Meta'!$C$4:$C$21)</f>
        <v>126.00000000000001</v>
      </c>
      <c r="P1450" s="28">
        <f>P1448*_xlfn.XLOOKUP($L1450,'Balizador da Meta'!$B$4:$B$21,'Balizador da Meta'!$C$4:$C$21)</f>
        <v>126.00000000000001</v>
      </c>
      <c r="Q1450" s="28">
        <f>Q1448*_xlfn.XLOOKUP($L1450,'Balizador da Meta'!$B$4:$B$21,'Balizador da Meta'!$C$4:$C$21)</f>
        <v>126.00000000000001</v>
      </c>
      <c r="R1450" s="28">
        <f>R1448*_xlfn.XLOOKUP($L1450,'Balizador da Meta'!$B$4:$B$21,'Balizador da Meta'!$C$4:$C$21)</f>
        <v>126.00000000000001</v>
      </c>
      <c r="S1450" s="28">
        <f>S1448*_xlfn.XLOOKUP($L1450,'Balizador da Meta'!$B$4:$B$21,'Balizador da Meta'!$C$4:$C$21)</f>
        <v>126.00000000000001</v>
      </c>
      <c r="T1450" s="28">
        <f>T1448*_xlfn.XLOOKUP($L1450,'Balizador da Meta'!$B$4:$B$21,'Balizador da Meta'!$C$4:$C$21)</f>
        <v>168.00000000000003</v>
      </c>
      <c r="U1450" s="28">
        <f>U1448*_xlfn.XLOOKUP($L1450,'Balizador da Meta'!$B$4:$B$21,'Balizador da Meta'!$C$4:$C$21)</f>
        <v>168.00000000000003</v>
      </c>
      <c r="V1450" s="28">
        <f>V1448*_xlfn.XLOOKUP($L1450,'Balizador da Meta'!$B$4:$B$21,'Balizador da Meta'!$C$4:$C$21)</f>
        <v>168.00000000000003</v>
      </c>
      <c r="W1450" s="28">
        <f>W1448*_xlfn.XLOOKUP($L1450,'Balizador da Meta'!$B$4:$B$21,'Balizador da Meta'!$C$4:$C$21)</f>
        <v>168.00000000000003</v>
      </c>
      <c r="X1450" s="28">
        <f>X1448*_xlfn.XLOOKUP($L1450,'Balizador da Meta'!$B$4:$B$21,'Balizador da Meta'!$C$4:$C$21)</f>
        <v>168.00000000000003</v>
      </c>
      <c r="Y1450" s="28">
        <f>Y1448*_xlfn.XLOOKUP($L1450,'Balizador da Meta'!$B$4:$B$21,'Balizador da Meta'!$C$4:$C$21)</f>
        <v>210.00000000000003</v>
      </c>
      <c r="Z1450" s="30">
        <f t="shared" si="346"/>
        <v>1764.0000000000002</v>
      </c>
      <c r="AA1450" s="29"/>
      <c r="AB1450" s="31">
        <f>SUMIFS('Historico - FAT'!AK:AK,'Historico - FAT'!$K:$K,Faturamento!$L1450,'Historico - FAT'!$I:$I,Faturamento!$J1450,'Historico - FAT'!$G:$G,Faturamento!$H1450)</f>
        <v>0</v>
      </c>
      <c r="AC1450" s="31">
        <f>SUMIFS('Historico - FAT'!AL:AL,'Historico - FAT'!$K:$K,Faturamento!$L1450,'Historico - FAT'!$I:$I,Faturamento!$J1450,'Historico - FAT'!$G:$G,Faturamento!$H1450)</f>
        <v>8.5499999999999989</v>
      </c>
      <c r="AD1450" s="31">
        <f>SUMIFS('Historico - FAT'!AM:AM,'Historico - FAT'!$K:$K,Faturamento!$L1450,'Historico - FAT'!$I:$I,Faturamento!$J1450,'Historico - FAT'!$G:$G,Faturamento!$H1450)</f>
        <v>17.099999999999998</v>
      </c>
      <c r="AE1450" s="27">
        <f>SUMIFS('Historico - FAT'!AN:AN,'Historico - FAT'!$K:$K,Faturamento!$L1450,'Historico - FAT'!$I:$I,Faturamento!$J1450,'Historico - FAT'!$G:$G,Faturamento!$H1450)</f>
        <v>10.26</v>
      </c>
      <c r="AG1450" s="24">
        <f t="shared" si="334"/>
        <v>1</v>
      </c>
      <c r="AH1450" s="24">
        <f t="shared" si="335"/>
        <v>0.95302197802197797</v>
      </c>
      <c r="AI1450" s="24">
        <f t="shared" si="336"/>
        <v>0.90604395604395604</v>
      </c>
    </row>
    <row r="1451" spans="1:35" hidden="1" x14ac:dyDescent="0.3">
      <c r="A1451" s="2" t="str">
        <f t="shared" si="333"/>
        <v>NÃO</v>
      </c>
      <c r="B1451" s="2">
        <v>1000184670</v>
      </c>
      <c r="C1451" s="2" t="s">
        <v>147</v>
      </c>
      <c r="D1451" s="4">
        <v>1000186197</v>
      </c>
      <c r="E1451" s="4" t="s">
        <v>166</v>
      </c>
      <c r="F1451" s="2">
        <v>1000184764</v>
      </c>
      <c r="G1451" s="2" t="s">
        <v>70</v>
      </c>
      <c r="H1451" s="4">
        <v>1000189821</v>
      </c>
      <c r="I1451" s="4" t="s">
        <v>71</v>
      </c>
      <c r="J1451" s="2">
        <v>1000189270</v>
      </c>
      <c r="K1451" s="2" t="s">
        <v>34</v>
      </c>
      <c r="L1451" s="4" t="s">
        <v>16</v>
      </c>
      <c r="M1451" s="4" t="str">
        <f t="shared" si="340"/>
        <v>1000184670100018619710001898211000189270DISNEY</v>
      </c>
      <c r="N1451" s="28">
        <f>N1448*_xlfn.XLOOKUP($L1451,'Balizador da Meta'!$B$4:$B$21,'Balizador da Meta'!$C$4:$C$21)</f>
        <v>96</v>
      </c>
      <c r="O1451" s="28">
        <f>O1448*_xlfn.XLOOKUP($L1451,'Balizador da Meta'!$B$4:$B$21,'Balizador da Meta'!$C$4:$C$21)</f>
        <v>144</v>
      </c>
      <c r="P1451" s="28">
        <f>P1448*_xlfn.XLOOKUP($L1451,'Balizador da Meta'!$B$4:$B$21,'Balizador da Meta'!$C$4:$C$21)</f>
        <v>144</v>
      </c>
      <c r="Q1451" s="28">
        <f>Q1448*_xlfn.XLOOKUP($L1451,'Balizador da Meta'!$B$4:$B$21,'Balizador da Meta'!$C$4:$C$21)</f>
        <v>144</v>
      </c>
      <c r="R1451" s="28">
        <f>R1448*_xlfn.XLOOKUP($L1451,'Balizador da Meta'!$B$4:$B$21,'Balizador da Meta'!$C$4:$C$21)</f>
        <v>144</v>
      </c>
      <c r="S1451" s="28">
        <f>S1448*_xlfn.XLOOKUP($L1451,'Balizador da Meta'!$B$4:$B$21,'Balizador da Meta'!$C$4:$C$21)</f>
        <v>144</v>
      </c>
      <c r="T1451" s="28">
        <f>T1448*_xlfn.XLOOKUP($L1451,'Balizador da Meta'!$B$4:$B$21,'Balizador da Meta'!$C$4:$C$21)</f>
        <v>192</v>
      </c>
      <c r="U1451" s="28">
        <f>U1448*_xlfn.XLOOKUP($L1451,'Balizador da Meta'!$B$4:$B$21,'Balizador da Meta'!$C$4:$C$21)</f>
        <v>192</v>
      </c>
      <c r="V1451" s="28">
        <f>V1448*_xlfn.XLOOKUP($L1451,'Balizador da Meta'!$B$4:$B$21,'Balizador da Meta'!$C$4:$C$21)</f>
        <v>192</v>
      </c>
      <c r="W1451" s="28">
        <f>W1448*_xlfn.XLOOKUP($L1451,'Balizador da Meta'!$B$4:$B$21,'Balizador da Meta'!$C$4:$C$21)</f>
        <v>192</v>
      </c>
      <c r="X1451" s="28">
        <f>X1448*_xlfn.XLOOKUP($L1451,'Balizador da Meta'!$B$4:$B$21,'Balizador da Meta'!$C$4:$C$21)</f>
        <v>192</v>
      </c>
      <c r="Y1451" s="28">
        <f>Y1448*_xlfn.XLOOKUP($L1451,'Balizador da Meta'!$B$4:$B$21,'Balizador da Meta'!$C$4:$C$21)</f>
        <v>240</v>
      </c>
      <c r="Z1451" s="30">
        <f t="shared" si="346"/>
        <v>2016</v>
      </c>
      <c r="AA1451" s="29"/>
      <c r="AB1451" s="31">
        <f>SUMIFS('Historico - FAT'!AK:AK,'Historico - FAT'!$K:$K,Faturamento!$L1451,'Historico - FAT'!$I:$I,Faturamento!$J1451,'Historico - FAT'!$G:$G,Faturamento!$H1451)</f>
        <v>0</v>
      </c>
      <c r="AC1451" s="31">
        <f>SUMIFS('Historico - FAT'!AL:AL,'Historico - FAT'!$K:$K,Faturamento!$L1451,'Historico - FAT'!$I:$I,Faturamento!$J1451,'Historico - FAT'!$G:$G,Faturamento!$H1451)</f>
        <v>23.685000000000002</v>
      </c>
      <c r="AD1451" s="31">
        <f>SUMIFS('Historico - FAT'!AM:AM,'Historico - FAT'!$K:$K,Faturamento!$L1451,'Historico - FAT'!$I:$I,Faturamento!$J1451,'Historico - FAT'!$G:$G,Faturamento!$H1451)</f>
        <v>47.370000000000005</v>
      </c>
      <c r="AE1451" s="27">
        <f>SUMIFS('Historico - FAT'!AN:AN,'Historico - FAT'!$K:$K,Faturamento!$L1451,'Historico - FAT'!$I:$I,Faturamento!$J1451,'Historico - FAT'!$G:$G,Faturamento!$H1451)</f>
        <v>28.422000000000004</v>
      </c>
      <c r="AG1451" s="24">
        <f t="shared" si="334"/>
        <v>1</v>
      </c>
      <c r="AH1451" s="24">
        <f t="shared" si="335"/>
        <v>0.88612980769230765</v>
      </c>
      <c r="AI1451" s="24">
        <f t="shared" si="336"/>
        <v>0.77225961538461541</v>
      </c>
    </row>
    <row r="1452" spans="1:35" hidden="1" x14ac:dyDescent="0.3">
      <c r="A1452" s="2" t="str">
        <f t="shared" si="333"/>
        <v>NÃO</v>
      </c>
      <c r="B1452" s="2">
        <v>1000184670</v>
      </c>
      <c r="C1452" s="2" t="s">
        <v>147</v>
      </c>
      <c r="D1452" s="4">
        <v>1000186197</v>
      </c>
      <c r="E1452" s="4" t="s">
        <v>166</v>
      </c>
      <c r="F1452" s="2">
        <v>1000184764</v>
      </c>
      <c r="G1452" s="2" t="s">
        <v>70</v>
      </c>
      <c r="H1452" s="4">
        <v>1000189821</v>
      </c>
      <c r="I1452" s="4" t="s">
        <v>71</v>
      </c>
      <c r="J1452" s="2">
        <v>1000189270</v>
      </c>
      <c r="K1452" s="2" t="s">
        <v>34</v>
      </c>
      <c r="L1452" s="4" t="s">
        <v>15</v>
      </c>
      <c r="M1452" s="4" t="str">
        <f t="shared" si="340"/>
        <v>1000184670100018619710001898211000189270DOCES</v>
      </c>
      <c r="N1452" s="28">
        <f>N1448*_xlfn.XLOOKUP($L1452,'Balizador da Meta'!$B$4:$B$21,'Balizador da Meta'!$C$4:$C$21)</f>
        <v>108</v>
      </c>
      <c r="O1452" s="28">
        <f>O1448*_xlfn.XLOOKUP($L1452,'Balizador da Meta'!$B$4:$B$21,'Balizador da Meta'!$C$4:$C$21)</f>
        <v>162</v>
      </c>
      <c r="P1452" s="28">
        <f>P1448*_xlfn.XLOOKUP($L1452,'Balizador da Meta'!$B$4:$B$21,'Balizador da Meta'!$C$4:$C$21)</f>
        <v>162</v>
      </c>
      <c r="Q1452" s="28">
        <f>Q1448*_xlfn.XLOOKUP($L1452,'Balizador da Meta'!$B$4:$B$21,'Balizador da Meta'!$C$4:$C$21)</f>
        <v>162</v>
      </c>
      <c r="R1452" s="28">
        <f>R1448*_xlfn.XLOOKUP($L1452,'Balizador da Meta'!$B$4:$B$21,'Balizador da Meta'!$C$4:$C$21)</f>
        <v>162</v>
      </c>
      <c r="S1452" s="28">
        <f>S1448*_xlfn.XLOOKUP($L1452,'Balizador da Meta'!$B$4:$B$21,'Balizador da Meta'!$C$4:$C$21)</f>
        <v>162</v>
      </c>
      <c r="T1452" s="28">
        <f>T1448*_xlfn.XLOOKUP($L1452,'Balizador da Meta'!$B$4:$B$21,'Balizador da Meta'!$C$4:$C$21)</f>
        <v>216</v>
      </c>
      <c r="U1452" s="28">
        <f>U1448*_xlfn.XLOOKUP($L1452,'Balizador da Meta'!$B$4:$B$21,'Balizador da Meta'!$C$4:$C$21)</f>
        <v>216</v>
      </c>
      <c r="V1452" s="28">
        <f>V1448*_xlfn.XLOOKUP($L1452,'Balizador da Meta'!$B$4:$B$21,'Balizador da Meta'!$C$4:$C$21)</f>
        <v>216</v>
      </c>
      <c r="W1452" s="28">
        <f>W1448*_xlfn.XLOOKUP($L1452,'Balizador da Meta'!$B$4:$B$21,'Balizador da Meta'!$C$4:$C$21)</f>
        <v>216</v>
      </c>
      <c r="X1452" s="28">
        <f>X1448*_xlfn.XLOOKUP($L1452,'Balizador da Meta'!$B$4:$B$21,'Balizador da Meta'!$C$4:$C$21)</f>
        <v>216</v>
      </c>
      <c r="Y1452" s="28">
        <f>Y1448*_xlfn.XLOOKUP($L1452,'Balizador da Meta'!$B$4:$B$21,'Balizador da Meta'!$C$4:$C$21)</f>
        <v>270</v>
      </c>
      <c r="Z1452" s="30">
        <f t="shared" si="346"/>
        <v>2268</v>
      </c>
      <c r="AA1452" s="29"/>
      <c r="AB1452" s="31">
        <f>SUMIFS('Historico - FAT'!AK:AK,'Historico - FAT'!$K:$K,Faturamento!$L1452,'Historico - FAT'!$I:$I,Faturamento!$J1452,'Historico - FAT'!$G:$G,Faturamento!$H1452)</f>
        <v>0</v>
      </c>
      <c r="AC1452" s="31">
        <f>SUMIFS('Historico - FAT'!AL:AL,'Historico - FAT'!$K:$K,Faturamento!$L1452,'Historico - FAT'!$I:$I,Faturamento!$J1452,'Historico - FAT'!$G:$G,Faturamento!$H1452)</f>
        <v>124.87416666666667</v>
      </c>
      <c r="AD1452" s="31">
        <f>SUMIFS('Historico - FAT'!AM:AM,'Historico - FAT'!$K:$K,Faturamento!$L1452,'Historico - FAT'!$I:$I,Faturamento!$J1452,'Historico - FAT'!$G:$G,Faturamento!$H1452)</f>
        <v>249.74833333333333</v>
      </c>
      <c r="AE1452" s="27">
        <f>SUMIFS('Historico - FAT'!AN:AN,'Historico - FAT'!$K:$K,Faturamento!$L1452,'Historico - FAT'!$I:$I,Faturamento!$J1452,'Historico - FAT'!$G:$G,Faturamento!$H1452)</f>
        <v>149.84899999999999</v>
      </c>
      <c r="AG1452" s="24">
        <f t="shared" si="334"/>
        <v>1</v>
      </c>
      <c r="AH1452" s="24">
        <f t="shared" si="335"/>
        <v>0.46634971509971512</v>
      </c>
      <c r="AI1452" s="24">
        <f t="shared" si="336"/>
        <v>-6.7300569800569809E-2</v>
      </c>
    </row>
    <row r="1453" spans="1:35" hidden="1" x14ac:dyDescent="0.3">
      <c r="A1453" s="2" t="str">
        <f t="shared" si="333"/>
        <v>NÃO</v>
      </c>
      <c r="B1453" s="2">
        <v>1000184670</v>
      </c>
      <c r="C1453" s="2" t="s">
        <v>147</v>
      </c>
      <c r="D1453" s="4">
        <v>1000186197</v>
      </c>
      <c r="E1453" s="4" t="s">
        <v>166</v>
      </c>
      <c r="F1453" s="2">
        <v>1000184764</v>
      </c>
      <c r="G1453" s="2" t="s">
        <v>70</v>
      </c>
      <c r="H1453" s="4">
        <v>1000189821</v>
      </c>
      <c r="I1453" s="4" t="s">
        <v>71</v>
      </c>
      <c r="J1453" s="2">
        <v>1000189270</v>
      </c>
      <c r="K1453" s="2" t="s">
        <v>34</v>
      </c>
      <c r="L1453" s="4" t="s">
        <v>33</v>
      </c>
      <c r="M1453" s="4" t="str">
        <f t="shared" si="340"/>
        <v>1000184670100018619710001898211000189270FOOD SERVICE</v>
      </c>
      <c r="N1453" s="28">
        <f>N1448*_xlfn.XLOOKUP($L1453,'Balizador da Meta'!$B$4:$B$21,'Balizador da Meta'!$C$4:$C$21)</f>
        <v>0</v>
      </c>
      <c r="O1453" s="28">
        <f>O1448*_xlfn.XLOOKUP($L1453,'Balizador da Meta'!$B$4:$B$21,'Balizador da Meta'!$C$4:$C$21)</f>
        <v>0</v>
      </c>
      <c r="P1453" s="28">
        <f>P1448*_xlfn.XLOOKUP($L1453,'Balizador da Meta'!$B$4:$B$21,'Balizador da Meta'!$C$4:$C$21)</f>
        <v>0</v>
      </c>
      <c r="Q1453" s="28">
        <f>Q1448*_xlfn.XLOOKUP($L1453,'Balizador da Meta'!$B$4:$B$21,'Balizador da Meta'!$C$4:$C$21)</f>
        <v>0</v>
      </c>
      <c r="R1453" s="28">
        <f>R1448*_xlfn.XLOOKUP($L1453,'Balizador da Meta'!$B$4:$B$21,'Balizador da Meta'!$C$4:$C$21)</f>
        <v>0</v>
      </c>
      <c r="S1453" s="28">
        <f>S1448*_xlfn.XLOOKUP($L1453,'Balizador da Meta'!$B$4:$B$21,'Balizador da Meta'!$C$4:$C$21)</f>
        <v>0</v>
      </c>
      <c r="T1453" s="28">
        <f>T1448*_xlfn.XLOOKUP($L1453,'Balizador da Meta'!$B$4:$B$21,'Balizador da Meta'!$C$4:$C$21)</f>
        <v>0</v>
      </c>
      <c r="U1453" s="28">
        <f>U1448*_xlfn.XLOOKUP($L1453,'Balizador da Meta'!$B$4:$B$21,'Balizador da Meta'!$C$4:$C$21)</f>
        <v>0</v>
      </c>
      <c r="V1453" s="28">
        <f>V1448*_xlfn.XLOOKUP($L1453,'Balizador da Meta'!$B$4:$B$21,'Balizador da Meta'!$C$4:$C$21)</f>
        <v>0</v>
      </c>
      <c r="W1453" s="28">
        <f>W1448*_xlfn.XLOOKUP($L1453,'Balizador da Meta'!$B$4:$B$21,'Balizador da Meta'!$C$4:$C$21)</f>
        <v>0</v>
      </c>
      <c r="X1453" s="28">
        <f>X1448*_xlfn.XLOOKUP($L1453,'Balizador da Meta'!$B$4:$B$21,'Balizador da Meta'!$C$4:$C$21)</f>
        <v>0</v>
      </c>
      <c r="Y1453" s="28">
        <f>Y1448*_xlfn.XLOOKUP($L1453,'Balizador da Meta'!$B$4:$B$21,'Balizador da Meta'!$C$4:$C$21)</f>
        <v>0</v>
      </c>
      <c r="Z1453" s="30">
        <f t="shared" si="346"/>
        <v>0</v>
      </c>
      <c r="AA1453" s="29"/>
      <c r="AB1453" s="31">
        <f>SUMIFS('Historico - FAT'!AK:AK,'Historico - FAT'!$K:$K,Faturamento!$L1453,'Historico - FAT'!$I:$I,Faturamento!$J1453,'Historico - FAT'!$G:$G,Faturamento!$H1453)</f>
        <v>0</v>
      </c>
      <c r="AC1453" s="31">
        <f>SUMIFS('Historico - FAT'!AL:AL,'Historico - FAT'!$K:$K,Faturamento!$L1453,'Historico - FAT'!$I:$I,Faturamento!$J1453,'Historico - FAT'!$G:$G,Faturamento!$H1453)</f>
        <v>0</v>
      </c>
      <c r="AD1453" s="31">
        <f>SUMIFS('Historico - FAT'!AM:AM,'Historico - FAT'!$K:$K,Faturamento!$L1453,'Historico - FAT'!$I:$I,Faturamento!$J1453,'Historico - FAT'!$G:$G,Faturamento!$H1453)</f>
        <v>0</v>
      </c>
      <c r="AE1453" s="27">
        <f>SUMIFS('Historico - FAT'!AN:AN,'Historico - FAT'!$K:$K,Faturamento!$L1453,'Historico - FAT'!$I:$I,Faturamento!$J1453,'Historico - FAT'!$G:$G,Faturamento!$H1453)</f>
        <v>0</v>
      </c>
      <c r="AG1453" s="24" t="str">
        <f t="shared" si="334"/>
        <v/>
      </c>
      <c r="AH1453" s="24" t="str">
        <f t="shared" si="335"/>
        <v/>
      </c>
      <c r="AI1453" s="24" t="str">
        <f t="shared" si="336"/>
        <v/>
      </c>
    </row>
    <row r="1454" spans="1:35" hidden="1" x14ac:dyDescent="0.3">
      <c r="A1454" s="2" t="str">
        <f t="shared" si="333"/>
        <v>NÃO</v>
      </c>
      <c r="B1454" s="2">
        <v>1000184670</v>
      </c>
      <c r="C1454" s="2" t="s">
        <v>147</v>
      </c>
      <c r="D1454" s="4">
        <v>1000186197</v>
      </c>
      <c r="E1454" s="4" t="s">
        <v>166</v>
      </c>
      <c r="F1454" s="2">
        <v>1000184764</v>
      </c>
      <c r="G1454" s="2" t="s">
        <v>70</v>
      </c>
      <c r="H1454" s="4">
        <v>1000189821</v>
      </c>
      <c r="I1454" s="4" t="s">
        <v>71</v>
      </c>
      <c r="J1454" s="2">
        <v>1000189270</v>
      </c>
      <c r="K1454" s="2" t="s">
        <v>34</v>
      </c>
      <c r="L1454" s="4" t="s">
        <v>19</v>
      </c>
      <c r="M1454" s="4" t="str">
        <f t="shared" si="340"/>
        <v>1000184670100018619710001898211000189270GELEIA</v>
      </c>
      <c r="N1454" s="28">
        <f>N1448*_xlfn.XLOOKUP($L1454,'Balizador da Meta'!$B$4:$B$21,'Balizador da Meta'!$C$4:$C$21)</f>
        <v>23.999999999999996</v>
      </c>
      <c r="O1454" s="28">
        <f>O1448*_xlfn.XLOOKUP($L1454,'Balizador da Meta'!$B$4:$B$21,'Balizador da Meta'!$C$4:$C$21)</f>
        <v>35.999999999999993</v>
      </c>
      <c r="P1454" s="28">
        <f>P1448*_xlfn.XLOOKUP($L1454,'Balizador da Meta'!$B$4:$B$21,'Balizador da Meta'!$C$4:$C$21)</f>
        <v>35.999999999999993</v>
      </c>
      <c r="Q1454" s="28">
        <f>Q1448*_xlfn.XLOOKUP($L1454,'Balizador da Meta'!$B$4:$B$21,'Balizador da Meta'!$C$4:$C$21)</f>
        <v>35.999999999999993</v>
      </c>
      <c r="R1454" s="28">
        <f>R1448*_xlfn.XLOOKUP($L1454,'Balizador da Meta'!$B$4:$B$21,'Balizador da Meta'!$C$4:$C$21)</f>
        <v>35.999999999999993</v>
      </c>
      <c r="S1454" s="28">
        <f>S1448*_xlfn.XLOOKUP($L1454,'Balizador da Meta'!$B$4:$B$21,'Balizador da Meta'!$C$4:$C$21)</f>
        <v>35.999999999999993</v>
      </c>
      <c r="T1454" s="28">
        <f>T1448*_xlfn.XLOOKUP($L1454,'Balizador da Meta'!$B$4:$B$21,'Balizador da Meta'!$C$4:$C$21)</f>
        <v>47.999999999999993</v>
      </c>
      <c r="U1454" s="28">
        <f>U1448*_xlfn.XLOOKUP($L1454,'Balizador da Meta'!$B$4:$B$21,'Balizador da Meta'!$C$4:$C$21)</f>
        <v>47.999999999999993</v>
      </c>
      <c r="V1454" s="28">
        <f>V1448*_xlfn.XLOOKUP($L1454,'Balizador da Meta'!$B$4:$B$21,'Balizador da Meta'!$C$4:$C$21)</f>
        <v>47.999999999999993</v>
      </c>
      <c r="W1454" s="28">
        <f>W1448*_xlfn.XLOOKUP($L1454,'Balizador da Meta'!$B$4:$B$21,'Balizador da Meta'!$C$4:$C$21)</f>
        <v>47.999999999999993</v>
      </c>
      <c r="X1454" s="28">
        <f>X1448*_xlfn.XLOOKUP($L1454,'Balizador da Meta'!$B$4:$B$21,'Balizador da Meta'!$C$4:$C$21)</f>
        <v>47.999999999999993</v>
      </c>
      <c r="Y1454" s="28">
        <f>Y1448*_xlfn.XLOOKUP($L1454,'Balizador da Meta'!$B$4:$B$21,'Balizador da Meta'!$C$4:$C$21)</f>
        <v>59.999999999999993</v>
      </c>
      <c r="Z1454" s="30">
        <f t="shared" si="346"/>
        <v>503.99999999999994</v>
      </c>
      <c r="AA1454" s="29"/>
      <c r="AB1454" s="31">
        <f>SUMIFS('Historico - FAT'!AK:AK,'Historico - FAT'!$K:$K,Faturamento!$L1454,'Historico - FAT'!$I:$I,Faturamento!$J1454,'Historico - FAT'!$G:$G,Faturamento!$H1454)</f>
        <v>0</v>
      </c>
      <c r="AC1454" s="31">
        <f>SUMIFS('Historico - FAT'!AL:AL,'Historico - FAT'!$K:$K,Faturamento!$L1454,'Historico - FAT'!$I:$I,Faturamento!$J1454,'Historico - FAT'!$G:$G,Faturamento!$H1454)</f>
        <v>0</v>
      </c>
      <c r="AD1454" s="31">
        <f>SUMIFS('Historico - FAT'!AM:AM,'Historico - FAT'!$K:$K,Faturamento!$L1454,'Historico - FAT'!$I:$I,Faturamento!$J1454,'Historico - FAT'!$G:$G,Faturamento!$H1454)</f>
        <v>0</v>
      </c>
      <c r="AE1454" s="27">
        <f>SUMIFS('Historico - FAT'!AN:AN,'Historico - FAT'!$K:$K,Faturamento!$L1454,'Historico - FAT'!$I:$I,Faturamento!$J1454,'Historico - FAT'!$G:$G,Faturamento!$H1454)</f>
        <v>0</v>
      </c>
      <c r="AG1454" s="24">
        <f t="shared" si="334"/>
        <v>1</v>
      </c>
      <c r="AH1454" s="24">
        <f t="shared" si="335"/>
        <v>1</v>
      </c>
      <c r="AI1454" s="24">
        <f t="shared" si="336"/>
        <v>1</v>
      </c>
    </row>
    <row r="1455" spans="1:35" hidden="1" x14ac:dyDescent="0.3">
      <c r="A1455" s="2" t="str">
        <f t="shared" si="333"/>
        <v>NÃO</v>
      </c>
      <c r="B1455" s="2">
        <v>1000184670</v>
      </c>
      <c r="C1455" s="2" t="s">
        <v>147</v>
      </c>
      <c r="D1455" s="4">
        <v>1000186197</v>
      </c>
      <c r="E1455" s="4" t="s">
        <v>166</v>
      </c>
      <c r="F1455" s="2">
        <v>1000184764</v>
      </c>
      <c r="G1455" s="2" t="s">
        <v>70</v>
      </c>
      <c r="H1455" s="4">
        <v>1000189821</v>
      </c>
      <c r="I1455" s="4" t="s">
        <v>71</v>
      </c>
      <c r="J1455" s="2">
        <v>1000189270</v>
      </c>
      <c r="K1455" s="2" t="s">
        <v>34</v>
      </c>
      <c r="L1455" s="4" t="s">
        <v>17</v>
      </c>
      <c r="M1455" s="4" t="str">
        <f t="shared" si="340"/>
        <v>1000184670100018619710001898211000189270GRANOLA</v>
      </c>
      <c r="N1455" s="28">
        <f>N1448*_xlfn.XLOOKUP($L1455,'Balizador da Meta'!$B$4:$B$21,'Balizador da Meta'!$C$4:$C$21)</f>
        <v>24</v>
      </c>
      <c r="O1455" s="28">
        <f>O1448*_xlfn.XLOOKUP($L1455,'Balizador da Meta'!$B$4:$B$21,'Balizador da Meta'!$C$4:$C$21)</f>
        <v>36</v>
      </c>
      <c r="P1455" s="28">
        <f>P1448*_xlfn.XLOOKUP($L1455,'Balizador da Meta'!$B$4:$B$21,'Balizador da Meta'!$C$4:$C$21)</f>
        <v>36</v>
      </c>
      <c r="Q1455" s="28">
        <f>Q1448*_xlfn.XLOOKUP($L1455,'Balizador da Meta'!$B$4:$B$21,'Balizador da Meta'!$C$4:$C$21)</f>
        <v>36</v>
      </c>
      <c r="R1455" s="28">
        <f>R1448*_xlfn.XLOOKUP($L1455,'Balizador da Meta'!$B$4:$B$21,'Balizador da Meta'!$C$4:$C$21)</f>
        <v>36</v>
      </c>
      <c r="S1455" s="28">
        <f>S1448*_xlfn.XLOOKUP($L1455,'Balizador da Meta'!$B$4:$B$21,'Balizador da Meta'!$C$4:$C$21)</f>
        <v>36</v>
      </c>
      <c r="T1455" s="28">
        <f>T1448*_xlfn.XLOOKUP($L1455,'Balizador da Meta'!$B$4:$B$21,'Balizador da Meta'!$C$4:$C$21)</f>
        <v>48</v>
      </c>
      <c r="U1455" s="28">
        <f>U1448*_xlfn.XLOOKUP($L1455,'Balizador da Meta'!$B$4:$B$21,'Balizador da Meta'!$C$4:$C$21)</f>
        <v>48</v>
      </c>
      <c r="V1455" s="28">
        <f>V1448*_xlfn.XLOOKUP($L1455,'Balizador da Meta'!$B$4:$B$21,'Balizador da Meta'!$C$4:$C$21)</f>
        <v>48</v>
      </c>
      <c r="W1455" s="28">
        <f>W1448*_xlfn.XLOOKUP($L1455,'Balizador da Meta'!$B$4:$B$21,'Balizador da Meta'!$C$4:$C$21)</f>
        <v>48</v>
      </c>
      <c r="X1455" s="28">
        <f>X1448*_xlfn.XLOOKUP($L1455,'Balizador da Meta'!$B$4:$B$21,'Balizador da Meta'!$C$4:$C$21)</f>
        <v>48</v>
      </c>
      <c r="Y1455" s="28">
        <f>Y1448*_xlfn.XLOOKUP($L1455,'Balizador da Meta'!$B$4:$B$21,'Balizador da Meta'!$C$4:$C$21)</f>
        <v>60</v>
      </c>
      <c r="Z1455" s="30">
        <f t="shared" si="346"/>
        <v>504</v>
      </c>
      <c r="AA1455" s="29"/>
      <c r="AB1455" s="31">
        <f>SUMIFS('Historico - FAT'!AK:AK,'Historico - FAT'!$K:$K,Faturamento!$L1455,'Historico - FAT'!$I:$I,Faturamento!$J1455,'Historico - FAT'!$G:$G,Faturamento!$H1455)</f>
        <v>0</v>
      </c>
      <c r="AC1455" s="31">
        <f>SUMIFS('Historico - FAT'!AL:AL,'Historico - FAT'!$K:$K,Faturamento!$L1455,'Historico - FAT'!$I:$I,Faturamento!$J1455,'Historico - FAT'!$G:$G,Faturamento!$H1455)</f>
        <v>0</v>
      </c>
      <c r="AD1455" s="31">
        <f>SUMIFS('Historico - FAT'!AM:AM,'Historico - FAT'!$K:$K,Faturamento!$L1455,'Historico - FAT'!$I:$I,Faturamento!$J1455,'Historico - FAT'!$G:$G,Faturamento!$H1455)</f>
        <v>0</v>
      </c>
      <c r="AE1455" s="27">
        <f>SUMIFS('Historico - FAT'!AN:AN,'Historico - FAT'!$K:$K,Faturamento!$L1455,'Historico - FAT'!$I:$I,Faturamento!$J1455,'Historico - FAT'!$G:$G,Faturamento!$H1455)</f>
        <v>0</v>
      </c>
      <c r="AG1455" s="24">
        <f t="shared" si="334"/>
        <v>1</v>
      </c>
      <c r="AH1455" s="24">
        <f t="shared" si="335"/>
        <v>1</v>
      </c>
      <c r="AI1455" s="24">
        <f t="shared" si="336"/>
        <v>1</v>
      </c>
    </row>
    <row r="1456" spans="1:35" hidden="1" x14ac:dyDescent="0.3">
      <c r="A1456" s="2" t="str">
        <f t="shared" si="333"/>
        <v>NÃO</v>
      </c>
      <c r="B1456" s="2">
        <v>1000184670</v>
      </c>
      <c r="C1456" s="2" t="s">
        <v>147</v>
      </c>
      <c r="D1456" s="4">
        <v>1000186197</v>
      </c>
      <c r="E1456" s="4" t="s">
        <v>166</v>
      </c>
      <c r="F1456" s="2">
        <v>1000184764</v>
      </c>
      <c r="G1456" s="2" t="s">
        <v>70</v>
      </c>
      <c r="H1456" s="4">
        <v>1000189821</v>
      </c>
      <c r="I1456" s="4" t="s">
        <v>71</v>
      </c>
      <c r="J1456" s="2">
        <v>1000189270</v>
      </c>
      <c r="K1456" s="2" t="s">
        <v>34</v>
      </c>
      <c r="L1456" s="4" t="s">
        <v>24</v>
      </c>
      <c r="M1456" s="4" t="str">
        <f t="shared" si="340"/>
        <v>1000184670100018619710001898211000189270KIDS</v>
      </c>
      <c r="N1456" s="28">
        <f>N1448*_xlfn.XLOOKUP($L1456,'Balizador da Meta'!$B$4:$B$21,'Balizador da Meta'!$C$4:$C$21)</f>
        <v>0</v>
      </c>
      <c r="O1456" s="28">
        <f>O1448*_xlfn.XLOOKUP($L1456,'Balizador da Meta'!$B$4:$B$21,'Balizador da Meta'!$C$4:$C$21)</f>
        <v>0</v>
      </c>
      <c r="P1456" s="28">
        <f>P1448*_xlfn.XLOOKUP($L1456,'Balizador da Meta'!$B$4:$B$21,'Balizador da Meta'!$C$4:$C$21)</f>
        <v>0</v>
      </c>
      <c r="Q1456" s="28">
        <f>Q1448*_xlfn.XLOOKUP($L1456,'Balizador da Meta'!$B$4:$B$21,'Balizador da Meta'!$C$4:$C$21)</f>
        <v>0</v>
      </c>
      <c r="R1456" s="28">
        <f>R1448*_xlfn.XLOOKUP($L1456,'Balizador da Meta'!$B$4:$B$21,'Balizador da Meta'!$C$4:$C$21)</f>
        <v>0</v>
      </c>
      <c r="S1456" s="28">
        <f>S1448*_xlfn.XLOOKUP($L1456,'Balizador da Meta'!$B$4:$B$21,'Balizador da Meta'!$C$4:$C$21)</f>
        <v>0</v>
      </c>
      <c r="T1456" s="28">
        <f>T1448*_xlfn.XLOOKUP($L1456,'Balizador da Meta'!$B$4:$B$21,'Balizador da Meta'!$C$4:$C$21)</f>
        <v>0</v>
      </c>
      <c r="U1456" s="28">
        <f>U1448*_xlfn.XLOOKUP($L1456,'Balizador da Meta'!$B$4:$B$21,'Balizador da Meta'!$C$4:$C$21)</f>
        <v>0</v>
      </c>
      <c r="V1456" s="28">
        <f>V1448*_xlfn.XLOOKUP($L1456,'Balizador da Meta'!$B$4:$B$21,'Balizador da Meta'!$C$4:$C$21)</f>
        <v>0</v>
      </c>
      <c r="W1456" s="28">
        <f>W1448*_xlfn.XLOOKUP($L1456,'Balizador da Meta'!$B$4:$B$21,'Balizador da Meta'!$C$4:$C$21)</f>
        <v>0</v>
      </c>
      <c r="X1456" s="28">
        <f>X1448*_xlfn.XLOOKUP($L1456,'Balizador da Meta'!$B$4:$B$21,'Balizador da Meta'!$C$4:$C$21)</f>
        <v>0</v>
      </c>
      <c r="Y1456" s="28">
        <f>Y1448*_xlfn.XLOOKUP($L1456,'Balizador da Meta'!$B$4:$B$21,'Balizador da Meta'!$C$4:$C$21)</f>
        <v>0</v>
      </c>
      <c r="Z1456" s="30">
        <f t="shared" si="346"/>
        <v>0</v>
      </c>
      <c r="AA1456" s="29"/>
      <c r="AB1456" s="31">
        <f>SUMIFS('Historico - FAT'!AK:AK,'Historico - FAT'!$K:$K,Faturamento!$L1456,'Historico - FAT'!$I:$I,Faturamento!$J1456,'Historico - FAT'!$G:$G,Faturamento!$H1456)</f>
        <v>0</v>
      </c>
      <c r="AC1456" s="31">
        <f>SUMIFS('Historico - FAT'!AL:AL,'Historico - FAT'!$K:$K,Faturamento!$L1456,'Historico - FAT'!$I:$I,Faturamento!$J1456,'Historico - FAT'!$G:$G,Faturamento!$H1456)</f>
        <v>4.79</v>
      </c>
      <c r="AD1456" s="31">
        <f>SUMIFS('Historico - FAT'!AM:AM,'Historico - FAT'!$K:$K,Faturamento!$L1456,'Historico - FAT'!$I:$I,Faturamento!$J1456,'Historico - FAT'!$G:$G,Faturamento!$H1456)</f>
        <v>9.58</v>
      </c>
      <c r="AE1456" s="27">
        <f>SUMIFS('Historico - FAT'!AN:AN,'Historico - FAT'!$K:$K,Faturamento!$L1456,'Historico - FAT'!$I:$I,Faturamento!$J1456,'Historico - FAT'!$G:$G,Faturamento!$H1456)</f>
        <v>5.7479999999999993</v>
      </c>
      <c r="AG1456" s="24" t="str">
        <f t="shared" si="334"/>
        <v/>
      </c>
      <c r="AH1456" s="24" t="str">
        <f t="shared" si="335"/>
        <v/>
      </c>
      <c r="AI1456" s="24" t="str">
        <f t="shared" si="336"/>
        <v/>
      </c>
    </row>
    <row r="1457" spans="1:35" hidden="1" x14ac:dyDescent="0.3">
      <c r="A1457" s="2" t="str">
        <f t="shared" si="333"/>
        <v>NÃO</v>
      </c>
      <c r="B1457" s="2">
        <v>1000184670</v>
      </c>
      <c r="C1457" s="2" t="s">
        <v>147</v>
      </c>
      <c r="D1457" s="4">
        <v>1000186197</v>
      </c>
      <c r="E1457" s="4" t="s">
        <v>166</v>
      </c>
      <c r="F1457" s="2">
        <v>1000184764</v>
      </c>
      <c r="G1457" s="2" t="s">
        <v>70</v>
      </c>
      <c r="H1457" s="4">
        <v>1000189821</v>
      </c>
      <c r="I1457" s="4" t="s">
        <v>71</v>
      </c>
      <c r="J1457" s="2">
        <v>1000189270</v>
      </c>
      <c r="K1457" s="2" t="s">
        <v>34</v>
      </c>
      <c r="L1457" s="4" t="s">
        <v>18</v>
      </c>
      <c r="M1457" s="4" t="str">
        <f t="shared" si="340"/>
        <v>1000184670100018619710001898211000189270LANCHES</v>
      </c>
      <c r="N1457" s="28">
        <f>N1448*_xlfn.XLOOKUP($L1457,'Balizador da Meta'!$B$4:$B$21,'Balizador da Meta'!$C$4:$C$21)</f>
        <v>12</v>
      </c>
      <c r="O1457" s="28">
        <f>O1448*_xlfn.XLOOKUP($L1457,'Balizador da Meta'!$B$4:$B$21,'Balizador da Meta'!$C$4:$C$21)</f>
        <v>18</v>
      </c>
      <c r="P1457" s="28">
        <f>P1448*_xlfn.XLOOKUP($L1457,'Balizador da Meta'!$B$4:$B$21,'Balizador da Meta'!$C$4:$C$21)</f>
        <v>18</v>
      </c>
      <c r="Q1457" s="28">
        <f>Q1448*_xlfn.XLOOKUP($L1457,'Balizador da Meta'!$B$4:$B$21,'Balizador da Meta'!$C$4:$C$21)</f>
        <v>18</v>
      </c>
      <c r="R1457" s="28">
        <f>R1448*_xlfn.XLOOKUP($L1457,'Balizador da Meta'!$B$4:$B$21,'Balizador da Meta'!$C$4:$C$21)</f>
        <v>18</v>
      </c>
      <c r="S1457" s="28">
        <f>S1448*_xlfn.XLOOKUP($L1457,'Balizador da Meta'!$B$4:$B$21,'Balizador da Meta'!$C$4:$C$21)</f>
        <v>18</v>
      </c>
      <c r="T1457" s="28">
        <f>T1448*_xlfn.XLOOKUP($L1457,'Balizador da Meta'!$B$4:$B$21,'Balizador da Meta'!$C$4:$C$21)</f>
        <v>24</v>
      </c>
      <c r="U1457" s="28">
        <f>U1448*_xlfn.XLOOKUP($L1457,'Balizador da Meta'!$B$4:$B$21,'Balizador da Meta'!$C$4:$C$21)</f>
        <v>24</v>
      </c>
      <c r="V1457" s="28">
        <f>V1448*_xlfn.XLOOKUP($L1457,'Balizador da Meta'!$B$4:$B$21,'Balizador da Meta'!$C$4:$C$21)</f>
        <v>24</v>
      </c>
      <c r="W1457" s="28">
        <f>W1448*_xlfn.XLOOKUP($L1457,'Balizador da Meta'!$B$4:$B$21,'Balizador da Meta'!$C$4:$C$21)</f>
        <v>24</v>
      </c>
      <c r="X1457" s="28">
        <f>X1448*_xlfn.XLOOKUP($L1457,'Balizador da Meta'!$B$4:$B$21,'Balizador da Meta'!$C$4:$C$21)</f>
        <v>24</v>
      </c>
      <c r="Y1457" s="28">
        <f>Y1448*_xlfn.XLOOKUP($L1457,'Balizador da Meta'!$B$4:$B$21,'Balizador da Meta'!$C$4:$C$21)</f>
        <v>30</v>
      </c>
      <c r="Z1457" s="30">
        <f t="shared" si="346"/>
        <v>252</v>
      </c>
      <c r="AA1457" s="29"/>
      <c r="AB1457" s="31">
        <f>SUMIFS('Historico - FAT'!AK:AK,'Historico - FAT'!$K:$K,Faturamento!$L1457,'Historico - FAT'!$I:$I,Faturamento!$J1457,'Historico - FAT'!$G:$G,Faturamento!$H1457)</f>
        <v>0</v>
      </c>
      <c r="AC1457" s="31">
        <f>SUMIFS('Historico - FAT'!AL:AL,'Historico - FAT'!$K:$K,Faturamento!$L1457,'Historico - FAT'!$I:$I,Faturamento!$J1457,'Historico - FAT'!$G:$G,Faturamento!$H1457)</f>
        <v>0</v>
      </c>
      <c r="AD1457" s="31">
        <f>SUMIFS('Historico - FAT'!AM:AM,'Historico - FAT'!$K:$K,Faturamento!$L1457,'Historico - FAT'!$I:$I,Faturamento!$J1457,'Historico - FAT'!$G:$G,Faturamento!$H1457)</f>
        <v>0</v>
      </c>
      <c r="AE1457" s="27">
        <f>SUMIFS('Historico - FAT'!AN:AN,'Historico - FAT'!$K:$K,Faturamento!$L1457,'Historico - FAT'!$I:$I,Faturamento!$J1457,'Historico - FAT'!$G:$G,Faturamento!$H1457)</f>
        <v>0</v>
      </c>
      <c r="AG1457" s="24">
        <f t="shared" si="334"/>
        <v>1</v>
      </c>
      <c r="AH1457" s="24">
        <f t="shared" si="335"/>
        <v>1</v>
      </c>
      <c r="AI1457" s="24">
        <f t="shared" si="336"/>
        <v>1</v>
      </c>
    </row>
    <row r="1458" spans="1:35" hidden="1" x14ac:dyDescent="0.3">
      <c r="A1458" s="2" t="str">
        <f t="shared" ref="A1458:A1521" si="347">IF(OR(H1458&lt;&gt;H1457,J1458&lt;&gt;J1457),"SIM","NÃO")</f>
        <v>NÃO</v>
      </c>
      <c r="B1458" s="2">
        <v>1000184670</v>
      </c>
      <c r="C1458" s="2" t="s">
        <v>147</v>
      </c>
      <c r="D1458" s="4">
        <v>1000186197</v>
      </c>
      <c r="E1458" s="4" t="s">
        <v>166</v>
      </c>
      <c r="F1458" s="2">
        <v>1000184764</v>
      </c>
      <c r="G1458" s="2" t="s">
        <v>70</v>
      </c>
      <c r="H1458" s="4">
        <v>1000189821</v>
      </c>
      <c r="I1458" s="4" t="s">
        <v>71</v>
      </c>
      <c r="J1458" s="2">
        <v>1000189270</v>
      </c>
      <c r="K1458" s="2" t="s">
        <v>34</v>
      </c>
      <c r="L1458" s="4" t="s">
        <v>29</v>
      </c>
      <c r="M1458" s="4" t="str">
        <f t="shared" si="340"/>
        <v>1000184670100018619710001898211000189270MAIS GRANEL</v>
      </c>
      <c r="N1458" s="28">
        <f>N1448*_xlfn.XLOOKUP($L1458,'Balizador da Meta'!$B$4:$B$21,'Balizador da Meta'!$C$4:$C$21)</f>
        <v>384</v>
      </c>
      <c r="O1458" s="28">
        <f>O1448*_xlfn.XLOOKUP($L1458,'Balizador da Meta'!$B$4:$B$21,'Balizador da Meta'!$C$4:$C$21)</f>
        <v>576</v>
      </c>
      <c r="P1458" s="28">
        <f>P1448*_xlfn.XLOOKUP($L1458,'Balizador da Meta'!$B$4:$B$21,'Balizador da Meta'!$C$4:$C$21)</f>
        <v>576</v>
      </c>
      <c r="Q1458" s="28">
        <f>Q1448*_xlfn.XLOOKUP($L1458,'Balizador da Meta'!$B$4:$B$21,'Balizador da Meta'!$C$4:$C$21)</f>
        <v>576</v>
      </c>
      <c r="R1458" s="28">
        <f>R1448*_xlfn.XLOOKUP($L1458,'Balizador da Meta'!$B$4:$B$21,'Balizador da Meta'!$C$4:$C$21)</f>
        <v>576</v>
      </c>
      <c r="S1458" s="28">
        <f>S1448*_xlfn.XLOOKUP($L1458,'Balizador da Meta'!$B$4:$B$21,'Balizador da Meta'!$C$4:$C$21)</f>
        <v>576</v>
      </c>
      <c r="T1458" s="28">
        <f>T1448*_xlfn.XLOOKUP($L1458,'Balizador da Meta'!$B$4:$B$21,'Balizador da Meta'!$C$4:$C$21)</f>
        <v>768</v>
      </c>
      <c r="U1458" s="28">
        <f>U1448*_xlfn.XLOOKUP($L1458,'Balizador da Meta'!$B$4:$B$21,'Balizador da Meta'!$C$4:$C$21)</f>
        <v>768</v>
      </c>
      <c r="V1458" s="28">
        <f>V1448*_xlfn.XLOOKUP($L1458,'Balizador da Meta'!$B$4:$B$21,'Balizador da Meta'!$C$4:$C$21)</f>
        <v>768</v>
      </c>
      <c r="W1458" s="28">
        <f>W1448*_xlfn.XLOOKUP($L1458,'Balizador da Meta'!$B$4:$B$21,'Balizador da Meta'!$C$4:$C$21)</f>
        <v>768</v>
      </c>
      <c r="X1458" s="28">
        <f>X1448*_xlfn.XLOOKUP($L1458,'Balizador da Meta'!$B$4:$B$21,'Balizador da Meta'!$C$4:$C$21)</f>
        <v>768</v>
      </c>
      <c r="Y1458" s="28">
        <f>Y1448*_xlfn.XLOOKUP($L1458,'Balizador da Meta'!$B$4:$B$21,'Balizador da Meta'!$C$4:$C$21)</f>
        <v>960</v>
      </c>
      <c r="Z1458" s="30">
        <f t="shared" si="346"/>
        <v>8064</v>
      </c>
      <c r="AA1458" s="29"/>
      <c r="AB1458" s="31">
        <f>SUMIFS('Historico - FAT'!AK:AK,'Historico - FAT'!$K:$K,Faturamento!$L1458,'Historico - FAT'!$I:$I,Faturamento!$J1458,'Historico - FAT'!$G:$G,Faturamento!$H1458)</f>
        <v>0</v>
      </c>
      <c r="AC1458" s="31">
        <f>SUMIFS('Historico - FAT'!AL:AL,'Historico - FAT'!$K:$K,Faturamento!$L1458,'Historico - FAT'!$I:$I,Faturamento!$J1458,'Historico - FAT'!$G:$G,Faturamento!$H1458)</f>
        <v>1199.0416666666667</v>
      </c>
      <c r="AD1458" s="31">
        <f>SUMIFS('Historico - FAT'!AM:AM,'Historico - FAT'!$K:$K,Faturamento!$L1458,'Historico - FAT'!$I:$I,Faturamento!$J1458,'Historico - FAT'!$G:$G,Faturamento!$H1458)</f>
        <v>2398.0833333333335</v>
      </c>
      <c r="AE1458" s="27">
        <f>SUMIFS('Historico - FAT'!AN:AN,'Historico - FAT'!$K:$K,Faturamento!$L1458,'Historico - FAT'!$I:$I,Faturamento!$J1458,'Historico - FAT'!$G:$G,Faturamento!$H1458)</f>
        <v>1438.85</v>
      </c>
      <c r="AG1458" s="24">
        <f t="shared" ref="AG1458:AG1521" si="348">IFERROR((AVERAGE(W1458:Y1458)-AB1458)/AVERAGE(W1458:Y1458),"")</f>
        <v>1</v>
      </c>
      <c r="AH1458" s="24">
        <f t="shared" ref="AH1458:AH1521" si="349">IFERROR((AVERAGE(W1458:Y1458)-AC1458)/AVERAGE(W1458:Y1458),"")</f>
        <v>-0.44115584935897445</v>
      </c>
      <c r="AI1458" s="24">
        <f t="shared" ref="AI1458:AI1521" si="350">IFERROR((AVERAGE(W1458:Y1458)-AD1458)/AVERAGE(W1458:Y1458),"")</f>
        <v>-1.8823116987179489</v>
      </c>
    </row>
    <row r="1459" spans="1:35" hidden="1" x14ac:dyDescent="0.3">
      <c r="A1459" s="2" t="str">
        <f t="shared" si="347"/>
        <v>NÃO</v>
      </c>
      <c r="B1459" s="2">
        <v>1000184670</v>
      </c>
      <c r="C1459" s="2" t="s">
        <v>147</v>
      </c>
      <c r="D1459" s="4">
        <v>1000186197</v>
      </c>
      <c r="E1459" s="4" t="s">
        <v>166</v>
      </c>
      <c r="F1459" s="2">
        <v>1000184764</v>
      </c>
      <c r="G1459" s="2" t="s">
        <v>70</v>
      </c>
      <c r="H1459" s="4">
        <v>1000189821</v>
      </c>
      <c r="I1459" s="4" t="s">
        <v>71</v>
      </c>
      <c r="J1459" s="2">
        <v>1000189270</v>
      </c>
      <c r="K1459" s="2" t="s">
        <v>34</v>
      </c>
      <c r="L1459" s="4" t="s">
        <v>21</v>
      </c>
      <c r="M1459" s="4" t="str">
        <f t="shared" si="340"/>
        <v>1000184670100018619710001898211000189270NATURATTA</v>
      </c>
      <c r="N1459" s="28">
        <f>N1448*_xlfn.XLOOKUP($L1459,'Balizador da Meta'!$B$4:$B$21,'Balizador da Meta'!$C$4:$C$21)</f>
        <v>60</v>
      </c>
      <c r="O1459" s="28">
        <f>O1448*_xlfn.XLOOKUP($L1459,'Balizador da Meta'!$B$4:$B$21,'Balizador da Meta'!$C$4:$C$21)</f>
        <v>90</v>
      </c>
      <c r="P1459" s="28">
        <f>P1448*_xlfn.XLOOKUP($L1459,'Balizador da Meta'!$B$4:$B$21,'Balizador da Meta'!$C$4:$C$21)</f>
        <v>90</v>
      </c>
      <c r="Q1459" s="28">
        <f>Q1448*_xlfn.XLOOKUP($L1459,'Balizador da Meta'!$B$4:$B$21,'Balizador da Meta'!$C$4:$C$21)</f>
        <v>90</v>
      </c>
      <c r="R1459" s="28">
        <f>R1448*_xlfn.XLOOKUP($L1459,'Balizador da Meta'!$B$4:$B$21,'Balizador da Meta'!$C$4:$C$21)</f>
        <v>90</v>
      </c>
      <c r="S1459" s="28">
        <f>S1448*_xlfn.XLOOKUP($L1459,'Balizador da Meta'!$B$4:$B$21,'Balizador da Meta'!$C$4:$C$21)</f>
        <v>90</v>
      </c>
      <c r="T1459" s="28">
        <f>T1448*_xlfn.XLOOKUP($L1459,'Balizador da Meta'!$B$4:$B$21,'Balizador da Meta'!$C$4:$C$21)</f>
        <v>120</v>
      </c>
      <c r="U1459" s="28">
        <f>U1448*_xlfn.XLOOKUP($L1459,'Balizador da Meta'!$B$4:$B$21,'Balizador da Meta'!$C$4:$C$21)</f>
        <v>120</v>
      </c>
      <c r="V1459" s="28">
        <f>V1448*_xlfn.XLOOKUP($L1459,'Balizador da Meta'!$B$4:$B$21,'Balizador da Meta'!$C$4:$C$21)</f>
        <v>120</v>
      </c>
      <c r="W1459" s="28">
        <f>W1448*_xlfn.XLOOKUP($L1459,'Balizador da Meta'!$B$4:$B$21,'Balizador da Meta'!$C$4:$C$21)</f>
        <v>120</v>
      </c>
      <c r="X1459" s="28">
        <f>X1448*_xlfn.XLOOKUP($L1459,'Balizador da Meta'!$B$4:$B$21,'Balizador da Meta'!$C$4:$C$21)</f>
        <v>120</v>
      </c>
      <c r="Y1459" s="28">
        <f>Y1448*_xlfn.XLOOKUP($L1459,'Balizador da Meta'!$B$4:$B$21,'Balizador da Meta'!$C$4:$C$21)</f>
        <v>150</v>
      </c>
      <c r="Z1459" s="30">
        <f t="shared" si="346"/>
        <v>1260</v>
      </c>
      <c r="AA1459" s="29"/>
      <c r="AB1459" s="31">
        <f>SUMIFS('Historico - FAT'!AK:AK,'Historico - FAT'!$K:$K,Faturamento!$L1459,'Historico - FAT'!$I:$I,Faturamento!$J1459,'Historico - FAT'!$G:$G,Faturamento!$H1459)</f>
        <v>0</v>
      </c>
      <c r="AC1459" s="31">
        <f>SUMIFS('Historico - FAT'!AL:AL,'Historico - FAT'!$K:$K,Faturamento!$L1459,'Historico - FAT'!$I:$I,Faturamento!$J1459,'Historico - FAT'!$G:$G,Faturamento!$H1459)</f>
        <v>53.288333333333334</v>
      </c>
      <c r="AD1459" s="31">
        <f>SUMIFS('Historico - FAT'!AM:AM,'Historico - FAT'!$K:$K,Faturamento!$L1459,'Historico - FAT'!$I:$I,Faturamento!$J1459,'Historico - FAT'!$G:$G,Faturamento!$H1459)</f>
        <v>106.57666666666667</v>
      </c>
      <c r="AE1459" s="27">
        <f>SUMIFS('Historico - FAT'!AN:AN,'Historico - FAT'!$K:$K,Faturamento!$L1459,'Historico - FAT'!$I:$I,Faturamento!$J1459,'Historico - FAT'!$G:$G,Faturamento!$H1459)</f>
        <v>63.946000000000005</v>
      </c>
      <c r="AG1459" s="24">
        <f t="shared" si="348"/>
        <v>1</v>
      </c>
      <c r="AH1459" s="24">
        <f t="shared" si="349"/>
        <v>0.59008974358974364</v>
      </c>
      <c r="AI1459" s="24">
        <f t="shared" si="350"/>
        <v>0.18017948717948717</v>
      </c>
    </row>
    <row r="1460" spans="1:35" hidden="1" x14ac:dyDescent="0.3">
      <c r="A1460" s="2" t="str">
        <f t="shared" si="347"/>
        <v>NÃO</v>
      </c>
      <c r="B1460" s="2">
        <v>1000184670</v>
      </c>
      <c r="C1460" s="2" t="s">
        <v>147</v>
      </c>
      <c r="D1460" s="4">
        <v>1000186197</v>
      </c>
      <c r="E1460" s="4" t="s">
        <v>166</v>
      </c>
      <c r="F1460" s="2">
        <v>1000184764</v>
      </c>
      <c r="G1460" s="2" t="s">
        <v>70</v>
      </c>
      <c r="H1460" s="4">
        <v>1000189821</v>
      </c>
      <c r="I1460" s="4" t="s">
        <v>71</v>
      </c>
      <c r="J1460" s="2">
        <v>1000189270</v>
      </c>
      <c r="K1460" s="2" t="s">
        <v>34</v>
      </c>
      <c r="L1460" s="4" t="s">
        <v>20</v>
      </c>
      <c r="M1460" s="4" t="str">
        <f t="shared" si="340"/>
        <v>1000184670100018619710001898211000189270REEMBALADOS</v>
      </c>
      <c r="N1460" s="28">
        <f>N1448*_xlfn.XLOOKUP($L1460,'Balizador da Meta'!$B$4:$B$21,'Balizador da Meta'!$C$4:$C$21)</f>
        <v>48</v>
      </c>
      <c r="O1460" s="28">
        <f>O1448*_xlfn.XLOOKUP($L1460,'Balizador da Meta'!$B$4:$B$21,'Balizador da Meta'!$C$4:$C$21)</f>
        <v>72</v>
      </c>
      <c r="P1460" s="28">
        <f>P1448*_xlfn.XLOOKUP($L1460,'Balizador da Meta'!$B$4:$B$21,'Balizador da Meta'!$C$4:$C$21)</f>
        <v>72</v>
      </c>
      <c r="Q1460" s="28">
        <f>Q1448*_xlfn.XLOOKUP($L1460,'Balizador da Meta'!$B$4:$B$21,'Balizador da Meta'!$C$4:$C$21)</f>
        <v>72</v>
      </c>
      <c r="R1460" s="28">
        <f>R1448*_xlfn.XLOOKUP($L1460,'Balizador da Meta'!$B$4:$B$21,'Balizador da Meta'!$C$4:$C$21)</f>
        <v>72</v>
      </c>
      <c r="S1460" s="28">
        <f>S1448*_xlfn.XLOOKUP($L1460,'Balizador da Meta'!$B$4:$B$21,'Balizador da Meta'!$C$4:$C$21)</f>
        <v>72</v>
      </c>
      <c r="T1460" s="28">
        <f>T1448*_xlfn.XLOOKUP($L1460,'Balizador da Meta'!$B$4:$B$21,'Balizador da Meta'!$C$4:$C$21)</f>
        <v>96</v>
      </c>
      <c r="U1460" s="28">
        <f>U1448*_xlfn.XLOOKUP($L1460,'Balizador da Meta'!$B$4:$B$21,'Balizador da Meta'!$C$4:$C$21)</f>
        <v>96</v>
      </c>
      <c r="V1460" s="28">
        <f>V1448*_xlfn.XLOOKUP($L1460,'Balizador da Meta'!$B$4:$B$21,'Balizador da Meta'!$C$4:$C$21)</f>
        <v>96</v>
      </c>
      <c r="W1460" s="28">
        <f>W1448*_xlfn.XLOOKUP($L1460,'Balizador da Meta'!$B$4:$B$21,'Balizador da Meta'!$C$4:$C$21)</f>
        <v>96</v>
      </c>
      <c r="X1460" s="28">
        <f>X1448*_xlfn.XLOOKUP($L1460,'Balizador da Meta'!$B$4:$B$21,'Balizador da Meta'!$C$4:$C$21)</f>
        <v>96</v>
      </c>
      <c r="Y1460" s="28">
        <f>Y1448*_xlfn.XLOOKUP($L1460,'Balizador da Meta'!$B$4:$B$21,'Balizador da Meta'!$C$4:$C$21)</f>
        <v>120</v>
      </c>
      <c r="Z1460" s="30">
        <f t="shared" si="346"/>
        <v>1008</v>
      </c>
      <c r="AA1460" s="29"/>
      <c r="AB1460" s="31">
        <f>SUMIFS('Historico - FAT'!AK:AK,'Historico - FAT'!$K:$K,Faturamento!$L1460,'Historico - FAT'!$I:$I,Faturamento!$J1460,'Historico - FAT'!$G:$G,Faturamento!$H1460)</f>
        <v>0</v>
      </c>
      <c r="AC1460" s="31">
        <f>SUMIFS('Historico - FAT'!AL:AL,'Historico - FAT'!$K:$K,Faturamento!$L1460,'Historico - FAT'!$I:$I,Faturamento!$J1460,'Historico - FAT'!$G:$G,Faturamento!$H1460)</f>
        <v>0</v>
      </c>
      <c r="AD1460" s="31">
        <f>SUMIFS('Historico - FAT'!AM:AM,'Historico - FAT'!$K:$K,Faturamento!$L1460,'Historico - FAT'!$I:$I,Faturamento!$J1460,'Historico - FAT'!$G:$G,Faturamento!$H1460)</f>
        <v>0</v>
      </c>
      <c r="AE1460" s="27">
        <f>SUMIFS('Historico - FAT'!AN:AN,'Historico - FAT'!$K:$K,Faturamento!$L1460,'Historico - FAT'!$I:$I,Faturamento!$J1460,'Historico - FAT'!$G:$G,Faturamento!$H1460)</f>
        <v>0</v>
      </c>
      <c r="AG1460" s="24">
        <f t="shared" si="348"/>
        <v>1</v>
      </c>
      <c r="AH1460" s="24">
        <f t="shared" si="349"/>
        <v>1</v>
      </c>
      <c r="AI1460" s="24">
        <f t="shared" si="350"/>
        <v>1</v>
      </c>
    </row>
    <row r="1461" spans="1:35" hidden="1" x14ac:dyDescent="0.3">
      <c r="A1461" s="2" t="str">
        <f t="shared" si="347"/>
        <v>NÃO</v>
      </c>
      <c r="B1461" s="2">
        <v>1000184670</v>
      </c>
      <c r="C1461" s="2" t="s">
        <v>147</v>
      </c>
      <c r="D1461" s="4">
        <v>1000186197</v>
      </c>
      <c r="E1461" s="4" t="s">
        <v>166</v>
      </c>
      <c r="F1461" s="2">
        <v>1000184764</v>
      </c>
      <c r="G1461" s="2" t="s">
        <v>70</v>
      </c>
      <c r="H1461" s="4">
        <v>1000189821</v>
      </c>
      <c r="I1461" s="4" t="s">
        <v>71</v>
      </c>
      <c r="J1461" s="2">
        <v>1000189270</v>
      </c>
      <c r="K1461" s="2" t="s">
        <v>34</v>
      </c>
      <c r="L1461" s="4" t="s">
        <v>22</v>
      </c>
      <c r="M1461" s="4" t="str">
        <f t="shared" si="340"/>
        <v>1000184670100018619710001898211000189270S GLUTEN</v>
      </c>
      <c r="N1461" s="28">
        <f>N1448*_xlfn.XLOOKUP($L1461,'Balizador da Meta'!$B$4:$B$21,'Balizador da Meta'!$C$4:$C$21)</f>
        <v>48</v>
      </c>
      <c r="O1461" s="28">
        <f>O1448*_xlfn.XLOOKUP($L1461,'Balizador da Meta'!$B$4:$B$21,'Balizador da Meta'!$C$4:$C$21)</f>
        <v>72</v>
      </c>
      <c r="P1461" s="28">
        <f>P1448*_xlfn.XLOOKUP($L1461,'Balizador da Meta'!$B$4:$B$21,'Balizador da Meta'!$C$4:$C$21)</f>
        <v>72</v>
      </c>
      <c r="Q1461" s="28">
        <f>Q1448*_xlfn.XLOOKUP($L1461,'Balizador da Meta'!$B$4:$B$21,'Balizador da Meta'!$C$4:$C$21)</f>
        <v>72</v>
      </c>
      <c r="R1461" s="28">
        <f>R1448*_xlfn.XLOOKUP($L1461,'Balizador da Meta'!$B$4:$B$21,'Balizador da Meta'!$C$4:$C$21)</f>
        <v>72</v>
      </c>
      <c r="S1461" s="28">
        <f>S1448*_xlfn.XLOOKUP($L1461,'Balizador da Meta'!$B$4:$B$21,'Balizador da Meta'!$C$4:$C$21)</f>
        <v>72</v>
      </c>
      <c r="T1461" s="28">
        <f>T1448*_xlfn.XLOOKUP($L1461,'Balizador da Meta'!$B$4:$B$21,'Balizador da Meta'!$C$4:$C$21)</f>
        <v>96</v>
      </c>
      <c r="U1461" s="28">
        <f>U1448*_xlfn.XLOOKUP($L1461,'Balizador da Meta'!$B$4:$B$21,'Balizador da Meta'!$C$4:$C$21)</f>
        <v>96</v>
      </c>
      <c r="V1461" s="28">
        <f>V1448*_xlfn.XLOOKUP($L1461,'Balizador da Meta'!$B$4:$B$21,'Balizador da Meta'!$C$4:$C$21)</f>
        <v>96</v>
      </c>
      <c r="W1461" s="28">
        <f>W1448*_xlfn.XLOOKUP($L1461,'Balizador da Meta'!$B$4:$B$21,'Balizador da Meta'!$C$4:$C$21)</f>
        <v>96</v>
      </c>
      <c r="X1461" s="28">
        <f>X1448*_xlfn.XLOOKUP($L1461,'Balizador da Meta'!$B$4:$B$21,'Balizador da Meta'!$C$4:$C$21)</f>
        <v>96</v>
      </c>
      <c r="Y1461" s="28">
        <f>Y1448*_xlfn.XLOOKUP($L1461,'Balizador da Meta'!$B$4:$B$21,'Balizador da Meta'!$C$4:$C$21)</f>
        <v>120</v>
      </c>
      <c r="Z1461" s="30">
        <f t="shared" si="346"/>
        <v>1008</v>
      </c>
      <c r="AA1461" s="29"/>
      <c r="AB1461" s="31">
        <f>SUMIFS('Historico - FAT'!AK:AK,'Historico - FAT'!$K:$K,Faturamento!$L1461,'Historico - FAT'!$I:$I,Faturamento!$J1461,'Historico - FAT'!$G:$G,Faturamento!$H1461)</f>
        <v>0</v>
      </c>
      <c r="AC1461" s="31">
        <f>SUMIFS('Historico - FAT'!AL:AL,'Historico - FAT'!$K:$K,Faturamento!$L1461,'Historico - FAT'!$I:$I,Faturamento!$J1461,'Historico - FAT'!$G:$G,Faturamento!$H1461)</f>
        <v>28.386666666666667</v>
      </c>
      <c r="AD1461" s="31">
        <f>SUMIFS('Historico - FAT'!AM:AM,'Historico - FAT'!$K:$K,Faturamento!$L1461,'Historico - FAT'!$I:$I,Faturamento!$J1461,'Historico - FAT'!$G:$G,Faturamento!$H1461)</f>
        <v>56.773333333333333</v>
      </c>
      <c r="AE1461" s="27">
        <f>SUMIFS('Historico - FAT'!AN:AN,'Historico - FAT'!$K:$K,Faturamento!$L1461,'Historico - FAT'!$I:$I,Faturamento!$J1461,'Historico - FAT'!$G:$G,Faturamento!$H1461)</f>
        <v>34.064</v>
      </c>
      <c r="AG1461" s="24">
        <f t="shared" si="348"/>
        <v>1</v>
      </c>
      <c r="AH1461" s="24">
        <f t="shared" si="349"/>
        <v>0.727051282051282</v>
      </c>
      <c r="AI1461" s="24">
        <f t="shared" si="350"/>
        <v>0.45410256410256411</v>
      </c>
    </row>
    <row r="1462" spans="1:35" hidden="1" x14ac:dyDescent="0.3">
      <c r="A1462" s="2" t="str">
        <f t="shared" si="347"/>
        <v>NÃO</v>
      </c>
      <c r="B1462" s="2">
        <v>1000184670</v>
      </c>
      <c r="C1462" s="2" t="s">
        <v>147</v>
      </c>
      <c r="D1462" s="4">
        <v>1000186197</v>
      </c>
      <c r="E1462" s="4" t="s">
        <v>166</v>
      </c>
      <c r="F1462" s="2">
        <v>1000184764</v>
      </c>
      <c r="G1462" s="2" t="s">
        <v>70</v>
      </c>
      <c r="H1462" s="4">
        <v>1000189821</v>
      </c>
      <c r="I1462" s="4" t="s">
        <v>71</v>
      </c>
      <c r="J1462" s="2">
        <v>1000189270</v>
      </c>
      <c r="K1462" s="2" t="s">
        <v>34</v>
      </c>
      <c r="L1462" s="4" t="s">
        <v>23</v>
      </c>
      <c r="M1462" s="4" t="str">
        <f t="shared" si="340"/>
        <v>1000184670100018619710001898211000189270SABORES DO CAMPO</v>
      </c>
      <c r="N1462" s="28">
        <f>N1448*_xlfn.XLOOKUP($L1462,'Balizador da Meta'!$B$4:$B$21,'Balizador da Meta'!$C$4:$C$21)</f>
        <v>0</v>
      </c>
      <c r="O1462" s="28">
        <f>O1448*_xlfn.XLOOKUP($L1462,'Balizador da Meta'!$B$4:$B$21,'Balizador da Meta'!$C$4:$C$21)</f>
        <v>0</v>
      </c>
      <c r="P1462" s="28">
        <f>P1448*_xlfn.XLOOKUP($L1462,'Balizador da Meta'!$B$4:$B$21,'Balizador da Meta'!$C$4:$C$21)</f>
        <v>0</v>
      </c>
      <c r="Q1462" s="28">
        <f>Q1448*_xlfn.XLOOKUP($L1462,'Balizador da Meta'!$B$4:$B$21,'Balizador da Meta'!$C$4:$C$21)</f>
        <v>0</v>
      </c>
      <c r="R1462" s="28">
        <f>R1448*_xlfn.XLOOKUP($L1462,'Balizador da Meta'!$B$4:$B$21,'Balizador da Meta'!$C$4:$C$21)</f>
        <v>0</v>
      </c>
      <c r="S1462" s="28">
        <f>S1448*_xlfn.XLOOKUP($L1462,'Balizador da Meta'!$B$4:$B$21,'Balizador da Meta'!$C$4:$C$21)</f>
        <v>0</v>
      </c>
      <c r="T1462" s="28">
        <f>T1448*_xlfn.XLOOKUP($L1462,'Balizador da Meta'!$B$4:$B$21,'Balizador da Meta'!$C$4:$C$21)</f>
        <v>0</v>
      </c>
      <c r="U1462" s="28">
        <f>U1448*_xlfn.XLOOKUP($L1462,'Balizador da Meta'!$B$4:$B$21,'Balizador da Meta'!$C$4:$C$21)</f>
        <v>0</v>
      </c>
      <c r="V1462" s="28">
        <f>V1448*_xlfn.XLOOKUP($L1462,'Balizador da Meta'!$B$4:$B$21,'Balizador da Meta'!$C$4:$C$21)</f>
        <v>0</v>
      </c>
      <c r="W1462" s="28">
        <f>W1448*_xlfn.XLOOKUP($L1462,'Balizador da Meta'!$B$4:$B$21,'Balizador da Meta'!$C$4:$C$21)</f>
        <v>0</v>
      </c>
      <c r="X1462" s="28">
        <f>X1448*_xlfn.XLOOKUP($L1462,'Balizador da Meta'!$B$4:$B$21,'Balizador da Meta'!$C$4:$C$21)</f>
        <v>0</v>
      </c>
      <c r="Y1462" s="28">
        <f>Y1448*_xlfn.XLOOKUP($L1462,'Balizador da Meta'!$B$4:$B$21,'Balizador da Meta'!$C$4:$C$21)</f>
        <v>0</v>
      </c>
      <c r="Z1462" s="30">
        <f t="shared" si="346"/>
        <v>0</v>
      </c>
      <c r="AA1462" s="29"/>
      <c r="AB1462" s="31">
        <f>SUMIFS('Historico - FAT'!AK:AK,'Historico - FAT'!$K:$K,Faturamento!$L1462,'Historico - FAT'!$I:$I,Faturamento!$J1462,'Historico - FAT'!$G:$G,Faturamento!$H1462)</f>
        <v>0</v>
      </c>
      <c r="AC1462" s="31">
        <f>SUMIFS('Historico - FAT'!AL:AL,'Historico - FAT'!$K:$K,Faturamento!$L1462,'Historico - FAT'!$I:$I,Faturamento!$J1462,'Historico - FAT'!$G:$G,Faturamento!$H1462)</f>
        <v>0</v>
      </c>
      <c r="AD1462" s="31">
        <f>SUMIFS('Historico - FAT'!AM:AM,'Historico - FAT'!$K:$K,Faturamento!$L1462,'Historico - FAT'!$I:$I,Faturamento!$J1462,'Historico - FAT'!$G:$G,Faturamento!$H1462)</f>
        <v>0</v>
      </c>
      <c r="AE1462" s="27">
        <f>SUMIFS('Historico - FAT'!AN:AN,'Historico - FAT'!$K:$K,Faturamento!$L1462,'Historico - FAT'!$I:$I,Faturamento!$J1462,'Historico - FAT'!$G:$G,Faturamento!$H1462)</f>
        <v>0</v>
      </c>
      <c r="AG1462" s="24" t="str">
        <f t="shared" si="348"/>
        <v/>
      </c>
      <c r="AH1462" s="24" t="str">
        <f t="shared" si="349"/>
        <v/>
      </c>
      <c r="AI1462" s="24" t="str">
        <f t="shared" si="350"/>
        <v/>
      </c>
    </row>
    <row r="1463" spans="1:35" hidden="1" x14ac:dyDescent="0.3">
      <c r="A1463" s="2" t="str">
        <f t="shared" si="347"/>
        <v>NÃO</v>
      </c>
      <c r="B1463" s="2">
        <v>1000184670</v>
      </c>
      <c r="C1463" s="2" t="s">
        <v>147</v>
      </c>
      <c r="D1463" s="4">
        <v>1000186197</v>
      </c>
      <c r="E1463" s="4" t="s">
        <v>166</v>
      </c>
      <c r="F1463" s="2">
        <v>1000184764</v>
      </c>
      <c r="G1463" s="2" t="s">
        <v>70</v>
      </c>
      <c r="H1463" s="4">
        <v>1000189821</v>
      </c>
      <c r="I1463" s="4" t="s">
        <v>71</v>
      </c>
      <c r="J1463" s="2">
        <v>1000189270</v>
      </c>
      <c r="K1463" s="2" t="s">
        <v>34</v>
      </c>
      <c r="L1463" s="4" t="s">
        <v>28</v>
      </c>
      <c r="M1463" s="4" t="str">
        <f t="shared" si="340"/>
        <v>1000184670100018619710001898211000189270SAL</v>
      </c>
      <c r="N1463" s="28">
        <f>N1448*_xlfn.XLOOKUP($L1463,'Balizador da Meta'!$B$4:$B$21,'Balizador da Meta'!$C$4:$C$21)</f>
        <v>24</v>
      </c>
      <c r="O1463" s="28">
        <f>O1448*_xlfn.XLOOKUP($L1463,'Balizador da Meta'!$B$4:$B$21,'Balizador da Meta'!$C$4:$C$21)</f>
        <v>36</v>
      </c>
      <c r="P1463" s="28">
        <f>P1448*_xlfn.XLOOKUP($L1463,'Balizador da Meta'!$B$4:$B$21,'Balizador da Meta'!$C$4:$C$21)</f>
        <v>36</v>
      </c>
      <c r="Q1463" s="28">
        <f>Q1448*_xlfn.XLOOKUP($L1463,'Balizador da Meta'!$B$4:$B$21,'Balizador da Meta'!$C$4:$C$21)</f>
        <v>36</v>
      </c>
      <c r="R1463" s="28">
        <f>R1448*_xlfn.XLOOKUP($L1463,'Balizador da Meta'!$B$4:$B$21,'Balizador da Meta'!$C$4:$C$21)</f>
        <v>36</v>
      </c>
      <c r="S1463" s="28">
        <f>S1448*_xlfn.XLOOKUP($L1463,'Balizador da Meta'!$B$4:$B$21,'Balizador da Meta'!$C$4:$C$21)</f>
        <v>36</v>
      </c>
      <c r="T1463" s="28">
        <f>T1448*_xlfn.XLOOKUP($L1463,'Balizador da Meta'!$B$4:$B$21,'Balizador da Meta'!$C$4:$C$21)</f>
        <v>48</v>
      </c>
      <c r="U1463" s="28">
        <f>U1448*_xlfn.XLOOKUP($L1463,'Balizador da Meta'!$B$4:$B$21,'Balizador da Meta'!$C$4:$C$21)</f>
        <v>48</v>
      </c>
      <c r="V1463" s="28">
        <f>V1448*_xlfn.XLOOKUP($L1463,'Balizador da Meta'!$B$4:$B$21,'Balizador da Meta'!$C$4:$C$21)</f>
        <v>48</v>
      </c>
      <c r="W1463" s="28">
        <f>W1448*_xlfn.XLOOKUP($L1463,'Balizador da Meta'!$B$4:$B$21,'Balizador da Meta'!$C$4:$C$21)</f>
        <v>48</v>
      </c>
      <c r="X1463" s="28">
        <f>X1448*_xlfn.XLOOKUP($L1463,'Balizador da Meta'!$B$4:$B$21,'Balizador da Meta'!$C$4:$C$21)</f>
        <v>48</v>
      </c>
      <c r="Y1463" s="28">
        <f>Y1448*_xlfn.XLOOKUP($L1463,'Balizador da Meta'!$B$4:$B$21,'Balizador da Meta'!$C$4:$C$21)</f>
        <v>60</v>
      </c>
      <c r="Z1463" s="30">
        <f t="shared" si="346"/>
        <v>504</v>
      </c>
      <c r="AA1463" s="29"/>
      <c r="AB1463" s="31">
        <f>SUMIFS('Historico - FAT'!AK:AK,'Historico - FAT'!$K:$K,Faturamento!$L1463,'Historico - FAT'!$I:$I,Faturamento!$J1463,'Historico - FAT'!$G:$G,Faturamento!$H1463)</f>
        <v>0</v>
      </c>
      <c r="AC1463" s="31">
        <f>SUMIFS('Historico - FAT'!AL:AL,'Historico - FAT'!$K:$K,Faturamento!$L1463,'Historico - FAT'!$I:$I,Faturamento!$J1463,'Historico - FAT'!$G:$G,Faturamento!$H1463)</f>
        <v>0</v>
      </c>
      <c r="AD1463" s="31">
        <f>SUMIFS('Historico - FAT'!AM:AM,'Historico - FAT'!$K:$K,Faturamento!$L1463,'Historico - FAT'!$I:$I,Faturamento!$J1463,'Historico - FAT'!$G:$G,Faturamento!$H1463)</f>
        <v>0</v>
      </c>
      <c r="AE1463" s="27">
        <f>SUMIFS('Historico - FAT'!AN:AN,'Historico - FAT'!$K:$K,Faturamento!$L1463,'Historico - FAT'!$I:$I,Faturamento!$J1463,'Historico - FAT'!$G:$G,Faturamento!$H1463)</f>
        <v>0</v>
      </c>
      <c r="AG1463" s="24">
        <f t="shared" si="348"/>
        <v>1</v>
      </c>
      <c r="AH1463" s="24">
        <f t="shared" si="349"/>
        <v>1</v>
      </c>
      <c r="AI1463" s="24">
        <f t="shared" si="350"/>
        <v>1</v>
      </c>
    </row>
    <row r="1464" spans="1:35" hidden="1" x14ac:dyDescent="0.3">
      <c r="A1464" s="2" t="str">
        <f t="shared" si="347"/>
        <v>NÃO</v>
      </c>
      <c r="B1464" s="2">
        <v>1000184670</v>
      </c>
      <c r="C1464" s="2" t="s">
        <v>147</v>
      </c>
      <c r="D1464" s="4">
        <v>1000186197</v>
      </c>
      <c r="E1464" s="4" t="s">
        <v>166</v>
      </c>
      <c r="F1464" s="2">
        <v>1000184764</v>
      </c>
      <c r="G1464" s="2" t="s">
        <v>70</v>
      </c>
      <c r="H1464" s="4">
        <v>1000189821</v>
      </c>
      <c r="I1464" s="4" t="s">
        <v>71</v>
      </c>
      <c r="J1464" s="2">
        <v>1000189270</v>
      </c>
      <c r="K1464" s="2" t="s">
        <v>34</v>
      </c>
      <c r="L1464" s="4" t="s">
        <v>26</v>
      </c>
      <c r="M1464" s="4" t="str">
        <f t="shared" si="340"/>
        <v>1000184670100018619710001898211000189270SOULPRO</v>
      </c>
      <c r="N1464" s="28">
        <f>N1448*_xlfn.XLOOKUP($L1464,'Balizador da Meta'!$B$4:$B$21,'Balizador da Meta'!$C$4:$C$21)</f>
        <v>72</v>
      </c>
      <c r="O1464" s="28">
        <f>O1448*_xlfn.XLOOKUP($L1464,'Balizador da Meta'!$B$4:$B$21,'Balizador da Meta'!$C$4:$C$21)</f>
        <v>108</v>
      </c>
      <c r="P1464" s="28">
        <f>P1448*_xlfn.XLOOKUP($L1464,'Balizador da Meta'!$B$4:$B$21,'Balizador da Meta'!$C$4:$C$21)</f>
        <v>108</v>
      </c>
      <c r="Q1464" s="28">
        <f>Q1448*_xlfn.XLOOKUP($L1464,'Balizador da Meta'!$B$4:$B$21,'Balizador da Meta'!$C$4:$C$21)</f>
        <v>108</v>
      </c>
      <c r="R1464" s="28">
        <f>R1448*_xlfn.XLOOKUP($L1464,'Balizador da Meta'!$B$4:$B$21,'Balizador da Meta'!$C$4:$C$21)</f>
        <v>108</v>
      </c>
      <c r="S1464" s="28">
        <f>S1448*_xlfn.XLOOKUP($L1464,'Balizador da Meta'!$B$4:$B$21,'Balizador da Meta'!$C$4:$C$21)</f>
        <v>108</v>
      </c>
      <c r="T1464" s="28">
        <f>T1448*_xlfn.XLOOKUP($L1464,'Balizador da Meta'!$B$4:$B$21,'Balizador da Meta'!$C$4:$C$21)</f>
        <v>144</v>
      </c>
      <c r="U1464" s="28">
        <f>U1448*_xlfn.XLOOKUP($L1464,'Balizador da Meta'!$B$4:$B$21,'Balizador da Meta'!$C$4:$C$21)</f>
        <v>144</v>
      </c>
      <c r="V1464" s="28">
        <f>V1448*_xlfn.XLOOKUP($L1464,'Balizador da Meta'!$B$4:$B$21,'Balizador da Meta'!$C$4:$C$21)</f>
        <v>144</v>
      </c>
      <c r="W1464" s="28">
        <f>W1448*_xlfn.XLOOKUP($L1464,'Balizador da Meta'!$B$4:$B$21,'Balizador da Meta'!$C$4:$C$21)</f>
        <v>144</v>
      </c>
      <c r="X1464" s="28">
        <f>X1448*_xlfn.XLOOKUP($L1464,'Balizador da Meta'!$B$4:$B$21,'Balizador da Meta'!$C$4:$C$21)</f>
        <v>144</v>
      </c>
      <c r="Y1464" s="28">
        <f>Y1448*_xlfn.XLOOKUP($L1464,'Balizador da Meta'!$B$4:$B$21,'Balizador da Meta'!$C$4:$C$21)</f>
        <v>180</v>
      </c>
      <c r="Z1464" s="30">
        <f t="shared" si="346"/>
        <v>1512</v>
      </c>
      <c r="AA1464" s="29"/>
      <c r="AB1464" s="31">
        <f>SUMIFS('Historico - FAT'!AK:AK,'Historico - FAT'!$K:$K,Faturamento!$L1464,'Historico - FAT'!$I:$I,Faturamento!$J1464,'Historico - FAT'!$G:$G,Faturamento!$H1464)</f>
        <v>0</v>
      </c>
      <c r="AC1464" s="31">
        <f>SUMIFS('Historico - FAT'!AL:AL,'Historico - FAT'!$K:$K,Faturamento!$L1464,'Historico - FAT'!$I:$I,Faturamento!$J1464,'Historico - FAT'!$G:$G,Faturamento!$H1464)</f>
        <v>75.25</v>
      </c>
      <c r="AD1464" s="31">
        <f>SUMIFS('Historico - FAT'!AM:AM,'Historico - FAT'!$K:$K,Faturamento!$L1464,'Historico - FAT'!$I:$I,Faturamento!$J1464,'Historico - FAT'!$G:$G,Faturamento!$H1464)</f>
        <v>150.5</v>
      </c>
      <c r="AE1464" s="27">
        <f>SUMIFS('Historico - FAT'!AN:AN,'Historico - FAT'!$K:$K,Faturamento!$L1464,'Historico - FAT'!$I:$I,Faturamento!$J1464,'Historico - FAT'!$G:$G,Faturamento!$H1464)</f>
        <v>90.3</v>
      </c>
      <c r="AG1464" s="24">
        <f t="shared" si="348"/>
        <v>1</v>
      </c>
      <c r="AH1464" s="24">
        <f t="shared" si="349"/>
        <v>0.51762820512820518</v>
      </c>
      <c r="AI1464" s="24">
        <f t="shared" si="350"/>
        <v>3.5256410256410256E-2</v>
      </c>
    </row>
    <row r="1465" spans="1:35" hidden="1" x14ac:dyDescent="0.3">
      <c r="A1465" s="2" t="str">
        <f t="shared" si="347"/>
        <v>NÃO</v>
      </c>
      <c r="B1465" s="2">
        <v>1000184670</v>
      </c>
      <c r="C1465" s="2" t="s">
        <v>147</v>
      </c>
      <c r="D1465" s="4">
        <v>1000186197</v>
      </c>
      <c r="E1465" s="4" t="s">
        <v>166</v>
      </c>
      <c r="F1465" s="2">
        <v>1000184764</v>
      </c>
      <c r="G1465" s="2" t="s">
        <v>70</v>
      </c>
      <c r="H1465" s="4">
        <v>1000189821</v>
      </c>
      <c r="I1465" s="4" t="s">
        <v>71</v>
      </c>
      <c r="J1465" s="2">
        <v>1000189270</v>
      </c>
      <c r="K1465" s="2" t="s">
        <v>34</v>
      </c>
      <c r="L1465" s="4" t="s">
        <v>27</v>
      </c>
      <c r="M1465" s="4" t="str">
        <f t="shared" si="340"/>
        <v>1000184670100018619710001898211000189270TAMARA</v>
      </c>
      <c r="N1465" s="28">
        <f>N1448*_xlfn.XLOOKUP($L1465,'Balizador da Meta'!$B$4:$B$21,'Balizador da Meta'!$C$4:$C$21)</f>
        <v>96</v>
      </c>
      <c r="O1465" s="28">
        <f>O1448*_xlfn.XLOOKUP($L1465,'Balizador da Meta'!$B$4:$B$21,'Balizador da Meta'!$C$4:$C$21)</f>
        <v>144</v>
      </c>
      <c r="P1465" s="28">
        <f>P1448*_xlfn.XLOOKUP($L1465,'Balizador da Meta'!$B$4:$B$21,'Balizador da Meta'!$C$4:$C$21)</f>
        <v>144</v>
      </c>
      <c r="Q1465" s="28">
        <f>Q1448*_xlfn.XLOOKUP($L1465,'Balizador da Meta'!$B$4:$B$21,'Balizador da Meta'!$C$4:$C$21)</f>
        <v>144</v>
      </c>
      <c r="R1465" s="28">
        <f>R1448*_xlfn.XLOOKUP($L1465,'Balizador da Meta'!$B$4:$B$21,'Balizador da Meta'!$C$4:$C$21)</f>
        <v>144</v>
      </c>
      <c r="S1465" s="28">
        <f>S1448*_xlfn.XLOOKUP($L1465,'Balizador da Meta'!$B$4:$B$21,'Balizador da Meta'!$C$4:$C$21)</f>
        <v>144</v>
      </c>
      <c r="T1465" s="28">
        <f>T1448*_xlfn.XLOOKUP($L1465,'Balizador da Meta'!$B$4:$B$21,'Balizador da Meta'!$C$4:$C$21)</f>
        <v>192</v>
      </c>
      <c r="U1465" s="28">
        <f>U1448*_xlfn.XLOOKUP($L1465,'Balizador da Meta'!$B$4:$B$21,'Balizador da Meta'!$C$4:$C$21)</f>
        <v>192</v>
      </c>
      <c r="V1465" s="28">
        <f>V1448*_xlfn.XLOOKUP($L1465,'Balizador da Meta'!$B$4:$B$21,'Balizador da Meta'!$C$4:$C$21)</f>
        <v>192</v>
      </c>
      <c r="W1465" s="28">
        <f>W1448*_xlfn.XLOOKUP($L1465,'Balizador da Meta'!$B$4:$B$21,'Balizador da Meta'!$C$4:$C$21)</f>
        <v>192</v>
      </c>
      <c r="X1465" s="28">
        <f>X1448*_xlfn.XLOOKUP($L1465,'Balizador da Meta'!$B$4:$B$21,'Balizador da Meta'!$C$4:$C$21)</f>
        <v>192</v>
      </c>
      <c r="Y1465" s="28">
        <f>Y1448*_xlfn.XLOOKUP($L1465,'Balizador da Meta'!$B$4:$B$21,'Balizador da Meta'!$C$4:$C$21)</f>
        <v>240</v>
      </c>
      <c r="Z1465" s="30">
        <f t="shared" si="346"/>
        <v>2016</v>
      </c>
      <c r="AA1465" s="29"/>
      <c r="AB1465" s="31">
        <f>SUMIFS('Historico - FAT'!AK:AK,'Historico - FAT'!$K:$K,Faturamento!$L1465,'Historico - FAT'!$I:$I,Faturamento!$J1465,'Historico - FAT'!$G:$G,Faturamento!$H1465)</f>
        <v>0</v>
      </c>
      <c r="AC1465" s="31">
        <f>SUMIFS('Historico - FAT'!AL:AL,'Historico - FAT'!$K:$K,Faturamento!$L1465,'Historico - FAT'!$I:$I,Faturamento!$J1465,'Historico - FAT'!$G:$G,Faturamento!$H1465)</f>
        <v>31.6875</v>
      </c>
      <c r="AD1465" s="31">
        <f>SUMIFS('Historico - FAT'!AM:AM,'Historico - FAT'!$K:$K,Faturamento!$L1465,'Historico - FAT'!$I:$I,Faturamento!$J1465,'Historico - FAT'!$G:$G,Faturamento!$H1465)</f>
        <v>63.375</v>
      </c>
      <c r="AE1465" s="27">
        <f>SUMIFS('Historico - FAT'!AN:AN,'Historico - FAT'!$K:$K,Faturamento!$L1465,'Historico - FAT'!$I:$I,Faturamento!$J1465,'Historico - FAT'!$G:$G,Faturamento!$H1465)</f>
        <v>38.024999999999999</v>
      </c>
      <c r="AG1465" s="24">
        <f t="shared" si="348"/>
        <v>1</v>
      </c>
      <c r="AH1465" s="24">
        <f t="shared" si="349"/>
        <v>0.84765625</v>
      </c>
      <c r="AI1465" s="24">
        <f t="shared" si="350"/>
        <v>0.6953125</v>
      </c>
    </row>
    <row r="1466" spans="1:35" hidden="1" x14ac:dyDescent="0.3">
      <c r="A1466" s="2" t="str">
        <f t="shared" si="347"/>
        <v>NÃO</v>
      </c>
      <c r="B1466" s="2">
        <v>1000184670</v>
      </c>
      <c r="C1466" s="2" t="s">
        <v>147</v>
      </c>
      <c r="D1466" s="4">
        <v>1000186197</v>
      </c>
      <c r="E1466" s="4" t="s">
        <v>166</v>
      </c>
      <c r="F1466" s="2">
        <v>1000184764</v>
      </c>
      <c r="G1466" s="2" t="s">
        <v>70</v>
      </c>
      <c r="H1466" s="4">
        <v>1000189821</v>
      </c>
      <c r="I1466" s="4" t="s">
        <v>71</v>
      </c>
      <c r="J1466" s="2">
        <v>1000189270</v>
      </c>
      <c r="K1466" s="2" t="s">
        <v>34</v>
      </c>
      <c r="L1466" s="4" t="s">
        <v>25</v>
      </c>
      <c r="M1466" s="4" t="str">
        <f t="shared" si="340"/>
        <v>1000184670100018619710001898211000189270VICCIO</v>
      </c>
      <c r="N1466" s="28">
        <f>N1448*_xlfn.XLOOKUP($L1466,'Balizador da Meta'!$B$4:$B$21,'Balizador da Meta'!$C$4:$C$21)</f>
        <v>36</v>
      </c>
      <c r="O1466" s="28">
        <f>O1448*_xlfn.XLOOKUP($L1466,'Balizador da Meta'!$B$4:$B$21,'Balizador da Meta'!$C$4:$C$21)</f>
        <v>54</v>
      </c>
      <c r="P1466" s="28">
        <f>P1448*_xlfn.XLOOKUP($L1466,'Balizador da Meta'!$B$4:$B$21,'Balizador da Meta'!$C$4:$C$21)</f>
        <v>54</v>
      </c>
      <c r="Q1466" s="28">
        <f>Q1448*_xlfn.XLOOKUP($L1466,'Balizador da Meta'!$B$4:$B$21,'Balizador da Meta'!$C$4:$C$21)</f>
        <v>54</v>
      </c>
      <c r="R1466" s="28">
        <f>R1448*_xlfn.XLOOKUP($L1466,'Balizador da Meta'!$B$4:$B$21,'Balizador da Meta'!$C$4:$C$21)</f>
        <v>54</v>
      </c>
      <c r="S1466" s="28">
        <f>S1448*_xlfn.XLOOKUP($L1466,'Balizador da Meta'!$B$4:$B$21,'Balizador da Meta'!$C$4:$C$21)</f>
        <v>54</v>
      </c>
      <c r="T1466" s="28">
        <f>T1448*_xlfn.XLOOKUP($L1466,'Balizador da Meta'!$B$4:$B$21,'Balizador da Meta'!$C$4:$C$21)</f>
        <v>72</v>
      </c>
      <c r="U1466" s="28">
        <f>U1448*_xlfn.XLOOKUP($L1466,'Balizador da Meta'!$B$4:$B$21,'Balizador da Meta'!$C$4:$C$21)</f>
        <v>72</v>
      </c>
      <c r="V1466" s="28">
        <f>V1448*_xlfn.XLOOKUP($L1466,'Balizador da Meta'!$B$4:$B$21,'Balizador da Meta'!$C$4:$C$21)</f>
        <v>72</v>
      </c>
      <c r="W1466" s="28">
        <f>W1448*_xlfn.XLOOKUP($L1466,'Balizador da Meta'!$B$4:$B$21,'Balizador da Meta'!$C$4:$C$21)</f>
        <v>72</v>
      </c>
      <c r="X1466" s="28">
        <f>X1448*_xlfn.XLOOKUP($L1466,'Balizador da Meta'!$B$4:$B$21,'Balizador da Meta'!$C$4:$C$21)</f>
        <v>72</v>
      </c>
      <c r="Y1466" s="28">
        <f>Y1448*_xlfn.XLOOKUP($L1466,'Balizador da Meta'!$B$4:$B$21,'Balizador da Meta'!$C$4:$C$21)</f>
        <v>90</v>
      </c>
      <c r="Z1466" s="30">
        <f t="shared" si="346"/>
        <v>756</v>
      </c>
      <c r="AA1466" s="29"/>
      <c r="AB1466" s="31">
        <f>SUMIFS('Historico - FAT'!AK:AK,'Historico - FAT'!$K:$K,Faturamento!$L1466,'Historico - FAT'!$I:$I,Faturamento!$J1466,'Historico - FAT'!$G:$G,Faturamento!$H1466)</f>
        <v>0</v>
      </c>
      <c r="AC1466" s="31">
        <f>SUMIFS('Historico - FAT'!AL:AL,'Historico - FAT'!$K:$K,Faturamento!$L1466,'Historico - FAT'!$I:$I,Faturamento!$J1466,'Historico - FAT'!$G:$G,Faturamento!$H1466)</f>
        <v>0</v>
      </c>
      <c r="AD1466" s="31">
        <f>SUMIFS('Historico - FAT'!AM:AM,'Historico - FAT'!$K:$K,Faturamento!$L1466,'Historico - FAT'!$I:$I,Faturamento!$J1466,'Historico - FAT'!$G:$G,Faturamento!$H1466)</f>
        <v>0</v>
      </c>
      <c r="AE1466" s="27">
        <f>SUMIFS('Historico - FAT'!AN:AN,'Historico - FAT'!$K:$K,Faturamento!$L1466,'Historico - FAT'!$I:$I,Faturamento!$J1466,'Historico - FAT'!$G:$G,Faturamento!$H1466)</f>
        <v>0</v>
      </c>
      <c r="AG1466" s="24">
        <f t="shared" si="348"/>
        <v>1</v>
      </c>
      <c r="AH1466" s="24">
        <f t="shared" si="349"/>
        <v>1</v>
      </c>
      <c r="AI1466" s="24">
        <f t="shared" si="350"/>
        <v>1</v>
      </c>
    </row>
    <row r="1467" spans="1:35" x14ac:dyDescent="0.3">
      <c r="A1467" s="2" t="str">
        <f t="shared" si="347"/>
        <v>SIM</v>
      </c>
      <c r="B1467" s="2">
        <v>1000184670</v>
      </c>
      <c r="C1467" s="2" t="s">
        <v>147</v>
      </c>
      <c r="D1467" s="4">
        <v>1000186197</v>
      </c>
      <c r="E1467" s="4" t="s">
        <v>166</v>
      </c>
      <c r="F1467" s="2">
        <v>1000184764</v>
      </c>
      <c r="G1467" s="2" t="s">
        <v>70</v>
      </c>
      <c r="H1467" s="4">
        <v>1000189822</v>
      </c>
      <c r="I1467" s="4" t="s">
        <v>115</v>
      </c>
      <c r="J1467" s="2">
        <v>1000189270</v>
      </c>
      <c r="K1467" s="2" t="s">
        <v>34</v>
      </c>
      <c r="L1467" s="4" t="s">
        <v>124</v>
      </c>
      <c r="M1467" s="4" t="str">
        <f t="shared" si="340"/>
        <v>100018467010001861971000189822100018927001. TOTAL</v>
      </c>
      <c r="N1467" s="28">
        <f>SUMIFS(Positivação!L:L,Positivação!$I:$I,Faturamento!$J1467,Positivação!$G:$G,Faturamento!$H1467)*SUMIFS(Positivação!$Z:$Z,Positivação!$I:$I,Faturamento!$J1467,Positivação!$G:$G,Faturamento!$H1467)</f>
        <v>600</v>
      </c>
      <c r="O1467" s="28">
        <f>SUMIFS(Positivação!M:M,Positivação!$I:$I,Faturamento!$J1467,Positivação!$G:$G,Faturamento!$H1467)*SUMIFS(Positivação!$Z:$Z,Positivação!$I:$I,Faturamento!$J1467,Positivação!$G:$G,Faturamento!$H1467)</f>
        <v>600</v>
      </c>
      <c r="P1467" s="28">
        <f>SUMIFS(Positivação!N:N,Positivação!$I:$I,Faturamento!$J1467,Positivação!$G:$G,Faturamento!$H1467)*SUMIFS(Positivação!$Z:$Z,Positivação!$I:$I,Faturamento!$J1467,Positivação!$G:$G,Faturamento!$H1467)</f>
        <v>600</v>
      </c>
      <c r="Q1467" s="28">
        <f>SUMIFS(Positivação!O:O,Positivação!$I:$I,Faturamento!$J1467,Positivação!$G:$G,Faturamento!$H1467)*SUMIFS(Positivação!$Z:$Z,Positivação!$I:$I,Faturamento!$J1467,Positivação!$G:$G,Faturamento!$H1467)</f>
        <v>600</v>
      </c>
      <c r="R1467" s="28">
        <f>SUMIFS(Positivação!P:P,Positivação!$I:$I,Faturamento!$J1467,Positivação!$G:$G,Faturamento!$H1467)*SUMIFS(Positivação!$Z:$Z,Positivação!$I:$I,Faturamento!$J1467,Positivação!$G:$G,Faturamento!$H1467)</f>
        <v>1200</v>
      </c>
      <c r="S1467" s="28">
        <f>SUMIFS(Positivação!Q:Q,Positivação!$I:$I,Faturamento!$J1467,Positivação!$G:$G,Faturamento!$H1467)*SUMIFS(Positivação!$Z:$Z,Positivação!$I:$I,Faturamento!$J1467,Positivação!$G:$G,Faturamento!$H1467)</f>
        <v>1200</v>
      </c>
      <c r="T1467" s="28">
        <f>SUMIFS(Positivação!R:R,Positivação!$I:$I,Faturamento!$J1467,Positivação!$G:$G,Faturamento!$H1467)*SUMIFS(Positivação!$Z:$Z,Positivação!$I:$I,Faturamento!$J1467,Positivação!$G:$G,Faturamento!$H1467)</f>
        <v>1200</v>
      </c>
      <c r="U1467" s="28">
        <f>SUMIFS(Positivação!S:S,Positivação!$I:$I,Faturamento!$J1467,Positivação!$G:$G,Faturamento!$H1467)*SUMIFS(Positivação!$Z:$Z,Positivação!$I:$I,Faturamento!$J1467,Positivação!$G:$G,Faturamento!$H1467)</f>
        <v>1200</v>
      </c>
      <c r="V1467" s="28">
        <f>SUMIFS(Positivação!T:T,Positivação!$I:$I,Faturamento!$J1467,Positivação!$G:$G,Faturamento!$H1467)*SUMIFS(Positivação!$Z:$Z,Positivação!$I:$I,Faturamento!$J1467,Positivação!$G:$G,Faturamento!$H1467)</f>
        <v>1200</v>
      </c>
      <c r="W1467" s="28">
        <f>SUMIFS(Positivação!U:U,Positivação!$I:$I,Faturamento!$J1467,Positivação!$G:$G,Faturamento!$H1467)*SUMIFS(Positivação!$Z:$Z,Positivação!$I:$I,Faturamento!$J1467,Positivação!$G:$G,Faturamento!$H1467)</f>
        <v>1800</v>
      </c>
      <c r="X1467" s="28">
        <f>SUMIFS(Positivação!V:V,Positivação!$I:$I,Faturamento!$J1467,Positivação!$G:$G,Faturamento!$H1467)*SUMIFS(Positivação!$Z:$Z,Positivação!$I:$I,Faturamento!$J1467,Positivação!$G:$G,Faturamento!$H1467)</f>
        <v>1800</v>
      </c>
      <c r="Y1467" s="28">
        <f>SUMIFS(Positivação!W:W,Positivação!$I:$I,Faturamento!$J1467,Positivação!$G:$G,Faturamento!$H1467)*SUMIFS(Positivação!$Z:$Z,Positivação!$I:$I,Faturamento!$J1467,Positivação!$G:$G,Faturamento!$H1467)</f>
        <v>1800</v>
      </c>
      <c r="Z1467" s="28">
        <f t="shared" ref="Z1467" si="351">SUM(Z1468:Z1485)</f>
        <v>13800</v>
      </c>
      <c r="AA1467" s="29"/>
      <c r="AB1467" s="28">
        <f t="shared" ref="AB1467:AE1467" si="352">SUM(AB1468:AB1485)</f>
        <v>0</v>
      </c>
      <c r="AC1467" s="28">
        <f t="shared" si="352"/>
        <v>367.39249999999998</v>
      </c>
      <c r="AD1467" s="28">
        <f t="shared" si="352"/>
        <v>565.28166666666664</v>
      </c>
      <c r="AE1467" s="28">
        <f t="shared" si="352"/>
        <v>440.87099999999998</v>
      </c>
      <c r="AG1467" s="24">
        <f t="shared" si="348"/>
        <v>1</v>
      </c>
      <c r="AH1467" s="24">
        <f t="shared" si="349"/>
        <v>0.79589305555555556</v>
      </c>
      <c r="AI1467" s="24">
        <f t="shared" si="350"/>
        <v>0.68595462962962961</v>
      </c>
    </row>
    <row r="1468" spans="1:35" hidden="1" x14ac:dyDescent="0.3">
      <c r="A1468" s="2" t="str">
        <f t="shared" si="347"/>
        <v>NÃO</v>
      </c>
      <c r="B1468" s="2">
        <v>1000184670</v>
      </c>
      <c r="C1468" s="2" t="s">
        <v>147</v>
      </c>
      <c r="D1468" s="4">
        <v>1000186197</v>
      </c>
      <c r="E1468" s="4" t="s">
        <v>166</v>
      </c>
      <c r="F1468" s="2">
        <v>1000184764</v>
      </c>
      <c r="G1468" s="2" t="s">
        <v>70</v>
      </c>
      <c r="H1468" s="4">
        <v>1000189822</v>
      </c>
      <c r="I1468" s="4" t="s">
        <v>115</v>
      </c>
      <c r="J1468" s="2">
        <v>1000189270</v>
      </c>
      <c r="K1468" s="2" t="s">
        <v>34</v>
      </c>
      <c r="L1468" s="4" t="s">
        <v>13</v>
      </c>
      <c r="M1468" s="4" t="str">
        <f t="shared" si="340"/>
        <v>1000184670100018619710001898221000189270BISCOITO</v>
      </c>
      <c r="N1468" s="28">
        <f>N1467*_xlfn.XLOOKUP($L1468,'Balizador da Meta'!$B$4:$B$21,'Balizador da Meta'!$C$4:$C$21)</f>
        <v>42.000000000000007</v>
      </c>
      <c r="O1468" s="28">
        <f>O1467*_xlfn.XLOOKUP($L1468,'Balizador da Meta'!$B$4:$B$21,'Balizador da Meta'!$C$4:$C$21)</f>
        <v>42.000000000000007</v>
      </c>
      <c r="P1468" s="28">
        <f>P1467*_xlfn.XLOOKUP($L1468,'Balizador da Meta'!$B$4:$B$21,'Balizador da Meta'!$C$4:$C$21)</f>
        <v>42.000000000000007</v>
      </c>
      <c r="Q1468" s="28">
        <f>Q1467*_xlfn.XLOOKUP($L1468,'Balizador da Meta'!$B$4:$B$21,'Balizador da Meta'!$C$4:$C$21)</f>
        <v>42.000000000000007</v>
      </c>
      <c r="R1468" s="28">
        <f>R1467*_xlfn.XLOOKUP($L1468,'Balizador da Meta'!$B$4:$B$21,'Balizador da Meta'!$C$4:$C$21)</f>
        <v>84.000000000000014</v>
      </c>
      <c r="S1468" s="28">
        <f>S1467*_xlfn.XLOOKUP($L1468,'Balizador da Meta'!$B$4:$B$21,'Balizador da Meta'!$C$4:$C$21)</f>
        <v>84.000000000000014</v>
      </c>
      <c r="T1468" s="28">
        <f>T1467*_xlfn.XLOOKUP($L1468,'Balizador da Meta'!$B$4:$B$21,'Balizador da Meta'!$C$4:$C$21)</f>
        <v>84.000000000000014</v>
      </c>
      <c r="U1468" s="28">
        <f>U1467*_xlfn.XLOOKUP($L1468,'Balizador da Meta'!$B$4:$B$21,'Balizador da Meta'!$C$4:$C$21)</f>
        <v>84.000000000000014</v>
      </c>
      <c r="V1468" s="28">
        <f>V1467*_xlfn.XLOOKUP($L1468,'Balizador da Meta'!$B$4:$B$21,'Balizador da Meta'!$C$4:$C$21)</f>
        <v>84.000000000000014</v>
      </c>
      <c r="W1468" s="28">
        <f>W1467*_xlfn.XLOOKUP($L1468,'Balizador da Meta'!$B$4:$B$21,'Balizador da Meta'!$C$4:$C$21)</f>
        <v>126.00000000000001</v>
      </c>
      <c r="X1468" s="28">
        <f>X1467*_xlfn.XLOOKUP($L1468,'Balizador da Meta'!$B$4:$B$21,'Balizador da Meta'!$C$4:$C$21)</f>
        <v>126.00000000000001</v>
      </c>
      <c r="Y1468" s="28">
        <f>Y1467*_xlfn.XLOOKUP($L1468,'Balizador da Meta'!$B$4:$B$21,'Balizador da Meta'!$C$4:$C$21)</f>
        <v>126.00000000000001</v>
      </c>
      <c r="Z1468" s="30">
        <f t="shared" ref="Z1468:Z1485" si="353">SUM(N1468:Y1468)</f>
        <v>966.00000000000011</v>
      </c>
      <c r="AA1468" s="29"/>
      <c r="AB1468" s="31">
        <f>SUMIFS('Historico - FAT'!AK:AK,'Historico - FAT'!$K:$K,Faturamento!$L1468,'Historico - FAT'!$I:$I,Faturamento!$J1468,'Historico - FAT'!$G:$G,Faturamento!$H1468)</f>
        <v>0</v>
      </c>
      <c r="AC1468" s="31">
        <f>SUMIFS('Historico - FAT'!AL:AL,'Historico - FAT'!$K:$K,Faturamento!$L1468,'Historico - FAT'!$I:$I,Faturamento!$J1468,'Historico - FAT'!$G:$G,Faturamento!$H1468)</f>
        <v>97.063333333333333</v>
      </c>
      <c r="AD1468" s="31">
        <f>SUMIFS('Historico - FAT'!AM:AM,'Historico - FAT'!$K:$K,Faturamento!$L1468,'Historico - FAT'!$I:$I,Faturamento!$J1468,'Historico - FAT'!$G:$G,Faturamento!$H1468)</f>
        <v>170.46</v>
      </c>
      <c r="AE1468" s="27">
        <f>SUMIFS('Historico - FAT'!AN:AN,'Historico - FAT'!$K:$K,Faturamento!$L1468,'Historico - FAT'!$I:$I,Faturamento!$J1468,'Historico - FAT'!$G:$G,Faturamento!$H1468)</f>
        <v>116.476</v>
      </c>
      <c r="AG1468" s="24">
        <f t="shared" si="348"/>
        <v>1</v>
      </c>
      <c r="AH1468" s="24">
        <f t="shared" si="349"/>
        <v>0.22965608465608475</v>
      </c>
      <c r="AI1468" s="24">
        <f t="shared" si="350"/>
        <v>-0.35285714285714276</v>
      </c>
    </row>
    <row r="1469" spans="1:35" hidden="1" x14ac:dyDescent="0.3">
      <c r="A1469" s="2" t="str">
        <f t="shared" si="347"/>
        <v>NÃO</v>
      </c>
      <c r="B1469" s="2">
        <v>1000184670</v>
      </c>
      <c r="C1469" s="2" t="s">
        <v>147</v>
      </c>
      <c r="D1469" s="4">
        <v>1000186197</v>
      </c>
      <c r="E1469" s="4" t="s">
        <v>166</v>
      </c>
      <c r="F1469" s="2">
        <v>1000184764</v>
      </c>
      <c r="G1469" s="2" t="s">
        <v>70</v>
      </c>
      <c r="H1469" s="4">
        <v>1000189822</v>
      </c>
      <c r="I1469" s="4" t="s">
        <v>115</v>
      </c>
      <c r="J1469" s="2">
        <v>1000189270</v>
      </c>
      <c r="K1469" s="2" t="s">
        <v>34</v>
      </c>
      <c r="L1469" s="4" t="s">
        <v>14</v>
      </c>
      <c r="M1469" s="4" t="str">
        <f t="shared" si="340"/>
        <v>1000184670100018619710001898221000189270CHOCOLATES</v>
      </c>
      <c r="N1469" s="28">
        <f>N1467*_xlfn.XLOOKUP($L1469,'Balizador da Meta'!$B$4:$B$21,'Balizador da Meta'!$C$4:$C$21)</f>
        <v>42.000000000000007</v>
      </c>
      <c r="O1469" s="28">
        <f>O1467*_xlfn.XLOOKUP($L1469,'Balizador da Meta'!$B$4:$B$21,'Balizador da Meta'!$C$4:$C$21)</f>
        <v>42.000000000000007</v>
      </c>
      <c r="P1469" s="28">
        <f>P1467*_xlfn.XLOOKUP($L1469,'Balizador da Meta'!$B$4:$B$21,'Balizador da Meta'!$C$4:$C$21)</f>
        <v>42.000000000000007</v>
      </c>
      <c r="Q1469" s="28">
        <f>Q1467*_xlfn.XLOOKUP($L1469,'Balizador da Meta'!$B$4:$B$21,'Balizador da Meta'!$C$4:$C$21)</f>
        <v>42.000000000000007</v>
      </c>
      <c r="R1469" s="28">
        <f>R1467*_xlfn.XLOOKUP($L1469,'Balizador da Meta'!$B$4:$B$21,'Balizador da Meta'!$C$4:$C$21)</f>
        <v>84.000000000000014</v>
      </c>
      <c r="S1469" s="28">
        <f>S1467*_xlfn.XLOOKUP($L1469,'Balizador da Meta'!$B$4:$B$21,'Balizador da Meta'!$C$4:$C$21)</f>
        <v>84.000000000000014</v>
      </c>
      <c r="T1469" s="28">
        <f>T1467*_xlfn.XLOOKUP($L1469,'Balizador da Meta'!$B$4:$B$21,'Balizador da Meta'!$C$4:$C$21)</f>
        <v>84.000000000000014</v>
      </c>
      <c r="U1469" s="28">
        <f>U1467*_xlfn.XLOOKUP($L1469,'Balizador da Meta'!$B$4:$B$21,'Balizador da Meta'!$C$4:$C$21)</f>
        <v>84.000000000000014</v>
      </c>
      <c r="V1469" s="28">
        <f>V1467*_xlfn.XLOOKUP($L1469,'Balizador da Meta'!$B$4:$B$21,'Balizador da Meta'!$C$4:$C$21)</f>
        <v>84.000000000000014</v>
      </c>
      <c r="W1469" s="28">
        <f>W1467*_xlfn.XLOOKUP($L1469,'Balizador da Meta'!$B$4:$B$21,'Balizador da Meta'!$C$4:$C$21)</f>
        <v>126.00000000000001</v>
      </c>
      <c r="X1469" s="28">
        <f>X1467*_xlfn.XLOOKUP($L1469,'Balizador da Meta'!$B$4:$B$21,'Balizador da Meta'!$C$4:$C$21)</f>
        <v>126.00000000000001</v>
      </c>
      <c r="Y1469" s="28">
        <f>Y1467*_xlfn.XLOOKUP($L1469,'Balizador da Meta'!$B$4:$B$21,'Balizador da Meta'!$C$4:$C$21)</f>
        <v>126.00000000000001</v>
      </c>
      <c r="Z1469" s="30">
        <f t="shared" si="353"/>
        <v>966.00000000000011</v>
      </c>
      <c r="AA1469" s="29"/>
      <c r="AB1469" s="31">
        <f>SUMIFS('Historico - FAT'!AK:AK,'Historico - FAT'!$K:$K,Faturamento!$L1469,'Historico - FAT'!$I:$I,Faturamento!$J1469,'Historico - FAT'!$G:$G,Faturamento!$H1469)</f>
        <v>0</v>
      </c>
      <c r="AC1469" s="31">
        <f>SUMIFS('Historico - FAT'!AL:AL,'Historico - FAT'!$K:$K,Faturamento!$L1469,'Historico - FAT'!$I:$I,Faturamento!$J1469,'Historico - FAT'!$G:$G,Faturamento!$H1469)</f>
        <v>0</v>
      </c>
      <c r="AD1469" s="31">
        <f>SUMIFS('Historico - FAT'!AM:AM,'Historico - FAT'!$K:$K,Faturamento!$L1469,'Historico - FAT'!$I:$I,Faturamento!$J1469,'Historico - FAT'!$G:$G,Faturamento!$H1469)</f>
        <v>0</v>
      </c>
      <c r="AE1469" s="27">
        <f>SUMIFS('Historico - FAT'!AN:AN,'Historico - FAT'!$K:$K,Faturamento!$L1469,'Historico - FAT'!$I:$I,Faturamento!$J1469,'Historico - FAT'!$G:$G,Faturamento!$H1469)</f>
        <v>0</v>
      </c>
      <c r="AG1469" s="24">
        <f t="shared" si="348"/>
        <v>1</v>
      </c>
      <c r="AH1469" s="24">
        <f t="shared" si="349"/>
        <v>1</v>
      </c>
      <c r="AI1469" s="24">
        <f t="shared" si="350"/>
        <v>1</v>
      </c>
    </row>
    <row r="1470" spans="1:35" hidden="1" x14ac:dyDescent="0.3">
      <c r="A1470" s="2" t="str">
        <f t="shared" si="347"/>
        <v>NÃO</v>
      </c>
      <c r="B1470" s="2">
        <v>1000184670</v>
      </c>
      <c r="C1470" s="2" t="s">
        <v>147</v>
      </c>
      <c r="D1470" s="4">
        <v>1000186197</v>
      </c>
      <c r="E1470" s="4" t="s">
        <v>166</v>
      </c>
      <c r="F1470" s="2">
        <v>1000184764</v>
      </c>
      <c r="G1470" s="2" t="s">
        <v>70</v>
      </c>
      <c r="H1470" s="4">
        <v>1000189822</v>
      </c>
      <c r="I1470" s="4" t="s">
        <v>115</v>
      </c>
      <c r="J1470" s="2">
        <v>1000189270</v>
      </c>
      <c r="K1470" s="2" t="s">
        <v>34</v>
      </c>
      <c r="L1470" s="4" t="s">
        <v>16</v>
      </c>
      <c r="M1470" s="4" t="str">
        <f t="shared" si="340"/>
        <v>1000184670100018619710001898221000189270DISNEY</v>
      </c>
      <c r="N1470" s="28">
        <f>N1467*_xlfn.XLOOKUP($L1470,'Balizador da Meta'!$B$4:$B$21,'Balizador da Meta'!$C$4:$C$21)</f>
        <v>48</v>
      </c>
      <c r="O1470" s="28">
        <f>O1467*_xlfn.XLOOKUP($L1470,'Balizador da Meta'!$B$4:$B$21,'Balizador da Meta'!$C$4:$C$21)</f>
        <v>48</v>
      </c>
      <c r="P1470" s="28">
        <f>P1467*_xlfn.XLOOKUP($L1470,'Balizador da Meta'!$B$4:$B$21,'Balizador da Meta'!$C$4:$C$21)</f>
        <v>48</v>
      </c>
      <c r="Q1470" s="28">
        <f>Q1467*_xlfn.XLOOKUP($L1470,'Balizador da Meta'!$B$4:$B$21,'Balizador da Meta'!$C$4:$C$21)</f>
        <v>48</v>
      </c>
      <c r="R1470" s="28">
        <f>R1467*_xlfn.XLOOKUP($L1470,'Balizador da Meta'!$B$4:$B$21,'Balizador da Meta'!$C$4:$C$21)</f>
        <v>96</v>
      </c>
      <c r="S1470" s="28">
        <f>S1467*_xlfn.XLOOKUP($L1470,'Balizador da Meta'!$B$4:$B$21,'Balizador da Meta'!$C$4:$C$21)</f>
        <v>96</v>
      </c>
      <c r="T1470" s="28">
        <f>T1467*_xlfn.XLOOKUP($L1470,'Balizador da Meta'!$B$4:$B$21,'Balizador da Meta'!$C$4:$C$21)</f>
        <v>96</v>
      </c>
      <c r="U1470" s="28">
        <f>U1467*_xlfn.XLOOKUP($L1470,'Balizador da Meta'!$B$4:$B$21,'Balizador da Meta'!$C$4:$C$21)</f>
        <v>96</v>
      </c>
      <c r="V1470" s="28">
        <f>V1467*_xlfn.XLOOKUP($L1470,'Balizador da Meta'!$B$4:$B$21,'Balizador da Meta'!$C$4:$C$21)</f>
        <v>96</v>
      </c>
      <c r="W1470" s="28">
        <f>W1467*_xlfn.XLOOKUP($L1470,'Balizador da Meta'!$B$4:$B$21,'Balizador da Meta'!$C$4:$C$21)</f>
        <v>144</v>
      </c>
      <c r="X1470" s="28">
        <f>X1467*_xlfn.XLOOKUP($L1470,'Balizador da Meta'!$B$4:$B$21,'Balizador da Meta'!$C$4:$C$21)</f>
        <v>144</v>
      </c>
      <c r="Y1470" s="28">
        <f>Y1467*_xlfn.XLOOKUP($L1470,'Balizador da Meta'!$B$4:$B$21,'Balizador da Meta'!$C$4:$C$21)</f>
        <v>144</v>
      </c>
      <c r="Z1470" s="30">
        <f t="shared" si="353"/>
        <v>1104</v>
      </c>
      <c r="AA1470" s="29"/>
      <c r="AB1470" s="31">
        <f>SUMIFS('Historico - FAT'!AK:AK,'Historico - FAT'!$K:$K,Faturamento!$L1470,'Historico - FAT'!$I:$I,Faturamento!$J1470,'Historico - FAT'!$G:$G,Faturamento!$H1470)</f>
        <v>0</v>
      </c>
      <c r="AC1470" s="31">
        <f>SUMIFS('Historico - FAT'!AL:AL,'Historico - FAT'!$K:$K,Faturamento!$L1470,'Historico - FAT'!$I:$I,Faturamento!$J1470,'Historico - FAT'!$G:$G,Faturamento!$H1470)</f>
        <v>11.370833333333332</v>
      </c>
      <c r="AD1470" s="31">
        <f>SUMIFS('Historico - FAT'!AM:AM,'Historico - FAT'!$K:$K,Faturamento!$L1470,'Historico - FAT'!$I:$I,Faturamento!$J1470,'Historico - FAT'!$G:$G,Faturamento!$H1470)</f>
        <v>0</v>
      </c>
      <c r="AE1470" s="27">
        <f>SUMIFS('Historico - FAT'!AN:AN,'Historico - FAT'!$K:$K,Faturamento!$L1470,'Historico - FAT'!$I:$I,Faturamento!$J1470,'Historico - FAT'!$G:$G,Faturamento!$H1470)</f>
        <v>13.645</v>
      </c>
      <c r="AG1470" s="24">
        <f t="shared" si="348"/>
        <v>1</v>
      </c>
      <c r="AH1470" s="24">
        <f t="shared" si="349"/>
        <v>0.92103587962962963</v>
      </c>
      <c r="AI1470" s="24">
        <f t="shared" si="350"/>
        <v>1</v>
      </c>
    </row>
    <row r="1471" spans="1:35" hidden="1" x14ac:dyDescent="0.3">
      <c r="A1471" s="2" t="str">
        <f t="shared" si="347"/>
        <v>NÃO</v>
      </c>
      <c r="B1471" s="2">
        <v>1000184670</v>
      </c>
      <c r="C1471" s="2" t="s">
        <v>147</v>
      </c>
      <c r="D1471" s="4">
        <v>1000186197</v>
      </c>
      <c r="E1471" s="4" t="s">
        <v>166</v>
      </c>
      <c r="F1471" s="2">
        <v>1000184764</v>
      </c>
      <c r="G1471" s="2" t="s">
        <v>70</v>
      </c>
      <c r="H1471" s="4">
        <v>1000189822</v>
      </c>
      <c r="I1471" s="4" t="s">
        <v>115</v>
      </c>
      <c r="J1471" s="2">
        <v>1000189270</v>
      </c>
      <c r="K1471" s="2" t="s">
        <v>34</v>
      </c>
      <c r="L1471" s="4" t="s">
        <v>15</v>
      </c>
      <c r="M1471" s="4" t="str">
        <f t="shared" si="340"/>
        <v>1000184670100018619710001898221000189270DOCES</v>
      </c>
      <c r="N1471" s="28">
        <f>N1467*_xlfn.XLOOKUP($L1471,'Balizador da Meta'!$B$4:$B$21,'Balizador da Meta'!$C$4:$C$21)</f>
        <v>54</v>
      </c>
      <c r="O1471" s="28">
        <f>O1467*_xlfn.XLOOKUP($L1471,'Balizador da Meta'!$B$4:$B$21,'Balizador da Meta'!$C$4:$C$21)</f>
        <v>54</v>
      </c>
      <c r="P1471" s="28">
        <f>P1467*_xlfn.XLOOKUP($L1471,'Balizador da Meta'!$B$4:$B$21,'Balizador da Meta'!$C$4:$C$21)</f>
        <v>54</v>
      </c>
      <c r="Q1471" s="28">
        <f>Q1467*_xlfn.XLOOKUP($L1471,'Balizador da Meta'!$B$4:$B$21,'Balizador da Meta'!$C$4:$C$21)</f>
        <v>54</v>
      </c>
      <c r="R1471" s="28">
        <f>R1467*_xlfn.XLOOKUP($L1471,'Balizador da Meta'!$B$4:$B$21,'Balizador da Meta'!$C$4:$C$21)</f>
        <v>108</v>
      </c>
      <c r="S1471" s="28">
        <f>S1467*_xlfn.XLOOKUP($L1471,'Balizador da Meta'!$B$4:$B$21,'Balizador da Meta'!$C$4:$C$21)</f>
        <v>108</v>
      </c>
      <c r="T1471" s="28">
        <f>T1467*_xlfn.XLOOKUP($L1471,'Balizador da Meta'!$B$4:$B$21,'Balizador da Meta'!$C$4:$C$21)</f>
        <v>108</v>
      </c>
      <c r="U1471" s="28">
        <f>U1467*_xlfn.XLOOKUP($L1471,'Balizador da Meta'!$B$4:$B$21,'Balizador da Meta'!$C$4:$C$21)</f>
        <v>108</v>
      </c>
      <c r="V1471" s="28">
        <f>V1467*_xlfn.XLOOKUP($L1471,'Balizador da Meta'!$B$4:$B$21,'Balizador da Meta'!$C$4:$C$21)</f>
        <v>108</v>
      </c>
      <c r="W1471" s="28">
        <f>W1467*_xlfn.XLOOKUP($L1471,'Balizador da Meta'!$B$4:$B$21,'Balizador da Meta'!$C$4:$C$21)</f>
        <v>162</v>
      </c>
      <c r="X1471" s="28">
        <f>X1467*_xlfn.XLOOKUP($L1471,'Balizador da Meta'!$B$4:$B$21,'Balizador da Meta'!$C$4:$C$21)</f>
        <v>162</v>
      </c>
      <c r="Y1471" s="28">
        <f>Y1467*_xlfn.XLOOKUP($L1471,'Balizador da Meta'!$B$4:$B$21,'Balizador da Meta'!$C$4:$C$21)</f>
        <v>162</v>
      </c>
      <c r="Z1471" s="30">
        <f t="shared" si="353"/>
        <v>1242</v>
      </c>
      <c r="AA1471" s="29"/>
      <c r="AB1471" s="31">
        <f>SUMIFS('Historico - FAT'!AK:AK,'Historico - FAT'!$K:$K,Faturamento!$L1471,'Historico - FAT'!$I:$I,Faturamento!$J1471,'Historico - FAT'!$G:$G,Faturamento!$H1471)</f>
        <v>0</v>
      </c>
      <c r="AC1471" s="31">
        <f>SUMIFS('Historico - FAT'!AL:AL,'Historico - FAT'!$K:$K,Faturamento!$L1471,'Historico - FAT'!$I:$I,Faturamento!$J1471,'Historico - FAT'!$G:$G,Faturamento!$H1471)</f>
        <v>183.23499999999999</v>
      </c>
      <c r="AD1471" s="31">
        <f>SUMIFS('Historico - FAT'!AM:AM,'Historico - FAT'!$K:$K,Faturamento!$L1471,'Historico - FAT'!$I:$I,Faturamento!$J1471,'Historico - FAT'!$G:$G,Faturamento!$H1471)</f>
        <v>289.86333333333329</v>
      </c>
      <c r="AE1471" s="27">
        <f>SUMIFS('Historico - FAT'!AN:AN,'Historico - FAT'!$K:$K,Faturamento!$L1471,'Historico - FAT'!$I:$I,Faturamento!$J1471,'Historico - FAT'!$G:$G,Faturamento!$H1471)</f>
        <v>219.88199999999998</v>
      </c>
      <c r="AG1471" s="24">
        <f t="shared" si="348"/>
        <v>1</v>
      </c>
      <c r="AH1471" s="24">
        <f t="shared" si="349"/>
        <v>-0.13108024691358017</v>
      </c>
      <c r="AI1471" s="24">
        <f t="shared" si="350"/>
        <v>-0.78927983539094626</v>
      </c>
    </row>
    <row r="1472" spans="1:35" hidden="1" x14ac:dyDescent="0.3">
      <c r="A1472" s="2" t="str">
        <f t="shared" si="347"/>
        <v>NÃO</v>
      </c>
      <c r="B1472" s="2">
        <v>1000184670</v>
      </c>
      <c r="C1472" s="2" t="s">
        <v>147</v>
      </c>
      <c r="D1472" s="4">
        <v>1000186197</v>
      </c>
      <c r="E1472" s="4" t="s">
        <v>166</v>
      </c>
      <c r="F1472" s="2">
        <v>1000184764</v>
      </c>
      <c r="G1472" s="2" t="s">
        <v>70</v>
      </c>
      <c r="H1472" s="4">
        <v>1000189822</v>
      </c>
      <c r="I1472" s="4" t="s">
        <v>115</v>
      </c>
      <c r="J1472" s="2">
        <v>1000189270</v>
      </c>
      <c r="K1472" s="2" t="s">
        <v>34</v>
      </c>
      <c r="L1472" s="4" t="s">
        <v>33</v>
      </c>
      <c r="M1472" s="4" t="str">
        <f t="shared" si="340"/>
        <v>1000184670100018619710001898221000189270FOOD SERVICE</v>
      </c>
      <c r="N1472" s="28">
        <f>N1467*_xlfn.XLOOKUP($L1472,'Balizador da Meta'!$B$4:$B$21,'Balizador da Meta'!$C$4:$C$21)</f>
        <v>0</v>
      </c>
      <c r="O1472" s="28">
        <f>O1467*_xlfn.XLOOKUP($L1472,'Balizador da Meta'!$B$4:$B$21,'Balizador da Meta'!$C$4:$C$21)</f>
        <v>0</v>
      </c>
      <c r="P1472" s="28">
        <f>P1467*_xlfn.XLOOKUP($L1472,'Balizador da Meta'!$B$4:$B$21,'Balizador da Meta'!$C$4:$C$21)</f>
        <v>0</v>
      </c>
      <c r="Q1472" s="28">
        <f>Q1467*_xlfn.XLOOKUP($L1472,'Balizador da Meta'!$B$4:$B$21,'Balizador da Meta'!$C$4:$C$21)</f>
        <v>0</v>
      </c>
      <c r="R1472" s="28">
        <f>R1467*_xlfn.XLOOKUP($L1472,'Balizador da Meta'!$B$4:$B$21,'Balizador da Meta'!$C$4:$C$21)</f>
        <v>0</v>
      </c>
      <c r="S1472" s="28">
        <f>S1467*_xlfn.XLOOKUP($L1472,'Balizador da Meta'!$B$4:$B$21,'Balizador da Meta'!$C$4:$C$21)</f>
        <v>0</v>
      </c>
      <c r="T1472" s="28">
        <f>T1467*_xlfn.XLOOKUP($L1472,'Balizador da Meta'!$B$4:$B$21,'Balizador da Meta'!$C$4:$C$21)</f>
        <v>0</v>
      </c>
      <c r="U1472" s="28">
        <f>U1467*_xlfn.XLOOKUP($L1472,'Balizador da Meta'!$B$4:$B$21,'Balizador da Meta'!$C$4:$C$21)</f>
        <v>0</v>
      </c>
      <c r="V1472" s="28">
        <f>V1467*_xlfn.XLOOKUP($L1472,'Balizador da Meta'!$B$4:$B$21,'Balizador da Meta'!$C$4:$C$21)</f>
        <v>0</v>
      </c>
      <c r="W1472" s="28">
        <f>W1467*_xlfn.XLOOKUP($L1472,'Balizador da Meta'!$B$4:$B$21,'Balizador da Meta'!$C$4:$C$21)</f>
        <v>0</v>
      </c>
      <c r="X1472" s="28">
        <f>X1467*_xlfn.XLOOKUP($L1472,'Balizador da Meta'!$B$4:$B$21,'Balizador da Meta'!$C$4:$C$21)</f>
        <v>0</v>
      </c>
      <c r="Y1472" s="28">
        <f>Y1467*_xlfn.XLOOKUP($L1472,'Balizador da Meta'!$B$4:$B$21,'Balizador da Meta'!$C$4:$C$21)</f>
        <v>0</v>
      </c>
      <c r="Z1472" s="30">
        <f t="shared" si="353"/>
        <v>0</v>
      </c>
      <c r="AA1472" s="29"/>
      <c r="AB1472" s="31">
        <f>SUMIFS('Historico - FAT'!AK:AK,'Historico - FAT'!$K:$K,Faturamento!$L1472,'Historico - FAT'!$I:$I,Faturamento!$J1472,'Historico - FAT'!$G:$G,Faturamento!$H1472)</f>
        <v>0</v>
      </c>
      <c r="AC1472" s="31">
        <f>SUMIFS('Historico - FAT'!AL:AL,'Historico - FAT'!$K:$K,Faturamento!$L1472,'Historico - FAT'!$I:$I,Faturamento!$J1472,'Historico - FAT'!$G:$G,Faturamento!$H1472)</f>
        <v>0</v>
      </c>
      <c r="AD1472" s="31">
        <f>SUMIFS('Historico - FAT'!AM:AM,'Historico - FAT'!$K:$K,Faturamento!$L1472,'Historico - FAT'!$I:$I,Faturamento!$J1472,'Historico - FAT'!$G:$G,Faturamento!$H1472)</f>
        <v>0</v>
      </c>
      <c r="AE1472" s="27">
        <f>SUMIFS('Historico - FAT'!AN:AN,'Historico - FAT'!$K:$K,Faturamento!$L1472,'Historico - FAT'!$I:$I,Faturamento!$J1472,'Historico - FAT'!$G:$G,Faturamento!$H1472)</f>
        <v>0</v>
      </c>
      <c r="AG1472" s="24" t="str">
        <f t="shared" si="348"/>
        <v/>
      </c>
      <c r="AH1472" s="24" t="str">
        <f t="shared" si="349"/>
        <v/>
      </c>
      <c r="AI1472" s="24" t="str">
        <f t="shared" si="350"/>
        <v/>
      </c>
    </row>
    <row r="1473" spans="1:35" hidden="1" x14ac:dyDescent="0.3">
      <c r="A1473" s="2" t="str">
        <f t="shared" si="347"/>
        <v>NÃO</v>
      </c>
      <c r="B1473" s="2">
        <v>1000184670</v>
      </c>
      <c r="C1473" s="2" t="s">
        <v>147</v>
      </c>
      <c r="D1473" s="4">
        <v>1000186197</v>
      </c>
      <c r="E1473" s="4" t="s">
        <v>166</v>
      </c>
      <c r="F1473" s="2">
        <v>1000184764</v>
      </c>
      <c r="G1473" s="2" t="s">
        <v>70</v>
      </c>
      <c r="H1473" s="4">
        <v>1000189822</v>
      </c>
      <c r="I1473" s="4" t="s">
        <v>115</v>
      </c>
      <c r="J1473" s="2">
        <v>1000189270</v>
      </c>
      <c r="K1473" s="2" t="s">
        <v>34</v>
      </c>
      <c r="L1473" s="4" t="s">
        <v>19</v>
      </c>
      <c r="M1473" s="4" t="str">
        <f t="shared" si="340"/>
        <v>1000184670100018619710001898221000189270GELEIA</v>
      </c>
      <c r="N1473" s="28">
        <f>N1467*_xlfn.XLOOKUP($L1473,'Balizador da Meta'!$B$4:$B$21,'Balizador da Meta'!$C$4:$C$21)</f>
        <v>11.999999999999998</v>
      </c>
      <c r="O1473" s="28">
        <f>O1467*_xlfn.XLOOKUP($L1473,'Balizador da Meta'!$B$4:$B$21,'Balizador da Meta'!$C$4:$C$21)</f>
        <v>11.999999999999998</v>
      </c>
      <c r="P1473" s="28">
        <f>P1467*_xlfn.XLOOKUP($L1473,'Balizador da Meta'!$B$4:$B$21,'Balizador da Meta'!$C$4:$C$21)</f>
        <v>11.999999999999998</v>
      </c>
      <c r="Q1473" s="28">
        <f>Q1467*_xlfn.XLOOKUP($L1473,'Balizador da Meta'!$B$4:$B$21,'Balizador da Meta'!$C$4:$C$21)</f>
        <v>11.999999999999998</v>
      </c>
      <c r="R1473" s="28">
        <f>R1467*_xlfn.XLOOKUP($L1473,'Balizador da Meta'!$B$4:$B$21,'Balizador da Meta'!$C$4:$C$21)</f>
        <v>23.999999999999996</v>
      </c>
      <c r="S1473" s="28">
        <f>S1467*_xlfn.XLOOKUP($L1473,'Balizador da Meta'!$B$4:$B$21,'Balizador da Meta'!$C$4:$C$21)</f>
        <v>23.999999999999996</v>
      </c>
      <c r="T1473" s="28">
        <f>T1467*_xlfn.XLOOKUP($L1473,'Balizador da Meta'!$B$4:$B$21,'Balizador da Meta'!$C$4:$C$21)</f>
        <v>23.999999999999996</v>
      </c>
      <c r="U1473" s="28">
        <f>U1467*_xlfn.XLOOKUP($L1473,'Balizador da Meta'!$B$4:$B$21,'Balizador da Meta'!$C$4:$C$21)</f>
        <v>23.999999999999996</v>
      </c>
      <c r="V1473" s="28">
        <f>V1467*_xlfn.XLOOKUP($L1473,'Balizador da Meta'!$B$4:$B$21,'Balizador da Meta'!$C$4:$C$21)</f>
        <v>23.999999999999996</v>
      </c>
      <c r="W1473" s="28">
        <f>W1467*_xlfn.XLOOKUP($L1473,'Balizador da Meta'!$B$4:$B$21,'Balizador da Meta'!$C$4:$C$21)</f>
        <v>35.999999999999993</v>
      </c>
      <c r="X1473" s="28">
        <f>X1467*_xlfn.XLOOKUP($L1473,'Balizador da Meta'!$B$4:$B$21,'Balizador da Meta'!$C$4:$C$21)</f>
        <v>35.999999999999993</v>
      </c>
      <c r="Y1473" s="28">
        <f>Y1467*_xlfn.XLOOKUP($L1473,'Balizador da Meta'!$B$4:$B$21,'Balizador da Meta'!$C$4:$C$21)</f>
        <v>35.999999999999993</v>
      </c>
      <c r="Z1473" s="30">
        <f t="shared" si="353"/>
        <v>275.99999999999994</v>
      </c>
      <c r="AA1473" s="29"/>
      <c r="AB1473" s="31">
        <f>SUMIFS('Historico - FAT'!AK:AK,'Historico - FAT'!$K:$K,Faturamento!$L1473,'Historico - FAT'!$I:$I,Faturamento!$J1473,'Historico - FAT'!$G:$G,Faturamento!$H1473)</f>
        <v>0</v>
      </c>
      <c r="AC1473" s="31">
        <f>SUMIFS('Historico - FAT'!AL:AL,'Historico - FAT'!$K:$K,Faturamento!$L1473,'Historico - FAT'!$I:$I,Faturamento!$J1473,'Historico - FAT'!$G:$G,Faturamento!$H1473)</f>
        <v>21.065833333333334</v>
      </c>
      <c r="AD1473" s="31">
        <f>SUMIFS('Historico - FAT'!AM:AM,'Historico - FAT'!$K:$K,Faturamento!$L1473,'Historico - FAT'!$I:$I,Faturamento!$J1473,'Historico - FAT'!$G:$G,Faturamento!$H1473)</f>
        <v>32.05833333333333</v>
      </c>
      <c r="AE1473" s="27">
        <f>SUMIFS('Historico - FAT'!AN:AN,'Historico - FAT'!$K:$K,Faturamento!$L1473,'Historico - FAT'!$I:$I,Faturamento!$J1473,'Historico - FAT'!$G:$G,Faturamento!$H1473)</f>
        <v>25.279</v>
      </c>
      <c r="AG1473" s="24">
        <f t="shared" si="348"/>
        <v>1</v>
      </c>
      <c r="AH1473" s="24">
        <f t="shared" si="349"/>
        <v>0.41483796296296283</v>
      </c>
      <c r="AI1473" s="24">
        <f t="shared" si="350"/>
        <v>0.10949074074074065</v>
      </c>
    </row>
    <row r="1474" spans="1:35" hidden="1" x14ac:dyDescent="0.3">
      <c r="A1474" s="2" t="str">
        <f t="shared" si="347"/>
        <v>NÃO</v>
      </c>
      <c r="B1474" s="2">
        <v>1000184670</v>
      </c>
      <c r="C1474" s="2" t="s">
        <v>147</v>
      </c>
      <c r="D1474" s="4">
        <v>1000186197</v>
      </c>
      <c r="E1474" s="4" t="s">
        <v>166</v>
      </c>
      <c r="F1474" s="2">
        <v>1000184764</v>
      </c>
      <c r="G1474" s="2" t="s">
        <v>70</v>
      </c>
      <c r="H1474" s="4">
        <v>1000189822</v>
      </c>
      <c r="I1474" s="4" t="s">
        <v>115</v>
      </c>
      <c r="J1474" s="2">
        <v>1000189270</v>
      </c>
      <c r="K1474" s="2" t="s">
        <v>34</v>
      </c>
      <c r="L1474" s="4" t="s">
        <v>17</v>
      </c>
      <c r="M1474" s="4" t="str">
        <f t="shared" si="340"/>
        <v>1000184670100018619710001898221000189270GRANOLA</v>
      </c>
      <c r="N1474" s="28">
        <f>N1467*_xlfn.XLOOKUP($L1474,'Balizador da Meta'!$B$4:$B$21,'Balizador da Meta'!$C$4:$C$21)</f>
        <v>12</v>
      </c>
      <c r="O1474" s="28">
        <f>O1467*_xlfn.XLOOKUP($L1474,'Balizador da Meta'!$B$4:$B$21,'Balizador da Meta'!$C$4:$C$21)</f>
        <v>12</v>
      </c>
      <c r="P1474" s="28">
        <f>P1467*_xlfn.XLOOKUP($L1474,'Balizador da Meta'!$B$4:$B$21,'Balizador da Meta'!$C$4:$C$21)</f>
        <v>12</v>
      </c>
      <c r="Q1474" s="28">
        <f>Q1467*_xlfn.XLOOKUP($L1474,'Balizador da Meta'!$B$4:$B$21,'Balizador da Meta'!$C$4:$C$21)</f>
        <v>12</v>
      </c>
      <c r="R1474" s="28">
        <f>R1467*_xlfn.XLOOKUP($L1474,'Balizador da Meta'!$B$4:$B$21,'Balizador da Meta'!$C$4:$C$21)</f>
        <v>24</v>
      </c>
      <c r="S1474" s="28">
        <f>S1467*_xlfn.XLOOKUP($L1474,'Balizador da Meta'!$B$4:$B$21,'Balizador da Meta'!$C$4:$C$21)</f>
        <v>24</v>
      </c>
      <c r="T1474" s="28">
        <f>T1467*_xlfn.XLOOKUP($L1474,'Balizador da Meta'!$B$4:$B$21,'Balizador da Meta'!$C$4:$C$21)</f>
        <v>24</v>
      </c>
      <c r="U1474" s="28">
        <f>U1467*_xlfn.XLOOKUP($L1474,'Balizador da Meta'!$B$4:$B$21,'Balizador da Meta'!$C$4:$C$21)</f>
        <v>24</v>
      </c>
      <c r="V1474" s="28">
        <f>V1467*_xlfn.XLOOKUP($L1474,'Balizador da Meta'!$B$4:$B$21,'Balizador da Meta'!$C$4:$C$21)</f>
        <v>24</v>
      </c>
      <c r="W1474" s="28">
        <f>W1467*_xlfn.XLOOKUP($L1474,'Balizador da Meta'!$B$4:$B$21,'Balizador da Meta'!$C$4:$C$21)</f>
        <v>36</v>
      </c>
      <c r="X1474" s="28">
        <f>X1467*_xlfn.XLOOKUP($L1474,'Balizador da Meta'!$B$4:$B$21,'Balizador da Meta'!$C$4:$C$21)</f>
        <v>36</v>
      </c>
      <c r="Y1474" s="28">
        <f>Y1467*_xlfn.XLOOKUP($L1474,'Balizador da Meta'!$B$4:$B$21,'Balizador da Meta'!$C$4:$C$21)</f>
        <v>36</v>
      </c>
      <c r="Z1474" s="30">
        <f t="shared" si="353"/>
        <v>276</v>
      </c>
      <c r="AA1474" s="29"/>
      <c r="AB1474" s="31">
        <f>SUMIFS('Historico - FAT'!AK:AK,'Historico - FAT'!$K:$K,Faturamento!$L1474,'Historico - FAT'!$I:$I,Faturamento!$J1474,'Historico - FAT'!$G:$G,Faturamento!$H1474)</f>
        <v>0</v>
      </c>
      <c r="AC1474" s="31">
        <f>SUMIFS('Historico - FAT'!AL:AL,'Historico - FAT'!$K:$K,Faturamento!$L1474,'Historico - FAT'!$I:$I,Faturamento!$J1474,'Historico - FAT'!$G:$G,Faturamento!$H1474)</f>
        <v>0</v>
      </c>
      <c r="AD1474" s="31">
        <f>SUMIFS('Historico - FAT'!AM:AM,'Historico - FAT'!$K:$K,Faturamento!$L1474,'Historico - FAT'!$I:$I,Faturamento!$J1474,'Historico - FAT'!$G:$G,Faturamento!$H1474)</f>
        <v>0</v>
      </c>
      <c r="AE1474" s="27">
        <f>SUMIFS('Historico - FAT'!AN:AN,'Historico - FAT'!$K:$K,Faturamento!$L1474,'Historico - FAT'!$I:$I,Faturamento!$J1474,'Historico - FAT'!$G:$G,Faturamento!$H1474)</f>
        <v>0</v>
      </c>
      <c r="AG1474" s="24">
        <f t="shared" si="348"/>
        <v>1</v>
      </c>
      <c r="AH1474" s="24">
        <f t="shared" si="349"/>
        <v>1</v>
      </c>
      <c r="AI1474" s="24">
        <f t="shared" si="350"/>
        <v>1</v>
      </c>
    </row>
    <row r="1475" spans="1:35" hidden="1" x14ac:dyDescent="0.3">
      <c r="A1475" s="2" t="str">
        <f t="shared" si="347"/>
        <v>NÃO</v>
      </c>
      <c r="B1475" s="2">
        <v>1000184670</v>
      </c>
      <c r="C1475" s="2" t="s">
        <v>147</v>
      </c>
      <c r="D1475" s="4">
        <v>1000186197</v>
      </c>
      <c r="E1475" s="4" t="s">
        <v>166</v>
      </c>
      <c r="F1475" s="2">
        <v>1000184764</v>
      </c>
      <c r="G1475" s="2" t="s">
        <v>70</v>
      </c>
      <c r="H1475" s="4">
        <v>1000189822</v>
      </c>
      <c r="I1475" s="4" t="s">
        <v>115</v>
      </c>
      <c r="J1475" s="2">
        <v>1000189270</v>
      </c>
      <c r="K1475" s="2" t="s">
        <v>34</v>
      </c>
      <c r="L1475" s="4" t="s">
        <v>24</v>
      </c>
      <c r="M1475" s="4" t="str">
        <f t="shared" si="340"/>
        <v>1000184670100018619710001898221000189270KIDS</v>
      </c>
      <c r="N1475" s="28">
        <f>N1467*_xlfn.XLOOKUP($L1475,'Balizador da Meta'!$B$4:$B$21,'Balizador da Meta'!$C$4:$C$21)</f>
        <v>0</v>
      </c>
      <c r="O1475" s="28">
        <f>O1467*_xlfn.XLOOKUP($L1475,'Balizador da Meta'!$B$4:$B$21,'Balizador da Meta'!$C$4:$C$21)</f>
        <v>0</v>
      </c>
      <c r="P1475" s="28">
        <f>P1467*_xlfn.XLOOKUP($L1475,'Balizador da Meta'!$B$4:$B$21,'Balizador da Meta'!$C$4:$C$21)</f>
        <v>0</v>
      </c>
      <c r="Q1475" s="28">
        <f>Q1467*_xlfn.XLOOKUP($L1475,'Balizador da Meta'!$B$4:$B$21,'Balizador da Meta'!$C$4:$C$21)</f>
        <v>0</v>
      </c>
      <c r="R1475" s="28">
        <f>R1467*_xlfn.XLOOKUP($L1475,'Balizador da Meta'!$B$4:$B$21,'Balizador da Meta'!$C$4:$C$21)</f>
        <v>0</v>
      </c>
      <c r="S1475" s="28">
        <f>S1467*_xlfn.XLOOKUP($L1475,'Balizador da Meta'!$B$4:$B$21,'Balizador da Meta'!$C$4:$C$21)</f>
        <v>0</v>
      </c>
      <c r="T1475" s="28">
        <f>T1467*_xlfn.XLOOKUP($L1475,'Balizador da Meta'!$B$4:$B$21,'Balizador da Meta'!$C$4:$C$21)</f>
        <v>0</v>
      </c>
      <c r="U1475" s="28">
        <f>U1467*_xlfn.XLOOKUP($L1475,'Balizador da Meta'!$B$4:$B$21,'Balizador da Meta'!$C$4:$C$21)</f>
        <v>0</v>
      </c>
      <c r="V1475" s="28">
        <f>V1467*_xlfn.XLOOKUP($L1475,'Balizador da Meta'!$B$4:$B$21,'Balizador da Meta'!$C$4:$C$21)</f>
        <v>0</v>
      </c>
      <c r="W1475" s="28">
        <f>W1467*_xlfn.XLOOKUP($L1475,'Balizador da Meta'!$B$4:$B$21,'Balizador da Meta'!$C$4:$C$21)</f>
        <v>0</v>
      </c>
      <c r="X1475" s="28">
        <f>X1467*_xlfn.XLOOKUP($L1475,'Balizador da Meta'!$B$4:$B$21,'Balizador da Meta'!$C$4:$C$21)</f>
        <v>0</v>
      </c>
      <c r="Y1475" s="28">
        <f>Y1467*_xlfn.XLOOKUP($L1475,'Balizador da Meta'!$B$4:$B$21,'Balizador da Meta'!$C$4:$C$21)</f>
        <v>0</v>
      </c>
      <c r="Z1475" s="30">
        <f t="shared" si="353"/>
        <v>0</v>
      </c>
      <c r="AA1475" s="29"/>
      <c r="AB1475" s="31">
        <f>SUMIFS('Historico - FAT'!AK:AK,'Historico - FAT'!$K:$K,Faturamento!$L1475,'Historico - FAT'!$I:$I,Faturamento!$J1475,'Historico - FAT'!$G:$G,Faturamento!$H1475)</f>
        <v>0</v>
      </c>
      <c r="AC1475" s="31">
        <f>SUMIFS('Historico - FAT'!AL:AL,'Historico - FAT'!$K:$K,Faturamento!$L1475,'Historico - FAT'!$I:$I,Faturamento!$J1475,'Historico - FAT'!$G:$G,Faturamento!$H1475)</f>
        <v>1.6875</v>
      </c>
      <c r="AD1475" s="31">
        <f>SUMIFS('Historico - FAT'!AM:AM,'Historico - FAT'!$K:$K,Faturamento!$L1475,'Historico - FAT'!$I:$I,Faturamento!$J1475,'Historico - FAT'!$G:$G,Faturamento!$H1475)</f>
        <v>0</v>
      </c>
      <c r="AE1475" s="27">
        <f>SUMIFS('Historico - FAT'!AN:AN,'Historico - FAT'!$K:$K,Faturamento!$L1475,'Historico - FAT'!$I:$I,Faturamento!$J1475,'Historico - FAT'!$G:$G,Faturamento!$H1475)</f>
        <v>2.0249999999999999</v>
      </c>
      <c r="AG1475" s="24" t="str">
        <f t="shared" si="348"/>
        <v/>
      </c>
      <c r="AH1475" s="24" t="str">
        <f t="shared" si="349"/>
        <v/>
      </c>
      <c r="AI1475" s="24" t="str">
        <f t="shared" si="350"/>
        <v/>
      </c>
    </row>
    <row r="1476" spans="1:35" hidden="1" x14ac:dyDescent="0.3">
      <c r="A1476" s="2" t="str">
        <f t="shared" si="347"/>
        <v>NÃO</v>
      </c>
      <c r="B1476" s="2">
        <v>1000184670</v>
      </c>
      <c r="C1476" s="2" t="s">
        <v>147</v>
      </c>
      <c r="D1476" s="4">
        <v>1000186197</v>
      </c>
      <c r="E1476" s="4" t="s">
        <v>166</v>
      </c>
      <c r="F1476" s="2">
        <v>1000184764</v>
      </c>
      <c r="G1476" s="2" t="s">
        <v>70</v>
      </c>
      <c r="H1476" s="4">
        <v>1000189822</v>
      </c>
      <c r="I1476" s="4" t="s">
        <v>115</v>
      </c>
      <c r="J1476" s="2">
        <v>1000189270</v>
      </c>
      <c r="K1476" s="2" t="s">
        <v>34</v>
      </c>
      <c r="L1476" s="4" t="s">
        <v>18</v>
      </c>
      <c r="M1476" s="4" t="str">
        <f t="shared" si="340"/>
        <v>1000184670100018619710001898221000189270LANCHES</v>
      </c>
      <c r="N1476" s="28">
        <f>N1467*_xlfn.XLOOKUP($L1476,'Balizador da Meta'!$B$4:$B$21,'Balizador da Meta'!$C$4:$C$21)</f>
        <v>6</v>
      </c>
      <c r="O1476" s="28">
        <f>O1467*_xlfn.XLOOKUP($L1476,'Balizador da Meta'!$B$4:$B$21,'Balizador da Meta'!$C$4:$C$21)</f>
        <v>6</v>
      </c>
      <c r="P1476" s="28">
        <f>P1467*_xlfn.XLOOKUP($L1476,'Balizador da Meta'!$B$4:$B$21,'Balizador da Meta'!$C$4:$C$21)</f>
        <v>6</v>
      </c>
      <c r="Q1476" s="28">
        <f>Q1467*_xlfn.XLOOKUP($L1476,'Balizador da Meta'!$B$4:$B$21,'Balizador da Meta'!$C$4:$C$21)</f>
        <v>6</v>
      </c>
      <c r="R1476" s="28">
        <f>R1467*_xlfn.XLOOKUP($L1476,'Balizador da Meta'!$B$4:$B$21,'Balizador da Meta'!$C$4:$C$21)</f>
        <v>12</v>
      </c>
      <c r="S1476" s="28">
        <f>S1467*_xlfn.XLOOKUP($L1476,'Balizador da Meta'!$B$4:$B$21,'Balizador da Meta'!$C$4:$C$21)</f>
        <v>12</v>
      </c>
      <c r="T1476" s="28">
        <f>T1467*_xlfn.XLOOKUP($L1476,'Balizador da Meta'!$B$4:$B$21,'Balizador da Meta'!$C$4:$C$21)</f>
        <v>12</v>
      </c>
      <c r="U1476" s="28">
        <f>U1467*_xlfn.XLOOKUP($L1476,'Balizador da Meta'!$B$4:$B$21,'Balizador da Meta'!$C$4:$C$21)</f>
        <v>12</v>
      </c>
      <c r="V1476" s="28">
        <f>V1467*_xlfn.XLOOKUP($L1476,'Balizador da Meta'!$B$4:$B$21,'Balizador da Meta'!$C$4:$C$21)</f>
        <v>12</v>
      </c>
      <c r="W1476" s="28">
        <f>W1467*_xlfn.XLOOKUP($L1476,'Balizador da Meta'!$B$4:$B$21,'Balizador da Meta'!$C$4:$C$21)</f>
        <v>18</v>
      </c>
      <c r="X1476" s="28">
        <f>X1467*_xlfn.XLOOKUP($L1476,'Balizador da Meta'!$B$4:$B$21,'Balizador da Meta'!$C$4:$C$21)</f>
        <v>18</v>
      </c>
      <c r="Y1476" s="28">
        <f>Y1467*_xlfn.XLOOKUP($L1476,'Balizador da Meta'!$B$4:$B$21,'Balizador da Meta'!$C$4:$C$21)</f>
        <v>18</v>
      </c>
      <c r="Z1476" s="30">
        <f t="shared" si="353"/>
        <v>138</v>
      </c>
      <c r="AA1476" s="29"/>
      <c r="AB1476" s="31">
        <f>SUMIFS('Historico - FAT'!AK:AK,'Historico - FAT'!$K:$K,Faturamento!$L1476,'Historico - FAT'!$I:$I,Faturamento!$J1476,'Historico - FAT'!$G:$G,Faturamento!$H1476)</f>
        <v>0</v>
      </c>
      <c r="AC1476" s="31">
        <f>SUMIFS('Historico - FAT'!AL:AL,'Historico - FAT'!$K:$K,Faturamento!$L1476,'Historico - FAT'!$I:$I,Faturamento!$J1476,'Historico - FAT'!$G:$G,Faturamento!$H1476)</f>
        <v>0</v>
      </c>
      <c r="AD1476" s="31">
        <f>SUMIFS('Historico - FAT'!AM:AM,'Historico - FAT'!$K:$K,Faturamento!$L1476,'Historico - FAT'!$I:$I,Faturamento!$J1476,'Historico - FAT'!$G:$G,Faturamento!$H1476)</f>
        <v>0</v>
      </c>
      <c r="AE1476" s="27">
        <f>SUMIFS('Historico - FAT'!AN:AN,'Historico - FAT'!$K:$K,Faturamento!$L1476,'Historico - FAT'!$I:$I,Faturamento!$J1476,'Historico - FAT'!$G:$G,Faturamento!$H1476)</f>
        <v>0</v>
      </c>
      <c r="AG1476" s="24">
        <f t="shared" si="348"/>
        <v>1</v>
      </c>
      <c r="AH1476" s="24">
        <f t="shared" si="349"/>
        <v>1</v>
      </c>
      <c r="AI1476" s="24">
        <f t="shared" si="350"/>
        <v>1</v>
      </c>
    </row>
    <row r="1477" spans="1:35" hidden="1" x14ac:dyDescent="0.3">
      <c r="A1477" s="2" t="str">
        <f t="shared" si="347"/>
        <v>NÃO</v>
      </c>
      <c r="B1477" s="2">
        <v>1000184670</v>
      </c>
      <c r="C1477" s="2" t="s">
        <v>147</v>
      </c>
      <c r="D1477" s="4">
        <v>1000186197</v>
      </c>
      <c r="E1477" s="4" t="s">
        <v>166</v>
      </c>
      <c r="F1477" s="2">
        <v>1000184764</v>
      </c>
      <c r="G1477" s="2" t="s">
        <v>70</v>
      </c>
      <c r="H1477" s="4">
        <v>1000189822</v>
      </c>
      <c r="I1477" s="4" t="s">
        <v>115</v>
      </c>
      <c r="J1477" s="2">
        <v>1000189270</v>
      </c>
      <c r="K1477" s="2" t="s">
        <v>34</v>
      </c>
      <c r="L1477" s="4" t="s">
        <v>29</v>
      </c>
      <c r="M1477" s="4" t="str">
        <f t="shared" ref="M1477:M1523" si="354">_xlfn.CONCAT(B1477,D1477,H1477,J1477,L1477,)</f>
        <v>1000184670100018619710001898221000189270MAIS GRANEL</v>
      </c>
      <c r="N1477" s="28">
        <f>N1467*_xlfn.XLOOKUP($L1477,'Balizador da Meta'!$B$4:$B$21,'Balizador da Meta'!$C$4:$C$21)</f>
        <v>192</v>
      </c>
      <c r="O1477" s="28">
        <f>O1467*_xlfn.XLOOKUP($L1477,'Balizador da Meta'!$B$4:$B$21,'Balizador da Meta'!$C$4:$C$21)</f>
        <v>192</v>
      </c>
      <c r="P1477" s="28">
        <f>P1467*_xlfn.XLOOKUP($L1477,'Balizador da Meta'!$B$4:$B$21,'Balizador da Meta'!$C$4:$C$21)</f>
        <v>192</v>
      </c>
      <c r="Q1477" s="28">
        <f>Q1467*_xlfn.XLOOKUP($L1477,'Balizador da Meta'!$B$4:$B$21,'Balizador da Meta'!$C$4:$C$21)</f>
        <v>192</v>
      </c>
      <c r="R1477" s="28">
        <f>R1467*_xlfn.XLOOKUP($L1477,'Balizador da Meta'!$B$4:$B$21,'Balizador da Meta'!$C$4:$C$21)</f>
        <v>384</v>
      </c>
      <c r="S1477" s="28">
        <f>S1467*_xlfn.XLOOKUP($L1477,'Balizador da Meta'!$B$4:$B$21,'Balizador da Meta'!$C$4:$C$21)</f>
        <v>384</v>
      </c>
      <c r="T1477" s="28">
        <f>T1467*_xlfn.XLOOKUP($L1477,'Balizador da Meta'!$B$4:$B$21,'Balizador da Meta'!$C$4:$C$21)</f>
        <v>384</v>
      </c>
      <c r="U1477" s="28">
        <f>U1467*_xlfn.XLOOKUP($L1477,'Balizador da Meta'!$B$4:$B$21,'Balizador da Meta'!$C$4:$C$21)</f>
        <v>384</v>
      </c>
      <c r="V1477" s="28">
        <f>V1467*_xlfn.XLOOKUP($L1477,'Balizador da Meta'!$B$4:$B$21,'Balizador da Meta'!$C$4:$C$21)</f>
        <v>384</v>
      </c>
      <c r="W1477" s="28">
        <f>W1467*_xlfn.XLOOKUP($L1477,'Balizador da Meta'!$B$4:$B$21,'Balizador da Meta'!$C$4:$C$21)</f>
        <v>576</v>
      </c>
      <c r="X1477" s="28">
        <f>X1467*_xlfn.XLOOKUP($L1477,'Balizador da Meta'!$B$4:$B$21,'Balizador da Meta'!$C$4:$C$21)</f>
        <v>576</v>
      </c>
      <c r="Y1477" s="28">
        <f>Y1467*_xlfn.XLOOKUP($L1477,'Balizador da Meta'!$B$4:$B$21,'Balizador da Meta'!$C$4:$C$21)</f>
        <v>576</v>
      </c>
      <c r="Z1477" s="30">
        <f t="shared" si="353"/>
        <v>4416</v>
      </c>
      <c r="AA1477" s="29"/>
      <c r="AB1477" s="31">
        <f>SUMIFS('Historico - FAT'!AK:AK,'Historico - FAT'!$K:$K,Faturamento!$L1477,'Historico - FAT'!$I:$I,Faturamento!$J1477,'Historico - FAT'!$G:$G,Faturamento!$H1477)</f>
        <v>0</v>
      </c>
      <c r="AC1477" s="31">
        <f>SUMIFS('Historico - FAT'!AL:AL,'Historico - FAT'!$K:$K,Faturamento!$L1477,'Historico - FAT'!$I:$I,Faturamento!$J1477,'Historico - FAT'!$G:$G,Faturamento!$H1477)</f>
        <v>0</v>
      </c>
      <c r="AD1477" s="31">
        <f>SUMIFS('Historico - FAT'!AM:AM,'Historico - FAT'!$K:$K,Faturamento!$L1477,'Historico - FAT'!$I:$I,Faturamento!$J1477,'Historico - FAT'!$G:$G,Faturamento!$H1477)</f>
        <v>0</v>
      </c>
      <c r="AE1477" s="27">
        <f>SUMIFS('Historico - FAT'!AN:AN,'Historico - FAT'!$K:$K,Faturamento!$L1477,'Historico - FAT'!$I:$I,Faturamento!$J1477,'Historico - FAT'!$G:$G,Faturamento!$H1477)</f>
        <v>0</v>
      </c>
      <c r="AG1477" s="24">
        <f t="shared" si="348"/>
        <v>1</v>
      </c>
      <c r="AH1477" s="24">
        <f t="shared" si="349"/>
        <v>1</v>
      </c>
      <c r="AI1477" s="24">
        <f t="shared" si="350"/>
        <v>1</v>
      </c>
    </row>
    <row r="1478" spans="1:35" hidden="1" x14ac:dyDescent="0.3">
      <c r="A1478" s="2" t="str">
        <f t="shared" si="347"/>
        <v>NÃO</v>
      </c>
      <c r="B1478" s="2">
        <v>1000184670</v>
      </c>
      <c r="C1478" s="2" t="s">
        <v>147</v>
      </c>
      <c r="D1478" s="4">
        <v>1000186197</v>
      </c>
      <c r="E1478" s="4" t="s">
        <v>166</v>
      </c>
      <c r="F1478" s="2">
        <v>1000184764</v>
      </c>
      <c r="G1478" s="2" t="s">
        <v>70</v>
      </c>
      <c r="H1478" s="4">
        <v>1000189822</v>
      </c>
      <c r="I1478" s="4" t="s">
        <v>115</v>
      </c>
      <c r="J1478" s="2">
        <v>1000189270</v>
      </c>
      <c r="K1478" s="2" t="s">
        <v>34</v>
      </c>
      <c r="L1478" s="4" t="s">
        <v>21</v>
      </c>
      <c r="M1478" s="4" t="str">
        <f t="shared" si="354"/>
        <v>1000184670100018619710001898221000189270NATURATTA</v>
      </c>
      <c r="N1478" s="28">
        <f>N1467*_xlfn.XLOOKUP($L1478,'Balizador da Meta'!$B$4:$B$21,'Balizador da Meta'!$C$4:$C$21)</f>
        <v>30</v>
      </c>
      <c r="O1478" s="28">
        <f>O1467*_xlfn.XLOOKUP($L1478,'Balizador da Meta'!$B$4:$B$21,'Balizador da Meta'!$C$4:$C$21)</f>
        <v>30</v>
      </c>
      <c r="P1478" s="28">
        <f>P1467*_xlfn.XLOOKUP($L1478,'Balizador da Meta'!$B$4:$B$21,'Balizador da Meta'!$C$4:$C$21)</f>
        <v>30</v>
      </c>
      <c r="Q1478" s="28">
        <f>Q1467*_xlfn.XLOOKUP($L1478,'Balizador da Meta'!$B$4:$B$21,'Balizador da Meta'!$C$4:$C$21)</f>
        <v>30</v>
      </c>
      <c r="R1478" s="28">
        <f>R1467*_xlfn.XLOOKUP($L1478,'Balizador da Meta'!$B$4:$B$21,'Balizador da Meta'!$C$4:$C$21)</f>
        <v>60</v>
      </c>
      <c r="S1478" s="28">
        <f>S1467*_xlfn.XLOOKUP($L1478,'Balizador da Meta'!$B$4:$B$21,'Balizador da Meta'!$C$4:$C$21)</f>
        <v>60</v>
      </c>
      <c r="T1478" s="28">
        <f>T1467*_xlfn.XLOOKUP($L1478,'Balizador da Meta'!$B$4:$B$21,'Balizador da Meta'!$C$4:$C$21)</f>
        <v>60</v>
      </c>
      <c r="U1478" s="28">
        <f>U1467*_xlfn.XLOOKUP($L1478,'Balizador da Meta'!$B$4:$B$21,'Balizador da Meta'!$C$4:$C$21)</f>
        <v>60</v>
      </c>
      <c r="V1478" s="28">
        <f>V1467*_xlfn.XLOOKUP($L1478,'Balizador da Meta'!$B$4:$B$21,'Balizador da Meta'!$C$4:$C$21)</f>
        <v>60</v>
      </c>
      <c r="W1478" s="28">
        <f>W1467*_xlfn.XLOOKUP($L1478,'Balizador da Meta'!$B$4:$B$21,'Balizador da Meta'!$C$4:$C$21)</f>
        <v>90</v>
      </c>
      <c r="X1478" s="28">
        <f>X1467*_xlfn.XLOOKUP($L1478,'Balizador da Meta'!$B$4:$B$21,'Balizador da Meta'!$C$4:$C$21)</f>
        <v>90</v>
      </c>
      <c r="Y1478" s="28">
        <f>Y1467*_xlfn.XLOOKUP($L1478,'Balizador da Meta'!$B$4:$B$21,'Balizador da Meta'!$C$4:$C$21)</f>
        <v>90</v>
      </c>
      <c r="Z1478" s="30">
        <f t="shared" si="353"/>
        <v>690</v>
      </c>
      <c r="AA1478" s="29"/>
      <c r="AB1478" s="31">
        <f>SUMIFS('Historico - FAT'!AK:AK,'Historico - FAT'!$K:$K,Faturamento!$L1478,'Historico - FAT'!$I:$I,Faturamento!$J1478,'Historico - FAT'!$G:$G,Faturamento!$H1478)</f>
        <v>0</v>
      </c>
      <c r="AC1478" s="31">
        <f>SUMIFS('Historico - FAT'!AL:AL,'Historico - FAT'!$K:$K,Faturamento!$L1478,'Historico - FAT'!$I:$I,Faturamento!$J1478,'Historico - FAT'!$G:$G,Faturamento!$H1478)</f>
        <v>0</v>
      </c>
      <c r="AD1478" s="31">
        <f>SUMIFS('Historico - FAT'!AM:AM,'Historico - FAT'!$K:$K,Faturamento!$L1478,'Historico - FAT'!$I:$I,Faturamento!$J1478,'Historico - FAT'!$G:$G,Faturamento!$H1478)</f>
        <v>0</v>
      </c>
      <c r="AE1478" s="27">
        <f>SUMIFS('Historico - FAT'!AN:AN,'Historico - FAT'!$K:$K,Faturamento!$L1478,'Historico - FAT'!$I:$I,Faturamento!$J1478,'Historico - FAT'!$G:$G,Faturamento!$H1478)</f>
        <v>0</v>
      </c>
      <c r="AG1478" s="24">
        <f t="shared" si="348"/>
        <v>1</v>
      </c>
      <c r="AH1478" s="24">
        <f t="shared" si="349"/>
        <v>1</v>
      </c>
      <c r="AI1478" s="24">
        <f t="shared" si="350"/>
        <v>1</v>
      </c>
    </row>
    <row r="1479" spans="1:35" hidden="1" x14ac:dyDescent="0.3">
      <c r="A1479" s="2" t="str">
        <f t="shared" si="347"/>
        <v>NÃO</v>
      </c>
      <c r="B1479" s="2">
        <v>1000184670</v>
      </c>
      <c r="C1479" s="2" t="s">
        <v>147</v>
      </c>
      <c r="D1479" s="4">
        <v>1000186197</v>
      </c>
      <c r="E1479" s="4" t="s">
        <v>166</v>
      </c>
      <c r="F1479" s="2">
        <v>1000184764</v>
      </c>
      <c r="G1479" s="2" t="s">
        <v>70</v>
      </c>
      <c r="H1479" s="4">
        <v>1000189822</v>
      </c>
      <c r="I1479" s="4" t="s">
        <v>115</v>
      </c>
      <c r="J1479" s="2">
        <v>1000189270</v>
      </c>
      <c r="K1479" s="2" t="s">
        <v>34</v>
      </c>
      <c r="L1479" s="4" t="s">
        <v>20</v>
      </c>
      <c r="M1479" s="4" t="str">
        <f t="shared" si="354"/>
        <v>1000184670100018619710001898221000189270REEMBALADOS</v>
      </c>
      <c r="N1479" s="28">
        <f>N1467*_xlfn.XLOOKUP($L1479,'Balizador da Meta'!$B$4:$B$21,'Balizador da Meta'!$C$4:$C$21)</f>
        <v>24</v>
      </c>
      <c r="O1479" s="28">
        <f>O1467*_xlfn.XLOOKUP($L1479,'Balizador da Meta'!$B$4:$B$21,'Balizador da Meta'!$C$4:$C$21)</f>
        <v>24</v>
      </c>
      <c r="P1479" s="28">
        <f>P1467*_xlfn.XLOOKUP($L1479,'Balizador da Meta'!$B$4:$B$21,'Balizador da Meta'!$C$4:$C$21)</f>
        <v>24</v>
      </c>
      <c r="Q1479" s="28">
        <f>Q1467*_xlfn.XLOOKUP($L1479,'Balizador da Meta'!$B$4:$B$21,'Balizador da Meta'!$C$4:$C$21)</f>
        <v>24</v>
      </c>
      <c r="R1479" s="28">
        <f>R1467*_xlfn.XLOOKUP($L1479,'Balizador da Meta'!$B$4:$B$21,'Balizador da Meta'!$C$4:$C$21)</f>
        <v>48</v>
      </c>
      <c r="S1479" s="28">
        <f>S1467*_xlfn.XLOOKUP($L1479,'Balizador da Meta'!$B$4:$B$21,'Balizador da Meta'!$C$4:$C$21)</f>
        <v>48</v>
      </c>
      <c r="T1479" s="28">
        <f>T1467*_xlfn.XLOOKUP($L1479,'Balizador da Meta'!$B$4:$B$21,'Balizador da Meta'!$C$4:$C$21)</f>
        <v>48</v>
      </c>
      <c r="U1479" s="28">
        <f>U1467*_xlfn.XLOOKUP($L1479,'Balizador da Meta'!$B$4:$B$21,'Balizador da Meta'!$C$4:$C$21)</f>
        <v>48</v>
      </c>
      <c r="V1479" s="28">
        <f>V1467*_xlfn.XLOOKUP($L1479,'Balizador da Meta'!$B$4:$B$21,'Balizador da Meta'!$C$4:$C$21)</f>
        <v>48</v>
      </c>
      <c r="W1479" s="28">
        <f>W1467*_xlfn.XLOOKUP($L1479,'Balizador da Meta'!$B$4:$B$21,'Balizador da Meta'!$C$4:$C$21)</f>
        <v>72</v>
      </c>
      <c r="X1479" s="28">
        <f>X1467*_xlfn.XLOOKUP($L1479,'Balizador da Meta'!$B$4:$B$21,'Balizador da Meta'!$C$4:$C$21)</f>
        <v>72</v>
      </c>
      <c r="Y1479" s="28">
        <f>Y1467*_xlfn.XLOOKUP($L1479,'Balizador da Meta'!$B$4:$B$21,'Balizador da Meta'!$C$4:$C$21)</f>
        <v>72</v>
      </c>
      <c r="Z1479" s="30">
        <f t="shared" si="353"/>
        <v>552</v>
      </c>
      <c r="AA1479" s="29"/>
      <c r="AB1479" s="31">
        <f>SUMIFS('Historico - FAT'!AK:AK,'Historico - FAT'!$K:$K,Faturamento!$L1479,'Historico - FAT'!$I:$I,Faturamento!$J1479,'Historico - FAT'!$G:$G,Faturamento!$H1479)</f>
        <v>0</v>
      </c>
      <c r="AC1479" s="31">
        <f>SUMIFS('Historico - FAT'!AL:AL,'Historico - FAT'!$K:$K,Faturamento!$L1479,'Historico - FAT'!$I:$I,Faturamento!$J1479,'Historico - FAT'!$G:$G,Faturamento!$H1479)</f>
        <v>0</v>
      </c>
      <c r="AD1479" s="31">
        <f>SUMIFS('Historico - FAT'!AM:AM,'Historico - FAT'!$K:$K,Faturamento!$L1479,'Historico - FAT'!$I:$I,Faturamento!$J1479,'Historico - FAT'!$G:$G,Faturamento!$H1479)</f>
        <v>0</v>
      </c>
      <c r="AE1479" s="27">
        <f>SUMIFS('Historico - FAT'!AN:AN,'Historico - FAT'!$K:$K,Faturamento!$L1479,'Historico - FAT'!$I:$I,Faturamento!$J1479,'Historico - FAT'!$G:$G,Faturamento!$H1479)</f>
        <v>0</v>
      </c>
      <c r="AG1479" s="24">
        <f t="shared" si="348"/>
        <v>1</v>
      </c>
      <c r="AH1479" s="24">
        <f t="shared" si="349"/>
        <v>1</v>
      </c>
      <c r="AI1479" s="24">
        <f t="shared" si="350"/>
        <v>1</v>
      </c>
    </row>
    <row r="1480" spans="1:35" hidden="1" x14ac:dyDescent="0.3">
      <c r="A1480" s="2" t="str">
        <f t="shared" si="347"/>
        <v>NÃO</v>
      </c>
      <c r="B1480" s="2">
        <v>1000184670</v>
      </c>
      <c r="C1480" s="2" t="s">
        <v>147</v>
      </c>
      <c r="D1480" s="4">
        <v>1000186197</v>
      </c>
      <c r="E1480" s="4" t="s">
        <v>166</v>
      </c>
      <c r="F1480" s="2">
        <v>1000184764</v>
      </c>
      <c r="G1480" s="2" t="s">
        <v>70</v>
      </c>
      <c r="H1480" s="4">
        <v>1000189822</v>
      </c>
      <c r="I1480" s="4" t="s">
        <v>115</v>
      </c>
      <c r="J1480" s="2">
        <v>1000189270</v>
      </c>
      <c r="K1480" s="2" t="s">
        <v>34</v>
      </c>
      <c r="L1480" s="4" t="s">
        <v>22</v>
      </c>
      <c r="M1480" s="4" t="str">
        <f t="shared" si="354"/>
        <v>1000184670100018619710001898221000189270S GLUTEN</v>
      </c>
      <c r="N1480" s="28">
        <f>N1467*_xlfn.XLOOKUP($L1480,'Balizador da Meta'!$B$4:$B$21,'Balizador da Meta'!$C$4:$C$21)</f>
        <v>24</v>
      </c>
      <c r="O1480" s="28">
        <f>O1467*_xlfn.XLOOKUP($L1480,'Balizador da Meta'!$B$4:$B$21,'Balizador da Meta'!$C$4:$C$21)</f>
        <v>24</v>
      </c>
      <c r="P1480" s="28">
        <f>P1467*_xlfn.XLOOKUP($L1480,'Balizador da Meta'!$B$4:$B$21,'Balizador da Meta'!$C$4:$C$21)</f>
        <v>24</v>
      </c>
      <c r="Q1480" s="28">
        <f>Q1467*_xlfn.XLOOKUP($L1480,'Balizador da Meta'!$B$4:$B$21,'Balizador da Meta'!$C$4:$C$21)</f>
        <v>24</v>
      </c>
      <c r="R1480" s="28">
        <f>R1467*_xlfn.XLOOKUP($L1480,'Balizador da Meta'!$B$4:$B$21,'Balizador da Meta'!$C$4:$C$21)</f>
        <v>48</v>
      </c>
      <c r="S1480" s="28">
        <f>S1467*_xlfn.XLOOKUP($L1480,'Balizador da Meta'!$B$4:$B$21,'Balizador da Meta'!$C$4:$C$21)</f>
        <v>48</v>
      </c>
      <c r="T1480" s="28">
        <f>T1467*_xlfn.XLOOKUP($L1480,'Balizador da Meta'!$B$4:$B$21,'Balizador da Meta'!$C$4:$C$21)</f>
        <v>48</v>
      </c>
      <c r="U1480" s="28">
        <f>U1467*_xlfn.XLOOKUP($L1480,'Balizador da Meta'!$B$4:$B$21,'Balizador da Meta'!$C$4:$C$21)</f>
        <v>48</v>
      </c>
      <c r="V1480" s="28">
        <f>V1467*_xlfn.XLOOKUP($L1480,'Balizador da Meta'!$B$4:$B$21,'Balizador da Meta'!$C$4:$C$21)</f>
        <v>48</v>
      </c>
      <c r="W1480" s="28">
        <f>W1467*_xlfn.XLOOKUP($L1480,'Balizador da Meta'!$B$4:$B$21,'Balizador da Meta'!$C$4:$C$21)</f>
        <v>72</v>
      </c>
      <c r="X1480" s="28">
        <f>X1467*_xlfn.XLOOKUP($L1480,'Balizador da Meta'!$B$4:$B$21,'Balizador da Meta'!$C$4:$C$21)</f>
        <v>72</v>
      </c>
      <c r="Y1480" s="28">
        <f>Y1467*_xlfn.XLOOKUP($L1480,'Balizador da Meta'!$B$4:$B$21,'Balizador da Meta'!$C$4:$C$21)</f>
        <v>72</v>
      </c>
      <c r="Z1480" s="30">
        <f t="shared" si="353"/>
        <v>552</v>
      </c>
      <c r="AA1480" s="29"/>
      <c r="AB1480" s="31">
        <f>SUMIFS('Historico - FAT'!AK:AK,'Historico - FAT'!$K:$K,Faturamento!$L1480,'Historico - FAT'!$I:$I,Faturamento!$J1480,'Historico - FAT'!$G:$G,Faturamento!$H1480)</f>
        <v>0</v>
      </c>
      <c r="AC1480" s="31">
        <f>SUMIFS('Historico - FAT'!AL:AL,'Historico - FAT'!$K:$K,Faturamento!$L1480,'Historico - FAT'!$I:$I,Faturamento!$J1480,'Historico - FAT'!$G:$G,Faturamento!$H1480)</f>
        <v>5.5100000000000007</v>
      </c>
      <c r="AD1480" s="31">
        <f>SUMIFS('Historico - FAT'!AM:AM,'Historico - FAT'!$K:$K,Faturamento!$L1480,'Historico - FAT'!$I:$I,Faturamento!$J1480,'Historico - FAT'!$G:$G,Faturamento!$H1480)</f>
        <v>0</v>
      </c>
      <c r="AE1480" s="27">
        <f>SUMIFS('Historico - FAT'!AN:AN,'Historico - FAT'!$K:$K,Faturamento!$L1480,'Historico - FAT'!$I:$I,Faturamento!$J1480,'Historico - FAT'!$G:$G,Faturamento!$H1480)</f>
        <v>6.6120000000000001</v>
      </c>
      <c r="AG1480" s="24">
        <f t="shared" si="348"/>
        <v>1</v>
      </c>
      <c r="AH1480" s="24">
        <f t="shared" si="349"/>
        <v>0.92347222222222214</v>
      </c>
      <c r="AI1480" s="24">
        <f t="shared" si="350"/>
        <v>1</v>
      </c>
    </row>
    <row r="1481" spans="1:35" hidden="1" x14ac:dyDescent="0.3">
      <c r="A1481" s="2" t="str">
        <f t="shared" si="347"/>
        <v>NÃO</v>
      </c>
      <c r="B1481" s="2">
        <v>1000184670</v>
      </c>
      <c r="C1481" s="2" t="s">
        <v>147</v>
      </c>
      <c r="D1481" s="4">
        <v>1000186197</v>
      </c>
      <c r="E1481" s="4" t="s">
        <v>166</v>
      </c>
      <c r="F1481" s="2">
        <v>1000184764</v>
      </c>
      <c r="G1481" s="2" t="s">
        <v>70</v>
      </c>
      <c r="H1481" s="4">
        <v>1000189822</v>
      </c>
      <c r="I1481" s="4" t="s">
        <v>115</v>
      </c>
      <c r="J1481" s="2">
        <v>1000189270</v>
      </c>
      <c r="K1481" s="2" t="s">
        <v>34</v>
      </c>
      <c r="L1481" s="4" t="s">
        <v>23</v>
      </c>
      <c r="M1481" s="4" t="str">
        <f t="shared" si="354"/>
        <v>1000184670100018619710001898221000189270SABORES DO CAMPO</v>
      </c>
      <c r="N1481" s="28">
        <f>N1467*_xlfn.XLOOKUP($L1481,'Balizador da Meta'!$B$4:$B$21,'Balizador da Meta'!$C$4:$C$21)</f>
        <v>0</v>
      </c>
      <c r="O1481" s="28">
        <f>O1467*_xlfn.XLOOKUP($L1481,'Balizador da Meta'!$B$4:$B$21,'Balizador da Meta'!$C$4:$C$21)</f>
        <v>0</v>
      </c>
      <c r="P1481" s="28">
        <f>P1467*_xlfn.XLOOKUP($L1481,'Balizador da Meta'!$B$4:$B$21,'Balizador da Meta'!$C$4:$C$21)</f>
        <v>0</v>
      </c>
      <c r="Q1481" s="28">
        <f>Q1467*_xlfn.XLOOKUP($L1481,'Balizador da Meta'!$B$4:$B$21,'Balizador da Meta'!$C$4:$C$21)</f>
        <v>0</v>
      </c>
      <c r="R1481" s="28">
        <f>R1467*_xlfn.XLOOKUP($L1481,'Balizador da Meta'!$B$4:$B$21,'Balizador da Meta'!$C$4:$C$21)</f>
        <v>0</v>
      </c>
      <c r="S1481" s="28">
        <f>S1467*_xlfn.XLOOKUP($L1481,'Balizador da Meta'!$B$4:$B$21,'Balizador da Meta'!$C$4:$C$21)</f>
        <v>0</v>
      </c>
      <c r="T1481" s="28">
        <f>T1467*_xlfn.XLOOKUP($L1481,'Balizador da Meta'!$B$4:$B$21,'Balizador da Meta'!$C$4:$C$21)</f>
        <v>0</v>
      </c>
      <c r="U1481" s="28">
        <f>U1467*_xlfn.XLOOKUP($L1481,'Balizador da Meta'!$B$4:$B$21,'Balizador da Meta'!$C$4:$C$21)</f>
        <v>0</v>
      </c>
      <c r="V1481" s="28">
        <f>V1467*_xlfn.XLOOKUP($L1481,'Balizador da Meta'!$B$4:$B$21,'Balizador da Meta'!$C$4:$C$21)</f>
        <v>0</v>
      </c>
      <c r="W1481" s="28">
        <f>W1467*_xlfn.XLOOKUP($L1481,'Balizador da Meta'!$B$4:$B$21,'Balizador da Meta'!$C$4:$C$21)</f>
        <v>0</v>
      </c>
      <c r="X1481" s="28">
        <f>X1467*_xlfn.XLOOKUP($L1481,'Balizador da Meta'!$B$4:$B$21,'Balizador da Meta'!$C$4:$C$21)</f>
        <v>0</v>
      </c>
      <c r="Y1481" s="28">
        <f>Y1467*_xlfn.XLOOKUP($L1481,'Balizador da Meta'!$B$4:$B$21,'Balizador da Meta'!$C$4:$C$21)</f>
        <v>0</v>
      </c>
      <c r="Z1481" s="30">
        <f t="shared" si="353"/>
        <v>0</v>
      </c>
      <c r="AA1481" s="29"/>
      <c r="AB1481" s="31">
        <f>SUMIFS('Historico - FAT'!AK:AK,'Historico - FAT'!$K:$K,Faturamento!$L1481,'Historico - FAT'!$I:$I,Faturamento!$J1481,'Historico - FAT'!$G:$G,Faturamento!$H1481)</f>
        <v>0</v>
      </c>
      <c r="AC1481" s="31">
        <f>SUMIFS('Historico - FAT'!AL:AL,'Historico - FAT'!$K:$K,Faturamento!$L1481,'Historico - FAT'!$I:$I,Faturamento!$J1481,'Historico - FAT'!$G:$G,Faturamento!$H1481)</f>
        <v>0</v>
      </c>
      <c r="AD1481" s="31">
        <f>SUMIFS('Historico - FAT'!AM:AM,'Historico - FAT'!$K:$K,Faturamento!$L1481,'Historico - FAT'!$I:$I,Faturamento!$J1481,'Historico - FAT'!$G:$G,Faturamento!$H1481)</f>
        <v>0</v>
      </c>
      <c r="AE1481" s="27">
        <f>SUMIFS('Historico - FAT'!AN:AN,'Historico - FAT'!$K:$K,Faturamento!$L1481,'Historico - FAT'!$I:$I,Faturamento!$J1481,'Historico - FAT'!$G:$G,Faturamento!$H1481)</f>
        <v>0</v>
      </c>
      <c r="AG1481" s="24" t="str">
        <f t="shared" si="348"/>
        <v/>
      </c>
      <c r="AH1481" s="24" t="str">
        <f t="shared" si="349"/>
        <v/>
      </c>
      <c r="AI1481" s="24" t="str">
        <f t="shared" si="350"/>
        <v/>
      </c>
    </row>
    <row r="1482" spans="1:35" hidden="1" x14ac:dyDescent="0.3">
      <c r="A1482" s="2" t="str">
        <f t="shared" si="347"/>
        <v>NÃO</v>
      </c>
      <c r="B1482" s="2">
        <v>1000184670</v>
      </c>
      <c r="C1482" s="2" t="s">
        <v>147</v>
      </c>
      <c r="D1482" s="4">
        <v>1000186197</v>
      </c>
      <c r="E1482" s="4" t="s">
        <v>166</v>
      </c>
      <c r="F1482" s="2">
        <v>1000184764</v>
      </c>
      <c r="G1482" s="2" t="s">
        <v>70</v>
      </c>
      <c r="H1482" s="4">
        <v>1000189822</v>
      </c>
      <c r="I1482" s="4" t="s">
        <v>115</v>
      </c>
      <c r="J1482" s="2">
        <v>1000189270</v>
      </c>
      <c r="K1482" s="2" t="s">
        <v>34</v>
      </c>
      <c r="L1482" s="4" t="s">
        <v>28</v>
      </c>
      <c r="M1482" s="4" t="str">
        <f t="shared" si="354"/>
        <v>1000184670100018619710001898221000189270SAL</v>
      </c>
      <c r="N1482" s="28">
        <f>N1467*_xlfn.XLOOKUP($L1482,'Balizador da Meta'!$B$4:$B$21,'Balizador da Meta'!$C$4:$C$21)</f>
        <v>12</v>
      </c>
      <c r="O1482" s="28">
        <f>O1467*_xlfn.XLOOKUP($L1482,'Balizador da Meta'!$B$4:$B$21,'Balizador da Meta'!$C$4:$C$21)</f>
        <v>12</v>
      </c>
      <c r="P1482" s="28">
        <f>P1467*_xlfn.XLOOKUP($L1482,'Balizador da Meta'!$B$4:$B$21,'Balizador da Meta'!$C$4:$C$21)</f>
        <v>12</v>
      </c>
      <c r="Q1482" s="28">
        <f>Q1467*_xlfn.XLOOKUP($L1482,'Balizador da Meta'!$B$4:$B$21,'Balizador da Meta'!$C$4:$C$21)</f>
        <v>12</v>
      </c>
      <c r="R1482" s="28">
        <f>R1467*_xlfn.XLOOKUP($L1482,'Balizador da Meta'!$B$4:$B$21,'Balizador da Meta'!$C$4:$C$21)</f>
        <v>24</v>
      </c>
      <c r="S1482" s="28">
        <f>S1467*_xlfn.XLOOKUP($L1482,'Balizador da Meta'!$B$4:$B$21,'Balizador da Meta'!$C$4:$C$21)</f>
        <v>24</v>
      </c>
      <c r="T1482" s="28">
        <f>T1467*_xlfn.XLOOKUP($L1482,'Balizador da Meta'!$B$4:$B$21,'Balizador da Meta'!$C$4:$C$21)</f>
        <v>24</v>
      </c>
      <c r="U1482" s="28">
        <f>U1467*_xlfn.XLOOKUP($L1482,'Balizador da Meta'!$B$4:$B$21,'Balizador da Meta'!$C$4:$C$21)</f>
        <v>24</v>
      </c>
      <c r="V1482" s="28">
        <f>V1467*_xlfn.XLOOKUP($L1482,'Balizador da Meta'!$B$4:$B$21,'Balizador da Meta'!$C$4:$C$21)</f>
        <v>24</v>
      </c>
      <c r="W1482" s="28">
        <f>W1467*_xlfn.XLOOKUP($L1482,'Balizador da Meta'!$B$4:$B$21,'Balizador da Meta'!$C$4:$C$21)</f>
        <v>36</v>
      </c>
      <c r="X1482" s="28">
        <f>X1467*_xlfn.XLOOKUP($L1482,'Balizador da Meta'!$B$4:$B$21,'Balizador da Meta'!$C$4:$C$21)</f>
        <v>36</v>
      </c>
      <c r="Y1482" s="28">
        <f>Y1467*_xlfn.XLOOKUP($L1482,'Balizador da Meta'!$B$4:$B$21,'Balizador da Meta'!$C$4:$C$21)</f>
        <v>36</v>
      </c>
      <c r="Z1482" s="30">
        <f t="shared" si="353"/>
        <v>276</v>
      </c>
      <c r="AA1482" s="29"/>
      <c r="AB1482" s="31">
        <f>SUMIFS('Historico - FAT'!AK:AK,'Historico - FAT'!$K:$K,Faturamento!$L1482,'Historico - FAT'!$I:$I,Faturamento!$J1482,'Historico - FAT'!$G:$G,Faturamento!$H1482)</f>
        <v>0</v>
      </c>
      <c r="AC1482" s="31">
        <f>SUMIFS('Historico - FAT'!AL:AL,'Historico - FAT'!$K:$K,Faturamento!$L1482,'Historico - FAT'!$I:$I,Faturamento!$J1482,'Historico - FAT'!$G:$G,Faturamento!$H1482)</f>
        <v>4.53</v>
      </c>
      <c r="AD1482" s="31">
        <f>SUMIFS('Historico - FAT'!AM:AM,'Historico - FAT'!$K:$K,Faturamento!$L1482,'Historico - FAT'!$I:$I,Faturamento!$J1482,'Historico - FAT'!$G:$G,Faturamento!$H1482)</f>
        <v>0</v>
      </c>
      <c r="AE1482" s="27">
        <f>SUMIFS('Historico - FAT'!AN:AN,'Historico - FAT'!$K:$K,Faturamento!$L1482,'Historico - FAT'!$I:$I,Faturamento!$J1482,'Historico - FAT'!$G:$G,Faturamento!$H1482)</f>
        <v>5.4359999999999999</v>
      </c>
      <c r="AG1482" s="24">
        <f t="shared" si="348"/>
        <v>1</v>
      </c>
      <c r="AH1482" s="24">
        <f t="shared" si="349"/>
        <v>0.87416666666666665</v>
      </c>
      <c r="AI1482" s="24">
        <f t="shared" si="350"/>
        <v>1</v>
      </c>
    </row>
    <row r="1483" spans="1:35" hidden="1" x14ac:dyDescent="0.3">
      <c r="A1483" s="2" t="str">
        <f t="shared" si="347"/>
        <v>NÃO</v>
      </c>
      <c r="B1483" s="2">
        <v>1000184670</v>
      </c>
      <c r="C1483" s="2" t="s">
        <v>147</v>
      </c>
      <c r="D1483" s="4">
        <v>1000186197</v>
      </c>
      <c r="E1483" s="4" t="s">
        <v>166</v>
      </c>
      <c r="F1483" s="2">
        <v>1000184764</v>
      </c>
      <c r="G1483" s="2" t="s">
        <v>70</v>
      </c>
      <c r="H1483" s="4">
        <v>1000189822</v>
      </c>
      <c r="I1483" s="4" t="s">
        <v>115</v>
      </c>
      <c r="J1483" s="2">
        <v>1000189270</v>
      </c>
      <c r="K1483" s="2" t="s">
        <v>34</v>
      </c>
      <c r="L1483" s="4" t="s">
        <v>26</v>
      </c>
      <c r="M1483" s="4" t="str">
        <f t="shared" si="354"/>
        <v>1000184670100018619710001898221000189270SOULPRO</v>
      </c>
      <c r="N1483" s="28">
        <f>N1467*_xlfn.XLOOKUP($L1483,'Balizador da Meta'!$B$4:$B$21,'Balizador da Meta'!$C$4:$C$21)</f>
        <v>36</v>
      </c>
      <c r="O1483" s="28">
        <f>O1467*_xlfn.XLOOKUP($L1483,'Balizador da Meta'!$B$4:$B$21,'Balizador da Meta'!$C$4:$C$21)</f>
        <v>36</v>
      </c>
      <c r="P1483" s="28">
        <f>P1467*_xlfn.XLOOKUP($L1483,'Balizador da Meta'!$B$4:$B$21,'Balizador da Meta'!$C$4:$C$21)</f>
        <v>36</v>
      </c>
      <c r="Q1483" s="28">
        <f>Q1467*_xlfn.XLOOKUP($L1483,'Balizador da Meta'!$B$4:$B$21,'Balizador da Meta'!$C$4:$C$21)</f>
        <v>36</v>
      </c>
      <c r="R1483" s="28">
        <f>R1467*_xlfn.XLOOKUP($L1483,'Balizador da Meta'!$B$4:$B$21,'Balizador da Meta'!$C$4:$C$21)</f>
        <v>72</v>
      </c>
      <c r="S1483" s="28">
        <f>S1467*_xlfn.XLOOKUP($L1483,'Balizador da Meta'!$B$4:$B$21,'Balizador da Meta'!$C$4:$C$21)</f>
        <v>72</v>
      </c>
      <c r="T1483" s="28">
        <f>T1467*_xlfn.XLOOKUP($L1483,'Balizador da Meta'!$B$4:$B$21,'Balizador da Meta'!$C$4:$C$21)</f>
        <v>72</v>
      </c>
      <c r="U1483" s="28">
        <f>U1467*_xlfn.XLOOKUP($L1483,'Balizador da Meta'!$B$4:$B$21,'Balizador da Meta'!$C$4:$C$21)</f>
        <v>72</v>
      </c>
      <c r="V1483" s="28">
        <f>V1467*_xlfn.XLOOKUP($L1483,'Balizador da Meta'!$B$4:$B$21,'Balizador da Meta'!$C$4:$C$21)</f>
        <v>72</v>
      </c>
      <c r="W1483" s="28">
        <f>W1467*_xlfn.XLOOKUP($L1483,'Balizador da Meta'!$B$4:$B$21,'Balizador da Meta'!$C$4:$C$21)</f>
        <v>108</v>
      </c>
      <c r="X1483" s="28">
        <f>X1467*_xlfn.XLOOKUP($L1483,'Balizador da Meta'!$B$4:$B$21,'Balizador da Meta'!$C$4:$C$21)</f>
        <v>108</v>
      </c>
      <c r="Y1483" s="28">
        <f>Y1467*_xlfn.XLOOKUP($L1483,'Balizador da Meta'!$B$4:$B$21,'Balizador da Meta'!$C$4:$C$21)</f>
        <v>108</v>
      </c>
      <c r="Z1483" s="30">
        <f t="shared" si="353"/>
        <v>828</v>
      </c>
      <c r="AA1483" s="29"/>
      <c r="AB1483" s="31">
        <f>SUMIFS('Historico - FAT'!AK:AK,'Historico - FAT'!$K:$K,Faturamento!$L1483,'Historico - FAT'!$I:$I,Faturamento!$J1483,'Historico - FAT'!$G:$G,Faturamento!$H1483)</f>
        <v>0</v>
      </c>
      <c r="AC1483" s="31">
        <f>SUMIFS('Historico - FAT'!AL:AL,'Historico - FAT'!$K:$K,Faturamento!$L1483,'Historico - FAT'!$I:$I,Faturamento!$J1483,'Historico - FAT'!$G:$G,Faturamento!$H1483)</f>
        <v>0</v>
      </c>
      <c r="AD1483" s="31">
        <f>SUMIFS('Historico - FAT'!AM:AM,'Historico - FAT'!$K:$K,Faturamento!$L1483,'Historico - FAT'!$I:$I,Faturamento!$J1483,'Historico - FAT'!$G:$G,Faturamento!$H1483)</f>
        <v>0</v>
      </c>
      <c r="AE1483" s="27">
        <f>SUMIFS('Historico - FAT'!AN:AN,'Historico - FAT'!$K:$K,Faturamento!$L1483,'Historico - FAT'!$I:$I,Faturamento!$J1483,'Historico - FAT'!$G:$G,Faturamento!$H1483)</f>
        <v>0</v>
      </c>
      <c r="AG1483" s="24">
        <f t="shared" si="348"/>
        <v>1</v>
      </c>
      <c r="AH1483" s="24">
        <f t="shared" si="349"/>
        <v>1</v>
      </c>
      <c r="AI1483" s="24">
        <f t="shared" si="350"/>
        <v>1</v>
      </c>
    </row>
    <row r="1484" spans="1:35" hidden="1" x14ac:dyDescent="0.3">
      <c r="A1484" s="2" t="str">
        <f t="shared" si="347"/>
        <v>NÃO</v>
      </c>
      <c r="B1484" s="2">
        <v>1000184670</v>
      </c>
      <c r="C1484" s="2" t="s">
        <v>147</v>
      </c>
      <c r="D1484" s="4">
        <v>1000186197</v>
      </c>
      <c r="E1484" s="4" t="s">
        <v>166</v>
      </c>
      <c r="F1484" s="2">
        <v>1000184764</v>
      </c>
      <c r="G1484" s="2" t="s">
        <v>70</v>
      </c>
      <c r="H1484" s="4">
        <v>1000189822</v>
      </c>
      <c r="I1484" s="4" t="s">
        <v>115</v>
      </c>
      <c r="J1484" s="2">
        <v>1000189270</v>
      </c>
      <c r="K1484" s="2" t="s">
        <v>34</v>
      </c>
      <c r="L1484" s="4" t="s">
        <v>27</v>
      </c>
      <c r="M1484" s="4" t="str">
        <f t="shared" si="354"/>
        <v>1000184670100018619710001898221000189270TAMARA</v>
      </c>
      <c r="N1484" s="28">
        <f>N1467*_xlfn.XLOOKUP($L1484,'Balizador da Meta'!$B$4:$B$21,'Balizador da Meta'!$C$4:$C$21)</f>
        <v>48</v>
      </c>
      <c r="O1484" s="28">
        <f>O1467*_xlfn.XLOOKUP($L1484,'Balizador da Meta'!$B$4:$B$21,'Balizador da Meta'!$C$4:$C$21)</f>
        <v>48</v>
      </c>
      <c r="P1484" s="28">
        <f>P1467*_xlfn.XLOOKUP($L1484,'Balizador da Meta'!$B$4:$B$21,'Balizador da Meta'!$C$4:$C$21)</f>
        <v>48</v>
      </c>
      <c r="Q1484" s="28">
        <f>Q1467*_xlfn.XLOOKUP($L1484,'Balizador da Meta'!$B$4:$B$21,'Balizador da Meta'!$C$4:$C$21)</f>
        <v>48</v>
      </c>
      <c r="R1484" s="28">
        <f>R1467*_xlfn.XLOOKUP($L1484,'Balizador da Meta'!$B$4:$B$21,'Balizador da Meta'!$C$4:$C$21)</f>
        <v>96</v>
      </c>
      <c r="S1484" s="28">
        <f>S1467*_xlfn.XLOOKUP($L1484,'Balizador da Meta'!$B$4:$B$21,'Balizador da Meta'!$C$4:$C$21)</f>
        <v>96</v>
      </c>
      <c r="T1484" s="28">
        <f>T1467*_xlfn.XLOOKUP($L1484,'Balizador da Meta'!$B$4:$B$21,'Balizador da Meta'!$C$4:$C$21)</f>
        <v>96</v>
      </c>
      <c r="U1484" s="28">
        <f>U1467*_xlfn.XLOOKUP($L1484,'Balizador da Meta'!$B$4:$B$21,'Balizador da Meta'!$C$4:$C$21)</f>
        <v>96</v>
      </c>
      <c r="V1484" s="28">
        <f>V1467*_xlfn.XLOOKUP($L1484,'Balizador da Meta'!$B$4:$B$21,'Balizador da Meta'!$C$4:$C$21)</f>
        <v>96</v>
      </c>
      <c r="W1484" s="28">
        <f>W1467*_xlfn.XLOOKUP($L1484,'Balizador da Meta'!$B$4:$B$21,'Balizador da Meta'!$C$4:$C$21)</f>
        <v>144</v>
      </c>
      <c r="X1484" s="28">
        <f>X1467*_xlfn.XLOOKUP($L1484,'Balizador da Meta'!$B$4:$B$21,'Balizador da Meta'!$C$4:$C$21)</f>
        <v>144</v>
      </c>
      <c r="Y1484" s="28">
        <f>Y1467*_xlfn.XLOOKUP($L1484,'Balizador da Meta'!$B$4:$B$21,'Balizador da Meta'!$C$4:$C$21)</f>
        <v>144</v>
      </c>
      <c r="Z1484" s="30">
        <f t="shared" si="353"/>
        <v>1104</v>
      </c>
      <c r="AA1484" s="29"/>
      <c r="AB1484" s="31">
        <f>SUMIFS('Historico - FAT'!AK:AK,'Historico - FAT'!$K:$K,Faturamento!$L1484,'Historico - FAT'!$I:$I,Faturamento!$J1484,'Historico - FAT'!$G:$G,Faturamento!$H1484)</f>
        <v>0</v>
      </c>
      <c r="AC1484" s="31">
        <f>SUMIFS('Historico - FAT'!AL:AL,'Historico - FAT'!$K:$K,Faturamento!$L1484,'Historico - FAT'!$I:$I,Faturamento!$J1484,'Historico - FAT'!$G:$G,Faturamento!$H1484)</f>
        <v>36.449999999999996</v>
      </c>
      <c r="AD1484" s="31">
        <f>SUMIFS('Historico - FAT'!AM:AM,'Historico - FAT'!$K:$K,Faturamento!$L1484,'Historico - FAT'!$I:$I,Faturamento!$J1484,'Historico - FAT'!$G:$G,Faturamento!$H1484)</f>
        <v>72.899999999999991</v>
      </c>
      <c r="AE1484" s="27">
        <f>SUMIFS('Historico - FAT'!AN:AN,'Historico - FAT'!$K:$K,Faturamento!$L1484,'Historico - FAT'!$I:$I,Faturamento!$J1484,'Historico - FAT'!$G:$G,Faturamento!$H1484)</f>
        <v>43.739999999999995</v>
      </c>
      <c r="AG1484" s="24">
        <f t="shared" si="348"/>
        <v>1</v>
      </c>
      <c r="AH1484" s="24">
        <f t="shared" si="349"/>
        <v>0.74687500000000007</v>
      </c>
      <c r="AI1484" s="24">
        <f t="shared" si="350"/>
        <v>0.49375000000000008</v>
      </c>
    </row>
    <row r="1485" spans="1:35" hidden="1" x14ac:dyDescent="0.3">
      <c r="A1485" s="2" t="str">
        <f t="shared" si="347"/>
        <v>NÃO</v>
      </c>
      <c r="B1485" s="2">
        <v>1000184670</v>
      </c>
      <c r="C1485" s="2" t="s">
        <v>147</v>
      </c>
      <c r="D1485" s="4">
        <v>1000186197</v>
      </c>
      <c r="E1485" s="4" t="s">
        <v>166</v>
      </c>
      <c r="F1485" s="2">
        <v>1000184764</v>
      </c>
      <c r="G1485" s="2" t="s">
        <v>70</v>
      </c>
      <c r="H1485" s="4">
        <v>1000189822</v>
      </c>
      <c r="I1485" s="4" t="s">
        <v>115</v>
      </c>
      <c r="J1485" s="2">
        <v>1000189270</v>
      </c>
      <c r="K1485" s="2" t="s">
        <v>34</v>
      </c>
      <c r="L1485" s="4" t="s">
        <v>25</v>
      </c>
      <c r="M1485" s="4" t="str">
        <f t="shared" si="354"/>
        <v>1000184670100018619710001898221000189270VICCIO</v>
      </c>
      <c r="N1485" s="28">
        <f>N1467*_xlfn.XLOOKUP($L1485,'Balizador da Meta'!$B$4:$B$21,'Balizador da Meta'!$C$4:$C$21)</f>
        <v>18</v>
      </c>
      <c r="O1485" s="28">
        <f>O1467*_xlfn.XLOOKUP($L1485,'Balizador da Meta'!$B$4:$B$21,'Balizador da Meta'!$C$4:$C$21)</f>
        <v>18</v>
      </c>
      <c r="P1485" s="28">
        <f>P1467*_xlfn.XLOOKUP($L1485,'Balizador da Meta'!$B$4:$B$21,'Balizador da Meta'!$C$4:$C$21)</f>
        <v>18</v>
      </c>
      <c r="Q1485" s="28">
        <f>Q1467*_xlfn.XLOOKUP($L1485,'Balizador da Meta'!$B$4:$B$21,'Balizador da Meta'!$C$4:$C$21)</f>
        <v>18</v>
      </c>
      <c r="R1485" s="28">
        <f>R1467*_xlfn.XLOOKUP($L1485,'Balizador da Meta'!$B$4:$B$21,'Balizador da Meta'!$C$4:$C$21)</f>
        <v>36</v>
      </c>
      <c r="S1485" s="28">
        <f>S1467*_xlfn.XLOOKUP($L1485,'Balizador da Meta'!$B$4:$B$21,'Balizador da Meta'!$C$4:$C$21)</f>
        <v>36</v>
      </c>
      <c r="T1485" s="28">
        <f>T1467*_xlfn.XLOOKUP($L1485,'Balizador da Meta'!$B$4:$B$21,'Balizador da Meta'!$C$4:$C$21)</f>
        <v>36</v>
      </c>
      <c r="U1485" s="28">
        <f>U1467*_xlfn.XLOOKUP($L1485,'Balizador da Meta'!$B$4:$B$21,'Balizador da Meta'!$C$4:$C$21)</f>
        <v>36</v>
      </c>
      <c r="V1485" s="28">
        <f>V1467*_xlfn.XLOOKUP($L1485,'Balizador da Meta'!$B$4:$B$21,'Balizador da Meta'!$C$4:$C$21)</f>
        <v>36</v>
      </c>
      <c r="W1485" s="28">
        <f>W1467*_xlfn.XLOOKUP($L1485,'Balizador da Meta'!$B$4:$B$21,'Balizador da Meta'!$C$4:$C$21)</f>
        <v>54</v>
      </c>
      <c r="X1485" s="28">
        <f>X1467*_xlfn.XLOOKUP($L1485,'Balizador da Meta'!$B$4:$B$21,'Balizador da Meta'!$C$4:$C$21)</f>
        <v>54</v>
      </c>
      <c r="Y1485" s="28">
        <f>Y1467*_xlfn.XLOOKUP($L1485,'Balizador da Meta'!$B$4:$B$21,'Balizador da Meta'!$C$4:$C$21)</f>
        <v>54</v>
      </c>
      <c r="Z1485" s="30">
        <f t="shared" si="353"/>
        <v>414</v>
      </c>
      <c r="AA1485" s="29"/>
      <c r="AB1485" s="31">
        <f>SUMIFS('Historico - FAT'!AK:AK,'Historico - FAT'!$K:$K,Faturamento!$L1485,'Historico - FAT'!$I:$I,Faturamento!$J1485,'Historico - FAT'!$G:$G,Faturamento!$H1485)</f>
        <v>0</v>
      </c>
      <c r="AC1485" s="31">
        <f>SUMIFS('Historico - FAT'!AL:AL,'Historico - FAT'!$K:$K,Faturamento!$L1485,'Historico - FAT'!$I:$I,Faturamento!$J1485,'Historico - FAT'!$G:$G,Faturamento!$H1485)</f>
        <v>6.48</v>
      </c>
      <c r="AD1485" s="31">
        <f>SUMIFS('Historico - FAT'!AM:AM,'Historico - FAT'!$K:$K,Faturamento!$L1485,'Historico - FAT'!$I:$I,Faturamento!$J1485,'Historico - FAT'!$G:$G,Faturamento!$H1485)</f>
        <v>0</v>
      </c>
      <c r="AE1485" s="27">
        <f>SUMIFS('Historico - FAT'!AN:AN,'Historico - FAT'!$K:$K,Faturamento!$L1485,'Historico - FAT'!$I:$I,Faturamento!$J1485,'Historico - FAT'!$G:$G,Faturamento!$H1485)</f>
        <v>7.7760000000000007</v>
      </c>
      <c r="AG1485" s="24">
        <f t="shared" si="348"/>
        <v>1</v>
      </c>
      <c r="AH1485" s="24">
        <f t="shared" si="349"/>
        <v>0.87999999999999989</v>
      </c>
      <c r="AI1485" s="24">
        <f t="shared" si="350"/>
        <v>1</v>
      </c>
    </row>
    <row r="1486" spans="1:35" x14ac:dyDescent="0.3">
      <c r="A1486" s="2" t="str">
        <f t="shared" si="347"/>
        <v>SIM</v>
      </c>
      <c r="B1486" s="2">
        <v>1000184670</v>
      </c>
      <c r="C1486" s="2" t="s">
        <v>147</v>
      </c>
      <c r="D1486" s="4">
        <v>1000186197</v>
      </c>
      <c r="E1486" s="4" t="s">
        <v>166</v>
      </c>
      <c r="F1486" s="2">
        <v>1000184764</v>
      </c>
      <c r="G1486" s="2" t="s">
        <v>70</v>
      </c>
      <c r="H1486" s="4">
        <v>1000189823</v>
      </c>
      <c r="I1486" s="4" t="s">
        <v>73</v>
      </c>
      <c r="J1486" s="2">
        <v>1000189270</v>
      </c>
      <c r="K1486" s="2" t="s">
        <v>34</v>
      </c>
      <c r="L1486" s="4" t="s">
        <v>124</v>
      </c>
      <c r="M1486" s="4" t="str">
        <f t="shared" si="354"/>
        <v>100018467010001861971000189823100018927001. TOTAL</v>
      </c>
      <c r="N1486" s="28">
        <f>SUMIFS(Positivação!L:L,Positivação!$I:$I,Faturamento!$J1486,Positivação!$G:$G,Faturamento!$H1486)*SUMIFS(Positivação!$Z:$Z,Positivação!$I:$I,Faturamento!$J1486,Positivação!$G:$G,Faturamento!$H1486)</f>
        <v>600</v>
      </c>
      <c r="O1486" s="28">
        <f>SUMIFS(Positivação!M:M,Positivação!$I:$I,Faturamento!$J1486,Positivação!$G:$G,Faturamento!$H1486)*SUMIFS(Positivação!$Z:$Z,Positivação!$I:$I,Faturamento!$J1486,Positivação!$G:$G,Faturamento!$H1486)</f>
        <v>1200</v>
      </c>
      <c r="P1486" s="28">
        <f>SUMIFS(Positivação!N:N,Positivação!$I:$I,Faturamento!$J1486,Positivação!$G:$G,Faturamento!$H1486)*SUMIFS(Positivação!$Z:$Z,Positivação!$I:$I,Faturamento!$J1486,Positivação!$G:$G,Faturamento!$H1486)</f>
        <v>1200</v>
      </c>
      <c r="Q1486" s="28">
        <f>SUMIFS(Positivação!O:O,Positivação!$I:$I,Faturamento!$J1486,Positivação!$G:$G,Faturamento!$H1486)*SUMIFS(Positivação!$Z:$Z,Positivação!$I:$I,Faturamento!$J1486,Positivação!$G:$G,Faturamento!$H1486)</f>
        <v>1200</v>
      </c>
      <c r="R1486" s="28">
        <f>SUMIFS(Positivação!P:P,Positivação!$I:$I,Faturamento!$J1486,Positivação!$G:$G,Faturamento!$H1486)*SUMIFS(Positivação!$Z:$Z,Positivação!$I:$I,Faturamento!$J1486,Positivação!$G:$G,Faturamento!$H1486)</f>
        <v>1200</v>
      </c>
      <c r="S1486" s="28">
        <f>SUMIFS(Positivação!Q:Q,Positivação!$I:$I,Faturamento!$J1486,Positivação!$G:$G,Faturamento!$H1486)*SUMIFS(Positivação!$Z:$Z,Positivação!$I:$I,Faturamento!$J1486,Positivação!$G:$G,Faturamento!$H1486)</f>
        <v>1200</v>
      </c>
      <c r="T1486" s="28">
        <f>SUMIFS(Positivação!R:R,Positivação!$I:$I,Faturamento!$J1486,Positivação!$G:$G,Faturamento!$H1486)*SUMIFS(Positivação!$Z:$Z,Positivação!$I:$I,Faturamento!$J1486,Positivação!$G:$G,Faturamento!$H1486)</f>
        <v>1800</v>
      </c>
      <c r="U1486" s="28">
        <f>SUMIFS(Positivação!S:S,Positivação!$I:$I,Faturamento!$J1486,Positivação!$G:$G,Faturamento!$H1486)*SUMIFS(Positivação!$Z:$Z,Positivação!$I:$I,Faturamento!$J1486,Positivação!$G:$G,Faturamento!$H1486)</f>
        <v>1800</v>
      </c>
      <c r="V1486" s="28">
        <f>SUMIFS(Positivação!T:T,Positivação!$I:$I,Faturamento!$J1486,Positivação!$G:$G,Faturamento!$H1486)*SUMIFS(Positivação!$Z:$Z,Positivação!$I:$I,Faturamento!$J1486,Positivação!$G:$G,Faturamento!$H1486)</f>
        <v>1800</v>
      </c>
      <c r="W1486" s="28">
        <f>SUMIFS(Positivação!U:U,Positivação!$I:$I,Faturamento!$J1486,Positivação!$G:$G,Faturamento!$H1486)*SUMIFS(Positivação!$Z:$Z,Positivação!$I:$I,Faturamento!$J1486,Positivação!$G:$G,Faturamento!$H1486)</f>
        <v>1800</v>
      </c>
      <c r="X1486" s="28">
        <f>SUMIFS(Positivação!V:V,Positivação!$I:$I,Faturamento!$J1486,Positivação!$G:$G,Faturamento!$H1486)*SUMIFS(Positivação!$Z:$Z,Positivação!$I:$I,Faturamento!$J1486,Positivação!$G:$G,Faturamento!$H1486)</f>
        <v>1800</v>
      </c>
      <c r="Y1486" s="28">
        <f>SUMIFS(Positivação!W:W,Positivação!$I:$I,Faturamento!$J1486,Positivação!$G:$G,Faturamento!$H1486)*SUMIFS(Positivação!$Z:$Z,Positivação!$I:$I,Faturamento!$J1486,Positivação!$G:$G,Faturamento!$H1486)</f>
        <v>2400</v>
      </c>
      <c r="Z1486" s="28">
        <f t="shared" ref="Z1486" si="355">SUM(Z1487:Z1504)</f>
        <v>18000</v>
      </c>
      <c r="AA1486" s="29"/>
      <c r="AB1486" s="28">
        <f t="shared" ref="AB1486:AE1486" si="356">SUM(AB1487:AB1504)</f>
        <v>0</v>
      </c>
      <c r="AC1486" s="28">
        <f t="shared" si="356"/>
        <v>103.90666666666667</v>
      </c>
      <c r="AD1486" s="28">
        <f t="shared" si="356"/>
        <v>160.58333333333331</v>
      </c>
      <c r="AE1486" s="28">
        <f t="shared" si="356"/>
        <v>124.68799999999999</v>
      </c>
      <c r="AG1486" s="24">
        <f t="shared" si="348"/>
        <v>1</v>
      </c>
      <c r="AH1486" s="24">
        <f t="shared" si="349"/>
        <v>0.94804666666666659</v>
      </c>
      <c r="AI1486" s="24">
        <f t="shared" si="350"/>
        <v>0.91970833333333335</v>
      </c>
    </row>
    <row r="1487" spans="1:35" hidden="1" x14ac:dyDescent="0.3">
      <c r="A1487" s="2" t="str">
        <f t="shared" si="347"/>
        <v>NÃO</v>
      </c>
      <c r="B1487" s="2">
        <v>1000184670</v>
      </c>
      <c r="C1487" s="2" t="s">
        <v>147</v>
      </c>
      <c r="D1487" s="4">
        <v>1000186197</v>
      </c>
      <c r="E1487" s="4" t="s">
        <v>166</v>
      </c>
      <c r="F1487" s="2">
        <v>1000184764</v>
      </c>
      <c r="G1487" s="2" t="s">
        <v>70</v>
      </c>
      <c r="H1487" s="4">
        <v>1000189823</v>
      </c>
      <c r="I1487" s="4" t="s">
        <v>73</v>
      </c>
      <c r="J1487" s="2">
        <v>1000189270</v>
      </c>
      <c r="K1487" s="2" t="s">
        <v>34</v>
      </c>
      <c r="L1487" s="4" t="s">
        <v>13</v>
      </c>
      <c r="M1487" s="4" t="str">
        <f t="shared" si="354"/>
        <v>1000184670100018619710001898231000189270BISCOITO</v>
      </c>
      <c r="N1487" s="28">
        <f>N1486*_xlfn.XLOOKUP($L1487,'Balizador da Meta'!$B$4:$B$21,'Balizador da Meta'!$C$4:$C$21)</f>
        <v>42.000000000000007</v>
      </c>
      <c r="O1487" s="28">
        <f>O1486*_xlfn.XLOOKUP($L1487,'Balizador da Meta'!$B$4:$B$21,'Balizador da Meta'!$C$4:$C$21)</f>
        <v>84.000000000000014</v>
      </c>
      <c r="P1487" s="28">
        <f>P1486*_xlfn.XLOOKUP($L1487,'Balizador da Meta'!$B$4:$B$21,'Balizador da Meta'!$C$4:$C$21)</f>
        <v>84.000000000000014</v>
      </c>
      <c r="Q1487" s="28">
        <f>Q1486*_xlfn.XLOOKUP($L1487,'Balizador da Meta'!$B$4:$B$21,'Balizador da Meta'!$C$4:$C$21)</f>
        <v>84.000000000000014</v>
      </c>
      <c r="R1487" s="28">
        <f>R1486*_xlfn.XLOOKUP($L1487,'Balizador da Meta'!$B$4:$B$21,'Balizador da Meta'!$C$4:$C$21)</f>
        <v>84.000000000000014</v>
      </c>
      <c r="S1487" s="28">
        <f>S1486*_xlfn.XLOOKUP($L1487,'Balizador da Meta'!$B$4:$B$21,'Balizador da Meta'!$C$4:$C$21)</f>
        <v>84.000000000000014</v>
      </c>
      <c r="T1487" s="28">
        <f>T1486*_xlfn.XLOOKUP($L1487,'Balizador da Meta'!$B$4:$B$21,'Balizador da Meta'!$C$4:$C$21)</f>
        <v>126.00000000000001</v>
      </c>
      <c r="U1487" s="28">
        <f>U1486*_xlfn.XLOOKUP($L1487,'Balizador da Meta'!$B$4:$B$21,'Balizador da Meta'!$C$4:$C$21)</f>
        <v>126.00000000000001</v>
      </c>
      <c r="V1487" s="28">
        <f>V1486*_xlfn.XLOOKUP($L1487,'Balizador da Meta'!$B$4:$B$21,'Balizador da Meta'!$C$4:$C$21)</f>
        <v>126.00000000000001</v>
      </c>
      <c r="W1487" s="28">
        <f>W1486*_xlfn.XLOOKUP($L1487,'Balizador da Meta'!$B$4:$B$21,'Balizador da Meta'!$C$4:$C$21)</f>
        <v>126.00000000000001</v>
      </c>
      <c r="X1487" s="28">
        <f>X1486*_xlfn.XLOOKUP($L1487,'Balizador da Meta'!$B$4:$B$21,'Balizador da Meta'!$C$4:$C$21)</f>
        <v>126.00000000000001</v>
      </c>
      <c r="Y1487" s="28">
        <f>Y1486*_xlfn.XLOOKUP($L1487,'Balizador da Meta'!$B$4:$B$21,'Balizador da Meta'!$C$4:$C$21)</f>
        <v>168.00000000000003</v>
      </c>
      <c r="Z1487" s="30">
        <f t="shared" ref="Z1487:Z1504" si="357">SUM(N1487:Y1487)</f>
        <v>1260.0000000000002</v>
      </c>
      <c r="AA1487" s="29"/>
      <c r="AB1487" s="31">
        <f>SUMIFS('Historico - FAT'!AK:AK,'Historico - FAT'!$K:$K,Faturamento!$L1487,'Historico - FAT'!$I:$I,Faturamento!$J1487,'Historico - FAT'!$G:$G,Faturamento!$H1487)</f>
        <v>0</v>
      </c>
      <c r="AC1487" s="31">
        <f>SUMIFS('Historico - FAT'!AL:AL,'Historico - FAT'!$K:$K,Faturamento!$L1487,'Historico - FAT'!$I:$I,Faturamento!$J1487,'Historico - FAT'!$G:$G,Faturamento!$H1487)</f>
        <v>0</v>
      </c>
      <c r="AD1487" s="31">
        <f>SUMIFS('Historico - FAT'!AM:AM,'Historico - FAT'!$K:$K,Faturamento!$L1487,'Historico - FAT'!$I:$I,Faturamento!$J1487,'Historico - FAT'!$G:$G,Faturamento!$H1487)</f>
        <v>0</v>
      </c>
      <c r="AE1487" s="27">
        <f>SUMIFS('Historico - FAT'!AN:AN,'Historico - FAT'!$K:$K,Faturamento!$L1487,'Historico - FAT'!$I:$I,Faturamento!$J1487,'Historico - FAT'!$G:$G,Faturamento!$H1487)</f>
        <v>0</v>
      </c>
      <c r="AG1487" s="24">
        <f t="shared" si="348"/>
        <v>1</v>
      </c>
      <c r="AH1487" s="24">
        <f t="shared" si="349"/>
        <v>1</v>
      </c>
      <c r="AI1487" s="24">
        <f t="shared" si="350"/>
        <v>1</v>
      </c>
    </row>
    <row r="1488" spans="1:35" hidden="1" x14ac:dyDescent="0.3">
      <c r="A1488" s="2" t="str">
        <f t="shared" si="347"/>
        <v>NÃO</v>
      </c>
      <c r="B1488" s="2">
        <v>1000184670</v>
      </c>
      <c r="C1488" s="2" t="s">
        <v>147</v>
      </c>
      <c r="D1488" s="4">
        <v>1000186197</v>
      </c>
      <c r="E1488" s="4" t="s">
        <v>166</v>
      </c>
      <c r="F1488" s="2">
        <v>1000184764</v>
      </c>
      <c r="G1488" s="2" t="s">
        <v>70</v>
      </c>
      <c r="H1488" s="4">
        <v>1000189823</v>
      </c>
      <c r="I1488" s="4" t="s">
        <v>73</v>
      </c>
      <c r="J1488" s="2">
        <v>1000189270</v>
      </c>
      <c r="K1488" s="2" t="s">
        <v>34</v>
      </c>
      <c r="L1488" s="4" t="s">
        <v>14</v>
      </c>
      <c r="M1488" s="4" t="str">
        <f t="shared" si="354"/>
        <v>1000184670100018619710001898231000189270CHOCOLATES</v>
      </c>
      <c r="N1488" s="28">
        <f>N1486*_xlfn.XLOOKUP($L1488,'Balizador da Meta'!$B$4:$B$21,'Balizador da Meta'!$C$4:$C$21)</f>
        <v>42.000000000000007</v>
      </c>
      <c r="O1488" s="28">
        <f>O1486*_xlfn.XLOOKUP($L1488,'Balizador da Meta'!$B$4:$B$21,'Balizador da Meta'!$C$4:$C$21)</f>
        <v>84.000000000000014</v>
      </c>
      <c r="P1488" s="28">
        <f>P1486*_xlfn.XLOOKUP($L1488,'Balizador da Meta'!$B$4:$B$21,'Balizador da Meta'!$C$4:$C$21)</f>
        <v>84.000000000000014</v>
      </c>
      <c r="Q1488" s="28">
        <f>Q1486*_xlfn.XLOOKUP($L1488,'Balizador da Meta'!$B$4:$B$21,'Balizador da Meta'!$C$4:$C$21)</f>
        <v>84.000000000000014</v>
      </c>
      <c r="R1488" s="28">
        <f>R1486*_xlfn.XLOOKUP($L1488,'Balizador da Meta'!$B$4:$B$21,'Balizador da Meta'!$C$4:$C$21)</f>
        <v>84.000000000000014</v>
      </c>
      <c r="S1488" s="28">
        <f>S1486*_xlfn.XLOOKUP($L1488,'Balizador da Meta'!$B$4:$B$21,'Balizador da Meta'!$C$4:$C$21)</f>
        <v>84.000000000000014</v>
      </c>
      <c r="T1488" s="28">
        <f>T1486*_xlfn.XLOOKUP($L1488,'Balizador da Meta'!$B$4:$B$21,'Balizador da Meta'!$C$4:$C$21)</f>
        <v>126.00000000000001</v>
      </c>
      <c r="U1488" s="28">
        <f>U1486*_xlfn.XLOOKUP($L1488,'Balizador da Meta'!$B$4:$B$21,'Balizador da Meta'!$C$4:$C$21)</f>
        <v>126.00000000000001</v>
      </c>
      <c r="V1488" s="28">
        <f>V1486*_xlfn.XLOOKUP($L1488,'Balizador da Meta'!$B$4:$B$21,'Balizador da Meta'!$C$4:$C$21)</f>
        <v>126.00000000000001</v>
      </c>
      <c r="W1488" s="28">
        <f>W1486*_xlfn.XLOOKUP($L1488,'Balizador da Meta'!$B$4:$B$21,'Balizador da Meta'!$C$4:$C$21)</f>
        <v>126.00000000000001</v>
      </c>
      <c r="X1488" s="28">
        <f>X1486*_xlfn.XLOOKUP($L1488,'Balizador da Meta'!$B$4:$B$21,'Balizador da Meta'!$C$4:$C$21)</f>
        <v>126.00000000000001</v>
      </c>
      <c r="Y1488" s="28">
        <f>Y1486*_xlfn.XLOOKUP($L1488,'Balizador da Meta'!$B$4:$B$21,'Balizador da Meta'!$C$4:$C$21)</f>
        <v>168.00000000000003</v>
      </c>
      <c r="Z1488" s="30">
        <f t="shared" si="357"/>
        <v>1260.0000000000002</v>
      </c>
      <c r="AA1488" s="29"/>
      <c r="AB1488" s="31">
        <f>SUMIFS('Historico - FAT'!AK:AK,'Historico - FAT'!$K:$K,Faturamento!$L1488,'Historico - FAT'!$I:$I,Faturamento!$J1488,'Historico - FAT'!$G:$G,Faturamento!$H1488)</f>
        <v>0</v>
      </c>
      <c r="AC1488" s="31">
        <f>SUMIFS('Historico - FAT'!AL:AL,'Historico - FAT'!$K:$K,Faturamento!$L1488,'Historico - FAT'!$I:$I,Faturamento!$J1488,'Historico - FAT'!$G:$G,Faturamento!$H1488)</f>
        <v>36.74</v>
      </c>
      <c r="AD1488" s="31">
        <f>SUMIFS('Historico - FAT'!AM:AM,'Historico - FAT'!$K:$K,Faturamento!$L1488,'Historico - FAT'!$I:$I,Faturamento!$J1488,'Historico - FAT'!$G:$G,Faturamento!$H1488)</f>
        <v>33.75</v>
      </c>
      <c r="AE1488" s="27">
        <f>SUMIFS('Historico - FAT'!AN:AN,'Historico - FAT'!$K:$K,Faturamento!$L1488,'Historico - FAT'!$I:$I,Faturamento!$J1488,'Historico - FAT'!$G:$G,Faturamento!$H1488)</f>
        <v>44.088000000000001</v>
      </c>
      <c r="AG1488" s="24">
        <f t="shared" si="348"/>
        <v>1</v>
      </c>
      <c r="AH1488" s="24">
        <f t="shared" si="349"/>
        <v>0.73757142857142854</v>
      </c>
      <c r="AI1488" s="24">
        <f t="shared" si="350"/>
        <v>0.75892857142857151</v>
      </c>
    </row>
    <row r="1489" spans="1:35" hidden="1" x14ac:dyDescent="0.3">
      <c r="A1489" s="2" t="str">
        <f t="shared" si="347"/>
        <v>NÃO</v>
      </c>
      <c r="B1489" s="2">
        <v>1000184670</v>
      </c>
      <c r="C1489" s="2" t="s">
        <v>147</v>
      </c>
      <c r="D1489" s="4">
        <v>1000186197</v>
      </c>
      <c r="E1489" s="4" t="s">
        <v>166</v>
      </c>
      <c r="F1489" s="2">
        <v>1000184764</v>
      </c>
      <c r="G1489" s="2" t="s">
        <v>70</v>
      </c>
      <c r="H1489" s="4">
        <v>1000189823</v>
      </c>
      <c r="I1489" s="4" t="s">
        <v>73</v>
      </c>
      <c r="J1489" s="2">
        <v>1000189270</v>
      </c>
      <c r="K1489" s="2" t="s">
        <v>34</v>
      </c>
      <c r="L1489" s="4" t="s">
        <v>16</v>
      </c>
      <c r="M1489" s="4" t="str">
        <f t="shared" si="354"/>
        <v>1000184670100018619710001898231000189270DISNEY</v>
      </c>
      <c r="N1489" s="28">
        <f>N1486*_xlfn.XLOOKUP($L1489,'Balizador da Meta'!$B$4:$B$21,'Balizador da Meta'!$C$4:$C$21)</f>
        <v>48</v>
      </c>
      <c r="O1489" s="28">
        <f>O1486*_xlfn.XLOOKUP($L1489,'Balizador da Meta'!$B$4:$B$21,'Balizador da Meta'!$C$4:$C$21)</f>
        <v>96</v>
      </c>
      <c r="P1489" s="28">
        <f>P1486*_xlfn.XLOOKUP($L1489,'Balizador da Meta'!$B$4:$B$21,'Balizador da Meta'!$C$4:$C$21)</f>
        <v>96</v>
      </c>
      <c r="Q1489" s="28">
        <f>Q1486*_xlfn.XLOOKUP($L1489,'Balizador da Meta'!$B$4:$B$21,'Balizador da Meta'!$C$4:$C$21)</f>
        <v>96</v>
      </c>
      <c r="R1489" s="28">
        <f>R1486*_xlfn.XLOOKUP($L1489,'Balizador da Meta'!$B$4:$B$21,'Balizador da Meta'!$C$4:$C$21)</f>
        <v>96</v>
      </c>
      <c r="S1489" s="28">
        <f>S1486*_xlfn.XLOOKUP($L1489,'Balizador da Meta'!$B$4:$B$21,'Balizador da Meta'!$C$4:$C$21)</f>
        <v>96</v>
      </c>
      <c r="T1489" s="28">
        <f>T1486*_xlfn.XLOOKUP($L1489,'Balizador da Meta'!$B$4:$B$21,'Balizador da Meta'!$C$4:$C$21)</f>
        <v>144</v>
      </c>
      <c r="U1489" s="28">
        <f>U1486*_xlfn.XLOOKUP($L1489,'Balizador da Meta'!$B$4:$B$21,'Balizador da Meta'!$C$4:$C$21)</f>
        <v>144</v>
      </c>
      <c r="V1489" s="28">
        <f>V1486*_xlfn.XLOOKUP($L1489,'Balizador da Meta'!$B$4:$B$21,'Balizador da Meta'!$C$4:$C$21)</f>
        <v>144</v>
      </c>
      <c r="W1489" s="28">
        <f>W1486*_xlfn.XLOOKUP($L1489,'Balizador da Meta'!$B$4:$B$21,'Balizador da Meta'!$C$4:$C$21)</f>
        <v>144</v>
      </c>
      <c r="X1489" s="28">
        <f>X1486*_xlfn.XLOOKUP($L1489,'Balizador da Meta'!$B$4:$B$21,'Balizador da Meta'!$C$4:$C$21)</f>
        <v>144</v>
      </c>
      <c r="Y1489" s="28">
        <f>Y1486*_xlfn.XLOOKUP($L1489,'Balizador da Meta'!$B$4:$B$21,'Balizador da Meta'!$C$4:$C$21)</f>
        <v>192</v>
      </c>
      <c r="Z1489" s="30">
        <f t="shared" si="357"/>
        <v>1440</v>
      </c>
      <c r="AA1489" s="29"/>
      <c r="AB1489" s="31">
        <f>SUMIFS('Historico - FAT'!AK:AK,'Historico - FAT'!$K:$K,Faturamento!$L1489,'Historico - FAT'!$I:$I,Faturamento!$J1489,'Historico - FAT'!$G:$G,Faturamento!$H1489)</f>
        <v>0</v>
      </c>
      <c r="AC1489" s="31">
        <f>SUMIFS('Historico - FAT'!AL:AL,'Historico - FAT'!$K:$K,Faturamento!$L1489,'Historico - FAT'!$I:$I,Faturamento!$J1489,'Historico - FAT'!$G:$G,Faturamento!$H1489)</f>
        <v>0</v>
      </c>
      <c r="AD1489" s="31">
        <f>SUMIFS('Historico - FAT'!AM:AM,'Historico - FAT'!$K:$K,Faturamento!$L1489,'Historico - FAT'!$I:$I,Faturamento!$J1489,'Historico - FAT'!$G:$G,Faturamento!$H1489)</f>
        <v>0</v>
      </c>
      <c r="AE1489" s="27">
        <f>SUMIFS('Historico - FAT'!AN:AN,'Historico - FAT'!$K:$K,Faturamento!$L1489,'Historico - FAT'!$I:$I,Faturamento!$J1489,'Historico - FAT'!$G:$G,Faturamento!$H1489)</f>
        <v>0</v>
      </c>
      <c r="AG1489" s="24">
        <f t="shared" si="348"/>
        <v>1</v>
      </c>
      <c r="AH1489" s="24">
        <f t="shared" si="349"/>
        <v>1</v>
      </c>
      <c r="AI1489" s="24">
        <f t="shared" si="350"/>
        <v>1</v>
      </c>
    </row>
    <row r="1490" spans="1:35" hidden="1" x14ac:dyDescent="0.3">
      <c r="A1490" s="2" t="str">
        <f t="shared" si="347"/>
        <v>NÃO</v>
      </c>
      <c r="B1490" s="2">
        <v>1000184670</v>
      </c>
      <c r="C1490" s="2" t="s">
        <v>147</v>
      </c>
      <c r="D1490" s="4">
        <v>1000186197</v>
      </c>
      <c r="E1490" s="4" t="s">
        <v>166</v>
      </c>
      <c r="F1490" s="2">
        <v>1000184764</v>
      </c>
      <c r="G1490" s="2" t="s">
        <v>70</v>
      </c>
      <c r="H1490" s="4">
        <v>1000189823</v>
      </c>
      <c r="I1490" s="4" t="s">
        <v>73</v>
      </c>
      <c r="J1490" s="2">
        <v>1000189270</v>
      </c>
      <c r="K1490" s="2" t="s">
        <v>34</v>
      </c>
      <c r="L1490" s="4" t="s">
        <v>15</v>
      </c>
      <c r="M1490" s="4" t="str">
        <f t="shared" si="354"/>
        <v>1000184670100018619710001898231000189270DOCES</v>
      </c>
      <c r="N1490" s="28">
        <f>N1486*_xlfn.XLOOKUP($L1490,'Balizador da Meta'!$B$4:$B$21,'Balizador da Meta'!$C$4:$C$21)</f>
        <v>54</v>
      </c>
      <c r="O1490" s="28">
        <f>O1486*_xlfn.XLOOKUP($L1490,'Balizador da Meta'!$B$4:$B$21,'Balizador da Meta'!$C$4:$C$21)</f>
        <v>108</v>
      </c>
      <c r="P1490" s="28">
        <f>P1486*_xlfn.XLOOKUP($L1490,'Balizador da Meta'!$B$4:$B$21,'Balizador da Meta'!$C$4:$C$21)</f>
        <v>108</v>
      </c>
      <c r="Q1490" s="28">
        <f>Q1486*_xlfn.XLOOKUP($L1490,'Balizador da Meta'!$B$4:$B$21,'Balizador da Meta'!$C$4:$C$21)</f>
        <v>108</v>
      </c>
      <c r="R1490" s="28">
        <f>R1486*_xlfn.XLOOKUP($L1490,'Balizador da Meta'!$B$4:$B$21,'Balizador da Meta'!$C$4:$C$21)</f>
        <v>108</v>
      </c>
      <c r="S1490" s="28">
        <f>S1486*_xlfn.XLOOKUP($L1490,'Balizador da Meta'!$B$4:$B$21,'Balizador da Meta'!$C$4:$C$21)</f>
        <v>108</v>
      </c>
      <c r="T1490" s="28">
        <f>T1486*_xlfn.XLOOKUP($L1490,'Balizador da Meta'!$B$4:$B$21,'Balizador da Meta'!$C$4:$C$21)</f>
        <v>162</v>
      </c>
      <c r="U1490" s="28">
        <f>U1486*_xlfn.XLOOKUP($L1490,'Balizador da Meta'!$B$4:$B$21,'Balizador da Meta'!$C$4:$C$21)</f>
        <v>162</v>
      </c>
      <c r="V1490" s="28">
        <f>V1486*_xlfn.XLOOKUP($L1490,'Balizador da Meta'!$B$4:$B$21,'Balizador da Meta'!$C$4:$C$21)</f>
        <v>162</v>
      </c>
      <c r="W1490" s="28">
        <f>W1486*_xlfn.XLOOKUP($L1490,'Balizador da Meta'!$B$4:$B$21,'Balizador da Meta'!$C$4:$C$21)</f>
        <v>162</v>
      </c>
      <c r="X1490" s="28">
        <f>X1486*_xlfn.XLOOKUP($L1490,'Balizador da Meta'!$B$4:$B$21,'Balizador da Meta'!$C$4:$C$21)</f>
        <v>162</v>
      </c>
      <c r="Y1490" s="28">
        <f>Y1486*_xlfn.XLOOKUP($L1490,'Balizador da Meta'!$B$4:$B$21,'Balizador da Meta'!$C$4:$C$21)</f>
        <v>216</v>
      </c>
      <c r="Z1490" s="30">
        <f t="shared" si="357"/>
        <v>1620</v>
      </c>
      <c r="AA1490" s="29"/>
      <c r="AB1490" s="31">
        <f>SUMIFS('Historico - FAT'!AK:AK,'Historico - FAT'!$K:$K,Faturamento!$L1490,'Historico - FAT'!$I:$I,Faturamento!$J1490,'Historico - FAT'!$G:$G,Faturamento!$H1490)</f>
        <v>0</v>
      </c>
      <c r="AC1490" s="31">
        <f>SUMIFS('Historico - FAT'!AL:AL,'Historico - FAT'!$K:$K,Faturamento!$L1490,'Historico - FAT'!$I:$I,Faturamento!$J1490,'Historico - FAT'!$G:$G,Faturamento!$H1490)</f>
        <v>0</v>
      </c>
      <c r="AD1490" s="31">
        <f>SUMIFS('Historico - FAT'!AM:AM,'Historico - FAT'!$K:$K,Faturamento!$L1490,'Historico - FAT'!$I:$I,Faturamento!$J1490,'Historico - FAT'!$G:$G,Faturamento!$H1490)</f>
        <v>0</v>
      </c>
      <c r="AE1490" s="27">
        <f>SUMIFS('Historico - FAT'!AN:AN,'Historico - FAT'!$K:$K,Faturamento!$L1490,'Historico - FAT'!$I:$I,Faturamento!$J1490,'Historico - FAT'!$G:$G,Faturamento!$H1490)</f>
        <v>0</v>
      </c>
      <c r="AG1490" s="24">
        <f t="shared" si="348"/>
        <v>1</v>
      </c>
      <c r="AH1490" s="24">
        <f t="shared" si="349"/>
        <v>1</v>
      </c>
      <c r="AI1490" s="24">
        <f t="shared" si="350"/>
        <v>1</v>
      </c>
    </row>
    <row r="1491" spans="1:35" hidden="1" x14ac:dyDescent="0.3">
      <c r="A1491" s="2" t="str">
        <f t="shared" si="347"/>
        <v>NÃO</v>
      </c>
      <c r="B1491" s="2">
        <v>1000184670</v>
      </c>
      <c r="C1491" s="2" t="s">
        <v>147</v>
      </c>
      <c r="D1491" s="4">
        <v>1000186197</v>
      </c>
      <c r="E1491" s="4" t="s">
        <v>166</v>
      </c>
      <c r="F1491" s="2">
        <v>1000184764</v>
      </c>
      <c r="G1491" s="2" t="s">
        <v>70</v>
      </c>
      <c r="H1491" s="4">
        <v>1000189823</v>
      </c>
      <c r="I1491" s="4" t="s">
        <v>73</v>
      </c>
      <c r="J1491" s="2">
        <v>1000189270</v>
      </c>
      <c r="K1491" s="2" t="s">
        <v>34</v>
      </c>
      <c r="L1491" s="4" t="s">
        <v>33</v>
      </c>
      <c r="M1491" s="4" t="str">
        <f t="shared" si="354"/>
        <v>1000184670100018619710001898231000189270FOOD SERVICE</v>
      </c>
      <c r="N1491" s="28">
        <f>N1486*_xlfn.XLOOKUP($L1491,'Balizador da Meta'!$B$4:$B$21,'Balizador da Meta'!$C$4:$C$21)</f>
        <v>0</v>
      </c>
      <c r="O1491" s="28">
        <f>O1486*_xlfn.XLOOKUP($L1491,'Balizador da Meta'!$B$4:$B$21,'Balizador da Meta'!$C$4:$C$21)</f>
        <v>0</v>
      </c>
      <c r="P1491" s="28">
        <f>P1486*_xlfn.XLOOKUP($L1491,'Balizador da Meta'!$B$4:$B$21,'Balizador da Meta'!$C$4:$C$21)</f>
        <v>0</v>
      </c>
      <c r="Q1491" s="28">
        <f>Q1486*_xlfn.XLOOKUP($L1491,'Balizador da Meta'!$B$4:$B$21,'Balizador da Meta'!$C$4:$C$21)</f>
        <v>0</v>
      </c>
      <c r="R1491" s="28">
        <f>R1486*_xlfn.XLOOKUP($L1491,'Balizador da Meta'!$B$4:$B$21,'Balizador da Meta'!$C$4:$C$21)</f>
        <v>0</v>
      </c>
      <c r="S1491" s="28">
        <f>S1486*_xlfn.XLOOKUP($L1491,'Balizador da Meta'!$B$4:$B$21,'Balizador da Meta'!$C$4:$C$21)</f>
        <v>0</v>
      </c>
      <c r="T1491" s="28">
        <f>T1486*_xlfn.XLOOKUP($L1491,'Balizador da Meta'!$B$4:$B$21,'Balizador da Meta'!$C$4:$C$21)</f>
        <v>0</v>
      </c>
      <c r="U1491" s="28">
        <f>U1486*_xlfn.XLOOKUP($L1491,'Balizador da Meta'!$B$4:$B$21,'Balizador da Meta'!$C$4:$C$21)</f>
        <v>0</v>
      </c>
      <c r="V1491" s="28">
        <f>V1486*_xlfn.XLOOKUP($L1491,'Balizador da Meta'!$B$4:$B$21,'Balizador da Meta'!$C$4:$C$21)</f>
        <v>0</v>
      </c>
      <c r="W1491" s="28">
        <f>W1486*_xlfn.XLOOKUP($L1491,'Balizador da Meta'!$B$4:$B$21,'Balizador da Meta'!$C$4:$C$21)</f>
        <v>0</v>
      </c>
      <c r="X1491" s="28">
        <f>X1486*_xlfn.XLOOKUP($L1491,'Balizador da Meta'!$B$4:$B$21,'Balizador da Meta'!$C$4:$C$21)</f>
        <v>0</v>
      </c>
      <c r="Y1491" s="28">
        <f>Y1486*_xlfn.XLOOKUP($L1491,'Balizador da Meta'!$B$4:$B$21,'Balizador da Meta'!$C$4:$C$21)</f>
        <v>0</v>
      </c>
      <c r="Z1491" s="30">
        <f t="shared" si="357"/>
        <v>0</v>
      </c>
      <c r="AA1491" s="29"/>
      <c r="AB1491" s="31">
        <f>SUMIFS('Historico - FAT'!AK:AK,'Historico - FAT'!$K:$K,Faturamento!$L1491,'Historico - FAT'!$I:$I,Faturamento!$J1491,'Historico - FAT'!$G:$G,Faturamento!$H1491)</f>
        <v>0</v>
      </c>
      <c r="AC1491" s="31">
        <f>SUMIFS('Historico - FAT'!AL:AL,'Historico - FAT'!$K:$K,Faturamento!$L1491,'Historico - FAT'!$I:$I,Faturamento!$J1491,'Historico - FAT'!$G:$G,Faturamento!$H1491)</f>
        <v>0</v>
      </c>
      <c r="AD1491" s="31">
        <f>SUMIFS('Historico - FAT'!AM:AM,'Historico - FAT'!$K:$K,Faturamento!$L1491,'Historico - FAT'!$I:$I,Faturamento!$J1491,'Historico - FAT'!$G:$G,Faturamento!$H1491)</f>
        <v>0</v>
      </c>
      <c r="AE1491" s="27">
        <f>SUMIFS('Historico - FAT'!AN:AN,'Historico - FAT'!$K:$K,Faturamento!$L1491,'Historico - FAT'!$I:$I,Faturamento!$J1491,'Historico - FAT'!$G:$G,Faturamento!$H1491)</f>
        <v>0</v>
      </c>
      <c r="AG1491" s="24" t="str">
        <f t="shared" si="348"/>
        <v/>
      </c>
      <c r="AH1491" s="24" t="str">
        <f t="shared" si="349"/>
        <v/>
      </c>
      <c r="AI1491" s="24" t="str">
        <f t="shared" si="350"/>
        <v/>
      </c>
    </row>
    <row r="1492" spans="1:35" hidden="1" x14ac:dyDescent="0.3">
      <c r="A1492" s="2" t="str">
        <f t="shared" si="347"/>
        <v>NÃO</v>
      </c>
      <c r="B1492" s="2">
        <v>1000184670</v>
      </c>
      <c r="C1492" s="2" t="s">
        <v>147</v>
      </c>
      <c r="D1492" s="4">
        <v>1000186197</v>
      </c>
      <c r="E1492" s="4" t="s">
        <v>166</v>
      </c>
      <c r="F1492" s="2">
        <v>1000184764</v>
      </c>
      <c r="G1492" s="2" t="s">
        <v>70</v>
      </c>
      <c r="H1492" s="4">
        <v>1000189823</v>
      </c>
      <c r="I1492" s="4" t="s">
        <v>73</v>
      </c>
      <c r="J1492" s="2">
        <v>1000189270</v>
      </c>
      <c r="K1492" s="2" t="s">
        <v>34</v>
      </c>
      <c r="L1492" s="4" t="s">
        <v>19</v>
      </c>
      <c r="M1492" s="4" t="str">
        <f t="shared" si="354"/>
        <v>1000184670100018619710001898231000189270GELEIA</v>
      </c>
      <c r="N1492" s="28">
        <f>N1486*_xlfn.XLOOKUP($L1492,'Balizador da Meta'!$B$4:$B$21,'Balizador da Meta'!$C$4:$C$21)</f>
        <v>11.999999999999998</v>
      </c>
      <c r="O1492" s="28">
        <f>O1486*_xlfn.XLOOKUP($L1492,'Balizador da Meta'!$B$4:$B$21,'Balizador da Meta'!$C$4:$C$21)</f>
        <v>23.999999999999996</v>
      </c>
      <c r="P1492" s="28">
        <f>P1486*_xlfn.XLOOKUP($L1492,'Balizador da Meta'!$B$4:$B$21,'Balizador da Meta'!$C$4:$C$21)</f>
        <v>23.999999999999996</v>
      </c>
      <c r="Q1492" s="28">
        <f>Q1486*_xlfn.XLOOKUP($L1492,'Balizador da Meta'!$B$4:$B$21,'Balizador da Meta'!$C$4:$C$21)</f>
        <v>23.999999999999996</v>
      </c>
      <c r="R1492" s="28">
        <f>R1486*_xlfn.XLOOKUP($L1492,'Balizador da Meta'!$B$4:$B$21,'Balizador da Meta'!$C$4:$C$21)</f>
        <v>23.999999999999996</v>
      </c>
      <c r="S1492" s="28">
        <f>S1486*_xlfn.XLOOKUP($L1492,'Balizador da Meta'!$B$4:$B$21,'Balizador da Meta'!$C$4:$C$21)</f>
        <v>23.999999999999996</v>
      </c>
      <c r="T1492" s="28">
        <f>T1486*_xlfn.XLOOKUP($L1492,'Balizador da Meta'!$B$4:$B$21,'Balizador da Meta'!$C$4:$C$21)</f>
        <v>35.999999999999993</v>
      </c>
      <c r="U1492" s="28">
        <f>U1486*_xlfn.XLOOKUP($L1492,'Balizador da Meta'!$B$4:$B$21,'Balizador da Meta'!$C$4:$C$21)</f>
        <v>35.999999999999993</v>
      </c>
      <c r="V1492" s="28">
        <f>V1486*_xlfn.XLOOKUP($L1492,'Balizador da Meta'!$B$4:$B$21,'Balizador da Meta'!$C$4:$C$21)</f>
        <v>35.999999999999993</v>
      </c>
      <c r="W1492" s="28">
        <f>W1486*_xlfn.XLOOKUP($L1492,'Balizador da Meta'!$B$4:$B$21,'Balizador da Meta'!$C$4:$C$21)</f>
        <v>35.999999999999993</v>
      </c>
      <c r="X1492" s="28">
        <f>X1486*_xlfn.XLOOKUP($L1492,'Balizador da Meta'!$B$4:$B$21,'Balizador da Meta'!$C$4:$C$21)</f>
        <v>35.999999999999993</v>
      </c>
      <c r="Y1492" s="28">
        <f>Y1486*_xlfn.XLOOKUP($L1492,'Balizador da Meta'!$B$4:$B$21,'Balizador da Meta'!$C$4:$C$21)</f>
        <v>47.999999999999993</v>
      </c>
      <c r="Z1492" s="30">
        <f t="shared" si="357"/>
        <v>359.99999999999994</v>
      </c>
      <c r="AA1492" s="29"/>
      <c r="AB1492" s="31">
        <f>SUMIFS('Historico - FAT'!AK:AK,'Historico - FAT'!$K:$K,Faturamento!$L1492,'Historico - FAT'!$I:$I,Faturamento!$J1492,'Historico - FAT'!$G:$G,Faturamento!$H1492)</f>
        <v>0</v>
      </c>
      <c r="AC1492" s="31">
        <f>SUMIFS('Historico - FAT'!AL:AL,'Historico - FAT'!$K:$K,Faturamento!$L1492,'Historico - FAT'!$I:$I,Faturamento!$J1492,'Historico - FAT'!$G:$G,Faturamento!$H1492)</f>
        <v>0</v>
      </c>
      <c r="AD1492" s="31">
        <f>SUMIFS('Historico - FAT'!AM:AM,'Historico - FAT'!$K:$K,Faturamento!$L1492,'Historico - FAT'!$I:$I,Faturamento!$J1492,'Historico - FAT'!$G:$G,Faturamento!$H1492)</f>
        <v>0</v>
      </c>
      <c r="AE1492" s="27">
        <f>SUMIFS('Historico - FAT'!AN:AN,'Historico - FAT'!$K:$K,Faturamento!$L1492,'Historico - FAT'!$I:$I,Faturamento!$J1492,'Historico - FAT'!$G:$G,Faturamento!$H1492)</f>
        <v>0</v>
      </c>
      <c r="AG1492" s="24">
        <f t="shared" si="348"/>
        <v>1</v>
      </c>
      <c r="AH1492" s="24">
        <f t="shared" si="349"/>
        <v>1</v>
      </c>
      <c r="AI1492" s="24">
        <f t="shared" si="350"/>
        <v>1</v>
      </c>
    </row>
    <row r="1493" spans="1:35" hidden="1" x14ac:dyDescent="0.3">
      <c r="A1493" s="2" t="str">
        <f t="shared" si="347"/>
        <v>NÃO</v>
      </c>
      <c r="B1493" s="2">
        <v>1000184670</v>
      </c>
      <c r="C1493" s="2" t="s">
        <v>147</v>
      </c>
      <c r="D1493" s="4">
        <v>1000186197</v>
      </c>
      <c r="E1493" s="4" t="s">
        <v>166</v>
      </c>
      <c r="F1493" s="2">
        <v>1000184764</v>
      </c>
      <c r="G1493" s="2" t="s">
        <v>70</v>
      </c>
      <c r="H1493" s="4">
        <v>1000189823</v>
      </c>
      <c r="I1493" s="4" t="s">
        <v>73</v>
      </c>
      <c r="J1493" s="2">
        <v>1000189270</v>
      </c>
      <c r="K1493" s="2" t="s">
        <v>34</v>
      </c>
      <c r="L1493" s="4" t="s">
        <v>17</v>
      </c>
      <c r="M1493" s="4" t="str">
        <f t="shared" si="354"/>
        <v>1000184670100018619710001898231000189270GRANOLA</v>
      </c>
      <c r="N1493" s="28">
        <f>N1486*_xlfn.XLOOKUP($L1493,'Balizador da Meta'!$B$4:$B$21,'Balizador da Meta'!$C$4:$C$21)</f>
        <v>12</v>
      </c>
      <c r="O1493" s="28">
        <f>O1486*_xlfn.XLOOKUP($L1493,'Balizador da Meta'!$B$4:$B$21,'Balizador da Meta'!$C$4:$C$21)</f>
        <v>24</v>
      </c>
      <c r="P1493" s="28">
        <f>P1486*_xlfn.XLOOKUP($L1493,'Balizador da Meta'!$B$4:$B$21,'Balizador da Meta'!$C$4:$C$21)</f>
        <v>24</v>
      </c>
      <c r="Q1493" s="28">
        <f>Q1486*_xlfn.XLOOKUP($L1493,'Balizador da Meta'!$B$4:$B$21,'Balizador da Meta'!$C$4:$C$21)</f>
        <v>24</v>
      </c>
      <c r="R1493" s="28">
        <f>R1486*_xlfn.XLOOKUP($L1493,'Balizador da Meta'!$B$4:$B$21,'Balizador da Meta'!$C$4:$C$21)</f>
        <v>24</v>
      </c>
      <c r="S1493" s="28">
        <f>S1486*_xlfn.XLOOKUP($L1493,'Balizador da Meta'!$B$4:$B$21,'Balizador da Meta'!$C$4:$C$21)</f>
        <v>24</v>
      </c>
      <c r="T1493" s="28">
        <f>T1486*_xlfn.XLOOKUP($L1493,'Balizador da Meta'!$B$4:$B$21,'Balizador da Meta'!$C$4:$C$21)</f>
        <v>36</v>
      </c>
      <c r="U1493" s="28">
        <f>U1486*_xlfn.XLOOKUP($L1493,'Balizador da Meta'!$B$4:$B$21,'Balizador da Meta'!$C$4:$C$21)</f>
        <v>36</v>
      </c>
      <c r="V1493" s="28">
        <f>V1486*_xlfn.XLOOKUP($L1493,'Balizador da Meta'!$B$4:$B$21,'Balizador da Meta'!$C$4:$C$21)</f>
        <v>36</v>
      </c>
      <c r="W1493" s="28">
        <f>W1486*_xlfn.XLOOKUP($L1493,'Balizador da Meta'!$B$4:$B$21,'Balizador da Meta'!$C$4:$C$21)</f>
        <v>36</v>
      </c>
      <c r="X1493" s="28">
        <f>X1486*_xlfn.XLOOKUP($L1493,'Balizador da Meta'!$B$4:$B$21,'Balizador da Meta'!$C$4:$C$21)</f>
        <v>36</v>
      </c>
      <c r="Y1493" s="28">
        <f>Y1486*_xlfn.XLOOKUP($L1493,'Balizador da Meta'!$B$4:$B$21,'Balizador da Meta'!$C$4:$C$21)</f>
        <v>48</v>
      </c>
      <c r="Z1493" s="30">
        <f t="shared" si="357"/>
        <v>360</v>
      </c>
      <c r="AA1493" s="29"/>
      <c r="AB1493" s="31">
        <f>SUMIFS('Historico - FAT'!AK:AK,'Historico - FAT'!$K:$K,Faturamento!$L1493,'Historico - FAT'!$I:$I,Faturamento!$J1493,'Historico - FAT'!$G:$G,Faturamento!$H1493)</f>
        <v>0</v>
      </c>
      <c r="AC1493" s="31">
        <f>SUMIFS('Historico - FAT'!AL:AL,'Historico - FAT'!$K:$K,Faturamento!$L1493,'Historico - FAT'!$I:$I,Faturamento!$J1493,'Historico - FAT'!$G:$G,Faturamento!$H1493)</f>
        <v>0</v>
      </c>
      <c r="AD1493" s="31">
        <f>SUMIFS('Historico - FAT'!AM:AM,'Historico - FAT'!$K:$K,Faturamento!$L1493,'Historico - FAT'!$I:$I,Faturamento!$J1493,'Historico - FAT'!$G:$G,Faturamento!$H1493)</f>
        <v>0</v>
      </c>
      <c r="AE1493" s="27">
        <f>SUMIFS('Historico - FAT'!AN:AN,'Historico - FAT'!$K:$K,Faturamento!$L1493,'Historico - FAT'!$I:$I,Faturamento!$J1493,'Historico - FAT'!$G:$G,Faturamento!$H1493)</f>
        <v>0</v>
      </c>
      <c r="AG1493" s="24">
        <f t="shared" si="348"/>
        <v>1</v>
      </c>
      <c r="AH1493" s="24">
        <f t="shared" si="349"/>
        <v>1</v>
      </c>
      <c r="AI1493" s="24">
        <f t="shared" si="350"/>
        <v>1</v>
      </c>
    </row>
    <row r="1494" spans="1:35" hidden="1" x14ac:dyDescent="0.3">
      <c r="A1494" s="2" t="str">
        <f t="shared" si="347"/>
        <v>NÃO</v>
      </c>
      <c r="B1494" s="2">
        <v>1000184670</v>
      </c>
      <c r="C1494" s="2" t="s">
        <v>147</v>
      </c>
      <c r="D1494" s="4">
        <v>1000186197</v>
      </c>
      <c r="E1494" s="4" t="s">
        <v>166</v>
      </c>
      <c r="F1494" s="2">
        <v>1000184764</v>
      </c>
      <c r="G1494" s="2" t="s">
        <v>70</v>
      </c>
      <c r="H1494" s="4">
        <v>1000189823</v>
      </c>
      <c r="I1494" s="4" t="s">
        <v>73</v>
      </c>
      <c r="J1494" s="2">
        <v>1000189270</v>
      </c>
      <c r="K1494" s="2" t="s">
        <v>34</v>
      </c>
      <c r="L1494" s="4" t="s">
        <v>24</v>
      </c>
      <c r="M1494" s="4" t="str">
        <f t="shared" si="354"/>
        <v>1000184670100018619710001898231000189270KIDS</v>
      </c>
      <c r="N1494" s="28">
        <f>N1486*_xlfn.XLOOKUP($L1494,'Balizador da Meta'!$B$4:$B$21,'Balizador da Meta'!$C$4:$C$21)</f>
        <v>0</v>
      </c>
      <c r="O1494" s="28">
        <f>O1486*_xlfn.XLOOKUP($L1494,'Balizador da Meta'!$B$4:$B$21,'Balizador da Meta'!$C$4:$C$21)</f>
        <v>0</v>
      </c>
      <c r="P1494" s="28">
        <f>P1486*_xlfn.XLOOKUP($L1494,'Balizador da Meta'!$B$4:$B$21,'Balizador da Meta'!$C$4:$C$21)</f>
        <v>0</v>
      </c>
      <c r="Q1494" s="28">
        <f>Q1486*_xlfn.XLOOKUP($L1494,'Balizador da Meta'!$B$4:$B$21,'Balizador da Meta'!$C$4:$C$21)</f>
        <v>0</v>
      </c>
      <c r="R1494" s="28">
        <f>R1486*_xlfn.XLOOKUP($L1494,'Balizador da Meta'!$B$4:$B$21,'Balizador da Meta'!$C$4:$C$21)</f>
        <v>0</v>
      </c>
      <c r="S1494" s="28">
        <f>S1486*_xlfn.XLOOKUP($L1494,'Balizador da Meta'!$B$4:$B$21,'Balizador da Meta'!$C$4:$C$21)</f>
        <v>0</v>
      </c>
      <c r="T1494" s="28">
        <f>T1486*_xlfn.XLOOKUP($L1494,'Balizador da Meta'!$B$4:$B$21,'Balizador da Meta'!$C$4:$C$21)</f>
        <v>0</v>
      </c>
      <c r="U1494" s="28">
        <f>U1486*_xlfn.XLOOKUP($L1494,'Balizador da Meta'!$B$4:$B$21,'Balizador da Meta'!$C$4:$C$21)</f>
        <v>0</v>
      </c>
      <c r="V1494" s="28">
        <f>V1486*_xlfn.XLOOKUP($L1494,'Balizador da Meta'!$B$4:$B$21,'Balizador da Meta'!$C$4:$C$21)</f>
        <v>0</v>
      </c>
      <c r="W1494" s="28">
        <f>W1486*_xlfn.XLOOKUP($L1494,'Balizador da Meta'!$B$4:$B$21,'Balizador da Meta'!$C$4:$C$21)</f>
        <v>0</v>
      </c>
      <c r="X1494" s="28">
        <f>X1486*_xlfn.XLOOKUP($L1494,'Balizador da Meta'!$B$4:$B$21,'Balizador da Meta'!$C$4:$C$21)</f>
        <v>0</v>
      </c>
      <c r="Y1494" s="28">
        <f>Y1486*_xlfn.XLOOKUP($L1494,'Balizador da Meta'!$B$4:$B$21,'Balizador da Meta'!$C$4:$C$21)</f>
        <v>0</v>
      </c>
      <c r="Z1494" s="30">
        <f t="shared" si="357"/>
        <v>0</v>
      </c>
      <c r="AA1494" s="29"/>
      <c r="AB1494" s="31">
        <f>SUMIFS('Historico - FAT'!AK:AK,'Historico - FAT'!$K:$K,Faturamento!$L1494,'Historico - FAT'!$I:$I,Faturamento!$J1494,'Historico - FAT'!$G:$G,Faturamento!$H1494)</f>
        <v>0</v>
      </c>
      <c r="AC1494" s="31">
        <f>SUMIFS('Historico - FAT'!AL:AL,'Historico - FAT'!$K:$K,Faturamento!$L1494,'Historico - FAT'!$I:$I,Faturamento!$J1494,'Historico - FAT'!$G:$G,Faturamento!$H1494)</f>
        <v>0</v>
      </c>
      <c r="AD1494" s="31">
        <f>SUMIFS('Historico - FAT'!AM:AM,'Historico - FAT'!$K:$K,Faturamento!$L1494,'Historico - FAT'!$I:$I,Faturamento!$J1494,'Historico - FAT'!$G:$G,Faturamento!$H1494)</f>
        <v>0</v>
      </c>
      <c r="AE1494" s="27">
        <f>SUMIFS('Historico - FAT'!AN:AN,'Historico - FAT'!$K:$K,Faturamento!$L1494,'Historico - FAT'!$I:$I,Faturamento!$J1494,'Historico - FAT'!$G:$G,Faturamento!$H1494)</f>
        <v>0</v>
      </c>
      <c r="AG1494" s="24" t="str">
        <f t="shared" si="348"/>
        <v/>
      </c>
      <c r="AH1494" s="24" t="str">
        <f t="shared" si="349"/>
        <v/>
      </c>
      <c r="AI1494" s="24" t="str">
        <f t="shared" si="350"/>
        <v/>
      </c>
    </row>
    <row r="1495" spans="1:35" hidden="1" x14ac:dyDescent="0.3">
      <c r="A1495" s="2" t="str">
        <f t="shared" si="347"/>
        <v>NÃO</v>
      </c>
      <c r="B1495" s="2">
        <v>1000184670</v>
      </c>
      <c r="C1495" s="2" t="s">
        <v>147</v>
      </c>
      <c r="D1495" s="4">
        <v>1000186197</v>
      </c>
      <c r="E1495" s="4" t="s">
        <v>166</v>
      </c>
      <c r="F1495" s="2">
        <v>1000184764</v>
      </c>
      <c r="G1495" s="2" t="s">
        <v>70</v>
      </c>
      <c r="H1495" s="4">
        <v>1000189823</v>
      </c>
      <c r="I1495" s="4" t="s">
        <v>73</v>
      </c>
      <c r="J1495" s="2">
        <v>1000189270</v>
      </c>
      <c r="K1495" s="2" t="s">
        <v>34</v>
      </c>
      <c r="L1495" s="4" t="s">
        <v>18</v>
      </c>
      <c r="M1495" s="4" t="str">
        <f t="shared" si="354"/>
        <v>1000184670100018619710001898231000189270LANCHES</v>
      </c>
      <c r="N1495" s="28">
        <f>N1486*_xlfn.XLOOKUP($L1495,'Balizador da Meta'!$B$4:$B$21,'Balizador da Meta'!$C$4:$C$21)</f>
        <v>6</v>
      </c>
      <c r="O1495" s="28">
        <f>O1486*_xlfn.XLOOKUP($L1495,'Balizador da Meta'!$B$4:$B$21,'Balizador da Meta'!$C$4:$C$21)</f>
        <v>12</v>
      </c>
      <c r="P1495" s="28">
        <f>P1486*_xlfn.XLOOKUP($L1495,'Balizador da Meta'!$B$4:$B$21,'Balizador da Meta'!$C$4:$C$21)</f>
        <v>12</v>
      </c>
      <c r="Q1495" s="28">
        <f>Q1486*_xlfn.XLOOKUP($L1495,'Balizador da Meta'!$B$4:$B$21,'Balizador da Meta'!$C$4:$C$21)</f>
        <v>12</v>
      </c>
      <c r="R1495" s="28">
        <f>R1486*_xlfn.XLOOKUP($L1495,'Balizador da Meta'!$B$4:$B$21,'Balizador da Meta'!$C$4:$C$21)</f>
        <v>12</v>
      </c>
      <c r="S1495" s="28">
        <f>S1486*_xlfn.XLOOKUP($L1495,'Balizador da Meta'!$B$4:$B$21,'Balizador da Meta'!$C$4:$C$21)</f>
        <v>12</v>
      </c>
      <c r="T1495" s="28">
        <f>T1486*_xlfn.XLOOKUP($L1495,'Balizador da Meta'!$B$4:$B$21,'Balizador da Meta'!$C$4:$C$21)</f>
        <v>18</v>
      </c>
      <c r="U1495" s="28">
        <f>U1486*_xlfn.XLOOKUP($L1495,'Balizador da Meta'!$B$4:$B$21,'Balizador da Meta'!$C$4:$C$21)</f>
        <v>18</v>
      </c>
      <c r="V1495" s="28">
        <f>V1486*_xlfn.XLOOKUP($L1495,'Balizador da Meta'!$B$4:$B$21,'Balizador da Meta'!$C$4:$C$21)</f>
        <v>18</v>
      </c>
      <c r="W1495" s="28">
        <f>W1486*_xlfn.XLOOKUP($L1495,'Balizador da Meta'!$B$4:$B$21,'Balizador da Meta'!$C$4:$C$21)</f>
        <v>18</v>
      </c>
      <c r="X1495" s="28">
        <f>X1486*_xlfn.XLOOKUP($L1495,'Balizador da Meta'!$B$4:$B$21,'Balizador da Meta'!$C$4:$C$21)</f>
        <v>18</v>
      </c>
      <c r="Y1495" s="28">
        <f>Y1486*_xlfn.XLOOKUP($L1495,'Balizador da Meta'!$B$4:$B$21,'Balizador da Meta'!$C$4:$C$21)</f>
        <v>24</v>
      </c>
      <c r="Z1495" s="30">
        <f t="shared" si="357"/>
        <v>180</v>
      </c>
      <c r="AA1495" s="29"/>
      <c r="AB1495" s="31">
        <f>SUMIFS('Historico - FAT'!AK:AK,'Historico - FAT'!$K:$K,Faturamento!$L1495,'Historico - FAT'!$I:$I,Faturamento!$J1495,'Historico - FAT'!$G:$G,Faturamento!$H1495)</f>
        <v>0</v>
      </c>
      <c r="AC1495" s="31">
        <f>SUMIFS('Historico - FAT'!AL:AL,'Historico - FAT'!$K:$K,Faturamento!$L1495,'Historico - FAT'!$I:$I,Faturamento!$J1495,'Historico - FAT'!$G:$G,Faturamento!$H1495)</f>
        <v>0</v>
      </c>
      <c r="AD1495" s="31">
        <f>SUMIFS('Historico - FAT'!AM:AM,'Historico - FAT'!$K:$K,Faturamento!$L1495,'Historico - FAT'!$I:$I,Faturamento!$J1495,'Historico - FAT'!$G:$G,Faturamento!$H1495)</f>
        <v>0</v>
      </c>
      <c r="AE1495" s="27">
        <f>SUMIFS('Historico - FAT'!AN:AN,'Historico - FAT'!$K:$K,Faturamento!$L1495,'Historico - FAT'!$I:$I,Faturamento!$J1495,'Historico - FAT'!$G:$G,Faturamento!$H1495)</f>
        <v>0</v>
      </c>
      <c r="AG1495" s="24">
        <f t="shared" si="348"/>
        <v>1</v>
      </c>
      <c r="AH1495" s="24">
        <f t="shared" si="349"/>
        <v>1</v>
      </c>
      <c r="AI1495" s="24">
        <f t="shared" si="350"/>
        <v>1</v>
      </c>
    </row>
    <row r="1496" spans="1:35" hidden="1" x14ac:dyDescent="0.3">
      <c r="A1496" s="2" t="str">
        <f t="shared" si="347"/>
        <v>NÃO</v>
      </c>
      <c r="B1496" s="2">
        <v>1000184670</v>
      </c>
      <c r="C1496" s="2" t="s">
        <v>147</v>
      </c>
      <c r="D1496" s="4">
        <v>1000186197</v>
      </c>
      <c r="E1496" s="4" t="s">
        <v>166</v>
      </c>
      <c r="F1496" s="2">
        <v>1000184764</v>
      </c>
      <c r="G1496" s="2" t="s">
        <v>70</v>
      </c>
      <c r="H1496" s="4">
        <v>1000189823</v>
      </c>
      <c r="I1496" s="4" t="s">
        <v>73</v>
      </c>
      <c r="J1496" s="2">
        <v>1000189270</v>
      </c>
      <c r="K1496" s="2" t="s">
        <v>34</v>
      </c>
      <c r="L1496" s="4" t="s">
        <v>29</v>
      </c>
      <c r="M1496" s="4" t="str">
        <f t="shared" si="354"/>
        <v>1000184670100018619710001898231000189270MAIS GRANEL</v>
      </c>
      <c r="N1496" s="28">
        <f>N1486*_xlfn.XLOOKUP($L1496,'Balizador da Meta'!$B$4:$B$21,'Balizador da Meta'!$C$4:$C$21)</f>
        <v>192</v>
      </c>
      <c r="O1496" s="28">
        <f>O1486*_xlfn.XLOOKUP($L1496,'Balizador da Meta'!$B$4:$B$21,'Balizador da Meta'!$C$4:$C$21)</f>
        <v>384</v>
      </c>
      <c r="P1496" s="28">
        <f>P1486*_xlfn.XLOOKUP($L1496,'Balizador da Meta'!$B$4:$B$21,'Balizador da Meta'!$C$4:$C$21)</f>
        <v>384</v>
      </c>
      <c r="Q1496" s="28">
        <f>Q1486*_xlfn.XLOOKUP($L1496,'Balizador da Meta'!$B$4:$B$21,'Balizador da Meta'!$C$4:$C$21)</f>
        <v>384</v>
      </c>
      <c r="R1496" s="28">
        <f>R1486*_xlfn.XLOOKUP($L1496,'Balizador da Meta'!$B$4:$B$21,'Balizador da Meta'!$C$4:$C$21)</f>
        <v>384</v>
      </c>
      <c r="S1496" s="28">
        <f>S1486*_xlfn.XLOOKUP($L1496,'Balizador da Meta'!$B$4:$B$21,'Balizador da Meta'!$C$4:$C$21)</f>
        <v>384</v>
      </c>
      <c r="T1496" s="28">
        <f>T1486*_xlfn.XLOOKUP($L1496,'Balizador da Meta'!$B$4:$B$21,'Balizador da Meta'!$C$4:$C$21)</f>
        <v>576</v>
      </c>
      <c r="U1496" s="28">
        <f>U1486*_xlfn.XLOOKUP($L1496,'Balizador da Meta'!$B$4:$B$21,'Balizador da Meta'!$C$4:$C$21)</f>
        <v>576</v>
      </c>
      <c r="V1496" s="28">
        <f>V1486*_xlfn.XLOOKUP($L1496,'Balizador da Meta'!$B$4:$B$21,'Balizador da Meta'!$C$4:$C$21)</f>
        <v>576</v>
      </c>
      <c r="W1496" s="28">
        <f>W1486*_xlfn.XLOOKUP($L1496,'Balizador da Meta'!$B$4:$B$21,'Balizador da Meta'!$C$4:$C$21)</f>
        <v>576</v>
      </c>
      <c r="X1496" s="28">
        <f>X1486*_xlfn.XLOOKUP($L1496,'Balizador da Meta'!$B$4:$B$21,'Balizador da Meta'!$C$4:$C$21)</f>
        <v>576</v>
      </c>
      <c r="Y1496" s="28">
        <f>Y1486*_xlfn.XLOOKUP($L1496,'Balizador da Meta'!$B$4:$B$21,'Balizador da Meta'!$C$4:$C$21)</f>
        <v>768</v>
      </c>
      <c r="Z1496" s="30">
        <f t="shared" si="357"/>
        <v>5760</v>
      </c>
      <c r="AA1496" s="29"/>
      <c r="AB1496" s="31">
        <f>SUMIFS('Historico - FAT'!AK:AK,'Historico - FAT'!$K:$K,Faturamento!$L1496,'Historico - FAT'!$I:$I,Faturamento!$J1496,'Historico - FAT'!$G:$G,Faturamento!$H1496)</f>
        <v>0</v>
      </c>
      <c r="AC1496" s="31">
        <f>SUMIFS('Historico - FAT'!AL:AL,'Historico - FAT'!$K:$K,Faturamento!$L1496,'Historico - FAT'!$I:$I,Faturamento!$J1496,'Historico - FAT'!$G:$G,Faturamento!$H1496)</f>
        <v>63.416666666666664</v>
      </c>
      <c r="AD1496" s="31">
        <f>SUMIFS('Historico - FAT'!AM:AM,'Historico - FAT'!$K:$K,Faturamento!$L1496,'Historico - FAT'!$I:$I,Faturamento!$J1496,'Historico - FAT'!$G:$G,Faturamento!$H1496)</f>
        <v>126.83333333333333</v>
      </c>
      <c r="AE1496" s="27">
        <f>SUMIFS('Historico - FAT'!AN:AN,'Historico - FAT'!$K:$K,Faturamento!$L1496,'Historico - FAT'!$I:$I,Faturamento!$J1496,'Historico - FAT'!$G:$G,Faturamento!$H1496)</f>
        <v>76.099999999999994</v>
      </c>
      <c r="AG1496" s="24">
        <f t="shared" si="348"/>
        <v>1</v>
      </c>
      <c r="AH1496" s="24">
        <f t="shared" si="349"/>
        <v>0.90091145833333341</v>
      </c>
      <c r="AI1496" s="24">
        <f t="shared" si="350"/>
        <v>0.80182291666666661</v>
      </c>
    </row>
    <row r="1497" spans="1:35" hidden="1" x14ac:dyDescent="0.3">
      <c r="A1497" s="2" t="str">
        <f t="shared" si="347"/>
        <v>NÃO</v>
      </c>
      <c r="B1497" s="2">
        <v>1000184670</v>
      </c>
      <c r="C1497" s="2" t="s">
        <v>147</v>
      </c>
      <c r="D1497" s="4">
        <v>1000186197</v>
      </c>
      <c r="E1497" s="4" t="s">
        <v>166</v>
      </c>
      <c r="F1497" s="2">
        <v>1000184764</v>
      </c>
      <c r="G1497" s="2" t="s">
        <v>70</v>
      </c>
      <c r="H1497" s="4">
        <v>1000189823</v>
      </c>
      <c r="I1497" s="4" t="s">
        <v>73</v>
      </c>
      <c r="J1497" s="2">
        <v>1000189270</v>
      </c>
      <c r="K1497" s="2" t="s">
        <v>34</v>
      </c>
      <c r="L1497" s="4" t="s">
        <v>21</v>
      </c>
      <c r="M1497" s="4" t="str">
        <f t="shared" si="354"/>
        <v>1000184670100018619710001898231000189270NATURATTA</v>
      </c>
      <c r="N1497" s="28">
        <f>N1486*_xlfn.XLOOKUP($L1497,'Balizador da Meta'!$B$4:$B$21,'Balizador da Meta'!$C$4:$C$21)</f>
        <v>30</v>
      </c>
      <c r="O1497" s="28">
        <f>O1486*_xlfn.XLOOKUP($L1497,'Balizador da Meta'!$B$4:$B$21,'Balizador da Meta'!$C$4:$C$21)</f>
        <v>60</v>
      </c>
      <c r="P1497" s="28">
        <f>P1486*_xlfn.XLOOKUP($L1497,'Balizador da Meta'!$B$4:$B$21,'Balizador da Meta'!$C$4:$C$21)</f>
        <v>60</v>
      </c>
      <c r="Q1497" s="28">
        <f>Q1486*_xlfn.XLOOKUP($L1497,'Balizador da Meta'!$B$4:$B$21,'Balizador da Meta'!$C$4:$C$21)</f>
        <v>60</v>
      </c>
      <c r="R1497" s="28">
        <f>R1486*_xlfn.XLOOKUP($L1497,'Balizador da Meta'!$B$4:$B$21,'Balizador da Meta'!$C$4:$C$21)</f>
        <v>60</v>
      </c>
      <c r="S1497" s="28">
        <f>S1486*_xlfn.XLOOKUP($L1497,'Balizador da Meta'!$B$4:$B$21,'Balizador da Meta'!$C$4:$C$21)</f>
        <v>60</v>
      </c>
      <c r="T1497" s="28">
        <f>T1486*_xlfn.XLOOKUP($L1497,'Balizador da Meta'!$B$4:$B$21,'Balizador da Meta'!$C$4:$C$21)</f>
        <v>90</v>
      </c>
      <c r="U1497" s="28">
        <f>U1486*_xlfn.XLOOKUP($L1497,'Balizador da Meta'!$B$4:$B$21,'Balizador da Meta'!$C$4:$C$21)</f>
        <v>90</v>
      </c>
      <c r="V1497" s="28">
        <f>V1486*_xlfn.XLOOKUP($L1497,'Balizador da Meta'!$B$4:$B$21,'Balizador da Meta'!$C$4:$C$21)</f>
        <v>90</v>
      </c>
      <c r="W1497" s="28">
        <f>W1486*_xlfn.XLOOKUP($L1497,'Balizador da Meta'!$B$4:$B$21,'Balizador da Meta'!$C$4:$C$21)</f>
        <v>90</v>
      </c>
      <c r="X1497" s="28">
        <f>X1486*_xlfn.XLOOKUP($L1497,'Balizador da Meta'!$B$4:$B$21,'Balizador da Meta'!$C$4:$C$21)</f>
        <v>90</v>
      </c>
      <c r="Y1497" s="28">
        <f>Y1486*_xlfn.XLOOKUP($L1497,'Balizador da Meta'!$B$4:$B$21,'Balizador da Meta'!$C$4:$C$21)</f>
        <v>120</v>
      </c>
      <c r="Z1497" s="30">
        <f t="shared" si="357"/>
        <v>900</v>
      </c>
      <c r="AA1497" s="29"/>
      <c r="AB1497" s="31">
        <f>SUMIFS('Historico - FAT'!AK:AK,'Historico - FAT'!$K:$K,Faturamento!$L1497,'Historico - FAT'!$I:$I,Faturamento!$J1497,'Historico - FAT'!$G:$G,Faturamento!$H1497)</f>
        <v>0</v>
      </c>
      <c r="AC1497" s="31">
        <f>SUMIFS('Historico - FAT'!AL:AL,'Historico - FAT'!$K:$K,Faturamento!$L1497,'Historico - FAT'!$I:$I,Faturamento!$J1497,'Historico - FAT'!$G:$G,Faturamento!$H1497)</f>
        <v>0</v>
      </c>
      <c r="AD1497" s="31">
        <f>SUMIFS('Historico - FAT'!AM:AM,'Historico - FAT'!$K:$K,Faturamento!$L1497,'Historico - FAT'!$I:$I,Faturamento!$J1497,'Historico - FAT'!$G:$G,Faturamento!$H1497)</f>
        <v>0</v>
      </c>
      <c r="AE1497" s="27">
        <f>SUMIFS('Historico - FAT'!AN:AN,'Historico - FAT'!$K:$K,Faturamento!$L1497,'Historico - FAT'!$I:$I,Faturamento!$J1497,'Historico - FAT'!$G:$G,Faturamento!$H1497)</f>
        <v>0</v>
      </c>
      <c r="AG1497" s="24">
        <f t="shared" si="348"/>
        <v>1</v>
      </c>
      <c r="AH1497" s="24">
        <f t="shared" si="349"/>
        <v>1</v>
      </c>
      <c r="AI1497" s="24">
        <f t="shared" si="350"/>
        <v>1</v>
      </c>
    </row>
    <row r="1498" spans="1:35" hidden="1" x14ac:dyDescent="0.3">
      <c r="A1498" s="2" t="str">
        <f t="shared" si="347"/>
        <v>NÃO</v>
      </c>
      <c r="B1498" s="2">
        <v>1000184670</v>
      </c>
      <c r="C1498" s="2" t="s">
        <v>147</v>
      </c>
      <c r="D1498" s="4">
        <v>1000186197</v>
      </c>
      <c r="E1498" s="4" t="s">
        <v>166</v>
      </c>
      <c r="F1498" s="2">
        <v>1000184764</v>
      </c>
      <c r="G1498" s="2" t="s">
        <v>70</v>
      </c>
      <c r="H1498" s="4">
        <v>1000189823</v>
      </c>
      <c r="I1498" s="4" t="s">
        <v>73</v>
      </c>
      <c r="J1498" s="2">
        <v>1000189270</v>
      </c>
      <c r="K1498" s="2" t="s">
        <v>34</v>
      </c>
      <c r="L1498" s="4" t="s">
        <v>20</v>
      </c>
      <c r="M1498" s="4" t="str">
        <f t="shared" si="354"/>
        <v>1000184670100018619710001898231000189270REEMBALADOS</v>
      </c>
      <c r="N1498" s="28">
        <f>N1486*_xlfn.XLOOKUP($L1498,'Balizador da Meta'!$B$4:$B$21,'Balizador da Meta'!$C$4:$C$21)</f>
        <v>24</v>
      </c>
      <c r="O1498" s="28">
        <f>O1486*_xlfn.XLOOKUP($L1498,'Balizador da Meta'!$B$4:$B$21,'Balizador da Meta'!$C$4:$C$21)</f>
        <v>48</v>
      </c>
      <c r="P1498" s="28">
        <f>P1486*_xlfn.XLOOKUP($L1498,'Balizador da Meta'!$B$4:$B$21,'Balizador da Meta'!$C$4:$C$21)</f>
        <v>48</v>
      </c>
      <c r="Q1498" s="28">
        <f>Q1486*_xlfn.XLOOKUP($L1498,'Balizador da Meta'!$B$4:$B$21,'Balizador da Meta'!$C$4:$C$21)</f>
        <v>48</v>
      </c>
      <c r="R1498" s="28">
        <f>R1486*_xlfn.XLOOKUP($L1498,'Balizador da Meta'!$B$4:$B$21,'Balizador da Meta'!$C$4:$C$21)</f>
        <v>48</v>
      </c>
      <c r="S1498" s="28">
        <f>S1486*_xlfn.XLOOKUP($L1498,'Balizador da Meta'!$B$4:$B$21,'Balizador da Meta'!$C$4:$C$21)</f>
        <v>48</v>
      </c>
      <c r="T1498" s="28">
        <f>T1486*_xlfn.XLOOKUP($L1498,'Balizador da Meta'!$B$4:$B$21,'Balizador da Meta'!$C$4:$C$21)</f>
        <v>72</v>
      </c>
      <c r="U1498" s="28">
        <f>U1486*_xlfn.XLOOKUP($L1498,'Balizador da Meta'!$B$4:$B$21,'Balizador da Meta'!$C$4:$C$21)</f>
        <v>72</v>
      </c>
      <c r="V1498" s="28">
        <f>V1486*_xlfn.XLOOKUP($L1498,'Balizador da Meta'!$B$4:$B$21,'Balizador da Meta'!$C$4:$C$21)</f>
        <v>72</v>
      </c>
      <c r="W1498" s="28">
        <f>W1486*_xlfn.XLOOKUP($L1498,'Balizador da Meta'!$B$4:$B$21,'Balizador da Meta'!$C$4:$C$21)</f>
        <v>72</v>
      </c>
      <c r="X1498" s="28">
        <f>X1486*_xlfn.XLOOKUP($L1498,'Balizador da Meta'!$B$4:$B$21,'Balizador da Meta'!$C$4:$C$21)</f>
        <v>72</v>
      </c>
      <c r="Y1498" s="28">
        <f>Y1486*_xlfn.XLOOKUP($L1498,'Balizador da Meta'!$B$4:$B$21,'Balizador da Meta'!$C$4:$C$21)</f>
        <v>96</v>
      </c>
      <c r="Z1498" s="30">
        <f t="shared" si="357"/>
        <v>720</v>
      </c>
      <c r="AA1498" s="29"/>
      <c r="AB1498" s="31">
        <f>SUMIFS('Historico - FAT'!AK:AK,'Historico - FAT'!$K:$K,Faturamento!$L1498,'Historico - FAT'!$I:$I,Faturamento!$J1498,'Historico - FAT'!$G:$G,Faturamento!$H1498)</f>
        <v>0</v>
      </c>
      <c r="AC1498" s="31">
        <f>SUMIFS('Historico - FAT'!AL:AL,'Historico - FAT'!$K:$K,Faturamento!$L1498,'Historico - FAT'!$I:$I,Faturamento!$J1498,'Historico - FAT'!$G:$G,Faturamento!$H1498)</f>
        <v>0</v>
      </c>
      <c r="AD1498" s="31">
        <f>SUMIFS('Historico - FAT'!AM:AM,'Historico - FAT'!$K:$K,Faturamento!$L1498,'Historico - FAT'!$I:$I,Faturamento!$J1498,'Historico - FAT'!$G:$G,Faturamento!$H1498)</f>
        <v>0</v>
      </c>
      <c r="AE1498" s="27">
        <f>SUMIFS('Historico - FAT'!AN:AN,'Historico - FAT'!$K:$K,Faturamento!$L1498,'Historico - FAT'!$I:$I,Faturamento!$J1498,'Historico - FAT'!$G:$G,Faturamento!$H1498)</f>
        <v>0</v>
      </c>
      <c r="AG1498" s="24">
        <f t="shared" si="348"/>
        <v>1</v>
      </c>
      <c r="AH1498" s="24">
        <f t="shared" si="349"/>
        <v>1</v>
      </c>
      <c r="AI1498" s="24">
        <f t="shared" si="350"/>
        <v>1</v>
      </c>
    </row>
    <row r="1499" spans="1:35" hidden="1" x14ac:dyDescent="0.3">
      <c r="A1499" s="2" t="str">
        <f t="shared" si="347"/>
        <v>NÃO</v>
      </c>
      <c r="B1499" s="2">
        <v>1000184670</v>
      </c>
      <c r="C1499" s="2" t="s">
        <v>147</v>
      </c>
      <c r="D1499" s="4">
        <v>1000186197</v>
      </c>
      <c r="E1499" s="4" t="s">
        <v>166</v>
      </c>
      <c r="F1499" s="2">
        <v>1000184764</v>
      </c>
      <c r="G1499" s="2" t="s">
        <v>70</v>
      </c>
      <c r="H1499" s="4">
        <v>1000189823</v>
      </c>
      <c r="I1499" s="4" t="s">
        <v>73</v>
      </c>
      <c r="J1499" s="2">
        <v>1000189270</v>
      </c>
      <c r="K1499" s="2" t="s">
        <v>34</v>
      </c>
      <c r="L1499" s="4" t="s">
        <v>22</v>
      </c>
      <c r="M1499" s="4" t="str">
        <f t="shared" si="354"/>
        <v>1000184670100018619710001898231000189270S GLUTEN</v>
      </c>
      <c r="N1499" s="28">
        <f>N1486*_xlfn.XLOOKUP($L1499,'Balizador da Meta'!$B$4:$B$21,'Balizador da Meta'!$C$4:$C$21)</f>
        <v>24</v>
      </c>
      <c r="O1499" s="28">
        <f>O1486*_xlfn.XLOOKUP($L1499,'Balizador da Meta'!$B$4:$B$21,'Balizador da Meta'!$C$4:$C$21)</f>
        <v>48</v>
      </c>
      <c r="P1499" s="28">
        <f>P1486*_xlfn.XLOOKUP($L1499,'Balizador da Meta'!$B$4:$B$21,'Balizador da Meta'!$C$4:$C$21)</f>
        <v>48</v>
      </c>
      <c r="Q1499" s="28">
        <f>Q1486*_xlfn.XLOOKUP($L1499,'Balizador da Meta'!$B$4:$B$21,'Balizador da Meta'!$C$4:$C$21)</f>
        <v>48</v>
      </c>
      <c r="R1499" s="28">
        <f>R1486*_xlfn.XLOOKUP($L1499,'Balizador da Meta'!$B$4:$B$21,'Balizador da Meta'!$C$4:$C$21)</f>
        <v>48</v>
      </c>
      <c r="S1499" s="28">
        <f>S1486*_xlfn.XLOOKUP($L1499,'Balizador da Meta'!$B$4:$B$21,'Balizador da Meta'!$C$4:$C$21)</f>
        <v>48</v>
      </c>
      <c r="T1499" s="28">
        <f>T1486*_xlfn.XLOOKUP($L1499,'Balizador da Meta'!$B$4:$B$21,'Balizador da Meta'!$C$4:$C$21)</f>
        <v>72</v>
      </c>
      <c r="U1499" s="28">
        <f>U1486*_xlfn.XLOOKUP($L1499,'Balizador da Meta'!$B$4:$B$21,'Balizador da Meta'!$C$4:$C$21)</f>
        <v>72</v>
      </c>
      <c r="V1499" s="28">
        <f>V1486*_xlfn.XLOOKUP($L1499,'Balizador da Meta'!$B$4:$B$21,'Balizador da Meta'!$C$4:$C$21)</f>
        <v>72</v>
      </c>
      <c r="W1499" s="28">
        <f>W1486*_xlfn.XLOOKUP($L1499,'Balizador da Meta'!$B$4:$B$21,'Balizador da Meta'!$C$4:$C$21)</f>
        <v>72</v>
      </c>
      <c r="X1499" s="28">
        <f>X1486*_xlfn.XLOOKUP($L1499,'Balizador da Meta'!$B$4:$B$21,'Balizador da Meta'!$C$4:$C$21)</f>
        <v>72</v>
      </c>
      <c r="Y1499" s="28">
        <f>Y1486*_xlfn.XLOOKUP($L1499,'Balizador da Meta'!$B$4:$B$21,'Balizador da Meta'!$C$4:$C$21)</f>
        <v>96</v>
      </c>
      <c r="Z1499" s="30">
        <f t="shared" si="357"/>
        <v>720</v>
      </c>
      <c r="AA1499" s="29"/>
      <c r="AB1499" s="31">
        <f>SUMIFS('Historico - FAT'!AK:AK,'Historico - FAT'!$K:$K,Faturamento!$L1499,'Historico - FAT'!$I:$I,Faturamento!$J1499,'Historico - FAT'!$G:$G,Faturamento!$H1499)</f>
        <v>0</v>
      </c>
      <c r="AC1499" s="31">
        <f>SUMIFS('Historico - FAT'!AL:AL,'Historico - FAT'!$K:$K,Faturamento!$L1499,'Historico - FAT'!$I:$I,Faturamento!$J1499,'Historico - FAT'!$G:$G,Faturamento!$H1499)</f>
        <v>0</v>
      </c>
      <c r="AD1499" s="31">
        <f>SUMIFS('Historico - FAT'!AM:AM,'Historico - FAT'!$K:$K,Faturamento!$L1499,'Historico - FAT'!$I:$I,Faturamento!$J1499,'Historico - FAT'!$G:$G,Faturamento!$H1499)</f>
        <v>0</v>
      </c>
      <c r="AE1499" s="27">
        <f>SUMIFS('Historico - FAT'!AN:AN,'Historico - FAT'!$K:$K,Faturamento!$L1499,'Historico - FAT'!$I:$I,Faturamento!$J1499,'Historico - FAT'!$G:$G,Faturamento!$H1499)</f>
        <v>0</v>
      </c>
      <c r="AG1499" s="24">
        <f t="shared" si="348"/>
        <v>1</v>
      </c>
      <c r="AH1499" s="24">
        <f t="shared" si="349"/>
        <v>1</v>
      </c>
      <c r="AI1499" s="24">
        <f t="shared" si="350"/>
        <v>1</v>
      </c>
    </row>
    <row r="1500" spans="1:35" hidden="1" x14ac:dyDescent="0.3">
      <c r="A1500" s="2" t="str">
        <f t="shared" si="347"/>
        <v>NÃO</v>
      </c>
      <c r="B1500" s="2">
        <v>1000184670</v>
      </c>
      <c r="C1500" s="2" t="s">
        <v>147</v>
      </c>
      <c r="D1500" s="4">
        <v>1000186197</v>
      </c>
      <c r="E1500" s="4" t="s">
        <v>166</v>
      </c>
      <c r="F1500" s="2">
        <v>1000184764</v>
      </c>
      <c r="G1500" s="2" t="s">
        <v>70</v>
      </c>
      <c r="H1500" s="4">
        <v>1000189823</v>
      </c>
      <c r="I1500" s="4" t="s">
        <v>73</v>
      </c>
      <c r="J1500" s="2">
        <v>1000189270</v>
      </c>
      <c r="K1500" s="2" t="s">
        <v>34</v>
      </c>
      <c r="L1500" s="4" t="s">
        <v>23</v>
      </c>
      <c r="M1500" s="4" t="str">
        <f t="shared" si="354"/>
        <v>1000184670100018619710001898231000189270SABORES DO CAMPO</v>
      </c>
      <c r="N1500" s="28">
        <f>N1486*_xlfn.XLOOKUP($L1500,'Balizador da Meta'!$B$4:$B$21,'Balizador da Meta'!$C$4:$C$21)</f>
        <v>0</v>
      </c>
      <c r="O1500" s="28">
        <f>O1486*_xlfn.XLOOKUP($L1500,'Balizador da Meta'!$B$4:$B$21,'Balizador da Meta'!$C$4:$C$21)</f>
        <v>0</v>
      </c>
      <c r="P1500" s="28">
        <f>P1486*_xlfn.XLOOKUP($L1500,'Balizador da Meta'!$B$4:$B$21,'Balizador da Meta'!$C$4:$C$21)</f>
        <v>0</v>
      </c>
      <c r="Q1500" s="28">
        <f>Q1486*_xlfn.XLOOKUP($L1500,'Balizador da Meta'!$B$4:$B$21,'Balizador da Meta'!$C$4:$C$21)</f>
        <v>0</v>
      </c>
      <c r="R1500" s="28">
        <f>R1486*_xlfn.XLOOKUP($L1500,'Balizador da Meta'!$B$4:$B$21,'Balizador da Meta'!$C$4:$C$21)</f>
        <v>0</v>
      </c>
      <c r="S1500" s="28">
        <f>S1486*_xlfn.XLOOKUP($L1500,'Balizador da Meta'!$B$4:$B$21,'Balizador da Meta'!$C$4:$C$21)</f>
        <v>0</v>
      </c>
      <c r="T1500" s="28">
        <f>T1486*_xlfn.XLOOKUP($L1500,'Balizador da Meta'!$B$4:$B$21,'Balizador da Meta'!$C$4:$C$21)</f>
        <v>0</v>
      </c>
      <c r="U1500" s="28">
        <f>U1486*_xlfn.XLOOKUP($L1500,'Balizador da Meta'!$B$4:$B$21,'Balizador da Meta'!$C$4:$C$21)</f>
        <v>0</v>
      </c>
      <c r="V1500" s="28">
        <f>V1486*_xlfn.XLOOKUP($L1500,'Balizador da Meta'!$B$4:$B$21,'Balizador da Meta'!$C$4:$C$21)</f>
        <v>0</v>
      </c>
      <c r="W1500" s="28">
        <f>W1486*_xlfn.XLOOKUP($L1500,'Balizador da Meta'!$B$4:$B$21,'Balizador da Meta'!$C$4:$C$21)</f>
        <v>0</v>
      </c>
      <c r="X1500" s="28">
        <f>X1486*_xlfn.XLOOKUP($L1500,'Balizador da Meta'!$B$4:$B$21,'Balizador da Meta'!$C$4:$C$21)</f>
        <v>0</v>
      </c>
      <c r="Y1500" s="28">
        <f>Y1486*_xlfn.XLOOKUP($L1500,'Balizador da Meta'!$B$4:$B$21,'Balizador da Meta'!$C$4:$C$21)</f>
        <v>0</v>
      </c>
      <c r="Z1500" s="30">
        <f t="shared" si="357"/>
        <v>0</v>
      </c>
      <c r="AA1500" s="29"/>
      <c r="AB1500" s="31">
        <f>SUMIFS('Historico - FAT'!AK:AK,'Historico - FAT'!$K:$K,Faturamento!$L1500,'Historico - FAT'!$I:$I,Faturamento!$J1500,'Historico - FAT'!$G:$G,Faturamento!$H1500)</f>
        <v>0</v>
      </c>
      <c r="AC1500" s="31">
        <f>SUMIFS('Historico - FAT'!AL:AL,'Historico - FAT'!$K:$K,Faturamento!$L1500,'Historico - FAT'!$I:$I,Faturamento!$J1500,'Historico - FAT'!$G:$G,Faturamento!$H1500)</f>
        <v>0</v>
      </c>
      <c r="AD1500" s="31">
        <f>SUMIFS('Historico - FAT'!AM:AM,'Historico - FAT'!$K:$K,Faturamento!$L1500,'Historico - FAT'!$I:$I,Faturamento!$J1500,'Historico - FAT'!$G:$G,Faturamento!$H1500)</f>
        <v>0</v>
      </c>
      <c r="AE1500" s="27">
        <f>SUMIFS('Historico - FAT'!AN:AN,'Historico - FAT'!$K:$K,Faturamento!$L1500,'Historico - FAT'!$I:$I,Faturamento!$J1500,'Historico - FAT'!$G:$G,Faturamento!$H1500)</f>
        <v>0</v>
      </c>
      <c r="AG1500" s="24" t="str">
        <f t="shared" si="348"/>
        <v/>
      </c>
      <c r="AH1500" s="24" t="str">
        <f t="shared" si="349"/>
        <v/>
      </c>
      <c r="AI1500" s="24" t="str">
        <f t="shared" si="350"/>
        <v/>
      </c>
    </row>
    <row r="1501" spans="1:35" hidden="1" x14ac:dyDescent="0.3">
      <c r="A1501" s="2" t="str">
        <f t="shared" si="347"/>
        <v>NÃO</v>
      </c>
      <c r="B1501" s="2">
        <v>1000184670</v>
      </c>
      <c r="C1501" s="2" t="s">
        <v>147</v>
      </c>
      <c r="D1501" s="4">
        <v>1000186197</v>
      </c>
      <c r="E1501" s="4" t="s">
        <v>166</v>
      </c>
      <c r="F1501" s="2">
        <v>1000184764</v>
      </c>
      <c r="G1501" s="2" t="s">
        <v>70</v>
      </c>
      <c r="H1501" s="4">
        <v>1000189823</v>
      </c>
      <c r="I1501" s="4" t="s">
        <v>73</v>
      </c>
      <c r="J1501" s="2">
        <v>1000189270</v>
      </c>
      <c r="K1501" s="2" t="s">
        <v>34</v>
      </c>
      <c r="L1501" s="4" t="s">
        <v>28</v>
      </c>
      <c r="M1501" s="4" t="str">
        <f t="shared" si="354"/>
        <v>1000184670100018619710001898231000189270SAL</v>
      </c>
      <c r="N1501" s="28">
        <f>N1486*_xlfn.XLOOKUP($L1501,'Balizador da Meta'!$B$4:$B$21,'Balizador da Meta'!$C$4:$C$21)</f>
        <v>12</v>
      </c>
      <c r="O1501" s="28">
        <f>O1486*_xlfn.XLOOKUP($L1501,'Balizador da Meta'!$B$4:$B$21,'Balizador da Meta'!$C$4:$C$21)</f>
        <v>24</v>
      </c>
      <c r="P1501" s="28">
        <f>P1486*_xlfn.XLOOKUP($L1501,'Balizador da Meta'!$B$4:$B$21,'Balizador da Meta'!$C$4:$C$21)</f>
        <v>24</v>
      </c>
      <c r="Q1501" s="28">
        <f>Q1486*_xlfn.XLOOKUP($L1501,'Balizador da Meta'!$B$4:$B$21,'Balizador da Meta'!$C$4:$C$21)</f>
        <v>24</v>
      </c>
      <c r="R1501" s="28">
        <f>R1486*_xlfn.XLOOKUP($L1501,'Balizador da Meta'!$B$4:$B$21,'Balizador da Meta'!$C$4:$C$21)</f>
        <v>24</v>
      </c>
      <c r="S1501" s="28">
        <f>S1486*_xlfn.XLOOKUP($L1501,'Balizador da Meta'!$B$4:$B$21,'Balizador da Meta'!$C$4:$C$21)</f>
        <v>24</v>
      </c>
      <c r="T1501" s="28">
        <f>T1486*_xlfn.XLOOKUP($L1501,'Balizador da Meta'!$B$4:$B$21,'Balizador da Meta'!$C$4:$C$21)</f>
        <v>36</v>
      </c>
      <c r="U1501" s="28">
        <f>U1486*_xlfn.XLOOKUP($L1501,'Balizador da Meta'!$B$4:$B$21,'Balizador da Meta'!$C$4:$C$21)</f>
        <v>36</v>
      </c>
      <c r="V1501" s="28">
        <f>V1486*_xlfn.XLOOKUP($L1501,'Balizador da Meta'!$B$4:$B$21,'Balizador da Meta'!$C$4:$C$21)</f>
        <v>36</v>
      </c>
      <c r="W1501" s="28">
        <f>W1486*_xlfn.XLOOKUP($L1501,'Balizador da Meta'!$B$4:$B$21,'Balizador da Meta'!$C$4:$C$21)</f>
        <v>36</v>
      </c>
      <c r="X1501" s="28">
        <f>X1486*_xlfn.XLOOKUP($L1501,'Balizador da Meta'!$B$4:$B$21,'Balizador da Meta'!$C$4:$C$21)</f>
        <v>36</v>
      </c>
      <c r="Y1501" s="28">
        <f>Y1486*_xlfn.XLOOKUP($L1501,'Balizador da Meta'!$B$4:$B$21,'Balizador da Meta'!$C$4:$C$21)</f>
        <v>48</v>
      </c>
      <c r="Z1501" s="30">
        <f t="shared" si="357"/>
        <v>360</v>
      </c>
      <c r="AA1501" s="29"/>
      <c r="AB1501" s="31">
        <f>SUMIFS('Historico - FAT'!AK:AK,'Historico - FAT'!$K:$K,Faturamento!$L1501,'Historico - FAT'!$I:$I,Faturamento!$J1501,'Historico - FAT'!$G:$G,Faturamento!$H1501)</f>
        <v>0</v>
      </c>
      <c r="AC1501" s="31">
        <f>SUMIFS('Historico - FAT'!AL:AL,'Historico - FAT'!$K:$K,Faturamento!$L1501,'Historico - FAT'!$I:$I,Faturamento!$J1501,'Historico - FAT'!$G:$G,Faturamento!$H1501)</f>
        <v>0</v>
      </c>
      <c r="AD1501" s="31">
        <f>SUMIFS('Historico - FAT'!AM:AM,'Historico - FAT'!$K:$K,Faturamento!$L1501,'Historico - FAT'!$I:$I,Faturamento!$J1501,'Historico - FAT'!$G:$G,Faturamento!$H1501)</f>
        <v>0</v>
      </c>
      <c r="AE1501" s="27">
        <f>SUMIFS('Historico - FAT'!AN:AN,'Historico - FAT'!$K:$K,Faturamento!$L1501,'Historico - FAT'!$I:$I,Faturamento!$J1501,'Historico - FAT'!$G:$G,Faturamento!$H1501)</f>
        <v>0</v>
      </c>
      <c r="AG1501" s="24">
        <f t="shared" si="348"/>
        <v>1</v>
      </c>
      <c r="AH1501" s="24">
        <f t="shared" si="349"/>
        <v>1</v>
      </c>
      <c r="AI1501" s="24">
        <f t="shared" si="350"/>
        <v>1</v>
      </c>
    </row>
    <row r="1502" spans="1:35" hidden="1" x14ac:dyDescent="0.3">
      <c r="A1502" s="2" t="str">
        <f t="shared" si="347"/>
        <v>NÃO</v>
      </c>
      <c r="B1502" s="2">
        <v>1000184670</v>
      </c>
      <c r="C1502" s="2" t="s">
        <v>147</v>
      </c>
      <c r="D1502" s="4">
        <v>1000186197</v>
      </c>
      <c r="E1502" s="4" t="s">
        <v>166</v>
      </c>
      <c r="F1502" s="2">
        <v>1000184764</v>
      </c>
      <c r="G1502" s="2" t="s">
        <v>70</v>
      </c>
      <c r="H1502" s="4">
        <v>1000189823</v>
      </c>
      <c r="I1502" s="4" t="s">
        <v>73</v>
      </c>
      <c r="J1502" s="2">
        <v>1000189270</v>
      </c>
      <c r="K1502" s="2" t="s">
        <v>34</v>
      </c>
      <c r="L1502" s="4" t="s">
        <v>26</v>
      </c>
      <c r="M1502" s="4" t="str">
        <f t="shared" si="354"/>
        <v>1000184670100018619710001898231000189270SOULPRO</v>
      </c>
      <c r="N1502" s="28">
        <f>N1486*_xlfn.XLOOKUP($L1502,'Balizador da Meta'!$B$4:$B$21,'Balizador da Meta'!$C$4:$C$21)</f>
        <v>36</v>
      </c>
      <c r="O1502" s="28">
        <f>O1486*_xlfn.XLOOKUP($L1502,'Balizador da Meta'!$B$4:$B$21,'Balizador da Meta'!$C$4:$C$21)</f>
        <v>72</v>
      </c>
      <c r="P1502" s="28">
        <f>P1486*_xlfn.XLOOKUP($L1502,'Balizador da Meta'!$B$4:$B$21,'Balizador da Meta'!$C$4:$C$21)</f>
        <v>72</v>
      </c>
      <c r="Q1502" s="28">
        <f>Q1486*_xlfn.XLOOKUP($L1502,'Balizador da Meta'!$B$4:$B$21,'Balizador da Meta'!$C$4:$C$21)</f>
        <v>72</v>
      </c>
      <c r="R1502" s="28">
        <f>R1486*_xlfn.XLOOKUP($L1502,'Balizador da Meta'!$B$4:$B$21,'Balizador da Meta'!$C$4:$C$21)</f>
        <v>72</v>
      </c>
      <c r="S1502" s="28">
        <f>S1486*_xlfn.XLOOKUP($L1502,'Balizador da Meta'!$B$4:$B$21,'Balizador da Meta'!$C$4:$C$21)</f>
        <v>72</v>
      </c>
      <c r="T1502" s="28">
        <f>T1486*_xlfn.XLOOKUP($L1502,'Balizador da Meta'!$B$4:$B$21,'Balizador da Meta'!$C$4:$C$21)</f>
        <v>108</v>
      </c>
      <c r="U1502" s="28">
        <f>U1486*_xlfn.XLOOKUP($L1502,'Balizador da Meta'!$B$4:$B$21,'Balizador da Meta'!$C$4:$C$21)</f>
        <v>108</v>
      </c>
      <c r="V1502" s="28">
        <f>V1486*_xlfn.XLOOKUP($L1502,'Balizador da Meta'!$B$4:$B$21,'Balizador da Meta'!$C$4:$C$21)</f>
        <v>108</v>
      </c>
      <c r="W1502" s="28">
        <f>W1486*_xlfn.XLOOKUP($L1502,'Balizador da Meta'!$B$4:$B$21,'Balizador da Meta'!$C$4:$C$21)</f>
        <v>108</v>
      </c>
      <c r="X1502" s="28">
        <f>X1486*_xlfn.XLOOKUP($L1502,'Balizador da Meta'!$B$4:$B$21,'Balizador da Meta'!$C$4:$C$21)</f>
        <v>108</v>
      </c>
      <c r="Y1502" s="28">
        <f>Y1486*_xlfn.XLOOKUP($L1502,'Balizador da Meta'!$B$4:$B$21,'Balizador da Meta'!$C$4:$C$21)</f>
        <v>144</v>
      </c>
      <c r="Z1502" s="30">
        <f t="shared" si="357"/>
        <v>1080</v>
      </c>
      <c r="AA1502" s="29"/>
      <c r="AB1502" s="31">
        <f>SUMIFS('Historico - FAT'!AK:AK,'Historico - FAT'!$K:$K,Faturamento!$L1502,'Historico - FAT'!$I:$I,Faturamento!$J1502,'Historico - FAT'!$G:$G,Faturamento!$H1502)</f>
        <v>0</v>
      </c>
      <c r="AC1502" s="31">
        <f>SUMIFS('Historico - FAT'!AL:AL,'Historico - FAT'!$K:$K,Faturamento!$L1502,'Historico - FAT'!$I:$I,Faturamento!$J1502,'Historico - FAT'!$G:$G,Faturamento!$H1502)</f>
        <v>0</v>
      </c>
      <c r="AD1502" s="31">
        <f>SUMIFS('Historico - FAT'!AM:AM,'Historico - FAT'!$K:$K,Faturamento!$L1502,'Historico - FAT'!$I:$I,Faturamento!$J1502,'Historico - FAT'!$G:$G,Faturamento!$H1502)</f>
        <v>0</v>
      </c>
      <c r="AE1502" s="27">
        <f>SUMIFS('Historico - FAT'!AN:AN,'Historico - FAT'!$K:$K,Faturamento!$L1502,'Historico - FAT'!$I:$I,Faturamento!$J1502,'Historico - FAT'!$G:$G,Faturamento!$H1502)</f>
        <v>0</v>
      </c>
      <c r="AG1502" s="24">
        <f t="shared" si="348"/>
        <v>1</v>
      </c>
      <c r="AH1502" s="24">
        <f t="shared" si="349"/>
        <v>1</v>
      </c>
      <c r="AI1502" s="24">
        <f t="shared" si="350"/>
        <v>1</v>
      </c>
    </row>
    <row r="1503" spans="1:35" hidden="1" x14ac:dyDescent="0.3">
      <c r="A1503" s="2" t="str">
        <f t="shared" si="347"/>
        <v>NÃO</v>
      </c>
      <c r="B1503" s="2">
        <v>1000184670</v>
      </c>
      <c r="C1503" s="2" t="s">
        <v>147</v>
      </c>
      <c r="D1503" s="4">
        <v>1000186197</v>
      </c>
      <c r="E1503" s="4" t="s">
        <v>166</v>
      </c>
      <c r="F1503" s="2">
        <v>1000184764</v>
      </c>
      <c r="G1503" s="2" t="s">
        <v>70</v>
      </c>
      <c r="H1503" s="4">
        <v>1000189823</v>
      </c>
      <c r="I1503" s="4" t="s">
        <v>73</v>
      </c>
      <c r="J1503" s="2">
        <v>1000189270</v>
      </c>
      <c r="K1503" s="2" t="s">
        <v>34</v>
      </c>
      <c r="L1503" s="4" t="s">
        <v>27</v>
      </c>
      <c r="M1503" s="4" t="str">
        <f t="shared" si="354"/>
        <v>1000184670100018619710001898231000189270TAMARA</v>
      </c>
      <c r="N1503" s="28">
        <f>N1486*_xlfn.XLOOKUP($L1503,'Balizador da Meta'!$B$4:$B$21,'Balizador da Meta'!$C$4:$C$21)</f>
        <v>48</v>
      </c>
      <c r="O1503" s="28">
        <f>O1486*_xlfn.XLOOKUP($L1503,'Balizador da Meta'!$B$4:$B$21,'Balizador da Meta'!$C$4:$C$21)</f>
        <v>96</v>
      </c>
      <c r="P1503" s="28">
        <f>P1486*_xlfn.XLOOKUP($L1503,'Balizador da Meta'!$B$4:$B$21,'Balizador da Meta'!$C$4:$C$21)</f>
        <v>96</v>
      </c>
      <c r="Q1503" s="28">
        <f>Q1486*_xlfn.XLOOKUP($L1503,'Balizador da Meta'!$B$4:$B$21,'Balizador da Meta'!$C$4:$C$21)</f>
        <v>96</v>
      </c>
      <c r="R1503" s="28">
        <f>R1486*_xlfn.XLOOKUP($L1503,'Balizador da Meta'!$B$4:$B$21,'Balizador da Meta'!$C$4:$C$21)</f>
        <v>96</v>
      </c>
      <c r="S1503" s="28">
        <f>S1486*_xlfn.XLOOKUP($L1503,'Balizador da Meta'!$B$4:$B$21,'Balizador da Meta'!$C$4:$C$21)</f>
        <v>96</v>
      </c>
      <c r="T1503" s="28">
        <f>T1486*_xlfn.XLOOKUP($L1503,'Balizador da Meta'!$B$4:$B$21,'Balizador da Meta'!$C$4:$C$21)</f>
        <v>144</v>
      </c>
      <c r="U1503" s="28">
        <f>U1486*_xlfn.XLOOKUP($L1503,'Balizador da Meta'!$B$4:$B$21,'Balizador da Meta'!$C$4:$C$21)</f>
        <v>144</v>
      </c>
      <c r="V1503" s="28">
        <f>V1486*_xlfn.XLOOKUP($L1503,'Balizador da Meta'!$B$4:$B$21,'Balizador da Meta'!$C$4:$C$21)</f>
        <v>144</v>
      </c>
      <c r="W1503" s="28">
        <f>W1486*_xlfn.XLOOKUP($L1503,'Balizador da Meta'!$B$4:$B$21,'Balizador da Meta'!$C$4:$C$21)</f>
        <v>144</v>
      </c>
      <c r="X1503" s="28">
        <f>X1486*_xlfn.XLOOKUP($L1503,'Balizador da Meta'!$B$4:$B$21,'Balizador da Meta'!$C$4:$C$21)</f>
        <v>144</v>
      </c>
      <c r="Y1503" s="28">
        <f>Y1486*_xlfn.XLOOKUP($L1503,'Balizador da Meta'!$B$4:$B$21,'Balizador da Meta'!$C$4:$C$21)</f>
        <v>192</v>
      </c>
      <c r="Z1503" s="30">
        <f t="shared" si="357"/>
        <v>1440</v>
      </c>
      <c r="AA1503" s="29"/>
      <c r="AB1503" s="31">
        <f>SUMIFS('Historico - FAT'!AK:AK,'Historico - FAT'!$K:$K,Faturamento!$L1503,'Historico - FAT'!$I:$I,Faturamento!$J1503,'Historico - FAT'!$G:$G,Faturamento!$H1503)</f>
        <v>0</v>
      </c>
      <c r="AC1503" s="31">
        <f>SUMIFS('Historico - FAT'!AL:AL,'Historico - FAT'!$K:$K,Faturamento!$L1503,'Historico - FAT'!$I:$I,Faturamento!$J1503,'Historico - FAT'!$G:$G,Faturamento!$H1503)</f>
        <v>0</v>
      </c>
      <c r="AD1503" s="31">
        <f>SUMIFS('Historico - FAT'!AM:AM,'Historico - FAT'!$K:$K,Faturamento!$L1503,'Historico - FAT'!$I:$I,Faturamento!$J1503,'Historico - FAT'!$G:$G,Faturamento!$H1503)</f>
        <v>0</v>
      </c>
      <c r="AE1503" s="27">
        <f>SUMIFS('Historico - FAT'!AN:AN,'Historico - FAT'!$K:$K,Faturamento!$L1503,'Historico - FAT'!$I:$I,Faturamento!$J1503,'Historico - FAT'!$G:$G,Faturamento!$H1503)</f>
        <v>0</v>
      </c>
      <c r="AG1503" s="24">
        <f t="shared" si="348"/>
        <v>1</v>
      </c>
      <c r="AH1503" s="24">
        <f t="shared" si="349"/>
        <v>1</v>
      </c>
      <c r="AI1503" s="24">
        <f t="shared" si="350"/>
        <v>1</v>
      </c>
    </row>
    <row r="1504" spans="1:35" hidden="1" x14ac:dyDescent="0.3">
      <c r="A1504" s="2" t="str">
        <f t="shared" si="347"/>
        <v>NÃO</v>
      </c>
      <c r="B1504" s="2">
        <v>1000184670</v>
      </c>
      <c r="C1504" s="2" t="s">
        <v>147</v>
      </c>
      <c r="D1504" s="4">
        <v>1000186197</v>
      </c>
      <c r="E1504" s="4" t="s">
        <v>166</v>
      </c>
      <c r="F1504" s="2">
        <v>1000184764</v>
      </c>
      <c r="G1504" s="2" t="s">
        <v>70</v>
      </c>
      <c r="H1504" s="4">
        <v>1000189823</v>
      </c>
      <c r="I1504" s="4" t="s">
        <v>73</v>
      </c>
      <c r="J1504" s="2">
        <v>1000189270</v>
      </c>
      <c r="K1504" s="2" t="s">
        <v>34</v>
      </c>
      <c r="L1504" s="4" t="s">
        <v>25</v>
      </c>
      <c r="M1504" s="4" t="str">
        <f t="shared" si="354"/>
        <v>1000184670100018619710001898231000189270VICCIO</v>
      </c>
      <c r="N1504" s="28">
        <f>N1486*_xlfn.XLOOKUP($L1504,'Balizador da Meta'!$B$4:$B$21,'Balizador da Meta'!$C$4:$C$21)</f>
        <v>18</v>
      </c>
      <c r="O1504" s="28">
        <f>O1486*_xlfn.XLOOKUP($L1504,'Balizador da Meta'!$B$4:$B$21,'Balizador da Meta'!$C$4:$C$21)</f>
        <v>36</v>
      </c>
      <c r="P1504" s="28">
        <f>P1486*_xlfn.XLOOKUP($L1504,'Balizador da Meta'!$B$4:$B$21,'Balizador da Meta'!$C$4:$C$21)</f>
        <v>36</v>
      </c>
      <c r="Q1504" s="28">
        <f>Q1486*_xlfn.XLOOKUP($L1504,'Balizador da Meta'!$B$4:$B$21,'Balizador da Meta'!$C$4:$C$21)</f>
        <v>36</v>
      </c>
      <c r="R1504" s="28">
        <f>R1486*_xlfn.XLOOKUP($L1504,'Balizador da Meta'!$B$4:$B$21,'Balizador da Meta'!$C$4:$C$21)</f>
        <v>36</v>
      </c>
      <c r="S1504" s="28">
        <f>S1486*_xlfn.XLOOKUP($L1504,'Balizador da Meta'!$B$4:$B$21,'Balizador da Meta'!$C$4:$C$21)</f>
        <v>36</v>
      </c>
      <c r="T1504" s="28">
        <f>T1486*_xlfn.XLOOKUP($L1504,'Balizador da Meta'!$B$4:$B$21,'Balizador da Meta'!$C$4:$C$21)</f>
        <v>54</v>
      </c>
      <c r="U1504" s="28">
        <f>U1486*_xlfn.XLOOKUP($L1504,'Balizador da Meta'!$B$4:$B$21,'Balizador da Meta'!$C$4:$C$21)</f>
        <v>54</v>
      </c>
      <c r="V1504" s="28">
        <f>V1486*_xlfn.XLOOKUP($L1504,'Balizador da Meta'!$B$4:$B$21,'Balizador da Meta'!$C$4:$C$21)</f>
        <v>54</v>
      </c>
      <c r="W1504" s="28">
        <f>W1486*_xlfn.XLOOKUP($L1504,'Balizador da Meta'!$B$4:$B$21,'Balizador da Meta'!$C$4:$C$21)</f>
        <v>54</v>
      </c>
      <c r="X1504" s="28">
        <f>X1486*_xlfn.XLOOKUP($L1504,'Balizador da Meta'!$B$4:$B$21,'Balizador da Meta'!$C$4:$C$21)</f>
        <v>54</v>
      </c>
      <c r="Y1504" s="28">
        <f>Y1486*_xlfn.XLOOKUP($L1504,'Balizador da Meta'!$B$4:$B$21,'Balizador da Meta'!$C$4:$C$21)</f>
        <v>72</v>
      </c>
      <c r="Z1504" s="30">
        <f t="shared" si="357"/>
        <v>540</v>
      </c>
      <c r="AA1504" s="29"/>
      <c r="AB1504" s="31">
        <f>SUMIFS('Historico - FAT'!AK:AK,'Historico - FAT'!$K:$K,Faturamento!$L1504,'Historico - FAT'!$I:$I,Faturamento!$J1504,'Historico - FAT'!$G:$G,Faturamento!$H1504)</f>
        <v>0</v>
      </c>
      <c r="AC1504" s="31">
        <f>SUMIFS('Historico - FAT'!AL:AL,'Historico - FAT'!$K:$K,Faturamento!$L1504,'Historico - FAT'!$I:$I,Faturamento!$J1504,'Historico - FAT'!$G:$G,Faturamento!$H1504)</f>
        <v>3.75</v>
      </c>
      <c r="AD1504" s="31">
        <f>SUMIFS('Historico - FAT'!AM:AM,'Historico - FAT'!$K:$K,Faturamento!$L1504,'Historico - FAT'!$I:$I,Faturamento!$J1504,'Historico - FAT'!$G:$G,Faturamento!$H1504)</f>
        <v>0</v>
      </c>
      <c r="AE1504" s="27">
        <f>SUMIFS('Historico - FAT'!AN:AN,'Historico - FAT'!$K:$K,Faturamento!$L1504,'Historico - FAT'!$I:$I,Faturamento!$J1504,'Historico - FAT'!$G:$G,Faturamento!$H1504)</f>
        <v>4.5</v>
      </c>
      <c r="AG1504" s="24">
        <f t="shared" si="348"/>
        <v>1</v>
      </c>
      <c r="AH1504" s="24">
        <f t="shared" si="349"/>
        <v>0.9375</v>
      </c>
      <c r="AI1504" s="24">
        <f t="shared" si="350"/>
        <v>1</v>
      </c>
    </row>
    <row r="1505" spans="1:35" x14ac:dyDescent="0.3">
      <c r="A1505" s="2" t="str">
        <f t="shared" si="347"/>
        <v>SIM</v>
      </c>
      <c r="B1505" s="2">
        <v>1000184670</v>
      </c>
      <c r="C1505" s="2" t="s">
        <v>147</v>
      </c>
      <c r="D1505" s="4">
        <v>1000186197</v>
      </c>
      <c r="E1505" s="4" t="s">
        <v>166</v>
      </c>
      <c r="F1505" s="2">
        <v>1000184756</v>
      </c>
      <c r="G1505" s="2" t="s">
        <v>53</v>
      </c>
      <c r="H1505" s="4">
        <v>1000189824</v>
      </c>
      <c r="I1505" s="4" t="s">
        <v>100</v>
      </c>
      <c r="J1505" s="2">
        <v>1000189270</v>
      </c>
      <c r="K1505" s="2" t="s">
        <v>34</v>
      </c>
      <c r="L1505" s="4" t="s">
        <v>124</v>
      </c>
      <c r="M1505" s="4" t="str">
        <f t="shared" si="354"/>
        <v>100018467010001861971000189824100018927001. TOTAL</v>
      </c>
      <c r="N1505" s="28">
        <f>SUMIFS(Positivação!L:L,Positivação!$I:$I,Faturamento!$J1505,Positivação!$G:$G,Faturamento!$H1505)*SUMIFS(Positivação!$Z:$Z,Positivação!$I:$I,Faturamento!$J1505,Positivação!$G:$G,Faturamento!$H1505)</f>
        <v>1200</v>
      </c>
      <c r="O1505" s="28">
        <f>SUMIFS(Positivação!M:M,Positivação!$I:$I,Faturamento!$J1505,Positivação!$G:$G,Faturamento!$H1505)*SUMIFS(Positivação!$Z:$Z,Positivação!$I:$I,Faturamento!$J1505,Positivação!$G:$G,Faturamento!$H1505)</f>
        <v>1200</v>
      </c>
      <c r="P1505" s="28">
        <f>SUMIFS(Positivação!N:N,Positivação!$I:$I,Faturamento!$J1505,Positivação!$G:$G,Faturamento!$H1505)*SUMIFS(Positivação!$Z:$Z,Positivação!$I:$I,Faturamento!$J1505,Positivação!$G:$G,Faturamento!$H1505)</f>
        <v>1200</v>
      </c>
      <c r="Q1505" s="28">
        <f>SUMIFS(Positivação!O:O,Positivação!$I:$I,Faturamento!$J1505,Positivação!$G:$G,Faturamento!$H1505)*SUMIFS(Positivação!$Z:$Z,Positivação!$I:$I,Faturamento!$J1505,Positivação!$G:$G,Faturamento!$H1505)</f>
        <v>1200</v>
      </c>
      <c r="R1505" s="28">
        <f>SUMIFS(Positivação!P:P,Positivação!$I:$I,Faturamento!$J1505,Positivação!$G:$G,Faturamento!$H1505)*SUMIFS(Positivação!$Z:$Z,Positivação!$I:$I,Faturamento!$J1505,Positivação!$G:$G,Faturamento!$H1505)</f>
        <v>1200</v>
      </c>
      <c r="S1505" s="28">
        <f>SUMIFS(Positivação!Q:Q,Positivação!$I:$I,Faturamento!$J1505,Positivação!$G:$G,Faturamento!$H1505)*SUMIFS(Positivação!$Z:$Z,Positivação!$I:$I,Faturamento!$J1505,Positivação!$G:$G,Faturamento!$H1505)</f>
        <v>1200</v>
      </c>
      <c r="T1505" s="28">
        <f>SUMIFS(Positivação!R:R,Positivação!$I:$I,Faturamento!$J1505,Positivação!$G:$G,Faturamento!$H1505)*SUMIFS(Positivação!$Z:$Z,Positivação!$I:$I,Faturamento!$J1505,Positivação!$G:$G,Faturamento!$H1505)</f>
        <v>1200</v>
      </c>
      <c r="U1505" s="28">
        <f>SUMIFS(Positivação!S:S,Positivação!$I:$I,Faturamento!$J1505,Positivação!$G:$G,Faturamento!$H1505)*SUMIFS(Positivação!$Z:$Z,Positivação!$I:$I,Faturamento!$J1505,Positivação!$G:$G,Faturamento!$H1505)</f>
        <v>1200</v>
      </c>
      <c r="V1505" s="28">
        <f>SUMIFS(Positivação!T:T,Positivação!$I:$I,Faturamento!$J1505,Positivação!$G:$G,Faturamento!$H1505)*SUMIFS(Positivação!$Z:$Z,Positivação!$I:$I,Faturamento!$J1505,Positivação!$G:$G,Faturamento!$H1505)</f>
        <v>1200</v>
      </c>
      <c r="W1505" s="28">
        <f>SUMIFS(Positivação!U:U,Positivação!$I:$I,Faturamento!$J1505,Positivação!$G:$G,Faturamento!$H1505)*SUMIFS(Positivação!$Z:$Z,Positivação!$I:$I,Faturamento!$J1505,Positivação!$G:$G,Faturamento!$H1505)</f>
        <v>1200</v>
      </c>
      <c r="X1505" s="28">
        <f>SUMIFS(Positivação!V:V,Positivação!$I:$I,Faturamento!$J1505,Positivação!$G:$G,Faturamento!$H1505)*SUMIFS(Positivação!$Z:$Z,Positivação!$I:$I,Faturamento!$J1505,Positivação!$G:$G,Faturamento!$H1505)</f>
        <v>1200</v>
      </c>
      <c r="Y1505" s="28">
        <f>SUMIFS(Positivação!W:W,Positivação!$I:$I,Faturamento!$J1505,Positivação!$G:$G,Faturamento!$H1505)*SUMIFS(Positivação!$Z:$Z,Positivação!$I:$I,Faturamento!$J1505,Positivação!$G:$G,Faturamento!$H1505)</f>
        <v>1200</v>
      </c>
      <c r="Z1505" s="28">
        <f t="shared" ref="Z1505" si="358">SUM(Z1506:Z1523)</f>
        <v>14400</v>
      </c>
      <c r="AA1505" s="29"/>
      <c r="AB1505" s="28">
        <f t="shared" ref="AB1505:AE1505" si="359">SUM(AB1506:AB1523)</f>
        <v>951.45666666666671</v>
      </c>
      <c r="AC1505" s="28">
        <f t="shared" si="359"/>
        <v>1166.9291666666668</v>
      </c>
      <c r="AD1505" s="28">
        <f t="shared" si="359"/>
        <v>1187.6683333333333</v>
      </c>
      <c r="AE1505" s="28">
        <f t="shared" si="359"/>
        <v>1385.365</v>
      </c>
      <c r="AG1505" s="24">
        <f t="shared" si="348"/>
        <v>0.20711944444444441</v>
      </c>
      <c r="AH1505" s="24">
        <f t="shared" si="349"/>
        <v>2.7559027777777675E-2</v>
      </c>
      <c r="AI1505" s="24">
        <f t="shared" si="350"/>
        <v>1.0276388888888922E-2</v>
      </c>
    </row>
    <row r="1506" spans="1:35" hidden="1" x14ac:dyDescent="0.3">
      <c r="A1506" s="2" t="str">
        <f t="shared" si="347"/>
        <v>NÃO</v>
      </c>
      <c r="B1506" s="2">
        <v>1000184670</v>
      </c>
      <c r="C1506" s="2" t="s">
        <v>147</v>
      </c>
      <c r="D1506" s="4">
        <v>1000186197</v>
      </c>
      <c r="E1506" s="4" t="s">
        <v>166</v>
      </c>
      <c r="F1506" s="2">
        <v>1000184756</v>
      </c>
      <c r="G1506" s="2" t="s">
        <v>53</v>
      </c>
      <c r="H1506" s="4">
        <v>1000189824</v>
      </c>
      <c r="I1506" s="4" t="s">
        <v>100</v>
      </c>
      <c r="J1506" s="2">
        <v>1000189270</v>
      </c>
      <c r="K1506" s="2" t="s">
        <v>34</v>
      </c>
      <c r="L1506" s="4" t="s">
        <v>13</v>
      </c>
      <c r="M1506" s="4" t="str">
        <f t="shared" si="354"/>
        <v>1000184670100018619710001898241000189270BISCOITO</v>
      </c>
      <c r="N1506" s="28">
        <f>N1505*_xlfn.XLOOKUP($L1506,'Balizador da Meta'!$B$4:$B$21,'Balizador da Meta'!$C$4:$C$21)</f>
        <v>84.000000000000014</v>
      </c>
      <c r="O1506" s="28">
        <f>O1505*_xlfn.XLOOKUP($L1506,'Balizador da Meta'!$B$4:$B$21,'Balizador da Meta'!$C$4:$C$21)</f>
        <v>84.000000000000014</v>
      </c>
      <c r="P1506" s="28">
        <f>P1505*_xlfn.XLOOKUP($L1506,'Balizador da Meta'!$B$4:$B$21,'Balizador da Meta'!$C$4:$C$21)</f>
        <v>84.000000000000014</v>
      </c>
      <c r="Q1506" s="28">
        <f>Q1505*_xlfn.XLOOKUP($L1506,'Balizador da Meta'!$B$4:$B$21,'Balizador da Meta'!$C$4:$C$21)</f>
        <v>84.000000000000014</v>
      </c>
      <c r="R1506" s="28">
        <f>R1505*_xlfn.XLOOKUP($L1506,'Balizador da Meta'!$B$4:$B$21,'Balizador da Meta'!$C$4:$C$21)</f>
        <v>84.000000000000014</v>
      </c>
      <c r="S1506" s="28">
        <f>S1505*_xlfn.XLOOKUP($L1506,'Balizador da Meta'!$B$4:$B$21,'Balizador da Meta'!$C$4:$C$21)</f>
        <v>84.000000000000014</v>
      </c>
      <c r="T1506" s="28">
        <f>T1505*_xlfn.XLOOKUP($L1506,'Balizador da Meta'!$B$4:$B$21,'Balizador da Meta'!$C$4:$C$21)</f>
        <v>84.000000000000014</v>
      </c>
      <c r="U1506" s="28">
        <f>U1505*_xlfn.XLOOKUP($L1506,'Balizador da Meta'!$B$4:$B$21,'Balizador da Meta'!$C$4:$C$21)</f>
        <v>84.000000000000014</v>
      </c>
      <c r="V1506" s="28">
        <f>V1505*_xlfn.XLOOKUP($L1506,'Balizador da Meta'!$B$4:$B$21,'Balizador da Meta'!$C$4:$C$21)</f>
        <v>84.000000000000014</v>
      </c>
      <c r="W1506" s="28">
        <f>W1505*_xlfn.XLOOKUP($L1506,'Balizador da Meta'!$B$4:$B$21,'Balizador da Meta'!$C$4:$C$21)</f>
        <v>84.000000000000014</v>
      </c>
      <c r="X1506" s="28">
        <f>X1505*_xlfn.XLOOKUP($L1506,'Balizador da Meta'!$B$4:$B$21,'Balizador da Meta'!$C$4:$C$21)</f>
        <v>84.000000000000014</v>
      </c>
      <c r="Y1506" s="28">
        <f>Y1505*_xlfn.XLOOKUP($L1506,'Balizador da Meta'!$B$4:$B$21,'Balizador da Meta'!$C$4:$C$21)</f>
        <v>84.000000000000014</v>
      </c>
      <c r="Z1506" s="30">
        <f t="shared" ref="Z1506:Z1523" si="360">SUM(N1506:Y1506)</f>
        <v>1008.0000000000001</v>
      </c>
      <c r="AA1506" s="29"/>
      <c r="AB1506" s="31">
        <f>SUMIFS('Historico - FAT'!AK:AK,'Historico - FAT'!$K:$K,Faturamento!$L1506,'Historico - FAT'!$I:$I,Faturamento!$J1506,'Historico - FAT'!$G:$G,Faturamento!$H1506)</f>
        <v>59.534999999999997</v>
      </c>
      <c r="AC1506" s="31">
        <f>SUMIFS('Historico - FAT'!AL:AL,'Historico - FAT'!$K:$K,Faturamento!$L1506,'Historico - FAT'!$I:$I,Faturamento!$J1506,'Historico - FAT'!$G:$G,Faturamento!$H1506)</f>
        <v>153.15</v>
      </c>
      <c r="AD1506" s="31">
        <f>SUMIFS('Historico - FAT'!AM:AM,'Historico - FAT'!$K:$K,Faturamento!$L1506,'Historico - FAT'!$I:$I,Faturamento!$J1506,'Historico - FAT'!$G:$G,Faturamento!$H1506)</f>
        <v>155.27000000000001</v>
      </c>
      <c r="AE1506" s="27">
        <f>SUMIFS('Historico - FAT'!AN:AN,'Historico - FAT'!$K:$K,Faturamento!$L1506,'Historico - FAT'!$I:$I,Faturamento!$J1506,'Historico - FAT'!$G:$G,Faturamento!$H1506)</f>
        <v>183.78000000000003</v>
      </c>
      <c r="AG1506" s="24">
        <f t="shared" si="348"/>
        <v>0.29125000000000018</v>
      </c>
      <c r="AH1506" s="24">
        <f t="shared" si="349"/>
        <v>-0.82321428571428545</v>
      </c>
      <c r="AI1506" s="24">
        <f t="shared" si="350"/>
        <v>-0.84845238095238074</v>
      </c>
    </row>
    <row r="1507" spans="1:35" hidden="1" x14ac:dyDescent="0.3">
      <c r="A1507" s="2" t="str">
        <f t="shared" si="347"/>
        <v>NÃO</v>
      </c>
      <c r="B1507" s="2">
        <v>1000184670</v>
      </c>
      <c r="C1507" s="2" t="s">
        <v>147</v>
      </c>
      <c r="D1507" s="4">
        <v>1000186197</v>
      </c>
      <c r="E1507" s="4" t="s">
        <v>166</v>
      </c>
      <c r="F1507" s="2">
        <v>1000184756</v>
      </c>
      <c r="G1507" s="2" t="s">
        <v>53</v>
      </c>
      <c r="H1507" s="4">
        <v>1000189824</v>
      </c>
      <c r="I1507" s="4" t="s">
        <v>100</v>
      </c>
      <c r="J1507" s="2">
        <v>1000189270</v>
      </c>
      <c r="K1507" s="2" t="s">
        <v>34</v>
      </c>
      <c r="L1507" s="4" t="s">
        <v>14</v>
      </c>
      <c r="M1507" s="4" t="str">
        <f t="shared" si="354"/>
        <v>1000184670100018619710001898241000189270CHOCOLATES</v>
      </c>
      <c r="N1507" s="28">
        <f>N1505*_xlfn.XLOOKUP($L1507,'Balizador da Meta'!$B$4:$B$21,'Balizador da Meta'!$C$4:$C$21)</f>
        <v>84.000000000000014</v>
      </c>
      <c r="O1507" s="28">
        <f>O1505*_xlfn.XLOOKUP($L1507,'Balizador da Meta'!$B$4:$B$21,'Balizador da Meta'!$C$4:$C$21)</f>
        <v>84.000000000000014</v>
      </c>
      <c r="P1507" s="28">
        <f>P1505*_xlfn.XLOOKUP($L1507,'Balizador da Meta'!$B$4:$B$21,'Balizador da Meta'!$C$4:$C$21)</f>
        <v>84.000000000000014</v>
      </c>
      <c r="Q1507" s="28">
        <f>Q1505*_xlfn.XLOOKUP($L1507,'Balizador da Meta'!$B$4:$B$21,'Balizador da Meta'!$C$4:$C$21)</f>
        <v>84.000000000000014</v>
      </c>
      <c r="R1507" s="28">
        <f>R1505*_xlfn.XLOOKUP($L1507,'Balizador da Meta'!$B$4:$B$21,'Balizador da Meta'!$C$4:$C$21)</f>
        <v>84.000000000000014</v>
      </c>
      <c r="S1507" s="28">
        <f>S1505*_xlfn.XLOOKUP($L1507,'Balizador da Meta'!$B$4:$B$21,'Balizador da Meta'!$C$4:$C$21)</f>
        <v>84.000000000000014</v>
      </c>
      <c r="T1507" s="28">
        <f>T1505*_xlfn.XLOOKUP($L1507,'Balizador da Meta'!$B$4:$B$21,'Balizador da Meta'!$C$4:$C$21)</f>
        <v>84.000000000000014</v>
      </c>
      <c r="U1507" s="28">
        <f>U1505*_xlfn.XLOOKUP($L1507,'Balizador da Meta'!$B$4:$B$21,'Balizador da Meta'!$C$4:$C$21)</f>
        <v>84.000000000000014</v>
      </c>
      <c r="V1507" s="28">
        <f>V1505*_xlfn.XLOOKUP($L1507,'Balizador da Meta'!$B$4:$B$21,'Balizador da Meta'!$C$4:$C$21)</f>
        <v>84.000000000000014</v>
      </c>
      <c r="W1507" s="28">
        <f>W1505*_xlfn.XLOOKUP($L1507,'Balizador da Meta'!$B$4:$B$21,'Balizador da Meta'!$C$4:$C$21)</f>
        <v>84.000000000000014</v>
      </c>
      <c r="X1507" s="28">
        <f>X1505*_xlfn.XLOOKUP($L1507,'Balizador da Meta'!$B$4:$B$21,'Balizador da Meta'!$C$4:$C$21)</f>
        <v>84.000000000000014</v>
      </c>
      <c r="Y1507" s="28">
        <f>Y1505*_xlfn.XLOOKUP($L1507,'Balizador da Meta'!$B$4:$B$21,'Balizador da Meta'!$C$4:$C$21)</f>
        <v>84.000000000000014</v>
      </c>
      <c r="Z1507" s="30">
        <f t="shared" si="360"/>
        <v>1008.0000000000001</v>
      </c>
      <c r="AA1507" s="29"/>
      <c r="AB1507" s="31">
        <f>SUMIFS('Historico - FAT'!AK:AK,'Historico - FAT'!$K:$K,Faturamento!$L1507,'Historico - FAT'!$I:$I,Faturamento!$J1507,'Historico - FAT'!$G:$G,Faturamento!$H1507)</f>
        <v>97.855000000000004</v>
      </c>
      <c r="AC1507" s="31">
        <f>SUMIFS('Historico - FAT'!AL:AL,'Historico - FAT'!$K:$K,Faturamento!$L1507,'Historico - FAT'!$I:$I,Faturamento!$J1507,'Historico - FAT'!$G:$G,Faturamento!$H1507)</f>
        <v>9.9874999999999989</v>
      </c>
      <c r="AD1507" s="31">
        <f>SUMIFS('Historico - FAT'!AM:AM,'Historico - FAT'!$K:$K,Faturamento!$L1507,'Historico - FAT'!$I:$I,Faturamento!$J1507,'Historico - FAT'!$G:$G,Faturamento!$H1507)</f>
        <v>19.974999999999998</v>
      </c>
      <c r="AE1507" s="27">
        <f>SUMIFS('Historico - FAT'!AN:AN,'Historico - FAT'!$K:$K,Faturamento!$L1507,'Historico - FAT'!$I:$I,Faturamento!$J1507,'Historico - FAT'!$G:$G,Faturamento!$H1507)</f>
        <v>11.984999999999999</v>
      </c>
      <c r="AG1507" s="24">
        <f t="shared" si="348"/>
        <v>-0.16494047619047605</v>
      </c>
      <c r="AH1507" s="24">
        <f t="shared" si="349"/>
        <v>0.88110119047619051</v>
      </c>
      <c r="AI1507" s="24">
        <f t="shared" si="350"/>
        <v>0.76220238095238102</v>
      </c>
    </row>
    <row r="1508" spans="1:35" hidden="1" x14ac:dyDescent="0.3">
      <c r="A1508" s="2" t="str">
        <f t="shared" si="347"/>
        <v>NÃO</v>
      </c>
      <c r="B1508" s="2">
        <v>1000184670</v>
      </c>
      <c r="C1508" s="2" t="s">
        <v>147</v>
      </c>
      <c r="D1508" s="4">
        <v>1000186197</v>
      </c>
      <c r="E1508" s="4" t="s">
        <v>166</v>
      </c>
      <c r="F1508" s="2">
        <v>1000184756</v>
      </c>
      <c r="G1508" s="2" t="s">
        <v>53</v>
      </c>
      <c r="H1508" s="4">
        <v>1000189824</v>
      </c>
      <c r="I1508" s="4" t="s">
        <v>100</v>
      </c>
      <c r="J1508" s="2">
        <v>1000189270</v>
      </c>
      <c r="K1508" s="2" t="s">
        <v>34</v>
      </c>
      <c r="L1508" s="4" t="s">
        <v>16</v>
      </c>
      <c r="M1508" s="4" t="str">
        <f t="shared" si="354"/>
        <v>1000184670100018619710001898241000189270DISNEY</v>
      </c>
      <c r="N1508" s="28">
        <f>N1505*_xlfn.XLOOKUP($L1508,'Balizador da Meta'!$B$4:$B$21,'Balizador da Meta'!$C$4:$C$21)</f>
        <v>96</v>
      </c>
      <c r="O1508" s="28">
        <f>O1505*_xlfn.XLOOKUP($L1508,'Balizador da Meta'!$B$4:$B$21,'Balizador da Meta'!$C$4:$C$21)</f>
        <v>96</v>
      </c>
      <c r="P1508" s="28">
        <f>P1505*_xlfn.XLOOKUP($L1508,'Balizador da Meta'!$B$4:$B$21,'Balizador da Meta'!$C$4:$C$21)</f>
        <v>96</v>
      </c>
      <c r="Q1508" s="28">
        <f>Q1505*_xlfn.XLOOKUP($L1508,'Balizador da Meta'!$B$4:$B$21,'Balizador da Meta'!$C$4:$C$21)</f>
        <v>96</v>
      </c>
      <c r="R1508" s="28">
        <f>R1505*_xlfn.XLOOKUP($L1508,'Balizador da Meta'!$B$4:$B$21,'Balizador da Meta'!$C$4:$C$21)</f>
        <v>96</v>
      </c>
      <c r="S1508" s="28">
        <f>S1505*_xlfn.XLOOKUP($L1508,'Balizador da Meta'!$B$4:$B$21,'Balizador da Meta'!$C$4:$C$21)</f>
        <v>96</v>
      </c>
      <c r="T1508" s="28">
        <f>T1505*_xlfn.XLOOKUP($L1508,'Balizador da Meta'!$B$4:$B$21,'Balizador da Meta'!$C$4:$C$21)</f>
        <v>96</v>
      </c>
      <c r="U1508" s="28">
        <f>U1505*_xlfn.XLOOKUP($L1508,'Balizador da Meta'!$B$4:$B$21,'Balizador da Meta'!$C$4:$C$21)</f>
        <v>96</v>
      </c>
      <c r="V1508" s="28">
        <f>V1505*_xlfn.XLOOKUP($L1508,'Balizador da Meta'!$B$4:$B$21,'Balizador da Meta'!$C$4:$C$21)</f>
        <v>96</v>
      </c>
      <c r="W1508" s="28">
        <f>W1505*_xlfn.XLOOKUP($L1508,'Balizador da Meta'!$B$4:$B$21,'Balizador da Meta'!$C$4:$C$21)</f>
        <v>96</v>
      </c>
      <c r="X1508" s="28">
        <f>X1505*_xlfn.XLOOKUP($L1508,'Balizador da Meta'!$B$4:$B$21,'Balizador da Meta'!$C$4:$C$21)</f>
        <v>96</v>
      </c>
      <c r="Y1508" s="28">
        <f>Y1505*_xlfn.XLOOKUP($L1508,'Balizador da Meta'!$B$4:$B$21,'Balizador da Meta'!$C$4:$C$21)</f>
        <v>96</v>
      </c>
      <c r="Z1508" s="30">
        <f t="shared" si="360"/>
        <v>1152</v>
      </c>
      <c r="AA1508" s="29"/>
      <c r="AB1508" s="31">
        <f>SUMIFS('Historico - FAT'!AK:AK,'Historico - FAT'!$K:$K,Faturamento!$L1508,'Historico - FAT'!$I:$I,Faturamento!$J1508,'Historico - FAT'!$G:$G,Faturamento!$H1508)</f>
        <v>74.186666666666667</v>
      </c>
      <c r="AC1508" s="31">
        <f>SUMIFS('Historico - FAT'!AL:AL,'Historico - FAT'!$K:$K,Faturamento!$L1508,'Historico - FAT'!$I:$I,Faturamento!$J1508,'Historico - FAT'!$G:$G,Faturamento!$H1508)</f>
        <v>233.66</v>
      </c>
      <c r="AD1508" s="31">
        <f>SUMIFS('Historico - FAT'!AM:AM,'Historico - FAT'!$K:$K,Faturamento!$L1508,'Historico - FAT'!$I:$I,Faturamento!$J1508,'Historico - FAT'!$G:$G,Faturamento!$H1508)</f>
        <v>161.87333333333333</v>
      </c>
      <c r="AE1508" s="27">
        <f>SUMIFS('Historico - FAT'!AN:AN,'Historico - FAT'!$K:$K,Faturamento!$L1508,'Historico - FAT'!$I:$I,Faturamento!$J1508,'Historico - FAT'!$G:$G,Faturamento!$H1508)</f>
        <v>265.44200000000001</v>
      </c>
      <c r="AG1508" s="24">
        <f t="shared" si="348"/>
        <v>0.22722222222222221</v>
      </c>
      <c r="AH1508" s="24">
        <f t="shared" si="349"/>
        <v>-1.4339583333333332</v>
      </c>
      <c r="AI1508" s="24">
        <f t="shared" si="350"/>
        <v>-0.68618055555555557</v>
      </c>
    </row>
    <row r="1509" spans="1:35" hidden="1" x14ac:dyDescent="0.3">
      <c r="A1509" s="2" t="str">
        <f t="shared" si="347"/>
        <v>NÃO</v>
      </c>
      <c r="B1509" s="2">
        <v>1000184670</v>
      </c>
      <c r="C1509" s="2" t="s">
        <v>147</v>
      </c>
      <c r="D1509" s="4">
        <v>1000186197</v>
      </c>
      <c r="E1509" s="4" t="s">
        <v>166</v>
      </c>
      <c r="F1509" s="2">
        <v>1000184756</v>
      </c>
      <c r="G1509" s="2" t="s">
        <v>53</v>
      </c>
      <c r="H1509" s="4">
        <v>1000189824</v>
      </c>
      <c r="I1509" s="4" t="s">
        <v>100</v>
      </c>
      <c r="J1509" s="2">
        <v>1000189270</v>
      </c>
      <c r="K1509" s="2" t="s">
        <v>34</v>
      </c>
      <c r="L1509" s="4" t="s">
        <v>15</v>
      </c>
      <c r="M1509" s="4" t="str">
        <f t="shared" si="354"/>
        <v>1000184670100018619710001898241000189270DOCES</v>
      </c>
      <c r="N1509" s="28">
        <f>N1505*_xlfn.XLOOKUP($L1509,'Balizador da Meta'!$B$4:$B$21,'Balizador da Meta'!$C$4:$C$21)</f>
        <v>108</v>
      </c>
      <c r="O1509" s="28">
        <f>O1505*_xlfn.XLOOKUP($L1509,'Balizador da Meta'!$B$4:$B$21,'Balizador da Meta'!$C$4:$C$21)</f>
        <v>108</v>
      </c>
      <c r="P1509" s="28">
        <f>P1505*_xlfn.XLOOKUP($L1509,'Balizador da Meta'!$B$4:$B$21,'Balizador da Meta'!$C$4:$C$21)</f>
        <v>108</v>
      </c>
      <c r="Q1509" s="28">
        <f>Q1505*_xlfn.XLOOKUP($L1509,'Balizador da Meta'!$B$4:$B$21,'Balizador da Meta'!$C$4:$C$21)</f>
        <v>108</v>
      </c>
      <c r="R1509" s="28">
        <f>R1505*_xlfn.XLOOKUP($L1509,'Balizador da Meta'!$B$4:$B$21,'Balizador da Meta'!$C$4:$C$21)</f>
        <v>108</v>
      </c>
      <c r="S1509" s="28">
        <f>S1505*_xlfn.XLOOKUP($L1509,'Balizador da Meta'!$B$4:$B$21,'Balizador da Meta'!$C$4:$C$21)</f>
        <v>108</v>
      </c>
      <c r="T1509" s="28">
        <f>T1505*_xlfn.XLOOKUP($L1509,'Balizador da Meta'!$B$4:$B$21,'Balizador da Meta'!$C$4:$C$21)</f>
        <v>108</v>
      </c>
      <c r="U1509" s="28">
        <f>U1505*_xlfn.XLOOKUP($L1509,'Balizador da Meta'!$B$4:$B$21,'Balizador da Meta'!$C$4:$C$21)</f>
        <v>108</v>
      </c>
      <c r="V1509" s="28">
        <f>V1505*_xlfn.XLOOKUP($L1509,'Balizador da Meta'!$B$4:$B$21,'Balizador da Meta'!$C$4:$C$21)</f>
        <v>108</v>
      </c>
      <c r="W1509" s="28">
        <f>W1505*_xlfn.XLOOKUP($L1509,'Balizador da Meta'!$B$4:$B$21,'Balizador da Meta'!$C$4:$C$21)</f>
        <v>108</v>
      </c>
      <c r="X1509" s="28">
        <f>X1505*_xlfn.XLOOKUP($L1509,'Balizador da Meta'!$B$4:$B$21,'Balizador da Meta'!$C$4:$C$21)</f>
        <v>108</v>
      </c>
      <c r="Y1509" s="28">
        <f>Y1505*_xlfn.XLOOKUP($L1509,'Balizador da Meta'!$B$4:$B$21,'Balizador da Meta'!$C$4:$C$21)</f>
        <v>108</v>
      </c>
      <c r="Z1509" s="30">
        <f t="shared" si="360"/>
        <v>1296</v>
      </c>
      <c r="AA1509" s="29"/>
      <c r="AB1509" s="31">
        <f>SUMIFS('Historico - FAT'!AK:AK,'Historico - FAT'!$K:$K,Faturamento!$L1509,'Historico - FAT'!$I:$I,Faturamento!$J1509,'Historico - FAT'!$G:$G,Faturamento!$H1509)</f>
        <v>197.1</v>
      </c>
      <c r="AC1509" s="31">
        <f>SUMIFS('Historico - FAT'!AL:AL,'Historico - FAT'!$K:$K,Faturamento!$L1509,'Historico - FAT'!$I:$I,Faturamento!$J1509,'Historico - FAT'!$G:$G,Faturamento!$H1509)</f>
        <v>319.92500000000001</v>
      </c>
      <c r="AD1509" s="31">
        <f>SUMIFS('Historico - FAT'!AM:AM,'Historico - FAT'!$K:$K,Faturamento!$L1509,'Historico - FAT'!$I:$I,Faturamento!$J1509,'Historico - FAT'!$G:$G,Faturamento!$H1509)</f>
        <v>317.25</v>
      </c>
      <c r="AE1509" s="27">
        <f>SUMIFS('Historico - FAT'!AN:AN,'Historico - FAT'!$K:$K,Faturamento!$L1509,'Historico - FAT'!$I:$I,Faturamento!$J1509,'Historico - FAT'!$G:$G,Faturamento!$H1509)</f>
        <v>383.91</v>
      </c>
      <c r="AG1509" s="24">
        <f t="shared" si="348"/>
        <v>-0.82499999999999996</v>
      </c>
      <c r="AH1509" s="24">
        <f t="shared" si="349"/>
        <v>-1.9622685185185187</v>
      </c>
      <c r="AI1509" s="24">
        <f t="shared" si="350"/>
        <v>-1.9375</v>
      </c>
    </row>
    <row r="1510" spans="1:35" hidden="1" x14ac:dyDescent="0.3">
      <c r="A1510" s="2" t="str">
        <f t="shared" si="347"/>
        <v>NÃO</v>
      </c>
      <c r="B1510" s="2">
        <v>1000184670</v>
      </c>
      <c r="C1510" s="2" t="s">
        <v>147</v>
      </c>
      <c r="D1510" s="4">
        <v>1000186197</v>
      </c>
      <c r="E1510" s="4" t="s">
        <v>166</v>
      </c>
      <c r="F1510" s="2">
        <v>1000184756</v>
      </c>
      <c r="G1510" s="2" t="s">
        <v>53</v>
      </c>
      <c r="H1510" s="4">
        <v>1000189824</v>
      </c>
      <c r="I1510" s="4" t="s">
        <v>100</v>
      </c>
      <c r="J1510" s="2">
        <v>1000189270</v>
      </c>
      <c r="K1510" s="2" t="s">
        <v>34</v>
      </c>
      <c r="L1510" s="4" t="s">
        <v>33</v>
      </c>
      <c r="M1510" s="4" t="str">
        <f t="shared" si="354"/>
        <v>1000184670100018619710001898241000189270FOOD SERVICE</v>
      </c>
      <c r="N1510" s="28">
        <f>N1505*_xlfn.XLOOKUP($L1510,'Balizador da Meta'!$B$4:$B$21,'Balizador da Meta'!$C$4:$C$21)</f>
        <v>0</v>
      </c>
      <c r="O1510" s="28">
        <f>O1505*_xlfn.XLOOKUP($L1510,'Balizador da Meta'!$B$4:$B$21,'Balizador da Meta'!$C$4:$C$21)</f>
        <v>0</v>
      </c>
      <c r="P1510" s="28">
        <f>P1505*_xlfn.XLOOKUP($L1510,'Balizador da Meta'!$B$4:$B$21,'Balizador da Meta'!$C$4:$C$21)</f>
        <v>0</v>
      </c>
      <c r="Q1510" s="28">
        <f>Q1505*_xlfn.XLOOKUP($L1510,'Balizador da Meta'!$B$4:$B$21,'Balizador da Meta'!$C$4:$C$21)</f>
        <v>0</v>
      </c>
      <c r="R1510" s="28">
        <f>R1505*_xlfn.XLOOKUP($L1510,'Balizador da Meta'!$B$4:$B$21,'Balizador da Meta'!$C$4:$C$21)</f>
        <v>0</v>
      </c>
      <c r="S1510" s="28">
        <f>S1505*_xlfn.XLOOKUP($L1510,'Balizador da Meta'!$B$4:$B$21,'Balizador da Meta'!$C$4:$C$21)</f>
        <v>0</v>
      </c>
      <c r="T1510" s="28">
        <f>T1505*_xlfn.XLOOKUP($L1510,'Balizador da Meta'!$B$4:$B$21,'Balizador da Meta'!$C$4:$C$21)</f>
        <v>0</v>
      </c>
      <c r="U1510" s="28">
        <f>U1505*_xlfn.XLOOKUP($L1510,'Balizador da Meta'!$B$4:$B$21,'Balizador da Meta'!$C$4:$C$21)</f>
        <v>0</v>
      </c>
      <c r="V1510" s="28">
        <f>V1505*_xlfn.XLOOKUP($L1510,'Balizador da Meta'!$B$4:$B$21,'Balizador da Meta'!$C$4:$C$21)</f>
        <v>0</v>
      </c>
      <c r="W1510" s="28">
        <f>W1505*_xlfn.XLOOKUP($L1510,'Balizador da Meta'!$B$4:$B$21,'Balizador da Meta'!$C$4:$C$21)</f>
        <v>0</v>
      </c>
      <c r="X1510" s="28">
        <f>X1505*_xlfn.XLOOKUP($L1510,'Balizador da Meta'!$B$4:$B$21,'Balizador da Meta'!$C$4:$C$21)</f>
        <v>0</v>
      </c>
      <c r="Y1510" s="28">
        <f>Y1505*_xlfn.XLOOKUP($L1510,'Balizador da Meta'!$B$4:$B$21,'Balizador da Meta'!$C$4:$C$21)</f>
        <v>0</v>
      </c>
      <c r="Z1510" s="30">
        <f t="shared" si="360"/>
        <v>0</v>
      </c>
      <c r="AA1510" s="29"/>
      <c r="AB1510" s="31">
        <f>SUMIFS('Historico - FAT'!AK:AK,'Historico - FAT'!$K:$K,Faturamento!$L1510,'Historico - FAT'!$I:$I,Faturamento!$J1510,'Historico - FAT'!$G:$G,Faturamento!$H1510)</f>
        <v>0</v>
      </c>
      <c r="AC1510" s="31">
        <f>SUMIFS('Historico - FAT'!AL:AL,'Historico - FAT'!$K:$K,Faturamento!$L1510,'Historico - FAT'!$I:$I,Faturamento!$J1510,'Historico - FAT'!$G:$G,Faturamento!$H1510)</f>
        <v>0</v>
      </c>
      <c r="AD1510" s="31">
        <f>SUMIFS('Historico - FAT'!AM:AM,'Historico - FAT'!$K:$K,Faturamento!$L1510,'Historico - FAT'!$I:$I,Faturamento!$J1510,'Historico - FAT'!$G:$G,Faturamento!$H1510)</f>
        <v>0</v>
      </c>
      <c r="AE1510" s="27">
        <f>SUMIFS('Historico - FAT'!AN:AN,'Historico - FAT'!$K:$K,Faturamento!$L1510,'Historico - FAT'!$I:$I,Faturamento!$J1510,'Historico - FAT'!$G:$G,Faturamento!$H1510)</f>
        <v>0</v>
      </c>
      <c r="AG1510" s="24" t="str">
        <f t="shared" si="348"/>
        <v/>
      </c>
      <c r="AH1510" s="24" t="str">
        <f t="shared" si="349"/>
        <v/>
      </c>
      <c r="AI1510" s="24" t="str">
        <f t="shared" si="350"/>
        <v/>
      </c>
    </row>
    <row r="1511" spans="1:35" hidden="1" x14ac:dyDescent="0.3">
      <c r="A1511" s="2" t="str">
        <f t="shared" si="347"/>
        <v>NÃO</v>
      </c>
      <c r="B1511" s="2">
        <v>1000184670</v>
      </c>
      <c r="C1511" s="2" t="s">
        <v>147</v>
      </c>
      <c r="D1511" s="4">
        <v>1000186197</v>
      </c>
      <c r="E1511" s="4" t="s">
        <v>166</v>
      </c>
      <c r="F1511" s="2">
        <v>1000184756</v>
      </c>
      <c r="G1511" s="2" t="s">
        <v>53</v>
      </c>
      <c r="H1511" s="4">
        <v>1000189824</v>
      </c>
      <c r="I1511" s="4" t="s">
        <v>100</v>
      </c>
      <c r="J1511" s="2">
        <v>1000189270</v>
      </c>
      <c r="K1511" s="2" t="s">
        <v>34</v>
      </c>
      <c r="L1511" s="4" t="s">
        <v>19</v>
      </c>
      <c r="M1511" s="4" t="str">
        <f t="shared" si="354"/>
        <v>1000184670100018619710001898241000189270GELEIA</v>
      </c>
      <c r="N1511" s="28">
        <f>N1505*_xlfn.XLOOKUP($L1511,'Balizador da Meta'!$B$4:$B$21,'Balizador da Meta'!$C$4:$C$21)</f>
        <v>23.999999999999996</v>
      </c>
      <c r="O1511" s="28">
        <f>O1505*_xlfn.XLOOKUP($L1511,'Balizador da Meta'!$B$4:$B$21,'Balizador da Meta'!$C$4:$C$21)</f>
        <v>23.999999999999996</v>
      </c>
      <c r="P1511" s="28">
        <f>P1505*_xlfn.XLOOKUP($L1511,'Balizador da Meta'!$B$4:$B$21,'Balizador da Meta'!$C$4:$C$21)</f>
        <v>23.999999999999996</v>
      </c>
      <c r="Q1511" s="28">
        <f>Q1505*_xlfn.XLOOKUP($L1511,'Balizador da Meta'!$B$4:$B$21,'Balizador da Meta'!$C$4:$C$21)</f>
        <v>23.999999999999996</v>
      </c>
      <c r="R1511" s="28">
        <f>R1505*_xlfn.XLOOKUP($L1511,'Balizador da Meta'!$B$4:$B$21,'Balizador da Meta'!$C$4:$C$21)</f>
        <v>23.999999999999996</v>
      </c>
      <c r="S1511" s="28">
        <f>S1505*_xlfn.XLOOKUP($L1511,'Balizador da Meta'!$B$4:$B$21,'Balizador da Meta'!$C$4:$C$21)</f>
        <v>23.999999999999996</v>
      </c>
      <c r="T1511" s="28">
        <f>T1505*_xlfn.XLOOKUP($L1511,'Balizador da Meta'!$B$4:$B$21,'Balizador da Meta'!$C$4:$C$21)</f>
        <v>23.999999999999996</v>
      </c>
      <c r="U1511" s="28">
        <f>U1505*_xlfn.XLOOKUP($L1511,'Balizador da Meta'!$B$4:$B$21,'Balizador da Meta'!$C$4:$C$21)</f>
        <v>23.999999999999996</v>
      </c>
      <c r="V1511" s="28">
        <f>V1505*_xlfn.XLOOKUP($L1511,'Balizador da Meta'!$B$4:$B$21,'Balizador da Meta'!$C$4:$C$21)</f>
        <v>23.999999999999996</v>
      </c>
      <c r="W1511" s="28">
        <f>W1505*_xlfn.XLOOKUP($L1511,'Balizador da Meta'!$B$4:$B$21,'Balizador da Meta'!$C$4:$C$21)</f>
        <v>23.999999999999996</v>
      </c>
      <c r="X1511" s="28">
        <f>X1505*_xlfn.XLOOKUP($L1511,'Balizador da Meta'!$B$4:$B$21,'Balizador da Meta'!$C$4:$C$21)</f>
        <v>23.999999999999996</v>
      </c>
      <c r="Y1511" s="28">
        <f>Y1505*_xlfn.XLOOKUP($L1511,'Balizador da Meta'!$B$4:$B$21,'Balizador da Meta'!$C$4:$C$21)</f>
        <v>23.999999999999996</v>
      </c>
      <c r="Z1511" s="30">
        <f t="shared" si="360"/>
        <v>287.99999999999994</v>
      </c>
      <c r="AA1511" s="29"/>
      <c r="AB1511" s="31">
        <f>SUMIFS('Historico - FAT'!AK:AK,'Historico - FAT'!$K:$K,Faturamento!$L1511,'Historico - FAT'!$I:$I,Faturamento!$J1511,'Historico - FAT'!$G:$G,Faturamento!$H1511)</f>
        <v>0</v>
      </c>
      <c r="AC1511" s="31">
        <f>SUMIFS('Historico - FAT'!AL:AL,'Historico - FAT'!$K:$K,Faturamento!$L1511,'Historico - FAT'!$I:$I,Faturamento!$J1511,'Historico - FAT'!$G:$G,Faturamento!$H1511)</f>
        <v>0</v>
      </c>
      <c r="AD1511" s="31">
        <f>SUMIFS('Historico - FAT'!AM:AM,'Historico - FAT'!$K:$K,Faturamento!$L1511,'Historico - FAT'!$I:$I,Faturamento!$J1511,'Historico - FAT'!$G:$G,Faturamento!$H1511)</f>
        <v>0</v>
      </c>
      <c r="AE1511" s="27">
        <f>SUMIFS('Historico - FAT'!AN:AN,'Historico - FAT'!$K:$K,Faturamento!$L1511,'Historico - FAT'!$I:$I,Faturamento!$J1511,'Historico - FAT'!$G:$G,Faturamento!$H1511)</f>
        <v>0</v>
      </c>
      <c r="AG1511" s="24">
        <f t="shared" si="348"/>
        <v>1</v>
      </c>
      <c r="AH1511" s="24">
        <f t="shared" si="349"/>
        <v>1</v>
      </c>
      <c r="AI1511" s="24">
        <f t="shared" si="350"/>
        <v>1</v>
      </c>
    </row>
    <row r="1512" spans="1:35" hidden="1" x14ac:dyDescent="0.3">
      <c r="A1512" s="2" t="str">
        <f t="shared" si="347"/>
        <v>NÃO</v>
      </c>
      <c r="B1512" s="2">
        <v>1000184670</v>
      </c>
      <c r="C1512" s="2" t="s">
        <v>147</v>
      </c>
      <c r="D1512" s="4">
        <v>1000186197</v>
      </c>
      <c r="E1512" s="4" t="s">
        <v>166</v>
      </c>
      <c r="F1512" s="2">
        <v>1000184756</v>
      </c>
      <c r="G1512" s="2" t="s">
        <v>53</v>
      </c>
      <c r="H1512" s="4">
        <v>1000189824</v>
      </c>
      <c r="I1512" s="4" t="s">
        <v>100</v>
      </c>
      <c r="J1512" s="2">
        <v>1000189270</v>
      </c>
      <c r="K1512" s="2" t="s">
        <v>34</v>
      </c>
      <c r="L1512" s="4" t="s">
        <v>17</v>
      </c>
      <c r="M1512" s="4" t="str">
        <f t="shared" si="354"/>
        <v>1000184670100018619710001898241000189270GRANOLA</v>
      </c>
      <c r="N1512" s="28">
        <f>N1505*_xlfn.XLOOKUP($L1512,'Balizador da Meta'!$B$4:$B$21,'Balizador da Meta'!$C$4:$C$21)</f>
        <v>24</v>
      </c>
      <c r="O1512" s="28">
        <f>O1505*_xlfn.XLOOKUP($L1512,'Balizador da Meta'!$B$4:$B$21,'Balizador da Meta'!$C$4:$C$21)</f>
        <v>24</v>
      </c>
      <c r="P1512" s="28">
        <f>P1505*_xlfn.XLOOKUP($L1512,'Balizador da Meta'!$B$4:$B$21,'Balizador da Meta'!$C$4:$C$21)</f>
        <v>24</v>
      </c>
      <c r="Q1512" s="28">
        <f>Q1505*_xlfn.XLOOKUP($L1512,'Balizador da Meta'!$B$4:$B$21,'Balizador da Meta'!$C$4:$C$21)</f>
        <v>24</v>
      </c>
      <c r="R1512" s="28">
        <f>R1505*_xlfn.XLOOKUP($L1512,'Balizador da Meta'!$B$4:$B$21,'Balizador da Meta'!$C$4:$C$21)</f>
        <v>24</v>
      </c>
      <c r="S1512" s="28">
        <f>S1505*_xlfn.XLOOKUP($L1512,'Balizador da Meta'!$B$4:$B$21,'Balizador da Meta'!$C$4:$C$21)</f>
        <v>24</v>
      </c>
      <c r="T1512" s="28">
        <f>T1505*_xlfn.XLOOKUP($L1512,'Balizador da Meta'!$B$4:$B$21,'Balizador da Meta'!$C$4:$C$21)</f>
        <v>24</v>
      </c>
      <c r="U1512" s="28">
        <f>U1505*_xlfn.XLOOKUP($L1512,'Balizador da Meta'!$B$4:$B$21,'Balizador da Meta'!$C$4:$C$21)</f>
        <v>24</v>
      </c>
      <c r="V1512" s="28">
        <f>V1505*_xlfn.XLOOKUP($L1512,'Balizador da Meta'!$B$4:$B$21,'Balizador da Meta'!$C$4:$C$21)</f>
        <v>24</v>
      </c>
      <c r="W1512" s="28">
        <f>W1505*_xlfn.XLOOKUP($L1512,'Balizador da Meta'!$B$4:$B$21,'Balizador da Meta'!$C$4:$C$21)</f>
        <v>24</v>
      </c>
      <c r="X1512" s="28">
        <f>X1505*_xlfn.XLOOKUP($L1512,'Balizador da Meta'!$B$4:$B$21,'Balizador da Meta'!$C$4:$C$21)</f>
        <v>24</v>
      </c>
      <c r="Y1512" s="28">
        <f>Y1505*_xlfn.XLOOKUP($L1512,'Balizador da Meta'!$B$4:$B$21,'Balizador da Meta'!$C$4:$C$21)</f>
        <v>24</v>
      </c>
      <c r="Z1512" s="30">
        <f t="shared" si="360"/>
        <v>288</v>
      </c>
      <c r="AA1512" s="29"/>
      <c r="AB1512" s="31">
        <f>SUMIFS('Historico - FAT'!AK:AK,'Historico - FAT'!$K:$K,Faturamento!$L1512,'Historico - FAT'!$I:$I,Faturamento!$J1512,'Historico - FAT'!$G:$G,Faturamento!$H1512)</f>
        <v>0</v>
      </c>
      <c r="AC1512" s="31">
        <f>SUMIFS('Historico - FAT'!AL:AL,'Historico - FAT'!$K:$K,Faturamento!$L1512,'Historico - FAT'!$I:$I,Faturamento!$J1512,'Historico - FAT'!$G:$G,Faturamento!$H1512)</f>
        <v>0</v>
      </c>
      <c r="AD1512" s="31">
        <f>SUMIFS('Historico - FAT'!AM:AM,'Historico - FAT'!$K:$K,Faturamento!$L1512,'Historico - FAT'!$I:$I,Faturamento!$J1512,'Historico - FAT'!$G:$G,Faturamento!$H1512)</f>
        <v>0</v>
      </c>
      <c r="AE1512" s="27">
        <f>SUMIFS('Historico - FAT'!AN:AN,'Historico - FAT'!$K:$K,Faturamento!$L1512,'Historico - FAT'!$I:$I,Faturamento!$J1512,'Historico - FAT'!$G:$G,Faturamento!$H1512)</f>
        <v>0</v>
      </c>
      <c r="AG1512" s="24">
        <f t="shared" si="348"/>
        <v>1</v>
      </c>
      <c r="AH1512" s="24">
        <f t="shared" si="349"/>
        <v>1</v>
      </c>
      <c r="AI1512" s="24">
        <f t="shared" si="350"/>
        <v>1</v>
      </c>
    </row>
    <row r="1513" spans="1:35" hidden="1" x14ac:dyDescent="0.3">
      <c r="A1513" s="2" t="str">
        <f t="shared" si="347"/>
        <v>NÃO</v>
      </c>
      <c r="B1513" s="2">
        <v>1000184670</v>
      </c>
      <c r="C1513" s="2" t="s">
        <v>147</v>
      </c>
      <c r="D1513" s="4">
        <v>1000186197</v>
      </c>
      <c r="E1513" s="4" t="s">
        <v>166</v>
      </c>
      <c r="F1513" s="2">
        <v>1000184756</v>
      </c>
      <c r="G1513" s="2" t="s">
        <v>53</v>
      </c>
      <c r="H1513" s="4">
        <v>1000189824</v>
      </c>
      <c r="I1513" s="4" t="s">
        <v>100</v>
      </c>
      <c r="J1513" s="2">
        <v>1000189270</v>
      </c>
      <c r="K1513" s="2" t="s">
        <v>34</v>
      </c>
      <c r="L1513" s="4" t="s">
        <v>24</v>
      </c>
      <c r="M1513" s="4" t="str">
        <f t="shared" si="354"/>
        <v>1000184670100018619710001898241000189270KIDS</v>
      </c>
      <c r="N1513" s="28">
        <f>N1505*_xlfn.XLOOKUP($L1513,'Balizador da Meta'!$B$4:$B$21,'Balizador da Meta'!$C$4:$C$21)</f>
        <v>0</v>
      </c>
      <c r="O1513" s="28">
        <f>O1505*_xlfn.XLOOKUP($L1513,'Balizador da Meta'!$B$4:$B$21,'Balizador da Meta'!$C$4:$C$21)</f>
        <v>0</v>
      </c>
      <c r="P1513" s="28">
        <f>P1505*_xlfn.XLOOKUP($L1513,'Balizador da Meta'!$B$4:$B$21,'Balizador da Meta'!$C$4:$C$21)</f>
        <v>0</v>
      </c>
      <c r="Q1513" s="28">
        <f>Q1505*_xlfn.XLOOKUP($L1513,'Balizador da Meta'!$B$4:$B$21,'Balizador da Meta'!$C$4:$C$21)</f>
        <v>0</v>
      </c>
      <c r="R1513" s="28">
        <f>R1505*_xlfn.XLOOKUP($L1513,'Balizador da Meta'!$B$4:$B$21,'Balizador da Meta'!$C$4:$C$21)</f>
        <v>0</v>
      </c>
      <c r="S1513" s="28">
        <f>S1505*_xlfn.XLOOKUP($L1513,'Balizador da Meta'!$B$4:$B$21,'Balizador da Meta'!$C$4:$C$21)</f>
        <v>0</v>
      </c>
      <c r="T1513" s="28">
        <f>T1505*_xlfn.XLOOKUP($L1513,'Balizador da Meta'!$B$4:$B$21,'Balizador da Meta'!$C$4:$C$21)</f>
        <v>0</v>
      </c>
      <c r="U1513" s="28">
        <f>U1505*_xlfn.XLOOKUP($L1513,'Balizador da Meta'!$B$4:$B$21,'Balizador da Meta'!$C$4:$C$21)</f>
        <v>0</v>
      </c>
      <c r="V1513" s="28">
        <f>V1505*_xlfn.XLOOKUP($L1513,'Balizador da Meta'!$B$4:$B$21,'Balizador da Meta'!$C$4:$C$21)</f>
        <v>0</v>
      </c>
      <c r="W1513" s="28">
        <f>W1505*_xlfn.XLOOKUP($L1513,'Balizador da Meta'!$B$4:$B$21,'Balizador da Meta'!$C$4:$C$21)</f>
        <v>0</v>
      </c>
      <c r="X1513" s="28">
        <f>X1505*_xlfn.XLOOKUP($L1513,'Balizador da Meta'!$B$4:$B$21,'Balizador da Meta'!$C$4:$C$21)</f>
        <v>0</v>
      </c>
      <c r="Y1513" s="28">
        <f>Y1505*_xlfn.XLOOKUP($L1513,'Balizador da Meta'!$B$4:$B$21,'Balizador da Meta'!$C$4:$C$21)</f>
        <v>0</v>
      </c>
      <c r="Z1513" s="30">
        <f t="shared" si="360"/>
        <v>0</v>
      </c>
      <c r="AA1513" s="29"/>
      <c r="AB1513" s="31">
        <f>SUMIFS('Historico - FAT'!AK:AK,'Historico - FAT'!$K:$K,Faturamento!$L1513,'Historico - FAT'!$I:$I,Faturamento!$J1513,'Historico - FAT'!$G:$G,Faturamento!$H1513)</f>
        <v>36.550000000000004</v>
      </c>
      <c r="AC1513" s="31">
        <f>SUMIFS('Historico - FAT'!AL:AL,'Historico - FAT'!$K:$K,Faturamento!$L1513,'Historico - FAT'!$I:$I,Faturamento!$J1513,'Historico - FAT'!$G:$G,Faturamento!$H1513)</f>
        <v>27.058333333333334</v>
      </c>
      <c r="AD1513" s="31">
        <f>SUMIFS('Historico - FAT'!AM:AM,'Historico - FAT'!$K:$K,Faturamento!$L1513,'Historico - FAT'!$I:$I,Faturamento!$J1513,'Historico - FAT'!$G:$G,Faturamento!$H1513)</f>
        <v>54.116666666666667</v>
      </c>
      <c r="AE1513" s="27">
        <f>SUMIFS('Historico - FAT'!AN:AN,'Historico - FAT'!$K:$K,Faturamento!$L1513,'Historico - FAT'!$I:$I,Faturamento!$J1513,'Historico - FAT'!$G:$G,Faturamento!$H1513)</f>
        <v>32.47</v>
      </c>
      <c r="AG1513" s="24" t="str">
        <f t="shared" si="348"/>
        <v/>
      </c>
      <c r="AH1513" s="24" t="str">
        <f t="shared" si="349"/>
        <v/>
      </c>
      <c r="AI1513" s="24" t="str">
        <f t="shared" si="350"/>
        <v/>
      </c>
    </row>
    <row r="1514" spans="1:35" hidden="1" x14ac:dyDescent="0.3">
      <c r="A1514" s="2" t="str">
        <f t="shared" si="347"/>
        <v>NÃO</v>
      </c>
      <c r="B1514" s="2">
        <v>1000184670</v>
      </c>
      <c r="C1514" s="2" t="s">
        <v>147</v>
      </c>
      <c r="D1514" s="4">
        <v>1000186197</v>
      </c>
      <c r="E1514" s="4" t="s">
        <v>166</v>
      </c>
      <c r="F1514" s="2">
        <v>1000184756</v>
      </c>
      <c r="G1514" s="2" t="s">
        <v>53</v>
      </c>
      <c r="H1514" s="4">
        <v>1000189824</v>
      </c>
      <c r="I1514" s="4" t="s">
        <v>100</v>
      </c>
      <c r="J1514" s="2">
        <v>1000189270</v>
      </c>
      <c r="K1514" s="2" t="s">
        <v>34</v>
      </c>
      <c r="L1514" s="4" t="s">
        <v>18</v>
      </c>
      <c r="M1514" s="4" t="str">
        <f t="shared" si="354"/>
        <v>1000184670100018619710001898241000189270LANCHES</v>
      </c>
      <c r="N1514" s="28">
        <f>N1505*_xlfn.XLOOKUP($L1514,'Balizador da Meta'!$B$4:$B$21,'Balizador da Meta'!$C$4:$C$21)</f>
        <v>12</v>
      </c>
      <c r="O1514" s="28">
        <f>O1505*_xlfn.XLOOKUP($L1514,'Balizador da Meta'!$B$4:$B$21,'Balizador da Meta'!$C$4:$C$21)</f>
        <v>12</v>
      </c>
      <c r="P1514" s="28">
        <f>P1505*_xlfn.XLOOKUP($L1514,'Balizador da Meta'!$B$4:$B$21,'Balizador da Meta'!$C$4:$C$21)</f>
        <v>12</v>
      </c>
      <c r="Q1514" s="28">
        <f>Q1505*_xlfn.XLOOKUP($L1514,'Balizador da Meta'!$B$4:$B$21,'Balizador da Meta'!$C$4:$C$21)</f>
        <v>12</v>
      </c>
      <c r="R1514" s="28">
        <f>R1505*_xlfn.XLOOKUP($L1514,'Balizador da Meta'!$B$4:$B$21,'Balizador da Meta'!$C$4:$C$21)</f>
        <v>12</v>
      </c>
      <c r="S1514" s="28">
        <f>S1505*_xlfn.XLOOKUP($L1514,'Balizador da Meta'!$B$4:$B$21,'Balizador da Meta'!$C$4:$C$21)</f>
        <v>12</v>
      </c>
      <c r="T1514" s="28">
        <f>T1505*_xlfn.XLOOKUP($L1514,'Balizador da Meta'!$B$4:$B$21,'Balizador da Meta'!$C$4:$C$21)</f>
        <v>12</v>
      </c>
      <c r="U1514" s="28">
        <f>U1505*_xlfn.XLOOKUP($L1514,'Balizador da Meta'!$B$4:$B$21,'Balizador da Meta'!$C$4:$C$21)</f>
        <v>12</v>
      </c>
      <c r="V1514" s="28">
        <f>V1505*_xlfn.XLOOKUP($L1514,'Balizador da Meta'!$B$4:$B$21,'Balizador da Meta'!$C$4:$C$21)</f>
        <v>12</v>
      </c>
      <c r="W1514" s="28">
        <f>W1505*_xlfn.XLOOKUP($L1514,'Balizador da Meta'!$B$4:$B$21,'Balizador da Meta'!$C$4:$C$21)</f>
        <v>12</v>
      </c>
      <c r="X1514" s="28">
        <f>X1505*_xlfn.XLOOKUP($L1514,'Balizador da Meta'!$B$4:$B$21,'Balizador da Meta'!$C$4:$C$21)</f>
        <v>12</v>
      </c>
      <c r="Y1514" s="28">
        <f>Y1505*_xlfn.XLOOKUP($L1514,'Balizador da Meta'!$B$4:$B$21,'Balizador da Meta'!$C$4:$C$21)</f>
        <v>12</v>
      </c>
      <c r="Z1514" s="30">
        <f t="shared" si="360"/>
        <v>144</v>
      </c>
      <c r="AA1514" s="29"/>
      <c r="AB1514" s="31">
        <f>SUMIFS('Historico - FAT'!AK:AK,'Historico - FAT'!$K:$K,Faturamento!$L1514,'Historico - FAT'!$I:$I,Faturamento!$J1514,'Historico - FAT'!$G:$G,Faturamento!$H1514)</f>
        <v>0</v>
      </c>
      <c r="AC1514" s="31">
        <f>SUMIFS('Historico - FAT'!AL:AL,'Historico - FAT'!$K:$K,Faturamento!$L1514,'Historico - FAT'!$I:$I,Faturamento!$J1514,'Historico - FAT'!$G:$G,Faturamento!$H1514)</f>
        <v>13.333333333333334</v>
      </c>
      <c r="AD1514" s="31">
        <f>SUMIFS('Historico - FAT'!AM:AM,'Historico - FAT'!$K:$K,Faturamento!$L1514,'Historico - FAT'!$I:$I,Faturamento!$J1514,'Historico - FAT'!$G:$G,Faturamento!$H1514)</f>
        <v>26.666666666666668</v>
      </c>
      <c r="AE1514" s="27">
        <f>SUMIFS('Historico - FAT'!AN:AN,'Historico - FAT'!$K:$K,Faturamento!$L1514,'Historico - FAT'!$I:$I,Faturamento!$J1514,'Historico - FAT'!$G:$G,Faturamento!$H1514)</f>
        <v>16</v>
      </c>
      <c r="AG1514" s="24">
        <f t="shared" si="348"/>
        <v>1</v>
      </c>
      <c r="AH1514" s="24">
        <f t="shared" si="349"/>
        <v>-0.11111111111111116</v>
      </c>
      <c r="AI1514" s="24">
        <f t="shared" si="350"/>
        <v>-1.2222222222222223</v>
      </c>
    </row>
    <row r="1515" spans="1:35" hidden="1" x14ac:dyDescent="0.3">
      <c r="A1515" s="2" t="str">
        <f t="shared" si="347"/>
        <v>NÃO</v>
      </c>
      <c r="B1515" s="2">
        <v>1000184670</v>
      </c>
      <c r="C1515" s="2" t="s">
        <v>147</v>
      </c>
      <c r="D1515" s="4">
        <v>1000186197</v>
      </c>
      <c r="E1515" s="4" t="s">
        <v>166</v>
      </c>
      <c r="F1515" s="2">
        <v>1000184756</v>
      </c>
      <c r="G1515" s="2" t="s">
        <v>53</v>
      </c>
      <c r="H1515" s="4">
        <v>1000189824</v>
      </c>
      <c r="I1515" s="4" t="s">
        <v>100</v>
      </c>
      <c r="J1515" s="2">
        <v>1000189270</v>
      </c>
      <c r="K1515" s="2" t="s">
        <v>34</v>
      </c>
      <c r="L1515" s="4" t="s">
        <v>29</v>
      </c>
      <c r="M1515" s="4" t="str">
        <f t="shared" si="354"/>
        <v>1000184670100018619710001898241000189270MAIS GRANEL</v>
      </c>
      <c r="N1515" s="28">
        <f>N1505*_xlfn.XLOOKUP($L1515,'Balizador da Meta'!$B$4:$B$21,'Balizador da Meta'!$C$4:$C$21)</f>
        <v>384</v>
      </c>
      <c r="O1515" s="28">
        <f>O1505*_xlfn.XLOOKUP($L1515,'Balizador da Meta'!$B$4:$B$21,'Balizador da Meta'!$C$4:$C$21)</f>
        <v>384</v>
      </c>
      <c r="P1515" s="28">
        <f>P1505*_xlfn.XLOOKUP($L1515,'Balizador da Meta'!$B$4:$B$21,'Balizador da Meta'!$C$4:$C$21)</f>
        <v>384</v>
      </c>
      <c r="Q1515" s="28">
        <f>Q1505*_xlfn.XLOOKUP($L1515,'Balizador da Meta'!$B$4:$B$21,'Balizador da Meta'!$C$4:$C$21)</f>
        <v>384</v>
      </c>
      <c r="R1515" s="28">
        <f>R1505*_xlfn.XLOOKUP($L1515,'Balizador da Meta'!$B$4:$B$21,'Balizador da Meta'!$C$4:$C$21)</f>
        <v>384</v>
      </c>
      <c r="S1515" s="28">
        <f>S1505*_xlfn.XLOOKUP($L1515,'Balizador da Meta'!$B$4:$B$21,'Balizador da Meta'!$C$4:$C$21)</f>
        <v>384</v>
      </c>
      <c r="T1515" s="28">
        <f>T1505*_xlfn.XLOOKUP($L1515,'Balizador da Meta'!$B$4:$B$21,'Balizador da Meta'!$C$4:$C$21)</f>
        <v>384</v>
      </c>
      <c r="U1515" s="28">
        <f>U1505*_xlfn.XLOOKUP($L1515,'Balizador da Meta'!$B$4:$B$21,'Balizador da Meta'!$C$4:$C$21)</f>
        <v>384</v>
      </c>
      <c r="V1515" s="28">
        <f>V1505*_xlfn.XLOOKUP($L1515,'Balizador da Meta'!$B$4:$B$21,'Balizador da Meta'!$C$4:$C$21)</f>
        <v>384</v>
      </c>
      <c r="W1515" s="28">
        <f>W1505*_xlfn.XLOOKUP($L1515,'Balizador da Meta'!$B$4:$B$21,'Balizador da Meta'!$C$4:$C$21)</f>
        <v>384</v>
      </c>
      <c r="X1515" s="28">
        <f>X1505*_xlfn.XLOOKUP($L1515,'Balizador da Meta'!$B$4:$B$21,'Balizador da Meta'!$C$4:$C$21)</f>
        <v>384</v>
      </c>
      <c r="Y1515" s="28">
        <f>Y1505*_xlfn.XLOOKUP($L1515,'Balizador da Meta'!$B$4:$B$21,'Balizador da Meta'!$C$4:$C$21)</f>
        <v>384</v>
      </c>
      <c r="Z1515" s="30">
        <f t="shared" si="360"/>
        <v>4608</v>
      </c>
      <c r="AA1515" s="29"/>
      <c r="AB1515" s="31">
        <f>SUMIFS('Historico - FAT'!AK:AK,'Historico - FAT'!$K:$K,Faturamento!$L1515,'Historico - FAT'!$I:$I,Faturamento!$J1515,'Historico - FAT'!$G:$G,Faturamento!$H1515)</f>
        <v>0</v>
      </c>
      <c r="AC1515" s="31">
        <f>SUMIFS('Historico - FAT'!AL:AL,'Historico - FAT'!$K:$K,Faturamento!$L1515,'Historico - FAT'!$I:$I,Faturamento!$J1515,'Historico - FAT'!$G:$G,Faturamento!$H1515)</f>
        <v>72</v>
      </c>
      <c r="AD1515" s="31">
        <f>SUMIFS('Historico - FAT'!AM:AM,'Historico - FAT'!$K:$K,Faturamento!$L1515,'Historico - FAT'!$I:$I,Faturamento!$J1515,'Historico - FAT'!$G:$G,Faturamento!$H1515)</f>
        <v>94</v>
      </c>
      <c r="AE1515" s="27">
        <f>SUMIFS('Historico - FAT'!AN:AN,'Historico - FAT'!$K:$K,Faturamento!$L1515,'Historico - FAT'!$I:$I,Faturamento!$J1515,'Historico - FAT'!$G:$G,Faturamento!$H1515)</f>
        <v>86.4</v>
      </c>
      <c r="AG1515" s="24">
        <f t="shared" si="348"/>
        <v>1</v>
      </c>
      <c r="AH1515" s="24">
        <f t="shared" si="349"/>
        <v>0.8125</v>
      </c>
      <c r="AI1515" s="24">
        <f t="shared" si="350"/>
        <v>0.75520833333333337</v>
      </c>
    </row>
    <row r="1516" spans="1:35" hidden="1" x14ac:dyDescent="0.3">
      <c r="A1516" s="2" t="str">
        <f t="shared" si="347"/>
        <v>NÃO</v>
      </c>
      <c r="B1516" s="2">
        <v>1000184670</v>
      </c>
      <c r="C1516" s="2" t="s">
        <v>147</v>
      </c>
      <c r="D1516" s="4">
        <v>1000186197</v>
      </c>
      <c r="E1516" s="4" t="s">
        <v>166</v>
      </c>
      <c r="F1516" s="2">
        <v>1000184756</v>
      </c>
      <c r="G1516" s="2" t="s">
        <v>53</v>
      </c>
      <c r="H1516" s="4">
        <v>1000189824</v>
      </c>
      <c r="I1516" s="4" t="s">
        <v>100</v>
      </c>
      <c r="J1516" s="2">
        <v>1000189270</v>
      </c>
      <c r="K1516" s="2" t="s">
        <v>34</v>
      </c>
      <c r="L1516" s="4" t="s">
        <v>21</v>
      </c>
      <c r="M1516" s="4" t="str">
        <f t="shared" si="354"/>
        <v>1000184670100018619710001898241000189270NATURATTA</v>
      </c>
      <c r="N1516" s="28">
        <f>N1505*_xlfn.XLOOKUP($L1516,'Balizador da Meta'!$B$4:$B$21,'Balizador da Meta'!$C$4:$C$21)</f>
        <v>60</v>
      </c>
      <c r="O1516" s="28">
        <f>O1505*_xlfn.XLOOKUP($L1516,'Balizador da Meta'!$B$4:$B$21,'Balizador da Meta'!$C$4:$C$21)</f>
        <v>60</v>
      </c>
      <c r="P1516" s="28">
        <f>P1505*_xlfn.XLOOKUP($L1516,'Balizador da Meta'!$B$4:$B$21,'Balizador da Meta'!$C$4:$C$21)</f>
        <v>60</v>
      </c>
      <c r="Q1516" s="28">
        <f>Q1505*_xlfn.XLOOKUP($L1516,'Balizador da Meta'!$B$4:$B$21,'Balizador da Meta'!$C$4:$C$21)</f>
        <v>60</v>
      </c>
      <c r="R1516" s="28">
        <f>R1505*_xlfn.XLOOKUP($L1516,'Balizador da Meta'!$B$4:$B$21,'Balizador da Meta'!$C$4:$C$21)</f>
        <v>60</v>
      </c>
      <c r="S1516" s="28">
        <f>S1505*_xlfn.XLOOKUP($L1516,'Balizador da Meta'!$B$4:$B$21,'Balizador da Meta'!$C$4:$C$21)</f>
        <v>60</v>
      </c>
      <c r="T1516" s="28">
        <f>T1505*_xlfn.XLOOKUP($L1516,'Balizador da Meta'!$B$4:$B$21,'Balizador da Meta'!$C$4:$C$21)</f>
        <v>60</v>
      </c>
      <c r="U1516" s="28">
        <f>U1505*_xlfn.XLOOKUP($L1516,'Balizador da Meta'!$B$4:$B$21,'Balizador da Meta'!$C$4:$C$21)</f>
        <v>60</v>
      </c>
      <c r="V1516" s="28">
        <f>V1505*_xlfn.XLOOKUP($L1516,'Balizador da Meta'!$B$4:$B$21,'Balizador da Meta'!$C$4:$C$21)</f>
        <v>60</v>
      </c>
      <c r="W1516" s="28">
        <f>W1505*_xlfn.XLOOKUP($L1516,'Balizador da Meta'!$B$4:$B$21,'Balizador da Meta'!$C$4:$C$21)</f>
        <v>60</v>
      </c>
      <c r="X1516" s="28">
        <f>X1505*_xlfn.XLOOKUP($L1516,'Balizador da Meta'!$B$4:$B$21,'Balizador da Meta'!$C$4:$C$21)</f>
        <v>60</v>
      </c>
      <c r="Y1516" s="28">
        <f>Y1505*_xlfn.XLOOKUP($L1516,'Balizador da Meta'!$B$4:$B$21,'Balizador da Meta'!$C$4:$C$21)</f>
        <v>60</v>
      </c>
      <c r="Z1516" s="30">
        <f t="shared" si="360"/>
        <v>720</v>
      </c>
      <c r="AA1516" s="29"/>
      <c r="AB1516" s="31">
        <f>SUMIFS('Historico - FAT'!AK:AK,'Historico - FAT'!$K:$K,Faturamento!$L1516,'Historico - FAT'!$I:$I,Faturamento!$J1516,'Historico - FAT'!$G:$G,Faturamento!$H1516)</f>
        <v>0</v>
      </c>
      <c r="AC1516" s="31">
        <f>SUMIFS('Historico - FAT'!AL:AL,'Historico - FAT'!$K:$K,Faturamento!$L1516,'Historico - FAT'!$I:$I,Faturamento!$J1516,'Historico - FAT'!$G:$G,Faturamento!$H1516)</f>
        <v>61.748333333333335</v>
      </c>
      <c r="AD1516" s="31">
        <f>SUMIFS('Historico - FAT'!AM:AM,'Historico - FAT'!$K:$K,Faturamento!$L1516,'Historico - FAT'!$I:$I,Faturamento!$J1516,'Historico - FAT'!$G:$G,Faturamento!$H1516)</f>
        <v>27.52333333333333</v>
      </c>
      <c r="AE1516" s="27">
        <f>SUMIFS('Historico - FAT'!AN:AN,'Historico - FAT'!$K:$K,Faturamento!$L1516,'Historico - FAT'!$I:$I,Faturamento!$J1516,'Historico - FAT'!$G:$G,Faturamento!$H1516)</f>
        <v>74.097999999999999</v>
      </c>
      <c r="AG1516" s="24">
        <f t="shared" si="348"/>
        <v>1</v>
      </c>
      <c r="AH1516" s="24">
        <f t="shared" si="349"/>
        <v>-2.9138888888888916E-2</v>
      </c>
      <c r="AI1516" s="24">
        <f t="shared" si="350"/>
        <v>0.54127777777777786</v>
      </c>
    </row>
    <row r="1517" spans="1:35" hidden="1" x14ac:dyDescent="0.3">
      <c r="A1517" s="2" t="str">
        <f t="shared" si="347"/>
        <v>NÃO</v>
      </c>
      <c r="B1517" s="2">
        <v>1000184670</v>
      </c>
      <c r="C1517" s="2" t="s">
        <v>147</v>
      </c>
      <c r="D1517" s="4">
        <v>1000186197</v>
      </c>
      <c r="E1517" s="4" t="s">
        <v>166</v>
      </c>
      <c r="F1517" s="2">
        <v>1000184756</v>
      </c>
      <c r="G1517" s="2" t="s">
        <v>53</v>
      </c>
      <c r="H1517" s="4">
        <v>1000189824</v>
      </c>
      <c r="I1517" s="4" t="s">
        <v>100</v>
      </c>
      <c r="J1517" s="2">
        <v>1000189270</v>
      </c>
      <c r="K1517" s="2" t="s">
        <v>34</v>
      </c>
      <c r="L1517" s="4" t="s">
        <v>20</v>
      </c>
      <c r="M1517" s="4" t="str">
        <f t="shared" si="354"/>
        <v>1000184670100018619710001898241000189270REEMBALADOS</v>
      </c>
      <c r="N1517" s="28">
        <f>N1505*_xlfn.XLOOKUP($L1517,'Balizador da Meta'!$B$4:$B$21,'Balizador da Meta'!$C$4:$C$21)</f>
        <v>48</v>
      </c>
      <c r="O1517" s="28">
        <f>O1505*_xlfn.XLOOKUP($L1517,'Balizador da Meta'!$B$4:$B$21,'Balizador da Meta'!$C$4:$C$21)</f>
        <v>48</v>
      </c>
      <c r="P1517" s="28">
        <f>P1505*_xlfn.XLOOKUP($L1517,'Balizador da Meta'!$B$4:$B$21,'Balizador da Meta'!$C$4:$C$21)</f>
        <v>48</v>
      </c>
      <c r="Q1517" s="28">
        <f>Q1505*_xlfn.XLOOKUP($L1517,'Balizador da Meta'!$B$4:$B$21,'Balizador da Meta'!$C$4:$C$21)</f>
        <v>48</v>
      </c>
      <c r="R1517" s="28">
        <f>R1505*_xlfn.XLOOKUP($L1517,'Balizador da Meta'!$B$4:$B$21,'Balizador da Meta'!$C$4:$C$21)</f>
        <v>48</v>
      </c>
      <c r="S1517" s="28">
        <f>S1505*_xlfn.XLOOKUP($L1517,'Balizador da Meta'!$B$4:$B$21,'Balizador da Meta'!$C$4:$C$21)</f>
        <v>48</v>
      </c>
      <c r="T1517" s="28">
        <f>T1505*_xlfn.XLOOKUP($L1517,'Balizador da Meta'!$B$4:$B$21,'Balizador da Meta'!$C$4:$C$21)</f>
        <v>48</v>
      </c>
      <c r="U1517" s="28">
        <f>U1505*_xlfn.XLOOKUP($L1517,'Balizador da Meta'!$B$4:$B$21,'Balizador da Meta'!$C$4:$C$21)</f>
        <v>48</v>
      </c>
      <c r="V1517" s="28">
        <f>V1505*_xlfn.XLOOKUP($L1517,'Balizador da Meta'!$B$4:$B$21,'Balizador da Meta'!$C$4:$C$21)</f>
        <v>48</v>
      </c>
      <c r="W1517" s="28">
        <f>W1505*_xlfn.XLOOKUP($L1517,'Balizador da Meta'!$B$4:$B$21,'Balizador da Meta'!$C$4:$C$21)</f>
        <v>48</v>
      </c>
      <c r="X1517" s="28">
        <f>X1505*_xlfn.XLOOKUP($L1517,'Balizador da Meta'!$B$4:$B$21,'Balizador da Meta'!$C$4:$C$21)</f>
        <v>48</v>
      </c>
      <c r="Y1517" s="28">
        <f>Y1505*_xlfn.XLOOKUP($L1517,'Balizador da Meta'!$B$4:$B$21,'Balizador da Meta'!$C$4:$C$21)</f>
        <v>48</v>
      </c>
      <c r="Z1517" s="30">
        <f t="shared" si="360"/>
        <v>576</v>
      </c>
      <c r="AA1517" s="29"/>
      <c r="AB1517" s="31">
        <f>SUMIFS('Historico - FAT'!AK:AK,'Historico - FAT'!$K:$K,Faturamento!$L1517,'Historico - FAT'!$I:$I,Faturamento!$J1517,'Historico - FAT'!$G:$G,Faturamento!$H1517)</f>
        <v>44.25</v>
      </c>
      <c r="AC1517" s="31">
        <f>SUMIFS('Historico - FAT'!AL:AL,'Historico - FAT'!$K:$K,Faturamento!$L1517,'Historico - FAT'!$I:$I,Faturamento!$J1517,'Historico - FAT'!$G:$G,Faturamento!$H1517)</f>
        <v>36.290833333333332</v>
      </c>
      <c r="AD1517" s="31">
        <f>SUMIFS('Historico - FAT'!AM:AM,'Historico - FAT'!$K:$K,Faturamento!$L1517,'Historico - FAT'!$I:$I,Faturamento!$J1517,'Historico - FAT'!$G:$G,Faturamento!$H1517)</f>
        <v>61.581666666666671</v>
      </c>
      <c r="AE1517" s="27">
        <f>SUMIFS('Historico - FAT'!AN:AN,'Historico - FAT'!$K:$K,Faturamento!$L1517,'Historico - FAT'!$I:$I,Faturamento!$J1517,'Historico - FAT'!$G:$G,Faturamento!$H1517)</f>
        <v>43.548999999999999</v>
      </c>
      <c r="AG1517" s="24">
        <f t="shared" si="348"/>
        <v>7.8125E-2</v>
      </c>
      <c r="AH1517" s="24">
        <f t="shared" si="349"/>
        <v>0.24394097222222225</v>
      </c>
      <c r="AI1517" s="24">
        <f t="shared" si="350"/>
        <v>-0.28295138888888899</v>
      </c>
    </row>
    <row r="1518" spans="1:35" hidden="1" x14ac:dyDescent="0.3">
      <c r="A1518" s="2" t="str">
        <f t="shared" si="347"/>
        <v>NÃO</v>
      </c>
      <c r="B1518" s="2">
        <v>1000184670</v>
      </c>
      <c r="C1518" s="2" t="s">
        <v>147</v>
      </c>
      <c r="D1518" s="4">
        <v>1000186197</v>
      </c>
      <c r="E1518" s="4" t="s">
        <v>166</v>
      </c>
      <c r="F1518" s="2">
        <v>1000184756</v>
      </c>
      <c r="G1518" s="2" t="s">
        <v>53</v>
      </c>
      <c r="H1518" s="4">
        <v>1000189824</v>
      </c>
      <c r="I1518" s="4" t="s">
        <v>100</v>
      </c>
      <c r="J1518" s="2">
        <v>1000189270</v>
      </c>
      <c r="K1518" s="2" t="s">
        <v>34</v>
      </c>
      <c r="L1518" s="4" t="s">
        <v>22</v>
      </c>
      <c r="M1518" s="4" t="str">
        <f t="shared" si="354"/>
        <v>1000184670100018619710001898241000189270S GLUTEN</v>
      </c>
      <c r="N1518" s="28">
        <f>N1505*_xlfn.XLOOKUP($L1518,'Balizador da Meta'!$B$4:$B$21,'Balizador da Meta'!$C$4:$C$21)</f>
        <v>48</v>
      </c>
      <c r="O1518" s="28">
        <f>O1505*_xlfn.XLOOKUP($L1518,'Balizador da Meta'!$B$4:$B$21,'Balizador da Meta'!$C$4:$C$21)</f>
        <v>48</v>
      </c>
      <c r="P1518" s="28">
        <f>P1505*_xlfn.XLOOKUP($L1518,'Balizador da Meta'!$B$4:$B$21,'Balizador da Meta'!$C$4:$C$21)</f>
        <v>48</v>
      </c>
      <c r="Q1518" s="28">
        <f>Q1505*_xlfn.XLOOKUP($L1518,'Balizador da Meta'!$B$4:$B$21,'Balizador da Meta'!$C$4:$C$21)</f>
        <v>48</v>
      </c>
      <c r="R1518" s="28">
        <f>R1505*_xlfn.XLOOKUP($L1518,'Balizador da Meta'!$B$4:$B$21,'Balizador da Meta'!$C$4:$C$21)</f>
        <v>48</v>
      </c>
      <c r="S1518" s="28">
        <f>S1505*_xlfn.XLOOKUP($L1518,'Balizador da Meta'!$B$4:$B$21,'Balizador da Meta'!$C$4:$C$21)</f>
        <v>48</v>
      </c>
      <c r="T1518" s="28">
        <f>T1505*_xlfn.XLOOKUP($L1518,'Balizador da Meta'!$B$4:$B$21,'Balizador da Meta'!$C$4:$C$21)</f>
        <v>48</v>
      </c>
      <c r="U1518" s="28">
        <f>U1505*_xlfn.XLOOKUP($L1518,'Balizador da Meta'!$B$4:$B$21,'Balizador da Meta'!$C$4:$C$21)</f>
        <v>48</v>
      </c>
      <c r="V1518" s="28">
        <f>V1505*_xlfn.XLOOKUP($L1518,'Balizador da Meta'!$B$4:$B$21,'Balizador da Meta'!$C$4:$C$21)</f>
        <v>48</v>
      </c>
      <c r="W1518" s="28">
        <f>W1505*_xlfn.XLOOKUP($L1518,'Balizador da Meta'!$B$4:$B$21,'Balizador da Meta'!$C$4:$C$21)</f>
        <v>48</v>
      </c>
      <c r="X1518" s="28">
        <f>X1505*_xlfn.XLOOKUP($L1518,'Balizador da Meta'!$B$4:$B$21,'Balizador da Meta'!$C$4:$C$21)</f>
        <v>48</v>
      </c>
      <c r="Y1518" s="28">
        <f>Y1505*_xlfn.XLOOKUP($L1518,'Balizador da Meta'!$B$4:$B$21,'Balizador da Meta'!$C$4:$C$21)</f>
        <v>48</v>
      </c>
      <c r="Z1518" s="30">
        <f t="shared" si="360"/>
        <v>576</v>
      </c>
      <c r="AA1518" s="29"/>
      <c r="AB1518" s="31">
        <f>SUMIFS('Historico - FAT'!AK:AK,'Historico - FAT'!$K:$K,Faturamento!$L1518,'Historico - FAT'!$I:$I,Faturamento!$J1518,'Historico - FAT'!$G:$G,Faturamento!$H1518)</f>
        <v>0</v>
      </c>
      <c r="AC1518" s="31">
        <f>SUMIFS('Historico - FAT'!AL:AL,'Historico - FAT'!$K:$K,Faturamento!$L1518,'Historico - FAT'!$I:$I,Faturamento!$J1518,'Historico - FAT'!$G:$G,Faturamento!$H1518)</f>
        <v>13.580833333333333</v>
      </c>
      <c r="AD1518" s="31">
        <f>SUMIFS('Historico - FAT'!AM:AM,'Historico - FAT'!$K:$K,Faturamento!$L1518,'Historico - FAT'!$I:$I,Faturamento!$J1518,'Historico - FAT'!$G:$G,Faturamento!$H1518)</f>
        <v>27.161666666666665</v>
      </c>
      <c r="AE1518" s="27">
        <f>SUMIFS('Historico - FAT'!AN:AN,'Historico - FAT'!$K:$K,Faturamento!$L1518,'Historico - FAT'!$I:$I,Faturamento!$J1518,'Historico - FAT'!$G:$G,Faturamento!$H1518)</f>
        <v>16.297000000000001</v>
      </c>
      <c r="AG1518" s="24">
        <f t="shared" si="348"/>
        <v>1</v>
      </c>
      <c r="AH1518" s="24">
        <f t="shared" si="349"/>
        <v>0.71706597222222224</v>
      </c>
      <c r="AI1518" s="24">
        <f t="shared" si="350"/>
        <v>0.43413194444444447</v>
      </c>
    </row>
    <row r="1519" spans="1:35" hidden="1" x14ac:dyDescent="0.3">
      <c r="A1519" s="2" t="str">
        <f t="shared" si="347"/>
        <v>NÃO</v>
      </c>
      <c r="B1519" s="2">
        <v>1000184670</v>
      </c>
      <c r="C1519" s="2" t="s">
        <v>147</v>
      </c>
      <c r="D1519" s="4">
        <v>1000186197</v>
      </c>
      <c r="E1519" s="4" t="s">
        <v>166</v>
      </c>
      <c r="F1519" s="2">
        <v>1000184756</v>
      </c>
      <c r="G1519" s="2" t="s">
        <v>53</v>
      </c>
      <c r="H1519" s="4">
        <v>1000189824</v>
      </c>
      <c r="I1519" s="4" t="s">
        <v>100</v>
      </c>
      <c r="J1519" s="2">
        <v>1000189270</v>
      </c>
      <c r="K1519" s="2" t="s">
        <v>34</v>
      </c>
      <c r="L1519" s="4" t="s">
        <v>23</v>
      </c>
      <c r="M1519" s="4" t="str">
        <f t="shared" si="354"/>
        <v>1000184670100018619710001898241000189270SABORES DO CAMPO</v>
      </c>
      <c r="N1519" s="28">
        <f>N1505*_xlfn.XLOOKUP($L1519,'Balizador da Meta'!$B$4:$B$21,'Balizador da Meta'!$C$4:$C$21)</f>
        <v>0</v>
      </c>
      <c r="O1519" s="28">
        <f>O1505*_xlfn.XLOOKUP($L1519,'Balizador da Meta'!$B$4:$B$21,'Balizador da Meta'!$C$4:$C$21)</f>
        <v>0</v>
      </c>
      <c r="P1519" s="28">
        <f>P1505*_xlfn.XLOOKUP($L1519,'Balizador da Meta'!$B$4:$B$21,'Balizador da Meta'!$C$4:$C$21)</f>
        <v>0</v>
      </c>
      <c r="Q1519" s="28">
        <f>Q1505*_xlfn.XLOOKUP($L1519,'Balizador da Meta'!$B$4:$B$21,'Balizador da Meta'!$C$4:$C$21)</f>
        <v>0</v>
      </c>
      <c r="R1519" s="28">
        <f>R1505*_xlfn.XLOOKUP($L1519,'Balizador da Meta'!$B$4:$B$21,'Balizador da Meta'!$C$4:$C$21)</f>
        <v>0</v>
      </c>
      <c r="S1519" s="28">
        <f>S1505*_xlfn.XLOOKUP($L1519,'Balizador da Meta'!$B$4:$B$21,'Balizador da Meta'!$C$4:$C$21)</f>
        <v>0</v>
      </c>
      <c r="T1519" s="28">
        <f>T1505*_xlfn.XLOOKUP($L1519,'Balizador da Meta'!$B$4:$B$21,'Balizador da Meta'!$C$4:$C$21)</f>
        <v>0</v>
      </c>
      <c r="U1519" s="28">
        <f>U1505*_xlfn.XLOOKUP($L1519,'Balizador da Meta'!$B$4:$B$21,'Balizador da Meta'!$C$4:$C$21)</f>
        <v>0</v>
      </c>
      <c r="V1519" s="28">
        <f>V1505*_xlfn.XLOOKUP($L1519,'Balizador da Meta'!$B$4:$B$21,'Balizador da Meta'!$C$4:$C$21)</f>
        <v>0</v>
      </c>
      <c r="W1519" s="28">
        <f>W1505*_xlfn.XLOOKUP($L1519,'Balizador da Meta'!$B$4:$B$21,'Balizador da Meta'!$C$4:$C$21)</f>
        <v>0</v>
      </c>
      <c r="X1519" s="28">
        <f>X1505*_xlfn.XLOOKUP($L1519,'Balizador da Meta'!$B$4:$B$21,'Balizador da Meta'!$C$4:$C$21)</f>
        <v>0</v>
      </c>
      <c r="Y1519" s="28">
        <f>Y1505*_xlfn.XLOOKUP($L1519,'Balizador da Meta'!$B$4:$B$21,'Balizador da Meta'!$C$4:$C$21)</f>
        <v>0</v>
      </c>
      <c r="Z1519" s="30">
        <f t="shared" si="360"/>
        <v>0</v>
      </c>
      <c r="AA1519" s="29"/>
      <c r="AB1519" s="31">
        <f>SUMIFS('Historico - FAT'!AK:AK,'Historico - FAT'!$K:$K,Faturamento!$L1519,'Historico - FAT'!$I:$I,Faturamento!$J1519,'Historico - FAT'!$G:$G,Faturamento!$H1519)</f>
        <v>0</v>
      </c>
      <c r="AC1519" s="31">
        <f>SUMIFS('Historico - FAT'!AL:AL,'Historico - FAT'!$K:$K,Faturamento!$L1519,'Historico - FAT'!$I:$I,Faturamento!$J1519,'Historico - FAT'!$G:$G,Faturamento!$H1519)</f>
        <v>0</v>
      </c>
      <c r="AD1519" s="31">
        <f>SUMIFS('Historico - FAT'!AM:AM,'Historico - FAT'!$K:$K,Faturamento!$L1519,'Historico - FAT'!$I:$I,Faturamento!$J1519,'Historico - FAT'!$G:$G,Faturamento!$H1519)</f>
        <v>0</v>
      </c>
      <c r="AE1519" s="27">
        <f>SUMIFS('Historico - FAT'!AN:AN,'Historico - FAT'!$K:$K,Faturamento!$L1519,'Historico - FAT'!$I:$I,Faturamento!$J1519,'Historico - FAT'!$G:$G,Faturamento!$H1519)</f>
        <v>0</v>
      </c>
      <c r="AG1519" s="24" t="str">
        <f t="shared" si="348"/>
        <v/>
      </c>
      <c r="AH1519" s="24" t="str">
        <f t="shared" si="349"/>
        <v/>
      </c>
      <c r="AI1519" s="24" t="str">
        <f t="shared" si="350"/>
        <v/>
      </c>
    </row>
    <row r="1520" spans="1:35" hidden="1" x14ac:dyDescent="0.3">
      <c r="A1520" s="2" t="str">
        <f t="shared" si="347"/>
        <v>NÃO</v>
      </c>
      <c r="B1520" s="2">
        <v>1000184670</v>
      </c>
      <c r="C1520" s="2" t="s">
        <v>147</v>
      </c>
      <c r="D1520" s="4">
        <v>1000186197</v>
      </c>
      <c r="E1520" s="4" t="s">
        <v>166</v>
      </c>
      <c r="F1520" s="2">
        <v>1000184756</v>
      </c>
      <c r="G1520" s="2" t="s">
        <v>53</v>
      </c>
      <c r="H1520" s="4">
        <v>1000189824</v>
      </c>
      <c r="I1520" s="4" t="s">
        <v>100</v>
      </c>
      <c r="J1520" s="2">
        <v>1000189270</v>
      </c>
      <c r="K1520" s="2" t="s">
        <v>34</v>
      </c>
      <c r="L1520" s="4" t="s">
        <v>28</v>
      </c>
      <c r="M1520" s="4" t="str">
        <f t="shared" si="354"/>
        <v>1000184670100018619710001898241000189270SAL</v>
      </c>
      <c r="N1520" s="28">
        <f>N1505*_xlfn.XLOOKUP($L1520,'Balizador da Meta'!$B$4:$B$21,'Balizador da Meta'!$C$4:$C$21)</f>
        <v>24</v>
      </c>
      <c r="O1520" s="28">
        <f>O1505*_xlfn.XLOOKUP($L1520,'Balizador da Meta'!$B$4:$B$21,'Balizador da Meta'!$C$4:$C$21)</f>
        <v>24</v>
      </c>
      <c r="P1520" s="28">
        <f>P1505*_xlfn.XLOOKUP($L1520,'Balizador da Meta'!$B$4:$B$21,'Balizador da Meta'!$C$4:$C$21)</f>
        <v>24</v>
      </c>
      <c r="Q1520" s="28">
        <f>Q1505*_xlfn.XLOOKUP($L1520,'Balizador da Meta'!$B$4:$B$21,'Balizador da Meta'!$C$4:$C$21)</f>
        <v>24</v>
      </c>
      <c r="R1520" s="28">
        <f>R1505*_xlfn.XLOOKUP($L1520,'Balizador da Meta'!$B$4:$B$21,'Balizador da Meta'!$C$4:$C$21)</f>
        <v>24</v>
      </c>
      <c r="S1520" s="28">
        <f>S1505*_xlfn.XLOOKUP($L1520,'Balizador da Meta'!$B$4:$B$21,'Balizador da Meta'!$C$4:$C$21)</f>
        <v>24</v>
      </c>
      <c r="T1520" s="28">
        <f>T1505*_xlfn.XLOOKUP($L1520,'Balizador da Meta'!$B$4:$B$21,'Balizador da Meta'!$C$4:$C$21)</f>
        <v>24</v>
      </c>
      <c r="U1520" s="28">
        <f>U1505*_xlfn.XLOOKUP($L1520,'Balizador da Meta'!$B$4:$B$21,'Balizador da Meta'!$C$4:$C$21)</f>
        <v>24</v>
      </c>
      <c r="V1520" s="28">
        <f>V1505*_xlfn.XLOOKUP($L1520,'Balizador da Meta'!$B$4:$B$21,'Balizador da Meta'!$C$4:$C$21)</f>
        <v>24</v>
      </c>
      <c r="W1520" s="28">
        <f>W1505*_xlfn.XLOOKUP($L1520,'Balizador da Meta'!$B$4:$B$21,'Balizador da Meta'!$C$4:$C$21)</f>
        <v>24</v>
      </c>
      <c r="X1520" s="28">
        <f>X1505*_xlfn.XLOOKUP($L1520,'Balizador da Meta'!$B$4:$B$21,'Balizador da Meta'!$C$4:$C$21)</f>
        <v>24</v>
      </c>
      <c r="Y1520" s="28">
        <f>Y1505*_xlfn.XLOOKUP($L1520,'Balizador da Meta'!$B$4:$B$21,'Balizador da Meta'!$C$4:$C$21)</f>
        <v>24</v>
      </c>
      <c r="Z1520" s="30">
        <f t="shared" si="360"/>
        <v>288</v>
      </c>
      <c r="AA1520" s="29"/>
      <c r="AB1520" s="31">
        <f>SUMIFS('Historico - FAT'!AK:AK,'Historico - FAT'!$K:$K,Faturamento!$L1520,'Historico - FAT'!$I:$I,Faturamento!$J1520,'Historico - FAT'!$G:$G,Faturamento!$H1520)</f>
        <v>0</v>
      </c>
      <c r="AC1520" s="31">
        <f>SUMIFS('Historico - FAT'!AL:AL,'Historico - FAT'!$K:$K,Faturamento!$L1520,'Historico - FAT'!$I:$I,Faturamento!$J1520,'Historico - FAT'!$G:$G,Faturamento!$H1520)</f>
        <v>0</v>
      </c>
      <c r="AD1520" s="31">
        <f>SUMIFS('Historico - FAT'!AM:AM,'Historico - FAT'!$K:$K,Faturamento!$L1520,'Historico - FAT'!$I:$I,Faturamento!$J1520,'Historico - FAT'!$G:$G,Faturamento!$H1520)</f>
        <v>0</v>
      </c>
      <c r="AE1520" s="27">
        <f>SUMIFS('Historico - FAT'!AN:AN,'Historico - FAT'!$K:$K,Faturamento!$L1520,'Historico - FAT'!$I:$I,Faturamento!$J1520,'Historico - FAT'!$G:$G,Faturamento!$H1520)</f>
        <v>0</v>
      </c>
      <c r="AG1520" s="24">
        <f t="shared" si="348"/>
        <v>1</v>
      </c>
      <c r="AH1520" s="24">
        <f t="shared" si="349"/>
        <v>1</v>
      </c>
      <c r="AI1520" s="24">
        <f t="shared" si="350"/>
        <v>1</v>
      </c>
    </row>
    <row r="1521" spans="1:35" hidden="1" x14ac:dyDescent="0.3">
      <c r="A1521" s="2" t="str">
        <f t="shared" si="347"/>
        <v>NÃO</v>
      </c>
      <c r="B1521" s="2">
        <v>1000184670</v>
      </c>
      <c r="C1521" s="2" t="s">
        <v>147</v>
      </c>
      <c r="D1521" s="4">
        <v>1000186197</v>
      </c>
      <c r="E1521" s="4" t="s">
        <v>166</v>
      </c>
      <c r="F1521" s="2">
        <v>1000184756</v>
      </c>
      <c r="G1521" s="2" t="s">
        <v>53</v>
      </c>
      <c r="H1521" s="4">
        <v>1000189824</v>
      </c>
      <c r="I1521" s="4" t="s">
        <v>100</v>
      </c>
      <c r="J1521" s="2">
        <v>1000189270</v>
      </c>
      <c r="K1521" s="2" t="s">
        <v>34</v>
      </c>
      <c r="L1521" s="4" t="s">
        <v>26</v>
      </c>
      <c r="M1521" s="4" t="str">
        <f t="shared" si="354"/>
        <v>1000184670100018619710001898241000189270SOULPRO</v>
      </c>
      <c r="N1521" s="28">
        <f>N1505*_xlfn.XLOOKUP($L1521,'Balizador da Meta'!$B$4:$B$21,'Balizador da Meta'!$C$4:$C$21)</f>
        <v>72</v>
      </c>
      <c r="O1521" s="28">
        <f>O1505*_xlfn.XLOOKUP($L1521,'Balizador da Meta'!$B$4:$B$21,'Balizador da Meta'!$C$4:$C$21)</f>
        <v>72</v>
      </c>
      <c r="P1521" s="28">
        <f>P1505*_xlfn.XLOOKUP($L1521,'Balizador da Meta'!$B$4:$B$21,'Balizador da Meta'!$C$4:$C$21)</f>
        <v>72</v>
      </c>
      <c r="Q1521" s="28">
        <f>Q1505*_xlfn.XLOOKUP($L1521,'Balizador da Meta'!$B$4:$B$21,'Balizador da Meta'!$C$4:$C$21)</f>
        <v>72</v>
      </c>
      <c r="R1521" s="28">
        <f>R1505*_xlfn.XLOOKUP($L1521,'Balizador da Meta'!$B$4:$B$21,'Balizador da Meta'!$C$4:$C$21)</f>
        <v>72</v>
      </c>
      <c r="S1521" s="28">
        <f>S1505*_xlfn.XLOOKUP($L1521,'Balizador da Meta'!$B$4:$B$21,'Balizador da Meta'!$C$4:$C$21)</f>
        <v>72</v>
      </c>
      <c r="T1521" s="28">
        <f>T1505*_xlfn.XLOOKUP($L1521,'Balizador da Meta'!$B$4:$B$21,'Balizador da Meta'!$C$4:$C$21)</f>
        <v>72</v>
      </c>
      <c r="U1521" s="28">
        <f>U1505*_xlfn.XLOOKUP($L1521,'Balizador da Meta'!$B$4:$B$21,'Balizador da Meta'!$C$4:$C$21)</f>
        <v>72</v>
      </c>
      <c r="V1521" s="28">
        <f>V1505*_xlfn.XLOOKUP($L1521,'Balizador da Meta'!$B$4:$B$21,'Balizador da Meta'!$C$4:$C$21)</f>
        <v>72</v>
      </c>
      <c r="W1521" s="28">
        <f>W1505*_xlfn.XLOOKUP($L1521,'Balizador da Meta'!$B$4:$B$21,'Balizador da Meta'!$C$4:$C$21)</f>
        <v>72</v>
      </c>
      <c r="X1521" s="28">
        <f>X1505*_xlfn.XLOOKUP($L1521,'Balizador da Meta'!$B$4:$B$21,'Balizador da Meta'!$C$4:$C$21)</f>
        <v>72</v>
      </c>
      <c r="Y1521" s="28">
        <f>Y1505*_xlfn.XLOOKUP($L1521,'Balizador da Meta'!$B$4:$B$21,'Balizador da Meta'!$C$4:$C$21)</f>
        <v>72</v>
      </c>
      <c r="Z1521" s="30">
        <f t="shared" si="360"/>
        <v>864</v>
      </c>
      <c r="AA1521" s="29"/>
      <c r="AB1521" s="31">
        <f>SUMIFS('Historico - FAT'!AK:AK,'Historico - FAT'!$K:$K,Faturamento!$L1521,'Historico - FAT'!$I:$I,Faturamento!$J1521,'Historico - FAT'!$G:$G,Faturamento!$H1521)</f>
        <v>347.18</v>
      </c>
      <c r="AC1521" s="31">
        <f>SUMIFS('Historico - FAT'!AL:AL,'Historico - FAT'!$K:$K,Faturamento!$L1521,'Historico - FAT'!$I:$I,Faturamento!$J1521,'Historico - FAT'!$G:$G,Faturamento!$H1521)</f>
        <v>217.19500000000002</v>
      </c>
      <c r="AD1521" s="31">
        <f>SUMIFS('Historico - FAT'!AM:AM,'Historico - FAT'!$K:$K,Faturamento!$L1521,'Historico - FAT'!$I:$I,Faturamento!$J1521,'Historico - FAT'!$G:$G,Faturamento!$H1521)</f>
        <v>242.25</v>
      </c>
      <c r="AE1521" s="27">
        <f>SUMIFS('Historico - FAT'!AN:AN,'Historico - FAT'!$K:$K,Faturamento!$L1521,'Historico - FAT'!$I:$I,Faturamento!$J1521,'Historico - FAT'!$G:$G,Faturamento!$H1521)</f>
        <v>260.63400000000001</v>
      </c>
      <c r="AG1521" s="24">
        <f t="shared" si="348"/>
        <v>-3.8219444444444446</v>
      </c>
      <c r="AH1521" s="24">
        <f t="shared" si="349"/>
        <v>-2.0165972222222224</v>
      </c>
      <c r="AI1521" s="24">
        <f t="shared" si="350"/>
        <v>-2.3645833333333335</v>
      </c>
    </row>
    <row r="1522" spans="1:35" hidden="1" x14ac:dyDescent="0.3">
      <c r="A1522" s="2" t="str">
        <f t="shared" ref="A1522:A1523" si="361">IF(OR(H1522&lt;&gt;H1521,J1522&lt;&gt;J1521),"SIM","NÃO")</f>
        <v>NÃO</v>
      </c>
      <c r="B1522" s="2">
        <v>1000184670</v>
      </c>
      <c r="C1522" s="2" t="s">
        <v>147</v>
      </c>
      <c r="D1522" s="4">
        <v>1000186197</v>
      </c>
      <c r="E1522" s="4" t="s">
        <v>166</v>
      </c>
      <c r="F1522" s="2">
        <v>1000184756</v>
      </c>
      <c r="G1522" s="2" t="s">
        <v>53</v>
      </c>
      <c r="H1522" s="4">
        <v>1000189824</v>
      </c>
      <c r="I1522" s="4" t="s">
        <v>100</v>
      </c>
      <c r="J1522" s="2">
        <v>1000189270</v>
      </c>
      <c r="K1522" s="2" t="s">
        <v>34</v>
      </c>
      <c r="L1522" s="4" t="s">
        <v>27</v>
      </c>
      <c r="M1522" s="4" t="str">
        <f t="shared" si="354"/>
        <v>1000184670100018619710001898241000189270TAMARA</v>
      </c>
      <c r="N1522" s="28">
        <f>N1505*_xlfn.XLOOKUP($L1522,'Balizador da Meta'!$B$4:$B$21,'Balizador da Meta'!$C$4:$C$21)</f>
        <v>96</v>
      </c>
      <c r="O1522" s="28">
        <f>O1505*_xlfn.XLOOKUP($L1522,'Balizador da Meta'!$B$4:$B$21,'Balizador da Meta'!$C$4:$C$21)</f>
        <v>96</v>
      </c>
      <c r="P1522" s="28">
        <f>P1505*_xlfn.XLOOKUP($L1522,'Balizador da Meta'!$B$4:$B$21,'Balizador da Meta'!$C$4:$C$21)</f>
        <v>96</v>
      </c>
      <c r="Q1522" s="28">
        <f>Q1505*_xlfn.XLOOKUP($L1522,'Balizador da Meta'!$B$4:$B$21,'Balizador da Meta'!$C$4:$C$21)</f>
        <v>96</v>
      </c>
      <c r="R1522" s="28">
        <f>R1505*_xlfn.XLOOKUP($L1522,'Balizador da Meta'!$B$4:$B$21,'Balizador da Meta'!$C$4:$C$21)</f>
        <v>96</v>
      </c>
      <c r="S1522" s="28">
        <f>S1505*_xlfn.XLOOKUP($L1522,'Balizador da Meta'!$B$4:$B$21,'Balizador da Meta'!$C$4:$C$21)</f>
        <v>96</v>
      </c>
      <c r="T1522" s="28">
        <f>T1505*_xlfn.XLOOKUP($L1522,'Balizador da Meta'!$B$4:$B$21,'Balizador da Meta'!$C$4:$C$21)</f>
        <v>96</v>
      </c>
      <c r="U1522" s="28">
        <f>U1505*_xlfn.XLOOKUP($L1522,'Balizador da Meta'!$B$4:$B$21,'Balizador da Meta'!$C$4:$C$21)</f>
        <v>96</v>
      </c>
      <c r="V1522" s="28">
        <f>V1505*_xlfn.XLOOKUP($L1522,'Balizador da Meta'!$B$4:$B$21,'Balizador da Meta'!$C$4:$C$21)</f>
        <v>96</v>
      </c>
      <c r="W1522" s="28">
        <f>W1505*_xlfn.XLOOKUP($L1522,'Balizador da Meta'!$B$4:$B$21,'Balizador da Meta'!$C$4:$C$21)</f>
        <v>96</v>
      </c>
      <c r="X1522" s="28">
        <f>X1505*_xlfn.XLOOKUP($L1522,'Balizador da Meta'!$B$4:$B$21,'Balizador da Meta'!$C$4:$C$21)</f>
        <v>96</v>
      </c>
      <c r="Y1522" s="28">
        <f>Y1505*_xlfn.XLOOKUP($L1522,'Balizador da Meta'!$B$4:$B$21,'Balizador da Meta'!$C$4:$C$21)</f>
        <v>96</v>
      </c>
      <c r="Z1522" s="30">
        <f t="shared" si="360"/>
        <v>1152</v>
      </c>
      <c r="AA1522" s="29"/>
      <c r="AB1522" s="31">
        <f>SUMIFS('Historico - FAT'!AK:AK,'Historico - FAT'!$K:$K,Faturamento!$L1522,'Historico - FAT'!$I:$I,Faturamento!$J1522,'Historico - FAT'!$G:$G,Faturamento!$H1522)</f>
        <v>0</v>
      </c>
      <c r="AC1522" s="31">
        <f>SUMIFS('Historico - FAT'!AL:AL,'Historico - FAT'!$K:$K,Faturamento!$L1522,'Historico - FAT'!$I:$I,Faturamento!$J1522,'Historico - FAT'!$G:$G,Faturamento!$H1522)</f>
        <v>0</v>
      </c>
      <c r="AD1522" s="31">
        <f>SUMIFS('Historico - FAT'!AM:AM,'Historico - FAT'!$K:$K,Faturamento!$L1522,'Historico - FAT'!$I:$I,Faturamento!$J1522,'Historico - FAT'!$G:$G,Faturamento!$H1522)</f>
        <v>0</v>
      </c>
      <c r="AE1522" s="27">
        <f>SUMIFS('Historico - FAT'!AN:AN,'Historico - FAT'!$K:$K,Faturamento!$L1522,'Historico - FAT'!$I:$I,Faturamento!$J1522,'Historico - FAT'!$G:$G,Faturamento!$H1522)</f>
        <v>0</v>
      </c>
      <c r="AG1522" s="24">
        <f t="shared" ref="AG1522:AG1523" si="362">IFERROR((AVERAGE(W1522:Y1522)-AB1522)/AVERAGE(W1522:Y1522),"")</f>
        <v>1</v>
      </c>
      <c r="AH1522" s="24">
        <f t="shared" ref="AH1522:AH1523" si="363">IFERROR((AVERAGE(W1522:Y1522)-AC1522)/AVERAGE(W1522:Y1522),"")</f>
        <v>1</v>
      </c>
      <c r="AI1522" s="24">
        <f t="shared" ref="AI1522:AI1523" si="364">IFERROR((AVERAGE(W1522:Y1522)-AD1522)/AVERAGE(W1522:Y1522),"")</f>
        <v>1</v>
      </c>
    </row>
    <row r="1523" spans="1:35" hidden="1" x14ac:dyDescent="0.3">
      <c r="A1523" s="2" t="str">
        <f t="shared" si="361"/>
        <v>NÃO</v>
      </c>
      <c r="B1523" s="2">
        <v>1000184670</v>
      </c>
      <c r="C1523" s="2" t="s">
        <v>147</v>
      </c>
      <c r="D1523" s="4">
        <v>1000186197</v>
      </c>
      <c r="E1523" s="4" t="s">
        <v>166</v>
      </c>
      <c r="F1523" s="2">
        <v>1000184756</v>
      </c>
      <c r="G1523" s="2" t="s">
        <v>53</v>
      </c>
      <c r="H1523" s="4">
        <v>1000189824</v>
      </c>
      <c r="I1523" s="4" t="s">
        <v>100</v>
      </c>
      <c r="J1523" s="2">
        <v>1000189270</v>
      </c>
      <c r="K1523" s="2" t="s">
        <v>34</v>
      </c>
      <c r="L1523" s="4" t="s">
        <v>25</v>
      </c>
      <c r="M1523" s="4" t="str">
        <f t="shared" si="354"/>
        <v>1000184670100018619710001898241000189270VICCIO</v>
      </c>
      <c r="N1523" s="28">
        <f>N1505*_xlfn.XLOOKUP($L1523,'Balizador da Meta'!$B$4:$B$21,'Balizador da Meta'!$C$4:$C$21)</f>
        <v>36</v>
      </c>
      <c r="O1523" s="28">
        <f>O1505*_xlfn.XLOOKUP($L1523,'Balizador da Meta'!$B$4:$B$21,'Balizador da Meta'!$C$4:$C$21)</f>
        <v>36</v>
      </c>
      <c r="P1523" s="28">
        <f>P1505*_xlfn.XLOOKUP($L1523,'Balizador da Meta'!$B$4:$B$21,'Balizador da Meta'!$C$4:$C$21)</f>
        <v>36</v>
      </c>
      <c r="Q1523" s="28">
        <f>Q1505*_xlfn.XLOOKUP($L1523,'Balizador da Meta'!$B$4:$B$21,'Balizador da Meta'!$C$4:$C$21)</f>
        <v>36</v>
      </c>
      <c r="R1523" s="28">
        <f>R1505*_xlfn.XLOOKUP($L1523,'Balizador da Meta'!$B$4:$B$21,'Balizador da Meta'!$C$4:$C$21)</f>
        <v>36</v>
      </c>
      <c r="S1523" s="28">
        <f>S1505*_xlfn.XLOOKUP($L1523,'Balizador da Meta'!$B$4:$B$21,'Balizador da Meta'!$C$4:$C$21)</f>
        <v>36</v>
      </c>
      <c r="T1523" s="28">
        <f>T1505*_xlfn.XLOOKUP($L1523,'Balizador da Meta'!$B$4:$B$21,'Balizador da Meta'!$C$4:$C$21)</f>
        <v>36</v>
      </c>
      <c r="U1523" s="28">
        <f>U1505*_xlfn.XLOOKUP($L1523,'Balizador da Meta'!$B$4:$B$21,'Balizador da Meta'!$C$4:$C$21)</f>
        <v>36</v>
      </c>
      <c r="V1523" s="28">
        <f>V1505*_xlfn.XLOOKUP($L1523,'Balizador da Meta'!$B$4:$B$21,'Balizador da Meta'!$C$4:$C$21)</f>
        <v>36</v>
      </c>
      <c r="W1523" s="28">
        <f>W1505*_xlfn.XLOOKUP($L1523,'Balizador da Meta'!$B$4:$B$21,'Balizador da Meta'!$C$4:$C$21)</f>
        <v>36</v>
      </c>
      <c r="X1523" s="28">
        <f>X1505*_xlfn.XLOOKUP($L1523,'Balizador da Meta'!$B$4:$B$21,'Balizador da Meta'!$C$4:$C$21)</f>
        <v>36</v>
      </c>
      <c r="Y1523" s="28">
        <f>Y1505*_xlfn.XLOOKUP($L1523,'Balizador da Meta'!$B$4:$B$21,'Balizador da Meta'!$C$4:$C$21)</f>
        <v>36</v>
      </c>
      <c r="Z1523" s="30">
        <f t="shared" si="360"/>
        <v>432</v>
      </c>
      <c r="AA1523" s="29"/>
      <c r="AB1523" s="31">
        <f>SUMIFS('Historico - FAT'!AK:AK,'Historico - FAT'!$K:$K,Faturamento!$L1523,'Historico - FAT'!$I:$I,Faturamento!$J1523,'Historico - FAT'!$G:$G,Faturamento!$H1523)</f>
        <v>94.800000000000011</v>
      </c>
      <c r="AC1523" s="31">
        <f>SUMIFS('Historico - FAT'!AL:AL,'Historico - FAT'!$K:$K,Faturamento!$L1523,'Historico - FAT'!$I:$I,Faturamento!$J1523,'Historico - FAT'!$G:$G,Faturamento!$H1523)</f>
        <v>9</v>
      </c>
      <c r="AD1523" s="31">
        <f>SUMIFS('Historico - FAT'!AM:AM,'Historico - FAT'!$K:$K,Faturamento!$L1523,'Historico - FAT'!$I:$I,Faturamento!$J1523,'Historico - FAT'!$G:$G,Faturamento!$H1523)</f>
        <v>0</v>
      </c>
      <c r="AE1523" s="27">
        <f>SUMIFS('Historico - FAT'!AN:AN,'Historico - FAT'!$K:$K,Faturamento!$L1523,'Historico - FAT'!$I:$I,Faturamento!$J1523,'Historico - FAT'!$G:$G,Faturamento!$H1523)</f>
        <v>10.8</v>
      </c>
      <c r="AG1523" s="24">
        <f t="shared" si="362"/>
        <v>-1.6333333333333337</v>
      </c>
      <c r="AH1523" s="24">
        <f t="shared" si="363"/>
        <v>0.75</v>
      </c>
      <c r="AI1523" s="24">
        <f t="shared" si="364"/>
        <v>1</v>
      </c>
    </row>
  </sheetData>
  <autoFilter ref="A3:AI1523" xr:uid="{55E704A5-EE91-48A3-8845-640F0A71AF43}">
    <filterColumn colId="0">
      <filters>
        <filter val="SIM"/>
      </filters>
    </filterColumn>
  </autoFilter>
  <conditionalFormatting sqref="A4:Z1523 AB4:AE1523 AG4:AI1523">
    <cfRule type="expression" dxfId="2" priority="6">
      <formula>$A4="SIM"</formula>
    </cfRule>
  </conditionalFormatting>
  <conditionalFormatting sqref="N4:Y1523">
    <cfRule type="expression" dxfId="1" priority="1">
      <formula>$A4="sim"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CB3D-8D3D-4146-A4CD-E43623D181B8}">
  <dimension ref="B1:U22"/>
  <sheetViews>
    <sheetView showGridLines="0" zoomScale="80" zoomScaleNormal="80" workbookViewId="0">
      <selection activeCell="G8" sqref="G8"/>
    </sheetView>
  </sheetViews>
  <sheetFormatPr defaultRowHeight="14.4" x14ac:dyDescent="0.3"/>
  <cols>
    <col min="1" max="1" width="1.21875" customWidth="1"/>
    <col min="2" max="2" width="19.5546875" bestFit="1" customWidth="1"/>
    <col min="3" max="3" width="14.44140625" customWidth="1"/>
    <col min="4" max="4" width="6.44140625" customWidth="1"/>
    <col min="5" max="5" width="28.44140625" bestFit="1" customWidth="1"/>
    <col min="6" max="6" width="16.77734375" bestFit="1" customWidth="1"/>
    <col min="7" max="18" width="8.21875" customWidth="1"/>
    <col min="19" max="21" width="14.44140625" style="26" customWidth="1"/>
  </cols>
  <sheetData>
    <row r="1" spans="2:21" ht="6.75" customHeight="1" x14ac:dyDescent="0.3">
      <c r="S1"/>
      <c r="T1"/>
      <c r="U1"/>
    </row>
    <row r="2" spans="2:21" ht="14.25" customHeight="1" x14ac:dyDescent="0.3">
      <c r="B2" s="51" t="s">
        <v>121</v>
      </c>
      <c r="C2" s="51" t="s">
        <v>135</v>
      </c>
      <c r="F2" s="51" t="s">
        <v>174</v>
      </c>
      <c r="G2" s="48" t="s">
        <v>176</v>
      </c>
      <c r="H2" s="49"/>
      <c r="I2" s="49"/>
      <c r="J2" s="49"/>
      <c r="K2" s="49"/>
      <c r="L2" s="49"/>
      <c r="M2" s="49"/>
      <c r="N2" s="49"/>
      <c r="O2" s="49"/>
      <c r="P2" s="49"/>
      <c r="Q2" s="49"/>
      <c r="R2" s="50"/>
      <c r="S2"/>
      <c r="T2"/>
      <c r="U2"/>
    </row>
    <row r="3" spans="2:21" s="36" customFormat="1" ht="14.25" customHeight="1" x14ac:dyDescent="0.3">
      <c r="B3" s="52"/>
      <c r="C3" s="52"/>
      <c r="F3" s="52"/>
      <c r="G3" s="35" t="s">
        <v>1</v>
      </c>
      <c r="H3" s="35" t="s">
        <v>2</v>
      </c>
      <c r="I3" s="35" t="s">
        <v>3</v>
      </c>
      <c r="J3" s="35" t="s">
        <v>4</v>
      </c>
      <c r="K3" s="35" t="s">
        <v>5</v>
      </c>
      <c r="L3" s="35" t="s">
        <v>6</v>
      </c>
      <c r="M3" s="35" t="s">
        <v>7</v>
      </c>
      <c r="N3" s="35" t="s">
        <v>8</v>
      </c>
      <c r="O3" s="35" t="s">
        <v>9</v>
      </c>
      <c r="P3" s="35" t="s">
        <v>10</v>
      </c>
      <c r="Q3" s="35" t="s">
        <v>11</v>
      </c>
      <c r="R3" s="35" t="s">
        <v>12</v>
      </c>
    </row>
    <row r="4" spans="2:21" x14ac:dyDescent="0.3">
      <c r="B4" s="8" t="s">
        <v>13</v>
      </c>
      <c r="C4" s="9">
        <v>7.0000000000000007E-2</v>
      </c>
      <c r="D4" s="41"/>
      <c r="E4" s="41"/>
      <c r="F4" s="8" t="s">
        <v>177</v>
      </c>
      <c r="G4" s="9">
        <v>0.5</v>
      </c>
      <c r="H4" s="9">
        <f>G4</f>
        <v>0.5</v>
      </c>
      <c r="I4" s="9">
        <f t="shared" ref="I4:R4" si="0">H4</f>
        <v>0.5</v>
      </c>
      <c r="J4" s="9">
        <f t="shared" si="0"/>
        <v>0.5</v>
      </c>
      <c r="K4" s="9">
        <f t="shared" si="0"/>
        <v>0.5</v>
      </c>
      <c r="L4" s="9">
        <f t="shared" si="0"/>
        <v>0.5</v>
      </c>
      <c r="M4" s="9">
        <f t="shared" si="0"/>
        <v>0.5</v>
      </c>
      <c r="N4" s="9">
        <f t="shared" si="0"/>
        <v>0.5</v>
      </c>
      <c r="O4" s="9">
        <f t="shared" si="0"/>
        <v>0.5</v>
      </c>
      <c r="P4" s="9">
        <f t="shared" si="0"/>
        <v>0.5</v>
      </c>
      <c r="Q4" s="9">
        <f t="shared" si="0"/>
        <v>0.5</v>
      </c>
      <c r="R4" s="9">
        <f t="shared" si="0"/>
        <v>0.5</v>
      </c>
      <c r="S4"/>
      <c r="T4"/>
      <c r="U4"/>
    </row>
    <row r="5" spans="2:21" x14ac:dyDescent="0.3">
      <c r="B5" s="8" t="s">
        <v>14</v>
      </c>
      <c r="C5" s="9">
        <v>7.0000000000000007E-2</v>
      </c>
      <c r="D5" s="41"/>
      <c r="E5" s="41"/>
      <c r="F5" s="8" t="s">
        <v>178</v>
      </c>
      <c r="G5" s="9">
        <v>0.3</v>
      </c>
      <c r="H5" s="9">
        <f t="shared" ref="H5:R5" si="1">G5</f>
        <v>0.3</v>
      </c>
      <c r="I5" s="9">
        <f t="shared" si="1"/>
        <v>0.3</v>
      </c>
      <c r="J5" s="9">
        <f t="shared" si="1"/>
        <v>0.3</v>
      </c>
      <c r="K5" s="9">
        <f t="shared" si="1"/>
        <v>0.3</v>
      </c>
      <c r="L5" s="9">
        <f t="shared" si="1"/>
        <v>0.3</v>
      </c>
      <c r="M5" s="9">
        <f t="shared" si="1"/>
        <v>0.3</v>
      </c>
      <c r="N5" s="9">
        <f t="shared" si="1"/>
        <v>0.3</v>
      </c>
      <c r="O5" s="9">
        <f t="shared" si="1"/>
        <v>0.3</v>
      </c>
      <c r="P5" s="9">
        <f t="shared" si="1"/>
        <v>0.3</v>
      </c>
      <c r="Q5" s="9">
        <f t="shared" si="1"/>
        <v>0.3</v>
      </c>
      <c r="R5" s="9">
        <f t="shared" si="1"/>
        <v>0.3</v>
      </c>
      <c r="S5"/>
      <c r="T5"/>
      <c r="U5"/>
    </row>
    <row r="6" spans="2:21" x14ac:dyDescent="0.3">
      <c r="B6" s="8" t="s">
        <v>16</v>
      </c>
      <c r="C6" s="9">
        <v>0.08</v>
      </c>
      <c r="D6" s="41"/>
      <c r="E6" s="41"/>
      <c r="F6" s="8" t="s">
        <v>179</v>
      </c>
      <c r="G6" s="9">
        <v>0.3</v>
      </c>
      <c r="H6" s="9">
        <f t="shared" ref="H6:R6" si="2">G6</f>
        <v>0.3</v>
      </c>
      <c r="I6" s="9">
        <f t="shared" si="2"/>
        <v>0.3</v>
      </c>
      <c r="J6" s="9">
        <f t="shared" si="2"/>
        <v>0.3</v>
      </c>
      <c r="K6" s="9">
        <f t="shared" si="2"/>
        <v>0.3</v>
      </c>
      <c r="L6" s="9">
        <f t="shared" si="2"/>
        <v>0.3</v>
      </c>
      <c r="M6" s="9">
        <f t="shared" si="2"/>
        <v>0.3</v>
      </c>
      <c r="N6" s="9">
        <f t="shared" si="2"/>
        <v>0.3</v>
      </c>
      <c r="O6" s="9">
        <f t="shared" si="2"/>
        <v>0.3</v>
      </c>
      <c r="P6" s="9">
        <f t="shared" si="2"/>
        <v>0.3</v>
      </c>
      <c r="Q6" s="9">
        <f t="shared" si="2"/>
        <v>0.3</v>
      </c>
      <c r="R6" s="9">
        <f t="shared" si="2"/>
        <v>0.3</v>
      </c>
      <c r="S6"/>
      <c r="T6"/>
      <c r="U6"/>
    </row>
    <row r="7" spans="2:21" x14ac:dyDescent="0.3">
      <c r="B7" s="8" t="s">
        <v>15</v>
      </c>
      <c r="C7" s="9">
        <v>0.09</v>
      </c>
      <c r="D7" s="41"/>
      <c r="E7" s="41"/>
      <c r="F7" s="8" t="s">
        <v>180</v>
      </c>
      <c r="G7" s="9">
        <v>0.2</v>
      </c>
      <c r="H7" s="9">
        <f t="shared" ref="H7:R7" si="3">G7</f>
        <v>0.2</v>
      </c>
      <c r="I7" s="9">
        <f t="shared" si="3"/>
        <v>0.2</v>
      </c>
      <c r="J7" s="9">
        <f t="shared" si="3"/>
        <v>0.2</v>
      </c>
      <c r="K7" s="9">
        <f t="shared" si="3"/>
        <v>0.2</v>
      </c>
      <c r="L7" s="9">
        <f t="shared" si="3"/>
        <v>0.2</v>
      </c>
      <c r="M7" s="9">
        <f t="shared" si="3"/>
        <v>0.2</v>
      </c>
      <c r="N7" s="9">
        <f t="shared" si="3"/>
        <v>0.2</v>
      </c>
      <c r="O7" s="9">
        <f t="shared" si="3"/>
        <v>0.2</v>
      </c>
      <c r="P7" s="9">
        <f t="shared" si="3"/>
        <v>0.2</v>
      </c>
      <c r="Q7" s="9">
        <f t="shared" si="3"/>
        <v>0.2</v>
      </c>
      <c r="R7" s="9">
        <f t="shared" si="3"/>
        <v>0.2</v>
      </c>
      <c r="S7"/>
      <c r="T7"/>
      <c r="U7"/>
    </row>
    <row r="8" spans="2:21" x14ac:dyDescent="0.3">
      <c r="B8" s="8" t="s">
        <v>33</v>
      </c>
      <c r="C8" s="14">
        <v>0</v>
      </c>
      <c r="D8" s="41"/>
      <c r="E8" s="41"/>
      <c r="F8" s="8" t="s">
        <v>175</v>
      </c>
      <c r="G8" s="9">
        <v>0</v>
      </c>
      <c r="H8" s="9">
        <f t="shared" ref="H8:R8" si="4">G8</f>
        <v>0</v>
      </c>
      <c r="I8" s="9">
        <f t="shared" si="4"/>
        <v>0</v>
      </c>
      <c r="J8" s="9">
        <f t="shared" si="4"/>
        <v>0</v>
      </c>
      <c r="K8" s="9">
        <f t="shared" si="4"/>
        <v>0</v>
      </c>
      <c r="L8" s="9">
        <f t="shared" si="4"/>
        <v>0</v>
      </c>
      <c r="M8" s="9">
        <f t="shared" si="4"/>
        <v>0</v>
      </c>
      <c r="N8" s="9">
        <f t="shared" si="4"/>
        <v>0</v>
      </c>
      <c r="O8" s="9">
        <f t="shared" si="4"/>
        <v>0</v>
      </c>
      <c r="P8" s="9">
        <f t="shared" si="4"/>
        <v>0</v>
      </c>
      <c r="Q8" s="9">
        <f t="shared" si="4"/>
        <v>0</v>
      </c>
      <c r="R8" s="9">
        <f t="shared" si="4"/>
        <v>0</v>
      </c>
      <c r="S8"/>
      <c r="T8"/>
      <c r="U8"/>
    </row>
    <row r="9" spans="2:21" x14ac:dyDescent="0.3">
      <c r="B9" s="8" t="s">
        <v>19</v>
      </c>
      <c r="C9" s="9">
        <v>1.9999999999999997E-2</v>
      </c>
      <c r="D9" s="41"/>
      <c r="E9" s="41"/>
      <c r="F9" s="8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/>
      <c r="T9"/>
      <c r="U9"/>
    </row>
    <row r="10" spans="2:21" x14ac:dyDescent="0.3">
      <c r="B10" s="8" t="s">
        <v>17</v>
      </c>
      <c r="C10" s="9">
        <v>0.02</v>
      </c>
      <c r="D10" s="41"/>
      <c r="E10" s="41"/>
      <c r="S10"/>
      <c r="T10"/>
      <c r="U10"/>
    </row>
    <row r="11" spans="2:21" x14ac:dyDescent="0.3">
      <c r="B11" s="8" t="s">
        <v>24</v>
      </c>
      <c r="C11" s="9">
        <v>0</v>
      </c>
      <c r="D11" s="41"/>
      <c r="E11" s="41"/>
      <c r="S11"/>
      <c r="T11"/>
      <c r="U11"/>
    </row>
    <row r="12" spans="2:21" x14ac:dyDescent="0.3">
      <c r="B12" s="8" t="s">
        <v>18</v>
      </c>
      <c r="C12" s="9">
        <v>0.01</v>
      </c>
      <c r="F12" s="44" t="s">
        <v>193</v>
      </c>
      <c r="G12" s="44" t="s">
        <v>194</v>
      </c>
      <c r="H12" s="44" t="s">
        <v>195</v>
      </c>
      <c r="I12" s="44" t="s">
        <v>196</v>
      </c>
      <c r="S12"/>
      <c r="T12"/>
      <c r="U12"/>
    </row>
    <row r="13" spans="2:21" x14ac:dyDescent="0.3">
      <c r="B13" s="8" t="s">
        <v>29</v>
      </c>
      <c r="C13" s="14">
        <v>0.32</v>
      </c>
      <c r="E13" s="4" t="s">
        <v>197</v>
      </c>
      <c r="F13" s="45">
        <v>1500</v>
      </c>
      <c r="G13" s="46">
        <v>0.2</v>
      </c>
      <c r="H13" s="46">
        <v>0.05</v>
      </c>
      <c r="I13" s="46">
        <v>0.1</v>
      </c>
      <c r="S13"/>
      <c r="T13"/>
      <c r="U13"/>
    </row>
    <row r="14" spans="2:21" x14ac:dyDescent="0.3">
      <c r="B14" s="8" t="s">
        <v>21</v>
      </c>
      <c r="C14" s="9">
        <v>0.05</v>
      </c>
      <c r="D14" s="41"/>
      <c r="E14" s="4" t="s">
        <v>180</v>
      </c>
      <c r="F14" s="45">
        <v>600</v>
      </c>
      <c r="G14" s="46">
        <v>0.2</v>
      </c>
      <c r="H14" s="46">
        <v>0.05</v>
      </c>
      <c r="I14" s="46">
        <v>0.1</v>
      </c>
      <c r="S14"/>
      <c r="T14"/>
      <c r="U14"/>
    </row>
    <row r="15" spans="2:21" x14ac:dyDescent="0.3">
      <c r="B15" s="8" t="s">
        <v>20</v>
      </c>
      <c r="C15" s="9">
        <v>0.04</v>
      </c>
      <c r="D15" s="41"/>
      <c r="E15" s="41"/>
      <c r="S15"/>
      <c r="T15"/>
      <c r="U15"/>
    </row>
    <row r="16" spans="2:21" x14ac:dyDescent="0.3">
      <c r="B16" s="8" t="s">
        <v>22</v>
      </c>
      <c r="C16" s="9">
        <v>0.04</v>
      </c>
      <c r="D16" s="41"/>
      <c r="E16" s="41"/>
      <c r="S16"/>
      <c r="T16"/>
      <c r="U16"/>
    </row>
    <row r="17" spans="2:21" x14ac:dyDescent="0.3">
      <c r="B17" s="8" t="s">
        <v>23</v>
      </c>
      <c r="C17" s="9">
        <v>0</v>
      </c>
      <c r="D17" s="41"/>
      <c r="E17" s="41"/>
      <c r="S17"/>
      <c r="T17"/>
      <c r="U17"/>
    </row>
    <row r="18" spans="2:21" x14ac:dyDescent="0.3">
      <c r="B18" s="8" t="s">
        <v>28</v>
      </c>
      <c r="C18" s="9">
        <v>0.02</v>
      </c>
      <c r="D18" s="41"/>
      <c r="E18" s="41"/>
      <c r="S18"/>
      <c r="T18"/>
      <c r="U18"/>
    </row>
    <row r="19" spans="2:21" x14ac:dyDescent="0.3">
      <c r="B19" s="8" t="s">
        <v>26</v>
      </c>
      <c r="C19" s="9">
        <v>0.06</v>
      </c>
      <c r="D19" s="41"/>
      <c r="E19" s="41"/>
      <c r="S19"/>
      <c r="T19"/>
      <c r="U19"/>
    </row>
    <row r="20" spans="2:21" x14ac:dyDescent="0.3">
      <c r="B20" s="8" t="s">
        <v>27</v>
      </c>
      <c r="C20" s="9">
        <v>0.08</v>
      </c>
      <c r="D20" s="41"/>
      <c r="E20" s="41"/>
      <c r="S20"/>
      <c r="T20"/>
      <c r="U20"/>
    </row>
    <row r="21" spans="2:21" x14ac:dyDescent="0.3">
      <c r="B21" s="8" t="s">
        <v>25</v>
      </c>
      <c r="C21" s="9">
        <v>0.03</v>
      </c>
      <c r="D21" s="41"/>
      <c r="E21" s="41"/>
      <c r="S21"/>
      <c r="T21"/>
      <c r="U21"/>
    </row>
    <row r="22" spans="2:21" x14ac:dyDescent="0.3">
      <c r="B22" s="25" t="s">
        <v>131</v>
      </c>
      <c r="C22" s="37">
        <f>SUM(C4:C21)</f>
        <v>1.0000000000000002</v>
      </c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</row>
  </sheetData>
  <sortState xmlns:xlrd2="http://schemas.microsoft.com/office/spreadsheetml/2017/richdata2" ref="B4:C21">
    <sortCondition ref="B4:B21"/>
  </sortState>
  <mergeCells count="4">
    <mergeCell ref="G2:R2"/>
    <mergeCell ref="F2:F3"/>
    <mergeCell ref="C2:C3"/>
    <mergeCell ref="B2:B3"/>
  </mergeCells>
  <phoneticPr fontId="7" type="noConversion"/>
  <conditionalFormatting sqref="E13:E14">
    <cfRule type="expression" dxfId="0" priority="1">
      <formula>#REF!="SIM"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596AE-DF27-465D-81D1-4C27C5CBB360}">
  <dimension ref="B1:Q23"/>
  <sheetViews>
    <sheetView showGridLines="0" zoomScale="80" zoomScaleNormal="80" workbookViewId="0">
      <selection sqref="A1:XFD1048576"/>
    </sheetView>
  </sheetViews>
  <sheetFormatPr defaultRowHeight="14.4" x14ac:dyDescent="0.3"/>
  <cols>
    <col min="1" max="1" width="1.5546875" customWidth="1"/>
    <col min="2" max="2" width="14.21875" bestFit="1" customWidth="1"/>
    <col min="3" max="14" width="15.21875" bestFit="1" customWidth="1"/>
    <col min="15" max="17" width="17" bestFit="1" customWidth="1"/>
    <col min="18" max="19" width="14.77734375" customWidth="1"/>
  </cols>
  <sheetData>
    <row r="1" spans="2:17" ht="8.25" customHeight="1" x14ac:dyDescent="0.3"/>
    <row r="2" spans="2:17" x14ac:dyDescent="0.3">
      <c r="B2" s="11"/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</row>
    <row r="3" spans="2:17" x14ac:dyDescent="0.3">
      <c r="B3" s="11" t="s">
        <v>188</v>
      </c>
      <c r="C3" s="27">
        <v>43265</v>
      </c>
      <c r="D3" s="27">
        <v>38004</v>
      </c>
      <c r="E3" s="27">
        <v>113363</v>
      </c>
      <c r="F3" s="27">
        <v>17994</v>
      </c>
      <c r="G3" s="27">
        <v>233485</v>
      </c>
      <c r="H3" s="27">
        <v>223750</v>
      </c>
      <c r="I3" s="27">
        <v>161139</v>
      </c>
      <c r="J3" s="27">
        <v>220074</v>
      </c>
      <c r="K3" s="27">
        <v>202758</v>
      </c>
      <c r="L3" s="27">
        <v>275460</v>
      </c>
      <c r="M3" s="27"/>
      <c r="N3" s="27"/>
      <c r="O3" s="34">
        <f>SUM(C3:N3)</f>
        <v>1529292</v>
      </c>
      <c r="P3" s="34">
        <f>O3+270000</f>
        <v>1799292</v>
      </c>
      <c r="Q3" s="34">
        <f>P3/11*12</f>
        <v>1962864</v>
      </c>
    </row>
    <row r="4" spans="2:17" x14ac:dyDescent="0.3">
      <c r="B4" s="11" t="s">
        <v>189</v>
      </c>
      <c r="C4" s="27">
        <f>Faturamento!N2</f>
        <v>333600</v>
      </c>
      <c r="D4" s="27">
        <f>Faturamento!O2</f>
        <v>348600</v>
      </c>
      <c r="E4" s="27">
        <f>Faturamento!P2</f>
        <v>357000</v>
      </c>
      <c r="F4" s="27">
        <f>Faturamento!Q2</f>
        <v>366300</v>
      </c>
      <c r="G4" s="27">
        <f>Faturamento!R2</f>
        <v>378300</v>
      </c>
      <c r="H4" s="27">
        <f>Faturamento!S2</f>
        <v>388200</v>
      </c>
      <c r="I4" s="27">
        <f>Faturamento!T2</f>
        <v>403200</v>
      </c>
      <c r="J4" s="27">
        <f>Faturamento!U2</f>
        <v>413100</v>
      </c>
      <c r="K4" s="27">
        <f>Faturamento!V2</f>
        <v>422400</v>
      </c>
      <c r="L4" s="27">
        <f>Faturamento!W2</f>
        <v>432900</v>
      </c>
      <c r="M4" s="27">
        <f>Faturamento!X2</f>
        <v>444300</v>
      </c>
      <c r="N4" s="27">
        <f>Faturamento!Y2</f>
        <v>459300</v>
      </c>
      <c r="O4" s="34">
        <f>SUM(C4:N4)</f>
        <v>4747200</v>
      </c>
      <c r="Q4" s="34"/>
    </row>
    <row r="5" spans="2:17" x14ac:dyDescent="0.3">
      <c r="C5">
        <f>C3/C4</f>
        <v>0.12969124700239809</v>
      </c>
      <c r="D5">
        <f t="shared" ref="D5:O5" si="0">D3/D4</f>
        <v>0.10901893287435456</v>
      </c>
      <c r="E5">
        <f t="shared" si="0"/>
        <v>0.3175434173669468</v>
      </c>
      <c r="F5">
        <f t="shared" si="0"/>
        <v>4.9123669123669125E-2</v>
      </c>
      <c r="G5">
        <f t="shared" si="0"/>
        <v>0.61719534760771877</v>
      </c>
      <c r="H5">
        <f t="shared" si="0"/>
        <v>0.57637815558990213</v>
      </c>
      <c r="I5">
        <f t="shared" si="0"/>
        <v>0.39965029761904763</v>
      </c>
      <c r="J5">
        <f t="shared" si="0"/>
        <v>0.53273783587509083</v>
      </c>
      <c r="K5">
        <f t="shared" si="0"/>
        <v>0.48001420454545457</v>
      </c>
      <c r="L5">
        <f t="shared" si="0"/>
        <v>0.63631323631323633</v>
      </c>
      <c r="M5">
        <f t="shared" si="0"/>
        <v>0</v>
      </c>
      <c r="N5">
        <f t="shared" si="0"/>
        <v>0</v>
      </c>
      <c r="O5" s="43">
        <f t="shared" si="0"/>
        <v>0.32214610717896863</v>
      </c>
    </row>
    <row r="6" spans="2:17" x14ac:dyDescent="0.3">
      <c r="P6" s="34">
        <f>SUM(G3:L3)/6*12</f>
        <v>2633332</v>
      </c>
    </row>
    <row r="7" spans="2:17" x14ac:dyDescent="0.3">
      <c r="C7" s="43">
        <f>C4/$O$4</f>
        <v>7.0273003033367032E-2</v>
      </c>
      <c r="D7" s="43">
        <f t="shared" ref="D7:N7" si="1">D4/$O$4</f>
        <v>7.3432760364004049E-2</v>
      </c>
      <c r="E7" s="43">
        <f t="shared" si="1"/>
        <v>7.5202224469160764E-2</v>
      </c>
      <c r="F7" s="43">
        <f t="shared" si="1"/>
        <v>7.7161274014155706E-2</v>
      </c>
      <c r="G7" s="43">
        <f t="shared" si="1"/>
        <v>7.9689079878665317E-2</v>
      </c>
      <c r="H7" s="43">
        <f t="shared" si="1"/>
        <v>8.1774519716885749E-2</v>
      </c>
      <c r="I7" s="43">
        <f t="shared" si="1"/>
        <v>8.4934277047522752E-2</v>
      </c>
      <c r="J7" s="43">
        <f t="shared" si="1"/>
        <v>8.701971688574317E-2</v>
      </c>
      <c r="K7" s="43">
        <f t="shared" si="1"/>
        <v>8.8978766430738113E-2</v>
      </c>
      <c r="L7" s="43">
        <f t="shared" si="1"/>
        <v>9.119059656218402E-2</v>
      </c>
      <c r="M7" s="43">
        <f t="shared" si="1"/>
        <v>9.3592012133468155E-2</v>
      </c>
      <c r="N7" s="43">
        <f t="shared" si="1"/>
        <v>9.6751769464105158E-2</v>
      </c>
      <c r="P7">
        <f>P6/O4</f>
        <v>0.55471267273340075</v>
      </c>
    </row>
    <row r="8" spans="2:17" x14ac:dyDescent="0.3">
      <c r="C8" s="34">
        <f>ROUNDUP($O$4*C7,0)</f>
        <v>333600</v>
      </c>
      <c r="D8" s="34">
        <f t="shared" ref="D8:N8" si="2">ROUNDUP($O$4*D7,0)</f>
        <v>348600</v>
      </c>
      <c r="E8" s="34">
        <f t="shared" si="2"/>
        <v>357000</v>
      </c>
      <c r="F8" s="34">
        <f t="shared" si="2"/>
        <v>366300</v>
      </c>
      <c r="G8" s="34">
        <f t="shared" si="2"/>
        <v>378300</v>
      </c>
      <c r="H8" s="34">
        <f t="shared" si="2"/>
        <v>388200</v>
      </c>
      <c r="I8" s="34">
        <f t="shared" si="2"/>
        <v>403200</v>
      </c>
      <c r="J8" s="34">
        <f t="shared" si="2"/>
        <v>413100</v>
      </c>
      <c r="K8" s="34">
        <f t="shared" si="2"/>
        <v>422400</v>
      </c>
      <c r="L8" s="34">
        <f t="shared" si="2"/>
        <v>432900</v>
      </c>
      <c r="M8" s="34">
        <f t="shared" si="2"/>
        <v>444300</v>
      </c>
      <c r="N8" s="34">
        <f t="shared" si="2"/>
        <v>459300</v>
      </c>
      <c r="O8" s="34">
        <f>SUM(C8:N8)</f>
        <v>4747200</v>
      </c>
    </row>
    <row r="22" spans="5:6" x14ac:dyDescent="0.3">
      <c r="E22" t="s">
        <v>190</v>
      </c>
      <c r="F22" s="29">
        <v>2880000</v>
      </c>
    </row>
    <row r="23" spans="5:6" x14ac:dyDescent="0.3">
      <c r="E23" t="s">
        <v>191</v>
      </c>
      <c r="F23" s="29">
        <f>Faturamento!Z2</f>
        <v>4747200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Carteira</vt:lpstr>
      <vt:lpstr>Historico - FAT</vt:lpstr>
      <vt:lpstr>Leads</vt:lpstr>
      <vt:lpstr>Positivação</vt:lpstr>
      <vt:lpstr>Faturamento</vt:lpstr>
      <vt:lpstr>Balizador da Meta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Joao.Giordano</dc:creator>
  <cp:lastModifiedBy>Leandro Garcia</cp:lastModifiedBy>
  <cp:lastPrinted>2025-09-17T17:36:14Z</cp:lastPrinted>
  <dcterms:created xsi:type="dcterms:W3CDTF">2025-03-28T17:14:40Z</dcterms:created>
  <dcterms:modified xsi:type="dcterms:W3CDTF">2026-01-22T15:42:27Z</dcterms:modified>
</cp:coreProperties>
</file>